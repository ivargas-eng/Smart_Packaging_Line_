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Índice" sheetId="1" state="visible" r:id="rId1"/>
    <sheet xmlns:r="http://schemas.openxmlformats.org/officeDocument/2006/relationships" name="Instructions" sheetId="2" state="visible" r:id="rId2"/>
    <sheet xmlns:r="http://schemas.openxmlformats.org/officeDocument/2006/relationships" name="Components" sheetId="3" state="visible" r:id="rId3"/>
    <sheet xmlns:r="http://schemas.openxmlformats.org/officeDocument/2006/relationships" name="Recipes" sheetId="4" state="visible" r:id="rId4"/>
    <sheet xmlns:r="http://schemas.openxmlformats.org/officeDocument/2006/relationships" name="INFO Muestras Componentes" sheetId="5" state="visible" r:id="rId5"/>
    <sheet xmlns:r="http://schemas.openxmlformats.org/officeDocument/2006/relationships" name="Documentación" sheetId="6" state="visible" r:id="rId6"/>
    <sheet xmlns:r="http://schemas.openxmlformats.org/officeDocument/2006/relationships" name="Runs 1.0 20262904" sheetId="7" state="visible" r:id="rId7"/>
    <sheet xmlns:r="http://schemas.openxmlformats.org/officeDocument/2006/relationships" name="Runs 1.0 + 3.5 sigma" sheetId="8" state="visible" r:id="rId8"/>
    <sheet xmlns:r="http://schemas.openxmlformats.org/officeDocument/2006/relationships" name="Runs 1.0 + 6 sigma" sheetId="9" state="visible" r:id="rId9"/>
    <sheet xmlns:r="http://schemas.openxmlformats.org/officeDocument/2006/relationships" name="Runs Z score" sheetId="10" state="visible" r:id="rId10"/>
    <sheet xmlns:r="http://schemas.openxmlformats.org/officeDocument/2006/relationships" name="Runs Z score + 6 sigma" sheetId="11" state="visible" r:id="rId11"/>
    <sheet xmlns:r="http://schemas.openxmlformats.org/officeDocument/2006/relationships" name="Runs 1.1" sheetId="12" state="visible" r:id="rId12"/>
    <sheet xmlns:r="http://schemas.openxmlformats.org/officeDocument/2006/relationships" name="Runs Mahalanobis" sheetId="13" state="visible" r:id="rId13"/>
    <sheet xmlns:r="http://schemas.openxmlformats.org/officeDocument/2006/relationships" name="Runs GMM" sheetId="14" state="visible" r:id="rId14"/>
    <sheet xmlns:r="http://schemas.openxmlformats.org/officeDocument/2006/relationships" name="Runs 1.0 + Bayes" sheetId="15" state="visible" r:id="rId15"/>
    <sheet xmlns:r="http://schemas.openxmlformats.org/officeDocument/2006/relationships" name="Runs Logistic ML" sheetId="16" state="visible" r:id="rId16"/>
    <sheet xmlns:r="http://schemas.openxmlformats.org/officeDocument/2006/relationships" name="Runs LDA" sheetId="17" state="visible" r:id="rId17"/>
    <sheet xmlns:r="http://schemas.openxmlformats.org/officeDocument/2006/relationships" name="Runs QDA" sheetId="18" state="visible" r:id="rId18"/>
    <sheet xmlns:r="http://schemas.openxmlformats.org/officeDocument/2006/relationships" name="Runs SVM" sheetId="19" state="visible" r:id="rId19"/>
    <sheet xmlns:r="http://schemas.openxmlformats.org/officeDocument/2006/relationships" name="Runs Random Forest" sheetId="20" state="visible" r:id="rId20"/>
    <sheet xmlns:r="http://schemas.openxmlformats.org/officeDocument/2006/relationships" name="Results" sheetId="21" state="visible" r:id="rId21"/>
    <sheet xmlns:r="http://schemas.openxmlformats.org/officeDocument/2006/relationships" name="Comparativa Final" sheetId="22" state="visible" r:id="rId22"/>
    <sheet xmlns:r="http://schemas.openxmlformats.org/officeDocument/2006/relationships" name="Future Data 2 pieces missing" sheetId="23" state="visible" r:id="rId23"/>
    <sheet xmlns:r="http://schemas.openxmlformats.org/officeDocument/2006/relationships" name="Sheet1" sheetId="24" state="visible" r:id="rId24"/>
  </sheets>
  <definedNames/>
  <calcPr calcId="191029" fullCalcOnLoad="1"/>
</workbook>
</file>

<file path=xl/styles.xml><?xml version="1.0" encoding="utf-8"?>
<styleSheet xmlns="http://schemas.openxmlformats.org/spreadsheetml/2006/main">
  <numFmts count="8">
    <numFmt numFmtId="164" formatCode="0.0000"/>
    <numFmt numFmtId="165" formatCode="yyyy\-mm\-dd\ hh:mm"/>
    <numFmt numFmtId="166" formatCode="0.0%"/>
    <numFmt numFmtId="167" formatCode="0.000"/>
    <numFmt numFmtId="168" formatCode="0.0000000000000"/>
    <numFmt numFmtId="169" formatCode="0.00000000000000"/>
    <numFmt numFmtId="170" formatCode="0.00000000000000000"/>
    <numFmt numFmtId="171" formatCode="0.000000000000000"/>
  </numFmts>
  <fonts count="64">
    <font>
      <name val="Calibri"/>
      <charset val="1"/>
      <family val="2"/>
      <color theme="1"/>
      <sz val="11"/>
    </font>
    <font>
      <name val="Arial"/>
      <charset val="1"/>
      <b val="1"/>
      <color rgb="FF1F4E78"/>
      <sz val="16"/>
    </font>
    <font>
      <name val="Arial"/>
      <charset val="1"/>
      <i val="1"/>
      <color rgb="FF595959"/>
      <sz val="11"/>
    </font>
    <font>
      <name val="Arial"/>
      <charset val="1"/>
      <sz val="10"/>
    </font>
    <font>
      <name val="Arial"/>
      <charset val="1"/>
      <b val="1"/>
      <color rgb="FF1F4E78"/>
      <sz val="11"/>
    </font>
    <font>
      <name val="Arial"/>
      <charset val="1"/>
      <b val="1"/>
      <sz val="10"/>
    </font>
    <font>
      <name val="Arial"/>
      <charset val="1"/>
      <b val="1"/>
      <color rgb="FFFFFFFF"/>
      <sz val="11"/>
    </font>
    <font>
      <name val="Arial"/>
      <charset val="1"/>
      <color rgb="FF000000"/>
      <sz val="10"/>
    </font>
    <font>
      <name val="Arial"/>
      <charset val="1"/>
      <color rgb="FF0000FF"/>
      <sz val="10"/>
    </font>
    <font>
      <name val="Arial"/>
      <charset val="1"/>
      <color rgb="FF008000"/>
      <sz val="10"/>
    </font>
    <font>
      <name val="Arial"/>
      <charset val="1"/>
      <b val="1"/>
      <color rgb="FF1F4E78"/>
      <sz val="14"/>
    </font>
    <font>
      <name val="Arial"/>
      <charset val="1"/>
      <i val="1"/>
      <color rgb="FF595959"/>
      <sz val="9"/>
    </font>
    <font>
      <name val="Calibri"/>
      <charset val="1"/>
      <family val="2"/>
      <color theme="1"/>
      <sz val="16"/>
    </font>
    <font>
      <name val="Arial"/>
      <color rgb="FF008000"/>
      <sz val="10"/>
    </font>
    <font>
      <name val="Arial"/>
      <color rgb="FF000000"/>
      <sz val="10"/>
    </font>
    <font>
      <name val="Arial"/>
      <color rgb="FF0000FF"/>
      <sz val="10"/>
    </font>
    <font>
      <name val="Calibri"/>
      <charset val="1"/>
      <family val="2"/>
      <b val="1"/>
      <color theme="1"/>
      <sz val="11"/>
    </font>
    <font>
      <name val="Calibri"/>
      <charset val="1"/>
      <family val="2"/>
      <color rgb="FFFF0000"/>
      <sz val="11"/>
    </font>
    <font>
      <name val="Calibri"/>
      <family val="2"/>
      <b val="1"/>
      <color theme="1"/>
      <sz val="11"/>
    </font>
    <font>
      <name val="Calibri"/>
      <family val="2"/>
      <b val="1"/>
      <color theme="1"/>
      <sz val="16"/>
    </font>
    <font>
      <name val="Arial Unicode MS"/>
      <b val="1"/>
      <color theme="1"/>
      <sz val="10"/>
    </font>
    <font>
      <name val="Calibri"/>
      <charset val="1"/>
      <family val="2"/>
      <b val="1"/>
      <color theme="1"/>
      <sz val="18"/>
    </font>
    <font>
      <name val="Calibri"/>
      <charset val="1"/>
      <family val="2"/>
      <b val="1"/>
      <i val="1"/>
      <color theme="1"/>
      <sz val="11"/>
    </font>
    <font>
      <name val="Calibri"/>
      <charset val="1"/>
      <family val="2"/>
      <b val="1"/>
      <color theme="1"/>
      <sz val="14"/>
    </font>
    <font>
      <name val="Calibri"/>
      <charset val="1"/>
      <family val="2"/>
      <b val="1"/>
      <color rgb="FFFF0000"/>
      <sz val="11"/>
    </font>
    <font>
      <name val="Calibri"/>
      <i val="1"/>
      <color rgb="FF595959"/>
      <sz val="9"/>
    </font>
    <font>
      <name val="Calibri"/>
      <b val="1"/>
      <color rgb="FF305496"/>
      <sz val="11"/>
    </font>
    <font>
      <name val="Calibri"/>
      <b val="1"/>
      <color rgb="FFFFFFFF"/>
      <sz val="10"/>
    </font>
    <font>
      <name val="Calibri"/>
      <b val="1"/>
      <color rgb="FF305496"/>
      <sz val="10"/>
    </font>
    <font>
      <name val="Calibri"/>
      <b val="1"/>
      <color rgb="FFFFFFFF"/>
      <sz val="10"/>
    </font>
    <font>
      <name val="Calibri"/>
      <color rgb="FF000000"/>
      <sz val="10"/>
    </font>
    <font>
      <name val="Calibri"/>
      <b val="1"/>
      <color rgb="FF305496"/>
      <sz val="14"/>
    </font>
    <font>
      <name val="Calibri"/>
      <i val="1"/>
      <color rgb="FF595959"/>
      <sz val="9"/>
    </font>
    <font>
      <name val="Calibri"/>
      <b val="1"/>
      <color rgb="FF305496"/>
      <sz val="11"/>
    </font>
    <font>
      <name val="Arial"/>
      <b val="1"/>
      <color rgb="FF305496"/>
      <sz val="18"/>
    </font>
    <font>
      <name val="Arial"/>
      <i val="1"/>
      <color rgb="FF595959"/>
      <sz val="10"/>
    </font>
    <font>
      <name val="Arial"/>
      <b val="1"/>
      <color rgb="FF305496"/>
      <sz val="11"/>
    </font>
    <font>
      <name val="Arial"/>
      <b val="1"/>
      <color rgb="FFFFFFFF"/>
      <sz val="10"/>
    </font>
    <font>
      <name val="Arial"/>
      <color rgb="FF000000"/>
      <sz val="10"/>
    </font>
    <font>
      <name val="Arial"/>
      <b val="1"/>
      <color rgb="FF305496"/>
      <sz val="16"/>
    </font>
    <font>
      <name val="Arial"/>
      <b val="1"/>
      <color rgb="FFFFFFFF"/>
      <sz val="12"/>
    </font>
    <font>
      <name val="Arial"/>
      <b val="1"/>
      <color rgb="FF000000"/>
      <sz val="10"/>
    </font>
    <font>
      <name val="Consolas"/>
      <sz val="10"/>
    </font>
    <font>
      <name val="Arial"/>
      <i val="1"/>
      <color rgb="FF000000"/>
      <sz val="9"/>
    </font>
    <font>
      <name val="Arial"/>
      <i val="1"/>
      <color rgb="FF595959"/>
      <sz val="9"/>
    </font>
    <font>
      <name val="Arial"/>
      <b val="1"/>
      <color rgb="FF305496"/>
      <sz val="14"/>
    </font>
    <font>
      <name val="Arial"/>
      <b val="1"/>
      <color rgb="FF305496"/>
      <sz val="10"/>
    </font>
    <font>
      <name val="Arial"/>
      <b val="1"/>
      <color rgb="FF305496"/>
      <sz val="12"/>
    </font>
    <font>
      <name val="Arial"/>
      <family val="2"/>
      <color rgb="FF000000"/>
      <sz val="10"/>
    </font>
    <font>
      <name val="Arial"/>
      <family val="2"/>
      <b val="1"/>
      <color rgb="FFFFFFFF"/>
      <sz val="12"/>
    </font>
    <font>
      <name val="Arial"/>
      <b val="1"/>
      <color rgb="00C00000"/>
      <sz val="14"/>
    </font>
    <font>
      <name val="Arial"/>
      <i val="1"/>
      <color rgb="00595959"/>
      <sz val="9"/>
    </font>
    <font>
      <name val="Arial"/>
      <b val="1"/>
      <color rgb="00305496"/>
      <sz val="11"/>
    </font>
    <font>
      <name val="Arial"/>
      <b val="1"/>
      <color rgb="00000000"/>
      <sz val="10"/>
    </font>
    <font>
      <name val="Arial"/>
      <b val="1"/>
      <color rgb="00FFFFFF"/>
      <sz val="10"/>
    </font>
    <font>
      <name val="Arial"/>
      <b val="1"/>
      <color rgb="00FFFFFF"/>
      <sz val="12"/>
    </font>
    <font>
      <name val="Arial"/>
      <color rgb="00000000"/>
      <sz val="10"/>
    </font>
    <font>
      <name val="Arial"/>
      <b val="1"/>
      <color rgb="00305496"/>
      <sz val="12"/>
    </font>
    <font>
      <name val="Arial"/>
      <b val="1"/>
      <color rgb="00305496"/>
      <sz val="16"/>
    </font>
    <font>
      <name val="Arial"/>
      <i val="1"/>
      <color rgb="00595959"/>
      <sz val="10"/>
    </font>
    <font>
      <name val="Arial"/>
      <b val="1"/>
      <color rgb="00C00000"/>
      <sz val="10"/>
    </font>
    <font>
      <name val="Arial"/>
      <b val="1"/>
      <color rgb="00305496"/>
      <sz val="10"/>
    </font>
    <font>
      <name val="Arial"/>
      <b val="1"/>
      <color rgb="007030A0"/>
      <sz val="14"/>
    </font>
    <font>
      <name val="Arial"/>
      <b val="1"/>
      <color rgb="007030A0"/>
      <sz val="10"/>
    </font>
  </fonts>
  <fills count="29">
    <fill>
      <patternFill/>
    </fill>
    <fill>
      <patternFill patternType="gray125"/>
    </fill>
    <fill>
      <patternFill patternType="solid">
        <fgColor rgb="FF1F4E78"/>
        <bgColor rgb="FF003366"/>
      </patternFill>
    </fill>
    <fill>
      <patternFill patternType="solid">
        <fgColor rgb="FFFFF2CC"/>
        <bgColor rgb="FFFCE4D6"/>
      </patternFill>
    </fill>
    <fill>
      <patternFill patternType="solid">
        <fgColor rgb="FFE2EFDA"/>
        <bgColor rgb="FFFCE4D6"/>
      </patternFill>
    </fill>
    <fill>
      <patternFill patternType="solid">
        <fgColor rgb="FFFCE4D6"/>
        <bgColor rgb="FFFFF2CC"/>
      </patternFill>
    </fill>
    <fill>
      <patternFill patternType="solid">
        <fgColor rgb="FFFFFF00"/>
        <bgColor indexed="64"/>
      </patternFill>
    </fill>
    <fill>
      <patternFill patternType="solid">
        <fgColor rgb="FFFFFF00"/>
        <bgColor rgb="FFFCE4D6"/>
      </patternFill>
    </fill>
    <fill>
      <patternFill patternType="solid">
        <fgColor rgb="FFFFFF00"/>
        <bgColor rgb="FFFFF2CC"/>
      </patternFill>
    </fill>
    <fill>
      <patternFill patternType="solid">
        <fgColor theme="4"/>
        <bgColor indexed="64"/>
      </patternFill>
    </fill>
    <fill>
      <patternFill patternType="solid">
        <fgColor theme="6" tint="0.5999938962981048"/>
        <bgColor indexed="64"/>
      </patternFill>
    </fill>
    <fill>
      <patternFill patternType="solid">
        <fgColor rgb="FF4472C4"/>
        <bgColor rgb="FF4472C4"/>
      </patternFill>
    </fill>
    <fill>
      <patternFill patternType="solid">
        <fgColor rgb="FFFFF2CC"/>
        <bgColor rgb="FFFFF2CC"/>
      </patternFill>
    </fill>
    <fill>
      <patternFill patternType="solid">
        <fgColor rgb="FFE2EFDA"/>
        <bgColor rgb="FFE2EFDA"/>
      </patternFill>
    </fill>
    <fill>
      <patternFill patternType="solid">
        <fgColor rgb="FF4472C4"/>
        <bgColor rgb="FF4472C4"/>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2E75B6"/>
        <bgColor rgb="FF2E75B6"/>
      </patternFill>
    </fill>
    <fill>
      <patternFill patternType="solid">
        <fgColor rgb="FF375623"/>
        <bgColor rgb="FF375623"/>
      </patternFill>
    </fill>
    <fill>
      <patternFill patternType="solid">
        <fgColor rgb="FF7030A0"/>
        <bgColor rgb="FF7030A0"/>
      </patternFill>
    </fill>
    <fill>
      <patternFill patternType="solid">
        <fgColor theme="5" tint="0.5999938962981048"/>
        <bgColor rgb="FFE2EFDA"/>
      </patternFill>
    </fill>
    <fill>
      <patternFill patternType="solid">
        <fgColor theme="6"/>
        <bgColor rgb="FFE2EFDA"/>
      </patternFill>
    </fill>
    <fill>
      <patternFill patternType="solid">
        <fgColor theme="9" tint="0.7999816888943144"/>
        <bgColor rgb="FFE2EFDA"/>
      </patternFill>
    </fill>
    <fill>
      <patternFill patternType="solid">
        <fgColor rgb="00FFF2CC"/>
        <bgColor rgb="00FFF2CC"/>
      </patternFill>
    </fill>
    <fill>
      <patternFill patternType="solid">
        <fgColor rgb="004472C4"/>
        <bgColor rgb="004472C4"/>
      </patternFill>
    </fill>
    <fill>
      <patternFill patternType="solid">
        <fgColor rgb="00E2EFDA"/>
        <bgColor rgb="00E2EFDA"/>
      </patternFill>
    </fill>
    <fill>
      <patternFill patternType="solid">
        <fgColor rgb="00C00000"/>
        <bgColor rgb="00C00000"/>
      </patternFill>
    </fill>
    <fill>
      <patternFill patternType="solid">
        <fgColor rgb="00F2F2F2"/>
        <bgColor rgb="00F2F2F2"/>
      </patternFill>
    </fill>
  </fills>
  <borders count="2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305496"/>
      </top>
      <bottom style="medium">
        <color rgb="FF305496"/>
      </bottom>
      <diagonal/>
    </border>
    <border>
      <left/>
      <right style="thin">
        <color rgb="FFBFBFBF"/>
      </right>
      <top/>
      <bottom style="medium">
        <color rgb="FF305496"/>
      </bottom>
      <diagonal/>
    </border>
    <border>
      <left style="thin">
        <color rgb="FFBFBFBF"/>
      </left>
      <right style="thin">
        <color rgb="FFBFBFBF"/>
      </right>
      <top/>
      <bottom style="medium">
        <color rgb="FF305496"/>
      </bottom>
      <diagonal/>
    </border>
    <border>
      <left style="thin">
        <color rgb="FFBFBFBF"/>
      </left>
      <right/>
      <top/>
      <bottom style="medium">
        <color rgb="FF305496"/>
      </bottom>
      <diagonal/>
    </border>
    <border>
      <left style="thin">
        <color rgb="FFBFBFBF"/>
      </left>
      <right style="thin">
        <color rgb="FFBFBFBF"/>
      </right>
      <top style="medium">
        <color rgb="FF305496"/>
      </top>
      <bottom style="medium">
        <color rgb="FF305496"/>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305496"/>
      </top>
      <bottom style="medium">
        <color rgb="00305496"/>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243">
    <xf numFmtId="0" fontId="0" fillId="0" borderId="0" pivotButton="0" quotePrefix="0" xfId="0"/>
    <xf numFmtId="0" fontId="6" fillId="2" borderId="1" applyAlignment="1" pivotButton="0" quotePrefix="0" xfId="0">
      <alignment horizontal="center" vertical="center"/>
    </xf>
    <xf numFmtId="0" fontId="7" fillId="0" borderId="1" applyAlignment="1" pivotButton="0" quotePrefix="0" xfId="0">
      <alignment horizontal="left" vertical="center"/>
    </xf>
    <xf numFmtId="164" fontId="8" fillId="3" borderId="1" applyAlignment="1" pivotButton="0" quotePrefix="0" xfId="0">
      <alignment horizontal="center" vertical="center"/>
    </xf>
    <xf numFmtId="0" fontId="8" fillId="3" borderId="1" applyAlignment="1" pivotButton="0" quotePrefix="0" xfId="0">
      <alignment horizontal="center" vertical="center"/>
    </xf>
    <xf numFmtId="0" fontId="7" fillId="0" borderId="1" applyAlignment="1" pivotButton="0" quotePrefix="0" xfId="0">
      <alignment horizontal="center" vertical="center"/>
    </xf>
    <xf numFmtId="164" fontId="9" fillId="0" borderId="1" applyAlignment="1" pivotButton="0" quotePrefix="0" xfId="0">
      <alignment horizontal="center" vertical="center"/>
    </xf>
    <xf numFmtId="164" fontId="7" fillId="0" borderId="1" applyAlignment="1" pivotButton="0" quotePrefix="0" xfId="0">
      <alignment horizontal="center" vertical="center"/>
    </xf>
    <xf numFmtId="165" fontId="8" fillId="3" borderId="1" applyAlignment="1" pivotButton="0" quotePrefix="0" xfId="0">
      <alignment horizontal="center" vertical="center"/>
    </xf>
    <xf numFmtId="0" fontId="8" fillId="3" borderId="1" applyAlignment="1" pivotButton="0" quotePrefix="0" xfId="0">
      <alignment horizontal="left" vertical="center"/>
    </xf>
    <xf numFmtId="0" fontId="7" fillId="5" borderId="1" applyAlignment="1" pivotButton="0" quotePrefix="0" xfId="0">
      <alignment horizontal="center" vertical="center"/>
    </xf>
    <xf numFmtId="0" fontId="9" fillId="0" borderId="1" applyAlignment="1" pivotButton="0" quotePrefix="0" xfId="0">
      <alignment horizontal="center" vertical="center"/>
    </xf>
    <xf numFmtId="166" fontId="9" fillId="0" borderId="1" applyAlignment="1" pivotButton="0" quotePrefix="0" xfId="0">
      <alignment horizontal="center" vertical="center"/>
    </xf>
    <xf numFmtId="167" fontId="9" fillId="0" borderId="1" applyAlignment="1" pivotButton="0" quotePrefix="0" xfId="0">
      <alignment horizontal="center" vertical="center"/>
    </xf>
    <xf numFmtId="2" fontId="8" fillId="3" borderId="1" applyAlignment="1" pivotButton="0" quotePrefix="0" xfId="0">
      <alignment horizontal="center" vertical="center"/>
    </xf>
    <xf numFmtId="167" fontId="0" fillId="0" borderId="0" pivotButton="0" quotePrefix="0" xfId="0"/>
    <xf numFmtId="0" fontId="8" fillId="0" borderId="1" applyAlignment="1" pivotButton="0" quotePrefix="0" xfId="0">
      <alignment horizontal="center" vertical="center"/>
    </xf>
    <xf numFmtId="2" fontId="8" fillId="0" borderId="1" applyAlignment="1" pivotButton="0" quotePrefix="0" xfId="0">
      <alignment horizontal="center" vertical="center"/>
    </xf>
    <xf numFmtId="165" fontId="8" fillId="0" borderId="1" applyAlignment="1" pivotButton="0" quotePrefix="0" xfId="0">
      <alignment horizontal="center" vertical="center"/>
    </xf>
    <xf numFmtId="0" fontId="8" fillId="0" borderId="1" applyAlignment="1" pivotButton="0" quotePrefix="0" xfId="0">
      <alignment horizontal="left" vertical="center"/>
    </xf>
    <xf numFmtId="168" fontId="9" fillId="0" borderId="1" applyAlignment="1" pivotButton="0" quotePrefix="0" xfId="0">
      <alignment horizontal="center" vertical="center"/>
    </xf>
    <xf numFmtId="169" fontId="9" fillId="0" borderId="1" applyAlignment="1" pivotButton="0" quotePrefix="0" xfId="0">
      <alignment horizontal="center" vertical="center"/>
    </xf>
    <xf numFmtId="170" fontId="7" fillId="0" borderId="1" applyAlignment="1" pivotButton="0" quotePrefix="0" xfId="0">
      <alignment horizontal="center" vertical="center"/>
    </xf>
    <xf numFmtId="168" fontId="7" fillId="0" borderId="1" applyAlignment="1" pivotButton="0" quotePrefix="0" xfId="0">
      <alignment horizontal="center" vertical="center"/>
    </xf>
    <xf numFmtId="169" fontId="7" fillId="0" borderId="1" applyAlignment="1" pivotButton="0" quotePrefix="0" xfId="0">
      <alignment horizontal="center" vertical="center"/>
    </xf>
    <xf numFmtId="171" fontId="7" fillId="0" borderId="1" applyAlignment="1" pivotButton="0" quotePrefix="0" xfId="0">
      <alignment horizontal="center" vertical="center"/>
    </xf>
    <xf numFmtId="164" fontId="13" fillId="0" borderId="1" applyAlignment="1" pivotButton="0" quotePrefix="0" xfId="0">
      <alignment horizontal="center" vertical="center"/>
    </xf>
    <xf numFmtId="0" fontId="14" fillId="0" borderId="1" applyAlignment="1" pivotButton="0" quotePrefix="0" xfId="0">
      <alignment horizontal="center" vertical="center"/>
    </xf>
    <xf numFmtId="167" fontId="13" fillId="0" borderId="1" applyAlignment="1" pivotButton="0" quotePrefix="0" xfId="0">
      <alignment horizontal="center" vertical="center"/>
    </xf>
    <xf numFmtId="164" fontId="14" fillId="0" borderId="1" applyAlignment="1" pivotButton="0" quotePrefix="0" xfId="0">
      <alignment horizontal="center" vertical="center"/>
    </xf>
    <xf numFmtId="0" fontId="15" fillId="0" borderId="1" applyAlignment="1" pivotButton="0" quotePrefix="0" xfId="0">
      <alignment horizontal="center" vertical="center"/>
    </xf>
    <xf numFmtId="2" fontId="15" fillId="0" borderId="1" applyAlignment="1" pivotButton="0" quotePrefix="0" xfId="0">
      <alignment horizontal="center" vertical="center"/>
    </xf>
    <xf numFmtId="165" fontId="15" fillId="0" borderId="1" applyAlignment="1" pivotButton="0" quotePrefix="0" xfId="0">
      <alignment horizontal="center" vertical="center"/>
    </xf>
    <xf numFmtId="0" fontId="15" fillId="0" borderId="1" applyAlignment="1" pivotButton="0" quotePrefix="0" xfId="0">
      <alignment horizontal="left" vertical="center"/>
    </xf>
    <xf numFmtId="0" fontId="16" fillId="0" borderId="0" applyAlignment="1" pivotButton="0" quotePrefix="0" xfId="0">
      <alignment horizontal="center" vertical="center" wrapText="1"/>
    </xf>
    <xf numFmtId="0" fontId="0" fillId="0" borderId="0" applyAlignment="1" pivotButton="0" quotePrefix="0" xfId="0">
      <alignment vertical="center" wrapText="1"/>
    </xf>
    <xf numFmtId="164" fontId="0" fillId="0" borderId="0" pivotButton="0" quotePrefix="0" xfId="0"/>
    <xf numFmtId="0" fontId="17" fillId="0" borderId="0" pivotButton="0" quotePrefix="0" xfId="0"/>
    <xf numFmtId="164" fontId="17" fillId="0" borderId="0" pivotButton="0" quotePrefix="0" xfId="0"/>
    <xf numFmtId="0" fontId="16" fillId="0" borderId="0" applyAlignment="1" pivotButton="0" quotePrefix="0" xfId="0">
      <alignment vertical="center" wrapText="1"/>
    </xf>
    <xf numFmtId="0" fontId="0" fillId="0" borderId="0" applyAlignment="1" pivotButton="0" quotePrefix="0" xfId="0">
      <alignment horizontal="center" wrapText="1"/>
    </xf>
    <xf numFmtId="164" fontId="20" fillId="0" borderId="0" applyAlignment="1" pivotButton="0" quotePrefix="0" xfId="0">
      <alignment vertical="center" wrapText="1"/>
    </xf>
    <xf numFmtId="0" fontId="16" fillId="6" borderId="0" pivotButton="0" quotePrefix="0" xfId="0"/>
    <xf numFmtId="0" fontId="18" fillId="0" borderId="0" applyAlignment="1" pivotButton="0" quotePrefix="0" xfId="0">
      <alignment vertical="center" wrapText="1"/>
    </xf>
    <xf numFmtId="0" fontId="22" fillId="0" borderId="0" applyAlignment="1" pivotButton="0" quotePrefix="0" xfId="0">
      <alignment wrapText="1"/>
    </xf>
    <xf numFmtId="0" fontId="17" fillId="9" borderId="0" pivotButton="0" quotePrefix="0" xfId="0"/>
    <xf numFmtId="164" fontId="17" fillId="9" borderId="0" pivotButton="0" quotePrefix="0" xfId="0"/>
    <xf numFmtId="0" fontId="0" fillId="9" borderId="0" pivotButton="0" quotePrefix="0" xfId="0"/>
    <xf numFmtId="0" fontId="24" fillId="6" borderId="0" pivotButton="0" quotePrefix="0" xfId="0"/>
    <xf numFmtId="164" fontId="24" fillId="6" borderId="0" pivotButton="0" quotePrefix="0" xfId="0"/>
    <xf numFmtId="0" fontId="0" fillId="10" borderId="7" pivotButton="0" quotePrefix="0" xfId="0"/>
    <xf numFmtId="0" fontId="0" fillId="0" borderId="8" applyAlignment="1" pivotButton="0" quotePrefix="0" xfId="0">
      <alignment horizontal="center" vertical="center"/>
    </xf>
    <xf numFmtId="0" fontId="16" fillId="10" borderId="0" applyAlignment="1" pivotButton="0" quotePrefix="0" xfId="0">
      <alignment vertical="center" wrapText="1"/>
    </xf>
    <xf numFmtId="0" fontId="0" fillId="0" borderId="0" applyAlignment="1" pivotButton="0" quotePrefix="0" xfId="0">
      <alignment wrapText="1"/>
    </xf>
    <xf numFmtId="0" fontId="18" fillId="0" borderId="0" pivotButton="0" quotePrefix="0" xfId="0"/>
    <xf numFmtId="0" fontId="27" fillId="11" borderId="10" applyAlignment="1" pivotButton="0" quotePrefix="0" xfId="0">
      <alignment horizontal="center" vertical="center" wrapText="1"/>
    </xf>
    <xf numFmtId="0" fontId="26" fillId="0" borderId="0" pivotButton="0" quotePrefix="0" xfId="0"/>
    <xf numFmtId="0" fontId="0" fillId="12" borderId="10" applyAlignment="1" pivotButton="0" quotePrefix="0" xfId="0">
      <alignment horizontal="center"/>
    </xf>
    <xf numFmtId="0" fontId="0" fillId="13" borderId="0" pivotButton="0" quotePrefix="0" xfId="0"/>
    <xf numFmtId="0" fontId="28" fillId="0" borderId="0" pivotButton="0" quotePrefix="0" xfId="0"/>
    <xf numFmtId="0" fontId="29" fillId="11" borderId="11" applyAlignment="1" pivotButton="0" quotePrefix="0" xfId="0">
      <alignment horizontal="center" vertical="center" wrapText="1"/>
    </xf>
    <xf numFmtId="0" fontId="30" fillId="0" borderId="10" applyAlignment="1" pivotButton="0" quotePrefix="0" xfId="0">
      <alignment horizontal="center" vertical="center"/>
    </xf>
    <xf numFmtId="0" fontId="30" fillId="3" borderId="10" applyAlignment="1" pivotButton="0" quotePrefix="0" xfId="0">
      <alignment horizontal="center" vertical="center"/>
    </xf>
    <xf numFmtId="0" fontId="30" fillId="4" borderId="10" applyAlignment="1" pivotButton="0" quotePrefix="0" xfId="0">
      <alignment horizontal="center" vertical="center"/>
    </xf>
    <xf numFmtId="2" fontId="30" fillId="3" borderId="10" applyAlignment="1" pivotButton="0" quotePrefix="0" xfId="0">
      <alignment horizontal="center" vertical="center"/>
    </xf>
    <xf numFmtId="165" fontId="30" fillId="3" borderId="1" applyAlignment="1" pivotButton="0" quotePrefix="0" xfId="0">
      <alignment horizontal="center" vertical="center"/>
    </xf>
    <xf numFmtId="0" fontId="30" fillId="3" borderId="1" applyAlignment="1" pivotButton="0" quotePrefix="0" xfId="0">
      <alignment horizontal="left" vertical="center"/>
    </xf>
    <xf numFmtId="167" fontId="30" fillId="0" borderId="10" applyAlignment="1" pivotButton="0" quotePrefix="0" xfId="0">
      <alignment horizontal="center" vertical="center"/>
    </xf>
    <xf numFmtId="164" fontId="30" fillId="0" borderId="10" applyAlignment="1" pivotButton="0" quotePrefix="0" xfId="0">
      <alignment horizontal="center" vertical="center"/>
    </xf>
    <xf numFmtId="0" fontId="30" fillId="0" borderId="10" applyAlignment="1" pivotButton="0" quotePrefix="0" xfId="0">
      <alignment horizontal="center" vertical="center" wrapText="1"/>
    </xf>
    <xf numFmtId="0" fontId="30" fillId="0" borderId="0" pivotButton="0" quotePrefix="0" xfId="0"/>
    <xf numFmtId="0" fontId="30" fillId="6" borderId="10" applyAlignment="1" pivotButton="0" quotePrefix="0" xfId="0">
      <alignment horizontal="center" vertical="center" wrapText="1"/>
    </xf>
    <xf numFmtId="167" fontId="30" fillId="6" borderId="10" applyAlignment="1" pivotButton="0" quotePrefix="0" xfId="0">
      <alignment horizontal="center" vertical="center"/>
    </xf>
    <xf numFmtId="2" fontId="30" fillId="6" borderId="10" applyAlignment="1" pivotButton="0" quotePrefix="0" xfId="0">
      <alignment horizontal="center" vertical="center"/>
    </xf>
    <xf numFmtId="0" fontId="30" fillId="5" borderId="10" applyAlignment="1" pivotButton="0" quotePrefix="0" xfId="0">
      <alignment horizontal="center" vertical="center"/>
    </xf>
    <xf numFmtId="2" fontId="30" fillId="7" borderId="10" applyAlignment="1" pivotButton="0" quotePrefix="0" xfId="0">
      <alignment horizontal="center" vertical="center"/>
    </xf>
    <xf numFmtId="0" fontId="30" fillId="6" borderId="10" applyAlignment="1" pivotButton="0" quotePrefix="0" xfId="0">
      <alignment horizontal="center" vertical="center"/>
    </xf>
    <xf numFmtId="0" fontId="30" fillId="7" borderId="10" applyAlignment="1" pivotButton="0" quotePrefix="0" xfId="0">
      <alignment horizontal="center" vertical="center"/>
    </xf>
    <xf numFmtId="0" fontId="30" fillId="8" borderId="10" applyAlignment="1" pivotButton="0" quotePrefix="0" xfId="0">
      <alignment horizontal="center" vertical="center"/>
    </xf>
    <xf numFmtId="0" fontId="30" fillId="6" borderId="2" applyAlignment="1" pivotButton="0" quotePrefix="0" xfId="0">
      <alignment horizontal="center" vertical="center"/>
    </xf>
    <xf numFmtId="0" fontId="30" fillId="7" borderId="1" applyAlignment="1" pivotButton="0" quotePrefix="0" xfId="0">
      <alignment horizontal="center" vertical="center"/>
    </xf>
    <xf numFmtId="0" fontId="30" fillId="6" borderId="1" applyAlignment="1" pivotButton="0" quotePrefix="0" xfId="0">
      <alignment horizontal="center" vertical="center"/>
    </xf>
    <xf numFmtId="0" fontId="30" fillId="6" borderId="4" applyAlignment="1" pivotButton="0" quotePrefix="0" xfId="0">
      <alignment horizontal="center" vertical="center"/>
    </xf>
    <xf numFmtId="0" fontId="30" fillId="7" borderId="5" applyAlignment="1" pivotButton="0" quotePrefix="0" xfId="0">
      <alignment horizontal="center" vertical="center"/>
    </xf>
    <xf numFmtId="0" fontId="30" fillId="6" borderId="5" applyAlignment="1" pivotButton="0" quotePrefix="0" xfId="0">
      <alignment horizontal="center" vertical="center"/>
    </xf>
    <xf numFmtId="165" fontId="30" fillId="3" borderId="5" applyAlignment="1" pivotButton="0" quotePrefix="0" xfId="0">
      <alignment horizontal="center" vertical="center"/>
    </xf>
    <xf numFmtId="0" fontId="30" fillId="3" borderId="5" applyAlignment="1" pivotButton="0" quotePrefix="0" xfId="0">
      <alignment horizontal="left" vertical="center"/>
    </xf>
    <xf numFmtId="2" fontId="30" fillId="3" borderId="1" applyAlignment="1" pivotButton="0" quotePrefix="0" xfId="0">
      <alignment horizontal="center" vertical="center"/>
    </xf>
    <xf numFmtId="0" fontId="30" fillId="0" borderId="1" applyAlignment="1" pivotButton="0" quotePrefix="0" xfId="0">
      <alignment horizontal="center" vertical="center"/>
    </xf>
    <xf numFmtId="2" fontId="30" fillId="0" borderId="1" applyAlignment="1" pivotButton="0" quotePrefix="0" xfId="0">
      <alignment horizontal="center" vertical="center"/>
    </xf>
    <xf numFmtId="165" fontId="30" fillId="0" borderId="1" applyAlignment="1" pivotButton="0" quotePrefix="0" xfId="0">
      <alignment horizontal="center" vertical="center"/>
    </xf>
    <xf numFmtId="0" fontId="30" fillId="0" borderId="1" applyAlignment="1" pivotButton="0" quotePrefix="0" xfId="0">
      <alignment horizontal="left" vertical="center"/>
    </xf>
    <xf numFmtId="167" fontId="30" fillId="0" borderId="1" applyAlignment="1" pivotButton="0" quotePrefix="0" xfId="0">
      <alignment horizontal="center" vertical="center"/>
    </xf>
    <xf numFmtId="164" fontId="30" fillId="0" borderId="1" applyAlignment="1" pivotButton="0" quotePrefix="0" xfId="0">
      <alignment horizontal="center" vertical="center"/>
    </xf>
    <xf numFmtId="0" fontId="30" fillId="0" borderId="1" applyAlignment="1" pivotButton="0" quotePrefix="0" xfId="0">
      <alignment horizontal="center" vertical="center" wrapText="1"/>
    </xf>
    <xf numFmtId="0" fontId="29" fillId="11" borderId="10" applyAlignment="1" pivotButton="0" quotePrefix="0" xfId="0">
      <alignment horizontal="center" vertical="center" wrapText="1"/>
    </xf>
    <xf numFmtId="0" fontId="30" fillId="0" borderId="10" applyAlignment="1" pivotButton="0" quotePrefix="0" xfId="0">
      <alignment horizontal="left" vertical="center"/>
    </xf>
    <xf numFmtId="10" fontId="30" fillId="0" borderId="10" applyAlignment="1" pivotButton="0" quotePrefix="0" xfId="0">
      <alignment horizontal="center" vertical="center" wrapText="1"/>
    </xf>
    <xf numFmtId="0" fontId="30" fillId="0" borderId="10" pivotButton="0" quotePrefix="0" xfId="0"/>
    <xf numFmtId="2" fontId="30" fillId="0" borderId="10" pivotButton="0" quotePrefix="0" xfId="0"/>
    <xf numFmtId="167" fontId="30" fillId="0" borderId="10" pivotButton="0" quotePrefix="0" xfId="0"/>
    <xf numFmtId="164" fontId="30" fillId="0" borderId="10" pivotButton="0" quotePrefix="0" xfId="0"/>
    <xf numFmtId="0" fontId="30" fillId="0" borderId="2" pivotButton="0" quotePrefix="0" xfId="0"/>
    <xf numFmtId="0" fontId="30" fillId="0" borderId="3" applyAlignment="1" pivotButton="0" quotePrefix="0" xfId="0">
      <alignment horizontal="center" vertical="center" wrapText="1"/>
    </xf>
    <xf numFmtId="0" fontId="30" fillId="6" borderId="3" applyAlignment="1" pivotButton="0" quotePrefix="0" xfId="0">
      <alignment horizontal="center" vertical="center" wrapText="1"/>
    </xf>
    <xf numFmtId="0" fontId="29" fillId="11" borderId="12" applyAlignment="1" pivotButton="0" quotePrefix="0" xfId="0">
      <alignment horizontal="center" vertical="center" wrapText="1"/>
    </xf>
    <xf numFmtId="0" fontId="29" fillId="11" borderId="13" applyAlignment="1" pivotButton="0" quotePrefix="0" xfId="0">
      <alignment horizontal="center" vertical="center" wrapText="1"/>
    </xf>
    <xf numFmtId="0" fontId="29" fillId="11" borderId="14" applyAlignment="1" pivotButton="0" quotePrefix="0" xfId="0">
      <alignment horizontal="center" vertical="center" wrapText="1"/>
    </xf>
    <xf numFmtId="0" fontId="30" fillId="0" borderId="4" pivotButton="0" quotePrefix="0" xfId="0"/>
    <xf numFmtId="0" fontId="30" fillId="0" borderId="5" pivotButton="0" quotePrefix="0" xfId="0"/>
    <xf numFmtId="2" fontId="30" fillId="0" borderId="5" pivotButton="0" quotePrefix="0" xfId="0"/>
    <xf numFmtId="167" fontId="30" fillId="0" borderId="5" pivotButton="0" quotePrefix="0" xfId="0"/>
    <xf numFmtId="164" fontId="30" fillId="0" borderId="5" pivotButton="0" quotePrefix="0" xfId="0"/>
    <xf numFmtId="0" fontId="30" fillId="0" borderId="5" applyAlignment="1" pivotButton="0" quotePrefix="0" xfId="0">
      <alignment horizontal="center" vertical="center" wrapText="1"/>
    </xf>
    <xf numFmtId="0" fontId="30" fillId="0" borderId="6" applyAlignment="1" pivotButton="0" quotePrefix="0" xfId="0">
      <alignment horizontal="center" vertical="center" wrapText="1"/>
    </xf>
    <xf numFmtId="0" fontId="30" fillId="0" borderId="3" pivotButton="0" quotePrefix="0" xfId="0"/>
    <xf numFmtId="0" fontId="30" fillId="0" borderId="6" pivotButton="0" quotePrefix="0" xfId="0"/>
    <xf numFmtId="0" fontId="36" fillId="0" borderId="0" applyAlignment="1" pivotButton="0" quotePrefix="0" xfId="0">
      <alignment horizontal="left" vertical="center"/>
    </xf>
    <xf numFmtId="0" fontId="37" fillId="14" borderId="15" applyAlignment="1" pivotButton="0" quotePrefix="0" xfId="0">
      <alignment horizontal="center" vertical="center" wrapText="1"/>
    </xf>
    <xf numFmtId="0" fontId="38" fillId="0" borderId="16" applyAlignment="1" pivotButton="0" quotePrefix="0" xfId="0">
      <alignment horizontal="center" vertical="center"/>
    </xf>
    <xf numFmtId="0" fontId="38" fillId="0" borderId="16" applyAlignment="1" pivotButton="0" quotePrefix="0" xfId="0">
      <alignment horizontal="left" vertical="center"/>
    </xf>
    <xf numFmtId="0" fontId="38" fillId="0" borderId="16" applyAlignment="1" pivotButton="0" quotePrefix="0" xfId="0">
      <alignment horizontal="left" vertical="center" wrapText="1"/>
    </xf>
    <xf numFmtId="0" fontId="36" fillId="0" borderId="0" pivotButton="0" quotePrefix="0" xfId="0"/>
    <xf numFmtId="0" fontId="38" fillId="14" borderId="16" pivotButton="0" quotePrefix="0" xfId="0"/>
    <xf numFmtId="0" fontId="38" fillId="15" borderId="16" pivotButton="0" quotePrefix="0" xfId="0"/>
    <xf numFmtId="0" fontId="38" fillId="16" borderId="16" pivotButton="0" quotePrefix="0" xfId="0"/>
    <xf numFmtId="0" fontId="38" fillId="0" borderId="0" pivotButton="0" quotePrefix="0" xfId="0"/>
    <xf numFmtId="0" fontId="41" fillId="17" borderId="0" pivotButton="0" quotePrefix="0" xfId="0"/>
    <xf numFmtId="0" fontId="41" fillId="15" borderId="0" pivotButton="0" quotePrefix="0" xfId="0"/>
    <xf numFmtId="0" fontId="44" fillId="0" borderId="0" applyAlignment="1" pivotButton="0" quotePrefix="0" xfId="0">
      <alignment horizontal="right" vertical="center"/>
    </xf>
    <xf numFmtId="0" fontId="44" fillId="0" borderId="0" pivotButton="0" quotePrefix="0" xfId="0"/>
    <xf numFmtId="0" fontId="41" fillId="0" borderId="0" pivotButton="0" quotePrefix="0" xfId="0"/>
    <xf numFmtId="0" fontId="0" fillId="16" borderId="16" applyAlignment="1" pivotButton="0" quotePrefix="0" xfId="0">
      <alignment horizontal="center" vertical="center"/>
    </xf>
    <xf numFmtId="0" fontId="0" fillId="15" borderId="16" applyAlignment="1" pivotButton="0" quotePrefix="0" xfId="0">
      <alignment horizontal="center" vertical="center"/>
    </xf>
    <xf numFmtId="10" fontId="0" fillId="15" borderId="16" applyAlignment="1" pivotButton="0" quotePrefix="0" xfId="0">
      <alignment horizontal="center" vertical="center"/>
    </xf>
    <xf numFmtId="0" fontId="41" fillId="0" borderId="16" pivotButton="0" quotePrefix="0" xfId="0"/>
    <xf numFmtId="0" fontId="46" fillId="0" borderId="0" pivotButton="0" quotePrefix="0" xfId="0"/>
    <xf numFmtId="0" fontId="0" fillId="0" borderId="16" applyAlignment="1" pivotButton="0" quotePrefix="0" xfId="0">
      <alignment horizontal="center" vertical="center"/>
    </xf>
    <xf numFmtId="10" fontId="0" fillId="0" borderId="16" applyAlignment="1" pivotButton="0" quotePrefix="0" xfId="0">
      <alignment horizontal="center" vertical="center"/>
    </xf>
    <xf numFmtId="0" fontId="46" fillId="0" borderId="16" applyAlignment="1" pivotButton="0" quotePrefix="0" xfId="0">
      <alignment horizontal="left" vertical="top"/>
    </xf>
    <xf numFmtId="0" fontId="34" fillId="0" borderId="0" applyAlignment="1" pivotButton="0" quotePrefix="0" xfId="0">
      <alignment horizontal="left" vertical="center"/>
    </xf>
    <xf numFmtId="0" fontId="0" fillId="0" borderId="0" pivotButton="0" quotePrefix="0" xfId="0"/>
    <xf numFmtId="0" fontId="35" fillId="0" borderId="0" pivotButton="0" quotePrefix="0" xfId="0"/>
    <xf numFmtId="0" fontId="36"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3" fillId="0" borderId="0" applyAlignment="1" pivotButton="0" quotePrefix="0" xfId="0">
      <alignment horizontal="left" vertical="center"/>
    </xf>
    <xf numFmtId="0" fontId="2" fillId="0" borderId="0" pivotButton="0" quotePrefix="0" xfId="0"/>
    <xf numFmtId="0" fontId="1" fillId="0" borderId="0" pivotButton="0" quotePrefix="0" xfId="0"/>
    <xf numFmtId="0" fontId="0" fillId="9" borderId="0" applyAlignment="1" pivotButton="0" quotePrefix="0" xfId="0">
      <alignment horizontal="center" vertical="top" wrapText="1"/>
    </xf>
    <xf numFmtId="0" fontId="21" fillId="9" borderId="0" applyAlignment="1" pivotButton="0" quotePrefix="0" xfId="0">
      <alignment horizontal="center"/>
    </xf>
    <xf numFmtId="0" fontId="0" fillId="0" borderId="0" applyAlignment="1" pivotButton="0" quotePrefix="0" xfId="0">
      <alignment horizontal="center" wrapText="1"/>
    </xf>
    <xf numFmtId="0" fontId="19" fillId="0" borderId="0" applyAlignment="1" pivotButton="0" quotePrefix="0" xfId="0">
      <alignment horizontal="center"/>
    </xf>
    <xf numFmtId="0" fontId="23" fillId="9" borderId="0" applyAlignment="1" pivotButton="0" quotePrefix="0" xfId="0">
      <alignment horizontal="center" vertical="center"/>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38" fillId="0" borderId="0" applyAlignment="1" pivotButton="0" quotePrefix="0" xfId="0">
      <alignment horizontal="left" vertical="top" wrapText="1"/>
    </xf>
    <xf numFmtId="0" fontId="40" fillId="14" borderId="0" applyAlignment="1" pivotButton="0" quotePrefix="0" xfId="0">
      <alignment horizontal="left" vertical="center"/>
    </xf>
    <xf numFmtId="0" fontId="43" fillId="0" borderId="0" applyAlignment="1" pivotButton="0" quotePrefix="0" xfId="0">
      <alignment horizontal="left" vertical="center" wrapText="1"/>
    </xf>
    <xf numFmtId="0" fontId="40" fillId="19" borderId="0" applyAlignment="1" pivotButton="0" quotePrefix="0" xfId="0">
      <alignment horizontal="left" vertical="center"/>
    </xf>
    <xf numFmtId="0" fontId="39" fillId="0" borderId="0" applyAlignment="1" pivotButton="0" quotePrefix="0" xfId="0">
      <alignment horizontal="left" vertical="center"/>
    </xf>
    <xf numFmtId="0" fontId="40" fillId="18" borderId="0" applyAlignment="1" pivotButton="0" quotePrefix="0" xfId="0">
      <alignment horizontal="left" vertical="center"/>
    </xf>
    <xf numFmtId="0" fontId="25" fillId="0" borderId="0" pivotButton="0" quotePrefix="0" xfId="0"/>
    <xf numFmtId="0" fontId="32" fillId="0" borderId="0" pivotButton="0" quotePrefix="0" xfId="0"/>
    <xf numFmtId="0" fontId="31" fillId="0" borderId="0" pivotButton="0" quotePrefix="0" xfId="0"/>
    <xf numFmtId="0" fontId="26" fillId="0" borderId="0" pivotButton="0" quotePrefix="0" xfId="0"/>
    <xf numFmtId="0" fontId="44" fillId="0" borderId="0" pivotButton="0" quotePrefix="0" xfId="0"/>
    <xf numFmtId="0" fontId="45" fillId="0" borderId="0" applyAlignment="1" pivotButton="0" quotePrefix="0" xfId="0">
      <alignment horizontal="left" vertical="center"/>
    </xf>
    <xf numFmtId="0" fontId="11" fillId="0" borderId="0" applyAlignment="1" pivotButton="0" quotePrefix="0" xfId="0">
      <alignment horizontal="left" vertical="center"/>
    </xf>
    <xf numFmtId="0" fontId="32" fillId="0" borderId="0" applyAlignment="1" pivotButton="0" quotePrefix="0" xfId="0">
      <alignment horizontal="left" vertical="top" wrapText="1"/>
    </xf>
    <xf numFmtId="0" fontId="33" fillId="0" borderId="0" pivotButton="0" quotePrefix="0" xfId="0"/>
    <xf numFmtId="0" fontId="6" fillId="2" borderId="0" applyAlignment="1" pivotButton="0" quotePrefix="0" xfId="0">
      <alignment horizontal="center" vertical="center"/>
    </xf>
    <xf numFmtId="0" fontId="6" fillId="2" borderId="10" applyAlignment="1" pivotButton="0" quotePrefix="0" xfId="0">
      <alignment horizontal="center" vertical="center"/>
    </xf>
    <xf numFmtId="0" fontId="0" fillId="0" borderId="9" pivotButton="0" quotePrefix="0" xfId="0"/>
    <xf numFmtId="0" fontId="0" fillId="0" borderId="2" pivotButton="0" quotePrefix="0" xfId="0"/>
    <xf numFmtId="0" fontId="10" fillId="0" borderId="0" pivotButton="0" quotePrefix="0" xfId="0"/>
    <xf numFmtId="0" fontId="47" fillId="0" borderId="0" pivotButton="0" quotePrefix="0" xfId="0"/>
    <xf numFmtId="0" fontId="38" fillId="0" borderId="16" applyAlignment="1" pivotButton="0" quotePrefix="0" xfId="0">
      <alignment horizontal="left" vertical="top" wrapText="1"/>
    </xf>
    <xf numFmtId="0" fontId="0" fillId="0" borderId="17" pivotButton="0" quotePrefix="0" xfId="0"/>
    <xf numFmtId="0" fontId="0" fillId="0" borderId="18" pivotButton="0" quotePrefix="0" xfId="0"/>
    <xf numFmtId="0" fontId="0" fillId="0" borderId="0" pivotButton="0" quotePrefix="0" xfId="0"/>
    <xf numFmtId="0" fontId="12" fillId="0" borderId="0" pivotButton="0" quotePrefix="0" xfId="0"/>
    <xf numFmtId="0" fontId="14" fillId="0" borderId="16" applyAlignment="1" pivotButton="0" quotePrefix="0" xfId="0">
      <alignment horizontal="left" vertical="center"/>
    </xf>
    <xf numFmtId="0" fontId="41" fillId="0" borderId="16" applyAlignment="1" pivotButton="0" quotePrefix="0" xfId="0">
      <alignment horizontal="left" vertical="center"/>
    </xf>
    <xf numFmtId="0" fontId="0" fillId="0" borderId="16" applyAlignment="1" pivotButton="0" quotePrefix="0" xfId="0">
      <alignment horizontal="center" vertical="center"/>
    </xf>
    <xf numFmtId="10" fontId="0" fillId="21" borderId="16" applyAlignment="1" pivotButton="0" quotePrefix="0" xfId="0">
      <alignment horizontal="center" vertical="center"/>
    </xf>
    <xf numFmtId="10" fontId="0" fillId="22" borderId="16" applyAlignment="1" pivotButton="0" quotePrefix="0" xfId="0">
      <alignment horizontal="center" vertical="center"/>
    </xf>
    <xf numFmtId="10" fontId="0" fillId="23" borderId="16" applyAlignment="1" pivotButton="0" quotePrefix="0" xfId="0">
      <alignment horizontal="center" vertical="center"/>
    </xf>
    <xf numFmtId="0" fontId="48" fillId="0" borderId="16" applyAlignment="1" pivotButton="0" quotePrefix="0" xfId="0">
      <alignment horizontal="left" vertical="center"/>
    </xf>
    <xf numFmtId="10" fontId="0" fillId="0" borderId="16" applyAlignment="1" pivotButton="0" quotePrefix="0" xfId="0">
      <alignment horizontal="center" vertical="center"/>
    </xf>
    <xf numFmtId="0" fontId="49" fillId="20" borderId="0" applyAlignment="1" pivotButton="0" quotePrefix="0" xfId="0">
      <alignment horizontal="left" vertical="center"/>
    </xf>
    <xf numFmtId="0" fontId="48" fillId="0" borderId="0" applyAlignment="1" pivotButton="0" quotePrefix="0" xfId="0">
      <alignment horizontal="left" vertical="top" wrapText="1"/>
    </xf>
    <xf numFmtId="0" fontId="54" fillId="25" borderId="21" applyAlignment="1" pivotButton="0" quotePrefix="0" xfId="0">
      <alignment horizontal="center" vertical="center" wrapText="1"/>
    </xf>
    <xf numFmtId="0" fontId="56" fillId="0" borderId="20" applyAlignment="1" pivotButton="0" quotePrefix="0" xfId="0">
      <alignment horizontal="center" vertical="center"/>
    </xf>
    <xf numFmtId="0" fontId="56" fillId="0" borderId="20" applyAlignment="1" pivotButton="0" quotePrefix="0" xfId="0">
      <alignment horizontal="left" vertical="center"/>
    </xf>
    <xf numFmtId="0" fontId="56" fillId="0" borderId="20" applyAlignment="1" pivotButton="0" quotePrefix="0" xfId="0">
      <alignment horizontal="left" vertical="center" wrapText="1"/>
    </xf>
    <xf numFmtId="0" fontId="38" fillId="0" borderId="26" pivotButton="0" quotePrefix="0" xfId="0"/>
    <xf numFmtId="0" fontId="35" fillId="0" borderId="26" pivotButton="0" quotePrefix="0" xfId="0"/>
    <xf numFmtId="0" fontId="0" fillId="0" borderId="26" pivotButton="0" quotePrefix="0" xfId="0"/>
    <xf numFmtId="0" fontId="55" fillId="27" borderId="0" applyAlignment="1" pivotButton="0" quotePrefix="0" xfId="0">
      <alignment horizontal="left" vertical="center"/>
    </xf>
    <xf numFmtId="0" fontId="53" fillId="28" borderId="0" pivotButton="0" quotePrefix="0" xfId="0"/>
    <xf numFmtId="0" fontId="56" fillId="0" borderId="0" applyAlignment="1" pivotButton="0" quotePrefix="0" xfId="0">
      <alignment horizontal="left" vertical="top" wrapText="1"/>
    </xf>
    <xf numFmtId="0" fontId="42" fillId="0" borderId="0" applyAlignment="1" pivotButton="0" quotePrefix="0" xfId="0">
      <alignment horizontal="left" vertical="top" wrapText="1"/>
    </xf>
    <xf numFmtId="0" fontId="53" fillId="26" borderId="0" pivotButton="0" quotePrefix="0" xfId="0"/>
    <xf numFmtId="0" fontId="53" fillId="0" borderId="0" applyAlignment="1" pivotButton="0" quotePrefix="0" xfId="0">
      <alignment horizontal="left" vertical="center" wrapText="1"/>
    </xf>
    <xf numFmtId="0" fontId="51" fillId="0" borderId="0" applyAlignment="1" pivotButton="0" quotePrefix="0" xfId="0">
      <alignment horizontal="right" vertical="center"/>
    </xf>
    <xf numFmtId="0" fontId="57" fillId="0" borderId="0" pivotButton="0" quotePrefix="0" xfId="0"/>
    <xf numFmtId="0" fontId="50" fillId="0" borderId="0" pivotButton="0" quotePrefix="0" xfId="0"/>
    <xf numFmtId="0" fontId="51" fillId="0" borderId="0" pivotButton="0" quotePrefix="0" xfId="0"/>
    <xf numFmtId="0" fontId="52" fillId="0" borderId="0" pivotButton="0" quotePrefix="0" xfId="0"/>
    <xf numFmtId="0" fontId="53" fillId="0" borderId="0" pivotButton="0" quotePrefix="0" xfId="0"/>
    <xf numFmtId="0" fontId="0" fillId="24" borderId="20" applyAlignment="1" pivotButton="0" quotePrefix="0" xfId="0">
      <alignment horizontal="center" vertical="center"/>
    </xf>
    <xf numFmtId="0" fontId="0" fillId="26" borderId="20" applyAlignment="1" pivotButton="0" quotePrefix="0" xfId="0">
      <alignment horizontal="center" vertical="center"/>
    </xf>
    <xf numFmtId="10" fontId="0" fillId="26" borderId="20" applyAlignment="1" pivotButton="0" quotePrefix="0" xfId="0">
      <alignment horizontal="center" vertical="center"/>
    </xf>
    <xf numFmtId="0" fontId="53" fillId="0" borderId="20" pivotButton="0" quotePrefix="0" xfId="0"/>
    <xf numFmtId="0" fontId="6" fillId="2" borderId="16" applyAlignment="1" pivotButton="0" quotePrefix="0" xfId="0">
      <alignment horizontal="center" vertical="center"/>
    </xf>
    <xf numFmtId="0" fontId="58" fillId="0" borderId="0" pivotButton="0" quotePrefix="0" xfId="0"/>
    <xf numFmtId="0" fontId="59" fillId="0" borderId="0" pivotButton="0" quotePrefix="0" xfId="0"/>
    <xf numFmtId="0" fontId="0" fillId="0" borderId="20" applyAlignment="1" pivotButton="0" quotePrefix="0" xfId="0">
      <alignment horizontal="center" vertical="center"/>
    </xf>
    <xf numFmtId="0" fontId="60" fillId="24" borderId="20" applyAlignment="1" pivotButton="0" quotePrefix="0" xfId="0">
      <alignment horizontal="left" vertical="center"/>
    </xf>
    <xf numFmtId="10" fontId="0" fillId="24" borderId="20" applyAlignment="1" pivotButton="0" quotePrefix="0" xfId="0">
      <alignment horizontal="center" vertical="center"/>
    </xf>
    <xf numFmtId="10" fontId="0" fillId="0" borderId="20" applyAlignment="1" pivotButton="0" quotePrefix="0" xfId="0">
      <alignment horizontal="center" vertical="center"/>
    </xf>
    <xf numFmtId="0" fontId="61" fillId="0" borderId="20" applyAlignment="1" pivotButton="0" quotePrefix="0" xfId="0">
      <alignment horizontal="left" vertical="top"/>
    </xf>
    <xf numFmtId="0" fontId="56" fillId="0" borderId="20" applyAlignment="1" pivotButton="0" quotePrefix="0" xfId="0">
      <alignment horizontal="left" vertical="top" wrapText="1"/>
    </xf>
    <xf numFmtId="0" fontId="0" fillId="0" borderId="24" pivotButton="0" quotePrefix="0" xfId="0"/>
    <xf numFmtId="0" fontId="0" fillId="0" borderId="25" pivotButton="0" quotePrefix="0" xfId="0"/>
    <xf numFmtId="0" fontId="62" fillId="0" borderId="0" pivotButton="0" quotePrefix="0" xfId="0"/>
    <xf numFmtId="0" fontId="0" fillId="24" borderId="20" applyAlignment="1" pivotButton="0" quotePrefix="0" xfId="0">
      <alignment horizontal="center" vertical="center"/>
    </xf>
    <xf numFmtId="0" fontId="0" fillId="26" borderId="20" applyAlignment="1" pivotButton="0" quotePrefix="0" xfId="0">
      <alignment horizontal="center" vertical="center"/>
    </xf>
    <xf numFmtId="10" fontId="0" fillId="26" borderId="20" applyAlignment="1" pivotButton="0" quotePrefix="0" xfId="0">
      <alignment horizontal="center" vertical="center"/>
    </xf>
    <xf numFmtId="0" fontId="56" fillId="0" borderId="20" pivotButton="0" quotePrefix="0" xfId="0"/>
    <xf numFmtId="0" fontId="0" fillId="0" borderId="20" applyAlignment="1" pivotButton="0" quotePrefix="0" xfId="0">
      <alignment horizontal="center" vertical="center"/>
    </xf>
    <xf numFmtId="0" fontId="63" fillId="0" borderId="20" pivotButton="0" quotePrefix="0" xfId="0"/>
    <xf numFmtId="10" fontId="0" fillId="24" borderId="20" applyAlignment="1" pivotButton="0" quotePrefix="0" xfId="0">
      <alignment horizontal="center" vertical="center"/>
    </xf>
    <xf numFmtId="0" fontId="53" fillId="24" borderId="20" applyAlignment="1" pivotButton="0" quotePrefix="0" xfId="0">
      <alignment horizontal="center" vertical="center"/>
    </xf>
    <xf numFmtId="0" fontId="63" fillId="24" borderId="20" applyAlignment="1" pivotButton="0" quotePrefix="0" xfId="0">
      <alignment horizontal="left" vertical="center"/>
    </xf>
    <xf numFmtId="0" fontId="51" fillId="24" borderId="20" applyAlignment="1" pivotButton="0" quotePrefix="0" xfId="0">
      <alignment horizontal="left" vertical="center"/>
    </xf>
    <xf numFmtId="0" fontId="56" fillId="24" borderId="20" applyAlignment="1" pivotButton="0" quotePrefix="0" xfId="0">
      <alignment horizontal="center" vertical="center"/>
    </xf>
    <xf numFmtId="0" fontId="53" fillId="0" borderId="20" applyAlignment="1" pivotButton="0" quotePrefix="0" xfId="0">
      <alignment horizontal="center" vertical="center"/>
    </xf>
    <xf numFmtId="0" fontId="56" fillId="0" borderId="20" applyAlignment="1" pivotButton="0" quotePrefix="0" xfId="0">
      <alignment horizontal="left" vertical="center"/>
    </xf>
    <xf numFmtId="0" fontId="56" fillId="0" borderId="20" applyAlignment="1" pivotButton="0" quotePrefix="0" xfId="0">
      <alignment horizontal="center" vertical="center"/>
    </xf>
    <xf numFmtId="0" fontId="51" fillId="0" borderId="20" applyAlignment="1" pivotButton="0" quotePrefix="0" xfId="0">
      <alignment horizontal="left" vertical="center"/>
    </xf>
    <xf numFmtId="0" fontId="61" fillId="0" borderId="20" applyAlignment="1" pivotButton="0" quotePrefix="0" xfId="0">
      <alignment horizontal="left" vertical="top"/>
    </xf>
  </cellXfs>
  <cellStyles count="1">
    <cellStyle name="Normal" xfId="0" builtinId="0"/>
  </cellStyles>
  <dxfs count="234">
    <dxf>
      <font>
        <name val="Calibri"/>
        <strike val="0"/>
        <outline val="0"/>
        <shadow val="0"/>
        <condense val="0"/>
        <color rgb="FF000000"/>
        <extend val="0"/>
        <sz val="10"/>
        <vertAlign val="baseline"/>
      </font>
      <border>
        <left style="thin">
          <color rgb="FFBFBFBF"/>
        </left>
        <right/>
        <top style="thin">
          <color rgb="FFBFBFBF"/>
        </top>
        <bottom style="thin">
          <color rgb="FFBFBFBF"/>
        </bottom>
        <vertical/>
        <horizontal/>
      </border>
    </dxf>
    <dxf>
      <font>
        <name val="Calibri"/>
        <strike val="0"/>
        <outline val="0"/>
        <shadow val="0"/>
        <condense val="0"/>
        <color rgb="FF000000"/>
        <extend val="0"/>
        <sz val="10"/>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4" formatCode="0.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2" formatCode="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medium">
          <color rgb="FF305496"/>
        </top>
        <bottom style="thin">
          <color rgb="FFBFBFBF"/>
        </bottom>
      </border>
    </dxf>
    <dxf>
      <border outline="0">
        <bottom style="medium">
          <color rgb="FF305496"/>
        </bottom>
      </border>
    </dxf>
    <dxf>
      <font>
        <name val="Calibri"/>
        <b val="1"/>
        <strike val="0"/>
        <outline val="0"/>
        <shadow val="0"/>
        <condense val="0"/>
        <color rgb="FFFFFFFF"/>
        <extend val="0"/>
        <sz val="10"/>
        <vertAlign val="baseline"/>
      </font>
      <fill>
        <patternFill patternType="solid">
          <fgColor rgb="FF4472C4"/>
          <bgColor rgb="FF4472C4"/>
        </patternFill>
      </fill>
      <alignment horizontal="center" vertical="center" wrapText="1"/>
      <border outline="0">
        <left style="thin">
          <color rgb="FFBFBFBF"/>
        </left>
        <right style="thin">
          <color rgb="FFBFBFBF"/>
        </right>
        <top/>
        <bottom/>
      </border>
    </dxf>
    <dxf>
      <font>
        <name val="Calibri"/>
        <strike val="0"/>
        <outline val="0"/>
        <shadow val="0"/>
        <condense val="0"/>
        <color rgb="FF000000"/>
        <extend val="0"/>
        <sz val="10"/>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4" formatCode="0.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4" formatCode="0.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4" formatCode="0.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167" formatCode="0.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numFmt numFmtId="2" formatCode="0.00"/>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style="thin">
          <color rgb="FFBFBFBF"/>
        </left>
        <right style="thin">
          <color rgb="FFBFBFBF"/>
        </right>
        <top style="thin">
          <color rgb="FFBFBFBF"/>
        </top>
        <bottom style="thin">
          <color rgb="FFBFBFBF"/>
        </bottom>
        <vertical/>
        <horizontal/>
      </border>
    </dxf>
    <dxf>
      <font>
        <name val="Calibri"/>
        <strike val="0"/>
        <outline val="0"/>
        <shadow val="0"/>
        <condense val="0"/>
        <color rgb="FF000000"/>
        <extend val="0"/>
        <sz val="10"/>
        <vertAlign val="baseline"/>
      </font>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medium">
          <color rgb="FF305496"/>
        </top>
        <bottom style="thin">
          <color rgb="FFBFBFBF"/>
        </bottom>
      </border>
    </dxf>
    <dxf>
      <font>
        <name val="Calibri"/>
        <strike val="0"/>
        <outline val="0"/>
        <shadow val="0"/>
        <condense val="0"/>
        <color rgb="FF000000"/>
        <extend val="0"/>
        <sz val="10"/>
        <vertAlign val="baseline"/>
      </font>
    </dxf>
    <dxf>
      <border outline="0">
        <bottom style="medium">
          <color rgb="FF305496"/>
        </bottom>
      </border>
    </dxf>
    <dxf>
      <font>
        <name val="Calibri"/>
        <b val="1"/>
        <strike val="0"/>
        <outline val="0"/>
        <shadow val="0"/>
        <condense val="0"/>
        <color rgb="FFFFFFFF"/>
        <extend val="0"/>
        <sz val="10"/>
        <vertAlign val="baseline"/>
      </font>
      <fill>
        <patternFill patternType="solid">
          <fgColor rgb="FF4472C4"/>
          <bgColor rgb="FF4472C4"/>
        </patternFill>
      </fill>
      <alignment horizontal="center" vertical="center" wrapText="1"/>
      <border outline="0">
        <left style="thin">
          <color rgb="FFBFBFBF"/>
        </left>
        <right style="thin">
          <color rgb="FFBFBFBF"/>
        </right>
        <top/>
        <bottom/>
      </border>
    </dxf>
    <dxf>
      <font>
        <name val="Arial"/>
        <charset val="1"/>
        <strike val="0"/>
        <outline val="0"/>
        <shadow val="0"/>
        <condense val="0"/>
        <color rgb="FF000000"/>
        <extend val="0"/>
        <sz val="10"/>
        <vertAlign val="baseline"/>
      </font>
      <alignment horizontal="center" vertical="center"/>
      <border>
        <left style="thin">
          <color rgb="FFBFBFBF"/>
        </left>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2CC"/>
        </patternFill>
      </fill>
      <alignment horizontal="left"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165" formatCode="yyyy\-mm\-dd\ hh:mm"/>
      <fill>
        <patternFill patternType="solid">
          <fgColor rgb="FFFCE4D6"/>
          <bgColor rgb="FFFFF2CC"/>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2" formatCode="0.00"/>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rgb="FFFFF2CC"/>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alignment horizontal="center" vertical="center"/>
    </dxf>
    <dxf>
      <border outline="0">
        <bottom style="thin">
          <color rgb="FFBFBFBF"/>
        </bottom>
      </border>
    </dxf>
    <dxf>
      <font>
        <name val="Arial"/>
        <charset val="1"/>
        <b val="1"/>
        <strike val="0"/>
        <outline val="0"/>
        <shadow val="0"/>
        <condense val="0"/>
        <color rgb="FFFFFFFF"/>
        <extend val="0"/>
        <sz val="11"/>
        <vertAlign val="baseline"/>
      </font>
      <fill>
        <patternFill patternType="solid">
          <fgColor rgb="FF003366"/>
          <bgColor rgb="FF1F4E78"/>
        </patternFill>
      </fill>
      <alignment horizontal="center" vertical="center"/>
      <border outline="0">
        <left style="thin">
          <color rgb="FFBFBFBF"/>
        </left>
        <right style="thin">
          <color rgb="FFBFBFBF"/>
        </right>
        <top/>
        <bottom/>
      </border>
    </dxf>
    <dxf>
      <font>
        <name val="Arial"/>
        <charset val="1"/>
        <strike val="0"/>
        <outline val="0"/>
        <shadow val="0"/>
        <condense val="0"/>
        <color rgb="FF000000"/>
        <extend val="0"/>
        <sz val="10"/>
        <vertAlign val="baseline"/>
      </font>
      <alignment horizontal="center" vertical="center"/>
      <border>
        <left style="thin">
          <color rgb="FFBFBFBF"/>
        </left>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2CC"/>
        </patternFill>
      </fill>
      <alignment horizontal="left"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165" formatCode="yyyy\-mm\-dd\ hh:mm"/>
      <fill>
        <patternFill patternType="solid">
          <fgColor rgb="FFFCE4D6"/>
          <bgColor rgb="FFFFF2CC"/>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2" formatCode="0.00"/>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rgb="FFFFF2CC"/>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alignment horizontal="center" vertical="center"/>
    </dxf>
    <dxf>
      <border outline="0">
        <bottom style="thin">
          <color rgb="FFBFBFBF"/>
        </bottom>
      </border>
    </dxf>
    <dxf>
      <font>
        <name val="Arial"/>
        <charset val="1"/>
        <b val="1"/>
        <strike val="0"/>
        <outline val="0"/>
        <shadow val="0"/>
        <condense val="0"/>
        <color rgb="FFFFFFFF"/>
        <extend val="0"/>
        <sz val="11"/>
        <vertAlign val="baseline"/>
      </font>
      <fill>
        <patternFill patternType="solid">
          <fgColor rgb="FF003366"/>
          <bgColor rgb="FF1F4E78"/>
        </patternFill>
      </fill>
      <alignment horizontal="center" vertical="center"/>
      <border outline="0">
        <left style="thin">
          <color rgb="FFBFBFBF"/>
        </left>
        <right style="thin">
          <color rgb="FFBFBFBF"/>
        </right>
        <top/>
        <bottom/>
      </border>
    </dxf>
    <dxf>
      <font>
        <name val="Arial"/>
        <charset val="1"/>
        <strike val="0"/>
        <outline val="0"/>
        <shadow val="0"/>
        <condense val="0"/>
        <color rgb="FF000000"/>
        <extend val="0"/>
        <sz val="10"/>
        <vertAlign val="baseline"/>
      </font>
      <alignment horizontal="center" vertical="center"/>
      <border>
        <left style="thin">
          <color rgb="FFBFBFBF"/>
        </left>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2CC"/>
        </patternFill>
      </fill>
      <alignment horizontal="left"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165" formatCode="yyyy\-mm\-dd\ hh:mm"/>
      <fill>
        <patternFill patternType="solid">
          <fgColor rgb="FFFCE4D6"/>
          <bgColor rgb="FFFFF2CC"/>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2" formatCode="0.00"/>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rgb="FFFFF2CC"/>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alignment horizontal="center" vertical="center"/>
    </dxf>
    <dxf>
      <border outline="0">
        <bottom style="thin">
          <color rgb="FFBFBFBF"/>
        </bottom>
      </border>
    </dxf>
    <dxf>
      <font>
        <name val="Arial"/>
        <charset val="1"/>
        <b val="1"/>
        <strike val="0"/>
        <outline val="0"/>
        <shadow val="0"/>
        <condense val="0"/>
        <color rgb="FFFFFFFF"/>
        <extend val="0"/>
        <sz val="11"/>
        <vertAlign val="baseline"/>
      </font>
      <fill>
        <patternFill patternType="solid">
          <fgColor rgb="FF003366"/>
          <bgColor rgb="FF1F4E78"/>
        </patternFill>
      </fill>
      <alignment horizontal="center" vertical="center"/>
      <border outline="0">
        <left style="thin">
          <color rgb="FFBFBFBF"/>
        </left>
        <right style="thin">
          <color rgb="FFBFBFBF"/>
        </right>
        <top/>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top style="thin">
          <color rgb="FFBFBFBF"/>
        </top>
        <bottom style="thin">
          <color rgb="FFBFBFBF"/>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numFmt numFmtId="164" formatCode="0.0000"/>
      <fill>
        <patternFill>
          <fgColor indexed="64"/>
          <bgColor auto="1"/>
        </patternFill>
      </fill>
      <alignment horizontal="center" vertical="center"/>
      <border>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numFmt numFmtId="164" formatCode="0.0000"/>
      <fill>
        <patternFill>
          <fgColor indexed="64"/>
          <bgColor auto="1"/>
        </patternFill>
      </fill>
      <alignment horizontal="center" vertical="center"/>
      <border>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7" formatCode="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7" formatCode="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FF"/>
        <extend val="0"/>
        <sz val="10"/>
        <vertAlign val="baseline"/>
      </font>
      <fill>
        <patternFill patternType="solid">
          <fgColor rgb="FFFCE4D6"/>
          <bgColor rgb="FFFFF2CC"/>
        </patternFill>
      </fill>
      <alignment horizontal="left"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FF"/>
        <extend val="0"/>
        <sz val="10"/>
        <vertAlign val="baseline"/>
      </font>
      <numFmt numFmtId="165" formatCode="yyyy\-mm\-dd\ hh:mm"/>
      <fill>
        <patternFill patternType="solid">
          <fgColor rgb="FFFCE4D6"/>
          <bgColor rgb="FFFFF2CC"/>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2" formatCode="0.00"/>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rgb="FFFFF2CC"/>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alignment horizontal="center" vertical="center"/>
    </dxf>
    <dxf>
      <border outline="0">
        <bottom style="thin">
          <color rgb="FFBFBFBF"/>
        </bottom>
      </border>
    </dxf>
    <dxf>
      <font>
        <name val="Arial"/>
        <charset val="1"/>
        <b val="1"/>
        <strike val="0"/>
        <outline val="0"/>
        <shadow val="0"/>
        <condense val="0"/>
        <color rgb="FFFFFFFF"/>
        <extend val="0"/>
        <sz val="11"/>
        <vertAlign val="baseline"/>
      </font>
      <fill>
        <patternFill patternType="solid">
          <fgColor rgb="FF003366"/>
          <bgColor rgb="FF1F4E78"/>
        </patternFill>
      </fill>
      <alignment horizontal="center" vertical="center"/>
      <border outline="0">
        <left style="thin">
          <color rgb="FFBFBFBF"/>
        </left>
        <right style="thin">
          <color rgb="FFBFBFBF"/>
        </right>
        <top/>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top style="thin">
          <color rgb="FFBFBFBF"/>
        </top>
        <bottom style="thin">
          <color rgb="FFBFBFBF"/>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numFmt numFmtId="164" formatCode="0.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numFmt numFmtId="164" formatCode="0.0000"/>
      <fill>
        <patternFill>
          <fgColor indexed="64"/>
          <bgColor auto="1"/>
        </patternFill>
      </fill>
      <alignment horizontal="center" vertical="center"/>
      <border>
        <left style="thin">
          <color rgb="FFBFBFBF"/>
        </left>
        <right style="thin">
          <color rgb="FFBFBFBF"/>
        </right>
        <top style="thin">
          <color rgb="FFBFBFBF"/>
        </top>
        <bottom style="thin">
          <color rgb="FFBFBFBF"/>
        </bottom>
      </border>
    </dxf>
    <dxf>
      <font>
        <name val="Arial"/>
        <charset val="1"/>
        <strike val="0"/>
        <outline val="0"/>
        <shadow val="0"/>
        <condense val="0"/>
        <color rgb="FF000000"/>
        <extend val="0"/>
        <sz val="10"/>
        <vertAlign val="baseline"/>
      </font>
      <numFmt numFmtId="164" formatCode="0.0000"/>
      <fill>
        <patternFill>
          <fgColor indexed="64"/>
          <bgColor auto="1"/>
        </patternFill>
      </fill>
      <alignment horizontal="center" vertical="center"/>
      <border>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7" formatCode="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numFmt numFmtId="167" formatCode="0.000"/>
      <fill>
        <patternFill>
          <fgColor indexed="64"/>
          <bgColor auto="1"/>
        </patternFill>
      </fill>
      <alignment horizontal="center"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FF"/>
        <extend val="0"/>
        <sz val="10"/>
        <vertAlign val="baseline"/>
      </font>
      <fill>
        <patternFill patternType="solid">
          <fgColor rgb="FFFCE4D6"/>
          <bgColor rgb="FFFFF2CC"/>
        </patternFill>
      </fill>
      <alignment horizontal="left" vertical="center"/>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00FF"/>
        <extend val="0"/>
        <sz val="10"/>
        <vertAlign val="baseline"/>
      </font>
      <numFmt numFmtId="165" formatCode="yyyy\-mm\-dd\ hh:mm"/>
      <fill>
        <patternFill patternType="solid">
          <fgColor rgb="FFFCE4D6"/>
          <bgColor rgb="FFFFF2CC"/>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2" formatCode="0.00"/>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rgb="FFFFF2CC"/>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alignment horizontal="center" vertical="center"/>
    </dxf>
    <dxf>
      <border outline="0">
        <bottom style="thin">
          <color rgb="FFBFBFBF"/>
        </bottom>
      </border>
    </dxf>
    <dxf>
      <font>
        <name val="Arial"/>
        <charset val="1"/>
        <b val="1"/>
        <strike val="0"/>
        <outline val="0"/>
        <shadow val="0"/>
        <condense val="0"/>
        <color rgb="FFFFFFFF"/>
        <extend val="0"/>
        <sz val="11"/>
        <vertAlign val="baseline"/>
      </font>
      <fill>
        <patternFill patternType="solid">
          <fgColor rgb="FF003366"/>
          <bgColor rgb="FF1F4E78"/>
        </patternFill>
      </fill>
      <alignment horizontal="center" vertical="center"/>
      <border outline="0">
        <left style="thin">
          <color rgb="FFBFBFBF"/>
        </left>
        <right style="thin">
          <color rgb="FFBFBFBF"/>
        </right>
        <top/>
        <bottom/>
      </border>
    </dxf>
    <dxf>
      <font>
        <name val="Arial"/>
        <charset val="1"/>
        <strike val="0"/>
        <outline val="0"/>
        <shadow val="0"/>
        <condense val="0"/>
        <color rgb="FF000000"/>
        <extend val="0"/>
        <sz val="10"/>
        <vertAlign val="baseline"/>
      </font>
      <alignment horizontal="center" vertical="center"/>
      <border>
        <left style="thin">
          <color rgb="FFBFBFBF"/>
        </left>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numFmt numFmtId="164" formatCode="0.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8000"/>
        <extend val="0"/>
        <sz val="10"/>
        <vertAlign val="baseline"/>
      </font>
      <numFmt numFmtId="167" formatCode="0.000"/>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2CC"/>
        </patternFill>
      </fill>
      <alignment horizontal="left"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165" formatCode="yyyy\-mm\-dd\ hh:mm"/>
      <fill>
        <patternFill patternType="solid">
          <fgColor rgb="FFFCE4D6"/>
          <bgColor rgb="FFFFF2CC"/>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numFmt numFmtId="2" formatCode="0.00"/>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rgb="FFFFF2CC"/>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FF"/>
        <extend val="0"/>
        <sz val="10"/>
        <vertAlign val="baseline"/>
      </font>
      <fill>
        <patternFill patternType="solid">
          <fgColor rgb="FFFCE4D6"/>
          <bgColor rgb="FFFFFF00"/>
        </patternFill>
      </fill>
      <alignment horizontal="center" vertical="center"/>
      <border>
        <left style="thin">
          <color rgb="FFBFBFBF"/>
        </left>
        <right style="thin">
          <color rgb="FFBFBFBF"/>
        </right>
        <top style="thin">
          <color rgb="FFBFBFBF"/>
        </top>
        <bottom style="thin">
          <color rgb="FFBFBFBF"/>
        </bottom>
        <vertical/>
        <horizontal/>
      </border>
    </dxf>
    <dxf>
      <font>
        <name val="Arial"/>
        <charset val="1"/>
        <strike val="0"/>
        <outline val="0"/>
        <shadow val="0"/>
        <condense val="0"/>
        <color rgb="FF000000"/>
        <extend val="0"/>
        <sz val="10"/>
        <vertAlign val="baseline"/>
      </font>
      <fill>
        <patternFill patternType="solid">
          <fgColor indexed="64"/>
          <bgColor rgb="FFFFFF00"/>
        </patternFill>
      </fill>
      <alignment horizontal="center" vertical="center"/>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Arial"/>
        <charset val="1"/>
        <strike val="0"/>
        <outline val="0"/>
        <shadow val="0"/>
        <condense val="0"/>
        <color rgb="FF008000"/>
        <extend val="0"/>
        <sz val="10"/>
        <vertAlign val="baseline"/>
      </font>
      <alignment horizontal="center" vertical="center"/>
    </dxf>
    <dxf>
      <border outline="0">
        <bottom style="thin">
          <color rgb="FFBFBFBF"/>
        </bottom>
      </border>
    </dxf>
    <dxf>
      <font>
        <name val="Arial"/>
        <charset val="1"/>
        <b val="1"/>
        <strike val="0"/>
        <outline val="0"/>
        <shadow val="0"/>
        <condense val="0"/>
        <color rgb="FFFFFFFF"/>
        <extend val="0"/>
        <sz val="11"/>
        <vertAlign val="baseline"/>
      </font>
      <fill>
        <patternFill patternType="solid">
          <fgColor rgb="FF003366"/>
          <bgColor rgb="FF1F4E78"/>
        </patternFill>
      </fill>
      <alignment horizontal="center" vertical="center"/>
      <border outline="0">
        <left style="thin">
          <color rgb="FFBFBFBF"/>
        </left>
        <right style="thin">
          <color rgb="FFBFBFBF"/>
        </right>
        <top/>
        <bottom/>
      </border>
    </dxf>
    <dxf>
      <numFmt numFmtId="0" formatCode="General"/>
    </dxf>
    <dxf>
      <font>
        <name val="Calibri"/>
        <charset val="1"/>
        <family val="2"/>
        <strike val="0"/>
        <outline val="0"/>
        <shadow val="0"/>
        <condense val="0"/>
        <color rgb="FFFF0000"/>
        <extend val="0"/>
        <sz val="11"/>
        <vertAlign val="baseline"/>
      </font>
      <numFmt numFmtId="164" formatCode="0.0000"/>
    </dxf>
    <dxf>
      <font>
        <name val="Calibri"/>
        <charset val="1"/>
        <family val="2"/>
        <strike val="0"/>
        <outline val="0"/>
        <shadow val="0"/>
        <condense val="0"/>
        <color rgb="FFFF0000"/>
        <extend val="0"/>
        <sz val="11"/>
        <vertAlign val="baseline"/>
      </font>
    </dxf>
    <dxf>
      <font>
        <name val="Calibri"/>
        <family val="2"/>
        <b val="1"/>
        <strike val="0"/>
        <outline val="0"/>
        <shadow val="0"/>
        <condense val="0"/>
        <color theme="1"/>
        <extend val="0"/>
        <sz val="11"/>
        <vertAlign val="baseline"/>
      </font>
      <alignment horizontal="general" vertical="center" wrapText="1"/>
    </dxf>
  </dxfs>
  <tableStyles count="1" defaultTableStyle="TableStyleMedium2" defaultPivotStyle="PivotStyleLight16">
    <tableStyle name="Invisible" pivot="0" table="0" count="0"/>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Unknown Author</author>
  </authors>
  <commentList>
    <comment ref="A1" authorId="0" shapeId="0">
      <text>
        <t>Fill columns in YELLOW with measurements. Weigh 20 units of each component individually to compute mean and std.</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675471</colOff>
      <row>4</row>
      <rowOff>48071</rowOff>
    </from>
    <to>
      <col>4</col>
      <colOff>805031</colOff>
      <row>34</row>
      <rowOff>186392</rowOff>
    </to>
    <pic>
      <nvPicPr>
        <cNvPr id="7"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5471" y="1587729"/>
          <a:ext cx="7006610" cy="5853321"/>
        </a:xfrm>
        <a:prstGeom xmlns:a="http://schemas.openxmlformats.org/drawingml/2006/main" prst="rect">
          <avLst/>
        </a:prstGeom>
        <a:ln xmlns:a="http://schemas.openxmlformats.org/drawingml/2006/main">
          <a:prstDash val="solid"/>
        </a:ln>
      </spPr>
    </pic>
    <clientData/>
  </twoCellAnchor>
  <twoCellAnchor editAs="oneCell">
    <from>
      <col>0</col>
      <colOff>691542</colOff>
      <row>34</row>
      <rowOff>77189</rowOff>
    </from>
    <to>
      <col>4</col>
      <colOff>817118</colOff>
      <row>49</row>
      <rowOff>109692</rowOff>
    </to>
    <pic>
      <nvPicPr>
        <cNvPr id="8" name="Picture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1542" y="7488422"/>
          <a:ext cx="7002626" cy="2890003"/>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3" displayName="Table3" ref="A5:E20" headerRowCount="1" totalsRowShown="0" headerRowDxfId="233">
  <autoFilter ref="A5:E20"/>
  <tableColumns count="5">
    <tableColumn id="1" name="Par que se está comparando" dataDxfId="232"/>
    <tableColumn id="2" name="Qué tan separadas están las medias de los dos componentes (Diferencia mínima detectable, δ)" dataDxfId="231"/>
    <tableColumn id="3" name="Qué tanto varían juntos los dos componentes (Desviación estándar combinada, σ_pooled)"/>
    <tableColumn id="4" name="Número mínimo de muestras (n)" dataDxfId="230">
      <calculatedColumnFormula>ROUNDUP(2 * (C6^2) * ($C$3 + $D$3)^2 / (B6^2), 0)</calculatedColumnFormula>
    </tableColumn>
    <tableColumn id="5" name="Notes"/>
  </tableColumns>
  <tableStyleInfo name="TableStyleMedium2" showFirstColumn="0" showLastColumn="0" showRowStripes="1" showColumnStripes="0"/>
</table>
</file>

<file path=xl/tables/table2.xml><?xml version="1.0" encoding="utf-8"?>
<table xmlns="http://schemas.openxmlformats.org/spreadsheetml/2006/main" id="2" name="Table1" displayName="Table1" ref="A2:X422" headerRowCount="1" totalsRowShown="0" headerRowDxfId="229" dataDxfId="227" headerRowBorderDxfId="228" tableBorderDxfId="226" totalsRowBorderDxfId="225">
  <autoFilter ref="A2:X422"/>
  <tableColumns count="24">
    <tableColumn id="1" name="run_id" dataDxfId="224"/>
    <tableColumn id="2" name="execution_order" dataDxfId="223"/>
    <tableColumn id="3" name="recipe" dataDxfId="222"/>
    <tableColumn id="4" name="condition" dataDxfId="221"/>
    <tableColumn id="5" name="missing_component" dataDxfId="220"/>
    <tableColumn id="6" name="kit_id" dataDxfId="219"/>
    <tableColumn id="7" name="measured_weight_g" dataDxfId="218"/>
    <tableColumn id="8" name="timestamp" dataDxfId="217"/>
    <tableColumn id="9" name="notes" dataDxfId="216"/>
    <tableColumn id="10" name="expected_weight" dataDxfId="215">
      <calculatedColumnFormula>VLOOKUP(C3,Recipes!$A$2:$N$4,10,FALSE())</calculatedColumnFormula>
    </tableColumn>
    <tableColumn id="11" name="expected_std" dataDxfId="214">
      <calculatedColumnFormula>VLOOKUP(C3,Recipes!$A$2:$N$4,12,FALSE())</calculatedColumnFormula>
    </tableColumn>
    <tableColumn id="12" name="lower_bound" dataDxfId="213">
      <calculatedColumnFormula>J3-3*K3</calculatedColumnFormula>
    </tableColumn>
    <tableColumn id="13" name="upper_bound" dataDxfId="212">
      <calculatedColumnFormula>J3+3*K3</calculatedColumnFormula>
    </tableColumn>
    <tableColumn id="14" name="predicted_OK_NG" dataDxfId="211">
      <calculatedColumnFormula>IF(G3="","",IF(AND(G3&gt;=L3,G3&lt;=M3),"OK","NG"))</calculatedColumnFormula>
    </tableColumn>
    <tableColumn id="15" name="L1_correct" dataDxfId="210">
      <calculatedColumnFormula>IF(N3="","",IF(N3=D3,1,0))</calculatedColumnFormula>
    </tableColumn>
    <tableColumn id="16" name="deficit" dataDxfId="209">
      <calculatedColumnFormula>IF(G3="","",J3-G3)</calculatedColumnFormula>
    </tableColumn>
    <tableColumn id="17" name="match_S1" dataDxfId="208">
      <calculatedColumnFormula>IF(G3="","",ABS(P3-Components!$D$2))</calculatedColumnFormula>
    </tableColumn>
    <tableColumn id="18" name="match_S2" dataDxfId="207">
      <calculatedColumnFormula>IF(G3="","",ABS(P3-Components!$D$3))</calculatedColumnFormula>
    </tableColumn>
    <tableColumn id="19" name="match_W1" dataDxfId="206">
      <calculatedColumnFormula>IF(G3="","",ABS(P3-Components!$D$4))</calculatedColumnFormula>
    </tableColumn>
    <tableColumn id="20" name="match_W2" dataDxfId="205">
      <calculatedColumnFormula>IF(G3="","",ABS(P3-Components!$D$5))</calculatedColumnFormula>
    </tableColumn>
    <tableColumn id="21" name="match_N1" dataDxfId="204">
      <calculatedColumnFormula>IF(G3="","",ABS(P3-Components!$D$6))</calculatedColumnFormula>
    </tableColumn>
    <tableColumn id="22" name="match_N2" dataDxfId="203">
      <calculatedColumnFormula>IF(G3="","",ABS(P3-Components!$D$7))</calculatedColumnFormula>
    </tableColumn>
    <tableColumn id="23" name="predicted_missing" dataDxfId="202">
      <calculatedColumnFormula>IF(G3="","",IF(N3="OK","NONE",INDEX({"S1","S2","W1","W2","N1","N2"},MATCH(MIN(Q3:V3),Q3:V3,0))))</calculatedColumnFormula>
    </tableColumn>
    <tableColumn id="24" name="L2_correct" dataDxfId="201">
      <calculatedColumnFormula>IF(G3="","",IF(W3=E3,1,0))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able178" displayName="Table178" ref="A2:X422" headerRowCount="1" totalsRowShown="0" headerRowDxfId="200" dataDxfId="198" headerRowBorderDxfId="199" tableBorderDxfId="197" totalsRowBorderDxfId="196">
  <autoFilter ref="A2:X422"/>
  <tableColumns count="24">
    <tableColumn id="1" name="run_id" dataDxfId="195"/>
    <tableColumn id="2" name="execution_order" dataDxfId="194"/>
    <tableColumn id="3" name="recipe" dataDxfId="193"/>
    <tableColumn id="4" name="condition" dataDxfId="192"/>
    <tableColumn id="5" name="missing_component" dataDxfId="191"/>
    <tableColumn id="6" name="kit_id" dataDxfId="190"/>
    <tableColumn id="7" name="measured_weight_g" dataDxfId="189"/>
    <tableColumn id="8" name="timestamp" dataDxfId="188"/>
    <tableColumn id="9" name="notes" dataDxfId="187"/>
    <tableColumn id="10" name="expected_weight" dataDxfId="186">
      <calculatedColumnFormula>VLOOKUP(C3,Recipes!$A$2:$N$4,10,FALSE())</calculatedColumnFormula>
    </tableColumn>
    <tableColumn id="11" name="expected_std" dataDxfId="185">
      <calculatedColumnFormula>VLOOKUP(C3,Recipes!$A$2:$N$4,12,FALSE())</calculatedColumnFormula>
    </tableColumn>
    <tableColumn id="12" name="lower_bound" dataDxfId="184">
      <calculatedColumnFormula>J3-3.5*K3</calculatedColumnFormula>
    </tableColumn>
    <tableColumn id="13" name="upper_bound" dataDxfId="183">
      <calculatedColumnFormula>J3+3.5*K3</calculatedColumnFormula>
    </tableColumn>
    <tableColumn id="14" name="predicted_OK_NG" dataDxfId="182">
      <calculatedColumnFormula>IF(G3="","",IF(AND(G3&gt;=L3,G3&lt;=M3),"OK","NG"))</calculatedColumnFormula>
    </tableColumn>
    <tableColumn id="15" name="L1_correct" dataDxfId="181">
      <calculatedColumnFormula>IF(N3="","",IF(N3=D3,1,0))</calculatedColumnFormula>
    </tableColumn>
    <tableColumn id="16" name="deficit" dataDxfId="180">
      <calculatedColumnFormula>IF(G3="","",J3-G3)</calculatedColumnFormula>
    </tableColumn>
    <tableColumn id="17" name="match_S1" dataDxfId="179">
      <calculatedColumnFormula>IF(G3="","",ABS(P3-Components!$D$2))</calculatedColumnFormula>
    </tableColumn>
    <tableColumn id="18" name="match_S2" dataDxfId="178">
      <calculatedColumnFormula>IF(G3="","",ABS(P3-Components!$D$3))</calculatedColumnFormula>
    </tableColumn>
    <tableColumn id="19" name="match_W1" dataDxfId="177">
      <calculatedColumnFormula>IF(G3="","",ABS(P3-Components!$D$4))</calculatedColumnFormula>
    </tableColumn>
    <tableColumn id="20" name="match_W2" dataDxfId="176">
      <calculatedColumnFormula>IF(G3="","",ABS(P3-Components!$D$5))</calculatedColumnFormula>
    </tableColumn>
    <tableColumn id="21" name="match_N1" dataDxfId="175">
      <calculatedColumnFormula>IF(G3="","",ABS(P3-Components!$D$6))</calculatedColumnFormula>
    </tableColumn>
    <tableColumn id="22" name="match_N2" dataDxfId="174">
      <calculatedColumnFormula>IF(G3="","",ABS(P3-Components!$D$7))</calculatedColumnFormula>
    </tableColumn>
    <tableColumn id="23" name="predicted_missing" dataDxfId="173">
      <calculatedColumnFormula>IF(G3="","",IF(N3="OK","NONE",INDEX({"S1","S2","W1","W2","N1","N2"},MATCH(MIN(Q3:V3),Q3:V3,0))))</calculatedColumnFormula>
    </tableColumn>
    <tableColumn id="24" name="L2_correct" dataDxfId="172">
      <calculatedColumnFormula>IF(G3="","",IF(W3=E3,1,0))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e17" displayName="Table17" ref="A2:X422" headerRowCount="1" totalsRowShown="0" headerRowDxfId="171" dataDxfId="169" headerRowBorderDxfId="170" tableBorderDxfId="168" totalsRowBorderDxfId="167">
  <autoFilter ref="A2:X422"/>
  <tableColumns count="24">
    <tableColumn id="1" name="run_id" dataDxfId="166"/>
    <tableColumn id="2" name="execution_order" dataDxfId="165"/>
    <tableColumn id="3" name="recipe" dataDxfId="164"/>
    <tableColumn id="4" name="condition" dataDxfId="163"/>
    <tableColumn id="5" name="missing_component" dataDxfId="162"/>
    <tableColumn id="6" name="kit_id" dataDxfId="161"/>
    <tableColumn id="7" name="measured_weight_g" dataDxfId="160"/>
    <tableColumn id="8" name="timestamp" dataDxfId="159"/>
    <tableColumn id="9" name="notes" dataDxfId="158"/>
    <tableColumn id="10" name="expected_weight" dataDxfId="157">
      <calculatedColumnFormula>VLOOKUP(C3,Recipes!$A$2:$N$4,10,FALSE())</calculatedColumnFormula>
    </tableColumn>
    <tableColumn id="11" name="expected_std" dataDxfId="156">
      <calculatedColumnFormula>VLOOKUP(C3,Recipes!$A$2:$N$4,12,FALSE())</calculatedColumnFormula>
    </tableColumn>
    <tableColumn id="12" name="lower_bound" dataDxfId="155">
      <calculatedColumnFormula>J3-6*K3</calculatedColumnFormula>
    </tableColumn>
    <tableColumn id="13" name="upper_bound" dataDxfId="154">
      <calculatedColumnFormula>J3+6*K3</calculatedColumnFormula>
    </tableColumn>
    <tableColumn id="14" name="predicted_OK_NG" dataDxfId="153">
      <calculatedColumnFormula>IF(G3="","",IF(AND(G3&gt;=L3,G3&lt;=M3),"OK","NG"))</calculatedColumnFormula>
    </tableColumn>
    <tableColumn id="15" name="L1_correct" dataDxfId="152">
      <calculatedColumnFormula>IF(N3="","",IF(N3=D3,1,0))</calculatedColumnFormula>
    </tableColumn>
    <tableColumn id="16" name="deficit" dataDxfId="151">
      <calculatedColumnFormula>IF(G3="","",J3-G3)</calculatedColumnFormula>
    </tableColumn>
    <tableColumn id="17" name="match_S1" dataDxfId="150">
      <calculatedColumnFormula>IF(G3="","",ABS(P3-Components!$D$2))</calculatedColumnFormula>
    </tableColumn>
    <tableColumn id="18" name="match_S2" dataDxfId="149">
      <calculatedColumnFormula>IF(G3="","",ABS(P3-Components!$D$3))</calculatedColumnFormula>
    </tableColumn>
    <tableColumn id="19" name="match_W1" dataDxfId="148">
      <calculatedColumnFormula>IF(G3="","",ABS(P3-Components!$D$4))</calculatedColumnFormula>
    </tableColumn>
    <tableColumn id="20" name="match_W2" dataDxfId="147">
      <calculatedColumnFormula>IF(G3="","",ABS(P3-Components!$D$5))</calculatedColumnFormula>
    </tableColumn>
    <tableColumn id="21" name="match_N1" dataDxfId="146">
      <calculatedColumnFormula>IF(G3="","",ABS(P3-Components!$D$6))</calculatedColumnFormula>
    </tableColumn>
    <tableColumn id="22" name="match_N2" dataDxfId="145">
      <calculatedColumnFormula>IF(G3="","",ABS(P3-Components!$D$7))</calculatedColumnFormula>
    </tableColumn>
    <tableColumn id="23" name="predicted_missing" dataDxfId="144">
      <calculatedColumnFormula>IF(G3="","",IF(N3="OK","NONE",INDEX({"S1","S2","W1","W2","N1","N2"},MATCH(MIN(Q3:V3),Q3:V3,0))))</calculatedColumnFormula>
    </tableColumn>
    <tableColumn id="24" name="L2_correct" dataDxfId="143">
      <calculatedColumnFormula>IF(G3="","",IF(W3=E3,1,0))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15" displayName="Table15" ref="A2:X422" headerRowCount="1" totalsRowShown="0" headerRowDxfId="142" dataDxfId="140" headerRowBorderDxfId="141" tableBorderDxfId="139" totalsRowBorderDxfId="138">
  <autoFilter ref="A2:X422"/>
  <tableColumns count="24">
    <tableColumn id="1" name="run_id" dataDxfId="137"/>
    <tableColumn id="2" name="execution_order" dataDxfId="136"/>
    <tableColumn id="3" name="recipe" dataDxfId="135"/>
    <tableColumn id="4" name="condition" dataDxfId="134"/>
    <tableColumn id="5" name="missing_component" dataDxfId="133"/>
    <tableColumn id="6" name="kit_id" dataDxfId="132"/>
    <tableColumn id="7" name="measured_weight_g" dataDxfId="131"/>
    <tableColumn id="8" name="timestamp" dataDxfId="130"/>
    <tableColumn id="9" name="notes" dataDxfId="129"/>
    <tableColumn id="10" name="expected_weight" dataDxfId="128">
      <calculatedColumnFormula>VLOOKUP(C3,Recipes!$A$2:$N$4,10,FALSE())</calculatedColumnFormula>
    </tableColumn>
    <tableColumn id="11" name="expected_std" dataDxfId="127">
      <calculatedColumnFormula>VLOOKUP(C3,Recipes!$A$2:$N$4,12,FALSE())</calculatedColumnFormula>
    </tableColumn>
    <tableColumn id="12" name="lower_bound" dataDxfId="126">
      <calculatedColumnFormula>J3-3*K3</calculatedColumnFormula>
    </tableColumn>
    <tableColumn id="13" name="upper_bound" dataDxfId="125">
      <calculatedColumnFormula>J3+3*K3</calculatedColumnFormula>
    </tableColumn>
    <tableColumn id="14" name="predicted_OK_NG" dataDxfId="124">
      <calculatedColumnFormula>IF(G3="","",IF(AND(G3&gt;=L3,G3&lt;=M3),"OK","NG"))</calculatedColumnFormula>
    </tableColumn>
    <tableColumn id="15" name="L1_correct" dataDxfId="123">
      <calculatedColumnFormula>IF(N3="","",IF(N3=D3,1,0))</calculatedColumnFormula>
    </tableColumn>
    <tableColumn id="16" name="deficit" dataDxfId="122">
      <calculatedColumnFormula>IF(G3="","",J3-G3)</calculatedColumnFormula>
    </tableColumn>
    <tableColumn id="17" name="match_S1" dataDxfId="121">
      <calculatedColumnFormula>IF(G3="","",ABS(P3-Components!$D$2)/Components!$E$2)</calculatedColumnFormula>
    </tableColumn>
    <tableColumn id="18" name="match_S2" dataDxfId="120">
      <calculatedColumnFormula>IF(G3="","",ABS(P3-Components!$D$3)/Components!$E$3)</calculatedColumnFormula>
    </tableColumn>
    <tableColumn id="19" name="match_W1" dataDxfId="119">
      <calculatedColumnFormula>IF(G3="","",ABS(P3-Components!$D$4)/Components!$E$4)</calculatedColumnFormula>
    </tableColumn>
    <tableColumn id="20" name="match_W2" dataDxfId="118">
      <calculatedColumnFormula>IF(G3="","",ABS(P3-Components!$D$5)/Components!$E$5)</calculatedColumnFormula>
    </tableColumn>
    <tableColumn id="21" name="match_N1" dataDxfId="117">
      <calculatedColumnFormula>IF(G3="","",ABS(P3-Components!$D$6)/Components!$E$6)</calculatedColumnFormula>
    </tableColumn>
    <tableColumn id="22" name="match_N2" dataDxfId="116">
      <calculatedColumnFormula>IF(G3="","",ABS(P3-Components!$D$7)/Components!$E$7)</calculatedColumnFormula>
    </tableColumn>
    <tableColumn id="23" name="predicted_missing" dataDxfId="115">
      <calculatedColumnFormula>IF(G3="","",IF(N3="OK","NONE",INDEX({"S1","S2","W1","W2","N1","N2"},MATCH(MIN(Q3:V3),Q3:V3,0))))</calculatedColumnFormula>
    </tableColumn>
    <tableColumn id="24" name="L2_correct" dataDxfId="114">
      <calculatedColumnFormula>IF(G3="","",IF(W3=E3,1,0))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6" name="Table156" displayName="Table156" ref="A2:X422" headerRowCount="1" totalsRowShown="0" headerRowDxfId="113" dataDxfId="111" headerRowBorderDxfId="112" tableBorderDxfId="110" totalsRowBorderDxfId="109">
  <autoFilter ref="A2:X422"/>
  <tableColumns count="24">
    <tableColumn id="1" name="run_id" dataDxfId="108"/>
    <tableColumn id="2" name="execution_order" dataDxfId="107"/>
    <tableColumn id="3" name="recipe" dataDxfId="106"/>
    <tableColumn id="4" name="condition" dataDxfId="105"/>
    <tableColumn id="5" name="missing_component" dataDxfId="104"/>
    <tableColumn id="6" name="kit_id" dataDxfId="103"/>
    <tableColumn id="7" name="measured_weight_g" dataDxfId="102"/>
    <tableColumn id="8" name="timestamp" dataDxfId="101"/>
    <tableColumn id="9" name="notes" dataDxfId="100"/>
    <tableColumn id="10" name="expected_weight" dataDxfId="99">
      <calculatedColumnFormula>VLOOKUP(C3,Recipes!$A$2:$N$4,10,FALSE())</calculatedColumnFormula>
    </tableColumn>
    <tableColumn id="11" name="expected_std" dataDxfId="98">
      <calculatedColumnFormula>VLOOKUP(C3,Recipes!$A$2:$N$4,12,FALSE())</calculatedColumnFormula>
    </tableColumn>
    <tableColumn id="12" name="lower_bound" dataDxfId="97">
      <calculatedColumnFormula>J3-6*K3</calculatedColumnFormula>
    </tableColumn>
    <tableColumn id="13" name="upper_bound" dataDxfId="96">
      <calculatedColumnFormula>J3+6*K3</calculatedColumnFormula>
    </tableColumn>
    <tableColumn id="14" name="predicted_OK_NG" dataDxfId="95">
      <calculatedColumnFormula>IF(G3="","",IF(AND(G3&gt;=L3,G3&lt;=M3),"OK","NG"))</calculatedColumnFormula>
    </tableColumn>
    <tableColumn id="15" name="L1_correct" dataDxfId="94">
      <calculatedColumnFormula>IF(N3="","",IF(N3=D3,1,0))</calculatedColumnFormula>
    </tableColumn>
    <tableColumn id="16" name="deficit" dataDxfId="93">
      <calculatedColumnFormula>IF(G3="","",J3-G3)</calculatedColumnFormula>
    </tableColumn>
    <tableColumn id="17" name="match_S1" dataDxfId="92">
      <calculatedColumnFormula>IF(G3="","",ABS(P3-Components!$D$2)/Components!$E$2)</calculatedColumnFormula>
    </tableColumn>
    <tableColumn id="18" name="match_S2" dataDxfId="91">
      <calculatedColumnFormula>IF(G3="","",ABS(P3-Components!$D$3)/Components!$E$3)</calculatedColumnFormula>
    </tableColumn>
    <tableColumn id="19" name="match_W1" dataDxfId="90">
      <calculatedColumnFormula>IF(G3="","",ABS(P3-Components!$D$4)/Components!$E$4)</calculatedColumnFormula>
    </tableColumn>
    <tableColumn id="20" name="match_W2" dataDxfId="89">
      <calculatedColumnFormula>IF(G3="","",ABS(P3-Components!$D$5)/Components!$E$5)</calculatedColumnFormula>
    </tableColumn>
    <tableColumn id="21" name="match_N1" dataDxfId="88">
      <calculatedColumnFormula>IF(G3="","",ABS(P3-Components!$D$6)/Components!$E$6)</calculatedColumnFormula>
    </tableColumn>
    <tableColumn id="22" name="match_N2" dataDxfId="87">
      <calculatedColumnFormula>IF(G3="","",ABS(P3-Components!$D$7)/Components!$E$7)</calculatedColumnFormula>
    </tableColumn>
    <tableColumn id="23" name="predicted_missing" dataDxfId="86">
      <calculatedColumnFormula>IF(G3="","",IF(N3="OK","NONE",INDEX({"S1","S2","W1","W2","N1","N2"},MATCH(MIN(Q3:V3),Q3:V3,0))))</calculatedColumnFormula>
    </tableColumn>
    <tableColumn id="24" name="L2_correct" dataDxfId="85">
      <calculatedColumnFormula>IF(G3="","",IF(W3=E3,1,0))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id="7" name="Table13" displayName="Table13" ref="A2:X172" headerRowCount="1" totalsRowShown="0" headerRowDxfId="84" dataDxfId="82" headerRowBorderDxfId="83" tableBorderDxfId="81" totalsRowBorderDxfId="80">
  <autoFilter ref="A2:X172"/>
  <tableColumns count="24">
    <tableColumn id="1" name="run_id" dataDxfId="79"/>
    <tableColumn id="2" name="execution_order" dataDxfId="78"/>
    <tableColumn id="3" name="recipe" dataDxfId="77"/>
    <tableColumn id="4" name="condition" dataDxfId="76"/>
    <tableColumn id="5" name="missing_component" dataDxfId="75"/>
    <tableColumn id="6" name="kit_id" dataDxfId="74"/>
    <tableColumn id="7" name="measured_weight_g" dataDxfId="73"/>
    <tableColumn id="8" name="timestamp" dataDxfId="72"/>
    <tableColumn id="9" name="notes" dataDxfId="71"/>
    <tableColumn id="10" name="expected_weight" dataDxfId="70">
      <calculatedColumnFormula>VLOOKUP(C3,Recipes!$A$2:$N$4,10,FALSE())</calculatedColumnFormula>
    </tableColumn>
    <tableColumn id="11" name="expected_std" dataDxfId="69">
      <calculatedColumnFormula>VLOOKUP(C3,Recipes!$A$2:$N$4,12,FALSE())</calculatedColumnFormula>
    </tableColumn>
    <tableColumn id="12" name="lower_bound" dataDxfId="68">
      <calculatedColumnFormula>J3-3*K3</calculatedColumnFormula>
    </tableColumn>
    <tableColumn id="13" name="upper_bound" dataDxfId="67">
      <calculatedColumnFormula>J3+3*K3</calculatedColumnFormula>
    </tableColumn>
    <tableColumn id="14" name="predicted_OK_NG" dataDxfId="66">
      <calculatedColumnFormula>IF(G3="","",IF(AND(G3&gt;=L3,G3&lt;=M3),"OK","NG"))</calculatedColumnFormula>
    </tableColumn>
    <tableColumn id="15" name="L1_correct" dataDxfId="65">
      <calculatedColumnFormula>IF(N3="","",IF(N3=D3,1,0))</calculatedColumnFormula>
    </tableColumn>
    <tableColumn id="16" name="deficit" dataDxfId="64">
      <calculatedColumnFormula>IF(G3="","",J3-G3)</calculatedColumnFormula>
    </tableColumn>
    <tableColumn id="17" name="match_S1" dataDxfId="63">
      <calculatedColumnFormula>IF(G3="","",ABS(P3-Components!$D$2))</calculatedColumnFormula>
    </tableColumn>
    <tableColumn id="18" name="match_S2" dataDxfId="62">
      <calculatedColumnFormula>IF(G3="","",ABS(P3-Components!$D$3))</calculatedColumnFormula>
    </tableColumn>
    <tableColumn id="19" name="match_W1" dataDxfId="61">
      <calculatedColumnFormula>IF(G3="","",ABS(P3-Components!$D$4))</calculatedColumnFormula>
    </tableColumn>
    <tableColumn id="20" name="match_W2" dataDxfId="60">
      <calculatedColumnFormula>IF(G3="","",ABS(P3-Components!$D$5))</calculatedColumnFormula>
    </tableColumn>
    <tableColumn id="21" name="match_N1" dataDxfId="59">
      <calculatedColumnFormula>IF(G3="","",ABS(P3-Components!$D$6))</calculatedColumnFormula>
    </tableColumn>
    <tableColumn id="22" name="match_N2" dataDxfId="58">
      <calculatedColumnFormula>IF(G3="","",ABS(P3-Components!$D$7))</calculatedColumnFormula>
    </tableColumn>
    <tableColumn id="23" name="predicted_missing" dataDxfId="57">
      <calculatedColumnFormula>IF(G3="","",IF(N3="OK","NONE",INDEX({"S1","S2","W1","W2","N1","N2"},MATCH(MIN(Q3:V3),Q3:V3,0))))</calculatedColumnFormula>
    </tableColumn>
    <tableColumn id="24" name="L2_correct" dataDxfId="56">
      <calculatedColumnFormula>IF(G3="","",IF(W3=E3,1,0))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4:W434" headerRowCount="1" totalsRowShown="0" headerRowDxfId="55" dataDxfId="53" headerRowBorderDxfId="54" tableBorderDxfId="52" totalsRowBorderDxfId="51">
  <autoFilter ref="A14:W434"/>
  <tableColumns count="23">
    <tableColumn id="1" name="run_id" dataDxfId="50">
      <calculatedColumnFormula>'Runs Z score'!A3</calculatedColumnFormula>
    </tableColumn>
    <tableColumn id="2" name="execution_order" dataDxfId="49">
      <calculatedColumnFormula>'Runs Z score'!B3</calculatedColumnFormula>
    </tableColumn>
    <tableColumn id="3" name="recipe" dataDxfId="48">
      <calculatedColumnFormula>'Runs Z score'!C3</calculatedColumnFormula>
    </tableColumn>
    <tableColumn id="4" name="condition" dataDxfId="47">
      <calculatedColumnFormula>'Runs Z score'!D3</calculatedColumnFormula>
    </tableColumn>
    <tableColumn id="5" name="missing_component" dataDxfId="46">
      <calculatedColumnFormula>'Runs Z score'!E3</calculatedColumnFormula>
    </tableColumn>
    <tableColumn id="6" name="kit_id" dataDxfId="45">
      <calculatedColumnFormula>'Runs Z score'!F3</calculatedColumnFormula>
    </tableColumn>
    <tableColumn id="7" name="measured_weight_g" dataDxfId="44">
      <calculatedColumnFormula>'Runs Z score'!G3</calculatedColumnFormula>
    </tableColumn>
    <tableColumn id="8" name="expected_weight" dataDxfId="43">
      <calculatedColumnFormula>VLOOKUP(C15,Recipes!$A$2:$N$4,10,FALSE())</calculatedColumnFormula>
    </tableColumn>
    <tableColumn id="9" name="expected_std" dataDxfId="42">
      <calculatedColumnFormula>VLOOKUP(C15,Recipes!$A$2:$N$4,12,FALSE())</calculatedColumnFormula>
    </tableColumn>
    <tableColumn id="10" name="D1²_raw" dataDxfId="41">
      <calculatedColumnFormula>IF(G15="","",((G15-H15)/I15)^2)</calculatedColumnFormula>
    </tableColumn>
    <tableColumn id="11" name="D²_corregido" dataDxfId="40">
      <calculatedColumnFormula>IF(G15="","",MAX(0, J15-$B$12))</calculatedColumnFormula>
    </tableColumn>
    <tableColumn id="12" name="D_corregido" dataDxfId="39">
      <calculatedColumnFormula>IF(G15="","",SQRT(K15))</calculatedColumnFormula>
    </tableColumn>
    <tableColumn id="13" name="predicted_OK_NG" dataDxfId="38">
      <calculatedColumnFormula>IF(G15="","",IF(K15&lt;=$B$10,"OK","NG"))</calculatedColumnFormula>
    </tableColumn>
    <tableColumn id="14" name="L1_correct" dataDxfId="37">
      <calculatedColumnFormula>IF(M15="","",IF(M15=D15,1,0))</calculatedColumnFormula>
    </tableColumn>
    <tableColumn id="15" name="deficit" dataDxfId="36">
      <calculatedColumnFormula>IF(G15="","",H15-G15)</calculatedColumnFormula>
    </tableColumn>
    <tableColumn id="16" name="match_S1" dataDxfId="35">
      <calculatedColumnFormula>IF(G15="","",ABS(O15-Components!$D$2))</calculatedColumnFormula>
    </tableColumn>
    <tableColumn id="17" name="match_S2" dataDxfId="34">
      <calculatedColumnFormula>IF(G15="","",ABS(O15-Components!$D$3))</calculatedColumnFormula>
    </tableColumn>
    <tableColumn id="18" name="match_W1" dataDxfId="33">
      <calculatedColumnFormula>IF(G15="","",ABS(O15-Components!$D$4))</calculatedColumnFormula>
    </tableColumn>
    <tableColumn id="19" name="match_W2" dataDxfId="32">
      <calculatedColumnFormula>IF(G15="","",ABS(O15-Components!$D$5))</calculatedColumnFormula>
    </tableColumn>
    <tableColumn id="20" name="match_N1" dataDxfId="31">
      <calculatedColumnFormula>IF(G15="","",ABS(O15-Components!$D$6))</calculatedColumnFormula>
    </tableColumn>
    <tableColumn id="21" name="match_N2" dataDxfId="30">
      <calculatedColumnFormula>IF(G15="","",ABS(O15-Components!$D$7))</calculatedColumnFormula>
    </tableColumn>
    <tableColumn id="22" name="predicted_missing" dataDxfId="29">
      <calculatedColumnFormula>IF(G15="","",IF(M15="OK","NONE",INDEX({"S1","S2","W1","W2","N1","N2"},MATCH(MIN(P15:U15),P15:U15,0))))</calculatedColumnFormula>
    </tableColumn>
    <tableColumn id="23" name="L2_correct" dataDxfId="28">
      <calculatedColumnFormula>IF(G15="","",IF(V15=E15,1,0))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9:X429" headerRowCount="1" totalsRowShown="0" headerRowDxfId="27" headerRowBorderDxfId="26" tableBorderDxfId="25" totalsRowBorderDxfId="24">
  <autoFilter ref="A9:X429"/>
  <tableColumns count="24">
    <tableColumn id="1" name="run_id" dataDxfId="23">
      <calculatedColumnFormula>'Runs Z score'!A3</calculatedColumnFormula>
    </tableColumn>
    <tableColumn id="2" name="execution_order" dataDxfId="22">
      <calculatedColumnFormula>'Runs Z score'!B3</calculatedColumnFormula>
    </tableColumn>
    <tableColumn id="3" name="recipe" dataDxfId="21">
      <calculatedColumnFormula>'Runs Z score'!C3</calculatedColumnFormula>
    </tableColumn>
    <tableColumn id="4" name="condition" dataDxfId="20">
      <calculatedColumnFormula>'Runs Z score'!D3</calculatedColumnFormula>
    </tableColumn>
    <tableColumn id="5" name="missing_component" dataDxfId="19">
      <calculatedColumnFormula>'Runs Z score'!E3</calculatedColumnFormula>
    </tableColumn>
    <tableColumn id="6" name="kit_id" dataDxfId="18">
      <calculatedColumnFormula>'Runs Z score'!F3</calculatedColumnFormula>
    </tableColumn>
    <tableColumn id="7" name="measured_weight_g" dataDxfId="17">
      <calculatedColumnFormula>'Runs Z score'!G3</calculatedColumnFormula>
    </tableColumn>
    <tableColumn id="8" name="expected_weight" dataDxfId="16">
      <calculatedColumnFormula>VLOOKUP(C10,Recipes!$A$2:$N$4,10,FALSE())</calculatedColumnFormula>
    </tableColumn>
    <tableColumn id="9" name="expected_std" dataDxfId="15">
      <calculatedColumnFormula>VLOOKUP(C10,Recipes!$A$2:$N$4,12,FALSE())</calculatedColumnFormula>
    </tableColumn>
    <tableColumn id="10" name="deficit" dataDxfId="14">
      <calculatedColumnFormula>IF(G10="","",H10-G10)</calculatedColumnFormula>
    </tableColumn>
    <tableColumn id="11" name="L_S1" dataDxfId="13">
      <calculatedColumnFormula>IF(G10="","",-0.5*((J10-Components!$D$2)/Components!$E$2)^2)</calculatedColumnFormula>
    </tableColumn>
    <tableColumn id="12" name="L_S2" dataDxfId="12">
      <calculatedColumnFormula>IF(G10="","",-0.5*((J10-Components!$D$3)/Components!$E$3)^2)</calculatedColumnFormula>
    </tableColumn>
    <tableColumn id="13" name="L_W1" dataDxfId="11">
      <calculatedColumnFormula>IF(G10="","",-0.5*((J10-Components!$D$4)/Components!$E$4)^2)</calculatedColumnFormula>
    </tableColumn>
    <tableColumn id="14" name="L_W2" dataDxfId="10">
      <calculatedColumnFormula>IF(G10="","",-0.5*((J10-Components!$D$5)/Components!$E$5)^2)</calculatedColumnFormula>
    </tableColumn>
    <tableColumn id="15" name="L_N1" dataDxfId="9">
      <calculatedColumnFormula>IF(G10="","",-0.5*((J10-Components!$D$6)/Components!$E$6)^2)</calculatedColumnFormula>
    </tableColumn>
    <tableColumn id="16" name="L_N2" dataDxfId="8">
      <calculatedColumnFormula>IF(G10="","",-0.5*((J10-Components!$D$7)/Components!$E$7)^2)</calculatedColumnFormula>
    </tableColumn>
    <tableColumn id="17" name="P_top1" dataDxfId="7">
      <calculatedColumnFormula>IF(G10="","",EXP(LARGE(K10:P10,1)-MAX(K10:P10))/(EXP(K10-MAX(K10:P10))+EXP(L10-MAX(K10:P10))+EXP(M10-MAX(K10:P10))+EXP(N10-MAX(K10:P10))+EXP(O10-MAX(K10:P10))+EXP(P10-MAX(K10:P10))))</calculatedColumnFormula>
    </tableColumn>
    <tableColumn id="18" name="P_top2" dataDxfId="6">
      <calculatedColumnFormula>IF(G10="","",EXP(LARGE(K10:P10,2)-MAX(K10:P10))/(EXP(K10-MAX(K10:P10))+EXP(L10-MAX(K10:P10))+EXP(M10-MAX(K10:P10))+EXP(N10-MAX(K10:P10))+EXP(O10-MAX(K10:P10))+EXP(P10-MAX(K10:P10))))</calculatedColumnFormula>
    </tableColumn>
    <tableColumn id="19" name="margen" dataDxfId="5">
      <calculatedColumnFormula>IF(G10="","",Q10-R10)</calculatedColumnFormula>
    </tableColumn>
    <tableColumn id="20" name="predicted_OK_NG" dataDxfId="4">
      <calculatedColumnFormula>IF(G10="","",IF(AND(G10&gt;=H10-$B$6*I10,G10&lt;=H10+$B$6*I10),"OK","NG"))</calculatedColumnFormula>
    </tableColumn>
    <tableColumn id="21" name="L1_correct" dataDxfId="3">
      <calculatedColumnFormula>IF(T10="","",IF(T10=D10,1,0))</calculatedColumnFormula>
    </tableColumn>
    <tableColumn id="22" name="predicted_missing" dataDxfId="2">
      <calculatedColumnFormula>IF(G10="","",IF(T10="OK","NONE",INDEX({"S1","S2","W1","W2","N1","N2"},MATCH(MAX(K10:P10),K10:P10,0))))</calculatedColumnFormula>
    </tableColumn>
    <tableColumn id="23" name="L2_correct" dataDxfId="1">
      <calculatedColumnFormula>IF(G10="","",IF(V10=E10,1,0))</calculatedColumnFormula>
    </tableColumn>
    <tableColumn id="24" name="ambiguous" dataDxfId="0">
      <calculatedColumnFormula>IF(G10="","",IF(AND(T10="NG",S10&lt;$B$7),"AMBIGUOUS","CONFIDENT"))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_rels/sheet13.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2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9"/>
  <sheetViews>
    <sheetView tabSelected="1" workbookViewId="0">
      <selection activeCell="A1" sqref="A1:D1"/>
    </sheetView>
  </sheetViews>
  <sheetFormatPr baseColWidth="8" defaultRowHeight="15"/>
  <cols>
    <col width="5" customWidth="1" style="180" min="1" max="1"/>
    <col width="26" customWidth="1" style="180" min="2" max="2"/>
    <col width="32" customWidth="1" style="180" min="3" max="3"/>
    <col width="50" customWidth="1" style="180" min="4" max="4"/>
  </cols>
  <sheetData>
    <row r="1" ht="23.25" customHeight="1" s="180">
      <c r="A1" s="140" t="inlineStr">
        <is>
          <t>DOE — SMART PACKAGING LINE</t>
        </is>
      </c>
    </row>
    <row r="2">
      <c r="A2" s="142" t="inlineStr">
        <is>
          <t>Weight-based kit verification · Capstone · TE Connectivity</t>
        </is>
      </c>
    </row>
    <row r="4">
      <c r="A4" s="143" t="inlineStr">
        <is>
          <t>ÍNDICE DEL DOCUMENTO</t>
        </is>
      </c>
    </row>
    <row r="5" ht="26.1" customHeight="1" s="180">
      <c r="A5" s="192" t="inlineStr">
        <is>
          <t>#</t>
        </is>
      </c>
      <c r="B5" s="192" t="inlineStr">
        <is>
          <t>Sección</t>
        </is>
      </c>
      <c r="C5" s="192" t="inlineStr">
        <is>
          <t>Hoja</t>
        </is>
      </c>
      <c r="D5" s="192" t="inlineStr">
        <is>
          <t>Propósito</t>
        </is>
      </c>
    </row>
    <row r="6">
      <c r="A6" s="193" t="inlineStr">
        <is>
          <t>0</t>
        </is>
      </c>
      <c r="B6" s="194" t="inlineStr">
        <is>
          <t>Setup</t>
        </is>
      </c>
      <c r="C6" s="194" t="inlineStr">
        <is>
          <t>Instructions</t>
        </is>
      </c>
      <c r="D6" s="195" t="inlineStr">
        <is>
          <t>Cómo usar este documento</t>
        </is>
      </c>
    </row>
    <row r="7">
      <c r="A7" s="193" t="inlineStr"/>
      <c r="B7" s="194" t="inlineStr"/>
      <c r="C7" s="194" t="inlineStr">
        <is>
          <t>Components</t>
        </is>
      </c>
      <c r="D7" s="195" t="inlineStr">
        <is>
          <t>Catálogo de componentes (n=30)</t>
        </is>
      </c>
    </row>
    <row r="8">
      <c r="A8" s="193" t="inlineStr"/>
      <c r="B8" s="194" t="inlineStr"/>
      <c r="C8" s="194" t="inlineStr">
        <is>
          <t>Recipes</t>
        </is>
      </c>
      <c r="D8" s="195" t="inlineStr">
        <is>
          <t>Recetas R3, R4, R6</t>
        </is>
      </c>
    </row>
    <row r="9">
      <c r="A9" s="193" t="inlineStr"/>
      <c r="B9" s="194" t="inlineStr"/>
      <c r="C9" s="194" t="inlineStr">
        <is>
          <t>INFO Muestras Componentes</t>
        </is>
      </c>
      <c r="D9" s="195" t="inlineStr">
        <is>
          <t>Análisis de potencia</t>
        </is>
      </c>
    </row>
    <row r="10">
      <c r="A10" s="193" t="inlineStr">
        <is>
          <t>1</t>
        </is>
      </c>
      <c r="B10" s="194" t="inlineStr">
        <is>
          <t>Documentación</t>
        </is>
      </c>
      <c r="C10" s="194" t="inlineStr">
        <is>
          <t>Documentación</t>
        </is>
      </c>
      <c r="D10" s="195" t="inlineStr">
        <is>
          <t>Teoría, fórmulas, fuentes de los 10 métodos</t>
        </is>
      </c>
    </row>
    <row r="11">
      <c r="A11" s="193" t="inlineStr">
        <is>
          <t>2</t>
        </is>
      </c>
      <c r="B11" s="194" t="inlineStr">
        <is>
          <t>Métodos base</t>
        </is>
      </c>
      <c r="C11" s="194" t="inlineStr">
        <is>
          <t>Runs 1.0 20262904</t>
        </is>
      </c>
      <c r="D11" s="195" t="inlineStr">
        <is>
          <t>k=3, déficit absoluto</t>
        </is>
      </c>
    </row>
    <row r="12">
      <c r="A12" s="193" t="inlineStr"/>
      <c r="B12" s="194" t="inlineStr"/>
      <c r="C12" s="194" t="inlineStr">
        <is>
          <t>Runs 1.0 + 3.5 sigma</t>
        </is>
      </c>
      <c r="D12" s="195" t="inlineStr">
        <is>
          <t>k=3.5</t>
        </is>
      </c>
    </row>
    <row r="13">
      <c r="A13" s="193" t="inlineStr"/>
      <c r="B13" s="194" t="inlineStr"/>
      <c r="C13" s="194" t="inlineStr">
        <is>
          <t>Runs 1.0 + 6 sigma</t>
        </is>
      </c>
      <c r="D13" s="195" t="inlineStr">
        <is>
          <t>k=6 (Six Sigma)</t>
        </is>
      </c>
    </row>
    <row r="14">
      <c r="A14" s="193" t="inlineStr"/>
      <c r="B14" s="194" t="inlineStr"/>
      <c r="C14" s="194" t="inlineStr">
        <is>
          <t>Runs Z score</t>
        </is>
      </c>
      <c r="D14" s="195" t="inlineStr">
        <is>
          <t>Déficit normalizado por σ</t>
        </is>
      </c>
    </row>
    <row r="15">
      <c r="A15" s="193" t="inlineStr"/>
      <c r="B15" s="194" t="inlineStr"/>
      <c r="C15" s="194" t="inlineStr">
        <is>
          <t>Runs Z score + 6 sigma</t>
        </is>
      </c>
      <c r="D15" s="195" t="inlineStr">
        <is>
          <t>Z-score con k=6</t>
        </is>
      </c>
    </row>
    <row r="16">
      <c r="A16" s="193" t="inlineStr"/>
      <c r="B16" s="194" t="inlineStr"/>
      <c r="C16" s="194" t="inlineStr">
        <is>
          <t>Runs 1.1</t>
        </is>
      </c>
      <c r="D16" s="195" t="inlineStr">
        <is>
          <t>Variante intermedia</t>
        </is>
      </c>
    </row>
    <row r="17">
      <c r="A17" s="193" t="inlineStr">
        <is>
          <t>3</t>
        </is>
      </c>
      <c r="B17" s="194" t="inlineStr">
        <is>
          <t>Métodos estadísticos</t>
        </is>
      </c>
      <c r="C17" s="194" t="inlineStr">
        <is>
          <t>Runs Mahalanobis</t>
        </is>
      </c>
      <c r="D17" s="195" t="inlineStr">
        <is>
          <t>Mahalanobis (1936)</t>
        </is>
      </c>
    </row>
    <row r="18" ht="25.5" customHeight="1" s="180">
      <c r="A18" s="193" t="inlineStr"/>
      <c r="B18" s="194" t="inlineStr"/>
      <c r="C18" s="194" t="inlineStr">
        <is>
          <t>Runs GMM</t>
        </is>
      </c>
      <c r="D18" s="195" t="inlineStr">
        <is>
          <t>Gaussian Mixture Model</t>
        </is>
      </c>
    </row>
    <row r="19">
      <c r="A19" s="193" t="inlineStr"/>
      <c r="B19" s="194" t="inlineStr"/>
      <c r="C19" s="194" t="inlineStr">
        <is>
          <t>Runs 1.0 + Bayes</t>
        </is>
      </c>
      <c r="D19" s="195" t="inlineStr">
        <is>
          <t>Bayes Óptimo</t>
        </is>
      </c>
    </row>
    <row r="20">
      <c r="A20" s="193" t="inlineStr">
        <is>
          <t>4</t>
        </is>
      </c>
      <c r="B20" s="194" t="inlineStr">
        <is>
          <t>Machine Learning (★ ML)</t>
        </is>
      </c>
      <c r="C20" s="194" t="inlineStr">
        <is>
          <t>Runs Logistic ML</t>
        </is>
      </c>
      <c r="D20" s="195" t="inlineStr">
        <is>
          <t>★ Logistic Regression — 97.27% L2</t>
        </is>
      </c>
    </row>
    <row r="21">
      <c r="A21" s="193" t="inlineStr"/>
      <c r="B21" s="194" t="inlineStr"/>
      <c r="C21" s="194" t="inlineStr">
        <is>
          <t>Runs Random Forest</t>
        </is>
      </c>
      <c r="D21" s="195" t="inlineStr">
        <is>
          <t>★ Random Forest — 96.67% L2</t>
        </is>
      </c>
    </row>
    <row r="22">
      <c r="A22" s="193" t="inlineStr">
        <is>
          <t>5</t>
        </is>
      </c>
      <c r="B22" s="194" t="inlineStr">
        <is>
          <t>Resultados</t>
        </is>
      </c>
      <c r="C22" s="194" t="inlineStr">
        <is>
          <t>Results</t>
        </is>
      </c>
      <c r="D22" s="195" t="inlineStr">
        <is>
          <t>Métricas detalladas</t>
        </is>
      </c>
    </row>
    <row r="23">
      <c r="A23" s="193" t="inlineStr"/>
      <c r="B23" s="194" t="inlineStr"/>
      <c r="C23" s="194" t="inlineStr">
        <is>
          <t>Comparativa Final</t>
        </is>
      </c>
      <c r="D23" s="195" t="inlineStr">
        <is>
          <t>★ Todos los métodos lado a lado</t>
        </is>
      </c>
    </row>
    <row r="24">
      <c r="A24" s="193" t="inlineStr">
        <is>
          <t>6</t>
        </is>
      </c>
      <c r="B24" s="194" t="inlineStr">
        <is>
          <t>Datos adicionales</t>
        </is>
      </c>
      <c r="C24" s="194" t="inlineStr">
        <is>
          <t>Future Data 2 pieces missing</t>
        </is>
      </c>
      <c r="D24" s="195" t="inlineStr">
        <is>
          <t>Casos con 2 piezas faltantes</t>
        </is>
      </c>
    </row>
    <row r="25">
      <c r="A25" s="193" t="inlineStr"/>
      <c r="B25" s="194" t="inlineStr"/>
      <c r="C25" s="194" t="inlineStr">
        <is>
          <t>Sheet1</t>
        </is>
      </c>
      <c r="D25" s="195" t="inlineStr">
        <is>
          <t>Análisis auxiliar</t>
        </is>
      </c>
    </row>
    <row r="26">
      <c r="A26" s="196" t="n"/>
      <c r="B26" s="197" t="n"/>
      <c r="C26" s="198" t="n"/>
      <c r="D26" s="198" t="n"/>
    </row>
    <row r="27">
      <c r="A27" s="196" t="n"/>
      <c r="B27" s="197" t="n"/>
      <c r="C27" s="198" t="n"/>
      <c r="D27" s="198" t="n"/>
    </row>
    <row r="28">
      <c r="A28" s="196" t="n"/>
      <c r="B28" s="197" t="n"/>
      <c r="C28" s="198" t="n"/>
      <c r="D28" s="198" t="n"/>
    </row>
    <row r="29">
      <c r="A29" s="196" t="n"/>
      <c r="B29" s="197" t="n"/>
      <c r="C29" s="198" t="n"/>
      <c r="D29" s="198" t="n"/>
    </row>
  </sheetData>
  <mergeCells count="3">
    <mergeCell ref="A1:D1"/>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zoomScaleNormal="100" workbookViewId="0">
      <selection activeCell="M16" sqref="M16"/>
    </sheetView>
  </sheetViews>
  <sheetFormatPr baseColWidth="8" defaultColWidth="8.7109375" defaultRowHeight="15"/>
  <cols>
    <col width="85" customWidth="1" style="180" min="1" max="1"/>
  </cols>
  <sheetData>
    <row r="1" ht="20.25" customHeight="1" s="180">
      <c r="A1" s="148" t="inlineStr">
        <is>
          <t>DOE — SMART PACKAGING LINE INSPECTION</t>
        </is>
      </c>
    </row>
    <row r="2">
      <c r="A2" s="147" t="inlineStr">
        <is>
          <t>Weight-based kit verification · Capstone · TE Connectivity</t>
        </is>
      </c>
    </row>
    <row r="3">
      <c r="A3" s="146" t="n"/>
    </row>
    <row r="4">
      <c r="A4" s="144" t="inlineStr">
        <is>
          <t>COLOR CODE</t>
        </is>
      </c>
    </row>
    <row r="5">
      <c r="A5" s="146" t="inlineStr">
        <is>
          <t xml:space="preserve">  Yellow cells = inputs you must fill in</t>
        </is>
      </c>
    </row>
    <row r="6">
      <c r="A6" s="146" t="inlineStr">
        <is>
          <t xml:space="preserve">  Blue text = hardcoded input values</t>
        </is>
      </c>
    </row>
    <row r="7">
      <c r="A7" s="146" t="inlineStr">
        <is>
          <t xml:space="preserve">  Green text = links / references to other sheets</t>
        </is>
      </c>
    </row>
    <row r="8">
      <c r="A8" s="146" t="inlineStr">
        <is>
          <t xml:space="preserve">  Black text = formulas (do not edit)</t>
        </is>
      </c>
    </row>
    <row r="9">
      <c r="A9" s="146" t="n"/>
    </row>
    <row r="10">
      <c r="A10" s="144" t="inlineStr">
        <is>
          <t>STEP-BY-STEP</t>
        </is>
      </c>
    </row>
    <row r="11">
      <c r="A11" s="145" t="inlineStr">
        <is>
          <t>1. COMPONENTS sheet</t>
        </is>
      </c>
    </row>
    <row r="12">
      <c r="A12" s="146" t="inlineStr">
        <is>
          <t xml:space="preserve">   Weigh 20 individual units of each component (S1, S2, W1, W2, N1, N2).</t>
        </is>
      </c>
    </row>
    <row r="13">
      <c r="A13" s="146" t="inlineStr">
        <is>
          <t xml:space="preserve">   Enter measured_mean_g and measured_std_g in yellow cells.</t>
        </is>
      </c>
    </row>
    <row r="14">
      <c r="A14" s="146" t="inlineStr">
        <is>
          <t xml:space="preserve">   This is critical — the model depends on these baselines.</t>
        </is>
      </c>
    </row>
    <row r="15">
      <c r="A15" s="146" t="n"/>
    </row>
    <row r="16">
      <c r="A16" s="145" t="inlineStr">
        <is>
          <t>2. RECIPES sheet</t>
        </is>
      </c>
    </row>
    <row r="17">
      <c r="A17" s="146" t="inlineStr">
        <is>
          <t xml:space="preserve">   Auto-calculated. Review expected_weight and tolerance bounds (3σ).</t>
        </is>
      </c>
    </row>
    <row r="18">
      <c r="A18" s="146" t="inlineStr">
        <is>
          <t xml:space="preserve">   If bounds overlap between OK and NG cases, model will confuse them.</t>
        </is>
      </c>
    </row>
    <row r="19">
      <c r="A19" s="146" t="n"/>
    </row>
    <row r="20">
      <c r="A20" s="145" t="inlineStr">
        <is>
          <t>3. RUNS sheet</t>
        </is>
      </c>
    </row>
    <row r="21">
      <c r="A21" s="146" t="inlineStr">
        <is>
          <t xml:space="preserve">   55 runs pre-assigned. Execute in execution_order (not run_id).</t>
        </is>
      </c>
    </row>
    <row r="22">
      <c r="A22" s="146" t="inlineStr">
        <is>
          <t xml:space="preserve">   For each kit: place on scale → wait stable → enter measured_weight_g.</t>
        </is>
      </c>
    </row>
    <row r="23">
      <c r="A23" s="146" t="inlineStr">
        <is>
          <t xml:space="preserve">   Tare with empty bag before each session. Re-tare if drift appears.</t>
        </is>
      </c>
    </row>
    <row r="24">
      <c r="A24" s="146" t="inlineStr">
        <is>
          <t xml:space="preserve">   Predicted OK/NG and missing-component identification calculate automatically.</t>
        </is>
      </c>
    </row>
    <row r="25">
      <c r="A25" s="146" t="n"/>
    </row>
    <row r="26">
      <c r="A26" s="145" t="inlineStr">
        <is>
          <t>4. RESULTS sheet</t>
        </is>
      </c>
    </row>
    <row r="27">
      <c r="A27" s="146" t="inlineStr">
        <is>
          <t xml:space="preserve">   Auto-populated. Reports the 4 DOE metrics:</t>
        </is>
      </c>
    </row>
    <row r="28">
      <c r="A28" s="146" t="inlineStr">
        <is>
          <t xml:space="preserve">   • OK/NG accuracy</t>
        </is>
      </c>
    </row>
    <row r="29">
      <c r="A29" s="146" t="inlineStr">
        <is>
          <t xml:space="preserve">   • Missing-component identification accuracy</t>
        </is>
      </c>
    </row>
    <row r="30">
      <c r="A30" s="146" t="inlineStr">
        <is>
          <t xml:space="preserve">   • Effect of recipe complexity (compare R3 vs R4 vs R6)</t>
        </is>
      </c>
    </row>
    <row r="31">
      <c r="A31" s="146" t="inlineStr">
        <is>
          <t xml:space="preserve">   • Effect of repeated components (R6 detail by missing component type)</t>
        </is>
      </c>
    </row>
    <row r="32">
      <c r="A32" s="146" t="n"/>
    </row>
    <row r="33">
      <c r="A33" s="144" t="inlineStr">
        <is>
          <t>WEIGHING PROTOCOL</t>
        </is>
      </c>
    </row>
    <row r="34">
      <c r="A34" s="146" t="inlineStr">
        <is>
          <t>• Scale must be ON for 15 min before first measurement (thermal stabilization).</t>
        </is>
      </c>
    </row>
    <row r="35">
      <c r="A35" s="146" t="inlineStr">
        <is>
          <t>• Firm surface, no vibrations, no airflow.</t>
        </is>
      </c>
    </row>
    <row r="36">
      <c r="A36" s="146" t="inlineStr">
        <is>
          <t>• Tare with an empty bag identical to experiment bags.</t>
        </is>
      </c>
    </row>
    <row r="37">
      <c r="A37" s="146" t="inlineStr">
        <is>
          <t>• For each kit: wait until display is stable (no blinking digit).</t>
        </is>
      </c>
    </row>
    <row r="38">
      <c r="A38" s="146" t="inlineStr">
        <is>
          <t>• Record value immediately. Remove kit. Verify return to 0.000.</t>
        </is>
      </c>
    </row>
    <row r="39">
      <c r="A39" s="146" t="inlineStr">
        <is>
          <t>• If drift &gt; 0.01 g on zero, re-tare before continuing.</t>
        </is>
      </c>
    </row>
    <row r="40">
      <c r="A40" s="146" t="n"/>
    </row>
    <row r="41">
      <c r="A41" s="144" t="inlineStr">
        <is>
          <t>RECIPES</t>
        </is>
      </c>
    </row>
    <row r="42">
      <c r="A42" s="146" t="inlineStr">
        <is>
          <t>• R3: S2 + W2 + N2 (3 pieces, heterogeneous distinct)</t>
        </is>
      </c>
    </row>
    <row r="43">
      <c r="A43" s="146" t="inlineStr">
        <is>
          <t>• R4: S1 + W1 + N1 + S2 (4 pieces, heterogeneous with one duplicate class)</t>
        </is>
      </c>
    </row>
    <row r="44">
      <c r="A44" s="146" t="inlineStr">
        <is>
          <t>• R6: S1 + W1 + W1 + N2 + N2 + N1 (6 pieces, repeated components — hardest)</t>
        </is>
      </c>
    </row>
    <row r="45">
      <c r="A45" s="146" t="n"/>
    </row>
    <row r="46">
      <c r="A46" s="144" t="inlineStr">
        <is>
          <t>EXPECTED FINDINGS</t>
        </is>
      </c>
    </row>
    <row r="47">
      <c r="A47" s="146" t="inlineStr">
        <is>
          <t>• R3 should achieve high OK/NG accuracy (clear weight contrast).</t>
        </is>
      </c>
    </row>
    <row r="48">
      <c r="A48" s="146" t="inlineStr">
        <is>
          <t>• R6 cases with repeated components will be harder — the deficit is smaller</t>
        </is>
      </c>
    </row>
    <row r="49">
      <c r="A49" s="146" t="inlineStr">
        <is>
          <t xml:space="preserve">  relative to kit total, and similar-weight components cause ID ambiguity.</t>
        </is>
      </c>
    </row>
    <row r="50">
      <c r="A50" s="146" t="inlineStr">
        <is>
          <t>• This is expected and validates the need for a Phase 2 complementary sensor.</t>
        </is>
      </c>
    </row>
  </sheetData>
  <mergeCells count="50">
    <mergeCell ref="A41:F41"/>
    <mergeCell ref="A16:F16"/>
    <mergeCell ref="A46:F46"/>
    <mergeCell ref="A37:F37"/>
    <mergeCell ref="A27:F27"/>
    <mergeCell ref="A50:F50"/>
    <mergeCell ref="A18:F18"/>
    <mergeCell ref="A12:F12"/>
    <mergeCell ref="A3:F3"/>
    <mergeCell ref="A26:F26"/>
    <mergeCell ref="A21:F21"/>
    <mergeCell ref="A2:F2"/>
    <mergeCell ref="A33:F33"/>
    <mergeCell ref="A47:F47"/>
    <mergeCell ref="A42:F42"/>
    <mergeCell ref="A14:F14"/>
    <mergeCell ref="A5:F5"/>
    <mergeCell ref="A23:F23"/>
    <mergeCell ref="A32:F32"/>
    <mergeCell ref="A8:F8"/>
    <mergeCell ref="A22:F22"/>
    <mergeCell ref="A17:F17"/>
    <mergeCell ref="A35:F35"/>
    <mergeCell ref="A4:F4"/>
    <mergeCell ref="A20:F20"/>
    <mergeCell ref="A29:F29"/>
    <mergeCell ref="A43:F43"/>
    <mergeCell ref="A38:F38"/>
    <mergeCell ref="A10:F10"/>
    <mergeCell ref="A28:F28"/>
    <mergeCell ref="A19:F19"/>
    <mergeCell ref="A13:F13"/>
    <mergeCell ref="A44:F44"/>
    <mergeCell ref="A9:F9"/>
    <mergeCell ref="A31:F31"/>
    <mergeCell ref="A40:F40"/>
    <mergeCell ref="A34:F34"/>
    <mergeCell ref="A48:F48"/>
    <mergeCell ref="A30:F30"/>
    <mergeCell ref="A39:F39"/>
    <mergeCell ref="A15:F15"/>
    <mergeCell ref="A24:F24"/>
    <mergeCell ref="A49:F49"/>
    <mergeCell ref="A11:F11"/>
    <mergeCell ref="A36:F36"/>
    <mergeCell ref="A1:F1"/>
    <mergeCell ref="A45:F45"/>
    <mergeCell ref="A6:F6"/>
    <mergeCell ref="A7:F7"/>
    <mergeCell ref="A25:F25"/>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8"/>
  <sheetViews>
    <sheetView zoomScale="145" zoomScaleNormal="145" workbookViewId="0">
      <pane ySplit="1" topLeftCell="A2" activePane="bottomLeft" state="frozen"/>
      <selection pane="bottomLeft" activeCell="E2" sqref="E2"/>
    </sheetView>
  </sheetViews>
  <sheetFormatPr baseColWidth="8" defaultColWidth="8.7109375" defaultRowHeight="15"/>
  <cols>
    <col width="15" customWidth="1" style="180" min="1" max="1"/>
    <col width="30" customWidth="1" style="180" min="2" max="2"/>
    <col width="19.42578125" bestFit="1" customWidth="1" style="180" min="3" max="3"/>
    <col width="20.28515625" bestFit="1" customWidth="1" style="180" min="4" max="4"/>
    <col width="23.28515625" customWidth="1" style="180" min="5" max="5"/>
    <col width="12" customWidth="1" style="180" min="6" max="6"/>
    <col width="45" customWidth="1" style="180" min="7" max="7"/>
  </cols>
  <sheetData>
    <row r="1">
      <c r="A1" s="1" t="inlineStr">
        <is>
          <t>component_id</t>
        </is>
      </c>
      <c r="B1" s="1" t="inlineStr">
        <is>
          <t>description</t>
        </is>
      </c>
      <c r="C1" s="1" t="inlineStr">
        <is>
          <t>nominal_weight_g</t>
        </is>
      </c>
      <c r="D1" s="1" t="inlineStr">
        <is>
          <t>measured_mean_g</t>
        </is>
      </c>
      <c r="E1" s="1" t="inlineStr">
        <is>
          <t>measured_std_g</t>
        </is>
      </c>
      <c r="F1" s="1" t="inlineStr">
        <is>
          <t>n_samples</t>
        </is>
      </c>
      <c r="G1" s="1" t="inlineStr">
        <is>
          <t>notes</t>
        </is>
      </c>
    </row>
    <row r="2">
      <c r="A2" s="2" t="inlineStr">
        <is>
          <t>S1</t>
        </is>
      </c>
      <c r="B2" s="2" t="inlineStr">
        <is>
          <t>Component type S1</t>
        </is>
      </c>
      <c r="C2" s="3" t="n"/>
      <c r="D2" s="3" t="n">
        <v>2.753333333333333</v>
      </c>
      <c r="E2" s="3" t="n">
        <v>0.006608945522512526</v>
      </c>
      <c r="F2" s="4" t="n">
        <v>30</v>
      </c>
      <c r="G2" s="2" t="inlineStr">
        <is>
          <t>Weigh 30 individual units BEFORE DOE</t>
        </is>
      </c>
    </row>
    <row r="3">
      <c r="A3" s="2" t="inlineStr">
        <is>
          <t>S2</t>
        </is>
      </c>
      <c r="B3" s="2" t="inlineStr">
        <is>
          <t>Component type S2</t>
        </is>
      </c>
      <c r="C3" s="3" t="n"/>
      <c r="D3" s="3" t="n">
        <v>4.036</v>
      </c>
      <c r="E3" s="3" t="n">
        <v>0.01379655129321102</v>
      </c>
      <c r="F3" s="4" t="n">
        <v>30</v>
      </c>
      <c r="G3" s="2" t="inlineStr">
        <is>
          <t>Weigh 30 individual units BEFORE DOE</t>
        </is>
      </c>
    </row>
    <row r="4">
      <c r="A4" s="2" t="inlineStr">
        <is>
          <t>W1</t>
        </is>
      </c>
      <c r="B4" s="2" t="inlineStr">
        <is>
          <t>Component type W1</t>
        </is>
      </c>
      <c r="C4" s="3" t="n"/>
      <c r="D4" s="3" t="n">
        <v>0.9933333333333333</v>
      </c>
      <c r="E4" s="3" t="n">
        <v>0.01397863723152493</v>
      </c>
      <c r="F4" s="4" t="n">
        <v>30</v>
      </c>
      <c r="G4" s="2" t="inlineStr">
        <is>
          <t>Weigh 30 individual units BEFORE DOE</t>
        </is>
      </c>
    </row>
    <row r="5">
      <c r="A5" s="2" t="inlineStr">
        <is>
          <t>W2</t>
        </is>
      </c>
      <c r="B5" s="2" t="inlineStr">
        <is>
          <t>Component type W2</t>
        </is>
      </c>
      <c r="C5" s="3" t="n"/>
      <c r="D5" s="3" t="n">
        <v>4.562666666666667</v>
      </c>
      <c r="E5" s="3" t="n">
        <v>0.0251798131149886</v>
      </c>
      <c r="F5" s="4" t="n">
        <v>30</v>
      </c>
      <c r="G5" s="2" t="inlineStr">
        <is>
          <t>Weigh 30 individual units BEFORE DOE</t>
        </is>
      </c>
    </row>
    <row r="6">
      <c r="A6" s="2" t="inlineStr">
        <is>
          <t>N1</t>
        </is>
      </c>
      <c r="B6" s="2" t="inlineStr">
        <is>
          <t>Component type N1</t>
        </is>
      </c>
      <c r="C6" s="3" t="n"/>
      <c r="D6" s="3" t="n">
        <v>1.155666666666666</v>
      </c>
      <c r="E6" s="3" t="n">
        <v>0.02762848771346943</v>
      </c>
      <c r="F6" s="4" t="n">
        <v>30</v>
      </c>
      <c r="G6" s="2" t="inlineStr">
        <is>
          <t>Weigh 30 individual units BEFORE DOE</t>
        </is>
      </c>
    </row>
    <row r="7">
      <c r="A7" s="2" t="inlineStr">
        <is>
          <t>N2</t>
        </is>
      </c>
      <c r="B7" s="2" t="inlineStr">
        <is>
          <t>Component type N2</t>
        </is>
      </c>
      <c r="C7" s="3" t="n"/>
      <c r="D7" s="3" t="n">
        <v>1.374333333333333</v>
      </c>
      <c r="E7" s="3" t="n">
        <v>0.02514555329625318</v>
      </c>
      <c r="F7" s="4" t="n">
        <v>30</v>
      </c>
      <c r="G7" s="2" t="inlineStr">
        <is>
          <t>Weigh 30 individual units BEFORE DOE</t>
        </is>
      </c>
    </row>
    <row r="8">
      <c r="D8" s="15" t="n"/>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4"/>
  <sheetViews>
    <sheetView zoomScale="118" zoomScaleNormal="100" workbookViewId="0">
      <pane ySplit="1" topLeftCell="A2" activePane="bottomLeft" state="frozen"/>
      <selection pane="bottomLeft" activeCell="C15" sqref="C15"/>
    </sheetView>
  </sheetViews>
  <sheetFormatPr baseColWidth="8" defaultColWidth="8.7109375" defaultRowHeight="15"/>
  <cols>
    <col width="10.42578125" bestFit="1" customWidth="1" style="180" min="1" max="1"/>
    <col width="19" bestFit="1" customWidth="1" style="180" min="2" max="2"/>
    <col width="16" bestFit="1" customWidth="1" style="180" min="3" max="3"/>
    <col width="8" customWidth="1" style="180" min="4" max="9"/>
    <col width="21" bestFit="1" customWidth="1" style="180" min="10" max="11"/>
    <col width="18.85546875" bestFit="1" customWidth="1" style="180" min="12" max="12"/>
    <col width="21.42578125" customWidth="1" style="180" min="13" max="13"/>
    <col width="19.85546875" bestFit="1" customWidth="1" style="180" min="14" max="14"/>
  </cols>
  <sheetData>
    <row r="1">
      <c r="A1" s="1" t="inlineStr">
        <is>
          <t>recipe_id</t>
        </is>
      </c>
      <c r="B1" s="1" t="inlineStr">
        <is>
          <t>components_list</t>
        </is>
      </c>
      <c r="C1" s="1" t="inlineStr">
        <is>
          <t>n_components</t>
        </is>
      </c>
      <c r="D1" s="1" t="inlineStr">
        <is>
          <t>n_S1</t>
        </is>
      </c>
      <c r="E1" s="1" t="inlineStr">
        <is>
          <t>n_S2</t>
        </is>
      </c>
      <c r="F1" s="1" t="inlineStr">
        <is>
          <t>n_W1</t>
        </is>
      </c>
      <c r="G1" s="1" t="inlineStr">
        <is>
          <t>n_W2</t>
        </is>
      </c>
      <c r="H1" s="1" t="inlineStr">
        <is>
          <t>n_N1</t>
        </is>
      </c>
      <c r="I1" s="1" t="inlineStr">
        <is>
          <t>n_N2</t>
        </is>
      </c>
      <c r="J1" s="1" t="inlineStr">
        <is>
          <t>expected_weight_g</t>
        </is>
      </c>
      <c r="K1" s="1" t="inlineStr">
        <is>
          <t>expected_variance</t>
        </is>
      </c>
      <c r="L1" s="1" t="inlineStr">
        <is>
          <t>expected_std_g</t>
        </is>
      </c>
      <c r="M1" s="1" t="inlineStr">
        <is>
          <t>lower_bound_3s</t>
        </is>
      </c>
      <c r="N1" s="1" t="inlineStr">
        <is>
          <t>upper_bound_3s</t>
        </is>
      </c>
    </row>
    <row r="2">
      <c r="A2" s="5" t="inlineStr">
        <is>
          <t>R3</t>
        </is>
      </c>
      <c r="B2" s="2" t="inlineStr">
        <is>
          <t>S2,W2,N2</t>
        </is>
      </c>
      <c r="C2" s="5" t="n">
        <v>3</v>
      </c>
      <c r="D2" s="5" t="n">
        <v>0</v>
      </c>
      <c r="E2" s="5" t="n">
        <v>1</v>
      </c>
      <c r="F2" s="5" t="n">
        <v>0</v>
      </c>
      <c r="G2" s="5" t="n">
        <v>1</v>
      </c>
      <c r="H2" s="5" t="n">
        <v>0</v>
      </c>
      <c r="I2" s="5" t="n">
        <v>1</v>
      </c>
      <c r="J2" s="13">
        <f>D2*Components!$D$2+E2*Components!$D$3+F2*Components!$D$4+G2*Components!$D$5+H2*Components!$D$6+I2*Components!$D$7</f>
        <v/>
      </c>
      <c r="K2" s="22">
        <f>D2*Components!$E$2^2+E2*Components!$E$3^2+F2*Components!$E$4^2+G2*Components!$E$5^2+H2*Components!$E$6^2+I2*Components!$E$7^2</f>
        <v/>
      </c>
      <c r="L2" s="25">
        <f>SQRT(K2)</f>
        <v/>
      </c>
      <c r="M2" s="24">
        <f>J2-3*L2</f>
        <v/>
      </c>
      <c r="N2" s="23">
        <f>J2+3*L2</f>
        <v/>
      </c>
    </row>
    <row r="3">
      <c r="A3" s="5" t="inlineStr">
        <is>
          <t>R4</t>
        </is>
      </c>
      <c r="B3" s="2" t="inlineStr">
        <is>
          <t>S1,W1,N1,S2</t>
        </is>
      </c>
      <c r="C3" s="5" t="n">
        <v>4</v>
      </c>
      <c r="D3" s="5" t="n">
        <v>1</v>
      </c>
      <c r="E3" s="5" t="n">
        <v>1</v>
      </c>
      <c r="F3" s="5" t="n">
        <v>1</v>
      </c>
      <c r="G3" s="5" t="n">
        <v>0</v>
      </c>
      <c r="H3" s="5" t="n">
        <v>1</v>
      </c>
      <c r="I3" s="5" t="n">
        <v>0</v>
      </c>
      <c r="J3" s="20">
        <f>D3*Components!$D$2+E3*Components!$D$3+F3*Components!$D$4+G3*Components!$D$5+H3*Components!$D$6+I3*Components!$D$7</f>
        <v/>
      </c>
      <c r="K3" s="22">
        <f>D3*Components!$E$2^2+E3*Components!$E$3^2+F3*Components!$E$4^2+G3*Components!$E$5^2+H3*Components!$E$6^2+I3*Components!$E$7^2</f>
        <v/>
      </c>
      <c r="L3" s="25">
        <f>SQRT(K3)</f>
        <v/>
      </c>
      <c r="M3" s="24">
        <f>J3-3*L3</f>
        <v/>
      </c>
      <c r="N3" s="24">
        <f>J3+3*L3</f>
        <v/>
      </c>
    </row>
    <row r="4">
      <c r="A4" s="5" t="inlineStr">
        <is>
          <t>R6</t>
        </is>
      </c>
      <c r="B4" s="2" t="inlineStr">
        <is>
          <t>S1,W1,W1,N2,N2,N1</t>
        </is>
      </c>
      <c r="C4" s="5" t="n">
        <v>6</v>
      </c>
      <c r="D4" s="5" t="n">
        <v>1</v>
      </c>
      <c r="E4" s="5" t="n">
        <v>0</v>
      </c>
      <c r="F4" s="5" t="n">
        <v>2</v>
      </c>
      <c r="G4" s="5" t="n">
        <v>0</v>
      </c>
      <c r="H4" s="5" t="n">
        <v>1</v>
      </c>
      <c r="I4" s="5" t="n">
        <v>2</v>
      </c>
      <c r="J4" s="21">
        <f>D4*Components!$D$2+E4*Components!$D$3+F4*Components!$D$4+G4*Components!$D$5+H4*Components!$D$6+I4*Components!$D$7</f>
        <v/>
      </c>
      <c r="K4" s="22">
        <f>D4*Components!$E$2^2+E4*Components!$E$3^2+F4*Components!$E$4^2+G4*Components!$E$5^2+H4*Components!$E$6^2+I4*Components!$E$7^2</f>
        <v/>
      </c>
      <c r="L4" s="25">
        <f>SQRT(K4)</f>
        <v/>
      </c>
      <c r="M4" s="24">
        <f>J4-3*L4</f>
        <v/>
      </c>
      <c r="N4" s="23">
        <f>J4+3*L4</f>
        <v/>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S27"/>
  <sheetViews>
    <sheetView zoomScale="81" workbookViewId="0">
      <selection activeCell="F22" sqref="F22"/>
    </sheetView>
  </sheetViews>
  <sheetFormatPr baseColWidth="8" defaultRowHeight="15"/>
  <cols>
    <col width="23.140625" customWidth="1" style="180" min="1" max="1"/>
    <col width="32.42578125" customWidth="1" style="180" min="2" max="2"/>
    <col width="40.7109375" customWidth="1" style="180" min="3" max="3"/>
    <col width="32" customWidth="1" style="180" min="4" max="4"/>
    <col width="12.7109375" bestFit="1" customWidth="1" style="180" min="5" max="5"/>
    <col width="43.7109375" bestFit="1" customWidth="1" style="180" min="6" max="6"/>
    <col width="49.42578125" customWidth="1" style="180" min="7" max="7"/>
    <col width="27.28515625" bestFit="1" customWidth="1" style="180" min="8" max="8"/>
    <col width="23.28515625" bestFit="1" customWidth="1" style="180" min="9" max="9"/>
    <col width="5" bestFit="1" customWidth="1" style="180" min="10" max="10"/>
    <col width="27.28515625" bestFit="1" customWidth="1" style="180" min="11" max="11"/>
    <col width="27.7109375" bestFit="1" customWidth="1" style="180" min="12" max="12"/>
  </cols>
  <sheetData>
    <row r="1" ht="23.25" customHeight="1" s="180">
      <c r="A1" s="150" t="inlineStr">
        <is>
          <t>Determinación de tamaño de muestra por potencia estadística</t>
        </is>
      </c>
      <c r="F1" s="153" t="inlineStr">
        <is>
          <t>Referencias a confirmar</t>
        </is>
      </c>
    </row>
    <row r="2" ht="150" customHeight="1" s="180">
      <c r="A2" s="35" t="inlineStr">
        <is>
          <t>Probabilidad de equivocarte diciendo que dos componentes son diferentes cuando en realidad no lo son (Nivel de significancia, α)</t>
        </is>
      </c>
      <c r="B2" s="35" t="inlineStr">
        <is>
          <t>Probabilidad de detectar una diferencia real cuando sí existe (Potencia estadística, 1−β)</t>
        </is>
      </c>
      <c r="C2" s="35" t="inlineStr">
        <is>
          <t>Cuántas desviaciones estándar te alejas del centro para capturar el 95% de los datos en una curva normal (Valor crítico de dos colas, z_α/2)</t>
        </is>
      </c>
      <c r="D2" s="35" t="inlineStr">
        <is>
          <t>Cuántas desviaciones estándar te alejas del centro para capturar el 80% de los datos en una curva normal (Valor crítico de potencia, z_β)</t>
        </is>
      </c>
      <c r="E2" s="35" t="n"/>
      <c r="F2" s="44" t="inlineStr">
        <is>
          <t>Montgomery, D.C. &amp; Runger, G.C. (2014). Applied Statistics and Probability for Engineers (6th ed.). Wiley.
Capítulo 10 — Inference for Two Samples
Sección 10-2: Sample size determination for the two-sample t-test
Ahí encuentras exactamente la fórmula n = 2σ²(z_α/2 + z_β)² / δ² con su derivación completa y tablas de OC curves.</t>
        </is>
      </c>
      <c r="G2" s="44" t="inlineStr">
        <is>
          <t>Cohen, J. (1988). Statistical Power Analysis for the Behavioral Sciences (2nd ed.). Lawrence Erlbaum.
Capítulo 2 — The t-Test for Means
Sección 2.2: The effect size index d
Sección 2.4: Power tables and sample size determination
Es el libro de referencia estándar para power analysis — define formalmente α, β, potencia y el cálculo de n para comparación de medias.</t>
        </is>
      </c>
    </row>
    <row r="3" ht="15.75" customHeight="1" s="180" thickBot="1">
      <c r="A3" s="52" t="n">
        <v>0.05</v>
      </c>
      <c r="B3" s="52" t="n">
        <v>0.8</v>
      </c>
      <c r="C3" s="41">
        <f>_xlfn.NORM.S.INV(1 - A3/2)</f>
        <v/>
      </c>
      <c r="D3" s="41">
        <f>_xlfn.NORM.S.INV(B3)</f>
        <v/>
      </c>
    </row>
    <row r="4" ht="15.75" customHeight="1" s="180" thickBot="1">
      <c r="A4" s="47" t="n"/>
      <c r="B4" s="47" t="n"/>
      <c r="C4" s="47" t="n"/>
      <c r="D4" s="47" t="n"/>
      <c r="E4" s="47" t="n"/>
      <c r="F4" s="50" t="n"/>
      <c r="G4" s="51" t="inlineStr">
        <is>
          <t>Si la celda es de este color verde, es modificable</t>
        </is>
      </c>
    </row>
    <row r="5" ht="45" customHeight="1" s="180">
      <c r="A5" s="39" t="inlineStr">
        <is>
          <t>Par que se está comparando</t>
        </is>
      </c>
      <c r="B5" s="39" t="inlineStr">
        <is>
          <t>Qué tan separadas están las medias de los dos componentes (Diferencia mínima detectable, δ)</t>
        </is>
      </c>
      <c r="C5" s="39" t="inlineStr">
        <is>
          <t>Qué tanto varían juntos los dos componentes (Desviación estándar combinada, σ_pooled)</t>
        </is>
      </c>
      <c r="D5" s="39" t="inlineStr">
        <is>
          <t>Número mínimo de muestras (n)</t>
        </is>
      </c>
      <c r="E5" s="43" t="inlineStr">
        <is>
          <t>Notes</t>
        </is>
      </c>
    </row>
    <row r="6">
      <c r="A6" t="inlineStr">
        <is>
          <t>S1/S2</t>
        </is>
      </c>
      <c r="B6" s="36">
        <f>ABS(Components!D2-Components!D3)</f>
        <v/>
      </c>
      <c r="C6">
        <f>SQRT(((Components!E2^2)+(Components!E3^2))/2)</f>
        <v/>
      </c>
      <c r="D6">
        <f>ROUNDUP(2 * (C6^2) * ($C$3 + $D$3)^2 / (B6^2), 0)</f>
        <v/>
      </c>
      <c r="Q6" s="34" t="n"/>
      <c r="R6" s="34" t="n"/>
      <c r="S6" s="34" t="n"/>
    </row>
    <row r="7">
      <c r="A7" t="inlineStr">
        <is>
          <t>S1/W1</t>
        </is>
      </c>
      <c r="B7" s="36">
        <f>ABS(Components!D2-Components!D4)</f>
        <v/>
      </c>
      <c r="C7">
        <f>SQRT(((Components!E2^2)+(Components!E4^2))/2)</f>
        <v/>
      </c>
      <c r="D7">
        <f>ROUNDUP(2 * (C7^2) * ($C$3 + $D$3)^2 / (B7^2), 0)</f>
        <v/>
      </c>
      <c r="Q7" s="35" t="n"/>
    </row>
    <row r="8">
      <c r="A8" t="inlineStr">
        <is>
          <t>S1/W2</t>
        </is>
      </c>
      <c r="B8" s="36">
        <f>ABS(Components!D2-Components!D5)</f>
        <v/>
      </c>
      <c r="C8">
        <f>SQRT(((Components!E2^2)+(Components!E5^2))/2)</f>
        <v/>
      </c>
      <c r="D8">
        <f>ROUNDUP(2 * (C8^2) * ($C$3 + $D$3)^2 / (B8^2), 0)</f>
        <v/>
      </c>
      <c r="Q8" s="35" t="n"/>
    </row>
    <row r="9">
      <c r="A9" t="inlineStr">
        <is>
          <t>S1/N1</t>
        </is>
      </c>
      <c r="B9" s="36">
        <f>ABS(Components!D2-Components!D6)</f>
        <v/>
      </c>
      <c r="C9">
        <f>SQRT(((Components!E2^2)+(Components!E6^2))/2)</f>
        <v/>
      </c>
      <c r="D9">
        <f>ROUNDUP(2 * (C9^2) * ($C$3 + $D$3)^2 / (B9^2), 0)</f>
        <v/>
      </c>
      <c r="Q9" s="35" t="n"/>
    </row>
    <row r="10">
      <c r="A10" t="inlineStr">
        <is>
          <t>S1/N2</t>
        </is>
      </c>
      <c r="B10" s="36">
        <f>ABS(Components!D2-Components!D7)</f>
        <v/>
      </c>
      <c r="C10">
        <f>SQRT(((Components!E2^2)+(Components!E7^2))/2)</f>
        <v/>
      </c>
      <c r="D10">
        <f>ROUNDUP(2 * (C10^2) * ($C$3 + $D$3)^2 / (B10^2), 0)</f>
        <v/>
      </c>
    </row>
    <row r="11">
      <c r="A11" t="inlineStr">
        <is>
          <t>S2/W1</t>
        </is>
      </c>
      <c r="B11" s="36">
        <f>ABS(Components!D3-Components!D4)</f>
        <v/>
      </c>
      <c r="C11">
        <f>SQRT(((Components!E3^2)+(Components!E4^2))/2)</f>
        <v/>
      </c>
      <c r="D11">
        <f>ROUNDUP(2 * (C11^2) * ($C$3 + $D$3)^2 / (B11^2), 0)</f>
        <v/>
      </c>
    </row>
    <row r="12">
      <c r="A12" s="37" t="inlineStr">
        <is>
          <t>S2/W2</t>
        </is>
      </c>
      <c r="B12" s="38">
        <f>ABS(Components!D3-Components!D5)</f>
        <v/>
      </c>
      <c r="C12" s="37">
        <f>SQRT(((Components!E3^2)+(Components!E5^2))/2)</f>
        <v/>
      </c>
      <c r="D12">
        <f>ROUNDUP(2 * (C12^2) * ($C$3 + $D$3)^2 / (B12^2), 0)</f>
        <v/>
      </c>
      <c r="E12" s="37" t="inlineStr">
        <is>
          <t>Parecido</t>
        </is>
      </c>
    </row>
    <row r="13">
      <c r="A13" t="inlineStr">
        <is>
          <t>S2/N1</t>
        </is>
      </c>
      <c r="B13" s="36">
        <f>ABS(Components!D3-Components!D6)</f>
        <v/>
      </c>
      <c r="C13">
        <f>SQRT(((Components!E3^2)+(Components!E6^2))/2)</f>
        <v/>
      </c>
      <c r="D13">
        <f>ROUNDUP(2 * (C13^2) * ($C$3 + $D$3)^2 / (B13^2), 0)</f>
        <v/>
      </c>
    </row>
    <row r="14">
      <c r="A14" t="inlineStr">
        <is>
          <t>S2/N2</t>
        </is>
      </c>
      <c r="B14" s="36">
        <f>ABS(Components!D3-Components!D7)</f>
        <v/>
      </c>
      <c r="C14">
        <f>SQRT(((Components!E3^2)+(Components!E7^2))/2)</f>
        <v/>
      </c>
      <c r="D14">
        <f>ROUNDUP(2 * (C14^2) * ($C$3 + $D$3)^2 / (B14^2), 0)</f>
        <v/>
      </c>
    </row>
    <row r="15">
      <c r="A15" t="inlineStr">
        <is>
          <t>W1/W2</t>
        </is>
      </c>
      <c r="B15" s="36">
        <f>ABS(Components!D4-Components!D5)</f>
        <v/>
      </c>
      <c r="C15">
        <f>SQRT(((Components!E4^2)+(Components!E5^2))/2)</f>
        <v/>
      </c>
      <c r="D15">
        <f>ROUNDUP(2 * (C15^2) * ($C$3 + $D$3)^2 / (B15^2), 0)</f>
        <v/>
      </c>
    </row>
    <row r="16">
      <c r="A16" s="48" t="inlineStr">
        <is>
          <t>W1/N1</t>
        </is>
      </c>
      <c r="B16" s="49">
        <f>ABS(Components!D4-Components!D6)</f>
        <v/>
      </c>
      <c r="C16" s="48">
        <f>SQRT(((Components!E4^2)+(Components!E6^2))/2)</f>
        <v/>
      </c>
      <c r="D16" s="42">
        <f>ROUNDUP(2 * (C16^2) * ($C$3 + $D$3)^2 / (B16^2), 0)</f>
        <v/>
      </c>
      <c r="E16" s="48" t="inlineStr">
        <is>
          <t>Más parecido</t>
        </is>
      </c>
    </row>
    <row r="17">
      <c r="A17" s="37" t="inlineStr">
        <is>
          <t>W1/N2</t>
        </is>
      </c>
      <c r="B17" s="38">
        <f>ABS(Components!D4-Components!D7)</f>
        <v/>
      </c>
      <c r="C17" s="37">
        <f>SQRT(((Components!E4^2)+(Components!E7^2))/2)</f>
        <v/>
      </c>
      <c r="D17">
        <f>ROUNDUP(2 * (C17^2) * ($C$3 + $D$3)^2 / (B17^2), 0)</f>
        <v/>
      </c>
      <c r="E17" s="37" t="inlineStr">
        <is>
          <t>Parecido</t>
        </is>
      </c>
    </row>
    <row r="18">
      <c r="A18" t="inlineStr">
        <is>
          <t>W2/N1</t>
        </is>
      </c>
      <c r="B18" s="36">
        <f>ABS(Components!D5-Components!D6)</f>
        <v/>
      </c>
      <c r="C18">
        <f>SQRT(((Components!E5^2)+(Components!E6^2))/2)</f>
        <v/>
      </c>
      <c r="D18">
        <f>ROUNDUP(2 * (C18^2) * ($C$3 + $D$3)^2 / (B18^2), 0)</f>
        <v/>
      </c>
    </row>
    <row r="19">
      <c r="A19" t="inlineStr">
        <is>
          <t>W2/N2</t>
        </is>
      </c>
      <c r="B19" s="36">
        <f>ABS(Components!D5-Components!D7)</f>
        <v/>
      </c>
      <c r="C19">
        <f>SQRT(((Components!E5^2)+(Components!E7^2))/2)</f>
        <v/>
      </c>
      <c r="D19">
        <f>ROUNDUP(2 * (C19^2) * ($C$3 + $D$3)^2 / (B19^2), 0)</f>
        <v/>
      </c>
    </row>
    <row r="20">
      <c r="A20" s="37" t="inlineStr">
        <is>
          <t>N1/N2</t>
        </is>
      </c>
      <c r="B20" s="38">
        <f>ABS(Components!D6-Components!D7)</f>
        <v/>
      </c>
      <c r="C20" s="37">
        <f>SQRT(((Components!E6^2)+(Components!E7^2))/2)</f>
        <v/>
      </c>
      <c r="D20">
        <f>ROUNDUP(2 * (C20^2) * ($C$3 + $D$3)^2 / (B20^2), 0)</f>
        <v/>
      </c>
      <c r="E20" s="37" t="inlineStr">
        <is>
          <t>Parecido</t>
        </is>
      </c>
    </row>
    <row r="21">
      <c r="A21" s="45" t="n"/>
      <c r="B21" s="46" t="n"/>
      <c r="C21" s="47" t="n"/>
      <c r="D21" s="47" t="n"/>
      <c r="E21" s="47" t="n"/>
    </row>
    <row r="22" ht="21" customHeight="1" s="180">
      <c r="A22" s="152" t="inlineStr">
        <is>
          <t>Conclusión</t>
        </is>
      </c>
    </row>
    <row r="23" ht="133.5" customHeight="1" s="180">
      <c r="A23" s="151" t="inlineStr">
        <is>
          <t>El análisis de determinación de tamaño de muestra por potencia estadística (α = 0.05, potencia = 0.80) aplicado a los 15 pares posibles entre los 6 componentes del sistema indica que el número mínimo de muestras requerido para detectar la diferencia mínima detectable entre cualquier par es n = 1 en todos los casos.
El par más difícil de distinguir es W1/N1, con una diferencia mínima detectable de apenas 0.1623g y una desviación estándar combinada de 0.0219g. A pesar de ser el par más parecido del catálogo, la fórmula sigue arrojando n = 1, lo que confirma que incluso en el caso más desfavorable la diferencia entre medias supera ampliamente el ruido de medición a nivel de componente individual.
Por lo tanto, el tamaño de calibración adoptado de n = 30 unidades por componente es estadísticamente conservador, está 30 veces por encima del mínimo requerido. Esto descarta que una calibración insuficiente sea la causa de los errores de identificación observados en la receta R6. La fuente de ambigüedad reside en otro nivel del sistema, no en los datos de calibración.</t>
        </is>
      </c>
    </row>
    <row r="24">
      <c r="A24" s="149" t="n"/>
    </row>
    <row r="25">
      <c r="A25" s="151" t="n"/>
      <c r="B25" s="151" t="n"/>
      <c r="C25" s="151" t="n"/>
      <c r="D25" s="151" t="n"/>
    </row>
    <row r="26">
      <c r="A26" s="151" t="n"/>
      <c r="B26" s="151" t="n"/>
      <c r="C26" s="151" t="n"/>
      <c r="D26" s="151" t="n"/>
    </row>
    <row r="27">
      <c r="A27" s="151" t="n"/>
      <c r="B27" s="151" t="n"/>
      <c r="C27" s="151" t="n"/>
      <c r="D27" s="151" t="n"/>
    </row>
  </sheetData>
  <mergeCells count="5">
    <mergeCell ref="A24:E24"/>
    <mergeCell ref="A1:E1"/>
    <mergeCell ref="A23:E23"/>
    <mergeCell ref="A22:E22"/>
    <mergeCell ref="F1:G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9"/>
  <sheetViews>
    <sheetView workbookViewId="0">
      <pane ySplit="3" topLeftCell="A36" activePane="bottomLeft" state="frozen"/>
      <selection pane="bottomLeft" activeCell="B47" sqref="B47:F47"/>
    </sheetView>
  </sheetViews>
  <sheetFormatPr baseColWidth="8" defaultRowHeight="15"/>
  <cols>
    <col width="14" customWidth="1" style="180" min="1" max="1"/>
    <col width="18" customWidth="1" style="180" min="2" max="6"/>
  </cols>
  <sheetData>
    <row r="1" ht="20.25" customHeight="1" s="180">
      <c r="A1" s="160" t="inlineStr">
        <is>
          <t>DOCUMENTACIÓN DE MÉTODOS DE CLASIFICACIÓN</t>
        </is>
      </c>
    </row>
    <row r="2">
      <c r="A2" s="142" t="inlineStr">
        <is>
          <t>Cada método clasifica kits en dos niveles: L1 (OK/NG) y L2 (componente faltante si NG).</t>
        </is>
      </c>
    </row>
    <row r="4" ht="21.95" customHeight="1" s="180">
      <c r="A4" s="157" t="inlineStr">
        <is>
          <t>1. RUNS 1.0 — Z-score clásico con déficit absoluto</t>
        </is>
      </c>
    </row>
    <row r="5" ht="60" customHeight="1" s="180">
      <c r="A5" s="127" t="inlineStr">
        <is>
          <t>Teoría</t>
        </is>
      </c>
      <c r="B5" s="156" t="inlineStr">
        <is>
          <t>Método clásico de Statistical Process Control (Shewhart, 1931). El kit es OK si su peso cae dentro de los límites de control μ ± k·σ. Si es NG, identifica la pieza faltante como aquella cuyo peso individual es más cercano al déficit observado.</t>
        </is>
      </c>
    </row>
    <row r="6" ht="21.95" customHeight="1" s="180">
      <c r="A6" s="127" t="inlineStr">
        <is>
          <t>Fórmula L1</t>
        </is>
      </c>
      <c r="B6" s="155" t="inlineStr">
        <is>
          <t>OK si |w − μ_kit| ≤ k·σ_kit, donde k=3 (3-sigma de Shewhart)</t>
        </is>
      </c>
    </row>
    <row r="7" ht="36" customHeight="1" s="180">
      <c r="A7" s="127" t="inlineStr">
        <is>
          <t>Fórmula L2</t>
        </is>
      </c>
      <c r="B7" s="155" t="inlineStr">
        <is>
          <t>componente_faltante = argmin over i of |déficit − μ_i|, donde déficit = μ_kit − w</t>
        </is>
      </c>
    </row>
    <row r="8" ht="36" customHeight="1" s="180">
      <c r="A8" s="127" t="inlineStr">
        <is>
          <t>Fuente</t>
        </is>
      </c>
      <c r="B8" s="158" t="inlineStr">
        <is>
          <t>Shewhart, W.A. (1931). Economic Control of Quality of Manufactured Product. Van Nostrand. Montgomery, D.C. (2009). Introduction to Statistical Quality Control (6th ed.). Wiley. Capítulo 5.</t>
        </is>
      </c>
    </row>
    <row r="9">
      <c r="A9" s="128" t="inlineStr">
        <is>
          <t>Desempeño</t>
        </is>
      </c>
      <c r="B9" s="154" t="inlineStr">
        <is>
          <t>L1: 99.05%, L2: 96.06% (mejor método actual en L2)</t>
        </is>
      </c>
      <c r="F9" s="129" t="inlineStr">
        <is>
          <t>→ Runs 1.0 20262904</t>
        </is>
      </c>
    </row>
    <row r="11" ht="21.95" customHeight="1" s="180">
      <c r="A11" s="157" t="inlineStr">
        <is>
          <t>2. RUNS 1.0 + 3.5 SIGMA — Variante con umbral relajado</t>
        </is>
      </c>
    </row>
    <row r="12" ht="60" customHeight="1" s="180">
      <c r="A12" s="127" t="inlineStr">
        <is>
          <t>Teoría</t>
        </is>
      </c>
      <c r="B12" s="156" t="inlineStr">
        <is>
          <t>Misma lógica que Runs 1.0 pero con k=3.5. Reduce falsos positivos a costa de potenciales falsos negativos. Útil cuando el costo de rechazar un kit bueno supera al de aceptar uno defectuoso.</t>
        </is>
      </c>
    </row>
    <row r="13" ht="21.95" customHeight="1" s="180">
      <c r="A13" s="127" t="inlineStr">
        <is>
          <t>Fórmula L1</t>
        </is>
      </c>
      <c r="B13" s="155" t="inlineStr">
        <is>
          <t>OK si |w − μ_kit| ≤ 3.5·σ_kit</t>
        </is>
      </c>
    </row>
    <row r="14" ht="36" customHeight="1" s="180">
      <c r="A14" s="127" t="inlineStr">
        <is>
          <t>Fórmula L2</t>
        </is>
      </c>
      <c r="B14" s="155" t="inlineStr">
        <is>
          <t>Igual que Runs 1.0</t>
        </is>
      </c>
    </row>
    <row r="15" ht="36" customHeight="1" s="180">
      <c r="A15" s="127" t="inlineStr">
        <is>
          <t>Fuente</t>
        </is>
      </c>
      <c r="B15" s="158" t="inlineStr">
        <is>
          <t>Variante práctica del método de Shewhart. No tiene paper específico.</t>
        </is>
      </c>
    </row>
    <row r="16">
      <c r="A16" s="128" t="inlineStr">
        <is>
          <t>Desempeño</t>
        </is>
      </c>
      <c r="B16" s="154" t="inlineStr">
        <is>
          <t>L1: 99.29%, L2: 96.06%</t>
        </is>
      </c>
      <c r="F16" s="129" t="inlineStr">
        <is>
          <t>→ Runs 1.0 + 3.5 sigma</t>
        </is>
      </c>
    </row>
    <row r="18" ht="21.95" customHeight="1" s="180">
      <c r="A18" s="157" t="inlineStr">
        <is>
          <t>3. RUNS 1.0 + 6 SIGMA — Variante Six Sigma estricta</t>
        </is>
      </c>
    </row>
    <row r="19" ht="60" customHeight="1" s="180">
      <c r="A19" s="127" t="inlineStr">
        <is>
          <t>Teoría</t>
        </is>
      </c>
      <c r="B19" s="156" t="inlineStr">
        <is>
          <t>Misma lógica con k=6 (Six Sigma). Minimiza falsos positivos hasta 3.4 por millón asumiendo normalidad perfecta. Usado en industrias de alta criticidad.</t>
        </is>
      </c>
    </row>
    <row r="20" ht="21.95" customHeight="1" s="180">
      <c r="A20" s="127" t="inlineStr">
        <is>
          <t>Fórmula L1</t>
        </is>
      </c>
      <c r="B20" s="155" t="inlineStr">
        <is>
          <t>OK si |w − μ_kit| ≤ 6·σ_kit</t>
        </is>
      </c>
    </row>
    <row r="21" ht="36" customHeight="1" s="180">
      <c r="A21" s="127" t="inlineStr">
        <is>
          <t>Fórmula L2</t>
        </is>
      </c>
      <c r="B21" s="155" t="inlineStr">
        <is>
          <t>Igual que Runs 1.0</t>
        </is>
      </c>
    </row>
    <row r="22" ht="36" customHeight="1" s="180">
      <c r="A22" s="127" t="inlineStr">
        <is>
          <t>Fuente</t>
        </is>
      </c>
      <c r="B22" s="158" t="inlineStr">
        <is>
          <t>Harry, M.J., Schroeder, R. (2000). Six Sigma: The Breakthrough Management Strategy. Currency Doubleday. ISBN: 978-0385494373.</t>
        </is>
      </c>
    </row>
    <row r="23">
      <c r="A23" s="128" t="inlineStr">
        <is>
          <t>Desempeño</t>
        </is>
      </c>
      <c r="B23" s="154" t="inlineStr">
        <is>
          <t>L1: 99.52%, L2: 96.06%</t>
        </is>
      </c>
      <c r="F23" s="129" t="inlineStr">
        <is>
          <t>→ Runs 1.0 + 6 sigma</t>
        </is>
      </c>
    </row>
    <row r="25" ht="21.95" customHeight="1" s="180">
      <c r="A25" s="161" t="inlineStr">
        <is>
          <t>4. RUNS Z-SCORE — Déficit normalizado por σ del componente</t>
        </is>
      </c>
    </row>
    <row r="26" ht="60" customHeight="1" s="180">
      <c r="A26" s="127" t="inlineStr">
        <is>
          <t>Teoría</t>
        </is>
      </c>
      <c r="B26" s="156" t="inlineStr">
        <is>
          <t>Variante donde la identificación L2 usa la distancia normalizada por la desviación estándar de cada componente. Penaliza componentes con σ pequeño (zona de aceptación más estrecha), lo que sesga la decisión en pares como W1/N1.</t>
        </is>
      </c>
    </row>
    <row r="27" ht="21.95" customHeight="1" s="180">
      <c r="A27" s="127" t="inlineStr">
        <is>
          <t>Fórmula L1</t>
        </is>
      </c>
      <c r="B27" s="155" t="inlineStr">
        <is>
          <t>OK si |w − μ_kit| ≤ k·σ_kit (mismo que Runs 1.0)</t>
        </is>
      </c>
    </row>
    <row r="28" ht="36" customHeight="1" s="180">
      <c r="A28" s="127" t="inlineStr">
        <is>
          <t>Fórmula L2</t>
        </is>
      </c>
      <c r="B28" s="155" t="inlineStr">
        <is>
          <t>componente_faltante = argmin over i of |déficit − μ_i| / σ_i</t>
        </is>
      </c>
    </row>
    <row r="29" ht="36" customHeight="1" s="180">
      <c r="A29" s="127" t="inlineStr">
        <is>
          <t>Fuente</t>
        </is>
      </c>
      <c r="B29" s="158" t="inlineStr">
        <is>
          <t>Aplicación directa de z-score multivariable. Fundamento: Cox, D.R., Snell, E.J. (1989). Analysis of Binary Data (2nd ed.). Chapman &amp; Hall.</t>
        </is>
      </c>
    </row>
    <row r="30">
      <c r="A30" s="128" t="inlineStr">
        <is>
          <t>Desempeño</t>
        </is>
      </c>
      <c r="B30" s="154" t="inlineStr">
        <is>
          <t>L1: 99.05%, L2: 93.64% (peor que Runs 1.0 por la normalización)</t>
        </is>
      </c>
      <c r="F30" s="129" t="inlineStr">
        <is>
          <t>→ Runs Z score</t>
        </is>
      </c>
    </row>
    <row r="32" ht="21.95" customHeight="1" s="180">
      <c r="A32" s="159" t="inlineStr">
        <is>
          <t>5. RUNS MAHALANOBIS — Distancia generalizada con corrección de sesgo</t>
        </is>
      </c>
    </row>
    <row r="33" ht="60" customHeight="1" s="180">
      <c r="A33" s="127" t="inlineStr">
        <is>
          <t>Teoría</t>
        </is>
      </c>
      <c r="B33" s="156" t="inlineStr">
        <is>
          <t>Mahalanobis (1936) generalizó el z-score a múltiples variables considerando covarianzas. Con 1 variable, el método se reduce al z-score pero con dos mejoras importantes: (1) umbral calibrado por distribución F de Hotelling en lugar de k=3 arbitrario, (2) corrección de sesgo D² = D₁² − 2P/n para muestras finitas (eq. 4.12 del paper).</t>
        </is>
      </c>
    </row>
    <row r="34" ht="21.95" customHeight="1" s="180">
      <c r="A34" s="127" t="inlineStr">
        <is>
          <t>Fórmula L1</t>
        </is>
      </c>
      <c r="B34" s="155" t="inlineStr">
        <is>
          <t>D² = (w − μ_kit)² / σ²_kit − 2P/n; OK si D² ≤ T²_crit (Hotelling)</t>
        </is>
      </c>
    </row>
    <row r="35" ht="36" customHeight="1" s="180">
      <c r="A35" s="127" t="inlineStr">
        <is>
          <t>Fórmula L2</t>
        </is>
      </c>
      <c r="B35" s="155" t="inlineStr">
        <is>
          <t>Igual que Runs 1.0 (déficit absoluto)</t>
        </is>
      </c>
    </row>
    <row r="36" ht="36" customHeight="1" s="180">
      <c r="A36" s="127" t="inlineStr">
        <is>
          <t>Fuente</t>
        </is>
      </c>
      <c r="B36" s="158" t="inlineStr">
        <is>
          <t>Mahalanobis, P.C. (1936). On the Generalised Distance in Statistics. Proc. Natl. Inst. Sci. India, 2(1), 49-55. Ecuaciones verificadas: 2.1, 4.11, 4.12, 4.31.</t>
        </is>
      </c>
    </row>
    <row r="37">
      <c r="A37" s="128" t="inlineStr">
        <is>
          <t>Desempeño</t>
        </is>
      </c>
      <c r="B37" s="154" t="inlineStr">
        <is>
          <t>L1: 99.05%, L2: 96.06% (igual que Runs 1.0 con 1 variable; mejora estructural al añadir variables)</t>
        </is>
      </c>
      <c r="F37" s="129" t="inlineStr">
        <is>
          <t>→ Runs Mahalanobis</t>
        </is>
      </c>
    </row>
    <row r="39" ht="21.95" customHeight="1" s="180">
      <c r="A39" s="159" t="inlineStr">
        <is>
          <t>6. RUNS GMM — Gaussian Mixture Model con flag AMBIGUOUS</t>
        </is>
      </c>
    </row>
    <row r="40" ht="60" customHeight="1" s="180">
      <c r="A40" s="127" t="inlineStr">
        <is>
          <t>Teoría</t>
        </is>
      </c>
      <c r="B40" s="156" t="inlineStr">
        <is>
          <t>Cada hipótesis 'falta componente X' se modela como una distribución Gaussiana propia. Para un kit NG, evalúa la log-likelihood bajo cada hipótesis y normaliza con softmax. Genera probabilidades calibradas y detecta automáticamente kits ambiguos (margen &lt; 0.15) para inspección manual sin reglas ad-hoc.</t>
        </is>
      </c>
    </row>
    <row r="41" ht="21.95" customHeight="1" s="180">
      <c r="A41" s="127" t="inlineStr">
        <is>
          <t>Fórmula L1</t>
        </is>
      </c>
      <c r="B41" s="155" t="inlineStr">
        <is>
          <t>Igual que Runs 1.0 (k=3)</t>
        </is>
      </c>
    </row>
    <row r="42" ht="36" customHeight="1" s="180">
      <c r="A42" s="127" t="inlineStr">
        <is>
          <t>Fórmula L2</t>
        </is>
      </c>
      <c r="B42" s="155" t="inlineStr">
        <is>
          <t>log L_i = −0.5·((déficit − μ_i)/σ_i)²; P_i = softmax(log L_i); componente = argmax P_i; AMBIGUOUS si P_top1 − P_top2 &lt; 0.15</t>
        </is>
      </c>
    </row>
    <row r="43" ht="36" customHeight="1" s="180">
      <c r="A43" s="127" t="inlineStr">
        <is>
          <t>Fuente</t>
        </is>
      </c>
      <c r="B43" s="158" t="inlineStr">
        <is>
          <t>McLachlan, G.J., Peel, D. (2000). Finite Mixture Models. Wiley. ISBN: 978-0471006268. Dempster, Laird, Rubin (1977). EM Algorithm. JRSS B, 39(1), 1-38.</t>
        </is>
      </c>
    </row>
    <row r="44">
      <c r="A44" s="128" t="inlineStr">
        <is>
          <t>Desempeño</t>
        </is>
      </c>
      <c r="B44" s="154" t="inlineStr">
        <is>
          <t>L1: 99.05%, L2: 93.64%; detecta 2 casos AMBIGUOUS automáticamente</t>
        </is>
      </c>
      <c r="F44" s="129" t="inlineStr">
        <is>
          <t>→ Runs GMM</t>
        </is>
      </c>
    </row>
    <row r="46" ht="21.95" customHeight="1" s="180">
      <c r="A46" s="190" t="inlineStr">
        <is>
          <t>7. RUNS 1.0 + BAYES — Combinación: Runs 1.0 (L1) + Bayes Óptimo (L2)</t>
        </is>
      </c>
    </row>
    <row r="47" ht="60" customHeight="1" s="180">
      <c r="A47" s="127" t="inlineStr">
        <is>
          <t>Teoría</t>
        </is>
      </c>
      <c r="B47" s="191" t="inlineStr">
        <is>
          <t>Combina lo mejor de dos mundos: usa el L1 de Runs 1.0 (más simple y auditable) y el L2 de Bayes Óptimo (clasificador teóricamente óptimo bajo normalidad). Bayes pondera por cantidad qty_i y varianza σ²_i de cada componente en la receta, lo que respeta correctamente la propagación de varianzas para componentes con cantidades distintas (e.g., W1×2 en R6).</t>
        </is>
      </c>
    </row>
    <row r="48" ht="21.95" customHeight="1" s="180">
      <c r="A48" s="127" t="inlineStr">
        <is>
          <t>Fórmula L1</t>
        </is>
      </c>
      <c r="B48" s="155" t="inlineStr">
        <is>
          <t>OK si |w − μ_kit| ≤ 3·σ_kit (Runs 1.0)</t>
        </is>
      </c>
    </row>
    <row r="49" ht="36" customHeight="1" s="180">
      <c r="A49" s="127" t="inlineStr">
        <is>
          <t>Fórmula L2</t>
        </is>
      </c>
      <c r="B49" s="155" t="inlineStr">
        <is>
          <t>log L_i = log N(déficit | μ_i·qty_i, σ²_i·qty_i); componente = argmax log L_i; AMBIGUOUS si P_top1 − P_top2 &lt; 0.15</t>
        </is>
      </c>
    </row>
    <row r="50" ht="36" customHeight="1" s="180">
      <c r="A50" s="127" t="inlineStr">
        <is>
          <t>Fuente</t>
        </is>
      </c>
      <c r="B50" s="158" t="inlineStr">
        <is>
          <t>Hastie, Tibshirani, Friedman (2009). The Elements of Statistical Learning (2nd ed.). Springer. § 4.4 'Bayes Classifier'. ISBN: 978-0387848587. Duda, R.O., Hart, P.E., Stork, D.G. (2001). Pattern Classification (2nd ed.). Wiley.</t>
        </is>
      </c>
    </row>
    <row r="51">
      <c r="A51" s="128" t="inlineStr">
        <is>
          <t>Desempeño</t>
        </is>
      </c>
      <c r="B51" s="154" t="inlineStr">
        <is>
          <t>Ver hoja Comparativa Final</t>
        </is>
      </c>
      <c r="F51" s="129" t="inlineStr">
        <is>
          <t>→ Runs 1.0 + Bayes</t>
        </is>
      </c>
    </row>
    <row r="54" ht="22" customHeight="1" s="180">
      <c r="A54" s="199" t="inlineStr">
        <is>
          <t>8. ★ LOGISTIC REGRESSION (Multinomial) — con features derivadas</t>
        </is>
      </c>
    </row>
    <row r="55" ht="60" customHeight="1" s="180">
      <c r="A55" s="200" t="inlineStr">
        <is>
          <t>Teoría</t>
        </is>
      </c>
      <c r="B55" s="201" t="inlineStr">
        <is>
          <t>Modelo lineal probabilístico que extiende la regresión logística binaria a K clases. En lugar de usar solo el peso medido, alimenta al clasificador con features derivadas: z-score, déficit absoluto, distancia normalizada a cada componente individual y distancia absoluta a cada componente. Esto permite que el modelo capture la geometría del problema más allá del peso bruto. La función softmax convierte las salidas en probabilidades calibradas que suman 1.</t>
        </is>
      </c>
    </row>
    <row r="56" ht="22" customHeight="1" s="180">
      <c r="A56" s="200" t="inlineStr">
        <is>
          <t>Fórmula L1</t>
        </is>
      </c>
      <c r="B56" s="202" t="inlineStr">
        <is>
          <t>OK si |w − μ_kit| ≤ 3·σ_kit (idéntico a Runs 1.0)</t>
        </is>
      </c>
    </row>
    <row r="57" ht="48" customHeight="1" s="180">
      <c r="A57" s="200" t="inlineStr">
        <is>
          <t>Fórmula L2</t>
        </is>
      </c>
      <c r="B57" s="202" t="inlineStr">
        <is>
          <t>P(clase k | x) = exp(β_k·x) / Σⱼ exp(β_j·x); Features: [w, deficit, z, weight_norm, dist_S1..N2, absdist_S1..N2]; argmax sobre 6 clases candidatas</t>
        </is>
      </c>
    </row>
    <row r="58" ht="36" customHeight="1" s="180">
      <c r="A58" s="200" t="inlineStr">
        <is>
          <t>Fuente</t>
        </is>
      </c>
      <c r="B58" s="201" t="inlineStr">
        <is>
          <t>Cox, D.R., Snell, E.J. (1989). Analysis of Binary Data (2nd ed.). Chapman &amp; Hall. ISBN: 0412233606. Agresti, A. (2002). Categorical Data Analysis (2nd ed.). Wiley. Capítulo 7. ISBN: 978-0471360933.</t>
        </is>
      </c>
    </row>
    <row r="59">
      <c r="A59" s="203" t="inlineStr">
        <is>
          <t>Desempeño</t>
        </is>
      </c>
      <c r="B59" s="204" t="inlineStr">
        <is>
          <t>L1: 99.05% / L2: 97.27% (5-fold CV) — supera al techo teórico de Bayes 1-var</t>
        </is>
      </c>
      <c r="F59" s="205" t="inlineStr">
        <is>
          <t>→ Runs Logistic ML</t>
        </is>
      </c>
    </row>
    <row r="61" ht="22" customHeight="1" s="180">
      <c r="A61" s="199" t="inlineStr">
        <is>
          <t>9. ★ RANDOM FOREST — ensemble de árboles de decisión</t>
        </is>
      </c>
    </row>
    <row r="62" ht="60" customHeight="1" s="180">
      <c r="A62" s="200" t="inlineStr">
        <is>
          <t>Teoría</t>
        </is>
      </c>
      <c r="B62" s="201" t="inlineStr">
        <is>
          <t>Ensemble de 200 árboles de decisión, cada uno entrenado en una muestra bootstrap del DOE y considerando un subconjunto aleatorio de features en cada split. La predicción final es el voto mayoritario de los árboles. A diferencia de Bayes o Logistic, no asume normalidad de los datos: aprende la estructura empírica directamente del DOE. Hiperparámetros: max_depth=10, class_weight='balanced' para compensar desbalance.</t>
        </is>
      </c>
    </row>
    <row r="63" ht="22" customHeight="1" s="180">
      <c r="A63" s="200" t="inlineStr">
        <is>
          <t>Fórmula L1</t>
        </is>
      </c>
      <c r="B63" s="202" t="inlineStr">
        <is>
          <t>OK si |w − μ_kit| ≤ 3·σ_kit (idéntico a Runs 1.0)</t>
        </is>
      </c>
    </row>
    <row r="64" ht="48" customHeight="1" s="180">
      <c r="A64" s="200" t="inlineStr">
        <is>
          <t>Fórmula L2</t>
        </is>
      </c>
      <c r="B64" s="202" t="inlineStr">
        <is>
          <t>argmax_k Σ_{t=1}^{200} 1[árbol_t(x) = k]; Features idénticos a Logistic; Probabilidad = fracción de árboles que votaron por la clase</t>
        </is>
      </c>
    </row>
    <row r="65" ht="36" customHeight="1" s="180">
      <c r="A65" s="200" t="inlineStr">
        <is>
          <t>Fuente</t>
        </is>
      </c>
      <c r="B65" s="201" t="inlineStr">
        <is>
          <t>Breiman, L. (2001). Random Forests. Machine Learning, 45(1), 5-32. DOI: 10.1023/A:1010933404324. Hastie, Tibshirani, Friedman (2009). The Elements of Statistical Learning (2nd ed.). Springer. §15. ISBN: 978-0387848587.</t>
        </is>
      </c>
    </row>
    <row r="66">
      <c r="A66" s="203" t="inlineStr">
        <is>
          <t>Desempeño</t>
        </is>
      </c>
      <c r="B66" s="204" t="inlineStr">
        <is>
          <t>L1: 99.05% / L2: 96.67% (5-fold CV) — ligeramente debajo de Logistic</t>
        </is>
      </c>
      <c r="F66" s="205" t="inlineStr">
        <is>
          <t>→ Runs Random Forest</t>
        </is>
      </c>
    </row>
    <row r="68">
      <c r="A68" s="206" t="inlineStr">
        <is>
          <t>NOTA TÉCNICA — Features Derivadas (ML)</t>
        </is>
      </c>
    </row>
    <row r="69" ht="270" customHeight="1" s="180">
      <c r="A69" s="201" t="inlineStr">
        <is>
          <t>Los métodos ML usan 16 features por kit (en lugar de solo el peso bruto):
1. weight — peso medido del kit (g)
2. deficit — μ_kit − peso medido (g)
3. z — déficit normalizado por σ_kit
4. weight_norm — (peso − μ_kit) / σ_kit
5-10. dist_S1 a dist_N2 — distancia normalizada (deficit − μ_i·qty_i) / (σ_i·√qty_i)
11-16. absdist_S1 a absdist_N2 — distancia absoluta |deficit − μ_i·qty_i|
Para componentes no presentes en la receta, las distancias se fijan en 99 (sentinel).
La ventaja crítica: el modelo combina múltiples vistas del mismo dato (lineal, normalizado, absoluto) y deja que el optimizador encuentre la mejor combinación. Esto rompe el techo teórico de Bayes con 1 variable porque, aunque el peso es 1 variable, las features derivadas crean un espacio multidimensional informativo.
Validación: 5-fold Stratified Cross-Validation por receta. Cada predicción se hace con un modelo entrenado en datos que NO incluyen ese kit. Sin data leakage.</t>
        </is>
      </c>
    </row>
  </sheetData>
  <mergeCells count="58">
    <mergeCell ref="A54:F54"/>
    <mergeCell ref="B9:E9"/>
    <mergeCell ref="B7:F7"/>
    <mergeCell ref="A46:F46"/>
    <mergeCell ref="B47:F47"/>
    <mergeCell ref="B62:F62"/>
    <mergeCell ref="B30:E30"/>
    <mergeCell ref="A18:F18"/>
    <mergeCell ref="B51:E51"/>
    <mergeCell ref="B22:F22"/>
    <mergeCell ref="B58:F58"/>
    <mergeCell ref="B56:F56"/>
    <mergeCell ref="B27:F27"/>
    <mergeCell ref="B21:F21"/>
    <mergeCell ref="A2:F2"/>
    <mergeCell ref="B43:F43"/>
    <mergeCell ref="B12:F12"/>
    <mergeCell ref="A69:F69"/>
    <mergeCell ref="B48:F48"/>
    <mergeCell ref="B42:F42"/>
    <mergeCell ref="A32:F32"/>
    <mergeCell ref="B16:E16"/>
    <mergeCell ref="B59:E59"/>
    <mergeCell ref="A4:F4"/>
    <mergeCell ref="B14:F14"/>
    <mergeCell ref="B8:F8"/>
    <mergeCell ref="B13:F13"/>
    <mergeCell ref="B57:F57"/>
    <mergeCell ref="B66:E66"/>
    <mergeCell ref="B29:F29"/>
    <mergeCell ref="A68:F68"/>
    <mergeCell ref="B34:F34"/>
    <mergeCell ref="B28:F28"/>
    <mergeCell ref="B19:F19"/>
    <mergeCell ref="A39:F39"/>
    <mergeCell ref="B40:F40"/>
    <mergeCell ref="B49:F49"/>
    <mergeCell ref="B65:F65"/>
    <mergeCell ref="A11:F11"/>
    <mergeCell ref="B23:E23"/>
    <mergeCell ref="B55:F55"/>
    <mergeCell ref="B6:F6"/>
    <mergeCell ref="B20:F20"/>
    <mergeCell ref="B15:F15"/>
    <mergeCell ref="B33:F33"/>
    <mergeCell ref="A1:F1"/>
    <mergeCell ref="B64:F64"/>
    <mergeCell ref="B44:E44"/>
    <mergeCell ref="B5:F5"/>
    <mergeCell ref="A61:F61"/>
    <mergeCell ref="B63:F63"/>
    <mergeCell ref="B36:F36"/>
    <mergeCell ref="B37:E37"/>
    <mergeCell ref="B50:F50"/>
    <mergeCell ref="B26:F26"/>
    <mergeCell ref="B41:F41"/>
    <mergeCell ref="A25:F25"/>
    <mergeCell ref="B35:F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Y424"/>
  <sheetViews>
    <sheetView zoomScale="118" zoomScaleNormal="84" workbookViewId="0">
      <pane ySplit="2" topLeftCell="A3" activePane="bottomLeft" state="frozen"/>
      <selection pane="bottomLeft" activeCell="A2" sqref="A2"/>
    </sheetView>
  </sheetViews>
  <sheetFormatPr baseColWidth="8" defaultColWidth="8.7109375" defaultRowHeight="15"/>
  <cols>
    <col width="8" customWidth="1" style="180" min="1" max="1"/>
    <col width="17" customWidth="1" style="180" min="2" max="2"/>
    <col width="8" customWidth="1" style="180" min="3" max="3"/>
    <col width="11" customWidth="1" style="180" min="4" max="4"/>
    <col width="19" customWidth="1" style="180" min="5" max="5"/>
    <col width="8" customWidth="1" style="180" min="6" max="6"/>
    <col width="19" customWidth="1" style="180" min="7" max="7"/>
    <col width="11" customWidth="1" style="180" min="8" max="8"/>
    <col width="8" customWidth="1" style="180" min="9" max="9"/>
    <col width="17" customWidth="1" style="180" min="10" max="10"/>
    <col width="14" customWidth="1" style="180" min="11" max="11"/>
    <col width="13" customWidth="1" style="180" min="12" max="13"/>
    <col width="17" customWidth="1" style="180" min="14" max="14"/>
    <col width="12" customWidth="1" style="180" min="15" max="15"/>
    <col width="19" customWidth="1" style="180" min="16" max="16"/>
    <col width="10" customWidth="1" style="180" min="17" max="22"/>
    <col width="19" customWidth="1" style="180" min="23" max="23"/>
    <col width="12" customWidth="1" style="180" min="24" max="25"/>
  </cols>
  <sheetData>
    <row r="2" ht="30" customHeight="1" s="180">
      <c r="A2" s="60" t="inlineStr">
        <is>
          <t>run_id</t>
        </is>
      </c>
      <c r="B2" s="60" t="inlineStr">
        <is>
          <t>execution_order</t>
        </is>
      </c>
      <c r="C2" s="60" t="inlineStr">
        <is>
          <t>recipe</t>
        </is>
      </c>
      <c r="D2" s="60" t="inlineStr">
        <is>
          <t>condition</t>
        </is>
      </c>
      <c r="E2" s="60" t="inlineStr">
        <is>
          <t>missing_component</t>
        </is>
      </c>
      <c r="F2" s="60" t="inlineStr">
        <is>
          <t>kit_id</t>
        </is>
      </c>
      <c r="G2" s="60" t="inlineStr">
        <is>
          <t>measured_weight_g</t>
        </is>
      </c>
      <c r="H2" s="60" t="inlineStr">
        <is>
          <t>timestamp</t>
        </is>
      </c>
      <c r="I2" s="60" t="inlineStr">
        <is>
          <t>notes</t>
        </is>
      </c>
      <c r="J2" s="60" t="inlineStr">
        <is>
          <t>expected_weight</t>
        </is>
      </c>
      <c r="K2" s="60" t="inlineStr">
        <is>
          <t>expected_std</t>
        </is>
      </c>
      <c r="L2" s="60" t="inlineStr">
        <is>
          <t>lower_bound</t>
        </is>
      </c>
      <c r="M2" s="60" t="inlineStr">
        <is>
          <t>upper_bound</t>
        </is>
      </c>
      <c r="N2" s="60" t="inlineStr">
        <is>
          <t>predicted_OK_NG</t>
        </is>
      </c>
      <c r="O2" s="60" t="inlineStr">
        <is>
          <t>L1_correct</t>
        </is>
      </c>
      <c r="P2" s="60" t="inlineStr">
        <is>
          <t>deficit</t>
        </is>
      </c>
      <c r="Q2" s="60" t="inlineStr">
        <is>
          <t>match_S1</t>
        </is>
      </c>
      <c r="R2" s="60" t="inlineStr">
        <is>
          <t>match_S2</t>
        </is>
      </c>
      <c r="S2" s="60" t="inlineStr">
        <is>
          <t>match_W1</t>
        </is>
      </c>
      <c r="T2" s="60" t="inlineStr">
        <is>
          <t>match_W2</t>
        </is>
      </c>
      <c r="U2" s="60" t="inlineStr">
        <is>
          <t>match_N1</t>
        </is>
      </c>
      <c r="V2" s="60" t="inlineStr">
        <is>
          <t>match_N2</t>
        </is>
      </c>
      <c r="W2" s="60" t="inlineStr">
        <is>
          <t>predicted_missing</t>
        </is>
      </c>
      <c r="X2" s="60" t="inlineStr">
        <is>
          <t>L2_correct</t>
        </is>
      </c>
      <c r="Y2" s="60" t="inlineStr">
        <is>
          <t>17 errores</t>
        </is>
      </c>
    </row>
    <row r="3">
      <c r="A3" s="61" t="n">
        <v>1</v>
      </c>
      <c r="B3" s="62" t="n">
        <v>31</v>
      </c>
      <c r="C3" s="61" t="inlineStr">
        <is>
          <t>R3</t>
        </is>
      </c>
      <c r="D3" s="63" t="inlineStr">
        <is>
          <t>OK</t>
        </is>
      </c>
      <c r="E3" s="61" t="inlineStr">
        <is>
          <t>NONE</t>
        </is>
      </c>
      <c r="F3" s="61" t="inlineStr">
        <is>
          <t>K001</t>
        </is>
      </c>
      <c r="G3" s="64" t="n">
        <v>9.91</v>
      </c>
      <c r="H3" s="65" t="n"/>
      <c r="I3" s="66" t="n"/>
      <c r="J3" s="67">
        <f>VLOOKUP(C3,Recipes!$A$2:$N$4,10,FALSE())</f>
        <v/>
      </c>
      <c r="K3" s="68">
        <f>VLOOKUP(C3,Recipes!$A$2:$N$4,12,FALSE())</f>
        <v/>
      </c>
      <c r="L3" s="67">
        <f>J3-3*K3</f>
        <v/>
      </c>
      <c r="M3" s="67">
        <f>J3+3*K3</f>
        <v/>
      </c>
      <c r="N3" s="61">
        <f>IF(G3="","",IF(AND(G3&gt;=L3,G3&lt;=M3),"OK","NG"))</f>
        <v/>
      </c>
      <c r="O3" s="69">
        <f>IF(N3="","",IF(N3=D3,1,0))</f>
        <v/>
      </c>
      <c r="P3" s="67">
        <f>IF(G3="","",J3-G3)</f>
        <v/>
      </c>
      <c r="Q3" s="67">
        <f>IF(G3="","",ABS(P3-Components!$D$2))</f>
        <v/>
      </c>
      <c r="R3" s="67">
        <f>IF(G3="","",ABS(P3-Components!$D$3))</f>
        <v/>
      </c>
      <c r="S3" s="67">
        <f>IF(G3="","",ABS(P3-Components!$D$4))</f>
        <v/>
      </c>
      <c r="T3" s="67">
        <f>IF(G3="","",ABS(P3-Components!$D$5))</f>
        <v/>
      </c>
      <c r="U3" s="67">
        <f>IF(G3="","",ABS(P3-Components!$D$6))</f>
        <v/>
      </c>
      <c r="V3" s="67">
        <f>IF(G3="","",ABS(P3-Components!$D$7))</f>
        <v/>
      </c>
      <c r="W3" s="61">
        <f>IF(G3="","",IF(N3="OK","NONE",INDEX({"S1","S2","W1","W2","N1","N2"},MATCH(MIN(Q3:V3),Q3:V3,0))))</f>
        <v/>
      </c>
      <c r="X3" s="69">
        <f>IF(G3="","",IF(W3=E3,1,0))</f>
        <v/>
      </c>
      <c r="Y3" s="70" t="n"/>
    </row>
    <row r="4">
      <c r="A4" s="61" t="n">
        <v>2</v>
      </c>
      <c r="B4" s="62" t="n">
        <v>24</v>
      </c>
      <c r="C4" s="61" t="inlineStr">
        <is>
          <t>R3</t>
        </is>
      </c>
      <c r="D4" s="63" t="inlineStr">
        <is>
          <t>OK</t>
        </is>
      </c>
      <c r="E4" s="61" t="inlineStr">
        <is>
          <t>NONE</t>
        </is>
      </c>
      <c r="F4" s="61" t="inlineStr">
        <is>
          <t>K002</t>
        </is>
      </c>
      <c r="G4" s="64" t="n">
        <v>10</v>
      </c>
      <c r="H4" s="65" t="n"/>
      <c r="I4" s="66" t="n"/>
      <c r="J4" s="67">
        <f>VLOOKUP(C4,Recipes!$A$2:$N$4,10,FALSE())</f>
        <v/>
      </c>
      <c r="K4" s="68">
        <f>VLOOKUP(C4,Recipes!$A$2:$N$4,12,FALSE())</f>
        <v/>
      </c>
      <c r="L4" s="67">
        <f>J4-3*K4</f>
        <v/>
      </c>
      <c r="M4" s="67">
        <f>J4+3*K4</f>
        <v/>
      </c>
      <c r="N4" s="61">
        <f>IF(G4="","",IF(AND(G4&gt;=L4,G4&lt;=M4),"OK","NG"))</f>
        <v/>
      </c>
      <c r="O4" s="69">
        <f>IF(N4="","",IF(N4=D4,1,0))</f>
        <v/>
      </c>
      <c r="P4" s="67">
        <f>IF(G4="","",J4-G4)</f>
        <v/>
      </c>
      <c r="Q4" s="67">
        <f>IF(G4="","",ABS(P4-Components!$D$2))</f>
        <v/>
      </c>
      <c r="R4" s="67">
        <f>IF(G4="","",ABS(P4-Components!$D$3))</f>
        <v/>
      </c>
      <c r="S4" s="67">
        <f>IF(G4="","",ABS(P4-Components!$D$4))</f>
        <v/>
      </c>
      <c r="T4" s="67">
        <f>IF(G4="","",ABS(P4-Components!$D$5))</f>
        <v/>
      </c>
      <c r="U4" s="67">
        <f>IF(G4="","",ABS(P4-Components!$D$6))</f>
        <v/>
      </c>
      <c r="V4" s="67">
        <f>IF(G4="","",ABS(P4-Components!$D$7))</f>
        <v/>
      </c>
      <c r="W4" s="61">
        <f>IF(G4="","",IF(N4="OK","NONE",INDEX({"S1","S2","W1","W2","N1","N2"},MATCH(MIN(Q4:V4),Q4:V4,0))))</f>
        <v/>
      </c>
      <c r="X4" s="69">
        <f>IF(G4="","",IF(W4=E4,1,0))</f>
        <v/>
      </c>
      <c r="Y4" s="70" t="n"/>
    </row>
    <row r="5">
      <c r="A5" s="61" t="n">
        <v>3</v>
      </c>
      <c r="B5" s="62" t="n">
        <v>50</v>
      </c>
      <c r="C5" s="61" t="inlineStr">
        <is>
          <t>R3</t>
        </is>
      </c>
      <c r="D5" s="63" t="inlineStr">
        <is>
          <t>OK</t>
        </is>
      </c>
      <c r="E5" s="61" t="inlineStr">
        <is>
          <t>NONE</t>
        </is>
      </c>
      <c r="F5" s="61" t="inlineStr">
        <is>
          <t>K003</t>
        </is>
      </c>
      <c r="G5" s="64" t="n">
        <v>10</v>
      </c>
      <c r="H5" s="65" t="n"/>
      <c r="I5" s="66" t="n"/>
      <c r="J5" s="67">
        <f>VLOOKUP(C5,Recipes!$A$2:$N$4,10,FALSE())</f>
        <v/>
      </c>
      <c r="K5" s="68">
        <f>VLOOKUP(C5,Recipes!$A$2:$N$4,12,FALSE())</f>
        <v/>
      </c>
      <c r="L5" s="67">
        <f>J5-3*K5</f>
        <v/>
      </c>
      <c r="M5" s="67">
        <f>J5+3*K5</f>
        <v/>
      </c>
      <c r="N5" s="61">
        <f>IF(G5="","",IF(AND(G5&gt;=L5,G5&lt;=M5),"OK","NG"))</f>
        <v/>
      </c>
      <c r="O5" s="69">
        <f>IF(N5="","",IF(N5=D5,1,0))</f>
        <v/>
      </c>
      <c r="P5" s="67">
        <f>IF(G5="","",J5-G5)</f>
        <v/>
      </c>
      <c r="Q5" s="67">
        <f>IF(G5="","",ABS(P5-Components!$D$2))</f>
        <v/>
      </c>
      <c r="R5" s="67">
        <f>IF(G5="","",ABS(P5-Components!$D$3))</f>
        <v/>
      </c>
      <c r="S5" s="67">
        <f>IF(G5="","",ABS(P5-Components!$D$4))</f>
        <v/>
      </c>
      <c r="T5" s="67">
        <f>IF(G5="","",ABS(P5-Components!$D$5))</f>
        <v/>
      </c>
      <c r="U5" s="67">
        <f>IF(G5="","",ABS(P5-Components!$D$6))</f>
        <v/>
      </c>
      <c r="V5" s="67">
        <f>IF(G5="","",ABS(P5-Components!$D$7))</f>
        <v/>
      </c>
      <c r="W5" s="61">
        <f>IF(G5="","",IF(N5="OK","NONE",INDEX({"S1","S2","W1","W2","N1","N2"},MATCH(MIN(Q5:V5),Q5:V5,0))))</f>
        <v/>
      </c>
      <c r="X5" s="69">
        <f>IF(G5="","",IF(W5=E5,1,0))</f>
        <v/>
      </c>
      <c r="Y5" s="70" t="n"/>
    </row>
    <row r="6">
      <c r="A6" s="61" t="n">
        <v>4</v>
      </c>
      <c r="B6" s="62" t="n">
        <v>12</v>
      </c>
      <c r="C6" s="61" t="inlineStr">
        <is>
          <t>R3</t>
        </is>
      </c>
      <c r="D6" s="63" t="inlineStr">
        <is>
          <t>OK</t>
        </is>
      </c>
      <c r="E6" s="61" t="inlineStr">
        <is>
          <t>NONE</t>
        </is>
      </c>
      <c r="F6" s="61" t="inlineStr">
        <is>
          <t>K004</t>
        </is>
      </c>
      <c r="G6" s="64" t="n">
        <v>9.91</v>
      </c>
      <c r="H6" s="65" t="n"/>
      <c r="I6" s="66" t="n"/>
      <c r="J6" s="67">
        <f>VLOOKUP(C6,Recipes!$A$2:$N$4,10,FALSE())</f>
        <v/>
      </c>
      <c r="K6" s="68">
        <f>VLOOKUP(C6,Recipes!$A$2:$N$4,12,FALSE())</f>
        <v/>
      </c>
      <c r="L6" s="67">
        <f>J6-3*K6</f>
        <v/>
      </c>
      <c r="M6" s="67">
        <f>J6+3*K6</f>
        <v/>
      </c>
      <c r="N6" s="61">
        <f>IF(G6="","",IF(AND(G6&gt;=L6,G6&lt;=M6),"OK","NG"))</f>
        <v/>
      </c>
      <c r="O6" s="69">
        <f>IF(N6="","",IF(N6=D6,1,0))</f>
        <v/>
      </c>
      <c r="P6" s="67">
        <f>IF(G6="","",J6-G6)</f>
        <v/>
      </c>
      <c r="Q6" s="67">
        <f>IF(G6="","",ABS(P6-Components!$D$2))</f>
        <v/>
      </c>
      <c r="R6" s="67">
        <f>IF(G6="","",ABS(P6-Components!$D$3))</f>
        <v/>
      </c>
      <c r="S6" s="67">
        <f>IF(G6="","",ABS(P6-Components!$D$4))</f>
        <v/>
      </c>
      <c r="T6" s="67">
        <f>IF(G6="","",ABS(P6-Components!$D$5))</f>
        <v/>
      </c>
      <c r="U6" s="67">
        <f>IF(G6="","",ABS(P6-Components!$D$6))</f>
        <v/>
      </c>
      <c r="V6" s="67">
        <f>IF(G6="","",ABS(P6-Components!$D$7))</f>
        <v/>
      </c>
      <c r="W6" s="61">
        <f>IF(G6="","",IF(N6="OK","NONE",INDEX({"S1","S2","W1","W2","N1","N2"},MATCH(MIN(Q6:V6),Q6:V6,0))))</f>
        <v/>
      </c>
      <c r="X6" s="69">
        <f>IF(G6="","",IF(W6=E6,1,0))</f>
        <v/>
      </c>
      <c r="Y6" s="70" t="n"/>
    </row>
    <row r="7">
      <c r="A7" s="61" t="n">
        <v>5</v>
      </c>
      <c r="B7" s="62" t="n">
        <v>17</v>
      </c>
      <c r="C7" s="61" t="inlineStr">
        <is>
          <t>R3</t>
        </is>
      </c>
      <c r="D7" s="63" t="inlineStr">
        <is>
          <t>OK</t>
        </is>
      </c>
      <c r="E7" s="61" t="inlineStr">
        <is>
          <t>NONE</t>
        </is>
      </c>
      <c r="F7" s="61" t="inlineStr">
        <is>
          <t>K005</t>
        </is>
      </c>
      <c r="G7" s="64" t="n">
        <v>10.04</v>
      </c>
      <c r="H7" s="65" t="n"/>
      <c r="I7" s="66" t="n"/>
      <c r="J7" s="67">
        <f>VLOOKUP(C7,Recipes!$A$2:$N$4,10,FALSE())</f>
        <v/>
      </c>
      <c r="K7" s="68">
        <f>VLOOKUP(C7,Recipes!$A$2:$N$4,12,FALSE())</f>
        <v/>
      </c>
      <c r="L7" s="67">
        <f>J7-3*K7</f>
        <v/>
      </c>
      <c r="M7" s="67">
        <f>J7+3*K7</f>
        <v/>
      </c>
      <c r="N7" s="61">
        <f>IF(G7="","",IF(AND(G7&gt;=L7,G7&lt;=M7),"OK","NG"))</f>
        <v/>
      </c>
      <c r="O7" s="69">
        <f>IF(N7="","",IF(N7=D7,1,0))</f>
        <v/>
      </c>
      <c r="P7" s="67">
        <f>IF(G7="","",J7-G7)</f>
        <v/>
      </c>
      <c r="Q7" s="67">
        <f>IF(G7="","",ABS(P7-Components!$D$2))</f>
        <v/>
      </c>
      <c r="R7" s="67">
        <f>IF(G7="","",ABS(P7-Components!$D$3))</f>
        <v/>
      </c>
      <c r="S7" s="67">
        <f>IF(G7="","",ABS(P7-Components!$D$4))</f>
        <v/>
      </c>
      <c r="T7" s="67">
        <f>IF(G7="","",ABS(P7-Components!$D$5))</f>
        <v/>
      </c>
      <c r="U7" s="67">
        <f>IF(G7="","",ABS(P7-Components!$D$6))</f>
        <v/>
      </c>
      <c r="V7" s="67">
        <f>IF(G7="","",ABS(P7-Components!$D$7))</f>
        <v/>
      </c>
      <c r="W7" s="61">
        <f>IF(G7="","",IF(N7="OK","NONE",INDEX({"S1","S2","W1","W2","N1","N2"},MATCH(MIN(Q7:V7),Q7:V7,0))))</f>
        <v/>
      </c>
      <c r="X7" s="69">
        <f>IF(G7="","",IF(W7=E7,1,0))</f>
        <v/>
      </c>
      <c r="Y7" s="70" t="n"/>
    </row>
    <row r="8">
      <c r="A8" s="61" t="n">
        <v>5</v>
      </c>
      <c r="B8" s="62" t="n">
        <v>17</v>
      </c>
      <c r="C8" s="61" t="inlineStr">
        <is>
          <t>R3</t>
        </is>
      </c>
      <c r="D8" s="63" t="inlineStr">
        <is>
          <t>OK</t>
        </is>
      </c>
      <c r="E8" s="61" t="inlineStr">
        <is>
          <t>NONE</t>
        </is>
      </c>
      <c r="F8" s="61" t="inlineStr">
        <is>
          <t>K005</t>
        </is>
      </c>
      <c r="G8" s="64" t="n">
        <v>9.84</v>
      </c>
      <c r="H8" s="65" t="n"/>
      <c r="I8" s="66" t="n"/>
      <c r="J8" s="67">
        <f>VLOOKUP(C8,Recipes!$A$2:$N$4,10,FALSE())</f>
        <v/>
      </c>
      <c r="K8" s="68">
        <f>VLOOKUP(C8,Recipes!$A$2:$N$4,12,FALSE())</f>
        <v/>
      </c>
      <c r="L8" s="67">
        <f>J8-3*K8</f>
        <v/>
      </c>
      <c r="M8" s="67">
        <f>J8+3*K8</f>
        <v/>
      </c>
      <c r="N8" s="61">
        <f>IF(G8="","",IF(AND(G8&gt;=L8,G8&lt;=M8),"OK","NG"))</f>
        <v/>
      </c>
      <c r="O8" s="69">
        <f>IF(N8="","",IF(N8=D8,1,0))</f>
        <v/>
      </c>
      <c r="P8" s="67">
        <f>IF(G8="","",J8-G8)</f>
        <v/>
      </c>
      <c r="Q8" s="67">
        <f>IF(G8="","",ABS(P8-Components!$D$2))</f>
        <v/>
      </c>
      <c r="R8" s="67">
        <f>IF(G8="","",ABS(P8-Components!$D$3))</f>
        <v/>
      </c>
      <c r="S8" s="67">
        <f>IF(G8="","",ABS(P8-Components!$D$4))</f>
        <v/>
      </c>
      <c r="T8" s="67">
        <f>IF(G8="","",ABS(P8-Components!$D$5))</f>
        <v/>
      </c>
      <c r="U8" s="67">
        <f>IF(G8="","",ABS(P8-Components!$D$6))</f>
        <v/>
      </c>
      <c r="V8" s="67">
        <f>IF(G8="","",ABS(P8-Components!$D$7))</f>
        <v/>
      </c>
      <c r="W8" s="61">
        <f>IF(G8="","",IF(N8="OK","NONE",INDEX({"S1","S2","W1","W2","N1","N2"},MATCH(MIN(Q8:V8),Q8:V8,0))))</f>
        <v/>
      </c>
      <c r="X8" s="71">
        <f>IF(G8="","",IF(W8=E8,1,0))</f>
        <v/>
      </c>
      <c r="Y8" s="70" t="n"/>
    </row>
    <row r="9">
      <c r="A9" s="61" t="n">
        <v>5</v>
      </c>
      <c r="B9" s="62" t="n">
        <v>17</v>
      </c>
      <c r="C9" s="61" t="inlineStr">
        <is>
          <t>R3</t>
        </is>
      </c>
      <c r="D9" s="63" t="inlineStr">
        <is>
          <t>OK</t>
        </is>
      </c>
      <c r="E9" s="61" t="inlineStr">
        <is>
          <t>NONE</t>
        </is>
      </c>
      <c r="F9" s="61" t="inlineStr">
        <is>
          <t>K005</t>
        </is>
      </c>
      <c r="G9" s="64" t="n">
        <v>9.9</v>
      </c>
      <c r="H9" s="65" t="n"/>
      <c r="I9" s="66" t="n"/>
      <c r="J9" s="67">
        <f>VLOOKUP(C9,Recipes!$A$2:$N$4,10,FALSE())</f>
        <v/>
      </c>
      <c r="K9" s="68">
        <f>VLOOKUP(C9,Recipes!$A$2:$N$4,12,FALSE())</f>
        <v/>
      </c>
      <c r="L9" s="67">
        <f>J9-3*K9</f>
        <v/>
      </c>
      <c r="M9" s="67">
        <f>J9+3*K9</f>
        <v/>
      </c>
      <c r="N9" s="61">
        <f>IF(G9="","",IF(AND(G9&gt;=L9,G9&lt;=M9),"OK","NG"))</f>
        <v/>
      </c>
      <c r="O9" s="69">
        <f>IF(N9="","",IF(N9=D9,1,0))</f>
        <v/>
      </c>
      <c r="P9" s="67">
        <f>IF(G9="","",J9-G9)</f>
        <v/>
      </c>
      <c r="Q9" s="67">
        <f>IF(G9="","",ABS(P9-Components!$D$2))</f>
        <v/>
      </c>
      <c r="R9" s="67">
        <f>IF(G9="","",ABS(P9-Components!$D$3))</f>
        <v/>
      </c>
      <c r="S9" s="67">
        <f>IF(G9="","",ABS(P9-Components!$D$4))</f>
        <v/>
      </c>
      <c r="T9" s="67">
        <f>IF(G9="","",ABS(P9-Components!$D$5))</f>
        <v/>
      </c>
      <c r="U9" s="67">
        <f>IF(G9="","",ABS(P9-Components!$D$6))</f>
        <v/>
      </c>
      <c r="V9" s="67">
        <f>IF(G9="","",ABS(P9-Components!$D$7))</f>
        <v/>
      </c>
      <c r="W9" s="61">
        <f>IF(G9="","",IF(N9="OK","NONE",INDEX({"S1","S2","W1","W2","N1","N2"},MATCH(MIN(Q9:V9),Q9:V9,0))))</f>
        <v/>
      </c>
      <c r="X9" s="69">
        <f>IF(G9="","",IF(W9=E9,1,0))</f>
        <v/>
      </c>
      <c r="Y9" s="70" t="n"/>
    </row>
    <row r="10">
      <c r="A10" s="61" t="n">
        <v>5</v>
      </c>
      <c r="B10" s="62" t="n">
        <v>17</v>
      </c>
      <c r="C10" s="61" t="inlineStr">
        <is>
          <t>R3</t>
        </is>
      </c>
      <c r="D10" s="63" t="inlineStr">
        <is>
          <t>OK</t>
        </is>
      </c>
      <c r="E10" s="61" t="inlineStr">
        <is>
          <t>NONE</t>
        </is>
      </c>
      <c r="F10" s="61" t="inlineStr">
        <is>
          <t>K005</t>
        </is>
      </c>
      <c r="G10" s="64" t="n">
        <v>9.92</v>
      </c>
      <c r="H10" s="65" t="n"/>
      <c r="I10" s="66" t="n"/>
      <c r="J10" s="67">
        <f>VLOOKUP(C10,Recipes!$A$2:$N$4,10,FALSE())</f>
        <v/>
      </c>
      <c r="K10" s="68">
        <f>VLOOKUP(C10,Recipes!$A$2:$N$4,12,FALSE())</f>
        <v/>
      </c>
      <c r="L10" s="72">
        <f>J10-3*K10</f>
        <v/>
      </c>
      <c r="M10" s="72">
        <f>J10+3*K10</f>
        <v/>
      </c>
      <c r="N10" s="61">
        <f>IF(G10="","",IF(AND(G10&gt;=L10,G10&lt;=M10),"OK","NG"))</f>
        <v/>
      </c>
      <c r="O10" s="69">
        <f>IF(N10="","",IF(N10=D10,1,0))</f>
        <v/>
      </c>
      <c r="P10" s="67">
        <f>IF(G10="","",J10-G10)</f>
        <v/>
      </c>
      <c r="Q10" s="67">
        <f>IF(G10="","",ABS(P10-Components!$D$2))</f>
        <v/>
      </c>
      <c r="R10" s="67">
        <f>IF(G10="","",ABS(P10-Components!$D$3))</f>
        <v/>
      </c>
      <c r="S10" s="67">
        <f>IF(G10="","",ABS(P10-Components!$D$4))</f>
        <v/>
      </c>
      <c r="T10" s="67">
        <f>IF(G10="","",ABS(P10-Components!$D$5))</f>
        <v/>
      </c>
      <c r="U10" s="67">
        <f>IF(G10="","",ABS(P10-Components!$D$6))</f>
        <v/>
      </c>
      <c r="V10" s="67">
        <f>IF(G10="","",ABS(P10-Components!$D$7))</f>
        <v/>
      </c>
      <c r="W10" s="61">
        <f>IF(G10="","",IF(N10="OK","NONE",INDEX({"S1","S2","W1","W2","N1","N2"},MATCH(MIN(Q10:V10),Q10:V10,0))))</f>
        <v/>
      </c>
      <c r="X10" s="69">
        <f>IF(G10="","",IF(W10=E10,1,0))</f>
        <v/>
      </c>
      <c r="Y10" s="70" t="n"/>
    </row>
    <row r="11">
      <c r="A11" s="61" t="n">
        <v>5</v>
      </c>
      <c r="B11" s="62" t="n">
        <v>17</v>
      </c>
      <c r="C11" s="61" t="inlineStr">
        <is>
          <t>R3</t>
        </is>
      </c>
      <c r="D11" s="63" t="inlineStr">
        <is>
          <t>OK</t>
        </is>
      </c>
      <c r="E11" s="61" t="inlineStr">
        <is>
          <t>NONE</t>
        </is>
      </c>
      <c r="F11" s="61" t="inlineStr">
        <is>
          <t>K005</t>
        </is>
      </c>
      <c r="G11" s="64" t="n">
        <v>9.949999999999999</v>
      </c>
      <c r="H11" s="65" t="n"/>
      <c r="I11" s="66" t="n"/>
      <c r="J11" s="67">
        <f>VLOOKUP(C11,Recipes!$A$2:$N$4,10,FALSE())</f>
        <v/>
      </c>
      <c r="K11" s="68">
        <f>VLOOKUP(C11,Recipes!$A$2:$N$4,12,FALSE())</f>
        <v/>
      </c>
      <c r="L11" s="67">
        <f>J11-3*K11</f>
        <v/>
      </c>
      <c r="M11" s="67">
        <f>J11+3*K11</f>
        <v/>
      </c>
      <c r="N11" s="61">
        <f>IF(G11="","",IF(AND(G11&gt;=L11,G11&lt;=M11),"OK","NG"))</f>
        <v/>
      </c>
      <c r="O11" s="69">
        <f>IF(N11="","",IF(N11=D11,1,0))</f>
        <v/>
      </c>
      <c r="P11" s="67">
        <f>IF(G11="","",J11-G11)</f>
        <v/>
      </c>
      <c r="Q11" s="67">
        <f>IF(G11="","",ABS(P11-Components!$D$2))</f>
        <v/>
      </c>
      <c r="R11" s="67">
        <f>IF(G11="","",ABS(P11-Components!$D$3))</f>
        <v/>
      </c>
      <c r="S11" s="67">
        <f>IF(G11="","",ABS(P11-Components!$D$4))</f>
        <v/>
      </c>
      <c r="T11" s="67">
        <f>IF(G11="","",ABS(P11-Components!$D$5))</f>
        <v/>
      </c>
      <c r="U11" s="67">
        <f>IF(G11="","",ABS(P11-Components!$D$6))</f>
        <v/>
      </c>
      <c r="V11" s="67">
        <f>IF(G11="","",ABS(P11-Components!$D$7))</f>
        <v/>
      </c>
      <c r="W11" s="61">
        <f>IF(G11="","",IF(N11="OK","NONE",INDEX({"S1","S2","W1","W2","N1","N2"},MATCH(MIN(Q11:V11),Q11:V11,0))))</f>
        <v/>
      </c>
      <c r="X11" s="69">
        <f>IF(G11="","",IF(W11=E11,1,0))</f>
        <v/>
      </c>
      <c r="Y11" s="70" t="n"/>
    </row>
    <row r="12">
      <c r="A12" s="61" t="n">
        <v>5</v>
      </c>
      <c r="B12" s="62" t="n">
        <v>17</v>
      </c>
      <c r="C12" s="61" t="inlineStr">
        <is>
          <t>R3</t>
        </is>
      </c>
      <c r="D12" s="63" t="inlineStr">
        <is>
          <t>OK</t>
        </is>
      </c>
      <c r="E12" s="61" t="inlineStr">
        <is>
          <t>NONE</t>
        </is>
      </c>
      <c r="F12" s="61" t="inlineStr">
        <is>
          <t>K005</t>
        </is>
      </c>
      <c r="G12" s="64" t="n">
        <v>9.869999999999999</v>
      </c>
      <c r="H12" s="65" t="n"/>
      <c r="I12" s="66" t="n"/>
      <c r="J12" s="67">
        <f>VLOOKUP(C12,Recipes!$A$2:$N$4,10,FALSE())</f>
        <v/>
      </c>
      <c r="K12" s="68">
        <f>VLOOKUP(C12,Recipes!$A$2:$N$4,12,FALSE())</f>
        <v/>
      </c>
      <c r="L12" s="67">
        <f>J12-3*K12</f>
        <v/>
      </c>
      <c r="M12" s="67">
        <f>J12+3*K12</f>
        <v/>
      </c>
      <c r="N12" s="61">
        <f>IF(G12="","",IF(AND(G12&gt;=L12,G12&lt;=M12),"OK","NG"))</f>
        <v/>
      </c>
      <c r="O12" s="69">
        <f>IF(N12="","",IF(N12=D12,1,0))</f>
        <v/>
      </c>
      <c r="P12" s="67">
        <f>IF(G12="","",J12-G12)</f>
        <v/>
      </c>
      <c r="Q12" s="67">
        <f>IF(G12="","",ABS(P12-Components!$D$2))</f>
        <v/>
      </c>
      <c r="R12" s="67">
        <f>IF(G12="","",ABS(P12-Components!$D$3))</f>
        <v/>
      </c>
      <c r="S12" s="67">
        <f>IF(G12="","",ABS(P12-Components!$D$4))</f>
        <v/>
      </c>
      <c r="T12" s="67">
        <f>IF(G12="","",ABS(P12-Components!$D$5))</f>
        <v/>
      </c>
      <c r="U12" s="67">
        <f>IF(G12="","",ABS(P12-Components!$D$6))</f>
        <v/>
      </c>
      <c r="V12" s="67">
        <f>IF(G12="","",ABS(P12-Components!$D$7))</f>
        <v/>
      </c>
      <c r="W12" s="61">
        <f>IF(G12="","",IF(N12="OK","NONE",INDEX({"S1","S2","W1","W2","N1","N2"},MATCH(MIN(Q12:V12),Q12:V12,0))))</f>
        <v/>
      </c>
      <c r="X12" s="69">
        <f>IF(G12="","",IF(W12=E12,1,0))</f>
        <v/>
      </c>
      <c r="Y12" s="70" t="n"/>
    </row>
    <row r="13">
      <c r="A13" s="61" t="n">
        <v>5</v>
      </c>
      <c r="B13" s="62" t="n">
        <v>17</v>
      </c>
      <c r="C13" s="61" t="inlineStr">
        <is>
          <t>R3</t>
        </is>
      </c>
      <c r="D13" s="63" t="inlineStr">
        <is>
          <t>OK</t>
        </is>
      </c>
      <c r="E13" s="61" t="inlineStr">
        <is>
          <t>NONE</t>
        </is>
      </c>
      <c r="F13" s="61" t="inlineStr">
        <is>
          <t>K005</t>
        </is>
      </c>
      <c r="G13" s="64" t="n">
        <v>9.880000000000001</v>
      </c>
      <c r="H13" s="65" t="n"/>
      <c r="I13" s="66" t="n"/>
      <c r="J13" s="67">
        <f>VLOOKUP(C13,Recipes!$A$2:$N$4,10,FALSE())</f>
        <v/>
      </c>
      <c r="K13" s="68">
        <f>VLOOKUP(C13,Recipes!$A$2:$N$4,12,FALSE())</f>
        <v/>
      </c>
      <c r="L13" s="67">
        <f>J13-3*K13</f>
        <v/>
      </c>
      <c r="M13" s="67">
        <f>J13+3*K13</f>
        <v/>
      </c>
      <c r="N13" s="61">
        <f>IF(G13="","",IF(AND(G13&gt;=L13,G13&lt;=M13),"OK","NG"))</f>
        <v/>
      </c>
      <c r="O13" s="69">
        <f>IF(N13="","",IF(N13=D13,1,0))</f>
        <v/>
      </c>
      <c r="P13" s="67">
        <f>IF(G13="","",J13-G13)</f>
        <v/>
      </c>
      <c r="Q13" s="67">
        <f>IF(G13="","",ABS(P13-Components!$D$2))</f>
        <v/>
      </c>
      <c r="R13" s="67">
        <f>IF(G13="","",ABS(P13-Components!$D$3))</f>
        <v/>
      </c>
      <c r="S13" s="67">
        <f>IF(G13="","",ABS(P13-Components!$D$4))</f>
        <v/>
      </c>
      <c r="T13" s="67">
        <f>IF(G13="","",ABS(P13-Components!$D$5))</f>
        <v/>
      </c>
      <c r="U13" s="67">
        <f>IF(G13="","",ABS(P13-Components!$D$6))</f>
        <v/>
      </c>
      <c r="V13" s="67">
        <f>IF(G13="","",ABS(P13-Components!$D$7))</f>
        <v/>
      </c>
      <c r="W13" s="61">
        <f>IF(G13="","",IF(N13="OK","NONE",INDEX({"S1","S2","W1","W2","N1","N2"},MATCH(MIN(Q13:V13),Q13:V13,0))))</f>
        <v/>
      </c>
      <c r="X13" s="69">
        <f>IF(G13="","",IF(W13=E13,1,0))</f>
        <v/>
      </c>
      <c r="Y13" s="70" t="n"/>
    </row>
    <row r="14">
      <c r="A14" s="61" t="n">
        <v>5</v>
      </c>
      <c r="B14" s="62" t="n">
        <v>17</v>
      </c>
      <c r="C14" s="61" t="inlineStr">
        <is>
          <t>R3</t>
        </is>
      </c>
      <c r="D14" s="63" t="inlineStr">
        <is>
          <t>OK</t>
        </is>
      </c>
      <c r="E14" s="61" t="inlineStr">
        <is>
          <t>NONE</t>
        </is>
      </c>
      <c r="F14" s="61" t="inlineStr">
        <is>
          <t>K005</t>
        </is>
      </c>
      <c r="G14" s="64" t="n">
        <v>9.91</v>
      </c>
      <c r="H14" s="65" t="n"/>
      <c r="I14" s="66" t="n"/>
      <c r="J14" s="67">
        <f>VLOOKUP(C14,Recipes!$A$2:$N$4,10,FALSE())</f>
        <v/>
      </c>
      <c r="K14" s="68">
        <f>VLOOKUP(C14,Recipes!$A$2:$N$4,12,FALSE())</f>
        <v/>
      </c>
      <c r="L14" s="67">
        <f>J14-3*K14</f>
        <v/>
      </c>
      <c r="M14" s="67">
        <f>J14+3*K14</f>
        <v/>
      </c>
      <c r="N14" s="61">
        <f>IF(G14="","",IF(AND(G14&gt;=L14,G14&lt;=M14),"OK","NG"))</f>
        <v/>
      </c>
      <c r="O14" s="69">
        <f>IF(N14="","",IF(N14=D14,1,0))</f>
        <v/>
      </c>
      <c r="P14" s="67">
        <f>IF(G14="","",J14-G14)</f>
        <v/>
      </c>
      <c r="Q14" s="67">
        <f>IF(G14="","",ABS(P14-Components!$D$2))</f>
        <v/>
      </c>
      <c r="R14" s="67">
        <f>IF(G14="","",ABS(P14-Components!$D$3))</f>
        <v/>
      </c>
      <c r="S14" s="67">
        <f>IF(G14="","",ABS(P14-Components!$D$4))</f>
        <v/>
      </c>
      <c r="T14" s="67">
        <f>IF(G14="","",ABS(P14-Components!$D$5))</f>
        <v/>
      </c>
      <c r="U14" s="67">
        <f>IF(G14="","",ABS(P14-Components!$D$6))</f>
        <v/>
      </c>
      <c r="V14" s="67">
        <f>IF(G14="","",ABS(P14-Components!$D$7))</f>
        <v/>
      </c>
      <c r="W14" s="61">
        <f>IF(G14="","",IF(N14="OK","NONE",INDEX({"S1","S2","W1","W2","N1","N2"},MATCH(MIN(Q14:V14),Q14:V14,0))))</f>
        <v/>
      </c>
      <c r="X14" s="69">
        <f>IF(G14="","",IF(W14=E14,1,0))</f>
        <v/>
      </c>
      <c r="Y14" s="70" t="n"/>
    </row>
    <row r="15">
      <c r="A15" s="61" t="n">
        <v>5</v>
      </c>
      <c r="B15" s="62" t="n">
        <v>17</v>
      </c>
      <c r="C15" s="61" t="inlineStr">
        <is>
          <t>R3</t>
        </is>
      </c>
      <c r="D15" s="63" t="inlineStr">
        <is>
          <t>OK</t>
        </is>
      </c>
      <c r="E15" s="61" t="inlineStr">
        <is>
          <t>NONE</t>
        </is>
      </c>
      <c r="F15" s="61" t="inlineStr">
        <is>
          <t>K005</t>
        </is>
      </c>
      <c r="G15" s="64" t="n">
        <v>9.9</v>
      </c>
      <c r="H15" s="65" t="n"/>
      <c r="I15" s="66" t="n"/>
      <c r="J15" s="67">
        <f>VLOOKUP(C15,Recipes!$A$2:$N$4,10,FALSE())</f>
        <v/>
      </c>
      <c r="K15" s="68">
        <f>VLOOKUP(C15,Recipes!$A$2:$N$4,12,FALSE())</f>
        <v/>
      </c>
      <c r="L15" s="67">
        <f>J15-3*K15</f>
        <v/>
      </c>
      <c r="M15" s="67">
        <f>J15+3*K15</f>
        <v/>
      </c>
      <c r="N15" s="61">
        <f>IF(G15="","",IF(AND(G15&gt;=L15,G15&lt;=M15),"OK","NG"))</f>
        <v/>
      </c>
      <c r="O15" s="69">
        <f>IF(N15="","",IF(N15=D15,1,0))</f>
        <v/>
      </c>
      <c r="P15" s="67">
        <f>IF(G15="","",J15-G15)</f>
        <v/>
      </c>
      <c r="Q15" s="67">
        <f>IF(G15="","",ABS(P15-Components!$D$2))</f>
        <v/>
      </c>
      <c r="R15" s="67">
        <f>IF(G15="","",ABS(P15-Components!$D$3))</f>
        <v/>
      </c>
      <c r="S15" s="67">
        <f>IF(G15="","",ABS(P15-Components!$D$4))</f>
        <v/>
      </c>
      <c r="T15" s="67">
        <f>IF(G15="","",ABS(P15-Components!$D$5))</f>
        <v/>
      </c>
      <c r="U15" s="67">
        <f>IF(G15="","",ABS(P15-Components!$D$6))</f>
        <v/>
      </c>
      <c r="V15" s="67">
        <f>IF(G15="","",ABS(P15-Components!$D$7))</f>
        <v/>
      </c>
      <c r="W15" s="61">
        <f>IF(G15="","",IF(N15="OK","NONE",INDEX({"S1","S2","W1","W2","N1","N2"},MATCH(MIN(Q15:V15),Q15:V15,0))))</f>
        <v/>
      </c>
      <c r="X15" s="69">
        <f>IF(G15="","",IF(W15=E15,1,0))</f>
        <v/>
      </c>
      <c r="Y15" s="70" t="n"/>
    </row>
    <row r="16">
      <c r="A16" s="61" t="n">
        <v>5</v>
      </c>
      <c r="B16" s="62" t="n">
        <v>17</v>
      </c>
      <c r="C16" s="61" t="inlineStr">
        <is>
          <t>R3</t>
        </is>
      </c>
      <c r="D16" s="63" t="inlineStr">
        <is>
          <t>OK</t>
        </is>
      </c>
      <c r="E16" s="61" t="inlineStr">
        <is>
          <t>NONE</t>
        </is>
      </c>
      <c r="F16" s="61" t="inlineStr">
        <is>
          <t>K005</t>
        </is>
      </c>
      <c r="G16" s="64" t="n">
        <v>9.92</v>
      </c>
      <c r="H16" s="65" t="n"/>
      <c r="I16" s="66" t="n"/>
      <c r="J16" s="67">
        <f>VLOOKUP(C16,Recipes!$A$2:$N$4,10,FALSE())</f>
        <v/>
      </c>
      <c r="K16" s="68">
        <f>VLOOKUP(C16,Recipes!$A$2:$N$4,12,FALSE())</f>
        <v/>
      </c>
      <c r="L16" s="67">
        <f>J16-3*K16</f>
        <v/>
      </c>
      <c r="M16" s="67">
        <f>J16+3*K16</f>
        <v/>
      </c>
      <c r="N16" s="61">
        <f>IF(G16="","",IF(AND(G16&gt;=L16,G16&lt;=M16),"OK","NG"))</f>
        <v/>
      </c>
      <c r="O16" s="69">
        <f>IF(N16="","",IF(N16=D16,1,0))</f>
        <v/>
      </c>
      <c r="P16" s="67">
        <f>IF(G16="","",J16-G16)</f>
        <v/>
      </c>
      <c r="Q16" s="67">
        <f>IF(G16="","",ABS(P16-Components!$D$2))</f>
        <v/>
      </c>
      <c r="R16" s="67">
        <f>IF(G16="","",ABS(P16-Components!$D$3))</f>
        <v/>
      </c>
      <c r="S16" s="67">
        <f>IF(G16="","",ABS(P16-Components!$D$4))</f>
        <v/>
      </c>
      <c r="T16" s="67">
        <f>IF(G16="","",ABS(P16-Components!$D$5))</f>
        <v/>
      </c>
      <c r="U16" s="67">
        <f>IF(G16="","",ABS(P16-Components!$D$6))</f>
        <v/>
      </c>
      <c r="V16" s="67">
        <f>IF(G16="","",ABS(P16-Components!$D$7))</f>
        <v/>
      </c>
      <c r="W16" s="61">
        <f>IF(G16="","",IF(N16="OK","NONE",INDEX({"S1","S2","W1","W2","N1","N2"},MATCH(MIN(Q16:V16),Q16:V16,0))))</f>
        <v/>
      </c>
      <c r="X16" s="69">
        <f>IF(G16="","",IF(W16=E16,1,0))</f>
        <v/>
      </c>
      <c r="Y16" s="70" t="n"/>
    </row>
    <row r="17">
      <c r="A17" s="61" t="n">
        <v>5</v>
      </c>
      <c r="B17" s="62" t="n">
        <v>17</v>
      </c>
      <c r="C17" s="61" t="inlineStr">
        <is>
          <t>R3</t>
        </is>
      </c>
      <c r="D17" s="63" t="inlineStr">
        <is>
          <t>OK</t>
        </is>
      </c>
      <c r="E17" s="61" t="inlineStr">
        <is>
          <t>NONE</t>
        </is>
      </c>
      <c r="F17" s="61" t="inlineStr">
        <is>
          <t>K005</t>
        </is>
      </c>
      <c r="G17" s="64" t="n">
        <v>9.94</v>
      </c>
      <c r="H17" s="65" t="n"/>
      <c r="I17" s="66" t="n"/>
      <c r="J17" s="67">
        <f>VLOOKUP(C17,Recipes!$A$2:$N$4,10,FALSE())</f>
        <v/>
      </c>
      <c r="K17" s="68">
        <f>VLOOKUP(C17,Recipes!$A$2:$N$4,12,FALSE())</f>
        <v/>
      </c>
      <c r="L17" s="67">
        <f>J17-3*K17</f>
        <v/>
      </c>
      <c r="M17" s="67">
        <f>J17+3*K17</f>
        <v/>
      </c>
      <c r="N17" s="61">
        <f>IF(G17="","",IF(AND(G17&gt;=L17,G17&lt;=M17),"OK","NG"))</f>
        <v/>
      </c>
      <c r="O17" s="69">
        <f>IF(N17="","",IF(N17=D17,1,0))</f>
        <v/>
      </c>
      <c r="P17" s="67">
        <f>IF(G17="","",J17-G17)</f>
        <v/>
      </c>
      <c r="Q17" s="67">
        <f>IF(G17="","",ABS(P17-Components!$D$2))</f>
        <v/>
      </c>
      <c r="R17" s="67">
        <f>IF(G17="","",ABS(P17-Components!$D$3))</f>
        <v/>
      </c>
      <c r="S17" s="67">
        <f>IF(G17="","",ABS(P17-Components!$D$4))</f>
        <v/>
      </c>
      <c r="T17" s="67">
        <f>IF(G17="","",ABS(P17-Components!$D$5))</f>
        <v/>
      </c>
      <c r="U17" s="67">
        <f>IF(G17="","",ABS(P17-Components!$D$6))</f>
        <v/>
      </c>
      <c r="V17" s="67">
        <f>IF(G17="","",ABS(P17-Components!$D$7))</f>
        <v/>
      </c>
      <c r="W17" s="61">
        <f>IF(G17="","",IF(N17="OK","NONE",INDEX({"S1","S2","W1","W2","N1","N2"},MATCH(MIN(Q17:V17),Q17:V17,0))))</f>
        <v/>
      </c>
      <c r="X17" s="69">
        <f>IF(G17="","",IF(W17=E17,1,0))</f>
        <v/>
      </c>
      <c r="Y17" s="70" t="n"/>
    </row>
    <row r="18">
      <c r="A18" s="61" t="n">
        <v>5</v>
      </c>
      <c r="B18" s="62" t="n">
        <v>17</v>
      </c>
      <c r="C18" s="61" t="inlineStr">
        <is>
          <t>R3</t>
        </is>
      </c>
      <c r="D18" s="63" t="inlineStr">
        <is>
          <t>OK</t>
        </is>
      </c>
      <c r="E18" s="61" t="inlineStr">
        <is>
          <t>NONE</t>
        </is>
      </c>
      <c r="F18" s="61" t="inlineStr">
        <is>
          <t>K005</t>
        </is>
      </c>
      <c r="G18" s="64" t="n">
        <v>9.92</v>
      </c>
      <c r="H18" s="65" t="n"/>
      <c r="I18" s="66" t="n"/>
      <c r="J18" s="67">
        <f>VLOOKUP(C18,Recipes!$A$2:$N$4,10,FALSE())</f>
        <v/>
      </c>
      <c r="K18" s="68">
        <f>VLOOKUP(C18,Recipes!$A$2:$N$4,12,FALSE())</f>
        <v/>
      </c>
      <c r="L18" s="67">
        <f>J18-3*K18</f>
        <v/>
      </c>
      <c r="M18" s="67">
        <f>J18+3*K18</f>
        <v/>
      </c>
      <c r="N18" s="61">
        <f>IF(G18="","",IF(AND(G18&gt;=L18,G18&lt;=M18),"OK","NG"))</f>
        <v/>
      </c>
      <c r="O18" s="69">
        <f>IF(N18="","",IF(N18=D18,1,0))</f>
        <v/>
      </c>
      <c r="P18" s="67">
        <f>IF(G18="","",J18-G18)</f>
        <v/>
      </c>
      <c r="Q18" s="67">
        <f>IF(G18="","",ABS(P18-Components!$D$2))</f>
        <v/>
      </c>
      <c r="R18" s="67">
        <f>IF(G18="","",ABS(P18-Components!$D$3))</f>
        <v/>
      </c>
      <c r="S18" s="67">
        <f>IF(G18="","",ABS(P18-Components!$D$4))</f>
        <v/>
      </c>
      <c r="T18" s="67">
        <f>IF(G18="","",ABS(P18-Components!$D$5))</f>
        <v/>
      </c>
      <c r="U18" s="67">
        <f>IF(G18="","",ABS(P18-Components!$D$6))</f>
        <v/>
      </c>
      <c r="V18" s="67">
        <f>IF(G18="","",ABS(P18-Components!$D$7))</f>
        <v/>
      </c>
      <c r="W18" s="61">
        <f>IF(G18="","",IF(N18="OK","NONE",INDEX({"S1","S2","W1","W2","N1","N2"},MATCH(MIN(Q18:V18),Q18:V18,0))))</f>
        <v/>
      </c>
      <c r="X18" s="69">
        <f>IF(G18="","",IF(W18=E18,1,0))</f>
        <v/>
      </c>
      <c r="Y18" s="70" t="n"/>
    </row>
    <row r="19">
      <c r="A19" s="61" t="n">
        <v>5</v>
      </c>
      <c r="B19" s="62" t="n">
        <v>17</v>
      </c>
      <c r="C19" s="61" t="inlineStr">
        <is>
          <t>R3</t>
        </is>
      </c>
      <c r="D19" s="63" t="inlineStr">
        <is>
          <t>OK</t>
        </is>
      </c>
      <c r="E19" s="61" t="inlineStr">
        <is>
          <t>NONE</t>
        </is>
      </c>
      <c r="F19" s="61" t="inlineStr">
        <is>
          <t>K005</t>
        </is>
      </c>
      <c r="G19" s="64" t="n">
        <v>9.890000000000001</v>
      </c>
      <c r="H19" s="65" t="n"/>
      <c r="I19" s="66" t="n"/>
      <c r="J19" s="67">
        <f>VLOOKUP(C19,Recipes!$A$2:$N$4,10,FALSE())</f>
        <v/>
      </c>
      <c r="K19" s="68">
        <f>VLOOKUP(C19,Recipes!$A$2:$N$4,12,FALSE())</f>
        <v/>
      </c>
      <c r="L19" s="67">
        <f>J19-3*K19</f>
        <v/>
      </c>
      <c r="M19" s="67">
        <f>J19+3*K19</f>
        <v/>
      </c>
      <c r="N19" s="61">
        <f>IF(G19="","",IF(AND(G19&gt;=L19,G19&lt;=M19),"OK","NG"))</f>
        <v/>
      </c>
      <c r="O19" s="69">
        <f>IF(N19="","",IF(N19=D19,1,0))</f>
        <v/>
      </c>
      <c r="P19" s="67">
        <f>IF(G19="","",J19-G19)</f>
        <v/>
      </c>
      <c r="Q19" s="67">
        <f>IF(G19="","",ABS(P19-Components!$D$2))</f>
        <v/>
      </c>
      <c r="R19" s="67">
        <f>IF(G19="","",ABS(P19-Components!$D$3))</f>
        <v/>
      </c>
      <c r="S19" s="67">
        <f>IF(G19="","",ABS(P19-Components!$D$4))</f>
        <v/>
      </c>
      <c r="T19" s="67">
        <f>IF(G19="","",ABS(P19-Components!$D$5))</f>
        <v/>
      </c>
      <c r="U19" s="67">
        <f>IF(G19="","",ABS(P19-Components!$D$6))</f>
        <v/>
      </c>
      <c r="V19" s="67">
        <f>IF(G19="","",ABS(P19-Components!$D$7))</f>
        <v/>
      </c>
      <c r="W19" s="61">
        <f>IF(G19="","",IF(N19="OK","NONE",INDEX({"S1","S2","W1","W2","N1","N2"},MATCH(MIN(Q19:V19),Q19:V19,0))))</f>
        <v/>
      </c>
      <c r="X19" s="69">
        <f>IF(G19="","",IF(W19=E19,1,0))</f>
        <v/>
      </c>
      <c r="Y19" s="70" t="n"/>
    </row>
    <row r="20">
      <c r="A20" s="61" t="n">
        <v>5</v>
      </c>
      <c r="B20" s="62" t="n">
        <v>17</v>
      </c>
      <c r="C20" s="61" t="inlineStr">
        <is>
          <t>R3</t>
        </is>
      </c>
      <c r="D20" s="63" t="inlineStr">
        <is>
          <t>OK</t>
        </is>
      </c>
      <c r="E20" s="61" t="inlineStr">
        <is>
          <t>NONE</t>
        </is>
      </c>
      <c r="F20" s="61" t="inlineStr">
        <is>
          <t>K005</t>
        </is>
      </c>
      <c r="G20" s="64" t="n">
        <v>9.92</v>
      </c>
      <c r="H20" s="65" t="n"/>
      <c r="I20" s="66" t="n"/>
      <c r="J20" s="67">
        <f>VLOOKUP(C20,Recipes!$A$2:$N$4,10,FALSE())</f>
        <v/>
      </c>
      <c r="K20" s="68">
        <f>VLOOKUP(C20,Recipes!$A$2:$N$4,12,FALSE())</f>
        <v/>
      </c>
      <c r="L20" s="67">
        <f>J20-3*K20</f>
        <v/>
      </c>
      <c r="M20" s="67">
        <f>J20+3*K20</f>
        <v/>
      </c>
      <c r="N20" s="61">
        <f>IF(G20="","",IF(AND(G20&gt;=L20,G20&lt;=M20),"OK","NG"))</f>
        <v/>
      </c>
      <c r="O20" s="69">
        <f>IF(N20="","",IF(N20=D20,1,0))</f>
        <v/>
      </c>
      <c r="P20" s="67">
        <f>IF(G20="","",J20-G20)</f>
        <v/>
      </c>
      <c r="Q20" s="67">
        <f>IF(G20="","",ABS(P20-Components!$D$2))</f>
        <v/>
      </c>
      <c r="R20" s="67">
        <f>IF(G20="","",ABS(P20-Components!$D$3))</f>
        <v/>
      </c>
      <c r="S20" s="67">
        <f>IF(G20="","",ABS(P20-Components!$D$4))</f>
        <v/>
      </c>
      <c r="T20" s="67">
        <f>IF(G20="","",ABS(P20-Components!$D$5))</f>
        <v/>
      </c>
      <c r="U20" s="67">
        <f>IF(G20="","",ABS(P20-Components!$D$6))</f>
        <v/>
      </c>
      <c r="V20" s="67">
        <f>IF(G20="","",ABS(P20-Components!$D$7))</f>
        <v/>
      </c>
      <c r="W20" s="61">
        <f>IF(G20="","",IF(N20="OK","NONE",INDEX({"S1","S2","W1","W2","N1","N2"},MATCH(MIN(Q20:V20),Q20:V20,0))))</f>
        <v/>
      </c>
      <c r="X20" s="69">
        <f>IF(G20="","",IF(W20=E20,1,0))</f>
        <v/>
      </c>
      <c r="Y20" s="70" t="n"/>
    </row>
    <row r="21">
      <c r="A21" s="61" t="n">
        <v>5</v>
      </c>
      <c r="B21" s="62" t="n">
        <v>17</v>
      </c>
      <c r="C21" s="61" t="inlineStr">
        <is>
          <t>R3</t>
        </is>
      </c>
      <c r="D21" s="63" t="inlineStr">
        <is>
          <t>OK</t>
        </is>
      </c>
      <c r="E21" s="61" t="inlineStr">
        <is>
          <t>NONE</t>
        </is>
      </c>
      <c r="F21" s="61" t="inlineStr">
        <is>
          <t>K005</t>
        </is>
      </c>
      <c r="G21" s="64" t="n">
        <v>9.949999999999999</v>
      </c>
      <c r="H21" s="65" t="n"/>
      <c r="I21" s="66" t="n"/>
      <c r="J21" s="67">
        <f>VLOOKUP(C21,Recipes!$A$2:$N$4,10,FALSE())</f>
        <v/>
      </c>
      <c r="K21" s="68">
        <f>VLOOKUP(C21,Recipes!$A$2:$N$4,12,FALSE())</f>
        <v/>
      </c>
      <c r="L21" s="67">
        <f>J21-3*K21</f>
        <v/>
      </c>
      <c r="M21" s="67">
        <f>J21+3*K21</f>
        <v/>
      </c>
      <c r="N21" s="61">
        <f>IF(G21="","",IF(AND(G21&gt;=L21,G21&lt;=M21),"OK","NG"))</f>
        <v/>
      </c>
      <c r="O21" s="69">
        <f>IF(N21="","",IF(N21=D21,1,0))</f>
        <v/>
      </c>
      <c r="P21" s="67">
        <f>IF(G21="","",J21-G21)</f>
        <v/>
      </c>
      <c r="Q21" s="67">
        <f>IF(G21="","",ABS(P21-Components!$D$2))</f>
        <v/>
      </c>
      <c r="R21" s="67">
        <f>IF(G21="","",ABS(P21-Components!$D$3))</f>
        <v/>
      </c>
      <c r="S21" s="67">
        <f>IF(G21="","",ABS(P21-Components!$D$4))</f>
        <v/>
      </c>
      <c r="T21" s="67">
        <f>IF(G21="","",ABS(P21-Components!$D$5))</f>
        <v/>
      </c>
      <c r="U21" s="67">
        <f>IF(G21="","",ABS(P21-Components!$D$6))</f>
        <v/>
      </c>
      <c r="V21" s="67">
        <f>IF(G21="","",ABS(P21-Components!$D$7))</f>
        <v/>
      </c>
      <c r="W21" s="61">
        <f>IF(G21="","",IF(N21="OK","NONE",INDEX({"S1","S2","W1","W2","N1","N2"},MATCH(MIN(Q21:V21),Q21:V21,0))))</f>
        <v/>
      </c>
      <c r="X21" s="69">
        <f>IF(G21="","",IF(W21=E21,1,0))</f>
        <v/>
      </c>
      <c r="Y21" s="70" t="n"/>
    </row>
    <row r="22">
      <c r="A22" s="61" t="n">
        <v>5</v>
      </c>
      <c r="B22" s="62" t="n">
        <v>17</v>
      </c>
      <c r="C22" s="61" t="inlineStr">
        <is>
          <t>R3</t>
        </is>
      </c>
      <c r="D22" s="63" t="inlineStr">
        <is>
          <t>OK</t>
        </is>
      </c>
      <c r="E22" s="61" t="inlineStr">
        <is>
          <t>NONE</t>
        </is>
      </c>
      <c r="F22" s="61" t="inlineStr">
        <is>
          <t>K005</t>
        </is>
      </c>
      <c r="G22" s="64" t="n">
        <v>9.98</v>
      </c>
      <c r="H22" s="65" t="n"/>
      <c r="I22" s="66" t="n"/>
      <c r="J22" s="67">
        <f>VLOOKUP(C22,Recipes!$A$2:$N$4,10,FALSE())</f>
        <v/>
      </c>
      <c r="K22" s="68">
        <f>VLOOKUP(C22,Recipes!$A$2:$N$4,12,FALSE())</f>
        <v/>
      </c>
      <c r="L22" s="67">
        <f>J22-3*K22</f>
        <v/>
      </c>
      <c r="M22" s="67">
        <f>J22+3*K22</f>
        <v/>
      </c>
      <c r="N22" s="61">
        <f>IF(G22="","",IF(AND(G22&gt;=L22,G22&lt;=M22),"OK","NG"))</f>
        <v/>
      </c>
      <c r="O22" s="69">
        <f>IF(N22="","",IF(N22=D22,1,0))</f>
        <v/>
      </c>
      <c r="P22" s="67">
        <f>IF(G22="","",J22-G22)</f>
        <v/>
      </c>
      <c r="Q22" s="67">
        <f>IF(G22="","",ABS(P22-Components!$D$2))</f>
        <v/>
      </c>
      <c r="R22" s="67">
        <f>IF(G22="","",ABS(P22-Components!$D$3))</f>
        <v/>
      </c>
      <c r="S22" s="67">
        <f>IF(G22="","",ABS(P22-Components!$D$4))</f>
        <v/>
      </c>
      <c r="T22" s="67">
        <f>IF(G22="","",ABS(P22-Components!$D$5))</f>
        <v/>
      </c>
      <c r="U22" s="67">
        <f>IF(G22="","",ABS(P22-Components!$D$6))</f>
        <v/>
      </c>
      <c r="V22" s="67">
        <f>IF(G22="","",ABS(P22-Components!$D$7))</f>
        <v/>
      </c>
      <c r="W22" s="61">
        <f>IF(G22="","",IF(N22="OK","NONE",INDEX({"S1","S2","W1","W2","N1","N2"},MATCH(MIN(Q22:V22),Q22:V22,0))))</f>
        <v/>
      </c>
      <c r="X22" s="69">
        <f>IF(G22="","",IF(W22=E22,1,0))</f>
        <v/>
      </c>
      <c r="Y22" s="70" t="n"/>
    </row>
    <row r="23">
      <c r="A23" s="61" t="n">
        <v>5</v>
      </c>
      <c r="B23" s="62" t="n">
        <v>17</v>
      </c>
      <c r="C23" s="61" t="inlineStr">
        <is>
          <t>R3</t>
        </is>
      </c>
      <c r="D23" s="63" t="inlineStr">
        <is>
          <t>OK</t>
        </is>
      </c>
      <c r="E23" s="61" t="inlineStr">
        <is>
          <t>NONE</t>
        </is>
      </c>
      <c r="F23" s="61" t="inlineStr">
        <is>
          <t>K005</t>
        </is>
      </c>
      <c r="G23" s="64" t="n">
        <v>9.99</v>
      </c>
      <c r="H23" s="65" t="n"/>
      <c r="I23" s="66" t="n"/>
      <c r="J23" s="67">
        <f>VLOOKUP(C23,Recipes!$A$2:$N$4,10,FALSE())</f>
        <v/>
      </c>
      <c r="K23" s="68">
        <f>VLOOKUP(C23,Recipes!$A$2:$N$4,12,FALSE())</f>
        <v/>
      </c>
      <c r="L23" s="67">
        <f>J23-3*K23</f>
        <v/>
      </c>
      <c r="M23" s="67">
        <f>J23+3*K23</f>
        <v/>
      </c>
      <c r="N23" s="61">
        <f>IF(G23="","",IF(AND(G23&gt;=L23,G23&lt;=M23),"OK","NG"))</f>
        <v/>
      </c>
      <c r="O23" s="69">
        <f>IF(N23="","",IF(N23=D23,1,0))</f>
        <v/>
      </c>
      <c r="P23" s="67">
        <f>IF(G23="","",J23-G23)</f>
        <v/>
      </c>
      <c r="Q23" s="67">
        <f>IF(G23="","",ABS(P23-Components!$D$2))</f>
        <v/>
      </c>
      <c r="R23" s="67">
        <f>IF(G23="","",ABS(P23-Components!$D$3))</f>
        <v/>
      </c>
      <c r="S23" s="67">
        <f>IF(G23="","",ABS(P23-Components!$D$4))</f>
        <v/>
      </c>
      <c r="T23" s="67">
        <f>IF(G23="","",ABS(P23-Components!$D$5))</f>
        <v/>
      </c>
      <c r="U23" s="67">
        <f>IF(G23="","",ABS(P23-Components!$D$6))</f>
        <v/>
      </c>
      <c r="V23" s="67">
        <f>IF(G23="","",ABS(P23-Components!$D$7))</f>
        <v/>
      </c>
      <c r="W23" s="61">
        <f>IF(G23="","",IF(N23="OK","NONE",INDEX({"S1","S2","W1","W2","N1","N2"},MATCH(MIN(Q23:V23),Q23:V23,0))))</f>
        <v/>
      </c>
      <c r="X23" s="69">
        <f>IF(G23="","",IF(W23=E23,1,0))</f>
        <v/>
      </c>
      <c r="Y23" s="70" t="n"/>
    </row>
    <row r="24">
      <c r="A24" s="61" t="n">
        <v>5</v>
      </c>
      <c r="B24" s="62" t="n">
        <v>17</v>
      </c>
      <c r="C24" s="61" t="inlineStr">
        <is>
          <t>R3</t>
        </is>
      </c>
      <c r="D24" s="63" t="inlineStr">
        <is>
          <t>OK</t>
        </is>
      </c>
      <c r="E24" s="61" t="inlineStr">
        <is>
          <t>NONE</t>
        </is>
      </c>
      <c r="F24" s="61" t="inlineStr">
        <is>
          <t>K005</t>
        </is>
      </c>
      <c r="G24" s="64" t="n">
        <v>9.9</v>
      </c>
      <c r="H24" s="65" t="n"/>
      <c r="I24" s="66" t="n"/>
      <c r="J24" s="67">
        <f>VLOOKUP(C24,Recipes!$A$2:$N$4,10,FALSE())</f>
        <v/>
      </c>
      <c r="K24" s="68">
        <f>VLOOKUP(C24,Recipes!$A$2:$N$4,12,FALSE())</f>
        <v/>
      </c>
      <c r="L24" s="67">
        <f>J24-3*K24</f>
        <v/>
      </c>
      <c r="M24" s="67">
        <f>J24+3*K24</f>
        <v/>
      </c>
      <c r="N24" s="61">
        <f>IF(G24="","",IF(AND(G24&gt;=L24,G24&lt;=M24),"OK","NG"))</f>
        <v/>
      </c>
      <c r="O24" s="69">
        <f>IF(N24="","",IF(N24=D24,1,0))</f>
        <v/>
      </c>
      <c r="P24" s="67">
        <f>IF(G24="","",J24-G24)</f>
        <v/>
      </c>
      <c r="Q24" s="67">
        <f>IF(G24="","",ABS(P24-Components!$D$2))</f>
        <v/>
      </c>
      <c r="R24" s="67">
        <f>IF(G24="","",ABS(P24-Components!$D$3))</f>
        <v/>
      </c>
      <c r="S24" s="67">
        <f>IF(G24="","",ABS(P24-Components!$D$4))</f>
        <v/>
      </c>
      <c r="T24" s="67">
        <f>IF(G24="","",ABS(P24-Components!$D$5))</f>
        <v/>
      </c>
      <c r="U24" s="67">
        <f>IF(G24="","",ABS(P24-Components!$D$6))</f>
        <v/>
      </c>
      <c r="V24" s="67">
        <f>IF(G24="","",ABS(P24-Components!$D$7))</f>
        <v/>
      </c>
      <c r="W24" s="61">
        <f>IF(G24="","",IF(N24="OK","NONE",INDEX({"S1","S2","W1","W2","N1","N2"},MATCH(MIN(Q24:V24),Q24:V24,0))))</f>
        <v/>
      </c>
      <c r="X24" s="69">
        <f>IF(G24="","",IF(W24=E24,1,0))</f>
        <v/>
      </c>
      <c r="Y24" s="70" t="n"/>
    </row>
    <row r="25">
      <c r="A25" s="61" t="n">
        <v>5</v>
      </c>
      <c r="B25" s="62" t="n">
        <v>17</v>
      </c>
      <c r="C25" s="61" t="inlineStr">
        <is>
          <t>R3</t>
        </is>
      </c>
      <c r="D25" s="63" t="inlineStr">
        <is>
          <t>OK</t>
        </is>
      </c>
      <c r="E25" s="61" t="inlineStr">
        <is>
          <t>NONE</t>
        </is>
      </c>
      <c r="F25" s="61" t="inlineStr">
        <is>
          <t>K005</t>
        </is>
      </c>
      <c r="G25" s="64" t="n">
        <v>9.970000000000001</v>
      </c>
      <c r="H25" s="65" t="n"/>
      <c r="I25" s="66" t="n"/>
      <c r="J25" s="67">
        <f>VLOOKUP(C25,Recipes!$A$2:$N$4,10,FALSE())</f>
        <v/>
      </c>
      <c r="K25" s="68">
        <f>VLOOKUP(C25,Recipes!$A$2:$N$4,12,FALSE())</f>
        <v/>
      </c>
      <c r="L25" s="67">
        <f>J25-3*K25</f>
        <v/>
      </c>
      <c r="M25" s="67">
        <f>J25+3*K25</f>
        <v/>
      </c>
      <c r="N25" s="61">
        <f>IF(G25="","",IF(AND(G25&gt;=L25,G25&lt;=M25),"OK","NG"))</f>
        <v/>
      </c>
      <c r="O25" s="69">
        <f>IF(N25="","",IF(N25=D25,1,0))</f>
        <v/>
      </c>
      <c r="P25" s="67">
        <f>IF(G25="","",J25-G25)</f>
        <v/>
      </c>
      <c r="Q25" s="67">
        <f>IF(G25="","",ABS(P25-Components!$D$2))</f>
        <v/>
      </c>
      <c r="R25" s="67">
        <f>IF(G25="","",ABS(P25-Components!$D$3))</f>
        <v/>
      </c>
      <c r="S25" s="67">
        <f>IF(G25="","",ABS(P25-Components!$D$4))</f>
        <v/>
      </c>
      <c r="T25" s="67">
        <f>IF(G25="","",ABS(P25-Components!$D$5))</f>
        <v/>
      </c>
      <c r="U25" s="67">
        <f>IF(G25="","",ABS(P25-Components!$D$6))</f>
        <v/>
      </c>
      <c r="V25" s="67">
        <f>IF(G25="","",ABS(P25-Components!$D$7))</f>
        <v/>
      </c>
      <c r="W25" s="61">
        <f>IF(G25="","",IF(N25="OK","NONE",INDEX({"S1","S2","W1","W2","N1","N2"},MATCH(MIN(Q25:V25),Q25:V25,0))))</f>
        <v/>
      </c>
      <c r="X25" s="69">
        <f>IF(G25="","",IF(W25=E25,1,0))</f>
        <v/>
      </c>
      <c r="Y25" s="70" t="n"/>
    </row>
    <row r="26">
      <c r="A26" s="61" t="n">
        <v>5</v>
      </c>
      <c r="B26" s="62" t="n">
        <v>17</v>
      </c>
      <c r="C26" s="61" t="inlineStr">
        <is>
          <t>R3</t>
        </is>
      </c>
      <c r="D26" s="63" t="inlineStr">
        <is>
          <t>OK</t>
        </is>
      </c>
      <c r="E26" s="61" t="inlineStr">
        <is>
          <t>NONE</t>
        </is>
      </c>
      <c r="F26" s="61" t="inlineStr">
        <is>
          <t>K005</t>
        </is>
      </c>
      <c r="G26" s="64" t="n">
        <v>10.02</v>
      </c>
      <c r="H26" s="65" t="n"/>
      <c r="I26" s="66" t="n"/>
      <c r="J26" s="67">
        <f>VLOOKUP(C26,Recipes!$A$2:$N$4,10,FALSE())</f>
        <v/>
      </c>
      <c r="K26" s="68">
        <f>VLOOKUP(C26,Recipes!$A$2:$N$4,12,FALSE())</f>
        <v/>
      </c>
      <c r="L26" s="67">
        <f>J26-3*K26</f>
        <v/>
      </c>
      <c r="M26" s="67">
        <f>J26+3*K26</f>
        <v/>
      </c>
      <c r="N26" s="61">
        <f>IF(G26="","",IF(AND(G26&gt;=L26,G26&lt;=M26),"OK","NG"))</f>
        <v/>
      </c>
      <c r="O26" s="69">
        <f>IF(N26="","",IF(N26=D26,1,0))</f>
        <v/>
      </c>
      <c r="P26" s="67">
        <f>IF(G26="","",J26-G26)</f>
        <v/>
      </c>
      <c r="Q26" s="67">
        <f>IF(G26="","",ABS(P26-Components!$D$2))</f>
        <v/>
      </c>
      <c r="R26" s="67">
        <f>IF(G26="","",ABS(P26-Components!$D$3))</f>
        <v/>
      </c>
      <c r="S26" s="67">
        <f>IF(G26="","",ABS(P26-Components!$D$4))</f>
        <v/>
      </c>
      <c r="T26" s="67">
        <f>IF(G26="","",ABS(P26-Components!$D$5))</f>
        <v/>
      </c>
      <c r="U26" s="67">
        <f>IF(G26="","",ABS(P26-Components!$D$6))</f>
        <v/>
      </c>
      <c r="V26" s="67">
        <f>IF(G26="","",ABS(P26-Components!$D$7))</f>
        <v/>
      </c>
      <c r="W26" s="61">
        <f>IF(G26="","",IF(N26="OK","NONE",INDEX({"S1","S2","W1","W2","N1","N2"},MATCH(MIN(Q26:V26),Q26:V26,0))))</f>
        <v/>
      </c>
      <c r="X26" s="69">
        <f>IF(G26="","",IF(W26=E26,1,0))</f>
        <v/>
      </c>
      <c r="Y26" s="70" t="n"/>
    </row>
    <row r="27">
      <c r="A27" s="61" t="n">
        <v>5</v>
      </c>
      <c r="B27" s="62" t="n">
        <v>17</v>
      </c>
      <c r="C27" s="61" t="inlineStr">
        <is>
          <t>R3</t>
        </is>
      </c>
      <c r="D27" s="63" t="inlineStr">
        <is>
          <t>OK</t>
        </is>
      </c>
      <c r="E27" s="61" t="inlineStr">
        <is>
          <t>NONE</t>
        </is>
      </c>
      <c r="F27" s="61" t="inlineStr">
        <is>
          <t>K005</t>
        </is>
      </c>
      <c r="G27" s="64" t="n">
        <v>10</v>
      </c>
      <c r="H27" s="65" t="n"/>
      <c r="I27" s="66" t="n"/>
      <c r="J27" s="67">
        <f>VLOOKUP(C27,Recipes!$A$2:$N$4,10,FALSE())</f>
        <v/>
      </c>
      <c r="K27" s="68">
        <f>VLOOKUP(C27,Recipes!$A$2:$N$4,12,FALSE())</f>
        <v/>
      </c>
      <c r="L27" s="67">
        <f>J27-3*K27</f>
        <v/>
      </c>
      <c r="M27" s="67">
        <f>J27+3*K27</f>
        <v/>
      </c>
      <c r="N27" s="61">
        <f>IF(G27="","",IF(AND(G27&gt;=L27,G27&lt;=M27),"OK","NG"))</f>
        <v/>
      </c>
      <c r="O27" s="69">
        <f>IF(N27="","",IF(N27=D27,1,0))</f>
        <v/>
      </c>
      <c r="P27" s="67">
        <f>IF(G27="","",J27-G27)</f>
        <v/>
      </c>
      <c r="Q27" s="67">
        <f>IF(G27="","",ABS(P27-Components!$D$2))</f>
        <v/>
      </c>
      <c r="R27" s="67">
        <f>IF(G27="","",ABS(P27-Components!$D$3))</f>
        <v/>
      </c>
      <c r="S27" s="67">
        <f>IF(G27="","",ABS(P27-Components!$D$4))</f>
        <v/>
      </c>
      <c r="T27" s="67">
        <f>IF(G27="","",ABS(P27-Components!$D$5))</f>
        <v/>
      </c>
      <c r="U27" s="67">
        <f>IF(G27="","",ABS(P27-Components!$D$6))</f>
        <v/>
      </c>
      <c r="V27" s="67">
        <f>IF(G27="","",ABS(P27-Components!$D$7))</f>
        <v/>
      </c>
      <c r="W27" s="61">
        <f>IF(G27="","",IF(N27="OK","NONE",INDEX({"S1","S2","W1","W2","N1","N2"},MATCH(MIN(Q27:V27),Q27:V27,0))))</f>
        <v/>
      </c>
      <c r="X27" s="69">
        <f>IF(G27="","",IF(W27=E27,1,0))</f>
        <v/>
      </c>
      <c r="Y27" s="70" t="n"/>
    </row>
    <row r="28">
      <c r="A28" s="61" t="n">
        <v>5</v>
      </c>
      <c r="B28" s="62" t="n">
        <v>17</v>
      </c>
      <c r="C28" s="61" t="inlineStr">
        <is>
          <t>R3</t>
        </is>
      </c>
      <c r="D28" s="63" t="inlineStr">
        <is>
          <t>OK</t>
        </is>
      </c>
      <c r="E28" s="61" t="inlineStr">
        <is>
          <t>NONE</t>
        </is>
      </c>
      <c r="F28" s="61" t="inlineStr">
        <is>
          <t>K005</t>
        </is>
      </c>
      <c r="G28" s="64" t="n">
        <v>9.93</v>
      </c>
      <c r="H28" s="65" t="n"/>
      <c r="I28" s="66" t="n"/>
      <c r="J28" s="67">
        <f>VLOOKUP(C28,Recipes!$A$2:$N$4,10,FALSE())</f>
        <v/>
      </c>
      <c r="K28" s="68">
        <f>VLOOKUP(C28,Recipes!$A$2:$N$4,12,FALSE())</f>
        <v/>
      </c>
      <c r="L28" s="67">
        <f>J28-3*K28</f>
        <v/>
      </c>
      <c r="M28" s="67">
        <f>J28+3*K28</f>
        <v/>
      </c>
      <c r="N28" s="61">
        <f>IF(G28="","",IF(AND(G28&gt;=L28,G28&lt;=M28),"OK","NG"))</f>
        <v/>
      </c>
      <c r="O28" s="69">
        <f>IF(N28="","",IF(N28=D28,1,0))</f>
        <v/>
      </c>
      <c r="P28" s="67">
        <f>IF(G28="","",J28-G28)</f>
        <v/>
      </c>
      <c r="Q28" s="67">
        <f>IF(G28="","",ABS(P28-Components!$D$2))</f>
        <v/>
      </c>
      <c r="R28" s="67">
        <f>IF(G28="","",ABS(P28-Components!$D$3))</f>
        <v/>
      </c>
      <c r="S28" s="67">
        <f>IF(G28="","",ABS(P28-Components!$D$4))</f>
        <v/>
      </c>
      <c r="T28" s="67">
        <f>IF(G28="","",ABS(P28-Components!$D$5))</f>
        <v/>
      </c>
      <c r="U28" s="67">
        <f>IF(G28="","",ABS(P28-Components!$D$6))</f>
        <v/>
      </c>
      <c r="V28" s="67">
        <f>IF(G28="","",ABS(P28-Components!$D$7))</f>
        <v/>
      </c>
      <c r="W28" s="61">
        <f>IF(G28="","",IF(N28="OK","NONE",INDEX({"S1","S2","W1","W2","N1","N2"},MATCH(MIN(Q28:V28),Q28:V28,0))))</f>
        <v/>
      </c>
      <c r="X28" s="69">
        <f>IF(G28="","",IF(W28=E28,1,0))</f>
        <v/>
      </c>
      <c r="Y28" s="70" t="n"/>
    </row>
    <row r="29">
      <c r="A29" s="61" t="n">
        <v>5</v>
      </c>
      <c r="B29" s="62" t="n">
        <v>17</v>
      </c>
      <c r="C29" s="61" t="inlineStr">
        <is>
          <t>R3</t>
        </is>
      </c>
      <c r="D29" s="63" t="inlineStr">
        <is>
          <t>OK</t>
        </is>
      </c>
      <c r="E29" s="61" t="inlineStr">
        <is>
          <t>NONE</t>
        </is>
      </c>
      <c r="F29" s="61" t="inlineStr">
        <is>
          <t>K005</t>
        </is>
      </c>
      <c r="G29" s="64" t="n">
        <v>9.970000000000001</v>
      </c>
      <c r="H29" s="65" t="n"/>
      <c r="I29" s="66" t="n"/>
      <c r="J29" s="67">
        <f>VLOOKUP(C29,Recipes!$A$2:$N$4,10,FALSE())</f>
        <v/>
      </c>
      <c r="K29" s="68">
        <f>VLOOKUP(C29,Recipes!$A$2:$N$4,12,FALSE())</f>
        <v/>
      </c>
      <c r="L29" s="67">
        <f>J29-3*K29</f>
        <v/>
      </c>
      <c r="M29" s="67">
        <f>J29+3*K29</f>
        <v/>
      </c>
      <c r="N29" s="61">
        <f>IF(G29="","",IF(AND(G29&gt;=L29,G29&lt;=M29),"OK","NG"))</f>
        <v/>
      </c>
      <c r="O29" s="69">
        <f>IF(N29="","",IF(N29=D29,1,0))</f>
        <v/>
      </c>
      <c r="P29" s="67">
        <f>IF(G29="","",J29-G29)</f>
        <v/>
      </c>
      <c r="Q29" s="67">
        <f>IF(G29="","",ABS(P29-Components!$D$2))</f>
        <v/>
      </c>
      <c r="R29" s="67">
        <f>IF(G29="","",ABS(P29-Components!$D$3))</f>
        <v/>
      </c>
      <c r="S29" s="67">
        <f>IF(G29="","",ABS(P29-Components!$D$4))</f>
        <v/>
      </c>
      <c r="T29" s="67">
        <f>IF(G29="","",ABS(P29-Components!$D$5))</f>
        <v/>
      </c>
      <c r="U29" s="67">
        <f>IF(G29="","",ABS(P29-Components!$D$6))</f>
        <v/>
      </c>
      <c r="V29" s="67">
        <f>IF(G29="","",ABS(P29-Components!$D$7))</f>
        <v/>
      </c>
      <c r="W29" s="61">
        <f>IF(G29="","",IF(N29="OK","NONE",INDEX({"S1","S2","W1","W2","N1","N2"},MATCH(MIN(Q29:V29),Q29:V29,0))))</f>
        <v/>
      </c>
      <c r="X29" s="69">
        <f>IF(G29="","",IF(W29=E29,1,0))</f>
        <v/>
      </c>
      <c r="Y29" s="70" t="n"/>
    </row>
    <row r="30">
      <c r="A30" s="61" t="n">
        <v>5</v>
      </c>
      <c r="B30" s="62" t="n">
        <v>17</v>
      </c>
      <c r="C30" s="61" t="inlineStr">
        <is>
          <t>R3</t>
        </is>
      </c>
      <c r="D30" s="63" t="inlineStr">
        <is>
          <t>OK</t>
        </is>
      </c>
      <c r="E30" s="61" t="inlineStr">
        <is>
          <t>NONE</t>
        </is>
      </c>
      <c r="F30" s="61" t="inlineStr">
        <is>
          <t>K005</t>
        </is>
      </c>
      <c r="G30" s="64" t="n">
        <v>9.94</v>
      </c>
      <c r="H30" s="65" t="n"/>
      <c r="I30" s="66" t="n"/>
      <c r="J30" s="67">
        <f>VLOOKUP(C30,Recipes!$A$2:$N$4,10,FALSE())</f>
        <v/>
      </c>
      <c r="K30" s="68">
        <f>VLOOKUP(C30,Recipes!$A$2:$N$4,12,FALSE())</f>
        <v/>
      </c>
      <c r="L30" s="67">
        <f>J30-3*K30</f>
        <v/>
      </c>
      <c r="M30" s="67">
        <f>J30+3*K30</f>
        <v/>
      </c>
      <c r="N30" s="61">
        <f>IF(G30="","",IF(AND(G30&gt;=L30,G30&lt;=M30),"OK","NG"))</f>
        <v/>
      </c>
      <c r="O30" s="69">
        <f>IF(N30="","",IF(N30=D30,1,0))</f>
        <v/>
      </c>
      <c r="P30" s="67">
        <f>IF(G30="","",J30-G30)</f>
        <v/>
      </c>
      <c r="Q30" s="67">
        <f>IF(G30="","",ABS(P30-Components!$D$2))</f>
        <v/>
      </c>
      <c r="R30" s="67">
        <f>IF(G30="","",ABS(P30-Components!$D$3))</f>
        <v/>
      </c>
      <c r="S30" s="67">
        <f>IF(G30="","",ABS(P30-Components!$D$4))</f>
        <v/>
      </c>
      <c r="T30" s="67">
        <f>IF(G30="","",ABS(P30-Components!$D$5))</f>
        <v/>
      </c>
      <c r="U30" s="67">
        <f>IF(G30="","",ABS(P30-Components!$D$6))</f>
        <v/>
      </c>
      <c r="V30" s="67">
        <f>IF(G30="","",ABS(P30-Components!$D$7))</f>
        <v/>
      </c>
      <c r="W30" s="61">
        <f>IF(G30="","",IF(N30="OK","NONE",INDEX({"S1","S2","W1","W2","N1","N2"},MATCH(MIN(Q30:V30),Q30:V30,0))))</f>
        <v/>
      </c>
      <c r="X30" s="69">
        <f>IF(G30="","",IF(W30=E30,1,0))</f>
        <v/>
      </c>
      <c r="Y30" s="70" t="n"/>
    </row>
    <row r="31">
      <c r="A31" s="61" t="n">
        <v>5</v>
      </c>
      <c r="B31" s="62" t="n">
        <v>17</v>
      </c>
      <c r="C31" s="61" t="inlineStr">
        <is>
          <t>R3</t>
        </is>
      </c>
      <c r="D31" s="63" t="inlineStr">
        <is>
          <t>OK</t>
        </is>
      </c>
      <c r="E31" s="61" t="inlineStr">
        <is>
          <t>NONE</t>
        </is>
      </c>
      <c r="F31" s="61" t="inlineStr">
        <is>
          <t>K005</t>
        </is>
      </c>
      <c r="G31" s="64" t="n">
        <v>9.99</v>
      </c>
      <c r="H31" s="65" t="n"/>
      <c r="I31" s="66" t="n"/>
      <c r="J31" s="67">
        <f>VLOOKUP(C31,Recipes!$A$2:$N$4,10,FALSE())</f>
        <v/>
      </c>
      <c r="K31" s="68">
        <f>VLOOKUP(C31,Recipes!$A$2:$N$4,12,FALSE())</f>
        <v/>
      </c>
      <c r="L31" s="67">
        <f>J31-3*K31</f>
        <v/>
      </c>
      <c r="M31" s="67">
        <f>J31+3*K31</f>
        <v/>
      </c>
      <c r="N31" s="61">
        <f>IF(G31="","",IF(AND(G31&gt;=L31,G31&lt;=M31),"OK","NG"))</f>
        <v/>
      </c>
      <c r="O31" s="69">
        <f>IF(N31="","",IF(N31=D31,1,0))</f>
        <v/>
      </c>
      <c r="P31" s="67">
        <f>IF(G31="","",J31-G31)</f>
        <v/>
      </c>
      <c r="Q31" s="67">
        <f>IF(G31="","",ABS(P31-Components!$D$2))</f>
        <v/>
      </c>
      <c r="R31" s="67">
        <f>IF(G31="","",ABS(P31-Components!$D$3))</f>
        <v/>
      </c>
      <c r="S31" s="67">
        <f>IF(G31="","",ABS(P31-Components!$D$4))</f>
        <v/>
      </c>
      <c r="T31" s="67">
        <f>IF(G31="","",ABS(P31-Components!$D$5))</f>
        <v/>
      </c>
      <c r="U31" s="67">
        <f>IF(G31="","",ABS(P31-Components!$D$6))</f>
        <v/>
      </c>
      <c r="V31" s="67">
        <f>IF(G31="","",ABS(P31-Components!$D$7))</f>
        <v/>
      </c>
      <c r="W31" s="61">
        <f>IF(G31="","",IF(N31="OK","NONE",INDEX({"S1","S2","W1","W2","N1","N2"},MATCH(MIN(Q31:V31),Q31:V31,0))))</f>
        <v/>
      </c>
      <c r="X31" s="69">
        <f>IF(G31="","",IF(W31=E31,1,0))</f>
        <v/>
      </c>
      <c r="Y31" s="70" t="n"/>
    </row>
    <row r="32">
      <c r="A32" s="61" t="n">
        <v>5</v>
      </c>
      <c r="B32" s="62" t="n">
        <v>17</v>
      </c>
      <c r="C32" s="61" t="inlineStr">
        <is>
          <t>R3</t>
        </is>
      </c>
      <c r="D32" s="63" t="inlineStr">
        <is>
          <t>OK</t>
        </is>
      </c>
      <c r="E32" s="61" t="inlineStr">
        <is>
          <t>NONE</t>
        </is>
      </c>
      <c r="F32" s="61" t="inlineStr">
        <is>
          <t>K005</t>
        </is>
      </c>
      <c r="G32" s="73" t="n">
        <v>9.48</v>
      </c>
      <c r="H32" s="65" t="n"/>
      <c r="I32" s="66" t="n"/>
      <c r="J32" s="67">
        <f>VLOOKUP(C32,Recipes!$A$2:$N$4,10,FALSE())</f>
        <v/>
      </c>
      <c r="K32" s="68">
        <f>VLOOKUP(C32,Recipes!$A$2:$N$4,12,FALSE())</f>
        <v/>
      </c>
      <c r="L32" s="67">
        <f>J32-3*K32</f>
        <v/>
      </c>
      <c r="M32" s="67">
        <f>J32+3*K32</f>
        <v/>
      </c>
      <c r="N32" s="61">
        <f>IF(G32="","",IF(AND(G32&gt;=L32,G32&lt;=M32),"OK","NG"))</f>
        <v/>
      </c>
      <c r="O32" s="69">
        <f>IF(N32="","",IF(N32=D32,1,0))</f>
        <v/>
      </c>
      <c r="P32" s="67">
        <f>IF(G32="","",J32-G32)</f>
        <v/>
      </c>
      <c r="Q32" s="67">
        <f>IF(G32="","",ABS(P32-Components!$D$2))</f>
        <v/>
      </c>
      <c r="R32" s="67">
        <f>IF(G32="","",ABS(P32-Components!$D$3))</f>
        <v/>
      </c>
      <c r="S32" s="67">
        <f>IF(G32="","",ABS(P32-Components!$D$4))</f>
        <v/>
      </c>
      <c r="T32" s="67">
        <f>IF(G32="","",ABS(P32-Components!$D$5))</f>
        <v/>
      </c>
      <c r="U32" s="67">
        <f>IF(G32="","",ABS(P32-Components!$D$6))</f>
        <v/>
      </c>
      <c r="V32" s="67">
        <f>IF(G32="","",ABS(P32-Components!$D$7))</f>
        <v/>
      </c>
      <c r="W32" s="61">
        <f>IF(G32="","",IF(N32="OK","NONE",INDEX({"S1","S2","W1","W2","N1","N2"},MATCH(MIN(Q32:V32),Q32:V32,0))))</f>
        <v/>
      </c>
      <c r="X32" s="71">
        <f>IF(G32="","",IF(W32=E32,1,0))</f>
        <v/>
      </c>
      <c r="Y32" s="70" t="n"/>
    </row>
    <row r="33">
      <c r="A33" s="61" t="n">
        <v>6</v>
      </c>
      <c r="B33" s="62" t="n">
        <v>21</v>
      </c>
      <c r="C33" s="61" t="inlineStr">
        <is>
          <t>R3</t>
        </is>
      </c>
      <c r="D33" s="74" t="inlineStr">
        <is>
          <t>NG</t>
        </is>
      </c>
      <c r="E33" s="61" t="inlineStr">
        <is>
          <t>S2</t>
        </is>
      </c>
      <c r="F33" s="61" t="inlineStr">
        <is>
          <t>K006</t>
        </is>
      </c>
      <c r="G33" s="64" t="n">
        <v>5.91</v>
      </c>
      <c r="H33" s="65" t="n"/>
      <c r="I33" s="66" t="n"/>
      <c r="J33" s="67">
        <f>VLOOKUP(C33,Recipes!$A$2:$N$4,10,FALSE())</f>
        <v/>
      </c>
      <c r="K33" s="68">
        <f>VLOOKUP(C33,Recipes!$A$2:$N$4,12,FALSE())</f>
        <v/>
      </c>
      <c r="L33" s="67">
        <f>J33-3*K33</f>
        <v/>
      </c>
      <c r="M33" s="67">
        <f>J33+3*K33</f>
        <v/>
      </c>
      <c r="N33" s="61">
        <f>IF(G33="","",IF(AND(G33&gt;=L33,G33&lt;=M33),"OK","NG"))</f>
        <v/>
      </c>
      <c r="O33" s="69">
        <f>IF(N33="","",IF(N33=D33,1,0))</f>
        <v/>
      </c>
      <c r="P33" s="67">
        <f>IF(G33="","",J33-G33)</f>
        <v/>
      </c>
      <c r="Q33" s="67">
        <f>IF(G33="","",ABS(P33-Components!$D$2))</f>
        <v/>
      </c>
      <c r="R33" s="67">
        <f>IF(G33="","",ABS(P33-Components!$D$3))</f>
        <v/>
      </c>
      <c r="S33" s="67">
        <f>IF(G33="","",ABS(P33-Components!$D$4))</f>
        <v/>
      </c>
      <c r="T33" s="67">
        <f>IF(G33="","",ABS(P33-Components!$D$5))</f>
        <v/>
      </c>
      <c r="U33" s="67">
        <f>IF(G33="","",ABS(P33-Components!$D$6))</f>
        <v/>
      </c>
      <c r="V33" s="67">
        <f>IF(G33="","",ABS(P33-Components!$D$7))</f>
        <v/>
      </c>
      <c r="W33" s="61">
        <f>IF(G33="","",IF(N33="OK","NONE",INDEX({"S1","S2","W1","W2","N1","N2"},MATCH(MIN(Q33:V33),Q33:V33,0))))</f>
        <v/>
      </c>
      <c r="X33" s="69">
        <f>IF(G33="","",IF(W33=E33,1,0))</f>
        <v/>
      </c>
      <c r="Y33" s="70" t="n"/>
    </row>
    <row r="34">
      <c r="A34" s="61" t="n">
        <v>7</v>
      </c>
      <c r="B34" s="62" t="n">
        <v>51</v>
      </c>
      <c r="C34" s="61" t="inlineStr">
        <is>
          <t>R3</t>
        </is>
      </c>
      <c r="D34" s="74" t="inlineStr">
        <is>
          <t>NG</t>
        </is>
      </c>
      <c r="E34" s="61" t="inlineStr">
        <is>
          <t>S2</t>
        </is>
      </c>
      <c r="F34" s="61" t="inlineStr">
        <is>
          <t>K007</t>
        </is>
      </c>
      <c r="G34" s="64" t="n">
        <v>5.93</v>
      </c>
      <c r="H34" s="65" t="n"/>
      <c r="I34" s="66" t="n"/>
      <c r="J34" s="67">
        <f>VLOOKUP(C34,Recipes!$A$2:$N$4,10,FALSE())</f>
        <v/>
      </c>
      <c r="K34" s="68">
        <f>VLOOKUP(C34,Recipes!$A$2:$N$4,12,FALSE())</f>
        <v/>
      </c>
      <c r="L34" s="67">
        <f>J34-3*K34</f>
        <v/>
      </c>
      <c r="M34" s="67">
        <f>J34+3*K34</f>
        <v/>
      </c>
      <c r="N34" s="61">
        <f>IF(G34="","",IF(AND(G34&gt;=L34,G34&lt;=M34),"OK","NG"))</f>
        <v/>
      </c>
      <c r="O34" s="69">
        <f>IF(N34="","",IF(N34=D34,1,0))</f>
        <v/>
      </c>
      <c r="P34" s="67">
        <f>IF(G34="","",J34-G34)</f>
        <v/>
      </c>
      <c r="Q34" s="67">
        <f>IF(G34="","",ABS(P34-Components!$D$2))</f>
        <v/>
      </c>
      <c r="R34" s="67">
        <f>IF(G34="","",ABS(P34-Components!$D$3))</f>
        <v/>
      </c>
      <c r="S34" s="67">
        <f>IF(G34="","",ABS(P34-Components!$D$4))</f>
        <v/>
      </c>
      <c r="T34" s="67">
        <f>IF(G34="","",ABS(P34-Components!$D$5))</f>
        <v/>
      </c>
      <c r="U34" s="67">
        <f>IF(G34="","",ABS(P34-Components!$D$6))</f>
        <v/>
      </c>
      <c r="V34" s="67">
        <f>IF(G34="","",ABS(P34-Components!$D$7))</f>
        <v/>
      </c>
      <c r="W34" s="61">
        <f>IF(G34="","",IF(N34="OK","NONE",INDEX({"S1","S2","W1","W2","N1","N2"},MATCH(MIN(Q34:V34),Q34:V34,0))))</f>
        <v/>
      </c>
      <c r="X34" s="69">
        <f>IF(G34="","",IF(W34=E34,1,0))</f>
        <v/>
      </c>
      <c r="Y34" s="70" t="n"/>
    </row>
    <row r="35">
      <c r="A35" s="61" t="n">
        <v>8</v>
      </c>
      <c r="B35" s="62" t="n">
        <v>54</v>
      </c>
      <c r="C35" s="61" t="inlineStr">
        <is>
          <t>R3</t>
        </is>
      </c>
      <c r="D35" s="74" t="inlineStr">
        <is>
          <t>NG</t>
        </is>
      </c>
      <c r="E35" s="61" t="inlineStr">
        <is>
          <t>S2</t>
        </is>
      </c>
      <c r="F35" s="61" t="inlineStr">
        <is>
          <t>K008</t>
        </is>
      </c>
      <c r="G35" s="64" t="n">
        <v>5.86</v>
      </c>
      <c r="H35" s="65" t="n"/>
      <c r="I35" s="66" t="n"/>
      <c r="J35" s="67">
        <f>VLOOKUP(C35,Recipes!$A$2:$N$4,10,FALSE())</f>
        <v/>
      </c>
      <c r="K35" s="68">
        <f>VLOOKUP(C35,Recipes!$A$2:$N$4,12,FALSE())</f>
        <v/>
      </c>
      <c r="L35" s="67">
        <f>J35-3*K35</f>
        <v/>
      </c>
      <c r="M35" s="67">
        <f>J35+3*K35</f>
        <v/>
      </c>
      <c r="N35" s="61">
        <f>IF(G35="","",IF(AND(G35&gt;=L35,G35&lt;=M35),"OK","NG"))</f>
        <v/>
      </c>
      <c r="O35" s="69">
        <f>IF(N35="","",IF(N35=D35,1,0))</f>
        <v/>
      </c>
      <c r="P35" s="67">
        <f>IF(G35="","",J35-G35)</f>
        <v/>
      </c>
      <c r="Q35" s="67">
        <f>IF(G35="","",ABS(P35-Components!$D$2))</f>
        <v/>
      </c>
      <c r="R35" s="67">
        <f>IF(G35="","",ABS(P35-Components!$D$3))</f>
        <v/>
      </c>
      <c r="S35" s="67">
        <f>IF(G35="","",ABS(P35-Components!$D$4))</f>
        <v/>
      </c>
      <c r="T35" s="67">
        <f>IF(G35="","",ABS(P35-Components!$D$5))</f>
        <v/>
      </c>
      <c r="U35" s="67">
        <f>IF(G35="","",ABS(P35-Components!$D$6))</f>
        <v/>
      </c>
      <c r="V35" s="67">
        <f>IF(G35="","",ABS(P35-Components!$D$7))</f>
        <v/>
      </c>
      <c r="W35" s="61">
        <f>IF(G35="","",IF(N35="OK","NONE",INDEX({"S1","S2","W1","W2","N1","N2"},MATCH(MIN(Q35:V35),Q35:V35,0))))</f>
        <v/>
      </c>
      <c r="X35" s="69">
        <f>IF(G35="","",IF(W35=E35,1,0))</f>
        <v/>
      </c>
      <c r="Y35" s="70" t="n"/>
    </row>
    <row r="36">
      <c r="A36" s="61" t="n">
        <v>9</v>
      </c>
      <c r="B36" s="62" t="n">
        <v>36</v>
      </c>
      <c r="C36" s="61" t="inlineStr">
        <is>
          <t>R3</t>
        </is>
      </c>
      <c r="D36" s="74" t="inlineStr">
        <is>
          <t>NG</t>
        </is>
      </c>
      <c r="E36" s="61" t="inlineStr">
        <is>
          <t>S2</t>
        </is>
      </c>
      <c r="F36" s="61" t="inlineStr">
        <is>
          <t>K009</t>
        </is>
      </c>
      <c r="G36" s="64" t="n">
        <v>5.94</v>
      </c>
      <c r="H36" s="65" t="n"/>
      <c r="I36" s="66" t="n"/>
      <c r="J36" s="67">
        <f>VLOOKUP(C36,Recipes!$A$2:$N$4,10,FALSE())</f>
        <v/>
      </c>
      <c r="K36" s="68">
        <f>VLOOKUP(C36,Recipes!$A$2:$N$4,12,FALSE())</f>
        <v/>
      </c>
      <c r="L36" s="67">
        <f>J36-3*K36</f>
        <v/>
      </c>
      <c r="M36" s="67">
        <f>J36+3*K36</f>
        <v/>
      </c>
      <c r="N36" s="61">
        <f>IF(G36="","",IF(AND(G36&gt;=L36,G36&lt;=M36),"OK","NG"))</f>
        <v/>
      </c>
      <c r="O36" s="69">
        <f>IF(N36="","",IF(N36=D36,1,0))</f>
        <v/>
      </c>
      <c r="P36" s="67">
        <f>IF(G36="","",J36-G36)</f>
        <v/>
      </c>
      <c r="Q36" s="67">
        <f>IF(G36="","",ABS(P36-Components!$D$2))</f>
        <v/>
      </c>
      <c r="R36" s="67">
        <f>IF(G36="","",ABS(P36-Components!$D$3))</f>
        <v/>
      </c>
      <c r="S36" s="67">
        <f>IF(G36="","",ABS(P36-Components!$D$4))</f>
        <v/>
      </c>
      <c r="T36" s="67">
        <f>IF(G36="","",ABS(P36-Components!$D$5))</f>
        <v/>
      </c>
      <c r="U36" s="67">
        <f>IF(G36="","",ABS(P36-Components!$D$6))</f>
        <v/>
      </c>
      <c r="V36" s="67">
        <f>IF(G36="","",ABS(P36-Components!$D$7))</f>
        <v/>
      </c>
      <c r="W36" s="61">
        <f>IF(G36="","",IF(N36="OK","NONE",INDEX({"S1","S2","W1","W2","N1","N2"},MATCH(MIN(Q36:V36),Q36:V36,0))))</f>
        <v/>
      </c>
      <c r="X36" s="69">
        <f>IF(G36="","",IF(W36=E36,1,0))</f>
        <v/>
      </c>
      <c r="Y36" s="70" t="n"/>
    </row>
    <row r="37">
      <c r="A37" s="61" t="n">
        <v>9</v>
      </c>
      <c r="B37" s="62" t="n">
        <v>36</v>
      </c>
      <c r="C37" s="61" t="inlineStr">
        <is>
          <t>R3</t>
        </is>
      </c>
      <c r="D37" s="74" t="inlineStr">
        <is>
          <t>NG</t>
        </is>
      </c>
      <c r="E37" s="61" t="inlineStr">
        <is>
          <t>S2</t>
        </is>
      </c>
      <c r="F37" s="61" t="inlineStr">
        <is>
          <t>K009</t>
        </is>
      </c>
      <c r="G37" s="64" t="n">
        <v>5.9</v>
      </c>
      <c r="H37" s="65" t="n"/>
      <c r="I37" s="66" t="n"/>
      <c r="J37" s="67">
        <f>VLOOKUP(C37,Recipes!$A$2:$N$4,10,FALSE())</f>
        <v/>
      </c>
      <c r="K37" s="68">
        <f>VLOOKUP(C37,Recipes!$A$2:$N$4,12,FALSE())</f>
        <v/>
      </c>
      <c r="L37" s="67">
        <f>J37-3*K37</f>
        <v/>
      </c>
      <c r="M37" s="67">
        <f>J37+3*K37</f>
        <v/>
      </c>
      <c r="N37" s="61">
        <f>IF(G37="","",IF(AND(G37&gt;=L37,G37&lt;=M37),"OK","NG"))</f>
        <v/>
      </c>
      <c r="O37" s="69">
        <f>IF(N37="","",IF(N37=D37,1,0))</f>
        <v/>
      </c>
      <c r="P37" s="67">
        <f>IF(G37="","",J37-G37)</f>
        <v/>
      </c>
      <c r="Q37" s="67">
        <f>IF(G37="","",ABS(P37-Components!$D$2))</f>
        <v/>
      </c>
      <c r="R37" s="67">
        <f>IF(G37="","",ABS(P37-Components!$D$3))</f>
        <v/>
      </c>
      <c r="S37" s="67">
        <f>IF(G37="","",ABS(P37-Components!$D$4))</f>
        <v/>
      </c>
      <c r="T37" s="67">
        <f>IF(G37="","",ABS(P37-Components!$D$5))</f>
        <v/>
      </c>
      <c r="U37" s="67">
        <f>IF(G37="","",ABS(P37-Components!$D$6))</f>
        <v/>
      </c>
      <c r="V37" s="67">
        <f>IF(G37="","",ABS(P37-Components!$D$7))</f>
        <v/>
      </c>
      <c r="W37" s="61">
        <f>IF(G37="","",IF(N37="OK","NONE",INDEX({"S1","S2","W1","W2","N1","N2"},MATCH(MIN(Q37:V37),Q37:V37,0))))</f>
        <v/>
      </c>
      <c r="X37" s="69">
        <f>IF(G37="","",IF(W37=E37,1,0))</f>
        <v/>
      </c>
      <c r="Y37" s="70" t="n"/>
    </row>
    <row r="38">
      <c r="A38" s="61" t="n">
        <v>9</v>
      </c>
      <c r="B38" s="62" t="n">
        <v>36</v>
      </c>
      <c r="C38" s="61" t="inlineStr">
        <is>
          <t>R3</t>
        </is>
      </c>
      <c r="D38" s="74" t="inlineStr">
        <is>
          <t>NG</t>
        </is>
      </c>
      <c r="E38" s="61" t="inlineStr">
        <is>
          <t>S2</t>
        </is>
      </c>
      <c r="F38" s="61" t="inlineStr">
        <is>
          <t>K009</t>
        </is>
      </c>
      <c r="G38" s="64" t="n">
        <v>5.82</v>
      </c>
      <c r="H38" s="65" t="n"/>
      <c r="I38" s="66" t="n"/>
      <c r="J38" s="67">
        <f>VLOOKUP(C38,Recipes!$A$2:$N$4,10,FALSE())</f>
        <v/>
      </c>
      <c r="K38" s="68">
        <f>VLOOKUP(C38,Recipes!$A$2:$N$4,12,FALSE())</f>
        <v/>
      </c>
      <c r="L38" s="67">
        <f>J38-3*K38</f>
        <v/>
      </c>
      <c r="M38" s="67">
        <f>J38+3*K38</f>
        <v/>
      </c>
      <c r="N38" s="61">
        <f>IF(G38="","",IF(AND(G38&gt;=L38,G38&lt;=M38),"OK","NG"))</f>
        <v/>
      </c>
      <c r="O38" s="69">
        <f>IF(N38="","",IF(N38=D38,1,0))</f>
        <v/>
      </c>
      <c r="P38" s="67">
        <f>IF(G38="","",J38-G38)</f>
        <v/>
      </c>
      <c r="Q38" s="67">
        <f>IF(G38="","",ABS(P38-Components!$D$2))</f>
        <v/>
      </c>
      <c r="R38" s="67">
        <f>IF(G38="","",ABS(P38-Components!$D$3))</f>
        <v/>
      </c>
      <c r="S38" s="67">
        <f>IF(G38="","",ABS(P38-Components!$D$4))</f>
        <v/>
      </c>
      <c r="T38" s="67">
        <f>IF(G38="","",ABS(P38-Components!$D$5))</f>
        <v/>
      </c>
      <c r="U38" s="67">
        <f>IF(G38="","",ABS(P38-Components!$D$6))</f>
        <v/>
      </c>
      <c r="V38" s="67">
        <f>IF(G38="","",ABS(P38-Components!$D$7))</f>
        <v/>
      </c>
      <c r="W38" s="61">
        <f>IF(G38="","",IF(N38="OK","NONE",INDEX({"S1","S2","W1","W2","N1","N2"},MATCH(MIN(Q38:V38),Q38:V38,0))))</f>
        <v/>
      </c>
      <c r="X38" s="69">
        <f>IF(G38="","",IF(W38=E38,1,0))</f>
        <v/>
      </c>
      <c r="Y38" s="70" t="n"/>
    </row>
    <row r="39">
      <c r="A39" s="61" t="n">
        <v>9</v>
      </c>
      <c r="B39" s="62" t="n">
        <v>36</v>
      </c>
      <c r="C39" s="61" t="inlineStr">
        <is>
          <t>R3</t>
        </is>
      </c>
      <c r="D39" s="74" t="inlineStr">
        <is>
          <t>NG</t>
        </is>
      </c>
      <c r="E39" s="61" t="inlineStr">
        <is>
          <t>S2</t>
        </is>
      </c>
      <c r="F39" s="61" t="inlineStr">
        <is>
          <t>K009</t>
        </is>
      </c>
      <c r="G39" s="64" t="n">
        <v>5.87</v>
      </c>
      <c r="H39" s="65" t="n"/>
      <c r="I39" s="66" t="n"/>
      <c r="J39" s="67">
        <f>VLOOKUP(C39,Recipes!$A$2:$N$4,10,FALSE())</f>
        <v/>
      </c>
      <c r="K39" s="68">
        <f>VLOOKUP(C39,Recipes!$A$2:$N$4,12,FALSE())</f>
        <v/>
      </c>
      <c r="L39" s="67">
        <f>J39-3*K39</f>
        <v/>
      </c>
      <c r="M39" s="67">
        <f>J39+3*K39</f>
        <v/>
      </c>
      <c r="N39" s="61">
        <f>IF(G39="","",IF(AND(G39&gt;=L39,G39&lt;=M39),"OK","NG"))</f>
        <v/>
      </c>
      <c r="O39" s="69">
        <f>IF(N39="","",IF(N39=D39,1,0))</f>
        <v/>
      </c>
      <c r="P39" s="67">
        <f>IF(G39="","",J39-G39)</f>
        <v/>
      </c>
      <c r="Q39" s="67">
        <f>IF(G39="","",ABS(P39-Components!$D$2))</f>
        <v/>
      </c>
      <c r="R39" s="67">
        <f>IF(G39="","",ABS(P39-Components!$D$3))</f>
        <v/>
      </c>
      <c r="S39" s="67">
        <f>IF(G39="","",ABS(P39-Components!$D$4))</f>
        <v/>
      </c>
      <c r="T39" s="67">
        <f>IF(G39="","",ABS(P39-Components!$D$5))</f>
        <v/>
      </c>
      <c r="U39" s="67">
        <f>IF(G39="","",ABS(P39-Components!$D$6))</f>
        <v/>
      </c>
      <c r="V39" s="67">
        <f>IF(G39="","",ABS(P39-Components!$D$7))</f>
        <v/>
      </c>
      <c r="W39" s="61">
        <f>IF(G39="","",IF(N39="OK","NONE",INDEX({"S1","S2","W1","W2","N1","N2"},MATCH(MIN(Q39:V39),Q39:V39,0))))</f>
        <v/>
      </c>
      <c r="X39" s="69">
        <f>IF(G39="","",IF(W39=E39,1,0))</f>
        <v/>
      </c>
      <c r="Y39" s="70" t="n"/>
    </row>
    <row r="40">
      <c r="A40" s="61" t="n">
        <v>9</v>
      </c>
      <c r="B40" s="62" t="n">
        <v>36</v>
      </c>
      <c r="C40" s="61" t="inlineStr">
        <is>
          <t>R3</t>
        </is>
      </c>
      <c r="D40" s="74" t="inlineStr">
        <is>
          <t>NG</t>
        </is>
      </c>
      <c r="E40" s="61" t="inlineStr">
        <is>
          <t>S2</t>
        </is>
      </c>
      <c r="F40" s="61" t="inlineStr">
        <is>
          <t>K009</t>
        </is>
      </c>
      <c r="G40" s="64" t="n">
        <v>5.89</v>
      </c>
      <c r="H40" s="65" t="n"/>
      <c r="I40" s="66" t="n"/>
      <c r="J40" s="67">
        <f>VLOOKUP(C40,Recipes!$A$2:$N$4,10,FALSE())</f>
        <v/>
      </c>
      <c r="K40" s="68">
        <f>VLOOKUP(C40,Recipes!$A$2:$N$4,12,FALSE())</f>
        <v/>
      </c>
      <c r="L40" s="67">
        <f>J40-3*K40</f>
        <v/>
      </c>
      <c r="M40" s="67">
        <f>J40+3*K40</f>
        <v/>
      </c>
      <c r="N40" s="61">
        <f>IF(G40="","",IF(AND(G40&gt;=L40,G40&lt;=M40),"OK","NG"))</f>
        <v/>
      </c>
      <c r="O40" s="69">
        <f>IF(N40="","",IF(N40=D40,1,0))</f>
        <v/>
      </c>
      <c r="P40" s="67">
        <f>IF(G40="","",J40-G40)</f>
        <v/>
      </c>
      <c r="Q40" s="67">
        <f>IF(G40="","",ABS(P40-Components!$D$2))</f>
        <v/>
      </c>
      <c r="R40" s="67">
        <f>IF(G40="","",ABS(P40-Components!$D$3))</f>
        <v/>
      </c>
      <c r="S40" s="67">
        <f>IF(G40="","",ABS(P40-Components!$D$4))</f>
        <v/>
      </c>
      <c r="T40" s="67">
        <f>IF(G40="","",ABS(P40-Components!$D$5))</f>
        <v/>
      </c>
      <c r="U40" s="67">
        <f>IF(G40="","",ABS(P40-Components!$D$6))</f>
        <v/>
      </c>
      <c r="V40" s="67">
        <f>IF(G40="","",ABS(P40-Components!$D$7))</f>
        <v/>
      </c>
      <c r="W40" s="61">
        <f>IF(G40="","",IF(N40="OK","NONE",INDEX({"S1","S2","W1","W2","N1","N2"},MATCH(MIN(Q40:V40),Q40:V40,0))))</f>
        <v/>
      </c>
      <c r="X40" s="69">
        <f>IF(G40="","",IF(W40=E40,1,0))</f>
        <v/>
      </c>
      <c r="Y40" s="70" t="n"/>
    </row>
    <row r="41">
      <c r="A41" s="61" t="n">
        <v>9</v>
      </c>
      <c r="B41" s="62" t="n">
        <v>36</v>
      </c>
      <c r="C41" s="61" t="inlineStr">
        <is>
          <t>R3</t>
        </is>
      </c>
      <c r="D41" s="74" t="inlineStr">
        <is>
          <t>NG</t>
        </is>
      </c>
      <c r="E41" s="61" t="inlineStr">
        <is>
          <t>S2</t>
        </is>
      </c>
      <c r="F41" s="61" t="inlineStr">
        <is>
          <t>K009</t>
        </is>
      </c>
      <c r="G41" s="64" t="n">
        <v>5.91</v>
      </c>
      <c r="H41" s="65" t="n"/>
      <c r="I41" s="66" t="n"/>
      <c r="J41" s="67">
        <f>VLOOKUP(C41,Recipes!$A$2:$N$4,10,FALSE())</f>
        <v/>
      </c>
      <c r="K41" s="68">
        <f>VLOOKUP(C41,Recipes!$A$2:$N$4,12,FALSE())</f>
        <v/>
      </c>
      <c r="L41" s="67">
        <f>J41-3*K41</f>
        <v/>
      </c>
      <c r="M41" s="67">
        <f>J41+3*K41</f>
        <v/>
      </c>
      <c r="N41" s="61">
        <f>IF(G41="","",IF(AND(G41&gt;=L41,G41&lt;=M41),"OK","NG"))</f>
        <v/>
      </c>
      <c r="O41" s="69">
        <f>IF(N41="","",IF(N41=D41,1,0))</f>
        <v/>
      </c>
      <c r="P41" s="67">
        <f>IF(G41="","",J41-G41)</f>
        <v/>
      </c>
      <c r="Q41" s="67">
        <f>IF(G41="","",ABS(P41-Components!$D$2))</f>
        <v/>
      </c>
      <c r="R41" s="67">
        <f>IF(G41="","",ABS(P41-Components!$D$3))</f>
        <v/>
      </c>
      <c r="S41" s="67">
        <f>IF(G41="","",ABS(P41-Components!$D$4))</f>
        <v/>
      </c>
      <c r="T41" s="67">
        <f>IF(G41="","",ABS(P41-Components!$D$5))</f>
        <v/>
      </c>
      <c r="U41" s="67">
        <f>IF(G41="","",ABS(P41-Components!$D$6))</f>
        <v/>
      </c>
      <c r="V41" s="67">
        <f>IF(G41="","",ABS(P41-Components!$D$7))</f>
        <v/>
      </c>
      <c r="W41" s="61">
        <f>IF(G41="","",IF(N41="OK","NONE",INDEX({"S1","S2","W1","W2","N1","N2"},MATCH(MIN(Q41:V41),Q41:V41,0))))</f>
        <v/>
      </c>
      <c r="X41" s="69">
        <f>IF(G41="","",IF(W41=E41,1,0))</f>
        <v/>
      </c>
      <c r="Y41" s="70" t="n"/>
    </row>
    <row r="42">
      <c r="A42" s="61" t="n">
        <v>9</v>
      </c>
      <c r="B42" s="62" t="n">
        <v>36</v>
      </c>
      <c r="C42" s="61" t="inlineStr">
        <is>
          <t>R3</t>
        </is>
      </c>
      <c r="D42" s="74" t="inlineStr">
        <is>
          <t>NG</t>
        </is>
      </c>
      <c r="E42" s="61" t="inlineStr">
        <is>
          <t>S2</t>
        </is>
      </c>
      <c r="F42" s="61" t="inlineStr">
        <is>
          <t>K009</t>
        </is>
      </c>
      <c r="G42" s="64" t="n">
        <v>5.94</v>
      </c>
      <c r="H42" s="65" t="n"/>
      <c r="I42" s="66" t="n"/>
      <c r="J42" s="67">
        <f>VLOOKUP(C42,Recipes!$A$2:$N$4,10,FALSE())</f>
        <v/>
      </c>
      <c r="K42" s="68">
        <f>VLOOKUP(C42,Recipes!$A$2:$N$4,12,FALSE())</f>
        <v/>
      </c>
      <c r="L42" s="67">
        <f>J42-3*K42</f>
        <v/>
      </c>
      <c r="M42" s="67">
        <f>J42+3*K42</f>
        <v/>
      </c>
      <c r="N42" s="61">
        <f>IF(G42="","",IF(AND(G42&gt;=L42,G42&lt;=M42),"OK","NG"))</f>
        <v/>
      </c>
      <c r="O42" s="69">
        <f>IF(N42="","",IF(N42=D42,1,0))</f>
        <v/>
      </c>
      <c r="P42" s="67">
        <f>IF(G42="","",J42-G42)</f>
        <v/>
      </c>
      <c r="Q42" s="67">
        <f>IF(G42="","",ABS(P42-Components!$D$2))</f>
        <v/>
      </c>
      <c r="R42" s="67">
        <f>IF(G42="","",ABS(P42-Components!$D$3))</f>
        <v/>
      </c>
      <c r="S42" s="67">
        <f>IF(G42="","",ABS(P42-Components!$D$4))</f>
        <v/>
      </c>
      <c r="T42" s="67">
        <f>IF(G42="","",ABS(P42-Components!$D$5))</f>
        <v/>
      </c>
      <c r="U42" s="67">
        <f>IF(G42="","",ABS(P42-Components!$D$6))</f>
        <v/>
      </c>
      <c r="V42" s="67">
        <f>IF(G42="","",ABS(P42-Components!$D$7))</f>
        <v/>
      </c>
      <c r="W42" s="61">
        <f>IF(G42="","",IF(N42="OK","NONE",INDEX({"S1","S2","W1","W2","N1","N2"},MATCH(MIN(Q42:V42),Q42:V42,0))))</f>
        <v/>
      </c>
      <c r="X42" s="69">
        <f>IF(G42="","",IF(W42=E42,1,0))</f>
        <v/>
      </c>
      <c r="Y42" s="70" t="n"/>
    </row>
    <row r="43">
      <c r="A43" s="61" t="n">
        <v>9</v>
      </c>
      <c r="B43" s="62" t="n">
        <v>36</v>
      </c>
      <c r="C43" s="61" t="inlineStr">
        <is>
          <t>R3</t>
        </is>
      </c>
      <c r="D43" s="74" t="inlineStr">
        <is>
          <t>NG</t>
        </is>
      </c>
      <c r="E43" s="61" t="inlineStr">
        <is>
          <t>S2</t>
        </is>
      </c>
      <c r="F43" s="61" t="inlineStr">
        <is>
          <t>K009</t>
        </is>
      </c>
      <c r="G43" s="64" t="n">
        <v>5.91</v>
      </c>
      <c r="H43" s="65" t="n"/>
      <c r="I43" s="66" t="n"/>
      <c r="J43" s="67">
        <f>VLOOKUP(C43,Recipes!$A$2:$N$4,10,FALSE())</f>
        <v/>
      </c>
      <c r="K43" s="68">
        <f>VLOOKUP(C43,Recipes!$A$2:$N$4,12,FALSE())</f>
        <v/>
      </c>
      <c r="L43" s="67">
        <f>J43-3*K43</f>
        <v/>
      </c>
      <c r="M43" s="67">
        <f>J43+3*K43</f>
        <v/>
      </c>
      <c r="N43" s="61">
        <f>IF(G43="","",IF(AND(G43&gt;=L43,G43&lt;=M43),"OK","NG"))</f>
        <v/>
      </c>
      <c r="O43" s="69">
        <f>IF(N43="","",IF(N43=D43,1,0))</f>
        <v/>
      </c>
      <c r="P43" s="67">
        <f>IF(G43="","",J43-G43)</f>
        <v/>
      </c>
      <c r="Q43" s="67">
        <f>IF(G43="","",ABS(P43-Components!$D$2))</f>
        <v/>
      </c>
      <c r="R43" s="67">
        <f>IF(G43="","",ABS(P43-Components!$D$3))</f>
        <v/>
      </c>
      <c r="S43" s="67">
        <f>IF(G43="","",ABS(P43-Components!$D$4))</f>
        <v/>
      </c>
      <c r="T43" s="67">
        <f>IF(G43="","",ABS(P43-Components!$D$5))</f>
        <v/>
      </c>
      <c r="U43" s="67">
        <f>IF(G43="","",ABS(P43-Components!$D$6))</f>
        <v/>
      </c>
      <c r="V43" s="67">
        <f>IF(G43="","",ABS(P43-Components!$D$7))</f>
        <v/>
      </c>
      <c r="W43" s="61">
        <f>IF(G43="","",IF(N43="OK","NONE",INDEX({"S1","S2","W1","W2","N1","N2"},MATCH(MIN(Q43:V43),Q43:V43,0))))</f>
        <v/>
      </c>
      <c r="X43" s="69">
        <f>IF(G43="","",IF(W43=E43,1,0))</f>
        <v/>
      </c>
      <c r="Y43" s="70" t="n"/>
    </row>
    <row r="44">
      <c r="A44" s="61" t="n">
        <v>9</v>
      </c>
      <c r="B44" s="62" t="n">
        <v>36</v>
      </c>
      <c r="C44" s="61" t="inlineStr">
        <is>
          <t>R3</t>
        </is>
      </c>
      <c r="D44" s="74" t="inlineStr">
        <is>
          <t>NG</t>
        </is>
      </c>
      <c r="E44" s="61" t="inlineStr">
        <is>
          <t>S2</t>
        </is>
      </c>
      <c r="F44" s="61" t="inlineStr">
        <is>
          <t>K009</t>
        </is>
      </c>
      <c r="G44" s="64" t="n">
        <v>5.96</v>
      </c>
      <c r="H44" s="65" t="n"/>
      <c r="I44" s="66" t="n"/>
      <c r="J44" s="67">
        <f>VLOOKUP(C44,Recipes!$A$2:$N$4,10,FALSE())</f>
        <v/>
      </c>
      <c r="K44" s="68">
        <f>VLOOKUP(C44,Recipes!$A$2:$N$4,12,FALSE())</f>
        <v/>
      </c>
      <c r="L44" s="67">
        <f>J44-3*K44</f>
        <v/>
      </c>
      <c r="M44" s="67">
        <f>J44+3*K44</f>
        <v/>
      </c>
      <c r="N44" s="61">
        <f>IF(G44="","",IF(AND(G44&gt;=L44,G44&lt;=M44),"OK","NG"))</f>
        <v/>
      </c>
      <c r="O44" s="69">
        <f>IF(N44="","",IF(N44=D44,1,0))</f>
        <v/>
      </c>
      <c r="P44" s="67">
        <f>IF(G44="","",J44-G44)</f>
        <v/>
      </c>
      <c r="Q44" s="67">
        <f>IF(G44="","",ABS(P44-Components!$D$2))</f>
        <v/>
      </c>
      <c r="R44" s="67">
        <f>IF(G44="","",ABS(P44-Components!$D$3))</f>
        <v/>
      </c>
      <c r="S44" s="67">
        <f>IF(G44="","",ABS(P44-Components!$D$4))</f>
        <v/>
      </c>
      <c r="T44" s="67">
        <f>IF(G44="","",ABS(P44-Components!$D$5))</f>
        <v/>
      </c>
      <c r="U44" s="67">
        <f>IF(G44="","",ABS(P44-Components!$D$6))</f>
        <v/>
      </c>
      <c r="V44" s="67">
        <f>IF(G44="","",ABS(P44-Components!$D$7))</f>
        <v/>
      </c>
      <c r="W44" s="61">
        <f>IF(G44="","",IF(N44="OK","NONE",INDEX({"S1","S2","W1","W2","N1","N2"},MATCH(MIN(Q44:V44),Q44:V44,0))))</f>
        <v/>
      </c>
      <c r="X44" s="69">
        <f>IF(G44="","",IF(W44=E44,1,0))</f>
        <v/>
      </c>
      <c r="Y44" s="70" t="n"/>
    </row>
    <row r="45">
      <c r="A45" s="61" t="n">
        <v>9</v>
      </c>
      <c r="B45" s="62" t="n">
        <v>36</v>
      </c>
      <c r="C45" s="61" t="inlineStr">
        <is>
          <t>R3</t>
        </is>
      </c>
      <c r="D45" s="74" t="inlineStr">
        <is>
          <t>NG</t>
        </is>
      </c>
      <c r="E45" s="61" t="inlineStr">
        <is>
          <t>S2</t>
        </is>
      </c>
      <c r="F45" s="61" t="inlineStr">
        <is>
          <t>K009</t>
        </is>
      </c>
      <c r="G45" s="64" t="n">
        <v>5.98</v>
      </c>
      <c r="H45" s="65" t="n"/>
      <c r="I45" s="66" t="n"/>
      <c r="J45" s="67">
        <f>VLOOKUP(C45,Recipes!$A$2:$N$4,10,FALSE())</f>
        <v/>
      </c>
      <c r="K45" s="68">
        <f>VLOOKUP(C45,Recipes!$A$2:$N$4,12,FALSE())</f>
        <v/>
      </c>
      <c r="L45" s="67">
        <f>J45-3*K45</f>
        <v/>
      </c>
      <c r="M45" s="67">
        <f>J45+3*K45</f>
        <v/>
      </c>
      <c r="N45" s="61">
        <f>IF(G45="","",IF(AND(G45&gt;=L45,G45&lt;=M45),"OK","NG"))</f>
        <v/>
      </c>
      <c r="O45" s="69">
        <f>IF(N45="","",IF(N45=D45,1,0))</f>
        <v/>
      </c>
      <c r="P45" s="67">
        <f>IF(G45="","",J45-G45)</f>
        <v/>
      </c>
      <c r="Q45" s="67">
        <f>IF(G45="","",ABS(P45-Components!$D$2))</f>
        <v/>
      </c>
      <c r="R45" s="67">
        <f>IF(G45="","",ABS(P45-Components!$D$3))</f>
        <v/>
      </c>
      <c r="S45" s="67">
        <f>IF(G45="","",ABS(P45-Components!$D$4))</f>
        <v/>
      </c>
      <c r="T45" s="67">
        <f>IF(G45="","",ABS(P45-Components!$D$5))</f>
        <v/>
      </c>
      <c r="U45" s="67">
        <f>IF(G45="","",ABS(P45-Components!$D$6))</f>
        <v/>
      </c>
      <c r="V45" s="67">
        <f>IF(G45="","",ABS(P45-Components!$D$7))</f>
        <v/>
      </c>
      <c r="W45" s="61">
        <f>IF(G45="","",IF(N45="OK","NONE",INDEX({"S1","S2","W1","W2","N1","N2"},MATCH(MIN(Q45:V45),Q45:V45,0))))</f>
        <v/>
      </c>
      <c r="X45" s="69">
        <f>IF(G45="","",IF(W45=E45,1,0))</f>
        <v/>
      </c>
      <c r="Y45" s="70" t="n"/>
    </row>
    <row r="46">
      <c r="A46" s="61" t="n">
        <v>9</v>
      </c>
      <c r="B46" s="62" t="n">
        <v>36</v>
      </c>
      <c r="C46" s="61" t="inlineStr">
        <is>
          <t>R3</t>
        </is>
      </c>
      <c r="D46" s="74" t="inlineStr">
        <is>
          <t>NG</t>
        </is>
      </c>
      <c r="E46" s="61" t="inlineStr">
        <is>
          <t>S2</t>
        </is>
      </c>
      <c r="F46" s="61" t="inlineStr">
        <is>
          <t>K009</t>
        </is>
      </c>
      <c r="G46" s="64" t="n">
        <v>5.94</v>
      </c>
      <c r="H46" s="65" t="n"/>
      <c r="I46" s="66" t="n"/>
      <c r="J46" s="67">
        <f>VLOOKUP(C46,Recipes!$A$2:$N$4,10,FALSE())</f>
        <v/>
      </c>
      <c r="K46" s="68">
        <f>VLOOKUP(C46,Recipes!$A$2:$N$4,12,FALSE())</f>
        <v/>
      </c>
      <c r="L46" s="67">
        <f>J46-3*K46</f>
        <v/>
      </c>
      <c r="M46" s="67">
        <f>J46+3*K46</f>
        <v/>
      </c>
      <c r="N46" s="61">
        <f>IF(G46="","",IF(AND(G46&gt;=L46,G46&lt;=M46),"OK","NG"))</f>
        <v/>
      </c>
      <c r="O46" s="69">
        <f>IF(N46="","",IF(N46=D46,1,0))</f>
        <v/>
      </c>
      <c r="P46" s="67">
        <f>IF(G46="","",J46-G46)</f>
        <v/>
      </c>
      <c r="Q46" s="67">
        <f>IF(G46="","",ABS(P46-Components!$D$2))</f>
        <v/>
      </c>
      <c r="R46" s="67">
        <f>IF(G46="","",ABS(P46-Components!$D$3))</f>
        <v/>
      </c>
      <c r="S46" s="67">
        <f>IF(G46="","",ABS(P46-Components!$D$4))</f>
        <v/>
      </c>
      <c r="T46" s="67">
        <f>IF(G46="","",ABS(P46-Components!$D$5))</f>
        <v/>
      </c>
      <c r="U46" s="67">
        <f>IF(G46="","",ABS(P46-Components!$D$6))</f>
        <v/>
      </c>
      <c r="V46" s="67">
        <f>IF(G46="","",ABS(P46-Components!$D$7))</f>
        <v/>
      </c>
      <c r="W46" s="61">
        <f>IF(G46="","",IF(N46="OK","NONE",INDEX({"S1","S2","W1","W2","N1","N2"},MATCH(MIN(Q46:V46),Q46:V46,0))))</f>
        <v/>
      </c>
      <c r="X46" s="69">
        <f>IF(G46="","",IF(W46=E46,1,0))</f>
        <v/>
      </c>
      <c r="Y46" s="70" t="n"/>
    </row>
    <row r="47">
      <c r="A47" s="61" t="n">
        <v>9</v>
      </c>
      <c r="B47" s="62" t="n">
        <v>36</v>
      </c>
      <c r="C47" s="61" t="inlineStr">
        <is>
          <t>R3</t>
        </is>
      </c>
      <c r="D47" s="74" t="inlineStr">
        <is>
          <t>NG</t>
        </is>
      </c>
      <c r="E47" s="61" t="inlineStr">
        <is>
          <t>S2</t>
        </is>
      </c>
      <c r="F47" s="61" t="inlineStr">
        <is>
          <t>K009</t>
        </is>
      </c>
      <c r="G47" s="64" t="n">
        <v>5.87</v>
      </c>
      <c r="H47" s="65" t="n"/>
      <c r="I47" s="66" t="n"/>
      <c r="J47" s="67">
        <f>VLOOKUP(C47,Recipes!$A$2:$N$4,10,FALSE())</f>
        <v/>
      </c>
      <c r="K47" s="68">
        <f>VLOOKUP(C47,Recipes!$A$2:$N$4,12,FALSE())</f>
        <v/>
      </c>
      <c r="L47" s="67">
        <f>J47-3*K47</f>
        <v/>
      </c>
      <c r="M47" s="67">
        <f>J47+3*K47</f>
        <v/>
      </c>
      <c r="N47" s="61">
        <f>IF(G47="","",IF(AND(G47&gt;=L47,G47&lt;=M47),"OK","NG"))</f>
        <v/>
      </c>
      <c r="O47" s="69">
        <f>IF(N47="","",IF(N47=D47,1,0))</f>
        <v/>
      </c>
      <c r="P47" s="67">
        <f>IF(G47="","",J47-G47)</f>
        <v/>
      </c>
      <c r="Q47" s="67">
        <f>IF(G47="","",ABS(P47-Components!$D$2))</f>
        <v/>
      </c>
      <c r="R47" s="67">
        <f>IF(G47="","",ABS(P47-Components!$D$3))</f>
        <v/>
      </c>
      <c r="S47" s="67">
        <f>IF(G47="","",ABS(P47-Components!$D$4))</f>
        <v/>
      </c>
      <c r="T47" s="67">
        <f>IF(G47="","",ABS(P47-Components!$D$5))</f>
        <v/>
      </c>
      <c r="U47" s="67">
        <f>IF(G47="","",ABS(P47-Components!$D$6))</f>
        <v/>
      </c>
      <c r="V47" s="67">
        <f>IF(G47="","",ABS(P47-Components!$D$7))</f>
        <v/>
      </c>
      <c r="W47" s="61">
        <f>IF(G47="","",IF(N47="OK","NONE",INDEX({"S1","S2","W1","W2","N1","N2"},MATCH(MIN(Q47:V47),Q47:V47,0))))</f>
        <v/>
      </c>
      <c r="X47" s="69">
        <f>IF(G47="","",IF(W47=E47,1,0))</f>
        <v/>
      </c>
      <c r="Y47" s="70" t="n"/>
    </row>
    <row r="48">
      <c r="A48" s="61" t="n">
        <v>9</v>
      </c>
      <c r="B48" s="62" t="n">
        <v>36</v>
      </c>
      <c r="C48" s="61" t="inlineStr">
        <is>
          <t>R3</t>
        </is>
      </c>
      <c r="D48" s="74" t="inlineStr">
        <is>
          <t>NG</t>
        </is>
      </c>
      <c r="E48" s="61" t="inlineStr">
        <is>
          <t>S2</t>
        </is>
      </c>
      <c r="F48" s="61" t="inlineStr">
        <is>
          <t>K009</t>
        </is>
      </c>
      <c r="G48" s="64" t="n">
        <v>5.95</v>
      </c>
      <c r="H48" s="65" t="n"/>
      <c r="I48" s="66" t="n"/>
      <c r="J48" s="67">
        <f>VLOOKUP(C48,Recipes!$A$2:$N$4,10,FALSE())</f>
        <v/>
      </c>
      <c r="K48" s="68">
        <f>VLOOKUP(C48,Recipes!$A$2:$N$4,12,FALSE())</f>
        <v/>
      </c>
      <c r="L48" s="67">
        <f>J48-3*K48</f>
        <v/>
      </c>
      <c r="M48" s="67">
        <f>J48+3*K48</f>
        <v/>
      </c>
      <c r="N48" s="61">
        <f>IF(G48="","",IF(AND(G48&gt;=L48,G48&lt;=M48),"OK","NG"))</f>
        <v/>
      </c>
      <c r="O48" s="69">
        <f>IF(N48="","",IF(N48=D48,1,0))</f>
        <v/>
      </c>
      <c r="P48" s="67">
        <f>IF(G48="","",J48-G48)</f>
        <v/>
      </c>
      <c r="Q48" s="67">
        <f>IF(G48="","",ABS(P48-Components!$D$2))</f>
        <v/>
      </c>
      <c r="R48" s="67">
        <f>IF(G48="","",ABS(P48-Components!$D$3))</f>
        <v/>
      </c>
      <c r="S48" s="67">
        <f>IF(G48="","",ABS(P48-Components!$D$4))</f>
        <v/>
      </c>
      <c r="T48" s="67">
        <f>IF(G48="","",ABS(P48-Components!$D$5))</f>
        <v/>
      </c>
      <c r="U48" s="67">
        <f>IF(G48="","",ABS(P48-Components!$D$6))</f>
        <v/>
      </c>
      <c r="V48" s="67">
        <f>IF(G48="","",ABS(P48-Components!$D$7))</f>
        <v/>
      </c>
      <c r="W48" s="61">
        <f>IF(G48="","",IF(N48="OK","NONE",INDEX({"S1","S2","W1","W2","N1","N2"},MATCH(MIN(Q48:V48),Q48:V48,0))))</f>
        <v/>
      </c>
      <c r="X48" s="69">
        <f>IF(G48="","",IF(W48=E48,1,0))</f>
        <v/>
      </c>
      <c r="Y48" s="70" t="n"/>
    </row>
    <row r="49">
      <c r="A49" s="61" t="n">
        <v>9</v>
      </c>
      <c r="B49" s="62" t="n">
        <v>36</v>
      </c>
      <c r="C49" s="61" t="inlineStr">
        <is>
          <t>R3</t>
        </is>
      </c>
      <c r="D49" s="74" t="inlineStr">
        <is>
          <t>NG</t>
        </is>
      </c>
      <c r="E49" s="61" t="inlineStr">
        <is>
          <t>S2</t>
        </is>
      </c>
      <c r="F49" s="61" t="inlineStr">
        <is>
          <t>K009</t>
        </is>
      </c>
      <c r="G49" s="64" t="n">
        <v>5.89</v>
      </c>
      <c r="H49" s="65" t="n"/>
      <c r="I49" s="66" t="n"/>
      <c r="J49" s="67">
        <f>VLOOKUP(C49,Recipes!$A$2:$N$4,10,FALSE())</f>
        <v/>
      </c>
      <c r="K49" s="68">
        <f>VLOOKUP(C49,Recipes!$A$2:$N$4,12,FALSE())</f>
        <v/>
      </c>
      <c r="L49" s="67">
        <f>J49-3*K49</f>
        <v/>
      </c>
      <c r="M49" s="67">
        <f>J49+3*K49</f>
        <v/>
      </c>
      <c r="N49" s="61">
        <f>IF(G49="","",IF(AND(G49&gt;=L49,G49&lt;=M49),"OK","NG"))</f>
        <v/>
      </c>
      <c r="O49" s="69">
        <f>IF(N49="","",IF(N49=D49,1,0))</f>
        <v/>
      </c>
      <c r="P49" s="67">
        <f>IF(G49="","",J49-G49)</f>
        <v/>
      </c>
      <c r="Q49" s="67">
        <f>IF(G49="","",ABS(P49-Components!$D$2))</f>
        <v/>
      </c>
      <c r="R49" s="67">
        <f>IF(G49="","",ABS(P49-Components!$D$3))</f>
        <v/>
      </c>
      <c r="S49" s="67">
        <f>IF(G49="","",ABS(P49-Components!$D$4))</f>
        <v/>
      </c>
      <c r="T49" s="67">
        <f>IF(G49="","",ABS(P49-Components!$D$5))</f>
        <v/>
      </c>
      <c r="U49" s="67">
        <f>IF(G49="","",ABS(P49-Components!$D$6))</f>
        <v/>
      </c>
      <c r="V49" s="67">
        <f>IF(G49="","",ABS(P49-Components!$D$7))</f>
        <v/>
      </c>
      <c r="W49" s="61">
        <f>IF(G49="","",IF(N49="OK","NONE",INDEX({"S1","S2","W1","W2","N1","N2"},MATCH(MIN(Q49:V49),Q49:V49,0))))</f>
        <v/>
      </c>
      <c r="X49" s="69">
        <f>IF(G49="","",IF(W49=E49,1,0))</f>
        <v/>
      </c>
      <c r="Y49" s="70" t="n"/>
    </row>
    <row r="50">
      <c r="A50" s="61" t="n">
        <v>9</v>
      </c>
      <c r="B50" s="62" t="n">
        <v>36</v>
      </c>
      <c r="C50" s="61" t="inlineStr">
        <is>
          <t>R3</t>
        </is>
      </c>
      <c r="D50" s="74" t="inlineStr">
        <is>
          <t>NG</t>
        </is>
      </c>
      <c r="E50" s="61" t="inlineStr">
        <is>
          <t>S2</t>
        </is>
      </c>
      <c r="F50" s="61" t="inlineStr">
        <is>
          <t>K009</t>
        </is>
      </c>
      <c r="G50" s="64" t="n">
        <v>5.88</v>
      </c>
      <c r="H50" s="65" t="n"/>
      <c r="I50" s="66" t="n"/>
      <c r="J50" s="67">
        <f>VLOOKUP(C50,Recipes!$A$2:$N$4,10,FALSE())</f>
        <v/>
      </c>
      <c r="K50" s="68">
        <f>VLOOKUP(C50,Recipes!$A$2:$N$4,12,FALSE())</f>
        <v/>
      </c>
      <c r="L50" s="67">
        <f>J50-3*K50</f>
        <v/>
      </c>
      <c r="M50" s="67">
        <f>J50+3*K50</f>
        <v/>
      </c>
      <c r="N50" s="61">
        <f>IF(G50="","",IF(AND(G50&gt;=L50,G50&lt;=M50),"OK","NG"))</f>
        <v/>
      </c>
      <c r="O50" s="69">
        <f>IF(N50="","",IF(N50=D50,1,0))</f>
        <v/>
      </c>
      <c r="P50" s="67">
        <f>IF(G50="","",J50-G50)</f>
        <v/>
      </c>
      <c r="Q50" s="67">
        <f>IF(G50="","",ABS(P50-Components!$D$2))</f>
        <v/>
      </c>
      <c r="R50" s="67">
        <f>IF(G50="","",ABS(P50-Components!$D$3))</f>
        <v/>
      </c>
      <c r="S50" s="67">
        <f>IF(G50="","",ABS(P50-Components!$D$4))</f>
        <v/>
      </c>
      <c r="T50" s="67">
        <f>IF(G50="","",ABS(P50-Components!$D$5))</f>
        <v/>
      </c>
      <c r="U50" s="67">
        <f>IF(G50="","",ABS(P50-Components!$D$6))</f>
        <v/>
      </c>
      <c r="V50" s="67">
        <f>IF(G50="","",ABS(P50-Components!$D$7))</f>
        <v/>
      </c>
      <c r="W50" s="61">
        <f>IF(G50="","",IF(N50="OK","NONE",INDEX({"S1","S2","W1","W2","N1","N2"},MATCH(MIN(Q50:V50),Q50:V50,0))))</f>
        <v/>
      </c>
      <c r="X50" s="69">
        <f>IF(G50="","",IF(W50=E50,1,0))</f>
        <v/>
      </c>
      <c r="Y50" s="70" t="n"/>
    </row>
    <row r="51">
      <c r="A51" s="61" t="n">
        <v>9</v>
      </c>
      <c r="B51" s="62" t="n">
        <v>36</v>
      </c>
      <c r="C51" s="61" t="inlineStr">
        <is>
          <t>R3</t>
        </is>
      </c>
      <c r="D51" s="74" t="inlineStr">
        <is>
          <t>NG</t>
        </is>
      </c>
      <c r="E51" s="61" t="inlineStr">
        <is>
          <t>S2</t>
        </is>
      </c>
      <c r="F51" s="61" t="inlineStr">
        <is>
          <t>K009</t>
        </is>
      </c>
      <c r="G51" s="64" t="n">
        <v>5.94</v>
      </c>
      <c r="H51" s="65" t="n"/>
      <c r="I51" s="66" t="n"/>
      <c r="J51" s="67">
        <f>VLOOKUP(C51,Recipes!$A$2:$N$4,10,FALSE())</f>
        <v/>
      </c>
      <c r="K51" s="68">
        <f>VLOOKUP(C51,Recipes!$A$2:$N$4,12,FALSE())</f>
        <v/>
      </c>
      <c r="L51" s="67">
        <f>J51-3*K51</f>
        <v/>
      </c>
      <c r="M51" s="67">
        <f>J51+3*K51</f>
        <v/>
      </c>
      <c r="N51" s="61">
        <f>IF(G51="","",IF(AND(G51&gt;=L51,G51&lt;=M51),"OK","NG"))</f>
        <v/>
      </c>
      <c r="O51" s="69">
        <f>IF(N51="","",IF(N51=D51,1,0))</f>
        <v/>
      </c>
      <c r="P51" s="67">
        <f>IF(G51="","",J51-G51)</f>
        <v/>
      </c>
      <c r="Q51" s="67">
        <f>IF(G51="","",ABS(P51-Components!$D$2))</f>
        <v/>
      </c>
      <c r="R51" s="67">
        <f>IF(G51="","",ABS(P51-Components!$D$3))</f>
        <v/>
      </c>
      <c r="S51" s="67">
        <f>IF(G51="","",ABS(P51-Components!$D$4))</f>
        <v/>
      </c>
      <c r="T51" s="67">
        <f>IF(G51="","",ABS(P51-Components!$D$5))</f>
        <v/>
      </c>
      <c r="U51" s="67">
        <f>IF(G51="","",ABS(P51-Components!$D$6))</f>
        <v/>
      </c>
      <c r="V51" s="67">
        <f>IF(G51="","",ABS(P51-Components!$D$7))</f>
        <v/>
      </c>
      <c r="W51" s="61">
        <f>IF(G51="","",IF(N51="OK","NONE",INDEX({"S1","S2","W1","W2","N1","N2"},MATCH(MIN(Q51:V51),Q51:V51,0))))</f>
        <v/>
      </c>
      <c r="X51" s="69">
        <f>IF(G51="","",IF(W51=E51,1,0))</f>
        <v/>
      </c>
      <c r="Y51" s="70" t="n"/>
    </row>
    <row r="52">
      <c r="A52" s="61" t="n">
        <v>9</v>
      </c>
      <c r="B52" s="62" t="n">
        <v>36</v>
      </c>
      <c r="C52" s="61" t="inlineStr">
        <is>
          <t>R3</t>
        </is>
      </c>
      <c r="D52" s="74" t="inlineStr">
        <is>
          <t>NG</t>
        </is>
      </c>
      <c r="E52" s="61" t="inlineStr">
        <is>
          <t>S2</t>
        </is>
      </c>
      <c r="F52" s="61" t="inlineStr">
        <is>
          <t>K009</t>
        </is>
      </c>
      <c r="G52" s="64" t="n">
        <v>5.93</v>
      </c>
      <c r="H52" s="65" t="n"/>
      <c r="I52" s="66" t="n"/>
      <c r="J52" s="67">
        <f>VLOOKUP(C52,Recipes!$A$2:$N$4,10,FALSE())</f>
        <v/>
      </c>
      <c r="K52" s="68">
        <f>VLOOKUP(C52,Recipes!$A$2:$N$4,12,FALSE())</f>
        <v/>
      </c>
      <c r="L52" s="67">
        <f>J52-3*K52</f>
        <v/>
      </c>
      <c r="M52" s="67">
        <f>J52+3*K52</f>
        <v/>
      </c>
      <c r="N52" s="61">
        <f>IF(G52="","",IF(AND(G52&gt;=L52,G52&lt;=M52),"OK","NG"))</f>
        <v/>
      </c>
      <c r="O52" s="69">
        <f>IF(N52="","",IF(N52=D52,1,0))</f>
        <v/>
      </c>
      <c r="P52" s="67">
        <f>IF(G52="","",J52-G52)</f>
        <v/>
      </c>
      <c r="Q52" s="67">
        <f>IF(G52="","",ABS(P52-Components!$D$2))</f>
        <v/>
      </c>
      <c r="R52" s="67">
        <f>IF(G52="","",ABS(P52-Components!$D$3))</f>
        <v/>
      </c>
      <c r="S52" s="67">
        <f>IF(G52="","",ABS(P52-Components!$D$4))</f>
        <v/>
      </c>
      <c r="T52" s="67">
        <f>IF(G52="","",ABS(P52-Components!$D$5))</f>
        <v/>
      </c>
      <c r="U52" s="67">
        <f>IF(G52="","",ABS(P52-Components!$D$6))</f>
        <v/>
      </c>
      <c r="V52" s="67">
        <f>IF(G52="","",ABS(P52-Components!$D$7))</f>
        <v/>
      </c>
      <c r="W52" s="61">
        <f>IF(G52="","",IF(N52="OK","NONE",INDEX({"S1","S2","W1","W2","N1","N2"},MATCH(MIN(Q52:V52),Q52:V52,0))))</f>
        <v/>
      </c>
      <c r="X52" s="69">
        <f>IF(G52="","",IF(W52=E52,1,0))</f>
        <v/>
      </c>
      <c r="Y52" s="70" t="n"/>
    </row>
    <row r="53">
      <c r="A53" s="61" t="n">
        <v>9</v>
      </c>
      <c r="B53" s="62" t="n">
        <v>36</v>
      </c>
      <c r="C53" s="61" t="inlineStr">
        <is>
          <t>R3</t>
        </is>
      </c>
      <c r="D53" s="74" t="inlineStr">
        <is>
          <t>NG</t>
        </is>
      </c>
      <c r="E53" s="61" t="inlineStr">
        <is>
          <t>S2</t>
        </is>
      </c>
      <c r="F53" s="61" t="inlineStr">
        <is>
          <t>K009</t>
        </is>
      </c>
      <c r="G53" s="64" t="n">
        <v>5.99</v>
      </c>
      <c r="H53" s="65" t="n"/>
      <c r="I53" s="66" t="n"/>
      <c r="J53" s="67">
        <f>VLOOKUP(C53,Recipes!$A$2:$N$4,10,FALSE())</f>
        <v/>
      </c>
      <c r="K53" s="68">
        <f>VLOOKUP(C53,Recipes!$A$2:$N$4,12,FALSE())</f>
        <v/>
      </c>
      <c r="L53" s="67">
        <f>J53-3*K53</f>
        <v/>
      </c>
      <c r="M53" s="67">
        <f>J53+3*K53</f>
        <v/>
      </c>
      <c r="N53" s="61">
        <f>IF(G53="","",IF(AND(G53&gt;=L53,G53&lt;=M53),"OK","NG"))</f>
        <v/>
      </c>
      <c r="O53" s="69">
        <f>IF(N53="","",IF(N53=D53,1,0))</f>
        <v/>
      </c>
      <c r="P53" s="67">
        <f>IF(G53="","",J53-G53)</f>
        <v/>
      </c>
      <c r="Q53" s="67">
        <f>IF(G53="","",ABS(P53-Components!$D$2))</f>
        <v/>
      </c>
      <c r="R53" s="67">
        <f>IF(G53="","",ABS(P53-Components!$D$3))</f>
        <v/>
      </c>
      <c r="S53" s="67">
        <f>IF(G53="","",ABS(P53-Components!$D$4))</f>
        <v/>
      </c>
      <c r="T53" s="67">
        <f>IF(G53="","",ABS(P53-Components!$D$5))</f>
        <v/>
      </c>
      <c r="U53" s="67">
        <f>IF(G53="","",ABS(P53-Components!$D$6))</f>
        <v/>
      </c>
      <c r="V53" s="67">
        <f>IF(G53="","",ABS(P53-Components!$D$7))</f>
        <v/>
      </c>
      <c r="W53" s="61">
        <f>IF(G53="","",IF(N53="OK","NONE",INDEX({"S1","S2","W1","W2","N1","N2"},MATCH(MIN(Q53:V53),Q53:V53,0))))</f>
        <v/>
      </c>
      <c r="X53" s="69">
        <f>IF(G53="","",IF(W53=E53,1,0))</f>
        <v/>
      </c>
      <c r="Y53" s="70" t="n"/>
    </row>
    <row r="54">
      <c r="A54" s="61" t="n">
        <v>9</v>
      </c>
      <c r="B54" s="62" t="n">
        <v>36</v>
      </c>
      <c r="C54" s="61" t="inlineStr">
        <is>
          <t>R3</t>
        </is>
      </c>
      <c r="D54" s="74" t="inlineStr">
        <is>
          <t>NG</t>
        </is>
      </c>
      <c r="E54" s="61" t="inlineStr">
        <is>
          <t>S2</t>
        </is>
      </c>
      <c r="F54" s="61" t="inlineStr">
        <is>
          <t>K009</t>
        </is>
      </c>
      <c r="G54" s="64" t="n">
        <v>5.92</v>
      </c>
      <c r="H54" s="65" t="n"/>
      <c r="I54" s="66" t="n"/>
      <c r="J54" s="67">
        <f>VLOOKUP(C54,Recipes!$A$2:$N$4,10,FALSE())</f>
        <v/>
      </c>
      <c r="K54" s="68">
        <f>VLOOKUP(C54,Recipes!$A$2:$N$4,12,FALSE())</f>
        <v/>
      </c>
      <c r="L54" s="67">
        <f>J54-3*K54</f>
        <v/>
      </c>
      <c r="M54" s="67">
        <f>J54+3*K54</f>
        <v/>
      </c>
      <c r="N54" s="61">
        <f>IF(G54="","",IF(AND(G54&gt;=L54,G54&lt;=M54),"OK","NG"))</f>
        <v/>
      </c>
      <c r="O54" s="69">
        <f>IF(N54="","",IF(N54=D54,1,0))</f>
        <v/>
      </c>
      <c r="P54" s="67">
        <f>IF(G54="","",J54-G54)</f>
        <v/>
      </c>
      <c r="Q54" s="67">
        <f>IF(G54="","",ABS(P54-Components!$D$2))</f>
        <v/>
      </c>
      <c r="R54" s="67">
        <f>IF(G54="","",ABS(P54-Components!$D$3))</f>
        <v/>
      </c>
      <c r="S54" s="67">
        <f>IF(G54="","",ABS(P54-Components!$D$4))</f>
        <v/>
      </c>
      <c r="T54" s="67">
        <f>IF(G54="","",ABS(P54-Components!$D$5))</f>
        <v/>
      </c>
      <c r="U54" s="67">
        <f>IF(G54="","",ABS(P54-Components!$D$6))</f>
        <v/>
      </c>
      <c r="V54" s="67">
        <f>IF(G54="","",ABS(P54-Components!$D$7))</f>
        <v/>
      </c>
      <c r="W54" s="61">
        <f>IF(G54="","",IF(N54="OK","NONE",INDEX({"S1","S2","W1","W2","N1","N2"},MATCH(MIN(Q54:V54),Q54:V54,0))))</f>
        <v/>
      </c>
      <c r="X54" s="69">
        <f>IF(G54="","",IF(W54=E54,1,0))</f>
        <v/>
      </c>
      <c r="Y54" s="70" t="n"/>
    </row>
    <row r="55">
      <c r="A55" s="61" t="n">
        <v>9</v>
      </c>
      <c r="B55" s="62" t="n">
        <v>36</v>
      </c>
      <c r="C55" s="61" t="inlineStr">
        <is>
          <t>R3</t>
        </is>
      </c>
      <c r="D55" s="74" t="inlineStr">
        <is>
          <t>NG</t>
        </is>
      </c>
      <c r="E55" s="61" t="inlineStr">
        <is>
          <t>S2</t>
        </is>
      </c>
      <c r="F55" s="61" t="inlineStr">
        <is>
          <t>K009</t>
        </is>
      </c>
      <c r="G55" s="64" t="n">
        <v>5.78</v>
      </c>
      <c r="H55" s="65" t="n"/>
      <c r="I55" s="66" t="n"/>
      <c r="J55" s="67">
        <f>VLOOKUP(C55,Recipes!$A$2:$N$4,10,FALSE())</f>
        <v/>
      </c>
      <c r="K55" s="68">
        <f>VLOOKUP(C55,Recipes!$A$2:$N$4,12,FALSE())</f>
        <v/>
      </c>
      <c r="L55" s="67">
        <f>J55-3*K55</f>
        <v/>
      </c>
      <c r="M55" s="67">
        <f>J55+3*K55</f>
        <v/>
      </c>
      <c r="N55" s="61">
        <f>IF(G55="","",IF(AND(G55&gt;=L55,G55&lt;=M55),"OK","NG"))</f>
        <v/>
      </c>
      <c r="O55" s="69">
        <f>IF(N55="","",IF(N55=D55,1,0))</f>
        <v/>
      </c>
      <c r="P55" s="67">
        <f>IF(G55="","",J55-G55)</f>
        <v/>
      </c>
      <c r="Q55" s="67">
        <f>IF(G55="","",ABS(P55-Components!$D$2))</f>
        <v/>
      </c>
      <c r="R55" s="67">
        <f>IF(G55="","",ABS(P55-Components!$D$3))</f>
        <v/>
      </c>
      <c r="S55" s="67">
        <f>IF(G55="","",ABS(P55-Components!$D$4))</f>
        <v/>
      </c>
      <c r="T55" s="67">
        <f>IF(G55="","",ABS(P55-Components!$D$5))</f>
        <v/>
      </c>
      <c r="U55" s="67">
        <f>IF(G55="","",ABS(P55-Components!$D$6))</f>
        <v/>
      </c>
      <c r="V55" s="67">
        <f>IF(G55="","",ABS(P55-Components!$D$7))</f>
        <v/>
      </c>
      <c r="W55" s="61">
        <f>IF(G55="","",IF(N55="OK","NONE",INDEX({"S1","S2","W1","W2","N1","N2"},MATCH(MIN(Q55:V55),Q55:V55,0))))</f>
        <v/>
      </c>
      <c r="X55" s="69">
        <f>IF(G55="","",IF(W55=E55,1,0))</f>
        <v/>
      </c>
      <c r="Y55" s="70" t="n"/>
    </row>
    <row r="56">
      <c r="A56" s="61" t="n">
        <v>9</v>
      </c>
      <c r="B56" s="62" t="n">
        <v>36</v>
      </c>
      <c r="C56" s="61" t="inlineStr">
        <is>
          <t>R3</t>
        </is>
      </c>
      <c r="D56" s="74" t="inlineStr">
        <is>
          <t>NG</t>
        </is>
      </c>
      <c r="E56" s="61" t="inlineStr">
        <is>
          <t>S2</t>
        </is>
      </c>
      <c r="F56" s="61" t="inlineStr">
        <is>
          <t>K009</t>
        </is>
      </c>
      <c r="G56" s="64" t="n">
        <v>5.95</v>
      </c>
      <c r="H56" s="65" t="n"/>
      <c r="I56" s="66" t="n"/>
      <c r="J56" s="67">
        <f>VLOOKUP(C56,Recipes!$A$2:$N$4,10,FALSE())</f>
        <v/>
      </c>
      <c r="K56" s="68">
        <f>VLOOKUP(C56,Recipes!$A$2:$N$4,12,FALSE())</f>
        <v/>
      </c>
      <c r="L56" s="67">
        <f>J56-3*K56</f>
        <v/>
      </c>
      <c r="M56" s="67">
        <f>J56+3*K56</f>
        <v/>
      </c>
      <c r="N56" s="61">
        <f>IF(G56="","",IF(AND(G56&gt;=L56,G56&lt;=M56),"OK","NG"))</f>
        <v/>
      </c>
      <c r="O56" s="69">
        <f>IF(N56="","",IF(N56=D56,1,0))</f>
        <v/>
      </c>
      <c r="P56" s="67">
        <f>IF(G56="","",J56-G56)</f>
        <v/>
      </c>
      <c r="Q56" s="67">
        <f>IF(G56="","",ABS(P56-Components!$D$2))</f>
        <v/>
      </c>
      <c r="R56" s="67">
        <f>IF(G56="","",ABS(P56-Components!$D$3))</f>
        <v/>
      </c>
      <c r="S56" s="67">
        <f>IF(G56="","",ABS(P56-Components!$D$4))</f>
        <v/>
      </c>
      <c r="T56" s="67">
        <f>IF(G56="","",ABS(P56-Components!$D$5))</f>
        <v/>
      </c>
      <c r="U56" s="67">
        <f>IF(G56="","",ABS(P56-Components!$D$6))</f>
        <v/>
      </c>
      <c r="V56" s="67">
        <f>IF(G56="","",ABS(P56-Components!$D$7))</f>
        <v/>
      </c>
      <c r="W56" s="61">
        <f>IF(G56="","",IF(N56="OK","NONE",INDEX({"S1","S2","W1","W2","N1","N2"},MATCH(MIN(Q56:V56),Q56:V56,0))))</f>
        <v/>
      </c>
      <c r="X56" s="69">
        <f>IF(G56="","",IF(W56=E56,1,0))</f>
        <v/>
      </c>
      <c r="Y56" s="70" t="n"/>
    </row>
    <row r="57">
      <c r="A57" s="61" t="n">
        <v>9</v>
      </c>
      <c r="B57" s="62" t="n">
        <v>36</v>
      </c>
      <c r="C57" s="61" t="inlineStr">
        <is>
          <t>R3</t>
        </is>
      </c>
      <c r="D57" s="74" t="inlineStr">
        <is>
          <t>NG</t>
        </is>
      </c>
      <c r="E57" s="61" t="inlineStr">
        <is>
          <t>S2</t>
        </is>
      </c>
      <c r="F57" s="61" t="inlineStr">
        <is>
          <t>K009</t>
        </is>
      </c>
      <c r="G57" s="64" t="n">
        <v>5.92</v>
      </c>
      <c r="H57" s="65" t="n"/>
      <c r="I57" s="66" t="n"/>
      <c r="J57" s="67">
        <f>VLOOKUP(C57,Recipes!$A$2:$N$4,10,FALSE())</f>
        <v/>
      </c>
      <c r="K57" s="68">
        <f>VLOOKUP(C57,Recipes!$A$2:$N$4,12,FALSE())</f>
        <v/>
      </c>
      <c r="L57" s="67">
        <f>J57-3*K57</f>
        <v/>
      </c>
      <c r="M57" s="67">
        <f>J57+3*K57</f>
        <v/>
      </c>
      <c r="N57" s="61">
        <f>IF(G57="","",IF(AND(G57&gt;=L57,G57&lt;=M57),"OK","NG"))</f>
        <v/>
      </c>
      <c r="O57" s="69">
        <f>IF(N57="","",IF(N57=D57,1,0))</f>
        <v/>
      </c>
      <c r="P57" s="67">
        <f>IF(G57="","",J57-G57)</f>
        <v/>
      </c>
      <c r="Q57" s="67">
        <f>IF(G57="","",ABS(P57-Components!$D$2))</f>
        <v/>
      </c>
      <c r="R57" s="67">
        <f>IF(G57="","",ABS(P57-Components!$D$3))</f>
        <v/>
      </c>
      <c r="S57" s="67">
        <f>IF(G57="","",ABS(P57-Components!$D$4))</f>
        <v/>
      </c>
      <c r="T57" s="67">
        <f>IF(G57="","",ABS(P57-Components!$D$5))</f>
        <v/>
      </c>
      <c r="U57" s="67">
        <f>IF(G57="","",ABS(P57-Components!$D$6))</f>
        <v/>
      </c>
      <c r="V57" s="67">
        <f>IF(G57="","",ABS(P57-Components!$D$7))</f>
        <v/>
      </c>
      <c r="W57" s="61">
        <f>IF(G57="","",IF(N57="OK","NONE",INDEX({"S1","S2","W1","W2","N1","N2"},MATCH(MIN(Q57:V57),Q57:V57,0))))</f>
        <v/>
      </c>
      <c r="X57" s="69">
        <f>IF(G57="","",IF(W57=E57,1,0))</f>
        <v/>
      </c>
      <c r="Y57" s="70" t="n"/>
    </row>
    <row r="58">
      <c r="A58" s="61" t="n">
        <v>9</v>
      </c>
      <c r="B58" s="62" t="n">
        <v>36</v>
      </c>
      <c r="C58" s="61" t="inlineStr">
        <is>
          <t>R3</t>
        </is>
      </c>
      <c r="D58" s="74" t="inlineStr">
        <is>
          <t>NG</t>
        </is>
      </c>
      <c r="E58" s="61" t="inlineStr">
        <is>
          <t>S2</t>
        </is>
      </c>
      <c r="F58" s="61" t="inlineStr">
        <is>
          <t>K009</t>
        </is>
      </c>
      <c r="G58" s="64" t="n">
        <v>5.94</v>
      </c>
      <c r="H58" s="65" t="n"/>
      <c r="I58" s="66" t="n"/>
      <c r="J58" s="67">
        <f>VLOOKUP(C58,Recipes!$A$2:$N$4,10,FALSE())</f>
        <v/>
      </c>
      <c r="K58" s="68">
        <f>VLOOKUP(C58,Recipes!$A$2:$N$4,12,FALSE())</f>
        <v/>
      </c>
      <c r="L58" s="67">
        <f>J58-3*K58</f>
        <v/>
      </c>
      <c r="M58" s="67">
        <f>J58+3*K58</f>
        <v/>
      </c>
      <c r="N58" s="61">
        <f>IF(G58="","",IF(AND(G58&gt;=L58,G58&lt;=M58),"OK","NG"))</f>
        <v/>
      </c>
      <c r="O58" s="69">
        <f>IF(N58="","",IF(N58=D58,1,0))</f>
        <v/>
      </c>
      <c r="P58" s="67">
        <f>IF(G58="","",J58-G58)</f>
        <v/>
      </c>
      <c r="Q58" s="67">
        <f>IF(G58="","",ABS(P58-Components!$D$2))</f>
        <v/>
      </c>
      <c r="R58" s="67">
        <f>IF(G58="","",ABS(P58-Components!$D$3))</f>
        <v/>
      </c>
      <c r="S58" s="67">
        <f>IF(G58="","",ABS(P58-Components!$D$4))</f>
        <v/>
      </c>
      <c r="T58" s="67">
        <f>IF(G58="","",ABS(P58-Components!$D$5))</f>
        <v/>
      </c>
      <c r="U58" s="67">
        <f>IF(G58="","",ABS(P58-Components!$D$6))</f>
        <v/>
      </c>
      <c r="V58" s="67">
        <f>IF(G58="","",ABS(P58-Components!$D$7))</f>
        <v/>
      </c>
      <c r="W58" s="61">
        <f>IF(G58="","",IF(N58="OK","NONE",INDEX({"S1","S2","W1","W2","N1","N2"},MATCH(MIN(Q58:V58),Q58:V58,0))))</f>
        <v/>
      </c>
      <c r="X58" s="69">
        <f>IF(G58="","",IF(W58=E58,1,0))</f>
        <v/>
      </c>
      <c r="Y58" s="70" t="n"/>
    </row>
    <row r="59">
      <c r="A59" s="61" t="n">
        <v>9</v>
      </c>
      <c r="B59" s="62" t="n">
        <v>36</v>
      </c>
      <c r="C59" s="61" t="inlineStr">
        <is>
          <t>R3</t>
        </is>
      </c>
      <c r="D59" s="74" t="inlineStr">
        <is>
          <t>NG</t>
        </is>
      </c>
      <c r="E59" s="61" t="inlineStr">
        <is>
          <t>S2</t>
        </is>
      </c>
      <c r="F59" s="61" t="inlineStr">
        <is>
          <t>K009</t>
        </is>
      </c>
      <c r="G59" s="64" t="n">
        <v>5.9</v>
      </c>
      <c r="H59" s="65" t="n"/>
      <c r="I59" s="66" t="n"/>
      <c r="J59" s="67">
        <f>VLOOKUP(C59,Recipes!$A$2:$N$4,10,FALSE())</f>
        <v/>
      </c>
      <c r="K59" s="68">
        <f>VLOOKUP(C59,Recipes!$A$2:$N$4,12,FALSE())</f>
        <v/>
      </c>
      <c r="L59" s="67">
        <f>J59-3*K59</f>
        <v/>
      </c>
      <c r="M59" s="67">
        <f>J59+3*K59</f>
        <v/>
      </c>
      <c r="N59" s="61">
        <f>IF(G59="","",IF(AND(G59&gt;=L59,G59&lt;=M59),"OK","NG"))</f>
        <v/>
      </c>
      <c r="O59" s="69">
        <f>IF(N59="","",IF(N59=D59,1,0))</f>
        <v/>
      </c>
      <c r="P59" s="67">
        <f>IF(G59="","",J59-G59)</f>
        <v/>
      </c>
      <c r="Q59" s="67">
        <f>IF(G59="","",ABS(P59-Components!$D$2))</f>
        <v/>
      </c>
      <c r="R59" s="67">
        <f>IF(G59="","",ABS(P59-Components!$D$3))</f>
        <v/>
      </c>
      <c r="S59" s="67">
        <f>IF(G59="","",ABS(P59-Components!$D$4))</f>
        <v/>
      </c>
      <c r="T59" s="67">
        <f>IF(G59="","",ABS(P59-Components!$D$5))</f>
        <v/>
      </c>
      <c r="U59" s="67">
        <f>IF(G59="","",ABS(P59-Components!$D$6))</f>
        <v/>
      </c>
      <c r="V59" s="67">
        <f>IF(G59="","",ABS(P59-Components!$D$7))</f>
        <v/>
      </c>
      <c r="W59" s="61">
        <f>IF(G59="","",IF(N59="OK","NONE",INDEX({"S1","S2","W1","W2","N1","N2"},MATCH(MIN(Q59:V59),Q59:V59,0))))</f>
        <v/>
      </c>
      <c r="X59" s="69">
        <f>IF(G59="","",IF(W59=E59,1,0))</f>
        <v/>
      </c>
      <c r="Y59" s="70" t="n"/>
    </row>
    <row r="60">
      <c r="A60" s="61" t="n">
        <v>9</v>
      </c>
      <c r="B60" s="62" t="n">
        <v>36</v>
      </c>
      <c r="C60" s="61" t="inlineStr">
        <is>
          <t>R3</t>
        </is>
      </c>
      <c r="D60" s="74" t="inlineStr">
        <is>
          <t>NG</t>
        </is>
      </c>
      <c r="E60" s="61" t="inlineStr">
        <is>
          <t>S2</t>
        </is>
      </c>
      <c r="F60" s="61" t="inlineStr">
        <is>
          <t>K009</t>
        </is>
      </c>
      <c r="G60" s="64" t="n">
        <v>5.92</v>
      </c>
      <c r="H60" s="65" t="n"/>
      <c r="I60" s="66" t="n"/>
      <c r="J60" s="67">
        <f>VLOOKUP(C60,Recipes!$A$2:$N$4,10,FALSE())</f>
        <v/>
      </c>
      <c r="K60" s="68">
        <f>VLOOKUP(C60,Recipes!$A$2:$N$4,12,FALSE())</f>
        <v/>
      </c>
      <c r="L60" s="67">
        <f>J60-3*K60</f>
        <v/>
      </c>
      <c r="M60" s="67">
        <f>J60+3*K60</f>
        <v/>
      </c>
      <c r="N60" s="61">
        <f>IF(G60="","",IF(AND(G60&gt;=L60,G60&lt;=M60),"OK","NG"))</f>
        <v/>
      </c>
      <c r="O60" s="69">
        <f>IF(N60="","",IF(N60=D60,1,0))</f>
        <v/>
      </c>
      <c r="P60" s="67">
        <f>IF(G60="","",J60-G60)</f>
        <v/>
      </c>
      <c r="Q60" s="67">
        <f>IF(G60="","",ABS(P60-Components!$D$2))</f>
        <v/>
      </c>
      <c r="R60" s="67">
        <f>IF(G60="","",ABS(P60-Components!$D$3))</f>
        <v/>
      </c>
      <c r="S60" s="67">
        <f>IF(G60="","",ABS(P60-Components!$D$4))</f>
        <v/>
      </c>
      <c r="T60" s="67">
        <f>IF(G60="","",ABS(P60-Components!$D$5))</f>
        <v/>
      </c>
      <c r="U60" s="67">
        <f>IF(G60="","",ABS(P60-Components!$D$6))</f>
        <v/>
      </c>
      <c r="V60" s="67">
        <f>IF(G60="","",ABS(P60-Components!$D$7))</f>
        <v/>
      </c>
      <c r="W60" s="61">
        <f>IF(G60="","",IF(N60="OK","NONE",INDEX({"S1","S2","W1","W2","N1","N2"},MATCH(MIN(Q60:V60),Q60:V60,0))))</f>
        <v/>
      </c>
      <c r="X60" s="69">
        <f>IF(G60="","",IF(W60=E60,1,0))</f>
        <v/>
      </c>
      <c r="Y60" s="70" t="n"/>
    </row>
    <row r="61">
      <c r="A61" s="61" t="n">
        <v>9</v>
      </c>
      <c r="B61" s="62" t="n">
        <v>36</v>
      </c>
      <c r="C61" s="61" t="inlineStr">
        <is>
          <t>R3</t>
        </is>
      </c>
      <c r="D61" s="74" t="inlineStr">
        <is>
          <t>NG</t>
        </is>
      </c>
      <c r="E61" s="61" t="inlineStr">
        <is>
          <t>S2</t>
        </is>
      </c>
      <c r="F61" s="61" t="inlineStr">
        <is>
          <t>K009</t>
        </is>
      </c>
      <c r="G61" s="64" t="n">
        <v>5.4</v>
      </c>
      <c r="H61" s="65" t="n"/>
      <c r="I61" s="66" t="n"/>
      <c r="J61" s="67">
        <f>VLOOKUP(C61,Recipes!$A$2:$N$4,10,FALSE())</f>
        <v/>
      </c>
      <c r="K61" s="68">
        <f>VLOOKUP(C61,Recipes!$A$2:$N$4,12,FALSE())</f>
        <v/>
      </c>
      <c r="L61" s="67">
        <f>J61-3*K61</f>
        <v/>
      </c>
      <c r="M61" s="67">
        <f>J61+3*K61</f>
        <v/>
      </c>
      <c r="N61" s="61">
        <f>IF(G61="","",IF(AND(G61&gt;=L61,G61&lt;=M61),"OK","NG"))</f>
        <v/>
      </c>
      <c r="O61" s="69">
        <f>IF(N61="","",IF(N61=D61,1,0))</f>
        <v/>
      </c>
      <c r="P61" s="67">
        <f>IF(G61="","",J61-G61)</f>
        <v/>
      </c>
      <c r="Q61" s="67">
        <f>IF(G61="","",ABS(P61-Components!$D$2))</f>
        <v/>
      </c>
      <c r="R61" s="72">
        <f>IF(G61="","",ABS(P61-Components!$D$3))</f>
        <v/>
      </c>
      <c r="S61" s="67">
        <f>IF(G61="","",ABS(P61-Components!$D$4))</f>
        <v/>
      </c>
      <c r="T61" s="72">
        <f>IF(G61="","",ABS(P61-Components!$D$5))</f>
        <v/>
      </c>
      <c r="U61" s="67">
        <f>IF(G61="","",ABS(P61-Components!$D$6))</f>
        <v/>
      </c>
      <c r="V61" s="67">
        <f>IF(G61="","",ABS(P61-Components!$D$7))</f>
        <v/>
      </c>
      <c r="W61" s="61">
        <f>IF(G61="","",IF(N61="OK","NONE",INDEX({"S1","S2","W1","W2","N1","N2"},MATCH(MIN(Q61:V61),Q61:V61,0))))</f>
        <v/>
      </c>
      <c r="X61" s="71">
        <f>IF(G61="","",IF(W61=E61,1,0))</f>
        <v/>
      </c>
      <c r="Y61" s="70" t="n"/>
    </row>
    <row r="62">
      <c r="A62" s="61" t="n">
        <v>9</v>
      </c>
      <c r="B62" s="62" t="n">
        <v>36</v>
      </c>
      <c r="C62" s="61" t="inlineStr">
        <is>
          <t>R3</t>
        </is>
      </c>
      <c r="D62" s="74" t="inlineStr">
        <is>
          <t>NG</t>
        </is>
      </c>
      <c r="E62" s="61" t="inlineStr">
        <is>
          <t>S2</t>
        </is>
      </c>
      <c r="F62" s="61" t="inlineStr">
        <is>
          <t>K009</t>
        </is>
      </c>
      <c r="G62" s="64" t="n">
        <v>5.8</v>
      </c>
      <c r="H62" s="65" t="n"/>
      <c r="I62" s="66" t="n"/>
      <c r="J62" s="67">
        <f>VLOOKUP(C62,Recipes!$A$2:$N$4,10,FALSE())</f>
        <v/>
      </c>
      <c r="K62" s="68">
        <f>VLOOKUP(C62,Recipes!$A$2:$N$4,12,FALSE())</f>
        <v/>
      </c>
      <c r="L62" s="67">
        <f>J62-3*K62</f>
        <v/>
      </c>
      <c r="M62" s="67">
        <f>J62+3*K62</f>
        <v/>
      </c>
      <c r="N62" s="61">
        <f>IF(G62="","",IF(AND(G62&gt;=L62,G62&lt;=M62),"OK","NG"))</f>
        <v/>
      </c>
      <c r="O62" s="69">
        <f>IF(N62="","",IF(N62=D62,1,0))</f>
        <v/>
      </c>
      <c r="P62" s="67">
        <f>IF(G62="","",J62-G62)</f>
        <v/>
      </c>
      <c r="Q62" s="67">
        <f>IF(G62="","",ABS(P62-Components!$D$2))</f>
        <v/>
      </c>
      <c r="R62" s="67">
        <f>IF(G62="","",ABS(P62-Components!$D$3))</f>
        <v/>
      </c>
      <c r="S62" s="67">
        <f>IF(G62="","",ABS(P62-Components!$D$4))</f>
        <v/>
      </c>
      <c r="T62" s="67">
        <f>IF(G62="","",ABS(P62-Components!$D$5))</f>
        <v/>
      </c>
      <c r="U62" s="67">
        <f>IF(G62="","",ABS(P62-Components!$D$6))</f>
        <v/>
      </c>
      <c r="V62" s="67">
        <f>IF(G62="","",ABS(P62-Components!$D$7))</f>
        <v/>
      </c>
      <c r="W62" s="61">
        <f>IF(G62="","",IF(N62="OK","NONE",INDEX({"S1","S2","W1","W2","N1","N2"},MATCH(MIN(Q62:V62),Q62:V62,0))))</f>
        <v/>
      </c>
      <c r="X62" s="69">
        <f>IF(G62="","",IF(W62=E62,1,0))</f>
        <v/>
      </c>
      <c r="Y62" s="70" t="n"/>
    </row>
    <row r="63">
      <c r="A63" s="61" t="n">
        <v>11</v>
      </c>
      <c r="B63" s="62" t="n">
        <v>10</v>
      </c>
      <c r="C63" s="61" t="inlineStr">
        <is>
          <t>R3</t>
        </is>
      </c>
      <c r="D63" s="74" t="inlineStr">
        <is>
          <t>NG</t>
        </is>
      </c>
      <c r="E63" s="61" t="inlineStr">
        <is>
          <t>W2</t>
        </is>
      </c>
      <c r="F63" s="61" t="inlineStr">
        <is>
          <t>K011</t>
        </is>
      </c>
      <c r="G63" s="64" t="n">
        <v>5.4</v>
      </c>
      <c r="H63" s="65" t="n"/>
      <c r="I63" s="66" t="n"/>
      <c r="J63" s="67">
        <f>VLOOKUP(C63,Recipes!$A$2:$N$4,10,FALSE())</f>
        <v/>
      </c>
      <c r="K63" s="68">
        <f>VLOOKUP(C63,Recipes!$A$2:$N$4,12,FALSE())</f>
        <v/>
      </c>
      <c r="L63" s="67">
        <f>J63-3*K63</f>
        <v/>
      </c>
      <c r="M63" s="67">
        <f>J63+3*K63</f>
        <v/>
      </c>
      <c r="N63" s="61">
        <f>IF(G63="","",IF(AND(G63&gt;=L63,G63&lt;=M63),"OK","NG"))</f>
        <v/>
      </c>
      <c r="O63" s="69">
        <f>IF(N63="","",IF(N63=D63,1,0))</f>
        <v/>
      </c>
      <c r="P63" s="67">
        <f>IF(G63="","",J63-G63)</f>
        <v/>
      </c>
      <c r="Q63" s="67">
        <f>IF(G63="","",ABS(P63-Components!$D$2))</f>
        <v/>
      </c>
      <c r="R63" s="67">
        <f>IF(G63="","",ABS(P63-Components!$D$3))</f>
        <v/>
      </c>
      <c r="S63" s="67">
        <f>IF(G63="","",ABS(P63-Components!$D$4))</f>
        <v/>
      </c>
      <c r="T63" s="67">
        <f>IF(G63="","",ABS(P63-Components!$D$5))</f>
        <v/>
      </c>
      <c r="U63" s="67">
        <f>IF(G63="","",ABS(P63-Components!$D$6))</f>
        <v/>
      </c>
      <c r="V63" s="67">
        <f>IF(G63="","",ABS(P63-Components!$D$7))</f>
        <v/>
      </c>
      <c r="W63" s="61">
        <f>IF(G63="","",IF(N63="OK","NONE",INDEX({"S1","S2","W1","W2","N1","N2"},MATCH(MIN(Q63:V63),Q63:V63,0))))</f>
        <v/>
      </c>
      <c r="X63" s="69">
        <f>IF(G63="","",IF(W63=E63,1,0))</f>
        <v/>
      </c>
      <c r="Y63" s="70" t="n"/>
    </row>
    <row r="64">
      <c r="A64" s="61" t="n">
        <v>12</v>
      </c>
      <c r="B64" s="62" t="n">
        <v>34</v>
      </c>
      <c r="C64" s="61" t="inlineStr">
        <is>
          <t>R3</t>
        </is>
      </c>
      <c r="D64" s="74" t="inlineStr">
        <is>
          <t>NG</t>
        </is>
      </c>
      <c r="E64" s="61" t="inlineStr">
        <is>
          <t>W2</t>
        </is>
      </c>
      <c r="F64" s="61" t="inlineStr">
        <is>
          <t>K012</t>
        </is>
      </c>
      <c r="G64" s="64" t="n">
        <v>5.45</v>
      </c>
      <c r="H64" s="65" t="n"/>
      <c r="I64" s="66" t="n"/>
      <c r="J64" s="67">
        <f>VLOOKUP(C64,Recipes!$A$2:$N$4,10,FALSE())</f>
        <v/>
      </c>
      <c r="K64" s="68">
        <f>VLOOKUP(C64,Recipes!$A$2:$N$4,12,FALSE())</f>
        <v/>
      </c>
      <c r="L64" s="67">
        <f>J64-3*K64</f>
        <v/>
      </c>
      <c r="M64" s="67">
        <f>J64+3*K64</f>
        <v/>
      </c>
      <c r="N64" s="61">
        <f>IF(G64="","",IF(AND(G64&gt;=L64,G64&lt;=M64),"OK","NG"))</f>
        <v/>
      </c>
      <c r="O64" s="69">
        <f>IF(N64="","",IF(N64=D64,1,0))</f>
        <v/>
      </c>
      <c r="P64" s="67">
        <f>IF(G64="","",J64-G64)</f>
        <v/>
      </c>
      <c r="Q64" s="67">
        <f>IF(G64="","",ABS(P64-Components!$D$2))</f>
        <v/>
      </c>
      <c r="R64" s="67">
        <f>IF(G64="","",ABS(P64-Components!$D$3))</f>
        <v/>
      </c>
      <c r="S64" s="67">
        <f>IF(G64="","",ABS(P64-Components!$D$4))</f>
        <v/>
      </c>
      <c r="T64" s="67">
        <f>IF(G64="","",ABS(P64-Components!$D$5))</f>
        <v/>
      </c>
      <c r="U64" s="67">
        <f>IF(G64="","",ABS(P64-Components!$D$6))</f>
        <v/>
      </c>
      <c r="V64" s="67">
        <f>IF(G64="","",ABS(P64-Components!$D$7))</f>
        <v/>
      </c>
      <c r="W64" s="61">
        <f>IF(G64="","",IF(N64="OK","NONE",INDEX({"S1","S2","W1","W2","N1","N2"},MATCH(MIN(Q64:V64),Q64:V64,0))))</f>
        <v/>
      </c>
      <c r="X64" s="69">
        <f>IF(G64="","",IF(W64=E64,1,0))</f>
        <v/>
      </c>
      <c r="Y64" s="70" t="n"/>
    </row>
    <row r="65">
      <c r="A65" s="61" t="n">
        <v>13</v>
      </c>
      <c r="B65" s="62" t="n">
        <v>42</v>
      </c>
      <c r="C65" s="61" t="inlineStr">
        <is>
          <t>R3</t>
        </is>
      </c>
      <c r="D65" s="74" t="inlineStr">
        <is>
          <t>NG</t>
        </is>
      </c>
      <c r="E65" s="61" t="inlineStr">
        <is>
          <t>W2</t>
        </is>
      </c>
      <c r="F65" s="61" t="inlineStr">
        <is>
          <t>K013</t>
        </is>
      </c>
      <c r="G65" s="64" t="n">
        <v>5.42</v>
      </c>
      <c r="H65" s="65" t="n"/>
      <c r="I65" s="66" t="n"/>
      <c r="J65" s="67">
        <f>VLOOKUP(C65,Recipes!$A$2:$N$4,10,FALSE())</f>
        <v/>
      </c>
      <c r="K65" s="68">
        <f>VLOOKUP(C65,Recipes!$A$2:$N$4,12,FALSE())</f>
        <v/>
      </c>
      <c r="L65" s="67">
        <f>J65-3*K65</f>
        <v/>
      </c>
      <c r="M65" s="67">
        <f>J65+3*K65</f>
        <v/>
      </c>
      <c r="N65" s="61">
        <f>IF(G65="","",IF(AND(G65&gt;=L65,G65&lt;=M65),"OK","NG"))</f>
        <v/>
      </c>
      <c r="O65" s="69">
        <f>IF(N65="","",IF(N65=D65,1,0))</f>
        <v/>
      </c>
      <c r="P65" s="67">
        <f>IF(G65="","",J65-G65)</f>
        <v/>
      </c>
      <c r="Q65" s="67">
        <f>IF(G65="","",ABS(P65-Components!$D$2))</f>
        <v/>
      </c>
      <c r="R65" s="67">
        <f>IF(G65="","",ABS(P65-Components!$D$3))</f>
        <v/>
      </c>
      <c r="S65" s="67">
        <f>IF(G65="","",ABS(P65-Components!$D$4))</f>
        <v/>
      </c>
      <c r="T65" s="67">
        <f>IF(G65="","",ABS(P65-Components!$D$5))</f>
        <v/>
      </c>
      <c r="U65" s="67">
        <f>IF(G65="","",ABS(P65-Components!$D$6))</f>
        <v/>
      </c>
      <c r="V65" s="67">
        <f>IF(G65="","",ABS(P65-Components!$D$7))</f>
        <v/>
      </c>
      <c r="W65" s="61">
        <f>IF(G65="","",IF(N65="OK","NONE",INDEX({"S1","S2","W1","W2","N1","N2"},MATCH(MIN(Q65:V65),Q65:V65,0))))</f>
        <v/>
      </c>
      <c r="X65" s="69">
        <f>IF(G65="","",IF(W65=E65,1,0))</f>
        <v/>
      </c>
      <c r="Y65" s="70" t="n"/>
    </row>
    <row r="66">
      <c r="A66" s="61" t="n">
        <v>14</v>
      </c>
      <c r="B66" s="62" t="n">
        <v>45</v>
      </c>
      <c r="C66" s="61" t="inlineStr">
        <is>
          <t>R3</t>
        </is>
      </c>
      <c r="D66" s="74" t="inlineStr">
        <is>
          <t>NG</t>
        </is>
      </c>
      <c r="E66" s="61" t="inlineStr">
        <is>
          <t>W2</t>
        </is>
      </c>
      <c r="F66" s="61" t="inlineStr">
        <is>
          <t>K014</t>
        </is>
      </c>
      <c r="G66" s="64" t="n">
        <v>5.42</v>
      </c>
      <c r="H66" s="65" t="n"/>
      <c r="I66" s="66" t="n"/>
      <c r="J66" s="67">
        <f>VLOOKUP(C66,Recipes!$A$2:$N$4,10,FALSE())</f>
        <v/>
      </c>
      <c r="K66" s="68">
        <f>VLOOKUP(C66,Recipes!$A$2:$N$4,12,FALSE())</f>
        <v/>
      </c>
      <c r="L66" s="67">
        <f>J66-3*K66</f>
        <v/>
      </c>
      <c r="M66" s="67">
        <f>J66+3*K66</f>
        <v/>
      </c>
      <c r="N66" s="61">
        <f>IF(G66="","",IF(AND(G66&gt;=L66,G66&lt;=M66),"OK","NG"))</f>
        <v/>
      </c>
      <c r="O66" s="69">
        <f>IF(N66="","",IF(N66=D66,1,0))</f>
        <v/>
      </c>
      <c r="P66" s="67">
        <f>IF(G66="","",J66-G66)</f>
        <v/>
      </c>
      <c r="Q66" s="67">
        <f>IF(G66="","",ABS(P66-Components!$D$2))</f>
        <v/>
      </c>
      <c r="R66" s="67">
        <f>IF(G66="","",ABS(P66-Components!$D$3))</f>
        <v/>
      </c>
      <c r="S66" s="67">
        <f>IF(G66="","",ABS(P66-Components!$D$4))</f>
        <v/>
      </c>
      <c r="T66" s="67">
        <f>IF(G66="","",ABS(P66-Components!$D$5))</f>
        <v/>
      </c>
      <c r="U66" s="67">
        <f>IF(G66="","",ABS(P66-Components!$D$6))</f>
        <v/>
      </c>
      <c r="V66" s="67">
        <f>IF(G66="","",ABS(P66-Components!$D$7))</f>
        <v/>
      </c>
      <c r="W66" s="61">
        <f>IF(G66="","",IF(N66="OK","NONE",INDEX({"S1","S2","W1","W2","N1","N2"},MATCH(MIN(Q66:V66),Q66:V66,0))))</f>
        <v/>
      </c>
      <c r="X66" s="69">
        <f>IF(G66="","",IF(W66=E66,1,0))</f>
        <v/>
      </c>
      <c r="Y66" s="70" t="n"/>
    </row>
    <row r="67">
      <c r="A67" s="61" t="n">
        <v>14</v>
      </c>
      <c r="B67" s="62" t="n">
        <v>45</v>
      </c>
      <c r="C67" s="61" t="inlineStr">
        <is>
          <t>R3</t>
        </is>
      </c>
      <c r="D67" s="74" t="inlineStr">
        <is>
          <t>NG</t>
        </is>
      </c>
      <c r="E67" s="61" t="inlineStr">
        <is>
          <t>W2</t>
        </is>
      </c>
      <c r="F67" s="61" t="inlineStr">
        <is>
          <t>K014</t>
        </is>
      </c>
      <c r="G67" s="64" t="n">
        <v>5.42</v>
      </c>
      <c r="H67" s="65" t="n"/>
      <c r="I67" s="66" t="n"/>
      <c r="J67" s="67">
        <f>VLOOKUP(C67,Recipes!$A$2:$N$4,10,FALSE())</f>
        <v/>
      </c>
      <c r="K67" s="68">
        <f>VLOOKUP(C67,Recipes!$A$2:$N$4,12,FALSE())</f>
        <v/>
      </c>
      <c r="L67" s="67">
        <f>J67-3*K67</f>
        <v/>
      </c>
      <c r="M67" s="67">
        <f>J67+3*K67</f>
        <v/>
      </c>
      <c r="N67" s="61">
        <f>IF(G67="","",IF(AND(G67&gt;=L67,G67&lt;=M67),"OK","NG"))</f>
        <v/>
      </c>
      <c r="O67" s="69">
        <f>IF(N67="","",IF(N67=D67,1,0))</f>
        <v/>
      </c>
      <c r="P67" s="67">
        <f>IF(G67="","",J67-G67)</f>
        <v/>
      </c>
      <c r="Q67" s="67">
        <f>IF(G67="","",ABS(P67-Components!$D$2))</f>
        <v/>
      </c>
      <c r="R67" s="67">
        <f>IF(G67="","",ABS(P67-Components!$D$3))</f>
        <v/>
      </c>
      <c r="S67" s="67">
        <f>IF(G67="","",ABS(P67-Components!$D$4))</f>
        <v/>
      </c>
      <c r="T67" s="67">
        <f>IF(G67="","",ABS(P67-Components!$D$5))</f>
        <v/>
      </c>
      <c r="U67" s="67">
        <f>IF(G67="","",ABS(P67-Components!$D$6))</f>
        <v/>
      </c>
      <c r="V67" s="67">
        <f>IF(G67="","",ABS(P67-Components!$D$7))</f>
        <v/>
      </c>
      <c r="W67" s="61">
        <f>IF(G67="","",IF(N67="OK","NONE",INDEX({"S1","S2","W1","W2","N1","N2"},MATCH(MIN(Q67:V67),Q67:V67,0))))</f>
        <v/>
      </c>
      <c r="X67" s="69">
        <f>IF(G67="","",IF(W67=E67,1,0))</f>
        <v/>
      </c>
      <c r="Y67" s="70" t="n"/>
    </row>
    <row r="68">
      <c r="A68" s="61" t="n">
        <v>14</v>
      </c>
      <c r="B68" s="62" t="n">
        <v>45</v>
      </c>
      <c r="C68" s="61" t="inlineStr">
        <is>
          <t>R3</t>
        </is>
      </c>
      <c r="D68" s="74" t="inlineStr">
        <is>
          <t>NG</t>
        </is>
      </c>
      <c r="E68" s="61" t="inlineStr">
        <is>
          <t>W2</t>
        </is>
      </c>
      <c r="F68" s="61" t="inlineStr">
        <is>
          <t>K014</t>
        </is>
      </c>
      <c r="G68" s="64" t="n">
        <v>5.42</v>
      </c>
      <c r="H68" s="65" t="n"/>
      <c r="I68" s="66" t="n"/>
      <c r="J68" s="67">
        <f>VLOOKUP(C68,Recipes!$A$2:$N$4,10,FALSE())</f>
        <v/>
      </c>
      <c r="K68" s="68">
        <f>VLOOKUP(C68,Recipes!$A$2:$N$4,12,FALSE())</f>
        <v/>
      </c>
      <c r="L68" s="67">
        <f>J68-3*K68</f>
        <v/>
      </c>
      <c r="M68" s="67">
        <f>J68+3*K68</f>
        <v/>
      </c>
      <c r="N68" s="61">
        <f>IF(G68="","",IF(AND(G68&gt;=L68,G68&lt;=M68),"OK","NG"))</f>
        <v/>
      </c>
      <c r="O68" s="69">
        <f>IF(N68="","",IF(N68=D68,1,0))</f>
        <v/>
      </c>
      <c r="P68" s="67">
        <f>IF(G68="","",J68-G68)</f>
        <v/>
      </c>
      <c r="Q68" s="67">
        <f>IF(G68="","",ABS(P68-Components!$D$2))</f>
        <v/>
      </c>
      <c r="R68" s="67">
        <f>IF(G68="","",ABS(P68-Components!$D$3))</f>
        <v/>
      </c>
      <c r="S68" s="67">
        <f>IF(G68="","",ABS(P68-Components!$D$4))</f>
        <v/>
      </c>
      <c r="T68" s="67">
        <f>IF(G68="","",ABS(P68-Components!$D$5))</f>
        <v/>
      </c>
      <c r="U68" s="67">
        <f>IF(G68="","",ABS(P68-Components!$D$6))</f>
        <v/>
      </c>
      <c r="V68" s="67">
        <f>IF(G68="","",ABS(P68-Components!$D$7))</f>
        <v/>
      </c>
      <c r="W68" s="61">
        <f>IF(G68="","",IF(N68="OK","NONE",INDEX({"S1","S2","W1","W2","N1","N2"},MATCH(MIN(Q68:V68),Q68:V68,0))))</f>
        <v/>
      </c>
      <c r="X68" s="69">
        <f>IF(G68="","",IF(W68=E68,1,0))</f>
        <v/>
      </c>
      <c r="Y68" s="70" t="n"/>
    </row>
    <row r="69">
      <c r="A69" s="61" t="n">
        <v>14</v>
      </c>
      <c r="B69" s="62" t="n">
        <v>45</v>
      </c>
      <c r="C69" s="61" t="inlineStr">
        <is>
          <t>R3</t>
        </is>
      </c>
      <c r="D69" s="74" t="inlineStr">
        <is>
          <t>NG</t>
        </is>
      </c>
      <c r="E69" s="61" t="inlineStr">
        <is>
          <t>W2</t>
        </is>
      </c>
      <c r="F69" s="61" t="inlineStr">
        <is>
          <t>K014</t>
        </is>
      </c>
      <c r="G69" s="64" t="n">
        <v>5.45</v>
      </c>
      <c r="H69" s="65" t="n"/>
      <c r="I69" s="66" t="n"/>
      <c r="J69" s="67">
        <f>VLOOKUP(C69,Recipes!$A$2:$N$4,10,FALSE())</f>
        <v/>
      </c>
      <c r="K69" s="68">
        <f>VLOOKUP(C69,Recipes!$A$2:$N$4,12,FALSE())</f>
        <v/>
      </c>
      <c r="L69" s="67">
        <f>J69-3*K69</f>
        <v/>
      </c>
      <c r="M69" s="67">
        <f>J69+3*K69</f>
        <v/>
      </c>
      <c r="N69" s="61">
        <f>IF(G69="","",IF(AND(G69&gt;=L69,G69&lt;=M69),"OK","NG"))</f>
        <v/>
      </c>
      <c r="O69" s="69">
        <f>IF(N69="","",IF(N69=D69,1,0))</f>
        <v/>
      </c>
      <c r="P69" s="67">
        <f>IF(G69="","",J69-G69)</f>
        <v/>
      </c>
      <c r="Q69" s="67">
        <f>IF(G69="","",ABS(P69-Components!$D$2))</f>
        <v/>
      </c>
      <c r="R69" s="67">
        <f>IF(G69="","",ABS(P69-Components!$D$3))</f>
        <v/>
      </c>
      <c r="S69" s="67">
        <f>IF(G69="","",ABS(P69-Components!$D$4))</f>
        <v/>
      </c>
      <c r="T69" s="67">
        <f>IF(G69="","",ABS(P69-Components!$D$5))</f>
        <v/>
      </c>
      <c r="U69" s="67">
        <f>IF(G69="","",ABS(P69-Components!$D$6))</f>
        <v/>
      </c>
      <c r="V69" s="67">
        <f>IF(G69="","",ABS(P69-Components!$D$7))</f>
        <v/>
      </c>
      <c r="W69" s="61">
        <f>IF(G69="","",IF(N69="OK","NONE",INDEX({"S1","S2","W1","W2","N1","N2"},MATCH(MIN(Q69:V69),Q69:V69,0))))</f>
        <v/>
      </c>
      <c r="X69" s="69">
        <f>IF(G69="","",IF(W69=E69,1,0))</f>
        <v/>
      </c>
      <c r="Y69" s="70" t="n"/>
    </row>
    <row r="70">
      <c r="A70" s="61" t="n">
        <v>14</v>
      </c>
      <c r="B70" s="62" t="n">
        <v>45</v>
      </c>
      <c r="C70" s="61" t="inlineStr">
        <is>
          <t>R3</t>
        </is>
      </c>
      <c r="D70" s="74" t="inlineStr">
        <is>
          <t>NG</t>
        </is>
      </c>
      <c r="E70" s="61" t="inlineStr">
        <is>
          <t>W2</t>
        </is>
      </c>
      <c r="F70" s="61" t="inlineStr">
        <is>
          <t>K014</t>
        </is>
      </c>
      <c r="G70" s="64" t="n">
        <v>5.41</v>
      </c>
      <c r="H70" s="65" t="n"/>
      <c r="I70" s="66" t="n"/>
      <c r="J70" s="67">
        <f>VLOOKUP(C70,Recipes!$A$2:$N$4,10,FALSE())</f>
        <v/>
      </c>
      <c r="K70" s="68">
        <f>VLOOKUP(C70,Recipes!$A$2:$N$4,12,FALSE())</f>
        <v/>
      </c>
      <c r="L70" s="67">
        <f>J70-3*K70</f>
        <v/>
      </c>
      <c r="M70" s="67">
        <f>J70+3*K70</f>
        <v/>
      </c>
      <c r="N70" s="61">
        <f>IF(G70="","",IF(AND(G70&gt;=L70,G70&lt;=M70),"OK","NG"))</f>
        <v/>
      </c>
      <c r="O70" s="69">
        <f>IF(N70="","",IF(N70=D70,1,0))</f>
        <v/>
      </c>
      <c r="P70" s="67">
        <f>IF(G70="","",J70-G70)</f>
        <v/>
      </c>
      <c r="Q70" s="67">
        <f>IF(G70="","",ABS(P70-Components!$D$2))</f>
        <v/>
      </c>
      <c r="R70" s="67">
        <f>IF(G70="","",ABS(P70-Components!$D$3))</f>
        <v/>
      </c>
      <c r="S70" s="67">
        <f>IF(G70="","",ABS(P70-Components!$D$4))</f>
        <v/>
      </c>
      <c r="T70" s="67">
        <f>IF(G70="","",ABS(P70-Components!$D$5))</f>
        <v/>
      </c>
      <c r="U70" s="67">
        <f>IF(G70="","",ABS(P70-Components!$D$6))</f>
        <v/>
      </c>
      <c r="V70" s="67">
        <f>IF(G70="","",ABS(P70-Components!$D$7))</f>
        <v/>
      </c>
      <c r="W70" s="61">
        <f>IF(G70="","",IF(N70="OK","NONE",INDEX({"S1","S2","W1","W2","N1","N2"},MATCH(MIN(Q70:V70),Q70:V70,0))))</f>
        <v/>
      </c>
      <c r="X70" s="69">
        <f>IF(G70="","",IF(W70=E70,1,0))</f>
        <v/>
      </c>
      <c r="Y70" s="70" t="n"/>
    </row>
    <row r="71">
      <c r="A71" s="61" t="n">
        <v>14</v>
      </c>
      <c r="B71" s="62" t="n">
        <v>45</v>
      </c>
      <c r="C71" s="61" t="inlineStr">
        <is>
          <t>R3</t>
        </is>
      </c>
      <c r="D71" s="74" t="inlineStr">
        <is>
          <t>NG</t>
        </is>
      </c>
      <c r="E71" s="61" t="inlineStr">
        <is>
          <t>W2</t>
        </is>
      </c>
      <c r="F71" s="61" t="inlineStr">
        <is>
          <t>K014</t>
        </is>
      </c>
      <c r="G71" s="64" t="n">
        <v>5.38</v>
      </c>
      <c r="H71" s="65" t="n"/>
      <c r="I71" s="66" t="n"/>
      <c r="J71" s="67">
        <f>VLOOKUP(C71,Recipes!$A$2:$N$4,10,FALSE())</f>
        <v/>
      </c>
      <c r="K71" s="68">
        <f>VLOOKUP(C71,Recipes!$A$2:$N$4,12,FALSE())</f>
        <v/>
      </c>
      <c r="L71" s="67">
        <f>J71-3*K71</f>
        <v/>
      </c>
      <c r="M71" s="67">
        <f>J71+3*K71</f>
        <v/>
      </c>
      <c r="N71" s="61">
        <f>IF(G71="","",IF(AND(G71&gt;=L71,G71&lt;=M71),"OK","NG"))</f>
        <v/>
      </c>
      <c r="O71" s="69">
        <f>IF(N71="","",IF(N71=D71,1,0))</f>
        <v/>
      </c>
      <c r="P71" s="67">
        <f>IF(G71="","",J71-G71)</f>
        <v/>
      </c>
      <c r="Q71" s="67">
        <f>IF(G71="","",ABS(P71-Components!$D$2))</f>
        <v/>
      </c>
      <c r="R71" s="67">
        <f>IF(G71="","",ABS(P71-Components!$D$3))</f>
        <v/>
      </c>
      <c r="S71" s="67">
        <f>IF(G71="","",ABS(P71-Components!$D$4))</f>
        <v/>
      </c>
      <c r="T71" s="67">
        <f>IF(G71="","",ABS(P71-Components!$D$5))</f>
        <v/>
      </c>
      <c r="U71" s="67">
        <f>IF(G71="","",ABS(P71-Components!$D$6))</f>
        <v/>
      </c>
      <c r="V71" s="67">
        <f>IF(G71="","",ABS(P71-Components!$D$7))</f>
        <v/>
      </c>
      <c r="W71" s="61">
        <f>IF(G71="","",IF(N71="OK","NONE",INDEX({"S1","S2","W1","W2","N1","N2"},MATCH(MIN(Q71:V71),Q71:V71,0))))</f>
        <v/>
      </c>
      <c r="X71" s="69">
        <f>IF(G71="","",IF(W71=E71,1,0))</f>
        <v/>
      </c>
      <c r="Y71" s="70" t="n"/>
    </row>
    <row r="72">
      <c r="A72" s="61" t="n">
        <v>14</v>
      </c>
      <c r="B72" s="62" t="n">
        <v>45</v>
      </c>
      <c r="C72" s="61" t="inlineStr">
        <is>
          <t>R3</t>
        </is>
      </c>
      <c r="D72" s="74" t="inlineStr">
        <is>
          <t>NG</t>
        </is>
      </c>
      <c r="E72" s="61" t="inlineStr">
        <is>
          <t>W2</t>
        </is>
      </c>
      <c r="F72" s="61" t="inlineStr">
        <is>
          <t>K014</t>
        </is>
      </c>
      <c r="G72" s="64" t="n">
        <v>5.37</v>
      </c>
      <c r="H72" s="65" t="n"/>
      <c r="I72" s="66" t="n"/>
      <c r="J72" s="67">
        <f>VLOOKUP(C72,Recipes!$A$2:$N$4,10,FALSE())</f>
        <v/>
      </c>
      <c r="K72" s="68">
        <f>VLOOKUP(C72,Recipes!$A$2:$N$4,12,FALSE())</f>
        <v/>
      </c>
      <c r="L72" s="67">
        <f>J72-3*K72</f>
        <v/>
      </c>
      <c r="M72" s="67">
        <f>J72+3*K72</f>
        <v/>
      </c>
      <c r="N72" s="61">
        <f>IF(G72="","",IF(AND(G72&gt;=L72,G72&lt;=M72),"OK","NG"))</f>
        <v/>
      </c>
      <c r="O72" s="69">
        <f>IF(N72="","",IF(N72=D72,1,0))</f>
        <v/>
      </c>
      <c r="P72" s="67">
        <f>IF(G72="","",J72-G72)</f>
        <v/>
      </c>
      <c r="Q72" s="67">
        <f>IF(G72="","",ABS(P72-Components!$D$2))</f>
        <v/>
      </c>
      <c r="R72" s="67">
        <f>IF(G72="","",ABS(P72-Components!$D$3))</f>
        <v/>
      </c>
      <c r="S72" s="67">
        <f>IF(G72="","",ABS(P72-Components!$D$4))</f>
        <v/>
      </c>
      <c r="T72" s="67">
        <f>IF(G72="","",ABS(P72-Components!$D$5))</f>
        <v/>
      </c>
      <c r="U72" s="67">
        <f>IF(G72="","",ABS(P72-Components!$D$6))</f>
        <v/>
      </c>
      <c r="V72" s="67">
        <f>IF(G72="","",ABS(P72-Components!$D$7))</f>
        <v/>
      </c>
      <c r="W72" s="61">
        <f>IF(G72="","",IF(N72="OK","NONE",INDEX({"S1","S2","W1","W2","N1","N2"},MATCH(MIN(Q72:V72),Q72:V72,0))))</f>
        <v/>
      </c>
      <c r="X72" s="69">
        <f>IF(G72="","",IF(W72=E72,1,0))</f>
        <v/>
      </c>
      <c r="Y72" s="70" t="n"/>
    </row>
    <row r="73">
      <c r="A73" s="61" t="n">
        <v>14</v>
      </c>
      <c r="B73" s="62" t="n">
        <v>45</v>
      </c>
      <c r="C73" s="61" t="inlineStr">
        <is>
          <t>R3</t>
        </is>
      </c>
      <c r="D73" s="74" t="inlineStr">
        <is>
          <t>NG</t>
        </is>
      </c>
      <c r="E73" s="61" t="inlineStr">
        <is>
          <t>W2</t>
        </is>
      </c>
      <c r="F73" s="61" t="inlineStr">
        <is>
          <t>K014</t>
        </is>
      </c>
      <c r="G73" s="64" t="n">
        <v>5.36</v>
      </c>
      <c r="H73" s="65" t="n"/>
      <c r="I73" s="66" t="n"/>
      <c r="J73" s="67">
        <f>VLOOKUP(C73,Recipes!$A$2:$N$4,10,FALSE())</f>
        <v/>
      </c>
      <c r="K73" s="68">
        <f>VLOOKUP(C73,Recipes!$A$2:$N$4,12,FALSE())</f>
        <v/>
      </c>
      <c r="L73" s="67">
        <f>J73-3*K73</f>
        <v/>
      </c>
      <c r="M73" s="67">
        <f>J73+3*K73</f>
        <v/>
      </c>
      <c r="N73" s="61">
        <f>IF(G73="","",IF(AND(G73&gt;=L73,G73&lt;=M73),"OK","NG"))</f>
        <v/>
      </c>
      <c r="O73" s="69">
        <f>IF(N73="","",IF(N73=D73,1,0))</f>
        <v/>
      </c>
      <c r="P73" s="67">
        <f>IF(G73="","",J73-G73)</f>
        <v/>
      </c>
      <c r="Q73" s="67">
        <f>IF(G73="","",ABS(P73-Components!$D$2))</f>
        <v/>
      </c>
      <c r="R73" s="67">
        <f>IF(G73="","",ABS(P73-Components!$D$3))</f>
        <v/>
      </c>
      <c r="S73" s="67">
        <f>IF(G73="","",ABS(P73-Components!$D$4))</f>
        <v/>
      </c>
      <c r="T73" s="67">
        <f>IF(G73="","",ABS(P73-Components!$D$5))</f>
        <v/>
      </c>
      <c r="U73" s="67">
        <f>IF(G73="","",ABS(P73-Components!$D$6))</f>
        <v/>
      </c>
      <c r="V73" s="67">
        <f>IF(G73="","",ABS(P73-Components!$D$7))</f>
        <v/>
      </c>
      <c r="W73" s="61">
        <f>IF(G73="","",IF(N73="OK","NONE",INDEX({"S1","S2","W1","W2","N1","N2"},MATCH(MIN(Q73:V73),Q73:V73,0))))</f>
        <v/>
      </c>
      <c r="X73" s="69">
        <f>IF(G73="","",IF(W73=E73,1,0))</f>
        <v/>
      </c>
      <c r="Y73" s="70" t="n"/>
    </row>
    <row r="74">
      <c r="A74" s="61" t="n">
        <v>14</v>
      </c>
      <c r="B74" s="62" t="n">
        <v>45</v>
      </c>
      <c r="C74" s="61" t="inlineStr">
        <is>
          <t>R3</t>
        </is>
      </c>
      <c r="D74" s="74" t="inlineStr">
        <is>
          <t>NG</t>
        </is>
      </c>
      <c r="E74" s="61" t="inlineStr">
        <is>
          <t>W2</t>
        </is>
      </c>
      <c r="F74" s="61" t="inlineStr">
        <is>
          <t>K014</t>
        </is>
      </c>
      <c r="G74" s="64" t="n">
        <v>5.41</v>
      </c>
      <c r="H74" s="65" t="n"/>
      <c r="I74" s="66" t="n"/>
      <c r="J74" s="67">
        <f>VLOOKUP(C74,Recipes!$A$2:$N$4,10,FALSE())</f>
        <v/>
      </c>
      <c r="K74" s="68">
        <f>VLOOKUP(C74,Recipes!$A$2:$N$4,12,FALSE())</f>
        <v/>
      </c>
      <c r="L74" s="67">
        <f>J74-3*K74</f>
        <v/>
      </c>
      <c r="M74" s="67">
        <f>J74+3*K74</f>
        <v/>
      </c>
      <c r="N74" s="61">
        <f>IF(G74="","",IF(AND(G74&gt;=L74,G74&lt;=M74),"OK","NG"))</f>
        <v/>
      </c>
      <c r="O74" s="69">
        <f>IF(N74="","",IF(N74=D74,1,0))</f>
        <v/>
      </c>
      <c r="P74" s="67">
        <f>IF(G74="","",J74-G74)</f>
        <v/>
      </c>
      <c r="Q74" s="67">
        <f>IF(G74="","",ABS(P74-Components!$D$2))</f>
        <v/>
      </c>
      <c r="R74" s="67">
        <f>IF(G74="","",ABS(P74-Components!$D$3))</f>
        <v/>
      </c>
      <c r="S74" s="67">
        <f>IF(G74="","",ABS(P74-Components!$D$4))</f>
        <v/>
      </c>
      <c r="T74" s="67">
        <f>IF(G74="","",ABS(P74-Components!$D$5))</f>
        <v/>
      </c>
      <c r="U74" s="67">
        <f>IF(G74="","",ABS(P74-Components!$D$6))</f>
        <v/>
      </c>
      <c r="V74" s="67">
        <f>IF(G74="","",ABS(P74-Components!$D$7))</f>
        <v/>
      </c>
      <c r="W74" s="61">
        <f>IF(G74="","",IF(N74="OK","NONE",INDEX({"S1","S2","W1","W2","N1","N2"},MATCH(MIN(Q74:V74),Q74:V74,0))))</f>
        <v/>
      </c>
      <c r="X74" s="69">
        <f>IF(G74="","",IF(W74=E74,1,0))</f>
        <v/>
      </c>
      <c r="Y74" s="70" t="n"/>
    </row>
    <row r="75">
      <c r="A75" s="61" t="n">
        <v>14</v>
      </c>
      <c r="B75" s="62" t="n">
        <v>45</v>
      </c>
      <c r="C75" s="61" t="inlineStr">
        <is>
          <t>R3</t>
        </is>
      </c>
      <c r="D75" s="74" t="inlineStr">
        <is>
          <t>NG</t>
        </is>
      </c>
      <c r="E75" s="61" t="inlineStr">
        <is>
          <t>W2</t>
        </is>
      </c>
      <c r="F75" s="61" t="inlineStr">
        <is>
          <t>K014</t>
        </is>
      </c>
      <c r="G75" s="64" t="n">
        <v>5.37</v>
      </c>
      <c r="H75" s="65" t="n"/>
      <c r="I75" s="66" t="n"/>
      <c r="J75" s="67">
        <f>VLOOKUP(C75,Recipes!$A$2:$N$4,10,FALSE())</f>
        <v/>
      </c>
      <c r="K75" s="68">
        <f>VLOOKUP(C75,Recipes!$A$2:$N$4,12,FALSE())</f>
        <v/>
      </c>
      <c r="L75" s="67">
        <f>J75-3*K75</f>
        <v/>
      </c>
      <c r="M75" s="67">
        <f>J75+3*K75</f>
        <v/>
      </c>
      <c r="N75" s="61">
        <f>IF(G75="","",IF(AND(G75&gt;=L75,G75&lt;=M75),"OK","NG"))</f>
        <v/>
      </c>
      <c r="O75" s="69">
        <f>IF(N75="","",IF(N75=D75,1,0))</f>
        <v/>
      </c>
      <c r="P75" s="67">
        <f>IF(G75="","",J75-G75)</f>
        <v/>
      </c>
      <c r="Q75" s="67">
        <f>IF(G75="","",ABS(P75-Components!$D$2))</f>
        <v/>
      </c>
      <c r="R75" s="67">
        <f>IF(G75="","",ABS(P75-Components!$D$3))</f>
        <v/>
      </c>
      <c r="S75" s="67">
        <f>IF(G75="","",ABS(P75-Components!$D$4))</f>
        <v/>
      </c>
      <c r="T75" s="67">
        <f>IF(G75="","",ABS(P75-Components!$D$5))</f>
        <v/>
      </c>
      <c r="U75" s="67">
        <f>IF(G75="","",ABS(P75-Components!$D$6))</f>
        <v/>
      </c>
      <c r="V75" s="67">
        <f>IF(G75="","",ABS(P75-Components!$D$7))</f>
        <v/>
      </c>
      <c r="W75" s="61">
        <f>IF(G75="","",IF(N75="OK","NONE",INDEX({"S1","S2","W1","W2","N1","N2"},MATCH(MIN(Q75:V75),Q75:V75,0))))</f>
        <v/>
      </c>
      <c r="X75" s="69">
        <f>IF(G75="","",IF(W75=E75,1,0))</f>
        <v/>
      </c>
      <c r="Y75" s="70" t="n"/>
    </row>
    <row r="76">
      <c r="A76" s="61" t="n">
        <v>14</v>
      </c>
      <c r="B76" s="62" t="n">
        <v>45</v>
      </c>
      <c r="C76" s="61" t="inlineStr">
        <is>
          <t>R3</t>
        </is>
      </c>
      <c r="D76" s="74" t="inlineStr">
        <is>
          <t>NG</t>
        </is>
      </c>
      <c r="E76" s="61" t="inlineStr">
        <is>
          <t>W2</t>
        </is>
      </c>
      <c r="F76" s="61" t="inlineStr">
        <is>
          <t>K014</t>
        </is>
      </c>
      <c r="G76" s="64" t="n">
        <v>5.36</v>
      </c>
      <c r="H76" s="65" t="n"/>
      <c r="I76" s="66" t="n"/>
      <c r="J76" s="67">
        <f>VLOOKUP(C76,Recipes!$A$2:$N$4,10,FALSE())</f>
        <v/>
      </c>
      <c r="K76" s="68">
        <f>VLOOKUP(C76,Recipes!$A$2:$N$4,12,FALSE())</f>
        <v/>
      </c>
      <c r="L76" s="67">
        <f>J76-3*K76</f>
        <v/>
      </c>
      <c r="M76" s="67">
        <f>J76+3*K76</f>
        <v/>
      </c>
      <c r="N76" s="61">
        <f>IF(G76="","",IF(AND(G76&gt;=L76,G76&lt;=M76),"OK","NG"))</f>
        <v/>
      </c>
      <c r="O76" s="69">
        <f>IF(N76="","",IF(N76=D76,1,0))</f>
        <v/>
      </c>
      <c r="P76" s="67">
        <f>IF(G76="","",J76-G76)</f>
        <v/>
      </c>
      <c r="Q76" s="67">
        <f>IF(G76="","",ABS(P76-Components!$D$2))</f>
        <v/>
      </c>
      <c r="R76" s="67">
        <f>IF(G76="","",ABS(P76-Components!$D$3))</f>
        <v/>
      </c>
      <c r="S76" s="67">
        <f>IF(G76="","",ABS(P76-Components!$D$4))</f>
        <v/>
      </c>
      <c r="T76" s="67">
        <f>IF(G76="","",ABS(P76-Components!$D$5))</f>
        <v/>
      </c>
      <c r="U76" s="67">
        <f>IF(G76="","",ABS(P76-Components!$D$6))</f>
        <v/>
      </c>
      <c r="V76" s="67">
        <f>IF(G76="","",ABS(P76-Components!$D$7))</f>
        <v/>
      </c>
      <c r="W76" s="61">
        <f>IF(G76="","",IF(N76="OK","NONE",INDEX({"S1","S2","W1","W2","N1","N2"},MATCH(MIN(Q76:V76),Q76:V76,0))))</f>
        <v/>
      </c>
      <c r="X76" s="69">
        <f>IF(G76="","",IF(W76=E76,1,0))</f>
        <v/>
      </c>
      <c r="Y76" s="70" t="n"/>
    </row>
    <row r="77">
      <c r="A77" s="61" t="n">
        <v>14</v>
      </c>
      <c r="B77" s="62" t="n">
        <v>45</v>
      </c>
      <c r="C77" s="61" t="inlineStr">
        <is>
          <t>R3</t>
        </is>
      </c>
      <c r="D77" s="74" t="inlineStr">
        <is>
          <t>NG</t>
        </is>
      </c>
      <c r="E77" s="61" t="inlineStr">
        <is>
          <t>W2</t>
        </is>
      </c>
      <c r="F77" s="61" t="inlineStr">
        <is>
          <t>K014</t>
        </is>
      </c>
      <c r="G77" s="64" t="n">
        <v>5.38</v>
      </c>
      <c r="H77" s="65" t="n"/>
      <c r="I77" s="66" t="n"/>
      <c r="J77" s="67">
        <f>VLOOKUP(C77,Recipes!$A$2:$N$4,10,FALSE())</f>
        <v/>
      </c>
      <c r="K77" s="68">
        <f>VLOOKUP(C77,Recipes!$A$2:$N$4,12,FALSE())</f>
        <v/>
      </c>
      <c r="L77" s="67">
        <f>J77-3*K77</f>
        <v/>
      </c>
      <c r="M77" s="67">
        <f>J77+3*K77</f>
        <v/>
      </c>
      <c r="N77" s="61">
        <f>IF(G77="","",IF(AND(G77&gt;=L77,G77&lt;=M77),"OK","NG"))</f>
        <v/>
      </c>
      <c r="O77" s="69">
        <f>IF(N77="","",IF(N77=D77,1,0))</f>
        <v/>
      </c>
      <c r="P77" s="67">
        <f>IF(G77="","",J77-G77)</f>
        <v/>
      </c>
      <c r="Q77" s="67">
        <f>IF(G77="","",ABS(P77-Components!$D$2))</f>
        <v/>
      </c>
      <c r="R77" s="67">
        <f>IF(G77="","",ABS(P77-Components!$D$3))</f>
        <v/>
      </c>
      <c r="S77" s="67">
        <f>IF(G77="","",ABS(P77-Components!$D$4))</f>
        <v/>
      </c>
      <c r="T77" s="67">
        <f>IF(G77="","",ABS(P77-Components!$D$5))</f>
        <v/>
      </c>
      <c r="U77" s="67">
        <f>IF(G77="","",ABS(P77-Components!$D$6))</f>
        <v/>
      </c>
      <c r="V77" s="67">
        <f>IF(G77="","",ABS(P77-Components!$D$7))</f>
        <v/>
      </c>
      <c r="W77" s="61">
        <f>IF(G77="","",IF(N77="OK","NONE",INDEX({"S1","S2","W1","W2","N1","N2"},MATCH(MIN(Q77:V77),Q77:V77,0))))</f>
        <v/>
      </c>
      <c r="X77" s="69">
        <f>IF(G77="","",IF(W77=E77,1,0))</f>
        <v/>
      </c>
      <c r="Y77" s="70" t="n"/>
    </row>
    <row r="78">
      <c r="A78" s="61" t="n">
        <v>14</v>
      </c>
      <c r="B78" s="62" t="n">
        <v>45</v>
      </c>
      <c r="C78" s="61" t="inlineStr">
        <is>
          <t>R3</t>
        </is>
      </c>
      <c r="D78" s="74" t="inlineStr">
        <is>
          <t>NG</t>
        </is>
      </c>
      <c r="E78" s="61" t="inlineStr">
        <is>
          <t>W2</t>
        </is>
      </c>
      <c r="F78" s="61" t="inlineStr">
        <is>
          <t>K014</t>
        </is>
      </c>
      <c r="G78" s="64" t="n">
        <v>5.38</v>
      </c>
      <c r="H78" s="65" t="n"/>
      <c r="I78" s="66" t="n"/>
      <c r="J78" s="67">
        <f>VLOOKUP(C78,Recipes!$A$2:$N$4,10,FALSE())</f>
        <v/>
      </c>
      <c r="K78" s="68">
        <f>VLOOKUP(C78,Recipes!$A$2:$N$4,12,FALSE())</f>
        <v/>
      </c>
      <c r="L78" s="67">
        <f>J78-3*K78</f>
        <v/>
      </c>
      <c r="M78" s="67">
        <f>J78+3*K78</f>
        <v/>
      </c>
      <c r="N78" s="61">
        <f>IF(G78="","",IF(AND(G78&gt;=L78,G78&lt;=M78),"OK","NG"))</f>
        <v/>
      </c>
      <c r="O78" s="69">
        <f>IF(N78="","",IF(N78=D78,1,0))</f>
        <v/>
      </c>
      <c r="P78" s="67">
        <f>IF(G78="","",J78-G78)</f>
        <v/>
      </c>
      <c r="Q78" s="67">
        <f>IF(G78="","",ABS(P78-Components!$D$2))</f>
        <v/>
      </c>
      <c r="R78" s="67">
        <f>IF(G78="","",ABS(P78-Components!$D$3))</f>
        <v/>
      </c>
      <c r="S78" s="67">
        <f>IF(G78="","",ABS(P78-Components!$D$4))</f>
        <v/>
      </c>
      <c r="T78" s="67">
        <f>IF(G78="","",ABS(P78-Components!$D$5))</f>
        <v/>
      </c>
      <c r="U78" s="67">
        <f>IF(G78="","",ABS(P78-Components!$D$6))</f>
        <v/>
      </c>
      <c r="V78" s="67">
        <f>IF(G78="","",ABS(P78-Components!$D$7))</f>
        <v/>
      </c>
      <c r="W78" s="61">
        <f>IF(G78="","",IF(N78="OK","NONE",INDEX({"S1","S2","W1","W2","N1","N2"},MATCH(MIN(Q78:V78),Q78:V78,0))))</f>
        <v/>
      </c>
      <c r="X78" s="69">
        <f>IF(G78="","",IF(W78=E78,1,0))</f>
        <v/>
      </c>
      <c r="Y78" s="70" t="n"/>
    </row>
    <row r="79">
      <c r="A79" s="61" t="n">
        <v>14</v>
      </c>
      <c r="B79" s="62" t="n">
        <v>45</v>
      </c>
      <c r="C79" s="61" t="inlineStr">
        <is>
          <t>R3</t>
        </is>
      </c>
      <c r="D79" s="74" t="inlineStr">
        <is>
          <t>NG</t>
        </is>
      </c>
      <c r="E79" s="61" t="inlineStr">
        <is>
          <t>W2</t>
        </is>
      </c>
      <c r="F79" s="61" t="inlineStr">
        <is>
          <t>K014</t>
        </is>
      </c>
      <c r="G79" s="64" t="n">
        <v>5.42</v>
      </c>
      <c r="H79" s="65" t="n"/>
      <c r="I79" s="66" t="n"/>
      <c r="J79" s="67">
        <f>VLOOKUP(C79,Recipes!$A$2:$N$4,10,FALSE())</f>
        <v/>
      </c>
      <c r="K79" s="68">
        <f>VLOOKUP(C79,Recipes!$A$2:$N$4,12,FALSE())</f>
        <v/>
      </c>
      <c r="L79" s="67">
        <f>J79-3*K79</f>
        <v/>
      </c>
      <c r="M79" s="67">
        <f>J79+3*K79</f>
        <v/>
      </c>
      <c r="N79" s="61">
        <f>IF(G79="","",IF(AND(G79&gt;=L79,G79&lt;=M79),"OK","NG"))</f>
        <v/>
      </c>
      <c r="O79" s="69">
        <f>IF(N79="","",IF(N79=D79,1,0))</f>
        <v/>
      </c>
      <c r="P79" s="67">
        <f>IF(G79="","",J79-G79)</f>
        <v/>
      </c>
      <c r="Q79" s="67">
        <f>IF(G79="","",ABS(P79-Components!$D$2))</f>
        <v/>
      </c>
      <c r="R79" s="67">
        <f>IF(G79="","",ABS(P79-Components!$D$3))</f>
        <v/>
      </c>
      <c r="S79" s="67">
        <f>IF(G79="","",ABS(P79-Components!$D$4))</f>
        <v/>
      </c>
      <c r="T79" s="67">
        <f>IF(G79="","",ABS(P79-Components!$D$5))</f>
        <v/>
      </c>
      <c r="U79" s="67">
        <f>IF(G79="","",ABS(P79-Components!$D$6))</f>
        <v/>
      </c>
      <c r="V79" s="67">
        <f>IF(G79="","",ABS(P79-Components!$D$7))</f>
        <v/>
      </c>
      <c r="W79" s="61">
        <f>IF(G79="","",IF(N79="OK","NONE",INDEX({"S1","S2","W1","W2","N1","N2"},MATCH(MIN(Q79:V79),Q79:V79,0))))</f>
        <v/>
      </c>
      <c r="X79" s="69">
        <f>IF(G79="","",IF(W79=E79,1,0))</f>
        <v/>
      </c>
      <c r="Y79" s="70" t="n"/>
    </row>
    <row r="80">
      <c r="A80" s="61" t="n">
        <v>14</v>
      </c>
      <c r="B80" s="62" t="n">
        <v>45</v>
      </c>
      <c r="C80" s="61" t="inlineStr">
        <is>
          <t>R3</t>
        </is>
      </c>
      <c r="D80" s="74" t="inlineStr">
        <is>
          <t>NG</t>
        </is>
      </c>
      <c r="E80" s="61" t="inlineStr">
        <is>
          <t>W2</t>
        </is>
      </c>
      <c r="F80" s="61" t="inlineStr">
        <is>
          <t>K014</t>
        </is>
      </c>
      <c r="G80" s="64" t="n">
        <v>5.39</v>
      </c>
      <c r="H80" s="65" t="n"/>
      <c r="I80" s="66" t="n"/>
      <c r="J80" s="67">
        <f>VLOOKUP(C80,Recipes!$A$2:$N$4,10,FALSE())</f>
        <v/>
      </c>
      <c r="K80" s="68">
        <f>VLOOKUP(C80,Recipes!$A$2:$N$4,12,FALSE())</f>
        <v/>
      </c>
      <c r="L80" s="67">
        <f>J80-3*K80</f>
        <v/>
      </c>
      <c r="M80" s="67">
        <f>J80+3*K80</f>
        <v/>
      </c>
      <c r="N80" s="61">
        <f>IF(G80="","",IF(AND(G80&gt;=L80,G80&lt;=M80),"OK","NG"))</f>
        <v/>
      </c>
      <c r="O80" s="69">
        <f>IF(N80="","",IF(N80=D80,1,0))</f>
        <v/>
      </c>
      <c r="P80" s="67">
        <f>IF(G80="","",J80-G80)</f>
        <v/>
      </c>
      <c r="Q80" s="67">
        <f>IF(G80="","",ABS(P80-Components!$D$2))</f>
        <v/>
      </c>
      <c r="R80" s="67">
        <f>IF(G80="","",ABS(P80-Components!$D$3))</f>
        <v/>
      </c>
      <c r="S80" s="67">
        <f>IF(G80="","",ABS(P80-Components!$D$4))</f>
        <v/>
      </c>
      <c r="T80" s="67">
        <f>IF(G80="","",ABS(P80-Components!$D$5))</f>
        <v/>
      </c>
      <c r="U80" s="67">
        <f>IF(G80="","",ABS(P80-Components!$D$6))</f>
        <v/>
      </c>
      <c r="V80" s="67">
        <f>IF(G80="","",ABS(P80-Components!$D$7))</f>
        <v/>
      </c>
      <c r="W80" s="61">
        <f>IF(G80="","",IF(N80="OK","NONE",INDEX({"S1","S2","W1","W2","N1","N2"},MATCH(MIN(Q80:V80),Q80:V80,0))))</f>
        <v/>
      </c>
      <c r="X80" s="69">
        <f>IF(G80="","",IF(W80=E80,1,0))</f>
        <v/>
      </c>
      <c r="Y80" s="70" t="n"/>
    </row>
    <row r="81">
      <c r="A81" s="61" t="n">
        <v>14</v>
      </c>
      <c r="B81" s="62" t="n">
        <v>45</v>
      </c>
      <c r="C81" s="61" t="inlineStr">
        <is>
          <t>R3</t>
        </is>
      </c>
      <c r="D81" s="74" t="inlineStr">
        <is>
          <t>NG</t>
        </is>
      </c>
      <c r="E81" s="61" t="inlineStr">
        <is>
          <t>W2</t>
        </is>
      </c>
      <c r="F81" s="61" t="inlineStr">
        <is>
          <t>K014</t>
        </is>
      </c>
      <c r="G81" s="64" t="n">
        <v>5.41</v>
      </c>
      <c r="H81" s="65" t="n"/>
      <c r="I81" s="66" t="n"/>
      <c r="J81" s="67">
        <f>VLOOKUP(C81,Recipes!$A$2:$N$4,10,FALSE())</f>
        <v/>
      </c>
      <c r="K81" s="68">
        <f>VLOOKUP(C81,Recipes!$A$2:$N$4,12,FALSE())</f>
        <v/>
      </c>
      <c r="L81" s="67">
        <f>J81-3*K81</f>
        <v/>
      </c>
      <c r="M81" s="67">
        <f>J81+3*K81</f>
        <v/>
      </c>
      <c r="N81" s="61">
        <f>IF(G81="","",IF(AND(G81&gt;=L81,G81&lt;=M81),"OK","NG"))</f>
        <v/>
      </c>
      <c r="O81" s="69">
        <f>IF(N81="","",IF(N81=D81,1,0))</f>
        <v/>
      </c>
      <c r="P81" s="67">
        <f>IF(G81="","",J81-G81)</f>
        <v/>
      </c>
      <c r="Q81" s="67">
        <f>IF(G81="","",ABS(P81-Components!$D$2))</f>
        <v/>
      </c>
      <c r="R81" s="67">
        <f>IF(G81="","",ABS(P81-Components!$D$3))</f>
        <v/>
      </c>
      <c r="S81" s="67">
        <f>IF(G81="","",ABS(P81-Components!$D$4))</f>
        <v/>
      </c>
      <c r="T81" s="67">
        <f>IF(G81="","",ABS(P81-Components!$D$5))</f>
        <v/>
      </c>
      <c r="U81" s="67">
        <f>IF(G81="","",ABS(P81-Components!$D$6))</f>
        <v/>
      </c>
      <c r="V81" s="67">
        <f>IF(G81="","",ABS(P81-Components!$D$7))</f>
        <v/>
      </c>
      <c r="W81" s="61">
        <f>IF(G81="","",IF(N81="OK","NONE",INDEX({"S1","S2","W1","W2","N1","N2"},MATCH(MIN(Q81:V81),Q81:V81,0))))</f>
        <v/>
      </c>
      <c r="X81" s="69">
        <f>IF(G81="","",IF(W81=E81,1,0))</f>
        <v/>
      </c>
      <c r="Y81" s="70" t="n"/>
    </row>
    <row r="82">
      <c r="A82" s="61" t="n">
        <v>14</v>
      </c>
      <c r="B82" s="62" t="n">
        <v>45</v>
      </c>
      <c r="C82" s="61" t="inlineStr">
        <is>
          <t>R3</t>
        </is>
      </c>
      <c r="D82" s="74" t="inlineStr">
        <is>
          <t>NG</t>
        </is>
      </c>
      <c r="E82" s="61" t="inlineStr">
        <is>
          <t>W2</t>
        </is>
      </c>
      <c r="F82" s="61" t="inlineStr">
        <is>
          <t>K014</t>
        </is>
      </c>
      <c r="G82" s="64" t="n">
        <v>5.32</v>
      </c>
      <c r="H82" s="65" t="n"/>
      <c r="I82" s="66" t="n"/>
      <c r="J82" s="67">
        <f>VLOOKUP(C82,Recipes!$A$2:$N$4,10,FALSE())</f>
        <v/>
      </c>
      <c r="K82" s="68">
        <f>VLOOKUP(C82,Recipes!$A$2:$N$4,12,FALSE())</f>
        <v/>
      </c>
      <c r="L82" s="67">
        <f>J82-3*K82</f>
        <v/>
      </c>
      <c r="M82" s="67">
        <f>J82+3*K82</f>
        <v/>
      </c>
      <c r="N82" s="61">
        <f>IF(G82="","",IF(AND(G82&gt;=L82,G82&lt;=M82),"OK","NG"))</f>
        <v/>
      </c>
      <c r="O82" s="69">
        <f>IF(N82="","",IF(N82=D82,1,0))</f>
        <v/>
      </c>
      <c r="P82" s="67">
        <f>IF(G82="","",J82-G82)</f>
        <v/>
      </c>
      <c r="Q82" s="67">
        <f>IF(G82="","",ABS(P82-Components!$D$2))</f>
        <v/>
      </c>
      <c r="R82" s="67">
        <f>IF(G82="","",ABS(P82-Components!$D$3))</f>
        <v/>
      </c>
      <c r="S82" s="67">
        <f>IF(G82="","",ABS(P82-Components!$D$4))</f>
        <v/>
      </c>
      <c r="T82" s="67">
        <f>IF(G82="","",ABS(P82-Components!$D$5))</f>
        <v/>
      </c>
      <c r="U82" s="67">
        <f>IF(G82="","",ABS(P82-Components!$D$6))</f>
        <v/>
      </c>
      <c r="V82" s="67">
        <f>IF(G82="","",ABS(P82-Components!$D$7))</f>
        <v/>
      </c>
      <c r="W82" s="61">
        <f>IF(G82="","",IF(N82="OK","NONE",INDEX({"S1","S2","W1","W2","N1","N2"},MATCH(MIN(Q82:V82),Q82:V82,0))))</f>
        <v/>
      </c>
      <c r="X82" s="69">
        <f>IF(G82="","",IF(W82=E82,1,0))</f>
        <v/>
      </c>
      <c r="Y82" s="70" t="n"/>
    </row>
    <row r="83">
      <c r="A83" s="61" t="n">
        <v>14</v>
      </c>
      <c r="B83" s="62" t="n">
        <v>45</v>
      </c>
      <c r="C83" s="61" t="inlineStr">
        <is>
          <t>R3</t>
        </is>
      </c>
      <c r="D83" s="74" t="inlineStr">
        <is>
          <t>NG</t>
        </is>
      </c>
      <c r="E83" s="61" t="inlineStr">
        <is>
          <t>W2</t>
        </is>
      </c>
      <c r="F83" s="61" t="inlineStr">
        <is>
          <t>K014</t>
        </is>
      </c>
      <c r="G83" s="64" t="n">
        <v>5.36</v>
      </c>
      <c r="H83" s="65" t="n"/>
      <c r="I83" s="66" t="n"/>
      <c r="J83" s="67">
        <f>VLOOKUP(C83,Recipes!$A$2:$N$4,10,FALSE())</f>
        <v/>
      </c>
      <c r="K83" s="68">
        <f>VLOOKUP(C83,Recipes!$A$2:$N$4,12,FALSE())</f>
        <v/>
      </c>
      <c r="L83" s="67">
        <f>J83-3*K83</f>
        <v/>
      </c>
      <c r="M83" s="67">
        <f>J83+3*K83</f>
        <v/>
      </c>
      <c r="N83" s="61">
        <f>IF(G83="","",IF(AND(G83&gt;=L83,G83&lt;=M83),"OK","NG"))</f>
        <v/>
      </c>
      <c r="O83" s="69">
        <f>IF(N83="","",IF(N83=D83,1,0))</f>
        <v/>
      </c>
      <c r="P83" s="67">
        <f>IF(G83="","",J83-G83)</f>
        <v/>
      </c>
      <c r="Q83" s="67">
        <f>IF(G83="","",ABS(P83-Components!$D$2))</f>
        <v/>
      </c>
      <c r="R83" s="67">
        <f>IF(G83="","",ABS(P83-Components!$D$3))</f>
        <v/>
      </c>
      <c r="S83" s="67">
        <f>IF(G83="","",ABS(P83-Components!$D$4))</f>
        <v/>
      </c>
      <c r="T83" s="67">
        <f>IF(G83="","",ABS(P83-Components!$D$5))</f>
        <v/>
      </c>
      <c r="U83" s="67">
        <f>IF(G83="","",ABS(P83-Components!$D$6))</f>
        <v/>
      </c>
      <c r="V83" s="67">
        <f>IF(G83="","",ABS(P83-Components!$D$7))</f>
        <v/>
      </c>
      <c r="W83" s="61">
        <f>IF(G83="","",IF(N83="OK","NONE",INDEX({"S1","S2","W1","W2","N1","N2"},MATCH(MIN(Q83:V83),Q83:V83,0))))</f>
        <v/>
      </c>
      <c r="X83" s="69">
        <f>IF(G83="","",IF(W83=E83,1,0))</f>
        <v/>
      </c>
      <c r="Y83" s="70" t="n"/>
    </row>
    <row r="84">
      <c r="A84" s="61" t="n">
        <v>14</v>
      </c>
      <c r="B84" s="62" t="n">
        <v>45</v>
      </c>
      <c r="C84" s="61" t="inlineStr">
        <is>
          <t>R3</t>
        </is>
      </c>
      <c r="D84" s="74" t="inlineStr">
        <is>
          <t>NG</t>
        </is>
      </c>
      <c r="E84" s="61" t="inlineStr">
        <is>
          <t>W2</t>
        </is>
      </c>
      <c r="F84" s="61" t="inlineStr">
        <is>
          <t>K014</t>
        </is>
      </c>
      <c r="G84" s="64" t="n">
        <v>5.42</v>
      </c>
      <c r="H84" s="65" t="n"/>
      <c r="I84" s="66" t="n"/>
      <c r="J84" s="67">
        <f>VLOOKUP(C84,Recipes!$A$2:$N$4,10,FALSE())</f>
        <v/>
      </c>
      <c r="K84" s="68">
        <f>VLOOKUP(C84,Recipes!$A$2:$N$4,12,FALSE())</f>
        <v/>
      </c>
      <c r="L84" s="67">
        <f>J84-3*K84</f>
        <v/>
      </c>
      <c r="M84" s="67">
        <f>J84+3*K84</f>
        <v/>
      </c>
      <c r="N84" s="61">
        <f>IF(G84="","",IF(AND(G84&gt;=L84,G84&lt;=M84),"OK","NG"))</f>
        <v/>
      </c>
      <c r="O84" s="69">
        <f>IF(N84="","",IF(N84=D84,1,0))</f>
        <v/>
      </c>
      <c r="P84" s="67">
        <f>IF(G84="","",J84-G84)</f>
        <v/>
      </c>
      <c r="Q84" s="67">
        <f>IF(G84="","",ABS(P84-Components!$D$2))</f>
        <v/>
      </c>
      <c r="R84" s="67">
        <f>IF(G84="","",ABS(P84-Components!$D$3))</f>
        <v/>
      </c>
      <c r="S84" s="67">
        <f>IF(G84="","",ABS(P84-Components!$D$4))</f>
        <v/>
      </c>
      <c r="T84" s="67">
        <f>IF(G84="","",ABS(P84-Components!$D$5))</f>
        <v/>
      </c>
      <c r="U84" s="67">
        <f>IF(G84="","",ABS(P84-Components!$D$6))</f>
        <v/>
      </c>
      <c r="V84" s="67">
        <f>IF(G84="","",ABS(P84-Components!$D$7))</f>
        <v/>
      </c>
      <c r="W84" s="61">
        <f>IF(G84="","",IF(N84="OK","NONE",INDEX({"S1","S2","W1","W2","N1","N2"},MATCH(MIN(Q84:V84),Q84:V84,0))))</f>
        <v/>
      </c>
      <c r="X84" s="69">
        <f>IF(G84="","",IF(W84=E84,1,0))</f>
        <v/>
      </c>
      <c r="Y84" s="70" t="n"/>
    </row>
    <row r="85">
      <c r="A85" s="61" t="n">
        <v>14</v>
      </c>
      <c r="B85" s="62" t="n">
        <v>45</v>
      </c>
      <c r="C85" s="61" t="inlineStr">
        <is>
          <t>R3</t>
        </is>
      </c>
      <c r="D85" s="74" t="inlineStr">
        <is>
          <t>NG</t>
        </is>
      </c>
      <c r="E85" s="61" t="inlineStr">
        <is>
          <t>W2</t>
        </is>
      </c>
      <c r="F85" s="61" t="inlineStr">
        <is>
          <t>K014</t>
        </is>
      </c>
      <c r="G85" s="64" t="n">
        <v>5.37</v>
      </c>
      <c r="H85" s="65" t="n"/>
      <c r="I85" s="66" t="n"/>
      <c r="J85" s="67">
        <f>VLOOKUP(C85,Recipes!$A$2:$N$4,10,FALSE())</f>
        <v/>
      </c>
      <c r="K85" s="68">
        <f>VLOOKUP(C85,Recipes!$A$2:$N$4,12,FALSE())</f>
        <v/>
      </c>
      <c r="L85" s="67">
        <f>J85-3*K85</f>
        <v/>
      </c>
      <c r="M85" s="67">
        <f>J85+3*K85</f>
        <v/>
      </c>
      <c r="N85" s="61">
        <f>IF(G85="","",IF(AND(G85&gt;=L85,G85&lt;=M85),"OK","NG"))</f>
        <v/>
      </c>
      <c r="O85" s="69">
        <f>IF(N85="","",IF(N85=D85,1,0))</f>
        <v/>
      </c>
      <c r="P85" s="67">
        <f>IF(G85="","",J85-G85)</f>
        <v/>
      </c>
      <c r="Q85" s="67">
        <f>IF(G85="","",ABS(P85-Components!$D$2))</f>
        <v/>
      </c>
      <c r="R85" s="67">
        <f>IF(G85="","",ABS(P85-Components!$D$3))</f>
        <v/>
      </c>
      <c r="S85" s="67">
        <f>IF(G85="","",ABS(P85-Components!$D$4))</f>
        <v/>
      </c>
      <c r="T85" s="67">
        <f>IF(G85="","",ABS(P85-Components!$D$5))</f>
        <v/>
      </c>
      <c r="U85" s="67">
        <f>IF(G85="","",ABS(P85-Components!$D$6))</f>
        <v/>
      </c>
      <c r="V85" s="67">
        <f>IF(G85="","",ABS(P85-Components!$D$7))</f>
        <v/>
      </c>
      <c r="W85" s="61">
        <f>IF(G85="","",IF(N85="OK","NONE",INDEX({"S1","S2","W1","W2","N1","N2"},MATCH(MIN(Q85:V85),Q85:V85,0))))</f>
        <v/>
      </c>
      <c r="X85" s="69">
        <f>IF(G85="","",IF(W85=E85,1,0))</f>
        <v/>
      </c>
      <c r="Y85" s="70" t="n"/>
    </row>
    <row r="86">
      <c r="A86" s="61" t="n">
        <v>14</v>
      </c>
      <c r="B86" s="62" t="n">
        <v>45</v>
      </c>
      <c r="C86" s="61" t="inlineStr">
        <is>
          <t>R3</t>
        </is>
      </c>
      <c r="D86" s="74" t="inlineStr">
        <is>
          <t>NG</t>
        </is>
      </c>
      <c r="E86" s="61" t="inlineStr">
        <is>
          <t>W2</t>
        </is>
      </c>
      <c r="F86" s="61" t="inlineStr">
        <is>
          <t>K014</t>
        </is>
      </c>
      <c r="G86" s="64" t="n">
        <v>5.4</v>
      </c>
      <c r="H86" s="65" t="n"/>
      <c r="I86" s="66" t="n"/>
      <c r="J86" s="67">
        <f>VLOOKUP(C86,Recipes!$A$2:$N$4,10,FALSE())</f>
        <v/>
      </c>
      <c r="K86" s="68">
        <f>VLOOKUP(C86,Recipes!$A$2:$N$4,12,FALSE())</f>
        <v/>
      </c>
      <c r="L86" s="67">
        <f>J86-3*K86</f>
        <v/>
      </c>
      <c r="M86" s="67">
        <f>J86+3*K86</f>
        <v/>
      </c>
      <c r="N86" s="61">
        <f>IF(G86="","",IF(AND(G86&gt;=L86,G86&lt;=M86),"OK","NG"))</f>
        <v/>
      </c>
      <c r="O86" s="69">
        <f>IF(N86="","",IF(N86=D86,1,0))</f>
        <v/>
      </c>
      <c r="P86" s="67">
        <f>IF(G86="","",J86-G86)</f>
        <v/>
      </c>
      <c r="Q86" s="67">
        <f>IF(G86="","",ABS(P86-Components!$D$2))</f>
        <v/>
      </c>
      <c r="R86" s="67">
        <f>IF(G86="","",ABS(P86-Components!$D$3))</f>
        <v/>
      </c>
      <c r="S86" s="67">
        <f>IF(G86="","",ABS(P86-Components!$D$4))</f>
        <v/>
      </c>
      <c r="T86" s="67">
        <f>IF(G86="","",ABS(P86-Components!$D$5))</f>
        <v/>
      </c>
      <c r="U86" s="67">
        <f>IF(G86="","",ABS(P86-Components!$D$6))</f>
        <v/>
      </c>
      <c r="V86" s="67">
        <f>IF(G86="","",ABS(P86-Components!$D$7))</f>
        <v/>
      </c>
      <c r="W86" s="61">
        <f>IF(G86="","",IF(N86="OK","NONE",INDEX({"S1","S2","W1","W2","N1","N2"},MATCH(MIN(Q86:V86),Q86:V86,0))))</f>
        <v/>
      </c>
      <c r="X86" s="69">
        <f>IF(G86="","",IF(W86=E86,1,0))</f>
        <v/>
      </c>
      <c r="Y86" s="70" t="n"/>
    </row>
    <row r="87">
      <c r="A87" s="61" t="n">
        <v>14</v>
      </c>
      <c r="B87" s="62" t="n">
        <v>45</v>
      </c>
      <c r="C87" s="61" t="inlineStr">
        <is>
          <t>R3</t>
        </is>
      </c>
      <c r="D87" s="74" t="inlineStr">
        <is>
          <t>NG</t>
        </is>
      </c>
      <c r="E87" s="61" t="inlineStr">
        <is>
          <t>W2</t>
        </is>
      </c>
      <c r="F87" s="61" t="inlineStr">
        <is>
          <t>K014</t>
        </is>
      </c>
      <c r="G87" s="64" t="n">
        <v>5.35</v>
      </c>
      <c r="H87" s="65" t="n"/>
      <c r="I87" s="66" t="n"/>
      <c r="J87" s="67">
        <f>VLOOKUP(C87,Recipes!$A$2:$N$4,10,FALSE())</f>
        <v/>
      </c>
      <c r="K87" s="68">
        <f>VLOOKUP(C87,Recipes!$A$2:$N$4,12,FALSE())</f>
        <v/>
      </c>
      <c r="L87" s="67">
        <f>J87-3*K87</f>
        <v/>
      </c>
      <c r="M87" s="67">
        <f>J87+3*K87</f>
        <v/>
      </c>
      <c r="N87" s="61">
        <f>IF(G87="","",IF(AND(G87&gt;=L87,G87&lt;=M87),"OK","NG"))</f>
        <v/>
      </c>
      <c r="O87" s="69">
        <f>IF(N87="","",IF(N87=D87,1,0))</f>
        <v/>
      </c>
      <c r="P87" s="67">
        <f>IF(G87="","",J87-G87)</f>
        <v/>
      </c>
      <c r="Q87" s="67">
        <f>IF(G87="","",ABS(P87-Components!$D$2))</f>
        <v/>
      </c>
      <c r="R87" s="67">
        <f>IF(G87="","",ABS(P87-Components!$D$3))</f>
        <v/>
      </c>
      <c r="S87" s="67">
        <f>IF(G87="","",ABS(P87-Components!$D$4))</f>
        <v/>
      </c>
      <c r="T87" s="67">
        <f>IF(G87="","",ABS(P87-Components!$D$5))</f>
        <v/>
      </c>
      <c r="U87" s="67">
        <f>IF(G87="","",ABS(P87-Components!$D$6))</f>
        <v/>
      </c>
      <c r="V87" s="67">
        <f>IF(G87="","",ABS(P87-Components!$D$7))</f>
        <v/>
      </c>
      <c r="W87" s="61">
        <f>IF(G87="","",IF(N87="OK","NONE",INDEX({"S1","S2","W1","W2","N1","N2"},MATCH(MIN(Q87:V87),Q87:V87,0))))</f>
        <v/>
      </c>
      <c r="X87" s="69">
        <f>IF(G87="","",IF(W87=E87,1,0))</f>
        <v/>
      </c>
      <c r="Y87" s="70" t="n"/>
    </row>
    <row r="88">
      <c r="A88" s="61" t="n">
        <v>14</v>
      </c>
      <c r="B88" s="62" t="n">
        <v>45</v>
      </c>
      <c r="C88" s="61" t="inlineStr">
        <is>
          <t>R3</t>
        </is>
      </c>
      <c r="D88" s="74" t="inlineStr">
        <is>
          <t>NG</t>
        </is>
      </c>
      <c r="E88" s="61" t="inlineStr">
        <is>
          <t>W2</t>
        </is>
      </c>
      <c r="F88" s="61" t="inlineStr">
        <is>
          <t>K014</t>
        </is>
      </c>
      <c r="G88" s="64" t="n">
        <v>5.38</v>
      </c>
      <c r="H88" s="65" t="n"/>
      <c r="I88" s="66" t="n"/>
      <c r="J88" s="67">
        <f>VLOOKUP(C88,Recipes!$A$2:$N$4,10,FALSE())</f>
        <v/>
      </c>
      <c r="K88" s="68">
        <f>VLOOKUP(C88,Recipes!$A$2:$N$4,12,FALSE())</f>
        <v/>
      </c>
      <c r="L88" s="67">
        <f>J88-3*K88</f>
        <v/>
      </c>
      <c r="M88" s="67">
        <f>J88+3*K88</f>
        <v/>
      </c>
      <c r="N88" s="61">
        <f>IF(G88="","",IF(AND(G88&gt;=L88,G88&lt;=M88),"OK","NG"))</f>
        <v/>
      </c>
      <c r="O88" s="69">
        <f>IF(N88="","",IF(N88=D88,1,0))</f>
        <v/>
      </c>
      <c r="P88" s="67">
        <f>IF(G88="","",J88-G88)</f>
        <v/>
      </c>
      <c r="Q88" s="67">
        <f>IF(G88="","",ABS(P88-Components!$D$2))</f>
        <v/>
      </c>
      <c r="R88" s="67">
        <f>IF(G88="","",ABS(P88-Components!$D$3))</f>
        <v/>
      </c>
      <c r="S88" s="67">
        <f>IF(G88="","",ABS(P88-Components!$D$4))</f>
        <v/>
      </c>
      <c r="T88" s="67">
        <f>IF(G88="","",ABS(P88-Components!$D$5))</f>
        <v/>
      </c>
      <c r="U88" s="67">
        <f>IF(G88="","",ABS(P88-Components!$D$6))</f>
        <v/>
      </c>
      <c r="V88" s="67">
        <f>IF(G88="","",ABS(P88-Components!$D$7))</f>
        <v/>
      </c>
      <c r="W88" s="61">
        <f>IF(G88="","",IF(N88="OK","NONE",INDEX({"S1","S2","W1","W2","N1","N2"},MATCH(MIN(Q88:V88),Q88:V88,0))))</f>
        <v/>
      </c>
      <c r="X88" s="69">
        <f>IF(G88="","",IF(W88=E88,1,0))</f>
        <v/>
      </c>
      <c r="Y88" s="70" t="n"/>
    </row>
    <row r="89">
      <c r="A89" s="61" t="n">
        <v>14</v>
      </c>
      <c r="B89" s="62" t="n">
        <v>45</v>
      </c>
      <c r="C89" s="61" t="inlineStr">
        <is>
          <t>R3</t>
        </is>
      </c>
      <c r="D89" s="74" t="inlineStr">
        <is>
          <t>NG</t>
        </is>
      </c>
      <c r="E89" s="61" t="inlineStr">
        <is>
          <t>W2</t>
        </is>
      </c>
      <c r="F89" s="61" t="inlineStr">
        <is>
          <t>K014</t>
        </is>
      </c>
      <c r="G89" s="64" t="n">
        <v>5.34</v>
      </c>
      <c r="H89" s="65" t="n"/>
      <c r="I89" s="66" t="n"/>
      <c r="J89" s="67">
        <f>VLOOKUP(C89,Recipes!$A$2:$N$4,10,FALSE())</f>
        <v/>
      </c>
      <c r="K89" s="68">
        <f>VLOOKUP(C89,Recipes!$A$2:$N$4,12,FALSE())</f>
        <v/>
      </c>
      <c r="L89" s="67">
        <f>J89-3*K89</f>
        <v/>
      </c>
      <c r="M89" s="67">
        <f>J89+3*K89</f>
        <v/>
      </c>
      <c r="N89" s="61">
        <f>IF(G89="","",IF(AND(G89&gt;=L89,G89&lt;=M89),"OK","NG"))</f>
        <v/>
      </c>
      <c r="O89" s="69">
        <f>IF(N89="","",IF(N89=D89,1,0))</f>
        <v/>
      </c>
      <c r="P89" s="67">
        <f>IF(G89="","",J89-G89)</f>
        <v/>
      </c>
      <c r="Q89" s="67">
        <f>IF(G89="","",ABS(P89-Components!$D$2))</f>
        <v/>
      </c>
      <c r="R89" s="67">
        <f>IF(G89="","",ABS(P89-Components!$D$3))</f>
        <v/>
      </c>
      <c r="S89" s="67">
        <f>IF(G89="","",ABS(P89-Components!$D$4))</f>
        <v/>
      </c>
      <c r="T89" s="67">
        <f>IF(G89="","",ABS(P89-Components!$D$5))</f>
        <v/>
      </c>
      <c r="U89" s="67">
        <f>IF(G89="","",ABS(P89-Components!$D$6))</f>
        <v/>
      </c>
      <c r="V89" s="67">
        <f>IF(G89="","",ABS(P89-Components!$D$7))</f>
        <v/>
      </c>
      <c r="W89" s="61">
        <f>IF(G89="","",IF(N89="OK","NONE",INDEX({"S1","S2","W1","W2","N1","N2"},MATCH(MIN(Q89:V89),Q89:V89,0))))</f>
        <v/>
      </c>
      <c r="X89" s="69">
        <f>IF(G89="","",IF(W89=E89,1,0))</f>
        <v/>
      </c>
      <c r="Y89" s="70" t="n"/>
    </row>
    <row r="90">
      <c r="A90" s="61" t="n">
        <v>14</v>
      </c>
      <c r="B90" s="62" t="n">
        <v>45</v>
      </c>
      <c r="C90" s="61" t="inlineStr">
        <is>
          <t>R3</t>
        </is>
      </c>
      <c r="D90" s="74" t="inlineStr">
        <is>
          <t>NG</t>
        </is>
      </c>
      <c r="E90" s="61" t="inlineStr">
        <is>
          <t>W2</t>
        </is>
      </c>
      <c r="F90" s="61" t="inlineStr">
        <is>
          <t>K014</t>
        </is>
      </c>
      <c r="G90" s="64" t="n">
        <v>5.42</v>
      </c>
      <c r="H90" s="65" t="n"/>
      <c r="I90" s="66" t="n"/>
      <c r="J90" s="67">
        <f>VLOOKUP(C90,Recipes!$A$2:$N$4,10,FALSE())</f>
        <v/>
      </c>
      <c r="K90" s="68">
        <f>VLOOKUP(C90,Recipes!$A$2:$N$4,12,FALSE())</f>
        <v/>
      </c>
      <c r="L90" s="67">
        <f>J90-3*K90</f>
        <v/>
      </c>
      <c r="M90" s="67">
        <f>J90+3*K90</f>
        <v/>
      </c>
      <c r="N90" s="61">
        <f>IF(G90="","",IF(AND(G90&gt;=L90,G90&lt;=M90),"OK","NG"))</f>
        <v/>
      </c>
      <c r="O90" s="69">
        <f>IF(N90="","",IF(N90=D90,1,0))</f>
        <v/>
      </c>
      <c r="P90" s="67">
        <f>IF(G90="","",J90-G90)</f>
        <v/>
      </c>
      <c r="Q90" s="67">
        <f>IF(G90="","",ABS(P90-Components!$D$2))</f>
        <v/>
      </c>
      <c r="R90" s="67">
        <f>IF(G90="","",ABS(P90-Components!$D$3))</f>
        <v/>
      </c>
      <c r="S90" s="67">
        <f>IF(G90="","",ABS(P90-Components!$D$4))</f>
        <v/>
      </c>
      <c r="T90" s="67">
        <f>IF(G90="","",ABS(P90-Components!$D$5))</f>
        <v/>
      </c>
      <c r="U90" s="67">
        <f>IF(G90="","",ABS(P90-Components!$D$6))</f>
        <v/>
      </c>
      <c r="V90" s="67">
        <f>IF(G90="","",ABS(P90-Components!$D$7))</f>
        <v/>
      </c>
      <c r="W90" s="61">
        <f>IF(G90="","",IF(N90="OK","NONE",INDEX({"S1","S2","W1","W2","N1","N2"},MATCH(MIN(Q90:V90),Q90:V90,0))))</f>
        <v/>
      </c>
      <c r="X90" s="69">
        <f>IF(G90="","",IF(W90=E90,1,0))</f>
        <v/>
      </c>
      <c r="Y90" s="70" t="n"/>
    </row>
    <row r="91">
      <c r="A91" s="61" t="n">
        <v>14</v>
      </c>
      <c r="B91" s="62" t="n">
        <v>45</v>
      </c>
      <c r="C91" s="61" t="inlineStr">
        <is>
          <t>R3</t>
        </is>
      </c>
      <c r="D91" s="74" t="inlineStr">
        <is>
          <t>NG</t>
        </is>
      </c>
      <c r="E91" s="61" t="inlineStr">
        <is>
          <t>W2</t>
        </is>
      </c>
      <c r="F91" s="61" t="inlineStr">
        <is>
          <t>K014</t>
        </is>
      </c>
      <c r="G91" s="64" t="n">
        <v>5.4</v>
      </c>
      <c r="H91" s="65" t="n"/>
      <c r="I91" s="66" t="n"/>
      <c r="J91" s="67">
        <f>VLOOKUP(C91,Recipes!$A$2:$N$4,10,FALSE())</f>
        <v/>
      </c>
      <c r="K91" s="68">
        <f>VLOOKUP(C91,Recipes!$A$2:$N$4,12,FALSE())</f>
        <v/>
      </c>
      <c r="L91" s="67">
        <f>J91-3*K91</f>
        <v/>
      </c>
      <c r="M91" s="67">
        <f>J91+3*K91</f>
        <v/>
      </c>
      <c r="N91" s="61">
        <f>IF(G91="","",IF(AND(G91&gt;=L91,G91&lt;=M91),"OK","NG"))</f>
        <v/>
      </c>
      <c r="O91" s="69">
        <f>IF(N91="","",IF(N91=D91,1,0))</f>
        <v/>
      </c>
      <c r="P91" s="67">
        <f>IF(G91="","",J91-G91)</f>
        <v/>
      </c>
      <c r="Q91" s="67">
        <f>IF(G91="","",ABS(P91-Components!$D$2))</f>
        <v/>
      </c>
      <c r="R91" s="67">
        <f>IF(G91="","",ABS(P91-Components!$D$3))</f>
        <v/>
      </c>
      <c r="S91" s="67">
        <f>IF(G91="","",ABS(P91-Components!$D$4))</f>
        <v/>
      </c>
      <c r="T91" s="67">
        <f>IF(G91="","",ABS(P91-Components!$D$5))</f>
        <v/>
      </c>
      <c r="U91" s="67">
        <f>IF(G91="","",ABS(P91-Components!$D$6))</f>
        <v/>
      </c>
      <c r="V91" s="67">
        <f>IF(G91="","",ABS(P91-Components!$D$7))</f>
        <v/>
      </c>
      <c r="W91" s="61">
        <f>IF(G91="","",IF(N91="OK","NONE",INDEX({"S1","S2","W1","W2","N1","N2"},MATCH(MIN(Q91:V91),Q91:V91,0))))</f>
        <v/>
      </c>
      <c r="X91" s="69">
        <f>IF(G91="","",IF(W91=E91,1,0))</f>
        <v/>
      </c>
      <c r="Y91" s="70" t="n"/>
    </row>
    <row r="92">
      <c r="A92" s="61" t="n">
        <v>15</v>
      </c>
      <c r="B92" s="62" t="n">
        <v>30</v>
      </c>
      <c r="C92" s="61" t="inlineStr">
        <is>
          <t>R3</t>
        </is>
      </c>
      <c r="D92" s="74" t="inlineStr">
        <is>
          <t>NG</t>
        </is>
      </c>
      <c r="E92" s="61" t="inlineStr">
        <is>
          <t>W2</t>
        </is>
      </c>
      <c r="F92" s="61" t="inlineStr">
        <is>
          <t>K015</t>
        </is>
      </c>
      <c r="G92" s="64" t="n">
        <v>5.42</v>
      </c>
      <c r="H92" s="65" t="n"/>
      <c r="I92" s="66" t="n"/>
      <c r="J92" s="67">
        <f>VLOOKUP(C92,Recipes!$A$2:$N$4,10,FALSE())</f>
        <v/>
      </c>
      <c r="K92" s="68">
        <f>VLOOKUP(C92,Recipes!$A$2:$N$4,12,FALSE())</f>
        <v/>
      </c>
      <c r="L92" s="67">
        <f>J92-3*K92</f>
        <v/>
      </c>
      <c r="M92" s="67">
        <f>J92+3*K92</f>
        <v/>
      </c>
      <c r="N92" s="61">
        <f>IF(G92="","",IF(AND(G92&gt;=L92,G92&lt;=M92),"OK","NG"))</f>
        <v/>
      </c>
      <c r="O92" s="69">
        <f>IF(N92="","",IF(N92=D92,1,0))</f>
        <v/>
      </c>
      <c r="P92" s="67">
        <f>IF(G92="","",J92-G92)</f>
        <v/>
      </c>
      <c r="Q92" s="67">
        <f>IF(G92="","",ABS(P92-Components!$D$2))</f>
        <v/>
      </c>
      <c r="R92" s="67">
        <f>IF(G92="","",ABS(P92-Components!$D$3))</f>
        <v/>
      </c>
      <c r="S92" s="67">
        <f>IF(G92="","",ABS(P92-Components!$D$4))</f>
        <v/>
      </c>
      <c r="T92" s="67">
        <f>IF(G92="","",ABS(P92-Components!$D$5))</f>
        <v/>
      </c>
      <c r="U92" s="67">
        <f>IF(G92="","",ABS(P92-Components!$D$6))</f>
        <v/>
      </c>
      <c r="V92" s="67">
        <f>IF(G92="","",ABS(P92-Components!$D$7))</f>
        <v/>
      </c>
      <c r="W92" s="61">
        <f>IF(G92="","",IF(N92="OK","NONE",INDEX({"S1","S2","W1","W2","N1","N2"},MATCH(MIN(Q92:V92),Q92:V92,0))))</f>
        <v/>
      </c>
      <c r="X92" s="69">
        <f>IF(G92="","",IF(W92=E92,1,0))</f>
        <v/>
      </c>
      <c r="Y92" s="70" t="n"/>
    </row>
    <row r="93">
      <c r="A93" s="61" t="n">
        <v>16</v>
      </c>
      <c r="B93" s="62" t="n">
        <v>55</v>
      </c>
      <c r="C93" s="61" t="inlineStr">
        <is>
          <t>R3</t>
        </is>
      </c>
      <c r="D93" s="74" t="inlineStr">
        <is>
          <t>NG</t>
        </is>
      </c>
      <c r="E93" s="61" t="inlineStr">
        <is>
          <t>N2</t>
        </is>
      </c>
      <c r="F93" s="61" t="inlineStr">
        <is>
          <t>K016</t>
        </is>
      </c>
      <c r="G93" s="64" t="n">
        <v>8.609999999999999</v>
      </c>
      <c r="H93" s="65" t="n"/>
      <c r="I93" s="66" t="n"/>
      <c r="J93" s="67">
        <f>VLOOKUP(C93,Recipes!$A$2:$N$4,10,FALSE())</f>
        <v/>
      </c>
      <c r="K93" s="68">
        <f>VLOOKUP(C93,Recipes!$A$2:$N$4,12,FALSE())</f>
        <v/>
      </c>
      <c r="L93" s="67">
        <f>J93-3*K93</f>
        <v/>
      </c>
      <c r="M93" s="67">
        <f>J93+3*K93</f>
        <v/>
      </c>
      <c r="N93" s="61">
        <f>IF(G93="","",IF(AND(G93&gt;=L93,G93&lt;=M93),"OK","NG"))</f>
        <v/>
      </c>
      <c r="O93" s="69">
        <f>IF(N93="","",IF(N93=D93,1,0))</f>
        <v/>
      </c>
      <c r="P93" s="67">
        <f>IF(G93="","",J93-G93)</f>
        <v/>
      </c>
      <c r="Q93" s="67">
        <f>IF(G93="","",ABS(P93-Components!$D$2))</f>
        <v/>
      </c>
      <c r="R93" s="67">
        <f>IF(G93="","",ABS(P93-Components!$D$3))</f>
        <v/>
      </c>
      <c r="S93" s="67">
        <f>IF(G93="","",ABS(P93-Components!$D$4))</f>
        <v/>
      </c>
      <c r="T93" s="67">
        <f>IF(G93="","",ABS(P93-Components!$D$5))</f>
        <v/>
      </c>
      <c r="U93" s="67">
        <f>IF(G93="","",ABS(P93-Components!$D$6))</f>
        <v/>
      </c>
      <c r="V93" s="67">
        <f>IF(G93="","",ABS(P93-Components!$D$7))</f>
        <v/>
      </c>
      <c r="W93" s="61">
        <f>IF(G93="","",IF(N93="OK","NONE",INDEX({"S1","S2","W1","W2","N1","N2"},MATCH(MIN(Q93:V93),Q93:V93,0))))</f>
        <v/>
      </c>
      <c r="X93" s="69">
        <f>IF(G93="","",IF(W93=E93,1,0))</f>
        <v/>
      </c>
      <c r="Y93" s="70" t="n"/>
    </row>
    <row r="94">
      <c r="A94" s="61" t="n">
        <v>17</v>
      </c>
      <c r="B94" s="62" t="n">
        <v>4</v>
      </c>
      <c r="C94" s="61" t="inlineStr">
        <is>
          <t>R3</t>
        </is>
      </c>
      <c r="D94" s="74" t="inlineStr">
        <is>
          <t>NG</t>
        </is>
      </c>
      <c r="E94" s="61" t="inlineStr">
        <is>
          <t>N2</t>
        </is>
      </c>
      <c r="F94" s="61" t="inlineStr">
        <is>
          <t>K017</t>
        </is>
      </c>
      <c r="G94" s="64" t="n">
        <v>8.619999999999999</v>
      </c>
      <c r="H94" s="65" t="n"/>
      <c r="I94" s="66" t="n"/>
      <c r="J94" s="67">
        <f>VLOOKUP(C94,Recipes!$A$2:$N$4,10,FALSE())</f>
        <v/>
      </c>
      <c r="K94" s="68">
        <f>VLOOKUP(C94,Recipes!$A$2:$N$4,12,FALSE())</f>
        <v/>
      </c>
      <c r="L94" s="67">
        <f>J94-3*K94</f>
        <v/>
      </c>
      <c r="M94" s="67">
        <f>J94+3*K94</f>
        <v/>
      </c>
      <c r="N94" s="61">
        <f>IF(G94="","",IF(AND(G94&gt;=L94,G94&lt;=M94),"OK","NG"))</f>
        <v/>
      </c>
      <c r="O94" s="69">
        <f>IF(N94="","",IF(N94=D94,1,0))</f>
        <v/>
      </c>
      <c r="P94" s="67">
        <f>IF(G94="","",J94-G94)</f>
        <v/>
      </c>
      <c r="Q94" s="67">
        <f>IF(G94="","",ABS(P94-Components!$D$2))</f>
        <v/>
      </c>
      <c r="R94" s="67">
        <f>IF(G94="","",ABS(P94-Components!$D$3))</f>
        <v/>
      </c>
      <c r="S94" s="67">
        <f>IF(G94="","",ABS(P94-Components!$D$4))</f>
        <v/>
      </c>
      <c r="T94" s="67">
        <f>IF(G94="","",ABS(P94-Components!$D$5))</f>
        <v/>
      </c>
      <c r="U94" s="67">
        <f>IF(G94="","",ABS(P94-Components!$D$6))</f>
        <v/>
      </c>
      <c r="V94" s="67">
        <f>IF(G94="","",ABS(P94-Components!$D$7))</f>
        <v/>
      </c>
      <c r="W94" s="61">
        <f>IF(G94="","",IF(N94="OK","NONE",INDEX({"S1","S2","W1","W2","N1","N2"},MATCH(MIN(Q94:V94),Q94:V94,0))))</f>
        <v/>
      </c>
      <c r="X94" s="69">
        <f>IF(G94="","",IF(W94=E94,1,0))</f>
        <v/>
      </c>
      <c r="Y94" s="70" t="n"/>
    </row>
    <row r="95">
      <c r="A95" s="61" t="n">
        <v>18</v>
      </c>
      <c r="B95" s="62" t="n">
        <v>22</v>
      </c>
      <c r="C95" s="61" t="inlineStr">
        <is>
          <t>R3</t>
        </is>
      </c>
      <c r="D95" s="74" t="inlineStr">
        <is>
          <t>NG</t>
        </is>
      </c>
      <c r="E95" s="61" t="inlineStr">
        <is>
          <t>N2</t>
        </is>
      </c>
      <c r="F95" s="61" t="inlineStr">
        <is>
          <t>K018</t>
        </is>
      </c>
      <c r="G95" s="64" t="n">
        <v>8.630000000000001</v>
      </c>
      <c r="H95" s="65" t="n"/>
      <c r="I95" s="66" t="n"/>
      <c r="J95" s="67">
        <f>VLOOKUP(C95,Recipes!$A$2:$N$4,10,FALSE())</f>
        <v/>
      </c>
      <c r="K95" s="68">
        <f>VLOOKUP(C95,Recipes!$A$2:$N$4,12,FALSE())</f>
        <v/>
      </c>
      <c r="L95" s="67">
        <f>J95-3*K95</f>
        <v/>
      </c>
      <c r="M95" s="67">
        <f>J95+3*K95</f>
        <v/>
      </c>
      <c r="N95" s="61">
        <f>IF(G95="","",IF(AND(G95&gt;=L95,G95&lt;=M95),"OK","NG"))</f>
        <v/>
      </c>
      <c r="O95" s="69">
        <f>IF(N95="","",IF(N95=D95,1,0))</f>
        <v/>
      </c>
      <c r="P95" s="67">
        <f>IF(G95="","",J95-G95)</f>
        <v/>
      </c>
      <c r="Q95" s="67">
        <f>IF(G95="","",ABS(P95-Components!$D$2))</f>
        <v/>
      </c>
      <c r="R95" s="67">
        <f>IF(G95="","",ABS(P95-Components!$D$3))</f>
        <v/>
      </c>
      <c r="S95" s="67">
        <f>IF(G95="","",ABS(P95-Components!$D$4))</f>
        <v/>
      </c>
      <c r="T95" s="67">
        <f>IF(G95="","",ABS(P95-Components!$D$5))</f>
        <v/>
      </c>
      <c r="U95" s="67">
        <f>IF(G95="","",ABS(P95-Components!$D$6))</f>
        <v/>
      </c>
      <c r="V95" s="67">
        <f>IF(G95="","",ABS(P95-Components!$D$7))</f>
        <v/>
      </c>
      <c r="W95" s="61">
        <f>IF(G95="","",IF(N95="OK","NONE",INDEX({"S1","S2","W1","W2","N1","N2"},MATCH(MIN(Q95:V95),Q95:V95,0))))</f>
        <v/>
      </c>
      <c r="X95" s="69">
        <f>IF(G95="","",IF(W95=E95,1,0))</f>
        <v/>
      </c>
      <c r="Y95" s="70" t="n"/>
    </row>
    <row r="96">
      <c r="A96" s="61" t="n">
        <v>19</v>
      </c>
      <c r="B96" s="62" t="n">
        <v>47</v>
      </c>
      <c r="C96" s="61" t="inlineStr">
        <is>
          <t>R3</t>
        </is>
      </c>
      <c r="D96" s="74" t="inlineStr">
        <is>
          <t>NG</t>
        </is>
      </c>
      <c r="E96" s="61" t="inlineStr">
        <is>
          <t>N2</t>
        </is>
      </c>
      <c r="F96" s="61" t="inlineStr">
        <is>
          <t>K019</t>
        </is>
      </c>
      <c r="G96" s="64" t="n">
        <v>8.619999999999999</v>
      </c>
      <c r="H96" s="65" t="n"/>
      <c r="I96" s="66" t="n"/>
      <c r="J96" s="67">
        <f>VLOOKUP(C96,Recipes!$A$2:$N$4,10,FALSE())</f>
        <v/>
      </c>
      <c r="K96" s="68">
        <f>VLOOKUP(C96,Recipes!$A$2:$N$4,12,FALSE())</f>
        <v/>
      </c>
      <c r="L96" s="67">
        <f>J96-3*K96</f>
        <v/>
      </c>
      <c r="M96" s="67">
        <f>J96+3*K96</f>
        <v/>
      </c>
      <c r="N96" s="61">
        <f>IF(G96="","",IF(AND(G96&gt;=L96,G96&lt;=M96),"OK","NG"))</f>
        <v/>
      </c>
      <c r="O96" s="69">
        <f>IF(N96="","",IF(N96=D96,1,0))</f>
        <v/>
      </c>
      <c r="P96" s="67">
        <f>IF(G96="","",J96-G96)</f>
        <v/>
      </c>
      <c r="Q96" s="67">
        <f>IF(G96="","",ABS(P96-Components!$D$2))</f>
        <v/>
      </c>
      <c r="R96" s="67">
        <f>IF(G96="","",ABS(P96-Components!$D$3))</f>
        <v/>
      </c>
      <c r="S96" s="67">
        <f>IF(G96="","",ABS(P96-Components!$D$4))</f>
        <v/>
      </c>
      <c r="T96" s="67">
        <f>IF(G96="","",ABS(P96-Components!$D$5))</f>
        <v/>
      </c>
      <c r="U96" s="67">
        <f>IF(G96="","",ABS(P96-Components!$D$6))</f>
        <v/>
      </c>
      <c r="V96" s="67">
        <f>IF(G96="","",ABS(P96-Components!$D$7))</f>
        <v/>
      </c>
      <c r="W96" s="61">
        <f>IF(G96="","",IF(N96="OK","NONE",INDEX({"S1","S2","W1","W2","N1","N2"},MATCH(MIN(Q96:V96),Q96:V96,0))))</f>
        <v/>
      </c>
      <c r="X96" s="69">
        <f>IF(G96="","",IF(W96=E96,1,0))</f>
        <v/>
      </c>
      <c r="Y96" s="70" t="n"/>
    </row>
    <row r="97">
      <c r="A97" s="61" t="n">
        <v>19</v>
      </c>
      <c r="B97" s="62" t="n">
        <v>47</v>
      </c>
      <c r="C97" s="61" t="inlineStr">
        <is>
          <t>R3</t>
        </is>
      </c>
      <c r="D97" s="74" t="inlineStr">
        <is>
          <t>NG</t>
        </is>
      </c>
      <c r="E97" s="61" t="inlineStr">
        <is>
          <t>N2</t>
        </is>
      </c>
      <c r="F97" s="61" t="inlineStr">
        <is>
          <t>K019</t>
        </is>
      </c>
      <c r="G97" s="64" t="n">
        <v>8.539999999999999</v>
      </c>
      <c r="H97" s="65" t="n"/>
      <c r="I97" s="66" t="n"/>
      <c r="J97" s="67">
        <f>VLOOKUP(C97,Recipes!$A$2:$N$4,10,FALSE())</f>
        <v/>
      </c>
      <c r="K97" s="68">
        <f>VLOOKUP(C97,Recipes!$A$2:$N$4,12,FALSE())</f>
        <v/>
      </c>
      <c r="L97" s="67">
        <f>J97-3*K97</f>
        <v/>
      </c>
      <c r="M97" s="67">
        <f>J97+3*K97</f>
        <v/>
      </c>
      <c r="N97" s="61">
        <f>IF(G97="","",IF(AND(G97&gt;=L97,G97&lt;=M97),"OK","NG"))</f>
        <v/>
      </c>
      <c r="O97" s="69">
        <f>IF(N97="","",IF(N97=D97,1,0))</f>
        <v/>
      </c>
      <c r="P97" s="67">
        <f>IF(G97="","",J97-G97)</f>
        <v/>
      </c>
      <c r="Q97" s="67">
        <f>IF(G97="","",ABS(P97-Components!$D$2))</f>
        <v/>
      </c>
      <c r="R97" s="67">
        <f>IF(G97="","",ABS(P97-Components!$D$3))</f>
        <v/>
      </c>
      <c r="S97" s="67">
        <f>IF(G97="","",ABS(P97-Components!$D$4))</f>
        <v/>
      </c>
      <c r="T97" s="67">
        <f>IF(G97="","",ABS(P97-Components!$D$5))</f>
        <v/>
      </c>
      <c r="U97" s="67">
        <f>IF(G97="","",ABS(P97-Components!$D$6))</f>
        <v/>
      </c>
      <c r="V97" s="67">
        <f>IF(G97="","",ABS(P97-Components!$D$7))</f>
        <v/>
      </c>
      <c r="W97" s="61">
        <f>IF(G97="","",IF(N97="OK","NONE",INDEX({"S1","S2","W1","W2","N1","N2"},MATCH(MIN(Q97:V97),Q97:V97,0))))</f>
        <v/>
      </c>
      <c r="X97" s="69">
        <f>IF(G97="","",IF(W97=E97,1,0))</f>
        <v/>
      </c>
      <c r="Y97" s="70" t="n"/>
    </row>
    <row r="98">
      <c r="A98" s="61" t="n">
        <v>19</v>
      </c>
      <c r="B98" s="62" t="n">
        <v>47</v>
      </c>
      <c r="C98" s="61" t="inlineStr">
        <is>
          <t>R3</t>
        </is>
      </c>
      <c r="D98" s="74" t="inlineStr">
        <is>
          <t>NG</t>
        </is>
      </c>
      <c r="E98" s="61" t="inlineStr">
        <is>
          <t>N2</t>
        </is>
      </c>
      <c r="F98" s="61" t="inlineStr">
        <is>
          <t>K019</t>
        </is>
      </c>
      <c r="G98" s="64" t="n">
        <v>8.48</v>
      </c>
      <c r="H98" s="65" t="n"/>
      <c r="I98" s="66" t="n"/>
      <c r="J98" s="67">
        <f>VLOOKUP(C98,Recipes!$A$2:$N$4,10,FALSE())</f>
        <v/>
      </c>
      <c r="K98" s="68">
        <f>VLOOKUP(C98,Recipes!$A$2:$N$4,12,FALSE())</f>
        <v/>
      </c>
      <c r="L98" s="67">
        <f>J98-3*K98</f>
        <v/>
      </c>
      <c r="M98" s="67">
        <f>J98+3*K98</f>
        <v/>
      </c>
      <c r="N98" s="61">
        <f>IF(G98="","",IF(AND(G98&gt;=L98,G98&lt;=M98),"OK","NG"))</f>
        <v/>
      </c>
      <c r="O98" s="69">
        <f>IF(N98="","",IF(N98=D98,1,0))</f>
        <v/>
      </c>
      <c r="P98" s="67">
        <f>IF(G98="","",J98-G98)</f>
        <v/>
      </c>
      <c r="Q98" s="67">
        <f>IF(G98="","",ABS(P98-Components!$D$2))</f>
        <v/>
      </c>
      <c r="R98" s="67">
        <f>IF(G98="","",ABS(P98-Components!$D$3))</f>
        <v/>
      </c>
      <c r="S98" s="67">
        <f>IF(G98="","",ABS(P98-Components!$D$4))</f>
        <v/>
      </c>
      <c r="T98" s="67">
        <f>IF(G98="","",ABS(P98-Components!$D$5))</f>
        <v/>
      </c>
      <c r="U98" s="67">
        <f>IF(G98="","",ABS(P98-Components!$D$6))</f>
        <v/>
      </c>
      <c r="V98" s="67">
        <f>IF(G98="","",ABS(P98-Components!$D$7))</f>
        <v/>
      </c>
      <c r="W98" s="61">
        <f>IF(G98="","",IF(N98="OK","NONE",INDEX({"S1","S2","W1","W2","N1","N2"},MATCH(MIN(Q98:V98),Q98:V98,0))))</f>
        <v/>
      </c>
      <c r="X98" s="69">
        <f>IF(G98="","",IF(W98=E98,1,0))</f>
        <v/>
      </c>
      <c r="Y98" s="70" t="n"/>
    </row>
    <row r="99">
      <c r="A99" s="61" t="n">
        <v>19</v>
      </c>
      <c r="B99" s="62" t="n">
        <v>47</v>
      </c>
      <c r="C99" s="61" t="inlineStr">
        <is>
          <t>R3</t>
        </is>
      </c>
      <c r="D99" s="74" t="inlineStr">
        <is>
          <t>NG</t>
        </is>
      </c>
      <c r="E99" s="61" t="inlineStr">
        <is>
          <t>N2</t>
        </is>
      </c>
      <c r="F99" s="61" t="inlineStr">
        <is>
          <t>K019</t>
        </is>
      </c>
      <c r="G99" s="64" t="n">
        <v>8.6</v>
      </c>
      <c r="H99" s="65" t="n"/>
      <c r="I99" s="66" t="n"/>
      <c r="J99" s="67">
        <f>VLOOKUP(C99,Recipes!$A$2:$N$4,10,FALSE())</f>
        <v/>
      </c>
      <c r="K99" s="68">
        <f>VLOOKUP(C99,Recipes!$A$2:$N$4,12,FALSE())</f>
        <v/>
      </c>
      <c r="L99" s="67">
        <f>J99-3*K99</f>
        <v/>
      </c>
      <c r="M99" s="67">
        <f>J99+3*K99</f>
        <v/>
      </c>
      <c r="N99" s="61">
        <f>IF(G99="","",IF(AND(G99&gt;=L99,G99&lt;=M99),"OK","NG"))</f>
        <v/>
      </c>
      <c r="O99" s="69">
        <f>IF(N99="","",IF(N99=D99,1,0))</f>
        <v/>
      </c>
      <c r="P99" s="67">
        <f>IF(G99="","",J99-G99)</f>
        <v/>
      </c>
      <c r="Q99" s="67">
        <f>IF(G99="","",ABS(P99-Components!$D$2))</f>
        <v/>
      </c>
      <c r="R99" s="67">
        <f>IF(G99="","",ABS(P99-Components!$D$3))</f>
        <v/>
      </c>
      <c r="S99" s="67">
        <f>IF(G99="","",ABS(P99-Components!$D$4))</f>
        <v/>
      </c>
      <c r="T99" s="67">
        <f>IF(G99="","",ABS(P99-Components!$D$5))</f>
        <v/>
      </c>
      <c r="U99" s="67">
        <f>IF(G99="","",ABS(P99-Components!$D$6))</f>
        <v/>
      </c>
      <c r="V99" s="67">
        <f>IF(G99="","",ABS(P99-Components!$D$7))</f>
        <v/>
      </c>
      <c r="W99" s="61">
        <f>IF(G99="","",IF(N99="OK","NONE",INDEX({"S1","S2","W1","W2","N1","N2"},MATCH(MIN(Q99:V99),Q99:V99,0))))</f>
        <v/>
      </c>
      <c r="X99" s="69">
        <f>IF(G99="","",IF(W99=E99,1,0))</f>
        <v/>
      </c>
      <c r="Y99" s="70" t="n"/>
    </row>
    <row r="100">
      <c r="A100" s="61" t="n">
        <v>19</v>
      </c>
      <c r="B100" s="62" t="n">
        <v>47</v>
      </c>
      <c r="C100" s="61" t="inlineStr">
        <is>
          <t>R3</t>
        </is>
      </c>
      <c r="D100" s="74" t="inlineStr">
        <is>
          <t>NG</t>
        </is>
      </c>
      <c r="E100" s="61" t="inlineStr">
        <is>
          <t>N2</t>
        </is>
      </c>
      <c r="F100" s="61" t="inlineStr">
        <is>
          <t>K019</t>
        </is>
      </c>
      <c r="G100" s="64" t="n">
        <v>8.630000000000001</v>
      </c>
      <c r="H100" s="65" t="n"/>
      <c r="I100" s="66" t="n"/>
      <c r="J100" s="67">
        <f>VLOOKUP(C100,Recipes!$A$2:$N$4,10,FALSE())</f>
        <v/>
      </c>
      <c r="K100" s="68">
        <f>VLOOKUP(C100,Recipes!$A$2:$N$4,12,FALSE())</f>
        <v/>
      </c>
      <c r="L100" s="67">
        <f>J100-3*K100</f>
        <v/>
      </c>
      <c r="M100" s="67">
        <f>J100+3*K100</f>
        <v/>
      </c>
      <c r="N100" s="61">
        <f>IF(G100="","",IF(AND(G100&gt;=L100,G100&lt;=M100),"OK","NG"))</f>
        <v/>
      </c>
      <c r="O100" s="69">
        <f>IF(N100="","",IF(N100=D100,1,0))</f>
        <v/>
      </c>
      <c r="P100" s="67">
        <f>IF(G100="","",J100-G100)</f>
        <v/>
      </c>
      <c r="Q100" s="67">
        <f>IF(G100="","",ABS(P100-Components!$D$2))</f>
        <v/>
      </c>
      <c r="R100" s="67">
        <f>IF(G100="","",ABS(P100-Components!$D$3))</f>
        <v/>
      </c>
      <c r="S100" s="67">
        <f>IF(G100="","",ABS(P100-Components!$D$4))</f>
        <v/>
      </c>
      <c r="T100" s="67">
        <f>IF(G100="","",ABS(P100-Components!$D$5))</f>
        <v/>
      </c>
      <c r="U100" s="67">
        <f>IF(G100="","",ABS(P100-Components!$D$6))</f>
        <v/>
      </c>
      <c r="V100" s="67">
        <f>IF(G100="","",ABS(P100-Components!$D$7))</f>
        <v/>
      </c>
      <c r="W100" s="61">
        <f>IF(G100="","",IF(N100="OK","NONE",INDEX({"S1","S2","W1","W2","N1","N2"},MATCH(MIN(Q100:V100),Q100:V100,0))))</f>
        <v/>
      </c>
      <c r="X100" s="69">
        <f>IF(G100="","",IF(W100=E100,1,0))</f>
        <v/>
      </c>
      <c r="Y100" s="70" t="n"/>
    </row>
    <row r="101">
      <c r="A101" s="61" t="n">
        <v>19</v>
      </c>
      <c r="B101" s="62" t="n">
        <v>47</v>
      </c>
      <c r="C101" s="61" t="inlineStr">
        <is>
          <t>R3</t>
        </is>
      </c>
      <c r="D101" s="74" t="inlineStr">
        <is>
          <t>NG</t>
        </is>
      </c>
      <c r="E101" s="61" t="inlineStr">
        <is>
          <t>N2</t>
        </is>
      </c>
      <c r="F101" s="61" t="inlineStr">
        <is>
          <t>K019</t>
        </is>
      </c>
      <c r="G101" s="64" t="n">
        <v>8.6</v>
      </c>
      <c r="H101" s="65" t="n"/>
      <c r="I101" s="66" t="n"/>
      <c r="J101" s="67">
        <f>VLOOKUP(C101,Recipes!$A$2:$N$4,10,FALSE())</f>
        <v/>
      </c>
      <c r="K101" s="68">
        <f>VLOOKUP(C101,Recipes!$A$2:$N$4,12,FALSE())</f>
        <v/>
      </c>
      <c r="L101" s="67">
        <f>J101-3*K101</f>
        <v/>
      </c>
      <c r="M101" s="67">
        <f>J101+3*K101</f>
        <v/>
      </c>
      <c r="N101" s="61">
        <f>IF(G101="","",IF(AND(G101&gt;=L101,G101&lt;=M101),"OK","NG"))</f>
        <v/>
      </c>
      <c r="O101" s="69">
        <f>IF(N101="","",IF(N101=D101,1,0))</f>
        <v/>
      </c>
      <c r="P101" s="67">
        <f>IF(G101="","",J101-G101)</f>
        <v/>
      </c>
      <c r="Q101" s="67">
        <f>IF(G101="","",ABS(P101-Components!$D$2))</f>
        <v/>
      </c>
      <c r="R101" s="67">
        <f>IF(G101="","",ABS(P101-Components!$D$3))</f>
        <v/>
      </c>
      <c r="S101" s="67">
        <f>IF(G101="","",ABS(P101-Components!$D$4))</f>
        <v/>
      </c>
      <c r="T101" s="67">
        <f>IF(G101="","",ABS(P101-Components!$D$5))</f>
        <v/>
      </c>
      <c r="U101" s="67">
        <f>IF(G101="","",ABS(P101-Components!$D$6))</f>
        <v/>
      </c>
      <c r="V101" s="67">
        <f>IF(G101="","",ABS(P101-Components!$D$7))</f>
        <v/>
      </c>
      <c r="W101" s="61">
        <f>IF(G101="","",IF(N101="OK","NONE",INDEX({"S1","S2","W1","W2","N1","N2"},MATCH(MIN(Q101:V101),Q101:V101,0))))</f>
        <v/>
      </c>
      <c r="X101" s="69">
        <f>IF(G101="","",IF(W101=E101,1,0))</f>
        <v/>
      </c>
      <c r="Y101" s="70" t="n"/>
    </row>
    <row r="102">
      <c r="A102" s="61" t="n">
        <v>19</v>
      </c>
      <c r="B102" s="62" t="n">
        <v>47</v>
      </c>
      <c r="C102" s="61" t="inlineStr">
        <is>
          <t>R3</t>
        </is>
      </c>
      <c r="D102" s="74" t="inlineStr">
        <is>
          <t>NG</t>
        </is>
      </c>
      <c r="E102" s="61" t="inlineStr">
        <is>
          <t>N2</t>
        </is>
      </c>
      <c r="F102" s="61" t="inlineStr">
        <is>
          <t>K019</t>
        </is>
      </c>
      <c r="G102" s="64" t="n">
        <v>8.619999999999999</v>
      </c>
      <c r="H102" s="65" t="n"/>
      <c r="I102" s="66" t="n"/>
      <c r="J102" s="67">
        <f>VLOOKUP(C102,Recipes!$A$2:$N$4,10,FALSE())</f>
        <v/>
      </c>
      <c r="K102" s="68">
        <f>VLOOKUP(C102,Recipes!$A$2:$N$4,12,FALSE())</f>
        <v/>
      </c>
      <c r="L102" s="67">
        <f>J102-3*K102</f>
        <v/>
      </c>
      <c r="M102" s="67">
        <f>J102+3*K102</f>
        <v/>
      </c>
      <c r="N102" s="61">
        <f>IF(G102="","",IF(AND(G102&gt;=L102,G102&lt;=M102),"OK","NG"))</f>
        <v/>
      </c>
      <c r="O102" s="69">
        <f>IF(N102="","",IF(N102=D102,1,0))</f>
        <v/>
      </c>
      <c r="P102" s="67">
        <f>IF(G102="","",J102-G102)</f>
        <v/>
      </c>
      <c r="Q102" s="67">
        <f>IF(G102="","",ABS(P102-Components!$D$2))</f>
        <v/>
      </c>
      <c r="R102" s="67">
        <f>IF(G102="","",ABS(P102-Components!$D$3))</f>
        <v/>
      </c>
      <c r="S102" s="67">
        <f>IF(G102="","",ABS(P102-Components!$D$4))</f>
        <v/>
      </c>
      <c r="T102" s="67">
        <f>IF(G102="","",ABS(P102-Components!$D$5))</f>
        <v/>
      </c>
      <c r="U102" s="67">
        <f>IF(G102="","",ABS(P102-Components!$D$6))</f>
        <v/>
      </c>
      <c r="V102" s="67">
        <f>IF(G102="","",ABS(P102-Components!$D$7))</f>
        <v/>
      </c>
      <c r="W102" s="61">
        <f>IF(G102="","",IF(N102="OK","NONE",INDEX({"S1","S2","W1","W2","N1","N2"},MATCH(MIN(Q102:V102),Q102:V102,0))))</f>
        <v/>
      </c>
      <c r="X102" s="69">
        <f>IF(G102="","",IF(W102=E102,1,0))</f>
        <v/>
      </c>
      <c r="Y102" s="70" t="n"/>
    </row>
    <row r="103">
      <c r="A103" s="61" t="n">
        <v>19</v>
      </c>
      <c r="B103" s="62" t="n">
        <v>47</v>
      </c>
      <c r="C103" s="61" t="inlineStr">
        <is>
          <t>R3</t>
        </is>
      </c>
      <c r="D103" s="74" t="inlineStr">
        <is>
          <t>NG</t>
        </is>
      </c>
      <c r="E103" s="61" t="inlineStr">
        <is>
          <t>N2</t>
        </is>
      </c>
      <c r="F103" s="61" t="inlineStr">
        <is>
          <t>K019</t>
        </is>
      </c>
      <c r="G103" s="64" t="n">
        <v>8.6</v>
      </c>
      <c r="H103" s="65" t="n"/>
      <c r="I103" s="66" t="n"/>
      <c r="J103" s="67">
        <f>VLOOKUP(C103,Recipes!$A$2:$N$4,10,FALSE())</f>
        <v/>
      </c>
      <c r="K103" s="68">
        <f>VLOOKUP(C103,Recipes!$A$2:$N$4,12,FALSE())</f>
        <v/>
      </c>
      <c r="L103" s="67">
        <f>J103-3*K103</f>
        <v/>
      </c>
      <c r="M103" s="67">
        <f>J103+3*K103</f>
        <v/>
      </c>
      <c r="N103" s="61">
        <f>IF(G103="","",IF(AND(G103&gt;=L103,G103&lt;=M103),"OK","NG"))</f>
        <v/>
      </c>
      <c r="O103" s="69">
        <f>IF(N103="","",IF(N103=D103,1,0))</f>
        <v/>
      </c>
      <c r="P103" s="67">
        <f>IF(G103="","",J103-G103)</f>
        <v/>
      </c>
      <c r="Q103" s="67">
        <f>IF(G103="","",ABS(P103-Components!$D$2))</f>
        <v/>
      </c>
      <c r="R103" s="67">
        <f>IF(G103="","",ABS(P103-Components!$D$3))</f>
        <v/>
      </c>
      <c r="S103" s="67">
        <f>IF(G103="","",ABS(P103-Components!$D$4))</f>
        <v/>
      </c>
      <c r="T103" s="67">
        <f>IF(G103="","",ABS(P103-Components!$D$5))</f>
        <v/>
      </c>
      <c r="U103" s="67">
        <f>IF(G103="","",ABS(P103-Components!$D$6))</f>
        <v/>
      </c>
      <c r="V103" s="67">
        <f>IF(G103="","",ABS(P103-Components!$D$7))</f>
        <v/>
      </c>
      <c r="W103" s="61">
        <f>IF(G103="","",IF(N103="OK","NONE",INDEX({"S1","S2","W1","W2","N1","N2"},MATCH(MIN(Q103:V103),Q103:V103,0))))</f>
        <v/>
      </c>
      <c r="X103" s="69">
        <f>IF(G103="","",IF(W103=E103,1,0))</f>
        <v/>
      </c>
      <c r="Y103" s="70" t="n"/>
    </row>
    <row r="104">
      <c r="A104" s="61" t="n">
        <v>19</v>
      </c>
      <c r="B104" s="62" t="n">
        <v>47</v>
      </c>
      <c r="C104" s="61" t="inlineStr">
        <is>
          <t>R3</t>
        </is>
      </c>
      <c r="D104" s="74" t="inlineStr">
        <is>
          <t>NG</t>
        </is>
      </c>
      <c r="E104" s="61" t="inlineStr">
        <is>
          <t>N2</t>
        </is>
      </c>
      <c r="F104" s="61" t="inlineStr">
        <is>
          <t>K019</t>
        </is>
      </c>
      <c r="G104" s="64" t="n">
        <v>8.539999999999999</v>
      </c>
      <c r="H104" s="65" t="n"/>
      <c r="I104" s="66" t="n"/>
      <c r="J104" s="67">
        <f>VLOOKUP(C104,Recipes!$A$2:$N$4,10,FALSE())</f>
        <v/>
      </c>
      <c r="K104" s="68">
        <f>VLOOKUP(C104,Recipes!$A$2:$N$4,12,FALSE())</f>
        <v/>
      </c>
      <c r="L104" s="67">
        <f>J104-3*K104</f>
        <v/>
      </c>
      <c r="M104" s="67">
        <f>J104+3*K104</f>
        <v/>
      </c>
      <c r="N104" s="61">
        <f>IF(G104="","",IF(AND(G104&gt;=L104,G104&lt;=M104),"OK","NG"))</f>
        <v/>
      </c>
      <c r="O104" s="69">
        <f>IF(N104="","",IF(N104=D104,1,0))</f>
        <v/>
      </c>
      <c r="P104" s="67">
        <f>IF(G104="","",J104-G104)</f>
        <v/>
      </c>
      <c r="Q104" s="67">
        <f>IF(G104="","",ABS(P104-Components!$D$2))</f>
        <v/>
      </c>
      <c r="R104" s="67">
        <f>IF(G104="","",ABS(P104-Components!$D$3))</f>
        <v/>
      </c>
      <c r="S104" s="67">
        <f>IF(G104="","",ABS(P104-Components!$D$4))</f>
        <v/>
      </c>
      <c r="T104" s="67">
        <f>IF(G104="","",ABS(P104-Components!$D$5))</f>
        <v/>
      </c>
      <c r="U104" s="67">
        <f>IF(G104="","",ABS(P104-Components!$D$6))</f>
        <v/>
      </c>
      <c r="V104" s="67">
        <f>IF(G104="","",ABS(P104-Components!$D$7))</f>
        <v/>
      </c>
      <c r="W104" s="61">
        <f>IF(G104="","",IF(N104="OK","NONE",INDEX({"S1","S2","W1","W2","N1","N2"},MATCH(MIN(Q104:V104),Q104:V104,0))))</f>
        <v/>
      </c>
      <c r="X104" s="69">
        <f>IF(G104="","",IF(W104=E104,1,0))</f>
        <v/>
      </c>
      <c r="Y104" s="70" t="n"/>
    </row>
    <row r="105">
      <c r="A105" s="61" t="n">
        <v>19</v>
      </c>
      <c r="B105" s="62" t="n">
        <v>47</v>
      </c>
      <c r="C105" s="61" t="inlineStr">
        <is>
          <t>R3</t>
        </is>
      </c>
      <c r="D105" s="74" t="inlineStr">
        <is>
          <t>NG</t>
        </is>
      </c>
      <c r="E105" s="61" t="inlineStr">
        <is>
          <t>N2</t>
        </is>
      </c>
      <c r="F105" s="61" t="inlineStr">
        <is>
          <t>K019</t>
        </is>
      </c>
      <c r="G105" s="64" t="n">
        <v>8.640000000000001</v>
      </c>
      <c r="H105" s="65" t="n"/>
      <c r="I105" s="66" t="n"/>
      <c r="J105" s="67">
        <f>VLOOKUP(C105,Recipes!$A$2:$N$4,10,FALSE())</f>
        <v/>
      </c>
      <c r="K105" s="68">
        <f>VLOOKUP(C105,Recipes!$A$2:$N$4,12,FALSE())</f>
        <v/>
      </c>
      <c r="L105" s="67">
        <f>J105-3*K105</f>
        <v/>
      </c>
      <c r="M105" s="67">
        <f>J105+3*K105</f>
        <v/>
      </c>
      <c r="N105" s="61">
        <f>IF(G105="","",IF(AND(G105&gt;=L105,G105&lt;=M105),"OK","NG"))</f>
        <v/>
      </c>
      <c r="O105" s="69">
        <f>IF(N105="","",IF(N105=D105,1,0))</f>
        <v/>
      </c>
      <c r="P105" s="67">
        <f>IF(G105="","",J105-G105)</f>
        <v/>
      </c>
      <c r="Q105" s="67">
        <f>IF(G105="","",ABS(P105-Components!$D$2))</f>
        <v/>
      </c>
      <c r="R105" s="67">
        <f>IF(G105="","",ABS(P105-Components!$D$3))</f>
        <v/>
      </c>
      <c r="S105" s="67">
        <f>IF(G105="","",ABS(P105-Components!$D$4))</f>
        <v/>
      </c>
      <c r="T105" s="67">
        <f>IF(G105="","",ABS(P105-Components!$D$5))</f>
        <v/>
      </c>
      <c r="U105" s="67">
        <f>IF(G105="","",ABS(P105-Components!$D$6))</f>
        <v/>
      </c>
      <c r="V105" s="67">
        <f>IF(G105="","",ABS(P105-Components!$D$7))</f>
        <v/>
      </c>
      <c r="W105" s="61">
        <f>IF(G105="","",IF(N105="OK","NONE",INDEX({"S1","S2","W1","W2","N1","N2"},MATCH(MIN(Q105:V105),Q105:V105,0))))</f>
        <v/>
      </c>
      <c r="X105" s="69">
        <f>IF(G105="","",IF(W105=E105,1,0))</f>
        <v/>
      </c>
      <c r="Y105" s="70" t="n"/>
    </row>
    <row r="106">
      <c r="A106" s="61" t="n">
        <v>19</v>
      </c>
      <c r="B106" s="62" t="n">
        <v>47</v>
      </c>
      <c r="C106" s="61" t="inlineStr">
        <is>
          <t>R3</t>
        </is>
      </c>
      <c r="D106" s="74" t="inlineStr">
        <is>
          <t>NG</t>
        </is>
      </c>
      <c r="E106" s="61" t="inlineStr">
        <is>
          <t>N2</t>
        </is>
      </c>
      <c r="F106" s="61" t="inlineStr">
        <is>
          <t>K019</t>
        </is>
      </c>
      <c r="G106" s="64" t="n">
        <v>8.6</v>
      </c>
      <c r="H106" s="65" t="n"/>
      <c r="I106" s="66" t="n"/>
      <c r="J106" s="67">
        <f>VLOOKUP(C106,Recipes!$A$2:$N$4,10,FALSE())</f>
        <v/>
      </c>
      <c r="K106" s="68">
        <f>VLOOKUP(C106,Recipes!$A$2:$N$4,12,FALSE())</f>
        <v/>
      </c>
      <c r="L106" s="67">
        <f>J106-3*K106</f>
        <v/>
      </c>
      <c r="M106" s="67">
        <f>J106+3*K106</f>
        <v/>
      </c>
      <c r="N106" s="61">
        <f>IF(G106="","",IF(AND(G106&gt;=L106,G106&lt;=M106),"OK","NG"))</f>
        <v/>
      </c>
      <c r="O106" s="69">
        <f>IF(N106="","",IF(N106=D106,1,0))</f>
        <v/>
      </c>
      <c r="P106" s="67">
        <f>IF(G106="","",J106-G106)</f>
        <v/>
      </c>
      <c r="Q106" s="67">
        <f>IF(G106="","",ABS(P106-Components!$D$2))</f>
        <v/>
      </c>
      <c r="R106" s="67">
        <f>IF(G106="","",ABS(P106-Components!$D$3))</f>
        <v/>
      </c>
      <c r="S106" s="67">
        <f>IF(G106="","",ABS(P106-Components!$D$4))</f>
        <v/>
      </c>
      <c r="T106" s="67">
        <f>IF(G106="","",ABS(P106-Components!$D$5))</f>
        <v/>
      </c>
      <c r="U106" s="67">
        <f>IF(G106="","",ABS(P106-Components!$D$6))</f>
        <v/>
      </c>
      <c r="V106" s="67">
        <f>IF(G106="","",ABS(P106-Components!$D$7))</f>
        <v/>
      </c>
      <c r="W106" s="61">
        <f>IF(G106="","",IF(N106="OK","NONE",INDEX({"S1","S2","W1","W2","N1","N2"},MATCH(MIN(Q106:V106),Q106:V106,0))))</f>
        <v/>
      </c>
      <c r="X106" s="69">
        <f>IF(G106="","",IF(W106=E106,1,0))</f>
        <v/>
      </c>
      <c r="Y106" s="70" t="n"/>
    </row>
    <row r="107">
      <c r="A107" s="61" t="n">
        <v>19</v>
      </c>
      <c r="B107" s="62" t="n">
        <v>47</v>
      </c>
      <c r="C107" s="61" t="inlineStr">
        <is>
          <t>R3</t>
        </is>
      </c>
      <c r="D107" s="74" t="inlineStr">
        <is>
          <t>NG</t>
        </is>
      </c>
      <c r="E107" s="61" t="inlineStr">
        <is>
          <t>N2</t>
        </is>
      </c>
      <c r="F107" s="61" t="inlineStr">
        <is>
          <t>K019</t>
        </is>
      </c>
      <c r="G107" s="64" t="n">
        <v>8.59</v>
      </c>
      <c r="H107" s="65" t="n"/>
      <c r="I107" s="66" t="n"/>
      <c r="J107" s="67">
        <f>VLOOKUP(C107,Recipes!$A$2:$N$4,10,FALSE())</f>
        <v/>
      </c>
      <c r="K107" s="68">
        <f>VLOOKUP(C107,Recipes!$A$2:$N$4,12,FALSE())</f>
        <v/>
      </c>
      <c r="L107" s="67">
        <f>J107-3*K107</f>
        <v/>
      </c>
      <c r="M107" s="67">
        <f>J107+3*K107</f>
        <v/>
      </c>
      <c r="N107" s="61">
        <f>IF(G107="","",IF(AND(G107&gt;=L107,G107&lt;=M107),"OK","NG"))</f>
        <v/>
      </c>
      <c r="O107" s="69">
        <f>IF(N107="","",IF(N107=D107,1,0))</f>
        <v/>
      </c>
      <c r="P107" s="67">
        <f>IF(G107="","",J107-G107)</f>
        <v/>
      </c>
      <c r="Q107" s="67">
        <f>IF(G107="","",ABS(P107-Components!$D$2))</f>
        <v/>
      </c>
      <c r="R107" s="67">
        <f>IF(G107="","",ABS(P107-Components!$D$3))</f>
        <v/>
      </c>
      <c r="S107" s="67">
        <f>IF(G107="","",ABS(P107-Components!$D$4))</f>
        <v/>
      </c>
      <c r="T107" s="67">
        <f>IF(G107="","",ABS(P107-Components!$D$5))</f>
        <v/>
      </c>
      <c r="U107" s="67">
        <f>IF(G107="","",ABS(P107-Components!$D$6))</f>
        <v/>
      </c>
      <c r="V107" s="67">
        <f>IF(G107="","",ABS(P107-Components!$D$7))</f>
        <v/>
      </c>
      <c r="W107" s="61">
        <f>IF(G107="","",IF(N107="OK","NONE",INDEX({"S1","S2","W1","W2","N1","N2"},MATCH(MIN(Q107:V107),Q107:V107,0))))</f>
        <v/>
      </c>
      <c r="X107" s="69">
        <f>IF(G107="","",IF(W107=E107,1,0))</f>
        <v/>
      </c>
      <c r="Y107" s="70" t="n"/>
    </row>
    <row r="108">
      <c r="A108" s="61" t="n">
        <v>19</v>
      </c>
      <c r="B108" s="62" t="n">
        <v>47</v>
      </c>
      <c r="C108" s="61" t="inlineStr">
        <is>
          <t>R3</t>
        </is>
      </c>
      <c r="D108" s="74" t="inlineStr">
        <is>
          <t>NG</t>
        </is>
      </c>
      <c r="E108" s="61" t="inlineStr">
        <is>
          <t>N2</t>
        </is>
      </c>
      <c r="F108" s="61" t="inlineStr">
        <is>
          <t>K019</t>
        </is>
      </c>
      <c r="G108" s="64" t="n">
        <v>8.57</v>
      </c>
      <c r="H108" s="65" t="n"/>
      <c r="I108" s="66" t="n"/>
      <c r="J108" s="67">
        <f>VLOOKUP(C108,Recipes!$A$2:$N$4,10,FALSE())</f>
        <v/>
      </c>
      <c r="K108" s="68">
        <f>VLOOKUP(C108,Recipes!$A$2:$N$4,12,FALSE())</f>
        <v/>
      </c>
      <c r="L108" s="67">
        <f>J108-3*K108</f>
        <v/>
      </c>
      <c r="M108" s="67">
        <f>J108+3*K108</f>
        <v/>
      </c>
      <c r="N108" s="61">
        <f>IF(G108="","",IF(AND(G108&gt;=L108,G108&lt;=M108),"OK","NG"))</f>
        <v/>
      </c>
      <c r="O108" s="69">
        <f>IF(N108="","",IF(N108=D108,1,0))</f>
        <v/>
      </c>
      <c r="P108" s="67">
        <f>IF(G108="","",J108-G108)</f>
        <v/>
      </c>
      <c r="Q108" s="67">
        <f>IF(G108="","",ABS(P108-Components!$D$2))</f>
        <v/>
      </c>
      <c r="R108" s="67">
        <f>IF(G108="","",ABS(P108-Components!$D$3))</f>
        <v/>
      </c>
      <c r="S108" s="67">
        <f>IF(G108="","",ABS(P108-Components!$D$4))</f>
        <v/>
      </c>
      <c r="T108" s="67">
        <f>IF(G108="","",ABS(P108-Components!$D$5))</f>
        <v/>
      </c>
      <c r="U108" s="67">
        <f>IF(G108="","",ABS(P108-Components!$D$6))</f>
        <v/>
      </c>
      <c r="V108" s="67">
        <f>IF(G108="","",ABS(P108-Components!$D$7))</f>
        <v/>
      </c>
      <c r="W108" s="61">
        <f>IF(G108="","",IF(N108="OK","NONE",INDEX({"S1","S2","W1","W2","N1","N2"},MATCH(MIN(Q108:V108),Q108:V108,0))))</f>
        <v/>
      </c>
      <c r="X108" s="69">
        <f>IF(G108="","",IF(W108=E108,1,0))</f>
        <v/>
      </c>
      <c r="Y108" s="70" t="n"/>
    </row>
    <row r="109">
      <c r="A109" s="61" t="n">
        <v>19</v>
      </c>
      <c r="B109" s="62" t="n">
        <v>47</v>
      </c>
      <c r="C109" s="61" t="inlineStr">
        <is>
          <t>R3</t>
        </is>
      </c>
      <c r="D109" s="74" t="inlineStr">
        <is>
          <t>NG</t>
        </is>
      </c>
      <c r="E109" s="61" t="inlineStr">
        <is>
          <t>N2</t>
        </is>
      </c>
      <c r="F109" s="61" t="inlineStr">
        <is>
          <t>K019</t>
        </is>
      </c>
      <c r="G109" s="64" t="n">
        <v>8.609999999999999</v>
      </c>
      <c r="H109" s="65" t="n"/>
      <c r="I109" s="66" t="n"/>
      <c r="J109" s="67">
        <f>VLOOKUP(C109,Recipes!$A$2:$N$4,10,FALSE())</f>
        <v/>
      </c>
      <c r="K109" s="68">
        <f>VLOOKUP(C109,Recipes!$A$2:$N$4,12,FALSE())</f>
        <v/>
      </c>
      <c r="L109" s="67">
        <f>J109-3*K109</f>
        <v/>
      </c>
      <c r="M109" s="67">
        <f>J109+3*K109</f>
        <v/>
      </c>
      <c r="N109" s="61">
        <f>IF(G109="","",IF(AND(G109&gt;=L109,G109&lt;=M109),"OK","NG"))</f>
        <v/>
      </c>
      <c r="O109" s="69">
        <f>IF(N109="","",IF(N109=D109,1,0))</f>
        <v/>
      </c>
      <c r="P109" s="67">
        <f>IF(G109="","",J109-G109)</f>
        <v/>
      </c>
      <c r="Q109" s="67">
        <f>IF(G109="","",ABS(P109-Components!$D$2))</f>
        <v/>
      </c>
      <c r="R109" s="67">
        <f>IF(G109="","",ABS(P109-Components!$D$3))</f>
        <v/>
      </c>
      <c r="S109" s="67">
        <f>IF(G109="","",ABS(P109-Components!$D$4))</f>
        <v/>
      </c>
      <c r="T109" s="67">
        <f>IF(G109="","",ABS(P109-Components!$D$5))</f>
        <v/>
      </c>
      <c r="U109" s="67">
        <f>IF(G109="","",ABS(P109-Components!$D$6))</f>
        <v/>
      </c>
      <c r="V109" s="67">
        <f>IF(G109="","",ABS(P109-Components!$D$7))</f>
        <v/>
      </c>
      <c r="W109" s="61">
        <f>IF(G109="","",IF(N109="OK","NONE",INDEX({"S1","S2","W1","W2","N1","N2"},MATCH(MIN(Q109:V109),Q109:V109,0))))</f>
        <v/>
      </c>
      <c r="X109" s="69">
        <f>IF(G109="","",IF(W109=E109,1,0))</f>
        <v/>
      </c>
      <c r="Y109" s="70" t="n"/>
    </row>
    <row r="110">
      <c r="A110" s="61" t="n">
        <v>19</v>
      </c>
      <c r="B110" s="62" t="n">
        <v>47</v>
      </c>
      <c r="C110" s="61" t="inlineStr">
        <is>
          <t>R3</t>
        </is>
      </c>
      <c r="D110" s="74" t="inlineStr">
        <is>
          <t>NG</t>
        </is>
      </c>
      <c r="E110" s="61" t="inlineStr">
        <is>
          <t>N2</t>
        </is>
      </c>
      <c r="F110" s="61" t="inlineStr">
        <is>
          <t>K019</t>
        </is>
      </c>
      <c r="G110" s="64" t="n">
        <v>8.59</v>
      </c>
      <c r="H110" s="65" t="n"/>
      <c r="I110" s="66" t="n"/>
      <c r="J110" s="67">
        <f>VLOOKUP(C110,Recipes!$A$2:$N$4,10,FALSE())</f>
        <v/>
      </c>
      <c r="K110" s="68">
        <f>VLOOKUP(C110,Recipes!$A$2:$N$4,12,FALSE())</f>
        <v/>
      </c>
      <c r="L110" s="67">
        <f>J110-3*K110</f>
        <v/>
      </c>
      <c r="M110" s="67">
        <f>J110+3*K110</f>
        <v/>
      </c>
      <c r="N110" s="61">
        <f>IF(G110="","",IF(AND(G110&gt;=L110,G110&lt;=M110),"OK","NG"))</f>
        <v/>
      </c>
      <c r="O110" s="69">
        <f>IF(N110="","",IF(N110=D110,1,0))</f>
        <v/>
      </c>
      <c r="P110" s="67">
        <f>IF(G110="","",J110-G110)</f>
        <v/>
      </c>
      <c r="Q110" s="67">
        <f>IF(G110="","",ABS(P110-Components!$D$2))</f>
        <v/>
      </c>
      <c r="R110" s="67">
        <f>IF(G110="","",ABS(P110-Components!$D$3))</f>
        <v/>
      </c>
      <c r="S110" s="67">
        <f>IF(G110="","",ABS(P110-Components!$D$4))</f>
        <v/>
      </c>
      <c r="T110" s="67">
        <f>IF(G110="","",ABS(P110-Components!$D$5))</f>
        <v/>
      </c>
      <c r="U110" s="67">
        <f>IF(G110="","",ABS(P110-Components!$D$6))</f>
        <v/>
      </c>
      <c r="V110" s="67">
        <f>IF(G110="","",ABS(P110-Components!$D$7))</f>
        <v/>
      </c>
      <c r="W110" s="61">
        <f>IF(G110="","",IF(N110="OK","NONE",INDEX({"S1","S2","W1","W2","N1","N2"},MATCH(MIN(Q110:V110),Q110:V110,0))))</f>
        <v/>
      </c>
      <c r="X110" s="69">
        <f>IF(G110="","",IF(W110=E110,1,0))</f>
        <v/>
      </c>
      <c r="Y110" s="70" t="n"/>
    </row>
    <row r="111">
      <c r="A111" s="61" t="n">
        <v>19</v>
      </c>
      <c r="B111" s="62" t="n">
        <v>47</v>
      </c>
      <c r="C111" s="61" t="inlineStr">
        <is>
          <t>R3</t>
        </is>
      </c>
      <c r="D111" s="74" t="inlineStr">
        <is>
          <t>NG</t>
        </is>
      </c>
      <c r="E111" s="61" t="inlineStr">
        <is>
          <t>N2</t>
        </is>
      </c>
      <c r="F111" s="61" t="inlineStr">
        <is>
          <t>K019</t>
        </is>
      </c>
      <c r="G111" s="64" t="n">
        <v>8.5</v>
      </c>
      <c r="H111" s="65" t="n"/>
      <c r="I111" s="66" t="n"/>
      <c r="J111" s="67">
        <f>VLOOKUP(C111,Recipes!$A$2:$N$4,10,FALSE())</f>
        <v/>
      </c>
      <c r="K111" s="68">
        <f>VLOOKUP(C111,Recipes!$A$2:$N$4,12,FALSE())</f>
        <v/>
      </c>
      <c r="L111" s="67">
        <f>J111-3*K111</f>
        <v/>
      </c>
      <c r="M111" s="67">
        <f>J111+3*K111</f>
        <v/>
      </c>
      <c r="N111" s="61">
        <f>IF(G111="","",IF(AND(G111&gt;=L111,G111&lt;=M111),"OK","NG"))</f>
        <v/>
      </c>
      <c r="O111" s="69">
        <f>IF(N111="","",IF(N111=D111,1,0))</f>
        <v/>
      </c>
      <c r="P111" s="67">
        <f>IF(G111="","",J111-G111)</f>
        <v/>
      </c>
      <c r="Q111" s="67">
        <f>IF(G111="","",ABS(P111-Components!$D$2))</f>
        <v/>
      </c>
      <c r="R111" s="67">
        <f>IF(G111="","",ABS(P111-Components!$D$3))</f>
        <v/>
      </c>
      <c r="S111" s="67">
        <f>IF(G111="","",ABS(P111-Components!$D$4))</f>
        <v/>
      </c>
      <c r="T111" s="67">
        <f>IF(G111="","",ABS(P111-Components!$D$5))</f>
        <v/>
      </c>
      <c r="U111" s="67">
        <f>IF(G111="","",ABS(P111-Components!$D$6))</f>
        <v/>
      </c>
      <c r="V111" s="67">
        <f>IF(G111="","",ABS(P111-Components!$D$7))</f>
        <v/>
      </c>
      <c r="W111" s="61">
        <f>IF(G111="","",IF(N111="OK","NONE",INDEX({"S1","S2","W1","W2","N1","N2"},MATCH(MIN(Q111:V111),Q111:V111,0))))</f>
        <v/>
      </c>
      <c r="X111" s="69">
        <f>IF(G111="","",IF(W111=E111,1,0))</f>
        <v/>
      </c>
      <c r="Y111" s="70" t="n"/>
    </row>
    <row r="112">
      <c r="A112" s="61" t="n">
        <v>19</v>
      </c>
      <c r="B112" s="62" t="n">
        <v>47</v>
      </c>
      <c r="C112" s="61" t="inlineStr">
        <is>
          <t>R3</t>
        </is>
      </c>
      <c r="D112" s="74" t="inlineStr">
        <is>
          <t>NG</t>
        </is>
      </c>
      <c r="E112" s="61" t="inlineStr">
        <is>
          <t>N2</t>
        </is>
      </c>
      <c r="F112" s="61" t="inlineStr">
        <is>
          <t>K019</t>
        </is>
      </c>
      <c r="G112" s="64" t="n">
        <v>8.619999999999999</v>
      </c>
      <c r="H112" s="65" t="n"/>
      <c r="I112" s="66" t="n"/>
      <c r="J112" s="67">
        <f>VLOOKUP(C112,Recipes!$A$2:$N$4,10,FALSE())</f>
        <v/>
      </c>
      <c r="K112" s="68">
        <f>VLOOKUP(C112,Recipes!$A$2:$N$4,12,FALSE())</f>
        <v/>
      </c>
      <c r="L112" s="67">
        <f>J112-3*K112</f>
        <v/>
      </c>
      <c r="M112" s="67">
        <f>J112+3*K112</f>
        <v/>
      </c>
      <c r="N112" s="61">
        <f>IF(G112="","",IF(AND(G112&gt;=L112,G112&lt;=M112),"OK","NG"))</f>
        <v/>
      </c>
      <c r="O112" s="69">
        <f>IF(N112="","",IF(N112=D112,1,0))</f>
        <v/>
      </c>
      <c r="P112" s="67">
        <f>IF(G112="","",J112-G112)</f>
        <v/>
      </c>
      <c r="Q112" s="67">
        <f>IF(G112="","",ABS(P112-Components!$D$2))</f>
        <v/>
      </c>
      <c r="R112" s="67">
        <f>IF(G112="","",ABS(P112-Components!$D$3))</f>
        <v/>
      </c>
      <c r="S112" s="67">
        <f>IF(G112="","",ABS(P112-Components!$D$4))</f>
        <v/>
      </c>
      <c r="T112" s="67">
        <f>IF(G112="","",ABS(P112-Components!$D$5))</f>
        <v/>
      </c>
      <c r="U112" s="67">
        <f>IF(G112="","",ABS(P112-Components!$D$6))</f>
        <v/>
      </c>
      <c r="V112" s="67">
        <f>IF(G112="","",ABS(P112-Components!$D$7))</f>
        <v/>
      </c>
      <c r="W112" s="61">
        <f>IF(G112="","",IF(N112="OK","NONE",INDEX({"S1","S2","W1","W2","N1","N2"},MATCH(MIN(Q112:V112),Q112:V112,0))))</f>
        <v/>
      </c>
      <c r="X112" s="69">
        <f>IF(G112="","",IF(W112=E112,1,0))</f>
        <v/>
      </c>
      <c r="Y112" s="70" t="n"/>
    </row>
    <row r="113">
      <c r="A113" s="61" t="n">
        <v>19</v>
      </c>
      <c r="B113" s="62" t="n">
        <v>47</v>
      </c>
      <c r="C113" s="61" t="inlineStr">
        <is>
          <t>R3</t>
        </is>
      </c>
      <c r="D113" s="74" t="inlineStr">
        <is>
          <t>NG</t>
        </is>
      </c>
      <c r="E113" s="61" t="inlineStr">
        <is>
          <t>N2</t>
        </is>
      </c>
      <c r="F113" s="61" t="inlineStr">
        <is>
          <t>K019</t>
        </is>
      </c>
      <c r="G113" s="64" t="n">
        <v>8.609999999999999</v>
      </c>
      <c r="H113" s="65" t="n"/>
      <c r="I113" s="66" t="n"/>
      <c r="J113" s="67">
        <f>VLOOKUP(C113,Recipes!$A$2:$N$4,10,FALSE())</f>
        <v/>
      </c>
      <c r="K113" s="68">
        <f>VLOOKUP(C113,Recipes!$A$2:$N$4,12,FALSE())</f>
        <v/>
      </c>
      <c r="L113" s="67">
        <f>J113-3*K113</f>
        <v/>
      </c>
      <c r="M113" s="67">
        <f>J113+3*K113</f>
        <v/>
      </c>
      <c r="N113" s="61">
        <f>IF(G113="","",IF(AND(G113&gt;=L113,G113&lt;=M113),"OK","NG"))</f>
        <v/>
      </c>
      <c r="O113" s="69">
        <f>IF(N113="","",IF(N113=D113,1,0))</f>
        <v/>
      </c>
      <c r="P113" s="67">
        <f>IF(G113="","",J113-G113)</f>
        <v/>
      </c>
      <c r="Q113" s="67">
        <f>IF(G113="","",ABS(P113-Components!$D$2))</f>
        <v/>
      </c>
      <c r="R113" s="67">
        <f>IF(G113="","",ABS(P113-Components!$D$3))</f>
        <v/>
      </c>
      <c r="S113" s="67">
        <f>IF(G113="","",ABS(P113-Components!$D$4))</f>
        <v/>
      </c>
      <c r="T113" s="67">
        <f>IF(G113="","",ABS(P113-Components!$D$5))</f>
        <v/>
      </c>
      <c r="U113" s="67">
        <f>IF(G113="","",ABS(P113-Components!$D$6))</f>
        <v/>
      </c>
      <c r="V113" s="67">
        <f>IF(G113="","",ABS(P113-Components!$D$7))</f>
        <v/>
      </c>
      <c r="W113" s="61">
        <f>IF(G113="","",IF(N113="OK","NONE",INDEX({"S1","S2","W1","W2","N1","N2"},MATCH(MIN(Q113:V113),Q113:V113,0))))</f>
        <v/>
      </c>
      <c r="X113" s="69">
        <f>IF(G113="","",IF(W113=E113,1,0))</f>
        <v/>
      </c>
      <c r="Y113" s="70" t="n"/>
    </row>
    <row r="114">
      <c r="A114" s="61" t="n">
        <v>19</v>
      </c>
      <c r="B114" s="62" t="n">
        <v>47</v>
      </c>
      <c r="C114" s="61" t="inlineStr">
        <is>
          <t>R3</t>
        </is>
      </c>
      <c r="D114" s="74" t="inlineStr">
        <is>
          <t>NG</t>
        </is>
      </c>
      <c r="E114" s="61" t="inlineStr">
        <is>
          <t>N2</t>
        </is>
      </c>
      <c r="F114" s="61" t="inlineStr">
        <is>
          <t>K019</t>
        </is>
      </c>
      <c r="G114" s="64" t="n">
        <v>8.58</v>
      </c>
      <c r="H114" s="65" t="n"/>
      <c r="I114" s="66" t="n"/>
      <c r="J114" s="67">
        <f>VLOOKUP(C114,Recipes!$A$2:$N$4,10,FALSE())</f>
        <v/>
      </c>
      <c r="K114" s="68">
        <f>VLOOKUP(C114,Recipes!$A$2:$N$4,12,FALSE())</f>
        <v/>
      </c>
      <c r="L114" s="67">
        <f>J114-3*K114</f>
        <v/>
      </c>
      <c r="M114" s="67">
        <f>J114+3*K114</f>
        <v/>
      </c>
      <c r="N114" s="61">
        <f>IF(G114="","",IF(AND(G114&gt;=L114,G114&lt;=M114),"OK","NG"))</f>
        <v/>
      </c>
      <c r="O114" s="69">
        <f>IF(N114="","",IF(N114=D114,1,0))</f>
        <v/>
      </c>
      <c r="P114" s="67">
        <f>IF(G114="","",J114-G114)</f>
        <v/>
      </c>
      <c r="Q114" s="67">
        <f>IF(G114="","",ABS(P114-Components!$D$2))</f>
        <v/>
      </c>
      <c r="R114" s="67">
        <f>IF(G114="","",ABS(P114-Components!$D$3))</f>
        <v/>
      </c>
      <c r="S114" s="67">
        <f>IF(G114="","",ABS(P114-Components!$D$4))</f>
        <v/>
      </c>
      <c r="T114" s="67">
        <f>IF(G114="","",ABS(P114-Components!$D$5))</f>
        <v/>
      </c>
      <c r="U114" s="67">
        <f>IF(G114="","",ABS(P114-Components!$D$6))</f>
        <v/>
      </c>
      <c r="V114" s="67">
        <f>IF(G114="","",ABS(P114-Components!$D$7))</f>
        <v/>
      </c>
      <c r="W114" s="61">
        <f>IF(G114="","",IF(N114="OK","NONE",INDEX({"S1","S2","W1","W2","N1","N2"},MATCH(MIN(Q114:V114),Q114:V114,0))))</f>
        <v/>
      </c>
      <c r="X114" s="69">
        <f>IF(G114="","",IF(W114=E114,1,0))</f>
        <v/>
      </c>
      <c r="Y114" s="70" t="n"/>
    </row>
    <row r="115">
      <c r="A115" s="61" t="n">
        <v>19</v>
      </c>
      <c r="B115" s="62" t="n">
        <v>47</v>
      </c>
      <c r="C115" s="61" t="inlineStr">
        <is>
          <t>R3</t>
        </is>
      </c>
      <c r="D115" s="74" t="inlineStr">
        <is>
          <t>NG</t>
        </is>
      </c>
      <c r="E115" s="61" t="inlineStr">
        <is>
          <t>N2</t>
        </is>
      </c>
      <c r="F115" s="61" t="inlineStr">
        <is>
          <t>K019</t>
        </is>
      </c>
      <c r="G115" s="64" t="n">
        <v>8.59</v>
      </c>
      <c r="H115" s="65" t="n"/>
      <c r="I115" s="66" t="n"/>
      <c r="J115" s="67">
        <f>VLOOKUP(C115,Recipes!$A$2:$N$4,10,FALSE())</f>
        <v/>
      </c>
      <c r="K115" s="68">
        <f>VLOOKUP(C115,Recipes!$A$2:$N$4,12,FALSE())</f>
        <v/>
      </c>
      <c r="L115" s="67">
        <f>J115-3*K115</f>
        <v/>
      </c>
      <c r="M115" s="67">
        <f>J115+3*K115</f>
        <v/>
      </c>
      <c r="N115" s="61">
        <f>IF(G115="","",IF(AND(G115&gt;=L115,G115&lt;=M115),"OK","NG"))</f>
        <v/>
      </c>
      <c r="O115" s="69">
        <f>IF(N115="","",IF(N115=D115,1,0))</f>
        <v/>
      </c>
      <c r="P115" s="67">
        <f>IF(G115="","",J115-G115)</f>
        <v/>
      </c>
      <c r="Q115" s="67">
        <f>IF(G115="","",ABS(P115-Components!$D$2))</f>
        <v/>
      </c>
      <c r="R115" s="67">
        <f>IF(G115="","",ABS(P115-Components!$D$3))</f>
        <v/>
      </c>
      <c r="S115" s="67">
        <f>IF(G115="","",ABS(P115-Components!$D$4))</f>
        <v/>
      </c>
      <c r="T115" s="67">
        <f>IF(G115="","",ABS(P115-Components!$D$5))</f>
        <v/>
      </c>
      <c r="U115" s="67">
        <f>IF(G115="","",ABS(P115-Components!$D$6))</f>
        <v/>
      </c>
      <c r="V115" s="67">
        <f>IF(G115="","",ABS(P115-Components!$D$7))</f>
        <v/>
      </c>
      <c r="W115" s="61">
        <f>IF(G115="","",IF(N115="OK","NONE",INDEX({"S1","S2","W1","W2","N1","N2"},MATCH(MIN(Q115:V115),Q115:V115,0))))</f>
        <v/>
      </c>
      <c r="X115" s="69">
        <f>IF(G115="","",IF(W115=E115,1,0))</f>
        <v/>
      </c>
      <c r="Y115" s="70" t="n"/>
    </row>
    <row r="116">
      <c r="A116" s="61" t="n">
        <v>19</v>
      </c>
      <c r="B116" s="62" t="n">
        <v>47</v>
      </c>
      <c r="C116" s="61" t="inlineStr">
        <is>
          <t>R3</t>
        </is>
      </c>
      <c r="D116" s="74" t="inlineStr">
        <is>
          <t>NG</t>
        </is>
      </c>
      <c r="E116" s="61" t="inlineStr">
        <is>
          <t>N2</t>
        </is>
      </c>
      <c r="F116" s="61" t="inlineStr">
        <is>
          <t>K019</t>
        </is>
      </c>
      <c r="G116" s="64" t="n">
        <v>8.630000000000001</v>
      </c>
      <c r="H116" s="65" t="n"/>
      <c r="I116" s="66" t="n"/>
      <c r="J116" s="67">
        <f>VLOOKUP(C116,Recipes!$A$2:$N$4,10,FALSE())</f>
        <v/>
      </c>
      <c r="K116" s="68">
        <f>VLOOKUP(C116,Recipes!$A$2:$N$4,12,FALSE())</f>
        <v/>
      </c>
      <c r="L116" s="67">
        <f>J116-3*K116</f>
        <v/>
      </c>
      <c r="M116" s="67">
        <f>J116+3*K116</f>
        <v/>
      </c>
      <c r="N116" s="61">
        <f>IF(G116="","",IF(AND(G116&gt;=L116,G116&lt;=M116),"OK","NG"))</f>
        <v/>
      </c>
      <c r="O116" s="69">
        <f>IF(N116="","",IF(N116=D116,1,0))</f>
        <v/>
      </c>
      <c r="P116" s="67">
        <f>IF(G116="","",J116-G116)</f>
        <v/>
      </c>
      <c r="Q116" s="67">
        <f>IF(G116="","",ABS(P116-Components!$D$2))</f>
        <v/>
      </c>
      <c r="R116" s="67">
        <f>IF(G116="","",ABS(P116-Components!$D$3))</f>
        <v/>
      </c>
      <c r="S116" s="67">
        <f>IF(G116="","",ABS(P116-Components!$D$4))</f>
        <v/>
      </c>
      <c r="T116" s="67">
        <f>IF(G116="","",ABS(P116-Components!$D$5))</f>
        <v/>
      </c>
      <c r="U116" s="67">
        <f>IF(G116="","",ABS(P116-Components!$D$6))</f>
        <v/>
      </c>
      <c r="V116" s="67">
        <f>IF(G116="","",ABS(P116-Components!$D$7))</f>
        <v/>
      </c>
      <c r="W116" s="61">
        <f>IF(G116="","",IF(N116="OK","NONE",INDEX({"S1","S2","W1","W2","N1","N2"},MATCH(MIN(Q116:V116),Q116:V116,0))))</f>
        <v/>
      </c>
      <c r="X116" s="69">
        <f>IF(G116="","",IF(W116=E116,1,0))</f>
        <v/>
      </c>
      <c r="Y116" s="70" t="n"/>
    </row>
    <row r="117">
      <c r="A117" s="61" t="n">
        <v>19</v>
      </c>
      <c r="B117" s="62" t="n">
        <v>47</v>
      </c>
      <c r="C117" s="61" t="inlineStr">
        <is>
          <t>R3</t>
        </is>
      </c>
      <c r="D117" s="74" t="inlineStr">
        <is>
          <t>NG</t>
        </is>
      </c>
      <c r="E117" s="61" t="inlineStr">
        <is>
          <t>N2</t>
        </is>
      </c>
      <c r="F117" s="61" t="inlineStr">
        <is>
          <t>K019</t>
        </is>
      </c>
      <c r="G117" s="64" t="n">
        <v>8.630000000000001</v>
      </c>
      <c r="H117" s="65" t="n"/>
      <c r="I117" s="66" t="n"/>
      <c r="J117" s="67">
        <f>VLOOKUP(C117,Recipes!$A$2:$N$4,10,FALSE())</f>
        <v/>
      </c>
      <c r="K117" s="68">
        <f>VLOOKUP(C117,Recipes!$A$2:$N$4,12,FALSE())</f>
        <v/>
      </c>
      <c r="L117" s="67">
        <f>J117-3*K117</f>
        <v/>
      </c>
      <c r="M117" s="67">
        <f>J117+3*K117</f>
        <v/>
      </c>
      <c r="N117" s="61">
        <f>IF(G117="","",IF(AND(G117&gt;=L117,G117&lt;=M117),"OK","NG"))</f>
        <v/>
      </c>
      <c r="O117" s="69">
        <f>IF(N117="","",IF(N117=D117,1,0))</f>
        <v/>
      </c>
      <c r="P117" s="67">
        <f>IF(G117="","",J117-G117)</f>
        <v/>
      </c>
      <c r="Q117" s="67">
        <f>IF(G117="","",ABS(P117-Components!$D$2))</f>
        <v/>
      </c>
      <c r="R117" s="67">
        <f>IF(G117="","",ABS(P117-Components!$D$3))</f>
        <v/>
      </c>
      <c r="S117" s="67">
        <f>IF(G117="","",ABS(P117-Components!$D$4))</f>
        <v/>
      </c>
      <c r="T117" s="67">
        <f>IF(G117="","",ABS(P117-Components!$D$5))</f>
        <v/>
      </c>
      <c r="U117" s="67">
        <f>IF(G117="","",ABS(P117-Components!$D$6))</f>
        <v/>
      </c>
      <c r="V117" s="67">
        <f>IF(G117="","",ABS(P117-Components!$D$7))</f>
        <v/>
      </c>
      <c r="W117" s="61">
        <f>IF(G117="","",IF(N117="OK","NONE",INDEX({"S1","S2","W1","W2","N1","N2"},MATCH(MIN(Q117:V117),Q117:V117,0))))</f>
        <v/>
      </c>
      <c r="X117" s="69">
        <f>IF(G117="","",IF(W117=E117,1,0))</f>
        <v/>
      </c>
      <c r="Y117" s="70" t="n"/>
    </row>
    <row r="118">
      <c r="A118" s="61" t="n">
        <v>19</v>
      </c>
      <c r="B118" s="62" t="n">
        <v>47</v>
      </c>
      <c r="C118" s="61" t="inlineStr">
        <is>
          <t>R3</t>
        </is>
      </c>
      <c r="D118" s="74" t="inlineStr">
        <is>
          <t>NG</t>
        </is>
      </c>
      <c r="E118" s="61" t="inlineStr">
        <is>
          <t>N2</t>
        </is>
      </c>
      <c r="F118" s="61" t="inlineStr">
        <is>
          <t>K019</t>
        </is>
      </c>
      <c r="G118" s="64" t="n">
        <v>8.59</v>
      </c>
      <c r="H118" s="65" t="n"/>
      <c r="I118" s="66" t="n"/>
      <c r="J118" s="67">
        <f>VLOOKUP(C118,Recipes!$A$2:$N$4,10,FALSE())</f>
        <v/>
      </c>
      <c r="K118" s="68">
        <f>VLOOKUP(C118,Recipes!$A$2:$N$4,12,FALSE())</f>
        <v/>
      </c>
      <c r="L118" s="67">
        <f>J118-3*K118</f>
        <v/>
      </c>
      <c r="M118" s="67">
        <f>J118+3*K118</f>
        <v/>
      </c>
      <c r="N118" s="61">
        <f>IF(G118="","",IF(AND(G118&gt;=L118,G118&lt;=M118),"OK","NG"))</f>
        <v/>
      </c>
      <c r="O118" s="69">
        <f>IF(N118="","",IF(N118=D118,1,0))</f>
        <v/>
      </c>
      <c r="P118" s="67">
        <f>IF(G118="","",J118-G118)</f>
        <v/>
      </c>
      <c r="Q118" s="67">
        <f>IF(G118="","",ABS(P118-Components!$D$2))</f>
        <v/>
      </c>
      <c r="R118" s="67">
        <f>IF(G118="","",ABS(P118-Components!$D$3))</f>
        <v/>
      </c>
      <c r="S118" s="67">
        <f>IF(G118="","",ABS(P118-Components!$D$4))</f>
        <v/>
      </c>
      <c r="T118" s="67">
        <f>IF(G118="","",ABS(P118-Components!$D$5))</f>
        <v/>
      </c>
      <c r="U118" s="67">
        <f>IF(G118="","",ABS(P118-Components!$D$6))</f>
        <v/>
      </c>
      <c r="V118" s="67">
        <f>IF(G118="","",ABS(P118-Components!$D$7))</f>
        <v/>
      </c>
      <c r="W118" s="61">
        <f>IF(G118="","",IF(N118="OK","NONE",INDEX({"S1","S2","W1","W2","N1","N2"},MATCH(MIN(Q118:V118),Q118:V118,0))))</f>
        <v/>
      </c>
      <c r="X118" s="69">
        <f>IF(G118="","",IF(W118=E118,1,0))</f>
        <v/>
      </c>
      <c r="Y118" s="70" t="n"/>
    </row>
    <row r="119">
      <c r="A119" s="61" t="n">
        <v>19</v>
      </c>
      <c r="B119" s="62" t="n">
        <v>47</v>
      </c>
      <c r="C119" s="61" t="inlineStr">
        <is>
          <t>R3</t>
        </is>
      </c>
      <c r="D119" s="74" t="inlineStr">
        <is>
          <t>NG</t>
        </is>
      </c>
      <c r="E119" s="61" t="inlineStr">
        <is>
          <t>N2</t>
        </is>
      </c>
      <c r="F119" s="61" t="inlineStr">
        <is>
          <t>K019</t>
        </is>
      </c>
      <c r="G119" s="64" t="n">
        <v>8.56</v>
      </c>
      <c r="H119" s="65" t="n"/>
      <c r="I119" s="66" t="n"/>
      <c r="J119" s="67">
        <f>VLOOKUP(C119,Recipes!$A$2:$N$4,10,FALSE())</f>
        <v/>
      </c>
      <c r="K119" s="68">
        <f>VLOOKUP(C119,Recipes!$A$2:$N$4,12,FALSE())</f>
        <v/>
      </c>
      <c r="L119" s="67">
        <f>J119-3*K119</f>
        <v/>
      </c>
      <c r="M119" s="67">
        <f>J119+3*K119</f>
        <v/>
      </c>
      <c r="N119" s="61">
        <f>IF(G119="","",IF(AND(G119&gt;=L119,G119&lt;=M119),"OK","NG"))</f>
        <v/>
      </c>
      <c r="O119" s="69">
        <f>IF(N119="","",IF(N119=D119,1,0))</f>
        <v/>
      </c>
      <c r="P119" s="67">
        <f>IF(G119="","",J119-G119)</f>
        <v/>
      </c>
      <c r="Q119" s="67">
        <f>IF(G119="","",ABS(P119-Components!$D$2))</f>
        <v/>
      </c>
      <c r="R119" s="67">
        <f>IF(G119="","",ABS(P119-Components!$D$3))</f>
        <v/>
      </c>
      <c r="S119" s="67">
        <f>IF(G119="","",ABS(P119-Components!$D$4))</f>
        <v/>
      </c>
      <c r="T119" s="67">
        <f>IF(G119="","",ABS(P119-Components!$D$5))</f>
        <v/>
      </c>
      <c r="U119" s="67">
        <f>IF(G119="","",ABS(P119-Components!$D$6))</f>
        <v/>
      </c>
      <c r="V119" s="67">
        <f>IF(G119="","",ABS(P119-Components!$D$7))</f>
        <v/>
      </c>
      <c r="W119" s="61">
        <f>IF(G119="","",IF(N119="OK","NONE",INDEX({"S1","S2","W1","W2","N1","N2"},MATCH(MIN(Q119:V119),Q119:V119,0))))</f>
        <v/>
      </c>
      <c r="X119" s="69">
        <f>IF(G119="","",IF(W119=E119,1,0))</f>
        <v/>
      </c>
      <c r="Y119" s="70" t="n"/>
    </row>
    <row r="120">
      <c r="A120" s="61" t="n">
        <v>19</v>
      </c>
      <c r="B120" s="62" t="n">
        <v>47</v>
      </c>
      <c r="C120" s="61" t="inlineStr">
        <is>
          <t>R3</t>
        </is>
      </c>
      <c r="D120" s="74" t="inlineStr">
        <is>
          <t>NG</t>
        </is>
      </c>
      <c r="E120" s="61" t="inlineStr">
        <is>
          <t>N2</t>
        </is>
      </c>
      <c r="F120" s="61" t="inlineStr">
        <is>
          <t>K019</t>
        </is>
      </c>
      <c r="G120" s="64" t="n">
        <v>8.58</v>
      </c>
      <c r="H120" s="65" t="n"/>
      <c r="I120" s="66" t="n"/>
      <c r="J120" s="67">
        <f>VLOOKUP(C120,Recipes!$A$2:$N$4,10,FALSE())</f>
        <v/>
      </c>
      <c r="K120" s="68">
        <f>VLOOKUP(C120,Recipes!$A$2:$N$4,12,FALSE())</f>
        <v/>
      </c>
      <c r="L120" s="67">
        <f>J120-3*K120</f>
        <v/>
      </c>
      <c r="M120" s="67">
        <f>J120+3*K120</f>
        <v/>
      </c>
      <c r="N120" s="61">
        <f>IF(G120="","",IF(AND(G120&gt;=L120,G120&lt;=M120),"OK","NG"))</f>
        <v/>
      </c>
      <c r="O120" s="69">
        <f>IF(N120="","",IF(N120=D120,1,0))</f>
        <v/>
      </c>
      <c r="P120" s="67">
        <f>IF(G120="","",J120-G120)</f>
        <v/>
      </c>
      <c r="Q120" s="67">
        <f>IF(G120="","",ABS(P120-Components!$D$2))</f>
        <v/>
      </c>
      <c r="R120" s="67">
        <f>IF(G120="","",ABS(P120-Components!$D$3))</f>
        <v/>
      </c>
      <c r="S120" s="67">
        <f>IF(G120="","",ABS(P120-Components!$D$4))</f>
        <v/>
      </c>
      <c r="T120" s="67">
        <f>IF(G120="","",ABS(P120-Components!$D$5))</f>
        <v/>
      </c>
      <c r="U120" s="67">
        <f>IF(G120="","",ABS(P120-Components!$D$6))</f>
        <v/>
      </c>
      <c r="V120" s="67">
        <f>IF(G120="","",ABS(P120-Components!$D$7))</f>
        <v/>
      </c>
      <c r="W120" s="61">
        <f>IF(G120="","",IF(N120="OK","NONE",INDEX({"S1","S2","W1","W2","N1","N2"},MATCH(MIN(Q120:V120),Q120:V120,0))))</f>
        <v/>
      </c>
      <c r="X120" s="69">
        <f>IF(G120="","",IF(W120=E120,1,0))</f>
        <v/>
      </c>
      <c r="Y120" s="70" t="n"/>
    </row>
    <row r="121">
      <c r="A121" s="61" t="n">
        <v>19</v>
      </c>
      <c r="B121" s="62" t="n">
        <v>47</v>
      </c>
      <c r="C121" s="61" t="inlineStr">
        <is>
          <t>R3</t>
        </is>
      </c>
      <c r="D121" s="74" t="inlineStr">
        <is>
          <t>NG</t>
        </is>
      </c>
      <c r="E121" s="61" t="inlineStr">
        <is>
          <t>N2</t>
        </is>
      </c>
      <c r="F121" s="61" t="inlineStr">
        <is>
          <t>K019</t>
        </is>
      </c>
      <c r="G121" s="64" t="n">
        <v>8.630000000000001</v>
      </c>
      <c r="H121" s="65" t="n"/>
      <c r="I121" s="66" t="n"/>
      <c r="J121" s="67">
        <f>VLOOKUP(C121,Recipes!$A$2:$N$4,10,FALSE())</f>
        <v/>
      </c>
      <c r="K121" s="68">
        <f>VLOOKUP(C121,Recipes!$A$2:$N$4,12,FALSE())</f>
        <v/>
      </c>
      <c r="L121" s="67">
        <f>J121-3*K121</f>
        <v/>
      </c>
      <c r="M121" s="67">
        <f>J121+3*K121</f>
        <v/>
      </c>
      <c r="N121" s="61">
        <f>IF(G121="","",IF(AND(G121&gt;=L121,G121&lt;=M121),"OK","NG"))</f>
        <v/>
      </c>
      <c r="O121" s="69">
        <f>IF(N121="","",IF(N121=D121,1,0))</f>
        <v/>
      </c>
      <c r="P121" s="67">
        <f>IF(G121="","",J121-G121)</f>
        <v/>
      </c>
      <c r="Q121" s="67">
        <f>IF(G121="","",ABS(P121-Components!$D$2))</f>
        <v/>
      </c>
      <c r="R121" s="67">
        <f>IF(G121="","",ABS(P121-Components!$D$3))</f>
        <v/>
      </c>
      <c r="S121" s="67">
        <f>IF(G121="","",ABS(P121-Components!$D$4))</f>
        <v/>
      </c>
      <c r="T121" s="67">
        <f>IF(G121="","",ABS(P121-Components!$D$5))</f>
        <v/>
      </c>
      <c r="U121" s="67">
        <f>IF(G121="","",ABS(P121-Components!$D$6))</f>
        <v/>
      </c>
      <c r="V121" s="67">
        <f>IF(G121="","",ABS(P121-Components!$D$7))</f>
        <v/>
      </c>
      <c r="W121" s="61">
        <f>IF(G121="","",IF(N121="OK","NONE",INDEX({"S1","S2","W1","W2","N1","N2"},MATCH(MIN(Q121:V121),Q121:V121,0))))</f>
        <v/>
      </c>
      <c r="X121" s="69">
        <f>IF(G121="","",IF(W121=E121,1,0))</f>
        <v/>
      </c>
      <c r="Y121" s="70" t="n"/>
    </row>
    <row r="122">
      <c r="A122" s="61" t="n">
        <v>19</v>
      </c>
      <c r="B122" s="62" t="n">
        <v>47</v>
      </c>
      <c r="C122" s="61" t="inlineStr">
        <is>
          <t>R3</t>
        </is>
      </c>
      <c r="D122" s="74" t="inlineStr">
        <is>
          <t>NG</t>
        </is>
      </c>
      <c r="E122" s="61" t="inlineStr">
        <is>
          <t>N2</t>
        </is>
      </c>
      <c r="F122" s="61" t="inlineStr">
        <is>
          <t>K019</t>
        </is>
      </c>
      <c r="G122" s="64" t="n">
        <v>8.59</v>
      </c>
      <c r="H122" s="65" t="n"/>
      <c r="I122" s="66" t="n"/>
      <c r="J122" s="67">
        <f>VLOOKUP(C122,Recipes!$A$2:$N$4,10,FALSE())</f>
        <v/>
      </c>
      <c r="K122" s="68">
        <f>VLOOKUP(C122,Recipes!$A$2:$N$4,12,FALSE())</f>
        <v/>
      </c>
      <c r="L122" s="67">
        <f>J122-3*K122</f>
        <v/>
      </c>
      <c r="M122" s="67">
        <f>J122+3*K122</f>
        <v/>
      </c>
      <c r="N122" s="61">
        <f>IF(G122="","",IF(AND(G122&gt;=L122,G122&lt;=M122),"OK","NG"))</f>
        <v/>
      </c>
      <c r="O122" s="69">
        <f>IF(N122="","",IF(N122=D122,1,0))</f>
        <v/>
      </c>
      <c r="P122" s="67">
        <f>IF(G122="","",J122-G122)</f>
        <v/>
      </c>
      <c r="Q122" s="67">
        <f>IF(G122="","",ABS(P122-Components!$D$2))</f>
        <v/>
      </c>
      <c r="R122" s="67">
        <f>IF(G122="","",ABS(P122-Components!$D$3))</f>
        <v/>
      </c>
      <c r="S122" s="67">
        <f>IF(G122="","",ABS(P122-Components!$D$4))</f>
        <v/>
      </c>
      <c r="T122" s="67">
        <f>IF(G122="","",ABS(P122-Components!$D$5))</f>
        <v/>
      </c>
      <c r="U122" s="67">
        <f>IF(G122="","",ABS(P122-Components!$D$6))</f>
        <v/>
      </c>
      <c r="V122" s="67">
        <f>IF(G122="","",ABS(P122-Components!$D$7))</f>
        <v/>
      </c>
      <c r="W122" s="61">
        <f>IF(G122="","",IF(N122="OK","NONE",INDEX({"S1","S2","W1","W2","N1","N2"},MATCH(MIN(Q122:V122),Q122:V122,0))))</f>
        <v/>
      </c>
      <c r="X122" s="69">
        <f>IF(G122="","",IF(W122=E122,1,0))</f>
        <v/>
      </c>
      <c r="Y122" s="70" t="n"/>
    </row>
    <row r="123">
      <c r="A123" s="61" t="n">
        <v>21</v>
      </c>
      <c r="B123" s="62" t="n">
        <v>29</v>
      </c>
      <c r="C123" s="61" t="inlineStr">
        <is>
          <t>R4</t>
        </is>
      </c>
      <c r="D123" s="63" t="inlineStr">
        <is>
          <t>OK</t>
        </is>
      </c>
      <c r="E123" s="61" t="inlineStr">
        <is>
          <t>NONE</t>
        </is>
      </c>
      <c r="F123" s="61" t="inlineStr">
        <is>
          <t>K021</t>
        </is>
      </c>
      <c r="G123" s="64" t="n">
        <v>8.949999999999999</v>
      </c>
      <c r="H123" s="65" t="n"/>
      <c r="I123" s="66" t="n"/>
      <c r="J123" s="67">
        <f>VLOOKUP(C123,Recipes!$A$2:$N$4,10,FALSE())</f>
        <v/>
      </c>
      <c r="K123" s="68">
        <f>VLOOKUP(C123,Recipes!$A$2:$N$4,12,FALSE())</f>
        <v/>
      </c>
      <c r="L123" s="67">
        <f>J123-3*K123</f>
        <v/>
      </c>
      <c r="M123" s="67">
        <f>J123+3*K123</f>
        <v/>
      </c>
      <c r="N123" s="61">
        <f>IF(G123="","",IF(AND(G123&gt;=L123,G123&lt;=M123),"OK","NG"))</f>
        <v/>
      </c>
      <c r="O123" s="69">
        <f>IF(N123="","",IF(N123=D123,1,0))</f>
        <v/>
      </c>
      <c r="P123" s="67">
        <f>IF(G123="","",J123-G123)</f>
        <v/>
      </c>
      <c r="Q123" s="67">
        <f>IF(G123="","",ABS(P123-Components!$D$2))</f>
        <v/>
      </c>
      <c r="R123" s="67">
        <f>IF(G123="","",ABS(P123-Components!$D$3))</f>
        <v/>
      </c>
      <c r="S123" s="67">
        <f>IF(G123="","",ABS(P123-Components!$D$4))</f>
        <v/>
      </c>
      <c r="T123" s="67">
        <f>IF(G123="","",ABS(P123-Components!$D$5))</f>
        <v/>
      </c>
      <c r="U123" s="67">
        <f>IF(G123="","",ABS(P123-Components!$D$6))</f>
        <v/>
      </c>
      <c r="V123" s="67">
        <f>IF(G123="","",ABS(P123-Components!$D$7))</f>
        <v/>
      </c>
      <c r="W123" s="61">
        <f>IF(G123="","",IF(N123="OK","NONE",INDEX({"S1","S2","W1","W2","N1","N2"},MATCH(MIN(Q123:V123),Q123:V123,0))))</f>
        <v/>
      </c>
      <c r="X123" s="69">
        <f>IF(G123="","",IF(W123=E123,1,0))</f>
        <v/>
      </c>
      <c r="Y123" s="70" t="n"/>
    </row>
    <row r="124">
      <c r="A124" s="61" t="n">
        <v>22</v>
      </c>
      <c r="B124" s="62" t="n">
        <v>11</v>
      </c>
      <c r="C124" s="61" t="inlineStr">
        <is>
          <t>R4</t>
        </is>
      </c>
      <c r="D124" s="63" t="inlineStr">
        <is>
          <t>OK</t>
        </is>
      </c>
      <c r="E124" s="61" t="inlineStr">
        <is>
          <t>NONE</t>
        </is>
      </c>
      <c r="F124" s="61" t="inlineStr">
        <is>
          <t>K022</t>
        </is>
      </c>
      <c r="G124" s="64" t="n">
        <v>8.94</v>
      </c>
      <c r="H124" s="65" t="n"/>
      <c r="I124" s="66" t="n"/>
      <c r="J124" s="67">
        <f>VLOOKUP(C124,Recipes!$A$2:$N$4,10,FALSE())</f>
        <v/>
      </c>
      <c r="K124" s="68">
        <f>VLOOKUP(C124,Recipes!$A$2:$N$4,12,FALSE())</f>
        <v/>
      </c>
      <c r="L124" s="67">
        <f>J124-3*K124</f>
        <v/>
      </c>
      <c r="M124" s="67">
        <f>J124+3*K124</f>
        <v/>
      </c>
      <c r="N124" s="61">
        <f>IF(G124="","",IF(AND(G124&gt;=L124,G124&lt;=M124),"OK","NG"))</f>
        <v/>
      </c>
      <c r="O124" s="69">
        <f>IF(N124="","",IF(N124=D124,1,0))</f>
        <v/>
      </c>
      <c r="P124" s="67">
        <f>IF(G124="","",J124-G124)</f>
        <v/>
      </c>
      <c r="Q124" s="67">
        <f>IF(G124="","",ABS(P124-Components!$D$2))</f>
        <v/>
      </c>
      <c r="R124" s="67">
        <f>IF(G124="","",ABS(P124-Components!$D$3))</f>
        <v/>
      </c>
      <c r="S124" s="67">
        <f>IF(G124="","",ABS(P124-Components!$D$4))</f>
        <v/>
      </c>
      <c r="T124" s="67">
        <f>IF(G124="","",ABS(P124-Components!$D$5))</f>
        <v/>
      </c>
      <c r="U124" s="67">
        <f>IF(G124="","",ABS(P124-Components!$D$6))</f>
        <v/>
      </c>
      <c r="V124" s="67">
        <f>IF(G124="","",ABS(P124-Components!$D$7))</f>
        <v/>
      </c>
      <c r="W124" s="61">
        <f>IF(G124="","",IF(N124="OK","NONE",INDEX({"S1","S2","W1","W2","N1","N2"},MATCH(MIN(Q124:V124),Q124:V124,0))))</f>
        <v/>
      </c>
      <c r="X124" s="69">
        <f>IF(G124="","",IF(W124=E124,1,0))</f>
        <v/>
      </c>
      <c r="Y124" s="70" t="n"/>
    </row>
    <row r="125">
      <c r="A125" s="61" t="n">
        <v>23</v>
      </c>
      <c r="B125" s="62" t="n">
        <v>43</v>
      </c>
      <c r="C125" s="61" t="inlineStr">
        <is>
          <t>R4</t>
        </is>
      </c>
      <c r="D125" s="63" t="inlineStr">
        <is>
          <t>OK</t>
        </is>
      </c>
      <c r="E125" s="61" t="inlineStr">
        <is>
          <t>NONE</t>
        </is>
      </c>
      <c r="F125" s="61" t="inlineStr">
        <is>
          <t>K023</t>
        </is>
      </c>
      <c r="G125" s="64" t="n">
        <v>8.94</v>
      </c>
      <c r="H125" s="65" t="n"/>
      <c r="I125" s="66" t="n"/>
      <c r="J125" s="67">
        <f>VLOOKUP(C125,Recipes!$A$2:$N$4,10,FALSE())</f>
        <v/>
      </c>
      <c r="K125" s="68">
        <f>VLOOKUP(C125,Recipes!$A$2:$N$4,12,FALSE())</f>
        <v/>
      </c>
      <c r="L125" s="67">
        <f>J125-3*K125</f>
        <v/>
      </c>
      <c r="M125" s="67">
        <f>J125+3*K125</f>
        <v/>
      </c>
      <c r="N125" s="61">
        <f>IF(G125="","",IF(AND(G125&gt;=L125,G125&lt;=M125),"OK","NG"))</f>
        <v/>
      </c>
      <c r="O125" s="69">
        <f>IF(N125="","",IF(N125=D125,1,0))</f>
        <v/>
      </c>
      <c r="P125" s="67">
        <f>IF(G125="","",J125-G125)</f>
        <v/>
      </c>
      <c r="Q125" s="67">
        <f>IF(G125="","",ABS(P125-Components!$D$2))</f>
        <v/>
      </c>
      <c r="R125" s="67">
        <f>IF(G125="","",ABS(P125-Components!$D$3))</f>
        <v/>
      </c>
      <c r="S125" s="67">
        <f>IF(G125="","",ABS(P125-Components!$D$4))</f>
        <v/>
      </c>
      <c r="T125" s="67">
        <f>IF(G125="","",ABS(P125-Components!$D$5))</f>
        <v/>
      </c>
      <c r="U125" s="67">
        <f>IF(G125="","",ABS(P125-Components!$D$6))</f>
        <v/>
      </c>
      <c r="V125" s="67">
        <f>IF(G125="","",ABS(P125-Components!$D$7))</f>
        <v/>
      </c>
      <c r="W125" s="61">
        <f>IF(G125="","",IF(N125="OK","NONE",INDEX({"S1","S2","W1","W2","N1","N2"},MATCH(MIN(Q125:V125),Q125:V125,0))))</f>
        <v/>
      </c>
      <c r="X125" s="69">
        <f>IF(G125="","",IF(W125=E125,1,0))</f>
        <v/>
      </c>
      <c r="Y125" s="70" t="n"/>
    </row>
    <row r="126">
      <c r="A126" s="61" t="n">
        <v>24</v>
      </c>
      <c r="B126" s="62" t="n">
        <v>23</v>
      </c>
      <c r="C126" s="61" t="inlineStr">
        <is>
          <t>R4</t>
        </is>
      </c>
      <c r="D126" s="63" t="inlineStr">
        <is>
          <t>OK</t>
        </is>
      </c>
      <c r="E126" s="61" t="inlineStr">
        <is>
          <t>NONE</t>
        </is>
      </c>
      <c r="F126" s="61" t="inlineStr">
        <is>
          <t>K024</t>
        </is>
      </c>
      <c r="G126" s="64" t="n">
        <v>8.890000000000001</v>
      </c>
      <c r="H126" s="65" t="n"/>
      <c r="I126" s="66" t="n"/>
      <c r="J126" s="67">
        <f>VLOOKUP(C126,Recipes!$A$2:$N$4,10,FALSE())</f>
        <v/>
      </c>
      <c r="K126" s="68">
        <f>VLOOKUP(C126,Recipes!$A$2:$N$4,12,FALSE())</f>
        <v/>
      </c>
      <c r="L126" s="67">
        <f>J126-3*K126</f>
        <v/>
      </c>
      <c r="M126" s="67">
        <f>J126+3*K126</f>
        <v/>
      </c>
      <c r="N126" s="61">
        <f>IF(G126="","",IF(AND(G126&gt;=L126,G126&lt;=M126),"OK","NG"))</f>
        <v/>
      </c>
      <c r="O126" s="69">
        <f>IF(N126="","",IF(N126=D126,1,0))</f>
        <v/>
      </c>
      <c r="P126" s="67">
        <f>IF(G126="","",J126-G126)</f>
        <v/>
      </c>
      <c r="Q126" s="67">
        <f>IF(G126="","",ABS(P126-Components!$D$2))</f>
        <v/>
      </c>
      <c r="R126" s="67">
        <f>IF(G126="","",ABS(P126-Components!$D$3))</f>
        <v/>
      </c>
      <c r="S126" s="67">
        <f>IF(G126="","",ABS(P126-Components!$D$4))</f>
        <v/>
      </c>
      <c r="T126" s="67">
        <f>IF(G126="","",ABS(P126-Components!$D$5))</f>
        <v/>
      </c>
      <c r="U126" s="67">
        <f>IF(G126="","",ABS(P126-Components!$D$6))</f>
        <v/>
      </c>
      <c r="V126" s="67">
        <f>IF(G126="","",ABS(P126-Components!$D$7))</f>
        <v/>
      </c>
      <c r="W126" s="61">
        <f>IF(G126="","",IF(N126="OK","NONE",INDEX({"S1","S2","W1","W2","N1","N2"},MATCH(MIN(Q126:V126),Q126:V126,0))))</f>
        <v/>
      </c>
      <c r="X126" s="69">
        <f>IF(G126="","",IF(W126=E126,1,0))</f>
        <v/>
      </c>
      <c r="Y126" s="70" t="n"/>
    </row>
    <row r="127">
      <c r="A127" s="61" t="n">
        <v>25</v>
      </c>
      <c r="B127" s="62" t="n">
        <v>39</v>
      </c>
      <c r="C127" s="61" t="inlineStr">
        <is>
          <t>R4</t>
        </is>
      </c>
      <c r="D127" s="63" t="inlineStr">
        <is>
          <t>OK</t>
        </is>
      </c>
      <c r="E127" s="61" t="inlineStr">
        <is>
          <t>NONE</t>
        </is>
      </c>
      <c r="F127" s="61" t="inlineStr">
        <is>
          <t>K025</t>
        </is>
      </c>
      <c r="G127" s="64" t="n">
        <v>8.890000000000001</v>
      </c>
      <c r="H127" s="65" t="n"/>
      <c r="I127" s="66" t="n"/>
      <c r="J127" s="67">
        <f>VLOOKUP(C127,Recipes!$A$2:$N$4,10,FALSE())</f>
        <v/>
      </c>
      <c r="K127" s="68">
        <f>VLOOKUP(C127,Recipes!$A$2:$N$4,12,FALSE())</f>
        <v/>
      </c>
      <c r="L127" s="67">
        <f>J127-3*K127</f>
        <v/>
      </c>
      <c r="M127" s="67">
        <f>J127+3*K127</f>
        <v/>
      </c>
      <c r="N127" s="61">
        <f>IF(G127="","",IF(AND(G127&gt;=L127,G127&lt;=M127),"OK","NG"))</f>
        <v/>
      </c>
      <c r="O127" s="69">
        <f>IF(N127="","",IF(N127=D127,1,0))</f>
        <v/>
      </c>
      <c r="P127" s="67">
        <f>IF(G127="","",J127-G127)</f>
        <v/>
      </c>
      <c r="Q127" s="67">
        <f>IF(G127="","",ABS(P127-Components!$D$2))</f>
        <v/>
      </c>
      <c r="R127" s="67">
        <f>IF(G127="","",ABS(P127-Components!$D$3))</f>
        <v/>
      </c>
      <c r="S127" s="67">
        <f>IF(G127="","",ABS(P127-Components!$D$4))</f>
        <v/>
      </c>
      <c r="T127" s="67">
        <f>IF(G127="","",ABS(P127-Components!$D$5))</f>
        <v/>
      </c>
      <c r="U127" s="67">
        <f>IF(G127="","",ABS(P127-Components!$D$6))</f>
        <v/>
      </c>
      <c r="V127" s="67">
        <f>IF(G127="","",ABS(P127-Components!$D$7))</f>
        <v/>
      </c>
      <c r="W127" s="61">
        <f>IF(G127="","",IF(N127="OK","NONE",INDEX({"S1","S2","W1","W2","N1","N2"},MATCH(MIN(Q127:V127),Q127:V127,0))))</f>
        <v/>
      </c>
      <c r="X127" s="69">
        <f>IF(G127="","",IF(W127=E127,1,0))</f>
        <v/>
      </c>
      <c r="Y127" s="70" t="n"/>
    </row>
    <row r="128">
      <c r="A128" s="61" t="n">
        <v>26</v>
      </c>
      <c r="B128" s="62" t="n">
        <v>31</v>
      </c>
      <c r="C128" s="61" t="inlineStr">
        <is>
          <t>R4</t>
        </is>
      </c>
      <c r="D128" s="63" t="inlineStr">
        <is>
          <t>OK</t>
        </is>
      </c>
      <c r="E128" s="61" t="inlineStr">
        <is>
          <t>NONE</t>
        </is>
      </c>
      <c r="F128" s="61" t="inlineStr">
        <is>
          <t>K026</t>
        </is>
      </c>
      <c r="G128" s="75" t="n">
        <v>8.880000000000001</v>
      </c>
      <c r="H128" s="65" t="n"/>
      <c r="I128" s="66" t="n"/>
      <c r="J128" s="67">
        <f>VLOOKUP(C128,Recipes!$A$2:$N$4,10,FALSE())</f>
        <v/>
      </c>
      <c r="K128" s="68">
        <f>VLOOKUP(C128,Recipes!$A$2:$N$4,12,FALSE())</f>
        <v/>
      </c>
      <c r="L128" s="67">
        <f>J128-3*K128</f>
        <v/>
      </c>
      <c r="M128" s="67">
        <f>J128+3*K128</f>
        <v/>
      </c>
      <c r="N128" s="61">
        <f>IF(G128="","",IF(AND(G128&gt;=L128,G128&lt;=M128),"OK","NG"))</f>
        <v/>
      </c>
      <c r="O128" s="69">
        <f>IF(N128="","",IF(N128=D128,1,0))</f>
        <v/>
      </c>
      <c r="P128" s="67">
        <f>IF(G128="","",J128-G128)</f>
        <v/>
      </c>
      <c r="Q128" s="67">
        <f>IF(G128="","",ABS(P128-Components!$D$2))</f>
        <v/>
      </c>
      <c r="R128" s="67">
        <f>IF(G128="","",ABS(P128-Components!$D$3))</f>
        <v/>
      </c>
      <c r="S128" s="67">
        <f>IF(G128="","",ABS(P128-Components!$D$4))</f>
        <v/>
      </c>
      <c r="T128" s="67">
        <f>IF(G128="","",ABS(P128-Components!$D$5))</f>
        <v/>
      </c>
      <c r="U128" s="67">
        <f>IF(G128="","",ABS(P128-Components!$D$6))</f>
        <v/>
      </c>
      <c r="V128" s="67">
        <f>IF(G128="","",ABS(P128-Components!$D$7))</f>
        <v/>
      </c>
      <c r="W128" s="61">
        <f>IF(G128="","",IF(N128="OK","NONE",INDEX({"S1","S2","W1","W2","N1","N2"},MATCH(MIN(Q128:V128),Q128:V128,0))))</f>
        <v/>
      </c>
      <c r="X128" s="69">
        <f>IF(G128="","",IF(W128=E128,1,0))</f>
        <v/>
      </c>
      <c r="Y128" s="70" t="n"/>
    </row>
    <row r="129">
      <c r="A129" s="61" t="n">
        <v>27</v>
      </c>
      <c r="B129" s="62" t="n">
        <v>29</v>
      </c>
      <c r="C129" s="61" t="inlineStr">
        <is>
          <t>R4</t>
        </is>
      </c>
      <c r="D129" s="63" t="inlineStr">
        <is>
          <t>OK</t>
        </is>
      </c>
      <c r="E129" s="61" t="inlineStr">
        <is>
          <t>NONE</t>
        </is>
      </c>
      <c r="F129" s="61" t="inlineStr">
        <is>
          <t>K027</t>
        </is>
      </c>
      <c r="G129" s="75" t="n">
        <v>8.91</v>
      </c>
      <c r="H129" s="65" t="n"/>
      <c r="I129" s="66" t="n"/>
      <c r="J129" s="67">
        <f>VLOOKUP(C129,Recipes!$A$2:$N$4,10,FALSE())</f>
        <v/>
      </c>
      <c r="K129" s="68">
        <f>VLOOKUP(C129,Recipes!$A$2:$N$4,12,FALSE())</f>
        <v/>
      </c>
      <c r="L129" s="67">
        <f>J129-3*K129</f>
        <v/>
      </c>
      <c r="M129" s="67">
        <f>J129+3*K129</f>
        <v/>
      </c>
      <c r="N129" s="61">
        <f>IF(G129="","",IF(AND(G129&gt;=L129,G129&lt;=M129),"OK","NG"))</f>
        <v/>
      </c>
      <c r="O129" s="69">
        <f>IF(N129="","",IF(N129=D129,1,0))</f>
        <v/>
      </c>
      <c r="P129" s="67">
        <f>IF(G129="","",J129-G129)</f>
        <v/>
      </c>
      <c r="Q129" s="67">
        <f>IF(G129="","",ABS(P129-Components!$D$2))</f>
        <v/>
      </c>
      <c r="R129" s="67">
        <f>IF(G129="","",ABS(P129-Components!$D$3))</f>
        <v/>
      </c>
      <c r="S129" s="67">
        <f>IF(G129="","",ABS(P129-Components!$D$4))</f>
        <v/>
      </c>
      <c r="T129" s="67">
        <f>IF(G129="","",ABS(P129-Components!$D$5))</f>
        <v/>
      </c>
      <c r="U129" s="67">
        <f>IF(G129="","",ABS(P129-Components!$D$6))</f>
        <v/>
      </c>
      <c r="V129" s="67">
        <f>IF(G129="","",ABS(P129-Components!$D$7))</f>
        <v/>
      </c>
      <c r="W129" s="61">
        <f>IF(G129="","",IF(N129="OK","NONE",INDEX({"S1","S2","W1","W2","N1","N2"},MATCH(MIN(Q129:V129),Q129:V129,0))))</f>
        <v/>
      </c>
      <c r="X129" s="69">
        <f>IF(G129="","",IF(W129=E129,1,0))</f>
        <v/>
      </c>
      <c r="Y129" s="70" t="n"/>
    </row>
    <row r="130">
      <c r="A130" s="61" t="n">
        <v>28</v>
      </c>
      <c r="B130" s="62" t="n">
        <v>27</v>
      </c>
      <c r="C130" s="61" t="inlineStr">
        <is>
          <t>R4</t>
        </is>
      </c>
      <c r="D130" s="63" t="inlineStr">
        <is>
          <t>OK</t>
        </is>
      </c>
      <c r="E130" s="61" t="inlineStr">
        <is>
          <t>NONE</t>
        </is>
      </c>
      <c r="F130" s="61" t="inlineStr">
        <is>
          <t>K028</t>
        </is>
      </c>
      <c r="G130" s="75" t="n">
        <v>8.85</v>
      </c>
      <c r="H130" s="65" t="n"/>
      <c r="I130" s="66" t="n"/>
      <c r="J130" s="67">
        <f>VLOOKUP(C130,Recipes!$A$2:$N$4,10,FALSE())</f>
        <v/>
      </c>
      <c r="K130" s="68">
        <f>VLOOKUP(C130,Recipes!$A$2:$N$4,12,FALSE())</f>
        <v/>
      </c>
      <c r="L130" s="67">
        <f>J130-3*K130</f>
        <v/>
      </c>
      <c r="M130" s="67">
        <f>J130+3*K130</f>
        <v/>
      </c>
      <c r="N130" s="61">
        <f>IF(G130="","",IF(AND(G130&gt;=L130,G130&lt;=M130),"OK","NG"))</f>
        <v/>
      </c>
      <c r="O130" s="69">
        <f>IF(N130="","",IF(N130=D130,1,0))</f>
        <v/>
      </c>
      <c r="P130" s="67">
        <f>IF(G130="","",J130-G130)</f>
        <v/>
      </c>
      <c r="Q130" s="67">
        <f>IF(G130="","",ABS(P130-Components!$D$2))</f>
        <v/>
      </c>
      <c r="R130" s="67">
        <f>IF(G130="","",ABS(P130-Components!$D$3))</f>
        <v/>
      </c>
      <c r="S130" s="67">
        <f>IF(G130="","",ABS(P130-Components!$D$4))</f>
        <v/>
      </c>
      <c r="T130" s="67">
        <f>IF(G130="","",ABS(P130-Components!$D$5))</f>
        <v/>
      </c>
      <c r="U130" s="67">
        <f>IF(G130="","",ABS(P130-Components!$D$6))</f>
        <v/>
      </c>
      <c r="V130" s="67">
        <f>IF(G130="","",ABS(P130-Components!$D$7))</f>
        <v/>
      </c>
      <c r="W130" s="61">
        <f>IF(G130="","",IF(N130="OK","NONE",INDEX({"S1","S2","W1","W2","N1","N2"},MATCH(MIN(Q130:V130),Q130:V130,0))))</f>
        <v/>
      </c>
      <c r="X130" s="69">
        <f>IF(G130="","",IF(W130=E130,1,0))</f>
        <v/>
      </c>
      <c r="Y130" s="70" t="n"/>
    </row>
    <row r="131">
      <c r="A131" s="61" t="n">
        <v>29</v>
      </c>
      <c r="B131" s="62" t="n">
        <v>25</v>
      </c>
      <c r="C131" s="61" t="inlineStr">
        <is>
          <t>R4</t>
        </is>
      </c>
      <c r="D131" s="63" t="inlineStr">
        <is>
          <t>OK</t>
        </is>
      </c>
      <c r="E131" s="61" t="inlineStr">
        <is>
          <t>NONE</t>
        </is>
      </c>
      <c r="F131" s="61" t="inlineStr">
        <is>
          <t>K029</t>
        </is>
      </c>
      <c r="G131" s="75" t="n">
        <v>8.880000000000001</v>
      </c>
      <c r="H131" s="65" t="n"/>
      <c r="I131" s="66" t="n"/>
      <c r="J131" s="67">
        <f>VLOOKUP(C131,Recipes!$A$2:$N$4,10,FALSE())</f>
        <v/>
      </c>
      <c r="K131" s="68">
        <f>VLOOKUP(C131,Recipes!$A$2:$N$4,12,FALSE())</f>
        <v/>
      </c>
      <c r="L131" s="67">
        <f>J131-3*K131</f>
        <v/>
      </c>
      <c r="M131" s="67">
        <f>J131+3*K131</f>
        <v/>
      </c>
      <c r="N131" s="61">
        <f>IF(G131="","",IF(AND(G131&gt;=L131,G131&lt;=M131),"OK","NG"))</f>
        <v/>
      </c>
      <c r="O131" s="69">
        <f>IF(N131="","",IF(N131=D131,1,0))</f>
        <v/>
      </c>
      <c r="P131" s="67">
        <f>IF(G131="","",J131-G131)</f>
        <v/>
      </c>
      <c r="Q131" s="67">
        <f>IF(G131="","",ABS(P131-Components!$D$2))</f>
        <v/>
      </c>
      <c r="R131" s="67">
        <f>IF(G131="","",ABS(P131-Components!$D$3))</f>
        <v/>
      </c>
      <c r="S131" s="67">
        <f>IF(G131="","",ABS(P131-Components!$D$4))</f>
        <v/>
      </c>
      <c r="T131" s="67">
        <f>IF(G131="","",ABS(P131-Components!$D$5))</f>
        <v/>
      </c>
      <c r="U131" s="67">
        <f>IF(G131="","",ABS(P131-Components!$D$6))</f>
        <v/>
      </c>
      <c r="V131" s="67">
        <f>IF(G131="","",ABS(P131-Components!$D$7))</f>
        <v/>
      </c>
      <c r="W131" s="61">
        <f>IF(G131="","",IF(N131="OK","NONE",INDEX({"S1","S2","W1","W2","N1","N2"},MATCH(MIN(Q131:V131),Q131:V131,0))))</f>
        <v/>
      </c>
      <c r="X131" s="69">
        <f>IF(G131="","",IF(W131=E131,1,0))</f>
        <v/>
      </c>
      <c r="Y131" s="70" t="n"/>
    </row>
    <row r="132">
      <c r="A132" s="61" t="n">
        <v>30</v>
      </c>
      <c r="B132" s="62" t="n">
        <v>23</v>
      </c>
      <c r="C132" s="61" t="inlineStr">
        <is>
          <t>R4</t>
        </is>
      </c>
      <c r="D132" s="63" t="inlineStr">
        <is>
          <t>OK</t>
        </is>
      </c>
      <c r="E132" s="61" t="inlineStr">
        <is>
          <t>NONE</t>
        </is>
      </c>
      <c r="F132" s="61" t="inlineStr">
        <is>
          <t>K030</t>
        </is>
      </c>
      <c r="G132" s="75" t="n">
        <v>8.869999999999999</v>
      </c>
      <c r="H132" s="65" t="n"/>
      <c r="I132" s="66" t="n"/>
      <c r="J132" s="67">
        <f>VLOOKUP(C132,Recipes!$A$2:$N$4,10,FALSE())</f>
        <v/>
      </c>
      <c r="K132" s="68">
        <f>VLOOKUP(C132,Recipes!$A$2:$N$4,12,FALSE())</f>
        <v/>
      </c>
      <c r="L132" s="67">
        <f>J132-3*K132</f>
        <v/>
      </c>
      <c r="M132" s="67">
        <f>J132+3*K132</f>
        <v/>
      </c>
      <c r="N132" s="61">
        <f>IF(G132="","",IF(AND(G132&gt;=L132,G132&lt;=M132),"OK","NG"))</f>
        <v/>
      </c>
      <c r="O132" s="69">
        <f>IF(N132="","",IF(N132=D132,1,0))</f>
        <v/>
      </c>
      <c r="P132" s="67">
        <f>IF(G132="","",J132-G132)</f>
        <v/>
      </c>
      <c r="Q132" s="67">
        <f>IF(G132="","",ABS(P132-Components!$D$2))</f>
        <v/>
      </c>
      <c r="R132" s="67">
        <f>IF(G132="","",ABS(P132-Components!$D$3))</f>
        <v/>
      </c>
      <c r="S132" s="67">
        <f>IF(G132="","",ABS(P132-Components!$D$4))</f>
        <v/>
      </c>
      <c r="T132" s="67">
        <f>IF(G132="","",ABS(P132-Components!$D$5))</f>
        <v/>
      </c>
      <c r="U132" s="67">
        <f>IF(G132="","",ABS(P132-Components!$D$6))</f>
        <v/>
      </c>
      <c r="V132" s="67">
        <f>IF(G132="","",ABS(P132-Components!$D$7))</f>
        <v/>
      </c>
      <c r="W132" s="61">
        <f>IF(G132="","",IF(N132="OK","NONE",INDEX({"S1","S2","W1","W2","N1","N2"},MATCH(MIN(Q132:V132),Q132:V132,0))))</f>
        <v/>
      </c>
      <c r="X132" s="69">
        <f>IF(G132="","",IF(W132=E132,1,0))</f>
        <v/>
      </c>
      <c r="Y132" s="70" t="n"/>
    </row>
    <row r="133">
      <c r="A133" s="61" t="n">
        <v>31</v>
      </c>
      <c r="B133" s="62" t="n">
        <v>21</v>
      </c>
      <c r="C133" s="61" t="inlineStr">
        <is>
          <t>R4</t>
        </is>
      </c>
      <c r="D133" s="63" t="inlineStr">
        <is>
          <t>OK</t>
        </is>
      </c>
      <c r="E133" s="61" t="inlineStr">
        <is>
          <t>NONE</t>
        </is>
      </c>
      <c r="F133" s="61" t="inlineStr">
        <is>
          <t>K031</t>
        </is>
      </c>
      <c r="G133" s="75" t="n">
        <v>8.890000000000001</v>
      </c>
      <c r="H133" s="65" t="n"/>
      <c r="I133" s="66" t="n"/>
      <c r="J133" s="67">
        <f>VLOOKUP(C133,Recipes!$A$2:$N$4,10,FALSE())</f>
        <v/>
      </c>
      <c r="K133" s="68">
        <f>VLOOKUP(C133,Recipes!$A$2:$N$4,12,FALSE())</f>
        <v/>
      </c>
      <c r="L133" s="67">
        <f>J133-3*K133</f>
        <v/>
      </c>
      <c r="M133" s="67">
        <f>J133+3*K133</f>
        <v/>
      </c>
      <c r="N133" s="61">
        <f>IF(G133="","",IF(AND(G133&gt;=L133,G133&lt;=M133),"OK","NG"))</f>
        <v/>
      </c>
      <c r="O133" s="69">
        <f>IF(N133="","",IF(N133=D133,1,0))</f>
        <v/>
      </c>
      <c r="P133" s="67">
        <f>IF(G133="","",J133-G133)</f>
        <v/>
      </c>
      <c r="Q133" s="67">
        <f>IF(G133="","",ABS(P133-Components!$D$2))</f>
        <v/>
      </c>
      <c r="R133" s="67">
        <f>IF(G133="","",ABS(P133-Components!$D$3))</f>
        <v/>
      </c>
      <c r="S133" s="67">
        <f>IF(G133="","",ABS(P133-Components!$D$4))</f>
        <v/>
      </c>
      <c r="T133" s="67">
        <f>IF(G133="","",ABS(P133-Components!$D$5))</f>
        <v/>
      </c>
      <c r="U133" s="67">
        <f>IF(G133="","",ABS(P133-Components!$D$6))</f>
        <v/>
      </c>
      <c r="V133" s="67">
        <f>IF(G133="","",ABS(P133-Components!$D$7))</f>
        <v/>
      </c>
      <c r="W133" s="61">
        <f>IF(G133="","",IF(N133="OK","NONE",INDEX({"S1","S2","W1","W2","N1","N2"},MATCH(MIN(Q133:V133),Q133:V133,0))))</f>
        <v/>
      </c>
      <c r="X133" s="69">
        <f>IF(G133="","",IF(W133=E133,1,0))</f>
        <v/>
      </c>
      <c r="Y133" s="70" t="n"/>
    </row>
    <row r="134">
      <c r="A134" s="61" t="n">
        <v>32</v>
      </c>
      <c r="B134" s="62" t="n">
        <v>19</v>
      </c>
      <c r="C134" s="61" t="inlineStr">
        <is>
          <t>R4</t>
        </is>
      </c>
      <c r="D134" s="63" t="inlineStr">
        <is>
          <t>OK</t>
        </is>
      </c>
      <c r="E134" s="61" t="inlineStr">
        <is>
          <t>NONE</t>
        </is>
      </c>
      <c r="F134" s="61" t="inlineStr">
        <is>
          <t>K032</t>
        </is>
      </c>
      <c r="G134" s="75" t="n">
        <v>8.869999999999999</v>
      </c>
      <c r="H134" s="65" t="n"/>
      <c r="I134" s="66" t="n"/>
      <c r="J134" s="67">
        <f>VLOOKUP(C134,Recipes!$A$2:$N$4,10,FALSE())</f>
        <v/>
      </c>
      <c r="K134" s="68">
        <f>VLOOKUP(C134,Recipes!$A$2:$N$4,12,FALSE())</f>
        <v/>
      </c>
      <c r="L134" s="67">
        <f>J134-3*K134</f>
        <v/>
      </c>
      <c r="M134" s="67">
        <f>J134+3*K134</f>
        <v/>
      </c>
      <c r="N134" s="61">
        <f>IF(G134="","",IF(AND(G134&gt;=L134,G134&lt;=M134),"OK","NG"))</f>
        <v/>
      </c>
      <c r="O134" s="69">
        <f>IF(N134="","",IF(N134=D134,1,0))</f>
        <v/>
      </c>
      <c r="P134" s="67">
        <f>IF(G134="","",J134-G134)</f>
        <v/>
      </c>
      <c r="Q134" s="67">
        <f>IF(G134="","",ABS(P134-Components!$D$2))</f>
        <v/>
      </c>
      <c r="R134" s="67">
        <f>IF(G134="","",ABS(P134-Components!$D$3))</f>
        <v/>
      </c>
      <c r="S134" s="67">
        <f>IF(G134="","",ABS(P134-Components!$D$4))</f>
        <v/>
      </c>
      <c r="T134" s="67">
        <f>IF(G134="","",ABS(P134-Components!$D$5))</f>
        <v/>
      </c>
      <c r="U134" s="67">
        <f>IF(G134="","",ABS(P134-Components!$D$6))</f>
        <v/>
      </c>
      <c r="V134" s="67">
        <f>IF(G134="","",ABS(P134-Components!$D$7))</f>
        <v/>
      </c>
      <c r="W134" s="61">
        <f>IF(G134="","",IF(N134="OK","NONE",INDEX({"S1","S2","W1","W2","N1","N2"},MATCH(MIN(Q134:V134),Q134:V134,0))))</f>
        <v/>
      </c>
      <c r="X134" s="69">
        <f>IF(G134="","",IF(W134=E134,1,0))</f>
        <v/>
      </c>
      <c r="Y134" s="70" t="n"/>
    </row>
    <row r="135">
      <c r="A135" s="61" t="n">
        <v>33</v>
      </c>
      <c r="B135" s="62" t="n">
        <v>17</v>
      </c>
      <c r="C135" s="61" t="inlineStr">
        <is>
          <t>R4</t>
        </is>
      </c>
      <c r="D135" s="63" t="inlineStr">
        <is>
          <t>OK</t>
        </is>
      </c>
      <c r="E135" s="61" t="inlineStr">
        <is>
          <t>NONE</t>
        </is>
      </c>
      <c r="F135" s="61" t="inlineStr">
        <is>
          <t>K033</t>
        </is>
      </c>
      <c r="G135" s="75" t="n">
        <v>8.970000000000001</v>
      </c>
      <c r="H135" s="65" t="n"/>
      <c r="I135" s="66" t="n"/>
      <c r="J135" s="67">
        <f>VLOOKUP(C135,Recipes!$A$2:$N$4,10,FALSE())</f>
        <v/>
      </c>
      <c r="K135" s="68">
        <f>VLOOKUP(C135,Recipes!$A$2:$N$4,12,FALSE())</f>
        <v/>
      </c>
      <c r="L135" s="67">
        <f>J135-3*K135</f>
        <v/>
      </c>
      <c r="M135" s="67">
        <f>J135+3*K135</f>
        <v/>
      </c>
      <c r="N135" s="61">
        <f>IF(G135="","",IF(AND(G135&gt;=L135,G135&lt;=M135),"OK","NG"))</f>
        <v/>
      </c>
      <c r="O135" s="69">
        <f>IF(N135="","",IF(N135=D135,1,0))</f>
        <v/>
      </c>
      <c r="P135" s="67">
        <f>IF(G135="","",J135-G135)</f>
        <v/>
      </c>
      <c r="Q135" s="67">
        <f>IF(G135="","",ABS(P135-Components!$D$2))</f>
        <v/>
      </c>
      <c r="R135" s="67">
        <f>IF(G135="","",ABS(P135-Components!$D$3))</f>
        <v/>
      </c>
      <c r="S135" s="67">
        <f>IF(G135="","",ABS(P135-Components!$D$4))</f>
        <v/>
      </c>
      <c r="T135" s="67">
        <f>IF(G135="","",ABS(P135-Components!$D$5))</f>
        <v/>
      </c>
      <c r="U135" s="67">
        <f>IF(G135="","",ABS(P135-Components!$D$6))</f>
        <v/>
      </c>
      <c r="V135" s="67">
        <f>IF(G135="","",ABS(P135-Components!$D$7))</f>
        <v/>
      </c>
      <c r="W135" s="61">
        <f>IF(G135="","",IF(N135="OK","NONE",INDEX({"S1","S2","W1","W2","N1","N2"},MATCH(MIN(Q135:V135),Q135:V135,0))))</f>
        <v/>
      </c>
      <c r="X135" s="69">
        <f>IF(G135="","",IF(W135=E135,1,0))</f>
        <v/>
      </c>
      <c r="Y135" s="70" t="n"/>
    </row>
    <row r="136">
      <c r="A136" s="61" t="n">
        <v>34</v>
      </c>
      <c r="B136" s="62" t="n">
        <v>15</v>
      </c>
      <c r="C136" s="61" t="inlineStr">
        <is>
          <t>R4</t>
        </is>
      </c>
      <c r="D136" s="63" t="inlineStr">
        <is>
          <t>OK</t>
        </is>
      </c>
      <c r="E136" s="61" t="inlineStr">
        <is>
          <t>NONE</t>
        </is>
      </c>
      <c r="F136" s="61" t="inlineStr">
        <is>
          <t>K034</t>
        </is>
      </c>
      <c r="G136" s="75" t="n">
        <v>8.94</v>
      </c>
      <c r="H136" s="65" t="n"/>
      <c r="I136" s="66" t="n"/>
      <c r="J136" s="67">
        <f>VLOOKUP(C136,Recipes!$A$2:$N$4,10,FALSE())</f>
        <v/>
      </c>
      <c r="K136" s="68">
        <f>VLOOKUP(C136,Recipes!$A$2:$N$4,12,FALSE())</f>
        <v/>
      </c>
      <c r="L136" s="67">
        <f>J136-3*K136</f>
        <v/>
      </c>
      <c r="M136" s="67">
        <f>J136+3*K136</f>
        <v/>
      </c>
      <c r="N136" s="61">
        <f>IF(G136="","",IF(AND(G136&gt;=L136,G136&lt;=M136),"OK","NG"))</f>
        <v/>
      </c>
      <c r="O136" s="69">
        <f>IF(N136="","",IF(N136=D136,1,0))</f>
        <v/>
      </c>
      <c r="P136" s="67">
        <f>IF(G136="","",J136-G136)</f>
        <v/>
      </c>
      <c r="Q136" s="67">
        <f>IF(G136="","",ABS(P136-Components!$D$2))</f>
        <v/>
      </c>
      <c r="R136" s="67">
        <f>IF(G136="","",ABS(P136-Components!$D$3))</f>
        <v/>
      </c>
      <c r="S136" s="67">
        <f>IF(G136="","",ABS(P136-Components!$D$4))</f>
        <v/>
      </c>
      <c r="T136" s="67">
        <f>IF(G136="","",ABS(P136-Components!$D$5))</f>
        <v/>
      </c>
      <c r="U136" s="67">
        <f>IF(G136="","",ABS(P136-Components!$D$6))</f>
        <v/>
      </c>
      <c r="V136" s="67">
        <f>IF(G136="","",ABS(P136-Components!$D$7))</f>
        <v/>
      </c>
      <c r="W136" s="61">
        <f>IF(G136="","",IF(N136="OK","NONE",INDEX({"S1","S2","W1","W2","N1","N2"},MATCH(MIN(Q136:V136),Q136:V136,0))))</f>
        <v/>
      </c>
      <c r="X136" s="69">
        <f>IF(G136="","",IF(W136=E136,1,0))</f>
        <v/>
      </c>
      <c r="Y136" s="70" t="n"/>
    </row>
    <row r="137">
      <c r="A137" s="61" t="n">
        <v>35</v>
      </c>
      <c r="B137" s="62" t="n">
        <v>13</v>
      </c>
      <c r="C137" s="61" t="inlineStr">
        <is>
          <t>R4</t>
        </is>
      </c>
      <c r="D137" s="63" t="inlineStr">
        <is>
          <t>OK</t>
        </is>
      </c>
      <c r="E137" s="61" t="inlineStr">
        <is>
          <t>NONE</t>
        </is>
      </c>
      <c r="F137" s="61" t="inlineStr">
        <is>
          <t>K035</t>
        </is>
      </c>
      <c r="G137" s="75" t="n">
        <v>8.890000000000001</v>
      </c>
      <c r="H137" s="65" t="n"/>
      <c r="I137" s="66" t="n"/>
      <c r="J137" s="67">
        <f>VLOOKUP(C137,Recipes!$A$2:$N$4,10,FALSE())</f>
        <v/>
      </c>
      <c r="K137" s="68">
        <f>VLOOKUP(C137,Recipes!$A$2:$N$4,12,FALSE())</f>
        <v/>
      </c>
      <c r="L137" s="67">
        <f>J137-3*K137</f>
        <v/>
      </c>
      <c r="M137" s="67">
        <f>J137+3*K137</f>
        <v/>
      </c>
      <c r="N137" s="61">
        <f>IF(G137="","",IF(AND(G137&gt;=L137,G137&lt;=M137),"OK","NG"))</f>
        <v/>
      </c>
      <c r="O137" s="69">
        <f>IF(N137="","",IF(N137=D137,1,0))</f>
        <v/>
      </c>
      <c r="P137" s="67">
        <f>IF(G137="","",J137-G137)</f>
        <v/>
      </c>
      <c r="Q137" s="67">
        <f>IF(G137="","",ABS(P137-Components!$D$2))</f>
        <v/>
      </c>
      <c r="R137" s="67">
        <f>IF(G137="","",ABS(P137-Components!$D$3))</f>
        <v/>
      </c>
      <c r="S137" s="67">
        <f>IF(G137="","",ABS(P137-Components!$D$4))</f>
        <v/>
      </c>
      <c r="T137" s="67">
        <f>IF(G137="","",ABS(P137-Components!$D$5))</f>
        <v/>
      </c>
      <c r="U137" s="67">
        <f>IF(G137="","",ABS(P137-Components!$D$6))</f>
        <v/>
      </c>
      <c r="V137" s="67">
        <f>IF(G137="","",ABS(P137-Components!$D$7))</f>
        <v/>
      </c>
      <c r="W137" s="61">
        <f>IF(G137="","",IF(N137="OK","NONE",INDEX({"S1","S2","W1","W2","N1","N2"},MATCH(MIN(Q137:V137),Q137:V137,0))))</f>
        <v/>
      </c>
      <c r="X137" s="69">
        <f>IF(G137="","",IF(W137=E137,1,0))</f>
        <v/>
      </c>
      <c r="Y137" s="70" t="n"/>
    </row>
    <row r="138">
      <c r="A138" s="61" t="n">
        <v>36</v>
      </c>
      <c r="B138" s="62" t="n">
        <v>11</v>
      </c>
      <c r="C138" s="61" t="inlineStr">
        <is>
          <t>R4</t>
        </is>
      </c>
      <c r="D138" s="63" t="inlineStr">
        <is>
          <t>OK</t>
        </is>
      </c>
      <c r="E138" s="61" t="inlineStr">
        <is>
          <t>NONE</t>
        </is>
      </c>
      <c r="F138" s="61" t="inlineStr">
        <is>
          <t>K036</t>
        </is>
      </c>
      <c r="G138" s="75" t="n">
        <v>8.880000000000001</v>
      </c>
      <c r="H138" s="65" t="n"/>
      <c r="I138" s="66" t="n"/>
      <c r="J138" s="67">
        <f>VLOOKUP(C138,Recipes!$A$2:$N$4,10,FALSE())</f>
        <v/>
      </c>
      <c r="K138" s="68">
        <f>VLOOKUP(C138,Recipes!$A$2:$N$4,12,FALSE())</f>
        <v/>
      </c>
      <c r="L138" s="67">
        <f>J138-3*K138</f>
        <v/>
      </c>
      <c r="M138" s="67">
        <f>J138+3*K138</f>
        <v/>
      </c>
      <c r="N138" s="61">
        <f>IF(G138="","",IF(AND(G138&gt;=L138,G138&lt;=M138),"OK","NG"))</f>
        <v/>
      </c>
      <c r="O138" s="69">
        <f>IF(N138="","",IF(N138=D138,1,0))</f>
        <v/>
      </c>
      <c r="P138" s="67">
        <f>IF(G138="","",J138-G138)</f>
        <v/>
      </c>
      <c r="Q138" s="67">
        <f>IF(G138="","",ABS(P138-Components!$D$2))</f>
        <v/>
      </c>
      <c r="R138" s="67">
        <f>IF(G138="","",ABS(P138-Components!$D$3))</f>
        <v/>
      </c>
      <c r="S138" s="67">
        <f>IF(G138="","",ABS(P138-Components!$D$4))</f>
        <v/>
      </c>
      <c r="T138" s="67">
        <f>IF(G138="","",ABS(P138-Components!$D$5))</f>
        <v/>
      </c>
      <c r="U138" s="67">
        <f>IF(G138="","",ABS(P138-Components!$D$6))</f>
        <v/>
      </c>
      <c r="V138" s="67">
        <f>IF(G138="","",ABS(P138-Components!$D$7))</f>
        <v/>
      </c>
      <c r="W138" s="61">
        <f>IF(G138="","",IF(N138="OK","NONE",INDEX({"S1","S2","W1","W2","N1","N2"},MATCH(MIN(Q138:V138),Q138:V138,0))))</f>
        <v/>
      </c>
      <c r="X138" s="69">
        <f>IF(G138="","",IF(W138=E138,1,0))</f>
        <v/>
      </c>
      <c r="Y138" s="70" t="n"/>
    </row>
    <row r="139">
      <c r="A139" s="61" t="n">
        <v>37</v>
      </c>
      <c r="B139" s="62" t="n">
        <v>9</v>
      </c>
      <c r="C139" s="61" t="inlineStr">
        <is>
          <t>R4</t>
        </is>
      </c>
      <c r="D139" s="63" t="inlineStr">
        <is>
          <t>OK</t>
        </is>
      </c>
      <c r="E139" s="61" t="inlineStr">
        <is>
          <t>NONE</t>
        </is>
      </c>
      <c r="F139" s="61" t="inlineStr">
        <is>
          <t>K037</t>
        </is>
      </c>
      <c r="G139" s="75" t="n">
        <v>8.93</v>
      </c>
      <c r="H139" s="65" t="n"/>
      <c r="I139" s="66" t="n"/>
      <c r="J139" s="67">
        <f>VLOOKUP(C139,Recipes!$A$2:$N$4,10,FALSE())</f>
        <v/>
      </c>
      <c r="K139" s="68">
        <f>VLOOKUP(C139,Recipes!$A$2:$N$4,12,FALSE())</f>
        <v/>
      </c>
      <c r="L139" s="67">
        <f>J139-3*K139</f>
        <v/>
      </c>
      <c r="M139" s="67">
        <f>J139+3*K139</f>
        <v/>
      </c>
      <c r="N139" s="61">
        <f>IF(G139="","",IF(AND(G139&gt;=L139,G139&lt;=M139),"OK","NG"))</f>
        <v/>
      </c>
      <c r="O139" s="69">
        <f>IF(N139="","",IF(N139=D139,1,0))</f>
        <v/>
      </c>
      <c r="P139" s="67">
        <f>IF(G139="","",J139-G139)</f>
        <v/>
      </c>
      <c r="Q139" s="67">
        <f>IF(G139="","",ABS(P139-Components!$D$2))</f>
        <v/>
      </c>
      <c r="R139" s="67">
        <f>IF(G139="","",ABS(P139-Components!$D$3))</f>
        <v/>
      </c>
      <c r="S139" s="67">
        <f>IF(G139="","",ABS(P139-Components!$D$4))</f>
        <v/>
      </c>
      <c r="T139" s="67">
        <f>IF(G139="","",ABS(P139-Components!$D$5))</f>
        <v/>
      </c>
      <c r="U139" s="67">
        <f>IF(G139="","",ABS(P139-Components!$D$6))</f>
        <v/>
      </c>
      <c r="V139" s="67">
        <f>IF(G139="","",ABS(P139-Components!$D$7))</f>
        <v/>
      </c>
      <c r="W139" s="61">
        <f>IF(G139="","",IF(N139="OK","NONE",INDEX({"S1","S2","W1","W2","N1","N2"},MATCH(MIN(Q139:V139),Q139:V139,0))))</f>
        <v/>
      </c>
      <c r="X139" s="69">
        <f>IF(G139="","",IF(W139=E139,1,0))</f>
        <v/>
      </c>
      <c r="Y139" s="70" t="n"/>
    </row>
    <row r="140">
      <c r="A140" s="61" t="n">
        <v>38</v>
      </c>
      <c r="B140" s="62" t="n">
        <v>7</v>
      </c>
      <c r="C140" s="61" t="inlineStr">
        <is>
          <t>R4</t>
        </is>
      </c>
      <c r="D140" s="63" t="inlineStr">
        <is>
          <t>OK</t>
        </is>
      </c>
      <c r="E140" s="61" t="inlineStr">
        <is>
          <t>NONE</t>
        </is>
      </c>
      <c r="F140" s="61" t="inlineStr">
        <is>
          <t>K038</t>
        </is>
      </c>
      <c r="G140" s="75" t="n">
        <v>8.93</v>
      </c>
      <c r="H140" s="65" t="n"/>
      <c r="I140" s="66" t="n"/>
      <c r="J140" s="67">
        <f>VLOOKUP(C140,Recipes!$A$2:$N$4,10,FALSE())</f>
        <v/>
      </c>
      <c r="K140" s="68">
        <f>VLOOKUP(C140,Recipes!$A$2:$N$4,12,FALSE())</f>
        <v/>
      </c>
      <c r="L140" s="67">
        <f>J140-3*K140</f>
        <v/>
      </c>
      <c r="M140" s="67">
        <f>J140+3*K140</f>
        <v/>
      </c>
      <c r="N140" s="61">
        <f>IF(G140="","",IF(AND(G140&gt;=L140,G140&lt;=M140),"OK","NG"))</f>
        <v/>
      </c>
      <c r="O140" s="69">
        <f>IF(N140="","",IF(N140=D140,1,0))</f>
        <v/>
      </c>
      <c r="P140" s="67">
        <f>IF(G140="","",J140-G140)</f>
        <v/>
      </c>
      <c r="Q140" s="67">
        <f>IF(G140="","",ABS(P140-Components!$D$2))</f>
        <v/>
      </c>
      <c r="R140" s="67">
        <f>IF(G140="","",ABS(P140-Components!$D$3))</f>
        <v/>
      </c>
      <c r="S140" s="67">
        <f>IF(G140="","",ABS(P140-Components!$D$4))</f>
        <v/>
      </c>
      <c r="T140" s="67">
        <f>IF(G140="","",ABS(P140-Components!$D$5))</f>
        <v/>
      </c>
      <c r="U140" s="67">
        <f>IF(G140="","",ABS(P140-Components!$D$6))</f>
        <v/>
      </c>
      <c r="V140" s="67">
        <f>IF(G140="","",ABS(P140-Components!$D$7))</f>
        <v/>
      </c>
      <c r="W140" s="61">
        <f>IF(G140="","",IF(N140="OK","NONE",INDEX({"S1","S2","W1","W2","N1","N2"},MATCH(MIN(Q140:V140),Q140:V140,0))))</f>
        <v/>
      </c>
      <c r="X140" s="69">
        <f>IF(G140="","",IF(W140=E140,1,0))</f>
        <v/>
      </c>
      <c r="Y140" s="70" t="n"/>
    </row>
    <row r="141">
      <c r="A141" s="61" t="n">
        <v>39</v>
      </c>
      <c r="B141" s="62" t="n">
        <v>5</v>
      </c>
      <c r="C141" s="61" t="inlineStr">
        <is>
          <t>R4</t>
        </is>
      </c>
      <c r="D141" s="63" t="inlineStr">
        <is>
          <t>OK</t>
        </is>
      </c>
      <c r="E141" s="61" t="inlineStr">
        <is>
          <t>NONE</t>
        </is>
      </c>
      <c r="F141" s="61" t="inlineStr">
        <is>
          <t>K039</t>
        </is>
      </c>
      <c r="G141" s="75" t="n">
        <v>8.92</v>
      </c>
      <c r="H141" s="65" t="n"/>
      <c r="I141" s="66" t="n"/>
      <c r="J141" s="67">
        <f>VLOOKUP(C141,Recipes!$A$2:$N$4,10,FALSE())</f>
        <v/>
      </c>
      <c r="K141" s="68">
        <f>VLOOKUP(C141,Recipes!$A$2:$N$4,12,FALSE())</f>
        <v/>
      </c>
      <c r="L141" s="67">
        <f>J141-3*K141</f>
        <v/>
      </c>
      <c r="M141" s="67">
        <f>J141+3*K141</f>
        <v/>
      </c>
      <c r="N141" s="61">
        <f>IF(G141="","",IF(AND(G141&gt;=L141,G141&lt;=M141),"OK","NG"))</f>
        <v/>
      </c>
      <c r="O141" s="69">
        <f>IF(N141="","",IF(N141=D141,1,0))</f>
        <v/>
      </c>
      <c r="P141" s="67">
        <f>IF(G141="","",J141-G141)</f>
        <v/>
      </c>
      <c r="Q141" s="67">
        <f>IF(G141="","",ABS(P141-Components!$D$2))</f>
        <v/>
      </c>
      <c r="R141" s="67">
        <f>IF(G141="","",ABS(P141-Components!$D$3))</f>
        <v/>
      </c>
      <c r="S141" s="67">
        <f>IF(G141="","",ABS(P141-Components!$D$4))</f>
        <v/>
      </c>
      <c r="T141" s="67">
        <f>IF(G141="","",ABS(P141-Components!$D$5))</f>
        <v/>
      </c>
      <c r="U141" s="67">
        <f>IF(G141="","",ABS(P141-Components!$D$6))</f>
        <v/>
      </c>
      <c r="V141" s="67">
        <f>IF(G141="","",ABS(P141-Components!$D$7))</f>
        <v/>
      </c>
      <c r="W141" s="61">
        <f>IF(G141="","",IF(N141="OK","NONE",INDEX({"S1","S2","W1","W2","N1","N2"},MATCH(MIN(Q141:V141),Q141:V141,0))))</f>
        <v/>
      </c>
      <c r="X141" s="69">
        <f>IF(G141="","",IF(W141=E141,1,0))</f>
        <v/>
      </c>
      <c r="Y141" s="70" t="n"/>
    </row>
    <row r="142">
      <c r="A142" s="61" t="n">
        <v>40</v>
      </c>
      <c r="B142" s="62" t="n">
        <v>3</v>
      </c>
      <c r="C142" s="61" t="inlineStr">
        <is>
          <t>R4</t>
        </is>
      </c>
      <c r="D142" s="63" t="inlineStr">
        <is>
          <t>OK</t>
        </is>
      </c>
      <c r="E142" s="61" t="inlineStr">
        <is>
          <t>NONE</t>
        </is>
      </c>
      <c r="F142" s="61" t="inlineStr">
        <is>
          <t>K040</t>
        </is>
      </c>
      <c r="G142" s="75" t="n">
        <v>8.880000000000001</v>
      </c>
      <c r="H142" s="65" t="n"/>
      <c r="I142" s="66" t="n"/>
      <c r="J142" s="67">
        <f>VLOOKUP(C142,Recipes!$A$2:$N$4,10,FALSE())</f>
        <v/>
      </c>
      <c r="K142" s="68">
        <f>VLOOKUP(C142,Recipes!$A$2:$N$4,12,FALSE())</f>
        <v/>
      </c>
      <c r="L142" s="67">
        <f>J142-3*K142</f>
        <v/>
      </c>
      <c r="M142" s="67">
        <f>J142+3*K142</f>
        <v/>
      </c>
      <c r="N142" s="61">
        <f>IF(G142="","",IF(AND(G142&gt;=L142,G142&lt;=M142),"OK","NG"))</f>
        <v/>
      </c>
      <c r="O142" s="69">
        <f>IF(N142="","",IF(N142=D142,1,0))</f>
        <v/>
      </c>
      <c r="P142" s="67">
        <f>IF(G142="","",J142-G142)</f>
        <v/>
      </c>
      <c r="Q142" s="67">
        <f>IF(G142="","",ABS(P142-Components!$D$2))</f>
        <v/>
      </c>
      <c r="R142" s="67">
        <f>IF(G142="","",ABS(P142-Components!$D$3))</f>
        <v/>
      </c>
      <c r="S142" s="67">
        <f>IF(G142="","",ABS(P142-Components!$D$4))</f>
        <v/>
      </c>
      <c r="T142" s="67">
        <f>IF(G142="","",ABS(P142-Components!$D$5))</f>
        <v/>
      </c>
      <c r="U142" s="67">
        <f>IF(G142="","",ABS(P142-Components!$D$6))</f>
        <v/>
      </c>
      <c r="V142" s="67">
        <f>IF(G142="","",ABS(P142-Components!$D$7))</f>
        <v/>
      </c>
      <c r="W142" s="61">
        <f>IF(G142="","",IF(N142="OK","NONE",INDEX({"S1","S2","W1","W2","N1","N2"},MATCH(MIN(Q142:V142),Q142:V142,0))))</f>
        <v/>
      </c>
      <c r="X142" s="69">
        <f>IF(G142="","",IF(W142=E142,1,0))</f>
        <v/>
      </c>
      <c r="Y142" s="70" t="n"/>
    </row>
    <row r="143">
      <c r="A143" s="61" t="n">
        <v>41</v>
      </c>
      <c r="B143" s="62" t="n">
        <v>1</v>
      </c>
      <c r="C143" s="61" t="inlineStr">
        <is>
          <t>R4</t>
        </is>
      </c>
      <c r="D143" s="63" t="inlineStr">
        <is>
          <t>OK</t>
        </is>
      </c>
      <c r="E143" s="61" t="inlineStr">
        <is>
          <t>NONE</t>
        </is>
      </c>
      <c r="F143" s="61" t="inlineStr">
        <is>
          <t>K041</t>
        </is>
      </c>
      <c r="G143" s="75" t="n">
        <v>8.9</v>
      </c>
      <c r="H143" s="65" t="n"/>
      <c r="I143" s="66" t="n"/>
      <c r="J143" s="67">
        <f>VLOOKUP(C143,Recipes!$A$2:$N$4,10,FALSE())</f>
        <v/>
      </c>
      <c r="K143" s="68">
        <f>VLOOKUP(C143,Recipes!$A$2:$N$4,12,FALSE())</f>
        <v/>
      </c>
      <c r="L143" s="67">
        <f>J143-3*K143</f>
        <v/>
      </c>
      <c r="M143" s="67">
        <f>J143+3*K143</f>
        <v/>
      </c>
      <c r="N143" s="61">
        <f>IF(G143="","",IF(AND(G143&gt;=L143,G143&lt;=M143),"OK","NG"))</f>
        <v/>
      </c>
      <c r="O143" s="69">
        <f>IF(N143="","",IF(N143=D143,1,0))</f>
        <v/>
      </c>
      <c r="P143" s="67">
        <f>IF(G143="","",J143-G143)</f>
        <v/>
      </c>
      <c r="Q143" s="67">
        <f>IF(G143="","",ABS(P143-Components!$D$2))</f>
        <v/>
      </c>
      <c r="R143" s="67">
        <f>IF(G143="","",ABS(P143-Components!$D$3))</f>
        <v/>
      </c>
      <c r="S143" s="67">
        <f>IF(G143="","",ABS(P143-Components!$D$4))</f>
        <v/>
      </c>
      <c r="T143" s="67">
        <f>IF(G143="","",ABS(P143-Components!$D$5))</f>
        <v/>
      </c>
      <c r="U143" s="67">
        <f>IF(G143="","",ABS(P143-Components!$D$6))</f>
        <v/>
      </c>
      <c r="V143" s="67">
        <f>IF(G143="","",ABS(P143-Components!$D$7))</f>
        <v/>
      </c>
      <c r="W143" s="61">
        <f>IF(G143="","",IF(N143="OK","NONE",INDEX({"S1","S2","W1","W2","N1","N2"},MATCH(MIN(Q143:V143),Q143:V143,0))))</f>
        <v/>
      </c>
      <c r="X143" s="69">
        <f>IF(G143="","",IF(W143=E143,1,0))</f>
        <v/>
      </c>
      <c r="Y143" s="70" t="n"/>
    </row>
    <row r="144">
      <c r="A144" s="61" t="n">
        <v>42</v>
      </c>
      <c r="B144" s="62" t="n">
        <v>-1</v>
      </c>
      <c r="C144" s="61" t="inlineStr">
        <is>
          <t>R4</t>
        </is>
      </c>
      <c r="D144" s="63" t="inlineStr">
        <is>
          <t>OK</t>
        </is>
      </c>
      <c r="E144" s="61" t="inlineStr">
        <is>
          <t>NONE</t>
        </is>
      </c>
      <c r="F144" s="61" t="inlineStr">
        <is>
          <t>K042</t>
        </is>
      </c>
      <c r="G144" s="75" t="n">
        <v>8.869999999999999</v>
      </c>
      <c r="H144" s="65" t="n"/>
      <c r="I144" s="66" t="n"/>
      <c r="J144" s="67">
        <f>VLOOKUP(C144,Recipes!$A$2:$N$4,10,FALSE())</f>
        <v/>
      </c>
      <c r="K144" s="68">
        <f>VLOOKUP(C144,Recipes!$A$2:$N$4,12,FALSE())</f>
        <v/>
      </c>
      <c r="L144" s="67">
        <f>J144-3*K144</f>
        <v/>
      </c>
      <c r="M144" s="67">
        <f>J144+3*K144</f>
        <v/>
      </c>
      <c r="N144" s="61">
        <f>IF(G144="","",IF(AND(G144&gt;=L144,G144&lt;=M144),"OK","NG"))</f>
        <v/>
      </c>
      <c r="O144" s="69">
        <f>IF(N144="","",IF(N144=D144,1,0))</f>
        <v/>
      </c>
      <c r="P144" s="67">
        <f>IF(G144="","",J144-G144)</f>
        <v/>
      </c>
      <c r="Q144" s="67">
        <f>IF(G144="","",ABS(P144-Components!$D$2))</f>
        <v/>
      </c>
      <c r="R144" s="67">
        <f>IF(G144="","",ABS(P144-Components!$D$3))</f>
        <v/>
      </c>
      <c r="S144" s="67">
        <f>IF(G144="","",ABS(P144-Components!$D$4))</f>
        <v/>
      </c>
      <c r="T144" s="67">
        <f>IF(G144="","",ABS(P144-Components!$D$5))</f>
        <v/>
      </c>
      <c r="U144" s="67">
        <f>IF(G144="","",ABS(P144-Components!$D$6))</f>
        <v/>
      </c>
      <c r="V144" s="67">
        <f>IF(G144="","",ABS(P144-Components!$D$7))</f>
        <v/>
      </c>
      <c r="W144" s="61">
        <f>IF(G144="","",IF(N144="OK","NONE",INDEX({"S1","S2","W1","W2","N1","N2"},MATCH(MIN(Q144:V144),Q144:V144,0))))</f>
        <v/>
      </c>
      <c r="X144" s="69">
        <f>IF(G144="","",IF(W144=E144,1,0))</f>
        <v/>
      </c>
      <c r="Y144" s="70" t="n"/>
    </row>
    <row r="145">
      <c r="A145" s="61" t="n">
        <v>43</v>
      </c>
      <c r="B145" s="62" t="n">
        <v>-3</v>
      </c>
      <c r="C145" s="61" t="inlineStr">
        <is>
          <t>R4</t>
        </is>
      </c>
      <c r="D145" s="63" t="inlineStr">
        <is>
          <t>OK</t>
        </is>
      </c>
      <c r="E145" s="61" t="inlineStr">
        <is>
          <t>NONE</t>
        </is>
      </c>
      <c r="F145" s="61" t="inlineStr">
        <is>
          <t>K043</t>
        </is>
      </c>
      <c r="G145" s="75" t="n">
        <v>8.93</v>
      </c>
      <c r="H145" s="65" t="n"/>
      <c r="I145" s="66" t="n"/>
      <c r="J145" s="67">
        <f>VLOOKUP(C145,Recipes!$A$2:$N$4,10,FALSE())</f>
        <v/>
      </c>
      <c r="K145" s="68">
        <f>VLOOKUP(C145,Recipes!$A$2:$N$4,12,FALSE())</f>
        <v/>
      </c>
      <c r="L145" s="67">
        <f>J145-3*K145</f>
        <v/>
      </c>
      <c r="M145" s="67">
        <f>J145+3*K145</f>
        <v/>
      </c>
      <c r="N145" s="61">
        <f>IF(G145="","",IF(AND(G145&gt;=L145,G145&lt;=M145),"OK","NG"))</f>
        <v/>
      </c>
      <c r="O145" s="69">
        <f>IF(N145="","",IF(N145=D145,1,0))</f>
        <v/>
      </c>
      <c r="P145" s="67">
        <f>IF(G145="","",J145-G145)</f>
        <v/>
      </c>
      <c r="Q145" s="67">
        <f>IF(G145="","",ABS(P145-Components!$D$2))</f>
        <v/>
      </c>
      <c r="R145" s="67">
        <f>IF(G145="","",ABS(P145-Components!$D$3))</f>
        <v/>
      </c>
      <c r="S145" s="67">
        <f>IF(G145="","",ABS(P145-Components!$D$4))</f>
        <v/>
      </c>
      <c r="T145" s="67">
        <f>IF(G145="","",ABS(P145-Components!$D$5))</f>
        <v/>
      </c>
      <c r="U145" s="67">
        <f>IF(G145="","",ABS(P145-Components!$D$6))</f>
        <v/>
      </c>
      <c r="V145" s="67">
        <f>IF(G145="","",ABS(P145-Components!$D$7))</f>
        <v/>
      </c>
      <c r="W145" s="61">
        <f>IF(G145="","",IF(N145="OK","NONE",INDEX({"S1","S2","W1","W2","N1","N2"},MATCH(MIN(Q145:V145),Q145:V145,0))))</f>
        <v/>
      </c>
      <c r="X145" s="69">
        <f>IF(G145="","",IF(W145=E145,1,0))</f>
        <v/>
      </c>
      <c r="Y145" s="70" t="n"/>
    </row>
    <row r="146">
      <c r="A146" s="61" t="n">
        <v>44</v>
      </c>
      <c r="B146" s="62" t="n">
        <v>-5</v>
      </c>
      <c r="C146" s="61" t="inlineStr">
        <is>
          <t>R4</t>
        </is>
      </c>
      <c r="D146" s="63" t="inlineStr">
        <is>
          <t>OK</t>
        </is>
      </c>
      <c r="E146" s="61" t="inlineStr">
        <is>
          <t>NONE</t>
        </is>
      </c>
      <c r="F146" s="61" t="inlineStr">
        <is>
          <t>K044</t>
        </is>
      </c>
      <c r="G146" s="75" t="n">
        <v>8.94</v>
      </c>
      <c r="H146" s="65" t="n"/>
      <c r="I146" s="66" t="n"/>
      <c r="J146" s="67">
        <f>VLOOKUP(C146,Recipes!$A$2:$N$4,10,FALSE())</f>
        <v/>
      </c>
      <c r="K146" s="68">
        <f>VLOOKUP(C146,Recipes!$A$2:$N$4,12,FALSE())</f>
        <v/>
      </c>
      <c r="L146" s="67">
        <f>J146-3*K146</f>
        <v/>
      </c>
      <c r="M146" s="67">
        <f>J146+3*K146</f>
        <v/>
      </c>
      <c r="N146" s="61">
        <f>IF(G146="","",IF(AND(G146&gt;=L146,G146&lt;=M146),"OK","NG"))</f>
        <v/>
      </c>
      <c r="O146" s="69">
        <f>IF(N146="","",IF(N146=D146,1,0))</f>
        <v/>
      </c>
      <c r="P146" s="67">
        <f>IF(G146="","",J146-G146)</f>
        <v/>
      </c>
      <c r="Q146" s="67">
        <f>IF(G146="","",ABS(P146-Components!$D$2))</f>
        <v/>
      </c>
      <c r="R146" s="67">
        <f>IF(G146="","",ABS(P146-Components!$D$3))</f>
        <v/>
      </c>
      <c r="S146" s="67">
        <f>IF(G146="","",ABS(P146-Components!$D$4))</f>
        <v/>
      </c>
      <c r="T146" s="67">
        <f>IF(G146="","",ABS(P146-Components!$D$5))</f>
        <v/>
      </c>
      <c r="U146" s="67">
        <f>IF(G146="","",ABS(P146-Components!$D$6))</f>
        <v/>
      </c>
      <c r="V146" s="67">
        <f>IF(G146="","",ABS(P146-Components!$D$7))</f>
        <v/>
      </c>
      <c r="W146" s="61">
        <f>IF(G146="","",IF(N146="OK","NONE",INDEX({"S1","S2","W1","W2","N1","N2"},MATCH(MIN(Q146:V146),Q146:V146,0))))</f>
        <v/>
      </c>
      <c r="X146" s="69">
        <f>IF(G146="","",IF(W146=E146,1,0))</f>
        <v/>
      </c>
      <c r="Y146" s="70" t="n"/>
    </row>
    <row r="147">
      <c r="A147" s="61" t="n">
        <v>44</v>
      </c>
      <c r="B147" s="62" t="n">
        <v>-5</v>
      </c>
      <c r="C147" s="61" t="inlineStr">
        <is>
          <t>R4</t>
        </is>
      </c>
      <c r="D147" s="63" t="inlineStr">
        <is>
          <t>OK</t>
        </is>
      </c>
      <c r="E147" s="61" t="inlineStr">
        <is>
          <t>NONE</t>
        </is>
      </c>
      <c r="F147" s="61" t="inlineStr">
        <is>
          <t>K044</t>
        </is>
      </c>
      <c r="G147" s="75" t="n">
        <v>8.880000000000001</v>
      </c>
      <c r="H147" s="65" t="n"/>
      <c r="I147" s="66" t="n"/>
      <c r="J147" s="67">
        <f>VLOOKUP(C147,Recipes!$A$2:$N$4,10,FALSE())</f>
        <v/>
      </c>
      <c r="K147" s="68">
        <f>VLOOKUP(C147,Recipes!$A$2:$N$4,12,FALSE())</f>
        <v/>
      </c>
      <c r="L147" s="67">
        <f>J147-3*K147</f>
        <v/>
      </c>
      <c r="M147" s="67">
        <f>J147+3*K147</f>
        <v/>
      </c>
      <c r="N147" s="61">
        <f>IF(G147="","",IF(AND(G147&gt;=L147,G147&lt;=M147),"OK","NG"))</f>
        <v/>
      </c>
      <c r="O147" s="69">
        <f>IF(N147="","",IF(N147=D147,1,0))</f>
        <v/>
      </c>
      <c r="P147" s="67">
        <f>IF(G147="","",J147-G147)</f>
        <v/>
      </c>
      <c r="Q147" s="67">
        <f>IF(G147="","",ABS(P147-Components!$D$2))</f>
        <v/>
      </c>
      <c r="R147" s="67">
        <f>IF(G147="","",ABS(P147-Components!$D$3))</f>
        <v/>
      </c>
      <c r="S147" s="67">
        <f>IF(G147="","",ABS(P147-Components!$D$4))</f>
        <v/>
      </c>
      <c r="T147" s="67">
        <f>IF(G147="","",ABS(P147-Components!$D$5))</f>
        <v/>
      </c>
      <c r="U147" s="67">
        <f>IF(G147="","",ABS(P147-Components!$D$6))</f>
        <v/>
      </c>
      <c r="V147" s="67">
        <f>IF(G147="","",ABS(P147-Components!$D$7))</f>
        <v/>
      </c>
      <c r="W147" s="61">
        <f>IF(G147="","",IF(N147="OK","NONE",INDEX({"S1","S2","W1","W2","N1","N2"},MATCH(MIN(Q147:V147),Q147:V147,0))))</f>
        <v/>
      </c>
      <c r="X147" s="69">
        <f>IF(G147="","",IF(W147=E147,1,0))</f>
        <v/>
      </c>
      <c r="Y147" s="70" t="n"/>
    </row>
    <row r="148">
      <c r="A148" s="61" t="n">
        <v>44</v>
      </c>
      <c r="B148" s="62" t="n">
        <v>-5</v>
      </c>
      <c r="C148" s="61" t="inlineStr">
        <is>
          <t>R4</t>
        </is>
      </c>
      <c r="D148" s="63" t="inlineStr">
        <is>
          <t>OK</t>
        </is>
      </c>
      <c r="E148" s="61" t="inlineStr">
        <is>
          <t>NONE</t>
        </is>
      </c>
      <c r="F148" s="61" t="inlineStr">
        <is>
          <t>K044</t>
        </is>
      </c>
      <c r="G148" s="75" t="n">
        <v>8.890000000000001</v>
      </c>
      <c r="H148" s="65" t="n"/>
      <c r="I148" s="66" t="n"/>
      <c r="J148" s="67">
        <f>VLOOKUP(C148,Recipes!$A$2:$N$4,10,FALSE())</f>
        <v/>
      </c>
      <c r="K148" s="68">
        <f>VLOOKUP(C148,Recipes!$A$2:$N$4,12,FALSE())</f>
        <v/>
      </c>
      <c r="L148" s="67">
        <f>J148-3*K148</f>
        <v/>
      </c>
      <c r="M148" s="67">
        <f>J148+3*K148</f>
        <v/>
      </c>
      <c r="N148" s="61">
        <f>IF(G148="","",IF(AND(G148&gt;=L148,G148&lt;=M148),"OK","NG"))</f>
        <v/>
      </c>
      <c r="O148" s="69">
        <f>IF(N148="","",IF(N148=D148,1,0))</f>
        <v/>
      </c>
      <c r="P148" s="67">
        <f>IF(G148="","",J148-G148)</f>
        <v/>
      </c>
      <c r="Q148" s="67">
        <f>IF(G148="","",ABS(P148-Components!$D$2))</f>
        <v/>
      </c>
      <c r="R148" s="67">
        <f>IF(G148="","",ABS(P148-Components!$D$3))</f>
        <v/>
      </c>
      <c r="S148" s="67">
        <f>IF(G148="","",ABS(P148-Components!$D$4))</f>
        <v/>
      </c>
      <c r="T148" s="67">
        <f>IF(G148="","",ABS(P148-Components!$D$5))</f>
        <v/>
      </c>
      <c r="U148" s="67">
        <f>IF(G148="","",ABS(P148-Components!$D$6))</f>
        <v/>
      </c>
      <c r="V148" s="67">
        <f>IF(G148="","",ABS(P148-Components!$D$7))</f>
        <v/>
      </c>
      <c r="W148" s="61">
        <f>IF(G148="","",IF(N148="OK","NONE",INDEX({"S1","S2","W1","W2","N1","N2"},MATCH(MIN(Q148:V148),Q148:V148,0))))</f>
        <v/>
      </c>
      <c r="X148" s="69">
        <f>IF(G148="","",IF(W148=E148,1,0))</f>
        <v/>
      </c>
      <c r="Y148" s="70" t="n"/>
    </row>
    <row r="149">
      <c r="A149" s="61" t="n">
        <v>44</v>
      </c>
      <c r="B149" s="62" t="n">
        <v>-5</v>
      </c>
      <c r="C149" s="61" t="inlineStr">
        <is>
          <t>R4</t>
        </is>
      </c>
      <c r="D149" s="63" t="inlineStr">
        <is>
          <t>OK</t>
        </is>
      </c>
      <c r="E149" s="61" t="inlineStr">
        <is>
          <t>NONE</t>
        </is>
      </c>
      <c r="F149" s="61" t="inlineStr">
        <is>
          <t>K044</t>
        </is>
      </c>
      <c r="G149" s="75" t="n">
        <v>8.880000000000001</v>
      </c>
      <c r="H149" s="65" t="n"/>
      <c r="I149" s="66" t="n"/>
      <c r="J149" s="67">
        <f>VLOOKUP(C149,Recipes!$A$2:$N$4,10,FALSE())</f>
        <v/>
      </c>
      <c r="K149" s="68">
        <f>VLOOKUP(C149,Recipes!$A$2:$N$4,12,FALSE())</f>
        <v/>
      </c>
      <c r="L149" s="67">
        <f>J149-3*K149</f>
        <v/>
      </c>
      <c r="M149" s="67">
        <f>J149+3*K149</f>
        <v/>
      </c>
      <c r="N149" s="61">
        <f>IF(G149="","",IF(AND(G149&gt;=L149,G149&lt;=M149),"OK","NG"))</f>
        <v/>
      </c>
      <c r="O149" s="69">
        <f>IF(N149="","",IF(N149=D149,1,0))</f>
        <v/>
      </c>
      <c r="P149" s="67">
        <f>IF(G149="","",J149-G149)</f>
        <v/>
      </c>
      <c r="Q149" s="67">
        <f>IF(G149="","",ABS(P149-Components!$D$2))</f>
        <v/>
      </c>
      <c r="R149" s="67">
        <f>IF(G149="","",ABS(P149-Components!$D$3))</f>
        <v/>
      </c>
      <c r="S149" s="67">
        <f>IF(G149="","",ABS(P149-Components!$D$4))</f>
        <v/>
      </c>
      <c r="T149" s="67">
        <f>IF(G149="","",ABS(P149-Components!$D$5))</f>
        <v/>
      </c>
      <c r="U149" s="67">
        <f>IF(G149="","",ABS(P149-Components!$D$6))</f>
        <v/>
      </c>
      <c r="V149" s="67">
        <f>IF(G149="","",ABS(P149-Components!$D$7))</f>
        <v/>
      </c>
      <c r="W149" s="61">
        <f>IF(G149="","",IF(N149="OK","NONE",INDEX({"S1","S2","W1","W2","N1","N2"},MATCH(MIN(Q149:V149),Q149:V149,0))))</f>
        <v/>
      </c>
      <c r="X149" s="69">
        <f>IF(G149="","",IF(W149=E149,1,0))</f>
        <v/>
      </c>
      <c r="Y149" s="70" t="n"/>
    </row>
    <row r="150">
      <c r="A150" s="61" t="n">
        <v>44</v>
      </c>
      <c r="B150" s="62" t="n">
        <v>-5</v>
      </c>
      <c r="C150" s="61" t="inlineStr">
        <is>
          <t>R4</t>
        </is>
      </c>
      <c r="D150" s="63" t="inlineStr">
        <is>
          <t>OK</t>
        </is>
      </c>
      <c r="E150" s="61" t="inlineStr">
        <is>
          <t>NONE</t>
        </is>
      </c>
      <c r="F150" s="61" t="inlineStr">
        <is>
          <t>K044</t>
        </is>
      </c>
      <c r="G150" s="75" t="n">
        <v>8.710000000000001</v>
      </c>
      <c r="H150" s="65" t="n"/>
      <c r="I150" s="66" t="n"/>
      <c r="J150" s="67">
        <f>VLOOKUP(C150,Recipes!$A$2:$N$4,10,FALSE())</f>
        <v/>
      </c>
      <c r="K150" s="68">
        <f>VLOOKUP(C150,Recipes!$A$2:$N$4,12,FALSE())</f>
        <v/>
      </c>
      <c r="L150" s="67">
        <f>J150-3*K150</f>
        <v/>
      </c>
      <c r="M150" s="67">
        <f>J150+3*K150</f>
        <v/>
      </c>
      <c r="N150" s="61">
        <f>IF(G150="","",IF(AND(G150&gt;=L150,G150&lt;=M150),"OK","NG"))</f>
        <v/>
      </c>
      <c r="O150" s="69">
        <f>IF(N150="","",IF(N150=D150,1,0))</f>
        <v/>
      </c>
      <c r="P150" s="67">
        <f>IF(G150="","",J150-G150)</f>
        <v/>
      </c>
      <c r="Q150" s="67">
        <f>IF(G150="","",ABS(P150-Components!$D$2))</f>
        <v/>
      </c>
      <c r="R150" s="67">
        <f>IF(G150="","",ABS(P150-Components!$D$3))</f>
        <v/>
      </c>
      <c r="S150" s="67">
        <f>IF(G150="","",ABS(P150-Components!$D$4))</f>
        <v/>
      </c>
      <c r="T150" s="67">
        <f>IF(G150="","",ABS(P150-Components!$D$5))</f>
        <v/>
      </c>
      <c r="U150" s="67">
        <f>IF(G150="","",ABS(P150-Components!$D$6))</f>
        <v/>
      </c>
      <c r="V150" s="67">
        <f>IF(G150="","",ABS(P150-Components!$D$7))</f>
        <v/>
      </c>
      <c r="W150" s="61">
        <f>IF(G150="","",IF(N150="OK","NONE",INDEX({"S1","S2","W1","W2","N1","N2"},MATCH(MIN(Q150:V150),Q150:V150,0))))</f>
        <v/>
      </c>
      <c r="X150" s="71">
        <f>IF(G150="","",IF(W150=E150,1,0))</f>
        <v/>
      </c>
      <c r="Y150" s="70" t="n"/>
    </row>
    <row r="151">
      <c r="A151" s="61" t="n">
        <v>44</v>
      </c>
      <c r="B151" s="62" t="n">
        <v>-5</v>
      </c>
      <c r="C151" s="61" t="inlineStr">
        <is>
          <t>R4</t>
        </is>
      </c>
      <c r="D151" s="63" t="inlineStr">
        <is>
          <t>OK</t>
        </is>
      </c>
      <c r="E151" s="61" t="inlineStr">
        <is>
          <t>NONE</t>
        </is>
      </c>
      <c r="F151" s="61" t="inlineStr">
        <is>
          <t>K044</t>
        </is>
      </c>
      <c r="G151" s="75" t="n">
        <v>8.94</v>
      </c>
      <c r="H151" s="65" t="n"/>
      <c r="I151" s="66" t="n"/>
      <c r="J151" s="67">
        <f>VLOOKUP(C151,Recipes!$A$2:$N$4,10,FALSE())</f>
        <v/>
      </c>
      <c r="K151" s="68">
        <f>VLOOKUP(C151,Recipes!$A$2:$N$4,12,FALSE())</f>
        <v/>
      </c>
      <c r="L151" s="67">
        <f>J151-3*K151</f>
        <v/>
      </c>
      <c r="M151" s="67">
        <f>J151+3*K151</f>
        <v/>
      </c>
      <c r="N151" s="61">
        <f>IF(G151="","",IF(AND(G151&gt;=L151,G151&lt;=M151),"OK","NG"))</f>
        <v/>
      </c>
      <c r="O151" s="69">
        <f>IF(N151="","",IF(N151=D151,1,0))</f>
        <v/>
      </c>
      <c r="P151" s="67">
        <f>IF(G151="","",J151-G151)</f>
        <v/>
      </c>
      <c r="Q151" s="67">
        <f>IF(G151="","",ABS(P151-Components!$D$2))</f>
        <v/>
      </c>
      <c r="R151" s="67">
        <f>IF(G151="","",ABS(P151-Components!$D$3))</f>
        <v/>
      </c>
      <c r="S151" s="67">
        <f>IF(G151="","",ABS(P151-Components!$D$4))</f>
        <v/>
      </c>
      <c r="T151" s="67">
        <f>IF(G151="","",ABS(P151-Components!$D$5))</f>
        <v/>
      </c>
      <c r="U151" s="67">
        <f>IF(G151="","",ABS(P151-Components!$D$6))</f>
        <v/>
      </c>
      <c r="V151" s="67">
        <f>IF(G151="","",ABS(P151-Components!$D$7))</f>
        <v/>
      </c>
      <c r="W151" s="61">
        <f>IF(G151="","",IF(N151="OK","NONE",INDEX({"S1","S2","W1","W2","N1","N2"},MATCH(MIN(Q151:V151),Q151:V151,0))))</f>
        <v/>
      </c>
      <c r="X151" s="69">
        <f>IF(G151="","",IF(W151=E151,1,0))</f>
        <v/>
      </c>
      <c r="Y151" s="70" t="n"/>
    </row>
    <row r="152">
      <c r="A152" s="61" t="n">
        <v>45</v>
      </c>
      <c r="B152" s="62" t="n">
        <v>-7</v>
      </c>
      <c r="C152" s="61" t="inlineStr">
        <is>
          <t>R4</t>
        </is>
      </c>
      <c r="D152" s="63" t="inlineStr">
        <is>
          <t>OK</t>
        </is>
      </c>
      <c r="E152" s="61" t="inlineStr">
        <is>
          <t>NONE</t>
        </is>
      </c>
      <c r="F152" s="61" t="inlineStr">
        <is>
          <t>K045</t>
        </is>
      </c>
      <c r="G152" s="75" t="n">
        <v>8.970000000000001</v>
      </c>
      <c r="H152" s="65" t="n"/>
      <c r="I152" s="66" t="n"/>
      <c r="J152" s="67">
        <f>VLOOKUP(C152,Recipes!$A$2:$N$4,10,FALSE())</f>
        <v/>
      </c>
      <c r="K152" s="68">
        <f>VLOOKUP(C152,Recipes!$A$2:$N$4,12,FALSE())</f>
        <v/>
      </c>
      <c r="L152" s="67">
        <f>J152-3*K152</f>
        <v/>
      </c>
      <c r="M152" s="67">
        <f>J152+3*K152</f>
        <v/>
      </c>
      <c r="N152" s="61">
        <f>IF(G152="","",IF(AND(G152&gt;=L152,G152&lt;=M152),"OK","NG"))</f>
        <v/>
      </c>
      <c r="O152" s="69">
        <f>IF(N152="","",IF(N152=D152,1,0))</f>
        <v/>
      </c>
      <c r="P152" s="67">
        <f>IF(G152="","",J152-G152)</f>
        <v/>
      </c>
      <c r="Q152" s="67">
        <f>IF(G152="","",ABS(P152-Components!$D$2))</f>
        <v/>
      </c>
      <c r="R152" s="67">
        <f>IF(G152="","",ABS(P152-Components!$D$3))</f>
        <v/>
      </c>
      <c r="S152" s="67">
        <f>IF(G152="","",ABS(P152-Components!$D$4))</f>
        <v/>
      </c>
      <c r="T152" s="67">
        <f>IF(G152="","",ABS(P152-Components!$D$5))</f>
        <v/>
      </c>
      <c r="U152" s="67">
        <f>IF(G152="","",ABS(P152-Components!$D$6))</f>
        <v/>
      </c>
      <c r="V152" s="67">
        <f>IF(G152="","",ABS(P152-Components!$D$7))</f>
        <v/>
      </c>
      <c r="W152" s="61">
        <f>IF(G152="","",IF(N152="OK","NONE",INDEX({"S1","S2","W1","W2","N1","N2"},MATCH(MIN(Q152:V152),Q152:V152,0))))</f>
        <v/>
      </c>
      <c r="X152" s="69">
        <f>IF(G152="","",IF(W152=E152,1,0))</f>
        <v/>
      </c>
      <c r="Y152" s="70" t="n"/>
    </row>
    <row r="153">
      <c r="A153" s="61" t="n">
        <v>26</v>
      </c>
      <c r="B153" s="62" t="n">
        <v>25</v>
      </c>
      <c r="C153" s="61" t="inlineStr">
        <is>
          <t>R4</t>
        </is>
      </c>
      <c r="D153" s="74" t="inlineStr">
        <is>
          <t>NG</t>
        </is>
      </c>
      <c r="E153" s="61" t="inlineStr">
        <is>
          <t>S1</t>
        </is>
      </c>
      <c r="F153" s="61" t="inlineStr">
        <is>
          <t>K026</t>
        </is>
      </c>
      <c r="G153" s="64" t="n">
        <v>6.18</v>
      </c>
      <c r="H153" s="65" t="n"/>
      <c r="I153" s="66" t="n"/>
      <c r="J153" s="67">
        <f>VLOOKUP(C153,Recipes!$A$2:$N$4,10,FALSE())</f>
        <v/>
      </c>
      <c r="K153" s="68">
        <f>VLOOKUP(C153,Recipes!$A$2:$N$4,12,FALSE())</f>
        <v/>
      </c>
      <c r="L153" s="67">
        <f>J153-3*K153</f>
        <v/>
      </c>
      <c r="M153" s="67">
        <f>J153+3*K153</f>
        <v/>
      </c>
      <c r="N153" s="61">
        <f>IF(G153="","",IF(AND(G153&gt;=L153,G153&lt;=M153),"OK","NG"))</f>
        <v/>
      </c>
      <c r="O153" s="69">
        <f>IF(N153="","",IF(N153=D153,1,0))</f>
        <v/>
      </c>
      <c r="P153" s="67">
        <f>IF(G153="","",J153-G153)</f>
        <v/>
      </c>
      <c r="Q153" s="67">
        <f>IF(G153="","",ABS(P153-Components!$D$2))</f>
        <v/>
      </c>
      <c r="R153" s="67">
        <f>IF(G153="","",ABS(P153-Components!$D$3))</f>
        <v/>
      </c>
      <c r="S153" s="67">
        <f>IF(G153="","",ABS(P153-Components!$D$4))</f>
        <v/>
      </c>
      <c r="T153" s="67">
        <f>IF(G153="","",ABS(P153-Components!$D$5))</f>
        <v/>
      </c>
      <c r="U153" s="67">
        <f>IF(G153="","",ABS(P153-Components!$D$6))</f>
        <v/>
      </c>
      <c r="V153" s="67">
        <f>IF(G153="","",ABS(P153-Components!$D$7))</f>
        <v/>
      </c>
      <c r="W153" s="61">
        <f>IF(G153="","",IF(N153="OK","NONE",INDEX({"S1","S2","W1","W2","N1","N2"},MATCH(MIN(Q153:V153),Q153:V153,0))))</f>
        <v/>
      </c>
      <c r="X153" s="69">
        <f>IF(G153="","",IF(W153=E153,1,0))</f>
        <v/>
      </c>
      <c r="Y153" s="70" t="n"/>
    </row>
    <row r="154">
      <c r="A154" s="61" t="n">
        <v>27</v>
      </c>
      <c r="B154" s="62" t="n">
        <v>1</v>
      </c>
      <c r="C154" s="61" t="inlineStr">
        <is>
          <t>R4</t>
        </is>
      </c>
      <c r="D154" s="74" t="inlineStr">
        <is>
          <t>NG</t>
        </is>
      </c>
      <c r="E154" s="61" t="inlineStr">
        <is>
          <t>S1</t>
        </is>
      </c>
      <c r="F154" s="61" t="inlineStr">
        <is>
          <t>K027</t>
        </is>
      </c>
      <c r="G154" s="64" t="n">
        <v>6.18</v>
      </c>
      <c r="H154" s="65" t="n"/>
      <c r="I154" s="66" t="n"/>
      <c r="J154" s="67">
        <f>VLOOKUP(C154,Recipes!$A$2:$N$4,10,FALSE())</f>
        <v/>
      </c>
      <c r="K154" s="68">
        <f>VLOOKUP(C154,Recipes!$A$2:$N$4,12,FALSE())</f>
        <v/>
      </c>
      <c r="L154" s="67">
        <f>J154-3*K154</f>
        <v/>
      </c>
      <c r="M154" s="67">
        <f>J154+3*K154</f>
        <v/>
      </c>
      <c r="N154" s="61">
        <f>IF(G154="","",IF(AND(G154&gt;=L154,G154&lt;=M154),"OK","NG"))</f>
        <v/>
      </c>
      <c r="O154" s="69">
        <f>IF(N154="","",IF(N154=D154,1,0))</f>
        <v/>
      </c>
      <c r="P154" s="67">
        <f>IF(G154="","",J154-G154)</f>
        <v/>
      </c>
      <c r="Q154" s="67">
        <f>IF(G154="","",ABS(P154-Components!$D$2))</f>
        <v/>
      </c>
      <c r="R154" s="67">
        <f>IF(G154="","",ABS(P154-Components!$D$3))</f>
        <v/>
      </c>
      <c r="S154" s="67">
        <f>IF(G154="","",ABS(P154-Components!$D$4))</f>
        <v/>
      </c>
      <c r="T154" s="67">
        <f>IF(G154="","",ABS(P154-Components!$D$5))</f>
        <v/>
      </c>
      <c r="U154" s="67">
        <f>IF(G154="","",ABS(P154-Components!$D$6))</f>
        <v/>
      </c>
      <c r="V154" s="67">
        <f>IF(G154="","",ABS(P154-Components!$D$7))</f>
        <v/>
      </c>
      <c r="W154" s="61">
        <f>IF(G154="","",IF(N154="OK","NONE",INDEX({"S1","S2","W1","W2","N1","N2"},MATCH(MIN(Q154:V154),Q154:V154,0))))</f>
        <v/>
      </c>
      <c r="X154" s="69">
        <f>IF(G154="","",IF(W154=E154,1,0))</f>
        <v/>
      </c>
      <c r="Y154" s="70" t="n"/>
    </row>
    <row r="155">
      <c r="A155" s="61" t="n">
        <v>28</v>
      </c>
      <c r="B155" s="62" t="n">
        <v>26</v>
      </c>
      <c r="C155" s="61" t="inlineStr">
        <is>
          <t>R4</t>
        </is>
      </c>
      <c r="D155" s="74" t="inlineStr">
        <is>
          <t>NG</t>
        </is>
      </c>
      <c r="E155" s="61" t="inlineStr">
        <is>
          <t>S1</t>
        </is>
      </c>
      <c r="F155" s="61" t="inlineStr">
        <is>
          <t>K028</t>
        </is>
      </c>
      <c r="G155" s="64" t="n">
        <v>6.15</v>
      </c>
      <c r="H155" s="65" t="n"/>
      <c r="I155" s="66" t="n"/>
      <c r="J155" s="67">
        <f>VLOOKUP(C155,Recipes!$A$2:$N$4,10,FALSE())</f>
        <v/>
      </c>
      <c r="K155" s="68">
        <f>VLOOKUP(C155,Recipes!$A$2:$N$4,12,FALSE())</f>
        <v/>
      </c>
      <c r="L155" s="67">
        <f>J155-3*K155</f>
        <v/>
      </c>
      <c r="M155" s="67">
        <f>J155+3*K155</f>
        <v/>
      </c>
      <c r="N155" s="61">
        <f>IF(G155="","",IF(AND(G155&gt;=L155,G155&lt;=M155),"OK","NG"))</f>
        <v/>
      </c>
      <c r="O155" s="69">
        <f>IF(N155="","",IF(N155=D155,1,0))</f>
        <v/>
      </c>
      <c r="P155" s="67">
        <f>IF(G155="","",J155-G155)</f>
        <v/>
      </c>
      <c r="Q155" s="67">
        <f>IF(G155="","",ABS(P155-Components!$D$2))</f>
        <v/>
      </c>
      <c r="R155" s="67">
        <f>IF(G155="","",ABS(P155-Components!$D$3))</f>
        <v/>
      </c>
      <c r="S155" s="67">
        <f>IF(G155="","",ABS(P155-Components!$D$4))</f>
        <v/>
      </c>
      <c r="T155" s="67">
        <f>IF(G155="","",ABS(P155-Components!$D$5))</f>
        <v/>
      </c>
      <c r="U155" s="67">
        <f>IF(G155="","",ABS(P155-Components!$D$6))</f>
        <v/>
      </c>
      <c r="V155" s="67">
        <f>IF(G155="","",ABS(P155-Components!$D$7))</f>
        <v/>
      </c>
      <c r="W155" s="61">
        <f>IF(G155="","",IF(N155="OK","NONE",INDEX({"S1","S2","W1","W2","N1","N2"},MATCH(MIN(Q155:V155),Q155:V155,0))))</f>
        <v/>
      </c>
      <c r="X155" s="69">
        <f>IF(G155="","",IF(W155=E155,1,0))</f>
        <v/>
      </c>
      <c r="Y155" s="70" t="n"/>
    </row>
    <row r="156">
      <c r="A156" s="61" t="n">
        <v>29</v>
      </c>
      <c r="B156" s="62" t="n">
        <v>52</v>
      </c>
      <c r="C156" s="61" t="inlineStr">
        <is>
          <t>R4</t>
        </is>
      </c>
      <c r="D156" s="74" t="inlineStr">
        <is>
          <t>NG</t>
        </is>
      </c>
      <c r="E156" s="61" t="inlineStr">
        <is>
          <t>S1</t>
        </is>
      </c>
      <c r="F156" s="61" t="inlineStr">
        <is>
          <t>K029</t>
        </is>
      </c>
      <c r="G156" s="64" t="n">
        <v>6.12</v>
      </c>
      <c r="H156" s="65" t="n"/>
      <c r="I156" s="66" t="n"/>
      <c r="J156" s="67">
        <f>VLOOKUP(C156,Recipes!$A$2:$N$4,10,FALSE())</f>
        <v/>
      </c>
      <c r="K156" s="68">
        <f>VLOOKUP(C156,Recipes!$A$2:$N$4,12,FALSE())</f>
        <v/>
      </c>
      <c r="L156" s="67">
        <f>J156-3*K156</f>
        <v/>
      </c>
      <c r="M156" s="67">
        <f>J156+3*K156</f>
        <v/>
      </c>
      <c r="N156" s="61">
        <f>IF(G156="","",IF(AND(G156&gt;=L156,G156&lt;=M156),"OK","NG"))</f>
        <v/>
      </c>
      <c r="O156" s="69">
        <f>IF(N156="","",IF(N156=D156,1,0))</f>
        <v/>
      </c>
      <c r="P156" s="67">
        <f>IF(G156="","",J156-G156)</f>
        <v/>
      </c>
      <c r="Q156" s="67">
        <f>IF(G156="","",ABS(P156-Components!$D$2))</f>
        <v/>
      </c>
      <c r="R156" s="67">
        <f>IF(G156="","",ABS(P156-Components!$D$3))</f>
        <v/>
      </c>
      <c r="S156" s="67">
        <f>IF(G156="","",ABS(P156-Components!$D$4))</f>
        <v/>
      </c>
      <c r="T156" s="67">
        <f>IF(G156="","",ABS(P156-Components!$D$5))</f>
        <v/>
      </c>
      <c r="U156" s="67">
        <f>IF(G156="","",ABS(P156-Components!$D$6))</f>
        <v/>
      </c>
      <c r="V156" s="67">
        <f>IF(G156="","",ABS(P156-Components!$D$7))</f>
        <v/>
      </c>
      <c r="W156" s="61">
        <f>IF(G156="","",IF(N156="OK","NONE",INDEX({"S1","S2","W1","W2","N1","N2"},MATCH(MIN(Q156:V156),Q156:V156,0))))</f>
        <v/>
      </c>
      <c r="X156" s="69">
        <f>IF(G156="","",IF(W156=E156,1,0))</f>
        <v/>
      </c>
      <c r="Y156" s="70" t="n"/>
    </row>
    <row r="157">
      <c r="A157" s="76" t="n">
        <v>41</v>
      </c>
      <c r="B157" s="77" t="n">
        <v>7</v>
      </c>
      <c r="C157" s="76" t="inlineStr">
        <is>
          <t>R4</t>
        </is>
      </c>
      <c r="D157" s="78" t="inlineStr">
        <is>
          <t>NG</t>
        </is>
      </c>
      <c r="E157" s="76" t="inlineStr">
        <is>
          <t>S1</t>
        </is>
      </c>
      <c r="F157" s="76" t="inlineStr">
        <is>
          <t>K041</t>
        </is>
      </c>
      <c r="G157" s="75" t="n">
        <v>6.16</v>
      </c>
      <c r="H157" s="65" t="n"/>
      <c r="I157" s="66" t="n"/>
      <c r="J157" s="67">
        <f>VLOOKUP(C155,Recipes!$A$2:$N$4,10,FALSE())</f>
        <v/>
      </c>
      <c r="K157" s="68">
        <f>VLOOKUP(C157,Recipes!$A$2:$N$4,12,FALSE())</f>
        <v/>
      </c>
      <c r="L157" s="67">
        <f>J157-3*K157</f>
        <v/>
      </c>
      <c r="M157" s="67">
        <f>J157+3*K157</f>
        <v/>
      </c>
      <c r="N157" s="61">
        <f>IF(G157="","",IF(AND(G157&gt;=L157,G157&lt;=M157),"OK","NG"))</f>
        <v/>
      </c>
      <c r="O157" s="69">
        <f>IF(N157="","",IF(N157=D157,1,0))</f>
        <v/>
      </c>
      <c r="P157" s="67">
        <f>IF(G157="","",J157-G157)</f>
        <v/>
      </c>
      <c r="Q157" s="67">
        <f>IF(G157="","",ABS(P157-Components!$D$2))</f>
        <v/>
      </c>
      <c r="R157" s="67">
        <f>IF(G157="","",ABS(P157-Components!$D$3))</f>
        <v/>
      </c>
      <c r="S157" s="67">
        <f>IF(G157="","",ABS(P157-Components!$D$3))</f>
        <v/>
      </c>
      <c r="T157" s="67">
        <f>IF(G157="","",ABS(P157-Components!$D$5))</f>
        <v/>
      </c>
      <c r="U157" s="67">
        <f>IF(G157="","",ABS(P157-Components!$D$6))</f>
        <v/>
      </c>
      <c r="V157" s="67">
        <f>IF(G157="","",ABS(P157-Components!$D$7))</f>
        <v/>
      </c>
      <c r="W157" s="61">
        <f>IF(G157="","",IF(N157="OK","NONE",INDEX({"S1","S2","W1","W2","N1","N2"},MATCH(MIN(Q157:V157),Q157:V157,0))))</f>
        <v/>
      </c>
      <c r="X157" s="69">
        <f>IF(G157="","",IF(W157=E157,1,0))</f>
        <v/>
      </c>
      <c r="Y157" s="70" t="n"/>
    </row>
    <row r="158">
      <c r="A158" s="61" t="n">
        <v>39.8</v>
      </c>
      <c r="B158" s="62" t="n">
        <v>26.7</v>
      </c>
      <c r="C158" s="61" t="inlineStr">
        <is>
          <t>R4</t>
        </is>
      </c>
      <c r="D158" s="74" t="inlineStr">
        <is>
          <t>NG</t>
        </is>
      </c>
      <c r="E158" s="61" t="inlineStr">
        <is>
          <t>S1</t>
        </is>
      </c>
      <c r="F158" s="61" t="inlineStr">
        <is>
          <t>K026</t>
        </is>
      </c>
      <c r="G158" s="75" t="n">
        <v>6.19</v>
      </c>
      <c r="H158" s="65" t="n"/>
      <c r="I158" s="66" t="n"/>
      <c r="J158" s="67">
        <f>VLOOKUP(C158,Recipes!$A$2:$N$4,10,FALSE())</f>
        <v/>
      </c>
      <c r="K158" s="68">
        <f>VLOOKUP(C158,Recipes!$A$2:$N$4,12,FALSE())</f>
        <v/>
      </c>
      <c r="L158" s="67">
        <f>J158-3*K158</f>
        <v/>
      </c>
      <c r="M158" s="67">
        <f>J158+3*K158</f>
        <v/>
      </c>
      <c r="N158" s="61">
        <f>IF(G158="","",IF(AND(G158&gt;=L158,G158&lt;=M158),"OK","NG"))</f>
        <v/>
      </c>
      <c r="O158" s="69">
        <f>IF(N158="","",IF(N158=D158,1,0))</f>
        <v/>
      </c>
      <c r="P158" s="67">
        <f>IF(G158="","",J158-G158)</f>
        <v/>
      </c>
      <c r="Q158" s="67">
        <f>IF(G158="","",ABS(P158-Components!$D$2))</f>
        <v/>
      </c>
      <c r="R158" s="67">
        <f>IF(G158="","",ABS(P158-Components!$D$3))</f>
        <v/>
      </c>
      <c r="S158" s="67">
        <f>IF(G158="","",ABS(P158-Components!$D$4))</f>
        <v/>
      </c>
      <c r="T158" s="67">
        <f>IF(G158="","",ABS(P158-Components!$D$5))</f>
        <v/>
      </c>
      <c r="U158" s="67">
        <f>IF(G158="","",ABS(P158-Components!$D$6))</f>
        <v/>
      </c>
      <c r="V158" s="67">
        <f>IF(G158="","",ABS(P158-Components!$D$7))</f>
        <v/>
      </c>
      <c r="W158" s="61">
        <f>IF(G158="","",IF(N158="OK","NONE",INDEX({"S1","S2","W1","W2","N1","N2"},MATCH(MIN(Q158:V158),Q158:V158,0))))</f>
        <v/>
      </c>
      <c r="X158" s="69">
        <f>IF(G158="","",IF(W158=E158,1,0))</f>
        <v/>
      </c>
      <c r="Y158" s="70" t="n"/>
    </row>
    <row r="159">
      <c r="A159" s="61" t="n">
        <v>43</v>
      </c>
      <c r="B159" s="62" t="n">
        <v>28.2</v>
      </c>
      <c r="C159" s="61" t="inlineStr">
        <is>
          <t>R4</t>
        </is>
      </c>
      <c r="D159" s="74" t="inlineStr">
        <is>
          <t>NG</t>
        </is>
      </c>
      <c r="E159" s="61" t="inlineStr">
        <is>
          <t>S1</t>
        </is>
      </c>
      <c r="F159" s="61" t="inlineStr">
        <is>
          <t>K027</t>
        </is>
      </c>
      <c r="G159" s="75" t="n">
        <v>6.18</v>
      </c>
      <c r="H159" s="65" t="n"/>
      <c r="I159" s="66" t="n"/>
      <c r="J159" s="67">
        <f>VLOOKUP(C159,Recipes!$A$2:$N$4,10,FALSE())</f>
        <v/>
      </c>
      <c r="K159" s="68">
        <f>VLOOKUP(C159,Recipes!$A$2:$N$4,12,FALSE())</f>
        <v/>
      </c>
      <c r="L159" s="67">
        <f>J159-3*K159</f>
        <v/>
      </c>
      <c r="M159" s="67">
        <f>J159+3*K159</f>
        <v/>
      </c>
      <c r="N159" s="61">
        <f>IF(G159="","",IF(AND(G159&gt;=L159,G159&lt;=M159),"OK","NG"))</f>
        <v/>
      </c>
      <c r="O159" s="69">
        <f>IF(N159="","",IF(N159=D159,1,0))</f>
        <v/>
      </c>
      <c r="P159" s="67">
        <f>IF(G159="","",J159-G159)</f>
        <v/>
      </c>
      <c r="Q159" s="67">
        <f>IF(G159="","",ABS(P159-Components!$D$2))</f>
        <v/>
      </c>
      <c r="R159" s="67">
        <f>IF(G159="","",ABS(P159-Components!$D$3))</f>
        <v/>
      </c>
      <c r="S159" s="67">
        <f>IF(G159="","",ABS(P159-Components!$D$4))</f>
        <v/>
      </c>
      <c r="T159" s="67">
        <f>IF(G159="","",ABS(P159-Components!$D$5))</f>
        <v/>
      </c>
      <c r="U159" s="67">
        <f>IF(G159="","",ABS(P159-Components!$D$6))</f>
        <v/>
      </c>
      <c r="V159" s="67">
        <f>IF(G159="","",ABS(P159-Components!$D$7))</f>
        <v/>
      </c>
      <c r="W159" s="61">
        <f>IF(G159="","",IF(N159="OK","NONE",INDEX({"S1","S2","W1","W2","N1","N2"},MATCH(MIN(Q159:V159),Q159:V159,0))))</f>
        <v/>
      </c>
      <c r="X159" s="69">
        <f>IF(G159="","",IF(W159=E159,1,0))</f>
        <v/>
      </c>
      <c r="Y159" s="70" t="n"/>
    </row>
    <row r="160">
      <c r="A160" s="61" t="n">
        <v>46.2</v>
      </c>
      <c r="B160" s="62" t="n">
        <v>29.7</v>
      </c>
      <c r="C160" s="61" t="inlineStr">
        <is>
          <t>R4</t>
        </is>
      </c>
      <c r="D160" s="74" t="inlineStr">
        <is>
          <t>NG</t>
        </is>
      </c>
      <c r="E160" s="61" t="inlineStr">
        <is>
          <t>S1</t>
        </is>
      </c>
      <c r="F160" s="61" t="inlineStr">
        <is>
          <t>K028</t>
        </is>
      </c>
      <c r="G160" s="75" t="n">
        <v>6.13</v>
      </c>
      <c r="H160" s="65" t="n"/>
      <c r="I160" s="66" t="n"/>
      <c r="J160" s="67">
        <f>VLOOKUP(C160,Recipes!$A$2:$N$4,10,FALSE())</f>
        <v/>
      </c>
      <c r="K160" s="68">
        <f>VLOOKUP(C160,Recipes!$A$2:$N$4,12,FALSE())</f>
        <v/>
      </c>
      <c r="L160" s="67">
        <f>J160-3*K160</f>
        <v/>
      </c>
      <c r="M160" s="67">
        <f>J160+3*K160</f>
        <v/>
      </c>
      <c r="N160" s="61">
        <f>IF(G160="","",IF(AND(G160&gt;=L160,G160&lt;=M160),"OK","NG"))</f>
        <v/>
      </c>
      <c r="O160" s="69">
        <f>IF(N160="","",IF(N160=D160,1,0))</f>
        <v/>
      </c>
      <c r="P160" s="67">
        <f>IF(G160="","",J160-G160)</f>
        <v/>
      </c>
      <c r="Q160" s="67">
        <f>IF(G160="","",ABS(P160-Components!$D$2))</f>
        <v/>
      </c>
      <c r="R160" s="67">
        <f>IF(G160="","",ABS(P160-Components!$D$3))</f>
        <v/>
      </c>
      <c r="S160" s="67">
        <f>IF(G160="","",ABS(P160-Components!$D$4))</f>
        <v/>
      </c>
      <c r="T160" s="67">
        <f>IF(G160="","",ABS(P160-Components!$D$5))</f>
        <v/>
      </c>
      <c r="U160" s="67">
        <f>IF(G160="","",ABS(P160-Components!$D$6))</f>
        <v/>
      </c>
      <c r="V160" s="67">
        <f>IF(G160="","",ABS(P160-Components!$D$7))</f>
        <v/>
      </c>
      <c r="W160" s="61">
        <f>IF(G160="","",IF(N160="OK","NONE",INDEX({"S1","S2","W1","W2","N1","N2"},MATCH(MIN(Q160:V160),Q160:V160,0))))</f>
        <v/>
      </c>
      <c r="X160" s="69">
        <f>IF(G160="","",IF(W160=E160,1,0))</f>
        <v/>
      </c>
      <c r="Y160" s="70" t="n"/>
    </row>
    <row r="161">
      <c r="A161" s="61" t="n">
        <v>49.4</v>
      </c>
      <c r="B161" s="62" t="n">
        <v>31.2</v>
      </c>
      <c r="C161" s="61" t="inlineStr">
        <is>
          <t>R4</t>
        </is>
      </c>
      <c r="D161" s="74" t="inlineStr">
        <is>
          <t>NG</t>
        </is>
      </c>
      <c r="E161" s="61" t="inlineStr">
        <is>
          <t>S1</t>
        </is>
      </c>
      <c r="F161" s="61" t="inlineStr">
        <is>
          <t>K029</t>
        </is>
      </c>
      <c r="G161" s="75" t="n">
        <v>6.22</v>
      </c>
      <c r="H161" s="65" t="n"/>
      <c r="I161" s="66" t="n"/>
      <c r="J161" s="67">
        <f>VLOOKUP(C161,Recipes!$A$2:$N$4,10,FALSE())</f>
        <v/>
      </c>
      <c r="K161" s="68">
        <f>VLOOKUP(C161,Recipes!$A$2:$N$4,12,FALSE())</f>
        <v/>
      </c>
      <c r="L161" s="67">
        <f>J161-3*K161</f>
        <v/>
      </c>
      <c r="M161" s="67">
        <f>J161+3*K161</f>
        <v/>
      </c>
      <c r="N161" s="61">
        <f>IF(G161="","",IF(AND(G161&gt;=L161,G161&lt;=M161),"OK","NG"))</f>
        <v/>
      </c>
      <c r="O161" s="69">
        <f>IF(N161="","",IF(N161=D161,1,0))</f>
        <v/>
      </c>
      <c r="P161" s="67">
        <f>IF(G161="","",J161-G161)</f>
        <v/>
      </c>
      <c r="Q161" s="67">
        <f>IF(G161="","",ABS(P161-Components!$D$2))</f>
        <v/>
      </c>
      <c r="R161" s="67">
        <f>IF(G161="","",ABS(P161-Components!$D$3))</f>
        <v/>
      </c>
      <c r="S161" s="67">
        <f>IF(G161="","",ABS(P161-Components!$D$4))</f>
        <v/>
      </c>
      <c r="T161" s="67">
        <f>IF(G161="","",ABS(P161-Components!$D$5))</f>
        <v/>
      </c>
      <c r="U161" s="67">
        <f>IF(G161="","",ABS(P161-Components!$D$6))</f>
        <v/>
      </c>
      <c r="V161" s="67">
        <f>IF(G161="","",ABS(P161-Components!$D$7))</f>
        <v/>
      </c>
      <c r="W161" s="61">
        <f>IF(G161="","",IF(N161="OK","NONE",INDEX({"S1","S2","W1","W2","N1","N2"},MATCH(MIN(Q161:V161),Q161:V161,0))))</f>
        <v/>
      </c>
      <c r="X161" s="69">
        <f>IF(G161="","",IF(W161=E161,1,0))</f>
        <v/>
      </c>
      <c r="Y161" s="70" t="n"/>
    </row>
    <row r="162">
      <c r="A162" s="76" t="n">
        <v>52.6</v>
      </c>
      <c r="B162" s="77" t="n">
        <v>32.7</v>
      </c>
      <c r="C162" s="76" t="inlineStr">
        <is>
          <t>R4</t>
        </is>
      </c>
      <c r="D162" s="78" t="inlineStr">
        <is>
          <t>NG</t>
        </is>
      </c>
      <c r="E162" s="76" t="inlineStr">
        <is>
          <t>S1</t>
        </is>
      </c>
      <c r="F162" s="76" t="inlineStr">
        <is>
          <t>K041</t>
        </is>
      </c>
      <c r="G162" s="75" t="n">
        <v>6.17</v>
      </c>
      <c r="H162" s="65" t="n"/>
      <c r="I162" s="66" t="n"/>
      <c r="J162" s="67">
        <f>VLOOKUP(C162,Recipes!$A$2:$N$4,10,FALSE())</f>
        <v/>
      </c>
      <c r="K162" s="68">
        <f>VLOOKUP(C162,Recipes!$A$2:$N$4,12,FALSE())</f>
        <v/>
      </c>
      <c r="L162" s="67">
        <f>J162-3*K162</f>
        <v/>
      </c>
      <c r="M162" s="67">
        <f>J162+3*K162</f>
        <v/>
      </c>
      <c r="N162" s="61">
        <f>IF(G162="","",IF(AND(G162&gt;=L162,G162&lt;=M162),"OK","NG"))</f>
        <v/>
      </c>
      <c r="O162" s="69">
        <f>IF(N162="","",IF(N162=D162,1,0))</f>
        <v/>
      </c>
      <c r="P162" s="67">
        <f>IF(G162="","",J162-G162)</f>
        <v/>
      </c>
      <c r="Q162" s="67">
        <f>IF(G162="","",ABS(P162-Components!$D$2))</f>
        <v/>
      </c>
      <c r="R162" s="67">
        <f>IF(G162="","",ABS(P162-Components!$D$3))</f>
        <v/>
      </c>
      <c r="S162" s="67">
        <f>IF(G162="","",ABS(P162-Components!$D$4))</f>
        <v/>
      </c>
      <c r="T162" s="67">
        <f>IF(G162="","",ABS(P162-Components!$D$5))</f>
        <v/>
      </c>
      <c r="U162" s="67">
        <f>IF(G162="","",ABS(P162-Components!$D$6))</f>
        <v/>
      </c>
      <c r="V162" s="67">
        <f>IF(G162="","",ABS(P162-Components!$D$7))</f>
        <v/>
      </c>
      <c r="W162" s="61">
        <f>IF(G162="","",IF(N162="OK","NONE",INDEX({"S1","S2","W1","W2","N1","N2"},MATCH(MIN(Q162:V162),Q162:V162,0))))</f>
        <v/>
      </c>
      <c r="X162" s="69">
        <f>IF(G162="","",IF(W162=E162,1,0))</f>
        <v/>
      </c>
      <c r="Y162" s="70" t="n"/>
    </row>
    <row r="163">
      <c r="A163" s="61" t="n">
        <v>55.8</v>
      </c>
      <c r="B163" s="62" t="n">
        <v>34.2</v>
      </c>
      <c r="C163" s="61" t="inlineStr">
        <is>
          <t>R4</t>
        </is>
      </c>
      <c r="D163" s="74" t="inlineStr">
        <is>
          <t>NG</t>
        </is>
      </c>
      <c r="E163" s="61" t="inlineStr">
        <is>
          <t>S1</t>
        </is>
      </c>
      <c r="F163" s="61" t="inlineStr">
        <is>
          <t>K026</t>
        </is>
      </c>
      <c r="G163" s="75" t="n">
        <v>6.16</v>
      </c>
      <c r="H163" s="65" t="n"/>
      <c r="I163" s="66" t="n"/>
      <c r="J163" s="67">
        <f>VLOOKUP(C163,Recipes!$A$2:$N$4,10,FALSE())</f>
        <v/>
      </c>
      <c r="K163" s="68">
        <f>VLOOKUP(C163,Recipes!$A$2:$N$4,12,FALSE())</f>
        <v/>
      </c>
      <c r="L163" s="67">
        <f>J163-3*K163</f>
        <v/>
      </c>
      <c r="M163" s="67">
        <f>J163+3*K163</f>
        <v/>
      </c>
      <c r="N163" s="61">
        <f>IF(G163="","",IF(AND(G163&gt;=L163,G163&lt;=M163),"OK","NG"))</f>
        <v/>
      </c>
      <c r="O163" s="69">
        <f>IF(N163="","",IF(N163=D163,1,0))</f>
        <v/>
      </c>
      <c r="P163" s="67">
        <f>IF(G163="","",J163-G163)</f>
        <v/>
      </c>
      <c r="Q163" s="67">
        <f>IF(G163="","",ABS(P163-Components!$D$2))</f>
        <v/>
      </c>
      <c r="R163" s="67">
        <f>IF(G163="","",ABS(P163-Components!$D$3))</f>
        <v/>
      </c>
      <c r="S163" s="67">
        <f>IF(G163="","",ABS(P163-Components!$D$4))</f>
        <v/>
      </c>
      <c r="T163" s="67">
        <f>IF(G163="","",ABS(P163-Components!$D$5))</f>
        <v/>
      </c>
      <c r="U163" s="67">
        <f>IF(G163="","",ABS(P163-Components!$D$6))</f>
        <v/>
      </c>
      <c r="V163" s="67">
        <f>IF(G163="","",ABS(P163-Components!$D$7))</f>
        <v/>
      </c>
      <c r="W163" s="61">
        <f>IF(G163="","",IF(N163="OK","NONE",INDEX({"S1","S2","W1","W2","N1","N2"},MATCH(MIN(Q163:V163),Q163:V163,0))))</f>
        <v/>
      </c>
      <c r="X163" s="69">
        <f>IF(G163="","",IF(W163=E163,1,0))</f>
        <v/>
      </c>
      <c r="Y163" s="70" t="n"/>
    </row>
    <row r="164">
      <c r="A164" s="61" t="n">
        <v>59</v>
      </c>
      <c r="B164" s="62" t="n">
        <v>35.7</v>
      </c>
      <c r="C164" s="61" t="inlineStr">
        <is>
          <t>R4</t>
        </is>
      </c>
      <c r="D164" s="74" t="inlineStr">
        <is>
          <t>NG</t>
        </is>
      </c>
      <c r="E164" s="61" t="inlineStr">
        <is>
          <t>S1</t>
        </is>
      </c>
      <c r="F164" s="61" t="inlineStr">
        <is>
          <t>K027</t>
        </is>
      </c>
      <c r="G164" s="75" t="n">
        <v>6.17</v>
      </c>
      <c r="H164" s="65" t="n"/>
      <c r="I164" s="66" t="n"/>
      <c r="J164" s="67">
        <f>VLOOKUP(C164,Recipes!$A$2:$N$4,10,FALSE())</f>
        <v/>
      </c>
      <c r="K164" s="68">
        <f>VLOOKUP(C164,Recipes!$A$2:$N$4,12,FALSE())</f>
        <v/>
      </c>
      <c r="L164" s="67">
        <f>J164-3*K164</f>
        <v/>
      </c>
      <c r="M164" s="67">
        <f>J164+3*K164</f>
        <v/>
      </c>
      <c r="N164" s="61">
        <f>IF(G164="","",IF(AND(G164&gt;=L164,G164&lt;=M164),"OK","NG"))</f>
        <v/>
      </c>
      <c r="O164" s="69">
        <f>IF(N164="","",IF(N164=D164,1,0))</f>
        <v/>
      </c>
      <c r="P164" s="67">
        <f>IF(G164="","",J164-G164)</f>
        <v/>
      </c>
      <c r="Q164" s="67">
        <f>IF(G164="","",ABS(P164-Components!$D$2))</f>
        <v/>
      </c>
      <c r="R164" s="67">
        <f>IF(G164="","",ABS(P164-Components!$D$3))</f>
        <v/>
      </c>
      <c r="S164" s="67">
        <f>IF(G164="","",ABS(P164-Components!$D$4))</f>
        <v/>
      </c>
      <c r="T164" s="67">
        <f>IF(G164="","",ABS(P164-Components!$D$5))</f>
        <v/>
      </c>
      <c r="U164" s="67">
        <f>IF(G164="","",ABS(P164-Components!$D$6))</f>
        <v/>
      </c>
      <c r="V164" s="67">
        <f>IF(G164="","",ABS(P164-Components!$D$7))</f>
        <v/>
      </c>
      <c r="W164" s="61">
        <f>IF(G164="","",IF(N164="OK","NONE",INDEX({"S1","S2","W1","W2","N1","N2"},MATCH(MIN(Q164:V164),Q164:V164,0))))</f>
        <v/>
      </c>
      <c r="X164" s="69">
        <f>IF(G164="","",IF(W164=E164,1,0))</f>
        <v/>
      </c>
      <c r="Y164" s="70" t="n"/>
    </row>
    <row r="165">
      <c r="A165" s="61" t="n">
        <v>62.2</v>
      </c>
      <c r="B165" s="62" t="n">
        <v>37.2</v>
      </c>
      <c r="C165" s="61" t="inlineStr">
        <is>
          <t>R4</t>
        </is>
      </c>
      <c r="D165" s="74" t="inlineStr">
        <is>
          <t>NG</t>
        </is>
      </c>
      <c r="E165" s="61" t="inlineStr">
        <is>
          <t>S1</t>
        </is>
      </c>
      <c r="F165" s="61" t="inlineStr">
        <is>
          <t>K028</t>
        </is>
      </c>
      <c r="G165" s="75" t="n">
        <v>6.14</v>
      </c>
      <c r="H165" s="65" t="n"/>
      <c r="I165" s="66" t="n"/>
      <c r="J165" s="67">
        <f>VLOOKUP(C165,Recipes!$A$2:$N$4,10,FALSE())</f>
        <v/>
      </c>
      <c r="K165" s="68">
        <f>VLOOKUP(C165,Recipes!$A$2:$N$4,12,FALSE())</f>
        <v/>
      </c>
      <c r="L165" s="67">
        <f>J165-3*K165</f>
        <v/>
      </c>
      <c r="M165" s="67">
        <f>J165+3*K165</f>
        <v/>
      </c>
      <c r="N165" s="61">
        <f>IF(G165="","",IF(AND(G165&gt;=L165,G165&lt;=M165),"OK","NG"))</f>
        <v/>
      </c>
      <c r="O165" s="69">
        <f>IF(N165="","",IF(N165=D165,1,0))</f>
        <v/>
      </c>
      <c r="P165" s="67">
        <f>IF(G165="","",J165-G165)</f>
        <v/>
      </c>
      <c r="Q165" s="67">
        <f>IF(G165="","",ABS(P165-Components!$D$2))</f>
        <v/>
      </c>
      <c r="R165" s="67">
        <f>IF(G165="","",ABS(P165-Components!$D$3))</f>
        <v/>
      </c>
      <c r="S165" s="67">
        <f>IF(G165="","",ABS(P165-Components!$D$4))</f>
        <v/>
      </c>
      <c r="T165" s="67">
        <f>IF(G165="","",ABS(P165-Components!$D$5))</f>
        <v/>
      </c>
      <c r="U165" s="67">
        <f>IF(G165="","",ABS(P165-Components!$D$6))</f>
        <v/>
      </c>
      <c r="V165" s="67">
        <f>IF(G165="","",ABS(P165-Components!$D$7))</f>
        <v/>
      </c>
      <c r="W165" s="61">
        <f>IF(G165="","",IF(N165="OK","NONE",INDEX({"S1","S2","W1","W2","N1","N2"},MATCH(MIN(Q165:V165),Q165:V165,0))))</f>
        <v/>
      </c>
      <c r="X165" s="69">
        <f>IF(G165="","",IF(W165=E165,1,0))</f>
        <v/>
      </c>
      <c r="Y165" s="70" t="n"/>
    </row>
    <row r="166">
      <c r="A166" s="61" t="n">
        <v>65.40000000000001</v>
      </c>
      <c r="B166" s="62" t="n">
        <v>38.7</v>
      </c>
      <c r="C166" s="61" t="inlineStr">
        <is>
          <t>R4</t>
        </is>
      </c>
      <c r="D166" s="74" t="inlineStr">
        <is>
          <t>NG</t>
        </is>
      </c>
      <c r="E166" s="61" t="inlineStr">
        <is>
          <t>S1</t>
        </is>
      </c>
      <c r="F166" s="61" t="inlineStr">
        <is>
          <t>K029</t>
        </is>
      </c>
      <c r="G166" s="75" t="n">
        <v>6.2</v>
      </c>
      <c r="H166" s="65" t="n"/>
      <c r="I166" s="66" t="n"/>
      <c r="J166" s="67">
        <f>VLOOKUP(C166,Recipes!$A$2:$N$4,10,FALSE())</f>
        <v/>
      </c>
      <c r="K166" s="68">
        <f>VLOOKUP(C166,Recipes!$A$2:$N$4,12,FALSE())</f>
        <v/>
      </c>
      <c r="L166" s="67">
        <f>J166-3*K166</f>
        <v/>
      </c>
      <c r="M166" s="67">
        <f>J166+3*K166</f>
        <v/>
      </c>
      <c r="N166" s="61">
        <f>IF(G166="","",IF(AND(G166&gt;=L166,G166&lt;=M166),"OK","NG"))</f>
        <v/>
      </c>
      <c r="O166" s="69">
        <f>IF(N166="","",IF(N166=D166,1,0))</f>
        <v/>
      </c>
      <c r="P166" s="67">
        <f>IF(G166="","",J166-G166)</f>
        <v/>
      </c>
      <c r="Q166" s="67">
        <f>IF(G166="","",ABS(P166-Components!$D$2))</f>
        <v/>
      </c>
      <c r="R166" s="67">
        <f>IF(G166="","",ABS(P166-Components!$D$3))</f>
        <v/>
      </c>
      <c r="S166" s="67">
        <f>IF(G166="","",ABS(P166-Components!$D$4))</f>
        <v/>
      </c>
      <c r="T166" s="67">
        <f>IF(G166="","",ABS(P166-Components!$D$5))</f>
        <v/>
      </c>
      <c r="U166" s="67">
        <f>IF(G166="","",ABS(P166-Components!$D$6))</f>
        <v/>
      </c>
      <c r="V166" s="67">
        <f>IF(G166="","",ABS(P166-Components!$D$7))</f>
        <v/>
      </c>
      <c r="W166" s="61">
        <f>IF(G166="","",IF(N166="OK","NONE",INDEX({"S1","S2","W1","W2","N1","N2"},MATCH(MIN(Q166:V166),Q166:V166,0))))</f>
        <v/>
      </c>
      <c r="X166" s="69">
        <f>IF(G166="","",IF(W166=E166,1,0))</f>
        <v/>
      </c>
      <c r="Y166" s="70" t="n"/>
    </row>
    <row r="167">
      <c r="A167" s="76" t="n">
        <v>68.59999999999999</v>
      </c>
      <c r="B167" s="77" t="n">
        <v>40.2</v>
      </c>
      <c r="C167" s="76" t="inlineStr">
        <is>
          <t>R4</t>
        </is>
      </c>
      <c r="D167" s="78" t="inlineStr">
        <is>
          <t>NG</t>
        </is>
      </c>
      <c r="E167" s="76" t="inlineStr">
        <is>
          <t>S1</t>
        </is>
      </c>
      <c r="F167" s="76" t="inlineStr">
        <is>
          <t>K041</t>
        </is>
      </c>
      <c r="G167" s="75" t="n">
        <v>6.19</v>
      </c>
      <c r="H167" s="65" t="n"/>
      <c r="I167" s="66" t="n"/>
      <c r="J167" s="67">
        <f>VLOOKUP(C167,Recipes!$A$2:$N$4,10,FALSE())</f>
        <v/>
      </c>
      <c r="K167" s="68">
        <f>VLOOKUP(C167,Recipes!$A$2:$N$4,12,FALSE())</f>
        <v/>
      </c>
      <c r="L167" s="67">
        <f>J167-3*K167</f>
        <v/>
      </c>
      <c r="M167" s="67">
        <f>J167+3*K167</f>
        <v/>
      </c>
      <c r="N167" s="61">
        <f>IF(G167="","",IF(AND(G167&gt;=L167,G167&lt;=M167),"OK","NG"))</f>
        <v/>
      </c>
      <c r="O167" s="69">
        <f>IF(N167="","",IF(N167=D167,1,0))</f>
        <v/>
      </c>
      <c r="P167" s="67">
        <f>IF(G167="","",J167-G167)</f>
        <v/>
      </c>
      <c r="Q167" s="67">
        <f>IF(G167="","",ABS(P167-Components!$D$2))</f>
        <v/>
      </c>
      <c r="R167" s="67">
        <f>IF(G167="","",ABS(P167-Components!$D$3))</f>
        <v/>
      </c>
      <c r="S167" s="67">
        <f>IF(G167="","",ABS(P167-Components!$D$4))</f>
        <v/>
      </c>
      <c r="T167" s="67">
        <f>IF(G167="","",ABS(P167-Components!$D$5))</f>
        <v/>
      </c>
      <c r="U167" s="67">
        <f>IF(G167="","",ABS(P167-Components!$D$6))</f>
        <v/>
      </c>
      <c r="V167" s="67">
        <f>IF(G167="","",ABS(P167-Components!$D$7))</f>
        <v/>
      </c>
      <c r="W167" s="61">
        <f>IF(G167="","",IF(N167="OK","NONE",INDEX({"S1","S2","W1","W2","N1","N2"},MATCH(MIN(Q167:V167),Q167:V167,0))))</f>
        <v/>
      </c>
      <c r="X167" s="69">
        <f>IF(G167="","",IF(W167=E167,1,0))</f>
        <v/>
      </c>
      <c r="Y167" s="70" t="n"/>
    </row>
    <row r="168">
      <c r="A168" s="61" t="n">
        <v>71.8</v>
      </c>
      <c r="B168" s="62" t="n">
        <v>41.7</v>
      </c>
      <c r="C168" s="61" t="inlineStr">
        <is>
          <t>R4</t>
        </is>
      </c>
      <c r="D168" s="74" t="inlineStr">
        <is>
          <t>NG</t>
        </is>
      </c>
      <c r="E168" s="61" t="inlineStr">
        <is>
          <t>S1</t>
        </is>
      </c>
      <c r="F168" s="61" t="inlineStr">
        <is>
          <t>K026</t>
        </is>
      </c>
      <c r="G168" s="75" t="n">
        <v>6.19</v>
      </c>
      <c r="H168" s="65" t="n"/>
      <c r="I168" s="66" t="n"/>
      <c r="J168" s="67">
        <f>VLOOKUP(C168,Recipes!$A$2:$N$4,10,FALSE())</f>
        <v/>
      </c>
      <c r="K168" s="68">
        <f>VLOOKUP(C168,Recipes!$A$2:$N$4,12,FALSE())</f>
        <v/>
      </c>
      <c r="L168" s="67">
        <f>J168-3*K168</f>
        <v/>
      </c>
      <c r="M168" s="67">
        <f>J168+3*K168</f>
        <v/>
      </c>
      <c r="N168" s="61">
        <f>IF(G168="","",IF(AND(G168&gt;=L168,G168&lt;=M168),"OK","NG"))</f>
        <v/>
      </c>
      <c r="O168" s="69">
        <f>IF(N168="","",IF(N168=D168,1,0))</f>
        <v/>
      </c>
      <c r="P168" s="67">
        <f>IF(G168="","",J168-G168)</f>
        <v/>
      </c>
      <c r="Q168" s="67">
        <f>IF(G168="","",ABS(P168-Components!$D$2))</f>
        <v/>
      </c>
      <c r="R168" s="67">
        <f>IF(G168="","",ABS(P168-Components!$D$3))</f>
        <v/>
      </c>
      <c r="S168" s="67">
        <f>IF(G168="","",ABS(P168-Components!$D$4))</f>
        <v/>
      </c>
      <c r="T168" s="67">
        <f>IF(G168="","",ABS(P168-Components!$D$5))</f>
        <v/>
      </c>
      <c r="U168" s="67">
        <f>IF(G168="","",ABS(P168-Components!$D$6))</f>
        <v/>
      </c>
      <c r="V168" s="67">
        <f>IF(G168="","",ABS(P168-Components!$D$7))</f>
        <v/>
      </c>
      <c r="W168" s="61">
        <f>IF(G168="","",IF(N168="OK","NONE",INDEX({"S1","S2","W1","W2","N1","N2"},MATCH(MIN(Q168:V168),Q168:V168,0))))</f>
        <v/>
      </c>
      <c r="X168" s="69">
        <f>IF(G168="","",IF(W168=E168,1,0))</f>
        <v/>
      </c>
      <c r="Y168" s="70" t="n"/>
    </row>
    <row r="169">
      <c r="A169" s="61" t="n">
        <v>75</v>
      </c>
      <c r="B169" s="62" t="n">
        <v>43.2</v>
      </c>
      <c r="C169" s="61" t="inlineStr">
        <is>
          <t>R4</t>
        </is>
      </c>
      <c r="D169" s="74" t="inlineStr">
        <is>
          <t>NG</t>
        </is>
      </c>
      <c r="E169" s="61" t="inlineStr">
        <is>
          <t>S1</t>
        </is>
      </c>
      <c r="F169" s="61" t="inlineStr">
        <is>
          <t>K027</t>
        </is>
      </c>
      <c r="G169" s="75" t="n">
        <v>6.13</v>
      </c>
      <c r="H169" s="65" t="n"/>
      <c r="I169" s="66" t="n"/>
      <c r="J169" s="67">
        <f>VLOOKUP(C169,Recipes!$A$2:$N$4,10,FALSE())</f>
        <v/>
      </c>
      <c r="K169" s="68">
        <f>VLOOKUP(C169,Recipes!$A$2:$N$4,12,FALSE())</f>
        <v/>
      </c>
      <c r="L169" s="67">
        <f>J169-3*K169</f>
        <v/>
      </c>
      <c r="M169" s="67">
        <f>J169+3*K169</f>
        <v/>
      </c>
      <c r="N169" s="61">
        <f>IF(G169="","",IF(AND(G169&gt;=L169,G169&lt;=M169),"OK","NG"))</f>
        <v/>
      </c>
      <c r="O169" s="69">
        <f>IF(N169="","",IF(N169=D169,1,0))</f>
        <v/>
      </c>
      <c r="P169" s="67">
        <f>IF(G169="","",J169-G169)</f>
        <v/>
      </c>
      <c r="Q169" s="67">
        <f>IF(G169="","",ABS(P169-Components!$D$2))</f>
        <v/>
      </c>
      <c r="R169" s="67">
        <f>IF(G169="","",ABS(P169-Components!$D$3))</f>
        <v/>
      </c>
      <c r="S169" s="67">
        <f>IF(G169="","",ABS(P169-Components!$D$4))</f>
        <v/>
      </c>
      <c r="T169" s="67">
        <f>IF(G169="","",ABS(P169-Components!$D$5))</f>
        <v/>
      </c>
      <c r="U169" s="67">
        <f>IF(G169="","",ABS(P169-Components!$D$6))</f>
        <v/>
      </c>
      <c r="V169" s="67">
        <f>IF(G169="","",ABS(P169-Components!$D$7))</f>
        <v/>
      </c>
      <c r="W169" s="61">
        <f>IF(G169="","",IF(N169="OK","NONE",INDEX({"S1","S2","W1","W2","N1","N2"},MATCH(MIN(Q169:V169),Q169:V169,0))))</f>
        <v/>
      </c>
      <c r="X169" s="69">
        <f>IF(G169="","",IF(W169=E169,1,0))</f>
        <v/>
      </c>
      <c r="Y169" s="70" t="n"/>
    </row>
    <row r="170">
      <c r="A170" s="61" t="n">
        <v>78.2</v>
      </c>
      <c r="B170" s="62" t="n">
        <v>44.7</v>
      </c>
      <c r="C170" s="61" t="inlineStr">
        <is>
          <t>R4</t>
        </is>
      </c>
      <c r="D170" s="74" t="inlineStr">
        <is>
          <t>NG</t>
        </is>
      </c>
      <c r="E170" s="61" t="inlineStr">
        <is>
          <t>S1</t>
        </is>
      </c>
      <c r="F170" s="61" t="inlineStr">
        <is>
          <t>K028</t>
        </is>
      </c>
      <c r="G170" s="75" t="n">
        <v>6.17</v>
      </c>
      <c r="H170" s="65" t="n"/>
      <c r="I170" s="66" t="n"/>
      <c r="J170" s="67">
        <f>VLOOKUP(C170,Recipes!$A$2:$N$4,10,FALSE())</f>
        <v/>
      </c>
      <c r="K170" s="68">
        <f>VLOOKUP(C170,Recipes!$A$2:$N$4,12,FALSE())</f>
        <v/>
      </c>
      <c r="L170" s="67">
        <f>J170-3*K170</f>
        <v/>
      </c>
      <c r="M170" s="67">
        <f>J170+3*K170</f>
        <v/>
      </c>
      <c r="N170" s="61">
        <f>IF(G170="","",IF(AND(G170&gt;=L170,G170&lt;=M170),"OK","NG"))</f>
        <v/>
      </c>
      <c r="O170" s="69">
        <f>IF(N170="","",IF(N170=D170,1,0))</f>
        <v/>
      </c>
      <c r="P170" s="67">
        <f>IF(G170="","",J170-G170)</f>
        <v/>
      </c>
      <c r="Q170" s="67">
        <f>IF(G170="","",ABS(P170-Components!$D$2))</f>
        <v/>
      </c>
      <c r="R170" s="67">
        <f>IF(G170="","",ABS(P170-Components!$D$3))</f>
        <v/>
      </c>
      <c r="S170" s="67">
        <f>IF(G170="","",ABS(P170-Components!$D$4))</f>
        <v/>
      </c>
      <c r="T170" s="67">
        <f>IF(G170="","",ABS(P170-Components!$D$5))</f>
        <v/>
      </c>
      <c r="U170" s="67">
        <f>IF(G170="","",ABS(P170-Components!$D$6))</f>
        <v/>
      </c>
      <c r="V170" s="67">
        <f>IF(G170="","",ABS(P170-Components!$D$7))</f>
        <v/>
      </c>
      <c r="W170" s="61">
        <f>IF(G170="","",IF(N170="OK","NONE",INDEX({"S1","S2","W1","W2","N1","N2"},MATCH(MIN(Q170:V170),Q170:V170,0))))</f>
        <v/>
      </c>
      <c r="X170" s="69">
        <f>IF(G170="","",IF(W170=E170,1,0))</f>
        <v/>
      </c>
      <c r="Y170" s="70" t="n"/>
    </row>
    <row r="171">
      <c r="A171" s="61" t="n">
        <v>81.40000000000001</v>
      </c>
      <c r="B171" s="62" t="n">
        <v>46.2</v>
      </c>
      <c r="C171" s="61" t="inlineStr">
        <is>
          <t>R4</t>
        </is>
      </c>
      <c r="D171" s="74" t="inlineStr">
        <is>
          <t>NG</t>
        </is>
      </c>
      <c r="E171" s="61" t="inlineStr">
        <is>
          <t>S1</t>
        </is>
      </c>
      <c r="F171" s="61" t="inlineStr">
        <is>
          <t>K029</t>
        </is>
      </c>
      <c r="G171" s="75" t="n">
        <v>6.19</v>
      </c>
      <c r="H171" s="65" t="n"/>
      <c r="I171" s="66" t="n"/>
      <c r="J171" s="67">
        <f>VLOOKUP(C171,Recipes!$A$2:$N$4,10,FALSE())</f>
        <v/>
      </c>
      <c r="K171" s="68">
        <f>VLOOKUP(C171,Recipes!$A$2:$N$4,12,FALSE())</f>
        <v/>
      </c>
      <c r="L171" s="67">
        <f>J171-3*K171</f>
        <v/>
      </c>
      <c r="M171" s="67">
        <f>J171+3*K171</f>
        <v/>
      </c>
      <c r="N171" s="61">
        <f>IF(G171="","",IF(AND(G171&gt;=L171,G171&lt;=M171),"OK","NG"))</f>
        <v/>
      </c>
      <c r="O171" s="69">
        <f>IF(N171="","",IF(N171=D171,1,0))</f>
        <v/>
      </c>
      <c r="P171" s="67">
        <f>IF(G171="","",J171-G171)</f>
        <v/>
      </c>
      <c r="Q171" s="67">
        <f>IF(G171="","",ABS(P171-Components!$D$2))</f>
        <v/>
      </c>
      <c r="R171" s="67">
        <f>IF(G171="","",ABS(P171-Components!$D$3))</f>
        <v/>
      </c>
      <c r="S171" s="67">
        <f>IF(G171="","",ABS(P171-Components!$D$4))</f>
        <v/>
      </c>
      <c r="T171" s="67">
        <f>IF(G171="","",ABS(P171-Components!$D$5))</f>
        <v/>
      </c>
      <c r="U171" s="67">
        <f>IF(G171="","",ABS(P171-Components!$D$6))</f>
        <v/>
      </c>
      <c r="V171" s="67">
        <f>IF(G171="","",ABS(P171-Components!$D$7))</f>
        <v/>
      </c>
      <c r="W171" s="61">
        <f>IF(G171="","",IF(N171="OK","NONE",INDEX({"S1","S2","W1","W2","N1","N2"},MATCH(MIN(Q171:V171),Q171:V171,0))))</f>
        <v/>
      </c>
      <c r="X171" s="69">
        <f>IF(G171="","",IF(W171=E171,1,0))</f>
        <v/>
      </c>
      <c r="Y171" s="70" t="n"/>
    </row>
    <row r="172">
      <c r="A172" s="76" t="n">
        <v>84.59999999999999</v>
      </c>
      <c r="B172" s="77" t="n">
        <v>47.7</v>
      </c>
      <c r="C172" s="76" t="inlineStr">
        <is>
          <t>R4</t>
        </is>
      </c>
      <c r="D172" s="78" t="inlineStr">
        <is>
          <t>NG</t>
        </is>
      </c>
      <c r="E172" s="76" t="inlineStr">
        <is>
          <t>S1</t>
        </is>
      </c>
      <c r="F172" s="76" t="inlineStr">
        <is>
          <t>K041</t>
        </is>
      </c>
      <c r="G172" s="75" t="n">
        <v>6.09</v>
      </c>
      <c r="H172" s="65" t="n"/>
      <c r="I172" s="66" t="n"/>
      <c r="J172" s="67">
        <f>VLOOKUP(C172,Recipes!$A$2:$N$4,10,FALSE())</f>
        <v/>
      </c>
      <c r="K172" s="68">
        <f>VLOOKUP(C172,Recipes!$A$2:$N$4,12,FALSE())</f>
        <v/>
      </c>
      <c r="L172" s="67">
        <f>J172-3*K172</f>
        <v/>
      </c>
      <c r="M172" s="67">
        <f>J172+3*K172</f>
        <v/>
      </c>
      <c r="N172" s="61">
        <f>IF(G172="","",IF(AND(G172&gt;=L172,G172&lt;=M172),"OK","NG"))</f>
        <v/>
      </c>
      <c r="O172" s="69">
        <f>IF(N172="","",IF(N172=D172,1,0))</f>
        <v/>
      </c>
      <c r="P172" s="67">
        <f>IF(G172="","",J172-G172)</f>
        <v/>
      </c>
      <c r="Q172" s="67">
        <f>IF(G172="","",ABS(P172-Components!$D$2))</f>
        <v/>
      </c>
      <c r="R172" s="67">
        <f>IF(G172="","",ABS(P172-Components!$D$3))</f>
        <v/>
      </c>
      <c r="S172" s="67">
        <f>IF(G172="","",ABS(P172-Components!$D$4))</f>
        <v/>
      </c>
      <c r="T172" s="67">
        <f>IF(G172="","",ABS(P172-Components!$D$5))</f>
        <v/>
      </c>
      <c r="U172" s="67">
        <f>IF(G172="","",ABS(P172-Components!$D$6))</f>
        <v/>
      </c>
      <c r="V172" s="67">
        <f>IF(G172="","",ABS(P172-Components!$D$7))</f>
        <v/>
      </c>
      <c r="W172" s="61">
        <f>IF(G172="","",IF(N172="OK","NONE",INDEX({"S1","S2","W1","W2","N1","N2"},MATCH(MIN(Q172:V172),Q172:V172,0))))</f>
        <v/>
      </c>
      <c r="X172" s="69">
        <f>IF(G172="","",IF(W172=E172,1,0))</f>
        <v/>
      </c>
      <c r="Y172" s="70" t="n"/>
    </row>
    <row r="173">
      <c r="A173" s="61" t="n">
        <v>87.8</v>
      </c>
      <c r="B173" s="62" t="n">
        <v>49.2</v>
      </c>
      <c r="C173" s="61" t="inlineStr">
        <is>
          <t>R4</t>
        </is>
      </c>
      <c r="D173" s="74" t="inlineStr">
        <is>
          <t>NG</t>
        </is>
      </c>
      <c r="E173" s="61" t="inlineStr">
        <is>
          <t>S1</t>
        </is>
      </c>
      <c r="F173" s="61" t="inlineStr">
        <is>
          <t>K026</t>
        </is>
      </c>
      <c r="G173" s="75" t="n">
        <v>6.19</v>
      </c>
      <c r="H173" s="65" t="n"/>
      <c r="I173" s="66" t="n"/>
      <c r="J173" s="67">
        <f>VLOOKUP(C173,Recipes!$A$2:$N$4,10,FALSE())</f>
        <v/>
      </c>
      <c r="K173" s="68">
        <f>VLOOKUP(C173,Recipes!$A$2:$N$4,12,FALSE())</f>
        <v/>
      </c>
      <c r="L173" s="67">
        <f>J173-3*K173</f>
        <v/>
      </c>
      <c r="M173" s="67">
        <f>J173+3*K173</f>
        <v/>
      </c>
      <c r="N173" s="61">
        <f>IF(G173="","",IF(AND(G173&gt;=L173,G173&lt;=M173),"OK","NG"))</f>
        <v/>
      </c>
      <c r="O173" s="69">
        <f>IF(N173="","",IF(N173=D173,1,0))</f>
        <v/>
      </c>
      <c r="P173" s="67">
        <f>IF(G173="","",J173-G173)</f>
        <v/>
      </c>
      <c r="Q173" s="67">
        <f>IF(G173="","",ABS(P173-Components!$D$2))</f>
        <v/>
      </c>
      <c r="R173" s="67">
        <f>IF(G173="","",ABS(P173-Components!$D$3))</f>
        <v/>
      </c>
      <c r="S173" s="67">
        <f>IF(G173="","",ABS(P173-Components!$D$4))</f>
        <v/>
      </c>
      <c r="T173" s="67">
        <f>IF(G173="","",ABS(P173-Components!$D$5))</f>
        <v/>
      </c>
      <c r="U173" s="67">
        <f>IF(G173="","",ABS(P173-Components!$D$6))</f>
        <v/>
      </c>
      <c r="V173" s="67">
        <f>IF(G173="","",ABS(P173-Components!$D$7))</f>
        <v/>
      </c>
      <c r="W173" s="61">
        <f>IF(G173="","",IF(N173="OK","NONE",INDEX({"S1","S2","W1","W2","N1","N2"},MATCH(MIN(Q173:V173),Q173:V173,0))))</f>
        <v/>
      </c>
      <c r="X173" s="69">
        <f>IF(G173="","",IF(W173=E173,1,0))</f>
        <v/>
      </c>
      <c r="Y173" s="70" t="n"/>
    </row>
    <row r="174">
      <c r="A174" s="61" t="n">
        <v>91</v>
      </c>
      <c r="B174" s="62" t="n">
        <v>50.7</v>
      </c>
      <c r="C174" s="61" t="inlineStr">
        <is>
          <t>R4</t>
        </is>
      </c>
      <c r="D174" s="74" t="inlineStr">
        <is>
          <t>NG</t>
        </is>
      </c>
      <c r="E174" s="61" t="inlineStr">
        <is>
          <t>S1</t>
        </is>
      </c>
      <c r="F174" s="61" t="inlineStr">
        <is>
          <t>K027</t>
        </is>
      </c>
      <c r="G174" s="75" t="n">
        <v>6.18</v>
      </c>
      <c r="H174" s="65" t="n"/>
      <c r="I174" s="66" t="n"/>
      <c r="J174" s="67">
        <f>VLOOKUP(C174,Recipes!$A$2:$N$4,10,FALSE())</f>
        <v/>
      </c>
      <c r="K174" s="68">
        <f>VLOOKUP(C174,Recipes!$A$2:$N$4,12,FALSE())</f>
        <v/>
      </c>
      <c r="L174" s="67">
        <f>J174-3*K174</f>
        <v/>
      </c>
      <c r="M174" s="67">
        <f>J174+3*K174</f>
        <v/>
      </c>
      <c r="N174" s="61">
        <f>IF(G174="","",IF(AND(G174&gt;=L174,G174&lt;=M174),"OK","NG"))</f>
        <v/>
      </c>
      <c r="O174" s="69">
        <f>IF(N174="","",IF(N174=D174,1,0))</f>
        <v/>
      </c>
      <c r="P174" s="67">
        <f>IF(G174="","",J174-G174)</f>
        <v/>
      </c>
      <c r="Q174" s="67">
        <f>IF(G174="","",ABS(P174-Components!$D$2))</f>
        <v/>
      </c>
      <c r="R174" s="67">
        <f>IF(G174="","",ABS(P174-Components!$D$3))</f>
        <v/>
      </c>
      <c r="S174" s="67">
        <f>IF(G174="","",ABS(P174-Components!$D$4))</f>
        <v/>
      </c>
      <c r="T174" s="67">
        <f>IF(G174="","",ABS(P174-Components!$D$5))</f>
        <v/>
      </c>
      <c r="U174" s="67">
        <f>IF(G174="","",ABS(P174-Components!$D$6))</f>
        <v/>
      </c>
      <c r="V174" s="67">
        <f>IF(G174="","",ABS(P174-Components!$D$7))</f>
        <v/>
      </c>
      <c r="W174" s="61">
        <f>IF(G174="","",IF(N174="OK","NONE",INDEX({"S1","S2","W1","W2","N1","N2"},MATCH(MIN(Q174:V174),Q174:V174,0))))</f>
        <v/>
      </c>
      <c r="X174" s="69">
        <f>IF(G174="","",IF(W174=E174,1,0))</f>
        <v/>
      </c>
      <c r="Y174" s="70" t="n"/>
    </row>
    <row r="175">
      <c r="A175" s="61" t="n">
        <v>94.2</v>
      </c>
      <c r="B175" s="62" t="n">
        <v>52.2</v>
      </c>
      <c r="C175" s="61" t="inlineStr">
        <is>
          <t>R4</t>
        </is>
      </c>
      <c r="D175" s="74" t="inlineStr">
        <is>
          <t>NG</t>
        </is>
      </c>
      <c r="E175" s="61" t="inlineStr">
        <is>
          <t>S1</t>
        </is>
      </c>
      <c r="F175" s="61" t="inlineStr">
        <is>
          <t>K028</t>
        </is>
      </c>
      <c r="G175" s="75" t="n">
        <v>6.19</v>
      </c>
      <c r="H175" s="65" t="n"/>
      <c r="I175" s="66" t="n"/>
      <c r="J175" s="67">
        <f>VLOOKUP(C175,Recipes!$A$2:$N$4,10,FALSE())</f>
        <v/>
      </c>
      <c r="K175" s="68">
        <f>VLOOKUP(C175,Recipes!$A$2:$N$4,12,FALSE())</f>
        <v/>
      </c>
      <c r="L175" s="67">
        <f>J175-3*K175</f>
        <v/>
      </c>
      <c r="M175" s="67">
        <f>J175+3*K175</f>
        <v/>
      </c>
      <c r="N175" s="61">
        <f>IF(G175="","",IF(AND(G175&gt;=L175,G175&lt;=M175),"OK","NG"))</f>
        <v/>
      </c>
      <c r="O175" s="69">
        <f>IF(N175="","",IF(N175=D175,1,0))</f>
        <v/>
      </c>
      <c r="P175" s="67">
        <f>IF(G175="","",J175-G175)</f>
        <v/>
      </c>
      <c r="Q175" s="67">
        <f>IF(G175="","",ABS(P175-Components!$D$2))</f>
        <v/>
      </c>
      <c r="R175" s="67">
        <f>IF(G175="","",ABS(P175-Components!$D$3))</f>
        <v/>
      </c>
      <c r="S175" s="67">
        <f>IF(G175="","",ABS(P175-Components!$D$4))</f>
        <v/>
      </c>
      <c r="T175" s="67">
        <f>IF(G175="","",ABS(P175-Components!$D$5))</f>
        <v/>
      </c>
      <c r="U175" s="67">
        <f>IF(G175="","",ABS(P175-Components!$D$6))</f>
        <v/>
      </c>
      <c r="V175" s="67">
        <f>IF(G175="","",ABS(P175-Components!$D$7))</f>
        <v/>
      </c>
      <c r="W175" s="61">
        <f>IF(G175="","",IF(N175="OK","NONE",INDEX({"S1","S2","W1","W2","N1","N2"},MATCH(MIN(Q175:V175),Q175:V175,0))))</f>
        <v/>
      </c>
      <c r="X175" s="69">
        <f>IF(G175="","",IF(W175=E175,1,0))</f>
        <v/>
      </c>
      <c r="Y175" s="70" t="n"/>
    </row>
    <row r="176">
      <c r="A176" s="61" t="n">
        <v>97.40000000000001</v>
      </c>
      <c r="B176" s="62" t="n">
        <v>53.7</v>
      </c>
      <c r="C176" s="61" t="inlineStr">
        <is>
          <t>R4</t>
        </is>
      </c>
      <c r="D176" s="74" t="inlineStr">
        <is>
          <t>NG</t>
        </is>
      </c>
      <c r="E176" s="61" t="inlineStr">
        <is>
          <t>S1</t>
        </is>
      </c>
      <c r="F176" s="61" t="inlineStr">
        <is>
          <t>K029</t>
        </is>
      </c>
      <c r="G176" s="75" t="n">
        <v>6.15</v>
      </c>
      <c r="H176" s="65" t="n"/>
      <c r="I176" s="66" t="n"/>
      <c r="J176" s="67">
        <f>VLOOKUP(C176,Recipes!$A$2:$N$4,10,FALSE())</f>
        <v/>
      </c>
      <c r="K176" s="68">
        <f>VLOOKUP(C176,Recipes!$A$2:$N$4,12,FALSE())</f>
        <v/>
      </c>
      <c r="L176" s="67">
        <f>J176-3*K176</f>
        <v/>
      </c>
      <c r="M176" s="67">
        <f>J176+3*K176</f>
        <v/>
      </c>
      <c r="N176" s="61">
        <f>IF(G176="","",IF(AND(G176&gt;=L176,G176&lt;=M176),"OK","NG"))</f>
        <v/>
      </c>
      <c r="O176" s="69">
        <f>IF(N176="","",IF(N176=D176,1,0))</f>
        <v/>
      </c>
      <c r="P176" s="67">
        <f>IF(G176="","",J176-G176)</f>
        <v/>
      </c>
      <c r="Q176" s="67">
        <f>IF(G176="","",ABS(P176-Components!$D$2))</f>
        <v/>
      </c>
      <c r="R176" s="67">
        <f>IF(G176="","",ABS(P176-Components!$D$3))</f>
        <v/>
      </c>
      <c r="S176" s="67">
        <f>IF(G176="","",ABS(P176-Components!$D$4))</f>
        <v/>
      </c>
      <c r="T176" s="67">
        <f>IF(G176="","",ABS(P176-Components!$D$5))</f>
        <v/>
      </c>
      <c r="U176" s="67">
        <f>IF(G176="","",ABS(P176-Components!$D$6))</f>
        <v/>
      </c>
      <c r="V176" s="67">
        <f>IF(G176="","",ABS(P176-Components!$D$7))</f>
        <v/>
      </c>
      <c r="W176" s="61">
        <f>IF(G176="","",IF(N176="OK","NONE",INDEX({"S1","S2","W1","W2","N1","N2"},MATCH(MIN(Q176:V176),Q176:V176,0))))</f>
        <v/>
      </c>
      <c r="X176" s="69">
        <f>IF(G176="","",IF(W176=E176,1,0))</f>
        <v/>
      </c>
      <c r="Y176" s="70" t="n"/>
    </row>
    <row r="177">
      <c r="A177" s="76" t="n">
        <v>100.6</v>
      </c>
      <c r="B177" s="77" t="n">
        <v>55.2</v>
      </c>
      <c r="C177" s="76" t="inlineStr">
        <is>
          <t>R4</t>
        </is>
      </c>
      <c r="D177" s="78" t="inlineStr">
        <is>
          <t>NG</t>
        </is>
      </c>
      <c r="E177" s="76" t="inlineStr">
        <is>
          <t>S1</t>
        </is>
      </c>
      <c r="F177" s="76" t="inlineStr">
        <is>
          <t>K041</t>
        </is>
      </c>
      <c r="G177" s="75" t="n">
        <v>6.16</v>
      </c>
      <c r="H177" s="65" t="n"/>
      <c r="I177" s="66" t="n"/>
      <c r="J177" s="67">
        <f>VLOOKUP(C177,Recipes!$A$2:$N$4,10,FALSE())</f>
        <v/>
      </c>
      <c r="K177" s="68">
        <f>VLOOKUP(C177,Recipes!$A$2:$N$4,12,FALSE())</f>
        <v/>
      </c>
      <c r="L177" s="67">
        <f>J177-3*K177</f>
        <v/>
      </c>
      <c r="M177" s="67">
        <f>J177+3*K177</f>
        <v/>
      </c>
      <c r="N177" s="61">
        <f>IF(G177="","",IF(AND(G177&gt;=L177,G177&lt;=M177),"OK","NG"))</f>
        <v/>
      </c>
      <c r="O177" s="69">
        <f>IF(N177="","",IF(N177=D177,1,0))</f>
        <v/>
      </c>
      <c r="P177" s="67">
        <f>IF(G177="","",J177-G177)</f>
        <v/>
      </c>
      <c r="Q177" s="67">
        <f>IF(G177="","",ABS(P177-Components!$D$2))</f>
        <v/>
      </c>
      <c r="R177" s="67">
        <f>IF(G177="","",ABS(P177-Components!$D$3))</f>
        <v/>
      </c>
      <c r="S177" s="67">
        <f>IF(G177="","",ABS(P177-Components!$D$4))</f>
        <v/>
      </c>
      <c r="T177" s="67">
        <f>IF(G177="","",ABS(P177-Components!$D$5))</f>
        <v/>
      </c>
      <c r="U177" s="67">
        <f>IF(G177="","",ABS(P177-Components!$D$6))</f>
        <v/>
      </c>
      <c r="V177" s="67">
        <f>IF(G177="","",ABS(P177-Components!$D$7))</f>
        <v/>
      </c>
      <c r="W177" s="61">
        <f>IF(G177="","",IF(N177="OK","NONE",INDEX({"S1","S2","W1","W2","N1","N2"},MATCH(MIN(Q177:V177),Q177:V177,0))))</f>
        <v/>
      </c>
      <c r="X177" s="69">
        <f>IF(G177="","",IF(W177=E177,1,0))</f>
        <v/>
      </c>
      <c r="Y177" s="70" t="n"/>
    </row>
    <row r="178">
      <c r="A178" s="61" t="n">
        <v>103.8</v>
      </c>
      <c r="B178" s="62" t="n">
        <v>56.7</v>
      </c>
      <c r="C178" s="61" t="inlineStr">
        <is>
          <t>R4</t>
        </is>
      </c>
      <c r="D178" s="74" t="inlineStr">
        <is>
          <t>NG</t>
        </is>
      </c>
      <c r="E178" s="61" t="inlineStr">
        <is>
          <t>S1</t>
        </is>
      </c>
      <c r="F178" s="61" t="inlineStr">
        <is>
          <t>K026</t>
        </is>
      </c>
      <c r="G178" s="75" t="n">
        <v>6.16</v>
      </c>
      <c r="H178" s="65" t="n"/>
      <c r="I178" s="66" t="n"/>
      <c r="J178" s="67">
        <f>VLOOKUP(C178,Recipes!$A$2:$N$4,10,FALSE())</f>
        <v/>
      </c>
      <c r="K178" s="68">
        <f>VLOOKUP(C178,Recipes!$A$2:$N$4,12,FALSE())</f>
        <v/>
      </c>
      <c r="L178" s="67">
        <f>J178-3*K178</f>
        <v/>
      </c>
      <c r="M178" s="67">
        <f>J178+3*K178</f>
        <v/>
      </c>
      <c r="N178" s="61">
        <f>IF(G178="","",IF(AND(G178&gt;=L178,G178&lt;=M178),"OK","NG"))</f>
        <v/>
      </c>
      <c r="O178" s="69">
        <f>IF(N178="","",IF(N178=D178,1,0))</f>
        <v/>
      </c>
      <c r="P178" s="67">
        <f>IF(G178="","",J178-G178)</f>
        <v/>
      </c>
      <c r="Q178" s="67">
        <f>IF(G178="","",ABS(P178-Components!$D$2))</f>
        <v/>
      </c>
      <c r="R178" s="67">
        <f>IF(G178="","",ABS(P178-Components!$D$3))</f>
        <v/>
      </c>
      <c r="S178" s="67">
        <f>IF(G178="","",ABS(P178-Components!$D$4))</f>
        <v/>
      </c>
      <c r="T178" s="67">
        <f>IF(G178="","",ABS(P178-Components!$D$5))</f>
        <v/>
      </c>
      <c r="U178" s="67">
        <f>IF(G178="","",ABS(P178-Components!$D$6))</f>
        <v/>
      </c>
      <c r="V178" s="67">
        <f>IF(G178="","",ABS(P178-Components!$D$7))</f>
        <v/>
      </c>
      <c r="W178" s="61">
        <f>IF(G178="","",IF(N178="OK","NONE",INDEX({"S1","S2","W1","W2","N1","N2"},MATCH(MIN(Q178:V178),Q178:V178,0))))</f>
        <v/>
      </c>
      <c r="X178" s="69">
        <f>IF(G178="","",IF(W178=E178,1,0))</f>
        <v/>
      </c>
      <c r="Y178" s="70" t="n"/>
    </row>
    <row r="179">
      <c r="A179" s="61" t="n">
        <v>107</v>
      </c>
      <c r="B179" s="62" t="n">
        <v>58.2</v>
      </c>
      <c r="C179" s="61" t="inlineStr">
        <is>
          <t>R4</t>
        </is>
      </c>
      <c r="D179" s="74" t="inlineStr">
        <is>
          <t>NG</t>
        </is>
      </c>
      <c r="E179" s="61" t="inlineStr">
        <is>
          <t>S1</t>
        </is>
      </c>
      <c r="F179" s="61" t="inlineStr">
        <is>
          <t>K027</t>
        </is>
      </c>
      <c r="G179" s="75" t="n">
        <v>6.15</v>
      </c>
      <c r="H179" s="65" t="n"/>
      <c r="I179" s="66" t="n"/>
      <c r="J179" s="67">
        <f>VLOOKUP(C179,Recipes!$A$2:$N$4,10,FALSE())</f>
        <v/>
      </c>
      <c r="K179" s="68">
        <f>VLOOKUP(C179,Recipes!$A$2:$N$4,12,FALSE())</f>
        <v/>
      </c>
      <c r="L179" s="67">
        <f>J179-3*K179</f>
        <v/>
      </c>
      <c r="M179" s="67">
        <f>J179+3*K179</f>
        <v/>
      </c>
      <c r="N179" s="61">
        <f>IF(G179="","",IF(AND(G179&gt;=L179,G179&lt;=M179),"OK","NG"))</f>
        <v/>
      </c>
      <c r="O179" s="69">
        <f>IF(N179="","",IF(N179=D179,1,0))</f>
        <v/>
      </c>
      <c r="P179" s="67">
        <f>IF(G179="","",J179-G179)</f>
        <v/>
      </c>
      <c r="Q179" s="67">
        <f>IF(G179="","",ABS(P179-Components!$D$2))</f>
        <v/>
      </c>
      <c r="R179" s="67">
        <f>IF(G179="","",ABS(P179-Components!$D$3))</f>
        <v/>
      </c>
      <c r="S179" s="67">
        <f>IF(G179="","",ABS(P179-Components!$D$4))</f>
        <v/>
      </c>
      <c r="T179" s="67">
        <f>IF(G179="","",ABS(P179-Components!$D$5))</f>
        <v/>
      </c>
      <c r="U179" s="67">
        <f>IF(G179="","",ABS(P179-Components!$D$6))</f>
        <v/>
      </c>
      <c r="V179" s="67">
        <f>IF(G179="","",ABS(P179-Components!$D$7))</f>
        <v/>
      </c>
      <c r="W179" s="61">
        <f>IF(G179="","",IF(N179="OK","NONE",INDEX({"S1","S2","W1","W2","N1","N2"},MATCH(MIN(Q179:V179),Q179:V179,0))))</f>
        <v/>
      </c>
      <c r="X179" s="69">
        <f>IF(G179="","",IF(W179=E179,1,0))</f>
        <v/>
      </c>
      <c r="Y179" s="70" t="n"/>
    </row>
    <row r="180">
      <c r="A180" s="61" t="n">
        <v>110.2</v>
      </c>
      <c r="B180" s="62" t="n">
        <v>59.7</v>
      </c>
      <c r="C180" s="61" t="inlineStr">
        <is>
          <t>R4</t>
        </is>
      </c>
      <c r="D180" s="74" t="inlineStr">
        <is>
          <t>NG</t>
        </is>
      </c>
      <c r="E180" s="61" t="inlineStr">
        <is>
          <t>S1</t>
        </is>
      </c>
      <c r="F180" s="61" t="inlineStr">
        <is>
          <t>K028</t>
        </is>
      </c>
      <c r="G180" s="75" t="n">
        <v>6.17</v>
      </c>
      <c r="H180" s="65" t="n"/>
      <c r="I180" s="66" t="n"/>
      <c r="J180" s="67">
        <f>VLOOKUP(C180,Recipes!$A$2:$N$4,10,FALSE())</f>
        <v/>
      </c>
      <c r="K180" s="68">
        <f>VLOOKUP(C180,Recipes!$A$2:$N$4,12,FALSE())</f>
        <v/>
      </c>
      <c r="L180" s="67">
        <f>J180-3*K180</f>
        <v/>
      </c>
      <c r="M180" s="67">
        <f>J180+3*K180</f>
        <v/>
      </c>
      <c r="N180" s="61">
        <f>IF(G180="","",IF(AND(G180&gt;=L180,G180&lt;=M180),"OK","NG"))</f>
        <v/>
      </c>
      <c r="O180" s="69">
        <f>IF(N180="","",IF(N180=D180,1,0))</f>
        <v/>
      </c>
      <c r="P180" s="67">
        <f>IF(G180="","",J180-G180)</f>
        <v/>
      </c>
      <c r="Q180" s="67">
        <f>IF(G180="","",ABS(P180-Components!$D$2))</f>
        <v/>
      </c>
      <c r="R180" s="67">
        <f>IF(G180="","",ABS(P180-Components!$D$3))</f>
        <v/>
      </c>
      <c r="S180" s="67">
        <f>IF(G180="","",ABS(P180-Components!$D$4))</f>
        <v/>
      </c>
      <c r="T180" s="67">
        <f>IF(G180="","",ABS(P180-Components!$D$5))</f>
        <v/>
      </c>
      <c r="U180" s="67">
        <f>IF(G180="","",ABS(P180-Components!$D$6))</f>
        <v/>
      </c>
      <c r="V180" s="67">
        <f>IF(G180="","",ABS(P180-Components!$D$7))</f>
        <v/>
      </c>
      <c r="W180" s="61">
        <f>IF(G180="","",IF(N180="OK","NONE",INDEX({"S1","S2","W1","W2","N1","N2"},MATCH(MIN(Q180:V180),Q180:V180,0))))</f>
        <v/>
      </c>
      <c r="X180" s="69">
        <f>IF(G180="","",IF(W180=E180,1,0))</f>
        <v/>
      </c>
      <c r="Y180" s="70" t="n"/>
    </row>
    <row r="181">
      <c r="A181" s="61" t="n">
        <v>113.4</v>
      </c>
      <c r="B181" s="62" t="n">
        <v>61.2</v>
      </c>
      <c r="C181" s="61" t="inlineStr">
        <is>
          <t>R4</t>
        </is>
      </c>
      <c r="D181" s="74" t="inlineStr">
        <is>
          <t>NG</t>
        </is>
      </c>
      <c r="E181" s="61" t="inlineStr">
        <is>
          <t>S1</t>
        </is>
      </c>
      <c r="F181" s="61" t="inlineStr">
        <is>
          <t>K029</t>
        </is>
      </c>
      <c r="G181" s="75" t="n">
        <v>6.2</v>
      </c>
      <c r="H181" s="65" t="n"/>
      <c r="I181" s="66" t="n"/>
      <c r="J181" s="67">
        <f>VLOOKUP(C181,Recipes!$A$2:$N$4,10,FALSE())</f>
        <v/>
      </c>
      <c r="K181" s="68">
        <f>VLOOKUP(C181,Recipes!$A$2:$N$4,12,FALSE())</f>
        <v/>
      </c>
      <c r="L181" s="67">
        <f>J181-3*K181</f>
        <v/>
      </c>
      <c r="M181" s="67">
        <f>J181+3*K181</f>
        <v/>
      </c>
      <c r="N181" s="61">
        <f>IF(G181="","",IF(AND(G181&gt;=L181,G181&lt;=M181),"OK","NG"))</f>
        <v/>
      </c>
      <c r="O181" s="69">
        <f>IF(N181="","",IF(N181=D181,1,0))</f>
        <v/>
      </c>
      <c r="P181" s="67">
        <f>IF(G181="","",J181-G181)</f>
        <v/>
      </c>
      <c r="Q181" s="67">
        <f>IF(G181="","",ABS(P181-Components!$D$2))</f>
        <v/>
      </c>
      <c r="R181" s="67">
        <f>IF(G181="","",ABS(P181-Components!$D$3))</f>
        <v/>
      </c>
      <c r="S181" s="67">
        <f>IF(G181="","",ABS(P181-Components!$D$4))</f>
        <v/>
      </c>
      <c r="T181" s="67">
        <f>IF(G181="","",ABS(P181-Components!$D$5))</f>
        <v/>
      </c>
      <c r="U181" s="67">
        <f>IF(G181="","",ABS(P181-Components!$D$6))</f>
        <v/>
      </c>
      <c r="V181" s="67">
        <f>IF(G181="","",ABS(P181-Components!$D$7))</f>
        <v/>
      </c>
      <c r="W181" s="61">
        <f>IF(G181="","",IF(N181="OK","NONE",INDEX({"S1","S2","W1","W2","N1","N2"},MATCH(MIN(Q181:V181),Q181:V181,0))))</f>
        <v/>
      </c>
      <c r="X181" s="69">
        <f>IF(G181="","",IF(W181=E181,1,0))</f>
        <v/>
      </c>
      <c r="Y181" s="70" t="n"/>
    </row>
    <row r="182">
      <c r="A182" s="76" t="n">
        <v>116.6</v>
      </c>
      <c r="B182" s="77" t="n">
        <v>62.7</v>
      </c>
      <c r="C182" s="76" t="inlineStr">
        <is>
          <t>R4</t>
        </is>
      </c>
      <c r="D182" s="78" t="inlineStr">
        <is>
          <t>NG</t>
        </is>
      </c>
      <c r="E182" s="76" t="inlineStr">
        <is>
          <t>S1</t>
        </is>
      </c>
      <c r="F182" s="76" t="inlineStr">
        <is>
          <t>K041</t>
        </is>
      </c>
      <c r="G182" s="75" t="n">
        <v>6.14</v>
      </c>
      <c r="H182" s="65" t="n"/>
      <c r="I182" s="66" t="n"/>
      <c r="J182" s="67">
        <f>VLOOKUP(C182,Recipes!$A$2:$N$4,10,FALSE())</f>
        <v/>
      </c>
      <c r="K182" s="68">
        <f>VLOOKUP(C182,Recipes!$A$2:$N$4,12,FALSE())</f>
        <v/>
      </c>
      <c r="L182" s="67">
        <f>J182-3*K182</f>
        <v/>
      </c>
      <c r="M182" s="67">
        <f>J182+3*K182</f>
        <v/>
      </c>
      <c r="N182" s="61">
        <f>IF(G182="","",IF(AND(G182&gt;=L182,G182&lt;=M182),"OK","NG"))</f>
        <v/>
      </c>
      <c r="O182" s="69">
        <f>IF(N182="","",IF(N182=D182,1,0))</f>
        <v/>
      </c>
      <c r="P182" s="67">
        <f>IF(G182="","",J182-G182)</f>
        <v/>
      </c>
      <c r="Q182" s="67">
        <f>IF(G182="","",ABS(P182-Components!$D$2))</f>
        <v/>
      </c>
      <c r="R182" s="67">
        <f>IF(G182="","",ABS(P182-Components!$D$3))</f>
        <v/>
      </c>
      <c r="S182" s="67">
        <f>IF(G182="","",ABS(P182-Components!$D$4))</f>
        <v/>
      </c>
      <c r="T182" s="67">
        <f>IF(G182="","",ABS(P182-Components!$D$5))</f>
        <v/>
      </c>
      <c r="U182" s="67">
        <f>IF(G182="","",ABS(P182-Components!$D$6))</f>
        <v/>
      </c>
      <c r="V182" s="67">
        <f>IF(G182="","",ABS(P182-Components!$D$7))</f>
        <v/>
      </c>
      <c r="W182" s="61">
        <f>IF(G182="","",IF(N182="OK","NONE",INDEX({"S1","S2","W1","W2","N1","N2"},MATCH(MIN(Q182:V182),Q182:V182,0))))</f>
        <v/>
      </c>
      <c r="X182" s="69">
        <f>IF(G182="","",IF(W182=E182,1,0))</f>
        <v/>
      </c>
      <c r="Y182" s="70" t="n"/>
    </row>
    <row r="183">
      <c r="A183" s="61" t="n">
        <v>30</v>
      </c>
      <c r="B183" s="62" t="n">
        <v>19</v>
      </c>
      <c r="C183" s="61" t="inlineStr">
        <is>
          <t>R4</t>
        </is>
      </c>
      <c r="D183" s="74" t="inlineStr">
        <is>
          <t>NG</t>
        </is>
      </c>
      <c r="E183" s="61" t="inlineStr">
        <is>
          <t>W1</t>
        </is>
      </c>
      <c r="F183" s="61" t="inlineStr">
        <is>
          <t>K030</t>
        </is>
      </c>
      <c r="G183" s="64" t="n">
        <v>7.99</v>
      </c>
      <c r="H183" s="65" t="n"/>
      <c r="I183" s="66" t="n"/>
      <c r="J183" s="67">
        <f>VLOOKUP(C183,Recipes!$A$2:$N$4,10,FALSE())</f>
        <v/>
      </c>
      <c r="K183" s="68">
        <f>VLOOKUP(C183,Recipes!$A$2:$N$4,12,FALSE())</f>
        <v/>
      </c>
      <c r="L183" s="67">
        <f>J183-3*K183</f>
        <v/>
      </c>
      <c r="M183" s="67">
        <f>J183+3*K183</f>
        <v/>
      </c>
      <c r="N183" s="61">
        <f>IF(G183="","",IF(AND(G183&gt;=L183,G183&lt;=M183),"OK","NG"))</f>
        <v/>
      </c>
      <c r="O183" s="69">
        <f>IF(N183="","",IF(N183=D183,1,0))</f>
        <v/>
      </c>
      <c r="P183" s="67">
        <f>IF(G183="","",J183-G183)</f>
        <v/>
      </c>
      <c r="Q183" s="67">
        <f>IF(G183="","",ABS(P183-Components!$D$2))</f>
        <v/>
      </c>
      <c r="R183" s="67">
        <f>IF(G183="","",ABS(P183-Components!$D$3))</f>
        <v/>
      </c>
      <c r="S183" s="67">
        <f>IF(G183="","",ABS(P183-Components!$D$4))</f>
        <v/>
      </c>
      <c r="T183" s="67">
        <f>IF(G183="","",ABS(P183-Components!$D$5))</f>
        <v/>
      </c>
      <c r="U183" s="67">
        <f>IF(G183="","",ABS(P183-Components!$D$6))</f>
        <v/>
      </c>
      <c r="V183" s="67">
        <f>IF(G183="","",ABS(P183-Components!$D$7))</f>
        <v/>
      </c>
      <c r="W183" s="61">
        <f>IF(G183="","",IF(N183="OK","NONE",INDEX({"S1","S2","W1","W2","N1","N2"},MATCH(MIN(Q183:V183),Q183:V183,0))))</f>
        <v/>
      </c>
      <c r="X183" s="69">
        <f>IF(G183="","",IF(W183=E183,1,0))</f>
        <v/>
      </c>
      <c r="Y183" s="70" t="n"/>
    </row>
    <row r="184">
      <c r="A184" s="61" t="n">
        <v>31</v>
      </c>
      <c r="B184" s="62" t="n">
        <v>32</v>
      </c>
      <c r="C184" s="61" t="inlineStr">
        <is>
          <t>R4</t>
        </is>
      </c>
      <c r="D184" s="74" t="inlineStr">
        <is>
          <t>NG</t>
        </is>
      </c>
      <c r="E184" s="61" t="inlineStr">
        <is>
          <t>W1</t>
        </is>
      </c>
      <c r="F184" s="61" t="inlineStr">
        <is>
          <t>K031</t>
        </is>
      </c>
      <c r="G184" s="64" t="n">
        <v>7.97</v>
      </c>
      <c r="H184" s="65" t="n"/>
      <c r="I184" s="66" t="n"/>
      <c r="J184" s="67">
        <f>VLOOKUP(C184,Recipes!$A$2:$N$4,10,FALSE())</f>
        <v/>
      </c>
      <c r="K184" s="68">
        <f>VLOOKUP(C184,Recipes!$A$2:$N$4,12,FALSE())</f>
        <v/>
      </c>
      <c r="L184" s="67">
        <f>J184-3*K184</f>
        <v/>
      </c>
      <c r="M184" s="67">
        <f>J184+3*K184</f>
        <v/>
      </c>
      <c r="N184" s="61">
        <f>IF(G184="","",IF(AND(G184&gt;=L184,G184&lt;=M184),"OK","NG"))</f>
        <v/>
      </c>
      <c r="O184" s="69">
        <f>IF(N184="","",IF(N184=D184,1,0))</f>
        <v/>
      </c>
      <c r="P184" s="67">
        <f>IF(G184="","",J184-G184)</f>
        <v/>
      </c>
      <c r="Q184" s="67">
        <f>IF(G184="","",ABS(P184-Components!$D$2))</f>
        <v/>
      </c>
      <c r="R184" s="67">
        <f>IF(G184="","",ABS(P184-Components!$D$3))</f>
        <v/>
      </c>
      <c r="S184" s="67">
        <f>IF(G184="","",ABS(P184-Components!$D$4))</f>
        <v/>
      </c>
      <c r="T184" s="67">
        <f>IF(G184="","",ABS(P184-Components!$D$5))</f>
        <v/>
      </c>
      <c r="U184" s="67">
        <f>IF(G184="","",ABS(P184-Components!$D$6))</f>
        <v/>
      </c>
      <c r="V184" s="67">
        <f>IF(G184="","",ABS(P184-Components!$D$7))</f>
        <v/>
      </c>
      <c r="W184" s="61">
        <f>IF(G184="","",IF(N184="OK","NONE",INDEX({"S1","S2","W1","W2","N1","N2"},MATCH(MIN(Q184:V184),Q184:V184,0))))</f>
        <v/>
      </c>
      <c r="X184" s="69">
        <f>IF(G184="","",IF(W184=E184,1,0))</f>
        <v/>
      </c>
      <c r="Y184" s="70" t="n"/>
    </row>
    <row r="185">
      <c r="A185" s="61" t="n">
        <v>32</v>
      </c>
      <c r="B185" s="62" t="n">
        <v>37</v>
      </c>
      <c r="C185" s="61" t="inlineStr">
        <is>
          <t>R4</t>
        </is>
      </c>
      <c r="D185" s="74" t="inlineStr">
        <is>
          <t>NG</t>
        </is>
      </c>
      <c r="E185" s="61" t="inlineStr">
        <is>
          <t>W1</t>
        </is>
      </c>
      <c r="F185" s="61" t="inlineStr">
        <is>
          <t>K032</t>
        </is>
      </c>
      <c r="G185" s="64" t="n">
        <v>7.97</v>
      </c>
      <c r="H185" s="65" t="n"/>
      <c r="I185" s="66" t="n"/>
      <c r="J185" s="67">
        <f>VLOOKUP(C185,Recipes!$A$2:$N$4,10,FALSE())</f>
        <v/>
      </c>
      <c r="K185" s="68">
        <f>VLOOKUP(C185,Recipes!$A$2:$N$4,12,FALSE())</f>
        <v/>
      </c>
      <c r="L185" s="67">
        <f>J185-3*K185</f>
        <v/>
      </c>
      <c r="M185" s="67">
        <f>J185+3*K185</f>
        <v/>
      </c>
      <c r="N185" s="61">
        <f>IF(G185="","",IF(AND(G185&gt;=L185,G185&lt;=M185),"OK","NG"))</f>
        <v/>
      </c>
      <c r="O185" s="69">
        <f>IF(N185="","",IF(N185=D185,1,0))</f>
        <v/>
      </c>
      <c r="P185" s="67">
        <f>IF(G185="","",J185-G185)</f>
        <v/>
      </c>
      <c r="Q185" s="67">
        <f>IF(G185="","",ABS(P185-Components!$D$2))</f>
        <v/>
      </c>
      <c r="R185" s="67">
        <f>IF(G185="","",ABS(P185-Components!$D$3))</f>
        <v/>
      </c>
      <c r="S185" s="67">
        <f>IF(G185="","",ABS(P185-Components!$D$4))</f>
        <v/>
      </c>
      <c r="T185" s="67">
        <f>IF(G185="","",ABS(P185-Components!$D$5))</f>
        <v/>
      </c>
      <c r="U185" s="67">
        <f>IF(G185="","",ABS(P185-Components!$D$6))</f>
        <v/>
      </c>
      <c r="V185" s="67">
        <f>IF(G185="","",ABS(P185-Components!$D$7))</f>
        <v/>
      </c>
      <c r="W185" s="61">
        <f>IF(G185="","",IF(N185="OK","NONE",INDEX({"S1","S2","W1","W2","N1","N2"},MATCH(MIN(Q185:V185),Q185:V185,0))))</f>
        <v/>
      </c>
      <c r="X185" s="69">
        <f>IF(G185="","",IF(W185=E185,1,0))</f>
        <v/>
      </c>
      <c r="Y185" s="70" t="n"/>
    </row>
    <row r="186">
      <c r="A186" s="61" t="n">
        <v>33</v>
      </c>
      <c r="B186" s="62" t="n">
        <v>27</v>
      </c>
      <c r="C186" s="61" t="inlineStr">
        <is>
          <t>R4</t>
        </is>
      </c>
      <c r="D186" s="74" t="inlineStr">
        <is>
          <t>NG</t>
        </is>
      </c>
      <c r="E186" s="61" t="inlineStr">
        <is>
          <t>W1</t>
        </is>
      </c>
      <c r="F186" s="61" t="inlineStr">
        <is>
          <t>K033</t>
        </is>
      </c>
      <c r="G186" s="64" t="n">
        <v>7.94</v>
      </c>
      <c r="H186" s="65" t="n"/>
      <c r="I186" s="66" t="n"/>
      <c r="J186" s="67">
        <f>VLOOKUP(C186,Recipes!$A$2:$N$4,10,FALSE())</f>
        <v/>
      </c>
      <c r="K186" s="68">
        <f>VLOOKUP(C186,Recipes!$A$2:$N$4,12,FALSE())</f>
        <v/>
      </c>
      <c r="L186" s="67">
        <f>J186-3*K186</f>
        <v/>
      </c>
      <c r="M186" s="67">
        <f>J186+3*K186</f>
        <v/>
      </c>
      <c r="N186" s="61">
        <f>IF(G186="","",IF(AND(G186&gt;=L186,G186&lt;=M186),"OK","NG"))</f>
        <v/>
      </c>
      <c r="O186" s="69">
        <f>IF(N186="","",IF(N186=D186,1,0))</f>
        <v/>
      </c>
      <c r="P186" s="67">
        <f>IF(G186="","",J186-G186)</f>
        <v/>
      </c>
      <c r="Q186" s="67">
        <f>IF(G186="","",ABS(P186-Components!$D$2))</f>
        <v/>
      </c>
      <c r="R186" s="67">
        <f>IF(G186="","",ABS(P186-Components!$D$3))</f>
        <v/>
      </c>
      <c r="S186" s="67">
        <f>IF(G186="","",ABS(P186-Components!$D$4))</f>
        <v/>
      </c>
      <c r="T186" s="67">
        <f>IF(G186="","",ABS(P186-Components!$D$5))</f>
        <v/>
      </c>
      <c r="U186" s="67">
        <f>IF(G186="","",ABS(P186-Components!$D$6))</f>
        <v/>
      </c>
      <c r="V186" s="67">
        <f>IF(G186="","",ABS(P186-Components!$D$7))</f>
        <v/>
      </c>
      <c r="W186" s="61">
        <f>IF(G186="","",IF(N186="OK","NONE",INDEX({"S1","S2","W1","W2","N1","N2"},MATCH(MIN(Q186:V186),Q186:V186,0))))</f>
        <v/>
      </c>
      <c r="X186" s="69">
        <f>IF(G186="","",IF(W186=E186,1,0))</f>
        <v/>
      </c>
      <c r="Y186" s="70" t="n"/>
    </row>
    <row r="187">
      <c r="A187" s="76" t="n">
        <v>42</v>
      </c>
      <c r="B187" s="77" t="n">
        <v>48</v>
      </c>
      <c r="C187" s="76" t="inlineStr">
        <is>
          <t>R4</t>
        </is>
      </c>
      <c r="D187" s="78" t="inlineStr">
        <is>
          <t>NG</t>
        </is>
      </c>
      <c r="E187" s="76" t="inlineStr">
        <is>
          <t>W1</t>
        </is>
      </c>
      <c r="F187" s="76" t="inlineStr">
        <is>
          <t>K042</t>
        </is>
      </c>
      <c r="G187" s="75" t="n">
        <v>7.96</v>
      </c>
      <c r="H187" s="65" t="n"/>
      <c r="I187" s="66" t="n"/>
      <c r="J187" s="67">
        <f>VLOOKUP(C187,Recipes!$A$2:$N$4,10,FALSE())</f>
        <v/>
      </c>
      <c r="K187" s="68">
        <f>VLOOKUP(C187,Recipes!$A$2:$N$4,12,FALSE())</f>
        <v/>
      </c>
      <c r="L187" s="67">
        <f>J187-3*K187</f>
        <v/>
      </c>
      <c r="M187" s="67">
        <f>J187+3*K187</f>
        <v/>
      </c>
      <c r="N187" s="61">
        <f>IF(G187="","",IF(AND(G187&gt;=L187,G187&lt;=M187),"OK","NG"))</f>
        <v/>
      </c>
      <c r="O187" s="69">
        <f>IF(N187="","",IF(N187=D187,1,0))</f>
        <v/>
      </c>
      <c r="P187" s="67">
        <f>IF(G187="","",J187-G187)</f>
        <v/>
      </c>
      <c r="Q187" s="67">
        <f>IF(G187="","",ABS(P187-Components!$D$2))</f>
        <v/>
      </c>
      <c r="R187" s="67">
        <f>IF(G187="","",ABS(P187-Components!$D$3))</f>
        <v/>
      </c>
      <c r="S187" s="67">
        <f>IF(G187="","",ABS(P187-Components!$D$4))</f>
        <v/>
      </c>
      <c r="T187" s="67">
        <f>IF(G187="","",ABS(P187-Components!$D$5))</f>
        <v/>
      </c>
      <c r="U187" s="67">
        <f>IF(G187="","",ABS(P187-Components!$D$6))</f>
        <v/>
      </c>
      <c r="V187" s="67">
        <f>IF(G187="","",ABS(P187-Components!$D$7))</f>
        <v/>
      </c>
      <c r="W187" s="61">
        <f>IF(G187="","",IF(N187="OK","NONE",INDEX({"S1","S2","W1","W2","N1","N2"},MATCH(MIN(Q187:V187),Q187:V187,0))))</f>
        <v/>
      </c>
      <c r="X187" s="69">
        <f>IF(G187="","",IF(W187=E187,1,0))</f>
        <v/>
      </c>
      <c r="Y187" s="70" t="n"/>
    </row>
    <row r="188">
      <c r="A188" s="61" t="n">
        <v>41.4</v>
      </c>
      <c r="B188" s="62" t="n">
        <v>48.5</v>
      </c>
      <c r="C188" s="61" t="inlineStr">
        <is>
          <t>R4</t>
        </is>
      </c>
      <c r="D188" s="74" t="inlineStr">
        <is>
          <t>NG</t>
        </is>
      </c>
      <c r="E188" s="61" t="inlineStr">
        <is>
          <t>W1</t>
        </is>
      </c>
      <c r="F188" s="61" t="inlineStr">
        <is>
          <t>K030</t>
        </is>
      </c>
      <c r="G188" s="75" t="n">
        <v>8.02</v>
      </c>
      <c r="H188" s="65" t="n"/>
      <c r="I188" s="66" t="n"/>
      <c r="J188" s="67">
        <f>VLOOKUP(C188,Recipes!$A$2:$N$4,10,FALSE())</f>
        <v/>
      </c>
      <c r="K188" s="68">
        <f>VLOOKUP(C188,Recipes!$A$2:$N$4,12,FALSE())</f>
        <v/>
      </c>
      <c r="L188" s="67">
        <f>J188-3*K188</f>
        <v/>
      </c>
      <c r="M188" s="67">
        <f>J188+3*K188</f>
        <v/>
      </c>
      <c r="N188" s="61">
        <f>IF(G188="","",IF(AND(G188&gt;=L188,G188&lt;=M188),"OK","NG"))</f>
        <v/>
      </c>
      <c r="O188" s="69">
        <f>IF(N188="","",IF(N188=D188,1,0))</f>
        <v/>
      </c>
      <c r="P188" s="67">
        <f>IF(G188="","",J188-G188)</f>
        <v/>
      </c>
      <c r="Q188" s="67">
        <f>IF(G188="","",ABS(P188-Components!$D$2))</f>
        <v/>
      </c>
      <c r="R188" s="67">
        <f>IF(G188="","",ABS(P188-Components!$D$3))</f>
        <v/>
      </c>
      <c r="S188" s="67">
        <f>IF(G188="","",ABS(P188-Components!$D$4))</f>
        <v/>
      </c>
      <c r="T188" s="67">
        <f>IF(G188="","",ABS(P188-Components!$D$5))</f>
        <v/>
      </c>
      <c r="U188" s="67">
        <f>IF(G188="","",ABS(P188-Components!$D$6))</f>
        <v/>
      </c>
      <c r="V188" s="67">
        <f>IF(G188="","",ABS(P188-Components!$D$7))</f>
        <v/>
      </c>
      <c r="W188" s="61">
        <f>IF(G188="","",IF(N188="OK","NONE",INDEX({"S1","S2","W1","W2","N1","N2"},MATCH(MIN(Q188:V188),Q188:V188,0))))</f>
        <v/>
      </c>
      <c r="X188" s="69">
        <f>IF(G188="","",IF(W188=E188,1,0))</f>
        <v/>
      </c>
      <c r="Y188" s="70" t="n"/>
    </row>
    <row r="189">
      <c r="A189" s="61" t="n">
        <v>44</v>
      </c>
      <c r="B189" s="62" t="n">
        <v>53.8</v>
      </c>
      <c r="C189" s="61" t="inlineStr">
        <is>
          <t>R4</t>
        </is>
      </c>
      <c r="D189" s="74" t="inlineStr">
        <is>
          <t>NG</t>
        </is>
      </c>
      <c r="E189" s="61" t="inlineStr">
        <is>
          <t>W1</t>
        </is>
      </c>
      <c r="F189" s="61" t="inlineStr">
        <is>
          <t>K031</t>
        </is>
      </c>
      <c r="G189" s="75" t="n">
        <v>8.07</v>
      </c>
      <c r="H189" s="65" t="n"/>
      <c r="I189" s="66" t="n"/>
      <c r="J189" s="67">
        <f>VLOOKUP(C189,Recipes!$A$2:$N$4,10,FALSE())</f>
        <v/>
      </c>
      <c r="K189" s="68">
        <f>VLOOKUP(C189,Recipes!$A$2:$N$4,12,FALSE())</f>
        <v/>
      </c>
      <c r="L189" s="67">
        <f>J189-3*K189</f>
        <v/>
      </c>
      <c r="M189" s="67">
        <f>J189+3*K189</f>
        <v/>
      </c>
      <c r="N189" s="61">
        <f>IF(G189="","",IF(AND(G189&gt;=L189,G189&lt;=M189),"OK","NG"))</f>
        <v/>
      </c>
      <c r="O189" s="69">
        <f>IF(N189="","",IF(N189=D189,1,0))</f>
        <v/>
      </c>
      <c r="P189" s="67">
        <f>IF(G189="","",J189-G189)</f>
        <v/>
      </c>
      <c r="Q189" s="67">
        <f>IF(G189="","",ABS(P189-Components!$D$2))</f>
        <v/>
      </c>
      <c r="R189" s="67">
        <f>IF(G189="","",ABS(P189-Components!$D$3))</f>
        <v/>
      </c>
      <c r="S189" s="67">
        <f>IF(G189="","",ABS(P189-Components!$D$4))</f>
        <v/>
      </c>
      <c r="T189" s="67">
        <f>IF(G189="","",ABS(P189-Components!$D$5))</f>
        <v/>
      </c>
      <c r="U189" s="67">
        <f>IF(G189="","",ABS(P189-Components!$D$6))</f>
        <v/>
      </c>
      <c r="V189" s="67">
        <f>IF(G189="","",ABS(P189-Components!$D$7))</f>
        <v/>
      </c>
      <c r="W189" s="61">
        <f>IF(G189="","",IF(N189="OK","NONE",INDEX({"S1","S2","W1","W2","N1","N2"},MATCH(MIN(Q189:V189),Q189:V189,0))))</f>
        <v/>
      </c>
      <c r="X189" s="69">
        <f>IF(G189="","",IF(W189=E189,1,0))</f>
        <v/>
      </c>
      <c r="Y189" s="70" t="n"/>
    </row>
    <row r="190">
      <c r="A190" s="61" t="n">
        <v>46.6</v>
      </c>
      <c r="B190" s="62" t="n">
        <v>59.1</v>
      </c>
      <c r="C190" s="61" t="inlineStr">
        <is>
          <t>R4</t>
        </is>
      </c>
      <c r="D190" s="74" t="inlineStr">
        <is>
          <t>NG</t>
        </is>
      </c>
      <c r="E190" s="61" t="inlineStr">
        <is>
          <t>W1</t>
        </is>
      </c>
      <c r="F190" s="61" t="inlineStr">
        <is>
          <t>K032</t>
        </is>
      </c>
      <c r="G190" s="75" t="n">
        <v>7.89</v>
      </c>
      <c r="H190" s="65" t="n"/>
      <c r="I190" s="66" t="n"/>
      <c r="J190" s="67">
        <f>VLOOKUP(C190,Recipes!$A$2:$N$4,10,FALSE())</f>
        <v/>
      </c>
      <c r="K190" s="68">
        <f>VLOOKUP(C190,Recipes!$A$2:$N$4,12,FALSE())</f>
        <v/>
      </c>
      <c r="L190" s="67">
        <f>J190-3*K190</f>
        <v/>
      </c>
      <c r="M190" s="67">
        <f>J190+3*K190</f>
        <v/>
      </c>
      <c r="N190" s="61">
        <f>IF(G190="","",IF(AND(G190&gt;=L190,G190&lt;=M190),"OK","NG"))</f>
        <v/>
      </c>
      <c r="O190" s="69">
        <f>IF(N190="","",IF(N190=D190,1,0))</f>
        <v/>
      </c>
      <c r="P190" s="67">
        <f>IF(G190="","",J190-G190)</f>
        <v/>
      </c>
      <c r="Q190" s="67">
        <f>IF(G190="","",ABS(P190-Components!$D$2))</f>
        <v/>
      </c>
      <c r="R190" s="67">
        <f>IF(G190="","",ABS(P190-Components!$D$3))</f>
        <v/>
      </c>
      <c r="S190" s="67">
        <f>IF(G190="","",ABS(P190-Components!$D$4))</f>
        <v/>
      </c>
      <c r="T190" s="67">
        <f>IF(G190="","",ABS(P190-Components!$D$5))</f>
        <v/>
      </c>
      <c r="U190" s="67">
        <f>IF(G190="","",ABS(P190-Components!$D$6))</f>
        <v/>
      </c>
      <c r="V190" s="67">
        <f>IF(G190="","",ABS(P190-Components!$D$7))</f>
        <v/>
      </c>
      <c r="W190" s="61">
        <f>IF(G190="","",IF(N190="OK","NONE",INDEX({"S1","S2","W1","W2","N1","N2"},MATCH(MIN(Q190:V190),Q190:V190,0))))</f>
        <v/>
      </c>
      <c r="X190" s="69">
        <f>IF(G190="","",IF(W190=E190,1,0))</f>
        <v/>
      </c>
      <c r="Y190" s="70" t="n"/>
    </row>
    <row r="191">
      <c r="A191" s="61" t="n">
        <v>49.2</v>
      </c>
      <c r="B191" s="62" t="n">
        <v>64.40000000000001</v>
      </c>
      <c r="C191" s="61" t="inlineStr">
        <is>
          <t>R4</t>
        </is>
      </c>
      <c r="D191" s="74" t="inlineStr">
        <is>
          <t>NG</t>
        </is>
      </c>
      <c r="E191" s="61" t="inlineStr">
        <is>
          <t>W1</t>
        </is>
      </c>
      <c r="F191" s="61" t="inlineStr">
        <is>
          <t>K033</t>
        </is>
      </c>
      <c r="G191" s="75" t="n">
        <v>7.91</v>
      </c>
      <c r="H191" s="65" t="n"/>
      <c r="I191" s="66" t="n"/>
      <c r="J191" s="67">
        <f>VLOOKUP(C191,Recipes!$A$2:$N$4,10,FALSE())</f>
        <v/>
      </c>
      <c r="K191" s="68">
        <f>VLOOKUP(C191,Recipes!$A$2:$N$4,12,FALSE())</f>
        <v/>
      </c>
      <c r="L191" s="67">
        <f>J191-3*K191</f>
        <v/>
      </c>
      <c r="M191" s="67">
        <f>J191+3*K191</f>
        <v/>
      </c>
      <c r="N191" s="61">
        <f>IF(G191="","",IF(AND(G191&gt;=L191,G191&lt;=M191),"OK","NG"))</f>
        <v/>
      </c>
      <c r="O191" s="69">
        <f>IF(N191="","",IF(N191=D191,1,0))</f>
        <v/>
      </c>
      <c r="P191" s="67">
        <f>IF(G191="","",J191-G191)</f>
        <v/>
      </c>
      <c r="Q191" s="67">
        <f>IF(G191="","",ABS(P191-Components!$D$2))</f>
        <v/>
      </c>
      <c r="R191" s="67">
        <f>IF(G191="","",ABS(P191-Components!$D$3))</f>
        <v/>
      </c>
      <c r="S191" s="67">
        <f>IF(G191="","",ABS(P191-Components!$D$4))</f>
        <v/>
      </c>
      <c r="T191" s="67">
        <f>IF(G191="","",ABS(P191-Components!$D$5))</f>
        <v/>
      </c>
      <c r="U191" s="67">
        <f>IF(G191="","",ABS(P191-Components!$D$6))</f>
        <v/>
      </c>
      <c r="V191" s="67">
        <f>IF(G191="","",ABS(P191-Components!$D$7))</f>
        <v/>
      </c>
      <c r="W191" s="61">
        <f>IF(G191="","",IF(N191="OK","NONE",INDEX({"S1","S2","W1","W2","N1","N2"},MATCH(MIN(Q191:V191),Q191:V191,0))))</f>
        <v/>
      </c>
      <c r="X191" s="69">
        <f>IF(G191="","",IF(W191=E191,1,0))</f>
        <v/>
      </c>
      <c r="Y191" s="70" t="n"/>
    </row>
    <row r="192">
      <c r="A192" s="76" t="n">
        <v>51.8</v>
      </c>
      <c r="B192" s="77" t="n">
        <v>69.7</v>
      </c>
      <c r="C192" s="76" t="inlineStr">
        <is>
          <t>R4</t>
        </is>
      </c>
      <c r="D192" s="78" t="inlineStr">
        <is>
          <t>NG</t>
        </is>
      </c>
      <c r="E192" s="76" t="inlineStr">
        <is>
          <t>W1</t>
        </is>
      </c>
      <c r="F192" s="76" t="inlineStr">
        <is>
          <t>K042</t>
        </is>
      </c>
      <c r="G192" s="75" t="n">
        <v>7.95</v>
      </c>
      <c r="H192" s="65" t="n"/>
      <c r="I192" s="66" t="n"/>
      <c r="J192" s="67">
        <f>VLOOKUP(C192,Recipes!$A$2:$N$4,10,FALSE())</f>
        <v/>
      </c>
      <c r="K192" s="68">
        <f>VLOOKUP(C192,Recipes!$A$2:$N$4,12,FALSE())</f>
        <v/>
      </c>
      <c r="L192" s="67">
        <f>J192-3*K192</f>
        <v/>
      </c>
      <c r="M192" s="67">
        <f>J192+3*K192</f>
        <v/>
      </c>
      <c r="N192" s="61">
        <f>IF(G192="","",IF(AND(G192&gt;=L192,G192&lt;=M192),"OK","NG"))</f>
        <v/>
      </c>
      <c r="O192" s="69">
        <f>IF(N192="","",IF(N192=D192,1,0))</f>
        <v/>
      </c>
      <c r="P192" s="67">
        <f>IF(G192="","",J192-G192)</f>
        <v/>
      </c>
      <c r="Q192" s="67">
        <f>IF(G192="","",ABS(P192-Components!$D$2))</f>
        <v/>
      </c>
      <c r="R192" s="67">
        <f>IF(G192="","",ABS(P192-Components!$D$3))</f>
        <v/>
      </c>
      <c r="S192" s="67">
        <f>IF(G192="","",ABS(P192-Components!$D$4))</f>
        <v/>
      </c>
      <c r="T192" s="67">
        <f>IF(G192="","",ABS(P192-Components!$D$5))</f>
        <v/>
      </c>
      <c r="U192" s="67">
        <f>IF(G192="","",ABS(P192-Components!$D$6))</f>
        <v/>
      </c>
      <c r="V192" s="67">
        <f>IF(G192="","",ABS(P192-Components!$D$7))</f>
        <v/>
      </c>
      <c r="W192" s="61">
        <f>IF(G192="","",IF(N192="OK","NONE",INDEX({"S1","S2","W1","W2","N1","N2"},MATCH(MIN(Q192:V192),Q192:V192,0))))</f>
        <v/>
      </c>
      <c r="X192" s="69">
        <f>IF(G192="","",IF(W192=E192,1,0))</f>
        <v/>
      </c>
      <c r="Y192" s="70" t="n"/>
    </row>
    <row r="193">
      <c r="A193" s="61" t="n">
        <v>54.4</v>
      </c>
      <c r="B193" s="62" t="n">
        <v>75</v>
      </c>
      <c r="C193" s="61" t="inlineStr">
        <is>
          <t>R4</t>
        </is>
      </c>
      <c r="D193" s="74" t="inlineStr">
        <is>
          <t>NG</t>
        </is>
      </c>
      <c r="E193" s="61" t="inlineStr">
        <is>
          <t>W1</t>
        </is>
      </c>
      <c r="F193" s="61" t="inlineStr">
        <is>
          <t>K030</t>
        </is>
      </c>
      <c r="G193" s="75" t="n">
        <v>7.95</v>
      </c>
      <c r="H193" s="65" t="n"/>
      <c r="I193" s="66" t="n"/>
      <c r="J193" s="67">
        <f>VLOOKUP(C193,Recipes!$A$2:$N$4,10,FALSE())</f>
        <v/>
      </c>
      <c r="K193" s="68">
        <f>VLOOKUP(C193,Recipes!$A$2:$N$4,12,FALSE())</f>
        <v/>
      </c>
      <c r="L193" s="67">
        <f>J193-3*K193</f>
        <v/>
      </c>
      <c r="M193" s="67">
        <f>J193+3*K193</f>
        <v/>
      </c>
      <c r="N193" s="61">
        <f>IF(G193="","",IF(AND(G193&gt;=L193,G193&lt;=M193),"OK","NG"))</f>
        <v/>
      </c>
      <c r="O193" s="69">
        <f>IF(N193="","",IF(N193=D193,1,0))</f>
        <v/>
      </c>
      <c r="P193" s="67">
        <f>IF(G193="","",J193-G193)</f>
        <v/>
      </c>
      <c r="Q193" s="67">
        <f>IF(G193="","",ABS(P193-Components!$D$2))</f>
        <v/>
      </c>
      <c r="R193" s="67">
        <f>IF(G193="","",ABS(P193-Components!$D$3))</f>
        <v/>
      </c>
      <c r="S193" s="67">
        <f>IF(G193="","",ABS(P193-Components!$D$4))</f>
        <v/>
      </c>
      <c r="T193" s="67">
        <f>IF(G193="","",ABS(P193-Components!$D$5))</f>
        <v/>
      </c>
      <c r="U193" s="67">
        <f>IF(G193="","",ABS(P193-Components!$D$6))</f>
        <v/>
      </c>
      <c r="V193" s="67">
        <f>IF(G193="","",ABS(P193-Components!$D$7))</f>
        <v/>
      </c>
      <c r="W193" s="61">
        <f>IF(G193="","",IF(N193="OK","NONE",INDEX({"S1","S2","W1","W2","N1","N2"},MATCH(MIN(Q193:V193),Q193:V193,0))))</f>
        <v/>
      </c>
      <c r="X193" s="69">
        <f>IF(G193="","",IF(W193=E193,1,0))</f>
        <v/>
      </c>
      <c r="Y193" s="70" t="n"/>
    </row>
    <row r="194">
      <c r="A194" s="61" t="n">
        <v>57</v>
      </c>
      <c r="B194" s="62" t="n">
        <v>80.3</v>
      </c>
      <c r="C194" s="61" t="inlineStr">
        <is>
          <t>R4</t>
        </is>
      </c>
      <c r="D194" s="74" t="inlineStr">
        <is>
          <t>NG</t>
        </is>
      </c>
      <c r="E194" s="61" t="inlineStr">
        <is>
          <t>W1</t>
        </is>
      </c>
      <c r="F194" s="61" t="inlineStr">
        <is>
          <t>K031</t>
        </is>
      </c>
      <c r="G194" s="75" t="n">
        <v>7.9</v>
      </c>
      <c r="H194" s="65" t="n"/>
      <c r="I194" s="66" t="n"/>
      <c r="J194" s="67">
        <f>VLOOKUP(C194,Recipes!$A$2:$N$4,10,FALSE())</f>
        <v/>
      </c>
      <c r="K194" s="68">
        <f>VLOOKUP(C194,Recipes!$A$2:$N$4,12,FALSE())</f>
        <v/>
      </c>
      <c r="L194" s="67">
        <f>J194-3*K194</f>
        <v/>
      </c>
      <c r="M194" s="67">
        <f>J194+3*K194</f>
        <v/>
      </c>
      <c r="N194" s="61">
        <f>IF(G194="","",IF(AND(G194&gt;=L194,G194&lt;=M194),"OK","NG"))</f>
        <v/>
      </c>
      <c r="O194" s="69">
        <f>IF(N194="","",IF(N194=D194,1,0))</f>
        <v/>
      </c>
      <c r="P194" s="67">
        <f>IF(G194="","",J194-G194)</f>
        <v/>
      </c>
      <c r="Q194" s="67">
        <f>IF(G194="","",ABS(P194-Components!$D$2))</f>
        <v/>
      </c>
      <c r="R194" s="67">
        <f>IF(G194="","",ABS(P194-Components!$D$3))</f>
        <v/>
      </c>
      <c r="S194" s="67">
        <f>IF(G194="","",ABS(P194-Components!$D$4))</f>
        <v/>
      </c>
      <c r="T194" s="67">
        <f>IF(G194="","",ABS(P194-Components!$D$5))</f>
        <v/>
      </c>
      <c r="U194" s="67">
        <f>IF(G194="","",ABS(P194-Components!$D$6))</f>
        <v/>
      </c>
      <c r="V194" s="67">
        <f>IF(G194="","",ABS(P194-Components!$D$7))</f>
        <v/>
      </c>
      <c r="W194" s="61">
        <f>IF(G194="","",IF(N194="OK","NONE",INDEX({"S1","S2","W1","W2","N1","N2"},MATCH(MIN(Q194:V194),Q194:V194,0))))</f>
        <v/>
      </c>
      <c r="X194" s="69">
        <f>IF(G194="","",IF(W194=E194,1,0))</f>
        <v/>
      </c>
      <c r="Y194" s="70" t="n"/>
    </row>
    <row r="195">
      <c r="A195" s="61" t="n">
        <v>59.6</v>
      </c>
      <c r="B195" s="62" t="n">
        <v>85.59999999999999</v>
      </c>
      <c r="C195" s="61" t="inlineStr">
        <is>
          <t>R4</t>
        </is>
      </c>
      <c r="D195" s="74" t="inlineStr">
        <is>
          <t>NG</t>
        </is>
      </c>
      <c r="E195" s="61" t="inlineStr">
        <is>
          <t>W1</t>
        </is>
      </c>
      <c r="F195" s="61" t="inlineStr">
        <is>
          <t>K032</t>
        </is>
      </c>
      <c r="G195" s="75" t="n">
        <v>7.91</v>
      </c>
      <c r="H195" s="65" t="n"/>
      <c r="I195" s="66" t="n"/>
      <c r="J195" s="67">
        <f>VLOOKUP(C195,Recipes!$A$2:$N$4,10,FALSE())</f>
        <v/>
      </c>
      <c r="K195" s="68">
        <f>VLOOKUP(C195,Recipes!$A$2:$N$4,12,FALSE())</f>
        <v/>
      </c>
      <c r="L195" s="67">
        <f>J195-3*K195</f>
        <v/>
      </c>
      <c r="M195" s="67">
        <f>J195+3*K195</f>
        <v/>
      </c>
      <c r="N195" s="61">
        <f>IF(G195="","",IF(AND(G195&gt;=L195,G195&lt;=M195),"OK","NG"))</f>
        <v/>
      </c>
      <c r="O195" s="69">
        <f>IF(N195="","",IF(N195=D195,1,0))</f>
        <v/>
      </c>
      <c r="P195" s="67">
        <f>IF(G195="","",J195-G195)</f>
        <v/>
      </c>
      <c r="Q195" s="67">
        <f>IF(G195="","",ABS(P195-Components!$D$2))</f>
        <v/>
      </c>
      <c r="R195" s="67">
        <f>IF(G195="","",ABS(P195-Components!$D$3))</f>
        <v/>
      </c>
      <c r="S195" s="67">
        <f>IF(G195="","",ABS(P195-Components!$D$4))</f>
        <v/>
      </c>
      <c r="T195" s="67">
        <f>IF(G195="","",ABS(P195-Components!$D$5))</f>
        <v/>
      </c>
      <c r="U195" s="67">
        <f>IF(G195="","",ABS(P195-Components!$D$6))</f>
        <v/>
      </c>
      <c r="V195" s="67">
        <f>IF(G195="","",ABS(P195-Components!$D$7))</f>
        <v/>
      </c>
      <c r="W195" s="61">
        <f>IF(G195="","",IF(N195="OK","NONE",INDEX({"S1","S2","W1","W2","N1","N2"},MATCH(MIN(Q195:V195),Q195:V195,0))))</f>
        <v/>
      </c>
      <c r="X195" s="69">
        <f>IF(G195="","",IF(W195=E195,1,0))</f>
        <v/>
      </c>
      <c r="Y195" s="70" t="n"/>
    </row>
    <row r="196">
      <c r="A196" s="61" t="n">
        <v>62.2</v>
      </c>
      <c r="B196" s="62" t="n">
        <v>90.90000000000001</v>
      </c>
      <c r="C196" s="61" t="inlineStr">
        <is>
          <t>R4</t>
        </is>
      </c>
      <c r="D196" s="74" t="inlineStr">
        <is>
          <t>NG</t>
        </is>
      </c>
      <c r="E196" s="61" t="inlineStr">
        <is>
          <t>W1</t>
        </is>
      </c>
      <c r="F196" s="61" t="inlineStr">
        <is>
          <t>K033</t>
        </is>
      </c>
      <c r="G196" s="75" t="n">
        <v>7.98</v>
      </c>
      <c r="H196" s="65" t="n"/>
      <c r="I196" s="66" t="n"/>
      <c r="J196" s="67">
        <f>VLOOKUP(C196,Recipes!$A$2:$N$4,10,FALSE())</f>
        <v/>
      </c>
      <c r="K196" s="68">
        <f>VLOOKUP(C196,Recipes!$A$2:$N$4,12,FALSE())</f>
        <v/>
      </c>
      <c r="L196" s="67">
        <f>J196-3*K196</f>
        <v/>
      </c>
      <c r="M196" s="67">
        <f>J196+3*K196</f>
        <v/>
      </c>
      <c r="N196" s="61">
        <f>IF(G196="","",IF(AND(G196&gt;=L196,G196&lt;=M196),"OK","NG"))</f>
        <v/>
      </c>
      <c r="O196" s="69">
        <f>IF(N196="","",IF(N196=D196,1,0))</f>
        <v/>
      </c>
      <c r="P196" s="67">
        <f>IF(G196="","",J196-G196)</f>
        <v/>
      </c>
      <c r="Q196" s="67">
        <f>IF(G196="","",ABS(P196-Components!$D$2))</f>
        <v/>
      </c>
      <c r="R196" s="67">
        <f>IF(G196="","",ABS(P196-Components!$D$3))</f>
        <v/>
      </c>
      <c r="S196" s="67">
        <f>IF(G196="","",ABS(P196-Components!$D$4))</f>
        <v/>
      </c>
      <c r="T196" s="67">
        <f>IF(G196="","",ABS(P196-Components!$D$5))</f>
        <v/>
      </c>
      <c r="U196" s="67">
        <f>IF(G196="","",ABS(P196-Components!$D$6))</f>
        <v/>
      </c>
      <c r="V196" s="67">
        <f>IF(G196="","",ABS(P196-Components!$D$7))</f>
        <v/>
      </c>
      <c r="W196" s="61">
        <f>IF(G196="","",IF(N196="OK","NONE",INDEX({"S1","S2","W1","W2","N1","N2"},MATCH(MIN(Q196:V196),Q196:V196,0))))</f>
        <v/>
      </c>
      <c r="X196" s="69">
        <f>IF(G196="","",IF(W196=E196,1,0))</f>
        <v/>
      </c>
      <c r="Y196" s="70" t="n"/>
    </row>
    <row r="197">
      <c r="A197" s="76" t="n">
        <v>64.8</v>
      </c>
      <c r="B197" s="77" t="n">
        <v>96.2</v>
      </c>
      <c r="C197" s="76" t="inlineStr">
        <is>
          <t>R4</t>
        </is>
      </c>
      <c r="D197" s="78" t="inlineStr">
        <is>
          <t>NG</t>
        </is>
      </c>
      <c r="E197" s="76" t="inlineStr">
        <is>
          <t>W1</t>
        </is>
      </c>
      <c r="F197" s="76" t="inlineStr">
        <is>
          <t>K042</t>
        </is>
      </c>
      <c r="G197" s="75" t="n">
        <v>7.95</v>
      </c>
      <c r="H197" s="65" t="n"/>
      <c r="I197" s="66" t="n"/>
      <c r="J197" s="67">
        <f>VLOOKUP(C197,Recipes!$A$2:$N$4,10,FALSE())</f>
        <v/>
      </c>
      <c r="K197" s="68">
        <f>VLOOKUP(C197,Recipes!$A$2:$N$4,12,FALSE())</f>
        <v/>
      </c>
      <c r="L197" s="67">
        <f>J197-3*K197</f>
        <v/>
      </c>
      <c r="M197" s="67">
        <f>J197+3*K197</f>
        <v/>
      </c>
      <c r="N197" s="61">
        <f>IF(G197="","",IF(AND(G197&gt;=L197,G197&lt;=M197),"OK","NG"))</f>
        <v/>
      </c>
      <c r="O197" s="69">
        <f>IF(N197="","",IF(N197=D197,1,0))</f>
        <v/>
      </c>
      <c r="P197" s="67">
        <f>IF(G197="","",J197-G197)</f>
        <v/>
      </c>
      <c r="Q197" s="67">
        <f>IF(G197="","",ABS(P197-Components!$D$2))</f>
        <v/>
      </c>
      <c r="R197" s="67">
        <f>IF(G197="","",ABS(P197-Components!$D$3))</f>
        <v/>
      </c>
      <c r="S197" s="67">
        <f>IF(G197="","",ABS(P197-Components!$D$4))</f>
        <v/>
      </c>
      <c r="T197" s="67">
        <f>IF(G197="","",ABS(P197-Components!$D$5))</f>
        <v/>
      </c>
      <c r="U197" s="67">
        <f>IF(G197="","",ABS(P197-Components!$D$6))</f>
        <v/>
      </c>
      <c r="V197" s="67">
        <f>IF(G197="","",ABS(P197-Components!$D$7))</f>
        <v/>
      </c>
      <c r="W197" s="61">
        <f>IF(G197="","",IF(N197="OK","NONE",INDEX({"S1","S2","W1","W2","N1","N2"},MATCH(MIN(Q197:V197),Q197:V197,0))))</f>
        <v/>
      </c>
      <c r="X197" s="69">
        <f>IF(G197="","",IF(W197=E197,1,0))</f>
        <v/>
      </c>
      <c r="Y197" s="70" t="n"/>
    </row>
    <row r="198">
      <c r="A198" s="61" t="n">
        <v>67.40000000000001</v>
      </c>
      <c r="B198" s="62" t="n">
        <v>101.5</v>
      </c>
      <c r="C198" s="61" t="inlineStr">
        <is>
          <t>R4</t>
        </is>
      </c>
      <c r="D198" s="74" t="inlineStr">
        <is>
          <t>NG</t>
        </is>
      </c>
      <c r="E198" s="61" t="inlineStr">
        <is>
          <t>W1</t>
        </is>
      </c>
      <c r="F198" s="61" t="inlineStr">
        <is>
          <t>K030</t>
        </is>
      </c>
      <c r="G198" s="75" t="n">
        <v>7.964</v>
      </c>
      <c r="H198" s="65" t="n"/>
      <c r="I198" s="66" t="n"/>
      <c r="J198" s="67">
        <f>VLOOKUP(C198,Recipes!$A$2:$N$4,10,FALSE())</f>
        <v/>
      </c>
      <c r="K198" s="68">
        <f>VLOOKUP(C198,Recipes!$A$2:$N$4,12,FALSE())</f>
        <v/>
      </c>
      <c r="L198" s="67">
        <f>J198-3*K198</f>
        <v/>
      </c>
      <c r="M198" s="67">
        <f>J198+3*K198</f>
        <v/>
      </c>
      <c r="N198" s="61">
        <f>IF(G198="","",IF(AND(G198&gt;=L198,G198&lt;=M198),"OK","NG"))</f>
        <v/>
      </c>
      <c r="O198" s="69">
        <f>IF(N198="","",IF(N198=D198,1,0))</f>
        <v/>
      </c>
      <c r="P198" s="67">
        <f>IF(G198="","",J198-G198)</f>
        <v/>
      </c>
      <c r="Q198" s="67">
        <f>IF(G198="","",ABS(P198-Components!$D$2))</f>
        <v/>
      </c>
      <c r="R198" s="67">
        <f>IF(G198="","",ABS(P198-Components!$D$3))</f>
        <v/>
      </c>
      <c r="S198" s="67">
        <f>IF(G198="","",ABS(P198-Components!$D$4))</f>
        <v/>
      </c>
      <c r="T198" s="67">
        <f>IF(G198="","",ABS(P198-Components!$D$5))</f>
        <v/>
      </c>
      <c r="U198" s="67">
        <f>IF(G198="","",ABS(P198-Components!$D$6))</f>
        <v/>
      </c>
      <c r="V198" s="67">
        <f>IF(G198="","",ABS(P198-Components!$D$7))</f>
        <v/>
      </c>
      <c r="W198" s="61">
        <f>IF(G198="","",IF(N198="OK","NONE",INDEX({"S1","S2","W1","W2","N1","N2"},MATCH(MIN(Q198:V198),Q198:V198,0))))</f>
        <v/>
      </c>
      <c r="X198" s="69">
        <f>IF(G198="","",IF(W198=E198,1,0))</f>
        <v/>
      </c>
      <c r="Y198" s="70" t="n"/>
    </row>
    <row r="199">
      <c r="A199" s="61" t="n">
        <v>70</v>
      </c>
      <c r="B199" s="62" t="n">
        <v>106.8</v>
      </c>
      <c r="C199" s="61" t="inlineStr">
        <is>
          <t>R4</t>
        </is>
      </c>
      <c r="D199" s="74" t="inlineStr">
        <is>
          <t>NG</t>
        </is>
      </c>
      <c r="E199" s="61" t="inlineStr">
        <is>
          <t>W1</t>
        </is>
      </c>
      <c r="F199" s="61" t="inlineStr">
        <is>
          <t>K031</t>
        </is>
      </c>
      <c r="G199" s="75" t="n">
        <v>7.97</v>
      </c>
      <c r="H199" s="65" t="n"/>
      <c r="I199" s="66" t="n"/>
      <c r="J199" s="67">
        <f>VLOOKUP(C199,Recipes!$A$2:$N$4,10,FALSE())</f>
        <v/>
      </c>
      <c r="K199" s="68">
        <f>VLOOKUP(C199,Recipes!$A$2:$N$4,12,FALSE())</f>
        <v/>
      </c>
      <c r="L199" s="67">
        <f>J199-3*K199</f>
        <v/>
      </c>
      <c r="M199" s="67">
        <f>J199+3*K199</f>
        <v/>
      </c>
      <c r="N199" s="61">
        <f>IF(G199="","",IF(AND(G199&gt;=L199,G199&lt;=M199),"OK","NG"))</f>
        <v/>
      </c>
      <c r="O199" s="69">
        <f>IF(N199="","",IF(N199=D199,1,0))</f>
        <v/>
      </c>
      <c r="P199" s="67">
        <f>IF(G199="","",J199-G199)</f>
        <v/>
      </c>
      <c r="Q199" s="67">
        <f>IF(G199="","",ABS(P199-Components!$D$2))</f>
        <v/>
      </c>
      <c r="R199" s="67">
        <f>IF(G199="","",ABS(P199-Components!$D$3))</f>
        <v/>
      </c>
      <c r="S199" s="67">
        <f>IF(G199="","",ABS(P199-Components!$D$4))</f>
        <v/>
      </c>
      <c r="T199" s="67">
        <f>IF(G199="","",ABS(P199-Components!$D$5))</f>
        <v/>
      </c>
      <c r="U199" s="67">
        <f>IF(G199="","",ABS(P199-Components!$D$6))</f>
        <v/>
      </c>
      <c r="V199" s="67">
        <f>IF(G199="","",ABS(P199-Components!$D$7))</f>
        <v/>
      </c>
      <c r="W199" s="61">
        <f>IF(G199="","",IF(N199="OK","NONE",INDEX({"S1","S2","W1","W2","N1","N2"},MATCH(MIN(Q199:V199),Q199:V199,0))))</f>
        <v/>
      </c>
      <c r="X199" s="69">
        <f>IF(G199="","",IF(W199=E199,1,0))</f>
        <v/>
      </c>
      <c r="Y199" s="70" t="n"/>
    </row>
    <row r="200">
      <c r="A200" s="61" t="n">
        <v>72.59999999999999</v>
      </c>
      <c r="B200" s="62" t="n">
        <v>112.1</v>
      </c>
      <c r="C200" s="61" t="inlineStr">
        <is>
          <t>R4</t>
        </is>
      </c>
      <c r="D200" s="74" t="inlineStr">
        <is>
          <t>NG</t>
        </is>
      </c>
      <c r="E200" s="61" t="inlineStr">
        <is>
          <t>W1</t>
        </is>
      </c>
      <c r="F200" s="61" t="inlineStr">
        <is>
          <t>K032</t>
        </is>
      </c>
      <c r="G200" s="75" t="n">
        <v>7.91</v>
      </c>
      <c r="H200" s="65" t="n"/>
      <c r="I200" s="66" t="n"/>
      <c r="J200" s="67">
        <f>VLOOKUP(C200,Recipes!$A$2:$N$4,10,FALSE())</f>
        <v/>
      </c>
      <c r="K200" s="68">
        <f>VLOOKUP(C200,Recipes!$A$2:$N$4,12,FALSE())</f>
        <v/>
      </c>
      <c r="L200" s="67">
        <f>J200-3*K200</f>
        <v/>
      </c>
      <c r="M200" s="67">
        <f>J200+3*K200</f>
        <v/>
      </c>
      <c r="N200" s="61">
        <f>IF(G200="","",IF(AND(G200&gt;=L200,G200&lt;=M200),"OK","NG"))</f>
        <v/>
      </c>
      <c r="O200" s="69">
        <f>IF(N200="","",IF(N200=D200,1,0))</f>
        <v/>
      </c>
      <c r="P200" s="67">
        <f>IF(G200="","",J200-G200)</f>
        <v/>
      </c>
      <c r="Q200" s="67">
        <f>IF(G200="","",ABS(P200-Components!$D$2))</f>
        <v/>
      </c>
      <c r="R200" s="67">
        <f>IF(G200="","",ABS(P200-Components!$D$3))</f>
        <v/>
      </c>
      <c r="S200" s="67">
        <f>IF(G200="","",ABS(P200-Components!$D$4))</f>
        <v/>
      </c>
      <c r="T200" s="67">
        <f>IF(G200="","",ABS(P200-Components!$D$5))</f>
        <v/>
      </c>
      <c r="U200" s="67">
        <f>IF(G200="","",ABS(P200-Components!$D$6))</f>
        <v/>
      </c>
      <c r="V200" s="67">
        <f>IF(G200="","",ABS(P200-Components!$D$7))</f>
        <v/>
      </c>
      <c r="W200" s="61">
        <f>IF(G200="","",IF(N200="OK","NONE",INDEX({"S1","S2","W1","W2","N1","N2"},MATCH(MIN(Q200:V200),Q200:V200,0))))</f>
        <v/>
      </c>
      <c r="X200" s="69">
        <f>IF(G200="","",IF(W200=E200,1,0))</f>
        <v/>
      </c>
      <c r="Y200" s="70" t="n"/>
    </row>
    <row r="201">
      <c r="A201" s="61" t="n">
        <v>75.2</v>
      </c>
      <c r="B201" s="62" t="n">
        <v>117.4</v>
      </c>
      <c r="C201" s="61" t="inlineStr">
        <is>
          <t>R4</t>
        </is>
      </c>
      <c r="D201" s="74" t="inlineStr">
        <is>
          <t>NG</t>
        </is>
      </c>
      <c r="E201" s="61" t="inlineStr">
        <is>
          <t>W1</t>
        </is>
      </c>
      <c r="F201" s="61" t="inlineStr">
        <is>
          <t>K033</t>
        </is>
      </c>
      <c r="G201" s="75" t="n">
        <v>7.93</v>
      </c>
      <c r="H201" s="65" t="n"/>
      <c r="I201" s="66" t="n"/>
      <c r="J201" s="67">
        <f>VLOOKUP(C201,Recipes!$A$2:$N$4,10,FALSE())</f>
        <v/>
      </c>
      <c r="K201" s="68">
        <f>VLOOKUP(C201,Recipes!$A$2:$N$4,12,FALSE())</f>
        <v/>
      </c>
      <c r="L201" s="67">
        <f>J201-3*K201</f>
        <v/>
      </c>
      <c r="M201" s="67">
        <f>J201+3*K201</f>
        <v/>
      </c>
      <c r="N201" s="61">
        <f>IF(G201="","",IF(AND(G201&gt;=L201,G201&lt;=M201),"OK","NG"))</f>
        <v/>
      </c>
      <c r="O201" s="69">
        <f>IF(N201="","",IF(N201=D201,1,0))</f>
        <v/>
      </c>
      <c r="P201" s="67">
        <f>IF(G201="","",J201-G201)</f>
        <v/>
      </c>
      <c r="Q201" s="67">
        <f>IF(G201="","",ABS(P201-Components!$D$2))</f>
        <v/>
      </c>
      <c r="R201" s="67">
        <f>IF(G201="","",ABS(P201-Components!$D$3))</f>
        <v/>
      </c>
      <c r="S201" s="67">
        <f>IF(G201="","",ABS(P201-Components!$D$4))</f>
        <v/>
      </c>
      <c r="T201" s="67">
        <f>IF(G201="","",ABS(P201-Components!$D$5))</f>
        <v/>
      </c>
      <c r="U201" s="67">
        <f>IF(G201="","",ABS(P201-Components!$D$6))</f>
        <v/>
      </c>
      <c r="V201" s="67">
        <f>IF(G201="","",ABS(P201-Components!$D$7))</f>
        <v/>
      </c>
      <c r="W201" s="61">
        <f>IF(G201="","",IF(N201="OK","NONE",INDEX({"S1","S2","W1","W2","N1","N2"},MATCH(MIN(Q201:V201),Q201:V201,0))))</f>
        <v/>
      </c>
      <c r="X201" s="69">
        <f>IF(G201="","",IF(W201=E201,1,0))</f>
        <v/>
      </c>
      <c r="Y201" s="70" t="n"/>
    </row>
    <row r="202">
      <c r="A202" s="76" t="n">
        <v>77.8</v>
      </c>
      <c r="B202" s="77" t="n">
        <v>122.7</v>
      </c>
      <c r="C202" s="76" t="inlineStr">
        <is>
          <t>R4</t>
        </is>
      </c>
      <c r="D202" s="78" t="inlineStr">
        <is>
          <t>NG</t>
        </is>
      </c>
      <c r="E202" s="76" t="inlineStr">
        <is>
          <t>W1</t>
        </is>
      </c>
      <c r="F202" s="76" t="inlineStr">
        <is>
          <t>K042</t>
        </is>
      </c>
      <c r="G202" s="75" t="n">
        <v>7.94</v>
      </c>
      <c r="H202" s="65" t="n"/>
      <c r="I202" s="66" t="n"/>
      <c r="J202" s="67">
        <f>VLOOKUP(C202,Recipes!$A$2:$N$4,10,FALSE())</f>
        <v/>
      </c>
      <c r="K202" s="68">
        <f>VLOOKUP(C202,Recipes!$A$2:$N$4,12,FALSE())</f>
        <v/>
      </c>
      <c r="L202" s="67">
        <f>J202-3*K202</f>
        <v/>
      </c>
      <c r="M202" s="67">
        <f>J202+3*K202</f>
        <v/>
      </c>
      <c r="N202" s="61">
        <f>IF(G202="","",IF(AND(G202&gt;=L202,G202&lt;=M202),"OK","NG"))</f>
        <v/>
      </c>
      <c r="O202" s="69">
        <f>IF(N202="","",IF(N202=D202,1,0))</f>
        <v/>
      </c>
      <c r="P202" s="67">
        <f>IF(G202="","",J202-G202)</f>
        <v/>
      </c>
      <c r="Q202" s="67">
        <f>IF(G202="","",ABS(P202-Components!$D$2))</f>
        <v/>
      </c>
      <c r="R202" s="67">
        <f>IF(G202="","",ABS(P202-Components!$D$3))</f>
        <v/>
      </c>
      <c r="S202" s="67">
        <f>IF(G202="","",ABS(P202-Components!$D$4))</f>
        <v/>
      </c>
      <c r="T202" s="67">
        <f>IF(G202="","",ABS(P202-Components!$D$5))</f>
        <v/>
      </c>
      <c r="U202" s="67">
        <f>IF(G202="","",ABS(P202-Components!$D$6))</f>
        <v/>
      </c>
      <c r="V202" s="67">
        <f>IF(G202="","",ABS(P202-Components!$D$7))</f>
        <v/>
      </c>
      <c r="W202" s="61">
        <f>IF(G202="","",IF(N202="OK","NONE",INDEX({"S1","S2","W1","W2","N1","N2"},MATCH(MIN(Q202:V202),Q202:V202,0))))</f>
        <v/>
      </c>
      <c r="X202" s="69">
        <f>IF(G202="","",IF(W202=E202,1,0))</f>
        <v/>
      </c>
      <c r="Y202" s="70" t="n"/>
    </row>
    <row r="203">
      <c r="A203" s="61" t="n">
        <v>80.40000000000001</v>
      </c>
      <c r="B203" s="62" t="n">
        <v>128</v>
      </c>
      <c r="C203" s="61" t="inlineStr">
        <is>
          <t>R4</t>
        </is>
      </c>
      <c r="D203" s="74" t="inlineStr">
        <is>
          <t>NG</t>
        </is>
      </c>
      <c r="E203" s="61" t="inlineStr">
        <is>
          <t>W1</t>
        </is>
      </c>
      <c r="F203" s="61" t="inlineStr">
        <is>
          <t>K030</t>
        </is>
      </c>
      <c r="G203" s="75" t="n">
        <v>7.89</v>
      </c>
      <c r="H203" s="65" t="n"/>
      <c r="I203" s="66" t="n"/>
      <c r="J203" s="67">
        <f>VLOOKUP(C203,Recipes!$A$2:$N$4,10,FALSE())</f>
        <v/>
      </c>
      <c r="K203" s="68">
        <f>VLOOKUP(C203,Recipes!$A$2:$N$4,12,FALSE())</f>
        <v/>
      </c>
      <c r="L203" s="67">
        <f>J203-3*K203</f>
        <v/>
      </c>
      <c r="M203" s="67">
        <f>J203+3*K203</f>
        <v/>
      </c>
      <c r="N203" s="61">
        <f>IF(G203="","",IF(AND(G203&gt;=L203,G203&lt;=M203),"OK","NG"))</f>
        <v/>
      </c>
      <c r="O203" s="69">
        <f>IF(N203="","",IF(N203=D203,1,0))</f>
        <v/>
      </c>
      <c r="P203" s="67">
        <f>IF(G203="","",J203-G203)</f>
        <v/>
      </c>
      <c r="Q203" s="67">
        <f>IF(G203="","",ABS(P203-Components!$D$2))</f>
        <v/>
      </c>
      <c r="R203" s="67">
        <f>IF(G203="","",ABS(P203-Components!$D$3))</f>
        <v/>
      </c>
      <c r="S203" s="67">
        <f>IF(G203="","",ABS(P203-Components!$D$4))</f>
        <v/>
      </c>
      <c r="T203" s="67">
        <f>IF(G203="","",ABS(P203-Components!$D$5))</f>
        <v/>
      </c>
      <c r="U203" s="67">
        <f>IF(G203="","",ABS(P203-Components!$D$6))</f>
        <v/>
      </c>
      <c r="V203" s="67">
        <f>IF(G203="","",ABS(P203-Components!$D$7))</f>
        <v/>
      </c>
      <c r="W203" s="61">
        <f>IF(G203="","",IF(N203="OK","NONE",INDEX({"S1","S2","W1","W2","N1","N2"},MATCH(MIN(Q203:V203),Q203:V203,0))))</f>
        <v/>
      </c>
      <c r="X203" s="69">
        <f>IF(G203="","",IF(W203=E203,1,0))</f>
        <v/>
      </c>
      <c r="Y203" s="70" t="n"/>
    </row>
    <row r="204">
      <c r="A204" s="61" t="n">
        <v>83</v>
      </c>
      <c r="B204" s="62" t="n">
        <v>133.3</v>
      </c>
      <c r="C204" s="61" t="inlineStr">
        <is>
          <t>R4</t>
        </is>
      </c>
      <c r="D204" s="74" t="inlineStr">
        <is>
          <t>NG</t>
        </is>
      </c>
      <c r="E204" s="61" t="inlineStr">
        <is>
          <t>W1</t>
        </is>
      </c>
      <c r="F204" s="61" t="inlineStr">
        <is>
          <t>K031</t>
        </is>
      </c>
      <c r="G204" s="75" t="n">
        <v>7.95</v>
      </c>
      <c r="H204" s="65" t="n"/>
      <c r="I204" s="66" t="n"/>
      <c r="J204" s="67">
        <f>VLOOKUP(C204,Recipes!$A$2:$N$4,10,FALSE())</f>
        <v/>
      </c>
      <c r="K204" s="68">
        <f>VLOOKUP(C204,Recipes!$A$2:$N$4,12,FALSE())</f>
        <v/>
      </c>
      <c r="L204" s="67">
        <f>J204-3*K204</f>
        <v/>
      </c>
      <c r="M204" s="67">
        <f>J204+3*K204</f>
        <v/>
      </c>
      <c r="N204" s="61">
        <f>IF(G204="","",IF(AND(G204&gt;=L204,G204&lt;=M204),"OK","NG"))</f>
        <v/>
      </c>
      <c r="O204" s="69">
        <f>IF(N204="","",IF(N204=D204,1,0))</f>
        <v/>
      </c>
      <c r="P204" s="67">
        <f>IF(G204="","",J204-G204)</f>
        <v/>
      </c>
      <c r="Q204" s="67">
        <f>IF(G204="","",ABS(P204-Components!$D$2))</f>
        <v/>
      </c>
      <c r="R204" s="67">
        <f>IF(G204="","",ABS(P204-Components!$D$3))</f>
        <v/>
      </c>
      <c r="S204" s="67">
        <f>IF(G204="","",ABS(P204-Components!$D$4))</f>
        <v/>
      </c>
      <c r="T204" s="67">
        <f>IF(G204="","",ABS(P204-Components!$D$5))</f>
        <v/>
      </c>
      <c r="U204" s="67">
        <f>IF(G204="","",ABS(P204-Components!$D$6))</f>
        <v/>
      </c>
      <c r="V204" s="67">
        <f>IF(G204="","",ABS(P204-Components!$D$7))</f>
        <v/>
      </c>
      <c r="W204" s="61">
        <f>IF(G204="","",IF(N204="OK","NONE",INDEX({"S1","S2","W1","W2","N1","N2"},MATCH(MIN(Q204:V204),Q204:V204,0))))</f>
        <v/>
      </c>
      <c r="X204" s="69">
        <f>IF(G204="","",IF(W204=E204,1,0))</f>
        <v/>
      </c>
      <c r="Y204" s="70" t="n"/>
    </row>
    <row r="205">
      <c r="A205" s="61" t="n">
        <v>85.59999999999999</v>
      </c>
      <c r="B205" s="62" t="n">
        <v>138.6</v>
      </c>
      <c r="C205" s="61" t="inlineStr">
        <is>
          <t>R4</t>
        </is>
      </c>
      <c r="D205" s="74" t="inlineStr">
        <is>
          <t>NG</t>
        </is>
      </c>
      <c r="E205" s="61" t="inlineStr">
        <is>
          <t>W1</t>
        </is>
      </c>
      <c r="F205" s="61" t="inlineStr">
        <is>
          <t>K032</t>
        </is>
      </c>
      <c r="G205" s="75" t="n">
        <v>7.9</v>
      </c>
      <c r="H205" s="65" t="n"/>
      <c r="I205" s="66" t="n"/>
      <c r="J205" s="67">
        <f>VLOOKUP(C205,Recipes!$A$2:$N$4,10,FALSE())</f>
        <v/>
      </c>
      <c r="K205" s="68">
        <f>VLOOKUP(C205,Recipes!$A$2:$N$4,12,FALSE())</f>
        <v/>
      </c>
      <c r="L205" s="67">
        <f>J205-3*K205</f>
        <v/>
      </c>
      <c r="M205" s="67">
        <f>J205+3*K205</f>
        <v/>
      </c>
      <c r="N205" s="61">
        <f>IF(G205="","",IF(AND(G205&gt;=L205,G205&lt;=M205),"OK","NG"))</f>
        <v/>
      </c>
      <c r="O205" s="69">
        <f>IF(N205="","",IF(N205=D205,1,0))</f>
        <v/>
      </c>
      <c r="P205" s="67">
        <f>IF(G205="","",J205-G205)</f>
        <v/>
      </c>
      <c r="Q205" s="67">
        <f>IF(G205="","",ABS(P205-Components!$D$2))</f>
        <v/>
      </c>
      <c r="R205" s="67">
        <f>IF(G205="","",ABS(P205-Components!$D$3))</f>
        <v/>
      </c>
      <c r="S205" s="67">
        <f>IF(G205="","",ABS(P205-Components!$D$4))</f>
        <v/>
      </c>
      <c r="T205" s="67">
        <f>IF(G205="","",ABS(P205-Components!$D$5))</f>
        <v/>
      </c>
      <c r="U205" s="67">
        <f>IF(G205="","",ABS(P205-Components!$D$6))</f>
        <v/>
      </c>
      <c r="V205" s="67">
        <f>IF(G205="","",ABS(P205-Components!$D$7))</f>
        <v/>
      </c>
      <c r="W205" s="61">
        <f>IF(G205="","",IF(N205="OK","NONE",INDEX({"S1","S2","W1","W2","N1","N2"},MATCH(MIN(Q205:V205),Q205:V205,0))))</f>
        <v/>
      </c>
      <c r="X205" s="69">
        <f>IF(G205="","",IF(W205=E205,1,0))</f>
        <v/>
      </c>
      <c r="Y205" s="70" t="n"/>
    </row>
    <row r="206">
      <c r="A206" s="61" t="n">
        <v>88.2</v>
      </c>
      <c r="B206" s="62" t="n">
        <v>143.9</v>
      </c>
      <c r="C206" s="61" t="inlineStr">
        <is>
          <t>R4</t>
        </is>
      </c>
      <c r="D206" s="74" t="inlineStr">
        <is>
          <t>NG</t>
        </is>
      </c>
      <c r="E206" s="61" t="inlineStr">
        <is>
          <t>W1</t>
        </is>
      </c>
      <c r="F206" s="61" t="inlineStr">
        <is>
          <t>K033</t>
        </is>
      </c>
      <c r="G206" s="75" t="n">
        <v>7.99</v>
      </c>
      <c r="H206" s="65" t="n"/>
      <c r="I206" s="66" t="n"/>
      <c r="J206" s="67">
        <f>VLOOKUP(C206,Recipes!$A$2:$N$4,10,FALSE())</f>
        <v/>
      </c>
      <c r="K206" s="68">
        <f>VLOOKUP(C206,Recipes!$A$2:$N$4,12,FALSE())</f>
        <v/>
      </c>
      <c r="L206" s="67">
        <f>J206-3*K206</f>
        <v/>
      </c>
      <c r="M206" s="67">
        <f>J206+3*K206</f>
        <v/>
      </c>
      <c r="N206" s="61">
        <f>IF(G206="","",IF(AND(G206&gt;=L206,G206&lt;=M206),"OK","NG"))</f>
        <v/>
      </c>
      <c r="O206" s="69">
        <f>IF(N206="","",IF(N206=D206,1,0))</f>
        <v/>
      </c>
      <c r="P206" s="67">
        <f>IF(G206="","",J206-G206)</f>
        <v/>
      </c>
      <c r="Q206" s="67">
        <f>IF(G206="","",ABS(P206-Components!$D$2))</f>
        <v/>
      </c>
      <c r="R206" s="67">
        <f>IF(G206="","",ABS(P206-Components!$D$3))</f>
        <v/>
      </c>
      <c r="S206" s="67">
        <f>IF(G206="","",ABS(P206-Components!$D$4))</f>
        <v/>
      </c>
      <c r="T206" s="67">
        <f>IF(G206="","",ABS(P206-Components!$D$5))</f>
        <v/>
      </c>
      <c r="U206" s="67">
        <f>IF(G206="","",ABS(P206-Components!$D$6))</f>
        <v/>
      </c>
      <c r="V206" s="67">
        <f>IF(G206="","",ABS(P206-Components!$D$7))</f>
        <v/>
      </c>
      <c r="W206" s="61">
        <f>IF(G206="","",IF(N206="OK","NONE",INDEX({"S1","S2","W1","W2","N1","N2"},MATCH(MIN(Q206:V206),Q206:V206,0))))</f>
        <v/>
      </c>
      <c r="X206" s="69">
        <f>IF(G206="","",IF(W206=E206,1,0))</f>
        <v/>
      </c>
      <c r="Y206" s="70" t="n"/>
    </row>
    <row r="207">
      <c r="A207" s="76" t="n">
        <v>90.8</v>
      </c>
      <c r="B207" s="77" t="n">
        <v>149.2</v>
      </c>
      <c r="C207" s="76" t="inlineStr">
        <is>
          <t>R4</t>
        </is>
      </c>
      <c r="D207" s="78" t="inlineStr">
        <is>
          <t>NG</t>
        </is>
      </c>
      <c r="E207" s="76" t="inlineStr">
        <is>
          <t>W1</t>
        </is>
      </c>
      <c r="F207" s="76" t="inlineStr">
        <is>
          <t>K042</t>
        </is>
      </c>
      <c r="G207" s="75" t="n">
        <v>7.97</v>
      </c>
      <c r="H207" s="65" t="n"/>
      <c r="I207" s="66" t="n"/>
      <c r="J207" s="67">
        <f>VLOOKUP(C207,Recipes!$A$2:$N$4,10,FALSE())</f>
        <v/>
      </c>
      <c r="K207" s="68">
        <f>VLOOKUP(C207,Recipes!$A$2:$N$4,12,FALSE())</f>
        <v/>
      </c>
      <c r="L207" s="67">
        <f>J207-3*K207</f>
        <v/>
      </c>
      <c r="M207" s="67">
        <f>J207+3*K207</f>
        <v/>
      </c>
      <c r="N207" s="61">
        <f>IF(G207="","",IF(AND(G207&gt;=L207,G207&lt;=M207),"OK","NG"))</f>
        <v/>
      </c>
      <c r="O207" s="69">
        <f>IF(N207="","",IF(N207=D207,1,0))</f>
        <v/>
      </c>
      <c r="P207" s="67">
        <f>IF(G207="","",J207-G207)</f>
        <v/>
      </c>
      <c r="Q207" s="67">
        <f>IF(G207="","",ABS(P207-Components!$D$2))</f>
        <v/>
      </c>
      <c r="R207" s="67">
        <f>IF(G207="","",ABS(P207-Components!$D$3))</f>
        <v/>
      </c>
      <c r="S207" s="67">
        <f>IF(G207="","",ABS(P207-Components!$D$4))</f>
        <v/>
      </c>
      <c r="T207" s="67">
        <f>IF(G207="","",ABS(P207-Components!$D$5))</f>
        <v/>
      </c>
      <c r="U207" s="67">
        <f>IF(G207="","",ABS(P207-Components!$D$6))</f>
        <v/>
      </c>
      <c r="V207" s="67">
        <f>IF(G207="","",ABS(P207-Components!$D$7))</f>
        <v/>
      </c>
      <c r="W207" s="61">
        <f>IF(G207="","",IF(N207="OK","NONE",INDEX({"S1","S2","W1","W2","N1","N2"},MATCH(MIN(Q207:V207),Q207:V207,0))))</f>
        <v/>
      </c>
      <c r="X207" s="69">
        <f>IF(G207="","",IF(W207=E207,1,0))</f>
        <v/>
      </c>
      <c r="Y207" s="70" t="n"/>
    </row>
    <row r="208">
      <c r="A208" s="61" t="n">
        <v>93.40000000000001</v>
      </c>
      <c r="B208" s="62" t="n">
        <v>154.5</v>
      </c>
      <c r="C208" s="61" t="inlineStr">
        <is>
          <t>R4</t>
        </is>
      </c>
      <c r="D208" s="74" t="inlineStr">
        <is>
          <t>NG</t>
        </is>
      </c>
      <c r="E208" s="61" t="inlineStr">
        <is>
          <t>W1</t>
        </is>
      </c>
      <c r="F208" s="61" t="inlineStr">
        <is>
          <t>K030</t>
        </is>
      </c>
      <c r="G208" s="75" t="n">
        <v>7.96</v>
      </c>
      <c r="H208" s="65" t="n"/>
      <c r="I208" s="66" t="n"/>
      <c r="J208" s="67">
        <f>VLOOKUP(C208,Recipes!$A$2:$N$4,10,FALSE())</f>
        <v/>
      </c>
      <c r="K208" s="68">
        <f>VLOOKUP(C208,Recipes!$A$2:$N$4,12,FALSE())</f>
        <v/>
      </c>
      <c r="L208" s="67">
        <f>J208-3*K208</f>
        <v/>
      </c>
      <c r="M208" s="67">
        <f>J208+3*K208</f>
        <v/>
      </c>
      <c r="N208" s="61">
        <f>IF(G208="","",IF(AND(G208&gt;=L208,G208&lt;=M208),"OK","NG"))</f>
        <v/>
      </c>
      <c r="O208" s="69">
        <f>IF(N208="","",IF(N208=D208,1,0))</f>
        <v/>
      </c>
      <c r="P208" s="67">
        <f>IF(G208="","",J208-G208)</f>
        <v/>
      </c>
      <c r="Q208" s="67">
        <f>IF(G208="","",ABS(P208-Components!$D$2))</f>
        <v/>
      </c>
      <c r="R208" s="67">
        <f>IF(G208="","",ABS(P208-Components!$D$3))</f>
        <v/>
      </c>
      <c r="S208" s="67">
        <f>IF(G208="","",ABS(P208-Components!$D$4))</f>
        <v/>
      </c>
      <c r="T208" s="67">
        <f>IF(G208="","",ABS(P208-Components!$D$5))</f>
        <v/>
      </c>
      <c r="U208" s="67">
        <f>IF(G208="","",ABS(P208-Components!$D$6))</f>
        <v/>
      </c>
      <c r="V208" s="67">
        <f>IF(G208="","",ABS(P208-Components!$D$7))</f>
        <v/>
      </c>
      <c r="W208" s="61">
        <f>IF(G208="","",IF(N208="OK","NONE",INDEX({"S1","S2","W1","W2","N1","N2"},MATCH(MIN(Q208:V208),Q208:V208,0))))</f>
        <v/>
      </c>
      <c r="X208" s="69">
        <f>IF(G208="","",IF(W208=E208,1,0))</f>
        <v/>
      </c>
      <c r="Y208" s="70" t="n"/>
    </row>
    <row r="209">
      <c r="A209" s="61" t="n">
        <v>96</v>
      </c>
      <c r="B209" s="62" t="n">
        <v>159.8</v>
      </c>
      <c r="C209" s="61" t="inlineStr">
        <is>
          <t>R4</t>
        </is>
      </c>
      <c r="D209" s="74" t="inlineStr">
        <is>
          <t>NG</t>
        </is>
      </c>
      <c r="E209" s="61" t="inlineStr">
        <is>
          <t>W1</t>
        </is>
      </c>
      <c r="F209" s="61" t="inlineStr">
        <is>
          <t>K031</t>
        </is>
      </c>
      <c r="G209" s="75" t="n">
        <v>7.99</v>
      </c>
      <c r="H209" s="65" t="n"/>
      <c r="I209" s="66" t="n"/>
      <c r="J209" s="67">
        <f>VLOOKUP(C209,Recipes!$A$2:$N$4,10,FALSE())</f>
        <v/>
      </c>
      <c r="K209" s="68">
        <f>VLOOKUP(C209,Recipes!$A$2:$N$4,12,FALSE())</f>
        <v/>
      </c>
      <c r="L209" s="67">
        <f>J209-3*K209</f>
        <v/>
      </c>
      <c r="M209" s="67">
        <f>J209+3*K209</f>
        <v/>
      </c>
      <c r="N209" s="61">
        <f>IF(G209="","",IF(AND(G209&gt;=L209,G209&lt;=M209),"OK","NG"))</f>
        <v/>
      </c>
      <c r="O209" s="69">
        <f>IF(N209="","",IF(N209=D209,1,0))</f>
        <v/>
      </c>
      <c r="P209" s="67">
        <f>IF(G209="","",J209-G209)</f>
        <v/>
      </c>
      <c r="Q209" s="67">
        <f>IF(G209="","",ABS(P209-Components!$D$2))</f>
        <v/>
      </c>
      <c r="R209" s="67">
        <f>IF(G209="","",ABS(P209-Components!$D$3))</f>
        <v/>
      </c>
      <c r="S209" s="67">
        <f>IF(G209="","",ABS(P209-Components!$D$4))</f>
        <v/>
      </c>
      <c r="T209" s="67">
        <f>IF(G209="","",ABS(P209-Components!$D$5))</f>
        <v/>
      </c>
      <c r="U209" s="67">
        <f>IF(G209="","",ABS(P209-Components!$D$6))</f>
        <v/>
      </c>
      <c r="V209" s="67">
        <f>IF(G209="","",ABS(P209-Components!$D$7))</f>
        <v/>
      </c>
      <c r="W209" s="61">
        <f>IF(G209="","",IF(N209="OK","NONE",INDEX({"S1","S2","W1","W2","N1","N2"},MATCH(MIN(Q209:V209),Q209:V209,0))))</f>
        <v/>
      </c>
      <c r="X209" s="69">
        <f>IF(G209="","",IF(W209=E209,1,0))</f>
        <v/>
      </c>
      <c r="Y209" s="70" t="n"/>
    </row>
    <row r="210">
      <c r="A210" s="61" t="n">
        <v>98.59999999999999</v>
      </c>
      <c r="B210" s="62" t="n">
        <v>165.1</v>
      </c>
      <c r="C210" s="61" t="inlineStr">
        <is>
          <t>R4</t>
        </is>
      </c>
      <c r="D210" s="74" t="inlineStr">
        <is>
          <t>NG</t>
        </is>
      </c>
      <c r="E210" s="61" t="inlineStr">
        <is>
          <t>W1</t>
        </is>
      </c>
      <c r="F210" s="61" t="inlineStr">
        <is>
          <t>K032</t>
        </is>
      </c>
      <c r="G210" s="75" t="n">
        <v>7.87</v>
      </c>
      <c r="H210" s="65" t="n"/>
      <c r="I210" s="66" t="n"/>
      <c r="J210" s="67">
        <f>VLOOKUP(C210,Recipes!$A$2:$N$4,10,FALSE())</f>
        <v/>
      </c>
      <c r="K210" s="68">
        <f>VLOOKUP(C210,Recipes!$A$2:$N$4,12,FALSE())</f>
        <v/>
      </c>
      <c r="L210" s="67">
        <f>J210-3*K210</f>
        <v/>
      </c>
      <c r="M210" s="67">
        <f>J210+3*K210</f>
        <v/>
      </c>
      <c r="N210" s="61">
        <f>IF(G210="","",IF(AND(G210&gt;=L210,G210&lt;=M210),"OK","NG"))</f>
        <v/>
      </c>
      <c r="O210" s="69">
        <f>IF(N210="","",IF(N210=D210,1,0))</f>
        <v/>
      </c>
      <c r="P210" s="67">
        <f>IF(G210="","",J210-G210)</f>
        <v/>
      </c>
      <c r="Q210" s="67">
        <f>IF(G210="","",ABS(P210-Components!$D$2))</f>
        <v/>
      </c>
      <c r="R210" s="67">
        <f>IF(G210="","",ABS(P210-Components!$D$3))</f>
        <v/>
      </c>
      <c r="S210" s="67">
        <f>IF(G210="","",ABS(P210-Components!$D$4))</f>
        <v/>
      </c>
      <c r="T210" s="67">
        <f>IF(G210="","",ABS(P210-Components!$D$5))</f>
        <v/>
      </c>
      <c r="U210" s="67">
        <f>IF(G210="","",ABS(P210-Components!$D$6))</f>
        <v/>
      </c>
      <c r="V210" s="67">
        <f>IF(G210="","",ABS(P210-Components!$D$7))</f>
        <v/>
      </c>
      <c r="W210" s="61">
        <f>IF(G210="","",IF(N210="OK","NONE",INDEX({"S1","S2","W1","W2","N1","N2"},MATCH(MIN(Q210:V210),Q210:V210,0))))</f>
        <v/>
      </c>
      <c r="X210" s="69">
        <f>IF(G210="","",IF(W210=E210,1,0))</f>
        <v/>
      </c>
      <c r="Y210" s="70" t="n"/>
    </row>
    <row r="211">
      <c r="A211" s="61" t="n">
        <v>101.2</v>
      </c>
      <c r="B211" s="62" t="n">
        <v>170.4</v>
      </c>
      <c r="C211" s="61" t="inlineStr">
        <is>
          <t>R4</t>
        </is>
      </c>
      <c r="D211" s="74" t="inlineStr">
        <is>
          <t>NG</t>
        </is>
      </c>
      <c r="E211" s="61" t="inlineStr">
        <is>
          <t>W1</t>
        </is>
      </c>
      <c r="F211" s="61" t="inlineStr">
        <is>
          <t>K033</t>
        </is>
      </c>
      <c r="G211" s="75" t="n">
        <v>7.72</v>
      </c>
      <c r="H211" s="65" t="n"/>
      <c r="I211" s="66" t="n"/>
      <c r="J211" s="67">
        <f>VLOOKUP(C211,Recipes!$A$2:$N$4,10,FALSE())</f>
        <v/>
      </c>
      <c r="K211" s="68">
        <f>VLOOKUP(C211,Recipes!$A$2:$N$4,12,FALSE())</f>
        <v/>
      </c>
      <c r="L211" s="67">
        <f>J211-3*K211</f>
        <v/>
      </c>
      <c r="M211" s="67">
        <f>J211+3*K211</f>
        <v/>
      </c>
      <c r="N211" s="61">
        <f>IF(G211="","",IF(AND(G211&gt;=L211,G211&lt;=M211),"OK","NG"))</f>
        <v/>
      </c>
      <c r="O211" s="69">
        <f>IF(N211="","",IF(N211=D211,1,0))</f>
        <v/>
      </c>
      <c r="P211" s="67">
        <f>IF(G211="","",J211-G211)</f>
        <v/>
      </c>
      <c r="Q211" s="67">
        <f>IF(G211="","",ABS(P211-Components!$D$2))</f>
        <v/>
      </c>
      <c r="R211" s="67">
        <f>IF(G211="","",ABS(P211-Components!$D$3))</f>
        <v/>
      </c>
      <c r="S211" s="67">
        <f>IF(G211="","",ABS(P211-Components!$D$4))</f>
        <v/>
      </c>
      <c r="T211" s="67">
        <f>IF(G211="","",ABS(P211-Components!$D$5))</f>
        <v/>
      </c>
      <c r="U211" s="67">
        <f>IF(G211="","",ABS(P211-Components!$D$6))</f>
        <v/>
      </c>
      <c r="V211" s="67">
        <f>IF(G211="","",ABS(P211-Components!$D$7))</f>
        <v/>
      </c>
      <c r="W211" s="61">
        <f>IF(G211="","",IF(N211="OK","NONE",INDEX({"S1","S2","W1","W2","N1","N2"},MATCH(MIN(Q211:V211),Q211:V211,0))))</f>
        <v/>
      </c>
      <c r="X211" s="71">
        <f>IF(G211="","",IF(W211=E211,1,0))</f>
        <v/>
      </c>
      <c r="Y211" s="70" t="n"/>
    </row>
    <row r="212">
      <c r="A212" s="76" t="n">
        <v>103.8</v>
      </c>
      <c r="B212" s="77" t="n">
        <v>175.7</v>
      </c>
      <c r="C212" s="76" t="inlineStr">
        <is>
          <t>R4</t>
        </is>
      </c>
      <c r="D212" s="78" t="inlineStr">
        <is>
          <t>NG</t>
        </is>
      </c>
      <c r="E212" s="76" t="inlineStr">
        <is>
          <t>W1</t>
        </is>
      </c>
      <c r="F212" s="76" t="inlineStr">
        <is>
          <t>K042</t>
        </is>
      </c>
      <c r="G212" s="75" t="n">
        <v>7.95</v>
      </c>
      <c r="H212" s="65" t="n"/>
      <c r="I212" s="66" t="n"/>
      <c r="J212" s="67">
        <f>VLOOKUP(C212,Recipes!$A$2:$N$4,10,FALSE())</f>
        <v/>
      </c>
      <c r="K212" s="68">
        <f>VLOOKUP(C212,Recipes!$A$2:$N$4,12,FALSE())</f>
        <v/>
      </c>
      <c r="L212" s="67">
        <f>J212-3*K212</f>
        <v/>
      </c>
      <c r="M212" s="67">
        <f>J212+3*K212</f>
        <v/>
      </c>
      <c r="N212" s="61">
        <f>IF(G212="","",IF(AND(G212&gt;=L212,G212&lt;=M212),"OK","NG"))</f>
        <v/>
      </c>
      <c r="O212" s="69">
        <f>IF(N212="","",IF(N212=D212,1,0))</f>
        <v/>
      </c>
      <c r="P212" s="67">
        <f>IF(G212="","",J212-G212)</f>
        <v/>
      </c>
      <c r="Q212" s="67">
        <f>IF(G212="","",ABS(P212-Components!$D$2))</f>
        <v/>
      </c>
      <c r="R212" s="67">
        <f>IF(G212="","",ABS(P212-Components!$D$3))</f>
        <v/>
      </c>
      <c r="S212" s="67">
        <f>IF(G212="","",ABS(P212-Components!$D$4))</f>
        <v/>
      </c>
      <c r="T212" s="67">
        <f>IF(G212="","",ABS(P212-Components!$D$5))</f>
        <v/>
      </c>
      <c r="U212" s="67">
        <f>IF(G212="","",ABS(P212-Components!$D$6))</f>
        <v/>
      </c>
      <c r="V212" s="67">
        <f>IF(G212="","",ABS(P212-Components!$D$7))</f>
        <v/>
      </c>
      <c r="W212" s="61">
        <f>IF(G212="","",IF(N212="OK","NONE",INDEX({"S1","S2","W1","W2","N1","N2"},MATCH(MIN(Q212:V212),Q212:V212,0))))</f>
        <v/>
      </c>
      <c r="X212" s="69">
        <f>IF(G212="","",IF(W212=E212,1,0))</f>
        <v/>
      </c>
      <c r="Y212" s="70" t="n"/>
    </row>
    <row r="213">
      <c r="A213" s="61" t="n">
        <v>-17</v>
      </c>
      <c r="B213" s="62" t="n">
        <v>62.4999999999999</v>
      </c>
      <c r="C213" s="61" t="inlineStr">
        <is>
          <t>R4</t>
        </is>
      </c>
      <c r="D213" s="74" t="inlineStr">
        <is>
          <t>NG</t>
        </is>
      </c>
      <c r="E213" s="61" t="inlineStr">
        <is>
          <t>N1</t>
        </is>
      </c>
      <c r="F213" s="61" t="inlineStr">
        <is>
          <t>K034</t>
        </is>
      </c>
      <c r="G213" s="75" t="n">
        <v>7.72</v>
      </c>
      <c r="H213" s="65" t="n"/>
      <c r="I213" s="66" t="n"/>
      <c r="J213" s="67">
        <f>VLOOKUP(C213,Recipes!$A$2:$N$4,10,FALSE())</f>
        <v/>
      </c>
      <c r="K213" s="68">
        <f>VLOOKUP(C213,Recipes!$A$2:$N$4,12,FALSE())</f>
        <v/>
      </c>
      <c r="L213" s="67">
        <f>J213-3*K213</f>
        <v/>
      </c>
      <c r="M213" s="67">
        <f>J213+3*K213</f>
        <v/>
      </c>
      <c r="N213" s="61">
        <f>IF(G213="","",IF(AND(G213&gt;=L213,G213&lt;=M213),"OK","NG"))</f>
        <v/>
      </c>
      <c r="O213" s="69">
        <f>IF(N213="","",IF(N213=D213,1,0))</f>
        <v/>
      </c>
      <c r="P213" s="67">
        <f>IF(G213="","",J213-G213)</f>
        <v/>
      </c>
      <c r="Q213" s="67">
        <f>IF(G213="","",ABS(P213-Components!$D$2))</f>
        <v/>
      </c>
      <c r="R213" s="67">
        <f>IF(G213="","",ABS(P213-Components!$D$3))</f>
        <v/>
      </c>
      <c r="S213" s="67">
        <f>IF(G213="","",ABS(P213-Components!$D$4))</f>
        <v/>
      </c>
      <c r="T213" s="67">
        <f>IF(G213="","",ABS(P213-Components!$D$5))</f>
        <v/>
      </c>
      <c r="U213" s="67">
        <f>IF(G213="","",ABS(P213-Components!$D$6))</f>
        <v/>
      </c>
      <c r="V213" s="67">
        <f>IF(G213="","",ABS(P213-Components!$D$7))</f>
        <v/>
      </c>
      <c r="W213" s="61">
        <f>IF(G213="","",IF(N213="OK","NONE",INDEX({"S1","S2","W1","W2","N1","N2"},MATCH(MIN(Q213:V213),Q213:V213,0))))</f>
        <v/>
      </c>
      <c r="X213" s="69">
        <f>IF(G213="","",IF(W213=E213,1,0))</f>
        <v/>
      </c>
      <c r="Y213" s="70" t="n"/>
    </row>
    <row r="214">
      <c r="A214" s="61" t="n">
        <v>-15</v>
      </c>
      <c r="B214" s="62" t="n">
        <v>61.1999999999999</v>
      </c>
      <c r="C214" s="61" t="inlineStr">
        <is>
          <t>R4</t>
        </is>
      </c>
      <c r="D214" s="74" t="inlineStr">
        <is>
          <t>NG</t>
        </is>
      </c>
      <c r="E214" s="61" t="inlineStr">
        <is>
          <t>N1</t>
        </is>
      </c>
      <c r="F214" s="61" t="inlineStr">
        <is>
          <t>K035</t>
        </is>
      </c>
      <c r="G214" s="75" t="n">
        <v>7.75</v>
      </c>
      <c r="H214" s="65" t="n"/>
      <c r="I214" s="66" t="n"/>
      <c r="J214" s="67">
        <f>VLOOKUP(C214,Recipes!$A$2:$N$4,10,FALSE())</f>
        <v/>
      </c>
      <c r="K214" s="68">
        <f>VLOOKUP(C214,Recipes!$A$2:$N$4,12,FALSE())</f>
        <v/>
      </c>
      <c r="L214" s="67">
        <f>J214-3*K214</f>
        <v/>
      </c>
      <c r="M214" s="67">
        <f>J214+3*K214</f>
        <v/>
      </c>
      <c r="N214" s="61">
        <f>IF(G214="","",IF(AND(G214&gt;=L214,G214&lt;=M214),"OK","NG"))</f>
        <v/>
      </c>
      <c r="O214" s="69">
        <f>IF(N214="","",IF(N214=D214,1,0))</f>
        <v/>
      </c>
      <c r="P214" s="67">
        <f>IF(G214="","",J214-G214)</f>
        <v/>
      </c>
      <c r="Q214" s="67">
        <f>IF(G214="","",ABS(P214-Components!$D$2))</f>
        <v/>
      </c>
      <c r="R214" s="67">
        <f>IF(G214="","",ABS(P214-Components!$D$3))</f>
        <v/>
      </c>
      <c r="S214" s="67">
        <f>IF(G214="","",ABS(P214-Components!$D$4))</f>
        <v/>
      </c>
      <c r="T214" s="67">
        <f>IF(G214="","",ABS(P214-Components!$D$5))</f>
        <v/>
      </c>
      <c r="U214" s="67">
        <f>IF(G214="","",ABS(P214-Components!$D$6))</f>
        <v/>
      </c>
      <c r="V214" s="67">
        <f>IF(G214="","",ABS(P214-Components!$D$7))</f>
        <v/>
      </c>
      <c r="W214" s="61">
        <f>IF(G214="","",IF(N214="OK","NONE",INDEX({"S1","S2","W1","W2","N1","N2"},MATCH(MIN(Q214:V214),Q214:V214,0))))</f>
        <v/>
      </c>
      <c r="X214" s="69">
        <f>IF(G214="","",IF(W214=E214,1,0))</f>
        <v/>
      </c>
      <c r="Y214" s="70" t="n"/>
    </row>
    <row r="215">
      <c r="A215" s="61" t="n">
        <v>-13</v>
      </c>
      <c r="B215" s="62" t="n">
        <v>59.8999999999999</v>
      </c>
      <c r="C215" s="61" t="inlineStr">
        <is>
          <t>R4</t>
        </is>
      </c>
      <c r="D215" s="74" t="inlineStr">
        <is>
          <t>NG</t>
        </is>
      </c>
      <c r="E215" s="61" t="inlineStr">
        <is>
          <t>N1</t>
        </is>
      </c>
      <c r="F215" s="61" t="inlineStr">
        <is>
          <t>K036</t>
        </is>
      </c>
      <c r="G215" s="75" t="n">
        <v>7.8</v>
      </c>
      <c r="H215" s="65" t="n"/>
      <c r="I215" s="66" t="n"/>
      <c r="J215" s="67">
        <f>VLOOKUP(C215,Recipes!$A$2:$N$4,10,FALSE())</f>
        <v/>
      </c>
      <c r="K215" s="68">
        <f>VLOOKUP(C215,Recipes!$A$2:$N$4,12,FALSE())</f>
        <v/>
      </c>
      <c r="L215" s="67">
        <f>J215-3*K215</f>
        <v/>
      </c>
      <c r="M215" s="67">
        <f>J215+3*K215</f>
        <v/>
      </c>
      <c r="N215" s="61">
        <f>IF(G215="","",IF(AND(G215&gt;=L215,G215&lt;=M215),"OK","NG"))</f>
        <v/>
      </c>
      <c r="O215" s="69">
        <f>IF(N215="","",IF(N215=D215,1,0))</f>
        <v/>
      </c>
      <c r="P215" s="67">
        <f>IF(G215="","",J215-G215)</f>
        <v/>
      </c>
      <c r="Q215" s="67">
        <f>IF(G215="","",ABS(P215-Components!$D$2))</f>
        <v/>
      </c>
      <c r="R215" s="67">
        <f>IF(G215="","",ABS(P215-Components!$D$3))</f>
        <v/>
      </c>
      <c r="S215" s="67">
        <f>IF(G215="","",ABS(P215-Components!$D$4))</f>
        <v/>
      </c>
      <c r="T215" s="67">
        <f>IF(G215="","",ABS(P215-Components!$D$5))</f>
        <v/>
      </c>
      <c r="U215" s="67">
        <f>IF(G215="","",ABS(P215-Components!$D$6))</f>
        <v/>
      </c>
      <c r="V215" s="67">
        <f>IF(G215="","",ABS(P215-Components!$D$7))</f>
        <v/>
      </c>
      <c r="W215" s="61">
        <f>IF(G215="","",IF(N215="OK","NONE",INDEX({"S1","S2","W1","W2","N1","N2"},MATCH(MIN(Q215:V215),Q215:V215,0))))</f>
        <v/>
      </c>
      <c r="X215" s="69">
        <f>IF(G215="","",IF(W215=E215,1,0))</f>
        <v/>
      </c>
      <c r="Y215" s="70" t="n"/>
    </row>
    <row r="216">
      <c r="A216" s="61" t="n">
        <v>-11</v>
      </c>
      <c r="B216" s="62" t="n">
        <v>58.5999999999999</v>
      </c>
      <c r="C216" s="61" t="inlineStr">
        <is>
          <t>R4</t>
        </is>
      </c>
      <c r="D216" s="74" t="inlineStr">
        <is>
          <t>NG</t>
        </is>
      </c>
      <c r="E216" s="61" t="inlineStr">
        <is>
          <t>N1</t>
        </is>
      </c>
      <c r="F216" s="61" t="inlineStr">
        <is>
          <t>K037</t>
        </is>
      </c>
      <c r="G216" s="75" t="n">
        <v>7.77</v>
      </c>
      <c r="H216" s="65" t="n"/>
      <c r="I216" s="66" t="n"/>
      <c r="J216" s="67">
        <f>VLOOKUP(C216,Recipes!$A$2:$N$4,10,FALSE())</f>
        <v/>
      </c>
      <c r="K216" s="68">
        <f>VLOOKUP(C216,Recipes!$A$2:$N$4,12,FALSE())</f>
        <v/>
      </c>
      <c r="L216" s="67">
        <f>J216-3*K216</f>
        <v/>
      </c>
      <c r="M216" s="67">
        <f>J216+3*K216</f>
        <v/>
      </c>
      <c r="N216" s="61">
        <f>IF(G216="","",IF(AND(G216&gt;=L216,G216&lt;=M216),"OK","NG"))</f>
        <v/>
      </c>
      <c r="O216" s="69">
        <f>IF(N216="","",IF(N216=D216,1,0))</f>
        <v/>
      </c>
      <c r="P216" s="67">
        <f>IF(G216="","",J216-G216)</f>
        <v/>
      </c>
      <c r="Q216" s="67">
        <f>IF(G216="","",ABS(P216-Components!$D$2))</f>
        <v/>
      </c>
      <c r="R216" s="67">
        <f>IF(G216="","",ABS(P216-Components!$D$3))</f>
        <v/>
      </c>
      <c r="S216" s="67">
        <f>IF(G216="","",ABS(P216-Components!$D$4))</f>
        <v/>
      </c>
      <c r="T216" s="67">
        <f>IF(G216="","",ABS(P216-Components!$D$5))</f>
        <v/>
      </c>
      <c r="U216" s="67">
        <f>IF(G216="","",ABS(P216-Components!$D$6))</f>
        <v/>
      </c>
      <c r="V216" s="67">
        <f>IF(G216="","",ABS(P216-Components!$D$7))</f>
        <v/>
      </c>
      <c r="W216" s="61">
        <f>IF(G216="","",IF(N216="OK","NONE",INDEX({"S1","S2","W1","W2","N1","N2"},MATCH(MIN(Q216:V216),Q216:V216,0))))</f>
        <v/>
      </c>
      <c r="X216" s="69">
        <f>IF(G216="","",IF(W216=E216,1,0))</f>
        <v/>
      </c>
      <c r="Y216" s="70" t="n"/>
    </row>
    <row r="217">
      <c r="A217" s="76" t="n">
        <v>-9</v>
      </c>
      <c r="B217" s="77" t="n">
        <v>57.3</v>
      </c>
      <c r="C217" s="76" t="inlineStr">
        <is>
          <t>R4</t>
        </is>
      </c>
      <c r="D217" s="78" t="inlineStr">
        <is>
          <t>NG</t>
        </is>
      </c>
      <c r="E217" s="76" t="inlineStr">
        <is>
          <t>N1</t>
        </is>
      </c>
      <c r="F217" s="76" t="inlineStr">
        <is>
          <t>K043</t>
        </is>
      </c>
      <c r="G217" s="75" t="n">
        <v>7.78</v>
      </c>
      <c r="H217" s="65" t="n"/>
      <c r="I217" s="66" t="n"/>
      <c r="J217" s="67">
        <f>VLOOKUP(C217,Recipes!$A$2:$N$4,10,FALSE())</f>
        <v/>
      </c>
      <c r="K217" s="68">
        <f>VLOOKUP(C217,Recipes!$A$2:$N$4,12,FALSE())</f>
        <v/>
      </c>
      <c r="L217" s="67">
        <f>J217-3*K217</f>
        <v/>
      </c>
      <c r="M217" s="67">
        <f>J217+3*K217</f>
        <v/>
      </c>
      <c r="N217" s="61">
        <f>IF(G217="","",IF(AND(G217&gt;=L217,G217&lt;=M217),"OK","NG"))</f>
        <v/>
      </c>
      <c r="O217" s="69">
        <f>IF(N217="","",IF(N217=D217,1,0))</f>
        <v/>
      </c>
      <c r="P217" s="67">
        <f>IF(G217="","",J217-G217)</f>
        <v/>
      </c>
      <c r="Q217" s="67">
        <f>IF(G217="","",ABS(P217-Components!$D$2))</f>
        <v/>
      </c>
      <c r="R217" s="67">
        <f>IF(G217="","",ABS(P217-Components!$D$3))</f>
        <v/>
      </c>
      <c r="S217" s="67">
        <f>IF(G217="","",ABS(P217-Components!$D$4))</f>
        <v/>
      </c>
      <c r="T217" s="67">
        <f>IF(G217="","",ABS(P217-Components!$D$5))</f>
        <v/>
      </c>
      <c r="U217" s="67">
        <f>IF(G217="","",ABS(P217-Components!$D$6))</f>
        <v/>
      </c>
      <c r="V217" s="67">
        <f>IF(G217="","",ABS(P217-Components!$D$7))</f>
        <v/>
      </c>
      <c r="W217" s="61">
        <f>IF(G217="","",IF(N217="OK","NONE",INDEX({"S1","S2","W1","W2","N1","N2"},MATCH(MIN(Q217:V217),Q217:V217,0))))</f>
        <v/>
      </c>
      <c r="X217" s="69">
        <f>IF(G217="","",IF(W217=E217,1,0))</f>
        <v/>
      </c>
      <c r="Y217" s="70" t="n"/>
    </row>
    <row r="218">
      <c r="A218" s="61" t="n">
        <v>-7</v>
      </c>
      <c r="B218" s="62" t="n">
        <v>56</v>
      </c>
      <c r="C218" s="61" t="inlineStr">
        <is>
          <t>R4</t>
        </is>
      </c>
      <c r="D218" s="74" t="inlineStr">
        <is>
          <t>NG</t>
        </is>
      </c>
      <c r="E218" s="61" t="inlineStr">
        <is>
          <t>N1</t>
        </is>
      </c>
      <c r="F218" s="61" t="inlineStr">
        <is>
          <t>K034</t>
        </is>
      </c>
      <c r="G218" s="75" t="n">
        <v>7.82</v>
      </c>
      <c r="H218" s="65" t="n"/>
      <c r="I218" s="66" t="n"/>
      <c r="J218" s="67">
        <f>VLOOKUP(C218,Recipes!$A$2:$N$4,10,FALSE())</f>
        <v/>
      </c>
      <c r="K218" s="68">
        <f>VLOOKUP(C218,Recipes!$A$2:$N$4,12,FALSE())</f>
        <v/>
      </c>
      <c r="L218" s="67">
        <f>J218-3*K218</f>
        <v/>
      </c>
      <c r="M218" s="67">
        <f>J218+3*K218</f>
        <v/>
      </c>
      <c r="N218" s="61">
        <f>IF(G218="","",IF(AND(G218&gt;=L218,G218&lt;=M218),"OK","NG"))</f>
        <v/>
      </c>
      <c r="O218" s="69">
        <f>IF(N218="","",IF(N218=D218,1,0))</f>
        <v/>
      </c>
      <c r="P218" s="67">
        <f>IF(G218="","",J218-G218)</f>
        <v/>
      </c>
      <c r="Q218" s="67">
        <f>IF(G218="","",ABS(P218-Components!$D$2))</f>
        <v/>
      </c>
      <c r="R218" s="67">
        <f>IF(G218="","",ABS(P218-Components!$D$3))</f>
        <v/>
      </c>
      <c r="S218" s="67">
        <f>IF(G218="","",ABS(P218-Components!$D$4))</f>
        <v/>
      </c>
      <c r="T218" s="67">
        <f>IF(G218="","",ABS(P218-Components!$D$5))</f>
        <v/>
      </c>
      <c r="U218" s="67">
        <f>IF(G218="","",ABS(P218-Components!$D$6))</f>
        <v/>
      </c>
      <c r="V218" s="67">
        <f>IF(G218="","",ABS(P218-Components!$D$7))</f>
        <v/>
      </c>
      <c r="W218" s="61">
        <f>IF(G218="","",IF(N218="OK","NONE",INDEX({"S1","S2","W1","W2","N1","N2"},MATCH(MIN(Q218:V218),Q218:V218,0))))</f>
        <v/>
      </c>
      <c r="X218" s="69">
        <f>IF(G218="","",IF(W218=E218,1,0))</f>
        <v/>
      </c>
      <c r="Y218" s="70" t="n"/>
    </row>
    <row r="219">
      <c r="A219" s="61" t="n">
        <v>-5</v>
      </c>
      <c r="B219" s="62" t="n">
        <v>54.7</v>
      </c>
      <c r="C219" s="61" t="inlineStr">
        <is>
          <t>R4</t>
        </is>
      </c>
      <c r="D219" s="74" t="inlineStr">
        <is>
          <t>NG</t>
        </is>
      </c>
      <c r="E219" s="61" t="inlineStr">
        <is>
          <t>N1</t>
        </is>
      </c>
      <c r="F219" s="61" t="inlineStr">
        <is>
          <t>K035</t>
        </is>
      </c>
      <c r="G219" s="75" t="n">
        <v>7.78</v>
      </c>
      <c r="H219" s="65" t="n"/>
      <c r="I219" s="66" t="n"/>
      <c r="J219" s="67">
        <f>VLOOKUP(C219,Recipes!$A$2:$N$4,10,FALSE())</f>
        <v/>
      </c>
      <c r="K219" s="68">
        <f>VLOOKUP(C219,Recipes!$A$2:$N$4,12,FALSE())</f>
        <v/>
      </c>
      <c r="L219" s="67">
        <f>J219-3*K219</f>
        <v/>
      </c>
      <c r="M219" s="67">
        <f>J219+3*K219</f>
        <v/>
      </c>
      <c r="N219" s="61">
        <f>IF(G219="","",IF(AND(G219&gt;=L219,G219&lt;=M219),"OK","NG"))</f>
        <v/>
      </c>
      <c r="O219" s="69">
        <f>IF(N219="","",IF(N219=D219,1,0))</f>
        <v/>
      </c>
      <c r="P219" s="67">
        <f>IF(G219="","",J219-G219)</f>
        <v/>
      </c>
      <c r="Q219" s="67">
        <f>IF(G219="","",ABS(P219-Components!$D$2))</f>
        <v/>
      </c>
      <c r="R219" s="67">
        <f>IF(G219="","",ABS(P219-Components!$D$3))</f>
        <v/>
      </c>
      <c r="S219" s="67">
        <f>IF(G219="","",ABS(P219-Components!$D$4))</f>
        <v/>
      </c>
      <c r="T219" s="67">
        <f>IF(G219="","",ABS(P219-Components!$D$5))</f>
        <v/>
      </c>
      <c r="U219" s="67">
        <f>IF(G219="","",ABS(P219-Components!$D$6))</f>
        <v/>
      </c>
      <c r="V219" s="67">
        <f>IF(G219="","",ABS(P219-Components!$D$7))</f>
        <v/>
      </c>
      <c r="W219" s="61">
        <f>IF(G219="","",IF(N219="OK","NONE",INDEX({"S1","S2","W1","W2","N1","N2"},MATCH(MIN(Q219:V219),Q219:V219,0))))</f>
        <v/>
      </c>
      <c r="X219" s="69">
        <f>IF(G219="","",IF(W219=E219,1,0))</f>
        <v/>
      </c>
      <c r="Y219" s="70" t="n"/>
    </row>
    <row r="220">
      <c r="A220" s="61" t="n">
        <v>-3</v>
      </c>
      <c r="B220" s="62" t="n">
        <v>53.4</v>
      </c>
      <c r="C220" s="61" t="inlineStr">
        <is>
          <t>R4</t>
        </is>
      </c>
      <c r="D220" s="74" t="inlineStr">
        <is>
          <t>NG</t>
        </is>
      </c>
      <c r="E220" s="61" t="inlineStr">
        <is>
          <t>N1</t>
        </is>
      </c>
      <c r="F220" s="61" t="inlineStr">
        <is>
          <t>K036</t>
        </is>
      </c>
      <c r="G220" s="75" t="n">
        <v>7.52</v>
      </c>
      <c r="H220" s="65" t="n"/>
      <c r="I220" s="66" t="n"/>
      <c r="J220" s="67">
        <f>VLOOKUP(C220,Recipes!$A$2:$N$4,10,FALSE())</f>
        <v/>
      </c>
      <c r="K220" s="68">
        <f>VLOOKUP(C220,Recipes!$A$2:$N$4,12,FALSE())</f>
        <v/>
      </c>
      <c r="L220" s="67">
        <f>J220-3*K220</f>
        <v/>
      </c>
      <c r="M220" s="67">
        <f>J220+3*K220</f>
        <v/>
      </c>
      <c r="N220" s="61">
        <f>IF(G220="","",IF(AND(G220&gt;=L220,G220&lt;=M220),"OK","NG"))</f>
        <v/>
      </c>
      <c r="O220" s="69">
        <f>IF(N220="","",IF(N220=D220,1,0))</f>
        <v/>
      </c>
      <c r="P220" s="67">
        <f>IF(G220="","",J220-G220)</f>
        <v/>
      </c>
      <c r="Q220" s="67">
        <f>IF(G220="","",ABS(P220-Components!$D$2))</f>
        <v/>
      </c>
      <c r="R220" s="67">
        <f>IF(G220="","",ABS(P220-Components!$D$3))</f>
        <v/>
      </c>
      <c r="S220" s="67">
        <f>IF(G220="","",ABS(P220-Components!$D$4))</f>
        <v/>
      </c>
      <c r="T220" s="67">
        <f>IF(G220="","",ABS(P220-Components!$D$5))</f>
        <v/>
      </c>
      <c r="U220" s="67">
        <f>IF(G220="","",ABS(P220-Components!$D$6))</f>
        <v/>
      </c>
      <c r="V220" s="67">
        <f>IF(G220="","",ABS(P220-Components!$D$7))</f>
        <v/>
      </c>
      <c r="W220" s="61">
        <f>IF(G220="","",IF(N220="OK","NONE",INDEX({"S1","S2","W1","W2","N1","N2"},MATCH(MIN(Q220:V220),Q220:V220,0))))</f>
        <v/>
      </c>
      <c r="X220" s="71">
        <f>IF(G220="","",IF(W220=E220,1,0))</f>
        <v/>
      </c>
      <c r="Y220" s="70" t="n"/>
    </row>
    <row r="221">
      <c r="A221" s="61" t="n">
        <v>-1</v>
      </c>
      <c r="B221" s="62" t="n">
        <v>52.1</v>
      </c>
      <c r="C221" s="61" t="inlineStr">
        <is>
          <t>R4</t>
        </is>
      </c>
      <c r="D221" s="74" t="inlineStr">
        <is>
          <t>NG</t>
        </is>
      </c>
      <c r="E221" s="61" t="inlineStr">
        <is>
          <t>N1</t>
        </is>
      </c>
      <c r="F221" s="61" t="inlineStr">
        <is>
          <t>K037</t>
        </is>
      </c>
      <c r="G221" s="75" t="n">
        <v>7.75</v>
      </c>
      <c r="H221" s="65" t="n"/>
      <c r="I221" s="66" t="n"/>
      <c r="J221" s="67">
        <f>VLOOKUP(C221,Recipes!$A$2:$N$4,10,FALSE())</f>
        <v/>
      </c>
      <c r="K221" s="68">
        <f>VLOOKUP(C221,Recipes!$A$2:$N$4,12,FALSE())</f>
        <v/>
      </c>
      <c r="L221" s="67">
        <f>J221-3*K221</f>
        <v/>
      </c>
      <c r="M221" s="67">
        <f>J221+3*K221</f>
        <v/>
      </c>
      <c r="N221" s="61">
        <f>IF(G221="","",IF(AND(G221&gt;=L221,G221&lt;=M221),"OK","NG"))</f>
        <v/>
      </c>
      <c r="O221" s="69">
        <f>IF(N221="","",IF(N221=D221,1,0))</f>
        <v/>
      </c>
      <c r="P221" s="67">
        <f>IF(G221="","",J221-G221)</f>
        <v/>
      </c>
      <c r="Q221" s="67">
        <f>IF(G221="","",ABS(P221-Components!$D$2))</f>
        <v/>
      </c>
      <c r="R221" s="67">
        <f>IF(G221="","",ABS(P221-Components!$D$3))</f>
        <v/>
      </c>
      <c r="S221" s="67">
        <f>IF(G221="","",ABS(P221-Components!$D$4))</f>
        <v/>
      </c>
      <c r="T221" s="67">
        <f>IF(G221="","",ABS(P221-Components!$D$5))</f>
        <v/>
      </c>
      <c r="U221" s="67">
        <f>IF(G221="","",ABS(P221-Components!$D$6))</f>
        <v/>
      </c>
      <c r="V221" s="67">
        <f>IF(G221="","",ABS(P221-Components!$D$7))</f>
        <v/>
      </c>
      <c r="W221" s="61">
        <f>IF(G221="","",IF(N221="OK","NONE",INDEX({"S1","S2","W1","W2","N1","N2"},MATCH(MIN(Q221:V221),Q221:V221,0))))</f>
        <v/>
      </c>
      <c r="X221" s="69">
        <f>IF(G221="","",IF(W221=E221,1,0))</f>
        <v/>
      </c>
      <c r="Y221" s="70" t="n"/>
    </row>
    <row r="222">
      <c r="A222" s="76" t="n">
        <v>1</v>
      </c>
      <c r="B222" s="77" t="n">
        <v>50.8</v>
      </c>
      <c r="C222" s="76" t="inlineStr">
        <is>
          <t>R4</t>
        </is>
      </c>
      <c r="D222" s="78" t="inlineStr">
        <is>
          <t>NG</t>
        </is>
      </c>
      <c r="E222" s="76" t="inlineStr">
        <is>
          <t>N1</t>
        </is>
      </c>
      <c r="F222" s="76" t="inlineStr">
        <is>
          <t>K043</t>
        </is>
      </c>
      <c r="G222" s="75" t="n">
        <v>7.76</v>
      </c>
      <c r="H222" s="65" t="n"/>
      <c r="I222" s="66" t="n"/>
      <c r="J222" s="67">
        <f>VLOOKUP(C222,Recipes!$A$2:$N$4,10,FALSE())</f>
        <v/>
      </c>
      <c r="K222" s="68">
        <f>VLOOKUP(C222,Recipes!$A$2:$N$4,12,FALSE())</f>
        <v/>
      </c>
      <c r="L222" s="67">
        <f>J222-3*K222</f>
        <v/>
      </c>
      <c r="M222" s="67">
        <f>J222+3*K222</f>
        <v/>
      </c>
      <c r="N222" s="61">
        <f>IF(G222="","",IF(AND(G222&gt;=L222,G222&lt;=M222),"OK","NG"))</f>
        <v/>
      </c>
      <c r="O222" s="69">
        <f>IF(N222="","",IF(N222=D222,1,0))</f>
        <v/>
      </c>
      <c r="P222" s="67">
        <f>IF(G222="","",J222-G222)</f>
        <v/>
      </c>
      <c r="Q222" s="67">
        <f>IF(G222="","",ABS(P222-Components!$D$2))</f>
        <v/>
      </c>
      <c r="R222" s="67">
        <f>IF(G222="","",ABS(P222-Components!$D$3))</f>
        <v/>
      </c>
      <c r="S222" s="67">
        <f>IF(G222="","",ABS(P222-Components!$D$4))</f>
        <v/>
      </c>
      <c r="T222" s="67">
        <f>IF(G222="","",ABS(P222-Components!$D$5))</f>
        <v/>
      </c>
      <c r="U222" s="67">
        <f>IF(G222="","",ABS(P222-Components!$D$6))</f>
        <v/>
      </c>
      <c r="V222" s="67">
        <f>IF(G222="","",ABS(P222-Components!$D$7))</f>
        <v/>
      </c>
      <c r="W222" s="61">
        <f>IF(G222="","",IF(N222="OK","NONE",INDEX({"S1","S2","W1","W2","N1","N2"},MATCH(MIN(Q222:V222),Q222:V222,0))))</f>
        <v/>
      </c>
      <c r="X222" s="69">
        <f>IF(G222="","",IF(W222=E222,1,0))</f>
        <v/>
      </c>
      <c r="Y222" s="70" t="n"/>
    </row>
    <row r="223">
      <c r="A223" s="61" t="n">
        <v>3</v>
      </c>
      <c r="B223" s="62" t="n">
        <v>49.5</v>
      </c>
      <c r="C223" s="61" t="inlineStr">
        <is>
          <t>R4</t>
        </is>
      </c>
      <c r="D223" s="74" t="inlineStr">
        <is>
          <t>NG</t>
        </is>
      </c>
      <c r="E223" s="61" t="inlineStr">
        <is>
          <t>N1</t>
        </is>
      </c>
      <c r="F223" s="61" t="inlineStr">
        <is>
          <t>K034</t>
        </is>
      </c>
      <c r="G223" s="75" t="n">
        <v>7.78</v>
      </c>
      <c r="H223" s="65" t="n"/>
      <c r="I223" s="66" t="n"/>
      <c r="J223" s="67">
        <f>VLOOKUP(C223,Recipes!$A$2:$N$4,10,FALSE())</f>
        <v/>
      </c>
      <c r="K223" s="68">
        <f>VLOOKUP(C223,Recipes!$A$2:$N$4,12,FALSE())</f>
        <v/>
      </c>
      <c r="L223" s="67">
        <f>J223-3*K223</f>
        <v/>
      </c>
      <c r="M223" s="67">
        <f>J223+3*K223</f>
        <v/>
      </c>
      <c r="N223" s="61">
        <f>IF(G223="","",IF(AND(G223&gt;=L223,G223&lt;=M223),"OK","NG"))</f>
        <v/>
      </c>
      <c r="O223" s="69">
        <f>IF(N223="","",IF(N223=D223,1,0))</f>
        <v/>
      </c>
      <c r="P223" s="67">
        <f>IF(G223="","",J223-G223)</f>
        <v/>
      </c>
      <c r="Q223" s="67">
        <f>IF(G223="","",ABS(P223-Components!$D$2))</f>
        <v/>
      </c>
      <c r="R223" s="67">
        <f>IF(G223="","",ABS(P223-Components!$D$3))</f>
        <v/>
      </c>
      <c r="S223" s="67">
        <f>IF(G223="","",ABS(P223-Components!$D$4))</f>
        <v/>
      </c>
      <c r="T223" s="67">
        <f>IF(G223="","",ABS(P223-Components!$D$5))</f>
        <v/>
      </c>
      <c r="U223" s="67">
        <f>IF(G223="","",ABS(P223-Components!$D$6))</f>
        <v/>
      </c>
      <c r="V223" s="67">
        <f>IF(G223="","",ABS(P223-Components!$D$7))</f>
        <v/>
      </c>
      <c r="W223" s="61">
        <f>IF(G223="","",IF(N223="OK","NONE",INDEX({"S1","S2","W1","W2","N1","N2"},MATCH(MIN(Q223:V223),Q223:V223,0))))</f>
        <v/>
      </c>
      <c r="X223" s="69">
        <f>IF(G223="","",IF(W223=E223,1,0))</f>
        <v/>
      </c>
      <c r="Y223" s="70" t="n"/>
    </row>
    <row r="224">
      <c r="A224" s="61" t="n">
        <v>5</v>
      </c>
      <c r="B224" s="62" t="n">
        <v>48.2</v>
      </c>
      <c r="C224" s="61" t="inlineStr">
        <is>
          <t>R4</t>
        </is>
      </c>
      <c r="D224" s="74" t="inlineStr">
        <is>
          <t>NG</t>
        </is>
      </c>
      <c r="E224" s="61" t="inlineStr">
        <is>
          <t>N1</t>
        </is>
      </c>
      <c r="F224" s="61" t="inlineStr">
        <is>
          <t>K035</t>
        </is>
      </c>
      <c r="G224" s="75" t="n">
        <v>7.82</v>
      </c>
      <c r="H224" s="65" t="n"/>
      <c r="I224" s="66" t="n"/>
      <c r="J224" s="67">
        <f>VLOOKUP(C224,Recipes!$A$2:$N$4,10,FALSE())</f>
        <v/>
      </c>
      <c r="K224" s="68">
        <f>VLOOKUP(C224,Recipes!$A$2:$N$4,12,FALSE())</f>
        <v/>
      </c>
      <c r="L224" s="67">
        <f>J224-3*K224</f>
        <v/>
      </c>
      <c r="M224" s="67">
        <f>J224+3*K224</f>
        <v/>
      </c>
      <c r="N224" s="61">
        <f>IF(G224="","",IF(AND(G224&gt;=L224,G224&lt;=M224),"OK","NG"))</f>
        <v/>
      </c>
      <c r="O224" s="69">
        <f>IF(N224="","",IF(N224=D224,1,0))</f>
        <v/>
      </c>
      <c r="P224" s="67">
        <f>IF(G224="","",J224-G224)</f>
        <v/>
      </c>
      <c r="Q224" s="67">
        <f>IF(G224="","",ABS(P224-Components!$D$2))</f>
        <v/>
      </c>
      <c r="R224" s="67">
        <f>IF(G224="","",ABS(P224-Components!$D$3))</f>
        <v/>
      </c>
      <c r="S224" s="67">
        <f>IF(G224="","",ABS(P224-Components!$D$4))</f>
        <v/>
      </c>
      <c r="T224" s="67">
        <f>IF(G224="","",ABS(P224-Components!$D$5))</f>
        <v/>
      </c>
      <c r="U224" s="67">
        <f>IF(G224="","",ABS(P224-Components!$D$6))</f>
        <v/>
      </c>
      <c r="V224" s="67">
        <f>IF(G224="","",ABS(P224-Components!$D$7))</f>
        <v/>
      </c>
      <c r="W224" s="61">
        <f>IF(G224="","",IF(N224="OK","NONE",INDEX({"S1","S2","W1","W2","N1","N2"},MATCH(MIN(Q224:V224),Q224:V224,0))))</f>
        <v/>
      </c>
      <c r="X224" s="69">
        <f>IF(G224="","",IF(W224=E224,1,0))</f>
        <v/>
      </c>
      <c r="Y224" s="70" t="n"/>
    </row>
    <row r="225">
      <c r="A225" s="61" t="n">
        <v>7</v>
      </c>
      <c r="B225" s="62" t="n">
        <v>46.9</v>
      </c>
      <c r="C225" s="61" t="inlineStr">
        <is>
          <t>R4</t>
        </is>
      </c>
      <c r="D225" s="74" t="inlineStr">
        <is>
          <t>NG</t>
        </is>
      </c>
      <c r="E225" s="61" t="inlineStr">
        <is>
          <t>N1</t>
        </is>
      </c>
      <c r="F225" s="61" t="inlineStr">
        <is>
          <t>K036</t>
        </is>
      </c>
      <c r="G225" s="75" t="n">
        <v>7.8</v>
      </c>
      <c r="H225" s="65" t="n"/>
      <c r="I225" s="66" t="n"/>
      <c r="J225" s="67">
        <f>VLOOKUP(C225,Recipes!$A$2:$N$4,10,FALSE())</f>
        <v/>
      </c>
      <c r="K225" s="68">
        <f>VLOOKUP(C225,Recipes!$A$2:$N$4,12,FALSE())</f>
        <v/>
      </c>
      <c r="L225" s="67">
        <f>J225-3*K225</f>
        <v/>
      </c>
      <c r="M225" s="67">
        <f>J225+3*K225</f>
        <v/>
      </c>
      <c r="N225" s="61">
        <f>IF(G225="","",IF(AND(G225&gt;=L225,G225&lt;=M225),"OK","NG"))</f>
        <v/>
      </c>
      <c r="O225" s="69">
        <f>IF(N225="","",IF(N225=D225,1,0))</f>
        <v/>
      </c>
      <c r="P225" s="67">
        <f>IF(G225="","",J225-G225)</f>
        <v/>
      </c>
      <c r="Q225" s="67">
        <f>IF(G225="","",ABS(P225-Components!$D$2))</f>
        <v/>
      </c>
      <c r="R225" s="67">
        <f>IF(G225="","",ABS(P225-Components!$D$3))</f>
        <v/>
      </c>
      <c r="S225" s="67">
        <f>IF(G225="","",ABS(P225-Components!$D$4))</f>
        <v/>
      </c>
      <c r="T225" s="67">
        <f>IF(G225="","",ABS(P225-Components!$D$5))</f>
        <v/>
      </c>
      <c r="U225" s="67">
        <f>IF(G225="","",ABS(P225-Components!$D$6))</f>
        <v/>
      </c>
      <c r="V225" s="67">
        <f>IF(G225="","",ABS(P225-Components!$D$7))</f>
        <v/>
      </c>
      <c r="W225" s="61">
        <f>IF(G225="","",IF(N225="OK","NONE",INDEX({"S1","S2","W1","W2","N1","N2"},MATCH(MIN(Q225:V225),Q225:V225,0))))</f>
        <v/>
      </c>
      <c r="X225" s="69">
        <f>IF(G225="","",IF(W225=E225,1,0))</f>
        <v/>
      </c>
      <c r="Y225" s="70" t="n"/>
    </row>
    <row r="226">
      <c r="A226" s="61" t="n">
        <v>9</v>
      </c>
      <c r="B226" s="62" t="n">
        <v>45.6</v>
      </c>
      <c r="C226" s="61" t="inlineStr">
        <is>
          <t>R4</t>
        </is>
      </c>
      <c r="D226" s="74" t="inlineStr">
        <is>
          <t>NG</t>
        </is>
      </c>
      <c r="E226" s="61" t="inlineStr">
        <is>
          <t>N1</t>
        </is>
      </c>
      <c r="F226" s="61" t="inlineStr">
        <is>
          <t>K037</t>
        </is>
      </c>
      <c r="G226" s="75" t="n">
        <v>7.75</v>
      </c>
      <c r="H226" s="65" t="n"/>
      <c r="I226" s="66" t="n"/>
      <c r="J226" s="67">
        <f>VLOOKUP(C226,Recipes!$A$2:$N$4,10,FALSE())</f>
        <v/>
      </c>
      <c r="K226" s="68">
        <f>VLOOKUP(C226,Recipes!$A$2:$N$4,12,FALSE())</f>
        <v/>
      </c>
      <c r="L226" s="67">
        <f>J226-3*K226</f>
        <v/>
      </c>
      <c r="M226" s="67">
        <f>J226+3*K226</f>
        <v/>
      </c>
      <c r="N226" s="61">
        <f>IF(G226="","",IF(AND(G226&gt;=L226,G226&lt;=M226),"OK","NG"))</f>
        <v/>
      </c>
      <c r="O226" s="69">
        <f>IF(N226="","",IF(N226=D226,1,0))</f>
        <v/>
      </c>
      <c r="P226" s="67">
        <f>IF(G226="","",J226-G226)</f>
        <v/>
      </c>
      <c r="Q226" s="67">
        <f>IF(G226="","",ABS(P226-Components!$D$2))</f>
        <v/>
      </c>
      <c r="R226" s="67">
        <f>IF(G226="","",ABS(P226-Components!$D$3))</f>
        <v/>
      </c>
      <c r="S226" s="67">
        <f>IF(G226="","",ABS(P226-Components!$D$4))</f>
        <v/>
      </c>
      <c r="T226" s="67">
        <f>IF(G226="","",ABS(P226-Components!$D$5))</f>
        <v/>
      </c>
      <c r="U226" s="67">
        <f>IF(G226="","",ABS(P226-Components!$D$6))</f>
        <v/>
      </c>
      <c r="V226" s="67">
        <f>IF(G226="","",ABS(P226-Components!$D$7))</f>
        <v/>
      </c>
      <c r="W226" s="61">
        <f>IF(G226="","",IF(N226="OK","NONE",INDEX({"S1","S2","W1","W2","N1","N2"},MATCH(MIN(Q226:V226),Q226:V226,0))))</f>
        <v/>
      </c>
      <c r="X226" s="69">
        <f>IF(G226="","",IF(W226=E226,1,0))</f>
        <v/>
      </c>
      <c r="Y226" s="70" t="n"/>
    </row>
    <row r="227">
      <c r="A227" s="76" t="n">
        <v>11</v>
      </c>
      <c r="B227" s="77" t="n">
        <v>44.3</v>
      </c>
      <c r="C227" s="76" t="inlineStr">
        <is>
          <t>R4</t>
        </is>
      </c>
      <c r="D227" s="78" t="inlineStr">
        <is>
          <t>NG</t>
        </is>
      </c>
      <c r="E227" s="76" t="inlineStr">
        <is>
          <t>N1</t>
        </is>
      </c>
      <c r="F227" s="76" t="inlineStr">
        <is>
          <t>K043</t>
        </is>
      </c>
      <c r="G227" s="75" t="n">
        <v>7.72</v>
      </c>
      <c r="H227" s="65" t="n"/>
      <c r="I227" s="66" t="n"/>
      <c r="J227" s="67">
        <f>VLOOKUP(C227,Recipes!$A$2:$N$4,10,FALSE())</f>
        <v/>
      </c>
      <c r="K227" s="68">
        <f>VLOOKUP(C227,Recipes!$A$2:$N$4,12,FALSE())</f>
        <v/>
      </c>
      <c r="L227" s="67">
        <f>J227-3*K227</f>
        <v/>
      </c>
      <c r="M227" s="67">
        <f>J227+3*K227</f>
        <v/>
      </c>
      <c r="N227" s="61">
        <f>IF(G227="","",IF(AND(G227&gt;=L227,G227&lt;=M227),"OK","NG"))</f>
        <v/>
      </c>
      <c r="O227" s="69">
        <f>IF(N227="","",IF(N227=D227,1,0))</f>
        <v/>
      </c>
      <c r="P227" s="67">
        <f>IF(G227="","",J227-G227)</f>
        <v/>
      </c>
      <c r="Q227" s="67">
        <f>IF(G227="","",ABS(P227-Components!$D$2))</f>
        <v/>
      </c>
      <c r="R227" s="67">
        <f>IF(G227="","",ABS(P227-Components!$D$3))</f>
        <v/>
      </c>
      <c r="S227" s="67">
        <f>IF(G227="","",ABS(P227-Components!$D$4))</f>
        <v/>
      </c>
      <c r="T227" s="67">
        <f>IF(G227="","",ABS(P227-Components!$D$5))</f>
        <v/>
      </c>
      <c r="U227" s="67">
        <f>IF(G227="","",ABS(P227-Components!$D$6))</f>
        <v/>
      </c>
      <c r="V227" s="67">
        <f>IF(G227="","",ABS(P227-Components!$D$7))</f>
        <v/>
      </c>
      <c r="W227" s="61">
        <f>IF(G227="","",IF(N227="OK","NONE",INDEX({"S1","S2","W1","W2","N1","N2"},MATCH(MIN(Q227:V227),Q227:V227,0))))</f>
        <v/>
      </c>
      <c r="X227" s="69">
        <f>IF(G227="","",IF(W227=E227,1,0))</f>
        <v/>
      </c>
      <c r="Y227" s="70" t="n"/>
    </row>
    <row r="228">
      <c r="A228" s="61" t="n">
        <v>13</v>
      </c>
      <c r="B228" s="62" t="n">
        <v>43</v>
      </c>
      <c r="C228" s="61" t="inlineStr">
        <is>
          <t>R4</t>
        </is>
      </c>
      <c r="D228" s="74" t="inlineStr">
        <is>
          <t>NG</t>
        </is>
      </c>
      <c r="E228" s="61" t="inlineStr">
        <is>
          <t>N1</t>
        </is>
      </c>
      <c r="F228" s="61" t="inlineStr">
        <is>
          <t>K034</t>
        </is>
      </c>
      <c r="G228" s="75" t="n">
        <v>7.78</v>
      </c>
      <c r="H228" s="65" t="n"/>
      <c r="I228" s="66" t="n"/>
      <c r="J228" s="67">
        <f>VLOOKUP(C228,Recipes!$A$2:$N$4,10,FALSE())</f>
        <v/>
      </c>
      <c r="K228" s="68">
        <f>VLOOKUP(C228,Recipes!$A$2:$N$4,12,FALSE())</f>
        <v/>
      </c>
      <c r="L228" s="67">
        <f>J228-3*K228</f>
        <v/>
      </c>
      <c r="M228" s="67">
        <f>J228+3*K228</f>
        <v/>
      </c>
      <c r="N228" s="61">
        <f>IF(G228="","",IF(AND(G228&gt;=L228,G228&lt;=M228),"OK","NG"))</f>
        <v/>
      </c>
      <c r="O228" s="69">
        <f>IF(N228="","",IF(N228=D228,1,0))</f>
        <v/>
      </c>
      <c r="P228" s="67">
        <f>IF(G228="","",J228-G228)</f>
        <v/>
      </c>
      <c r="Q228" s="67">
        <f>IF(G228="","",ABS(P228-Components!$D$2))</f>
        <v/>
      </c>
      <c r="R228" s="67">
        <f>IF(G228="","",ABS(P228-Components!$D$3))</f>
        <v/>
      </c>
      <c r="S228" s="67">
        <f>IF(G228="","",ABS(P228-Components!$D$4))</f>
        <v/>
      </c>
      <c r="T228" s="67">
        <f>IF(G228="","",ABS(P228-Components!$D$5))</f>
        <v/>
      </c>
      <c r="U228" s="67">
        <f>IF(G228="","",ABS(P228-Components!$D$6))</f>
        <v/>
      </c>
      <c r="V228" s="67">
        <f>IF(G228="","",ABS(P228-Components!$D$7))</f>
        <v/>
      </c>
      <c r="W228" s="61">
        <f>IF(G228="","",IF(N228="OK","NONE",INDEX({"S1","S2","W1","W2","N1","N2"},MATCH(MIN(Q228:V228),Q228:V228,0))))</f>
        <v/>
      </c>
      <c r="X228" s="69">
        <f>IF(G228="","",IF(W228=E228,1,0))</f>
        <v/>
      </c>
      <c r="Y228" s="70" t="n"/>
    </row>
    <row r="229">
      <c r="A229" s="61" t="n">
        <v>15</v>
      </c>
      <c r="B229" s="62" t="n">
        <v>41.7</v>
      </c>
      <c r="C229" s="61" t="inlineStr">
        <is>
          <t>R4</t>
        </is>
      </c>
      <c r="D229" s="74" t="inlineStr">
        <is>
          <t>NG</t>
        </is>
      </c>
      <c r="E229" s="61" t="inlineStr">
        <is>
          <t>N1</t>
        </is>
      </c>
      <c r="F229" s="61" t="inlineStr">
        <is>
          <t>K035</t>
        </is>
      </c>
      <c r="G229" s="75" t="n">
        <v>7.75</v>
      </c>
      <c r="H229" s="65" t="n"/>
      <c r="I229" s="66" t="n"/>
      <c r="J229" s="67">
        <f>VLOOKUP(C229,Recipes!$A$2:$N$4,10,FALSE())</f>
        <v/>
      </c>
      <c r="K229" s="68">
        <f>VLOOKUP(C229,Recipes!$A$2:$N$4,12,FALSE())</f>
        <v/>
      </c>
      <c r="L229" s="67">
        <f>J229-3*K229</f>
        <v/>
      </c>
      <c r="M229" s="67">
        <f>J229+3*K229</f>
        <v/>
      </c>
      <c r="N229" s="61">
        <f>IF(G229="","",IF(AND(G229&gt;=L229,G229&lt;=M229),"OK","NG"))</f>
        <v/>
      </c>
      <c r="O229" s="69">
        <f>IF(N229="","",IF(N229=D229,1,0))</f>
        <v/>
      </c>
      <c r="P229" s="67">
        <f>IF(G229="","",J229-G229)</f>
        <v/>
      </c>
      <c r="Q229" s="67">
        <f>IF(G229="","",ABS(P229-Components!$D$2))</f>
        <v/>
      </c>
      <c r="R229" s="67">
        <f>IF(G229="","",ABS(P229-Components!$D$3))</f>
        <v/>
      </c>
      <c r="S229" s="67">
        <f>IF(G229="","",ABS(P229-Components!$D$4))</f>
        <v/>
      </c>
      <c r="T229" s="67">
        <f>IF(G229="","",ABS(P229-Components!$D$5))</f>
        <v/>
      </c>
      <c r="U229" s="67">
        <f>IF(G229="","",ABS(P229-Components!$D$6))</f>
        <v/>
      </c>
      <c r="V229" s="67">
        <f>IF(G229="","",ABS(P229-Components!$D$7))</f>
        <v/>
      </c>
      <c r="W229" s="61">
        <f>IF(G229="","",IF(N229="OK","NONE",INDEX({"S1","S2","W1","W2","N1","N2"},MATCH(MIN(Q229:V229),Q229:V229,0))))</f>
        <v/>
      </c>
      <c r="X229" s="69">
        <f>IF(G229="","",IF(W229=E229,1,0))</f>
        <v/>
      </c>
      <c r="Y229" s="70" t="n"/>
    </row>
    <row r="230">
      <c r="A230" s="61" t="n">
        <v>17</v>
      </c>
      <c r="B230" s="62" t="n">
        <v>40.4</v>
      </c>
      <c r="C230" s="61" t="inlineStr">
        <is>
          <t>R4</t>
        </is>
      </c>
      <c r="D230" s="74" t="inlineStr">
        <is>
          <t>NG</t>
        </is>
      </c>
      <c r="E230" s="61" t="inlineStr">
        <is>
          <t>N1</t>
        </is>
      </c>
      <c r="F230" s="61" t="inlineStr">
        <is>
          <t>K036</t>
        </is>
      </c>
      <c r="G230" s="75" t="n">
        <v>7.77</v>
      </c>
      <c r="H230" s="65" t="n"/>
      <c r="I230" s="66" t="n"/>
      <c r="J230" s="67">
        <f>VLOOKUP(C230,Recipes!$A$2:$N$4,10,FALSE())</f>
        <v/>
      </c>
      <c r="K230" s="68">
        <f>VLOOKUP(C230,Recipes!$A$2:$N$4,12,FALSE())</f>
        <v/>
      </c>
      <c r="L230" s="67">
        <f>J230-3*K230</f>
        <v/>
      </c>
      <c r="M230" s="67">
        <f>J230+3*K230</f>
        <v/>
      </c>
      <c r="N230" s="61">
        <f>IF(G230="","",IF(AND(G230&gt;=L230,G230&lt;=M230),"OK","NG"))</f>
        <v/>
      </c>
      <c r="O230" s="69">
        <f>IF(N230="","",IF(N230=D230,1,0))</f>
        <v/>
      </c>
      <c r="P230" s="67">
        <f>IF(G230="","",J230-G230)</f>
        <v/>
      </c>
      <c r="Q230" s="67">
        <f>IF(G230="","",ABS(P230-Components!$D$2))</f>
        <v/>
      </c>
      <c r="R230" s="67">
        <f>IF(G230="","",ABS(P230-Components!$D$3))</f>
        <v/>
      </c>
      <c r="S230" s="67">
        <f>IF(G230="","",ABS(P230-Components!$D$4))</f>
        <v/>
      </c>
      <c r="T230" s="67">
        <f>IF(G230="","",ABS(P230-Components!$D$5))</f>
        <v/>
      </c>
      <c r="U230" s="67">
        <f>IF(G230="","",ABS(P230-Components!$D$6))</f>
        <v/>
      </c>
      <c r="V230" s="67">
        <f>IF(G230="","",ABS(P230-Components!$D$7))</f>
        <v/>
      </c>
      <c r="W230" s="61">
        <f>IF(G230="","",IF(N230="OK","NONE",INDEX({"S1","S2","W1","W2","N1","N2"},MATCH(MIN(Q230:V230),Q230:V230,0))))</f>
        <v/>
      </c>
      <c r="X230" s="69">
        <f>IF(G230="","",IF(W230=E230,1,0))</f>
        <v/>
      </c>
      <c r="Y230" s="70" t="n"/>
    </row>
    <row r="231">
      <c r="A231" s="61" t="n">
        <v>19</v>
      </c>
      <c r="B231" s="62" t="n">
        <v>39.1</v>
      </c>
      <c r="C231" s="61" t="inlineStr">
        <is>
          <t>R4</t>
        </is>
      </c>
      <c r="D231" s="74" t="inlineStr">
        <is>
          <t>NG</t>
        </is>
      </c>
      <c r="E231" s="61" t="inlineStr">
        <is>
          <t>N1</t>
        </is>
      </c>
      <c r="F231" s="61" t="inlineStr">
        <is>
          <t>K037</t>
        </is>
      </c>
      <c r="G231" s="75" t="n">
        <v>7.69</v>
      </c>
      <c r="H231" s="65" t="n"/>
      <c r="I231" s="66" t="n"/>
      <c r="J231" s="67">
        <f>VLOOKUP(C231,Recipes!$A$2:$N$4,10,FALSE())</f>
        <v/>
      </c>
      <c r="K231" s="68">
        <f>VLOOKUP(C231,Recipes!$A$2:$N$4,12,FALSE())</f>
        <v/>
      </c>
      <c r="L231" s="67">
        <f>J231-3*K231</f>
        <v/>
      </c>
      <c r="M231" s="67">
        <f>J231+3*K231</f>
        <v/>
      </c>
      <c r="N231" s="61">
        <f>IF(G231="","",IF(AND(G231&gt;=L231,G231&lt;=M231),"OK","NG"))</f>
        <v/>
      </c>
      <c r="O231" s="69">
        <f>IF(N231="","",IF(N231=D231,1,0))</f>
        <v/>
      </c>
      <c r="P231" s="67">
        <f>IF(G231="","",J231-G231)</f>
        <v/>
      </c>
      <c r="Q231" s="67">
        <f>IF(G231="","",ABS(P231-Components!$D$2))</f>
        <v/>
      </c>
      <c r="R231" s="67">
        <f>IF(G231="","",ABS(P231-Components!$D$3))</f>
        <v/>
      </c>
      <c r="S231" s="67">
        <f>IF(G231="","",ABS(P231-Components!$D$4))</f>
        <v/>
      </c>
      <c r="T231" s="67">
        <f>IF(G231="","",ABS(P231-Components!$D$5))</f>
        <v/>
      </c>
      <c r="U231" s="67">
        <f>IF(G231="","",ABS(P231-Components!$D$6))</f>
        <v/>
      </c>
      <c r="V231" s="67">
        <f>IF(G231="","",ABS(P231-Components!$D$7))</f>
        <v/>
      </c>
      <c r="W231" s="61">
        <f>IF(G231="","",IF(N231="OK","NONE",INDEX({"S1","S2","W1","W2","N1","N2"},MATCH(MIN(Q231:V231),Q231:V231,0))))</f>
        <v/>
      </c>
      <c r="X231" s="69">
        <f>IF(G231="","",IF(W231=E231,1,0))</f>
        <v/>
      </c>
      <c r="Y231" s="70" t="n"/>
    </row>
    <row r="232">
      <c r="A232" s="76" t="n">
        <v>21</v>
      </c>
      <c r="B232" s="77" t="n">
        <v>37.8</v>
      </c>
      <c r="C232" s="76" t="inlineStr">
        <is>
          <t>R4</t>
        </is>
      </c>
      <c r="D232" s="78" t="inlineStr">
        <is>
          <t>NG</t>
        </is>
      </c>
      <c r="E232" s="76" t="inlineStr">
        <is>
          <t>N1</t>
        </is>
      </c>
      <c r="F232" s="76" t="inlineStr">
        <is>
          <t>K043</t>
        </is>
      </c>
      <c r="G232" s="75" t="n">
        <v>7.77</v>
      </c>
      <c r="H232" s="65" t="n"/>
      <c r="I232" s="66" t="n"/>
      <c r="J232" s="67">
        <f>VLOOKUP(C232,Recipes!$A$2:$N$4,10,FALSE())</f>
        <v/>
      </c>
      <c r="K232" s="68">
        <f>VLOOKUP(C232,Recipes!$A$2:$N$4,12,FALSE())</f>
        <v/>
      </c>
      <c r="L232" s="67">
        <f>J232-3*K232</f>
        <v/>
      </c>
      <c r="M232" s="67">
        <f>J232+3*K232</f>
        <v/>
      </c>
      <c r="N232" s="61">
        <f>IF(G232="","",IF(AND(G232&gt;=L232,G232&lt;=M232),"OK","NG"))</f>
        <v/>
      </c>
      <c r="O232" s="69">
        <f>IF(N232="","",IF(N232=D232,1,0))</f>
        <v/>
      </c>
      <c r="P232" s="67">
        <f>IF(G232="","",J232-G232)</f>
        <v/>
      </c>
      <c r="Q232" s="67">
        <f>IF(G232="","",ABS(P232-Components!$D$2))</f>
        <v/>
      </c>
      <c r="R232" s="67">
        <f>IF(G232="","",ABS(P232-Components!$D$3))</f>
        <v/>
      </c>
      <c r="S232" s="67">
        <f>IF(G232="","",ABS(P232-Components!$D$4))</f>
        <v/>
      </c>
      <c r="T232" s="67">
        <f>IF(G232="","",ABS(P232-Components!$D$5))</f>
        <v/>
      </c>
      <c r="U232" s="67">
        <f>IF(G232="","",ABS(P232-Components!$D$6))</f>
        <v/>
      </c>
      <c r="V232" s="67">
        <f>IF(G232="","",ABS(P232-Components!$D$7))</f>
        <v/>
      </c>
      <c r="W232" s="61">
        <f>IF(G232="","",IF(N232="OK","NONE",INDEX({"S1","S2","W1","W2","N1","N2"},MATCH(MIN(Q232:V232),Q232:V232,0))))</f>
        <v/>
      </c>
      <c r="X232" s="69">
        <f>IF(G232="","",IF(W232=E232,1,0))</f>
        <v/>
      </c>
      <c r="Y232" s="70" t="n"/>
    </row>
    <row r="233">
      <c r="A233" s="61" t="n">
        <v>23</v>
      </c>
      <c r="B233" s="62" t="n">
        <v>36.5</v>
      </c>
      <c r="C233" s="61" t="inlineStr">
        <is>
          <t>R4</t>
        </is>
      </c>
      <c r="D233" s="74" t="inlineStr">
        <is>
          <t>NG</t>
        </is>
      </c>
      <c r="E233" s="61" t="inlineStr">
        <is>
          <t>N1</t>
        </is>
      </c>
      <c r="F233" s="61" t="inlineStr">
        <is>
          <t>K034</t>
        </is>
      </c>
      <c r="G233" s="75" t="n">
        <v>7.77</v>
      </c>
      <c r="H233" s="65" t="n"/>
      <c r="I233" s="66" t="n"/>
      <c r="J233" s="67">
        <f>VLOOKUP(C233,Recipes!$A$2:$N$4,10,FALSE())</f>
        <v/>
      </c>
      <c r="K233" s="68">
        <f>VLOOKUP(C233,Recipes!$A$2:$N$4,12,FALSE())</f>
        <v/>
      </c>
      <c r="L233" s="67">
        <f>J233-3*K233</f>
        <v/>
      </c>
      <c r="M233" s="67">
        <f>J233+3*K233</f>
        <v/>
      </c>
      <c r="N233" s="61">
        <f>IF(G233="","",IF(AND(G233&gt;=L233,G233&lt;=M233),"OK","NG"))</f>
        <v/>
      </c>
      <c r="O233" s="69">
        <f>IF(N233="","",IF(N233=D233,1,0))</f>
        <v/>
      </c>
      <c r="P233" s="67">
        <f>IF(G233="","",J233-G233)</f>
        <v/>
      </c>
      <c r="Q233" s="67">
        <f>IF(G233="","",ABS(P233-Components!$D$2))</f>
        <v/>
      </c>
      <c r="R233" s="67">
        <f>IF(G233="","",ABS(P233-Components!$D$3))</f>
        <v/>
      </c>
      <c r="S233" s="67">
        <f>IF(G233="","",ABS(P233-Components!$D$4))</f>
        <v/>
      </c>
      <c r="T233" s="67">
        <f>IF(G233="","",ABS(P233-Components!$D$5))</f>
        <v/>
      </c>
      <c r="U233" s="67">
        <f>IF(G233="","",ABS(P233-Components!$D$6))</f>
        <v/>
      </c>
      <c r="V233" s="67">
        <f>IF(G233="","",ABS(P233-Components!$D$7))</f>
        <v/>
      </c>
      <c r="W233" s="61">
        <f>IF(G233="","",IF(N233="OK","NONE",INDEX({"S1","S2","W1","W2","N1","N2"},MATCH(MIN(Q233:V233),Q233:V233,0))))</f>
        <v/>
      </c>
      <c r="X233" s="69">
        <f>IF(G233="","",IF(W233=E233,1,0))</f>
        <v/>
      </c>
      <c r="Y233" s="70" t="n"/>
    </row>
    <row r="234">
      <c r="A234" s="61" t="n">
        <v>25</v>
      </c>
      <c r="B234" s="62" t="n">
        <v>35.2</v>
      </c>
      <c r="C234" s="61" t="inlineStr">
        <is>
          <t>R4</t>
        </is>
      </c>
      <c r="D234" s="74" t="inlineStr">
        <is>
          <t>NG</t>
        </is>
      </c>
      <c r="E234" s="61" t="inlineStr">
        <is>
          <t>N1</t>
        </is>
      </c>
      <c r="F234" s="61" t="inlineStr">
        <is>
          <t>K035</t>
        </is>
      </c>
      <c r="G234" s="75" t="n">
        <v>7.78</v>
      </c>
      <c r="H234" s="65" t="n"/>
      <c r="I234" s="66" t="n"/>
      <c r="J234" s="67">
        <f>VLOOKUP(C234,Recipes!$A$2:$N$4,10,FALSE())</f>
        <v/>
      </c>
      <c r="K234" s="68">
        <f>VLOOKUP(C234,Recipes!$A$2:$N$4,12,FALSE())</f>
        <v/>
      </c>
      <c r="L234" s="67">
        <f>J234-3*K234</f>
        <v/>
      </c>
      <c r="M234" s="67">
        <f>J234+3*K234</f>
        <v/>
      </c>
      <c r="N234" s="61">
        <f>IF(G234="","",IF(AND(G234&gt;=L234,G234&lt;=M234),"OK","NG"))</f>
        <v/>
      </c>
      <c r="O234" s="69">
        <f>IF(N234="","",IF(N234=D234,1,0))</f>
        <v/>
      </c>
      <c r="P234" s="67">
        <f>IF(G234="","",J234-G234)</f>
        <v/>
      </c>
      <c r="Q234" s="67">
        <f>IF(G234="","",ABS(P234-Components!$D$2))</f>
        <v/>
      </c>
      <c r="R234" s="67">
        <f>IF(G234="","",ABS(P234-Components!$D$3))</f>
        <v/>
      </c>
      <c r="S234" s="67">
        <f>IF(G234="","",ABS(P234-Components!$D$4))</f>
        <v/>
      </c>
      <c r="T234" s="67">
        <f>IF(G234="","",ABS(P234-Components!$D$5))</f>
        <v/>
      </c>
      <c r="U234" s="67">
        <f>IF(G234="","",ABS(P234-Components!$D$6))</f>
        <v/>
      </c>
      <c r="V234" s="67">
        <f>IF(G234="","",ABS(P234-Components!$D$7))</f>
        <v/>
      </c>
      <c r="W234" s="61">
        <f>IF(G234="","",IF(N234="OK","NONE",INDEX({"S1","S2","W1","W2","N1","N2"},MATCH(MIN(Q234:V234),Q234:V234,0))))</f>
        <v/>
      </c>
      <c r="X234" s="69">
        <f>IF(G234="","",IF(W234=E234,1,0))</f>
        <v/>
      </c>
      <c r="Y234" s="70" t="n"/>
    </row>
    <row r="235">
      <c r="A235" s="61" t="n">
        <v>27</v>
      </c>
      <c r="B235" s="62" t="n">
        <v>33.9</v>
      </c>
      <c r="C235" s="61" t="inlineStr">
        <is>
          <t>R4</t>
        </is>
      </c>
      <c r="D235" s="74" t="inlineStr">
        <is>
          <t>NG</t>
        </is>
      </c>
      <c r="E235" s="61" t="inlineStr">
        <is>
          <t>N1</t>
        </is>
      </c>
      <c r="F235" s="61" t="inlineStr">
        <is>
          <t>K036</t>
        </is>
      </c>
      <c r="G235" s="75" t="n">
        <v>7.76</v>
      </c>
      <c r="H235" s="65" t="n"/>
      <c r="I235" s="66" t="n"/>
      <c r="J235" s="67">
        <f>VLOOKUP(C235,Recipes!$A$2:$N$4,10,FALSE())</f>
        <v/>
      </c>
      <c r="K235" s="68">
        <f>VLOOKUP(C235,Recipes!$A$2:$N$4,12,FALSE())</f>
        <v/>
      </c>
      <c r="L235" s="67">
        <f>J235-3*K235</f>
        <v/>
      </c>
      <c r="M235" s="67">
        <f>J235+3*K235</f>
        <v/>
      </c>
      <c r="N235" s="61">
        <f>IF(G235="","",IF(AND(G235&gt;=L235,G235&lt;=M235),"OK","NG"))</f>
        <v/>
      </c>
      <c r="O235" s="69">
        <f>IF(N235="","",IF(N235=D235,1,0))</f>
        <v/>
      </c>
      <c r="P235" s="67">
        <f>IF(G235="","",J235-G235)</f>
        <v/>
      </c>
      <c r="Q235" s="67">
        <f>IF(G235="","",ABS(P235-Components!$D$2))</f>
        <v/>
      </c>
      <c r="R235" s="67">
        <f>IF(G235="","",ABS(P235-Components!$D$3))</f>
        <v/>
      </c>
      <c r="S235" s="67">
        <f>IF(G235="","",ABS(P235-Components!$D$4))</f>
        <v/>
      </c>
      <c r="T235" s="67">
        <f>IF(G235="","",ABS(P235-Components!$D$5))</f>
        <v/>
      </c>
      <c r="U235" s="67">
        <f>IF(G235="","",ABS(P235-Components!$D$6))</f>
        <v/>
      </c>
      <c r="V235" s="67">
        <f>IF(G235="","",ABS(P235-Components!$D$7))</f>
        <v/>
      </c>
      <c r="W235" s="61">
        <f>IF(G235="","",IF(N235="OK","NONE",INDEX({"S1","S2","W1","W2","N1","N2"},MATCH(MIN(Q235:V235),Q235:V235,0))))</f>
        <v/>
      </c>
      <c r="X235" s="69">
        <f>IF(G235="","",IF(W235=E235,1,0))</f>
        <v/>
      </c>
      <c r="Y235" s="70" t="n"/>
    </row>
    <row r="236">
      <c r="A236" s="61" t="n">
        <v>29</v>
      </c>
      <c r="B236" s="62" t="n">
        <v>32.6</v>
      </c>
      <c r="C236" s="61" t="inlineStr">
        <is>
          <t>R4</t>
        </is>
      </c>
      <c r="D236" s="74" t="inlineStr">
        <is>
          <t>NG</t>
        </is>
      </c>
      <c r="E236" s="61" t="inlineStr">
        <is>
          <t>N1</t>
        </is>
      </c>
      <c r="F236" s="61" t="inlineStr">
        <is>
          <t>K037</t>
        </is>
      </c>
      <c r="G236" s="75" t="n">
        <v>7.77</v>
      </c>
      <c r="H236" s="65" t="n"/>
      <c r="I236" s="66" t="n"/>
      <c r="J236" s="67">
        <f>VLOOKUP(C236,Recipes!$A$2:$N$4,10,FALSE())</f>
        <v/>
      </c>
      <c r="K236" s="68">
        <f>VLOOKUP(C236,Recipes!$A$2:$N$4,12,FALSE())</f>
        <v/>
      </c>
      <c r="L236" s="67">
        <f>J236-3*K236</f>
        <v/>
      </c>
      <c r="M236" s="67">
        <f>J236+3*K236</f>
        <v/>
      </c>
      <c r="N236" s="61">
        <f>IF(G236="","",IF(AND(G236&gt;=L236,G236&lt;=M236),"OK","NG"))</f>
        <v/>
      </c>
      <c r="O236" s="69">
        <f>IF(N236="","",IF(N236=D236,1,0))</f>
        <v/>
      </c>
      <c r="P236" s="67">
        <f>IF(G236="","",J236-G236)</f>
        <v/>
      </c>
      <c r="Q236" s="67">
        <f>IF(G236="","",ABS(P236-Components!$D$2))</f>
        <v/>
      </c>
      <c r="R236" s="67">
        <f>IF(G236="","",ABS(P236-Components!$D$3))</f>
        <v/>
      </c>
      <c r="S236" s="67">
        <f>IF(G236="","",ABS(P236-Components!$D$4))</f>
        <v/>
      </c>
      <c r="T236" s="67">
        <f>IF(G236="","",ABS(P236-Components!$D$5))</f>
        <v/>
      </c>
      <c r="U236" s="67">
        <f>IF(G236="","",ABS(P236-Components!$D$6))</f>
        <v/>
      </c>
      <c r="V236" s="67">
        <f>IF(G236="","",ABS(P236-Components!$D$7))</f>
        <v/>
      </c>
      <c r="W236" s="61">
        <f>IF(G236="","",IF(N236="OK","NONE",INDEX({"S1","S2","W1","W2","N1","N2"},MATCH(MIN(Q236:V236),Q236:V236,0))))</f>
        <v/>
      </c>
      <c r="X236" s="69">
        <f>IF(G236="","",IF(W236=E236,1,0))</f>
        <v/>
      </c>
      <c r="Y236" s="70" t="n"/>
    </row>
    <row r="237">
      <c r="A237" s="76" t="n">
        <v>31</v>
      </c>
      <c r="B237" s="77" t="n">
        <v>31.3</v>
      </c>
      <c r="C237" s="76" t="inlineStr">
        <is>
          <t>R4</t>
        </is>
      </c>
      <c r="D237" s="78" t="inlineStr">
        <is>
          <t>NG</t>
        </is>
      </c>
      <c r="E237" s="76" t="inlineStr">
        <is>
          <t>N1</t>
        </is>
      </c>
      <c r="F237" s="76" t="inlineStr">
        <is>
          <t>K043</t>
        </is>
      </c>
      <c r="G237" s="75" t="n">
        <v>7.71</v>
      </c>
      <c r="H237" s="65" t="n"/>
      <c r="I237" s="66" t="n"/>
      <c r="J237" s="67">
        <f>VLOOKUP(C237,Recipes!$A$2:$N$4,10,FALSE())</f>
        <v/>
      </c>
      <c r="K237" s="68">
        <f>VLOOKUP(C237,Recipes!$A$2:$N$4,12,FALSE())</f>
        <v/>
      </c>
      <c r="L237" s="67">
        <f>J237-3*K237</f>
        <v/>
      </c>
      <c r="M237" s="67">
        <f>J237+3*K237</f>
        <v/>
      </c>
      <c r="N237" s="61">
        <f>IF(G237="","",IF(AND(G237&gt;=L237,G237&lt;=M237),"OK","NG"))</f>
        <v/>
      </c>
      <c r="O237" s="69">
        <f>IF(N237="","",IF(N237=D237,1,0))</f>
        <v/>
      </c>
      <c r="P237" s="67">
        <f>IF(G237="","",J237-G237)</f>
        <v/>
      </c>
      <c r="Q237" s="67">
        <f>IF(G237="","",ABS(P237-Components!$D$2))</f>
        <v/>
      </c>
      <c r="R237" s="67">
        <f>IF(G237="","",ABS(P237-Components!$D$3))</f>
        <v/>
      </c>
      <c r="S237" s="67">
        <f>IF(G237="","",ABS(P237-Components!$D$4))</f>
        <v/>
      </c>
      <c r="T237" s="67">
        <f>IF(G237="","",ABS(P237-Components!$D$5))</f>
        <v/>
      </c>
      <c r="U237" s="67">
        <f>IF(G237="","",ABS(P237-Components!$D$6))</f>
        <v/>
      </c>
      <c r="V237" s="67">
        <f>IF(G237="","",ABS(P237-Components!$D$7))</f>
        <v/>
      </c>
      <c r="W237" s="61">
        <f>IF(G237="","",IF(N237="OK","NONE",INDEX({"S1","S2","W1","W2","N1","N2"},MATCH(MIN(Q237:V237),Q237:V237,0))))</f>
        <v/>
      </c>
      <c r="X237" s="69">
        <f>IF(G237="","",IF(W237=E237,1,0))</f>
        <v/>
      </c>
      <c r="Y237" s="70" t="n"/>
    </row>
    <row r="238">
      <c r="A238" s="61" t="n">
        <v>34</v>
      </c>
      <c r="B238" s="62" t="n">
        <v>13</v>
      </c>
      <c r="C238" s="61" t="inlineStr">
        <is>
          <t>R4</t>
        </is>
      </c>
      <c r="D238" s="74" t="inlineStr">
        <is>
          <t>NG</t>
        </is>
      </c>
      <c r="E238" s="61" t="inlineStr">
        <is>
          <t>N1</t>
        </is>
      </c>
      <c r="F238" s="61" t="inlineStr">
        <is>
          <t>K034</t>
        </is>
      </c>
      <c r="G238" s="64" t="n">
        <v>7.78</v>
      </c>
      <c r="H238" s="65" t="n"/>
      <c r="I238" s="66" t="n"/>
      <c r="J238" s="67">
        <f>VLOOKUP(C238,Recipes!$A$2:$N$4,10,FALSE())</f>
        <v/>
      </c>
      <c r="K238" s="68">
        <f>VLOOKUP(C238,Recipes!$A$2:$N$4,12,FALSE())</f>
        <v/>
      </c>
      <c r="L238" s="67">
        <f>J238-3*K238</f>
        <v/>
      </c>
      <c r="M238" s="67">
        <f>J238+3*K238</f>
        <v/>
      </c>
      <c r="N238" s="61">
        <f>IF(G238="","",IF(AND(G238&gt;=L238,G238&lt;=M238),"OK","NG"))</f>
        <v/>
      </c>
      <c r="O238" s="69">
        <f>IF(N238="","",IF(N238=D238,1,0))</f>
        <v/>
      </c>
      <c r="P238" s="67">
        <f>IF(G238="","",J238-G238)</f>
        <v/>
      </c>
      <c r="Q238" s="67">
        <f>IF(G238="","",ABS(P238-Components!$D$2))</f>
        <v/>
      </c>
      <c r="R238" s="67">
        <f>IF(G238="","",ABS(P238-Components!$D$3))</f>
        <v/>
      </c>
      <c r="S238" s="67">
        <f>IF(G238="","",ABS(P238-Components!$D$4))</f>
        <v/>
      </c>
      <c r="T238" s="67">
        <f>IF(G238="","",ABS(P238-Components!$D$5))</f>
        <v/>
      </c>
      <c r="U238" s="67">
        <f>IF(G238="","",ABS(P238-Components!$D$6))</f>
        <v/>
      </c>
      <c r="V238" s="67">
        <f>IF(G238="","",ABS(P238-Components!$D$7))</f>
        <v/>
      </c>
      <c r="W238" s="61">
        <f>IF(G238="","",IF(N238="OK","NONE",INDEX({"S1","S2","W1","W2","N1","N2"},MATCH(MIN(Q238:V238),Q238:V238,0))))</f>
        <v/>
      </c>
      <c r="X238" s="69">
        <f>IF(G238="","",IF(W238=E238,1,0))</f>
        <v/>
      </c>
      <c r="Y238" s="70" t="n"/>
    </row>
    <row r="239">
      <c r="A239" s="61" t="n">
        <v>35</v>
      </c>
      <c r="B239" s="62" t="n">
        <v>40</v>
      </c>
      <c r="C239" s="61" t="inlineStr">
        <is>
          <t>R4</t>
        </is>
      </c>
      <c r="D239" s="74" t="inlineStr">
        <is>
          <t>NG</t>
        </is>
      </c>
      <c r="E239" s="61" t="inlineStr">
        <is>
          <t>N1</t>
        </is>
      </c>
      <c r="F239" s="61" t="inlineStr">
        <is>
          <t>K035</t>
        </is>
      </c>
      <c r="G239" s="64" t="n">
        <v>7.79</v>
      </c>
      <c r="H239" s="65" t="n"/>
      <c r="I239" s="66" t="n"/>
      <c r="J239" s="67">
        <f>VLOOKUP(C239,Recipes!$A$2:$N$4,10,FALSE())</f>
        <v/>
      </c>
      <c r="K239" s="68">
        <f>VLOOKUP(C239,Recipes!$A$2:$N$4,12,FALSE())</f>
        <v/>
      </c>
      <c r="L239" s="67">
        <f>J239-3*K239</f>
        <v/>
      </c>
      <c r="M239" s="67">
        <f>J239+3*K239</f>
        <v/>
      </c>
      <c r="N239" s="61">
        <f>IF(G239="","",IF(AND(G239&gt;=L239,G239&lt;=M239),"OK","NG"))</f>
        <v/>
      </c>
      <c r="O239" s="69">
        <f>IF(N239="","",IF(N239=D239,1,0))</f>
        <v/>
      </c>
      <c r="P239" s="67">
        <f>IF(G239="","",J239-G239)</f>
        <v/>
      </c>
      <c r="Q239" s="67">
        <f>IF(G239="","",ABS(P239-Components!$D$2))</f>
        <v/>
      </c>
      <c r="R239" s="67">
        <f>IF(G239="","",ABS(P239-Components!$D$3))</f>
        <v/>
      </c>
      <c r="S239" s="67">
        <f>IF(G239="","",ABS(P239-Components!$D$4))</f>
        <v/>
      </c>
      <c r="T239" s="67">
        <f>IF(G239="","",ABS(P239-Components!$D$5))</f>
        <v/>
      </c>
      <c r="U239" s="67">
        <f>IF(G239="","",ABS(P239-Components!$D$6))</f>
        <v/>
      </c>
      <c r="V239" s="67">
        <f>IF(G239="","",ABS(P239-Components!$D$7))</f>
        <v/>
      </c>
      <c r="W239" s="61">
        <f>IF(G239="","",IF(N239="OK","NONE",INDEX({"S1","S2","W1","W2","N1","N2"},MATCH(MIN(Q239:V239),Q239:V239,0))))</f>
        <v/>
      </c>
      <c r="X239" s="69">
        <f>IF(G239="","",IF(W239=E239,1,0))</f>
        <v/>
      </c>
      <c r="Y239" s="70" t="n"/>
    </row>
    <row r="240">
      <c r="A240" s="61" t="n">
        <v>36</v>
      </c>
      <c r="B240" s="62" t="n">
        <v>33</v>
      </c>
      <c r="C240" s="61" t="inlineStr">
        <is>
          <t>R4</t>
        </is>
      </c>
      <c r="D240" s="74" t="inlineStr">
        <is>
          <t>NG</t>
        </is>
      </c>
      <c r="E240" s="61" t="inlineStr">
        <is>
          <t>N1</t>
        </is>
      </c>
      <c r="F240" s="61" t="inlineStr">
        <is>
          <t>K036</t>
        </is>
      </c>
      <c r="G240" s="64" t="n">
        <v>7.78</v>
      </c>
      <c r="H240" s="65" t="n"/>
      <c r="I240" s="66" t="n"/>
      <c r="J240" s="67">
        <f>VLOOKUP(C240,Recipes!$A$2:$N$4,10,FALSE())</f>
        <v/>
      </c>
      <c r="K240" s="68">
        <f>VLOOKUP(C240,Recipes!$A$2:$N$4,12,FALSE())</f>
        <v/>
      </c>
      <c r="L240" s="67">
        <f>J240-3*K240</f>
        <v/>
      </c>
      <c r="M240" s="67">
        <f>J240+3*K240</f>
        <v/>
      </c>
      <c r="N240" s="61">
        <f>IF(G240="","",IF(AND(G240&gt;=L240,G240&lt;=M240),"OK","NG"))</f>
        <v/>
      </c>
      <c r="O240" s="69">
        <f>IF(N240="","",IF(N240=D240,1,0))</f>
        <v/>
      </c>
      <c r="P240" s="67">
        <f>IF(G240="","",J240-G240)</f>
        <v/>
      </c>
      <c r="Q240" s="67">
        <f>IF(G240="","",ABS(P240-Components!$D$2))</f>
        <v/>
      </c>
      <c r="R240" s="67">
        <f>IF(G240="","",ABS(P240-Components!$D$3))</f>
        <v/>
      </c>
      <c r="S240" s="67">
        <f>IF(G240="","",ABS(P240-Components!$D$4))</f>
        <v/>
      </c>
      <c r="T240" s="67">
        <f>IF(G240="","",ABS(P240-Components!$D$5))</f>
        <v/>
      </c>
      <c r="U240" s="67">
        <f>IF(G240="","",ABS(P240-Components!$D$6))</f>
        <v/>
      </c>
      <c r="V240" s="67">
        <f>IF(G240="","",ABS(P240-Components!$D$7))</f>
        <v/>
      </c>
      <c r="W240" s="61">
        <f>IF(G240="","",IF(N240="OK","NONE",INDEX({"S1","S2","W1","W2","N1","N2"},MATCH(MIN(Q240:V240),Q240:V240,0))))</f>
        <v/>
      </c>
      <c r="X240" s="69">
        <f>IF(G240="","",IF(W240=E240,1,0))</f>
        <v/>
      </c>
      <c r="Y240" s="70" t="n"/>
    </row>
    <row r="241">
      <c r="A241" s="61" t="n">
        <v>37</v>
      </c>
      <c r="B241" s="62" t="n">
        <v>49</v>
      </c>
      <c r="C241" s="61" t="inlineStr">
        <is>
          <t>R4</t>
        </is>
      </c>
      <c r="D241" s="74" t="inlineStr">
        <is>
          <t>NG</t>
        </is>
      </c>
      <c r="E241" s="61" t="inlineStr">
        <is>
          <t>N1</t>
        </is>
      </c>
      <c r="F241" s="61" t="inlineStr">
        <is>
          <t>K037</t>
        </is>
      </c>
      <c r="G241" s="64" t="n">
        <v>7.78</v>
      </c>
      <c r="H241" s="65" t="n"/>
      <c r="I241" s="66" t="n"/>
      <c r="J241" s="67">
        <f>VLOOKUP(C241,Recipes!$A$2:$N$4,10,FALSE())</f>
        <v/>
      </c>
      <c r="K241" s="68">
        <f>VLOOKUP(C241,Recipes!$A$2:$N$4,12,FALSE())</f>
        <v/>
      </c>
      <c r="L241" s="67">
        <f>J241-3*K241</f>
        <v/>
      </c>
      <c r="M241" s="67">
        <f>J241+3*K241</f>
        <v/>
      </c>
      <c r="N241" s="61">
        <f>IF(G241="","",IF(AND(G241&gt;=L241,G241&lt;=M241),"OK","NG"))</f>
        <v/>
      </c>
      <c r="O241" s="69">
        <f>IF(N241="","",IF(N241=D241,1,0))</f>
        <v/>
      </c>
      <c r="P241" s="67">
        <f>IF(G241="","",J241-G241)</f>
        <v/>
      </c>
      <c r="Q241" s="67">
        <f>IF(G241="","",ABS(P241-Components!$D$2))</f>
        <v/>
      </c>
      <c r="R241" s="67">
        <f>IF(G241="","",ABS(P241-Components!$D$3))</f>
        <v/>
      </c>
      <c r="S241" s="67">
        <f>IF(G241="","",ABS(P241-Components!$D$4))</f>
        <v/>
      </c>
      <c r="T241" s="67">
        <f>IF(G241="","",ABS(P241-Components!$D$5))</f>
        <v/>
      </c>
      <c r="U241" s="67">
        <f>IF(G241="","",ABS(P241-Components!$D$6))</f>
        <v/>
      </c>
      <c r="V241" s="67">
        <f>IF(G241="","",ABS(P241-Components!$D$7))</f>
        <v/>
      </c>
      <c r="W241" s="61">
        <f>IF(G241="","",IF(N241="OK","NONE",INDEX({"S1","S2","W1","W2","N1","N2"},MATCH(MIN(Q241:V241),Q241:V241,0))))</f>
        <v/>
      </c>
      <c r="X241" s="69">
        <f>IF(G241="","",IF(W241=E241,1,0))</f>
        <v/>
      </c>
      <c r="Y241" s="70" t="n"/>
    </row>
    <row r="242">
      <c r="A242" s="76" t="n">
        <v>43</v>
      </c>
      <c r="B242" s="77" t="n">
        <v>2</v>
      </c>
      <c r="C242" s="76" t="inlineStr">
        <is>
          <t>R4</t>
        </is>
      </c>
      <c r="D242" s="78" t="inlineStr">
        <is>
          <t>NG</t>
        </is>
      </c>
      <c r="E242" s="76" t="inlineStr">
        <is>
          <t>N1</t>
        </is>
      </c>
      <c r="F242" s="76" t="inlineStr">
        <is>
          <t>K043</t>
        </is>
      </c>
      <c r="G242" s="64" t="n">
        <v>7.79</v>
      </c>
      <c r="H242" s="65" t="n"/>
      <c r="I242" s="66" t="n"/>
      <c r="J242" s="67">
        <f>VLOOKUP(C242,Recipes!$A$2:$N$4,10,FALSE())</f>
        <v/>
      </c>
      <c r="K242" s="68">
        <f>VLOOKUP(C242,Recipes!$A$2:$N$4,12,FALSE())</f>
        <v/>
      </c>
      <c r="L242" s="67">
        <f>J242-3*K242</f>
        <v/>
      </c>
      <c r="M242" s="67">
        <f>J242+3*K242</f>
        <v/>
      </c>
      <c r="N242" s="61">
        <f>IF(G242="","",IF(AND(G242&gt;=L242,G242&lt;=M242),"OK","NG"))</f>
        <v/>
      </c>
      <c r="O242" s="69">
        <f>IF(N242="","",IF(N242=D242,1,0))</f>
        <v/>
      </c>
      <c r="P242" s="67">
        <f>IF(G242="","",J242-G242)</f>
        <v/>
      </c>
      <c r="Q242" s="67">
        <f>IF(G242="","",ABS(P242-Components!$D$2))</f>
        <v/>
      </c>
      <c r="R242" s="67">
        <f>IF(G242="","",ABS(P242-Components!$D$3))</f>
        <v/>
      </c>
      <c r="S242" s="67">
        <f>IF(G242="","",ABS(P242-Components!$D$4))</f>
        <v/>
      </c>
      <c r="T242" s="67">
        <f>IF(G242="","",ABS(P242-Components!$D$5))</f>
        <v/>
      </c>
      <c r="U242" s="67">
        <f>IF(G242="","",ABS(P242-Components!$D$6))</f>
        <v/>
      </c>
      <c r="V242" s="67">
        <f>IF(G242="","",ABS(P242-Components!$D$7))</f>
        <v/>
      </c>
      <c r="W242" s="61">
        <f>IF(G242="","",IF(N242="OK","NONE",INDEX({"S1","S2","W1","W2","N1","N2"},MATCH(MIN(Q242:V242),Q242:V242,0))))</f>
        <v/>
      </c>
      <c r="X242" s="69">
        <f>IF(G242="","",IF(W242=E242,1,0))</f>
        <v/>
      </c>
      <c r="Y242" s="70" t="n"/>
    </row>
    <row r="243">
      <c r="A243" s="61" t="n">
        <v>-10.1</v>
      </c>
      <c r="B243" s="62" t="n">
        <v>61.9</v>
      </c>
      <c r="C243" s="61" t="inlineStr">
        <is>
          <t>R4</t>
        </is>
      </c>
      <c r="D243" s="74" t="inlineStr">
        <is>
          <t>NG</t>
        </is>
      </c>
      <c r="E243" s="61" t="inlineStr">
        <is>
          <t>S2</t>
        </is>
      </c>
      <c r="F243" s="61" t="inlineStr">
        <is>
          <t>K038</t>
        </is>
      </c>
      <c r="G243" s="75" t="n">
        <v>4.94</v>
      </c>
      <c r="H243" s="65" t="n"/>
      <c r="I243" s="66" t="n"/>
      <c r="J243" s="67">
        <f>VLOOKUP(C243,Recipes!$A$2:$N$4,10,FALSE())</f>
        <v/>
      </c>
      <c r="K243" s="68">
        <f>VLOOKUP(C243,Recipes!$A$2:$N$4,12,FALSE())</f>
        <v/>
      </c>
      <c r="L243" s="67">
        <f>J243-3*K243</f>
        <v/>
      </c>
      <c r="M243" s="67">
        <f>J243+3*K243</f>
        <v/>
      </c>
      <c r="N243" s="61">
        <f>IF(G243="","",IF(AND(G243&gt;=L243,G243&lt;=M243),"OK","NG"))</f>
        <v/>
      </c>
      <c r="O243" s="69">
        <f>IF(N243="","",IF(N243=D243,1,0))</f>
        <v/>
      </c>
      <c r="P243" s="67">
        <f>IF(G243="","",J243-G243)</f>
        <v/>
      </c>
      <c r="Q243" s="67">
        <f>IF(G243="","",ABS(P243-Components!$D$2))</f>
        <v/>
      </c>
      <c r="R243" s="67">
        <f>IF(G243="","",ABS(P243-Components!$D$3))</f>
        <v/>
      </c>
      <c r="S243" s="67">
        <f>IF(G243="","",ABS(P243-Components!$D$4))</f>
        <v/>
      </c>
      <c r="T243" s="67">
        <f>IF(G243="","",ABS(P243-Components!$D$5))</f>
        <v/>
      </c>
      <c r="U243" s="67">
        <f>IF(G243="","",ABS(P243-Components!$D$6))</f>
        <v/>
      </c>
      <c r="V243" s="67">
        <f>IF(G243="","",ABS(P243-Components!$D$7))</f>
        <v/>
      </c>
      <c r="W243" s="61">
        <f>IF(G243="","",IF(N243="OK","NONE",INDEX({"S1","S2","W1","W2","N1","N2"},MATCH(MIN(Q243:V243),Q243:V243,0))))</f>
        <v/>
      </c>
      <c r="X243" s="69">
        <f>IF(G243="","",IF(W243=E243,1,0))</f>
        <v/>
      </c>
      <c r="Y243" s="70" t="n"/>
    </row>
    <row r="244">
      <c r="A244" s="61" t="n">
        <v>-8.199999999999999</v>
      </c>
      <c r="B244" s="62" t="n">
        <v>60.8</v>
      </c>
      <c r="C244" s="61" t="inlineStr">
        <is>
          <t>R4</t>
        </is>
      </c>
      <c r="D244" s="74" t="inlineStr">
        <is>
          <t>NG</t>
        </is>
      </c>
      <c r="E244" s="61" t="inlineStr">
        <is>
          <t>S2</t>
        </is>
      </c>
      <c r="F244" s="61" t="inlineStr">
        <is>
          <t>K039</t>
        </is>
      </c>
      <c r="G244" s="75" t="n">
        <v>4.91</v>
      </c>
      <c r="H244" s="65" t="n"/>
      <c r="I244" s="66" t="n"/>
      <c r="J244" s="67">
        <f>VLOOKUP(C244,Recipes!$A$2:$N$4,10,FALSE())</f>
        <v/>
      </c>
      <c r="K244" s="68">
        <f>VLOOKUP(C244,Recipes!$A$2:$N$4,12,FALSE())</f>
        <v/>
      </c>
      <c r="L244" s="67">
        <f>J244-3*K244</f>
        <v/>
      </c>
      <c r="M244" s="67">
        <f>J244+3*K244</f>
        <v/>
      </c>
      <c r="N244" s="61">
        <f>IF(G244="","",IF(AND(G244&gt;=L244,G244&lt;=M244),"OK","NG"))</f>
        <v/>
      </c>
      <c r="O244" s="69">
        <f>IF(N244="","",IF(N244=D244,1,0))</f>
        <v/>
      </c>
      <c r="P244" s="67">
        <f>IF(G244="","",J244-G244)</f>
        <v/>
      </c>
      <c r="Q244" s="67">
        <f>IF(G244="","",ABS(P244-Components!$D$2))</f>
        <v/>
      </c>
      <c r="R244" s="67">
        <f>IF(G244="","",ABS(P244-Components!$D$3))</f>
        <v/>
      </c>
      <c r="S244" s="67">
        <f>IF(G244="","",ABS(P244-Components!$D$4))</f>
        <v/>
      </c>
      <c r="T244" s="67">
        <f>IF(G244="","",ABS(P244-Components!$D$5))</f>
        <v/>
      </c>
      <c r="U244" s="67">
        <f>IF(G244="","",ABS(P244-Components!$D$6))</f>
        <v/>
      </c>
      <c r="V244" s="67">
        <f>IF(G244="","",ABS(P244-Components!$D$7))</f>
        <v/>
      </c>
      <c r="W244" s="61">
        <f>IF(G244="","",IF(N244="OK","NONE",INDEX({"S1","S2","W1","W2","N1","N2"},MATCH(MIN(Q244:V244),Q244:V244,0))))</f>
        <v/>
      </c>
      <c r="X244" s="69">
        <f>IF(G244="","",IF(W244=E244,1,0))</f>
        <v/>
      </c>
      <c r="Y244" s="70" t="n"/>
    </row>
    <row r="245">
      <c r="A245" s="61" t="n">
        <v>-6.3</v>
      </c>
      <c r="B245" s="62" t="n">
        <v>59.7</v>
      </c>
      <c r="C245" s="61" t="inlineStr">
        <is>
          <t>R4</t>
        </is>
      </c>
      <c r="D245" s="74" t="inlineStr">
        <is>
          <t>NG</t>
        </is>
      </c>
      <c r="E245" s="61" t="inlineStr">
        <is>
          <t>S2</t>
        </is>
      </c>
      <c r="F245" s="61" t="inlineStr">
        <is>
          <t>K040</t>
        </is>
      </c>
      <c r="G245" s="75" t="n">
        <v>4.81</v>
      </c>
      <c r="H245" s="65" t="n"/>
      <c r="I245" s="66" t="n"/>
      <c r="J245" s="67">
        <f>VLOOKUP(C245,Recipes!$A$2:$N$4,10,FALSE())</f>
        <v/>
      </c>
      <c r="K245" s="68">
        <f>VLOOKUP(C245,Recipes!$A$2:$N$4,12,FALSE())</f>
        <v/>
      </c>
      <c r="L245" s="67">
        <f>J245-3*K245</f>
        <v/>
      </c>
      <c r="M245" s="67">
        <f>J245+3*K245</f>
        <v/>
      </c>
      <c r="N245" s="61">
        <f>IF(G245="","",IF(AND(G245&gt;=L245,G245&lt;=M245),"OK","NG"))</f>
        <v/>
      </c>
      <c r="O245" s="69">
        <f>IF(N245="","",IF(N245=D245,1,0))</f>
        <v/>
      </c>
      <c r="P245" s="67">
        <f>IF(G245="","",J245-G245)</f>
        <v/>
      </c>
      <c r="Q245" s="67">
        <f>IF(G245="","",ABS(P245-Components!$D$2))</f>
        <v/>
      </c>
      <c r="R245" s="67">
        <f>IF(G245="","",ABS(P245-Components!$D$3))</f>
        <v/>
      </c>
      <c r="S245" s="67">
        <f>IF(G245="","",ABS(P245-Components!$D$4))</f>
        <v/>
      </c>
      <c r="T245" s="67">
        <f>IF(G245="","",ABS(P245-Components!$D$5))</f>
        <v/>
      </c>
      <c r="U245" s="67">
        <f>IF(G245="","",ABS(P245-Components!$D$6))</f>
        <v/>
      </c>
      <c r="V245" s="67">
        <f>IF(G245="","",ABS(P245-Components!$D$7))</f>
        <v/>
      </c>
      <c r="W245" s="61">
        <f>IF(G245="","",IF(N245="OK","NONE",INDEX({"S1","S2","W1","W2","N1","N2"},MATCH(MIN(Q245:V245),Q245:V245,0))))</f>
        <v/>
      </c>
      <c r="X245" s="69">
        <f>IF(G245="","",IF(W245=E245,1,0))</f>
        <v/>
      </c>
      <c r="Y245" s="70" t="n"/>
    </row>
    <row r="246">
      <c r="A246" s="76" t="n">
        <v>-4.4</v>
      </c>
      <c r="B246" s="77" t="n">
        <v>58.6</v>
      </c>
      <c r="C246" s="76" t="inlineStr">
        <is>
          <t>R4</t>
        </is>
      </c>
      <c r="D246" s="78" t="inlineStr">
        <is>
          <t>NG</t>
        </is>
      </c>
      <c r="E246" s="76" t="inlineStr">
        <is>
          <t>S2</t>
        </is>
      </c>
      <c r="F246" s="76" t="inlineStr">
        <is>
          <t>K044</t>
        </is>
      </c>
      <c r="G246" s="75" t="n">
        <v>4.92</v>
      </c>
      <c r="H246" s="65" t="n"/>
      <c r="I246" s="66" t="n"/>
      <c r="J246" s="67">
        <f>VLOOKUP(C246,Recipes!$A$2:$N$4,10,FALSE())</f>
        <v/>
      </c>
      <c r="K246" s="68">
        <f>VLOOKUP(C246,Recipes!$A$2:$N$4,12,FALSE())</f>
        <v/>
      </c>
      <c r="L246" s="67">
        <f>J246-3*K246</f>
        <v/>
      </c>
      <c r="M246" s="67">
        <f>J246+3*K246</f>
        <v/>
      </c>
      <c r="N246" s="61">
        <f>IF(G246="","",IF(AND(G246&gt;=L246,G246&lt;=M246),"OK","NG"))</f>
        <v/>
      </c>
      <c r="O246" s="69">
        <f>IF(N246="","",IF(N246=D246,1,0))</f>
        <v/>
      </c>
      <c r="P246" s="67">
        <f>IF(G246="","",J246-G246)</f>
        <v/>
      </c>
      <c r="Q246" s="67">
        <f>IF(G246="","",ABS(P246-Components!$D$2))</f>
        <v/>
      </c>
      <c r="R246" s="67">
        <f>IF(G246="","",ABS(P246-Components!$D$3))</f>
        <v/>
      </c>
      <c r="S246" s="67">
        <f>IF(G246="","",ABS(P246-Components!$D$4))</f>
        <v/>
      </c>
      <c r="T246" s="67">
        <f>IF(G246="","",ABS(P246-Components!$D$5))</f>
        <v/>
      </c>
      <c r="U246" s="67">
        <f>IF(G246="","",ABS(P246-Components!$D$6))</f>
        <v/>
      </c>
      <c r="V246" s="67">
        <f>IF(G246="","",ABS(P246-Components!$D$7))</f>
        <v/>
      </c>
      <c r="W246" s="61">
        <f>IF(G246="","",IF(N246="OK","NONE",INDEX({"S1","S2","W1","W2","N1","N2"},MATCH(MIN(Q246:V246),Q246:V246,0))))</f>
        <v/>
      </c>
      <c r="X246" s="69">
        <f>IF(G246="","",IF(W246=E246,1,0))</f>
        <v/>
      </c>
      <c r="Y246" s="70" t="n"/>
    </row>
    <row r="247">
      <c r="A247" s="76" t="n">
        <v>-2.5</v>
      </c>
      <c r="B247" s="77" t="n">
        <v>57.5</v>
      </c>
      <c r="C247" s="76" t="inlineStr">
        <is>
          <t>R4</t>
        </is>
      </c>
      <c r="D247" s="78" t="inlineStr">
        <is>
          <t>NG</t>
        </is>
      </c>
      <c r="E247" s="76" t="inlineStr">
        <is>
          <t>S2</t>
        </is>
      </c>
      <c r="F247" s="76" t="inlineStr">
        <is>
          <t>K045</t>
        </is>
      </c>
      <c r="G247" s="75" t="n">
        <v>4.87</v>
      </c>
      <c r="H247" s="65" t="n"/>
      <c r="I247" s="66" t="n"/>
      <c r="J247" s="67">
        <f>VLOOKUP(C247,Recipes!$A$2:$N$4,10,FALSE())</f>
        <v/>
      </c>
      <c r="K247" s="68">
        <f>VLOOKUP(C247,Recipes!$A$2:$N$4,12,FALSE())</f>
        <v/>
      </c>
      <c r="L247" s="67">
        <f>J247-3*K247</f>
        <v/>
      </c>
      <c r="M247" s="67">
        <f>J247+3*K247</f>
        <v/>
      </c>
      <c r="N247" s="61">
        <f>IF(G247="","",IF(AND(G247&gt;=L247,G247&lt;=M247),"OK","NG"))</f>
        <v/>
      </c>
      <c r="O247" s="69">
        <f>IF(N247="","",IF(N247=D247,1,0))</f>
        <v/>
      </c>
      <c r="P247" s="67">
        <f>IF(G247="","",J247-G247)</f>
        <v/>
      </c>
      <c r="Q247" s="67">
        <f>IF(G247="","",ABS(P247-Components!$D$2))</f>
        <v/>
      </c>
      <c r="R247" s="67">
        <f>IF(G247="","",ABS(P247-Components!$D$3))</f>
        <v/>
      </c>
      <c r="S247" s="67">
        <f>IF(G247="","",ABS(P247-Components!$D$4))</f>
        <v/>
      </c>
      <c r="T247" s="67">
        <f>IF(G247="","",ABS(P247-Components!$D$5))</f>
        <v/>
      </c>
      <c r="U247" s="67">
        <f>IF(G247="","",ABS(P247-Components!$D$6))</f>
        <v/>
      </c>
      <c r="V247" s="67">
        <f>IF(G247="","",ABS(P247-Components!$D$7))</f>
        <v/>
      </c>
      <c r="W247" s="61">
        <f>IF(G247="","",IF(N247="OK","NONE",INDEX({"S1","S2","W1","W2","N1","N2"},MATCH(MIN(Q247:V247),Q247:V247,0))))</f>
        <v/>
      </c>
      <c r="X247" s="69">
        <f>IF(G247="","",IF(W247=E247,1,0))</f>
        <v/>
      </c>
      <c r="Y247" s="70" t="n"/>
    </row>
    <row r="248">
      <c r="A248" s="61" t="n">
        <v>-0.600000000000001</v>
      </c>
      <c r="B248" s="62" t="n">
        <v>56.4</v>
      </c>
      <c r="C248" s="61" t="inlineStr">
        <is>
          <t>R4</t>
        </is>
      </c>
      <c r="D248" s="74" t="inlineStr">
        <is>
          <t>NG</t>
        </is>
      </c>
      <c r="E248" s="61" t="inlineStr">
        <is>
          <t>S2</t>
        </is>
      </c>
      <c r="F248" s="61" t="inlineStr">
        <is>
          <t>K038</t>
        </is>
      </c>
      <c r="G248" s="75" t="n">
        <v>4.94</v>
      </c>
      <c r="H248" s="65" t="n"/>
      <c r="I248" s="66" t="n"/>
      <c r="J248" s="67">
        <f>VLOOKUP(C248,Recipes!$A$2:$N$4,10,FALSE())</f>
        <v/>
      </c>
      <c r="K248" s="68">
        <f>VLOOKUP(C248,Recipes!$A$2:$N$4,12,FALSE())</f>
        <v/>
      </c>
      <c r="L248" s="67">
        <f>J248-3*K248</f>
        <v/>
      </c>
      <c r="M248" s="67">
        <f>J248+3*K248</f>
        <v/>
      </c>
      <c r="N248" s="61">
        <f>IF(G248="","",IF(AND(G248&gt;=L248,G248&lt;=M248),"OK","NG"))</f>
        <v/>
      </c>
      <c r="O248" s="69">
        <f>IF(N248="","",IF(N248=D248,1,0))</f>
        <v/>
      </c>
      <c r="P248" s="67">
        <f>IF(G248="","",J248-G248)</f>
        <v/>
      </c>
      <c r="Q248" s="67">
        <f>IF(G248="","",ABS(P248-Components!$D$2))</f>
        <v/>
      </c>
      <c r="R248" s="67">
        <f>IF(G248="","",ABS(P248-Components!$D$3))</f>
        <v/>
      </c>
      <c r="S248" s="67">
        <f>IF(G248="","",ABS(P248-Components!$D$4))</f>
        <v/>
      </c>
      <c r="T248" s="67">
        <f>IF(G248="","",ABS(P248-Components!$D$5))</f>
        <v/>
      </c>
      <c r="U248" s="67">
        <f>IF(G248="","",ABS(P248-Components!$D$6))</f>
        <v/>
      </c>
      <c r="V248" s="67">
        <f>IF(G248="","",ABS(P248-Components!$D$7))</f>
        <v/>
      </c>
      <c r="W248" s="61">
        <f>IF(G248="","",IF(N248="OK","NONE",INDEX({"S1","S2","W1","W2","N1","N2"},MATCH(MIN(Q248:V248),Q248:V248,0))))</f>
        <v/>
      </c>
      <c r="X248" s="69">
        <f>IF(G248="","",IF(W248=E248,1,0))</f>
        <v/>
      </c>
      <c r="Y248" s="70" t="n"/>
    </row>
    <row r="249">
      <c r="A249" s="61" t="n">
        <v>1.3</v>
      </c>
      <c r="B249" s="62" t="n">
        <v>55.3</v>
      </c>
      <c r="C249" s="61" t="inlineStr">
        <is>
          <t>R4</t>
        </is>
      </c>
      <c r="D249" s="74" t="inlineStr">
        <is>
          <t>NG</t>
        </is>
      </c>
      <c r="E249" s="61" t="inlineStr">
        <is>
          <t>S2</t>
        </is>
      </c>
      <c r="F249" s="61" t="inlineStr">
        <is>
          <t>K039</t>
        </is>
      </c>
      <c r="G249" s="75" t="n">
        <v>4.89</v>
      </c>
      <c r="H249" s="65" t="n"/>
      <c r="I249" s="66" t="n"/>
      <c r="J249" s="67">
        <f>VLOOKUP(C249,Recipes!$A$2:$N$4,10,FALSE())</f>
        <v/>
      </c>
      <c r="K249" s="68">
        <f>VLOOKUP(C249,Recipes!$A$2:$N$4,12,FALSE())</f>
        <v/>
      </c>
      <c r="L249" s="67">
        <f>J249-3*K249</f>
        <v/>
      </c>
      <c r="M249" s="67">
        <f>J249+3*K249</f>
        <v/>
      </c>
      <c r="N249" s="61">
        <f>IF(G249="","",IF(AND(G249&gt;=L249,G249&lt;=M249),"OK","NG"))</f>
        <v/>
      </c>
      <c r="O249" s="69">
        <f>IF(N249="","",IF(N249=D249,1,0))</f>
        <v/>
      </c>
      <c r="P249" s="67">
        <f>IF(G249="","",J249-G249)</f>
        <v/>
      </c>
      <c r="Q249" s="67">
        <f>IF(G249="","",ABS(P249-Components!$D$2))</f>
        <v/>
      </c>
      <c r="R249" s="67">
        <f>IF(G249="","",ABS(P249-Components!$D$3))</f>
        <v/>
      </c>
      <c r="S249" s="67">
        <f>IF(G249="","",ABS(P249-Components!$D$4))</f>
        <v/>
      </c>
      <c r="T249" s="67">
        <f>IF(G249="","",ABS(P249-Components!$D$5))</f>
        <v/>
      </c>
      <c r="U249" s="67">
        <f>IF(G249="","",ABS(P249-Components!$D$6))</f>
        <v/>
      </c>
      <c r="V249" s="67">
        <f>IF(G249="","",ABS(P249-Components!$D$7))</f>
        <v/>
      </c>
      <c r="W249" s="61">
        <f>IF(G249="","",IF(N249="OK","NONE",INDEX({"S1","S2","W1","W2","N1","N2"},MATCH(MIN(Q249:V249),Q249:V249,0))))</f>
        <v/>
      </c>
      <c r="X249" s="69">
        <f>IF(G249="","",IF(W249=E249,1,0))</f>
        <v/>
      </c>
      <c r="Y249" s="70" t="n"/>
    </row>
    <row r="250">
      <c r="A250" s="61" t="n">
        <v>3.2</v>
      </c>
      <c r="B250" s="62" t="n">
        <v>54.2</v>
      </c>
      <c r="C250" s="61" t="inlineStr">
        <is>
          <t>R4</t>
        </is>
      </c>
      <c r="D250" s="74" t="inlineStr">
        <is>
          <t>NG</t>
        </is>
      </c>
      <c r="E250" s="61" t="inlineStr">
        <is>
          <t>S2</t>
        </is>
      </c>
      <c r="F250" s="61" t="inlineStr">
        <is>
          <t>K040</t>
        </is>
      </c>
      <c r="G250" s="75" t="n">
        <v>4.86</v>
      </c>
      <c r="H250" s="65" t="n"/>
      <c r="I250" s="66" t="n"/>
      <c r="J250" s="67">
        <f>VLOOKUP(C250,Recipes!$A$2:$N$4,10,FALSE())</f>
        <v/>
      </c>
      <c r="K250" s="68">
        <f>VLOOKUP(C250,Recipes!$A$2:$N$4,12,FALSE())</f>
        <v/>
      </c>
      <c r="L250" s="67">
        <f>J250-3*K250</f>
        <v/>
      </c>
      <c r="M250" s="67">
        <f>J250+3*K250</f>
        <v/>
      </c>
      <c r="N250" s="61">
        <f>IF(G250="","",IF(AND(G250&gt;=L250,G250&lt;=M250),"OK","NG"))</f>
        <v/>
      </c>
      <c r="O250" s="69">
        <f>IF(N250="","",IF(N250=D250,1,0))</f>
        <v/>
      </c>
      <c r="P250" s="67">
        <f>IF(G250="","",J250-G250)</f>
        <v/>
      </c>
      <c r="Q250" s="67">
        <f>IF(G250="","",ABS(P250-Components!$D$2))</f>
        <v/>
      </c>
      <c r="R250" s="67">
        <f>IF(G250="","",ABS(P250-Components!$D$3))</f>
        <v/>
      </c>
      <c r="S250" s="67">
        <f>IF(G250="","",ABS(P250-Components!$D$4))</f>
        <v/>
      </c>
      <c r="T250" s="67">
        <f>IF(G250="","",ABS(P250-Components!$D$5))</f>
        <v/>
      </c>
      <c r="U250" s="67">
        <f>IF(G250="","",ABS(P250-Components!$D$6))</f>
        <v/>
      </c>
      <c r="V250" s="67">
        <f>IF(G250="","",ABS(P250-Components!$D$7))</f>
        <v/>
      </c>
      <c r="W250" s="61">
        <f>IF(G250="","",IF(N250="OK","NONE",INDEX({"S1","S2","W1","W2","N1","N2"},MATCH(MIN(Q250:V250),Q250:V250,0))))</f>
        <v/>
      </c>
      <c r="X250" s="69">
        <f>IF(G250="","",IF(W250=E250,1,0))</f>
        <v/>
      </c>
      <c r="Y250" s="70" t="n"/>
    </row>
    <row r="251">
      <c r="A251" s="76" t="n">
        <v>5.1</v>
      </c>
      <c r="B251" s="77" t="n">
        <v>53.1</v>
      </c>
      <c r="C251" s="76" t="inlineStr">
        <is>
          <t>R4</t>
        </is>
      </c>
      <c r="D251" s="78" t="inlineStr">
        <is>
          <t>NG</t>
        </is>
      </c>
      <c r="E251" s="76" t="inlineStr">
        <is>
          <t>S2</t>
        </is>
      </c>
      <c r="F251" s="76" t="inlineStr">
        <is>
          <t>K044</t>
        </is>
      </c>
      <c r="G251" s="75" t="n">
        <v>4.97</v>
      </c>
      <c r="H251" s="65" t="n"/>
      <c r="I251" s="66" t="n"/>
      <c r="J251" s="67">
        <f>VLOOKUP(C251,Recipes!$A$2:$N$4,10,FALSE())</f>
        <v/>
      </c>
      <c r="K251" s="68">
        <f>VLOOKUP(C251,Recipes!$A$2:$N$4,12,FALSE())</f>
        <v/>
      </c>
      <c r="L251" s="67">
        <f>J251-3*K251</f>
        <v/>
      </c>
      <c r="M251" s="67">
        <f>J251+3*K251</f>
        <v/>
      </c>
      <c r="N251" s="61">
        <f>IF(G251="","",IF(AND(G251&gt;=L251,G251&lt;=M251),"OK","NG"))</f>
        <v/>
      </c>
      <c r="O251" s="69">
        <f>IF(N251="","",IF(N251=D251,1,0))</f>
        <v/>
      </c>
      <c r="P251" s="67">
        <f>IF(G251="","",J251-G251)</f>
        <v/>
      </c>
      <c r="Q251" s="67">
        <f>IF(G251="","",ABS(P251-Components!$D$2))</f>
        <v/>
      </c>
      <c r="R251" s="67">
        <f>IF(G251="","",ABS(P251-Components!$D$3))</f>
        <v/>
      </c>
      <c r="S251" s="67">
        <f>IF(G251="","",ABS(P251-Components!$D$4))</f>
        <v/>
      </c>
      <c r="T251" s="67">
        <f>IF(G251="","",ABS(P251-Components!$D$5))</f>
        <v/>
      </c>
      <c r="U251" s="67">
        <f>IF(G251="","",ABS(P251-Components!$D$6))</f>
        <v/>
      </c>
      <c r="V251" s="67">
        <f>IF(G251="","",ABS(P251-Components!$D$7))</f>
        <v/>
      </c>
      <c r="W251" s="61">
        <f>IF(G251="","",IF(N251="OK","NONE",INDEX({"S1","S2","W1","W2","N1","N2"},MATCH(MIN(Q251:V251),Q251:V251,0))))</f>
        <v/>
      </c>
      <c r="X251" s="69">
        <f>IF(G251="","",IF(W251=E251,1,0))</f>
        <v/>
      </c>
      <c r="Y251" s="70" t="n"/>
    </row>
    <row r="252">
      <c r="A252" s="76" t="n">
        <v>7</v>
      </c>
      <c r="B252" s="77" t="n">
        <v>52</v>
      </c>
      <c r="C252" s="76" t="inlineStr">
        <is>
          <t>R4</t>
        </is>
      </c>
      <c r="D252" s="78" t="inlineStr">
        <is>
          <t>NG</t>
        </is>
      </c>
      <c r="E252" s="76" t="inlineStr">
        <is>
          <t>S2</t>
        </is>
      </c>
      <c r="F252" s="76" t="inlineStr">
        <is>
          <t>K045</t>
        </is>
      </c>
      <c r="G252" s="75" t="n">
        <v>4.88</v>
      </c>
      <c r="H252" s="65" t="n"/>
      <c r="I252" s="66" t="n"/>
      <c r="J252" s="67">
        <f>VLOOKUP(C252,Recipes!$A$2:$N$4,10,FALSE())</f>
        <v/>
      </c>
      <c r="K252" s="68">
        <f>VLOOKUP(C252,Recipes!$A$2:$N$4,12,FALSE())</f>
        <v/>
      </c>
      <c r="L252" s="67">
        <f>J252-3*K252</f>
        <v/>
      </c>
      <c r="M252" s="67">
        <f>J252+3*K252</f>
        <v/>
      </c>
      <c r="N252" s="61">
        <f>IF(G252="","",IF(AND(G252&gt;=L252,G252&lt;=M252),"OK","NG"))</f>
        <v/>
      </c>
      <c r="O252" s="69">
        <f>IF(N252="","",IF(N252=D252,1,0))</f>
        <v/>
      </c>
      <c r="P252" s="67">
        <f>IF(G252="","",J252-G252)</f>
        <v/>
      </c>
      <c r="Q252" s="67">
        <f>IF(G252="","",ABS(P252-Components!$D$2))</f>
        <v/>
      </c>
      <c r="R252" s="67">
        <f>IF(G252="","",ABS(P252-Components!$D$3))</f>
        <v/>
      </c>
      <c r="S252" s="67">
        <f>IF(G252="","",ABS(P252-Components!$D$4))</f>
        <v/>
      </c>
      <c r="T252" s="67">
        <f>IF(G252="","",ABS(P252-Components!$D$5))</f>
        <v/>
      </c>
      <c r="U252" s="67">
        <f>IF(G252="","",ABS(P252-Components!$D$6))</f>
        <v/>
      </c>
      <c r="V252" s="67">
        <f>IF(G252="","",ABS(P252-Components!$D$7))</f>
        <v/>
      </c>
      <c r="W252" s="61">
        <f>IF(G252="","",IF(N252="OK","NONE",INDEX({"S1","S2","W1","W2","N1","N2"},MATCH(MIN(Q252:V252),Q252:V252,0))))</f>
        <v/>
      </c>
      <c r="X252" s="69">
        <f>IF(G252="","",IF(W252=E252,1,0))</f>
        <v/>
      </c>
      <c r="Y252" s="70" t="n"/>
    </row>
    <row r="253">
      <c r="A253" s="61" t="n">
        <v>8.9</v>
      </c>
      <c r="B253" s="62" t="n">
        <v>50.9</v>
      </c>
      <c r="C253" s="61" t="inlineStr">
        <is>
          <t>R4</t>
        </is>
      </c>
      <c r="D253" s="74" t="inlineStr">
        <is>
          <t>NG</t>
        </is>
      </c>
      <c r="E253" s="61" t="inlineStr">
        <is>
          <t>S2</t>
        </is>
      </c>
      <c r="F253" s="61" t="inlineStr">
        <is>
          <t>K038</t>
        </is>
      </c>
      <c r="G253" s="75" t="n">
        <v>4.83</v>
      </c>
      <c r="H253" s="65" t="n"/>
      <c r="I253" s="66" t="n"/>
      <c r="J253" s="67">
        <f>VLOOKUP(C253,Recipes!$A$2:$N$4,10,FALSE())</f>
        <v/>
      </c>
      <c r="K253" s="68">
        <f>VLOOKUP(C253,Recipes!$A$2:$N$4,12,FALSE())</f>
        <v/>
      </c>
      <c r="L253" s="67">
        <f>J253-3*K253</f>
        <v/>
      </c>
      <c r="M253" s="67">
        <f>J253+3*K253</f>
        <v/>
      </c>
      <c r="N253" s="61">
        <f>IF(G253="","",IF(AND(G253&gt;=L253,G253&lt;=M253),"OK","NG"))</f>
        <v/>
      </c>
      <c r="O253" s="69">
        <f>IF(N253="","",IF(N253=D253,1,0))</f>
        <v/>
      </c>
      <c r="P253" s="67">
        <f>IF(G253="","",J253-G253)</f>
        <v/>
      </c>
      <c r="Q253" s="67">
        <f>IF(G253="","",ABS(P253-Components!$D$2))</f>
        <v/>
      </c>
      <c r="R253" s="67">
        <f>IF(G253="","",ABS(P253-Components!$D$3))</f>
        <v/>
      </c>
      <c r="S253" s="67">
        <f>IF(G253="","",ABS(P253-Components!$D$4))</f>
        <v/>
      </c>
      <c r="T253" s="67">
        <f>IF(G253="","",ABS(P253-Components!$D$5))</f>
        <v/>
      </c>
      <c r="U253" s="67">
        <f>IF(G253="","",ABS(P253-Components!$D$6))</f>
        <v/>
      </c>
      <c r="V253" s="67">
        <f>IF(G253="","",ABS(P253-Components!$D$7))</f>
        <v/>
      </c>
      <c r="W253" s="61">
        <f>IF(G253="","",IF(N253="OK","NONE",INDEX({"S1","S2","W1","W2","N1","N2"},MATCH(MIN(Q253:V253),Q253:V253,0))))</f>
        <v/>
      </c>
      <c r="X253" s="69">
        <f>IF(G253="","",IF(W253=E253,1,0))</f>
        <v/>
      </c>
      <c r="Y253" s="70" t="n"/>
    </row>
    <row r="254">
      <c r="A254" s="61" t="n">
        <v>10.8</v>
      </c>
      <c r="B254" s="62" t="n">
        <v>49.8</v>
      </c>
      <c r="C254" s="61" t="inlineStr">
        <is>
          <t>R4</t>
        </is>
      </c>
      <c r="D254" s="74" t="inlineStr">
        <is>
          <t>NG</t>
        </is>
      </c>
      <c r="E254" s="61" t="inlineStr">
        <is>
          <t>S2</t>
        </is>
      </c>
      <c r="F254" s="61" t="inlineStr">
        <is>
          <t>K039</t>
        </is>
      </c>
      <c r="G254" s="75" t="n">
        <v>4.87</v>
      </c>
      <c r="H254" s="65" t="n"/>
      <c r="I254" s="66" t="n"/>
      <c r="J254" s="67">
        <f>VLOOKUP(C254,Recipes!$A$2:$N$4,10,FALSE())</f>
        <v/>
      </c>
      <c r="K254" s="68">
        <f>VLOOKUP(C254,Recipes!$A$2:$N$4,12,FALSE())</f>
        <v/>
      </c>
      <c r="L254" s="67">
        <f>J254-3*K254</f>
        <v/>
      </c>
      <c r="M254" s="67">
        <f>J254+3*K254</f>
        <v/>
      </c>
      <c r="N254" s="61">
        <f>IF(G254="","",IF(AND(G254&gt;=L254,G254&lt;=M254),"OK","NG"))</f>
        <v/>
      </c>
      <c r="O254" s="69">
        <f>IF(N254="","",IF(N254=D254,1,0))</f>
        <v/>
      </c>
      <c r="P254" s="67">
        <f>IF(G254="","",J254-G254)</f>
        <v/>
      </c>
      <c r="Q254" s="67">
        <f>IF(G254="","",ABS(P254-Components!$D$2))</f>
        <v/>
      </c>
      <c r="R254" s="67">
        <f>IF(G254="","",ABS(P254-Components!$D$3))</f>
        <v/>
      </c>
      <c r="S254" s="67">
        <f>IF(G254="","",ABS(P254-Components!$D$4))</f>
        <v/>
      </c>
      <c r="T254" s="67">
        <f>IF(G254="","",ABS(P254-Components!$D$5))</f>
        <v/>
      </c>
      <c r="U254" s="67">
        <f>IF(G254="","",ABS(P254-Components!$D$6))</f>
        <v/>
      </c>
      <c r="V254" s="67">
        <f>IF(G254="","",ABS(P254-Components!$D$7))</f>
        <v/>
      </c>
      <c r="W254" s="61">
        <f>IF(G254="","",IF(N254="OK","NONE",INDEX({"S1","S2","W1","W2","N1","N2"},MATCH(MIN(Q254:V254),Q254:V254,0))))</f>
        <v/>
      </c>
      <c r="X254" s="69">
        <f>IF(G254="","",IF(W254=E254,1,0))</f>
        <v/>
      </c>
      <c r="Y254" s="70" t="n"/>
    </row>
    <row r="255">
      <c r="A255" s="61" t="n">
        <v>12.7</v>
      </c>
      <c r="B255" s="62" t="n">
        <v>48.7</v>
      </c>
      <c r="C255" s="61" t="inlineStr">
        <is>
          <t>R4</t>
        </is>
      </c>
      <c r="D255" s="74" t="inlineStr">
        <is>
          <t>NG</t>
        </is>
      </c>
      <c r="E255" s="61" t="inlineStr">
        <is>
          <t>S2</t>
        </is>
      </c>
      <c r="F255" s="61" t="inlineStr">
        <is>
          <t>K040</t>
        </is>
      </c>
      <c r="G255" s="75" t="n">
        <v>4.93</v>
      </c>
      <c r="H255" s="65" t="n"/>
      <c r="I255" s="66" t="n"/>
      <c r="J255" s="67">
        <f>VLOOKUP(C255,Recipes!$A$2:$N$4,10,FALSE())</f>
        <v/>
      </c>
      <c r="K255" s="68">
        <f>VLOOKUP(C255,Recipes!$A$2:$N$4,12,FALSE())</f>
        <v/>
      </c>
      <c r="L255" s="67">
        <f>J255-3*K255</f>
        <v/>
      </c>
      <c r="M255" s="67">
        <f>J255+3*K255</f>
        <v/>
      </c>
      <c r="N255" s="61">
        <f>IF(G255="","",IF(AND(G255&gt;=L255,G255&lt;=M255),"OK","NG"))</f>
        <v/>
      </c>
      <c r="O255" s="69">
        <f>IF(N255="","",IF(N255=D255,1,0))</f>
        <v/>
      </c>
      <c r="P255" s="67">
        <f>IF(G255="","",J255-G255)</f>
        <v/>
      </c>
      <c r="Q255" s="67">
        <f>IF(G255="","",ABS(P255-Components!$D$2))</f>
        <v/>
      </c>
      <c r="R255" s="67">
        <f>IF(G255="","",ABS(P255-Components!$D$3))</f>
        <v/>
      </c>
      <c r="S255" s="67">
        <f>IF(G255="","",ABS(P255-Components!$D$4))</f>
        <v/>
      </c>
      <c r="T255" s="67">
        <f>IF(G255="","",ABS(P255-Components!$D$5))</f>
        <v/>
      </c>
      <c r="U255" s="67">
        <f>IF(G255="","",ABS(P255-Components!$D$6))</f>
        <v/>
      </c>
      <c r="V255" s="67">
        <f>IF(G255="","",ABS(P255-Components!$D$7))</f>
        <v/>
      </c>
      <c r="W255" s="61">
        <f>IF(G255="","",IF(N255="OK","NONE",INDEX({"S1","S2","W1","W2","N1","N2"},MATCH(MIN(Q255:V255),Q255:V255,0))))</f>
        <v/>
      </c>
      <c r="X255" s="69">
        <f>IF(G255="","",IF(W255=E255,1,0))</f>
        <v/>
      </c>
      <c r="Y255" s="70" t="n"/>
    </row>
    <row r="256">
      <c r="A256" s="76" t="n">
        <v>14.6</v>
      </c>
      <c r="B256" s="77" t="n">
        <v>47.6</v>
      </c>
      <c r="C256" s="76" t="inlineStr">
        <is>
          <t>R4</t>
        </is>
      </c>
      <c r="D256" s="78" t="inlineStr">
        <is>
          <t>NG</t>
        </is>
      </c>
      <c r="E256" s="76" t="inlineStr">
        <is>
          <t>S2</t>
        </is>
      </c>
      <c r="F256" s="76" t="inlineStr">
        <is>
          <t>K044</t>
        </is>
      </c>
      <c r="G256" s="75" t="n">
        <v>4.91</v>
      </c>
      <c r="H256" s="65" t="n"/>
      <c r="I256" s="66" t="n"/>
      <c r="J256" s="67">
        <f>VLOOKUP(C256,Recipes!$A$2:$N$4,10,FALSE())</f>
        <v/>
      </c>
      <c r="K256" s="68">
        <f>VLOOKUP(C256,Recipes!$A$2:$N$4,12,FALSE())</f>
        <v/>
      </c>
      <c r="L256" s="67">
        <f>J256-3*K256</f>
        <v/>
      </c>
      <c r="M256" s="67">
        <f>J256+3*K256</f>
        <v/>
      </c>
      <c r="N256" s="61">
        <f>IF(G256="","",IF(AND(G256&gt;=L256,G256&lt;=M256),"OK","NG"))</f>
        <v/>
      </c>
      <c r="O256" s="69">
        <f>IF(N256="","",IF(N256=D256,1,0))</f>
        <v/>
      </c>
      <c r="P256" s="67">
        <f>IF(G256="","",J256-G256)</f>
        <v/>
      </c>
      <c r="Q256" s="67">
        <f>IF(G256="","",ABS(P256-Components!$D$2))</f>
        <v/>
      </c>
      <c r="R256" s="67">
        <f>IF(G256="","",ABS(P256-Components!$D$3))</f>
        <v/>
      </c>
      <c r="S256" s="67">
        <f>IF(G256="","",ABS(P256-Components!$D$4))</f>
        <v/>
      </c>
      <c r="T256" s="67">
        <f>IF(G256="","",ABS(P256-Components!$D$5))</f>
        <v/>
      </c>
      <c r="U256" s="67">
        <f>IF(G256="","",ABS(P256-Components!$D$6))</f>
        <v/>
      </c>
      <c r="V256" s="67">
        <f>IF(G256="","",ABS(P256-Components!$D$7))</f>
        <v/>
      </c>
      <c r="W256" s="61">
        <f>IF(G256="","",IF(N256="OK","NONE",INDEX({"S1","S2","W1","W2","N1","N2"},MATCH(MIN(Q256:V256),Q256:V256,0))))</f>
        <v/>
      </c>
      <c r="X256" s="69">
        <f>IF(G256="","",IF(W256=E256,1,0))</f>
        <v/>
      </c>
      <c r="Y256" s="70" t="n"/>
    </row>
    <row r="257">
      <c r="A257" s="76" t="n">
        <v>16.5</v>
      </c>
      <c r="B257" s="77" t="n">
        <v>46.5</v>
      </c>
      <c r="C257" s="76" t="inlineStr">
        <is>
          <t>R4</t>
        </is>
      </c>
      <c r="D257" s="78" t="inlineStr">
        <is>
          <t>NG</t>
        </is>
      </c>
      <c r="E257" s="76" t="inlineStr">
        <is>
          <t>S2</t>
        </is>
      </c>
      <c r="F257" s="76" t="inlineStr">
        <is>
          <t>K045</t>
        </is>
      </c>
      <c r="G257" s="75" t="n">
        <v>4.88</v>
      </c>
      <c r="H257" s="65" t="n"/>
      <c r="I257" s="66" t="n"/>
      <c r="J257" s="67">
        <f>VLOOKUP(C257,Recipes!$A$2:$N$4,10,FALSE())</f>
        <v/>
      </c>
      <c r="K257" s="68">
        <f>VLOOKUP(C257,Recipes!$A$2:$N$4,12,FALSE())</f>
        <v/>
      </c>
      <c r="L257" s="67">
        <f>J257-3*K257</f>
        <v/>
      </c>
      <c r="M257" s="67">
        <f>J257+3*K257</f>
        <v/>
      </c>
      <c r="N257" s="61">
        <f>IF(G257="","",IF(AND(G257&gt;=L257,G257&lt;=M257),"OK","NG"))</f>
        <v/>
      </c>
      <c r="O257" s="69">
        <f>IF(N257="","",IF(N257=D257,1,0))</f>
        <v/>
      </c>
      <c r="P257" s="67">
        <f>IF(G257="","",J257-G257)</f>
        <v/>
      </c>
      <c r="Q257" s="67">
        <f>IF(G257="","",ABS(P257-Components!$D$2))</f>
        <v/>
      </c>
      <c r="R257" s="67">
        <f>IF(G257="","",ABS(P257-Components!$D$3))</f>
        <v/>
      </c>
      <c r="S257" s="67">
        <f>IF(G257="","",ABS(P257-Components!$D$4))</f>
        <v/>
      </c>
      <c r="T257" s="67">
        <f>IF(G257="","",ABS(P257-Components!$D$5))</f>
        <v/>
      </c>
      <c r="U257" s="67">
        <f>IF(G257="","",ABS(P257-Components!$D$6))</f>
        <v/>
      </c>
      <c r="V257" s="67">
        <f>IF(G257="","",ABS(P257-Components!$D$7))</f>
        <v/>
      </c>
      <c r="W257" s="61">
        <f>IF(G257="","",IF(N257="OK","NONE",INDEX({"S1","S2","W1","W2","N1","N2"},MATCH(MIN(Q257:V257),Q257:V257,0))))</f>
        <v/>
      </c>
      <c r="X257" s="69">
        <f>IF(G257="","",IF(W257=E257,1,0))</f>
        <v/>
      </c>
      <c r="Y257" s="70" t="n"/>
    </row>
    <row r="258">
      <c r="A258" s="61" t="n">
        <v>18.4</v>
      </c>
      <c r="B258" s="62" t="n">
        <v>45.4</v>
      </c>
      <c r="C258" s="61" t="inlineStr">
        <is>
          <t>R4</t>
        </is>
      </c>
      <c r="D258" s="74" t="inlineStr">
        <is>
          <t>NG</t>
        </is>
      </c>
      <c r="E258" s="61" t="inlineStr">
        <is>
          <t>S2</t>
        </is>
      </c>
      <c r="F258" s="61" t="inlineStr">
        <is>
          <t>K038</t>
        </is>
      </c>
      <c r="G258" s="75" t="n">
        <v>4.87</v>
      </c>
      <c r="H258" s="65" t="n"/>
      <c r="I258" s="66" t="n"/>
      <c r="J258" s="67">
        <f>VLOOKUP(C258,Recipes!$A$2:$N$4,10,FALSE())</f>
        <v/>
      </c>
      <c r="K258" s="68">
        <f>VLOOKUP(C258,Recipes!$A$2:$N$4,12,FALSE())</f>
        <v/>
      </c>
      <c r="L258" s="67">
        <f>J258-3*K258</f>
        <v/>
      </c>
      <c r="M258" s="67">
        <f>J258+3*K258</f>
        <v/>
      </c>
      <c r="N258" s="61">
        <f>IF(G258="","",IF(AND(G258&gt;=L258,G258&lt;=M258),"OK","NG"))</f>
        <v/>
      </c>
      <c r="O258" s="69">
        <f>IF(N258="","",IF(N258=D258,1,0))</f>
        <v/>
      </c>
      <c r="P258" s="67">
        <f>IF(G258="","",J258-G258)</f>
        <v/>
      </c>
      <c r="Q258" s="67">
        <f>IF(G258="","",ABS(P258-Components!$D$2))</f>
        <v/>
      </c>
      <c r="R258" s="67">
        <f>IF(G258="","",ABS(P258-Components!$D$3))</f>
        <v/>
      </c>
      <c r="S258" s="67">
        <f>IF(G258="","",ABS(P258-Components!$D$4))</f>
        <v/>
      </c>
      <c r="T258" s="67">
        <f>IF(G258="","",ABS(P258-Components!$D$5))</f>
        <v/>
      </c>
      <c r="U258" s="67">
        <f>IF(G258="","",ABS(P258-Components!$D$6))</f>
        <v/>
      </c>
      <c r="V258" s="67">
        <f>IF(G258="","",ABS(P258-Components!$D$7))</f>
        <v/>
      </c>
      <c r="W258" s="61">
        <f>IF(G258="","",IF(N258="OK","NONE",INDEX({"S1","S2","W1","W2","N1","N2"},MATCH(MIN(Q258:V258),Q258:V258,0))))</f>
        <v/>
      </c>
      <c r="X258" s="69">
        <f>IF(G258="","",IF(W258=E258,1,0))</f>
        <v/>
      </c>
      <c r="Y258" s="70" t="n"/>
    </row>
    <row r="259">
      <c r="A259" s="61" t="n">
        <v>20.3</v>
      </c>
      <c r="B259" s="62" t="n">
        <v>44.3</v>
      </c>
      <c r="C259" s="61" t="inlineStr">
        <is>
          <t>R4</t>
        </is>
      </c>
      <c r="D259" s="74" t="inlineStr">
        <is>
          <t>NG</t>
        </is>
      </c>
      <c r="E259" s="61" t="inlineStr">
        <is>
          <t>S2</t>
        </is>
      </c>
      <c r="F259" s="61" t="inlineStr">
        <is>
          <t>K039</t>
        </is>
      </c>
      <c r="G259" s="75" t="n">
        <v>4.91</v>
      </c>
      <c r="H259" s="65" t="n"/>
      <c r="I259" s="66" t="n"/>
      <c r="J259" s="67">
        <f>VLOOKUP(C259,Recipes!$A$2:$N$4,10,FALSE())</f>
        <v/>
      </c>
      <c r="K259" s="68">
        <f>VLOOKUP(C259,Recipes!$A$2:$N$4,12,FALSE())</f>
        <v/>
      </c>
      <c r="L259" s="67">
        <f>J259-3*K259</f>
        <v/>
      </c>
      <c r="M259" s="67">
        <f>J259+3*K259</f>
        <v/>
      </c>
      <c r="N259" s="61">
        <f>IF(G259="","",IF(AND(G259&gt;=L259,G259&lt;=M259),"OK","NG"))</f>
        <v/>
      </c>
      <c r="O259" s="69">
        <f>IF(N259="","",IF(N259=D259,1,0))</f>
        <v/>
      </c>
      <c r="P259" s="67">
        <f>IF(G259="","",J259-G259)</f>
        <v/>
      </c>
      <c r="Q259" s="67">
        <f>IF(G259="","",ABS(P259-Components!$D$2))</f>
        <v/>
      </c>
      <c r="R259" s="67">
        <f>IF(G259="","",ABS(P259-Components!$D$3))</f>
        <v/>
      </c>
      <c r="S259" s="67">
        <f>IF(G259="","",ABS(P259-Components!$D$4))</f>
        <v/>
      </c>
      <c r="T259" s="67">
        <f>IF(G259="","",ABS(P259-Components!$D$5))</f>
        <v/>
      </c>
      <c r="U259" s="67">
        <f>IF(G259="","",ABS(P259-Components!$D$6))</f>
        <v/>
      </c>
      <c r="V259" s="67">
        <f>IF(G259="","",ABS(P259-Components!$D$7))</f>
        <v/>
      </c>
      <c r="W259" s="61">
        <f>IF(G259="","",IF(N259="OK","NONE",INDEX({"S1","S2","W1","W2","N1","N2"},MATCH(MIN(Q259:V259),Q259:V259,0))))</f>
        <v/>
      </c>
      <c r="X259" s="69">
        <f>IF(G259="","",IF(W259=E259,1,0))</f>
        <v/>
      </c>
      <c r="Y259" s="70" t="n"/>
    </row>
    <row r="260">
      <c r="A260" s="61" t="n">
        <v>22.2</v>
      </c>
      <c r="B260" s="62" t="n">
        <v>43.2</v>
      </c>
      <c r="C260" s="61" t="inlineStr">
        <is>
          <t>R4</t>
        </is>
      </c>
      <c r="D260" s="74" t="inlineStr">
        <is>
          <t>NG</t>
        </is>
      </c>
      <c r="E260" s="61" t="inlineStr">
        <is>
          <t>S2</t>
        </is>
      </c>
      <c r="F260" s="61" t="inlineStr">
        <is>
          <t>K040</t>
        </is>
      </c>
      <c r="G260" s="75" t="n">
        <v>4.67</v>
      </c>
      <c r="H260" s="65" t="n"/>
      <c r="I260" s="66" t="n"/>
      <c r="J260" s="67">
        <f>VLOOKUP(C260,Recipes!$A$2:$N$4,10,FALSE())</f>
        <v/>
      </c>
      <c r="K260" s="68">
        <f>VLOOKUP(C260,Recipes!$A$2:$N$4,12,FALSE())</f>
        <v/>
      </c>
      <c r="L260" s="67">
        <f>J260-3*K260</f>
        <v/>
      </c>
      <c r="M260" s="67">
        <f>J260+3*K260</f>
        <v/>
      </c>
      <c r="N260" s="61">
        <f>IF(G260="","",IF(AND(G260&gt;=L260,G260&lt;=M260),"OK","NG"))</f>
        <v/>
      </c>
      <c r="O260" s="69">
        <f>IF(N260="","",IF(N260=D260,1,0))</f>
        <v/>
      </c>
      <c r="P260" s="67">
        <f>IF(G260="","",J260-G260)</f>
        <v/>
      </c>
      <c r="Q260" s="67">
        <f>IF(G260="","",ABS(P260-Components!$D$2))</f>
        <v/>
      </c>
      <c r="R260" s="67">
        <f>IF(G260="","",ABS(P260-Components!$D$3))</f>
        <v/>
      </c>
      <c r="S260" s="67">
        <f>IF(G260="","",ABS(P260-Components!$D$4))</f>
        <v/>
      </c>
      <c r="T260" s="67">
        <f>IF(G260="","",ABS(P260-Components!$D$5))</f>
        <v/>
      </c>
      <c r="U260" s="67">
        <f>IF(G260="","",ABS(P260-Components!$D$6))</f>
        <v/>
      </c>
      <c r="V260" s="67">
        <f>IF(G260="","",ABS(P260-Components!$D$7))</f>
        <v/>
      </c>
      <c r="W260" s="61">
        <f>IF(G260="","",IF(N260="OK","NONE",INDEX({"S1","S2","W1","W2","N1","N2"},MATCH(MIN(Q260:V260),Q260:V260,0))))</f>
        <v/>
      </c>
      <c r="X260" s="69">
        <f>IF(G260="","",IF(W260=E260,1,0))</f>
        <v/>
      </c>
      <c r="Y260" s="70" t="n"/>
    </row>
    <row r="261">
      <c r="A261" s="76" t="n">
        <v>24.1</v>
      </c>
      <c r="B261" s="77" t="n">
        <v>42.1</v>
      </c>
      <c r="C261" s="76" t="inlineStr">
        <is>
          <t>R4</t>
        </is>
      </c>
      <c r="D261" s="78" t="inlineStr">
        <is>
          <t>NG</t>
        </is>
      </c>
      <c r="E261" s="76" t="inlineStr">
        <is>
          <t>S2</t>
        </is>
      </c>
      <c r="F261" s="76" t="inlineStr">
        <is>
          <t>K044</t>
        </is>
      </c>
      <c r="G261" s="75" t="n">
        <v>4.86</v>
      </c>
      <c r="H261" s="65" t="n"/>
      <c r="I261" s="66" t="n"/>
      <c r="J261" s="67">
        <f>VLOOKUP(C261,Recipes!$A$2:$N$4,10,FALSE())</f>
        <v/>
      </c>
      <c r="K261" s="68">
        <f>VLOOKUP(C261,Recipes!$A$2:$N$4,12,FALSE())</f>
        <v/>
      </c>
      <c r="L261" s="67">
        <f>J261-3*K261</f>
        <v/>
      </c>
      <c r="M261" s="67">
        <f>J261+3*K261</f>
        <v/>
      </c>
      <c r="N261" s="61">
        <f>IF(G261="","",IF(AND(G261&gt;=L261,G261&lt;=M261),"OK","NG"))</f>
        <v/>
      </c>
      <c r="O261" s="69">
        <f>IF(N261="","",IF(N261=D261,1,0))</f>
        <v/>
      </c>
      <c r="P261" s="67">
        <f>IF(G261="","",J261-G261)</f>
        <v/>
      </c>
      <c r="Q261" s="67">
        <f>IF(G261="","",ABS(P261-Components!$D$2))</f>
        <v/>
      </c>
      <c r="R261" s="67">
        <f>IF(G261="","",ABS(P261-Components!$D$3))</f>
        <v/>
      </c>
      <c r="S261" s="67">
        <f>IF(G261="","",ABS(P261-Components!$D$4))</f>
        <v/>
      </c>
      <c r="T261" s="67">
        <f>IF(G261="","",ABS(P261-Components!$D$5))</f>
        <v/>
      </c>
      <c r="U261" s="67">
        <f>IF(G261="","",ABS(P261-Components!$D$6))</f>
        <v/>
      </c>
      <c r="V261" s="67">
        <f>IF(G261="","",ABS(P261-Components!$D$7))</f>
        <v/>
      </c>
      <c r="W261" s="61">
        <f>IF(G261="","",IF(N261="OK","NONE",INDEX({"S1","S2","W1","W2","N1","N2"},MATCH(MIN(Q261:V261),Q261:V261,0))))</f>
        <v/>
      </c>
      <c r="X261" s="69">
        <f>IF(G261="","",IF(W261=E261,1,0))</f>
        <v/>
      </c>
      <c r="Y261" s="70" t="n"/>
    </row>
    <row r="262">
      <c r="A262" s="76" t="n">
        <v>26</v>
      </c>
      <c r="B262" s="77" t="n">
        <v>41</v>
      </c>
      <c r="C262" s="76" t="inlineStr">
        <is>
          <t>R4</t>
        </is>
      </c>
      <c r="D262" s="78" t="inlineStr">
        <is>
          <t>NG</t>
        </is>
      </c>
      <c r="E262" s="76" t="inlineStr">
        <is>
          <t>S2</t>
        </is>
      </c>
      <c r="F262" s="76" t="inlineStr">
        <is>
          <t>K045</t>
        </is>
      </c>
      <c r="G262" s="75" t="n">
        <v>4.75</v>
      </c>
      <c r="H262" s="65" t="n"/>
      <c r="I262" s="66" t="n"/>
      <c r="J262" s="67">
        <f>VLOOKUP(C262,Recipes!$A$2:$N$4,10,FALSE())</f>
        <v/>
      </c>
      <c r="K262" s="68">
        <f>VLOOKUP(C262,Recipes!$A$2:$N$4,12,FALSE())</f>
        <v/>
      </c>
      <c r="L262" s="67">
        <f>J262-3*K262</f>
        <v/>
      </c>
      <c r="M262" s="67">
        <f>J262+3*K262</f>
        <v/>
      </c>
      <c r="N262" s="61">
        <f>IF(G262="","",IF(AND(G262&gt;=L262,G262&lt;=M262),"OK","NG"))</f>
        <v/>
      </c>
      <c r="O262" s="69">
        <f>IF(N262="","",IF(N262=D262,1,0))</f>
        <v/>
      </c>
      <c r="P262" s="67">
        <f>IF(G262="","",J262-G262)</f>
        <v/>
      </c>
      <c r="Q262" s="67">
        <f>IF(G262="","",ABS(P262-Components!$D$2))</f>
        <v/>
      </c>
      <c r="R262" s="67">
        <f>IF(G262="","",ABS(P262-Components!$D$3))</f>
        <v/>
      </c>
      <c r="S262" s="67">
        <f>IF(G262="","",ABS(P262-Components!$D$4))</f>
        <v/>
      </c>
      <c r="T262" s="67">
        <f>IF(G262="","",ABS(P262-Components!$D$5))</f>
        <v/>
      </c>
      <c r="U262" s="67">
        <f>IF(G262="","",ABS(P262-Components!$D$6))</f>
        <v/>
      </c>
      <c r="V262" s="67">
        <f>IF(G262="","",ABS(P262-Components!$D$7))</f>
        <v/>
      </c>
      <c r="W262" s="61">
        <f>IF(G262="","",IF(N262="OK","NONE",INDEX({"S1","S2","W1","W2","N1","N2"},MATCH(MIN(Q262:V262),Q262:V262,0))))</f>
        <v/>
      </c>
      <c r="X262" s="69">
        <f>IF(G262="","",IF(W262=E262,1,0))</f>
        <v/>
      </c>
      <c r="Y262" s="70" t="n"/>
    </row>
    <row r="263">
      <c r="A263" s="61" t="n">
        <v>27.9</v>
      </c>
      <c r="B263" s="62" t="n">
        <v>39.9</v>
      </c>
      <c r="C263" s="61" t="inlineStr">
        <is>
          <t>R4</t>
        </is>
      </c>
      <c r="D263" s="74" t="inlineStr">
        <is>
          <t>NG</t>
        </is>
      </c>
      <c r="E263" s="61" t="inlineStr">
        <is>
          <t>S2</t>
        </is>
      </c>
      <c r="F263" s="61" t="inlineStr">
        <is>
          <t>K038</t>
        </is>
      </c>
      <c r="G263" s="75" t="n">
        <v>4.91</v>
      </c>
      <c r="H263" s="65" t="n"/>
      <c r="I263" s="66" t="n"/>
      <c r="J263" s="67">
        <f>VLOOKUP(C263,Recipes!$A$2:$N$4,10,FALSE())</f>
        <v/>
      </c>
      <c r="K263" s="68">
        <f>VLOOKUP(C263,Recipes!$A$2:$N$4,12,FALSE())</f>
        <v/>
      </c>
      <c r="L263" s="67">
        <f>J263-3*K263</f>
        <v/>
      </c>
      <c r="M263" s="67">
        <f>J263+3*K263</f>
        <v/>
      </c>
      <c r="N263" s="61">
        <f>IF(G263="","",IF(AND(G263&gt;=L263,G263&lt;=M263),"OK","NG"))</f>
        <v/>
      </c>
      <c r="O263" s="69">
        <f>IF(N263="","",IF(N263=D263,1,0))</f>
        <v/>
      </c>
      <c r="P263" s="67">
        <f>IF(G263="","",J263-G263)</f>
        <v/>
      </c>
      <c r="Q263" s="67">
        <f>IF(G263="","",ABS(P263-Components!$D$2))</f>
        <v/>
      </c>
      <c r="R263" s="67">
        <f>IF(G263="","",ABS(P263-Components!$D$3))</f>
        <v/>
      </c>
      <c r="S263" s="67">
        <f>IF(G263="","",ABS(P263-Components!$D$4))</f>
        <v/>
      </c>
      <c r="T263" s="67">
        <f>IF(G263="","",ABS(P263-Components!$D$5))</f>
        <v/>
      </c>
      <c r="U263" s="67">
        <f>IF(G263="","",ABS(P263-Components!$D$6))</f>
        <v/>
      </c>
      <c r="V263" s="67">
        <f>IF(G263="","",ABS(P263-Components!$D$7))</f>
        <v/>
      </c>
      <c r="W263" s="61">
        <f>IF(G263="","",IF(N263="OK","NONE",INDEX({"S1","S2","W1","W2","N1","N2"},MATCH(MIN(Q263:V263),Q263:V263,0))))</f>
        <v/>
      </c>
      <c r="X263" s="69">
        <f>IF(G263="","",IF(W263=E263,1,0))</f>
        <v/>
      </c>
      <c r="Y263" s="70" t="n"/>
    </row>
    <row r="264">
      <c r="A264" s="61" t="n">
        <v>29.8</v>
      </c>
      <c r="B264" s="62" t="n">
        <v>38.8</v>
      </c>
      <c r="C264" s="61" t="inlineStr">
        <is>
          <t>R4</t>
        </is>
      </c>
      <c r="D264" s="74" t="inlineStr">
        <is>
          <t>NG</t>
        </is>
      </c>
      <c r="E264" s="61" t="inlineStr">
        <is>
          <t>S2</t>
        </is>
      </c>
      <c r="F264" s="61" t="inlineStr">
        <is>
          <t>K039</t>
        </is>
      </c>
      <c r="G264" s="75" t="n">
        <v>4.82</v>
      </c>
      <c r="H264" s="65" t="n"/>
      <c r="I264" s="66" t="n"/>
      <c r="J264" s="67">
        <f>VLOOKUP(C264,Recipes!$A$2:$N$4,10,FALSE())</f>
        <v/>
      </c>
      <c r="K264" s="68">
        <f>VLOOKUP(C264,Recipes!$A$2:$N$4,12,FALSE())</f>
        <v/>
      </c>
      <c r="L264" s="67">
        <f>J264-3*K264</f>
        <v/>
      </c>
      <c r="M264" s="67">
        <f>J264+3*K264</f>
        <v/>
      </c>
      <c r="N264" s="61">
        <f>IF(G264="","",IF(AND(G264&gt;=L264,G264&lt;=M264),"OK","NG"))</f>
        <v/>
      </c>
      <c r="O264" s="69">
        <f>IF(N264="","",IF(N264=D264,1,0))</f>
        <v/>
      </c>
      <c r="P264" s="67">
        <f>IF(G264="","",J264-G264)</f>
        <v/>
      </c>
      <c r="Q264" s="67">
        <f>IF(G264="","",ABS(P264-Components!$D$2))</f>
        <v/>
      </c>
      <c r="R264" s="67">
        <f>IF(G264="","",ABS(P264-Components!$D$3))</f>
        <v/>
      </c>
      <c r="S264" s="67">
        <f>IF(G264="","",ABS(P264-Components!$D$4))</f>
        <v/>
      </c>
      <c r="T264" s="67">
        <f>IF(G264="","",ABS(P264-Components!$D$5))</f>
        <v/>
      </c>
      <c r="U264" s="67">
        <f>IF(G264="","",ABS(P264-Components!$D$6))</f>
        <v/>
      </c>
      <c r="V264" s="67">
        <f>IF(G264="","",ABS(P264-Components!$D$7))</f>
        <v/>
      </c>
      <c r="W264" s="61">
        <f>IF(G264="","",IF(N264="OK","NONE",INDEX({"S1","S2","W1","W2","N1","N2"},MATCH(MIN(Q264:V264),Q264:V264,0))))</f>
        <v/>
      </c>
      <c r="X264" s="69">
        <f>IF(G264="","",IF(W264=E264,1,0))</f>
        <v/>
      </c>
      <c r="Y264" s="70" t="n"/>
    </row>
    <row r="265">
      <c r="A265" s="61" t="n">
        <v>31.7</v>
      </c>
      <c r="B265" s="62" t="n">
        <v>37.7</v>
      </c>
      <c r="C265" s="61" t="inlineStr">
        <is>
          <t>R4</t>
        </is>
      </c>
      <c r="D265" s="74" t="inlineStr">
        <is>
          <t>NG</t>
        </is>
      </c>
      <c r="E265" s="61" t="inlineStr">
        <is>
          <t>S2</t>
        </is>
      </c>
      <c r="F265" s="61" t="inlineStr">
        <is>
          <t>K040</t>
        </is>
      </c>
      <c r="G265" s="75" t="n">
        <v>4.83</v>
      </c>
      <c r="H265" s="65" t="n"/>
      <c r="I265" s="66" t="n"/>
      <c r="J265" s="67">
        <f>VLOOKUP(C265,Recipes!$A$2:$N$4,10,FALSE())</f>
        <v/>
      </c>
      <c r="K265" s="68">
        <f>VLOOKUP(C265,Recipes!$A$2:$N$4,12,FALSE())</f>
        <v/>
      </c>
      <c r="L265" s="67">
        <f>J265-3*K265</f>
        <v/>
      </c>
      <c r="M265" s="67">
        <f>J265+3*K265</f>
        <v/>
      </c>
      <c r="N265" s="61">
        <f>IF(G265="","",IF(AND(G265&gt;=L265,G265&lt;=M265),"OK","NG"))</f>
        <v/>
      </c>
      <c r="O265" s="69">
        <f>IF(N265="","",IF(N265=D265,1,0))</f>
        <v/>
      </c>
      <c r="P265" s="67">
        <f>IF(G265="","",J265-G265)</f>
        <v/>
      </c>
      <c r="Q265" s="67">
        <f>IF(G265="","",ABS(P265-Components!$D$2))</f>
        <v/>
      </c>
      <c r="R265" s="67">
        <f>IF(G265="","",ABS(P265-Components!$D$3))</f>
        <v/>
      </c>
      <c r="S265" s="67">
        <f>IF(G265="","",ABS(P265-Components!$D$4))</f>
        <v/>
      </c>
      <c r="T265" s="67">
        <f>IF(G265="","",ABS(P265-Components!$D$5))</f>
        <v/>
      </c>
      <c r="U265" s="67">
        <f>IF(G265="","",ABS(P265-Components!$D$6))</f>
        <v/>
      </c>
      <c r="V265" s="67">
        <f>IF(G265="","",ABS(P265-Components!$D$7))</f>
        <v/>
      </c>
      <c r="W265" s="61">
        <f>IF(G265="","",IF(N265="OK","NONE",INDEX({"S1","S2","W1","W2","N1","N2"},MATCH(MIN(Q265:V265),Q265:V265,0))))</f>
        <v/>
      </c>
      <c r="X265" s="69">
        <f>IF(G265="","",IF(W265=E265,1,0))</f>
        <v/>
      </c>
      <c r="Y265" s="70" t="n"/>
    </row>
    <row r="266">
      <c r="A266" s="76" t="n">
        <v>33.6</v>
      </c>
      <c r="B266" s="77" t="n">
        <v>36.6</v>
      </c>
      <c r="C266" s="76" t="inlineStr">
        <is>
          <t>R4</t>
        </is>
      </c>
      <c r="D266" s="78" t="inlineStr">
        <is>
          <t>NG</t>
        </is>
      </c>
      <c r="E266" s="76" t="inlineStr">
        <is>
          <t>S2</t>
        </is>
      </c>
      <c r="F266" s="76" t="inlineStr">
        <is>
          <t>K044</t>
        </is>
      </c>
      <c r="G266" s="75" t="n">
        <v>4.78</v>
      </c>
      <c r="H266" s="65" t="n"/>
      <c r="I266" s="66" t="n"/>
      <c r="J266" s="67">
        <f>VLOOKUP(C266,Recipes!$A$2:$N$4,10,FALSE())</f>
        <v/>
      </c>
      <c r="K266" s="68">
        <f>VLOOKUP(C266,Recipes!$A$2:$N$4,12,FALSE())</f>
        <v/>
      </c>
      <c r="L266" s="67">
        <f>J266-3*K266</f>
        <v/>
      </c>
      <c r="M266" s="67">
        <f>J266+3*K266</f>
        <v/>
      </c>
      <c r="N266" s="61">
        <f>IF(G266="","",IF(AND(G266&gt;=L266,G266&lt;=M266),"OK","NG"))</f>
        <v/>
      </c>
      <c r="O266" s="69">
        <f>IF(N266="","",IF(N266=D266,1,0))</f>
        <v/>
      </c>
      <c r="P266" s="67">
        <f>IF(G266="","",J266-G266)</f>
        <v/>
      </c>
      <c r="Q266" s="67">
        <f>IF(G266="","",ABS(P266-Components!$D$2))</f>
        <v/>
      </c>
      <c r="R266" s="67">
        <f>IF(G266="","",ABS(P266-Components!$D$3))</f>
        <v/>
      </c>
      <c r="S266" s="67">
        <f>IF(G266="","",ABS(P266-Components!$D$4))</f>
        <v/>
      </c>
      <c r="T266" s="67">
        <f>IF(G266="","",ABS(P266-Components!$D$5))</f>
        <v/>
      </c>
      <c r="U266" s="67">
        <f>IF(G266="","",ABS(P266-Components!$D$6))</f>
        <v/>
      </c>
      <c r="V266" s="67">
        <f>IF(G266="","",ABS(P266-Components!$D$7))</f>
        <v/>
      </c>
      <c r="W266" s="61">
        <f>IF(G266="","",IF(N266="OK","NONE",INDEX({"S1","S2","W1","W2","N1","N2"},MATCH(MIN(Q266:V266),Q266:V266,0))))</f>
        <v/>
      </c>
      <c r="X266" s="69">
        <f>IF(G266="","",IF(W266=E266,1,0))</f>
        <v/>
      </c>
      <c r="Y266" s="70" t="n"/>
    </row>
    <row r="267">
      <c r="A267" s="76" t="n">
        <v>35.5</v>
      </c>
      <c r="B267" s="77" t="n">
        <v>35.5</v>
      </c>
      <c r="C267" s="76" t="inlineStr">
        <is>
          <t>R4</t>
        </is>
      </c>
      <c r="D267" s="78" t="inlineStr">
        <is>
          <t>NG</t>
        </is>
      </c>
      <c r="E267" s="76" t="inlineStr">
        <is>
          <t>S2</t>
        </is>
      </c>
      <c r="F267" s="76" t="inlineStr">
        <is>
          <t>K045</t>
        </is>
      </c>
      <c r="G267" s="75" t="n">
        <v>4.88</v>
      </c>
      <c r="H267" s="65" t="n"/>
      <c r="I267" s="66" t="n"/>
      <c r="J267" s="67">
        <f>VLOOKUP(C267,Recipes!$A$2:$N$4,10,FALSE())</f>
        <v/>
      </c>
      <c r="K267" s="68">
        <f>VLOOKUP(C267,Recipes!$A$2:$N$4,12,FALSE())</f>
        <v/>
      </c>
      <c r="L267" s="67">
        <f>J267-3*K267</f>
        <v/>
      </c>
      <c r="M267" s="67">
        <f>J267+3*K267</f>
        <v/>
      </c>
      <c r="N267" s="61">
        <f>IF(G267="","",IF(AND(G267&gt;=L267,G267&lt;=M267),"OK","NG"))</f>
        <v/>
      </c>
      <c r="O267" s="69">
        <f>IF(N267="","",IF(N267=D267,1,0))</f>
        <v/>
      </c>
      <c r="P267" s="67">
        <f>IF(G267="","",J267-G267)</f>
        <v/>
      </c>
      <c r="Q267" s="67">
        <f>IF(G267="","",ABS(P267-Components!$D$2))</f>
        <v/>
      </c>
      <c r="R267" s="67">
        <f>IF(G267="","",ABS(P267-Components!$D$3))</f>
        <v/>
      </c>
      <c r="S267" s="67">
        <f>IF(G267="","",ABS(P267-Components!$D$4))</f>
        <v/>
      </c>
      <c r="T267" s="67">
        <f>IF(G267="","",ABS(P267-Components!$D$5))</f>
        <v/>
      </c>
      <c r="U267" s="67">
        <f>IF(G267="","",ABS(P267-Components!$D$6))</f>
        <v/>
      </c>
      <c r="V267" s="67">
        <f>IF(G267="","",ABS(P267-Components!$D$7))</f>
        <v/>
      </c>
      <c r="W267" s="61">
        <f>IF(G267="","",IF(N267="OK","NONE",INDEX({"S1","S2","W1","W2","N1","N2"},MATCH(MIN(Q267:V267),Q267:V267,0))))</f>
        <v/>
      </c>
      <c r="X267" s="69">
        <f>IF(G267="","",IF(W267=E267,1,0))</f>
        <v/>
      </c>
      <c r="Y267" s="70" t="n"/>
    </row>
    <row r="268">
      <c r="A268" s="61" t="n">
        <v>38</v>
      </c>
      <c r="B268" s="62" t="n">
        <v>14</v>
      </c>
      <c r="C268" s="61" t="inlineStr">
        <is>
          <t>R4</t>
        </is>
      </c>
      <c r="D268" s="74" t="inlineStr">
        <is>
          <t>NG</t>
        </is>
      </c>
      <c r="E268" s="61" t="inlineStr">
        <is>
          <t>S2</t>
        </is>
      </c>
      <c r="F268" s="61" t="inlineStr">
        <is>
          <t>K038</t>
        </is>
      </c>
      <c r="G268" s="64" t="n">
        <v>4.91</v>
      </c>
      <c r="H268" s="65" t="n"/>
      <c r="I268" s="66" t="n"/>
      <c r="J268" s="67">
        <f>VLOOKUP(C268,Recipes!$A$2:$N$4,10,FALSE())</f>
        <v/>
      </c>
      <c r="K268" s="68">
        <f>VLOOKUP(C268,Recipes!$A$2:$N$4,12,FALSE())</f>
        <v/>
      </c>
      <c r="L268" s="67">
        <f>J268-3*K268</f>
        <v/>
      </c>
      <c r="M268" s="67">
        <f>J268+3*K268</f>
        <v/>
      </c>
      <c r="N268" s="61">
        <f>IF(G268="","",IF(AND(G268&gt;=L268,G268&lt;=M268),"OK","NG"))</f>
        <v/>
      </c>
      <c r="O268" s="69">
        <f>IF(N268="","",IF(N268=D268,1,0))</f>
        <v/>
      </c>
      <c r="P268" s="67">
        <f>IF(G268="","",J268-G268)</f>
        <v/>
      </c>
      <c r="Q268" s="67">
        <f>IF(G268="","",ABS(P268-Components!$D$2))</f>
        <v/>
      </c>
      <c r="R268" s="67">
        <f>IF(G268="","",ABS(P268-Components!$D$3))</f>
        <v/>
      </c>
      <c r="S268" s="67">
        <f>IF(G268="","",ABS(P268-Components!$D$4))</f>
        <v/>
      </c>
      <c r="T268" s="67">
        <f>IF(G268="","",ABS(P268-Components!$D$5))</f>
        <v/>
      </c>
      <c r="U268" s="67">
        <f>IF(G268="","",ABS(P268-Components!$D$6))</f>
        <v/>
      </c>
      <c r="V268" s="67">
        <f>IF(G268="","",ABS(P268-Components!$D$7))</f>
        <v/>
      </c>
      <c r="W268" s="61">
        <f>IF(G268="","",IF(N268="OK","NONE",INDEX({"S1","S2","W1","W2","N1","N2"},MATCH(MIN(Q268:V268),Q268:V268,0))))</f>
        <v/>
      </c>
      <c r="X268" s="69">
        <f>IF(G268="","",IF(W268=E268,1,0))</f>
        <v/>
      </c>
      <c r="Y268" s="70" t="n"/>
    </row>
    <row r="269">
      <c r="A269" s="61" t="n">
        <v>39</v>
      </c>
      <c r="B269" s="62" t="n">
        <v>46</v>
      </c>
      <c r="C269" s="61" t="inlineStr">
        <is>
          <t>R4</t>
        </is>
      </c>
      <c r="D269" s="74" t="inlineStr">
        <is>
          <t>NG</t>
        </is>
      </c>
      <c r="E269" s="61" t="inlineStr">
        <is>
          <t>S2</t>
        </is>
      </c>
      <c r="F269" s="61" t="inlineStr">
        <is>
          <t>K039</t>
        </is>
      </c>
      <c r="G269" s="64" t="n">
        <v>4.89</v>
      </c>
      <c r="H269" s="65" t="n"/>
      <c r="I269" s="66" t="n"/>
      <c r="J269" s="67">
        <f>VLOOKUP(C269,Recipes!$A$2:$N$4,10,FALSE())</f>
        <v/>
      </c>
      <c r="K269" s="68">
        <f>VLOOKUP(C269,Recipes!$A$2:$N$4,12,FALSE())</f>
        <v/>
      </c>
      <c r="L269" s="67">
        <f>J269-3*K269</f>
        <v/>
      </c>
      <c r="M269" s="67">
        <f>J269+3*K269</f>
        <v/>
      </c>
      <c r="N269" s="61">
        <f>IF(G269="","",IF(AND(G269&gt;=L269,G269&lt;=M269),"OK","NG"))</f>
        <v/>
      </c>
      <c r="O269" s="69">
        <f>IF(N269="","",IF(N269=D269,1,0))</f>
        <v/>
      </c>
      <c r="P269" s="67">
        <f>IF(G269="","",J269-G269)</f>
        <v/>
      </c>
      <c r="Q269" s="67">
        <f>IF(G269="","",ABS(P269-Components!$D$2))</f>
        <v/>
      </c>
      <c r="R269" s="67">
        <f>IF(G269="","",ABS(P269-Components!$D$3))</f>
        <v/>
      </c>
      <c r="S269" s="67">
        <f>IF(G269="","",ABS(P269-Components!$D$4))</f>
        <v/>
      </c>
      <c r="T269" s="67">
        <f>IF(G269="","",ABS(P269-Components!$D$5))</f>
        <v/>
      </c>
      <c r="U269" s="67">
        <f>IF(G269="","",ABS(P269-Components!$D$6))</f>
        <v/>
      </c>
      <c r="V269" s="67">
        <f>IF(G269="","",ABS(P269-Components!$D$7))</f>
        <v/>
      </c>
      <c r="W269" s="61">
        <f>IF(G269="","",IF(N269="OK","NONE",INDEX({"S1","S2","W1","W2","N1","N2"},MATCH(MIN(Q269:V269),Q269:V269,0))))</f>
        <v/>
      </c>
      <c r="X269" s="69">
        <f>IF(G269="","",IF(W269=E269,1,0))</f>
        <v/>
      </c>
      <c r="Y269" s="70" t="n"/>
    </row>
    <row r="270">
      <c r="A270" s="61" t="n">
        <v>40</v>
      </c>
      <c r="B270" s="62" t="n">
        <v>53</v>
      </c>
      <c r="C270" s="61" t="inlineStr">
        <is>
          <t>R4</t>
        </is>
      </c>
      <c r="D270" s="74" t="inlineStr">
        <is>
          <t>NG</t>
        </is>
      </c>
      <c r="E270" s="61" t="inlineStr">
        <is>
          <t>S2</t>
        </is>
      </c>
      <c r="F270" s="61" t="inlineStr">
        <is>
          <t>K040</t>
        </is>
      </c>
      <c r="G270" s="64" t="n">
        <v>4.89</v>
      </c>
      <c r="H270" s="65" t="n"/>
      <c r="I270" s="66" t="n"/>
      <c r="J270" s="67">
        <f>VLOOKUP(C270,Recipes!$A$2:$N$4,10,FALSE())</f>
        <v/>
      </c>
      <c r="K270" s="68">
        <f>VLOOKUP(C270,Recipes!$A$2:$N$4,12,FALSE())</f>
        <v/>
      </c>
      <c r="L270" s="67">
        <f>J270-3*K270</f>
        <v/>
      </c>
      <c r="M270" s="67">
        <f>J270+3*K270</f>
        <v/>
      </c>
      <c r="N270" s="61">
        <f>IF(G270="","",IF(AND(G270&gt;=L270,G270&lt;=M270),"OK","NG"))</f>
        <v/>
      </c>
      <c r="O270" s="69">
        <f>IF(N270="","",IF(N270=D270,1,0))</f>
        <v/>
      </c>
      <c r="P270" s="67">
        <f>IF(G270="","",J270-G270)</f>
        <v/>
      </c>
      <c r="Q270" s="67">
        <f>IF(G270="","",ABS(P270-Components!$D$2))</f>
        <v/>
      </c>
      <c r="R270" s="67">
        <f>IF(G270="","",ABS(P270-Components!$D$3))</f>
        <v/>
      </c>
      <c r="S270" s="67">
        <f>IF(G270="","",ABS(P270-Components!$D$4))</f>
        <v/>
      </c>
      <c r="T270" s="67">
        <f>IF(G270="","",ABS(P270-Components!$D$5))</f>
        <v/>
      </c>
      <c r="U270" s="67">
        <f>IF(G270="","",ABS(P270-Components!$D$6))</f>
        <v/>
      </c>
      <c r="V270" s="67">
        <f>IF(G270="","",ABS(P270-Components!$D$7))</f>
        <v/>
      </c>
      <c r="W270" s="61">
        <f>IF(G270="","",IF(N270="OK","NONE",INDEX({"S1","S2","W1","W2","N1","N2"},MATCH(MIN(Q270:V270),Q270:V270,0))))</f>
        <v/>
      </c>
      <c r="X270" s="69">
        <f>IF(G270="","",IF(W270=E270,1,0))</f>
        <v/>
      </c>
      <c r="Y270" s="70" t="n"/>
    </row>
    <row r="271">
      <c r="A271" s="76" t="n">
        <v>44</v>
      </c>
      <c r="B271" s="77" t="n">
        <v>33</v>
      </c>
      <c r="C271" s="76" t="inlineStr">
        <is>
          <t>R4</t>
        </is>
      </c>
      <c r="D271" s="78" t="inlineStr">
        <is>
          <t>NG</t>
        </is>
      </c>
      <c r="E271" s="76" t="inlineStr">
        <is>
          <t>S2</t>
        </is>
      </c>
      <c r="F271" s="76" t="inlineStr">
        <is>
          <t>K044</t>
        </is>
      </c>
      <c r="G271" s="75" t="n">
        <v>4.9</v>
      </c>
      <c r="H271" s="65" t="n"/>
      <c r="I271" s="66" t="n"/>
      <c r="J271" s="67">
        <f>VLOOKUP(C271,Recipes!$A$2:$N$4,10,FALSE())</f>
        <v/>
      </c>
      <c r="K271" s="68">
        <f>VLOOKUP(C271,Recipes!$A$2:$N$4,12,FALSE())</f>
        <v/>
      </c>
      <c r="L271" s="67">
        <f>J271-3*K271</f>
        <v/>
      </c>
      <c r="M271" s="67">
        <f>J271+3*K271</f>
        <v/>
      </c>
      <c r="N271" s="61">
        <f>IF(G271="","",IF(AND(G271&gt;=L271,G271&lt;=M271),"OK","NG"))</f>
        <v/>
      </c>
      <c r="O271" s="69">
        <f>IF(N271="","",IF(N271=D271,1,0))</f>
        <v/>
      </c>
      <c r="P271" s="67">
        <f>IF(G271="","",J271-G271)</f>
        <v/>
      </c>
      <c r="Q271" s="67">
        <f>IF(G271="","",ABS(P271-Components!$D$2))</f>
        <v/>
      </c>
      <c r="R271" s="67">
        <f>IF(G271="","",ABS(P271-Components!$D$3))</f>
        <v/>
      </c>
      <c r="S271" s="67">
        <f>IF(G271="","",ABS(P271-Components!$D$4))</f>
        <v/>
      </c>
      <c r="T271" s="67">
        <f>IF(G271="","",ABS(P271-Components!$D$5))</f>
        <v/>
      </c>
      <c r="U271" s="67">
        <f>IF(G271="","",ABS(P271-Components!$D$6))</f>
        <v/>
      </c>
      <c r="V271" s="67">
        <f>IF(G271="","",ABS(P271-Components!$D$7))</f>
        <v/>
      </c>
      <c r="W271" s="61">
        <f>IF(G271="","",IF(N271="OK","NONE",INDEX({"S1","S2","W1","W2","N1","N2"},MATCH(MIN(Q271:V271),Q271:V271,0))))</f>
        <v/>
      </c>
      <c r="X271" s="69">
        <f>IF(G271="","",IF(W271=E271,1,0))</f>
        <v/>
      </c>
      <c r="Y271" s="70" t="n"/>
    </row>
    <row r="272">
      <c r="A272" s="76" t="n">
        <v>45</v>
      </c>
      <c r="B272" s="77" t="n">
        <v>15</v>
      </c>
      <c r="C272" s="76" t="inlineStr">
        <is>
          <t>R4</t>
        </is>
      </c>
      <c r="D272" s="78" t="inlineStr">
        <is>
          <t>NG</t>
        </is>
      </c>
      <c r="E272" s="76" t="inlineStr">
        <is>
          <t>S2</t>
        </is>
      </c>
      <c r="F272" s="76" t="inlineStr">
        <is>
          <t>K045</t>
        </is>
      </c>
      <c r="G272" s="75" t="n">
        <v>4.91</v>
      </c>
      <c r="H272" s="65" t="n"/>
      <c r="I272" s="66" t="n"/>
      <c r="J272" s="67">
        <f>VLOOKUP(C272,Recipes!$A$2:$N$4,10,FALSE())</f>
        <v/>
      </c>
      <c r="K272" s="68">
        <f>VLOOKUP(C272,Recipes!$A$2:$N$4,12,FALSE())</f>
        <v/>
      </c>
      <c r="L272" s="67">
        <f>J272-3*K272</f>
        <v/>
      </c>
      <c r="M272" s="67">
        <f>J272+3*K272</f>
        <v/>
      </c>
      <c r="N272" s="61">
        <f>IF(G272="","",IF(AND(G272&gt;=L272,G272&lt;=M272),"OK","NG"))</f>
        <v/>
      </c>
      <c r="O272" s="69">
        <f>IF(N272="","",IF(N272=D272,1,0))</f>
        <v/>
      </c>
      <c r="P272" s="67">
        <f>IF(G272="","",J272-G272)</f>
        <v/>
      </c>
      <c r="Q272" s="67">
        <f>IF(G272="","",ABS(P272-Components!$D$2))</f>
        <v/>
      </c>
      <c r="R272" s="67">
        <f>IF(G272="","",ABS(P272-Components!$D$3))</f>
        <v/>
      </c>
      <c r="S272" s="67">
        <f>IF(G272="","",ABS(P272-Components!$D$4))</f>
        <v/>
      </c>
      <c r="T272" s="67">
        <f>IF(G272="","",ABS(P272-Components!$D$5))</f>
        <v/>
      </c>
      <c r="U272" s="67">
        <f>IF(G272="","",ABS(P272-Components!$D$6))</f>
        <v/>
      </c>
      <c r="V272" s="67">
        <f>IF(G272="","",ABS(P272-Components!$D$7))</f>
        <v/>
      </c>
      <c r="W272" s="61">
        <f>IF(G272="","",IF(N272="OK","NONE",INDEX({"S1","S2","W1","W2","N1","N2"},MATCH(MIN(Q272:V272),Q272:V272,0))))</f>
        <v/>
      </c>
      <c r="X272" s="69">
        <f>IF(G272="","",IF(W272=E272,1,0))</f>
        <v/>
      </c>
      <c r="Y272" s="70" t="n"/>
    </row>
    <row r="273">
      <c r="A273" s="61" t="n">
        <v>41</v>
      </c>
      <c r="B273" s="62" t="n">
        <v>3</v>
      </c>
      <c r="C273" s="61" t="inlineStr">
        <is>
          <t>R6</t>
        </is>
      </c>
      <c r="D273" s="63" t="inlineStr">
        <is>
          <t>OK</t>
        </is>
      </c>
      <c r="E273" s="61" t="inlineStr">
        <is>
          <t>NONE</t>
        </is>
      </c>
      <c r="F273" s="61" t="inlineStr">
        <is>
          <t>K041</t>
        </is>
      </c>
      <c r="G273" s="64" t="n">
        <v>8.65</v>
      </c>
      <c r="H273" s="65" t="n"/>
      <c r="I273" s="66" t="n"/>
      <c r="J273" s="67">
        <f>VLOOKUP(C273,Recipes!$A$2:$N$4,10,FALSE())</f>
        <v/>
      </c>
      <c r="K273" s="68">
        <f>VLOOKUP(C273,Recipes!$A$2:$N$4,12,FALSE())</f>
        <v/>
      </c>
      <c r="L273" s="67">
        <f>J273-3*K273</f>
        <v/>
      </c>
      <c r="M273" s="67">
        <f>J273+3*K273</f>
        <v/>
      </c>
      <c r="N273" s="61">
        <f>IF(G273="","",IF(AND(G273&gt;=L273,G273&lt;=M273),"OK","NG"))</f>
        <v/>
      </c>
      <c r="O273" s="69">
        <f>IF(N273="","",IF(N273=D273,1,0))</f>
        <v/>
      </c>
      <c r="P273" s="67">
        <f>IF(G273="","",J273-G273)</f>
        <v/>
      </c>
      <c r="Q273" s="67">
        <f>IF(G273="","",ABS(P273-Components!$D$2))</f>
        <v/>
      </c>
      <c r="R273" s="67">
        <f>IF(G273="","",ABS(P273-Components!$D$3))</f>
        <v/>
      </c>
      <c r="S273" s="67">
        <f>IF(G273="","",ABS(P273-Components!$D$4))</f>
        <v/>
      </c>
      <c r="T273" s="67">
        <f>IF(G273="","",ABS(P273-Components!$D$5))</f>
        <v/>
      </c>
      <c r="U273" s="67">
        <f>IF(G273="","",ABS(P273-Components!$D$6))</f>
        <v/>
      </c>
      <c r="V273" s="67">
        <f>IF(G273="","",ABS(P273-Components!$D$7))</f>
        <v/>
      </c>
      <c r="W273" s="61">
        <f>IF(G273="","",IF(N273="OK","NONE",INDEX({"S1","S2","W1","W2","N1","N2"},MATCH(MIN(Q273:V273),Q273:V273,0))))</f>
        <v/>
      </c>
      <c r="X273" s="69">
        <f>IF(G273="","",IF(W273=E273,1,0))</f>
        <v/>
      </c>
      <c r="Y273" s="70" t="n"/>
    </row>
    <row r="274">
      <c r="A274" s="61" t="n">
        <v>41</v>
      </c>
      <c r="B274" s="62" t="n">
        <v>3</v>
      </c>
      <c r="C274" s="61" t="inlineStr">
        <is>
          <t>R6</t>
        </is>
      </c>
      <c r="D274" s="63" t="inlineStr">
        <is>
          <t>OK</t>
        </is>
      </c>
      <c r="E274" s="61" t="inlineStr">
        <is>
          <t>NONE</t>
        </is>
      </c>
      <c r="F274" s="61" t="inlineStr">
        <is>
          <t>K041</t>
        </is>
      </c>
      <c r="G274" s="64" t="n">
        <v>8.529999999999999</v>
      </c>
      <c r="H274" s="65" t="n"/>
      <c r="I274" s="66" t="n"/>
      <c r="J274" s="67">
        <f>VLOOKUP(C274,Recipes!$A$2:$N$4,10,FALSE())</f>
        <v/>
      </c>
      <c r="K274" s="68">
        <f>VLOOKUP(C274,Recipes!$A$2:$N$4,12,FALSE())</f>
        <v/>
      </c>
      <c r="L274" s="67">
        <f>J274-3*K274</f>
        <v/>
      </c>
      <c r="M274" s="67">
        <f>J274+3*K274</f>
        <v/>
      </c>
      <c r="N274" s="61">
        <f>IF(G274="","",IF(AND(G274&gt;=L274,G274&lt;=M274),"OK","NG"))</f>
        <v/>
      </c>
      <c r="O274" s="69">
        <f>IF(N274="","",IF(N274=D274,1,0))</f>
        <v/>
      </c>
      <c r="P274" s="67">
        <f>IF(G274="","",J274-G274)</f>
        <v/>
      </c>
      <c r="Q274" s="67">
        <f>IF(G274="","",ABS(P274-Components!$D$2))</f>
        <v/>
      </c>
      <c r="R274" s="67">
        <f>IF(G274="","",ABS(P274-Components!$D$3))</f>
        <v/>
      </c>
      <c r="S274" s="67">
        <f>IF(G274="","",ABS(P274-Components!$D$4))</f>
        <v/>
      </c>
      <c r="T274" s="67">
        <f>IF(G274="","",ABS(P274-Components!$D$5))</f>
        <v/>
      </c>
      <c r="U274" s="67">
        <f>IF(G274="","",ABS(P274-Components!$D$6))</f>
        <v/>
      </c>
      <c r="V274" s="67">
        <f>IF(G274="","",ABS(P274-Components!$D$7))</f>
        <v/>
      </c>
      <c r="W274" s="61">
        <f>IF(G274="","",IF(N274="OK","NONE",INDEX({"S1","S2","W1","W2","N1","N2"},MATCH(MIN(Q274:V274),Q274:V274,0))))</f>
        <v/>
      </c>
      <c r="X274" s="69">
        <f>IF(G274="","",IF(W274=E274,1,0))</f>
        <v/>
      </c>
      <c r="Y274" s="70" t="n"/>
    </row>
    <row r="275">
      <c r="A275" s="61" t="n">
        <v>41</v>
      </c>
      <c r="B275" s="62" t="n">
        <v>3</v>
      </c>
      <c r="C275" s="61" t="inlineStr">
        <is>
          <t>R6</t>
        </is>
      </c>
      <c r="D275" s="63" t="inlineStr">
        <is>
          <t>OK</t>
        </is>
      </c>
      <c r="E275" s="61" t="inlineStr">
        <is>
          <t>NONE</t>
        </is>
      </c>
      <c r="F275" s="61" t="inlineStr">
        <is>
          <t>K041</t>
        </is>
      </c>
      <c r="G275" s="75" t="n">
        <v>8.58</v>
      </c>
      <c r="H275" s="65" t="n"/>
      <c r="I275" s="66" t="n"/>
      <c r="J275" s="67">
        <f>VLOOKUP(C275,Recipes!$A$2:$N$4,10,FALSE())</f>
        <v/>
      </c>
      <c r="K275" s="68">
        <f>VLOOKUP(C275,Recipes!$A$2:$N$4,12,FALSE())</f>
        <v/>
      </c>
      <c r="L275" s="67">
        <f>J275-3*K275</f>
        <v/>
      </c>
      <c r="M275" s="67">
        <f>J275+3*K275</f>
        <v/>
      </c>
      <c r="N275" s="61">
        <f>IF(G275="","",IF(AND(G275&gt;=L275,G275&lt;=M275),"OK","NG"))</f>
        <v/>
      </c>
      <c r="O275" s="69">
        <f>IF(N275="","",IF(N275=D275,1,0))</f>
        <v/>
      </c>
      <c r="P275" s="67">
        <f>IF(G275="","",J275-G275)</f>
        <v/>
      </c>
      <c r="Q275" s="67">
        <f>IF(G275="","",ABS(P275-Components!$D$2))</f>
        <v/>
      </c>
      <c r="R275" s="67">
        <f>IF(G275="","",ABS(P275-Components!$D$3))</f>
        <v/>
      </c>
      <c r="S275" s="67">
        <f>IF(G275="","",ABS(P275-Components!$D$4))</f>
        <v/>
      </c>
      <c r="T275" s="67">
        <f>IF(G275="","",ABS(P275-Components!$D$5))</f>
        <v/>
      </c>
      <c r="U275" s="67">
        <f>IF(G275="","",ABS(P275-Components!$D$6))</f>
        <v/>
      </c>
      <c r="V275" s="67">
        <f>IF(G275="","",ABS(P275-Components!$D$7))</f>
        <v/>
      </c>
      <c r="W275" s="61">
        <f>IF(G275="","",IF(N275="OK","NONE",INDEX({"S1","S2","W1","W2","N1","N2"},MATCH(MIN(Q275:V275),Q275:V275,0))))</f>
        <v/>
      </c>
      <c r="X275" s="69">
        <f>IF(G275="","",IF(W275=E275,1,0))</f>
        <v/>
      </c>
      <c r="Y275" s="70" t="n"/>
    </row>
    <row r="276">
      <c r="A276" s="61" t="n">
        <v>41</v>
      </c>
      <c r="B276" s="62" t="n">
        <v>3</v>
      </c>
      <c r="C276" s="61" t="inlineStr">
        <is>
          <t>R6</t>
        </is>
      </c>
      <c r="D276" s="63" t="inlineStr">
        <is>
          <t>OK</t>
        </is>
      </c>
      <c r="E276" s="61" t="inlineStr">
        <is>
          <t>NONE</t>
        </is>
      </c>
      <c r="F276" s="61" t="inlineStr">
        <is>
          <t>K041</t>
        </is>
      </c>
      <c r="G276" s="75" t="n">
        <v>8.66</v>
      </c>
      <c r="H276" s="65" t="n"/>
      <c r="I276" s="66" t="n"/>
      <c r="J276" s="67">
        <f>VLOOKUP(C276,Recipes!$A$2:$N$4,10,FALSE())</f>
        <v/>
      </c>
      <c r="K276" s="68">
        <f>VLOOKUP(C276,Recipes!$A$2:$N$4,12,FALSE())</f>
        <v/>
      </c>
      <c r="L276" s="67">
        <f>J276-3*K276</f>
        <v/>
      </c>
      <c r="M276" s="67">
        <f>J276+3*K276</f>
        <v/>
      </c>
      <c r="N276" s="61">
        <f>IF(G276="","",IF(AND(G276&gt;=L276,G276&lt;=M276),"OK","NG"))</f>
        <v/>
      </c>
      <c r="O276" s="69">
        <f>IF(N276="","",IF(N276=D276,1,0))</f>
        <v/>
      </c>
      <c r="P276" s="67">
        <f>IF(G276="","",J276-G276)</f>
        <v/>
      </c>
      <c r="Q276" s="67">
        <f>IF(G276="","",ABS(P276-Components!$D$2))</f>
        <v/>
      </c>
      <c r="R276" s="67">
        <f>IF(G276="","",ABS(P276-Components!$D$3))</f>
        <v/>
      </c>
      <c r="S276" s="67">
        <f>IF(G276="","",ABS(P276-Components!$D$4))</f>
        <v/>
      </c>
      <c r="T276" s="67">
        <f>IF(G276="","",ABS(P276-Components!$D$5))</f>
        <v/>
      </c>
      <c r="U276" s="67">
        <f>IF(G276="","",ABS(P276-Components!$D$6))</f>
        <v/>
      </c>
      <c r="V276" s="67">
        <f>IF(G276="","",ABS(P276-Components!$D$7))</f>
        <v/>
      </c>
      <c r="W276" s="61">
        <f>IF(G276="","",IF(N276="OK","NONE",INDEX({"S1","S2","W1","W2","N1","N2"},MATCH(MIN(Q276:V276),Q276:V276,0))))</f>
        <v/>
      </c>
      <c r="X276" s="69">
        <f>IF(G276="","",IF(W276=E276,1,0))</f>
        <v/>
      </c>
      <c r="Y276" s="70" t="n"/>
    </row>
    <row r="277">
      <c r="A277" s="61" t="n">
        <v>41</v>
      </c>
      <c r="B277" s="62" t="n">
        <v>3</v>
      </c>
      <c r="C277" s="61" t="inlineStr">
        <is>
          <t>R6</t>
        </is>
      </c>
      <c r="D277" s="63" t="inlineStr">
        <is>
          <t>OK</t>
        </is>
      </c>
      <c r="E277" s="61" t="inlineStr">
        <is>
          <t>NONE</t>
        </is>
      </c>
      <c r="F277" s="61" t="inlineStr">
        <is>
          <t>K041</t>
        </is>
      </c>
      <c r="G277" s="75" t="n">
        <v>8.57</v>
      </c>
      <c r="H277" s="65" t="n"/>
      <c r="I277" s="66" t="n"/>
      <c r="J277" s="67">
        <f>VLOOKUP(C277,Recipes!$A$2:$N$4,10,FALSE())</f>
        <v/>
      </c>
      <c r="K277" s="68">
        <f>VLOOKUP(C277,Recipes!$A$2:$N$4,12,FALSE())</f>
        <v/>
      </c>
      <c r="L277" s="67">
        <f>J277-3*K277</f>
        <v/>
      </c>
      <c r="M277" s="67">
        <f>J277+3*K277</f>
        <v/>
      </c>
      <c r="N277" s="61">
        <f>IF(G277="","",IF(AND(G277&gt;=L277,G277&lt;=M277),"OK","NG"))</f>
        <v/>
      </c>
      <c r="O277" s="69">
        <f>IF(N277="","",IF(N277=D277,1,0))</f>
        <v/>
      </c>
      <c r="P277" s="67">
        <f>IF(G277="","",J277-G277)</f>
        <v/>
      </c>
      <c r="Q277" s="67">
        <f>IF(G277="","",ABS(P277-Components!$D$2))</f>
        <v/>
      </c>
      <c r="R277" s="67">
        <f>IF(G277="","",ABS(P277-Components!$D$3))</f>
        <v/>
      </c>
      <c r="S277" s="67">
        <f>IF(G277="","",ABS(P277-Components!$D$4))</f>
        <v/>
      </c>
      <c r="T277" s="67">
        <f>IF(G277="","",ABS(P277-Components!$D$5))</f>
        <v/>
      </c>
      <c r="U277" s="67">
        <f>IF(G277="","",ABS(P277-Components!$D$6))</f>
        <v/>
      </c>
      <c r="V277" s="67">
        <f>IF(G277="","",ABS(P277-Components!$D$7))</f>
        <v/>
      </c>
      <c r="W277" s="61">
        <f>IF(G277="","",IF(N277="OK","NONE",INDEX({"S1","S2","W1","W2","N1","N2"},MATCH(MIN(Q277:V277),Q277:V277,0))))</f>
        <v/>
      </c>
      <c r="X277" s="69">
        <f>IF(G277="","",IF(W277=E277,1,0))</f>
        <v/>
      </c>
      <c r="Y277" s="70" t="n"/>
    </row>
    <row r="278">
      <c r="A278" s="61" t="n">
        <v>41</v>
      </c>
      <c r="B278" s="62" t="n">
        <v>3</v>
      </c>
      <c r="C278" s="61" t="inlineStr">
        <is>
          <t>R6</t>
        </is>
      </c>
      <c r="D278" s="63" t="inlineStr">
        <is>
          <t>OK</t>
        </is>
      </c>
      <c r="E278" s="61" t="inlineStr">
        <is>
          <t>NONE</t>
        </is>
      </c>
      <c r="F278" s="61" t="inlineStr">
        <is>
          <t>K041</t>
        </is>
      </c>
      <c r="G278" s="75" t="n">
        <v>8.6</v>
      </c>
      <c r="H278" s="65" t="n"/>
      <c r="I278" s="66" t="n"/>
      <c r="J278" s="67">
        <f>VLOOKUP(C278,Recipes!$A$2:$N$4,10,FALSE())</f>
        <v/>
      </c>
      <c r="K278" s="68">
        <f>VLOOKUP(C278,Recipes!$A$2:$N$4,12,FALSE())</f>
        <v/>
      </c>
      <c r="L278" s="67">
        <f>J278-3*K278</f>
        <v/>
      </c>
      <c r="M278" s="67">
        <f>J278+3*K278</f>
        <v/>
      </c>
      <c r="N278" s="61">
        <f>IF(G278="","",IF(AND(G278&gt;=L278,G278&lt;=M278),"OK","NG"))</f>
        <v/>
      </c>
      <c r="O278" s="69">
        <f>IF(N278="","",IF(N278=D278,1,0))</f>
        <v/>
      </c>
      <c r="P278" s="67">
        <f>IF(G278="","",J278-G278)</f>
        <v/>
      </c>
      <c r="Q278" s="67">
        <f>IF(G278="","",ABS(P278-Components!$D$2))</f>
        <v/>
      </c>
      <c r="R278" s="67">
        <f>IF(G278="","",ABS(P278-Components!$D$3))</f>
        <v/>
      </c>
      <c r="S278" s="67">
        <f>IF(G278="","",ABS(P278-Components!$D$4))</f>
        <v/>
      </c>
      <c r="T278" s="67">
        <f>IF(G278="","",ABS(P278-Components!$D$5))</f>
        <v/>
      </c>
      <c r="U278" s="67">
        <f>IF(G278="","",ABS(P278-Components!$D$6))</f>
        <v/>
      </c>
      <c r="V278" s="67">
        <f>IF(G278="","",ABS(P278-Components!$D$7))</f>
        <v/>
      </c>
      <c r="W278" s="61">
        <f>IF(G278="","",IF(N278="OK","NONE",INDEX({"S1","S2","W1","W2","N1","N2"},MATCH(MIN(Q278:V278),Q278:V278,0))))</f>
        <v/>
      </c>
      <c r="X278" s="69">
        <f>IF(G278="","",IF(W278=E278,1,0))</f>
        <v/>
      </c>
      <c r="Y278" s="70" t="n"/>
    </row>
    <row r="279">
      <c r="A279" s="61" t="n">
        <v>41</v>
      </c>
      <c r="B279" s="62" t="n">
        <v>3</v>
      </c>
      <c r="C279" s="61" t="inlineStr">
        <is>
          <t>R6</t>
        </is>
      </c>
      <c r="D279" s="63" t="inlineStr">
        <is>
          <t>OK</t>
        </is>
      </c>
      <c r="E279" s="61" t="inlineStr">
        <is>
          <t>NONE</t>
        </is>
      </c>
      <c r="F279" s="61" t="inlineStr">
        <is>
          <t>K041</t>
        </is>
      </c>
      <c r="G279" s="75" t="n">
        <v>8.65</v>
      </c>
      <c r="H279" s="65" t="n"/>
      <c r="I279" s="66" t="n"/>
      <c r="J279" s="67">
        <f>VLOOKUP(C279,Recipes!$A$2:$N$4,10,FALSE())</f>
        <v/>
      </c>
      <c r="K279" s="68">
        <f>VLOOKUP(C279,Recipes!$A$2:$N$4,12,FALSE())</f>
        <v/>
      </c>
      <c r="L279" s="67">
        <f>J279-3*K279</f>
        <v/>
      </c>
      <c r="M279" s="67">
        <f>J279+3*K279</f>
        <v/>
      </c>
      <c r="N279" s="61">
        <f>IF(G279="","",IF(AND(G279&gt;=L279,G279&lt;=M279),"OK","NG"))</f>
        <v/>
      </c>
      <c r="O279" s="69">
        <f>IF(N279="","",IF(N279=D279,1,0))</f>
        <v/>
      </c>
      <c r="P279" s="67">
        <f>IF(G279="","",J279-G279)</f>
        <v/>
      </c>
      <c r="Q279" s="67">
        <f>IF(G279="","",ABS(P279-Components!$D$2))</f>
        <v/>
      </c>
      <c r="R279" s="67">
        <f>IF(G279="","",ABS(P279-Components!$D$3))</f>
        <v/>
      </c>
      <c r="S279" s="67">
        <f>IF(G279="","",ABS(P279-Components!$D$4))</f>
        <v/>
      </c>
      <c r="T279" s="67">
        <f>IF(G279="","",ABS(P279-Components!$D$5))</f>
        <v/>
      </c>
      <c r="U279" s="67">
        <f>IF(G279="","",ABS(P279-Components!$D$6))</f>
        <v/>
      </c>
      <c r="V279" s="67">
        <f>IF(G279="","",ABS(P279-Components!$D$7))</f>
        <v/>
      </c>
      <c r="W279" s="61">
        <f>IF(G279="","",IF(N279="OK","NONE",INDEX({"S1","S2","W1","W2","N1","N2"},MATCH(MIN(Q279:V279),Q279:V279,0))))</f>
        <v/>
      </c>
      <c r="X279" s="69">
        <f>IF(G279="","",IF(W279=E279,1,0))</f>
        <v/>
      </c>
      <c r="Y279" s="70" t="n"/>
    </row>
    <row r="280">
      <c r="A280" s="61" t="n">
        <v>41</v>
      </c>
      <c r="B280" s="62" t="n">
        <v>3</v>
      </c>
      <c r="C280" s="61" t="inlineStr">
        <is>
          <t>R6</t>
        </is>
      </c>
      <c r="D280" s="63" t="inlineStr">
        <is>
          <t>OK</t>
        </is>
      </c>
      <c r="E280" s="61" t="inlineStr">
        <is>
          <t>NONE</t>
        </is>
      </c>
      <c r="F280" s="61" t="inlineStr">
        <is>
          <t>K041</t>
        </is>
      </c>
      <c r="G280" s="75" t="n">
        <v>8.58</v>
      </c>
      <c r="H280" s="65" t="n"/>
      <c r="I280" s="66" t="n"/>
      <c r="J280" s="67">
        <f>VLOOKUP(C280,Recipes!$A$2:$N$4,10,FALSE())</f>
        <v/>
      </c>
      <c r="K280" s="68">
        <f>VLOOKUP(C280,Recipes!$A$2:$N$4,12,FALSE())</f>
        <v/>
      </c>
      <c r="L280" s="67">
        <f>J280-3*K280</f>
        <v/>
      </c>
      <c r="M280" s="67">
        <f>J280+3*K280</f>
        <v/>
      </c>
      <c r="N280" s="61">
        <f>IF(G280="","",IF(AND(G280&gt;=L280,G280&lt;=M280),"OK","NG"))</f>
        <v/>
      </c>
      <c r="O280" s="69">
        <f>IF(N280="","",IF(N280=D280,1,0))</f>
        <v/>
      </c>
      <c r="P280" s="67">
        <f>IF(G280="","",J280-G280)</f>
        <v/>
      </c>
      <c r="Q280" s="67">
        <f>IF(G280="","",ABS(P280-Components!$D$2))</f>
        <v/>
      </c>
      <c r="R280" s="67">
        <f>IF(G280="","",ABS(P280-Components!$D$3))</f>
        <v/>
      </c>
      <c r="S280" s="67">
        <f>IF(G280="","",ABS(P280-Components!$D$4))</f>
        <v/>
      </c>
      <c r="T280" s="67">
        <f>IF(G280="","",ABS(P280-Components!$D$5))</f>
        <v/>
      </c>
      <c r="U280" s="67">
        <f>IF(G280="","",ABS(P280-Components!$D$6))</f>
        <v/>
      </c>
      <c r="V280" s="67">
        <f>IF(G280="","",ABS(P280-Components!$D$7))</f>
        <v/>
      </c>
      <c r="W280" s="61">
        <f>IF(G280="","",IF(N280="OK","NONE",INDEX({"S1","S2","W1","W2","N1","N2"},MATCH(MIN(Q280:V280),Q280:V280,0))))</f>
        <v/>
      </c>
      <c r="X280" s="69">
        <f>IF(G280="","",IF(W280=E280,1,0))</f>
        <v/>
      </c>
      <c r="Y280" s="70" t="n"/>
    </row>
    <row r="281">
      <c r="A281" s="61" t="n">
        <v>41</v>
      </c>
      <c r="B281" s="62" t="n">
        <v>3</v>
      </c>
      <c r="C281" s="61" t="inlineStr">
        <is>
          <t>R6</t>
        </is>
      </c>
      <c r="D281" s="63" t="inlineStr">
        <is>
          <t>OK</t>
        </is>
      </c>
      <c r="E281" s="61" t="inlineStr">
        <is>
          <t>NONE</t>
        </is>
      </c>
      <c r="F281" s="61" t="inlineStr">
        <is>
          <t>K041</t>
        </is>
      </c>
      <c r="G281" s="75" t="n">
        <v>8.58</v>
      </c>
      <c r="H281" s="65" t="n"/>
      <c r="I281" s="66" t="n"/>
      <c r="J281" s="67">
        <f>VLOOKUP(C281,Recipes!$A$2:$N$4,10,FALSE())</f>
        <v/>
      </c>
      <c r="K281" s="68">
        <f>VLOOKUP(C281,Recipes!$A$2:$N$4,12,FALSE())</f>
        <v/>
      </c>
      <c r="L281" s="67">
        <f>J281-3*K281</f>
        <v/>
      </c>
      <c r="M281" s="67">
        <f>J281+3*K281</f>
        <v/>
      </c>
      <c r="N281" s="61">
        <f>IF(G281="","",IF(AND(G281&gt;=L281,G281&lt;=M281),"OK","NG"))</f>
        <v/>
      </c>
      <c r="O281" s="69">
        <f>IF(N281="","",IF(N281=D281,1,0))</f>
        <v/>
      </c>
      <c r="P281" s="67">
        <f>IF(G281="","",J281-G281)</f>
        <v/>
      </c>
      <c r="Q281" s="67">
        <f>IF(G281="","",ABS(P281-Components!$D$2))</f>
        <v/>
      </c>
      <c r="R281" s="67">
        <f>IF(G281="","",ABS(P281-Components!$D$3))</f>
        <v/>
      </c>
      <c r="S281" s="67">
        <f>IF(G281="","",ABS(P281-Components!$D$4))</f>
        <v/>
      </c>
      <c r="T281" s="67">
        <f>IF(G281="","",ABS(P281-Components!$D$5))</f>
        <v/>
      </c>
      <c r="U281" s="67">
        <f>IF(G281="","",ABS(P281-Components!$D$6))</f>
        <v/>
      </c>
      <c r="V281" s="67">
        <f>IF(G281="","",ABS(P281-Components!$D$7))</f>
        <v/>
      </c>
      <c r="W281" s="61">
        <f>IF(G281="","",IF(N281="OK","NONE",INDEX({"S1","S2","W1","W2","N1","N2"},MATCH(MIN(Q281:V281),Q281:V281,0))))</f>
        <v/>
      </c>
      <c r="X281" s="69">
        <f>IF(G281="","",IF(W281=E281,1,0))</f>
        <v/>
      </c>
      <c r="Y281" s="70" t="n"/>
    </row>
    <row r="282">
      <c r="A282" s="61" t="n">
        <v>41</v>
      </c>
      <c r="B282" s="62" t="n">
        <v>3</v>
      </c>
      <c r="C282" s="61" t="inlineStr">
        <is>
          <t>R6</t>
        </is>
      </c>
      <c r="D282" s="63" t="inlineStr">
        <is>
          <t>OK</t>
        </is>
      </c>
      <c r="E282" s="61" t="inlineStr">
        <is>
          <t>NONE</t>
        </is>
      </c>
      <c r="F282" s="61" t="inlineStr">
        <is>
          <t>K041</t>
        </is>
      </c>
      <c r="G282" s="75" t="n">
        <v>8.57</v>
      </c>
      <c r="H282" s="65" t="n"/>
      <c r="I282" s="66" t="n"/>
      <c r="J282" s="67">
        <f>VLOOKUP(C282,Recipes!$A$2:$N$4,10,FALSE())</f>
        <v/>
      </c>
      <c r="K282" s="68">
        <f>VLOOKUP(C282,Recipes!$A$2:$N$4,12,FALSE())</f>
        <v/>
      </c>
      <c r="L282" s="67">
        <f>J282-3*K282</f>
        <v/>
      </c>
      <c r="M282" s="67">
        <f>J282+3*K282</f>
        <v/>
      </c>
      <c r="N282" s="61">
        <f>IF(G282="","",IF(AND(G282&gt;=L282,G282&lt;=M282),"OK","NG"))</f>
        <v/>
      </c>
      <c r="O282" s="69">
        <f>IF(N282="","",IF(N282=D282,1,0))</f>
        <v/>
      </c>
      <c r="P282" s="67">
        <f>IF(G282="","",J282-G282)</f>
        <v/>
      </c>
      <c r="Q282" s="67">
        <f>IF(G282="","",ABS(P282-Components!$D$2))</f>
        <v/>
      </c>
      <c r="R282" s="67">
        <f>IF(G282="","",ABS(P282-Components!$D$3))</f>
        <v/>
      </c>
      <c r="S282" s="67">
        <f>IF(G282="","",ABS(P282-Components!$D$4))</f>
        <v/>
      </c>
      <c r="T282" s="67">
        <f>IF(G282="","",ABS(P282-Components!$D$5))</f>
        <v/>
      </c>
      <c r="U282" s="67">
        <f>IF(G282="","",ABS(P282-Components!$D$6))</f>
        <v/>
      </c>
      <c r="V282" s="67">
        <f>IF(G282="","",ABS(P282-Components!$D$7))</f>
        <v/>
      </c>
      <c r="W282" s="61">
        <f>IF(G282="","",IF(N282="OK","NONE",INDEX({"S1","S2","W1","W2","N1","N2"},MATCH(MIN(Q282:V282),Q282:V282,0))))</f>
        <v/>
      </c>
      <c r="X282" s="69">
        <f>IF(G282="","",IF(W282=E282,1,0))</f>
        <v/>
      </c>
      <c r="Y282" s="70" t="n"/>
    </row>
    <row r="283">
      <c r="A283" s="61" t="n">
        <v>41</v>
      </c>
      <c r="B283" s="62" t="n">
        <v>3</v>
      </c>
      <c r="C283" s="61" t="inlineStr">
        <is>
          <t>R6</t>
        </is>
      </c>
      <c r="D283" s="63" t="inlineStr">
        <is>
          <t>OK</t>
        </is>
      </c>
      <c r="E283" s="61" t="inlineStr">
        <is>
          <t>NONE</t>
        </is>
      </c>
      <c r="F283" s="61" t="inlineStr">
        <is>
          <t>K041</t>
        </is>
      </c>
      <c r="G283" s="75" t="n">
        <v>8.529999999999999</v>
      </c>
      <c r="H283" s="65" t="n"/>
      <c r="I283" s="66" t="n"/>
      <c r="J283" s="67">
        <f>VLOOKUP(C283,Recipes!$A$2:$N$4,10,FALSE())</f>
        <v/>
      </c>
      <c r="K283" s="68">
        <f>VLOOKUP(C283,Recipes!$A$2:$N$4,12,FALSE())</f>
        <v/>
      </c>
      <c r="L283" s="67">
        <f>J283-3*K283</f>
        <v/>
      </c>
      <c r="M283" s="67">
        <f>J283+3*K283</f>
        <v/>
      </c>
      <c r="N283" s="61">
        <f>IF(G283="","",IF(AND(G283&gt;=L283,G283&lt;=M283),"OK","NG"))</f>
        <v/>
      </c>
      <c r="O283" s="69">
        <f>IF(N283="","",IF(N283=D283,1,0))</f>
        <v/>
      </c>
      <c r="P283" s="67">
        <f>IF(G283="","",J283-G283)</f>
        <v/>
      </c>
      <c r="Q283" s="67">
        <f>IF(G283="","",ABS(P283-Components!$D$2))</f>
        <v/>
      </c>
      <c r="R283" s="67">
        <f>IF(G283="","",ABS(P283-Components!$D$3))</f>
        <v/>
      </c>
      <c r="S283" s="67">
        <f>IF(G283="","",ABS(P283-Components!$D$4))</f>
        <v/>
      </c>
      <c r="T283" s="67">
        <f>IF(G283="","",ABS(P283-Components!$D$5))</f>
        <v/>
      </c>
      <c r="U283" s="67">
        <f>IF(G283="","",ABS(P283-Components!$D$6))</f>
        <v/>
      </c>
      <c r="V283" s="67">
        <f>IF(G283="","",ABS(P283-Components!$D$7))</f>
        <v/>
      </c>
      <c r="W283" s="61">
        <f>IF(G283="","",IF(N283="OK","NONE",INDEX({"S1","S2","W1","W2","N1","N2"},MATCH(MIN(Q283:V283),Q283:V283,0))))</f>
        <v/>
      </c>
      <c r="X283" s="69">
        <f>IF(G283="","",IF(W283=E283,1,0))</f>
        <v/>
      </c>
      <c r="Y283" s="70" t="n"/>
    </row>
    <row r="284">
      <c r="A284" s="61" t="n">
        <v>41</v>
      </c>
      <c r="B284" s="62" t="n">
        <v>3</v>
      </c>
      <c r="C284" s="61" t="inlineStr">
        <is>
          <t>R6</t>
        </is>
      </c>
      <c r="D284" s="63" t="inlineStr">
        <is>
          <t>OK</t>
        </is>
      </c>
      <c r="E284" s="61" t="inlineStr">
        <is>
          <t>NONE</t>
        </is>
      </c>
      <c r="F284" s="61" t="inlineStr">
        <is>
          <t>K041</t>
        </is>
      </c>
      <c r="G284" s="75" t="n">
        <v>8.640000000000001</v>
      </c>
      <c r="H284" s="65" t="n"/>
      <c r="I284" s="66" t="n"/>
      <c r="J284" s="67">
        <f>VLOOKUP(C284,Recipes!$A$2:$N$4,10,FALSE())</f>
        <v/>
      </c>
      <c r="K284" s="68">
        <f>VLOOKUP(C284,Recipes!$A$2:$N$4,12,FALSE())</f>
        <v/>
      </c>
      <c r="L284" s="67">
        <f>J284-3*K284</f>
        <v/>
      </c>
      <c r="M284" s="67">
        <f>J284+3*K284</f>
        <v/>
      </c>
      <c r="N284" s="61">
        <f>IF(G284="","",IF(AND(G284&gt;=L284,G284&lt;=M284),"OK","NG"))</f>
        <v/>
      </c>
      <c r="O284" s="69">
        <f>IF(N284="","",IF(N284=D284,1,0))</f>
        <v/>
      </c>
      <c r="P284" s="67">
        <f>IF(G284="","",J284-G284)</f>
        <v/>
      </c>
      <c r="Q284" s="67">
        <f>IF(G284="","",ABS(P284-Components!$D$2))</f>
        <v/>
      </c>
      <c r="R284" s="67">
        <f>IF(G284="","",ABS(P284-Components!$D$3))</f>
        <v/>
      </c>
      <c r="S284" s="67">
        <f>IF(G284="","",ABS(P284-Components!$D$4))</f>
        <v/>
      </c>
      <c r="T284" s="67">
        <f>IF(G284="","",ABS(P284-Components!$D$5))</f>
        <v/>
      </c>
      <c r="U284" s="67">
        <f>IF(G284="","",ABS(P284-Components!$D$6))</f>
        <v/>
      </c>
      <c r="V284" s="67">
        <f>IF(G284="","",ABS(P284-Components!$D$7))</f>
        <v/>
      </c>
      <c r="W284" s="61">
        <f>IF(G284="","",IF(N284="OK","NONE",INDEX({"S1","S2","W1","W2","N1","N2"},MATCH(MIN(Q284:V284),Q284:V284,0))))</f>
        <v/>
      </c>
      <c r="X284" s="69">
        <f>IF(G284="","",IF(W284=E284,1,0))</f>
        <v/>
      </c>
      <c r="Y284" s="70" t="n"/>
    </row>
    <row r="285">
      <c r="A285" s="61" t="n">
        <v>41</v>
      </c>
      <c r="B285" s="62" t="n">
        <v>3</v>
      </c>
      <c r="C285" s="61" t="inlineStr">
        <is>
          <t>R6</t>
        </is>
      </c>
      <c r="D285" s="63" t="inlineStr">
        <is>
          <t>OK</t>
        </is>
      </c>
      <c r="E285" s="61" t="inlineStr">
        <is>
          <t>NONE</t>
        </is>
      </c>
      <c r="F285" s="61" t="inlineStr">
        <is>
          <t>K041</t>
        </is>
      </c>
      <c r="G285" s="75" t="n">
        <v>8.57</v>
      </c>
      <c r="H285" s="65" t="n"/>
      <c r="I285" s="66" t="n"/>
      <c r="J285" s="67">
        <f>VLOOKUP(C285,Recipes!$A$2:$N$4,10,FALSE())</f>
        <v/>
      </c>
      <c r="K285" s="68">
        <f>VLOOKUP(C285,Recipes!$A$2:$N$4,12,FALSE())</f>
        <v/>
      </c>
      <c r="L285" s="67">
        <f>J285-3*K285</f>
        <v/>
      </c>
      <c r="M285" s="67">
        <f>J285+3*K285</f>
        <v/>
      </c>
      <c r="N285" s="61">
        <f>IF(G285="","",IF(AND(G285&gt;=L285,G285&lt;=M285),"OK","NG"))</f>
        <v/>
      </c>
      <c r="O285" s="69">
        <f>IF(N285="","",IF(N285=D285,1,0))</f>
        <v/>
      </c>
      <c r="P285" s="67">
        <f>IF(G285="","",J285-G285)</f>
        <v/>
      </c>
      <c r="Q285" s="67">
        <f>IF(G285="","",ABS(P285-Components!$D$2))</f>
        <v/>
      </c>
      <c r="R285" s="67">
        <f>IF(G285="","",ABS(P285-Components!$D$3))</f>
        <v/>
      </c>
      <c r="S285" s="67">
        <f>IF(G285="","",ABS(P285-Components!$D$4))</f>
        <v/>
      </c>
      <c r="T285" s="67">
        <f>IF(G285="","",ABS(P285-Components!$D$5))</f>
        <v/>
      </c>
      <c r="U285" s="67">
        <f>IF(G285="","",ABS(P285-Components!$D$6))</f>
        <v/>
      </c>
      <c r="V285" s="67">
        <f>IF(G285="","",ABS(P285-Components!$D$7))</f>
        <v/>
      </c>
      <c r="W285" s="61">
        <f>IF(G285="","",IF(N285="OK","NONE",INDEX({"S1","S2","W1","W2","N1","N2"},MATCH(MIN(Q285:V285),Q285:V285,0))))</f>
        <v/>
      </c>
      <c r="X285" s="69">
        <f>IF(G285="","",IF(W285=E285,1,0))</f>
        <v/>
      </c>
      <c r="Y285" s="70" t="n"/>
    </row>
    <row r="286">
      <c r="A286" s="61" t="n">
        <v>41</v>
      </c>
      <c r="B286" s="62" t="n">
        <v>3</v>
      </c>
      <c r="C286" s="61" t="inlineStr">
        <is>
          <t>R6</t>
        </is>
      </c>
      <c r="D286" s="63" t="inlineStr">
        <is>
          <t>OK</t>
        </is>
      </c>
      <c r="E286" s="61" t="inlineStr">
        <is>
          <t>NONE</t>
        </is>
      </c>
      <c r="F286" s="61" t="inlineStr">
        <is>
          <t>K041</t>
        </is>
      </c>
      <c r="G286" s="75" t="n">
        <v>8.58</v>
      </c>
      <c r="H286" s="65" t="n"/>
      <c r="I286" s="66" t="n"/>
      <c r="J286" s="67">
        <f>VLOOKUP(C286,Recipes!$A$2:$N$4,10,FALSE())</f>
        <v/>
      </c>
      <c r="K286" s="68">
        <f>VLOOKUP(C286,Recipes!$A$2:$N$4,12,FALSE())</f>
        <v/>
      </c>
      <c r="L286" s="67">
        <f>J286-3*K286</f>
        <v/>
      </c>
      <c r="M286" s="67">
        <f>J286+3*K286</f>
        <v/>
      </c>
      <c r="N286" s="61">
        <f>IF(G286="","",IF(AND(G286&gt;=L286,G286&lt;=M286),"OK","NG"))</f>
        <v/>
      </c>
      <c r="O286" s="69">
        <f>IF(N286="","",IF(N286=D286,1,0))</f>
        <v/>
      </c>
      <c r="P286" s="67">
        <f>IF(G286="","",J286-G286)</f>
        <v/>
      </c>
      <c r="Q286" s="67">
        <f>IF(G286="","",ABS(P286-Components!$D$2))</f>
        <v/>
      </c>
      <c r="R286" s="67">
        <f>IF(G286="","",ABS(P286-Components!$D$3))</f>
        <v/>
      </c>
      <c r="S286" s="67">
        <f>IF(G286="","",ABS(P286-Components!$D$4))</f>
        <v/>
      </c>
      <c r="T286" s="67">
        <f>IF(G286="","",ABS(P286-Components!$D$5))</f>
        <v/>
      </c>
      <c r="U286" s="67">
        <f>IF(G286="","",ABS(P286-Components!$D$6))</f>
        <v/>
      </c>
      <c r="V286" s="67">
        <f>IF(G286="","",ABS(P286-Components!$D$7))</f>
        <v/>
      </c>
      <c r="W286" s="61">
        <f>IF(G286="","",IF(N286="OK","NONE",INDEX({"S1","S2","W1","W2","N1","N2"},MATCH(MIN(Q286:V286),Q286:V286,0))))</f>
        <v/>
      </c>
      <c r="X286" s="69">
        <f>IF(G286="","",IF(W286=E286,1,0))</f>
        <v/>
      </c>
      <c r="Y286" s="70" t="n"/>
    </row>
    <row r="287">
      <c r="A287" s="61" t="n">
        <v>41</v>
      </c>
      <c r="B287" s="62" t="n">
        <v>3</v>
      </c>
      <c r="C287" s="61" t="inlineStr">
        <is>
          <t>R6</t>
        </is>
      </c>
      <c r="D287" s="63" t="inlineStr">
        <is>
          <t>OK</t>
        </is>
      </c>
      <c r="E287" s="61" t="inlineStr">
        <is>
          <t>NONE</t>
        </is>
      </c>
      <c r="F287" s="61" t="inlineStr">
        <is>
          <t>K041</t>
        </is>
      </c>
      <c r="G287" s="75" t="n">
        <v>8.630000000000001</v>
      </c>
      <c r="H287" s="65" t="n"/>
      <c r="I287" s="66" t="n"/>
      <c r="J287" s="67">
        <f>VLOOKUP(C287,Recipes!$A$2:$N$4,10,FALSE())</f>
        <v/>
      </c>
      <c r="K287" s="68">
        <f>VLOOKUP(C287,Recipes!$A$2:$N$4,12,FALSE())</f>
        <v/>
      </c>
      <c r="L287" s="67">
        <f>J287-3*K287</f>
        <v/>
      </c>
      <c r="M287" s="67">
        <f>J287+3*K287</f>
        <v/>
      </c>
      <c r="N287" s="61">
        <f>IF(G287="","",IF(AND(G287&gt;=L287,G287&lt;=M287),"OK","NG"))</f>
        <v/>
      </c>
      <c r="O287" s="69">
        <f>IF(N287="","",IF(N287=D287,1,0))</f>
        <v/>
      </c>
      <c r="P287" s="67">
        <f>IF(G287="","",J287-G287)</f>
        <v/>
      </c>
      <c r="Q287" s="67">
        <f>IF(G287="","",ABS(P287-Components!$D$2))</f>
        <v/>
      </c>
      <c r="R287" s="67">
        <f>IF(G287="","",ABS(P287-Components!$D$3))</f>
        <v/>
      </c>
      <c r="S287" s="67">
        <f>IF(G287="","",ABS(P287-Components!$D$4))</f>
        <v/>
      </c>
      <c r="T287" s="67">
        <f>IF(G287="","",ABS(P287-Components!$D$5))</f>
        <v/>
      </c>
      <c r="U287" s="67">
        <f>IF(G287="","",ABS(P287-Components!$D$6))</f>
        <v/>
      </c>
      <c r="V287" s="67">
        <f>IF(G287="","",ABS(P287-Components!$D$7))</f>
        <v/>
      </c>
      <c r="W287" s="61">
        <f>IF(G287="","",IF(N287="OK","NONE",INDEX({"S1","S2","W1","W2","N1","N2"},MATCH(MIN(Q287:V287),Q287:V287,0))))</f>
        <v/>
      </c>
      <c r="X287" s="69">
        <f>IF(G287="","",IF(W287=E287,1,0))</f>
        <v/>
      </c>
      <c r="Y287" s="70" t="n"/>
    </row>
    <row r="288">
      <c r="A288" s="61" t="n">
        <v>41</v>
      </c>
      <c r="B288" s="62" t="n">
        <v>3</v>
      </c>
      <c r="C288" s="61" t="inlineStr">
        <is>
          <t>R6</t>
        </is>
      </c>
      <c r="D288" s="63" t="inlineStr">
        <is>
          <t>OK</t>
        </is>
      </c>
      <c r="E288" s="61" t="inlineStr">
        <is>
          <t>NONE</t>
        </is>
      </c>
      <c r="F288" s="61" t="inlineStr">
        <is>
          <t>K041</t>
        </is>
      </c>
      <c r="G288" s="75" t="n">
        <v>8.6</v>
      </c>
      <c r="H288" s="65" t="n"/>
      <c r="I288" s="66" t="n"/>
      <c r="J288" s="67">
        <f>VLOOKUP(C288,Recipes!$A$2:$N$4,10,FALSE())</f>
        <v/>
      </c>
      <c r="K288" s="68">
        <f>VLOOKUP(C288,Recipes!$A$2:$N$4,12,FALSE())</f>
        <v/>
      </c>
      <c r="L288" s="67">
        <f>J288-3*K288</f>
        <v/>
      </c>
      <c r="M288" s="67">
        <f>J288+3*K288</f>
        <v/>
      </c>
      <c r="N288" s="61">
        <f>IF(G288="","",IF(AND(G288&gt;=L288,G288&lt;=M288),"OK","NG"))</f>
        <v/>
      </c>
      <c r="O288" s="69">
        <f>IF(N288="","",IF(N288=D288,1,0))</f>
        <v/>
      </c>
      <c r="P288" s="67">
        <f>IF(G288="","",J288-G288)</f>
        <v/>
      </c>
      <c r="Q288" s="67">
        <f>IF(G288="","",ABS(P288-Components!$D$2))</f>
        <v/>
      </c>
      <c r="R288" s="67">
        <f>IF(G288="","",ABS(P288-Components!$D$3))</f>
        <v/>
      </c>
      <c r="S288" s="67">
        <f>IF(G288="","",ABS(P288-Components!$D$4))</f>
        <v/>
      </c>
      <c r="T288" s="67">
        <f>IF(G288="","",ABS(P288-Components!$D$5))</f>
        <v/>
      </c>
      <c r="U288" s="67">
        <f>IF(G288="","",ABS(P288-Components!$D$6))</f>
        <v/>
      </c>
      <c r="V288" s="67">
        <f>IF(G288="","",ABS(P288-Components!$D$7))</f>
        <v/>
      </c>
      <c r="W288" s="61">
        <f>IF(G288="","",IF(N288="OK","NONE",INDEX({"S1","S2","W1","W2","N1","N2"},MATCH(MIN(Q288:V288),Q288:V288,0))))</f>
        <v/>
      </c>
      <c r="X288" s="69">
        <f>IF(G288="","",IF(W288=E288,1,0))</f>
        <v/>
      </c>
      <c r="Y288" s="70" t="n"/>
    </row>
    <row r="289">
      <c r="A289" s="61" t="n">
        <v>41</v>
      </c>
      <c r="B289" s="62" t="n">
        <v>3</v>
      </c>
      <c r="C289" s="61" t="inlineStr">
        <is>
          <t>R6</t>
        </is>
      </c>
      <c r="D289" s="63" t="inlineStr">
        <is>
          <t>OK</t>
        </is>
      </c>
      <c r="E289" s="61" t="inlineStr">
        <is>
          <t>NONE</t>
        </is>
      </c>
      <c r="F289" s="61" t="inlineStr">
        <is>
          <t>K041</t>
        </is>
      </c>
      <c r="G289" s="75" t="n">
        <v>8.619999999999999</v>
      </c>
      <c r="H289" s="65" t="n"/>
      <c r="I289" s="66" t="n"/>
      <c r="J289" s="67">
        <f>VLOOKUP(C289,Recipes!$A$2:$N$4,10,FALSE())</f>
        <v/>
      </c>
      <c r="K289" s="68">
        <f>VLOOKUP(C289,Recipes!$A$2:$N$4,12,FALSE())</f>
        <v/>
      </c>
      <c r="L289" s="67">
        <f>J289-3*K289</f>
        <v/>
      </c>
      <c r="M289" s="67">
        <f>J289+3*K289</f>
        <v/>
      </c>
      <c r="N289" s="61">
        <f>IF(G289="","",IF(AND(G289&gt;=L289,G289&lt;=M289),"OK","NG"))</f>
        <v/>
      </c>
      <c r="O289" s="69">
        <f>IF(N289="","",IF(N289=D289,1,0))</f>
        <v/>
      </c>
      <c r="P289" s="67">
        <f>IF(G289="","",J289-G289)</f>
        <v/>
      </c>
      <c r="Q289" s="67">
        <f>IF(G289="","",ABS(P289-Components!$D$2))</f>
        <v/>
      </c>
      <c r="R289" s="67">
        <f>IF(G289="","",ABS(P289-Components!$D$3))</f>
        <v/>
      </c>
      <c r="S289" s="67">
        <f>IF(G289="","",ABS(P289-Components!$D$4))</f>
        <v/>
      </c>
      <c r="T289" s="67">
        <f>IF(G289="","",ABS(P289-Components!$D$5))</f>
        <v/>
      </c>
      <c r="U289" s="67">
        <f>IF(G289="","",ABS(P289-Components!$D$6))</f>
        <v/>
      </c>
      <c r="V289" s="67">
        <f>IF(G289="","",ABS(P289-Components!$D$7))</f>
        <v/>
      </c>
      <c r="W289" s="61">
        <f>IF(G289="","",IF(N289="OK","NONE",INDEX({"S1","S2","W1","W2","N1","N2"},MATCH(MIN(Q289:V289),Q289:V289,0))))</f>
        <v/>
      </c>
      <c r="X289" s="69">
        <f>IF(G289="","",IF(W289=E289,1,0))</f>
        <v/>
      </c>
      <c r="Y289" s="70" t="n"/>
    </row>
    <row r="290">
      <c r="A290" s="61" t="n">
        <v>41</v>
      </c>
      <c r="B290" s="62" t="n">
        <v>3</v>
      </c>
      <c r="C290" s="61" t="inlineStr">
        <is>
          <t>R6</t>
        </is>
      </c>
      <c r="D290" s="63" t="inlineStr">
        <is>
          <t>OK</t>
        </is>
      </c>
      <c r="E290" s="61" t="inlineStr">
        <is>
          <t>NONE</t>
        </is>
      </c>
      <c r="F290" s="61" t="inlineStr">
        <is>
          <t>K041</t>
        </is>
      </c>
      <c r="G290" s="75" t="n">
        <v>8.41</v>
      </c>
      <c r="H290" s="65" t="n"/>
      <c r="I290" s="66" t="n"/>
      <c r="J290" s="67">
        <f>VLOOKUP(C290,Recipes!$A$2:$N$4,10,FALSE())</f>
        <v/>
      </c>
      <c r="K290" s="68">
        <f>VLOOKUP(C290,Recipes!$A$2:$N$4,12,FALSE())</f>
        <v/>
      </c>
      <c r="L290" s="67">
        <f>J290-3*K290</f>
        <v/>
      </c>
      <c r="M290" s="67">
        <f>J290+3*K290</f>
        <v/>
      </c>
      <c r="N290" s="61">
        <f>IF(G290="","",IF(AND(G290&gt;=L290,G290&lt;=M290),"OK","NG"))</f>
        <v/>
      </c>
      <c r="O290" s="69">
        <f>IF(N290="","",IF(N290=D290,1,0))</f>
        <v/>
      </c>
      <c r="P290" s="67">
        <f>IF(G290="","",J290-G290)</f>
        <v/>
      </c>
      <c r="Q290" s="67">
        <f>IF(G290="","",ABS(P290-Components!$D$2))</f>
        <v/>
      </c>
      <c r="R290" s="67">
        <f>IF(G290="","",ABS(P290-Components!$D$3))</f>
        <v/>
      </c>
      <c r="S290" s="67">
        <f>IF(G290="","",ABS(P290-Components!$D$4))</f>
        <v/>
      </c>
      <c r="T290" s="67">
        <f>IF(G290="","",ABS(P290-Components!$D$5))</f>
        <v/>
      </c>
      <c r="U290" s="67">
        <f>IF(G290="","",ABS(P290-Components!$D$6))</f>
        <v/>
      </c>
      <c r="V290" s="67">
        <f>IF(G290="","",ABS(P290-Components!$D$7))</f>
        <v/>
      </c>
      <c r="W290" s="61">
        <f>IF(G290="","",IF(N290="OK","NONE",INDEX({"S1","S2","W1","W2","N1","N2"},MATCH(MIN(Q290:V290),Q290:V290,0))))</f>
        <v/>
      </c>
      <c r="X290" s="71">
        <f>IF(G290="","",IF(W290=E290,1,0))</f>
        <v/>
      </c>
      <c r="Y290" s="70" t="n"/>
    </row>
    <row r="291">
      <c r="A291" s="61" t="n">
        <v>41</v>
      </c>
      <c r="B291" s="62" t="n">
        <v>3</v>
      </c>
      <c r="C291" s="61" t="inlineStr">
        <is>
          <t>R6</t>
        </is>
      </c>
      <c r="D291" s="63" t="inlineStr">
        <is>
          <t>OK</t>
        </is>
      </c>
      <c r="E291" s="61" t="inlineStr">
        <is>
          <t>NONE</t>
        </is>
      </c>
      <c r="F291" s="61" t="inlineStr">
        <is>
          <t>K041</t>
        </is>
      </c>
      <c r="G291" s="75" t="n">
        <v>8.609999999999999</v>
      </c>
      <c r="H291" s="65" t="n"/>
      <c r="I291" s="66" t="n"/>
      <c r="J291" s="67">
        <f>VLOOKUP(C291,Recipes!$A$2:$N$4,10,FALSE())</f>
        <v/>
      </c>
      <c r="K291" s="68">
        <f>VLOOKUP(C291,Recipes!$A$2:$N$4,12,FALSE())</f>
        <v/>
      </c>
      <c r="L291" s="67">
        <f>J291-3*K291</f>
        <v/>
      </c>
      <c r="M291" s="67">
        <f>J291+3*K291</f>
        <v/>
      </c>
      <c r="N291" s="61">
        <f>IF(G291="","",IF(AND(G291&gt;=L291,G291&lt;=M291),"OK","NG"))</f>
        <v/>
      </c>
      <c r="O291" s="69">
        <f>IF(N291="","",IF(N291=D291,1,0))</f>
        <v/>
      </c>
      <c r="P291" s="67">
        <f>IF(G291="","",J291-G291)</f>
        <v/>
      </c>
      <c r="Q291" s="67">
        <f>IF(G291="","",ABS(P291-Components!$D$2))</f>
        <v/>
      </c>
      <c r="R291" s="67">
        <f>IF(G291="","",ABS(P291-Components!$D$3))</f>
        <v/>
      </c>
      <c r="S291" s="67">
        <f>IF(G291="","",ABS(P291-Components!$D$4))</f>
        <v/>
      </c>
      <c r="T291" s="67">
        <f>IF(G291="","",ABS(P291-Components!$D$5))</f>
        <v/>
      </c>
      <c r="U291" s="67">
        <f>IF(G291="","",ABS(P291-Components!$D$6))</f>
        <v/>
      </c>
      <c r="V291" s="67">
        <f>IF(G291="","",ABS(P291-Components!$D$7))</f>
        <v/>
      </c>
      <c r="W291" s="61">
        <f>IF(G291="","",IF(N291="OK","NONE",INDEX({"S1","S2","W1","W2","N1","N2"},MATCH(MIN(Q291:V291),Q291:V291,0))))</f>
        <v/>
      </c>
      <c r="X291" s="69">
        <f>IF(G291="","",IF(W291=E291,1,0))</f>
        <v/>
      </c>
      <c r="Y291" s="70" t="n"/>
    </row>
    <row r="292">
      <c r="A292" s="61" t="n">
        <v>41</v>
      </c>
      <c r="B292" s="62" t="n">
        <v>3</v>
      </c>
      <c r="C292" s="61" t="inlineStr">
        <is>
          <t>R6</t>
        </is>
      </c>
      <c r="D292" s="63" t="inlineStr">
        <is>
          <t>OK</t>
        </is>
      </c>
      <c r="E292" s="61" t="inlineStr">
        <is>
          <t>NONE</t>
        </is>
      </c>
      <c r="F292" s="61" t="inlineStr">
        <is>
          <t>K041</t>
        </is>
      </c>
      <c r="G292" s="75" t="n">
        <v>8.609999999999999</v>
      </c>
      <c r="H292" s="65" t="n"/>
      <c r="I292" s="66" t="n"/>
      <c r="J292" s="67">
        <f>VLOOKUP(C292,Recipes!$A$2:$N$4,10,FALSE())</f>
        <v/>
      </c>
      <c r="K292" s="68">
        <f>VLOOKUP(C292,Recipes!$A$2:$N$4,12,FALSE())</f>
        <v/>
      </c>
      <c r="L292" s="67">
        <f>J292-3*K292</f>
        <v/>
      </c>
      <c r="M292" s="67">
        <f>J292+3*K292</f>
        <v/>
      </c>
      <c r="N292" s="61">
        <f>IF(G292="","",IF(AND(G292&gt;=L292,G292&lt;=M292),"OK","NG"))</f>
        <v/>
      </c>
      <c r="O292" s="69">
        <f>IF(N292="","",IF(N292=D292,1,0))</f>
        <v/>
      </c>
      <c r="P292" s="67">
        <f>IF(G292="","",J292-G292)</f>
        <v/>
      </c>
      <c r="Q292" s="67">
        <f>IF(G292="","",ABS(P292-Components!$D$2))</f>
        <v/>
      </c>
      <c r="R292" s="67">
        <f>IF(G292="","",ABS(P292-Components!$D$3))</f>
        <v/>
      </c>
      <c r="S292" s="67">
        <f>IF(G292="","",ABS(P292-Components!$D$4))</f>
        <v/>
      </c>
      <c r="T292" s="67">
        <f>IF(G292="","",ABS(P292-Components!$D$5))</f>
        <v/>
      </c>
      <c r="U292" s="67">
        <f>IF(G292="","",ABS(P292-Components!$D$6))</f>
        <v/>
      </c>
      <c r="V292" s="67">
        <f>IF(G292="","",ABS(P292-Components!$D$7))</f>
        <v/>
      </c>
      <c r="W292" s="61">
        <f>IF(G292="","",IF(N292="OK","NONE",INDEX({"S1","S2","W1","W2","N1","N2"},MATCH(MIN(Q292:V292),Q292:V292,0))))</f>
        <v/>
      </c>
      <c r="X292" s="69">
        <f>IF(G292="","",IF(W292=E292,1,0))</f>
        <v/>
      </c>
      <c r="Y292" s="70" t="n"/>
    </row>
    <row r="293">
      <c r="A293" s="61" t="n">
        <v>41</v>
      </c>
      <c r="B293" s="62" t="n">
        <v>3</v>
      </c>
      <c r="C293" s="61" t="inlineStr">
        <is>
          <t>R6</t>
        </is>
      </c>
      <c r="D293" s="63" t="inlineStr">
        <is>
          <t>OK</t>
        </is>
      </c>
      <c r="E293" s="61" t="inlineStr">
        <is>
          <t>NONE</t>
        </is>
      </c>
      <c r="F293" s="61" t="inlineStr">
        <is>
          <t>K041</t>
        </is>
      </c>
      <c r="G293" s="75" t="n">
        <v>8.539999999999999</v>
      </c>
      <c r="H293" s="65" t="n"/>
      <c r="I293" s="66" t="n"/>
      <c r="J293" s="67">
        <f>VLOOKUP(C293,Recipes!$A$2:$N$4,10,FALSE())</f>
        <v/>
      </c>
      <c r="K293" s="68">
        <f>VLOOKUP(C293,Recipes!$A$2:$N$4,12,FALSE())</f>
        <v/>
      </c>
      <c r="L293" s="67">
        <f>J293-3*K293</f>
        <v/>
      </c>
      <c r="M293" s="67">
        <f>J293+3*K293</f>
        <v/>
      </c>
      <c r="N293" s="61">
        <f>IF(G293="","",IF(AND(G293&gt;=L293,G293&lt;=M293),"OK","NG"))</f>
        <v/>
      </c>
      <c r="O293" s="69">
        <f>IF(N293="","",IF(N293=D293,1,0))</f>
        <v/>
      </c>
      <c r="P293" s="67">
        <f>IF(G293="","",J293-G293)</f>
        <v/>
      </c>
      <c r="Q293" s="67">
        <f>IF(G293="","",ABS(P293-Components!$D$2))</f>
        <v/>
      </c>
      <c r="R293" s="67">
        <f>IF(G293="","",ABS(P293-Components!$D$3))</f>
        <v/>
      </c>
      <c r="S293" s="67">
        <f>IF(G293="","",ABS(P293-Components!$D$4))</f>
        <v/>
      </c>
      <c r="T293" s="67">
        <f>IF(G293="","",ABS(P293-Components!$D$5))</f>
        <v/>
      </c>
      <c r="U293" s="67">
        <f>IF(G293="","",ABS(P293-Components!$D$6))</f>
        <v/>
      </c>
      <c r="V293" s="67">
        <f>IF(G293="","",ABS(P293-Components!$D$7))</f>
        <v/>
      </c>
      <c r="W293" s="61">
        <f>IF(G293="","",IF(N293="OK","NONE",INDEX({"S1","S2","W1","W2","N1","N2"},MATCH(MIN(Q293:V293),Q293:V293,0))))</f>
        <v/>
      </c>
      <c r="X293" s="69">
        <f>IF(G293="","",IF(W293=E293,1,0))</f>
        <v/>
      </c>
      <c r="Y293" s="70" t="n"/>
    </row>
    <row r="294">
      <c r="A294" s="61" t="n">
        <v>41</v>
      </c>
      <c r="B294" s="62" t="n">
        <v>3</v>
      </c>
      <c r="C294" s="61" t="inlineStr">
        <is>
          <t>R6</t>
        </is>
      </c>
      <c r="D294" s="63" t="inlineStr">
        <is>
          <t>OK</t>
        </is>
      </c>
      <c r="E294" s="61" t="inlineStr">
        <is>
          <t>NONE</t>
        </is>
      </c>
      <c r="F294" s="61" t="inlineStr">
        <is>
          <t>K041</t>
        </is>
      </c>
      <c r="G294" s="75" t="n">
        <v>8.59</v>
      </c>
      <c r="H294" s="65" t="n"/>
      <c r="I294" s="66" t="n"/>
      <c r="J294" s="67">
        <f>VLOOKUP(C294,Recipes!$A$2:$N$4,10,FALSE())</f>
        <v/>
      </c>
      <c r="K294" s="68">
        <f>VLOOKUP(C294,Recipes!$A$2:$N$4,12,FALSE())</f>
        <v/>
      </c>
      <c r="L294" s="67">
        <f>J294-3*K294</f>
        <v/>
      </c>
      <c r="M294" s="67">
        <f>J294+3*K294</f>
        <v/>
      </c>
      <c r="N294" s="61">
        <f>IF(G294="","",IF(AND(G294&gt;=L294,G294&lt;=M294),"OK","NG"))</f>
        <v/>
      </c>
      <c r="O294" s="69">
        <f>IF(N294="","",IF(N294=D294,1,0))</f>
        <v/>
      </c>
      <c r="P294" s="67">
        <f>IF(G294="","",J294-G294)</f>
        <v/>
      </c>
      <c r="Q294" s="67">
        <f>IF(G294="","",ABS(P294-Components!$D$2))</f>
        <v/>
      </c>
      <c r="R294" s="67">
        <f>IF(G294="","",ABS(P294-Components!$D$3))</f>
        <v/>
      </c>
      <c r="S294" s="67">
        <f>IF(G294="","",ABS(P294-Components!$D$4))</f>
        <v/>
      </c>
      <c r="T294" s="67">
        <f>IF(G294="","",ABS(P294-Components!$D$5))</f>
        <v/>
      </c>
      <c r="U294" s="67">
        <f>IF(G294="","",ABS(P294-Components!$D$6))</f>
        <v/>
      </c>
      <c r="V294" s="67">
        <f>IF(G294="","",ABS(P294-Components!$D$7))</f>
        <v/>
      </c>
      <c r="W294" s="61">
        <f>IF(G294="","",IF(N294="OK","NONE",INDEX({"S1","S2","W1","W2","N1","N2"},MATCH(MIN(Q294:V294),Q294:V294,0))))</f>
        <v/>
      </c>
      <c r="X294" s="69">
        <f>IF(G294="","",IF(W294=E294,1,0))</f>
        <v/>
      </c>
      <c r="Y294" s="70" t="n"/>
    </row>
    <row r="295">
      <c r="A295" s="61" t="n">
        <v>41</v>
      </c>
      <c r="B295" s="62" t="n">
        <v>3</v>
      </c>
      <c r="C295" s="61" t="inlineStr">
        <is>
          <t>R6</t>
        </is>
      </c>
      <c r="D295" s="63" t="inlineStr">
        <is>
          <t>OK</t>
        </is>
      </c>
      <c r="E295" s="61" t="inlineStr">
        <is>
          <t>NONE</t>
        </is>
      </c>
      <c r="F295" s="61" t="inlineStr">
        <is>
          <t>K041</t>
        </is>
      </c>
      <c r="G295" s="75" t="n">
        <v>8.640000000000001</v>
      </c>
      <c r="H295" s="65" t="n"/>
      <c r="I295" s="66" t="n"/>
      <c r="J295" s="67">
        <f>VLOOKUP(C295,Recipes!$A$2:$N$4,10,FALSE())</f>
        <v/>
      </c>
      <c r="K295" s="68">
        <f>VLOOKUP(C295,Recipes!$A$2:$N$4,12,FALSE())</f>
        <v/>
      </c>
      <c r="L295" s="67">
        <f>J295-3*K295</f>
        <v/>
      </c>
      <c r="M295" s="67">
        <f>J295+3*K295</f>
        <v/>
      </c>
      <c r="N295" s="61">
        <f>IF(G295="","",IF(AND(G295&gt;=L295,G295&lt;=M295),"OK","NG"))</f>
        <v/>
      </c>
      <c r="O295" s="69">
        <f>IF(N295="","",IF(N295=D295,1,0))</f>
        <v/>
      </c>
      <c r="P295" s="67">
        <f>IF(G295="","",J295-G295)</f>
        <v/>
      </c>
      <c r="Q295" s="67">
        <f>IF(G295="","",ABS(P295-Components!$D$2))</f>
        <v/>
      </c>
      <c r="R295" s="67">
        <f>IF(G295="","",ABS(P295-Components!$D$3))</f>
        <v/>
      </c>
      <c r="S295" s="67">
        <f>IF(G295="","",ABS(P295-Components!$D$4))</f>
        <v/>
      </c>
      <c r="T295" s="67">
        <f>IF(G295="","",ABS(P295-Components!$D$5))</f>
        <v/>
      </c>
      <c r="U295" s="67">
        <f>IF(G295="","",ABS(P295-Components!$D$6))</f>
        <v/>
      </c>
      <c r="V295" s="67">
        <f>IF(G295="","",ABS(P295-Components!$D$7))</f>
        <v/>
      </c>
      <c r="W295" s="61">
        <f>IF(G295="","",IF(N295="OK","NONE",INDEX({"S1","S2","W1","W2","N1","N2"},MATCH(MIN(Q295:V295),Q295:V295,0))))</f>
        <v/>
      </c>
      <c r="X295" s="69">
        <f>IF(G295="","",IF(W295=E295,1,0))</f>
        <v/>
      </c>
      <c r="Y295" s="70" t="n"/>
    </row>
    <row r="296">
      <c r="A296" s="61" t="n">
        <v>41</v>
      </c>
      <c r="B296" s="62" t="n">
        <v>3</v>
      </c>
      <c r="C296" s="61" t="inlineStr">
        <is>
          <t>R6</t>
        </is>
      </c>
      <c r="D296" s="63" t="inlineStr">
        <is>
          <t>OK</t>
        </is>
      </c>
      <c r="E296" s="61" t="inlineStr">
        <is>
          <t>NONE</t>
        </is>
      </c>
      <c r="F296" s="61" t="inlineStr">
        <is>
          <t>K041</t>
        </is>
      </c>
      <c r="G296" s="75" t="n">
        <v>8.640000000000001</v>
      </c>
      <c r="H296" s="65" t="n"/>
      <c r="I296" s="66" t="n"/>
      <c r="J296" s="67">
        <f>VLOOKUP(C296,Recipes!$A$2:$N$4,10,FALSE())</f>
        <v/>
      </c>
      <c r="K296" s="68">
        <f>VLOOKUP(C296,Recipes!$A$2:$N$4,12,FALSE())</f>
        <v/>
      </c>
      <c r="L296" s="67">
        <f>J296-3*K296</f>
        <v/>
      </c>
      <c r="M296" s="67">
        <f>J296+3*K296</f>
        <v/>
      </c>
      <c r="N296" s="61">
        <f>IF(G296="","",IF(AND(G296&gt;=L296,G296&lt;=M296),"OK","NG"))</f>
        <v/>
      </c>
      <c r="O296" s="69">
        <f>IF(N296="","",IF(N296=D296,1,0))</f>
        <v/>
      </c>
      <c r="P296" s="67">
        <f>IF(G296="","",J296-G296)</f>
        <v/>
      </c>
      <c r="Q296" s="67">
        <f>IF(G296="","",ABS(P296-Components!$D$2))</f>
        <v/>
      </c>
      <c r="R296" s="67">
        <f>IF(G296="","",ABS(P296-Components!$D$3))</f>
        <v/>
      </c>
      <c r="S296" s="67">
        <f>IF(G296="","",ABS(P296-Components!$D$4))</f>
        <v/>
      </c>
      <c r="T296" s="67">
        <f>IF(G296="","",ABS(P296-Components!$D$5))</f>
        <v/>
      </c>
      <c r="U296" s="67">
        <f>IF(G296="","",ABS(P296-Components!$D$6))</f>
        <v/>
      </c>
      <c r="V296" s="67">
        <f>IF(G296="","",ABS(P296-Components!$D$7))</f>
        <v/>
      </c>
      <c r="W296" s="61">
        <f>IF(G296="","",IF(N296="OK","NONE",INDEX({"S1","S2","W1","W2","N1","N2"},MATCH(MIN(Q296:V296),Q296:V296,0))))</f>
        <v/>
      </c>
      <c r="X296" s="69">
        <f>IF(G296="","",IF(W296=E296,1,0))</f>
        <v/>
      </c>
      <c r="Y296" s="70" t="n"/>
    </row>
    <row r="297">
      <c r="A297" s="61" t="n">
        <v>41</v>
      </c>
      <c r="B297" s="62" t="n">
        <v>3</v>
      </c>
      <c r="C297" s="61" t="inlineStr">
        <is>
          <t>R6</t>
        </is>
      </c>
      <c r="D297" s="63" t="inlineStr">
        <is>
          <t>OK</t>
        </is>
      </c>
      <c r="E297" s="61" t="inlineStr">
        <is>
          <t>NONE</t>
        </is>
      </c>
      <c r="F297" s="61" t="inlineStr">
        <is>
          <t>K041</t>
        </is>
      </c>
      <c r="G297" s="75" t="n">
        <v>8.68</v>
      </c>
      <c r="H297" s="65" t="n"/>
      <c r="I297" s="66" t="n"/>
      <c r="J297" s="67">
        <f>VLOOKUP(C297,Recipes!$A$2:$N$4,10,FALSE())</f>
        <v/>
      </c>
      <c r="K297" s="68">
        <f>VLOOKUP(C297,Recipes!$A$2:$N$4,12,FALSE())</f>
        <v/>
      </c>
      <c r="L297" s="67">
        <f>J297-3*K297</f>
        <v/>
      </c>
      <c r="M297" s="67">
        <f>J297+3*K297</f>
        <v/>
      </c>
      <c r="N297" s="61">
        <f>IF(G297="","",IF(AND(G297&gt;=L297,G297&lt;=M297),"OK","NG"))</f>
        <v/>
      </c>
      <c r="O297" s="69">
        <f>IF(N297="","",IF(N297=D297,1,0))</f>
        <v/>
      </c>
      <c r="P297" s="67">
        <f>IF(G297="","",J297-G297)</f>
        <v/>
      </c>
      <c r="Q297" s="67">
        <f>IF(G297="","",ABS(P297-Components!$D$2))</f>
        <v/>
      </c>
      <c r="R297" s="67">
        <f>IF(G297="","",ABS(P297-Components!$D$3))</f>
        <v/>
      </c>
      <c r="S297" s="67">
        <f>IF(G297="","",ABS(P297-Components!$D$4))</f>
        <v/>
      </c>
      <c r="T297" s="67">
        <f>IF(G297="","",ABS(P297-Components!$D$5))</f>
        <v/>
      </c>
      <c r="U297" s="67">
        <f>IF(G297="","",ABS(P297-Components!$D$6))</f>
        <v/>
      </c>
      <c r="V297" s="67">
        <f>IF(G297="","",ABS(P297-Components!$D$7))</f>
        <v/>
      </c>
      <c r="W297" s="61">
        <f>IF(G297="","",IF(N297="OK","NONE",INDEX({"S1","S2","W1","W2","N1","N2"},MATCH(MIN(Q297:V297),Q297:V297,0))))</f>
        <v/>
      </c>
      <c r="X297" s="69">
        <f>IF(G297="","",IF(W297=E297,1,0))</f>
        <v/>
      </c>
      <c r="Y297" s="70" t="n"/>
    </row>
    <row r="298">
      <c r="A298" s="61" t="n">
        <v>41</v>
      </c>
      <c r="B298" s="62" t="n">
        <v>3</v>
      </c>
      <c r="C298" s="61" t="inlineStr">
        <is>
          <t>R6</t>
        </is>
      </c>
      <c r="D298" s="63" t="inlineStr">
        <is>
          <t>OK</t>
        </is>
      </c>
      <c r="E298" s="61" t="inlineStr">
        <is>
          <t>NONE</t>
        </is>
      </c>
      <c r="F298" s="61" t="inlineStr">
        <is>
          <t>K041</t>
        </is>
      </c>
      <c r="G298" s="75" t="n">
        <v>8.66</v>
      </c>
      <c r="H298" s="65" t="n"/>
      <c r="I298" s="66" t="n"/>
      <c r="J298" s="67">
        <f>VLOOKUP(C298,Recipes!$A$2:$N$4,10,FALSE())</f>
        <v/>
      </c>
      <c r="K298" s="68">
        <f>VLOOKUP(C298,Recipes!$A$2:$N$4,12,FALSE())</f>
        <v/>
      </c>
      <c r="L298" s="67">
        <f>J298-3*K298</f>
        <v/>
      </c>
      <c r="M298" s="67">
        <f>J298+3*K298</f>
        <v/>
      </c>
      <c r="N298" s="61">
        <f>IF(G298="","",IF(AND(G298&gt;=L298,G298&lt;=M298),"OK","NG"))</f>
        <v/>
      </c>
      <c r="O298" s="69">
        <f>IF(N298="","",IF(N298=D298,1,0))</f>
        <v/>
      </c>
      <c r="P298" s="67">
        <f>IF(G298="","",J298-G298)</f>
        <v/>
      </c>
      <c r="Q298" s="67">
        <f>IF(G298="","",ABS(P298-Components!$D$2))</f>
        <v/>
      </c>
      <c r="R298" s="67">
        <f>IF(G298="","",ABS(P298-Components!$D$3))</f>
        <v/>
      </c>
      <c r="S298" s="67">
        <f>IF(G298="","",ABS(P298-Components!$D$4))</f>
        <v/>
      </c>
      <c r="T298" s="67">
        <f>IF(G298="","",ABS(P298-Components!$D$5))</f>
        <v/>
      </c>
      <c r="U298" s="67">
        <f>IF(G298="","",ABS(P298-Components!$D$6))</f>
        <v/>
      </c>
      <c r="V298" s="67">
        <f>IF(G298="","",ABS(P298-Components!$D$7))</f>
        <v/>
      </c>
      <c r="W298" s="61">
        <f>IF(G298="","",IF(N298="OK","NONE",INDEX({"S1","S2","W1","W2","N1","N2"},MATCH(MIN(Q298:V298),Q298:V298,0))))</f>
        <v/>
      </c>
      <c r="X298" s="69">
        <f>IF(G298="","",IF(W298=E298,1,0))</f>
        <v/>
      </c>
      <c r="Y298" s="70" t="n"/>
    </row>
    <row r="299">
      <c r="A299" s="61" t="n">
        <v>41</v>
      </c>
      <c r="B299" s="62" t="n">
        <v>3</v>
      </c>
      <c r="C299" s="61" t="inlineStr">
        <is>
          <t>R6</t>
        </is>
      </c>
      <c r="D299" s="63" t="inlineStr">
        <is>
          <t>OK</t>
        </is>
      </c>
      <c r="E299" s="61" t="inlineStr">
        <is>
          <t>NONE</t>
        </is>
      </c>
      <c r="F299" s="61" t="inlineStr">
        <is>
          <t>K041</t>
        </is>
      </c>
      <c r="G299" s="75" t="n">
        <v>8.58</v>
      </c>
      <c r="H299" s="65" t="n"/>
      <c r="I299" s="66" t="n"/>
      <c r="J299" s="67">
        <f>VLOOKUP(C299,Recipes!$A$2:$N$4,10,FALSE())</f>
        <v/>
      </c>
      <c r="K299" s="68">
        <f>VLOOKUP(C299,Recipes!$A$2:$N$4,12,FALSE())</f>
        <v/>
      </c>
      <c r="L299" s="67">
        <f>J299-3*K299</f>
        <v/>
      </c>
      <c r="M299" s="67">
        <f>J299+3*K299</f>
        <v/>
      </c>
      <c r="N299" s="61">
        <f>IF(G299="","",IF(AND(G299&gt;=L299,G299&lt;=M299),"OK","NG"))</f>
        <v/>
      </c>
      <c r="O299" s="69">
        <f>IF(N299="","",IF(N299=D299,1,0))</f>
        <v/>
      </c>
      <c r="P299" s="67">
        <f>IF(G299="","",J299-G299)</f>
        <v/>
      </c>
      <c r="Q299" s="67">
        <f>IF(G299="","",ABS(P299-Components!$D$2))</f>
        <v/>
      </c>
      <c r="R299" s="67">
        <f>IF(G299="","",ABS(P299-Components!$D$3))</f>
        <v/>
      </c>
      <c r="S299" s="67">
        <f>IF(G299="","",ABS(P299-Components!$D$4))</f>
        <v/>
      </c>
      <c r="T299" s="67">
        <f>IF(G299="","",ABS(P299-Components!$D$5))</f>
        <v/>
      </c>
      <c r="U299" s="67">
        <f>IF(G299="","",ABS(P299-Components!$D$6))</f>
        <v/>
      </c>
      <c r="V299" s="67">
        <f>IF(G299="","",ABS(P299-Components!$D$7))</f>
        <v/>
      </c>
      <c r="W299" s="61">
        <f>IF(G299="","",IF(N299="OK","NONE",INDEX({"S1","S2","W1","W2","N1","N2"},MATCH(MIN(Q299:V299),Q299:V299,0))))</f>
        <v/>
      </c>
      <c r="X299" s="69">
        <f>IF(G299="","",IF(W299=E299,1,0))</f>
        <v/>
      </c>
      <c r="Y299" s="70" t="n"/>
    </row>
    <row r="300">
      <c r="A300" s="61" t="n">
        <v>43</v>
      </c>
      <c r="B300" s="62" t="n">
        <v>38</v>
      </c>
      <c r="C300" s="61" t="inlineStr">
        <is>
          <t>R6</t>
        </is>
      </c>
      <c r="D300" s="63" t="inlineStr">
        <is>
          <t>OK</t>
        </is>
      </c>
      <c r="E300" s="61" t="inlineStr">
        <is>
          <t>NONE</t>
        </is>
      </c>
      <c r="F300" s="61" t="inlineStr">
        <is>
          <t>K043</t>
        </is>
      </c>
      <c r="G300" s="64" t="n">
        <v>8.630000000000001</v>
      </c>
      <c r="H300" s="65" t="n"/>
      <c r="I300" s="66" t="n"/>
      <c r="J300" s="67">
        <f>VLOOKUP(C300,Recipes!$A$2:$N$4,10,FALSE())</f>
        <v/>
      </c>
      <c r="K300" s="68">
        <f>VLOOKUP(C300,Recipes!$A$2:$N$4,12,FALSE())</f>
        <v/>
      </c>
      <c r="L300" s="67">
        <f>J300-3*K300</f>
        <v/>
      </c>
      <c r="M300" s="67">
        <f>J300+3*K300</f>
        <v/>
      </c>
      <c r="N300" s="61">
        <f>IF(G300="","",IF(AND(G300&gt;=L300,G300&lt;=M300),"OK","NG"))</f>
        <v/>
      </c>
      <c r="O300" s="69">
        <f>IF(N300="","",IF(N300=D300,1,0))</f>
        <v/>
      </c>
      <c r="P300" s="67">
        <f>IF(G300="","",J300-G300)</f>
        <v/>
      </c>
      <c r="Q300" s="67">
        <f>IF(G300="","",ABS(P300-Components!$D$2))</f>
        <v/>
      </c>
      <c r="R300" s="67">
        <f>IF(G300="","",ABS(P300-Components!$D$3))</f>
        <v/>
      </c>
      <c r="S300" s="67">
        <f>IF(G300="","",ABS(P300-Components!$D$4))</f>
        <v/>
      </c>
      <c r="T300" s="67">
        <f>IF(G300="","",ABS(P300-Components!$D$5))</f>
        <v/>
      </c>
      <c r="U300" s="67">
        <f>IF(G300="","",ABS(P300-Components!$D$6))</f>
        <v/>
      </c>
      <c r="V300" s="67">
        <f>IF(G300="","",ABS(P300-Components!$D$7))</f>
        <v/>
      </c>
      <c r="W300" s="61">
        <f>IF(G300="","",IF(N300="OK","NONE",INDEX({"S1","S2","W1","W2","N1","N2"},MATCH(MIN(Q300:V300),Q300:V300,0))))</f>
        <v/>
      </c>
      <c r="X300" s="69">
        <f>IF(G300="","",IF(W300=E300,1,0))</f>
        <v/>
      </c>
      <c r="Y300" s="70" t="n"/>
    </row>
    <row r="301">
      <c r="A301" s="79" t="n"/>
      <c r="B301" s="80" t="n"/>
      <c r="C301" s="76" t="inlineStr">
        <is>
          <t>R6</t>
        </is>
      </c>
      <c r="D301" s="77" t="inlineStr">
        <is>
          <t>OK</t>
        </is>
      </c>
      <c r="E301" s="76" t="inlineStr">
        <is>
          <t>NONE</t>
        </is>
      </c>
      <c r="F301" s="81" t="n"/>
      <c r="G301" s="75" t="n">
        <v>8.619999999999999</v>
      </c>
      <c r="H301" s="65" t="n"/>
      <c r="I301" s="66" t="n"/>
      <c r="J301" s="67">
        <f>VLOOKUP(C301,Recipes!$A$2:$N$4,10,FALSE())</f>
        <v/>
      </c>
      <c r="K301" s="68">
        <f>VLOOKUP(C301,Recipes!$A$2:$N$4,12,FALSE())</f>
        <v/>
      </c>
      <c r="L301" s="67">
        <f>J301-3*K301</f>
        <v/>
      </c>
      <c r="M301" s="67">
        <f>J301+3*K301</f>
        <v/>
      </c>
      <c r="N301" s="61">
        <f>IF(G301="","",IF(AND(G301&gt;=L301,G301&lt;=M301),"OK","NG"))</f>
        <v/>
      </c>
      <c r="O301" s="69">
        <f>IF(N301="","",IF(N301=D301,1,0))</f>
        <v/>
      </c>
      <c r="P301" s="67">
        <f>IF(G301="","",J301-G301)</f>
        <v/>
      </c>
      <c r="Q301" s="67">
        <f>IF(G301="","",ABS(P301-Components!$D$2))</f>
        <v/>
      </c>
      <c r="R301" s="67">
        <f>IF(G301="","",ABS(P301-Components!$D$3))</f>
        <v/>
      </c>
      <c r="S301" s="67">
        <f>IF(G301="","",ABS(P301-Components!$D$4))</f>
        <v/>
      </c>
      <c r="T301" s="67">
        <f>IF(G301="","",ABS(P301-Components!$D$5))</f>
        <v/>
      </c>
      <c r="U301" s="67">
        <f>IF(G301="","",ABS(P301-Components!$D$6))</f>
        <v/>
      </c>
      <c r="V301" s="67">
        <f>IF(G301="","",ABS(P301-Components!$D$7))</f>
        <v/>
      </c>
      <c r="W301" s="61">
        <f>IF(G301="","",IF(N301="OK","NONE",INDEX({"S1","S2","W1","W2","N1","N2"},MATCH(MIN(Q301:V301),Q301:V301,0))))</f>
        <v/>
      </c>
      <c r="X301" s="69">
        <f>IF(G301="","",IF(W301=E301,1,0))</f>
        <v/>
      </c>
      <c r="Y301" s="70" t="n"/>
    </row>
    <row r="302">
      <c r="A302" s="79" t="n"/>
      <c r="B302" s="80" t="n"/>
      <c r="C302" s="76" t="inlineStr">
        <is>
          <t>R6</t>
        </is>
      </c>
      <c r="D302" s="77" t="inlineStr">
        <is>
          <t>OK</t>
        </is>
      </c>
      <c r="E302" s="76" t="inlineStr">
        <is>
          <t>NONE</t>
        </is>
      </c>
      <c r="F302" s="81" t="n"/>
      <c r="G302" s="75" t="n">
        <v>8.58</v>
      </c>
      <c r="H302" s="65" t="n"/>
      <c r="I302" s="66" t="n"/>
      <c r="J302" s="67">
        <f>VLOOKUP(C302,Recipes!$A$2:$N$4,10,FALSE())</f>
        <v/>
      </c>
      <c r="K302" s="68">
        <f>VLOOKUP(C302,Recipes!$A$2:$N$4,12,FALSE())</f>
        <v/>
      </c>
      <c r="L302" s="67">
        <f>J302-3*K302</f>
        <v/>
      </c>
      <c r="M302" s="67">
        <f>J302+3*K302</f>
        <v/>
      </c>
      <c r="N302" s="61">
        <f>IF(G302="","",IF(AND(G302&gt;=L302,G302&lt;=M302),"OK","NG"))</f>
        <v/>
      </c>
      <c r="O302" s="69">
        <f>IF(N302="","",IF(N302=D302,1,0))</f>
        <v/>
      </c>
      <c r="P302" s="67">
        <f>IF(G302="","",J302-G302)</f>
        <v/>
      </c>
      <c r="Q302" s="67">
        <f>IF(G302="","",ABS(P302-Components!$D$2))</f>
        <v/>
      </c>
      <c r="R302" s="67">
        <f>IF(G302="","",ABS(P302-Components!$D$3))</f>
        <v/>
      </c>
      <c r="S302" s="67">
        <f>IF(G302="","",ABS(P302-Components!$D$4))</f>
        <v/>
      </c>
      <c r="T302" s="67">
        <f>IF(G302="","",ABS(P302-Components!$D$5))</f>
        <v/>
      </c>
      <c r="U302" s="67">
        <f>IF(G302="","",ABS(P302-Components!$D$6))</f>
        <v/>
      </c>
      <c r="V302" s="67">
        <f>IF(G302="","",ABS(P302-Components!$D$7))</f>
        <v/>
      </c>
      <c r="W302" s="61">
        <f>IF(G302="","",IF(N302="OK","NONE",INDEX({"S1","S2","W1","W2","N1","N2"},MATCH(MIN(Q302:V302),Q302:V302,0))))</f>
        <v/>
      </c>
      <c r="X302" s="69">
        <f>IF(G302="","",IF(W302=E302,1,0))</f>
        <v/>
      </c>
      <c r="Y302" s="70" t="n"/>
    </row>
    <row r="303">
      <c r="A303" s="61" t="n">
        <v>44</v>
      </c>
      <c r="B303" s="62" t="n">
        <v>6</v>
      </c>
      <c r="C303" s="61" t="inlineStr">
        <is>
          <t>R6</t>
        </is>
      </c>
      <c r="D303" s="74" t="inlineStr">
        <is>
          <t>NG</t>
        </is>
      </c>
      <c r="E303" s="61" t="inlineStr">
        <is>
          <t>S1</t>
        </is>
      </c>
      <c r="F303" s="61" t="inlineStr">
        <is>
          <t>K044</t>
        </is>
      </c>
      <c r="G303" s="64" t="n">
        <v>5.89</v>
      </c>
      <c r="H303" s="65" t="n"/>
      <c r="I303" s="66" t="n"/>
      <c r="J303" s="67">
        <f>VLOOKUP(C303,Recipes!$A$2:$N$4,10,FALSE())</f>
        <v/>
      </c>
      <c r="K303" s="68">
        <f>VLOOKUP(C303,Recipes!$A$2:$N$4,12,FALSE())</f>
        <v/>
      </c>
      <c r="L303" s="67">
        <f>J303-3*K303</f>
        <v/>
      </c>
      <c r="M303" s="67">
        <f>J303+3*K303</f>
        <v/>
      </c>
      <c r="N303" s="61">
        <f>IF(G303="","",IF(AND(G303&gt;=L303,G303&lt;=M303),"OK","NG"))</f>
        <v/>
      </c>
      <c r="O303" s="69">
        <f>IF(N303="","",IF(N303=D303,1,0))</f>
        <v/>
      </c>
      <c r="P303" s="67">
        <f>IF(G303="","",J303-G303)</f>
        <v/>
      </c>
      <c r="Q303" s="67">
        <f>IF(G303="","",ABS(P303-Components!$D$2))</f>
        <v/>
      </c>
      <c r="R303" s="67">
        <f>IF(G303="","",ABS(P303-Components!$D$3))</f>
        <v/>
      </c>
      <c r="S303" s="67">
        <f>IF(G303="","",ABS(P303-Components!$D$4))</f>
        <v/>
      </c>
      <c r="T303" s="67">
        <f>IF(G303="","",ABS(P303-Components!$D$5))</f>
        <v/>
      </c>
      <c r="U303" s="67">
        <f>IF(G303="","",ABS(P303-Components!$D$6))</f>
        <v/>
      </c>
      <c r="V303" s="67">
        <f>IF(G303="","",ABS(P303-Components!$D$7))</f>
        <v/>
      </c>
      <c r="W303" s="61">
        <f>IF(G303="","",IF(N303="OK","NONE",INDEX({"S1","S2","W1","W2","N1","N2"},MATCH(MIN(Q303:V303),Q303:V303,0))))</f>
        <v/>
      </c>
      <c r="X303" s="69">
        <f>IF(G303="","",IF(W303=E303,1,0))</f>
        <v/>
      </c>
      <c r="Y303" s="70" t="n"/>
    </row>
    <row r="304">
      <c r="A304" s="61" t="n">
        <v>44</v>
      </c>
      <c r="B304" s="62" t="n">
        <v>6</v>
      </c>
      <c r="C304" s="61" t="inlineStr">
        <is>
          <t>R6</t>
        </is>
      </c>
      <c r="D304" s="74" t="inlineStr">
        <is>
          <t>NG</t>
        </is>
      </c>
      <c r="E304" s="61" t="inlineStr">
        <is>
          <t>S1</t>
        </is>
      </c>
      <c r="F304" s="61" t="inlineStr">
        <is>
          <t>K044</t>
        </is>
      </c>
      <c r="G304" s="64" t="n">
        <v>5.89</v>
      </c>
      <c r="H304" s="65" t="n"/>
      <c r="I304" s="66" t="n"/>
      <c r="J304" s="67">
        <f>VLOOKUP(C304,Recipes!$A$2:$N$4,10,FALSE())</f>
        <v/>
      </c>
      <c r="K304" s="68">
        <f>VLOOKUP(C304,Recipes!$A$2:$N$4,12,FALSE())</f>
        <v/>
      </c>
      <c r="L304" s="67">
        <f>J304-3*K304</f>
        <v/>
      </c>
      <c r="M304" s="67">
        <f>J304+3*K304</f>
        <v/>
      </c>
      <c r="N304" s="61">
        <f>IF(G304="","",IF(AND(G304&gt;=L304,G304&lt;=M304),"OK","NG"))</f>
        <v/>
      </c>
      <c r="O304" s="69">
        <f>IF(N304="","",IF(N304=D304,1,0))</f>
        <v/>
      </c>
      <c r="P304" s="67">
        <f>IF(G304="","",J304-G304)</f>
        <v/>
      </c>
      <c r="Q304" s="67">
        <f>IF(G304="","",ABS(P304-Components!$D$2))</f>
        <v/>
      </c>
      <c r="R304" s="67">
        <f>IF(G304="","",ABS(P304-Components!$D$3))</f>
        <v/>
      </c>
      <c r="S304" s="67">
        <f>IF(G304="","",ABS(P304-Components!$D$4))</f>
        <v/>
      </c>
      <c r="T304" s="67">
        <f>IF(G304="","",ABS(P304-Components!$D$5))</f>
        <v/>
      </c>
      <c r="U304" s="67">
        <f>IF(G304="","",ABS(P304-Components!$D$6))</f>
        <v/>
      </c>
      <c r="V304" s="67">
        <f>IF(G304="","",ABS(P304-Components!$D$7))</f>
        <v/>
      </c>
      <c r="W304" s="61">
        <f>IF(G304="","",IF(N304="OK","NONE",INDEX({"S1","S2","W1","W2","N1","N2"},MATCH(MIN(Q304:V304),Q304:V304,0))))</f>
        <v/>
      </c>
      <c r="X304" s="69">
        <f>IF(G304="","",IF(W304=E304,1,0))</f>
        <v/>
      </c>
      <c r="Y304" s="70" t="n"/>
    </row>
    <row r="305">
      <c r="A305" s="61" t="n">
        <v>44</v>
      </c>
      <c r="B305" s="62" t="n">
        <v>6</v>
      </c>
      <c r="C305" s="61" t="inlineStr">
        <is>
          <t>R6</t>
        </is>
      </c>
      <c r="D305" s="74" t="inlineStr">
        <is>
          <t>NG</t>
        </is>
      </c>
      <c r="E305" s="61" t="inlineStr">
        <is>
          <t>S1</t>
        </is>
      </c>
      <c r="F305" s="61" t="inlineStr">
        <is>
          <t>K044</t>
        </is>
      </c>
      <c r="G305" s="75" t="n">
        <v>5.9</v>
      </c>
      <c r="H305" s="65" t="n"/>
      <c r="I305" s="66" t="n"/>
      <c r="J305" s="67">
        <f>VLOOKUP(C305,Recipes!$A$2:$N$4,10,FALSE())</f>
        <v/>
      </c>
      <c r="K305" s="68">
        <f>VLOOKUP(C305,Recipes!$A$2:$N$4,12,FALSE())</f>
        <v/>
      </c>
      <c r="L305" s="67">
        <f>J305-3*K305</f>
        <v/>
      </c>
      <c r="M305" s="67">
        <f>J305+3*K305</f>
        <v/>
      </c>
      <c r="N305" s="61">
        <f>IF(G305="","",IF(AND(G305&gt;=L305,G305&lt;=M305),"OK","NG"))</f>
        <v/>
      </c>
      <c r="O305" s="69">
        <f>IF(N305="","",IF(N305=D305,1,0))</f>
        <v/>
      </c>
      <c r="P305" s="67">
        <f>IF(G305="","",J305-G305)</f>
        <v/>
      </c>
      <c r="Q305" s="67">
        <f>IF(G305="","",ABS(P305-Components!$D$2))</f>
        <v/>
      </c>
      <c r="R305" s="67">
        <f>IF(G305="","",ABS(P305-Components!$D$3))</f>
        <v/>
      </c>
      <c r="S305" s="67">
        <f>IF(G305="","",ABS(P305-Components!$D$4))</f>
        <v/>
      </c>
      <c r="T305" s="67">
        <f>IF(G305="","",ABS(P305-Components!$D$5))</f>
        <v/>
      </c>
      <c r="U305" s="67">
        <f>IF(G305="","",ABS(P305-Components!$D$6))</f>
        <v/>
      </c>
      <c r="V305" s="67">
        <f>IF(G305="","",ABS(P305-Components!$D$7))</f>
        <v/>
      </c>
      <c r="W305" s="61">
        <f>IF(G305="","",IF(N305="OK","NONE",INDEX({"S1","S2","W1","W2","N1","N2"},MATCH(MIN(Q305:V305),Q305:V305,0))))</f>
        <v/>
      </c>
      <c r="X305" s="69">
        <f>IF(G305="","",IF(W305=E305,1,0))</f>
        <v/>
      </c>
      <c r="Y305" s="70" t="n"/>
    </row>
    <row r="306">
      <c r="A306" s="61" t="n">
        <v>44</v>
      </c>
      <c r="B306" s="62" t="n">
        <v>6</v>
      </c>
      <c r="C306" s="61" t="inlineStr">
        <is>
          <t>R6</t>
        </is>
      </c>
      <c r="D306" s="74" t="inlineStr">
        <is>
          <t>NG</t>
        </is>
      </c>
      <c r="E306" s="61" t="inlineStr">
        <is>
          <t>S1</t>
        </is>
      </c>
      <c r="F306" s="61" t="inlineStr">
        <is>
          <t>K044</t>
        </is>
      </c>
      <c r="G306" s="75" t="n">
        <v>5.88</v>
      </c>
      <c r="H306" s="65" t="n"/>
      <c r="I306" s="66" t="n"/>
      <c r="J306" s="67">
        <f>VLOOKUP(C306,Recipes!$A$2:$N$4,10,FALSE())</f>
        <v/>
      </c>
      <c r="K306" s="68">
        <f>VLOOKUP(C306,Recipes!$A$2:$N$4,12,FALSE())</f>
        <v/>
      </c>
      <c r="L306" s="67">
        <f>J306-3*K306</f>
        <v/>
      </c>
      <c r="M306" s="67">
        <f>J306+3*K306</f>
        <v/>
      </c>
      <c r="N306" s="61">
        <f>IF(G306="","",IF(AND(G306&gt;=L306,G306&lt;=M306),"OK","NG"))</f>
        <v/>
      </c>
      <c r="O306" s="69">
        <f>IF(N306="","",IF(N306=D306,1,0))</f>
        <v/>
      </c>
      <c r="P306" s="67">
        <f>IF(G306="","",J306-G306)</f>
        <v/>
      </c>
      <c r="Q306" s="67">
        <f>IF(G306="","",ABS(P306-Components!$D$2))</f>
        <v/>
      </c>
      <c r="R306" s="67">
        <f>IF(G306="","",ABS(P306-Components!$D$3))</f>
        <v/>
      </c>
      <c r="S306" s="67">
        <f>IF(G306="","",ABS(P306-Components!$D$4))</f>
        <v/>
      </c>
      <c r="T306" s="67">
        <f>IF(G306="","",ABS(P306-Components!$D$5))</f>
        <v/>
      </c>
      <c r="U306" s="67">
        <f>IF(G306="","",ABS(P306-Components!$D$6))</f>
        <v/>
      </c>
      <c r="V306" s="67">
        <f>IF(G306="","",ABS(P306-Components!$D$7))</f>
        <v/>
      </c>
      <c r="W306" s="61">
        <f>IF(G306="","",IF(N306="OK","NONE",INDEX({"S1","S2","W1","W2","N1","N2"},MATCH(MIN(Q306:V306),Q306:V306,0))))</f>
        <v/>
      </c>
      <c r="X306" s="69">
        <f>IF(G306="","",IF(W306=E306,1,0))</f>
        <v/>
      </c>
      <c r="Y306" s="70" t="n"/>
    </row>
    <row r="307">
      <c r="A307" s="61" t="n">
        <v>44</v>
      </c>
      <c r="B307" s="62" t="n">
        <v>6</v>
      </c>
      <c r="C307" s="61" t="inlineStr">
        <is>
          <t>R6</t>
        </is>
      </c>
      <c r="D307" s="74" t="inlineStr">
        <is>
          <t>NG</t>
        </is>
      </c>
      <c r="E307" s="61" t="inlineStr">
        <is>
          <t>S1</t>
        </is>
      </c>
      <c r="F307" s="61" t="inlineStr">
        <is>
          <t>K044</t>
        </is>
      </c>
      <c r="G307" s="75" t="n">
        <v>5.91</v>
      </c>
      <c r="H307" s="65" t="n"/>
      <c r="I307" s="66" t="n"/>
      <c r="J307" s="67">
        <f>VLOOKUP(C307,Recipes!$A$2:$N$4,10,FALSE())</f>
        <v/>
      </c>
      <c r="K307" s="68">
        <f>VLOOKUP(C307,Recipes!$A$2:$N$4,12,FALSE())</f>
        <v/>
      </c>
      <c r="L307" s="67">
        <f>J307-3*K307</f>
        <v/>
      </c>
      <c r="M307" s="67">
        <f>J307+3*K307</f>
        <v/>
      </c>
      <c r="N307" s="61">
        <f>IF(G307="","",IF(AND(G307&gt;=L307,G307&lt;=M307),"OK","NG"))</f>
        <v/>
      </c>
      <c r="O307" s="69">
        <f>IF(N307="","",IF(N307=D307,1,0))</f>
        <v/>
      </c>
      <c r="P307" s="67">
        <f>IF(G307="","",J307-G307)</f>
        <v/>
      </c>
      <c r="Q307" s="67">
        <f>IF(G307="","",ABS(P307-Components!$D$2))</f>
        <v/>
      </c>
      <c r="R307" s="67">
        <f>IF(G307="","",ABS(P307-Components!$D$3))</f>
        <v/>
      </c>
      <c r="S307" s="67">
        <f>IF(G307="","",ABS(P307-Components!$D$4))</f>
        <v/>
      </c>
      <c r="T307" s="67">
        <f>IF(G307="","",ABS(P307-Components!$D$5))</f>
        <v/>
      </c>
      <c r="U307" s="67">
        <f>IF(G307="","",ABS(P307-Components!$D$6))</f>
        <v/>
      </c>
      <c r="V307" s="67">
        <f>IF(G307="","",ABS(P307-Components!$D$7))</f>
        <v/>
      </c>
      <c r="W307" s="61">
        <f>IF(G307="","",IF(N307="OK","NONE",INDEX({"S1","S2","W1","W2","N1","N2"},MATCH(MIN(Q307:V307),Q307:V307,0))))</f>
        <v/>
      </c>
      <c r="X307" s="69">
        <f>IF(G307="","",IF(W307=E307,1,0))</f>
        <v/>
      </c>
      <c r="Y307" s="70" t="n"/>
    </row>
    <row r="308">
      <c r="A308" s="61" t="n">
        <v>44</v>
      </c>
      <c r="B308" s="62" t="n">
        <v>6</v>
      </c>
      <c r="C308" s="61" t="inlineStr">
        <is>
          <t>R6</t>
        </is>
      </c>
      <c r="D308" s="74" t="inlineStr">
        <is>
          <t>NG</t>
        </is>
      </c>
      <c r="E308" s="61" t="inlineStr">
        <is>
          <t>S1</t>
        </is>
      </c>
      <c r="F308" s="61" t="inlineStr">
        <is>
          <t>K044</t>
        </is>
      </c>
      <c r="G308" s="75" t="n">
        <v>5.86</v>
      </c>
      <c r="H308" s="65" t="n"/>
      <c r="I308" s="66" t="n"/>
      <c r="J308" s="67">
        <f>VLOOKUP(C308,Recipes!$A$2:$N$4,10,FALSE())</f>
        <v/>
      </c>
      <c r="K308" s="68">
        <f>VLOOKUP(C308,Recipes!$A$2:$N$4,12,FALSE())</f>
        <v/>
      </c>
      <c r="L308" s="67">
        <f>J308-3*K308</f>
        <v/>
      </c>
      <c r="M308" s="67">
        <f>J308+3*K308</f>
        <v/>
      </c>
      <c r="N308" s="61">
        <f>IF(G308="","",IF(AND(G308&gt;=L308,G308&lt;=M308),"OK","NG"))</f>
        <v/>
      </c>
      <c r="O308" s="69">
        <f>IF(N308="","",IF(N308=D308,1,0))</f>
        <v/>
      </c>
      <c r="P308" s="67">
        <f>IF(G308="","",J308-G308)</f>
        <v/>
      </c>
      <c r="Q308" s="67">
        <f>IF(G308="","",ABS(P308-Components!$D$2))</f>
        <v/>
      </c>
      <c r="R308" s="67">
        <f>IF(G308="","",ABS(P308-Components!$D$3))</f>
        <v/>
      </c>
      <c r="S308" s="67">
        <f>IF(G308="","",ABS(P308-Components!$D$4))</f>
        <v/>
      </c>
      <c r="T308" s="67">
        <f>IF(G308="","",ABS(P308-Components!$D$5))</f>
        <v/>
      </c>
      <c r="U308" s="67">
        <f>IF(G308="","",ABS(P308-Components!$D$6))</f>
        <v/>
      </c>
      <c r="V308" s="67">
        <f>IF(G308="","",ABS(P308-Components!$D$7))</f>
        <v/>
      </c>
      <c r="W308" s="61">
        <f>IF(G308="","",IF(N308="OK","NONE",INDEX({"S1","S2","W1","W2","N1","N2"},MATCH(MIN(Q308:V308),Q308:V308,0))))</f>
        <v/>
      </c>
      <c r="X308" s="69">
        <f>IF(G308="","",IF(W308=E308,1,0))</f>
        <v/>
      </c>
      <c r="Y308" s="70" t="n"/>
    </row>
    <row r="309">
      <c r="A309" s="61" t="n">
        <v>44</v>
      </c>
      <c r="B309" s="62" t="n">
        <v>6</v>
      </c>
      <c r="C309" s="61" t="inlineStr">
        <is>
          <t>R6</t>
        </is>
      </c>
      <c r="D309" s="74" t="inlineStr">
        <is>
          <t>NG</t>
        </is>
      </c>
      <c r="E309" s="61" t="inlineStr">
        <is>
          <t>S1</t>
        </is>
      </c>
      <c r="F309" s="61" t="inlineStr">
        <is>
          <t>K044</t>
        </is>
      </c>
      <c r="G309" s="75" t="n">
        <v>5.9</v>
      </c>
      <c r="H309" s="65" t="n"/>
      <c r="I309" s="66" t="n"/>
      <c r="J309" s="67">
        <f>VLOOKUP(C309,Recipes!$A$2:$N$4,10,FALSE())</f>
        <v/>
      </c>
      <c r="K309" s="68">
        <f>VLOOKUP(C309,Recipes!$A$2:$N$4,12,FALSE())</f>
        <v/>
      </c>
      <c r="L309" s="67">
        <f>J309-3*K309</f>
        <v/>
      </c>
      <c r="M309" s="67">
        <f>J309+3*K309</f>
        <v/>
      </c>
      <c r="N309" s="61">
        <f>IF(G309="","",IF(AND(G309&gt;=L309,G309&lt;=M309),"OK","NG"))</f>
        <v/>
      </c>
      <c r="O309" s="69">
        <f>IF(N309="","",IF(N309=D309,1,0))</f>
        <v/>
      </c>
      <c r="P309" s="67">
        <f>IF(G309="","",J309-G309)</f>
        <v/>
      </c>
      <c r="Q309" s="67">
        <f>IF(G309="","",ABS(P309-Components!$D$2))</f>
        <v/>
      </c>
      <c r="R309" s="67">
        <f>IF(G309="","",ABS(P309-Components!$D$3))</f>
        <v/>
      </c>
      <c r="S309" s="67">
        <f>IF(G309="","",ABS(P309-Components!$D$4))</f>
        <v/>
      </c>
      <c r="T309" s="67">
        <f>IF(G309="","",ABS(P309-Components!$D$5))</f>
        <v/>
      </c>
      <c r="U309" s="67">
        <f>IF(G309="","",ABS(P309-Components!$D$6))</f>
        <v/>
      </c>
      <c r="V309" s="67">
        <f>IF(G309="","",ABS(P309-Components!$D$7))</f>
        <v/>
      </c>
      <c r="W309" s="61">
        <f>IF(G309="","",IF(N309="OK","NONE",INDEX({"S1","S2","W1","W2","N1","N2"},MATCH(MIN(Q309:V309),Q309:V309,0))))</f>
        <v/>
      </c>
      <c r="X309" s="69">
        <f>IF(G309="","",IF(W309=E309,1,0))</f>
        <v/>
      </c>
      <c r="Y309" s="70" t="n"/>
    </row>
    <row r="310">
      <c r="A310" s="61" t="n">
        <v>44</v>
      </c>
      <c r="B310" s="62" t="n">
        <v>6</v>
      </c>
      <c r="C310" s="61" t="inlineStr">
        <is>
          <t>R6</t>
        </is>
      </c>
      <c r="D310" s="74" t="inlineStr">
        <is>
          <t>NG</t>
        </is>
      </c>
      <c r="E310" s="61" t="inlineStr">
        <is>
          <t>S1</t>
        </is>
      </c>
      <c r="F310" s="61" t="inlineStr">
        <is>
          <t>K044</t>
        </is>
      </c>
      <c r="G310" s="75" t="n">
        <v>5.8</v>
      </c>
      <c r="H310" s="65" t="n"/>
      <c r="I310" s="66" t="n"/>
      <c r="J310" s="67">
        <f>VLOOKUP(C310,Recipes!$A$2:$N$4,10,FALSE())</f>
        <v/>
      </c>
      <c r="K310" s="68">
        <f>VLOOKUP(C310,Recipes!$A$2:$N$4,12,FALSE())</f>
        <v/>
      </c>
      <c r="L310" s="67">
        <f>J310-3*K310</f>
        <v/>
      </c>
      <c r="M310" s="67">
        <f>J310+3*K310</f>
        <v/>
      </c>
      <c r="N310" s="61">
        <f>IF(G310="","",IF(AND(G310&gt;=L310,G310&lt;=M310),"OK","NG"))</f>
        <v/>
      </c>
      <c r="O310" s="69">
        <f>IF(N310="","",IF(N310=D310,1,0))</f>
        <v/>
      </c>
      <c r="P310" s="67">
        <f>IF(G310="","",J310-G310)</f>
        <v/>
      </c>
      <c r="Q310" s="67">
        <f>IF(G310="","",ABS(P310-Components!$D$2))</f>
        <v/>
      </c>
      <c r="R310" s="67">
        <f>IF(G310="","",ABS(P310-Components!$D$3))</f>
        <v/>
      </c>
      <c r="S310" s="67">
        <f>IF(G310="","",ABS(P310-Components!$D$4))</f>
        <v/>
      </c>
      <c r="T310" s="67">
        <f>IF(G310="","",ABS(P310-Components!$D$5))</f>
        <v/>
      </c>
      <c r="U310" s="67">
        <f>IF(G310="","",ABS(P310-Components!$D$6))</f>
        <v/>
      </c>
      <c r="V310" s="67">
        <f>IF(G310="","",ABS(P310-Components!$D$7))</f>
        <v/>
      </c>
      <c r="W310" s="61">
        <f>IF(G310="","",IF(N310="OK","NONE",INDEX({"S1","S2","W1","W2","N1","N2"},MATCH(MIN(Q310:V310),Q310:V310,0))))</f>
        <v/>
      </c>
      <c r="X310" s="69">
        <f>IF(G310="","",IF(W310=E310,1,0))</f>
        <v/>
      </c>
      <c r="Y310" s="70" t="n"/>
    </row>
    <row r="311">
      <c r="A311" s="61" t="n">
        <v>44</v>
      </c>
      <c r="B311" s="62" t="n">
        <v>6</v>
      </c>
      <c r="C311" s="61" t="inlineStr">
        <is>
          <t>R6</t>
        </is>
      </c>
      <c r="D311" s="74" t="inlineStr">
        <is>
          <t>NG</t>
        </is>
      </c>
      <c r="E311" s="61" t="inlineStr">
        <is>
          <t>S1</t>
        </is>
      </c>
      <c r="F311" s="61" t="inlineStr">
        <is>
          <t>K044</t>
        </is>
      </c>
      <c r="G311" s="75" t="n">
        <v>5.94</v>
      </c>
      <c r="H311" s="65" t="n"/>
      <c r="I311" s="66" t="n"/>
      <c r="J311" s="67">
        <f>VLOOKUP(C311,Recipes!$A$2:$N$4,10,FALSE())</f>
        <v/>
      </c>
      <c r="K311" s="68">
        <f>VLOOKUP(C311,Recipes!$A$2:$N$4,12,FALSE())</f>
        <v/>
      </c>
      <c r="L311" s="67">
        <f>J311-3*K311</f>
        <v/>
      </c>
      <c r="M311" s="67">
        <f>J311+3*K311</f>
        <v/>
      </c>
      <c r="N311" s="61">
        <f>IF(G311="","",IF(AND(G311&gt;=L311,G311&lt;=M311),"OK","NG"))</f>
        <v/>
      </c>
      <c r="O311" s="69">
        <f>IF(N311="","",IF(N311=D311,1,0))</f>
        <v/>
      </c>
      <c r="P311" s="67">
        <f>IF(G311="","",J311-G311)</f>
        <v/>
      </c>
      <c r="Q311" s="67">
        <f>IF(G311="","",ABS(P311-Components!$D$2))</f>
        <v/>
      </c>
      <c r="R311" s="67">
        <f>IF(G311="","",ABS(P311-Components!$D$3))</f>
        <v/>
      </c>
      <c r="S311" s="67">
        <f>IF(G311="","",ABS(P311-Components!$D$4))</f>
        <v/>
      </c>
      <c r="T311" s="67">
        <f>IF(G311="","",ABS(P311-Components!$D$5))</f>
        <v/>
      </c>
      <c r="U311" s="67">
        <f>IF(G311="","",ABS(P311-Components!$D$6))</f>
        <v/>
      </c>
      <c r="V311" s="67">
        <f>IF(G311="","",ABS(P311-Components!$D$7))</f>
        <v/>
      </c>
      <c r="W311" s="61">
        <f>IF(G311="","",IF(N311="OK","NONE",INDEX({"S1","S2","W1","W2","N1","N2"},MATCH(MIN(Q311:V311),Q311:V311,0))))</f>
        <v/>
      </c>
      <c r="X311" s="69">
        <f>IF(G311="","",IF(W311=E311,1,0))</f>
        <v/>
      </c>
      <c r="Y311" s="70" t="n"/>
    </row>
    <row r="312">
      <c r="A312" s="61" t="n">
        <v>44</v>
      </c>
      <c r="B312" s="62" t="n">
        <v>6</v>
      </c>
      <c r="C312" s="61" t="inlineStr">
        <is>
          <t>R6</t>
        </is>
      </c>
      <c r="D312" s="74" t="inlineStr">
        <is>
          <t>NG</t>
        </is>
      </c>
      <c r="E312" s="61" t="inlineStr">
        <is>
          <t>S1</t>
        </is>
      </c>
      <c r="F312" s="61" t="inlineStr">
        <is>
          <t>K044</t>
        </is>
      </c>
      <c r="G312" s="75" t="n">
        <v>5.94</v>
      </c>
      <c r="H312" s="65" t="n"/>
      <c r="I312" s="66" t="n"/>
      <c r="J312" s="67">
        <f>VLOOKUP(C312,Recipes!$A$2:$N$4,10,FALSE())</f>
        <v/>
      </c>
      <c r="K312" s="68">
        <f>VLOOKUP(C312,Recipes!$A$2:$N$4,12,FALSE())</f>
        <v/>
      </c>
      <c r="L312" s="67">
        <f>J312-3*K312</f>
        <v/>
      </c>
      <c r="M312" s="67">
        <f>J312+3*K312</f>
        <v/>
      </c>
      <c r="N312" s="61">
        <f>IF(G312="","",IF(AND(G312&gt;=L312,G312&lt;=M312),"OK","NG"))</f>
        <v/>
      </c>
      <c r="O312" s="69">
        <f>IF(N312="","",IF(N312=D312,1,0))</f>
        <v/>
      </c>
      <c r="P312" s="67">
        <f>IF(G312="","",J312-G312)</f>
        <v/>
      </c>
      <c r="Q312" s="67">
        <f>IF(G312="","",ABS(P312-Components!$D$2))</f>
        <v/>
      </c>
      <c r="R312" s="67">
        <f>IF(G312="","",ABS(P312-Components!$D$3))</f>
        <v/>
      </c>
      <c r="S312" s="67">
        <f>IF(G312="","",ABS(P312-Components!$D$4))</f>
        <v/>
      </c>
      <c r="T312" s="67">
        <f>IF(G312="","",ABS(P312-Components!$D$5))</f>
        <v/>
      </c>
      <c r="U312" s="67">
        <f>IF(G312="","",ABS(P312-Components!$D$6))</f>
        <v/>
      </c>
      <c r="V312" s="67">
        <f>IF(G312="","",ABS(P312-Components!$D$7))</f>
        <v/>
      </c>
      <c r="W312" s="61">
        <f>IF(G312="","",IF(N312="OK","NONE",INDEX({"S1","S2","W1","W2","N1","N2"},MATCH(MIN(Q312:V312),Q312:V312,0))))</f>
        <v/>
      </c>
      <c r="X312" s="69">
        <f>IF(G312="","",IF(W312=E312,1,0))</f>
        <v/>
      </c>
      <c r="Y312" s="70" t="n"/>
    </row>
    <row r="313">
      <c r="A313" s="61" t="n">
        <v>44</v>
      </c>
      <c r="B313" s="62" t="n">
        <v>6</v>
      </c>
      <c r="C313" s="61" t="inlineStr">
        <is>
          <t>R6</t>
        </is>
      </c>
      <c r="D313" s="74" t="inlineStr">
        <is>
          <t>NG</t>
        </is>
      </c>
      <c r="E313" s="61" t="inlineStr">
        <is>
          <t>S1</t>
        </is>
      </c>
      <c r="F313" s="61" t="inlineStr">
        <is>
          <t>K044</t>
        </is>
      </c>
      <c r="G313" s="75" t="n">
        <v>5.87</v>
      </c>
      <c r="H313" s="65" t="n"/>
      <c r="I313" s="66" t="n"/>
      <c r="J313" s="67">
        <f>VLOOKUP(C313,Recipes!$A$2:$N$4,10,FALSE())</f>
        <v/>
      </c>
      <c r="K313" s="68">
        <f>VLOOKUP(C313,Recipes!$A$2:$N$4,12,FALSE())</f>
        <v/>
      </c>
      <c r="L313" s="67">
        <f>J313-3*K313</f>
        <v/>
      </c>
      <c r="M313" s="67">
        <f>J313+3*K313</f>
        <v/>
      </c>
      <c r="N313" s="61">
        <f>IF(G313="","",IF(AND(G313&gt;=L313,G313&lt;=M313),"OK","NG"))</f>
        <v/>
      </c>
      <c r="O313" s="69">
        <f>IF(N313="","",IF(N313=D313,1,0))</f>
        <v/>
      </c>
      <c r="P313" s="67">
        <f>IF(G313="","",J313-G313)</f>
        <v/>
      </c>
      <c r="Q313" s="67">
        <f>IF(G313="","",ABS(P313-Components!$D$2))</f>
        <v/>
      </c>
      <c r="R313" s="67">
        <f>IF(G313="","",ABS(P313-Components!$D$3))</f>
        <v/>
      </c>
      <c r="S313" s="67">
        <f>IF(G313="","",ABS(P313-Components!$D$4))</f>
        <v/>
      </c>
      <c r="T313" s="67">
        <f>IF(G313="","",ABS(P313-Components!$D$5))</f>
        <v/>
      </c>
      <c r="U313" s="67">
        <f>IF(G313="","",ABS(P313-Components!$D$6))</f>
        <v/>
      </c>
      <c r="V313" s="67">
        <f>IF(G313="","",ABS(P313-Components!$D$7))</f>
        <v/>
      </c>
      <c r="W313" s="61">
        <f>IF(G313="","",IF(N313="OK","NONE",INDEX({"S1","S2","W1","W2","N1","N2"},MATCH(MIN(Q313:V313),Q313:V313,0))))</f>
        <v/>
      </c>
      <c r="X313" s="69">
        <f>IF(G313="","",IF(W313=E313,1,0))</f>
        <v/>
      </c>
      <c r="Y313" s="70" t="n"/>
    </row>
    <row r="314">
      <c r="A314" s="61" t="n">
        <v>44</v>
      </c>
      <c r="B314" s="62" t="n">
        <v>6</v>
      </c>
      <c r="C314" s="61" t="inlineStr">
        <is>
          <t>R6</t>
        </is>
      </c>
      <c r="D314" s="74" t="inlineStr">
        <is>
          <t>NG</t>
        </is>
      </c>
      <c r="E314" s="61" t="inlineStr">
        <is>
          <t>S1</t>
        </is>
      </c>
      <c r="F314" s="61" t="inlineStr">
        <is>
          <t>K044</t>
        </is>
      </c>
      <c r="G314" s="75" t="n">
        <v>5.88</v>
      </c>
      <c r="H314" s="65" t="n"/>
      <c r="I314" s="66" t="n"/>
      <c r="J314" s="67">
        <f>VLOOKUP(C314,Recipes!$A$2:$N$4,10,FALSE())</f>
        <v/>
      </c>
      <c r="K314" s="68">
        <f>VLOOKUP(C314,Recipes!$A$2:$N$4,12,FALSE())</f>
        <v/>
      </c>
      <c r="L314" s="67">
        <f>J314-3*K314</f>
        <v/>
      </c>
      <c r="M314" s="67">
        <f>J314+3*K314</f>
        <v/>
      </c>
      <c r="N314" s="61">
        <f>IF(G314="","",IF(AND(G314&gt;=L314,G314&lt;=M314),"OK","NG"))</f>
        <v/>
      </c>
      <c r="O314" s="69">
        <f>IF(N314="","",IF(N314=D314,1,0))</f>
        <v/>
      </c>
      <c r="P314" s="67">
        <f>IF(G314="","",J314-G314)</f>
        <v/>
      </c>
      <c r="Q314" s="67">
        <f>IF(G314="","",ABS(P314-Components!$D$2))</f>
        <v/>
      </c>
      <c r="R314" s="67">
        <f>IF(G314="","",ABS(P314-Components!$D$3))</f>
        <v/>
      </c>
      <c r="S314" s="67">
        <f>IF(G314="","",ABS(P314-Components!$D$4))</f>
        <v/>
      </c>
      <c r="T314" s="67">
        <f>IF(G314="","",ABS(P314-Components!$D$5))</f>
        <v/>
      </c>
      <c r="U314" s="67">
        <f>IF(G314="","",ABS(P314-Components!$D$6))</f>
        <v/>
      </c>
      <c r="V314" s="67">
        <f>IF(G314="","",ABS(P314-Components!$D$7))</f>
        <v/>
      </c>
      <c r="W314" s="61">
        <f>IF(G314="","",IF(N314="OK","NONE",INDEX({"S1","S2","W1","W2","N1","N2"},MATCH(MIN(Q314:V314),Q314:V314,0))))</f>
        <v/>
      </c>
      <c r="X314" s="69">
        <f>IF(G314="","",IF(W314=E314,1,0))</f>
        <v/>
      </c>
      <c r="Y314" s="70" t="n"/>
    </row>
    <row r="315">
      <c r="A315" s="61" t="n">
        <v>44</v>
      </c>
      <c r="B315" s="62" t="n">
        <v>6</v>
      </c>
      <c r="C315" s="61" t="inlineStr">
        <is>
          <t>R6</t>
        </is>
      </c>
      <c r="D315" s="74" t="inlineStr">
        <is>
          <t>NG</t>
        </is>
      </c>
      <c r="E315" s="61" t="inlineStr">
        <is>
          <t>S1</t>
        </is>
      </c>
      <c r="F315" s="61" t="inlineStr">
        <is>
          <t>K044</t>
        </is>
      </c>
      <c r="G315" s="75" t="n">
        <v>5.87</v>
      </c>
      <c r="H315" s="65" t="n"/>
      <c r="I315" s="66" t="n"/>
      <c r="J315" s="67">
        <f>VLOOKUP(C315,Recipes!$A$2:$N$4,10,FALSE())</f>
        <v/>
      </c>
      <c r="K315" s="68">
        <f>VLOOKUP(C315,Recipes!$A$2:$N$4,12,FALSE())</f>
        <v/>
      </c>
      <c r="L315" s="67">
        <f>J315-3*K315</f>
        <v/>
      </c>
      <c r="M315" s="67">
        <f>J315+3*K315</f>
        <v/>
      </c>
      <c r="N315" s="61">
        <f>IF(G315="","",IF(AND(G315&gt;=L315,G315&lt;=M315),"OK","NG"))</f>
        <v/>
      </c>
      <c r="O315" s="69">
        <f>IF(N315="","",IF(N315=D315,1,0))</f>
        <v/>
      </c>
      <c r="P315" s="67">
        <f>IF(G315="","",J315-G315)</f>
        <v/>
      </c>
      <c r="Q315" s="67">
        <f>IF(G315="","",ABS(P315-Components!$D$2))</f>
        <v/>
      </c>
      <c r="R315" s="67">
        <f>IF(G315="","",ABS(P315-Components!$D$3))</f>
        <v/>
      </c>
      <c r="S315" s="67">
        <f>IF(G315="","",ABS(P315-Components!$D$4))</f>
        <v/>
      </c>
      <c r="T315" s="67">
        <f>IF(G315="","",ABS(P315-Components!$D$5))</f>
        <v/>
      </c>
      <c r="U315" s="67">
        <f>IF(G315="","",ABS(P315-Components!$D$6))</f>
        <v/>
      </c>
      <c r="V315" s="67">
        <f>IF(G315="","",ABS(P315-Components!$D$7))</f>
        <v/>
      </c>
      <c r="W315" s="61">
        <f>IF(G315="","",IF(N315="OK","NONE",INDEX({"S1","S2","W1","W2","N1","N2"},MATCH(MIN(Q315:V315),Q315:V315,0))))</f>
        <v/>
      </c>
      <c r="X315" s="69">
        <f>IF(G315="","",IF(W315=E315,1,0))</f>
        <v/>
      </c>
      <c r="Y315" s="70" t="n"/>
    </row>
    <row r="316">
      <c r="A316" s="61" t="n">
        <v>44</v>
      </c>
      <c r="B316" s="62" t="n">
        <v>6</v>
      </c>
      <c r="C316" s="61" t="inlineStr">
        <is>
          <t>R6</t>
        </is>
      </c>
      <c r="D316" s="74" t="inlineStr">
        <is>
          <t>NG</t>
        </is>
      </c>
      <c r="E316" s="61" t="inlineStr">
        <is>
          <t>S1</t>
        </is>
      </c>
      <c r="F316" s="61" t="inlineStr">
        <is>
          <t>K044</t>
        </is>
      </c>
      <c r="G316" s="75" t="n">
        <v>5.87</v>
      </c>
      <c r="H316" s="65" t="n"/>
      <c r="I316" s="66" t="n"/>
      <c r="J316" s="67">
        <f>VLOOKUP(C316,Recipes!$A$2:$N$4,10,FALSE())</f>
        <v/>
      </c>
      <c r="K316" s="68">
        <f>VLOOKUP(C316,Recipes!$A$2:$N$4,12,FALSE())</f>
        <v/>
      </c>
      <c r="L316" s="67">
        <f>J316-3*K316</f>
        <v/>
      </c>
      <c r="M316" s="67">
        <f>J316+3*K316</f>
        <v/>
      </c>
      <c r="N316" s="61">
        <f>IF(G316="","",IF(AND(G316&gt;=L316,G316&lt;=M316),"OK","NG"))</f>
        <v/>
      </c>
      <c r="O316" s="69">
        <f>IF(N316="","",IF(N316=D316,1,0))</f>
        <v/>
      </c>
      <c r="P316" s="67">
        <f>IF(G316="","",J316-G316)</f>
        <v/>
      </c>
      <c r="Q316" s="67">
        <f>IF(G316="","",ABS(P316-Components!$D$2))</f>
        <v/>
      </c>
      <c r="R316" s="67">
        <f>IF(G316="","",ABS(P316-Components!$D$3))</f>
        <v/>
      </c>
      <c r="S316" s="67">
        <f>IF(G316="","",ABS(P316-Components!$D$4))</f>
        <v/>
      </c>
      <c r="T316" s="67">
        <f>IF(G316="","",ABS(P316-Components!$D$5))</f>
        <v/>
      </c>
      <c r="U316" s="67">
        <f>IF(G316="","",ABS(P316-Components!$D$6))</f>
        <v/>
      </c>
      <c r="V316" s="67">
        <f>IF(G316="","",ABS(P316-Components!$D$7))</f>
        <v/>
      </c>
      <c r="W316" s="61">
        <f>IF(G316="","",IF(N316="OK","NONE",INDEX({"S1","S2","W1","W2","N1","N2"},MATCH(MIN(Q316:V316),Q316:V316,0))))</f>
        <v/>
      </c>
      <c r="X316" s="69">
        <f>IF(G316="","",IF(W316=E316,1,0))</f>
        <v/>
      </c>
      <c r="Y316" s="70" t="n"/>
    </row>
    <row r="317">
      <c r="A317" s="61" t="n">
        <v>44</v>
      </c>
      <c r="B317" s="62" t="n">
        <v>6</v>
      </c>
      <c r="C317" s="61" t="inlineStr">
        <is>
          <t>R6</t>
        </is>
      </c>
      <c r="D317" s="74" t="inlineStr">
        <is>
          <t>NG</t>
        </is>
      </c>
      <c r="E317" s="61" t="inlineStr">
        <is>
          <t>S1</t>
        </is>
      </c>
      <c r="F317" s="61" t="inlineStr">
        <is>
          <t>K044</t>
        </is>
      </c>
      <c r="G317" s="75" t="n">
        <v>5.82</v>
      </c>
      <c r="H317" s="65" t="n"/>
      <c r="I317" s="66" t="n"/>
      <c r="J317" s="67">
        <f>VLOOKUP(C317,Recipes!$A$2:$N$4,10,FALSE())</f>
        <v/>
      </c>
      <c r="K317" s="68">
        <f>VLOOKUP(C317,Recipes!$A$2:$N$4,12,FALSE())</f>
        <v/>
      </c>
      <c r="L317" s="67">
        <f>J317-3*K317</f>
        <v/>
      </c>
      <c r="M317" s="67">
        <f>J317+3*K317</f>
        <v/>
      </c>
      <c r="N317" s="61">
        <f>IF(G317="","",IF(AND(G317&gt;=L317,G317&lt;=M317),"OK","NG"))</f>
        <v/>
      </c>
      <c r="O317" s="69">
        <f>IF(N317="","",IF(N317=D317,1,0))</f>
        <v/>
      </c>
      <c r="P317" s="67">
        <f>IF(G317="","",J317-G317)</f>
        <v/>
      </c>
      <c r="Q317" s="67">
        <f>IF(G317="","",ABS(P317-Components!$D$2))</f>
        <v/>
      </c>
      <c r="R317" s="67">
        <f>IF(G317="","",ABS(P317-Components!$D$3))</f>
        <v/>
      </c>
      <c r="S317" s="67">
        <f>IF(G317="","",ABS(P317-Components!$D$4))</f>
        <v/>
      </c>
      <c r="T317" s="67">
        <f>IF(G317="","",ABS(P317-Components!$D$5))</f>
        <v/>
      </c>
      <c r="U317" s="67">
        <f>IF(G317="","",ABS(P317-Components!$D$6))</f>
        <v/>
      </c>
      <c r="V317" s="67">
        <f>IF(G317="","",ABS(P317-Components!$D$7))</f>
        <v/>
      </c>
      <c r="W317" s="61">
        <f>IF(G317="","",IF(N317="OK","NONE",INDEX({"S1","S2","W1","W2","N1","N2"},MATCH(MIN(Q317:V317),Q317:V317,0))))</f>
        <v/>
      </c>
      <c r="X317" s="69">
        <f>IF(G317="","",IF(W317=E317,1,0))</f>
        <v/>
      </c>
      <c r="Y317" s="70" t="n"/>
    </row>
    <row r="318">
      <c r="A318" s="61" t="n">
        <v>44</v>
      </c>
      <c r="B318" s="62" t="n">
        <v>6</v>
      </c>
      <c r="C318" s="61" t="inlineStr">
        <is>
          <t>R6</t>
        </is>
      </c>
      <c r="D318" s="74" t="inlineStr">
        <is>
          <t>NG</t>
        </is>
      </c>
      <c r="E318" s="61" t="inlineStr">
        <is>
          <t>S1</t>
        </is>
      </c>
      <c r="F318" s="61" t="inlineStr">
        <is>
          <t>K044</t>
        </is>
      </c>
      <c r="G318" s="75" t="n">
        <v>5.92</v>
      </c>
      <c r="H318" s="65" t="n"/>
      <c r="I318" s="66" t="n"/>
      <c r="J318" s="67">
        <f>VLOOKUP(C318,Recipes!$A$2:$N$4,10,FALSE())</f>
        <v/>
      </c>
      <c r="K318" s="68">
        <f>VLOOKUP(C318,Recipes!$A$2:$N$4,12,FALSE())</f>
        <v/>
      </c>
      <c r="L318" s="67">
        <f>J318-3*K318</f>
        <v/>
      </c>
      <c r="M318" s="67">
        <f>J318+3*K318</f>
        <v/>
      </c>
      <c r="N318" s="61">
        <f>IF(G318="","",IF(AND(G318&gt;=L318,G318&lt;=M318),"OK","NG"))</f>
        <v/>
      </c>
      <c r="O318" s="69">
        <f>IF(N318="","",IF(N318=D318,1,0))</f>
        <v/>
      </c>
      <c r="P318" s="67">
        <f>IF(G318="","",J318-G318)</f>
        <v/>
      </c>
      <c r="Q318" s="67">
        <f>IF(G318="","",ABS(P318-Components!$D$2))</f>
        <v/>
      </c>
      <c r="R318" s="67">
        <f>IF(G318="","",ABS(P318-Components!$D$3))</f>
        <v/>
      </c>
      <c r="S318" s="67">
        <f>IF(G318="","",ABS(P318-Components!$D$4))</f>
        <v/>
      </c>
      <c r="T318" s="67">
        <f>IF(G318="","",ABS(P318-Components!$D$5))</f>
        <v/>
      </c>
      <c r="U318" s="67">
        <f>IF(G318="","",ABS(P318-Components!$D$6))</f>
        <v/>
      </c>
      <c r="V318" s="67">
        <f>IF(G318="","",ABS(P318-Components!$D$7))</f>
        <v/>
      </c>
      <c r="W318" s="61">
        <f>IF(G318="","",IF(N318="OK","NONE",INDEX({"S1","S2","W1","W2","N1","N2"},MATCH(MIN(Q318:V318),Q318:V318,0))))</f>
        <v/>
      </c>
      <c r="X318" s="69">
        <f>IF(G318="","",IF(W318=E318,1,0))</f>
        <v/>
      </c>
      <c r="Y318" s="70" t="n"/>
    </row>
    <row r="319">
      <c r="A319" s="61" t="n">
        <v>44</v>
      </c>
      <c r="B319" s="62" t="n">
        <v>6</v>
      </c>
      <c r="C319" s="61" t="inlineStr">
        <is>
          <t>R6</t>
        </is>
      </c>
      <c r="D319" s="74" t="inlineStr">
        <is>
          <t>NG</t>
        </is>
      </c>
      <c r="E319" s="61" t="inlineStr">
        <is>
          <t>S1</t>
        </is>
      </c>
      <c r="F319" s="61" t="inlineStr">
        <is>
          <t>K044</t>
        </is>
      </c>
      <c r="G319" s="75" t="n">
        <v>5.84</v>
      </c>
      <c r="H319" s="65" t="n"/>
      <c r="I319" s="66" t="n"/>
      <c r="J319" s="67">
        <f>VLOOKUP(C319,Recipes!$A$2:$N$4,10,FALSE())</f>
        <v/>
      </c>
      <c r="K319" s="68">
        <f>VLOOKUP(C319,Recipes!$A$2:$N$4,12,FALSE())</f>
        <v/>
      </c>
      <c r="L319" s="67">
        <f>J319-3*K319</f>
        <v/>
      </c>
      <c r="M319" s="67">
        <f>J319+3*K319</f>
        <v/>
      </c>
      <c r="N319" s="61">
        <f>IF(G319="","",IF(AND(G319&gt;=L319,G319&lt;=M319),"OK","NG"))</f>
        <v/>
      </c>
      <c r="O319" s="69">
        <f>IF(N319="","",IF(N319=D319,1,0))</f>
        <v/>
      </c>
      <c r="P319" s="67">
        <f>IF(G319="","",J319-G319)</f>
        <v/>
      </c>
      <c r="Q319" s="67">
        <f>IF(G319="","",ABS(P319-Components!$D$2))</f>
        <v/>
      </c>
      <c r="R319" s="67">
        <f>IF(G319="","",ABS(P319-Components!$D$3))</f>
        <v/>
      </c>
      <c r="S319" s="67">
        <f>IF(G319="","",ABS(P319-Components!$D$4))</f>
        <v/>
      </c>
      <c r="T319" s="67">
        <f>IF(G319="","",ABS(P319-Components!$D$5))</f>
        <v/>
      </c>
      <c r="U319" s="67">
        <f>IF(G319="","",ABS(P319-Components!$D$6))</f>
        <v/>
      </c>
      <c r="V319" s="67">
        <f>IF(G319="","",ABS(P319-Components!$D$7))</f>
        <v/>
      </c>
      <c r="W319" s="61">
        <f>IF(G319="","",IF(N319="OK","NONE",INDEX({"S1","S2","W1","W2","N1","N2"},MATCH(MIN(Q319:V319),Q319:V319,0))))</f>
        <v/>
      </c>
      <c r="X319" s="69">
        <f>IF(G319="","",IF(W319=E319,1,0))</f>
        <v/>
      </c>
      <c r="Y319" s="70" t="n"/>
    </row>
    <row r="320">
      <c r="A320" s="61" t="n">
        <v>44</v>
      </c>
      <c r="B320" s="62" t="n">
        <v>6</v>
      </c>
      <c r="C320" s="61" t="inlineStr">
        <is>
          <t>R6</t>
        </is>
      </c>
      <c r="D320" s="74" t="inlineStr">
        <is>
          <t>NG</t>
        </is>
      </c>
      <c r="E320" s="61" t="inlineStr">
        <is>
          <t>S1</t>
        </is>
      </c>
      <c r="F320" s="61" t="inlineStr">
        <is>
          <t>K044</t>
        </is>
      </c>
      <c r="G320" s="75" t="n">
        <v>5.92</v>
      </c>
      <c r="H320" s="65" t="n"/>
      <c r="I320" s="66" t="n"/>
      <c r="J320" s="67">
        <f>VLOOKUP(C320,Recipes!$A$2:$N$4,10,FALSE())</f>
        <v/>
      </c>
      <c r="K320" s="68">
        <f>VLOOKUP(C320,Recipes!$A$2:$N$4,12,FALSE())</f>
        <v/>
      </c>
      <c r="L320" s="67">
        <f>J320-3*K320</f>
        <v/>
      </c>
      <c r="M320" s="67">
        <f>J320+3*K320</f>
        <v/>
      </c>
      <c r="N320" s="61">
        <f>IF(G320="","",IF(AND(G320&gt;=L320,G320&lt;=M320),"OK","NG"))</f>
        <v/>
      </c>
      <c r="O320" s="69">
        <f>IF(N320="","",IF(N320=D320,1,0))</f>
        <v/>
      </c>
      <c r="P320" s="67">
        <f>IF(G320="","",J320-G320)</f>
        <v/>
      </c>
      <c r="Q320" s="67">
        <f>IF(G320="","",ABS(P320-Components!$D$2))</f>
        <v/>
      </c>
      <c r="R320" s="67">
        <f>IF(G320="","",ABS(P320-Components!$D$3))</f>
        <v/>
      </c>
      <c r="S320" s="67">
        <f>IF(G320="","",ABS(P320-Components!$D$4))</f>
        <v/>
      </c>
      <c r="T320" s="67">
        <f>IF(G320="","",ABS(P320-Components!$D$5))</f>
        <v/>
      </c>
      <c r="U320" s="67">
        <f>IF(G320="","",ABS(P320-Components!$D$6))</f>
        <v/>
      </c>
      <c r="V320" s="67">
        <f>IF(G320="","",ABS(P320-Components!$D$7))</f>
        <v/>
      </c>
      <c r="W320" s="61">
        <f>IF(G320="","",IF(N320="OK","NONE",INDEX({"S1","S2","W1","W2","N1","N2"},MATCH(MIN(Q320:V320),Q320:V320,0))))</f>
        <v/>
      </c>
      <c r="X320" s="69">
        <f>IF(G320="","",IF(W320=E320,1,0))</f>
        <v/>
      </c>
      <c r="Y320" s="70" t="n"/>
    </row>
    <row r="321">
      <c r="A321" s="61" t="n">
        <v>44</v>
      </c>
      <c r="B321" s="62" t="n">
        <v>6</v>
      </c>
      <c r="C321" s="61" t="inlineStr">
        <is>
          <t>R6</t>
        </is>
      </c>
      <c r="D321" s="74" t="inlineStr">
        <is>
          <t>NG</t>
        </is>
      </c>
      <c r="E321" s="61" t="inlineStr">
        <is>
          <t>S1</t>
        </is>
      </c>
      <c r="F321" s="61" t="inlineStr">
        <is>
          <t>K044</t>
        </is>
      </c>
      <c r="G321" s="75" t="n">
        <v>5.87</v>
      </c>
      <c r="H321" s="65" t="n"/>
      <c r="I321" s="66" t="n"/>
      <c r="J321" s="67">
        <f>VLOOKUP(C321,Recipes!$A$2:$N$4,10,FALSE())</f>
        <v/>
      </c>
      <c r="K321" s="68">
        <f>VLOOKUP(C321,Recipes!$A$2:$N$4,12,FALSE())</f>
        <v/>
      </c>
      <c r="L321" s="67">
        <f>J321-3*K321</f>
        <v/>
      </c>
      <c r="M321" s="67">
        <f>J321+3*K321</f>
        <v/>
      </c>
      <c r="N321" s="61">
        <f>IF(G321="","",IF(AND(G321&gt;=L321,G321&lt;=M321),"OK","NG"))</f>
        <v/>
      </c>
      <c r="O321" s="69">
        <f>IF(N321="","",IF(N321=D321,1,0))</f>
        <v/>
      </c>
      <c r="P321" s="67">
        <f>IF(G321="","",J321-G321)</f>
        <v/>
      </c>
      <c r="Q321" s="67">
        <f>IF(G321="","",ABS(P321-Components!$D$2))</f>
        <v/>
      </c>
      <c r="R321" s="67">
        <f>IF(G321="","",ABS(P321-Components!$D$3))</f>
        <v/>
      </c>
      <c r="S321" s="67">
        <f>IF(G321="","",ABS(P321-Components!$D$4))</f>
        <v/>
      </c>
      <c r="T321" s="67">
        <f>IF(G321="","",ABS(P321-Components!$D$5))</f>
        <v/>
      </c>
      <c r="U321" s="67">
        <f>IF(G321="","",ABS(P321-Components!$D$6))</f>
        <v/>
      </c>
      <c r="V321" s="67">
        <f>IF(G321="","",ABS(P321-Components!$D$7))</f>
        <v/>
      </c>
      <c r="W321" s="61">
        <f>IF(G321="","",IF(N321="OK","NONE",INDEX({"S1","S2","W1","W2","N1","N2"},MATCH(MIN(Q321:V321),Q321:V321,0))))</f>
        <v/>
      </c>
      <c r="X321" s="69">
        <f>IF(G321="","",IF(W321=E321,1,0))</f>
        <v/>
      </c>
      <c r="Y321" s="70" t="n"/>
    </row>
    <row r="322">
      <c r="A322" s="61" t="n">
        <v>44</v>
      </c>
      <c r="B322" s="62" t="n">
        <v>6</v>
      </c>
      <c r="C322" s="61" t="inlineStr">
        <is>
          <t>R6</t>
        </is>
      </c>
      <c r="D322" s="74" t="inlineStr">
        <is>
          <t>NG</t>
        </is>
      </c>
      <c r="E322" s="61" t="inlineStr">
        <is>
          <t>S1</t>
        </is>
      </c>
      <c r="F322" s="61" t="inlineStr">
        <is>
          <t>K044</t>
        </is>
      </c>
      <c r="G322" s="75" t="n">
        <v>5.82</v>
      </c>
      <c r="H322" s="65" t="n"/>
      <c r="I322" s="66" t="n"/>
      <c r="J322" s="67">
        <f>VLOOKUP(C322,Recipes!$A$2:$N$4,10,FALSE())</f>
        <v/>
      </c>
      <c r="K322" s="68">
        <f>VLOOKUP(C322,Recipes!$A$2:$N$4,12,FALSE())</f>
        <v/>
      </c>
      <c r="L322" s="67">
        <f>J322-3*K322</f>
        <v/>
      </c>
      <c r="M322" s="67">
        <f>J322+3*K322</f>
        <v/>
      </c>
      <c r="N322" s="61">
        <f>IF(G322="","",IF(AND(G322&gt;=L322,G322&lt;=M322),"OK","NG"))</f>
        <v/>
      </c>
      <c r="O322" s="69">
        <f>IF(N322="","",IF(N322=D322,1,0))</f>
        <v/>
      </c>
      <c r="P322" s="67">
        <f>IF(G322="","",J322-G322)</f>
        <v/>
      </c>
      <c r="Q322" s="67">
        <f>IF(G322="","",ABS(P322-Components!$D$2))</f>
        <v/>
      </c>
      <c r="R322" s="67">
        <f>IF(G322="","",ABS(P322-Components!$D$3))</f>
        <v/>
      </c>
      <c r="S322" s="67">
        <f>IF(G322="","",ABS(P322-Components!$D$4))</f>
        <v/>
      </c>
      <c r="T322" s="67">
        <f>IF(G322="","",ABS(P322-Components!$D$5))</f>
        <v/>
      </c>
      <c r="U322" s="67">
        <f>IF(G322="","",ABS(P322-Components!$D$6))</f>
        <v/>
      </c>
      <c r="V322" s="67">
        <f>IF(G322="","",ABS(P322-Components!$D$7))</f>
        <v/>
      </c>
      <c r="W322" s="61">
        <f>IF(G322="","",IF(N322="OK","NONE",INDEX({"S1","S2","W1","W2","N1","N2"},MATCH(MIN(Q322:V322),Q322:V322,0))))</f>
        <v/>
      </c>
      <c r="X322" s="69">
        <f>IF(G322="","",IF(W322=E322,1,0))</f>
        <v/>
      </c>
      <c r="Y322" s="70" t="n"/>
    </row>
    <row r="323">
      <c r="A323" s="61" t="n">
        <v>44</v>
      </c>
      <c r="B323" s="62" t="n">
        <v>6</v>
      </c>
      <c r="C323" s="61" t="inlineStr">
        <is>
          <t>R6</t>
        </is>
      </c>
      <c r="D323" s="74" t="inlineStr">
        <is>
          <t>NG</t>
        </is>
      </c>
      <c r="E323" s="61" t="inlineStr">
        <is>
          <t>S1</t>
        </is>
      </c>
      <c r="F323" s="61" t="inlineStr">
        <is>
          <t>K044</t>
        </is>
      </c>
      <c r="G323" s="75" t="n">
        <v>5.77</v>
      </c>
      <c r="H323" s="65" t="n"/>
      <c r="I323" s="66" t="n"/>
      <c r="J323" s="67">
        <f>VLOOKUP(C323,Recipes!$A$2:$N$4,10,FALSE())</f>
        <v/>
      </c>
      <c r="K323" s="68">
        <f>VLOOKUP(C323,Recipes!$A$2:$N$4,12,FALSE())</f>
        <v/>
      </c>
      <c r="L323" s="67">
        <f>J323-3*K323</f>
        <v/>
      </c>
      <c r="M323" s="67">
        <f>J323+3*K323</f>
        <v/>
      </c>
      <c r="N323" s="61">
        <f>IF(G323="","",IF(AND(G323&gt;=L323,G323&lt;=M323),"OK","NG"))</f>
        <v/>
      </c>
      <c r="O323" s="69">
        <f>IF(N323="","",IF(N323=D323,1,0))</f>
        <v/>
      </c>
      <c r="P323" s="67">
        <f>IF(G323="","",J323-G323)</f>
        <v/>
      </c>
      <c r="Q323" s="67">
        <f>IF(G323="","",ABS(P323-Components!$D$2))</f>
        <v/>
      </c>
      <c r="R323" s="67">
        <f>IF(G323="","",ABS(P323-Components!$D$3))</f>
        <v/>
      </c>
      <c r="S323" s="67">
        <f>IF(G323="","",ABS(P323-Components!$D$4))</f>
        <v/>
      </c>
      <c r="T323" s="67">
        <f>IF(G323="","",ABS(P323-Components!$D$5))</f>
        <v/>
      </c>
      <c r="U323" s="67">
        <f>IF(G323="","",ABS(P323-Components!$D$6))</f>
        <v/>
      </c>
      <c r="V323" s="67">
        <f>IF(G323="","",ABS(P323-Components!$D$7))</f>
        <v/>
      </c>
      <c r="W323" s="61">
        <f>IF(G323="","",IF(N323="OK","NONE",INDEX({"S1","S2","W1","W2","N1","N2"},MATCH(MIN(Q323:V323),Q323:V323,0))))</f>
        <v/>
      </c>
      <c r="X323" s="69">
        <f>IF(G323="","",IF(W323=E323,1,0))</f>
        <v/>
      </c>
      <c r="Y323" s="70" t="n"/>
    </row>
    <row r="324">
      <c r="A324" s="61" t="n">
        <v>44</v>
      </c>
      <c r="B324" s="62" t="n">
        <v>6</v>
      </c>
      <c r="C324" s="61" t="inlineStr">
        <is>
          <t>R6</t>
        </is>
      </c>
      <c r="D324" s="74" t="inlineStr">
        <is>
          <t>NG</t>
        </is>
      </c>
      <c r="E324" s="61" t="inlineStr">
        <is>
          <t>S1</t>
        </is>
      </c>
      <c r="F324" s="61" t="inlineStr">
        <is>
          <t>K044</t>
        </is>
      </c>
      <c r="G324" s="75" t="n">
        <v>5.83</v>
      </c>
      <c r="H324" s="65" t="n"/>
      <c r="I324" s="66" t="n"/>
      <c r="J324" s="67">
        <f>VLOOKUP(C324,Recipes!$A$2:$N$4,10,FALSE())</f>
        <v/>
      </c>
      <c r="K324" s="68">
        <f>VLOOKUP(C324,Recipes!$A$2:$N$4,12,FALSE())</f>
        <v/>
      </c>
      <c r="L324" s="67">
        <f>J324-3*K324</f>
        <v/>
      </c>
      <c r="M324" s="67">
        <f>J324+3*K324</f>
        <v/>
      </c>
      <c r="N324" s="61">
        <f>IF(G324="","",IF(AND(G324&gt;=L324,G324&lt;=M324),"OK","NG"))</f>
        <v/>
      </c>
      <c r="O324" s="69">
        <f>IF(N324="","",IF(N324=D324,1,0))</f>
        <v/>
      </c>
      <c r="P324" s="67">
        <f>IF(G324="","",J324-G324)</f>
        <v/>
      </c>
      <c r="Q324" s="67">
        <f>IF(G324="","",ABS(P324-Components!$D$2))</f>
        <v/>
      </c>
      <c r="R324" s="67">
        <f>IF(G324="","",ABS(P324-Components!$D$3))</f>
        <v/>
      </c>
      <c r="S324" s="67">
        <f>IF(G324="","",ABS(P324-Components!$D$4))</f>
        <v/>
      </c>
      <c r="T324" s="67">
        <f>IF(G324="","",ABS(P324-Components!$D$5))</f>
        <v/>
      </c>
      <c r="U324" s="67">
        <f>IF(G324="","",ABS(P324-Components!$D$6))</f>
        <v/>
      </c>
      <c r="V324" s="67">
        <f>IF(G324="","",ABS(P324-Components!$D$7))</f>
        <v/>
      </c>
      <c r="W324" s="61">
        <f>IF(G324="","",IF(N324="OK","NONE",INDEX({"S1","S2","W1","W2","N1","N2"},MATCH(MIN(Q324:V324),Q324:V324,0))))</f>
        <v/>
      </c>
      <c r="X324" s="69">
        <f>IF(G324="","",IF(W324=E324,1,0))</f>
        <v/>
      </c>
      <c r="Y324" s="70" t="n"/>
    </row>
    <row r="325">
      <c r="A325" s="61" t="n">
        <v>44</v>
      </c>
      <c r="B325" s="62" t="n">
        <v>6</v>
      </c>
      <c r="C325" s="61" t="inlineStr">
        <is>
          <t>R6</t>
        </is>
      </c>
      <c r="D325" s="74" t="inlineStr">
        <is>
          <t>NG</t>
        </is>
      </c>
      <c r="E325" s="61" t="inlineStr">
        <is>
          <t>S1</t>
        </is>
      </c>
      <c r="F325" s="61" t="inlineStr">
        <is>
          <t>K044</t>
        </is>
      </c>
      <c r="G325" s="75" t="n">
        <v>5.85</v>
      </c>
      <c r="H325" s="65" t="n"/>
      <c r="I325" s="66" t="n"/>
      <c r="J325" s="67">
        <f>VLOOKUP(C325,Recipes!$A$2:$N$4,10,FALSE())</f>
        <v/>
      </c>
      <c r="K325" s="68">
        <f>VLOOKUP(C325,Recipes!$A$2:$N$4,12,FALSE())</f>
        <v/>
      </c>
      <c r="L325" s="67">
        <f>J325-3*K325</f>
        <v/>
      </c>
      <c r="M325" s="67">
        <f>J325+3*K325</f>
        <v/>
      </c>
      <c r="N325" s="61">
        <f>IF(G325="","",IF(AND(G325&gt;=L325,G325&lt;=M325),"OK","NG"))</f>
        <v/>
      </c>
      <c r="O325" s="69">
        <f>IF(N325="","",IF(N325=D325,1,0))</f>
        <v/>
      </c>
      <c r="P325" s="67">
        <f>IF(G325="","",J325-G325)</f>
        <v/>
      </c>
      <c r="Q325" s="67">
        <f>IF(G325="","",ABS(P325-Components!$D$2))</f>
        <v/>
      </c>
      <c r="R325" s="67">
        <f>IF(G325="","",ABS(P325-Components!$D$3))</f>
        <v/>
      </c>
      <c r="S325" s="67">
        <f>IF(G325="","",ABS(P325-Components!$D$4))</f>
        <v/>
      </c>
      <c r="T325" s="67">
        <f>IF(G325="","",ABS(P325-Components!$D$5))</f>
        <v/>
      </c>
      <c r="U325" s="67">
        <f>IF(G325="","",ABS(P325-Components!$D$6))</f>
        <v/>
      </c>
      <c r="V325" s="67">
        <f>IF(G325="","",ABS(P325-Components!$D$7))</f>
        <v/>
      </c>
      <c r="W325" s="61">
        <f>IF(G325="","",IF(N325="OK","NONE",INDEX({"S1","S2","W1","W2","N1","N2"},MATCH(MIN(Q325:V325),Q325:V325,0))))</f>
        <v/>
      </c>
      <c r="X325" s="69">
        <f>IF(G325="","",IF(W325=E325,1,0))</f>
        <v/>
      </c>
      <c r="Y325" s="70" t="n"/>
    </row>
    <row r="326">
      <c r="A326" s="61" t="n">
        <v>44</v>
      </c>
      <c r="B326" s="62" t="n">
        <v>6</v>
      </c>
      <c r="C326" s="61" t="inlineStr">
        <is>
          <t>R6</t>
        </is>
      </c>
      <c r="D326" s="74" t="inlineStr">
        <is>
          <t>NG</t>
        </is>
      </c>
      <c r="E326" s="61" t="inlineStr">
        <is>
          <t>S1</t>
        </is>
      </c>
      <c r="F326" s="61" t="inlineStr">
        <is>
          <t>K044</t>
        </is>
      </c>
      <c r="G326" s="75" t="n">
        <v>5.86</v>
      </c>
      <c r="H326" s="65" t="n"/>
      <c r="I326" s="66" t="n"/>
      <c r="J326" s="67">
        <f>VLOOKUP(C326,Recipes!$A$2:$N$4,10,FALSE())</f>
        <v/>
      </c>
      <c r="K326" s="68">
        <f>VLOOKUP(C326,Recipes!$A$2:$N$4,12,FALSE())</f>
        <v/>
      </c>
      <c r="L326" s="67">
        <f>J326-3*K326</f>
        <v/>
      </c>
      <c r="M326" s="67">
        <f>J326+3*K326</f>
        <v/>
      </c>
      <c r="N326" s="61">
        <f>IF(G326="","",IF(AND(G326&gt;=L326,G326&lt;=M326),"OK","NG"))</f>
        <v/>
      </c>
      <c r="O326" s="69">
        <f>IF(N326="","",IF(N326=D326,1,0))</f>
        <v/>
      </c>
      <c r="P326" s="67">
        <f>IF(G326="","",J326-G326)</f>
        <v/>
      </c>
      <c r="Q326" s="67">
        <f>IF(G326="","",ABS(P326-Components!$D$2))</f>
        <v/>
      </c>
      <c r="R326" s="67">
        <f>IF(G326="","",ABS(P326-Components!$D$3))</f>
        <v/>
      </c>
      <c r="S326" s="67">
        <f>IF(G326="","",ABS(P326-Components!$D$4))</f>
        <v/>
      </c>
      <c r="T326" s="67">
        <f>IF(G326="","",ABS(P326-Components!$D$5))</f>
        <v/>
      </c>
      <c r="U326" s="67">
        <f>IF(G326="","",ABS(P326-Components!$D$6))</f>
        <v/>
      </c>
      <c r="V326" s="67">
        <f>IF(G326="","",ABS(P326-Components!$D$7))</f>
        <v/>
      </c>
      <c r="W326" s="61">
        <f>IF(G326="","",IF(N326="OK","NONE",INDEX({"S1","S2","W1","W2","N1","N2"},MATCH(MIN(Q326:V326),Q326:V326,0))))</f>
        <v/>
      </c>
      <c r="X326" s="69">
        <f>IF(G326="","",IF(W326=E326,1,0))</f>
        <v/>
      </c>
      <c r="Y326" s="70" t="n"/>
    </row>
    <row r="327">
      <c r="A327" s="61" t="n">
        <v>44</v>
      </c>
      <c r="B327" s="62" t="n">
        <v>6</v>
      </c>
      <c r="C327" s="61" t="inlineStr">
        <is>
          <t>R6</t>
        </is>
      </c>
      <c r="D327" s="74" t="inlineStr">
        <is>
          <t>NG</t>
        </is>
      </c>
      <c r="E327" s="61" t="inlineStr">
        <is>
          <t>S1</t>
        </is>
      </c>
      <c r="F327" s="61" t="inlineStr">
        <is>
          <t>K044</t>
        </is>
      </c>
      <c r="G327" s="75" t="n">
        <v>5.87</v>
      </c>
      <c r="H327" s="65" t="n"/>
      <c r="I327" s="66" t="n"/>
      <c r="J327" s="67">
        <f>VLOOKUP(C327,Recipes!$A$2:$N$4,10,FALSE())</f>
        <v/>
      </c>
      <c r="K327" s="68">
        <f>VLOOKUP(C327,Recipes!$A$2:$N$4,12,FALSE())</f>
        <v/>
      </c>
      <c r="L327" s="67">
        <f>J327-3*K327</f>
        <v/>
      </c>
      <c r="M327" s="67">
        <f>J327+3*K327</f>
        <v/>
      </c>
      <c r="N327" s="61">
        <f>IF(G327="","",IF(AND(G327&gt;=L327,G327&lt;=M327),"OK","NG"))</f>
        <v/>
      </c>
      <c r="O327" s="69">
        <f>IF(N327="","",IF(N327=D327,1,0))</f>
        <v/>
      </c>
      <c r="P327" s="67">
        <f>IF(G327="","",J327-G327)</f>
        <v/>
      </c>
      <c r="Q327" s="67">
        <f>IF(G327="","",ABS(P327-Components!$D$2))</f>
        <v/>
      </c>
      <c r="R327" s="67">
        <f>IF(G327="","",ABS(P327-Components!$D$3))</f>
        <v/>
      </c>
      <c r="S327" s="67">
        <f>IF(G327="","",ABS(P327-Components!$D$4))</f>
        <v/>
      </c>
      <c r="T327" s="67">
        <f>IF(G327="","",ABS(P327-Components!$D$5))</f>
        <v/>
      </c>
      <c r="U327" s="67">
        <f>IF(G327="","",ABS(P327-Components!$D$6))</f>
        <v/>
      </c>
      <c r="V327" s="67">
        <f>IF(G327="","",ABS(P327-Components!$D$7))</f>
        <v/>
      </c>
      <c r="W327" s="61">
        <f>IF(G327="","",IF(N327="OK","NONE",INDEX({"S1","S2","W1","W2","N1","N2"},MATCH(MIN(Q327:V327),Q327:V327,0))))</f>
        <v/>
      </c>
      <c r="X327" s="69">
        <f>IF(G327="","",IF(W327=E327,1,0))</f>
        <v/>
      </c>
      <c r="Y327" s="70" t="n"/>
    </row>
    <row r="328">
      <c r="A328" s="61" t="n">
        <v>44</v>
      </c>
      <c r="B328" s="62" t="n">
        <v>6</v>
      </c>
      <c r="C328" s="61" t="inlineStr">
        <is>
          <t>R6</t>
        </is>
      </c>
      <c r="D328" s="74" t="inlineStr">
        <is>
          <t>NG</t>
        </is>
      </c>
      <c r="E328" s="61" t="inlineStr">
        <is>
          <t>S1</t>
        </is>
      </c>
      <c r="F328" s="61" t="inlineStr">
        <is>
          <t>K044</t>
        </is>
      </c>
      <c r="G328" s="75" t="n">
        <v>5.81</v>
      </c>
      <c r="H328" s="65" t="n"/>
      <c r="I328" s="66" t="n"/>
      <c r="J328" s="67">
        <f>VLOOKUP(C328,Recipes!$A$2:$N$4,10,FALSE())</f>
        <v/>
      </c>
      <c r="K328" s="68">
        <f>VLOOKUP(C328,Recipes!$A$2:$N$4,12,FALSE())</f>
        <v/>
      </c>
      <c r="L328" s="67">
        <f>J328-3*K328</f>
        <v/>
      </c>
      <c r="M328" s="67">
        <f>J328+3*K328</f>
        <v/>
      </c>
      <c r="N328" s="61">
        <f>IF(G328="","",IF(AND(G328&gt;=L328,G328&lt;=M328),"OK","NG"))</f>
        <v/>
      </c>
      <c r="O328" s="69">
        <f>IF(N328="","",IF(N328=D328,1,0))</f>
        <v/>
      </c>
      <c r="P328" s="67">
        <f>IF(G328="","",J328-G328)</f>
        <v/>
      </c>
      <c r="Q328" s="67">
        <f>IF(G328="","",ABS(P328-Components!$D$2))</f>
        <v/>
      </c>
      <c r="R328" s="67">
        <f>IF(G328="","",ABS(P328-Components!$D$3))</f>
        <v/>
      </c>
      <c r="S328" s="67">
        <f>IF(G328="","",ABS(P328-Components!$D$4))</f>
        <v/>
      </c>
      <c r="T328" s="67">
        <f>IF(G328="","",ABS(P328-Components!$D$5))</f>
        <v/>
      </c>
      <c r="U328" s="67">
        <f>IF(G328="","",ABS(P328-Components!$D$6))</f>
        <v/>
      </c>
      <c r="V328" s="67">
        <f>IF(G328="","",ABS(P328-Components!$D$7))</f>
        <v/>
      </c>
      <c r="W328" s="61">
        <f>IF(G328="","",IF(N328="OK","NONE",INDEX({"S1","S2","W1","W2","N1","N2"},MATCH(MIN(Q328:V328),Q328:V328,0))))</f>
        <v/>
      </c>
      <c r="X328" s="69">
        <f>IF(G328="","",IF(W328=E328,1,0))</f>
        <v/>
      </c>
      <c r="Y328" s="70" t="n"/>
    </row>
    <row r="329">
      <c r="A329" s="61" t="n">
        <v>44</v>
      </c>
      <c r="B329" s="62" t="n">
        <v>6</v>
      </c>
      <c r="C329" s="61" t="inlineStr">
        <is>
          <t>R6</t>
        </is>
      </c>
      <c r="D329" s="74" t="inlineStr">
        <is>
          <t>NG</t>
        </is>
      </c>
      <c r="E329" s="61" t="inlineStr">
        <is>
          <t>S1</t>
        </is>
      </c>
      <c r="F329" s="61" t="inlineStr">
        <is>
          <t>K044</t>
        </is>
      </c>
      <c r="G329" s="75" t="n">
        <v>5.83</v>
      </c>
      <c r="H329" s="65" t="n"/>
      <c r="I329" s="66" t="n"/>
      <c r="J329" s="67">
        <f>VLOOKUP(C329,Recipes!$A$2:$N$4,10,FALSE())</f>
        <v/>
      </c>
      <c r="K329" s="68">
        <f>VLOOKUP(C329,Recipes!$A$2:$N$4,12,FALSE())</f>
        <v/>
      </c>
      <c r="L329" s="67">
        <f>J329-3*K329</f>
        <v/>
      </c>
      <c r="M329" s="67">
        <f>J329+3*K329</f>
        <v/>
      </c>
      <c r="N329" s="61">
        <f>IF(G329="","",IF(AND(G329&gt;=L329,G329&lt;=M329),"OK","NG"))</f>
        <v/>
      </c>
      <c r="O329" s="69">
        <f>IF(N329="","",IF(N329=D329,1,0))</f>
        <v/>
      </c>
      <c r="P329" s="67">
        <f>IF(G329="","",J329-G329)</f>
        <v/>
      </c>
      <c r="Q329" s="67">
        <f>IF(G329="","",ABS(P329-Components!$D$2))</f>
        <v/>
      </c>
      <c r="R329" s="67">
        <f>IF(G329="","",ABS(P329-Components!$D$3))</f>
        <v/>
      </c>
      <c r="S329" s="67">
        <f>IF(G329="","",ABS(P329-Components!$D$4))</f>
        <v/>
      </c>
      <c r="T329" s="67">
        <f>IF(G329="","",ABS(P329-Components!$D$5))</f>
        <v/>
      </c>
      <c r="U329" s="67">
        <f>IF(G329="","",ABS(P329-Components!$D$6))</f>
        <v/>
      </c>
      <c r="V329" s="67">
        <f>IF(G329="","",ABS(P329-Components!$D$7))</f>
        <v/>
      </c>
      <c r="W329" s="61">
        <f>IF(G329="","",IF(N329="OK","NONE",INDEX({"S1","S2","W1","W2","N1","N2"},MATCH(MIN(Q329:V329),Q329:V329,0))))</f>
        <v/>
      </c>
      <c r="X329" s="69">
        <f>IF(G329="","",IF(W329=E329,1,0))</f>
        <v/>
      </c>
      <c r="Y329" s="70" t="n"/>
    </row>
    <row r="330">
      <c r="A330" s="61" t="n">
        <v>44</v>
      </c>
      <c r="B330" s="62" t="n">
        <v>6</v>
      </c>
      <c r="C330" s="61" t="inlineStr">
        <is>
          <t>R6</t>
        </is>
      </c>
      <c r="D330" s="74" t="inlineStr">
        <is>
          <t>NG</t>
        </is>
      </c>
      <c r="E330" s="61" t="inlineStr">
        <is>
          <t>S1</t>
        </is>
      </c>
      <c r="F330" s="61" t="inlineStr">
        <is>
          <t>K044</t>
        </is>
      </c>
      <c r="G330" s="75" t="n">
        <v>5.87</v>
      </c>
      <c r="H330" s="65" t="n"/>
      <c r="I330" s="66" t="n"/>
      <c r="J330" s="67">
        <f>VLOOKUP(C330,Recipes!$A$2:$N$4,10,FALSE())</f>
        <v/>
      </c>
      <c r="K330" s="68">
        <f>VLOOKUP(C330,Recipes!$A$2:$N$4,12,FALSE())</f>
        <v/>
      </c>
      <c r="L330" s="67">
        <f>J330-3*K330</f>
        <v/>
      </c>
      <c r="M330" s="67">
        <f>J330+3*K330</f>
        <v/>
      </c>
      <c r="N330" s="61">
        <f>IF(G330="","",IF(AND(G330&gt;=L330,G330&lt;=M330),"OK","NG"))</f>
        <v/>
      </c>
      <c r="O330" s="69">
        <f>IF(N330="","",IF(N330=D330,1,0))</f>
        <v/>
      </c>
      <c r="P330" s="67">
        <f>IF(G330="","",J330-G330)</f>
        <v/>
      </c>
      <c r="Q330" s="67">
        <f>IF(G330="","",ABS(P330-Components!$D$2))</f>
        <v/>
      </c>
      <c r="R330" s="67">
        <f>IF(G330="","",ABS(P330-Components!$D$3))</f>
        <v/>
      </c>
      <c r="S330" s="67">
        <f>IF(G330="","",ABS(P330-Components!$D$4))</f>
        <v/>
      </c>
      <c r="T330" s="67">
        <f>IF(G330="","",ABS(P330-Components!$D$5))</f>
        <v/>
      </c>
      <c r="U330" s="67">
        <f>IF(G330="","",ABS(P330-Components!$D$6))</f>
        <v/>
      </c>
      <c r="V330" s="67">
        <f>IF(G330="","",ABS(P330-Components!$D$7))</f>
        <v/>
      </c>
      <c r="W330" s="61">
        <f>IF(G330="","",IF(N330="OK","NONE",INDEX({"S1","S2","W1","W2","N1","N2"},MATCH(MIN(Q330:V330),Q330:V330,0))))</f>
        <v/>
      </c>
      <c r="X330" s="69">
        <f>IF(G330="","",IF(W330=E330,1,0))</f>
        <v/>
      </c>
      <c r="Y330" s="70" t="n"/>
    </row>
    <row r="331">
      <c r="A331" s="61" t="n">
        <v>44</v>
      </c>
      <c r="B331" s="62" t="n">
        <v>6</v>
      </c>
      <c r="C331" s="61" t="inlineStr">
        <is>
          <t>R6</t>
        </is>
      </c>
      <c r="D331" s="74" t="inlineStr">
        <is>
          <t>NG</t>
        </is>
      </c>
      <c r="E331" s="61" t="inlineStr">
        <is>
          <t>S1</t>
        </is>
      </c>
      <c r="F331" s="61" t="inlineStr">
        <is>
          <t>K044</t>
        </is>
      </c>
      <c r="G331" s="75" t="n">
        <v>5.8</v>
      </c>
      <c r="H331" s="65" t="n"/>
      <c r="I331" s="66" t="n"/>
      <c r="J331" s="67">
        <f>VLOOKUP(C331,Recipes!$A$2:$N$4,10,FALSE())</f>
        <v/>
      </c>
      <c r="K331" s="68">
        <f>VLOOKUP(C331,Recipes!$A$2:$N$4,12,FALSE())</f>
        <v/>
      </c>
      <c r="L331" s="67">
        <f>J331-3*K331</f>
        <v/>
      </c>
      <c r="M331" s="67">
        <f>J331+3*K331</f>
        <v/>
      </c>
      <c r="N331" s="61">
        <f>IF(G331="","",IF(AND(G331&gt;=L331,G331&lt;=M331),"OK","NG"))</f>
        <v/>
      </c>
      <c r="O331" s="69">
        <f>IF(N331="","",IF(N331=D331,1,0))</f>
        <v/>
      </c>
      <c r="P331" s="67">
        <f>IF(G331="","",J331-G331)</f>
        <v/>
      </c>
      <c r="Q331" s="67">
        <f>IF(G331="","",ABS(P331-Components!$D$2))</f>
        <v/>
      </c>
      <c r="R331" s="67">
        <f>IF(G331="","",ABS(P331-Components!$D$3))</f>
        <v/>
      </c>
      <c r="S331" s="67">
        <f>IF(G331="","",ABS(P331-Components!$D$4))</f>
        <v/>
      </c>
      <c r="T331" s="67">
        <f>IF(G331="","",ABS(P331-Components!$D$5))</f>
        <v/>
      </c>
      <c r="U331" s="67">
        <f>IF(G331="","",ABS(P331-Components!$D$6))</f>
        <v/>
      </c>
      <c r="V331" s="67">
        <f>IF(G331="","",ABS(P331-Components!$D$7))</f>
        <v/>
      </c>
      <c r="W331" s="61">
        <f>IF(G331="","",IF(N331="OK","NONE",INDEX({"S1","S2","W1","W2","N1","N2"},MATCH(MIN(Q331:V331),Q331:V331,0))))</f>
        <v/>
      </c>
      <c r="X331" s="69">
        <f>IF(G331="","",IF(W331=E331,1,0))</f>
        <v/>
      </c>
      <c r="Y331" s="70" t="n"/>
    </row>
    <row r="332">
      <c r="A332" s="61" t="n">
        <v>44</v>
      </c>
      <c r="B332" s="62" t="n">
        <v>6</v>
      </c>
      <c r="C332" s="61" t="inlineStr">
        <is>
          <t>R6</t>
        </is>
      </c>
      <c r="D332" s="74" t="inlineStr">
        <is>
          <t>NG</t>
        </is>
      </c>
      <c r="E332" s="61" t="inlineStr">
        <is>
          <t>S1</t>
        </is>
      </c>
      <c r="F332" s="61" t="inlineStr">
        <is>
          <t>K044</t>
        </is>
      </c>
      <c r="G332" s="75" t="n">
        <v>5.86</v>
      </c>
      <c r="H332" s="65" t="n"/>
      <c r="I332" s="66" t="n"/>
      <c r="J332" s="67">
        <f>VLOOKUP(C332,Recipes!$A$2:$N$4,10,FALSE())</f>
        <v/>
      </c>
      <c r="K332" s="68">
        <f>VLOOKUP(C332,Recipes!$A$2:$N$4,12,FALSE())</f>
        <v/>
      </c>
      <c r="L332" s="67">
        <f>J332-3*K332</f>
        <v/>
      </c>
      <c r="M332" s="67">
        <f>J332+3*K332</f>
        <v/>
      </c>
      <c r="N332" s="61">
        <f>IF(G332="","",IF(AND(G332&gt;=L332,G332&lt;=M332),"OK","NG"))</f>
        <v/>
      </c>
      <c r="O332" s="69">
        <f>IF(N332="","",IF(N332=D332,1,0))</f>
        <v/>
      </c>
      <c r="P332" s="67">
        <f>IF(G332="","",J332-G332)</f>
        <v/>
      </c>
      <c r="Q332" s="67">
        <f>IF(G332="","",ABS(P332-Components!$D$2))</f>
        <v/>
      </c>
      <c r="R332" s="67">
        <f>IF(G332="","",ABS(P332-Components!$D$3))</f>
        <v/>
      </c>
      <c r="S332" s="67">
        <f>IF(G332="","",ABS(P332-Components!$D$4))</f>
        <v/>
      </c>
      <c r="T332" s="67">
        <f>IF(G332="","",ABS(P332-Components!$D$5))</f>
        <v/>
      </c>
      <c r="U332" s="67">
        <f>IF(G332="","",ABS(P332-Components!$D$6))</f>
        <v/>
      </c>
      <c r="V332" s="67">
        <f>IF(G332="","",ABS(P332-Components!$D$7))</f>
        <v/>
      </c>
      <c r="W332" s="61">
        <f>IF(G332="","",IF(N332="OK","NONE",INDEX({"S1","S2","W1","W2","N1","N2"},MATCH(MIN(Q332:V332),Q332:V332,0))))</f>
        <v/>
      </c>
      <c r="X332" s="69">
        <f>IF(G332="","",IF(W332=E332,1,0))</f>
        <v/>
      </c>
      <c r="Y332" s="70" t="n"/>
    </row>
    <row r="333">
      <c r="A333" s="61" t="n">
        <v>46</v>
      </c>
      <c r="B333" s="62" t="n">
        <v>44</v>
      </c>
      <c r="C333" s="61" t="inlineStr">
        <is>
          <t>R6</t>
        </is>
      </c>
      <c r="D333" s="74" t="inlineStr">
        <is>
          <t>NG</t>
        </is>
      </c>
      <c r="E333" s="61" t="inlineStr">
        <is>
          <t>W1</t>
        </is>
      </c>
      <c r="F333" s="61" t="inlineStr">
        <is>
          <t>K046</t>
        </is>
      </c>
      <c r="G333" s="75" t="n">
        <v>7.6</v>
      </c>
      <c r="H333" s="65" t="n"/>
      <c r="I333" s="66" t="n"/>
      <c r="J333" s="67">
        <f>VLOOKUP(C333,Recipes!$A$2:$N$4,10,FALSE())</f>
        <v/>
      </c>
      <c r="K333" s="68">
        <f>VLOOKUP(C333,Recipes!$A$2:$N$4,12,FALSE())</f>
        <v/>
      </c>
      <c r="L333" s="67">
        <f>J333-3*K333</f>
        <v/>
      </c>
      <c r="M333" s="67">
        <f>J333+3*K333</f>
        <v/>
      </c>
      <c r="N333" s="61">
        <f>IF(G333="","",IF(AND(G333&gt;=L333,G333&lt;=M333),"OK","NG"))</f>
        <v/>
      </c>
      <c r="O333" s="69">
        <f>IF(N333="","",IF(N333=D333,1,0))</f>
        <v/>
      </c>
      <c r="P333" s="67">
        <f>IF(G333="","",J333-G333)</f>
        <v/>
      </c>
      <c r="Q333" s="67">
        <f>IF(G333="","",ABS(P333-Components!$D$2))</f>
        <v/>
      </c>
      <c r="R333" s="67">
        <f>IF(G333="","",ABS(P333-Components!$D$3))</f>
        <v/>
      </c>
      <c r="S333" s="67">
        <f>IF(G333="","",ABS(P333-Components!$D$4))</f>
        <v/>
      </c>
      <c r="T333" s="67">
        <f>IF(G333="","",ABS(P333-Components!$D$5))</f>
        <v/>
      </c>
      <c r="U333" s="67">
        <f>IF(G333="","",ABS(P333-Components!$D$6))</f>
        <v/>
      </c>
      <c r="V333" s="67">
        <f>IF(G333="","",ABS(P333-Components!$D$7))</f>
        <v/>
      </c>
      <c r="W333" s="61">
        <f>IF(G333="","",IF(N333="OK","NONE",INDEX({"S1","S2","W1","W2","N1","N2"},MATCH(MIN(Q333:V333),Q333:V333,0))))</f>
        <v/>
      </c>
      <c r="X333" s="69">
        <f>IF(G333="","",IF(W333=E333,1,0))</f>
        <v/>
      </c>
      <c r="Y333" s="70" t="n"/>
    </row>
    <row r="334">
      <c r="A334" s="61" t="n">
        <v>46</v>
      </c>
      <c r="B334" s="62" t="n">
        <v>44</v>
      </c>
      <c r="C334" s="61" t="inlineStr">
        <is>
          <t>R6</t>
        </is>
      </c>
      <c r="D334" s="74" t="inlineStr">
        <is>
          <t>NG</t>
        </is>
      </c>
      <c r="E334" s="61" t="inlineStr">
        <is>
          <t>W1</t>
        </is>
      </c>
      <c r="F334" s="61" t="inlineStr">
        <is>
          <t>K046</t>
        </is>
      </c>
      <c r="G334" s="75" t="n">
        <v>7.68</v>
      </c>
      <c r="H334" s="65" t="n"/>
      <c r="I334" s="66" t="n"/>
      <c r="J334" s="67">
        <f>VLOOKUP(C334,Recipes!$A$2:$N$4,10,FALSE())</f>
        <v/>
      </c>
      <c r="K334" s="68">
        <f>VLOOKUP(C334,Recipes!$A$2:$N$4,12,FALSE())</f>
        <v/>
      </c>
      <c r="L334" s="67">
        <f>J334-3*K334</f>
        <v/>
      </c>
      <c r="M334" s="67">
        <f>J334+3*K334</f>
        <v/>
      </c>
      <c r="N334" s="61">
        <f>IF(G334="","",IF(AND(G334&gt;=L334,G334&lt;=M334),"OK","NG"))</f>
        <v/>
      </c>
      <c r="O334" s="69">
        <f>IF(N334="","",IF(N334=D334,1,0))</f>
        <v/>
      </c>
      <c r="P334" s="67">
        <f>IF(G334="","",J334-G334)</f>
        <v/>
      </c>
      <c r="Q334" s="67">
        <f>IF(G334="","",ABS(P334-Components!$D$2))</f>
        <v/>
      </c>
      <c r="R334" s="67">
        <f>IF(G334="","",ABS(P334-Components!$D$3))</f>
        <v/>
      </c>
      <c r="S334" s="67">
        <f>IF(G334="","",ABS(P334-Components!$D$4))</f>
        <v/>
      </c>
      <c r="T334" s="67">
        <f>IF(G334="","",ABS(P334-Components!$D$5))</f>
        <v/>
      </c>
      <c r="U334" s="67">
        <f>IF(G334="","",ABS(P334-Components!$D$6))</f>
        <v/>
      </c>
      <c r="V334" s="67">
        <f>IF(G334="","",ABS(P334-Components!$D$7))</f>
        <v/>
      </c>
      <c r="W334" s="61">
        <f>IF(G334="","",IF(N334="OK","NONE",INDEX({"S1","S2","W1","W2","N1","N2"},MATCH(MIN(Q334:V334),Q334:V334,0))))</f>
        <v/>
      </c>
      <c r="X334" s="69">
        <f>IF(G334="","",IF(W334=E334,1,0))</f>
        <v/>
      </c>
      <c r="Y334" s="70" t="n"/>
    </row>
    <row r="335">
      <c r="A335" s="61" t="n">
        <v>46</v>
      </c>
      <c r="B335" s="62" t="n">
        <v>44</v>
      </c>
      <c r="C335" s="61" t="inlineStr">
        <is>
          <t>R6</t>
        </is>
      </c>
      <c r="D335" s="74" t="inlineStr">
        <is>
          <t>NG</t>
        </is>
      </c>
      <c r="E335" s="61" t="inlineStr">
        <is>
          <t>W1</t>
        </is>
      </c>
      <c r="F335" s="61" t="inlineStr">
        <is>
          <t>K046</t>
        </is>
      </c>
      <c r="G335" s="75" t="n">
        <v>7.4</v>
      </c>
      <c r="H335" s="65" t="n"/>
      <c r="I335" s="66" t="n"/>
      <c r="J335" s="67">
        <f>VLOOKUP(C335,Recipes!$A$2:$N$4,10,FALSE())</f>
        <v/>
      </c>
      <c r="K335" s="68">
        <f>VLOOKUP(C335,Recipes!$A$2:$N$4,12,FALSE())</f>
        <v/>
      </c>
      <c r="L335" s="67">
        <f>J335-3*K335</f>
        <v/>
      </c>
      <c r="M335" s="67">
        <f>J335+3*K335</f>
        <v/>
      </c>
      <c r="N335" s="61">
        <f>IF(G335="","",IF(AND(G335&gt;=L335,G335&lt;=M335),"OK","NG"))</f>
        <v/>
      </c>
      <c r="O335" s="69">
        <f>IF(N335="","",IF(N335=D335,1,0))</f>
        <v/>
      </c>
      <c r="P335" s="67">
        <f>IF(G335="","",J335-G335)</f>
        <v/>
      </c>
      <c r="Q335" s="67">
        <f>IF(G335="","",ABS(P335-Components!$D$2))</f>
        <v/>
      </c>
      <c r="R335" s="67">
        <f>IF(G335="","",ABS(P335-Components!$D$3))</f>
        <v/>
      </c>
      <c r="S335" s="67">
        <f>IF(G335="","",ABS(P335-Components!$D$4))</f>
        <v/>
      </c>
      <c r="T335" s="67">
        <f>IF(G335="","",ABS(P335-Components!$D$5))</f>
        <v/>
      </c>
      <c r="U335" s="67">
        <f>IF(G335="","",ABS(P335-Components!$D$6))</f>
        <v/>
      </c>
      <c r="V335" s="67">
        <f>IF(G335="","",ABS(P335-Components!$D$7))</f>
        <v/>
      </c>
      <c r="W335" s="61">
        <f>IF(G335="","",IF(N335="OK","NONE",INDEX({"S1","S2","W1","W2","N1","N2"},MATCH(MIN(Q335:V335),Q335:V335,0))))</f>
        <v/>
      </c>
      <c r="X335" s="71">
        <f>IF(G335="","",IF(W335=E335,1,0))</f>
        <v/>
      </c>
      <c r="Y335" s="70" t="n"/>
    </row>
    <row r="336">
      <c r="A336" s="61" t="n">
        <v>46</v>
      </c>
      <c r="B336" s="62" t="n">
        <v>44</v>
      </c>
      <c r="C336" s="61" t="inlineStr">
        <is>
          <t>R6</t>
        </is>
      </c>
      <c r="D336" s="74" t="inlineStr">
        <is>
          <t>NG</t>
        </is>
      </c>
      <c r="E336" s="61" t="inlineStr">
        <is>
          <t>W1</t>
        </is>
      </c>
      <c r="F336" s="61" t="inlineStr">
        <is>
          <t>K046</t>
        </is>
      </c>
      <c r="G336" s="75" t="n">
        <v>7.59</v>
      </c>
      <c r="H336" s="65" t="n"/>
      <c r="I336" s="66" t="n"/>
      <c r="J336" s="67">
        <f>VLOOKUP(C336,Recipes!$A$2:$N$4,10,FALSE())</f>
        <v/>
      </c>
      <c r="K336" s="68">
        <f>VLOOKUP(C336,Recipes!$A$2:$N$4,12,FALSE())</f>
        <v/>
      </c>
      <c r="L336" s="67">
        <f>J336-3*K336</f>
        <v/>
      </c>
      <c r="M336" s="67">
        <f>J336+3*K336</f>
        <v/>
      </c>
      <c r="N336" s="61">
        <f>IF(G336="","",IF(AND(G336&gt;=L336,G336&lt;=M336),"OK","NG"))</f>
        <v/>
      </c>
      <c r="O336" s="69">
        <f>IF(N336="","",IF(N336=D336,1,0))</f>
        <v/>
      </c>
      <c r="P336" s="67">
        <f>IF(G336="","",J336-G336)</f>
        <v/>
      </c>
      <c r="Q336" s="67">
        <f>IF(G336="","",ABS(P336-Components!$D$2))</f>
        <v/>
      </c>
      <c r="R336" s="67">
        <f>IF(G336="","",ABS(P336-Components!$D$3))</f>
        <v/>
      </c>
      <c r="S336" s="67">
        <f>IF(G336="","",ABS(P336-Components!$D$4))</f>
        <v/>
      </c>
      <c r="T336" s="67">
        <f>IF(G336="","",ABS(P336-Components!$D$5))</f>
        <v/>
      </c>
      <c r="U336" s="67">
        <f>IF(G336="","",ABS(P336-Components!$D$6))</f>
        <v/>
      </c>
      <c r="V336" s="67">
        <f>IF(G336="","",ABS(P336-Components!$D$7))</f>
        <v/>
      </c>
      <c r="W336" s="61">
        <f>IF(G336="","",IF(N336="OK","NONE",INDEX({"S1","S2","W1","W2","N1","N2"},MATCH(MIN(Q336:V336),Q336:V336,0))))</f>
        <v/>
      </c>
      <c r="X336" s="69">
        <f>IF(G336="","",IF(W336=E336,1,0))</f>
        <v/>
      </c>
      <c r="Y336" s="70" t="n"/>
    </row>
    <row r="337">
      <c r="A337" s="61" t="n">
        <v>46</v>
      </c>
      <c r="B337" s="62" t="n">
        <v>44</v>
      </c>
      <c r="C337" s="61" t="inlineStr">
        <is>
          <t>R6</t>
        </is>
      </c>
      <c r="D337" s="74" t="inlineStr">
        <is>
          <t>NG</t>
        </is>
      </c>
      <c r="E337" s="61" t="inlineStr">
        <is>
          <t>W1</t>
        </is>
      </c>
      <c r="F337" s="61" t="inlineStr">
        <is>
          <t>K046</t>
        </is>
      </c>
      <c r="G337" s="75" t="n">
        <v>7.53</v>
      </c>
      <c r="H337" s="65" t="n"/>
      <c r="I337" s="66" t="n"/>
      <c r="J337" s="67">
        <f>VLOOKUP(C337,Recipes!$A$2:$N$4,10,FALSE())</f>
        <v/>
      </c>
      <c r="K337" s="68">
        <f>VLOOKUP(C337,Recipes!$A$2:$N$4,12,FALSE())</f>
        <v/>
      </c>
      <c r="L337" s="67">
        <f>J337-3*K337</f>
        <v/>
      </c>
      <c r="M337" s="67">
        <f>J337+3*K337</f>
        <v/>
      </c>
      <c r="N337" s="61">
        <f>IF(G337="","",IF(AND(G337&gt;=L337,G337&lt;=M337),"OK","NG"))</f>
        <v/>
      </c>
      <c r="O337" s="69">
        <f>IF(N337="","",IF(N337=D337,1,0))</f>
        <v/>
      </c>
      <c r="P337" s="67">
        <f>IF(G337="","",J337-G337)</f>
        <v/>
      </c>
      <c r="Q337" s="67">
        <f>IF(G337="","",ABS(P337-Components!$D$2))</f>
        <v/>
      </c>
      <c r="R337" s="67">
        <f>IF(G337="","",ABS(P337-Components!$D$3))</f>
        <v/>
      </c>
      <c r="S337" s="67">
        <f>IF(G337="","",ABS(P337-Components!$D$4))</f>
        <v/>
      </c>
      <c r="T337" s="67">
        <f>IF(G337="","",ABS(P337-Components!$D$5))</f>
        <v/>
      </c>
      <c r="U337" s="67">
        <f>IF(G337="","",ABS(P337-Components!$D$6))</f>
        <v/>
      </c>
      <c r="V337" s="67">
        <f>IF(G337="","",ABS(P337-Components!$D$7))</f>
        <v/>
      </c>
      <c r="W337" s="61">
        <f>IF(G337="","",IF(N337="OK","NONE",INDEX({"S1","S2","W1","W2","N1","N2"},MATCH(MIN(Q337:V337),Q337:V337,0))))</f>
        <v/>
      </c>
      <c r="X337" s="71">
        <f>IF(G337="","",IF(W337=E337,1,0))</f>
        <v/>
      </c>
      <c r="Y337" s="70" t="n"/>
    </row>
    <row r="338">
      <c r="A338" s="61" t="n">
        <v>46</v>
      </c>
      <c r="B338" s="62" t="n">
        <v>44</v>
      </c>
      <c r="C338" s="61" t="inlineStr">
        <is>
          <t>R6</t>
        </is>
      </c>
      <c r="D338" s="74" t="inlineStr">
        <is>
          <t>NG</t>
        </is>
      </c>
      <c r="E338" s="61" t="inlineStr">
        <is>
          <t>W1</t>
        </is>
      </c>
      <c r="F338" s="61" t="inlineStr">
        <is>
          <t>K046</t>
        </is>
      </c>
      <c r="G338" s="75" t="n">
        <v>7.53</v>
      </c>
      <c r="H338" s="65" t="n"/>
      <c r="I338" s="66" t="n"/>
      <c r="J338" s="67">
        <f>VLOOKUP(C338,Recipes!$A$2:$N$4,10,FALSE())</f>
        <v/>
      </c>
      <c r="K338" s="68">
        <f>VLOOKUP(C338,Recipes!$A$2:$N$4,12,FALSE())</f>
        <v/>
      </c>
      <c r="L338" s="67">
        <f>J338-3*K338</f>
        <v/>
      </c>
      <c r="M338" s="67">
        <f>J338+3*K338</f>
        <v/>
      </c>
      <c r="N338" s="61">
        <f>IF(G338="","",IF(AND(G338&gt;=L338,G338&lt;=M338),"OK","NG"))</f>
        <v/>
      </c>
      <c r="O338" s="69">
        <f>IF(N338="","",IF(N338=D338,1,0))</f>
        <v/>
      </c>
      <c r="P338" s="67">
        <f>IF(G338="","",J338-G338)</f>
        <v/>
      </c>
      <c r="Q338" s="67">
        <f>IF(G338="","",ABS(P338-Components!$D$2))</f>
        <v/>
      </c>
      <c r="R338" s="67">
        <f>IF(G338="","",ABS(P338-Components!$D$3))</f>
        <v/>
      </c>
      <c r="S338" s="67">
        <f>IF(G338="","",ABS(P338-Components!$D$4))</f>
        <v/>
      </c>
      <c r="T338" s="67">
        <f>IF(G338="","",ABS(P338-Components!$D$5))</f>
        <v/>
      </c>
      <c r="U338" s="67">
        <f>IF(G338="","",ABS(P338-Components!$D$6))</f>
        <v/>
      </c>
      <c r="V338" s="67">
        <f>IF(G338="","",ABS(P338-Components!$D$7))</f>
        <v/>
      </c>
      <c r="W338" s="61">
        <f>IF(G338="","",IF(N338="OK","NONE",INDEX({"S1","S2","W1","W2","N1","N2"},MATCH(MIN(Q338:V338),Q338:V338,0))))</f>
        <v/>
      </c>
      <c r="X338" s="71">
        <f>IF(G338="","",IF(W338=E338,1,0))</f>
        <v/>
      </c>
      <c r="Y338" s="70" t="n"/>
    </row>
    <row r="339">
      <c r="A339" s="61" t="n">
        <v>46</v>
      </c>
      <c r="B339" s="62" t="n">
        <v>44</v>
      </c>
      <c r="C339" s="61" t="inlineStr">
        <is>
          <t>R6</t>
        </is>
      </c>
      <c r="D339" s="74" t="inlineStr">
        <is>
          <t>NG</t>
        </is>
      </c>
      <c r="E339" s="61" t="inlineStr">
        <is>
          <t>W1</t>
        </is>
      </c>
      <c r="F339" s="61" t="inlineStr">
        <is>
          <t>K046</t>
        </is>
      </c>
      <c r="G339" s="75" t="n">
        <v>7.63</v>
      </c>
      <c r="H339" s="65" t="n"/>
      <c r="I339" s="66" t="n"/>
      <c r="J339" s="67">
        <f>VLOOKUP(C339,Recipes!$A$2:$N$4,10,FALSE())</f>
        <v/>
      </c>
      <c r="K339" s="68">
        <f>VLOOKUP(C339,Recipes!$A$2:$N$4,12,FALSE())</f>
        <v/>
      </c>
      <c r="L339" s="67">
        <f>J339-3*K339</f>
        <v/>
      </c>
      <c r="M339" s="67">
        <f>J339+3*K339</f>
        <v/>
      </c>
      <c r="N339" s="61">
        <f>IF(G339="","",IF(AND(G339&gt;=L339,G339&lt;=M339),"OK","NG"))</f>
        <v/>
      </c>
      <c r="O339" s="69">
        <f>IF(N339="","",IF(N339=D339,1,0))</f>
        <v/>
      </c>
      <c r="P339" s="67">
        <f>IF(G339="","",J339-G339)</f>
        <v/>
      </c>
      <c r="Q339" s="67">
        <f>IF(G339="","",ABS(P339-Components!$D$2))</f>
        <v/>
      </c>
      <c r="R339" s="67">
        <f>IF(G339="","",ABS(P339-Components!$D$3))</f>
        <v/>
      </c>
      <c r="S339" s="67">
        <f>IF(G339="","",ABS(P339-Components!$D$4))</f>
        <v/>
      </c>
      <c r="T339" s="67">
        <f>IF(G339="","",ABS(P339-Components!$D$5))</f>
        <v/>
      </c>
      <c r="U339" s="67">
        <f>IF(G339="","",ABS(P339-Components!$D$6))</f>
        <v/>
      </c>
      <c r="V339" s="67">
        <f>IF(G339="","",ABS(P339-Components!$D$7))</f>
        <v/>
      </c>
      <c r="W339" s="61">
        <f>IF(G339="","",IF(N339="OK","NONE",INDEX({"S1","S2","W1","W2","N1","N2"},MATCH(MIN(Q339:V339),Q339:V339,0))))</f>
        <v/>
      </c>
      <c r="X339" s="69">
        <f>IF(G339="","",IF(W339=E339,1,0))</f>
        <v/>
      </c>
      <c r="Y339" s="70" t="n"/>
    </row>
    <row r="340">
      <c r="A340" s="61" t="n">
        <v>46</v>
      </c>
      <c r="B340" s="62" t="n">
        <v>44</v>
      </c>
      <c r="C340" s="61" t="inlineStr">
        <is>
          <t>R6</t>
        </is>
      </c>
      <c r="D340" s="74" t="inlineStr">
        <is>
          <t>NG</t>
        </is>
      </c>
      <c r="E340" s="61" t="inlineStr">
        <is>
          <t>W1</t>
        </is>
      </c>
      <c r="F340" s="61" t="inlineStr">
        <is>
          <t>K046</t>
        </is>
      </c>
      <c r="G340" s="75" t="n">
        <v>7.62</v>
      </c>
      <c r="H340" s="65" t="n"/>
      <c r="I340" s="66" t="n"/>
      <c r="J340" s="67">
        <f>VLOOKUP(C340,Recipes!$A$2:$N$4,10,FALSE())</f>
        <v/>
      </c>
      <c r="K340" s="68">
        <f>VLOOKUP(C340,Recipes!$A$2:$N$4,12,FALSE())</f>
        <v/>
      </c>
      <c r="L340" s="67">
        <f>J340-3*K340</f>
        <v/>
      </c>
      <c r="M340" s="67">
        <f>J340+3*K340</f>
        <v/>
      </c>
      <c r="N340" s="61">
        <f>IF(G340="","",IF(AND(G340&gt;=L340,G340&lt;=M340),"OK","NG"))</f>
        <v/>
      </c>
      <c r="O340" s="69">
        <f>IF(N340="","",IF(N340=D340,1,0))</f>
        <v/>
      </c>
      <c r="P340" s="67">
        <f>IF(G340="","",J340-G340)</f>
        <v/>
      </c>
      <c r="Q340" s="67">
        <f>IF(G340="","",ABS(P340-Components!$D$2))</f>
        <v/>
      </c>
      <c r="R340" s="67">
        <f>IF(G340="","",ABS(P340-Components!$D$3))</f>
        <v/>
      </c>
      <c r="S340" s="67">
        <f>IF(G340="","",ABS(P340-Components!$D$4))</f>
        <v/>
      </c>
      <c r="T340" s="67">
        <f>IF(G340="","",ABS(P340-Components!$D$5))</f>
        <v/>
      </c>
      <c r="U340" s="67">
        <f>IF(G340="","",ABS(P340-Components!$D$6))</f>
        <v/>
      </c>
      <c r="V340" s="67">
        <f>IF(G340="","",ABS(P340-Components!$D$7))</f>
        <v/>
      </c>
      <c r="W340" s="61">
        <f>IF(G340="","",IF(N340="OK","NONE",INDEX({"S1","S2","W1","W2","N1","N2"},MATCH(MIN(Q340:V340),Q340:V340,0))))</f>
        <v/>
      </c>
      <c r="X340" s="69">
        <f>IF(G340="","",IF(W340=E340,1,0))</f>
        <v/>
      </c>
      <c r="Y340" s="70" t="n"/>
    </row>
    <row r="341">
      <c r="A341" s="61" t="n">
        <v>46</v>
      </c>
      <c r="B341" s="62" t="n">
        <v>44</v>
      </c>
      <c r="C341" s="61" t="inlineStr">
        <is>
          <t>R6</t>
        </is>
      </c>
      <c r="D341" s="74" t="inlineStr">
        <is>
          <t>NG</t>
        </is>
      </c>
      <c r="E341" s="61" t="inlineStr">
        <is>
          <t>W1</t>
        </is>
      </c>
      <c r="F341" s="61" t="inlineStr">
        <is>
          <t>K046</t>
        </is>
      </c>
      <c r="G341" s="75" t="n">
        <v>7.59</v>
      </c>
      <c r="H341" s="65" t="n"/>
      <c r="I341" s="66" t="n"/>
      <c r="J341" s="67">
        <f>VLOOKUP(C341,Recipes!$A$2:$N$4,10,FALSE())</f>
        <v/>
      </c>
      <c r="K341" s="68">
        <f>VLOOKUP(C341,Recipes!$A$2:$N$4,12,FALSE())</f>
        <v/>
      </c>
      <c r="L341" s="67">
        <f>J341-3*K341</f>
        <v/>
      </c>
      <c r="M341" s="67">
        <f>J341+3*K341</f>
        <v/>
      </c>
      <c r="N341" s="61">
        <f>IF(G341="","",IF(AND(G341&gt;=L341,G341&lt;=M341),"OK","NG"))</f>
        <v/>
      </c>
      <c r="O341" s="69">
        <f>IF(N341="","",IF(N341=D341,1,0))</f>
        <v/>
      </c>
      <c r="P341" s="67">
        <f>IF(G341="","",J341-G341)</f>
        <v/>
      </c>
      <c r="Q341" s="67">
        <f>IF(G341="","",ABS(P341-Components!$D$2))</f>
        <v/>
      </c>
      <c r="R341" s="67">
        <f>IF(G341="","",ABS(P341-Components!$D$3))</f>
        <v/>
      </c>
      <c r="S341" s="67">
        <f>IF(G341="","",ABS(P341-Components!$D$4))</f>
        <v/>
      </c>
      <c r="T341" s="67">
        <f>IF(G341="","",ABS(P341-Components!$D$5))</f>
        <v/>
      </c>
      <c r="U341" s="67">
        <f>IF(G341="","",ABS(P341-Components!$D$6))</f>
        <v/>
      </c>
      <c r="V341" s="67">
        <f>IF(G341="","",ABS(P341-Components!$D$7))</f>
        <v/>
      </c>
      <c r="W341" s="61">
        <f>IF(G341="","",IF(N341="OK","NONE",INDEX({"S1","S2","W1","W2","N1","N2"},MATCH(MIN(Q341:V341),Q341:V341,0))))</f>
        <v/>
      </c>
      <c r="X341" s="69">
        <f>IF(G341="","",IF(W341=E341,1,0))</f>
        <v/>
      </c>
      <c r="Y341" s="70" t="n"/>
    </row>
    <row r="342">
      <c r="A342" s="61" t="n">
        <v>46</v>
      </c>
      <c r="B342" s="62" t="n">
        <v>44</v>
      </c>
      <c r="C342" s="61" t="inlineStr">
        <is>
          <t>R6</t>
        </is>
      </c>
      <c r="D342" s="74" t="inlineStr">
        <is>
          <t>NG</t>
        </is>
      </c>
      <c r="E342" s="61" t="inlineStr">
        <is>
          <t>W1</t>
        </is>
      </c>
      <c r="F342" s="61" t="inlineStr">
        <is>
          <t>K046</t>
        </is>
      </c>
      <c r="G342" s="75" t="n">
        <v>7.64</v>
      </c>
      <c r="H342" s="65" t="n"/>
      <c r="I342" s="66" t="n"/>
      <c r="J342" s="67">
        <f>VLOOKUP(C342,Recipes!$A$2:$N$4,10,FALSE())</f>
        <v/>
      </c>
      <c r="K342" s="68">
        <f>VLOOKUP(C342,Recipes!$A$2:$N$4,12,FALSE())</f>
        <v/>
      </c>
      <c r="L342" s="67">
        <f>J342-3*K342</f>
        <v/>
      </c>
      <c r="M342" s="67">
        <f>J342+3*K342</f>
        <v/>
      </c>
      <c r="N342" s="61">
        <f>IF(G342="","",IF(AND(G342&gt;=L342,G342&lt;=M342),"OK","NG"))</f>
        <v/>
      </c>
      <c r="O342" s="69">
        <f>IF(N342="","",IF(N342=D342,1,0))</f>
        <v/>
      </c>
      <c r="P342" s="67">
        <f>IF(G342="","",J342-G342)</f>
        <v/>
      </c>
      <c r="Q342" s="67">
        <f>IF(G342="","",ABS(P342-Components!$D$2))</f>
        <v/>
      </c>
      <c r="R342" s="67">
        <f>IF(G342="","",ABS(P342-Components!$D$3))</f>
        <v/>
      </c>
      <c r="S342" s="67">
        <f>IF(G342="","",ABS(P342-Components!$D$4))</f>
        <v/>
      </c>
      <c r="T342" s="67">
        <f>IF(G342="","",ABS(P342-Components!$D$5))</f>
        <v/>
      </c>
      <c r="U342" s="67">
        <f>IF(G342="","",ABS(P342-Components!$D$6))</f>
        <v/>
      </c>
      <c r="V342" s="67">
        <f>IF(G342="","",ABS(P342-Components!$D$7))</f>
        <v/>
      </c>
      <c r="W342" s="61">
        <f>IF(G342="","",IF(N342="OK","NONE",INDEX({"S1","S2","W1","W2","N1","N2"},MATCH(MIN(Q342:V342),Q342:V342,0))))</f>
        <v/>
      </c>
      <c r="X342" s="69">
        <f>IF(G342="","",IF(W342=E342,1,0))</f>
        <v/>
      </c>
      <c r="Y342" s="70" t="n"/>
    </row>
    <row r="343">
      <c r="A343" s="61" t="n">
        <v>46</v>
      </c>
      <c r="B343" s="62" t="n">
        <v>44</v>
      </c>
      <c r="C343" s="61" t="inlineStr">
        <is>
          <t>R6</t>
        </is>
      </c>
      <c r="D343" s="74" t="inlineStr">
        <is>
          <t>NG</t>
        </is>
      </c>
      <c r="E343" s="61" t="inlineStr">
        <is>
          <t>W1</t>
        </is>
      </c>
      <c r="F343" s="61" t="inlineStr">
        <is>
          <t>K046</t>
        </is>
      </c>
      <c r="G343" s="75" t="n">
        <v>7.65</v>
      </c>
      <c r="H343" s="65" t="n"/>
      <c r="I343" s="66" t="n"/>
      <c r="J343" s="67">
        <f>VLOOKUP(C343,Recipes!$A$2:$N$4,10,FALSE())</f>
        <v/>
      </c>
      <c r="K343" s="68">
        <f>VLOOKUP(C343,Recipes!$A$2:$N$4,12,FALSE())</f>
        <v/>
      </c>
      <c r="L343" s="67">
        <f>J343-3*K343</f>
        <v/>
      </c>
      <c r="M343" s="67">
        <f>J343+3*K343</f>
        <v/>
      </c>
      <c r="N343" s="61">
        <f>IF(G343="","",IF(AND(G343&gt;=L343,G343&lt;=M343),"OK","NG"))</f>
        <v/>
      </c>
      <c r="O343" s="69">
        <f>IF(N343="","",IF(N343=D343,1,0))</f>
        <v/>
      </c>
      <c r="P343" s="67">
        <f>IF(G343="","",J343-G343)</f>
        <v/>
      </c>
      <c r="Q343" s="67">
        <f>IF(G343="","",ABS(P343-Components!$D$2))</f>
        <v/>
      </c>
      <c r="R343" s="67">
        <f>IF(G343="","",ABS(P343-Components!$D$3))</f>
        <v/>
      </c>
      <c r="S343" s="67">
        <f>IF(G343="","",ABS(P343-Components!$D$4))</f>
        <v/>
      </c>
      <c r="T343" s="67">
        <f>IF(G343="","",ABS(P343-Components!$D$5))</f>
        <v/>
      </c>
      <c r="U343" s="67">
        <f>IF(G343="","",ABS(P343-Components!$D$6))</f>
        <v/>
      </c>
      <c r="V343" s="67">
        <f>IF(G343="","",ABS(P343-Components!$D$7))</f>
        <v/>
      </c>
      <c r="W343" s="61">
        <f>IF(G343="","",IF(N343="OK","NONE",INDEX({"S1","S2","W1","W2","N1","N2"},MATCH(MIN(Q343:V343),Q343:V343,0))))</f>
        <v/>
      </c>
      <c r="X343" s="69">
        <f>IF(G343="","",IF(W343=E343,1,0))</f>
        <v/>
      </c>
      <c r="Y343" s="70" t="n"/>
    </row>
    <row r="344">
      <c r="A344" s="61" t="n">
        <v>46</v>
      </c>
      <c r="B344" s="62" t="n">
        <v>44</v>
      </c>
      <c r="C344" s="61" t="inlineStr">
        <is>
          <t>R6</t>
        </is>
      </c>
      <c r="D344" s="74" t="inlineStr">
        <is>
          <t>NG</t>
        </is>
      </c>
      <c r="E344" s="61" t="inlineStr">
        <is>
          <t>W1</t>
        </is>
      </c>
      <c r="F344" s="61" t="inlineStr">
        <is>
          <t>K046</t>
        </is>
      </c>
      <c r="G344" s="75" t="n">
        <v>7.6</v>
      </c>
      <c r="H344" s="65" t="n"/>
      <c r="I344" s="66" t="n"/>
      <c r="J344" s="67">
        <f>VLOOKUP(C344,Recipes!$A$2:$N$4,10,FALSE())</f>
        <v/>
      </c>
      <c r="K344" s="68">
        <f>VLOOKUP(C344,Recipes!$A$2:$N$4,12,FALSE())</f>
        <v/>
      </c>
      <c r="L344" s="67">
        <f>J344-3*K344</f>
        <v/>
      </c>
      <c r="M344" s="67">
        <f>J344+3*K344</f>
        <v/>
      </c>
      <c r="N344" s="61">
        <f>IF(G344="","",IF(AND(G344&gt;=L344,G344&lt;=M344),"OK","NG"))</f>
        <v/>
      </c>
      <c r="O344" s="69">
        <f>IF(N344="","",IF(N344=D344,1,0))</f>
        <v/>
      </c>
      <c r="P344" s="67">
        <f>IF(G344="","",J344-G344)</f>
        <v/>
      </c>
      <c r="Q344" s="67">
        <f>IF(G344="","",ABS(P344-Components!$D$2))</f>
        <v/>
      </c>
      <c r="R344" s="67">
        <f>IF(G344="","",ABS(P344-Components!$D$3))</f>
        <v/>
      </c>
      <c r="S344" s="67">
        <f>IF(G344="","",ABS(P344-Components!$D$4))</f>
        <v/>
      </c>
      <c r="T344" s="67">
        <f>IF(G344="","",ABS(P344-Components!$D$5))</f>
        <v/>
      </c>
      <c r="U344" s="67">
        <f>IF(G344="","",ABS(P344-Components!$D$6))</f>
        <v/>
      </c>
      <c r="V344" s="67">
        <f>IF(G344="","",ABS(P344-Components!$D$7))</f>
        <v/>
      </c>
      <c r="W344" s="61">
        <f>IF(G344="","",IF(N344="OK","NONE",INDEX({"S1","S2","W1","W2","N1","N2"},MATCH(MIN(Q344:V344),Q344:V344,0))))</f>
        <v/>
      </c>
      <c r="X344" s="69">
        <f>IF(G344="","",IF(W344=E344,1,0))</f>
        <v/>
      </c>
      <c r="Y344" s="70" t="n"/>
    </row>
    <row r="345">
      <c r="A345" s="61" t="n">
        <v>46</v>
      </c>
      <c r="B345" s="62" t="n">
        <v>44</v>
      </c>
      <c r="C345" s="61" t="inlineStr">
        <is>
          <t>R6</t>
        </is>
      </c>
      <c r="D345" s="74" t="inlineStr">
        <is>
          <t>NG</t>
        </is>
      </c>
      <c r="E345" s="61" t="inlineStr">
        <is>
          <t>W1</t>
        </is>
      </c>
      <c r="F345" s="61" t="inlineStr">
        <is>
          <t>K046</t>
        </is>
      </c>
      <c r="G345" s="75" t="n">
        <v>7.6</v>
      </c>
      <c r="H345" s="65" t="n"/>
      <c r="I345" s="66" t="n"/>
      <c r="J345" s="67">
        <f>VLOOKUP(C345,Recipes!$A$2:$N$4,10,FALSE())</f>
        <v/>
      </c>
      <c r="K345" s="68">
        <f>VLOOKUP(C345,Recipes!$A$2:$N$4,12,FALSE())</f>
        <v/>
      </c>
      <c r="L345" s="67">
        <f>J345-3*K345</f>
        <v/>
      </c>
      <c r="M345" s="67">
        <f>J345+3*K345</f>
        <v/>
      </c>
      <c r="N345" s="61">
        <f>IF(G345="","",IF(AND(G345&gt;=L345,G345&lt;=M345),"OK","NG"))</f>
        <v/>
      </c>
      <c r="O345" s="69">
        <f>IF(N345="","",IF(N345=D345,1,0))</f>
        <v/>
      </c>
      <c r="P345" s="67">
        <f>IF(G345="","",J345-G345)</f>
        <v/>
      </c>
      <c r="Q345" s="67">
        <f>IF(G345="","",ABS(P345-Components!$D$2))</f>
        <v/>
      </c>
      <c r="R345" s="67">
        <f>IF(G345="","",ABS(P345-Components!$D$3))</f>
        <v/>
      </c>
      <c r="S345" s="67">
        <f>IF(G345="","",ABS(P345-Components!$D$4))</f>
        <v/>
      </c>
      <c r="T345" s="67">
        <f>IF(G345="","",ABS(P345-Components!$D$5))</f>
        <v/>
      </c>
      <c r="U345" s="67">
        <f>IF(G345="","",ABS(P345-Components!$D$6))</f>
        <v/>
      </c>
      <c r="V345" s="67">
        <f>IF(G345="","",ABS(P345-Components!$D$7))</f>
        <v/>
      </c>
      <c r="W345" s="61">
        <f>IF(G345="","",IF(N345="OK","NONE",INDEX({"S1","S2","W1","W2","N1","N2"},MATCH(MIN(Q345:V345),Q345:V345,0))))</f>
        <v/>
      </c>
      <c r="X345" s="69">
        <f>IF(G345="","",IF(W345=E345,1,0))</f>
        <v/>
      </c>
      <c r="Y345" s="70" t="n"/>
    </row>
    <row r="346">
      <c r="A346" s="61" t="n">
        <v>46</v>
      </c>
      <c r="B346" s="62" t="n">
        <v>44</v>
      </c>
      <c r="C346" s="61" t="inlineStr">
        <is>
          <t>R6</t>
        </is>
      </c>
      <c r="D346" s="74" t="inlineStr">
        <is>
          <t>NG</t>
        </is>
      </c>
      <c r="E346" s="61" t="inlineStr">
        <is>
          <t>W1</t>
        </is>
      </c>
      <c r="F346" s="61" t="inlineStr">
        <is>
          <t>K046</t>
        </is>
      </c>
      <c r="G346" s="75" t="n">
        <v>7.59</v>
      </c>
      <c r="H346" s="65" t="n"/>
      <c r="I346" s="66" t="n"/>
      <c r="J346" s="67">
        <f>VLOOKUP(C346,Recipes!$A$2:$N$4,10,FALSE())</f>
        <v/>
      </c>
      <c r="K346" s="68">
        <f>VLOOKUP(C346,Recipes!$A$2:$N$4,12,FALSE())</f>
        <v/>
      </c>
      <c r="L346" s="67">
        <f>J346-3*K346</f>
        <v/>
      </c>
      <c r="M346" s="67">
        <f>J346+3*K346</f>
        <v/>
      </c>
      <c r="N346" s="61">
        <f>IF(G346="","",IF(AND(G346&gt;=L346,G346&lt;=M346),"OK","NG"))</f>
        <v/>
      </c>
      <c r="O346" s="69">
        <f>IF(N346="","",IF(N346=D346,1,0))</f>
        <v/>
      </c>
      <c r="P346" s="67">
        <f>IF(G346="","",J346-G346)</f>
        <v/>
      </c>
      <c r="Q346" s="67">
        <f>IF(G346="","",ABS(P346-Components!$D$2))</f>
        <v/>
      </c>
      <c r="R346" s="67">
        <f>IF(G346="","",ABS(P346-Components!$D$3))</f>
        <v/>
      </c>
      <c r="S346" s="67">
        <f>IF(G346="","",ABS(P346-Components!$D$4))</f>
        <v/>
      </c>
      <c r="T346" s="67">
        <f>IF(G346="","",ABS(P346-Components!$D$5))</f>
        <v/>
      </c>
      <c r="U346" s="67">
        <f>IF(G346="","",ABS(P346-Components!$D$6))</f>
        <v/>
      </c>
      <c r="V346" s="67">
        <f>IF(G346="","",ABS(P346-Components!$D$7))</f>
        <v/>
      </c>
      <c r="W346" s="61">
        <f>IF(G346="","",IF(N346="OK","NONE",INDEX({"S1","S2","W1","W2","N1","N2"},MATCH(MIN(Q346:V346),Q346:V346,0))))</f>
        <v/>
      </c>
      <c r="X346" s="69">
        <f>IF(G346="","",IF(W346=E346,1,0))</f>
        <v/>
      </c>
      <c r="Y346" s="70" t="n"/>
    </row>
    <row r="347">
      <c r="A347" s="61" t="n">
        <v>46</v>
      </c>
      <c r="B347" s="62" t="n">
        <v>44</v>
      </c>
      <c r="C347" s="61" t="inlineStr">
        <is>
          <t>R6</t>
        </is>
      </c>
      <c r="D347" s="74" t="inlineStr">
        <is>
          <t>NG</t>
        </is>
      </c>
      <c r="E347" s="61" t="inlineStr">
        <is>
          <t>W1</t>
        </is>
      </c>
      <c r="F347" s="61" t="inlineStr">
        <is>
          <t>K046</t>
        </is>
      </c>
      <c r="G347" s="75" t="n">
        <v>7.63</v>
      </c>
      <c r="H347" s="65" t="n"/>
      <c r="I347" s="66" t="n"/>
      <c r="J347" s="67">
        <f>VLOOKUP(C347,Recipes!$A$2:$N$4,10,FALSE())</f>
        <v/>
      </c>
      <c r="K347" s="68">
        <f>VLOOKUP(C347,Recipes!$A$2:$N$4,12,FALSE())</f>
        <v/>
      </c>
      <c r="L347" s="67">
        <f>J347-3*K347</f>
        <v/>
      </c>
      <c r="M347" s="67">
        <f>J347+3*K347</f>
        <v/>
      </c>
      <c r="N347" s="61">
        <f>IF(G347="","",IF(AND(G347&gt;=L347,G347&lt;=M347),"OK","NG"))</f>
        <v/>
      </c>
      <c r="O347" s="69">
        <f>IF(N347="","",IF(N347=D347,1,0))</f>
        <v/>
      </c>
      <c r="P347" s="67">
        <f>IF(G347="","",J347-G347)</f>
        <v/>
      </c>
      <c r="Q347" s="67">
        <f>IF(G347="","",ABS(P347-Components!$D$2))</f>
        <v/>
      </c>
      <c r="R347" s="67">
        <f>IF(G347="","",ABS(P347-Components!$D$3))</f>
        <v/>
      </c>
      <c r="S347" s="67">
        <f>IF(G347="","",ABS(P347-Components!$D$4))</f>
        <v/>
      </c>
      <c r="T347" s="67">
        <f>IF(G347="","",ABS(P347-Components!$D$5))</f>
        <v/>
      </c>
      <c r="U347" s="67">
        <f>IF(G347="","",ABS(P347-Components!$D$6))</f>
        <v/>
      </c>
      <c r="V347" s="67">
        <f>IF(G347="","",ABS(P347-Components!$D$7))</f>
        <v/>
      </c>
      <c r="W347" s="61">
        <f>IF(G347="","",IF(N347="OK","NONE",INDEX({"S1","S2","W1","W2","N1","N2"},MATCH(MIN(Q347:V347),Q347:V347,0))))</f>
        <v/>
      </c>
      <c r="X347" s="69">
        <f>IF(G347="","",IF(W347=E347,1,0))</f>
        <v/>
      </c>
      <c r="Y347" s="70" t="n"/>
    </row>
    <row r="348">
      <c r="A348" s="61" t="n">
        <v>46</v>
      </c>
      <c r="B348" s="62" t="n">
        <v>44</v>
      </c>
      <c r="C348" s="61" t="inlineStr">
        <is>
          <t>R6</t>
        </is>
      </c>
      <c r="D348" s="74" t="inlineStr">
        <is>
          <t>NG</t>
        </is>
      </c>
      <c r="E348" s="61" t="inlineStr">
        <is>
          <t>W1</t>
        </is>
      </c>
      <c r="F348" s="61" t="inlineStr">
        <is>
          <t>K046</t>
        </is>
      </c>
      <c r="G348" s="75" t="n">
        <v>7.6</v>
      </c>
      <c r="H348" s="65" t="n"/>
      <c r="I348" s="66" t="n"/>
      <c r="J348" s="67">
        <f>VLOOKUP(C348,Recipes!$A$2:$N$4,10,FALSE())</f>
        <v/>
      </c>
      <c r="K348" s="68">
        <f>VLOOKUP(C348,Recipes!$A$2:$N$4,12,FALSE())</f>
        <v/>
      </c>
      <c r="L348" s="67">
        <f>J348-3*K348</f>
        <v/>
      </c>
      <c r="M348" s="67">
        <f>J348+3*K348</f>
        <v/>
      </c>
      <c r="N348" s="61">
        <f>IF(G348="","",IF(AND(G348&gt;=L348,G348&lt;=M348),"OK","NG"))</f>
        <v/>
      </c>
      <c r="O348" s="69">
        <f>IF(N348="","",IF(N348=D348,1,0))</f>
        <v/>
      </c>
      <c r="P348" s="67">
        <f>IF(G348="","",J348-G348)</f>
        <v/>
      </c>
      <c r="Q348" s="67">
        <f>IF(G348="","",ABS(P348-Components!$D$2))</f>
        <v/>
      </c>
      <c r="R348" s="67">
        <f>IF(G348="","",ABS(P348-Components!$D$3))</f>
        <v/>
      </c>
      <c r="S348" s="67">
        <f>IF(G348="","",ABS(P348-Components!$D$4))</f>
        <v/>
      </c>
      <c r="T348" s="67">
        <f>IF(G348="","",ABS(P348-Components!$D$5))</f>
        <v/>
      </c>
      <c r="U348" s="67">
        <f>IF(G348="","",ABS(P348-Components!$D$6))</f>
        <v/>
      </c>
      <c r="V348" s="67">
        <f>IF(G348="","",ABS(P348-Components!$D$7))</f>
        <v/>
      </c>
      <c r="W348" s="61">
        <f>IF(G348="","",IF(N348="OK","NONE",INDEX({"S1","S2","W1","W2","N1","N2"},MATCH(MIN(Q348:V348),Q348:V348,0))))</f>
        <v/>
      </c>
      <c r="X348" s="69">
        <f>IF(G348="","",IF(W348=E348,1,0))</f>
        <v/>
      </c>
      <c r="Y348" s="70" t="n"/>
    </row>
    <row r="349">
      <c r="A349" s="61" t="n">
        <v>46</v>
      </c>
      <c r="B349" s="62" t="n">
        <v>44</v>
      </c>
      <c r="C349" s="61" t="inlineStr">
        <is>
          <t>R6</t>
        </is>
      </c>
      <c r="D349" s="74" t="inlineStr">
        <is>
          <t>NG</t>
        </is>
      </c>
      <c r="E349" s="61" t="inlineStr">
        <is>
          <t>W1</t>
        </is>
      </c>
      <c r="F349" s="61" t="inlineStr">
        <is>
          <t>K046</t>
        </is>
      </c>
      <c r="G349" s="75" t="n">
        <v>7.56</v>
      </c>
      <c r="H349" s="65" t="n"/>
      <c r="I349" s="66" t="n"/>
      <c r="J349" s="67">
        <f>VLOOKUP(C349,Recipes!$A$2:$N$4,10,FALSE())</f>
        <v/>
      </c>
      <c r="K349" s="68">
        <f>VLOOKUP(C349,Recipes!$A$2:$N$4,12,FALSE())</f>
        <v/>
      </c>
      <c r="L349" s="67">
        <f>J349-3*K349</f>
        <v/>
      </c>
      <c r="M349" s="67">
        <f>J349+3*K349</f>
        <v/>
      </c>
      <c r="N349" s="61">
        <f>IF(G349="","",IF(AND(G349&gt;=L349,G349&lt;=M349),"OK","NG"))</f>
        <v/>
      </c>
      <c r="O349" s="69">
        <f>IF(N349="","",IF(N349=D349,1,0))</f>
        <v/>
      </c>
      <c r="P349" s="67">
        <f>IF(G349="","",J349-G349)</f>
        <v/>
      </c>
      <c r="Q349" s="67">
        <f>IF(G349="","",ABS(P349-Components!$D$2))</f>
        <v/>
      </c>
      <c r="R349" s="67">
        <f>IF(G349="","",ABS(P349-Components!$D$3))</f>
        <v/>
      </c>
      <c r="S349" s="67">
        <f>IF(G349="","",ABS(P349-Components!$D$4))</f>
        <v/>
      </c>
      <c r="T349" s="67">
        <f>IF(G349="","",ABS(P349-Components!$D$5))</f>
        <v/>
      </c>
      <c r="U349" s="67">
        <f>IF(G349="","",ABS(P349-Components!$D$6))</f>
        <v/>
      </c>
      <c r="V349" s="67">
        <f>IF(G349="","",ABS(P349-Components!$D$7))</f>
        <v/>
      </c>
      <c r="W349" s="61">
        <f>IF(G349="","",IF(N349="OK","NONE",INDEX({"S1","S2","W1","W2","N1","N2"},MATCH(MIN(Q349:V349),Q349:V349,0))))</f>
        <v/>
      </c>
      <c r="X349" s="71">
        <f>IF(G349="","",IF(W349=E349,1,0))</f>
        <v/>
      </c>
      <c r="Y349" s="70" t="n"/>
    </row>
    <row r="350">
      <c r="A350" s="61" t="n">
        <v>46</v>
      </c>
      <c r="B350" s="62" t="n">
        <v>44</v>
      </c>
      <c r="C350" s="61" t="inlineStr">
        <is>
          <t>R6</t>
        </is>
      </c>
      <c r="D350" s="74" t="inlineStr">
        <is>
          <t>NG</t>
        </is>
      </c>
      <c r="E350" s="61" t="inlineStr">
        <is>
          <t>W1</t>
        </is>
      </c>
      <c r="F350" s="61" t="inlineStr">
        <is>
          <t>K046</t>
        </is>
      </c>
      <c r="G350" s="75" t="n">
        <v>7.63</v>
      </c>
      <c r="H350" s="65" t="n"/>
      <c r="I350" s="66" t="n"/>
      <c r="J350" s="67">
        <f>VLOOKUP(C350,Recipes!$A$2:$N$4,10,FALSE())</f>
        <v/>
      </c>
      <c r="K350" s="68">
        <f>VLOOKUP(C350,Recipes!$A$2:$N$4,12,FALSE())</f>
        <v/>
      </c>
      <c r="L350" s="67">
        <f>J350-3*K350</f>
        <v/>
      </c>
      <c r="M350" s="67">
        <f>J350+3*K350</f>
        <v/>
      </c>
      <c r="N350" s="61">
        <f>IF(G350="","",IF(AND(G350&gt;=L350,G350&lt;=M350),"OK","NG"))</f>
        <v/>
      </c>
      <c r="O350" s="69">
        <f>IF(N350="","",IF(N350=D350,1,0))</f>
        <v/>
      </c>
      <c r="P350" s="67">
        <f>IF(G350="","",J350-G350)</f>
        <v/>
      </c>
      <c r="Q350" s="67">
        <f>IF(G350="","",ABS(P350-Components!$D$2))</f>
        <v/>
      </c>
      <c r="R350" s="67">
        <f>IF(G350="","",ABS(P350-Components!$D$3))</f>
        <v/>
      </c>
      <c r="S350" s="67">
        <f>IF(G350="","",ABS(P350-Components!$D$4))</f>
        <v/>
      </c>
      <c r="T350" s="67">
        <f>IF(G350="","",ABS(P350-Components!$D$5))</f>
        <v/>
      </c>
      <c r="U350" s="67">
        <f>IF(G350="","",ABS(P350-Components!$D$6))</f>
        <v/>
      </c>
      <c r="V350" s="67">
        <f>IF(G350="","",ABS(P350-Components!$D$7))</f>
        <v/>
      </c>
      <c r="W350" s="61">
        <f>IF(G350="","",IF(N350="OK","NONE",INDEX({"S1","S2","W1","W2","N1","N2"},MATCH(MIN(Q350:V350),Q350:V350,0))))</f>
        <v/>
      </c>
      <c r="X350" s="69">
        <f>IF(G350="","",IF(W350=E350,1,0))</f>
        <v/>
      </c>
      <c r="Y350" s="70" t="n"/>
    </row>
    <row r="351">
      <c r="A351" s="61" t="n">
        <v>46</v>
      </c>
      <c r="B351" s="62" t="n">
        <v>44</v>
      </c>
      <c r="C351" s="61" t="inlineStr">
        <is>
          <t>R6</t>
        </is>
      </c>
      <c r="D351" s="74" t="inlineStr">
        <is>
          <t>NG</t>
        </is>
      </c>
      <c r="E351" s="61" t="inlineStr">
        <is>
          <t>W1</t>
        </is>
      </c>
      <c r="F351" s="61" t="inlineStr">
        <is>
          <t>K046</t>
        </is>
      </c>
      <c r="G351" s="75" t="n">
        <v>7.6</v>
      </c>
      <c r="H351" s="65" t="n"/>
      <c r="I351" s="66" t="n"/>
      <c r="J351" s="67">
        <f>VLOOKUP(C351,Recipes!$A$2:$N$4,10,FALSE())</f>
        <v/>
      </c>
      <c r="K351" s="68">
        <f>VLOOKUP(C351,Recipes!$A$2:$N$4,12,FALSE())</f>
        <v/>
      </c>
      <c r="L351" s="67">
        <f>J351-3*K351</f>
        <v/>
      </c>
      <c r="M351" s="67">
        <f>J351+3*K351</f>
        <v/>
      </c>
      <c r="N351" s="61">
        <f>IF(G351="","",IF(AND(G351&gt;=L351,G351&lt;=M351),"OK","NG"))</f>
        <v/>
      </c>
      <c r="O351" s="69">
        <f>IF(N351="","",IF(N351=D351,1,0))</f>
        <v/>
      </c>
      <c r="P351" s="67">
        <f>IF(G351="","",J351-G351)</f>
        <v/>
      </c>
      <c r="Q351" s="67">
        <f>IF(G351="","",ABS(P351-Components!$D$2))</f>
        <v/>
      </c>
      <c r="R351" s="67">
        <f>IF(G351="","",ABS(P351-Components!$D$3))</f>
        <v/>
      </c>
      <c r="S351" s="67">
        <f>IF(G351="","",ABS(P351-Components!$D$4))</f>
        <v/>
      </c>
      <c r="T351" s="67">
        <f>IF(G351="","",ABS(P351-Components!$D$5))</f>
        <v/>
      </c>
      <c r="U351" s="67">
        <f>IF(G351="","",ABS(P351-Components!$D$6))</f>
        <v/>
      </c>
      <c r="V351" s="67">
        <f>IF(G351="","",ABS(P351-Components!$D$7))</f>
        <v/>
      </c>
      <c r="W351" s="61">
        <f>IF(G351="","",IF(N351="OK","NONE",INDEX({"S1","S2","W1","W2","N1","N2"},MATCH(MIN(Q351:V351),Q351:V351,0))))</f>
        <v/>
      </c>
      <c r="X351" s="69">
        <f>IF(G351="","",IF(W351=E351,1,0))</f>
        <v/>
      </c>
      <c r="Y351" s="70" t="n"/>
    </row>
    <row r="352">
      <c r="A352" s="61" t="n">
        <v>46</v>
      </c>
      <c r="B352" s="62" t="n">
        <v>44</v>
      </c>
      <c r="C352" s="61" t="inlineStr">
        <is>
          <t>R6</t>
        </is>
      </c>
      <c r="D352" s="74" t="inlineStr">
        <is>
          <t>NG</t>
        </is>
      </c>
      <c r="E352" s="61" t="inlineStr">
        <is>
          <t>W1</t>
        </is>
      </c>
      <c r="F352" s="61" t="inlineStr">
        <is>
          <t>K046</t>
        </is>
      </c>
      <c r="G352" s="75" t="n">
        <v>7.58</v>
      </c>
      <c r="H352" s="65" t="n"/>
      <c r="I352" s="66" t="n"/>
      <c r="J352" s="67">
        <f>VLOOKUP(C352,Recipes!$A$2:$N$4,10,FALSE())</f>
        <v/>
      </c>
      <c r="K352" s="68">
        <f>VLOOKUP(C352,Recipes!$A$2:$N$4,12,FALSE())</f>
        <v/>
      </c>
      <c r="L352" s="67">
        <f>J352-3*K352</f>
        <v/>
      </c>
      <c r="M352" s="67">
        <f>J352+3*K352</f>
        <v/>
      </c>
      <c r="N352" s="61">
        <f>IF(G352="","",IF(AND(G352&gt;=L352,G352&lt;=M352),"OK","NG"))</f>
        <v/>
      </c>
      <c r="O352" s="69">
        <f>IF(N352="","",IF(N352=D352,1,0))</f>
        <v/>
      </c>
      <c r="P352" s="67">
        <f>IF(G352="","",J352-G352)</f>
        <v/>
      </c>
      <c r="Q352" s="67">
        <f>IF(G352="","",ABS(P352-Components!$D$2))</f>
        <v/>
      </c>
      <c r="R352" s="67">
        <f>IF(G352="","",ABS(P352-Components!$D$3))</f>
        <v/>
      </c>
      <c r="S352" s="67">
        <f>IF(G352="","",ABS(P352-Components!$D$4))</f>
        <v/>
      </c>
      <c r="T352" s="67">
        <f>IF(G352="","",ABS(P352-Components!$D$5))</f>
        <v/>
      </c>
      <c r="U352" s="67">
        <f>IF(G352="","",ABS(P352-Components!$D$6))</f>
        <v/>
      </c>
      <c r="V352" s="67">
        <f>IF(G352="","",ABS(P352-Components!$D$7))</f>
        <v/>
      </c>
      <c r="W352" s="61">
        <f>IF(G352="","",IF(N352="OK","NONE",INDEX({"S1","S2","W1","W2","N1","N2"},MATCH(MIN(Q352:V352),Q352:V352,0))))</f>
        <v/>
      </c>
      <c r="X352" s="69">
        <f>IF(G352="","",IF(W352=E352,1,0))</f>
        <v/>
      </c>
      <c r="Y352" s="70" t="n"/>
    </row>
    <row r="353">
      <c r="A353" s="61" t="n">
        <v>46</v>
      </c>
      <c r="B353" s="62" t="n">
        <v>44</v>
      </c>
      <c r="C353" s="61" t="inlineStr">
        <is>
          <t>R6</t>
        </is>
      </c>
      <c r="D353" s="74" t="inlineStr">
        <is>
          <t>NG</t>
        </is>
      </c>
      <c r="E353" s="61" t="inlineStr">
        <is>
          <t>W1</t>
        </is>
      </c>
      <c r="F353" s="61" t="inlineStr">
        <is>
          <t>K046</t>
        </is>
      </c>
      <c r="G353" s="75" t="n">
        <v>7.61</v>
      </c>
      <c r="H353" s="65" t="n"/>
      <c r="I353" s="66" t="n"/>
      <c r="J353" s="67">
        <f>VLOOKUP(C353,Recipes!$A$2:$N$4,10,FALSE())</f>
        <v/>
      </c>
      <c r="K353" s="68">
        <f>VLOOKUP(C353,Recipes!$A$2:$N$4,12,FALSE())</f>
        <v/>
      </c>
      <c r="L353" s="67">
        <f>J353-3*K353</f>
        <v/>
      </c>
      <c r="M353" s="67">
        <f>J353+3*K353</f>
        <v/>
      </c>
      <c r="N353" s="61">
        <f>IF(G353="","",IF(AND(G353&gt;=L353,G353&lt;=M353),"OK","NG"))</f>
        <v/>
      </c>
      <c r="O353" s="69">
        <f>IF(N353="","",IF(N353=D353,1,0))</f>
        <v/>
      </c>
      <c r="P353" s="67">
        <f>IF(G353="","",J353-G353)</f>
        <v/>
      </c>
      <c r="Q353" s="67">
        <f>IF(G353="","",ABS(P353-Components!$D$2))</f>
        <v/>
      </c>
      <c r="R353" s="67">
        <f>IF(G353="","",ABS(P353-Components!$D$3))</f>
        <v/>
      </c>
      <c r="S353" s="67">
        <f>IF(G353="","",ABS(P353-Components!$D$4))</f>
        <v/>
      </c>
      <c r="T353" s="67">
        <f>IF(G353="","",ABS(P353-Components!$D$5))</f>
        <v/>
      </c>
      <c r="U353" s="67">
        <f>IF(G353="","",ABS(P353-Components!$D$6))</f>
        <v/>
      </c>
      <c r="V353" s="67">
        <f>IF(G353="","",ABS(P353-Components!$D$7))</f>
        <v/>
      </c>
      <c r="W353" s="61">
        <f>IF(G353="","",IF(N353="OK","NONE",INDEX({"S1","S2","W1","W2","N1","N2"},MATCH(MIN(Q353:V353),Q353:V353,0))))</f>
        <v/>
      </c>
      <c r="X353" s="69">
        <f>IF(G353="","",IF(W353=E353,1,0))</f>
        <v/>
      </c>
      <c r="Y353" s="70" t="n"/>
    </row>
    <row r="354">
      <c r="A354" s="61" t="n">
        <v>46</v>
      </c>
      <c r="B354" s="62" t="n">
        <v>44</v>
      </c>
      <c r="C354" s="61" t="inlineStr">
        <is>
          <t>R6</t>
        </is>
      </c>
      <c r="D354" s="74" t="inlineStr">
        <is>
          <t>NG</t>
        </is>
      </c>
      <c r="E354" s="61" t="inlineStr">
        <is>
          <t>W1</t>
        </is>
      </c>
      <c r="F354" s="61" t="inlineStr">
        <is>
          <t>K046</t>
        </is>
      </c>
      <c r="G354" s="75" t="n">
        <v>7.67</v>
      </c>
      <c r="H354" s="65" t="n"/>
      <c r="I354" s="66" t="n"/>
      <c r="J354" s="67">
        <f>VLOOKUP(C354,Recipes!$A$2:$N$4,10,FALSE())</f>
        <v/>
      </c>
      <c r="K354" s="68">
        <f>VLOOKUP(C354,Recipes!$A$2:$N$4,12,FALSE())</f>
        <v/>
      </c>
      <c r="L354" s="67">
        <f>J354-3*K354</f>
        <v/>
      </c>
      <c r="M354" s="67">
        <f>J354+3*K354</f>
        <v/>
      </c>
      <c r="N354" s="61">
        <f>IF(G354="","",IF(AND(G354&gt;=L354,G354&lt;=M354),"OK","NG"))</f>
        <v/>
      </c>
      <c r="O354" s="69">
        <f>IF(N354="","",IF(N354=D354,1,0))</f>
        <v/>
      </c>
      <c r="P354" s="67">
        <f>IF(G354="","",J354-G354)</f>
        <v/>
      </c>
      <c r="Q354" s="67">
        <f>IF(G354="","",ABS(P354-Components!$D$2))</f>
        <v/>
      </c>
      <c r="R354" s="67">
        <f>IF(G354="","",ABS(P354-Components!$D$3))</f>
        <v/>
      </c>
      <c r="S354" s="67">
        <f>IF(G354="","",ABS(P354-Components!$D$4))</f>
        <v/>
      </c>
      <c r="T354" s="67">
        <f>IF(G354="","",ABS(P354-Components!$D$5))</f>
        <v/>
      </c>
      <c r="U354" s="67">
        <f>IF(G354="","",ABS(P354-Components!$D$6))</f>
        <v/>
      </c>
      <c r="V354" s="67">
        <f>IF(G354="","",ABS(P354-Components!$D$7))</f>
        <v/>
      </c>
      <c r="W354" s="61">
        <f>IF(G354="","",IF(N354="OK","NONE",INDEX({"S1","S2","W1","W2","N1","N2"},MATCH(MIN(Q354:V354),Q354:V354,0))))</f>
        <v/>
      </c>
      <c r="X354" s="69">
        <f>IF(G354="","",IF(W354=E354,1,0))</f>
        <v/>
      </c>
      <c r="Y354" s="70" t="n"/>
    </row>
    <row r="355">
      <c r="A355" s="61" t="n">
        <v>46</v>
      </c>
      <c r="B355" s="62" t="n">
        <v>44</v>
      </c>
      <c r="C355" s="61" t="inlineStr">
        <is>
          <t>R6</t>
        </is>
      </c>
      <c r="D355" s="74" t="inlineStr">
        <is>
          <t>NG</t>
        </is>
      </c>
      <c r="E355" s="61" t="inlineStr">
        <is>
          <t>W1</t>
        </is>
      </c>
      <c r="F355" s="61" t="inlineStr">
        <is>
          <t>K046</t>
        </is>
      </c>
      <c r="G355" s="75" t="n">
        <v>7.42</v>
      </c>
      <c r="H355" s="65" t="n"/>
      <c r="I355" s="66" t="n"/>
      <c r="J355" s="67">
        <f>VLOOKUP(C355,Recipes!$A$2:$N$4,10,FALSE())</f>
        <v/>
      </c>
      <c r="K355" s="68">
        <f>VLOOKUP(C355,Recipes!$A$2:$N$4,12,FALSE())</f>
        <v/>
      </c>
      <c r="L355" s="67">
        <f>J355-3*K355</f>
        <v/>
      </c>
      <c r="M355" s="67">
        <f>J355+3*K355</f>
        <v/>
      </c>
      <c r="N355" s="61">
        <f>IF(G355="","",IF(AND(G355&gt;=L355,G355&lt;=M355),"OK","NG"))</f>
        <v/>
      </c>
      <c r="O355" s="69">
        <f>IF(N355="","",IF(N355=D355,1,0))</f>
        <v/>
      </c>
      <c r="P355" s="67">
        <f>IF(G355="","",J355-G355)</f>
        <v/>
      </c>
      <c r="Q355" s="67">
        <f>IF(G355="","",ABS(P355-Components!$D$2))</f>
        <v/>
      </c>
      <c r="R355" s="67">
        <f>IF(G355="","",ABS(P355-Components!$D$3))</f>
        <v/>
      </c>
      <c r="S355" s="67">
        <f>IF(G355="","",ABS(P355-Components!$D$4))</f>
        <v/>
      </c>
      <c r="T355" s="67">
        <f>IF(G355="","",ABS(P355-Components!$D$5))</f>
        <v/>
      </c>
      <c r="U355" s="67">
        <f>IF(G355="","",ABS(P355-Components!$D$6))</f>
        <v/>
      </c>
      <c r="V355" s="67">
        <f>IF(G355="","",ABS(P355-Components!$D$7))</f>
        <v/>
      </c>
      <c r="W355" s="61">
        <f>IF(G355="","",IF(N355="OK","NONE",INDEX({"S1","S2","W1","W2","N1","N2"},MATCH(MIN(Q355:V355),Q355:V355,0))))</f>
        <v/>
      </c>
      <c r="X355" s="71">
        <f>IF(G355="","",IF(W355=E355,1,0))</f>
        <v/>
      </c>
      <c r="Y355" s="70" t="n"/>
    </row>
    <row r="356">
      <c r="A356" s="61" t="n">
        <v>46</v>
      </c>
      <c r="B356" s="62" t="n">
        <v>44</v>
      </c>
      <c r="C356" s="61" t="inlineStr">
        <is>
          <t>R6</t>
        </is>
      </c>
      <c r="D356" s="74" t="inlineStr">
        <is>
          <t>NG</t>
        </is>
      </c>
      <c r="E356" s="61" t="inlineStr">
        <is>
          <t>W1</t>
        </is>
      </c>
      <c r="F356" s="61" t="inlineStr">
        <is>
          <t>K046</t>
        </is>
      </c>
      <c r="G356" s="75" t="n">
        <v>7.69</v>
      </c>
      <c r="H356" s="65" t="n"/>
      <c r="I356" s="66" t="n"/>
      <c r="J356" s="67">
        <f>VLOOKUP(C356,Recipes!$A$2:$N$4,10,FALSE())</f>
        <v/>
      </c>
      <c r="K356" s="68">
        <f>VLOOKUP(C356,Recipes!$A$2:$N$4,12,FALSE())</f>
        <v/>
      </c>
      <c r="L356" s="67">
        <f>J356-3*K356</f>
        <v/>
      </c>
      <c r="M356" s="67">
        <f>J356+3*K356</f>
        <v/>
      </c>
      <c r="N356" s="61">
        <f>IF(G356="","",IF(AND(G356&gt;=L356,G356&lt;=M356),"OK","NG"))</f>
        <v/>
      </c>
      <c r="O356" s="69">
        <f>IF(N356="","",IF(N356=D356,1,0))</f>
        <v/>
      </c>
      <c r="P356" s="67">
        <f>IF(G356="","",J356-G356)</f>
        <v/>
      </c>
      <c r="Q356" s="67">
        <f>IF(G356="","",ABS(P356-Components!$D$2))</f>
        <v/>
      </c>
      <c r="R356" s="67">
        <f>IF(G356="","",ABS(P356-Components!$D$3))</f>
        <v/>
      </c>
      <c r="S356" s="67">
        <f>IF(G356="","",ABS(P356-Components!$D$4))</f>
        <v/>
      </c>
      <c r="T356" s="67">
        <f>IF(G356="","",ABS(P356-Components!$D$5))</f>
        <v/>
      </c>
      <c r="U356" s="67">
        <f>IF(G356="","",ABS(P356-Components!$D$6))</f>
        <v/>
      </c>
      <c r="V356" s="67">
        <f>IF(G356="","",ABS(P356-Components!$D$7))</f>
        <v/>
      </c>
      <c r="W356" s="61">
        <f>IF(G356="","",IF(N356="OK","NONE",INDEX({"S1","S2","W1","W2","N1","N2"},MATCH(MIN(Q356:V356),Q356:V356,0))))</f>
        <v/>
      </c>
      <c r="X356" s="69">
        <f>IF(G356="","",IF(W356=E356,1,0))</f>
        <v/>
      </c>
      <c r="Y356" s="70" t="n"/>
    </row>
    <row r="357">
      <c r="A357" s="61" t="n">
        <v>46</v>
      </c>
      <c r="B357" s="62" t="n">
        <v>44</v>
      </c>
      <c r="C357" s="61" t="inlineStr">
        <is>
          <t>R6</t>
        </is>
      </c>
      <c r="D357" s="74" t="inlineStr">
        <is>
          <t>NG</t>
        </is>
      </c>
      <c r="E357" s="61" t="inlineStr">
        <is>
          <t>W1</t>
        </is>
      </c>
      <c r="F357" s="61" t="inlineStr">
        <is>
          <t>K046</t>
        </is>
      </c>
      <c r="G357" s="75" t="n">
        <v>7.63</v>
      </c>
      <c r="H357" s="65" t="n"/>
      <c r="I357" s="66" t="n"/>
      <c r="J357" s="67">
        <f>VLOOKUP(C357,Recipes!$A$2:$N$4,10,FALSE())</f>
        <v/>
      </c>
      <c r="K357" s="68">
        <f>VLOOKUP(C357,Recipes!$A$2:$N$4,12,FALSE())</f>
        <v/>
      </c>
      <c r="L357" s="67">
        <f>J357-3*K357</f>
        <v/>
      </c>
      <c r="M357" s="67">
        <f>J357+3*K357</f>
        <v/>
      </c>
      <c r="N357" s="61">
        <f>IF(G357="","",IF(AND(G357&gt;=L357,G357&lt;=M357),"OK","NG"))</f>
        <v/>
      </c>
      <c r="O357" s="69">
        <f>IF(N357="","",IF(N357=D357,1,0))</f>
        <v/>
      </c>
      <c r="P357" s="67">
        <f>IF(G357="","",J357-G357)</f>
        <v/>
      </c>
      <c r="Q357" s="67">
        <f>IF(G357="","",ABS(P357-Components!$D$2))</f>
        <v/>
      </c>
      <c r="R357" s="67">
        <f>IF(G357="","",ABS(P357-Components!$D$3))</f>
        <v/>
      </c>
      <c r="S357" s="67">
        <f>IF(G357="","",ABS(P357-Components!$D$4))</f>
        <v/>
      </c>
      <c r="T357" s="67">
        <f>IF(G357="","",ABS(P357-Components!$D$5))</f>
        <v/>
      </c>
      <c r="U357" s="67">
        <f>IF(G357="","",ABS(P357-Components!$D$6))</f>
        <v/>
      </c>
      <c r="V357" s="67">
        <f>IF(G357="","",ABS(P357-Components!$D$7))</f>
        <v/>
      </c>
      <c r="W357" s="61">
        <f>IF(G357="","",IF(N357="OK","NONE",INDEX({"S1","S2","W1","W2","N1","N2"},MATCH(MIN(Q357:V357),Q357:V357,0))))</f>
        <v/>
      </c>
      <c r="X357" s="69">
        <f>IF(G357="","",IF(W357=E357,1,0))</f>
        <v/>
      </c>
      <c r="Y357" s="70" t="n"/>
    </row>
    <row r="358">
      <c r="A358" s="61" t="n">
        <v>46</v>
      </c>
      <c r="B358" s="62" t="n">
        <v>44</v>
      </c>
      <c r="C358" s="61" t="inlineStr">
        <is>
          <t>R6</t>
        </is>
      </c>
      <c r="D358" s="74" t="inlineStr">
        <is>
          <t>NG</t>
        </is>
      </c>
      <c r="E358" s="61" t="inlineStr">
        <is>
          <t>W1</t>
        </is>
      </c>
      <c r="F358" s="61" t="inlineStr">
        <is>
          <t>K046</t>
        </is>
      </c>
      <c r="G358" s="64" t="n">
        <v>7.38</v>
      </c>
      <c r="H358" s="65" t="n"/>
      <c r="I358" s="66" t="n"/>
      <c r="J358" s="67">
        <f>VLOOKUP(C358,Recipes!$A$2:$N$4,10,FALSE())</f>
        <v/>
      </c>
      <c r="K358" s="68">
        <f>VLOOKUP(C358,Recipes!$A$2:$N$4,12,FALSE())</f>
        <v/>
      </c>
      <c r="L358" s="67">
        <f>J358-3*K358</f>
        <v/>
      </c>
      <c r="M358" s="67">
        <f>J358+3*K358</f>
        <v/>
      </c>
      <c r="N358" s="61">
        <f>IF(G358="","",IF(AND(G358&gt;=L358,G358&lt;=M358),"OK","NG"))</f>
        <v/>
      </c>
      <c r="O358" s="69">
        <f>IF(N358="","",IF(N358=D358,1,0))</f>
        <v/>
      </c>
      <c r="P358" s="67">
        <f>IF(G358="","",J358-G358)</f>
        <v/>
      </c>
      <c r="Q358" s="67">
        <f>IF(G358="","",ABS(P358-Components!$D$2))</f>
        <v/>
      </c>
      <c r="R358" s="67">
        <f>IF(G358="","",ABS(P358-Components!$D$3))</f>
        <v/>
      </c>
      <c r="S358" s="67">
        <f>IF(G358="","",ABS(P358-Components!$D$4))</f>
        <v/>
      </c>
      <c r="T358" s="67">
        <f>IF(G358="","",ABS(P358-Components!$D$5))</f>
        <v/>
      </c>
      <c r="U358" s="67">
        <f>IF(G358="","",ABS(P358-Components!$D$6))</f>
        <v/>
      </c>
      <c r="V358" s="67">
        <f>IF(G358="","",ABS(P358-Components!$D$7))</f>
        <v/>
      </c>
      <c r="W358" s="61">
        <f>IF(G358="","",IF(N358="OK","NONE",INDEX({"S1","S2","W1","W2","N1","N2"},MATCH(MIN(Q358:V358),Q358:V358,0))))</f>
        <v/>
      </c>
      <c r="X358" s="71">
        <f>IF(G358="","",IF(W358=E358,1,0))</f>
        <v/>
      </c>
      <c r="Y358" s="70" t="n"/>
    </row>
    <row r="359">
      <c r="A359" s="61" t="n">
        <v>47</v>
      </c>
      <c r="B359" s="62" t="n">
        <v>7</v>
      </c>
      <c r="C359" s="61" t="inlineStr">
        <is>
          <t>R6</t>
        </is>
      </c>
      <c r="D359" s="74" t="inlineStr">
        <is>
          <t>NG</t>
        </is>
      </c>
      <c r="E359" s="61" t="inlineStr">
        <is>
          <t>W1</t>
        </is>
      </c>
      <c r="F359" s="61" t="inlineStr">
        <is>
          <t>K047</t>
        </is>
      </c>
      <c r="G359" s="64" t="n">
        <v>7.54</v>
      </c>
      <c r="H359" s="65" t="n"/>
      <c r="I359" s="66" t="n"/>
      <c r="J359" s="67">
        <f>VLOOKUP(C359,Recipes!$A$2:$N$4,10,FALSE())</f>
        <v/>
      </c>
      <c r="K359" s="68">
        <f>VLOOKUP(C359,Recipes!$A$2:$N$4,12,FALSE())</f>
        <v/>
      </c>
      <c r="L359" s="67">
        <f>J359-3*K359</f>
        <v/>
      </c>
      <c r="M359" s="67">
        <f>J359+3*K359</f>
        <v/>
      </c>
      <c r="N359" s="61">
        <f>IF(G359="","",IF(AND(G359&gt;=L359,G359&lt;=M359),"OK","NG"))</f>
        <v/>
      </c>
      <c r="O359" s="69">
        <f>IF(N359="","",IF(N359=D359,1,0))</f>
        <v/>
      </c>
      <c r="P359" s="67">
        <f>IF(G359="","",J359-G359)</f>
        <v/>
      </c>
      <c r="Q359" s="67">
        <f>IF(G359="","",ABS(P359-Components!$D$2))</f>
        <v/>
      </c>
      <c r="R359" s="67">
        <f>IF(G359="","",ABS(P359-Components!$D$3))</f>
        <v/>
      </c>
      <c r="S359" s="67">
        <f>IF(G359="","",ABS(P359-Components!$D$4))</f>
        <v/>
      </c>
      <c r="T359" s="67">
        <f>IF(G359="","",ABS(P359-Components!$D$5))</f>
        <v/>
      </c>
      <c r="U359" s="67">
        <f>IF(G359="","",ABS(P359-Components!$D$6))</f>
        <v/>
      </c>
      <c r="V359" s="67">
        <f>IF(G359="","",ABS(P359-Components!$D$7))</f>
        <v/>
      </c>
      <c r="W359" s="61">
        <f>IF(G359="","",IF(N359="OK","NONE",INDEX({"S1","S2","W1","W2","N1","N2"},MATCH(MIN(Q359:V359),Q359:V359,0))))</f>
        <v/>
      </c>
      <c r="X359" s="71">
        <f>IF(G359="","",IF(W359=E359,1,0))</f>
        <v/>
      </c>
      <c r="Y359" s="70" t="n"/>
    </row>
    <row r="360">
      <c r="A360" s="61" t="n">
        <v>48</v>
      </c>
      <c r="B360" s="62" t="n">
        <v>9</v>
      </c>
      <c r="C360" s="61" t="inlineStr">
        <is>
          <t>R6</t>
        </is>
      </c>
      <c r="D360" s="74" t="inlineStr">
        <is>
          <t>NG</t>
        </is>
      </c>
      <c r="E360" s="61" t="inlineStr">
        <is>
          <t>W1</t>
        </is>
      </c>
      <c r="F360" s="61" t="inlineStr">
        <is>
          <t>K048</t>
        </is>
      </c>
      <c r="G360" s="64" t="n">
        <v>7.65</v>
      </c>
      <c r="H360" s="65" t="n"/>
      <c r="I360" s="66" t="n"/>
      <c r="J360" s="67">
        <f>VLOOKUP(C360,Recipes!$A$2:$N$4,10,FALSE())</f>
        <v/>
      </c>
      <c r="K360" s="68">
        <f>VLOOKUP(C360,Recipes!$A$2:$N$4,12,FALSE())</f>
        <v/>
      </c>
      <c r="L360" s="67">
        <f>J360-3*K360</f>
        <v/>
      </c>
      <c r="M360" s="67">
        <f>J360+3*K360</f>
        <v/>
      </c>
      <c r="N360" s="61">
        <f>IF(G360="","",IF(AND(G360&gt;=L360,G360&lt;=M360),"OK","NG"))</f>
        <v/>
      </c>
      <c r="O360" s="69">
        <f>IF(N360="","",IF(N360=D360,1,0))</f>
        <v/>
      </c>
      <c r="P360" s="67">
        <f>IF(G360="","",J360-G360)</f>
        <v/>
      </c>
      <c r="Q360" s="67">
        <f>IF(G360="","",ABS(P360-Components!$D$2))</f>
        <v/>
      </c>
      <c r="R360" s="67">
        <f>IF(G360="","",ABS(P360-Components!$D$3))</f>
        <v/>
      </c>
      <c r="S360" s="67">
        <f>IF(G360="","",ABS(P360-Components!$D$4))</f>
        <v/>
      </c>
      <c r="T360" s="67">
        <f>IF(G360="","",ABS(P360-Components!$D$5))</f>
        <v/>
      </c>
      <c r="U360" s="67">
        <f>IF(G360="","",ABS(P360-Components!$D$6))</f>
        <v/>
      </c>
      <c r="V360" s="67">
        <f>IF(G360="","",ABS(P360-Components!$D$7))</f>
        <v/>
      </c>
      <c r="W360" s="61">
        <f>IF(G360="","",IF(N360="OK","NONE",INDEX({"S1","S2","W1","W2","N1","N2"},MATCH(MIN(Q360:V360),Q360:V360,0))))</f>
        <v/>
      </c>
      <c r="X360" s="69">
        <f>IF(G360="","",IF(W360=E360,1,0))</f>
        <v/>
      </c>
      <c r="Y360" s="70" t="n"/>
    </row>
    <row r="361">
      <c r="A361" s="61" t="n">
        <v>49</v>
      </c>
      <c r="B361" s="62" t="n">
        <v>8</v>
      </c>
      <c r="C361" s="61" t="inlineStr">
        <is>
          <t>R6</t>
        </is>
      </c>
      <c r="D361" s="74" t="inlineStr">
        <is>
          <t>NG</t>
        </is>
      </c>
      <c r="E361" s="61" t="inlineStr">
        <is>
          <t>W1</t>
        </is>
      </c>
      <c r="F361" s="61" t="inlineStr">
        <is>
          <t>K054</t>
        </is>
      </c>
      <c r="G361" s="64" t="n">
        <v>7.34</v>
      </c>
      <c r="H361" s="65" t="n"/>
      <c r="I361" s="66" t="n"/>
      <c r="J361" s="67">
        <f>VLOOKUP(C361,Recipes!$A$2:$N$4,10,FALSE())</f>
        <v/>
      </c>
      <c r="K361" s="68">
        <f>VLOOKUP(C361,Recipes!$A$2:$N$4,12,FALSE())</f>
        <v/>
      </c>
      <c r="L361" s="67">
        <f>J361-3*K361</f>
        <v/>
      </c>
      <c r="M361" s="67">
        <f>J361+3*K361</f>
        <v/>
      </c>
      <c r="N361" s="61">
        <f>IF(G361="","",IF(AND(G361&gt;=L361,G361&lt;=M361),"OK","NG"))</f>
        <v/>
      </c>
      <c r="O361" s="69">
        <f>IF(N361="","",IF(N361=D361,1,0))</f>
        <v/>
      </c>
      <c r="P361" s="67">
        <f>IF(G361="","",J361-G361)</f>
        <v/>
      </c>
      <c r="Q361" s="67">
        <f>IF(G361="","",ABS(P361-Components!$D$2))</f>
        <v/>
      </c>
      <c r="R361" s="67">
        <f>IF(G361="","",ABS(P361-Components!$D$3))</f>
        <v/>
      </c>
      <c r="S361" s="67">
        <f>IF(G361="","",ABS(P361-Components!$D$4))</f>
        <v/>
      </c>
      <c r="T361" s="67">
        <f>IF(G361="","",ABS(P361-Components!$D$5))</f>
        <v/>
      </c>
      <c r="U361" s="67">
        <f>IF(G361="","",ABS(P361-Components!$D$6))</f>
        <v/>
      </c>
      <c r="V361" s="67">
        <f>IF(G361="","",ABS(P361-Components!$D$7))</f>
        <v/>
      </c>
      <c r="W361" s="61">
        <f>IF(G361="","",IF(N361="OK","NONE",INDEX({"S1","S2","W1","W2","N1","N2"},MATCH(MIN(Q361:V361),Q361:V361,0))))</f>
        <v/>
      </c>
      <c r="X361" s="71">
        <f>IF(G361="","",IF(W361=E361,1,0))</f>
        <v/>
      </c>
      <c r="Y361" s="70" t="n"/>
    </row>
    <row r="362">
      <c r="A362" s="61" t="n">
        <v>50</v>
      </c>
      <c r="B362" s="62" t="n">
        <v>41</v>
      </c>
      <c r="C362" s="61" t="inlineStr">
        <is>
          <t>R6</t>
        </is>
      </c>
      <c r="D362" s="74" t="inlineStr">
        <is>
          <t>NG</t>
        </is>
      </c>
      <c r="E362" s="61" t="inlineStr">
        <is>
          <t>W1</t>
        </is>
      </c>
      <c r="F362" s="61" t="inlineStr">
        <is>
          <t>K055</t>
        </is>
      </c>
      <c r="G362" s="64" t="n">
        <v>7.68</v>
      </c>
      <c r="H362" s="65" t="n"/>
      <c r="I362" s="66" t="n"/>
      <c r="J362" s="67">
        <f>VLOOKUP(C362,Recipes!$A$2:$N$4,10,FALSE())</f>
        <v/>
      </c>
      <c r="K362" s="68">
        <f>VLOOKUP(C362,Recipes!$A$2:$N$4,12,FALSE())</f>
        <v/>
      </c>
      <c r="L362" s="67">
        <f>J362-3*K362</f>
        <v/>
      </c>
      <c r="M362" s="67">
        <f>J362+3*K362</f>
        <v/>
      </c>
      <c r="N362" s="61">
        <f>IF(G362="","",IF(AND(G362&gt;=L362,G362&lt;=M362),"OK","NG"))</f>
        <v/>
      </c>
      <c r="O362" s="69">
        <f>IF(N362="","",IF(N362=D362,1,0))</f>
        <v/>
      </c>
      <c r="P362" s="67">
        <f>IF(G362="","",J362-G362)</f>
        <v/>
      </c>
      <c r="Q362" s="67">
        <f>IF(G362="","",ABS(P362-Components!$D$2))</f>
        <v/>
      </c>
      <c r="R362" s="67">
        <f>IF(G362="","",ABS(P362-Components!$D$3))</f>
        <v/>
      </c>
      <c r="S362" s="67">
        <f>IF(G362="","",ABS(P362-Components!$D$4))</f>
        <v/>
      </c>
      <c r="T362" s="67">
        <f>IF(G362="","",ABS(P362-Components!$D$5))</f>
        <v/>
      </c>
      <c r="U362" s="67">
        <f>IF(G362="","",ABS(P362-Components!$D$6))</f>
        <v/>
      </c>
      <c r="V362" s="67">
        <f>IF(G362="","",ABS(P362-Components!$D$7))</f>
        <v/>
      </c>
      <c r="W362" s="61">
        <f>IF(G362="","",IF(N362="OK","NONE",INDEX({"S1","S2","W1","W2","N1","N2"},MATCH(MIN(Q362:V362),Q362:V362,0))))</f>
        <v/>
      </c>
      <c r="X362" s="69">
        <f>IF(G362="","",IF(W362=E362,1,0))</f>
        <v/>
      </c>
      <c r="Y362" s="70" t="n"/>
    </row>
    <row r="363">
      <c r="A363" s="61" t="n">
        <v>51</v>
      </c>
      <c r="B363" s="62" t="n">
        <v>15</v>
      </c>
      <c r="C363" s="61" t="inlineStr">
        <is>
          <t>R6</t>
        </is>
      </c>
      <c r="D363" s="74" t="inlineStr">
        <is>
          <t>NG</t>
        </is>
      </c>
      <c r="E363" s="61" t="inlineStr">
        <is>
          <t>N2</t>
        </is>
      </c>
      <c r="F363" s="61" t="inlineStr">
        <is>
          <t>K049</t>
        </is>
      </c>
      <c r="G363" s="75" t="n">
        <v>7.21</v>
      </c>
      <c r="H363" s="65" t="n"/>
      <c r="I363" s="66" t="n"/>
      <c r="J363" s="67">
        <f>VLOOKUP(C363,Recipes!$A$2:$N$4,10,FALSE())</f>
        <v/>
      </c>
      <c r="K363" s="68">
        <f>VLOOKUP(C363,Recipes!$A$2:$N$4,12,FALSE())</f>
        <v/>
      </c>
      <c r="L363" s="67">
        <f>J363-3*K363</f>
        <v/>
      </c>
      <c r="M363" s="67">
        <f>J363+3*K363</f>
        <v/>
      </c>
      <c r="N363" s="61">
        <f>IF(G363="","",IF(AND(G363&gt;=L363,G363&lt;=M363),"OK","NG"))</f>
        <v/>
      </c>
      <c r="O363" s="69">
        <f>IF(N363="","",IF(N363=D363,1,0))</f>
        <v/>
      </c>
      <c r="P363" s="67">
        <f>IF(G363="","",J363-G363)</f>
        <v/>
      </c>
      <c r="Q363" s="67">
        <f>IF(G363="","",ABS(P363-Components!$D$2))</f>
        <v/>
      </c>
      <c r="R363" s="67">
        <f>IF(G363="","",ABS(P363-Components!$D$3))</f>
        <v/>
      </c>
      <c r="S363" s="67">
        <f>IF(G363="","",ABS(P363-Components!$D$4))</f>
        <v/>
      </c>
      <c r="T363" s="67">
        <f>IF(G363="","",ABS(P363-Components!$D$5))</f>
        <v/>
      </c>
      <c r="U363" s="67">
        <f>IF(G363="","",ABS(P363-Components!$D$6))</f>
        <v/>
      </c>
      <c r="V363" s="67">
        <f>IF(G363="","",ABS(P363-Components!$D$7))</f>
        <v/>
      </c>
      <c r="W363" s="61">
        <f>IF(G363="","",IF(N363="OK","NONE",INDEX({"S1","S2","W1","W2","N1","N2"},MATCH(MIN(Q363:V363),Q363:V363,0))))</f>
        <v/>
      </c>
      <c r="X363" s="69">
        <f>IF(G363="","",IF(W363=E363,1,0))</f>
        <v/>
      </c>
      <c r="Y363" s="70" t="n"/>
    </row>
    <row r="364">
      <c r="A364" s="61" t="n">
        <v>51</v>
      </c>
      <c r="B364" s="62" t="n">
        <v>15</v>
      </c>
      <c r="C364" s="61" t="inlineStr">
        <is>
          <t>R6</t>
        </is>
      </c>
      <c r="D364" s="74" t="inlineStr">
        <is>
          <t>NG</t>
        </is>
      </c>
      <c r="E364" s="61" t="inlineStr">
        <is>
          <t>N2</t>
        </is>
      </c>
      <c r="F364" s="61" t="inlineStr">
        <is>
          <t>K049</t>
        </is>
      </c>
      <c r="G364" s="75" t="n">
        <v>7.27</v>
      </c>
      <c r="H364" s="65" t="n"/>
      <c r="I364" s="66" t="n"/>
      <c r="J364" s="67">
        <f>VLOOKUP(C364,Recipes!$A$2:$N$4,10,FALSE())</f>
        <v/>
      </c>
      <c r="K364" s="68">
        <f>VLOOKUP(C364,Recipes!$A$2:$N$4,12,FALSE())</f>
        <v/>
      </c>
      <c r="L364" s="67">
        <f>J364-3*K364</f>
        <v/>
      </c>
      <c r="M364" s="67">
        <f>J364+3*K364</f>
        <v/>
      </c>
      <c r="N364" s="61">
        <f>IF(G364="","",IF(AND(G364&gt;=L364,G364&lt;=M364),"OK","NG"))</f>
        <v/>
      </c>
      <c r="O364" s="69">
        <f>IF(N364="","",IF(N364=D364,1,0))</f>
        <v/>
      </c>
      <c r="P364" s="67">
        <f>IF(G364="","",J364-G364)</f>
        <v/>
      </c>
      <c r="Q364" s="67">
        <f>IF(G364="","",ABS(P364-Components!$D$2))</f>
        <v/>
      </c>
      <c r="R364" s="67">
        <f>IF(G364="","",ABS(P364-Components!$D$3))</f>
        <v/>
      </c>
      <c r="S364" s="67">
        <f>IF(G364="","",ABS(P364-Components!$D$4))</f>
        <v/>
      </c>
      <c r="T364" s="67">
        <f>IF(G364="","",ABS(P364-Components!$D$5))</f>
        <v/>
      </c>
      <c r="U364" s="67">
        <f>IF(G364="","",ABS(P364-Components!$D$6))</f>
        <v/>
      </c>
      <c r="V364" s="67">
        <f>IF(G364="","",ABS(P364-Components!$D$7))</f>
        <v/>
      </c>
      <c r="W364" s="61">
        <f>IF(G364="","",IF(N364="OK","NONE",INDEX({"S1","S2","W1","W2","N1","N2"},MATCH(MIN(Q364:V364),Q364:V364,0))))</f>
        <v/>
      </c>
      <c r="X364" s="69">
        <f>IF(G364="","",IF(W364=E364,1,0))</f>
        <v/>
      </c>
      <c r="Y364" s="70" t="n"/>
    </row>
    <row r="365">
      <c r="A365" s="61" t="n">
        <v>51</v>
      </c>
      <c r="B365" s="62" t="n">
        <v>15</v>
      </c>
      <c r="C365" s="61" t="inlineStr">
        <is>
          <t>R6</t>
        </is>
      </c>
      <c r="D365" s="74" t="inlineStr">
        <is>
          <t>NG</t>
        </is>
      </c>
      <c r="E365" s="61" t="inlineStr">
        <is>
          <t>N2</t>
        </is>
      </c>
      <c r="F365" s="61" t="inlineStr">
        <is>
          <t>K049</t>
        </is>
      </c>
      <c r="G365" s="75" t="n">
        <v>7.3</v>
      </c>
      <c r="H365" s="65" t="n"/>
      <c r="I365" s="66" t="n"/>
      <c r="J365" s="67">
        <f>VLOOKUP(C365,Recipes!$A$2:$N$4,10,FALSE())</f>
        <v/>
      </c>
      <c r="K365" s="68">
        <f>VLOOKUP(C365,Recipes!$A$2:$N$4,12,FALSE())</f>
        <v/>
      </c>
      <c r="L365" s="67">
        <f>J365-3*K365</f>
        <v/>
      </c>
      <c r="M365" s="67">
        <f>J365+3*K365</f>
        <v/>
      </c>
      <c r="N365" s="61">
        <f>IF(G365="","",IF(AND(G365&gt;=L365,G365&lt;=M365),"OK","NG"))</f>
        <v/>
      </c>
      <c r="O365" s="69">
        <f>IF(N365="","",IF(N365=D365,1,0))</f>
        <v/>
      </c>
      <c r="P365" s="67">
        <f>IF(G365="","",J365-G365)</f>
        <v/>
      </c>
      <c r="Q365" s="67">
        <f>IF(G365="","",ABS(P365-Components!$D$2))</f>
        <v/>
      </c>
      <c r="R365" s="67">
        <f>IF(G365="","",ABS(P365-Components!$D$3))</f>
        <v/>
      </c>
      <c r="S365" s="67">
        <f>IF(G365="","",ABS(P365-Components!$D$4))</f>
        <v/>
      </c>
      <c r="T365" s="67">
        <f>IF(G365="","",ABS(P365-Components!$D$5))</f>
        <v/>
      </c>
      <c r="U365" s="67">
        <f>IF(G365="","",ABS(P365-Components!$D$6))</f>
        <v/>
      </c>
      <c r="V365" s="67">
        <f>IF(G365="","",ABS(P365-Components!$D$7))</f>
        <v/>
      </c>
      <c r="W365" s="61">
        <f>IF(G365="","",IF(N365="OK","NONE",INDEX({"S1","S2","W1","W2","N1","N2"},MATCH(MIN(Q365:V365),Q365:V365,0))))</f>
        <v/>
      </c>
      <c r="X365" s="69">
        <f>IF(G365="","",IF(W365=E365,1,0))</f>
        <v/>
      </c>
      <c r="Y365" s="70" t="n"/>
    </row>
    <row r="366">
      <c r="A366" s="61" t="n">
        <v>51</v>
      </c>
      <c r="B366" s="62" t="n">
        <v>15</v>
      </c>
      <c r="C366" s="61" t="inlineStr">
        <is>
          <t>R6</t>
        </is>
      </c>
      <c r="D366" s="74" t="inlineStr">
        <is>
          <t>NG</t>
        </is>
      </c>
      <c r="E366" s="61" t="inlineStr">
        <is>
          <t>N2</t>
        </is>
      </c>
      <c r="F366" s="61" t="inlineStr">
        <is>
          <t>K049</t>
        </is>
      </c>
      <c r="G366" s="75" t="n">
        <v>7.31</v>
      </c>
      <c r="H366" s="65" t="n"/>
      <c r="I366" s="66" t="n"/>
      <c r="J366" s="67">
        <f>VLOOKUP(C366,Recipes!$A$2:$N$4,10,FALSE())</f>
        <v/>
      </c>
      <c r="K366" s="68">
        <f>VLOOKUP(C366,Recipes!$A$2:$N$4,12,FALSE())</f>
        <v/>
      </c>
      <c r="L366" s="67">
        <f>J366-3*K366</f>
        <v/>
      </c>
      <c r="M366" s="67">
        <f>J366+3*K366</f>
        <v/>
      </c>
      <c r="N366" s="61">
        <f>IF(G366="","",IF(AND(G366&gt;=L366,G366&lt;=M366),"OK","NG"))</f>
        <v/>
      </c>
      <c r="O366" s="69">
        <f>IF(N366="","",IF(N366=D366,1,0))</f>
        <v/>
      </c>
      <c r="P366" s="67">
        <f>IF(G366="","",J366-G366)</f>
        <v/>
      </c>
      <c r="Q366" s="67">
        <f>IF(G366="","",ABS(P366-Components!$D$2))</f>
        <v/>
      </c>
      <c r="R366" s="67">
        <f>IF(G366="","",ABS(P366-Components!$D$3))</f>
        <v/>
      </c>
      <c r="S366" s="67">
        <f>IF(G366="","",ABS(P366-Components!$D$4))</f>
        <v/>
      </c>
      <c r="T366" s="67">
        <f>IF(G366="","",ABS(P366-Components!$D$5))</f>
        <v/>
      </c>
      <c r="U366" s="67">
        <f>IF(G366="","",ABS(P366-Components!$D$6))</f>
        <v/>
      </c>
      <c r="V366" s="67">
        <f>IF(G366="","",ABS(P366-Components!$D$7))</f>
        <v/>
      </c>
      <c r="W366" s="61">
        <f>IF(G366="","",IF(N366="OK","NONE",INDEX({"S1","S2","W1","W2","N1","N2"},MATCH(MIN(Q366:V366),Q366:V366,0))))</f>
        <v/>
      </c>
      <c r="X366" s="69">
        <f>IF(G366="","",IF(W366=E366,1,0))</f>
        <v/>
      </c>
      <c r="Y366" s="70" t="n"/>
    </row>
    <row r="367">
      <c r="A367" s="61" t="n">
        <v>51</v>
      </c>
      <c r="B367" s="62" t="n">
        <v>15</v>
      </c>
      <c r="C367" s="61" t="inlineStr">
        <is>
          <t>R6</t>
        </is>
      </c>
      <c r="D367" s="74" t="inlineStr">
        <is>
          <t>NG</t>
        </is>
      </c>
      <c r="E367" s="61" t="inlineStr">
        <is>
          <t>N2</t>
        </is>
      </c>
      <c r="F367" s="61" t="inlineStr">
        <is>
          <t>K049</t>
        </is>
      </c>
      <c r="G367" s="75" t="n">
        <v>7.17</v>
      </c>
      <c r="H367" s="65" t="n"/>
      <c r="I367" s="66" t="n"/>
      <c r="J367" s="67">
        <f>VLOOKUP(C367,Recipes!$A$2:$N$4,10,FALSE())</f>
        <v/>
      </c>
      <c r="K367" s="68">
        <f>VLOOKUP(C367,Recipes!$A$2:$N$4,12,FALSE())</f>
        <v/>
      </c>
      <c r="L367" s="67">
        <f>J367-3*K367</f>
        <v/>
      </c>
      <c r="M367" s="67">
        <f>J367+3*K367</f>
        <v/>
      </c>
      <c r="N367" s="61">
        <f>IF(G367="","",IF(AND(G367&gt;=L367,G367&lt;=M367),"OK","NG"))</f>
        <v/>
      </c>
      <c r="O367" s="69">
        <f>IF(N367="","",IF(N367=D367,1,0))</f>
        <v/>
      </c>
      <c r="P367" s="67">
        <f>IF(G367="","",J367-G367)</f>
        <v/>
      </c>
      <c r="Q367" s="67">
        <f>IF(G367="","",ABS(P367-Components!$D$2))</f>
        <v/>
      </c>
      <c r="R367" s="67">
        <f>IF(G367="","",ABS(P367-Components!$D$3))</f>
        <v/>
      </c>
      <c r="S367" s="67">
        <f>IF(G367="","",ABS(P367-Components!$D$4))</f>
        <v/>
      </c>
      <c r="T367" s="67">
        <f>IF(G367="","",ABS(P367-Components!$D$5))</f>
        <v/>
      </c>
      <c r="U367" s="67">
        <f>IF(G367="","",ABS(P367-Components!$D$6))</f>
        <v/>
      </c>
      <c r="V367" s="67">
        <f>IF(G367="","",ABS(P367-Components!$D$7))</f>
        <v/>
      </c>
      <c r="W367" s="61">
        <f>IF(G367="","",IF(N367="OK","NONE",INDEX({"S1","S2","W1","W2","N1","N2"},MATCH(MIN(Q367:V367),Q367:V367,0))))</f>
        <v/>
      </c>
      <c r="X367" s="69">
        <f>IF(G367="","",IF(W367=E367,1,0))</f>
        <v/>
      </c>
      <c r="Y367" s="70" t="n"/>
    </row>
    <row r="368">
      <c r="A368" s="61" t="n">
        <v>51</v>
      </c>
      <c r="B368" s="62" t="n">
        <v>15</v>
      </c>
      <c r="C368" s="61" t="inlineStr">
        <is>
          <t>R6</t>
        </is>
      </c>
      <c r="D368" s="74" t="inlineStr">
        <is>
          <t>NG</t>
        </is>
      </c>
      <c r="E368" s="61" t="inlineStr">
        <is>
          <t>N2</t>
        </is>
      </c>
      <c r="F368" s="61" t="inlineStr">
        <is>
          <t>K049</t>
        </is>
      </c>
      <c r="G368" s="75" t="n">
        <v>7.23</v>
      </c>
      <c r="H368" s="65" t="n"/>
      <c r="I368" s="66" t="n"/>
      <c r="J368" s="67">
        <f>VLOOKUP(C368,Recipes!$A$2:$N$4,10,FALSE())</f>
        <v/>
      </c>
      <c r="K368" s="68">
        <f>VLOOKUP(C368,Recipes!$A$2:$N$4,12,FALSE())</f>
        <v/>
      </c>
      <c r="L368" s="67">
        <f>J368-3*K368</f>
        <v/>
      </c>
      <c r="M368" s="67">
        <f>J368+3*K368</f>
        <v/>
      </c>
      <c r="N368" s="61">
        <f>IF(G368="","",IF(AND(G368&gt;=L368,G368&lt;=M368),"OK","NG"))</f>
        <v/>
      </c>
      <c r="O368" s="69">
        <f>IF(N368="","",IF(N368=D368,1,0))</f>
        <v/>
      </c>
      <c r="P368" s="67">
        <f>IF(G368="","",J368-G368)</f>
        <v/>
      </c>
      <c r="Q368" s="67">
        <f>IF(G368="","",ABS(P368-Components!$D$2))</f>
        <v/>
      </c>
      <c r="R368" s="67">
        <f>IF(G368="","",ABS(P368-Components!$D$3))</f>
        <v/>
      </c>
      <c r="S368" s="67">
        <f>IF(G368="","",ABS(P368-Components!$D$4))</f>
        <v/>
      </c>
      <c r="T368" s="67">
        <f>IF(G368="","",ABS(P368-Components!$D$5))</f>
        <v/>
      </c>
      <c r="U368" s="67">
        <f>IF(G368="","",ABS(P368-Components!$D$6))</f>
        <v/>
      </c>
      <c r="V368" s="67">
        <f>IF(G368="","",ABS(P368-Components!$D$7))</f>
        <v/>
      </c>
      <c r="W368" s="61">
        <f>IF(G368="","",IF(N368="OK","NONE",INDEX({"S1","S2","W1","W2","N1","N2"},MATCH(MIN(Q368:V368),Q368:V368,0))))</f>
        <v/>
      </c>
      <c r="X368" s="69">
        <f>IF(G368="","",IF(W368=E368,1,0))</f>
        <v/>
      </c>
      <c r="Y368" s="70" t="n"/>
    </row>
    <row r="369">
      <c r="A369" s="61" t="n">
        <v>51</v>
      </c>
      <c r="B369" s="62" t="n">
        <v>15</v>
      </c>
      <c r="C369" s="61" t="inlineStr">
        <is>
          <t>R6</t>
        </is>
      </c>
      <c r="D369" s="74" t="inlineStr">
        <is>
          <t>NG</t>
        </is>
      </c>
      <c r="E369" s="61" t="inlineStr">
        <is>
          <t>N2</t>
        </is>
      </c>
      <c r="F369" s="61" t="inlineStr">
        <is>
          <t>K049</t>
        </is>
      </c>
      <c r="G369" s="75" t="n">
        <v>7.23</v>
      </c>
      <c r="H369" s="65" t="n"/>
      <c r="I369" s="66" t="n"/>
      <c r="J369" s="67">
        <f>VLOOKUP(C369,Recipes!$A$2:$N$4,10,FALSE())</f>
        <v/>
      </c>
      <c r="K369" s="68">
        <f>VLOOKUP(C369,Recipes!$A$2:$N$4,12,FALSE())</f>
        <v/>
      </c>
      <c r="L369" s="67">
        <f>J369-3*K369</f>
        <v/>
      </c>
      <c r="M369" s="67">
        <f>J369+3*K369</f>
        <v/>
      </c>
      <c r="N369" s="61">
        <f>IF(G369="","",IF(AND(G369&gt;=L369,G369&lt;=M369),"OK","NG"))</f>
        <v/>
      </c>
      <c r="O369" s="69">
        <f>IF(N369="","",IF(N369=D369,1,0))</f>
        <v/>
      </c>
      <c r="P369" s="67">
        <f>IF(G369="","",J369-G369)</f>
        <v/>
      </c>
      <c r="Q369" s="67">
        <f>IF(G369="","",ABS(P369-Components!$D$2))</f>
        <v/>
      </c>
      <c r="R369" s="67">
        <f>IF(G369="","",ABS(P369-Components!$D$3))</f>
        <v/>
      </c>
      <c r="S369" s="67">
        <f>IF(G369="","",ABS(P369-Components!$D$4))</f>
        <v/>
      </c>
      <c r="T369" s="67">
        <f>IF(G369="","",ABS(P369-Components!$D$5))</f>
        <v/>
      </c>
      <c r="U369" s="67">
        <f>IF(G369="","",ABS(P369-Components!$D$6))</f>
        <v/>
      </c>
      <c r="V369" s="67">
        <f>IF(G369="","",ABS(P369-Components!$D$7))</f>
        <v/>
      </c>
      <c r="W369" s="61">
        <f>IF(G369="","",IF(N369="OK","NONE",INDEX({"S1","S2","W1","W2","N1","N2"},MATCH(MIN(Q369:V369),Q369:V369,0))))</f>
        <v/>
      </c>
      <c r="X369" s="69">
        <f>IF(G369="","",IF(W369=E369,1,0))</f>
        <v/>
      </c>
      <c r="Y369" s="70" t="n"/>
    </row>
    <row r="370">
      <c r="A370" s="61" t="n">
        <v>51</v>
      </c>
      <c r="B370" s="62" t="n">
        <v>15</v>
      </c>
      <c r="C370" s="61" t="inlineStr">
        <is>
          <t>R6</t>
        </is>
      </c>
      <c r="D370" s="74" t="inlineStr">
        <is>
          <t>NG</t>
        </is>
      </c>
      <c r="E370" s="61" t="inlineStr">
        <is>
          <t>N2</t>
        </is>
      </c>
      <c r="F370" s="61" t="inlineStr">
        <is>
          <t>K049</t>
        </is>
      </c>
      <c r="G370" s="75" t="n">
        <v>7.3</v>
      </c>
      <c r="H370" s="65" t="n"/>
      <c r="I370" s="66" t="n"/>
      <c r="J370" s="67">
        <f>VLOOKUP(C370,Recipes!$A$2:$N$4,10,FALSE())</f>
        <v/>
      </c>
      <c r="K370" s="68">
        <f>VLOOKUP(C370,Recipes!$A$2:$N$4,12,FALSE())</f>
        <v/>
      </c>
      <c r="L370" s="67">
        <f>J370-3*K370</f>
        <v/>
      </c>
      <c r="M370" s="67">
        <f>J370+3*K370</f>
        <v/>
      </c>
      <c r="N370" s="61">
        <f>IF(G370="","",IF(AND(G370&gt;=L370,G370&lt;=M370),"OK","NG"))</f>
        <v/>
      </c>
      <c r="O370" s="69">
        <f>IF(N370="","",IF(N370=D370,1,0))</f>
        <v/>
      </c>
      <c r="P370" s="67">
        <f>IF(G370="","",J370-G370)</f>
        <v/>
      </c>
      <c r="Q370" s="67">
        <f>IF(G370="","",ABS(P370-Components!$D$2))</f>
        <v/>
      </c>
      <c r="R370" s="67">
        <f>IF(G370="","",ABS(P370-Components!$D$3))</f>
        <v/>
      </c>
      <c r="S370" s="67">
        <f>IF(G370="","",ABS(P370-Components!$D$4))</f>
        <v/>
      </c>
      <c r="T370" s="67">
        <f>IF(G370="","",ABS(P370-Components!$D$5))</f>
        <v/>
      </c>
      <c r="U370" s="67">
        <f>IF(G370="","",ABS(P370-Components!$D$6))</f>
        <v/>
      </c>
      <c r="V370" s="67">
        <f>IF(G370="","",ABS(P370-Components!$D$7))</f>
        <v/>
      </c>
      <c r="W370" s="61">
        <f>IF(G370="","",IF(N370="OK","NONE",INDEX({"S1","S2","W1","W2","N1","N2"},MATCH(MIN(Q370:V370),Q370:V370,0))))</f>
        <v/>
      </c>
      <c r="X370" s="69">
        <f>IF(G370="","",IF(W370=E370,1,0))</f>
        <v/>
      </c>
      <c r="Y370" s="70" t="n"/>
    </row>
    <row r="371">
      <c r="A371" s="61" t="n">
        <v>51</v>
      </c>
      <c r="B371" s="62" t="n">
        <v>15</v>
      </c>
      <c r="C371" s="61" t="inlineStr">
        <is>
          <t>R6</t>
        </is>
      </c>
      <c r="D371" s="74" t="inlineStr">
        <is>
          <t>NG</t>
        </is>
      </c>
      <c r="E371" s="61" t="inlineStr">
        <is>
          <t>N2</t>
        </is>
      </c>
      <c r="F371" s="61" t="inlineStr">
        <is>
          <t>K049</t>
        </is>
      </c>
      <c r="G371" s="75" t="n">
        <v>7.25</v>
      </c>
      <c r="H371" s="65" t="n"/>
      <c r="I371" s="66" t="n"/>
      <c r="J371" s="67">
        <f>VLOOKUP(C371,Recipes!$A$2:$N$4,10,FALSE())</f>
        <v/>
      </c>
      <c r="K371" s="68">
        <f>VLOOKUP(C371,Recipes!$A$2:$N$4,12,FALSE())</f>
        <v/>
      </c>
      <c r="L371" s="67">
        <f>J371-3*K371</f>
        <v/>
      </c>
      <c r="M371" s="67">
        <f>J371+3*K371</f>
        <v/>
      </c>
      <c r="N371" s="61">
        <f>IF(G371="","",IF(AND(G371&gt;=L371,G371&lt;=M371),"OK","NG"))</f>
        <v/>
      </c>
      <c r="O371" s="69">
        <f>IF(N371="","",IF(N371=D371,1,0))</f>
        <v/>
      </c>
      <c r="P371" s="67">
        <f>IF(G371="","",J371-G371)</f>
        <v/>
      </c>
      <c r="Q371" s="67">
        <f>IF(G371="","",ABS(P371-Components!$D$2))</f>
        <v/>
      </c>
      <c r="R371" s="67">
        <f>IF(G371="","",ABS(P371-Components!$D$3))</f>
        <v/>
      </c>
      <c r="S371" s="67">
        <f>IF(G371="","",ABS(P371-Components!$D$4))</f>
        <v/>
      </c>
      <c r="T371" s="67">
        <f>IF(G371="","",ABS(P371-Components!$D$5))</f>
        <v/>
      </c>
      <c r="U371" s="67">
        <f>IF(G371="","",ABS(P371-Components!$D$6))</f>
        <v/>
      </c>
      <c r="V371" s="67">
        <f>IF(G371="","",ABS(P371-Components!$D$7))</f>
        <v/>
      </c>
      <c r="W371" s="61">
        <f>IF(G371="","",IF(N371="OK","NONE",INDEX({"S1","S2","W1","W2","N1","N2"},MATCH(MIN(Q371:V371),Q371:V371,0))))</f>
        <v/>
      </c>
      <c r="X371" s="69">
        <f>IF(G371="","",IF(W371=E371,1,0))</f>
        <v/>
      </c>
      <c r="Y371" s="70" t="n"/>
    </row>
    <row r="372">
      <c r="A372" s="61" t="n">
        <v>51</v>
      </c>
      <c r="B372" s="62" t="n">
        <v>15</v>
      </c>
      <c r="C372" s="61" t="inlineStr">
        <is>
          <t>R6</t>
        </is>
      </c>
      <c r="D372" s="74" t="inlineStr">
        <is>
          <t>NG</t>
        </is>
      </c>
      <c r="E372" s="61" t="inlineStr">
        <is>
          <t>N2</t>
        </is>
      </c>
      <c r="F372" s="61" t="inlineStr">
        <is>
          <t>K049</t>
        </is>
      </c>
      <c r="G372" s="75" t="n">
        <v>7.25</v>
      </c>
      <c r="H372" s="65" t="n"/>
      <c r="I372" s="66" t="n"/>
      <c r="J372" s="67">
        <f>VLOOKUP(C372,Recipes!$A$2:$N$4,10,FALSE())</f>
        <v/>
      </c>
      <c r="K372" s="68">
        <f>VLOOKUP(C372,Recipes!$A$2:$N$4,12,FALSE())</f>
        <v/>
      </c>
      <c r="L372" s="67">
        <f>J372-3*K372</f>
        <v/>
      </c>
      <c r="M372" s="67">
        <f>J372+3*K372</f>
        <v/>
      </c>
      <c r="N372" s="61">
        <f>IF(G372="","",IF(AND(G372&gt;=L372,G372&lt;=M372),"OK","NG"))</f>
        <v/>
      </c>
      <c r="O372" s="69">
        <f>IF(N372="","",IF(N372=D372,1,0))</f>
        <v/>
      </c>
      <c r="P372" s="67">
        <f>IF(G372="","",J372-G372)</f>
        <v/>
      </c>
      <c r="Q372" s="67">
        <f>IF(G372="","",ABS(P372-Components!$D$2))</f>
        <v/>
      </c>
      <c r="R372" s="67">
        <f>IF(G372="","",ABS(P372-Components!$D$3))</f>
        <v/>
      </c>
      <c r="S372" s="67">
        <f>IF(G372="","",ABS(P372-Components!$D$4))</f>
        <v/>
      </c>
      <c r="T372" s="67">
        <f>IF(G372="","",ABS(P372-Components!$D$5))</f>
        <v/>
      </c>
      <c r="U372" s="67">
        <f>IF(G372="","",ABS(P372-Components!$D$6))</f>
        <v/>
      </c>
      <c r="V372" s="67">
        <f>IF(G372="","",ABS(P372-Components!$D$7))</f>
        <v/>
      </c>
      <c r="W372" s="61">
        <f>IF(G372="","",IF(N372="OK","NONE",INDEX({"S1","S2","W1","W2","N1","N2"},MATCH(MIN(Q372:V372),Q372:V372,0))))</f>
        <v/>
      </c>
      <c r="X372" s="69">
        <f>IF(G372="","",IF(W372=E372,1,0))</f>
        <v/>
      </c>
      <c r="Y372" s="70" t="n"/>
    </row>
    <row r="373">
      <c r="A373" s="61" t="n">
        <v>51</v>
      </c>
      <c r="B373" s="62" t="n">
        <v>15</v>
      </c>
      <c r="C373" s="61" t="inlineStr">
        <is>
          <t>R6</t>
        </is>
      </c>
      <c r="D373" s="74" t="inlineStr">
        <is>
          <t>NG</t>
        </is>
      </c>
      <c r="E373" s="61" t="inlineStr">
        <is>
          <t>N2</t>
        </is>
      </c>
      <c r="F373" s="61" t="inlineStr">
        <is>
          <t>K049</t>
        </is>
      </c>
      <c r="G373" s="75" t="n">
        <v>7.19</v>
      </c>
      <c r="H373" s="65" t="n"/>
      <c r="I373" s="66" t="n"/>
      <c r="J373" s="67">
        <f>VLOOKUP(C373,Recipes!$A$2:$N$4,10,FALSE())</f>
        <v/>
      </c>
      <c r="K373" s="68">
        <f>VLOOKUP(C373,Recipes!$A$2:$N$4,12,FALSE())</f>
        <v/>
      </c>
      <c r="L373" s="67">
        <f>J373-3*K373</f>
        <v/>
      </c>
      <c r="M373" s="67">
        <f>J373+3*K373</f>
        <v/>
      </c>
      <c r="N373" s="61">
        <f>IF(G373="","",IF(AND(G373&gt;=L373,G373&lt;=M373),"OK","NG"))</f>
        <v/>
      </c>
      <c r="O373" s="69">
        <f>IF(N373="","",IF(N373=D373,1,0))</f>
        <v/>
      </c>
      <c r="P373" s="67">
        <f>IF(G373="","",J373-G373)</f>
        <v/>
      </c>
      <c r="Q373" s="67">
        <f>IF(G373="","",ABS(P373-Components!$D$2))</f>
        <v/>
      </c>
      <c r="R373" s="67">
        <f>IF(G373="","",ABS(P373-Components!$D$3))</f>
        <v/>
      </c>
      <c r="S373" s="67">
        <f>IF(G373="","",ABS(P373-Components!$D$4))</f>
        <v/>
      </c>
      <c r="T373" s="67">
        <f>IF(G373="","",ABS(P373-Components!$D$5))</f>
        <v/>
      </c>
      <c r="U373" s="67">
        <f>IF(G373="","",ABS(P373-Components!$D$6))</f>
        <v/>
      </c>
      <c r="V373" s="67">
        <f>IF(G373="","",ABS(P373-Components!$D$7))</f>
        <v/>
      </c>
      <c r="W373" s="61">
        <f>IF(G373="","",IF(N373="OK","NONE",INDEX({"S1","S2","W1","W2","N1","N2"},MATCH(MIN(Q373:V373),Q373:V373,0))))</f>
        <v/>
      </c>
      <c r="X373" s="69">
        <f>IF(G373="","",IF(W373=E373,1,0))</f>
        <v/>
      </c>
      <c r="Y373" s="70" t="n"/>
    </row>
    <row r="374">
      <c r="A374" s="61" t="n">
        <v>51</v>
      </c>
      <c r="B374" s="62" t="n">
        <v>15</v>
      </c>
      <c r="C374" s="61" t="inlineStr">
        <is>
          <t>R6</t>
        </is>
      </c>
      <c r="D374" s="74" t="inlineStr">
        <is>
          <t>NG</t>
        </is>
      </c>
      <c r="E374" s="61" t="inlineStr">
        <is>
          <t>N2</t>
        </is>
      </c>
      <c r="F374" s="61" t="inlineStr">
        <is>
          <t>K049</t>
        </is>
      </c>
      <c r="G374" s="75" t="n">
        <v>7.26</v>
      </c>
      <c r="H374" s="65" t="n"/>
      <c r="I374" s="66" t="n"/>
      <c r="J374" s="67">
        <f>VLOOKUP(C374,Recipes!$A$2:$N$4,10,FALSE())</f>
        <v/>
      </c>
      <c r="K374" s="68">
        <f>VLOOKUP(C374,Recipes!$A$2:$N$4,12,FALSE())</f>
        <v/>
      </c>
      <c r="L374" s="67">
        <f>J374-3*K374</f>
        <v/>
      </c>
      <c r="M374" s="67">
        <f>J374+3*K374</f>
        <v/>
      </c>
      <c r="N374" s="61">
        <f>IF(G374="","",IF(AND(G374&gt;=L374,G374&lt;=M374),"OK","NG"))</f>
        <v/>
      </c>
      <c r="O374" s="69">
        <f>IF(N374="","",IF(N374=D374,1,0))</f>
        <v/>
      </c>
      <c r="P374" s="67">
        <f>IF(G374="","",J374-G374)</f>
        <v/>
      </c>
      <c r="Q374" s="67">
        <f>IF(G374="","",ABS(P374-Components!$D$2))</f>
        <v/>
      </c>
      <c r="R374" s="67">
        <f>IF(G374="","",ABS(P374-Components!$D$3))</f>
        <v/>
      </c>
      <c r="S374" s="67">
        <f>IF(G374="","",ABS(P374-Components!$D$4))</f>
        <v/>
      </c>
      <c r="T374" s="67">
        <f>IF(G374="","",ABS(P374-Components!$D$5))</f>
        <v/>
      </c>
      <c r="U374" s="67">
        <f>IF(G374="","",ABS(P374-Components!$D$6))</f>
        <v/>
      </c>
      <c r="V374" s="67">
        <f>IF(G374="","",ABS(P374-Components!$D$7))</f>
        <v/>
      </c>
      <c r="W374" s="61">
        <f>IF(G374="","",IF(N374="OK","NONE",INDEX({"S1","S2","W1","W2","N1","N2"},MATCH(MIN(Q374:V374),Q374:V374,0))))</f>
        <v/>
      </c>
      <c r="X374" s="69">
        <f>IF(G374="","",IF(W374=E374,1,0))</f>
        <v/>
      </c>
      <c r="Y374" s="70" t="n"/>
    </row>
    <row r="375">
      <c r="A375" s="61" t="n">
        <v>51</v>
      </c>
      <c r="B375" s="62" t="n">
        <v>15</v>
      </c>
      <c r="C375" s="61" t="inlineStr">
        <is>
          <t>R6</t>
        </is>
      </c>
      <c r="D375" s="74" t="inlineStr">
        <is>
          <t>NG</t>
        </is>
      </c>
      <c r="E375" s="61" t="inlineStr">
        <is>
          <t>N2</t>
        </is>
      </c>
      <c r="F375" s="61" t="inlineStr">
        <is>
          <t>K049</t>
        </is>
      </c>
      <c r="G375" s="75" t="n">
        <v>7.23</v>
      </c>
      <c r="H375" s="65" t="n"/>
      <c r="I375" s="66" t="n"/>
      <c r="J375" s="67">
        <f>VLOOKUP(C375,Recipes!$A$2:$N$4,10,FALSE())</f>
        <v/>
      </c>
      <c r="K375" s="68">
        <f>VLOOKUP(C375,Recipes!$A$2:$N$4,12,FALSE())</f>
        <v/>
      </c>
      <c r="L375" s="67">
        <f>J375-3*K375</f>
        <v/>
      </c>
      <c r="M375" s="67">
        <f>J375+3*K375</f>
        <v/>
      </c>
      <c r="N375" s="61">
        <f>IF(G375="","",IF(AND(G375&gt;=L375,G375&lt;=M375),"OK","NG"))</f>
        <v/>
      </c>
      <c r="O375" s="69">
        <f>IF(N375="","",IF(N375=D375,1,0))</f>
        <v/>
      </c>
      <c r="P375" s="67">
        <f>IF(G375="","",J375-G375)</f>
        <v/>
      </c>
      <c r="Q375" s="67">
        <f>IF(G375="","",ABS(P375-Components!$D$2))</f>
        <v/>
      </c>
      <c r="R375" s="67">
        <f>IF(G375="","",ABS(P375-Components!$D$3))</f>
        <v/>
      </c>
      <c r="S375" s="67">
        <f>IF(G375="","",ABS(P375-Components!$D$4))</f>
        <v/>
      </c>
      <c r="T375" s="67">
        <f>IF(G375="","",ABS(P375-Components!$D$5))</f>
        <v/>
      </c>
      <c r="U375" s="67">
        <f>IF(G375="","",ABS(P375-Components!$D$6))</f>
        <v/>
      </c>
      <c r="V375" s="67">
        <f>IF(G375="","",ABS(P375-Components!$D$7))</f>
        <v/>
      </c>
      <c r="W375" s="61">
        <f>IF(G375="","",IF(N375="OK","NONE",INDEX({"S1","S2","W1","W2","N1","N2"},MATCH(MIN(Q375:V375),Q375:V375,0))))</f>
        <v/>
      </c>
      <c r="X375" s="69">
        <f>IF(G375="","",IF(W375=E375,1,0))</f>
        <v/>
      </c>
      <c r="Y375" s="70" t="n"/>
    </row>
    <row r="376">
      <c r="A376" s="61" t="n">
        <v>51</v>
      </c>
      <c r="B376" s="62" t="n">
        <v>15</v>
      </c>
      <c r="C376" s="61" t="inlineStr">
        <is>
          <t>R6</t>
        </is>
      </c>
      <c r="D376" s="74" t="inlineStr">
        <is>
          <t>NG</t>
        </is>
      </c>
      <c r="E376" s="61" t="inlineStr">
        <is>
          <t>N2</t>
        </is>
      </c>
      <c r="F376" s="61" t="inlineStr">
        <is>
          <t>K049</t>
        </is>
      </c>
      <c r="G376" s="75" t="n">
        <v>7.06</v>
      </c>
      <c r="H376" s="65" t="n"/>
      <c r="I376" s="66" t="n"/>
      <c r="J376" s="67">
        <f>VLOOKUP(C376,Recipes!$A$2:$N$4,10,FALSE())</f>
        <v/>
      </c>
      <c r="K376" s="68">
        <f>VLOOKUP(C376,Recipes!$A$2:$N$4,12,FALSE())</f>
        <v/>
      </c>
      <c r="L376" s="67">
        <f>J376-3*K376</f>
        <v/>
      </c>
      <c r="M376" s="67">
        <f>J376+3*K376</f>
        <v/>
      </c>
      <c r="N376" s="61">
        <f>IF(G376="","",IF(AND(G376&gt;=L376,G376&lt;=M376),"OK","NG"))</f>
        <v/>
      </c>
      <c r="O376" s="69">
        <f>IF(N376="","",IF(N376=D376,1,0))</f>
        <v/>
      </c>
      <c r="P376" s="67">
        <f>IF(G376="","",J376-G376)</f>
        <v/>
      </c>
      <c r="Q376" s="67">
        <f>IF(G376="","",ABS(P376-Components!$D$2))</f>
        <v/>
      </c>
      <c r="R376" s="67">
        <f>IF(G376="","",ABS(P376-Components!$D$3))</f>
        <v/>
      </c>
      <c r="S376" s="67">
        <f>IF(G376="","",ABS(P376-Components!$D$4))</f>
        <v/>
      </c>
      <c r="T376" s="67">
        <f>IF(G376="","",ABS(P376-Components!$D$5))</f>
        <v/>
      </c>
      <c r="U376" s="67">
        <f>IF(G376="","",ABS(P376-Components!$D$6))</f>
        <v/>
      </c>
      <c r="V376" s="67">
        <f>IF(G376="","",ABS(P376-Components!$D$7))</f>
        <v/>
      </c>
      <c r="W376" s="61">
        <f>IF(G376="","",IF(N376="OK","NONE",INDEX({"S1","S2","W1","W2","N1","N2"},MATCH(MIN(Q376:V376),Q376:V376,0))))</f>
        <v/>
      </c>
      <c r="X376" s="69">
        <f>IF(G376="","",IF(W376=E376,1,0))</f>
        <v/>
      </c>
      <c r="Y376" s="70" t="n"/>
    </row>
    <row r="377">
      <c r="A377" s="61" t="n">
        <v>51</v>
      </c>
      <c r="B377" s="62" t="n">
        <v>15</v>
      </c>
      <c r="C377" s="61" t="inlineStr">
        <is>
          <t>R6</t>
        </is>
      </c>
      <c r="D377" s="74" t="inlineStr">
        <is>
          <t>NG</t>
        </is>
      </c>
      <c r="E377" s="61" t="inlineStr">
        <is>
          <t>N2</t>
        </is>
      </c>
      <c r="F377" s="61" t="inlineStr">
        <is>
          <t>K049</t>
        </is>
      </c>
      <c r="G377" s="75" t="n">
        <v>7.2</v>
      </c>
      <c r="H377" s="65" t="n"/>
      <c r="I377" s="66" t="n"/>
      <c r="J377" s="67">
        <f>VLOOKUP(C377,Recipes!$A$2:$N$4,10,FALSE())</f>
        <v/>
      </c>
      <c r="K377" s="68">
        <f>VLOOKUP(C377,Recipes!$A$2:$N$4,12,FALSE())</f>
        <v/>
      </c>
      <c r="L377" s="67">
        <f>J377-3*K377</f>
        <v/>
      </c>
      <c r="M377" s="67">
        <f>J377+3*K377</f>
        <v/>
      </c>
      <c r="N377" s="61">
        <f>IF(G377="","",IF(AND(G377&gt;=L377,G377&lt;=M377),"OK","NG"))</f>
        <v/>
      </c>
      <c r="O377" s="69">
        <f>IF(N377="","",IF(N377=D377,1,0))</f>
        <v/>
      </c>
      <c r="P377" s="67">
        <f>IF(G377="","",J377-G377)</f>
        <v/>
      </c>
      <c r="Q377" s="67">
        <f>IF(G377="","",ABS(P377-Components!$D$2))</f>
        <v/>
      </c>
      <c r="R377" s="67">
        <f>IF(G377="","",ABS(P377-Components!$D$3))</f>
        <v/>
      </c>
      <c r="S377" s="67">
        <f>IF(G377="","",ABS(P377-Components!$D$4))</f>
        <v/>
      </c>
      <c r="T377" s="67">
        <f>IF(G377="","",ABS(P377-Components!$D$5))</f>
        <v/>
      </c>
      <c r="U377" s="67">
        <f>IF(G377="","",ABS(P377-Components!$D$6))</f>
        <v/>
      </c>
      <c r="V377" s="67">
        <f>IF(G377="","",ABS(P377-Components!$D$7))</f>
        <v/>
      </c>
      <c r="W377" s="61">
        <f>IF(G377="","",IF(N377="OK","NONE",INDEX({"S1","S2","W1","W2","N1","N2"},MATCH(MIN(Q377:V377),Q377:V377,0))))</f>
        <v/>
      </c>
      <c r="X377" s="69">
        <f>IF(G377="","",IF(W377=E377,1,0))</f>
        <v/>
      </c>
      <c r="Y377" s="70" t="n"/>
    </row>
    <row r="378">
      <c r="A378" s="61" t="n">
        <v>51</v>
      </c>
      <c r="B378" s="62" t="n">
        <v>15</v>
      </c>
      <c r="C378" s="61" t="inlineStr">
        <is>
          <t>R6</t>
        </is>
      </c>
      <c r="D378" s="74" t="inlineStr">
        <is>
          <t>NG</t>
        </is>
      </c>
      <c r="E378" s="61" t="inlineStr">
        <is>
          <t>N2</t>
        </is>
      </c>
      <c r="F378" s="61" t="inlineStr">
        <is>
          <t>K049</t>
        </is>
      </c>
      <c r="G378" s="75" t="n">
        <v>7.21</v>
      </c>
      <c r="H378" s="65" t="n"/>
      <c r="I378" s="66" t="n"/>
      <c r="J378" s="67">
        <f>VLOOKUP(C378,Recipes!$A$2:$N$4,10,FALSE())</f>
        <v/>
      </c>
      <c r="K378" s="68">
        <f>VLOOKUP(C378,Recipes!$A$2:$N$4,12,FALSE())</f>
        <v/>
      </c>
      <c r="L378" s="67">
        <f>J378-3*K378</f>
        <v/>
      </c>
      <c r="M378" s="67">
        <f>J378+3*K378</f>
        <v/>
      </c>
      <c r="N378" s="61">
        <f>IF(G378="","",IF(AND(G378&gt;=L378,G378&lt;=M378),"OK","NG"))</f>
        <v/>
      </c>
      <c r="O378" s="69">
        <f>IF(N378="","",IF(N378=D378,1,0))</f>
        <v/>
      </c>
      <c r="P378" s="67">
        <f>IF(G378="","",J378-G378)</f>
        <v/>
      </c>
      <c r="Q378" s="67">
        <f>IF(G378="","",ABS(P378-Components!$D$2))</f>
        <v/>
      </c>
      <c r="R378" s="67">
        <f>IF(G378="","",ABS(P378-Components!$D$3))</f>
        <v/>
      </c>
      <c r="S378" s="67">
        <f>IF(G378="","",ABS(P378-Components!$D$4))</f>
        <v/>
      </c>
      <c r="T378" s="67">
        <f>IF(G378="","",ABS(P378-Components!$D$5))</f>
        <v/>
      </c>
      <c r="U378" s="67">
        <f>IF(G378="","",ABS(P378-Components!$D$6))</f>
        <v/>
      </c>
      <c r="V378" s="67">
        <f>IF(G378="","",ABS(P378-Components!$D$7))</f>
        <v/>
      </c>
      <c r="W378" s="61">
        <f>IF(G378="","",IF(N378="OK","NONE",INDEX({"S1","S2","W1","W2","N1","N2"},MATCH(MIN(Q378:V378),Q378:V378,0))))</f>
        <v/>
      </c>
      <c r="X378" s="69">
        <f>IF(G378="","",IF(W378=E378,1,0))</f>
        <v/>
      </c>
      <c r="Y378" s="70" t="n"/>
    </row>
    <row r="379">
      <c r="A379" s="61" t="n">
        <v>51</v>
      </c>
      <c r="B379" s="62" t="n">
        <v>15</v>
      </c>
      <c r="C379" s="61" t="inlineStr">
        <is>
          <t>R6</t>
        </is>
      </c>
      <c r="D379" s="74" t="inlineStr">
        <is>
          <t>NG</t>
        </is>
      </c>
      <c r="E379" s="61" t="inlineStr">
        <is>
          <t>N2</t>
        </is>
      </c>
      <c r="F379" s="61" t="inlineStr">
        <is>
          <t>K049</t>
        </is>
      </c>
      <c r="G379" s="75" t="n">
        <v>7.22</v>
      </c>
      <c r="H379" s="65" t="n"/>
      <c r="I379" s="66" t="n"/>
      <c r="J379" s="67">
        <f>VLOOKUP(C379,Recipes!$A$2:$N$4,10,FALSE())</f>
        <v/>
      </c>
      <c r="K379" s="68">
        <f>VLOOKUP(C379,Recipes!$A$2:$N$4,12,FALSE())</f>
        <v/>
      </c>
      <c r="L379" s="67">
        <f>J379-3*K379</f>
        <v/>
      </c>
      <c r="M379" s="67">
        <f>J379+3*K379</f>
        <v/>
      </c>
      <c r="N379" s="61">
        <f>IF(G379="","",IF(AND(G379&gt;=L379,G379&lt;=M379),"OK","NG"))</f>
        <v/>
      </c>
      <c r="O379" s="69">
        <f>IF(N379="","",IF(N379=D379,1,0))</f>
        <v/>
      </c>
      <c r="P379" s="67">
        <f>IF(G379="","",J379-G379)</f>
        <v/>
      </c>
      <c r="Q379" s="67">
        <f>IF(G379="","",ABS(P379-Components!$D$2))</f>
        <v/>
      </c>
      <c r="R379" s="67">
        <f>IF(G379="","",ABS(P379-Components!$D$3))</f>
        <v/>
      </c>
      <c r="S379" s="67">
        <f>IF(G379="","",ABS(P379-Components!$D$4))</f>
        <v/>
      </c>
      <c r="T379" s="67">
        <f>IF(G379="","",ABS(P379-Components!$D$5))</f>
        <v/>
      </c>
      <c r="U379" s="67">
        <f>IF(G379="","",ABS(P379-Components!$D$6))</f>
        <v/>
      </c>
      <c r="V379" s="67">
        <f>IF(G379="","",ABS(P379-Components!$D$7))</f>
        <v/>
      </c>
      <c r="W379" s="61">
        <f>IF(G379="","",IF(N379="OK","NONE",INDEX({"S1","S2","W1","W2","N1","N2"},MATCH(MIN(Q379:V379),Q379:V379,0))))</f>
        <v/>
      </c>
      <c r="X379" s="69">
        <f>IF(G379="","",IF(W379=E379,1,0))</f>
        <v/>
      </c>
      <c r="Y379" s="70" t="n"/>
    </row>
    <row r="380">
      <c r="A380" s="61" t="n">
        <v>51</v>
      </c>
      <c r="B380" s="62" t="n">
        <v>15</v>
      </c>
      <c r="C380" s="61" t="inlineStr">
        <is>
          <t>R6</t>
        </is>
      </c>
      <c r="D380" s="74" t="inlineStr">
        <is>
          <t>NG</t>
        </is>
      </c>
      <c r="E380" s="61" t="inlineStr">
        <is>
          <t>N2</t>
        </is>
      </c>
      <c r="F380" s="61" t="inlineStr">
        <is>
          <t>K049</t>
        </is>
      </c>
      <c r="G380" s="75" t="n">
        <v>7.15</v>
      </c>
      <c r="H380" s="65" t="n"/>
      <c r="I380" s="66" t="n"/>
      <c r="J380" s="67">
        <f>VLOOKUP(C380,Recipes!$A$2:$N$4,10,FALSE())</f>
        <v/>
      </c>
      <c r="K380" s="68">
        <f>VLOOKUP(C380,Recipes!$A$2:$N$4,12,FALSE())</f>
        <v/>
      </c>
      <c r="L380" s="67">
        <f>J380-3*K380</f>
        <v/>
      </c>
      <c r="M380" s="67">
        <f>J380+3*K380</f>
        <v/>
      </c>
      <c r="N380" s="61">
        <f>IF(G380="","",IF(AND(G380&gt;=L380,G380&lt;=M380),"OK","NG"))</f>
        <v/>
      </c>
      <c r="O380" s="69">
        <f>IF(N380="","",IF(N380=D380,1,0))</f>
        <v/>
      </c>
      <c r="P380" s="67">
        <f>IF(G380="","",J380-G380)</f>
        <v/>
      </c>
      <c r="Q380" s="67">
        <f>IF(G380="","",ABS(P380-Components!$D$2))</f>
        <v/>
      </c>
      <c r="R380" s="67">
        <f>IF(G380="","",ABS(P380-Components!$D$3))</f>
        <v/>
      </c>
      <c r="S380" s="67">
        <f>IF(G380="","",ABS(P380-Components!$D$4))</f>
        <v/>
      </c>
      <c r="T380" s="67">
        <f>IF(G380="","",ABS(P380-Components!$D$5))</f>
        <v/>
      </c>
      <c r="U380" s="67">
        <f>IF(G380="","",ABS(P380-Components!$D$6))</f>
        <v/>
      </c>
      <c r="V380" s="67">
        <f>IF(G380="","",ABS(P380-Components!$D$7))</f>
        <v/>
      </c>
      <c r="W380" s="61">
        <f>IF(G380="","",IF(N380="OK","NONE",INDEX({"S1","S2","W1","W2","N1","N2"},MATCH(MIN(Q380:V380),Q380:V380,0))))</f>
        <v/>
      </c>
      <c r="X380" s="69">
        <f>IF(G380="","",IF(W380=E380,1,0))</f>
        <v/>
      </c>
      <c r="Y380" s="70" t="n"/>
    </row>
    <row r="381">
      <c r="A381" s="61" t="n">
        <v>51</v>
      </c>
      <c r="B381" s="62" t="n">
        <v>15</v>
      </c>
      <c r="C381" s="61" t="inlineStr">
        <is>
          <t>R6</t>
        </is>
      </c>
      <c r="D381" s="74" t="inlineStr">
        <is>
          <t>NG</t>
        </is>
      </c>
      <c r="E381" s="61" t="inlineStr">
        <is>
          <t>N2</t>
        </is>
      </c>
      <c r="F381" s="61" t="inlineStr">
        <is>
          <t>K049</t>
        </is>
      </c>
      <c r="G381" s="75" t="n">
        <v>7.28</v>
      </c>
      <c r="H381" s="65" t="n"/>
      <c r="I381" s="66" t="n"/>
      <c r="J381" s="67">
        <f>VLOOKUP(C381,Recipes!$A$2:$N$4,10,FALSE())</f>
        <v/>
      </c>
      <c r="K381" s="68">
        <f>VLOOKUP(C381,Recipes!$A$2:$N$4,12,FALSE())</f>
        <v/>
      </c>
      <c r="L381" s="67">
        <f>J381-3*K381</f>
        <v/>
      </c>
      <c r="M381" s="67">
        <f>J381+3*K381</f>
        <v/>
      </c>
      <c r="N381" s="61">
        <f>IF(G381="","",IF(AND(G381&gt;=L381,G381&lt;=M381),"OK","NG"))</f>
        <v/>
      </c>
      <c r="O381" s="69">
        <f>IF(N381="","",IF(N381=D381,1,0))</f>
        <v/>
      </c>
      <c r="P381" s="67">
        <f>IF(G381="","",J381-G381)</f>
        <v/>
      </c>
      <c r="Q381" s="67">
        <f>IF(G381="","",ABS(P381-Components!$D$2))</f>
        <v/>
      </c>
      <c r="R381" s="67">
        <f>IF(G381="","",ABS(P381-Components!$D$3))</f>
        <v/>
      </c>
      <c r="S381" s="67">
        <f>IF(G381="","",ABS(P381-Components!$D$4))</f>
        <v/>
      </c>
      <c r="T381" s="67">
        <f>IF(G381="","",ABS(P381-Components!$D$5))</f>
        <v/>
      </c>
      <c r="U381" s="67">
        <f>IF(G381="","",ABS(P381-Components!$D$6))</f>
        <v/>
      </c>
      <c r="V381" s="67">
        <f>IF(G381="","",ABS(P381-Components!$D$7))</f>
        <v/>
      </c>
      <c r="W381" s="61">
        <f>IF(G381="","",IF(N381="OK","NONE",INDEX({"S1","S2","W1","W2","N1","N2"},MATCH(MIN(Q381:V381),Q381:V381,0))))</f>
        <v/>
      </c>
      <c r="X381" s="69">
        <f>IF(G381="","",IF(W381=E381,1,0))</f>
        <v/>
      </c>
      <c r="Y381" s="70" t="n"/>
    </row>
    <row r="382">
      <c r="A382" s="61" t="n">
        <v>51</v>
      </c>
      <c r="B382" s="62" t="n">
        <v>15</v>
      </c>
      <c r="C382" s="61" t="inlineStr">
        <is>
          <t>R6</t>
        </is>
      </c>
      <c r="D382" s="74" t="inlineStr">
        <is>
          <t>NG</t>
        </is>
      </c>
      <c r="E382" s="61" t="inlineStr">
        <is>
          <t>N2</t>
        </is>
      </c>
      <c r="F382" s="61" t="inlineStr">
        <is>
          <t>K049</t>
        </is>
      </c>
      <c r="G382" s="75" t="n">
        <v>7.23</v>
      </c>
      <c r="H382" s="65" t="n"/>
      <c r="I382" s="66" t="n"/>
      <c r="J382" s="67">
        <f>VLOOKUP(C382,Recipes!$A$2:$N$4,10,FALSE())</f>
        <v/>
      </c>
      <c r="K382" s="68">
        <f>VLOOKUP(C382,Recipes!$A$2:$N$4,12,FALSE())</f>
        <v/>
      </c>
      <c r="L382" s="67">
        <f>J382-3*K382</f>
        <v/>
      </c>
      <c r="M382" s="67">
        <f>J382+3*K382</f>
        <v/>
      </c>
      <c r="N382" s="61">
        <f>IF(G382="","",IF(AND(G382&gt;=L382,G382&lt;=M382),"OK","NG"))</f>
        <v/>
      </c>
      <c r="O382" s="69">
        <f>IF(N382="","",IF(N382=D382,1,0))</f>
        <v/>
      </c>
      <c r="P382" s="67">
        <f>IF(G382="","",J382-G382)</f>
        <v/>
      </c>
      <c r="Q382" s="67">
        <f>IF(G382="","",ABS(P382-Components!$D$2))</f>
        <v/>
      </c>
      <c r="R382" s="67">
        <f>IF(G382="","",ABS(P382-Components!$D$3))</f>
        <v/>
      </c>
      <c r="S382" s="67">
        <f>IF(G382="","",ABS(P382-Components!$D$4))</f>
        <v/>
      </c>
      <c r="T382" s="67">
        <f>IF(G382="","",ABS(P382-Components!$D$5))</f>
        <v/>
      </c>
      <c r="U382" s="67">
        <f>IF(G382="","",ABS(P382-Components!$D$6))</f>
        <v/>
      </c>
      <c r="V382" s="67">
        <f>IF(G382="","",ABS(P382-Components!$D$7))</f>
        <v/>
      </c>
      <c r="W382" s="61">
        <f>IF(G382="","",IF(N382="OK","NONE",INDEX({"S1","S2","W1","W2","N1","N2"},MATCH(MIN(Q382:V382),Q382:V382,0))))</f>
        <v/>
      </c>
      <c r="X382" s="69">
        <f>IF(G382="","",IF(W382=E382,1,0))</f>
        <v/>
      </c>
      <c r="Y382" s="70" t="n"/>
    </row>
    <row r="383">
      <c r="A383" s="61" t="n">
        <v>51</v>
      </c>
      <c r="B383" s="62" t="n">
        <v>15</v>
      </c>
      <c r="C383" s="61" t="inlineStr">
        <is>
          <t>R6</t>
        </is>
      </c>
      <c r="D383" s="74" t="inlineStr">
        <is>
          <t>NG</t>
        </is>
      </c>
      <c r="E383" s="61" t="inlineStr">
        <is>
          <t>N2</t>
        </is>
      </c>
      <c r="F383" s="61" t="inlineStr">
        <is>
          <t>K049</t>
        </is>
      </c>
      <c r="G383" s="75" t="n">
        <v>7.26</v>
      </c>
      <c r="H383" s="65" t="n"/>
      <c r="I383" s="66" t="n"/>
      <c r="J383" s="67">
        <f>VLOOKUP(C383,Recipes!$A$2:$N$4,10,FALSE())</f>
        <v/>
      </c>
      <c r="K383" s="68">
        <f>VLOOKUP(C383,Recipes!$A$2:$N$4,12,FALSE())</f>
        <v/>
      </c>
      <c r="L383" s="67">
        <f>J383-3*K383</f>
        <v/>
      </c>
      <c r="M383" s="67">
        <f>J383+3*K383</f>
        <v/>
      </c>
      <c r="N383" s="61">
        <f>IF(G383="","",IF(AND(G383&gt;=L383,G383&lt;=M383),"OK","NG"))</f>
        <v/>
      </c>
      <c r="O383" s="69">
        <f>IF(N383="","",IF(N383=D383,1,0))</f>
        <v/>
      </c>
      <c r="P383" s="67">
        <f>IF(G383="","",J383-G383)</f>
        <v/>
      </c>
      <c r="Q383" s="67">
        <f>IF(G383="","",ABS(P383-Components!$D$2))</f>
        <v/>
      </c>
      <c r="R383" s="67">
        <f>IF(G383="","",ABS(P383-Components!$D$3))</f>
        <v/>
      </c>
      <c r="S383" s="67">
        <f>IF(G383="","",ABS(P383-Components!$D$4))</f>
        <v/>
      </c>
      <c r="T383" s="67">
        <f>IF(G383="","",ABS(P383-Components!$D$5))</f>
        <v/>
      </c>
      <c r="U383" s="67">
        <f>IF(G383="","",ABS(P383-Components!$D$6))</f>
        <v/>
      </c>
      <c r="V383" s="67">
        <f>IF(G383="","",ABS(P383-Components!$D$7))</f>
        <v/>
      </c>
      <c r="W383" s="61">
        <f>IF(G383="","",IF(N383="OK","NONE",INDEX({"S1","S2","W1","W2","N1","N2"},MATCH(MIN(Q383:V383),Q383:V383,0))))</f>
        <v/>
      </c>
      <c r="X383" s="69">
        <f>IF(G383="","",IF(W383=E383,1,0))</f>
        <v/>
      </c>
      <c r="Y383" s="70" t="n"/>
    </row>
    <row r="384">
      <c r="A384" s="61" t="n">
        <v>51</v>
      </c>
      <c r="B384" s="62" t="n">
        <v>15</v>
      </c>
      <c r="C384" s="61" t="inlineStr">
        <is>
          <t>R6</t>
        </is>
      </c>
      <c r="D384" s="74" t="inlineStr">
        <is>
          <t>NG</t>
        </is>
      </c>
      <c r="E384" s="61" t="inlineStr">
        <is>
          <t>N2</t>
        </is>
      </c>
      <c r="F384" s="61" t="inlineStr">
        <is>
          <t>K049</t>
        </is>
      </c>
      <c r="G384" s="75" t="n">
        <v>7.26</v>
      </c>
      <c r="H384" s="65" t="n"/>
      <c r="I384" s="66" t="n"/>
      <c r="J384" s="67">
        <f>VLOOKUP(C384,Recipes!$A$2:$N$4,10,FALSE())</f>
        <v/>
      </c>
      <c r="K384" s="68">
        <f>VLOOKUP(C384,Recipes!$A$2:$N$4,12,FALSE())</f>
        <v/>
      </c>
      <c r="L384" s="67">
        <f>J384-3*K384</f>
        <v/>
      </c>
      <c r="M384" s="67">
        <f>J384+3*K384</f>
        <v/>
      </c>
      <c r="N384" s="61">
        <f>IF(G384="","",IF(AND(G384&gt;=L384,G384&lt;=M384),"OK","NG"))</f>
        <v/>
      </c>
      <c r="O384" s="69">
        <f>IF(N384="","",IF(N384=D384,1,0))</f>
        <v/>
      </c>
      <c r="P384" s="67">
        <f>IF(G384="","",J384-G384)</f>
        <v/>
      </c>
      <c r="Q384" s="67">
        <f>IF(G384="","",ABS(P384-Components!$D$2))</f>
        <v/>
      </c>
      <c r="R384" s="67">
        <f>IF(G384="","",ABS(P384-Components!$D$3))</f>
        <v/>
      </c>
      <c r="S384" s="67">
        <f>IF(G384="","",ABS(P384-Components!$D$4))</f>
        <v/>
      </c>
      <c r="T384" s="67">
        <f>IF(G384="","",ABS(P384-Components!$D$5))</f>
        <v/>
      </c>
      <c r="U384" s="67">
        <f>IF(G384="","",ABS(P384-Components!$D$6))</f>
        <v/>
      </c>
      <c r="V384" s="67">
        <f>IF(G384="","",ABS(P384-Components!$D$7))</f>
        <v/>
      </c>
      <c r="W384" s="61">
        <f>IF(G384="","",IF(N384="OK","NONE",INDEX({"S1","S2","W1","W2","N1","N2"},MATCH(MIN(Q384:V384),Q384:V384,0))))</f>
        <v/>
      </c>
      <c r="X384" s="69">
        <f>IF(G384="","",IF(W384=E384,1,0))</f>
        <v/>
      </c>
      <c r="Y384" s="70" t="n"/>
    </row>
    <row r="385">
      <c r="A385" s="61" t="n">
        <v>51</v>
      </c>
      <c r="B385" s="62" t="n">
        <v>15</v>
      </c>
      <c r="C385" s="61" t="inlineStr">
        <is>
          <t>R6</t>
        </is>
      </c>
      <c r="D385" s="74" t="inlineStr">
        <is>
          <t>NG</t>
        </is>
      </c>
      <c r="E385" s="61" t="inlineStr">
        <is>
          <t>N2</t>
        </is>
      </c>
      <c r="F385" s="61" t="inlineStr">
        <is>
          <t>K049</t>
        </is>
      </c>
      <c r="G385" s="75" t="n">
        <v>7.27</v>
      </c>
      <c r="H385" s="65" t="n"/>
      <c r="I385" s="66" t="n"/>
      <c r="J385" s="67">
        <f>VLOOKUP(C385,Recipes!$A$2:$N$4,10,FALSE())</f>
        <v/>
      </c>
      <c r="K385" s="68">
        <f>VLOOKUP(C385,Recipes!$A$2:$N$4,12,FALSE())</f>
        <v/>
      </c>
      <c r="L385" s="67">
        <f>J385-3*K385</f>
        <v/>
      </c>
      <c r="M385" s="67">
        <f>J385+3*K385</f>
        <v/>
      </c>
      <c r="N385" s="61">
        <f>IF(G385="","",IF(AND(G385&gt;=L385,G385&lt;=M385),"OK","NG"))</f>
        <v/>
      </c>
      <c r="O385" s="69">
        <f>IF(N385="","",IF(N385=D385,1,0))</f>
        <v/>
      </c>
      <c r="P385" s="67">
        <f>IF(G385="","",J385-G385)</f>
        <v/>
      </c>
      <c r="Q385" s="67">
        <f>IF(G385="","",ABS(P385-Components!$D$2))</f>
        <v/>
      </c>
      <c r="R385" s="67">
        <f>IF(G385="","",ABS(P385-Components!$D$3))</f>
        <v/>
      </c>
      <c r="S385" s="67">
        <f>IF(G385="","",ABS(P385-Components!$D$4))</f>
        <v/>
      </c>
      <c r="T385" s="67">
        <f>IF(G385="","",ABS(P385-Components!$D$5))</f>
        <v/>
      </c>
      <c r="U385" s="67">
        <f>IF(G385="","",ABS(P385-Components!$D$6))</f>
        <v/>
      </c>
      <c r="V385" s="67">
        <f>IF(G385="","",ABS(P385-Components!$D$7))</f>
        <v/>
      </c>
      <c r="W385" s="61">
        <f>IF(G385="","",IF(N385="OK","NONE",INDEX({"S1","S2","W1","W2","N1","N2"},MATCH(MIN(Q385:V385),Q385:V385,0))))</f>
        <v/>
      </c>
      <c r="X385" s="69">
        <f>IF(G385="","",IF(W385=E385,1,0))</f>
        <v/>
      </c>
      <c r="Y385" s="70" t="n"/>
    </row>
    <row r="386">
      <c r="A386" s="61" t="n">
        <v>51</v>
      </c>
      <c r="B386" s="62" t="n">
        <v>15</v>
      </c>
      <c r="C386" s="61" t="inlineStr">
        <is>
          <t>R6</t>
        </is>
      </c>
      <c r="D386" s="74" t="inlineStr">
        <is>
          <t>NG</t>
        </is>
      </c>
      <c r="E386" s="61" t="inlineStr">
        <is>
          <t>N2</t>
        </is>
      </c>
      <c r="F386" s="61" t="inlineStr">
        <is>
          <t>K049</t>
        </is>
      </c>
      <c r="G386" s="75" t="n">
        <v>7.14</v>
      </c>
      <c r="H386" s="65" t="n"/>
      <c r="I386" s="66" t="n"/>
      <c r="J386" s="67">
        <f>VLOOKUP(C386,Recipes!$A$2:$N$4,10,FALSE())</f>
        <v/>
      </c>
      <c r="K386" s="68">
        <f>VLOOKUP(C386,Recipes!$A$2:$N$4,12,FALSE())</f>
        <v/>
      </c>
      <c r="L386" s="67">
        <f>J386-3*K386</f>
        <v/>
      </c>
      <c r="M386" s="67">
        <f>J386+3*K386</f>
        <v/>
      </c>
      <c r="N386" s="61">
        <f>IF(G386="","",IF(AND(G386&gt;=L386,G386&lt;=M386),"OK","NG"))</f>
        <v/>
      </c>
      <c r="O386" s="69">
        <f>IF(N386="","",IF(N386=D386,1,0))</f>
        <v/>
      </c>
      <c r="P386" s="67">
        <f>IF(G386="","",J386-G386)</f>
        <v/>
      </c>
      <c r="Q386" s="67">
        <f>IF(G386="","",ABS(P386-Components!$D$2))</f>
        <v/>
      </c>
      <c r="R386" s="67">
        <f>IF(G386="","",ABS(P386-Components!$D$3))</f>
        <v/>
      </c>
      <c r="S386" s="67">
        <f>IF(G386="","",ABS(P386-Components!$D$4))</f>
        <v/>
      </c>
      <c r="T386" s="67">
        <f>IF(G386="","",ABS(P386-Components!$D$5))</f>
        <v/>
      </c>
      <c r="U386" s="67">
        <f>IF(G386="","",ABS(P386-Components!$D$6))</f>
        <v/>
      </c>
      <c r="V386" s="67">
        <f>IF(G386="","",ABS(P386-Components!$D$7))</f>
        <v/>
      </c>
      <c r="W386" s="61">
        <f>IF(G386="","",IF(N386="OK","NONE",INDEX({"S1","S2","W1","W2","N1","N2"},MATCH(MIN(Q386:V386),Q386:V386,0))))</f>
        <v/>
      </c>
      <c r="X386" s="69">
        <f>IF(G386="","",IF(W386=E386,1,0))</f>
        <v/>
      </c>
      <c r="Y386" s="70" t="n"/>
    </row>
    <row r="387">
      <c r="A387" s="61" t="n">
        <v>51</v>
      </c>
      <c r="B387" s="62" t="n">
        <v>15</v>
      </c>
      <c r="C387" s="61" t="inlineStr">
        <is>
          <t>R6</t>
        </is>
      </c>
      <c r="D387" s="74" t="inlineStr">
        <is>
          <t>NG</t>
        </is>
      </c>
      <c r="E387" s="61" t="inlineStr">
        <is>
          <t>N2</t>
        </is>
      </c>
      <c r="F387" s="61" t="inlineStr">
        <is>
          <t>K049</t>
        </is>
      </c>
      <c r="G387" s="75" t="n">
        <v>6.97</v>
      </c>
      <c r="H387" s="65" t="n"/>
      <c r="I387" s="66" t="n"/>
      <c r="J387" s="67">
        <f>VLOOKUP(C387,Recipes!$A$2:$N$4,10,FALSE())</f>
        <v/>
      </c>
      <c r="K387" s="68">
        <f>VLOOKUP(C387,Recipes!$A$2:$N$4,12,FALSE())</f>
        <v/>
      </c>
      <c r="L387" s="67">
        <f>J387-3*K387</f>
        <v/>
      </c>
      <c r="M387" s="67">
        <f>J387+3*K387</f>
        <v/>
      </c>
      <c r="N387" s="61">
        <f>IF(G387="","",IF(AND(G387&gt;=L387,G387&lt;=M387),"OK","NG"))</f>
        <v/>
      </c>
      <c r="O387" s="69">
        <f>IF(N387="","",IF(N387=D387,1,0))</f>
        <v/>
      </c>
      <c r="P387" s="67">
        <f>IF(G387="","",J387-G387)</f>
        <v/>
      </c>
      <c r="Q387" s="67">
        <f>IF(G387="","",ABS(P387-Components!$D$2))</f>
        <v/>
      </c>
      <c r="R387" s="67">
        <f>IF(G387="","",ABS(P387-Components!$D$3))</f>
        <v/>
      </c>
      <c r="S387" s="67">
        <f>IF(G387="","",ABS(P387-Components!$D$4))</f>
        <v/>
      </c>
      <c r="T387" s="67">
        <f>IF(G387="","",ABS(P387-Components!$D$5))</f>
        <v/>
      </c>
      <c r="U387" s="67">
        <f>IF(G387="","",ABS(P387-Components!$D$6))</f>
        <v/>
      </c>
      <c r="V387" s="67">
        <f>IF(G387="","",ABS(P387-Components!$D$7))</f>
        <v/>
      </c>
      <c r="W387" s="61">
        <f>IF(G387="","",IF(N387="OK","NONE",INDEX({"S1","S2","W1","W2","N1","N2"},MATCH(MIN(Q387:V387),Q387:V387,0))))</f>
        <v/>
      </c>
      <c r="X387" s="69">
        <f>IF(G387="","",IF(W387=E387,1,0))</f>
        <v/>
      </c>
      <c r="Y387" s="70" t="n"/>
    </row>
    <row r="388">
      <c r="A388" s="61" t="n">
        <v>51</v>
      </c>
      <c r="B388" s="62" t="n">
        <v>15</v>
      </c>
      <c r="C388" s="61" t="inlineStr">
        <is>
          <t>R6</t>
        </is>
      </c>
      <c r="D388" s="74" t="inlineStr">
        <is>
          <t>NG</t>
        </is>
      </c>
      <c r="E388" s="61" t="inlineStr">
        <is>
          <t>N2</t>
        </is>
      </c>
      <c r="F388" s="61" t="inlineStr">
        <is>
          <t>K049</t>
        </is>
      </c>
      <c r="G388" s="64" t="n">
        <v>7.29</v>
      </c>
      <c r="H388" s="65" t="n"/>
      <c r="I388" s="66" t="n"/>
      <c r="J388" s="67">
        <f>VLOOKUP(C388,Recipes!$A$2:$N$4,10,FALSE())</f>
        <v/>
      </c>
      <c r="K388" s="68">
        <f>VLOOKUP(C388,Recipes!$A$2:$N$4,12,FALSE())</f>
        <v/>
      </c>
      <c r="L388" s="67">
        <f>J388-3*K388</f>
        <v/>
      </c>
      <c r="M388" s="67">
        <f>J388+3*K388</f>
        <v/>
      </c>
      <c r="N388" s="61">
        <f>IF(G388="","",IF(AND(G388&gt;=L388,G388&lt;=M388),"OK","NG"))</f>
        <v/>
      </c>
      <c r="O388" s="69">
        <f>IF(N388="","",IF(N388=D388,1,0))</f>
        <v/>
      </c>
      <c r="P388" s="67">
        <f>IF(G388="","",J388-G388)</f>
        <v/>
      </c>
      <c r="Q388" s="67">
        <f>IF(G388="","",ABS(P388-Components!$D$2))</f>
        <v/>
      </c>
      <c r="R388" s="67">
        <f>IF(G388="","",ABS(P388-Components!$D$3))</f>
        <v/>
      </c>
      <c r="S388" s="67">
        <f>IF(G388="","",ABS(P388-Components!$D$4))</f>
        <v/>
      </c>
      <c r="T388" s="67">
        <f>IF(G388="","",ABS(P388-Components!$D$5))</f>
        <v/>
      </c>
      <c r="U388" s="67">
        <f>IF(G388="","",ABS(P388-Components!$D$6))</f>
        <v/>
      </c>
      <c r="V388" s="67">
        <f>IF(G388="","",ABS(P388-Components!$D$7))</f>
        <v/>
      </c>
      <c r="W388" s="61">
        <f>IF(G388="","",IF(N388="OK","NONE",INDEX({"S1","S2","W1","W2","N1","N2"},MATCH(MIN(Q388:V388),Q388:V388,0))))</f>
        <v/>
      </c>
      <c r="X388" s="69">
        <f>IF(G388="","",IF(W388=E388,1,0))</f>
        <v/>
      </c>
      <c r="Y388" s="70" t="n"/>
    </row>
    <row r="389">
      <c r="A389" s="61" t="n">
        <v>52</v>
      </c>
      <c r="B389" s="62" t="n">
        <v>16</v>
      </c>
      <c r="C389" s="61" t="inlineStr">
        <is>
          <t>R6</t>
        </is>
      </c>
      <c r="D389" s="74" t="inlineStr">
        <is>
          <t>NG</t>
        </is>
      </c>
      <c r="E389" s="61" t="inlineStr">
        <is>
          <t>N2</t>
        </is>
      </c>
      <c r="F389" s="61" t="inlineStr">
        <is>
          <t>K050</t>
        </is>
      </c>
      <c r="G389" s="64" t="n">
        <v>7.16</v>
      </c>
      <c r="H389" s="65" t="n"/>
      <c r="I389" s="66" t="n"/>
      <c r="J389" s="67">
        <f>VLOOKUP(C389,Recipes!$A$2:$N$4,10,FALSE())</f>
        <v/>
      </c>
      <c r="K389" s="68">
        <f>VLOOKUP(C389,Recipes!$A$2:$N$4,12,FALSE())</f>
        <v/>
      </c>
      <c r="L389" s="67">
        <f>J389-3*K389</f>
        <v/>
      </c>
      <c r="M389" s="67">
        <f>J389+3*K389</f>
        <v/>
      </c>
      <c r="N389" s="61">
        <f>IF(G389="","",IF(AND(G389&gt;=L389,G389&lt;=M389),"OK","NG"))</f>
        <v/>
      </c>
      <c r="O389" s="69">
        <f>IF(N389="","",IF(N389=D389,1,0))</f>
        <v/>
      </c>
      <c r="P389" s="67">
        <f>IF(G389="","",J389-G389)</f>
        <v/>
      </c>
      <c r="Q389" s="67">
        <f>IF(G389="","",ABS(P389-Components!$D$2))</f>
        <v/>
      </c>
      <c r="R389" s="67">
        <f>IF(G389="","",ABS(P389-Components!$D$3))</f>
        <v/>
      </c>
      <c r="S389" s="67">
        <f>IF(G389="","",ABS(P389-Components!$D$4))</f>
        <v/>
      </c>
      <c r="T389" s="67">
        <f>IF(G389="","",ABS(P389-Components!$D$5))</f>
        <v/>
      </c>
      <c r="U389" s="67">
        <f>IF(G389="","",ABS(P389-Components!$D$6))</f>
        <v/>
      </c>
      <c r="V389" s="67">
        <f>IF(G389="","",ABS(P389-Components!$D$7))</f>
        <v/>
      </c>
      <c r="W389" s="61">
        <f>IF(G389="","",IF(N389="OK","NONE",INDEX({"S1","S2","W1","W2","N1","N2"},MATCH(MIN(Q389:V389),Q389:V389,0))))</f>
        <v/>
      </c>
      <c r="X389" s="69">
        <f>IF(G389="","",IF(W389=E389,1,0))</f>
        <v/>
      </c>
      <c r="Y389" s="70" t="n"/>
    </row>
    <row r="390">
      <c r="A390" s="61" t="n">
        <v>53</v>
      </c>
      <c r="B390" s="62" t="n">
        <v>18</v>
      </c>
      <c r="C390" s="61" t="inlineStr">
        <is>
          <t>R6</t>
        </is>
      </c>
      <c r="D390" s="74" t="inlineStr">
        <is>
          <t>NG</t>
        </is>
      </c>
      <c r="E390" s="61" t="inlineStr">
        <is>
          <t>N2</t>
        </is>
      </c>
      <c r="F390" s="61" t="inlineStr">
        <is>
          <t>K051</t>
        </is>
      </c>
      <c r="G390" s="64" t="n">
        <v>7.23</v>
      </c>
      <c r="H390" s="65" t="n"/>
      <c r="I390" s="66" t="n"/>
      <c r="J390" s="67">
        <f>VLOOKUP(C390,Recipes!$A$2:$N$4,10,FALSE())</f>
        <v/>
      </c>
      <c r="K390" s="68">
        <f>VLOOKUP(C390,Recipes!$A$2:$N$4,12,FALSE())</f>
        <v/>
      </c>
      <c r="L390" s="67">
        <f>J390-3*K390</f>
        <v/>
      </c>
      <c r="M390" s="67">
        <f>J390+3*K390</f>
        <v/>
      </c>
      <c r="N390" s="61">
        <f>IF(G390="","",IF(AND(G390&gt;=L390,G390&lt;=M390),"OK","NG"))</f>
        <v/>
      </c>
      <c r="O390" s="69">
        <f>IF(N390="","",IF(N390=D390,1,0))</f>
        <v/>
      </c>
      <c r="P390" s="67">
        <f>IF(G390="","",J390-G390)</f>
        <v/>
      </c>
      <c r="Q390" s="67">
        <f>IF(G390="","",ABS(P390-Components!$D$2))</f>
        <v/>
      </c>
      <c r="R390" s="67">
        <f>IF(G390="","",ABS(P390-Components!$D$3))</f>
        <v/>
      </c>
      <c r="S390" s="67">
        <f>IF(G390="","",ABS(P390-Components!$D$4))</f>
        <v/>
      </c>
      <c r="T390" s="67">
        <f>IF(G390="","",ABS(P390-Components!$D$5))</f>
        <v/>
      </c>
      <c r="U390" s="67">
        <f>IF(G390="","",ABS(P390-Components!$D$6))</f>
        <v/>
      </c>
      <c r="V390" s="67">
        <f>IF(G390="","",ABS(P390-Components!$D$7))</f>
        <v/>
      </c>
      <c r="W390" s="61">
        <f>IF(G390="","",IF(N390="OK","NONE",INDEX({"S1","S2","W1","W2","N1","N2"},MATCH(MIN(Q390:V390),Q390:V390,0))))</f>
        <v/>
      </c>
      <c r="X390" s="69">
        <f>IF(G390="","",IF(W390=E390,1,0))</f>
        <v/>
      </c>
      <c r="Y390" s="70" t="n"/>
    </row>
    <row r="391">
      <c r="A391" s="76" t="n">
        <v>54</v>
      </c>
      <c r="B391" s="80" t="n"/>
      <c r="C391" s="76" t="inlineStr">
        <is>
          <t>R6</t>
        </is>
      </c>
      <c r="D391" s="78" t="inlineStr">
        <is>
          <t>NG</t>
        </is>
      </c>
      <c r="E391" s="76" t="inlineStr">
        <is>
          <t>N2</t>
        </is>
      </c>
      <c r="F391" s="81" t="n"/>
      <c r="G391" s="75" t="n">
        <v>7.25</v>
      </c>
      <c r="H391" s="65" t="n"/>
      <c r="I391" s="66" t="n"/>
      <c r="J391" s="67">
        <f>VLOOKUP(C391,Recipes!$A$2:$N$4,10,FALSE())</f>
        <v/>
      </c>
      <c r="K391" s="68">
        <f>VLOOKUP(C391,Recipes!$A$2:$N$4,12,FALSE())</f>
        <v/>
      </c>
      <c r="L391" s="67">
        <f>J391-3*K391</f>
        <v/>
      </c>
      <c r="M391" s="67">
        <f>J391+3*K391</f>
        <v/>
      </c>
      <c r="N391" s="61">
        <f>IF(G391="","",IF(AND(G391&gt;=L391,G391&lt;=M391),"OK","NG"))</f>
        <v/>
      </c>
      <c r="O391" s="69">
        <f>IF(N391="","",IF(N391=D391,1,0))</f>
        <v/>
      </c>
      <c r="P391" s="67">
        <f>IF(G391="","",J391-G391)</f>
        <v/>
      </c>
      <c r="Q391" s="67">
        <f>IF(G391="","",ABS(P391-Components!$D$2))</f>
        <v/>
      </c>
      <c r="R391" s="67">
        <f>IF(G391="","",ABS(P391-Components!$D$3))</f>
        <v/>
      </c>
      <c r="S391" s="67">
        <f>IF(G391="","",ABS(P391-Components!$D$4))</f>
        <v/>
      </c>
      <c r="T391" s="67">
        <f>IF(G391="","",ABS(P391-Components!$D$5))</f>
        <v/>
      </c>
      <c r="U391" s="67">
        <f>IF(G391="","",ABS(P391-Components!$D$6))</f>
        <v/>
      </c>
      <c r="V391" s="67">
        <f>IF(G391="","",ABS(P391-Components!$D$7))</f>
        <v/>
      </c>
      <c r="W391" s="61">
        <f>IF(G391="","",IF(N391="OK","NONE",INDEX({"S1","S2","W1","W2","N1","N2"},MATCH(MIN(Q391:V391),Q391:V391,0))))</f>
        <v/>
      </c>
      <c r="X391" s="69">
        <f>IF(G391="","",IF(W391=E391,1,0))</f>
        <v/>
      </c>
      <c r="Y391" s="70" t="n"/>
    </row>
    <row r="392">
      <c r="A392" s="79" t="n"/>
      <c r="B392" s="80" t="n"/>
      <c r="C392" s="76" t="inlineStr">
        <is>
          <t>R6</t>
        </is>
      </c>
      <c r="D392" s="78" t="inlineStr">
        <is>
          <t>NG</t>
        </is>
      </c>
      <c r="E392" s="76" t="inlineStr">
        <is>
          <t>N2</t>
        </is>
      </c>
      <c r="F392" s="81" t="n"/>
      <c r="G392" s="75" t="n">
        <v>7.2</v>
      </c>
      <c r="H392" s="65" t="n"/>
      <c r="I392" s="66" t="n"/>
      <c r="J392" s="67">
        <f>VLOOKUP(C392,Recipes!$A$2:$N$4,10,FALSE())</f>
        <v/>
      </c>
      <c r="K392" s="68">
        <f>VLOOKUP(C392,Recipes!$A$2:$N$4,12,FALSE())</f>
        <v/>
      </c>
      <c r="L392" s="67">
        <f>J392-3*K392</f>
        <v/>
      </c>
      <c r="M392" s="67">
        <f>J392+3*K392</f>
        <v/>
      </c>
      <c r="N392" s="61">
        <f>IF(G392="","",IF(AND(G392&gt;=L392,G392&lt;=M392),"OK","NG"))</f>
        <v/>
      </c>
      <c r="O392" s="69">
        <f>IF(N392="","",IF(N392=D392,1,0))</f>
        <v/>
      </c>
      <c r="P392" s="67">
        <f>IF(G392="","",J392-G392)</f>
        <v/>
      </c>
      <c r="Q392" s="67">
        <f>IF(G392="","",ABS(P392-Components!$D$2))</f>
        <v/>
      </c>
      <c r="R392" s="67">
        <f>IF(G392="","",ABS(P392-Components!$D$3))</f>
        <v/>
      </c>
      <c r="S392" s="67">
        <f>IF(G392="","",ABS(P392-Components!$D$4))</f>
        <v/>
      </c>
      <c r="T392" s="67">
        <f>IF(G392="","",ABS(P392-Components!$D$5))</f>
        <v/>
      </c>
      <c r="U392" s="67">
        <f>IF(G392="","",ABS(P392-Components!$D$6))</f>
        <v/>
      </c>
      <c r="V392" s="67">
        <f>IF(G392="","",ABS(P392-Components!$D$7))</f>
        <v/>
      </c>
      <c r="W392" s="61">
        <f>IF(G392="","",IF(N392="OK","NONE",INDEX({"S1","S2","W1","W2","N1","N2"},MATCH(MIN(Q392:V392),Q392:V392,0))))</f>
        <v/>
      </c>
      <c r="X392" s="69">
        <f>IF(G392="","",IF(W392=E392,1,0))</f>
        <v/>
      </c>
      <c r="Y392" s="70" t="n"/>
    </row>
    <row r="393">
      <c r="A393" s="61" t="n">
        <v>52</v>
      </c>
      <c r="B393" s="62" t="n">
        <v>48</v>
      </c>
      <c r="C393" s="61" t="inlineStr">
        <is>
          <t>R6</t>
        </is>
      </c>
      <c r="D393" s="74" t="inlineStr">
        <is>
          <t>NG</t>
        </is>
      </c>
      <c r="E393" s="61" t="inlineStr">
        <is>
          <t>N1</t>
        </is>
      </c>
      <c r="F393" s="61" t="inlineStr">
        <is>
          <t>K052</t>
        </is>
      </c>
      <c r="G393" s="75" t="n">
        <v>7.39</v>
      </c>
      <c r="H393" s="65" t="n"/>
      <c r="I393" s="66" t="n"/>
      <c r="J393" s="67">
        <f>VLOOKUP(C393,Recipes!$A$2:$N$4,10,FALSE())</f>
        <v/>
      </c>
      <c r="K393" s="68">
        <f>VLOOKUP(C393,Recipes!$A$2:$N$4,12,FALSE())</f>
        <v/>
      </c>
      <c r="L393" s="67">
        <f>J393-3*K393</f>
        <v/>
      </c>
      <c r="M393" s="67">
        <f>J393+3*K393</f>
        <v/>
      </c>
      <c r="N393" s="61">
        <f>IF(G393="","",IF(AND(G393&gt;=L393,G393&lt;=M393),"OK","NG"))</f>
        <v/>
      </c>
      <c r="O393" s="69">
        <f>IF(N393="","",IF(N393=D393,1,0))</f>
        <v/>
      </c>
      <c r="P393" s="67">
        <f>IF(G393="","",J393-G393)</f>
        <v/>
      </c>
      <c r="Q393" s="67">
        <f>IF(G393="","",ABS(P393-Components!$D$2))</f>
        <v/>
      </c>
      <c r="R393" s="67">
        <f>IF(G393="","",ABS(P393-Components!$D$3))</f>
        <v/>
      </c>
      <c r="S393" s="67">
        <f>IF(G393="","",ABS(P393-Components!$D$4))</f>
        <v/>
      </c>
      <c r="T393" s="67">
        <f>IF(G393="","",ABS(P393-Components!$D$5))</f>
        <v/>
      </c>
      <c r="U393" s="67">
        <f>IF(G393="","",ABS(P393-Components!$D$6))</f>
        <v/>
      </c>
      <c r="V393" s="67">
        <f>IF(G393="","",ABS(P393-Components!$D$7))</f>
        <v/>
      </c>
      <c r="W393" s="61">
        <f>IF(G393="","",IF(N393="OK","NONE",INDEX({"S1","S2","W1","W2","N1","N2"},MATCH(MIN(Q393:V393),Q393:V393,0))))</f>
        <v/>
      </c>
      <c r="X393" s="69">
        <f>IF(G393="","",IF(W393=E393,1,0))</f>
        <v/>
      </c>
      <c r="Y393" s="70" t="n"/>
    </row>
    <row r="394">
      <c r="A394" s="61" t="n">
        <v>52</v>
      </c>
      <c r="B394" s="62" t="n">
        <v>48</v>
      </c>
      <c r="C394" s="61" t="inlineStr">
        <is>
          <t>R6</t>
        </is>
      </c>
      <c r="D394" s="74" t="inlineStr">
        <is>
          <t>NG</t>
        </is>
      </c>
      <c r="E394" s="61" t="inlineStr">
        <is>
          <t>N1</t>
        </is>
      </c>
      <c r="F394" s="61" t="inlineStr">
        <is>
          <t>K052</t>
        </is>
      </c>
      <c r="G394" s="75" t="n">
        <v>7.49</v>
      </c>
      <c r="H394" s="65" t="n"/>
      <c r="I394" s="66" t="n"/>
      <c r="J394" s="67">
        <f>VLOOKUP(C394,Recipes!$A$2:$N$4,10,FALSE())</f>
        <v/>
      </c>
      <c r="K394" s="68">
        <f>VLOOKUP(C394,Recipes!$A$2:$N$4,12,FALSE())</f>
        <v/>
      </c>
      <c r="L394" s="67">
        <f>J394-3*K394</f>
        <v/>
      </c>
      <c r="M394" s="67">
        <f>J394+3*K394</f>
        <v/>
      </c>
      <c r="N394" s="61">
        <f>IF(G394="","",IF(AND(G394&gt;=L394,G394&lt;=M394),"OK","NG"))</f>
        <v/>
      </c>
      <c r="O394" s="69">
        <f>IF(N394="","",IF(N394=D394,1,0))</f>
        <v/>
      </c>
      <c r="P394" s="67">
        <f>IF(G394="","",J394-G394)</f>
        <v/>
      </c>
      <c r="Q394" s="67">
        <f>IF(G394="","",ABS(P394-Components!$D$2))</f>
        <v/>
      </c>
      <c r="R394" s="67">
        <f>IF(G394="","",ABS(P394-Components!$D$3))</f>
        <v/>
      </c>
      <c r="S394" s="67">
        <f>IF(G394="","",ABS(P394-Components!$D$4))</f>
        <v/>
      </c>
      <c r="T394" s="67">
        <f>IF(G394="","",ABS(P394-Components!$D$5))</f>
        <v/>
      </c>
      <c r="U394" s="67">
        <f>IF(G394="","",ABS(P394-Components!$D$6))</f>
        <v/>
      </c>
      <c r="V394" s="67">
        <f>IF(G394="","",ABS(P394-Components!$D$7))</f>
        <v/>
      </c>
      <c r="W394" s="61">
        <f>IF(G394="","",IF(N394="OK","NONE",INDEX({"S1","S2","W1","W2","N1","N2"},MATCH(MIN(Q394:V394),Q394:V394,0))))</f>
        <v/>
      </c>
      <c r="X394" s="69">
        <f>IF(G394="","",IF(W394=E394,1,0))</f>
        <v/>
      </c>
      <c r="Y394" s="70" t="n"/>
    </row>
    <row r="395">
      <c r="A395" s="61" t="n">
        <v>52</v>
      </c>
      <c r="B395" s="62" t="n">
        <v>48</v>
      </c>
      <c r="C395" s="61" t="inlineStr">
        <is>
          <t>R6</t>
        </is>
      </c>
      <c r="D395" s="74" t="inlineStr">
        <is>
          <t>NG</t>
        </is>
      </c>
      <c r="E395" s="61" t="inlineStr">
        <is>
          <t>N1</t>
        </is>
      </c>
      <c r="F395" s="61" t="inlineStr">
        <is>
          <t>K052</t>
        </is>
      </c>
      <c r="G395" s="75" t="n">
        <v>7.43</v>
      </c>
      <c r="H395" s="65" t="n"/>
      <c r="I395" s="66" t="n"/>
      <c r="J395" s="67">
        <f>VLOOKUP(C395,Recipes!$A$2:$N$4,10,FALSE())</f>
        <v/>
      </c>
      <c r="K395" s="68">
        <f>VLOOKUP(C395,Recipes!$A$2:$N$4,12,FALSE())</f>
        <v/>
      </c>
      <c r="L395" s="67">
        <f>J395-3*K395</f>
        <v/>
      </c>
      <c r="M395" s="67">
        <f>J395+3*K395</f>
        <v/>
      </c>
      <c r="N395" s="61">
        <f>IF(G395="","",IF(AND(G395&gt;=L395,G395&lt;=M395),"OK","NG"))</f>
        <v/>
      </c>
      <c r="O395" s="69">
        <f>IF(N395="","",IF(N395=D395,1,0))</f>
        <v/>
      </c>
      <c r="P395" s="67">
        <f>IF(G395="","",J395-G395)</f>
        <v/>
      </c>
      <c r="Q395" s="67">
        <f>IF(G395="","",ABS(P395-Components!$D$2))</f>
        <v/>
      </c>
      <c r="R395" s="67">
        <f>IF(G395="","",ABS(P395-Components!$D$3))</f>
        <v/>
      </c>
      <c r="S395" s="67">
        <f>IF(G395="","",ABS(P395-Components!$D$4))</f>
        <v/>
      </c>
      <c r="T395" s="67">
        <f>IF(G395="","",ABS(P395-Components!$D$5))</f>
        <v/>
      </c>
      <c r="U395" s="67">
        <f>IF(G395="","",ABS(P395-Components!$D$6))</f>
        <v/>
      </c>
      <c r="V395" s="67">
        <f>IF(G395="","",ABS(P395-Components!$D$7))</f>
        <v/>
      </c>
      <c r="W395" s="61">
        <f>IF(G395="","",IF(N395="OK","NONE",INDEX({"S1","S2","W1","W2","N1","N2"},MATCH(MIN(Q395:V395),Q395:V395,0))))</f>
        <v/>
      </c>
      <c r="X395" s="69">
        <f>IF(G395="","",IF(W395=E395,1,0))</f>
        <v/>
      </c>
      <c r="Y395" s="70" t="n"/>
    </row>
    <row r="396">
      <c r="A396" s="61" t="n">
        <v>52</v>
      </c>
      <c r="B396" s="62" t="n">
        <v>48</v>
      </c>
      <c r="C396" s="61" t="inlineStr">
        <is>
          <t>R6</t>
        </is>
      </c>
      <c r="D396" s="74" t="inlineStr">
        <is>
          <t>NG</t>
        </is>
      </c>
      <c r="E396" s="61" t="inlineStr">
        <is>
          <t>N1</t>
        </is>
      </c>
      <c r="F396" s="61" t="inlineStr">
        <is>
          <t>K052</t>
        </is>
      </c>
      <c r="G396" s="75" t="n">
        <v>7.39</v>
      </c>
      <c r="H396" s="65" t="n"/>
      <c r="I396" s="66" t="n"/>
      <c r="J396" s="67">
        <f>VLOOKUP(C396,Recipes!$A$2:$N$4,10,FALSE())</f>
        <v/>
      </c>
      <c r="K396" s="68">
        <f>VLOOKUP(C396,Recipes!$A$2:$N$4,12,FALSE())</f>
        <v/>
      </c>
      <c r="L396" s="67">
        <f>J396-3*K396</f>
        <v/>
      </c>
      <c r="M396" s="67">
        <f>J396+3*K396</f>
        <v/>
      </c>
      <c r="N396" s="61">
        <f>IF(G396="","",IF(AND(G396&gt;=L396,G396&lt;=M396),"OK","NG"))</f>
        <v/>
      </c>
      <c r="O396" s="69">
        <f>IF(N396="","",IF(N396=D396,1,0))</f>
        <v/>
      </c>
      <c r="P396" s="67">
        <f>IF(G396="","",J396-G396)</f>
        <v/>
      </c>
      <c r="Q396" s="67">
        <f>IF(G396="","",ABS(P396-Components!$D$2))</f>
        <v/>
      </c>
      <c r="R396" s="67">
        <f>IF(G396="","",ABS(P396-Components!$D$3))</f>
        <v/>
      </c>
      <c r="S396" s="67">
        <f>IF(G396="","",ABS(P396-Components!$D$4))</f>
        <v/>
      </c>
      <c r="T396" s="67">
        <f>IF(G396="","",ABS(P396-Components!$D$5))</f>
        <v/>
      </c>
      <c r="U396" s="67">
        <f>IF(G396="","",ABS(P396-Components!$D$6))</f>
        <v/>
      </c>
      <c r="V396" s="67">
        <f>IF(G396="","",ABS(P396-Components!$D$7))</f>
        <v/>
      </c>
      <c r="W396" s="61">
        <f>IF(G396="","",IF(N396="OK","NONE",INDEX({"S1","S2","W1","W2","N1","N2"},MATCH(MIN(Q396:V396),Q396:V396,0))))</f>
        <v/>
      </c>
      <c r="X396" s="69">
        <f>IF(G396="","",IF(W396=E396,1,0))</f>
        <v/>
      </c>
      <c r="Y396" s="70" t="n"/>
    </row>
    <row r="397">
      <c r="A397" s="61" t="n">
        <v>52</v>
      </c>
      <c r="B397" s="62" t="n">
        <v>48</v>
      </c>
      <c r="C397" s="61" t="inlineStr">
        <is>
          <t>R6</t>
        </is>
      </c>
      <c r="D397" s="74" t="inlineStr">
        <is>
          <t>NG</t>
        </is>
      </c>
      <c r="E397" s="61" t="inlineStr">
        <is>
          <t>N1</t>
        </is>
      </c>
      <c r="F397" s="61" t="inlineStr">
        <is>
          <t>K052</t>
        </is>
      </c>
      <c r="G397" s="75" t="n">
        <v>7.49</v>
      </c>
      <c r="H397" s="65" t="n"/>
      <c r="I397" s="66" t="n"/>
      <c r="J397" s="67">
        <f>VLOOKUP(C397,Recipes!$A$2:$N$4,10,FALSE())</f>
        <v/>
      </c>
      <c r="K397" s="68">
        <f>VLOOKUP(C397,Recipes!$A$2:$N$4,12,FALSE())</f>
        <v/>
      </c>
      <c r="L397" s="67">
        <f>J397-3*K397</f>
        <v/>
      </c>
      <c r="M397" s="67">
        <f>J397+3*K397</f>
        <v/>
      </c>
      <c r="N397" s="61">
        <f>IF(G397="","",IF(AND(G397&gt;=L397,G397&lt;=M397),"OK","NG"))</f>
        <v/>
      </c>
      <c r="O397" s="69">
        <f>IF(N397="","",IF(N397=D397,1,0))</f>
        <v/>
      </c>
      <c r="P397" s="67">
        <f>IF(G397="","",J397-G397)</f>
        <v/>
      </c>
      <c r="Q397" s="67">
        <f>IF(G397="","",ABS(P397-Components!$D$2))</f>
        <v/>
      </c>
      <c r="R397" s="67">
        <f>IF(G397="","",ABS(P397-Components!$D$3))</f>
        <v/>
      </c>
      <c r="S397" s="67">
        <f>IF(G397="","",ABS(P397-Components!$D$4))</f>
        <v/>
      </c>
      <c r="T397" s="67">
        <f>IF(G397="","",ABS(P397-Components!$D$5))</f>
        <v/>
      </c>
      <c r="U397" s="67">
        <f>IF(G397="","",ABS(P397-Components!$D$6))</f>
        <v/>
      </c>
      <c r="V397" s="67">
        <f>IF(G397="","",ABS(P397-Components!$D$7))</f>
        <v/>
      </c>
      <c r="W397" s="61">
        <f>IF(G397="","",IF(N397="OK","NONE",INDEX({"S1","S2","W1","W2","N1","N2"},MATCH(MIN(Q397:V397),Q397:V397,0))))</f>
        <v/>
      </c>
      <c r="X397" s="69">
        <f>IF(G397="","",IF(W397=E397,1,0))</f>
        <v/>
      </c>
      <c r="Y397" s="70" t="n"/>
    </row>
    <row r="398">
      <c r="A398" s="61" t="n">
        <v>52</v>
      </c>
      <c r="B398" s="62" t="n">
        <v>48</v>
      </c>
      <c r="C398" s="61" t="inlineStr">
        <is>
          <t>R6</t>
        </is>
      </c>
      <c r="D398" s="74" t="inlineStr">
        <is>
          <t>NG</t>
        </is>
      </c>
      <c r="E398" s="61" t="inlineStr">
        <is>
          <t>N1</t>
        </is>
      </c>
      <c r="F398" s="61" t="inlineStr">
        <is>
          <t>K052</t>
        </is>
      </c>
      <c r="G398" s="75" t="n">
        <v>7.48</v>
      </c>
      <c r="H398" s="65" t="n"/>
      <c r="I398" s="66" t="n"/>
      <c r="J398" s="67">
        <f>VLOOKUP(C398,Recipes!$A$2:$N$4,10,FALSE())</f>
        <v/>
      </c>
      <c r="K398" s="68">
        <f>VLOOKUP(C398,Recipes!$A$2:$N$4,12,FALSE())</f>
        <v/>
      </c>
      <c r="L398" s="67">
        <f>J398-3*K398</f>
        <v/>
      </c>
      <c r="M398" s="67">
        <f>J398+3*K398</f>
        <v/>
      </c>
      <c r="N398" s="61">
        <f>IF(G398="","",IF(AND(G398&gt;=L398,G398&lt;=M398),"OK","NG"))</f>
        <v/>
      </c>
      <c r="O398" s="69">
        <f>IF(N398="","",IF(N398=D398,1,0))</f>
        <v/>
      </c>
      <c r="P398" s="67">
        <f>IF(G398="","",J398-G398)</f>
        <v/>
      </c>
      <c r="Q398" s="67">
        <f>IF(G398="","",ABS(P398-Components!$D$2))</f>
        <v/>
      </c>
      <c r="R398" s="67">
        <f>IF(G398="","",ABS(P398-Components!$D$3))</f>
        <v/>
      </c>
      <c r="S398" s="67">
        <f>IF(G398="","",ABS(P398-Components!$D$4))</f>
        <v/>
      </c>
      <c r="T398" s="67">
        <f>IF(G398="","",ABS(P398-Components!$D$5))</f>
        <v/>
      </c>
      <c r="U398" s="67">
        <f>IF(G398="","",ABS(P398-Components!$D$6))</f>
        <v/>
      </c>
      <c r="V398" s="67">
        <f>IF(G398="","",ABS(P398-Components!$D$7))</f>
        <v/>
      </c>
      <c r="W398" s="61">
        <f>IF(G398="","",IF(N398="OK","NONE",INDEX({"S1","S2","W1","W2","N1","N2"},MATCH(MIN(Q398:V398),Q398:V398,0))))</f>
        <v/>
      </c>
      <c r="X398" s="69">
        <f>IF(G398="","",IF(W398=E398,1,0))</f>
        <v/>
      </c>
      <c r="Y398" s="70" t="n"/>
    </row>
    <row r="399">
      <c r="A399" s="61" t="n">
        <v>52</v>
      </c>
      <c r="B399" s="62" t="n">
        <v>48</v>
      </c>
      <c r="C399" s="61" t="inlineStr">
        <is>
          <t>R6</t>
        </is>
      </c>
      <c r="D399" s="74" t="inlineStr">
        <is>
          <t>NG</t>
        </is>
      </c>
      <c r="E399" s="61" t="inlineStr">
        <is>
          <t>N1</t>
        </is>
      </c>
      <c r="F399" s="61" t="inlineStr">
        <is>
          <t>K052</t>
        </is>
      </c>
      <c r="G399" s="75" t="n">
        <v>7.46</v>
      </c>
      <c r="H399" s="65" t="n"/>
      <c r="I399" s="66" t="n"/>
      <c r="J399" s="67">
        <f>VLOOKUP(C399,Recipes!$A$2:$N$4,10,FALSE())</f>
        <v/>
      </c>
      <c r="K399" s="68">
        <f>VLOOKUP(C399,Recipes!$A$2:$N$4,12,FALSE())</f>
        <v/>
      </c>
      <c r="L399" s="67">
        <f>J399-3*K399</f>
        <v/>
      </c>
      <c r="M399" s="67">
        <f>J399+3*K399</f>
        <v/>
      </c>
      <c r="N399" s="61">
        <f>IF(G399="","",IF(AND(G399&gt;=L399,G399&lt;=M399),"OK","NG"))</f>
        <v/>
      </c>
      <c r="O399" s="69">
        <f>IF(N399="","",IF(N399=D399,1,0))</f>
        <v/>
      </c>
      <c r="P399" s="67">
        <f>IF(G399="","",J399-G399)</f>
        <v/>
      </c>
      <c r="Q399" s="67">
        <f>IF(G399="","",ABS(P399-Components!$D$2))</f>
        <v/>
      </c>
      <c r="R399" s="67">
        <f>IF(G399="","",ABS(P399-Components!$D$3))</f>
        <v/>
      </c>
      <c r="S399" s="67">
        <f>IF(G399="","",ABS(P399-Components!$D$4))</f>
        <v/>
      </c>
      <c r="T399" s="67">
        <f>IF(G399="","",ABS(P399-Components!$D$5))</f>
        <v/>
      </c>
      <c r="U399" s="67">
        <f>IF(G399="","",ABS(P399-Components!$D$6))</f>
        <v/>
      </c>
      <c r="V399" s="67">
        <f>IF(G399="","",ABS(P399-Components!$D$7))</f>
        <v/>
      </c>
      <c r="W399" s="61">
        <f>IF(G399="","",IF(N399="OK","NONE",INDEX({"S1","S2","W1","W2","N1","N2"},MATCH(MIN(Q399:V399),Q399:V399,0))))</f>
        <v/>
      </c>
      <c r="X399" s="69">
        <f>IF(G399="","",IF(W399=E399,1,0))</f>
        <v/>
      </c>
      <c r="Y399" s="70" t="n"/>
    </row>
    <row r="400">
      <c r="A400" s="61" t="n">
        <v>52</v>
      </c>
      <c r="B400" s="62" t="n">
        <v>48</v>
      </c>
      <c r="C400" s="61" t="inlineStr">
        <is>
          <t>R6</t>
        </is>
      </c>
      <c r="D400" s="74" t="inlineStr">
        <is>
          <t>NG</t>
        </is>
      </c>
      <c r="E400" s="61" t="inlineStr">
        <is>
          <t>N1</t>
        </is>
      </c>
      <c r="F400" s="61" t="inlineStr">
        <is>
          <t>K052</t>
        </is>
      </c>
      <c r="G400" s="75" t="n">
        <v>7.48</v>
      </c>
      <c r="H400" s="65" t="n"/>
      <c r="I400" s="66" t="n"/>
      <c r="J400" s="67">
        <f>VLOOKUP(C400,Recipes!$A$2:$N$4,10,FALSE())</f>
        <v/>
      </c>
      <c r="K400" s="68">
        <f>VLOOKUP(C400,Recipes!$A$2:$N$4,12,FALSE())</f>
        <v/>
      </c>
      <c r="L400" s="67">
        <f>J400-3*K400</f>
        <v/>
      </c>
      <c r="M400" s="67">
        <f>J400+3*K400</f>
        <v/>
      </c>
      <c r="N400" s="61">
        <f>IF(G400="","",IF(AND(G400&gt;=L400,G400&lt;=M400),"OK","NG"))</f>
        <v/>
      </c>
      <c r="O400" s="69">
        <f>IF(N400="","",IF(N400=D400,1,0))</f>
        <v/>
      </c>
      <c r="P400" s="67">
        <f>IF(G400="","",J400-G400)</f>
        <v/>
      </c>
      <c r="Q400" s="67">
        <f>IF(G400="","",ABS(P400-Components!$D$2))</f>
        <v/>
      </c>
      <c r="R400" s="67">
        <f>IF(G400="","",ABS(P400-Components!$D$3))</f>
        <v/>
      </c>
      <c r="S400" s="67">
        <f>IF(G400="","",ABS(P400-Components!$D$4))</f>
        <v/>
      </c>
      <c r="T400" s="67">
        <f>IF(G400="","",ABS(P400-Components!$D$5))</f>
        <v/>
      </c>
      <c r="U400" s="67">
        <f>IF(G400="","",ABS(P400-Components!$D$6))</f>
        <v/>
      </c>
      <c r="V400" s="67">
        <f>IF(G400="","",ABS(P400-Components!$D$7))</f>
        <v/>
      </c>
      <c r="W400" s="61">
        <f>IF(G400="","",IF(N400="OK","NONE",INDEX({"S1","S2","W1","W2","N1","N2"},MATCH(MIN(Q400:V400),Q400:V400,0))))</f>
        <v/>
      </c>
      <c r="X400" s="69">
        <f>IF(G400="","",IF(W400=E400,1,0))</f>
        <v/>
      </c>
      <c r="Y400" s="70" t="n"/>
    </row>
    <row r="401">
      <c r="A401" s="61" t="n">
        <v>52</v>
      </c>
      <c r="B401" s="62" t="n">
        <v>48</v>
      </c>
      <c r="C401" s="61" t="inlineStr">
        <is>
          <t>R6</t>
        </is>
      </c>
      <c r="D401" s="74" t="inlineStr">
        <is>
          <t>NG</t>
        </is>
      </c>
      <c r="E401" s="61" t="inlineStr">
        <is>
          <t>N1</t>
        </is>
      </c>
      <c r="F401" s="61" t="inlineStr">
        <is>
          <t>K052</t>
        </is>
      </c>
      <c r="G401" s="75" t="n">
        <v>7.45</v>
      </c>
      <c r="H401" s="65" t="n"/>
      <c r="I401" s="66" t="n"/>
      <c r="J401" s="67">
        <f>VLOOKUP(C401,Recipes!$A$2:$N$4,10,FALSE())</f>
        <v/>
      </c>
      <c r="K401" s="68">
        <f>VLOOKUP(C401,Recipes!$A$2:$N$4,12,FALSE())</f>
        <v/>
      </c>
      <c r="L401" s="67">
        <f>J401-3*K401</f>
        <v/>
      </c>
      <c r="M401" s="67">
        <f>J401+3*K401</f>
        <v/>
      </c>
      <c r="N401" s="61">
        <f>IF(G401="","",IF(AND(G401&gt;=L401,G401&lt;=M401),"OK","NG"))</f>
        <v/>
      </c>
      <c r="O401" s="69">
        <f>IF(N401="","",IF(N401=D401,1,0))</f>
        <v/>
      </c>
      <c r="P401" s="67">
        <f>IF(G401="","",J401-G401)</f>
        <v/>
      </c>
      <c r="Q401" s="67">
        <f>IF(G401="","",ABS(P401-Components!$D$2))</f>
        <v/>
      </c>
      <c r="R401" s="67">
        <f>IF(G401="","",ABS(P401-Components!$D$3))</f>
        <v/>
      </c>
      <c r="S401" s="67">
        <f>IF(G401="","",ABS(P401-Components!$D$4))</f>
        <v/>
      </c>
      <c r="T401" s="67">
        <f>IF(G401="","",ABS(P401-Components!$D$5))</f>
        <v/>
      </c>
      <c r="U401" s="67">
        <f>IF(G401="","",ABS(P401-Components!$D$6))</f>
        <v/>
      </c>
      <c r="V401" s="67">
        <f>IF(G401="","",ABS(P401-Components!$D$7))</f>
        <v/>
      </c>
      <c r="W401" s="61">
        <f>IF(G401="","",IF(N401="OK","NONE",INDEX({"S1","S2","W1","W2","N1","N2"},MATCH(MIN(Q401:V401),Q401:V401,0))))</f>
        <v/>
      </c>
      <c r="X401" s="69">
        <f>IF(G401="","",IF(W401=E401,1,0))</f>
        <v/>
      </c>
      <c r="Y401" s="70" t="n"/>
    </row>
    <row r="402">
      <c r="A402" s="61" t="n">
        <v>52</v>
      </c>
      <c r="B402" s="62" t="n">
        <v>48</v>
      </c>
      <c r="C402" s="61" t="inlineStr">
        <is>
          <t>R6</t>
        </is>
      </c>
      <c r="D402" s="74" t="inlineStr">
        <is>
          <t>NG</t>
        </is>
      </c>
      <c r="E402" s="61" t="inlineStr">
        <is>
          <t>N1</t>
        </is>
      </c>
      <c r="F402" s="61" t="inlineStr">
        <is>
          <t>K052</t>
        </is>
      </c>
      <c r="G402" s="75" t="n">
        <v>7.43</v>
      </c>
      <c r="H402" s="65" t="n"/>
      <c r="I402" s="66" t="n"/>
      <c r="J402" s="67">
        <f>VLOOKUP(C402,Recipes!$A$2:$N$4,10,FALSE())</f>
        <v/>
      </c>
      <c r="K402" s="68">
        <f>VLOOKUP(C402,Recipes!$A$2:$N$4,12,FALSE())</f>
        <v/>
      </c>
      <c r="L402" s="67">
        <f>J402-3*K402</f>
        <v/>
      </c>
      <c r="M402" s="67">
        <f>J402+3*K402</f>
        <v/>
      </c>
      <c r="N402" s="61">
        <f>IF(G402="","",IF(AND(G402&gt;=L402,G402&lt;=M402),"OK","NG"))</f>
        <v/>
      </c>
      <c r="O402" s="69">
        <f>IF(N402="","",IF(N402=D402,1,0))</f>
        <v/>
      </c>
      <c r="P402" s="67">
        <f>IF(G402="","",J402-G402)</f>
        <v/>
      </c>
      <c r="Q402" s="67">
        <f>IF(G402="","",ABS(P402-Components!$D$2))</f>
        <v/>
      </c>
      <c r="R402" s="67">
        <f>IF(G402="","",ABS(P402-Components!$D$3))</f>
        <v/>
      </c>
      <c r="S402" s="67">
        <f>IF(G402="","",ABS(P402-Components!$D$4))</f>
        <v/>
      </c>
      <c r="T402" s="67">
        <f>IF(G402="","",ABS(P402-Components!$D$5))</f>
        <v/>
      </c>
      <c r="U402" s="67">
        <f>IF(G402="","",ABS(P402-Components!$D$6))</f>
        <v/>
      </c>
      <c r="V402" s="67">
        <f>IF(G402="","",ABS(P402-Components!$D$7))</f>
        <v/>
      </c>
      <c r="W402" s="61">
        <f>IF(G402="","",IF(N402="OK","NONE",INDEX({"S1","S2","W1","W2","N1","N2"},MATCH(MIN(Q402:V402),Q402:V402,0))))</f>
        <v/>
      </c>
      <c r="X402" s="69">
        <f>IF(G402="","",IF(W402=E402,1,0))</f>
        <v/>
      </c>
      <c r="Y402" s="70" t="n"/>
    </row>
    <row r="403">
      <c r="A403" s="61" t="n">
        <v>52</v>
      </c>
      <c r="B403" s="62" t="n">
        <v>48</v>
      </c>
      <c r="C403" s="61" t="inlineStr">
        <is>
          <t>R6</t>
        </is>
      </c>
      <c r="D403" s="74" t="inlineStr">
        <is>
          <t>NG</t>
        </is>
      </c>
      <c r="E403" s="61" t="inlineStr">
        <is>
          <t>N1</t>
        </is>
      </c>
      <c r="F403" s="61" t="inlineStr">
        <is>
          <t>K052</t>
        </is>
      </c>
      <c r="G403" s="75" t="n">
        <v>7.48</v>
      </c>
      <c r="H403" s="65" t="n"/>
      <c r="I403" s="66" t="n"/>
      <c r="J403" s="67">
        <f>VLOOKUP(C403,Recipes!$A$2:$N$4,10,FALSE())</f>
        <v/>
      </c>
      <c r="K403" s="68">
        <f>VLOOKUP(C403,Recipes!$A$2:$N$4,12,FALSE())</f>
        <v/>
      </c>
      <c r="L403" s="67">
        <f>J403-3*K403</f>
        <v/>
      </c>
      <c r="M403" s="67">
        <f>J403+3*K403</f>
        <v/>
      </c>
      <c r="N403" s="61">
        <f>IF(G403="","",IF(AND(G403&gt;=L403,G403&lt;=M403),"OK","NG"))</f>
        <v/>
      </c>
      <c r="O403" s="69">
        <f>IF(N403="","",IF(N403=D403,1,0))</f>
        <v/>
      </c>
      <c r="P403" s="67">
        <f>IF(G403="","",J403-G403)</f>
        <v/>
      </c>
      <c r="Q403" s="67">
        <f>IF(G403="","",ABS(P403-Components!$D$2))</f>
        <v/>
      </c>
      <c r="R403" s="67">
        <f>IF(G403="","",ABS(P403-Components!$D$3))</f>
        <v/>
      </c>
      <c r="S403" s="67">
        <f>IF(G403="","",ABS(P403-Components!$D$4))</f>
        <v/>
      </c>
      <c r="T403" s="67">
        <f>IF(G403="","",ABS(P403-Components!$D$5))</f>
        <v/>
      </c>
      <c r="U403" s="67">
        <f>IF(G403="","",ABS(P403-Components!$D$6))</f>
        <v/>
      </c>
      <c r="V403" s="67">
        <f>IF(G403="","",ABS(P403-Components!$D$7))</f>
        <v/>
      </c>
      <c r="W403" s="61">
        <f>IF(G403="","",IF(N403="OK","NONE",INDEX({"S1","S2","W1","W2","N1","N2"},MATCH(MIN(Q403:V403),Q403:V403,0))))</f>
        <v/>
      </c>
      <c r="X403" s="69">
        <f>IF(G403="","",IF(W403=E403,1,0))</f>
        <v/>
      </c>
      <c r="Y403" s="70" t="n"/>
    </row>
    <row r="404">
      <c r="A404" s="61" t="n">
        <v>52</v>
      </c>
      <c r="B404" s="62" t="n">
        <v>48</v>
      </c>
      <c r="C404" s="61" t="inlineStr">
        <is>
          <t>R6</t>
        </is>
      </c>
      <c r="D404" s="74" t="inlineStr">
        <is>
          <t>NG</t>
        </is>
      </c>
      <c r="E404" s="61" t="inlineStr">
        <is>
          <t>N1</t>
        </is>
      </c>
      <c r="F404" s="61" t="inlineStr">
        <is>
          <t>K052</t>
        </is>
      </c>
      <c r="G404" s="75" t="n">
        <v>7.46</v>
      </c>
      <c r="H404" s="65" t="n"/>
      <c r="I404" s="66" t="n"/>
      <c r="J404" s="67">
        <f>VLOOKUP(C404,Recipes!$A$2:$N$4,10,FALSE())</f>
        <v/>
      </c>
      <c r="K404" s="68">
        <f>VLOOKUP(C404,Recipes!$A$2:$N$4,12,FALSE())</f>
        <v/>
      </c>
      <c r="L404" s="67">
        <f>J404-3*K404</f>
        <v/>
      </c>
      <c r="M404" s="67">
        <f>J404+3*K404</f>
        <v/>
      </c>
      <c r="N404" s="61">
        <f>IF(G404="","",IF(AND(G404&gt;=L404,G404&lt;=M404),"OK","NG"))</f>
        <v/>
      </c>
      <c r="O404" s="69">
        <f>IF(N404="","",IF(N404=D404,1,0))</f>
        <v/>
      </c>
      <c r="P404" s="67">
        <f>IF(G404="","",J404-G404)</f>
        <v/>
      </c>
      <c r="Q404" s="67">
        <f>IF(G404="","",ABS(P404-Components!$D$2))</f>
        <v/>
      </c>
      <c r="R404" s="67">
        <f>IF(G404="","",ABS(P404-Components!$D$3))</f>
        <v/>
      </c>
      <c r="S404" s="67">
        <f>IF(G404="","",ABS(P404-Components!$D$4))</f>
        <v/>
      </c>
      <c r="T404" s="67">
        <f>IF(G404="","",ABS(P404-Components!$D$5))</f>
        <v/>
      </c>
      <c r="U404" s="67">
        <f>IF(G404="","",ABS(P404-Components!$D$6))</f>
        <v/>
      </c>
      <c r="V404" s="67">
        <f>IF(G404="","",ABS(P404-Components!$D$7))</f>
        <v/>
      </c>
      <c r="W404" s="61">
        <f>IF(G404="","",IF(N404="OK","NONE",INDEX({"S1","S2","W1","W2","N1","N2"},MATCH(MIN(Q404:V404),Q404:V404,0))))</f>
        <v/>
      </c>
      <c r="X404" s="69">
        <f>IF(G404="","",IF(W404=E404,1,0))</f>
        <v/>
      </c>
      <c r="Y404" s="70" t="n"/>
    </row>
    <row r="405">
      <c r="A405" s="61" t="n">
        <v>52</v>
      </c>
      <c r="B405" s="62" t="n">
        <v>48</v>
      </c>
      <c r="C405" s="61" t="inlineStr">
        <is>
          <t>R6</t>
        </is>
      </c>
      <c r="D405" s="74" t="inlineStr">
        <is>
          <t>NG</t>
        </is>
      </c>
      <c r="E405" s="61" t="inlineStr">
        <is>
          <t>N1</t>
        </is>
      </c>
      <c r="F405" s="61" t="inlineStr">
        <is>
          <t>K052</t>
        </is>
      </c>
      <c r="G405" s="75" t="n">
        <v>7.47</v>
      </c>
      <c r="H405" s="65" t="n"/>
      <c r="I405" s="66" t="n"/>
      <c r="J405" s="67">
        <f>VLOOKUP(C405,Recipes!$A$2:$N$4,10,FALSE())</f>
        <v/>
      </c>
      <c r="K405" s="68">
        <f>VLOOKUP(C405,Recipes!$A$2:$N$4,12,FALSE())</f>
        <v/>
      </c>
      <c r="L405" s="67">
        <f>J405-3*K405</f>
        <v/>
      </c>
      <c r="M405" s="67">
        <f>J405+3*K405</f>
        <v/>
      </c>
      <c r="N405" s="61">
        <f>IF(G405="","",IF(AND(G405&gt;=L405,G405&lt;=M405),"OK","NG"))</f>
        <v/>
      </c>
      <c r="O405" s="69">
        <f>IF(N405="","",IF(N405=D405,1,0))</f>
        <v/>
      </c>
      <c r="P405" s="67">
        <f>IF(G405="","",J405-G405)</f>
        <v/>
      </c>
      <c r="Q405" s="67">
        <f>IF(G405="","",ABS(P405-Components!$D$2))</f>
        <v/>
      </c>
      <c r="R405" s="67">
        <f>IF(G405="","",ABS(P405-Components!$D$3))</f>
        <v/>
      </c>
      <c r="S405" s="67">
        <f>IF(G405="","",ABS(P405-Components!$D$4))</f>
        <v/>
      </c>
      <c r="T405" s="67">
        <f>IF(G405="","",ABS(P405-Components!$D$5))</f>
        <v/>
      </c>
      <c r="U405" s="67">
        <f>IF(G405="","",ABS(P405-Components!$D$6))</f>
        <v/>
      </c>
      <c r="V405" s="67">
        <f>IF(G405="","",ABS(P405-Components!$D$7))</f>
        <v/>
      </c>
      <c r="W405" s="61">
        <f>IF(G405="","",IF(N405="OK","NONE",INDEX({"S1","S2","W1","W2","N1","N2"},MATCH(MIN(Q405:V405),Q405:V405,0))))</f>
        <v/>
      </c>
      <c r="X405" s="69">
        <f>IF(G405="","",IF(W405=E405,1,0))</f>
        <v/>
      </c>
      <c r="Y405" s="70" t="n"/>
    </row>
    <row r="406">
      <c r="A406" s="61" t="n">
        <v>52</v>
      </c>
      <c r="B406" s="62" t="n">
        <v>48</v>
      </c>
      <c r="C406" s="61" t="inlineStr">
        <is>
          <t>R6</t>
        </is>
      </c>
      <c r="D406" s="74" t="inlineStr">
        <is>
          <t>NG</t>
        </is>
      </c>
      <c r="E406" s="61" t="inlineStr">
        <is>
          <t>N1</t>
        </is>
      </c>
      <c r="F406" s="61" t="inlineStr">
        <is>
          <t>K052</t>
        </is>
      </c>
      <c r="G406" s="75" t="n">
        <v>7.3</v>
      </c>
      <c r="H406" s="65" t="n"/>
      <c r="I406" s="66" t="n"/>
      <c r="J406" s="67">
        <f>VLOOKUP(C406,Recipes!$A$2:$N$4,10,FALSE())</f>
        <v/>
      </c>
      <c r="K406" s="68">
        <f>VLOOKUP(C406,Recipes!$A$2:$N$4,12,FALSE())</f>
        <v/>
      </c>
      <c r="L406" s="67">
        <f>J406-3*K406</f>
        <v/>
      </c>
      <c r="M406" s="67">
        <f>J406+3*K406</f>
        <v/>
      </c>
      <c r="N406" s="61">
        <f>IF(G406="","",IF(AND(G406&gt;=L406,G406&lt;=M406),"OK","NG"))</f>
        <v/>
      </c>
      <c r="O406" s="69">
        <f>IF(N406="","",IF(N406=D406,1,0))</f>
        <v/>
      </c>
      <c r="P406" s="67">
        <f>IF(G406="","",J406-G406)</f>
        <v/>
      </c>
      <c r="Q406" s="67">
        <f>IF(G406="","",ABS(P406-Components!$D$2))</f>
        <v/>
      </c>
      <c r="R406" s="67">
        <f>IF(G406="","",ABS(P406-Components!$D$3))</f>
        <v/>
      </c>
      <c r="S406" s="67">
        <f>IF(G406="","",ABS(P406-Components!$D$4))</f>
        <v/>
      </c>
      <c r="T406" s="67">
        <f>IF(G406="","",ABS(P406-Components!$D$5))</f>
        <v/>
      </c>
      <c r="U406" s="67">
        <f>IF(G406="","",ABS(P406-Components!$D$6))</f>
        <v/>
      </c>
      <c r="V406" s="67">
        <f>IF(G406="","",ABS(P406-Components!$D$7))</f>
        <v/>
      </c>
      <c r="W406" s="61">
        <f>IF(G406="","",IF(N406="OK","NONE",INDEX({"S1","S2","W1","W2","N1","N2"},MATCH(MIN(Q406:V406),Q406:V406,0))))</f>
        <v/>
      </c>
      <c r="X406" s="71">
        <f>IF(G406="","",IF(W406=E406,1,0))</f>
        <v/>
      </c>
      <c r="Y406" s="70" t="n"/>
    </row>
    <row r="407">
      <c r="A407" s="61" t="n">
        <v>52</v>
      </c>
      <c r="B407" s="62" t="n">
        <v>48</v>
      </c>
      <c r="C407" s="61" t="inlineStr">
        <is>
          <t>R6</t>
        </is>
      </c>
      <c r="D407" s="74" t="inlineStr">
        <is>
          <t>NG</t>
        </is>
      </c>
      <c r="E407" s="61" t="inlineStr">
        <is>
          <t>N1</t>
        </is>
      </c>
      <c r="F407" s="61" t="inlineStr">
        <is>
          <t>K052</t>
        </is>
      </c>
      <c r="G407" s="75" t="n">
        <v>7.44</v>
      </c>
      <c r="H407" s="65" t="n"/>
      <c r="I407" s="66" t="n"/>
      <c r="J407" s="67">
        <f>VLOOKUP(C407,Recipes!$A$2:$N$4,10,FALSE())</f>
        <v/>
      </c>
      <c r="K407" s="68">
        <f>VLOOKUP(C407,Recipes!$A$2:$N$4,12,FALSE())</f>
        <v/>
      </c>
      <c r="L407" s="67">
        <f>J407-3*K407</f>
        <v/>
      </c>
      <c r="M407" s="67">
        <f>J407+3*K407</f>
        <v/>
      </c>
      <c r="N407" s="61">
        <f>IF(G407="","",IF(AND(G407&gt;=L407,G407&lt;=M407),"OK","NG"))</f>
        <v/>
      </c>
      <c r="O407" s="69">
        <f>IF(N407="","",IF(N407=D407,1,0))</f>
        <v/>
      </c>
      <c r="P407" s="67">
        <f>IF(G407="","",J407-G407)</f>
        <v/>
      </c>
      <c r="Q407" s="67">
        <f>IF(G407="","",ABS(P407-Components!$D$2))</f>
        <v/>
      </c>
      <c r="R407" s="67">
        <f>IF(G407="","",ABS(P407-Components!$D$3))</f>
        <v/>
      </c>
      <c r="S407" s="67">
        <f>IF(G407="","",ABS(P407-Components!$D$4))</f>
        <v/>
      </c>
      <c r="T407" s="67">
        <f>IF(G407="","",ABS(P407-Components!$D$5))</f>
        <v/>
      </c>
      <c r="U407" s="67">
        <f>IF(G407="","",ABS(P407-Components!$D$6))</f>
        <v/>
      </c>
      <c r="V407" s="67">
        <f>IF(G407="","",ABS(P407-Components!$D$7))</f>
        <v/>
      </c>
      <c r="W407" s="61">
        <f>IF(G407="","",IF(N407="OK","NONE",INDEX({"S1","S2","W1","W2","N1","N2"},MATCH(MIN(Q407:V407),Q407:V407,0))))</f>
        <v/>
      </c>
      <c r="X407" s="69">
        <f>IF(G407="","",IF(W407=E407,1,0))</f>
        <v/>
      </c>
      <c r="Y407" s="70" t="n"/>
    </row>
    <row r="408">
      <c r="A408" s="61" t="n">
        <v>52</v>
      </c>
      <c r="B408" s="62" t="n">
        <v>48</v>
      </c>
      <c r="C408" s="61" t="inlineStr">
        <is>
          <t>R6</t>
        </is>
      </c>
      <c r="D408" s="74" t="inlineStr">
        <is>
          <t>NG</t>
        </is>
      </c>
      <c r="E408" s="61" t="inlineStr">
        <is>
          <t>N1</t>
        </is>
      </c>
      <c r="F408" s="61" t="inlineStr">
        <is>
          <t>K052</t>
        </is>
      </c>
      <c r="G408" s="75" t="n">
        <v>7.45</v>
      </c>
      <c r="H408" s="65" t="n"/>
      <c r="I408" s="66" t="n"/>
      <c r="J408" s="67">
        <f>VLOOKUP(C408,Recipes!$A$2:$N$4,10,FALSE())</f>
        <v/>
      </c>
      <c r="K408" s="68">
        <f>VLOOKUP(C408,Recipes!$A$2:$N$4,12,FALSE())</f>
        <v/>
      </c>
      <c r="L408" s="67">
        <f>J408-3*K408</f>
        <v/>
      </c>
      <c r="M408" s="67">
        <f>J408+3*K408</f>
        <v/>
      </c>
      <c r="N408" s="61">
        <f>IF(G408="","",IF(AND(G408&gt;=L408,G408&lt;=M408),"OK","NG"))</f>
        <v/>
      </c>
      <c r="O408" s="69">
        <f>IF(N408="","",IF(N408=D408,1,0))</f>
        <v/>
      </c>
      <c r="P408" s="67">
        <f>IF(G408="","",J408-G408)</f>
        <v/>
      </c>
      <c r="Q408" s="67">
        <f>IF(G408="","",ABS(P408-Components!$D$2))</f>
        <v/>
      </c>
      <c r="R408" s="67">
        <f>IF(G408="","",ABS(P408-Components!$D$3))</f>
        <v/>
      </c>
      <c r="S408" s="67">
        <f>IF(G408="","",ABS(P408-Components!$D$4))</f>
        <v/>
      </c>
      <c r="T408" s="67">
        <f>IF(G408="","",ABS(P408-Components!$D$5))</f>
        <v/>
      </c>
      <c r="U408" s="67">
        <f>IF(G408="","",ABS(P408-Components!$D$6))</f>
        <v/>
      </c>
      <c r="V408" s="67">
        <f>IF(G408="","",ABS(P408-Components!$D$7))</f>
        <v/>
      </c>
      <c r="W408" s="61">
        <f>IF(G408="","",IF(N408="OK","NONE",INDEX({"S1","S2","W1","W2","N1","N2"},MATCH(MIN(Q408:V408),Q408:V408,0))))</f>
        <v/>
      </c>
      <c r="X408" s="69">
        <f>IF(G408="","",IF(W408=E408,1,0))</f>
        <v/>
      </c>
      <c r="Y408" s="70" t="n"/>
    </row>
    <row r="409">
      <c r="A409" s="61" t="n">
        <v>52</v>
      </c>
      <c r="B409" s="62" t="n">
        <v>48</v>
      </c>
      <c r="C409" s="61" t="inlineStr">
        <is>
          <t>R6</t>
        </is>
      </c>
      <c r="D409" s="74" t="inlineStr">
        <is>
          <t>NG</t>
        </is>
      </c>
      <c r="E409" s="61" t="inlineStr">
        <is>
          <t>N1</t>
        </is>
      </c>
      <c r="F409" s="61" t="inlineStr">
        <is>
          <t>K052</t>
        </is>
      </c>
      <c r="G409" s="75" t="n">
        <v>7.45</v>
      </c>
      <c r="H409" s="65" t="n"/>
      <c r="I409" s="66" t="n"/>
      <c r="J409" s="67">
        <f>VLOOKUP(C409,Recipes!$A$2:$N$4,10,FALSE())</f>
        <v/>
      </c>
      <c r="K409" s="68">
        <f>VLOOKUP(C409,Recipes!$A$2:$N$4,12,FALSE())</f>
        <v/>
      </c>
      <c r="L409" s="67">
        <f>J409-3*K409</f>
        <v/>
      </c>
      <c r="M409" s="67">
        <f>J409+3*K409</f>
        <v/>
      </c>
      <c r="N409" s="61">
        <f>IF(G409="","",IF(AND(G409&gt;=L409,G409&lt;=M409),"OK","NG"))</f>
        <v/>
      </c>
      <c r="O409" s="69">
        <f>IF(N409="","",IF(N409=D409,1,0))</f>
        <v/>
      </c>
      <c r="P409" s="67">
        <f>IF(G409="","",J409-G409)</f>
        <v/>
      </c>
      <c r="Q409" s="67">
        <f>IF(G409="","",ABS(P409-Components!$D$2))</f>
        <v/>
      </c>
      <c r="R409" s="67">
        <f>IF(G409="","",ABS(P409-Components!$D$3))</f>
        <v/>
      </c>
      <c r="S409" s="67">
        <f>IF(G409="","",ABS(P409-Components!$D$4))</f>
        <v/>
      </c>
      <c r="T409" s="67">
        <f>IF(G409="","",ABS(P409-Components!$D$5))</f>
        <v/>
      </c>
      <c r="U409" s="67">
        <f>IF(G409="","",ABS(P409-Components!$D$6))</f>
        <v/>
      </c>
      <c r="V409" s="67">
        <f>IF(G409="","",ABS(P409-Components!$D$7))</f>
        <v/>
      </c>
      <c r="W409" s="61">
        <f>IF(G409="","",IF(N409="OK","NONE",INDEX({"S1","S2","W1","W2","N1","N2"},MATCH(MIN(Q409:V409),Q409:V409,0))))</f>
        <v/>
      </c>
      <c r="X409" s="69">
        <f>IF(G409="","",IF(W409=E409,1,0))</f>
        <v/>
      </c>
      <c r="Y409" s="70" t="n"/>
    </row>
    <row r="410">
      <c r="A410" s="61" t="n">
        <v>52</v>
      </c>
      <c r="B410" s="62" t="n">
        <v>48</v>
      </c>
      <c r="C410" s="61" t="inlineStr">
        <is>
          <t>R6</t>
        </is>
      </c>
      <c r="D410" s="74" t="inlineStr">
        <is>
          <t>NG</t>
        </is>
      </c>
      <c r="E410" s="61" t="inlineStr">
        <is>
          <t>N1</t>
        </is>
      </c>
      <c r="F410" s="61" t="inlineStr">
        <is>
          <t>K052</t>
        </is>
      </c>
      <c r="G410" s="75" t="n">
        <v>7.44</v>
      </c>
      <c r="H410" s="65" t="n"/>
      <c r="I410" s="66" t="n"/>
      <c r="J410" s="67">
        <f>VLOOKUP(C410,Recipes!$A$2:$N$4,10,FALSE())</f>
        <v/>
      </c>
      <c r="K410" s="68">
        <f>VLOOKUP(C410,Recipes!$A$2:$N$4,12,FALSE())</f>
        <v/>
      </c>
      <c r="L410" s="67">
        <f>J410-3*K410</f>
        <v/>
      </c>
      <c r="M410" s="67">
        <f>J410+3*K410</f>
        <v/>
      </c>
      <c r="N410" s="61">
        <f>IF(G410="","",IF(AND(G410&gt;=L410,G410&lt;=M410),"OK","NG"))</f>
        <v/>
      </c>
      <c r="O410" s="69">
        <f>IF(N410="","",IF(N410=D410,1,0))</f>
        <v/>
      </c>
      <c r="P410" s="67">
        <f>IF(G410="","",J410-G410)</f>
        <v/>
      </c>
      <c r="Q410" s="67">
        <f>IF(G410="","",ABS(P410-Components!$D$2))</f>
        <v/>
      </c>
      <c r="R410" s="67">
        <f>IF(G410="","",ABS(P410-Components!$D$3))</f>
        <v/>
      </c>
      <c r="S410" s="67">
        <f>IF(G410="","",ABS(P410-Components!$D$4))</f>
        <v/>
      </c>
      <c r="T410" s="67">
        <f>IF(G410="","",ABS(P410-Components!$D$5))</f>
        <v/>
      </c>
      <c r="U410" s="67">
        <f>IF(G410="","",ABS(P410-Components!$D$6))</f>
        <v/>
      </c>
      <c r="V410" s="67">
        <f>IF(G410="","",ABS(P410-Components!$D$7))</f>
        <v/>
      </c>
      <c r="W410" s="61">
        <f>IF(G410="","",IF(N410="OK","NONE",INDEX({"S1","S2","W1","W2","N1","N2"},MATCH(MIN(Q410:V410),Q410:V410,0))))</f>
        <v/>
      </c>
      <c r="X410" s="69">
        <f>IF(G410="","",IF(W410=E410,1,0))</f>
        <v/>
      </c>
      <c r="Y410" s="70" t="n"/>
    </row>
    <row r="411">
      <c r="A411" s="61" t="n">
        <v>52</v>
      </c>
      <c r="B411" s="62" t="n">
        <v>48</v>
      </c>
      <c r="C411" s="61" t="inlineStr">
        <is>
          <t>R6</t>
        </is>
      </c>
      <c r="D411" s="74" t="inlineStr">
        <is>
          <t>NG</t>
        </is>
      </c>
      <c r="E411" s="61" t="inlineStr">
        <is>
          <t>N1</t>
        </is>
      </c>
      <c r="F411" s="61" t="inlineStr">
        <is>
          <t>K052</t>
        </is>
      </c>
      <c r="G411" s="75" t="n">
        <v>7.47</v>
      </c>
      <c r="H411" s="65" t="n"/>
      <c r="I411" s="66" t="n"/>
      <c r="J411" s="67">
        <f>VLOOKUP(C411,Recipes!$A$2:$N$4,10,FALSE())</f>
        <v/>
      </c>
      <c r="K411" s="68">
        <f>VLOOKUP(C411,Recipes!$A$2:$N$4,12,FALSE())</f>
        <v/>
      </c>
      <c r="L411" s="67">
        <f>J411-3*K411</f>
        <v/>
      </c>
      <c r="M411" s="67">
        <f>J411+3*K411</f>
        <v/>
      </c>
      <c r="N411" s="61">
        <f>IF(G411="","",IF(AND(G411&gt;=L411,G411&lt;=M411),"OK","NG"))</f>
        <v/>
      </c>
      <c r="O411" s="69">
        <f>IF(N411="","",IF(N411=D411,1,0))</f>
        <v/>
      </c>
      <c r="P411" s="67">
        <f>IF(G411="","",J411-G411)</f>
        <v/>
      </c>
      <c r="Q411" s="67">
        <f>IF(G411="","",ABS(P411-Components!$D$2))</f>
        <v/>
      </c>
      <c r="R411" s="67">
        <f>IF(G411="","",ABS(P411-Components!$D$3))</f>
        <v/>
      </c>
      <c r="S411" s="67">
        <f>IF(G411="","",ABS(P411-Components!$D$4))</f>
        <v/>
      </c>
      <c r="T411" s="67">
        <f>IF(G411="","",ABS(P411-Components!$D$5))</f>
        <v/>
      </c>
      <c r="U411" s="67">
        <f>IF(G411="","",ABS(P411-Components!$D$6))</f>
        <v/>
      </c>
      <c r="V411" s="67">
        <f>IF(G411="","",ABS(P411-Components!$D$7))</f>
        <v/>
      </c>
      <c r="W411" s="61">
        <f>IF(G411="","",IF(N411="OK","NONE",INDEX({"S1","S2","W1","W2","N1","N2"},MATCH(MIN(Q411:V411),Q411:V411,0))))</f>
        <v/>
      </c>
      <c r="X411" s="69">
        <f>IF(G411="","",IF(W411=E411,1,0))</f>
        <v/>
      </c>
      <c r="Y411" s="70" t="n"/>
    </row>
    <row r="412">
      <c r="A412" s="61" t="n">
        <v>52</v>
      </c>
      <c r="B412" s="62" t="n">
        <v>48</v>
      </c>
      <c r="C412" s="61" t="inlineStr">
        <is>
          <t>R6</t>
        </is>
      </c>
      <c r="D412" s="74" t="inlineStr">
        <is>
          <t>NG</t>
        </is>
      </c>
      <c r="E412" s="61" t="inlineStr">
        <is>
          <t>N1</t>
        </is>
      </c>
      <c r="F412" s="61" t="inlineStr">
        <is>
          <t>K052</t>
        </is>
      </c>
      <c r="G412" s="75" t="n">
        <v>7.38</v>
      </c>
      <c r="H412" s="65" t="n"/>
      <c r="I412" s="66" t="n"/>
      <c r="J412" s="67">
        <f>VLOOKUP(C412,Recipes!$A$2:$N$4,10,FALSE())</f>
        <v/>
      </c>
      <c r="K412" s="68">
        <f>VLOOKUP(C412,Recipes!$A$2:$N$4,12,FALSE())</f>
        <v/>
      </c>
      <c r="L412" s="67">
        <f>J412-3*K412</f>
        <v/>
      </c>
      <c r="M412" s="67">
        <f>J412+3*K412</f>
        <v/>
      </c>
      <c r="N412" s="61">
        <f>IF(G412="","",IF(AND(G412&gt;=L412,G412&lt;=M412),"OK","NG"))</f>
        <v/>
      </c>
      <c r="O412" s="69">
        <f>IF(N412="","",IF(N412=D412,1,0))</f>
        <v/>
      </c>
      <c r="P412" s="67">
        <f>IF(G412="","",J412-G412)</f>
        <v/>
      </c>
      <c r="Q412" s="67">
        <f>IF(G412="","",ABS(P412-Components!$D$2))</f>
        <v/>
      </c>
      <c r="R412" s="67">
        <f>IF(G412="","",ABS(P412-Components!$D$3))</f>
        <v/>
      </c>
      <c r="S412" s="67">
        <f>IF(G412="","",ABS(P412-Components!$D$4))</f>
        <v/>
      </c>
      <c r="T412" s="67">
        <f>IF(G412="","",ABS(P412-Components!$D$5))</f>
        <v/>
      </c>
      <c r="U412" s="67">
        <f>IF(G412="","",ABS(P412-Components!$D$6))</f>
        <v/>
      </c>
      <c r="V412" s="67">
        <f>IF(G412="","",ABS(P412-Components!$D$7))</f>
        <v/>
      </c>
      <c r="W412" s="61">
        <f>IF(G412="","",IF(N412="OK","NONE",INDEX({"S1","S2","W1","W2","N1","N2"},MATCH(MIN(Q412:V412),Q412:V412,0))))</f>
        <v/>
      </c>
      <c r="X412" s="69">
        <f>IF(G412="","",IF(W412=E412,1,0))</f>
        <v/>
      </c>
      <c r="Y412" s="70" t="n"/>
    </row>
    <row r="413">
      <c r="A413" s="61" t="n">
        <v>52</v>
      </c>
      <c r="B413" s="62" t="n">
        <v>48</v>
      </c>
      <c r="C413" s="61" t="inlineStr">
        <is>
          <t>R6</t>
        </is>
      </c>
      <c r="D413" s="74" t="inlineStr">
        <is>
          <t>NG</t>
        </is>
      </c>
      <c r="E413" s="61" t="inlineStr">
        <is>
          <t>N1</t>
        </is>
      </c>
      <c r="F413" s="61" t="inlineStr">
        <is>
          <t>K052</t>
        </is>
      </c>
      <c r="G413" s="75" t="n">
        <v>7.45</v>
      </c>
      <c r="H413" s="65" t="n"/>
      <c r="I413" s="66" t="n"/>
      <c r="J413" s="67">
        <f>VLOOKUP(C413,Recipes!$A$2:$N$4,10,FALSE())</f>
        <v/>
      </c>
      <c r="K413" s="68">
        <f>VLOOKUP(C413,Recipes!$A$2:$N$4,12,FALSE())</f>
        <v/>
      </c>
      <c r="L413" s="67">
        <f>J413-3*K413</f>
        <v/>
      </c>
      <c r="M413" s="67">
        <f>J413+3*K413</f>
        <v/>
      </c>
      <c r="N413" s="61">
        <f>IF(G413="","",IF(AND(G413&gt;=L413,G413&lt;=M413),"OK","NG"))</f>
        <v/>
      </c>
      <c r="O413" s="69">
        <f>IF(N413="","",IF(N413=D413,1,0))</f>
        <v/>
      </c>
      <c r="P413" s="67">
        <f>IF(G413="","",J413-G413)</f>
        <v/>
      </c>
      <c r="Q413" s="67">
        <f>IF(G413="","",ABS(P413-Components!$D$2))</f>
        <v/>
      </c>
      <c r="R413" s="67">
        <f>IF(G413="","",ABS(P413-Components!$D$3))</f>
        <v/>
      </c>
      <c r="S413" s="67">
        <f>IF(G413="","",ABS(P413-Components!$D$4))</f>
        <v/>
      </c>
      <c r="T413" s="67">
        <f>IF(G413="","",ABS(P413-Components!$D$5))</f>
        <v/>
      </c>
      <c r="U413" s="67">
        <f>IF(G413="","",ABS(P413-Components!$D$6))</f>
        <v/>
      </c>
      <c r="V413" s="67">
        <f>IF(G413="","",ABS(P413-Components!$D$7))</f>
        <v/>
      </c>
      <c r="W413" s="61">
        <f>IF(G413="","",IF(N413="OK","NONE",INDEX({"S1","S2","W1","W2","N1","N2"},MATCH(MIN(Q413:V413),Q413:V413,0))))</f>
        <v/>
      </c>
      <c r="X413" s="69">
        <f>IF(G413="","",IF(W413=E413,1,0))</f>
        <v/>
      </c>
      <c r="Y413" s="70" t="n"/>
    </row>
    <row r="414">
      <c r="A414" s="61" t="n">
        <v>52</v>
      </c>
      <c r="B414" s="62" t="n">
        <v>48</v>
      </c>
      <c r="C414" s="61" t="inlineStr">
        <is>
          <t>R6</t>
        </is>
      </c>
      <c r="D414" s="74" t="inlineStr">
        <is>
          <t>NG</t>
        </is>
      </c>
      <c r="E414" s="61" t="inlineStr">
        <is>
          <t>N1</t>
        </is>
      </c>
      <c r="F414" s="61" t="inlineStr">
        <is>
          <t>K052</t>
        </is>
      </c>
      <c r="G414" s="75" t="n">
        <v>7.45</v>
      </c>
      <c r="H414" s="65" t="n"/>
      <c r="I414" s="66" t="n"/>
      <c r="J414" s="67">
        <f>VLOOKUP(C414,Recipes!$A$2:$N$4,10,FALSE())</f>
        <v/>
      </c>
      <c r="K414" s="68">
        <f>VLOOKUP(C414,Recipes!$A$2:$N$4,12,FALSE())</f>
        <v/>
      </c>
      <c r="L414" s="67">
        <f>J414-3*K414</f>
        <v/>
      </c>
      <c r="M414" s="67">
        <f>J414+3*K414</f>
        <v/>
      </c>
      <c r="N414" s="61">
        <f>IF(G414="","",IF(AND(G414&gt;=L414,G414&lt;=M414),"OK","NG"))</f>
        <v/>
      </c>
      <c r="O414" s="69">
        <f>IF(N414="","",IF(N414=D414,1,0))</f>
        <v/>
      </c>
      <c r="P414" s="67">
        <f>IF(G414="","",J414-G414)</f>
        <v/>
      </c>
      <c r="Q414" s="67">
        <f>IF(G414="","",ABS(P414-Components!$D$2))</f>
        <v/>
      </c>
      <c r="R414" s="67">
        <f>IF(G414="","",ABS(P414-Components!$D$3))</f>
        <v/>
      </c>
      <c r="S414" s="67">
        <f>IF(G414="","",ABS(P414-Components!$D$4))</f>
        <v/>
      </c>
      <c r="T414" s="67">
        <f>IF(G414="","",ABS(P414-Components!$D$5))</f>
        <v/>
      </c>
      <c r="U414" s="67">
        <f>IF(G414="","",ABS(P414-Components!$D$6))</f>
        <v/>
      </c>
      <c r="V414" s="67">
        <f>IF(G414="","",ABS(P414-Components!$D$7))</f>
        <v/>
      </c>
      <c r="W414" s="61">
        <f>IF(G414="","",IF(N414="OK","NONE",INDEX({"S1","S2","W1","W2","N1","N2"},MATCH(MIN(Q414:V414),Q414:V414,0))))</f>
        <v/>
      </c>
      <c r="X414" s="69">
        <f>IF(G414="","",IF(W414=E414,1,0))</f>
        <v/>
      </c>
      <c r="Y414" s="70" t="n"/>
    </row>
    <row r="415">
      <c r="A415" s="61" t="n">
        <v>52</v>
      </c>
      <c r="B415" s="62" t="n">
        <v>48</v>
      </c>
      <c r="C415" s="61" t="inlineStr">
        <is>
          <t>R6</t>
        </is>
      </c>
      <c r="D415" s="74" t="inlineStr">
        <is>
          <t>NG</t>
        </is>
      </c>
      <c r="E415" s="61" t="inlineStr">
        <is>
          <t>N1</t>
        </is>
      </c>
      <c r="F415" s="61" t="inlineStr">
        <is>
          <t>K052</t>
        </is>
      </c>
      <c r="G415" s="75" t="n">
        <v>7.45</v>
      </c>
      <c r="H415" s="65" t="n"/>
      <c r="I415" s="66" t="n"/>
      <c r="J415" s="67">
        <f>VLOOKUP(C415,Recipes!$A$2:$N$4,10,FALSE())</f>
        <v/>
      </c>
      <c r="K415" s="68">
        <f>VLOOKUP(C415,Recipes!$A$2:$N$4,12,FALSE())</f>
        <v/>
      </c>
      <c r="L415" s="67">
        <f>J415-3*K415</f>
        <v/>
      </c>
      <c r="M415" s="67">
        <f>J415+3*K415</f>
        <v/>
      </c>
      <c r="N415" s="61">
        <f>IF(G415="","",IF(AND(G415&gt;=L415,G415&lt;=M415),"OK","NG"))</f>
        <v/>
      </c>
      <c r="O415" s="69">
        <f>IF(N415="","",IF(N415=D415,1,0))</f>
        <v/>
      </c>
      <c r="P415" s="67">
        <f>IF(G415="","",J415-G415)</f>
        <v/>
      </c>
      <c r="Q415" s="67">
        <f>IF(G415="","",ABS(P415-Components!$D$2))</f>
        <v/>
      </c>
      <c r="R415" s="67">
        <f>IF(G415="","",ABS(P415-Components!$D$3))</f>
        <v/>
      </c>
      <c r="S415" s="67">
        <f>IF(G415="","",ABS(P415-Components!$D$4))</f>
        <v/>
      </c>
      <c r="T415" s="67">
        <f>IF(G415="","",ABS(P415-Components!$D$5))</f>
        <v/>
      </c>
      <c r="U415" s="67">
        <f>IF(G415="","",ABS(P415-Components!$D$6))</f>
        <v/>
      </c>
      <c r="V415" s="67">
        <f>IF(G415="","",ABS(P415-Components!$D$7))</f>
        <v/>
      </c>
      <c r="W415" s="61">
        <f>IF(G415="","",IF(N415="OK","NONE",INDEX({"S1","S2","W1","W2","N1","N2"},MATCH(MIN(Q415:V415),Q415:V415,0))))</f>
        <v/>
      </c>
      <c r="X415" s="69">
        <f>IF(G415="","",IF(W415=E415,1,0))</f>
        <v/>
      </c>
      <c r="Y415" s="70" t="n"/>
    </row>
    <row r="416">
      <c r="A416" s="61" t="n">
        <v>52</v>
      </c>
      <c r="B416" s="62" t="n">
        <v>48</v>
      </c>
      <c r="C416" s="61" t="inlineStr">
        <is>
          <t>R6</t>
        </is>
      </c>
      <c r="D416" s="74" t="inlineStr">
        <is>
          <t>NG</t>
        </is>
      </c>
      <c r="E416" s="61" t="inlineStr">
        <is>
          <t>N1</t>
        </is>
      </c>
      <c r="F416" s="61" t="inlineStr">
        <is>
          <t>K052</t>
        </is>
      </c>
      <c r="G416" s="75" t="n">
        <v>7.44</v>
      </c>
      <c r="H416" s="65" t="n"/>
      <c r="I416" s="66" t="n"/>
      <c r="J416" s="67">
        <f>VLOOKUP(C416,Recipes!$A$2:$N$4,10,FALSE())</f>
        <v/>
      </c>
      <c r="K416" s="68">
        <f>VLOOKUP(C416,Recipes!$A$2:$N$4,12,FALSE())</f>
        <v/>
      </c>
      <c r="L416" s="67">
        <f>J416-3*K416</f>
        <v/>
      </c>
      <c r="M416" s="67">
        <f>J416+3*K416</f>
        <v/>
      </c>
      <c r="N416" s="61">
        <f>IF(G416="","",IF(AND(G416&gt;=L416,G416&lt;=M416),"OK","NG"))</f>
        <v/>
      </c>
      <c r="O416" s="69">
        <f>IF(N416="","",IF(N416=D416,1,0))</f>
        <v/>
      </c>
      <c r="P416" s="67">
        <f>IF(G416="","",J416-G416)</f>
        <v/>
      </c>
      <c r="Q416" s="67">
        <f>IF(G416="","",ABS(P416-Components!$D$2))</f>
        <v/>
      </c>
      <c r="R416" s="67">
        <f>IF(G416="","",ABS(P416-Components!$D$3))</f>
        <v/>
      </c>
      <c r="S416" s="67">
        <f>IF(G416="","",ABS(P416-Components!$D$4))</f>
        <v/>
      </c>
      <c r="T416" s="67">
        <f>IF(G416="","",ABS(P416-Components!$D$5))</f>
        <v/>
      </c>
      <c r="U416" s="67">
        <f>IF(G416="","",ABS(P416-Components!$D$6))</f>
        <v/>
      </c>
      <c r="V416" s="67">
        <f>IF(G416="","",ABS(P416-Components!$D$7))</f>
        <v/>
      </c>
      <c r="W416" s="61">
        <f>IF(G416="","",IF(N416="OK","NONE",INDEX({"S1","S2","W1","W2","N1","N2"},MATCH(MIN(Q416:V416),Q416:V416,0))))</f>
        <v/>
      </c>
      <c r="X416" s="69">
        <f>IF(G416="","",IF(W416=E416,1,0))</f>
        <v/>
      </c>
      <c r="Y416" s="70" t="n"/>
    </row>
    <row r="417">
      <c r="A417" s="61" t="n">
        <v>52</v>
      </c>
      <c r="B417" s="62" t="n">
        <v>48</v>
      </c>
      <c r="C417" s="61" t="inlineStr">
        <is>
          <t>R6</t>
        </is>
      </c>
      <c r="D417" s="74" t="inlineStr">
        <is>
          <t>NG</t>
        </is>
      </c>
      <c r="E417" s="61" t="inlineStr">
        <is>
          <t>N1</t>
        </is>
      </c>
      <c r="F417" s="61" t="inlineStr">
        <is>
          <t>K052</t>
        </is>
      </c>
      <c r="G417" s="64" t="n">
        <v>7.45</v>
      </c>
      <c r="H417" s="65" t="n"/>
      <c r="I417" s="66" t="n"/>
      <c r="J417" s="67">
        <f>VLOOKUP(C417,Recipes!$A$2:$N$4,10,FALSE())</f>
        <v/>
      </c>
      <c r="K417" s="68">
        <f>VLOOKUP(C417,Recipes!$A$2:$N$4,12,FALSE())</f>
        <v/>
      </c>
      <c r="L417" s="67">
        <f>J417-3*K417</f>
        <v/>
      </c>
      <c r="M417" s="67">
        <f>J417+3*K417</f>
        <v/>
      </c>
      <c r="N417" s="61">
        <f>IF(G417="","",IF(AND(G417&gt;=L417,G417&lt;=M417),"OK","NG"))</f>
        <v/>
      </c>
      <c r="O417" s="69">
        <f>IF(N417="","",IF(N417=D417,1,0))</f>
        <v/>
      </c>
      <c r="P417" s="67">
        <f>IF(G417="","",J417-G417)</f>
        <v/>
      </c>
      <c r="Q417" s="67">
        <f>IF(G417="","",ABS(P417-Components!$D$2))</f>
        <v/>
      </c>
      <c r="R417" s="67">
        <f>IF(G417="","",ABS(P417-Components!$D$3))</f>
        <v/>
      </c>
      <c r="S417" s="67">
        <f>IF(G417="","",ABS(P417-Components!$D$4))</f>
        <v/>
      </c>
      <c r="T417" s="67">
        <f>IF(G417="","",ABS(P417-Components!$D$5))</f>
        <v/>
      </c>
      <c r="U417" s="67">
        <f>IF(G417="","",ABS(P417-Components!$D$6))</f>
        <v/>
      </c>
      <c r="V417" s="67">
        <f>IF(G417="","",ABS(P417-Components!$D$7))</f>
        <v/>
      </c>
      <c r="W417" s="61">
        <f>IF(G417="","",IF(N417="OK","NONE",INDEX({"S1","S2","W1","W2","N1","N2"},MATCH(MIN(Q417:V417),Q417:V417,0))))</f>
        <v/>
      </c>
      <c r="X417" s="69">
        <f>IF(G417="","",IF(W417=E417,1,0))</f>
        <v/>
      </c>
      <c r="Y417" s="70" t="n"/>
    </row>
    <row r="418">
      <c r="A418" s="61" t="n">
        <v>53</v>
      </c>
      <c r="B418" s="62" t="n">
        <v>2</v>
      </c>
      <c r="C418" s="61" t="inlineStr">
        <is>
          <t>R6</t>
        </is>
      </c>
      <c r="D418" s="74" t="inlineStr">
        <is>
          <t>NG</t>
        </is>
      </c>
      <c r="E418" s="61" t="inlineStr">
        <is>
          <t>N1</t>
        </is>
      </c>
      <c r="F418" s="61" t="inlineStr">
        <is>
          <t>K053</t>
        </is>
      </c>
      <c r="G418" s="64" t="n">
        <v>7.45</v>
      </c>
      <c r="H418" s="65" t="n"/>
      <c r="I418" s="66" t="n"/>
      <c r="J418" s="67">
        <f>VLOOKUP(C418,Recipes!$A$2:$N$4,10,FALSE())</f>
        <v/>
      </c>
      <c r="K418" s="68">
        <f>VLOOKUP(C418,Recipes!$A$2:$N$4,12,FALSE())</f>
        <v/>
      </c>
      <c r="L418" s="67">
        <f>J418-3*K418</f>
        <v/>
      </c>
      <c r="M418" s="67">
        <f>J418+3*K418</f>
        <v/>
      </c>
      <c r="N418" s="61">
        <f>IF(G418="","",IF(AND(G418&gt;=L418,G418&lt;=M418),"OK","NG"))</f>
        <v/>
      </c>
      <c r="O418" s="69">
        <f>IF(N418="","",IF(N418=D418,1,0))</f>
        <v/>
      </c>
      <c r="P418" s="67">
        <f>IF(G418="","",J418-G418)</f>
        <v/>
      </c>
      <c r="Q418" s="67">
        <f>IF(G418="","",ABS(P418-Components!$D$2))</f>
        <v/>
      </c>
      <c r="R418" s="67">
        <f>IF(G418="","",ABS(P418-Components!$D$3))</f>
        <v/>
      </c>
      <c r="S418" s="67">
        <f>IF(G418="","",ABS(P418-Components!$D$4))</f>
        <v/>
      </c>
      <c r="T418" s="67">
        <f>IF(G418="","",ABS(P418-Components!$D$5))</f>
        <v/>
      </c>
      <c r="U418" s="67">
        <f>IF(G418="","",ABS(P418-Components!$D$6))</f>
        <v/>
      </c>
      <c r="V418" s="67">
        <f>IF(G418="","",ABS(P418-Components!$D$7))</f>
        <v/>
      </c>
      <c r="W418" s="61">
        <f>IF(G418="","",IF(N418="OK","NONE",INDEX({"S1","S2","W1","W2","N1","N2"},MATCH(MIN(Q418:V418),Q418:V418,0))))</f>
        <v/>
      </c>
      <c r="X418" s="69">
        <f>IF(G418="","",IF(W418=E418,1,0))</f>
        <v/>
      </c>
      <c r="Y418" s="70" t="n"/>
    </row>
    <row r="419">
      <c r="A419" s="79" t="n"/>
      <c r="B419" s="80" t="n"/>
      <c r="C419" s="76" t="inlineStr">
        <is>
          <t>R6</t>
        </is>
      </c>
      <c r="D419" s="78" t="inlineStr">
        <is>
          <t>NG</t>
        </is>
      </c>
      <c r="E419" s="76" t="inlineStr">
        <is>
          <t>N1</t>
        </is>
      </c>
      <c r="F419" s="81" t="n"/>
      <c r="G419" s="75" t="n">
        <v>7.44</v>
      </c>
      <c r="H419" s="65" t="n"/>
      <c r="I419" s="66" t="n"/>
      <c r="J419" s="67">
        <f>VLOOKUP(C419,Recipes!$A$2:$N$4,10,FALSE())</f>
        <v/>
      </c>
      <c r="K419" s="68">
        <f>VLOOKUP(C419,Recipes!$A$2:$N$4,12,FALSE())</f>
        <v/>
      </c>
      <c r="L419" s="67">
        <f>J419-3*K419</f>
        <v/>
      </c>
      <c r="M419" s="67">
        <f>J419+3*K419</f>
        <v/>
      </c>
      <c r="N419" s="61">
        <f>IF(G419="","",IF(AND(G419&gt;=L419,G419&lt;=M419),"OK","NG"))</f>
        <v/>
      </c>
      <c r="O419" s="69">
        <f>IF(N419="","",IF(N419=D419,1,0))</f>
        <v/>
      </c>
      <c r="P419" s="67">
        <f>IF(G419="","",J419-G419)</f>
        <v/>
      </c>
      <c r="Q419" s="67">
        <f>IF(G419="","",ABS(P419-Components!$D$2))</f>
        <v/>
      </c>
      <c r="R419" s="67">
        <f>IF(G419="","",ABS(P419-Components!$D$3))</f>
        <v/>
      </c>
      <c r="S419" s="67">
        <f>IF(G419="","",ABS(P419-Components!$D$4))</f>
        <v/>
      </c>
      <c r="T419" s="67">
        <f>IF(G419="","",ABS(P419-Components!$D$5))</f>
        <v/>
      </c>
      <c r="U419" s="67">
        <f>IF(G419="","",ABS(P419-Components!$D$6))</f>
        <v/>
      </c>
      <c r="V419" s="67">
        <f>IF(G419="","",ABS(P419-Components!$D$7))</f>
        <v/>
      </c>
      <c r="W419" s="61">
        <f>IF(G419="","",IF(N419="OK","NONE",INDEX({"S1","S2","W1","W2","N1","N2"},MATCH(MIN(Q419:V419),Q419:V419,0))))</f>
        <v/>
      </c>
      <c r="X419" s="69">
        <f>IF(G419="","",IF(W419=E419,1,0))</f>
        <v/>
      </c>
      <c r="Y419" s="70" t="n"/>
    </row>
    <row r="420">
      <c r="A420" s="79" t="n"/>
      <c r="B420" s="80" t="n"/>
      <c r="C420" s="76" t="inlineStr">
        <is>
          <t>R6</t>
        </is>
      </c>
      <c r="D420" s="78" t="inlineStr">
        <is>
          <t>NG</t>
        </is>
      </c>
      <c r="E420" s="76" t="inlineStr">
        <is>
          <t>N1</t>
        </is>
      </c>
      <c r="F420" s="81" t="n"/>
      <c r="G420" s="75" t="n">
        <v>7.46</v>
      </c>
      <c r="H420" s="65" t="n"/>
      <c r="I420" s="66" t="n"/>
      <c r="J420" s="67">
        <f>VLOOKUP(C420,Recipes!$A$2:$N$4,10,FALSE())</f>
        <v/>
      </c>
      <c r="K420" s="68">
        <f>VLOOKUP(C420,Recipes!$A$2:$N$4,12,FALSE())</f>
        <v/>
      </c>
      <c r="L420" s="67">
        <f>J420-3*K420</f>
        <v/>
      </c>
      <c r="M420" s="67">
        <f>J420+3*K420</f>
        <v/>
      </c>
      <c r="N420" s="61">
        <f>IF(G420="","",IF(AND(G420&gt;=L420,G420&lt;=M420),"OK","NG"))</f>
        <v/>
      </c>
      <c r="O420" s="69">
        <f>IF(N420="","",IF(N420=D420,1,0))</f>
        <v/>
      </c>
      <c r="P420" s="67">
        <f>IF(G420="","",J420-G420)</f>
        <v/>
      </c>
      <c r="Q420" s="67">
        <f>IF(G420="","",ABS(P420-Components!$D$2))</f>
        <v/>
      </c>
      <c r="R420" s="67">
        <f>IF(G420="","",ABS(P420-Components!$D$3))</f>
        <v/>
      </c>
      <c r="S420" s="67">
        <f>IF(G420="","",ABS(P420-Components!$D$4))</f>
        <v/>
      </c>
      <c r="T420" s="67">
        <f>IF(G420="","",ABS(P420-Components!$D$5))</f>
        <v/>
      </c>
      <c r="U420" s="67">
        <f>IF(G420="","",ABS(P420-Components!$D$6))</f>
        <v/>
      </c>
      <c r="V420" s="67">
        <f>IF(G420="","",ABS(P420-Components!$D$7))</f>
        <v/>
      </c>
      <c r="W420" s="61">
        <f>IF(G420="","",IF(N420="OK","NONE",INDEX({"S1","S2","W1","W2","N1","N2"},MATCH(MIN(Q420:V420),Q420:V420,0))))</f>
        <v/>
      </c>
      <c r="X420" s="69">
        <f>IF(G420="","",IF(W420=E420,1,0))</f>
        <v/>
      </c>
      <c r="Y420" s="70" t="n"/>
    </row>
    <row r="421">
      <c r="A421" s="61" t="n">
        <v>52</v>
      </c>
      <c r="B421" s="62" t="n">
        <v>48</v>
      </c>
      <c r="C421" s="61" t="inlineStr">
        <is>
          <t>R6</t>
        </is>
      </c>
      <c r="D421" s="74" t="inlineStr">
        <is>
          <t>NG</t>
        </is>
      </c>
      <c r="E421" s="61" t="inlineStr">
        <is>
          <t>N1</t>
        </is>
      </c>
      <c r="F421" s="61" t="inlineStr">
        <is>
          <t>K052</t>
        </is>
      </c>
      <c r="G421" s="75" t="n">
        <v>7.25</v>
      </c>
      <c r="H421" s="65" t="n"/>
      <c r="I421" s="66" t="n"/>
      <c r="J421" s="67">
        <f>VLOOKUP(C421,Recipes!$A$2:$N$4,10,FALSE())</f>
        <v/>
      </c>
      <c r="K421" s="68">
        <f>VLOOKUP(C421,Recipes!$A$2:$N$4,12,FALSE())</f>
        <v/>
      </c>
      <c r="L421" s="67">
        <f>J421-3*K421</f>
        <v/>
      </c>
      <c r="M421" s="67">
        <f>J421+3*K421</f>
        <v/>
      </c>
      <c r="N421" s="61">
        <f>IF(G421="","",IF(AND(G421&gt;=L421,G421&lt;=M421),"OK","NG"))</f>
        <v/>
      </c>
      <c r="O421" s="69">
        <f>IF(N421="","",IF(N421=D421,1,0))</f>
        <v/>
      </c>
      <c r="P421" s="67">
        <f>IF(G421="","",J421-G421)</f>
        <v/>
      </c>
      <c r="Q421" s="67">
        <f>IF(G421="","",ABS(P421-Components!$D$2))</f>
        <v/>
      </c>
      <c r="R421" s="67">
        <f>IF(G421="","",ABS(P421-Components!$D$3))</f>
        <v/>
      </c>
      <c r="S421" s="67">
        <f>IF(G421="","",ABS(P421-Components!$D$4))</f>
        <v/>
      </c>
      <c r="T421" s="67">
        <f>IF(G421="","",ABS(P421-Components!$D$5))</f>
        <v/>
      </c>
      <c r="U421" s="67">
        <f>IF(G421="","",ABS(P421-Components!$D$6))</f>
        <v/>
      </c>
      <c r="V421" s="67">
        <f>IF(G421="","",ABS(P421-Components!$D$7))</f>
        <v/>
      </c>
      <c r="W421" s="61">
        <f>IF(G421="","",IF(N421="OK","NONE",INDEX({"S1","S2","W1","W2","N1","N2"},MATCH(MIN(Q421:V421),Q421:V421,0))))</f>
        <v/>
      </c>
      <c r="X421" s="71">
        <f>IF(G421="","",IF(W421=E421,1,0))</f>
        <v/>
      </c>
      <c r="Y421" s="70" t="n"/>
    </row>
    <row r="422">
      <c r="A422" s="82" t="n"/>
      <c r="B422" s="83" t="n"/>
      <c r="C422" s="76" t="inlineStr">
        <is>
          <t>R6</t>
        </is>
      </c>
      <c r="D422" s="78" t="inlineStr">
        <is>
          <t>NG</t>
        </is>
      </c>
      <c r="E422" s="76" t="inlineStr">
        <is>
          <t>N1</t>
        </is>
      </c>
      <c r="F422" s="84" t="n"/>
      <c r="G422" s="75" t="n">
        <v>7.47</v>
      </c>
      <c r="H422" s="85" t="n"/>
      <c r="I422" s="86" t="n"/>
      <c r="J422" s="67">
        <f>VLOOKUP(C422,Recipes!$A$2:$N$4,10,FALSE())</f>
        <v/>
      </c>
      <c r="K422" s="68">
        <f>VLOOKUP(C422,Recipes!$A$2:$N$4,12,FALSE())</f>
        <v/>
      </c>
      <c r="L422" s="67">
        <f>J422-3*K422</f>
        <v/>
      </c>
      <c r="M422" s="67">
        <f>J422+3*K422</f>
        <v/>
      </c>
      <c r="N422" s="61">
        <f>IF(G422="","",IF(AND(G422&gt;=L422,G422&lt;=M422),"OK","NG"))</f>
        <v/>
      </c>
      <c r="O422" s="69">
        <f>IF(N422="","",IF(N422=D422,1,0))</f>
        <v/>
      </c>
      <c r="P422" s="67">
        <f>IF(G422="","",J422-G422)</f>
        <v/>
      </c>
      <c r="Q422" s="67">
        <f>IF(G422="","",ABS(P422-Components!$D$2))</f>
        <v/>
      </c>
      <c r="R422" s="67">
        <f>IF(G422="","",ABS(P422-Components!$D$3))</f>
        <v/>
      </c>
      <c r="S422" s="67">
        <f>IF(G422="","",ABS(P422-Components!$D$4))</f>
        <v/>
      </c>
      <c r="T422" s="67">
        <f>IF(G422="","",ABS(P422-Components!$D$5))</f>
        <v/>
      </c>
      <c r="U422" s="67">
        <f>IF(G422="","",ABS(P422-Components!$D$6))</f>
        <v/>
      </c>
      <c r="V422" s="67">
        <f>IF(G422="","",ABS(P422-Components!$D$7))</f>
        <v/>
      </c>
      <c r="W422" s="61">
        <f>IF(G422="","",IF(N422="OK","NONE",INDEX({"S1","S2","W1","W2","N1","N2"},MATCH(MIN(Q422:V422),Q422:V422,0))))</f>
        <v/>
      </c>
      <c r="X422" s="69">
        <f>IF(G422="","",IF(W422=E422,1,0))</f>
        <v/>
      </c>
      <c r="Y422" s="70" t="n"/>
    </row>
    <row r="423">
      <c r="A423" s="5" t="n"/>
      <c r="B423" s="16" t="n"/>
      <c r="C423" s="5" t="n"/>
      <c r="D423" s="5" t="n"/>
      <c r="E423" s="5" t="n"/>
      <c r="F423" s="5" t="n"/>
      <c r="G423" s="17" t="n"/>
      <c r="H423" s="18" t="n"/>
      <c r="I423" s="19" t="n"/>
      <c r="J423" s="13" t="n"/>
      <c r="K423" s="13" t="n"/>
      <c r="L423" s="7" t="n"/>
      <c r="M423" s="7" t="n"/>
      <c r="N423" s="5" t="n"/>
      <c r="O423" s="5" t="n"/>
      <c r="P423" s="7" t="n"/>
      <c r="Q423" s="6" t="n"/>
      <c r="R423" s="6" t="n"/>
      <c r="S423" s="6" t="n"/>
      <c r="T423" s="6" t="n"/>
      <c r="U423" s="6" t="n"/>
      <c r="V423" s="6" t="n"/>
      <c r="W423" s="5" t="n"/>
      <c r="X423" s="5" t="n"/>
    </row>
    <row r="424">
      <c r="A424" s="5" t="n"/>
      <c r="B424" s="16" t="n"/>
      <c r="C424" s="5" t="n"/>
      <c r="D424" s="5" t="n"/>
      <c r="E424" s="5" t="n"/>
      <c r="F424" s="5" t="n"/>
      <c r="G424" s="17" t="n"/>
      <c r="H424" s="18" t="n"/>
      <c r="I424" s="19" t="n"/>
      <c r="J424" s="13" t="n"/>
      <c r="K424" s="13" t="n"/>
      <c r="L424" s="7" t="n"/>
      <c r="M424" s="7" t="n"/>
      <c r="N424" s="5" t="n"/>
      <c r="O424" s="5" t="n"/>
      <c r="P424" s="7" t="n"/>
      <c r="Q424" s="6" t="n"/>
      <c r="R424" s="6" t="n"/>
      <c r="S424" s="6" t="n"/>
      <c r="T424" s="6" t="n"/>
      <c r="U424" s="6" t="n"/>
      <c r="V424" s="6" t="n"/>
      <c r="W424" s="5" t="n"/>
      <c r="X424" s="5" t="n"/>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2:Y424"/>
  <sheetViews>
    <sheetView zoomScale="118" zoomScaleNormal="84" workbookViewId="0">
      <pane ySplit="2" topLeftCell="A3" activePane="bottomLeft" state="frozen"/>
      <selection pane="bottomLeft" activeCell="A2" sqref="A2"/>
    </sheetView>
  </sheetViews>
  <sheetFormatPr baseColWidth="8" defaultColWidth="8.7109375" defaultRowHeight="15"/>
  <cols>
    <col width="8" customWidth="1" style="180" min="1" max="1"/>
    <col width="17" customWidth="1" style="180" min="2" max="2"/>
    <col width="8" customWidth="1" style="180" min="3" max="3"/>
    <col width="11" customWidth="1" style="180" min="4" max="4"/>
    <col width="19" customWidth="1" style="180" min="5" max="5"/>
    <col width="8" customWidth="1" style="180" min="6" max="6"/>
    <col width="19" customWidth="1" style="180" min="7" max="7"/>
    <col width="11" customWidth="1" style="180" min="8" max="8"/>
    <col width="8" customWidth="1" style="180" min="9" max="9"/>
    <col width="17" customWidth="1" style="180" min="10" max="10"/>
    <col width="14" customWidth="1" style="180" min="11" max="11"/>
    <col width="13" customWidth="1" style="180" min="12" max="13"/>
    <col width="17" customWidth="1" style="180" min="14" max="14"/>
    <col width="12" customWidth="1" style="180" min="15" max="15"/>
    <col width="19" customWidth="1" style="180" min="16" max="16"/>
    <col width="10" customWidth="1" style="180" min="17" max="22"/>
    <col width="19" customWidth="1" style="180" min="23" max="23"/>
    <col width="12" customWidth="1" style="180" min="24" max="25"/>
  </cols>
  <sheetData>
    <row r="2" ht="30" customHeight="1" s="180">
      <c r="A2" s="60" t="inlineStr">
        <is>
          <t>run_id</t>
        </is>
      </c>
      <c r="B2" s="60" t="inlineStr">
        <is>
          <t>execution_order</t>
        </is>
      </c>
      <c r="C2" s="60" t="inlineStr">
        <is>
          <t>recipe</t>
        </is>
      </c>
      <c r="D2" s="60" t="inlineStr">
        <is>
          <t>condition</t>
        </is>
      </c>
      <c r="E2" s="60" t="inlineStr">
        <is>
          <t>missing_component</t>
        </is>
      </c>
      <c r="F2" s="60" t="inlineStr">
        <is>
          <t>kit_id</t>
        </is>
      </c>
      <c r="G2" s="60" t="inlineStr">
        <is>
          <t>measured_weight_g</t>
        </is>
      </c>
      <c r="H2" s="60" t="inlineStr">
        <is>
          <t>timestamp</t>
        </is>
      </c>
      <c r="I2" s="60" t="inlineStr">
        <is>
          <t>notes</t>
        </is>
      </c>
      <c r="J2" s="60" t="inlineStr">
        <is>
          <t>expected_weight</t>
        </is>
      </c>
      <c r="K2" s="60" t="inlineStr">
        <is>
          <t>expected_std</t>
        </is>
      </c>
      <c r="L2" s="60" t="inlineStr">
        <is>
          <t>lower_bound</t>
        </is>
      </c>
      <c r="M2" s="60" t="inlineStr">
        <is>
          <t>upper_bound</t>
        </is>
      </c>
      <c r="N2" s="60" t="inlineStr">
        <is>
          <t>predicted_OK_NG</t>
        </is>
      </c>
      <c r="O2" s="60" t="inlineStr">
        <is>
          <t>L1_correct</t>
        </is>
      </c>
      <c r="P2" s="60" t="inlineStr">
        <is>
          <t>deficit</t>
        </is>
      </c>
      <c r="Q2" s="60" t="inlineStr">
        <is>
          <t>match_S1</t>
        </is>
      </c>
      <c r="R2" s="60" t="inlineStr">
        <is>
          <t>match_S2</t>
        </is>
      </c>
      <c r="S2" s="60" t="inlineStr">
        <is>
          <t>match_W1</t>
        </is>
      </c>
      <c r="T2" s="60" t="inlineStr">
        <is>
          <t>match_W2</t>
        </is>
      </c>
      <c r="U2" s="60" t="inlineStr">
        <is>
          <t>match_N1</t>
        </is>
      </c>
      <c r="V2" s="60" t="inlineStr">
        <is>
          <t>match_N2</t>
        </is>
      </c>
      <c r="W2" s="60" t="inlineStr">
        <is>
          <t>predicted_missing</t>
        </is>
      </c>
      <c r="X2" s="60" t="inlineStr">
        <is>
          <t>L2_correct</t>
        </is>
      </c>
      <c r="Y2" s="60" t="inlineStr">
        <is>
          <t>16 errores</t>
        </is>
      </c>
    </row>
    <row r="3">
      <c r="A3" s="61" t="n">
        <v>1</v>
      </c>
      <c r="B3" s="62" t="n">
        <v>31</v>
      </c>
      <c r="C3" s="61" t="inlineStr">
        <is>
          <t>R3</t>
        </is>
      </c>
      <c r="D3" s="63" t="inlineStr">
        <is>
          <t>OK</t>
        </is>
      </c>
      <c r="E3" s="61" t="inlineStr">
        <is>
          <t>NONE</t>
        </is>
      </c>
      <c r="F3" s="61" t="inlineStr">
        <is>
          <t>K001</t>
        </is>
      </c>
      <c r="G3" s="64" t="n">
        <v>9.91</v>
      </c>
      <c r="H3" s="65" t="n"/>
      <c r="I3" s="66" t="n"/>
      <c r="J3" s="67">
        <f>VLOOKUP(C3,Recipes!$A$2:$N$4,10,FALSE())</f>
        <v/>
      </c>
      <c r="K3" s="68">
        <f>VLOOKUP(C3,Recipes!$A$2:$N$4,12,FALSE())</f>
        <v/>
      </c>
      <c r="L3" s="67">
        <f>J3-3.5*K3</f>
        <v/>
      </c>
      <c r="M3" s="67">
        <f>J3+3.5*K3</f>
        <v/>
      </c>
      <c r="N3" s="61">
        <f>IF(G3="","",IF(AND(G3&gt;=L3,G3&lt;=M3),"OK","NG"))</f>
        <v/>
      </c>
      <c r="O3" s="69">
        <f>IF(N3="","",IF(N3=D3,1,0))</f>
        <v/>
      </c>
      <c r="P3" s="67">
        <f>IF(G3="","",J3-G3)</f>
        <v/>
      </c>
      <c r="Q3" s="67">
        <f>IF(G3="","",ABS(P3-Components!$D$2))</f>
        <v/>
      </c>
      <c r="R3" s="67">
        <f>IF(G3="","",ABS(P3-Components!$D$3))</f>
        <v/>
      </c>
      <c r="S3" s="67">
        <f>IF(G3="","",ABS(P3-Components!$D$4))</f>
        <v/>
      </c>
      <c r="T3" s="67">
        <f>IF(G3="","",ABS(P3-Components!$D$5))</f>
        <v/>
      </c>
      <c r="U3" s="67">
        <f>IF(G3="","",ABS(P3-Components!$D$6))</f>
        <v/>
      </c>
      <c r="V3" s="67">
        <f>IF(G3="","",ABS(P3-Components!$D$7))</f>
        <v/>
      </c>
      <c r="W3" s="61">
        <f>IF(G3="","",IF(N3="OK","NONE",INDEX({"S1","S2","W1","W2","N1","N2"},MATCH(MIN(Q3:V3),Q3:V3,0))))</f>
        <v/>
      </c>
      <c r="X3" s="69">
        <f>IF(G3="","",IF(W3=E3,1,0))</f>
        <v/>
      </c>
      <c r="Y3" s="70" t="n"/>
    </row>
    <row r="4">
      <c r="A4" s="61" t="n">
        <v>2</v>
      </c>
      <c r="B4" s="62" t="n">
        <v>24</v>
      </c>
      <c r="C4" s="61" t="inlineStr">
        <is>
          <t>R3</t>
        </is>
      </c>
      <c r="D4" s="63" t="inlineStr">
        <is>
          <t>OK</t>
        </is>
      </c>
      <c r="E4" s="61" t="inlineStr">
        <is>
          <t>NONE</t>
        </is>
      </c>
      <c r="F4" s="61" t="inlineStr">
        <is>
          <t>K002</t>
        </is>
      </c>
      <c r="G4" s="64" t="n">
        <v>10</v>
      </c>
      <c r="H4" s="65" t="n"/>
      <c r="I4" s="66" t="n"/>
      <c r="J4" s="67">
        <f>VLOOKUP(C4,Recipes!$A$2:$N$4,10,FALSE())</f>
        <v/>
      </c>
      <c r="K4" s="68">
        <f>VLOOKUP(C4,Recipes!$A$2:$N$4,12,FALSE())</f>
        <v/>
      </c>
      <c r="L4" s="67">
        <f>J4-3.5*K4</f>
        <v/>
      </c>
      <c r="M4" s="67">
        <f>J4+3.5*K4</f>
        <v/>
      </c>
      <c r="N4" s="61">
        <f>IF(G4="","",IF(AND(G4&gt;=L4,G4&lt;=M4),"OK","NG"))</f>
        <v/>
      </c>
      <c r="O4" s="69">
        <f>IF(N4="","",IF(N4=D4,1,0))</f>
        <v/>
      </c>
      <c r="P4" s="67">
        <f>IF(G4="","",J4-G4)</f>
        <v/>
      </c>
      <c r="Q4" s="67">
        <f>IF(G4="","",ABS(P4-Components!$D$2))</f>
        <v/>
      </c>
      <c r="R4" s="67">
        <f>IF(G4="","",ABS(P4-Components!$D$3))</f>
        <v/>
      </c>
      <c r="S4" s="67">
        <f>IF(G4="","",ABS(P4-Components!$D$4))</f>
        <v/>
      </c>
      <c r="T4" s="67">
        <f>IF(G4="","",ABS(P4-Components!$D$5))</f>
        <v/>
      </c>
      <c r="U4" s="67">
        <f>IF(G4="","",ABS(P4-Components!$D$6))</f>
        <v/>
      </c>
      <c r="V4" s="67">
        <f>IF(G4="","",ABS(P4-Components!$D$7))</f>
        <v/>
      </c>
      <c r="W4" s="61">
        <f>IF(G4="","",IF(N4="OK","NONE",INDEX({"S1","S2","W1","W2","N1","N2"},MATCH(MIN(Q4:V4),Q4:V4,0))))</f>
        <v/>
      </c>
      <c r="X4" s="69">
        <f>IF(G4="","",IF(W4=E4,1,0))</f>
        <v/>
      </c>
      <c r="Y4" s="70" t="n"/>
    </row>
    <row r="5">
      <c r="A5" s="61" t="n">
        <v>3</v>
      </c>
      <c r="B5" s="62" t="n">
        <v>50</v>
      </c>
      <c r="C5" s="61" t="inlineStr">
        <is>
          <t>R3</t>
        </is>
      </c>
      <c r="D5" s="63" t="inlineStr">
        <is>
          <t>OK</t>
        </is>
      </c>
      <c r="E5" s="61" t="inlineStr">
        <is>
          <t>NONE</t>
        </is>
      </c>
      <c r="F5" s="61" t="inlineStr">
        <is>
          <t>K003</t>
        </is>
      </c>
      <c r="G5" s="64" t="n">
        <v>10</v>
      </c>
      <c r="H5" s="65" t="n"/>
      <c r="I5" s="66" t="n"/>
      <c r="J5" s="67">
        <f>VLOOKUP(C5,Recipes!$A$2:$N$4,10,FALSE())</f>
        <v/>
      </c>
      <c r="K5" s="68">
        <f>VLOOKUP(C5,Recipes!$A$2:$N$4,12,FALSE())</f>
        <v/>
      </c>
      <c r="L5" s="67">
        <f>J5-3.5*K5</f>
        <v/>
      </c>
      <c r="M5" s="67">
        <f>J5+3.5*K5</f>
        <v/>
      </c>
      <c r="N5" s="61">
        <f>IF(G5="","",IF(AND(G5&gt;=L5,G5&lt;=M5),"OK","NG"))</f>
        <v/>
      </c>
      <c r="O5" s="69">
        <f>IF(N5="","",IF(N5=D5,1,0))</f>
        <v/>
      </c>
      <c r="P5" s="67">
        <f>IF(G5="","",J5-G5)</f>
        <v/>
      </c>
      <c r="Q5" s="67">
        <f>IF(G5="","",ABS(P5-Components!$D$2))</f>
        <v/>
      </c>
      <c r="R5" s="67">
        <f>IF(G5="","",ABS(P5-Components!$D$3))</f>
        <v/>
      </c>
      <c r="S5" s="67">
        <f>IF(G5="","",ABS(P5-Components!$D$4))</f>
        <v/>
      </c>
      <c r="T5" s="67">
        <f>IF(G5="","",ABS(P5-Components!$D$5))</f>
        <v/>
      </c>
      <c r="U5" s="67">
        <f>IF(G5="","",ABS(P5-Components!$D$6))</f>
        <v/>
      </c>
      <c r="V5" s="67">
        <f>IF(G5="","",ABS(P5-Components!$D$7))</f>
        <v/>
      </c>
      <c r="W5" s="61">
        <f>IF(G5="","",IF(N5="OK","NONE",INDEX({"S1","S2","W1","W2","N1","N2"},MATCH(MIN(Q5:V5),Q5:V5,0))))</f>
        <v/>
      </c>
      <c r="X5" s="69">
        <f>IF(G5="","",IF(W5=E5,1,0))</f>
        <v/>
      </c>
      <c r="Y5" s="70" t="n"/>
    </row>
    <row r="6">
      <c r="A6" s="61" t="n">
        <v>4</v>
      </c>
      <c r="B6" s="62" t="n">
        <v>12</v>
      </c>
      <c r="C6" s="61" t="inlineStr">
        <is>
          <t>R3</t>
        </is>
      </c>
      <c r="D6" s="63" t="inlineStr">
        <is>
          <t>OK</t>
        </is>
      </c>
      <c r="E6" s="61" t="inlineStr">
        <is>
          <t>NONE</t>
        </is>
      </c>
      <c r="F6" s="61" t="inlineStr">
        <is>
          <t>K004</t>
        </is>
      </c>
      <c r="G6" s="64" t="n">
        <v>9.91</v>
      </c>
      <c r="H6" s="65" t="n"/>
      <c r="I6" s="66" t="n"/>
      <c r="J6" s="67">
        <f>VLOOKUP(C6,Recipes!$A$2:$N$4,10,FALSE())</f>
        <v/>
      </c>
      <c r="K6" s="68">
        <f>VLOOKUP(C6,Recipes!$A$2:$N$4,12,FALSE())</f>
        <v/>
      </c>
      <c r="L6" s="67">
        <f>J6-3.5*K6</f>
        <v/>
      </c>
      <c r="M6" s="67">
        <f>J6+3.5*K6</f>
        <v/>
      </c>
      <c r="N6" s="61">
        <f>IF(G6="","",IF(AND(G6&gt;=L6,G6&lt;=M6),"OK","NG"))</f>
        <v/>
      </c>
      <c r="O6" s="69">
        <f>IF(N6="","",IF(N6=D6,1,0))</f>
        <v/>
      </c>
      <c r="P6" s="67">
        <f>IF(G6="","",J6-G6)</f>
        <v/>
      </c>
      <c r="Q6" s="67">
        <f>IF(G6="","",ABS(P6-Components!$D$2))</f>
        <v/>
      </c>
      <c r="R6" s="67">
        <f>IF(G6="","",ABS(P6-Components!$D$3))</f>
        <v/>
      </c>
      <c r="S6" s="67">
        <f>IF(G6="","",ABS(P6-Components!$D$4))</f>
        <v/>
      </c>
      <c r="T6" s="67">
        <f>IF(G6="","",ABS(P6-Components!$D$5))</f>
        <v/>
      </c>
      <c r="U6" s="67">
        <f>IF(G6="","",ABS(P6-Components!$D$6))</f>
        <v/>
      </c>
      <c r="V6" s="67">
        <f>IF(G6="","",ABS(P6-Components!$D$7))</f>
        <v/>
      </c>
      <c r="W6" s="61">
        <f>IF(G6="","",IF(N6="OK","NONE",INDEX({"S1","S2","W1","W2","N1","N2"},MATCH(MIN(Q6:V6),Q6:V6,0))))</f>
        <v/>
      </c>
      <c r="X6" s="69">
        <f>IF(G6="","",IF(W6=E6,1,0))</f>
        <v/>
      </c>
      <c r="Y6" s="70" t="n"/>
    </row>
    <row r="7">
      <c r="A7" s="61" t="n">
        <v>5</v>
      </c>
      <c r="B7" s="62" t="n">
        <v>17</v>
      </c>
      <c r="C7" s="61" t="inlineStr">
        <is>
          <t>R3</t>
        </is>
      </c>
      <c r="D7" s="63" t="inlineStr">
        <is>
          <t>OK</t>
        </is>
      </c>
      <c r="E7" s="61" t="inlineStr">
        <is>
          <t>NONE</t>
        </is>
      </c>
      <c r="F7" s="61" t="inlineStr">
        <is>
          <t>K005</t>
        </is>
      </c>
      <c r="G7" s="64" t="n">
        <v>10.04</v>
      </c>
      <c r="H7" s="65" t="n"/>
      <c r="I7" s="66" t="n"/>
      <c r="J7" s="67">
        <f>VLOOKUP(C7,Recipes!$A$2:$N$4,10,FALSE())</f>
        <v/>
      </c>
      <c r="K7" s="68">
        <f>VLOOKUP(C7,Recipes!$A$2:$N$4,12,FALSE())</f>
        <v/>
      </c>
      <c r="L7" s="67">
        <f>J7-3.5*K7</f>
        <v/>
      </c>
      <c r="M7" s="67">
        <f>J7+3.5*K7</f>
        <v/>
      </c>
      <c r="N7" s="61">
        <f>IF(G7="","",IF(AND(G7&gt;=L7,G7&lt;=M7),"OK","NG"))</f>
        <v/>
      </c>
      <c r="O7" s="69">
        <f>IF(N7="","",IF(N7=D7,1,0))</f>
        <v/>
      </c>
      <c r="P7" s="67">
        <f>IF(G7="","",J7-G7)</f>
        <v/>
      </c>
      <c r="Q7" s="67">
        <f>IF(G7="","",ABS(P7-Components!$D$2))</f>
        <v/>
      </c>
      <c r="R7" s="67">
        <f>IF(G7="","",ABS(P7-Components!$D$3))</f>
        <v/>
      </c>
      <c r="S7" s="67">
        <f>IF(G7="","",ABS(P7-Components!$D$4))</f>
        <v/>
      </c>
      <c r="T7" s="67">
        <f>IF(G7="","",ABS(P7-Components!$D$5))</f>
        <v/>
      </c>
      <c r="U7" s="67">
        <f>IF(G7="","",ABS(P7-Components!$D$6))</f>
        <v/>
      </c>
      <c r="V7" s="67">
        <f>IF(G7="","",ABS(P7-Components!$D$7))</f>
        <v/>
      </c>
      <c r="W7" s="61">
        <f>IF(G7="","",IF(N7="OK","NONE",INDEX({"S1","S2","W1","W2","N1","N2"},MATCH(MIN(Q7:V7),Q7:V7,0))))</f>
        <v/>
      </c>
      <c r="X7" s="69">
        <f>IF(G7="","",IF(W7=E7,1,0))</f>
        <v/>
      </c>
      <c r="Y7" s="70" t="n"/>
    </row>
    <row r="8">
      <c r="A8" s="61" t="n">
        <v>5</v>
      </c>
      <c r="B8" s="62" t="n">
        <v>17</v>
      </c>
      <c r="C8" s="61" t="inlineStr">
        <is>
          <t>R3</t>
        </is>
      </c>
      <c r="D8" s="63" t="inlineStr">
        <is>
          <t>OK</t>
        </is>
      </c>
      <c r="E8" s="61" t="inlineStr">
        <is>
          <t>NONE</t>
        </is>
      </c>
      <c r="F8" s="61" t="inlineStr">
        <is>
          <t>K005</t>
        </is>
      </c>
      <c r="G8" s="64" t="n">
        <v>9.84</v>
      </c>
      <c r="H8" s="65" t="n"/>
      <c r="I8" s="66" t="n"/>
      <c r="J8" s="67">
        <f>VLOOKUP(C8,Recipes!$A$2:$N$4,10,FALSE())</f>
        <v/>
      </c>
      <c r="K8" s="68">
        <f>VLOOKUP(C8,Recipes!$A$2:$N$4,12,FALSE())</f>
        <v/>
      </c>
      <c r="L8" s="67">
        <f>J8-3.5*K8</f>
        <v/>
      </c>
      <c r="M8" s="67">
        <f>J8+3.5*K8</f>
        <v/>
      </c>
      <c r="N8" s="61">
        <f>IF(G8="","",IF(AND(G8&gt;=L8,G8&lt;=M8),"OK","NG"))</f>
        <v/>
      </c>
      <c r="O8" s="69">
        <f>IF(N8="","",IF(N8=D8,1,0))</f>
        <v/>
      </c>
      <c r="P8" s="67">
        <f>IF(G8="","",J8-G8)</f>
        <v/>
      </c>
      <c r="Q8" s="67">
        <f>IF(G8="","",ABS(P8-Components!$D$2))</f>
        <v/>
      </c>
      <c r="R8" s="67">
        <f>IF(G8="","",ABS(P8-Components!$D$3))</f>
        <v/>
      </c>
      <c r="S8" s="67">
        <f>IF(G8="","",ABS(P8-Components!$D$4))</f>
        <v/>
      </c>
      <c r="T8" s="67">
        <f>IF(G8="","",ABS(P8-Components!$D$5))</f>
        <v/>
      </c>
      <c r="U8" s="67">
        <f>IF(G8="","",ABS(P8-Components!$D$6))</f>
        <v/>
      </c>
      <c r="V8" s="67">
        <f>IF(G8="","",ABS(P8-Components!$D$7))</f>
        <v/>
      </c>
      <c r="W8" s="61">
        <f>IF(G8="","",IF(N8="OK","NONE",INDEX({"S1","S2","W1","W2","N1","N2"},MATCH(MIN(Q8:V8),Q8:V8,0))))</f>
        <v/>
      </c>
      <c r="X8" s="69">
        <f>IF(G8="","",IF(W8=E8,1,0))</f>
        <v/>
      </c>
      <c r="Y8" s="70" t="n"/>
    </row>
    <row r="9">
      <c r="A9" s="61" t="n">
        <v>5</v>
      </c>
      <c r="B9" s="62" t="n">
        <v>17</v>
      </c>
      <c r="C9" s="61" t="inlineStr">
        <is>
          <t>R3</t>
        </is>
      </c>
      <c r="D9" s="63" t="inlineStr">
        <is>
          <t>OK</t>
        </is>
      </c>
      <c r="E9" s="61" t="inlineStr">
        <is>
          <t>NONE</t>
        </is>
      </c>
      <c r="F9" s="61" t="inlineStr">
        <is>
          <t>K005</t>
        </is>
      </c>
      <c r="G9" s="64" t="n">
        <v>9.9</v>
      </c>
      <c r="H9" s="65" t="n"/>
      <c r="I9" s="66" t="n"/>
      <c r="J9" s="67">
        <f>VLOOKUP(C9,Recipes!$A$2:$N$4,10,FALSE())</f>
        <v/>
      </c>
      <c r="K9" s="68">
        <f>VLOOKUP(C9,Recipes!$A$2:$N$4,12,FALSE())</f>
        <v/>
      </c>
      <c r="L9" s="67">
        <f>J9-3.5*K9</f>
        <v/>
      </c>
      <c r="M9" s="67">
        <f>J9+3.5*K9</f>
        <v/>
      </c>
      <c r="N9" s="61">
        <f>IF(G9="","",IF(AND(G9&gt;=L9,G9&lt;=M9),"OK","NG"))</f>
        <v/>
      </c>
      <c r="O9" s="69">
        <f>IF(N9="","",IF(N9=D9,1,0))</f>
        <v/>
      </c>
      <c r="P9" s="67">
        <f>IF(G9="","",J9-G9)</f>
        <v/>
      </c>
      <c r="Q9" s="67">
        <f>IF(G9="","",ABS(P9-Components!$D$2))</f>
        <v/>
      </c>
      <c r="R9" s="67">
        <f>IF(G9="","",ABS(P9-Components!$D$3))</f>
        <v/>
      </c>
      <c r="S9" s="67">
        <f>IF(G9="","",ABS(P9-Components!$D$4))</f>
        <v/>
      </c>
      <c r="T9" s="67">
        <f>IF(G9="","",ABS(P9-Components!$D$5))</f>
        <v/>
      </c>
      <c r="U9" s="67">
        <f>IF(G9="","",ABS(P9-Components!$D$6))</f>
        <v/>
      </c>
      <c r="V9" s="67">
        <f>IF(G9="","",ABS(P9-Components!$D$7))</f>
        <v/>
      </c>
      <c r="W9" s="61">
        <f>IF(G9="","",IF(N9="OK","NONE",INDEX({"S1","S2","W1","W2","N1","N2"},MATCH(MIN(Q9:V9),Q9:V9,0))))</f>
        <v/>
      </c>
      <c r="X9" s="69">
        <f>IF(G9="","",IF(W9=E9,1,0))</f>
        <v/>
      </c>
      <c r="Y9" s="70" t="n"/>
    </row>
    <row r="10">
      <c r="A10" s="61" t="n">
        <v>5</v>
      </c>
      <c r="B10" s="62" t="n">
        <v>17</v>
      </c>
      <c r="C10" s="61" t="inlineStr">
        <is>
          <t>R3</t>
        </is>
      </c>
      <c r="D10" s="63" t="inlineStr">
        <is>
          <t>OK</t>
        </is>
      </c>
      <c r="E10" s="61" t="inlineStr">
        <is>
          <t>NONE</t>
        </is>
      </c>
      <c r="F10" s="61" t="inlineStr">
        <is>
          <t>K005</t>
        </is>
      </c>
      <c r="G10" s="64" t="n">
        <v>9.92</v>
      </c>
      <c r="H10" s="65" t="n"/>
      <c r="I10" s="66" t="n"/>
      <c r="J10" s="67">
        <f>VLOOKUP(C10,Recipes!$A$2:$N$4,10,FALSE())</f>
        <v/>
      </c>
      <c r="K10" s="68">
        <f>VLOOKUP(C10,Recipes!$A$2:$N$4,12,FALSE())</f>
        <v/>
      </c>
      <c r="L10" s="67">
        <f>J10-3.5*K10</f>
        <v/>
      </c>
      <c r="M10" s="67">
        <f>J10+3.5*K10</f>
        <v/>
      </c>
      <c r="N10" s="61">
        <f>IF(G10="","",IF(AND(G10&gt;=L10,G10&lt;=M10),"OK","NG"))</f>
        <v/>
      </c>
      <c r="O10" s="69">
        <f>IF(N10="","",IF(N10=D10,1,0))</f>
        <v/>
      </c>
      <c r="P10" s="67">
        <f>IF(G10="","",J10-G10)</f>
        <v/>
      </c>
      <c r="Q10" s="67">
        <f>IF(G10="","",ABS(P10-Components!$D$2))</f>
        <v/>
      </c>
      <c r="R10" s="67">
        <f>IF(G10="","",ABS(P10-Components!$D$3))</f>
        <v/>
      </c>
      <c r="S10" s="67">
        <f>IF(G10="","",ABS(P10-Components!$D$4))</f>
        <v/>
      </c>
      <c r="T10" s="67">
        <f>IF(G10="","",ABS(P10-Components!$D$5))</f>
        <v/>
      </c>
      <c r="U10" s="67">
        <f>IF(G10="","",ABS(P10-Components!$D$6))</f>
        <v/>
      </c>
      <c r="V10" s="67">
        <f>IF(G10="","",ABS(P10-Components!$D$7))</f>
        <v/>
      </c>
      <c r="W10" s="61">
        <f>IF(G10="","",IF(N10="OK","NONE",INDEX({"S1","S2","W1","W2","N1","N2"},MATCH(MIN(Q10:V10),Q10:V10,0))))</f>
        <v/>
      </c>
      <c r="X10" s="69">
        <f>IF(G10="","",IF(W10=E10,1,0))</f>
        <v/>
      </c>
      <c r="Y10" s="70" t="n"/>
    </row>
    <row r="11">
      <c r="A11" s="61" t="n">
        <v>5</v>
      </c>
      <c r="B11" s="62" t="n">
        <v>17</v>
      </c>
      <c r="C11" s="61" t="inlineStr">
        <is>
          <t>R3</t>
        </is>
      </c>
      <c r="D11" s="63" t="inlineStr">
        <is>
          <t>OK</t>
        </is>
      </c>
      <c r="E11" s="61" t="inlineStr">
        <is>
          <t>NONE</t>
        </is>
      </c>
      <c r="F11" s="61" t="inlineStr">
        <is>
          <t>K005</t>
        </is>
      </c>
      <c r="G11" s="64" t="n">
        <v>9.949999999999999</v>
      </c>
      <c r="H11" s="65" t="n"/>
      <c r="I11" s="66" t="n"/>
      <c r="J11" s="67">
        <f>VLOOKUP(C11,Recipes!$A$2:$N$4,10,FALSE())</f>
        <v/>
      </c>
      <c r="K11" s="68">
        <f>VLOOKUP(C11,Recipes!$A$2:$N$4,12,FALSE())</f>
        <v/>
      </c>
      <c r="L11" s="67">
        <f>J11-3.5*K11</f>
        <v/>
      </c>
      <c r="M11" s="67">
        <f>J11+3.5*K11</f>
        <v/>
      </c>
      <c r="N11" s="61">
        <f>IF(G11="","",IF(AND(G11&gt;=L11,G11&lt;=M11),"OK","NG"))</f>
        <v/>
      </c>
      <c r="O11" s="69">
        <f>IF(N11="","",IF(N11=D11,1,0))</f>
        <v/>
      </c>
      <c r="P11" s="67">
        <f>IF(G11="","",J11-G11)</f>
        <v/>
      </c>
      <c r="Q11" s="67">
        <f>IF(G11="","",ABS(P11-Components!$D$2))</f>
        <v/>
      </c>
      <c r="R11" s="67">
        <f>IF(G11="","",ABS(P11-Components!$D$3))</f>
        <v/>
      </c>
      <c r="S11" s="67">
        <f>IF(G11="","",ABS(P11-Components!$D$4))</f>
        <v/>
      </c>
      <c r="T11" s="67">
        <f>IF(G11="","",ABS(P11-Components!$D$5))</f>
        <v/>
      </c>
      <c r="U11" s="67">
        <f>IF(G11="","",ABS(P11-Components!$D$6))</f>
        <v/>
      </c>
      <c r="V11" s="67">
        <f>IF(G11="","",ABS(P11-Components!$D$7))</f>
        <v/>
      </c>
      <c r="W11" s="61">
        <f>IF(G11="","",IF(N11="OK","NONE",INDEX({"S1","S2","W1","W2","N1","N2"},MATCH(MIN(Q11:V11),Q11:V11,0))))</f>
        <v/>
      </c>
      <c r="X11" s="69">
        <f>IF(G11="","",IF(W11=E11,1,0))</f>
        <v/>
      </c>
      <c r="Y11" s="70" t="n"/>
    </row>
    <row r="12">
      <c r="A12" s="61" t="n">
        <v>5</v>
      </c>
      <c r="B12" s="62" t="n">
        <v>17</v>
      </c>
      <c r="C12" s="61" t="inlineStr">
        <is>
          <t>R3</t>
        </is>
      </c>
      <c r="D12" s="63" t="inlineStr">
        <is>
          <t>OK</t>
        </is>
      </c>
      <c r="E12" s="61" t="inlineStr">
        <is>
          <t>NONE</t>
        </is>
      </c>
      <c r="F12" s="61" t="inlineStr">
        <is>
          <t>K005</t>
        </is>
      </c>
      <c r="G12" s="64" t="n">
        <v>9.869999999999999</v>
      </c>
      <c r="H12" s="65" t="n"/>
      <c r="I12" s="66" t="n"/>
      <c r="J12" s="67">
        <f>VLOOKUP(C12,Recipes!$A$2:$N$4,10,FALSE())</f>
        <v/>
      </c>
      <c r="K12" s="68">
        <f>VLOOKUP(C12,Recipes!$A$2:$N$4,12,FALSE())</f>
        <v/>
      </c>
      <c r="L12" s="67">
        <f>J12-3.5*K12</f>
        <v/>
      </c>
      <c r="M12" s="67">
        <f>J12+3.5*K12</f>
        <v/>
      </c>
      <c r="N12" s="61">
        <f>IF(G12="","",IF(AND(G12&gt;=L12,G12&lt;=M12),"OK","NG"))</f>
        <v/>
      </c>
      <c r="O12" s="69">
        <f>IF(N12="","",IF(N12=D12,1,0))</f>
        <v/>
      </c>
      <c r="P12" s="67">
        <f>IF(G12="","",J12-G12)</f>
        <v/>
      </c>
      <c r="Q12" s="67">
        <f>IF(G12="","",ABS(P12-Components!$D$2))</f>
        <v/>
      </c>
      <c r="R12" s="67">
        <f>IF(G12="","",ABS(P12-Components!$D$3))</f>
        <v/>
      </c>
      <c r="S12" s="67">
        <f>IF(G12="","",ABS(P12-Components!$D$4))</f>
        <v/>
      </c>
      <c r="T12" s="67">
        <f>IF(G12="","",ABS(P12-Components!$D$5))</f>
        <v/>
      </c>
      <c r="U12" s="67">
        <f>IF(G12="","",ABS(P12-Components!$D$6))</f>
        <v/>
      </c>
      <c r="V12" s="67">
        <f>IF(G12="","",ABS(P12-Components!$D$7))</f>
        <v/>
      </c>
      <c r="W12" s="61">
        <f>IF(G12="","",IF(N12="OK","NONE",INDEX({"S1","S2","W1","W2","N1","N2"},MATCH(MIN(Q12:V12),Q12:V12,0))))</f>
        <v/>
      </c>
      <c r="X12" s="69">
        <f>IF(G12="","",IF(W12=E12,1,0))</f>
        <v/>
      </c>
      <c r="Y12" s="70" t="n"/>
    </row>
    <row r="13">
      <c r="A13" s="61" t="n">
        <v>5</v>
      </c>
      <c r="B13" s="62" t="n">
        <v>17</v>
      </c>
      <c r="C13" s="61" t="inlineStr">
        <is>
          <t>R3</t>
        </is>
      </c>
      <c r="D13" s="63" t="inlineStr">
        <is>
          <t>OK</t>
        </is>
      </c>
      <c r="E13" s="61" t="inlineStr">
        <is>
          <t>NONE</t>
        </is>
      </c>
      <c r="F13" s="61" t="inlineStr">
        <is>
          <t>K005</t>
        </is>
      </c>
      <c r="G13" s="64" t="n">
        <v>9.880000000000001</v>
      </c>
      <c r="H13" s="65" t="n"/>
      <c r="I13" s="66" t="n"/>
      <c r="J13" s="67">
        <f>VLOOKUP(C13,Recipes!$A$2:$N$4,10,FALSE())</f>
        <v/>
      </c>
      <c r="K13" s="68">
        <f>VLOOKUP(C13,Recipes!$A$2:$N$4,12,FALSE())</f>
        <v/>
      </c>
      <c r="L13" s="67">
        <f>J13-3.5*K13</f>
        <v/>
      </c>
      <c r="M13" s="67">
        <f>J13+3.5*K13</f>
        <v/>
      </c>
      <c r="N13" s="61">
        <f>IF(G13="","",IF(AND(G13&gt;=L13,G13&lt;=M13),"OK","NG"))</f>
        <v/>
      </c>
      <c r="O13" s="69">
        <f>IF(N13="","",IF(N13=D13,1,0))</f>
        <v/>
      </c>
      <c r="P13" s="67">
        <f>IF(G13="","",J13-G13)</f>
        <v/>
      </c>
      <c r="Q13" s="67">
        <f>IF(G13="","",ABS(P13-Components!$D$2))</f>
        <v/>
      </c>
      <c r="R13" s="67">
        <f>IF(G13="","",ABS(P13-Components!$D$3))</f>
        <v/>
      </c>
      <c r="S13" s="67">
        <f>IF(G13="","",ABS(P13-Components!$D$4))</f>
        <v/>
      </c>
      <c r="T13" s="67">
        <f>IF(G13="","",ABS(P13-Components!$D$5))</f>
        <v/>
      </c>
      <c r="U13" s="67">
        <f>IF(G13="","",ABS(P13-Components!$D$6))</f>
        <v/>
      </c>
      <c r="V13" s="67">
        <f>IF(G13="","",ABS(P13-Components!$D$7))</f>
        <v/>
      </c>
      <c r="W13" s="61">
        <f>IF(G13="","",IF(N13="OK","NONE",INDEX({"S1","S2","W1","W2","N1","N2"},MATCH(MIN(Q13:V13),Q13:V13,0))))</f>
        <v/>
      </c>
      <c r="X13" s="69">
        <f>IF(G13="","",IF(W13=E13,1,0))</f>
        <v/>
      </c>
      <c r="Y13" s="70" t="n"/>
    </row>
    <row r="14">
      <c r="A14" s="61" t="n">
        <v>5</v>
      </c>
      <c r="B14" s="62" t="n">
        <v>17</v>
      </c>
      <c r="C14" s="61" t="inlineStr">
        <is>
          <t>R3</t>
        </is>
      </c>
      <c r="D14" s="63" t="inlineStr">
        <is>
          <t>OK</t>
        </is>
      </c>
      <c r="E14" s="61" t="inlineStr">
        <is>
          <t>NONE</t>
        </is>
      </c>
      <c r="F14" s="61" t="inlineStr">
        <is>
          <t>K005</t>
        </is>
      </c>
      <c r="G14" s="64" t="n">
        <v>9.91</v>
      </c>
      <c r="H14" s="65" t="n"/>
      <c r="I14" s="66" t="n"/>
      <c r="J14" s="67">
        <f>VLOOKUP(C14,Recipes!$A$2:$N$4,10,FALSE())</f>
        <v/>
      </c>
      <c r="K14" s="68">
        <f>VLOOKUP(C14,Recipes!$A$2:$N$4,12,FALSE())</f>
        <v/>
      </c>
      <c r="L14" s="67">
        <f>J14-3.5*K14</f>
        <v/>
      </c>
      <c r="M14" s="67">
        <f>J14+3.5*K14</f>
        <v/>
      </c>
      <c r="N14" s="61">
        <f>IF(G14="","",IF(AND(G14&gt;=L14,G14&lt;=M14),"OK","NG"))</f>
        <v/>
      </c>
      <c r="O14" s="69">
        <f>IF(N14="","",IF(N14=D14,1,0))</f>
        <v/>
      </c>
      <c r="P14" s="67">
        <f>IF(G14="","",J14-G14)</f>
        <v/>
      </c>
      <c r="Q14" s="67">
        <f>IF(G14="","",ABS(P14-Components!$D$2))</f>
        <v/>
      </c>
      <c r="R14" s="67">
        <f>IF(G14="","",ABS(P14-Components!$D$3))</f>
        <v/>
      </c>
      <c r="S14" s="67">
        <f>IF(G14="","",ABS(P14-Components!$D$4))</f>
        <v/>
      </c>
      <c r="T14" s="67">
        <f>IF(G14="","",ABS(P14-Components!$D$5))</f>
        <v/>
      </c>
      <c r="U14" s="67">
        <f>IF(G14="","",ABS(P14-Components!$D$6))</f>
        <v/>
      </c>
      <c r="V14" s="67">
        <f>IF(G14="","",ABS(P14-Components!$D$7))</f>
        <v/>
      </c>
      <c r="W14" s="61">
        <f>IF(G14="","",IF(N14="OK","NONE",INDEX({"S1","S2","W1","W2","N1","N2"},MATCH(MIN(Q14:V14),Q14:V14,0))))</f>
        <v/>
      </c>
      <c r="X14" s="69">
        <f>IF(G14="","",IF(W14=E14,1,0))</f>
        <v/>
      </c>
      <c r="Y14" s="70" t="n"/>
    </row>
    <row r="15">
      <c r="A15" s="61" t="n">
        <v>5</v>
      </c>
      <c r="B15" s="62" t="n">
        <v>17</v>
      </c>
      <c r="C15" s="61" t="inlineStr">
        <is>
          <t>R3</t>
        </is>
      </c>
      <c r="D15" s="63" t="inlineStr">
        <is>
          <t>OK</t>
        </is>
      </c>
      <c r="E15" s="61" t="inlineStr">
        <is>
          <t>NONE</t>
        </is>
      </c>
      <c r="F15" s="61" t="inlineStr">
        <is>
          <t>K005</t>
        </is>
      </c>
      <c r="G15" s="64" t="n">
        <v>9.9</v>
      </c>
      <c r="H15" s="65" t="n"/>
      <c r="I15" s="66" t="n"/>
      <c r="J15" s="67">
        <f>VLOOKUP(C15,Recipes!$A$2:$N$4,10,FALSE())</f>
        <v/>
      </c>
      <c r="K15" s="68">
        <f>VLOOKUP(C15,Recipes!$A$2:$N$4,12,FALSE())</f>
        <v/>
      </c>
      <c r="L15" s="67">
        <f>J15-3.5*K15</f>
        <v/>
      </c>
      <c r="M15" s="67">
        <f>J15+3.5*K15</f>
        <v/>
      </c>
      <c r="N15" s="61">
        <f>IF(G15="","",IF(AND(G15&gt;=L15,G15&lt;=M15),"OK","NG"))</f>
        <v/>
      </c>
      <c r="O15" s="69">
        <f>IF(N15="","",IF(N15=D15,1,0))</f>
        <v/>
      </c>
      <c r="P15" s="67">
        <f>IF(G15="","",J15-G15)</f>
        <v/>
      </c>
      <c r="Q15" s="67">
        <f>IF(G15="","",ABS(P15-Components!$D$2))</f>
        <v/>
      </c>
      <c r="R15" s="67">
        <f>IF(G15="","",ABS(P15-Components!$D$3))</f>
        <v/>
      </c>
      <c r="S15" s="67">
        <f>IF(G15="","",ABS(P15-Components!$D$4))</f>
        <v/>
      </c>
      <c r="T15" s="67">
        <f>IF(G15="","",ABS(P15-Components!$D$5))</f>
        <v/>
      </c>
      <c r="U15" s="67">
        <f>IF(G15="","",ABS(P15-Components!$D$6))</f>
        <v/>
      </c>
      <c r="V15" s="67">
        <f>IF(G15="","",ABS(P15-Components!$D$7))</f>
        <v/>
      </c>
      <c r="W15" s="61">
        <f>IF(G15="","",IF(N15="OK","NONE",INDEX({"S1","S2","W1","W2","N1","N2"},MATCH(MIN(Q15:V15),Q15:V15,0))))</f>
        <v/>
      </c>
      <c r="X15" s="69">
        <f>IF(G15="","",IF(W15=E15,1,0))</f>
        <v/>
      </c>
      <c r="Y15" s="70" t="n"/>
    </row>
    <row r="16">
      <c r="A16" s="61" t="n">
        <v>5</v>
      </c>
      <c r="B16" s="62" t="n">
        <v>17</v>
      </c>
      <c r="C16" s="61" t="inlineStr">
        <is>
          <t>R3</t>
        </is>
      </c>
      <c r="D16" s="63" t="inlineStr">
        <is>
          <t>OK</t>
        </is>
      </c>
      <c r="E16" s="61" t="inlineStr">
        <is>
          <t>NONE</t>
        </is>
      </c>
      <c r="F16" s="61" t="inlineStr">
        <is>
          <t>K005</t>
        </is>
      </c>
      <c r="G16" s="64" t="n">
        <v>9.92</v>
      </c>
      <c r="H16" s="65" t="n"/>
      <c r="I16" s="66" t="n"/>
      <c r="J16" s="67">
        <f>VLOOKUP(C16,Recipes!$A$2:$N$4,10,FALSE())</f>
        <v/>
      </c>
      <c r="K16" s="68">
        <f>VLOOKUP(C16,Recipes!$A$2:$N$4,12,FALSE())</f>
        <v/>
      </c>
      <c r="L16" s="67">
        <f>J16-3.5*K16</f>
        <v/>
      </c>
      <c r="M16" s="67">
        <f>J16+3.5*K16</f>
        <v/>
      </c>
      <c r="N16" s="61">
        <f>IF(G16="","",IF(AND(G16&gt;=L16,G16&lt;=M16),"OK","NG"))</f>
        <v/>
      </c>
      <c r="O16" s="69">
        <f>IF(N16="","",IF(N16=D16,1,0))</f>
        <v/>
      </c>
      <c r="P16" s="67">
        <f>IF(G16="","",J16-G16)</f>
        <v/>
      </c>
      <c r="Q16" s="67">
        <f>IF(G16="","",ABS(P16-Components!$D$2))</f>
        <v/>
      </c>
      <c r="R16" s="67">
        <f>IF(G16="","",ABS(P16-Components!$D$3))</f>
        <v/>
      </c>
      <c r="S16" s="67">
        <f>IF(G16="","",ABS(P16-Components!$D$4))</f>
        <v/>
      </c>
      <c r="T16" s="67">
        <f>IF(G16="","",ABS(P16-Components!$D$5))</f>
        <v/>
      </c>
      <c r="U16" s="67">
        <f>IF(G16="","",ABS(P16-Components!$D$6))</f>
        <v/>
      </c>
      <c r="V16" s="67">
        <f>IF(G16="","",ABS(P16-Components!$D$7))</f>
        <v/>
      </c>
      <c r="W16" s="61">
        <f>IF(G16="","",IF(N16="OK","NONE",INDEX({"S1","S2","W1","W2","N1","N2"},MATCH(MIN(Q16:V16),Q16:V16,0))))</f>
        <v/>
      </c>
      <c r="X16" s="69">
        <f>IF(G16="","",IF(W16=E16,1,0))</f>
        <v/>
      </c>
      <c r="Y16" s="70" t="n"/>
    </row>
    <row r="17">
      <c r="A17" s="61" t="n">
        <v>5</v>
      </c>
      <c r="B17" s="62" t="n">
        <v>17</v>
      </c>
      <c r="C17" s="61" t="inlineStr">
        <is>
          <t>R3</t>
        </is>
      </c>
      <c r="D17" s="63" t="inlineStr">
        <is>
          <t>OK</t>
        </is>
      </c>
      <c r="E17" s="61" t="inlineStr">
        <is>
          <t>NONE</t>
        </is>
      </c>
      <c r="F17" s="61" t="inlineStr">
        <is>
          <t>K005</t>
        </is>
      </c>
      <c r="G17" s="64" t="n">
        <v>9.94</v>
      </c>
      <c r="H17" s="65" t="n"/>
      <c r="I17" s="66" t="n"/>
      <c r="J17" s="67">
        <f>VLOOKUP(C17,Recipes!$A$2:$N$4,10,FALSE())</f>
        <v/>
      </c>
      <c r="K17" s="68">
        <f>VLOOKUP(C17,Recipes!$A$2:$N$4,12,FALSE())</f>
        <v/>
      </c>
      <c r="L17" s="67">
        <f>J17-3.5*K17</f>
        <v/>
      </c>
      <c r="M17" s="67">
        <f>J17+3.5*K17</f>
        <v/>
      </c>
      <c r="N17" s="61">
        <f>IF(G17="","",IF(AND(G17&gt;=L17,G17&lt;=M17),"OK","NG"))</f>
        <v/>
      </c>
      <c r="O17" s="69">
        <f>IF(N17="","",IF(N17=D17,1,0))</f>
        <v/>
      </c>
      <c r="P17" s="67">
        <f>IF(G17="","",J17-G17)</f>
        <v/>
      </c>
      <c r="Q17" s="67">
        <f>IF(G17="","",ABS(P17-Components!$D$2))</f>
        <v/>
      </c>
      <c r="R17" s="67">
        <f>IF(G17="","",ABS(P17-Components!$D$3))</f>
        <v/>
      </c>
      <c r="S17" s="67">
        <f>IF(G17="","",ABS(P17-Components!$D$4))</f>
        <v/>
      </c>
      <c r="T17" s="67">
        <f>IF(G17="","",ABS(P17-Components!$D$5))</f>
        <v/>
      </c>
      <c r="U17" s="67">
        <f>IF(G17="","",ABS(P17-Components!$D$6))</f>
        <v/>
      </c>
      <c r="V17" s="67">
        <f>IF(G17="","",ABS(P17-Components!$D$7))</f>
        <v/>
      </c>
      <c r="W17" s="61">
        <f>IF(G17="","",IF(N17="OK","NONE",INDEX({"S1","S2","W1","W2","N1","N2"},MATCH(MIN(Q17:V17),Q17:V17,0))))</f>
        <v/>
      </c>
      <c r="X17" s="69">
        <f>IF(G17="","",IF(W17=E17,1,0))</f>
        <v/>
      </c>
      <c r="Y17" s="70" t="n"/>
    </row>
    <row r="18">
      <c r="A18" s="61" t="n">
        <v>5</v>
      </c>
      <c r="B18" s="62" t="n">
        <v>17</v>
      </c>
      <c r="C18" s="61" t="inlineStr">
        <is>
          <t>R3</t>
        </is>
      </c>
      <c r="D18" s="63" t="inlineStr">
        <is>
          <t>OK</t>
        </is>
      </c>
      <c r="E18" s="61" t="inlineStr">
        <is>
          <t>NONE</t>
        </is>
      </c>
      <c r="F18" s="61" t="inlineStr">
        <is>
          <t>K005</t>
        </is>
      </c>
      <c r="G18" s="64" t="n">
        <v>9.92</v>
      </c>
      <c r="H18" s="65" t="n"/>
      <c r="I18" s="66" t="n"/>
      <c r="J18" s="67">
        <f>VLOOKUP(C18,Recipes!$A$2:$N$4,10,FALSE())</f>
        <v/>
      </c>
      <c r="K18" s="68">
        <f>VLOOKUP(C18,Recipes!$A$2:$N$4,12,FALSE())</f>
        <v/>
      </c>
      <c r="L18" s="67">
        <f>J18-3.5*K18</f>
        <v/>
      </c>
      <c r="M18" s="67">
        <f>J18+3.5*K18</f>
        <v/>
      </c>
      <c r="N18" s="61">
        <f>IF(G18="","",IF(AND(G18&gt;=L18,G18&lt;=M18),"OK","NG"))</f>
        <v/>
      </c>
      <c r="O18" s="69">
        <f>IF(N18="","",IF(N18=D18,1,0))</f>
        <v/>
      </c>
      <c r="P18" s="67">
        <f>IF(G18="","",J18-G18)</f>
        <v/>
      </c>
      <c r="Q18" s="67">
        <f>IF(G18="","",ABS(P18-Components!$D$2))</f>
        <v/>
      </c>
      <c r="R18" s="67">
        <f>IF(G18="","",ABS(P18-Components!$D$3))</f>
        <v/>
      </c>
      <c r="S18" s="67">
        <f>IF(G18="","",ABS(P18-Components!$D$4))</f>
        <v/>
      </c>
      <c r="T18" s="67">
        <f>IF(G18="","",ABS(P18-Components!$D$5))</f>
        <v/>
      </c>
      <c r="U18" s="67">
        <f>IF(G18="","",ABS(P18-Components!$D$6))</f>
        <v/>
      </c>
      <c r="V18" s="67">
        <f>IF(G18="","",ABS(P18-Components!$D$7))</f>
        <v/>
      </c>
      <c r="W18" s="61">
        <f>IF(G18="","",IF(N18="OK","NONE",INDEX({"S1","S2","W1","W2","N1","N2"},MATCH(MIN(Q18:V18),Q18:V18,0))))</f>
        <v/>
      </c>
      <c r="X18" s="69">
        <f>IF(G18="","",IF(W18=E18,1,0))</f>
        <v/>
      </c>
      <c r="Y18" s="70" t="n"/>
    </row>
    <row r="19">
      <c r="A19" s="61" t="n">
        <v>5</v>
      </c>
      <c r="B19" s="62" t="n">
        <v>17</v>
      </c>
      <c r="C19" s="61" t="inlineStr">
        <is>
          <t>R3</t>
        </is>
      </c>
      <c r="D19" s="63" t="inlineStr">
        <is>
          <t>OK</t>
        </is>
      </c>
      <c r="E19" s="61" t="inlineStr">
        <is>
          <t>NONE</t>
        </is>
      </c>
      <c r="F19" s="61" t="inlineStr">
        <is>
          <t>K005</t>
        </is>
      </c>
      <c r="G19" s="64" t="n">
        <v>9.890000000000001</v>
      </c>
      <c r="H19" s="65" t="n"/>
      <c r="I19" s="66" t="n"/>
      <c r="J19" s="67">
        <f>VLOOKUP(C19,Recipes!$A$2:$N$4,10,FALSE())</f>
        <v/>
      </c>
      <c r="K19" s="68">
        <f>VLOOKUP(C19,Recipes!$A$2:$N$4,12,FALSE())</f>
        <v/>
      </c>
      <c r="L19" s="67">
        <f>J19-3.5*K19</f>
        <v/>
      </c>
      <c r="M19" s="67">
        <f>J19+3.5*K19</f>
        <v/>
      </c>
      <c r="N19" s="61">
        <f>IF(G19="","",IF(AND(G19&gt;=L19,G19&lt;=M19),"OK","NG"))</f>
        <v/>
      </c>
      <c r="O19" s="69">
        <f>IF(N19="","",IF(N19=D19,1,0))</f>
        <v/>
      </c>
      <c r="P19" s="67">
        <f>IF(G19="","",J19-G19)</f>
        <v/>
      </c>
      <c r="Q19" s="67">
        <f>IF(G19="","",ABS(P19-Components!$D$2))</f>
        <v/>
      </c>
      <c r="R19" s="67">
        <f>IF(G19="","",ABS(P19-Components!$D$3))</f>
        <v/>
      </c>
      <c r="S19" s="67">
        <f>IF(G19="","",ABS(P19-Components!$D$4))</f>
        <v/>
      </c>
      <c r="T19" s="67">
        <f>IF(G19="","",ABS(P19-Components!$D$5))</f>
        <v/>
      </c>
      <c r="U19" s="67">
        <f>IF(G19="","",ABS(P19-Components!$D$6))</f>
        <v/>
      </c>
      <c r="V19" s="67">
        <f>IF(G19="","",ABS(P19-Components!$D$7))</f>
        <v/>
      </c>
      <c r="W19" s="61">
        <f>IF(G19="","",IF(N19="OK","NONE",INDEX({"S1","S2","W1","W2","N1","N2"},MATCH(MIN(Q19:V19),Q19:V19,0))))</f>
        <v/>
      </c>
      <c r="X19" s="69">
        <f>IF(G19="","",IF(W19=E19,1,0))</f>
        <v/>
      </c>
      <c r="Y19" s="70" t="n"/>
    </row>
    <row r="20">
      <c r="A20" s="61" t="n">
        <v>5</v>
      </c>
      <c r="B20" s="62" t="n">
        <v>17</v>
      </c>
      <c r="C20" s="61" t="inlineStr">
        <is>
          <t>R3</t>
        </is>
      </c>
      <c r="D20" s="63" t="inlineStr">
        <is>
          <t>OK</t>
        </is>
      </c>
      <c r="E20" s="61" t="inlineStr">
        <is>
          <t>NONE</t>
        </is>
      </c>
      <c r="F20" s="61" t="inlineStr">
        <is>
          <t>K005</t>
        </is>
      </c>
      <c r="G20" s="64" t="n">
        <v>9.92</v>
      </c>
      <c r="H20" s="65" t="n"/>
      <c r="I20" s="66" t="n"/>
      <c r="J20" s="67">
        <f>VLOOKUP(C20,Recipes!$A$2:$N$4,10,FALSE())</f>
        <v/>
      </c>
      <c r="K20" s="68">
        <f>VLOOKUP(C20,Recipes!$A$2:$N$4,12,FALSE())</f>
        <v/>
      </c>
      <c r="L20" s="67">
        <f>J20-3.5*K20</f>
        <v/>
      </c>
      <c r="M20" s="67">
        <f>J20+3.5*K20</f>
        <v/>
      </c>
      <c r="N20" s="61">
        <f>IF(G20="","",IF(AND(G20&gt;=L20,G20&lt;=M20),"OK","NG"))</f>
        <v/>
      </c>
      <c r="O20" s="69">
        <f>IF(N20="","",IF(N20=D20,1,0))</f>
        <v/>
      </c>
      <c r="P20" s="67">
        <f>IF(G20="","",J20-G20)</f>
        <v/>
      </c>
      <c r="Q20" s="67">
        <f>IF(G20="","",ABS(P20-Components!$D$2))</f>
        <v/>
      </c>
      <c r="R20" s="67">
        <f>IF(G20="","",ABS(P20-Components!$D$3))</f>
        <v/>
      </c>
      <c r="S20" s="67">
        <f>IF(G20="","",ABS(P20-Components!$D$4))</f>
        <v/>
      </c>
      <c r="T20" s="67">
        <f>IF(G20="","",ABS(P20-Components!$D$5))</f>
        <v/>
      </c>
      <c r="U20" s="67">
        <f>IF(G20="","",ABS(P20-Components!$D$6))</f>
        <v/>
      </c>
      <c r="V20" s="67">
        <f>IF(G20="","",ABS(P20-Components!$D$7))</f>
        <v/>
      </c>
      <c r="W20" s="61">
        <f>IF(G20="","",IF(N20="OK","NONE",INDEX({"S1","S2","W1","W2","N1","N2"},MATCH(MIN(Q20:V20),Q20:V20,0))))</f>
        <v/>
      </c>
      <c r="X20" s="69">
        <f>IF(G20="","",IF(W20=E20,1,0))</f>
        <v/>
      </c>
      <c r="Y20" s="70" t="n"/>
    </row>
    <row r="21">
      <c r="A21" s="61" t="n">
        <v>5</v>
      </c>
      <c r="B21" s="62" t="n">
        <v>17</v>
      </c>
      <c r="C21" s="61" t="inlineStr">
        <is>
          <t>R3</t>
        </is>
      </c>
      <c r="D21" s="63" t="inlineStr">
        <is>
          <t>OK</t>
        </is>
      </c>
      <c r="E21" s="61" t="inlineStr">
        <is>
          <t>NONE</t>
        </is>
      </c>
      <c r="F21" s="61" t="inlineStr">
        <is>
          <t>K005</t>
        </is>
      </c>
      <c r="G21" s="64" t="n">
        <v>9.949999999999999</v>
      </c>
      <c r="H21" s="65" t="n"/>
      <c r="I21" s="66" t="n"/>
      <c r="J21" s="67">
        <f>VLOOKUP(C21,Recipes!$A$2:$N$4,10,FALSE())</f>
        <v/>
      </c>
      <c r="K21" s="68">
        <f>VLOOKUP(C21,Recipes!$A$2:$N$4,12,FALSE())</f>
        <v/>
      </c>
      <c r="L21" s="67">
        <f>J21-3.5*K21</f>
        <v/>
      </c>
      <c r="M21" s="67">
        <f>J21+3.5*K21</f>
        <v/>
      </c>
      <c r="N21" s="61">
        <f>IF(G21="","",IF(AND(G21&gt;=L21,G21&lt;=M21),"OK","NG"))</f>
        <v/>
      </c>
      <c r="O21" s="69">
        <f>IF(N21="","",IF(N21=D21,1,0))</f>
        <v/>
      </c>
      <c r="P21" s="67">
        <f>IF(G21="","",J21-G21)</f>
        <v/>
      </c>
      <c r="Q21" s="67">
        <f>IF(G21="","",ABS(P21-Components!$D$2))</f>
        <v/>
      </c>
      <c r="R21" s="67">
        <f>IF(G21="","",ABS(P21-Components!$D$3))</f>
        <v/>
      </c>
      <c r="S21" s="67">
        <f>IF(G21="","",ABS(P21-Components!$D$4))</f>
        <v/>
      </c>
      <c r="T21" s="67">
        <f>IF(G21="","",ABS(P21-Components!$D$5))</f>
        <v/>
      </c>
      <c r="U21" s="67">
        <f>IF(G21="","",ABS(P21-Components!$D$6))</f>
        <v/>
      </c>
      <c r="V21" s="67">
        <f>IF(G21="","",ABS(P21-Components!$D$7))</f>
        <v/>
      </c>
      <c r="W21" s="61">
        <f>IF(G21="","",IF(N21="OK","NONE",INDEX({"S1","S2","W1","W2","N1","N2"},MATCH(MIN(Q21:V21),Q21:V21,0))))</f>
        <v/>
      </c>
      <c r="X21" s="69">
        <f>IF(G21="","",IF(W21=E21,1,0))</f>
        <v/>
      </c>
      <c r="Y21" s="70" t="n"/>
    </row>
    <row r="22">
      <c r="A22" s="61" t="n">
        <v>5</v>
      </c>
      <c r="B22" s="62" t="n">
        <v>17</v>
      </c>
      <c r="C22" s="61" t="inlineStr">
        <is>
          <t>R3</t>
        </is>
      </c>
      <c r="D22" s="63" t="inlineStr">
        <is>
          <t>OK</t>
        </is>
      </c>
      <c r="E22" s="61" t="inlineStr">
        <is>
          <t>NONE</t>
        </is>
      </c>
      <c r="F22" s="61" t="inlineStr">
        <is>
          <t>K005</t>
        </is>
      </c>
      <c r="G22" s="64" t="n">
        <v>9.98</v>
      </c>
      <c r="H22" s="65" t="n"/>
      <c r="I22" s="66" t="n"/>
      <c r="J22" s="67">
        <f>VLOOKUP(C22,Recipes!$A$2:$N$4,10,FALSE())</f>
        <v/>
      </c>
      <c r="K22" s="68">
        <f>VLOOKUP(C22,Recipes!$A$2:$N$4,12,FALSE())</f>
        <v/>
      </c>
      <c r="L22" s="67">
        <f>J22-3.5*K22</f>
        <v/>
      </c>
      <c r="M22" s="67">
        <f>J22+3.5*K22</f>
        <v/>
      </c>
      <c r="N22" s="61">
        <f>IF(G22="","",IF(AND(G22&gt;=L22,G22&lt;=M22),"OK","NG"))</f>
        <v/>
      </c>
      <c r="O22" s="69">
        <f>IF(N22="","",IF(N22=D22,1,0))</f>
        <v/>
      </c>
      <c r="P22" s="67">
        <f>IF(G22="","",J22-G22)</f>
        <v/>
      </c>
      <c r="Q22" s="67">
        <f>IF(G22="","",ABS(P22-Components!$D$2))</f>
        <v/>
      </c>
      <c r="R22" s="67">
        <f>IF(G22="","",ABS(P22-Components!$D$3))</f>
        <v/>
      </c>
      <c r="S22" s="67">
        <f>IF(G22="","",ABS(P22-Components!$D$4))</f>
        <v/>
      </c>
      <c r="T22" s="67">
        <f>IF(G22="","",ABS(P22-Components!$D$5))</f>
        <v/>
      </c>
      <c r="U22" s="67">
        <f>IF(G22="","",ABS(P22-Components!$D$6))</f>
        <v/>
      </c>
      <c r="V22" s="67">
        <f>IF(G22="","",ABS(P22-Components!$D$7))</f>
        <v/>
      </c>
      <c r="W22" s="61">
        <f>IF(G22="","",IF(N22="OK","NONE",INDEX({"S1","S2","W1","W2","N1","N2"},MATCH(MIN(Q22:V22),Q22:V22,0))))</f>
        <v/>
      </c>
      <c r="X22" s="69">
        <f>IF(G22="","",IF(W22=E22,1,0))</f>
        <v/>
      </c>
      <c r="Y22" s="70" t="n"/>
    </row>
    <row r="23">
      <c r="A23" s="61" t="n">
        <v>5</v>
      </c>
      <c r="B23" s="62" t="n">
        <v>17</v>
      </c>
      <c r="C23" s="61" t="inlineStr">
        <is>
          <t>R3</t>
        </is>
      </c>
      <c r="D23" s="63" t="inlineStr">
        <is>
          <t>OK</t>
        </is>
      </c>
      <c r="E23" s="61" t="inlineStr">
        <is>
          <t>NONE</t>
        </is>
      </c>
      <c r="F23" s="61" t="inlineStr">
        <is>
          <t>K005</t>
        </is>
      </c>
      <c r="G23" s="64" t="n">
        <v>9.99</v>
      </c>
      <c r="H23" s="65" t="n"/>
      <c r="I23" s="66" t="n"/>
      <c r="J23" s="67">
        <f>VLOOKUP(C23,Recipes!$A$2:$N$4,10,FALSE())</f>
        <v/>
      </c>
      <c r="K23" s="68">
        <f>VLOOKUP(C23,Recipes!$A$2:$N$4,12,FALSE())</f>
        <v/>
      </c>
      <c r="L23" s="67">
        <f>J23-3.5*K23</f>
        <v/>
      </c>
      <c r="M23" s="67">
        <f>J23+3.5*K23</f>
        <v/>
      </c>
      <c r="N23" s="61">
        <f>IF(G23="","",IF(AND(G23&gt;=L23,G23&lt;=M23),"OK","NG"))</f>
        <v/>
      </c>
      <c r="O23" s="69">
        <f>IF(N23="","",IF(N23=D23,1,0))</f>
        <v/>
      </c>
      <c r="P23" s="67">
        <f>IF(G23="","",J23-G23)</f>
        <v/>
      </c>
      <c r="Q23" s="67">
        <f>IF(G23="","",ABS(P23-Components!$D$2))</f>
        <v/>
      </c>
      <c r="R23" s="67">
        <f>IF(G23="","",ABS(P23-Components!$D$3))</f>
        <v/>
      </c>
      <c r="S23" s="67">
        <f>IF(G23="","",ABS(P23-Components!$D$4))</f>
        <v/>
      </c>
      <c r="T23" s="67">
        <f>IF(G23="","",ABS(P23-Components!$D$5))</f>
        <v/>
      </c>
      <c r="U23" s="67">
        <f>IF(G23="","",ABS(P23-Components!$D$6))</f>
        <v/>
      </c>
      <c r="V23" s="67">
        <f>IF(G23="","",ABS(P23-Components!$D$7))</f>
        <v/>
      </c>
      <c r="W23" s="61">
        <f>IF(G23="","",IF(N23="OK","NONE",INDEX({"S1","S2","W1","W2","N1","N2"},MATCH(MIN(Q23:V23),Q23:V23,0))))</f>
        <v/>
      </c>
      <c r="X23" s="69">
        <f>IF(G23="","",IF(W23=E23,1,0))</f>
        <v/>
      </c>
      <c r="Y23" s="70" t="n"/>
    </row>
    <row r="24">
      <c r="A24" s="61" t="n">
        <v>5</v>
      </c>
      <c r="B24" s="62" t="n">
        <v>17</v>
      </c>
      <c r="C24" s="61" t="inlineStr">
        <is>
          <t>R3</t>
        </is>
      </c>
      <c r="D24" s="63" t="inlineStr">
        <is>
          <t>OK</t>
        </is>
      </c>
      <c r="E24" s="61" t="inlineStr">
        <is>
          <t>NONE</t>
        </is>
      </c>
      <c r="F24" s="61" t="inlineStr">
        <is>
          <t>K005</t>
        </is>
      </c>
      <c r="G24" s="64" t="n">
        <v>9.9</v>
      </c>
      <c r="H24" s="65" t="n"/>
      <c r="I24" s="66" t="n"/>
      <c r="J24" s="67">
        <f>VLOOKUP(C24,Recipes!$A$2:$N$4,10,FALSE())</f>
        <v/>
      </c>
      <c r="K24" s="68">
        <f>VLOOKUP(C24,Recipes!$A$2:$N$4,12,FALSE())</f>
        <v/>
      </c>
      <c r="L24" s="67">
        <f>J24-3.5*K24</f>
        <v/>
      </c>
      <c r="M24" s="67">
        <f>J24+3.5*K24</f>
        <v/>
      </c>
      <c r="N24" s="61">
        <f>IF(G24="","",IF(AND(G24&gt;=L24,G24&lt;=M24),"OK","NG"))</f>
        <v/>
      </c>
      <c r="O24" s="69">
        <f>IF(N24="","",IF(N24=D24,1,0))</f>
        <v/>
      </c>
      <c r="P24" s="67">
        <f>IF(G24="","",J24-G24)</f>
        <v/>
      </c>
      <c r="Q24" s="67">
        <f>IF(G24="","",ABS(P24-Components!$D$2))</f>
        <v/>
      </c>
      <c r="R24" s="67">
        <f>IF(G24="","",ABS(P24-Components!$D$3))</f>
        <v/>
      </c>
      <c r="S24" s="67">
        <f>IF(G24="","",ABS(P24-Components!$D$4))</f>
        <v/>
      </c>
      <c r="T24" s="67">
        <f>IF(G24="","",ABS(P24-Components!$D$5))</f>
        <v/>
      </c>
      <c r="U24" s="67">
        <f>IF(G24="","",ABS(P24-Components!$D$6))</f>
        <v/>
      </c>
      <c r="V24" s="67">
        <f>IF(G24="","",ABS(P24-Components!$D$7))</f>
        <v/>
      </c>
      <c r="W24" s="61">
        <f>IF(G24="","",IF(N24="OK","NONE",INDEX({"S1","S2","W1","W2","N1","N2"},MATCH(MIN(Q24:V24),Q24:V24,0))))</f>
        <v/>
      </c>
      <c r="X24" s="69">
        <f>IF(G24="","",IF(W24=E24,1,0))</f>
        <v/>
      </c>
      <c r="Y24" s="70" t="n"/>
    </row>
    <row r="25">
      <c r="A25" s="61" t="n">
        <v>5</v>
      </c>
      <c r="B25" s="62" t="n">
        <v>17</v>
      </c>
      <c r="C25" s="61" t="inlineStr">
        <is>
          <t>R3</t>
        </is>
      </c>
      <c r="D25" s="63" t="inlineStr">
        <is>
          <t>OK</t>
        </is>
      </c>
      <c r="E25" s="61" t="inlineStr">
        <is>
          <t>NONE</t>
        </is>
      </c>
      <c r="F25" s="61" t="inlineStr">
        <is>
          <t>K005</t>
        </is>
      </c>
      <c r="G25" s="64" t="n">
        <v>9.970000000000001</v>
      </c>
      <c r="H25" s="65" t="n"/>
      <c r="I25" s="66" t="n"/>
      <c r="J25" s="67">
        <f>VLOOKUP(C25,Recipes!$A$2:$N$4,10,FALSE())</f>
        <v/>
      </c>
      <c r="K25" s="68">
        <f>VLOOKUP(C25,Recipes!$A$2:$N$4,12,FALSE())</f>
        <v/>
      </c>
      <c r="L25" s="67">
        <f>J25-3.5*K25</f>
        <v/>
      </c>
      <c r="M25" s="67">
        <f>J25+3.5*K25</f>
        <v/>
      </c>
      <c r="N25" s="61">
        <f>IF(G25="","",IF(AND(G25&gt;=L25,G25&lt;=M25),"OK","NG"))</f>
        <v/>
      </c>
      <c r="O25" s="69">
        <f>IF(N25="","",IF(N25=D25,1,0))</f>
        <v/>
      </c>
      <c r="P25" s="67">
        <f>IF(G25="","",J25-G25)</f>
        <v/>
      </c>
      <c r="Q25" s="67">
        <f>IF(G25="","",ABS(P25-Components!$D$2))</f>
        <v/>
      </c>
      <c r="R25" s="67">
        <f>IF(G25="","",ABS(P25-Components!$D$3))</f>
        <v/>
      </c>
      <c r="S25" s="67">
        <f>IF(G25="","",ABS(P25-Components!$D$4))</f>
        <v/>
      </c>
      <c r="T25" s="67">
        <f>IF(G25="","",ABS(P25-Components!$D$5))</f>
        <v/>
      </c>
      <c r="U25" s="67">
        <f>IF(G25="","",ABS(P25-Components!$D$6))</f>
        <v/>
      </c>
      <c r="V25" s="67">
        <f>IF(G25="","",ABS(P25-Components!$D$7))</f>
        <v/>
      </c>
      <c r="W25" s="61">
        <f>IF(G25="","",IF(N25="OK","NONE",INDEX({"S1","S2","W1","W2","N1","N2"},MATCH(MIN(Q25:V25),Q25:V25,0))))</f>
        <v/>
      </c>
      <c r="X25" s="69">
        <f>IF(G25="","",IF(W25=E25,1,0))</f>
        <v/>
      </c>
      <c r="Y25" s="70" t="n"/>
    </row>
    <row r="26">
      <c r="A26" s="61" t="n">
        <v>5</v>
      </c>
      <c r="B26" s="62" t="n">
        <v>17</v>
      </c>
      <c r="C26" s="61" t="inlineStr">
        <is>
          <t>R3</t>
        </is>
      </c>
      <c r="D26" s="63" t="inlineStr">
        <is>
          <t>OK</t>
        </is>
      </c>
      <c r="E26" s="61" t="inlineStr">
        <is>
          <t>NONE</t>
        </is>
      </c>
      <c r="F26" s="61" t="inlineStr">
        <is>
          <t>K005</t>
        </is>
      </c>
      <c r="G26" s="64" t="n">
        <v>10.02</v>
      </c>
      <c r="H26" s="65" t="n"/>
      <c r="I26" s="66" t="n"/>
      <c r="J26" s="67">
        <f>VLOOKUP(C26,Recipes!$A$2:$N$4,10,FALSE())</f>
        <v/>
      </c>
      <c r="K26" s="68">
        <f>VLOOKUP(C26,Recipes!$A$2:$N$4,12,FALSE())</f>
        <v/>
      </c>
      <c r="L26" s="67">
        <f>J26-3.5*K26</f>
        <v/>
      </c>
      <c r="M26" s="67">
        <f>J26+3.5*K26</f>
        <v/>
      </c>
      <c r="N26" s="61">
        <f>IF(G26="","",IF(AND(G26&gt;=L26,G26&lt;=M26),"OK","NG"))</f>
        <v/>
      </c>
      <c r="O26" s="69">
        <f>IF(N26="","",IF(N26=D26,1,0))</f>
        <v/>
      </c>
      <c r="P26" s="67">
        <f>IF(G26="","",J26-G26)</f>
        <v/>
      </c>
      <c r="Q26" s="67">
        <f>IF(G26="","",ABS(P26-Components!$D$2))</f>
        <v/>
      </c>
      <c r="R26" s="67">
        <f>IF(G26="","",ABS(P26-Components!$D$3))</f>
        <v/>
      </c>
      <c r="S26" s="67">
        <f>IF(G26="","",ABS(P26-Components!$D$4))</f>
        <v/>
      </c>
      <c r="T26" s="67">
        <f>IF(G26="","",ABS(P26-Components!$D$5))</f>
        <v/>
      </c>
      <c r="U26" s="67">
        <f>IF(G26="","",ABS(P26-Components!$D$6))</f>
        <v/>
      </c>
      <c r="V26" s="67">
        <f>IF(G26="","",ABS(P26-Components!$D$7))</f>
        <v/>
      </c>
      <c r="W26" s="61">
        <f>IF(G26="","",IF(N26="OK","NONE",INDEX({"S1","S2","W1","W2","N1","N2"},MATCH(MIN(Q26:V26),Q26:V26,0))))</f>
        <v/>
      </c>
      <c r="X26" s="69">
        <f>IF(G26="","",IF(W26=E26,1,0))</f>
        <v/>
      </c>
      <c r="Y26" s="70" t="n"/>
    </row>
    <row r="27">
      <c r="A27" s="61" t="n">
        <v>5</v>
      </c>
      <c r="B27" s="62" t="n">
        <v>17</v>
      </c>
      <c r="C27" s="61" t="inlineStr">
        <is>
          <t>R3</t>
        </is>
      </c>
      <c r="D27" s="63" t="inlineStr">
        <is>
          <t>OK</t>
        </is>
      </c>
      <c r="E27" s="61" t="inlineStr">
        <is>
          <t>NONE</t>
        </is>
      </c>
      <c r="F27" s="61" t="inlineStr">
        <is>
          <t>K005</t>
        </is>
      </c>
      <c r="G27" s="64" t="n">
        <v>10</v>
      </c>
      <c r="H27" s="65" t="n"/>
      <c r="I27" s="66" t="n"/>
      <c r="J27" s="67">
        <f>VLOOKUP(C27,Recipes!$A$2:$N$4,10,FALSE())</f>
        <v/>
      </c>
      <c r="K27" s="68">
        <f>VLOOKUP(C27,Recipes!$A$2:$N$4,12,FALSE())</f>
        <v/>
      </c>
      <c r="L27" s="67">
        <f>J27-3.5*K27</f>
        <v/>
      </c>
      <c r="M27" s="67">
        <f>J27+3.5*K27</f>
        <v/>
      </c>
      <c r="N27" s="61">
        <f>IF(G27="","",IF(AND(G27&gt;=L27,G27&lt;=M27),"OK","NG"))</f>
        <v/>
      </c>
      <c r="O27" s="69">
        <f>IF(N27="","",IF(N27=D27,1,0))</f>
        <v/>
      </c>
      <c r="P27" s="67">
        <f>IF(G27="","",J27-G27)</f>
        <v/>
      </c>
      <c r="Q27" s="67">
        <f>IF(G27="","",ABS(P27-Components!$D$2))</f>
        <v/>
      </c>
      <c r="R27" s="67">
        <f>IF(G27="","",ABS(P27-Components!$D$3))</f>
        <v/>
      </c>
      <c r="S27" s="67">
        <f>IF(G27="","",ABS(P27-Components!$D$4))</f>
        <v/>
      </c>
      <c r="T27" s="67">
        <f>IF(G27="","",ABS(P27-Components!$D$5))</f>
        <v/>
      </c>
      <c r="U27" s="67">
        <f>IF(G27="","",ABS(P27-Components!$D$6))</f>
        <v/>
      </c>
      <c r="V27" s="67">
        <f>IF(G27="","",ABS(P27-Components!$D$7))</f>
        <v/>
      </c>
      <c r="W27" s="61">
        <f>IF(G27="","",IF(N27="OK","NONE",INDEX({"S1","S2","W1","W2","N1","N2"},MATCH(MIN(Q27:V27),Q27:V27,0))))</f>
        <v/>
      </c>
      <c r="X27" s="69">
        <f>IF(G27="","",IF(W27=E27,1,0))</f>
        <v/>
      </c>
      <c r="Y27" s="70" t="n"/>
    </row>
    <row r="28">
      <c r="A28" s="61" t="n">
        <v>5</v>
      </c>
      <c r="B28" s="62" t="n">
        <v>17</v>
      </c>
      <c r="C28" s="61" t="inlineStr">
        <is>
          <t>R3</t>
        </is>
      </c>
      <c r="D28" s="63" t="inlineStr">
        <is>
          <t>OK</t>
        </is>
      </c>
      <c r="E28" s="61" t="inlineStr">
        <is>
          <t>NONE</t>
        </is>
      </c>
      <c r="F28" s="61" t="inlineStr">
        <is>
          <t>K005</t>
        </is>
      </c>
      <c r="G28" s="64" t="n">
        <v>9.93</v>
      </c>
      <c r="H28" s="65" t="n"/>
      <c r="I28" s="66" t="n"/>
      <c r="J28" s="67">
        <f>VLOOKUP(C28,Recipes!$A$2:$N$4,10,FALSE())</f>
        <v/>
      </c>
      <c r="K28" s="68">
        <f>VLOOKUP(C28,Recipes!$A$2:$N$4,12,FALSE())</f>
        <v/>
      </c>
      <c r="L28" s="67">
        <f>J28-3.5*K28</f>
        <v/>
      </c>
      <c r="M28" s="67">
        <f>J28+3.5*K28</f>
        <v/>
      </c>
      <c r="N28" s="61">
        <f>IF(G28="","",IF(AND(G28&gt;=L28,G28&lt;=M28),"OK","NG"))</f>
        <v/>
      </c>
      <c r="O28" s="69">
        <f>IF(N28="","",IF(N28=D28,1,0))</f>
        <v/>
      </c>
      <c r="P28" s="67">
        <f>IF(G28="","",J28-G28)</f>
        <v/>
      </c>
      <c r="Q28" s="67">
        <f>IF(G28="","",ABS(P28-Components!$D$2))</f>
        <v/>
      </c>
      <c r="R28" s="67">
        <f>IF(G28="","",ABS(P28-Components!$D$3))</f>
        <v/>
      </c>
      <c r="S28" s="67">
        <f>IF(G28="","",ABS(P28-Components!$D$4))</f>
        <v/>
      </c>
      <c r="T28" s="67">
        <f>IF(G28="","",ABS(P28-Components!$D$5))</f>
        <v/>
      </c>
      <c r="U28" s="67">
        <f>IF(G28="","",ABS(P28-Components!$D$6))</f>
        <v/>
      </c>
      <c r="V28" s="67">
        <f>IF(G28="","",ABS(P28-Components!$D$7))</f>
        <v/>
      </c>
      <c r="W28" s="61">
        <f>IF(G28="","",IF(N28="OK","NONE",INDEX({"S1","S2","W1","W2","N1","N2"},MATCH(MIN(Q28:V28),Q28:V28,0))))</f>
        <v/>
      </c>
      <c r="X28" s="69">
        <f>IF(G28="","",IF(W28=E28,1,0))</f>
        <v/>
      </c>
      <c r="Y28" s="70" t="n"/>
    </row>
    <row r="29">
      <c r="A29" s="61" t="n">
        <v>5</v>
      </c>
      <c r="B29" s="62" t="n">
        <v>17</v>
      </c>
      <c r="C29" s="61" t="inlineStr">
        <is>
          <t>R3</t>
        </is>
      </c>
      <c r="D29" s="63" t="inlineStr">
        <is>
          <t>OK</t>
        </is>
      </c>
      <c r="E29" s="61" t="inlineStr">
        <is>
          <t>NONE</t>
        </is>
      </c>
      <c r="F29" s="61" t="inlineStr">
        <is>
          <t>K005</t>
        </is>
      </c>
      <c r="G29" s="64" t="n">
        <v>9.970000000000001</v>
      </c>
      <c r="H29" s="65" t="n"/>
      <c r="I29" s="66" t="n"/>
      <c r="J29" s="67">
        <f>VLOOKUP(C29,Recipes!$A$2:$N$4,10,FALSE())</f>
        <v/>
      </c>
      <c r="K29" s="68">
        <f>VLOOKUP(C29,Recipes!$A$2:$N$4,12,FALSE())</f>
        <v/>
      </c>
      <c r="L29" s="67">
        <f>J29-3.5*K29</f>
        <v/>
      </c>
      <c r="M29" s="67">
        <f>J29+3.5*K29</f>
        <v/>
      </c>
      <c r="N29" s="61">
        <f>IF(G29="","",IF(AND(G29&gt;=L29,G29&lt;=M29),"OK","NG"))</f>
        <v/>
      </c>
      <c r="O29" s="69">
        <f>IF(N29="","",IF(N29=D29,1,0))</f>
        <v/>
      </c>
      <c r="P29" s="67">
        <f>IF(G29="","",J29-G29)</f>
        <v/>
      </c>
      <c r="Q29" s="67">
        <f>IF(G29="","",ABS(P29-Components!$D$2))</f>
        <v/>
      </c>
      <c r="R29" s="67">
        <f>IF(G29="","",ABS(P29-Components!$D$3))</f>
        <v/>
      </c>
      <c r="S29" s="67">
        <f>IF(G29="","",ABS(P29-Components!$D$4))</f>
        <v/>
      </c>
      <c r="T29" s="67">
        <f>IF(G29="","",ABS(P29-Components!$D$5))</f>
        <v/>
      </c>
      <c r="U29" s="67">
        <f>IF(G29="","",ABS(P29-Components!$D$6))</f>
        <v/>
      </c>
      <c r="V29" s="67">
        <f>IF(G29="","",ABS(P29-Components!$D$7))</f>
        <v/>
      </c>
      <c r="W29" s="61">
        <f>IF(G29="","",IF(N29="OK","NONE",INDEX({"S1","S2","W1","W2","N1","N2"},MATCH(MIN(Q29:V29),Q29:V29,0))))</f>
        <v/>
      </c>
      <c r="X29" s="69">
        <f>IF(G29="","",IF(W29=E29,1,0))</f>
        <v/>
      </c>
      <c r="Y29" s="70" t="n"/>
    </row>
    <row r="30">
      <c r="A30" s="61" t="n">
        <v>5</v>
      </c>
      <c r="B30" s="62" t="n">
        <v>17</v>
      </c>
      <c r="C30" s="61" t="inlineStr">
        <is>
          <t>R3</t>
        </is>
      </c>
      <c r="D30" s="63" t="inlineStr">
        <is>
          <t>OK</t>
        </is>
      </c>
      <c r="E30" s="61" t="inlineStr">
        <is>
          <t>NONE</t>
        </is>
      </c>
      <c r="F30" s="61" t="inlineStr">
        <is>
          <t>K005</t>
        </is>
      </c>
      <c r="G30" s="64" t="n">
        <v>9.94</v>
      </c>
      <c r="H30" s="65" t="n"/>
      <c r="I30" s="66" t="n"/>
      <c r="J30" s="67">
        <f>VLOOKUP(C30,Recipes!$A$2:$N$4,10,FALSE())</f>
        <v/>
      </c>
      <c r="K30" s="68">
        <f>VLOOKUP(C30,Recipes!$A$2:$N$4,12,FALSE())</f>
        <v/>
      </c>
      <c r="L30" s="67">
        <f>J30-3.5*K30</f>
        <v/>
      </c>
      <c r="M30" s="67">
        <f>J30+3.5*K30</f>
        <v/>
      </c>
      <c r="N30" s="61">
        <f>IF(G30="","",IF(AND(G30&gt;=L30,G30&lt;=M30),"OK","NG"))</f>
        <v/>
      </c>
      <c r="O30" s="69">
        <f>IF(N30="","",IF(N30=D30,1,0))</f>
        <v/>
      </c>
      <c r="P30" s="67">
        <f>IF(G30="","",J30-G30)</f>
        <v/>
      </c>
      <c r="Q30" s="67">
        <f>IF(G30="","",ABS(P30-Components!$D$2))</f>
        <v/>
      </c>
      <c r="R30" s="67">
        <f>IF(G30="","",ABS(P30-Components!$D$3))</f>
        <v/>
      </c>
      <c r="S30" s="67">
        <f>IF(G30="","",ABS(P30-Components!$D$4))</f>
        <v/>
      </c>
      <c r="T30" s="67">
        <f>IF(G30="","",ABS(P30-Components!$D$5))</f>
        <v/>
      </c>
      <c r="U30" s="67">
        <f>IF(G30="","",ABS(P30-Components!$D$6))</f>
        <v/>
      </c>
      <c r="V30" s="67">
        <f>IF(G30="","",ABS(P30-Components!$D$7))</f>
        <v/>
      </c>
      <c r="W30" s="61">
        <f>IF(G30="","",IF(N30="OK","NONE",INDEX({"S1","S2","W1","W2","N1","N2"},MATCH(MIN(Q30:V30),Q30:V30,0))))</f>
        <v/>
      </c>
      <c r="X30" s="69">
        <f>IF(G30="","",IF(W30=E30,1,0))</f>
        <v/>
      </c>
      <c r="Y30" s="70" t="n"/>
    </row>
    <row r="31">
      <c r="A31" s="61" t="n">
        <v>5</v>
      </c>
      <c r="B31" s="62" t="n">
        <v>17</v>
      </c>
      <c r="C31" s="61" t="inlineStr">
        <is>
          <t>R3</t>
        </is>
      </c>
      <c r="D31" s="63" t="inlineStr">
        <is>
          <t>OK</t>
        </is>
      </c>
      <c r="E31" s="61" t="inlineStr">
        <is>
          <t>NONE</t>
        </is>
      </c>
      <c r="F31" s="61" t="inlineStr">
        <is>
          <t>K005</t>
        </is>
      </c>
      <c r="G31" s="64" t="n">
        <v>9.99</v>
      </c>
      <c r="H31" s="65" t="n"/>
      <c r="I31" s="66" t="n"/>
      <c r="J31" s="67">
        <f>VLOOKUP(C31,Recipes!$A$2:$N$4,10,FALSE())</f>
        <v/>
      </c>
      <c r="K31" s="68">
        <f>VLOOKUP(C31,Recipes!$A$2:$N$4,12,FALSE())</f>
        <v/>
      </c>
      <c r="L31" s="67">
        <f>J31-3.5*K31</f>
        <v/>
      </c>
      <c r="M31" s="67">
        <f>J31+3.5*K31</f>
        <v/>
      </c>
      <c r="N31" s="61">
        <f>IF(G31="","",IF(AND(G31&gt;=L31,G31&lt;=M31),"OK","NG"))</f>
        <v/>
      </c>
      <c r="O31" s="69">
        <f>IF(N31="","",IF(N31=D31,1,0))</f>
        <v/>
      </c>
      <c r="P31" s="67">
        <f>IF(G31="","",J31-G31)</f>
        <v/>
      </c>
      <c r="Q31" s="67">
        <f>IF(G31="","",ABS(P31-Components!$D$2))</f>
        <v/>
      </c>
      <c r="R31" s="67">
        <f>IF(G31="","",ABS(P31-Components!$D$3))</f>
        <v/>
      </c>
      <c r="S31" s="67">
        <f>IF(G31="","",ABS(P31-Components!$D$4))</f>
        <v/>
      </c>
      <c r="T31" s="67">
        <f>IF(G31="","",ABS(P31-Components!$D$5))</f>
        <v/>
      </c>
      <c r="U31" s="67">
        <f>IF(G31="","",ABS(P31-Components!$D$6))</f>
        <v/>
      </c>
      <c r="V31" s="67">
        <f>IF(G31="","",ABS(P31-Components!$D$7))</f>
        <v/>
      </c>
      <c r="W31" s="61">
        <f>IF(G31="","",IF(N31="OK","NONE",INDEX({"S1","S2","W1","W2","N1","N2"},MATCH(MIN(Q31:V31),Q31:V31,0))))</f>
        <v/>
      </c>
      <c r="X31" s="69">
        <f>IF(G31="","",IF(W31=E31,1,0))</f>
        <v/>
      </c>
      <c r="Y31" s="70" t="n"/>
    </row>
    <row r="32">
      <c r="A32" s="61" t="n">
        <v>5</v>
      </c>
      <c r="B32" s="62" t="n">
        <v>17</v>
      </c>
      <c r="C32" s="61" t="inlineStr">
        <is>
          <t>R3</t>
        </is>
      </c>
      <c r="D32" s="63" t="inlineStr">
        <is>
          <t>OK</t>
        </is>
      </c>
      <c r="E32" s="61" t="inlineStr">
        <is>
          <t>NONE</t>
        </is>
      </c>
      <c r="F32" s="61" t="inlineStr">
        <is>
          <t>K005</t>
        </is>
      </c>
      <c r="G32" s="73" t="n">
        <v>9.48</v>
      </c>
      <c r="H32" s="65" t="n"/>
      <c r="I32" s="66" t="n"/>
      <c r="J32" s="67">
        <f>VLOOKUP(C32,Recipes!$A$2:$N$4,10,FALSE())</f>
        <v/>
      </c>
      <c r="K32" s="68">
        <f>VLOOKUP(C32,Recipes!$A$2:$N$4,12,FALSE())</f>
        <v/>
      </c>
      <c r="L32" s="67">
        <f>J32-3.5*K32</f>
        <v/>
      </c>
      <c r="M32" s="67">
        <f>J32+3.5*K32</f>
        <v/>
      </c>
      <c r="N32" s="61">
        <f>IF(G32="","",IF(AND(G32&gt;=L32,G32&lt;=M32),"OK","NG"))</f>
        <v/>
      </c>
      <c r="O32" s="69">
        <f>IF(N32="","",IF(N32=D32,1,0))</f>
        <v/>
      </c>
      <c r="P32" s="67">
        <f>IF(G32="","",J32-G32)</f>
        <v/>
      </c>
      <c r="Q32" s="67">
        <f>IF(G32="","",ABS(P32-Components!$D$2))</f>
        <v/>
      </c>
      <c r="R32" s="67">
        <f>IF(G32="","",ABS(P32-Components!$D$3))</f>
        <v/>
      </c>
      <c r="S32" s="67">
        <f>IF(G32="","",ABS(P32-Components!$D$4))</f>
        <v/>
      </c>
      <c r="T32" s="67">
        <f>IF(G32="","",ABS(P32-Components!$D$5))</f>
        <v/>
      </c>
      <c r="U32" s="67">
        <f>IF(G32="","",ABS(P32-Components!$D$6))</f>
        <v/>
      </c>
      <c r="V32" s="67">
        <f>IF(G32="","",ABS(P32-Components!$D$7))</f>
        <v/>
      </c>
      <c r="W32" s="61">
        <f>IF(G32="","",IF(N32="OK","NONE",INDEX({"S1","S2","W1","W2","N1","N2"},MATCH(MIN(Q32:V32),Q32:V32,0))))</f>
        <v/>
      </c>
      <c r="X32" s="71">
        <f>IF(G32="","",IF(W32=E32,1,0))</f>
        <v/>
      </c>
      <c r="Y32" s="70" t="n"/>
    </row>
    <row r="33">
      <c r="A33" s="61" t="n">
        <v>6</v>
      </c>
      <c r="B33" s="62" t="n">
        <v>21</v>
      </c>
      <c r="C33" s="61" t="inlineStr">
        <is>
          <t>R3</t>
        </is>
      </c>
      <c r="D33" s="74" t="inlineStr">
        <is>
          <t>NG</t>
        </is>
      </c>
      <c r="E33" s="61" t="inlineStr">
        <is>
          <t>S2</t>
        </is>
      </c>
      <c r="F33" s="61" t="inlineStr">
        <is>
          <t>K006</t>
        </is>
      </c>
      <c r="G33" s="64" t="n">
        <v>5.91</v>
      </c>
      <c r="H33" s="65" t="n"/>
      <c r="I33" s="66" t="n"/>
      <c r="J33" s="67">
        <f>VLOOKUP(C33,Recipes!$A$2:$N$4,10,FALSE())</f>
        <v/>
      </c>
      <c r="K33" s="68">
        <f>VLOOKUP(C33,Recipes!$A$2:$N$4,12,FALSE())</f>
        <v/>
      </c>
      <c r="L33" s="67">
        <f>J33-3.5*K33</f>
        <v/>
      </c>
      <c r="M33" s="67">
        <f>J33+3.5*K33</f>
        <v/>
      </c>
      <c r="N33" s="61">
        <f>IF(G33="","",IF(AND(G33&gt;=L33,G33&lt;=M33),"OK","NG"))</f>
        <v/>
      </c>
      <c r="O33" s="69">
        <f>IF(N33="","",IF(N33=D33,1,0))</f>
        <v/>
      </c>
      <c r="P33" s="67">
        <f>IF(G33="","",J33-G33)</f>
        <v/>
      </c>
      <c r="Q33" s="67">
        <f>IF(G33="","",ABS(P33-Components!$D$2))</f>
        <v/>
      </c>
      <c r="R33" s="67">
        <f>IF(G33="","",ABS(P33-Components!$D$3))</f>
        <v/>
      </c>
      <c r="S33" s="67">
        <f>IF(G33="","",ABS(P33-Components!$D$4))</f>
        <v/>
      </c>
      <c r="T33" s="67">
        <f>IF(G33="","",ABS(P33-Components!$D$5))</f>
        <v/>
      </c>
      <c r="U33" s="67">
        <f>IF(G33="","",ABS(P33-Components!$D$6))</f>
        <v/>
      </c>
      <c r="V33" s="67">
        <f>IF(G33="","",ABS(P33-Components!$D$7))</f>
        <v/>
      </c>
      <c r="W33" s="61">
        <f>IF(G33="","",IF(N33="OK","NONE",INDEX({"S1","S2","W1","W2","N1","N2"},MATCH(MIN(Q33:V33),Q33:V33,0))))</f>
        <v/>
      </c>
      <c r="X33" s="69">
        <f>IF(G33="","",IF(W33=E33,1,0))</f>
        <v/>
      </c>
      <c r="Y33" s="70" t="n"/>
    </row>
    <row r="34">
      <c r="A34" s="61" t="n">
        <v>7</v>
      </c>
      <c r="B34" s="62" t="n">
        <v>51</v>
      </c>
      <c r="C34" s="61" t="inlineStr">
        <is>
          <t>R3</t>
        </is>
      </c>
      <c r="D34" s="74" t="inlineStr">
        <is>
          <t>NG</t>
        </is>
      </c>
      <c r="E34" s="61" t="inlineStr">
        <is>
          <t>S2</t>
        </is>
      </c>
      <c r="F34" s="61" t="inlineStr">
        <is>
          <t>K007</t>
        </is>
      </c>
      <c r="G34" s="64" t="n">
        <v>5.93</v>
      </c>
      <c r="H34" s="65" t="n"/>
      <c r="I34" s="66" t="n"/>
      <c r="J34" s="67">
        <f>VLOOKUP(C34,Recipes!$A$2:$N$4,10,FALSE())</f>
        <v/>
      </c>
      <c r="K34" s="68">
        <f>VLOOKUP(C34,Recipes!$A$2:$N$4,12,FALSE())</f>
        <v/>
      </c>
      <c r="L34" s="67">
        <f>J34-3.5*K34</f>
        <v/>
      </c>
      <c r="M34" s="67">
        <f>J34+3.5*K34</f>
        <v/>
      </c>
      <c r="N34" s="61">
        <f>IF(G34="","",IF(AND(G34&gt;=L34,G34&lt;=M34),"OK","NG"))</f>
        <v/>
      </c>
      <c r="O34" s="69">
        <f>IF(N34="","",IF(N34=D34,1,0))</f>
        <v/>
      </c>
      <c r="P34" s="67">
        <f>IF(G34="","",J34-G34)</f>
        <v/>
      </c>
      <c r="Q34" s="67">
        <f>IF(G34="","",ABS(P34-Components!$D$2))</f>
        <v/>
      </c>
      <c r="R34" s="67">
        <f>IF(G34="","",ABS(P34-Components!$D$3))</f>
        <v/>
      </c>
      <c r="S34" s="67">
        <f>IF(G34="","",ABS(P34-Components!$D$4))</f>
        <v/>
      </c>
      <c r="T34" s="67">
        <f>IF(G34="","",ABS(P34-Components!$D$5))</f>
        <v/>
      </c>
      <c r="U34" s="67">
        <f>IF(G34="","",ABS(P34-Components!$D$6))</f>
        <v/>
      </c>
      <c r="V34" s="67">
        <f>IF(G34="","",ABS(P34-Components!$D$7))</f>
        <v/>
      </c>
      <c r="W34" s="61">
        <f>IF(G34="","",IF(N34="OK","NONE",INDEX({"S1","S2","W1","W2","N1","N2"},MATCH(MIN(Q34:V34),Q34:V34,0))))</f>
        <v/>
      </c>
      <c r="X34" s="69">
        <f>IF(G34="","",IF(W34=E34,1,0))</f>
        <v/>
      </c>
      <c r="Y34" s="70" t="n"/>
    </row>
    <row r="35">
      <c r="A35" s="61" t="n">
        <v>8</v>
      </c>
      <c r="B35" s="62" t="n">
        <v>54</v>
      </c>
      <c r="C35" s="61" t="inlineStr">
        <is>
          <t>R3</t>
        </is>
      </c>
      <c r="D35" s="74" t="inlineStr">
        <is>
          <t>NG</t>
        </is>
      </c>
      <c r="E35" s="61" t="inlineStr">
        <is>
          <t>S2</t>
        </is>
      </c>
      <c r="F35" s="61" t="inlineStr">
        <is>
          <t>K008</t>
        </is>
      </c>
      <c r="G35" s="64" t="n">
        <v>5.86</v>
      </c>
      <c r="H35" s="65" t="n"/>
      <c r="I35" s="66" t="n"/>
      <c r="J35" s="67">
        <f>VLOOKUP(C35,Recipes!$A$2:$N$4,10,FALSE())</f>
        <v/>
      </c>
      <c r="K35" s="68">
        <f>VLOOKUP(C35,Recipes!$A$2:$N$4,12,FALSE())</f>
        <v/>
      </c>
      <c r="L35" s="67">
        <f>J35-3.5*K35</f>
        <v/>
      </c>
      <c r="M35" s="67">
        <f>J35+3.5*K35</f>
        <v/>
      </c>
      <c r="N35" s="61">
        <f>IF(G35="","",IF(AND(G35&gt;=L35,G35&lt;=M35),"OK","NG"))</f>
        <v/>
      </c>
      <c r="O35" s="69">
        <f>IF(N35="","",IF(N35=D35,1,0))</f>
        <v/>
      </c>
      <c r="P35" s="67">
        <f>IF(G35="","",J35-G35)</f>
        <v/>
      </c>
      <c r="Q35" s="67">
        <f>IF(G35="","",ABS(P35-Components!$D$2))</f>
        <v/>
      </c>
      <c r="R35" s="67">
        <f>IF(G35="","",ABS(P35-Components!$D$3))</f>
        <v/>
      </c>
      <c r="S35" s="67">
        <f>IF(G35="","",ABS(P35-Components!$D$4))</f>
        <v/>
      </c>
      <c r="T35" s="67">
        <f>IF(G35="","",ABS(P35-Components!$D$5))</f>
        <v/>
      </c>
      <c r="U35" s="67">
        <f>IF(G35="","",ABS(P35-Components!$D$6))</f>
        <v/>
      </c>
      <c r="V35" s="67">
        <f>IF(G35="","",ABS(P35-Components!$D$7))</f>
        <v/>
      </c>
      <c r="W35" s="61">
        <f>IF(G35="","",IF(N35="OK","NONE",INDEX({"S1","S2","W1","W2","N1","N2"},MATCH(MIN(Q35:V35),Q35:V35,0))))</f>
        <v/>
      </c>
      <c r="X35" s="69">
        <f>IF(G35="","",IF(W35=E35,1,0))</f>
        <v/>
      </c>
      <c r="Y35" s="70" t="n"/>
    </row>
    <row r="36">
      <c r="A36" s="61" t="n">
        <v>9</v>
      </c>
      <c r="B36" s="62" t="n">
        <v>36</v>
      </c>
      <c r="C36" s="61" t="inlineStr">
        <is>
          <t>R3</t>
        </is>
      </c>
      <c r="D36" s="74" t="inlineStr">
        <is>
          <t>NG</t>
        </is>
      </c>
      <c r="E36" s="61" t="inlineStr">
        <is>
          <t>S2</t>
        </is>
      </c>
      <c r="F36" s="61" t="inlineStr">
        <is>
          <t>K009</t>
        </is>
      </c>
      <c r="G36" s="64" t="n">
        <v>5.94</v>
      </c>
      <c r="H36" s="65" t="n"/>
      <c r="I36" s="66" t="n"/>
      <c r="J36" s="67">
        <f>VLOOKUP(C36,Recipes!$A$2:$N$4,10,FALSE())</f>
        <v/>
      </c>
      <c r="K36" s="68">
        <f>VLOOKUP(C36,Recipes!$A$2:$N$4,12,FALSE())</f>
        <v/>
      </c>
      <c r="L36" s="67">
        <f>J36-3.5*K36</f>
        <v/>
      </c>
      <c r="M36" s="67">
        <f>J36+3.5*K36</f>
        <v/>
      </c>
      <c r="N36" s="61">
        <f>IF(G36="","",IF(AND(G36&gt;=L36,G36&lt;=M36),"OK","NG"))</f>
        <v/>
      </c>
      <c r="O36" s="69">
        <f>IF(N36="","",IF(N36=D36,1,0))</f>
        <v/>
      </c>
      <c r="P36" s="67">
        <f>IF(G36="","",J36-G36)</f>
        <v/>
      </c>
      <c r="Q36" s="67">
        <f>IF(G36="","",ABS(P36-Components!$D$2))</f>
        <v/>
      </c>
      <c r="R36" s="67">
        <f>IF(G36="","",ABS(P36-Components!$D$3))</f>
        <v/>
      </c>
      <c r="S36" s="67">
        <f>IF(G36="","",ABS(P36-Components!$D$4))</f>
        <v/>
      </c>
      <c r="T36" s="67">
        <f>IF(G36="","",ABS(P36-Components!$D$5))</f>
        <v/>
      </c>
      <c r="U36" s="67">
        <f>IF(G36="","",ABS(P36-Components!$D$6))</f>
        <v/>
      </c>
      <c r="V36" s="67">
        <f>IF(G36="","",ABS(P36-Components!$D$7))</f>
        <v/>
      </c>
      <c r="W36" s="61">
        <f>IF(G36="","",IF(N36="OK","NONE",INDEX({"S1","S2","W1","W2","N1","N2"},MATCH(MIN(Q36:V36),Q36:V36,0))))</f>
        <v/>
      </c>
      <c r="X36" s="69">
        <f>IF(G36="","",IF(W36=E36,1,0))</f>
        <v/>
      </c>
      <c r="Y36" s="70" t="n"/>
    </row>
    <row r="37">
      <c r="A37" s="61" t="n">
        <v>9</v>
      </c>
      <c r="B37" s="62" t="n">
        <v>36</v>
      </c>
      <c r="C37" s="61" t="inlineStr">
        <is>
          <t>R3</t>
        </is>
      </c>
      <c r="D37" s="74" t="inlineStr">
        <is>
          <t>NG</t>
        </is>
      </c>
      <c r="E37" s="61" t="inlineStr">
        <is>
          <t>S2</t>
        </is>
      </c>
      <c r="F37" s="61" t="inlineStr">
        <is>
          <t>K009</t>
        </is>
      </c>
      <c r="G37" s="64" t="n">
        <v>5.9</v>
      </c>
      <c r="H37" s="65" t="n"/>
      <c r="I37" s="66" t="n"/>
      <c r="J37" s="67">
        <f>VLOOKUP(C37,Recipes!$A$2:$N$4,10,FALSE())</f>
        <v/>
      </c>
      <c r="K37" s="68">
        <f>VLOOKUP(C37,Recipes!$A$2:$N$4,12,FALSE())</f>
        <v/>
      </c>
      <c r="L37" s="67">
        <f>J37-3.5*K37</f>
        <v/>
      </c>
      <c r="M37" s="67">
        <f>J37+3.5*K37</f>
        <v/>
      </c>
      <c r="N37" s="61">
        <f>IF(G37="","",IF(AND(G37&gt;=L37,G37&lt;=M37),"OK","NG"))</f>
        <v/>
      </c>
      <c r="O37" s="69">
        <f>IF(N37="","",IF(N37=D37,1,0))</f>
        <v/>
      </c>
      <c r="P37" s="67">
        <f>IF(G37="","",J37-G37)</f>
        <v/>
      </c>
      <c r="Q37" s="67">
        <f>IF(G37="","",ABS(P37-Components!$D$2))</f>
        <v/>
      </c>
      <c r="R37" s="67">
        <f>IF(G37="","",ABS(P37-Components!$D$3))</f>
        <v/>
      </c>
      <c r="S37" s="67">
        <f>IF(G37="","",ABS(P37-Components!$D$4))</f>
        <v/>
      </c>
      <c r="T37" s="67">
        <f>IF(G37="","",ABS(P37-Components!$D$5))</f>
        <v/>
      </c>
      <c r="U37" s="67">
        <f>IF(G37="","",ABS(P37-Components!$D$6))</f>
        <v/>
      </c>
      <c r="V37" s="67">
        <f>IF(G37="","",ABS(P37-Components!$D$7))</f>
        <v/>
      </c>
      <c r="W37" s="61">
        <f>IF(G37="","",IF(N37="OK","NONE",INDEX({"S1","S2","W1","W2","N1","N2"},MATCH(MIN(Q37:V37),Q37:V37,0))))</f>
        <v/>
      </c>
      <c r="X37" s="69">
        <f>IF(G37="","",IF(W37=E37,1,0))</f>
        <v/>
      </c>
      <c r="Y37" s="70" t="n"/>
    </row>
    <row r="38">
      <c r="A38" s="61" t="n">
        <v>9</v>
      </c>
      <c r="B38" s="62" t="n">
        <v>36</v>
      </c>
      <c r="C38" s="61" t="inlineStr">
        <is>
          <t>R3</t>
        </is>
      </c>
      <c r="D38" s="74" t="inlineStr">
        <is>
          <t>NG</t>
        </is>
      </c>
      <c r="E38" s="61" t="inlineStr">
        <is>
          <t>S2</t>
        </is>
      </c>
      <c r="F38" s="61" t="inlineStr">
        <is>
          <t>K009</t>
        </is>
      </c>
      <c r="G38" s="64" t="n">
        <v>5.82</v>
      </c>
      <c r="H38" s="65" t="n"/>
      <c r="I38" s="66" t="n"/>
      <c r="J38" s="67">
        <f>VLOOKUP(C38,Recipes!$A$2:$N$4,10,FALSE())</f>
        <v/>
      </c>
      <c r="K38" s="68">
        <f>VLOOKUP(C38,Recipes!$A$2:$N$4,12,FALSE())</f>
        <v/>
      </c>
      <c r="L38" s="67">
        <f>J38-3.5*K38</f>
        <v/>
      </c>
      <c r="M38" s="67">
        <f>J38+3.5*K38</f>
        <v/>
      </c>
      <c r="N38" s="61">
        <f>IF(G38="","",IF(AND(G38&gt;=L38,G38&lt;=M38),"OK","NG"))</f>
        <v/>
      </c>
      <c r="O38" s="69">
        <f>IF(N38="","",IF(N38=D38,1,0))</f>
        <v/>
      </c>
      <c r="P38" s="67">
        <f>IF(G38="","",J38-G38)</f>
        <v/>
      </c>
      <c r="Q38" s="67">
        <f>IF(G38="","",ABS(P38-Components!$D$2))</f>
        <v/>
      </c>
      <c r="R38" s="67">
        <f>IF(G38="","",ABS(P38-Components!$D$3))</f>
        <v/>
      </c>
      <c r="S38" s="67">
        <f>IF(G38="","",ABS(P38-Components!$D$4))</f>
        <v/>
      </c>
      <c r="T38" s="67">
        <f>IF(G38="","",ABS(P38-Components!$D$5))</f>
        <v/>
      </c>
      <c r="U38" s="67">
        <f>IF(G38="","",ABS(P38-Components!$D$6))</f>
        <v/>
      </c>
      <c r="V38" s="67">
        <f>IF(G38="","",ABS(P38-Components!$D$7))</f>
        <v/>
      </c>
      <c r="W38" s="61">
        <f>IF(G38="","",IF(N38="OK","NONE",INDEX({"S1","S2","W1","W2","N1","N2"},MATCH(MIN(Q38:V38),Q38:V38,0))))</f>
        <v/>
      </c>
      <c r="X38" s="69">
        <f>IF(G38="","",IF(W38=E38,1,0))</f>
        <v/>
      </c>
      <c r="Y38" s="70" t="n"/>
    </row>
    <row r="39">
      <c r="A39" s="61" t="n">
        <v>9</v>
      </c>
      <c r="B39" s="62" t="n">
        <v>36</v>
      </c>
      <c r="C39" s="61" t="inlineStr">
        <is>
          <t>R3</t>
        </is>
      </c>
      <c r="D39" s="74" t="inlineStr">
        <is>
          <t>NG</t>
        </is>
      </c>
      <c r="E39" s="61" t="inlineStr">
        <is>
          <t>S2</t>
        </is>
      </c>
      <c r="F39" s="61" t="inlineStr">
        <is>
          <t>K009</t>
        </is>
      </c>
      <c r="G39" s="64" t="n">
        <v>5.87</v>
      </c>
      <c r="H39" s="65" t="n"/>
      <c r="I39" s="66" t="n"/>
      <c r="J39" s="67">
        <f>VLOOKUP(C39,Recipes!$A$2:$N$4,10,FALSE())</f>
        <v/>
      </c>
      <c r="K39" s="68">
        <f>VLOOKUP(C39,Recipes!$A$2:$N$4,12,FALSE())</f>
        <v/>
      </c>
      <c r="L39" s="67">
        <f>J39-3.5*K39</f>
        <v/>
      </c>
      <c r="M39" s="67">
        <f>J39+3.5*K39</f>
        <v/>
      </c>
      <c r="N39" s="61">
        <f>IF(G39="","",IF(AND(G39&gt;=L39,G39&lt;=M39),"OK","NG"))</f>
        <v/>
      </c>
      <c r="O39" s="69">
        <f>IF(N39="","",IF(N39=D39,1,0))</f>
        <v/>
      </c>
      <c r="P39" s="67">
        <f>IF(G39="","",J39-G39)</f>
        <v/>
      </c>
      <c r="Q39" s="67">
        <f>IF(G39="","",ABS(P39-Components!$D$2))</f>
        <v/>
      </c>
      <c r="R39" s="67">
        <f>IF(G39="","",ABS(P39-Components!$D$3))</f>
        <v/>
      </c>
      <c r="S39" s="67">
        <f>IF(G39="","",ABS(P39-Components!$D$4))</f>
        <v/>
      </c>
      <c r="T39" s="67">
        <f>IF(G39="","",ABS(P39-Components!$D$5))</f>
        <v/>
      </c>
      <c r="U39" s="67">
        <f>IF(G39="","",ABS(P39-Components!$D$6))</f>
        <v/>
      </c>
      <c r="V39" s="67">
        <f>IF(G39="","",ABS(P39-Components!$D$7))</f>
        <v/>
      </c>
      <c r="W39" s="61">
        <f>IF(G39="","",IF(N39="OK","NONE",INDEX({"S1","S2","W1","W2","N1","N2"},MATCH(MIN(Q39:V39),Q39:V39,0))))</f>
        <v/>
      </c>
      <c r="X39" s="69">
        <f>IF(G39="","",IF(W39=E39,1,0))</f>
        <v/>
      </c>
      <c r="Y39" s="70" t="n"/>
    </row>
    <row r="40">
      <c r="A40" s="61" t="n">
        <v>9</v>
      </c>
      <c r="B40" s="62" t="n">
        <v>36</v>
      </c>
      <c r="C40" s="61" t="inlineStr">
        <is>
          <t>R3</t>
        </is>
      </c>
      <c r="D40" s="74" t="inlineStr">
        <is>
          <t>NG</t>
        </is>
      </c>
      <c r="E40" s="61" t="inlineStr">
        <is>
          <t>S2</t>
        </is>
      </c>
      <c r="F40" s="61" t="inlineStr">
        <is>
          <t>K009</t>
        </is>
      </c>
      <c r="G40" s="64" t="n">
        <v>5.89</v>
      </c>
      <c r="H40" s="65" t="n"/>
      <c r="I40" s="66" t="n"/>
      <c r="J40" s="67">
        <f>VLOOKUP(C40,Recipes!$A$2:$N$4,10,FALSE())</f>
        <v/>
      </c>
      <c r="K40" s="68">
        <f>VLOOKUP(C40,Recipes!$A$2:$N$4,12,FALSE())</f>
        <v/>
      </c>
      <c r="L40" s="67">
        <f>J40-3.5*K40</f>
        <v/>
      </c>
      <c r="M40" s="67">
        <f>J40+3.5*K40</f>
        <v/>
      </c>
      <c r="N40" s="61">
        <f>IF(G40="","",IF(AND(G40&gt;=L40,G40&lt;=M40),"OK","NG"))</f>
        <v/>
      </c>
      <c r="O40" s="69">
        <f>IF(N40="","",IF(N40=D40,1,0))</f>
        <v/>
      </c>
      <c r="P40" s="67">
        <f>IF(G40="","",J40-G40)</f>
        <v/>
      </c>
      <c r="Q40" s="67">
        <f>IF(G40="","",ABS(P40-Components!$D$2))</f>
        <v/>
      </c>
      <c r="R40" s="67">
        <f>IF(G40="","",ABS(P40-Components!$D$3))</f>
        <v/>
      </c>
      <c r="S40" s="67">
        <f>IF(G40="","",ABS(P40-Components!$D$4))</f>
        <v/>
      </c>
      <c r="T40" s="67">
        <f>IF(G40="","",ABS(P40-Components!$D$5))</f>
        <v/>
      </c>
      <c r="U40" s="67">
        <f>IF(G40="","",ABS(P40-Components!$D$6))</f>
        <v/>
      </c>
      <c r="V40" s="67">
        <f>IF(G40="","",ABS(P40-Components!$D$7))</f>
        <v/>
      </c>
      <c r="W40" s="61">
        <f>IF(G40="","",IF(N40="OK","NONE",INDEX({"S1","S2","W1","W2","N1","N2"},MATCH(MIN(Q40:V40),Q40:V40,0))))</f>
        <v/>
      </c>
      <c r="X40" s="69">
        <f>IF(G40="","",IF(W40=E40,1,0))</f>
        <v/>
      </c>
      <c r="Y40" s="70" t="n"/>
    </row>
    <row r="41">
      <c r="A41" s="61" t="n">
        <v>9</v>
      </c>
      <c r="B41" s="62" t="n">
        <v>36</v>
      </c>
      <c r="C41" s="61" t="inlineStr">
        <is>
          <t>R3</t>
        </is>
      </c>
      <c r="D41" s="74" t="inlineStr">
        <is>
          <t>NG</t>
        </is>
      </c>
      <c r="E41" s="61" t="inlineStr">
        <is>
          <t>S2</t>
        </is>
      </c>
      <c r="F41" s="61" t="inlineStr">
        <is>
          <t>K009</t>
        </is>
      </c>
      <c r="G41" s="64" t="n">
        <v>5.91</v>
      </c>
      <c r="H41" s="65" t="n"/>
      <c r="I41" s="66" t="n"/>
      <c r="J41" s="67">
        <f>VLOOKUP(C41,Recipes!$A$2:$N$4,10,FALSE())</f>
        <v/>
      </c>
      <c r="K41" s="68">
        <f>VLOOKUP(C41,Recipes!$A$2:$N$4,12,FALSE())</f>
        <v/>
      </c>
      <c r="L41" s="67">
        <f>J41-3.5*K41</f>
        <v/>
      </c>
      <c r="M41" s="67">
        <f>J41+3.5*K41</f>
        <v/>
      </c>
      <c r="N41" s="61">
        <f>IF(G41="","",IF(AND(G41&gt;=L41,G41&lt;=M41),"OK","NG"))</f>
        <v/>
      </c>
      <c r="O41" s="69">
        <f>IF(N41="","",IF(N41=D41,1,0))</f>
        <v/>
      </c>
      <c r="P41" s="67">
        <f>IF(G41="","",J41-G41)</f>
        <v/>
      </c>
      <c r="Q41" s="67">
        <f>IF(G41="","",ABS(P41-Components!$D$2))</f>
        <v/>
      </c>
      <c r="R41" s="67">
        <f>IF(G41="","",ABS(P41-Components!$D$3))</f>
        <v/>
      </c>
      <c r="S41" s="67">
        <f>IF(G41="","",ABS(P41-Components!$D$4))</f>
        <v/>
      </c>
      <c r="T41" s="67">
        <f>IF(G41="","",ABS(P41-Components!$D$5))</f>
        <v/>
      </c>
      <c r="U41" s="67">
        <f>IF(G41="","",ABS(P41-Components!$D$6))</f>
        <v/>
      </c>
      <c r="V41" s="67">
        <f>IF(G41="","",ABS(P41-Components!$D$7))</f>
        <v/>
      </c>
      <c r="W41" s="61">
        <f>IF(G41="","",IF(N41="OK","NONE",INDEX({"S1","S2","W1","W2","N1","N2"},MATCH(MIN(Q41:V41),Q41:V41,0))))</f>
        <v/>
      </c>
      <c r="X41" s="69">
        <f>IF(G41="","",IF(W41=E41,1,0))</f>
        <v/>
      </c>
      <c r="Y41" s="70" t="n"/>
    </row>
    <row r="42">
      <c r="A42" s="61" t="n">
        <v>9</v>
      </c>
      <c r="B42" s="62" t="n">
        <v>36</v>
      </c>
      <c r="C42" s="61" t="inlineStr">
        <is>
          <t>R3</t>
        </is>
      </c>
      <c r="D42" s="74" t="inlineStr">
        <is>
          <t>NG</t>
        </is>
      </c>
      <c r="E42" s="61" t="inlineStr">
        <is>
          <t>S2</t>
        </is>
      </c>
      <c r="F42" s="61" t="inlineStr">
        <is>
          <t>K009</t>
        </is>
      </c>
      <c r="G42" s="64" t="n">
        <v>5.94</v>
      </c>
      <c r="H42" s="65" t="n"/>
      <c r="I42" s="66" t="n"/>
      <c r="J42" s="67">
        <f>VLOOKUP(C42,Recipes!$A$2:$N$4,10,FALSE())</f>
        <v/>
      </c>
      <c r="K42" s="68">
        <f>VLOOKUP(C42,Recipes!$A$2:$N$4,12,FALSE())</f>
        <v/>
      </c>
      <c r="L42" s="67">
        <f>J42-3.5*K42</f>
        <v/>
      </c>
      <c r="M42" s="67">
        <f>J42+3.5*K42</f>
        <v/>
      </c>
      <c r="N42" s="61">
        <f>IF(G42="","",IF(AND(G42&gt;=L42,G42&lt;=M42),"OK","NG"))</f>
        <v/>
      </c>
      <c r="O42" s="69">
        <f>IF(N42="","",IF(N42=D42,1,0))</f>
        <v/>
      </c>
      <c r="P42" s="67">
        <f>IF(G42="","",J42-G42)</f>
        <v/>
      </c>
      <c r="Q42" s="67">
        <f>IF(G42="","",ABS(P42-Components!$D$2))</f>
        <v/>
      </c>
      <c r="R42" s="67">
        <f>IF(G42="","",ABS(P42-Components!$D$3))</f>
        <v/>
      </c>
      <c r="S42" s="67">
        <f>IF(G42="","",ABS(P42-Components!$D$4))</f>
        <v/>
      </c>
      <c r="T42" s="67">
        <f>IF(G42="","",ABS(P42-Components!$D$5))</f>
        <v/>
      </c>
      <c r="U42" s="67">
        <f>IF(G42="","",ABS(P42-Components!$D$6))</f>
        <v/>
      </c>
      <c r="V42" s="67">
        <f>IF(G42="","",ABS(P42-Components!$D$7))</f>
        <v/>
      </c>
      <c r="W42" s="61">
        <f>IF(G42="","",IF(N42="OK","NONE",INDEX({"S1","S2","W1","W2","N1","N2"},MATCH(MIN(Q42:V42),Q42:V42,0))))</f>
        <v/>
      </c>
      <c r="X42" s="69">
        <f>IF(G42="","",IF(W42=E42,1,0))</f>
        <v/>
      </c>
      <c r="Y42" s="70" t="n"/>
    </row>
    <row r="43">
      <c r="A43" s="61" t="n">
        <v>9</v>
      </c>
      <c r="B43" s="62" t="n">
        <v>36</v>
      </c>
      <c r="C43" s="61" t="inlineStr">
        <is>
          <t>R3</t>
        </is>
      </c>
      <c r="D43" s="74" t="inlineStr">
        <is>
          <t>NG</t>
        </is>
      </c>
      <c r="E43" s="61" t="inlineStr">
        <is>
          <t>S2</t>
        </is>
      </c>
      <c r="F43" s="61" t="inlineStr">
        <is>
          <t>K009</t>
        </is>
      </c>
      <c r="G43" s="64" t="n">
        <v>5.91</v>
      </c>
      <c r="H43" s="65" t="n"/>
      <c r="I43" s="66" t="n"/>
      <c r="J43" s="67">
        <f>VLOOKUP(C43,Recipes!$A$2:$N$4,10,FALSE())</f>
        <v/>
      </c>
      <c r="K43" s="68">
        <f>VLOOKUP(C43,Recipes!$A$2:$N$4,12,FALSE())</f>
        <v/>
      </c>
      <c r="L43" s="67">
        <f>J43-3.5*K43</f>
        <v/>
      </c>
      <c r="M43" s="67">
        <f>J43+3.5*K43</f>
        <v/>
      </c>
      <c r="N43" s="61">
        <f>IF(G43="","",IF(AND(G43&gt;=L43,G43&lt;=M43),"OK","NG"))</f>
        <v/>
      </c>
      <c r="O43" s="69">
        <f>IF(N43="","",IF(N43=D43,1,0))</f>
        <v/>
      </c>
      <c r="P43" s="67">
        <f>IF(G43="","",J43-G43)</f>
        <v/>
      </c>
      <c r="Q43" s="67">
        <f>IF(G43="","",ABS(P43-Components!$D$2))</f>
        <v/>
      </c>
      <c r="R43" s="67">
        <f>IF(G43="","",ABS(P43-Components!$D$3))</f>
        <v/>
      </c>
      <c r="S43" s="67">
        <f>IF(G43="","",ABS(P43-Components!$D$4))</f>
        <v/>
      </c>
      <c r="T43" s="67">
        <f>IF(G43="","",ABS(P43-Components!$D$5))</f>
        <v/>
      </c>
      <c r="U43" s="67">
        <f>IF(G43="","",ABS(P43-Components!$D$6))</f>
        <v/>
      </c>
      <c r="V43" s="67">
        <f>IF(G43="","",ABS(P43-Components!$D$7))</f>
        <v/>
      </c>
      <c r="W43" s="61">
        <f>IF(G43="","",IF(N43="OK","NONE",INDEX({"S1","S2","W1","W2","N1","N2"},MATCH(MIN(Q43:V43),Q43:V43,0))))</f>
        <v/>
      </c>
      <c r="X43" s="69">
        <f>IF(G43="","",IF(W43=E43,1,0))</f>
        <v/>
      </c>
      <c r="Y43" s="70" t="n"/>
    </row>
    <row r="44">
      <c r="A44" s="61" t="n">
        <v>9</v>
      </c>
      <c r="B44" s="62" t="n">
        <v>36</v>
      </c>
      <c r="C44" s="61" t="inlineStr">
        <is>
          <t>R3</t>
        </is>
      </c>
      <c r="D44" s="74" t="inlineStr">
        <is>
          <t>NG</t>
        </is>
      </c>
      <c r="E44" s="61" t="inlineStr">
        <is>
          <t>S2</t>
        </is>
      </c>
      <c r="F44" s="61" t="inlineStr">
        <is>
          <t>K009</t>
        </is>
      </c>
      <c r="G44" s="64" t="n">
        <v>5.96</v>
      </c>
      <c r="H44" s="65" t="n"/>
      <c r="I44" s="66" t="n"/>
      <c r="J44" s="67">
        <f>VLOOKUP(C44,Recipes!$A$2:$N$4,10,FALSE())</f>
        <v/>
      </c>
      <c r="K44" s="68">
        <f>VLOOKUP(C44,Recipes!$A$2:$N$4,12,FALSE())</f>
        <v/>
      </c>
      <c r="L44" s="67">
        <f>J44-3.5*K44</f>
        <v/>
      </c>
      <c r="M44" s="67">
        <f>J44+3.5*K44</f>
        <v/>
      </c>
      <c r="N44" s="61">
        <f>IF(G44="","",IF(AND(G44&gt;=L44,G44&lt;=M44),"OK","NG"))</f>
        <v/>
      </c>
      <c r="O44" s="69">
        <f>IF(N44="","",IF(N44=D44,1,0))</f>
        <v/>
      </c>
      <c r="P44" s="67">
        <f>IF(G44="","",J44-G44)</f>
        <v/>
      </c>
      <c r="Q44" s="67">
        <f>IF(G44="","",ABS(P44-Components!$D$2))</f>
        <v/>
      </c>
      <c r="R44" s="67">
        <f>IF(G44="","",ABS(P44-Components!$D$3))</f>
        <v/>
      </c>
      <c r="S44" s="67">
        <f>IF(G44="","",ABS(P44-Components!$D$4))</f>
        <v/>
      </c>
      <c r="T44" s="67">
        <f>IF(G44="","",ABS(P44-Components!$D$5))</f>
        <v/>
      </c>
      <c r="U44" s="67">
        <f>IF(G44="","",ABS(P44-Components!$D$6))</f>
        <v/>
      </c>
      <c r="V44" s="67">
        <f>IF(G44="","",ABS(P44-Components!$D$7))</f>
        <v/>
      </c>
      <c r="W44" s="61">
        <f>IF(G44="","",IF(N44="OK","NONE",INDEX({"S1","S2","W1","W2","N1","N2"},MATCH(MIN(Q44:V44),Q44:V44,0))))</f>
        <v/>
      </c>
      <c r="X44" s="69">
        <f>IF(G44="","",IF(W44=E44,1,0))</f>
        <v/>
      </c>
      <c r="Y44" s="70" t="n"/>
    </row>
    <row r="45">
      <c r="A45" s="61" t="n">
        <v>9</v>
      </c>
      <c r="B45" s="62" t="n">
        <v>36</v>
      </c>
      <c r="C45" s="61" t="inlineStr">
        <is>
          <t>R3</t>
        </is>
      </c>
      <c r="D45" s="74" t="inlineStr">
        <is>
          <t>NG</t>
        </is>
      </c>
      <c r="E45" s="61" t="inlineStr">
        <is>
          <t>S2</t>
        </is>
      </c>
      <c r="F45" s="61" t="inlineStr">
        <is>
          <t>K009</t>
        </is>
      </c>
      <c r="G45" s="64" t="n">
        <v>5.98</v>
      </c>
      <c r="H45" s="65" t="n"/>
      <c r="I45" s="66" t="n"/>
      <c r="J45" s="67">
        <f>VLOOKUP(C45,Recipes!$A$2:$N$4,10,FALSE())</f>
        <v/>
      </c>
      <c r="K45" s="68">
        <f>VLOOKUP(C45,Recipes!$A$2:$N$4,12,FALSE())</f>
        <v/>
      </c>
      <c r="L45" s="67">
        <f>J45-3.5*K45</f>
        <v/>
      </c>
      <c r="M45" s="67">
        <f>J45+3.5*K45</f>
        <v/>
      </c>
      <c r="N45" s="61">
        <f>IF(G45="","",IF(AND(G45&gt;=L45,G45&lt;=M45),"OK","NG"))</f>
        <v/>
      </c>
      <c r="O45" s="69">
        <f>IF(N45="","",IF(N45=D45,1,0))</f>
        <v/>
      </c>
      <c r="P45" s="67">
        <f>IF(G45="","",J45-G45)</f>
        <v/>
      </c>
      <c r="Q45" s="67">
        <f>IF(G45="","",ABS(P45-Components!$D$2))</f>
        <v/>
      </c>
      <c r="R45" s="67">
        <f>IF(G45="","",ABS(P45-Components!$D$3))</f>
        <v/>
      </c>
      <c r="S45" s="67">
        <f>IF(G45="","",ABS(P45-Components!$D$4))</f>
        <v/>
      </c>
      <c r="T45" s="67">
        <f>IF(G45="","",ABS(P45-Components!$D$5))</f>
        <v/>
      </c>
      <c r="U45" s="67">
        <f>IF(G45="","",ABS(P45-Components!$D$6))</f>
        <v/>
      </c>
      <c r="V45" s="67">
        <f>IF(G45="","",ABS(P45-Components!$D$7))</f>
        <v/>
      </c>
      <c r="W45" s="61">
        <f>IF(G45="","",IF(N45="OK","NONE",INDEX({"S1","S2","W1","W2","N1","N2"},MATCH(MIN(Q45:V45),Q45:V45,0))))</f>
        <v/>
      </c>
      <c r="X45" s="69">
        <f>IF(G45="","",IF(W45=E45,1,0))</f>
        <v/>
      </c>
      <c r="Y45" s="70" t="n"/>
    </row>
    <row r="46">
      <c r="A46" s="61" t="n">
        <v>9</v>
      </c>
      <c r="B46" s="62" t="n">
        <v>36</v>
      </c>
      <c r="C46" s="61" t="inlineStr">
        <is>
          <t>R3</t>
        </is>
      </c>
      <c r="D46" s="74" t="inlineStr">
        <is>
          <t>NG</t>
        </is>
      </c>
      <c r="E46" s="61" t="inlineStr">
        <is>
          <t>S2</t>
        </is>
      </c>
      <c r="F46" s="61" t="inlineStr">
        <is>
          <t>K009</t>
        </is>
      </c>
      <c r="G46" s="64" t="n">
        <v>5.94</v>
      </c>
      <c r="H46" s="65" t="n"/>
      <c r="I46" s="66" t="n"/>
      <c r="J46" s="67">
        <f>VLOOKUP(C46,Recipes!$A$2:$N$4,10,FALSE())</f>
        <v/>
      </c>
      <c r="K46" s="68">
        <f>VLOOKUP(C46,Recipes!$A$2:$N$4,12,FALSE())</f>
        <v/>
      </c>
      <c r="L46" s="67">
        <f>J46-3.5*K46</f>
        <v/>
      </c>
      <c r="M46" s="67">
        <f>J46+3.5*K46</f>
        <v/>
      </c>
      <c r="N46" s="61">
        <f>IF(G46="","",IF(AND(G46&gt;=L46,G46&lt;=M46),"OK","NG"))</f>
        <v/>
      </c>
      <c r="O46" s="69">
        <f>IF(N46="","",IF(N46=D46,1,0))</f>
        <v/>
      </c>
      <c r="P46" s="67">
        <f>IF(G46="","",J46-G46)</f>
        <v/>
      </c>
      <c r="Q46" s="67">
        <f>IF(G46="","",ABS(P46-Components!$D$2))</f>
        <v/>
      </c>
      <c r="R46" s="67">
        <f>IF(G46="","",ABS(P46-Components!$D$3))</f>
        <v/>
      </c>
      <c r="S46" s="67">
        <f>IF(G46="","",ABS(P46-Components!$D$4))</f>
        <v/>
      </c>
      <c r="T46" s="67">
        <f>IF(G46="","",ABS(P46-Components!$D$5))</f>
        <v/>
      </c>
      <c r="U46" s="67">
        <f>IF(G46="","",ABS(P46-Components!$D$6))</f>
        <v/>
      </c>
      <c r="V46" s="67">
        <f>IF(G46="","",ABS(P46-Components!$D$7))</f>
        <v/>
      </c>
      <c r="W46" s="61">
        <f>IF(G46="","",IF(N46="OK","NONE",INDEX({"S1","S2","W1","W2","N1","N2"},MATCH(MIN(Q46:V46),Q46:V46,0))))</f>
        <v/>
      </c>
      <c r="X46" s="69">
        <f>IF(G46="","",IF(W46=E46,1,0))</f>
        <v/>
      </c>
      <c r="Y46" s="70" t="n"/>
    </row>
    <row r="47">
      <c r="A47" s="61" t="n">
        <v>9</v>
      </c>
      <c r="B47" s="62" t="n">
        <v>36</v>
      </c>
      <c r="C47" s="61" t="inlineStr">
        <is>
          <t>R3</t>
        </is>
      </c>
      <c r="D47" s="74" t="inlineStr">
        <is>
          <t>NG</t>
        </is>
      </c>
      <c r="E47" s="61" t="inlineStr">
        <is>
          <t>S2</t>
        </is>
      </c>
      <c r="F47" s="61" t="inlineStr">
        <is>
          <t>K009</t>
        </is>
      </c>
      <c r="G47" s="64" t="n">
        <v>5.87</v>
      </c>
      <c r="H47" s="65" t="n"/>
      <c r="I47" s="66" t="n"/>
      <c r="J47" s="67">
        <f>VLOOKUP(C47,Recipes!$A$2:$N$4,10,FALSE())</f>
        <v/>
      </c>
      <c r="K47" s="68">
        <f>VLOOKUP(C47,Recipes!$A$2:$N$4,12,FALSE())</f>
        <v/>
      </c>
      <c r="L47" s="67">
        <f>J47-3.5*K47</f>
        <v/>
      </c>
      <c r="M47" s="67">
        <f>J47+3.5*K47</f>
        <v/>
      </c>
      <c r="N47" s="61">
        <f>IF(G47="","",IF(AND(G47&gt;=L47,G47&lt;=M47),"OK","NG"))</f>
        <v/>
      </c>
      <c r="O47" s="69">
        <f>IF(N47="","",IF(N47=D47,1,0))</f>
        <v/>
      </c>
      <c r="P47" s="67">
        <f>IF(G47="","",J47-G47)</f>
        <v/>
      </c>
      <c r="Q47" s="67">
        <f>IF(G47="","",ABS(P47-Components!$D$2))</f>
        <v/>
      </c>
      <c r="R47" s="67">
        <f>IF(G47="","",ABS(P47-Components!$D$3))</f>
        <v/>
      </c>
      <c r="S47" s="67">
        <f>IF(G47="","",ABS(P47-Components!$D$4))</f>
        <v/>
      </c>
      <c r="T47" s="67">
        <f>IF(G47="","",ABS(P47-Components!$D$5))</f>
        <v/>
      </c>
      <c r="U47" s="67">
        <f>IF(G47="","",ABS(P47-Components!$D$6))</f>
        <v/>
      </c>
      <c r="V47" s="67">
        <f>IF(G47="","",ABS(P47-Components!$D$7))</f>
        <v/>
      </c>
      <c r="W47" s="61">
        <f>IF(G47="","",IF(N47="OK","NONE",INDEX({"S1","S2","W1","W2","N1","N2"},MATCH(MIN(Q47:V47),Q47:V47,0))))</f>
        <v/>
      </c>
      <c r="X47" s="69">
        <f>IF(G47="","",IF(W47=E47,1,0))</f>
        <v/>
      </c>
      <c r="Y47" s="70" t="n"/>
    </row>
    <row r="48">
      <c r="A48" s="61" t="n">
        <v>9</v>
      </c>
      <c r="B48" s="62" t="n">
        <v>36</v>
      </c>
      <c r="C48" s="61" t="inlineStr">
        <is>
          <t>R3</t>
        </is>
      </c>
      <c r="D48" s="74" t="inlineStr">
        <is>
          <t>NG</t>
        </is>
      </c>
      <c r="E48" s="61" t="inlineStr">
        <is>
          <t>S2</t>
        </is>
      </c>
      <c r="F48" s="61" t="inlineStr">
        <is>
          <t>K009</t>
        </is>
      </c>
      <c r="G48" s="64" t="n">
        <v>5.95</v>
      </c>
      <c r="H48" s="65" t="n"/>
      <c r="I48" s="66" t="n"/>
      <c r="J48" s="67">
        <f>VLOOKUP(C48,Recipes!$A$2:$N$4,10,FALSE())</f>
        <v/>
      </c>
      <c r="K48" s="68">
        <f>VLOOKUP(C48,Recipes!$A$2:$N$4,12,FALSE())</f>
        <v/>
      </c>
      <c r="L48" s="67">
        <f>J48-3.5*K48</f>
        <v/>
      </c>
      <c r="M48" s="67">
        <f>J48+3.5*K48</f>
        <v/>
      </c>
      <c r="N48" s="61">
        <f>IF(G48="","",IF(AND(G48&gt;=L48,G48&lt;=M48),"OK","NG"))</f>
        <v/>
      </c>
      <c r="O48" s="69">
        <f>IF(N48="","",IF(N48=D48,1,0))</f>
        <v/>
      </c>
      <c r="P48" s="67">
        <f>IF(G48="","",J48-G48)</f>
        <v/>
      </c>
      <c r="Q48" s="67">
        <f>IF(G48="","",ABS(P48-Components!$D$2))</f>
        <v/>
      </c>
      <c r="R48" s="67">
        <f>IF(G48="","",ABS(P48-Components!$D$3))</f>
        <v/>
      </c>
      <c r="S48" s="67">
        <f>IF(G48="","",ABS(P48-Components!$D$4))</f>
        <v/>
      </c>
      <c r="T48" s="67">
        <f>IF(G48="","",ABS(P48-Components!$D$5))</f>
        <v/>
      </c>
      <c r="U48" s="67">
        <f>IF(G48="","",ABS(P48-Components!$D$6))</f>
        <v/>
      </c>
      <c r="V48" s="67">
        <f>IF(G48="","",ABS(P48-Components!$D$7))</f>
        <v/>
      </c>
      <c r="W48" s="61">
        <f>IF(G48="","",IF(N48="OK","NONE",INDEX({"S1","S2","W1","W2","N1","N2"},MATCH(MIN(Q48:V48),Q48:V48,0))))</f>
        <v/>
      </c>
      <c r="X48" s="69">
        <f>IF(G48="","",IF(W48=E48,1,0))</f>
        <v/>
      </c>
      <c r="Y48" s="70" t="n"/>
    </row>
    <row r="49">
      <c r="A49" s="61" t="n">
        <v>9</v>
      </c>
      <c r="B49" s="62" t="n">
        <v>36</v>
      </c>
      <c r="C49" s="61" t="inlineStr">
        <is>
          <t>R3</t>
        </is>
      </c>
      <c r="D49" s="74" t="inlineStr">
        <is>
          <t>NG</t>
        </is>
      </c>
      <c r="E49" s="61" t="inlineStr">
        <is>
          <t>S2</t>
        </is>
      </c>
      <c r="F49" s="61" t="inlineStr">
        <is>
          <t>K009</t>
        </is>
      </c>
      <c r="G49" s="64" t="n">
        <v>5.89</v>
      </c>
      <c r="H49" s="65" t="n"/>
      <c r="I49" s="66" t="n"/>
      <c r="J49" s="67">
        <f>VLOOKUP(C49,Recipes!$A$2:$N$4,10,FALSE())</f>
        <v/>
      </c>
      <c r="K49" s="68">
        <f>VLOOKUP(C49,Recipes!$A$2:$N$4,12,FALSE())</f>
        <v/>
      </c>
      <c r="L49" s="67">
        <f>J49-3.5*K49</f>
        <v/>
      </c>
      <c r="M49" s="67">
        <f>J49+3.5*K49</f>
        <v/>
      </c>
      <c r="N49" s="61">
        <f>IF(G49="","",IF(AND(G49&gt;=L49,G49&lt;=M49),"OK","NG"))</f>
        <v/>
      </c>
      <c r="O49" s="69">
        <f>IF(N49="","",IF(N49=D49,1,0))</f>
        <v/>
      </c>
      <c r="P49" s="67">
        <f>IF(G49="","",J49-G49)</f>
        <v/>
      </c>
      <c r="Q49" s="67">
        <f>IF(G49="","",ABS(P49-Components!$D$2))</f>
        <v/>
      </c>
      <c r="R49" s="67">
        <f>IF(G49="","",ABS(P49-Components!$D$3))</f>
        <v/>
      </c>
      <c r="S49" s="67">
        <f>IF(G49="","",ABS(P49-Components!$D$4))</f>
        <v/>
      </c>
      <c r="T49" s="67">
        <f>IF(G49="","",ABS(P49-Components!$D$5))</f>
        <v/>
      </c>
      <c r="U49" s="67">
        <f>IF(G49="","",ABS(P49-Components!$D$6))</f>
        <v/>
      </c>
      <c r="V49" s="67">
        <f>IF(G49="","",ABS(P49-Components!$D$7))</f>
        <v/>
      </c>
      <c r="W49" s="61">
        <f>IF(G49="","",IF(N49="OK","NONE",INDEX({"S1","S2","W1","W2","N1","N2"},MATCH(MIN(Q49:V49),Q49:V49,0))))</f>
        <v/>
      </c>
      <c r="X49" s="69">
        <f>IF(G49="","",IF(W49=E49,1,0))</f>
        <v/>
      </c>
      <c r="Y49" s="70" t="n"/>
    </row>
    <row r="50">
      <c r="A50" s="61" t="n">
        <v>9</v>
      </c>
      <c r="B50" s="62" t="n">
        <v>36</v>
      </c>
      <c r="C50" s="61" t="inlineStr">
        <is>
          <t>R3</t>
        </is>
      </c>
      <c r="D50" s="74" t="inlineStr">
        <is>
          <t>NG</t>
        </is>
      </c>
      <c r="E50" s="61" t="inlineStr">
        <is>
          <t>S2</t>
        </is>
      </c>
      <c r="F50" s="61" t="inlineStr">
        <is>
          <t>K009</t>
        </is>
      </c>
      <c r="G50" s="64" t="n">
        <v>5.88</v>
      </c>
      <c r="H50" s="65" t="n"/>
      <c r="I50" s="66" t="n"/>
      <c r="J50" s="67">
        <f>VLOOKUP(C50,Recipes!$A$2:$N$4,10,FALSE())</f>
        <v/>
      </c>
      <c r="K50" s="68">
        <f>VLOOKUP(C50,Recipes!$A$2:$N$4,12,FALSE())</f>
        <v/>
      </c>
      <c r="L50" s="67">
        <f>J50-3.5*K50</f>
        <v/>
      </c>
      <c r="M50" s="67">
        <f>J50+3.5*K50</f>
        <v/>
      </c>
      <c r="N50" s="61">
        <f>IF(G50="","",IF(AND(G50&gt;=L50,G50&lt;=M50),"OK","NG"))</f>
        <v/>
      </c>
      <c r="O50" s="69">
        <f>IF(N50="","",IF(N50=D50,1,0))</f>
        <v/>
      </c>
      <c r="P50" s="67">
        <f>IF(G50="","",J50-G50)</f>
        <v/>
      </c>
      <c r="Q50" s="67">
        <f>IF(G50="","",ABS(P50-Components!$D$2))</f>
        <v/>
      </c>
      <c r="R50" s="67">
        <f>IF(G50="","",ABS(P50-Components!$D$3))</f>
        <v/>
      </c>
      <c r="S50" s="67">
        <f>IF(G50="","",ABS(P50-Components!$D$4))</f>
        <v/>
      </c>
      <c r="T50" s="67">
        <f>IF(G50="","",ABS(P50-Components!$D$5))</f>
        <v/>
      </c>
      <c r="U50" s="67">
        <f>IF(G50="","",ABS(P50-Components!$D$6))</f>
        <v/>
      </c>
      <c r="V50" s="67">
        <f>IF(G50="","",ABS(P50-Components!$D$7))</f>
        <v/>
      </c>
      <c r="W50" s="61">
        <f>IF(G50="","",IF(N50="OK","NONE",INDEX({"S1","S2","W1","W2","N1","N2"},MATCH(MIN(Q50:V50),Q50:V50,0))))</f>
        <v/>
      </c>
      <c r="X50" s="69">
        <f>IF(G50="","",IF(W50=E50,1,0))</f>
        <v/>
      </c>
      <c r="Y50" s="70" t="n"/>
    </row>
    <row r="51">
      <c r="A51" s="61" t="n">
        <v>9</v>
      </c>
      <c r="B51" s="62" t="n">
        <v>36</v>
      </c>
      <c r="C51" s="61" t="inlineStr">
        <is>
          <t>R3</t>
        </is>
      </c>
      <c r="D51" s="74" t="inlineStr">
        <is>
          <t>NG</t>
        </is>
      </c>
      <c r="E51" s="61" t="inlineStr">
        <is>
          <t>S2</t>
        </is>
      </c>
      <c r="F51" s="61" t="inlineStr">
        <is>
          <t>K009</t>
        </is>
      </c>
      <c r="G51" s="64" t="n">
        <v>5.94</v>
      </c>
      <c r="H51" s="65" t="n"/>
      <c r="I51" s="66" t="n"/>
      <c r="J51" s="67">
        <f>VLOOKUP(C51,Recipes!$A$2:$N$4,10,FALSE())</f>
        <v/>
      </c>
      <c r="K51" s="68">
        <f>VLOOKUP(C51,Recipes!$A$2:$N$4,12,FALSE())</f>
        <v/>
      </c>
      <c r="L51" s="67">
        <f>J51-3.5*K51</f>
        <v/>
      </c>
      <c r="M51" s="67">
        <f>J51+3.5*K51</f>
        <v/>
      </c>
      <c r="N51" s="61">
        <f>IF(G51="","",IF(AND(G51&gt;=L51,G51&lt;=M51),"OK","NG"))</f>
        <v/>
      </c>
      <c r="O51" s="69">
        <f>IF(N51="","",IF(N51=D51,1,0))</f>
        <v/>
      </c>
      <c r="P51" s="67">
        <f>IF(G51="","",J51-G51)</f>
        <v/>
      </c>
      <c r="Q51" s="67">
        <f>IF(G51="","",ABS(P51-Components!$D$2))</f>
        <v/>
      </c>
      <c r="R51" s="67">
        <f>IF(G51="","",ABS(P51-Components!$D$3))</f>
        <v/>
      </c>
      <c r="S51" s="67">
        <f>IF(G51="","",ABS(P51-Components!$D$4))</f>
        <v/>
      </c>
      <c r="T51" s="67">
        <f>IF(G51="","",ABS(P51-Components!$D$5))</f>
        <v/>
      </c>
      <c r="U51" s="67">
        <f>IF(G51="","",ABS(P51-Components!$D$6))</f>
        <v/>
      </c>
      <c r="V51" s="67">
        <f>IF(G51="","",ABS(P51-Components!$D$7))</f>
        <v/>
      </c>
      <c r="W51" s="61">
        <f>IF(G51="","",IF(N51="OK","NONE",INDEX({"S1","S2","W1","W2","N1","N2"},MATCH(MIN(Q51:V51),Q51:V51,0))))</f>
        <v/>
      </c>
      <c r="X51" s="69">
        <f>IF(G51="","",IF(W51=E51,1,0))</f>
        <v/>
      </c>
      <c r="Y51" s="70" t="n"/>
    </row>
    <row r="52">
      <c r="A52" s="61" t="n">
        <v>9</v>
      </c>
      <c r="B52" s="62" t="n">
        <v>36</v>
      </c>
      <c r="C52" s="61" t="inlineStr">
        <is>
          <t>R3</t>
        </is>
      </c>
      <c r="D52" s="74" t="inlineStr">
        <is>
          <t>NG</t>
        </is>
      </c>
      <c r="E52" s="61" t="inlineStr">
        <is>
          <t>S2</t>
        </is>
      </c>
      <c r="F52" s="61" t="inlineStr">
        <is>
          <t>K009</t>
        </is>
      </c>
      <c r="G52" s="64" t="n">
        <v>5.93</v>
      </c>
      <c r="H52" s="65" t="n"/>
      <c r="I52" s="66" t="n"/>
      <c r="J52" s="67">
        <f>VLOOKUP(C52,Recipes!$A$2:$N$4,10,FALSE())</f>
        <v/>
      </c>
      <c r="K52" s="68">
        <f>VLOOKUP(C52,Recipes!$A$2:$N$4,12,FALSE())</f>
        <v/>
      </c>
      <c r="L52" s="67">
        <f>J52-3.5*K52</f>
        <v/>
      </c>
      <c r="M52" s="67">
        <f>J52+3.5*K52</f>
        <v/>
      </c>
      <c r="N52" s="61">
        <f>IF(G52="","",IF(AND(G52&gt;=L52,G52&lt;=M52),"OK","NG"))</f>
        <v/>
      </c>
      <c r="O52" s="69">
        <f>IF(N52="","",IF(N52=D52,1,0))</f>
        <v/>
      </c>
      <c r="P52" s="67">
        <f>IF(G52="","",J52-G52)</f>
        <v/>
      </c>
      <c r="Q52" s="67">
        <f>IF(G52="","",ABS(P52-Components!$D$2))</f>
        <v/>
      </c>
      <c r="R52" s="67">
        <f>IF(G52="","",ABS(P52-Components!$D$3))</f>
        <v/>
      </c>
      <c r="S52" s="67">
        <f>IF(G52="","",ABS(P52-Components!$D$4))</f>
        <v/>
      </c>
      <c r="T52" s="67">
        <f>IF(G52="","",ABS(P52-Components!$D$5))</f>
        <v/>
      </c>
      <c r="U52" s="67">
        <f>IF(G52="","",ABS(P52-Components!$D$6))</f>
        <v/>
      </c>
      <c r="V52" s="67">
        <f>IF(G52="","",ABS(P52-Components!$D$7))</f>
        <v/>
      </c>
      <c r="W52" s="61">
        <f>IF(G52="","",IF(N52="OK","NONE",INDEX({"S1","S2","W1","W2","N1","N2"},MATCH(MIN(Q52:V52),Q52:V52,0))))</f>
        <v/>
      </c>
      <c r="X52" s="69">
        <f>IF(G52="","",IF(W52=E52,1,0))</f>
        <v/>
      </c>
      <c r="Y52" s="70" t="n"/>
    </row>
    <row r="53">
      <c r="A53" s="61" t="n">
        <v>9</v>
      </c>
      <c r="B53" s="62" t="n">
        <v>36</v>
      </c>
      <c r="C53" s="61" t="inlineStr">
        <is>
          <t>R3</t>
        </is>
      </c>
      <c r="D53" s="74" t="inlineStr">
        <is>
          <t>NG</t>
        </is>
      </c>
      <c r="E53" s="61" t="inlineStr">
        <is>
          <t>S2</t>
        </is>
      </c>
      <c r="F53" s="61" t="inlineStr">
        <is>
          <t>K009</t>
        </is>
      </c>
      <c r="G53" s="64" t="n">
        <v>5.99</v>
      </c>
      <c r="H53" s="65" t="n"/>
      <c r="I53" s="66" t="n"/>
      <c r="J53" s="67">
        <f>VLOOKUP(C53,Recipes!$A$2:$N$4,10,FALSE())</f>
        <v/>
      </c>
      <c r="K53" s="68">
        <f>VLOOKUP(C53,Recipes!$A$2:$N$4,12,FALSE())</f>
        <v/>
      </c>
      <c r="L53" s="67">
        <f>J53-3.5*K53</f>
        <v/>
      </c>
      <c r="M53" s="67">
        <f>J53+3.5*K53</f>
        <v/>
      </c>
      <c r="N53" s="61">
        <f>IF(G53="","",IF(AND(G53&gt;=L53,G53&lt;=M53),"OK","NG"))</f>
        <v/>
      </c>
      <c r="O53" s="69">
        <f>IF(N53="","",IF(N53=D53,1,0))</f>
        <v/>
      </c>
      <c r="P53" s="67">
        <f>IF(G53="","",J53-G53)</f>
        <v/>
      </c>
      <c r="Q53" s="67">
        <f>IF(G53="","",ABS(P53-Components!$D$2))</f>
        <v/>
      </c>
      <c r="R53" s="67">
        <f>IF(G53="","",ABS(P53-Components!$D$3))</f>
        <v/>
      </c>
      <c r="S53" s="67">
        <f>IF(G53="","",ABS(P53-Components!$D$4))</f>
        <v/>
      </c>
      <c r="T53" s="67">
        <f>IF(G53="","",ABS(P53-Components!$D$5))</f>
        <v/>
      </c>
      <c r="U53" s="67">
        <f>IF(G53="","",ABS(P53-Components!$D$6))</f>
        <v/>
      </c>
      <c r="V53" s="67">
        <f>IF(G53="","",ABS(P53-Components!$D$7))</f>
        <v/>
      </c>
      <c r="W53" s="61">
        <f>IF(G53="","",IF(N53="OK","NONE",INDEX({"S1","S2","W1","W2","N1","N2"},MATCH(MIN(Q53:V53),Q53:V53,0))))</f>
        <v/>
      </c>
      <c r="X53" s="69">
        <f>IF(G53="","",IF(W53=E53,1,0))</f>
        <v/>
      </c>
      <c r="Y53" s="70" t="n"/>
    </row>
    <row r="54">
      <c r="A54" s="61" t="n">
        <v>9</v>
      </c>
      <c r="B54" s="62" t="n">
        <v>36</v>
      </c>
      <c r="C54" s="61" t="inlineStr">
        <is>
          <t>R3</t>
        </is>
      </c>
      <c r="D54" s="74" t="inlineStr">
        <is>
          <t>NG</t>
        </is>
      </c>
      <c r="E54" s="61" t="inlineStr">
        <is>
          <t>S2</t>
        </is>
      </c>
      <c r="F54" s="61" t="inlineStr">
        <is>
          <t>K009</t>
        </is>
      </c>
      <c r="G54" s="64" t="n">
        <v>5.92</v>
      </c>
      <c r="H54" s="65" t="n"/>
      <c r="I54" s="66" t="n"/>
      <c r="J54" s="67">
        <f>VLOOKUP(C54,Recipes!$A$2:$N$4,10,FALSE())</f>
        <v/>
      </c>
      <c r="K54" s="68">
        <f>VLOOKUP(C54,Recipes!$A$2:$N$4,12,FALSE())</f>
        <v/>
      </c>
      <c r="L54" s="67">
        <f>J54-3.5*K54</f>
        <v/>
      </c>
      <c r="M54" s="67">
        <f>J54+3.5*K54</f>
        <v/>
      </c>
      <c r="N54" s="61">
        <f>IF(G54="","",IF(AND(G54&gt;=L54,G54&lt;=M54),"OK","NG"))</f>
        <v/>
      </c>
      <c r="O54" s="69">
        <f>IF(N54="","",IF(N54=D54,1,0))</f>
        <v/>
      </c>
      <c r="P54" s="67">
        <f>IF(G54="","",J54-G54)</f>
        <v/>
      </c>
      <c r="Q54" s="67">
        <f>IF(G54="","",ABS(P54-Components!$D$2))</f>
        <v/>
      </c>
      <c r="R54" s="67">
        <f>IF(G54="","",ABS(P54-Components!$D$3))</f>
        <v/>
      </c>
      <c r="S54" s="67">
        <f>IF(G54="","",ABS(P54-Components!$D$4))</f>
        <v/>
      </c>
      <c r="T54" s="67">
        <f>IF(G54="","",ABS(P54-Components!$D$5))</f>
        <v/>
      </c>
      <c r="U54" s="67">
        <f>IF(G54="","",ABS(P54-Components!$D$6))</f>
        <v/>
      </c>
      <c r="V54" s="67">
        <f>IF(G54="","",ABS(P54-Components!$D$7))</f>
        <v/>
      </c>
      <c r="W54" s="61">
        <f>IF(G54="","",IF(N54="OK","NONE",INDEX({"S1","S2","W1","W2","N1","N2"},MATCH(MIN(Q54:V54),Q54:V54,0))))</f>
        <v/>
      </c>
      <c r="X54" s="69">
        <f>IF(G54="","",IF(W54=E54,1,0))</f>
        <v/>
      </c>
      <c r="Y54" s="70" t="n"/>
    </row>
    <row r="55">
      <c r="A55" s="61" t="n">
        <v>9</v>
      </c>
      <c r="B55" s="62" t="n">
        <v>36</v>
      </c>
      <c r="C55" s="61" t="inlineStr">
        <is>
          <t>R3</t>
        </is>
      </c>
      <c r="D55" s="74" t="inlineStr">
        <is>
          <t>NG</t>
        </is>
      </c>
      <c r="E55" s="61" t="inlineStr">
        <is>
          <t>S2</t>
        </is>
      </c>
      <c r="F55" s="61" t="inlineStr">
        <is>
          <t>K009</t>
        </is>
      </c>
      <c r="G55" s="64" t="n">
        <v>5.78</v>
      </c>
      <c r="H55" s="65" t="n"/>
      <c r="I55" s="66" t="n"/>
      <c r="J55" s="67">
        <f>VLOOKUP(C55,Recipes!$A$2:$N$4,10,FALSE())</f>
        <v/>
      </c>
      <c r="K55" s="68">
        <f>VLOOKUP(C55,Recipes!$A$2:$N$4,12,FALSE())</f>
        <v/>
      </c>
      <c r="L55" s="67">
        <f>J55-3.5*K55</f>
        <v/>
      </c>
      <c r="M55" s="67">
        <f>J55+3.5*K55</f>
        <v/>
      </c>
      <c r="N55" s="61">
        <f>IF(G55="","",IF(AND(G55&gt;=L55,G55&lt;=M55),"OK","NG"))</f>
        <v/>
      </c>
      <c r="O55" s="69">
        <f>IF(N55="","",IF(N55=D55,1,0))</f>
        <v/>
      </c>
      <c r="P55" s="67">
        <f>IF(G55="","",J55-G55)</f>
        <v/>
      </c>
      <c r="Q55" s="67">
        <f>IF(G55="","",ABS(P55-Components!$D$2))</f>
        <v/>
      </c>
      <c r="R55" s="67">
        <f>IF(G55="","",ABS(P55-Components!$D$3))</f>
        <v/>
      </c>
      <c r="S55" s="67">
        <f>IF(G55="","",ABS(P55-Components!$D$4))</f>
        <v/>
      </c>
      <c r="T55" s="67">
        <f>IF(G55="","",ABS(P55-Components!$D$5))</f>
        <v/>
      </c>
      <c r="U55" s="67">
        <f>IF(G55="","",ABS(P55-Components!$D$6))</f>
        <v/>
      </c>
      <c r="V55" s="67">
        <f>IF(G55="","",ABS(P55-Components!$D$7))</f>
        <v/>
      </c>
      <c r="W55" s="61">
        <f>IF(G55="","",IF(N55="OK","NONE",INDEX({"S1","S2","W1","W2","N1","N2"},MATCH(MIN(Q55:V55),Q55:V55,0))))</f>
        <v/>
      </c>
      <c r="X55" s="69">
        <f>IF(G55="","",IF(W55=E55,1,0))</f>
        <v/>
      </c>
      <c r="Y55" s="70" t="n"/>
    </row>
    <row r="56">
      <c r="A56" s="61" t="n">
        <v>9</v>
      </c>
      <c r="B56" s="62" t="n">
        <v>36</v>
      </c>
      <c r="C56" s="61" t="inlineStr">
        <is>
          <t>R3</t>
        </is>
      </c>
      <c r="D56" s="74" t="inlineStr">
        <is>
          <t>NG</t>
        </is>
      </c>
      <c r="E56" s="61" t="inlineStr">
        <is>
          <t>S2</t>
        </is>
      </c>
      <c r="F56" s="61" t="inlineStr">
        <is>
          <t>K009</t>
        </is>
      </c>
      <c r="G56" s="64" t="n">
        <v>5.95</v>
      </c>
      <c r="H56" s="65" t="n"/>
      <c r="I56" s="66" t="n"/>
      <c r="J56" s="67">
        <f>VLOOKUP(C56,Recipes!$A$2:$N$4,10,FALSE())</f>
        <v/>
      </c>
      <c r="K56" s="68">
        <f>VLOOKUP(C56,Recipes!$A$2:$N$4,12,FALSE())</f>
        <v/>
      </c>
      <c r="L56" s="67">
        <f>J56-3.5*K56</f>
        <v/>
      </c>
      <c r="M56" s="67">
        <f>J56+3.5*K56</f>
        <v/>
      </c>
      <c r="N56" s="61">
        <f>IF(G56="","",IF(AND(G56&gt;=L56,G56&lt;=M56),"OK","NG"))</f>
        <v/>
      </c>
      <c r="O56" s="69">
        <f>IF(N56="","",IF(N56=D56,1,0))</f>
        <v/>
      </c>
      <c r="P56" s="67">
        <f>IF(G56="","",J56-G56)</f>
        <v/>
      </c>
      <c r="Q56" s="67">
        <f>IF(G56="","",ABS(P56-Components!$D$2))</f>
        <v/>
      </c>
      <c r="R56" s="67">
        <f>IF(G56="","",ABS(P56-Components!$D$3))</f>
        <v/>
      </c>
      <c r="S56" s="67">
        <f>IF(G56="","",ABS(P56-Components!$D$4))</f>
        <v/>
      </c>
      <c r="T56" s="67">
        <f>IF(G56="","",ABS(P56-Components!$D$5))</f>
        <v/>
      </c>
      <c r="U56" s="67">
        <f>IF(G56="","",ABS(P56-Components!$D$6))</f>
        <v/>
      </c>
      <c r="V56" s="67">
        <f>IF(G56="","",ABS(P56-Components!$D$7))</f>
        <v/>
      </c>
      <c r="W56" s="61">
        <f>IF(G56="","",IF(N56="OK","NONE",INDEX({"S1","S2","W1","W2","N1","N2"},MATCH(MIN(Q56:V56),Q56:V56,0))))</f>
        <v/>
      </c>
      <c r="X56" s="69">
        <f>IF(G56="","",IF(W56=E56,1,0))</f>
        <v/>
      </c>
      <c r="Y56" s="70" t="n"/>
    </row>
    <row r="57">
      <c r="A57" s="61" t="n">
        <v>9</v>
      </c>
      <c r="B57" s="62" t="n">
        <v>36</v>
      </c>
      <c r="C57" s="61" t="inlineStr">
        <is>
          <t>R3</t>
        </is>
      </c>
      <c r="D57" s="74" t="inlineStr">
        <is>
          <t>NG</t>
        </is>
      </c>
      <c r="E57" s="61" t="inlineStr">
        <is>
          <t>S2</t>
        </is>
      </c>
      <c r="F57" s="61" t="inlineStr">
        <is>
          <t>K009</t>
        </is>
      </c>
      <c r="G57" s="64" t="n">
        <v>5.92</v>
      </c>
      <c r="H57" s="65" t="n"/>
      <c r="I57" s="66" t="n"/>
      <c r="J57" s="67">
        <f>VLOOKUP(C57,Recipes!$A$2:$N$4,10,FALSE())</f>
        <v/>
      </c>
      <c r="K57" s="68">
        <f>VLOOKUP(C57,Recipes!$A$2:$N$4,12,FALSE())</f>
        <v/>
      </c>
      <c r="L57" s="67">
        <f>J57-3.5*K57</f>
        <v/>
      </c>
      <c r="M57" s="67">
        <f>J57+3.5*K57</f>
        <v/>
      </c>
      <c r="N57" s="61">
        <f>IF(G57="","",IF(AND(G57&gt;=L57,G57&lt;=M57),"OK","NG"))</f>
        <v/>
      </c>
      <c r="O57" s="69">
        <f>IF(N57="","",IF(N57=D57,1,0))</f>
        <v/>
      </c>
      <c r="P57" s="67">
        <f>IF(G57="","",J57-G57)</f>
        <v/>
      </c>
      <c r="Q57" s="67">
        <f>IF(G57="","",ABS(P57-Components!$D$2))</f>
        <v/>
      </c>
      <c r="R57" s="67">
        <f>IF(G57="","",ABS(P57-Components!$D$3))</f>
        <v/>
      </c>
      <c r="S57" s="67">
        <f>IF(G57="","",ABS(P57-Components!$D$4))</f>
        <v/>
      </c>
      <c r="T57" s="67">
        <f>IF(G57="","",ABS(P57-Components!$D$5))</f>
        <v/>
      </c>
      <c r="U57" s="67">
        <f>IF(G57="","",ABS(P57-Components!$D$6))</f>
        <v/>
      </c>
      <c r="V57" s="67">
        <f>IF(G57="","",ABS(P57-Components!$D$7))</f>
        <v/>
      </c>
      <c r="W57" s="61">
        <f>IF(G57="","",IF(N57="OK","NONE",INDEX({"S1","S2","W1","W2","N1","N2"},MATCH(MIN(Q57:V57),Q57:V57,0))))</f>
        <v/>
      </c>
      <c r="X57" s="69">
        <f>IF(G57="","",IF(W57=E57,1,0))</f>
        <v/>
      </c>
      <c r="Y57" s="70" t="n"/>
    </row>
    <row r="58">
      <c r="A58" s="61" t="n">
        <v>9</v>
      </c>
      <c r="B58" s="62" t="n">
        <v>36</v>
      </c>
      <c r="C58" s="61" t="inlineStr">
        <is>
          <t>R3</t>
        </is>
      </c>
      <c r="D58" s="74" t="inlineStr">
        <is>
          <t>NG</t>
        </is>
      </c>
      <c r="E58" s="61" t="inlineStr">
        <is>
          <t>S2</t>
        </is>
      </c>
      <c r="F58" s="61" t="inlineStr">
        <is>
          <t>K009</t>
        </is>
      </c>
      <c r="G58" s="64" t="n">
        <v>5.94</v>
      </c>
      <c r="H58" s="65" t="n"/>
      <c r="I58" s="66" t="n"/>
      <c r="J58" s="67">
        <f>VLOOKUP(C58,Recipes!$A$2:$N$4,10,FALSE())</f>
        <v/>
      </c>
      <c r="K58" s="68">
        <f>VLOOKUP(C58,Recipes!$A$2:$N$4,12,FALSE())</f>
        <v/>
      </c>
      <c r="L58" s="67">
        <f>J58-3.5*K58</f>
        <v/>
      </c>
      <c r="M58" s="67">
        <f>J58+3.5*K58</f>
        <v/>
      </c>
      <c r="N58" s="61">
        <f>IF(G58="","",IF(AND(G58&gt;=L58,G58&lt;=M58),"OK","NG"))</f>
        <v/>
      </c>
      <c r="O58" s="69">
        <f>IF(N58="","",IF(N58=D58,1,0))</f>
        <v/>
      </c>
      <c r="P58" s="67">
        <f>IF(G58="","",J58-G58)</f>
        <v/>
      </c>
      <c r="Q58" s="67">
        <f>IF(G58="","",ABS(P58-Components!$D$2))</f>
        <v/>
      </c>
      <c r="R58" s="67">
        <f>IF(G58="","",ABS(P58-Components!$D$3))</f>
        <v/>
      </c>
      <c r="S58" s="67">
        <f>IF(G58="","",ABS(P58-Components!$D$4))</f>
        <v/>
      </c>
      <c r="T58" s="67">
        <f>IF(G58="","",ABS(P58-Components!$D$5))</f>
        <v/>
      </c>
      <c r="U58" s="67">
        <f>IF(G58="","",ABS(P58-Components!$D$6))</f>
        <v/>
      </c>
      <c r="V58" s="67">
        <f>IF(G58="","",ABS(P58-Components!$D$7))</f>
        <v/>
      </c>
      <c r="W58" s="61">
        <f>IF(G58="","",IF(N58="OK","NONE",INDEX({"S1","S2","W1","W2","N1","N2"},MATCH(MIN(Q58:V58),Q58:V58,0))))</f>
        <v/>
      </c>
      <c r="X58" s="69">
        <f>IF(G58="","",IF(W58=E58,1,0))</f>
        <v/>
      </c>
      <c r="Y58" s="70" t="n"/>
    </row>
    <row r="59">
      <c r="A59" s="61" t="n">
        <v>9</v>
      </c>
      <c r="B59" s="62" t="n">
        <v>36</v>
      </c>
      <c r="C59" s="61" t="inlineStr">
        <is>
          <t>R3</t>
        </is>
      </c>
      <c r="D59" s="74" t="inlineStr">
        <is>
          <t>NG</t>
        </is>
      </c>
      <c r="E59" s="61" t="inlineStr">
        <is>
          <t>S2</t>
        </is>
      </c>
      <c r="F59" s="61" t="inlineStr">
        <is>
          <t>K009</t>
        </is>
      </c>
      <c r="G59" s="64" t="n">
        <v>5.9</v>
      </c>
      <c r="H59" s="65" t="n"/>
      <c r="I59" s="66" t="n"/>
      <c r="J59" s="67">
        <f>VLOOKUP(C59,Recipes!$A$2:$N$4,10,FALSE())</f>
        <v/>
      </c>
      <c r="K59" s="68">
        <f>VLOOKUP(C59,Recipes!$A$2:$N$4,12,FALSE())</f>
        <v/>
      </c>
      <c r="L59" s="67">
        <f>J59-3.5*K59</f>
        <v/>
      </c>
      <c r="M59" s="67">
        <f>J59+3.5*K59</f>
        <v/>
      </c>
      <c r="N59" s="61">
        <f>IF(G59="","",IF(AND(G59&gt;=L59,G59&lt;=M59),"OK","NG"))</f>
        <v/>
      </c>
      <c r="O59" s="69">
        <f>IF(N59="","",IF(N59=D59,1,0))</f>
        <v/>
      </c>
      <c r="P59" s="67">
        <f>IF(G59="","",J59-G59)</f>
        <v/>
      </c>
      <c r="Q59" s="67">
        <f>IF(G59="","",ABS(P59-Components!$D$2))</f>
        <v/>
      </c>
      <c r="R59" s="67">
        <f>IF(G59="","",ABS(P59-Components!$D$3))</f>
        <v/>
      </c>
      <c r="S59" s="67">
        <f>IF(G59="","",ABS(P59-Components!$D$4))</f>
        <v/>
      </c>
      <c r="T59" s="67">
        <f>IF(G59="","",ABS(P59-Components!$D$5))</f>
        <v/>
      </c>
      <c r="U59" s="67">
        <f>IF(G59="","",ABS(P59-Components!$D$6))</f>
        <v/>
      </c>
      <c r="V59" s="67">
        <f>IF(G59="","",ABS(P59-Components!$D$7))</f>
        <v/>
      </c>
      <c r="W59" s="61">
        <f>IF(G59="","",IF(N59="OK","NONE",INDEX({"S1","S2","W1","W2","N1","N2"},MATCH(MIN(Q59:V59),Q59:V59,0))))</f>
        <v/>
      </c>
      <c r="X59" s="69">
        <f>IF(G59="","",IF(W59=E59,1,0))</f>
        <v/>
      </c>
      <c r="Y59" s="70" t="n"/>
    </row>
    <row r="60">
      <c r="A60" s="61" t="n">
        <v>9</v>
      </c>
      <c r="B60" s="62" t="n">
        <v>36</v>
      </c>
      <c r="C60" s="61" t="inlineStr">
        <is>
          <t>R3</t>
        </is>
      </c>
      <c r="D60" s="74" t="inlineStr">
        <is>
          <t>NG</t>
        </is>
      </c>
      <c r="E60" s="61" t="inlineStr">
        <is>
          <t>S2</t>
        </is>
      </c>
      <c r="F60" s="61" t="inlineStr">
        <is>
          <t>K009</t>
        </is>
      </c>
      <c r="G60" s="64" t="n">
        <v>5.92</v>
      </c>
      <c r="H60" s="65" t="n"/>
      <c r="I60" s="66" t="n"/>
      <c r="J60" s="67">
        <f>VLOOKUP(C60,Recipes!$A$2:$N$4,10,FALSE())</f>
        <v/>
      </c>
      <c r="K60" s="68">
        <f>VLOOKUP(C60,Recipes!$A$2:$N$4,12,FALSE())</f>
        <v/>
      </c>
      <c r="L60" s="67">
        <f>J60-3.5*K60</f>
        <v/>
      </c>
      <c r="M60" s="67">
        <f>J60+3.5*K60</f>
        <v/>
      </c>
      <c r="N60" s="61">
        <f>IF(G60="","",IF(AND(G60&gt;=L60,G60&lt;=M60),"OK","NG"))</f>
        <v/>
      </c>
      <c r="O60" s="69">
        <f>IF(N60="","",IF(N60=D60,1,0))</f>
        <v/>
      </c>
      <c r="P60" s="67">
        <f>IF(G60="","",J60-G60)</f>
        <v/>
      </c>
      <c r="Q60" s="67">
        <f>IF(G60="","",ABS(P60-Components!$D$2))</f>
        <v/>
      </c>
      <c r="R60" s="67">
        <f>IF(G60="","",ABS(P60-Components!$D$3))</f>
        <v/>
      </c>
      <c r="S60" s="67">
        <f>IF(G60="","",ABS(P60-Components!$D$4))</f>
        <v/>
      </c>
      <c r="T60" s="67">
        <f>IF(G60="","",ABS(P60-Components!$D$5))</f>
        <v/>
      </c>
      <c r="U60" s="67">
        <f>IF(G60="","",ABS(P60-Components!$D$6))</f>
        <v/>
      </c>
      <c r="V60" s="67">
        <f>IF(G60="","",ABS(P60-Components!$D$7))</f>
        <v/>
      </c>
      <c r="W60" s="61">
        <f>IF(G60="","",IF(N60="OK","NONE",INDEX({"S1","S2","W1","W2","N1","N2"},MATCH(MIN(Q60:V60),Q60:V60,0))))</f>
        <v/>
      </c>
      <c r="X60" s="69">
        <f>IF(G60="","",IF(W60=E60,1,0))</f>
        <v/>
      </c>
      <c r="Y60" s="70" t="n"/>
    </row>
    <row r="61">
      <c r="A61" s="61" t="n">
        <v>9</v>
      </c>
      <c r="B61" s="62" t="n">
        <v>36</v>
      </c>
      <c r="C61" s="61" t="inlineStr">
        <is>
          <t>R3</t>
        </is>
      </c>
      <c r="D61" s="74" t="inlineStr">
        <is>
          <t>NG</t>
        </is>
      </c>
      <c r="E61" s="61" t="inlineStr">
        <is>
          <t>S2</t>
        </is>
      </c>
      <c r="F61" s="61" t="inlineStr">
        <is>
          <t>K009</t>
        </is>
      </c>
      <c r="G61" s="64" t="n">
        <v>5.4</v>
      </c>
      <c r="H61" s="65" t="n"/>
      <c r="I61" s="66" t="n"/>
      <c r="J61" s="67">
        <f>VLOOKUP(C61,Recipes!$A$2:$N$4,10,FALSE())</f>
        <v/>
      </c>
      <c r="K61" s="68">
        <f>VLOOKUP(C61,Recipes!$A$2:$N$4,12,FALSE())</f>
        <v/>
      </c>
      <c r="L61" s="67">
        <f>J61-3.5*K61</f>
        <v/>
      </c>
      <c r="M61" s="67">
        <f>J61+3.5*K61</f>
        <v/>
      </c>
      <c r="N61" s="61">
        <f>IF(G61="","",IF(AND(G61&gt;=L61,G61&lt;=M61),"OK","NG"))</f>
        <v/>
      </c>
      <c r="O61" s="69">
        <f>IF(N61="","",IF(N61=D61,1,0))</f>
        <v/>
      </c>
      <c r="P61" s="67">
        <f>IF(G61="","",J61-G61)</f>
        <v/>
      </c>
      <c r="Q61" s="67">
        <f>IF(G61="","",ABS(P61-Components!$D$2))</f>
        <v/>
      </c>
      <c r="R61" s="67">
        <f>IF(G61="","",ABS(P61-Components!$D$3))</f>
        <v/>
      </c>
      <c r="S61" s="67">
        <f>IF(G61="","",ABS(P61-Components!$D$4))</f>
        <v/>
      </c>
      <c r="T61" s="67">
        <f>IF(G61="","",ABS(P61-Components!$D$5))</f>
        <v/>
      </c>
      <c r="U61" s="67">
        <f>IF(G61="","",ABS(P61-Components!$D$6))</f>
        <v/>
      </c>
      <c r="V61" s="67">
        <f>IF(G61="","",ABS(P61-Components!$D$7))</f>
        <v/>
      </c>
      <c r="W61" s="61">
        <f>IF(G61="","",IF(N61="OK","NONE",INDEX({"S1","S2","W1","W2","N1","N2"},MATCH(MIN(Q61:V61),Q61:V61,0))))</f>
        <v/>
      </c>
      <c r="X61" s="71">
        <f>IF(G61="","",IF(W61=E61,1,0))</f>
        <v/>
      </c>
      <c r="Y61" s="70" t="n"/>
    </row>
    <row r="62">
      <c r="A62" s="61" t="n">
        <v>9</v>
      </c>
      <c r="B62" s="62" t="n">
        <v>36</v>
      </c>
      <c r="C62" s="61" t="inlineStr">
        <is>
          <t>R3</t>
        </is>
      </c>
      <c r="D62" s="74" t="inlineStr">
        <is>
          <t>NG</t>
        </is>
      </c>
      <c r="E62" s="61" t="inlineStr">
        <is>
          <t>S2</t>
        </is>
      </c>
      <c r="F62" s="61" t="inlineStr">
        <is>
          <t>K009</t>
        </is>
      </c>
      <c r="G62" s="64" t="n">
        <v>5.8</v>
      </c>
      <c r="H62" s="65" t="n"/>
      <c r="I62" s="66" t="n"/>
      <c r="J62" s="67">
        <f>VLOOKUP(C62,Recipes!$A$2:$N$4,10,FALSE())</f>
        <v/>
      </c>
      <c r="K62" s="68">
        <f>VLOOKUP(C62,Recipes!$A$2:$N$4,12,FALSE())</f>
        <v/>
      </c>
      <c r="L62" s="67">
        <f>J62-3.5*K62</f>
        <v/>
      </c>
      <c r="M62" s="67">
        <f>J62+3.5*K62</f>
        <v/>
      </c>
      <c r="N62" s="61">
        <f>IF(G62="","",IF(AND(G62&gt;=L62,G62&lt;=M62),"OK","NG"))</f>
        <v/>
      </c>
      <c r="O62" s="69">
        <f>IF(N62="","",IF(N62=D62,1,0))</f>
        <v/>
      </c>
      <c r="P62" s="67">
        <f>IF(G62="","",J62-G62)</f>
        <v/>
      </c>
      <c r="Q62" s="67">
        <f>IF(G62="","",ABS(P62-Components!$D$2))</f>
        <v/>
      </c>
      <c r="R62" s="67">
        <f>IF(G62="","",ABS(P62-Components!$D$3))</f>
        <v/>
      </c>
      <c r="S62" s="67">
        <f>IF(G62="","",ABS(P62-Components!$D$4))</f>
        <v/>
      </c>
      <c r="T62" s="67">
        <f>IF(G62="","",ABS(P62-Components!$D$5))</f>
        <v/>
      </c>
      <c r="U62" s="67">
        <f>IF(G62="","",ABS(P62-Components!$D$6))</f>
        <v/>
      </c>
      <c r="V62" s="67">
        <f>IF(G62="","",ABS(P62-Components!$D$7))</f>
        <v/>
      </c>
      <c r="W62" s="61">
        <f>IF(G62="","",IF(N62="OK","NONE",INDEX({"S1","S2","W1","W2","N1","N2"},MATCH(MIN(Q62:V62),Q62:V62,0))))</f>
        <v/>
      </c>
      <c r="X62" s="69">
        <f>IF(G62="","",IF(W62=E62,1,0))</f>
        <v/>
      </c>
      <c r="Y62" s="70" t="n"/>
    </row>
    <row r="63">
      <c r="A63" s="61" t="n">
        <v>11</v>
      </c>
      <c r="B63" s="62" t="n">
        <v>10</v>
      </c>
      <c r="C63" s="61" t="inlineStr">
        <is>
          <t>R3</t>
        </is>
      </c>
      <c r="D63" s="74" t="inlineStr">
        <is>
          <t>NG</t>
        </is>
      </c>
      <c r="E63" s="61" t="inlineStr">
        <is>
          <t>W2</t>
        </is>
      </c>
      <c r="F63" s="61" t="inlineStr">
        <is>
          <t>K011</t>
        </is>
      </c>
      <c r="G63" s="64" t="n">
        <v>5.4</v>
      </c>
      <c r="H63" s="65" t="n"/>
      <c r="I63" s="66" t="n"/>
      <c r="J63" s="67">
        <f>VLOOKUP(C63,Recipes!$A$2:$N$4,10,FALSE())</f>
        <v/>
      </c>
      <c r="K63" s="68">
        <f>VLOOKUP(C63,Recipes!$A$2:$N$4,12,FALSE())</f>
        <v/>
      </c>
      <c r="L63" s="67">
        <f>J63-3.5*K63</f>
        <v/>
      </c>
      <c r="M63" s="67">
        <f>J63+3.5*K63</f>
        <v/>
      </c>
      <c r="N63" s="61">
        <f>IF(G63="","",IF(AND(G63&gt;=L63,G63&lt;=M63),"OK","NG"))</f>
        <v/>
      </c>
      <c r="O63" s="69">
        <f>IF(N63="","",IF(N63=D63,1,0))</f>
        <v/>
      </c>
      <c r="P63" s="67">
        <f>IF(G63="","",J63-G63)</f>
        <v/>
      </c>
      <c r="Q63" s="67">
        <f>IF(G63="","",ABS(P63-Components!$D$2))</f>
        <v/>
      </c>
      <c r="R63" s="67">
        <f>IF(G63="","",ABS(P63-Components!$D$3))</f>
        <v/>
      </c>
      <c r="S63" s="67">
        <f>IF(G63="","",ABS(P63-Components!$D$4))</f>
        <v/>
      </c>
      <c r="T63" s="67">
        <f>IF(G63="","",ABS(P63-Components!$D$5))</f>
        <v/>
      </c>
      <c r="U63" s="67">
        <f>IF(G63="","",ABS(P63-Components!$D$6))</f>
        <v/>
      </c>
      <c r="V63" s="67">
        <f>IF(G63="","",ABS(P63-Components!$D$7))</f>
        <v/>
      </c>
      <c r="W63" s="61">
        <f>IF(G63="","",IF(N63="OK","NONE",INDEX({"S1","S2","W1","W2","N1","N2"},MATCH(MIN(Q63:V63),Q63:V63,0))))</f>
        <v/>
      </c>
      <c r="X63" s="69">
        <f>IF(G63="","",IF(W63=E63,1,0))</f>
        <v/>
      </c>
      <c r="Y63" s="70" t="n"/>
    </row>
    <row r="64">
      <c r="A64" s="61" t="n">
        <v>12</v>
      </c>
      <c r="B64" s="62" t="n">
        <v>34</v>
      </c>
      <c r="C64" s="61" t="inlineStr">
        <is>
          <t>R3</t>
        </is>
      </c>
      <c r="D64" s="74" t="inlineStr">
        <is>
          <t>NG</t>
        </is>
      </c>
      <c r="E64" s="61" t="inlineStr">
        <is>
          <t>W2</t>
        </is>
      </c>
      <c r="F64" s="61" t="inlineStr">
        <is>
          <t>K012</t>
        </is>
      </c>
      <c r="G64" s="64" t="n">
        <v>5.45</v>
      </c>
      <c r="H64" s="65" t="n"/>
      <c r="I64" s="66" t="n"/>
      <c r="J64" s="67">
        <f>VLOOKUP(C64,Recipes!$A$2:$N$4,10,FALSE())</f>
        <v/>
      </c>
      <c r="K64" s="68">
        <f>VLOOKUP(C64,Recipes!$A$2:$N$4,12,FALSE())</f>
        <v/>
      </c>
      <c r="L64" s="67">
        <f>J64-3.5*K64</f>
        <v/>
      </c>
      <c r="M64" s="67">
        <f>J64+3.5*K64</f>
        <v/>
      </c>
      <c r="N64" s="61">
        <f>IF(G64="","",IF(AND(G64&gt;=L64,G64&lt;=M64),"OK","NG"))</f>
        <v/>
      </c>
      <c r="O64" s="69">
        <f>IF(N64="","",IF(N64=D64,1,0))</f>
        <v/>
      </c>
      <c r="P64" s="67">
        <f>IF(G64="","",J64-G64)</f>
        <v/>
      </c>
      <c r="Q64" s="67">
        <f>IF(G64="","",ABS(P64-Components!$D$2))</f>
        <v/>
      </c>
      <c r="R64" s="67">
        <f>IF(G64="","",ABS(P64-Components!$D$3))</f>
        <v/>
      </c>
      <c r="S64" s="67">
        <f>IF(G64="","",ABS(P64-Components!$D$4))</f>
        <v/>
      </c>
      <c r="T64" s="67">
        <f>IF(G64="","",ABS(P64-Components!$D$5))</f>
        <v/>
      </c>
      <c r="U64" s="67">
        <f>IF(G64="","",ABS(P64-Components!$D$6))</f>
        <v/>
      </c>
      <c r="V64" s="67">
        <f>IF(G64="","",ABS(P64-Components!$D$7))</f>
        <v/>
      </c>
      <c r="W64" s="61">
        <f>IF(G64="","",IF(N64="OK","NONE",INDEX({"S1","S2","W1","W2","N1","N2"},MATCH(MIN(Q64:V64),Q64:V64,0))))</f>
        <v/>
      </c>
      <c r="X64" s="69">
        <f>IF(G64="","",IF(W64=E64,1,0))</f>
        <v/>
      </c>
      <c r="Y64" s="70" t="n"/>
    </row>
    <row r="65">
      <c r="A65" s="61" t="n">
        <v>13</v>
      </c>
      <c r="B65" s="62" t="n">
        <v>42</v>
      </c>
      <c r="C65" s="61" t="inlineStr">
        <is>
          <t>R3</t>
        </is>
      </c>
      <c r="D65" s="74" t="inlineStr">
        <is>
          <t>NG</t>
        </is>
      </c>
      <c r="E65" s="61" t="inlineStr">
        <is>
          <t>W2</t>
        </is>
      </c>
      <c r="F65" s="61" t="inlineStr">
        <is>
          <t>K013</t>
        </is>
      </c>
      <c r="G65" s="64" t="n">
        <v>5.42</v>
      </c>
      <c r="H65" s="65" t="n"/>
      <c r="I65" s="66" t="n"/>
      <c r="J65" s="67">
        <f>VLOOKUP(C65,Recipes!$A$2:$N$4,10,FALSE())</f>
        <v/>
      </c>
      <c r="K65" s="68">
        <f>VLOOKUP(C65,Recipes!$A$2:$N$4,12,FALSE())</f>
        <v/>
      </c>
      <c r="L65" s="67">
        <f>J65-3.5*K65</f>
        <v/>
      </c>
      <c r="M65" s="67">
        <f>J65+3.5*K65</f>
        <v/>
      </c>
      <c r="N65" s="61">
        <f>IF(G65="","",IF(AND(G65&gt;=L65,G65&lt;=M65),"OK","NG"))</f>
        <v/>
      </c>
      <c r="O65" s="69">
        <f>IF(N65="","",IF(N65=D65,1,0))</f>
        <v/>
      </c>
      <c r="P65" s="67">
        <f>IF(G65="","",J65-G65)</f>
        <v/>
      </c>
      <c r="Q65" s="67">
        <f>IF(G65="","",ABS(P65-Components!$D$2))</f>
        <v/>
      </c>
      <c r="R65" s="67">
        <f>IF(G65="","",ABS(P65-Components!$D$3))</f>
        <v/>
      </c>
      <c r="S65" s="67">
        <f>IF(G65="","",ABS(P65-Components!$D$4))</f>
        <v/>
      </c>
      <c r="T65" s="67">
        <f>IF(G65="","",ABS(P65-Components!$D$5))</f>
        <v/>
      </c>
      <c r="U65" s="67">
        <f>IF(G65="","",ABS(P65-Components!$D$6))</f>
        <v/>
      </c>
      <c r="V65" s="67">
        <f>IF(G65="","",ABS(P65-Components!$D$7))</f>
        <v/>
      </c>
      <c r="W65" s="61">
        <f>IF(G65="","",IF(N65="OK","NONE",INDEX({"S1","S2","W1","W2","N1","N2"},MATCH(MIN(Q65:V65),Q65:V65,0))))</f>
        <v/>
      </c>
      <c r="X65" s="69">
        <f>IF(G65="","",IF(W65=E65,1,0))</f>
        <v/>
      </c>
      <c r="Y65" s="70" t="n"/>
    </row>
    <row r="66">
      <c r="A66" s="61" t="n">
        <v>14</v>
      </c>
      <c r="B66" s="62" t="n">
        <v>45</v>
      </c>
      <c r="C66" s="61" t="inlineStr">
        <is>
          <t>R3</t>
        </is>
      </c>
      <c r="D66" s="74" t="inlineStr">
        <is>
          <t>NG</t>
        </is>
      </c>
      <c r="E66" s="61" t="inlineStr">
        <is>
          <t>W2</t>
        </is>
      </c>
      <c r="F66" s="61" t="inlineStr">
        <is>
          <t>K014</t>
        </is>
      </c>
      <c r="G66" s="64" t="n">
        <v>5.42</v>
      </c>
      <c r="H66" s="65" t="n"/>
      <c r="I66" s="66" t="n"/>
      <c r="J66" s="67">
        <f>VLOOKUP(C66,Recipes!$A$2:$N$4,10,FALSE())</f>
        <v/>
      </c>
      <c r="K66" s="68">
        <f>VLOOKUP(C66,Recipes!$A$2:$N$4,12,FALSE())</f>
        <v/>
      </c>
      <c r="L66" s="67">
        <f>J66-3.5*K66</f>
        <v/>
      </c>
      <c r="M66" s="67">
        <f>J66+3.5*K66</f>
        <v/>
      </c>
      <c r="N66" s="61">
        <f>IF(G66="","",IF(AND(G66&gt;=L66,G66&lt;=M66),"OK","NG"))</f>
        <v/>
      </c>
      <c r="O66" s="69">
        <f>IF(N66="","",IF(N66=D66,1,0))</f>
        <v/>
      </c>
      <c r="P66" s="67">
        <f>IF(G66="","",J66-G66)</f>
        <v/>
      </c>
      <c r="Q66" s="67">
        <f>IF(G66="","",ABS(P66-Components!$D$2))</f>
        <v/>
      </c>
      <c r="R66" s="67">
        <f>IF(G66="","",ABS(P66-Components!$D$3))</f>
        <v/>
      </c>
      <c r="S66" s="67">
        <f>IF(G66="","",ABS(P66-Components!$D$4))</f>
        <v/>
      </c>
      <c r="T66" s="67">
        <f>IF(G66="","",ABS(P66-Components!$D$5))</f>
        <v/>
      </c>
      <c r="U66" s="67">
        <f>IF(G66="","",ABS(P66-Components!$D$6))</f>
        <v/>
      </c>
      <c r="V66" s="67">
        <f>IF(G66="","",ABS(P66-Components!$D$7))</f>
        <v/>
      </c>
      <c r="W66" s="61">
        <f>IF(G66="","",IF(N66="OK","NONE",INDEX({"S1","S2","W1","W2","N1","N2"},MATCH(MIN(Q66:V66),Q66:V66,0))))</f>
        <v/>
      </c>
      <c r="X66" s="69">
        <f>IF(G66="","",IF(W66=E66,1,0))</f>
        <v/>
      </c>
      <c r="Y66" s="70" t="n"/>
    </row>
    <row r="67">
      <c r="A67" s="61" t="n">
        <v>14</v>
      </c>
      <c r="B67" s="62" t="n">
        <v>45</v>
      </c>
      <c r="C67" s="61" t="inlineStr">
        <is>
          <t>R3</t>
        </is>
      </c>
      <c r="D67" s="74" t="inlineStr">
        <is>
          <t>NG</t>
        </is>
      </c>
      <c r="E67" s="61" t="inlineStr">
        <is>
          <t>W2</t>
        </is>
      </c>
      <c r="F67" s="61" t="inlineStr">
        <is>
          <t>K014</t>
        </is>
      </c>
      <c r="G67" s="64" t="n">
        <v>5.42</v>
      </c>
      <c r="H67" s="65" t="n"/>
      <c r="I67" s="66" t="n"/>
      <c r="J67" s="67">
        <f>VLOOKUP(C67,Recipes!$A$2:$N$4,10,FALSE())</f>
        <v/>
      </c>
      <c r="K67" s="68">
        <f>VLOOKUP(C67,Recipes!$A$2:$N$4,12,FALSE())</f>
        <v/>
      </c>
      <c r="L67" s="67">
        <f>J67-3.5*K67</f>
        <v/>
      </c>
      <c r="M67" s="67">
        <f>J67+3.5*K67</f>
        <v/>
      </c>
      <c r="N67" s="61">
        <f>IF(G67="","",IF(AND(G67&gt;=L67,G67&lt;=M67),"OK","NG"))</f>
        <v/>
      </c>
      <c r="O67" s="69">
        <f>IF(N67="","",IF(N67=D67,1,0))</f>
        <v/>
      </c>
      <c r="P67" s="67">
        <f>IF(G67="","",J67-G67)</f>
        <v/>
      </c>
      <c r="Q67" s="67">
        <f>IF(G67="","",ABS(P67-Components!$D$2))</f>
        <v/>
      </c>
      <c r="R67" s="67">
        <f>IF(G67="","",ABS(P67-Components!$D$3))</f>
        <v/>
      </c>
      <c r="S67" s="67">
        <f>IF(G67="","",ABS(P67-Components!$D$4))</f>
        <v/>
      </c>
      <c r="T67" s="67">
        <f>IF(G67="","",ABS(P67-Components!$D$5))</f>
        <v/>
      </c>
      <c r="U67" s="67">
        <f>IF(G67="","",ABS(P67-Components!$D$6))</f>
        <v/>
      </c>
      <c r="V67" s="67">
        <f>IF(G67="","",ABS(P67-Components!$D$7))</f>
        <v/>
      </c>
      <c r="W67" s="61">
        <f>IF(G67="","",IF(N67="OK","NONE",INDEX({"S1","S2","W1","W2","N1","N2"},MATCH(MIN(Q67:V67),Q67:V67,0))))</f>
        <v/>
      </c>
      <c r="X67" s="69">
        <f>IF(G67="","",IF(W67=E67,1,0))</f>
        <v/>
      </c>
      <c r="Y67" s="70" t="n"/>
    </row>
    <row r="68">
      <c r="A68" s="61" t="n">
        <v>14</v>
      </c>
      <c r="B68" s="62" t="n">
        <v>45</v>
      </c>
      <c r="C68" s="61" t="inlineStr">
        <is>
          <t>R3</t>
        </is>
      </c>
      <c r="D68" s="74" t="inlineStr">
        <is>
          <t>NG</t>
        </is>
      </c>
      <c r="E68" s="61" t="inlineStr">
        <is>
          <t>W2</t>
        </is>
      </c>
      <c r="F68" s="61" t="inlineStr">
        <is>
          <t>K014</t>
        </is>
      </c>
      <c r="G68" s="64" t="n">
        <v>5.42</v>
      </c>
      <c r="H68" s="65" t="n"/>
      <c r="I68" s="66" t="n"/>
      <c r="J68" s="67">
        <f>VLOOKUP(C68,Recipes!$A$2:$N$4,10,FALSE())</f>
        <v/>
      </c>
      <c r="K68" s="68">
        <f>VLOOKUP(C68,Recipes!$A$2:$N$4,12,FALSE())</f>
        <v/>
      </c>
      <c r="L68" s="67">
        <f>J68-3.5*K68</f>
        <v/>
      </c>
      <c r="M68" s="67">
        <f>J68+3.5*K68</f>
        <v/>
      </c>
      <c r="N68" s="61">
        <f>IF(G68="","",IF(AND(G68&gt;=L68,G68&lt;=M68),"OK","NG"))</f>
        <v/>
      </c>
      <c r="O68" s="69">
        <f>IF(N68="","",IF(N68=D68,1,0))</f>
        <v/>
      </c>
      <c r="P68" s="67">
        <f>IF(G68="","",J68-G68)</f>
        <v/>
      </c>
      <c r="Q68" s="67">
        <f>IF(G68="","",ABS(P68-Components!$D$2))</f>
        <v/>
      </c>
      <c r="R68" s="67">
        <f>IF(G68="","",ABS(P68-Components!$D$3))</f>
        <v/>
      </c>
      <c r="S68" s="67">
        <f>IF(G68="","",ABS(P68-Components!$D$4))</f>
        <v/>
      </c>
      <c r="T68" s="67">
        <f>IF(G68="","",ABS(P68-Components!$D$5))</f>
        <v/>
      </c>
      <c r="U68" s="67">
        <f>IF(G68="","",ABS(P68-Components!$D$6))</f>
        <v/>
      </c>
      <c r="V68" s="67">
        <f>IF(G68="","",ABS(P68-Components!$D$7))</f>
        <v/>
      </c>
      <c r="W68" s="61">
        <f>IF(G68="","",IF(N68="OK","NONE",INDEX({"S1","S2","W1","W2","N1","N2"},MATCH(MIN(Q68:V68),Q68:V68,0))))</f>
        <v/>
      </c>
      <c r="X68" s="69">
        <f>IF(G68="","",IF(W68=E68,1,0))</f>
        <v/>
      </c>
      <c r="Y68" s="70" t="n"/>
    </row>
    <row r="69">
      <c r="A69" s="61" t="n">
        <v>14</v>
      </c>
      <c r="B69" s="62" t="n">
        <v>45</v>
      </c>
      <c r="C69" s="61" t="inlineStr">
        <is>
          <t>R3</t>
        </is>
      </c>
      <c r="D69" s="74" t="inlineStr">
        <is>
          <t>NG</t>
        </is>
      </c>
      <c r="E69" s="61" t="inlineStr">
        <is>
          <t>W2</t>
        </is>
      </c>
      <c r="F69" s="61" t="inlineStr">
        <is>
          <t>K014</t>
        </is>
      </c>
      <c r="G69" s="64" t="n">
        <v>5.45</v>
      </c>
      <c r="H69" s="65" t="n"/>
      <c r="I69" s="66" t="n"/>
      <c r="J69" s="67">
        <f>VLOOKUP(C69,Recipes!$A$2:$N$4,10,FALSE())</f>
        <v/>
      </c>
      <c r="K69" s="68">
        <f>VLOOKUP(C69,Recipes!$A$2:$N$4,12,FALSE())</f>
        <v/>
      </c>
      <c r="L69" s="67">
        <f>J69-3.5*K69</f>
        <v/>
      </c>
      <c r="M69" s="67">
        <f>J69+3.5*K69</f>
        <v/>
      </c>
      <c r="N69" s="61">
        <f>IF(G69="","",IF(AND(G69&gt;=L69,G69&lt;=M69),"OK","NG"))</f>
        <v/>
      </c>
      <c r="O69" s="69">
        <f>IF(N69="","",IF(N69=D69,1,0))</f>
        <v/>
      </c>
      <c r="P69" s="67">
        <f>IF(G69="","",J69-G69)</f>
        <v/>
      </c>
      <c r="Q69" s="67">
        <f>IF(G69="","",ABS(P69-Components!$D$2))</f>
        <v/>
      </c>
      <c r="R69" s="67">
        <f>IF(G69="","",ABS(P69-Components!$D$3))</f>
        <v/>
      </c>
      <c r="S69" s="67">
        <f>IF(G69="","",ABS(P69-Components!$D$4))</f>
        <v/>
      </c>
      <c r="T69" s="67">
        <f>IF(G69="","",ABS(P69-Components!$D$5))</f>
        <v/>
      </c>
      <c r="U69" s="67">
        <f>IF(G69="","",ABS(P69-Components!$D$6))</f>
        <v/>
      </c>
      <c r="V69" s="67">
        <f>IF(G69="","",ABS(P69-Components!$D$7))</f>
        <v/>
      </c>
      <c r="W69" s="61">
        <f>IF(G69="","",IF(N69="OK","NONE",INDEX({"S1","S2","W1","W2","N1","N2"},MATCH(MIN(Q69:V69),Q69:V69,0))))</f>
        <v/>
      </c>
      <c r="X69" s="69">
        <f>IF(G69="","",IF(W69=E69,1,0))</f>
        <v/>
      </c>
      <c r="Y69" s="70" t="n"/>
    </row>
    <row r="70">
      <c r="A70" s="61" t="n">
        <v>14</v>
      </c>
      <c r="B70" s="62" t="n">
        <v>45</v>
      </c>
      <c r="C70" s="61" t="inlineStr">
        <is>
          <t>R3</t>
        </is>
      </c>
      <c r="D70" s="74" t="inlineStr">
        <is>
          <t>NG</t>
        </is>
      </c>
      <c r="E70" s="61" t="inlineStr">
        <is>
          <t>W2</t>
        </is>
      </c>
      <c r="F70" s="61" t="inlineStr">
        <is>
          <t>K014</t>
        </is>
      </c>
      <c r="G70" s="64" t="n">
        <v>5.41</v>
      </c>
      <c r="H70" s="65" t="n"/>
      <c r="I70" s="66" t="n"/>
      <c r="J70" s="67">
        <f>VLOOKUP(C70,Recipes!$A$2:$N$4,10,FALSE())</f>
        <v/>
      </c>
      <c r="K70" s="68">
        <f>VLOOKUP(C70,Recipes!$A$2:$N$4,12,FALSE())</f>
        <v/>
      </c>
      <c r="L70" s="67">
        <f>J70-3.5*K70</f>
        <v/>
      </c>
      <c r="M70" s="67">
        <f>J70+3.5*K70</f>
        <v/>
      </c>
      <c r="N70" s="61">
        <f>IF(G70="","",IF(AND(G70&gt;=L70,G70&lt;=M70),"OK","NG"))</f>
        <v/>
      </c>
      <c r="O70" s="69">
        <f>IF(N70="","",IF(N70=D70,1,0))</f>
        <v/>
      </c>
      <c r="P70" s="67">
        <f>IF(G70="","",J70-G70)</f>
        <v/>
      </c>
      <c r="Q70" s="67">
        <f>IF(G70="","",ABS(P70-Components!$D$2))</f>
        <v/>
      </c>
      <c r="R70" s="67">
        <f>IF(G70="","",ABS(P70-Components!$D$3))</f>
        <v/>
      </c>
      <c r="S70" s="67">
        <f>IF(G70="","",ABS(P70-Components!$D$4))</f>
        <v/>
      </c>
      <c r="T70" s="67">
        <f>IF(G70="","",ABS(P70-Components!$D$5))</f>
        <v/>
      </c>
      <c r="U70" s="67">
        <f>IF(G70="","",ABS(P70-Components!$D$6))</f>
        <v/>
      </c>
      <c r="V70" s="67">
        <f>IF(G70="","",ABS(P70-Components!$D$7))</f>
        <v/>
      </c>
      <c r="W70" s="61">
        <f>IF(G70="","",IF(N70="OK","NONE",INDEX({"S1","S2","W1","W2","N1","N2"},MATCH(MIN(Q70:V70),Q70:V70,0))))</f>
        <v/>
      </c>
      <c r="X70" s="69">
        <f>IF(G70="","",IF(W70=E70,1,0))</f>
        <v/>
      </c>
      <c r="Y70" s="70" t="n"/>
    </row>
    <row r="71">
      <c r="A71" s="61" t="n">
        <v>14</v>
      </c>
      <c r="B71" s="62" t="n">
        <v>45</v>
      </c>
      <c r="C71" s="61" t="inlineStr">
        <is>
          <t>R3</t>
        </is>
      </c>
      <c r="D71" s="74" t="inlineStr">
        <is>
          <t>NG</t>
        </is>
      </c>
      <c r="E71" s="61" t="inlineStr">
        <is>
          <t>W2</t>
        </is>
      </c>
      <c r="F71" s="61" t="inlineStr">
        <is>
          <t>K014</t>
        </is>
      </c>
      <c r="G71" s="64" t="n">
        <v>5.38</v>
      </c>
      <c r="H71" s="65" t="n"/>
      <c r="I71" s="66" t="n"/>
      <c r="J71" s="67">
        <f>VLOOKUP(C71,Recipes!$A$2:$N$4,10,FALSE())</f>
        <v/>
      </c>
      <c r="K71" s="68">
        <f>VLOOKUP(C71,Recipes!$A$2:$N$4,12,FALSE())</f>
        <v/>
      </c>
      <c r="L71" s="67">
        <f>J71-3.5*K71</f>
        <v/>
      </c>
      <c r="M71" s="67">
        <f>J71+3.5*K71</f>
        <v/>
      </c>
      <c r="N71" s="61">
        <f>IF(G71="","",IF(AND(G71&gt;=L71,G71&lt;=M71),"OK","NG"))</f>
        <v/>
      </c>
      <c r="O71" s="69">
        <f>IF(N71="","",IF(N71=D71,1,0))</f>
        <v/>
      </c>
      <c r="P71" s="67">
        <f>IF(G71="","",J71-G71)</f>
        <v/>
      </c>
      <c r="Q71" s="67">
        <f>IF(G71="","",ABS(P71-Components!$D$2))</f>
        <v/>
      </c>
      <c r="R71" s="67">
        <f>IF(G71="","",ABS(P71-Components!$D$3))</f>
        <v/>
      </c>
      <c r="S71" s="67">
        <f>IF(G71="","",ABS(P71-Components!$D$4))</f>
        <v/>
      </c>
      <c r="T71" s="67">
        <f>IF(G71="","",ABS(P71-Components!$D$5))</f>
        <v/>
      </c>
      <c r="U71" s="67">
        <f>IF(G71="","",ABS(P71-Components!$D$6))</f>
        <v/>
      </c>
      <c r="V71" s="67">
        <f>IF(G71="","",ABS(P71-Components!$D$7))</f>
        <v/>
      </c>
      <c r="W71" s="61">
        <f>IF(G71="","",IF(N71="OK","NONE",INDEX({"S1","S2","W1","W2","N1","N2"},MATCH(MIN(Q71:V71),Q71:V71,0))))</f>
        <v/>
      </c>
      <c r="X71" s="69">
        <f>IF(G71="","",IF(W71=E71,1,0))</f>
        <v/>
      </c>
      <c r="Y71" s="70" t="n"/>
    </row>
    <row r="72">
      <c r="A72" s="61" t="n">
        <v>14</v>
      </c>
      <c r="B72" s="62" t="n">
        <v>45</v>
      </c>
      <c r="C72" s="61" t="inlineStr">
        <is>
          <t>R3</t>
        </is>
      </c>
      <c r="D72" s="74" t="inlineStr">
        <is>
          <t>NG</t>
        </is>
      </c>
      <c r="E72" s="61" t="inlineStr">
        <is>
          <t>W2</t>
        </is>
      </c>
      <c r="F72" s="61" t="inlineStr">
        <is>
          <t>K014</t>
        </is>
      </c>
      <c r="G72" s="64" t="n">
        <v>5.37</v>
      </c>
      <c r="H72" s="65" t="n"/>
      <c r="I72" s="66" t="n"/>
      <c r="J72" s="67">
        <f>VLOOKUP(C72,Recipes!$A$2:$N$4,10,FALSE())</f>
        <v/>
      </c>
      <c r="K72" s="68">
        <f>VLOOKUP(C72,Recipes!$A$2:$N$4,12,FALSE())</f>
        <v/>
      </c>
      <c r="L72" s="67">
        <f>J72-3.5*K72</f>
        <v/>
      </c>
      <c r="M72" s="67">
        <f>J72+3.5*K72</f>
        <v/>
      </c>
      <c r="N72" s="61">
        <f>IF(G72="","",IF(AND(G72&gt;=L72,G72&lt;=M72),"OK","NG"))</f>
        <v/>
      </c>
      <c r="O72" s="69">
        <f>IF(N72="","",IF(N72=D72,1,0))</f>
        <v/>
      </c>
      <c r="P72" s="67">
        <f>IF(G72="","",J72-G72)</f>
        <v/>
      </c>
      <c r="Q72" s="67">
        <f>IF(G72="","",ABS(P72-Components!$D$2))</f>
        <v/>
      </c>
      <c r="R72" s="67">
        <f>IF(G72="","",ABS(P72-Components!$D$3))</f>
        <v/>
      </c>
      <c r="S72" s="67">
        <f>IF(G72="","",ABS(P72-Components!$D$4))</f>
        <v/>
      </c>
      <c r="T72" s="67">
        <f>IF(G72="","",ABS(P72-Components!$D$5))</f>
        <v/>
      </c>
      <c r="U72" s="67">
        <f>IF(G72="","",ABS(P72-Components!$D$6))</f>
        <v/>
      </c>
      <c r="V72" s="67">
        <f>IF(G72="","",ABS(P72-Components!$D$7))</f>
        <v/>
      </c>
      <c r="W72" s="61">
        <f>IF(G72="","",IF(N72="OK","NONE",INDEX({"S1","S2","W1","W2","N1","N2"},MATCH(MIN(Q72:V72),Q72:V72,0))))</f>
        <v/>
      </c>
      <c r="X72" s="69">
        <f>IF(G72="","",IF(W72=E72,1,0))</f>
        <v/>
      </c>
      <c r="Y72" s="70" t="n"/>
    </row>
    <row r="73">
      <c r="A73" s="61" t="n">
        <v>14</v>
      </c>
      <c r="B73" s="62" t="n">
        <v>45</v>
      </c>
      <c r="C73" s="61" t="inlineStr">
        <is>
          <t>R3</t>
        </is>
      </c>
      <c r="D73" s="74" t="inlineStr">
        <is>
          <t>NG</t>
        </is>
      </c>
      <c r="E73" s="61" t="inlineStr">
        <is>
          <t>W2</t>
        </is>
      </c>
      <c r="F73" s="61" t="inlineStr">
        <is>
          <t>K014</t>
        </is>
      </c>
      <c r="G73" s="64" t="n">
        <v>5.36</v>
      </c>
      <c r="H73" s="65" t="n"/>
      <c r="I73" s="66" t="n"/>
      <c r="J73" s="67">
        <f>VLOOKUP(C73,Recipes!$A$2:$N$4,10,FALSE())</f>
        <v/>
      </c>
      <c r="K73" s="68">
        <f>VLOOKUP(C73,Recipes!$A$2:$N$4,12,FALSE())</f>
        <v/>
      </c>
      <c r="L73" s="67">
        <f>J73-3.5*K73</f>
        <v/>
      </c>
      <c r="M73" s="67">
        <f>J73+3.5*K73</f>
        <v/>
      </c>
      <c r="N73" s="61">
        <f>IF(G73="","",IF(AND(G73&gt;=L73,G73&lt;=M73),"OK","NG"))</f>
        <v/>
      </c>
      <c r="O73" s="69">
        <f>IF(N73="","",IF(N73=D73,1,0))</f>
        <v/>
      </c>
      <c r="P73" s="67">
        <f>IF(G73="","",J73-G73)</f>
        <v/>
      </c>
      <c r="Q73" s="67">
        <f>IF(G73="","",ABS(P73-Components!$D$2))</f>
        <v/>
      </c>
      <c r="R73" s="67">
        <f>IF(G73="","",ABS(P73-Components!$D$3))</f>
        <v/>
      </c>
      <c r="S73" s="67">
        <f>IF(G73="","",ABS(P73-Components!$D$4))</f>
        <v/>
      </c>
      <c r="T73" s="67">
        <f>IF(G73="","",ABS(P73-Components!$D$5))</f>
        <v/>
      </c>
      <c r="U73" s="67">
        <f>IF(G73="","",ABS(P73-Components!$D$6))</f>
        <v/>
      </c>
      <c r="V73" s="67">
        <f>IF(G73="","",ABS(P73-Components!$D$7))</f>
        <v/>
      </c>
      <c r="W73" s="61">
        <f>IF(G73="","",IF(N73="OK","NONE",INDEX({"S1","S2","W1","W2","N1","N2"},MATCH(MIN(Q73:V73),Q73:V73,0))))</f>
        <v/>
      </c>
      <c r="X73" s="69">
        <f>IF(G73="","",IF(W73=E73,1,0))</f>
        <v/>
      </c>
      <c r="Y73" s="70" t="n"/>
    </row>
    <row r="74">
      <c r="A74" s="61" t="n">
        <v>14</v>
      </c>
      <c r="B74" s="62" t="n">
        <v>45</v>
      </c>
      <c r="C74" s="61" t="inlineStr">
        <is>
          <t>R3</t>
        </is>
      </c>
      <c r="D74" s="74" t="inlineStr">
        <is>
          <t>NG</t>
        </is>
      </c>
      <c r="E74" s="61" t="inlineStr">
        <is>
          <t>W2</t>
        </is>
      </c>
      <c r="F74" s="61" t="inlineStr">
        <is>
          <t>K014</t>
        </is>
      </c>
      <c r="G74" s="64" t="n">
        <v>5.41</v>
      </c>
      <c r="H74" s="65" t="n"/>
      <c r="I74" s="66" t="n"/>
      <c r="J74" s="67">
        <f>VLOOKUP(C74,Recipes!$A$2:$N$4,10,FALSE())</f>
        <v/>
      </c>
      <c r="K74" s="68">
        <f>VLOOKUP(C74,Recipes!$A$2:$N$4,12,FALSE())</f>
        <v/>
      </c>
      <c r="L74" s="67">
        <f>J74-3.5*K74</f>
        <v/>
      </c>
      <c r="M74" s="67">
        <f>J74+3.5*K74</f>
        <v/>
      </c>
      <c r="N74" s="61">
        <f>IF(G74="","",IF(AND(G74&gt;=L74,G74&lt;=M74),"OK","NG"))</f>
        <v/>
      </c>
      <c r="O74" s="69">
        <f>IF(N74="","",IF(N74=D74,1,0))</f>
        <v/>
      </c>
      <c r="P74" s="67">
        <f>IF(G74="","",J74-G74)</f>
        <v/>
      </c>
      <c r="Q74" s="67">
        <f>IF(G74="","",ABS(P74-Components!$D$2))</f>
        <v/>
      </c>
      <c r="R74" s="67">
        <f>IF(G74="","",ABS(P74-Components!$D$3))</f>
        <v/>
      </c>
      <c r="S74" s="67">
        <f>IF(G74="","",ABS(P74-Components!$D$4))</f>
        <v/>
      </c>
      <c r="T74" s="67">
        <f>IF(G74="","",ABS(P74-Components!$D$5))</f>
        <v/>
      </c>
      <c r="U74" s="67">
        <f>IF(G74="","",ABS(P74-Components!$D$6))</f>
        <v/>
      </c>
      <c r="V74" s="67">
        <f>IF(G74="","",ABS(P74-Components!$D$7))</f>
        <v/>
      </c>
      <c r="W74" s="61">
        <f>IF(G74="","",IF(N74="OK","NONE",INDEX({"S1","S2","W1","W2","N1","N2"},MATCH(MIN(Q74:V74),Q74:V74,0))))</f>
        <v/>
      </c>
      <c r="X74" s="69">
        <f>IF(G74="","",IF(W74=E74,1,0))</f>
        <v/>
      </c>
      <c r="Y74" s="70" t="n"/>
    </row>
    <row r="75">
      <c r="A75" s="61" t="n">
        <v>14</v>
      </c>
      <c r="B75" s="62" t="n">
        <v>45</v>
      </c>
      <c r="C75" s="61" t="inlineStr">
        <is>
          <t>R3</t>
        </is>
      </c>
      <c r="D75" s="74" t="inlineStr">
        <is>
          <t>NG</t>
        </is>
      </c>
      <c r="E75" s="61" t="inlineStr">
        <is>
          <t>W2</t>
        </is>
      </c>
      <c r="F75" s="61" t="inlineStr">
        <is>
          <t>K014</t>
        </is>
      </c>
      <c r="G75" s="64" t="n">
        <v>5.37</v>
      </c>
      <c r="H75" s="65" t="n"/>
      <c r="I75" s="66" t="n"/>
      <c r="J75" s="67">
        <f>VLOOKUP(C75,Recipes!$A$2:$N$4,10,FALSE())</f>
        <v/>
      </c>
      <c r="K75" s="68">
        <f>VLOOKUP(C75,Recipes!$A$2:$N$4,12,FALSE())</f>
        <v/>
      </c>
      <c r="L75" s="67">
        <f>J75-3.5*K75</f>
        <v/>
      </c>
      <c r="M75" s="67">
        <f>J75+3.5*K75</f>
        <v/>
      </c>
      <c r="N75" s="61">
        <f>IF(G75="","",IF(AND(G75&gt;=L75,G75&lt;=M75),"OK","NG"))</f>
        <v/>
      </c>
      <c r="O75" s="69">
        <f>IF(N75="","",IF(N75=D75,1,0))</f>
        <v/>
      </c>
      <c r="P75" s="67">
        <f>IF(G75="","",J75-G75)</f>
        <v/>
      </c>
      <c r="Q75" s="67">
        <f>IF(G75="","",ABS(P75-Components!$D$2))</f>
        <v/>
      </c>
      <c r="R75" s="67">
        <f>IF(G75="","",ABS(P75-Components!$D$3))</f>
        <v/>
      </c>
      <c r="S75" s="67">
        <f>IF(G75="","",ABS(P75-Components!$D$4))</f>
        <v/>
      </c>
      <c r="T75" s="67">
        <f>IF(G75="","",ABS(P75-Components!$D$5))</f>
        <v/>
      </c>
      <c r="U75" s="67">
        <f>IF(G75="","",ABS(P75-Components!$D$6))</f>
        <v/>
      </c>
      <c r="V75" s="67">
        <f>IF(G75="","",ABS(P75-Components!$D$7))</f>
        <v/>
      </c>
      <c r="W75" s="61">
        <f>IF(G75="","",IF(N75="OK","NONE",INDEX({"S1","S2","W1","W2","N1","N2"},MATCH(MIN(Q75:V75),Q75:V75,0))))</f>
        <v/>
      </c>
      <c r="X75" s="69">
        <f>IF(G75="","",IF(W75=E75,1,0))</f>
        <v/>
      </c>
      <c r="Y75" s="70" t="n"/>
    </row>
    <row r="76">
      <c r="A76" s="61" t="n">
        <v>14</v>
      </c>
      <c r="B76" s="62" t="n">
        <v>45</v>
      </c>
      <c r="C76" s="61" t="inlineStr">
        <is>
          <t>R3</t>
        </is>
      </c>
      <c r="D76" s="74" t="inlineStr">
        <is>
          <t>NG</t>
        </is>
      </c>
      <c r="E76" s="61" t="inlineStr">
        <is>
          <t>W2</t>
        </is>
      </c>
      <c r="F76" s="61" t="inlineStr">
        <is>
          <t>K014</t>
        </is>
      </c>
      <c r="G76" s="64" t="n">
        <v>5.36</v>
      </c>
      <c r="H76" s="65" t="n"/>
      <c r="I76" s="66" t="n"/>
      <c r="J76" s="67">
        <f>VLOOKUP(C76,Recipes!$A$2:$N$4,10,FALSE())</f>
        <v/>
      </c>
      <c r="K76" s="68">
        <f>VLOOKUP(C76,Recipes!$A$2:$N$4,12,FALSE())</f>
        <v/>
      </c>
      <c r="L76" s="67">
        <f>J76-3.5*K76</f>
        <v/>
      </c>
      <c r="M76" s="67">
        <f>J76+3.5*K76</f>
        <v/>
      </c>
      <c r="N76" s="61">
        <f>IF(G76="","",IF(AND(G76&gt;=L76,G76&lt;=M76),"OK","NG"))</f>
        <v/>
      </c>
      <c r="O76" s="69">
        <f>IF(N76="","",IF(N76=D76,1,0))</f>
        <v/>
      </c>
      <c r="P76" s="67">
        <f>IF(G76="","",J76-G76)</f>
        <v/>
      </c>
      <c r="Q76" s="67">
        <f>IF(G76="","",ABS(P76-Components!$D$2))</f>
        <v/>
      </c>
      <c r="R76" s="67">
        <f>IF(G76="","",ABS(P76-Components!$D$3))</f>
        <v/>
      </c>
      <c r="S76" s="67">
        <f>IF(G76="","",ABS(P76-Components!$D$4))</f>
        <v/>
      </c>
      <c r="T76" s="67">
        <f>IF(G76="","",ABS(P76-Components!$D$5))</f>
        <v/>
      </c>
      <c r="U76" s="67">
        <f>IF(G76="","",ABS(P76-Components!$D$6))</f>
        <v/>
      </c>
      <c r="V76" s="67">
        <f>IF(G76="","",ABS(P76-Components!$D$7))</f>
        <v/>
      </c>
      <c r="W76" s="61">
        <f>IF(G76="","",IF(N76="OK","NONE",INDEX({"S1","S2","W1","W2","N1","N2"},MATCH(MIN(Q76:V76),Q76:V76,0))))</f>
        <v/>
      </c>
      <c r="X76" s="69">
        <f>IF(G76="","",IF(W76=E76,1,0))</f>
        <v/>
      </c>
      <c r="Y76" s="70" t="n"/>
    </row>
    <row r="77">
      <c r="A77" s="61" t="n">
        <v>14</v>
      </c>
      <c r="B77" s="62" t="n">
        <v>45</v>
      </c>
      <c r="C77" s="61" t="inlineStr">
        <is>
          <t>R3</t>
        </is>
      </c>
      <c r="D77" s="74" t="inlineStr">
        <is>
          <t>NG</t>
        </is>
      </c>
      <c r="E77" s="61" t="inlineStr">
        <is>
          <t>W2</t>
        </is>
      </c>
      <c r="F77" s="61" t="inlineStr">
        <is>
          <t>K014</t>
        </is>
      </c>
      <c r="G77" s="64" t="n">
        <v>5.38</v>
      </c>
      <c r="H77" s="65" t="n"/>
      <c r="I77" s="66" t="n"/>
      <c r="J77" s="67">
        <f>VLOOKUP(C77,Recipes!$A$2:$N$4,10,FALSE())</f>
        <v/>
      </c>
      <c r="K77" s="68">
        <f>VLOOKUP(C77,Recipes!$A$2:$N$4,12,FALSE())</f>
        <v/>
      </c>
      <c r="L77" s="67">
        <f>J77-3.5*K77</f>
        <v/>
      </c>
      <c r="M77" s="67">
        <f>J77+3.5*K77</f>
        <v/>
      </c>
      <c r="N77" s="61">
        <f>IF(G77="","",IF(AND(G77&gt;=L77,G77&lt;=M77),"OK","NG"))</f>
        <v/>
      </c>
      <c r="O77" s="69">
        <f>IF(N77="","",IF(N77=D77,1,0))</f>
        <v/>
      </c>
      <c r="P77" s="67">
        <f>IF(G77="","",J77-G77)</f>
        <v/>
      </c>
      <c r="Q77" s="67">
        <f>IF(G77="","",ABS(P77-Components!$D$2))</f>
        <v/>
      </c>
      <c r="R77" s="67">
        <f>IF(G77="","",ABS(P77-Components!$D$3))</f>
        <v/>
      </c>
      <c r="S77" s="67">
        <f>IF(G77="","",ABS(P77-Components!$D$4))</f>
        <v/>
      </c>
      <c r="T77" s="67">
        <f>IF(G77="","",ABS(P77-Components!$D$5))</f>
        <v/>
      </c>
      <c r="U77" s="67">
        <f>IF(G77="","",ABS(P77-Components!$D$6))</f>
        <v/>
      </c>
      <c r="V77" s="67">
        <f>IF(G77="","",ABS(P77-Components!$D$7))</f>
        <v/>
      </c>
      <c r="W77" s="61">
        <f>IF(G77="","",IF(N77="OK","NONE",INDEX({"S1","S2","W1","W2","N1","N2"},MATCH(MIN(Q77:V77),Q77:V77,0))))</f>
        <v/>
      </c>
      <c r="X77" s="69">
        <f>IF(G77="","",IF(W77=E77,1,0))</f>
        <v/>
      </c>
      <c r="Y77" s="70" t="n"/>
    </row>
    <row r="78">
      <c r="A78" s="61" t="n">
        <v>14</v>
      </c>
      <c r="B78" s="62" t="n">
        <v>45</v>
      </c>
      <c r="C78" s="61" t="inlineStr">
        <is>
          <t>R3</t>
        </is>
      </c>
      <c r="D78" s="74" t="inlineStr">
        <is>
          <t>NG</t>
        </is>
      </c>
      <c r="E78" s="61" t="inlineStr">
        <is>
          <t>W2</t>
        </is>
      </c>
      <c r="F78" s="61" t="inlineStr">
        <is>
          <t>K014</t>
        </is>
      </c>
      <c r="G78" s="64" t="n">
        <v>5.38</v>
      </c>
      <c r="H78" s="65" t="n"/>
      <c r="I78" s="66" t="n"/>
      <c r="J78" s="67">
        <f>VLOOKUP(C78,Recipes!$A$2:$N$4,10,FALSE())</f>
        <v/>
      </c>
      <c r="K78" s="68">
        <f>VLOOKUP(C78,Recipes!$A$2:$N$4,12,FALSE())</f>
        <v/>
      </c>
      <c r="L78" s="67">
        <f>J78-3.5*K78</f>
        <v/>
      </c>
      <c r="M78" s="67">
        <f>J78+3.5*K78</f>
        <v/>
      </c>
      <c r="N78" s="61">
        <f>IF(G78="","",IF(AND(G78&gt;=L78,G78&lt;=M78),"OK","NG"))</f>
        <v/>
      </c>
      <c r="O78" s="69">
        <f>IF(N78="","",IF(N78=D78,1,0))</f>
        <v/>
      </c>
      <c r="P78" s="67">
        <f>IF(G78="","",J78-G78)</f>
        <v/>
      </c>
      <c r="Q78" s="67">
        <f>IF(G78="","",ABS(P78-Components!$D$2))</f>
        <v/>
      </c>
      <c r="R78" s="67">
        <f>IF(G78="","",ABS(P78-Components!$D$3))</f>
        <v/>
      </c>
      <c r="S78" s="67">
        <f>IF(G78="","",ABS(P78-Components!$D$4))</f>
        <v/>
      </c>
      <c r="T78" s="67">
        <f>IF(G78="","",ABS(P78-Components!$D$5))</f>
        <v/>
      </c>
      <c r="U78" s="67">
        <f>IF(G78="","",ABS(P78-Components!$D$6))</f>
        <v/>
      </c>
      <c r="V78" s="67">
        <f>IF(G78="","",ABS(P78-Components!$D$7))</f>
        <v/>
      </c>
      <c r="W78" s="61">
        <f>IF(G78="","",IF(N78="OK","NONE",INDEX({"S1","S2","W1","W2","N1","N2"},MATCH(MIN(Q78:V78),Q78:V78,0))))</f>
        <v/>
      </c>
      <c r="X78" s="69">
        <f>IF(G78="","",IF(W78=E78,1,0))</f>
        <v/>
      </c>
      <c r="Y78" s="70" t="n"/>
    </row>
    <row r="79">
      <c r="A79" s="61" t="n">
        <v>14</v>
      </c>
      <c r="B79" s="62" t="n">
        <v>45</v>
      </c>
      <c r="C79" s="61" t="inlineStr">
        <is>
          <t>R3</t>
        </is>
      </c>
      <c r="D79" s="74" t="inlineStr">
        <is>
          <t>NG</t>
        </is>
      </c>
      <c r="E79" s="61" t="inlineStr">
        <is>
          <t>W2</t>
        </is>
      </c>
      <c r="F79" s="61" t="inlineStr">
        <is>
          <t>K014</t>
        </is>
      </c>
      <c r="G79" s="64" t="n">
        <v>5.42</v>
      </c>
      <c r="H79" s="65" t="n"/>
      <c r="I79" s="66" t="n"/>
      <c r="J79" s="67">
        <f>VLOOKUP(C79,Recipes!$A$2:$N$4,10,FALSE())</f>
        <v/>
      </c>
      <c r="K79" s="68">
        <f>VLOOKUP(C79,Recipes!$A$2:$N$4,12,FALSE())</f>
        <v/>
      </c>
      <c r="L79" s="67">
        <f>J79-3.5*K79</f>
        <v/>
      </c>
      <c r="M79" s="67">
        <f>J79+3.5*K79</f>
        <v/>
      </c>
      <c r="N79" s="61">
        <f>IF(G79="","",IF(AND(G79&gt;=L79,G79&lt;=M79),"OK","NG"))</f>
        <v/>
      </c>
      <c r="O79" s="69">
        <f>IF(N79="","",IF(N79=D79,1,0))</f>
        <v/>
      </c>
      <c r="P79" s="67">
        <f>IF(G79="","",J79-G79)</f>
        <v/>
      </c>
      <c r="Q79" s="67">
        <f>IF(G79="","",ABS(P79-Components!$D$2))</f>
        <v/>
      </c>
      <c r="R79" s="67">
        <f>IF(G79="","",ABS(P79-Components!$D$3))</f>
        <v/>
      </c>
      <c r="S79" s="67">
        <f>IF(G79="","",ABS(P79-Components!$D$4))</f>
        <v/>
      </c>
      <c r="T79" s="67">
        <f>IF(G79="","",ABS(P79-Components!$D$5))</f>
        <v/>
      </c>
      <c r="U79" s="67">
        <f>IF(G79="","",ABS(P79-Components!$D$6))</f>
        <v/>
      </c>
      <c r="V79" s="67">
        <f>IF(G79="","",ABS(P79-Components!$D$7))</f>
        <v/>
      </c>
      <c r="W79" s="61">
        <f>IF(G79="","",IF(N79="OK","NONE",INDEX({"S1","S2","W1","W2","N1","N2"},MATCH(MIN(Q79:V79),Q79:V79,0))))</f>
        <v/>
      </c>
      <c r="X79" s="69">
        <f>IF(G79="","",IF(W79=E79,1,0))</f>
        <v/>
      </c>
      <c r="Y79" s="70" t="n"/>
    </row>
    <row r="80">
      <c r="A80" s="61" t="n">
        <v>14</v>
      </c>
      <c r="B80" s="62" t="n">
        <v>45</v>
      </c>
      <c r="C80" s="61" t="inlineStr">
        <is>
          <t>R3</t>
        </is>
      </c>
      <c r="D80" s="74" t="inlineStr">
        <is>
          <t>NG</t>
        </is>
      </c>
      <c r="E80" s="61" t="inlineStr">
        <is>
          <t>W2</t>
        </is>
      </c>
      <c r="F80" s="61" t="inlineStr">
        <is>
          <t>K014</t>
        </is>
      </c>
      <c r="G80" s="64" t="n">
        <v>5.39</v>
      </c>
      <c r="H80" s="65" t="n"/>
      <c r="I80" s="66" t="n"/>
      <c r="J80" s="67">
        <f>VLOOKUP(C80,Recipes!$A$2:$N$4,10,FALSE())</f>
        <v/>
      </c>
      <c r="K80" s="68">
        <f>VLOOKUP(C80,Recipes!$A$2:$N$4,12,FALSE())</f>
        <v/>
      </c>
      <c r="L80" s="67">
        <f>J80-3.5*K80</f>
        <v/>
      </c>
      <c r="M80" s="67">
        <f>J80+3.5*K80</f>
        <v/>
      </c>
      <c r="N80" s="61">
        <f>IF(G80="","",IF(AND(G80&gt;=L80,G80&lt;=M80),"OK","NG"))</f>
        <v/>
      </c>
      <c r="O80" s="69">
        <f>IF(N80="","",IF(N80=D80,1,0))</f>
        <v/>
      </c>
      <c r="P80" s="67">
        <f>IF(G80="","",J80-G80)</f>
        <v/>
      </c>
      <c r="Q80" s="67">
        <f>IF(G80="","",ABS(P80-Components!$D$2))</f>
        <v/>
      </c>
      <c r="R80" s="67">
        <f>IF(G80="","",ABS(P80-Components!$D$3))</f>
        <v/>
      </c>
      <c r="S80" s="67">
        <f>IF(G80="","",ABS(P80-Components!$D$4))</f>
        <v/>
      </c>
      <c r="T80" s="67">
        <f>IF(G80="","",ABS(P80-Components!$D$5))</f>
        <v/>
      </c>
      <c r="U80" s="67">
        <f>IF(G80="","",ABS(P80-Components!$D$6))</f>
        <v/>
      </c>
      <c r="V80" s="67">
        <f>IF(G80="","",ABS(P80-Components!$D$7))</f>
        <v/>
      </c>
      <c r="W80" s="61">
        <f>IF(G80="","",IF(N80="OK","NONE",INDEX({"S1","S2","W1","W2","N1","N2"},MATCH(MIN(Q80:V80),Q80:V80,0))))</f>
        <v/>
      </c>
      <c r="X80" s="69">
        <f>IF(G80="","",IF(W80=E80,1,0))</f>
        <v/>
      </c>
      <c r="Y80" s="70" t="n"/>
    </row>
    <row r="81">
      <c r="A81" s="61" t="n">
        <v>14</v>
      </c>
      <c r="B81" s="62" t="n">
        <v>45</v>
      </c>
      <c r="C81" s="61" t="inlineStr">
        <is>
          <t>R3</t>
        </is>
      </c>
      <c r="D81" s="74" t="inlineStr">
        <is>
          <t>NG</t>
        </is>
      </c>
      <c r="E81" s="61" t="inlineStr">
        <is>
          <t>W2</t>
        </is>
      </c>
      <c r="F81" s="61" t="inlineStr">
        <is>
          <t>K014</t>
        </is>
      </c>
      <c r="G81" s="64" t="n">
        <v>5.41</v>
      </c>
      <c r="H81" s="65" t="n"/>
      <c r="I81" s="66" t="n"/>
      <c r="J81" s="67">
        <f>VLOOKUP(C81,Recipes!$A$2:$N$4,10,FALSE())</f>
        <v/>
      </c>
      <c r="K81" s="68">
        <f>VLOOKUP(C81,Recipes!$A$2:$N$4,12,FALSE())</f>
        <v/>
      </c>
      <c r="L81" s="67">
        <f>J81-3.5*K81</f>
        <v/>
      </c>
      <c r="M81" s="67">
        <f>J81+3.5*K81</f>
        <v/>
      </c>
      <c r="N81" s="61">
        <f>IF(G81="","",IF(AND(G81&gt;=L81,G81&lt;=M81),"OK","NG"))</f>
        <v/>
      </c>
      <c r="O81" s="69">
        <f>IF(N81="","",IF(N81=D81,1,0))</f>
        <v/>
      </c>
      <c r="P81" s="67">
        <f>IF(G81="","",J81-G81)</f>
        <v/>
      </c>
      <c r="Q81" s="67">
        <f>IF(G81="","",ABS(P81-Components!$D$2))</f>
        <v/>
      </c>
      <c r="R81" s="67">
        <f>IF(G81="","",ABS(P81-Components!$D$3))</f>
        <v/>
      </c>
      <c r="S81" s="67">
        <f>IF(G81="","",ABS(P81-Components!$D$4))</f>
        <v/>
      </c>
      <c r="T81" s="67">
        <f>IF(G81="","",ABS(P81-Components!$D$5))</f>
        <v/>
      </c>
      <c r="U81" s="67">
        <f>IF(G81="","",ABS(P81-Components!$D$6))</f>
        <v/>
      </c>
      <c r="V81" s="67">
        <f>IF(G81="","",ABS(P81-Components!$D$7))</f>
        <v/>
      </c>
      <c r="W81" s="61">
        <f>IF(G81="","",IF(N81="OK","NONE",INDEX({"S1","S2","W1","W2","N1","N2"},MATCH(MIN(Q81:V81),Q81:V81,0))))</f>
        <v/>
      </c>
      <c r="X81" s="69">
        <f>IF(G81="","",IF(W81=E81,1,0))</f>
        <v/>
      </c>
      <c r="Y81" s="70" t="n"/>
    </row>
    <row r="82">
      <c r="A82" s="61" t="n">
        <v>14</v>
      </c>
      <c r="B82" s="62" t="n">
        <v>45</v>
      </c>
      <c r="C82" s="61" t="inlineStr">
        <is>
          <t>R3</t>
        </is>
      </c>
      <c r="D82" s="74" t="inlineStr">
        <is>
          <t>NG</t>
        </is>
      </c>
      <c r="E82" s="61" t="inlineStr">
        <is>
          <t>W2</t>
        </is>
      </c>
      <c r="F82" s="61" t="inlineStr">
        <is>
          <t>K014</t>
        </is>
      </c>
      <c r="G82" s="64" t="n">
        <v>5.32</v>
      </c>
      <c r="H82" s="65" t="n"/>
      <c r="I82" s="66" t="n"/>
      <c r="J82" s="67">
        <f>VLOOKUP(C82,Recipes!$A$2:$N$4,10,FALSE())</f>
        <v/>
      </c>
      <c r="K82" s="68">
        <f>VLOOKUP(C82,Recipes!$A$2:$N$4,12,FALSE())</f>
        <v/>
      </c>
      <c r="L82" s="67">
        <f>J82-3.5*K82</f>
        <v/>
      </c>
      <c r="M82" s="67">
        <f>J82+3.5*K82</f>
        <v/>
      </c>
      <c r="N82" s="61">
        <f>IF(G82="","",IF(AND(G82&gt;=L82,G82&lt;=M82),"OK","NG"))</f>
        <v/>
      </c>
      <c r="O82" s="69">
        <f>IF(N82="","",IF(N82=D82,1,0))</f>
        <v/>
      </c>
      <c r="P82" s="67">
        <f>IF(G82="","",J82-G82)</f>
        <v/>
      </c>
      <c r="Q82" s="67">
        <f>IF(G82="","",ABS(P82-Components!$D$2))</f>
        <v/>
      </c>
      <c r="R82" s="67">
        <f>IF(G82="","",ABS(P82-Components!$D$3))</f>
        <v/>
      </c>
      <c r="S82" s="67">
        <f>IF(G82="","",ABS(P82-Components!$D$4))</f>
        <v/>
      </c>
      <c r="T82" s="67">
        <f>IF(G82="","",ABS(P82-Components!$D$5))</f>
        <v/>
      </c>
      <c r="U82" s="67">
        <f>IF(G82="","",ABS(P82-Components!$D$6))</f>
        <v/>
      </c>
      <c r="V82" s="67">
        <f>IF(G82="","",ABS(P82-Components!$D$7))</f>
        <v/>
      </c>
      <c r="W82" s="61">
        <f>IF(G82="","",IF(N82="OK","NONE",INDEX({"S1","S2","W1","W2","N1","N2"},MATCH(MIN(Q82:V82),Q82:V82,0))))</f>
        <v/>
      </c>
      <c r="X82" s="69">
        <f>IF(G82="","",IF(W82=E82,1,0))</f>
        <v/>
      </c>
      <c r="Y82" s="70" t="n"/>
    </row>
    <row r="83">
      <c r="A83" s="61" t="n">
        <v>14</v>
      </c>
      <c r="B83" s="62" t="n">
        <v>45</v>
      </c>
      <c r="C83" s="61" t="inlineStr">
        <is>
          <t>R3</t>
        </is>
      </c>
      <c r="D83" s="74" t="inlineStr">
        <is>
          <t>NG</t>
        </is>
      </c>
      <c r="E83" s="61" t="inlineStr">
        <is>
          <t>W2</t>
        </is>
      </c>
      <c r="F83" s="61" t="inlineStr">
        <is>
          <t>K014</t>
        </is>
      </c>
      <c r="G83" s="64" t="n">
        <v>5.36</v>
      </c>
      <c r="H83" s="65" t="n"/>
      <c r="I83" s="66" t="n"/>
      <c r="J83" s="67">
        <f>VLOOKUP(C83,Recipes!$A$2:$N$4,10,FALSE())</f>
        <v/>
      </c>
      <c r="K83" s="68">
        <f>VLOOKUP(C83,Recipes!$A$2:$N$4,12,FALSE())</f>
        <v/>
      </c>
      <c r="L83" s="67">
        <f>J83-3.5*K83</f>
        <v/>
      </c>
      <c r="M83" s="67">
        <f>J83+3.5*K83</f>
        <v/>
      </c>
      <c r="N83" s="61">
        <f>IF(G83="","",IF(AND(G83&gt;=L83,G83&lt;=M83),"OK","NG"))</f>
        <v/>
      </c>
      <c r="O83" s="69">
        <f>IF(N83="","",IF(N83=D83,1,0))</f>
        <v/>
      </c>
      <c r="P83" s="67">
        <f>IF(G83="","",J83-G83)</f>
        <v/>
      </c>
      <c r="Q83" s="67">
        <f>IF(G83="","",ABS(P83-Components!$D$2))</f>
        <v/>
      </c>
      <c r="R83" s="67">
        <f>IF(G83="","",ABS(P83-Components!$D$3))</f>
        <v/>
      </c>
      <c r="S83" s="67">
        <f>IF(G83="","",ABS(P83-Components!$D$4))</f>
        <v/>
      </c>
      <c r="T83" s="67">
        <f>IF(G83="","",ABS(P83-Components!$D$5))</f>
        <v/>
      </c>
      <c r="U83" s="67">
        <f>IF(G83="","",ABS(P83-Components!$D$6))</f>
        <v/>
      </c>
      <c r="V83" s="67">
        <f>IF(G83="","",ABS(P83-Components!$D$7))</f>
        <v/>
      </c>
      <c r="W83" s="61">
        <f>IF(G83="","",IF(N83="OK","NONE",INDEX({"S1","S2","W1","W2","N1","N2"},MATCH(MIN(Q83:V83),Q83:V83,0))))</f>
        <v/>
      </c>
      <c r="X83" s="69">
        <f>IF(G83="","",IF(W83=E83,1,0))</f>
        <v/>
      </c>
      <c r="Y83" s="70" t="n"/>
    </row>
    <row r="84">
      <c r="A84" s="61" t="n">
        <v>14</v>
      </c>
      <c r="B84" s="62" t="n">
        <v>45</v>
      </c>
      <c r="C84" s="61" t="inlineStr">
        <is>
          <t>R3</t>
        </is>
      </c>
      <c r="D84" s="74" t="inlineStr">
        <is>
          <t>NG</t>
        </is>
      </c>
      <c r="E84" s="61" t="inlineStr">
        <is>
          <t>W2</t>
        </is>
      </c>
      <c r="F84" s="61" t="inlineStr">
        <is>
          <t>K014</t>
        </is>
      </c>
      <c r="G84" s="64" t="n">
        <v>5.42</v>
      </c>
      <c r="H84" s="65" t="n"/>
      <c r="I84" s="66" t="n"/>
      <c r="J84" s="67">
        <f>VLOOKUP(C84,Recipes!$A$2:$N$4,10,FALSE())</f>
        <v/>
      </c>
      <c r="K84" s="68">
        <f>VLOOKUP(C84,Recipes!$A$2:$N$4,12,FALSE())</f>
        <v/>
      </c>
      <c r="L84" s="67">
        <f>J84-3.5*K84</f>
        <v/>
      </c>
      <c r="M84" s="67">
        <f>J84+3.5*K84</f>
        <v/>
      </c>
      <c r="N84" s="61">
        <f>IF(G84="","",IF(AND(G84&gt;=L84,G84&lt;=M84),"OK","NG"))</f>
        <v/>
      </c>
      <c r="O84" s="69">
        <f>IF(N84="","",IF(N84=D84,1,0))</f>
        <v/>
      </c>
      <c r="P84" s="67">
        <f>IF(G84="","",J84-G84)</f>
        <v/>
      </c>
      <c r="Q84" s="67">
        <f>IF(G84="","",ABS(P84-Components!$D$2))</f>
        <v/>
      </c>
      <c r="R84" s="67">
        <f>IF(G84="","",ABS(P84-Components!$D$3))</f>
        <v/>
      </c>
      <c r="S84" s="67">
        <f>IF(G84="","",ABS(P84-Components!$D$4))</f>
        <v/>
      </c>
      <c r="T84" s="67">
        <f>IF(G84="","",ABS(P84-Components!$D$5))</f>
        <v/>
      </c>
      <c r="U84" s="67">
        <f>IF(G84="","",ABS(P84-Components!$D$6))</f>
        <v/>
      </c>
      <c r="V84" s="67">
        <f>IF(G84="","",ABS(P84-Components!$D$7))</f>
        <v/>
      </c>
      <c r="W84" s="61">
        <f>IF(G84="","",IF(N84="OK","NONE",INDEX({"S1","S2","W1","W2","N1","N2"},MATCH(MIN(Q84:V84),Q84:V84,0))))</f>
        <v/>
      </c>
      <c r="X84" s="69">
        <f>IF(G84="","",IF(W84=E84,1,0))</f>
        <v/>
      </c>
      <c r="Y84" s="70" t="n"/>
    </row>
    <row r="85">
      <c r="A85" s="61" t="n">
        <v>14</v>
      </c>
      <c r="B85" s="62" t="n">
        <v>45</v>
      </c>
      <c r="C85" s="61" t="inlineStr">
        <is>
          <t>R3</t>
        </is>
      </c>
      <c r="D85" s="74" t="inlineStr">
        <is>
          <t>NG</t>
        </is>
      </c>
      <c r="E85" s="61" t="inlineStr">
        <is>
          <t>W2</t>
        </is>
      </c>
      <c r="F85" s="61" t="inlineStr">
        <is>
          <t>K014</t>
        </is>
      </c>
      <c r="G85" s="64" t="n">
        <v>5.37</v>
      </c>
      <c r="H85" s="65" t="n"/>
      <c r="I85" s="66" t="n"/>
      <c r="J85" s="67">
        <f>VLOOKUP(C85,Recipes!$A$2:$N$4,10,FALSE())</f>
        <v/>
      </c>
      <c r="K85" s="68">
        <f>VLOOKUP(C85,Recipes!$A$2:$N$4,12,FALSE())</f>
        <v/>
      </c>
      <c r="L85" s="67">
        <f>J85-3.5*K85</f>
        <v/>
      </c>
      <c r="M85" s="67">
        <f>J85+3.5*K85</f>
        <v/>
      </c>
      <c r="N85" s="61">
        <f>IF(G85="","",IF(AND(G85&gt;=L85,G85&lt;=M85),"OK","NG"))</f>
        <v/>
      </c>
      <c r="O85" s="69">
        <f>IF(N85="","",IF(N85=D85,1,0))</f>
        <v/>
      </c>
      <c r="P85" s="67">
        <f>IF(G85="","",J85-G85)</f>
        <v/>
      </c>
      <c r="Q85" s="67">
        <f>IF(G85="","",ABS(P85-Components!$D$2))</f>
        <v/>
      </c>
      <c r="R85" s="67">
        <f>IF(G85="","",ABS(P85-Components!$D$3))</f>
        <v/>
      </c>
      <c r="S85" s="67">
        <f>IF(G85="","",ABS(P85-Components!$D$4))</f>
        <v/>
      </c>
      <c r="T85" s="67">
        <f>IF(G85="","",ABS(P85-Components!$D$5))</f>
        <v/>
      </c>
      <c r="U85" s="67">
        <f>IF(G85="","",ABS(P85-Components!$D$6))</f>
        <v/>
      </c>
      <c r="V85" s="67">
        <f>IF(G85="","",ABS(P85-Components!$D$7))</f>
        <v/>
      </c>
      <c r="W85" s="61">
        <f>IF(G85="","",IF(N85="OK","NONE",INDEX({"S1","S2","W1","W2","N1","N2"},MATCH(MIN(Q85:V85),Q85:V85,0))))</f>
        <v/>
      </c>
      <c r="X85" s="69">
        <f>IF(G85="","",IF(W85=E85,1,0))</f>
        <v/>
      </c>
      <c r="Y85" s="70" t="n"/>
    </row>
    <row r="86">
      <c r="A86" s="61" t="n">
        <v>14</v>
      </c>
      <c r="B86" s="62" t="n">
        <v>45</v>
      </c>
      <c r="C86" s="61" t="inlineStr">
        <is>
          <t>R3</t>
        </is>
      </c>
      <c r="D86" s="74" t="inlineStr">
        <is>
          <t>NG</t>
        </is>
      </c>
      <c r="E86" s="61" t="inlineStr">
        <is>
          <t>W2</t>
        </is>
      </c>
      <c r="F86" s="61" t="inlineStr">
        <is>
          <t>K014</t>
        </is>
      </c>
      <c r="G86" s="64" t="n">
        <v>5.4</v>
      </c>
      <c r="H86" s="65" t="n"/>
      <c r="I86" s="66" t="n"/>
      <c r="J86" s="67">
        <f>VLOOKUP(C86,Recipes!$A$2:$N$4,10,FALSE())</f>
        <v/>
      </c>
      <c r="K86" s="68">
        <f>VLOOKUP(C86,Recipes!$A$2:$N$4,12,FALSE())</f>
        <v/>
      </c>
      <c r="L86" s="67">
        <f>J86-3.5*K86</f>
        <v/>
      </c>
      <c r="M86" s="67">
        <f>J86+3.5*K86</f>
        <v/>
      </c>
      <c r="N86" s="61">
        <f>IF(G86="","",IF(AND(G86&gt;=L86,G86&lt;=M86),"OK","NG"))</f>
        <v/>
      </c>
      <c r="O86" s="69">
        <f>IF(N86="","",IF(N86=D86,1,0))</f>
        <v/>
      </c>
      <c r="P86" s="67">
        <f>IF(G86="","",J86-G86)</f>
        <v/>
      </c>
      <c r="Q86" s="67">
        <f>IF(G86="","",ABS(P86-Components!$D$2))</f>
        <v/>
      </c>
      <c r="R86" s="67">
        <f>IF(G86="","",ABS(P86-Components!$D$3))</f>
        <v/>
      </c>
      <c r="S86" s="67">
        <f>IF(G86="","",ABS(P86-Components!$D$4))</f>
        <v/>
      </c>
      <c r="T86" s="67">
        <f>IF(G86="","",ABS(P86-Components!$D$5))</f>
        <v/>
      </c>
      <c r="U86" s="67">
        <f>IF(G86="","",ABS(P86-Components!$D$6))</f>
        <v/>
      </c>
      <c r="V86" s="67">
        <f>IF(G86="","",ABS(P86-Components!$D$7))</f>
        <v/>
      </c>
      <c r="W86" s="61">
        <f>IF(G86="","",IF(N86="OK","NONE",INDEX({"S1","S2","W1","W2","N1","N2"},MATCH(MIN(Q86:V86),Q86:V86,0))))</f>
        <v/>
      </c>
      <c r="X86" s="69">
        <f>IF(G86="","",IF(W86=E86,1,0))</f>
        <v/>
      </c>
      <c r="Y86" s="70" t="n"/>
    </row>
    <row r="87">
      <c r="A87" s="61" t="n">
        <v>14</v>
      </c>
      <c r="B87" s="62" t="n">
        <v>45</v>
      </c>
      <c r="C87" s="61" t="inlineStr">
        <is>
          <t>R3</t>
        </is>
      </c>
      <c r="D87" s="74" t="inlineStr">
        <is>
          <t>NG</t>
        </is>
      </c>
      <c r="E87" s="61" t="inlineStr">
        <is>
          <t>W2</t>
        </is>
      </c>
      <c r="F87" s="61" t="inlineStr">
        <is>
          <t>K014</t>
        </is>
      </c>
      <c r="G87" s="64" t="n">
        <v>5.35</v>
      </c>
      <c r="H87" s="65" t="n"/>
      <c r="I87" s="66" t="n"/>
      <c r="J87" s="67">
        <f>VLOOKUP(C87,Recipes!$A$2:$N$4,10,FALSE())</f>
        <v/>
      </c>
      <c r="K87" s="68">
        <f>VLOOKUP(C87,Recipes!$A$2:$N$4,12,FALSE())</f>
        <v/>
      </c>
      <c r="L87" s="67">
        <f>J87-3.5*K87</f>
        <v/>
      </c>
      <c r="M87" s="67">
        <f>J87+3.5*K87</f>
        <v/>
      </c>
      <c r="N87" s="61">
        <f>IF(G87="","",IF(AND(G87&gt;=L87,G87&lt;=M87),"OK","NG"))</f>
        <v/>
      </c>
      <c r="O87" s="69">
        <f>IF(N87="","",IF(N87=D87,1,0))</f>
        <v/>
      </c>
      <c r="P87" s="67">
        <f>IF(G87="","",J87-G87)</f>
        <v/>
      </c>
      <c r="Q87" s="67">
        <f>IF(G87="","",ABS(P87-Components!$D$2))</f>
        <v/>
      </c>
      <c r="R87" s="67">
        <f>IF(G87="","",ABS(P87-Components!$D$3))</f>
        <v/>
      </c>
      <c r="S87" s="67">
        <f>IF(G87="","",ABS(P87-Components!$D$4))</f>
        <v/>
      </c>
      <c r="T87" s="67">
        <f>IF(G87="","",ABS(P87-Components!$D$5))</f>
        <v/>
      </c>
      <c r="U87" s="67">
        <f>IF(G87="","",ABS(P87-Components!$D$6))</f>
        <v/>
      </c>
      <c r="V87" s="67">
        <f>IF(G87="","",ABS(P87-Components!$D$7))</f>
        <v/>
      </c>
      <c r="W87" s="61">
        <f>IF(G87="","",IF(N87="OK","NONE",INDEX({"S1","S2","W1","W2","N1","N2"},MATCH(MIN(Q87:V87),Q87:V87,0))))</f>
        <v/>
      </c>
      <c r="X87" s="69">
        <f>IF(G87="","",IF(W87=E87,1,0))</f>
        <v/>
      </c>
      <c r="Y87" s="70" t="n"/>
    </row>
    <row r="88">
      <c r="A88" s="61" t="n">
        <v>14</v>
      </c>
      <c r="B88" s="62" t="n">
        <v>45</v>
      </c>
      <c r="C88" s="61" t="inlineStr">
        <is>
          <t>R3</t>
        </is>
      </c>
      <c r="D88" s="74" t="inlineStr">
        <is>
          <t>NG</t>
        </is>
      </c>
      <c r="E88" s="61" t="inlineStr">
        <is>
          <t>W2</t>
        </is>
      </c>
      <c r="F88" s="61" t="inlineStr">
        <is>
          <t>K014</t>
        </is>
      </c>
      <c r="G88" s="64" t="n">
        <v>5.38</v>
      </c>
      <c r="H88" s="65" t="n"/>
      <c r="I88" s="66" t="n"/>
      <c r="J88" s="67">
        <f>VLOOKUP(C88,Recipes!$A$2:$N$4,10,FALSE())</f>
        <v/>
      </c>
      <c r="K88" s="68">
        <f>VLOOKUP(C88,Recipes!$A$2:$N$4,12,FALSE())</f>
        <v/>
      </c>
      <c r="L88" s="67">
        <f>J88-3.5*K88</f>
        <v/>
      </c>
      <c r="M88" s="67">
        <f>J88+3.5*K88</f>
        <v/>
      </c>
      <c r="N88" s="61">
        <f>IF(G88="","",IF(AND(G88&gt;=L88,G88&lt;=M88),"OK","NG"))</f>
        <v/>
      </c>
      <c r="O88" s="69">
        <f>IF(N88="","",IF(N88=D88,1,0))</f>
        <v/>
      </c>
      <c r="P88" s="67">
        <f>IF(G88="","",J88-G88)</f>
        <v/>
      </c>
      <c r="Q88" s="67">
        <f>IF(G88="","",ABS(P88-Components!$D$2))</f>
        <v/>
      </c>
      <c r="R88" s="67">
        <f>IF(G88="","",ABS(P88-Components!$D$3))</f>
        <v/>
      </c>
      <c r="S88" s="67">
        <f>IF(G88="","",ABS(P88-Components!$D$4))</f>
        <v/>
      </c>
      <c r="T88" s="67">
        <f>IF(G88="","",ABS(P88-Components!$D$5))</f>
        <v/>
      </c>
      <c r="U88" s="67">
        <f>IF(G88="","",ABS(P88-Components!$D$6))</f>
        <v/>
      </c>
      <c r="V88" s="67">
        <f>IF(G88="","",ABS(P88-Components!$D$7))</f>
        <v/>
      </c>
      <c r="W88" s="61">
        <f>IF(G88="","",IF(N88="OK","NONE",INDEX({"S1","S2","W1","W2","N1","N2"},MATCH(MIN(Q88:V88),Q88:V88,0))))</f>
        <v/>
      </c>
      <c r="X88" s="69">
        <f>IF(G88="","",IF(W88=E88,1,0))</f>
        <v/>
      </c>
      <c r="Y88" s="70" t="n"/>
    </row>
    <row r="89">
      <c r="A89" s="61" t="n">
        <v>14</v>
      </c>
      <c r="B89" s="62" t="n">
        <v>45</v>
      </c>
      <c r="C89" s="61" t="inlineStr">
        <is>
          <t>R3</t>
        </is>
      </c>
      <c r="D89" s="74" t="inlineStr">
        <is>
          <t>NG</t>
        </is>
      </c>
      <c r="E89" s="61" t="inlineStr">
        <is>
          <t>W2</t>
        </is>
      </c>
      <c r="F89" s="61" t="inlineStr">
        <is>
          <t>K014</t>
        </is>
      </c>
      <c r="G89" s="64" t="n">
        <v>5.34</v>
      </c>
      <c r="H89" s="65" t="n"/>
      <c r="I89" s="66" t="n"/>
      <c r="J89" s="67">
        <f>VLOOKUP(C89,Recipes!$A$2:$N$4,10,FALSE())</f>
        <v/>
      </c>
      <c r="K89" s="68">
        <f>VLOOKUP(C89,Recipes!$A$2:$N$4,12,FALSE())</f>
        <v/>
      </c>
      <c r="L89" s="67">
        <f>J89-3.5*K89</f>
        <v/>
      </c>
      <c r="M89" s="67">
        <f>J89+3.5*K89</f>
        <v/>
      </c>
      <c r="N89" s="61">
        <f>IF(G89="","",IF(AND(G89&gt;=L89,G89&lt;=M89),"OK","NG"))</f>
        <v/>
      </c>
      <c r="O89" s="69">
        <f>IF(N89="","",IF(N89=D89,1,0))</f>
        <v/>
      </c>
      <c r="P89" s="67">
        <f>IF(G89="","",J89-G89)</f>
        <v/>
      </c>
      <c r="Q89" s="67">
        <f>IF(G89="","",ABS(P89-Components!$D$2))</f>
        <v/>
      </c>
      <c r="R89" s="67">
        <f>IF(G89="","",ABS(P89-Components!$D$3))</f>
        <v/>
      </c>
      <c r="S89" s="67">
        <f>IF(G89="","",ABS(P89-Components!$D$4))</f>
        <v/>
      </c>
      <c r="T89" s="67">
        <f>IF(G89="","",ABS(P89-Components!$D$5))</f>
        <v/>
      </c>
      <c r="U89" s="67">
        <f>IF(G89="","",ABS(P89-Components!$D$6))</f>
        <v/>
      </c>
      <c r="V89" s="67">
        <f>IF(G89="","",ABS(P89-Components!$D$7))</f>
        <v/>
      </c>
      <c r="W89" s="61">
        <f>IF(G89="","",IF(N89="OK","NONE",INDEX({"S1","S2","W1","W2","N1","N2"},MATCH(MIN(Q89:V89),Q89:V89,0))))</f>
        <v/>
      </c>
      <c r="X89" s="69">
        <f>IF(G89="","",IF(W89=E89,1,0))</f>
        <v/>
      </c>
      <c r="Y89" s="70" t="n"/>
    </row>
    <row r="90">
      <c r="A90" s="61" t="n">
        <v>14</v>
      </c>
      <c r="B90" s="62" t="n">
        <v>45</v>
      </c>
      <c r="C90" s="61" t="inlineStr">
        <is>
          <t>R3</t>
        </is>
      </c>
      <c r="D90" s="74" t="inlineStr">
        <is>
          <t>NG</t>
        </is>
      </c>
      <c r="E90" s="61" t="inlineStr">
        <is>
          <t>W2</t>
        </is>
      </c>
      <c r="F90" s="61" t="inlineStr">
        <is>
          <t>K014</t>
        </is>
      </c>
      <c r="G90" s="64" t="n">
        <v>5.42</v>
      </c>
      <c r="H90" s="65" t="n"/>
      <c r="I90" s="66" t="n"/>
      <c r="J90" s="67">
        <f>VLOOKUP(C90,Recipes!$A$2:$N$4,10,FALSE())</f>
        <v/>
      </c>
      <c r="K90" s="68">
        <f>VLOOKUP(C90,Recipes!$A$2:$N$4,12,FALSE())</f>
        <v/>
      </c>
      <c r="L90" s="67">
        <f>J90-3.5*K90</f>
        <v/>
      </c>
      <c r="M90" s="67">
        <f>J90+3.5*K90</f>
        <v/>
      </c>
      <c r="N90" s="61">
        <f>IF(G90="","",IF(AND(G90&gt;=L90,G90&lt;=M90),"OK","NG"))</f>
        <v/>
      </c>
      <c r="O90" s="69">
        <f>IF(N90="","",IF(N90=D90,1,0))</f>
        <v/>
      </c>
      <c r="P90" s="67">
        <f>IF(G90="","",J90-G90)</f>
        <v/>
      </c>
      <c r="Q90" s="67">
        <f>IF(G90="","",ABS(P90-Components!$D$2))</f>
        <v/>
      </c>
      <c r="R90" s="67">
        <f>IF(G90="","",ABS(P90-Components!$D$3))</f>
        <v/>
      </c>
      <c r="S90" s="67">
        <f>IF(G90="","",ABS(P90-Components!$D$4))</f>
        <v/>
      </c>
      <c r="T90" s="67">
        <f>IF(G90="","",ABS(P90-Components!$D$5))</f>
        <v/>
      </c>
      <c r="U90" s="67">
        <f>IF(G90="","",ABS(P90-Components!$D$6))</f>
        <v/>
      </c>
      <c r="V90" s="67">
        <f>IF(G90="","",ABS(P90-Components!$D$7))</f>
        <v/>
      </c>
      <c r="W90" s="61">
        <f>IF(G90="","",IF(N90="OK","NONE",INDEX({"S1","S2","W1","W2","N1","N2"},MATCH(MIN(Q90:V90),Q90:V90,0))))</f>
        <v/>
      </c>
      <c r="X90" s="69">
        <f>IF(G90="","",IF(W90=E90,1,0))</f>
        <v/>
      </c>
      <c r="Y90" s="70" t="n"/>
    </row>
    <row r="91">
      <c r="A91" s="61" t="n">
        <v>14</v>
      </c>
      <c r="B91" s="62" t="n">
        <v>45</v>
      </c>
      <c r="C91" s="61" t="inlineStr">
        <is>
          <t>R3</t>
        </is>
      </c>
      <c r="D91" s="74" t="inlineStr">
        <is>
          <t>NG</t>
        </is>
      </c>
      <c r="E91" s="61" t="inlineStr">
        <is>
          <t>W2</t>
        </is>
      </c>
      <c r="F91" s="61" t="inlineStr">
        <is>
          <t>K014</t>
        </is>
      </c>
      <c r="G91" s="64" t="n">
        <v>5.4</v>
      </c>
      <c r="H91" s="65" t="n"/>
      <c r="I91" s="66" t="n"/>
      <c r="J91" s="67">
        <f>VLOOKUP(C91,Recipes!$A$2:$N$4,10,FALSE())</f>
        <v/>
      </c>
      <c r="K91" s="68">
        <f>VLOOKUP(C91,Recipes!$A$2:$N$4,12,FALSE())</f>
        <v/>
      </c>
      <c r="L91" s="67">
        <f>J91-3.5*K91</f>
        <v/>
      </c>
      <c r="M91" s="67">
        <f>J91+3.5*K91</f>
        <v/>
      </c>
      <c r="N91" s="61">
        <f>IF(G91="","",IF(AND(G91&gt;=L91,G91&lt;=M91),"OK","NG"))</f>
        <v/>
      </c>
      <c r="O91" s="69">
        <f>IF(N91="","",IF(N91=D91,1,0))</f>
        <v/>
      </c>
      <c r="P91" s="67">
        <f>IF(G91="","",J91-G91)</f>
        <v/>
      </c>
      <c r="Q91" s="67">
        <f>IF(G91="","",ABS(P91-Components!$D$2))</f>
        <v/>
      </c>
      <c r="R91" s="67">
        <f>IF(G91="","",ABS(P91-Components!$D$3))</f>
        <v/>
      </c>
      <c r="S91" s="67">
        <f>IF(G91="","",ABS(P91-Components!$D$4))</f>
        <v/>
      </c>
      <c r="T91" s="67">
        <f>IF(G91="","",ABS(P91-Components!$D$5))</f>
        <v/>
      </c>
      <c r="U91" s="67">
        <f>IF(G91="","",ABS(P91-Components!$D$6))</f>
        <v/>
      </c>
      <c r="V91" s="67">
        <f>IF(G91="","",ABS(P91-Components!$D$7))</f>
        <v/>
      </c>
      <c r="W91" s="61">
        <f>IF(G91="","",IF(N91="OK","NONE",INDEX({"S1","S2","W1","W2","N1","N2"},MATCH(MIN(Q91:V91),Q91:V91,0))))</f>
        <v/>
      </c>
      <c r="X91" s="69">
        <f>IF(G91="","",IF(W91=E91,1,0))</f>
        <v/>
      </c>
      <c r="Y91" s="70" t="n"/>
    </row>
    <row r="92">
      <c r="A92" s="61" t="n">
        <v>15</v>
      </c>
      <c r="B92" s="62" t="n">
        <v>30</v>
      </c>
      <c r="C92" s="61" t="inlineStr">
        <is>
          <t>R3</t>
        </is>
      </c>
      <c r="D92" s="74" t="inlineStr">
        <is>
          <t>NG</t>
        </is>
      </c>
      <c r="E92" s="61" t="inlineStr">
        <is>
          <t>W2</t>
        </is>
      </c>
      <c r="F92" s="61" t="inlineStr">
        <is>
          <t>K015</t>
        </is>
      </c>
      <c r="G92" s="64" t="n">
        <v>5.42</v>
      </c>
      <c r="H92" s="65" t="n"/>
      <c r="I92" s="66" t="n"/>
      <c r="J92" s="67">
        <f>VLOOKUP(C92,Recipes!$A$2:$N$4,10,FALSE())</f>
        <v/>
      </c>
      <c r="K92" s="68">
        <f>VLOOKUP(C92,Recipes!$A$2:$N$4,12,FALSE())</f>
        <v/>
      </c>
      <c r="L92" s="67">
        <f>J92-3.5*K92</f>
        <v/>
      </c>
      <c r="M92" s="67">
        <f>J92+3.5*K92</f>
        <v/>
      </c>
      <c r="N92" s="61">
        <f>IF(G92="","",IF(AND(G92&gt;=L92,G92&lt;=M92),"OK","NG"))</f>
        <v/>
      </c>
      <c r="O92" s="69">
        <f>IF(N92="","",IF(N92=D92,1,0))</f>
        <v/>
      </c>
      <c r="P92" s="67">
        <f>IF(G92="","",J92-G92)</f>
        <v/>
      </c>
      <c r="Q92" s="67">
        <f>IF(G92="","",ABS(P92-Components!$D$2))</f>
        <v/>
      </c>
      <c r="R92" s="67">
        <f>IF(G92="","",ABS(P92-Components!$D$3))</f>
        <v/>
      </c>
      <c r="S92" s="67">
        <f>IF(G92="","",ABS(P92-Components!$D$4))</f>
        <v/>
      </c>
      <c r="T92" s="67">
        <f>IF(G92="","",ABS(P92-Components!$D$5))</f>
        <v/>
      </c>
      <c r="U92" s="67">
        <f>IF(G92="","",ABS(P92-Components!$D$6))</f>
        <v/>
      </c>
      <c r="V92" s="67">
        <f>IF(G92="","",ABS(P92-Components!$D$7))</f>
        <v/>
      </c>
      <c r="W92" s="61">
        <f>IF(G92="","",IF(N92="OK","NONE",INDEX({"S1","S2","W1","W2","N1","N2"},MATCH(MIN(Q92:V92),Q92:V92,0))))</f>
        <v/>
      </c>
      <c r="X92" s="69">
        <f>IF(G92="","",IF(W92=E92,1,0))</f>
        <v/>
      </c>
      <c r="Y92" s="70" t="n"/>
    </row>
    <row r="93">
      <c r="A93" s="61" t="n">
        <v>16</v>
      </c>
      <c r="B93" s="62" t="n">
        <v>55</v>
      </c>
      <c r="C93" s="61" t="inlineStr">
        <is>
          <t>R3</t>
        </is>
      </c>
      <c r="D93" s="74" t="inlineStr">
        <is>
          <t>NG</t>
        </is>
      </c>
      <c r="E93" s="61" t="inlineStr">
        <is>
          <t>N2</t>
        </is>
      </c>
      <c r="F93" s="61" t="inlineStr">
        <is>
          <t>K016</t>
        </is>
      </c>
      <c r="G93" s="64" t="n">
        <v>8.609999999999999</v>
      </c>
      <c r="H93" s="65" t="n"/>
      <c r="I93" s="66" t="n"/>
      <c r="J93" s="67">
        <f>VLOOKUP(C93,Recipes!$A$2:$N$4,10,FALSE())</f>
        <v/>
      </c>
      <c r="K93" s="68">
        <f>VLOOKUP(C93,Recipes!$A$2:$N$4,12,FALSE())</f>
        <v/>
      </c>
      <c r="L93" s="67">
        <f>J93-3.5*K93</f>
        <v/>
      </c>
      <c r="M93" s="67">
        <f>J93+3.5*K93</f>
        <v/>
      </c>
      <c r="N93" s="61">
        <f>IF(G93="","",IF(AND(G93&gt;=L93,G93&lt;=M93),"OK","NG"))</f>
        <v/>
      </c>
      <c r="O93" s="69">
        <f>IF(N93="","",IF(N93=D93,1,0))</f>
        <v/>
      </c>
      <c r="P93" s="67">
        <f>IF(G93="","",J93-G93)</f>
        <v/>
      </c>
      <c r="Q93" s="67">
        <f>IF(G93="","",ABS(P93-Components!$D$2))</f>
        <v/>
      </c>
      <c r="R93" s="67">
        <f>IF(G93="","",ABS(P93-Components!$D$3))</f>
        <v/>
      </c>
      <c r="S93" s="67">
        <f>IF(G93="","",ABS(P93-Components!$D$4))</f>
        <v/>
      </c>
      <c r="T93" s="67">
        <f>IF(G93="","",ABS(P93-Components!$D$5))</f>
        <v/>
      </c>
      <c r="U93" s="67">
        <f>IF(G93="","",ABS(P93-Components!$D$6))</f>
        <v/>
      </c>
      <c r="V93" s="67">
        <f>IF(G93="","",ABS(P93-Components!$D$7))</f>
        <v/>
      </c>
      <c r="W93" s="61">
        <f>IF(G93="","",IF(N93="OK","NONE",INDEX({"S1","S2","W1","W2","N1","N2"},MATCH(MIN(Q93:V93),Q93:V93,0))))</f>
        <v/>
      </c>
      <c r="X93" s="69">
        <f>IF(G93="","",IF(W93=E93,1,0))</f>
        <v/>
      </c>
      <c r="Y93" s="70" t="n"/>
    </row>
    <row r="94">
      <c r="A94" s="61" t="n">
        <v>17</v>
      </c>
      <c r="B94" s="62" t="n">
        <v>4</v>
      </c>
      <c r="C94" s="61" t="inlineStr">
        <is>
          <t>R3</t>
        </is>
      </c>
      <c r="D94" s="74" t="inlineStr">
        <is>
          <t>NG</t>
        </is>
      </c>
      <c r="E94" s="61" t="inlineStr">
        <is>
          <t>N2</t>
        </is>
      </c>
      <c r="F94" s="61" t="inlineStr">
        <is>
          <t>K017</t>
        </is>
      </c>
      <c r="G94" s="64" t="n">
        <v>8.619999999999999</v>
      </c>
      <c r="H94" s="65" t="n"/>
      <c r="I94" s="66" t="n"/>
      <c r="J94" s="67">
        <f>VLOOKUP(C94,Recipes!$A$2:$N$4,10,FALSE())</f>
        <v/>
      </c>
      <c r="K94" s="68">
        <f>VLOOKUP(C94,Recipes!$A$2:$N$4,12,FALSE())</f>
        <v/>
      </c>
      <c r="L94" s="67">
        <f>J94-3.5*K94</f>
        <v/>
      </c>
      <c r="M94" s="67">
        <f>J94+3.5*K94</f>
        <v/>
      </c>
      <c r="N94" s="61">
        <f>IF(G94="","",IF(AND(G94&gt;=L94,G94&lt;=M94),"OK","NG"))</f>
        <v/>
      </c>
      <c r="O94" s="69">
        <f>IF(N94="","",IF(N94=D94,1,0))</f>
        <v/>
      </c>
      <c r="P94" s="67">
        <f>IF(G94="","",J94-G94)</f>
        <v/>
      </c>
      <c r="Q94" s="67">
        <f>IF(G94="","",ABS(P94-Components!$D$2))</f>
        <v/>
      </c>
      <c r="R94" s="67">
        <f>IF(G94="","",ABS(P94-Components!$D$3))</f>
        <v/>
      </c>
      <c r="S94" s="67">
        <f>IF(G94="","",ABS(P94-Components!$D$4))</f>
        <v/>
      </c>
      <c r="T94" s="67">
        <f>IF(G94="","",ABS(P94-Components!$D$5))</f>
        <v/>
      </c>
      <c r="U94" s="67">
        <f>IF(G94="","",ABS(P94-Components!$D$6))</f>
        <v/>
      </c>
      <c r="V94" s="67">
        <f>IF(G94="","",ABS(P94-Components!$D$7))</f>
        <v/>
      </c>
      <c r="W94" s="61">
        <f>IF(G94="","",IF(N94="OK","NONE",INDEX({"S1","S2","W1","W2","N1","N2"},MATCH(MIN(Q94:V94),Q94:V94,0))))</f>
        <v/>
      </c>
      <c r="X94" s="69">
        <f>IF(G94="","",IF(W94=E94,1,0))</f>
        <v/>
      </c>
      <c r="Y94" s="70" t="n"/>
    </row>
    <row r="95">
      <c r="A95" s="61" t="n">
        <v>18</v>
      </c>
      <c r="B95" s="62" t="n">
        <v>22</v>
      </c>
      <c r="C95" s="61" t="inlineStr">
        <is>
          <t>R3</t>
        </is>
      </c>
      <c r="D95" s="74" t="inlineStr">
        <is>
          <t>NG</t>
        </is>
      </c>
      <c r="E95" s="61" t="inlineStr">
        <is>
          <t>N2</t>
        </is>
      </c>
      <c r="F95" s="61" t="inlineStr">
        <is>
          <t>K018</t>
        </is>
      </c>
      <c r="G95" s="64" t="n">
        <v>8.630000000000001</v>
      </c>
      <c r="H95" s="65" t="n"/>
      <c r="I95" s="66" t="n"/>
      <c r="J95" s="67">
        <f>VLOOKUP(C95,Recipes!$A$2:$N$4,10,FALSE())</f>
        <v/>
      </c>
      <c r="K95" s="68">
        <f>VLOOKUP(C95,Recipes!$A$2:$N$4,12,FALSE())</f>
        <v/>
      </c>
      <c r="L95" s="67">
        <f>J95-3.5*K95</f>
        <v/>
      </c>
      <c r="M95" s="67">
        <f>J95+3.5*K95</f>
        <v/>
      </c>
      <c r="N95" s="61">
        <f>IF(G95="","",IF(AND(G95&gt;=L95,G95&lt;=M95),"OK","NG"))</f>
        <v/>
      </c>
      <c r="O95" s="69">
        <f>IF(N95="","",IF(N95=D95,1,0))</f>
        <v/>
      </c>
      <c r="P95" s="67">
        <f>IF(G95="","",J95-G95)</f>
        <v/>
      </c>
      <c r="Q95" s="67">
        <f>IF(G95="","",ABS(P95-Components!$D$2))</f>
        <v/>
      </c>
      <c r="R95" s="67">
        <f>IF(G95="","",ABS(P95-Components!$D$3))</f>
        <v/>
      </c>
      <c r="S95" s="67">
        <f>IF(G95="","",ABS(P95-Components!$D$4))</f>
        <v/>
      </c>
      <c r="T95" s="67">
        <f>IF(G95="","",ABS(P95-Components!$D$5))</f>
        <v/>
      </c>
      <c r="U95" s="67">
        <f>IF(G95="","",ABS(P95-Components!$D$6))</f>
        <v/>
      </c>
      <c r="V95" s="67">
        <f>IF(G95="","",ABS(P95-Components!$D$7))</f>
        <v/>
      </c>
      <c r="W95" s="61">
        <f>IF(G95="","",IF(N95="OK","NONE",INDEX({"S1","S2","W1","W2","N1","N2"},MATCH(MIN(Q95:V95),Q95:V95,0))))</f>
        <v/>
      </c>
      <c r="X95" s="69">
        <f>IF(G95="","",IF(W95=E95,1,0))</f>
        <v/>
      </c>
      <c r="Y95" s="70" t="n"/>
    </row>
    <row r="96">
      <c r="A96" s="61" t="n">
        <v>19</v>
      </c>
      <c r="B96" s="62" t="n">
        <v>47</v>
      </c>
      <c r="C96" s="61" t="inlineStr">
        <is>
          <t>R3</t>
        </is>
      </c>
      <c r="D96" s="74" t="inlineStr">
        <is>
          <t>NG</t>
        </is>
      </c>
      <c r="E96" s="61" t="inlineStr">
        <is>
          <t>N2</t>
        </is>
      </c>
      <c r="F96" s="61" t="inlineStr">
        <is>
          <t>K019</t>
        </is>
      </c>
      <c r="G96" s="64" t="n">
        <v>8.619999999999999</v>
      </c>
      <c r="H96" s="65" t="n"/>
      <c r="I96" s="66" t="n"/>
      <c r="J96" s="67">
        <f>VLOOKUP(C96,Recipes!$A$2:$N$4,10,FALSE())</f>
        <v/>
      </c>
      <c r="K96" s="68">
        <f>VLOOKUP(C96,Recipes!$A$2:$N$4,12,FALSE())</f>
        <v/>
      </c>
      <c r="L96" s="67">
        <f>J96-3.5*K96</f>
        <v/>
      </c>
      <c r="M96" s="67">
        <f>J96+3.5*K96</f>
        <v/>
      </c>
      <c r="N96" s="61">
        <f>IF(G96="","",IF(AND(G96&gt;=L96,G96&lt;=M96),"OK","NG"))</f>
        <v/>
      </c>
      <c r="O96" s="69">
        <f>IF(N96="","",IF(N96=D96,1,0))</f>
        <v/>
      </c>
      <c r="P96" s="67">
        <f>IF(G96="","",J96-G96)</f>
        <v/>
      </c>
      <c r="Q96" s="67">
        <f>IF(G96="","",ABS(P96-Components!$D$2))</f>
        <v/>
      </c>
      <c r="R96" s="67">
        <f>IF(G96="","",ABS(P96-Components!$D$3))</f>
        <v/>
      </c>
      <c r="S96" s="67">
        <f>IF(G96="","",ABS(P96-Components!$D$4))</f>
        <v/>
      </c>
      <c r="T96" s="67">
        <f>IF(G96="","",ABS(P96-Components!$D$5))</f>
        <v/>
      </c>
      <c r="U96" s="67">
        <f>IF(G96="","",ABS(P96-Components!$D$6))</f>
        <v/>
      </c>
      <c r="V96" s="67">
        <f>IF(G96="","",ABS(P96-Components!$D$7))</f>
        <v/>
      </c>
      <c r="W96" s="61">
        <f>IF(G96="","",IF(N96="OK","NONE",INDEX({"S1","S2","W1","W2","N1","N2"},MATCH(MIN(Q96:V96),Q96:V96,0))))</f>
        <v/>
      </c>
      <c r="X96" s="69">
        <f>IF(G96="","",IF(W96=E96,1,0))</f>
        <v/>
      </c>
      <c r="Y96" s="70" t="n"/>
    </row>
    <row r="97">
      <c r="A97" s="61" t="n">
        <v>19</v>
      </c>
      <c r="B97" s="62" t="n">
        <v>47</v>
      </c>
      <c r="C97" s="61" t="inlineStr">
        <is>
          <t>R3</t>
        </is>
      </c>
      <c r="D97" s="74" t="inlineStr">
        <is>
          <t>NG</t>
        </is>
      </c>
      <c r="E97" s="61" t="inlineStr">
        <is>
          <t>N2</t>
        </is>
      </c>
      <c r="F97" s="61" t="inlineStr">
        <is>
          <t>K019</t>
        </is>
      </c>
      <c r="G97" s="64" t="n">
        <v>8.539999999999999</v>
      </c>
      <c r="H97" s="65" t="n"/>
      <c r="I97" s="66" t="n"/>
      <c r="J97" s="67">
        <f>VLOOKUP(C97,Recipes!$A$2:$N$4,10,FALSE())</f>
        <v/>
      </c>
      <c r="K97" s="68">
        <f>VLOOKUP(C97,Recipes!$A$2:$N$4,12,FALSE())</f>
        <v/>
      </c>
      <c r="L97" s="67">
        <f>J97-3.5*K97</f>
        <v/>
      </c>
      <c r="M97" s="67">
        <f>J97+3.5*K97</f>
        <v/>
      </c>
      <c r="N97" s="61">
        <f>IF(G97="","",IF(AND(G97&gt;=L97,G97&lt;=M97),"OK","NG"))</f>
        <v/>
      </c>
      <c r="O97" s="69">
        <f>IF(N97="","",IF(N97=D97,1,0))</f>
        <v/>
      </c>
      <c r="P97" s="67">
        <f>IF(G97="","",J97-G97)</f>
        <v/>
      </c>
      <c r="Q97" s="67">
        <f>IF(G97="","",ABS(P97-Components!$D$2))</f>
        <v/>
      </c>
      <c r="R97" s="67">
        <f>IF(G97="","",ABS(P97-Components!$D$3))</f>
        <v/>
      </c>
      <c r="S97" s="67">
        <f>IF(G97="","",ABS(P97-Components!$D$4))</f>
        <v/>
      </c>
      <c r="T97" s="67">
        <f>IF(G97="","",ABS(P97-Components!$D$5))</f>
        <v/>
      </c>
      <c r="U97" s="67">
        <f>IF(G97="","",ABS(P97-Components!$D$6))</f>
        <v/>
      </c>
      <c r="V97" s="67">
        <f>IF(G97="","",ABS(P97-Components!$D$7))</f>
        <v/>
      </c>
      <c r="W97" s="61">
        <f>IF(G97="","",IF(N97="OK","NONE",INDEX({"S1","S2","W1","W2","N1","N2"},MATCH(MIN(Q97:V97),Q97:V97,0))))</f>
        <v/>
      </c>
      <c r="X97" s="69">
        <f>IF(G97="","",IF(W97=E97,1,0))</f>
        <v/>
      </c>
      <c r="Y97" s="70" t="n"/>
    </row>
    <row r="98">
      <c r="A98" s="61" t="n">
        <v>19</v>
      </c>
      <c r="B98" s="62" t="n">
        <v>47</v>
      </c>
      <c r="C98" s="61" t="inlineStr">
        <is>
          <t>R3</t>
        </is>
      </c>
      <c r="D98" s="74" t="inlineStr">
        <is>
          <t>NG</t>
        </is>
      </c>
      <c r="E98" s="61" t="inlineStr">
        <is>
          <t>N2</t>
        </is>
      </c>
      <c r="F98" s="61" t="inlineStr">
        <is>
          <t>K019</t>
        </is>
      </c>
      <c r="G98" s="64" t="n">
        <v>8.48</v>
      </c>
      <c r="H98" s="65" t="n"/>
      <c r="I98" s="66" t="n"/>
      <c r="J98" s="67">
        <f>VLOOKUP(C98,Recipes!$A$2:$N$4,10,FALSE())</f>
        <v/>
      </c>
      <c r="K98" s="68">
        <f>VLOOKUP(C98,Recipes!$A$2:$N$4,12,FALSE())</f>
        <v/>
      </c>
      <c r="L98" s="67">
        <f>J98-3.5*K98</f>
        <v/>
      </c>
      <c r="M98" s="67">
        <f>J98+3.5*K98</f>
        <v/>
      </c>
      <c r="N98" s="61">
        <f>IF(G98="","",IF(AND(G98&gt;=L98,G98&lt;=M98),"OK","NG"))</f>
        <v/>
      </c>
      <c r="O98" s="69">
        <f>IF(N98="","",IF(N98=D98,1,0))</f>
        <v/>
      </c>
      <c r="P98" s="67">
        <f>IF(G98="","",J98-G98)</f>
        <v/>
      </c>
      <c r="Q98" s="67">
        <f>IF(G98="","",ABS(P98-Components!$D$2))</f>
        <v/>
      </c>
      <c r="R98" s="67">
        <f>IF(G98="","",ABS(P98-Components!$D$3))</f>
        <v/>
      </c>
      <c r="S98" s="67">
        <f>IF(G98="","",ABS(P98-Components!$D$4))</f>
        <v/>
      </c>
      <c r="T98" s="67">
        <f>IF(G98="","",ABS(P98-Components!$D$5))</f>
        <v/>
      </c>
      <c r="U98" s="67">
        <f>IF(G98="","",ABS(P98-Components!$D$6))</f>
        <v/>
      </c>
      <c r="V98" s="67">
        <f>IF(G98="","",ABS(P98-Components!$D$7))</f>
        <v/>
      </c>
      <c r="W98" s="61">
        <f>IF(G98="","",IF(N98="OK","NONE",INDEX({"S1","S2","W1","W2","N1","N2"},MATCH(MIN(Q98:V98),Q98:V98,0))))</f>
        <v/>
      </c>
      <c r="X98" s="69">
        <f>IF(G98="","",IF(W98=E98,1,0))</f>
        <v/>
      </c>
      <c r="Y98" s="70" t="n"/>
    </row>
    <row r="99">
      <c r="A99" s="61" t="n">
        <v>19</v>
      </c>
      <c r="B99" s="62" t="n">
        <v>47</v>
      </c>
      <c r="C99" s="61" t="inlineStr">
        <is>
          <t>R3</t>
        </is>
      </c>
      <c r="D99" s="74" t="inlineStr">
        <is>
          <t>NG</t>
        </is>
      </c>
      <c r="E99" s="61" t="inlineStr">
        <is>
          <t>N2</t>
        </is>
      </c>
      <c r="F99" s="61" t="inlineStr">
        <is>
          <t>K019</t>
        </is>
      </c>
      <c r="G99" s="64" t="n">
        <v>8.6</v>
      </c>
      <c r="H99" s="65" t="n"/>
      <c r="I99" s="66" t="n"/>
      <c r="J99" s="67">
        <f>VLOOKUP(C99,Recipes!$A$2:$N$4,10,FALSE())</f>
        <v/>
      </c>
      <c r="K99" s="68">
        <f>VLOOKUP(C99,Recipes!$A$2:$N$4,12,FALSE())</f>
        <v/>
      </c>
      <c r="L99" s="67">
        <f>J99-3.5*K99</f>
        <v/>
      </c>
      <c r="M99" s="67">
        <f>J99+3.5*K99</f>
        <v/>
      </c>
      <c r="N99" s="61">
        <f>IF(G99="","",IF(AND(G99&gt;=L99,G99&lt;=M99),"OK","NG"))</f>
        <v/>
      </c>
      <c r="O99" s="69">
        <f>IF(N99="","",IF(N99=D99,1,0))</f>
        <v/>
      </c>
      <c r="P99" s="67">
        <f>IF(G99="","",J99-G99)</f>
        <v/>
      </c>
      <c r="Q99" s="67">
        <f>IF(G99="","",ABS(P99-Components!$D$2))</f>
        <v/>
      </c>
      <c r="R99" s="67">
        <f>IF(G99="","",ABS(P99-Components!$D$3))</f>
        <v/>
      </c>
      <c r="S99" s="67">
        <f>IF(G99="","",ABS(P99-Components!$D$4))</f>
        <v/>
      </c>
      <c r="T99" s="67">
        <f>IF(G99="","",ABS(P99-Components!$D$5))</f>
        <v/>
      </c>
      <c r="U99" s="67">
        <f>IF(G99="","",ABS(P99-Components!$D$6))</f>
        <v/>
      </c>
      <c r="V99" s="67">
        <f>IF(G99="","",ABS(P99-Components!$D$7))</f>
        <v/>
      </c>
      <c r="W99" s="61">
        <f>IF(G99="","",IF(N99="OK","NONE",INDEX({"S1","S2","W1","W2","N1","N2"},MATCH(MIN(Q99:V99),Q99:V99,0))))</f>
        <v/>
      </c>
      <c r="X99" s="69">
        <f>IF(G99="","",IF(W99=E99,1,0))</f>
        <v/>
      </c>
      <c r="Y99" s="70" t="n"/>
    </row>
    <row r="100">
      <c r="A100" s="61" t="n">
        <v>19</v>
      </c>
      <c r="B100" s="62" t="n">
        <v>47</v>
      </c>
      <c r="C100" s="61" t="inlineStr">
        <is>
          <t>R3</t>
        </is>
      </c>
      <c r="D100" s="74" t="inlineStr">
        <is>
          <t>NG</t>
        </is>
      </c>
      <c r="E100" s="61" t="inlineStr">
        <is>
          <t>N2</t>
        </is>
      </c>
      <c r="F100" s="61" t="inlineStr">
        <is>
          <t>K019</t>
        </is>
      </c>
      <c r="G100" s="64" t="n">
        <v>8.630000000000001</v>
      </c>
      <c r="H100" s="65" t="n"/>
      <c r="I100" s="66" t="n"/>
      <c r="J100" s="67">
        <f>VLOOKUP(C100,Recipes!$A$2:$N$4,10,FALSE())</f>
        <v/>
      </c>
      <c r="K100" s="68">
        <f>VLOOKUP(C100,Recipes!$A$2:$N$4,12,FALSE())</f>
        <v/>
      </c>
      <c r="L100" s="67">
        <f>J100-3.5*K100</f>
        <v/>
      </c>
      <c r="M100" s="67">
        <f>J100+3.5*K100</f>
        <v/>
      </c>
      <c r="N100" s="61">
        <f>IF(G100="","",IF(AND(G100&gt;=L100,G100&lt;=M100),"OK","NG"))</f>
        <v/>
      </c>
      <c r="O100" s="69">
        <f>IF(N100="","",IF(N100=D100,1,0))</f>
        <v/>
      </c>
      <c r="P100" s="67">
        <f>IF(G100="","",J100-G100)</f>
        <v/>
      </c>
      <c r="Q100" s="67">
        <f>IF(G100="","",ABS(P100-Components!$D$2))</f>
        <v/>
      </c>
      <c r="R100" s="67">
        <f>IF(G100="","",ABS(P100-Components!$D$3))</f>
        <v/>
      </c>
      <c r="S100" s="67">
        <f>IF(G100="","",ABS(P100-Components!$D$4))</f>
        <v/>
      </c>
      <c r="T100" s="67">
        <f>IF(G100="","",ABS(P100-Components!$D$5))</f>
        <v/>
      </c>
      <c r="U100" s="67">
        <f>IF(G100="","",ABS(P100-Components!$D$6))</f>
        <v/>
      </c>
      <c r="V100" s="67">
        <f>IF(G100="","",ABS(P100-Components!$D$7))</f>
        <v/>
      </c>
      <c r="W100" s="61">
        <f>IF(G100="","",IF(N100="OK","NONE",INDEX({"S1","S2","W1","W2","N1","N2"},MATCH(MIN(Q100:V100),Q100:V100,0))))</f>
        <v/>
      </c>
      <c r="X100" s="69">
        <f>IF(G100="","",IF(W100=E100,1,0))</f>
        <v/>
      </c>
      <c r="Y100" s="70" t="n"/>
    </row>
    <row r="101">
      <c r="A101" s="61" t="n">
        <v>19</v>
      </c>
      <c r="B101" s="62" t="n">
        <v>47</v>
      </c>
      <c r="C101" s="61" t="inlineStr">
        <is>
          <t>R3</t>
        </is>
      </c>
      <c r="D101" s="74" t="inlineStr">
        <is>
          <t>NG</t>
        </is>
      </c>
      <c r="E101" s="61" t="inlineStr">
        <is>
          <t>N2</t>
        </is>
      </c>
      <c r="F101" s="61" t="inlineStr">
        <is>
          <t>K019</t>
        </is>
      </c>
      <c r="G101" s="64" t="n">
        <v>8.6</v>
      </c>
      <c r="H101" s="65" t="n"/>
      <c r="I101" s="66" t="n"/>
      <c r="J101" s="67">
        <f>VLOOKUP(C101,Recipes!$A$2:$N$4,10,FALSE())</f>
        <v/>
      </c>
      <c r="K101" s="68">
        <f>VLOOKUP(C101,Recipes!$A$2:$N$4,12,FALSE())</f>
        <v/>
      </c>
      <c r="L101" s="67">
        <f>J101-3.5*K101</f>
        <v/>
      </c>
      <c r="M101" s="67">
        <f>J101+3.5*K101</f>
        <v/>
      </c>
      <c r="N101" s="61">
        <f>IF(G101="","",IF(AND(G101&gt;=L101,G101&lt;=M101),"OK","NG"))</f>
        <v/>
      </c>
      <c r="O101" s="69">
        <f>IF(N101="","",IF(N101=D101,1,0))</f>
        <v/>
      </c>
      <c r="P101" s="67">
        <f>IF(G101="","",J101-G101)</f>
        <v/>
      </c>
      <c r="Q101" s="67">
        <f>IF(G101="","",ABS(P101-Components!$D$2))</f>
        <v/>
      </c>
      <c r="R101" s="67">
        <f>IF(G101="","",ABS(P101-Components!$D$3))</f>
        <v/>
      </c>
      <c r="S101" s="67">
        <f>IF(G101="","",ABS(P101-Components!$D$4))</f>
        <v/>
      </c>
      <c r="T101" s="67">
        <f>IF(G101="","",ABS(P101-Components!$D$5))</f>
        <v/>
      </c>
      <c r="U101" s="67">
        <f>IF(G101="","",ABS(P101-Components!$D$6))</f>
        <v/>
      </c>
      <c r="V101" s="67">
        <f>IF(G101="","",ABS(P101-Components!$D$7))</f>
        <v/>
      </c>
      <c r="W101" s="61">
        <f>IF(G101="","",IF(N101="OK","NONE",INDEX({"S1","S2","W1","W2","N1","N2"},MATCH(MIN(Q101:V101),Q101:V101,0))))</f>
        <v/>
      </c>
      <c r="X101" s="69">
        <f>IF(G101="","",IF(W101=E101,1,0))</f>
        <v/>
      </c>
      <c r="Y101" s="70" t="n"/>
    </row>
    <row r="102">
      <c r="A102" s="61" t="n">
        <v>19</v>
      </c>
      <c r="B102" s="62" t="n">
        <v>47</v>
      </c>
      <c r="C102" s="61" t="inlineStr">
        <is>
          <t>R3</t>
        </is>
      </c>
      <c r="D102" s="74" t="inlineStr">
        <is>
          <t>NG</t>
        </is>
      </c>
      <c r="E102" s="61" t="inlineStr">
        <is>
          <t>N2</t>
        </is>
      </c>
      <c r="F102" s="61" t="inlineStr">
        <is>
          <t>K019</t>
        </is>
      </c>
      <c r="G102" s="64" t="n">
        <v>8.619999999999999</v>
      </c>
      <c r="H102" s="65" t="n"/>
      <c r="I102" s="66" t="n"/>
      <c r="J102" s="67">
        <f>VLOOKUP(C102,Recipes!$A$2:$N$4,10,FALSE())</f>
        <v/>
      </c>
      <c r="K102" s="68">
        <f>VLOOKUP(C102,Recipes!$A$2:$N$4,12,FALSE())</f>
        <v/>
      </c>
      <c r="L102" s="67">
        <f>J102-3.5*K102</f>
        <v/>
      </c>
      <c r="M102" s="67">
        <f>J102+3.5*K102</f>
        <v/>
      </c>
      <c r="N102" s="61">
        <f>IF(G102="","",IF(AND(G102&gt;=L102,G102&lt;=M102),"OK","NG"))</f>
        <v/>
      </c>
      <c r="O102" s="69">
        <f>IF(N102="","",IF(N102=D102,1,0))</f>
        <v/>
      </c>
      <c r="P102" s="67">
        <f>IF(G102="","",J102-G102)</f>
        <v/>
      </c>
      <c r="Q102" s="67">
        <f>IF(G102="","",ABS(P102-Components!$D$2))</f>
        <v/>
      </c>
      <c r="R102" s="67">
        <f>IF(G102="","",ABS(P102-Components!$D$3))</f>
        <v/>
      </c>
      <c r="S102" s="67">
        <f>IF(G102="","",ABS(P102-Components!$D$4))</f>
        <v/>
      </c>
      <c r="T102" s="67">
        <f>IF(G102="","",ABS(P102-Components!$D$5))</f>
        <v/>
      </c>
      <c r="U102" s="67">
        <f>IF(G102="","",ABS(P102-Components!$D$6))</f>
        <v/>
      </c>
      <c r="V102" s="67">
        <f>IF(G102="","",ABS(P102-Components!$D$7))</f>
        <v/>
      </c>
      <c r="W102" s="61">
        <f>IF(G102="","",IF(N102="OK","NONE",INDEX({"S1","S2","W1","W2","N1","N2"},MATCH(MIN(Q102:V102),Q102:V102,0))))</f>
        <v/>
      </c>
      <c r="X102" s="69">
        <f>IF(G102="","",IF(W102=E102,1,0))</f>
        <v/>
      </c>
      <c r="Y102" s="70" t="n"/>
    </row>
    <row r="103">
      <c r="A103" s="61" t="n">
        <v>19</v>
      </c>
      <c r="B103" s="62" t="n">
        <v>47</v>
      </c>
      <c r="C103" s="61" t="inlineStr">
        <is>
          <t>R3</t>
        </is>
      </c>
      <c r="D103" s="74" t="inlineStr">
        <is>
          <t>NG</t>
        </is>
      </c>
      <c r="E103" s="61" t="inlineStr">
        <is>
          <t>N2</t>
        </is>
      </c>
      <c r="F103" s="61" t="inlineStr">
        <is>
          <t>K019</t>
        </is>
      </c>
      <c r="G103" s="64" t="n">
        <v>8.6</v>
      </c>
      <c r="H103" s="65" t="n"/>
      <c r="I103" s="66" t="n"/>
      <c r="J103" s="67">
        <f>VLOOKUP(C103,Recipes!$A$2:$N$4,10,FALSE())</f>
        <v/>
      </c>
      <c r="K103" s="68">
        <f>VLOOKUP(C103,Recipes!$A$2:$N$4,12,FALSE())</f>
        <v/>
      </c>
      <c r="L103" s="67">
        <f>J103-3.5*K103</f>
        <v/>
      </c>
      <c r="M103" s="67">
        <f>J103+3.5*K103</f>
        <v/>
      </c>
      <c r="N103" s="61">
        <f>IF(G103="","",IF(AND(G103&gt;=L103,G103&lt;=M103),"OK","NG"))</f>
        <v/>
      </c>
      <c r="O103" s="69">
        <f>IF(N103="","",IF(N103=D103,1,0))</f>
        <v/>
      </c>
      <c r="P103" s="67">
        <f>IF(G103="","",J103-G103)</f>
        <v/>
      </c>
      <c r="Q103" s="67">
        <f>IF(G103="","",ABS(P103-Components!$D$2))</f>
        <v/>
      </c>
      <c r="R103" s="67">
        <f>IF(G103="","",ABS(P103-Components!$D$3))</f>
        <v/>
      </c>
      <c r="S103" s="67">
        <f>IF(G103="","",ABS(P103-Components!$D$4))</f>
        <v/>
      </c>
      <c r="T103" s="67">
        <f>IF(G103="","",ABS(P103-Components!$D$5))</f>
        <v/>
      </c>
      <c r="U103" s="67">
        <f>IF(G103="","",ABS(P103-Components!$D$6))</f>
        <v/>
      </c>
      <c r="V103" s="67">
        <f>IF(G103="","",ABS(P103-Components!$D$7))</f>
        <v/>
      </c>
      <c r="W103" s="61">
        <f>IF(G103="","",IF(N103="OK","NONE",INDEX({"S1","S2","W1","W2","N1","N2"},MATCH(MIN(Q103:V103),Q103:V103,0))))</f>
        <v/>
      </c>
      <c r="X103" s="69">
        <f>IF(G103="","",IF(W103=E103,1,0))</f>
        <v/>
      </c>
      <c r="Y103" s="70" t="n"/>
    </row>
    <row r="104">
      <c r="A104" s="61" t="n">
        <v>19</v>
      </c>
      <c r="B104" s="62" t="n">
        <v>47</v>
      </c>
      <c r="C104" s="61" t="inlineStr">
        <is>
          <t>R3</t>
        </is>
      </c>
      <c r="D104" s="74" t="inlineStr">
        <is>
          <t>NG</t>
        </is>
      </c>
      <c r="E104" s="61" t="inlineStr">
        <is>
          <t>N2</t>
        </is>
      </c>
      <c r="F104" s="61" t="inlineStr">
        <is>
          <t>K019</t>
        </is>
      </c>
      <c r="G104" s="64" t="n">
        <v>8.539999999999999</v>
      </c>
      <c r="H104" s="65" t="n"/>
      <c r="I104" s="66" t="n"/>
      <c r="J104" s="67">
        <f>VLOOKUP(C104,Recipes!$A$2:$N$4,10,FALSE())</f>
        <v/>
      </c>
      <c r="K104" s="68">
        <f>VLOOKUP(C104,Recipes!$A$2:$N$4,12,FALSE())</f>
        <v/>
      </c>
      <c r="L104" s="67">
        <f>J104-3.5*K104</f>
        <v/>
      </c>
      <c r="M104" s="67">
        <f>J104+3.5*K104</f>
        <v/>
      </c>
      <c r="N104" s="61">
        <f>IF(G104="","",IF(AND(G104&gt;=L104,G104&lt;=M104),"OK","NG"))</f>
        <v/>
      </c>
      <c r="O104" s="69">
        <f>IF(N104="","",IF(N104=D104,1,0))</f>
        <v/>
      </c>
      <c r="P104" s="67">
        <f>IF(G104="","",J104-G104)</f>
        <v/>
      </c>
      <c r="Q104" s="67">
        <f>IF(G104="","",ABS(P104-Components!$D$2))</f>
        <v/>
      </c>
      <c r="R104" s="67">
        <f>IF(G104="","",ABS(P104-Components!$D$3))</f>
        <v/>
      </c>
      <c r="S104" s="67">
        <f>IF(G104="","",ABS(P104-Components!$D$4))</f>
        <v/>
      </c>
      <c r="T104" s="67">
        <f>IF(G104="","",ABS(P104-Components!$D$5))</f>
        <v/>
      </c>
      <c r="U104" s="67">
        <f>IF(G104="","",ABS(P104-Components!$D$6))</f>
        <v/>
      </c>
      <c r="V104" s="67">
        <f>IF(G104="","",ABS(P104-Components!$D$7))</f>
        <v/>
      </c>
      <c r="W104" s="61">
        <f>IF(G104="","",IF(N104="OK","NONE",INDEX({"S1","S2","W1","W2","N1","N2"},MATCH(MIN(Q104:V104),Q104:V104,0))))</f>
        <v/>
      </c>
      <c r="X104" s="69">
        <f>IF(G104="","",IF(W104=E104,1,0))</f>
        <v/>
      </c>
      <c r="Y104" s="70" t="n"/>
    </row>
    <row r="105">
      <c r="A105" s="61" t="n">
        <v>19</v>
      </c>
      <c r="B105" s="62" t="n">
        <v>47</v>
      </c>
      <c r="C105" s="61" t="inlineStr">
        <is>
          <t>R3</t>
        </is>
      </c>
      <c r="D105" s="74" t="inlineStr">
        <is>
          <t>NG</t>
        </is>
      </c>
      <c r="E105" s="61" t="inlineStr">
        <is>
          <t>N2</t>
        </is>
      </c>
      <c r="F105" s="61" t="inlineStr">
        <is>
          <t>K019</t>
        </is>
      </c>
      <c r="G105" s="64" t="n">
        <v>8.640000000000001</v>
      </c>
      <c r="H105" s="65" t="n"/>
      <c r="I105" s="66" t="n"/>
      <c r="J105" s="67">
        <f>VLOOKUP(C105,Recipes!$A$2:$N$4,10,FALSE())</f>
        <v/>
      </c>
      <c r="K105" s="68">
        <f>VLOOKUP(C105,Recipes!$A$2:$N$4,12,FALSE())</f>
        <v/>
      </c>
      <c r="L105" s="67">
        <f>J105-3.5*K105</f>
        <v/>
      </c>
      <c r="M105" s="67">
        <f>J105+3.5*K105</f>
        <v/>
      </c>
      <c r="N105" s="61">
        <f>IF(G105="","",IF(AND(G105&gt;=L105,G105&lt;=M105),"OK","NG"))</f>
        <v/>
      </c>
      <c r="O105" s="69">
        <f>IF(N105="","",IF(N105=D105,1,0))</f>
        <v/>
      </c>
      <c r="P105" s="67">
        <f>IF(G105="","",J105-G105)</f>
        <v/>
      </c>
      <c r="Q105" s="67">
        <f>IF(G105="","",ABS(P105-Components!$D$2))</f>
        <v/>
      </c>
      <c r="R105" s="67">
        <f>IF(G105="","",ABS(P105-Components!$D$3))</f>
        <v/>
      </c>
      <c r="S105" s="67">
        <f>IF(G105="","",ABS(P105-Components!$D$4))</f>
        <v/>
      </c>
      <c r="T105" s="67">
        <f>IF(G105="","",ABS(P105-Components!$D$5))</f>
        <v/>
      </c>
      <c r="U105" s="67">
        <f>IF(G105="","",ABS(P105-Components!$D$6))</f>
        <v/>
      </c>
      <c r="V105" s="67">
        <f>IF(G105="","",ABS(P105-Components!$D$7))</f>
        <v/>
      </c>
      <c r="W105" s="61">
        <f>IF(G105="","",IF(N105="OK","NONE",INDEX({"S1","S2","W1","W2","N1","N2"},MATCH(MIN(Q105:V105),Q105:V105,0))))</f>
        <v/>
      </c>
      <c r="X105" s="69">
        <f>IF(G105="","",IF(W105=E105,1,0))</f>
        <v/>
      </c>
      <c r="Y105" s="70" t="n"/>
    </row>
    <row r="106">
      <c r="A106" s="61" t="n">
        <v>19</v>
      </c>
      <c r="B106" s="62" t="n">
        <v>47</v>
      </c>
      <c r="C106" s="61" t="inlineStr">
        <is>
          <t>R3</t>
        </is>
      </c>
      <c r="D106" s="74" t="inlineStr">
        <is>
          <t>NG</t>
        </is>
      </c>
      <c r="E106" s="61" t="inlineStr">
        <is>
          <t>N2</t>
        </is>
      </c>
      <c r="F106" s="61" t="inlineStr">
        <is>
          <t>K019</t>
        </is>
      </c>
      <c r="G106" s="64" t="n">
        <v>8.6</v>
      </c>
      <c r="H106" s="65" t="n"/>
      <c r="I106" s="66" t="n"/>
      <c r="J106" s="67">
        <f>VLOOKUP(C106,Recipes!$A$2:$N$4,10,FALSE())</f>
        <v/>
      </c>
      <c r="K106" s="68">
        <f>VLOOKUP(C106,Recipes!$A$2:$N$4,12,FALSE())</f>
        <v/>
      </c>
      <c r="L106" s="67">
        <f>J106-3.5*K106</f>
        <v/>
      </c>
      <c r="M106" s="67">
        <f>J106+3.5*K106</f>
        <v/>
      </c>
      <c r="N106" s="61">
        <f>IF(G106="","",IF(AND(G106&gt;=L106,G106&lt;=M106),"OK","NG"))</f>
        <v/>
      </c>
      <c r="O106" s="69">
        <f>IF(N106="","",IF(N106=D106,1,0))</f>
        <v/>
      </c>
      <c r="P106" s="67">
        <f>IF(G106="","",J106-G106)</f>
        <v/>
      </c>
      <c r="Q106" s="67">
        <f>IF(G106="","",ABS(P106-Components!$D$2))</f>
        <v/>
      </c>
      <c r="R106" s="67">
        <f>IF(G106="","",ABS(P106-Components!$D$3))</f>
        <v/>
      </c>
      <c r="S106" s="67">
        <f>IF(G106="","",ABS(P106-Components!$D$4))</f>
        <v/>
      </c>
      <c r="T106" s="67">
        <f>IF(G106="","",ABS(P106-Components!$D$5))</f>
        <v/>
      </c>
      <c r="U106" s="67">
        <f>IF(G106="","",ABS(P106-Components!$D$6))</f>
        <v/>
      </c>
      <c r="V106" s="67">
        <f>IF(G106="","",ABS(P106-Components!$D$7))</f>
        <v/>
      </c>
      <c r="W106" s="61">
        <f>IF(G106="","",IF(N106="OK","NONE",INDEX({"S1","S2","W1","W2","N1","N2"},MATCH(MIN(Q106:V106),Q106:V106,0))))</f>
        <v/>
      </c>
      <c r="X106" s="69">
        <f>IF(G106="","",IF(W106=E106,1,0))</f>
        <v/>
      </c>
      <c r="Y106" s="70" t="n"/>
    </row>
    <row r="107">
      <c r="A107" s="61" t="n">
        <v>19</v>
      </c>
      <c r="B107" s="62" t="n">
        <v>47</v>
      </c>
      <c r="C107" s="61" t="inlineStr">
        <is>
          <t>R3</t>
        </is>
      </c>
      <c r="D107" s="74" t="inlineStr">
        <is>
          <t>NG</t>
        </is>
      </c>
      <c r="E107" s="61" t="inlineStr">
        <is>
          <t>N2</t>
        </is>
      </c>
      <c r="F107" s="61" t="inlineStr">
        <is>
          <t>K019</t>
        </is>
      </c>
      <c r="G107" s="64" t="n">
        <v>8.59</v>
      </c>
      <c r="H107" s="65" t="n"/>
      <c r="I107" s="66" t="n"/>
      <c r="J107" s="67">
        <f>VLOOKUP(C107,Recipes!$A$2:$N$4,10,FALSE())</f>
        <v/>
      </c>
      <c r="K107" s="68">
        <f>VLOOKUP(C107,Recipes!$A$2:$N$4,12,FALSE())</f>
        <v/>
      </c>
      <c r="L107" s="67">
        <f>J107-3.5*K107</f>
        <v/>
      </c>
      <c r="M107" s="67">
        <f>J107+3.5*K107</f>
        <v/>
      </c>
      <c r="N107" s="61">
        <f>IF(G107="","",IF(AND(G107&gt;=L107,G107&lt;=M107),"OK","NG"))</f>
        <v/>
      </c>
      <c r="O107" s="69">
        <f>IF(N107="","",IF(N107=D107,1,0))</f>
        <v/>
      </c>
      <c r="P107" s="67">
        <f>IF(G107="","",J107-G107)</f>
        <v/>
      </c>
      <c r="Q107" s="67">
        <f>IF(G107="","",ABS(P107-Components!$D$2))</f>
        <v/>
      </c>
      <c r="R107" s="67">
        <f>IF(G107="","",ABS(P107-Components!$D$3))</f>
        <v/>
      </c>
      <c r="S107" s="67">
        <f>IF(G107="","",ABS(P107-Components!$D$4))</f>
        <v/>
      </c>
      <c r="T107" s="67">
        <f>IF(G107="","",ABS(P107-Components!$D$5))</f>
        <v/>
      </c>
      <c r="U107" s="67">
        <f>IF(G107="","",ABS(P107-Components!$D$6))</f>
        <v/>
      </c>
      <c r="V107" s="67">
        <f>IF(G107="","",ABS(P107-Components!$D$7))</f>
        <v/>
      </c>
      <c r="W107" s="61">
        <f>IF(G107="","",IF(N107="OK","NONE",INDEX({"S1","S2","W1","W2","N1","N2"},MATCH(MIN(Q107:V107),Q107:V107,0))))</f>
        <v/>
      </c>
      <c r="X107" s="69">
        <f>IF(G107="","",IF(W107=E107,1,0))</f>
        <v/>
      </c>
      <c r="Y107" s="70" t="n"/>
    </row>
    <row r="108">
      <c r="A108" s="61" t="n">
        <v>19</v>
      </c>
      <c r="B108" s="62" t="n">
        <v>47</v>
      </c>
      <c r="C108" s="61" t="inlineStr">
        <is>
          <t>R3</t>
        </is>
      </c>
      <c r="D108" s="74" t="inlineStr">
        <is>
          <t>NG</t>
        </is>
      </c>
      <c r="E108" s="61" t="inlineStr">
        <is>
          <t>N2</t>
        </is>
      </c>
      <c r="F108" s="61" t="inlineStr">
        <is>
          <t>K019</t>
        </is>
      </c>
      <c r="G108" s="64" t="n">
        <v>8.57</v>
      </c>
      <c r="H108" s="65" t="n"/>
      <c r="I108" s="66" t="n"/>
      <c r="J108" s="67">
        <f>VLOOKUP(C108,Recipes!$A$2:$N$4,10,FALSE())</f>
        <v/>
      </c>
      <c r="K108" s="68">
        <f>VLOOKUP(C108,Recipes!$A$2:$N$4,12,FALSE())</f>
        <v/>
      </c>
      <c r="L108" s="67">
        <f>J108-3.5*K108</f>
        <v/>
      </c>
      <c r="M108" s="67">
        <f>J108+3.5*K108</f>
        <v/>
      </c>
      <c r="N108" s="61">
        <f>IF(G108="","",IF(AND(G108&gt;=L108,G108&lt;=M108),"OK","NG"))</f>
        <v/>
      </c>
      <c r="O108" s="69">
        <f>IF(N108="","",IF(N108=D108,1,0))</f>
        <v/>
      </c>
      <c r="P108" s="67">
        <f>IF(G108="","",J108-G108)</f>
        <v/>
      </c>
      <c r="Q108" s="67">
        <f>IF(G108="","",ABS(P108-Components!$D$2))</f>
        <v/>
      </c>
      <c r="R108" s="67">
        <f>IF(G108="","",ABS(P108-Components!$D$3))</f>
        <v/>
      </c>
      <c r="S108" s="67">
        <f>IF(G108="","",ABS(P108-Components!$D$4))</f>
        <v/>
      </c>
      <c r="T108" s="67">
        <f>IF(G108="","",ABS(P108-Components!$D$5))</f>
        <v/>
      </c>
      <c r="U108" s="67">
        <f>IF(G108="","",ABS(P108-Components!$D$6))</f>
        <v/>
      </c>
      <c r="V108" s="67">
        <f>IF(G108="","",ABS(P108-Components!$D$7))</f>
        <v/>
      </c>
      <c r="W108" s="61">
        <f>IF(G108="","",IF(N108="OK","NONE",INDEX({"S1","S2","W1","W2","N1","N2"},MATCH(MIN(Q108:V108),Q108:V108,0))))</f>
        <v/>
      </c>
      <c r="X108" s="69">
        <f>IF(G108="","",IF(W108=E108,1,0))</f>
        <v/>
      </c>
      <c r="Y108" s="70" t="n"/>
    </row>
    <row r="109">
      <c r="A109" s="61" t="n">
        <v>19</v>
      </c>
      <c r="B109" s="62" t="n">
        <v>47</v>
      </c>
      <c r="C109" s="61" t="inlineStr">
        <is>
          <t>R3</t>
        </is>
      </c>
      <c r="D109" s="74" t="inlineStr">
        <is>
          <t>NG</t>
        </is>
      </c>
      <c r="E109" s="61" t="inlineStr">
        <is>
          <t>N2</t>
        </is>
      </c>
      <c r="F109" s="61" t="inlineStr">
        <is>
          <t>K019</t>
        </is>
      </c>
      <c r="G109" s="64" t="n">
        <v>8.609999999999999</v>
      </c>
      <c r="H109" s="65" t="n"/>
      <c r="I109" s="66" t="n"/>
      <c r="J109" s="67">
        <f>VLOOKUP(C109,Recipes!$A$2:$N$4,10,FALSE())</f>
        <v/>
      </c>
      <c r="K109" s="68">
        <f>VLOOKUP(C109,Recipes!$A$2:$N$4,12,FALSE())</f>
        <v/>
      </c>
      <c r="L109" s="67">
        <f>J109-3.5*K109</f>
        <v/>
      </c>
      <c r="M109" s="67">
        <f>J109+3.5*K109</f>
        <v/>
      </c>
      <c r="N109" s="61">
        <f>IF(G109="","",IF(AND(G109&gt;=L109,G109&lt;=M109),"OK","NG"))</f>
        <v/>
      </c>
      <c r="O109" s="69">
        <f>IF(N109="","",IF(N109=D109,1,0))</f>
        <v/>
      </c>
      <c r="P109" s="67">
        <f>IF(G109="","",J109-G109)</f>
        <v/>
      </c>
      <c r="Q109" s="67">
        <f>IF(G109="","",ABS(P109-Components!$D$2))</f>
        <v/>
      </c>
      <c r="R109" s="67">
        <f>IF(G109="","",ABS(P109-Components!$D$3))</f>
        <v/>
      </c>
      <c r="S109" s="67">
        <f>IF(G109="","",ABS(P109-Components!$D$4))</f>
        <v/>
      </c>
      <c r="T109" s="67">
        <f>IF(G109="","",ABS(P109-Components!$D$5))</f>
        <v/>
      </c>
      <c r="U109" s="67">
        <f>IF(G109="","",ABS(P109-Components!$D$6))</f>
        <v/>
      </c>
      <c r="V109" s="67">
        <f>IF(G109="","",ABS(P109-Components!$D$7))</f>
        <v/>
      </c>
      <c r="W109" s="61">
        <f>IF(G109="","",IF(N109="OK","NONE",INDEX({"S1","S2","W1","W2","N1","N2"},MATCH(MIN(Q109:V109),Q109:V109,0))))</f>
        <v/>
      </c>
      <c r="X109" s="69">
        <f>IF(G109="","",IF(W109=E109,1,0))</f>
        <v/>
      </c>
      <c r="Y109" s="70" t="n"/>
    </row>
    <row r="110">
      <c r="A110" s="61" t="n">
        <v>19</v>
      </c>
      <c r="B110" s="62" t="n">
        <v>47</v>
      </c>
      <c r="C110" s="61" t="inlineStr">
        <is>
          <t>R3</t>
        </is>
      </c>
      <c r="D110" s="74" t="inlineStr">
        <is>
          <t>NG</t>
        </is>
      </c>
      <c r="E110" s="61" t="inlineStr">
        <is>
          <t>N2</t>
        </is>
      </c>
      <c r="F110" s="61" t="inlineStr">
        <is>
          <t>K019</t>
        </is>
      </c>
      <c r="G110" s="64" t="n">
        <v>8.59</v>
      </c>
      <c r="H110" s="65" t="n"/>
      <c r="I110" s="66" t="n"/>
      <c r="J110" s="67">
        <f>VLOOKUP(C110,Recipes!$A$2:$N$4,10,FALSE())</f>
        <v/>
      </c>
      <c r="K110" s="68">
        <f>VLOOKUP(C110,Recipes!$A$2:$N$4,12,FALSE())</f>
        <v/>
      </c>
      <c r="L110" s="67">
        <f>J110-3.5*K110</f>
        <v/>
      </c>
      <c r="M110" s="67">
        <f>J110+3.5*K110</f>
        <v/>
      </c>
      <c r="N110" s="61">
        <f>IF(G110="","",IF(AND(G110&gt;=L110,G110&lt;=M110),"OK","NG"))</f>
        <v/>
      </c>
      <c r="O110" s="69">
        <f>IF(N110="","",IF(N110=D110,1,0))</f>
        <v/>
      </c>
      <c r="P110" s="67">
        <f>IF(G110="","",J110-G110)</f>
        <v/>
      </c>
      <c r="Q110" s="67">
        <f>IF(G110="","",ABS(P110-Components!$D$2))</f>
        <v/>
      </c>
      <c r="R110" s="67">
        <f>IF(G110="","",ABS(P110-Components!$D$3))</f>
        <v/>
      </c>
      <c r="S110" s="67">
        <f>IF(G110="","",ABS(P110-Components!$D$4))</f>
        <v/>
      </c>
      <c r="T110" s="67">
        <f>IF(G110="","",ABS(P110-Components!$D$5))</f>
        <v/>
      </c>
      <c r="U110" s="67">
        <f>IF(G110="","",ABS(P110-Components!$D$6))</f>
        <v/>
      </c>
      <c r="V110" s="67">
        <f>IF(G110="","",ABS(P110-Components!$D$7))</f>
        <v/>
      </c>
      <c r="W110" s="61">
        <f>IF(G110="","",IF(N110="OK","NONE",INDEX({"S1","S2","W1","W2","N1","N2"},MATCH(MIN(Q110:V110),Q110:V110,0))))</f>
        <v/>
      </c>
      <c r="X110" s="69">
        <f>IF(G110="","",IF(W110=E110,1,0))</f>
        <v/>
      </c>
      <c r="Y110" s="70" t="n"/>
    </row>
    <row r="111">
      <c r="A111" s="61" t="n">
        <v>19</v>
      </c>
      <c r="B111" s="62" t="n">
        <v>47</v>
      </c>
      <c r="C111" s="61" t="inlineStr">
        <is>
          <t>R3</t>
        </is>
      </c>
      <c r="D111" s="74" t="inlineStr">
        <is>
          <t>NG</t>
        </is>
      </c>
      <c r="E111" s="61" t="inlineStr">
        <is>
          <t>N2</t>
        </is>
      </c>
      <c r="F111" s="61" t="inlineStr">
        <is>
          <t>K019</t>
        </is>
      </c>
      <c r="G111" s="64" t="n">
        <v>8.5</v>
      </c>
      <c r="H111" s="65" t="n"/>
      <c r="I111" s="66" t="n"/>
      <c r="J111" s="67">
        <f>VLOOKUP(C111,Recipes!$A$2:$N$4,10,FALSE())</f>
        <v/>
      </c>
      <c r="K111" s="68">
        <f>VLOOKUP(C111,Recipes!$A$2:$N$4,12,FALSE())</f>
        <v/>
      </c>
      <c r="L111" s="67">
        <f>J111-3.5*K111</f>
        <v/>
      </c>
      <c r="M111" s="67">
        <f>J111+3.5*K111</f>
        <v/>
      </c>
      <c r="N111" s="61">
        <f>IF(G111="","",IF(AND(G111&gt;=L111,G111&lt;=M111),"OK","NG"))</f>
        <v/>
      </c>
      <c r="O111" s="69">
        <f>IF(N111="","",IF(N111=D111,1,0))</f>
        <v/>
      </c>
      <c r="P111" s="67">
        <f>IF(G111="","",J111-G111)</f>
        <v/>
      </c>
      <c r="Q111" s="67">
        <f>IF(G111="","",ABS(P111-Components!$D$2))</f>
        <v/>
      </c>
      <c r="R111" s="67">
        <f>IF(G111="","",ABS(P111-Components!$D$3))</f>
        <v/>
      </c>
      <c r="S111" s="67">
        <f>IF(G111="","",ABS(P111-Components!$D$4))</f>
        <v/>
      </c>
      <c r="T111" s="67">
        <f>IF(G111="","",ABS(P111-Components!$D$5))</f>
        <v/>
      </c>
      <c r="U111" s="67">
        <f>IF(G111="","",ABS(P111-Components!$D$6))</f>
        <v/>
      </c>
      <c r="V111" s="67">
        <f>IF(G111="","",ABS(P111-Components!$D$7))</f>
        <v/>
      </c>
      <c r="W111" s="61">
        <f>IF(G111="","",IF(N111="OK","NONE",INDEX({"S1","S2","W1","W2","N1","N2"},MATCH(MIN(Q111:V111),Q111:V111,0))))</f>
        <v/>
      </c>
      <c r="X111" s="69">
        <f>IF(G111="","",IF(W111=E111,1,0))</f>
        <v/>
      </c>
      <c r="Y111" s="70" t="n"/>
    </row>
    <row r="112">
      <c r="A112" s="61" t="n">
        <v>19</v>
      </c>
      <c r="B112" s="62" t="n">
        <v>47</v>
      </c>
      <c r="C112" s="61" t="inlineStr">
        <is>
          <t>R3</t>
        </is>
      </c>
      <c r="D112" s="74" t="inlineStr">
        <is>
          <t>NG</t>
        </is>
      </c>
      <c r="E112" s="61" t="inlineStr">
        <is>
          <t>N2</t>
        </is>
      </c>
      <c r="F112" s="61" t="inlineStr">
        <is>
          <t>K019</t>
        </is>
      </c>
      <c r="G112" s="64" t="n">
        <v>8.619999999999999</v>
      </c>
      <c r="H112" s="65" t="n"/>
      <c r="I112" s="66" t="n"/>
      <c r="J112" s="67">
        <f>VLOOKUP(C112,Recipes!$A$2:$N$4,10,FALSE())</f>
        <v/>
      </c>
      <c r="K112" s="68">
        <f>VLOOKUP(C112,Recipes!$A$2:$N$4,12,FALSE())</f>
        <v/>
      </c>
      <c r="L112" s="67">
        <f>J112-3.5*K112</f>
        <v/>
      </c>
      <c r="M112" s="67">
        <f>J112+3.5*K112</f>
        <v/>
      </c>
      <c r="N112" s="61">
        <f>IF(G112="","",IF(AND(G112&gt;=L112,G112&lt;=M112),"OK","NG"))</f>
        <v/>
      </c>
      <c r="O112" s="69">
        <f>IF(N112="","",IF(N112=D112,1,0))</f>
        <v/>
      </c>
      <c r="P112" s="67">
        <f>IF(G112="","",J112-G112)</f>
        <v/>
      </c>
      <c r="Q112" s="67">
        <f>IF(G112="","",ABS(P112-Components!$D$2))</f>
        <v/>
      </c>
      <c r="R112" s="67">
        <f>IF(G112="","",ABS(P112-Components!$D$3))</f>
        <v/>
      </c>
      <c r="S112" s="67">
        <f>IF(G112="","",ABS(P112-Components!$D$4))</f>
        <v/>
      </c>
      <c r="T112" s="67">
        <f>IF(G112="","",ABS(P112-Components!$D$5))</f>
        <v/>
      </c>
      <c r="U112" s="67">
        <f>IF(G112="","",ABS(P112-Components!$D$6))</f>
        <v/>
      </c>
      <c r="V112" s="67">
        <f>IF(G112="","",ABS(P112-Components!$D$7))</f>
        <v/>
      </c>
      <c r="W112" s="61">
        <f>IF(G112="","",IF(N112="OK","NONE",INDEX({"S1","S2","W1","W2","N1","N2"},MATCH(MIN(Q112:V112),Q112:V112,0))))</f>
        <v/>
      </c>
      <c r="X112" s="69">
        <f>IF(G112="","",IF(W112=E112,1,0))</f>
        <v/>
      </c>
      <c r="Y112" s="70" t="n"/>
    </row>
    <row r="113">
      <c r="A113" s="61" t="n">
        <v>19</v>
      </c>
      <c r="B113" s="62" t="n">
        <v>47</v>
      </c>
      <c r="C113" s="61" t="inlineStr">
        <is>
          <t>R3</t>
        </is>
      </c>
      <c r="D113" s="74" t="inlineStr">
        <is>
          <t>NG</t>
        </is>
      </c>
      <c r="E113" s="61" t="inlineStr">
        <is>
          <t>N2</t>
        </is>
      </c>
      <c r="F113" s="61" t="inlineStr">
        <is>
          <t>K019</t>
        </is>
      </c>
      <c r="G113" s="64" t="n">
        <v>8.609999999999999</v>
      </c>
      <c r="H113" s="65" t="n"/>
      <c r="I113" s="66" t="n"/>
      <c r="J113" s="67">
        <f>VLOOKUP(C113,Recipes!$A$2:$N$4,10,FALSE())</f>
        <v/>
      </c>
      <c r="K113" s="68">
        <f>VLOOKUP(C113,Recipes!$A$2:$N$4,12,FALSE())</f>
        <v/>
      </c>
      <c r="L113" s="67">
        <f>J113-3.5*K113</f>
        <v/>
      </c>
      <c r="M113" s="67">
        <f>J113+3.5*K113</f>
        <v/>
      </c>
      <c r="N113" s="61">
        <f>IF(G113="","",IF(AND(G113&gt;=L113,G113&lt;=M113),"OK","NG"))</f>
        <v/>
      </c>
      <c r="O113" s="69">
        <f>IF(N113="","",IF(N113=D113,1,0))</f>
        <v/>
      </c>
      <c r="P113" s="67">
        <f>IF(G113="","",J113-G113)</f>
        <v/>
      </c>
      <c r="Q113" s="67">
        <f>IF(G113="","",ABS(P113-Components!$D$2))</f>
        <v/>
      </c>
      <c r="R113" s="67">
        <f>IF(G113="","",ABS(P113-Components!$D$3))</f>
        <v/>
      </c>
      <c r="S113" s="67">
        <f>IF(G113="","",ABS(P113-Components!$D$4))</f>
        <v/>
      </c>
      <c r="T113" s="67">
        <f>IF(G113="","",ABS(P113-Components!$D$5))</f>
        <v/>
      </c>
      <c r="U113" s="67">
        <f>IF(G113="","",ABS(P113-Components!$D$6))</f>
        <v/>
      </c>
      <c r="V113" s="67">
        <f>IF(G113="","",ABS(P113-Components!$D$7))</f>
        <v/>
      </c>
      <c r="W113" s="61">
        <f>IF(G113="","",IF(N113="OK","NONE",INDEX({"S1","S2","W1","W2","N1","N2"},MATCH(MIN(Q113:V113),Q113:V113,0))))</f>
        <v/>
      </c>
      <c r="X113" s="69">
        <f>IF(G113="","",IF(W113=E113,1,0))</f>
        <v/>
      </c>
      <c r="Y113" s="70" t="n"/>
    </row>
    <row r="114">
      <c r="A114" s="61" t="n">
        <v>19</v>
      </c>
      <c r="B114" s="62" t="n">
        <v>47</v>
      </c>
      <c r="C114" s="61" t="inlineStr">
        <is>
          <t>R3</t>
        </is>
      </c>
      <c r="D114" s="74" t="inlineStr">
        <is>
          <t>NG</t>
        </is>
      </c>
      <c r="E114" s="61" t="inlineStr">
        <is>
          <t>N2</t>
        </is>
      </c>
      <c r="F114" s="61" t="inlineStr">
        <is>
          <t>K019</t>
        </is>
      </c>
      <c r="G114" s="64" t="n">
        <v>8.58</v>
      </c>
      <c r="H114" s="65" t="n"/>
      <c r="I114" s="66" t="n"/>
      <c r="J114" s="67">
        <f>VLOOKUP(C114,Recipes!$A$2:$N$4,10,FALSE())</f>
        <v/>
      </c>
      <c r="K114" s="68">
        <f>VLOOKUP(C114,Recipes!$A$2:$N$4,12,FALSE())</f>
        <v/>
      </c>
      <c r="L114" s="67">
        <f>J114-3.5*K114</f>
        <v/>
      </c>
      <c r="M114" s="67">
        <f>J114+3.5*K114</f>
        <v/>
      </c>
      <c r="N114" s="61">
        <f>IF(G114="","",IF(AND(G114&gt;=L114,G114&lt;=M114),"OK","NG"))</f>
        <v/>
      </c>
      <c r="O114" s="69">
        <f>IF(N114="","",IF(N114=D114,1,0))</f>
        <v/>
      </c>
      <c r="P114" s="67">
        <f>IF(G114="","",J114-G114)</f>
        <v/>
      </c>
      <c r="Q114" s="67">
        <f>IF(G114="","",ABS(P114-Components!$D$2))</f>
        <v/>
      </c>
      <c r="R114" s="67">
        <f>IF(G114="","",ABS(P114-Components!$D$3))</f>
        <v/>
      </c>
      <c r="S114" s="67">
        <f>IF(G114="","",ABS(P114-Components!$D$4))</f>
        <v/>
      </c>
      <c r="T114" s="67">
        <f>IF(G114="","",ABS(P114-Components!$D$5))</f>
        <v/>
      </c>
      <c r="U114" s="67">
        <f>IF(G114="","",ABS(P114-Components!$D$6))</f>
        <v/>
      </c>
      <c r="V114" s="67">
        <f>IF(G114="","",ABS(P114-Components!$D$7))</f>
        <v/>
      </c>
      <c r="W114" s="61">
        <f>IF(G114="","",IF(N114="OK","NONE",INDEX({"S1","S2","W1","W2","N1","N2"},MATCH(MIN(Q114:V114),Q114:V114,0))))</f>
        <v/>
      </c>
      <c r="X114" s="69">
        <f>IF(G114="","",IF(W114=E114,1,0))</f>
        <v/>
      </c>
      <c r="Y114" s="70" t="n"/>
    </row>
    <row r="115">
      <c r="A115" s="61" t="n">
        <v>19</v>
      </c>
      <c r="B115" s="62" t="n">
        <v>47</v>
      </c>
      <c r="C115" s="61" t="inlineStr">
        <is>
          <t>R3</t>
        </is>
      </c>
      <c r="D115" s="74" t="inlineStr">
        <is>
          <t>NG</t>
        </is>
      </c>
      <c r="E115" s="61" t="inlineStr">
        <is>
          <t>N2</t>
        </is>
      </c>
      <c r="F115" s="61" t="inlineStr">
        <is>
          <t>K019</t>
        </is>
      </c>
      <c r="G115" s="64" t="n">
        <v>8.59</v>
      </c>
      <c r="H115" s="65" t="n"/>
      <c r="I115" s="66" t="n"/>
      <c r="J115" s="67">
        <f>VLOOKUP(C115,Recipes!$A$2:$N$4,10,FALSE())</f>
        <v/>
      </c>
      <c r="K115" s="68">
        <f>VLOOKUP(C115,Recipes!$A$2:$N$4,12,FALSE())</f>
        <v/>
      </c>
      <c r="L115" s="67">
        <f>J115-3.5*K115</f>
        <v/>
      </c>
      <c r="M115" s="67">
        <f>J115+3.5*K115</f>
        <v/>
      </c>
      <c r="N115" s="61">
        <f>IF(G115="","",IF(AND(G115&gt;=L115,G115&lt;=M115),"OK","NG"))</f>
        <v/>
      </c>
      <c r="O115" s="69">
        <f>IF(N115="","",IF(N115=D115,1,0))</f>
        <v/>
      </c>
      <c r="P115" s="67">
        <f>IF(G115="","",J115-G115)</f>
        <v/>
      </c>
      <c r="Q115" s="67">
        <f>IF(G115="","",ABS(P115-Components!$D$2))</f>
        <v/>
      </c>
      <c r="R115" s="67">
        <f>IF(G115="","",ABS(P115-Components!$D$3))</f>
        <v/>
      </c>
      <c r="S115" s="67">
        <f>IF(G115="","",ABS(P115-Components!$D$4))</f>
        <v/>
      </c>
      <c r="T115" s="67">
        <f>IF(G115="","",ABS(P115-Components!$D$5))</f>
        <v/>
      </c>
      <c r="U115" s="67">
        <f>IF(G115="","",ABS(P115-Components!$D$6))</f>
        <v/>
      </c>
      <c r="V115" s="67">
        <f>IF(G115="","",ABS(P115-Components!$D$7))</f>
        <v/>
      </c>
      <c r="W115" s="61">
        <f>IF(G115="","",IF(N115="OK","NONE",INDEX({"S1","S2","W1","W2","N1","N2"},MATCH(MIN(Q115:V115),Q115:V115,0))))</f>
        <v/>
      </c>
      <c r="X115" s="69">
        <f>IF(G115="","",IF(W115=E115,1,0))</f>
        <v/>
      </c>
      <c r="Y115" s="70" t="n"/>
    </row>
    <row r="116">
      <c r="A116" s="61" t="n">
        <v>19</v>
      </c>
      <c r="B116" s="62" t="n">
        <v>47</v>
      </c>
      <c r="C116" s="61" t="inlineStr">
        <is>
          <t>R3</t>
        </is>
      </c>
      <c r="D116" s="74" t="inlineStr">
        <is>
          <t>NG</t>
        </is>
      </c>
      <c r="E116" s="61" t="inlineStr">
        <is>
          <t>N2</t>
        </is>
      </c>
      <c r="F116" s="61" t="inlineStr">
        <is>
          <t>K019</t>
        </is>
      </c>
      <c r="G116" s="64" t="n">
        <v>8.630000000000001</v>
      </c>
      <c r="H116" s="65" t="n"/>
      <c r="I116" s="66" t="n"/>
      <c r="J116" s="67">
        <f>VLOOKUP(C116,Recipes!$A$2:$N$4,10,FALSE())</f>
        <v/>
      </c>
      <c r="K116" s="68">
        <f>VLOOKUP(C116,Recipes!$A$2:$N$4,12,FALSE())</f>
        <v/>
      </c>
      <c r="L116" s="67">
        <f>J116-3.5*K116</f>
        <v/>
      </c>
      <c r="M116" s="67">
        <f>J116+3.5*K116</f>
        <v/>
      </c>
      <c r="N116" s="61">
        <f>IF(G116="","",IF(AND(G116&gt;=L116,G116&lt;=M116),"OK","NG"))</f>
        <v/>
      </c>
      <c r="O116" s="69">
        <f>IF(N116="","",IF(N116=D116,1,0))</f>
        <v/>
      </c>
      <c r="P116" s="67">
        <f>IF(G116="","",J116-G116)</f>
        <v/>
      </c>
      <c r="Q116" s="67">
        <f>IF(G116="","",ABS(P116-Components!$D$2))</f>
        <v/>
      </c>
      <c r="R116" s="67">
        <f>IF(G116="","",ABS(P116-Components!$D$3))</f>
        <v/>
      </c>
      <c r="S116" s="67">
        <f>IF(G116="","",ABS(P116-Components!$D$4))</f>
        <v/>
      </c>
      <c r="T116" s="67">
        <f>IF(G116="","",ABS(P116-Components!$D$5))</f>
        <v/>
      </c>
      <c r="U116" s="67">
        <f>IF(G116="","",ABS(P116-Components!$D$6))</f>
        <v/>
      </c>
      <c r="V116" s="67">
        <f>IF(G116="","",ABS(P116-Components!$D$7))</f>
        <v/>
      </c>
      <c r="W116" s="61">
        <f>IF(G116="","",IF(N116="OK","NONE",INDEX({"S1","S2","W1","W2","N1","N2"},MATCH(MIN(Q116:V116),Q116:V116,0))))</f>
        <v/>
      </c>
      <c r="X116" s="69">
        <f>IF(G116="","",IF(W116=E116,1,0))</f>
        <v/>
      </c>
      <c r="Y116" s="70" t="n"/>
    </row>
    <row r="117">
      <c r="A117" s="61" t="n">
        <v>19</v>
      </c>
      <c r="B117" s="62" t="n">
        <v>47</v>
      </c>
      <c r="C117" s="61" t="inlineStr">
        <is>
          <t>R3</t>
        </is>
      </c>
      <c r="D117" s="74" t="inlineStr">
        <is>
          <t>NG</t>
        </is>
      </c>
      <c r="E117" s="61" t="inlineStr">
        <is>
          <t>N2</t>
        </is>
      </c>
      <c r="F117" s="61" t="inlineStr">
        <is>
          <t>K019</t>
        </is>
      </c>
      <c r="G117" s="64" t="n">
        <v>8.630000000000001</v>
      </c>
      <c r="H117" s="65" t="n"/>
      <c r="I117" s="66" t="n"/>
      <c r="J117" s="67">
        <f>VLOOKUP(C117,Recipes!$A$2:$N$4,10,FALSE())</f>
        <v/>
      </c>
      <c r="K117" s="68">
        <f>VLOOKUP(C117,Recipes!$A$2:$N$4,12,FALSE())</f>
        <v/>
      </c>
      <c r="L117" s="67">
        <f>J117-3.5*K117</f>
        <v/>
      </c>
      <c r="M117" s="67">
        <f>J117+3.5*K117</f>
        <v/>
      </c>
      <c r="N117" s="61">
        <f>IF(G117="","",IF(AND(G117&gt;=L117,G117&lt;=M117),"OK","NG"))</f>
        <v/>
      </c>
      <c r="O117" s="69">
        <f>IF(N117="","",IF(N117=D117,1,0))</f>
        <v/>
      </c>
      <c r="P117" s="67">
        <f>IF(G117="","",J117-G117)</f>
        <v/>
      </c>
      <c r="Q117" s="67">
        <f>IF(G117="","",ABS(P117-Components!$D$2))</f>
        <v/>
      </c>
      <c r="R117" s="67">
        <f>IF(G117="","",ABS(P117-Components!$D$3))</f>
        <v/>
      </c>
      <c r="S117" s="67">
        <f>IF(G117="","",ABS(P117-Components!$D$4))</f>
        <v/>
      </c>
      <c r="T117" s="67">
        <f>IF(G117="","",ABS(P117-Components!$D$5))</f>
        <v/>
      </c>
      <c r="U117" s="67">
        <f>IF(G117="","",ABS(P117-Components!$D$6))</f>
        <v/>
      </c>
      <c r="V117" s="67">
        <f>IF(G117="","",ABS(P117-Components!$D$7))</f>
        <v/>
      </c>
      <c r="W117" s="61">
        <f>IF(G117="","",IF(N117="OK","NONE",INDEX({"S1","S2","W1","W2","N1","N2"},MATCH(MIN(Q117:V117),Q117:V117,0))))</f>
        <v/>
      </c>
      <c r="X117" s="69">
        <f>IF(G117="","",IF(W117=E117,1,0))</f>
        <v/>
      </c>
      <c r="Y117" s="70" t="n"/>
    </row>
    <row r="118">
      <c r="A118" s="61" t="n">
        <v>19</v>
      </c>
      <c r="B118" s="62" t="n">
        <v>47</v>
      </c>
      <c r="C118" s="61" t="inlineStr">
        <is>
          <t>R3</t>
        </is>
      </c>
      <c r="D118" s="74" t="inlineStr">
        <is>
          <t>NG</t>
        </is>
      </c>
      <c r="E118" s="61" t="inlineStr">
        <is>
          <t>N2</t>
        </is>
      </c>
      <c r="F118" s="61" t="inlineStr">
        <is>
          <t>K019</t>
        </is>
      </c>
      <c r="G118" s="64" t="n">
        <v>8.59</v>
      </c>
      <c r="H118" s="65" t="n"/>
      <c r="I118" s="66" t="n"/>
      <c r="J118" s="67">
        <f>VLOOKUP(C118,Recipes!$A$2:$N$4,10,FALSE())</f>
        <v/>
      </c>
      <c r="K118" s="68">
        <f>VLOOKUP(C118,Recipes!$A$2:$N$4,12,FALSE())</f>
        <v/>
      </c>
      <c r="L118" s="67">
        <f>J118-3.5*K118</f>
        <v/>
      </c>
      <c r="M118" s="67">
        <f>J118+3.5*K118</f>
        <v/>
      </c>
      <c r="N118" s="61">
        <f>IF(G118="","",IF(AND(G118&gt;=L118,G118&lt;=M118),"OK","NG"))</f>
        <v/>
      </c>
      <c r="O118" s="69">
        <f>IF(N118="","",IF(N118=D118,1,0))</f>
        <v/>
      </c>
      <c r="P118" s="67">
        <f>IF(G118="","",J118-G118)</f>
        <v/>
      </c>
      <c r="Q118" s="67">
        <f>IF(G118="","",ABS(P118-Components!$D$2))</f>
        <v/>
      </c>
      <c r="R118" s="67">
        <f>IF(G118="","",ABS(P118-Components!$D$3))</f>
        <v/>
      </c>
      <c r="S118" s="67">
        <f>IF(G118="","",ABS(P118-Components!$D$4))</f>
        <v/>
      </c>
      <c r="T118" s="67">
        <f>IF(G118="","",ABS(P118-Components!$D$5))</f>
        <v/>
      </c>
      <c r="U118" s="67">
        <f>IF(G118="","",ABS(P118-Components!$D$6))</f>
        <v/>
      </c>
      <c r="V118" s="67">
        <f>IF(G118="","",ABS(P118-Components!$D$7))</f>
        <v/>
      </c>
      <c r="W118" s="61">
        <f>IF(G118="","",IF(N118="OK","NONE",INDEX({"S1","S2","W1","W2","N1","N2"},MATCH(MIN(Q118:V118),Q118:V118,0))))</f>
        <v/>
      </c>
      <c r="X118" s="69">
        <f>IF(G118="","",IF(W118=E118,1,0))</f>
        <v/>
      </c>
      <c r="Y118" s="70" t="n"/>
    </row>
    <row r="119">
      <c r="A119" s="61" t="n">
        <v>19</v>
      </c>
      <c r="B119" s="62" t="n">
        <v>47</v>
      </c>
      <c r="C119" s="61" t="inlineStr">
        <is>
          <t>R3</t>
        </is>
      </c>
      <c r="D119" s="74" t="inlineStr">
        <is>
          <t>NG</t>
        </is>
      </c>
      <c r="E119" s="61" t="inlineStr">
        <is>
          <t>N2</t>
        </is>
      </c>
      <c r="F119" s="61" t="inlineStr">
        <is>
          <t>K019</t>
        </is>
      </c>
      <c r="G119" s="64" t="n">
        <v>8.56</v>
      </c>
      <c r="H119" s="65" t="n"/>
      <c r="I119" s="66" t="n"/>
      <c r="J119" s="67">
        <f>VLOOKUP(C119,Recipes!$A$2:$N$4,10,FALSE())</f>
        <v/>
      </c>
      <c r="K119" s="68">
        <f>VLOOKUP(C119,Recipes!$A$2:$N$4,12,FALSE())</f>
        <v/>
      </c>
      <c r="L119" s="67">
        <f>J119-3.5*K119</f>
        <v/>
      </c>
      <c r="M119" s="67">
        <f>J119+3.5*K119</f>
        <v/>
      </c>
      <c r="N119" s="61">
        <f>IF(G119="","",IF(AND(G119&gt;=L119,G119&lt;=M119),"OK","NG"))</f>
        <v/>
      </c>
      <c r="O119" s="69">
        <f>IF(N119="","",IF(N119=D119,1,0))</f>
        <v/>
      </c>
      <c r="P119" s="67">
        <f>IF(G119="","",J119-G119)</f>
        <v/>
      </c>
      <c r="Q119" s="67">
        <f>IF(G119="","",ABS(P119-Components!$D$2))</f>
        <v/>
      </c>
      <c r="R119" s="67">
        <f>IF(G119="","",ABS(P119-Components!$D$3))</f>
        <v/>
      </c>
      <c r="S119" s="67">
        <f>IF(G119="","",ABS(P119-Components!$D$4))</f>
        <v/>
      </c>
      <c r="T119" s="67">
        <f>IF(G119="","",ABS(P119-Components!$D$5))</f>
        <v/>
      </c>
      <c r="U119" s="67">
        <f>IF(G119="","",ABS(P119-Components!$D$6))</f>
        <v/>
      </c>
      <c r="V119" s="67">
        <f>IF(G119="","",ABS(P119-Components!$D$7))</f>
        <v/>
      </c>
      <c r="W119" s="61">
        <f>IF(G119="","",IF(N119="OK","NONE",INDEX({"S1","S2","W1","W2","N1","N2"},MATCH(MIN(Q119:V119),Q119:V119,0))))</f>
        <v/>
      </c>
      <c r="X119" s="69">
        <f>IF(G119="","",IF(W119=E119,1,0))</f>
        <v/>
      </c>
      <c r="Y119" s="70" t="n"/>
    </row>
    <row r="120">
      <c r="A120" s="61" t="n">
        <v>19</v>
      </c>
      <c r="B120" s="62" t="n">
        <v>47</v>
      </c>
      <c r="C120" s="61" t="inlineStr">
        <is>
          <t>R3</t>
        </is>
      </c>
      <c r="D120" s="74" t="inlineStr">
        <is>
          <t>NG</t>
        </is>
      </c>
      <c r="E120" s="61" t="inlineStr">
        <is>
          <t>N2</t>
        </is>
      </c>
      <c r="F120" s="61" t="inlineStr">
        <is>
          <t>K019</t>
        </is>
      </c>
      <c r="G120" s="64" t="n">
        <v>8.58</v>
      </c>
      <c r="H120" s="65" t="n"/>
      <c r="I120" s="66" t="n"/>
      <c r="J120" s="67">
        <f>VLOOKUP(C120,Recipes!$A$2:$N$4,10,FALSE())</f>
        <v/>
      </c>
      <c r="K120" s="68">
        <f>VLOOKUP(C120,Recipes!$A$2:$N$4,12,FALSE())</f>
        <v/>
      </c>
      <c r="L120" s="67">
        <f>J120-3.5*K120</f>
        <v/>
      </c>
      <c r="M120" s="67">
        <f>J120+3.5*K120</f>
        <v/>
      </c>
      <c r="N120" s="61">
        <f>IF(G120="","",IF(AND(G120&gt;=L120,G120&lt;=M120),"OK","NG"))</f>
        <v/>
      </c>
      <c r="O120" s="69">
        <f>IF(N120="","",IF(N120=D120,1,0))</f>
        <v/>
      </c>
      <c r="P120" s="67">
        <f>IF(G120="","",J120-G120)</f>
        <v/>
      </c>
      <c r="Q120" s="67">
        <f>IF(G120="","",ABS(P120-Components!$D$2))</f>
        <v/>
      </c>
      <c r="R120" s="67">
        <f>IF(G120="","",ABS(P120-Components!$D$3))</f>
        <v/>
      </c>
      <c r="S120" s="67">
        <f>IF(G120="","",ABS(P120-Components!$D$4))</f>
        <v/>
      </c>
      <c r="T120" s="67">
        <f>IF(G120="","",ABS(P120-Components!$D$5))</f>
        <v/>
      </c>
      <c r="U120" s="67">
        <f>IF(G120="","",ABS(P120-Components!$D$6))</f>
        <v/>
      </c>
      <c r="V120" s="67">
        <f>IF(G120="","",ABS(P120-Components!$D$7))</f>
        <v/>
      </c>
      <c r="W120" s="61">
        <f>IF(G120="","",IF(N120="OK","NONE",INDEX({"S1","S2","W1","W2","N1","N2"},MATCH(MIN(Q120:V120),Q120:V120,0))))</f>
        <v/>
      </c>
      <c r="X120" s="69">
        <f>IF(G120="","",IF(W120=E120,1,0))</f>
        <v/>
      </c>
      <c r="Y120" s="70" t="n"/>
    </row>
    <row r="121">
      <c r="A121" s="61" t="n">
        <v>19</v>
      </c>
      <c r="B121" s="62" t="n">
        <v>47</v>
      </c>
      <c r="C121" s="61" t="inlineStr">
        <is>
          <t>R3</t>
        </is>
      </c>
      <c r="D121" s="74" t="inlineStr">
        <is>
          <t>NG</t>
        </is>
      </c>
      <c r="E121" s="61" t="inlineStr">
        <is>
          <t>N2</t>
        </is>
      </c>
      <c r="F121" s="61" t="inlineStr">
        <is>
          <t>K019</t>
        </is>
      </c>
      <c r="G121" s="64" t="n">
        <v>8.630000000000001</v>
      </c>
      <c r="H121" s="65" t="n"/>
      <c r="I121" s="66" t="n"/>
      <c r="J121" s="67">
        <f>VLOOKUP(C121,Recipes!$A$2:$N$4,10,FALSE())</f>
        <v/>
      </c>
      <c r="K121" s="68">
        <f>VLOOKUP(C121,Recipes!$A$2:$N$4,12,FALSE())</f>
        <v/>
      </c>
      <c r="L121" s="67">
        <f>J121-3.5*K121</f>
        <v/>
      </c>
      <c r="M121" s="67">
        <f>J121+3.5*K121</f>
        <v/>
      </c>
      <c r="N121" s="61">
        <f>IF(G121="","",IF(AND(G121&gt;=L121,G121&lt;=M121),"OK","NG"))</f>
        <v/>
      </c>
      <c r="O121" s="69">
        <f>IF(N121="","",IF(N121=D121,1,0))</f>
        <v/>
      </c>
      <c r="P121" s="67">
        <f>IF(G121="","",J121-G121)</f>
        <v/>
      </c>
      <c r="Q121" s="67">
        <f>IF(G121="","",ABS(P121-Components!$D$2))</f>
        <v/>
      </c>
      <c r="R121" s="67">
        <f>IF(G121="","",ABS(P121-Components!$D$3))</f>
        <v/>
      </c>
      <c r="S121" s="67">
        <f>IF(G121="","",ABS(P121-Components!$D$4))</f>
        <v/>
      </c>
      <c r="T121" s="67">
        <f>IF(G121="","",ABS(P121-Components!$D$5))</f>
        <v/>
      </c>
      <c r="U121" s="67">
        <f>IF(G121="","",ABS(P121-Components!$D$6))</f>
        <v/>
      </c>
      <c r="V121" s="67">
        <f>IF(G121="","",ABS(P121-Components!$D$7))</f>
        <v/>
      </c>
      <c r="W121" s="61">
        <f>IF(G121="","",IF(N121="OK","NONE",INDEX({"S1","S2","W1","W2","N1","N2"},MATCH(MIN(Q121:V121),Q121:V121,0))))</f>
        <v/>
      </c>
      <c r="X121" s="69">
        <f>IF(G121="","",IF(W121=E121,1,0))</f>
        <v/>
      </c>
      <c r="Y121" s="70" t="n"/>
    </row>
    <row r="122">
      <c r="A122" s="61" t="n">
        <v>19</v>
      </c>
      <c r="B122" s="62" t="n">
        <v>47</v>
      </c>
      <c r="C122" s="61" t="inlineStr">
        <is>
          <t>R3</t>
        </is>
      </c>
      <c r="D122" s="74" t="inlineStr">
        <is>
          <t>NG</t>
        </is>
      </c>
      <c r="E122" s="61" t="inlineStr">
        <is>
          <t>N2</t>
        </is>
      </c>
      <c r="F122" s="61" t="inlineStr">
        <is>
          <t>K019</t>
        </is>
      </c>
      <c r="G122" s="64" t="n">
        <v>8.59</v>
      </c>
      <c r="H122" s="65" t="n"/>
      <c r="I122" s="66" t="n"/>
      <c r="J122" s="67">
        <f>VLOOKUP(C122,Recipes!$A$2:$N$4,10,FALSE())</f>
        <v/>
      </c>
      <c r="K122" s="68">
        <f>VLOOKUP(C122,Recipes!$A$2:$N$4,12,FALSE())</f>
        <v/>
      </c>
      <c r="L122" s="67">
        <f>J122-3.5*K122</f>
        <v/>
      </c>
      <c r="M122" s="67">
        <f>J122+3.5*K122</f>
        <v/>
      </c>
      <c r="N122" s="61">
        <f>IF(G122="","",IF(AND(G122&gt;=L122,G122&lt;=M122),"OK","NG"))</f>
        <v/>
      </c>
      <c r="O122" s="69">
        <f>IF(N122="","",IF(N122=D122,1,0))</f>
        <v/>
      </c>
      <c r="P122" s="67">
        <f>IF(G122="","",J122-G122)</f>
        <v/>
      </c>
      <c r="Q122" s="67">
        <f>IF(G122="","",ABS(P122-Components!$D$2))</f>
        <v/>
      </c>
      <c r="R122" s="67">
        <f>IF(G122="","",ABS(P122-Components!$D$3))</f>
        <v/>
      </c>
      <c r="S122" s="67">
        <f>IF(G122="","",ABS(P122-Components!$D$4))</f>
        <v/>
      </c>
      <c r="T122" s="67">
        <f>IF(G122="","",ABS(P122-Components!$D$5))</f>
        <v/>
      </c>
      <c r="U122" s="67">
        <f>IF(G122="","",ABS(P122-Components!$D$6))</f>
        <v/>
      </c>
      <c r="V122" s="67">
        <f>IF(G122="","",ABS(P122-Components!$D$7))</f>
        <v/>
      </c>
      <c r="W122" s="61">
        <f>IF(G122="","",IF(N122="OK","NONE",INDEX({"S1","S2","W1","W2","N1","N2"},MATCH(MIN(Q122:V122),Q122:V122,0))))</f>
        <v/>
      </c>
      <c r="X122" s="69">
        <f>IF(G122="","",IF(W122=E122,1,0))</f>
        <v/>
      </c>
      <c r="Y122" s="70" t="n"/>
    </row>
    <row r="123">
      <c r="A123" s="61" t="n">
        <v>21</v>
      </c>
      <c r="B123" s="62" t="n">
        <v>29</v>
      </c>
      <c r="C123" s="61" t="inlineStr">
        <is>
          <t>R4</t>
        </is>
      </c>
      <c r="D123" s="63" t="inlineStr">
        <is>
          <t>OK</t>
        </is>
      </c>
      <c r="E123" s="61" t="inlineStr">
        <is>
          <t>NONE</t>
        </is>
      </c>
      <c r="F123" s="61" t="inlineStr">
        <is>
          <t>K021</t>
        </is>
      </c>
      <c r="G123" s="64" t="n">
        <v>8.949999999999999</v>
      </c>
      <c r="H123" s="65" t="n"/>
      <c r="I123" s="66" t="n"/>
      <c r="J123" s="67">
        <f>VLOOKUP(C123,Recipes!$A$2:$N$4,10,FALSE())</f>
        <v/>
      </c>
      <c r="K123" s="68">
        <f>VLOOKUP(C123,Recipes!$A$2:$N$4,12,FALSE())</f>
        <v/>
      </c>
      <c r="L123" s="67">
        <f>J123-3.5*K123</f>
        <v/>
      </c>
      <c r="M123" s="67">
        <f>J123+3.5*K123</f>
        <v/>
      </c>
      <c r="N123" s="61">
        <f>IF(G123="","",IF(AND(G123&gt;=L123,G123&lt;=M123),"OK","NG"))</f>
        <v/>
      </c>
      <c r="O123" s="69">
        <f>IF(N123="","",IF(N123=D123,1,0))</f>
        <v/>
      </c>
      <c r="P123" s="67">
        <f>IF(G123="","",J123-G123)</f>
        <v/>
      </c>
      <c r="Q123" s="67">
        <f>IF(G123="","",ABS(P123-Components!$D$2))</f>
        <v/>
      </c>
      <c r="R123" s="67">
        <f>IF(G123="","",ABS(P123-Components!$D$3))</f>
        <v/>
      </c>
      <c r="S123" s="67">
        <f>IF(G123="","",ABS(P123-Components!$D$4))</f>
        <v/>
      </c>
      <c r="T123" s="67">
        <f>IF(G123="","",ABS(P123-Components!$D$5))</f>
        <v/>
      </c>
      <c r="U123" s="67">
        <f>IF(G123="","",ABS(P123-Components!$D$6))</f>
        <v/>
      </c>
      <c r="V123" s="67">
        <f>IF(G123="","",ABS(P123-Components!$D$7))</f>
        <v/>
      </c>
      <c r="W123" s="61">
        <f>IF(G123="","",IF(N123="OK","NONE",INDEX({"S1","S2","W1","W2","N1","N2"},MATCH(MIN(Q123:V123),Q123:V123,0))))</f>
        <v/>
      </c>
      <c r="X123" s="69">
        <f>IF(G123="","",IF(W123=E123,1,0))</f>
        <v/>
      </c>
      <c r="Y123" s="70" t="n"/>
    </row>
    <row r="124">
      <c r="A124" s="61" t="n">
        <v>22</v>
      </c>
      <c r="B124" s="62" t="n">
        <v>11</v>
      </c>
      <c r="C124" s="61" t="inlineStr">
        <is>
          <t>R4</t>
        </is>
      </c>
      <c r="D124" s="63" t="inlineStr">
        <is>
          <t>OK</t>
        </is>
      </c>
      <c r="E124" s="61" t="inlineStr">
        <is>
          <t>NONE</t>
        </is>
      </c>
      <c r="F124" s="61" t="inlineStr">
        <is>
          <t>K022</t>
        </is>
      </c>
      <c r="G124" s="64" t="n">
        <v>8.94</v>
      </c>
      <c r="H124" s="65" t="n"/>
      <c r="I124" s="66" t="n"/>
      <c r="J124" s="67">
        <f>VLOOKUP(C124,Recipes!$A$2:$N$4,10,FALSE())</f>
        <v/>
      </c>
      <c r="K124" s="68">
        <f>VLOOKUP(C124,Recipes!$A$2:$N$4,12,FALSE())</f>
        <v/>
      </c>
      <c r="L124" s="67">
        <f>J124-3.5*K124</f>
        <v/>
      </c>
      <c r="M124" s="67">
        <f>J124+3.5*K124</f>
        <v/>
      </c>
      <c r="N124" s="61">
        <f>IF(G124="","",IF(AND(G124&gt;=L124,G124&lt;=M124),"OK","NG"))</f>
        <v/>
      </c>
      <c r="O124" s="69">
        <f>IF(N124="","",IF(N124=D124,1,0))</f>
        <v/>
      </c>
      <c r="P124" s="67">
        <f>IF(G124="","",J124-G124)</f>
        <v/>
      </c>
      <c r="Q124" s="67">
        <f>IF(G124="","",ABS(P124-Components!$D$2))</f>
        <v/>
      </c>
      <c r="R124" s="67">
        <f>IF(G124="","",ABS(P124-Components!$D$3))</f>
        <v/>
      </c>
      <c r="S124" s="67">
        <f>IF(G124="","",ABS(P124-Components!$D$4))</f>
        <v/>
      </c>
      <c r="T124" s="67">
        <f>IF(G124="","",ABS(P124-Components!$D$5))</f>
        <v/>
      </c>
      <c r="U124" s="67">
        <f>IF(G124="","",ABS(P124-Components!$D$6))</f>
        <v/>
      </c>
      <c r="V124" s="67">
        <f>IF(G124="","",ABS(P124-Components!$D$7))</f>
        <v/>
      </c>
      <c r="W124" s="61">
        <f>IF(G124="","",IF(N124="OK","NONE",INDEX({"S1","S2","W1","W2","N1","N2"},MATCH(MIN(Q124:V124),Q124:V124,0))))</f>
        <v/>
      </c>
      <c r="X124" s="69">
        <f>IF(G124="","",IF(W124=E124,1,0))</f>
        <v/>
      </c>
      <c r="Y124" s="70" t="n"/>
    </row>
    <row r="125">
      <c r="A125" s="61" t="n">
        <v>23</v>
      </c>
      <c r="B125" s="62" t="n">
        <v>43</v>
      </c>
      <c r="C125" s="61" t="inlineStr">
        <is>
          <t>R4</t>
        </is>
      </c>
      <c r="D125" s="63" t="inlineStr">
        <is>
          <t>OK</t>
        </is>
      </c>
      <c r="E125" s="61" t="inlineStr">
        <is>
          <t>NONE</t>
        </is>
      </c>
      <c r="F125" s="61" t="inlineStr">
        <is>
          <t>K023</t>
        </is>
      </c>
      <c r="G125" s="64" t="n">
        <v>8.94</v>
      </c>
      <c r="H125" s="65" t="n"/>
      <c r="I125" s="66" t="n"/>
      <c r="J125" s="67">
        <f>VLOOKUP(C125,Recipes!$A$2:$N$4,10,FALSE())</f>
        <v/>
      </c>
      <c r="K125" s="68">
        <f>VLOOKUP(C125,Recipes!$A$2:$N$4,12,FALSE())</f>
        <v/>
      </c>
      <c r="L125" s="67">
        <f>J125-3.5*K125</f>
        <v/>
      </c>
      <c r="M125" s="67">
        <f>J125+3.5*K125</f>
        <v/>
      </c>
      <c r="N125" s="61">
        <f>IF(G125="","",IF(AND(G125&gt;=L125,G125&lt;=M125),"OK","NG"))</f>
        <v/>
      </c>
      <c r="O125" s="69">
        <f>IF(N125="","",IF(N125=D125,1,0))</f>
        <v/>
      </c>
      <c r="P125" s="67">
        <f>IF(G125="","",J125-G125)</f>
        <v/>
      </c>
      <c r="Q125" s="67">
        <f>IF(G125="","",ABS(P125-Components!$D$2))</f>
        <v/>
      </c>
      <c r="R125" s="67">
        <f>IF(G125="","",ABS(P125-Components!$D$3))</f>
        <v/>
      </c>
      <c r="S125" s="67">
        <f>IF(G125="","",ABS(P125-Components!$D$4))</f>
        <v/>
      </c>
      <c r="T125" s="67">
        <f>IF(G125="","",ABS(P125-Components!$D$5))</f>
        <v/>
      </c>
      <c r="U125" s="67">
        <f>IF(G125="","",ABS(P125-Components!$D$6))</f>
        <v/>
      </c>
      <c r="V125" s="67">
        <f>IF(G125="","",ABS(P125-Components!$D$7))</f>
        <v/>
      </c>
      <c r="W125" s="61">
        <f>IF(G125="","",IF(N125="OK","NONE",INDEX({"S1","S2","W1","W2","N1","N2"},MATCH(MIN(Q125:V125),Q125:V125,0))))</f>
        <v/>
      </c>
      <c r="X125" s="69">
        <f>IF(G125="","",IF(W125=E125,1,0))</f>
        <v/>
      </c>
      <c r="Y125" s="70" t="n"/>
    </row>
    <row r="126">
      <c r="A126" s="61" t="n">
        <v>24</v>
      </c>
      <c r="B126" s="62" t="n">
        <v>23</v>
      </c>
      <c r="C126" s="61" t="inlineStr">
        <is>
          <t>R4</t>
        </is>
      </c>
      <c r="D126" s="63" t="inlineStr">
        <is>
          <t>OK</t>
        </is>
      </c>
      <c r="E126" s="61" t="inlineStr">
        <is>
          <t>NONE</t>
        </is>
      </c>
      <c r="F126" s="61" t="inlineStr">
        <is>
          <t>K024</t>
        </is>
      </c>
      <c r="G126" s="64" t="n">
        <v>8.890000000000001</v>
      </c>
      <c r="H126" s="65" t="n"/>
      <c r="I126" s="66" t="n"/>
      <c r="J126" s="67">
        <f>VLOOKUP(C126,Recipes!$A$2:$N$4,10,FALSE())</f>
        <v/>
      </c>
      <c r="K126" s="68">
        <f>VLOOKUP(C126,Recipes!$A$2:$N$4,12,FALSE())</f>
        <v/>
      </c>
      <c r="L126" s="67">
        <f>J126-3.5*K126</f>
        <v/>
      </c>
      <c r="M126" s="67">
        <f>J126+3.5*K126</f>
        <v/>
      </c>
      <c r="N126" s="61">
        <f>IF(G126="","",IF(AND(G126&gt;=L126,G126&lt;=M126),"OK","NG"))</f>
        <v/>
      </c>
      <c r="O126" s="69">
        <f>IF(N126="","",IF(N126=D126,1,0))</f>
        <v/>
      </c>
      <c r="P126" s="67">
        <f>IF(G126="","",J126-G126)</f>
        <v/>
      </c>
      <c r="Q126" s="67">
        <f>IF(G126="","",ABS(P126-Components!$D$2))</f>
        <v/>
      </c>
      <c r="R126" s="67">
        <f>IF(G126="","",ABS(P126-Components!$D$3))</f>
        <v/>
      </c>
      <c r="S126" s="67">
        <f>IF(G126="","",ABS(P126-Components!$D$4))</f>
        <v/>
      </c>
      <c r="T126" s="67">
        <f>IF(G126="","",ABS(P126-Components!$D$5))</f>
        <v/>
      </c>
      <c r="U126" s="67">
        <f>IF(G126="","",ABS(P126-Components!$D$6))</f>
        <v/>
      </c>
      <c r="V126" s="67">
        <f>IF(G126="","",ABS(P126-Components!$D$7))</f>
        <v/>
      </c>
      <c r="W126" s="61">
        <f>IF(G126="","",IF(N126="OK","NONE",INDEX({"S1","S2","W1","W2","N1","N2"},MATCH(MIN(Q126:V126),Q126:V126,0))))</f>
        <v/>
      </c>
      <c r="X126" s="69">
        <f>IF(G126="","",IF(W126=E126,1,0))</f>
        <v/>
      </c>
      <c r="Y126" s="70" t="n"/>
    </row>
    <row r="127">
      <c r="A127" s="61" t="n">
        <v>25</v>
      </c>
      <c r="B127" s="62" t="n">
        <v>39</v>
      </c>
      <c r="C127" s="61" t="inlineStr">
        <is>
          <t>R4</t>
        </is>
      </c>
      <c r="D127" s="63" t="inlineStr">
        <is>
          <t>OK</t>
        </is>
      </c>
      <c r="E127" s="61" t="inlineStr">
        <is>
          <t>NONE</t>
        </is>
      </c>
      <c r="F127" s="61" t="inlineStr">
        <is>
          <t>K025</t>
        </is>
      </c>
      <c r="G127" s="64" t="n">
        <v>8.890000000000001</v>
      </c>
      <c r="H127" s="65" t="n"/>
      <c r="I127" s="66" t="n"/>
      <c r="J127" s="67">
        <f>VLOOKUP(C127,Recipes!$A$2:$N$4,10,FALSE())</f>
        <v/>
      </c>
      <c r="K127" s="68">
        <f>VLOOKUP(C127,Recipes!$A$2:$N$4,12,FALSE())</f>
        <v/>
      </c>
      <c r="L127" s="67">
        <f>J127-3.5*K127</f>
        <v/>
      </c>
      <c r="M127" s="67">
        <f>J127+3.5*K127</f>
        <v/>
      </c>
      <c r="N127" s="61">
        <f>IF(G127="","",IF(AND(G127&gt;=L127,G127&lt;=M127),"OK","NG"))</f>
        <v/>
      </c>
      <c r="O127" s="69">
        <f>IF(N127="","",IF(N127=D127,1,0))</f>
        <v/>
      </c>
      <c r="P127" s="67">
        <f>IF(G127="","",J127-G127)</f>
        <v/>
      </c>
      <c r="Q127" s="67">
        <f>IF(G127="","",ABS(P127-Components!$D$2))</f>
        <v/>
      </c>
      <c r="R127" s="67">
        <f>IF(G127="","",ABS(P127-Components!$D$3))</f>
        <v/>
      </c>
      <c r="S127" s="67">
        <f>IF(G127="","",ABS(P127-Components!$D$4))</f>
        <v/>
      </c>
      <c r="T127" s="67">
        <f>IF(G127="","",ABS(P127-Components!$D$5))</f>
        <v/>
      </c>
      <c r="U127" s="67">
        <f>IF(G127="","",ABS(P127-Components!$D$6))</f>
        <v/>
      </c>
      <c r="V127" s="67">
        <f>IF(G127="","",ABS(P127-Components!$D$7))</f>
        <v/>
      </c>
      <c r="W127" s="61">
        <f>IF(G127="","",IF(N127="OK","NONE",INDEX({"S1","S2","W1","W2","N1","N2"},MATCH(MIN(Q127:V127),Q127:V127,0))))</f>
        <v/>
      </c>
      <c r="X127" s="69">
        <f>IF(G127="","",IF(W127=E127,1,0))</f>
        <v/>
      </c>
      <c r="Y127" s="70" t="n"/>
    </row>
    <row r="128">
      <c r="A128" s="61" t="n">
        <v>26</v>
      </c>
      <c r="B128" s="62" t="n">
        <v>31</v>
      </c>
      <c r="C128" s="61" t="inlineStr">
        <is>
          <t>R4</t>
        </is>
      </c>
      <c r="D128" s="63" t="inlineStr">
        <is>
          <t>OK</t>
        </is>
      </c>
      <c r="E128" s="61" t="inlineStr">
        <is>
          <t>NONE</t>
        </is>
      </c>
      <c r="F128" s="61" t="inlineStr">
        <is>
          <t>K026</t>
        </is>
      </c>
      <c r="G128" s="75" t="n">
        <v>8.880000000000001</v>
      </c>
      <c r="H128" s="65" t="n"/>
      <c r="I128" s="66" t="n"/>
      <c r="J128" s="67">
        <f>VLOOKUP(C128,Recipes!$A$2:$N$4,10,FALSE())</f>
        <v/>
      </c>
      <c r="K128" s="68">
        <f>VLOOKUP(C128,Recipes!$A$2:$N$4,12,FALSE())</f>
        <v/>
      </c>
      <c r="L128" s="67">
        <f>J128-3.5*K128</f>
        <v/>
      </c>
      <c r="M128" s="67">
        <f>J128+3.5*K128</f>
        <v/>
      </c>
      <c r="N128" s="61">
        <f>IF(G128="","",IF(AND(G128&gt;=L128,G128&lt;=M128),"OK","NG"))</f>
        <v/>
      </c>
      <c r="O128" s="69">
        <f>IF(N128="","",IF(N128=D128,1,0))</f>
        <v/>
      </c>
      <c r="P128" s="67">
        <f>IF(G128="","",J128-G128)</f>
        <v/>
      </c>
      <c r="Q128" s="67">
        <f>IF(G128="","",ABS(P128-Components!$D$2))</f>
        <v/>
      </c>
      <c r="R128" s="67">
        <f>IF(G128="","",ABS(P128-Components!$D$3))</f>
        <v/>
      </c>
      <c r="S128" s="67">
        <f>IF(G128="","",ABS(P128-Components!$D$4))</f>
        <v/>
      </c>
      <c r="T128" s="67">
        <f>IF(G128="","",ABS(P128-Components!$D$5))</f>
        <v/>
      </c>
      <c r="U128" s="67">
        <f>IF(G128="","",ABS(P128-Components!$D$6))</f>
        <v/>
      </c>
      <c r="V128" s="67">
        <f>IF(G128="","",ABS(P128-Components!$D$7))</f>
        <v/>
      </c>
      <c r="W128" s="61">
        <f>IF(G128="","",IF(N128="OK","NONE",INDEX({"S1","S2","W1","W2","N1","N2"},MATCH(MIN(Q128:V128),Q128:V128,0))))</f>
        <v/>
      </c>
      <c r="X128" s="69">
        <f>IF(G128="","",IF(W128=E128,1,0))</f>
        <v/>
      </c>
      <c r="Y128" s="70" t="n"/>
    </row>
    <row r="129">
      <c r="A129" s="61" t="n">
        <v>27</v>
      </c>
      <c r="B129" s="62" t="n">
        <v>29</v>
      </c>
      <c r="C129" s="61" t="inlineStr">
        <is>
          <t>R4</t>
        </is>
      </c>
      <c r="D129" s="63" t="inlineStr">
        <is>
          <t>OK</t>
        </is>
      </c>
      <c r="E129" s="61" t="inlineStr">
        <is>
          <t>NONE</t>
        </is>
      </c>
      <c r="F129" s="61" t="inlineStr">
        <is>
          <t>K027</t>
        </is>
      </c>
      <c r="G129" s="75" t="n">
        <v>8.91</v>
      </c>
      <c r="H129" s="65" t="n"/>
      <c r="I129" s="66" t="n"/>
      <c r="J129" s="67">
        <f>VLOOKUP(C129,Recipes!$A$2:$N$4,10,FALSE())</f>
        <v/>
      </c>
      <c r="K129" s="68">
        <f>VLOOKUP(C129,Recipes!$A$2:$N$4,12,FALSE())</f>
        <v/>
      </c>
      <c r="L129" s="67">
        <f>J129-3.5*K129</f>
        <v/>
      </c>
      <c r="M129" s="67">
        <f>J129+3.5*K129</f>
        <v/>
      </c>
      <c r="N129" s="61">
        <f>IF(G129="","",IF(AND(G129&gt;=L129,G129&lt;=M129),"OK","NG"))</f>
        <v/>
      </c>
      <c r="O129" s="69">
        <f>IF(N129="","",IF(N129=D129,1,0))</f>
        <v/>
      </c>
      <c r="P129" s="67">
        <f>IF(G129="","",J129-G129)</f>
        <v/>
      </c>
      <c r="Q129" s="67">
        <f>IF(G129="","",ABS(P129-Components!$D$2))</f>
        <v/>
      </c>
      <c r="R129" s="67">
        <f>IF(G129="","",ABS(P129-Components!$D$3))</f>
        <v/>
      </c>
      <c r="S129" s="67">
        <f>IF(G129="","",ABS(P129-Components!$D$4))</f>
        <v/>
      </c>
      <c r="T129" s="67">
        <f>IF(G129="","",ABS(P129-Components!$D$5))</f>
        <v/>
      </c>
      <c r="U129" s="67">
        <f>IF(G129="","",ABS(P129-Components!$D$6))</f>
        <v/>
      </c>
      <c r="V129" s="67">
        <f>IF(G129="","",ABS(P129-Components!$D$7))</f>
        <v/>
      </c>
      <c r="W129" s="61">
        <f>IF(G129="","",IF(N129="OK","NONE",INDEX({"S1","S2","W1","W2","N1","N2"},MATCH(MIN(Q129:V129),Q129:V129,0))))</f>
        <v/>
      </c>
      <c r="X129" s="69">
        <f>IF(G129="","",IF(W129=E129,1,0))</f>
        <v/>
      </c>
      <c r="Y129" s="70" t="n"/>
    </row>
    <row r="130">
      <c r="A130" s="61" t="n">
        <v>28</v>
      </c>
      <c r="B130" s="62" t="n">
        <v>27</v>
      </c>
      <c r="C130" s="61" t="inlineStr">
        <is>
          <t>R4</t>
        </is>
      </c>
      <c r="D130" s="63" t="inlineStr">
        <is>
          <t>OK</t>
        </is>
      </c>
      <c r="E130" s="61" t="inlineStr">
        <is>
          <t>NONE</t>
        </is>
      </c>
      <c r="F130" s="61" t="inlineStr">
        <is>
          <t>K028</t>
        </is>
      </c>
      <c r="G130" s="75" t="n">
        <v>8.85</v>
      </c>
      <c r="H130" s="65" t="n"/>
      <c r="I130" s="66" t="n"/>
      <c r="J130" s="67">
        <f>VLOOKUP(C130,Recipes!$A$2:$N$4,10,FALSE())</f>
        <v/>
      </c>
      <c r="K130" s="68">
        <f>VLOOKUP(C130,Recipes!$A$2:$N$4,12,FALSE())</f>
        <v/>
      </c>
      <c r="L130" s="67">
        <f>J130-3.5*K130</f>
        <v/>
      </c>
      <c r="M130" s="67">
        <f>J130+3.5*K130</f>
        <v/>
      </c>
      <c r="N130" s="61">
        <f>IF(G130="","",IF(AND(G130&gt;=L130,G130&lt;=M130),"OK","NG"))</f>
        <v/>
      </c>
      <c r="O130" s="69">
        <f>IF(N130="","",IF(N130=D130,1,0))</f>
        <v/>
      </c>
      <c r="P130" s="67">
        <f>IF(G130="","",J130-G130)</f>
        <v/>
      </c>
      <c r="Q130" s="67">
        <f>IF(G130="","",ABS(P130-Components!$D$2))</f>
        <v/>
      </c>
      <c r="R130" s="67">
        <f>IF(G130="","",ABS(P130-Components!$D$3))</f>
        <v/>
      </c>
      <c r="S130" s="67">
        <f>IF(G130="","",ABS(P130-Components!$D$4))</f>
        <v/>
      </c>
      <c r="T130" s="67">
        <f>IF(G130="","",ABS(P130-Components!$D$5))</f>
        <v/>
      </c>
      <c r="U130" s="67">
        <f>IF(G130="","",ABS(P130-Components!$D$6))</f>
        <v/>
      </c>
      <c r="V130" s="67">
        <f>IF(G130="","",ABS(P130-Components!$D$7))</f>
        <v/>
      </c>
      <c r="W130" s="61">
        <f>IF(G130="","",IF(N130="OK","NONE",INDEX({"S1","S2","W1","W2","N1","N2"},MATCH(MIN(Q130:V130),Q130:V130,0))))</f>
        <v/>
      </c>
      <c r="X130" s="69">
        <f>IF(G130="","",IF(W130=E130,1,0))</f>
        <v/>
      </c>
      <c r="Y130" s="70" t="n"/>
    </row>
    <row r="131">
      <c r="A131" s="61" t="n">
        <v>29</v>
      </c>
      <c r="B131" s="62" t="n">
        <v>25</v>
      </c>
      <c r="C131" s="61" t="inlineStr">
        <is>
          <t>R4</t>
        </is>
      </c>
      <c r="D131" s="63" t="inlineStr">
        <is>
          <t>OK</t>
        </is>
      </c>
      <c r="E131" s="61" t="inlineStr">
        <is>
          <t>NONE</t>
        </is>
      </c>
      <c r="F131" s="61" t="inlineStr">
        <is>
          <t>K029</t>
        </is>
      </c>
      <c r="G131" s="75" t="n">
        <v>8.880000000000001</v>
      </c>
      <c r="H131" s="65" t="n"/>
      <c r="I131" s="66" t="n"/>
      <c r="J131" s="67">
        <f>VLOOKUP(C131,Recipes!$A$2:$N$4,10,FALSE())</f>
        <v/>
      </c>
      <c r="K131" s="68">
        <f>VLOOKUP(C131,Recipes!$A$2:$N$4,12,FALSE())</f>
        <v/>
      </c>
      <c r="L131" s="67">
        <f>J131-3.5*K131</f>
        <v/>
      </c>
      <c r="M131" s="67">
        <f>J131+3.5*K131</f>
        <v/>
      </c>
      <c r="N131" s="61">
        <f>IF(G131="","",IF(AND(G131&gt;=L131,G131&lt;=M131),"OK","NG"))</f>
        <v/>
      </c>
      <c r="O131" s="69">
        <f>IF(N131="","",IF(N131=D131,1,0))</f>
        <v/>
      </c>
      <c r="P131" s="67">
        <f>IF(G131="","",J131-G131)</f>
        <v/>
      </c>
      <c r="Q131" s="67">
        <f>IF(G131="","",ABS(P131-Components!$D$2))</f>
        <v/>
      </c>
      <c r="R131" s="67">
        <f>IF(G131="","",ABS(P131-Components!$D$3))</f>
        <v/>
      </c>
      <c r="S131" s="67">
        <f>IF(G131="","",ABS(P131-Components!$D$4))</f>
        <v/>
      </c>
      <c r="T131" s="67">
        <f>IF(G131="","",ABS(P131-Components!$D$5))</f>
        <v/>
      </c>
      <c r="U131" s="67">
        <f>IF(G131="","",ABS(P131-Components!$D$6))</f>
        <v/>
      </c>
      <c r="V131" s="67">
        <f>IF(G131="","",ABS(P131-Components!$D$7))</f>
        <v/>
      </c>
      <c r="W131" s="61">
        <f>IF(G131="","",IF(N131="OK","NONE",INDEX({"S1","S2","W1","W2","N1","N2"},MATCH(MIN(Q131:V131),Q131:V131,0))))</f>
        <v/>
      </c>
      <c r="X131" s="69">
        <f>IF(G131="","",IF(W131=E131,1,0))</f>
        <v/>
      </c>
      <c r="Y131" s="70" t="n"/>
    </row>
    <row r="132">
      <c r="A132" s="61" t="n">
        <v>30</v>
      </c>
      <c r="B132" s="62" t="n">
        <v>23</v>
      </c>
      <c r="C132" s="61" t="inlineStr">
        <is>
          <t>R4</t>
        </is>
      </c>
      <c r="D132" s="63" t="inlineStr">
        <is>
          <t>OK</t>
        </is>
      </c>
      <c r="E132" s="61" t="inlineStr">
        <is>
          <t>NONE</t>
        </is>
      </c>
      <c r="F132" s="61" t="inlineStr">
        <is>
          <t>K030</t>
        </is>
      </c>
      <c r="G132" s="75" t="n">
        <v>8.869999999999999</v>
      </c>
      <c r="H132" s="65" t="n"/>
      <c r="I132" s="66" t="n"/>
      <c r="J132" s="67">
        <f>VLOOKUP(C132,Recipes!$A$2:$N$4,10,FALSE())</f>
        <v/>
      </c>
      <c r="K132" s="68">
        <f>VLOOKUP(C132,Recipes!$A$2:$N$4,12,FALSE())</f>
        <v/>
      </c>
      <c r="L132" s="67">
        <f>J132-3.5*K132</f>
        <v/>
      </c>
      <c r="M132" s="67">
        <f>J132+3.5*K132</f>
        <v/>
      </c>
      <c r="N132" s="61">
        <f>IF(G132="","",IF(AND(G132&gt;=L132,G132&lt;=M132),"OK","NG"))</f>
        <v/>
      </c>
      <c r="O132" s="69">
        <f>IF(N132="","",IF(N132=D132,1,0))</f>
        <v/>
      </c>
      <c r="P132" s="67">
        <f>IF(G132="","",J132-G132)</f>
        <v/>
      </c>
      <c r="Q132" s="67">
        <f>IF(G132="","",ABS(P132-Components!$D$2))</f>
        <v/>
      </c>
      <c r="R132" s="67">
        <f>IF(G132="","",ABS(P132-Components!$D$3))</f>
        <v/>
      </c>
      <c r="S132" s="67">
        <f>IF(G132="","",ABS(P132-Components!$D$4))</f>
        <v/>
      </c>
      <c r="T132" s="67">
        <f>IF(G132="","",ABS(P132-Components!$D$5))</f>
        <v/>
      </c>
      <c r="U132" s="67">
        <f>IF(G132="","",ABS(P132-Components!$D$6))</f>
        <v/>
      </c>
      <c r="V132" s="67">
        <f>IF(G132="","",ABS(P132-Components!$D$7))</f>
        <v/>
      </c>
      <c r="W132" s="61">
        <f>IF(G132="","",IF(N132="OK","NONE",INDEX({"S1","S2","W1","W2","N1","N2"},MATCH(MIN(Q132:V132),Q132:V132,0))))</f>
        <v/>
      </c>
      <c r="X132" s="69">
        <f>IF(G132="","",IF(W132=E132,1,0))</f>
        <v/>
      </c>
      <c r="Y132" s="70" t="n"/>
    </row>
    <row r="133">
      <c r="A133" s="61" t="n">
        <v>31</v>
      </c>
      <c r="B133" s="62" t="n">
        <v>21</v>
      </c>
      <c r="C133" s="61" t="inlineStr">
        <is>
          <t>R4</t>
        </is>
      </c>
      <c r="D133" s="63" t="inlineStr">
        <is>
          <t>OK</t>
        </is>
      </c>
      <c r="E133" s="61" t="inlineStr">
        <is>
          <t>NONE</t>
        </is>
      </c>
      <c r="F133" s="61" t="inlineStr">
        <is>
          <t>K031</t>
        </is>
      </c>
      <c r="G133" s="75" t="n">
        <v>8.890000000000001</v>
      </c>
      <c r="H133" s="65" t="n"/>
      <c r="I133" s="66" t="n"/>
      <c r="J133" s="67">
        <f>VLOOKUP(C133,Recipes!$A$2:$N$4,10,FALSE())</f>
        <v/>
      </c>
      <c r="K133" s="68">
        <f>VLOOKUP(C133,Recipes!$A$2:$N$4,12,FALSE())</f>
        <v/>
      </c>
      <c r="L133" s="67">
        <f>J133-3.5*K133</f>
        <v/>
      </c>
      <c r="M133" s="67">
        <f>J133+3.5*K133</f>
        <v/>
      </c>
      <c r="N133" s="61">
        <f>IF(G133="","",IF(AND(G133&gt;=L133,G133&lt;=M133),"OK","NG"))</f>
        <v/>
      </c>
      <c r="O133" s="69">
        <f>IF(N133="","",IF(N133=D133,1,0))</f>
        <v/>
      </c>
      <c r="P133" s="67">
        <f>IF(G133="","",J133-G133)</f>
        <v/>
      </c>
      <c r="Q133" s="67">
        <f>IF(G133="","",ABS(P133-Components!$D$2))</f>
        <v/>
      </c>
      <c r="R133" s="67">
        <f>IF(G133="","",ABS(P133-Components!$D$3))</f>
        <v/>
      </c>
      <c r="S133" s="67">
        <f>IF(G133="","",ABS(P133-Components!$D$4))</f>
        <v/>
      </c>
      <c r="T133" s="67">
        <f>IF(G133="","",ABS(P133-Components!$D$5))</f>
        <v/>
      </c>
      <c r="U133" s="67">
        <f>IF(G133="","",ABS(P133-Components!$D$6))</f>
        <v/>
      </c>
      <c r="V133" s="67">
        <f>IF(G133="","",ABS(P133-Components!$D$7))</f>
        <v/>
      </c>
      <c r="W133" s="61">
        <f>IF(G133="","",IF(N133="OK","NONE",INDEX({"S1","S2","W1","W2","N1","N2"},MATCH(MIN(Q133:V133),Q133:V133,0))))</f>
        <v/>
      </c>
      <c r="X133" s="69">
        <f>IF(G133="","",IF(W133=E133,1,0))</f>
        <v/>
      </c>
      <c r="Y133" s="70" t="n"/>
    </row>
    <row r="134">
      <c r="A134" s="61" t="n">
        <v>32</v>
      </c>
      <c r="B134" s="62" t="n">
        <v>19</v>
      </c>
      <c r="C134" s="61" t="inlineStr">
        <is>
          <t>R4</t>
        </is>
      </c>
      <c r="D134" s="63" t="inlineStr">
        <is>
          <t>OK</t>
        </is>
      </c>
      <c r="E134" s="61" t="inlineStr">
        <is>
          <t>NONE</t>
        </is>
      </c>
      <c r="F134" s="61" t="inlineStr">
        <is>
          <t>K032</t>
        </is>
      </c>
      <c r="G134" s="75" t="n">
        <v>8.869999999999999</v>
      </c>
      <c r="H134" s="65" t="n"/>
      <c r="I134" s="66" t="n"/>
      <c r="J134" s="67">
        <f>VLOOKUP(C134,Recipes!$A$2:$N$4,10,FALSE())</f>
        <v/>
      </c>
      <c r="K134" s="68">
        <f>VLOOKUP(C134,Recipes!$A$2:$N$4,12,FALSE())</f>
        <v/>
      </c>
      <c r="L134" s="67">
        <f>J134-3.5*K134</f>
        <v/>
      </c>
      <c r="M134" s="67">
        <f>J134+3.5*K134</f>
        <v/>
      </c>
      <c r="N134" s="61">
        <f>IF(G134="","",IF(AND(G134&gt;=L134,G134&lt;=M134),"OK","NG"))</f>
        <v/>
      </c>
      <c r="O134" s="69">
        <f>IF(N134="","",IF(N134=D134,1,0))</f>
        <v/>
      </c>
      <c r="P134" s="67">
        <f>IF(G134="","",J134-G134)</f>
        <v/>
      </c>
      <c r="Q134" s="67">
        <f>IF(G134="","",ABS(P134-Components!$D$2))</f>
        <v/>
      </c>
      <c r="R134" s="67">
        <f>IF(G134="","",ABS(P134-Components!$D$3))</f>
        <v/>
      </c>
      <c r="S134" s="67">
        <f>IF(G134="","",ABS(P134-Components!$D$4))</f>
        <v/>
      </c>
      <c r="T134" s="67">
        <f>IF(G134="","",ABS(P134-Components!$D$5))</f>
        <v/>
      </c>
      <c r="U134" s="67">
        <f>IF(G134="","",ABS(P134-Components!$D$6))</f>
        <v/>
      </c>
      <c r="V134" s="67">
        <f>IF(G134="","",ABS(P134-Components!$D$7))</f>
        <v/>
      </c>
      <c r="W134" s="61">
        <f>IF(G134="","",IF(N134="OK","NONE",INDEX({"S1","S2","W1","W2","N1","N2"},MATCH(MIN(Q134:V134),Q134:V134,0))))</f>
        <v/>
      </c>
      <c r="X134" s="69">
        <f>IF(G134="","",IF(W134=E134,1,0))</f>
        <v/>
      </c>
      <c r="Y134" s="70" t="n"/>
    </row>
    <row r="135">
      <c r="A135" s="61" t="n">
        <v>33</v>
      </c>
      <c r="B135" s="62" t="n">
        <v>17</v>
      </c>
      <c r="C135" s="61" t="inlineStr">
        <is>
          <t>R4</t>
        </is>
      </c>
      <c r="D135" s="63" t="inlineStr">
        <is>
          <t>OK</t>
        </is>
      </c>
      <c r="E135" s="61" t="inlineStr">
        <is>
          <t>NONE</t>
        </is>
      </c>
      <c r="F135" s="61" t="inlineStr">
        <is>
          <t>K033</t>
        </is>
      </c>
      <c r="G135" s="75" t="n">
        <v>8.970000000000001</v>
      </c>
      <c r="H135" s="65" t="n"/>
      <c r="I135" s="66" t="n"/>
      <c r="J135" s="67">
        <f>VLOOKUP(C135,Recipes!$A$2:$N$4,10,FALSE())</f>
        <v/>
      </c>
      <c r="K135" s="68">
        <f>VLOOKUP(C135,Recipes!$A$2:$N$4,12,FALSE())</f>
        <v/>
      </c>
      <c r="L135" s="67">
        <f>J135-3.5*K135</f>
        <v/>
      </c>
      <c r="M135" s="67">
        <f>J135+3.5*K135</f>
        <v/>
      </c>
      <c r="N135" s="61">
        <f>IF(G135="","",IF(AND(G135&gt;=L135,G135&lt;=M135),"OK","NG"))</f>
        <v/>
      </c>
      <c r="O135" s="69">
        <f>IF(N135="","",IF(N135=D135,1,0))</f>
        <v/>
      </c>
      <c r="P135" s="67">
        <f>IF(G135="","",J135-G135)</f>
        <v/>
      </c>
      <c r="Q135" s="67">
        <f>IF(G135="","",ABS(P135-Components!$D$2))</f>
        <v/>
      </c>
      <c r="R135" s="67">
        <f>IF(G135="","",ABS(P135-Components!$D$3))</f>
        <v/>
      </c>
      <c r="S135" s="67">
        <f>IF(G135="","",ABS(P135-Components!$D$4))</f>
        <v/>
      </c>
      <c r="T135" s="67">
        <f>IF(G135="","",ABS(P135-Components!$D$5))</f>
        <v/>
      </c>
      <c r="U135" s="67">
        <f>IF(G135="","",ABS(P135-Components!$D$6))</f>
        <v/>
      </c>
      <c r="V135" s="67">
        <f>IF(G135="","",ABS(P135-Components!$D$7))</f>
        <v/>
      </c>
      <c r="W135" s="61">
        <f>IF(G135="","",IF(N135="OK","NONE",INDEX({"S1","S2","W1","W2","N1","N2"},MATCH(MIN(Q135:V135),Q135:V135,0))))</f>
        <v/>
      </c>
      <c r="X135" s="69">
        <f>IF(G135="","",IF(W135=E135,1,0))</f>
        <v/>
      </c>
      <c r="Y135" s="70" t="n"/>
    </row>
    <row r="136">
      <c r="A136" s="61" t="n">
        <v>34</v>
      </c>
      <c r="B136" s="62" t="n">
        <v>15</v>
      </c>
      <c r="C136" s="61" t="inlineStr">
        <is>
          <t>R4</t>
        </is>
      </c>
      <c r="D136" s="63" t="inlineStr">
        <is>
          <t>OK</t>
        </is>
      </c>
      <c r="E136" s="61" t="inlineStr">
        <is>
          <t>NONE</t>
        </is>
      </c>
      <c r="F136" s="61" t="inlineStr">
        <is>
          <t>K034</t>
        </is>
      </c>
      <c r="G136" s="75" t="n">
        <v>8.94</v>
      </c>
      <c r="H136" s="65" t="n"/>
      <c r="I136" s="66" t="n"/>
      <c r="J136" s="67">
        <f>VLOOKUP(C136,Recipes!$A$2:$N$4,10,FALSE())</f>
        <v/>
      </c>
      <c r="K136" s="68">
        <f>VLOOKUP(C136,Recipes!$A$2:$N$4,12,FALSE())</f>
        <v/>
      </c>
      <c r="L136" s="67">
        <f>J136-3.5*K136</f>
        <v/>
      </c>
      <c r="M136" s="67">
        <f>J136+3.5*K136</f>
        <v/>
      </c>
      <c r="N136" s="61">
        <f>IF(G136="","",IF(AND(G136&gt;=L136,G136&lt;=M136),"OK","NG"))</f>
        <v/>
      </c>
      <c r="O136" s="69">
        <f>IF(N136="","",IF(N136=D136,1,0))</f>
        <v/>
      </c>
      <c r="P136" s="67">
        <f>IF(G136="","",J136-G136)</f>
        <v/>
      </c>
      <c r="Q136" s="67">
        <f>IF(G136="","",ABS(P136-Components!$D$2))</f>
        <v/>
      </c>
      <c r="R136" s="67">
        <f>IF(G136="","",ABS(P136-Components!$D$3))</f>
        <v/>
      </c>
      <c r="S136" s="67">
        <f>IF(G136="","",ABS(P136-Components!$D$4))</f>
        <v/>
      </c>
      <c r="T136" s="67">
        <f>IF(G136="","",ABS(P136-Components!$D$5))</f>
        <v/>
      </c>
      <c r="U136" s="67">
        <f>IF(G136="","",ABS(P136-Components!$D$6))</f>
        <v/>
      </c>
      <c r="V136" s="67">
        <f>IF(G136="","",ABS(P136-Components!$D$7))</f>
        <v/>
      </c>
      <c r="W136" s="61">
        <f>IF(G136="","",IF(N136="OK","NONE",INDEX({"S1","S2","W1","W2","N1","N2"},MATCH(MIN(Q136:V136),Q136:V136,0))))</f>
        <v/>
      </c>
      <c r="X136" s="69">
        <f>IF(G136="","",IF(W136=E136,1,0))</f>
        <v/>
      </c>
      <c r="Y136" s="70" t="n"/>
    </row>
    <row r="137">
      <c r="A137" s="61" t="n">
        <v>35</v>
      </c>
      <c r="B137" s="62" t="n">
        <v>13</v>
      </c>
      <c r="C137" s="61" t="inlineStr">
        <is>
          <t>R4</t>
        </is>
      </c>
      <c r="D137" s="63" t="inlineStr">
        <is>
          <t>OK</t>
        </is>
      </c>
      <c r="E137" s="61" t="inlineStr">
        <is>
          <t>NONE</t>
        </is>
      </c>
      <c r="F137" s="61" t="inlineStr">
        <is>
          <t>K035</t>
        </is>
      </c>
      <c r="G137" s="75" t="n">
        <v>8.890000000000001</v>
      </c>
      <c r="H137" s="65" t="n"/>
      <c r="I137" s="66" t="n"/>
      <c r="J137" s="67">
        <f>VLOOKUP(C137,Recipes!$A$2:$N$4,10,FALSE())</f>
        <v/>
      </c>
      <c r="K137" s="68">
        <f>VLOOKUP(C137,Recipes!$A$2:$N$4,12,FALSE())</f>
        <v/>
      </c>
      <c r="L137" s="67">
        <f>J137-3.5*K137</f>
        <v/>
      </c>
      <c r="M137" s="67">
        <f>J137+3.5*K137</f>
        <v/>
      </c>
      <c r="N137" s="61">
        <f>IF(G137="","",IF(AND(G137&gt;=L137,G137&lt;=M137),"OK","NG"))</f>
        <v/>
      </c>
      <c r="O137" s="69">
        <f>IF(N137="","",IF(N137=D137,1,0))</f>
        <v/>
      </c>
      <c r="P137" s="67">
        <f>IF(G137="","",J137-G137)</f>
        <v/>
      </c>
      <c r="Q137" s="67">
        <f>IF(G137="","",ABS(P137-Components!$D$2))</f>
        <v/>
      </c>
      <c r="R137" s="67">
        <f>IF(G137="","",ABS(P137-Components!$D$3))</f>
        <v/>
      </c>
      <c r="S137" s="67">
        <f>IF(G137="","",ABS(P137-Components!$D$4))</f>
        <v/>
      </c>
      <c r="T137" s="67">
        <f>IF(G137="","",ABS(P137-Components!$D$5))</f>
        <v/>
      </c>
      <c r="U137" s="67">
        <f>IF(G137="","",ABS(P137-Components!$D$6))</f>
        <v/>
      </c>
      <c r="V137" s="67">
        <f>IF(G137="","",ABS(P137-Components!$D$7))</f>
        <v/>
      </c>
      <c r="W137" s="61">
        <f>IF(G137="","",IF(N137="OK","NONE",INDEX({"S1","S2","W1","W2","N1","N2"},MATCH(MIN(Q137:V137),Q137:V137,0))))</f>
        <v/>
      </c>
      <c r="X137" s="69">
        <f>IF(G137="","",IF(W137=E137,1,0))</f>
        <v/>
      </c>
      <c r="Y137" s="70" t="n"/>
    </row>
    <row r="138">
      <c r="A138" s="61" t="n">
        <v>36</v>
      </c>
      <c r="B138" s="62" t="n">
        <v>11</v>
      </c>
      <c r="C138" s="61" t="inlineStr">
        <is>
          <t>R4</t>
        </is>
      </c>
      <c r="D138" s="63" t="inlineStr">
        <is>
          <t>OK</t>
        </is>
      </c>
      <c r="E138" s="61" t="inlineStr">
        <is>
          <t>NONE</t>
        </is>
      </c>
      <c r="F138" s="61" t="inlineStr">
        <is>
          <t>K036</t>
        </is>
      </c>
      <c r="G138" s="75" t="n">
        <v>8.880000000000001</v>
      </c>
      <c r="H138" s="65" t="n"/>
      <c r="I138" s="66" t="n"/>
      <c r="J138" s="67">
        <f>VLOOKUP(C138,Recipes!$A$2:$N$4,10,FALSE())</f>
        <v/>
      </c>
      <c r="K138" s="68">
        <f>VLOOKUP(C138,Recipes!$A$2:$N$4,12,FALSE())</f>
        <v/>
      </c>
      <c r="L138" s="67">
        <f>J138-3.5*K138</f>
        <v/>
      </c>
      <c r="M138" s="67">
        <f>J138+3.5*K138</f>
        <v/>
      </c>
      <c r="N138" s="61">
        <f>IF(G138="","",IF(AND(G138&gt;=L138,G138&lt;=M138),"OK","NG"))</f>
        <v/>
      </c>
      <c r="O138" s="69">
        <f>IF(N138="","",IF(N138=D138,1,0))</f>
        <v/>
      </c>
      <c r="P138" s="67">
        <f>IF(G138="","",J138-G138)</f>
        <v/>
      </c>
      <c r="Q138" s="67">
        <f>IF(G138="","",ABS(P138-Components!$D$2))</f>
        <v/>
      </c>
      <c r="R138" s="67">
        <f>IF(G138="","",ABS(P138-Components!$D$3))</f>
        <v/>
      </c>
      <c r="S138" s="67">
        <f>IF(G138="","",ABS(P138-Components!$D$4))</f>
        <v/>
      </c>
      <c r="T138" s="67">
        <f>IF(G138="","",ABS(P138-Components!$D$5))</f>
        <v/>
      </c>
      <c r="U138" s="67">
        <f>IF(G138="","",ABS(P138-Components!$D$6))</f>
        <v/>
      </c>
      <c r="V138" s="67">
        <f>IF(G138="","",ABS(P138-Components!$D$7))</f>
        <v/>
      </c>
      <c r="W138" s="61">
        <f>IF(G138="","",IF(N138="OK","NONE",INDEX({"S1","S2","W1","W2","N1","N2"},MATCH(MIN(Q138:V138),Q138:V138,0))))</f>
        <v/>
      </c>
      <c r="X138" s="69">
        <f>IF(G138="","",IF(W138=E138,1,0))</f>
        <v/>
      </c>
      <c r="Y138" s="70" t="n"/>
    </row>
    <row r="139">
      <c r="A139" s="61" t="n">
        <v>37</v>
      </c>
      <c r="B139" s="62" t="n">
        <v>9</v>
      </c>
      <c r="C139" s="61" t="inlineStr">
        <is>
          <t>R4</t>
        </is>
      </c>
      <c r="D139" s="63" t="inlineStr">
        <is>
          <t>OK</t>
        </is>
      </c>
      <c r="E139" s="61" t="inlineStr">
        <is>
          <t>NONE</t>
        </is>
      </c>
      <c r="F139" s="61" t="inlineStr">
        <is>
          <t>K037</t>
        </is>
      </c>
      <c r="G139" s="75" t="n">
        <v>8.93</v>
      </c>
      <c r="H139" s="65" t="n"/>
      <c r="I139" s="66" t="n"/>
      <c r="J139" s="67">
        <f>VLOOKUP(C139,Recipes!$A$2:$N$4,10,FALSE())</f>
        <v/>
      </c>
      <c r="K139" s="68">
        <f>VLOOKUP(C139,Recipes!$A$2:$N$4,12,FALSE())</f>
        <v/>
      </c>
      <c r="L139" s="67">
        <f>J139-3.5*K139</f>
        <v/>
      </c>
      <c r="M139" s="67">
        <f>J139+3.5*K139</f>
        <v/>
      </c>
      <c r="N139" s="61">
        <f>IF(G139="","",IF(AND(G139&gt;=L139,G139&lt;=M139),"OK","NG"))</f>
        <v/>
      </c>
      <c r="O139" s="69">
        <f>IF(N139="","",IF(N139=D139,1,0))</f>
        <v/>
      </c>
      <c r="P139" s="67">
        <f>IF(G139="","",J139-G139)</f>
        <v/>
      </c>
      <c r="Q139" s="67">
        <f>IF(G139="","",ABS(P139-Components!$D$2))</f>
        <v/>
      </c>
      <c r="R139" s="67">
        <f>IF(G139="","",ABS(P139-Components!$D$3))</f>
        <v/>
      </c>
      <c r="S139" s="67">
        <f>IF(G139="","",ABS(P139-Components!$D$4))</f>
        <v/>
      </c>
      <c r="T139" s="67">
        <f>IF(G139="","",ABS(P139-Components!$D$5))</f>
        <v/>
      </c>
      <c r="U139" s="67">
        <f>IF(G139="","",ABS(P139-Components!$D$6))</f>
        <v/>
      </c>
      <c r="V139" s="67">
        <f>IF(G139="","",ABS(P139-Components!$D$7))</f>
        <v/>
      </c>
      <c r="W139" s="61">
        <f>IF(G139="","",IF(N139="OK","NONE",INDEX({"S1","S2","W1","W2","N1","N2"},MATCH(MIN(Q139:V139),Q139:V139,0))))</f>
        <v/>
      </c>
      <c r="X139" s="69">
        <f>IF(G139="","",IF(W139=E139,1,0))</f>
        <v/>
      </c>
      <c r="Y139" s="70" t="n"/>
    </row>
    <row r="140">
      <c r="A140" s="61" t="n">
        <v>38</v>
      </c>
      <c r="B140" s="62" t="n">
        <v>7</v>
      </c>
      <c r="C140" s="61" t="inlineStr">
        <is>
          <t>R4</t>
        </is>
      </c>
      <c r="D140" s="63" t="inlineStr">
        <is>
          <t>OK</t>
        </is>
      </c>
      <c r="E140" s="61" t="inlineStr">
        <is>
          <t>NONE</t>
        </is>
      </c>
      <c r="F140" s="61" t="inlineStr">
        <is>
          <t>K038</t>
        </is>
      </c>
      <c r="G140" s="75" t="n">
        <v>8.93</v>
      </c>
      <c r="H140" s="65" t="n"/>
      <c r="I140" s="66" t="n"/>
      <c r="J140" s="67">
        <f>VLOOKUP(C140,Recipes!$A$2:$N$4,10,FALSE())</f>
        <v/>
      </c>
      <c r="K140" s="68">
        <f>VLOOKUP(C140,Recipes!$A$2:$N$4,12,FALSE())</f>
        <v/>
      </c>
      <c r="L140" s="67">
        <f>J140-3.5*K140</f>
        <v/>
      </c>
      <c r="M140" s="67">
        <f>J140+3.5*K140</f>
        <v/>
      </c>
      <c r="N140" s="61">
        <f>IF(G140="","",IF(AND(G140&gt;=L140,G140&lt;=M140),"OK","NG"))</f>
        <v/>
      </c>
      <c r="O140" s="69">
        <f>IF(N140="","",IF(N140=D140,1,0))</f>
        <v/>
      </c>
      <c r="P140" s="67">
        <f>IF(G140="","",J140-G140)</f>
        <v/>
      </c>
      <c r="Q140" s="67">
        <f>IF(G140="","",ABS(P140-Components!$D$2))</f>
        <v/>
      </c>
      <c r="R140" s="67">
        <f>IF(G140="","",ABS(P140-Components!$D$3))</f>
        <v/>
      </c>
      <c r="S140" s="67">
        <f>IF(G140="","",ABS(P140-Components!$D$4))</f>
        <v/>
      </c>
      <c r="T140" s="67">
        <f>IF(G140="","",ABS(P140-Components!$D$5))</f>
        <v/>
      </c>
      <c r="U140" s="67">
        <f>IF(G140="","",ABS(P140-Components!$D$6))</f>
        <v/>
      </c>
      <c r="V140" s="67">
        <f>IF(G140="","",ABS(P140-Components!$D$7))</f>
        <v/>
      </c>
      <c r="W140" s="61">
        <f>IF(G140="","",IF(N140="OK","NONE",INDEX({"S1","S2","W1","W2","N1","N2"},MATCH(MIN(Q140:V140),Q140:V140,0))))</f>
        <v/>
      </c>
      <c r="X140" s="69">
        <f>IF(G140="","",IF(W140=E140,1,0))</f>
        <v/>
      </c>
      <c r="Y140" s="70" t="n"/>
    </row>
    <row r="141">
      <c r="A141" s="61" t="n">
        <v>39</v>
      </c>
      <c r="B141" s="62" t="n">
        <v>5</v>
      </c>
      <c r="C141" s="61" t="inlineStr">
        <is>
          <t>R4</t>
        </is>
      </c>
      <c r="D141" s="63" t="inlineStr">
        <is>
          <t>OK</t>
        </is>
      </c>
      <c r="E141" s="61" t="inlineStr">
        <is>
          <t>NONE</t>
        </is>
      </c>
      <c r="F141" s="61" t="inlineStr">
        <is>
          <t>K039</t>
        </is>
      </c>
      <c r="G141" s="75" t="n">
        <v>8.92</v>
      </c>
      <c r="H141" s="65" t="n"/>
      <c r="I141" s="66" t="n"/>
      <c r="J141" s="67">
        <f>VLOOKUP(C141,Recipes!$A$2:$N$4,10,FALSE())</f>
        <v/>
      </c>
      <c r="K141" s="68">
        <f>VLOOKUP(C141,Recipes!$A$2:$N$4,12,FALSE())</f>
        <v/>
      </c>
      <c r="L141" s="67">
        <f>J141-3.5*K141</f>
        <v/>
      </c>
      <c r="M141" s="67">
        <f>J141+3.5*K141</f>
        <v/>
      </c>
      <c r="N141" s="61">
        <f>IF(G141="","",IF(AND(G141&gt;=L141,G141&lt;=M141),"OK","NG"))</f>
        <v/>
      </c>
      <c r="O141" s="69">
        <f>IF(N141="","",IF(N141=D141,1,0))</f>
        <v/>
      </c>
      <c r="P141" s="67">
        <f>IF(G141="","",J141-G141)</f>
        <v/>
      </c>
      <c r="Q141" s="67">
        <f>IF(G141="","",ABS(P141-Components!$D$2))</f>
        <v/>
      </c>
      <c r="R141" s="67">
        <f>IF(G141="","",ABS(P141-Components!$D$3))</f>
        <v/>
      </c>
      <c r="S141" s="67">
        <f>IF(G141="","",ABS(P141-Components!$D$4))</f>
        <v/>
      </c>
      <c r="T141" s="67">
        <f>IF(G141="","",ABS(P141-Components!$D$5))</f>
        <v/>
      </c>
      <c r="U141" s="67">
        <f>IF(G141="","",ABS(P141-Components!$D$6))</f>
        <v/>
      </c>
      <c r="V141" s="67">
        <f>IF(G141="","",ABS(P141-Components!$D$7))</f>
        <v/>
      </c>
      <c r="W141" s="61">
        <f>IF(G141="","",IF(N141="OK","NONE",INDEX({"S1","S2","W1","W2","N1","N2"},MATCH(MIN(Q141:V141),Q141:V141,0))))</f>
        <v/>
      </c>
      <c r="X141" s="69">
        <f>IF(G141="","",IF(W141=E141,1,0))</f>
        <v/>
      </c>
      <c r="Y141" s="70" t="n"/>
    </row>
    <row r="142">
      <c r="A142" s="61" t="n">
        <v>40</v>
      </c>
      <c r="B142" s="62" t="n">
        <v>3</v>
      </c>
      <c r="C142" s="61" t="inlineStr">
        <is>
          <t>R4</t>
        </is>
      </c>
      <c r="D142" s="63" t="inlineStr">
        <is>
          <t>OK</t>
        </is>
      </c>
      <c r="E142" s="61" t="inlineStr">
        <is>
          <t>NONE</t>
        </is>
      </c>
      <c r="F142" s="61" t="inlineStr">
        <is>
          <t>K040</t>
        </is>
      </c>
      <c r="G142" s="75" t="n">
        <v>8.880000000000001</v>
      </c>
      <c r="H142" s="65" t="n"/>
      <c r="I142" s="66" t="n"/>
      <c r="J142" s="67">
        <f>VLOOKUP(C142,Recipes!$A$2:$N$4,10,FALSE())</f>
        <v/>
      </c>
      <c r="K142" s="68">
        <f>VLOOKUP(C142,Recipes!$A$2:$N$4,12,FALSE())</f>
        <v/>
      </c>
      <c r="L142" s="67">
        <f>J142-3.5*K142</f>
        <v/>
      </c>
      <c r="M142" s="67">
        <f>J142+3.5*K142</f>
        <v/>
      </c>
      <c r="N142" s="61">
        <f>IF(G142="","",IF(AND(G142&gt;=L142,G142&lt;=M142),"OK","NG"))</f>
        <v/>
      </c>
      <c r="O142" s="69">
        <f>IF(N142="","",IF(N142=D142,1,0))</f>
        <v/>
      </c>
      <c r="P142" s="67">
        <f>IF(G142="","",J142-G142)</f>
        <v/>
      </c>
      <c r="Q142" s="67">
        <f>IF(G142="","",ABS(P142-Components!$D$2))</f>
        <v/>
      </c>
      <c r="R142" s="67">
        <f>IF(G142="","",ABS(P142-Components!$D$3))</f>
        <v/>
      </c>
      <c r="S142" s="67">
        <f>IF(G142="","",ABS(P142-Components!$D$4))</f>
        <v/>
      </c>
      <c r="T142" s="67">
        <f>IF(G142="","",ABS(P142-Components!$D$5))</f>
        <v/>
      </c>
      <c r="U142" s="67">
        <f>IF(G142="","",ABS(P142-Components!$D$6))</f>
        <v/>
      </c>
      <c r="V142" s="67">
        <f>IF(G142="","",ABS(P142-Components!$D$7))</f>
        <v/>
      </c>
      <c r="W142" s="61">
        <f>IF(G142="","",IF(N142="OK","NONE",INDEX({"S1","S2","W1","W2","N1","N2"},MATCH(MIN(Q142:V142),Q142:V142,0))))</f>
        <v/>
      </c>
      <c r="X142" s="69">
        <f>IF(G142="","",IF(W142=E142,1,0))</f>
        <v/>
      </c>
      <c r="Y142" s="70" t="n"/>
    </row>
    <row r="143">
      <c r="A143" s="61" t="n">
        <v>41</v>
      </c>
      <c r="B143" s="62" t="n">
        <v>1</v>
      </c>
      <c r="C143" s="61" t="inlineStr">
        <is>
          <t>R4</t>
        </is>
      </c>
      <c r="D143" s="63" t="inlineStr">
        <is>
          <t>OK</t>
        </is>
      </c>
      <c r="E143" s="61" t="inlineStr">
        <is>
          <t>NONE</t>
        </is>
      </c>
      <c r="F143" s="61" t="inlineStr">
        <is>
          <t>K041</t>
        </is>
      </c>
      <c r="G143" s="75" t="n">
        <v>8.9</v>
      </c>
      <c r="H143" s="65" t="n"/>
      <c r="I143" s="66" t="n"/>
      <c r="J143" s="67">
        <f>VLOOKUP(C143,Recipes!$A$2:$N$4,10,FALSE())</f>
        <v/>
      </c>
      <c r="K143" s="68">
        <f>VLOOKUP(C143,Recipes!$A$2:$N$4,12,FALSE())</f>
        <v/>
      </c>
      <c r="L143" s="67">
        <f>J143-3.5*K143</f>
        <v/>
      </c>
      <c r="M143" s="67">
        <f>J143+3.5*K143</f>
        <v/>
      </c>
      <c r="N143" s="61">
        <f>IF(G143="","",IF(AND(G143&gt;=L143,G143&lt;=M143),"OK","NG"))</f>
        <v/>
      </c>
      <c r="O143" s="69">
        <f>IF(N143="","",IF(N143=D143,1,0))</f>
        <v/>
      </c>
      <c r="P143" s="67">
        <f>IF(G143="","",J143-G143)</f>
        <v/>
      </c>
      <c r="Q143" s="67">
        <f>IF(G143="","",ABS(P143-Components!$D$2))</f>
        <v/>
      </c>
      <c r="R143" s="67">
        <f>IF(G143="","",ABS(P143-Components!$D$3))</f>
        <v/>
      </c>
      <c r="S143" s="67">
        <f>IF(G143="","",ABS(P143-Components!$D$4))</f>
        <v/>
      </c>
      <c r="T143" s="67">
        <f>IF(G143="","",ABS(P143-Components!$D$5))</f>
        <v/>
      </c>
      <c r="U143" s="67">
        <f>IF(G143="","",ABS(P143-Components!$D$6))</f>
        <v/>
      </c>
      <c r="V143" s="67">
        <f>IF(G143="","",ABS(P143-Components!$D$7))</f>
        <v/>
      </c>
      <c r="W143" s="61">
        <f>IF(G143="","",IF(N143="OK","NONE",INDEX({"S1","S2","W1","W2","N1","N2"},MATCH(MIN(Q143:V143),Q143:V143,0))))</f>
        <v/>
      </c>
      <c r="X143" s="69">
        <f>IF(G143="","",IF(W143=E143,1,0))</f>
        <v/>
      </c>
      <c r="Y143" s="70" t="n"/>
    </row>
    <row r="144">
      <c r="A144" s="61" t="n">
        <v>42</v>
      </c>
      <c r="B144" s="62" t="n">
        <v>-1</v>
      </c>
      <c r="C144" s="61" t="inlineStr">
        <is>
          <t>R4</t>
        </is>
      </c>
      <c r="D144" s="63" t="inlineStr">
        <is>
          <t>OK</t>
        </is>
      </c>
      <c r="E144" s="61" t="inlineStr">
        <is>
          <t>NONE</t>
        </is>
      </c>
      <c r="F144" s="61" t="inlineStr">
        <is>
          <t>K042</t>
        </is>
      </c>
      <c r="G144" s="75" t="n">
        <v>8.869999999999999</v>
      </c>
      <c r="H144" s="65" t="n"/>
      <c r="I144" s="66" t="n"/>
      <c r="J144" s="67">
        <f>VLOOKUP(C144,Recipes!$A$2:$N$4,10,FALSE())</f>
        <v/>
      </c>
      <c r="K144" s="68">
        <f>VLOOKUP(C144,Recipes!$A$2:$N$4,12,FALSE())</f>
        <v/>
      </c>
      <c r="L144" s="67">
        <f>J144-3.5*K144</f>
        <v/>
      </c>
      <c r="M144" s="67">
        <f>J144+3.5*K144</f>
        <v/>
      </c>
      <c r="N144" s="61">
        <f>IF(G144="","",IF(AND(G144&gt;=L144,G144&lt;=M144),"OK","NG"))</f>
        <v/>
      </c>
      <c r="O144" s="69">
        <f>IF(N144="","",IF(N144=D144,1,0))</f>
        <v/>
      </c>
      <c r="P144" s="67">
        <f>IF(G144="","",J144-G144)</f>
        <v/>
      </c>
      <c r="Q144" s="67">
        <f>IF(G144="","",ABS(P144-Components!$D$2))</f>
        <v/>
      </c>
      <c r="R144" s="67">
        <f>IF(G144="","",ABS(P144-Components!$D$3))</f>
        <v/>
      </c>
      <c r="S144" s="67">
        <f>IF(G144="","",ABS(P144-Components!$D$4))</f>
        <v/>
      </c>
      <c r="T144" s="67">
        <f>IF(G144="","",ABS(P144-Components!$D$5))</f>
        <v/>
      </c>
      <c r="U144" s="67">
        <f>IF(G144="","",ABS(P144-Components!$D$6))</f>
        <v/>
      </c>
      <c r="V144" s="67">
        <f>IF(G144="","",ABS(P144-Components!$D$7))</f>
        <v/>
      </c>
      <c r="W144" s="61">
        <f>IF(G144="","",IF(N144="OK","NONE",INDEX({"S1","S2","W1","W2","N1","N2"},MATCH(MIN(Q144:V144),Q144:V144,0))))</f>
        <v/>
      </c>
      <c r="X144" s="69">
        <f>IF(G144="","",IF(W144=E144,1,0))</f>
        <v/>
      </c>
      <c r="Y144" s="70" t="n"/>
    </row>
    <row r="145">
      <c r="A145" s="61" t="n">
        <v>43</v>
      </c>
      <c r="B145" s="62" t="n">
        <v>-3</v>
      </c>
      <c r="C145" s="61" t="inlineStr">
        <is>
          <t>R4</t>
        </is>
      </c>
      <c r="D145" s="63" t="inlineStr">
        <is>
          <t>OK</t>
        </is>
      </c>
      <c r="E145" s="61" t="inlineStr">
        <is>
          <t>NONE</t>
        </is>
      </c>
      <c r="F145" s="61" t="inlineStr">
        <is>
          <t>K043</t>
        </is>
      </c>
      <c r="G145" s="75" t="n">
        <v>8.93</v>
      </c>
      <c r="H145" s="65" t="n"/>
      <c r="I145" s="66" t="n"/>
      <c r="J145" s="67">
        <f>VLOOKUP(C145,Recipes!$A$2:$N$4,10,FALSE())</f>
        <v/>
      </c>
      <c r="K145" s="68">
        <f>VLOOKUP(C145,Recipes!$A$2:$N$4,12,FALSE())</f>
        <v/>
      </c>
      <c r="L145" s="67">
        <f>J145-3.5*K145</f>
        <v/>
      </c>
      <c r="M145" s="67">
        <f>J145+3.5*K145</f>
        <v/>
      </c>
      <c r="N145" s="61">
        <f>IF(G145="","",IF(AND(G145&gt;=L145,G145&lt;=M145),"OK","NG"))</f>
        <v/>
      </c>
      <c r="O145" s="69">
        <f>IF(N145="","",IF(N145=D145,1,0))</f>
        <v/>
      </c>
      <c r="P145" s="67">
        <f>IF(G145="","",J145-G145)</f>
        <v/>
      </c>
      <c r="Q145" s="67">
        <f>IF(G145="","",ABS(P145-Components!$D$2))</f>
        <v/>
      </c>
      <c r="R145" s="67">
        <f>IF(G145="","",ABS(P145-Components!$D$3))</f>
        <v/>
      </c>
      <c r="S145" s="67">
        <f>IF(G145="","",ABS(P145-Components!$D$4))</f>
        <v/>
      </c>
      <c r="T145" s="67">
        <f>IF(G145="","",ABS(P145-Components!$D$5))</f>
        <v/>
      </c>
      <c r="U145" s="67">
        <f>IF(G145="","",ABS(P145-Components!$D$6))</f>
        <v/>
      </c>
      <c r="V145" s="67">
        <f>IF(G145="","",ABS(P145-Components!$D$7))</f>
        <v/>
      </c>
      <c r="W145" s="61">
        <f>IF(G145="","",IF(N145="OK","NONE",INDEX({"S1","S2","W1","W2","N1","N2"},MATCH(MIN(Q145:V145),Q145:V145,0))))</f>
        <v/>
      </c>
      <c r="X145" s="69">
        <f>IF(G145="","",IF(W145=E145,1,0))</f>
        <v/>
      </c>
      <c r="Y145" s="70" t="n"/>
    </row>
    <row r="146">
      <c r="A146" s="61" t="n">
        <v>44</v>
      </c>
      <c r="B146" s="62" t="n">
        <v>-5</v>
      </c>
      <c r="C146" s="61" t="inlineStr">
        <is>
          <t>R4</t>
        </is>
      </c>
      <c r="D146" s="63" t="inlineStr">
        <is>
          <t>OK</t>
        </is>
      </c>
      <c r="E146" s="61" t="inlineStr">
        <is>
          <t>NONE</t>
        </is>
      </c>
      <c r="F146" s="61" t="inlineStr">
        <is>
          <t>K044</t>
        </is>
      </c>
      <c r="G146" s="75" t="n">
        <v>8.94</v>
      </c>
      <c r="H146" s="65" t="n"/>
      <c r="I146" s="66" t="n"/>
      <c r="J146" s="67">
        <f>VLOOKUP(C146,Recipes!$A$2:$N$4,10,FALSE())</f>
        <v/>
      </c>
      <c r="K146" s="68">
        <f>VLOOKUP(C146,Recipes!$A$2:$N$4,12,FALSE())</f>
        <v/>
      </c>
      <c r="L146" s="67">
        <f>J146-3.5*K146</f>
        <v/>
      </c>
      <c r="M146" s="67">
        <f>J146+3.5*K146</f>
        <v/>
      </c>
      <c r="N146" s="61">
        <f>IF(G146="","",IF(AND(G146&gt;=L146,G146&lt;=M146),"OK","NG"))</f>
        <v/>
      </c>
      <c r="O146" s="69">
        <f>IF(N146="","",IF(N146=D146,1,0))</f>
        <v/>
      </c>
      <c r="P146" s="67">
        <f>IF(G146="","",J146-G146)</f>
        <v/>
      </c>
      <c r="Q146" s="67">
        <f>IF(G146="","",ABS(P146-Components!$D$2))</f>
        <v/>
      </c>
      <c r="R146" s="67">
        <f>IF(G146="","",ABS(P146-Components!$D$3))</f>
        <v/>
      </c>
      <c r="S146" s="67">
        <f>IF(G146="","",ABS(P146-Components!$D$4))</f>
        <v/>
      </c>
      <c r="T146" s="67">
        <f>IF(G146="","",ABS(P146-Components!$D$5))</f>
        <v/>
      </c>
      <c r="U146" s="67">
        <f>IF(G146="","",ABS(P146-Components!$D$6))</f>
        <v/>
      </c>
      <c r="V146" s="67">
        <f>IF(G146="","",ABS(P146-Components!$D$7))</f>
        <v/>
      </c>
      <c r="W146" s="61">
        <f>IF(G146="","",IF(N146="OK","NONE",INDEX({"S1","S2","W1","W2","N1","N2"},MATCH(MIN(Q146:V146),Q146:V146,0))))</f>
        <v/>
      </c>
      <c r="X146" s="69">
        <f>IF(G146="","",IF(W146=E146,1,0))</f>
        <v/>
      </c>
      <c r="Y146" s="70" t="n"/>
    </row>
    <row r="147">
      <c r="A147" s="61" t="n">
        <v>44</v>
      </c>
      <c r="B147" s="62" t="n">
        <v>-5</v>
      </c>
      <c r="C147" s="61" t="inlineStr">
        <is>
          <t>R4</t>
        </is>
      </c>
      <c r="D147" s="63" t="inlineStr">
        <is>
          <t>OK</t>
        </is>
      </c>
      <c r="E147" s="61" t="inlineStr">
        <is>
          <t>NONE</t>
        </is>
      </c>
      <c r="F147" s="61" t="inlineStr">
        <is>
          <t>K044</t>
        </is>
      </c>
      <c r="G147" s="75" t="n">
        <v>8.880000000000001</v>
      </c>
      <c r="H147" s="65" t="n"/>
      <c r="I147" s="66" t="n"/>
      <c r="J147" s="67">
        <f>VLOOKUP(C147,Recipes!$A$2:$N$4,10,FALSE())</f>
        <v/>
      </c>
      <c r="K147" s="68">
        <f>VLOOKUP(C147,Recipes!$A$2:$N$4,12,FALSE())</f>
        <v/>
      </c>
      <c r="L147" s="67">
        <f>J147-3.5*K147</f>
        <v/>
      </c>
      <c r="M147" s="67">
        <f>J147+3.5*K147</f>
        <v/>
      </c>
      <c r="N147" s="61">
        <f>IF(G147="","",IF(AND(G147&gt;=L147,G147&lt;=M147),"OK","NG"))</f>
        <v/>
      </c>
      <c r="O147" s="69">
        <f>IF(N147="","",IF(N147=D147,1,0))</f>
        <v/>
      </c>
      <c r="P147" s="67">
        <f>IF(G147="","",J147-G147)</f>
        <v/>
      </c>
      <c r="Q147" s="67">
        <f>IF(G147="","",ABS(P147-Components!$D$2))</f>
        <v/>
      </c>
      <c r="R147" s="67">
        <f>IF(G147="","",ABS(P147-Components!$D$3))</f>
        <v/>
      </c>
      <c r="S147" s="67">
        <f>IF(G147="","",ABS(P147-Components!$D$4))</f>
        <v/>
      </c>
      <c r="T147" s="67">
        <f>IF(G147="","",ABS(P147-Components!$D$5))</f>
        <v/>
      </c>
      <c r="U147" s="67">
        <f>IF(G147="","",ABS(P147-Components!$D$6))</f>
        <v/>
      </c>
      <c r="V147" s="67">
        <f>IF(G147="","",ABS(P147-Components!$D$7))</f>
        <v/>
      </c>
      <c r="W147" s="61">
        <f>IF(G147="","",IF(N147="OK","NONE",INDEX({"S1","S2","W1","W2","N1","N2"},MATCH(MIN(Q147:V147),Q147:V147,0))))</f>
        <v/>
      </c>
      <c r="X147" s="69">
        <f>IF(G147="","",IF(W147=E147,1,0))</f>
        <v/>
      </c>
      <c r="Y147" s="70" t="n"/>
    </row>
    <row r="148">
      <c r="A148" s="61" t="n">
        <v>44</v>
      </c>
      <c r="B148" s="62" t="n">
        <v>-5</v>
      </c>
      <c r="C148" s="61" t="inlineStr">
        <is>
          <t>R4</t>
        </is>
      </c>
      <c r="D148" s="63" t="inlineStr">
        <is>
          <t>OK</t>
        </is>
      </c>
      <c r="E148" s="61" t="inlineStr">
        <is>
          <t>NONE</t>
        </is>
      </c>
      <c r="F148" s="61" t="inlineStr">
        <is>
          <t>K044</t>
        </is>
      </c>
      <c r="G148" s="75" t="n">
        <v>8.890000000000001</v>
      </c>
      <c r="H148" s="65" t="n"/>
      <c r="I148" s="66" t="n"/>
      <c r="J148" s="67">
        <f>VLOOKUP(C148,Recipes!$A$2:$N$4,10,FALSE())</f>
        <v/>
      </c>
      <c r="K148" s="68">
        <f>VLOOKUP(C148,Recipes!$A$2:$N$4,12,FALSE())</f>
        <v/>
      </c>
      <c r="L148" s="67">
        <f>J148-3.5*K148</f>
        <v/>
      </c>
      <c r="M148" s="67">
        <f>J148+3.5*K148</f>
        <v/>
      </c>
      <c r="N148" s="61">
        <f>IF(G148="","",IF(AND(G148&gt;=L148,G148&lt;=M148),"OK","NG"))</f>
        <v/>
      </c>
      <c r="O148" s="69">
        <f>IF(N148="","",IF(N148=D148,1,0))</f>
        <v/>
      </c>
      <c r="P148" s="67">
        <f>IF(G148="","",J148-G148)</f>
        <v/>
      </c>
      <c r="Q148" s="67">
        <f>IF(G148="","",ABS(P148-Components!$D$2))</f>
        <v/>
      </c>
      <c r="R148" s="67">
        <f>IF(G148="","",ABS(P148-Components!$D$3))</f>
        <v/>
      </c>
      <c r="S148" s="67">
        <f>IF(G148="","",ABS(P148-Components!$D$4))</f>
        <v/>
      </c>
      <c r="T148" s="67">
        <f>IF(G148="","",ABS(P148-Components!$D$5))</f>
        <v/>
      </c>
      <c r="U148" s="67">
        <f>IF(G148="","",ABS(P148-Components!$D$6))</f>
        <v/>
      </c>
      <c r="V148" s="67">
        <f>IF(G148="","",ABS(P148-Components!$D$7))</f>
        <v/>
      </c>
      <c r="W148" s="61">
        <f>IF(G148="","",IF(N148="OK","NONE",INDEX({"S1","S2","W1","W2","N1","N2"},MATCH(MIN(Q148:V148),Q148:V148,0))))</f>
        <v/>
      </c>
      <c r="X148" s="69">
        <f>IF(G148="","",IF(W148=E148,1,0))</f>
        <v/>
      </c>
      <c r="Y148" s="70" t="n"/>
    </row>
    <row r="149">
      <c r="A149" s="61" t="n">
        <v>44</v>
      </c>
      <c r="B149" s="62" t="n">
        <v>-5</v>
      </c>
      <c r="C149" s="61" t="inlineStr">
        <is>
          <t>R4</t>
        </is>
      </c>
      <c r="D149" s="63" t="inlineStr">
        <is>
          <t>OK</t>
        </is>
      </c>
      <c r="E149" s="61" t="inlineStr">
        <is>
          <t>NONE</t>
        </is>
      </c>
      <c r="F149" s="61" t="inlineStr">
        <is>
          <t>K044</t>
        </is>
      </c>
      <c r="G149" s="75" t="n">
        <v>8.880000000000001</v>
      </c>
      <c r="H149" s="65" t="n"/>
      <c r="I149" s="66" t="n"/>
      <c r="J149" s="67">
        <f>VLOOKUP(C149,Recipes!$A$2:$N$4,10,FALSE())</f>
        <v/>
      </c>
      <c r="K149" s="68">
        <f>VLOOKUP(C149,Recipes!$A$2:$N$4,12,FALSE())</f>
        <v/>
      </c>
      <c r="L149" s="67">
        <f>J149-3.5*K149</f>
        <v/>
      </c>
      <c r="M149" s="67">
        <f>J149+3.5*K149</f>
        <v/>
      </c>
      <c r="N149" s="61">
        <f>IF(G149="","",IF(AND(G149&gt;=L149,G149&lt;=M149),"OK","NG"))</f>
        <v/>
      </c>
      <c r="O149" s="69">
        <f>IF(N149="","",IF(N149=D149,1,0))</f>
        <v/>
      </c>
      <c r="P149" s="67">
        <f>IF(G149="","",J149-G149)</f>
        <v/>
      </c>
      <c r="Q149" s="67">
        <f>IF(G149="","",ABS(P149-Components!$D$2))</f>
        <v/>
      </c>
      <c r="R149" s="67">
        <f>IF(G149="","",ABS(P149-Components!$D$3))</f>
        <v/>
      </c>
      <c r="S149" s="67">
        <f>IF(G149="","",ABS(P149-Components!$D$4))</f>
        <v/>
      </c>
      <c r="T149" s="67">
        <f>IF(G149="","",ABS(P149-Components!$D$5))</f>
        <v/>
      </c>
      <c r="U149" s="67">
        <f>IF(G149="","",ABS(P149-Components!$D$6))</f>
        <v/>
      </c>
      <c r="V149" s="67">
        <f>IF(G149="","",ABS(P149-Components!$D$7))</f>
        <v/>
      </c>
      <c r="W149" s="61">
        <f>IF(G149="","",IF(N149="OK","NONE",INDEX({"S1","S2","W1","W2","N1","N2"},MATCH(MIN(Q149:V149),Q149:V149,0))))</f>
        <v/>
      </c>
      <c r="X149" s="69">
        <f>IF(G149="","",IF(W149=E149,1,0))</f>
        <v/>
      </c>
      <c r="Y149" s="70" t="n"/>
    </row>
    <row r="150">
      <c r="A150" s="61" t="n">
        <v>44</v>
      </c>
      <c r="B150" s="62" t="n">
        <v>-5</v>
      </c>
      <c r="C150" s="61" t="inlineStr">
        <is>
          <t>R4</t>
        </is>
      </c>
      <c r="D150" s="63" t="inlineStr">
        <is>
          <t>OK</t>
        </is>
      </c>
      <c r="E150" s="61" t="inlineStr">
        <is>
          <t>NONE</t>
        </is>
      </c>
      <c r="F150" s="61" t="inlineStr">
        <is>
          <t>K044</t>
        </is>
      </c>
      <c r="G150" s="75" t="n">
        <v>8.710000000000001</v>
      </c>
      <c r="H150" s="65" t="n"/>
      <c r="I150" s="66" t="n"/>
      <c r="J150" s="67">
        <f>VLOOKUP(C150,Recipes!$A$2:$N$4,10,FALSE())</f>
        <v/>
      </c>
      <c r="K150" s="68">
        <f>VLOOKUP(C150,Recipes!$A$2:$N$4,12,FALSE())</f>
        <v/>
      </c>
      <c r="L150" s="67">
        <f>J150-3.5*K150</f>
        <v/>
      </c>
      <c r="M150" s="67">
        <f>J150+3.5*K150</f>
        <v/>
      </c>
      <c r="N150" s="61">
        <f>IF(G150="","",IF(AND(G150&gt;=L150,G150&lt;=M150),"OK","NG"))</f>
        <v/>
      </c>
      <c r="O150" s="69">
        <f>IF(N150="","",IF(N150=D150,1,0))</f>
        <v/>
      </c>
      <c r="P150" s="67">
        <f>IF(G150="","",J150-G150)</f>
        <v/>
      </c>
      <c r="Q150" s="67">
        <f>IF(G150="","",ABS(P150-Components!$D$2))</f>
        <v/>
      </c>
      <c r="R150" s="67">
        <f>IF(G150="","",ABS(P150-Components!$D$3))</f>
        <v/>
      </c>
      <c r="S150" s="67">
        <f>IF(G150="","",ABS(P150-Components!$D$4))</f>
        <v/>
      </c>
      <c r="T150" s="67">
        <f>IF(G150="","",ABS(P150-Components!$D$5))</f>
        <v/>
      </c>
      <c r="U150" s="67">
        <f>IF(G150="","",ABS(P150-Components!$D$6))</f>
        <v/>
      </c>
      <c r="V150" s="67">
        <f>IF(G150="","",ABS(P150-Components!$D$7))</f>
        <v/>
      </c>
      <c r="W150" s="61">
        <f>IF(G150="","",IF(N150="OK","NONE",INDEX({"S1","S2","W1","W2","N1","N2"},MATCH(MIN(Q150:V150),Q150:V150,0))))</f>
        <v/>
      </c>
      <c r="X150" s="71">
        <f>IF(G150="","",IF(W150=E150,1,0))</f>
        <v/>
      </c>
      <c r="Y150" s="70" t="n"/>
    </row>
    <row r="151">
      <c r="A151" s="61" t="n">
        <v>44</v>
      </c>
      <c r="B151" s="62" t="n">
        <v>-5</v>
      </c>
      <c r="C151" s="61" t="inlineStr">
        <is>
          <t>R4</t>
        </is>
      </c>
      <c r="D151" s="63" t="inlineStr">
        <is>
          <t>OK</t>
        </is>
      </c>
      <c r="E151" s="61" t="inlineStr">
        <is>
          <t>NONE</t>
        </is>
      </c>
      <c r="F151" s="61" t="inlineStr">
        <is>
          <t>K044</t>
        </is>
      </c>
      <c r="G151" s="75" t="n">
        <v>8.94</v>
      </c>
      <c r="H151" s="65" t="n"/>
      <c r="I151" s="66" t="n"/>
      <c r="J151" s="67">
        <f>VLOOKUP(C151,Recipes!$A$2:$N$4,10,FALSE())</f>
        <v/>
      </c>
      <c r="K151" s="68">
        <f>VLOOKUP(C151,Recipes!$A$2:$N$4,12,FALSE())</f>
        <v/>
      </c>
      <c r="L151" s="67">
        <f>J151-3.5*K151</f>
        <v/>
      </c>
      <c r="M151" s="67">
        <f>J151+3.5*K151</f>
        <v/>
      </c>
      <c r="N151" s="61">
        <f>IF(G151="","",IF(AND(G151&gt;=L151,G151&lt;=M151),"OK","NG"))</f>
        <v/>
      </c>
      <c r="O151" s="69">
        <f>IF(N151="","",IF(N151=D151,1,0))</f>
        <v/>
      </c>
      <c r="P151" s="67">
        <f>IF(G151="","",J151-G151)</f>
        <v/>
      </c>
      <c r="Q151" s="67">
        <f>IF(G151="","",ABS(P151-Components!$D$2))</f>
        <v/>
      </c>
      <c r="R151" s="67">
        <f>IF(G151="","",ABS(P151-Components!$D$3))</f>
        <v/>
      </c>
      <c r="S151" s="67">
        <f>IF(G151="","",ABS(P151-Components!$D$4))</f>
        <v/>
      </c>
      <c r="T151" s="67">
        <f>IF(G151="","",ABS(P151-Components!$D$5))</f>
        <v/>
      </c>
      <c r="U151" s="67">
        <f>IF(G151="","",ABS(P151-Components!$D$6))</f>
        <v/>
      </c>
      <c r="V151" s="67">
        <f>IF(G151="","",ABS(P151-Components!$D$7))</f>
        <v/>
      </c>
      <c r="W151" s="61">
        <f>IF(G151="","",IF(N151="OK","NONE",INDEX({"S1","S2","W1","W2","N1","N2"},MATCH(MIN(Q151:V151),Q151:V151,0))))</f>
        <v/>
      </c>
      <c r="X151" s="69">
        <f>IF(G151="","",IF(W151=E151,1,0))</f>
        <v/>
      </c>
      <c r="Y151" s="70" t="n"/>
    </row>
    <row r="152">
      <c r="A152" s="61" t="n">
        <v>45</v>
      </c>
      <c r="B152" s="62" t="n">
        <v>-7</v>
      </c>
      <c r="C152" s="61" t="inlineStr">
        <is>
          <t>R4</t>
        </is>
      </c>
      <c r="D152" s="63" t="inlineStr">
        <is>
          <t>OK</t>
        </is>
      </c>
      <c r="E152" s="61" t="inlineStr">
        <is>
          <t>NONE</t>
        </is>
      </c>
      <c r="F152" s="61" t="inlineStr">
        <is>
          <t>K045</t>
        </is>
      </c>
      <c r="G152" s="75" t="n">
        <v>8.970000000000001</v>
      </c>
      <c r="H152" s="65" t="n"/>
      <c r="I152" s="66" t="n"/>
      <c r="J152" s="67">
        <f>VLOOKUP(C152,Recipes!$A$2:$N$4,10,FALSE())</f>
        <v/>
      </c>
      <c r="K152" s="68">
        <f>VLOOKUP(C152,Recipes!$A$2:$N$4,12,FALSE())</f>
        <v/>
      </c>
      <c r="L152" s="67">
        <f>J152-3.5*K152</f>
        <v/>
      </c>
      <c r="M152" s="67">
        <f>J152+3.5*K152</f>
        <v/>
      </c>
      <c r="N152" s="61">
        <f>IF(G152="","",IF(AND(G152&gt;=L152,G152&lt;=M152),"OK","NG"))</f>
        <v/>
      </c>
      <c r="O152" s="69">
        <f>IF(N152="","",IF(N152=D152,1,0))</f>
        <v/>
      </c>
      <c r="P152" s="67">
        <f>IF(G152="","",J152-G152)</f>
        <v/>
      </c>
      <c r="Q152" s="67">
        <f>IF(G152="","",ABS(P152-Components!$D$2))</f>
        <v/>
      </c>
      <c r="R152" s="67">
        <f>IF(G152="","",ABS(P152-Components!$D$3))</f>
        <v/>
      </c>
      <c r="S152" s="67">
        <f>IF(G152="","",ABS(P152-Components!$D$4))</f>
        <v/>
      </c>
      <c r="T152" s="67">
        <f>IF(G152="","",ABS(P152-Components!$D$5))</f>
        <v/>
      </c>
      <c r="U152" s="67">
        <f>IF(G152="","",ABS(P152-Components!$D$6))</f>
        <v/>
      </c>
      <c r="V152" s="67">
        <f>IF(G152="","",ABS(P152-Components!$D$7))</f>
        <v/>
      </c>
      <c r="W152" s="61">
        <f>IF(G152="","",IF(N152="OK","NONE",INDEX({"S1","S2","W1","W2","N1","N2"},MATCH(MIN(Q152:V152),Q152:V152,0))))</f>
        <v/>
      </c>
      <c r="X152" s="69">
        <f>IF(G152="","",IF(W152=E152,1,0))</f>
        <v/>
      </c>
      <c r="Y152" s="70" t="n"/>
    </row>
    <row r="153">
      <c r="A153" s="61" t="n">
        <v>26</v>
      </c>
      <c r="B153" s="62" t="n">
        <v>25</v>
      </c>
      <c r="C153" s="61" t="inlineStr">
        <is>
          <t>R4</t>
        </is>
      </c>
      <c r="D153" s="74" t="inlineStr">
        <is>
          <t>NG</t>
        </is>
      </c>
      <c r="E153" s="61" t="inlineStr">
        <is>
          <t>S1</t>
        </is>
      </c>
      <c r="F153" s="61" t="inlineStr">
        <is>
          <t>K026</t>
        </is>
      </c>
      <c r="G153" s="64" t="n">
        <v>6.18</v>
      </c>
      <c r="H153" s="65" t="n"/>
      <c r="I153" s="66" t="n"/>
      <c r="J153" s="67">
        <f>VLOOKUP(C153,Recipes!$A$2:$N$4,10,FALSE())</f>
        <v/>
      </c>
      <c r="K153" s="68">
        <f>VLOOKUP(C153,Recipes!$A$2:$N$4,12,FALSE())</f>
        <v/>
      </c>
      <c r="L153" s="67">
        <f>J153-3.5*K153</f>
        <v/>
      </c>
      <c r="M153" s="67">
        <f>J153+3.5*K153</f>
        <v/>
      </c>
      <c r="N153" s="61">
        <f>IF(G153="","",IF(AND(G153&gt;=L153,G153&lt;=M153),"OK","NG"))</f>
        <v/>
      </c>
      <c r="O153" s="69">
        <f>IF(N153="","",IF(N153=D153,1,0))</f>
        <v/>
      </c>
      <c r="P153" s="67">
        <f>IF(G153="","",J153-G153)</f>
        <v/>
      </c>
      <c r="Q153" s="67">
        <f>IF(G153="","",ABS(P153-Components!$D$2))</f>
        <v/>
      </c>
      <c r="R153" s="67">
        <f>IF(G153="","",ABS(P153-Components!$D$3))</f>
        <v/>
      </c>
      <c r="S153" s="67">
        <f>IF(G153="","",ABS(P153-Components!$D$4))</f>
        <v/>
      </c>
      <c r="T153" s="67">
        <f>IF(G153="","",ABS(P153-Components!$D$5))</f>
        <v/>
      </c>
      <c r="U153" s="67">
        <f>IF(G153="","",ABS(P153-Components!$D$6))</f>
        <v/>
      </c>
      <c r="V153" s="67">
        <f>IF(G153="","",ABS(P153-Components!$D$7))</f>
        <v/>
      </c>
      <c r="W153" s="61">
        <f>IF(G153="","",IF(N153="OK","NONE",INDEX({"S1","S2","W1","W2","N1","N2"},MATCH(MIN(Q153:V153),Q153:V153,0))))</f>
        <v/>
      </c>
      <c r="X153" s="69">
        <f>IF(G153="","",IF(W153=E153,1,0))</f>
        <v/>
      </c>
      <c r="Y153" s="70" t="n"/>
    </row>
    <row r="154">
      <c r="A154" s="61" t="n">
        <v>27</v>
      </c>
      <c r="B154" s="62" t="n">
        <v>1</v>
      </c>
      <c r="C154" s="61" t="inlineStr">
        <is>
          <t>R4</t>
        </is>
      </c>
      <c r="D154" s="74" t="inlineStr">
        <is>
          <t>NG</t>
        </is>
      </c>
      <c r="E154" s="61" t="inlineStr">
        <is>
          <t>S1</t>
        </is>
      </c>
      <c r="F154" s="61" t="inlineStr">
        <is>
          <t>K027</t>
        </is>
      </c>
      <c r="G154" s="64" t="n">
        <v>6.18</v>
      </c>
      <c r="H154" s="65" t="n"/>
      <c r="I154" s="66" t="n"/>
      <c r="J154" s="67">
        <f>VLOOKUP(C154,Recipes!$A$2:$N$4,10,FALSE())</f>
        <v/>
      </c>
      <c r="K154" s="68">
        <f>VLOOKUP(C154,Recipes!$A$2:$N$4,12,FALSE())</f>
        <v/>
      </c>
      <c r="L154" s="67">
        <f>J154-3.5*K154</f>
        <v/>
      </c>
      <c r="M154" s="67">
        <f>J154+3.5*K154</f>
        <v/>
      </c>
      <c r="N154" s="61">
        <f>IF(G154="","",IF(AND(G154&gt;=L154,G154&lt;=M154),"OK","NG"))</f>
        <v/>
      </c>
      <c r="O154" s="69">
        <f>IF(N154="","",IF(N154=D154,1,0))</f>
        <v/>
      </c>
      <c r="P154" s="67">
        <f>IF(G154="","",J154-G154)</f>
        <v/>
      </c>
      <c r="Q154" s="67">
        <f>IF(G154="","",ABS(P154-Components!$D$2))</f>
        <v/>
      </c>
      <c r="R154" s="67">
        <f>IF(G154="","",ABS(P154-Components!$D$3))</f>
        <v/>
      </c>
      <c r="S154" s="67">
        <f>IF(G154="","",ABS(P154-Components!$D$4))</f>
        <v/>
      </c>
      <c r="T154" s="67">
        <f>IF(G154="","",ABS(P154-Components!$D$5))</f>
        <v/>
      </c>
      <c r="U154" s="67">
        <f>IF(G154="","",ABS(P154-Components!$D$6))</f>
        <v/>
      </c>
      <c r="V154" s="67">
        <f>IF(G154="","",ABS(P154-Components!$D$7))</f>
        <v/>
      </c>
      <c r="W154" s="61">
        <f>IF(G154="","",IF(N154="OK","NONE",INDEX({"S1","S2","W1","W2","N1","N2"},MATCH(MIN(Q154:V154),Q154:V154,0))))</f>
        <v/>
      </c>
      <c r="X154" s="69">
        <f>IF(G154="","",IF(W154=E154,1,0))</f>
        <v/>
      </c>
      <c r="Y154" s="70" t="n"/>
    </row>
    <row r="155">
      <c r="A155" s="61" t="n">
        <v>28</v>
      </c>
      <c r="B155" s="62" t="n">
        <v>26</v>
      </c>
      <c r="C155" s="61" t="inlineStr">
        <is>
          <t>R4</t>
        </is>
      </c>
      <c r="D155" s="74" t="inlineStr">
        <is>
          <t>NG</t>
        </is>
      </c>
      <c r="E155" s="61" t="inlineStr">
        <is>
          <t>S1</t>
        </is>
      </c>
      <c r="F155" s="61" t="inlineStr">
        <is>
          <t>K028</t>
        </is>
      </c>
      <c r="G155" s="64" t="n">
        <v>6.15</v>
      </c>
      <c r="H155" s="65" t="n"/>
      <c r="I155" s="66" t="n"/>
      <c r="J155" s="67">
        <f>VLOOKUP(C155,Recipes!$A$2:$N$4,10,FALSE())</f>
        <v/>
      </c>
      <c r="K155" s="68">
        <f>VLOOKUP(C155,Recipes!$A$2:$N$4,12,FALSE())</f>
        <v/>
      </c>
      <c r="L155" s="67">
        <f>J155-3.5*K155</f>
        <v/>
      </c>
      <c r="M155" s="67">
        <f>J155+3.5*K155</f>
        <v/>
      </c>
      <c r="N155" s="61">
        <f>IF(G155="","",IF(AND(G155&gt;=L155,G155&lt;=M155),"OK","NG"))</f>
        <v/>
      </c>
      <c r="O155" s="69">
        <f>IF(N155="","",IF(N155=D155,1,0))</f>
        <v/>
      </c>
      <c r="P155" s="67">
        <f>IF(G155="","",J155-G155)</f>
        <v/>
      </c>
      <c r="Q155" s="67">
        <f>IF(G155="","",ABS(P155-Components!$D$2))</f>
        <v/>
      </c>
      <c r="R155" s="67">
        <f>IF(G155="","",ABS(P155-Components!$D$3))</f>
        <v/>
      </c>
      <c r="S155" s="67">
        <f>IF(G155="","",ABS(P155-Components!$D$4))</f>
        <v/>
      </c>
      <c r="T155" s="67">
        <f>IF(G155="","",ABS(P155-Components!$D$5))</f>
        <v/>
      </c>
      <c r="U155" s="67">
        <f>IF(G155="","",ABS(P155-Components!$D$6))</f>
        <v/>
      </c>
      <c r="V155" s="67">
        <f>IF(G155="","",ABS(P155-Components!$D$7))</f>
        <v/>
      </c>
      <c r="W155" s="61">
        <f>IF(G155="","",IF(N155="OK","NONE",INDEX({"S1","S2","W1","W2","N1","N2"},MATCH(MIN(Q155:V155),Q155:V155,0))))</f>
        <v/>
      </c>
      <c r="X155" s="69">
        <f>IF(G155="","",IF(W155=E155,1,0))</f>
        <v/>
      </c>
      <c r="Y155" s="70" t="n"/>
    </row>
    <row r="156">
      <c r="A156" s="61" t="n">
        <v>29</v>
      </c>
      <c r="B156" s="62" t="n">
        <v>52</v>
      </c>
      <c r="C156" s="61" t="inlineStr">
        <is>
          <t>R4</t>
        </is>
      </c>
      <c r="D156" s="74" t="inlineStr">
        <is>
          <t>NG</t>
        </is>
      </c>
      <c r="E156" s="61" t="inlineStr">
        <is>
          <t>S1</t>
        </is>
      </c>
      <c r="F156" s="61" t="inlineStr">
        <is>
          <t>K029</t>
        </is>
      </c>
      <c r="G156" s="64" t="n">
        <v>6.12</v>
      </c>
      <c r="H156" s="65" t="n"/>
      <c r="I156" s="66" t="n"/>
      <c r="J156" s="67">
        <f>VLOOKUP(C156,Recipes!$A$2:$N$4,10,FALSE())</f>
        <v/>
      </c>
      <c r="K156" s="68">
        <f>VLOOKUP(C156,Recipes!$A$2:$N$4,12,FALSE())</f>
        <v/>
      </c>
      <c r="L156" s="67">
        <f>J156-3.5*K156</f>
        <v/>
      </c>
      <c r="M156" s="67">
        <f>J156+3.5*K156</f>
        <v/>
      </c>
      <c r="N156" s="61">
        <f>IF(G156="","",IF(AND(G156&gt;=L156,G156&lt;=M156),"OK","NG"))</f>
        <v/>
      </c>
      <c r="O156" s="69">
        <f>IF(N156="","",IF(N156=D156,1,0))</f>
        <v/>
      </c>
      <c r="P156" s="67">
        <f>IF(G156="","",J156-G156)</f>
        <v/>
      </c>
      <c r="Q156" s="67">
        <f>IF(G156="","",ABS(P156-Components!$D$2))</f>
        <v/>
      </c>
      <c r="R156" s="67">
        <f>IF(G156="","",ABS(P156-Components!$D$3))</f>
        <v/>
      </c>
      <c r="S156" s="67">
        <f>IF(G156="","",ABS(P156-Components!$D$4))</f>
        <v/>
      </c>
      <c r="T156" s="67">
        <f>IF(G156="","",ABS(P156-Components!$D$5))</f>
        <v/>
      </c>
      <c r="U156" s="67">
        <f>IF(G156="","",ABS(P156-Components!$D$6))</f>
        <v/>
      </c>
      <c r="V156" s="67">
        <f>IF(G156="","",ABS(P156-Components!$D$7))</f>
        <v/>
      </c>
      <c r="W156" s="61">
        <f>IF(G156="","",IF(N156="OK","NONE",INDEX({"S1","S2","W1","W2","N1","N2"},MATCH(MIN(Q156:V156),Q156:V156,0))))</f>
        <v/>
      </c>
      <c r="X156" s="69">
        <f>IF(G156="","",IF(W156=E156,1,0))</f>
        <v/>
      </c>
      <c r="Y156" s="70" t="n"/>
    </row>
    <row r="157">
      <c r="A157" s="76" t="n">
        <v>41</v>
      </c>
      <c r="B157" s="77" t="n">
        <v>7</v>
      </c>
      <c r="C157" s="76" t="inlineStr">
        <is>
          <t>R4</t>
        </is>
      </c>
      <c r="D157" s="78" t="inlineStr">
        <is>
          <t>NG</t>
        </is>
      </c>
      <c r="E157" s="76" t="inlineStr">
        <is>
          <t>S1</t>
        </is>
      </c>
      <c r="F157" s="76" t="inlineStr">
        <is>
          <t>K041</t>
        </is>
      </c>
      <c r="G157" s="75" t="n">
        <v>6.16</v>
      </c>
      <c r="H157" s="65" t="n"/>
      <c r="I157" s="66" t="n"/>
      <c r="J157" s="67">
        <f>VLOOKUP(C155,Recipes!$A$2:$N$4,10,FALSE())</f>
        <v/>
      </c>
      <c r="K157" s="68">
        <f>VLOOKUP(C157,Recipes!$A$2:$N$4,12,FALSE())</f>
        <v/>
      </c>
      <c r="L157" s="67">
        <f>J157-3.5*K157</f>
        <v/>
      </c>
      <c r="M157" s="67">
        <f>J157+3.5*K157</f>
        <v/>
      </c>
      <c r="N157" s="61">
        <f>IF(G157="","",IF(AND(G157&gt;=L157,G157&lt;=M157),"OK","NG"))</f>
        <v/>
      </c>
      <c r="O157" s="69">
        <f>IF(N157="","",IF(N157=D157,1,0))</f>
        <v/>
      </c>
      <c r="P157" s="67">
        <f>IF(G157="","",J157-G157)</f>
        <v/>
      </c>
      <c r="Q157" s="67">
        <f>IF(G157="","",ABS(P157-Components!$D$2))</f>
        <v/>
      </c>
      <c r="R157" s="67">
        <f>IF(G157="","",ABS(P157-Components!$D$3))</f>
        <v/>
      </c>
      <c r="S157" s="67">
        <f>IF(G157="","",ABS(P157-Components!$D$3))</f>
        <v/>
      </c>
      <c r="T157" s="67">
        <f>IF(G157="","",ABS(P157-Components!$D$5))</f>
        <v/>
      </c>
      <c r="U157" s="67">
        <f>IF(G157="","",ABS(P157-Components!$D$6))</f>
        <v/>
      </c>
      <c r="V157" s="67">
        <f>IF(G157="","",ABS(P157-Components!$D$7))</f>
        <v/>
      </c>
      <c r="W157" s="61">
        <f>IF(G157="","",IF(N157="OK","NONE",INDEX({"S1","S2","W1","W2","N1","N2"},MATCH(MIN(Q157:V157),Q157:V157,0))))</f>
        <v/>
      </c>
      <c r="X157" s="69">
        <f>IF(G157="","",IF(W157=E157,1,0))</f>
        <v/>
      </c>
      <c r="Y157" s="70" t="n"/>
    </row>
    <row r="158">
      <c r="A158" s="61" t="n">
        <v>39.8</v>
      </c>
      <c r="B158" s="62" t="n">
        <v>26.7</v>
      </c>
      <c r="C158" s="61" t="inlineStr">
        <is>
          <t>R4</t>
        </is>
      </c>
      <c r="D158" s="74" t="inlineStr">
        <is>
          <t>NG</t>
        </is>
      </c>
      <c r="E158" s="61" t="inlineStr">
        <is>
          <t>S1</t>
        </is>
      </c>
      <c r="F158" s="61" t="inlineStr">
        <is>
          <t>K026</t>
        </is>
      </c>
      <c r="G158" s="75" t="n">
        <v>6.19</v>
      </c>
      <c r="H158" s="65" t="n"/>
      <c r="I158" s="66" t="n"/>
      <c r="J158" s="67">
        <f>VLOOKUP(C158,Recipes!$A$2:$N$4,10,FALSE())</f>
        <v/>
      </c>
      <c r="K158" s="68">
        <f>VLOOKUP(C158,Recipes!$A$2:$N$4,12,FALSE())</f>
        <v/>
      </c>
      <c r="L158" s="67">
        <f>J158-3.5*K158</f>
        <v/>
      </c>
      <c r="M158" s="67">
        <f>J158+3.5*K158</f>
        <v/>
      </c>
      <c r="N158" s="61">
        <f>IF(G158="","",IF(AND(G158&gt;=L158,G158&lt;=M158),"OK","NG"))</f>
        <v/>
      </c>
      <c r="O158" s="69">
        <f>IF(N158="","",IF(N158=D158,1,0))</f>
        <v/>
      </c>
      <c r="P158" s="67">
        <f>IF(G158="","",J158-G158)</f>
        <v/>
      </c>
      <c r="Q158" s="67">
        <f>IF(G158="","",ABS(P158-Components!$D$2))</f>
        <v/>
      </c>
      <c r="R158" s="67">
        <f>IF(G158="","",ABS(P158-Components!$D$3))</f>
        <v/>
      </c>
      <c r="S158" s="67">
        <f>IF(G158="","",ABS(P158-Components!$D$4))</f>
        <v/>
      </c>
      <c r="T158" s="67">
        <f>IF(G158="","",ABS(P158-Components!$D$5))</f>
        <v/>
      </c>
      <c r="U158" s="67">
        <f>IF(G158="","",ABS(P158-Components!$D$6))</f>
        <v/>
      </c>
      <c r="V158" s="67">
        <f>IF(G158="","",ABS(P158-Components!$D$7))</f>
        <v/>
      </c>
      <c r="W158" s="61">
        <f>IF(G158="","",IF(N158="OK","NONE",INDEX({"S1","S2","W1","W2","N1","N2"},MATCH(MIN(Q158:V158),Q158:V158,0))))</f>
        <v/>
      </c>
      <c r="X158" s="69">
        <f>IF(G158="","",IF(W158=E158,1,0))</f>
        <v/>
      </c>
      <c r="Y158" s="70" t="n"/>
    </row>
    <row r="159">
      <c r="A159" s="61" t="n">
        <v>43</v>
      </c>
      <c r="B159" s="62" t="n">
        <v>28.2</v>
      </c>
      <c r="C159" s="61" t="inlineStr">
        <is>
          <t>R4</t>
        </is>
      </c>
      <c r="D159" s="74" t="inlineStr">
        <is>
          <t>NG</t>
        </is>
      </c>
      <c r="E159" s="61" t="inlineStr">
        <is>
          <t>S1</t>
        </is>
      </c>
      <c r="F159" s="61" t="inlineStr">
        <is>
          <t>K027</t>
        </is>
      </c>
      <c r="G159" s="75" t="n">
        <v>6.18</v>
      </c>
      <c r="H159" s="65" t="n"/>
      <c r="I159" s="66" t="n"/>
      <c r="J159" s="67">
        <f>VLOOKUP(C159,Recipes!$A$2:$N$4,10,FALSE())</f>
        <v/>
      </c>
      <c r="K159" s="68">
        <f>VLOOKUP(C159,Recipes!$A$2:$N$4,12,FALSE())</f>
        <v/>
      </c>
      <c r="L159" s="67">
        <f>J159-3.5*K159</f>
        <v/>
      </c>
      <c r="M159" s="67">
        <f>J159+3.5*K159</f>
        <v/>
      </c>
      <c r="N159" s="61">
        <f>IF(G159="","",IF(AND(G159&gt;=L159,G159&lt;=M159),"OK","NG"))</f>
        <v/>
      </c>
      <c r="O159" s="69">
        <f>IF(N159="","",IF(N159=D159,1,0))</f>
        <v/>
      </c>
      <c r="P159" s="67">
        <f>IF(G159="","",J159-G159)</f>
        <v/>
      </c>
      <c r="Q159" s="67">
        <f>IF(G159="","",ABS(P159-Components!$D$2))</f>
        <v/>
      </c>
      <c r="R159" s="67">
        <f>IF(G159="","",ABS(P159-Components!$D$3))</f>
        <v/>
      </c>
      <c r="S159" s="67">
        <f>IF(G159="","",ABS(P159-Components!$D$4))</f>
        <v/>
      </c>
      <c r="T159" s="67">
        <f>IF(G159="","",ABS(P159-Components!$D$5))</f>
        <v/>
      </c>
      <c r="U159" s="67">
        <f>IF(G159="","",ABS(P159-Components!$D$6))</f>
        <v/>
      </c>
      <c r="V159" s="67">
        <f>IF(G159="","",ABS(P159-Components!$D$7))</f>
        <v/>
      </c>
      <c r="W159" s="61">
        <f>IF(G159="","",IF(N159="OK","NONE",INDEX({"S1","S2","W1","W2","N1","N2"},MATCH(MIN(Q159:V159),Q159:V159,0))))</f>
        <v/>
      </c>
      <c r="X159" s="69">
        <f>IF(G159="","",IF(W159=E159,1,0))</f>
        <v/>
      </c>
      <c r="Y159" s="70" t="n"/>
    </row>
    <row r="160">
      <c r="A160" s="61" t="n">
        <v>46.2</v>
      </c>
      <c r="B160" s="62" t="n">
        <v>29.7</v>
      </c>
      <c r="C160" s="61" t="inlineStr">
        <is>
          <t>R4</t>
        </is>
      </c>
      <c r="D160" s="74" t="inlineStr">
        <is>
          <t>NG</t>
        </is>
      </c>
      <c r="E160" s="61" t="inlineStr">
        <is>
          <t>S1</t>
        </is>
      </c>
      <c r="F160" s="61" t="inlineStr">
        <is>
          <t>K028</t>
        </is>
      </c>
      <c r="G160" s="75" t="n">
        <v>6.13</v>
      </c>
      <c r="H160" s="65" t="n"/>
      <c r="I160" s="66" t="n"/>
      <c r="J160" s="67">
        <f>VLOOKUP(C160,Recipes!$A$2:$N$4,10,FALSE())</f>
        <v/>
      </c>
      <c r="K160" s="68">
        <f>VLOOKUP(C160,Recipes!$A$2:$N$4,12,FALSE())</f>
        <v/>
      </c>
      <c r="L160" s="67">
        <f>J160-3.5*K160</f>
        <v/>
      </c>
      <c r="M160" s="67">
        <f>J160+3.5*K160</f>
        <v/>
      </c>
      <c r="N160" s="61">
        <f>IF(G160="","",IF(AND(G160&gt;=L160,G160&lt;=M160),"OK","NG"))</f>
        <v/>
      </c>
      <c r="O160" s="69">
        <f>IF(N160="","",IF(N160=D160,1,0))</f>
        <v/>
      </c>
      <c r="P160" s="67">
        <f>IF(G160="","",J160-G160)</f>
        <v/>
      </c>
      <c r="Q160" s="67">
        <f>IF(G160="","",ABS(P160-Components!$D$2))</f>
        <v/>
      </c>
      <c r="R160" s="67">
        <f>IF(G160="","",ABS(P160-Components!$D$3))</f>
        <v/>
      </c>
      <c r="S160" s="67">
        <f>IF(G160="","",ABS(P160-Components!$D$4))</f>
        <v/>
      </c>
      <c r="T160" s="67">
        <f>IF(G160="","",ABS(P160-Components!$D$5))</f>
        <v/>
      </c>
      <c r="U160" s="67">
        <f>IF(G160="","",ABS(P160-Components!$D$6))</f>
        <v/>
      </c>
      <c r="V160" s="67">
        <f>IF(G160="","",ABS(P160-Components!$D$7))</f>
        <v/>
      </c>
      <c r="W160" s="61">
        <f>IF(G160="","",IF(N160="OK","NONE",INDEX({"S1","S2","W1","W2","N1","N2"},MATCH(MIN(Q160:V160),Q160:V160,0))))</f>
        <v/>
      </c>
      <c r="X160" s="69">
        <f>IF(G160="","",IF(W160=E160,1,0))</f>
        <v/>
      </c>
      <c r="Y160" s="70" t="n"/>
    </row>
    <row r="161">
      <c r="A161" s="61" t="n">
        <v>49.4</v>
      </c>
      <c r="B161" s="62" t="n">
        <v>31.2</v>
      </c>
      <c r="C161" s="61" t="inlineStr">
        <is>
          <t>R4</t>
        </is>
      </c>
      <c r="D161" s="74" t="inlineStr">
        <is>
          <t>NG</t>
        </is>
      </c>
      <c r="E161" s="61" t="inlineStr">
        <is>
          <t>S1</t>
        </is>
      </c>
      <c r="F161" s="61" t="inlineStr">
        <is>
          <t>K029</t>
        </is>
      </c>
      <c r="G161" s="75" t="n">
        <v>6.22</v>
      </c>
      <c r="H161" s="65" t="n"/>
      <c r="I161" s="66" t="n"/>
      <c r="J161" s="67">
        <f>VLOOKUP(C161,Recipes!$A$2:$N$4,10,FALSE())</f>
        <v/>
      </c>
      <c r="K161" s="68">
        <f>VLOOKUP(C161,Recipes!$A$2:$N$4,12,FALSE())</f>
        <v/>
      </c>
      <c r="L161" s="67">
        <f>J161-3.5*K161</f>
        <v/>
      </c>
      <c r="M161" s="67">
        <f>J161+3.5*K161</f>
        <v/>
      </c>
      <c r="N161" s="61">
        <f>IF(G161="","",IF(AND(G161&gt;=L161,G161&lt;=M161),"OK","NG"))</f>
        <v/>
      </c>
      <c r="O161" s="69">
        <f>IF(N161="","",IF(N161=D161,1,0))</f>
        <v/>
      </c>
      <c r="P161" s="67">
        <f>IF(G161="","",J161-G161)</f>
        <v/>
      </c>
      <c r="Q161" s="67">
        <f>IF(G161="","",ABS(P161-Components!$D$2))</f>
        <v/>
      </c>
      <c r="R161" s="67">
        <f>IF(G161="","",ABS(P161-Components!$D$3))</f>
        <v/>
      </c>
      <c r="S161" s="67">
        <f>IF(G161="","",ABS(P161-Components!$D$4))</f>
        <v/>
      </c>
      <c r="T161" s="67">
        <f>IF(G161="","",ABS(P161-Components!$D$5))</f>
        <v/>
      </c>
      <c r="U161" s="67">
        <f>IF(G161="","",ABS(P161-Components!$D$6))</f>
        <v/>
      </c>
      <c r="V161" s="67">
        <f>IF(G161="","",ABS(P161-Components!$D$7))</f>
        <v/>
      </c>
      <c r="W161" s="61">
        <f>IF(G161="","",IF(N161="OK","NONE",INDEX({"S1","S2","W1","W2","N1","N2"},MATCH(MIN(Q161:V161),Q161:V161,0))))</f>
        <v/>
      </c>
      <c r="X161" s="69">
        <f>IF(G161="","",IF(W161=E161,1,0))</f>
        <v/>
      </c>
      <c r="Y161" s="70" t="n"/>
    </row>
    <row r="162">
      <c r="A162" s="76" t="n">
        <v>52.6</v>
      </c>
      <c r="B162" s="77" t="n">
        <v>32.7</v>
      </c>
      <c r="C162" s="76" t="inlineStr">
        <is>
          <t>R4</t>
        </is>
      </c>
      <c r="D162" s="78" t="inlineStr">
        <is>
          <t>NG</t>
        </is>
      </c>
      <c r="E162" s="76" t="inlineStr">
        <is>
          <t>S1</t>
        </is>
      </c>
      <c r="F162" s="76" t="inlineStr">
        <is>
          <t>K041</t>
        </is>
      </c>
      <c r="G162" s="75" t="n">
        <v>6.17</v>
      </c>
      <c r="H162" s="65" t="n"/>
      <c r="I162" s="66" t="n"/>
      <c r="J162" s="67">
        <f>VLOOKUP(C162,Recipes!$A$2:$N$4,10,FALSE())</f>
        <v/>
      </c>
      <c r="K162" s="68">
        <f>VLOOKUP(C162,Recipes!$A$2:$N$4,12,FALSE())</f>
        <v/>
      </c>
      <c r="L162" s="67">
        <f>J162-3.5*K162</f>
        <v/>
      </c>
      <c r="M162" s="67">
        <f>J162+3.5*K162</f>
        <v/>
      </c>
      <c r="N162" s="61">
        <f>IF(G162="","",IF(AND(G162&gt;=L162,G162&lt;=M162),"OK","NG"))</f>
        <v/>
      </c>
      <c r="O162" s="69">
        <f>IF(N162="","",IF(N162=D162,1,0))</f>
        <v/>
      </c>
      <c r="P162" s="67">
        <f>IF(G162="","",J162-G162)</f>
        <v/>
      </c>
      <c r="Q162" s="67">
        <f>IF(G162="","",ABS(P162-Components!$D$2))</f>
        <v/>
      </c>
      <c r="R162" s="67">
        <f>IF(G162="","",ABS(P162-Components!$D$3))</f>
        <v/>
      </c>
      <c r="S162" s="67">
        <f>IF(G162="","",ABS(P162-Components!$D$4))</f>
        <v/>
      </c>
      <c r="T162" s="67">
        <f>IF(G162="","",ABS(P162-Components!$D$5))</f>
        <v/>
      </c>
      <c r="U162" s="67">
        <f>IF(G162="","",ABS(P162-Components!$D$6))</f>
        <v/>
      </c>
      <c r="V162" s="67">
        <f>IF(G162="","",ABS(P162-Components!$D$7))</f>
        <v/>
      </c>
      <c r="W162" s="61">
        <f>IF(G162="","",IF(N162="OK","NONE",INDEX({"S1","S2","W1","W2","N1","N2"},MATCH(MIN(Q162:V162),Q162:V162,0))))</f>
        <v/>
      </c>
      <c r="X162" s="69">
        <f>IF(G162="","",IF(W162=E162,1,0))</f>
        <v/>
      </c>
      <c r="Y162" s="70" t="n"/>
    </row>
    <row r="163">
      <c r="A163" s="61" t="n">
        <v>55.8</v>
      </c>
      <c r="B163" s="62" t="n">
        <v>34.2</v>
      </c>
      <c r="C163" s="61" t="inlineStr">
        <is>
          <t>R4</t>
        </is>
      </c>
      <c r="D163" s="74" t="inlineStr">
        <is>
          <t>NG</t>
        </is>
      </c>
      <c r="E163" s="61" t="inlineStr">
        <is>
          <t>S1</t>
        </is>
      </c>
      <c r="F163" s="61" t="inlineStr">
        <is>
          <t>K026</t>
        </is>
      </c>
      <c r="G163" s="75" t="n">
        <v>6.16</v>
      </c>
      <c r="H163" s="65" t="n"/>
      <c r="I163" s="66" t="n"/>
      <c r="J163" s="67">
        <f>VLOOKUP(C163,Recipes!$A$2:$N$4,10,FALSE())</f>
        <v/>
      </c>
      <c r="K163" s="68">
        <f>VLOOKUP(C163,Recipes!$A$2:$N$4,12,FALSE())</f>
        <v/>
      </c>
      <c r="L163" s="67">
        <f>J163-3.5*K163</f>
        <v/>
      </c>
      <c r="M163" s="67">
        <f>J163+3.5*K163</f>
        <v/>
      </c>
      <c r="N163" s="61">
        <f>IF(G163="","",IF(AND(G163&gt;=L163,G163&lt;=M163),"OK","NG"))</f>
        <v/>
      </c>
      <c r="O163" s="69">
        <f>IF(N163="","",IF(N163=D163,1,0))</f>
        <v/>
      </c>
      <c r="P163" s="67">
        <f>IF(G163="","",J163-G163)</f>
        <v/>
      </c>
      <c r="Q163" s="67">
        <f>IF(G163="","",ABS(P163-Components!$D$2))</f>
        <v/>
      </c>
      <c r="R163" s="67">
        <f>IF(G163="","",ABS(P163-Components!$D$3))</f>
        <v/>
      </c>
      <c r="S163" s="67">
        <f>IF(G163="","",ABS(P163-Components!$D$4))</f>
        <v/>
      </c>
      <c r="T163" s="67">
        <f>IF(G163="","",ABS(P163-Components!$D$5))</f>
        <v/>
      </c>
      <c r="U163" s="67">
        <f>IF(G163="","",ABS(P163-Components!$D$6))</f>
        <v/>
      </c>
      <c r="V163" s="67">
        <f>IF(G163="","",ABS(P163-Components!$D$7))</f>
        <v/>
      </c>
      <c r="W163" s="61">
        <f>IF(G163="","",IF(N163="OK","NONE",INDEX({"S1","S2","W1","W2","N1","N2"},MATCH(MIN(Q163:V163),Q163:V163,0))))</f>
        <v/>
      </c>
      <c r="X163" s="69">
        <f>IF(G163="","",IF(W163=E163,1,0))</f>
        <v/>
      </c>
      <c r="Y163" s="70" t="n"/>
    </row>
    <row r="164">
      <c r="A164" s="61" t="n">
        <v>59</v>
      </c>
      <c r="B164" s="62" t="n">
        <v>35.7</v>
      </c>
      <c r="C164" s="61" t="inlineStr">
        <is>
          <t>R4</t>
        </is>
      </c>
      <c r="D164" s="74" t="inlineStr">
        <is>
          <t>NG</t>
        </is>
      </c>
      <c r="E164" s="61" t="inlineStr">
        <is>
          <t>S1</t>
        </is>
      </c>
      <c r="F164" s="61" t="inlineStr">
        <is>
          <t>K027</t>
        </is>
      </c>
      <c r="G164" s="75" t="n">
        <v>6.17</v>
      </c>
      <c r="H164" s="65" t="n"/>
      <c r="I164" s="66" t="n"/>
      <c r="J164" s="67">
        <f>VLOOKUP(C164,Recipes!$A$2:$N$4,10,FALSE())</f>
        <v/>
      </c>
      <c r="K164" s="68">
        <f>VLOOKUP(C164,Recipes!$A$2:$N$4,12,FALSE())</f>
        <v/>
      </c>
      <c r="L164" s="67">
        <f>J164-3.5*K164</f>
        <v/>
      </c>
      <c r="M164" s="67">
        <f>J164+3.5*K164</f>
        <v/>
      </c>
      <c r="N164" s="61">
        <f>IF(G164="","",IF(AND(G164&gt;=L164,G164&lt;=M164),"OK","NG"))</f>
        <v/>
      </c>
      <c r="O164" s="69">
        <f>IF(N164="","",IF(N164=D164,1,0))</f>
        <v/>
      </c>
      <c r="P164" s="67">
        <f>IF(G164="","",J164-G164)</f>
        <v/>
      </c>
      <c r="Q164" s="67">
        <f>IF(G164="","",ABS(P164-Components!$D$2))</f>
        <v/>
      </c>
      <c r="R164" s="67">
        <f>IF(G164="","",ABS(P164-Components!$D$3))</f>
        <v/>
      </c>
      <c r="S164" s="67">
        <f>IF(G164="","",ABS(P164-Components!$D$4))</f>
        <v/>
      </c>
      <c r="T164" s="67">
        <f>IF(G164="","",ABS(P164-Components!$D$5))</f>
        <v/>
      </c>
      <c r="U164" s="67">
        <f>IF(G164="","",ABS(P164-Components!$D$6))</f>
        <v/>
      </c>
      <c r="V164" s="67">
        <f>IF(G164="","",ABS(P164-Components!$D$7))</f>
        <v/>
      </c>
      <c r="W164" s="61">
        <f>IF(G164="","",IF(N164="OK","NONE",INDEX({"S1","S2","W1","W2","N1","N2"},MATCH(MIN(Q164:V164),Q164:V164,0))))</f>
        <v/>
      </c>
      <c r="X164" s="69">
        <f>IF(G164="","",IF(W164=E164,1,0))</f>
        <v/>
      </c>
      <c r="Y164" s="70" t="n"/>
    </row>
    <row r="165">
      <c r="A165" s="61" t="n">
        <v>62.2</v>
      </c>
      <c r="B165" s="62" t="n">
        <v>37.2</v>
      </c>
      <c r="C165" s="61" t="inlineStr">
        <is>
          <t>R4</t>
        </is>
      </c>
      <c r="D165" s="74" t="inlineStr">
        <is>
          <t>NG</t>
        </is>
      </c>
      <c r="E165" s="61" t="inlineStr">
        <is>
          <t>S1</t>
        </is>
      </c>
      <c r="F165" s="61" t="inlineStr">
        <is>
          <t>K028</t>
        </is>
      </c>
      <c r="G165" s="75" t="n">
        <v>6.14</v>
      </c>
      <c r="H165" s="65" t="n"/>
      <c r="I165" s="66" t="n"/>
      <c r="J165" s="67">
        <f>VLOOKUP(C165,Recipes!$A$2:$N$4,10,FALSE())</f>
        <v/>
      </c>
      <c r="K165" s="68">
        <f>VLOOKUP(C165,Recipes!$A$2:$N$4,12,FALSE())</f>
        <v/>
      </c>
      <c r="L165" s="67">
        <f>J165-3.5*K165</f>
        <v/>
      </c>
      <c r="M165" s="67">
        <f>J165+3.5*K165</f>
        <v/>
      </c>
      <c r="N165" s="61">
        <f>IF(G165="","",IF(AND(G165&gt;=L165,G165&lt;=M165),"OK","NG"))</f>
        <v/>
      </c>
      <c r="O165" s="69">
        <f>IF(N165="","",IF(N165=D165,1,0))</f>
        <v/>
      </c>
      <c r="P165" s="67">
        <f>IF(G165="","",J165-G165)</f>
        <v/>
      </c>
      <c r="Q165" s="67">
        <f>IF(G165="","",ABS(P165-Components!$D$2))</f>
        <v/>
      </c>
      <c r="R165" s="67">
        <f>IF(G165="","",ABS(P165-Components!$D$3))</f>
        <v/>
      </c>
      <c r="S165" s="67">
        <f>IF(G165="","",ABS(P165-Components!$D$4))</f>
        <v/>
      </c>
      <c r="T165" s="67">
        <f>IF(G165="","",ABS(P165-Components!$D$5))</f>
        <v/>
      </c>
      <c r="U165" s="67">
        <f>IF(G165="","",ABS(P165-Components!$D$6))</f>
        <v/>
      </c>
      <c r="V165" s="67">
        <f>IF(G165="","",ABS(P165-Components!$D$7))</f>
        <v/>
      </c>
      <c r="W165" s="61">
        <f>IF(G165="","",IF(N165="OK","NONE",INDEX({"S1","S2","W1","W2","N1","N2"},MATCH(MIN(Q165:V165),Q165:V165,0))))</f>
        <v/>
      </c>
      <c r="X165" s="69">
        <f>IF(G165="","",IF(W165=E165,1,0))</f>
        <v/>
      </c>
      <c r="Y165" s="70" t="n"/>
    </row>
    <row r="166">
      <c r="A166" s="61" t="n">
        <v>65.40000000000001</v>
      </c>
      <c r="B166" s="62" t="n">
        <v>38.7</v>
      </c>
      <c r="C166" s="61" t="inlineStr">
        <is>
          <t>R4</t>
        </is>
      </c>
      <c r="D166" s="74" t="inlineStr">
        <is>
          <t>NG</t>
        </is>
      </c>
      <c r="E166" s="61" t="inlineStr">
        <is>
          <t>S1</t>
        </is>
      </c>
      <c r="F166" s="61" t="inlineStr">
        <is>
          <t>K029</t>
        </is>
      </c>
      <c r="G166" s="75" t="n">
        <v>6.2</v>
      </c>
      <c r="H166" s="65" t="n"/>
      <c r="I166" s="66" t="n"/>
      <c r="J166" s="67">
        <f>VLOOKUP(C166,Recipes!$A$2:$N$4,10,FALSE())</f>
        <v/>
      </c>
      <c r="K166" s="68">
        <f>VLOOKUP(C166,Recipes!$A$2:$N$4,12,FALSE())</f>
        <v/>
      </c>
      <c r="L166" s="67">
        <f>J166-3.5*K166</f>
        <v/>
      </c>
      <c r="M166" s="67">
        <f>J166+3.5*K166</f>
        <v/>
      </c>
      <c r="N166" s="61">
        <f>IF(G166="","",IF(AND(G166&gt;=L166,G166&lt;=M166),"OK","NG"))</f>
        <v/>
      </c>
      <c r="O166" s="69">
        <f>IF(N166="","",IF(N166=D166,1,0))</f>
        <v/>
      </c>
      <c r="P166" s="67">
        <f>IF(G166="","",J166-G166)</f>
        <v/>
      </c>
      <c r="Q166" s="67">
        <f>IF(G166="","",ABS(P166-Components!$D$2))</f>
        <v/>
      </c>
      <c r="R166" s="67">
        <f>IF(G166="","",ABS(P166-Components!$D$3))</f>
        <v/>
      </c>
      <c r="S166" s="67">
        <f>IF(G166="","",ABS(P166-Components!$D$4))</f>
        <v/>
      </c>
      <c r="T166" s="67">
        <f>IF(G166="","",ABS(P166-Components!$D$5))</f>
        <v/>
      </c>
      <c r="U166" s="67">
        <f>IF(G166="","",ABS(P166-Components!$D$6))</f>
        <v/>
      </c>
      <c r="V166" s="67">
        <f>IF(G166="","",ABS(P166-Components!$D$7))</f>
        <v/>
      </c>
      <c r="W166" s="61">
        <f>IF(G166="","",IF(N166="OK","NONE",INDEX({"S1","S2","W1","W2","N1","N2"},MATCH(MIN(Q166:V166),Q166:V166,0))))</f>
        <v/>
      </c>
      <c r="X166" s="69">
        <f>IF(G166="","",IF(W166=E166,1,0))</f>
        <v/>
      </c>
      <c r="Y166" s="70" t="n"/>
    </row>
    <row r="167">
      <c r="A167" s="76" t="n">
        <v>68.59999999999999</v>
      </c>
      <c r="B167" s="77" t="n">
        <v>40.2</v>
      </c>
      <c r="C167" s="76" t="inlineStr">
        <is>
          <t>R4</t>
        </is>
      </c>
      <c r="D167" s="78" t="inlineStr">
        <is>
          <t>NG</t>
        </is>
      </c>
      <c r="E167" s="76" t="inlineStr">
        <is>
          <t>S1</t>
        </is>
      </c>
      <c r="F167" s="76" t="inlineStr">
        <is>
          <t>K041</t>
        </is>
      </c>
      <c r="G167" s="75" t="n">
        <v>6.19</v>
      </c>
      <c r="H167" s="65" t="n"/>
      <c r="I167" s="66" t="n"/>
      <c r="J167" s="67">
        <f>VLOOKUP(C167,Recipes!$A$2:$N$4,10,FALSE())</f>
        <v/>
      </c>
      <c r="K167" s="68">
        <f>VLOOKUP(C167,Recipes!$A$2:$N$4,12,FALSE())</f>
        <v/>
      </c>
      <c r="L167" s="67">
        <f>J167-3.5*K167</f>
        <v/>
      </c>
      <c r="M167" s="67">
        <f>J167+3.5*K167</f>
        <v/>
      </c>
      <c r="N167" s="61">
        <f>IF(G167="","",IF(AND(G167&gt;=L167,G167&lt;=M167),"OK","NG"))</f>
        <v/>
      </c>
      <c r="O167" s="69">
        <f>IF(N167="","",IF(N167=D167,1,0))</f>
        <v/>
      </c>
      <c r="P167" s="67">
        <f>IF(G167="","",J167-G167)</f>
        <v/>
      </c>
      <c r="Q167" s="67">
        <f>IF(G167="","",ABS(P167-Components!$D$2))</f>
        <v/>
      </c>
      <c r="R167" s="67">
        <f>IF(G167="","",ABS(P167-Components!$D$3))</f>
        <v/>
      </c>
      <c r="S167" s="67">
        <f>IF(G167="","",ABS(P167-Components!$D$4))</f>
        <v/>
      </c>
      <c r="T167" s="67">
        <f>IF(G167="","",ABS(P167-Components!$D$5))</f>
        <v/>
      </c>
      <c r="U167" s="67">
        <f>IF(G167="","",ABS(P167-Components!$D$6))</f>
        <v/>
      </c>
      <c r="V167" s="67">
        <f>IF(G167="","",ABS(P167-Components!$D$7))</f>
        <v/>
      </c>
      <c r="W167" s="61">
        <f>IF(G167="","",IF(N167="OK","NONE",INDEX({"S1","S2","W1","W2","N1","N2"},MATCH(MIN(Q167:V167),Q167:V167,0))))</f>
        <v/>
      </c>
      <c r="X167" s="69">
        <f>IF(G167="","",IF(W167=E167,1,0))</f>
        <v/>
      </c>
      <c r="Y167" s="70" t="n"/>
    </row>
    <row r="168">
      <c r="A168" s="61" t="n">
        <v>71.8</v>
      </c>
      <c r="B168" s="62" t="n">
        <v>41.7</v>
      </c>
      <c r="C168" s="61" t="inlineStr">
        <is>
          <t>R4</t>
        </is>
      </c>
      <c r="D168" s="74" t="inlineStr">
        <is>
          <t>NG</t>
        </is>
      </c>
      <c r="E168" s="61" t="inlineStr">
        <is>
          <t>S1</t>
        </is>
      </c>
      <c r="F168" s="61" t="inlineStr">
        <is>
          <t>K026</t>
        </is>
      </c>
      <c r="G168" s="75" t="n">
        <v>6.19</v>
      </c>
      <c r="H168" s="65" t="n"/>
      <c r="I168" s="66" t="n"/>
      <c r="J168" s="67">
        <f>VLOOKUP(C168,Recipes!$A$2:$N$4,10,FALSE())</f>
        <v/>
      </c>
      <c r="K168" s="68">
        <f>VLOOKUP(C168,Recipes!$A$2:$N$4,12,FALSE())</f>
        <v/>
      </c>
      <c r="L168" s="67">
        <f>J168-3.5*K168</f>
        <v/>
      </c>
      <c r="M168" s="67">
        <f>J168+3.5*K168</f>
        <v/>
      </c>
      <c r="N168" s="61">
        <f>IF(G168="","",IF(AND(G168&gt;=L168,G168&lt;=M168),"OK","NG"))</f>
        <v/>
      </c>
      <c r="O168" s="69">
        <f>IF(N168="","",IF(N168=D168,1,0))</f>
        <v/>
      </c>
      <c r="P168" s="67">
        <f>IF(G168="","",J168-G168)</f>
        <v/>
      </c>
      <c r="Q168" s="67">
        <f>IF(G168="","",ABS(P168-Components!$D$2))</f>
        <v/>
      </c>
      <c r="R168" s="67">
        <f>IF(G168="","",ABS(P168-Components!$D$3))</f>
        <v/>
      </c>
      <c r="S168" s="67">
        <f>IF(G168="","",ABS(P168-Components!$D$4))</f>
        <v/>
      </c>
      <c r="T168" s="67">
        <f>IF(G168="","",ABS(P168-Components!$D$5))</f>
        <v/>
      </c>
      <c r="U168" s="67">
        <f>IF(G168="","",ABS(P168-Components!$D$6))</f>
        <v/>
      </c>
      <c r="V168" s="67">
        <f>IF(G168="","",ABS(P168-Components!$D$7))</f>
        <v/>
      </c>
      <c r="W168" s="61">
        <f>IF(G168="","",IF(N168="OK","NONE",INDEX({"S1","S2","W1","W2","N1","N2"},MATCH(MIN(Q168:V168),Q168:V168,0))))</f>
        <v/>
      </c>
      <c r="X168" s="69">
        <f>IF(G168="","",IF(W168=E168,1,0))</f>
        <v/>
      </c>
      <c r="Y168" s="70" t="n"/>
    </row>
    <row r="169">
      <c r="A169" s="61" t="n">
        <v>75</v>
      </c>
      <c r="B169" s="62" t="n">
        <v>43.2</v>
      </c>
      <c r="C169" s="61" t="inlineStr">
        <is>
          <t>R4</t>
        </is>
      </c>
      <c r="D169" s="74" t="inlineStr">
        <is>
          <t>NG</t>
        </is>
      </c>
      <c r="E169" s="61" t="inlineStr">
        <is>
          <t>S1</t>
        </is>
      </c>
      <c r="F169" s="61" t="inlineStr">
        <is>
          <t>K027</t>
        </is>
      </c>
      <c r="G169" s="75" t="n">
        <v>6.13</v>
      </c>
      <c r="H169" s="65" t="n"/>
      <c r="I169" s="66" t="n"/>
      <c r="J169" s="67">
        <f>VLOOKUP(C169,Recipes!$A$2:$N$4,10,FALSE())</f>
        <v/>
      </c>
      <c r="K169" s="68">
        <f>VLOOKUP(C169,Recipes!$A$2:$N$4,12,FALSE())</f>
        <v/>
      </c>
      <c r="L169" s="67">
        <f>J169-3.5*K169</f>
        <v/>
      </c>
      <c r="M169" s="67">
        <f>J169+3.5*K169</f>
        <v/>
      </c>
      <c r="N169" s="61">
        <f>IF(G169="","",IF(AND(G169&gt;=L169,G169&lt;=M169),"OK","NG"))</f>
        <v/>
      </c>
      <c r="O169" s="69">
        <f>IF(N169="","",IF(N169=D169,1,0))</f>
        <v/>
      </c>
      <c r="P169" s="67">
        <f>IF(G169="","",J169-G169)</f>
        <v/>
      </c>
      <c r="Q169" s="67">
        <f>IF(G169="","",ABS(P169-Components!$D$2))</f>
        <v/>
      </c>
      <c r="R169" s="67">
        <f>IF(G169="","",ABS(P169-Components!$D$3))</f>
        <v/>
      </c>
      <c r="S169" s="67">
        <f>IF(G169="","",ABS(P169-Components!$D$4))</f>
        <v/>
      </c>
      <c r="T169" s="67">
        <f>IF(G169="","",ABS(P169-Components!$D$5))</f>
        <v/>
      </c>
      <c r="U169" s="67">
        <f>IF(G169="","",ABS(P169-Components!$D$6))</f>
        <v/>
      </c>
      <c r="V169" s="67">
        <f>IF(G169="","",ABS(P169-Components!$D$7))</f>
        <v/>
      </c>
      <c r="W169" s="61">
        <f>IF(G169="","",IF(N169="OK","NONE",INDEX({"S1","S2","W1","W2","N1","N2"},MATCH(MIN(Q169:V169),Q169:V169,0))))</f>
        <v/>
      </c>
      <c r="X169" s="69">
        <f>IF(G169="","",IF(W169=E169,1,0))</f>
        <v/>
      </c>
      <c r="Y169" s="70" t="n"/>
    </row>
    <row r="170">
      <c r="A170" s="61" t="n">
        <v>78.2</v>
      </c>
      <c r="B170" s="62" t="n">
        <v>44.7</v>
      </c>
      <c r="C170" s="61" t="inlineStr">
        <is>
          <t>R4</t>
        </is>
      </c>
      <c r="D170" s="74" t="inlineStr">
        <is>
          <t>NG</t>
        </is>
      </c>
      <c r="E170" s="61" t="inlineStr">
        <is>
          <t>S1</t>
        </is>
      </c>
      <c r="F170" s="61" t="inlineStr">
        <is>
          <t>K028</t>
        </is>
      </c>
      <c r="G170" s="75" t="n">
        <v>6.17</v>
      </c>
      <c r="H170" s="65" t="n"/>
      <c r="I170" s="66" t="n"/>
      <c r="J170" s="67">
        <f>VLOOKUP(C170,Recipes!$A$2:$N$4,10,FALSE())</f>
        <v/>
      </c>
      <c r="K170" s="68">
        <f>VLOOKUP(C170,Recipes!$A$2:$N$4,12,FALSE())</f>
        <v/>
      </c>
      <c r="L170" s="67">
        <f>J170-3.5*K170</f>
        <v/>
      </c>
      <c r="M170" s="67">
        <f>J170+3.5*K170</f>
        <v/>
      </c>
      <c r="N170" s="61">
        <f>IF(G170="","",IF(AND(G170&gt;=L170,G170&lt;=M170),"OK","NG"))</f>
        <v/>
      </c>
      <c r="O170" s="69">
        <f>IF(N170="","",IF(N170=D170,1,0))</f>
        <v/>
      </c>
      <c r="P170" s="67">
        <f>IF(G170="","",J170-G170)</f>
        <v/>
      </c>
      <c r="Q170" s="67">
        <f>IF(G170="","",ABS(P170-Components!$D$2))</f>
        <v/>
      </c>
      <c r="R170" s="67">
        <f>IF(G170="","",ABS(P170-Components!$D$3))</f>
        <v/>
      </c>
      <c r="S170" s="67">
        <f>IF(G170="","",ABS(P170-Components!$D$4))</f>
        <v/>
      </c>
      <c r="T170" s="67">
        <f>IF(G170="","",ABS(P170-Components!$D$5))</f>
        <v/>
      </c>
      <c r="U170" s="67">
        <f>IF(G170="","",ABS(P170-Components!$D$6))</f>
        <v/>
      </c>
      <c r="V170" s="67">
        <f>IF(G170="","",ABS(P170-Components!$D$7))</f>
        <v/>
      </c>
      <c r="W170" s="61">
        <f>IF(G170="","",IF(N170="OK","NONE",INDEX({"S1","S2","W1","W2","N1","N2"},MATCH(MIN(Q170:V170),Q170:V170,0))))</f>
        <v/>
      </c>
      <c r="X170" s="69">
        <f>IF(G170="","",IF(W170=E170,1,0))</f>
        <v/>
      </c>
      <c r="Y170" s="70" t="n"/>
    </row>
    <row r="171">
      <c r="A171" s="61" t="n">
        <v>81.40000000000001</v>
      </c>
      <c r="B171" s="62" t="n">
        <v>46.2</v>
      </c>
      <c r="C171" s="61" t="inlineStr">
        <is>
          <t>R4</t>
        </is>
      </c>
      <c r="D171" s="74" t="inlineStr">
        <is>
          <t>NG</t>
        </is>
      </c>
      <c r="E171" s="61" t="inlineStr">
        <is>
          <t>S1</t>
        </is>
      </c>
      <c r="F171" s="61" t="inlineStr">
        <is>
          <t>K029</t>
        </is>
      </c>
      <c r="G171" s="75" t="n">
        <v>6.19</v>
      </c>
      <c r="H171" s="65" t="n"/>
      <c r="I171" s="66" t="n"/>
      <c r="J171" s="67">
        <f>VLOOKUP(C171,Recipes!$A$2:$N$4,10,FALSE())</f>
        <v/>
      </c>
      <c r="K171" s="68">
        <f>VLOOKUP(C171,Recipes!$A$2:$N$4,12,FALSE())</f>
        <v/>
      </c>
      <c r="L171" s="67">
        <f>J171-3.5*K171</f>
        <v/>
      </c>
      <c r="M171" s="67">
        <f>J171+3.5*K171</f>
        <v/>
      </c>
      <c r="N171" s="61">
        <f>IF(G171="","",IF(AND(G171&gt;=L171,G171&lt;=M171),"OK","NG"))</f>
        <v/>
      </c>
      <c r="O171" s="69">
        <f>IF(N171="","",IF(N171=D171,1,0))</f>
        <v/>
      </c>
      <c r="P171" s="67">
        <f>IF(G171="","",J171-G171)</f>
        <v/>
      </c>
      <c r="Q171" s="67">
        <f>IF(G171="","",ABS(P171-Components!$D$2))</f>
        <v/>
      </c>
      <c r="R171" s="67">
        <f>IF(G171="","",ABS(P171-Components!$D$3))</f>
        <v/>
      </c>
      <c r="S171" s="67">
        <f>IF(G171="","",ABS(P171-Components!$D$4))</f>
        <v/>
      </c>
      <c r="T171" s="67">
        <f>IF(G171="","",ABS(P171-Components!$D$5))</f>
        <v/>
      </c>
      <c r="U171" s="67">
        <f>IF(G171="","",ABS(P171-Components!$D$6))</f>
        <v/>
      </c>
      <c r="V171" s="67">
        <f>IF(G171="","",ABS(P171-Components!$D$7))</f>
        <v/>
      </c>
      <c r="W171" s="61">
        <f>IF(G171="","",IF(N171="OK","NONE",INDEX({"S1","S2","W1","W2","N1","N2"},MATCH(MIN(Q171:V171),Q171:V171,0))))</f>
        <v/>
      </c>
      <c r="X171" s="69">
        <f>IF(G171="","",IF(W171=E171,1,0))</f>
        <v/>
      </c>
      <c r="Y171" s="70" t="n"/>
    </row>
    <row r="172">
      <c r="A172" s="76" t="n">
        <v>84.59999999999999</v>
      </c>
      <c r="B172" s="77" t="n">
        <v>47.7</v>
      </c>
      <c r="C172" s="76" t="inlineStr">
        <is>
          <t>R4</t>
        </is>
      </c>
      <c r="D172" s="78" t="inlineStr">
        <is>
          <t>NG</t>
        </is>
      </c>
      <c r="E172" s="76" t="inlineStr">
        <is>
          <t>S1</t>
        </is>
      </c>
      <c r="F172" s="76" t="inlineStr">
        <is>
          <t>K041</t>
        </is>
      </c>
      <c r="G172" s="75" t="n">
        <v>6.09</v>
      </c>
      <c r="H172" s="65" t="n"/>
      <c r="I172" s="66" t="n"/>
      <c r="J172" s="67">
        <f>VLOOKUP(C172,Recipes!$A$2:$N$4,10,FALSE())</f>
        <v/>
      </c>
      <c r="K172" s="68">
        <f>VLOOKUP(C172,Recipes!$A$2:$N$4,12,FALSE())</f>
        <v/>
      </c>
      <c r="L172" s="67">
        <f>J172-3.5*K172</f>
        <v/>
      </c>
      <c r="M172" s="67">
        <f>J172+3.5*K172</f>
        <v/>
      </c>
      <c r="N172" s="61">
        <f>IF(G172="","",IF(AND(G172&gt;=L172,G172&lt;=M172),"OK","NG"))</f>
        <v/>
      </c>
      <c r="O172" s="69">
        <f>IF(N172="","",IF(N172=D172,1,0))</f>
        <v/>
      </c>
      <c r="P172" s="67">
        <f>IF(G172="","",J172-G172)</f>
        <v/>
      </c>
      <c r="Q172" s="67">
        <f>IF(G172="","",ABS(P172-Components!$D$2))</f>
        <v/>
      </c>
      <c r="R172" s="67">
        <f>IF(G172="","",ABS(P172-Components!$D$3))</f>
        <v/>
      </c>
      <c r="S172" s="67">
        <f>IF(G172="","",ABS(P172-Components!$D$4))</f>
        <v/>
      </c>
      <c r="T172" s="67">
        <f>IF(G172="","",ABS(P172-Components!$D$5))</f>
        <v/>
      </c>
      <c r="U172" s="67">
        <f>IF(G172="","",ABS(P172-Components!$D$6))</f>
        <v/>
      </c>
      <c r="V172" s="67">
        <f>IF(G172="","",ABS(P172-Components!$D$7))</f>
        <v/>
      </c>
      <c r="W172" s="61">
        <f>IF(G172="","",IF(N172="OK","NONE",INDEX({"S1","S2","W1","W2","N1","N2"},MATCH(MIN(Q172:V172),Q172:V172,0))))</f>
        <v/>
      </c>
      <c r="X172" s="69">
        <f>IF(G172="","",IF(W172=E172,1,0))</f>
        <v/>
      </c>
      <c r="Y172" s="70" t="n"/>
    </row>
    <row r="173">
      <c r="A173" s="61" t="n">
        <v>87.8</v>
      </c>
      <c r="B173" s="62" t="n">
        <v>49.2</v>
      </c>
      <c r="C173" s="61" t="inlineStr">
        <is>
          <t>R4</t>
        </is>
      </c>
      <c r="D173" s="74" t="inlineStr">
        <is>
          <t>NG</t>
        </is>
      </c>
      <c r="E173" s="61" t="inlineStr">
        <is>
          <t>S1</t>
        </is>
      </c>
      <c r="F173" s="61" t="inlineStr">
        <is>
          <t>K026</t>
        </is>
      </c>
      <c r="G173" s="75" t="n">
        <v>6.19</v>
      </c>
      <c r="H173" s="65" t="n"/>
      <c r="I173" s="66" t="n"/>
      <c r="J173" s="67">
        <f>VLOOKUP(C173,Recipes!$A$2:$N$4,10,FALSE())</f>
        <v/>
      </c>
      <c r="K173" s="68">
        <f>VLOOKUP(C173,Recipes!$A$2:$N$4,12,FALSE())</f>
        <v/>
      </c>
      <c r="L173" s="67">
        <f>J173-3.5*K173</f>
        <v/>
      </c>
      <c r="M173" s="67">
        <f>J173+3.5*K173</f>
        <v/>
      </c>
      <c r="N173" s="61">
        <f>IF(G173="","",IF(AND(G173&gt;=L173,G173&lt;=M173),"OK","NG"))</f>
        <v/>
      </c>
      <c r="O173" s="69">
        <f>IF(N173="","",IF(N173=D173,1,0))</f>
        <v/>
      </c>
      <c r="P173" s="67">
        <f>IF(G173="","",J173-G173)</f>
        <v/>
      </c>
      <c r="Q173" s="67">
        <f>IF(G173="","",ABS(P173-Components!$D$2))</f>
        <v/>
      </c>
      <c r="R173" s="67">
        <f>IF(G173="","",ABS(P173-Components!$D$3))</f>
        <v/>
      </c>
      <c r="S173" s="67">
        <f>IF(G173="","",ABS(P173-Components!$D$4))</f>
        <v/>
      </c>
      <c r="T173" s="67">
        <f>IF(G173="","",ABS(P173-Components!$D$5))</f>
        <v/>
      </c>
      <c r="U173" s="67">
        <f>IF(G173="","",ABS(P173-Components!$D$6))</f>
        <v/>
      </c>
      <c r="V173" s="67">
        <f>IF(G173="","",ABS(P173-Components!$D$7))</f>
        <v/>
      </c>
      <c r="W173" s="61">
        <f>IF(G173="","",IF(N173="OK","NONE",INDEX({"S1","S2","W1","W2","N1","N2"},MATCH(MIN(Q173:V173),Q173:V173,0))))</f>
        <v/>
      </c>
      <c r="X173" s="69">
        <f>IF(G173="","",IF(W173=E173,1,0))</f>
        <v/>
      </c>
      <c r="Y173" s="70" t="n"/>
    </row>
    <row r="174">
      <c r="A174" s="61" t="n">
        <v>91</v>
      </c>
      <c r="B174" s="62" t="n">
        <v>50.7</v>
      </c>
      <c r="C174" s="61" t="inlineStr">
        <is>
          <t>R4</t>
        </is>
      </c>
      <c r="D174" s="74" t="inlineStr">
        <is>
          <t>NG</t>
        </is>
      </c>
      <c r="E174" s="61" t="inlineStr">
        <is>
          <t>S1</t>
        </is>
      </c>
      <c r="F174" s="61" t="inlineStr">
        <is>
          <t>K027</t>
        </is>
      </c>
      <c r="G174" s="75" t="n">
        <v>6.18</v>
      </c>
      <c r="H174" s="65" t="n"/>
      <c r="I174" s="66" t="n"/>
      <c r="J174" s="67">
        <f>VLOOKUP(C174,Recipes!$A$2:$N$4,10,FALSE())</f>
        <v/>
      </c>
      <c r="K174" s="68">
        <f>VLOOKUP(C174,Recipes!$A$2:$N$4,12,FALSE())</f>
        <v/>
      </c>
      <c r="L174" s="67">
        <f>J174-3.5*K174</f>
        <v/>
      </c>
      <c r="M174" s="67">
        <f>J174+3.5*K174</f>
        <v/>
      </c>
      <c r="N174" s="61">
        <f>IF(G174="","",IF(AND(G174&gt;=L174,G174&lt;=M174),"OK","NG"))</f>
        <v/>
      </c>
      <c r="O174" s="69">
        <f>IF(N174="","",IF(N174=D174,1,0))</f>
        <v/>
      </c>
      <c r="P174" s="67">
        <f>IF(G174="","",J174-G174)</f>
        <v/>
      </c>
      <c r="Q174" s="67">
        <f>IF(G174="","",ABS(P174-Components!$D$2))</f>
        <v/>
      </c>
      <c r="R174" s="67">
        <f>IF(G174="","",ABS(P174-Components!$D$3))</f>
        <v/>
      </c>
      <c r="S174" s="67">
        <f>IF(G174="","",ABS(P174-Components!$D$4))</f>
        <v/>
      </c>
      <c r="T174" s="67">
        <f>IF(G174="","",ABS(P174-Components!$D$5))</f>
        <v/>
      </c>
      <c r="U174" s="67">
        <f>IF(G174="","",ABS(P174-Components!$D$6))</f>
        <v/>
      </c>
      <c r="V174" s="67">
        <f>IF(G174="","",ABS(P174-Components!$D$7))</f>
        <v/>
      </c>
      <c r="W174" s="61">
        <f>IF(G174="","",IF(N174="OK","NONE",INDEX({"S1","S2","W1","W2","N1","N2"},MATCH(MIN(Q174:V174),Q174:V174,0))))</f>
        <v/>
      </c>
      <c r="X174" s="69">
        <f>IF(G174="","",IF(W174=E174,1,0))</f>
        <v/>
      </c>
      <c r="Y174" s="70" t="n"/>
    </row>
    <row r="175">
      <c r="A175" s="61" t="n">
        <v>94.2</v>
      </c>
      <c r="B175" s="62" t="n">
        <v>52.2</v>
      </c>
      <c r="C175" s="61" t="inlineStr">
        <is>
          <t>R4</t>
        </is>
      </c>
      <c r="D175" s="74" t="inlineStr">
        <is>
          <t>NG</t>
        </is>
      </c>
      <c r="E175" s="61" t="inlineStr">
        <is>
          <t>S1</t>
        </is>
      </c>
      <c r="F175" s="61" t="inlineStr">
        <is>
          <t>K028</t>
        </is>
      </c>
      <c r="G175" s="75" t="n">
        <v>6.19</v>
      </c>
      <c r="H175" s="65" t="n"/>
      <c r="I175" s="66" t="n"/>
      <c r="J175" s="67">
        <f>VLOOKUP(C175,Recipes!$A$2:$N$4,10,FALSE())</f>
        <v/>
      </c>
      <c r="K175" s="68">
        <f>VLOOKUP(C175,Recipes!$A$2:$N$4,12,FALSE())</f>
        <v/>
      </c>
      <c r="L175" s="67">
        <f>J175-3.5*K175</f>
        <v/>
      </c>
      <c r="M175" s="67">
        <f>J175+3.5*K175</f>
        <v/>
      </c>
      <c r="N175" s="61">
        <f>IF(G175="","",IF(AND(G175&gt;=L175,G175&lt;=M175),"OK","NG"))</f>
        <v/>
      </c>
      <c r="O175" s="69">
        <f>IF(N175="","",IF(N175=D175,1,0))</f>
        <v/>
      </c>
      <c r="P175" s="67">
        <f>IF(G175="","",J175-G175)</f>
        <v/>
      </c>
      <c r="Q175" s="67">
        <f>IF(G175="","",ABS(P175-Components!$D$2))</f>
        <v/>
      </c>
      <c r="R175" s="67">
        <f>IF(G175="","",ABS(P175-Components!$D$3))</f>
        <v/>
      </c>
      <c r="S175" s="67">
        <f>IF(G175="","",ABS(P175-Components!$D$4))</f>
        <v/>
      </c>
      <c r="T175" s="67">
        <f>IF(G175="","",ABS(P175-Components!$D$5))</f>
        <v/>
      </c>
      <c r="U175" s="67">
        <f>IF(G175="","",ABS(P175-Components!$D$6))</f>
        <v/>
      </c>
      <c r="V175" s="67">
        <f>IF(G175="","",ABS(P175-Components!$D$7))</f>
        <v/>
      </c>
      <c r="W175" s="61">
        <f>IF(G175="","",IF(N175="OK","NONE",INDEX({"S1","S2","W1","W2","N1","N2"},MATCH(MIN(Q175:V175),Q175:V175,0))))</f>
        <v/>
      </c>
      <c r="X175" s="69">
        <f>IF(G175="","",IF(W175=E175,1,0))</f>
        <v/>
      </c>
      <c r="Y175" s="70" t="n"/>
    </row>
    <row r="176">
      <c r="A176" s="61" t="n">
        <v>97.40000000000001</v>
      </c>
      <c r="B176" s="62" t="n">
        <v>53.7</v>
      </c>
      <c r="C176" s="61" t="inlineStr">
        <is>
          <t>R4</t>
        </is>
      </c>
      <c r="D176" s="74" t="inlineStr">
        <is>
          <t>NG</t>
        </is>
      </c>
      <c r="E176" s="61" t="inlineStr">
        <is>
          <t>S1</t>
        </is>
      </c>
      <c r="F176" s="61" t="inlineStr">
        <is>
          <t>K029</t>
        </is>
      </c>
      <c r="G176" s="75" t="n">
        <v>6.15</v>
      </c>
      <c r="H176" s="65" t="n"/>
      <c r="I176" s="66" t="n"/>
      <c r="J176" s="67">
        <f>VLOOKUP(C176,Recipes!$A$2:$N$4,10,FALSE())</f>
        <v/>
      </c>
      <c r="K176" s="68">
        <f>VLOOKUP(C176,Recipes!$A$2:$N$4,12,FALSE())</f>
        <v/>
      </c>
      <c r="L176" s="67">
        <f>J176-3.5*K176</f>
        <v/>
      </c>
      <c r="M176" s="67">
        <f>J176+3.5*K176</f>
        <v/>
      </c>
      <c r="N176" s="61">
        <f>IF(G176="","",IF(AND(G176&gt;=L176,G176&lt;=M176),"OK","NG"))</f>
        <v/>
      </c>
      <c r="O176" s="69">
        <f>IF(N176="","",IF(N176=D176,1,0))</f>
        <v/>
      </c>
      <c r="P176" s="67">
        <f>IF(G176="","",J176-G176)</f>
        <v/>
      </c>
      <c r="Q176" s="67">
        <f>IF(G176="","",ABS(P176-Components!$D$2))</f>
        <v/>
      </c>
      <c r="R176" s="67">
        <f>IF(G176="","",ABS(P176-Components!$D$3))</f>
        <v/>
      </c>
      <c r="S176" s="67">
        <f>IF(G176="","",ABS(P176-Components!$D$4))</f>
        <v/>
      </c>
      <c r="T176" s="67">
        <f>IF(G176="","",ABS(P176-Components!$D$5))</f>
        <v/>
      </c>
      <c r="U176" s="67">
        <f>IF(G176="","",ABS(P176-Components!$D$6))</f>
        <v/>
      </c>
      <c r="V176" s="67">
        <f>IF(G176="","",ABS(P176-Components!$D$7))</f>
        <v/>
      </c>
      <c r="W176" s="61">
        <f>IF(G176="","",IF(N176="OK","NONE",INDEX({"S1","S2","W1","W2","N1","N2"},MATCH(MIN(Q176:V176),Q176:V176,0))))</f>
        <v/>
      </c>
      <c r="X176" s="69">
        <f>IF(G176="","",IF(W176=E176,1,0))</f>
        <v/>
      </c>
      <c r="Y176" s="70" t="n"/>
    </row>
    <row r="177">
      <c r="A177" s="76" t="n">
        <v>100.6</v>
      </c>
      <c r="B177" s="77" t="n">
        <v>55.2</v>
      </c>
      <c r="C177" s="76" t="inlineStr">
        <is>
          <t>R4</t>
        </is>
      </c>
      <c r="D177" s="78" t="inlineStr">
        <is>
          <t>NG</t>
        </is>
      </c>
      <c r="E177" s="76" t="inlineStr">
        <is>
          <t>S1</t>
        </is>
      </c>
      <c r="F177" s="76" t="inlineStr">
        <is>
          <t>K041</t>
        </is>
      </c>
      <c r="G177" s="75" t="n">
        <v>6.16</v>
      </c>
      <c r="H177" s="65" t="n"/>
      <c r="I177" s="66" t="n"/>
      <c r="J177" s="67">
        <f>VLOOKUP(C177,Recipes!$A$2:$N$4,10,FALSE())</f>
        <v/>
      </c>
      <c r="K177" s="68">
        <f>VLOOKUP(C177,Recipes!$A$2:$N$4,12,FALSE())</f>
        <v/>
      </c>
      <c r="L177" s="67">
        <f>J177-3.5*K177</f>
        <v/>
      </c>
      <c r="M177" s="67">
        <f>J177+3.5*K177</f>
        <v/>
      </c>
      <c r="N177" s="61">
        <f>IF(G177="","",IF(AND(G177&gt;=L177,G177&lt;=M177),"OK","NG"))</f>
        <v/>
      </c>
      <c r="O177" s="69">
        <f>IF(N177="","",IF(N177=D177,1,0))</f>
        <v/>
      </c>
      <c r="P177" s="67">
        <f>IF(G177="","",J177-G177)</f>
        <v/>
      </c>
      <c r="Q177" s="67">
        <f>IF(G177="","",ABS(P177-Components!$D$2))</f>
        <v/>
      </c>
      <c r="R177" s="67">
        <f>IF(G177="","",ABS(P177-Components!$D$3))</f>
        <v/>
      </c>
      <c r="S177" s="67">
        <f>IF(G177="","",ABS(P177-Components!$D$4))</f>
        <v/>
      </c>
      <c r="T177" s="67">
        <f>IF(G177="","",ABS(P177-Components!$D$5))</f>
        <v/>
      </c>
      <c r="U177" s="67">
        <f>IF(G177="","",ABS(P177-Components!$D$6))</f>
        <v/>
      </c>
      <c r="V177" s="67">
        <f>IF(G177="","",ABS(P177-Components!$D$7))</f>
        <v/>
      </c>
      <c r="W177" s="61">
        <f>IF(G177="","",IF(N177="OK","NONE",INDEX({"S1","S2","W1","W2","N1","N2"},MATCH(MIN(Q177:V177),Q177:V177,0))))</f>
        <v/>
      </c>
      <c r="X177" s="69">
        <f>IF(G177="","",IF(W177=E177,1,0))</f>
        <v/>
      </c>
      <c r="Y177" s="70" t="n"/>
    </row>
    <row r="178">
      <c r="A178" s="61" t="n">
        <v>103.8</v>
      </c>
      <c r="B178" s="62" t="n">
        <v>56.7</v>
      </c>
      <c r="C178" s="61" t="inlineStr">
        <is>
          <t>R4</t>
        </is>
      </c>
      <c r="D178" s="74" t="inlineStr">
        <is>
          <t>NG</t>
        </is>
      </c>
      <c r="E178" s="61" t="inlineStr">
        <is>
          <t>S1</t>
        </is>
      </c>
      <c r="F178" s="61" t="inlineStr">
        <is>
          <t>K026</t>
        </is>
      </c>
      <c r="G178" s="75" t="n">
        <v>6.16</v>
      </c>
      <c r="H178" s="65" t="n"/>
      <c r="I178" s="66" t="n"/>
      <c r="J178" s="67">
        <f>VLOOKUP(C178,Recipes!$A$2:$N$4,10,FALSE())</f>
        <v/>
      </c>
      <c r="K178" s="68">
        <f>VLOOKUP(C178,Recipes!$A$2:$N$4,12,FALSE())</f>
        <v/>
      </c>
      <c r="L178" s="67">
        <f>J178-3.5*K178</f>
        <v/>
      </c>
      <c r="M178" s="67">
        <f>J178+3.5*K178</f>
        <v/>
      </c>
      <c r="N178" s="61">
        <f>IF(G178="","",IF(AND(G178&gt;=L178,G178&lt;=M178),"OK","NG"))</f>
        <v/>
      </c>
      <c r="O178" s="69">
        <f>IF(N178="","",IF(N178=D178,1,0))</f>
        <v/>
      </c>
      <c r="P178" s="67">
        <f>IF(G178="","",J178-G178)</f>
        <v/>
      </c>
      <c r="Q178" s="67">
        <f>IF(G178="","",ABS(P178-Components!$D$2))</f>
        <v/>
      </c>
      <c r="R178" s="67">
        <f>IF(G178="","",ABS(P178-Components!$D$3))</f>
        <v/>
      </c>
      <c r="S178" s="67">
        <f>IF(G178="","",ABS(P178-Components!$D$4))</f>
        <v/>
      </c>
      <c r="T178" s="67">
        <f>IF(G178="","",ABS(P178-Components!$D$5))</f>
        <v/>
      </c>
      <c r="U178" s="67">
        <f>IF(G178="","",ABS(P178-Components!$D$6))</f>
        <v/>
      </c>
      <c r="V178" s="67">
        <f>IF(G178="","",ABS(P178-Components!$D$7))</f>
        <v/>
      </c>
      <c r="W178" s="61">
        <f>IF(G178="","",IF(N178="OK","NONE",INDEX({"S1","S2","W1","W2","N1","N2"},MATCH(MIN(Q178:V178),Q178:V178,0))))</f>
        <v/>
      </c>
      <c r="X178" s="69">
        <f>IF(G178="","",IF(W178=E178,1,0))</f>
        <v/>
      </c>
      <c r="Y178" s="70" t="n"/>
    </row>
    <row r="179">
      <c r="A179" s="61" t="n">
        <v>107</v>
      </c>
      <c r="B179" s="62" t="n">
        <v>58.2</v>
      </c>
      <c r="C179" s="61" t="inlineStr">
        <is>
          <t>R4</t>
        </is>
      </c>
      <c r="D179" s="74" t="inlineStr">
        <is>
          <t>NG</t>
        </is>
      </c>
      <c r="E179" s="61" t="inlineStr">
        <is>
          <t>S1</t>
        </is>
      </c>
      <c r="F179" s="61" t="inlineStr">
        <is>
          <t>K027</t>
        </is>
      </c>
      <c r="G179" s="75" t="n">
        <v>6.15</v>
      </c>
      <c r="H179" s="65" t="n"/>
      <c r="I179" s="66" t="n"/>
      <c r="J179" s="67">
        <f>VLOOKUP(C179,Recipes!$A$2:$N$4,10,FALSE())</f>
        <v/>
      </c>
      <c r="K179" s="68">
        <f>VLOOKUP(C179,Recipes!$A$2:$N$4,12,FALSE())</f>
        <v/>
      </c>
      <c r="L179" s="67">
        <f>J179-3.5*K179</f>
        <v/>
      </c>
      <c r="M179" s="67">
        <f>J179+3.5*K179</f>
        <v/>
      </c>
      <c r="N179" s="61">
        <f>IF(G179="","",IF(AND(G179&gt;=L179,G179&lt;=M179),"OK","NG"))</f>
        <v/>
      </c>
      <c r="O179" s="69">
        <f>IF(N179="","",IF(N179=D179,1,0))</f>
        <v/>
      </c>
      <c r="P179" s="67">
        <f>IF(G179="","",J179-G179)</f>
        <v/>
      </c>
      <c r="Q179" s="67">
        <f>IF(G179="","",ABS(P179-Components!$D$2))</f>
        <v/>
      </c>
      <c r="R179" s="67">
        <f>IF(G179="","",ABS(P179-Components!$D$3))</f>
        <v/>
      </c>
      <c r="S179" s="67">
        <f>IF(G179="","",ABS(P179-Components!$D$4))</f>
        <v/>
      </c>
      <c r="T179" s="67">
        <f>IF(G179="","",ABS(P179-Components!$D$5))</f>
        <v/>
      </c>
      <c r="U179" s="67">
        <f>IF(G179="","",ABS(P179-Components!$D$6))</f>
        <v/>
      </c>
      <c r="V179" s="67">
        <f>IF(G179="","",ABS(P179-Components!$D$7))</f>
        <v/>
      </c>
      <c r="W179" s="61">
        <f>IF(G179="","",IF(N179="OK","NONE",INDEX({"S1","S2","W1","W2","N1","N2"},MATCH(MIN(Q179:V179),Q179:V179,0))))</f>
        <v/>
      </c>
      <c r="X179" s="69">
        <f>IF(G179="","",IF(W179=E179,1,0))</f>
        <v/>
      </c>
      <c r="Y179" s="70" t="n"/>
    </row>
    <row r="180">
      <c r="A180" s="61" t="n">
        <v>110.2</v>
      </c>
      <c r="B180" s="62" t="n">
        <v>59.7</v>
      </c>
      <c r="C180" s="61" t="inlineStr">
        <is>
          <t>R4</t>
        </is>
      </c>
      <c r="D180" s="74" t="inlineStr">
        <is>
          <t>NG</t>
        </is>
      </c>
      <c r="E180" s="61" t="inlineStr">
        <is>
          <t>S1</t>
        </is>
      </c>
      <c r="F180" s="61" t="inlineStr">
        <is>
          <t>K028</t>
        </is>
      </c>
      <c r="G180" s="75" t="n">
        <v>6.17</v>
      </c>
      <c r="H180" s="65" t="n"/>
      <c r="I180" s="66" t="n"/>
      <c r="J180" s="67">
        <f>VLOOKUP(C180,Recipes!$A$2:$N$4,10,FALSE())</f>
        <v/>
      </c>
      <c r="K180" s="68">
        <f>VLOOKUP(C180,Recipes!$A$2:$N$4,12,FALSE())</f>
        <v/>
      </c>
      <c r="L180" s="67">
        <f>J180-3.5*K180</f>
        <v/>
      </c>
      <c r="M180" s="67">
        <f>J180+3.5*K180</f>
        <v/>
      </c>
      <c r="N180" s="61">
        <f>IF(G180="","",IF(AND(G180&gt;=L180,G180&lt;=M180),"OK","NG"))</f>
        <v/>
      </c>
      <c r="O180" s="69">
        <f>IF(N180="","",IF(N180=D180,1,0))</f>
        <v/>
      </c>
      <c r="P180" s="67">
        <f>IF(G180="","",J180-G180)</f>
        <v/>
      </c>
      <c r="Q180" s="67">
        <f>IF(G180="","",ABS(P180-Components!$D$2))</f>
        <v/>
      </c>
      <c r="R180" s="67">
        <f>IF(G180="","",ABS(P180-Components!$D$3))</f>
        <v/>
      </c>
      <c r="S180" s="67">
        <f>IF(G180="","",ABS(P180-Components!$D$4))</f>
        <v/>
      </c>
      <c r="T180" s="67">
        <f>IF(G180="","",ABS(P180-Components!$D$5))</f>
        <v/>
      </c>
      <c r="U180" s="67">
        <f>IF(G180="","",ABS(P180-Components!$D$6))</f>
        <v/>
      </c>
      <c r="V180" s="67">
        <f>IF(G180="","",ABS(P180-Components!$D$7))</f>
        <v/>
      </c>
      <c r="W180" s="61">
        <f>IF(G180="","",IF(N180="OK","NONE",INDEX({"S1","S2","W1","W2","N1","N2"},MATCH(MIN(Q180:V180),Q180:V180,0))))</f>
        <v/>
      </c>
      <c r="X180" s="69">
        <f>IF(G180="","",IF(W180=E180,1,0))</f>
        <v/>
      </c>
      <c r="Y180" s="70" t="n"/>
    </row>
    <row r="181">
      <c r="A181" s="61" t="n">
        <v>113.4</v>
      </c>
      <c r="B181" s="62" t="n">
        <v>61.2</v>
      </c>
      <c r="C181" s="61" t="inlineStr">
        <is>
          <t>R4</t>
        </is>
      </c>
      <c r="D181" s="74" t="inlineStr">
        <is>
          <t>NG</t>
        </is>
      </c>
      <c r="E181" s="61" t="inlineStr">
        <is>
          <t>S1</t>
        </is>
      </c>
      <c r="F181" s="61" t="inlineStr">
        <is>
          <t>K029</t>
        </is>
      </c>
      <c r="G181" s="75" t="n">
        <v>6.2</v>
      </c>
      <c r="H181" s="65" t="n"/>
      <c r="I181" s="66" t="n"/>
      <c r="J181" s="67">
        <f>VLOOKUP(C181,Recipes!$A$2:$N$4,10,FALSE())</f>
        <v/>
      </c>
      <c r="K181" s="68">
        <f>VLOOKUP(C181,Recipes!$A$2:$N$4,12,FALSE())</f>
        <v/>
      </c>
      <c r="L181" s="67">
        <f>J181-3.5*K181</f>
        <v/>
      </c>
      <c r="M181" s="67">
        <f>J181+3.5*K181</f>
        <v/>
      </c>
      <c r="N181" s="61">
        <f>IF(G181="","",IF(AND(G181&gt;=L181,G181&lt;=M181),"OK","NG"))</f>
        <v/>
      </c>
      <c r="O181" s="69">
        <f>IF(N181="","",IF(N181=D181,1,0))</f>
        <v/>
      </c>
      <c r="P181" s="67">
        <f>IF(G181="","",J181-G181)</f>
        <v/>
      </c>
      <c r="Q181" s="67">
        <f>IF(G181="","",ABS(P181-Components!$D$2))</f>
        <v/>
      </c>
      <c r="R181" s="67">
        <f>IF(G181="","",ABS(P181-Components!$D$3))</f>
        <v/>
      </c>
      <c r="S181" s="67">
        <f>IF(G181="","",ABS(P181-Components!$D$4))</f>
        <v/>
      </c>
      <c r="T181" s="67">
        <f>IF(G181="","",ABS(P181-Components!$D$5))</f>
        <v/>
      </c>
      <c r="U181" s="67">
        <f>IF(G181="","",ABS(P181-Components!$D$6))</f>
        <v/>
      </c>
      <c r="V181" s="67">
        <f>IF(G181="","",ABS(P181-Components!$D$7))</f>
        <v/>
      </c>
      <c r="W181" s="61">
        <f>IF(G181="","",IF(N181="OK","NONE",INDEX({"S1","S2","W1","W2","N1","N2"},MATCH(MIN(Q181:V181),Q181:V181,0))))</f>
        <v/>
      </c>
      <c r="X181" s="69">
        <f>IF(G181="","",IF(W181=E181,1,0))</f>
        <v/>
      </c>
      <c r="Y181" s="70" t="n"/>
    </row>
    <row r="182">
      <c r="A182" s="76" t="n">
        <v>116.6</v>
      </c>
      <c r="B182" s="77" t="n">
        <v>62.7</v>
      </c>
      <c r="C182" s="76" t="inlineStr">
        <is>
          <t>R4</t>
        </is>
      </c>
      <c r="D182" s="78" t="inlineStr">
        <is>
          <t>NG</t>
        </is>
      </c>
      <c r="E182" s="76" t="inlineStr">
        <is>
          <t>S1</t>
        </is>
      </c>
      <c r="F182" s="76" t="inlineStr">
        <is>
          <t>K041</t>
        </is>
      </c>
      <c r="G182" s="75" t="n">
        <v>6.14</v>
      </c>
      <c r="H182" s="65" t="n"/>
      <c r="I182" s="66" t="n"/>
      <c r="J182" s="67">
        <f>VLOOKUP(C182,Recipes!$A$2:$N$4,10,FALSE())</f>
        <v/>
      </c>
      <c r="K182" s="68">
        <f>VLOOKUP(C182,Recipes!$A$2:$N$4,12,FALSE())</f>
        <v/>
      </c>
      <c r="L182" s="67">
        <f>J182-3.5*K182</f>
        <v/>
      </c>
      <c r="M182" s="67">
        <f>J182+3.5*K182</f>
        <v/>
      </c>
      <c r="N182" s="61">
        <f>IF(G182="","",IF(AND(G182&gt;=L182,G182&lt;=M182),"OK","NG"))</f>
        <v/>
      </c>
      <c r="O182" s="69">
        <f>IF(N182="","",IF(N182=D182,1,0))</f>
        <v/>
      </c>
      <c r="P182" s="67">
        <f>IF(G182="","",J182-G182)</f>
        <v/>
      </c>
      <c r="Q182" s="67">
        <f>IF(G182="","",ABS(P182-Components!$D$2))</f>
        <v/>
      </c>
      <c r="R182" s="67">
        <f>IF(G182="","",ABS(P182-Components!$D$3))</f>
        <v/>
      </c>
      <c r="S182" s="67">
        <f>IF(G182="","",ABS(P182-Components!$D$4))</f>
        <v/>
      </c>
      <c r="T182" s="67">
        <f>IF(G182="","",ABS(P182-Components!$D$5))</f>
        <v/>
      </c>
      <c r="U182" s="67">
        <f>IF(G182="","",ABS(P182-Components!$D$6))</f>
        <v/>
      </c>
      <c r="V182" s="67">
        <f>IF(G182="","",ABS(P182-Components!$D$7))</f>
        <v/>
      </c>
      <c r="W182" s="61">
        <f>IF(G182="","",IF(N182="OK","NONE",INDEX({"S1","S2","W1","W2","N1","N2"},MATCH(MIN(Q182:V182),Q182:V182,0))))</f>
        <v/>
      </c>
      <c r="X182" s="69">
        <f>IF(G182="","",IF(W182=E182,1,0))</f>
        <v/>
      </c>
      <c r="Y182" s="70" t="n"/>
    </row>
    <row r="183">
      <c r="A183" s="61" t="n">
        <v>30</v>
      </c>
      <c r="B183" s="62" t="n">
        <v>19</v>
      </c>
      <c r="C183" s="61" t="inlineStr">
        <is>
          <t>R4</t>
        </is>
      </c>
      <c r="D183" s="74" t="inlineStr">
        <is>
          <t>NG</t>
        </is>
      </c>
      <c r="E183" s="61" t="inlineStr">
        <is>
          <t>W1</t>
        </is>
      </c>
      <c r="F183" s="61" t="inlineStr">
        <is>
          <t>K030</t>
        </is>
      </c>
      <c r="G183" s="64" t="n">
        <v>7.99</v>
      </c>
      <c r="H183" s="65" t="n"/>
      <c r="I183" s="66" t="n"/>
      <c r="J183" s="67">
        <f>VLOOKUP(C183,Recipes!$A$2:$N$4,10,FALSE())</f>
        <v/>
      </c>
      <c r="K183" s="68">
        <f>VLOOKUP(C183,Recipes!$A$2:$N$4,12,FALSE())</f>
        <v/>
      </c>
      <c r="L183" s="67">
        <f>J183-3.5*K183</f>
        <v/>
      </c>
      <c r="M183" s="67">
        <f>J183+3.5*K183</f>
        <v/>
      </c>
      <c r="N183" s="61">
        <f>IF(G183="","",IF(AND(G183&gt;=L183,G183&lt;=M183),"OK","NG"))</f>
        <v/>
      </c>
      <c r="O183" s="69">
        <f>IF(N183="","",IF(N183=D183,1,0))</f>
        <v/>
      </c>
      <c r="P183" s="67">
        <f>IF(G183="","",J183-G183)</f>
        <v/>
      </c>
      <c r="Q183" s="67">
        <f>IF(G183="","",ABS(P183-Components!$D$2))</f>
        <v/>
      </c>
      <c r="R183" s="67">
        <f>IF(G183="","",ABS(P183-Components!$D$3))</f>
        <v/>
      </c>
      <c r="S183" s="67">
        <f>IF(G183="","",ABS(P183-Components!$D$4))</f>
        <v/>
      </c>
      <c r="T183" s="67">
        <f>IF(G183="","",ABS(P183-Components!$D$5))</f>
        <v/>
      </c>
      <c r="U183" s="67">
        <f>IF(G183="","",ABS(P183-Components!$D$6))</f>
        <v/>
      </c>
      <c r="V183" s="67">
        <f>IF(G183="","",ABS(P183-Components!$D$7))</f>
        <v/>
      </c>
      <c r="W183" s="61">
        <f>IF(G183="","",IF(N183="OK","NONE",INDEX({"S1","S2","W1","W2","N1","N2"},MATCH(MIN(Q183:V183),Q183:V183,0))))</f>
        <v/>
      </c>
      <c r="X183" s="69">
        <f>IF(G183="","",IF(W183=E183,1,0))</f>
        <v/>
      </c>
      <c r="Y183" s="70" t="n"/>
    </row>
    <row r="184">
      <c r="A184" s="61" t="n">
        <v>31</v>
      </c>
      <c r="B184" s="62" t="n">
        <v>32</v>
      </c>
      <c r="C184" s="61" t="inlineStr">
        <is>
          <t>R4</t>
        </is>
      </c>
      <c r="D184" s="74" t="inlineStr">
        <is>
          <t>NG</t>
        </is>
      </c>
      <c r="E184" s="61" t="inlineStr">
        <is>
          <t>W1</t>
        </is>
      </c>
      <c r="F184" s="61" t="inlineStr">
        <is>
          <t>K031</t>
        </is>
      </c>
      <c r="G184" s="64" t="n">
        <v>7.97</v>
      </c>
      <c r="H184" s="65" t="n"/>
      <c r="I184" s="66" t="n"/>
      <c r="J184" s="67">
        <f>VLOOKUP(C184,Recipes!$A$2:$N$4,10,FALSE())</f>
        <v/>
      </c>
      <c r="K184" s="68">
        <f>VLOOKUP(C184,Recipes!$A$2:$N$4,12,FALSE())</f>
        <v/>
      </c>
      <c r="L184" s="67">
        <f>J184-3.5*K184</f>
        <v/>
      </c>
      <c r="M184" s="67">
        <f>J184+3.5*K184</f>
        <v/>
      </c>
      <c r="N184" s="61">
        <f>IF(G184="","",IF(AND(G184&gt;=L184,G184&lt;=M184),"OK","NG"))</f>
        <v/>
      </c>
      <c r="O184" s="69">
        <f>IF(N184="","",IF(N184=D184,1,0))</f>
        <v/>
      </c>
      <c r="P184" s="67">
        <f>IF(G184="","",J184-G184)</f>
        <v/>
      </c>
      <c r="Q184" s="67">
        <f>IF(G184="","",ABS(P184-Components!$D$2))</f>
        <v/>
      </c>
      <c r="R184" s="67">
        <f>IF(G184="","",ABS(P184-Components!$D$3))</f>
        <v/>
      </c>
      <c r="S184" s="67">
        <f>IF(G184="","",ABS(P184-Components!$D$4))</f>
        <v/>
      </c>
      <c r="T184" s="67">
        <f>IF(G184="","",ABS(P184-Components!$D$5))</f>
        <v/>
      </c>
      <c r="U184" s="67">
        <f>IF(G184="","",ABS(P184-Components!$D$6))</f>
        <v/>
      </c>
      <c r="V184" s="67">
        <f>IF(G184="","",ABS(P184-Components!$D$7))</f>
        <v/>
      </c>
      <c r="W184" s="61">
        <f>IF(G184="","",IF(N184="OK","NONE",INDEX({"S1","S2","W1","W2","N1","N2"},MATCH(MIN(Q184:V184),Q184:V184,0))))</f>
        <v/>
      </c>
      <c r="X184" s="69">
        <f>IF(G184="","",IF(W184=E184,1,0))</f>
        <v/>
      </c>
      <c r="Y184" s="70" t="n"/>
    </row>
    <row r="185">
      <c r="A185" s="61" t="n">
        <v>32</v>
      </c>
      <c r="B185" s="62" t="n">
        <v>37</v>
      </c>
      <c r="C185" s="61" t="inlineStr">
        <is>
          <t>R4</t>
        </is>
      </c>
      <c r="D185" s="74" t="inlineStr">
        <is>
          <t>NG</t>
        </is>
      </c>
      <c r="E185" s="61" t="inlineStr">
        <is>
          <t>W1</t>
        </is>
      </c>
      <c r="F185" s="61" t="inlineStr">
        <is>
          <t>K032</t>
        </is>
      </c>
      <c r="G185" s="64" t="n">
        <v>7.97</v>
      </c>
      <c r="H185" s="65" t="n"/>
      <c r="I185" s="66" t="n"/>
      <c r="J185" s="67">
        <f>VLOOKUP(C185,Recipes!$A$2:$N$4,10,FALSE())</f>
        <v/>
      </c>
      <c r="K185" s="68">
        <f>VLOOKUP(C185,Recipes!$A$2:$N$4,12,FALSE())</f>
        <v/>
      </c>
      <c r="L185" s="67">
        <f>J185-3.5*K185</f>
        <v/>
      </c>
      <c r="M185" s="67">
        <f>J185+3.5*K185</f>
        <v/>
      </c>
      <c r="N185" s="61">
        <f>IF(G185="","",IF(AND(G185&gt;=L185,G185&lt;=M185),"OK","NG"))</f>
        <v/>
      </c>
      <c r="O185" s="69">
        <f>IF(N185="","",IF(N185=D185,1,0))</f>
        <v/>
      </c>
      <c r="P185" s="67">
        <f>IF(G185="","",J185-G185)</f>
        <v/>
      </c>
      <c r="Q185" s="67">
        <f>IF(G185="","",ABS(P185-Components!$D$2))</f>
        <v/>
      </c>
      <c r="R185" s="67">
        <f>IF(G185="","",ABS(P185-Components!$D$3))</f>
        <v/>
      </c>
      <c r="S185" s="67">
        <f>IF(G185="","",ABS(P185-Components!$D$4))</f>
        <v/>
      </c>
      <c r="T185" s="67">
        <f>IF(G185="","",ABS(P185-Components!$D$5))</f>
        <v/>
      </c>
      <c r="U185" s="67">
        <f>IF(G185="","",ABS(P185-Components!$D$6))</f>
        <v/>
      </c>
      <c r="V185" s="67">
        <f>IF(G185="","",ABS(P185-Components!$D$7))</f>
        <v/>
      </c>
      <c r="W185" s="61">
        <f>IF(G185="","",IF(N185="OK","NONE",INDEX({"S1","S2","W1","W2","N1","N2"},MATCH(MIN(Q185:V185),Q185:V185,0))))</f>
        <v/>
      </c>
      <c r="X185" s="69">
        <f>IF(G185="","",IF(W185=E185,1,0))</f>
        <v/>
      </c>
      <c r="Y185" s="70" t="n"/>
    </row>
    <row r="186">
      <c r="A186" s="61" t="n">
        <v>33</v>
      </c>
      <c r="B186" s="62" t="n">
        <v>27</v>
      </c>
      <c r="C186" s="61" t="inlineStr">
        <is>
          <t>R4</t>
        </is>
      </c>
      <c r="D186" s="74" t="inlineStr">
        <is>
          <t>NG</t>
        </is>
      </c>
      <c r="E186" s="61" t="inlineStr">
        <is>
          <t>W1</t>
        </is>
      </c>
      <c r="F186" s="61" t="inlineStr">
        <is>
          <t>K033</t>
        </is>
      </c>
      <c r="G186" s="64" t="n">
        <v>7.94</v>
      </c>
      <c r="H186" s="65" t="n"/>
      <c r="I186" s="66" t="n"/>
      <c r="J186" s="67">
        <f>VLOOKUP(C186,Recipes!$A$2:$N$4,10,FALSE())</f>
        <v/>
      </c>
      <c r="K186" s="68">
        <f>VLOOKUP(C186,Recipes!$A$2:$N$4,12,FALSE())</f>
        <v/>
      </c>
      <c r="L186" s="67">
        <f>J186-3.5*K186</f>
        <v/>
      </c>
      <c r="M186" s="67">
        <f>J186+3.5*K186</f>
        <v/>
      </c>
      <c r="N186" s="61">
        <f>IF(G186="","",IF(AND(G186&gt;=L186,G186&lt;=M186),"OK","NG"))</f>
        <v/>
      </c>
      <c r="O186" s="69">
        <f>IF(N186="","",IF(N186=D186,1,0))</f>
        <v/>
      </c>
      <c r="P186" s="67">
        <f>IF(G186="","",J186-G186)</f>
        <v/>
      </c>
      <c r="Q186" s="67">
        <f>IF(G186="","",ABS(P186-Components!$D$2))</f>
        <v/>
      </c>
      <c r="R186" s="67">
        <f>IF(G186="","",ABS(P186-Components!$D$3))</f>
        <v/>
      </c>
      <c r="S186" s="67">
        <f>IF(G186="","",ABS(P186-Components!$D$4))</f>
        <v/>
      </c>
      <c r="T186" s="67">
        <f>IF(G186="","",ABS(P186-Components!$D$5))</f>
        <v/>
      </c>
      <c r="U186" s="67">
        <f>IF(G186="","",ABS(P186-Components!$D$6))</f>
        <v/>
      </c>
      <c r="V186" s="67">
        <f>IF(G186="","",ABS(P186-Components!$D$7))</f>
        <v/>
      </c>
      <c r="W186" s="61">
        <f>IF(G186="","",IF(N186="OK","NONE",INDEX({"S1","S2","W1","W2","N1","N2"},MATCH(MIN(Q186:V186),Q186:V186,0))))</f>
        <v/>
      </c>
      <c r="X186" s="69">
        <f>IF(G186="","",IF(W186=E186,1,0))</f>
        <v/>
      </c>
      <c r="Y186" s="70" t="n"/>
    </row>
    <row r="187">
      <c r="A187" s="76" t="n">
        <v>42</v>
      </c>
      <c r="B187" s="77" t="n">
        <v>48</v>
      </c>
      <c r="C187" s="76" t="inlineStr">
        <is>
          <t>R4</t>
        </is>
      </c>
      <c r="D187" s="78" t="inlineStr">
        <is>
          <t>NG</t>
        </is>
      </c>
      <c r="E187" s="76" t="inlineStr">
        <is>
          <t>W1</t>
        </is>
      </c>
      <c r="F187" s="76" t="inlineStr">
        <is>
          <t>K042</t>
        </is>
      </c>
      <c r="G187" s="75" t="n">
        <v>7.96</v>
      </c>
      <c r="H187" s="65" t="n"/>
      <c r="I187" s="66" t="n"/>
      <c r="J187" s="67">
        <f>VLOOKUP(C187,Recipes!$A$2:$N$4,10,FALSE())</f>
        <v/>
      </c>
      <c r="K187" s="68">
        <f>VLOOKUP(C187,Recipes!$A$2:$N$4,12,FALSE())</f>
        <v/>
      </c>
      <c r="L187" s="67">
        <f>J187-3.5*K187</f>
        <v/>
      </c>
      <c r="M187" s="67">
        <f>J187+3.5*K187</f>
        <v/>
      </c>
      <c r="N187" s="61">
        <f>IF(G187="","",IF(AND(G187&gt;=L187,G187&lt;=M187),"OK","NG"))</f>
        <v/>
      </c>
      <c r="O187" s="69">
        <f>IF(N187="","",IF(N187=D187,1,0))</f>
        <v/>
      </c>
      <c r="P187" s="67">
        <f>IF(G187="","",J187-G187)</f>
        <v/>
      </c>
      <c r="Q187" s="67">
        <f>IF(G187="","",ABS(P187-Components!$D$2))</f>
        <v/>
      </c>
      <c r="R187" s="67">
        <f>IF(G187="","",ABS(P187-Components!$D$3))</f>
        <v/>
      </c>
      <c r="S187" s="67">
        <f>IF(G187="","",ABS(P187-Components!$D$4))</f>
        <v/>
      </c>
      <c r="T187" s="67">
        <f>IF(G187="","",ABS(P187-Components!$D$5))</f>
        <v/>
      </c>
      <c r="U187" s="67">
        <f>IF(G187="","",ABS(P187-Components!$D$6))</f>
        <v/>
      </c>
      <c r="V187" s="67">
        <f>IF(G187="","",ABS(P187-Components!$D$7))</f>
        <v/>
      </c>
      <c r="W187" s="61">
        <f>IF(G187="","",IF(N187="OK","NONE",INDEX({"S1","S2","W1","W2","N1","N2"},MATCH(MIN(Q187:V187),Q187:V187,0))))</f>
        <v/>
      </c>
      <c r="X187" s="69">
        <f>IF(G187="","",IF(W187=E187,1,0))</f>
        <v/>
      </c>
      <c r="Y187" s="70" t="n"/>
    </row>
    <row r="188">
      <c r="A188" s="61" t="n">
        <v>41.4</v>
      </c>
      <c r="B188" s="62" t="n">
        <v>48.5</v>
      </c>
      <c r="C188" s="61" t="inlineStr">
        <is>
          <t>R4</t>
        </is>
      </c>
      <c r="D188" s="74" t="inlineStr">
        <is>
          <t>NG</t>
        </is>
      </c>
      <c r="E188" s="61" t="inlineStr">
        <is>
          <t>W1</t>
        </is>
      </c>
      <c r="F188" s="61" t="inlineStr">
        <is>
          <t>K030</t>
        </is>
      </c>
      <c r="G188" s="75" t="n">
        <v>8.02</v>
      </c>
      <c r="H188" s="65" t="n"/>
      <c r="I188" s="66" t="n"/>
      <c r="J188" s="67">
        <f>VLOOKUP(C188,Recipes!$A$2:$N$4,10,FALSE())</f>
        <v/>
      </c>
      <c r="K188" s="68">
        <f>VLOOKUP(C188,Recipes!$A$2:$N$4,12,FALSE())</f>
        <v/>
      </c>
      <c r="L188" s="67">
        <f>J188-3.5*K188</f>
        <v/>
      </c>
      <c r="M188" s="67">
        <f>J188+3.5*K188</f>
        <v/>
      </c>
      <c r="N188" s="61">
        <f>IF(G188="","",IF(AND(G188&gt;=L188,G188&lt;=M188),"OK","NG"))</f>
        <v/>
      </c>
      <c r="O188" s="69">
        <f>IF(N188="","",IF(N188=D188,1,0))</f>
        <v/>
      </c>
      <c r="P188" s="67">
        <f>IF(G188="","",J188-G188)</f>
        <v/>
      </c>
      <c r="Q188" s="67">
        <f>IF(G188="","",ABS(P188-Components!$D$2))</f>
        <v/>
      </c>
      <c r="R188" s="67">
        <f>IF(G188="","",ABS(P188-Components!$D$3))</f>
        <v/>
      </c>
      <c r="S188" s="67">
        <f>IF(G188="","",ABS(P188-Components!$D$4))</f>
        <v/>
      </c>
      <c r="T188" s="67">
        <f>IF(G188="","",ABS(P188-Components!$D$5))</f>
        <v/>
      </c>
      <c r="U188" s="67">
        <f>IF(G188="","",ABS(P188-Components!$D$6))</f>
        <v/>
      </c>
      <c r="V188" s="67">
        <f>IF(G188="","",ABS(P188-Components!$D$7))</f>
        <v/>
      </c>
      <c r="W188" s="61">
        <f>IF(G188="","",IF(N188="OK","NONE",INDEX({"S1","S2","W1","W2","N1","N2"},MATCH(MIN(Q188:V188),Q188:V188,0))))</f>
        <v/>
      </c>
      <c r="X188" s="69">
        <f>IF(G188="","",IF(W188=E188,1,0))</f>
        <v/>
      </c>
      <c r="Y188" s="70" t="n"/>
    </row>
    <row r="189">
      <c r="A189" s="61" t="n">
        <v>44</v>
      </c>
      <c r="B189" s="62" t="n">
        <v>53.8</v>
      </c>
      <c r="C189" s="61" t="inlineStr">
        <is>
          <t>R4</t>
        </is>
      </c>
      <c r="D189" s="74" t="inlineStr">
        <is>
          <t>NG</t>
        </is>
      </c>
      <c r="E189" s="61" t="inlineStr">
        <is>
          <t>W1</t>
        </is>
      </c>
      <c r="F189" s="61" t="inlineStr">
        <is>
          <t>K031</t>
        </is>
      </c>
      <c r="G189" s="75" t="n">
        <v>8.07</v>
      </c>
      <c r="H189" s="65" t="n"/>
      <c r="I189" s="66" t="n"/>
      <c r="J189" s="67">
        <f>VLOOKUP(C189,Recipes!$A$2:$N$4,10,FALSE())</f>
        <v/>
      </c>
      <c r="K189" s="68">
        <f>VLOOKUP(C189,Recipes!$A$2:$N$4,12,FALSE())</f>
        <v/>
      </c>
      <c r="L189" s="67">
        <f>J189-3.5*K189</f>
        <v/>
      </c>
      <c r="M189" s="67">
        <f>J189+3.5*K189</f>
        <v/>
      </c>
      <c r="N189" s="61">
        <f>IF(G189="","",IF(AND(G189&gt;=L189,G189&lt;=M189),"OK","NG"))</f>
        <v/>
      </c>
      <c r="O189" s="69">
        <f>IF(N189="","",IF(N189=D189,1,0))</f>
        <v/>
      </c>
      <c r="P189" s="67">
        <f>IF(G189="","",J189-G189)</f>
        <v/>
      </c>
      <c r="Q189" s="67">
        <f>IF(G189="","",ABS(P189-Components!$D$2))</f>
        <v/>
      </c>
      <c r="R189" s="67">
        <f>IF(G189="","",ABS(P189-Components!$D$3))</f>
        <v/>
      </c>
      <c r="S189" s="67">
        <f>IF(G189="","",ABS(P189-Components!$D$4))</f>
        <v/>
      </c>
      <c r="T189" s="67">
        <f>IF(G189="","",ABS(P189-Components!$D$5))</f>
        <v/>
      </c>
      <c r="U189" s="67">
        <f>IF(G189="","",ABS(P189-Components!$D$6))</f>
        <v/>
      </c>
      <c r="V189" s="67">
        <f>IF(G189="","",ABS(P189-Components!$D$7))</f>
        <v/>
      </c>
      <c r="W189" s="61">
        <f>IF(G189="","",IF(N189="OK","NONE",INDEX({"S1","S2","W1","W2","N1","N2"},MATCH(MIN(Q189:V189),Q189:V189,0))))</f>
        <v/>
      </c>
      <c r="X189" s="69">
        <f>IF(G189="","",IF(W189=E189,1,0))</f>
        <v/>
      </c>
      <c r="Y189" s="70" t="n"/>
    </row>
    <row r="190">
      <c r="A190" s="61" t="n">
        <v>46.6</v>
      </c>
      <c r="B190" s="62" t="n">
        <v>59.1</v>
      </c>
      <c r="C190" s="61" t="inlineStr">
        <is>
          <t>R4</t>
        </is>
      </c>
      <c r="D190" s="74" t="inlineStr">
        <is>
          <t>NG</t>
        </is>
      </c>
      <c r="E190" s="61" t="inlineStr">
        <is>
          <t>W1</t>
        </is>
      </c>
      <c r="F190" s="61" t="inlineStr">
        <is>
          <t>K032</t>
        </is>
      </c>
      <c r="G190" s="75" t="n">
        <v>7.89</v>
      </c>
      <c r="H190" s="65" t="n"/>
      <c r="I190" s="66" t="n"/>
      <c r="J190" s="67">
        <f>VLOOKUP(C190,Recipes!$A$2:$N$4,10,FALSE())</f>
        <v/>
      </c>
      <c r="K190" s="68">
        <f>VLOOKUP(C190,Recipes!$A$2:$N$4,12,FALSE())</f>
        <v/>
      </c>
      <c r="L190" s="67">
        <f>J190-3.5*K190</f>
        <v/>
      </c>
      <c r="M190" s="67">
        <f>J190+3.5*K190</f>
        <v/>
      </c>
      <c r="N190" s="61">
        <f>IF(G190="","",IF(AND(G190&gt;=L190,G190&lt;=M190),"OK","NG"))</f>
        <v/>
      </c>
      <c r="O190" s="69">
        <f>IF(N190="","",IF(N190=D190,1,0))</f>
        <v/>
      </c>
      <c r="P190" s="67">
        <f>IF(G190="","",J190-G190)</f>
        <v/>
      </c>
      <c r="Q190" s="67">
        <f>IF(G190="","",ABS(P190-Components!$D$2))</f>
        <v/>
      </c>
      <c r="R190" s="67">
        <f>IF(G190="","",ABS(P190-Components!$D$3))</f>
        <v/>
      </c>
      <c r="S190" s="67">
        <f>IF(G190="","",ABS(P190-Components!$D$4))</f>
        <v/>
      </c>
      <c r="T190" s="67">
        <f>IF(G190="","",ABS(P190-Components!$D$5))</f>
        <v/>
      </c>
      <c r="U190" s="67">
        <f>IF(G190="","",ABS(P190-Components!$D$6))</f>
        <v/>
      </c>
      <c r="V190" s="67">
        <f>IF(G190="","",ABS(P190-Components!$D$7))</f>
        <v/>
      </c>
      <c r="W190" s="61">
        <f>IF(G190="","",IF(N190="OK","NONE",INDEX({"S1","S2","W1","W2","N1","N2"},MATCH(MIN(Q190:V190),Q190:V190,0))))</f>
        <v/>
      </c>
      <c r="X190" s="69">
        <f>IF(G190="","",IF(W190=E190,1,0))</f>
        <v/>
      </c>
      <c r="Y190" s="70" t="n"/>
    </row>
    <row r="191">
      <c r="A191" s="61" t="n">
        <v>49.2</v>
      </c>
      <c r="B191" s="62" t="n">
        <v>64.40000000000001</v>
      </c>
      <c r="C191" s="61" t="inlineStr">
        <is>
          <t>R4</t>
        </is>
      </c>
      <c r="D191" s="74" t="inlineStr">
        <is>
          <t>NG</t>
        </is>
      </c>
      <c r="E191" s="61" t="inlineStr">
        <is>
          <t>W1</t>
        </is>
      </c>
      <c r="F191" s="61" t="inlineStr">
        <is>
          <t>K033</t>
        </is>
      </c>
      <c r="G191" s="75" t="n">
        <v>7.91</v>
      </c>
      <c r="H191" s="65" t="n"/>
      <c r="I191" s="66" t="n"/>
      <c r="J191" s="67">
        <f>VLOOKUP(C191,Recipes!$A$2:$N$4,10,FALSE())</f>
        <v/>
      </c>
      <c r="K191" s="68">
        <f>VLOOKUP(C191,Recipes!$A$2:$N$4,12,FALSE())</f>
        <v/>
      </c>
      <c r="L191" s="67">
        <f>J191-3.5*K191</f>
        <v/>
      </c>
      <c r="M191" s="67">
        <f>J191+3.5*K191</f>
        <v/>
      </c>
      <c r="N191" s="61">
        <f>IF(G191="","",IF(AND(G191&gt;=L191,G191&lt;=M191),"OK","NG"))</f>
        <v/>
      </c>
      <c r="O191" s="69">
        <f>IF(N191="","",IF(N191=D191,1,0))</f>
        <v/>
      </c>
      <c r="P191" s="67">
        <f>IF(G191="","",J191-G191)</f>
        <v/>
      </c>
      <c r="Q191" s="67">
        <f>IF(G191="","",ABS(P191-Components!$D$2))</f>
        <v/>
      </c>
      <c r="R191" s="67">
        <f>IF(G191="","",ABS(P191-Components!$D$3))</f>
        <v/>
      </c>
      <c r="S191" s="67">
        <f>IF(G191="","",ABS(P191-Components!$D$4))</f>
        <v/>
      </c>
      <c r="T191" s="67">
        <f>IF(G191="","",ABS(P191-Components!$D$5))</f>
        <v/>
      </c>
      <c r="U191" s="67">
        <f>IF(G191="","",ABS(P191-Components!$D$6))</f>
        <v/>
      </c>
      <c r="V191" s="67">
        <f>IF(G191="","",ABS(P191-Components!$D$7))</f>
        <v/>
      </c>
      <c r="W191" s="61">
        <f>IF(G191="","",IF(N191="OK","NONE",INDEX({"S1","S2","W1","W2","N1","N2"},MATCH(MIN(Q191:V191),Q191:V191,0))))</f>
        <v/>
      </c>
      <c r="X191" s="69">
        <f>IF(G191="","",IF(W191=E191,1,0))</f>
        <v/>
      </c>
      <c r="Y191" s="70" t="n"/>
    </row>
    <row r="192">
      <c r="A192" s="76" t="n">
        <v>51.8</v>
      </c>
      <c r="B192" s="77" t="n">
        <v>69.7</v>
      </c>
      <c r="C192" s="76" t="inlineStr">
        <is>
          <t>R4</t>
        </is>
      </c>
      <c r="D192" s="78" t="inlineStr">
        <is>
          <t>NG</t>
        </is>
      </c>
      <c r="E192" s="76" t="inlineStr">
        <is>
          <t>W1</t>
        </is>
      </c>
      <c r="F192" s="76" t="inlineStr">
        <is>
          <t>K042</t>
        </is>
      </c>
      <c r="G192" s="75" t="n">
        <v>7.95</v>
      </c>
      <c r="H192" s="65" t="n"/>
      <c r="I192" s="66" t="n"/>
      <c r="J192" s="67">
        <f>VLOOKUP(C192,Recipes!$A$2:$N$4,10,FALSE())</f>
        <v/>
      </c>
      <c r="K192" s="68">
        <f>VLOOKUP(C192,Recipes!$A$2:$N$4,12,FALSE())</f>
        <v/>
      </c>
      <c r="L192" s="67">
        <f>J192-3.5*K192</f>
        <v/>
      </c>
      <c r="M192" s="67">
        <f>J192+3.5*K192</f>
        <v/>
      </c>
      <c r="N192" s="61">
        <f>IF(G192="","",IF(AND(G192&gt;=L192,G192&lt;=M192),"OK","NG"))</f>
        <v/>
      </c>
      <c r="O192" s="69">
        <f>IF(N192="","",IF(N192=D192,1,0))</f>
        <v/>
      </c>
      <c r="P192" s="67">
        <f>IF(G192="","",J192-G192)</f>
        <v/>
      </c>
      <c r="Q192" s="67">
        <f>IF(G192="","",ABS(P192-Components!$D$2))</f>
        <v/>
      </c>
      <c r="R192" s="67">
        <f>IF(G192="","",ABS(P192-Components!$D$3))</f>
        <v/>
      </c>
      <c r="S192" s="67">
        <f>IF(G192="","",ABS(P192-Components!$D$4))</f>
        <v/>
      </c>
      <c r="T192" s="67">
        <f>IF(G192="","",ABS(P192-Components!$D$5))</f>
        <v/>
      </c>
      <c r="U192" s="67">
        <f>IF(G192="","",ABS(P192-Components!$D$6))</f>
        <v/>
      </c>
      <c r="V192" s="67">
        <f>IF(G192="","",ABS(P192-Components!$D$7))</f>
        <v/>
      </c>
      <c r="W192" s="61">
        <f>IF(G192="","",IF(N192="OK","NONE",INDEX({"S1","S2","W1","W2","N1","N2"},MATCH(MIN(Q192:V192),Q192:V192,0))))</f>
        <v/>
      </c>
      <c r="X192" s="69">
        <f>IF(G192="","",IF(W192=E192,1,0))</f>
        <v/>
      </c>
      <c r="Y192" s="70" t="n"/>
    </row>
    <row r="193">
      <c r="A193" s="61" t="n">
        <v>54.4</v>
      </c>
      <c r="B193" s="62" t="n">
        <v>75</v>
      </c>
      <c r="C193" s="61" t="inlineStr">
        <is>
          <t>R4</t>
        </is>
      </c>
      <c r="D193" s="74" t="inlineStr">
        <is>
          <t>NG</t>
        </is>
      </c>
      <c r="E193" s="61" t="inlineStr">
        <is>
          <t>W1</t>
        </is>
      </c>
      <c r="F193" s="61" t="inlineStr">
        <is>
          <t>K030</t>
        </is>
      </c>
      <c r="G193" s="75" t="n">
        <v>7.95</v>
      </c>
      <c r="H193" s="65" t="n"/>
      <c r="I193" s="66" t="n"/>
      <c r="J193" s="67">
        <f>VLOOKUP(C193,Recipes!$A$2:$N$4,10,FALSE())</f>
        <v/>
      </c>
      <c r="K193" s="68">
        <f>VLOOKUP(C193,Recipes!$A$2:$N$4,12,FALSE())</f>
        <v/>
      </c>
      <c r="L193" s="67">
        <f>J193-3.5*K193</f>
        <v/>
      </c>
      <c r="M193" s="67">
        <f>J193+3.5*K193</f>
        <v/>
      </c>
      <c r="N193" s="61">
        <f>IF(G193="","",IF(AND(G193&gt;=L193,G193&lt;=M193),"OK","NG"))</f>
        <v/>
      </c>
      <c r="O193" s="69">
        <f>IF(N193="","",IF(N193=D193,1,0))</f>
        <v/>
      </c>
      <c r="P193" s="67">
        <f>IF(G193="","",J193-G193)</f>
        <v/>
      </c>
      <c r="Q193" s="67">
        <f>IF(G193="","",ABS(P193-Components!$D$2))</f>
        <v/>
      </c>
      <c r="R193" s="67">
        <f>IF(G193="","",ABS(P193-Components!$D$3))</f>
        <v/>
      </c>
      <c r="S193" s="67">
        <f>IF(G193="","",ABS(P193-Components!$D$4))</f>
        <v/>
      </c>
      <c r="T193" s="67">
        <f>IF(G193="","",ABS(P193-Components!$D$5))</f>
        <v/>
      </c>
      <c r="U193" s="67">
        <f>IF(G193="","",ABS(P193-Components!$D$6))</f>
        <v/>
      </c>
      <c r="V193" s="67">
        <f>IF(G193="","",ABS(P193-Components!$D$7))</f>
        <v/>
      </c>
      <c r="W193" s="61">
        <f>IF(G193="","",IF(N193="OK","NONE",INDEX({"S1","S2","W1","W2","N1","N2"},MATCH(MIN(Q193:V193),Q193:V193,0))))</f>
        <v/>
      </c>
      <c r="X193" s="69">
        <f>IF(G193="","",IF(W193=E193,1,0))</f>
        <v/>
      </c>
      <c r="Y193" s="70" t="n"/>
    </row>
    <row r="194">
      <c r="A194" s="61" t="n">
        <v>57</v>
      </c>
      <c r="B194" s="62" t="n">
        <v>80.3</v>
      </c>
      <c r="C194" s="61" t="inlineStr">
        <is>
          <t>R4</t>
        </is>
      </c>
      <c r="D194" s="74" t="inlineStr">
        <is>
          <t>NG</t>
        </is>
      </c>
      <c r="E194" s="61" t="inlineStr">
        <is>
          <t>W1</t>
        </is>
      </c>
      <c r="F194" s="61" t="inlineStr">
        <is>
          <t>K031</t>
        </is>
      </c>
      <c r="G194" s="75" t="n">
        <v>7.9</v>
      </c>
      <c r="H194" s="65" t="n"/>
      <c r="I194" s="66" t="n"/>
      <c r="J194" s="67">
        <f>VLOOKUP(C194,Recipes!$A$2:$N$4,10,FALSE())</f>
        <v/>
      </c>
      <c r="K194" s="68">
        <f>VLOOKUP(C194,Recipes!$A$2:$N$4,12,FALSE())</f>
        <v/>
      </c>
      <c r="L194" s="67">
        <f>J194-3.5*K194</f>
        <v/>
      </c>
      <c r="M194" s="67">
        <f>J194+3.5*K194</f>
        <v/>
      </c>
      <c r="N194" s="61">
        <f>IF(G194="","",IF(AND(G194&gt;=L194,G194&lt;=M194),"OK","NG"))</f>
        <v/>
      </c>
      <c r="O194" s="69">
        <f>IF(N194="","",IF(N194=D194,1,0))</f>
        <v/>
      </c>
      <c r="P194" s="67">
        <f>IF(G194="","",J194-G194)</f>
        <v/>
      </c>
      <c r="Q194" s="67">
        <f>IF(G194="","",ABS(P194-Components!$D$2))</f>
        <v/>
      </c>
      <c r="R194" s="67">
        <f>IF(G194="","",ABS(P194-Components!$D$3))</f>
        <v/>
      </c>
      <c r="S194" s="67">
        <f>IF(G194="","",ABS(P194-Components!$D$4))</f>
        <v/>
      </c>
      <c r="T194" s="67">
        <f>IF(G194="","",ABS(P194-Components!$D$5))</f>
        <v/>
      </c>
      <c r="U194" s="67">
        <f>IF(G194="","",ABS(P194-Components!$D$6))</f>
        <v/>
      </c>
      <c r="V194" s="67">
        <f>IF(G194="","",ABS(P194-Components!$D$7))</f>
        <v/>
      </c>
      <c r="W194" s="61">
        <f>IF(G194="","",IF(N194="OK","NONE",INDEX({"S1","S2","W1","W2","N1","N2"},MATCH(MIN(Q194:V194),Q194:V194,0))))</f>
        <v/>
      </c>
      <c r="X194" s="69">
        <f>IF(G194="","",IF(W194=E194,1,0))</f>
        <v/>
      </c>
      <c r="Y194" s="70" t="n"/>
    </row>
    <row r="195">
      <c r="A195" s="61" t="n">
        <v>59.6</v>
      </c>
      <c r="B195" s="62" t="n">
        <v>85.59999999999999</v>
      </c>
      <c r="C195" s="61" t="inlineStr">
        <is>
          <t>R4</t>
        </is>
      </c>
      <c r="D195" s="74" t="inlineStr">
        <is>
          <t>NG</t>
        </is>
      </c>
      <c r="E195" s="61" t="inlineStr">
        <is>
          <t>W1</t>
        </is>
      </c>
      <c r="F195" s="61" t="inlineStr">
        <is>
          <t>K032</t>
        </is>
      </c>
      <c r="G195" s="75" t="n">
        <v>7.91</v>
      </c>
      <c r="H195" s="65" t="n"/>
      <c r="I195" s="66" t="n"/>
      <c r="J195" s="67">
        <f>VLOOKUP(C195,Recipes!$A$2:$N$4,10,FALSE())</f>
        <v/>
      </c>
      <c r="K195" s="68">
        <f>VLOOKUP(C195,Recipes!$A$2:$N$4,12,FALSE())</f>
        <v/>
      </c>
      <c r="L195" s="67">
        <f>J195-3.5*K195</f>
        <v/>
      </c>
      <c r="M195" s="67">
        <f>J195+3.5*K195</f>
        <v/>
      </c>
      <c r="N195" s="61">
        <f>IF(G195="","",IF(AND(G195&gt;=L195,G195&lt;=M195),"OK","NG"))</f>
        <v/>
      </c>
      <c r="O195" s="69">
        <f>IF(N195="","",IF(N195=D195,1,0))</f>
        <v/>
      </c>
      <c r="P195" s="67">
        <f>IF(G195="","",J195-G195)</f>
        <v/>
      </c>
      <c r="Q195" s="67">
        <f>IF(G195="","",ABS(P195-Components!$D$2))</f>
        <v/>
      </c>
      <c r="R195" s="67">
        <f>IF(G195="","",ABS(P195-Components!$D$3))</f>
        <v/>
      </c>
      <c r="S195" s="67">
        <f>IF(G195="","",ABS(P195-Components!$D$4))</f>
        <v/>
      </c>
      <c r="T195" s="67">
        <f>IF(G195="","",ABS(P195-Components!$D$5))</f>
        <v/>
      </c>
      <c r="U195" s="67">
        <f>IF(G195="","",ABS(P195-Components!$D$6))</f>
        <v/>
      </c>
      <c r="V195" s="67">
        <f>IF(G195="","",ABS(P195-Components!$D$7))</f>
        <v/>
      </c>
      <c r="W195" s="61">
        <f>IF(G195="","",IF(N195="OK","NONE",INDEX({"S1","S2","W1","W2","N1","N2"},MATCH(MIN(Q195:V195),Q195:V195,0))))</f>
        <v/>
      </c>
      <c r="X195" s="69">
        <f>IF(G195="","",IF(W195=E195,1,0))</f>
        <v/>
      </c>
      <c r="Y195" s="70" t="n"/>
    </row>
    <row r="196">
      <c r="A196" s="61" t="n">
        <v>62.2</v>
      </c>
      <c r="B196" s="62" t="n">
        <v>90.90000000000001</v>
      </c>
      <c r="C196" s="61" t="inlineStr">
        <is>
          <t>R4</t>
        </is>
      </c>
      <c r="D196" s="74" t="inlineStr">
        <is>
          <t>NG</t>
        </is>
      </c>
      <c r="E196" s="61" t="inlineStr">
        <is>
          <t>W1</t>
        </is>
      </c>
      <c r="F196" s="61" t="inlineStr">
        <is>
          <t>K033</t>
        </is>
      </c>
      <c r="G196" s="75" t="n">
        <v>7.98</v>
      </c>
      <c r="H196" s="65" t="n"/>
      <c r="I196" s="66" t="n"/>
      <c r="J196" s="67">
        <f>VLOOKUP(C196,Recipes!$A$2:$N$4,10,FALSE())</f>
        <v/>
      </c>
      <c r="K196" s="68">
        <f>VLOOKUP(C196,Recipes!$A$2:$N$4,12,FALSE())</f>
        <v/>
      </c>
      <c r="L196" s="67">
        <f>J196-3.5*K196</f>
        <v/>
      </c>
      <c r="M196" s="67">
        <f>J196+3.5*K196</f>
        <v/>
      </c>
      <c r="N196" s="61">
        <f>IF(G196="","",IF(AND(G196&gt;=L196,G196&lt;=M196),"OK","NG"))</f>
        <v/>
      </c>
      <c r="O196" s="69">
        <f>IF(N196="","",IF(N196=D196,1,0))</f>
        <v/>
      </c>
      <c r="P196" s="67">
        <f>IF(G196="","",J196-G196)</f>
        <v/>
      </c>
      <c r="Q196" s="67">
        <f>IF(G196="","",ABS(P196-Components!$D$2))</f>
        <v/>
      </c>
      <c r="R196" s="67">
        <f>IF(G196="","",ABS(P196-Components!$D$3))</f>
        <v/>
      </c>
      <c r="S196" s="67">
        <f>IF(G196="","",ABS(P196-Components!$D$4))</f>
        <v/>
      </c>
      <c r="T196" s="67">
        <f>IF(G196="","",ABS(P196-Components!$D$5))</f>
        <v/>
      </c>
      <c r="U196" s="67">
        <f>IF(G196="","",ABS(P196-Components!$D$6))</f>
        <v/>
      </c>
      <c r="V196" s="67">
        <f>IF(G196="","",ABS(P196-Components!$D$7))</f>
        <v/>
      </c>
      <c r="W196" s="61">
        <f>IF(G196="","",IF(N196="OK","NONE",INDEX({"S1","S2","W1","W2","N1","N2"},MATCH(MIN(Q196:V196),Q196:V196,0))))</f>
        <v/>
      </c>
      <c r="X196" s="69">
        <f>IF(G196="","",IF(W196=E196,1,0))</f>
        <v/>
      </c>
      <c r="Y196" s="70" t="n"/>
    </row>
    <row r="197">
      <c r="A197" s="76" t="n">
        <v>64.8</v>
      </c>
      <c r="B197" s="77" t="n">
        <v>96.2</v>
      </c>
      <c r="C197" s="76" t="inlineStr">
        <is>
          <t>R4</t>
        </is>
      </c>
      <c r="D197" s="78" t="inlineStr">
        <is>
          <t>NG</t>
        </is>
      </c>
      <c r="E197" s="76" t="inlineStr">
        <is>
          <t>W1</t>
        </is>
      </c>
      <c r="F197" s="76" t="inlineStr">
        <is>
          <t>K042</t>
        </is>
      </c>
      <c r="G197" s="75" t="n">
        <v>7.95</v>
      </c>
      <c r="H197" s="65" t="n"/>
      <c r="I197" s="66" t="n"/>
      <c r="J197" s="67">
        <f>VLOOKUP(C197,Recipes!$A$2:$N$4,10,FALSE())</f>
        <v/>
      </c>
      <c r="K197" s="68">
        <f>VLOOKUP(C197,Recipes!$A$2:$N$4,12,FALSE())</f>
        <v/>
      </c>
      <c r="L197" s="67">
        <f>J197-3.5*K197</f>
        <v/>
      </c>
      <c r="M197" s="67">
        <f>J197+3.5*K197</f>
        <v/>
      </c>
      <c r="N197" s="61">
        <f>IF(G197="","",IF(AND(G197&gt;=L197,G197&lt;=M197),"OK","NG"))</f>
        <v/>
      </c>
      <c r="O197" s="69">
        <f>IF(N197="","",IF(N197=D197,1,0))</f>
        <v/>
      </c>
      <c r="P197" s="67">
        <f>IF(G197="","",J197-G197)</f>
        <v/>
      </c>
      <c r="Q197" s="67">
        <f>IF(G197="","",ABS(P197-Components!$D$2))</f>
        <v/>
      </c>
      <c r="R197" s="67">
        <f>IF(G197="","",ABS(P197-Components!$D$3))</f>
        <v/>
      </c>
      <c r="S197" s="67">
        <f>IF(G197="","",ABS(P197-Components!$D$4))</f>
        <v/>
      </c>
      <c r="T197" s="67">
        <f>IF(G197="","",ABS(P197-Components!$D$5))</f>
        <v/>
      </c>
      <c r="U197" s="67">
        <f>IF(G197="","",ABS(P197-Components!$D$6))</f>
        <v/>
      </c>
      <c r="V197" s="67">
        <f>IF(G197="","",ABS(P197-Components!$D$7))</f>
        <v/>
      </c>
      <c r="W197" s="61">
        <f>IF(G197="","",IF(N197="OK","NONE",INDEX({"S1","S2","W1","W2","N1","N2"},MATCH(MIN(Q197:V197),Q197:V197,0))))</f>
        <v/>
      </c>
      <c r="X197" s="69">
        <f>IF(G197="","",IF(W197=E197,1,0))</f>
        <v/>
      </c>
      <c r="Y197" s="70" t="n"/>
    </row>
    <row r="198">
      <c r="A198" s="61" t="n">
        <v>67.40000000000001</v>
      </c>
      <c r="B198" s="62" t="n">
        <v>101.5</v>
      </c>
      <c r="C198" s="61" t="inlineStr">
        <is>
          <t>R4</t>
        </is>
      </c>
      <c r="D198" s="74" t="inlineStr">
        <is>
          <t>NG</t>
        </is>
      </c>
      <c r="E198" s="61" t="inlineStr">
        <is>
          <t>W1</t>
        </is>
      </c>
      <c r="F198" s="61" t="inlineStr">
        <is>
          <t>K030</t>
        </is>
      </c>
      <c r="G198" s="75" t="n">
        <v>7.964</v>
      </c>
      <c r="H198" s="65" t="n"/>
      <c r="I198" s="66" t="n"/>
      <c r="J198" s="67">
        <f>VLOOKUP(C198,Recipes!$A$2:$N$4,10,FALSE())</f>
        <v/>
      </c>
      <c r="K198" s="68">
        <f>VLOOKUP(C198,Recipes!$A$2:$N$4,12,FALSE())</f>
        <v/>
      </c>
      <c r="L198" s="67">
        <f>J198-3.5*K198</f>
        <v/>
      </c>
      <c r="M198" s="67">
        <f>J198+3.5*K198</f>
        <v/>
      </c>
      <c r="N198" s="61">
        <f>IF(G198="","",IF(AND(G198&gt;=L198,G198&lt;=M198),"OK","NG"))</f>
        <v/>
      </c>
      <c r="O198" s="69">
        <f>IF(N198="","",IF(N198=D198,1,0))</f>
        <v/>
      </c>
      <c r="P198" s="67">
        <f>IF(G198="","",J198-G198)</f>
        <v/>
      </c>
      <c r="Q198" s="67">
        <f>IF(G198="","",ABS(P198-Components!$D$2))</f>
        <v/>
      </c>
      <c r="R198" s="67">
        <f>IF(G198="","",ABS(P198-Components!$D$3))</f>
        <v/>
      </c>
      <c r="S198" s="67">
        <f>IF(G198="","",ABS(P198-Components!$D$4))</f>
        <v/>
      </c>
      <c r="T198" s="67">
        <f>IF(G198="","",ABS(P198-Components!$D$5))</f>
        <v/>
      </c>
      <c r="U198" s="67">
        <f>IF(G198="","",ABS(P198-Components!$D$6))</f>
        <v/>
      </c>
      <c r="V198" s="67">
        <f>IF(G198="","",ABS(P198-Components!$D$7))</f>
        <v/>
      </c>
      <c r="W198" s="61">
        <f>IF(G198="","",IF(N198="OK","NONE",INDEX({"S1","S2","W1","W2","N1","N2"},MATCH(MIN(Q198:V198),Q198:V198,0))))</f>
        <v/>
      </c>
      <c r="X198" s="69">
        <f>IF(G198="","",IF(W198=E198,1,0))</f>
        <v/>
      </c>
      <c r="Y198" s="70" t="n"/>
    </row>
    <row r="199">
      <c r="A199" s="61" t="n">
        <v>70</v>
      </c>
      <c r="B199" s="62" t="n">
        <v>106.8</v>
      </c>
      <c r="C199" s="61" t="inlineStr">
        <is>
          <t>R4</t>
        </is>
      </c>
      <c r="D199" s="74" t="inlineStr">
        <is>
          <t>NG</t>
        </is>
      </c>
      <c r="E199" s="61" t="inlineStr">
        <is>
          <t>W1</t>
        </is>
      </c>
      <c r="F199" s="61" t="inlineStr">
        <is>
          <t>K031</t>
        </is>
      </c>
      <c r="G199" s="75" t="n">
        <v>7.97</v>
      </c>
      <c r="H199" s="65" t="n"/>
      <c r="I199" s="66" t="n"/>
      <c r="J199" s="67">
        <f>VLOOKUP(C199,Recipes!$A$2:$N$4,10,FALSE())</f>
        <v/>
      </c>
      <c r="K199" s="68">
        <f>VLOOKUP(C199,Recipes!$A$2:$N$4,12,FALSE())</f>
        <v/>
      </c>
      <c r="L199" s="67">
        <f>J199-3.5*K199</f>
        <v/>
      </c>
      <c r="M199" s="67">
        <f>J199+3.5*K199</f>
        <v/>
      </c>
      <c r="N199" s="61">
        <f>IF(G199="","",IF(AND(G199&gt;=L199,G199&lt;=M199),"OK","NG"))</f>
        <v/>
      </c>
      <c r="O199" s="69">
        <f>IF(N199="","",IF(N199=D199,1,0))</f>
        <v/>
      </c>
      <c r="P199" s="67">
        <f>IF(G199="","",J199-G199)</f>
        <v/>
      </c>
      <c r="Q199" s="67">
        <f>IF(G199="","",ABS(P199-Components!$D$2))</f>
        <v/>
      </c>
      <c r="R199" s="67">
        <f>IF(G199="","",ABS(P199-Components!$D$3))</f>
        <v/>
      </c>
      <c r="S199" s="67">
        <f>IF(G199="","",ABS(P199-Components!$D$4))</f>
        <v/>
      </c>
      <c r="T199" s="67">
        <f>IF(G199="","",ABS(P199-Components!$D$5))</f>
        <v/>
      </c>
      <c r="U199" s="67">
        <f>IF(G199="","",ABS(P199-Components!$D$6))</f>
        <v/>
      </c>
      <c r="V199" s="67">
        <f>IF(G199="","",ABS(P199-Components!$D$7))</f>
        <v/>
      </c>
      <c r="W199" s="61">
        <f>IF(G199="","",IF(N199="OK","NONE",INDEX({"S1","S2","W1","W2","N1","N2"},MATCH(MIN(Q199:V199),Q199:V199,0))))</f>
        <v/>
      </c>
      <c r="X199" s="69">
        <f>IF(G199="","",IF(W199=E199,1,0))</f>
        <v/>
      </c>
      <c r="Y199" s="70" t="n"/>
    </row>
    <row r="200">
      <c r="A200" s="61" t="n">
        <v>72.59999999999999</v>
      </c>
      <c r="B200" s="62" t="n">
        <v>112.1</v>
      </c>
      <c r="C200" s="61" t="inlineStr">
        <is>
          <t>R4</t>
        </is>
      </c>
      <c r="D200" s="74" t="inlineStr">
        <is>
          <t>NG</t>
        </is>
      </c>
      <c r="E200" s="61" t="inlineStr">
        <is>
          <t>W1</t>
        </is>
      </c>
      <c r="F200" s="61" t="inlineStr">
        <is>
          <t>K032</t>
        </is>
      </c>
      <c r="G200" s="75" t="n">
        <v>7.91</v>
      </c>
      <c r="H200" s="65" t="n"/>
      <c r="I200" s="66" t="n"/>
      <c r="J200" s="67">
        <f>VLOOKUP(C200,Recipes!$A$2:$N$4,10,FALSE())</f>
        <v/>
      </c>
      <c r="K200" s="68">
        <f>VLOOKUP(C200,Recipes!$A$2:$N$4,12,FALSE())</f>
        <v/>
      </c>
      <c r="L200" s="67">
        <f>J200-3.5*K200</f>
        <v/>
      </c>
      <c r="M200" s="67">
        <f>J200+3.5*K200</f>
        <v/>
      </c>
      <c r="N200" s="61">
        <f>IF(G200="","",IF(AND(G200&gt;=L200,G200&lt;=M200),"OK","NG"))</f>
        <v/>
      </c>
      <c r="O200" s="69">
        <f>IF(N200="","",IF(N200=D200,1,0))</f>
        <v/>
      </c>
      <c r="P200" s="67">
        <f>IF(G200="","",J200-G200)</f>
        <v/>
      </c>
      <c r="Q200" s="67">
        <f>IF(G200="","",ABS(P200-Components!$D$2))</f>
        <v/>
      </c>
      <c r="R200" s="67">
        <f>IF(G200="","",ABS(P200-Components!$D$3))</f>
        <v/>
      </c>
      <c r="S200" s="67">
        <f>IF(G200="","",ABS(P200-Components!$D$4))</f>
        <v/>
      </c>
      <c r="T200" s="67">
        <f>IF(G200="","",ABS(P200-Components!$D$5))</f>
        <v/>
      </c>
      <c r="U200" s="67">
        <f>IF(G200="","",ABS(P200-Components!$D$6))</f>
        <v/>
      </c>
      <c r="V200" s="67">
        <f>IF(G200="","",ABS(P200-Components!$D$7))</f>
        <v/>
      </c>
      <c r="W200" s="61">
        <f>IF(G200="","",IF(N200="OK","NONE",INDEX({"S1","S2","W1","W2","N1","N2"},MATCH(MIN(Q200:V200),Q200:V200,0))))</f>
        <v/>
      </c>
      <c r="X200" s="69">
        <f>IF(G200="","",IF(W200=E200,1,0))</f>
        <v/>
      </c>
      <c r="Y200" s="70" t="n"/>
    </row>
    <row r="201">
      <c r="A201" s="61" t="n">
        <v>75.2</v>
      </c>
      <c r="B201" s="62" t="n">
        <v>117.4</v>
      </c>
      <c r="C201" s="61" t="inlineStr">
        <is>
          <t>R4</t>
        </is>
      </c>
      <c r="D201" s="74" t="inlineStr">
        <is>
          <t>NG</t>
        </is>
      </c>
      <c r="E201" s="61" t="inlineStr">
        <is>
          <t>W1</t>
        </is>
      </c>
      <c r="F201" s="61" t="inlineStr">
        <is>
          <t>K033</t>
        </is>
      </c>
      <c r="G201" s="75" t="n">
        <v>7.93</v>
      </c>
      <c r="H201" s="65" t="n"/>
      <c r="I201" s="66" t="n"/>
      <c r="J201" s="67">
        <f>VLOOKUP(C201,Recipes!$A$2:$N$4,10,FALSE())</f>
        <v/>
      </c>
      <c r="K201" s="68">
        <f>VLOOKUP(C201,Recipes!$A$2:$N$4,12,FALSE())</f>
        <v/>
      </c>
      <c r="L201" s="67">
        <f>J201-3.5*K201</f>
        <v/>
      </c>
      <c r="M201" s="67">
        <f>J201+3.5*K201</f>
        <v/>
      </c>
      <c r="N201" s="61">
        <f>IF(G201="","",IF(AND(G201&gt;=L201,G201&lt;=M201),"OK","NG"))</f>
        <v/>
      </c>
      <c r="O201" s="69">
        <f>IF(N201="","",IF(N201=D201,1,0))</f>
        <v/>
      </c>
      <c r="P201" s="67">
        <f>IF(G201="","",J201-G201)</f>
        <v/>
      </c>
      <c r="Q201" s="67">
        <f>IF(G201="","",ABS(P201-Components!$D$2))</f>
        <v/>
      </c>
      <c r="R201" s="67">
        <f>IF(G201="","",ABS(P201-Components!$D$3))</f>
        <v/>
      </c>
      <c r="S201" s="67">
        <f>IF(G201="","",ABS(P201-Components!$D$4))</f>
        <v/>
      </c>
      <c r="T201" s="67">
        <f>IF(G201="","",ABS(P201-Components!$D$5))</f>
        <v/>
      </c>
      <c r="U201" s="67">
        <f>IF(G201="","",ABS(P201-Components!$D$6))</f>
        <v/>
      </c>
      <c r="V201" s="67">
        <f>IF(G201="","",ABS(P201-Components!$D$7))</f>
        <v/>
      </c>
      <c r="W201" s="61">
        <f>IF(G201="","",IF(N201="OK","NONE",INDEX({"S1","S2","W1","W2","N1","N2"},MATCH(MIN(Q201:V201),Q201:V201,0))))</f>
        <v/>
      </c>
      <c r="X201" s="69">
        <f>IF(G201="","",IF(W201=E201,1,0))</f>
        <v/>
      </c>
      <c r="Y201" s="70" t="n"/>
    </row>
    <row r="202">
      <c r="A202" s="76" t="n">
        <v>77.8</v>
      </c>
      <c r="B202" s="77" t="n">
        <v>122.7</v>
      </c>
      <c r="C202" s="76" t="inlineStr">
        <is>
          <t>R4</t>
        </is>
      </c>
      <c r="D202" s="78" t="inlineStr">
        <is>
          <t>NG</t>
        </is>
      </c>
      <c r="E202" s="76" t="inlineStr">
        <is>
          <t>W1</t>
        </is>
      </c>
      <c r="F202" s="76" t="inlineStr">
        <is>
          <t>K042</t>
        </is>
      </c>
      <c r="G202" s="75" t="n">
        <v>7.94</v>
      </c>
      <c r="H202" s="65" t="n"/>
      <c r="I202" s="66" t="n"/>
      <c r="J202" s="67">
        <f>VLOOKUP(C202,Recipes!$A$2:$N$4,10,FALSE())</f>
        <v/>
      </c>
      <c r="K202" s="68">
        <f>VLOOKUP(C202,Recipes!$A$2:$N$4,12,FALSE())</f>
        <v/>
      </c>
      <c r="L202" s="67">
        <f>J202-3.5*K202</f>
        <v/>
      </c>
      <c r="M202" s="67">
        <f>J202+3.5*K202</f>
        <v/>
      </c>
      <c r="N202" s="61">
        <f>IF(G202="","",IF(AND(G202&gt;=L202,G202&lt;=M202),"OK","NG"))</f>
        <v/>
      </c>
      <c r="O202" s="69">
        <f>IF(N202="","",IF(N202=D202,1,0))</f>
        <v/>
      </c>
      <c r="P202" s="67">
        <f>IF(G202="","",J202-G202)</f>
        <v/>
      </c>
      <c r="Q202" s="67">
        <f>IF(G202="","",ABS(P202-Components!$D$2))</f>
        <v/>
      </c>
      <c r="R202" s="67">
        <f>IF(G202="","",ABS(P202-Components!$D$3))</f>
        <v/>
      </c>
      <c r="S202" s="67">
        <f>IF(G202="","",ABS(P202-Components!$D$4))</f>
        <v/>
      </c>
      <c r="T202" s="67">
        <f>IF(G202="","",ABS(P202-Components!$D$5))</f>
        <v/>
      </c>
      <c r="U202" s="67">
        <f>IF(G202="","",ABS(P202-Components!$D$6))</f>
        <v/>
      </c>
      <c r="V202" s="67">
        <f>IF(G202="","",ABS(P202-Components!$D$7))</f>
        <v/>
      </c>
      <c r="W202" s="61">
        <f>IF(G202="","",IF(N202="OK","NONE",INDEX({"S1","S2","W1","W2","N1","N2"},MATCH(MIN(Q202:V202),Q202:V202,0))))</f>
        <v/>
      </c>
      <c r="X202" s="69">
        <f>IF(G202="","",IF(W202=E202,1,0))</f>
        <v/>
      </c>
      <c r="Y202" s="70" t="n"/>
    </row>
    <row r="203">
      <c r="A203" s="61" t="n">
        <v>80.40000000000001</v>
      </c>
      <c r="B203" s="62" t="n">
        <v>128</v>
      </c>
      <c r="C203" s="61" t="inlineStr">
        <is>
          <t>R4</t>
        </is>
      </c>
      <c r="D203" s="74" t="inlineStr">
        <is>
          <t>NG</t>
        </is>
      </c>
      <c r="E203" s="61" t="inlineStr">
        <is>
          <t>W1</t>
        </is>
      </c>
      <c r="F203" s="61" t="inlineStr">
        <is>
          <t>K030</t>
        </is>
      </c>
      <c r="G203" s="75" t="n">
        <v>7.89</v>
      </c>
      <c r="H203" s="65" t="n"/>
      <c r="I203" s="66" t="n"/>
      <c r="J203" s="67">
        <f>VLOOKUP(C203,Recipes!$A$2:$N$4,10,FALSE())</f>
        <v/>
      </c>
      <c r="K203" s="68">
        <f>VLOOKUP(C203,Recipes!$A$2:$N$4,12,FALSE())</f>
        <v/>
      </c>
      <c r="L203" s="67">
        <f>J203-3.5*K203</f>
        <v/>
      </c>
      <c r="M203" s="67">
        <f>J203+3.5*K203</f>
        <v/>
      </c>
      <c r="N203" s="61">
        <f>IF(G203="","",IF(AND(G203&gt;=L203,G203&lt;=M203),"OK","NG"))</f>
        <v/>
      </c>
      <c r="O203" s="69">
        <f>IF(N203="","",IF(N203=D203,1,0))</f>
        <v/>
      </c>
      <c r="P203" s="67">
        <f>IF(G203="","",J203-G203)</f>
        <v/>
      </c>
      <c r="Q203" s="67">
        <f>IF(G203="","",ABS(P203-Components!$D$2))</f>
        <v/>
      </c>
      <c r="R203" s="67">
        <f>IF(G203="","",ABS(P203-Components!$D$3))</f>
        <v/>
      </c>
      <c r="S203" s="67">
        <f>IF(G203="","",ABS(P203-Components!$D$4))</f>
        <v/>
      </c>
      <c r="T203" s="67">
        <f>IF(G203="","",ABS(P203-Components!$D$5))</f>
        <v/>
      </c>
      <c r="U203" s="67">
        <f>IF(G203="","",ABS(P203-Components!$D$6))</f>
        <v/>
      </c>
      <c r="V203" s="67">
        <f>IF(G203="","",ABS(P203-Components!$D$7))</f>
        <v/>
      </c>
      <c r="W203" s="61">
        <f>IF(G203="","",IF(N203="OK","NONE",INDEX({"S1","S2","W1","W2","N1","N2"},MATCH(MIN(Q203:V203),Q203:V203,0))))</f>
        <v/>
      </c>
      <c r="X203" s="69">
        <f>IF(G203="","",IF(W203=E203,1,0))</f>
        <v/>
      </c>
      <c r="Y203" s="70" t="n"/>
    </row>
    <row r="204">
      <c r="A204" s="61" t="n">
        <v>83</v>
      </c>
      <c r="B204" s="62" t="n">
        <v>133.3</v>
      </c>
      <c r="C204" s="61" t="inlineStr">
        <is>
          <t>R4</t>
        </is>
      </c>
      <c r="D204" s="74" t="inlineStr">
        <is>
          <t>NG</t>
        </is>
      </c>
      <c r="E204" s="61" t="inlineStr">
        <is>
          <t>W1</t>
        </is>
      </c>
      <c r="F204" s="61" t="inlineStr">
        <is>
          <t>K031</t>
        </is>
      </c>
      <c r="G204" s="75" t="n">
        <v>7.95</v>
      </c>
      <c r="H204" s="65" t="n"/>
      <c r="I204" s="66" t="n"/>
      <c r="J204" s="67">
        <f>VLOOKUP(C204,Recipes!$A$2:$N$4,10,FALSE())</f>
        <v/>
      </c>
      <c r="K204" s="68">
        <f>VLOOKUP(C204,Recipes!$A$2:$N$4,12,FALSE())</f>
        <v/>
      </c>
      <c r="L204" s="67">
        <f>J204-3.5*K204</f>
        <v/>
      </c>
      <c r="M204" s="67">
        <f>J204+3.5*K204</f>
        <v/>
      </c>
      <c r="N204" s="61">
        <f>IF(G204="","",IF(AND(G204&gt;=L204,G204&lt;=M204),"OK","NG"))</f>
        <v/>
      </c>
      <c r="O204" s="69">
        <f>IF(N204="","",IF(N204=D204,1,0))</f>
        <v/>
      </c>
      <c r="P204" s="67">
        <f>IF(G204="","",J204-G204)</f>
        <v/>
      </c>
      <c r="Q204" s="67">
        <f>IF(G204="","",ABS(P204-Components!$D$2))</f>
        <v/>
      </c>
      <c r="R204" s="67">
        <f>IF(G204="","",ABS(P204-Components!$D$3))</f>
        <v/>
      </c>
      <c r="S204" s="67">
        <f>IF(G204="","",ABS(P204-Components!$D$4))</f>
        <v/>
      </c>
      <c r="T204" s="67">
        <f>IF(G204="","",ABS(P204-Components!$D$5))</f>
        <v/>
      </c>
      <c r="U204" s="67">
        <f>IF(G204="","",ABS(P204-Components!$D$6))</f>
        <v/>
      </c>
      <c r="V204" s="67">
        <f>IF(G204="","",ABS(P204-Components!$D$7))</f>
        <v/>
      </c>
      <c r="W204" s="61">
        <f>IF(G204="","",IF(N204="OK","NONE",INDEX({"S1","S2","W1","W2","N1","N2"},MATCH(MIN(Q204:V204),Q204:V204,0))))</f>
        <v/>
      </c>
      <c r="X204" s="69">
        <f>IF(G204="","",IF(W204=E204,1,0))</f>
        <v/>
      </c>
      <c r="Y204" s="70" t="n"/>
    </row>
    <row r="205">
      <c r="A205" s="61" t="n">
        <v>85.59999999999999</v>
      </c>
      <c r="B205" s="62" t="n">
        <v>138.6</v>
      </c>
      <c r="C205" s="61" t="inlineStr">
        <is>
          <t>R4</t>
        </is>
      </c>
      <c r="D205" s="74" t="inlineStr">
        <is>
          <t>NG</t>
        </is>
      </c>
      <c r="E205" s="61" t="inlineStr">
        <is>
          <t>W1</t>
        </is>
      </c>
      <c r="F205" s="61" t="inlineStr">
        <is>
          <t>K032</t>
        </is>
      </c>
      <c r="G205" s="75" t="n">
        <v>7.9</v>
      </c>
      <c r="H205" s="65" t="n"/>
      <c r="I205" s="66" t="n"/>
      <c r="J205" s="67">
        <f>VLOOKUP(C205,Recipes!$A$2:$N$4,10,FALSE())</f>
        <v/>
      </c>
      <c r="K205" s="68">
        <f>VLOOKUP(C205,Recipes!$A$2:$N$4,12,FALSE())</f>
        <v/>
      </c>
      <c r="L205" s="67">
        <f>J205-3.5*K205</f>
        <v/>
      </c>
      <c r="M205" s="67">
        <f>J205+3.5*K205</f>
        <v/>
      </c>
      <c r="N205" s="61">
        <f>IF(G205="","",IF(AND(G205&gt;=L205,G205&lt;=M205),"OK","NG"))</f>
        <v/>
      </c>
      <c r="O205" s="69">
        <f>IF(N205="","",IF(N205=D205,1,0))</f>
        <v/>
      </c>
      <c r="P205" s="67">
        <f>IF(G205="","",J205-G205)</f>
        <v/>
      </c>
      <c r="Q205" s="67">
        <f>IF(G205="","",ABS(P205-Components!$D$2))</f>
        <v/>
      </c>
      <c r="R205" s="67">
        <f>IF(G205="","",ABS(P205-Components!$D$3))</f>
        <v/>
      </c>
      <c r="S205" s="67">
        <f>IF(G205="","",ABS(P205-Components!$D$4))</f>
        <v/>
      </c>
      <c r="T205" s="67">
        <f>IF(G205="","",ABS(P205-Components!$D$5))</f>
        <v/>
      </c>
      <c r="U205" s="67">
        <f>IF(G205="","",ABS(P205-Components!$D$6))</f>
        <v/>
      </c>
      <c r="V205" s="67">
        <f>IF(G205="","",ABS(P205-Components!$D$7))</f>
        <v/>
      </c>
      <c r="W205" s="61">
        <f>IF(G205="","",IF(N205="OK","NONE",INDEX({"S1","S2","W1","W2","N1","N2"},MATCH(MIN(Q205:V205),Q205:V205,0))))</f>
        <v/>
      </c>
      <c r="X205" s="69">
        <f>IF(G205="","",IF(W205=E205,1,0))</f>
        <v/>
      </c>
      <c r="Y205" s="70" t="n"/>
    </row>
    <row r="206">
      <c r="A206" s="61" t="n">
        <v>88.2</v>
      </c>
      <c r="B206" s="62" t="n">
        <v>143.9</v>
      </c>
      <c r="C206" s="61" t="inlineStr">
        <is>
          <t>R4</t>
        </is>
      </c>
      <c r="D206" s="74" t="inlineStr">
        <is>
          <t>NG</t>
        </is>
      </c>
      <c r="E206" s="61" t="inlineStr">
        <is>
          <t>W1</t>
        </is>
      </c>
      <c r="F206" s="61" t="inlineStr">
        <is>
          <t>K033</t>
        </is>
      </c>
      <c r="G206" s="75" t="n">
        <v>7.99</v>
      </c>
      <c r="H206" s="65" t="n"/>
      <c r="I206" s="66" t="n"/>
      <c r="J206" s="67">
        <f>VLOOKUP(C206,Recipes!$A$2:$N$4,10,FALSE())</f>
        <v/>
      </c>
      <c r="K206" s="68">
        <f>VLOOKUP(C206,Recipes!$A$2:$N$4,12,FALSE())</f>
        <v/>
      </c>
      <c r="L206" s="67">
        <f>J206-3.5*K206</f>
        <v/>
      </c>
      <c r="M206" s="67">
        <f>J206+3.5*K206</f>
        <v/>
      </c>
      <c r="N206" s="61">
        <f>IF(G206="","",IF(AND(G206&gt;=L206,G206&lt;=M206),"OK","NG"))</f>
        <v/>
      </c>
      <c r="O206" s="69">
        <f>IF(N206="","",IF(N206=D206,1,0))</f>
        <v/>
      </c>
      <c r="P206" s="67">
        <f>IF(G206="","",J206-G206)</f>
        <v/>
      </c>
      <c r="Q206" s="67">
        <f>IF(G206="","",ABS(P206-Components!$D$2))</f>
        <v/>
      </c>
      <c r="R206" s="67">
        <f>IF(G206="","",ABS(P206-Components!$D$3))</f>
        <v/>
      </c>
      <c r="S206" s="67">
        <f>IF(G206="","",ABS(P206-Components!$D$4))</f>
        <v/>
      </c>
      <c r="T206" s="67">
        <f>IF(G206="","",ABS(P206-Components!$D$5))</f>
        <v/>
      </c>
      <c r="U206" s="67">
        <f>IF(G206="","",ABS(P206-Components!$D$6))</f>
        <v/>
      </c>
      <c r="V206" s="67">
        <f>IF(G206="","",ABS(P206-Components!$D$7))</f>
        <v/>
      </c>
      <c r="W206" s="61">
        <f>IF(G206="","",IF(N206="OK","NONE",INDEX({"S1","S2","W1","W2","N1","N2"},MATCH(MIN(Q206:V206),Q206:V206,0))))</f>
        <v/>
      </c>
      <c r="X206" s="69">
        <f>IF(G206="","",IF(W206=E206,1,0))</f>
        <v/>
      </c>
      <c r="Y206" s="70" t="n"/>
    </row>
    <row r="207">
      <c r="A207" s="76" t="n">
        <v>90.8</v>
      </c>
      <c r="B207" s="77" t="n">
        <v>149.2</v>
      </c>
      <c r="C207" s="76" t="inlineStr">
        <is>
          <t>R4</t>
        </is>
      </c>
      <c r="D207" s="78" t="inlineStr">
        <is>
          <t>NG</t>
        </is>
      </c>
      <c r="E207" s="76" t="inlineStr">
        <is>
          <t>W1</t>
        </is>
      </c>
      <c r="F207" s="76" t="inlineStr">
        <is>
          <t>K042</t>
        </is>
      </c>
      <c r="G207" s="75" t="n">
        <v>7.97</v>
      </c>
      <c r="H207" s="65" t="n"/>
      <c r="I207" s="66" t="n"/>
      <c r="J207" s="67">
        <f>VLOOKUP(C207,Recipes!$A$2:$N$4,10,FALSE())</f>
        <v/>
      </c>
      <c r="K207" s="68">
        <f>VLOOKUP(C207,Recipes!$A$2:$N$4,12,FALSE())</f>
        <v/>
      </c>
      <c r="L207" s="67">
        <f>J207-3.5*K207</f>
        <v/>
      </c>
      <c r="M207" s="67">
        <f>J207+3.5*K207</f>
        <v/>
      </c>
      <c r="N207" s="61">
        <f>IF(G207="","",IF(AND(G207&gt;=L207,G207&lt;=M207),"OK","NG"))</f>
        <v/>
      </c>
      <c r="O207" s="69">
        <f>IF(N207="","",IF(N207=D207,1,0))</f>
        <v/>
      </c>
      <c r="P207" s="67">
        <f>IF(G207="","",J207-G207)</f>
        <v/>
      </c>
      <c r="Q207" s="67">
        <f>IF(G207="","",ABS(P207-Components!$D$2))</f>
        <v/>
      </c>
      <c r="R207" s="67">
        <f>IF(G207="","",ABS(P207-Components!$D$3))</f>
        <v/>
      </c>
      <c r="S207" s="67">
        <f>IF(G207="","",ABS(P207-Components!$D$4))</f>
        <v/>
      </c>
      <c r="T207" s="67">
        <f>IF(G207="","",ABS(P207-Components!$D$5))</f>
        <v/>
      </c>
      <c r="U207" s="67">
        <f>IF(G207="","",ABS(P207-Components!$D$6))</f>
        <v/>
      </c>
      <c r="V207" s="67">
        <f>IF(G207="","",ABS(P207-Components!$D$7))</f>
        <v/>
      </c>
      <c r="W207" s="61">
        <f>IF(G207="","",IF(N207="OK","NONE",INDEX({"S1","S2","W1","W2","N1","N2"},MATCH(MIN(Q207:V207),Q207:V207,0))))</f>
        <v/>
      </c>
      <c r="X207" s="69">
        <f>IF(G207="","",IF(W207=E207,1,0))</f>
        <v/>
      </c>
      <c r="Y207" s="70" t="n"/>
    </row>
    <row r="208">
      <c r="A208" s="61" t="n">
        <v>93.40000000000001</v>
      </c>
      <c r="B208" s="62" t="n">
        <v>154.5</v>
      </c>
      <c r="C208" s="61" t="inlineStr">
        <is>
          <t>R4</t>
        </is>
      </c>
      <c r="D208" s="74" t="inlineStr">
        <is>
          <t>NG</t>
        </is>
      </c>
      <c r="E208" s="61" t="inlineStr">
        <is>
          <t>W1</t>
        </is>
      </c>
      <c r="F208" s="61" t="inlineStr">
        <is>
          <t>K030</t>
        </is>
      </c>
      <c r="G208" s="75" t="n">
        <v>7.96</v>
      </c>
      <c r="H208" s="65" t="n"/>
      <c r="I208" s="66" t="n"/>
      <c r="J208" s="67">
        <f>VLOOKUP(C208,Recipes!$A$2:$N$4,10,FALSE())</f>
        <v/>
      </c>
      <c r="K208" s="68">
        <f>VLOOKUP(C208,Recipes!$A$2:$N$4,12,FALSE())</f>
        <v/>
      </c>
      <c r="L208" s="67">
        <f>J208-3.5*K208</f>
        <v/>
      </c>
      <c r="M208" s="67">
        <f>J208+3.5*K208</f>
        <v/>
      </c>
      <c r="N208" s="61">
        <f>IF(G208="","",IF(AND(G208&gt;=L208,G208&lt;=M208),"OK","NG"))</f>
        <v/>
      </c>
      <c r="O208" s="69">
        <f>IF(N208="","",IF(N208=D208,1,0))</f>
        <v/>
      </c>
      <c r="P208" s="67">
        <f>IF(G208="","",J208-G208)</f>
        <v/>
      </c>
      <c r="Q208" s="67">
        <f>IF(G208="","",ABS(P208-Components!$D$2))</f>
        <v/>
      </c>
      <c r="R208" s="67">
        <f>IF(G208="","",ABS(P208-Components!$D$3))</f>
        <v/>
      </c>
      <c r="S208" s="67">
        <f>IF(G208="","",ABS(P208-Components!$D$4))</f>
        <v/>
      </c>
      <c r="T208" s="67">
        <f>IF(G208="","",ABS(P208-Components!$D$5))</f>
        <v/>
      </c>
      <c r="U208" s="67">
        <f>IF(G208="","",ABS(P208-Components!$D$6))</f>
        <v/>
      </c>
      <c r="V208" s="67">
        <f>IF(G208="","",ABS(P208-Components!$D$7))</f>
        <v/>
      </c>
      <c r="W208" s="61">
        <f>IF(G208="","",IF(N208="OK","NONE",INDEX({"S1","S2","W1","W2","N1","N2"},MATCH(MIN(Q208:V208),Q208:V208,0))))</f>
        <v/>
      </c>
      <c r="X208" s="69">
        <f>IF(G208="","",IF(W208=E208,1,0))</f>
        <v/>
      </c>
      <c r="Y208" s="70" t="n"/>
    </row>
    <row r="209">
      <c r="A209" s="61" t="n">
        <v>96</v>
      </c>
      <c r="B209" s="62" t="n">
        <v>159.8</v>
      </c>
      <c r="C209" s="61" t="inlineStr">
        <is>
          <t>R4</t>
        </is>
      </c>
      <c r="D209" s="74" t="inlineStr">
        <is>
          <t>NG</t>
        </is>
      </c>
      <c r="E209" s="61" t="inlineStr">
        <is>
          <t>W1</t>
        </is>
      </c>
      <c r="F209" s="61" t="inlineStr">
        <is>
          <t>K031</t>
        </is>
      </c>
      <c r="G209" s="75" t="n">
        <v>7.99</v>
      </c>
      <c r="H209" s="65" t="n"/>
      <c r="I209" s="66" t="n"/>
      <c r="J209" s="67">
        <f>VLOOKUP(C209,Recipes!$A$2:$N$4,10,FALSE())</f>
        <v/>
      </c>
      <c r="K209" s="68">
        <f>VLOOKUP(C209,Recipes!$A$2:$N$4,12,FALSE())</f>
        <v/>
      </c>
      <c r="L209" s="67">
        <f>J209-3.5*K209</f>
        <v/>
      </c>
      <c r="M209" s="67">
        <f>J209+3.5*K209</f>
        <v/>
      </c>
      <c r="N209" s="61">
        <f>IF(G209="","",IF(AND(G209&gt;=L209,G209&lt;=M209),"OK","NG"))</f>
        <v/>
      </c>
      <c r="O209" s="69">
        <f>IF(N209="","",IF(N209=D209,1,0))</f>
        <v/>
      </c>
      <c r="P209" s="67">
        <f>IF(G209="","",J209-G209)</f>
        <v/>
      </c>
      <c r="Q209" s="67">
        <f>IF(G209="","",ABS(P209-Components!$D$2))</f>
        <v/>
      </c>
      <c r="R209" s="67">
        <f>IF(G209="","",ABS(P209-Components!$D$3))</f>
        <v/>
      </c>
      <c r="S209" s="67">
        <f>IF(G209="","",ABS(P209-Components!$D$4))</f>
        <v/>
      </c>
      <c r="T209" s="67">
        <f>IF(G209="","",ABS(P209-Components!$D$5))</f>
        <v/>
      </c>
      <c r="U209" s="67">
        <f>IF(G209="","",ABS(P209-Components!$D$6))</f>
        <v/>
      </c>
      <c r="V209" s="67">
        <f>IF(G209="","",ABS(P209-Components!$D$7))</f>
        <v/>
      </c>
      <c r="W209" s="61">
        <f>IF(G209="","",IF(N209="OK","NONE",INDEX({"S1","S2","W1","W2","N1","N2"},MATCH(MIN(Q209:V209),Q209:V209,0))))</f>
        <v/>
      </c>
      <c r="X209" s="69">
        <f>IF(G209="","",IF(W209=E209,1,0))</f>
        <v/>
      </c>
      <c r="Y209" s="70" t="n"/>
    </row>
    <row r="210">
      <c r="A210" s="61" t="n">
        <v>98.59999999999999</v>
      </c>
      <c r="B210" s="62" t="n">
        <v>165.1</v>
      </c>
      <c r="C210" s="61" t="inlineStr">
        <is>
          <t>R4</t>
        </is>
      </c>
      <c r="D210" s="74" t="inlineStr">
        <is>
          <t>NG</t>
        </is>
      </c>
      <c r="E210" s="61" t="inlineStr">
        <is>
          <t>W1</t>
        </is>
      </c>
      <c r="F210" s="61" t="inlineStr">
        <is>
          <t>K032</t>
        </is>
      </c>
      <c r="G210" s="75" t="n">
        <v>7.87</v>
      </c>
      <c r="H210" s="65" t="n"/>
      <c r="I210" s="66" t="n"/>
      <c r="J210" s="67">
        <f>VLOOKUP(C210,Recipes!$A$2:$N$4,10,FALSE())</f>
        <v/>
      </c>
      <c r="K210" s="68">
        <f>VLOOKUP(C210,Recipes!$A$2:$N$4,12,FALSE())</f>
        <v/>
      </c>
      <c r="L210" s="67">
        <f>J210-3.5*K210</f>
        <v/>
      </c>
      <c r="M210" s="67">
        <f>J210+3.5*K210</f>
        <v/>
      </c>
      <c r="N210" s="61">
        <f>IF(G210="","",IF(AND(G210&gt;=L210,G210&lt;=M210),"OK","NG"))</f>
        <v/>
      </c>
      <c r="O210" s="69">
        <f>IF(N210="","",IF(N210=D210,1,0))</f>
        <v/>
      </c>
      <c r="P210" s="67">
        <f>IF(G210="","",J210-G210)</f>
        <v/>
      </c>
      <c r="Q210" s="67">
        <f>IF(G210="","",ABS(P210-Components!$D$2))</f>
        <v/>
      </c>
      <c r="R210" s="67">
        <f>IF(G210="","",ABS(P210-Components!$D$3))</f>
        <v/>
      </c>
      <c r="S210" s="67">
        <f>IF(G210="","",ABS(P210-Components!$D$4))</f>
        <v/>
      </c>
      <c r="T210" s="67">
        <f>IF(G210="","",ABS(P210-Components!$D$5))</f>
        <v/>
      </c>
      <c r="U210" s="67">
        <f>IF(G210="","",ABS(P210-Components!$D$6))</f>
        <v/>
      </c>
      <c r="V210" s="67">
        <f>IF(G210="","",ABS(P210-Components!$D$7))</f>
        <v/>
      </c>
      <c r="W210" s="61">
        <f>IF(G210="","",IF(N210="OK","NONE",INDEX({"S1","S2","W1","W2","N1","N2"},MATCH(MIN(Q210:V210),Q210:V210,0))))</f>
        <v/>
      </c>
      <c r="X210" s="69">
        <f>IF(G210="","",IF(W210=E210,1,0))</f>
        <v/>
      </c>
      <c r="Y210" s="70" t="n"/>
    </row>
    <row r="211">
      <c r="A211" s="61" t="n">
        <v>101.2</v>
      </c>
      <c r="B211" s="62" t="n">
        <v>170.4</v>
      </c>
      <c r="C211" s="61" t="inlineStr">
        <is>
          <t>R4</t>
        </is>
      </c>
      <c r="D211" s="74" t="inlineStr">
        <is>
          <t>NG</t>
        </is>
      </c>
      <c r="E211" s="61" t="inlineStr">
        <is>
          <t>W1</t>
        </is>
      </c>
      <c r="F211" s="61" t="inlineStr">
        <is>
          <t>K033</t>
        </is>
      </c>
      <c r="G211" s="75" t="n">
        <v>7.72</v>
      </c>
      <c r="H211" s="65" t="n"/>
      <c r="I211" s="66" t="n"/>
      <c r="J211" s="67">
        <f>VLOOKUP(C211,Recipes!$A$2:$N$4,10,FALSE())</f>
        <v/>
      </c>
      <c r="K211" s="68">
        <f>VLOOKUP(C211,Recipes!$A$2:$N$4,12,FALSE())</f>
        <v/>
      </c>
      <c r="L211" s="67">
        <f>J211-3.5*K211</f>
        <v/>
      </c>
      <c r="M211" s="67">
        <f>J211+3.5*K211</f>
        <v/>
      </c>
      <c r="N211" s="61">
        <f>IF(G211="","",IF(AND(G211&gt;=L211,G211&lt;=M211),"OK","NG"))</f>
        <v/>
      </c>
      <c r="O211" s="69">
        <f>IF(N211="","",IF(N211=D211,1,0))</f>
        <v/>
      </c>
      <c r="P211" s="67">
        <f>IF(G211="","",J211-G211)</f>
        <v/>
      </c>
      <c r="Q211" s="67">
        <f>IF(G211="","",ABS(P211-Components!$D$2))</f>
        <v/>
      </c>
      <c r="R211" s="67">
        <f>IF(G211="","",ABS(P211-Components!$D$3))</f>
        <v/>
      </c>
      <c r="S211" s="67">
        <f>IF(G211="","",ABS(P211-Components!$D$4))</f>
        <v/>
      </c>
      <c r="T211" s="67">
        <f>IF(G211="","",ABS(P211-Components!$D$5))</f>
        <v/>
      </c>
      <c r="U211" s="67">
        <f>IF(G211="","",ABS(P211-Components!$D$6))</f>
        <v/>
      </c>
      <c r="V211" s="67">
        <f>IF(G211="","",ABS(P211-Components!$D$7))</f>
        <v/>
      </c>
      <c r="W211" s="61">
        <f>IF(G211="","",IF(N211="OK","NONE",INDEX({"S1","S2","W1","W2","N1","N2"},MATCH(MIN(Q211:V211),Q211:V211,0))))</f>
        <v/>
      </c>
      <c r="X211" s="71">
        <f>IF(G211="","",IF(W211=E211,1,0))</f>
        <v/>
      </c>
      <c r="Y211" s="70" t="n"/>
    </row>
    <row r="212">
      <c r="A212" s="76" t="n">
        <v>103.8</v>
      </c>
      <c r="B212" s="77" t="n">
        <v>175.7</v>
      </c>
      <c r="C212" s="76" t="inlineStr">
        <is>
          <t>R4</t>
        </is>
      </c>
      <c r="D212" s="78" t="inlineStr">
        <is>
          <t>NG</t>
        </is>
      </c>
      <c r="E212" s="76" t="inlineStr">
        <is>
          <t>W1</t>
        </is>
      </c>
      <c r="F212" s="76" t="inlineStr">
        <is>
          <t>K042</t>
        </is>
      </c>
      <c r="G212" s="75" t="n">
        <v>7.95</v>
      </c>
      <c r="H212" s="65" t="n"/>
      <c r="I212" s="66" t="n"/>
      <c r="J212" s="67">
        <f>VLOOKUP(C212,Recipes!$A$2:$N$4,10,FALSE())</f>
        <v/>
      </c>
      <c r="K212" s="68">
        <f>VLOOKUP(C212,Recipes!$A$2:$N$4,12,FALSE())</f>
        <v/>
      </c>
      <c r="L212" s="67">
        <f>J212-3.5*K212</f>
        <v/>
      </c>
      <c r="M212" s="67">
        <f>J212+3.5*K212</f>
        <v/>
      </c>
      <c r="N212" s="61">
        <f>IF(G212="","",IF(AND(G212&gt;=L212,G212&lt;=M212),"OK","NG"))</f>
        <v/>
      </c>
      <c r="O212" s="69">
        <f>IF(N212="","",IF(N212=D212,1,0))</f>
        <v/>
      </c>
      <c r="P212" s="67">
        <f>IF(G212="","",J212-G212)</f>
        <v/>
      </c>
      <c r="Q212" s="67">
        <f>IF(G212="","",ABS(P212-Components!$D$2))</f>
        <v/>
      </c>
      <c r="R212" s="67">
        <f>IF(G212="","",ABS(P212-Components!$D$3))</f>
        <v/>
      </c>
      <c r="S212" s="67">
        <f>IF(G212="","",ABS(P212-Components!$D$4))</f>
        <v/>
      </c>
      <c r="T212" s="67">
        <f>IF(G212="","",ABS(P212-Components!$D$5))</f>
        <v/>
      </c>
      <c r="U212" s="67">
        <f>IF(G212="","",ABS(P212-Components!$D$6))</f>
        <v/>
      </c>
      <c r="V212" s="67">
        <f>IF(G212="","",ABS(P212-Components!$D$7))</f>
        <v/>
      </c>
      <c r="W212" s="61">
        <f>IF(G212="","",IF(N212="OK","NONE",INDEX({"S1","S2","W1","W2","N1","N2"},MATCH(MIN(Q212:V212),Q212:V212,0))))</f>
        <v/>
      </c>
      <c r="X212" s="69">
        <f>IF(G212="","",IF(W212=E212,1,0))</f>
        <v/>
      </c>
      <c r="Y212" s="70" t="n"/>
    </row>
    <row r="213">
      <c r="A213" s="61" t="n">
        <v>-17</v>
      </c>
      <c r="B213" s="62" t="n">
        <v>62.4999999999999</v>
      </c>
      <c r="C213" s="61" t="inlineStr">
        <is>
          <t>R4</t>
        </is>
      </c>
      <c r="D213" s="74" t="inlineStr">
        <is>
          <t>NG</t>
        </is>
      </c>
      <c r="E213" s="61" t="inlineStr">
        <is>
          <t>N1</t>
        </is>
      </c>
      <c r="F213" s="61" t="inlineStr">
        <is>
          <t>K034</t>
        </is>
      </c>
      <c r="G213" s="75" t="n">
        <v>7.72</v>
      </c>
      <c r="H213" s="65" t="n"/>
      <c r="I213" s="66" t="n"/>
      <c r="J213" s="67">
        <f>VLOOKUP(C213,Recipes!$A$2:$N$4,10,FALSE())</f>
        <v/>
      </c>
      <c r="K213" s="68">
        <f>VLOOKUP(C213,Recipes!$A$2:$N$4,12,FALSE())</f>
        <v/>
      </c>
      <c r="L213" s="67">
        <f>J213-3.5*K213</f>
        <v/>
      </c>
      <c r="M213" s="67">
        <f>J213+3.5*K213</f>
        <v/>
      </c>
      <c r="N213" s="61">
        <f>IF(G213="","",IF(AND(G213&gt;=L213,G213&lt;=M213),"OK","NG"))</f>
        <v/>
      </c>
      <c r="O213" s="69">
        <f>IF(N213="","",IF(N213=D213,1,0))</f>
        <v/>
      </c>
      <c r="P213" s="67">
        <f>IF(G213="","",J213-G213)</f>
        <v/>
      </c>
      <c r="Q213" s="67">
        <f>IF(G213="","",ABS(P213-Components!$D$2))</f>
        <v/>
      </c>
      <c r="R213" s="67">
        <f>IF(G213="","",ABS(P213-Components!$D$3))</f>
        <v/>
      </c>
      <c r="S213" s="67">
        <f>IF(G213="","",ABS(P213-Components!$D$4))</f>
        <v/>
      </c>
      <c r="T213" s="67">
        <f>IF(G213="","",ABS(P213-Components!$D$5))</f>
        <v/>
      </c>
      <c r="U213" s="67">
        <f>IF(G213="","",ABS(P213-Components!$D$6))</f>
        <v/>
      </c>
      <c r="V213" s="67">
        <f>IF(G213="","",ABS(P213-Components!$D$7))</f>
        <v/>
      </c>
      <c r="W213" s="61">
        <f>IF(G213="","",IF(N213="OK","NONE",INDEX({"S1","S2","W1","W2","N1","N2"},MATCH(MIN(Q213:V213),Q213:V213,0))))</f>
        <v/>
      </c>
      <c r="X213" s="69">
        <f>IF(G213="","",IF(W213=E213,1,0))</f>
        <v/>
      </c>
      <c r="Y213" s="70" t="n"/>
    </row>
    <row r="214">
      <c r="A214" s="61" t="n">
        <v>-15</v>
      </c>
      <c r="B214" s="62" t="n">
        <v>61.1999999999999</v>
      </c>
      <c r="C214" s="61" t="inlineStr">
        <is>
          <t>R4</t>
        </is>
      </c>
      <c r="D214" s="74" t="inlineStr">
        <is>
          <t>NG</t>
        </is>
      </c>
      <c r="E214" s="61" t="inlineStr">
        <is>
          <t>N1</t>
        </is>
      </c>
      <c r="F214" s="61" t="inlineStr">
        <is>
          <t>K035</t>
        </is>
      </c>
      <c r="G214" s="75" t="n">
        <v>7.75</v>
      </c>
      <c r="H214" s="65" t="n"/>
      <c r="I214" s="66" t="n"/>
      <c r="J214" s="67">
        <f>VLOOKUP(C214,Recipes!$A$2:$N$4,10,FALSE())</f>
        <v/>
      </c>
      <c r="K214" s="68">
        <f>VLOOKUP(C214,Recipes!$A$2:$N$4,12,FALSE())</f>
        <v/>
      </c>
      <c r="L214" s="67">
        <f>J214-3.5*K214</f>
        <v/>
      </c>
      <c r="M214" s="67">
        <f>J214+3.5*K214</f>
        <v/>
      </c>
      <c r="N214" s="61">
        <f>IF(G214="","",IF(AND(G214&gt;=L214,G214&lt;=M214),"OK","NG"))</f>
        <v/>
      </c>
      <c r="O214" s="69">
        <f>IF(N214="","",IF(N214=D214,1,0))</f>
        <v/>
      </c>
      <c r="P214" s="67">
        <f>IF(G214="","",J214-G214)</f>
        <v/>
      </c>
      <c r="Q214" s="67">
        <f>IF(G214="","",ABS(P214-Components!$D$2))</f>
        <v/>
      </c>
      <c r="R214" s="67">
        <f>IF(G214="","",ABS(P214-Components!$D$3))</f>
        <v/>
      </c>
      <c r="S214" s="67">
        <f>IF(G214="","",ABS(P214-Components!$D$4))</f>
        <v/>
      </c>
      <c r="T214" s="67">
        <f>IF(G214="","",ABS(P214-Components!$D$5))</f>
        <v/>
      </c>
      <c r="U214" s="67">
        <f>IF(G214="","",ABS(P214-Components!$D$6))</f>
        <v/>
      </c>
      <c r="V214" s="67">
        <f>IF(G214="","",ABS(P214-Components!$D$7))</f>
        <v/>
      </c>
      <c r="W214" s="61">
        <f>IF(G214="","",IF(N214="OK","NONE",INDEX({"S1","S2","W1","W2","N1","N2"},MATCH(MIN(Q214:V214),Q214:V214,0))))</f>
        <v/>
      </c>
      <c r="X214" s="69">
        <f>IF(G214="","",IF(W214=E214,1,0))</f>
        <v/>
      </c>
      <c r="Y214" s="70" t="n"/>
    </row>
    <row r="215">
      <c r="A215" s="61" t="n">
        <v>-13</v>
      </c>
      <c r="B215" s="62" t="n">
        <v>59.8999999999999</v>
      </c>
      <c r="C215" s="61" t="inlineStr">
        <is>
          <t>R4</t>
        </is>
      </c>
      <c r="D215" s="74" t="inlineStr">
        <is>
          <t>NG</t>
        </is>
      </c>
      <c r="E215" s="61" t="inlineStr">
        <is>
          <t>N1</t>
        </is>
      </c>
      <c r="F215" s="61" t="inlineStr">
        <is>
          <t>K036</t>
        </is>
      </c>
      <c r="G215" s="75" t="n">
        <v>7.8</v>
      </c>
      <c r="H215" s="65" t="n"/>
      <c r="I215" s="66" t="n"/>
      <c r="J215" s="67">
        <f>VLOOKUP(C215,Recipes!$A$2:$N$4,10,FALSE())</f>
        <v/>
      </c>
      <c r="K215" s="68">
        <f>VLOOKUP(C215,Recipes!$A$2:$N$4,12,FALSE())</f>
        <v/>
      </c>
      <c r="L215" s="67">
        <f>J215-3.5*K215</f>
        <v/>
      </c>
      <c r="M215" s="67">
        <f>J215+3.5*K215</f>
        <v/>
      </c>
      <c r="N215" s="61">
        <f>IF(G215="","",IF(AND(G215&gt;=L215,G215&lt;=M215),"OK","NG"))</f>
        <v/>
      </c>
      <c r="O215" s="69">
        <f>IF(N215="","",IF(N215=D215,1,0))</f>
        <v/>
      </c>
      <c r="P215" s="67">
        <f>IF(G215="","",J215-G215)</f>
        <v/>
      </c>
      <c r="Q215" s="67">
        <f>IF(G215="","",ABS(P215-Components!$D$2))</f>
        <v/>
      </c>
      <c r="R215" s="67">
        <f>IF(G215="","",ABS(P215-Components!$D$3))</f>
        <v/>
      </c>
      <c r="S215" s="67">
        <f>IF(G215="","",ABS(P215-Components!$D$4))</f>
        <v/>
      </c>
      <c r="T215" s="67">
        <f>IF(G215="","",ABS(P215-Components!$D$5))</f>
        <v/>
      </c>
      <c r="U215" s="67">
        <f>IF(G215="","",ABS(P215-Components!$D$6))</f>
        <v/>
      </c>
      <c r="V215" s="67">
        <f>IF(G215="","",ABS(P215-Components!$D$7))</f>
        <v/>
      </c>
      <c r="W215" s="61">
        <f>IF(G215="","",IF(N215="OK","NONE",INDEX({"S1","S2","W1","W2","N1","N2"},MATCH(MIN(Q215:V215),Q215:V215,0))))</f>
        <v/>
      </c>
      <c r="X215" s="69">
        <f>IF(G215="","",IF(W215=E215,1,0))</f>
        <v/>
      </c>
      <c r="Y215" s="70" t="n"/>
    </row>
    <row r="216">
      <c r="A216" s="61" t="n">
        <v>-11</v>
      </c>
      <c r="B216" s="62" t="n">
        <v>58.5999999999999</v>
      </c>
      <c r="C216" s="61" t="inlineStr">
        <is>
          <t>R4</t>
        </is>
      </c>
      <c r="D216" s="74" t="inlineStr">
        <is>
          <t>NG</t>
        </is>
      </c>
      <c r="E216" s="61" t="inlineStr">
        <is>
          <t>N1</t>
        </is>
      </c>
      <c r="F216" s="61" t="inlineStr">
        <is>
          <t>K037</t>
        </is>
      </c>
      <c r="G216" s="75" t="n">
        <v>7.77</v>
      </c>
      <c r="H216" s="65" t="n"/>
      <c r="I216" s="66" t="n"/>
      <c r="J216" s="67">
        <f>VLOOKUP(C216,Recipes!$A$2:$N$4,10,FALSE())</f>
        <v/>
      </c>
      <c r="K216" s="68">
        <f>VLOOKUP(C216,Recipes!$A$2:$N$4,12,FALSE())</f>
        <v/>
      </c>
      <c r="L216" s="67">
        <f>J216-3.5*K216</f>
        <v/>
      </c>
      <c r="M216" s="67">
        <f>J216+3.5*K216</f>
        <v/>
      </c>
      <c r="N216" s="61">
        <f>IF(G216="","",IF(AND(G216&gt;=L216,G216&lt;=M216),"OK","NG"))</f>
        <v/>
      </c>
      <c r="O216" s="69">
        <f>IF(N216="","",IF(N216=D216,1,0))</f>
        <v/>
      </c>
      <c r="P216" s="67">
        <f>IF(G216="","",J216-G216)</f>
        <v/>
      </c>
      <c r="Q216" s="67">
        <f>IF(G216="","",ABS(P216-Components!$D$2))</f>
        <v/>
      </c>
      <c r="R216" s="67">
        <f>IF(G216="","",ABS(P216-Components!$D$3))</f>
        <v/>
      </c>
      <c r="S216" s="67">
        <f>IF(G216="","",ABS(P216-Components!$D$4))</f>
        <v/>
      </c>
      <c r="T216" s="67">
        <f>IF(G216="","",ABS(P216-Components!$D$5))</f>
        <v/>
      </c>
      <c r="U216" s="67">
        <f>IF(G216="","",ABS(P216-Components!$D$6))</f>
        <v/>
      </c>
      <c r="V216" s="67">
        <f>IF(G216="","",ABS(P216-Components!$D$7))</f>
        <v/>
      </c>
      <c r="W216" s="61">
        <f>IF(G216="","",IF(N216="OK","NONE",INDEX({"S1","S2","W1","W2","N1","N2"},MATCH(MIN(Q216:V216),Q216:V216,0))))</f>
        <v/>
      </c>
      <c r="X216" s="69">
        <f>IF(G216="","",IF(W216=E216,1,0))</f>
        <v/>
      </c>
      <c r="Y216" s="70" t="n"/>
    </row>
    <row r="217">
      <c r="A217" s="76" t="n">
        <v>-9</v>
      </c>
      <c r="B217" s="77" t="n">
        <v>57.3</v>
      </c>
      <c r="C217" s="76" t="inlineStr">
        <is>
          <t>R4</t>
        </is>
      </c>
      <c r="D217" s="78" t="inlineStr">
        <is>
          <t>NG</t>
        </is>
      </c>
      <c r="E217" s="76" t="inlineStr">
        <is>
          <t>N1</t>
        </is>
      </c>
      <c r="F217" s="76" t="inlineStr">
        <is>
          <t>K043</t>
        </is>
      </c>
      <c r="G217" s="75" t="n">
        <v>7.78</v>
      </c>
      <c r="H217" s="65" t="n"/>
      <c r="I217" s="66" t="n"/>
      <c r="J217" s="67">
        <f>VLOOKUP(C217,Recipes!$A$2:$N$4,10,FALSE())</f>
        <v/>
      </c>
      <c r="K217" s="68">
        <f>VLOOKUP(C217,Recipes!$A$2:$N$4,12,FALSE())</f>
        <v/>
      </c>
      <c r="L217" s="67">
        <f>J217-3.5*K217</f>
        <v/>
      </c>
      <c r="M217" s="67">
        <f>J217+3.5*K217</f>
        <v/>
      </c>
      <c r="N217" s="61">
        <f>IF(G217="","",IF(AND(G217&gt;=L217,G217&lt;=M217),"OK","NG"))</f>
        <v/>
      </c>
      <c r="O217" s="69">
        <f>IF(N217="","",IF(N217=D217,1,0))</f>
        <v/>
      </c>
      <c r="P217" s="67">
        <f>IF(G217="","",J217-G217)</f>
        <v/>
      </c>
      <c r="Q217" s="67">
        <f>IF(G217="","",ABS(P217-Components!$D$2))</f>
        <v/>
      </c>
      <c r="R217" s="67">
        <f>IF(G217="","",ABS(P217-Components!$D$3))</f>
        <v/>
      </c>
      <c r="S217" s="67">
        <f>IF(G217="","",ABS(P217-Components!$D$4))</f>
        <v/>
      </c>
      <c r="T217" s="67">
        <f>IF(G217="","",ABS(P217-Components!$D$5))</f>
        <v/>
      </c>
      <c r="U217" s="67">
        <f>IF(G217="","",ABS(P217-Components!$D$6))</f>
        <v/>
      </c>
      <c r="V217" s="67">
        <f>IF(G217="","",ABS(P217-Components!$D$7))</f>
        <v/>
      </c>
      <c r="W217" s="61">
        <f>IF(G217="","",IF(N217="OK","NONE",INDEX({"S1","S2","W1","W2","N1","N2"},MATCH(MIN(Q217:V217),Q217:V217,0))))</f>
        <v/>
      </c>
      <c r="X217" s="69">
        <f>IF(G217="","",IF(W217=E217,1,0))</f>
        <v/>
      </c>
      <c r="Y217" s="70" t="n"/>
    </row>
    <row r="218">
      <c r="A218" s="61" t="n">
        <v>-7</v>
      </c>
      <c r="B218" s="62" t="n">
        <v>56</v>
      </c>
      <c r="C218" s="61" t="inlineStr">
        <is>
          <t>R4</t>
        </is>
      </c>
      <c r="D218" s="74" t="inlineStr">
        <is>
          <t>NG</t>
        </is>
      </c>
      <c r="E218" s="61" t="inlineStr">
        <is>
          <t>N1</t>
        </is>
      </c>
      <c r="F218" s="61" t="inlineStr">
        <is>
          <t>K034</t>
        </is>
      </c>
      <c r="G218" s="75" t="n">
        <v>7.82</v>
      </c>
      <c r="H218" s="65" t="n"/>
      <c r="I218" s="66" t="n"/>
      <c r="J218" s="67">
        <f>VLOOKUP(C218,Recipes!$A$2:$N$4,10,FALSE())</f>
        <v/>
      </c>
      <c r="K218" s="68">
        <f>VLOOKUP(C218,Recipes!$A$2:$N$4,12,FALSE())</f>
        <v/>
      </c>
      <c r="L218" s="67">
        <f>J218-3.5*K218</f>
        <v/>
      </c>
      <c r="M218" s="67">
        <f>J218+3.5*K218</f>
        <v/>
      </c>
      <c r="N218" s="61">
        <f>IF(G218="","",IF(AND(G218&gt;=L218,G218&lt;=M218),"OK","NG"))</f>
        <v/>
      </c>
      <c r="O218" s="69">
        <f>IF(N218="","",IF(N218=D218,1,0))</f>
        <v/>
      </c>
      <c r="P218" s="67">
        <f>IF(G218="","",J218-G218)</f>
        <v/>
      </c>
      <c r="Q218" s="67">
        <f>IF(G218="","",ABS(P218-Components!$D$2))</f>
        <v/>
      </c>
      <c r="R218" s="67">
        <f>IF(G218="","",ABS(P218-Components!$D$3))</f>
        <v/>
      </c>
      <c r="S218" s="67">
        <f>IF(G218="","",ABS(P218-Components!$D$4))</f>
        <v/>
      </c>
      <c r="T218" s="67">
        <f>IF(G218="","",ABS(P218-Components!$D$5))</f>
        <v/>
      </c>
      <c r="U218" s="67">
        <f>IF(G218="","",ABS(P218-Components!$D$6))</f>
        <v/>
      </c>
      <c r="V218" s="67">
        <f>IF(G218="","",ABS(P218-Components!$D$7))</f>
        <v/>
      </c>
      <c r="W218" s="61">
        <f>IF(G218="","",IF(N218="OK","NONE",INDEX({"S1","S2","W1","W2","N1","N2"},MATCH(MIN(Q218:V218),Q218:V218,0))))</f>
        <v/>
      </c>
      <c r="X218" s="69">
        <f>IF(G218="","",IF(W218=E218,1,0))</f>
        <v/>
      </c>
      <c r="Y218" s="70" t="n"/>
    </row>
    <row r="219">
      <c r="A219" s="61" t="n">
        <v>-5</v>
      </c>
      <c r="B219" s="62" t="n">
        <v>54.7</v>
      </c>
      <c r="C219" s="61" t="inlineStr">
        <is>
          <t>R4</t>
        </is>
      </c>
      <c r="D219" s="74" t="inlineStr">
        <is>
          <t>NG</t>
        </is>
      </c>
      <c r="E219" s="61" t="inlineStr">
        <is>
          <t>N1</t>
        </is>
      </c>
      <c r="F219" s="61" t="inlineStr">
        <is>
          <t>K035</t>
        </is>
      </c>
      <c r="G219" s="75" t="n">
        <v>7.78</v>
      </c>
      <c r="H219" s="65" t="n"/>
      <c r="I219" s="66" t="n"/>
      <c r="J219" s="67">
        <f>VLOOKUP(C219,Recipes!$A$2:$N$4,10,FALSE())</f>
        <v/>
      </c>
      <c r="K219" s="68">
        <f>VLOOKUP(C219,Recipes!$A$2:$N$4,12,FALSE())</f>
        <v/>
      </c>
      <c r="L219" s="67">
        <f>J219-3.5*K219</f>
        <v/>
      </c>
      <c r="M219" s="67">
        <f>J219+3.5*K219</f>
        <v/>
      </c>
      <c r="N219" s="61">
        <f>IF(G219="","",IF(AND(G219&gt;=L219,G219&lt;=M219),"OK","NG"))</f>
        <v/>
      </c>
      <c r="O219" s="69">
        <f>IF(N219="","",IF(N219=D219,1,0))</f>
        <v/>
      </c>
      <c r="P219" s="67">
        <f>IF(G219="","",J219-G219)</f>
        <v/>
      </c>
      <c r="Q219" s="67">
        <f>IF(G219="","",ABS(P219-Components!$D$2))</f>
        <v/>
      </c>
      <c r="R219" s="67">
        <f>IF(G219="","",ABS(P219-Components!$D$3))</f>
        <v/>
      </c>
      <c r="S219" s="67">
        <f>IF(G219="","",ABS(P219-Components!$D$4))</f>
        <v/>
      </c>
      <c r="T219" s="67">
        <f>IF(G219="","",ABS(P219-Components!$D$5))</f>
        <v/>
      </c>
      <c r="U219" s="67">
        <f>IF(G219="","",ABS(P219-Components!$D$6))</f>
        <v/>
      </c>
      <c r="V219" s="67">
        <f>IF(G219="","",ABS(P219-Components!$D$7))</f>
        <v/>
      </c>
      <c r="W219" s="61">
        <f>IF(G219="","",IF(N219="OK","NONE",INDEX({"S1","S2","W1","W2","N1","N2"},MATCH(MIN(Q219:V219),Q219:V219,0))))</f>
        <v/>
      </c>
      <c r="X219" s="69">
        <f>IF(G219="","",IF(W219=E219,1,0))</f>
        <v/>
      </c>
      <c r="Y219" s="70" t="n"/>
    </row>
    <row r="220">
      <c r="A220" s="61" t="n">
        <v>-3</v>
      </c>
      <c r="B220" s="62" t="n">
        <v>53.4</v>
      </c>
      <c r="C220" s="61" t="inlineStr">
        <is>
          <t>R4</t>
        </is>
      </c>
      <c r="D220" s="74" t="inlineStr">
        <is>
          <t>NG</t>
        </is>
      </c>
      <c r="E220" s="61" t="inlineStr">
        <is>
          <t>N1</t>
        </is>
      </c>
      <c r="F220" s="61" t="inlineStr">
        <is>
          <t>K036</t>
        </is>
      </c>
      <c r="G220" s="75" t="n">
        <v>7.52</v>
      </c>
      <c r="H220" s="65" t="n"/>
      <c r="I220" s="66" t="n"/>
      <c r="J220" s="67">
        <f>VLOOKUP(C220,Recipes!$A$2:$N$4,10,FALSE())</f>
        <v/>
      </c>
      <c r="K220" s="68">
        <f>VLOOKUP(C220,Recipes!$A$2:$N$4,12,FALSE())</f>
        <v/>
      </c>
      <c r="L220" s="67">
        <f>J220-3.5*K220</f>
        <v/>
      </c>
      <c r="M220" s="67">
        <f>J220+3.5*K220</f>
        <v/>
      </c>
      <c r="N220" s="61">
        <f>IF(G220="","",IF(AND(G220&gt;=L220,G220&lt;=M220),"OK","NG"))</f>
        <v/>
      </c>
      <c r="O220" s="69">
        <f>IF(N220="","",IF(N220=D220,1,0))</f>
        <v/>
      </c>
      <c r="P220" s="67">
        <f>IF(G220="","",J220-G220)</f>
        <v/>
      </c>
      <c r="Q220" s="67">
        <f>IF(G220="","",ABS(P220-Components!$D$2))</f>
        <v/>
      </c>
      <c r="R220" s="67">
        <f>IF(G220="","",ABS(P220-Components!$D$3))</f>
        <v/>
      </c>
      <c r="S220" s="67">
        <f>IF(G220="","",ABS(P220-Components!$D$4))</f>
        <v/>
      </c>
      <c r="T220" s="67">
        <f>IF(G220="","",ABS(P220-Components!$D$5))</f>
        <v/>
      </c>
      <c r="U220" s="67">
        <f>IF(G220="","",ABS(P220-Components!$D$6))</f>
        <v/>
      </c>
      <c r="V220" s="67">
        <f>IF(G220="","",ABS(P220-Components!$D$7))</f>
        <v/>
      </c>
      <c r="W220" s="61">
        <f>IF(G220="","",IF(N220="OK","NONE",INDEX({"S1","S2","W1","W2","N1","N2"},MATCH(MIN(Q220:V220),Q220:V220,0))))</f>
        <v/>
      </c>
      <c r="X220" s="71">
        <f>IF(G220="","",IF(W220=E220,1,0))</f>
        <v/>
      </c>
      <c r="Y220" s="70" t="n"/>
    </row>
    <row r="221">
      <c r="A221" s="61" t="n">
        <v>-1</v>
      </c>
      <c r="B221" s="62" t="n">
        <v>52.1</v>
      </c>
      <c r="C221" s="61" t="inlineStr">
        <is>
          <t>R4</t>
        </is>
      </c>
      <c r="D221" s="74" t="inlineStr">
        <is>
          <t>NG</t>
        </is>
      </c>
      <c r="E221" s="61" t="inlineStr">
        <is>
          <t>N1</t>
        </is>
      </c>
      <c r="F221" s="61" t="inlineStr">
        <is>
          <t>K037</t>
        </is>
      </c>
      <c r="G221" s="75" t="n">
        <v>7.75</v>
      </c>
      <c r="H221" s="65" t="n"/>
      <c r="I221" s="66" t="n"/>
      <c r="J221" s="67">
        <f>VLOOKUP(C221,Recipes!$A$2:$N$4,10,FALSE())</f>
        <v/>
      </c>
      <c r="K221" s="68">
        <f>VLOOKUP(C221,Recipes!$A$2:$N$4,12,FALSE())</f>
        <v/>
      </c>
      <c r="L221" s="67">
        <f>J221-3.5*K221</f>
        <v/>
      </c>
      <c r="M221" s="67">
        <f>J221+3.5*K221</f>
        <v/>
      </c>
      <c r="N221" s="61">
        <f>IF(G221="","",IF(AND(G221&gt;=L221,G221&lt;=M221),"OK","NG"))</f>
        <v/>
      </c>
      <c r="O221" s="69">
        <f>IF(N221="","",IF(N221=D221,1,0))</f>
        <v/>
      </c>
      <c r="P221" s="67">
        <f>IF(G221="","",J221-G221)</f>
        <v/>
      </c>
      <c r="Q221" s="67">
        <f>IF(G221="","",ABS(P221-Components!$D$2))</f>
        <v/>
      </c>
      <c r="R221" s="67">
        <f>IF(G221="","",ABS(P221-Components!$D$3))</f>
        <v/>
      </c>
      <c r="S221" s="67">
        <f>IF(G221="","",ABS(P221-Components!$D$4))</f>
        <v/>
      </c>
      <c r="T221" s="67">
        <f>IF(G221="","",ABS(P221-Components!$D$5))</f>
        <v/>
      </c>
      <c r="U221" s="67">
        <f>IF(G221="","",ABS(P221-Components!$D$6))</f>
        <v/>
      </c>
      <c r="V221" s="67">
        <f>IF(G221="","",ABS(P221-Components!$D$7))</f>
        <v/>
      </c>
      <c r="W221" s="61">
        <f>IF(G221="","",IF(N221="OK","NONE",INDEX({"S1","S2","W1","W2","N1","N2"},MATCH(MIN(Q221:V221),Q221:V221,0))))</f>
        <v/>
      </c>
      <c r="X221" s="69">
        <f>IF(G221="","",IF(W221=E221,1,0))</f>
        <v/>
      </c>
      <c r="Y221" s="70" t="n"/>
    </row>
    <row r="222">
      <c r="A222" s="76" t="n">
        <v>1</v>
      </c>
      <c r="B222" s="77" t="n">
        <v>50.8</v>
      </c>
      <c r="C222" s="76" t="inlineStr">
        <is>
          <t>R4</t>
        </is>
      </c>
      <c r="D222" s="78" t="inlineStr">
        <is>
          <t>NG</t>
        </is>
      </c>
      <c r="E222" s="76" t="inlineStr">
        <is>
          <t>N1</t>
        </is>
      </c>
      <c r="F222" s="76" t="inlineStr">
        <is>
          <t>K043</t>
        </is>
      </c>
      <c r="G222" s="75" t="n">
        <v>7.76</v>
      </c>
      <c r="H222" s="65" t="n"/>
      <c r="I222" s="66" t="n"/>
      <c r="J222" s="67">
        <f>VLOOKUP(C222,Recipes!$A$2:$N$4,10,FALSE())</f>
        <v/>
      </c>
      <c r="K222" s="68">
        <f>VLOOKUP(C222,Recipes!$A$2:$N$4,12,FALSE())</f>
        <v/>
      </c>
      <c r="L222" s="67">
        <f>J222-3.5*K222</f>
        <v/>
      </c>
      <c r="M222" s="67">
        <f>J222+3.5*K222</f>
        <v/>
      </c>
      <c r="N222" s="61">
        <f>IF(G222="","",IF(AND(G222&gt;=L222,G222&lt;=M222),"OK","NG"))</f>
        <v/>
      </c>
      <c r="O222" s="69">
        <f>IF(N222="","",IF(N222=D222,1,0))</f>
        <v/>
      </c>
      <c r="P222" s="67">
        <f>IF(G222="","",J222-G222)</f>
        <v/>
      </c>
      <c r="Q222" s="67">
        <f>IF(G222="","",ABS(P222-Components!$D$2))</f>
        <v/>
      </c>
      <c r="R222" s="67">
        <f>IF(G222="","",ABS(P222-Components!$D$3))</f>
        <v/>
      </c>
      <c r="S222" s="67">
        <f>IF(G222="","",ABS(P222-Components!$D$4))</f>
        <v/>
      </c>
      <c r="T222" s="67">
        <f>IF(G222="","",ABS(P222-Components!$D$5))</f>
        <v/>
      </c>
      <c r="U222" s="67">
        <f>IF(G222="","",ABS(P222-Components!$D$6))</f>
        <v/>
      </c>
      <c r="V222" s="67">
        <f>IF(G222="","",ABS(P222-Components!$D$7))</f>
        <v/>
      </c>
      <c r="W222" s="61">
        <f>IF(G222="","",IF(N222="OK","NONE",INDEX({"S1","S2","W1","W2","N1","N2"},MATCH(MIN(Q222:V222),Q222:V222,0))))</f>
        <v/>
      </c>
      <c r="X222" s="69">
        <f>IF(G222="","",IF(W222=E222,1,0))</f>
        <v/>
      </c>
      <c r="Y222" s="70" t="n"/>
    </row>
    <row r="223">
      <c r="A223" s="61" t="n">
        <v>3</v>
      </c>
      <c r="B223" s="62" t="n">
        <v>49.5</v>
      </c>
      <c r="C223" s="61" t="inlineStr">
        <is>
          <t>R4</t>
        </is>
      </c>
      <c r="D223" s="74" t="inlineStr">
        <is>
          <t>NG</t>
        </is>
      </c>
      <c r="E223" s="61" t="inlineStr">
        <is>
          <t>N1</t>
        </is>
      </c>
      <c r="F223" s="61" t="inlineStr">
        <is>
          <t>K034</t>
        </is>
      </c>
      <c r="G223" s="75" t="n">
        <v>7.78</v>
      </c>
      <c r="H223" s="65" t="n"/>
      <c r="I223" s="66" t="n"/>
      <c r="J223" s="67">
        <f>VLOOKUP(C223,Recipes!$A$2:$N$4,10,FALSE())</f>
        <v/>
      </c>
      <c r="K223" s="68">
        <f>VLOOKUP(C223,Recipes!$A$2:$N$4,12,FALSE())</f>
        <v/>
      </c>
      <c r="L223" s="67">
        <f>J223-3.5*K223</f>
        <v/>
      </c>
      <c r="M223" s="67">
        <f>J223+3.5*K223</f>
        <v/>
      </c>
      <c r="N223" s="61">
        <f>IF(G223="","",IF(AND(G223&gt;=L223,G223&lt;=M223),"OK","NG"))</f>
        <v/>
      </c>
      <c r="O223" s="69">
        <f>IF(N223="","",IF(N223=D223,1,0))</f>
        <v/>
      </c>
      <c r="P223" s="67">
        <f>IF(G223="","",J223-G223)</f>
        <v/>
      </c>
      <c r="Q223" s="67">
        <f>IF(G223="","",ABS(P223-Components!$D$2))</f>
        <v/>
      </c>
      <c r="R223" s="67">
        <f>IF(G223="","",ABS(P223-Components!$D$3))</f>
        <v/>
      </c>
      <c r="S223" s="67">
        <f>IF(G223="","",ABS(P223-Components!$D$4))</f>
        <v/>
      </c>
      <c r="T223" s="67">
        <f>IF(G223="","",ABS(P223-Components!$D$5))</f>
        <v/>
      </c>
      <c r="U223" s="67">
        <f>IF(G223="","",ABS(P223-Components!$D$6))</f>
        <v/>
      </c>
      <c r="V223" s="67">
        <f>IF(G223="","",ABS(P223-Components!$D$7))</f>
        <v/>
      </c>
      <c r="W223" s="61">
        <f>IF(G223="","",IF(N223="OK","NONE",INDEX({"S1","S2","W1","W2","N1","N2"},MATCH(MIN(Q223:V223),Q223:V223,0))))</f>
        <v/>
      </c>
      <c r="X223" s="69">
        <f>IF(G223="","",IF(W223=E223,1,0))</f>
        <v/>
      </c>
      <c r="Y223" s="70" t="n"/>
    </row>
    <row r="224">
      <c r="A224" s="61" t="n">
        <v>5</v>
      </c>
      <c r="B224" s="62" t="n">
        <v>48.2</v>
      </c>
      <c r="C224" s="61" t="inlineStr">
        <is>
          <t>R4</t>
        </is>
      </c>
      <c r="D224" s="74" t="inlineStr">
        <is>
          <t>NG</t>
        </is>
      </c>
      <c r="E224" s="61" t="inlineStr">
        <is>
          <t>N1</t>
        </is>
      </c>
      <c r="F224" s="61" t="inlineStr">
        <is>
          <t>K035</t>
        </is>
      </c>
      <c r="G224" s="75" t="n">
        <v>7.82</v>
      </c>
      <c r="H224" s="65" t="n"/>
      <c r="I224" s="66" t="n"/>
      <c r="J224" s="67">
        <f>VLOOKUP(C224,Recipes!$A$2:$N$4,10,FALSE())</f>
        <v/>
      </c>
      <c r="K224" s="68">
        <f>VLOOKUP(C224,Recipes!$A$2:$N$4,12,FALSE())</f>
        <v/>
      </c>
      <c r="L224" s="67">
        <f>J224-3.5*K224</f>
        <v/>
      </c>
      <c r="M224" s="67">
        <f>J224+3.5*K224</f>
        <v/>
      </c>
      <c r="N224" s="61">
        <f>IF(G224="","",IF(AND(G224&gt;=L224,G224&lt;=M224),"OK","NG"))</f>
        <v/>
      </c>
      <c r="O224" s="69">
        <f>IF(N224="","",IF(N224=D224,1,0))</f>
        <v/>
      </c>
      <c r="P224" s="67">
        <f>IF(G224="","",J224-G224)</f>
        <v/>
      </c>
      <c r="Q224" s="67">
        <f>IF(G224="","",ABS(P224-Components!$D$2))</f>
        <v/>
      </c>
      <c r="R224" s="67">
        <f>IF(G224="","",ABS(P224-Components!$D$3))</f>
        <v/>
      </c>
      <c r="S224" s="67">
        <f>IF(G224="","",ABS(P224-Components!$D$4))</f>
        <v/>
      </c>
      <c r="T224" s="67">
        <f>IF(G224="","",ABS(P224-Components!$D$5))</f>
        <v/>
      </c>
      <c r="U224" s="67">
        <f>IF(G224="","",ABS(P224-Components!$D$6))</f>
        <v/>
      </c>
      <c r="V224" s="67">
        <f>IF(G224="","",ABS(P224-Components!$D$7))</f>
        <v/>
      </c>
      <c r="W224" s="61">
        <f>IF(G224="","",IF(N224="OK","NONE",INDEX({"S1","S2","W1","W2","N1","N2"},MATCH(MIN(Q224:V224),Q224:V224,0))))</f>
        <v/>
      </c>
      <c r="X224" s="69">
        <f>IF(G224="","",IF(W224=E224,1,0))</f>
        <v/>
      </c>
      <c r="Y224" s="70" t="n"/>
    </row>
    <row r="225">
      <c r="A225" s="61" t="n">
        <v>7</v>
      </c>
      <c r="B225" s="62" t="n">
        <v>46.9</v>
      </c>
      <c r="C225" s="61" t="inlineStr">
        <is>
          <t>R4</t>
        </is>
      </c>
      <c r="D225" s="74" t="inlineStr">
        <is>
          <t>NG</t>
        </is>
      </c>
      <c r="E225" s="61" t="inlineStr">
        <is>
          <t>N1</t>
        </is>
      </c>
      <c r="F225" s="61" t="inlineStr">
        <is>
          <t>K036</t>
        </is>
      </c>
      <c r="G225" s="75" t="n">
        <v>7.8</v>
      </c>
      <c r="H225" s="65" t="n"/>
      <c r="I225" s="66" t="n"/>
      <c r="J225" s="67">
        <f>VLOOKUP(C225,Recipes!$A$2:$N$4,10,FALSE())</f>
        <v/>
      </c>
      <c r="K225" s="68">
        <f>VLOOKUP(C225,Recipes!$A$2:$N$4,12,FALSE())</f>
        <v/>
      </c>
      <c r="L225" s="67">
        <f>J225-3.5*K225</f>
        <v/>
      </c>
      <c r="M225" s="67">
        <f>J225+3.5*K225</f>
        <v/>
      </c>
      <c r="N225" s="61">
        <f>IF(G225="","",IF(AND(G225&gt;=L225,G225&lt;=M225),"OK","NG"))</f>
        <v/>
      </c>
      <c r="O225" s="69">
        <f>IF(N225="","",IF(N225=D225,1,0))</f>
        <v/>
      </c>
      <c r="P225" s="67">
        <f>IF(G225="","",J225-G225)</f>
        <v/>
      </c>
      <c r="Q225" s="67">
        <f>IF(G225="","",ABS(P225-Components!$D$2))</f>
        <v/>
      </c>
      <c r="R225" s="67">
        <f>IF(G225="","",ABS(P225-Components!$D$3))</f>
        <v/>
      </c>
      <c r="S225" s="67">
        <f>IF(G225="","",ABS(P225-Components!$D$4))</f>
        <v/>
      </c>
      <c r="T225" s="67">
        <f>IF(G225="","",ABS(P225-Components!$D$5))</f>
        <v/>
      </c>
      <c r="U225" s="67">
        <f>IF(G225="","",ABS(P225-Components!$D$6))</f>
        <v/>
      </c>
      <c r="V225" s="67">
        <f>IF(G225="","",ABS(P225-Components!$D$7))</f>
        <v/>
      </c>
      <c r="W225" s="61">
        <f>IF(G225="","",IF(N225="OK","NONE",INDEX({"S1","S2","W1","W2","N1","N2"},MATCH(MIN(Q225:V225),Q225:V225,0))))</f>
        <v/>
      </c>
      <c r="X225" s="69">
        <f>IF(G225="","",IF(W225=E225,1,0))</f>
        <v/>
      </c>
      <c r="Y225" s="70" t="n"/>
    </row>
    <row r="226">
      <c r="A226" s="61" t="n">
        <v>9</v>
      </c>
      <c r="B226" s="62" t="n">
        <v>45.6</v>
      </c>
      <c r="C226" s="61" t="inlineStr">
        <is>
          <t>R4</t>
        </is>
      </c>
      <c r="D226" s="74" t="inlineStr">
        <is>
          <t>NG</t>
        </is>
      </c>
      <c r="E226" s="61" t="inlineStr">
        <is>
          <t>N1</t>
        </is>
      </c>
      <c r="F226" s="61" t="inlineStr">
        <is>
          <t>K037</t>
        </is>
      </c>
      <c r="G226" s="75" t="n">
        <v>7.75</v>
      </c>
      <c r="H226" s="65" t="n"/>
      <c r="I226" s="66" t="n"/>
      <c r="J226" s="67">
        <f>VLOOKUP(C226,Recipes!$A$2:$N$4,10,FALSE())</f>
        <v/>
      </c>
      <c r="K226" s="68">
        <f>VLOOKUP(C226,Recipes!$A$2:$N$4,12,FALSE())</f>
        <v/>
      </c>
      <c r="L226" s="67">
        <f>J226-3.5*K226</f>
        <v/>
      </c>
      <c r="M226" s="67">
        <f>J226+3.5*K226</f>
        <v/>
      </c>
      <c r="N226" s="61">
        <f>IF(G226="","",IF(AND(G226&gt;=L226,G226&lt;=M226),"OK","NG"))</f>
        <v/>
      </c>
      <c r="O226" s="69">
        <f>IF(N226="","",IF(N226=D226,1,0))</f>
        <v/>
      </c>
      <c r="P226" s="67">
        <f>IF(G226="","",J226-G226)</f>
        <v/>
      </c>
      <c r="Q226" s="67">
        <f>IF(G226="","",ABS(P226-Components!$D$2))</f>
        <v/>
      </c>
      <c r="R226" s="67">
        <f>IF(G226="","",ABS(P226-Components!$D$3))</f>
        <v/>
      </c>
      <c r="S226" s="67">
        <f>IF(G226="","",ABS(P226-Components!$D$4))</f>
        <v/>
      </c>
      <c r="T226" s="67">
        <f>IF(G226="","",ABS(P226-Components!$D$5))</f>
        <v/>
      </c>
      <c r="U226" s="67">
        <f>IF(G226="","",ABS(P226-Components!$D$6))</f>
        <v/>
      </c>
      <c r="V226" s="67">
        <f>IF(G226="","",ABS(P226-Components!$D$7))</f>
        <v/>
      </c>
      <c r="W226" s="61">
        <f>IF(G226="","",IF(N226="OK","NONE",INDEX({"S1","S2","W1","W2","N1","N2"},MATCH(MIN(Q226:V226),Q226:V226,0))))</f>
        <v/>
      </c>
      <c r="X226" s="69">
        <f>IF(G226="","",IF(W226=E226,1,0))</f>
        <v/>
      </c>
      <c r="Y226" s="70" t="n"/>
    </row>
    <row r="227">
      <c r="A227" s="76" t="n">
        <v>11</v>
      </c>
      <c r="B227" s="77" t="n">
        <v>44.3</v>
      </c>
      <c r="C227" s="76" t="inlineStr">
        <is>
          <t>R4</t>
        </is>
      </c>
      <c r="D227" s="78" t="inlineStr">
        <is>
          <t>NG</t>
        </is>
      </c>
      <c r="E227" s="76" t="inlineStr">
        <is>
          <t>N1</t>
        </is>
      </c>
      <c r="F227" s="76" t="inlineStr">
        <is>
          <t>K043</t>
        </is>
      </c>
      <c r="G227" s="75" t="n">
        <v>7.72</v>
      </c>
      <c r="H227" s="65" t="n"/>
      <c r="I227" s="66" t="n"/>
      <c r="J227" s="67">
        <f>VLOOKUP(C227,Recipes!$A$2:$N$4,10,FALSE())</f>
        <v/>
      </c>
      <c r="K227" s="68">
        <f>VLOOKUP(C227,Recipes!$A$2:$N$4,12,FALSE())</f>
        <v/>
      </c>
      <c r="L227" s="67">
        <f>J227-3.5*K227</f>
        <v/>
      </c>
      <c r="M227" s="67">
        <f>J227+3.5*K227</f>
        <v/>
      </c>
      <c r="N227" s="61">
        <f>IF(G227="","",IF(AND(G227&gt;=L227,G227&lt;=M227),"OK","NG"))</f>
        <v/>
      </c>
      <c r="O227" s="69">
        <f>IF(N227="","",IF(N227=D227,1,0))</f>
        <v/>
      </c>
      <c r="P227" s="67">
        <f>IF(G227="","",J227-G227)</f>
        <v/>
      </c>
      <c r="Q227" s="67">
        <f>IF(G227="","",ABS(P227-Components!$D$2))</f>
        <v/>
      </c>
      <c r="R227" s="67">
        <f>IF(G227="","",ABS(P227-Components!$D$3))</f>
        <v/>
      </c>
      <c r="S227" s="67">
        <f>IF(G227="","",ABS(P227-Components!$D$4))</f>
        <v/>
      </c>
      <c r="T227" s="67">
        <f>IF(G227="","",ABS(P227-Components!$D$5))</f>
        <v/>
      </c>
      <c r="U227" s="67">
        <f>IF(G227="","",ABS(P227-Components!$D$6))</f>
        <v/>
      </c>
      <c r="V227" s="67">
        <f>IF(G227="","",ABS(P227-Components!$D$7))</f>
        <v/>
      </c>
      <c r="W227" s="61">
        <f>IF(G227="","",IF(N227="OK","NONE",INDEX({"S1","S2","W1","W2","N1","N2"},MATCH(MIN(Q227:V227),Q227:V227,0))))</f>
        <v/>
      </c>
      <c r="X227" s="69">
        <f>IF(G227="","",IF(W227=E227,1,0))</f>
        <v/>
      </c>
      <c r="Y227" s="70" t="n"/>
    </row>
    <row r="228">
      <c r="A228" s="61" t="n">
        <v>13</v>
      </c>
      <c r="B228" s="62" t="n">
        <v>43</v>
      </c>
      <c r="C228" s="61" t="inlineStr">
        <is>
          <t>R4</t>
        </is>
      </c>
      <c r="D228" s="74" t="inlineStr">
        <is>
          <t>NG</t>
        </is>
      </c>
      <c r="E228" s="61" t="inlineStr">
        <is>
          <t>N1</t>
        </is>
      </c>
      <c r="F228" s="61" t="inlineStr">
        <is>
          <t>K034</t>
        </is>
      </c>
      <c r="G228" s="75" t="n">
        <v>7.78</v>
      </c>
      <c r="H228" s="65" t="n"/>
      <c r="I228" s="66" t="n"/>
      <c r="J228" s="67">
        <f>VLOOKUP(C228,Recipes!$A$2:$N$4,10,FALSE())</f>
        <v/>
      </c>
      <c r="K228" s="68">
        <f>VLOOKUP(C228,Recipes!$A$2:$N$4,12,FALSE())</f>
        <v/>
      </c>
      <c r="L228" s="67">
        <f>J228-3.5*K228</f>
        <v/>
      </c>
      <c r="M228" s="67">
        <f>J228+3.5*K228</f>
        <v/>
      </c>
      <c r="N228" s="61">
        <f>IF(G228="","",IF(AND(G228&gt;=L228,G228&lt;=M228),"OK","NG"))</f>
        <v/>
      </c>
      <c r="O228" s="69">
        <f>IF(N228="","",IF(N228=D228,1,0))</f>
        <v/>
      </c>
      <c r="P228" s="67">
        <f>IF(G228="","",J228-G228)</f>
        <v/>
      </c>
      <c r="Q228" s="67">
        <f>IF(G228="","",ABS(P228-Components!$D$2))</f>
        <v/>
      </c>
      <c r="R228" s="67">
        <f>IF(G228="","",ABS(P228-Components!$D$3))</f>
        <v/>
      </c>
      <c r="S228" s="67">
        <f>IF(G228="","",ABS(P228-Components!$D$4))</f>
        <v/>
      </c>
      <c r="T228" s="67">
        <f>IF(G228="","",ABS(P228-Components!$D$5))</f>
        <v/>
      </c>
      <c r="U228" s="67">
        <f>IF(G228="","",ABS(P228-Components!$D$6))</f>
        <v/>
      </c>
      <c r="V228" s="67">
        <f>IF(G228="","",ABS(P228-Components!$D$7))</f>
        <v/>
      </c>
      <c r="W228" s="61">
        <f>IF(G228="","",IF(N228="OK","NONE",INDEX({"S1","S2","W1","W2","N1","N2"},MATCH(MIN(Q228:V228),Q228:V228,0))))</f>
        <v/>
      </c>
      <c r="X228" s="69">
        <f>IF(G228="","",IF(W228=E228,1,0))</f>
        <v/>
      </c>
      <c r="Y228" s="70" t="n"/>
    </row>
    <row r="229">
      <c r="A229" s="61" t="n">
        <v>15</v>
      </c>
      <c r="B229" s="62" t="n">
        <v>41.7</v>
      </c>
      <c r="C229" s="61" t="inlineStr">
        <is>
          <t>R4</t>
        </is>
      </c>
      <c r="D229" s="74" t="inlineStr">
        <is>
          <t>NG</t>
        </is>
      </c>
      <c r="E229" s="61" t="inlineStr">
        <is>
          <t>N1</t>
        </is>
      </c>
      <c r="F229" s="61" t="inlineStr">
        <is>
          <t>K035</t>
        </is>
      </c>
      <c r="G229" s="75" t="n">
        <v>7.75</v>
      </c>
      <c r="H229" s="65" t="n"/>
      <c r="I229" s="66" t="n"/>
      <c r="J229" s="67">
        <f>VLOOKUP(C229,Recipes!$A$2:$N$4,10,FALSE())</f>
        <v/>
      </c>
      <c r="K229" s="68">
        <f>VLOOKUP(C229,Recipes!$A$2:$N$4,12,FALSE())</f>
        <v/>
      </c>
      <c r="L229" s="67">
        <f>J229-3.5*K229</f>
        <v/>
      </c>
      <c r="M229" s="67">
        <f>J229+3.5*K229</f>
        <v/>
      </c>
      <c r="N229" s="61">
        <f>IF(G229="","",IF(AND(G229&gt;=L229,G229&lt;=M229),"OK","NG"))</f>
        <v/>
      </c>
      <c r="O229" s="69">
        <f>IF(N229="","",IF(N229=D229,1,0))</f>
        <v/>
      </c>
      <c r="P229" s="67">
        <f>IF(G229="","",J229-G229)</f>
        <v/>
      </c>
      <c r="Q229" s="67">
        <f>IF(G229="","",ABS(P229-Components!$D$2))</f>
        <v/>
      </c>
      <c r="R229" s="67">
        <f>IF(G229="","",ABS(P229-Components!$D$3))</f>
        <v/>
      </c>
      <c r="S229" s="67">
        <f>IF(G229="","",ABS(P229-Components!$D$4))</f>
        <v/>
      </c>
      <c r="T229" s="67">
        <f>IF(G229="","",ABS(P229-Components!$D$5))</f>
        <v/>
      </c>
      <c r="U229" s="67">
        <f>IF(G229="","",ABS(P229-Components!$D$6))</f>
        <v/>
      </c>
      <c r="V229" s="67">
        <f>IF(G229="","",ABS(P229-Components!$D$7))</f>
        <v/>
      </c>
      <c r="W229" s="61">
        <f>IF(G229="","",IF(N229="OK","NONE",INDEX({"S1","S2","W1","W2","N1","N2"},MATCH(MIN(Q229:V229),Q229:V229,0))))</f>
        <v/>
      </c>
      <c r="X229" s="69">
        <f>IF(G229="","",IF(W229=E229,1,0))</f>
        <v/>
      </c>
      <c r="Y229" s="70" t="n"/>
    </row>
    <row r="230">
      <c r="A230" s="61" t="n">
        <v>17</v>
      </c>
      <c r="B230" s="62" t="n">
        <v>40.4</v>
      </c>
      <c r="C230" s="61" t="inlineStr">
        <is>
          <t>R4</t>
        </is>
      </c>
      <c r="D230" s="74" t="inlineStr">
        <is>
          <t>NG</t>
        </is>
      </c>
      <c r="E230" s="61" t="inlineStr">
        <is>
          <t>N1</t>
        </is>
      </c>
      <c r="F230" s="61" t="inlineStr">
        <is>
          <t>K036</t>
        </is>
      </c>
      <c r="G230" s="75" t="n">
        <v>7.77</v>
      </c>
      <c r="H230" s="65" t="n"/>
      <c r="I230" s="66" t="n"/>
      <c r="J230" s="67">
        <f>VLOOKUP(C230,Recipes!$A$2:$N$4,10,FALSE())</f>
        <v/>
      </c>
      <c r="K230" s="68">
        <f>VLOOKUP(C230,Recipes!$A$2:$N$4,12,FALSE())</f>
        <v/>
      </c>
      <c r="L230" s="67">
        <f>J230-3.5*K230</f>
        <v/>
      </c>
      <c r="M230" s="67">
        <f>J230+3.5*K230</f>
        <v/>
      </c>
      <c r="N230" s="61">
        <f>IF(G230="","",IF(AND(G230&gt;=L230,G230&lt;=M230),"OK","NG"))</f>
        <v/>
      </c>
      <c r="O230" s="69">
        <f>IF(N230="","",IF(N230=D230,1,0))</f>
        <v/>
      </c>
      <c r="P230" s="67">
        <f>IF(G230="","",J230-G230)</f>
        <v/>
      </c>
      <c r="Q230" s="67">
        <f>IF(G230="","",ABS(P230-Components!$D$2))</f>
        <v/>
      </c>
      <c r="R230" s="67">
        <f>IF(G230="","",ABS(P230-Components!$D$3))</f>
        <v/>
      </c>
      <c r="S230" s="67">
        <f>IF(G230="","",ABS(P230-Components!$D$4))</f>
        <v/>
      </c>
      <c r="T230" s="67">
        <f>IF(G230="","",ABS(P230-Components!$D$5))</f>
        <v/>
      </c>
      <c r="U230" s="67">
        <f>IF(G230="","",ABS(P230-Components!$D$6))</f>
        <v/>
      </c>
      <c r="V230" s="67">
        <f>IF(G230="","",ABS(P230-Components!$D$7))</f>
        <v/>
      </c>
      <c r="W230" s="61">
        <f>IF(G230="","",IF(N230="OK","NONE",INDEX({"S1","S2","W1","W2","N1","N2"},MATCH(MIN(Q230:V230),Q230:V230,0))))</f>
        <v/>
      </c>
      <c r="X230" s="69">
        <f>IF(G230="","",IF(W230=E230,1,0))</f>
        <v/>
      </c>
      <c r="Y230" s="70" t="n"/>
    </row>
    <row r="231">
      <c r="A231" s="61" t="n">
        <v>19</v>
      </c>
      <c r="B231" s="62" t="n">
        <v>39.1</v>
      </c>
      <c r="C231" s="61" t="inlineStr">
        <is>
          <t>R4</t>
        </is>
      </c>
      <c r="D231" s="74" t="inlineStr">
        <is>
          <t>NG</t>
        </is>
      </c>
      <c r="E231" s="61" t="inlineStr">
        <is>
          <t>N1</t>
        </is>
      </c>
      <c r="F231" s="61" t="inlineStr">
        <is>
          <t>K037</t>
        </is>
      </c>
      <c r="G231" s="75" t="n">
        <v>7.69</v>
      </c>
      <c r="H231" s="65" t="n"/>
      <c r="I231" s="66" t="n"/>
      <c r="J231" s="67">
        <f>VLOOKUP(C231,Recipes!$A$2:$N$4,10,FALSE())</f>
        <v/>
      </c>
      <c r="K231" s="68">
        <f>VLOOKUP(C231,Recipes!$A$2:$N$4,12,FALSE())</f>
        <v/>
      </c>
      <c r="L231" s="67">
        <f>J231-3.5*K231</f>
        <v/>
      </c>
      <c r="M231" s="67">
        <f>J231+3.5*K231</f>
        <v/>
      </c>
      <c r="N231" s="61">
        <f>IF(G231="","",IF(AND(G231&gt;=L231,G231&lt;=M231),"OK","NG"))</f>
        <v/>
      </c>
      <c r="O231" s="69">
        <f>IF(N231="","",IF(N231=D231,1,0))</f>
        <v/>
      </c>
      <c r="P231" s="67">
        <f>IF(G231="","",J231-G231)</f>
        <v/>
      </c>
      <c r="Q231" s="67">
        <f>IF(G231="","",ABS(P231-Components!$D$2))</f>
        <v/>
      </c>
      <c r="R231" s="67">
        <f>IF(G231="","",ABS(P231-Components!$D$3))</f>
        <v/>
      </c>
      <c r="S231" s="67">
        <f>IF(G231="","",ABS(P231-Components!$D$4))</f>
        <v/>
      </c>
      <c r="T231" s="67">
        <f>IF(G231="","",ABS(P231-Components!$D$5))</f>
        <v/>
      </c>
      <c r="U231" s="67">
        <f>IF(G231="","",ABS(P231-Components!$D$6))</f>
        <v/>
      </c>
      <c r="V231" s="67">
        <f>IF(G231="","",ABS(P231-Components!$D$7))</f>
        <v/>
      </c>
      <c r="W231" s="61">
        <f>IF(G231="","",IF(N231="OK","NONE",INDEX({"S1","S2","W1","W2","N1","N2"},MATCH(MIN(Q231:V231),Q231:V231,0))))</f>
        <v/>
      </c>
      <c r="X231" s="69">
        <f>IF(G231="","",IF(W231=E231,1,0))</f>
        <v/>
      </c>
      <c r="Y231" s="70" t="n"/>
    </row>
    <row r="232">
      <c r="A232" s="76" t="n">
        <v>21</v>
      </c>
      <c r="B232" s="77" t="n">
        <v>37.8</v>
      </c>
      <c r="C232" s="76" t="inlineStr">
        <is>
          <t>R4</t>
        </is>
      </c>
      <c r="D232" s="78" t="inlineStr">
        <is>
          <t>NG</t>
        </is>
      </c>
      <c r="E232" s="76" t="inlineStr">
        <is>
          <t>N1</t>
        </is>
      </c>
      <c r="F232" s="76" t="inlineStr">
        <is>
          <t>K043</t>
        </is>
      </c>
      <c r="G232" s="75" t="n">
        <v>7.77</v>
      </c>
      <c r="H232" s="65" t="n"/>
      <c r="I232" s="66" t="n"/>
      <c r="J232" s="67">
        <f>VLOOKUP(C232,Recipes!$A$2:$N$4,10,FALSE())</f>
        <v/>
      </c>
      <c r="K232" s="68">
        <f>VLOOKUP(C232,Recipes!$A$2:$N$4,12,FALSE())</f>
        <v/>
      </c>
      <c r="L232" s="67">
        <f>J232-3.5*K232</f>
        <v/>
      </c>
      <c r="M232" s="67">
        <f>J232+3.5*K232</f>
        <v/>
      </c>
      <c r="N232" s="61">
        <f>IF(G232="","",IF(AND(G232&gt;=L232,G232&lt;=M232),"OK","NG"))</f>
        <v/>
      </c>
      <c r="O232" s="69">
        <f>IF(N232="","",IF(N232=D232,1,0))</f>
        <v/>
      </c>
      <c r="P232" s="67">
        <f>IF(G232="","",J232-G232)</f>
        <v/>
      </c>
      <c r="Q232" s="67">
        <f>IF(G232="","",ABS(P232-Components!$D$2))</f>
        <v/>
      </c>
      <c r="R232" s="67">
        <f>IF(G232="","",ABS(P232-Components!$D$3))</f>
        <v/>
      </c>
      <c r="S232" s="67">
        <f>IF(G232="","",ABS(P232-Components!$D$4))</f>
        <v/>
      </c>
      <c r="T232" s="67">
        <f>IF(G232="","",ABS(P232-Components!$D$5))</f>
        <v/>
      </c>
      <c r="U232" s="67">
        <f>IF(G232="","",ABS(P232-Components!$D$6))</f>
        <v/>
      </c>
      <c r="V232" s="67">
        <f>IF(G232="","",ABS(P232-Components!$D$7))</f>
        <v/>
      </c>
      <c r="W232" s="61">
        <f>IF(G232="","",IF(N232="OK","NONE",INDEX({"S1","S2","W1","W2","N1","N2"},MATCH(MIN(Q232:V232),Q232:V232,0))))</f>
        <v/>
      </c>
      <c r="X232" s="69">
        <f>IF(G232="","",IF(W232=E232,1,0))</f>
        <v/>
      </c>
      <c r="Y232" s="70" t="n"/>
    </row>
    <row r="233">
      <c r="A233" s="61" t="n">
        <v>23</v>
      </c>
      <c r="B233" s="62" t="n">
        <v>36.5</v>
      </c>
      <c r="C233" s="61" t="inlineStr">
        <is>
          <t>R4</t>
        </is>
      </c>
      <c r="D233" s="74" t="inlineStr">
        <is>
          <t>NG</t>
        </is>
      </c>
      <c r="E233" s="61" t="inlineStr">
        <is>
          <t>N1</t>
        </is>
      </c>
      <c r="F233" s="61" t="inlineStr">
        <is>
          <t>K034</t>
        </is>
      </c>
      <c r="G233" s="75" t="n">
        <v>7.77</v>
      </c>
      <c r="H233" s="65" t="n"/>
      <c r="I233" s="66" t="n"/>
      <c r="J233" s="67">
        <f>VLOOKUP(C233,Recipes!$A$2:$N$4,10,FALSE())</f>
        <v/>
      </c>
      <c r="K233" s="68">
        <f>VLOOKUP(C233,Recipes!$A$2:$N$4,12,FALSE())</f>
        <v/>
      </c>
      <c r="L233" s="67">
        <f>J233-3.5*K233</f>
        <v/>
      </c>
      <c r="M233" s="67">
        <f>J233+3.5*K233</f>
        <v/>
      </c>
      <c r="N233" s="61">
        <f>IF(G233="","",IF(AND(G233&gt;=L233,G233&lt;=M233),"OK","NG"))</f>
        <v/>
      </c>
      <c r="O233" s="69">
        <f>IF(N233="","",IF(N233=D233,1,0))</f>
        <v/>
      </c>
      <c r="P233" s="67">
        <f>IF(G233="","",J233-G233)</f>
        <v/>
      </c>
      <c r="Q233" s="67">
        <f>IF(G233="","",ABS(P233-Components!$D$2))</f>
        <v/>
      </c>
      <c r="R233" s="67">
        <f>IF(G233="","",ABS(P233-Components!$D$3))</f>
        <v/>
      </c>
      <c r="S233" s="67">
        <f>IF(G233="","",ABS(P233-Components!$D$4))</f>
        <v/>
      </c>
      <c r="T233" s="67">
        <f>IF(G233="","",ABS(P233-Components!$D$5))</f>
        <v/>
      </c>
      <c r="U233" s="67">
        <f>IF(G233="","",ABS(P233-Components!$D$6))</f>
        <v/>
      </c>
      <c r="V233" s="67">
        <f>IF(G233="","",ABS(P233-Components!$D$7))</f>
        <v/>
      </c>
      <c r="W233" s="61">
        <f>IF(G233="","",IF(N233="OK","NONE",INDEX({"S1","S2","W1","W2","N1","N2"},MATCH(MIN(Q233:V233),Q233:V233,0))))</f>
        <v/>
      </c>
      <c r="X233" s="69">
        <f>IF(G233="","",IF(W233=E233,1,0))</f>
        <v/>
      </c>
      <c r="Y233" s="70" t="n"/>
    </row>
    <row r="234">
      <c r="A234" s="61" t="n">
        <v>25</v>
      </c>
      <c r="B234" s="62" t="n">
        <v>35.2</v>
      </c>
      <c r="C234" s="61" t="inlineStr">
        <is>
          <t>R4</t>
        </is>
      </c>
      <c r="D234" s="74" t="inlineStr">
        <is>
          <t>NG</t>
        </is>
      </c>
      <c r="E234" s="61" t="inlineStr">
        <is>
          <t>N1</t>
        </is>
      </c>
      <c r="F234" s="61" t="inlineStr">
        <is>
          <t>K035</t>
        </is>
      </c>
      <c r="G234" s="75" t="n">
        <v>7.78</v>
      </c>
      <c r="H234" s="65" t="n"/>
      <c r="I234" s="66" t="n"/>
      <c r="J234" s="67">
        <f>VLOOKUP(C234,Recipes!$A$2:$N$4,10,FALSE())</f>
        <v/>
      </c>
      <c r="K234" s="68">
        <f>VLOOKUP(C234,Recipes!$A$2:$N$4,12,FALSE())</f>
        <v/>
      </c>
      <c r="L234" s="67">
        <f>J234-3.5*K234</f>
        <v/>
      </c>
      <c r="M234" s="67">
        <f>J234+3.5*K234</f>
        <v/>
      </c>
      <c r="N234" s="61">
        <f>IF(G234="","",IF(AND(G234&gt;=L234,G234&lt;=M234),"OK","NG"))</f>
        <v/>
      </c>
      <c r="O234" s="69">
        <f>IF(N234="","",IF(N234=D234,1,0))</f>
        <v/>
      </c>
      <c r="P234" s="67">
        <f>IF(G234="","",J234-G234)</f>
        <v/>
      </c>
      <c r="Q234" s="67">
        <f>IF(G234="","",ABS(P234-Components!$D$2))</f>
        <v/>
      </c>
      <c r="R234" s="67">
        <f>IF(G234="","",ABS(P234-Components!$D$3))</f>
        <v/>
      </c>
      <c r="S234" s="67">
        <f>IF(G234="","",ABS(P234-Components!$D$4))</f>
        <v/>
      </c>
      <c r="T234" s="67">
        <f>IF(G234="","",ABS(P234-Components!$D$5))</f>
        <v/>
      </c>
      <c r="U234" s="67">
        <f>IF(G234="","",ABS(P234-Components!$D$6))</f>
        <v/>
      </c>
      <c r="V234" s="67">
        <f>IF(G234="","",ABS(P234-Components!$D$7))</f>
        <v/>
      </c>
      <c r="W234" s="61">
        <f>IF(G234="","",IF(N234="OK","NONE",INDEX({"S1","S2","W1","W2","N1","N2"},MATCH(MIN(Q234:V234),Q234:V234,0))))</f>
        <v/>
      </c>
      <c r="X234" s="69">
        <f>IF(G234="","",IF(W234=E234,1,0))</f>
        <v/>
      </c>
      <c r="Y234" s="70" t="n"/>
    </row>
    <row r="235">
      <c r="A235" s="61" t="n">
        <v>27</v>
      </c>
      <c r="B235" s="62" t="n">
        <v>33.9</v>
      </c>
      <c r="C235" s="61" t="inlineStr">
        <is>
          <t>R4</t>
        </is>
      </c>
      <c r="D235" s="74" t="inlineStr">
        <is>
          <t>NG</t>
        </is>
      </c>
      <c r="E235" s="61" t="inlineStr">
        <is>
          <t>N1</t>
        </is>
      </c>
      <c r="F235" s="61" t="inlineStr">
        <is>
          <t>K036</t>
        </is>
      </c>
      <c r="G235" s="75" t="n">
        <v>7.76</v>
      </c>
      <c r="H235" s="65" t="n"/>
      <c r="I235" s="66" t="n"/>
      <c r="J235" s="67">
        <f>VLOOKUP(C235,Recipes!$A$2:$N$4,10,FALSE())</f>
        <v/>
      </c>
      <c r="K235" s="68">
        <f>VLOOKUP(C235,Recipes!$A$2:$N$4,12,FALSE())</f>
        <v/>
      </c>
      <c r="L235" s="67">
        <f>J235-3.5*K235</f>
        <v/>
      </c>
      <c r="M235" s="67">
        <f>J235+3.5*K235</f>
        <v/>
      </c>
      <c r="N235" s="61">
        <f>IF(G235="","",IF(AND(G235&gt;=L235,G235&lt;=M235),"OK","NG"))</f>
        <v/>
      </c>
      <c r="O235" s="69">
        <f>IF(N235="","",IF(N235=D235,1,0))</f>
        <v/>
      </c>
      <c r="P235" s="67">
        <f>IF(G235="","",J235-G235)</f>
        <v/>
      </c>
      <c r="Q235" s="67">
        <f>IF(G235="","",ABS(P235-Components!$D$2))</f>
        <v/>
      </c>
      <c r="R235" s="67">
        <f>IF(G235="","",ABS(P235-Components!$D$3))</f>
        <v/>
      </c>
      <c r="S235" s="67">
        <f>IF(G235="","",ABS(P235-Components!$D$4))</f>
        <v/>
      </c>
      <c r="T235" s="67">
        <f>IF(G235="","",ABS(P235-Components!$D$5))</f>
        <v/>
      </c>
      <c r="U235" s="67">
        <f>IF(G235="","",ABS(P235-Components!$D$6))</f>
        <v/>
      </c>
      <c r="V235" s="67">
        <f>IF(G235="","",ABS(P235-Components!$D$7))</f>
        <v/>
      </c>
      <c r="W235" s="61">
        <f>IF(G235="","",IF(N235="OK","NONE",INDEX({"S1","S2","W1","W2","N1","N2"},MATCH(MIN(Q235:V235),Q235:V235,0))))</f>
        <v/>
      </c>
      <c r="X235" s="69">
        <f>IF(G235="","",IF(W235=E235,1,0))</f>
        <v/>
      </c>
      <c r="Y235" s="70" t="n"/>
    </row>
    <row r="236">
      <c r="A236" s="61" t="n">
        <v>29</v>
      </c>
      <c r="B236" s="62" t="n">
        <v>32.6</v>
      </c>
      <c r="C236" s="61" t="inlineStr">
        <is>
          <t>R4</t>
        </is>
      </c>
      <c r="D236" s="74" t="inlineStr">
        <is>
          <t>NG</t>
        </is>
      </c>
      <c r="E236" s="61" t="inlineStr">
        <is>
          <t>N1</t>
        </is>
      </c>
      <c r="F236" s="61" t="inlineStr">
        <is>
          <t>K037</t>
        </is>
      </c>
      <c r="G236" s="75" t="n">
        <v>7.77</v>
      </c>
      <c r="H236" s="65" t="n"/>
      <c r="I236" s="66" t="n"/>
      <c r="J236" s="67">
        <f>VLOOKUP(C236,Recipes!$A$2:$N$4,10,FALSE())</f>
        <v/>
      </c>
      <c r="K236" s="68">
        <f>VLOOKUP(C236,Recipes!$A$2:$N$4,12,FALSE())</f>
        <v/>
      </c>
      <c r="L236" s="67">
        <f>J236-3.5*K236</f>
        <v/>
      </c>
      <c r="M236" s="67">
        <f>J236+3.5*K236</f>
        <v/>
      </c>
      <c r="N236" s="61">
        <f>IF(G236="","",IF(AND(G236&gt;=L236,G236&lt;=M236),"OK","NG"))</f>
        <v/>
      </c>
      <c r="O236" s="69">
        <f>IF(N236="","",IF(N236=D236,1,0))</f>
        <v/>
      </c>
      <c r="P236" s="67">
        <f>IF(G236="","",J236-G236)</f>
        <v/>
      </c>
      <c r="Q236" s="67">
        <f>IF(G236="","",ABS(P236-Components!$D$2))</f>
        <v/>
      </c>
      <c r="R236" s="67">
        <f>IF(G236="","",ABS(P236-Components!$D$3))</f>
        <v/>
      </c>
      <c r="S236" s="67">
        <f>IF(G236="","",ABS(P236-Components!$D$4))</f>
        <v/>
      </c>
      <c r="T236" s="67">
        <f>IF(G236="","",ABS(P236-Components!$D$5))</f>
        <v/>
      </c>
      <c r="U236" s="67">
        <f>IF(G236="","",ABS(P236-Components!$D$6))</f>
        <v/>
      </c>
      <c r="V236" s="67">
        <f>IF(G236="","",ABS(P236-Components!$D$7))</f>
        <v/>
      </c>
      <c r="W236" s="61">
        <f>IF(G236="","",IF(N236="OK","NONE",INDEX({"S1","S2","W1","W2","N1","N2"},MATCH(MIN(Q236:V236),Q236:V236,0))))</f>
        <v/>
      </c>
      <c r="X236" s="69">
        <f>IF(G236="","",IF(W236=E236,1,0))</f>
        <v/>
      </c>
      <c r="Y236" s="70" t="n"/>
    </row>
    <row r="237">
      <c r="A237" s="76" t="n">
        <v>31</v>
      </c>
      <c r="B237" s="77" t="n">
        <v>31.3</v>
      </c>
      <c r="C237" s="76" t="inlineStr">
        <is>
          <t>R4</t>
        </is>
      </c>
      <c r="D237" s="78" t="inlineStr">
        <is>
          <t>NG</t>
        </is>
      </c>
      <c r="E237" s="76" t="inlineStr">
        <is>
          <t>N1</t>
        </is>
      </c>
      <c r="F237" s="76" t="inlineStr">
        <is>
          <t>K043</t>
        </is>
      </c>
      <c r="G237" s="75" t="n">
        <v>7.71</v>
      </c>
      <c r="H237" s="65" t="n"/>
      <c r="I237" s="66" t="n"/>
      <c r="J237" s="67">
        <f>VLOOKUP(C237,Recipes!$A$2:$N$4,10,FALSE())</f>
        <v/>
      </c>
      <c r="K237" s="68">
        <f>VLOOKUP(C237,Recipes!$A$2:$N$4,12,FALSE())</f>
        <v/>
      </c>
      <c r="L237" s="67">
        <f>J237-3.5*K237</f>
        <v/>
      </c>
      <c r="M237" s="67">
        <f>J237+3.5*K237</f>
        <v/>
      </c>
      <c r="N237" s="61">
        <f>IF(G237="","",IF(AND(G237&gt;=L237,G237&lt;=M237),"OK","NG"))</f>
        <v/>
      </c>
      <c r="O237" s="69">
        <f>IF(N237="","",IF(N237=D237,1,0))</f>
        <v/>
      </c>
      <c r="P237" s="67">
        <f>IF(G237="","",J237-G237)</f>
        <v/>
      </c>
      <c r="Q237" s="67">
        <f>IF(G237="","",ABS(P237-Components!$D$2))</f>
        <v/>
      </c>
      <c r="R237" s="67">
        <f>IF(G237="","",ABS(P237-Components!$D$3))</f>
        <v/>
      </c>
      <c r="S237" s="67">
        <f>IF(G237="","",ABS(P237-Components!$D$4))</f>
        <v/>
      </c>
      <c r="T237" s="67">
        <f>IF(G237="","",ABS(P237-Components!$D$5))</f>
        <v/>
      </c>
      <c r="U237" s="67">
        <f>IF(G237="","",ABS(P237-Components!$D$6))</f>
        <v/>
      </c>
      <c r="V237" s="67">
        <f>IF(G237="","",ABS(P237-Components!$D$7))</f>
        <v/>
      </c>
      <c r="W237" s="61">
        <f>IF(G237="","",IF(N237="OK","NONE",INDEX({"S1","S2","W1","W2","N1","N2"},MATCH(MIN(Q237:V237),Q237:V237,0))))</f>
        <v/>
      </c>
      <c r="X237" s="69">
        <f>IF(G237="","",IF(W237=E237,1,0))</f>
        <v/>
      </c>
      <c r="Y237" s="70" t="n"/>
    </row>
    <row r="238">
      <c r="A238" s="61" t="n">
        <v>34</v>
      </c>
      <c r="B238" s="62" t="n">
        <v>13</v>
      </c>
      <c r="C238" s="61" t="inlineStr">
        <is>
          <t>R4</t>
        </is>
      </c>
      <c r="D238" s="74" t="inlineStr">
        <is>
          <t>NG</t>
        </is>
      </c>
      <c r="E238" s="61" t="inlineStr">
        <is>
          <t>N1</t>
        </is>
      </c>
      <c r="F238" s="61" t="inlineStr">
        <is>
          <t>K034</t>
        </is>
      </c>
      <c r="G238" s="64" t="n">
        <v>7.78</v>
      </c>
      <c r="H238" s="65" t="n"/>
      <c r="I238" s="66" t="n"/>
      <c r="J238" s="67">
        <f>VLOOKUP(C238,Recipes!$A$2:$N$4,10,FALSE())</f>
        <v/>
      </c>
      <c r="K238" s="68">
        <f>VLOOKUP(C238,Recipes!$A$2:$N$4,12,FALSE())</f>
        <v/>
      </c>
      <c r="L238" s="67">
        <f>J238-3.5*K238</f>
        <v/>
      </c>
      <c r="M238" s="67">
        <f>J238+3.5*K238</f>
        <v/>
      </c>
      <c r="N238" s="61">
        <f>IF(G238="","",IF(AND(G238&gt;=L238,G238&lt;=M238),"OK","NG"))</f>
        <v/>
      </c>
      <c r="O238" s="69">
        <f>IF(N238="","",IF(N238=D238,1,0))</f>
        <v/>
      </c>
      <c r="P238" s="67">
        <f>IF(G238="","",J238-G238)</f>
        <v/>
      </c>
      <c r="Q238" s="67">
        <f>IF(G238="","",ABS(P238-Components!$D$2))</f>
        <v/>
      </c>
      <c r="R238" s="67">
        <f>IF(G238="","",ABS(P238-Components!$D$3))</f>
        <v/>
      </c>
      <c r="S238" s="67">
        <f>IF(G238="","",ABS(P238-Components!$D$4))</f>
        <v/>
      </c>
      <c r="T238" s="67">
        <f>IF(G238="","",ABS(P238-Components!$D$5))</f>
        <v/>
      </c>
      <c r="U238" s="67">
        <f>IF(G238="","",ABS(P238-Components!$D$6))</f>
        <v/>
      </c>
      <c r="V238" s="67">
        <f>IF(G238="","",ABS(P238-Components!$D$7))</f>
        <v/>
      </c>
      <c r="W238" s="61">
        <f>IF(G238="","",IF(N238="OK","NONE",INDEX({"S1","S2","W1","W2","N1","N2"},MATCH(MIN(Q238:V238),Q238:V238,0))))</f>
        <v/>
      </c>
      <c r="X238" s="69">
        <f>IF(G238="","",IF(W238=E238,1,0))</f>
        <v/>
      </c>
      <c r="Y238" s="70" t="n"/>
    </row>
    <row r="239">
      <c r="A239" s="61" t="n">
        <v>35</v>
      </c>
      <c r="B239" s="62" t="n">
        <v>40</v>
      </c>
      <c r="C239" s="61" t="inlineStr">
        <is>
          <t>R4</t>
        </is>
      </c>
      <c r="D239" s="74" t="inlineStr">
        <is>
          <t>NG</t>
        </is>
      </c>
      <c r="E239" s="61" t="inlineStr">
        <is>
          <t>N1</t>
        </is>
      </c>
      <c r="F239" s="61" t="inlineStr">
        <is>
          <t>K035</t>
        </is>
      </c>
      <c r="G239" s="64" t="n">
        <v>7.79</v>
      </c>
      <c r="H239" s="65" t="n"/>
      <c r="I239" s="66" t="n"/>
      <c r="J239" s="67">
        <f>VLOOKUP(C239,Recipes!$A$2:$N$4,10,FALSE())</f>
        <v/>
      </c>
      <c r="K239" s="68">
        <f>VLOOKUP(C239,Recipes!$A$2:$N$4,12,FALSE())</f>
        <v/>
      </c>
      <c r="L239" s="67">
        <f>J239-3.5*K239</f>
        <v/>
      </c>
      <c r="M239" s="67">
        <f>J239+3.5*K239</f>
        <v/>
      </c>
      <c r="N239" s="61">
        <f>IF(G239="","",IF(AND(G239&gt;=L239,G239&lt;=M239),"OK","NG"))</f>
        <v/>
      </c>
      <c r="O239" s="69">
        <f>IF(N239="","",IF(N239=D239,1,0))</f>
        <v/>
      </c>
      <c r="P239" s="67">
        <f>IF(G239="","",J239-G239)</f>
        <v/>
      </c>
      <c r="Q239" s="67">
        <f>IF(G239="","",ABS(P239-Components!$D$2))</f>
        <v/>
      </c>
      <c r="R239" s="67">
        <f>IF(G239="","",ABS(P239-Components!$D$3))</f>
        <v/>
      </c>
      <c r="S239" s="67">
        <f>IF(G239="","",ABS(P239-Components!$D$4))</f>
        <v/>
      </c>
      <c r="T239" s="67">
        <f>IF(G239="","",ABS(P239-Components!$D$5))</f>
        <v/>
      </c>
      <c r="U239" s="67">
        <f>IF(G239="","",ABS(P239-Components!$D$6))</f>
        <v/>
      </c>
      <c r="V239" s="67">
        <f>IF(G239="","",ABS(P239-Components!$D$7))</f>
        <v/>
      </c>
      <c r="W239" s="61">
        <f>IF(G239="","",IF(N239="OK","NONE",INDEX({"S1","S2","W1","W2","N1","N2"},MATCH(MIN(Q239:V239),Q239:V239,0))))</f>
        <v/>
      </c>
      <c r="X239" s="69">
        <f>IF(G239="","",IF(W239=E239,1,0))</f>
        <v/>
      </c>
      <c r="Y239" s="70" t="n"/>
    </row>
    <row r="240">
      <c r="A240" s="61" t="n">
        <v>36</v>
      </c>
      <c r="B240" s="62" t="n">
        <v>33</v>
      </c>
      <c r="C240" s="61" t="inlineStr">
        <is>
          <t>R4</t>
        </is>
      </c>
      <c r="D240" s="74" t="inlineStr">
        <is>
          <t>NG</t>
        </is>
      </c>
      <c r="E240" s="61" t="inlineStr">
        <is>
          <t>N1</t>
        </is>
      </c>
      <c r="F240" s="61" t="inlineStr">
        <is>
          <t>K036</t>
        </is>
      </c>
      <c r="G240" s="64" t="n">
        <v>7.78</v>
      </c>
      <c r="H240" s="65" t="n"/>
      <c r="I240" s="66" t="n"/>
      <c r="J240" s="67">
        <f>VLOOKUP(C240,Recipes!$A$2:$N$4,10,FALSE())</f>
        <v/>
      </c>
      <c r="K240" s="68">
        <f>VLOOKUP(C240,Recipes!$A$2:$N$4,12,FALSE())</f>
        <v/>
      </c>
      <c r="L240" s="67">
        <f>J240-3.5*K240</f>
        <v/>
      </c>
      <c r="M240" s="67">
        <f>J240+3.5*K240</f>
        <v/>
      </c>
      <c r="N240" s="61">
        <f>IF(G240="","",IF(AND(G240&gt;=L240,G240&lt;=M240),"OK","NG"))</f>
        <v/>
      </c>
      <c r="O240" s="69">
        <f>IF(N240="","",IF(N240=D240,1,0))</f>
        <v/>
      </c>
      <c r="P240" s="67">
        <f>IF(G240="","",J240-G240)</f>
        <v/>
      </c>
      <c r="Q240" s="67">
        <f>IF(G240="","",ABS(P240-Components!$D$2))</f>
        <v/>
      </c>
      <c r="R240" s="67">
        <f>IF(G240="","",ABS(P240-Components!$D$3))</f>
        <v/>
      </c>
      <c r="S240" s="67">
        <f>IF(G240="","",ABS(P240-Components!$D$4))</f>
        <v/>
      </c>
      <c r="T240" s="67">
        <f>IF(G240="","",ABS(P240-Components!$D$5))</f>
        <v/>
      </c>
      <c r="U240" s="67">
        <f>IF(G240="","",ABS(P240-Components!$D$6))</f>
        <v/>
      </c>
      <c r="V240" s="67">
        <f>IF(G240="","",ABS(P240-Components!$D$7))</f>
        <v/>
      </c>
      <c r="W240" s="61">
        <f>IF(G240="","",IF(N240="OK","NONE",INDEX({"S1","S2","W1","W2","N1","N2"},MATCH(MIN(Q240:V240),Q240:V240,0))))</f>
        <v/>
      </c>
      <c r="X240" s="69">
        <f>IF(G240="","",IF(W240=E240,1,0))</f>
        <v/>
      </c>
      <c r="Y240" s="70" t="n"/>
    </row>
    <row r="241">
      <c r="A241" s="61" t="n">
        <v>37</v>
      </c>
      <c r="B241" s="62" t="n">
        <v>49</v>
      </c>
      <c r="C241" s="61" t="inlineStr">
        <is>
          <t>R4</t>
        </is>
      </c>
      <c r="D241" s="74" t="inlineStr">
        <is>
          <t>NG</t>
        </is>
      </c>
      <c r="E241" s="61" t="inlineStr">
        <is>
          <t>N1</t>
        </is>
      </c>
      <c r="F241" s="61" t="inlineStr">
        <is>
          <t>K037</t>
        </is>
      </c>
      <c r="G241" s="64" t="n">
        <v>7.78</v>
      </c>
      <c r="H241" s="65" t="n"/>
      <c r="I241" s="66" t="n"/>
      <c r="J241" s="67">
        <f>VLOOKUP(C241,Recipes!$A$2:$N$4,10,FALSE())</f>
        <v/>
      </c>
      <c r="K241" s="68">
        <f>VLOOKUP(C241,Recipes!$A$2:$N$4,12,FALSE())</f>
        <v/>
      </c>
      <c r="L241" s="67">
        <f>J241-3.5*K241</f>
        <v/>
      </c>
      <c r="M241" s="67">
        <f>J241+3.5*K241</f>
        <v/>
      </c>
      <c r="N241" s="61">
        <f>IF(G241="","",IF(AND(G241&gt;=L241,G241&lt;=M241),"OK","NG"))</f>
        <v/>
      </c>
      <c r="O241" s="69">
        <f>IF(N241="","",IF(N241=D241,1,0))</f>
        <v/>
      </c>
      <c r="P241" s="67">
        <f>IF(G241="","",J241-G241)</f>
        <v/>
      </c>
      <c r="Q241" s="67">
        <f>IF(G241="","",ABS(P241-Components!$D$2))</f>
        <v/>
      </c>
      <c r="R241" s="67">
        <f>IF(G241="","",ABS(P241-Components!$D$3))</f>
        <v/>
      </c>
      <c r="S241" s="67">
        <f>IF(G241="","",ABS(P241-Components!$D$4))</f>
        <v/>
      </c>
      <c r="T241" s="67">
        <f>IF(G241="","",ABS(P241-Components!$D$5))</f>
        <v/>
      </c>
      <c r="U241" s="67">
        <f>IF(G241="","",ABS(P241-Components!$D$6))</f>
        <v/>
      </c>
      <c r="V241" s="67">
        <f>IF(G241="","",ABS(P241-Components!$D$7))</f>
        <v/>
      </c>
      <c r="W241" s="61">
        <f>IF(G241="","",IF(N241="OK","NONE",INDEX({"S1","S2","W1","W2","N1","N2"},MATCH(MIN(Q241:V241),Q241:V241,0))))</f>
        <v/>
      </c>
      <c r="X241" s="69">
        <f>IF(G241="","",IF(W241=E241,1,0))</f>
        <v/>
      </c>
      <c r="Y241" s="70" t="n"/>
    </row>
    <row r="242">
      <c r="A242" s="76" t="n">
        <v>43</v>
      </c>
      <c r="B242" s="77" t="n">
        <v>2</v>
      </c>
      <c r="C242" s="76" t="inlineStr">
        <is>
          <t>R4</t>
        </is>
      </c>
      <c r="D242" s="78" t="inlineStr">
        <is>
          <t>NG</t>
        </is>
      </c>
      <c r="E242" s="76" t="inlineStr">
        <is>
          <t>N1</t>
        </is>
      </c>
      <c r="F242" s="76" t="inlineStr">
        <is>
          <t>K043</t>
        </is>
      </c>
      <c r="G242" s="64" t="n">
        <v>7.79</v>
      </c>
      <c r="H242" s="65" t="n"/>
      <c r="I242" s="66" t="n"/>
      <c r="J242" s="67">
        <f>VLOOKUP(C242,Recipes!$A$2:$N$4,10,FALSE())</f>
        <v/>
      </c>
      <c r="K242" s="68">
        <f>VLOOKUP(C242,Recipes!$A$2:$N$4,12,FALSE())</f>
        <v/>
      </c>
      <c r="L242" s="67">
        <f>J242-3.5*K242</f>
        <v/>
      </c>
      <c r="M242" s="67">
        <f>J242+3.5*K242</f>
        <v/>
      </c>
      <c r="N242" s="61">
        <f>IF(G242="","",IF(AND(G242&gt;=L242,G242&lt;=M242),"OK","NG"))</f>
        <v/>
      </c>
      <c r="O242" s="69">
        <f>IF(N242="","",IF(N242=D242,1,0))</f>
        <v/>
      </c>
      <c r="P242" s="67">
        <f>IF(G242="","",J242-G242)</f>
        <v/>
      </c>
      <c r="Q242" s="67">
        <f>IF(G242="","",ABS(P242-Components!$D$2))</f>
        <v/>
      </c>
      <c r="R242" s="67">
        <f>IF(G242="","",ABS(P242-Components!$D$3))</f>
        <v/>
      </c>
      <c r="S242" s="67">
        <f>IF(G242="","",ABS(P242-Components!$D$4))</f>
        <v/>
      </c>
      <c r="T242" s="67">
        <f>IF(G242="","",ABS(P242-Components!$D$5))</f>
        <v/>
      </c>
      <c r="U242" s="67">
        <f>IF(G242="","",ABS(P242-Components!$D$6))</f>
        <v/>
      </c>
      <c r="V242" s="67">
        <f>IF(G242="","",ABS(P242-Components!$D$7))</f>
        <v/>
      </c>
      <c r="W242" s="61">
        <f>IF(G242="","",IF(N242="OK","NONE",INDEX({"S1","S2","W1","W2","N1","N2"},MATCH(MIN(Q242:V242),Q242:V242,0))))</f>
        <v/>
      </c>
      <c r="X242" s="69">
        <f>IF(G242="","",IF(W242=E242,1,0))</f>
        <v/>
      </c>
      <c r="Y242" s="70" t="n"/>
    </row>
    <row r="243">
      <c r="A243" s="61" t="n">
        <v>-10.1</v>
      </c>
      <c r="B243" s="62" t="n">
        <v>61.9</v>
      </c>
      <c r="C243" s="61" t="inlineStr">
        <is>
          <t>R4</t>
        </is>
      </c>
      <c r="D243" s="74" t="inlineStr">
        <is>
          <t>NG</t>
        </is>
      </c>
      <c r="E243" s="61" t="inlineStr">
        <is>
          <t>S2</t>
        </is>
      </c>
      <c r="F243" s="61" t="inlineStr">
        <is>
          <t>K038</t>
        </is>
      </c>
      <c r="G243" s="75" t="n">
        <v>4.94</v>
      </c>
      <c r="H243" s="65" t="n"/>
      <c r="I243" s="66" t="n"/>
      <c r="J243" s="67">
        <f>VLOOKUP(C243,Recipes!$A$2:$N$4,10,FALSE())</f>
        <v/>
      </c>
      <c r="K243" s="68">
        <f>VLOOKUP(C243,Recipes!$A$2:$N$4,12,FALSE())</f>
        <v/>
      </c>
      <c r="L243" s="67">
        <f>J243-3.5*K243</f>
        <v/>
      </c>
      <c r="M243" s="67">
        <f>J243+3.5*K243</f>
        <v/>
      </c>
      <c r="N243" s="61">
        <f>IF(G243="","",IF(AND(G243&gt;=L243,G243&lt;=M243),"OK","NG"))</f>
        <v/>
      </c>
      <c r="O243" s="69">
        <f>IF(N243="","",IF(N243=D243,1,0))</f>
        <v/>
      </c>
      <c r="P243" s="67">
        <f>IF(G243="","",J243-G243)</f>
        <v/>
      </c>
      <c r="Q243" s="67">
        <f>IF(G243="","",ABS(P243-Components!$D$2))</f>
        <v/>
      </c>
      <c r="R243" s="67">
        <f>IF(G243="","",ABS(P243-Components!$D$3))</f>
        <v/>
      </c>
      <c r="S243" s="67">
        <f>IF(G243="","",ABS(P243-Components!$D$4))</f>
        <v/>
      </c>
      <c r="T243" s="67">
        <f>IF(G243="","",ABS(P243-Components!$D$5))</f>
        <v/>
      </c>
      <c r="U243" s="67">
        <f>IF(G243="","",ABS(P243-Components!$D$6))</f>
        <v/>
      </c>
      <c r="V243" s="67">
        <f>IF(G243="","",ABS(P243-Components!$D$7))</f>
        <v/>
      </c>
      <c r="W243" s="61">
        <f>IF(G243="","",IF(N243="OK","NONE",INDEX({"S1","S2","W1","W2","N1","N2"},MATCH(MIN(Q243:V243),Q243:V243,0))))</f>
        <v/>
      </c>
      <c r="X243" s="69">
        <f>IF(G243="","",IF(W243=E243,1,0))</f>
        <v/>
      </c>
      <c r="Y243" s="70" t="n"/>
    </row>
    <row r="244">
      <c r="A244" s="61" t="n">
        <v>-8.199999999999999</v>
      </c>
      <c r="B244" s="62" t="n">
        <v>60.8</v>
      </c>
      <c r="C244" s="61" t="inlineStr">
        <is>
          <t>R4</t>
        </is>
      </c>
      <c r="D244" s="74" t="inlineStr">
        <is>
          <t>NG</t>
        </is>
      </c>
      <c r="E244" s="61" t="inlineStr">
        <is>
          <t>S2</t>
        </is>
      </c>
      <c r="F244" s="61" t="inlineStr">
        <is>
          <t>K039</t>
        </is>
      </c>
      <c r="G244" s="75" t="n">
        <v>4.91</v>
      </c>
      <c r="H244" s="65" t="n"/>
      <c r="I244" s="66" t="n"/>
      <c r="J244" s="67">
        <f>VLOOKUP(C244,Recipes!$A$2:$N$4,10,FALSE())</f>
        <v/>
      </c>
      <c r="K244" s="68">
        <f>VLOOKUP(C244,Recipes!$A$2:$N$4,12,FALSE())</f>
        <v/>
      </c>
      <c r="L244" s="67">
        <f>J244-3.5*K244</f>
        <v/>
      </c>
      <c r="M244" s="67">
        <f>J244+3.5*K244</f>
        <v/>
      </c>
      <c r="N244" s="61">
        <f>IF(G244="","",IF(AND(G244&gt;=L244,G244&lt;=M244),"OK","NG"))</f>
        <v/>
      </c>
      <c r="O244" s="69">
        <f>IF(N244="","",IF(N244=D244,1,0))</f>
        <v/>
      </c>
      <c r="P244" s="67">
        <f>IF(G244="","",J244-G244)</f>
        <v/>
      </c>
      <c r="Q244" s="67">
        <f>IF(G244="","",ABS(P244-Components!$D$2))</f>
        <v/>
      </c>
      <c r="R244" s="67">
        <f>IF(G244="","",ABS(P244-Components!$D$3))</f>
        <v/>
      </c>
      <c r="S244" s="67">
        <f>IF(G244="","",ABS(P244-Components!$D$4))</f>
        <v/>
      </c>
      <c r="T244" s="67">
        <f>IF(G244="","",ABS(P244-Components!$D$5))</f>
        <v/>
      </c>
      <c r="U244" s="67">
        <f>IF(G244="","",ABS(P244-Components!$D$6))</f>
        <v/>
      </c>
      <c r="V244" s="67">
        <f>IF(G244="","",ABS(P244-Components!$D$7))</f>
        <v/>
      </c>
      <c r="W244" s="61">
        <f>IF(G244="","",IF(N244="OK","NONE",INDEX({"S1","S2","W1","W2","N1","N2"},MATCH(MIN(Q244:V244),Q244:V244,0))))</f>
        <v/>
      </c>
      <c r="X244" s="69">
        <f>IF(G244="","",IF(W244=E244,1,0))</f>
        <v/>
      </c>
      <c r="Y244" s="70" t="n"/>
    </row>
    <row r="245">
      <c r="A245" s="61" t="n">
        <v>-6.3</v>
      </c>
      <c r="B245" s="62" t="n">
        <v>59.7</v>
      </c>
      <c r="C245" s="61" t="inlineStr">
        <is>
          <t>R4</t>
        </is>
      </c>
      <c r="D245" s="74" t="inlineStr">
        <is>
          <t>NG</t>
        </is>
      </c>
      <c r="E245" s="61" t="inlineStr">
        <is>
          <t>S2</t>
        </is>
      </c>
      <c r="F245" s="61" t="inlineStr">
        <is>
          <t>K040</t>
        </is>
      </c>
      <c r="G245" s="75" t="n">
        <v>4.81</v>
      </c>
      <c r="H245" s="65" t="n"/>
      <c r="I245" s="66" t="n"/>
      <c r="J245" s="67">
        <f>VLOOKUP(C245,Recipes!$A$2:$N$4,10,FALSE())</f>
        <v/>
      </c>
      <c r="K245" s="68">
        <f>VLOOKUP(C245,Recipes!$A$2:$N$4,12,FALSE())</f>
        <v/>
      </c>
      <c r="L245" s="67">
        <f>J245-3.5*K245</f>
        <v/>
      </c>
      <c r="M245" s="67">
        <f>J245+3.5*K245</f>
        <v/>
      </c>
      <c r="N245" s="61">
        <f>IF(G245="","",IF(AND(G245&gt;=L245,G245&lt;=M245),"OK","NG"))</f>
        <v/>
      </c>
      <c r="O245" s="69">
        <f>IF(N245="","",IF(N245=D245,1,0))</f>
        <v/>
      </c>
      <c r="P245" s="67">
        <f>IF(G245="","",J245-G245)</f>
        <v/>
      </c>
      <c r="Q245" s="67">
        <f>IF(G245="","",ABS(P245-Components!$D$2))</f>
        <v/>
      </c>
      <c r="R245" s="67">
        <f>IF(G245="","",ABS(P245-Components!$D$3))</f>
        <v/>
      </c>
      <c r="S245" s="67">
        <f>IF(G245="","",ABS(P245-Components!$D$4))</f>
        <v/>
      </c>
      <c r="T245" s="67">
        <f>IF(G245="","",ABS(P245-Components!$D$5))</f>
        <v/>
      </c>
      <c r="U245" s="67">
        <f>IF(G245="","",ABS(P245-Components!$D$6))</f>
        <v/>
      </c>
      <c r="V245" s="67">
        <f>IF(G245="","",ABS(P245-Components!$D$7))</f>
        <v/>
      </c>
      <c r="W245" s="61">
        <f>IF(G245="","",IF(N245="OK","NONE",INDEX({"S1","S2","W1","W2","N1","N2"},MATCH(MIN(Q245:V245),Q245:V245,0))))</f>
        <v/>
      </c>
      <c r="X245" s="69">
        <f>IF(G245="","",IF(W245=E245,1,0))</f>
        <v/>
      </c>
      <c r="Y245" s="70" t="n"/>
    </row>
    <row r="246">
      <c r="A246" s="76" t="n">
        <v>-4.4</v>
      </c>
      <c r="B246" s="77" t="n">
        <v>58.6</v>
      </c>
      <c r="C246" s="76" t="inlineStr">
        <is>
          <t>R4</t>
        </is>
      </c>
      <c r="D246" s="78" t="inlineStr">
        <is>
          <t>NG</t>
        </is>
      </c>
      <c r="E246" s="76" t="inlineStr">
        <is>
          <t>S2</t>
        </is>
      </c>
      <c r="F246" s="76" t="inlineStr">
        <is>
          <t>K044</t>
        </is>
      </c>
      <c r="G246" s="75" t="n">
        <v>4.92</v>
      </c>
      <c r="H246" s="65" t="n"/>
      <c r="I246" s="66" t="n"/>
      <c r="J246" s="67">
        <f>VLOOKUP(C246,Recipes!$A$2:$N$4,10,FALSE())</f>
        <v/>
      </c>
      <c r="K246" s="68">
        <f>VLOOKUP(C246,Recipes!$A$2:$N$4,12,FALSE())</f>
        <v/>
      </c>
      <c r="L246" s="67">
        <f>J246-3.5*K246</f>
        <v/>
      </c>
      <c r="M246" s="67">
        <f>J246+3.5*K246</f>
        <v/>
      </c>
      <c r="N246" s="61">
        <f>IF(G246="","",IF(AND(G246&gt;=L246,G246&lt;=M246),"OK","NG"))</f>
        <v/>
      </c>
      <c r="O246" s="69">
        <f>IF(N246="","",IF(N246=D246,1,0))</f>
        <v/>
      </c>
      <c r="P246" s="67">
        <f>IF(G246="","",J246-G246)</f>
        <v/>
      </c>
      <c r="Q246" s="67">
        <f>IF(G246="","",ABS(P246-Components!$D$2))</f>
        <v/>
      </c>
      <c r="R246" s="67">
        <f>IF(G246="","",ABS(P246-Components!$D$3))</f>
        <v/>
      </c>
      <c r="S246" s="67">
        <f>IF(G246="","",ABS(P246-Components!$D$4))</f>
        <v/>
      </c>
      <c r="T246" s="67">
        <f>IF(G246="","",ABS(P246-Components!$D$5))</f>
        <v/>
      </c>
      <c r="U246" s="67">
        <f>IF(G246="","",ABS(P246-Components!$D$6))</f>
        <v/>
      </c>
      <c r="V246" s="67">
        <f>IF(G246="","",ABS(P246-Components!$D$7))</f>
        <v/>
      </c>
      <c r="W246" s="61">
        <f>IF(G246="","",IF(N246="OK","NONE",INDEX({"S1","S2","W1","W2","N1","N2"},MATCH(MIN(Q246:V246),Q246:V246,0))))</f>
        <v/>
      </c>
      <c r="X246" s="69">
        <f>IF(G246="","",IF(W246=E246,1,0))</f>
        <v/>
      </c>
      <c r="Y246" s="70" t="n"/>
    </row>
    <row r="247">
      <c r="A247" s="76" t="n">
        <v>-2.5</v>
      </c>
      <c r="B247" s="77" t="n">
        <v>57.5</v>
      </c>
      <c r="C247" s="76" t="inlineStr">
        <is>
          <t>R4</t>
        </is>
      </c>
      <c r="D247" s="78" t="inlineStr">
        <is>
          <t>NG</t>
        </is>
      </c>
      <c r="E247" s="76" t="inlineStr">
        <is>
          <t>S2</t>
        </is>
      </c>
      <c r="F247" s="76" t="inlineStr">
        <is>
          <t>K045</t>
        </is>
      </c>
      <c r="G247" s="75" t="n">
        <v>4.87</v>
      </c>
      <c r="H247" s="65" t="n"/>
      <c r="I247" s="66" t="n"/>
      <c r="J247" s="67">
        <f>VLOOKUP(C247,Recipes!$A$2:$N$4,10,FALSE())</f>
        <v/>
      </c>
      <c r="K247" s="68">
        <f>VLOOKUP(C247,Recipes!$A$2:$N$4,12,FALSE())</f>
        <v/>
      </c>
      <c r="L247" s="67">
        <f>J247-3.5*K247</f>
        <v/>
      </c>
      <c r="M247" s="67">
        <f>J247+3.5*K247</f>
        <v/>
      </c>
      <c r="N247" s="61">
        <f>IF(G247="","",IF(AND(G247&gt;=L247,G247&lt;=M247),"OK","NG"))</f>
        <v/>
      </c>
      <c r="O247" s="69">
        <f>IF(N247="","",IF(N247=D247,1,0))</f>
        <v/>
      </c>
      <c r="P247" s="67">
        <f>IF(G247="","",J247-G247)</f>
        <v/>
      </c>
      <c r="Q247" s="67">
        <f>IF(G247="","",ABS(P247-Components!$D$2))</f>
        <v/>
      </c>
      <c r="R247" s="67">
        <f>IF(G247="","",ABS(P247-Components!$D$3))</f>
        <v/>
      </c>
      <c r="S247" s="67">
        <f>IF(G247="","",ABS(P247-Components!$D$4))</f>
        <v/>
      </c>
      <c r="T247" s="67">
        <f>IF(G247="","",ABS(P247-Components!$D$5))</f>
        <v/>
      </c>
      <c r="U247" s="67">
        <f>IF(G247="","",ABS(P247-Components!$D$6))</f>
        <v/>
      </c>
      <c r="V247" s="67">
        <f>IF(G247="","",ABS(P247-Components!$D$7))</f>
        <v/>
      </c>
      <c r="W247" s="61">
        <f>IF(G247="","",IF(N247="OK","NONE",INDEX({"S1","S2","W1","W2","N1","N2"},MATCH(MIN(Q247:V247),Q247:V247,0))))</f>
        <v/>
      </c>
      <c r="X247" s="69">
        <f>IF(G247="","",IF(W247=E247,1,0))</f>
        <v/>
      </c>
      <c r="Y247" s="70" t="n"/>
    </row>
    <row r="248">
      <c r="A248" s="61" t="n">
        <v>-0.600000000000001</v>
      </c>
      <c r="B248" s="62" t="n">
        <v>56.4</v>
      </c>
      <c r="C248" s="61" t="inlineStr">
        <is>
          <t>R4</t>
        </is>
      </c>
      <c r="D248" s="74" t="inlineStr">
        <is>
          <t>NG</t>
        </is>
      </c>
      <c r="E248" s="61" t="inlineStr">
        <is>
          <t>S2</t>
        </is>
      </c>
      <c r="F248" s="61" t="inlineStr">
        <is>
          <t>K038</t>
        </is>
      </c>
      <c r="G248" s="75" t="n">
        <v>4.94</v>
      </c>
      <c r="H248" s="65" t="n"/>
      <c r="I248" s="66" t="n"/>
      <c r="J248" s="67">
        <f>VLOOKUP(C248,Recipes!$A$2:$N$4,10,FALSE())</f>
        <v/>
      </c>
      <c r="K248" s="68">
        <f>VLOOKUP(C248,Recipes!$A$2:$N$4,12,FALSE())</f>
        <v/>
      </c>
      <c r="L248" s="67">
        <f>J248-3.5*K248</f>
        <v/>
      </c>
      <c r="M248" s="67">
        <f>J248+3.5*K248</f>
        <v/>
      </c>
      <c r="N248" s="61">
        <f>IF(G248="","",IF(AND(G248&gt;=L248,G248&lt;=M248),"OK","NG"))</f>
        <v/>
      </c>
      <c r="O248" s="69">
        <f>IF(N248="","",IF(N248=D248,1,0))</f>
        <v/>
      </c>
      <c r="P248" s="67">
        <f>IF(G248="","",J248-G248)</f>
        <v/>
      </c>
      <c r="Q248" s="67">
        <f>IF(G248="","",ABS(P248-Components!$D$2))</f>
        <v/>
      </c>
      <c r="R248" s="67">
        <f>IF(G248="","",ABS(P248-Components!$D$3))</f>
        <v/>
      </c>
      <c r="S248" s="67">
        <f>IF(G248="","",ABS(P248-Components!$D$4))</f>
        <v/>
      </c>
      <c r="T248" s="67">
        <f>IF(G248="","",ABS(P248-Components!$D$5))</f>
        <v/>
      </c>
      <c r="U248" s="67">
        <f>IF(G248="","",ABS(P248-Components!$D$6))</f>
        <v/>
      </c>
      <c r="V248" s="67">
        <f>IF(G248="","",ABS(P248-Components!$D$7))</f>
        <v/>
      </c>
      <c r="W248" s="61">
        <f>IF(G248="","",IF(N248="OK","NONE",INDEX({"S1","S2","W1","W2","N1","N2"},MATCH(MIN(Q248:V248),Q248:V248,0))))</f>
        <v/>
      </c>
      <c r="X248" s="69">
        <f>IF(G248="","",IF(W248=E248,1,0))</f>
        <v/>
      </c>
      <c r="Y248" s="70" t="n"/>
    </row>
    <row r="249">
      <c r="A249" s="61" t="n">
        <v>1.3</v>
      </c>
      <c r="B249" s="62" t="n">
        <v>55.3</v>
      </c>
      <c r="C249" s="61" t="inlineStr">
        <is>
          <t>R4</t>
        </is>
      </c>
      <c r="D249" s="74" t="inlineStr">
        <is>
          <t>NG</t>
        </is>
      </c>
      <c r="E249" s="61" t="inlineStr">
        <is>
          <t>S2</t>
        </is>
      </c>
      <c r="F249" s="61" t="inlineStr">
        <is>
          <t>K039</t>
        </is>
      </c>
      <c r="G249" s="75" t="n">
        <v>4.89</v>
      </c>
      <c r="H249" s="65" t="n"/>
      <c r="I249" s="66" t="n"/>
      <c r="J249" s="67">
        <f>VLOOKUP(C249,Recipes!$A$2:$N$4,10,FALSE())</f>
        <v/>
      </c>
      <c r="K249" s="68">
        <f>VLOOKUP(C249,Recipes!$A$2:$N$4,12,FALSE())</f>
        <v/>
      </c>
      <c r="L249" s="67">
        <f>J249-3.5*K249</f>
        <v/>
      </c>
      <c r="M249" s="67">
        <f>J249+3.5*K249</f>
        <v/>
      </c>
      <c r="N249" s="61">
        <f>IF(G249="","",IF(AND(G249&gt;=L249,G249&lt;=M249),"OK","NG"))</f>
        <v/>
      </c>
      <c r="O249" s="69">
        <f>IF(N249="","",IF(N249=D249,1,0))</f>
        <v/>
      </c>
      <c r="P249" s="67">
        <f>IF(G249="","",J249-G249)</f>
        <v/>
      </c>
      <c r="Q249" s="67">
        <f>IF(G249="","",ABS(P249-Components!$D$2))</f>
        <v/>
      </c>
      <c r="R249" s="67">
        <f>IF(G249="","",ABS(P249-Components!$D$3))</f>
        <v/>
      </c>
      <c r="S249" s="67">
        <f>IF(G249="","",ABS(P249-Components!$D$4))</f>
        <v/>
      </c>
      <c r="T249" s="67">
        <f>IF(G249="","",ABS(P249-Components!$D$5))</f>
        <v/>
      </c>
      <c r="U249" s="67">
        <f>IF(G249="","",ABS(P249-Components!$D$6))</f>
        <v/>
      </c>
      <c r="V249" s="67">
        <f>IF(G249="","",ABS(P249-Components!$D$7))</f>
        <v/>
      </c>
      <c r="W249" s="61">
        <f>IF(G249="","",IF(N249="OK","NONE",INDEX({"S1","S2","W1","W2","N1","N2"},MATCH(MIN(Q249:V249),Q249:V249,0))))</f>
        <v/>
      </c>
      <c r="X249" s="69">
        <f>IF(G249="","",IF(W249=E249,1,0))</f>
        <v/>
      </c>
      <c r="Y249" s="70" t="n"/>
    </row>
    <row r="250">
      <c r="A250" s="61" t="n">
        <v>3.2</v>
      </c>
      <c r="B250" s="62" t="n">
        <v>54.2</v>
      </c>
      <c r="C250" s="61" t="inlineStr">
        <is>
          <t>R4</t>
        </is>
      </c>
      <c r="D250" s="74" t="inlineStr">
        <is>
          <t>NG</t>
        </is>
      </c>
      <c r="E250" s="61" t="inlineStr">
        <is>
          <t>S2</t>
        </is>
      </c>
      <c r="F250" s="61" t="inlineStr">
        <is>
          <t>K040</t>
        </is>
      </c>
      <c r="G250" s="75" t="n">
        <v>4.86</v>
      </c>
      <c r="H250" s="65" t="n"/>
      <c r="I250" s="66" t="n"/>
      <c r="J250" s="67">
        <f>VLOOKUP(C250,Recipes!$A$2:$N$4,10,FALSE())</f>
        <v/>
      </c>
      <c r="K250" s="68">
        <f>VLOOKUP(C250,Recipes!$A$2:$N$4,12,FALSE())</f>
        <v/>
      </c>
      <c r="L250" s="67">
        <f>J250-3.5*K250</f>
        <v/>
      </c>
      <c r="M250" s="67">
        <f>J250+3.5*K250</f>
        <v/>
      </c>
      <c r="N250" s="61">
        <f>IF(G250="","",IF(AND(G250&gt;=L250,G250&lt;=M250),"OK","NG"))</f>
        <v/>
      </c>
      <c r="O250" s="69">
        <f>IF(N250="","",IF(N250=D250,1,0))</f>
        <v/>
      </c>
      <c r="P250" s="67">
        <f>IF(G250="","",J250-G250)</f>
        <v/>
      </c>
      <c r="Q250" s="67">
        <f>IF(G250="","",ABS(P250-Components!$D$2))</f>
        <v/>
      </c>
      <c r="R250" s="67">
        <f>IF(G250="","",ABS(P250-Components!$D$3))</f>
        <v/>
      </c>
      <c r="S250" s="67">
        <f>IF(G250="","",ABS(P250-Components!$D$4))</f>
        <v/>
      </c>
      <c r="T250" s="67">
        <f>IF(G250="","",ABS(P250-Components!$D$5))</f>
        <v/>
      </c>
      <c r="U250" s="67">
        <f>IF(G250="","",ABS(P250-Components!$D$6))</f>
        <v/>
      </c>
      <c r="V250" s="67">
        <f>IF(G250="","",ABS(P250-Components!$D$7))</f>
        <v/>
      </c>
      <c r="W250" s="61">
        <f>IF(G250="","",IF(N250="OK","NONE",INDEX({"S1","S2","W1","W2","N1","N2"},MATCH(MIN(Q250:V250),Q250:V250,0))))</f>
        <v/>
      </c>
      <c r="X250" s="69">
        <f>IF(G250="","",IF(W250=E250,1,0))</f>
        <v/>
      </c>
      <c r="Y250" s="70" t="n"/>
    </row>
    <row r="251">
      <c r="A251" s="76" t="n">
        <v>5.1</v>
      </c>
      <c r="B251" s="77" t="n">
        <v>53.1</v>
      </c>
      <c r="C251" s="76" t="inlineStr">
        <is>
          <t>R4</t>
        </is>
      </c>
      <c r="D251" s="78" t="inlineStr">
        <is>
          <t>NG</t>
        </is>
      </c>
      <c r="E251" s="76" t="inlineStr">
        <is>
          <t>S2</t>
        </is>
      </c>
      <c r="F251" s="76" t="inlineStr">
        <is>
          <t>K044</t>
        </is>
      </c>
      <c r="G251" s="75" t="n">
        <v>4.97</v>
      </c>
      <c r="H251" s="65" t="n"/>
      <c r="I251" s="66" t="n"/>
      <c r="J251" s="67">
        <f>VLOOKUP(C251,Recipes!$A$2:$N$4,10,FALSE())</f>
        <v/>
      </c>
      <c r="K251" s="68">
        <f>VLOOKUP(C251,Recipes!$A$2:$N$4,12,FALSE())</f>
        <v/>
      </c>
      <c r="L251" s="67">
        <f>J251-3.5*K251</f>
        <v/>
      </c>
      <c r="M251" s="67">
        <f>J251+3.5*K251</f>
        <v/>
      </c>
      <c r="N251" s="61">
        <f>IF(G251="","",IF(AND(G251&gt;=L251,G251&lt;=M251),"OK","NG"))</f>
        <v/>
      </c>
      <c r="O251" s="69">
        <f>IF(N251="","",IF(N251=D251,1,0))</f>
        <v/>
      </c>
      <c r="P251" s="67">
        <f>IF(G251="","",J251-G251)</f>
        <v/>
      </c>
      <c r="Q251" s="67">
        <f>IF(G251="","",ABS(P251-Components!$D$2))</f>
        <v/>
      </c>
      <c r="R251" s="67">
        <f>IF(G251="","",ABS(P251-Components!$D$3))</f>
        <v/>
      </c>
      <c r="S251" s="67">
        <f>IF(G251="","",ABS(P251-Components!$D$4))</f>
        <v/>
      </c>
      <c r="T251" s="67">
        <f>IF(G251="","",ABS(P251-Components!$D$5))</f>
        <v/>
      </c>
      <c r="U251" s="67">
        <f>IF(G251="","",ABS(P251-Components!$D$6))</f>
        <v/>
      </c>
      <c r="V251" s="67">
        <f>IF(G251="","",ABS(P251-Components!$D$7))</f>
        <v/>
      </c>
      <c r="W251" s="61">
        <f>IF(G251="","",IF(N251="OK","NONE",INDEX({"S1","S2","W1","W2","N1","N2"},MATCH(MIN(Q251:V251),Q251:V251,0))))</f>
        <v/>
      </c>
      <c r="X251" s="69">
        <f>IF(G251="","",IF(W251=E251,1,0))</f>
        <v/>
      </c>
      <c r="Y251" s="70" t="n"/>
    </row>
    <row r="252">
      <c r="A252" s="76" t="n">
        <v>7</v>
      </c>
      <c r="B252" s="77" t="n">
        <v>52</v>
      </c>
      <c r="C252" s="76" t="inlineStr">
        <is>
          <t>R4</t>
        </is>
      </c>
      <c r="D252" s="78" t="inlineStr">
        <is>
          <t>NG</t>
        </is>
      </c>
      <c r="E252" s="76" t="inlineStr">
        <is>
          <t>S2</t>
        </is>
      </c>
      <c r="F252" s="76" t="inlineStr">
        <is>
          <t>K045</t>
        </is>
      </c>
      <c r="G252" s="75" t="n">
        <v>4.88</v>
      </c>
      <c r="H252" s="65" t="n"/>
      <c r="I252" s="66" t="n"/>
      <c r="J252" s="67">
        <f>VLOOKUP(C252,Recipes!$A$2:$N$4,10,FALSE())</f>
        <v/>
      </c>
      <c r="K252" s="68">
        <f>VLOOKUP(C252,Recipes!$A$2:$N$4,12,FALSE())</f>
        <v/>
      </c>
      <c r="L252" s="67">
        <f>J252-3.5*K252</f>
        <v/>
      </c>
      <c r="M252" s="67">
        <f>J252+3.5*K252</f>
        <v/>
      </c>
      <c r="N252" s="61">
        <f>IF(G252="","",IF(AND(G252&gt;=L252,G252&lt;=M252),"OK","NG"))</f>
        <v/>
      </c>
      <c r="O252" s="69">
        <f>IF(N252="","",IF(N252=D252,1,0))</f>
        <v/>
      </c>
      <c r="P252" s="67">
        <f>IF(G252="","",J252-G252)</f>
        <v/>
      </c>
      <c r="Q252" s="67">
        <f>IF(G252="","",ABS(P252-Components!$D$2))</f>
        <v/>
      </c>
      <c r="R252" s="67">
        <f>IF(G252="","",ABS(P252-Components!$D$3))</f>
        <v/>
      </c>
      <c r="S252" s="67">
        <f>IF(G252="","",ABS(P252-Components!$D$4))</f>
        <v/>
      </c>
      <c r="T252" s="67">
        <f>IF(G252="","",ABS(P252-Components!$D$5))</f>
        <v/>
      </c>
      <c r="U252" s="67">
        <f>IF(G252="","",ABS(P252-Components!$D$6))</f>
        <v/>
      </c>
      <c r="V252" s="67">
        <f>IF(G252="","",ABS(P252-Components!$D$7))</f>
        <v/>
      </c>
      <c r="W252" s="61">
        <f>IF(G252="","",IF(N252="OK","NONE",INDEX({"S1","S2","W1","W2","N1","N2"},MATCH(MIN(Q252:V252),Q252:V252,0))))</f>
        <v/>
      </c>
      <c r="X252" s="69">
        <f>IF(G252="","",IF(W252=E252,1,0))</f>
        <v/>
      </c>
      <c r="Y252" s="70" t="n"/>
    </row>
    <row r="253">
      <c r="A253" s="61" t="n">
        <v>8.9</v>
      </c>
      <c r="B253" s="62" t="n">
        <v>50.9</v>
      </c>
      <c r="C253" s="61" t="inlineStr">
        <is>
          <t>R4</t>
        </is>
      </c>
      <c r="D253" s="74" t="inlineStr">
        <is>
          <t>NG</t>
        </is>
      </c>
      <c r="E253" s="61" t="inlineStr">
        <is>
          <t>S2</t>
        </is>
      </c>
      <c r="F253" s="61" t="inlineStr">
        <is>
          <t>K038</t>
        </is>
      </c>
      <c r="G253" s="75" t="n">
        <v>4.83</v>
      </c>
      <c r="H253" s="65" t="n"/>
      <c r="I253" s="66" t="n"/>
      <c r="J253" s="67">
        <f>VLOOKUP(C253,Recipes!$A$2:$N$4,10,FALSE())</f>
        <v/>
      </c>
      <c r="K253" s="68">
        <f>VLOOKUP(C253,Recipes!$A$2:$N$4,12,FALSE())</f>
        <v/>
      </c>
      <c r="L253" s="67">
        <f>J253-3.5*K253</f>
        <v/>
      </c>
      <c r="M253" s="67">
        <f>J253+3.5*K253</f>
        <v/>
      </c>
      <c r="N253" s="61">
        <f>IF(G253="","",IF(AND(G253&gt;=L253,G253&lt;=M253),"OK","NG"))</f>
        <v/>
      </c>
      <c r="O253" s="69">
        <f>IF(N253="","",IF(N253=D253,1,0))</f>
        <v/>
      </c>
      <c r="P253" s="67">
        <f>IF(G253="","",J253-G253)</f>
        <v/>
      </c>
      <c r="Q253" s="67">
        <f>IF(G253="","",ABS(P253-Components!$D$2))</f>
        <v/>
      </c>
      <c r="R253" s="67">
        <f>IF(G253="","",ABS(P253-Components!$D$3))</f>
        <v/>
      </c>
      <c r="S253" s="67">
        <f>IF(G253="","",ABS(P253-Components!$D$4))</f>
        <v/>
      </c>
      <c r="T253" s="67">
        <f>IF(G253="","",ABS(P253-Components!$D$5))</f>
        <v/>
      </c>
      <c r="U253" s="67">
        <f>IF(G253="","",ABS(P253-Components!$D$6))</f>
        <v/>
      </c>
      <c r="V253" s="67">
        <f>IF(G253="","",ABS(P253-Components!$D$7))</f>
        <v/>
      </c>
      <c r="W253" s="61">
        <f>IF(G253="","",IF(N253="OK","NONE",INDEX({"S1","S2","W1","W2","N1","N2"},MATCH(MIN(Q253:V253),Q253:V253,0))))</f>
        <v/>
      </c>
      <c r="X253" s="69">
        <f>IF(G253="","",IF(W253=E253,1,0))</f>
        <v/>
      </c>
      <c r="Y253" s="70" t="n"/>
    </row>
    <row r="254">
      <c r="A254" s="61" t="n">
        <v>10.8</v>
      </c>
      <c r="B254" s="62" t="n">
        <v>49.8</v>
      </c>
      <c r="C254" s="61" t="inlineStr">
        <is>
          <t>R4</t>
        </is>
      </c>
      <c r="D254" s="74" t="inlineStr">
        <is>
          <t>NG</t>
        </is>
      </c>
      <c r="E254" s="61" t="inlineStr">
        <is>
          <t>S2</t>
        </is>
      </c>
      <c r="F254" s="61" t="inlineStr">
        <is>
          <t>K039</t>
        </is>
      </c>
      <c r="G254" s="75" t="n">
        <v>4.87</v>
      </c>
      <c r="H254" s="65" t="n"/>
      <c r="I254" s="66" t="n"/>
      <c r="J254" s="67">
        <f>VLOOKUP(C254,Recipes!$A$2:$N$4,10,FALSE())</f>
        <v/>
      </c>
      <c r="K254" s="68">
        <f>VLOOKUP(C254,Recipes!$A$2:$N$4,12,FALSE())</f>
        <v/>
      </c>
      <c r="L254" s="67">
        <f>J254-3.5*K254</f>
        <v/>
      </c>
      <c r="M254" s="67">
        <f>J254+3.5*K254</f>
        <v/>
      </c>
      <c r="N254" s="61">
        <f>IF(G254="","",IF(AND(G254&gt;=L254,G254&lt;=M254),"OK","NG"))</f>
        <v/>
      </c>
      <c r="O254" s="69">
        <f>IF(N254="","",IF(N254=D254,1,0))</f>
        <v/>
      </c>
      <c r="P254" s="67">
        <f>IF(G254="","",J254-G254)</f>
        <v/>
      </c>
      <c r="Q254" s="67">
        <f>IF(G254="","",ABS(P254-Components!$D$2))</f>
        <v/>
      </c>
      <c r="R254" s="67">
        <f>IF(G254="","",ABS(P254-Components!$D$3))</f>
        <v/>
      </c>
      <c r="S254" s="67">
        <f>IF(G254="","",ABS(P254-Components!$D$4))</f>
        <v/>
      </c>
      <c r="T254" s="67">
        <f>IF(G254="","",ABS(P254-Components!$D$5))</f>
        <v/>
      </c>
      <c r="U254" s="67">
        <f>IF(G254="","",ABS(P254-Components!$D$6))</f>
        <v/>
      </c>
      <c r="V254" s="67">
        <f>IF(G254="","",ABS(P254-Components!$D$7))</f>
        <v/>
      </c>
      <c r="W254" s="61">
        <f>IF(G254="","",IF(N254="OK","NONE",INDEX({"S1","S2","W1","W2","N1","N2"},MATCH(MIN(Q254:V254),Q254:V254,0))))</f>
        <v/>
      </c>
      <c r="X254" s="69">
        <f>IF(G254="","",IF(W254=E254,1,0))</f>
        <v/>
      </c>
      <c r="Y254" s="70" t="n"/>
    </row>
    <row r="255">
      <c r="A255" s="61" t="n">
        <v>12.7</v>
      </c>
      <c r="B255" s="62" t="n">
        <v>48.7</v>
      </c>
      <c r="C255" s="61" t="inlineStr">
        <is>
          <t>R4</t>
        </is>
      </c>
      <c r="D255" s="74" t="inlineStr">
        <is>
          <t>NG</t>
        </is>
      </c>
      <c r="E255" s="61" t="inlineStr">
        <is>
          <t>S2</t>
        </is>
      </c>
      <c r="F255" s="61" t="inlineStr">
        <is>
          <t>K040</t>
        </is>
      </c>
      <c r="G255" s="75" t="n">
        <v>4.93</v>
      </c>
      <c r="H255" s="65" t="n"/>
      <c r="I255" s="66" t="n"/>
      <c r="J255" s="67">
        <f>VLOOKUP(C255,Recipes!$A$2:$N$4,10,FALSE())</f>
        <v/>
      </c>
      <c r="K255" s="68">
        <f>VLOOKUP(C255,Recipes!$A$2:$N$4,12,FALSE())</f>
        <v/>
      </c>
      <c r="L255" s="67">
        <f>J255-3.5*K255</f>
        <v/>
      </c>
      <c r="M255" s="67">
        <f>J255+3.5*K255</f>
        <v/>
      </c>
      <c r="N255" s="61">
        <f>IF(G255="","",IF(AND(G255&gt;=L255,G255&lt;=M255),"OK","NG"))</f>
        <v/>
      </c>
      <c r="O255" s="69">
        <f>IF(N255="","",IF(N255=D255,1,0))</f>
        <v/>
      </c>
      <c r="P255" s="67">
        <f>IF(G255="","",J255-G255)</f>
        <v/>
      </c>
      <c r="Q255" s="67">
        <f>IF(G255="","",ABS(P255-Components!$D$2))</f>
        <v/>
      </c>
      <c r="R255" s="67">
        <f>IF(G255="","",ABS(P255-Components!$D$3))</f>
        <v/>
      </c>
      <c r="S255" s="67">
        <f>IF(G255="","",ABS(P255-Components!$D$4))</f>
        <v/>
      </c>
      <c r="T255" s="67">
        <f>IF(G255="","",ABS(P255-Components!$D$5))</f>
        <v/>
      </c>
      <c r="U255" s="67">
        <f>IF(G255="","",ABS(P255-Components!$D$6))</f>
        <v/>
      </c>
      <c r="V255" s="67">
        <f>IF(G255="","",ABS(P255-Components!$D$7))</f>
        <v/>
      </c>
      <c r="W255" s="61">
        <f>IF(G255="","",IF(N255="OK","NONE",INDEX({"S1","S2","W1","W2","N1","N2"},MATCH(MIN(Q255:V255),Q255:V255,0))))</f>
        <v/>
      </c>
      <c r="X255" s="69">
        <f>IF(G255="","",IF(W255=E255,1,0))</f>
        <v/>
      </c>
      <c r="Y255" s="70" t="n"/>
    </row>
    <row r="256">
      <c r="A256" s="76" t="n">
        <v>14.6</v>
      </c>
      <c r="B256" s="77" t="n">
        <v>47.6</v>
      </c>
      <c r="C256" s="76" t="inlineStr">
        <is>
          <t>R4</t>
        </is>
      </c>
      <c r="D256" s="78" t="inlineStr">
        <is>
          <t>NG</t>
        </is>
      </c>
      <c r="E256" s="76" t="inlineStr">
        <is>
          <t>S2</t>
        </is>
      </c>
      <c r="F256" s="76" t="inlineStr">
        <is>
          <t>K044</t>
        </is>
      </c>
      <c r="G256" s="75" t="n">
        <v>4.91</v>
      </c>
      <c r="H256" s="65" t="n"/>
      <c r="I256" s="66" t="n"/>
      <c r="J256" s="67">
        <f>VLOOKUP(C256,Recipes!$A$2:$N$4,10,FALSE())</f>
        <v/>
      </c>
      <c r="K256" s="68">
        <f>VLOOKUP(C256,Recipes!$A$2:$N$4,12,FALSE())</f>
        <v/>
      </c>
      <c r="L256" s="67">
        <f>J256-3.5*K256</f>
        <v/>
      </c>
      <c r="M256" s="67">
        <f>J256+3.5*K256</f>
        <v/>
      </c>
      <c r="N256" s="61">
        <f>IF(G256="","",IF(AND(G256&gt;=L256,G256&lt;=M256),"OK","NG"))</f>
        <v/>
      </c>
      <c r="O256" s="69">
        <f>IF(N256="","",IF(N256=D256,1,0))</f>
        <v/>
      </c>
      <c r="P256" s="67">
        <f>IF(G256="","",J256-G256)</f>
        <v/>
      </c>
      <c r="Q256" s="67">
        <f>IF(G256="","",ABS(P256-Components!$D$2))</f>
        <v/>
      </c>
      <c r="R256" s="67">
        <f>IF(G256="","",ABS(P256-Components!$D$3))</f>
        <v/>
      </c>
      <c r="S256" s="67">
        <f>IF(G256="","",ABS(P256-Components!$D$4))</f>
        <v/>
      </c>
      <c r="T256" s="67">
        <f>IF(G256="","",ABS(P256-Components!$D$5))</f>
        <v/>
      </c>
      <c r="U256" s="67">
        <f>IF(G256="","",ABS(P256-Components!$D$6))</f>
        <v/>
      </c>
      <c r="V256" s="67">
        <f>IF(G256="","",ABS(P256-Components!$D$7))</f>
        <v/>
      </c>
      <c r="W256" s="61">
        <f>IF(G256="","",IF(N256="OK","NONE",INDEX({"S1","S2","W1","W2","N1","N2"},MATCH(MIN(Q256:V256),Q256:V256,0))))</f>
        <v/>
      </c>
      <c r="X256" s="69">
        <f>IF(G256="","",IF(W256=E256,1,0))</f>
        <v/>
      </c>
      <c r="Y256" s="70" t="n"/>
    </row>
    <row r="257">
      <c r="A257" s="76" t="n">
        <v>16.5</v>
      </c>
      <c r="B257" s="77" t="n">
        <v>46.5</v>
      </c>
      <c r="C257" s="76" t="inlineStr">
        <is>
          <t>R4</t>
        </is>
      </c>
      <c r="D257" s="78" t="inlineStr">
        <is>
          <t>NG</t>
        </is>
      </c>
      <c r="E257" s="76" t="inlineStr">
        <is>
          <t>S2</t>
        </is>
      </c>
      <c r="F257" s="76" t="inlineStr">
        <is>
          <t>K045</t>
        </is>
      </c>
      <c r="G257" s="75" t="n">
        <v>4.88</v>
      </c>
      <c r="H257" s="65" t="n"/>
      <c r="I257" s="66" t="n"/>
      <c r="J257" s="67">
        <f>VLOOKUP(C257,Recipes!$A$2:$N$4,10,FALSE())</f>
        <v/>
      </c>
      <c r="K257" s="68">
        <f>VLOOKUP(C257,Recipes!$A$2:$N$4,12,FALSE())</f>
        <v/>
      </c>
      <c r="L257" s="67">
        <f>J257-3.5*K257</f>
        <v/>
      </c>
      <c r="M257" s="67">
        <f>J257+3.5*K257</f>
        <v/>
      </c>
      <c r="N257" s="61">
        <f>IF(G257="","",IF(AND(G257&gt;=L257,G257&lt;=M257),"OK","NG"))</f>
        <v/>
      </c>
      <c r="O257" s="69">
        <f>IF(N257="","",IF(N257=D257,1,0))</f>
        <v/>
      </c>
      <c r="P257" s="67">
        <f>IF(G257="","",J257-G257)</f>
        <v/>
      </c>
      <c r="Q257" s="67">
        <f>IF(G257="","",ABS(P257-Components!$D$2))</f>
        <v/>
      </c>
      <c r="R257" s="67">
        <f>IF(G257="","",ABS(P257-Components!$D$3))</f>
        <v/>
      </c>
      <c r="S257" s="67">
        <f>IF(G257="","",ABS(P257-Components!$D$4))</f>
        <v/>
      </c>
      <c r="T257" s="67">
        <f>IF(G257="","",ABS(P257-Components!$D$5))</f>
        <v/>
      </c>
      <c r="U257" s="67">
        <f>IF(G257="","",ABS(P257-Components!$D$6))</f>
        <v/>
      </c>
      <c r="V257" s="67">
        <f>IF(G257="","",ABS(P257-Components!$D$7))</f>
        <v/>
      </c>
      <c r="W257" s="61">
        <f>IF(G257="","",IF(N257="OK","NONE",INDEX({"S1","S2","W1","W2","N1","N2"},MATCH(MIN(Q257:V257),Q257:V257,0))))</f>
        <v/>
      </c>
      <c r="X257" s="69">
        <f>IF(G257="","",IF(W257=E257,1,0))</f>
        <v/>
      </c>
      <c r="Y257" s="70" t="n"/>
    </row>
    <row r="258">
      <c r="A258" s="61" t="n">
        <v>18.4</v>
      </c>
      <c r="B258" s="62" t="n">
        <v>45.4</v>
      </c>
      <c r="C258" s="61" t="inlineStr">
        <is>
          <t>R4</t>
        </is>
      </c>
      <c r="D258" s="74" t="inlineStr">
        <is>
          <t>NG</t>
        </is>
      </c>
      <c r="E258" s="61" t="inlineStr">
        <is>
          <t>S2</t>
        </is>
      </c>
      <c r="F258" s="61" t="inlineStr">
        <is>
          <t>K038</t>
        </is>
      </c>
      <c r="G258" s="75" t="n">
        <v>4.87</v>
      </c>
      <c r="H258" s="65" t="n"/>
      <c r="I258" s="66" t="n"/>
      <c r="J258" s="67">
        <f>VLOOKUP(C258,Recipes!$A$2:$N$4,10,FALSE())</f>
        <v/>
      </c>
      <c r="K258" s="68">
        <f>VLOOKUP(C258,Recipes!$A$2:$N$4,12,FALSE())</f>
        <v/>
      </c>
      <c r="L258" s="67">
        <f>J258-3.5*K258</f>
        <v/>
      </c>
      <c r="M258" s="67">
        <f>J258+3.5*K258</f>
        <v/>
      </c>
      <c r="N258" s="61">
        <f>IF(G258="","",IF(AND(G258&gt;=L258,G258&lt;=M258),"OK","NG"))</f>
        <v/>
      </c>
      <c r="O258" s="69">
        <f>IF(N258="","",IF(N258=D258,1,0))</f>
        <v/>
      </c>
      <c r="P258" s="67">
        <f>IF(G258="","",J258-G258)</f>
        <v/>
      </c>
      <c r="Q258" s="67">
        <f>IF(G258="","",ABS(P258-Components!$D$2))</f>
        <v/>
      </c>
      <c r="R258" s="67">
        <f>IF(G258="","",ABS(P258-Components!$D$3))</f>
        <v/>
      </c>
      <c r="S258" s="67">
        <f>IF(G258="","",ABS(P258-Components!$D$4))</f>
        <v/>
      </c>
      <c r="T258" s="67">
        <f>IF(G258="","",ABS(P258-Components!$D$5))</f>
        <v/>
      </c>
      <c r="U258" s="67">
        <f>IF(G258="","",ABS(P258-Components!$D$6))</f>
        <v/>
      </c>
      <c r="V258" s="67">
        <f>IF(G258="","",ABS(P258-Components!$D$7))</f>
        <v/>
      </c>
      <c r="W258" s="61">
        <f>IF(G258="","",IF(N258="OK","NONE",INDEX({"S1","S2","W1","W2","N1","N2"},MATCH(MIN(Q258:V258),Q258:V258,0))))</f>
        <v/>
      </c>
      <c r="X258" s="69">
        <f>IF(G258="","",IF(W258=E258,1,0))</f>
        <v/>
      </c>
      <c r="Y258" s="70" t="n"/>
    </row>
    <row r="259">
      <c r="A259" s="61" t="n">
        <v>20.3</v>
      </c>
      <c r="B259" s="62" t="n">
        <v>44.3</v>
      </c>
      <c r="C259" s="61" t="inlineStr">
        <is>
          <t>R4</t>
        </is>
      </c>
      <c r="D259" s="74" t="inlineStr">
        <is>
          <t>NG</t>
        </is>
      </c>
      <c r="E259" s="61" t="inlineStr">
        <is>
          <t>S2</t>
        </is>
      </c>
      <c r="F259" s="61" t="inlineStr">
        <is>
          <t>K039</t>
        </is>
      </c>
      <c r="G259" s="75" t="n">
        <v>4.91</v>
      </c>
      <c r="H259" s="65" t="n"/>
      <c r="I259" s="66" t="n"/>
      <c r="J259" s="67">
        <f>VLOOKUP(C259,Recipes!$A$2:$N$4,10,FALSE())</f>
        <v/>
      </c>
      <c r="K259" s="68">
        <f>VLOOKUP(C259,Recipes!$A$2:$N$4,12,FALSE())</f>
        <v/>
      </c>
      <c r="L259" s="67">
        <f>J259-3.5*K259</f>
        <v/>
      </c>
      <c r="M259" s="67">
        <f>J259+3.5*K259</f>
        <v/>
      </c>
      <c r="N259" s="61">
        <f>IF(G259="","",IF(AND(G259&gt;=L259,G259&lt;=M259),"OK","NG"))</f>
        <v/>
      </c>
      <c r="O259" s="69">
        <f>IF(N259="","",IF(N259=D259,1,0))</f>
        <v/>
      </c>
      <c r="P259" s="67">
        <f>IF(G259="","",J259-G259)</f>
        <v/>
      </c>
      <c r="Q259" s="67">
        <f>IF(G259="","",ABS(P259-Components!$D$2))</f>
        <v/>
      </c>
      <c r="R259" s="67">
        <f>IF(G259="","",ABS(P259-Components!$D$3))</f>
        <v/>
      </c>
      <c r="S259" s="67">
        <f>IF(G259="","",ABS(P259-Components!$D$4))</f>
        <v/>
      </c>
      <c r="T259" s="67">
        <f>IF(G259="","",ABS(P259-Components!$D$5))</f>
        <v/>
      </c>
      <c r="U259" s="67">
        <f>IF(G259="","",ABS(P259-Components!$D$6))</f>
        <v/>
      </c>
      <c r="V259" s="67">
        <f>IF(G259="","",ABS(P259-Components!$D$7))</f>
        <v/>
      </c>
      <c r="W259" s="61">
        <f>IF(G259="","",IF(N259="OK","NONE",INDEX({"S1","S2","W1","W2","N1","N2"},MATCH(MIN(Q259:V259),Q259:V259,0))))</f>
        <v/>
      </c>
      <c r="X259" s="69">
        <f>IF(G259="","",IF(W259=E259,1,0))</f>
        <v/>
      </c>
      <c r="Y259" s="70" t="n"/>
    </row>
    <row r="260">
      <c r="A260" s="61" t="n">
        <v>22.2</v>
      </c>
      <c r="B260" s="62" t="n">
        <v>43.2</v>
      </c>
      <c r="C260" s="61" t="inlineStr">
        <is>
          <t>R4</t>
        </is>
      </c>
      <c r="D260" s="74" t="inlineStr">
        <is>
          <t>NG</t>
        </is>
      </c>
      <c r="E260" s="61" t="inlineStr">
        <is>
          <t>S2</t>
        </is>
      </c>
      <c r="F260" s="61" t="inlineStr">
        <is>
          <t>K040</t>
        </is>
      </c>
      <c r="G260" s="75" t="n">
        <v>4.67</v>
      </c>
      <c r="H260" s="65" t="n"/>
      <c r="I260" s="66" t="n"/>
      <c r="J260" s="67">
        <f>VLOOKUP(C260,Recipes!$A$2:$N$4,10,FALSE())</f>
        <v/>
      </c>
      <c r="K260" s="68">
        <f>VLOOKUP(C260,Recipes!$A$2:$N$4,12,FALSE())</f>
        <v/>
      </c>
      <c r="L260" s="67">
        <f>J260-3.5*K260</f>
        <v/>
      </c>
      <c r="M260" s="67">
        <f>J260+3.5*K260</f>
        <v/>
      </c>
      <c r="N260" s="61">
        <f>IF(G260="","",IF(AND(G260&gt;=L260,G260&lt;=M260),"OK","NG"))</f>
        <v/>
      </c>
      <c r="O260" s="69">
        <f>IF(N260="","",IF(N260=D260,1,0))</f>
        <v/>
      </c>
      <c r="P260" s="67">
        <f>IF(G260="","",J260-G260)</f>
        <v/>
      </c>
      <c r="Q260" s="67">
        <f>IF(G260="","",ABS(P260-Components!$D$2))</f>
        <v/>
      </c>
      <c r="R260" s="67">
        <f>IF(G260="","",ABS(P260-Components!$D$3))</f>
        <v/>
      </c>
      <c r="S260" s="67">
        <f>IF(G260="","",ABS(P260-Components!$D$4))</f>
        <v/>
      </c>
      <c r="T260" s="67">
        <f>IF(G260="","",ABS(P260-Components!$D$5))</f>
        <v/>
      </c>
      <c r="U260" s="67">
        <f>IF(G260="","",ABS(P260-Components!$D$6))</f>
        <v/>
      </c>
      <c r="V260" s="67">
        <f>IF(G260="","",ABS(P260-Components!$D$7))</f>
        <v/>
      </c>
      <c r="W260" s="61">
        <f>IF(G260="","",IF(N260="OK","NONE",INDEX({"S1","S2","W1","W2","N1","N2"},MATCH(MIN(Q260:V260),Q260:V260,0))))</f>
        <v/>
      </c>
      <c r="X260" s="69">
        <f>IF(G260="","",IF(W260=E260,1,0))</f>
        <v/>
      </c>
      <c r="Y260" s="70" t="n"/>
    </row>
    <row r="261">
      <c r="A261" s="76" t="n">
        <v>24.1</v>
      </c>
      <c r="B261" s="77" t="n">
        <v>42.1</v>
      </c>
      <c r="C261" s="76" t="inlineStr">
        <is>
          <t>R4</t>
        </is>
      </c>
      <c r="D261" s="78" t="inlineStr">
        <is>
          <t>NG</t>
        </is>
      </c>
      <c r="E261" s="76" t="inlineStr">
        <is>
          <t>S2</t>
        </is>
      </c>
      <c r="F261" s="76" t="inlineStr">
        <is>
          <t>K044</t>
        </is>
      </c>
      <c r="G261" s="75" t="n">
        <v>4.86</v>
      </c>
      <c r="H261" s="65" t="n"/>
      <c r="I261" s="66" t="n"/>
      <c r="J261" s="67">
        <f>VLOOKUP(C261,Recipes!$A$2:$N$4,10,FALSE())</f>
        <v/>
      </c>
      <c r="K261" s="68">
        <f>VLOOKUP(C261,Recipes!$A$2:$N$4,12,FALSE())</f>
        <v/>
      </c>
      <c r="L261" s="67">
        <f>J261-3.5*K261</f>
        <v/>
      </c>
      <c r="M261" s="67">
        <f>J261+3.5*K261</f>
        <v/>
      </c>
      <c r="N261" s="61">
        <f>IF(G261="","",IF(AND(G261&gt;=L261,G261&lt;=M261),"OK","NG"))</f>
        <v/>
      </c>
      <c r="O261" s="69">
        <f>IF(N261="","",IF(N261=D261,1,0))</f>
        <v/>
      </c>
      <c r="P261" s="67">
        <f>IF(G261="","",J261-G261)</f>
        <v/>
      </c>
      <c r="Q261" s="67">
        <f>IF(G261="","",ABS(P261-Components!$D$2))</f>
        <v/>
      </c>
      <c r="R261" s="67">
        <f>IF(G261="","",ABS(P261-Components!$D$3))</f>
        <v/>
      </c>
      <c r="S261" s="67">
        <f>IF(G261="","",ABS(P261-Components!$D$4))</f>
        <v/>
      </c>
      <c r="T261" s="67">
        <f>IF(G261="","",ABS(P261-Components!$D$5))</f>
        <v/>
      </c>
      <c r="U261" s="67">
        <f>IF(G261="","",ABS(P261-Components!$D$6))</f>
        <v/>
      </c>
      <c r="V261" s="67">
        <f>IF(G261="","",ABS(P261-Components!$D$7))</f>
        <v/>
      </c>
      <c r="W261" s="61">
        <f>IF(G261="","",IF(N261="OK","NONE",INDEX({"S1","S2","W1","W2","N1","N2"},MATCH(MIN(Q261:V261),Q261:V261,0))))</f>
        <v/>
      </c>
      <c r="X261" s="69">
        <f>IF(G261="","",IF(W261=E261,1,0))</f>
        <v/>
      </c>
      <c r="Y261" s="70" t="n"/>
    </row>
    <row r="262">
      <c r="A262" s="76" t="n">
        <v>26</v>
      </c>
      <c r="B262" s="77" t="n">
        <v>41</v>
      </c>
      <c r="C262" s="76" t="inlineStr">
        <is>
          <t>R4</t>
        </is>
      </c>
      <c r="D262" s="78" t="inlineStr">
        <is>
          <t>NG</t>
        </is>
      </c>
      <c r="E262" s="76" t="inlineStr">
        <is>
          <t>S2</t>
        </is>
      </c>
      <c r="F262" s="76" t="inlineStr">
        <is>
          <t>K045</t>
        </is>
      </c>
      <c r="G262" s="75" t="n">
        <v>4.75</v>
      </c>
      <c r="H262" s="65" t="n"/>
      <c r="I262" s="66" t="n"/>
      <c r="J262" s="67">
        <f>VLOOKUP(C262,Recipes!$A$2:$N$4,10,FALSE())</f>
        <v/>
      </c>
      <c r="K262" s="68">
        <f>VLOOKUP(C262,Recipes!$A$2:$N$4,12,FALSE())</f>
        <v/>
      </c>
      <c r="L262" s="67">
        <f>J262-3.5*K262</f>
        <v/>
      </c>
      <c r="M262" s="67">
        <f>J262+3.5*K262</f>
        <v/>
      </c>
      <c r="N262" s="61">
        <f>IF(G262="","",IF(AND(G262&gt;=L262,G262&lt;=M262),"OK","NG"))</f>
        <v/>
      </c>
      <c r="O262" s="69">
        <f>IF(N262="","",IF(N262=D262,1,0))</f>
        <v/>
      </c>
      <c r="P262" s="67">
        <f>IF(G262="","",J262-G262)</f>
        <v/>
      </c>
      <c r="Q262" s="67">
        <f>IF(G262="","",ABS(P262-Components!$D$2))</f>
        <v/>
      </c>
      <c r="R262" s="67">
        <f>IF(G262="","",ABS(P262-Components!$D$3))</f>
        <v/>
      </c>
      <c r="S262" s="67">
        <f>IF(G262="","",ABS(P262-Components!$D$4))</f>
        <v/>
      </c>
      <c r="T262" s="67">
        <f>IF(G262="","",ABS(P262-Components!$D$5))</f>
        <v/>
      </c>
      <c r="U262" s="67">
        <f>IF(G262="","",ABS(P262-Components!$D$6))</f>
        <v/>
      </c>
      <c r="V262" s="67">
        <f>IF(G262="","",ABS(P262-Components!$D$7))</f>
        <v/>
      </c>
      <c r="W262" s="61">
        <f>IF(G262="","",IF(N262="OK","NONE",INDEX({"S1","S2","W1","W2","N1","N2"},MATCH(MIN(Q262:V262),Q262:V262,0))))</f>
        <v/>
      </c>
      <c r="X262" s="69">
        <f>IF(G262="","",IF(W262=E262,1,0))</f>
        <v/>
      </c>
      <c r="Y262" s="70" t="n"/>
    </row>
    <row r="263">
      <c r="A263" s="61" t="n">
        <v>27.9</v>
      </c>
      <c r="B263" s="62" t="n">
        <v>39.9</v>
      </c>
      <c r="C263" s="61" t="inlineStr">
        <is>
          <t>R4</t>
        </is>
      </c>
      <c r="D263" s="74" t="inlineStr">
        <is>
          <t>NG</t>
        </is>
      </c>
      <c r="E263" s="61" t="inlineStr">
        <is>
          <t>S2</t>
        </is>
      </c>
      <c r="F263" s="61" t="inlineStr">
        <is>
          <t>K038</t>
        </is>
      </c>
      <c r="G263" s="75" t="n">
        <v>4.91</v>
      </c>
      <c r="H263" s="65" t="n"/>
      <c r="I263" s="66" t="n"/>
      <c r="J263" s="67">
        <f>VLOOKUP(C263,Recipes!$A$2:$N$4,10,FALSE())</f>
        <v/>
      </c>
      <c r="K263" s="68">
        <f>VLOOKUP(C263,Recipes!$A$2:$N$4,12,FALSE())</f>
        <v/>
      </c>
      <c r="L263" s="67">
        <f>J263-3.5*K263</f>
        <v/>
      </c>
      <c r="M263" s="67">
        <f>J263+3.5*K263</f>
        <v/>
      </c>
      <c r="N263" s="61">
        <f>IF(G263="","",IF(AND(G263&gt;=L263,G263&lt;=M263),"OK","NG"))</f>
        <v/>
      </c>
      <c r="O263" s="69">
        <f>IF(N263="","",IF(N263=D263,1,0))</f>
        <v/>
      </c>
      <c r="P263" s="67">
        <f>IF(G263="","",J263-G263)</f>
        <v/>
      </c>
      <c r="Q263" s="67">
        <f>IF(G263="","",ABS(P263-Components!$D$2))</f>
        <v/>
      </c>
      <c r="R263" s="67">
        <f>IF(G263="","",ABS(P263-Components!$D$3))</f>
        <v/>
      </c>
      <c r="S263" s="67">
        <f>IF(G263="","",ABS(P263-Components!$D$4))</f>
        <v/>
      </c>
      <c r="T263" s="67">
        <f>IF(G263="","",ABS(P263-Components!$D$5))</f>
        <v/>
      </c>
      <c r="U263" s="67">
        <f>IF(G263="","",ABS(P263-Components!$D$6))</f>
        <v/>
      </c>
      <c r="V263" s="67">
        <f>IF(G263="","",ABS(P263-Components!$D$7))</f>
        <v/>
      </c>
      <c r="W263" s="61">
        <f>IF(G263="","",IF(N263="OK","NONE",INDEX({"S1","S2","W1","W2","N1","N2"},MATCH(MIN(Q263:V263),Q263:V263,0))))</f>
        <v/>
      </c>
      <c r="X263" s="69">
        <f>IF(G263="","",IF(W263=E263,1,0))</f>
        <v/>
      </c>
      <c r="Y263" s="70" t="n"/>
    </row>
    <row r="264">
      <c r="A264" s="61" t="n">
        <v>29.8</v>
      </c>
      <c r="B264" s="62" t="n">
        <v>38.8</v>
      </c>
      <c r="C264" s="61" t="inlineStr">
        <is>
          <t>R4</t>
        </is>
      </c>
      <c r="D264" s="74" t="inlineStr">
        <is>
          <t>NG</t>
        </is>
      </c>
      <c r="E264" s="61" t="inlineStr">
        <is>
          <t>S2</t>
        </is>
      </c>
      <c r="F264" s="61" t="inlineStr">
        <is>
          <t>K039</t>
        </is>
      </c>
      <c r="G264" s="75" t="n">
        <v>4.82</v>
      </c>
      <c r="H264" s="65" t="n"/>
      <c r="I264" s="66" t="n"/>
      <c r="J264" s="67">
        <f>VLOOKUP(C264,Recipes!$A$2:$N$4,10,FALSE())</f>
        <v/>
      </c>
      <c r="K264" s="68">
        <f>VLOOKUP(C264,Recipes!$A$2:$N$4,12,FALSE())</f>
        <v/>
      </c>
      <c r="L264" s="67">
        <f>J264-3.5*K264</f>
        <v/>
      </c>
      <c r="M264" s="67">
        <f>J264+3.5*K264</f>
        <v/>
      </c>
      <c r="N264" s="61">
        <f>IF(G264="","",IF(AND(G264&gt;=L264,G264&lt;=M264),"OK","NG"))</f>
        <v/>
      </c>
      <c r="O264" s="69">
        <f>IF(N264="","",IF(N264=D264,1,0))</f>
        <v/>
      </c>
      <c r="P264" s="67">
        <f>IF(G264="","",J264-G264)</f>
        <v/>
      </c>
      <c r="Q264" s="67">
        <f>IF(G264="","",ABS(P264-Components!$D$2))</f>
        <v/>
      </c>
      <c r="R264" s="67">
        <f>IF(G264="","",ABS(P264-Components!$D$3))</f>
        <v/>
      </c>
      <c r="S264" s="67">
        <f>IF(G264="","",ABS(P264-Components!$D$4))</f>
        <v/>
      </c>
      <c r="T264" s="67">
        <f>IF(G264="","",ABS(P264-Components!$D$5))</f>
        <v/>
      </c>
      <c r="U264" s="67">
        <f>IF(G264="","",ABS(P264-Components!$D$6))</f>
        <v/>
      </c>
      <c r="V264" s="67">
        <f>IF(G264="","",ABS(P264-Components!$D$7))</f>
        <v/>
      </c>
      <c r="W264" s="61">
        <f>IF(G264="","",IF(N264="OK","NONE",INDEX({"S1","S2","W1","W2","N1","N2"},MATCH(MIN(Q264:V264),Q264:V264,0))))</f>
        <v/>
      </c>
      <c r="X264" s="69">
        <f>IF(G264="","",IF(W264=E264,1,0))</f>
        <v/>
      </c>
      <c r="Y264" s="70" t="n"/>
    </row>
    <row r="265">
      <c r="A265" s="61" t="n">
        <v>31.7</v>
      </c>
      <c r="B265" s="62" t="n">
        <v>37.7</v>
      </c>
      <c r="C265" s="61" t="inlineStr">
        <is>
          <t>R4</t>
        </is>
      </c>
      <c r="D265" s="74" t="inlineStr">
        <is>
          <t>NG</t>
        </is>
      </c>
      <c r="E265" s="61" t="inlineStr">
        <is>
          <t>S2</t>
        </is>
      </c>
      <c r="F265" s="61" t="inlineStr">
        <is>
          <t>K040</t>
        </is>
      </c>
      <c r="G265" s="75" t="n">
        <v>4.83</v>
      </c>
      <c r="H265" s="65" t="n"/>
      <c r="I265" s="66" t="n"/>
      <c r="J265" s="67">
        <f>VLOOKUP(C265,Recipes!$A$2:$N$4,10,FALSE())</f>
        <v/>
      </c>
      <c r="K265" s="68">
        <f>VLOOKUP(C265,Recipes!$A$2:$N$4,12,FALSE())</f>
        <v/>
      </c>
      <c r="L265" s="67">
        <f>J265-3.5*K265</f>
        <v/>
      </c>
      <c r="M265" s="67">
        <f>J265+3.5*K265</f>
        <v/>
      </c>
      <c r="N265" s="61">
        <f>IF(G265="","",IF(AND(G265&gt;=L265,G265&lt;=M265),"OK","NG"))</f>
        <v/>
      </c>
      <c r="O265" s="69">
        <f>IF(N265="","",IF(N265=D265,1,0))</f>
        <v/>
      </c>
      <c r="P265" s="67">
        <f>IF(G265="","",J265-G265)</f>
        <v/>
      </c>
      <c r="Q265" s="67">
        <f>IF(G265="","",ABS(P265-Components!$D$2))</f>
        <v/>
      </c>
      <c r="R265" s="67">
        <f>IF(G265="","",ABS(P265-Components!$D$3))</f>
        <v/>
      </c>
      <c r="S265" s="67">
        <f>IF(G265="","",ABS(P265-Components!$D$4))</f>
        <v/>
      </c>
      <c r="T265" s="67">
        <f>IF(G265="","",ABS(P265-Components!$D$5))</f>
        <v/>
      </c>
      <c r="U265" s="67">
        <f>IF(G265="","",ABS(P265-Components!$D$6))</f>
        <v/>
      </c>
      <c r="V265" s="67">
        <f>IF(G265="","",ABS(P265-Components!$D$7))</f>
        <v/>
      </c>
      <c r="W265" s="61">
        <f>IF(G265="","",IF(N265="OK","NONE",INDEX({"S1","S2","W1","W2","N1","N2"},MATCH(MIN(Q265:V265),Q265:V265,0))))</f>
        <v/>
      </c>
      <c r="X265" s="69">
        <f>IF(G265="","",IF(W265=E265,1,0))</f>
        <v/>
      </c>
      <c r="Y265" s="70" t="n"/>
    </row>
    <row r="266">
      <c r="A266" s="76" t="n">
        <v>33.6</v>
      </c>
      <c r="B266" s="77" t="n">
        <v>36.6</v>
      </c>
      <c r="C266" s="76" t="inlineStr">
        <is>
          <t>R4</t>
        </is>
      </c>
      <c r="D266" s="78" t="inlineStr">
        <is>
          <t>NG</t>
        </is>
      </c>
      <c r="E266" s="76" t="inlineStr">
        <is>
          <t>S2</t>
        </is>
      </c>
      <c r="F266" s="76" t="inlineStr">
        <is>
          <t>K044</t>
        </is>
      </c>
      <c r="G266" s="75" t="n">
        <v>4.78</v>
      </c>
      <c r="H266" s="65" t="n"/>
      <c r="I266" s="66" t="n"/>
      <c r="J266" s="67">
        <f>VLOOKUP(C266,Recipes!$A$2:$N$4,10,FALSE())</f>
        <v/>
      </c>
      <c r="K266" s="68">
        <f>VLOOKUP(C266,Recipes!$A$2:$N$4,12,FALSE())</f>
        <v/>
      </c>
      <c r="L266" s="67">
        <f>J266-3.5*K266</f>
        <v/>
      </c>
      <c r="M266" s="67">
        <f>J266+3.5*K266</f>
        <v/>
      </c>
      <c r="N266" s="61">
        <f>IF(G266="","",IF(AND(G266&gt;=L266,G266&lt;=M266),"OK","NG"))</f>
        <v/>
      </c>
      <c r="O266" s="69">
        <f>IF(N266="","",IF(N266=D266,1,0))</f>
        <v/>
      </c>
      <c r="P266" s="67">
        <f>IF(G266="","",J266-G266)</f>
        <v/>
      </c>
      <c r="Q266" s="67">
        <f>IF(G266="","",ABS(P266-Components!$D$2))</f>
        <v/>
      </c>
      <c r="R266" s="67">
        <f>IF(G266="","",ABS(P266-Components!$D$3))</f>
        <v/>
      </c>
      <c r="S266" s="67">
        <f>IF(G266="","",ABS(P266-Components!$D$4))</f>
        <v/>
      </c>
      <c r="T266" s="67">
        <f>IF(G266="","",ABS(P266-Components!$D$5))</f>
        <v/>
      </c>
      <c r="U266" s="67">
        <f>IF(G266="","",ABS(P266-Components!$D$6))</f>
        <v/>
      </c>
      <c r="V266" s="67">
        <f>IF(G266="","",ABS(P266-Components!$D$7))</f>
        <v/>
      </c>
      <c r="W266" s="61">
        <f>IF(G266="","",IF(N266="OK","NONE",INDEX({"S1","S2","W1","W2","N1","N2"},MATCH(MIN(Q266:V266),Q266:V266,0))))</f>
        <v/>
      </c>
      <c r="X266" s="69">
        <f>IF(G266="","",IF(W266=E266,1,0))</f>
        <v/>
      </c>
      <c r="Y266" s="70" t="n"/>
    </row>
    <row r="267">
      <c r="A267" s="76" t="n">
        <v>35.5</v>
      </c>
      <c r="B267" s="77" t="n">
        <v>35.5</v>
      </c>
      <c r="C267" s="76" t="inlineStr">
        <is>
          <t>R4</t>
        </is>
      </c>
      <c r="D267" s="78" t="inlineStr">
        <is>
          <t>NG</t>
        </is>
      </c>
      <c r="E267" s="76" t="inlineStr">
        <is>
          <t>S2</t>
        </is>
      </c>
      <c r="F267" s="76" t="inlineStr">
        <is>
          <t>K045</t>
        </is>
      </c>
      <c r="G267" s="75" t="n">
        <v>4.88</v>
      </c>
      <c r="H267" s="65" t="n"/>
      <c r="I267" s="66" t="n"/>
      <c r="J267" s="67">
        <f>VLOOKUP(C267,Recipes!$A$2:$N$4,10,FALSE())</f>
        <v/>
      </c>
      <c r="K267" s="68">
        <f>VLOOKUP(C267,Recipes!$A$2:$N$4,12,FALSE())</f>
        <v/>
      </c>
      <c r="L267" s="67">
        <f>J267-3.5*K267</f>
        <v/>
      </c>
      <c r="M267" s="67">
        <f>J267+3.5*K267</f>
        <v/>
      </c>
      <c r="N267" s="61">
        <f>IF(G267="","",IF(AND(G267&gt;=L267,G267&lt;=M267),"OK","NG"))</f>
        <v/>
      </c>
      <c r="O267" s="69">
        <f>IF(N267="","",IF(N267=D267,1,0))</f>
        <v/>
      </c>
      <c r="P267" s="67">
        <f>IF(G267="","",J267-G267)</f>
        <v/>
      </c>
      <c r="Q267" s="67">
        <f>IF(G267="","",ABS(P267-Components!$D$2))</f>
        <v/>
      </c>
      <c r="R267" s="67">
        <f>IF(G267="","",ABS(P267-Components!$D$3))</f>
        <v/>
      </c>
      <c r="S267" s="67">
        <f>IF(G267="","",ABS(P267-Components!$D$4))</f>
        <v/>
      </c>
      <c r="T267" s="67">
        <f>IF(G267="","",ABS(P267-Components!$D$5))</f>
        <v/>
      </c>
      <c r="U267" s="67">
        <f>IF(G267="","",ABS(P267-Components!$D$6))</f>
        <v/>
      </c>
      <c r="V267" s="67">
        <f>IF(G267="","",ABS(P267-Components!$D$7))</f>
        <v/>
      </c>
      <c r="W267" s="61">
        <f>IF(G267="","",IF(N267="OK","NONE",INDEX({"S1","S2","W1","W2","N1","N2"},MATCH(MIN(Q267:V267),Q267:V267,0))))</f>
        <v/>
      </c>
      <c r="X267" s="69">
        <f>IF(G267="","",IF(W267=E267,1,0))</f>
        <v/>
      </c>
      <c r="Y267" s="70" t="n"/>
    </row>
    <row r="268">
      <c r="A268" s="61" t="n">
        <v>38</v>
      </c>
      <c r="B268" s="62" t="n">
        <v>14</v>
      </c>
      <c r="C268" s="61" t="inlineStr">
        <is>
          <t>R4</t>
        </is>
      </c>
      <c r="D268" s="74" t="inlineStr">
        <is>
          <t>NG</t>
        </is>
      </c>
      <c r="E268" s="61" t="inlineStr">
        <is>
          <t>S2</t>
        </is>
      </c>
      <c r="F268" s="61" t="inlineStr">
        <is>
          <t>K038</t>
        </is>
      </c>
      <c r="G268" s="64" t="n">
        <v>4.91</v>
      </c>
      <c r="H268" s="65" t="n"/>
      <c r="I268" s="66" t="n"/>
      <c r="J268" s="67">
        <f>VLOOKUP(C268,Recipes!$A$2:$N$4,10,FALSE())</f>
        <v/>
      </c>
      <c r="K268" s="68">
        <f>VLOOKUP(C268,Recipes!$A$2:$N$4,12,FALSE())</f>
        <v/>
      </c>
      <c r="L268" s="67">
        <f>J268-3.5*K268</f>
        <v/>
      </c>
      <c r="M268" s="67">
        <f>J268+3.5*K268</f>
        <v/>
      </c>
      <c r="N268" s="61">
        <f>IF(G268="","",IF(AND(G268&gt;=L268,G268&lt;=M268),"OK","NG"))</f>
        <v/>
      </c>
      <c r="O268" s="69">
        <f>IF(N268="","",IF(N268=D268,1,0))</f>
        <v/>
      </c>
      <c r="P268" s="67">
        <f>IF(G268="","",J268-G268)</f>
        <v/>
      </c>
      <c r="Q268" s="67">
        <f>IF(G268="","",ABS(P268-Components!$D$2))</f>
        <v/>
      </c>
      <c r="R268" s="67">
        <f>IF(G268="","",ABS(P268-Components!$D$3))</f>
        <v/>
      </c>
      <c r="S268" s="67">
        <f>IF(G268="","",ABS(P268-Components!$D$4))</f>
        <v/>
      </c>
      <c r="T268" s="67">
        <f>IF(G268="","",ABS(P268-Components!$D$5))</f>
        <v/>
      </c>
      <c r="U268" s="67">
        <f>IF(G268="","",ABS(P268-Components!$D$6))</f>
        <v/>
      </c>
      <c r="V268" s="67">
        <f>IF(G268="","",ABS(P268-Components!$D$7))</f>
        <v/>
      </c>
      <c r="W268" s="61">
        <f>IF(G268="","",IF(N268="OK","NONE",INDEX({"S1","S2","W1","W2","N1","N2"},MATCH(MIN(Q268:V268),Q268:V268,0))))</f>
        <v/>
      </c>
      <c r="X268" s="69">
        <f>IF(G268="","",IF(W268=E268,1,0))</f>
        <v/>
      </c>
      <c r="Y268" s="70" t="n"/>
    </row>
    <row r="269">
      <c r="A269" s="61" t="n">
        <v>39</v>
      </c>
      <c r="B269" s="62" t="n">
        <v>46</v>
      </c>
      <c r="C269" s="61" t="inlineStr">
        <is>
          <t>R4</t>
        </is>
      </c>
      <c r="D269" s="74" t="inlineStr">
        <is>
          <t>NG</t>
        </is>
      </c>
      <c r="E269" s="61" t="inlineStr">
        <is>
          <t>S2</t>
        </is>
      </c>
      <c r="F269" s="61" t="inlineStr">
        <is>
          <t>K039</t>
        </is>
      </c>
      <c r="G269" s="64" t="n">
        <v>4.89</v>
      </c>
      <c r="H269" s="65" t="n"/>
      <c r="I269" s="66" t="n"/>
      <c r="J269" s="67">
        <f>VLOOKUP(C269,Recipes!$A$2:$N$4,10,FALSE())</f>
        <v/>
      </c>
      <c r="K269" s="68">
        <f>VLOOKUP(C269,Recipes!$A$2:$N$4,12,FALSE())</f>
        <v/>
      </c>
      <c r="L269" s="67">
        <f>J269-3.5*K269</f>
        <v/>
      </c>
      <c r="M269" s="67">
        <f>J269+3.5*K269</f>
        <v/>
      </c>
      <c r="N269" s="61">
        <f>IF(G269="","",IF(AND(G269&gt;=L269,G269&lt;=M269),"OK","NG"))</f>
        <v/>
      </c>
      <c r="O269" s="69">
        <f>IF(N269="","",IF(N269=D269,1,0))</f>
        <v/>
      </c>
      <c r="P269" s="67">
        <f>IF(G269="","",J269-G269)</f>
        <v/>
      </c>
      <c r="Q269" s="67">
        <f>IF(G269="","",ABS(P269-Components!$D$2))</f>
        <v/>
      </c>
      <c r="R269" s="67">
        <f>IF(G269="","",ABS(P269-Components!$D$3))</f>
        <v/>
      </c>
      <c r="S269" s="67">
        <f>IF(G269="","",ABS(P269-Components!$D$4))</f>
        <v/>
      </c>
      <c r="T269" s="67">
        <f>IF(G269="","",ABS(P269-Components!$D$5))</f>
        <v/>
      </c>
      <c r="U269" s="67">
        <f>IF(G269="","",ABS(P269-Components!$D$6))</f>
        <v/>
      </c>
      <c r="V269" s="67">
        <f>IF(G269="","",ABS(P269-Components!$D$7))</f>
        <v/>
      </c>
      <c r="W269" s="61">
        <f>IF(G269="","",IF(N269="OK","NONE",INDEX({"S1","S2","W1","W2","N1","N2"},MATCH(MIN(Q269:V269),Q269:V269,0))))</f>
        <v/>
      </c>
      <c r="X269" s="69">
        <f>IF(G269="","",IF(W269=E269,1,0))</f>
        <v/>
      </c>
      <c r="Y269" s="70" t="n"/>
    </row>
    <row r="270">
      <c r="A270" s="61" t="n">
        <v>40</v>
      </c>
      <c r="B270" s="62" t="n">
        <v>53</v>
      </c>
      <c r="C270" s="61" t="inlineStr">
        <is>
          <t>R4</t>
        </is>
      </c>
      <c r="D270" s="74" t="inlineStr">
        <is>
          <t>NG</t>
        </is>
      </c>
      <c r="E270" s="61" t="inlineStr">
        <is>
          <t>S2</t>
        </is>
      </c>
      <c r="F270" s="61" t="inlineStr">
        <is>
          <t>K040</t>
        </is>
      </c>
      <c r="G270" s="64" t="n">
        <v>4.89</v>
      </c>
      <c r="H270" s="65" t="n"/>
      <c r="I270" s="66" t="n"/>
      <c r="J270" s="67">
        <f>VLOOKUP(C270,Recipes!$A$2:$N$4,10,FALSE())</f>
        <v/>
      </c>
      <c r="K270" s="68">
        <f>VLOOKUP(C270,Recipes!$A$2:$N$4,12,FALSE())</f>
        <v/>
      </c>
      <c r="L270" s="67">
        <f>J270-3.5*K270</f>
        <v/>
      </c>
      <c r="M270" s="67">
        <f>J270+3.5*K270</f>
        <v/>
      </c>
      <c r="N270" s="61">
        <f>IF(G270="","",IF(AND(G270&gt;=L270,G270&lt;=M270),"OK","NG"))</f>
        <v/>
      </c>
      <c r="O270" s="69">
        <f>IF(N270="","",IF(N270=D270,1,0))</f>
        <v/>
      </c>
      <c r="P270" s="67">
        <f>IF(G270="","",J270-G270)</f>
        <v/>
      </c>
      <c r="Q270" s="67">
        <f>IF(G270="","",ABS(P270-Components!$D$2))</f>
        <v/>
      </c>
      <c r="R270" s="67">
        <f>IF(G270="","",ABS(P270-Components!$D$3))</f>
        <v/>
      </c>
      <c r="S270" s="67">
        <f>IF(G270="","",ABS(P270-Components!$D$4))</f>
        <v/>
      </c>
      <c r="T270" s="67">
        <f>IF(G270="","",ABS(P270-Components!$D$5))</f>
        <v/>
      </c>
      <c r="U270" s="67">
        <f>IF(G270="","",ABS(P270-Components!$D$6))</f>
        <v/>
      </c>
      <c r="V270" s="67">
        <f>IF(G270="","",ABS(P270-Components!$D$7))</f>
        <v/>
      </c>
      <c r="W270" s="61">
        <f>IF(G270="","",IF(N270="OK","NONE",INDEX({"S1","S2","W1","W2","N1","N2"},MATCH(MIN(Q270:V270),Q270:V270,0))))</f>
        <v/>
      </c>
      <c r="X270" s="69">
        <f>IF(G270="","",IF(W270=E270,1,0))</f>
        <v/>
      </c>
      <c r="Y270" s="70" t="n"/>
    </row>
    <row r="271">
      <c r="A271" s="76" t="n">
        <v>44</v>
      </c>
      <c r="B271" s="77" t="n">
        <v>33</v>
      </c>
      <c r="C271" s="76" t="inlineStr">
        <is>
          <t>R4</t>
        </is>
      </c>
      <c r="D271" s="78" t="inlineStr">
        <is>
          <t>NG</t>
        </is>
      </c>
      <c r="E271" s="76" t="inlineStr">
        <is>
          <t>S2</t>
        </is>
      </c>
      <c r="F271" s="76" t="inlineStr">
        <is>
          <t>K044</t>
        </is>
      </c>
      <c r="G271" s="75" t="n">
        <v>4.9</v>
      </c>
      <c r="H271" s="65" t="n"/>
      <c r="I271" s="66" t="n"/>
      <c r="J271" s="67">
        <f>VLOOKUP(C271,Recipes!$A$2:$N$4,10,FALSE())</f>
        <v/>
      </c>
      <c r="K271" s="68">
        <f>VLOOKUP(C271,Recipes!$A$2:$N$4,12,FALSE())</f>
        <v/>
      </c>
      <c r="L271" s="67">
        <f>J271-3.5*K271</f>
        <v/>
      </c>
      <c r="M271" s="67">
        <f>J271+3.5*K271</f>
        <v/>
      </c>
      <c r="N271" s="61">
        <f>IF(G271="","",IF(AND(G271&gt;=L271,G271&lt;=M271),"OK","NG"))</f>
        <v/>
      </c>
      <c r="O271" s="69">
        <f>IF(N271="","",IF(N271=D271,1,0))</f>
        <v/>
      </c>
      <c r="P271" s="67">
        <f>IF(G271="","",J271-G271)</f>
        <v/>
      </c>
      <c r="Q271" s="67">
        <f>IF(G271="","",ABS(P271-Components!$D$2))</f>
        <v/>
      </c>
      <c r="R271" s="67">
        <f>IF(G271="","",ABS(P271-Components!$D$3))</f>
        <v/>
      </c>
      <c r="S271" s="67">
        <f>IF(G271="","",ABS(P271-Components!$D$4))</f>
        <v/>
      </c>
      <c r="T271" s="67">
        <f>IF(G271="","",ABS(P271-Components!$D$5))</f>
        <v/>
      </c>
      <c r="U271" s="67">
        <f>IF(G271="","",ABS(P271-Components!$D$6))</f>
        <v/>
      </c>
      <c r="V271" s="67">
        <f>IF(G271="","",ABS(P271-Components!$D$7))</f>
        <v/>
      </c>
      <c r="W271" s="61">
        <f>IF(G271="","",IF(N271="OK","NONE",INDEX({"S1","S2","W1","W2","N1","N2"},MATCH(MIN(Q271:V271),Q271:V271,0))))</f>
        <v/>
      </c>
      <c r="X271" s="69">
        <f>IF(G271="","",IF(W271=E271,1,0))</f>
        <v/>
      </c>
      <c r="Y271" s="70" t="n"/>
    </row>
    <row r="272">
      <c r="A272" s="76" t="n">
        <v>45</v>
      </c>
      <c r="B272" s="77" t="n">
        <v>15</v>
      </c>
      <c r="C272" s="76" t="inlineStr">
        <is>
          <t>R4</t>
        </is>
      </c>
      <c r="D272" s="78" t="inlineStr">
        <is>
          <t>NG</t>
        </is>
      </c>
      <c r="E272" s="76" t="inlineStr">
        <is>
          <t>S2</t>
        </is>
      </c>
      <c r="F272" s="76" t="inlineStr">
        <is>
          <t>K045</t>
        </is>
      </c>
      <c r="G272" s="75" t="n">
        <v>4.91</v>
      </c>
      <c r="H272" s="65" t="n"/>
      <c r="I272" s="66" t="n"/>
      <c r="J272" s="67">
        <f>VLOOKUP(C272,Recipes!$A$2:$N$4,10,FALSE())</f>
        <v/>
      </c>
      <c r="K272" s="68">
        <f>VLOOKUP(C272,Recipes!$A$2:$N$4,12,FALSE())</f>
        <v/>
      </c>
      <c r="L272" s="67">
        <f>J272-3.5*K272</f>
        <v/>
      </c>
      <c r="M272" s="67">
        <f>J272+3.5*K272</f>
        <v/>
      </c>
      <c r="N272" s="61">
        <f>IF(G272="","",IF(AND(G272&gt;=L272,G272&lt;=M272),"OK","NG"))</f>
        <v/>
      </c>
      <c r="O272" s="69">
        <f>IF(N272="","",IF(N272=D272,1,0))</f>
        <v/>
      </c>
      <c r="P272" s="67">
        <f>IF(G272="","",J272-G272)</f>
        <v/>
      </c>
      <c r="Q272" s="67">
        <f>IF(G272="","",ABS(P272-Components!$D$2))</f>
        <v/>
      </c>
      <c r="R272" s="67">
        <f>IF(G272="","",ABS(P272-Components!$D$3))</f>
        <v/>
      </c>
      <c r="S272" s="67">
        <f>IF(G272="","",ABS(P272-Components!$D$4))</f>
        <v/>
      </c>
      <c r="T272" s="67">
        <f>IF(G272="","",ABS(P272-Components!$D$5))</f>
        <v/>
      </c>
      <c r="U272" s="67">
        <f>IF(G272="","",ABS(P272-Components!$D$6))</f>
        <v/>
      </c>
      <c r="V272" s="67">
        <f>IF(G272="","",ABS(P272-Components!$D$7))</f>
        <v/>
      </c>
      <c r="W272" s="61">
        <f>IF(G272="","",IF(N272="OK","NONE",INDEX({"S1","S2","W1","W2","N1","N2"},MATCH(MIN(Q272:V272),Q272:V272,0))))</f>
        <v/>
      </c>
      <c r="X272" s="69">
        <f>IF(G272="","",IF(W272=E272,1,0))</f>
        <v/>
      </c>
      <c r="Y272" s="70" t="n"/>
    </row>
    <row r="273">
      <c r="A273" s="61" t="n">
        <v>41</v>
      </c>
      <c r="B273" s="62" t="n">
        <v>3</v>
      </c>
      <c r="C273" s="61" t="inlineStr">
        <is>
          <t>R6</t>
        </is>
      </c>
      <c r="D273" s="63" t="inlineStr">
        <is>
          <t>OK</t>
        </is>
      </c>
      <c r="E273" s="61" t="inlineStr">
        <is>
          <t>NONE</t>
        </is>
      </c>
      <c r="F273" s="61" t="inlineStr">
        <is>
          <t>K041</t>
        </is>
      </c>
      <c r="G273" s="64" t="n">
        <v>8.65</v>
      </c>
      <c r="H273" s="65" t="n"/>
      <c r="I273" s="66" t="n"/>
      <c r="J273" s="67">
        <f>VLOOKUP(C273,Recipes!$A$2:$N$4,10,FALSE())</f>
        <v/>
      </c>
      <c r="K273" s="68">
        <f>VLOOKUP(C273,Recipes!$A$2:$N$4,12,FALSE())</f>
        <v/>
      </c>
      <c r="L273" s="67">
        <f>J273-3.5*K273</f>
        <v/>
      </c>
      <c r="M273" s="67">
        <f>J273+3.5*K273</f>
        <v/>
      </c>
      <c r="N273" s="61">
        <f>IF(G273="","",IF(AND(G273&gt;=L273,G273&lt;=M273),"OK","NG"))</f>
        <v/>
      </c>
      <c r="O273" s="69">
        <f>IF(N273="","",IF(N273=D273,1,0))</f>
        <v/>
      </c>
      <c r="P273" s="67">
        <f>IF(G273="","",J273-G273)</f>
        <v/>
      </c>
      <c r="Q273" s="67">
        <f>IF(G273="","",ABS(P273-Components!$D$2))</f>
        <v/>
      </c>
      <c r="R273" s="67">
        <f>IF(G273="","",ABS(P273-Components!$D$3))</f>
        <v/>
      </c>
      <c r="S273" s="67">
        <f>IF(G273="","",ABS(P273-Components!$D$4))</f>
        <v/>
      </c>
      <c r="T273" s="67">
        <f>IF(G273="","",ABS(P273-Components!$D$5))</f>
        <v/>
      </c>
      <c r="U273" s="67">
        <f>IF(G273="","",ABS(P273-Components!$D$6))</f>
        <v/>
      </c>
      <c r="V273" s="67">
        <f>IF(G273="","",ABS(P273-Components!$D$7))</f>
        <v/>
      </c>
      <c r="W273" s="61">
        <f>IF(G273="","",IF(N273="OK","NONE",INDEX({"S1","S2","W1","W2","N1","N2"},MATCH(MIN(Q273:V273),Q273:V273,0))))</f>
        <v/>
      </c>
      <c r="X273" s="69">
        <f>IF(G273="","",IF(W273=E273,1,0))</f>
        <v/>
      </c>
      <c r="Y273" s="70" t="n"/>
    </row>
    <row r="274">
      <c r="A274" s="61" t="n">
        <v>41</v>
      </c>
      <c r="B274" s="62" t="n">
        <v>3</v>
      </c>
      <c r="C274" s="61" t="inlineStr">
        <is>
          <t>R6</t>
        </is>
      </c>
      <c r="D274" s="63" t="inlineStr">
        <is>
          <t>OK</t>
        </is>
      </c>
      <c r="E274" s="61" t="inlineStr">
        <is>
          <t>NONE</t>
        </is>
      </c>
      <c r="F274" s="61" t="inlineStr">
        <is>
          <t>K041</t>
        </is>
      </c>
      <c r="G274" s="64" t="n">
        <v>8.529999999999999</v>
      </c>
      <c r="H274" s="65" t="n"/>
      <c r="I274" s="66" t="n"/>
      <c r="J274" s="67">
        <f>VLOOKUP(C274,Recipes!$A$2:$N$4,10,FALSE())</f>
        <v/>
      </c>
      <c r="K274" s="68">
        <f>VLOOKUP(C274,Recipes!$A$2:$N$4,12,FALSE())</f>
        <v/>
      </c>
      <c r="L274" s="67">
        <f>J274-3.5*K274</f>
        <v/>
      </c>
      <c r="M274" s="67">
        <f>J274+3.5*K274</f>
        <v/>
      </c>
      <c r="N274" s="61">
        <f>IF(G274="","",IF(AND(G274&gt;=L274,G274&lt;=M274),"OK","NG"))</f>
        <v/>
      </c>
      <c r="O274" s="69">
        <f>IF(N274="","",IF(N274=D274,1,0))</f>
        <v/>
      </c>
      <c r="P274" s="67">
        <f>IF(G274="","",J274-G274)</f>
        <v/>
      </c>
      <c r="Q274" s="67">
        <f>IF(G274="","",ABS(P274-Components!$D$2))</f>
        <v/>
      </c>
      <c r="R274" s="67">
        <f>IF(G274="","",ABS(P274-Components!$D$3))</f>
        <v/>
      </c>
      <c r="S274" s="67">
        <f>IF(G274="","",ABS(P274-Components!$D$4))</f>
        <v/>
      </c>
      <c r="T274" s="67">
        <f>IF(G274="","",ABS(P274-Components!$D$5))</f>
        <v/>
      </c>
      <c r="U274" s="67">
        <f>IF(G274="","",ABS(P274-Components!$D$6))</f>
        <v/>
      </c>
      <c r="V274" s="67">
        <f>IF(G274="","",ABS(P274-Components!$D$7))</f>
        <v/>
      </c>
      <c r="W274" s="61">
        <f>IF(G274="","",IF(N274="OK","NONE",INDEX({"S1","S2","W1","W2","N1","N2"},MATCH(MIN(Q274:V274),Q274:V274,0))))</f>
        <v/>
      </c>
      <c r="X274" s="69">
        <f>IF(G274="","",IF(W274=E274,1,0))</f>
        <v/>
      </c>
      <c r="Y274" s="70" t="n"/>
    </row>
    <row r="275">
      <c r="A275" s="61" t="n">
        <v>41</v>
      </c>
      <c r="B275" s="62" t="n">
        <v>3</v>
      </c>
      <c r="C275" s="61" t="inlineStr">
        <is>
          <t>R6</t>
        </is>
      </c>
      <c r="D275" s="63" t="inlineStr">
        <is>
          <t>OK</t>
        </is>
      </c>
      <c r="E275" s="61" t="inlineStr">
        <is>
          <t>NONE</t>
        </is>
      </c>
      <c r="F275" s="61" t="inlineStr">
        <is>
          <t>K041</t>
        </is>
      </c>
      <c r="G275" s="75" t="n">
        <v>8.58</v>
      </c>
      <c r="H275" s="65" t="n"/>
      <c r="I275" s="66" t="n"/>
      <c r="J275" s="67">
        <f>VLOOKUP(C275,Recipes!$A$2:$N$4,10,FALSE())</f>
        <v/>
      </c>
      <c r="K275" s="68">
        <f>VLOOKUP(C275,Recipes!$A$2:$N$4,12,FALSE())</f>
        <v/>
      </c>
      <c r="L275" s="67">
        <f>J275-3.5*K275</f>
        <v/>
      </c>
      <c r="M275" s="67">
        <f>J275+3.5*K275</f>
        <v/>
      </c>
      <c r="N275" s="61">
        <f>IF(G275="","",IF(AND(G275&gt;=L275,G275&lt;=M275),"OK","NG"))</f>
        <v/>
      </c>
      <c r="O275" s="69">
        <f>IF(N275="","",IF(N275=D275,1,0))</f>
        <v/>
      </c>
      <c r="P275" s="67">
        <f>IF(G275="","",J275-G275)</f>
        <v/>
      </c>
      <c r="Q275" s="67">
        <f>IF(G275="","",ABS(P275-Components!$D$2))</f>
        <v/>
      </c>
      <c r="R275" s="67">
        <f>IF(G275="","",ABS(P275-Components!$D$3))</f>
        <v/>
      </c>
      <c r="S275" s="67">
        <f>IF(G275="","",ABS(P275-Components!$D$4))</f>
        <v/>
      </c>
      <c r="T275" s="67">
        <f>IF(G275="","",ABS(P275-Components!$D$5))</f>
        <v/>
      </c>
      <c r="U275" s="67">
        <f>IF(G275="","",ABS(P275-Components!$D$6))</f>
        <v/>
      </c>
      <c r="V275" s="67">
        <f>IF(G275="","",ABS(P275-Components!$D$7))</f>
        <v/>
      </c>
      <c r="W275" s="61">
        <f>IF(G275="","",IF(N275="OK","NONE",INDEX({"S1","S2","W1","W2","N1","N2"},MATCH(MIN(Q275:V275),Q275:V275,0))))</f>
        <v/>
      </c>
      <c r="X275" s="69">
        <f>IF(G275="","",IF(W275=E275,1,0))</f>
        <v/>
      </c>
      <c r="Y275" s="70" t="n"/>
    </row>
    <row r="276">
      <c r="A276" s="61" t="n">
        <v>41</v>
      </c>
      <c r="B276" s="62" t="n">
        <v>3</v>
      </c>
      <c r="C276" s="61" t="inlineStr">
        <is>
          <t>R6</t>
        </is>
      </c>
      <c r="D276" s="63" t="inlineStr">
        <is>
          <t>OK</t>
        </is>
      </c>
      <c r="E276" s="61" t="inlineStr">
        <is>
          <t>NONE</t>
        </is>
      </c>
      <c r="F276" s="61" t="inlineStr">
        <is>
          <t>K041</t>
        </is>
      </c>
      <c r="G276" s="75" t="n">
        <v>8.66</v>
      </c>
      <c r="H276" s="65" t="n"/>
      <c r="I276" s="66" t="n"/>
      <c r="J276" s="67">
        <f>VLOOKUP(C276,Recipes!$A$2:$N$4,10,FALSE())</f>
        <v/>
      </c>
      <c r="K276" s="68">
        <f>VLOOKUP(C276,Recipes!$A$2:$N$4,12,FALSE())</f>
        <v/>
      </c>
      <c r="L276" s="67">
        <f>J276-3.5*K276</f>
        <v/>
      </c>
      <c r="M276" s="67">
        <f>J276+3.5*K276</f>
        <v/>
      </c>
      <c r="N276" s="61">
        <f>IF(G276="","",IF(AND(G276&gt;=L276,G276&lt;=M276),"OK","NG"))</f>
        <v/>
      </c>
      <c r="O276" s="69">
        <f>IF(N276="","",IF(N276=D276,1,0))</f>
        <v/>
      </c>
      <c r="P276" s="67">
        <f>IF(G276="","",J276-G276)</f>
        <v/>
      </c>
      <c r="Q276" s="67">
        <f>IF(G276="","",ABS(P276-Components!$D$2))</f>
        <v/>
      </c>
      <c r="R276" s="67">
        <f>IF(G276="","",ABS(P276-Components!$D$3))</f>
        <v/>
      </c>
      <c r="S276" s="67">
        <f>IF(G276="","",ABS(P276-Components!$D$4))</f>
        <v/>
      </c>
      <c r="T276" s="67">
        <f>IF(G276="","",ABS(P276-Components!$D$5))</f>
        <v/>
      </c>
      <c r="U276" s="67">
        <f>IF(G276="","",ABS(P276-Components!$D$6))</f>
        <v/>
      </c>
      <c r="V276" s="67">
        <f>IF(G276="","",ABS(P276-Components!$D$7))</f>
        <v/>
      </c>
      <c r="W276" s="61">
        <f>IF(G276="","",IF(N276="OK","NONE",INDEX({"S1","S2","W1","W2","N1","N2"},MATCH(MIN(Q276:V276),Q276:V276,0))))</f>
        <v/>
      </c>
      <c r="X276" s="69">
        <f>IF(G276="","",IF(W276=E276,1,0))</f>
        <v/>
      </c>
      <c r="Y276" s="70" t="n"/>
    </row>
    <row r="277">
      <c r="A277" s="61" t="n">
        <v>41</v>
      </c>
      <c r="B277" s="62" t="n">
        <v>3</v>
      </c>
      <c r="C277" s="61" t="inlineStr">
        <is>
          <t>R6</t>
        </is>
      </c>
      <c r="D277" s="63" t="inlineStr">
        <is>
          <t>OK</t>
        </is>
      </c>
      <c r="E277" s="61" t="inlineStr">
        <is>
          <t>NONE</t>
        </is>
      </c>
      <c r="F277" s="61" t="inlineStr">
        <is>
          <t>K041</t>
        </is>
      </c>
      <c r="G277" s="75" t="n">
        <v>8.57</v>
      </c>
      <c r="H277" s="65" t="n"/>
      <c r="I277" s="66" t="n"/>
      <c r="J277" s="67">
        <f>VLOOKUP(C277,Recipes!$A$2:$N$4,10,FALSE())</f>
        <v/>
      </c>
      <c r="K277" s="68">
        <f>VLOOKUP(C277,Recipes!$A$2:$N$4,12,FALSE())</f>
        <v/>
      </c>
      <c r="L277" s="67">
        <f>J277-3.5*K277</f>
        <v/>
      </c>
      <c r="M277" s="67">
        <f>J277+3.5*K277</f>
        <v/>
      </c>
      <c r="N277" s="61">
        <f>IF(G277="","",IF(AND(G277&gt;=L277,G277&lt;=M277),"OK","NG"))</f>
        <v/>
      </c>
      <c r="O277" s="69">
        <f>IF(N277="","",IF(N277=D277,1,0))</f>
        <v/>
      </c>
      <c r="P277" s="67">
        <f>IF(G277="","",J277-G277)</f>
        <v/>
      </c>
      <c r="Q277" s="67">
        <f>IF(G277="","",ABS(P277-Components!$D$2))</f>
        <v/>
      </c>
      <c r="R277" s="67">
        <f>IF(G277="","",ABS(P277-Components!$D$3))</f>
        <v/>
      </c>
      <c r="S277" s="67">
        <f>IF(G277="","",ABS(P277-Components!$D$4))</f>
        <v/>
      </c>
      <c r="T277" s="67">
        <f>IF(G277="","",ABS(P277-Components!$D$5))</f>
        <v/>
      </c>
      <c r="U277" s="67">
        <f>IF(G277="","",ABS(P277-Components!$D$6))</f>
        <v/>
      </c>
      <c r="V277" s="67">
        <f>IF(G277="","",ABS(P277-Components!$D$7))</f>
        <v/>
      </c>
      <c r="W277" s="61">
        <f>IF(G277="","",IF(N277="OK","NONE",INDEX({"S1","S2","W1","W2","N1","N2"},MATCH(MIN(Q277:V277),Q277:V277,0))))</f>
        <v/>
      </c>
      <c r="X277" s="69">
        <f>IF(G277="","",IF(W277=E277,1,0))</f>
        <v/>
      </c>
      <c r="Y277" s="70" t="n"/>
    </row>
    <row r="278">
      <c r="A278" s="61" t="n">
        <v>41</v>
      </c>
      <c r="B278" s="62" t="n">
        <v>3</v>
      </c>
      <c r="C278" s="61" t="inlineStr">
        <is>
          <t>R6</t>
        </is>
      </c>
      <c r="D278" s="63" t="inlineStr">
        <is>
          <t>OK</t>
        </is>
      </c>
      <c r="E278" s="61" t="inlineStr">
        <is>
          <t>NONE</t>
        </is>
      </c>
      <c r="F278" s="61" t="inlineStr">
        <is>
          <t>K041</t>
        </is>
      </c>
      <c r="G278" s="75" t="n">
        <v>8.6</v>
      </c>
      <c r="H278" s="65" t="n"/>
      <c r="I278" s="66" t="n"/>
      <c r="J278" s="67">
        <f>VLOOKUP(C278,Recipes!$A$2:$N$4,10,FALSE())</f>
        <v/>
      </c>
      <c r="K278" s="68">
        <f>VLOOKUP(C278,Recipes!$A$2:$N$4,12,FALSE())</f>
        <v/>
      </c>
      <c r="L278" s="67">
        <f>J278-3.5*K278</f>
        <v/>
      </c>
      <c r="M278" s="67">
        <f>J278+3.5*K278</f>
        <v/>
      </c>
      <c r="N278" s="61">
        <f>IF(G278="","",IF(AND(G278&gt;=L278,G278&lt;=M278),"OK","NG"))</f>
        <v/>
      </c>
      <c r="O278" s="69">
        <f>IF(N278="","",IF(N278=D278,1,0))</f>
        <v/>
      </c>
      <c r="P278" s="67">
        <f>IF(G278="","",J278-G278)</f>
        <v/>
      </c>
      <c r="Q278" s="67">
        <f>IF(G278="","",ABS(P278-Components!$D$2))</f>
        <v/>
      </c>
      <c r="R278" s="67">
        <f>IF(G278="","",ABS(P278-Components!$D$3))</f>
        <v/>
      </c>
      <c r="S278" s="67">
        <f>IF(G278="","",ABS(P278-Components!$D$4))</f>
        <v/>
      </c>
      <c r="T278" s="67">
        <f>IF(G278="","",ABS(P278-Components!$D$5))</f>
        <v/>
      </c>
      <c r="U278" s="67">
        <f>IF(G278="","",ABS(P278-Components!$D$6))</f>
        <v/>
      </c>
      <c r="V278" s="67">
        <f>IF(G278="","",ABS(P278-Components!$D$7))</f>
        <v/>
      </c>
      <c r="W278" s="61">
        <f>IF(G278="","",IF(N278="OK","NONE",INDEX({"S1","S2","W1","W2","N1","N2"},MATCH(MIN(Q278:V278),Q278:V278,0))))</f>
        <v/>
      </c>
      <c r="X278" s="69">
        <f>IF(G278="","",IF(W278=E278,1,0))</f>
        <v/>
      </c>
      <c r="Y278" s="70" t="n"/>
    </row>
    <row r="279">
      <c r="A279" s="61" t="n">
        <v>41</v>
      </c>
      <c r="B279" s="62" t="n">
        <v>3</v>
      </c>
      <c r="C279" s="61" t="inlineStr">
        <is>
          <t>R6</t>
        </is>
      </c>
      <c r="D279" s="63" t="inlineStr">
        <is>
          <t>OK</t>
        </is>
      </c>
      <c r="E279" s="61" t="inlineStr">
        <is>
          <t>NONE</t>
        </is>
      </c>
      <c r="F279" s="61" t="inlineStr">
        <is>
          <t>K041</t>
        </is>
      </c>
      <c r="G279" s="75" t="n">
        <v>8.65</v>
      </c>
      <c r="H279" s="65" t="n"/>
      <c r="I279" s="66" t="n"/>
      <c r="J279" s="67">
        <f>VLOOKUP(C279,Recipes!$A$2:$N$4,10,FALSE())</f>
        <v/>
      </c>
      <c r="K279" s="68">
        <f>VLOOKUP(C279,Recipes!$A$2:$N$4,12,FALSE())</f>
        <v/>
      </c>
      <c r="L279" s="67">
        <f>J279-3.5*K279</f>
        <v/>
      </c>
      <c r="M279" s="67">
        <f>J279+3.5*K279</f>
        <v/>
      </c>
      <c r="N279" s="61">
        <f>IF(G279="","",IF(AND(G279&gt;=L279,G279&lt;=M279),"OK","NG"))</f>
        <v/>
      </c>
      <c r="O279" s="69">
        <f>IF(N279="","",IF(N279=D279,1,0))</f>
        <v/>
      </c>
      <c r="P279" s="67">
        <f>IF(G279="","",J279-G279)</f>
        <v/>
      </c>
      <c r="Q279" s="67">
        <f>IF(G279="","",ABS(P279-Components!$D$2))</f>
        <v/>
      </c>
      <c r="R279" s="67">
        <f>IF(G279="","",ABS(P279-Components!$D$3))</f>
        <v/>
      </c>
      <c r="S279" s="67">
        <f>IF(G279="","",ABS(P279-Components!$D$4))</f>
        <v/>
      </c>
      <c r="T279" s="67">
        <f>IF(G279="","",ABS(P279-Components!$D$5))</f>
        <v/>
      </c>
      <c r="U279" s="67">
        <f>IF(G279="","",ABS(P279-Components!$D$6))</f>
        <v/>
      </c>
      <c r="V279" s="67">
        <f>IF(G279="","",ABS(P279-Components!$D$7))</f>
        <v/>
      </c>
      <c r="W279" s="61">
        <f>IF(G279="","",IF(N279="OK","NONE",INDEX({"S1","S2","W1","W2","N1","N2"},MATCH(MIN(Q279:V279),Q279:V279,0))))</f>
        <v/>
      </c>
      <c r="X279" s="69">
        <f>IF(G279="","",IF(W279=E279,1,0))</f>
        <v/>
      </c>
      <c r="Y279" s="70" t="n"/>
    </row>
    <row r="280">
      <c r="A280" s="61" t="n">
        <v>41</v>
      </c>
      <c r="B280" s="62" t="n">
        <v>3</v>
      </c>
      <c r="C280" s="61" t="inlineStr">
        <is>
          <t>R6</t>
        </is>
      </c>
      <c r="D280" s="63" t="inlineStr">
        <is>
          <t>OK</t>
        </is>
      </c>
      <c r="E280" s="61" t="inlineStr">
        <is>
          <t>NONE</t>
        </is>
      </c>
      <c r="F280" s="61" t="inlineStr">
        <is>
          <t>K041</t>
        </is>
      </c>
      <c r="G280" s="75" t="n">
        <v>8.58</v>
      </c>
      <c r="H280" s="65" t="n"/>
      <c r="I280" s="66" t="n"/>
      <c r="J280" s="67">
        <f>VLOOKUP(C280,Recipes!$A$2:$N$4,10,FALSE())</f>
        <v/>
      </c>
      <c r="K280" s="68">
        <f>VLOOKUP(C280,Recipes!$A$2:$N$4,12,FALSE())</f>
        <v/>
      </c>
      <c r="L280" s="67">
        <f>J280-3.5*K280</f>
        <v/>
      </c>
      <c r="M280" s="67">
        <f>J280+3.5*K280</f>
        <v/>
      </c>
      <c r="N280" s="61">
        <f>IF(G280="","",IF(AND(G280&gt;=L280,G280&lt;=M280),"OK","NG"))</f>
        <v/>
      </c>
      <c r="O280" s="69">
        <f>IF(N280="","",IF(N280=D280,1,0))</f>
        <v/>
      </c>
      <c r="P280" s="67">
        <f>IF(G280="","",J280-G280)</f>
        <v/>
      </c>
      <c r="Q280" s="67">
        <f>IF(G280="","",ABS(P280-Components!$D$2))</f>
        <v/>
      </c>
      <c r="R280" s="67">
        <f>IF(G280="","",ABS(P280-Components!$D$3))</f>
        <v/>
      </c>
      <c r="S280" s="67">
        <f>IF(G280="","",ABS(P280-Components!$D$4))</f>
        <v/>
      </c>
      <c r="T280" s="67">
        <f>IF(G280="","",ABS(P280-Components!$D$5))</f>
        <v/>
      </c>
      <c r="U280" s="67">
        <f>IF(G280="","",ABS(P280-Components!$D$6))</f>
        <v/>
      </c>
      <c r="V280" s="67">
        <f>IF(G280="","",ABS(P280-Components!$D$7))</f>
        <v/>
      </c>
      <c r="W280" s="61">
        <f>IF(G280="","",IF(N280="OK","NONE",INDEX({"S1","S2","W1","W2","N1","N2"},MATCH(MIN(Q280:V280),Q280:V280,0))))</f>
        <v/>
      </c>
      <c r="X280" s="69">
        <f>IF(G280="","",IF(W280=E280,1,0))</f>
        <v/>
      </c>
      <c r="Y280" s="70" t="n"/>
    </row>
    <row r="281">
      <c r="A281" s="61" t="n">
        <v>41</v>
      </c>
      <c r="B281" s="62" t="n">
        <v>3</v>
      </c>
      <c r="C281" s="61" t="inlineStr">
        <is>
          <t>R6</t>
        </is>
      </c>
      <c r="D281" s="63" t="inlineStr">
        <is>
          <t>OK</t>
        </is>
      </c>
      <c r="E281" s="61" t="inlineStr">
        <is>
          <t>NONE</t>
        </is>
      </c>
      <c r="F281" s="61" t="inlineStr">
        <is>
          <t>K041</t>
        </is>
      </c>
      <c r="G281" s="75" t="n">
        <v>8.58</v>
      </c>
      <c r="H281" s="65" t="n"/>
      <c r="I281" s="66" t="n"/>
      <c r="J281" s="67">
        <f>VLOOKUP(C281,Recipes!$A$2:$N$4,10,FALSE())</f>
        <v/>
      </c>
      <c r="K281" s="68">
        <f>VLOOKUP(C281,Recipes!$A$2:$N$4,12,FALSE())</f>
        <v/>
      </c>
      <c r="L281" s="67">
        <f>J281-3.5*K281</f>
        <v/>
      </c>
      <c r="M281" s="67">
        <f>J281+3.5*K281</f>
        <v/>
      </c>
      <c r="N281" s="61">
        <f>IF(G281="","",IF(AND(G281&gt;=L281,G281&lt;=M281),"OK","NG"))</f>
        <v/>
      </c>
      <c r="O281" s="69">
        <f>IF(N281="","",IF(N281=D281,1,0))</f>
        <v/>
      </c>
      <c r="P281" s="67">
        <f>IF(G281="","",J281-G281)</f>
        <v/>
      </c>
      <c r="Q281" s="67">
        <f>IF(G281="","",ABS(P281-Components!$D$2))</f>
        <v/>
      </c>
      <c r="R281" s="67">
        <f>IF(G281="","",ABS(P281-Components!$D$3))</f>
        <v/>
      </c>
      <c r="S281" s="67">
        <f>IF(G281="","",ABS(P281-Components!$D$4))</f>
        <v/>
      </c>
      <c r="T281" s="67">
        <f>IF(G281="","",ABS(P281-Components!$D$5))</f>
        <v/>
      </c>
      <c r="U281" s="67">
        <f>IF(G281="","",ABS(P281-Components!$D$6))</f>
        <v/>
      </c>
      <c r="V281" s="67">
        <f>IF(G281="","",ABS(P281-Components!$D$7))</f>
        <v/>
      </c>
      <c r="W281" s="61">
        <f>IF(G281="","",IF(N281="OK","NONE",INDEX({"S1","S2","W1","W2","N1","N2"},MATCH(MIN(Q281:V281),Q281:V281,0))))</f>
        <v/>
      </c>
      <c r="X281" s="69">
        <f>IF(G281="","",IF(W281=E281,1,0))</f>
        <v/>
      </c>
      <c r="Y281" s="70" t="n"/>
    </row>
    <row r="282">
      <c r="A282" s="61" t="n">
        <v>41</v>
      </c>
      <c r="B282" s="62" t="n">
        <v>3</v>
      </c>
      <c r="C282" s="61" t="inlineStr">
        <is>
          <t>R6</t>
        </is>
      </c>
      <c r="D282" s="63" t="inlineStr">
        <is>
          <t>OK</t>
        </is>
      </c>
      <c r="E282" s="61" t="inlineStr">
        <is>
          <t>NONE</t>
        </is>
      </c>
      <c r="F282" s="61" t="inlineStr">
        <is>
          <t>K041</t>
        </is>
      </c>
      <c r="G282" s="75" t="n">
        <v>8.57</v>
      </c>
      <c r="H282" s="65" t="n"/>
      <c r="I282" s="66" t="n"/>
      <c r="J282" s="67">
        <f>VLOOKUP(C282,Recipes!$A$2:$N$4,10,FALSE())</f>
        <v/>
      </c>
      <c r="K282" s="68">
        <f>VLOOKUP(C282,Recipes!$A$2:$N$4,12,FALSE())</f>
        <v/>
      </c>
      <c r="L282" s="67">
        <f>J282-3.5*K282</f>
        <v/>
      </c>
      <c r="M282" s="67">
        <f>J282+3.5*K282</f>
        <v/>
      </c>
      <c r="N282" s="61">
        <f>IF(G282="","",IF(AND(G282&gt;=L282,G282&lt;=M282),"OK","NG"))</f>
        <v/>
      </c>
      <c r="O282" s="69">
        <f>IF(N282="","",IF(N282=D282,1,0))</f>
        <v/>
      </c>
      <c r="P282" s="67">
        <f>IF(G282="","",J282-G282)</f>
        <v/>
      </c>
      <c r="Q282" s="67">
        <f>IF(G282="","",ABS(P282-Components!$D$2))</f>
        <v/>
      </c>
      <c r="R282" s="67">
        <f>IF(G282="","",ABS(P282-Components!$D$3))</f>
        <v/>
      </c>
      <c r="S282" s="67">
        <f>IF(G282="","",ABS(P282-Components!$D$4))</f>
        <v/>
      </c>
      <c r="T282" s="67">
        <f>IF(G282="","",ABS(P282-Components!$D$5))</f>
        <v/>
      </c>
      <c r="U282" s="67">
        <f>IF(G282="","",ABS(P282-Components!$D$6))</f>
        <v/>
      </c>
      <c r="V282" s="67">
        <f>IF(G282="","",ABS(P282-Components!$D$7))</f>
        <v/>
      </c>
      <c r="W282" s="61">
        <f>IF(G282="","",IF(N282="OK","NONE",INDEX({"S1","S2","W1","W2","N1","N2"},MATCH(MIN(Q282:V282),Q282:V282,0))))</f>
        <v/>
      </c>
      <c r="X282" s="69">
        <f>IF(G282="","",IF(W282=E282,1,0))</f>
        <v/>
      </c>
      <c r="Y282" s="70" t="n"/>
    </row>
    <row r="283">
      <c r="A283" s="61" t="n">
        <v>41</v>
      </c>
      <c r="B283" s="62" t="n">
        <v>3</v>
      </c>
      <c r="C283" s="61" t="inlineStr">
        <is>
          <t>R6</t>
        </is>
      </c>
      <c r="D283" s="63" t="inlineStr">
        <is>
          <t>OK</t>
        </is>
      </c>
      <c r="E283" s="61" t="inlineStr">
        <is>
          <t>NONE</t>
        </is>
      </c>
      <c r="F283" s="61" t="inlineStr">
        <is>
          <t>K041</t>
        </is>
      </c>
      <c r="G283" s="75" t="n">
        <v>8.529999999999999</v>
      </c>
      <c r="H283" s="65" t="n"/>
      <c r="I283" s="66" t="n"/>
      <c r="J283" s="67">
        <f>VLOOKUP(C283,Recipes!$A$2:$N$4,10,FALSE())</f>
        <v/>
      </c>
      <c r="K283" s="68">
        <f>VLOOKUP(C283,Recipes!$A$2:$N$4,12,FALSE())</f>
        <v/>
      </c>
      <c r="L283" s="67">
        <f>J283-3.5*K283</f>
        <v/>
      </c>
      <c r="M283" s="67">
        <f>J283+3.5*K283</f>
        <v/>
      </c>
      <c r="N283" s="61">
        <f>IF(G283="","",IF(AND(G283&gt;=L283,G283&lt;=M283),"OK","NG"))</f>
        <v/>
      </c>
      <c r="O283" s="69">
        <f>IF(N283="","",IF(N283=D283,1,0))</f>
        <v/>
      </c>
      <c r="P283" s="67">
        <f>IF(G283="","",J283-G283)</f>
        <v/>
      </c>
      <c r="Q283" s="67">
        <f>IF(G283="","",ABS(P283-Components!$D$2))</f>
        <v/>
      </c>
      <c r="R283" s="67">
        <f>IF(G283="","",ABS(P283-Components!$D$3))</f>
        <v/>
      </c>
      <c r="S283" s="67">
        <f>IF(G283="","",ABS(P283-Components!$D$4))</f>
        <v/>
      </c>
      <c r="T283" s="67">
        <f>IF(G283="","",ABS(P283-Components!$D$5))</f>
        <v/>
      </c>
      <c r="U283" s="67">
        <f>IF(G283="","",ABS(P283-Components!$D$6))</f>
        <v/>
      </c>
      <c r="V283" s="67">
        <f>IF(G283="","",ABS(P283-Components!$D$7))</f>
        <v/>
      </c>
      <c r="W283" s="61">
        <f>IF(G283="","",IF(N283="OK","NONE",INDEX({"S1","S2","W1","W2","N1","N2"},MATCH(MIN(Q283:V283),Q283:V283,0))))</f>
        <v/>
      </c>
      <c r="X283" s="69">
        <f>IF(G283="","",IF(W283=E283,1,0))</f>
        <v/>
      </c>
      <c r="Y283" s="70" t="n"/>
    </row>
    <row r="284">
      <c r="A284" s="61" t="n">
        <v>41</v>
      </c>
      <c r="B284" s="62" t="n">
        <v>3</v>
      </c>
      <c r="C284" s="61" t="inlineStr">
        <is>
          <t>R6</t>
        </is>
      </c>
      <c r="D284" s="63" t="inlineStr">
        <is>
          <t>OK</t>
        </is>
      </c>
      <c r="E284" s="61" t="inlineStr">
        <is>
          <t>NONE</t>
        </is>
      </c>
      <c r="F284" s="61" t="inlineStr">
        <is>
          <t>K041</t>
        </is>
      </c>
      <c r="G284" s="75" t="n">
        <v>8.640000000000001</v>
      </c>
      <c r="H284" s="65" t="n"/>
      <c r="I284" s="66" t="n"/>
      <c r="J284" s="67">
        <f>VLOOKUP(C284,Recipes!$A$2:$N$4,10,FALSE())</f>
        <v/>
      </c>
      <c r="K284" s="68">
        <f>VLOOKUP(C284,Recipes!$A$2:$N$4,12,FALSE())</f>
        <v/>
      </c>
      <c r="L284" s="67">
        <f>J284-3.5*K284</f>
        <v/>
      </c>
      <c r="M284" s="67">
        <f>J284+3.5*K284</f>
        <v/>
      </c>
      <c r="N284" s="61">
        <f>IF(G284="","",IF(AND(G284&gt;=L284,G284&lt;=M284),"OK","NG"))</f>
        <v/>
      </c>
      <c r="O284" s="69">
        <f>IF(N284="","",IF(N284=D284,1,0))</f>
        <v/>
      </c>
      <c r="P284" s="67">
        <f>IF(G284="","",J284-G284)</f>
        <v/>
      </c>
      <c r="Q284" s="67">
        <f>IF(G284="","",ABS(P284-Components!$D$2))</f>
        <v/>
      </c>
      <c r="R284" s="67">
        <f>IF(G284="","",ABS(P284-Components!$D$3))</f>
        <v/>
      </c>
      <c r="S284" s="67">
        <f>IF(G284="","",ABS(P284-Components!$D$4))</f>
        <v/>
      </c>
      <c r="T284" s="67">
        <f>IF(G284="","",ABS(P284-Components!$D$5))</f>
        <v/>
      </c>
      <c r="U284" s="67">
        <f>IF(G284="","",ABS(P284-Components!$D$6))</f>
        <v/>
      </c>
      <c r="V284" s="67">
        <f>IF(G284="","",ABS(P284-Components!$D$7))</f>
        <v/>
      </c>
      <c r="W284" s="61">
        <f>IF(G284="","",IF(N284="OK","NONE",INDEX({"S1","S2","W1","W2","N1","N2"},MATCH(MIN(Q284:V284),Q284:V284,0))))</f>
        <v/>
      </c>
      <c r="X284" s="69">
        <f>IF(G284="","",IF(W284=E284,1,0))</f>
        <v/>
      </c>
      <c r="Y284" s="70" t="n"/>
    </row>
    <row r="285">
      <c r="A285" s="61" t="n">
        <v>41</v>
      </c>
      <c r="B285" s="62" t="n">
        <v>3</v>
      </c>
      <c r="C285" s="61" t="inlineStr">
        <is>
          <t>R6</t>
        </is>
      </c>
      <c r="D285" s="63" t="inlineStr">
        <is>
          <t>OK</t>
        </is>
      </c>
      <c r="E285" s="61" t="inlineStr">
        <is>
          <t>NONE</t>
        </is>
      </c>
      <c r="F285" s="61" t="inlineStr">
        <is>
          <t>K041</t>
        </is>
      </c>
      <c r="G285" s="75" t="n">
        <v>8.57</v>
      </c>
      <c r="H285" s="65" t="n"/>
      <c r="I285" s="66" t="n"/>
      <c r="J285" s="67">
        <f>VLOOKUP(C285,Recipes!$A$2:$N$4,10,FALSE())</f>
        <v/>
      </c>
      <c r="K285" s="68">
        <f>VLOOKUP(C285,Recipes!$A$2:$N$4,12,FALSE())</f>
        <v/>
      </c>
      <c r="L285" s="67">
        <f>J285-3.5*K285</f>
        <v/>
      </c>
      <c r="M285" s="67">
        <f>J285+3.5*K285</f>
        <v/>
      </c>
      <c r="N285" s="61">
        <f>IF(G285="","",IF(AND(G285&gt;=L285,G285&lt;=M285),"OK","NG"))</f>
        <v/>
      </c>
      <c r="O285" s="69">
        <f>IF(N285="","",IF(N285=D285,1,0))</f>
        <v/>
      </c>
      <c r="P285" s="67">
        <f>IF(G285="","",J285-G285)</f>
        <v/>
      </c>
      <c r="Q285" s="67">
        <f>IF(G285="","",ABS(P285-Components!$D$2))</f>
        <v/>
      </c>
      <c r="R285" s="67">
        <f>IF(G285="","",ABS(P285-Components!$D$3))</f>
        <v/>
      </c>
      <c r="S285" s="67">
        <f>IF(G285="","",ABS(P285-Components!$D$4))</f>
        <v/>
      </c>
      <c r="T285" s="67">
        <f>IF(G285="","",ABS(P285-Components!$D$5))</f>
        <v/>
      </c>
      <c r="U285" s="67">
        <f>IF(G285="","",ABS(P285-Components!$D$6))</f>
        <v/>
      </c>
      <c r="V285" s="67">
        <f>IF(G285="","",ABS(P285-Components!$D$7))</f>
        <v/>
      </c>
      <c r="W285" s="61">
        <f>IF(G285="","",IF(N285="OK","NONE",INDEX({"S1","S2","W1","W2","N1","N2"},MATCH(MIN(Q285:V285),Q285:V285,0))))</f>
        <v/>
      </c>
      <c r="X285" s="69">
        <f>IF(G285="","",IF(W285=E285,1,0))</f>
        <v/>
      </c>
      <c r="Y285" s="70" t="n"/>
    </row>
    <row r="286">
      <c r="A286" s="61" t="n">
        <v>41</v>
      </c>
      <c r="B286" s="62" t="n">
        <v>3</v>
      </c>
      <c r="C286" s="61" t="inlineStr">
        <is>
          <t>R6</t>
        </is>
      </c>
      <c r="D286" s="63" t="inlineStr">
        <is>
          <t>OK</t>
        </is>
      </c>
      <c r="E286" s="61" t="inlineStr">
        <is>
          <t>NONE</t>
        </is>
      </c>
      <c r="F286" s="61" t="inlineStr">
        <is>
          <t>K041</t>
        </is>
      </c>
      <c r="G286" s="75" t="n">
        <v>8.58</v>
      </c>
      <c r="H286" s="65" t="n"/>
      <c r="I286" s="66" t="n"/>
      <c r="J286" s="67">
        <f>VLOOKUP(C286,Recipes!$A$2:$N$4,10,FALSE())</f>
        <v/>
      </c>
      <c r="K286" s="68">
        <f>VLOOKUP(C286,Recipes!$A$2:$N$4,12,FALSE())</f>
        <v/>
      </c>
      <c r="L286" s="67">
        <f>J286-3.5*K286</f>
        <v/>
      </c>
      <c r="M286" s="67">
        <f>J286+3.5*K286</f>
        <v/>
      </c>
      <c r="N286" s="61">
        <f>IF(G286="","",IF(AND(G286&gt;=L286,G286&lt;=M286),"OK","NG"))</f>
        <v/>
      </c>
      <c r="O286" s="69">
        <f>IF(N286="","",IF(N286=D286,1,0))</f>
        <v/>
      </c>
      <c r="P286" s="67">
        <f>IF(G286="","",J286-G286)</f>
        <v/>
      </c>
      <c r="Q286" s="67">
        <f>IF(G286="","",ABS(P286-Components!$D$2))</f>
        <v/>
      </c>
      <c r="R286" s="67">
        <f>IF(G286="","",ABS(P286-Components!$D$3))</f>
        <v/>
      </c>
      <c r="S286" s="67">
        <f>IF(G286="","",ABS(P286-Components!$D$4))</f>
        <v/>
      </c>
      <c r="T286" s="67">
        <f>IF(G286="","",ABS(P286-Components!$D$5))</f>
        <v/>
      </c>
      <c r="U286" s="67">
        <f>IF(G286="","",ABS(P286-Components!$D$6))</f>
        <v/>
      </c>
      <c r="V286" s="67">
        <f>IF(G286="","",ABS(P286-Components!$D$7))</f>
        <v/>
      </c>
      <c r="W286" s="61">
        <f>IF(G286="","",IF(N286="OK","NONE",INDEX({"S1","S2","W1","W2","N1","N2"},MATCH(MIN(Q286:V286),Q286:V286,0))))</f>
        <v/>
      </c>
      <c r="X286" s="69">
        <f>IF(G286="","",IF(W286=E286,1,0))</f>
        <v/>
      </c>
      <c r="Y286" s="70" t="n"/>
    </row>
    <row r="287">
      <c r="A287" s="61" t="n">
        <v>41</v>
      </c>
      <c r="B287" s="62" t="n">
        <v>3</v>
      </c>
      <c r="C287" s="61" t="inlineStr">
        <is>
          <t>R6</t>
        </is>
      </c>
      <c r="D287" s="63" t="inlineStr">
        <is>
          <t>OK</t>
        </is>
      </c>
      <c r="E287" s="61" t="inlineStr">
        <is>
          <t>NONE</t>
        </is>
      </c>
      <c r="F287" s="61" t="inlineStr">
        <is>
          <t>K041</t>
        </is>
      </c>
      <c r="G287" s="75" t="n">
        <v>8.630000000000001</v>
      </c>
      <c r="H287" s="65" t="n"/>
      <c r="I287" s="66" t="n"/>
      <c r="J287" s="67">
        <f>VLOOKUP(C287,Recipes!$A$2:$N$4,10,FALSE())</f>
        <v/>
      </c>
      <c r="K287" s="68">
        <f>VLOOKUP(C287,Recipes!$A$2:$N$4,12,FALSE())</f>
        <v/>
      </c>
      <c r="L287" s="67">
        <f>J287-3.5*K287</f>
        <v/>
      </c>
      <c r="M287" s="67">
        <f>J287+3.5*K287</f>
        <v/>
      </c>
      <c r="N287" s="61">
        <f>IF(G287="","",IF(AND(G287&gt;=L287,G287&lt;=M287),"OK","NG"))</f>
        <v/>
      </c>
      <c r="O287" s="69">
        <f>IF(N287="","",IF(N287=D287,1,0))</f>
        <v/>
      </c>
      <c r="P287" s="67">
        <f>IF(G287="","",J287-G287)</f>
        <v/>
      </c>
      <c r="Q287" s="67">
        <f>IF(G287="","",ABS(P287-Components!$D$2))</f>
        <v/>
      </c>
      <c r="R287" s="67">
        <f>IF(G287="","",ABS(P287-Components!$D$3))</f>
        <v/>
      </c>
      <c r="S287" s="67">
        <f>IF(G287="","",ABS(P287-Components!$D$4))</f>
        <v/>
      </c>
      <c r="T287" s="67">
        <f>IF(G287="","",ABS(P287-Components!$D$5))</f>
        <v/>
      </c>
      <c r="U287" s="67">
        <f>IF(G287="","",ABS(P287-Components!$D$6))</f>
        <v/>
      </c>
      <c r="V287" s="67">
        <f>IF(G287="","",ABS(P287-Components!$D$7))</f>
        <v/>
      </c>
      <c r="W287" s="61">
        <f>IF(G287="","",IF(N287="OK","NONE",INDEX({"S1","S2","W1","W2","N1","N2"},MATCH(MIN(Q287:V287),Q287:V287,0))))</f>
        <v/>
      </c>
      <c r="X287" s="69">
        <f>IF(G287="","",IF(W287=E287,1,0))</f>
        <v/>
      </c>
      <c r="Y287" s="70" t="n"/>
    </row>
    <row r="288">
      <c r="A288" s="61" t="n">
        <v>41</v>
      </c>
      <c r="B288" s="62" t="n">
        <v>3</v>
      </c>
      <c r="C288" s="61" t="inlineStr">
        <is>
          <t>R6</t>
        </is>
      </c>
      <c r="D288" s="63" t="inlineStr">
        <is>
          <t>OK</t>
        </is>
      </c>
      <c r="E288" s="61" t="inlineStr">
        <is>
          <t>NONE</t>
        </is>
      </c>
      <c r="F288" s="61" t="inlineStr">
        <is>
          <t>K041</t>
        </is>
      </c>
      <c r="G288" s="75" t="n">
        <v>8.6</v>
      </c>
      <c r="H288" s="65" t="n"/>
      <c r="I288" s="66" t="n"/>
      <c r="J288" s="67">
        <f>VLOOKUP(C288,Recipes!$A$2:$N$4,10,FALSE())</f>
        <v/>
      </c>
      <c r="K288" s="68">
        <f>VLOOKUP(C288,Recipes!$A$2:$N$4,12,FALSE())</f>
        <v/>
      </c>
      <c r="L288" s="67">
        <f>J288-3.5*K288</f>
        <v/>
      </c>
      <c r="M288" s="67">
        <f>J288+3.5*K288</f>
        <v/>
      </c>
      <c r="N288" s="61">
        <f>IF(G288="","",IF(AND(G288&gt;=L288,G288&lt;=M288),"OK","NG"))</f>
        <v/>
      </c>
      <c r="O288" s="69">
        <f>IF(N288="","",IF(N288=D288,1,0))</f>
        <v/>
      </c>
      <c r="P288" s="67">
        <f>IF(G288="","",J288-G288)</f>
        <v/>
      </c>
      <c r="Q288" s="67">
        <f>IF(G288="","",ABS(P288-Components!$D$2))</f>
        <v/>
      </c>
      <c r="R288" s="67">
        <f>IF(G288="","",ABS(P288-Components!$D$3))</f>
        <v/>
      </c>
      <c r="S288" s="67">
        <f>IF(G288="","",ABS(P288-Components!$D$4))</f>
        <v/>
      </c>
      <c r="T288" s="67">
        <f>IF(G288="","",ABS(P288-Components!$D$5))</f>
        <v/>
      </c>
      <c r="U288" s="67">
        <f>IF(G288="","",ABS(P288-Components!$D$6))</f>
        <v/>
      </c>
      <c r="V288" s="67">
        <f>IF(G288="","",ABS(P288-Components!$D$7))</f>
        <v/>
      </c>
      <c r="W288" s="61">
        <f>IF(G288="","",IF(N288="OK","NONE",INDEX({"S1","S2","W1","W2","N1","N2"},MATCH(MIN(Q288:V288),Q288:V288,0))))</f>
        <v/>
      </c>
      <c r="X288" s="69">
        <f>IF(G288="","",IF(W288=E288,1,0))</f>
        <v/>
      </c>
      <c r="Y288" s="70" t="n"/>
    </row>
    <row r="289">
      <c r="A289" s="61" t="n">
        <v>41</v>
      </c>
      <c r="B289" s="62" t="n">
        <v>3</v>
      </c>
      <c r="C289" s="61" t="inlineStr">
        <is>
          <t>R6</t>
        </is>
      </c>
      <c r="D289" s="63" t="inlineStr">
        <is>
          <t>OK</t>
        </is>
      </c>
      <c r="E289" s="61" t="inlineStr">
        <is>
          <t>NONE</t>
        </is>
      </c>
      <c r="F289" s="61" t="inlineStr">
        <is>
          <t>K041</t>
        </is>
      </c>
      <c r="G289" s="75" t="n">
        <v>8.619999999999999</v>
      </c>
      <c r="H289" s="65" t="n"/>
      <c r="I289" s="66" t="n"/>
      <c r="J289" s="67">
        <f>VLOOKUP(C289,Recipes!$A$2:$N$4,10,FALSE())</f>
        <v/>
      </c>
      <c r="K289" s="68">
        <f>VLOOKUP(C289,Recipes!$A$2:$N$4,12,FALSE())</f>
        <v/>
      </c>
      <c r="L289" s="67">
        <f>J289-3.5*K289</f>
        <v/>
      </c>
      <c r="M289" s="67">
        <f>J289+3.5*K289</f>
        <v/>
      </c>
      <c r="N289" s="61">
        <f>IF(G289="","",IF(AND(G289&gt;=L289,G289&lt;=M289),"OK","NG"))</f>
        <v/>
      </c>
      <c r="O289" s="69">
        <f>IF(N289="","",IF(N289=D289,1,0))</f>
        <v/>
      </c>
      <c r="P289" s="67">
        <f>IF(G289="","",J289-G289)</f>
        <v/>
      </c>
      <c r="Q289" s="67">
        <f>IF(G289="","",ABS(P289-Components!$D$2))</f>
        <v/>
      </c>
      <c r="R289" s="67">
        <f>IF(G289="","",ABS(P289-Components!$D$3))</f>
        <v/>
      </c>
      <c r="S289" s="67">
        <f>IF(G289="","",ABS(P289-Components!$D$4))</f>
        <v/>
      </c>
      <c r="T289" s="67">
        <f>IF(G289="","",ABS(P289-Components!$D$5))</f>
        <v/>
      </c>
      <c r="U289" s="67">
        <f>IF(G289="","",ABS(P289-Components!$D$6))</f>
        <v/>
      </c>
      <c r="V289" s="67">
        <f>IF(G289="","",ABS(P289-Components!$D$7))</f>
        <v/>
      </c>
      <c r="W289" s="61">
        <f>IF(G289="","",IF(N289="OK","NONE",INDEX({"S1","S2","W1","W2","N1","N2"},MATCH(MIN(Q289:V289),Q289:V289,0))))</f>
        <v/>
      </c>
      <c r="X289" s="69">
        <f>IF(G289="","",IF(W289=E289,1,0))</f>
        <v/>
      </c>
      <c r="Y289" s="70" t="n"/>
    </row>
    <row r="290">
      <c r="A290" s="61" t="n">
        <v>41</v>
      </c>
      <c r="B290" s="62" t="n">
        <v>3</v>
      </c>
      <c r="C290" s="61" t="inlineStr">
        <is>
          <t>R6</t>
        </is>
      </c>
      <c r="D290" s="63" t="inlineStr">
        <is>
          <t>OK</t>
        </is>
      </c>
      <c r="E290" s="61" t="inlineStr">
        <is>
          <t>NONE</t>
        </is>
      </c>
      <c r="F290" s="61" t="inlineStr">
        <is>
          <t>K041</t>
        </is>
      </c>
      <c r="G290" s="75" t="n">
        <v>8.41</v>
      </c>
      <c r="H290" s="65" t="n"/>
      <c r="I290" s="66" t="n"/>
      <c r="J290" s="67">
        <f>VLOOKUP(C290,Recipes!$A$2:$N$4,10,FALSE())</f>
        <v/>
      </c>
      <c r="K290" s="68">
        <f>VLOOKUP(C290,Recipes!$A$2:$N$4,12,FALSE())</f>
        <v/>
      </c>
      <c r="L290" s="67">
        <f>J290-3.5*K290</f>
        <v/>
      </c>
      <c r="M290" s="67">
        <f>J290+3.5*K290</f>
        <v/>
      </c>
      <c r="N290" s="61">
        <f>IF(G290="","",IF(AND(G290&gt;=L290,G290&lt;=M290),"OK","NG"))</f>
        <v/>
      </c>
      <c r="O290" s="69">
        <f>IF(N290="","",IF(N290=D290,1,0))</f>
        <v/>
      </c>
      <c r="P290" s="67">
        <f>IF(G290="","",J290-G290)</f>
        <v/>
      </c>
      <c r="Q290" s="67">
        <f>IF(G290="","",ABS(P290-Components!$D$2))</f>
        <v/>
      </c>
      <c r="R290" s="67">
        <f>IF(G290="","",ABS(P290-Components!$D$3))</f>
        <v/>
      </c>
      <c r="S290" s="67">
        <f>IF(G290="","",ABS(P290-Components!$D$4))</f>
        <v/>
      </c>
      <c r="T290" s="67">
        <f>IF(G290="","",ABS(P290-Components!$D$5))</f>
        <v/>
      </c>
      <c r="U290" s="67">
        <f>IF(G290="","",ABS(P290-Components!$D$6))</f>
        <v/>
      </c>
      <c r="V290" s="67">
        <f>IF(G290="","",ABS(P290-Components!$D$7))</f>
        <v/>
      </c>
      <c r="W290" s="61">
        <f>IF(G290="","",IF(N290="OK","NONE",INDEX({"S1","S2","W1","W2","N1","N2"},MATCH(MIN(Q290:V290),Q290:V290,0))))</f>
        <v/>
      </c>
      <c r="X290" s="71">
        <f>IF(G290="","",IF(W290=E290,1,0))</f>
        <v/>
      </c>
      <c r="Y290" s="70" t="n"/>
    </row>
    <row r="291">
      <c r="A291" s="61" t="n">
        <v>41</v>
      </c>
      <c r="B291" s="62" t="n">
        <v>3</v>
      </c>
      <c r="C291" s="61" t="inlineStr">
        <is>
          <t>R6</t>
        </is>
      </c>
      <c r="D291" s="63" t="inlineStr">
        <is>
          <t>OK</t>
        </is>
      </c>
      <c r="E291" s="61" t="inlineStr">
        <is>
          <t>NONE</t>
        </is>
      </c>
      <c r="F291" s="61" t="inlineStr">
        <is>
          <t>K041</t>
        </is>
      </c>
      <c r="G291" s="75" t="n">
        <v>8.609999999999999</v>
      </c>
      <c r="H291" s="65" t="n"/>
      <c r="I291" s="66" t="n"/>
      <c r="J291" s="67">
        <f>VLOOKUP(C291,Recipes!$A$2:$N$4,10,FALSE())</f>
        <v/>
      </c>
      <c r="K291" s="68">
        <f>VLOOKUP(C291,Recipes!$A$2:$N$4,12,FALSE())</f>
        <v/>
      </c>
      <c r="L291" s="67">
        <f>J291-3.5*K291</f>
        <v/>
      </c>
      <c r="M291" s="67">
        <f>J291+3.5*K291</f>
        <v/>
      </c>
      <c r="N291" s="61">
        <f>IF(G291="","",IF(AND(G291&gt;=L291,G291&lt;=M291),"OK","NG"))</f>
        <v/>
      </c>
      <c r="O291" s="69">
        <f>IF(N291="","",IF(N291=D291,1,0))</f>
        <v/>
      </c>
      <c r="P291" s="67">
        <f>IF(G291="","",J291-G291)</f>
        <v/>
      </c>
      <c r="Q291" s="67">
        <f>IF(G291="","",ABS(P291-Components!$D$2))</f>
        <v/>
      </c>
      <c r="R291" s="67">
        <f>IF(G291="","",ABS(P291-Components!$D$3))</f>
        <v/>
      </c>
      <c r="S291" s="67">
        <f>IF(G291="","",ABS(P291-Components!$D$4))</f>
        <v/>
      </c>
      <c r="T291" s="67">
        <f>IF(G291="","",ABS(P291-Components!$D$5))</f>
        <v/>
      </c>
      <c r="U291" s="67">
        <f>IF(G291="","",ABS(P291-Components!$D$6))</f>
        <v/>
      </c>
      <c r="V291" s="67">
        <f>IF(G291="","",ABS(P291-Components!$D$7))</f>
        <v/>
      </c>
      <c r="W291" s="61">
        <f>IF(G291="","",IF(N291="OK","NONE",INDEX({"S1","S2","W1","W2","N1","N2"},MATCH(MIN(Q291:V291),Q291:V291,0))))</f>
        <v/>
      </c>
      <c r="X291" s="69">
        <f>IF(G291="","",IF(W291=E291,1,0))</f>
        <v/>
      </c>
      <c r="Y291" s="70" t="n"/>
    </row>
    <row r="292">
      <c r="A292" s="61" t="n">
        <v>41</v>
      </c>
      <c r="B292" s="62" t="n">
        <v>3</v>
      </c>
      <c r="C292" s="61" t="inlineStr">
        <is>
          <t>R6</t>
        </is>
      </c>
      <c r="D292" s="63" t="inlineStr">
        <is>
          <t>OK</t>
        </is>
      </c>
      <c r="E292" s="61" t="inlineStr">
        <is>
          <t>NONE</t>
        </is>
      </c>
      <c r="F292" s="61" t="inlineStr">
        <is>
          <t>K041</t>
        </is>
      </c>
      <c r="G292" s="75" t="n">
        <v>8.609999999999999</v>
      </c>
      <c r="H292" s="65" t="n"/>
      <c r="I292" s="66" t="n"/>
      <c r="J292" s="67">
        <f>VLOOKUP(C292,Recipes!$A$2:$N$4,10,FALSE())</f>
        <v/>
      </c>
      <c r="K292" s="68">
        <f>VLOOKUP(C292,Recipes!$A$2:$N$4,12,FALSE())</f>
        <v/>
      </c>
      <c r="L292" s="67">
        <f>J292-3.5*K292</f>
        <v/>
      </c>
      <c r="M292" s="67">
        <f>J292+3.5*K292</f>
        <v/>
      </c>
      <c r="N292" s="61">
        <f>IF(G292="","",IF(AND(G292&gt;=L292,G292&lt;=M292),"OK","NG"))</f>
        <v/>
      </c>
      <c r="O292" s="69">
        <f>IF(N292="","",IF(N292=D292,1,0))</f>
        <v/>
      </c>
      <c r="P292" s="67">
        <f>IF(G292="","",J292-G292)</f>
        <v/>
      </c>
      <c r="Q292" s="67">
        <f>IF(G292="","",ABS(P292-Components!$D$2))</f>
        <v/>
      </c>
      <c r="R292" s="67">
        <f>IF(G292="","",ABS(P292-Components!$D$3))</f>
        <v/>
      </c>
      <c r="S292" s="67">
        <f>IF(G292="","",ABS(P292-Components!$D$4))</f>
        <v/>
      </c>
      <c r="T292" s="67">
        <f>IF(G292="","",ABS(P292-Components!$D$5))</f>
        <v/>
      </c>
      <c r="U292" s="67">
        <f>IF(G292="","",ABS(P292-Components!$D$6))</f>
        <v/>
      </c>
      <c r="V292" s="67">
        <f>IF(G292="","",ABS(P292-Components!$D$7))</f>
        <v/>
      </c>
      <c r="W292" s="61">
        <f>IF(G292="","",IF(N292="OK","NONE",INDEX({"S1","S2","W1","W2","N1","N2"},MATCH(MIN(Q292:V292),Q292:V292,0))))</f>
        <v/>
      </c>
      <c r="X292" s="69">
        <f>IF(G292="","",IF(W292=E292,1,0))</f>
        <v/>
      </c>
      <c r="Y292" s="70" t="n"/>
    </row>
    <row r="293">
      <c r="A293" s="61" t="n">
        <v>41</v>
      </c>
      <c r="B293" s="62" t="n">
        <v>3</v>
      </c>
      <c r="C293" s="61" t="inlineStr">
        <is>
          <t>R6</t>
        </is>
      </c>
      <c r="D293" s="63" t="inlineStr">
        <is>
          <t>OK</t>
        </is>
      </c>
      <c r="E293" s="61" t="inlineStr">
        <is>
          <t>NONE</t>
        </is>
      </c>
      <c r="F293" s="61" t="inlineStr">
        <is>
          <t>K041</t>
        </is>
      </c>
      <c r="G293" s="75" t="n">
        <v>8.539999999999999</v>
      </c>
      <c r="H293" s="65" t="n"/>
      <c r="I293" s="66" t="n"/>
      <c r="J293" s="67">
        <f>VLOOKUP(C293,Recipes!$A$2:$N$4,10,FALSE())</f>
        <v/>
      </c>
      <c r="K293" s="68">
        <f>VLOOKUP(C293,Recipes!$A$2:$N$4,12,FALSE())</f>
        <v/>
      </c>
      <c r="L293" s="67">
        <f>J293-3.5*K293</f>
        <v/>
      </c>
      <c r="M293" s="67">
        <f>J293+3.5*K293</f>
        <v/>
      </c>
      <c r="N293" s="61">
        <f>IF(G293="","",IF(AND(G293&gt;=L293,G293&lt;=M293),"OK","NG"))</f>
        <v/>
      </c>
      <c r="O293" s="69">
        <f>IF(N293="","",IF(N293=D293,1,0))</f>
        <v/>
      </c>
      <c r="P293" s="67">
        <f>IF(G293="","",J293-G293)</f>
        <v/>
      </c>
      <c r="Q293" s="67">
        <f>IF(G293="","",ABS(P293-Components!$D$2))</f>
        <v/>
      </c>
      <c r="R293" s="67">
        <f>IF(G293="","",ABS(P293-Components!$D$3))</f>
        <v/>
      </c>
      <c r="S293" s="67">
        <f>IF(G293="","",ABS(P293-Components!$D$4))</f>
        <v/>
      </c>
      <c r="T293" s="67">
        <f>IF(G293="","",ABS(P293-Components!$D$5))</f>
        <v/>
      </c>
      <c r="U293" s="67">
        <f>IF(G293="","",ABS(P293-Components!$D$6))</f>
        <v/>
      </c>
      <c r="V293" s="67">
        <f>IF(G293="","",ABS(P293-Components!$D$7))</f>
        <v/>
      </c>
      <c r="W293" s="61">
        <f>IF(G293="","",IF(N293="OK","NONE",INDEX({"S1","S2","W1","W2","N1","N2"},MATCH(MIN(Q293:V293),Q293:V293,0))))</f>
        <v/>
      </c>
      <c r="X293" s="69">
        <f>IF(G293="","",IF(W293=E293,1,0))</f>
        <v/>
      </c>
      <c r="Y293" s="70" t="n"/>
    </row>
    <row r="294">
      <c r="A294" s="61" t="n">
        <v>41</v>
      </c>
      <c r="B294" s="62" t="n">
        <v>3</v>
      </c>
      <c r="C294" s="61" t="inlineStr">
        <is>
          <t>R6</t>
        </is>
      </c>
      <c r="D294" s="63" t="inlineStr">
        <is>
          <t>OK</t>
        </is>
      </c>
      <c r="E294" s="61" t="inlineStr">
        <is>
          <t>NONE</t>
        </is>
      </c>
      <c r="F294" s="61" t="inlineStr">
        <is>
          <t>K041</t>
        </is>
      </c>
      <c r="G294" s="75" t="n">
        <v>8.59</v>
      </c>
      <c r="H294" s="65" t="n"/>
      <c r="I294" s="66" t="n"/>
      <c r="J294" s="67">
        <f>VLOOKUP(C294,Recipes!$A$2:$N$4,10,FALSE())</f>
        <v/>
      </c>
      <c r="K294" s="68">
        <f>VLOOKUP(C294,Recipes!$A$2:$N$4,12,FALSE())</f>
        <v/>
      </c>
      <c r="L294" s="67">
        <f>J294-3.5*K294</f>
        <v/>
      </c>
      <c r="M294" s="67">
        <f>J294+3.5*K294</f>
        <v/>
      </c>
      <c r="N294" s="61">
        <f>IF(G294="","",IF(AND(G294&gt;=L294,G294&lt;=M294),"OK","NG"))</f>
        <v/>
      </c>
      <c r="O294" s="69">
        <f>IF(N294="","",IF(N294=D294,1,0))</f>
        <v/>
      </c>
      <c r="P294" s="67">
        <f>IF(G294="","",J294-G294)</f>
        <v/>
      </c>
      <c r="Q294" s="67">
        <f>IF(G294="","",ABS(P294-Components!$D$2))</f>
        <v/>
      </c>
      <c r="R294" s="67">
        <f>IF(G294="","",ABS(P294-Components!$D$3))</f>
        <v/>
      </c>
      <c r="S294" s="67">
        <f>IF(G294="","",ABS(P294-Components!$D$4))</f>
        <v/>
      </c>
      <c r="T294" s="67">
        <f>IF(G294="","",ABS(P294-Components!$D$5))</f>
        <v/>
      </c>
      <c r="U294" s="67">
        <f>IF(G294="","",ABS(P294-Components!$D$6))</f>
        <v/>
      </c>
      <c r="V294" s="67">
        <f>IF(G294="","",ABS(P294-Components!$D$7))</f>
        <v/>
      </c>
      <c r="W294" s="61">
        <f>IF(G294="","",IF(N294="OK","NONE",INDEX({"S1","S2","W1","W2","N1","N2"},MATCH(MIN(Q294:V294),Q294:V294,0))))</f>
        <v/>
      </c>
      <c r="X294" s="69">
        <f>IF(G294="","",IF(W294=E294,1,0))</f>
        <v/>
      </c>
      <c r="Y294" s="70" t="n"/>
    </row>
    <row r="295">
      <c r="A295" s="61" t="n">
        <v>41</v>
      </c>
      <c r="B295" s="62" t="n">
        <v>3</v>
      </c>
      <c r="C295" s="61" t="inlineStr">
        <is>
          <t>R6</t>
        </is>
      </c>
      <c r="D295" s="63" t="inlineStr">
        <is>
          <t>OK</t>
        </is>
      </c>
      <c r="E295" s="61" t="inlineStr">
        <is>
          <t>NONE</t>
        </is>
      </c>
      <c r="F295" s="61" t="inlineStr">
        <is>
          <t>K041</t>
        </is>
      </c>
      <c r="G295" s="75" t="n">
        <v>8.640000000000001</v>
      </c>
      <c r="H295" s="65" t="n"/>
      <c r="I295" s="66" t="n"/>
      <c r="J295" s="67">
        <f>VLOOKUP(C295,Recipes!$A$2:$N$4,10,FALSE())</f>
        <v/>
      </c>
      <c r="K295" s="68">
        <f>VLOOKUP(C295,Recipes!$A$2:$N$4,12,FALSE())</f>
        <v/>
      </c>
      <c r="L295" s="67">
        <f>J295-3.5*K295</f>
        <v/>
      </c>
      <c r="M295" s="67">
        <f>J295+3.5*K295</f>
        <v/>
      </c>
      <c r="N295" s="61">
        <f>IF(G295="","",IF(AND(G295&gt;=L295,G295&lt;=M295),"OK","NG"))</f>
        <v/>
      </c>
      <c r="O295" s="69">
        <f>IF(N295="","",IF(N295=D295,1,0))</f>
        <v/>
      </c>
      <c r="P295" s="67">
        <f>IF(G295="","",J295-G295)</f>
        <v/>
      </c>
      <c r="Q295" s="67">
        <f>IF(G295="","",ABS(P295-Components!$D$2))</f>
        <v/>
      </c>
      <c r="R295" s="67">
        <f>IF(G295="","",ABS(P295-Components!$D$3))</f>
        <v/>
      </c>
      <c r="S295" s="67">
        <f>IF(G295="","",ABS(P295-Components!$D$4))</f>
        <v/>
      </c>
      <c r="T295" s="67">
        <f>IF(G295="","",ABS(P295-Components!$D$5))</f>
        <v/>
      </c>
      <c r="U295" s="67">
        <f>IF(G295="","",ABS(P295-Components!$D$6))</f>
        <v/>
      </c>
      <c r="V295" s="67">
        <f>IF(G295="","",ABS(P295-Components!$D$7))</f>
        <v/>
      </c>
      <c r="W295" s="61">
        <f>IF(G295="","",IF(N295="OK","NONE",INDEX({"S1","S2","W1","W2","N1","N2"},MATCH(MIN(Q295:V295),Q295:V295,0))))</f>
        <v/>
      </c>
      <c r="X295" s="69">
        <f>IF(G295="","",IF(W295=E295,1,0))</f>
        <v/>
      </c>
      <c r="Y295" s="70" t="n"/>
    </row>
    <row r="296">
      <c r="A296" s="61" t="n">
        <v>41</v>
      </c>
      <c r="B296" s="62" t="n">
        <v>3</v>
      </c>
      <c r="C296" s="61" t="inlineStr">
        <is>
          <t>R6</t>
        </is>
      </c>
      <c r="D296" s="63" t="inlineStr">
        <is>
          <t>OK</t>
        </is>
      </c>
      <c r="E296" s="61" t="inlineStr">
        <is>
          <t>NONE</t>
        </is>
      </c>
      <c r="F296" s="61" t="inlineStr">
        <is>
          <t>K041</t>
        </is>
      </c>
      <c r="G296" s="75" t="n">
        <v>8.640000000000001</v>
      </c>
      <c r="H296" s="65" t="n"/>
      <c r="I296" s="66" t="n"/>
      <c r="J296" s="67">
        <f>VLOOKUP(C296,Recipes!$A$2:$N$4,10,FALSE())</f>
        <v/>
      </c>
      <c r="K296" s="68">
        <f>VLOOKUP(C296,Recipes!$A$2:$N$4,12,FALSE())</f>
        <v/>
      </c>
      <c r="L296" s="67">
        <f>J296-3.5*K296</f>
        <v/>
      </c>
      <c r="M296" s="67">
        <f>J296+3.5*K296</f>
        <v/>
      </c>
      <c r="N296" s="61">
        <f>IF(G296="","",IF(AND(G296&gt;=L296,G296&lt;=M296),"OK","NG"))</f>
        <v/>
      </c>
      <c r="O296" s="69">
        <f>IF(N296="","",IF(N296=D296,1,0))</f>
        <v/>
      </c>
      <c r="P296" s="67">
        <f>IF(G296="","",J296-G296)</f>
        <v/>
      </c>
      <c r="Q296" s="67">
        <f>IF(G296="","",ABS(P296-Components!$D$2))</f>
        <v/>
      </c>
      <c r="R296" s="67">
        <f>IF(G296="","",ABS(P296-Components!$D$3))</f>
        <v/>
      </c>
      <c r="S296" s="67">
        <f>IF(G296="","",ABS(P296-Components!$D$4))</f>
        <v/>
      </c>
      <c r="T296" s="67">
        <f>IF(G296="","",ABS(P296-Components!$D$5))</f>
        <v/>
      </c>
      <c r="U296" s="67">
        <f>IF(G296="","",ABS(P296-Components!$D$6))</f>
        <v/>
      </c>
      <c r="V296" s="67">
        <f>IF(G296="","",ABS(P296-Components!$D$7))</f>
        <v/>
      </c>
      <c r="W296" s="61">
        <f>IF(G296="","",IF(N296="OK","NONE",INDEX({"S1","S2","W1","W2","N1","N2"},MATCH(MIN(Q296:V296),Q296:V296,0))))</f>
        <v/>
      </c>
      <c r="X296" s="69">
        <f>IF(G296="","",IF(W296=E296,1,0))</f>
        <v/>
      </c>
      <c r="Y296" s="70" t="n"/>
    </row>
    <row r="297">
      <c r="A297" s="61" t="n">
        <v>41</v>
      </c>
      <c r="B297" s="62" t="n">
        <v>3</v>
      </c>
      <c r="C297" s="61" t="inlineStr">
        <is>
          <t>R6</t>
        </is>
      </c>
      <c r="D297" s="63" t="inlineStr">
        <is>
          <t>OK</t>
        </is>
      </c>
      <c r="E297" s="61" t="inlineStr">
        <is>
          <t>NONE</t>
        </is>
      </c>
      <c r="F297" s="61" t="inlineStr">
        <is>
          <t>K041</t>
        </is>
      </c>
      <c r="G297" s="75" t="n">
        <v>8.68</v>
      </c>
      <c r="H297" s="65" t="n"/>
      <c r="I297" s="66" t="n"/>
      <c r="J297" s="67">
        <f>VLOOKUP(C297,Recipes!$A$2:$N$4,10,FALSE())</f>
        <v/>
      </c>
      <c r="K297" s="68">
        <f>VLOOKUP(C297,Recipes!$A$2:$N$4,12,FALSE())</f>
        <v/>
      </c>
      <c r="L297" s="67">
        <f>J297-3.5*K297</f>
        <v/>
      </c>
      <c r="M297" s="67">
        <f>J297+3.5*K297</f>
        <v/>
      </c>
      <c r="N297" s="61">
        <f>IF(G297="","",IF(AND(G297&gt;=L297,G297&lt;=M297),"OK","NG"))</f>
        <v/>
      </c>
      <c r="O297" s="69">
        <f>IF(N297="","",IF(N297=D297,1,0))</f>
        <v/>
      </c>
      <c r="P297" s="67">
        <f>IF(G297="","",J297-G297)</f>
        <v/>
      </c>
      <c r="Q297" s="67">
        <f>IF(G297="","",ABS(P297-Components!$D$2))</f>
        <v/>
      </c>
      <c r="R297" s="67">
        <f>IF(G297="","",ABS(P297-Components!$D$3))</f>
        <v/>
      </c>
      <c r="S297" s="67">
        <f>IF(G297="","",ABS(P297-Components!$D$4))</f>
        <v/>
      </c>
      <c r="T297" s="67">
        <f>IF(G297="","",ABS(P297-Components!$D$5))</f>
        <v/>
      </c>
      <c r="U297" s="67">
        <f>IF(G297="","",ABS(P297-Components!$D$6))</f>
        <v/>
      </c>
      <c r="V297" s="67">
        <f>IF(G297="","",ABS(P297-Components!$D$7))</f>
        <v/>
      </c>
      <c r="W297" s="61">
        <f>IF(G297="","",IF(N297="OK","NONE",INDEX({"S1","S2","W1","W2","N1","N2"},MATCH(MIN(Q297:V297),Q297:V297,0))))</f>
        <v/>
      </c>
      <c r="X297" s="69">
        <f>IF(G297="","",IF(W297=E297,1,0))</f>
        <v/>
      </c>
      <c r="Y297" s="70" t="n"/>
    </row>
    <row r="298">
      <c r="A298" s="61" t="n">
        <v>41</v>
      </c>
      <c r="B298" s="62" t="n">
        <v>3</v>
      </c>
      <c r="C298" s="61" t="inlineStr">
        <is>
          <t>R6</t>
        </is>
      </c>
      <c r="D298" s="63" t="inlineStr">
        <is>
          <t>OK</t>
        </is>
      </c>
      <c r="E298" s="61" t="inlineStr">
        <is>
          <t>NONE</t>
        </is>
      </c>
      <c r="F298" s="61" t="inlineStr">
        <is>
          <t>K041</t>
        </is>
      </c>
      <c r="G298" s="75" t="n">
        <v>8.66</v>
      </c>
      <c r="H298" s="65" t="n"/>
      <c r="I298" s="66" t="n"/>
      <c r="J298" s="67">
        <f>VLOOKUP(C298,Recipes!$A$2:$N$4,10,FALSE())</f>
        <v/>
      </c>
      <c r="K298" s="68">
        <f>VLOOKUP(C298,Recipes!$A$2:$N$4,12,FALSE())</f>
        <v/>
      </c>
      <c r="L298" s="67">
        <f>J298-3.5*K298</f>
        <v/>
      </c>
      <c r="M298" s="67">
        <f>J298+3.5*K298</f>
        <v/>
      </c>
      <c r="N298" s="61">
        <f>IF(G298="","",IF(AND(G298&gt;=L298,G298&lt;=M298),"OK","NG"))</f>
        <v/>
      </c>
      <c r="O298" s="69">
        <f>IF(N298="","",IF(N298=D298,1,0))</f>
        <v/>
      </c>
      <c r="P298" s="67">
        <f>IF(G298="","",J298-G298)</f>
        <v/>
      </c>
      <c r="Q298" s="67">
        <f>IF(G298="","",ABS(P298-Components!$D$2))</f>
        <v/>
      </c>
      <c r="R298" s="67">
        <f>IF(G298="","",ABS(P298-Components!$D$3))</f>
        <v/>
      </c>
      <c r="S298" s="67">
        <f>IF(G298="","",ABS(P298-Components!$D$4))</f>
        <v/>
      </c>
      <c r="T298" s="67">
        <f>IF(G298="","",ABS(P298-Components!$D$5))</f>
        <v/>
      </c>
      <c r="U298" s="67">
        <f>IF(G298="","",ABS(P298-Components!$D$6))</f>
        <v/>
      </c>
      <c r="V298" s="67">
        <f>IF(G298="","",ABS(P298-Components!$D$7))</f>
        <v/>
      </c>
      <c r="W298" s="61">
        <f>IF(G298="","",IF(N298="OK","NONE",INDEX({"S1","S2","W1","W2","N1","N2"},MATCH(MIN(Q298:V298),Q298:V298,0))))</f>
        <v/>
      </c>
      <c r="X298" s="69">
        <f>IF(G298="","",IF(W298=E298,1,0))</f>
        <v/>
      </c>
      <c r="Y298" s="70" t="n"/>
    </row>
    <row r="299">
      <c r="A299" s="61" t="n">
        <v>41</v>
      </c>
      <c r="B299" s="62" t="n">
        <v>3</v>
      </c>
      <c r="C299" s="61" t="inlineStr">
        <is>
          <t>R6</t>
        </is>
      </c>
      <c r="D299" s="63" t="inlineStr">
        <is>
          <t>OK</t>
        </is>
      </c>
      <c r="E299" s="61" t="inlineStr">
        <is>
          <t>NONE</t>
        </is>
      </c>
      <c r="F299" s="61" t="inlineStr">
        <is>
          <t>K041</t>
        </is>
      </c>
      <c r="G299" s="75" t="n">
        <v>8.58</v>
      </c>
      <c r="H299" s="65" t="n"/>
      <c r="I299" s="66" t="n"/>
      <c r="J299" s="67">
        <f>VLOOKUP(C299,Recipes!$A$2:$N$4,10,FALSE())</f>
        <v/>
      </c>
      <c r="K299" s="68">
        <f>VLOOKUP(C299,Recipes!$A$2:$N$4,12,FALSE())</f>
        <v/>
      </c>
      <c r="L299" s="67">
        <f>J299-3.5*K299</f>
        <v/>
      </c>
      <c r="M299" s="67">
        <f>J299+3.5*K299</f>
        <v/>
      </c>
      <c r="N299" s="61">
        <f>IF(G299="","",IF(AND(G299&gt;=L299,G299&lt;=M299),"OK","NG"))</f>
        <v/>
      </c>
      <c r="O299" s="69">
        <f>IF(N299="","",IF(N299=D299,1,0))</f>
        <v/>
      </c>
      <c r="P299" s="67">
        <f>IF(G299="","",J299-G299)</f>
        <v/>
      </c>
      <c r="Q299" s="67">
        <f>IF(G299="","",ABS(P299-Components!$D$2))</f>
        <v/>
      </c>
      <c r="R299" s="67">
        <f>IF(G299="","",ABS(P299-Components!$D$3))</f>
        <v/>
      </c>
      <c r="S299" s="67">
        <f>IF(G299="","",ABS(P299-Components!$D$4))</f>
        <v/>
      </c>
      <c r="T299" s="67">
        <f>IF(G299="","",ABS(P299-Components!$D$5))</f>
        <v/>
      </c>
      <c r="U299" s="67">
        <f>IF(G299="","",ABS(P299-Components!$D$6))</f>
        <v/>
      </c>
      <c r="V299" s="67">
        <f>IF(G299="","",ABS(P299-Components!$D$7))</f>
        <v/>
      </c>
      <c r="W299" s="61">
        <f>IF(G299="","",IF(N299="OK","NONE",INDEX({"S1","S2","W1","W2","N1","N2"},MATCH(MIN(Q299:V299),Q299:V299,0))))</f>
        <v/>
      </c>
      <c r="X299" s="69">
        <f>IF(G299="","",IF(W299=E299,1,0))</f>
        <v/>
      </c>
      <c r="Y299" s="70" t="n"/>
    </row>
    <row r="300">
      <c r="A300" s="61" t="n">
        <v>43</v>
      </c>
      <c r="B300" s="62" t="n">
        <v>38</v>
      </c>
      <c r="C300" s="61" t="inlineStr">
        <is>
          <t>R6</t>
        </is>
      </c>
      <c r="D300" s="63" t="inlineStr">
        <is>
          <t>OK</t>
        </is>
      </c>
      <c r="E300" s="61" t="inlineStr">
        <is>
          <t>NONE</t>
        </is>
      </c>
      <c r="F300" s="61" t="inlineStr">
        <is>
          <t>K043</t>
        </is>
      </c>
      <c r="G300" s="64" t="n">
        <v>8.630000000000001</v>
      </c>
      <c r="H300" s="65" t="n"/>
      <c r="I300" s="66" t="n"/>
      <c r="J300" s="67">
        <f>VLOOKUP(C300,Recipes!$A$2:$N$4,10,FALSE())</f>
        <v/>
      </c>
      <c r="K300" s="68">
        <f>VLOOKUP(C300,Recipes!$A$2:$N$4,12,FALSE())</f>
        <v/>
      </c>
      <c r="L300" s="67">
        <f>J300-3.5*K300</f>
        <v/>
      </c>
      <c r="M300" s="67">
        <f>J300+3.5*K300</f>
        <v/>
      </c>
      <c r="N300" s="61">
        <f>IF(G300="","",IF(AND(G300&gt;=L300,G300&lt;=M300),"OK","NG"))</f>
        <v/>
      </c>
      <c r="O300" s="69">
        <f>IF(N300="","",IF(N300=D300,1,0))</f>
        <v/>
      </c>
      <c r="P300" s="67">
        <f>IF(G300="","",J300-G300)</f>
        <v/>
      </c>
      <c r="Q300" s="67">
        <f>IF(G300="","",ABS(P300-Components!$D$2))</f>
        <v/>
      </c>
      <c r="R300" s="67">
        <f>IF(G300="","",ABS(P300-Components!$D$3))</f>
        <v/>
      </c>
      <c r="S300" s="67">
        <f>IF(G300="","",ABS(P300-Components!$D$4))</f>
        <v/>
      </c>
      <c r="T300" s="67">
        <f>IF(G300="","",ABS(P300-Components!$D$5))</f>
        <v/>
      </c>
      <c r="U300" s="67">
        <f>IF(G300="","",ABS(P300-Components!$D$6))</f>
        <v/>
      </c>
      <c r="V300" s="67">
        <f>IF(G300="","",ABS(P300-Components!$D$7))</f>
        <v/>
      </c>
      <c r="W300" s="61">
        <f>IF(G300="","",IF(N300="OK","NONE",INDEX({"S1","S2","W1","W2","N1","N2"},MATCH(MIN(Q300:V300),Q300:V300,0))))</f>
        <v/>
      </c>
      <c r="X300" s="69">
        <f>IF(G300="","",IF(W300=E300,1,0))</f>
        <v/>
      </c>
      <c r="Y300" s="70" t="n"/>
    </row>
    <row r="301">
      <c r="A301" s="79" t="n"/>
      <c r="B301" s="80" t="n"/>
      <c r="C301" s="76" t="inlineStr">
        <is>
          <t>R6</t>
        </is>
      </c>
      <c r="D301" s="77" t="inlineStr">
        <is>
          <t>OK</t>
        </is>
      </c>
      <c r="E301" s="76" t="inlineStr">
        <is>
          <t>NONE</t>
        </is>
      </c>
      <c r="F301" s="81" t="n"/>
      <c r="G301" s="75" t="n">
        <v>8.619999999999999</v>
      </c>
      <c r="H301" s="65" t="n"/>
      <c r="I301" s="66" t="n"/>
      <c r="J301" s="67">
        <f>VLOOKUP(C301,Recipes!$A$2:$N$4,10,FALSE())</f>
        <v/>
      </c>
      <c r="K301" s="68">
        <f>VLOOKUP(C301,Recipes!$A$2:$N$4,12,FALSE())</f>
        <v/>
      </c>
      <c r="L301" s="67">
        <f>J301-3.5*K301</f>
        <v/>
      </c>
      <c r="M301" s="67">
        <f>J301+3.5*K301</f>
        <v/>
      </c>
      <c r="N301" s="61">
        <f>IF(G301="","",IF(AND(G301&gt;=L301,G301&lt;=M301),"OK","NG"))</f>
        <v/>
      </c>
      <c r="O301" s="69">
        <f>IF(N301="","",IF(N301=D301,1,0))</f>
        <v/>
      </c>
      <c r="P301" s="67">
        <f>IF(G301="","",J301-G301)</f>
        <v/>
      </c>
      <c r="Q301" s="67">
        <f>IF(G301="","",ABS(P301-Components!$D$2))</f>
        <v/>
      </c>
      <c r="R301" s="67">
        <f>IF(G301="","",ABS(P301-Components!$D$3))</f>
        <v/>
      </c>
      <c r="S301" s="67">
        <f>IF(G301="","",ABS(P301-Components!$D$4))</f>
        <v/>
      </c>
      <c r="T301" s="67">
        <f>IF(G301="","",ABS(P301-Components!$D$5))</f>
        <v/>
      </c>
      <c r="U301" s="67">
        <f>IF(G301="","",ABS(P301-Components!$D$6))</f>
        <v/>
      </c>
      <c r="V301" s="67">
        <f>IF(G301="","",ABS(P301-Components!$D$7))</f>
        <v/>
      </c>
      <c r="W301" s="61">
        <f>IF(G301="","",IF(N301="OK","NONE",INDEX({"S1","S2","W1","W2","N1","N2"},MATCH(MIN(Q301:V301),Q301:V301,0))))</f>
        <v/>
      </c>
      <c r="X301" s="69">
        <f>IF(G301="","",IF(W301=E301,1,0))</f>
        <v/>
      </c>
      <c r="Y301" s="70" t="n"/>
    </row>
    <row r="302">
      <c r="A302" s="79" t="n"/>
      <c r="B302" s="80" t="n"/>
      <c r="C302" s="76" t="inlineStr">
        <is>
          <t>R6</t>
        </is>
      </c>
      <c r="D302" s="77" t="inlineStr">
        <is>
          <t>OK</t>
        </is>
      </c>
      <c r="E302" s="76" t="inlineStr">
        <is>
          <t>NONE</t>
        </is>
      </c>
      <c r="F302" s="81" t="n"/>
      <c r="G302" s="75" t="n">
        <v>8.58</v>
      </c>
      <c r="H302" s="65" t="n"/>
      <c r="I302" s="66" t="n"/>
      <c r="J302" s="67">
        <f>VLOOKUP(C302,Recipes!$A$2:$N$4,10,FALSE())</f>
        <v/>
      </c>
      <c r="K302" s="68">
        <f>VLOOKUP(C302,Recipes!$A$2:$N$4,12,FALSE())</f>
        <v/>
      </c>
      <c r="L302" s="67">
        <f>J302-3.5*K302</f>
        <v/>
      </c>
      <c r="M302" s="67">
        <f>J302+3.5*K302</f>
        <v/>
      </c>
      <c r="N302" s="61">
        <f>IF(G302="","",IF(AND(G302&gt;=L302,G302&lt;=M302),"OK","NG"))</f>
        <v/>
      </c>
      <c r="O302" s="69">
        <f>IF(N302="","",IF(N302=D302,1,0))</f>
        <v/>
      </c>
      <c r="P302" s="67">
        <f>IF(G302="","",J302-G302)</f>
        <v/>
      </c>
      <c r="Q302" s="67">
        <f>IF(G302="","",ABS(P302-Components!$D$2))</f>
        <v/>
      </c>
      <c r="R302" s="67">
        <f>IF(G302="","",ABS(P302-Components!$D$3))</f>
        <v/>
      </c>
      <c r="S302" s="67">
        <f>IF(G302="","",ABS(P302-Components!$D$4))</f>
        <v/>
      </c>
      <c r="T302" s="67">
        <f>IF(G302="","",ABS(P302-Components!$D$5))</f>
        <v/>
      </c>
      <c r="U302" s="67">
        <f>IF(G302="","",ABS(P302-Components!$D$6))</f>
        <v/>
      </c>
      <c r="V302" s="67">
        <f>IF(G302="","",ABS(P302-Components!$D$7))</f>
        <v/>
      </c>
      <c r="W302" s="61">
        <f>IF(G302="","",IF(N302="OK","NONE",INDEX({"S1","S2","W1","W2","N1","N2"},MATCH(MIN(Q302:V302),Q302:V302,0))))</f>
        <v/>
      </c>
      <c r="X302" s="69">
        <f>IF(G302="","",IF(W302=E302,1,0))</f>
        <v/>
      </c>
      <c r="Y302" s="70" t="n"/>
    </row>
    <row r="303">
      <c r="A303" s="61" t="n">
        <v>44</v>
      </c>
      <c r="B303" s="62" t="n">
        <v>6</v>
      </c>
      <c r="C303" s="61" t="inlineStr">
        <is>
          <t>R6</t>
        </is>
      </c>
      <c r="D303" s="74" t="inlineStr">
        <is>
          <t>NG</t>
        </is>
      </c>
      <c r="E303" s="61" t="inlineStr">
        <is>
          <t>S1</t>
        </is>
      </c>
      <c r="F303" s="61" t="inlineStr">
        <is>
          <t>K044</t>
        </is>
      </c>
      <c r="G303" s="64" t="n">
        <v>5.89</v>
      </c>
      <c r="H303" s="65" t="n"/>
      <c r="I303" s="66" t="n"/>
      <c r="J303" s="67">
        <f>VLOOKUP(C303,Recipes!$A$2:$N$4,10,FALSE())</f>
        <v/>
      </c>
      <c r="K303" s="68">
        <f>VLOOKUP(C303,Recipes!$A$2:$N$4,12,FALSE())</f>
        <v/>
      </c>
      <c r="L303" s="67">
        <f>J303-3.5*K303</f>
        <v/>
      </c>
      <c r="M303" s="67">
        <f>J303+3.5*K303</f>
        <v/>
      </c>
      <c r="N303" s="61">
        <f>IF(G303="","",IF(AND(G303&gt;=L303,G303&lt;=M303),"OK","NG"))</f>
        <v/>
      </c>
      <c r="O303" s="69">
        <f>IF(N303="","",IF(N303=D303,1,0))</f>
        <v/>
      </c>
      <c r="P303" s="67">
        <f>IF(G303="","",J303-G303)</f>
        <v/>
      </c>
      <c r="Q303" s="67">
        <f>IF(G303="","",ABS(P303-Components!$D$2))</f>
        <v/>
      </c>
      <c r="R303" s="67">
        <f>IF(G303="","",ABS(P303-Components!$D$3))</f>
        <v/>
      </c>
      <c r="S303" s="67">
        <f>IF(G303="","",ABS(P303-Components!$D$4))</f>
        <v/>
      </c>
      <c r="T303" s="67">
        <f>IF(G303="","",ABS(P303-Components!$D$5))</f>
        <v/>
      </c>
      <c r="U303" s="67">
        <f>IF(G303="","",ABS(P303-Components!$D$6))</f>
        <v/>
      </c>
      <c r="V303" s="67">
        <f>IF(G303="","",ABS(P303-Components!$D$7))</f>
        <v/>
      </c>
      <c r="W303" s="61">
        <f>IF(G303="","",IF(N303="OK","NONE",INDEX({"S1","S2","W1","W2","N1","N2"},MATCH(MIN(Q303:V303),Q303:V303,0))))</f>
        <v/>
      </c>
      <c r="X303" s="69">
        <f>IF(G303="","",IF(W303=E303,1,0))</f>
        <v/>
      </c>
      <c r="Y303" s="70" t="n"/>
    </row>
    <row r="304">
      <c r="A304" s="61" t="n">
        <v>44</v>
      </c>
      <c r="B304" s="62" t="n">
        <v>6</v>
      </c>
      <c r="C304" s="61" t="inlineStr">
        <is>
          <t>R6</t>
        </is>
      </c>
      <c r="D304" s="74" t="inlineStr">
        <is>
          <t>NG</t>
        </is>
      </c>
      <c r="E304" s="61" t="inlineStr">
        <is>
          <t>S1</t>
        </is>
      </c>
      <c r="F304" s="61" t="inlineStr">
        <is>
          <t>K044</t>
        </is>
      </c>
      <c r="G304" s="64" t="n">
        <v>5.89</v>
      </c>
      <c r="H304" s="65" t="n"/>
      <c r="I304" s="66" t="n"/>
      <c r="J304" s="67">
        <f>VLOOKUP(C304,Recipes!$A$2:$N$4,10,FALSE())</f>
        <v/>
      </c>
      <c r="K304" s="68">
        <f>VLOOKUP(C304,Recipes!$A$2:$N$4,12,FALSE())</f>
        <v/>
      </c>
      <c r="L304" s="67">
        <f>J304-3.5*K304</f>
        <v/>
      </c>
      <c r="M304" s="67">
        <f>J304+3.5*K304</f>
        <v/>
      </c>
      <c r="N304" s="61">
        <f>IF(G304="","",IF(AND(G304&gt;=L304,G304&lt;=M304),"OK","NG"))</f>
        <v/>
      </c>
      <c r="O304" s="69">
        <f>IF(N304="","",IF(N304=D304,1,0))</f>
        <v/>
      </c>
      <c r="P304" s="67">
        <f>IF(G304="","",J304-G304)</f>
        <v/>
      </c>
      <c r="Q304" s="67">
        <f>IF(G304="","",ABS(P304-Components!$D$2))</f>
        <v/>
      </c>
      <c r="R304" s="67">
        <f>IF(G304="","",ABS(P304-Components!$D$3))</f>
        <v/>
      </c>
      <c r="S304" s="67">
        <f>IF(G304="","",ABS(P304-Components!$D$4))</f>
        <v/>
      </c>
      <c r="T304" s="67">
        <f>IF(G304="","",ABS(P304-Components!$D$5))</f>
        <v/>
      </c>
      <c r="U304" s="67">
        <f>IF(G304="","",ABS(P304-Components!$D$6))</f>
        <v/>
      </c>
      <c r="V304" s="67">
        <f>IF(G304="","",ABS(P304-Components!$D$7))</f>
        <v/>
      </c>
      <c r="W304" s="61">
        <f>IF(G304="","",IF(N304="OK","NONE",INDEX({"S1","S2","W1","W2","N1","N2"},MATCH(MIN(Q304:V304),Q304:V304,0))))</f>
        <v/>
      </c>
      <c r="X304" s="69">
        <f>IF(G304="","",IF(W304=E304,1,0))</f>
        <v/>
      </c>
      <c r="Y304" s="70" t="n"/>
    </row>
    <row r="305">
      <c r="A305" s="61" t="n">
        <v>44</v>
      </c>
      <c r="B305" s="62" t="n">
        <v>6</v>
      </c>
      <c r="C305" s="61" t="inlineStr">
        <is>
          <t>R6</t>
        </is>
      </c>
      <c r="D305" s="74" t="inlineStr">
        <is>
          <t>NG</t>
        </is>
      </c>
      <c r="E305" s="61" t="inlineStr">
        <is>
          <t>S1</t>
        </is>
      </c>
      <c r="F305" s="61" t="inlineStr">
        <is>
          <t>K044</t>
        </is>
      </c>
      <c r="G305" s="75" t="n">
        <v>5.9</v>
      </c>
      <c r="H305" s="65" t="n"/>
      <c r="I305" s="66" t="n"/>
      <c r="J305" s="67">
        <f>VLOOKUP(C305,Recipes!$A$2:$N$4,10,FALSE())</f>
        <v/>
      </c>
      <c r="K305" s="68">
        <f>VLOOKUP(C305,Recipes!$A$2:$N$4,12,FALSE())</f>
        <v/>
      </c>
      <c r="L305" s="67">
        <f>J305-3.5*K305</f>
        <v/>
      </c>
      <c r="M305" s="67">
        <f>J305+3.5*K305</f>
        <v/>
      </c>
      <c r="N305" s="61">
        <f>IF(G305="","",IF(AND(G305&gt;=L305,G305&lt;=M305),"OK","NG"))</f>
        <v/>
      </c>
      <c r="O305" s="69">
        <f>IF(N305="","",IF(N305=D305,1,0))</f>
        <v/>
      </c>
      <c r="P305" s="67">
        <f>IF(G305="","",J305-G305)</f>
        <v/>
      </c>
      <c r="Q305" s="67">
        <f>IF(G305="","",ABS(P305-Components!$D$2))</f>
        <v/>
      </c>
      <c r="R305" s="67">
        <f>IF(G305="","",ABS(P305-Components!$D$3))</f>
        <v/>
      </c>
      <c r="S305" s="67">
        <f>IF(G305="","",ABS(P305-Components!$D$4))</f>
        <v/>
      </c>
      <c r="T305" s="67">
        <f>IF(G305="","",ABS(P305-Components!$D$5))</f>
        <v/>
      </c>
      <c r="U305" s="67">
        <f>IF(G305="","",ABS(P305-Components!$D$6))</f>
        <v/>
      </c>
      <c r="V305" s="67">
        <f>IF(G305="","",ABS(P305-Components!$D$7))</f>
        <v/>
      </c>
      <c r="W305" s="61">
        <f>IF(G305="","",IF(N305="OK","NONE",INDEX({"S1","S2","W1","W2","N1","N2"},MATCH(MIN(Q305:V305),Q305:V305,0))))</f>
        <v/>
      </c>
      <c r="X305" s="69">
        <f>IF(G305="","",IF(W305=E305,1,0))</f>
        <v/>
      </c>
      <c r="Y305" s="70" t="n"/>
    </row>
    <row r="306">
      <c r="A306" s="61" t="n">
        <v>44</v>
      </c>
      <c r="B306" s="62" t="n">
        <v>6</v>
      </c>
      <c r="C306" s="61" t="inlineStr">
        <is>
          <t>R6</t>
        </is>
      </c>
      <c r="D306" s="74" t="inlineStr">
        <is>
          <t>NG</t>
        </is>
      </c>
      <c r="E306" s="61" t="inlineStr">
        <is>
          <t>S1</t>
        </is>
      </c>
      <c r="F306" s="61" t="inlineStr">
        <is>
          <t>K044</t>
        </is>
      </c>
      <c r="G306" s="75" t="n">
        <v>5.88</v>
      </c>
      <c r="H306" s="65" t="n"/>
      <c r="I306" s="66" t="n"/>
      <c r="J306" s="67">
        <f>VLOOKUP(C306,Recipes!$A$2:$N$4,10,FALSE())</f>
        <v/>
      </c>
      <c r="K306" s="68">
        <f>VLOOKUP(C306,Recipes!$A$2:$N$4,12,FALSE())</f>
        <v/>
      </c>
      <c r="L306" s="67">
        <f>J306-3.5*K306</f>
        <v/>
      </c>
      <c r="M306" s="67">
        <f>J306+3.5*K306</f>
        <v/>
      </c>
      <c r="N306" s="61">
        <f>IF(G306="","",IF(AND(G306&gt;=L306,G306&lt;=M306),"OK","NG"))</f>
        <v/>
      </c>
      <c r="O306" s="69">
        <f>IF(N306="","",IF(N306=D306,1,0))</f>
        <v/>
      </c>
      <c r="P306" s="67">
        <f>IF(G306="","",J306-G306)</f>
        <v/>
      </c>
      <c r="Q306" s="67">
        <f>IF(G306="","",ABS(P306-Components!$D$2))</f>
        <v/>
      </c>
      <c r="R306" s="67">
        <f>IF(G306="","",ABS(P306-Components!$D$3))</f>
        <v/>
      </c>
      <c r="S306" s="67">
        <f>IF(G306="","",ABS(P306-Components!$D$4))</f>
        <v/>
      </c>
      <c r="T306" s="67">
        <f>IF(G306="","",ABS(P306-Components!$D$5))</f>
        <v/>
      </c>
      <c r="U306" s="67">
        <f>IF(G306="","",ABS(P306-Components!$D$6))</f>
        <v/>
      </c>
      <c r="V306" s="67">
        <f>IF(G306="","",ABS(P306-Components!$D$7))</f>
        <v/>
      </c>
      <c r="W306" s="61">
        <f>IF(G306="","",IF(N306="OK","NONE",INDEX({"S1","S2","W1","W2","N1","N2"},MATCH(MIN(Q306:V306),Q306:V306,0))))</f>
        <v/>
      </c>
      <c r="X306" s="69">
        <f>IF(G306="","",IF(W306=E306,1,0))</f>
        <v/>
      </c>
      <c r="Y306" s="70" t="n"/>
    </row>
    <row r="307">
      <c r="A307" s="61" t="n">
        <v>44</v>
      </c>
      <c r="B307" s="62" t="n">
        <v>6</v>
      </c>
      <c r="C307" s="61" t="inlineStr">
        <is>
          <t>R6</t>
        </is>
      </c>
      <c r="D307" s="74" t="inlineStr">
        <is>
          <t>NG</t>
        </is>
      </c>
      <c r="E307" s="61" t="inlineStr">
        <is>
          <t>S1</t>
        </is>
      </c>
      <c r="F307" s="61" t="inlineStr">
        <is>
          <t>K044</t>
        </is>
      </c>
      <c r="G307" s="75" t="n">
        <v>5.91</v>
      </c>
      <c r="H307" s="65" t="n"/>
      <c r="I307" s="66" t="n"/>
      <c r="J307" s="67">
        <f>VLOOKUP(C307,Recipes!$A$2:$N$4,10,FALSE())</f>
        <v/>
      </c>
      <c r="K307" s="68">
        <f>VLOOKUP(C307,Recipes!$A$2:$N$4,12,FALSE())</f>
        <v/>
      </c>
      <c r="L307" s="67">
        <f>J307-3.5*K307</f>
        <v/>
      </c>
      <c r="M307" s="67">
        <f>J307+3.5*K307</f>
        <v/>
      </c>
      <c r="N307" s="61">
        <f>IF(G307="","",IF(AND(G307&gt;=L307,G307&lt;=M307),"OK","NG"))</f>
        <v/>
      </c>
      <c r="O307" s="69">
        <f>IF(N307="","",IF(N307=D307,1,0))</f>
        <v/>
      </c>
      <c r="P307" s="67">
        <f>IF(G307="","",J307-G307)</f>
        <v/>
      </c>
      <c r="Q307" s="67">
        <f>IF(G307="","",ABS(P307-Components!$D$2))</f>
        <v/>
      </c>
      <c r="R307" s="67">
        <f>IF(G307="","",ABS(P307-Components!$D$3))</f>
        <v/>
      </c>
      <c r="S307" s="67">
        <f>IF(G307="","",ABS(P307-Components!$D$4))</f>
        <v/>
      </c>
      <c r="T307" s="67">
        <f>IF(G307="","",ABS(P307-Components!$D$5))</f>
        <v/>
      </c>
      <c r="U307" s="67">
        <f>IF(G307="","",ABS(P307-Components!$D$6))</f>
        <v/>
      </c>
      <c r="V307" s="67">
        <f>IF(G307="","",ABS(P307-Components!$D$7))</f>
        <v/>
      </c>
      <c r="W307" s="61">
        <f>IF(G307="","",IF(N307="OK","NONE",INDEX({"S1","S2","W1","W2","N1","N2"},MATCH(MIN(Q307:V307),Q307:V307,0))))</f>
        <v/>
      </c>
      <c r="X307" s="69">
        <f>IF(G307="","",IF(W307=E307,1,0))</f>
        <v/>
      </c>
      <c r="Y307" s="70" t="n"/>
    </row>
    <row r="308">
      <c r="A308" s="61" t="n">
        <v>44</v>
      </c>
      <c r="B308" s="62" t="n">
        <v>6</v>
      </c>
      <c r="C308" s="61" t="inlineStr">
        <is>
          <t>R6</t>
        </is>
      </c>
      <c r="D308" s="74" t="inlineStr">
        <is>
          <t>NG</t>
        </is>
      </c>
      <c r="E308" s="61" t="inlineStr">
        <is>
          <t>S1</t>
        </is>
      </c>
      <c r="F308" s="61" t="inlineStr">
        <is>
          <t>K044</t>
        </is>
      </c>
      <c r="G308" s="75" t="n">
        <v>5.86</v>
      </c>
      <c r="H308" s="65" t="n"/>
      <c r="I308" s="66" t="n"/>
      <c r="J308" s="67">
        <f>VLOOKUP(C308,Recipes!$A$2:$N$4,10,FALSE())</f>
        <v/>
      </c>
      <c r="K308" s="68">
        <f>VLOOKUP(C308,Recipes!$A$2:$N$4,12,FALSE())</f>
        <v/>
      </c>
      <c r="L308" s="67">
        <f>J308-3.5*K308</f>
        <v/>
      </c>
      <c r="M308" s="67">
        <f>J308+3.5*K308</f>
        <v/>
      </c>
      <c r="N308" s="61">
        <f>IF(G308="","",IF(AND(G308&gt;=L308,G308&lt;=M308),"OK","NG"))</f>
        <v/>
      </c>
      <c r="O308" s="69">
        <f>IF(N308="","",IF(N308=D308,1,0))</f>
        <v/>
      </c>
      <c r="P308" s="67">
        <f>IF(G308="","",J308-G308)</f>
        <v/>
      </c>
      <c r="Q308" s="67">
        <f>IF(G308="","",ABS(P308-Components!$D$2))</f>
        <v/>
      </c>
      <c r="R308" s="67">
        <f>IF(G308="","",ABS(P308-Components!$D$3))</f>
        <v/>
      </c>
      <c r="S308" s="67">
        <f>IF(G308="","",ABS(P308-Components!$D$4))</f>
        <v/>
      </c>
      <c r="T308" s="67">
        <f>IF(G308="","",ABS(P308-Components!$D$5))</f>
        <v/>
      </c>
      <c r="U308" s="67">
        <f>IF(G308="","",ABS(P308-Components!$D$6))</f>
        <v/>
      </c>
      <c r="V308" s="67">
        <f>IF(G308="","",ABS(P308-Components!$D$7))</f>
        <v/>
      </c>
      <c r="W308" s="61">
        <f>IF(G308="","",IF(N308="OK","NONE",INDEX({"S1","S2","W1","W2","N1","N2"},MATCH(MIN(Q308:V308),Q308:V308,0))))</f>
        <v/>
      </c>
      <c r="X308" s="69">
        <f>IF(G308="","",IF(W308=E308,1,0))</f>
        <v/>
      </c>
      <c r="Y308" s="70" t="n"/>
    </row>
    <row r="309">
      <c r="A309" s="61" t="n">
        <v>44</v>
      </c>
      <c r="B309" s="62" t="n">
        <v>6</v>
      </c>
      <c r="C309" s="61" t="inlineStr">
        <is>
          <t>R6</t>
        </is>
      </c>
      <c r="D309" s="74" t="inlineStr">
        <is>
          <t>NG</t>
        </is>
      </c>
      <c r="E309" s="61" t="inlineStr">
        <is>
          <t>S1</t>
        </is>
      </c>
      <c r="F309" s="61" t="inlineStr">
        <is>
          <t>K044</t>
        </is>
      </c>
      <c r="G309" s="75" t="n">
        <v>5.9</v>
      </c>
      <c r="H309" s="65" t="n"/>
      <c r="I309" s="66" t="n"/>
      <c r="J309" s="67">
        <f>VLOOKUP(C309,Recipes!$A$2:$N$4,10,FALSE())</f>
        <v/>
      </c>
      <c r="K309" s="68">
        <f>VLOOKUP(C309,Recipes!$A$2:$N$4,12,FALSE())</f>
        <v/>
      </c>
      <c r="L309" s="67">
        <f>J309-3.5*K309</f>
        <v/>
      </c>
      <c r="M309" s="67">
        <f>J309+3.5*K309</f>
        <v/>
      </c>
      <c r="N309" s="61">
        <f>IF(G309="","",IF(AND(G309&gt;=L309,G309&lt;=M309),"OK","NG"))</f>
        <v/>
      </c>
      <c r="O309" s="69">
        <f>IF(N309="","",IF(N309=D309,1,0))</f>
        <v/>
      </c>
      <c r="P309" s="67">
        <f>IF(G309="","",J309-G309)</f>
        <v/>
      </c>
      <c r="Q309" s="67">
        <f>IF(G309="","",ABS(P309-Components!$D$2))</f>
        <v/>
      </c>
      <c r="R309" s="67">
        <f>IF(G309="","",ABS(P309-Components!$D$3))</f>
        <v/>
      </c>
      <c r="S309" s="67">
        <f>IF(G309="","",ABS(P309-Components!$D$4))</f>
        <v/>
      </c>
      <c r="T309" s="67">
        <f>IF(G309="","",ABS(P309-Components!$D$5))</f>
        <v/>
      </c>
      <c r="U309" s="67">
        <f>IF(G309="","",ABS(P309-Components!$D$6))</f>
        <v/>
      </c>
      <c r="V309" s="67">
        <f>IF(G309="","",ABS(P309-Components!$D$7))</f>
        <v/>
      </c>
      <c r="W309" s="61">
        <f>IF(G309="","",IF(N309="OK","NONE",INDEX({"S1","S2","W1","W2","N1","N2"},MATCH(MIN(Q309:V309),Q309:V309,0))))</f>
        <v/>
      </c>
      <c r="X309" s="69">
        <f>IF(G309="","",IF(W309=E309,1,0))</f>
        <v/>
      </c>
      <c r="Y309" s="70" t="n"/>
    </row>
    <row r="310">
      <c r="A310" s="61" t="n">
        <v>44</v>
      </c>
      <c r="B310" s="62" t="n">
        <v>6</v>
      </c>
      <c r="C310" s="61" t="inlineStr">
        <is>
          <t>R6</t>
        </is>
      </c>
      <c r="D310" s="74" t="inlineStr">
        <is>
          <t>NG</t>
        </is>
      </c>
      <c r="E310" s="61" t="inlineStr">
        <is>
          <t>S1</t>
        </is>
      </c>
      <c r="F310" s="61" t="inlineStr">
        <is>
          <t>K044</t>
        </is>
      </c>
      <c r="G310" s="75" t="n">
        <v>5.8</v>
      </c>
      <c r="H310" s="65" t="n"/>
      <c r="I310" s="66" t="n"/>
      <c r="J310" s="67">
        <f>VLOOKUP(C310,Recipes!$A$2:$N$4,10,FALSE())</f>
        <v/>
      </c>
      <c r="K310" s="68">
        <f>VLOOKUP(C310,Recipes!$A$2:$N$4,12,FALSE())</f>
        <v/>
      </c>
      <c r="L310" s="67">
        <f>J310-3.5*K310</f>
        <v/>
      </c>
      <c r="M310" s="67">
        <f>J310+3.5*K310</f>
        <v/>
      </c>
      <c r="N310" s="61">
        <f>IF(G310="","",IF(AND(G310&gt;=L310,G310&lt;=M310),"OK","NG"))</f>
        <v/>
      </c>
      <c r="O310" s="69">
        <f>IF(N310="","",IF(N310=D310,1,0))</f>
        <v/>
      </c>
      <c r="P310" s="67">
        <f>IF(G310="","",J310-G310)</f>
        <v/>
      </c>
      <c r="Q310" s="67">
        <f>IF(G310="","",ABS(P310-Components!$D$2))</f>
        <v/>
      </c>
      <c r="R310" s="67">
        <f>IF(G310="","",ABS(P310-Components!$D$3))</f>
        <v/>
      </c>
      <c r="S310" s="67">
        <f>IF(G310="","",ABS(P310-Components!$D$4))</f>
        <v/>
      </c>
      <c r="T310" s="67">
        <f>IF(G310="","",ABS(P310-Components!$D$5))</f>
        <v/>
      </c>
      <c r="U310" s="67">
        <f>IF(G310="","",ABS(P310-Components!$D$6))</f>
        <v/>
      </c>
      <c r="V310" s="67">
        <f>IF(G310="","",ABS(P310-Components!$D$7))</f>
        <v/>
      </c>
      <c r="W310" s="61">
        <f>IF(G310="","",IF(N310="OK","NONE",INDEX({"S1","S2","W1","W2","N1","N2"},MATCH(MIN(Q310:V310),Q310:V310,0))))</f>
        <v/>
      </c>
      <c r="X310" s="69">
        <f>IF(G310="","",IF(W310=E310,1,0))</f>
        <v/>
      </c>
      <c r="Y310" s="70" t="n"/>
    </row>
    <row r="311">
      <c r="A311" s="61" t="n">
        <v>44</v>
      </c>
      <c r="B311" s="62" t="n">
        <v>6</v>
      </c>
      <c r="C311" s="61" t="inlineStr">
        <is>
          <t>R6</t>
        </is>
      </c>
      <c r="D311" s="74" t="inlineStr">
        <is>
          <t>NG</t>
        </is>
      </c>
      <c r="E311" s="61" t="inlineStr">
        <is>
          <t>S1</t>
        </is>
      </c>
      <c r="F311" s="61" t="inlineStr">
        <is>
          <t>K044</t>
        </is>
      </c>
      <c r="G311" s="75" t="n">
        <v>5.94</v>
      </c>
      <c r="H311" s="65" t="n"/>
      <c r="I311" s="66" t="n"/>
      <c r="J311" s="67">
        <f>VLOOKUP(C311,Recipes!$A$2:$N$4,10,FALSE())</f>
        <v/>
      </c>
      <c r="K311" s="68">
        <f>VLOOKUP(C311,Recipes!$A$2:$N$4,12,FALSE())</f>
        <v/>
      </c>
      <c r="L311" s="67">
        <f>J311-3.5*K311</f>
        <v/>
      </c>
      <c r="M311" s="67">
        <f>J311+3.5*K311</f>
        <v/>
      </c>
      <c r="N311" s="61">
        <f>IF(G311="","",IF(AND(G311&gt;=L311,G311&lt;=M311),"OK","NG"))</f>
        <v/>
      </c>
      <c r="O311" s="69">
        <f>IF(N311="","",IF(N311=D311,1,0))</f>
        <v/>
      </c>
      <c r="P311" s="67">
        <f>IF(G311="","",J311-G311)</f>
        <v/>
      </c>
      <c r="Q311" s="67">
        <f>IF(G311="","",ABS(P311-Components!$D$2))</f>
        <v/>
      </c>
      <c r="R311" s="67">
        <f>IF(G311="","",ABS(P311-Components!$D$3))</f>
        <v/>
      </c>
      <c r="S311" s="67">
        <f>IF(G311="","",ABS(P311-Components!$D$4))</f>
        <v/>
      </c>
      <c r="T311" s="67">
        <f>IF(G311="","",ABS(P311-Components!$D$5))</f>
        <v/>
      </c>
      <c r="U311" s="67">
        <f>IF(G311="","",ABS(P311-Components!$D$6))</f>
        <v/>
      </c>
      <c r="V311" s="67">
        <f>IF(G311="","",ABS(P311-Components!$D$7))</f>
        <v/>
      </c>
      <c r="W311" s="61">
        <f>IF(G311="","",IF(N311="OK","NONE",INDEX({"S1","S2","W1","W2","N1","N2"},MATCH(MIN(Q311:V311),Q311:V311,0))))</f>
        <v/>
      </c>
      <c r="X311" s="69">
        <f>IF(G311="","",IF(W311=E311,1,0))</f>
        <v/>
      </c>
      <c r="Y311" s="70" t="n"/>
    </row>
    <row r="312">
      <c r="A312" s="61" t="n">
        <v>44</v>
      </c>
      <c r="B312" s="62" t="n">
        <v>6</v>
      </c>
      <c r="C312" s="61" t="inlineStr">
        <is>
          <t>R6</t>
        </is>
      </c>
      <c r="D312" s="74" t="inlineStr">
        <is>
          <t>NG</t>
        </is>
      </c>
      <c r="E312" s="61" t="inlineStr">
        <is>
          <t>S1</t>
        </is>
      </c>
      <c r="F312" s="61" t="inlineStr">
        <is>
          <t>K044</t>
        </is>
      </c>
      <c r="G312" s="75" t="n">
        <v>5.94</v>
      </c>
      <c r="H312" s="65" t="n"/>
      <c r="I312" s="66" t="n"/>
      <c r="J312" s="67">
        <f>VLOOKUP(C312,Recipes!$A$2:$N$4,10,FALSE())</f>
        <v/>
      </c>
      <c r="K312" s="68">
        <f>VLOOKUP(C312,Recipes!$A$2:$N$4,12,FALSE())</f>
        <v/>
      </c>
      <c r="L312" s="67">
        <f>J312-3.5*K312</f>
        <v/>
      </c>
      <c r="M312" s="67">
        <f>J312+3.5*K312</f>
        <v/>
      </c>
      <c r="N312" s="61">
        <f>IF(G312="","",IF(AND(G312&gt;=L312,G312&lt;=M312),"OK","NG"))</f>
        <v/>
      </c>
      <c r="O312" s="69">
        <f>IF(N312="","",IF(N312=D312,1,0))</f>
        <v/>
      </c>
      <c r="P312" s="67">
        <f>IF(G312="","",J312-G312)</f>
        <v/>
      </c>
      <c r="Q312" s="67">
        <f>IF(G312="","",ABS(P312-Components!$D$2))</f>
        <v/>
      </c>
      <c r="R312" s="67">
        <f>IF(G312="","",ABS(P312-Components!$D$3))</f>
        <v/>
      </c>
      <c r="S312" s="67">
        <f>IF(G312="","",ABS(P312-Components!$D$4))</f>
        <v/>
      </c>
      <c r="T312" s="67">
        <f>IF(G312="","",ABS(P312-Components!$D$5))</f>
        <v/>
      </c>
      <c r="U312" s="67">
        <f>IF(G312="","",ABS(P312-Components!$D$6))</f>
        <v/>
      </c>
      <c r="V312" s="67">
        <f>IF(G312="","",ABS(P312-Components!$D$7))</f>
        <v/>
      </c>
      <c r="W312" s="61">
        <f>IF(G312="","",IF(N312="OK","NONE",INDEX({"S1","S2","W1","W2","N1","N2"},MATCH(MIN(Q312:V312),Q312:V312,0))))</f>
        <v/>
      </c>
      <c r="X312" s="69">
        <f>IF(G312="","",IF(W312=E312,1,0))</f>
        <v/>
      </c>
      <c r="Y312" s="70" t="n"/>
    </row>
    <row r="313">
      <c r="A313" s="61" t="n">
        <v>44</v>
      </c>
      <c r="B313" s="62" t="n">
        <v>6</v>
      </c>
      <c r="C313" s="61" t="inlineStr">
        <is>
          <t>R6</t>
        </is>
      </c>
      <c r="D313" s="74" t="inlineStr">
        <is>
          <t>NG</t>
        </is>
      </c>
      <c r="E313" s="61" t="inlineStr">
        <is>
          <t>S1</t>
        </is>
      </c>
      <c r="F313" s="61" t="inlineStr">
        <is>
          <t>K044</t>
        </is>
      </c>
      <c r="G313" s="75" t="n">
        <v>5.87</v>
      </c>
      <c r="H313" s="65" t="n"/>
      <c r="I313" s="66" t="n"/>
      <c r="J313" s="67">
        <f>VLOOKUP(C313,Recipes!$A$2:$N$4,10,FALSE())</f>
        <v/>
      </c>
      <c r="K313" s="68">
        <f>VLOOKUP(C313,Recipes!$A$2:$N$4,12,FALSE())</f>
        <v/>
      </c>
      <c r="L313" s="67">
        <f>J313-3.5*K313</f>
        <v/>
      </c>
      <c r="M313" s="67">
        <f>J313+3.5*K313</f>
        <v/>
      </c>
      <c r="N313" s="61">
        <f>IF(G313="","",IF(AND(G313&gt;=L313,G313&lt;=M313),"OK","NG"))</f>
        <v/>
      </c>
      <c r="O313" s="69">
        <f>IF(N313="","",IF(N313=D313,1,0))</f>
        <v/>
      </c>
      <c r="P313" s="67">
        <f>IF(G313="","",J313-G313)</f>
        <v/>
      </c>
      <c r="Q313" s="67">
        <f>IF(G313="","",ABS(P313-Components!$D$2))</f>
        <v/>
      </c>
      <c r="R313" s="67">
        <f>IF(G313="","",ABS(P313-Components!$D$3))</f>
        <v/>
      </c>
      <c r="S313" s="67">
        <f>IF(G313="","",ABS(P313-Components!$D$4))</f>
        <v/>
      </c>
      <c r="T313" s="67">
        <f>IF(G313="","",ABS(P313-Components!$D$5))</f>
        <v/>
      </c>
      <c r="U313" s="67">
        <f>IF(G313="","",ABS(P313-Components!$D$6))</f>
        <v/>
      </c>
      <c r="V313" s="67">
        <f>IF(G313="","",ABS(P313-Components!$D$7))</f>
        <v/>
      </c>
      <c r="W313" s="61">
        <f>IF(G313="","",IF(N313="OK","NONE",INDEX({"S1","S2","W1","W2","N1","N2"},MATCH(MIN(Q313:V313),Q313:V313,0))))</f>
        <v/>
      </c>
      <c r="X313" s="69">
        <f>IF(G313="","",IF(W313=E313,1,0))</f>
        <v/>
      </c>
      <c r="Y313" s="70" t="n"/>
    </row>
    <row r="314">
      <c r="A314" s="61" t="n">
        <v>44</v>
      </c>
      <c r="B314" s="62" t="n">
        <v>6</v>
      </c>
      <c r="C314" s="61" t="inlineStr">
        <is>
          <t>R6</t>
        </is>
      </c>
      <c r="D314" s="74" t="inlineStr">
        <is>
          <t>NG</t>
        </is>
      </c>
      <c r="E314" s="61" t="inlineStr">
        <is>
          <t>S1</t>
        </is>
      </c>
      <c r="F314" s="61" t="inlineStr">
        <is>
          <t>K044</t>
        </is>
      </c>
      <c r="G314" s="75" t="n">
        <v>5.88</v>
      </c>
      <c r="H314" s="65" t="n"/>
      <c r="I314" s="66" t="n"/>
      <c r="J314" s="67">
        <f>VLOOKUP(C314,Recipes!$A$2:$N$4,10,FALSE())</f>
        <v/>
      </c>
      <c r="K314" s="68">
        <f>VLOOKUP(C314,Recipes!$A$2:$N$4,12,FALSE())</f>
        <v/>
      </c>
      <c r="L314" s="67">
        <f>J314-3.5*K314</f>
        <v/>
      </c>
      <c r="M314" s="67">
        <f>J314+3.5*K314</f>
        <v/>
      </c>
      <c r="N314" s="61">
        <f>IF(G314="","",IF(AND(G314&gt;=L314,G314&lt;=M314),"OK","NG"))</f>
        <v/>
      </c>
      <c r="O314" s="69">
        <f>IF(N314="","",IF(N314=D314,1,0))</f>
        <v/>
      </c>
      <c r="P314" s="67">
        <f>IF(G314="","",J314-G314)</f>
        <v/>
      </c>
      <c r="Q314" s="67">
        <f>IF(G314="","",ABS(P314-Components!$D$2))</f>
        <v/>
      </c>
      <c r="R314" s="67">
        <f>IF(G314="","",ABS(P314-Components!$D$3))</f>
        <v/>
      </c>
      <c r="S314" s="67">
        <f>IF(G314="","",ABS(P314-Components!$D$4))</f>
        <v/>
      </c>
      <c r="T314" s="67">
        <f>IF(G314="","",ABS(P314-Components!$D$5))</f>
        <v/>
      </c>
      <c r="U314" s="67">
        <f>IF(G314="","",ABS(P314-Components!$D$6))</f>
        <v/>
      </c>
      <c r="V314" s="67">
        <f>IF(G314="","",ABS(P314-Components!$D$7))</f>
        <v/>
      </c>
      <c r="W314" s="61">
        <f>IF(G314="","",IF(N314="OK","NONE",INDEX({"S1","S2","W1","W2","N1","N2"},MATCH(MIN(Q314:V314),Q314:V314,0))))</f>
        <v/>
      </c>
      <c r="X314" s="69">
        <f>IF(G314="","",IF(W314=E314,1,0))</f>
        <v/>
      </c>
      <c r="Y314" s="70" t="n"/>
    </row>
    <row r="315">
      <c r="A315" s="61" t="n">
        <v>44</v>
      </c>
      <c r="B315" s="62" t="n">
        <v>6</v>
      </c>
      <c r="C315" s="61" t="inlineStr">
        <is>
          <t>R6</t>
        </is>
      </c>
      <c r="D315" s="74" t="inlineStr">
        <is>
          <t>NG</t>
        </is>
      </c>
      <c r="E315" s="61" t="inlineStr">
        <is>
          <t>S1</t>
        </is>
      </c>
      <c r="F315" s="61" t="inlineStr">
        <is>
          <t>K044</t>
        </is>
      </c>
      <c r="G315" s="75" t="n">
        <v>5.87</v>
      </c>
      <c r="H315" s="65" t="n"/>
      <c r="I315" s="66" t="n"/>
      <c r="J315" s="67">
        <f>VLOOKUP(C315,Recipes!$A$2:$N$4,10,FALSE())</f>
        <v/>
      </c>
      <c r="K315" s="68">
        <f>VLOOKUP(C315,Recipes!$A$2:$N$4,12,FALSE())</f>
        <v/>
      </c>
      <c r="L315" s="67">
        <f>J315-3.5*K315</f>
        <v/>
      </c>
      <c r="M315" s="67">
        <f>J315+3.5*K315</f>
        <v/>
      </c>
      <c r="N315" s="61">
        <f>IF(G315="","",IF(AND(G315&gt;=L315,G315&lt;=M315),"OK","NG"))</f>
        <v/>
      </c>
      <c r="O315" s="69">
        <f>IF(N315="","",IF(N315=D315,1,0))</f>
        <v/>
      </c>
      <c r="P315" s="67">
        <f>IF(G315="","",J315-G315)</f>
        <v/>
      </c>
      <c r="Q315" s="67">
        <f>IF(G315="","",ABS(P315-Components!$D$2))</f>
        <v/>
      </c>
      <c r="R315" s="67">
        <f>IF(G315="","",ABS(P315-Components!$D$3))</f>
        <v/>
      </c>
      <c r="S315" s="67">
        <f>IF(G315="","",ABS(P315-Components!$D$4))</f>
        <v/>
      </c>
      <c r="T315" s="67">
        <f>IF(G315="","",ABS(P315-Components!$D$5))</f>
        <v/>
      </c>
      <c r="U315" s="67">
        <f>IF(G315="","",ABS(P315-Components!$D$6))</f>
        <v/>
      </c>
      <c r="V315" s="67">
        <f>IF(G315="","",ABS(P315-Components!$D$7))</f>
        <v/>
      </c>
      <c r="W315" s="61">
        <f>IF(G315="","",IF(N315="OK","NONE",INDEX({"S1","S2","W1","W2","N1","N2"},MATCH(MIN(Q315:V315),Q315:V315,0))))</f>
        <v/>
      </c>
      <c r="X315" s="69">
        <f>IF(G315="","",IF(W315=E315,1,0))</f>
        <v/>
      </c>
      <c r="Y315" s="70" t="n"/>
    </row>
    <row r="316">
      <c r="A316" s="61" t="n">
        <v>44</v>
      </c>
      <c r="B316" s="62" t="n">
        <v>6</v>
      </c>
      <c r="C316" s="61" t="inlineStr">
        <is>
          <t>R6</t>
        </is>
      </c>
      <c r="D316" s="74" t="inlineStr">
        <is>
          <t>NG</t>
        </is>
      </c>
      <c r="E316" s="61" t="inlineStr">
        <is>
          <t>S1</t>
        </is>
      </c>
      <c r="F316" s="61" t="inlineStr">
        <is>
          <t>K044</t>
        </is>
      </c>
      <c r="G316" s="75" t="n">
        <v>5.87</v>
      </c>
      <c r="H316" s="65" t="n"/>
      <c r="I316" s="66" t="n"/>
      <c r="J316" s="67">
        <f>VLOOKUP(C316,Recipes!$A$2:$N$4,10,FALSE())</f>
        <v/>
      </c>
      <c r="K316" s="68">
        <f>VLOOKUP(C316,Recipes!$A$2:$N$4,12,FALSE())</f>
        <v/>
      </c>
      <c r="L316" s="67">
        <f>J316-3.5*K316</f>
        <v/>
      </c>
      <c r="M316" s="67">
        <f>J316+3.5*K316</f>
        <v/>
      </c>
      <c r="N316" s="61">
        <f>IF(G316="","",IF(AND(G316&gt;=L316,G316&lt;=M316),"OK","NG"))</f>
        <v/>
      </c>
      <c r="O316" s="69">
        <f>IF(N316="","",IF(N316=D316,1,0))</f>
        <v/>
      </c>
      <c r="P316" s="67">
        <f>IF(G316="","",J316-G316)</f>
        <v/>
      </c>
      <c r="Q316" s="67">
        <f>IF(G316="","",ABS(P316-Components!$D$2))</f>
        <v/>
      </c>
      <c r="R316" s="67">
        <f>IF(G316="","",ABS(P316-Components!$D$3))</f>
        <v/>
      </c>
      <c r="S316" s="67">
        <f>IF(G316="","",ABS(P316-Components!$D$4))</f>
        <v/>
      </c>
      <c r="T316" s="67">
        <f>IF(G316="","",ABS(P316-Components!$D$5))</f>
        <v/>
      </c>
      <c r="U316" s="67">
        <f>IF(G316="","",ABS(P316-Components!$D$6))</f>
        <v/>
      </c>
      <c r="V316" s="67">
        <f>IF(G316="","",ABS(P316-Components!$D$7))</f>
        <v/>
      </c>
      <c r="W316" s="61">
        <f>IF(G316="","",IF(N316="OK","NONE",INDEX({"S1","S2","W1","W2","N1","N2"},MATCH(MIN(Q316:V316),Q316:V316,0))))</f>
        <v/>
      </c>
      <c r="X316" s="69">
        <f>IF(G316="","",IF(W316=E316,1,0))</f>
        <v/>
      </c>
      <c r="Y316" s="70" t="n"/>
    </row>
    <row r="317">
      <c r="A317" s="61" t="n">
        <v>44</v>
      </c>
      <c r="B317" s="62" t="n">
        <v>6</v>
      </c>
      <c r="C317" s="61" t="inlineStr">
        <is>
          <t>R6</t>
        </is>
      </c>
      <c r="D317" s="74" t="inlineStr">
        <is>
          <t>NG</t>
        </is>
      </c>
      <c r="E317" s="61" t="inlineStr">
        <is>
          <t>S1</t>
        </is>
      </c>
      <c r="F317" s="61" t="inlineStr">
        <is>
          <t>K044</t>
        </is>
      </c>
      <c r="G317" s="75" t="n">
        <v>5.82</v>
      </c>
      <c r="H317" s="65" t="n"/>
      <c r="I317" s="66" t="n"/>
      <c r="J317" s="67">
        <f>VLOOKUP(C317,Recipes!$A$2:$N$4,10,FALSE())</f>
        <v/>
      </c>
      <c r="K317" s="68">
        <f>VLOOKUP(C317,Recipes!$A$2:$N$4,12,FALSE())</f>
        <v/>
      </c>
      <c r="L317" s="67">
        <f>J317-3.5*K317</f>
        <v/>
      </c>
      <c r="M317" s="67">
        <f>J317+3.5*K317</f>
        <v/>
      </c>
      <c r="N317" s="61">
        <f>IF(G317="","",IF(AND(G317&gt;=L317,G317&lt;=M317),"OK","NG"))</f>
        <v/>
      </c>
      <c r="O317" s="69">
        <f>IF(N317="","",IF(N317=D317,1,0))</f>
        <v/>
      </c>
      <c r="P317" s="67">
        <f>IF(G317="","",J317-G317)</f>
        <v/>
      </c>
      <c r="Q317" s="67">
        <f>IF(G317="","",ABS(P317-Components!$D$2))</f>
        <v/>
      </c>
      <c r="R317" s="67">
        <f>IF(G317="","",ABS(P317-Components!$D$3))</f>
        <v/>
      </c>
      <c r="S317" s="67">
        <f>IF(G317="","",ABS(P317-Components!$D$4))</f>
        <v/>
      </c>
      <c r="T317" s="67">
        <f>IF(G317="","",ABS(P317-Components!$D$5))</f>
        <v/>
      </c>
      <c r="U317" s="67">
        <f>IF(G317="","",ABS(P317-Components!$D$6))</f>
        <v/>
      </c>
      <c r="V317" s="67">
        <f>IF(G317="","",ABS(P317-Components!$D$7))</f>
        <v/>
      </c>
      <c r="W317" s="61">
        <f>IF(G317="","",IF(N317="OK","NONE",INDEX({"S1","S2","W1","W2","N1","N2"},MATCH(MIN(Q317:V317),Q317:V317,0))))</f>
        <v/>
      </c>
      <c r="X317" s="69">
        <f>IF(G317="","",IF(W317=E317,1,0))</f>
        <v/>
      </c>
      <c r="Y317" s="70" t="n"/>
    </row>
    <row r="318">
      <c r="A318" s="61" t="n">
        <v>44</v>
      </c>
      <c r="B318" s="62" t="n">
        <v>6</v>
      </c>
      <c r="C318" s="61" t="inlineStr">
        <is>
          <t>R6</t>
        </is>
      </c>
      <c r="D318" s="74" t="inlineStr">
        <is>
          <t>NG</t>
        </is>
      </c>
      <c r="E318" s="61" t="inlineStr">
        <is>
          <t>S1</t>
        </is>
      </c>
      <c r="F318" s="61" t="inlineStr">
        <is>
          <t>K044</t>
        </is>
      </c>
      <c r="G318" s="75" t="n">
        <v>5.92</v>
      </c>
      <c r="H318" s="65" t="n"/>
      <c r="I318" s="66" t="n"/>
      <c r="J318" s="67">
        <f>VLOOKUP(C318,Recipes!$A$2:$N$4,10,FALSE())</f>
        <v/>
      </c>
      <c r="K318" s="68">
        <f>VLOOKUP(C318,Recipes!$A$2:$N$4,12,FALSE())</f>
        <v/>
      </c>
      <c r="L318" s="67">
        <f>J318-3.5*K318</f>
        <v/>
      </c>
      <c r="M318" s="67">
        <f>J318+3.5*K318</f>
        <v/>
      </c>
      <c r="N318" s="61">
        <f>IF(G318="","",IF(AND(G318&gt;=L318,G318&lt;=M318),"OK","NG"))</f>
        <v/>
      </c>
      <c r="O318" s="69">
        <f>IF(N318="","",IF(N318=D318,1,0))</f>
        <v/>
      </c>
      <c r="P318" s="67">
        <f>IF(G318="","",J318-G318)</f>
        <v/>
      </c>
      <c r="Q318" s="67">
        <f>IF(G318="","",ABS(P318-Components!$D$2))</f>
        <v/>
      </c>
      <c r="R318" s="67">
        <f>IF(G318="","",ABS(P318-Components!$D$3))</f>
        <v/>
      </c>
      <c r="S318" s="67">
        <f>IF(G318="","",ABS(P318-Components!$D$4))</f>
        <v/>
      </c>
      <c r="T318" s="67">
        <f>IF(G318="","",ABS(P318-Components!$D$5))</f>
        <v/>
      </c>
      <c r="U318" s="67">
        <f>IF(G318="","",ABS(P318-Components!$D$6))</f>
        <v/>
      </c>
      <c r="V318" s="67">
        <f>IF(G318="","",ABS(P318-Components!$D$7))</f>
        <v/>
      </c>
      <c r="W318" s="61">
        <f>IF(G318="","",IF(N318="OK","NONE",INDEX({"S1","S2","W1","W2","N1","N2"},MATCH(MIN(Q318:V318),Q318:V318,0))))</f>
        <v/>
      </c>
      <c r="X318" s="69">
        <f>IF(G318="","",IF(W318=E318,1,0))</f>
        <v/>
      </c>
      <c r="Y318" s="70" t="n"/>
    </row>
    <row r="319">
      <c r="A319" s="61" t="n">
        <v>44</v>
      </c>
      <c r="B319" s="62" t="n">
        <v>6</v>
      </c>
      <c r="C319" s="61" t="inlineStr">
        <is>
          <t>R6</t>
        </is>
      </c>
      <c r="D319" s="74" t="inlineStr">
        <is>
          <t>NG</t>
        </is>
      </c>
      <c r="E319" s="61" t="inlineStr">
        <is>
          <t>S1</t>
        </is>
      </c>
      <c r="F319" s="61" t="inlineStr">
        <is>
          <t>K044</t>
        </is>
      </c>
      <c r="G319" s="75" t="n">
        <v>5.84</v>
      </c>
      <c r="H319" s="65" t="n"/>
      <c r="I319" s="66" t="n"/>
      <c r="J319" s="67">
        <f>VLOOKUP(C319,Recipes!$A$2:$N$4,10,FALSE())</f>
        <v/>
      </c>
      <c r="K319" s="68">
        <f>VLOOKUP(C319,Recipes!$A$2:$N$4,12,FALSE())</f>
        <v/>
      </c>
      <c r="L319" s="67">
        <f>J319-3.5*K319</f>
        <v/>
      </c>
      <c r="M319" s="67">
        <f>J319+3.5*K319</f>
        <v/>
      </c>
      <c r="N319" s="61">
        <f>IF(G319="","",IF(AND(G319&gt;=L319,G319&lt;=M319),"OK","NG"))</f>
        <v/>
      </c>
      <c r="O319" s="69">
        <f>IF(N319="","",IF(N319=D319,1,0))</f>
        <v/>
      </c>
      <c r="P319" s="67">
        <f>IF(G319="","",J319-G319)</f>
        <v/>
      </c>
      <c r="Q319" s="67">
        <f>IF(G319="","",ABS(P319-Components!$D$2))</f>
        <v/>
      </c>
      <c r="R319" s="67">
        <f>IF(G319="","",ABS(P319-Components!$D$3))</f>
        <v/>
      </c>
      <c r="S319" s="67">
        <f>IF(G319="","",ABS(P319-Components!$D$4))</f>
        <v/>
      </c>
      <c r="T319" s="67">
        <f>IF(G319="","",ABS(P319-Components!$D$5))</f>
        <v/>
      </c>
      <c r="U319" s="67">
        <f>IF(G319="","",ABS(P319-Components!$D$6))</f>
        <v/>
      </c>
      <c r="V319" s="67">
        <f>IF(G319="","",ABS(P319-Components!$D$7))</f>
        <v/>
      </c>
      <c r="W319" s="61">
        <f>IF(G319="","",IF(N319="OK","NONE",INDEX({"S1","S2","W1","W2","N1","N2"},MATCH(MIN(Q319:V319),Q319:V319,0))))</f>
        <v/>
      </c>
      <c r="X319" s="69">
        <f>IF(G319="","",IF(W319=E319,1,0))</f>
        <v/>
      </c>
      <c r="Y319" s="70" t="n"/>
    </row>
    <row r="320">
      <c r="A320" s="61" t="n">
        <v>44</v>
      </c>
      <c r="B320" s="62" t="n">
        <v>6</v>
      </c>
      <c r="C320" s="61" t="inlineStr">
        <is>
          <t>R6</t>
        </is>
      </c>
      <c r="D320" s="74" t="inlineStr">
        <is>
          <t>NG</t>
        </is>
      </c>
      <c r="E320" s="61" t="inlineStr">
        <is>
          <t>S1</t>
        </is>
      </c>
      <c r="F320" s="61" t="inlineStr">
        <is>
          <t>K044</t>
        </is>
      </c>
      <c r="G320" s="75" t="n">
        <v>5.92</v>
      </c>
      <c r="H320" s="65" t="n"/>
      <c r="I320" s="66" t="n"/>
      <c r="J320" s="67">
        <f>VLOOKUP(C320,Recipes!$A$2:$N$4,10,FALSE())</f>
        <v/>
      </c>
      <c r="K320" s="68">
        <f>VLOOKUP(C320,Recipes!$A$2:$N$4,12,FALSE())</f>
        <v/>
      </c>
      <c r="L320" s="67">
        <f>J320-3.5*K320</f>
        <v/>
      </c>
      <c r="M320" s="67">
        <f>J320+3.5*K320</f>
        <v/>
      </c>
      <c r="N320" s="61">
        <f>IF(G320="","",IF(AND(G320&gt;=L320,G320&lt;=M320),"OK","NG"))</f>
        <v/>
      </c>
      <c r="O320" s="69">
        <f>IF(N320="","",IF(N320=D320,1,0))</f>
        <v/>
      </c>
      <c r="P320" s="67">
        <f>IF(G320="","",J320-G320)</f>
        <v/>
      </c>
      <c r="Q320" s="67">
        <f>IF(G320="","",ABS(P320-Components!$D$2))</f>
        <v/>
      </c>
      <c r="R320" s="67">
        <f>IF(G320="","",ABS(P320-Components!$D$3))</f>
        <v/>
      </c>
      <c r="S320" s="67">
        <f>IF(G320="","",ABS(P320-Components!$D$4))</f>
        <v/>
      </c>
      <c r="T320" s="67">
        <f>IF(G320="","",ABS(P320-Components!$D$5))</f>
        <v/>
      </c>
      <c r="U320" s="67">
        <f>IF(G320="","",ABS(P320-Components!$D$6))</f>
        <v/>
      </c>
      <c r="V320" s="67">
        <f>IF(G320="","",ABS(P320-Components!$D$7))</f>
        <v/>
      </c>
      <c r="W320" s="61">
        <f>IF(G320="","",IF(N320="OK","NONE",INDEX({"S1","S2","W1","W2","N1","N2"},MATCH(MIN(Q320:V320),Q320:V320,0))))</f>
        <v/>
      </c>
      <c r="X320" s="69">
        <f>IF(G320="","",IF(W320=E320,1,0))</f>
        <v/>
      </c>
      <c r="Y320" s="70" t="n"/>
    </row>
    <row r="321">
      <c r="A321" s="61" t="n">
        <v>44</v>
      </c>
      <c r="B321" s="62" t="n">
        <v>6</v>
      </c>
      <c r="C321" s="61" t="inlineStr">
        <is>
          <t>R6</t>
        </is>
      </c>
      <c r="D321" s="74" t="inlineStr">
        <is>
          <t>NG</t>
        </is>
      </c>
      <c r="E321" s="61" t="inlineStr">
        <is>
          <t>S1</t>
        </is>
      </c>
      <c r="F321" s="61" t="inlineStr">
        <is>
          <t>K044</t>
        </is>
      </c>
      <c r="G321" s="75" t="n">
        <v>5.87</v>
      </c>
      <c r="H321" s="65" t="n"/>
      <c r="I321" s="66" t="n"/>
      <c r="J321" s="67">
        <f>VLOOKUP(C321,Recipes!$A$2:$N$4,10,FALSE())</f>
        <v/>
      </c>
      <c r="K321" s="68">
        <f>VLOOKUP(C321,Recipes!$A$2:$N$4,12,FALSE())</f>
        <v/>
      </c>
      <c r="L321" s="67">
        <f>J321-3.5*K321</f>
        <v/>
      </c>
      <c r="M321" s="67">
        <f>J321+3.5*K321</f>
        <v/>
      </c>
      <c r="N321" s="61">
        <f>IF(G321="","",IF(AND(G321&gt;=L321,G321&lt;=M321),"OK","NG"))</f>
        <v/>
      </c>
      <c r="O321" s="69">
        <f>IF(N321="","",IF(N321=D321,1,0))</f>
        <v/>
      </c>
      <c r="P321" s="67">
        <f>IF(G321="","",J321-G321)</f>
        <v/>
      </c>
      <c r="Q321" s="67">
        <f>IF(G321="","",ABS(P321-Components!$D$2))</f>
        <v/>
      </c>
      <c r="R321" s="67">
        <f>IF(G321="","",ABS(P321-Components!$D$3))</f>
        <v/>
      </c>
      <c r="S321" s="67">
        <f>IF(G321="","",ABS(P321-Components!$D$4))</f>
        <v/>
      </c>
      <c r="T321" s="67">
        <f>IF(G321="","",ABS(P321-Components!$D$5))</f>
        <v/>
      </c>
      <c r="U321" s="67">
        <f>IF(G321="","",ABS(P321-Components!$D$6))</f>
        <v/>
      </c>
      <c r="V321" s="67">
        <f>IF(G321="","",ABS(P321-Components!$D$7))</f>
        <v/>
      </c>
      <c r="W321" s="61">
        <f>IF(G321="","",IF(N321="OK","NONE",INDEX({"S1","S2","W1","W2","N1","N2"},MATCH(MIN(Q321:V321),Q321:V321,0))))</f>
        <v/>
      </c>
      <c r="X321" s="69">
        <f>IF(G321="","",IF(W321=E321,1,0))</f>
        <v/>
      </c>
      <c r="Y321" s="70" t="n"/>
    </row>
    <row r="322">
      <c r="A322" s="61" t="n">
        <v>44</v>
      </c>
      <c r="B322" s="62" t="n">
        <v>6</v>
      </c>
      <c r="C322" s="61" t="inlineStr">
        <is>
          <t>R6</t>
        </is>
      </c>
      <c r="D322" s="74" t="inlineStr">
        <is>
          <t>NG</t>
        </is>
      </c>
      <c r="E322" s="61" t="inlineStr">
        <is>
          <t>S1</t>
        </is>
      </c>
      <c r="F322" s="61" t="inlineStr">
        <is>
          <t>K044</t>
        </is>
      </c>
      <c r="G322" s="75" t="n">
        <v>5.82</v>
      </c>
      <c r="H322" s="65" t="n"/>
      <c r="I322" s="66" t="n"/>
      <c r="J322" s="67">
        <f>VLOOKUP(C322,Recipes!$A$2:$N$4,10,FALSE())</f>
        <v/>
      </c>
      <c r="K322" s="68">
        <f>VLOOKUP(C322,Recipes!$A$2:$N$4,12,FALSE())</f>
        <v/>
      </c>
      <c r="L322" s="67">
        <f>J322-3.5*K322</f>
        <v/>
      </c>
      <c r="M322" s="67">
        <f>J322+3.5*K322</f>
        <v/>
      </c>
      <c r="N322" s="61">
        <f>IF(G322="","",IF(AND(G322&gt;=L322,G322&lt;=M322),"OK","NG"))</f>
        <v/>
      </c>
      <c r="O322" s="69">
        <f>IF(N322="","",IF(N322=D322,1,0))</f>
        <v/>
      </c>
      <c r="P322" s="67">
        <f>IF(G322="","",J322-G322)</f>
        <v/>
      </c>
      <c r="Q322" s="67">
        <f>IF(G322="","",ABS(P322-Components!$D$2))</f>
        <v/>
      </c>
      <c r="R322" s="67">
        <f>IF(G322="","",ABS(P322-Components!$D$3))</f>
        <v/>
      </c>
      <c r="S322" s="67">
        <f>IF(G322="","",ABS(P322-Components!$D$4))</f>
        <v/>
      </c>
      <c r="T322" s="67">
        <f>IF(G322="","",ABS(P322-Components!$D$5))</f>
        <v/>
      </c>
      <c r="U322" s="67">
        <f>IF(G322="","",ABS(P322-Components!$D$6))</f>
        <v/>
      </c>
      <c r="V322" s="67">
        <f>IF(G322="","",ABS(P322-Components!$D$7))</f>
        <v/>
      </c>
      <c r="W322" s="61">
        <f>IF(G322="","",IF(N322="OK","NONE",INDEX({"S1","S2","W1","W2","N1","N2"},MATCH(MIN(Q322:V322),Q322:V322,0))))</f>
        <v/>
      </c>
      <c r="X322" s="69">
        <f>IF(G322="","",IF(W322=E322,1,0))</f>
        <v/>
      </c>
      <c r="Y322" s="70" t="n"/>
    </row>
    <row r="323">
      <c r="A323" s="61" t="n">
        <v>44</v>
      </c>
      <c r="B323" s="62" t="n">
        <v>6</v>
      </c>
      <c r="C323" s="61" t="inlineStr">
        <is>
          <t>R6</t>
        </is>
      </c>
      <c r="D323" s="74" t="inlineStr">
        <is>
          <t>NG</t>
        </is>
      </c>
      <c r="E323" s="61" t="inlineStr">
        <is>
          <t>S1</t>
        </is>
      </c>
      <c r="F323" s="61" t="inlineStr">
        <is>
          <t>K044</t>
        </is>
      </c>
      <c r="G323" s="75" t="n">
        <v>5.77</v>
      </c>
      <c r="H323" s="65" t="n"/>
      <c r="I323" s="66" t="n"/>
      <c r="J323" s="67">
        <f>VLOOKUP(C323,Recipes!$A$2:$N$4,10,FALSE())</f>
        <v/>
      </c>
      <c r="K323" s="68">
        <f>VLOOKUP(C323,Recipes!$A$2:$N$4,12,FALSE())</f>
        <v/>
      </c>
      <c r="L323" s="67">
        <f>J323-3.5*K323</f>
        <v/>
      </c>
      <c r="M323" s="67">
        <f>J323+3.5*K323</f>
        <v/>
      </c>
      <c r="N323" s="61">
        <f>IF(G323="","",IF(AND(G323&gt;=L323,G323&lt;=M323),"OK","NG"))</f>
        <v/>
      </c>
      <c r="O323" s="69">
        <f>IF(N323="","",IF(N323=D323,1,0))</f>
        <v/>
      </c>
      <c r="P323" s="67">
        <f>IF(G323="","",J323-G323)</f>
        <v/>
      </c>
      <c r="Q323" s="67">
        <f>IF(G323="","",ABS(P323-Components!$D$2))</f>
        <v/>
      </c>
      <c r="R323" s="67">
        <f>IF(G323="","",ABS(P323-Components!$D$3))</f>
        <v/>
      </c>
      <c r="S323" s="67">
        <f>IF(G323="","",ABS(P323-Components!$D$4))</f>
        <v/>
      </c>
      <c r="T323" s="67">
        <f>IF(G323="","",ABS(P323-Components!$D$5))</f>
        <v/>
      </c>
      <c r="U323" s="67">
        <f>IF(G323="","",ABS(P323-Components!$D$6))</f>
        <v/>
      </c>
      <c r="V323" s="67">
        <f>IF(G323="","",ABS(P323-Components!$D$7))</f>
        <v/>
      </c>
      <c r="W323" s="61">
        <f>IF(G323="","",IF(N323="OK","NONE",INDEX({"S1","S2","W1","W2","N1","N2"},MATCH(MIN(Q323:V323),Q323:V323,0))))</f>
        <v/>
      </c>
      <c r="X323" s="69">
        <f>IF(G323="","",IF(W323=E323,1,0))</f>
        <v/>
      </c>
      <c r="Y323" s="70" t="n"/>
    </row>
    <row r="324">
      <c r="A324" s="61" t="n">
        <v>44</v>
      </c>
      <c r="B324" s="62" t="n">
        <v>6</v>
      </c>
      <c r="C324" s="61" t="inlineStr">
        <is>
          <t>R6</t>
        </is>
      </c>
      <c r="D324" s="74" t="inlineStr">
        <is>
          <t>NG</t>
        </is>
      </c>
      <c r="E324" s="61" t="inlineStr">
        <is>
          <t>S1</t>
        </is>
      </c>
      <c r="F324" s="61" t="inlineStr">
        <is>
          <t>K044</t>
        </is>
      </c>
      <c r="G324" s="75" t="n">
        <v>5.83</v>
      </c>
      <c r="H324" s="65" t="n"/>
      <c r="I324" s="66" t="n"/>
      <c r="J324" s="67">
        <f>VLOOKUP(C324,Recipes!$A$2:$N$4,10,FALSE())</f>
        <v/>
      </c>
      <c r="K324" s="68">
        <f>VLOOKUP(C324,Recipes!$A$2:$N$4,12,FALSE())</f>
        <v/>
      </c>
      <c r="L324" s="67">
        <f>J324-3.5*K324</f>
        <v/>
      </c>
      <c r="M324" s="67">
        <f>J324+3.5*K324</f>
        <v/>
      </c>
      <c r="N324" s="61">
        <f>IF(G324="","",IF(AND(G324&gt;=L324,G324&lt;=M324),"OK","NG"))</f>
        <v/>
      </c>
      <c r="O324" s="69">
        <f>IF(N324="","",IF(N324=D324,1,0))</f>
        <v/>
      </c>
      <c r="P324" s="67">
        <f>IF(G324="","",J324-G324)</f>
        <v/>
      </c>
      <c r="Q324" s="67">
        <f>IF(G324="","",ABS(P324-Components!$D$2))</f>
        <v/>
      </c>
      <c r="R324" s="67">
        <f>IF(G324="","",ABS(P324-Components!$D$3))</f>
        <v/>
      </c>
      <c r="S324" s="67">
        <f>IF(G324="","",ABS(P324-Components!$D$4))</f>
        <v/>
      </c>
      <c r="T324" s="67">
        <f>IF(G324="","",ABS(P324-Components!$D$5))</f>
        <v/>
      </c>
      <c r="U324" s="67">
        <f>IF(G324="","",ABS(P324-Components!$D$6))</f>
        <v/>
      </c>
      <c r="V324" s="67">
        <f>IF(G324="","",ABS(P324-Components!$D$7))</f>
        <v/>
      </c>
      <c r="W324" s="61">
        <f>IF(G324="","",IF(N324="OK","NONE",INDEX({"S1","S2","W1","W2","N1","N2"},MATCH(MIN(Q324:V324),Q324:V324,0))))</f>
        <v/>
      </c>
      <c r="X324" s="69">
        <f>IF(G324="","",IF(W324=E324,1,0))</f>
        <v/>
      </c>
      <c r="Y324" s="70" t="n"/>
    </row>
    <row r="325">
      <c r="A325" s="61" t="n">
        <v>44</v>
      </c>
      <c r="B325" s="62" t="n">
        <v>6</v>
      </c>
      <c r="C325" s="61" t="inlineStr">
        <is>
          <t>R6</t>
        </is>
      </c>
      <c r="D325" s="74" t="inlineStr">
        <is>
          <t>NG</t>
        </is>
      </c>
      <c r="E325" s="61" t="inlineStr">
        <is>
          <t>S1</t>
        </is>
      </c>
      <c r="F325" s="61" t="inlineStr">
        <is>
          <t>K044</t>
        </is>
      </c>
      <c r="G325" s="75" t="n">
        <v>5.85</v>
      </c>
      <c r="H325" s="65" t="n"/>
      <c r="I325" s="66" t="n"/>
      <c r="J325" s="67">
        <f>VLOOKUP(C325,Recipes!$A$2:$N$4,10,FALSE())</f>
        <v/>
      </c>
      <c r="K325" s="68">
        <f>VLOOKUP(C325,Recipes!$A$2:$N$4,12,FALSE())</f>
        <v/>
      </c>
      <c r="L325" s="67">
        <f>J325-3.5*K325</f>
        <v/>
      </c>
      <c r="M325" s="67">
        <f>J325+3.5*K325</f>
        <v/>
      </c>
      <c r="N325" s="61">
        <f>IF(G325="","",IF(AND(G325&gt;=L325,G325&lt;=M325),"OK","NG"))</f>
        <v/>
      </c>
      <c r="O325" s="69">
        <f>IF(N325="","",IF(N325=D325,1,0))</f>
        <v/>
      </c>
      <c r="P325" s="67">
        <f>IF(G325="","",J325-G325)</f>
        <v/>
      </c>
      <c r="Q325" s="67">
        <f>IF(G325="","",ABS(P325-Components!$D$2))</f>
        <v/>
      </c>
      <c r="R325" s="67">
        <f>IF(G325="","",ABS(P325-Components!$D$3))</f>
        <v/>
      </c>
      <c r="S325" s="67">
        <f>IF(G325="","",ABS(P325-Components!$D$4))</f>
        <v/>
      </c>
      <c r="T325" s="67">
        <f>IF(G325="","",ABS(P325-Components!$D$5))</f>
        <v/>
      </c>
      <c r="U325" s="67">
        <f>IF(G325="","",ABS(P325-Components!$D$6))</f>
        <v/>
      </c>
      <c r="V325" s="67">
        <f>IF(G325="","",ABS(P325-Components!$D$7))</f>
        <v/>
      </c>
      <c r="W325" s="61">
        <f>IF(G325="","",IF(N325="OK","NONE",INDEX({"S1","S2","W1","W2","N1","N2"},MATCH(MIN(Q325:V325),Q325:V325,0))))</f>
        <v/>
      </c>
      <c r="X325" s="69">
        <f>IF(G325="","",IF(W325=E325,1,0))</f>
        <v/>
      </c>
      <c r="Y325" s="70" t="n"/>
    </row>
    <row r="326">
      <c r="A326" s="61" t="n">
        <v>44</v>
      </c>
      <c r="B326" s="62" t="n">
        <v>6</v>
      </c>
      <c r="C326" s="61" t="inlineStr">
        <is>
          <t>R6</t>
        </is>
      </c>
      <c r="D326" s="74" t="inlineStr">
        <is>
          <t>NG</t>
        </is>
      </c>
      <c r="E326" s="61" t="inlineStr">
        <is>
          <t>S1</t>
        </is>
      </c>
      <c r="F326" s="61" t="inlineStr">
        <is>
          <t>K044</t>
        </is>
      </c>
      <c r="G326" s="75" t="n">
        <v>5.86</v>
      </c>
      <c r="H326" s="65" t="n"/>
      <c r="I326" s="66" t="n"/>
      <c r="J326" s="67">
        <f>VLOOKUP(C326,Recipes!$A$2:$N$4,10,FALSE())</f>
        <v/>
      </c>
      <c r="K326" s="68">
        <f>VLOOKUP(C326,Recipes!$A$2:$N$4,12,FALSE())</f>
        <v/>
      </c>
      <c r="L326" s="67">
        <f>J326-3.5*K326</f>
        <v/>
      </c>
      <c r="M326" s="67">
        <f>J326+3.5*K326</f>
        <v/>
      </c>
      <c r="N326" s="61">
        <f>IF(G326="","",IF(AND(G326&gt;=L326,G326&lt;=M326),"OK","NG"))</f>
        <v/>
      </c>
      <c r="O326" s="69">
        <f>IF(N326="","",IF(N326=D326,1,0))</f>
        <v/>
      </c>
      <c r="P326" s="67">
        <f>IF(G326="","",J326-G326)</f>
        <v/>
      </c>
      <c r="Q326" s="67">
        <f>IF(G326="","",ABS(P326-Components!$D$2))</f>
        <v/>
      </c>
      <c r="R326" s="67">
        <f>IF(G326="","",ABS(P326-Components!$D$3))</f>
        <v/>
      </c>
      <c r="S326" s="67">
        <f>IF(G326="","",ABS(P326-Components!$D$4))</f>
        <v/>
      </c>
      <c r="T326" s="67">
        <f>IF(G326="","",ABS(P326-Components!$D$5))</f>
        <v/>
      </c>
      <c r="U326" s="67">
        <f>IF(G326="","",ABS(P326-Components!$D$6))</f>
        <v/>
      </c>
      <c r="V326" s="67">
        <f>IF(G326="","",ABS(P326-Components!$D$7))</f>
        <v/>
      </c>
      <c r="W326" s="61">
        <f>IF(G326="","",IF(N326="OK","NONE",INDEX({"S1","S2","W1","W2","N1","N2"},MATCH(MIN(Q326:V326),Q326:V326,0))))</f>
        <v/>
      </c>
      <c r="X326" s="69">
        <f>IF(G326="","",IF(W326=E326,1,0))</f>
        <v/>
      </c>
      <c r="Y326" s="70" t="n"/>
    </row>
    <row r="327">
      <c r="A327" s="61" t="n">
        <v>44</v>
      </c>
      <c r="B327" s="62" t="n">
        <v>6</v>
      </c>
      <c r="C327" s="61" t="inlineStr">
        <is>
          <t>R6</t>
        </is>
      </c>
      <c r="D327" s="74" t="inlineStr">
        <is>
          <t>NG</t>
        </is>
      </c>
      <c r="E327" s="61" t="inlineStr">
        <is>
          <t>S1</t>
        </is>
      </c>
      <c r="F327" s="61" t="inlineStr">
        <is>
          <t>K044</t>
        </is>
      </c>
      <c r="G327" s="75" t="n">
        <v>5.87</v>
      </c>
      <c r="H327" s="65" t="n"/>
      <c r="I327" s="66" t="n"/>
      <c r="J327" s="67">
        <f>VLOOKUP(C327,Recipes!$A$2:$N$4,10,FALSE())</f>
        <v/>
      </c>
      <c r="K327" s="68">
        <f>VLOOKUP(C327,Recipes!$A$2:$N$4,12,FALSE())</f>
        <v/>
      </c>
      <c r="L327" s="67">
        <f>J327-3.5*K327</f>
        <v/>
      </c>
      <c r="M327" s="67">
        <f>J327+3.5*K327</f>
        <v/>
      </c>
      <c r="N327" s="61">
        <f>IF(G327="","",IF(AND(G327&gt;=L327,G327&lt;=M327),"OK","NG"))</f>
        <v/>
      </c>
      <c r="O327" s="69">
        <f>IF(N327="","",IF(N327=D327,1,0))</f>
        <v/>
      </c>
      <c r="P327" s="67">
        <f>IF(G327="","",J327-G327)</f>
        <v/>
      </c>
      <c r="Q327" s="67">
        <f>IF(G327="","",ABS(P327-Components!$D$2))</f>
        <v/>
      </c>
      <c r="R327" s="67">
        <f>IF(G327="","",ABS(P327-Components!$D$3))</f>
        <v/>
      </c>
      <c r="S327" s="67">
        <f>IF(G327="","",ABS(P327-Components!$D$4))</f>
        <v/>
      </c>
      <c r="T327" s="67">
        <f>IF(G327="","",ABS(P327-Components!$D$5))</f>
        <v/>
      </c>
      <c r="U327" s="67">
        <f>IF(G327="","",ABS(P327-Components!$D$6))</f>
        <v/>
      </c>
      <c r="V327" s="67">
        <f>IF(G327="","",ABS(P327-Components!$D$7))</f>
        <v/>
      </c>
      <c r="W327" s="61">
        <f>IF(G327="","",IF(N327="OK","NONE",INDEX({"S1","S2","W1","W2","N1","N2"},MATCH(MIN(Q327:V327),Q327:V327,0))))</f>
        <v/>
      </c>
      <c r="X327" s="69">
        <f>IF(G327="","",IF(W327=E327,1,0))</f>
        <v/>
      </c>
      <c r="Y327" s="70" t="n"/>
    </row>
    <row r="328">
      <c r="A328" s="61" t="n">
        <v>44</v>
      </c>
      <c r="B328" s="62" t="n">
        <v>6</v>
      </c>
      <c r="C328" s="61" t="inlineStr">
        <is>
          <t>R6</t>
        </is>
      </c>
      <c r="D328" s="74" t="inlineStr">
        <is>
          <t>NG</t>
        </is>
      </c>
      <c r="E328" s="61" t="inlineStr">
        <is>
          <t>S1</t>
        </is>
      </c>
      <c r="F328" s="61" t="inlineStr">
        <is>
          <t>K044</t>
        </is>
      </c>
      <c r="G328" s="75" t="n">
        <v>5.81</v>
      </c>
      <c r="H328" s="65" t="n"/>
      <c r="I328" s="66" t="n"/>
      <c r="J328" s="67">
        <f>VLOOKUP(C328,Recipes!$A$2:$N$4,10,FALSE())</f>
        <v/>
      </c>
      <c r="K328" s="68">
        <f>VLOOKUP(C328,Recipes!$A$2:$N$4,12,FALSE())</f>
        <v/>
      </c>
      <c r="L328" s="67">
        <f>J328-3.5*K328</f>
        <v/>
      </c>
      <c r="M328" s="67">
        <f>J328+3.5*K328</f>
        <v/>
      </c>
      <c r="N328" s="61">
        <f>IF(G328="","",IF(AND(G328&gt;=L328,G328&lt;=M328),"OK","NG"))</f>
        <v/>
      </c>
      <c r="O328" s="69">
        <f>IF(N328="","",IF(N328=D328,1,0))</f>
        <v/>
      </c>
      <c r="P328" s="67">
        <f>IF(G328="","",J328-G328)</f>
        <v/>
      </c>
      <c r="Q328" s="67">
        <f>IF(G328="","",ABS(P328-Components!$D$2))</f>
        <v/>
      </c>
      <c r="R328" s="67">
        <f>IF(G328="","",ABS(P328-Components!$D$3))</f>
        <v/>
      </c>
      <c r="S328" s="67">
        <f>IF(G328="","",ABS(P328-Components!$D$4))</f>
        <v/>
      </c>
      <c r="T328" s="67">
        <f>IF(G328="","",ABS(P328-Components!$D$5))</f>
        <v/>
      </c>
      <c r="U328" s="67">
        <f>IF(G328="","",ABS(P328-Components!$D$6))</f>
        <v/>
      </c>
      <c r="V328" s="67">
        <f>IF(G328="","",ABS(P328-Components!$D$7))</f>
        <v/>
      </c>
      <c r="W328" s="61">
        <f>IF(G328="","",IF(N328="OK","NONE",INDEX({"S1","S2","W1","W2","N1","N2"},MATCH(MIN(Q328:V328),Q328:V328,0))))</f>
        <v/>
      </c>
      <c r="X328" s="69">
        <f>IF(G328="","",IF(W328=E328,1,0))</f>
        <v/>
      </c>
      <c r="Y328" s="70" t="n"/>
    </row>
    <row r="329">
      <c r="A329" s="61" t="n">
        <v>44</v>
      </c>
      <c r="B329" s="62" t="n">
        <v>6</v>
      </c>
      <c r="C329" s="61" t="inlineStr">
        <is>
          <t>R6</t>
        </is>
      </c>
      <c r="D329" s="74" t="inlineStr">
        <is>
          <t>NG</t>
        </is>
      </c>
      <c r="E329" s="61" t="inlineStr">
        <is>
          <t>S1</t>
        </is>
      </c>
      <c r="F329" s="61" t="inlineStr">
        <is>
          <t>K044</t>
        </is>
      </c>
      <c r="G329" s="75" t="n">
        <v>5.83</v>
      </c>
      <c r="H329" s="65" t="n"/>
      <c r="I329" s="66" t="n"/>
      <c r="J329" s="67">
        <f>VLOOKUP(C329,Recipes!$A$2:$N$4,10,FALSE())</f>
        <v/>
      </c>
      <c r="K329" s="68">
        <f>VLOOKUP(C329,Recipes!$A$2:$N$4,12,FALSE())</f>
        <v/>
      </c>
      <c r="L329" s="67">
        <f>J329-3.5*K329</f>
        <v/>
      </c>
      <c r="M329" s="67">
        <f>J329+3.5*K329</f>
        <v/>
      </c>
      <c r="N329" s="61">
        <f>IF(G329="","",IF(AND(G329&gt;=L329,G329&lt;=M329),"OK","NG"))</f>
        <v/>
      </c>
      <c r="O329" s="69">
        <f>IF(N329="","",IF(N329=D329,1,0))</f>
        <v/>
      </c>
      <c r="P329" s="67">
        <f>IF(G329="","",J329-G329)</f>
        <v/>
      </c>
      <c r="Q329" s="67">
        <f>IF(G329="","",ABS(P329-Components!$D$2))</f>
        <v/>
      </c>
      <c r="R329" s="67">
        <f>IF(G329="","",ABS(P329-Components!$D$3))</f>
        <v/>
      </c>
      <c r="S329" s="67">
        <f>IF(G329="","",ABS(P329-Components!$D$4))</f>
        <v/>
      </c>
      <c r="T329" s="67">
        <f>IF(G329="","",ABS(P329-Components!$D$5))</f>
        <v/>
      </c>
      <c r="U329" s="67">
        <f>IF(G329="","",ABS(P329-Components!$D$6))</f>
        <v/>
      </c>
      <c r="V329" s="67">
        <f>IF(G329="","",ABS(P329-Components!$D$7))</f>
        <v/>
      </c>
      <c r="W329" s="61">
        <f>IF(G329="","",IF(N329="OK","NONE",INDEX({"S1","S2","W1","W2","N1","N2"},MATCH(MIN(Q329:V329),Q329:V329,0))))</f>
        <v/>
      </c>
      <c r="X329" s="69">
        <f>IF(G329="","",IF(W329=E329,1,0))</f>
        <v/>
      </c>
      <c r="Y329" s="70" t="n"/>
    </row>
    <row r="330">
      <c r="A330" s="61" t="n">
        <v>44</v>
      </c>
      <c r="B330" s="62" t="n">
        <v>6</v>
      </c>
      <c r="C330" s="61" t="inlineStr">
        <is>
          <t>R6</t>
        </is>
      </c>
      <c r="D330" s="74" t="inlineStr">
        <is>
          <t>NG</t>
        </is>
      </c>
      <c r="E330" s="61" t="inlineStr">
        <is>
          <t>S1</t>
        </is>
      </c>
      <c r="F330" s="61" t="inlineStr">
        <is>
          <t>K044</t>
        </is>
      </c>
      <c r="G330" s="75" t="n">
        <v>5.87</v>
      </c>
      <c r="H330" s="65" t="n"/>
      <c r="I330" s="66" t="n"/>
      <c r="J330" s="67">
        <f>VLOOKUP(C330,Recipes!$A$2:$N$4,10,FALSE())</f>
        <v/>
      </c>
      <c r="K330" s="68">
        <f>VLOOKUP(C330,Recipes!$A$2:$N$4,12,FALSE())</f>
        <v/>
      </c>
      <c r="L330" s="67">
        <f>J330-3.5*K330</f>
        <v/>
      </c>
      <c r="M330" s="67">
        <f>J330+3.5*K330</f>
        <v/>
      </c>
      <c r="N330" s="61">
        <f>IF(G330="","",IF(AND(G330&gt;=L330,G330&lt;=M330),"OK","NG"))</f>
        <v/>
      </c>
      <c r="O330" s="69">
        <f>IF(N330="","",IF(N330=D330,1,0))</f>
        <v/>
      </c>
      <c r="P330" s="67">
        <f>IF(G330="","",J330-G330)</f>
        <v/>
      </c>
      <c r="Q330" s="67">
        <f>IF(G330="","",ABS(P330-Components!$D$2))</f>
        <v/>
      </c>
      <c r="R330" s="67">
        <f>IF(G330="","",ABS(P330-Components!$D$3))</f>
        <v/>
      </c>
      <c r="S330" s="67">
        <f>IF(G330="","",ABS(P330-Components!$D$4))</f>
        <v/>
      </c>
      <c r="T330" s="67">
        <f>IF(G330="","",ABS(P330-Components!$D$5))</f>
        <v/>
      </c>
      <c r="U330" s="67">
        <f>IF(G330="","",ABS(P330-Components!$D$6))</f>
        <v/>
      </c>
      <c r="V330" s="67">
        <f>IF(G330="","",ABS(P330-Components!$D$7))</f>
        <v/>
      </c>
      <c r="W330" s="61">
        <f>IF(G330="","",IF(N330="OK","NONE",INDEX({"S1","S2","W1","W2","N1","N2"},MATCH(MIN(Q330:V330),Q330:V330,0))))</f>
        <v/>
      </c>
      <c r="X330" s="69">
        <f>IF(G330="","",IF(W330=E330,1,0))</f>
        <v/>
      </c>
      <c r="Y330" s="70" t="n"/>
    </row>
    <row r="331">
      <c r="A331" s="61" t="n">
        <v>44</v>
      </c>
      <c r="B331" s="62" t="n">
        <v>6</v>
      </c>
      <c r="C331" s="61" t="inlineStr">
        <is>
          <t>R6</t>
        </is>
      </c>
      <c r="D331" s="74" t="inlineStr">
        <is>
          <t>NG</t>
        </is>
      </c>
      <c r="E331" s="61" t="inlineStr">
        <is>
          <t>S1</t>
        </is>
      </c>
      <c r="F331" s="61" t="inlineStr">
        <is>
          <t>K044</t>
        </is>
      </c>
      <c r="G331" s="75" t="n">
        <v>5.8</v>
      </c>
      <c r="H331" s="65" t="n"/>
      <c r="I331" s="66" t="n"/>
      <c r="J331" s="67">
        <f>VLOOKUP(C331,Recipes!$A$2:$N$4,10,FALSE())</f>
        <v/>
      </c>
      <c r="K331" s="68">
        <f>VLOOKUP(C331,Recipes!$A$2:$N$4,12,FALSE())</f>
        <v/>
      </c>
      <c r="L331" s="67">
        <f>J331-3.5*K331</f>
        <v/>
      </c>
      <c r="M331" s="67">
        <f>J331+3.5*K331</f>
        <v/>
      </c>
      <c r="N331" s="61">
        <f>IF(G331="","",IF(AND(G331&gt;=L331,G331&lt;=M331),"OK","NG"))</f>
        <v/>
      </c>
      <c r="O331" s="69">
        <f>IF(N331="","",IF(N331=D331,1,0))</f>
        <v/>
      </c>
      <c r="P331" s="67">
        <f>IF(G331="","",J331-G331)</f>
        <v/>
      </c>
      <c r="Q331" s="67">
        <f>IF(G331="","",ABS(P331-Components!$D$2))</f>
        <v/>
      </c>
      <c r="R331" s="67">
        <f>IF(G331="","",ABS(P331-Components!$D$3))</f>
        <v/>
      </c>
      <c r="S331" s="67">
        <f>IF(G331="","",ABS(P331-Components!$D$4))</f>
        <v/>
      </c>
      <c r="T331" s="67">
        <f>IF(G331="","",ABS(P331-Components!$D$5))</f>
        <v/>
      </c>
      <c r="U331" s="67">
        <f>IF(G331="","",ABS(P331-Components!$D$6))</f>
        <v/>
      </c>
      <c r="V331" s="67">
        <f>IF(G331="","",ABS(P331-Components!$D$7))</f>
        <v/>
      </c>
      <c r="W331" s="61">
        <f>IF(G331="","",IF(N331="OK","NONE",INDEX({"S1","S2","W1","W2","N1","N2"},MATCH(MIN(Q331:V331),Q331:V331,0))))</f>
        <v/>
      </c>
      <c r="X331" s="69">
        <f>IF(G331="","",IF(W331=E331,1,0))</f>
        <v/>
      </c>
      <c r="Y331" s="70" t="n"/>
    </row>
    <row r="332">
      <c r="A332" s="61" t="n">
        <v>44</v>
      </c>
      <c r="B332" s="62" t="n">
        <v>6</v>
      </c>
      <c r="C332" s="61" t="inlineStr">
        <is>
          <t>R6</t>
        </is>
      </c>
      <c r="D332" s="74" t="inlineStr">
        <is>
          <t>NG</t>
        </is>
      </c>
      <c r="E332" s="61" t="inlineStr">
        <is>
          <t>S1</t>
        </is>
      </c>
      <c r="F332" s="61" t="inlineStr">
        <is>
          <t>K044</t>
        </is>
      </c>
      <c r="G332" s="75" t="n">
        <v>5.86</v>
      </c>
      <c r="H332" s="65" t="n"/>
      <c r="I332" s="66" t="n"/>
      <c r="J332" s="67">
        <f>VLOOKUP(C332,Recipes!$A$2:$N$4,10,FALSE())</f>
        <v/>
      </c>
      <c r="K332" s="68">
        <f>VLOOKUP(C332,Recipes!$A$2:$N$4,12,FALSE())</f>
        <v/>
      </c>
      <c r="L332" s="67">
        <f>J332-3.5*K332</f>
        <v/>
      </c>
      <c r="M332" s="67">
        <f>J332+3.5*K332</f>
        <v/>
      </c>
      <c r="N332" s="61">
        <f>IF(G332="","",IF(AND(G332&gt;=L332,G332&lt;=M332),"OK","NG"))</f>
        <v/>
      </c>
      <c r="O332" s="69">
        <f>IF(N332="","",IF(N332=D332,1,0))</f>
        <v/>
      </c>
      <c r="P332" s="67">
        <f>IF(G332="","",J332-G332)</f>
        <v/>
      </c>
      <c r="Q332" s="67">
        <f>IF(G332="","",ABS(P332-Components!$D$2))</f>
        <v/>
      </c>
      <c r="R332" s="67">
        <f>IF(G332="","",ABS(P332-Components!$D$3))</f>
        <v/>
      </c>
      <c r="S332" s="67">
        <f>IF(G332="","",ABS(P332-Components!$D$4))</f>
        <v/>
      </c>
      <c r="T332" s="67">
        <f>IF(G332="","",ABS(P332-Components!$D$5))</f>
        <v/>
      </c>
      <c r="U332" s="67">
        <f>IF(G332="","",ABS(P332-Components!$D$6))</f>
        <v/>
      </c>
      <c r="V332" s="67">
        <f>IF(G332="","",ABS(P332-Components!$D$7))</f>
        <v/>
      </c>
      <c r="W332" s="61">
        <f>IF(G332="","",IF(N332="OK","NONE",INDEX({"S1","S2","W1","W2","N1","N2"},MATCH(MIN(Q332:V332),Q332:V332,0))))</f>
        <v/>
      </c>
      <c r="X332" s="69">
        <f>IF(G332="","",IF(W332=E332,1,0))</f>
        <v/>
      </c>
      <c r="Y332" s="70" t="n"/>
    </row>
    <row r="333">
      <c r="A333" s="61" t="n">
        <v>46</v>
      </c>
      <c r="B333" s="62" t="n">
        <v>44</v>
      </c>
      <c r="C333" s="61" t="inlineStr">
        <is>
          <t>R6</t>
        </is>
      </c>
      <c r="D333" s="74" t="inlineStr">
        <is>
          <t>NG</t>
        </is>
      </c>
      <c r="E333" s="61" t="inlineStr">
        <is>
          <t>W1</t>
        </is>
      </c>
      <c r="F333" s="61" t="inlineStr">
        <is>
          <t>K046</t>
        </is>
      </c>
      <c r="G333" s="75" t="n">
        <v>7.6</v>
      </c>
      <c r="H333" s="65" t="n"/>
      <c r="I333" s="66" t="n"/>
      <c r="J333" s="67">
        <f>VLOOKUP(C333,Recipes!$A$2:$N$4,10,FALSE())</f>
        <v/>
      </c>
      <c r="K333" s="68">
        <f>VLOOKUP(C333,Recipes!$A$2:$N$4,12,FALSE())</f>
        <v/>
      </c>
      <c r="L333" s="67">
        <f>J333-3.5*K333</f>
        <v/>
      </c>
      <c r="M333" s="67">
        <f>J333+3.5*K333</f>
        <v/>
      </c>
      <c r="N333" s="61">
        <f>IF(G333="","",IF(AND(G333&gt;=L333,G333&lt;=M333),"OK","NG"))</f>
        <v/>
      </c>
      <c r="O333" s="69">
        <f>IF(N333="","",IF(N333=D333,1,0))</f>
        <v/>
      </c>
      <c r="P333" s="67">
        <f>IF(G333="","",J333-G333)</f>
        <v/>
      </c>
      <c r="Q333" s="67">
        <f>IF(G333="","",ABS(P333-Components!$D$2))</f>
        <v/>
      </c>
      <c r="R333" s="67">
        <f>IF(G333="","",ABS(P333-Components!$D$3))</f>
        <v/>
      </c>
      <c r="S333" s="67">
        <f>IF(G333="","",ABS(P333-Components!$D$4))</f>
        <v/>
      </c>
      <c r="T333" s="67">
        <f>IF(G333="","",ABS(P333-Components!$D$5))</f>
        <v/>
      </c>
      <c r="U333" s="67">
        <f>IF(G333="","",ABS(P333-Components!$D$6))</f>
        <v/>
      </c>
      <c r="V333" s="67">
        <f>IF(G333="","",ABS(P333-Components!$D$7))</f>
        <v/>
      </c>
      <c r="W333" s="61">
        <f>IF(G333="","",IF(N333="OK","NONE",INDEX({"S1","S2","W1","W2","N1","N2"},MATCH(MIN(Q333:V333),Q333:V333,0))))</f>
        <v/>
      </c>
      <c r="X333" s="69">
        <f>IF(G333="","",IF(W333=E333,1,0))</f>
        <v/>
      </c>
      <c r="Y333" s="70" t="n"/>
    </row>
    <row r="334">
      <c r="A334" s="61" t="n">
        <v>46</v>
      </c>
      <c r="B334" s="62" t="n">
        <v>44</v>
      </c>
      <c r="C334" s="61" t="inlineStr">
        <is>
          <t>R6</t>
        </is>
      </c>
      <c r="D334" s="74" t="inlineStr">
        <is>
          <t>NG</t>
        </is>
      </c>
      <c r="E334" s="61" t="inlineStr">
        <is>
          <t>W1</t>
        </is>
      </c>
      <c r="F334" s="61" t="inlineStr">
        <is>
          <t>K046</t>
        </is>
      </c>
      <c r="G334" s="75" t="n">
        <v>7.68</v>
      </c>
      <c r="H334" s="65" t="n"/>
      <c r="I334" s="66" t="n"/>
      <c r="J334" s="67">
        <f>VLOOKUP(C334,Recipes!$A$2:$N$4,10,FALSE())</f>
        <v/>
      </c>
      <c r="K334" s="68">
        <f>VLOOKUP(C334,Recipes!$A$2:$N$4,12,FALSE())</f>
        <v/>
      </c>
      <c r="L334" s="67">
        <f>J334-3.5*K334</f>
        <v/>
      </c>
      <c r="M334" s="67">
        <f>J334+3.5*K334</f>
        <v/>
      </c>
      <c r="N334" s="61">
        <f>IF(G334="","",IF(AND(G334&gt;=L334,G334&lt;=M334),"OK","NG"))</f>
        <v/>
      </c>
      <c r="O334" s="69">
        <f>IF(N334="","",IF(N334=D334,1,0))</f>
        <v/>
      </c>
      <c r="P334" s="67">
        <f>IF(G334="","",J334-G334)</f>
        <v/>
      </c>
      <c r="Q334" s="67">
        <f>IF(G334="","",ABS(P334-Components!$D$2))</f>
        <v/>
      </c>
      <c r="R334" s="67">
        <f>IF(G334="","",ABS(P334-Components!$D$3))</f>
        <v/>
      </c>
      <c r="S334" s="67">
        <f>IF(G334="","",ABS(P334-Components!$D$4))</f>
        <v/>
      </c>
      <c r="T334" s="67">
        <f>IF(G334="","",ABS(P334-Components!$D$5))</f>
        <v/>
      </c>
      <c r="U334" s="67">
        <f>IF(G334="","",ABS(P334-Components!$D$6))</f>
        <v/>
      </c>
      <c r="V334" s="67">
        <f>IF(G334="","",ABS(P334-Components!$D$7))</f>
        <v/>
      </c>
      <c r="W334" s="61">
        <f>IF(G334="","",IF(N334="OK","NONE",INDEX({"S1","S2","W1","W2","N1","N2"},MATCH(MIN(Q334:V334),Q334:V334,0))))</f>
        <v/>
      </c>
      <c r="X334" s="69">
        <f>IF(G334="","",IF(W334=E334,1,0))</f>
        <v/>
      </c>
      <c r="Y334" s="70" t="n"/>
    </row>
    <row r="335">
      <c r="A335" s="61" t="n">
        <v>46</v>
      </c>
      <c r="B335" s="62" t="n">
        <v>44</v>
      </c>
      <c r="C335" s="61" t="inlineStr">
        <is>
          <t>R6</t>
        </is>
      </c>
      <c r="D335" s="74" t="inlineStr">
        <is>
          <t>NG</t>
        </is>
      </c>
      <c r="E335" s="61" t="inlineStr">
        <is>
          <t>W1</t>
        </is>
      </c>
      <c r="F335" s="61" t="inlineStr">
        <is>
          <t>K046</t>
        </is>
      </c>
      <c r="G335" s="75" t="n">
        <v>7.4</v>
      </c>
      <c r="H335" s="65" t="n"/>
      <c r="I335" s="66" t="n"/>
      <c r="J335" s="67">
        <f>VLOOKUP(C335,Recipes!$A$2:$N$4,10,FALSE())</f>
        <v/>
      </c>
      <c r="K335" s="68">
        <f>VLOOKUP(C335,Recipes!$A$2:$N$4,12,FALSE())</f>
        <v/>
      </c>
      <c r="L335" s="67">
        <f>J335-3.5*K335</f>
        <v/>
      </c>
      <c r="M335" s="67">
        <f>J335+3.5*K335</f>
        <v/>
      </c>
      <c r="N335" s="61">
        <f>IF(G335="","",IF(AND(G335&gt;=L335,G335&lt;=M335),"OK","NG"))</f>
        <v/>
      </c>
      <c r="O335" s="69">
        <f>IF(N335="","",IF(N335=D335,1,0))</f>
        <v/>
      </c>
      <c r="P335" s="67">
        <f>IF(G335="","",J335-G335)</f>
        <v/>
      </c>
      <c r="Q335" s="67">
        <f>IF(G335="","",ABS(P335-Components!$D$2))</f>
        <v/>
      </c>
      <c r="R335" s="67">
        <f>IF(G335="","",ABS(P335-Components!$D$3))</f>
        <v/>
      </c>
      <c r="S335" s="67">
        <f>IF(G335="","",ABS(P335-Components!$D$4))</f>
        <v/>
      </c>
      <c r="T335" s="67">
        <f>IF(G335="","",ABS(P335-Components!$D$5))</f>
        <v/>
      </c>
      <c r="U335" s="67">
        <f>IF(G335="","",ABS(P335-Components!$D$6))</f>
        <v/>
      </c>
      <c r="V335" s="67">
        <f>IF(G335="","",ABS(P335-Components!$D$7))</f>
        <v/>
      </c>
      <c r="W335" s="61">
        <f>IF(G335="","",IF(N335="OK","NONE",INDEX({"S1","S2","W1","W2","N1","N2"},MATCH(MIN(Q335:V335),Q335:V335,0))))</f>
        <v/>
      </c>
      <c r="X335" s="71">
        <f>IF(G335="","",IF(W335=E335,1,0))</f>
        <v/>
      </c>
      <c r="Y335" s="70" t="n"/>
    </row>
    <row r="336">
      <c r="A336" s="61" t="n">
        <v>46</v>
      </c>
      <c r="B336" s="62" t="n">
        <v>44</v>
      </c>
      <c r="C336" s="61" t="inlineStr">
        <is>
          <t>R6</t>
        </is>
      </c>
      <c r="D336" s="74" t="inlineStr">
        <is>
          <t>NG</t>
        </is>
      </c>
      <c r="E336" s="61" t="inlineStr">
        <is>
          <t>W1</t>
        </is>
      </c>
      <c r="F336" s="61" t="inlineStr">
        <is>
          <t>K046</t>
        </is>
      </c>
      <c r="G336" s="75" t="n">
        <v>7.59</v>
      </c>
      <c r="H336" s="65" t="n"/>
      <c r="I336" s="66" t="n"/>
      <c r="J336" s="67">
        <f>VLOOKUP(C336,Recipes!$A$2:$N$4,10,FALSE())</f>
        <v/>
      </c>
      <c r="K336" s="68">
        <f>VLOOKUP(C336,Recipes!$A$2:$N$4,12,FALSE())</f>
        <v/>
      </c>
      <c r="L336" s="67">
        <f>J336-3.5*K336</f>
        <v/>
      </c>
      <c r="M336" s="67">
        <f>J336+3.5*K336</f>
        <v/>
      </c>
      <c r="N336" s="61">
        <f>IF(G336="","",IF(AND(G336&gt;=L336,G336&lt;=M336),"OK","NG"))</f>
        <v/>
      </c>
      <c r="O336" s="69">
        <f>IF(N336="","",IF(N336=D336,1,0))</f>
        <v/>
      </c>
      <c r="P336" s="67">
        <f>IF(G336="","",J336-G336)</f>
        <v/>
      </c>
      <c r="Q336" s="67">
        <f>IF(G336="","",ABS(P336-Components!$D$2))</f>
        <v/>
      </c>
      <c r="R336" s="67">
        <f>IF(G336="","",ABS(P336-Components!$D$3))</f>
        <v/>
      </c>
      <c r="S336" s="67">
        <f>IF(G336="","",ABS(P336-Components!$D$4))</f>
        <v/>
      </c>
      <c r="T336" s="67">
        <f>IF(G336="","",ABS(P336-Components!$D$5))</f>
        <v/>
      </c>
      <c r="U336" s="67">
        <f>IF(G336="","",ABS(P336-Components!$D$6))</f>
        <v/>
      </c>
      <c r="V336" s="67">
        <f>IF(G336="","",ABS(P336-Components!$D$7))</f>
        <v/>
      </c>
      <c r="W336" s="61">
        <f>IF(G336="","",IF(N336="OK","NONE",INDEX({"S1","S2","W1","W2","N1","N2"},MATCH(MIN(Q336:V336),Q336:V336,0))))</f>
        <v/>
      </c>
      <c r="X336" s="69">
        <f>IF(G336="","",IF(W336=E336,1,0))</f>
        <v/>
      </c>
      <c r="Y336" s="70" t="n"/>
    </row>
    <row r="337">
      <c r="A337" s="61" t="n">
        <v>46</v>
      </c>
      <c r="B337" s="62" t="n">
        <v>44</v>
      </c>
      <c r="C337" s="61" t="inlineStr">
        <is>
          <t>R6</t>
        </is>
      </c>
      <c r="D337" s="74" t="inlineStr">
        <is>
          <t>NG</t>
        </is>
      </c>
      <c r="E337" s="61" t="inlineStr">
        <is>
          <t>W1</t>
        </is>
      </c>
      <c r="F337" s="61" t="inlineStr">
        <is>
          <t>K046</t>
        </is>
      </c>
      <c r="G337" s="75" t="n">
        <v>7.53</v>
      </c>
      <c r="H337" s="65" t="n"/>
      <c r="I337" s="66" t="n"/>
      <c r="J337" s="67">
        <f>VLOOKUP(C337,Recipes!$A$2:$N$4,10,FALSE())</f>
        <v/>
      </c>
      <c r="K337" s="68">
        <f>VLOOKUP(C337,Recipes!$A$2:$N$4,12,FALSE())</f>
        <v/>
      </c>
      <c r="L337" s="67">
        <f>J337-3.5*K337</f>
        <v/>
      </c>
      <c r="M337" s="67">
        <f>J337+3.5*K337</f>
        <v/>
      </c>
      <c r="N337" s="61">
        <f>IF(G337="","",IF(AND(G337&gt;=L337,G337&lt;=M337),"OK","NG"))</f>
        <v/>
      </c>
      <c r="O337" s="69">
        <f>IF(N337="","",IF(N337=D337,1,0))</f>
        <v/>
      </c>
      <c r="P337" s="67">
        <f>IF(G337="","",J337-G337)</f>
        <v/>
      </c>
      <c r="Q337" s="67">
        <f>IF(G337="","",ABS(P337-Components!$D$2))</f>
        <v/>
      </c>
      <c r="R337" s="67">
        <f>IF(G337="","",ABS(P337-Components!$D$3))</f>
        <v/>
      </c>
      <c r="S337" s="67">
        <f>IF(G337="","",ABS(P337-Components!$D$4))</f>
        <v/>
      </c>
      <c r="T337" s="67">
        <f>IF(G337="","",ABS(P337-Components!$D$5))</f>
        <v/>
      </c>
      <c r="U337" s="67">
        <f>IF(G337="","",ABS(P337-Components!$D$6))</f>
        <v/>
      </c>
      <c r="V337" s="67">
        <f>IF(G337="","",ABS(P337-Components!$D$7))</f>
        <v/>
      </c>
      <c r="W337" s="61">
        <f>IF(G337="","",IF(N337="OK","NONE",INDEX({"S1","S2","W1","W2","N1","N2"},MATCH(MIN(Q337:V337),Q337:V337,0))))</f>
        <v/>
      </c>
      <c r="X337" s="71">
        <f>IF(G337="","",IF(W337=E337,1,0))</f>
        <v/>
      </c>
      <c r="Y337" s="70" t="n"/>
    </row>
    <row r="338">
      <c r="A338" s="61" t="n">
        <v>46</v>
      </c>
      <c r="B338" s="62" t="n">
        <v>44</v>
      </c>
      <c r="C338" s="61" t="inlineStr">
        <is>
          <t>R6</t>
        </is>
      </c>
      <c r="D338" s="74" t="inlineStr">
        <is>
          <t>NG</t>
        </is>
      </c>
      <c r="E338" s="61" t="inlineStr">
        <is>
          <t>W1</t>
        </is>
      </c>
      <c r="F338" s="61" t="inlineStr">
        <is>
          <t>K046</t>
        </is>
      </c>
      <c r="G338" s="75" t="n">
        <v>7.53</v>
      </c>
      <c r="H338" s="65" t="n"/>
      <c r="I338" s="66" t="n"/>
      <c r="J338" s="67">
        <f>VLOOKUP(C338,Recipes!$A$2:$N$4,10,FALSE())</f>
        <v/>
      </c>
      <c r="K338" s="68">
        <f>VLOOKUP(C338,Recipes!$A$2:$N$4,12,FALSE())</f>
        <v/>
      </c>
      <c r="L338" s="67">
        <f>J338-3.5*K338</f>
        <v/>
      </c>
      <c r="M338" s="67">
        <f>J338+3.5*K338</f>
        <v/>
      </c>
      <c r="N338" s="61">
        <f>IF(G338="","",IF(AND(G338&gt;=L338,G338&lt;=M338),"OK","NG"))</f>
        <v/>
      </c>
      <c r="O338" s="69">
        <f>IF(N338="","",IF(N338=D338,1,0))</f>
        <v/>
      </c>
      <c r="P338" s="67">
        <f>IF(G338="","",J338-G338)</f>
        <v/>
      </c>
      <c r="Q338" s="67">
        <f>IF(G338="","",ABS(P338-Components!$D$2))</f>
        <v/>
      </c>
      <c r="R338" s="67">
        <f>IF(G338="","",ABS(P338-Components!$D$3))</f>
        <v/>
      </c>
      <c r="S338" s="67">
        <f>IF(G338="","",ABS(P338-Components!$D$4))</f>
        <v/>
      </c>
      <c r="T338" s="67">
        <f>IF(G338="","",ABS(P338-Components!$D$5))</f>
        <v/>
      </c>
      <c r="U338" s="67">
        <f>IF(G338="","",ABS(P338-Components!$D$6))</f>
        <v/>
      </c>
      <c r="V338" s="67">
        <f>IF(G338="","",ABS(P338-Components!$D$7))</f>
        <v/>
      </c>
      <c r="W338" s="61">
        <f>IF(G338="","",IF(N338="OK","NONE",INDEX({"S1","S2","W1","W2","N1","N2"},MATCH(MIN(Q338:V338),Q338:V338,0))))</f>
        <v/>
      </c>
      <c r="X338" s="71">
        <f>IF(G338="","",IF(W338=E338,1,0))</f>
        <v/>
      </c>
      <c r="Y338" s="70" t="n"/>
    </row>
    <row r="339">
      <c r="A339" s="61" t="n">
        <v>46</v>
      </c>
      <c r="B339" s="62" t="n">
        <v>44</v>
      </c>
      <c r="C339" s="61" t="inlineStr">
        <is>
          <t>R6</t>
        </is>
      </c>
      <c r="D339" s="74" t="inlineStr">
        <is>
          <t>NG</t>
        </is>
      </c>
      <c r="E339" s="61" t="inlineStr">
        <is>
          <t>W1</t>
        </is>
      </c>
      <c r="F339" s="61" t="inlineStr">
        <is>
          <t>K046</t>
        </is>
      </c>
      <c r="G339" s="75" t="n">
        <v>7.63</v>
      </c>
      <c r="H339" s="65" t="n"/>
      <c r="I339" s="66" t="n"/>
      <c r="J339" s="67">
        <f>VLOOKUP(C339,Recipes!$A$2:$N$4,10,FALSE())</f>
        <v/>
      </c>
      <c r="K339" s="68">
        <f>VLOOKUP(C339,Recipes!$A$2:$N$4,12,FALSE())</f>
        <v/>
      </c>
      <c r="L339" s="67">
        <f>J339-3.5*K339</f>
        <v/>
      </c>
      <c r="M339" s="67">
        <f>J339+3.5*K339</f>
        <v/>
      </c>
      <c r="N339" s="61">
        <f>IF(G339="","",IF(AND(G339&gt;=L339,G339&lt;=M339),"OK","NG"))</f>
        <v/>
      </c>
      <c r="O339" s="69">
        <f>IF(N339="","",IF(N339=D339,1,0))</f>
        <v/>
      </c>
      <c r="P339" s="67">
        <f>IF(G339="","",J339-G339)</f>
        <v/>
      </c>
      <c r="Q339" s="67">
        <f>IF(G339="","",ABS(P339-Components!$D$2))</f>
        <v/>
      </c>
      <c r="R339" s="67">
        <f>IF(G339="","",ABS(P339-Components!$D$3))</f>
        <v/>
      </c>
      <c r="S339" s="67">
        <f>IF(G339="","",ABS(P339-Components!$D$4))</f>
        <v/>
      </c>
      <c r="T339" s="67">
        <f>IF(G339="","",ABS(P339-Components!$D$5))</f>
        <v/>
      </c>
      <c r="U339" s="67">
        <f>IF(G339="","",ABS(P339-Components!$D$6))</f>
        <v/>
      </c>
      <c r="V339" s="67">
        <f>IF(G339="","",ABS(P339-Components!$D$7))</f>
        <v/>
      </c>
      <c r="W339" s="61">
        <f>IF(G339="","",IF(N339="OK","NONE",INDEX({"S1","S2","W1","W2","N1","N2"},MATCH(MIN(Q339:V339),Q339:V339,0))))</f>
        <v/>
      </c>
      <c r="X339" s="69">
        <f>IF(G339="","",IF(W339=E339,1,0))</f>
        <v/>
      </c>
      <c r="Y339" s="70" t="n"/>
    </row>
    <row r="340">
      <c r="A340" s="61" t="n">
        <v>46</v>
      </c>
      <c r="B340" s="62" t="n">
        <v>44</v>
      </c>
      <c r="C340" s="61" t="inlineStr">
        <is>
          <t>R6</t>
        </is>
      </c>
      <c r="D340" s="74" t="inlineStr">
        <is>
          <t>NG</t>
        </is>
      </c>
      <c r="E340" s="61" t="inlineStr">
        <is>
          <t>W1</t>
        </is>
      </c>
      <c r="F340" s="61" t="inlineStr">
        <is>
          <t>K046</t>
        </is>
      </c>
      <c r="G340" s="75" t="n">
        <v>7.62</v>
      </c>
      <c r="H340" s="65" t="n"/>
      <c r="I340" s="66" t="n"/>
      <c r="J340" s="67">
        <f>VLOOKUP(C340,Recipes!$A$2:$N$4,10,FALSE())</f>
        <v/>
      </c>
      <c r="K340" s="68">
        <f>VLOOKUP(C340,Recipes!$A$2:$N$4,12,FALSE())</f>
        <v/>
      </c>
      <c r="L340" s="67">
        <f>J340-3.5*K340</f>
        <v/>
      </c>
      <c r="M340" s="67">
        <f>J340+3.5*K340</f>
        <v/>
      </c>
      <c r="N340" s="61">
        <f>IF(G340="","",IF(AND(G340&gt;=L340,G340&lt;=M340),"OK","NG"))</f>
        <v/>
      </c>
      <c r="O340" s="69">
        <f>IF(N340="","",IF(N340=D340,1,0))</f>
        <v/>
      </c>
      <c r="P340" s="67">
        <f>IF(G340="","",J340-G340)</f>
        <v/>
      </c>
      <c r="Q340" s="67">
        <f>IF(G340="","",ABS(P340-Components!$D$2))</f>
        <v/>
      </c>
      <c r="R340" s="67">
        <f>IF(G340="","",ABS(P340-Components!$D$3))</f>
        <v/>
      </c>
      <c r="S340" s="67">
        <f>IF(G340="","",ABS(P340-Components!$D$4))</f>
        <v/>
      </c>
      <c r="T340" s="67">
        <f>IF(G340="","",ABS(P340-Components!$D$5))</f>
        <v/>
      </c>
      <c r="U340" s="67">
        <f>IF(G340="","",ABS(P340-Components!$D$6))</f>
        <v/>
      </c>
      <c r="V340" s="67">
        <f>IF(G340="","",ABS(P340-Components!$D$7))</f>
        <v/>
      </c>
      <c r="W340" s="61">
        <f>IF(G340="","",IF(N340="OK","NONE",INDEX({"S1","S2","W1","W2","N1","N2"},MATCH(MIN(Q340:V340),Q340:V340,0))))</f>
        <v/>
      </c>
      <c r="X340" s="69">
        <f>IF(G340="","",IF(W340=E340,1,0))</f>
        <v/>
      </c>
      <c r="Y340" s="70" t="n"/>
    </row>
    <row r="341">
      <c r="A341" s="61" t="n">
        <v>46</v>
      </c>
      <c r="B341" s="62" t="n">
        <v>44</v>
      </c>
      <c r="C341" s="61" t="inlineStr">
        <is>
          <t>R6</t>
        </is>
      </c>
      <c r="D341" s="74" t="inlineStr">
        <is>
          <t>NG</t>
        </is>
      </c>
      <c r="E341" s="61" t="inlineStr">
        <is>
          <t>W1</t>
        </is>
      </c>
      <c r="F341" s="61" t="inlineStr">
        <is>
          <t>K046</t>
        </is>
      </c>
      <c r="G341" s="75" t="n">
        <v>7.59</v>
      </c>
      <c r="H341" s="65" t="n"/>
      <c r="I341" s="66" t="n"/>
      <c r="J341" s="67">
        <f>VLOOKUP(C341,Recipes!$A$2:$N$4,10,FALSE())</f>
        <v/>
      </c>
      <c r="K341" s="68">
        <f>VLOOKUP(C341,Recipes!$A$2:$N$4,12,FALSE())</f>
        <v/>
      </c>
      <c r="L341" s="67">
        <f>J341-3.5*K341</f>
        <v/>
      </c>
      <c r="M341" s="67">
        <f>J341+3.5*K341</f>
        <v/>
      </c>
      <c r="N341" s="61">
        <f>IF(G341="","",IF(AND(G341&gt;=L341,G341&lt;=M341),"OK","NG"))</f>
        <v/>
      </c>
      <c r="O341" s="69">
        <f>IF(N341="","",IF(N341=D341,1,0))</f>
        <v/>
      </c>
      <c r="P341" s="67">
        <f>IF(G341="","",J341-G341)</f>
        <v/>
      </c>
      <c r="Q341" s="67">
        <f>IF(G341="","",ABS(P341-Components!$D$2))</f>
        <v/>
      </c>
      <c r="R341" s="67">
        <f>IF(G341="","",ABS(P341-Components!$D$3))</f>
        <v/>
      </c>
      <c r="S341" s="67">
        <f>IF(G341="","",ABS(P341-Components!$D$4))</f>
        <v/>
      </c>
      <c r="T341" s="67">
        <f>IF(G341="","",ABS(P341-Components!$D$5))</f>
        <v/>
      </c>
      <c r="U341" s="67">
        <f>IF(G341="","",ABS(P341-Components!$D$6))</f>
        <v/>
      </c>
      <c r="V341" s="67">
        <f>IF(G341="","",ABS(P341-Components!$D$7))</f>
        <v/>
      </c>
      <c r="W341" s="61">
        <f>IF(G341="","",IF(N341="OK","NONE",INDEX({"S1","S2","W1","W2","N1","N2"},MATCH(MIN(Q341:V341),Q341:V341,0))))</f>
        <v/>
      </c>
      <c r="X341" s="69">
        <f>IF(G341="","",IF(W341=E341,1,0))</f>
        <v/>
      </c>
      <c r="Y341" s="70" t="n"/>
    </row>
    <row r="342">
      <c r="A342" s="61" t="n">
        <v>46</v>
      </c>
      <c r="B342" s="62" t="n">
        <v>44</v>
      </c>
      <c r="C342" s="61" t="inlineStr">
        <is>
          <t>R6</t>
        </is>
      </c>
      <c r="D342" s="74" t="inlineStr">
        <is>
          <t>NG</t>
        </is>
      </c>
      <c r="E342" s="61" t="inlineStr">
        <is>
          <t>W1</t>
        </is>
      </c>
      <c r="F342" s="61" t="inlineStr">
        <is>
          <t>K046</t>
        </is>
      </c>
      <c r="G342" s="75" t="n">
        <v>7.64</v>
      </c>
      <c r="H342" s="65" t="n"/>
      <c r="I342" s="66" t="n"/>
      <c r="J342" s="67">
        <f>VLOOKUP(C342,Recipes!$A$2:$N$4,10,FALSE())</f>
        <v/>
      </c>
      <c r="K342" s="68">
        <f>VLOOKUP(C342,Recipes!$A$2:$N$4,12,FALSE())</f>
        <v/>
      </c>
      <c r="L342" s="67">
        <f>J342-3.5*K342</f>
        <v/>
      </c>
      <c r="M342" s="67">
        <f>J342+3.5*K342</f>
        <v/>
      </c>
      <c r="N342" s="61">
        <f>IF(G342="","",IF(AND(G342&gt;=L342,G342&lt;=M342),"OK","NG"))</f>
        <v/>
      </c>
      <c r="O342" s="69">
        <f>IF(N342="","",IF(N342=D342,1,0))</f>
        <v/>
      </c>
      <c r="P342" s="67">
        <f>IF(G342="","",J342-G342)</f>
        <v/>
      </c>
      <c r="Q342" s="67">
        <f>IF(G342="","",ABS(P342-Components!$D$2))</f>
        <v/>
      </c>
      <c r="R342" s="67">
        <f>IF(G342="","",ABS(P342-Components!$D$3))</f>
        <v/>
      </c>
      <c r="S342" s="67">
        <f>IF(G342="","",ABS(P342-Components!$D$4))</f>
        <v/>
      </c>
      <c r="T342" s="67">
        <f>IF(G342="","",ABS(P342-Components!$D$5))</f>
        <v/>
      </c>
      <c r="U342" s="67">
        <f>IF(G342="","",ABS(P342-Components!$D$6))</f>
        <v/>
      </c>
      <c r="V342" s="67">
        <f>IF(G342="","",ABS(P342-Components!$D$7))</f>
        <v/>
      </c>
      <c r="W342" s="61">
        <f>IF(G342="","",IF(N342="OK","NONE",INDEX({"S1","S2","W1","W2","N1","N2"},MATCH(MIN(Q342:V342),Q342:V342,0))))</f>
        <v/>
      </c>
      <c r="X342" s="69">
        <f>IF(G342="","",IF(W342=E342,1,0))</f>
        <v/>
      </c>
      <c r="Y342" s="70" t="n"/>
    </row>
    <row r="343">
      <c r="A343" s="61" t="n">
        <v>46</v>
      </c>
      <c r="B343" s="62" t="n">
        <v>44</v>
      </c>
      <c r="C343" s="61" t="inlineStr">
        <is>
          <t>R6</t>
        </is>
      </c>
      <c r="D343" s="74" t="inlineStr">
        <is>
          <t>NG</t>
        </is>
      </c>
      <c r="E343" s="61" t="inlineStr">
        <is>
          <t>W1</t>
        </is>
      </c>
      <c r="F343" s="61" t="inlineStr">
        <is>
          <t>K046</t>
        </is>
      </c>
      <c r="G343" s="75" t="n">
        <v>7.65</v>
      </c>
      <c r="H343" s="65" t="n"/>
      <c r="I343" s="66" t="n"/>
      <c r="J343" s="67">
        <f>VLOOKUP(C343,Recipes!$A$2:$N$4,10,FALSE())</f>
        <v/>
      </c>
      <c r="K343" s="68">
        <f>VLOOKUP(C343,Recipes!$A$2:$N$4,12,FALSE())</f>
        <v/>
      </c>
      <c r="L343" s="67">
        <f>J343-3.5*K343</f>
        <v/>
      </c>
      <c r="M343" s="67">
        <f>J343+3.5*K343</f>
        <v/>
      </c>
      <c r="N343" s="61">
        <f>IF(G343="","",IF(AND(G343&gt;=L343,G343&lt;=M343),"OK","NG"))</f>
        <v/>
      </c>
      <c r="O343" s="69">
        <f>IF(N343="","",IF(N343=D343,1,0))</f>
        <v/>
      </c>
      <c r="P343" s="67">
        <f>IF(G343="","",J343-G343)</f>
        <v/>
      </c>
      <c r="Q343" s="67">
        <f>IF(G343="","",ABS(P343-Components!$D$2))</f>
        <v/>
      </c>
      <c r="R343" s="67">
        <f>IF(G343="","",ABS(P343-Components!$D$3))</f>
        <v/>
      </c>
      <c r="S343" s="67">
        <f>IF(G343="","",ABS(P343-Components!$D$4))</f>
        <v/>
      </c>
      <c r="T343" s="67">
        <f>IF(G343="","",ABS(P343-Components!$D$5))</f>
        <v/>
      </c>
      <c r="U343" s="67">
        <f>IF(G343="","",ABS(P343-Components!$D$6))</f>
        <v/>
      </c>
      <c r="V343" s="67">
        <f>IF(G343="","",ABS(P343-Components!$D$7))</f>
        <v/>
      </c>
      <c r="W343" s="61">
        <f>IF(G343="","",IF(N343="OK","NONE",INDEX({"S1","S2","W1","W2","N1","N2"},MATCH(MIN(Q343:V343),Q343:V343,0))))</f>
        <v/>
      </c>
      <c r="X343" s="69">
        <f>IF(G343="","",IF(W343=E343,1,0))</f>
        <v/>
      </c>
      <c r="Y343" s="70" t="n"/>
    </row>
    <row r="344">
      <c r="A344" s="61" t="n">
        <v>46</v>
      </c>
      <c r="B344" s="62" t="n">
        <v>44</v>
      </c>
      <c r="C344" s="61" t="inlineStr">
        <is>
          <t>R6</t>
        </is>
      </c>
      <c r="D344" s="74" t="inlineStr">
        <is>
          <t>NG</t>
        </is>
      </c>
      <c r="E344" s="61" t="inlineStr">
        <is>
          <t>W1</t>
        </is>
      </c>
      <c r="F344" s="61" t="inlineStr">
        <is>
          <t>K046</t>
        </is>
      </c>
      <c r="G344" s="75" t="n">
        <v>7.6</v>
      </c>
      <c r="H344" s="65" t="n"/>
      <c r="I344" s="66" t="n"/>
      <c r="J344" s="67">
        <f>VLOOKUP(C344,Recipes!$A$2:$N$4,10,FALSE())</f>
        <v/>
      </c>
      <c r="K344" s="68">
        <f>VLOOKUP(C344,Recipes!$A$2:$N$4,12,FALSE())</f>
        <v/>
      </c>
      <c r="L344" s="67">
        <f>J344-3.5*K344</f>
        <v/>
      </c>
      <c r="M344" s="67">
        <f>J344+3.5*K344</f>
        <v/>
      </c>
      <c r="N344" s="61">
        <f>IF(G344="","",IF(AND(G344&gt;=L344,G344&lt;=M344),"OK","NG"))</f>
        <v/>
      </c>
      <c r="O344" s="69">
        <f>IF(N344="","",IF(N344=D344,1,0))</f>
        <v/>
      </c>
      <c r="P344" s="67">
        <f>IF(G344="","",J344-G344)</f>
        <v/>
      </c>
      <c r="Q344" s="67">
        <f>IF(G344="","",ABS(P344-Components!$D$2))</f>
        <v/>
      </c>
      <c r="R344" s="67">
        <f>IF(G344="","",ABS(P344-Components!$D$3))</f>
        <v/>
      </c>
      <c r="S344" s="67">
        <f>IF(G344="","",ABS(P344-Components!$D$4))</f>
        <v/>
      </c>
      <c r="T344" s="67">
        <f>IF(G344="","",ABS(P344-Components!$D$5))</f>
        <v/>
      </c>
      <c r="U344" s="67">
        <f>IF(G344="","",ABS(P344-Components!$D$6))</f>
        <v/>
      </c>
      <c r="V344" s="67">
        <f>IF(G344="","",ABS(P344-Components!$D$7))</f>
        <v/>
      </c>
      <c r="W344" s="61">
        <f>IF(G344="","",IF(N344="OK","NONE",INDEX({"S1","S2","W1","W2","N1","N2"},MATCH(MIN(Q344:V344),Q344:V344,0))))</f>
        <v/>
      </c>
      <c r="X344" s="69">
        <f>IF(G344="","",IF(W344=E344,1,0))</f>
        <v/>
      </c>
      <c r="Y344" s="70" t="n"/>
    </row>
    <row r="345">
      <c r="A345" s="61" t="n">
        <v>46</v>
      </c>
      <c r="B345" s="62" t="n">
        <v>44</v>
      </c>
      <c r="C345" s="61" t="inlineStr">
        <is>
          <t>R6</t>
        </is>
      </c>
      <c r="D345" s="74" t="inlineStr">
        <is>
          <t>NG</t>
        </is>
      </c>
      <c r="E345" s="61" t="inlineStr">
        <is>
          <t>W1</t>
        </is>
      </c>
      <c r="F345" s="61" t="inlineStr">
        <is>
          <t>K046</t>
        </is>
      </c>
      <c r="G345" s="75" t="n">
        <v>7.6</v>
      </c>
      <c r="H345" s="65" t="n"/>
      <c r="I345" s="66" t="n"/>
      <c r="J345" s="67">
        <f>VLOOKUP(C345,Recipes!$A$2:$N$4,10,FALSE())</f>
        <v/>
      </c>
      <c r="K345" s="68">
        <f>VLOOKUP(C345,Recipes!$A$2:$N$4,12,FALSE())</f>
        <v/>
      </c>
      <c r="L345" s="67">
        <f>J345-3.5*K345</f>
        <v/>
      </c>
      <c r="M345" s="67">
        <f>J345+3.5*K345</f>
        <v/>
      </c>
      <c r="N345" s="61">
        <f>IF(G345="","",IF(AND(G345&gt;=L345,G345&lt;=M345),"OK","NG"))</f>
        <v/>
      </c>
      <c r="O345" s="69">
        <f>IF(N345="","",IF(N345=D345,1,0))</f>
        <v/>
      </c>
      <c r="P345" s="67">
        <f>IF(G345="","",J345-G345)</f>
        <v/>
      </c>
      <c r="Q345" s="67">
        <f>IF(G345="","",ABS(P345-Components!$D$2))</f>
        <v/>
      </c>
      <c r="R345" s="67">
        <f>IF(G345="","",ABS(P345-Components!$D$3))</f>
        <v/>
      </c>
      <c r="S345" s="67">
        <f>IF(G345="","",ABS(P345-Components!$D$4))</f>
        <v/>
      </c>
      <c r="T345" s="67">
        <f>IF(G345="","",ABS(P345-Components!$D$5))</f>
        <v/>
      </c>
      <c r="U345" s="67">
        <f>IF(G345="","",ABS(P345-Components!$D$6))</f>
        <v/>
      </c>
      <c r="V345" s="67">
        <f>IF(G345="","",ABS(P345-Components!$D$7))</f>
        <v/>
      </c>
      <c r="W345" s="61">
        <f>IF(G345="","",IF(N345="OK","NONE",INDEX({"S1","S2","W1","W2","N1","N2"},MATCH(MIN(Q345:V345),Q345:V345,0))))</f>
        <v/>
      </c>
      <c r="X345" s="69">
        <f>IF(G345="","",IF(W345=E345,1,0))</f>
        <v/>
      </c>
      <c r="Y345" s="70" t="n"/>
    </row>
    <row r="346">
      <c r="A346" s="61" t="n">
        <v>46</v>
      </c>
      <c r="B346" s="62" t="n">
        <v>44</v>
      </c>
      <c r="C346" s="61" t="inlineStr">
        <is>
          <t>R6</t>
        </is>
      </c>
      <c r="D346" s="74" t="inlineStr">
        <is>
          <t>NG</t>
        </is>
      </c>
      <c r="E346" s="61" t="inlineStr">
        <is>
          <t>W1</t>
        </is>
      </c>
      <c r="F346" s="61" t="inlineStr">
        <is>
          <t>K046</t>
        </is>
      </c>
      <c r="G346" s="75" t="n">
        <v>7.59</v>
      </c>
      <c r="H346" s="65" t="n"/>
      <c r="I346" s="66" t="n"/>
      <c r="J346" s="67">
        <f>VLOOKUP(C346,Recipes!$A$2:$N$4,10,FALSE())</f>
        <v/>
      </c>
      <c r="K346" s="68">
        <f>VLOOKUP(C346,Recipes!$A$2:$N$4,12,FALSE())</f>
        <v/>
      </c>
      <c r="L346" s="67">
        <f>J346-3.5*K346</f>
        <v/>
      </c>
      <c r="M346" s="67">
        <f>J346+3.5*K346</f>
        <v/>
      </c>
      <c r="N346" s="61">
        <f>IF(G346="","",IF(AND(G346&gt;=L346,G346&lt;=M346),"OK","NG"))</f>
        <v/>
      </c>
      <c r="O346" s="69">
        <f>IF(N346="","",IF(N346=D346,1,0))</f>
        <v/>
      </c>
      <c r="P346" s="67">
        <f>IF(G346="","",J346-G346)</f>
        <v/>
      </c>
      <c r="Q346" s="67">
        <f>IF(G346="","",ABS(P346-Components!$D$2))</f>
        <v/>
      </c>
      <c r="R346" s="67">
        <f>IF(G346="","",ABS(P346-Components!$D$3))</f>
        <v/>
      </c>
      <c r="S346" s="67">
        <f>IF(G346="","",ABS(P346-Components!$D$4))</f>
        <v/>
      </c>
      <c r="T346" s="67">
        <f>IF(G346="","",ABS(P346-Components!$D$5))</f>
        <v/>
      </c>
      <c r="U346" s="67">
        <f>IF(G346="","",ABS(P346-Components!$D$6))</f>
        <v/>
      </c>
      <c r="V346" s="67">
        <f>IF(G346="","",ABS(P346-Components!$D$7))</f>
        <v/>
      </c>
      <c r="W346" s="61">
        <f>IF(G346="","",IF(N346="OK","NONE",INDEX({"S1","S2","W1","W2","N1","N2"},MATCH(MIN(Q346:V346),Q346:V346,0))))</f>
        <v/>
      </c>
      <c r="X346" s="69">
        <f>IF(G346="","",IF(W346=E346,1,0))</f>
        <v/>
      </c>
      <c r="Y346" s="70" t="n"/>
    </row>
    <row r="347">
      <c r="A347" s="61" t="n">
        <v>46</v>
      </c>
      <c r="B347" s="62" t="n">
        <v>44</v>
      </c>
      <c r="C347" s="61" t="inlineStr">
        <is>
          <t>R6</t>
        </is>
      </c>
      <c r="D347" s="74" t="inlineStr">
        <is>
          <t>NG</t>
        </is>
      </c>
      <c r="E347" s="61" t="inlineStr">
        <is>
          <t>W1</t>
        </is>
      </c>
      <c r="F347" s="61" t="inlineStr">
        <is>
          <t>K046</t>
        </is>
      </c>
      <c r="G347" s="75" t="n">
        <v>7.63</v>
      </c>
      <c r="H347" s="65" t="n"/>
      <c r="I347" s="66" t="n"/>
      <c r="J347" s="67">
        <f>VLOOKUP(C347,Recipes!$A$2:$N$4,10,FALSE())</f>
        <v/>
      </c>
      <c r="K347" s="68">
        <f>VLOOKUP(C347,Recipes!$A$2:$N$4,12,FALSE())</f>
        <v/>
      </c>
      <c r="L347" s="67">
        <f>J347-3.5*K347</f>
        <v/>
      </c>
      <c r="M347" s="67">
        <f>J347+3.5*K347</f>
        <v/>
      </c>
      <c r="N347" s="61">
        <f>IF(G347="","",IF(AND(G347&gt;=L347,G347&lt;=M347),"OK","NG"))</f>
        <v/>
      </c>
      <c r="O347" s="69">
        <f>IF(N347="","",IF(N347=D347,1,0))</f>
        <v/>
      </c>
      <c r="P347" s="67">
        <f>IF(G347="","",J347-G347)</f>
        <v/>
      </c>
      <c r="Q347" s="67">
        <f>IF(G347="","",ABS(P347-Components!$D$2))</f>
        <v/>
      </c>
      <c r="R347" s="67">
        <f>IF(G347="","",ABS(P347-Components!$D$3))</f>
        <v/>
      </c>
      <c r="S347" s="67">
        <f>IF(G347="","",ABS(P347-Components!$D$4))</f>
        <v/>
      </c>
      <c r="T347" s="67">
        <f>IF(G347="","",ABS(P347-Components!$D$5))</f>
        <v/>
      </c>
      <c r="U347" s="67">
        <f>IF(G347="","",ABS(P347-Components!$D$6))</f>
        <v/>
      </c>
      <c r="V347" s="67">
        <f>IF(G347="","",ABS(P347-Components!$D$7))</f>
        <v/>
      </c>
      <c r="W347" s="61">
        <f>IF(G347="","",IF(N347="OK","NONE",INDEX({"S1","S2","W1","W2","N1","N2"},MATCH(MIN(Q347:V347),Q347:V347,0))))</f>
        <v/>
      </c>
      <c r="X347" s="69">
        <f>IF(G347="","",IF(W347=E347,1,0))</f>
        <v/>
      </c>
      <c r="Y347" s="70" t="n"/>
    </row>
    <row r="348">
      <c r="A348" s="61" t="n">
        <v>46</v>
      </c>
      <c r="B348" s="62" t="n">
        <v>44</v>
      </c>
      <c r="C348" s="61" t="inlineStr">
        <is>
          <t>R6</t>
        </is>
      </c>
      <c r="D348" s="74" t="inlineStr">
        <is>
          <t>NG</t>
        </is>
      </c>
      <c r="E348" s="61" t="inlineStr">
        <is>
          <t>W1</t>
        </is>
      </c>
      <c r="F348" s="61" t="inlineStr">
        <is>
          <t>K046</t>
        </is>
      </c>
      <c r="G348" s="75" t="n">
        <v>7.6</v>
      </c>
      <c r="H348" s="65" t="n"/>
      <c r="I348" s="66" t="n"/>
      <c r="J348" s="67">
        <f>VLOOKUP(C348,Recipes!$A$2:$N$4,10,FALSE())</f>
        <v/>
      </c>
      <c r="K348" s="68">
        <f>VLOOKUP(C348,Recipes!$A$2:$N$4,12,FALSE())</f>
        <v/>
      </c>
      <c r="L348" s="67">
        <f>J348-3.5*K348</f>
        <v/>
      </c>
      <c r="M348" s="67">
        <f>J348+3.5*K348</f>
        <v/>
      </c>
      <c r="N348" s="61">
        <f>IF(G348="","",IF(AND(G348&gt;=L348,G348&lt;=M348),"OK","NG"))</f>
        <v/>
      </c>
      <c r="O348" s="69">
        <f>IF(N348="","",IF(N348=D348,1,0))</f>
        <v/>
      </c>
      <c r="P348" s="67">
        <f>IF(G348="","",J348-G348)</f>
        <v/>
      </c>
      <c r="Q348" s="67">
        <f>IF(G348="","",ABS(P348-Components!$D$2))</f>
        <v/>
      </c>
      <c r="R348" s="67">
        <f>IF(G348="","",ABS(P348-Components!$D$3))</f>
        <v/>
      </c>
      <c r="S348" s="67">
        <f>IF(G348="","",ABS(P348-Components!$D$4))</f>
        <v/>
      </c>
      <c r="T348" s="67">
        <f>IF(G348="","",ABS(P348-Components!$D$5))</f>
        <v/>
      </c>
      <c r="U348" s="67">
        <f>IF(G348="","",ABS(P348-Components!$D$6))</f>
        <v/>
      </c>
      <c r="V348" s="67">
        <f>IF(G348="","",ABS(P348-Components!$D$7))</f>
        <v/>
      </c>
      <c r="W348" s="61">
        <f>IF(G348="","",IF(N348="OK","NONE",INDEX({"S1","S2","W1","W2","N1","N2"},MATCH(MIN(Q348:V348),Q348:V348,0))))</f>
        <v/>
      </c>
      <c r="X348" s="69">
        <f>IF(G348="","",IF(W348=E348,1,0))</f>
        <v/>
      </c>
      <c r="Y348" s="70" t="n"/>
    </row>
    <row r="349">
      <c r="A349" s="61" t="n">
        <v>46</v>
      </c>
      <c r="B349" s="62" t="n">
        <v>44</v>
      </c>
      <c r="C349" s="61" t="inlineStr">
        <is>
          <t>R6</t>
        </is>
      </c>
      <c r="D349" s="74" t="inlineStr">
        <is>
          <t>NG</t>
        </is>
      </c>
      <c r="E349" s="61" t="inlineStr">
        <is>
          <t>W1</t>
        </is>
      </c>
      <c r="F349" s="61" t="inlineStr">
        <is>
          <t>K046</t>
        </is>
      </c>
      <c r="G349" s="75" t="n">
        <v>7.56</v>
      </c>
      <c r="H349" s="65" t="n"/>
      <c r="I349" s="66" t="n"/>
      <c r="J349" s="67">
        <f>VLOOKUP(C349,Recipes!$A$2:$N$4,10,FALSE())</f>
        <v/>
      </c>
      <c r="K349" s="68">
        <f>VLOOKUP(C349,Recipes!$A$2:$N$4,12,FALSE())</f>
        <v/>
      </c>
      <c r="L349" s="67">
        <f>J349-3.5*K349</f>
        <v/>
      </c>
      <c r="M349" s="67">
        <f>J349+3.5*K349</f>
        <v/>
      </c>
      <c r="N349" s="61">
        <f>IF(G349="","",IF(AND(G349&gt;=L349,G349&lt;=M349),"OK","NG"))</f>
        <v/>
      </c>
      <c r="O349" s="69">
        <f>IF(N349="","",IF(N349=D349,1,0))</f>
        <v/>
      </c>
      <c r="P349" s="67">
        <f>IF(G349="","",J349-G349)</f>
        <v/>
      </c>
      <c r="Q349" s="67">
        <f>IF(G349="","",ABS(P349-Components!$D$2))</f>
        <v/>
      </c>
      <c r="R349" s="67">
        <f>IF(G349="","",ABS(P349-Components!$D$3))</f>
        <v/>
      </c>
      <c r="S349" s="67">
        <f>IF(G349="","",ABS(P349-Components!$D$4))</f>
        <v/>
      </c>
      <c r="T349" s="67">
        <f>IF(G349="","",ABS(P349-Components!$D$5))</f>
        <v/>
      </c>
      <c r="U349" s="67">
        <f>IF(G349="","",ABS(P349-Components!$D$6))</f>
        <v/>
      </c>
      <c r="V349" s="67">
        <f>IF(G349="","",ABS(P349-Components!$D$7))</f>
        <v/>
      </c>
      <c r="W349" s="61">
        <f>IF(G349="","",IF(N349="OK","NONE",INDEX({"S1","S2","W1","W2","N1","N2"},MATCH(MIN(Q349:V349),Q349:V349,0))))</f>
        <v/>
      </c>
      <c r="X349" s="71">
        <f>IF(G349="","",IF(W349=E349,1,0))</f>
        <v/>
      </c>
      <c r="Y349" s="70" t="n"/>
    </row>
    <row r="350">
      <c r="A350" s="61" t="n">
        <v>46</v>
      </c>
      <c r="B350" s="62" t="n">
        <v>44</v>
      </c>
      <c r="C350" s="61" t="inlineStr">
        <is>
          <t>R6</t>
        </is>
      </c>
      <c r="D350" s="74" t="inlineStr">
        <is>
          <t>NG</t>
        </is>
      </c>
      <c r="E350" s="61" t="inlineStr">
        <is>
          <t>W1</t>
        </is>
      </c>
      <c r="F350" s="61" t="inlineStr">
        <is>
          <t>K046</t>
        </is>
      </c>
      <c r="G350" s="75" t="n">
        <v>7.63</v>
      </c>
      <c r="H350" s="65" t="n"/>
      <c r="I350" s="66" t="n"/>
      <c r="J350" s="67">
        <f>VLOOKUP(C350,Recipes!$A$2:$N$4,10,FALSE())</f>
        <v/>
      </c>
      <c r="K350" s="68">
        <f>VLOOKUP(C350,Recipes!$A$2:$N$4,12,FALSE())</f>
        <v/>
      </c>
      <c r="L350" s="67">
        <f>J350-3.5*K350</f>
        <v/>
      </c>
      <c r="M350" s="67">
        <f>J350+3.5*K350</f>
        <v/>
      </c>
      <c r="N350" s="61">
        <f>IF(G350="","",IF(AND(G350&gt;=L350,G350&lt;=M350),"OK","NG"))</f>
        <v/>
      </c>
      <c r="O350" s="69">
        <f>IF(N350="","",IF(N350=D350,1,0))</f>
        <v/>
      </c>
      <c r="P350" s="67">
        <f>IF(G350="","",J350-G350)</f>
        <v/>
      </c>
      <c r="Q350" s="67">
        <f>IF(G350="","",ABS(P350-Components!$D$2))</f>
        <v/>
      </c>
      <c r="R350" s="67">
        <f>IF(G350="","",ABS(P350-Components!$D$3))</f>
        <v/>
      </c>
      <c r="S350" s="67">
        <f>IF(G350="","",ABS(P350-Components!$D$4))</f>
        <v/>
      </c>
      <c r="T350" s="67">
        <f>IF(G350="","",ABS(P350-Components!$D$5))</f>
        <v/>
      </c>
      <c r="U350" s="67">
        <f>IF(G350="","",ABS(P350-Components!$D$6))</f>
        <v/>
      </c>
      <c r="V350" s="67">
        <f>IF(G350="","",ABS(P350-Components!$D$7))</f>
        <v/>
      </c>
      <c r="W350" s="61">
        <f>IF(G350="","",IF(N350="OK","NONE",INDEX({"S1","S2","W1","W2","N1","N2"},MATCH(MIN(Q350:V350),Q350:V350,0))))</f>
        <v/>
      </c>
      <c r="X350" s="69">
        <f>IF(G350="","",IF(W350=E350,1,0))</f>
        <v/>
      </c>
      <c r="Y350" s="70" t="n"/>
    </row>
    <row r="351">
      <c r="A351" s="61" t="n">
        <v>46</v>
      </c>
      <c r="B351" s="62" t="n">
        <v>44</v>
      </c>
      <c r="C351" s="61" t="inlineStr">
        <is>
          <t>R6</t>
        </is>
      </c>
      <c r="D351" s="74" t="inlineStr">
        <is>
          <t>NG</t>
        </is>
      </c>
      <c r="E351" s="61" t="inlineStr">
        <is>
          <t>W1</t>
        </is>
      </c>
      <c r="F351" s="61" t="inlineStr">
        <is>
          <t>K046</t>
        </is>
      </c>
      <c r="G351" s="75" t="n">
        <v>7.6</v>
      </c>
      <c r="H351" s="65" t="n"/>
      <c r="I351" s="66" t="n"/>
      <c r="J351" s="67">
        <f>VLOOKUP(C351,Recipes!$A$2:$N$4,10,FALSE())</f>
        <v/>
      </c>
      <c r="K351" s="68">
        <f>VLOOKUP(C351,Recipes!$A$2:$N$4,12,FALSE())</f>
        <v/>
      </c>
      <c r="L351" s="67">
        <f>J351-3.5*K351</f>
        <v/>
      </c>
      <c r="M351" s="67">
        <f>J351+3.5*K351</f>
        <v/>
      </c>
      <c r="N351" s="61">
        <f>IF(G351="","",IF(AND(G351&gt;=L351,G351&lt;=M351),"OK","NG"))</f>
        <v/>
      </c>
      <c r="O351" s="69">
        <f>IF(N351="","",IF(N351=D351,1,0))</f>
        <v/>
      </c>
      <c r="P351" s="67">
        <f>IF(G351="","",J351-G351)</f>
        <v/>
      </c>
      <c r="Q351" s="67">
        <f>IF(G351="","",ABS(P351-Components!$D$2))</f>
        <v/>
      </c>
      <c r="R351" s="67">
        <f>IF(G351="","",ABS(P351-Components!$D$3))</f>
        <v/>
      </c>
      <c r="S351" s="67">
        <f>IF(G351="","",ABS(P351-Components!$D$4))</f>
        <v/>
      </c>
      <c r="T351" s="67">
        <f>IF(G351="","",ABS(P351-Components!$D$5))</f>
        <v/>
      </c>
      <c r="U351" s="67">
        <f>IF(G351="","",ABS(P351-Components!$D$6))</f>
        <v/>
      </c>
      <c r="V351" s="67">
        <f>IF(G351="","",ABS(P351-Components!$D$7))</f>
        <v/>
      </c>
      <c r="W351" s="61">
        <f>IF(G351="","",IF(N351="OK","NONE",INDEX({"S1","S2","W1","W2","N1","N2"},MATCH(MIN(Q351:V351),Q351:V351,0))))</f>
        <v/>
      </c>
      <c r="X351" s="69">
        <f>IF(G351="","",IF(W351=E351,1,0))</f>
        <v/>
      </c>
      <c r="Y351" s="70" t="n"/>
    </row>
    <row r="352">
      <c r="A352" s="61" t="n">
        <v>46</v>
      </c>
      <c r="B352" s="62" t="n">
        <v>44</v>
      </c>
      <c r="C352" s="61" t="inlineStr">
        <is>
          <t>R6</t>
        </is>
      </c>
      <c r="D352" s="74" t="inlineStr">
        <is>
          <t>NG</t>
        </is>
      </c>
      <c r="E352" s="61" t="inlineStr">
        <is>
          <t>W1</t>
        </is>
      </c>
      <c r="F352" s="61" t="inlineStr">
        <is>
          <t>K046</t>
        </is>
      </c>
      <c r="G352" s="75" t="n">
        <v>7.58</v>
      </c>
      <c r="H352" s="65" t="n"/>
      <c r="I352" s="66" t="n"/>
      <c r="J352" s="67">
        <f>VLOOKUP(C352,Recipes!$A$2:$N$4,10,FALSE())</f>
        <v/>
      </c>
      <c r="K352" s="68">
        <f>VLOOKUP(C352,Recipes!$A$2:$N$4,12,FALSE())</f>
        <v/>
      </c>
      <c r="L352" s="67">
        <f>J352-3.5*K352</f>
        <v/>
      </c>
      <c r="M352" s="67">
        <f>J352+3.5*K352</f>
        <v/>
      </c>
      <c r="N352" s="61">
        <f>IF(G352="","",IF(AND(G352&gt;=L352,G352&lt;=M352),"OK","NG"))</f>
        <v/>
      </c>
      <c r="O352" s="69">
        <f>IF(N352="","",IF(N352=D352,1,0))</f>
        <v/>
      </c>
      <c r="P352" s="67">
        <f>IF(G352="","",J352-G352)</f>
        <v/>
      </c>
      <c r="Q352" s="67">
        <f>IF(G352="","",ABS(P352-Components!$D$2))</f>
        <v/>
      </c>
      <c r="R352" s="67">
        <f>IF(G352="","",ABS(P352-Components!$D$3))</f>
        <v/>
      </c>
      <c r="S352" s="67">
        <f>IF(G352="","",ABS(P352-Components!$D$4))</f>
        <v/>
      </c>
      <c r="T352" s="67">
        <f>IF(G352="","",ABS(P352-Components!$D$5))</f>
        <v/>
      </c>
      <c r="U352" s="67">
        <f>IF(G352="","",ABS(P352-Components!$D$6))</f>
        <v/>
      </c>
      <c r="V352" s="67">
        <f>IF(G352="","",ABS(P352-Components!$D$7))</f>
        <v/>
      </c>
      <c r="W352" s="61">
        <f>IF(G352="","",IF(N352="OK","NONE",INDEX({"S1","S2","W1","W2","N1","N2"},MATCH(MIN(Q352:V352),Q352:V352,0))))</f>
        <v/>
      </c>
      <c r="X352" s="69">
        <f>IF(G352="","",IF(W352=E352,1,0))</f>
        <v/>
      </c>
      <c r="Y352" s="70" t="n"/>
    </row>
    <row r="353">
      <c r="A353" s="61" t="n">
        <v>46</v>
      </c>
      <c r="B353" s="62" t="n">
        <v>44</v>
      </c>
      <c r="C353" s="61" t="inlineStr">
        <is>
          <t>R6</t>
        </is>
      </c>
      <c r="D353" s="74" t="inlineStr">
        <is>
          <t>NG</t>
        </is>
      </c>
      <c r="E353" s="61" t="inlineStr">
        <is>
          <t>W1</t>
        </is>
      </c>
      <c r="F353" s="61" t="inlineStr">
        <is>
          <t>K046</t>
        </is>
      </c>
      <c r="G353" s="75" t="n">
        <v>7.61</v>
      </c>
      <c r="H353" s="65" t="n"/>
      <c r="I353" s="66" t="n"/>
      <c r="J353" s="67">
        <f>VLOOKUP(C353,Recipes!$A$2:$N$4,10,FALSE())</f>
        <v/>
      </c>
      <c r="K353" s="68">
        <f>VLOOKUP(C353,Recipes!$A$2:$N$4,12,FALSE())</f>
        <v/>
      </c>
      <c r="L353" s="67">
        <f>J353-3.5*K353</f>
        <v/>
      </c>
      <c r="M353" s="67">
        <f>J353+3.5*K353</f>
        <v/>
      </c>
      <c r="N353" s="61">
        <f>IF(G353="","",IF(AND(G353&gt;=L353,G353&lt;=M353),"OK","NG"))</f>
        <v/>
      </c>
      <c r="O353" s="69">
        <f>IF(N353="","",IF(N353=D353,1,0))</f>
        <v/>
      </c>
      <c r="P353" s="67">
        <f>IF(G353="","",J353-G353)</f>
        <v/>
      </c>
      <c r="Q353" s="67">
        <f>IF(G353="","",ABS(P353-Components!$D$2))</f>
        <v/>
      </c>
      <c r="R353" s="67">
        <f>IF(G353="","",ABS(P353-Components!$D$3))</f>
        <v/>
      </c>
      <c r="S353" s="67">
        <f>IF(G353="","",ABS(P353-Components!$D$4))</f>
        <v/>
      </c>
      <c r="T353" s="67">
        <f>IF(G353="","",ABS(P353-Components!$D$5))</f>
        <v/>
      </c>
      <c r="U353" s="67">
        <f>IF(G353="","",ABS(P353-Components!$D$6))</f>
        <v/>
      </c>
      <c r="V353" s="67">
        <f>IF(G353="","",ABS(P353-Components!$D$7))</f>
        <v/>
      </c>
      <c r="W353" s="61">
        <f>IF(G353="","",IF(N353="OK","NONE",INDEX({"S1","S2","W1","W2","N1","N2"},MATCH(MIN(Q353:V353),Q353:V353,0))))</f>
        <v/>
      </c>
      <c r="X353" s="69">
        <f>IF(G353="","",IF(W353=E353,1,0))</f>
        <v/>
      </c>
      <c r="Y353" s="70" t="n"/>
    </row>
    <row r="354">
      <c r="A354" s="61" t="n">
        <v>46</v>
      </c>
      <c r="B354" s="62" t="n">
        <v>44</v>
      </c>
      <c r="C354" s="61" t="inlineStr">
        <is>
          <t>R6</t>
        </is>
      </c>
      <c r="D354" s="74" t="inlineStr">
        <is>
          <t>NG</t>
        </is>
      </c>
      <c r="E354" s="61" t="inlineStr">
        <is>
          <t>W1</t>
        </is>
      </c>
      <c r="F354" s="61" t="inlineStr">
        <is>
          <t>K046</t>
        </is>
      </c>
      <c r="G354" s="75" t="n">
        <v>7.67</v>
      </c>
      <c r="H354" s="65" t="n"/>
      <c r="I354" s="66" t="n"/>
      <c r="J354" s="67">
        <f>VLOOKUP(C354,Recipes!$A$2:$N$4,10,FALSE())</f>
        <v/>
      </c>
      <c r="K354" s="68">
        <f>VLOOKUP(C354,Recipes!$A$2:$N$4,12,FALSE())</f>
        <v/>
      </c>
      <c r="L354" s="67">
        <f>J354-3.5*K354</f>
        <v/>
      </c>
      <c r="M354" s="67">
        <f>J354+3.5*K354</f>
        <v/>
      </c>
      <c r="N354" s="61">
        <f>IF(G354="","",IF(AND(G354&gt;=L354,G354&lt;=M354),"OK","NG"))</f>
        <v/>
      </c>
      <c r="O354" s="69">
        <f>IF(N354="","",IF(N354=D354,1,0))</f>
        <v/>
      </c>
      <c r="P354" s="67">
        <f>IF(G354="","",J354-G354)</f>
        <v/>
      </c>
      <c r="Q354" s="67">
        <f>IF(G354="","",ABS(P354-Components!$D$2))</f>
        <v/>
      </c>
      <c r="R354" s="67">
        <f>IF(G354="","",ABS(P354-Components!$D$3))</f>
        <v/>
      </c>
      <c r="S354" s="67">
        <f>IF(G354="","",ABS(P354-Components!$D$4))</f>
        <v/>
      </c>
      <c r="T354" s="67">
        <f>IF(G354="","",ABS(P354-Components!$D$5))</f>
        <v/>
      </c>
      <c r="U354" s="67">
        <f>IF(G354="","",ABS(P354-Components!$D$6))</f>
        <v/>
      </c>
      <c r="V354" s="67">
        <f>IF(G354="","",ABS(P354-Components!$D$7))</f>
        <v/>
      </c>
      <c r="W354" s="61">
        <f>IF(G354="","",IF(N354="OK","NONE",INDEX({"S1","S2","W1","W2","N1","N2"},MATCH(MIN(Q354:V354),Q354:V354,0))))</f>
        <v/>
      </c>
      <c r="X354" s="69">
        <f>IF(G354="","",IF(W354=E354,1,0))</f>
        <v/>
      </c>
      <c r="Y354" s="70" t="n"/>
    </row>
    <row r="355">
      <c r="A355" s="61" t="n">
        <v>46</v>
      </c>
      <c r="B355" s="62" t="n">
        <v>44</v>
      </c>
      <c r="C355" s="61" t="inlineStr">
        <is>
          <t>R6</t>
        </is>
      </c>
      <c r="D355" s="74" t="inlineStr">
        <is>
          <t>NG</t>
        </is>
      </c>
      <c r="E355" s="61" t="inlineStr">
        <is>
          <t>W1</t>
        </is>
      </c>
      <c r="F355" s="61" t="inlineStr">
        <is>
          <t>K046</t>
        </is>
      </c>
      <c r="G355" s="75" t="n">
        <v>7.42</v>
      </c>
      <c r="H355" s="65" t="n"/>
      <c r="I355" s="66" t="n"/>
      <c r="J355" s="67">
        <f>VLOOKUP(C355,Recipes!$A$2:$N$4,10,FALSE())</f>
        <v/>
      </c>
      <c r="K355" s="68">
        <f>VLOOKUP(C355,Recipes!$A$2:$N$4,12,FALSE())</f>
        <v/>
      </c>
      <c r="L355" s="67">
        <f>J355-3.5*K355</f>
        <v/>
      </c>
      <c r="M355" s="67">
        <f>J355+3.5*K355</f>
        <v/>
      </c>
      <c r="N355" s="61">
        <f>IF(G355="","",IF(AND(G355&gt;=L355,G355&lt;=M355),"OK","NG"))</f>
        <v/>
      </c>
      <c r="O355" s="69">
        <f>IF(N355="","",IF(N355=D355,1,0))</f>
        <v/>
      </c>
      <c r="P355" s="67">
        <f>IF(G355="","",J355-G355)</f>
        <v/>
      </c>
      <c r="Q355" s="67">
        <f>IF(G355="","",ABS(P355-Components!$D$2))</f>
        <v/>
      </c>
      <c r="R355" s="67">
        <f>IF(G355="","",ABS(P355-Components!$D$3))</f>
        <v/>
      </c>
      <c r="S355" s="67">
        <f>IF(G355="","",ABS(P355-Components!$D$4))</f>
        <v/>
      </c>
      <c r="T355" s="67">
        <f>IF(G355="","",ABS(P355-Components!$D$5))</f>
        <v/>
      </c>
      <c r="U355" s="67">
        <f>IF(G355="","",ABS(P355-Components!$D$6))</f>
        <v/>
      </c>
      <c r="V355" s="67">
        <f>IF(G355="","",ABS(P355-Components!$D$7))</f>
        <v/>
      </c>
      <c r="W355" s="61">
        <f>IF(G355="","",IF(N355="OK","NONE",INDEX({"S1","S2","W1","W2","N1","N2"},MATCH(MIN(Q355:V355),Q355:V355,0))))</f>
        <v/>
      </c>
      <c r="X355" s="71">
        <f>IF(G355="","",IF(W355=E355,1,0))</f>
        <v/>
      </c>
      <c r="Y355" s="70" t="n"/>
    </row>
    <row r="356">
      <c r="A356" s="61" t="n">
        <v>46</v>
      </c>
      <c r="B356" s="62" t="n">
        <v>44</v>
      </c>
      <c r="C356" s="61" t="inlineStr">
        <is>
          <t>R6</t>
        </is>
      </c>
      <c r="D356" s="74" t="inlineStr">
        <is>
          <t>NG</t>
        </is>
      </c>
      <c r="E356" s="61" t="inlineStr">
        <is>
          <t>W1</t>
        </is>
      </c>
      <c r="F356" s="61" t="inlineStr">
        <is>
          <t>K046</t>
        </is>
      </c>
      <c r="G356" s="75" t="n">
        <v>7.69</v>
      </c>
      <c r="H356" s="65" t="n"/>
      <c r="I356" s="66" t="n"/>
      <c r="J356" s="67">
        <f>VLOOKUP(C356,Recipes!$A$2:$N$4,10,FALSE())</f>
        <v/>
      </c>
      <c r="K356" s="68">
        <f>VLOOKUP(C356,Recipes!$A$2:$N$4,12,FALSE())</f>
        <v/>
      </c>
      <c r="L356" s="67">
        <f>J356-3.5*K356</f>
        <v/>
      </c>
      <c r="M356" s="67">
        <f>J356+3.5*K356</f>
        <v/>
      </c>
      <c r="N356" s="61">
        <f>IF(G356="","",IF(AND(G356&gt;=L356,G356&lt;=M356),"OK","NG"))</f>
        <v/>
      </c>
      <c r="O356" s="69">
        <f>IF(N356="","",IF(N356=D356,1,0))</f>
        <v/>
      </c>
      <c r="P356" s="67">
        <f>IF(G356="","",J356-G356)</f>
        <v/>
      </c>
      <c r="Q356" s="67">
        <f>IF(G356="","",ABS(P356-Components!$D$2))</f>
        <v/>
      </c>
      <c r="R356" s="67">
        <f>IF(G356="","",ABS(P356-Components!$D$3))</f>
        <v/>
      </c>
      <c r="S356" s="67">
        <f>IF(G356="","",ABS(P356-Components!$D$4))</f>
        <v/>
      </c>
      <c r="T356" s="67">
        <f>IF(G356="","",ABS(P356-Components!$D$5))</f>
        <v/>
      </c>
      <c r="U356" s="67">
        <f>IF(G356="","",ABS(P356-Components!$D$6))</f>
        <v/>
      </c>
      <c r="V356" s="67">
        <f>IF(G356="","",ABS(P356-Components!$D$7))</f>
        <v/>
      </c>
      <c r="W356" s="61">
        <f>IF(G356="","",IF(N356="OK","NONE",INDEX({"S1","S2","W1","W2","N1","N2"},MATCH(MIN(Q356:V356),Q356:V356,0))))</f>
        <v/>
      </c>
      <c r="X356" s="69">
        <f>IF(G356="","",IF(W356=E356,1,0))</f>
        <v/>
      </c>
      <c r="Y356" s="70" t="n"/>
    </row>
    <row r="357">
      <c r="A357" s="61" t="n">
        <v>46</v>
      </c>
      <c r="B357" s="62" t="n">
        <v>44</v>
      </c>
      <c r="C357" s="61" t="inlineStr">
        <is>
          <t>R6</t>
        </is>
      </c>
      <c r="D357" s="74" t="inlineStr">
        <is>
          <t>NG</t>
        </is>
      </c>
      <c r="E357" s="61" t="inlineStr">
        <is>
          <t>W1</t>
        </is>
      </c>
      <c r="F357" s="61" t="inlineStr">
        <is>
          <t>K046</t>
        </is>
      </c>
      <c r="G357" s="75" t="n">
        <v>7.63</v>
      </c>
      <c r="H357" s="65" t="n"/>
      <c r="I357" s="66" t="n"/>
      <c r="J357" s="67">
        <f>VLOOKUP(C357,Recipes!$A$2:$N$4,10,FALSE())</f>
        <v/>
      </c>
      <c r="K357" s="68">
        <f>VLOOKUP(C357,Recipes!$A$2:$N$4,12,FALSE())</f>
        <v/>
      </c>
      <c r="L357" s="67">
        <f>J357-3.5*K357</f>
        <v/>
      </c>
      <c r="M357" s="67">
        <f>J357+3.5*K357</f>
        <v/>
      </c>
      <c r="N357" s="61">
        <f>IF(G357="","",IF(AND(G357&gt;=L357,G357&lt;=M357),"OK","NG"))</f>
        <v/>
      </c>
      <c r="O357" s="69">
        <f>IF(N357="","",IF(N357=D357,1,0))</f>
        <v/>
      </c>
      <c r="P357" s="67">
        <f>IF(G357="","",J357-G357)</f>
        <v/>
      </c>
      <c r="Q357" s="67">
        <f>IF(G357="","",ABS(P357-Components!$D$2))</f>
        <v/>
      </c>
      <c r="R357" s="67">
        <f>IF(G357="","",ABS(P357-Components!$D$3))</f>
        <v/>
      </c>
      <c r="S357" s="67">
        <f>IF(G357="","",ABS(P357-Components!$D$4))</f>
        <v/>
      </c>
      <c r="T357" s="67">
        <f>IF(G357="","",ABS(P357-Components!$D$5))</f>
        <v/>
      </c>
      <c r="U357" s="67">
        <f>IF(G357="","",ABS(P357-Components!$D$6))</f>
        <v/>
      </c>
      <c r="V357" s="67">
        <f>IF(G357="","",ABS(P357-Components!$D$7))</f>
        <v/>
      </c>
      <c r="W357" s="61">
        <f>IF(G357="","",IF(N357="OK","NONE",INDEX({"S1","S2","W1","W2","N1","N2"},MATCH(MIN(Q357:V357),Q357:V357,0))))</f>
        <v/>
      </c>
      <c r="X357" s="69">
        <f>IF(G357="","",IF(W357=E357,1,0))</f>
        <v/>
      </c>
      <c r="Y357" s="70" t="n"/>
    </row>
    <row r="358">
      <c r="A358" s="61" t="n">
        <v>46</v>
      </c>
      <c r="B358" s="62" t="n">
        <v>44</v>
      </c>
      <c r="C358" s="61" t="inlineStr">
        <is>
          <t>R6</t>
        </is>
      </c>
      <c r="D358" s="74" t="inlineStr">
        <is>
          <t>NG</t>
        </is>
      </c>
      <c r="E358" s="61" t="inlineStr">
        <is>
          <t>W1</t>
        </is>
      </c>
      <c r="F358" s="61" t="inlineStr">
        <is>
          <t>K046</t>
        </is>
      </c>
      <c r="G358" s="64" t="n">
        <v>7.38</v>
      </c>
      <c r="H358" s="65" t="n"/>
      <c r="I358" s="66" t="n"/>
      <c r="J358" s="67">
        <f>VLOOKUP(C358,Recipes!$A$2:$N$4,10,FALSE())</f>
        <v/>
      </c>
      <c r="K358" s="68">
        <f>VLOOKUP(C358,Recipes!$A$2:$N$4,12,FALSE())</f>
        <v/>
      </c>
      <c r="L358" s="67">
        <f>J358-3.5*K358</f>
        <v/>
      </c>
      <c r="M358" s="67">
        <f>J358+3.5*K358</f>
        <v/>
      </c>
      <c r="N358" s="61">
        <f>IF(G358="","",IF(AND(G358&gt;=L358,G358&lt;=M358),"OK","NG"))</f>
        <v/>
      </c>
      <c r="O358" s="69">
        <f>IF(N358="","",IF(N358=D358,1,0))</f>
        <v/>
      </c>
      <c r="P358" s="67">
        <f>IF(G358="","",J358-G358)</f>
        <v/>
      </c>
      <c r="Q358" s="67">
        <f>IF(G358="","",ABS(P358-Components!$D$2))</f>
        <v/>
      </c>
      <c r="R358" s="67">
        <f>IF(G358="","",ABS(P358-Components!$D$3))</f>
        <v/>
      </c>
      <c r="S358" s="67">
        <f>IF(G358="","",ABS(P358-Components!$D$4))</f>
        <v/>
      </c>
      <c r="T358" s="67">
        <f>IF(G358="","",ABS(P358-Components!$D$5))</f>
        <v/>
      </c>
      <c r="U358" s="67">
        <f>IF(G358="","",ABS(P358-Components!$D$6))</f>
        <v/>
      </c>
      <c r="V358" s="67">
        <f>IF(G358="","",ABS(P358-Components!$D$7))</f>
        <v/>
      </c>
      <c r="W358" s="61">
        <f>IF(G358="","",IF(N358="OK","NONE",INDEX({"S1","S2","W1","W2","N1","N2"},MATCH(MIN(Q358:V358),Q358:V358,0))))</f>
        <v/>
      </c>
      <c r="X358" s="71">
        <f>IF(G358="","",IF(W358=E358,1,0))</f>
        <v/>
      </c>
      <c r="Y358" s="70" t="n"/>
    </row>
    <row r="359">
      <c r="A359" s="61" t="n">
        <v>47</v>
      </c>
      <c r="B359" s="62" t="n">
        <v>7</v>
      </c>
      <c r="C359" s="61" t="inlineStr">
        <is>
          <t>R6</t>
        </is>
      </c>
      <c r="D359" s="74" t="inlineStr">
        <is>
          <t>NG</t>
        </is>
      </c>
      <c r="E359" s="61" t="inlineStr">
        <is>
          <t>W1</t>
        </is>
      </c>
      <c r="F359" s="61" t="inlineStr">
        <is>
          <t>K047</t>
        </is>
      </c>
      <c r="G359" s="64" t="n">
        <v>7.54</v>
      </c>
      <c r="H359" s="65" t="n"/>
      <c r="I359" s="66" t="n"/>
      <c r="J359" s="67">
        <f>VLOOKUP(C359,Recipes!$A$2:$N$4,10,FALSE())</f>
        <v/>
      </c>
      <c r="K359" s="68">
        <f>VLOOKUP(C359,Recipes!$A$2:$N$4,12,FALSE())</f>
        <v/>
      </c>
      <c r="L359" s="67">
        <f>J359-3.5*K359</f>
        <v/>
      </c>
      <c r="M359" s="67">
        <f>J359+3.5*K359</f>
        <v/>
      </c>
      <c r="N359" s="61">
        <f>IF(G359="","",IF(AND(G359&gt;=L359,G359&lt;=M359),"OK","NG"))</f>
        <v/>
      </c>
      <c r="O359" s="69">
        <f>IF(N359="","",IF(N359=D359,1,0))</f>
        <v/>
      </c>
      <c r="P359" s="67">
        <f>IF(G359="","",J359-G359)</f>
        <v/>
      </c>
      <c r="Q359" s="67">
        <f>IF(G359="","",ABS(P359-Components!$D$2))</f>
        <v/>
      </c>
      <c r="R359" s="67">
        <f>IF(G359="","",ABS(P359-Components!$D$3))</f>
        <v/>
      </c>
      <c r="S359" s="67">
        <f>IF(G359="","",ABS(P359-Components!$D$4))</f>
        <v/>
      </c>
      <c r="T359" s="67">
        <f>IF(G359="","",ABS(P359-Components!$D$5))</f>
        <v/>
      </c>
      <c r="U359" s="67">
        <f>IF(G359="","",ABS(P359-Components!$D$6))</f>
        <v/>
      </c>
      <c r="V359" s="67">
        <f>IF(G359="","",ABS(P359-Components!$D$7))</f>
        <v/>
      </c>
      <c r="W359" s="61">
        <f>IF(G359="","",IF(N359="OK","NONE",INDEX({"S1","S2","W1","W2","N1","N2"},MATCH(MIN(Q359:V359),Q359:V359,0))))</f>
        <v/>
      </c>
      <c r="X359" s="71">
        <f>IF(G359="","",IF(W359=E359,1,0))</f>
        <v/>
      </c>
      <c r="Y359" s="70" t="n"/>
    </row>
    <row r="360">
      <c r="A360" s="61" t="n">
        <v>48</v>
      </c>
      <c r="B360" s="62" t="n">
        <v>9</v>
      </c>
      <c r="C360" s="61" t="inlineStr">
        <is>
          <t>R6</t>
        </is>
      </c>
      <c r="D360" s="74" t="inlineStr">
        <is>
          <t>NG</t>
        </is>
      </c>
      <c r="E360" s="61" t="inlineStr">
        <is>
          <t>W1</t>
        </is>
      </c>
      <c r="F360" s="61" t="inlineStr">
        <is>
          <t>K048</t>
        </is>
      </c>
      <c r="G360" s="64" t="n">
        <v>7.65</v>
      </c>
      <c r="H360" s="65" t="n"/>
      <c r="I360" s="66" t="n"/>
      <c r="J360" s="67">
        <f>VLOOKUP(C360,Recipes!$A$2:$N$4,10,FALSE())</f>
        <v/>
      </c>
      <c r="K360" s="68">
        <f>VLOOKUP(C360,Recipes!$A$2:$N$4,12,FALSE())</f>
        <v/>
      </c>
      <c r="L360" s="67">
        <f>J360-3.5*K360</f>
        <v/>
      </c>
      <c r="M360" s="67">
        <f>J360+3.5*K360</f>
        <v/>
      </c>
      <c r="N360" s="61">
        <f>IF(G360="","",IF(AND(G360&gt;=L360,G360&lt;=M360),"OK","NG"))</f>
        <v/>
      </c>
      <c r="O360" s="69">
        <f>IF(N360="","",IF(N360=D360,1,0))</f>
        <v/>
      </c>
      <c r="P360" s="67">
        <f>IF(G360="","",J360-G360)</f>
        <v/>
      </c>
      <c r="Q360" s="67">
        <f>IF(G360="","",ABS(P360-Components!$D$2))</f>
        <v/>
      </c>
      <c r="R360" s="67">
        <f>IF(G360="","",ABS(P360-Components!$D$3))</f>
        <v/>
      </c>
      <c r="S360" s="67">
        <f>IF(G360="","",ABS(P360-Components!$D$4))</f>
        <v/>
      </c>
      <c r="T360" s="67">
        <f>IF(G360="","",ABS(P360-Components!$D$5))</f>
        <v/>
      </c>
      <c r="U360" s="67">
        <f>IF(G360="","",ABS(P360-Components!$D$6))</f>
        <v/>
      </c>
      <c r="V360" s="67">
        <f>IF(G360="","",ABS(P360-Components!$D$7))</f>
        <v/>
      </c>
      <c r="W360" s="61">
        <f>IF(G360="","",IF(N360="OK","NONE",INDEX({"S1","S2","W1","W2","N1","N2"},MATCH(MIN(Q360:V360),Q360:V360,0))))</f>
        <v/>
      </c>
      <c r="X360" s="69">
        <f>IF(G360="","",IF(W360=E360,1,0))</f>
        <v/>
      </c>
      <c r="Y360" s="70" t="n"/>
    </row>
    <row r="361">
      <c r="A361" s="61" t="n">
        <v>49</v>
      </c>
      <c r="B361" s="62" t="n">
        <v>8</v>
      </c>
      <c r="C361" s="61" t="inlineStr">
        <is>
          <t>R6</t>
        </is>
      </c>
      <c r="D361" s="74" t="inlineStr">
        <is>
          <t>NG</t>
        </is>
      </c>
      <c r="E361" s="61" t="inlineStr">
        <is>
          <t>W1</t>
        </is>
      </c>
      <c r="F361" s="61" t="inlineStr">
        <is>
          <t>K054</t>
        </is>
      </c>
      <c r="G361" s="64" t="n">
        <v>7.34</v>
      </c>
      <c r="H361" s="65" t="n"/>
      <c r="I361" s="66" t="n"/>
      <c r="J361" s="67">
        <f>VLOOKUP(C361,Recipes!$A$2:$N$4,10,FALSE())</f>
        <v/>
      </c>
      <c r="K361" s="68">
        <f>VLOOKUP(C361,Recipes!$A$2:$N$4,12,FALSE())</f>
        <v/>
      </c>
      <c r="L361" s="67">
        <f>J361-3.5*K361</f>
        <v/>
      </c>
      <c r="M361" s="67">
        <f>J361+3.5*K361</f>
        <v/>
      </c>
      <c r="N361" s="61">
        <f>IF(G361="","",IF(AND(G361&gt;=L361,G361&lt;=M361),"OK","NG"))</f>
        <v/>
      </c>
      <c r="O361" s="69">
        <f>IF(N361="","",IF(N361=D361,1,0))</f>
        <v/>
      </c>
      <c r="P361" s="67">
        <f>IF(G361="","",J361-G361)</f>
        <v/>
      </c>
      <c r="Q361" s="67">
        <f>IF(G361="","",ABS(P361-Components!$D$2))</f>
        <v/>
      </c>
      <c r="R361" s="67">
        <f>IF(G361="","",ABS(P361-Components!$D$3))</f>
        <v/>
      </c>
      <c r="S361" s="67">
        <f>IF(G361="","",ABS(P361-Components!$D$4))</f>
        <v/>
      </c>
      <c r="T361" s="67">
        <f>IF(G361="","",ABS(P361-Components!$D$5))</f>
        <v/>
      </c>
      <c r="U361" s="67">
        <f>IF(G361="","",ABS(P361-Components!$D$6))</f>
        <v/>
      </c>
      <c r="V361" s="67">
        <f>IF(G361="","",ABS(P361-Components!$D$7))</f>
        <v/>
      </c>
      <c r="W361" s="61">
        <f>IF(G361="","",IF(N361="OK","NONE",INDEX({"S1","S2","W1","W2","N1","N2"},MATCH(MIN(Q361:V361),Q361:V361,0))))</f>
        <v/>
      </c>
      <c r="X361" s="71">
        <f>IF(G361="","",IF(W361=E361,1,0))</f>
        <v/>
      </c>
      <c r="Y361" s="70" t="n"/>
    </row>
    <row r="362">
      <c r="A362" s="61" t="n">
        <v>50</v>
      </c>
      <c r="B362" s="62" t="n">
        <v>41</v>
      </c>
      <c r="C362" s="61" t="inlineStr">
        <is>
          <t>R6</t>
        </is>
      </c>
      <c r="D362" s="74" t="inlineStr">
        <is>
          <t>NG</t>
        </is>
      </c>
      <c r="E362" s="61" t="inlineStr">
        <is>
          <t>W1</t>
        </is>
      </c>
      <c r="F362" s="61" t="inlineStr">
        <is>
          <t>K055</t>
        </is>
      </c>
      <c r="G362" s="64" t="n">
        <v>7.68</v>
      </c>
      <c r="H362" s="65" t="n"/>
      <c r="I362" s="66" t="n"/>
      <c r="J362" s="67">
        <f>VLOOKUP(C362,Recipes!$A$2:$N$4,10,FALSE())</f>
        <v/>
      </c>
      <c r="K362" s="68">
        <f>VLOOKUP(C362,Recipes!$A$2:$N$4,12,FALSE())</f>
        <v/>
      </c>
      <c r="L362" s="67">
        <f>J362-3.5*K362</f>
        <v/>
      </c>
      <c r="M362" s="67">
        <f>J362+3.5*K362</f>
        <v/>
      </c>
      <c r="N362" s="61">
        <f>IF(G362="","",IF(AND(G362&gt;=L362,G362&lt;=M362),"OK","NG"))</f>
        <v/>
      </c>
      <c r="O362" s="69">
        <f>IF(N362="","",IF(N362=D362,1,0))</f>
        <v/>
      </c>
      <c r="P362" s="67">
        <f>IF(G362="","",J362-G362)</f>
        <v/>
      </c>
      <c r="Q362" s="67">
        <f>IF(G362="","",ABS(P362-Components!$D$2))</f>
        <v/>
      </c>
      <c r="R362" s="67">
        <f>IF(G362="","",ABS(P362-Components!$D$3))</f>
        <v/>
      </c>
      <c r="S362" s="67">
        <f>IF(G362="","",ABS(P362-Components!$D$4))</f>
        <v/>
      </c>
      <c r="T362" s="67">
        <f>IF(G362="","",ABS(P362-Components!$D$5))</f>
        <v/>
      </c>
      <c r="U362" s="67">
        <f>IF(G362="","",ABS(P362-Components!$D$6))</f>
        <v/>
      </c>
      <c r="V362" s="67">
        <f>IF(G362="","",ABS(P362-Components!$D$7))</f>
        <v/>
      </c>
      <c r="W362" s="61">
        <f>IF(G362="","",IF(N362="OK","NONE",INDEX({"S1","S2","W1","W2","N1","N2"},MATCH(MIN(Q362:V362),Q362:V362,0))))</f>
        <v/>
      </c>
      <c r="X362" s="69">
        <f>IF(G362="","",IF(W362=E362,1,0))</f>
        <v/>
      </c>
      <c r="Y362" s="70" t="n"/>
    </row>
    <row r="363">
      <c r="A363" s="61" t="n">
        <v>51</v>
      </c>
      <c r="B363" s="62" t="n">
        <v>15</v>
      </c>
      <c r="C363" s="61" t="inlineStr">
        <is>
          <t>R6</t>
        </is>
      </c>
      <c r="D363" s="74" t="inlineStr">
        <is>
          <t>NG</t>
        </is>
      </c>
      <c r="E363" s="61" t="inlineStr">
        <is>
          <t>N2</t>
        </is>
      </c>
      <c r="F363" s="61" t="inlineStr">
        <is>
          <t>K049</t>
        </is>
      </c>
      <c r="G363" s="75" t="n">
        <v>7.21</v>
      </c>
      <c r="H363" s="65" t="n"/>
      <c r="I363" s="66" t="n"/>
      <c r="J363" s="67">
        <f>VLOOKUP(C363,Recipes!$A$2:$N$4,10,FALSE())</f>
        <v/>
      </c>
      <c r="K363" s="68">
        <f>VLOOKUP(C363,Recipes!$A$2:$N$4,12,FALSE())</f>
        <v/>
      </c>
      <c r="L363" s="67">
        <f>J363-3.5*K363</f>
        <v/>
      </c>
      <c r="M363" s="67">
        <f>J363+3.5*K363</f>
        <v/>
      </c>
      <c r="N363" s="61">
        <f>IF(G363="","",IF(AND(G363&gt;=L363,G363&lt;=M363),"OK","NG"))</f>
        <v/>
      </c>
      <c r="O363" s="69">
        <f>IF(N363="","",IF(N363=D363,1,0))</f>
        <v/>
      </c>
      <c r="P363" s="67">
        <f>IF(G363="","",J363-G363)</f>
        <v/>
      </c>
      <c r="Q363" s="67">
        <f>IF(G363="","",ABS(P363-Components!$D$2))</f>
        <v/>
      </c>
      <c r="R363" s="67">
        <f>IF(G363="","",ABS(P363-Components!$D$3))</f>
        <v/>
      </c>
      <c r="S363" s="67">
        <f>IF(G363="","",ABS(P363-Components!$D$4))</f>
        <v/>
      </c>
      <c r="T363" s="67">
        <f>IF(G363="","",ABS(P363-Components!$D$5))</f>
        <v/>
      </c>
      <c r="U363" s="67">
        <f>IF(G363="","",ABS(P363-Components!$D$6))</f>
        <v/>
      </c>
      <c r="V363" s="67">
        <f>IF(G363="","",ABS(P363-Components!$D$7))</f>
        <v/>
      </c>
      <c r="W363" s="61">
        <f>IF(G363="","",IF(N363="OK","NONE",INDEX({"S1","S2","W1","W2","N1","N2"},MATCH(MIN(Q363:V363),Q363:V363,0))))</f>
        <v/>
      </c>
      <c r="X363" s="69">
        <f>IF(G363="","",IF(W363=E363,1,0))</f>
        <v/>
      </c>
      <c r="Y363" s="70" t="n"/>
    </row>
    <row r="364">
      <c r="A364" s="61" t="n">
        <v>51</v>
      </c>
      <c r="B364" s="62" t="n">
        <v>15</v>
      </c>
      <c r="C364" s="61" t="inlineStr">
        <is>
          <t>R6</t>
        </is>
      </c>
      <c r="D364" s="74" t="inlineStr">
        <is>
          <t>NG</t>
        </is>
      </c>
      <c r="E364" s="61" t="inlineStr">
        <is>
          <t>N2</t>
        </is>
      </c>
      <c r="F364" s="61" t="inlineStr">
        <is>
          <t>K049</t>
        </is>
      </c>
      <c r="G364" s="75" t="n">
        <v>7.27</v>
      </c>
      <c r="H364" s="65" t="n"/>
      <c r="I364" s="66" t="n"/>
      <c r="J364" s="67">
        <f>VLOOKUP(C364,Recipes!$A$2:$N$4,10,FALSE())</f>
        <v/>
      </c>
      <c r="K364" s="68">
        <f>VLOOKUP(C364,Recipes!$A$2:$N$4,12,FALSE())</f>
        <v/>
      </c>
      <c r="L364" s="67">
        <f>J364-3.5*K364</f>
        <v/>
      </c>
      <c r="M364" s="67">
        <f>J364+3.5*K364</f>
        <v/>
      </c>
      <c r="N364" s="61">
        <f>IF(G364="","",IF(AND(G364&gt;=L364,G364&lt;=M364),"OK","NG"))</f>
        <v/>
      </c>
      <c r="O364" s="69">
        <f>IF(N364="","",IF(N364=D364,1,0))</f>
        <v/>
      </c>
      <c r="P364" s="67">
        <f>IF(G364="","",J364-G364)</f>
        <v/>
      </c>
      <c r="Q364" s="67">
        <f>IF(G364="","",ABS(P364-Components!$D$2))</f>
        <v/>
      </c>
      <c r="R364" s="67">
        <f>IF(G364="","",ABS(P364-Components!$D$3))</f>
        <v/>
      </c>
      <c r="S364" s="67">
        <f>IF(G364="","",ABS(P364-Components!$D$4))</f>
        <v/>
      </c>
      <c r="T364" s="67">
        <f>IF(G364="","",ABS(P364-Components!$D$5))</f>
        <v/>
      </c>
      <c r="U364" s="67">
        <f>IF(G364="","",ABS(P364-Components!$D$6))</f>
        <v/>
      </c>
      <c r="V364" s="67">
        <f>IF(G364="","",ABS(P364-Components!$D$7))</f>
        <v/>
      </c>
      <c r="W364" s="61">
        <f>IF(G364="","",IF(N364="OK","NONE",INDEX({"S1","S2","W1","W2","N1","N2"},MATCH(MIN(Q364:V364),Q364:V364,0))))</f>
        <v/>
      </c>
      <c r="X364" s="69">
        <f>IF(G364="","",IF(W364=E364,1,0))</f>
        <v/>
      </c>
      <c r="Y364" s="70" t="n"/>
    </row>
    <row r="365">
      <c r="A365" s="61" t="n">
        <v>51</v>
      </c>
      <c r="B365" s="62" t="n">
        <v>15</v>
      </c>
      <c r="C365" s="61" t="inlineStr">
        <is>
          <t>R6</t>
        </is>
      </c>
      <c r="D365" s="74" t="inlineStr">
        <is>
          <t>NG</t>
        </is>
      </c>
      <c r="E365" s="61" t="inlineStr">
        <is>
          <t>N2</t>
        </is>
      </c>
      <c r="F365" s="61" t="inlineStr">
        <is>
          <t>K049</t>
        </is>
      </c>
      <c r="G365" s="75" t="n">
        <v>7.3</v>
      </c>
      <c r="H365" s="65" t="n"/>
      <c r="I365" s="66" t="n"/>
      <c r="J365" s="67">
        <f>VLOOKUP(C365,Recipes!$A$2:$N$4,10,FALSE())</f>
        <v/>
      </c>
      <c r="K365" s="68">
        <f>VLOOKUP(C365,Recipes!$A$2:$N$4,12,FALSE())</f>
        <v/>
      </c>
      <c r="L365" s="67">
        <f>J365-3.5*K365</f>
        <v/>
      </c>
      <c r="M365" s="67">
        <f>J365+3.5*K365</f>
        <v/>
      </c>
      <c r="N365" s="61">
        <f>IF(G365="","",IF(AND(G365&gt;=L365,G365&lt;=M365),"OK","NG"))</f>
        <v/>
      </c>
      <c r="O365" s="69">
        <f>IF(N365="","",IF(N365=D365,1,0))</f>
        <v/>
      </c>
      <c r="P365" s="67">
        <f>IF(G365="","",J365-G365)</f>
        <v/>
      </c>
      <c r="Q365" s="67">
        <f>IF(G365="","",ABS(P365-Components!$D$2))</f>
        <v/>
      </c>
      <c r="R365" s="67">
        <f>IF(G365="","",ABS(P365-Components!$D$3))</f>
        <v/>
      </c>
      <c r="S365" s="67">
        <f>IF(G365="","",ABS(P365-Components!$D$4))</f>
        <v/>
      </c>
      <c r="T365" s="67">
        <f>IF(G365="","",ABS(P365-Components!$D$5))</f>
        <v/>
      </c>
      <c r="U365" s="67">
        <f>IF(G365="","",ABS(P365-Components!$D$6))</f>
        <v/>
      </c>
      <c r="V365" s="67">
        <f>IF(G365="","",ABS(P365-Components!$D$7))</f>
        <v/>
      </c>
      <c r="W365" s="61">
        <f>IF(G365="","",IF(N365="OK","NONE",INDEX({"S1","S2","W1","W2","N1","N2"},MATCH(MIN(Q365:V365),Q365:V365,0))))</f>
        <v/>
      </c>
      <c r="X365" s="69">
        <f>IF(G365="","",IF(W365=E365,1,0))</f>
        <v/>
      </c>
      <c r="Y365" s="70" t="n"/>
    </row>
    <row r="366">
      <c r="A366" s="61" t="n">
        <v>51</v>
      </c>
      <c r="B366" s="62" t="n">
        <v>15</v>
      </c>
      <c r="C366" s="61" t="inlineStr">
        <is>
          <t>R6</t>
        </is>
      </c>
      <c r="D366" s="74" t="inlineStr">
        <is>
          <t>NG</t>
        </is>
      </c>
      <c r="E366" s="61" t="inlineStr">
        <is>
          <t>N2</t>
        </is>
      </c>
      <c r="F366" s="61" t="inlineStr">
        <is>
          <t>K049</t>
        </is>
      </c>
      <c r="G366" s="75" t="n">
        <v>7.31</v>
      </c>
      <c r="H366" s="65" t="n"/>
      <c r="I366" s="66" t="n"/>
      <c r="J366" s="67">
        <f>VLOOKUP(C366,Recipes!$A$2:$N$4,10,FALSE())</f>
        <v/>
      </c>
      <c r="K366" s="68">
        <f>VLOOKUP(C366,Recipes!$A$2:$N$4,12,FALSE())</f>
        <v/>
      </c>
      <c r="L366" s="67">
        <f>J366-3.5*K366</f>
        <v/>
      </c>
      <c r="M366" s="67">
        <f>J366+3.5*K366</f>
        <v/>
      </c>
      <c r="N366" s="61">
        <f>IF(G366="","",IF(AND(G366&gt;=L366,G366&lt;=M366),"OK","NG"))</f>
        <v/>
      </c>
      <c r="O366" s="69">
        <f>IF(N366="","",IF(N366=D366,1,0))</f>
        <v/>
      </c>
      <c r="P366" s="67">
        <f>IF(G366="","",J366-G366)</f>
        <v/>
      </c>
      <c r="Q366" s="67">
        <f>IF(G366="","",ABS(P366-Components!$D$2))</f>
        <v/>
      </c>
      <c r="R366" s="67">
        <f>IF(G366="","",ABS(P366-Components!$D$3))</f>
        <v/>
      </c>
      <c r="S366" s="67">
        <f>IF(G366="","",ABS(P366-Components!$D$4))</f>
        <v/>
      </c>
      <c r="T366" s="67">
        <f>IF(G366="","",ABS(P366-Components!$D$5))</f>
        <v/>
      </c>
      <c r="U366" s="67">
        <f>IF(G366="","",ABS(P366-Components!$D$6))</f>
        <v/>
      </c>
      <c r="V366" s="67">
        <f>IF(G366="","",ABS(P366-Components!$D$7))</f>
        <v/>
      </c>
      <c r="W366" s="61">
        <f>IF(G366="","",IF(N366="OK","NONE",INDEX({"S1","S2","W1","W2","N1","N2"},MATCH(MIN(Q366:V366),Q366:V366,0))))</f>
        <v/>
      </c>
      <c r="X366" s="69">
        <f>IF(G366="","",IF(W366=E366,1,0))</f>
        <v/>
      </c>
      <c r="Y366" s="70" t="n"/>
    </row>
    <row r="367">
      <c r="A367" s="61" t="n">
        <v>51</v>
      </c>
      <c r="B367" s="62" t="n">
        <v>15</v>
      </c>
      <c r="C367" s="61" t="inlineStr">
        <is>
          <t>R6</t>
        </is>
      </c>
      <c r="D367" s="74" t="inlineStr">
        <is>
          <t>NG</t>
        </is>
      </c>
      <c r="E367" s="61" t="inlineStr">
        <is>
          <t>N2</t>
        </is>
      </c>
      <c r="F367" s="61" t="inlineStr">
        <is>
          <t>K049</t>
        </is>
      </c>
      <c r="G367" s="75" t="n">
        <v>7.17</v>
      </c>
      <c r="H367" s="65" t="n"/>
      <c r="I367" s="66" t="n"/>
      <c r="J367" s="67">
        <f>VLOOKUP(C367,Recipes!$A$2:$N$4,10,FALSE())</f>
        <v/>
      </c>
      <c r="K367" s="68">
        <f>VLOOKUP(C367,Recipes!$A$2:$N$4,12,FALSE())</f>
        <v/>
      </c>
      <c r="L367" s="67">
        <f>J367-3.5*K367</f>
        <v/>
      </c>
      <c r="M367" s="67">
        <f>J367+3.5*K367</f>
        <v/>
      </c>
      <c r="N367" s="61">
        <f>IF(G367="","",IF(AND(G367&gt;=L367,G367&lt;=M367),"OK","NG"))</f>
        <v/>
      </c>
      <c r="O367" s="69">
        <f>IF(N367="","",IF(N367=D367,1,0))</f>
        <v/>
      </c>
      <c r="P367" s="67">
        <f>IF(G367="","",J367-G367)</f>
        <v/>
      </c>
      <c r="Q367" s="67">
        <f>IF(G367="","",ABS(P367-Components!$D$2))</f>
        <v/>
      </c>
      <c r="R367" s="67">
        <f>IF(G367="","",ABS(P367-Components!$D$3))</f>
        <v/>
      </c>
      <c r="S367" s="67">
        <f>IF(G367="","",ABS(P367-Components!$D$4))</f>
        <v/>
      </c>
      <c r="T367" s="67">
        <f>IF(G367="","",ABS(P367-Components!$D$5))</f>
        <v/>
      </c>
      <c r="U367" s="67">
        <f>IF(G367="","",ABS(P367-Components!$D$6))</f>
        <v/>
      </c>
      <c r="V367" s="67">
        <f>IF(G367="","",ABS(P367-Components!$D$7))</f>
        <v/>
      </c>
      <c r="W367" s="61">
        <f>IF(G367="","",IF(N367="OK","NONE",INDEX({"S1","S2","W1","W2","N1","N2"},MATCH(MIN(Q367:V367),Q367:V367,0))))</f>
        <v/>
      </c>
      <c r="X367" s="69">
        <f>IF(G367="","",IF(W367=E367,1,0))</f>
        <v/>
      </c>
      <c r="Y367" s="70" t="n"/>
    </row>
    <row r="368">
      <c r="A368" s="61" t="n">
        <v>51</v>
      </c>
      <c r="B368" s="62" t="n">
        <v>15</v>
      </c>
      <c r="C368" s="61" t="inlineStr">
        <is>
          <t>R6</t>
        </is>
      </c>
      <c r="D368" s="74" t="inlineStr">
        <is>
          <t>NG</t>
        </is>
      </c>
      <c r="E368" s="61" t="inlineStr">
        <is>
          <t>N2</t>
        </is>
      </c>
      <c r="F368" s="61" t="inlineStr">
        <is>
          <t>K049</t>
        </is>
      </c>
      <c r="G368" s="75" t="n">
        <v>7.23</v>
      </c>
      <c r="H368" s="65" t="n"/>
      <c r="I368" s="66" t="n"/>
      <c r="J368" s="67">
        <f>VLOOKUP(C368,Recipes!$A$2:$N$4,10,FALSE())</f>
        <v/>
      </c>
      <c r="K368" s="68">
        <f>VLOOKUP(C368,Recipes!$A$2:$N$4,12,FALSE())</f>
        <v/>
      </c>
      <c r="L368" s="67">
        <f>J368-3.5*K368</f>
        <v/>
      </c>
      <c r="M368" s="67">
        <f>J368+3.5*K368</f>
        <v/>
      </c>
      <c r="N368" s="61">
        <f>IF(G368="","",IF(AND(G368&gt;=L368,G368&lt;=M368),"OK","NG"))</f>
        <v/>
      </c>
      <c r="O368" s="69">
        <f>IF(N368="","",IF(N368=D368,1,0))</f>
        <v/>
      </c>
      <c r="P368" s="67">
        <f>IF(G368="","",J368-G368)</f>
        <v/>
      </c>
      <c r="Q368" s="67">
        <f>IF(G368="","",ABS(P368-Components!$D$2))</f>
        <v/>
      </c>
      <c r="R368" s="67">
        <f>IF(G368="","",ABS(P368-Components!$D$3))</f>
        <v/>
      </c>
      <c r="S368" s="67">
        <f>IF(G368="","",ABS(P368-Components!$D$4))</f>
        <v/>
      </c>
      <c r="T368" s="67">
        <f>IF(G368="","",ABS(P368-Components!$D$5))</f>
        <v/>
      </c>
      <c r="U368" s="67">
        <f>IF(G368="","",ABS(P368-Components!$D$6))</f>
        <v/>
      </c>
      <c r="V368" s="67">
        <f>IF(G368="","",ABS(P368-Components!$D$7))</f>
        <v/>
      </c>
      <c r="W368" s="61">
        <f>IF(G368="","",IF(N368="OK","NONE",INDEX({"S1","S2","W1","W2","N1","N2"},MATCH(MIN(Q368:V368),Q368:V368,0))))</f>
        <v/>
      </c>
      <c r="X368" s="69">
        <f>IF(G368="","",IF(W368=E368,1,0))</f>
        <v/>
      </c>
      <c r="Y368" s="70" t="n"/>
    </row>
    <row r="369">
      <c r="A369" s="61" t="n">
        <v>51</v>
      </c>
      <c r="B369" s="62" t="n">
        <v>15</v>
      </c>
      <c r="C369" s="61" t="inlineStr">
        <is>
          <t>R6</t>
        </is>
      </c>
      <c r="D369" s="74" t="inlineStr">
        <is>
          <t>NG</t>
        </is>
      </c>
      <c r="E369" s="61" t="inlineStr">
        <is>
          <t>N2</t>
        </is>
      </c>
      <c r="F369" s="61" t="inlineStr">
        <is>
          <t>K049</t>
        </is>
      </c>
      <c r="G369" s="75" t="n">
        <v>7.23</v>
      </c>
      <c r="H369" s="65" t="n"/>
      <c r="I369" s="66" t="n"/>
      <c r="J369" s="67">
        <f>VLOOKUP(C369,Recipes!$A$2:$N$4,10,FALSE())</f>
        <v/>
      </c>
      <c r="K369" s="68">
        <f>VLOOKUP(C369,Recipes!$A$2:$N$4,12,FALSE())</f>
        <v/>
      </c>
      <c r="L369" s="67">
        <f>J369-3.5*K369</f>
        <v/>
      </c>
      <c r="M369" s="67">
        <f>J369+3.5*K369</f>
        <v/>
      </c>
      <c r="N369" s="61">
        <f>IF(G369="","",IF(AND(G369&gt;=L369,G369&lt;=M369),"OK","NG"))</f>
        <v/>
      </c>
      <c r="O369" s="69">
        <f>IF(N369="","",IF(N369=D369,1,0))</f>
        <v/>
      </c>
      <c r="P369" s="67">
        <f>IF(G369="","",J369-G369)</f>
        <v/>
      </c>
      <c r="Q369" s="67">
        <f>IF(G369="","",ABS(P369-Components!$D$2))</f>
        <v/>
      </c>
      <c r="R369" s="67">
        <f>IF(G369="","",ABS(P369-Components!$D$3))</f>
        <v/>
      </c>
      <c r="S369" s="67">
        <f>IF(G369="","",ABS(P369-Components!$D$4))</f>
        <v/>
      </c>
      <c r="T369" s="67">
        <f>IF(G369="","",ABS(P369-Components!$D$5))</f>
        <v/>
      </c>
      <c r="U369" s="67">
        <f>IF(G369="","",ABS(P369-Components!$D$6))</f>
        <v/>
      </c>
      <c r="V369" s="67">
        <f>IF(G369="","",ABS(P369-Components!$D$7))</f>
        <v/>
      </c>
      <c r="W369" s="61">
        <f>IF(G369="","",IF(N369="OK","NONE",INDEX({"S1","S2","W1","W2","N1","N2"},MATCH(MIN(Q369:V369),Q369:V369,0))))</f>
        <v/>
      </c>
      <c r="X369" s="69">
        <f>IF(G369="","",IF(W369=E369,1,0))</f>
        <v/>
      </c>
      <c r="Y369" s="70" t="n"/>
    </row>
    <row r="370">
      <c r="A370" s="61" t="n">
        <v>51</v>
      </c>
      <c r="B370" s="62" t="n">
        <v>15</v>
      </c>
      <c r="C370" s="61" t="inlineStr">
        <is>
          <t>R6</t>
        </is>
      </c>
      <c r="D370" s="74" t="inlineStr">
        <is>
          <t>NG</t>
        </is>
      </c>
      <c r="E370" s="61" t="inlineStr">
        <is>
          <t>N2</t>
        </is>
      </c>
      <c r="F370" s="61" t="inlineStr">
        <is>
          <t>K049</t>
        </is>
      </c>
      <c r="G370" s="75" t="n">
        <v>7.3</v>
      </c>
      <c r="H370" s="65" t="n"/>
      <c r="I370" s="66" t="n"/>
      <c r="J370" s="67">
        <f>VLOOKUP(C370,Recipes!$A$2:$N$4,10,FALSE())</f>
        <v/>
      </c>
      <c r="K370" s="68">
        <f>VLOOKUP(C370,Recipes!$A$2:$N$4,12,FALSE())</f>
        <v/>
      </c>
      <c r="L370" s="67">
        <f>J370-3.5*K370</f>
        <v/>
      </c>
      <c r="M370" s="67">
        <f>J370+3.5*K370</f>
        <v/>
      </c>
      <c r="N370" s="61">
        <f>IF(G370="","",IF(AND(G370&gt;=L370,G370&lt;=M370),"OK","NG"))</f>
        <v/>
      </c>
      <c r="O370" s="69">
        <f>IF(N370="","",IF(N370=D370,1,0))</f>
        <v/>
      </c>
      <c r="P370" s="67">
        <f>IF(G370="","",J370-G370)</f>
        <v/>
      </c>
      <c r="Q370" s="67">
        <f>IF(G370="","",ABS(P370-Components!$D$2))</f>
        <v/>
      </c>
      <c r="R370" s="67">
        <f>IF(G370="","",ABS(P370-Components!$D$3))</f>
        <v/>
      </c>
      <c r="S370" s="67">
        <f>IF(G370="","",ABS(P370-Components!$D$4))</f>
        <v/>
      </c>
      <c r="T370" s="67">
        <f>IF(G370="","",ABS(P370-Components!$D$5))</f>
        <v/>
      </c>
      <c r="U370" s="67">
        <f>IF(G370="","",ABS(P370-Components!$D$6))</f>
        <v/>
      </c>
      <c r="V370" s="67">
        <f>IF(G370="","",ABS(P370-Components!$D$7))</f>
        <v/>
      </c>
      <c r="W370" s="61">
        <f>IF(G370="","",IF(N370="OK","NONE",INDEX({"S1","S2","W1","W2","N1","N2"},MATCH(MIN(Q370:V370),Q370:V370,0))))</f>
        <v/>
      </c>
      <c r="X370" s="69">
        <f>IF(G370="","",IF(W370=E370,1,0))</f>
        <v/>
      </c>
      <c r="Y370" s="70" t="n"/>
    </row>
    <row r="371">
      <c r="A371" s="61" t="n">
        <v>51</v>
      </c>
      <c r="B371" s="62" t="n">
        <v>15</v>
      </c>
      <c r="C371" s="61" t="inlineStr">
        <is>
          <t>R6</t>
        </is>
      </c>
      <c r="D371" s="74" t="inlineStr">
        <is>
          <t>NG</t>
        </is>
      </c>
      <c r="E371" s="61" t="inlineStr">
        <is>
          <t>N2</t>
        </is>
      </c>
      <c r="F371" s="61" t="inlineStr">
        <is>
          <t>K049</t>
        </is>
      </c>
      <c r="G371" s="75" t="n">
        <v>7.25</v>
      </c>
      <c r="H371" s="65" t="n"/>
      <c r="I371" s="66" t="n"/>
      <c r="J371" s="67">
        <f>VLOOKUP(C371,Recipes!$A$2:$N$4,10,FALSE())</f>
        <v/>
      </c>
      <c r="K371" s="68">
        <f>VLOOKUP(C371,Recipes!$A$2:$N$4,12,FALSE())</f>
        <v/>
      </c>
      <c r="L371" s="67">
        <f>J371-3.5*K371</f>
        <v/>
      </c>
      <c r="M371" s="67">
        <f>J371+3.5*K371</f>
        <v/>
      </c>
      <c r="N371" s="61">
        <f>IF(G371="","",IF(AND(G371&gt;=L371,G371&lt;=M371),"OK","NG"))</f>
        <v/>
      </c>
      <c r="O371" s="69">
        <f>IF(N371="","",IF(N371=D371,1,0))</f>
        <v/>
      </c>
      <c r="P371" s="67">
        <f>IF(G371="","",J371-G371)</f>
        <v/>
      </c>
      <c r="Q371" s="67">
        <f>IF(G371="","",ABS(P371-Components!$D$2))</f>
        <v/>
      </c>
      <c r="R371" s="67">
        <f>IF(G371="","",ABS(P371-Components!$D$3))</f>
        <v/>
      </c>
      <c r="S371" s="67">
        <f>IF(G371="","",ABS(P371-Components!$D$4))</f>
        <v/>
      </c>
      <c r="T371" s="67">
        <f>IF(G371="","",ABS(P371-Components!$D$5))</f>
        <v/>
      </c>
      <c r="U371" s="67">
        <f>IF(G371="","",ABS(P371-Components!$D$6))</f>
        <v/>
      </c>
      <c r="V371" s="67">
        <f>IF(G371="","",ABS(P371-Components!$D$7))</f>
        <v/>
      </c>
      <c r="W371" s="61">
        <f>IF(G371="","",IF(N371="OK","NONE",INDEX({"S1","S2","W1","W2","N1","N2"},MATCH(MIN(Q371:V371),Q371:V371,0))))</f>
        <v/>
      </c>
      <c r="X371" s="69">
        <f>IF(G371="","",IF(W371=E371,1,0))</f>
        <v/>
      </c>
      <c r="Y371" s="70" t="n"/>
    </row>
    <row r="372">
      <c r="A372" s="61" t="n">
        <v>51</v>
      </c>
      <c r="B372" s="62" t="n">
        <v>15</v>
      </c>
      <c r="C372" s="61" t="inlineStr">
        <is>
          <t>R6</t>
        </is>
      </c>
      <c r="D372" s="74" t="inlineStr">
        <is>
          <t>NG</t>
        </is>
      </c>
      <c r="E372" s="61" t="inlineStr">
        <is>
          <t>N2</t>
        </is>
      </c>
      <c r="F372" s="61" t="inlineStr">
        <is>
          <t>K049</t>
        </is>
      </c>
      <c r="G372" s="75" t="n">
        <v>7.25</v>
      </c>
      <c r="H372" s="65" t="n"/>
      <c r="I372" s="66" t="n"/>
      <c r="J372" s="67">
        <f>VLOOKUP(C372,Recipes!$A$2:$N$4,10,FALSE())</f>
        <v/>
      </c>
      <c r="K372" s="68">
        <f>VLOOKUP(C372,Recipes!$A$2:$N$4,12,FALSE())</f>
        <v/>
      </c>
      <c r="L372" s="67">
        <f>J372-3.5*K372</f>
        <v/>
      </c>
      <c r="M372" s="67">
        <f>J372+3.5*K372</f>
        <v/>
      </c>
      <c r="N372" s="61">
        <f>IF(G372="","",IF(AND(G372&gt;=L372,G372&lt;=M372),"OK","NG"))</f>
        <v/>
      </c>
      <c r="O372" s="69">
        <f>IF(N372="","",IF(N372=D372,1,0))</f>
        <v/>
      </c>
      <c r="P372" s="67">
        <f>IF(G372="","",J372-G372)</f>
        <v/>
      </c>
      <c r="Q372" s="67">
        <f>IF(G372="","",ABS(P372-Components!$D$2))</f>
        <v/>
      </c>
      <c r="R372" s="67">
        <f>IF(G372="","",ABS(P372-Components!$D$3))</f>
        <v/>
      </c>
      <c r="S372" s="67">
        <f>IF(G372="","",ABS(P372-Components!$D$4))</f>
        <v/>
      </c>
      <c r="T372" s="67">
        <f>IF(G372="","",ABS(P372-Components!$D$5))</f>
        <v/>
      </c>
      <c r="U372" s="67">
        <f>IF(G372="","",ABS(P372-Components!$D$6))</f>
        <v/>
      </c>
      <c r="V372" s="67">
        <f>IF(G372="","",ABS(P372-Components!$D$7))</f>
        <v/>
      </c>
      <c r="W372" s="61">
        <f>IF(G372="","",IF(N372="OK","NONE",INDEX({"S1","S2","W1","W2","N1","N2"},MATCH(MIN(Q372:V372),Q372:V372,0))))</f>
        <v/>
      </c>
      <c r="X372" s="69">
        <f>IF(G372="","",IF(W372=E372,1,0))</f>
        <v/>
      </c>
      <c r="Y372" s="70" t="n"/>
    </row>
    <row r="373">
      <c r="A373" s="61" t="n">
        <v>51</v>
      </c>
      <c r="B373" s="62" t="n">
        <v>15</v>
      </c>
      <c r="C373" s="61" t="inlineStr">
        <is>
          <t>R6</t>
        </is>
      </c>
      <c r="D373" s="74" t="inlineStr">
        <is>
          <t>NG</t>
        </is>
      </c>
      <c r="E373" s="61" t="inlineStr">
        <is>
          <t>N2</t>
        </is>
      </c>
      <c r="F373" s="61" t="inlineStr">
        <is>
          <t>K049</t>
        </is>
      </c>
      <c r="G373" s="75" t="n">
        <v>7.19</v>
      </c>
      <c r="H373" s="65" t="n"/>
      <c r="I373" s="66" t="n"/>
      <c r="J373" s="67">
        <f>VLOOKUP(C373,Recipes!$A$2:$N$4,10,FALSE())</f>
        <v/>
      </c>
      <c r="K373" s="68">
        <f>VLOOKUP(C373,Recipes!$A$2:$N$4,12,FALSE())</f>
        <v/>
      </c>
      <c r="L373" s="67">
        <f>J373-3.5*K373</f>
        <v/>
      </c>
      <c r="M373" s="67">
        <f>J373+3.5*K373</f>
        <v/>
      </c>
      <c r="N373" s="61">
        <f>IF(G373="","",IF(AND(G373&gt;=L373,G373&lt;=M373),"OK","NG"))</f>
        <v/>
      </c>
      <c r="O373" s="69">
        <f>IF(N373="","",IF(N373=D373,1,0))</f>
        <v/>
      </c>
      <c r="P373" s="67">
        <f>IF(G373="","",J373-G373)</f>
        <v/>
      </c>
      <c r="Q373" s="67">
        <f>IF(G373="","",ABS(P373-Components!$D$2))</f>
        <v/>
      </c>
      <c r="R373" s="67">
        <f>IF(G373="","",ABS(P373-Components!$D$3))</f>
        <v/>
      </c>
      <c r="S373" s="67">
        <f>IF(G373="","",ABS(P373-Components!$D$4))</f>
        <v/>
      </c>
      <c r="T373" s="67">
        <f>IF(G373="","",ABS(P373-Components!$D$5))</f>
        <v/>
      </c>
      <c r="U373" s="67">
        <f>IF(G373="","",ABS(P373-Components!$D$6))</f>
        <v/>
      </c>
      <c r="V373" s="67">
        <f>IF(G373="","",ABS(P373-Components!$D$7))</f>
        <v/>
      </c>
      <c r="W373" s="61">
        <f>IF(G373="","",IF(N373="OK","NONE",INDEX({"S1","S2","W1","W2","N1","N2"},MATCH(MIN(Q373:V373),Q373:V373,0))))</f>
        <v/>
      </c>
      <c r="X373" s="69">
        <f>IF(G373="","",IF(W373=E373,1,0))</f>
        <v/>
      </c>
      <c r="Y373" s="70" t="n"/>
    </row>
    <row r="374">
      <c r="A374" s="61" t="n">
        <v>51</v>
      </c>
      <c r="B374" s="62" t="n">
        <v>15</v>
      </c>
      <c r="C374" s="61" t="inlineStr">
        <is>
          <t>R6</t>
        </is>
      </c>
      <c r="D374" s="74" t="inlineStr">
        <is>
          <t>NG</t>
        </is>
      </c>
      <c r="E374" s="61" t="inlineStr">
        <is>
          <t>N2</t>
        </is>
      </c>
      <c r="F374" s="61" t="inlineStr">
        <is>
          <t>K049</t>
        </is>
      </c>
      <c r="G374" s="75" t="n">
        <v>7.26</v>
      </c>
      <c r="H374" s="65" t="n"/>
      <c r="I374" s="66" t="n"/>
      <c r="J374" s="67">
        <f>VLOOKUP(C374,Recipes!$A$2:$N$4,10,FALSE())</f>
        <v/>
      </c>
      <c r="K374" s="68">
        <f>VLOOKUP(C374,Recipes!$A$2:$N$4,12,FALSE())</f>
        <v/>
      </c>
      <c r="L374" s="67">
        <f>J374-3.5*K374</f>
        <v/>
      </c>
      <c r="M374" s="67">
        <f>J374+3.5*K374</f>
        <v/>
      </c>
      <c r="N374" s="61">
        <f>IF(G374="","",IF(AND(G374&gt;=L374,G374&lt;=M374),"OK","NG"))</f>
        <v/>
      </c>
      <c r="O374" s="69">
        <f>IF(N374="","",IF(N374=D374,1,0))</f>
        <v/>
      </c>
      <c r="P374" s="67">
        <f>IF(G374="","",J374-G374)</f>
        <v/>
      </c>
      <c r="Q374" s="67">
        <f>IF(G374="","",ABS(P374-Components!$D$2))</f>
        <v/>
      </c>
      <c r="R374" s="67">
        <f>IF(G374="","",ABS(P374-Components!$D$3))</f>
        <v/>
      </c>
      <c r="S374" s="67">
        <f>IF(G374="","",ABS(P374-Components!$D$4))</f>
        <v/>
      </c>
      <c r="T374" s="67">
        <f>IF(G374="","",ABS(P374-Components!$D$5))</f>
        <v/>
      </c>
      <c r="U374" s="67">
        <f>IF(G374="","",ABS(P374-Components!$D$6))</f>
        <v/>
      </c>
      <c r="V374" s="67">
        <f>IF(G374="","",ABS(P374-Components!$D$7))</f>
        <v/>
      </c>
      <c r="W374" s="61">
        <f>IF(G374="","",IF(N374="OK","NONE",INDEX({"S1","S2","W1","W2","N1","N2"},MATCH(MIN(Q374:V374),Q374:V374,0))))</f>
        <v/>
      </c>
      <c r="X374" s="69">
        <f>IF(G374="","",IF(W374=E374,1,0))</f>
        <v/>
      </c>
      <c r="Y374" s="70" t="n"/>
    </row>
    <row r="375">
      <c r="A375" s="61" t="n">
        <v>51</v>
      </c>
      <c r="B375" s="62" t="n">
        <v>15</v>
      </c>
      <c r="C375" s="61" t="inlineStr">
        <is>
          <t>R6</t>
        </is>
      </c>
      <c r="D375" s="74" t="inlineStr">
        <is>
          <t>NG</t>
        </is>
      </c>
      <c r="E375" s="61" t="inlineStr">
        <is>
          <t>N2</t>
        </is>
      </c>
      <c r="F375" s="61" t="inlineStr">
        <is>
          <t>K049</t>
        </is>
      </c>
      <c r="G375" s="75" t="n">
        <v>7.23</v>
      </c>
      <c r="H375" s="65" t="n"/>
      <c r="I375" s="66" t="n"/>
      <c r="J375" s="67">
        <f>VLOOKUP(C375,Recipes!$A$2:$N$4,10,FALSE())</f>
        <v/>
      </c>
      <c r="K375" s="68">
        <f>VLOOKUP(C375,Recipes!$A$2:$N$4,12,FALSE())</f>
        <v/>
      </c>
      <c r="L375" s="67">
        <f>J375-3.5*K375</f>
        <v/>
      </c>
      <c r="M375" s="67">
        <f>J375+3.5*K375</f>
        <v/>
      </c>
      <c r="N375" s="61">
        <f>IF(G375="","",IF(AND(G375&gt;=L375,G375&lt;=M375),"OK","NG"))</f>
        <v/>
      </c>
      <c r="O375" s="69">
        <f>IF(N375="","",IF(N375=D375,1,0))</f>
        <v/>
      </c>
      <c r="P375" s="67">
        <f>IF(G375="","",J375-G375)</f>
        <v/>
      </c>
      <c r="Q375" s="67">
        <f>IF(G375="","",ABS(P375-Components!$D$2))</f>
        <v/>
      </c>
      <c r="R375" s="67">
        <f>IF(G375="","",ABS(P375-Components!$D$3))</f>
        <v/>
      </c>
      <c r="S375" s="67">
        <f>IF(G375="","",ABS(P375-Components!$D$4))</f>
        <v/>
      </c>
      <c r="T375" s="67">
        <f>IF(G375="","",ABS(P375-Components!$D$5))</f>
        <v/>
      </c>
      <c r="U375" s="67">
        <f>IF(G375="","",ABS(P375-Components!$D$6))</f>
        <v/>
      </c>
      <c r="V375" s="67">
        <f>IF(G375="","",ABS(P375-Components!$D$7))</f>
        <v/>
      </c>
      <c r="W375" s="61">
        <f>IF(G375="","",IF(N375="OK","NONE",INDEX({"S1","S2","W1","W2","N1","N2"},MATCH(MIN(Q375:V375),Q375:V375,0))))</f>
        <v/>
      </c>
      <c r="X375" s="69">
        <f>IF(G375="","",IF(W375=E375,1,0))</f>
        <v/>
      </c>
      <c r="Y375" s="70" t="n"/>
    </row>
    <row r="376">
      <c r="A376" s="61" t="n">
        <v>51</v>
      </c>
      <c r="B376" s="62" t="n">
        <v>15</v>
      </c>
      <c r="C376" s="61" t="inlineStr">
        <is>
          <t>R6</t>
        </is>
      </c>
      <c r="D376" s="74" t="inlineStr">
        <is>
          <t>NG</t>
        </is>
      </c>
      <c r="E376" s="61" t="inlineStr">
        <is>
          <t>N2</t>
        </is>
      </c>
      <c r="F376" s="61" t="inlineStr">
        <is>
          <t>K049</t>
        </is>
      </c>
      <c r="G376" s="75" t="n">
        <v>7.06</v>
      </c>
      <c r="H376" s="65" t="n"/>
      <c r="I376" s="66" t="n"/>
      <c r="J376" s="67">
        <f>VLOOKUP(C376,Recipes!$A$2:$N$4,10,FALSE())</f>
        <v/>
      </c>
      <c r="K376" s="68">
        <f>VLOOKUP(C376,Recipes!$A$2:$N$4,12,FALSE())</f>
        <v/>
      </c>
      <c r="L376" s="67">
        <f>J376-3.5*K376</f>
        <v/>
      </c>
      <c r="M376" s="67">
        <f>J376+3.5*K376</f>
        <v/>
      </c>
      <c r="N376" s="61">
        <f>IF(G376="","",IF(AND(G376&gt;=L376,G376&lt;=M376),"OK","NG"))</f>
        <v/>
      </c>
      <c r="O376" s="69">
        <f>IF(N376="","",IF(N376=D376,1,0))</f>
        <v/>
      </c>
      <c r="P376" s="67">
        <f>IF(G376="","",J376-G376)</f>
        <v/>
      </c>
      <c r="Q376" s="67">
        <f>IF(G376="","",ABS(P376-Components!$D$2))</f>
        <v/>
      </c>
      <c r="R376" s="67">
        <f>IF(G376="","",ABS(P376-Components!$D$3))</f>
        <v/>
      </c>
      <c r="S376" s="67">
        <f>IF(G376="","",ABS(P376-Components!$D$4))</f>
        <v/>
      </c>
      <c r="T376" s="67">
        <f>IF(G376="","",ABS(P376-Components!$D$5))</f>
        <v/>
      </c>
      <c r="U376" s="67">
        <f>IF(G376="","",ABS(P376-Components!$D$6))</f>
        <v/>
      </c>
      <c r="V376" s="67">
        <f>IF(G376="","",ABS(P376-Components!$D$7))</f>
        <v/>
      </c>
      <c r="W376" s="61">
        <f>IF(G376="","",IF(N376="OK","NONE",INDEX({"S1","S2","W1","W2","N1","N2"},MATCH(MIN(Q376:V376),Q376:V376,0))))</f>
        <v/>
      </c>
      <c r="X376" s="69">
        <f>IF(G376="","",IF(W376=E376,1,0))</f>
        <v/>
      </c>
      <c r="Y376" s="70" t="n"/>
    </row>
    <row r="377">
      <c r="A377" s="61" t="n">
        <v>51</v>
      </c>
      <c r="B377" s="62" t="n">
        <v>15</v>
      </c>
      <c r="C377" s="61" t="inlineStr">
        <is>
          <t>R6</t>
        </is>
      </c>
      <c r="D377" s="74" t="inlineStr">
        <is>
          <t>NG</t>
        </is>
      </c>
      <c r="E377" s="61" t="inlineStr">
        <is>
          <t>N2</t>
        </is>
      </c>
      <c r="F377" s="61" t="inlineStr">
        <is>
          <t>K049</t>
        </is>
      </c>
      <c r="G377" s="75" t="n">
        <v>7.2</v>
      </c>
      <c r="H377" s="65" t="n"/>
      <c r="I377" s="66" t="n"/>
      <c r="J377" s="67">
        <f>VLOOKUP(C377,Recipes!$A$2:$N$4,10,FALSE())</f>
        <v/>
      </c>
      <c r="K377" s="68">
        <f>VLOOKUP(C377,Recipes!$A$2:$N$4,12,FALSE())</f>
        <v/>
      </c>
      <c r="L377" s="67">
        <f>J377-3.5*K377</f>
        <v/>
      </c>
      <c r="M377" s="67">
        <f>J377+3.5*K377</f>
        <v/>
      </c>
      <c r="N377" s="61">
        <f>IF(G377="","",IF(AND(G377&gt;=L377,G377&lt;=M377),"OK","NG"))</f>
        <v/>
      </c>
      <c r="O377" s="69">
        <f>IF(N377="","",IF(N377=D377,1,0))</f>
        <v/>
      </c>
      <c r="P377" s="67">
        <f>IF(G377="","",J377-G377)</f>
        <v/>
      </c>
      <c r="Q377" s="67">
        <f>IF(G377="","",ABS(P377-Components!$D$2))</f>
        <v/>
      </c>
      <c r="R377" s="67">
        <f>IF(G377="","",ABS(P377-Components!$D$3))</f>
        <v/>
      </c>
      <c r="S377" s="67">
        <f>IF(G377="","",ABS(P377-Components!$D$4))</f>
        <v/>
      </c>
      <c r="T377" s="67">
        <f>IF(G377="","",ABS(P377-Components!$D$5))</f>
        <v/>
      </c>
      <c r="U377" s="67">
        <f>IF(G377="","",ABS(P377-Components!$D$6))</f>
        <v/>
      </c>
      <c r="V377" s="67">
        <f>IF(G377="","",ABS(P377-Components!$D$7))</f>
        <v/>
      </c>
      <c r="W377" s="61">
        <f>IF(G377="","",IF(N377="OK","NONE",INDEX({"S1","S2","W1","W2","N1","N2"},MATCH(MIN(Q377:V377),Q377:V377,0))))</f>
        <v/>
      </c>
      <c r="X377" s="69">
        <f>IF(G377="","",IF(W377=E377,1,0))</f>
        <v/>
      </c>
      <c r="Y377" s="70" t="n"/>
    </row>
    <row r="378">
      <c r="A378" s="61" t="n">
        <v>51</v>
      </c>
      <c r="B378" s="62" t="n">
        <v>15</v>
      </c>
      <c r="C378" s="61" t="inlineStr">
        <is>
          <t>R6</t>
        </is>
      </c>
      <c r="D378" s="74" t="inlineStr">
        <is>
          <t>NG</t>
        </is>
      </c>
      <c r="E378" s="61" t="inlineStr">
        <is>
          <t>N2</t>
        </is>
      </c>
      <c r="F378" s="61" t="inlineStr">
        <is>
          <t>K049</t>
        </is>
      </c>
      <c r="G378" s="75" t="n">
        <v>7.21</v>
      </c>
      <c r="H378" s="65" t="n"/>
      <c r="I378" s="66" t="n"/>
      <c r="J378" s="67">
        <f>VLOOKUP(C378,Recipes!$A$2:$N$4,10,FALSE())</f>
        <v/>
      </c>
      <c r="K378" s="68">
        <f>VLOOKUP(C378,Recipes!$A$2:$N$4,12,FALSE())</f>
        <v/>
      </c>
      <c r="L378" s="67">
        <f>J378-3.5*K378</f>
        <v/>
      </c>
      <c r="M378" s="67">
        <f>J378+3.5*K378</f>
        <v/>
      </c>
      <c r="N378" s="61">
        <f>IF(G378="","",IF(AND(G378&gt;=L378,G378&lt;=M378),"OK","NG"))</f>
        <v/>
      </c>
      <c r="O378" s="69">
        <f>IF(N378="","",IF(N378=D378,1,0))</f>
        <v/>
      </c>
      <c r="P378" s="67">
        <f>IF(G378="","",J378-G378)</f>
        <v/>
      </c>
      <c r="Q378" s="67">
        <f>IF(G378="","",ABS(P378-Components!$D$2))</f>
        <v/>
      </c>
      <c r="R378" s="67">
        <f>IF(G378="","",ABS(P378-Components!$D$3))</f>
        <v/>
      </c>
      <c r="S378" s="67">
        <f>IF(G378="","",ABS(P378-Components!$D$4))</f>
        <v/>
      </c>
      <c r="T378" s="67">
        <f>IF(G378="","",ABS(P378-Components!$D$5))</f>
        <v/>
      </c>
      <c r="U378" s="67">
        <f>IF(G378="","",ABS(P378-Components!$D$6))</f>
        <v/>
      </c>
      <c r="V378" s="67">
        <f>IF(G378="","",ABS(P378-Components!$D$7))</f>
        <v/>
      </c>
      <c r="W378" s="61">
        <f>IF(G378="","",IF(N378="OK","NONE",INDEX({"S1","S2","W1","W2","N1","N2"},MATCH(MIN(Q378:V378),Q378:V378,0))))</f>
        <v/>
      </c>
      <c r="X378" s="69">
        <f>IF(G378="","",IF(W378=E378,1,0))</f>
        <v/>
      </c>
      <c r="Y378" s="70" t="n"/>
    </row>
    <row r="379">
      <c r="A379" s="61" t="n">
        <v>51</v>
      </c>
      <c r="B379" s="62" t="n">
        <v>15</v>
      </c>
      <c r="C379" s="61" t="inlineStr">
        <is>
          <t>R6</t>
        </is>
      </c>
      <c r="D379" s="74" t="inlineStr">
        <is>
          <t>NG</t>
        </is>
      </c>
      <c r="E379" s="61" t="inlineStr">
        <is>
          <t>N2</t>
        </is>
      </c>
      <c r="F379" s="61" t="inlineStr">
        <is>
          <t>K049</t>
        </is>
      </c>
      <c r="G379" s="75" t="n">
        <v>7.22</v>
      </c>
      <c r="H379" s="65" t="n"/>
      <c r="I379" s="66" t="n"/>
      <c r="J379" s="67">
        <f>VLOOKUP(C379,Recipes!$A$2:$N$4,10,FALSE())</f>
        <v/>
      </c>
      <c r="K379" s="68">
        <f>VLOOKUP(C379,Recipes!$A$2:$N$4,12,FALSE())</f>
        <v/>
      </c>
      <c r="L379" s="67">
        <f>J379-3.5*K379</f>
        <v/>
      </c>
      <c r="M379" s="67">
        <f>J379+3.5*K379</f>
        <v/>
      </c>
      <c r="N379" s="61">
        <f>IF(G379="","",IF(AND(G379&gt;=L379,G379&lt;=M379),"OK","NG"))</f>
        <v/>
      </c>
      <c r="O379" s="69">
        <f>IF(N379="","",IF(N379=D379,1,0))</f>
        <v/>
      </c>
      <c r="P379" s="67">
        <f>IF(G379="","",J379-G379)</f>
        <v/>
      </c>
      <c r="Q379" s="67">
        <f>IF(G379="","",ABS(P379-Components!$D$2))</f>
        <v/>
      </c>
      <c r="R379" s="67">
        <f>IF(G379="","",ABS(P379-Components!$D$3))</f>
        <v/>
      </c>
      <c r="S379" s="67">
        <f>IF(G379="","",ABS(P379-Components!$D$4))</f>
        <v/>
      </c>
      <c r="T379" s="67">
        <f>IF(G379="","",ABS(P379-Components!$D$5))</f>
        <v/>
      </c>
      <c r="U379" s="67">
        <f>IF(G379="","",ABS(P379-Components!$D$6))</f>
        <v/>
      </c>
      <c r="V379" s="67">
        <f>IF(G379="","",ABS(P379-Components!$D$7))</f>
        <v/>
      </c>
      <c r="W379" s="61">
        <f>IF(G379="","",IF(N379="OK","NONE",INDEX({"S1","S2","W1","W2","N1","N2"},MATCH(MIN(Q379:V379),Q379:V379,0))))</f>
        <v/>
      </c>
      <c r="X379" s="69">
        <f>IF(G379="","",IF(W379=E379,1,0))</f>
        <v/>
      </c>
      <c r="Y379" s="70" t="n"/>
    </row>
    <row r="380">
      <c r="A380" s="61" t="n">
        <v>51</v>
      </c>
      <c r="B380" s="62" t="n">
        <v>15</v>
      </c>
      <c r="C380" s="61" t="inlineStr">
        <is>
          <t>R6</t>
        </is>
      </c>
      <c r="D380" s="74" t="inlineStr">
        <is>
          <t>NG</t>
        </is>
      </c>
      <c r="E380" s="61" t="inlineStr">
        <is>
          <t>N2</t>
        </is>
      </c>
      <c r="F380" s="61" t="inlineStr">
        <is>
          <t>K049</t>
        </is>
      </c>
      <c r="G380" s="75" t="n">
        <v>7.15</v>
      </c>
      <c r="H380" s="65" t="n"/>
      <c r="I380" s="66" t="n"/>
      <c r="J380" s="67">
        <f>VLOOKUP(C380,Recipes!$A$2:$N$4,10,FALSE())</f>
        <v/>
      </c>
      <c r="K380" s="68">
        <f>VLOOKUP(C380,Recipes!$A$2:$N$4,12,FALSE())</f>
        <v/>
      </c>
      <c r="L380" s="67">
        <f>J380-3.5*K380</f>
        <v/>
      </c>
      <c r="M380" s="67">
        <f>J380+3.5*K380</f>
        <v/>
      </c>
      <c r="N380" s="61">
        <f>IF(G380="","",IF(AND(G380&gt;=L380,G380&lt;=M380),"OK","NG"))</f>
        <v/>
      </c>
      <c r="O380" s="69">
        <f>IF(N380="","",IF(N380=D380,1,0))</f>
        <v/>
      </c>
      <c r="P380" s="67">
        <f>IF(G380="","",J380-G380)</f>
        <v/>
      </c>
      <c r="Q380" s="67">
        <f>IF(G380="","",ABS(P380-Components!$D$2))</f>
        <v/>
      </c>
      <c r="R380" s="67">
        <f>IF(G380="","",ABS(P380-Components!$D$3))</f>
        <v/>
      </c>
      <c r="S380" s="67">
        <f>IF(G380="","",ABS(P380-Components!$D$4))</f>
        <v/>
      </c>
      <c r="T380" s="67">
        <f>IF(G380="","",ABS(P380-Components!$D$5))</f>
        <v/>
      </c>
      <c r="U380" s="67">
        <f>IF(G380="","",ABS(P380-Components!$D$6))</f>
        <v/>
      </c>
      <c r="V380" s="67">
        <f>IF(G380="","",ABS(P380-Components!$D$7))</f>
        <v/>
      </c>
      <c r="W380" s="61">
        <f>IF(G380="","",IF(N380="OK","NONE",INDEX({"S1","S2","W1","W2","N1","N2"},MATCH(MIN(Q380:V380),Q380:V380,0))))</f>
        <v/>
      </c>
      <c r="X380" s="69">
        <f>IF(G380="","",IF(W380=E380,1,0))</f>
        <v/>
      </c>
      <c r="Y380" s="70" t="n"/>
    </row>
    <row r="381">
      <c r="A381" s="61" t="n">
        <v>51</v>
      </c>
      <c r="B381" s="62" t="n">
        <v>15</v>
      </c>
      <c r="C381" s="61" t="inlineStr">
        <is>
          <t>R6</t>
        </is>
      </c>
      <c r="D381" s="74" t="inlineStr">
        <is>
          <t>NG</t>
        </is>
      </c>
      <c r="E381" s="61" t="inlineStr">
        <is>
          <t>N2</t>
        </is>
      </c>
      <c r="F381" s="61" t="inlineStr">
        <is>
          <t>K049</t>
        </is>
      </c>
      <c r="G381" s="75" t="n">
        <v>7.28</v>
      </c>
      <c r="H381" s="65" t="n"/>
      <c r="I381" s="66" t="n"/>
      <c r="J381" s="67">
        <f>VLOOKUP(C381,Recipes!$A$2:$N$4,10,FALSE())</f>
        <v/>
      </c>
      <c r="K381" s="68">
        <f>VLOOKUP(C381,Recipes!$A$2:$N$4,12,FALSE())</f>
        <v/>
      </c>
      <c r="L381" s="67">
        <f>J381-3.5*K381</f>
        <v/>
      </c>
      <c r="M381" s="67">
        <f>J381+3.5*K381</f>
        <v/>
      </c>
      <c r="N381" s="61">
        <f>IF(G381="","",IF(AND(G381&gt;=L381,G381&lt;=M381),"OK","NG"))</f>
        <v/>
      </c>
      <c r="O381" s="69">
        <f>IF(N381="","",IF(N381=D381,1,0))</f>
        <v/>
      </c>
      <c r="P381" s="67">
        <f>IF(G381="","",J381-G381)</f>
        <v/>
      </c>
      <c r="Q381" s="67">
        <f>IF(G381="","",ABS(P381-Components!$D$2))</f>
        <v/>
      </c>
      <c r="R381" s="67">
        <f>IF(G381="","",ABS(P381-Components!$D$3))</f>
        <v/>
      </c>
      <c r="S381" s="67">
        <f>IF(G381="","",ABS(P381-Components!$D$4))</f>
        <v/>
      </c>
      <c r="T381" s="67">
        <f>IF(G381="","",ABS(P381-Components!$D$5))</f>
        <v/>
      </c>
      <c r="U381" s="67">
        <f>IF(G381="","",ABS(P381-Components!$D$6))</f>
        <v/>
      </c>
      <c r="V381" s="67">
        <f>IF(G381="","",ABS(P381-Components!$D$7))</f>
        <v/>
      </c>
      <c r="W381" s="61">
        <f>IF(G381="","",IF(N381="OK","NONE",INDEX({"S1","S2","W1","W2","N1","N2"},MATCH(MIN(Q381:V381),Q381:V381,0))))</f>
        <v/>
      </c>
      <c r="X381" s="69">
        <f>IF(G381="","",IF(W381=E381,1,0))</f>
        <v/>
      </c>
      <c r="Y381" s="70" t="n"/>
    </row>
    <row r="382">
      <c r="A382" s="61" t="n">
        <v>51</v>
      </c>
      <c r="B382" s="62" t="n">
        <v>15</v>
      </c>
      <c r="C382" s="61" t="inlineStr">
        <is>
          <t>R6</t>
        </is>
      </c>
      <c r="D382" s="74" t="inlineStr">
        <is>
          <t>NG</t>
        </is>
      </c>
      <c r="E382" s="61" t="inlineStr">
        <is>
          <t>N2</t>
        </is>
      </c>
      <c r="F382" s="61" t="inlineStr">
        <is>
          <t>K049</t>
        </is>
      </c>
      <c r="G382" s="75" t="n">
        <v>7.23</v>
      </c>
      <c r="H382" s="65" t="n"/>
      <c r="I382" s="66" t="n"/>
      <c r="J382" s="67">
        <f>VLOOKUP(C382,Recipes!$A$2:$N$4,10,FALSE())</f>
        <v/>
      </c>
      <c r="K382" s="68">
        <f>VLOOKUP(C382,Recipes!$A$2:$N$4,12,FALSE())</f>
        <v/>
      </c>
      <c r="L382" s="67">
        <f>J382-3.5*K382</f>
        <v/>
      </c>
      <c r="M382" s="67">
        <f>J382+3.5*K382</f>
        <v/>
      </c>
      <c r="N382" s="61">
        <f>IF(G382="","",IF(AND(G382&gt;=L382,G382&lt;=M382),"OK","NG"))</f>
        <v/>
      </c>
      <c r="O382" s="69">
        <f>IF(N382="","",IF(N382=D382,1,0))</f>
        <v/>
      </c>
      <c r="P382" s="67">
        <f>IF(G382="","",J382-G382)</f>
        <v/>
      </c>
      <c r="Q382" s="67">
        <f>IF(G382="","",ABS(P382-Components!$D$2))</f>
        <v/>
      </c>
      <c r="R382" s="67">
        <f>IF(G382="","",ABS(P382-Components!$D$3))</f>
        <v/>
      </c>
      <c r="S382" s="67">
        <f>IF(G382="","",ABS(P382-Components!$D$4))</f>
        <v/>
      </c>
      <c r="T382" s="67">
        <f>IF(G382="","",ABS(P382-Components!$D$5))</f>
        <v/>
      </c>
      <c r="U382" s="67">
        <f>IF(G382="","",ABS(P382-Components!$D$6))</f>
        <v/>
      </c>
      <c r="V382" s="67">
        <f>IF(G382="","",ABS(P382-Components!$D$7))</f>
        <v/>
      </c>
      <c r="W382" s="61">
        <f>IF(G382="","",IF(N382="OK","NONE",INDEX({"S1","S2","W1","W2","N1","N2"},MATCH(MIN(Q382:V382),Q382:V382,0))))</f>
        <v/>
      </c>
      <c r="X382" s="69">
        <f>IF(G382="","",IF(W382=E382,1,0))</f>
        <v/>
      </c>
      <c r="Y382" s="70" t="n"/>
    </row>
    <row r="383">
      <c r="A383" s="61" t="n">
        <v>51</v>
      </c>
      <c r="B383" s="62" t="n">
        <v>15</v>
      </c>
      <c r="C383" s="61" t="inlineStr">
        <is>
          <t>R6</t>
        </is>
      </c>
      <c r="D383" s="74" t="inlineStr">
        <is>
          <t>NG</t>
        </is>
      </c>
      <c r="E383" s="61" t="inlineStr">
        <is>
          <t>N2</t>
        </is>
      </c>
      <c r="F383" s="61" t="inlineStr">
        <is>
          <t>K049</t>
        </is>
      </c>
      <c r="G383" s="75" t="n">
        <v>7.26</v>
      </c>
      <c r="H383" s="65" t="n"/>
      <c r="I383" s="66" t="n"/>
      <c r="J383" s="67">
        <f>VLOOKUP(C383,Recipes!$A$2:$N$4,10,FALSE())</f>
        <v/>
      </c>
      <c r="K383" s="68">
        <f>VLOOKUP(C383,Recipes!$A$2:$N$4,12,FALSE())</f>
        <v/>
      </c>
      <c r="L383" s="67">
        <f>J383-3.5*K383</f>
        <v/>
      </c>
      <c r="M383" s="67">
        <f>J383+3.5*K383</f>
        <v/>
      </c>
      <c r="N383" s="61">
        <f>IF(G383="","",IF(AND(G383&gt;=L383,G383&lt;=M383),"OK","NG"))</f>
        <v/>
      </c>
      <c r="O383" s="69">
        <f>IF(N383="","",IF(N383=D383,1,0))</f>
        <v/>
      </c>
      <c r="P383" s="67">
        <f>IF(G383="","",J383-G383)</f>
        <v/>
      </c>
      <c r="Q383" s="67">
        <f>IF(G383="","",ABS(P383-Components!$D$2))</f>
        <v/>
      </c>
      <c r="R383" s="67">
        <f>IF(G383="","",ABS(P383-Components!$D$3))</f>
        <v/>
      </c>
      <c r="S383" s="67">
        <f>IF(G383="","",ABS(P383-Components!$D$4))</f>
        <v/>
      </c>
      <c r="T383" s="67">
        <f>IF(G383="","",ABS(P383-Components!$D$5))</f>
        <v/>
      </c>
      <c r="U383" s="67">
        <f>IF(G383="","",ABS(P383-Components!$D$6))</f>
        <v/>
      </c>
      <c r="V383" s="67">
        <f>IF(G383="","",ABS(P383-Components!$D$7))</f>
        <v/>
      </c>
      <c r="W383" s="61">
        <f>IF(G383="","",IF(N383="OK","NONE",INDEX({"S1","S2","W1","W2","N1","N2"},MATCH(MIN(Q383:V383),Q383:V383,0))))</f>
        <v/>
      </c>
      <c r="X383" s="69">
        <f>IF(G383="","",IF(W383=E383,1,0))</f>
        <v/>
      </c>
      <c r="Y383" s="70" t="n"/>
    </row>
    <row r="384">
      <c r="A384" s="61" t="n">
        <v>51</v>
      </c>
      <c r="B384" s="62" t="n">
        <v>15</v>
      </c>
      <c r="C384" s="61" t="inlineStr">
        <is>
          <t>R6</t>
        </is>
      </c>
      <c r="D384" s="74" t="inlineStr">
        <is>
          <t>NG</t>
        </is>
      </c>
      <c r="E384" s="61" t="inlineStr">
        <is>
          <t>N2</t>
        </is>
      </c>
      <c r="F384" s="61" t="inlineStr">
        <is>
          <t>K049</t>
        </is>
      </c>
      <c r="G384" s="75" t="n">
        <v>7.26</v>
      </c>
      <c r="H384" s="65" t="n"/>
      <c r="I384" s="66" t="n"/>
      <c r="J384" s="67">
        <f>VLOOKUP(C384,Recipes!$A$2:$N$4,10,FALSE())</f>
        <v/>
      </c>
      <c r="K384" s="68">
        <f>VLOOKUP(C384,Recipes!$A$2:$N$4,12,FALSE())</f>
        <v/>
      </c>
      <c r="L384" s="67">
        <f>J384-3.5*K384</f>
        <v/>
      </c>
      <c r="M384" s="67">
        <f>J384+3.5*K384</f>
        <v/>
      </c>
      <c r="N384" s="61">
        <f>IF(G384="","",IF(AND(G384&gt;=L384,G384&lt;=M384),"OK","NG"))</f>
        <v/>
      </c>
      <c r="O384" s="69">
        <f>IF(N384="","",IF(N384=D384,1,0))</f>
        <v/>
      </c>
      <c r="P384" s="67">
        <f>IF(G384="","",J384-G384)</f>
        <v/>
      </c>
      <c r="Q384" s="67">
        <f>IF(G384="","",ABS(P384-Components!$D$2))</f>
        <v/>
      </c>
      <c r="R384" s="67">
        <f>IF(G384="","",ABS(P384-Components!$D$3))</f>
        <v/>
      </c>
      <c r="S384" s="67">
        <f>IF(G384="","",ABS(P384-Components!$D$4))</f>
        <v/>
      </c>
      <c r="T384" s="67">
        <f>IF(G384="","",ABS(P384-Components!$D$5))</f>
        <v/>
      </c>
      <c r="U384" s="67">
        <f>IF(G384="","",ABS(P384-Components!$D$6))</f>
        <v/>
      </c>
      <c r="V384" s="67">
        <f>IF(G384="","",ABS(P384-Components!$D$7))</f>
        <v/>
      </c>
      <c r="W384" s="61">
        <f>IF(G384="","",IF(N384="OK","NONE",INDEX({"S1","S2","W1","W2","N1","N2"},MATCH(MIN(Q384:V384),Q384:V384,0))))</f>
        <v/>
      </c>
      <c r="X384" s="69">
        <f>IF(G384="","",IF(W384=E384,1,0))</f>
        <v/>
      </c>
      <c r="Y384" s="70" t="n"/>
    </row>
    <row r="385">
      <c r="A385" s="61" t="n">
        <v>51</v>
      </c>
      <c r="B385" s="62" t="n">
        <v>15</v>
      </c>
      <c r="C385" s="61" t="inlineStr">
        <is>
          <t>R6</t>
        </is>
      </c>
      <c r="D385" s="74" t="inlineStr">
        <is>
          <t>NG</t>
        </is>
      </c>
      <c r="E385" s="61" t="inlineStr">
        <is>
          <t>N2</t>
        </is>
      </c>
      <c r="F385" s="61" t="inlineStr">
        <is>
          <t>K049</t>
        </is>
      </c>
      <c r="G385" s="75" t="n">
        <v>7.27</v>
      </c>
      <c r="H385" s="65" t="n"/>
      <c r="I385" s="66" t="n"/>
      <c r="J385" s="67">
        <f>VLOOKUP(C385,Recipes!$A$2:$N$4,10,FALSE())</f>
        <v/>
      </c>
      <c r="K385" s="68">
        <f>VLOOKUP(C385,Recipes!$A$2:$N$4,12,FALSE())</f>
        <v/>
      </c>
      <c r="L385" s="67">
        <f>J385-3.5*K385</f>
        <v/>
      </c>
      <c r="M385" s="67">
        <f>J385+3.5*K385</f>
        <v/>
      </c>
      <c r="N385" s="61">
        <f>IF(G385="","",IF(AND(G385&gt;=L385,G385&lt;=M385),"OK","NG"))</f>
        <v/>
      </c>
      <c r="O385" s="69">
        <f>IF(N385="","",IF(N385=D385,1,0))</f>
        <v/>
      </c>
      <c r="P385" s="67">
        <f>IF(G385="","",J385-G385)</f>
        <v/>
      </c>
      <c r="Q385" s="67">
        <f>IF(G385="","",ABS(P385-Components!$D$2))</f>
        <v/>
      </c>
      <c r="R385" s="67">
        <f>IF(G385="","",ABS(P385-Components!$D$3))</f>
        <v/>
      </c>
      <c r="S385" s="67">
        <f>IF(G385="","",ABS(P385-Components!$D$4))</f>
        <v/>
      </c>
      <c r="T385" s="67">
        <f>IF(G385="","",ABS(P385-Components!$D$5))</f>
        <v/>
      </c>
      <c r="U385" s="67">
        <f>IF(G385="","",ABS(P385-Components!$D$6))</f>
        <v/>
      </c>
      <c r="V385" s="67">
        <f>IF(G385="","",ABS(P385-Components!$D$7))</f>
        <v/>
      </c>
      <c r="W385" s="61">
        <f>IF(G385="","",IF(N385="OK","NONE",INDEX({"S1","S2","W1","W2","N1","N2"},MATCH(MIN(Q385:V385),Q385:V385,0))))</f>
        <v/>
      </c>
      <c r="X385" s="69">
        <f>IF(G385="","",IF(W385=E385,1,0))</f>
        <v/>
      </c>
      <c r="Y385" s="70" t="n"/>
    </row>
    <row r="386">
      <c r="A386" s="61" t="n">
        <v>51</v>
      </c>
      <c r="B386" s="62" t="n">
        <v>15</v>
      </c>
      <c r="C386" s="61" t="inlineStr">
        <is>
          <t>R6</t>
        </is>
      </c>
      <c r="D386" s="74" t="inlineStr">
        <is>
          <t>NG</t>
        </is>
      </c>
      <c r="E386" s="61" t="inlineStr">
        <is>
          <t>N2</t>
        </is>
      </c>
      <c r="F386" s="61" t="inlineStr">
        <is>
          <t>K049</t>
        </is>
      </c>
      <c r="G386" s="75" t="n">
        <v>7.14</v>
      </c>
      <c r="H386" s="65" t="n"/>
      <c r="I386" s="66" t="n"/>
      <c r="J386" s="67">
        <f>VLOOKUP(C386,Recipes!$A$2:$N$4,10,FALSE())</f>
        <v/>
      </c>
      <c r="K386" s="68">
        <f>VLOOKUP(C386,Recipes!$A$2:$N$4,12,FALSE())</f>
        <v/>
      </c>
      <c r="L386" s="67">
        <f>J386-3.5*K386</f>
        <v/>
      </c>
      <c r="M386" s="67">
        <f>J386+3.5*K386</f>
        <v/>
      </c>
      <c r="N386" s="61">
        <f>IF(G386="","",IF(AND(G386&gt;=L386,G386&lt;=M386),"OK","NG"))</f>
        <v/>
      </c>
      <c r="O386" s="69">
        <f>IF(N386="","",IF(N386=D386,1,0))</f>
        <v/>
      </c>
      <c r="P386" s="67">
        <f>IF(G386="","",J386-G386)</f>
        <v/>
      </c>
      <c r="Q386" s="67">
        <f>IF(G386="","",ABS(P386-Components!$D$2))</f>
        <v/>
      </c>
      <c r="R386" s="67">
        <f>IF(G386="","",ABS(P386-Components!$D$3))</f>
        <v/>
      </c>
      <c r="S386" s="67">
        <f>IF(G386="","",ABS(P386-Components!$D$4))</f>
        <v/>
      </c>
      <c r="T386" s="67">
        <f>IF(G386="","",ABS(P386-Components!$D$5))</f>
        <v/>
      </c>
      <c r="U386" s="67">
        <f>IF(G386="","",ABS(P386-Components!$D$6))</f>
        <v/>
      </c>
      <c r="V386" s="67">
        <f>IF(G386="","",ABS(P386-Components!$D$7))</f>
        <v/>
      </c>
      <c r="W386" s="61">
        <f>IF(G386="","",IF(N386="OK","NONE",INDEX({"S1","S2","W1","W2","N1","N2"},MATCH(MIN(Q386:V386),Q386:V386,0))))</f>
        <v/>
      </c>
      <c r="X386" s="69">
        <f>IF(G386="","",IF(W386=E386,1,0))</f>
        <v/>
      </c>
      <c r="Y386" s="70" t="n"/>
    </row>
    <row r="387">
      <c r="A387" s="61" t="n">
        <v>51</v>
      </c>
      <c r="B387" s="62" t="n">
        <v>15</v>
      </c>
      <c r="C387" s="61" t="inlineStr">
        <is>
          <t>R6</t>
        </is>
      </c>
      <c r="D387" s="74" t="inlineStr">
        <is>
          <t>NG</t>
        </is>
      </c>
      <c r="E387" s="61" t="inlineStr">
        <is>
          <t>N2</t>
        </is>
      </c>
      <c r="F387" s="61" t="inlineStr">
        <is>
          <t>K049</t>
        </is>
      </c>
      <c r="G387" s="75" t="n">
        <v>6.97</v>
      </c>
      <c r="H387" s="65" t="n"/>
      <c r="I387" s="66" t="n"/>
      <c r="J387" s="67">
        <f>VLOOKUP(C387,Recipes!$A$2:$N$4,10,FALSE())</f>
        <v/>
      </c>
      <c r="K387" s="68">
        <f>VLOOKUP(C387,Recipes!$A$2:$N$4,12,FALSE())</f>
        <v/>
      </c>
      <c r="L387" s="67">
        <f>J387-3.5*K387</f>
        <v/>
      </c>
      <c r="M387" s="67">
        <f>J387+3.5*K387</f>
        <v/>
      </c>
      <c r="N387" s="61">
        <f>IF(G387="","",IF(AND(G387&gt;=L387,G387&lt;=M387),"OK","NG"))</f>
        <v/>
      </c>
      <c r="O387" s="69">
        <f>IF(N387="","",IF(N387=D387,1,0))</f>
        <v/>
      </c>
      <c r="P387" s="67">
        <f>IF(G387="","",J387-G387)</f>
        <v/>
      </c>
      <c r="Q387" s="67">
        <f>IF(G387="","",ABS(P387-Components!$D$2))</f>
        <v/>
      </c>
      <c r="R387" s="67">
        <f>IF(G387="","",ABS(P387-Components!$D$3))</f>
        <v/>
      </c>
      <c r="S387" s="67">
        <f>IF(G387="","",ABS(P387-Components!$D$4))</f>
        <v/>
      </c>
      <c r="T387" s="67">
        <f>IF(G387="","",ABS(P387-Components!$D$5))</f>
        <v/>
      </c>
      <c r="U387" s="67">
        <f>IF(G387="","",ABS(P387-Components!$D$6))</f>
        <v/>
      </c>
      <c r="V387" s="67">
        <f>IF(G387="","",ABS(P387-Components!$D$7))</f>
        <v/>
      </c>
      <c r="W387" s="61">
        <f>IF(G387="","",IF(N387="OK","NONE",INDEX({"S1","S2","W1","W2","N1","N2"},MATCH(MIN(Q387:V387),Q387:V387,0))))</f>
        <v/>
      </c>
      <c r="X387" s="69">
        <f>IF(G387="","",IF(W387=E387,1,0))</f>
        <v/>
      </c>
      <c r="Y387" s="70" t="n"/>
    </row>
    <row r="388">
      <c r="A388" s="61" t="n">
        <v>51</v>
      </c>
      <c r="B388" s="62" t="n">
        <v>15</v>
      </c>
      <c r="C388" s="61" t="inlineStr">
        <is>
          <t>R6</t>
        </is>
      </c>
      <c r="D388" s="74" t="inlineStr">
        <is>
          <t>NG</t>
        </is>
      </c>
      <c r="E388" s="61" t="inlineStr">
        <is>
          <t>N2</t>
        </is>
      </c>
      <c r="F388" s="61" t="inlineStr">
        <is>
          <t>K049</t>
        </is>
      </c>
      <c r="G388" s="64" t="n">
        <v>7.29</v>
      </c>
      <c r="H388" s="65" t="n"/>
      <c r="I388" s="66" t="n"/>
      <c r="J388" s="67">
        <f>VLOOKUP(C388,Recipes!$A$2:$N$4,10,FALSE())</f>
        <v/>
      </c>
      <c r="K388" s="68">
        <f>VLOOKUP(C388,Recipes!$A$2:$N$4,12,FALSE())</f>
        <v/>
      </c>
      <c r="L388" s="67">
        <f>J388-3.5*K388</f>
        <v/>
      </c>
      <c r="M388" s="67">
        <f>J388+3.5*K388</f>
        <v/>
      </c>
      <c r="N388" s="61">
        <f>IF(G388="","",IF(AND(G388&gt;=L388,G388&lt;=M388),"OK","NG"))</f>
        <v/>
      </c>
      <c r="O388" s="69">
        <f>IF(N388="","",IF(N388=D388,1,0))</f>
        <v/>
      </c>
      <c r="P388" s="67">
        <f>IF(G388="","",J388-G388)</f>
        <v/>
      </c>
      <c r="Q388" s="67">
        <f>IF(G388="","",ABS(P388-Components!$D$2))</f>
        <v/>
      </c>
      <c r="R388" s="67">
        <f>IF(G388="","",ABS(P388-Components!$D$3))</f>
        <v/>
      </c>
      <c r="S388" s="67">
        <f>IF(G388="","",ABS(P388-Components!$D$4))</f>
        <v/>
      </c>
      <c r="T388" s="67">
        <f>IF(G388="","",ABS(P388-Components!$D$5))</f>
        <v/>
      </c>
      <c r="U388" s="67">
        <f>IF(G388="","",ABS(P388-Components!$D$6))</f>
        <v/>
      </c>
      <c r="V388" s="67">
        <f>IF(G388="","",ABS(P388-Components!$D$7))</f>
        <v/>
      </c>
      <c r="W388" s="61">
        <f>IF(G388="","",IF(N388="OK","NONE",INDEX({"S1","S2","W1","W2","N1","N2"},MATCH(MIN(Q388:V388),Q388:V388,0))))</f>
        <v/>
      </c>
      <c r="X388" s="69">
        <f>IF(G388="","",IF(W388=E388,1,0))</f>
        <v/>
      </c>
      <c r="Y388" s="70" t="n"/>
    </row>
    <row r="389">
      <c r="A389" s="61" t="n">
        <v>52</v>
      </c>
      <c r="B389" s="62" t="n">
        <v>16</v>
      </c>
      <c r="C389" s="61" t="inlineStr">
        <is>
          <t>R6</t>
        </is>
      </c>
      <c r="D389" s="74" t="inlineStr">
        <is>
          <t>NG</t>
        </is>
      </c>
      <c r="E389" s="61" t="inlineStr">
        <is>
          <t>N2</t>
        </is>
      </c>
      <c r="F389" s="61" t="inlineStr">
        <is>
          <t>K050</t>
        </is>
      </c>
      <c r="G389" s="64" t="n">
        <v>7.16</v>
      </c>
      <c r="H389" s="65" t="n"/>
      <c r="I389" s="66" t="n"/>
      <c r="J389" s="67">
        <f>VLOOKUP(C389,Recipes!$A$2:$N$4,10,FALSE())</f>
        <v/>
      </c>
      <c r="K389" s="68">
        <f>VLOOKUP(C389,Recipes!$A$2:$N$4,12,FALSE())</f>
        <v/>
      </c>
      <c r="L389" s="67">
        <f>J389-3.5*K389</f>
        <v/>
      </c>
      <c r="M389" s="67">
        <f>J389+3.5*K389</f>
        <v/>
      </c>
      <c r="N389" s="61">
        <f>IF(G389="","",IF(AND(G389&gt;=L389,G389&lt;=M389),"OK","NG"))</f>
        <v/>
      </c>
      <c r="O389" s="69">
        <f>IF(N389="","",IF(N389=D389,1,0))</f>
        <v/>
      </c>
      <c r="P389" s="67">
        <f>IF(G389="","",J389-G389)</f>
        <v/>
      </c>
      <c r="Q389" s="67">
        <f>IF(G389="","",ABS(P389-Components!$D$2))</f>
        <v/>
      </c>
      <c r="R389" s="67">
        <f>IF(G389="","",ABS(P389-Components!$D$3))</f>
        <v/>
      </c>
      <c r="S389" s="67">
        <f>IF(G389="","",ABS(P389-Components!$D$4))</f>
        <v/>
      </c>
      <c r="T389" s="67">
        <f>IF(G389="","",ABS(P389-Components!$D$5))</f>
        <v/>
      </c>
      <c r="U389" s="67">
        <f>IF(G389="","",ABS(P389-Components!$D$6))</f>
        <v/>
      </c>
      <c r="V389" s="67">
        <f>IF(G389="","",ABS(P389-Components!$D$7))</f>
        <v/>
      </c>
      <c r="W389" s="61">
        <f>IF(G389="","",IF(N389="OK","NONE",INDEX({"S1","S2","W1","W2","N1","N2"},MATCH(MIN(Q389:V389),Q389:V389,0))))</f>
        <v/>
      </c>
      <c r="X389" s="69">
        <f>IF(G389="","",IF(W389=E389,1,0))</f>
        <v/>
      </c>
      <c r="Y389" s="70" t="n"/>
    </row>
    <row r="390">
      <c r="A390" s="61" t="n">
        <v>53</v>
      </c>
      <c r="B390" s="62" t="n">
        <v>18</v>
      </c>
      <c r="C390" s="61" t="inlineStr">
        <is>
          <t>R6</t>
        </is>
      </c>
      <c r="D390" s="74" t="inlineStr">
        <is>
          <t>NG</t>
        </is>
      </c>
      <c r="E390" s="61" t="inlineStr">
        <is>
          <t>N2</t>
        </is>
      </c>
      <c r="F390" s="61" t="inlineStr">
        <is>
          <t>K051</t>
        </is>
      </c>
      <c r="G390" s="64" t="n">
        <v>7.23</v>
      </c>
      <c r="H390" s="65" t="n"/>
      <c r="I390" s="66" t="n"/>
      <c r="J390" s="67">
        <f>VLOOKUP(C390,Recipes!$A$2:$N$4,10,FALSE())</f>
        <v/>
      </c>
      <c r="K390" s="68">
        <f>VLOOKUP(C390,Recipes!$A$2:$N$4,12,FALSE())</f>
        <v/>
      </c>
      <c r="L390" s="67">
        <f>J390-3.5*K390</f>
        <v/>
      </c>
      <c r="M390" s="67">
        <f>J390+3.5*K390</f>
        <v/>
      </c>
      <c r="N390" s="61">
        <f>IF(G390="","",IF(AND(G390&gt;=L390,G390&lt;=M390),"OK","NG"))</f>
        <v/>
      </c>
      <c r="O390" s="69">
        <f>IF(N390="","",IF(N390=D390,1,0))</f>
        <v/>
      </c>
      <c r="P390" s="67">
        <f>IF(G390="","",J390-G390)</f>
        <v/>
      </c>
      <c r="Q390" s="67">
        <f>IF(G390="","",ABS(P390-Components!$D$2))</f>
        <v/>
      </c>
      <c r="R390" s="67">
        <f>IF(G390="","",ABS(P390-Components!$D$3))</f>
        <v/>
      </c>
      <c r="S390" s="67">
        <f>IF(G390="","",ABS(P390-Components!$D$4))</f>
        <v/>
      </c>
      <c r="T390" s="67">
        <f>IF(G390="","",ABS(P390-Components!$D$5))</f>
        <v/>
      </c>
      <c r="U390" s="67">
        <f>IF(G390="","",ABS(P390-Components!$D$6))</f>
        <v/>
      </c>
      <c r="V390" s="67">
        <f>IF(G390="","",ABS(P390-Components!$D$7))</f>
        <v/>
      </c>
      <c r="W390" s="61">
        <f>IF(G390="","",IF(N390="OK","NONE",INDEX({"S1","S2","W1","W2","N1","N2"},MATCH(MIN(Q390:V390),Q390:V390,0))))</f>
        <v/>
      </c>
      <c r="X390" s="69">
        <f>IF(G390="","",IF(W390=E390,1,0))</f>
        <v/>
      </c>
      <c r="Y390" s="70" t="n"/>
    </row>
    <row r="391">
      <c r="A391" s="76" t="n">
        <v>54</v>
      </c>
      <c r="B391" s="80" t="n"/>
      <c r="C391" s="76" t="inlineStr">
        <is>
          <t>R6</t>
        </is>
      </c>
      <c r="D391" s="78" t="inlineStr">
        <is>
          <t>NG</t>
        </is>
      </c>
      <c r="E391" s="76" t="inlineStr">
        <is>
          <t>N2</t>
        </is>
      </c>
      <c r="F391" s="81" t="n"/>
      <c r="G391" s="75" t="n">
        <v>7.25</v>
      </c>
      <c r="H391" s="65" t="n"/>
      <c r="I391" s="66" t="n"/>
      <c r="J391" s="67">
        <f>VLOOKUP(C391,Recipes!$A$2:$N$4,10,FALSE())</f>
        <v/>
      </c>
      <c r="K391" s="68">
        <f>VLOOKUP(C391,Recipes!$A$2:$N$4,12,FALSE())</f>
        <v/>
      </c>
      <c r="L391" s="67">
        <f>J391-3.5*K391</f>
        <v/>
      </c>
      <c r="M391" s="67">
        <f>J391+3.5*K391</f>
        <v/>
      </c>
      <c r="N391" s="61">
        <f>IF(G391="","",IF(AND(G391&gt;=L391,G391&lt;=M391),"OK","NG"))</f>
        <v/>
      </c>
      <c r="O391" s="69">
        <f>IF(N391="","",IF(N391=D391,1,0))</f>
        <v/>
      </c>
      <c r="P391" s="67">
        <f>IF(G391="","",J391-G391)</f>
        <v/>
      </c>
      <c r="Q391" s="67">
        <f>IF(G391="","",ABS(P391-Components!$D$2))</f>
        <v/>
      </c>
      <c r="R391" s="67">
        <f>IF(G391="","",ABS(P391-Components!$D$3))</f>
        <v/>
      </c>
      <c r="S391" s="67">
        <f>IF(G391="","",ABS(P391-Components!$D$4))</f>
        <v/>
      </c>
      <c r="T391" s="67">
        <f>IF(G391="","",ABS(P391-Components!$D$5))</f>
        <v/>
      </c>
      <c r="U391" s="67">
        <f>IF(G391="","",ABS(P391-Components!$D$6))</f>
        <v/>
      </c>
      <c r="V391" s="67">
        <f>IF(G391="","",ABS(P391-Components!$D$7))</f>
        <v/>
      </c>
      <c r="W391" s="61">
        <f>IF(G391="","",IF(N391="OK","NONE",INDEX({"S1","S2","W1","W2","N1","N2"},MATCH(MIN(Q391:V391),Q391:V391,0))))</f>
        <v/>
      </c>
      <c r="X391" s="69">
        <f>IF(G391="","",IF(W391=E391,1,0))</f>
        <v/>
      </c>
      <c r="Y391" s="70" t="n"/>
    </row>
    <row r="392">
      <c r="A392" s="79" t="n"/>
      <c r="B392" s="80" t="n"/>
      <c r="C392" s="76" t="inlineStr">
        <is>
          <t>R6</t>
        </is>
      </c>
      <c r="D392" s="78" t="inlineStr">
        <is>
          <t>NG</t>
        </is>
      </c>
      <c r="E392" s="76" t="inlineStr">
        <is>
          <t>N2</t>
        </is>
      </c>
      <c r="F392" s="81" t="n"/>
      <c r="G392" s="75" t="n">
        <v>7.2</v>
      </c>
      <c r="H392" s="65" t="n"/>
      <c r="I392" s="66" t="n"/>
      <c r="J392" s="67">
        <f>VLOOKUP(C392,Recipes!$A$2:$N$4,10,FALSE())</f>
        <v/>
      </c>
      <c r="K392" s="68">
        <f>VLOOKUP(C392,Recipes!$A$2:$N$4,12,FALSE())</f>
        <v/>
      </c>
      <c r="L392" s="67">
        <f>J392-3.5*K392</f>
        <v/>
      </c>
      <c r="M392" s="67">
        <f>J392+3.5*K392</f>
        <v/>
      </c>
      <c r="N392" s="61">
        <f>IF(G392="","",IF(AND(G392&gt;=L392,G392&lt;=M392),"OK","NG"))</f>
        <v/>
      </c>
      <c r="O392" s="69">
        <f>IF(N392="","",IF(N392=D392,1,0))</f>
        <v/>
      </c>
      <c r="P392" s="67">
        <f>IF(G392="","",J392-G392)</f>
        <v/>
      </c>
      <c r="Q392" s="67">
        <f>IF(G392="","",ABS(P392-Components!$D$2))</f>
        <v/>
      </c>
      <c r="R392" s="67">
        <f>IF(G392="","",ABS(P392-Components!$D$3))</f>
        <v/>
      </c>
      <c r="S392" s="67">
        <f>IF(G392="","",ABS(P392-Components!$D$4))</f>
        <v/>
      </c>
      <c r="T392" s="67">
        <f>IF(G392="","",ABS(P392-Components!$D$5))</f>
        <v/>
      </c>
      <c r="U392" s="67">
        <f>IF(G392="","",ABS(P392-Components!$D$6))</f>
        <v/>
      </c>
      <c r="V392" s="67">
        <f>IF(G392="","",ABS(P392-Components!$D$7))</f>
        <v/>
      </c>
      <c r="W392" s="61">
        <f>IF(G392="","",IF(N392="OK","NONE",INDEX({"S1","S2","W1","W2","N1","N2"},MATCH(MIN(Q392:V392),Q392:V392,0))))</f>
        <v/>
      </c>
      <c r="X392" s="69">
        <f>IF(G392="","",IF(W392=E392,1,0))</f>
        <v/>
      </c>
      <c r="Y392" s="70" t="n"/>
    </row>
    <row r="393">
      <c r="A393" s="61" t="n">
        <v>52</v>
      </c>
      <c r="B393" s="62" t="n">
        <v>48</v>
      </c>
      <c r="C393" s="61" t="inlineStr">
        <is>
          <t>R6</t>
        </is>
      </c>
      <c r="D393" s="74" t="inlineStr">
        <is>
          <t>NG</t>
        </is>
      </c>
      <c r="E393" s="61" t="inlineStr">
        <is>
          <t>N1</t>
        </is>
      </c>
      <c r="F393" s="61" t="inlineStr">
        <is>
          <t>K052</t>
        </is>
      </c>
      <c r="G393" s="75" t="n">
        <v>7.39</v>
      </c>
      <c r="H393" s="65" t="n"/>
      <c r="I393" s="66" t="n"/>
      <c r="J393" s="67">
        <f>VLOOKUP(C393,Recipes!$A$2:$N$4,10,FALSE())</f>
        <v/>
      </c>
      <c r="K393" s="68">
        <f>VLOOKUP(C393,Recipes!$A$2:$N$4,12,FALSE())</f>
        <v/>
      </c>
      <c r="L393" s="67">
        <f>J393-3.5*K393</f>
        <v/>
      </c>
      <c r="M393" s="67">
        <f>J393+3.5*K393</f>
        <v/>
      </c>
      <c r="N393" s="61">
        <f>IF(G393="","",IF(AND(G393&gt;=L393,G393&lt;=M393),"OK","NG"))</f>
        <v/>
      </c>
      <c r="O393" s="69">
        <f>IF(N393="","",IF(N393=D393,1,0))</f>
        <v/>
      </c>
      <c r="P393" s="67">
        <f>IF(G393="","",J393-G393)</f>
        <v/>
      </c>
      <c r="Q393" s="67">
        <f>IF(G393="","",ABS(P393-Components!$D$2))</f>
        <v/>
      </c>
      <c r="R393" s="67">
        <f>IF(G393="","",ABS(P393-Components!$D$3))</f>
        <v/>
      </c>
      <c r="S393" s="67">
        <f>IF(G393="","",ABS(P393-Components!$D$4))</f>
        <v/>
      </c>
      <c r="T393" s="67">
        <f>IF(G393="","",ABS(P393-Components!$D$5))</f>
        <v/>
      </c>
      <c r="U393" s="67">
        <f>IF(G393="","",ABS(P393-Components!$D$6))</f>
        <v/>
      </c>
      <c r="V393" s="67">
        <f>IF(G393="","",ABS(P393-Components!$D$7))</f>
        <v/>
      </c>
      <c r="W393" s="61">
        <f>IF(G393="","",IF(N393="OK","NONE",INDEX({"S1","S2","W1","W2","N1","N2"},MATCH(MIN(Q393:V393),Q393:V393,0))))</f>
        <v/>
      </c>
      <c r="X393" s="69">
        <f>IF(G393="","",IF(W393=E393,1,0))</f>
        <v/>
      </c>
      <c r="Y393" s="70" t="n"/>
    </row>
    <row r="394">
      <c r="A394" s="61" t="n">
        <v>52</v>
      </c>
      <c r="B394" s="62" t="n">
        <v>48</v>
      </c>
      <c r="C394" s="61" t="inlineStr">
        <is>
          <t>R6</t>
        </is>
      </c>
      <c r="D394" s="74" t="inlineStr">
        <is>
          <t>NG</t>
        </is>
      </c>
      <c r="E394" s="61" t="inlineStr">
        <is>
          <t>N1</t>
        </is>
      </c>
      <c r="F394" s="61" t="inlineStr">
        <is>
          <t>K052</t>
        </is>
      </c>
      <c r="G394" s="75" t="n">
        <v>7.49</v>
      </c>
      <c r="H394" s="65" t="n"/>
      <c r="I394" s="66" t="n"/>
      <c r="J394" s="67">
        <f>VLOOKUP(C394,Recipes!$A$2:$N$4,10,FALSE())</f>
        <v/>
      </c>
      <c r="K394" s="68">
        <f>VLOOKUP(C394,Recipes!$A$2:$N$4,12,FALSE())</f>
        <v/>
      </c>
      <c r="L394" s="67">
        <f>J394-3.5*K394</f>
        <v/>
      </c>
      <c r="M394" s="67">
        <f>J394+3.5*K394</f>
        <v/>
      </c>
      <c r="N394" s="61">
        <f>IF(G394="","",IF(AND(G394&gt;=L394,G394&lt;=M394),"OK","NG"))</f>
        <v/>
      </c>
      <c r="O394" s="69">
        <f>IF(N394="","",IF(N394=D394,1,0))</f>
        <v/>
      </c>
      <c r="P394" s="67">
        <f>IF(G394="","",J394-G394)</f>
        <v/>
      </c>
      <c r="Q394" s="67">
        <f>IF(G394="","",ABS(P394-Components!$D$2))</f>
        <v/>
      </c>
      <c r="R394" s="67">
        <f>IF(G394="","",ABS(P394-Components!$D$3))</f>
        <v/>
      </c>
      <c r="S394" s="67">
        <f>IF(G394="","",ABS(P394-Components!$D$4))</f>
        <v/>
      </c>
      <c r="T394" s="67">
        <f>IF(G394="","",ABS(P394-Components!$D$5))</f>
        <v/>
      </c>
      <c r="U394" s="67">
        <f>IF(G394="","",ABS(P394-Components!$D$6))</f>
        <v/>
      </c>
      <c r="V394" s="67">
        <f>IF(G394="","",ABS(P394-Components!$D$7))</f>
        <v/>
      </c>
      <c r="W394" s="61">
        <f>IF(G394="","",IF(N394="OK","NONE",INDEX({"S1","S2","W1","W2","N1","N2"},MATCH(MIN(Q394:V394),Q394:V394,0))))</f>
        <v/>
      </c>
      <c r="X394" s="69">
        <f>IF(G394="","",IF(W394=E394,1,0))</f>
        <v/>
      </c>
      <c r="Y394" s="70" t="n"/>
    </row>
    <row r="395">
      <c r="A395" s="61" t="n">
        <v>52</v>
      </c>
      <c r="B395" s="62" t="n">
        <v>48</v>
      </c>
      <c r="C395" s="61" t="inlineStr">
        <is>
          <t>R6</t>
        </is>
      </c>
      <c r="D395" s="74" t="inlineStr">
        <is>
          <t>NG</t>
        </is>
      </c>
      <c r="E395" s="61" t="inlineStr">
        <is>
          <t>N1</t>
        </is>
      </c>
      <c r="F395" s="61" t="inlineStr">
        <is>
          <t>K052</t>
        </is>
      </c>
      <c r="G395" s="75" t="n">
        <v>7.43</v>
      </c>
      <c r="H395" s="65" t="n"/>
      <c r="I395" s="66" t="n"/>
      <c r="J395" s="67">
        <f>VLOOKUP(C395,Recipes!$A$2:$N$4,10,FALSE())</f>
        <v/>
      </c>
      <c r="K395" s="68">
        <f>VLOOKUP(C395,Recipes!$A$2:$N$4,12,FALSE())</f>
        <v/>
      </c>
      <c r="L395" s="67">
        <f>J395-3.5*K395</f>
        <v/>
      </c>
      <c r="M395" s="67">
        <f>J395+3.5*K395</f>
        <v/>
      </c>
      <c r="N395" s="61">
        <f>IF(G395="","",IF(AND(G395&gt;=L395,G395&lt;=M395),"OK","NG"))</f>
        <v/>
      </c>
      <c r="O395" s="69">
        <f>IF(N395="","",IF(N395=D395,1,0))</f>
        <v/>
      </c>
      <c r="P395" s="67">
        <f>IF(G395="","",J395-G395)</f>
        <v/>
      </c>
      <c r="Q395" s="67">
        <f>IF(G395="","",ABS(P395-Components!$D$2))</f>
        <v/>
      </c>
      <c r="R395" s="67">
        <f>IF(G395="","",ABS(P395-Components!$D$3))</f>
        <v/>
      </c>
      <c r="S395" s="67">
        <f>IF(G395="","",ABS(P395-Components!$D$4))</f>
        <v/>
      </c>
      <c r="T395" s="67">
        <f>IF(G395="","",ABS(P395-Components!$D$5))</f>
        <v/>
      </c>
      <c r="U395" s="67">
        <f>IF(G395="","",ABS(P395-Components!$D$6))</f>
        <v/>
      </c>
      <c r="V395" s="67">
        <f>IF(G395="","",ABS(P395-Components!$D$7))</f>
        <v/>
      </c>
      <c r="W395" s="61">
        <f>IF(G395="","",IF(N395="OK","NONE",INDEX({"S1","S2","W1","W2","N1","N2"},MATCH(MIN(Q395:V395),Q395:V395,0))))</f>
        <v/>
      </c>
      <c r="X395" s="69">
        <f>IF(G395="","",IF(W395=E395,1,0))</f>
        <v/>
      </c>
      <c r="Y395" s="70" t="n"/>
    </row>
    <row r="396">
      <c r="A396" s="61" t="n">
        <v>52</v>
      </c>
      <c r="B396" s="62" t="n">
        <v>48</v>
      </c>
      <c r="C396" s="61" t="inlineStr">
        <is>
          <t>R6</t>
        </is>
      </c>
      <c r="D396" s="74" t="inlineStr">
        <is>
          <t>NG</t>
        </is>
      </c>
      <c r="E396" s="61" t="inlineStr">
        <is>
          <t>N1</t>
        </is>
      </c>
      <c r="F396" s="61" t="inlineStr">
        <is>
          <t>K052</t>
        </is>
      </c>
      <c r="G396" s="75" t="n">
        <v>7.39</v>
      </c>
      <c r="H396" s="65" t="n"/>
      <c r="I396" s="66" t="n"/>
      <c r="J396" s="67">
        <f>VLOOKUP(C396,Recipes!$A$2:$N$4,10,FALSE())</f>
        <v/>
      </c>
      <c r="K396" s="68">
        <f>VLOOKUP(C396,Recipes!$A$2:$N$4,12,FALSE())</f>
        <v/>
      </c>
      <c r="L396" s="67">
        <f>J396-3.5*K396</f>
        <v/>
      </c>
      <c r="M396" s="67">
        <f>J396+3.5*K396</f>
        <v/>
      </c>
      <c r="N396" s="61">
        <f>IF(G396="","",IF(AND(G396&gt;=L396,G396&lt;=M396),"OK","NG"))</f>
        <v/>
      </c>
      <c r="O396" s="69">
        <f>IF(N396="","",IF(N396=D396,1,0))</f>
        <v/>
      </c>
      <c r="P396" s="67">
        <f>IF(G396="","",J396-G396)</f>
        <v/>
      </c>
      <c r="Q396" s="67">
        <f>IF(G396="","",ABS(P396-Components!$D$2))</f>
        <v/>
      </c>
      <c r="R396" s="67">
        <f>IF(G396="","",ABS(P396-Components!$D$3))</f>
        <v/>
      </c>
      <c r="S396" s="67">
        <f>IF(G396="","",ABS(P396-Components!$D$4))</f>
        <v/>
      </c>
      <c r="T396" s="67">
        <f>IF(G396="","",ABS(P396-Components!$D$5))</f>
        <v/>
      </c>
      <c r="U396" s="67">
        <f>IF(G396="","",ABS(P396-Components!$D$6))</f>
        <v/>
      </c>
      <c r="V396" s="67">
        <f>IF(G396="","",ABS(P396-Components!$D$7))</f>
        <v/>
      </c>
      <c r="W396" s="61">
        <f>IF(G396="","",IF(N396="OK","NONE",INDEX({"S1","S2","W1","W2","N1","N2"},MATCH(MIN(Q396:V396),Q396:V396,0))))</f>
        <v/>
      </c>
      <c r="X396" s="69">
        <f>IF(G396="","",IF(W396=E396,1,0))</f>
        <v/>
      </c>
      <c r="Y396" s="70" t="n"/>
    </row>
    <row r="397">
      <c r="A397" s="61" t="n">
        <v>52</v>
      </c>
      <c r="B397" s="62" t="n">
        <v>48</v>
      </c>
      <c r="C397" s="61" t="inlineStr">
        <is>
          <t>R6</t>
        </is>
      </c>
      <c r="D397" s="74" t="inlineStr">
        <is>
          <t>NG</t>
        </is>
      </c>
      <c r="E397" s="61" t="inlineStr">
        <is>
          <t>N1</t>
        </is>
      </c>
      <c r="F397" s="61" t="inlineStr">
        <is>
          <t>K052</t>
        </is>
      </c>
      <c r="G397" s="75" t="n">
        <v>7.49</v>
      </c>
      <c r="H397" s="65" t="n"/>
      <c r="I397" s="66" t="n"/>
      <c r="J397" s="67">
        <f>VLOOKUP(C397,Recipes!$A$2:$N$4,10,FALSE())</f>
        <v/>
      </c>
      <c r="K397" s="68">
        <f>VLOOKUP(C397,Recipes!$A$2:$N$4,12,FALSE())</f>
        <v/>
      </c>
      <c r="L397" s="67">
        <f>J397-3.5*K397</f>
        <v/>
      </c>
      <c r="M397" s="67">
        <f>J397+3.5*K397</f>
        <v/>
      </c>
      <c r="N397" s="61">
        <f>IF(G397="","",IF(AND(G397&gt;=L397,G397&lt;=M397),"OK","NG"))</f>
        <v/>
      </c>
      <c r="O397" s="69">
        <f>IF(N397="","",IF(N397=D397,1,0))</f>
        <v/>
      </c>
      <c r="P397" s="67">
        <f>IF(G397="","",J397-G397)</f>
        <v/>
      </c>
      <c r="Q397" s="67">
        <f>IF(G397="","",ABS(P397-Components!$D$2))</f>
        <v/>
      </c>
      <c r="R397" s="67">
        <f>IF(G397="","",ABS(P397-Components!$D$3))</f>
        <v/>
      </c>
      <c r="S397" s="67">
        <f>IF(G397="","",ABS(P397-Components!$D$4))</f>
        <v/>
      </c>
      <c r="T397" s="67">
        <f>IF(G397="","",ABS(P397-Components!$D$5))</f>
        <v/>
      </c>
      <c r="U397" s="67">
        <f>IF(G397="","",ABS(P397-Components!$D$6))</f>
        <v/>
      </c>
      <c r="V397" s="67">
        <f>IF(G397="","",ABS(P397-Components!$D$7))</f>
        <v/>
      </c>
      <c r="W397" s="61">
        <f>IF(G397="","",IF(N397="OK","NONE",INDEX({"S1","S2","W1","W2","N1","N2"},MATCH(MIN(Q397:V397),Q397:V397,0))))</f>
        <v/>
      </c>
      <c r="X397" s="69">
        <f>IF(G397="","",IF(W397=E397,1,0))</f>
        <v/>
      </c>
      <c r="Y397" s="70" t="n"/>
    </row>
    <row r="398">
      <c r="A398" s="61" t="n">
        <v>52</v>
      </c>
      <c r="B398" s="62" t="n">
        <v>48</v>
      </c>
      <c r="C398" s="61" t="inlineStr">
        <is>
          <t>R6</t>
        </is>
      </c>
      <c r="D398" s="74" t="inlineStr">
        <is>
          <t>NG</t>
        </is>
      </c>
      <c r="E398" s="61" t="inlineStr">
        <is>
          <t>N1</t>
        </is>
      </c>
      <c r="F398" s="61" t="inlineStr">
        <is>
          <t>K052</t>
        </is>
      </c>
      <c r="G398" s="75" t="n">
        <v>7.48</v>
      </c>
      <c r="H398" s="65" t="n"/>
      <c r="I398" s="66" t="n"/>
      <c r="J398" s="67">
        <f>VLOOKUP(C398,Recipes!$A$2:$N$4,10,FALSE())</f>
        <v/>
      </c>
      <c r="K398" s="68">
        <f>VLOOKUP(C398,Recipes!$A$2:$N$4,12,FALSE())</f>
        <v/>
      </c>
      <c r="L398" s="67">
        <f>J398-3.5*K398</f>
        <v/>
      </c>
      <c r="M398" s="67">
        <f>J398+3.5*K398</f>
        <v/>
      </c>
      <c r="N398" s="61">
        <f>IF(G398="","",IF(AND(G398&gt;=L398,G398&lt;=M398),"OK","NG"))</f>
        <v/>
      </c>
      <c r="O398" s="69">
        <f>IF(N398="","",IF(N398=D398,1,0))</f>
        <v/>
      </c>
      <c r="P398" s="67">
        <f>IF(G398="","",J398-G398)</f>
        <v/>
      </c>
      <c r="Q398" s="67">
        <f>IF(G398="","",ABS(P398-Components!$D$2))</f>
        <v/>
      </c>
      <c r="R398" s="67">
        <f>IF(G398="","",ABS(P398-Components!$D$3))</f>
        <v/>
      </c>
      <c r="S398" s="67">
        <f>IF(G398="","",ABS(P398-Components!$D$4))</f>
        <v/>
      </c>
      <c r="T398" s="67">
        <f>IF(G398="","",ABS(P398-Components!$D$5))</f>
        <v/>
      </c>
      <c r="U398" s="67">
        <f>IF(G398="","",ABS(P398-Components!$D$6))</f>
        <v/>
      </c>
      <c r="V398" s="67">
        <f>IF(G398="","",ABS(P398-Components!$D$7))</f>
        <v/>
      </c>
      <c r="W398" s="61">
        <f>IF(G398="","",IF(N398="OK","NONE",INDEX({"S1","S2","W1","W2","N1","N2"},MATCH(MIN(Q398:V398),Q398:V398,0))))</f>
        <v/>
      </c>
      <c r="X398" s="69">
        <f>IF(G398="","",IF(W398=E398,1,0))</f>
        <v/>
      </c>
      <c r="Y398" s="70" t="n"/>
    </row>
    <row r="399">
      <c r="A399" s="61" t="n">
        <v>52</v>
      </c>
      <c r="B399" s="62" t="n">
        <v>48</v>
      </c>
      <c r="C399" s="61" t="inlineStr">
        <is>
          <t>R6</t>
        </is>
      </c>
      <c r="D399" s="74" t="inlineStr">
        <is>
          <t>NG</t>
        </is>
      </c>
      <c r="E399" s="61" t="inlineStr">
        <is>
          <t>N1</t>
        </is>
      </c>
      <c r="F399" s="61" t="inlineStr">
        <is>
          <t>K052</t>
        </is>
      </c>
      <c r="G399" s="75" t="n">
        <v>7.46</v>
      </c>
      <c r="H399" s="65" t="n"/>
      <c r="I399" s="66" t="n"/>
      <c r="J399" s="67">
        <f>VLOOKUP(C399,Recipes!$A$2:$N$4,10,FALSE())</f>
        <v/>
      </c>
      <c r="K399" s="68">
        <f>VLOOKUP(C399,Recipes!$A$2:$N$4,12,FALSE())</f>
        <v/>
      </c>
      <c r="L399" s="67">
        <f>J399-3.5*K399</f>
        <v/>
      </c>
      <c r="M399" s="67">
        <f>J399+3.5*K399</f>
        <v/>
      </c>
      <c r="N399" s="61">
        <f>IF(G399="","",IF(AND(G399&gt;=L399,G399&lt;=M399),"OK","NG"))</f>
        <v/>
      </c>
      <c r="O399" s="69">
        <f>IF(N399="","",IF(N399=D399,1,0))</f>
        <v/>
      </c>
      <c r="P399" s="67">
        <f>IF(G399="","",J399-G399)</f>
        <v/>
      </c>
      <c r="Q399" s="67">
        <f>IF(G399="","",ABS(P399-Components!$D$2))</f>
        <v/>
      </c>
      <c r="R399" s="67">
        <f>IF(G399="","",ABS(P399-Components!$D$3))</f>
        <v/>
      </c>
      <c r="S399" s="67">
        <f>IF(G399="","",ABS(P399-Components!$D$4))</f>
        <v/>
      </c>
      <c r="T399" s="67">
        <f>IF(G399="","",ABS(P399-Components!$D$5))</f>
        <v/>
      </c>
      <c r="U399" s="67">
        <f>IF(G399="","",ABS(P399-Components!$D$6))</f>
        <v/>
      </c>
      <c r="V399" s="67">
        <f>IF(G399="","",ABS(P399-Components!$D$7))</f>
        <v/>
      </c>
      <c r="W399" s="61">
        <f>IF(G399="","",IF(N399="OK","NONE",INDEX({"S1","S2","W1","W2","N1","N2"},MATCH(MIN(Q399:V399),Q399:V399,0))))</f>
        <v/>
      </c>
      <c r="X399" s="69">
        <f>IF(G399="","",IF(W399=E399,1,0))</f>
        <v/>
      </c>
      <c r="Y399" s="70" t="n"/>
    </row>
    <row r="400">
      <c r="A400" s="61" t="n">
        <v>52</v>
      </c>
      <c r="B400" s="62" t="n">
        <v>48</v>
      </c>
      <c r="C400" s="61" t="inlineStr">
        <is>
          <t>R6</t>
        </is>
      </c>
      <c r="D400" s="74" t="inlineStr">
        <is>
          <t>NG</t>
        </is>
      </c>
      <c r="E400" s="61" t="inlineStr">
        <is>
          <t>N1</t>
        </is>
      </c>
      <c r="F400" s="61" t="inlineStr">
        <is>
          <t>K052</t>
        </is>
      </c>
      <c r="G400" s="75" t="n">
        <v>7.48</v>
      </c>
      <c r="H400" s="65" t="n"/>
      <c r="I400" s="66" t="n"/>
      <c r="J400" s="67">
        <f>VLOOKUP(C400,Recipes!$A$2:$N$4,10,FALSE())</f>
        <v/>
      </c>
      <c r="K400" s="68">
        <f>VLOOKUP(C400,Recipes!$A$2:$N$4,12,FALSE())</f>
        <v/>
      </c>
      <c r="L400" s="67">
        <f>J400-3.5*K400</f>
        <v/>
      </c>
      <c r="M400" s="67">
        <f>J400+3.5*K400</f>
        <v/>
      </c>
      <c r="N400" s="61">
        <f>IF(G400="","",IF(AND(G400&gt;=L400,G400&lt;=M400),"OK","NG"))</f>
        <v/>
      </c>
      <c r="O400" s="69">
        <f>IF(N400="","",IF(N400=D400,1,0))</f>
        <v/>
      </c>
      <c r="P400" s="67">
        <f>IF(G400="","",J400-G400)</f>
        <v/>
      </c>
      <c r="Q400" s="67">
        <f>IF(G400="","",ABS(P400-Components!$D$2))</f>
        <v/>
      </c>
      <c r="R400" s="67">
        <f>IF(G400="","",ABS(P400-Components!$D$3))</f>
        <v/>
      </c>
      <c r="S400" s="67">
        <f>IF(G400="","",ABS(P400-Components!$D$4))</f>
        <v/>
      </c>
      <c r="T400" s="67">
        <f>IF(G400="","",ABS(P400-Components!$D$5))</f>
        <v/>
      </c>
      <c r="U400" s="67">
        <f>IF(G400="","",ABS(P400-Components!$D$6))</f>
        <v/>
      </c>
      <c r="V400" s="67">
        <f>IF(G400="","",ABS(P400-Components!$D$7))</f>
        <v/>
      </c>
      <c r="W400" s="61">
        <f>IF(G400="","",IF(N400="OK","NONE",INDEX({"S1","S2","W1","W2","N1","N2"},MATCH(MIN(Q400:V400),Q400:V400,0))))</f>
        <v/>
      </c>
      <c r="X400" s="69">
        <f>IF(G400="","",IF(W400=E400,1,0))</f>
        <v/>
      </c>
      <c r="Y400" s="70" t="n"/>
    </row>
    <row r="401">
      <c r="A401" s="61" t="n">
        <v>52</v>
      </c>
      <c r="B401" s="62" t="n">
        <v>48</v>
      </c>
      <c r="C401" s="61" t="inlineStr">
        <is>
          <t>R6</t>
        </is>
      </c>
      <c r="D401" s="74" t="inlineStr">
        <is>
          <t>NG</t>
        </is>
      </c>
      <c r="E401" s="61" t="inlineStr">
        <is>
          <t>N1</t>
        </is>
      </c>
      <c r="F401" s="61" t="inlineStr">
        <is>
          <t>K052</t>
        </is>
      </c>
      <c r="G401" s="75" t="n">
        <v>7.45</v>
      </c>
      <c r="H401" s="65" t="n"/>
      <c r="I401" s="66" t="n"/>
      <c r="J401" s="67">
        <f>VLOOKUP(C401,Recipes!$A$2:$N$4,10,FALSE())</f>
        <v/>
      </c>
      <c r="K401" s="68">
        <f>VLOOKUP(C401,Recipes!$A$2:$N$4,12,FALSE())</f>
        <v/>
      </c>
      <c r="L401" s="67">
        <f>J401-3.5*K401</f>
        <v/>
      </c>
      <c r="M401" s="67">
        <f>J401+3.5*K401</f>
        <v/>
      </c>
      <c r="N401" s="61">
        <f>IF(G401="","",IF(AND(G401&gt;=L401,G401&lt;=M401),"OK","NG"))</f>
        <v/>
      </c>
      <c r="O401" s="69">
        <f>IF(N401="","",IF(N401=D401,1,0))</f>
        <v/>
      </c>
      <c r="P401" s="67">
        <f>IF(G401="","",J401-G401)</f>
        <v/>
      </c>
      <c r="Q401" s="67">
        <f>IF(G401="","",ABS(P401-Components!$D$2))</f>
        <v/>
      </c>
      <c r="R401" s="67">
        <f>IF(G401="","",ABS(P401-Components!$D$3))</f>
        <v/>
      </c>
      <c r="S401" s="67">
        <f>IF(G401="","",ABS(P401-Components!$D$4))</f>
        <v/>
      </c>
      <c r="T401" s="67">
        <f>IF(G401="","",ABS(P401-Components!$D$5))</f>
        <v/>
      </c>
      <c r="U401" s="67">
        <f>IF(G401="","",ABS(P401-Components!$D$6))</f>
        <v/>
      </c>
      <c r="V401" s="67">
        <f>IF(G401="","",ABS(P401-Components!$D$7))</f>
        <v/>
      </c>
      <c r="W401" s="61">
        <f>IF(G401="","",IF(N401="OK","NONE",INDEX({"S1","S2","W1","W2","N1","N2"},MATCH(MIN(Q401:V401),Q401:V401,0))))</f>
        <v/>
      </c>
      <c r="X401" s="69">
        <f>IF(G401="","",IF(W401=E401,1,0))</f>
        <v/>
      </c>
      <c r="Y401" s="70" t="n"/>
    </row>
    <row r="402">
      <c r="A402" s="61" t="n">
        <v>52</v>
      </c>
      <c r="B402" s="62" t="n">
        <v>48</v>
      </c>
      <c r="C402" s="61" t="inlineStr">
        <is>
          <t>R6</t>
        </is>
      </c>
      <c r="D402" s="74" t="inlineStr">
        <is>
          <t>NG</t>
        </is>
      </c>
      <c r="E402" s="61" t="inlineStr">
        <is>
          <t>N1</t>
        </is>
      </c>
      <c r="F402" s="61" t="inlineStr">
        <is>
          <t>K052</t>
        </is>
      </c>
      <c r="G402" s="75" t="n">
        <v>7.43</v>
      </c>
      <c r="H402" s="65" t="n"/>
      <c r="I402" s="66" t="n"/>
      <c r="J402" s="67">
        <f>VLOOKUP(C402,Recipes!$A$2:$N$4,10,FALSE())</f>
        <v/>
      </c>
      <c r="K402" s="68">
        <f>VLOOKUP(C402,Recipes!$A$2:$N$4,12,FALSE())</f>
        <v/>
      </c>
      <c r="L402" s="67">
        <f>J402-3.5*K402</f>
        <v/>
      </c>
      <c r="M402" s="67">
        <f>J402+3.5*K402</f>
        <v/>
      </c>
      <c r="N402" s="61">
        <f>IF(G402="","",IF(AND(G402&gt;=L402,G402&lt;=M402),"OK","NG"))</f>
        <v/>
      </c>
      <c r="O402" s="69">
        <f>IF(N402="","",IF(N402=D402,1,0))</f>
        <v/>
      </c>
      <c r="P402" s="67">
        <f>IF(G402="","",J402-G402)</f>
        <v/>
      </c>
      <c r="Q402" s="67">
        <f>IF(G402="","",ABS(P402-Components!$D$2))</f>
        <v/>
      </c>
      <c r="R402" s="67">
        <f>IF(G402="","",ABS(P402-Components!$D$3))</f>
        <v/>
      </c>
      <c r="S402" s="67">
        <f>IF(G402="","",ABS(P402-Components!$D$4))</f>
        <v/>
      </c>
      <c r="T402" s="67">
        <f>IF(G402="","",ABS(P402-Components!$D$5))</f>
        <v/>
      </c>
      <c r="U402" s="67">
        <f>IF(G402="","",ABS(P402-Components!$D$6))</f>
        <v/>
      </c>
      <c r="V402" s="67">
        <f>IF(G402="","",ABS(P402-Components!$D$7))</f>
        <v/>
      </c>
      <c r="W402" s="61">
        <f>IF(G402="","",IF(N402="OK","NONE",INDEX({"S1","S2","W1","W2","N1","N2"},MATCH(MIN(Q402:V402),Q402:V402,0))))</f>
        <v/>
      </c>
      <c r="X402" s="69">
        <f>IF(G402="","",IF(W402=E402,1,0))</f>
        <v/>
      </c>
      <c r="Y402" s="70" t="n"/>
    </row>
    <row r="403">
      <c r="A403" s="61" t="n">
        <v>52</v>
      </c>
      <c r="B403" s="62" t="n">
        <v>48</v>
      </c>
      <c r="C403" s="61" t="inlineStr">
        <is>
          <t>R6</t>
        </is>
      </c>
      <c r="D403" s="74" t="inlineStr">
        <is>
          <t>NG</t>
        </is>
      </c>
      <c r="E403" s="61" t="inlineStr">
        <is>
          <t>N1</t>
        </is>
      </c>
      <c r="F403" s="61" t="inlineStr">
        <is>
          <t>K052</t>
        </is>
      </c>
      <c r="G403" s="75" t="n">
        <v>7.48</v>
      </c>
      <c r="H403" s="65" t="n"/>
      <c r="I403" s="66" t="n"/>
      <c r="J403" s="67">
        <f>VLOOKUP(C403,Recipes!$A$2:$N$4,10,FALSE())</f>
        <v/>
      </c>
      <c r="K403" s="68">
        <f>VLOOKUP(C403,Recipes!$A$2:$N$4,12,FALSE())</f>
        <v/>
      </c>
      <c r="L403" s="67">
        <f>J403-3.5*K403</f>
        <v/>
      </c>
      <c r="M403" s="67">
        <f>J403+3.5*K403</f>
        <v/>
      </c>
      <c r="N403" s="61">
        <f>IF(G403="","",IF(AND(G403&gt;=L403,G403&lt;=M403),"OK","NG"))</f>
        <v/>
      </c>
      <c r="O403" s="69">
        <f>IF(N403="","",IF(N403=D403,1,0))</f>
        <v/>
      </c>
      <c r="P403" s="67">
        <f>IF(G403="","",J403-G403)</f>
        <v/>
      </c>
      <c r="Q403" s="67">
        <f>IF(G403="","",ABS(P403-Components!$D$2))</f>
        <v/>
      </c>
      <c r="R403" s="67">
        <f>IF(G403="","",ABS(P403-Components!$D$3))</f>
        <v/>
      </c>
      <c r="S403" s="67">
        <f>IF(G403="","",ABS(P403-Components!$D$4))</f>
        <v/>
      </c>
      <c r="T403" s="67">
        <f>IF(G403="","",ABS(P403-Components!$D$5))</f>
        <v/>
      </c>
      <c r="U403" s="67">
        <f>IF(G403="","",ABS(P403-Components!$D$6))</f>
        <v/>
      </c>
      <c r="V403" s="67">
        <f>IF(G403="","",ABS(P403-Components!$D$7))</f>
        <v/>
      </c>
      <c r="W403" s="61">
        <f>IF(G403="","",IF(N403="OK","NONE",INDEX({"S1","S2","W1","W2","N1","N2"},MATCH(MIN(Q403:V403),Q403:V403,0))))</f>
        <v/>
      </c>
      <c r="X403" s="69">
        <f>IF(G403="","",IF(W403=E403,1,0))</f>
        <v/>
      </c>
      <c r="Y403" s="70" t="n"/>
    </row>
    <row r="404">
      <c r="A404" s="61" t="n">
        <v>52</v>
      </c>
      <c r="B404" s="62" t="n">
        <v>48</v>
      </c>
      <c r="C404" s="61" t="inlineStr">
        <is>
          <t>R6</t>
        </is>
      </c>
      <c r="D404" s="74" t="inlineStr">
        <is>
          <t>NG</t>
        </is>
      </c>
      <c r="E404" s="61" t="inlineStr">
        <is>
          <t>N1</t>
        </is>
      </c>
      <c r="F404" s="61" t="inlineStr">
        <is>
          <t>K052</t>
        </is>
      </c>
      <c r="G404" s="75" t="n">
        <v>7.46</v>
      </c>
      <c r="H404" s="65" t="n"/>
      <c r="I404" s="66" t="n"/>
      <c r="J404" s="67">
        <f>VLOOKUP(C404,Recipes!$A$2:$N$4,10,FALSE())</f>
        <v/>
      </c>
      <c r="K404" s="68">
        <f>VLOOKUP(C404,Recipes!$A$2:$N$4,12,FALSE())</f>
        <v/>
      </c>
      <c r="L404" s="67">
        <f>J404-3.5*K404</f>
        <v/>
      </c>
      <c r="M404" s="67">
        <f>J404+3.5*K404</f>
        <v/>
      </c>
      <c r="N404" s="61">
        <f>IF(G404="","",IF(AND(G404&gt;=L404,G404&lt;=M404),"OK","NG"))</f>
        <v/>
      </c>
      <c r="O404" s="69">
        <f>IF(N404="","",IF(N404=D404,1,0))</f>
        <v/>
      </c>
      <c r="P404" s="67">
        <f>IF(G404="","",J404-G404)</f>
        <v/>
      </c>
      <c r="Q404" s="67">
        <f>IF(G404="","",ABS(P404-Components!$D$2))</f>
        <v/>
      </c>
      <c r="R404" s="67">
        <f>IF(G404="","",ABS(P404-Components!$D$3))</f>
        <v/>
      </c>
      <c r="S404" s="67">
        <f>IF(G404="","",ABS(P404-Components!$D$4))</f>
        <v/>
      </c>
      <c r="T404" s="67">
        <f>IF(G404="","",ABS(P404-Components!$D$5))</f>
        <v/>
      </c>
      <c r="U404" s="67">
        <f>IF(G404="","",ABS(P404-Components!$D$6))</f>
        <v/>
      </c>
      <c r="V404" s="67">
        <f>IF(G404="","",ABS(P404-Components!$D$7))</f>
        <v/>
      </c>
      <c r="W404" s="61">
        <f>IF(G404="","",IF(N404="OK","NONE",INDEX({"S1","S2","W1","W2","N1","N2"},MATCH(MIN(Q404:V404),Q404:V404,0))))</f>
        <v/>
      </c>
      <c r="X404" s="69">
        <f>IF(G404="","",IF(W404=E404,1,0))</f>
        <v/>
      </c>
      <c r="Y404" s="70" t="n"/>
    </row>
    <row r="405">
      <c r="A405" s="61" t="n">
        <v>52</v>
      </c>
      <c r="B405" s="62" t="n">
        <v>48</v>
      </c>
      <c r="C405" s="61" t="inlineStr">
        <is>
          <t>R6</t>
        </is>
      </c>
      <c r="D405" s="74" t="inlineStr">
        <is>
          <t>NG</t>
        </is>
      </c>
      <c r="E405" s="61" t="inlineStr">
        <is>
          <t>N1</t>
        </is>
      </c>
      <c r="F405" s="61" t="inlineStr">
        <is>
          <t>K052</t>
        </is>
      </c>
      <c r="G405" s="75" t="n">
        <v>7.47</v>
      </c>
      <c r="H405" s="65" t="n"/>
      <c r="I405" s="66" t="n"/>
      <c r="J405" s="67">
        <f>VLOOKUP(C405,Recipes!$A$2:$N$4,10,FALSE())</f>
        <v/>
      </c>
      <c r="K405" s="68">
        <f>VLOOKUP(C405,Recipes!$A$2:$N$4,12,FALSE())</f>
        <v/>
      </c>
      <c r="L405" s="67">
        <f>J405-3.5*K405</f>
        <v/>
      </c>
      <c r="M405" s="67">
        <f>J405+3.5*K405</f>
        <v/>
      </c>
      <c r="N405" s="61">
        <f>IF(G405="","",IF(AND(G405&gt;=L405,G405&lt;=M405),"OK","NG"))</f>
        <v/>
      </c>
      <c r="O405" s="69">
        <f>IF(N405="","",IF(N405=D405,1,0))</f>
        <v/>
      </c>
      <c r="P405" s="67">
        <f>IF(G405="","",J405-G405)</f>
        <v/>
      </c>
      <c r="Q405" s="67">
        <f>IF(G405="","",ABS(P405-Components!$D$2))</f>
        <v/>
      </c>
      <c r="R405" s="67">
        <f>IF(G405="","",ABS(P405-Components!$D$3))</f>
        <v/>
      </c>
      <c r="S405" s="67">
        <f>IF(G405="","",ABS(P405-Components!$D$4))</f>
        <v/>
      </c>
      <c r="T405" s="67">
        <f>IF(G405="","",ABS(P405-Components!$D$5))</f>
        <v/>
      </c>
      <c r="U405" s="67">
        <f>IF(G405="","",ABS(P405-Components!$D$6))</f>
        <v/>
      </c>
      <c r="V405" s="67">
        <f>IF(G405="","",ABS(P405-Components!$D$7))</f>
        <v/>
      </c>
      <c r="W405" s="61">
        <f>IF(G405="","",IF(N405="OK","NONE",INDEX({"S1","S2","W1","W2","N1","N2"},MATCH(MIN(Q405:V405),Q405:V405,0))))</f>
        <v/>
      </c>
      <c r="X405" s="69">
        <f>IF(G405="","",IF(W405=E405,1,0))</f>
        <v/>
      </c>
      <c r="Y405" s="70" t="n"/>
    </row>
    <row r="406">
      <c r="A406" s="61" t="n">
        <v>52</v>
      </c>
      <c r="B406" s="62" t="n">
        <v>48</v>
      </c>
      <c r="C406" s="61" t="inlineStr">
        <is>
          <t>R6</t>
        </is>
      </c>
      <c r="D406" s="74" t="inlineStr">
        <is>
          <t>NG</t>
        </is>
      </c>
      <c r="E406" s="61" t="inlineStr">
        <is>
          <t>N1</t>
        </is>
      </c>
      <c r="F406" s="61" t="inlineStr">
        <is>
          <t>K052</t>
        </is>
      </c>
      <c r="G406" s="75" t="n">
        <v>7.3</v>
      </c>
      <c r="H406" s="65" t="n"/>
      <c r="I406" s="66" t="n"/>
      <c r="J406" s="67">
        <f>VLOOKUP(C406,Recipes!$A$2:$N$4,10,FALSE())</f>
        <v/>
      </c>
      <c r="K406" s="68">
        <f>VLOOKUP(C406,Recipes!$A$2:$N$4,12,FALSE())</f>
        <v/>
      </c>
      <c r="L406" s="67">
        <f>J406-3.5*K406</f>
        <v/>
      </c>
      <c r="M406" s="67">
        <f>J406+3.5*K406</f>
        <v/>
      </c>
      <c r="N406" s="61">
        <f>IF(G406="","",IF(AND(G406&gt;=L406,G406&lt;=M406),"OK","NG"))</f>
        <v/>
      </c>
      <c r="O406" s="69">
        <f>IF(N406="","",IF(N406=D406,1,0))</f>
        <v/>
      </c>
      <c r="P406" s="67">
        <f>IF(G406="","",J406-G406)</f>
        <v/>
      </c>
      <c r="Q406" s="67">
        <f>IF(G406="","",ABS(P406-Components!$D$2))</f>
        <v/>
      </c>
      <c r="R406" s="67">
        <f>IF(G406="","",ABS(P406-Components!$D$3))</f>
        <v/>
      </c>
      <c r="S406" s="67">
        <f>IF(G406="","",ABS(P406-Components!$D$4))</f>
        <v/>
      </c>
      <c r="T406" s="67">
        <f>IF(G406="","",ABS(P406-Components!$D$5))</f>
        <v/>
      </c>
      <c r="U406" s="67">
        <f>IF(G406="","",ABS(P406-Components!$D$6))</f>
        <v/>
      </c>
      <c r="V406" s="67">
        <f>IF(G406="","",ABS(P406-Components!$D$7))</f>
        <v/>
      </c>
      <c r="W406" s="61">
        <f>IF(G406="","",IF(N406="OK","NONE",INDEX({"S1","S2","W1","W2","N1","N2"},MATCH(MIN(Q406:V406),Q406:V406,0))))</f>
        <v/>
      </c>
      <c r="X406" s="71">
        <f>IF(G406="","",IF(W406=E406,1,0))</f>
        <v/>
      </c>
      <c r="Y406" s="70" t="n"/>
    </row>
    <row r="407">
      <c r="A407" s="61" t="n">
        <v>52</v>
      </c>
      <c r="B407" s="62" t="n">
        <v>48</v>
      </c>
      <c r="C407" s="61" t="inlineStr">
        <is>
          <t>R6</t>
        </is>
      </c>
      <c r="D407" s="74" t="inlineStr">
        <is>
          <t>NG</t>
        </is>
      </c>
      <c r="E407" s="61" t="inlineStr">
        <is>
          <t>N1</t>
        </is>
      </c>
      <c r="F407" s="61" t="inlineStr">
        <is>
          <t>K052</t>
        </is>
      </c>
      <c r="G407" s="75" t="n">
        <v>7.44</v>
      </c>
      <c r="H407" s="65" t="n"/>
      <c r="I407" s="66" t="n"/>
      <c r="J407" s="67">
        <f>VLOOKUP(C407,Recipes!$A$2:$N$4,10,FALSE())</f>
        <v/>
      </c>
      <c r="K407" s="68">
        <f>VLOOKUP(C407,Recipes!$A$2:$N$4,12,FALSE())</f>
        <v/>
      </c>
      <c r="L407" s="67">
        <f>J407-3.5*K407</f>
        <v/>
      </c>
      <c r="M407" s="67">
        <f>J407+3.5*K407</f>
        <v/>
      </c>
      <c r="N407" s="61">
        <f>IF(G407="","",IF(AND(G407&gt;=L407,G407&lt;=M407),"OK","NG"))</f>
        <v/>
      </c>
      <c r="O407" s="69">
        <f>IF(N407="","",IF(N407=D407,1,0))</f>
        <v/>
      </c>
      <c r="P407" s="67">
        <f>IF(G407="","",J407-G407)</f>
        <v/>
      </c>
      <c r="Q407" s="67">
        <f>IF(G407="","",ABS(P407-Components!$D$2))</f>
        <v/>
      </c>
      <c r="R407" s="67">
        <f>IF(G407="","",ABS(P407-Components!$D$3))</f>
        <v/>
      </c>
      <c r="S407" s="67">
        <f>IF(G407="","",ABS(P407-Components!$D$4))</f>
        <v/>
      </c>
      <c r="T407" s="67">
        <f>IF(G407="","",ABS(P407-Components!$D$5))</f>
        <v/>
      </c>
      <c r="U407" s="67">
        <f>IF(G407="","",ABS(P407-Components!$D$6))</f>
        <v/>
      </c>
      <c r="V407" s="67">
        <f>IF(G407="","",ABS(P407-Components!$D$7))</f>
        <v/>
      </c>
      <c r="W407" s="61">
        <f>IF(G407="","",IF(N407="OK","NONE",INDEX({"S1","S2","W1","W2","N1","N2"},MATCH(MIN(Q407:V407),Q407:V407,0))))</f>
        <v/>
      </c>
      <c r="X407" s="69">
        <f>IF(G407="","",IF(W407=E407,1,0))</f>
        <v/>
      </c>
      <c r="Y407" s="70" t="n"/>
    </row>
    <row r="408">
      <c r="A408" s="61" t="n">
        <v>52</v>
      </c>
      <c r="B408" s="62" t="n">
        <v>48</v>
      </c>
      <c r="C408" s="61" t="inlineStr">
        <is>
          <t>R6</t>
        </is>
      </c>
      <c r="D408" s="74" t="inlineStr">
        <is>
          <t>NG</t>
        </is>
      </c>
      <c r="E408" s="61" t="inlineStr">
        <is>
          <t>N1</t>
        </is>
      </c>
      <c r="F408" s="61" t="inlineStr">
        <is>
          <t>K052</t>
        </is>
      </c>
      <c r="G408" s="75" t="n">
        <v>7.45</v>
      </c>
      <c r="H408" s="65" t="n"/>
      <c r="I408" s="66" t="n"/>
      <c r="J408" s="67">
        <f>VLOOKUP(C408,Recipes!$A$2:$N$4,10,FALSE())</f>
        <v/>
      </c>
      <c r="K408" s="68">
        <f>VLOOKUP(C408,Recipes!$A$2:$N$4,12,FALSE())</f>
        <v/>
      </c>
      <c r="L408" s="67">
        <f>J408-3.5*K408</f>
        <v/>
      </c>
      <c r="M408" s="67">
        <f>J408+3.5*K408</f>
        <v/>
      </c>
      <c r="N408" s="61">
        <f>IF(G408="","",IF(AND(G408&gt;=L408,G408&lt;=M408),"OK","NG"))</f>
        <v/>
      </c>
      <c r="O408" s="69">
        <f>IF(N408="","",IF(N408=D408,1,0))</f>
        <v/>
      </c>
      <c r="P408" s="67">
        <f>IF(G408="","",J408-G408)</f>
        <v/>
      </c>
      <c r="Q408" s="67">
        <f>IF(G408="","",ABS(P408-Components!$D$2))</f>
        <v/>
      </c>
      <c r="R408" s="67">
        <f>IF(G408="","",ABS(P408-Components!$D$3))</f>
        <v/>
      </c>
      <c r="S408" s="67">
        <f>IF(G408="","",ABS(P408-Components!$D$4))</f>
        <v/>
      </c>
      <c r="T408" s="67">
        <f>IF(G408="","",ABS(P408-Components!$D$5))</f>
        <v/>
      </c>
      <c r="U408" s="67">
        <f>IF(G408="","",ABS(P408-Components!$D$6))</f>
        <v/>
      </c>
      <c r="V408" s="67">
        <f>IF(G408="","",ABS(P408-Components!$D$7))</f>
        <v/>
      </c>
      <c r="W408" s="61">
        <f>IF(G408="","",IF(N408="OK","NONE",INDEX({"S1","S2","W1","W2","N1","N2"},MATCH(MIN(Q408:V408),Q408:V408,0))))</f>
        <v/>
      </c>
      <c r="X408" s="69">
        <f>IF(G408="","",IF(W408=E408,1,0))</f>
        <v/>
      </c>
      <c r="Y408" s="70" t="n"/>
    </row>
    <row r="409">
      <c r="A409" s="61" t="n">
        <v>52</v>
      </c>
      <c r="B409" s="62" t="n">
        <v>48</v>
      </c>
      <c r="C409" s="61" t="inlineStr">
        <is>
          <t>R6</t>
        </is>
      </c>
      <c r="D409" s="74" t="inlineStr">
        <is>
          <t>NG</t>
        </is>
      </c>
      <c r="E409" s="61" t="inlineStr">
        <is>
          <t>N1</t>
        </is>
      </c>
      <c r="F409" s="61" t="inlineStr">
        <is>
          <t>K052</t>
        </is>
      </c>
      <c r="G409" s="75" t="n">
        <v>7.45</v>
      </c>
      <c r="H409" s="65" t="n"/>
      <c r="I409" s="66" t="n"/>
      <c r="J409" s="67">
        <f>VLOOKUP(C409,Recipes!$A$2:$N$4,10,FALSE())</f>
        <v/>
      </c>
      <c r="K409" s="68">
        <f>VLOOKUP(C409,Recipes!$A$2:$N$4,12,FALSE())</f>
        <v/>
      </c>
      <c r="L409" s="67">
        <f>J409-3.5*K409</f>
        <v/>
      </c>
      <c r="M409" s="67">
        <f>J409+3.5*K409</f>
        <v/>
      </c>
      <c r="N409" s="61">
        <f>IF(G409="","",IF(AND(G409&gt;=L409,G409&lt;=M409),"OK","NG"))</f>
        <v/>
      </c>
      <c r="O409" s="69">
        <f>IF(N409="","",IF(N409=D409,1,0))</f>
        <v/>
      </c>
      <c r="P409" s="67">
        <f>IF(G409="","",J409-G409)</f>
        <v/>
      </c>
      <c r="Q409" s="67">
        <f>IF(G409="","",ABS(P409-Components!$D$2))</f>
        <v/>
      </c>
      <c r="R409" s="67">
        <f>IF(G409="","",ABS(P409-Components!$D$3))</f>
        <v/>
      </c>
      <c r="S409" s="67">
        <f>IF(G409="","",ABS(P409-Components!$D$4))</f>
        <v/>
      </c>
      <c r="T409" s="67">
        <f>IF(G409="","",ABS(P409-Components!$D$5))</f>
        <v/>
      </c>
      <c r="U409" s="67">
        <f>IF(G409="","",ABS(P409-Components!$D$6))</f>
        <v/>
      </c>
      <c r="V409" s="67">
        <f>IF(G409="","",ABS(P409-Components!$D$7))</f>
        <v/>
      </c>
      <c r="W409" s="61">
        <f>IF(G409="","",IF(N409="OK","NONE",INDEX({"S1","S2","W1","W2","N1","N2"},MATCH(MIN(Q409:V409),Q409:V409,0))))</f>
        <v/>
      </c>
      <c r="X409" s="69">
        <f>IF(G409="","",IF(W409=E409,1,0))</f>
        <v/>
      </c>
      <c r="Y409" s="70" t="n"/>
    </row>
    <row r="410">
      <c r="A410" s="61" t="n">
        <v>52</v>
      </c>
      <c r="B410" s="62" t="n">
        <v>48</v>
      </c>
      <c r="C410" s="61" t="inlineStr">
        <is>
          <t>R6</t>
        </is>
      </c>
      <c r="D410" s="74" t="inlineStr">
        <is>
          <t>NG</t>
        </is>
      </c>
      <c r="E410" s="61" t="inlineStr">
        <is>
          <t>N1</t>
        </is>
      </c>
      <c r="F410" s="61" t="inlineStr">
        <is>
          <t>K052</t>
        </is>
      </c>
      <c r="G410" s="75" t="n">
        <v>7.44</v>
      </c>
      <c r="H410" s="65" t="n"/>
      <c r="I410" s="66" t="n"/>
      <c r="J410" s="67">
        <f>VLOOKUP(C410,Recipes!$A$2:$N$4,10,FALSE())</f>
        <v/>
      </c>
      <c r="K410" s="68">
        <f>VLOOKUP(C410,Recipes!$A$2:$N$4,12,FALSE())</f>
        <v/>
      </c>
      <c r="L410" s="67">
        <f>J410-3.5*K410</f>
        <v/>
      </c>
      <c r="M410" s="67">
        <f>J410+3.5*K410</f>
        <v/>
      </c>
      <c r="N410" s="61">
        <f>IF(G410="","",IF(AND(G410&gt;=L410,G410&lt;=M410),"OK","NG"))</f>
        <v/>
      </c>
      <c r="O410" s="69">
        <f>IF(N410="","",IF(N410=D410,1,0))</f>
        <v/>
      </c>
      <c r="P410" s="67">
        <f>IF(G410="","",J410-G410)</f>
        <v/>
      </c>
      <c r="Q410" s="67">
        <f>IF(G410="","",ABS(P410-Components!$D$2))</f>
        <v/>
      </c>
      <c r="R410" s="67">
        <f>IF(G410="","",ABS(P410-Components!$D$3))</f>
        <v/>
      </c>
      <c r="S410" s="67">
        <f>IF(G410="","",ABS(P410-Components!$D$4))</f>
        <v/>
      </c>
      <c r="T410" s="67">
        <f>IF(G410="","",ABS(P410-Components!$D$5))</f>
        <v/>
      </c>
      <c r="U410" s="67">
        <f>IF(G410="","",ABS(P410-Components!$D$6))</f>
        <v/>
      </c>
      <c r="V410" s="67">
        <f>IF(G410="","",ABS(P410-Components!$D$7))</f>
        <v/>
      </c>
      <c r="W410" s="61">
        <f>IF(G410="","",IF(N410="OK","NONE",INDEX({"S1","S2","W1","W2","N1","N2"},MATCH(MIN(Q410:V410),Q410:V410,0))))</f>
        <v/>
      </c>
      <c r="X410" s="69">
        <f>IF(G410="","",IF(W410=E410,1,0))</f>
        <v/>
      </c>
      <c r="Y410" s="70" t="n"/>
    </row>
    <row r="411">
      <c r="A411" s="61" t="n">
        <v>52</v>
      </c>
      <c r="B411" s="62" t="n">
        <v>48</v>
      </c>
      <c r="C411" s="61" t="inlineStr">
        <is>
          <t>R6</t>
        </is>
      </c>
      <c r="D411" s="74" t="inlineStr">
        <is>
          <t>NG</t>
        </is>
      </c>
      <c r="E411" s="61" t="inlineStr">
        <is>
          <t>N1</t>
        </is>
      </c>
      <c r="F411" s="61" t="inlineStr">
        <is>
          <t>K052</t>
        </is>
      </c>
      <c r="G411" s="75" t="n">
        <v>7.47</v>
      </c>
      <c r="H411" s="65" t="n"/>
      <c r="I411" s="66" t="n"/>
      <c r="J411" s="67">
        <f>VLOOKUP(C411,Recipes!$A$2:$N$4,10,FALSE())</f>
        <v/>
      </c>
      <c r="K411" s="68">
        <f>VLOOKUP(C411,Recipes!$A$2:$N$4,12,FALSE())</f>
        <v/>
      </c>
      <c r="L411" s="67">
        <f>J411-3.5*K411</f>
        <v/>
      </c>
      <c r="M411" s="67">
        <f>J411+3.5*K411</f>
        <v/>
      </c>
      <c r="N411" s="61">
        <f>IF(G411="","",IF(AND(G411&gt;=L411,G411&lt;=M411),"OK","NG"))</f>
        <v/>
      </c>
      <c r="O411" s="69">
        <f>IF(N411="","",IF(N411=D411,1,0))</f>
        <v/>
      </c>
      <c r="P411" s="67">
        <f>IF(G411="","",J411-G411)</f>
        <v/>
      </c>
      <c r="Q411" s="67">
        <f>IF(G411="","",ABS(P411-Components!$D$2))</f>
        <v/>
      </c>
      <c r="R411" s="67">
        <f>IF(G411="","",ABS(P411-Components!$D$3))</f>
        <v/>
      </c>
      <c r="S411" s="67">
        <f>IF(G411="","",ABS(P411-Components!$D$4))</f>
        <v/>
      </c>
      <c r="T411" s="67">
        <f>IF(G411="","",ABS(P411-Components!$D$5))</f>
        <v/>
      </c>
      <c r="U411" s="67">
        <f>IF(G411="","",ABS(P411-Components!$D$6))</f>
        <v/>
      </c>
      <c r="V411" s="67">
        <f>IF(G411="","",ABS(P411-Components!$D$7))</f>
        <v/>
      </c>
      <c r="W411" s="61">
        <f>IF(G411="","",IF(N411="OK","NONE",INDEX({"S1","S2","W1","W2","N1","N2"},MATCH(MIN(Q411:V411),Q411:V411,0))))</f>
        <v/>
      </c>
      <c r="X411" s="69">
        <f>IF(G411="","",IF(W411=E411,1,0))</f>
        <v/>
      </c>
      <c r="Y411" s="70" t="n"/>
    </row>
    <row r="412">
      <c r="A412" s="61" t="n">
        <v>52</v>
      </c>
      <c r="B412" s="62" t="n">
        <v>48</v>
      </c>
      <c r="C412" s="61" t="inlineStr">
        <is>
          <t>R6</t>
        </is>
      </c>
      <c r="D412" s="74" t="inlineStr">
        <is>
          <t>NG</t>
        </is>
      </c>
      <c r="E412" s="61" t="inlineStr">
        <is>
          <t>N1</t>
        </is>
      </c>
      <c r="F412" s="61" t="inlineStr">
        <is>
          <t>K052</t>
        </is>
      </c>
      <c r="G412" s="75" t="n">
        <v>7.38</v>
      </c>
      <c r="H412" s="65" t="n"/>
      <c r="I412" s="66" t="n"/>
      <c r="J412" s="67">
        <f>VLOOKUP(C412,Recipes!$A$2:$N$4,10,FALSE())</f>
        <v/>
      </c>
      <c r="K412" s="68">
        <f>VLOOKUP(C412,Recipes!$A$2:$N$4,12,FALSE())</f>
        <v/>
      </c>
      <c r="L412" s="67">
        <f>J412-3.5*K412</f>
        <v/>
      </c>
      <c r="M412" s="67">
        <f>J412+3.5*K412</f>
        <v/>
      </c>
      <c r="N412" s="61">
        <f>IF(G412="","",IF(AND(G412&gt;=L412,G412&lt;=M412),"OK","NG"))</f>
        <v/>
      </c>
      <c r="O412" s="69">
        <f>IF(N412="","",IF(N412=D412,1,0))</f>
        <v/>
      </c>
      <c r="P412" s="67">
        <f>IF(G412="","",J412-G412)</f>
        <v/>
      </c>
      <c r="Q412" s="67">
        <f>IF(G412="","",ABS(P412-Components!$D$2))</f>
        <v/>
      </c>
      <c r="R412" s="67">
        <f>IF(G412="","",ABS(P412-Components!$D$3))</f>
        <v/>
      </c>
      <c r="S412" s="67">
        <f>IF(G412="","",ABS(P412-Components!$D$4))</f>
        <v/>
      </c>
      <c r="T412" s="67">
        <f>IF(G412="","",ABS(P412-Components!$D$5))</f>
        <v/>
      </c>
      <c r="U412" s="67">
        <f>IF(G412="","",ABS(P412-Components!$D$6))</f>
        <v/>
      </c>
      <c r="V412" s="67">
        <f>IF(G412="","",ABS(P412-Components!$D$7))</f>
        <v/>
      </c>
      <c r="W412" s="61">
        <f>IF(G412="","",IF(N412="OK","NONE",INDEX({"S1","S2","W1","W2","N1","N2"},MATCH(MIN(Q412:V412),Q412:V412,0))))</f>
        <v/>
      </c>
      <c r="X412" s="69">
        <f>IF(G412="","",IF(W412=E412,1,0))</f>
        <v/>
      </c>
      <c r="Y412" s="70" t="n"/>
    </row>
    <row r="413">
      <c r="A413" s="61" t="n">
        <v>52</v>
      </c>
      <c r="B413" s="62" t="n">
        <v>48</v>
      </c>
      <c r="C413" s="61" t="inlineStr">
        <is>
          <t>R6</t>
        </is>
      </c>
      <c r="D413" s="74" t="inlineStr">
        <is>
          <t>NG</t>
        </is>
      </c>
      <c r="E413" s="61" t="inlineStr">
        <is>
          <t>N1</t>
        </is>
      </c>
      <c r="F413" s="61" t="inlineStr">
        <is>
          <t>K052</t>
        </is>
      </c>
      <c r="G413" s="75" t="n">
        <v>7.45</v>
      </c>
      <c r="H413" s="65" t="n"/>
      <c r="I413" s="66" t="n"/>
      <c r="J413" s="67">
        <f>VLOOKUP(C413,Recipes!$A$2:$N$4,10,FALSE())</f>
        <v/>
      </c>
      <c r="K413" s="68">
        <f>VLOOKUP(C413,Recipes!$A$2:$N$4,12,FALSE())</f>
        <v/>
      </c>
      <c r="L413" s="67">
        <f>J413-3.5*K413</f>
        <v/>
      </c>
      <c r="M413" s="67">
        <f>J413+3.5*K413</f>
        <v/>
      </c>
      <c r="N413" s="61">
        <f>IF(G413="","",IF(AND(G413&gt;=L413,G413&lt;=M413),"OK","NG"))</f>
        <v/>
      </c>
      <c r="O413" s="69">
        <f>IF(N413="","",IF(N413=D413,1,0))</f>
        <v/>
      </c>
      <c r="P413" s="67">
        <f>IF(G413="","",J413-G413)</f>
        <v/>
      </c>
      <c r="Q413" s="67">
        <f>IF(G413="","",ABS(P413-Components!$D$2))</f>
        <v/>
      </c>
      <c r="R413" s="67">
        <f>IF(G413="","",ABS(P413-Components!$D$3))</f>
        <v/>
      </c>
      <c r="S413" s="67">
        <f>IF(G413="","",ABS(P413-Components!$D$4))</f>
        <v/>
      </c>
      <c r="T413" s="67">
        <f>IF(G413="","",ABS(P413-Components!$D$5))</f>
        <v/>
      </c>
      <c r="U413" s="67">
        <f>IF(G413="","",ABS(P413-Components!$D$6))</f>
        <v/>
      </c>
      <c r="V413" s="67">
        <f>IF(G413="","",ABS(P413-Components!$D$7))</f>
        <v/>
      </c>
      <c r="W413" s="61">
        <f>IF(G413="","",IF(N413="OK","NONE",INDEX({"S1","S2","W1","W2","N1","N2"},MATCH(MIN(Q413:V413),Q413:V413,0))))</f>
        <v/>
      </c>
      <c r="X413" s="69">
        <f>IF(G413="","",IF(W413=E413,1,0))</f>
        <v/>
      </c>
      <c r="Y413" s="70" t="n"/>
    </row>
    <row r="414">
      <c r="A414" s="61" t="n">
        <v>52</v>
      </c>
      <c r="B414" s="62" t="n">
        <v>48</v>
      </c>
      <c r="C414" s="61" t="inlineStr">
        <is>
          <t>R6</t>
        </is>
      </c>
      <c r="D414" s="74" t="inlineStr">
        <is>
          <t>NG</t>
        </is>
      </c>
      <c r="E414" s="61" t="inlineStr">
        <is>
          <t>N1</t>
        </is>
      </c>
      <c r="F414" s="61" t="inlineStr">
        <is>
          <t>K052</t>
        </is>
      </c>
      <c r="G414" s="75" t="n">
        <v>7.45</v>
      </c>
      <c r="H414" s="65" t="n"/>
      <c r="I414" s="66" t="n"/>
      <c r="J414" s="67">
        <f>VLOOKUP(C414,Recipes!$A$2:$N$4,10,FALSE())</f>
        <v/>
      </c>
      <c r="K414" s="68">
        <f>VLOOKUP(C414,Recipes!$A$2:$N$4,12,FALSE())</f>
        <v/>
      </c>
      <c r="L414" s="67">
        <f>J414-3.5*K414</f>
        <v/>
      </c>
      <c r="M414" s="67">
        <f>J414+3.5*K414</f>
        <v/>
      </c>
      <c r="N414" s="61">
        <f>IF(G414="","",IF(AND(G414&gt;=L414,G414&lt;=M414),"OK","NG"))</f>
        <v/>
      </c>
      <c r="O414" s="69">
        <f>IF(N414="","",IF(N414=D414,1,0))</f>
        <v/>
      </c>
      <c r="P414" s="67">
        <f>IF(G414="","",J414-G414)</f>
        <v/>
      </c>
      <c r="Q414" s="67">
        <f>IF(G414="","",ABS(P414-Components!$D$2))</f>
        <v/>
      </c>
      <c r="R414" s="67">
        <f>IF(G414="","",ABS(P414-Components!$D$3))</f>
        <v/>
      </c>
      <c r="S414" s="67">
        <f>IF(G414="","",ABS(P414-Components!$D$4))</f>
        <v/>
      </c>
      <c r="T414" s="67">
        <f>IF(G414="","",ABS(P414-Components!$D$5))</f>
        <v/>
      </c>
      <c r="U414" s="67">
        <f>IF(G414="","",ABS(P414-Components!$D$6))</f>
        <v/>
      </c>
      <c r="V414" s="67">
        <f>IF(G414="","",ABS(P414-Components!$D$7))</f>
        <v/>
      </c>
      <c r="W414" s="61">
        <f>IF(G414="","",IF(N414="OK","NONE",INDEX({"S1","S2","W1","W2","N1","N2"},MATCH(MIN(Q414:V414),Q414:V414,0))))</f>
        <v/>
      </c>
      <c r="X414" s="69">
        <f>IF(G414="","",IF(W414=E414,1,0))</f>
        <v/>
      </c>
      <c r="Y414" s="70" t="n"/>
    </row>
    <row r="415">
      <c r="A415" s="61" t="n">
        <v>52</v>
      </c>
      <c r="B415" s="62" t="n">
        <v>48</v>
      </c>
      <c r="C415" s="61" t="inlineStr">
        <is>
          <t>R6</t>
        </is>
      </c>
      <c r="D415" s="74" t="inlineStr">
        <is>
          <t>NG</t>
        </is>
      </c>
      <c r="E415" s="61" t="inlineStr">
        <is>
          <t>N1</t>
        </is>
      </c>
      <c r="F415" s="61" t="inlineStr">
        <is>
          <t>K052</t>
        </is>
      </c>
      <c r="G415" s="75" t="n">
        <v>7.45</v>
      </c>
      <c r="H415" s="65" t="n"/>
      <c r="I415" s="66" t="n"/>
      <c r="J415" s="67">
        <f>VLOOKUP(C415,Recipes!$A$2:$N$4,10,FALSE())</f>
        <v/>
      </c>
      <c r="K415" s="68">
        <f>VLOOKUP(C415,Recipes!$A$2:$N$4,12,FALSE())</f>
        <v/>
      </c>
      <c r="L415" s="67">
        <f>J415-3.5*K415</f>
        <v/>
      </c>
      <c r="M415" s="67">
        <f>J415+3.5*K415</f>
        <v/>
      </c>
      <c r="N415" s="61">
        <f>IF(G415="","",IF(AND(G415&gt;=L415,G415&lt;=M415),"OK","NG"))</f>
        <v/>
      </c>
      <c r="O415" s="69">
        <f>IF(N415="","",IF(N415=D415,1,0))</f>
        <v/>
      </c>
      <c r="P415" s="67">
        <f>IF(G415="","",J415-G415)</f>
        <v/>
      </c>
      <c r="Q415" s="67">
        <f>IF(G415="","",ABS(P415-Components!$D$2))</f>
        <v/>
      </c>
      <c r="R415" s="67">
        <f>IF(G415="","",ABS(P415-Components!$D$3))</f>
        <v/>
      </c>
      <c r="S415" s="67">
        <f>IF(G415="","",ABS(P415-Components!$D$4))</f>
        <v/>
      </c>
      <c r="T415" s="67">
        <f>IF(G415="","",ABS(P415-Components!$D$5))</f>
        <v/>
      </c>
      <c r="U415" s="67">
        <f>IF(G415="","",ABS(P415-Components!$D$6))</f>
        <v/>
      </c>
      <c r="V415" s="67">
        <f>IF(G415="","",ABS(P415-Components!$D$7))</f>
        <v/>
      </c>
      <c r="W415" s="61">
        <f>IF(G415="","",IF(N415="OK","NONE",INDEX({"S1","S2","W1","W2","N1","N2"},MATCH(MIN(Q415:V415),Q415:V415,0))))</f>
        <v/>
      </c>
      <c r="X415" s="69">
        <f>IF(G415="","",IF(W415=E415,1,0))</f>
        <v/>
      </c>
      <c r="Y415" s="70" t="n"/>
    </row>
    <row r="416">
      <c r="A416" s="61" t="n">
        <v>52</v>
      </c>
      <c r="B416" s="62" t="n">
        <v>48</v>
      </c>
      <c r="C416" s="61" t="inlineStr">
        <is>
          <t>R6</t>
        </is>
      </c>
      <c r="D416" s="74" t="inlineStr">
        <is>
          <t>NG</t>
        </is>
      </c>
      <c r="E416" s="61" t="inlineStr">
        <is>
          <t>N1</t>
        </is>
      </c>
      <c r="F416" s="61" t="inlineStr">
        <is>
          <t>K052</t>
        </is>
      </c>
      <c r="G416" s="75" t="n">
        <v>7.44</v>
      </c>
      <c r="H416" s="65" t="n"/>
      <c r="I416" s="66" t="n"/>
      <c r="J416" s="67">
        <f>VLOOKUP(C416,Recipes!$A$2:$N$4,10,FALSE())</f>
        <v/>
      </c>
      <c r="K416" s="68">
        <f>VLOOKUP(C416,Recipes!$A$2:$N$4,12,FALSE())</f>
        <v/>
      </c>
      <c r="L416" s="67">
        <f>J416-3.5*K416</f>
        <v/>
      </c>
      <c r="M416" s="67">
        <f>J416+3.5*K416</f>
        <v/>
      </c>
      <c r="N416" s="61">
        <f>IF(G416="","",IF(AND(G416&gt;=L416,G416&lt;=M416),"OK","NG"))</f>
        <v/>
      </c>
      <c r="O416" s="69">
        <f>IF(N416="","",IF(N416=D416,1,0))</f>
        <v/>
      </c>
      <c r="P416" s="67">
        <f>IF(G416="","",J416-G416)</f>
        <v/>
      </c>
      <c r="Q416" s="67">
        <f>IF(G416="","",ABS(P416-Components!$D$2))</f>
        <v/>
      </c>
      <c r="R416" s="67">
        <f>IF(G416="","",ABS(P416-Components!$D$3))</f>
        <v/>
      </c>
      <c r="S416" s="67">
        <f>IF(G416="","",ABS(P416-Components!$D$4))</f>
        <v/>
      </c>
      <c r="T416" s="67">
        <f>IF(G416="","",ABS(P416-Components!$D$5))</f>
        <v/>
      </c>
      <c r="U416" s="67">
        <f>IF(G416="","",ABS(P416-Components!$D$6))</f>
        <v/>
      </c>
      <c r="V416" s="67">
        <f>IF(G416="","",ABS(P416-Components!$D$7))</f>
        <v/>
      </c>
      <c r="W416" s="61">
        <f>IF(G416="","",IF(N416="OK","NONE",INDEX({"S1","S2","W1","W2","N1","N2"},MATCH(MIN(Q416:V416),Q416:V416,0))))</f>
        <v/>
      </c>
      <c r="X416" s="69">
        <f>IF(G416="","",IF(W416=E416,1,0))</f>
        <v/>
      </c>
      <c r="Y416" s="70" t="n"/>
    </row>
    <row r="417">
      <c r="A417" s="61" t="n">
        <v>52</v>
      </c>
      <c r="B417" s="62" t="n">
        <v>48</v>
      </c>
      <c r="C417" s="61" t="inlineStr">
        <is>
          <t>R6</t>
        </is>
      </c>
      <c r="D417" s="74" t="inlineStr">
        <is>
          <t>NG</t>
        </is>
      </c>
      <c r="E417" s="61" t="inlineStr">
        <is>
          <t>N1</t>
        </is>
      </c>
      <c r="F417" s="61" t="inlineStr">
        <is>
          <t>K052</t>
        </is>
      </c>
      <c r="G417" s="64" t="n">
        <v>7.45</v>
      </c>
      <c r="H417" s="65" t="n"/>
      <c r="I417" s="66" t="n"/>
      <c r="J417" s="67">
        <f>VLOOKUP(C417,Recipes!$A$2:$N$4,10,FALSE())</f>
        <v/>
      </c>
      <c r="K417" s="68">
        <f>VLOOKUP(C417,Recipes!$A$2:$N$4,12,FALSE())</f>
        <v/>
      </c>
      <c r="L417" s="67">
        <f>J417-3.5*K417</f>
        <v/>
      </c>
      <c r="M417" s="67">
        <f>J417+3.5*K417</f>
        <v/>
      </c>
      <c r="N417" s="61">
        <f>IF(G417="","",IF(AND(G417&gt;=L417,G417&lt;=M417),"OK","NG"))</f>
        <v/>
      </c>
      <c r="O417" s="69">
        <f>IF(N417="","",IF(N417=D417,1,0))</f>
        <v/>
      </c>
      <c r="P417" s="67">
        <f>IF(G417="","",J417-G417)</f>
        <v/>
      </c>
      <c r="Q417" s="67">
        <f>IF(G417="","",ABS(P417-Components!$D$2))</f>
        <v/>
      </c>
      <c r="R417" s="67">
        <f>IF(G417="","",ABS(P417-Components!$D$3))</f>
        <v/>
      </c>
      <c r="S417" s="67">
        <f>IF(G417="","",ABS(P417-Components!$D$4))</f>
        <v/>
      </c>
      <c r="T417" s="67">
        <f>IF(G417="","",ABS(P417-Components!$D$5))</f>
        <v/>
      </c>
      <c r="U417" s="67">
        <f>IF(G417="","",ABS(P417-Components!$D$6))</f>
        <v/>
      </c>
      <c r="V417" s="67">
        <f>IF(G417="","",ABS(P417-Components!$D$7))</f>
        <v/>
      </c>
      <c r="W417" s="61">
        <f>IF(G417="","",IF(N417="OK","NONE",INDEX({"S1","S2","W1","W2","N1","N2"},MATCH(MIN(Q417:V417),Q417:V417,0))))</f>
        <v/>
      </c>
      <c r="X417" s="69">
        <f>IF(G417="","",IF(W417=E417,1,0))</f>
        <v/>
      </c>
      <c r="Y417" s="70" t="n"/>
    </row>
    <row r="418">
      <c r="A418" s="61" t="n">
        <v>53</v>
      </c>
      <c r="B418" s="62" t="n">
        <v>2</v>
      </c>
      <c r="C418" s="61" t="inlineStr">
        <is>
          <t>R6</t>
        </is>
      </c>
      <c r="D418" s="74" t="inlineStr">
        <is>
          <t>NG</t>
        </is>
      </c>
      <c r="E418" s="61" t="inlineStr">
        <is>
          <t>N1</t>
        </is>
      </c>
      <c r="F418" s="61" t="inlineStr">
        <is>
          <t>K053</t>
        </is>
      </c>
      <c r="G418" s="64" t="n">
        <v>7.45</v>
      </c>
      <c r="H418" s="65" t="n"/>
      <c r="I418" s="66" t="n"/>
      <c r="J418" s="67">
        <f>VLOOKUP(C418,Recipes!$A$2:$N$4,10,FALSE())</f>
        <v/>
      </c>
      <c r="K418" s="68">
        <f>VLOOKUP(C418,Recipes!$A$2:$N$4,12,FALSE())</f>
        <v/>
      </c>
      <c r="L418" s="67">
        <f>J418-3.5*K418</f>
        <v/>
      </c>
      <c r="M418" s="67">
        <f>J418+3.5*K418</f>
        <v/>
      </c>
      <c r="N418" s="61">
        <f>IF(G418="","",IF(AND(G418&gt;=L418,G418&lt;=M418),"OK","NG"))</f>
        <v/>
      </c>
      <c r="O418" s="69">
        <f>IF(N418="","",IF(N418=D418,1,0))</f>
        <v/>
      </c>
      <c r="P418" s="67">
        <f>IF(G418="","",J418-G418)</f>
        <v/>
      </c>
      <c r="Q418" s="67">
        <f>IF(G418="","",ABS(P418-Components!$D$2))</f>
        <v/>
      </c>
      <c r="R418" s="67">
        <f>IF(G418="","",ABS(P418-Components!$D$3))</f>
        <v/>
      </c>
      <c r="S418" s="67">
        <f>IF(G418="","",ABS(P418-Components!$D$4))</f>
        <v/>
      </c>
      <c r="T418" s="67">
        <f>IF(G418="","",ABS(P418-Components!$D$5))</f>
        <v/>
      </c>
      <c r="U418" s="67">
        <f>IF(G418="","",ABS(P418-Components!$D$6))</f>
        <v/>
      </c>
      <c r="V418" s="67">
        <f>IF(G418="","",ABS(P418-Components!$D$7))</f>
        <v/>
      </c>
      <c r="W418" s="61">
        <f>IF(G418="","",IF(N418="OK","NONE",INDEX({"S1","S2","W1","W2","N1","N2"},MATCH(MIN(Q418:V418),Q418:V418,0))))</f>
        <v/>
      </c>
      <c r="X418" s="69">
        <f>IF(G418="","",IF(W418=E418,1,0))</f>
        <v/>
      </c>
      <c r="Y418" s="70" t="n"/>
    </row>
    <row r="419">
      <c r="A419" s="79" t="n"/>
      <c r="B419" s="80" t="n"/>
      <c r="C419" s="76" t="inlineStr">
        <is>
          <t>R6</t>
        </is>
      </c>
      <c r="D419" s="78" t="inlineStr">
        <is>
          <t>NG</t>
        </is>
      </c>
      <c r="E419" s="76" t="inlineStr">
        <is>
          <t>N1</t>
        </is>
      </c>
      <c r="F419" s="81" t="n"/>
      <c r="G419" s="75" t="n">
        <v>7.44</v>
      </c>
      <c r="H419" s="65" t="n"/>
      <c r="I419" s="66" t="n"/>
      <c r="J419" s="67">
        <f>VLOOKUP(C419,Recipes!$A$2:$N$4,10,FALSE())</f>
        <v/>
      </c>
      <c r="K419" s="68">
        <f>VLOOKUP(C419,Recipes!$A$2:$N$4,12,FALSE())</f>
        <v/>
      </c>
      <c r="L419" s="67">
        <f>J419-3.5*K419</f>
        <v/>
      </c>
      <c r="M419" s="67">
        <f>J419+3.5*K419</f>
        <v/>
      </c>
      <c r="N419" s="61">
        <f>IF(G419="","",IF(AND(G419&gt;=L419,G419&lt;=M419),"OK","NG"))</f>
        <v/>
      </c>
      <c r="O419" s="69">
        <f>IF(N419="","",IF(N419=D419,1,0))</f>
        <v/>
      </c>
      <c r="P419" s="67">
        <f>IF(G419="","",J419-G419)</f>
        <v/>
      </c>
      <c r="Q419" s="67">
        <f>IF(G419="","",ABS(P419-Components!$D$2))</f>
        <v/>
      </c>
      <c r="R419" s="67">
        <f>IF(G419="","",ABS(P419-Components!$D$3))</f>
        <v/>
      </c>
      <c r="S419" s="67">
        <f>IF(G419="","",ABS(P419-Components!$D$4))</f>
        <v/>
      </c>
      <c r="T419" s="67">
        <f>IF(G419="","",ABS(P419-Components!$D$5))</f>
        <v/>
      </c>
      <c r="U419" s="67">
        <f>IF(G419="","",ABS(P419-Components!$D$6))</f>
        <v/>
      </c>
      <c r="V419" s="67">
        <f>IF(G419="","",ABS(P419-Components!$D$7))</f>
        <v/>
      </c>
      <c r="W419" s="61">
        <f>IF(G419="","",IF(N419="OK","NONE",INDEX({"S1","S2","W1","W2","N1","N2"},MATCH(MIN(Q419:V419),Q419:V419,0))))</f>
        <v/>
      </c>
      <c r="X419" s="69">
        <f>IF(G419="","",IF(W419=E419,1,0))</f>
        <v/>
      </c>
      <c r="Y419" s="70" t="n"/>
    </row>
    <row r="420">
      <c r="A420" s="79" t="n"/>
      <c r="B420" s="80" t="n"/>
      <c r="C420" s="76" t="inlineStr">
        <is>
          <t>R6</t>
        </is>
      </c>
      <c r="D420" s="78" t="inlineStr">
        <is>
          <t>NG</t>
        </is>
      </c>
      <c r="E420" s="76" t="inlineStr">
        <is>
          <t>N1</t>
        </is>
      </c>
      <c r="F420" s="81" t="n"/>
      <c r="G420" s="75" t="n">
        <v>7.46</v>
      </c>
      <c r="H420" s="65" t="n"/>
      <c r="I420" s="66" t="n"/>
      <c r="J420" s="67">
        <f>VLOOKUP(C420,Recipes!$A$2:$N$4,10,FALSE())</f>
        <v/>
      </c>
      <c r="K420" s="68">
        <f>VLOOKUP(C420,Recipes!$A$2:$N$4,12,FALSE())</f>
        <v/>
      </c>
      <c r="L420" s="67">
        <f>J420-3.5*K420</f>
        <v/>
      </c>
      <c r="M420" s="67">
        <f>J420+3.5*K420</f>
        <v/>
      </c>
      <c r="N420" s="61">
        <f>IF(G420="","",IF(AND(G420&gt;=L420,G420&lt;=M420),"OK","NG"))</f>
        <v/>
      </c>
      <c r="O420" s="69">
        <f>IF(N420="","",IF(N420=D420,1,0))</f>
        <v/>
      </c>
      <c r="P420" s="67">
        <f>IF(G420="","",J420-G420)</f>
        <v/>
      </c>
      <c r="Q420" s="67">
        <f>IF(G420="","",ABS(P420-Components!$D$2))</f>
        <v/>
      </c>
      <c r="R420" s="67">
        <f>IF(G420="","",ABS(P420-Components!$D$3))</f>
        <v/>
      </c>
      <c r="S420" s="67">
        <f>IF(G420="","",ABS(P420-Components!$D$4))</f>
        <v/>
      </c>
      <c r="T420" s="67">
        <f>IF(G420="","",ABS(P420-Components!$D$5))</f>
        <v/>
      </c>
      <c r="U420" s="67">
        <f>IF(G420="","",ABS(P420-Components!$D$6))</f>
        <v/>
      </c>
      <c r="V420" s="67">
        <f>IF(G420="","",ABS(P420-Components!$D$7))</f>
        <v/>
      </c>
      <c r="W420" s="61">
        <f>IF(G420="","",IF(N420="OK","NONE",INDEX({"S1","S2","W1","W2","N1","N2"},MATCH(MIN(Q420:V420),Q420:V420,0))))</f>
        <v/>
      </c>
      <c r="X420" s="69">
        <f>IF(G420="","",IF(W420=E420,1,0))</f>
        <v/>
      </c>
      <c r="Y420" s="70" t="n"/>
    </row>
    <row r="421">
      <c r="A421" s="61" t="n">
        <v>52</v>
      </c>
      <c r="B421" s="62" t="n">
        <v>48</v>
      </c>
      <c r="C421" s="61" t="inlineStr">
        <is>
          <t>R6</t>
        </is>
      </c>
      <c r="D421" s="74" t="inlineStr">
        <is>
          <t>NG</t>
        </is>
      </c>
      <c r="E421" s="61" t="inlineStr">
        <is>
          <t>N1</t>
        </is>
      </c>
      <c r="F421" s="61" t="inlineStr">
        <is>
          <t>K052</t>
        </is>
      </c>
      <c r="G421" s="75" t="n">
        <v>7.25</v>
      </c>
      <c r="H421" s="65" t="n"/>
      <c r="I421" s="66" t="n"/>
      <c r="J421" s="67">
        <f>VLOOKUP(C421,Recipes!$A$2:$N$4,10,FALSE())</f>
        <v/>
      </c>
      <c r="K421" s="68">
        <f>VLOOKUP(C421,Recipes!$A$2:$N$4,12,FALSE())</f>
        <v/>
      </c>
      <c r="L421" s="67">
        <f>J421-3.5*K421</f>
        <v/>
      </c>
      <c r="M421" s="67">
        <f>J421+3.5*K421</f>
        <v/>
      </c>
      <c r="N421" s="61">
        <f>IF(G421="","",IF(AND(G421&gt;=L421,G421&lt;=M421),"OK","NG"))</f>
        <v/>
      </c>
      <c r="O421" s="69">
        <f>IF(N421="","",IF(N421=D421,1,0))</f>
        <v/>
      </c>
      <c r="P421" s="67">
        <f>IF(G421="","",J421-G421)</f>
        <v/>
      </c>
      <c r="Q421" s="67">
        <f>IF(G421="","",ABS(P421-Components!$D$2))</f>
        <v/>
      </c>
      <c r="R421" s="67">
        <f>IF(G421="","",ABS(P421-Components!$D$3))</f>
        <v/>
      </c>
      <c r="S421" s="67">
        <f>IF(G421="","",ABS(P421-Components!$D$4))</f>
        <v/>
      </c>
      <c r="T421" s="67">
        <f>IF(G421="","",ABS(P421-Components!$D$5))</f>
        <v/>
      </c>
      <c r="U421" s="67">
        <f>IF(G421="","",ABS(P421-Components!$D$6))</f>
        <v/>
      </c>
      <c r="V421" s="67">
        <f>IF(G421="","",ABS(P421-Components!$D$7))</f>
        <v/>
      </c>
      <c r="W421" s="61">
        <f>IF(G421="","",IF(N421="OK","NONE",INDEX({"S1","S2","W1","W2","N1","N2"},MATCH(MIN(Q421:V421),Q421:V421,0))))</f>
        <v/>
      </c>
      <c r="X421" s="71">
        <f>IF(G421="","",IF(W421=E421,1,0))</f>
        <v/>
      </c>
      <c r="Y421" s="70" t="n"/>
    </row>
    <row r="422">
      <c r="A422" s="82" t="n"/>
      <c r="B422" s="83" t="n"/>
      <c r="C422" s="76" t="inlineStr">
        <is>
          <t>R6</t>
        </is>
      </c>
      <c r="D422" s="78" t="inlineStr">
        <is>
          <t>NG</t>
        </is>
      </c>
      <c r="E422" s="76" t="inlineStr">
        <is>
          <t>N1</t>
        </is>
      </c>
      <c r="F422" s="84" t="n"/>
      <c r="G422" s="75" t="n">
        <v>7.47</v>
      </c>
      <c r="H422" s="85" t="n"/>
      <c r="I422" s="86" t="n"/>
      <c r="J422" s="67">
        <f>VLOOKUP(C422,Recipes!$A$2:$N$4,10,FALSE())</f>
        <v/>
      </c>
      <c r="K422" s="68">
        <f>VLOOKUP(C422,Recipes!$A$2:$N$4,12,FALSE())</f>
        <v/>
      </c>
      <c r="L422" s="67">
        <f>J422-3.5*K422</f>
        <v/>
      </c>
      <c r="M422" s="67">
        <f>J422+3.5*K422</f>
        <v/>
      </c>
      <c r="N422" s="61">
        <f>IF(G422="","",IF(AND(G422&gt;=L422,G422&lt;=M422),"OK","NG"))</f>
        <v/>
      </c>
      <c r="O422" s="69">
        <f>IF(N422="","",IF(N422=D422,1,0))</f>
        <v/>
      </c>
      <c r="P422" s="67">
        <f>IF(G422="","",J422-G422)</f>
        <v/>
      </c>
      <c r="Q422" s="67">
        <f>IF(G422="","",ABS(P422-Components!$D$2))</f>
        <v/>
      </c>
      <c r="R422" s="67">
        <f>IF(G422="","",ABS(P422-Components!$D$3))</f>
        <v/>
      </c>
      <c r="S422" s="67">
        <f>IF(G422="","",ABS(P422-Components!$D$4))</f>
        <v/>
      </c>
      <c r="T422" s="67">
        <f>IF(G422="","",ABS(P422-Components!$D$5))</f>
        <v/>
      </c>
      <c r="U422" s="67">
        <f>IF(G422="","",ABS(P422-Components!$D$6))</f>
        <v/>
      </c>
      <c r="V422" s="67">
        <f>IF(G422="","",ABS(P422-Components!$D$7))</f>
        <v/>
      </c>
      <c r="W422" s="61">
        <f>IF(G422="","",IF(N422="OK","NONE",INDEX({"S1","S2","W1","W2","N1","N2"},MATCH(MIN(Q422:V422),Q422:V422,0))))</f>
        <v/>
      </c>
      <c r="X422" s="69">
        <f>IF(G422="","",IF(W422=E422,1,0))</f>
        <v/>
      </c>
      <c r="Y422" s="70" t="n"/>
    </row>
    <row r="423">
      <c r="A423" s="5" t="n"/>
      <c r="B423" s="16" t="n"/>
      <c r="C423" s="5" t="n"/>
      <c r="D423" s="5" t="n"/>
      <c r="E423" s="5" t="n"/>
      <c r="F423" s="5" t="n"/>
      <c r="G423" s="17" t="n"/>
      <c r="H423" s="18" t="n"/>
      <c r="I423" s="19" t="n"/>
      <c r="J423" s="13" t="n"/>
      <c r="K423" s="13" t="n"/>
      <c r="L423" s="7" t="n"/>
      <c r="M423" s="7" t="n"/>
      <c r="N423" s="5" t="n"/>
      <c r="O423" s="5" t="n"/>
      <c r="P423" s="7" t="n"/>
      <c r="Q423" s="6" t="n"/>
      <c r="R423" s="6" t="n"/>
      <c r="S423" s="6" t="n"/>
      <c r="T423" s="6" t="n"/>
      <c r="U423" s="6" t="n"/>
      <c r="V423" s="6" t="n"/>
      <c r="W423" s="5" t="n"/>
      <c r="X423" s="5" t="n"/>
    </row>
    <row r="424">
      <c r="A424" s="5" t="n"/>
      <c r="B424" s="16" t="n"/>
      <c r="C424" s="5" t="n"/>
      <c r="D424" s="5" t="n"/>
      <c r="E424" s="5" t="n"/>
      <c r="F424" s="5" t="n"/>
      <c r="G424" s="17" t="n"/>
      <c r="H424" s="18" t="n"/>
      <c r="I424" s="19" t="n"/>
      <c r="J424" s="13" t="n"/>
      <c r="K424" s="13" t="n"/>
      <c r="L424" s="7" t="n"/>
      <c r="M424" s="7" t="n"/>
      <c r="N424" s="5" t="n"/>
      <c r="O424" s="5" t="n"/>
      <c r="P424" s="7" t="n"/>
      <c r="Q424" s="6" t="n"/>
      <c r="R424" s="6" t="n"/>
      <c r="S424" s="6" t="n"/>
      <c r="T424" s="6" t="n"/>
      <c r="U424" s="6" t="n"/>
      <c r="V424" s="6" t="n"/>
      <c r="W424" s="5" t="n"/>
      <c r="X424" s="5" t="n"/>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2:Y424"/>
  <sheetViews>
    <sheetView zoomScale="118" zoomScaleNormal="84" workbookViewId="0">
      <pane ySplit="2" topLeftCell="A3" activePane="bottomLeft" state="frozen"/>
      <selection pane="bottomLeft" activeCell="A2" sqref="A2"/>
    </sheetView>
  </sheetViews>
  <sheetFormatPr baseColWidth="8" defaultColWidth="8.7109375" defaultRowHeight="15"/>
  <cols>
    <col width="8" customWidth="1" style="180" min="1" max="1"/>
    <col width="17" customWidth="1" style="180" min="2" max="2"/>
    <col width="8" customWidth="1" style="180" min="3" max="3"/>
    <col width="11" customWidth="1" style="180" min="4" max="4"/>
    <col width="19" customWidth="1" style="180" min="5" max="5"/>
    <col width="8" customWidth="1" style="180" min="6" max="6"/>
    <col width="19" customWidth="1" style="180" min="7" max="7"/>
    <col width="11" customWidth="1" style="180" min="8" max="8"/>
    <col width="8" customWidth="1" style="180" min="9" max="9"/>
    <col width="17" customWidth="1" style="180" min="10" max="10"/>
    <col width="14" customWidth="1" style="180" min="11" max="11"/>
    <col width="13" customWidth="1" style="180" min="12" max="13"/>
    <col width="17" customWidth="1" style="180" min="14" max="14"/>
    <col width="12" customWidth="1" style="180" min="15" max="15"/>
    <col width="19" customWidth="1" style="180" min="16" max="16"/>
    <col width="10" customWidth="1" style="180" min="17" max="22"/>
    <col width="19" customWidth="1" style="180" min="23" max="23"/>
    <col width="12" customWidth="1" style="180" min="24" max="25"/>
  </cols>
  <sheetData>
    <row r="2" ht="30" customHeight="1" s="180">
      <c r="A2" s="60" t="inlineStr">
        <is>
          <t>run_id</t>
        </is>
      </c>
      <c r="B2" s="60" t="inlineStr">
        <is>
          <t>execution_order</t>
        </is>
      </c>
      <c r="C2" s="60" t="inlineStr">
        <is>
          <t>recipe</t>
        </is>
      </c>
      <c r="D2" s="60" t="inlineStr">
        <is>
          <t>condition</t>
        </is>
      </c>
      <c r="E2" s="60" t="inlineStr">
        <is>
          <t>missing_component</t>
        </is>
      </c>
      <c r="F2" s="60" t="inlineStr">
        <is>
          <t>kit_id</t>
        </is>
      </c>
      <c r="G2" s="60" t="inlineStr">
        <is>
          <t>measured_weight_g</t>
        </is>
      </c>
      <c r="H2" s="60" t="inlineStr">
        <is>
          <t>timestamp</t>
        </is>
      </c>
      <c r="I2" s="60" t="inlineStr">
        <is>
          <t>notes</t>
        </is>
      </c>
      <c r="J2" s="60" t="inlineStr">
        <is>
          <t>expected_weight</t>
        </is>
      </c>
      <c r="K2" s="60" t="inlineStr">
        <is>
          <t>expected_std</t>
        </is>
      </c>
      <c r="L2" s="60" t="inlineStr">
        <is>
          <t>lower_bound</t>
        </is>
      </c>
      <c r="M2" s="60" t="inlineStr">
        <is>
          <t>upper_bound</t>
        </is>
      </c>
      <c r="N2" s="60" t="inlineStr">
        <is>
          <t>predicted_OK_NG</t>
        </is>
      </c>
      <c r="O2" s="60" t="inlineStr">
        <is>
          <t>L1_correct</t>
        </is>
      </c>
      <c r="P2" s="60" t="inlineStr">
        <is>
          <t>deficit</t>
        </is>
      </c>
      <c r="Q2" s="60" t="inlineStr">
        <is>
          <t>match_S1</t>
        </is>
      </c>
      <c r="R2" s="60" t="inlineStr">
        <is>
          <t>match_S2</t>
        </is>
      </c>
      <c r="S2" s="60" t="inlineStr">
        <is>
          <t>match_W1</t>
        </is>
      </c>
      <c r="T2" s="60" t="inlineStr">
        <is>
          <t>match_W2</t>
        </is>
      </c>
      <c r="U2" s="60" t="inlineStr">
        <is>
          <t>match_N1</t>
        </is>
      </c>
      <c r="V2" s="60" t="inlineStr">
        <is>
          <t>match_N2</t>
        </is>
      </c>
      <c r="W2" s="60" t="inlineStr">
        <is>
          <t>predicted_missing</t>
        </is>
      </c>
      <c r="X2" s="60" t="inlineStr">
        <is>
          <t>L2_correct</t>
        </is>
      </c>
      <c r="Y2" s="60" t="inlineStr">
        <is>
          <t>15 errores</t>
        </is>
      </c>
    </row>
    <row r="3">
      <c r="A3" s="61" t="n">
        <v>1</v>
      </c>
      <c r="B3" s="62" t="n">
        <v>31</v>
      </c>
      <c r="C3" s="61" t="inlineStr">
        <is>
          <t>R3</t>
        </is>
      </c>
      <c r="D3" s="63" t="inlineStr">
        <is>
          <t>OK</t>
        </is>
      </c>
      <c r="E3" s="61" t="inlineStr">
        <is>
          <t>NONE</t>
        </is>
      </c>
      <c r="F3" s="61" t="inlineStr">
        <is>
          <t>K001</t>
        </is>
      </c>
      <c r="G3" s="64" t="n">
        <v>9.91</v>
      </c>
      <c r="H3" s="65" t="n"/>
      <c r="I3" s="66" t="n"/>
      <c r="J3" s="67">
        <f>VLOOKUP(C3,Recipes!$A$2:$N$4,10,FALSE())</f>
        <v/>
      </c>
      <c r="K3" s="68">
        <f>VLOOKUP(C3,Recipes!$A$2:$N$4,12,FALSE())</f>
        <v/>
      </c>
      <c r="L3" s="67">
        <f>J3-6*K3</f>
        <v/>
      </c>
      <c r="M3" s="67">
        <f>J3+6*K3</f>
        <v/>
      </c>
      <c r="N3" s="61">
        <f>IF(G3="","",IF(AND(G3&gt;=L3,G3&lt;=M3),"OK","NG"))</f>
        <v/>
      </c>
      <c r="O3" s="69">
        <f>IF(N3="","",IF(N3=D3,1,0))</f>
        <v/>
      </c>
      <c r="P3" s="67">
        <f>IF(G3="","",J3-G3)</f>
        <v/>
      </c>
      <c r="Q3" s="67">
        <f>IF(G3="","",ABS(P3-Components!$D$2))</f>
        <v/>
      </c>
      <c r="R3" s="67">
        <f>IF(G3="","",ABS(P3-Components!$D$3))</f>
        <v/>
      </c>
      <c r="S3" s="67">
        <f>IF(G3="","",ABS(P3-Components!$D$4))</f>
        <v/>
      </c>
      <c r="T3" s="67">
        <f>IF(G3="","",ABS(P3-Components!$D$5))</f>
        <v/>
      </c>
      <c r="U3" s="67">
        <f>IF(G3="","",ABS(P3-Components!$D$6))</f>
        <v/>
      </c>
      <c r="V3" s="67">
        <f>IF(G3="","",ABS(P3-Components!$D$7))</f>
        <v/>
      </c>
      <c r="W3" s="61">
        <f>IF(G3="","",IF(N3="OK","NONE",INDEX({"S1","S2","W1","W2","N1","N2"},MATCH(MIN(Q3:V3),Q3:V3,0))))</f>
        <v/>
      </c>
      <c r="X3" s="69">
        <f>IF(G3="","",IF(W3=E3,1,0))</f>
        <v/>
      </c>
      <c r="Y3" s="70" t="n"/>
    </row>
    <row r="4">
      <c r="A4" s="61" t="n">
        <v>2</v>
      </c>
      <c r="B4" s="62" t="n">
        <v>24</v>
      </c>
      <c r="C4" s="61" t="inlineStr">
        <is>
          <t>R3</t>
        </is>
      </c>
      <c r="D4" s="63" t="inlineStr">
        <is>
          <t>OK</t>
        </is>
      </c>
      <c r="E4" s="61" t="inlineStr">
        <is>
          <t>NONE</t>
        </is>
      </c>
      <c r="F4" s="61" t="inlineStr">
        <is>
          <t>K002</t>
        </is>
      </c>
      <c r="G4" s="64" t="n">
        <v>10</v>
      </c>
      <c r="H4" s="65" t="n"/>
      <c r="I4" s="66" t="n"/>
      <c r="J4" s="67">
        <f>VLOOKUP(C4,Recipes!$A$2:$N$4,10,FALSE())</f>
        <v/>
      </c>
      <c r="K4" s="68">
        <f>VLOOKUP(C4,Recipes!$A$2:$N$4,12,FALSE())</f>
        <v/>
      </c>
      <c r="L4" s="67">
        <f>J4-6*K4</f>
        <v/>
      </c>
      <c r="M4" s="67">
        <f>J4+6*K4</f>
        <v/>
      </c>
      <c r="N4" s="61">
        <f>IF(G4="","",IF(AND(G4&gt;=L4,G4&lt;=M4),"OK","NG"))</f>
        <v/>
      </c>
      <c r="O4" s="69">
        <f>IF(N4="","",IF(N4=D4,1,0))</f>
        <v/>
      </c>
      <c r="P4" s="67">
        <f>IF(G4="","",J4-G4)</f>
        <v/>
      </c>
      <c r="Q4" s="67">
        <f>IF(G4="","",ABS(P4-Components!$D$2))</f>
        <v/>
      </c>
      <c r="R4" s="67">
        <f>IF(G4="","",ABS(P4-Components!$D$3))</f>
        <v/>
      </c>
      <c r="S4" s="67">
        <f>IF(G4="","",ABS(P4-Components!$D$4))</f>
        <v/>
      </c>
      <c r="T4" s="67">
        <f>IF(G4="","",ABS(P4-Components!$D$5))</f>
        <v/>
      </c>
      <c r="U4" s="67">
        <f>IF(G4="","",ABS(P4-Components!$D$6))</f>
        <v/>
      </c>
      <c r="V4" s="67">
        <f>IF(G4="","",ABS(P4-Components!$D$7))</f>
        <v/>
      </c>
      <c r="W4" s="61">
        <f>IF(G4="","",IF(N4="OK","NONE",INDEX({"S1","S2","W1","W2","N1","N2"},MATCH(MIN(Q4:V4),Q4:V4,0))))</f>
        <v/>
      </c>
      <c r="X4" s="69">
        <f>IF(G4="","",IF(W4=E4,1,0))</f>
        <v/>
      </c>
      <c r="Y4" s="70" t="n"/>
    </row>
    <row r="5">
      <c r="A5" s="61" t="n">
        <v>3</v>
      </c>
      <c r="B5" s="62" t="n">
        <v>50</v>
      </c>
      <c r="C5" s="61" t="inlineStr">
        <is>
          <t>R3</t>
        </is>
      </c>
      <c r="D5" s="63" t="inlineStr">
        <is>
          <t>OK</t>
        </is>
      </c>
      <c r="E5" s="61" t="inlineStr">
        <is>
          <t>NONE</t>
        </is>
      </c>
      <c r="F5" s="61" t="inlineStr">
        <is>
          <t>K003</t>
        </is>
      </c>
      <c r="G5" s="64" t="n">
        <v>10</v>
      </c>
      <c r="H5" s="65" t="n"/>
      <c r="I5" s="66" t="n"/>
      <c r="J5" s="67">
        <f>VLOOKUP(C5,Recipes!$A$2:$N$4,10,FALSE())</f>
        <v/>
      </c>
      <c r="K5" s="68">
        <f>VLOOKUP(C5,Recipes!$A$2:$N$4,12,FALSE())</f>
        <v/>
      </c>
      <c r="L5" s="67">
        <f>J5-6*K5</f>
        <v/>
      </c>
      <c r="M5" s="67">
        <f>J5+6*K5</f>
        <v/>
      </c>
      <c r="N5" s="61">
        <f>IF(G5="","",IF(AND(G5&gt;=L5,G5&lt;=M5),"OK","NG"))</f>
        <v/>
      </c>
      <c r="O5" s="69">
        <f>IF(N5="","",IF(N5=D5,1,0))</f>
        <v/>
      </c>
      <c r="P5" s="67">
        <f>IF(G5="","",J5-G5)</f>
        <v/>
      </c>
      <c r="Q5" s="67">
        <f>IF(G5="","",ABS(P5-Components!$D$2))</f>
        <v/>
      </c>
      <c r="R5" s="67">
        <f>IF(G5="","",ABS(P5-Components!$D$3))</f>
        <v/>
      </c>
      <c r="S5" s="67">
        <f>IF(G5="","",ABS(P5-Components!$D$4))</f>
        <v/>
      </c>
      <c r="T5" s="67">
        <f>IF(G5="","",ABS(P5-Components!$D$5))</f>
        <v/>
      </c>
      <c r="U5" s="67">
        <f>IF(G5="","",ABS(P5-Components!$D$6))</f>
        <v/>
      </c>
      <c r="V5" s="67">
        <f>IF(G5="","",ABS(P5-Components!$D$7))</f>
        <v/>
      </c>
      <c r="W5" s="61">
        <f>IF(G5="","",IF(N5="OK","NONE",INDEX({"S1","S2","W1","W2","N1","N2"},MATCH(MIN(Q5:V5),Q5:V5,0))))</f>
        <v/>
      </c>
      <c r="X5" s="69">
        <f>IF(G5="","",IF(W5=E5,1,0))</f>
        <v/>
      </c>
      <c r="Y5" s="70" t="n"/>
    </row>
    <row r="6">
      <c r="A6" s="61" t="n">
        <v>4</v>
      </c>
      <c r="B6" s="62" t="n">
        <v>12</v>
      </c>
      <c r="C6" s="61" t="inlineStr">
        <is>
          <t>R3</t>
        </is>
      </c>
      <c r="D6" s="63" t="inlineStr">
        <is>
          <t>OK</t>
        </is>
      </c>
      <c r="E6" s="61" t="inlineStr">
        <is>
          <t>NONE</t>
        </is>
      </c>
      <c r="F6" s="61" t="inlineStr">
        <is>
          <t>K004</t>
        </is>
      </c>
      <c r="G6" s="64" t="n">
        <v>9.91</v>
      </c>
      <c r="H6" s="65" t="n"/>
      <c r="I6" s="66" t="n"/>
      <c r="J6" s="67">
        <f>VLOOKUP(C6,Recipes!$A$2:$N$4,10,FALSE())</f>
        <v/>
      </c>
      <c r="K6" s="68">
        <f>VLOOKUP(C6,Recipes!$A$2:$N$4,12,FALSE())</f>
        <v/>
      </c>
      <c r="L6" s="67">
        <f>J6-6*K6</f>
        <v/>
      </c>
      <c r="M6" s="67">
        <f>J6+6*K6</f>
        <v/>
      </c>
      <c r="N6" s="61">
        <f>IF(G6="","",IF(AND(G6&gt;=L6,G6&lt;=M6),"OK","NG"))</f>
        <v/>
      </c>
      <c r="O6" s="69">
        <f>IF(N6="","",IF(N6=D6,1,0))</f>
        <v/>
      </c>
      <c r="P6" s="67">
        <f>IF(G6="","",J6-G6)</f>
        <v/>
      </c>
      <c r="Q6" s="67">
        <f>IF(G6="","",ABS(P6-Components!$D$2))</f>
        <v/>
      </c>
      <c r="R6" s="67">
        <f>IF(G6="","",ABS(P6-Components!$D$3))</f>
        <v/>
      </c>
      <c r="S6" s="67">
        <f>IF(G6="","",ABS(P6-Components!$D$4))</f>
        <v/>
      </c>
      <c r="T6" s="67">
        <f>IF(G6="","",ABS(P6-Components!$D$5))</f>
        <v/>
      </c>
      <c r="U6" s="67">
        <f>IF(G6="","",ABS(P6-Components!$D$6))</f>
        <v/>
      </c>
      <c r="V6" s="67">
        <f>IF(G6="","",ABS(P6-Components!$D$7))</f>
        <v/>
      </c>
      <c r="W6" s="61">
        <f>IF(G6="","",IF(N6="OK","NONE",INDEX({"S1","S2","W1","W2","N1","N2"},MATCH(MIN(Q6:V6),Q6:V6,0))))</f>
        <v/>
      </c>
      <c r="X6" s="69">
        <f>IF(G6="","",IF(W6=E6,1,0))</f>
        <v/>
      </c>
      <c r="Y6" s="70" t="n"/>
    </row>
    <row r="7">
      <c r="A7" s="61" t="n">
        <v>5</v>
      </c>
      <c r="B7" s="62" t="n">
        <v>17</v>
      </c>
      <c r="C7" s="61" t="inlineStr">
        <is>
          <t>R3</t>
        </is>
      </c>
      <c r="D7" s="63" t="inlineStr">
        <is>
          <t>OK</t>
        </is>
      </c>
      <c r="E7" s="61" t="inlineStr">
        <is>
          <t>NONE</t>
        </is>
      </c>
      <c r="F7" s="61" t="inlineStr">
        <is>
          <t>K005</t>
        </is>
      </c>
      <c r="G7" s="64" t="n">
        <v>10.04</v>
      </c>
      <c r="H7" s="65" t="n"/>
      <c r="I7" s="66" t="n"/>
      <c r="J7" s="67">
        <f>VLOOKUP(C7,Recipes!$A$2:$N$4,10,FALSE())</f>
        <v/>
      </c>
      <c r="K7" s="68">
        <f>VLOOKUP(C7,Recipes!$A$2:$N$4,12,FALSE())</f>
        <v/>
      </c>
      <c r="L7" s="67">
        <f>J7-6*K7</f>
        <v/>
      </c>
      <c r="M7" s="67">
        <f>J7+6*K7</f>
        <v/>
      </c>
      <c r="N7" s="61">
        <f>IF(G7="","",IF(AND(G7&gt;=L7,G7&lt;=M7),"OK","NG"))</f>
        <v/>
      </c>
      <c r="O7" s="69">
        <f>IF(N7="","",IF(N7=D7,1,0))</f>
        <v/>
      </c>
      <c r="P7" s="67">
        <f>IF(G7="","",J7-G7)</f>
        <v/>
      </c>
      <c r="Q7" s="67">
        <f>IF(G7="","",ABS(P7-Components!$D$2))</f>
        <v/>
      </c>
      <c r="R7" s="67">
        <f>IF(G7="","",ABS(P7-Components!$D$3))</f>
        <v/>
      </c>
      <c r="S7" s="67">
        <f>IF(G7="","",ABS(P7-Components!$D$4))</f>
        <v/>
      </c>
      <c r="T7" s="67">
        <f>IF(G7="","",ABS(P7-Components!$D$5))</f>
        <v/>
      </c>
      <c r="U7" s="67">
        <f>IF(G7="","",ABS(P7-Components!$D$6))</f>
        <v/>
      </c>
      <c r="V7" s="67">
        <f>IF(G7="","",ABS(P7-Components!$D$7))</f>
        <v/>
      </c>
      <c r="W7" s="61">
        <f>IF(G7="","",IF(N7="OK","NONE",INDEX({"S1","S2","W1","W2","N1","N2"},MATCH(MIN(Q7:V7),Q7:V7,0))))</f>
        <v/>
      </c>
      <c r="X7" s="69">
        <f>IF(G7="","",IF(W7=E7,1,0))</f>
        <v/>
      </c>
      <c r="Y7" s="70" t="n"/>
    </row>
    <row r="8">
      <c r="A8" s="61" t="n">
        <v>5</v>
      </c>
      <c r="B8" s="62" t="n">
        <v>17</v>
      </c>
      <c r="C8" s="61" t="inlineStr">
        <is>
          <t>R3</t>
        </is>
      </c>
      <c r="D8" s="63" t="inlineStr">
        <is>
          <t>OK</t>
        </is>
      </c>
      <c r="E8" s="61" t="inlineStr">
        <is>
          <t>NONE</t>
        </is>
      </c>
      <c r="F8" s="61" t="inlineStr">
        <is>
          <t>K005</t>
        </is>
      </c>
      <c r="G8" s="64" t="n">
        <v>9.84</v>
      </c>
      <c r="H8" s="65" t="n"/>
      <c r="I8" s="66" t="n"/>
      <c r="J8" s="67">
        <f>VLOOKUP(C8,Recipes!$A$2:$N$4,10,FALSE())</f>
        <v/>
      </c>
      <c r="K8" s="68">
        <f>VLOOKUP(C8,Recipes!$A$2:$N$4,12,FALSE())</f>
        <v/>
      </c>
      <c r="L8" s="67">
        <f>J8-6*K8</f>
        <v/>
      </c>
      <c r="M8" s="67">
        <f>J8+6*K8</f>
        <v/>
      </c>
      <c r="N8" s="61">
        <f>IF(G8="","",IF(AND(G8&gt;=L8,G8&lt;=M8),"OK","NG"))</f>
        <v/>
      </c>
      <c r="O8" s="69">
        <f>IF(N8="","",IF(N8=D8,1,0))</f>
        <v/>
      </c>
      <c r="P8" s="67">
        <f>IF(G8="","",J8-G8)</f>
        <v/>
      </c>
      <c r="Q8" s="67">
        <f>IF(G8="","",ABS(P8-Components!$D$2))</f>
        <v/>
      </c>
      <c r="R8" s="67">
        <f>IF(G8="","",ABS(P8-Components!$D$3))</f>
        <v/>
      </c>
      <c r="S8" s="67">
        <f>IF(G8="","",ABS(P8-Components!$D$4))</f>
        <v/>
      </c>
      <c r="T8" s="67">
        <f>IF(G8="","",ABS(P8-Components!$D$5))</f>
        <v/>
      </c>
      <c r="U8" s="67">
        <f>IF(G8="","",ABS(P8-Components!$D$6))</f>
        <v/>
      </c>
      <c r="V8" s="67">
        <f>IF(G8="","",ABS(P8-Components!$D$7))</f>
        <v/>
      </c>
      <c r="W8" s="61">
        <f>IF(G8="","",IF(N8="OK","NONE",INDEX({"S1","S2","W1","W2","N1","N2"},MATCH(MIN(Q8:V8),Q8:V8,0))))</f>
        <v/>
      </c>
      <c r="X8" s="69">
        <f>IF(G8="","",IF(W8=E8,1,0))</f>
        <v/>
      </c>
      <c r="Y8" s="70" t="n"/>
    </row>
    <row r="9">
      <c r="A9" s="61" t="n">
        <v>5</v>
      </c>
      <c r="B9" s="62" t="n">
        <v>17</v>
      </c>
      <c r="C9" s="61" t="inlineStr">
        <is>
          <t>R3</t>
        </is>
      </c>
      <c r="D9" s="63" t="inlineStr">
        <is>
          <t>OK</t>
        </is>
      </c>
      <c r="E9" s="61" t="inlineStr">
        <is>
          <t>NONE</t>
        </is>
      </c>
      <c r="F9" s="61" t="inlineStr">
        <is>
          <t>K005</t>
        </is>
      </c>
      <c r="G9" s="64" t="n">
        <v>9.9</v>
      </c>
      <c r="H9" s="65" t="n"/>
      <c r="I9" s="66" t="n"/>
      <c r="J9" s="67">
        <f>VLOOKUP(C9,Recipes!$A$2:$N$4,10,FALSE())</f>
        <v/>
      </c>
      <c r="K9" s="68">
        <f>VLOOKUP(C9,Recipes!$A$2:$N$4,12,FALSE())</f>
        <v/>
      </c>
      <c r="L9" s="67">
        <f>J9-6*K9</f>
        <v/>
      </c>
      <c r="M9" s="67">
        <f>J9+6*K9</f>
        <v/>
      </c>
      <c r="N9" s="61">
        <f>IF(G9="","",IF(AND(G9&gt;=L9,G9&lt;=M9),"OK","NG"))</f>
        <v/>
      </c>
      <c r="O9" s="69">
        <f>IF(N9="","",IF(N9=D9,1,0))</f>
        <v/>
      </c>
      <c r="P9" s="67">
        <f>IF(G9="","",J9-G9)</f>
        <v/>
      </c>
      <c r="Q9" s="67">
        <f>IF(G9="","",ABS(P9-Components!$D$2))</f>
        <v/>
      </c>
      <c r="R9" s="67">
        <f>IF(G9="","",ABS(P9-Components!$D$3))</f>
        <v/>
      </c>
      <c r="S9" s="67">
        <f>IF(G9="","",ABS(P9-Components!$D$4))</f>
        <v/>
      </c>
      <c r="T9" s="67">
        <f>IF(G9="","",ABS(P9-Components!$D$5))</f>
        <v/>
      </c>
      <c r="U9" s="67">
        <f>IF(G9="","",ABS(P9-Components!$D$6))</f>
        <v/>
      </c>
      <c r="V9" s="67">
        <f>IF(G9="","",ABS(P9-Components!$D$7))</f>
        <v/>
      </c>
      <c r="W9" s="61">
        <f>IF(G9="","",IF(N9="OK","NONE",INDEX({"S1","S2","W1","W2","N1","N2"},MATCH(MIN(Q9:V9),Q9:V9,0))))</f>
        <v/>
      </c>
      <c r="X9" s="69">
        <f>IF(G9="","",IF(W9=E9,1,0))</f>
        <v/>
      </c>
      <c r="Y9" s="70" t="n"/>
    </row>
    <row r="10">
      <c r="A10" s="61" t="n">
        <v>5</v>
      </c>
      <c r="B10" s="62" t="n">
        <v>17</v>
      </c>
      <c r="C10" s="61" t="inlineStr">
        <is>
          <t>R3</t>
        </is>
      </c>
      <c r="D10" s="63" t="inlineStr">
        <is>
          <t>OK</t>
        </is>
      </c>
      <c r="E10" s="61" t="inlineStr">
        <is>
          <t>NONE</t>
        </is>
      </c>
      <c r="F10" s="61" t="inlineStr">
        <is>
          <t>K005</t>
        </is>
      </c>
      <c r="G10" s="64" t="n">
        <v>9.92</v>
      </c>
      <c r="H10" s="65" t="n"/>
      <c r="I10" s="66" t="n"/>
      <c r="J10" s="67">
        <f>VLOOKUP(C10,Recipes!$A$2:$N$4,10,FALSE())</f>
        <v/>
      </c>
      <c r="K10" s="68">
        <f>VLOOKUP(C10,Recipes!$A$2:$N$4,12,FALSE())</f>
        <v/>
      </c>
      <c r="L10" s="67">
        <f>J10-6*K10</f>
        <v/>
      </c>
      <c r="M10" s="67">
        <f>J10+6*K10</f>
        <v/>
      </c>
      <c r="N10" s="61">
        <f>IF(G10="","",IF(AND(G10&gt;=L10,G10&lt;=M10),"OK","NG"))</f>
        <v/>
      </c>
      <c r="O10" s="69">
        <f>IF(N10="","",IF(N10=D10,1,0))</f>
        <v/>
      </c>
      <c r="P10" s="67">
        <f>IF(G10="","",J10-G10)</f>
        <v/>
      </c>
      <c r="Q10" s="67">
        <f>IF(G10="","",ABS(P10-Components!$D$2))</f>
        <v/>
      </c>
      <c r="R10" s="67">
        <f>IF(G10="","",ABS(P10-Components!$D$3))</f>
        <v/>
      </c>
      <c r="S10" s="67">
        <f>IF(G10="","",ABS(P10-Components!$D$4))</f>
        <v/>
      </c>
      <c r="T10" s="67">
        <f>IF(G10="","",ABS(P10-Components!$D$5))</f>
        <v/>
      </c>
      <c r="U10" s="67">
        <f>IF(G10="","",ABS(P10-Components!$D$6))</f>
        <v/>
      </c>
      <c r="V10" s="67">
        <f>IF(G10="","",ABS(P10-Components!$D$7))</f>
        <v/>
      </c>
      <c r="W10" s="61">
        <f>IF(G10="","",IF(N10="OK","NONE",INDEX({"S1","S2","W1","W2","N1","N2"},MATCH(MIN(Q10:V10),Q10:V10,0))))</f>
        <v/>
      </c>
      <c r="X10" s="69">
        <f>IF(G10="","",IF(W10=E10,1,0))</f>
        <v/>
      </c>
      <c r="Y10" s="70" t="n"/>
    </row>
    <row r="11">
      <c r="A11" s="61" t="n">
        <v>5</v>
      </c>
      <c r="B11" s="62" t="n">
        <v>17</v>
      </c>
      <c r="C11" s="61" t="inlineStr">
        <is>
          <t>R3</t>
        </is>
      </c>
      <c r="D11" s="63" t="inlineStr">
        <is>
          <t>OK</t>
        </is>
      </c>
      <c r="E11" s="61" t="inlineStr">
        <is>
          <t>NONE</t>
        </is>
      </c>
      <c r="F11" s="61" t="inlineStr">
        <is>
          <t>K005</t>
        </is>
      </c>
      <c r="G11" s="64" t="n">
        <v>9.949999999999999</v>
      </c>
      <c r="H11" s="65" t="n"/>
      <c r="I11" s="66" t="n"/>
      <c r="J11" s="67">
        <f>VLOOKUP(C11,Recipes!$A$2:$N$4,10,FALSE())</f>
        <v/>
      </c>
      <c r="K11" s="68">
        <f>VLOOKUP(C11,Recipes!$A$2:$N$4,12,FALSE())</f>
        <v/>
      </c>
      <c r="L11" s="67">
        <f>J11-6*K11</f>
        <v/>
      </c>
      <c r="M11" s="67">
        <f>J11+6*K11</f>
        <v/>
      </c>
      <c r="N11" s="61">
        <f>IF(G11="","",IF(AND(G11&gt;=L11,G11&lt;=M11),"OK","NG"))</f>
        <v/>
      </c>
      <c r="O11" s="69">
        <f>IF(N11="","",IF(N11=D11,1,0))</f>
        <v/>
      </c>
      <c r="P11" s="67">
        <f>IF(G11="","",J11-G11)</f>
        <v/>
      </c>
      <c r="Q11" s="67">
        <f>IF(G11="","",ABS(P11-Components!$D$2))</f>
        <v/>
      </c>
      <c r="R11" s="67">
        <f>IF(G11="","",ABS(P11-Components!$D$3))</f>
        <v/>
      </c>
      <c r="S11" s="67">
        <f>IF(G11="","",ABS(P11-Components!$D$4))</f>
        <v/>
      </c>
      <c r="T11" s="67">
        <f>IF(G11="","",ABS(P11-Components!$D$5))</f>
        <v/>
      </c>
      <c r="U11" s="67">
        <f>IF(G11="","",ABS(P11-Components!$D$6))</f>
        <v/>
      </c>
      <c r="V11" s="67">
        <f>IF(G11="","",ABS(P11-Components!$D$7))</f>
        <v/>
      </c>
      <c r="W11" s="61">
        <f>IF(G11="","",IF(N11="OK","NONE",INDEX({"S1","S2","W1","W2","N1","N2"},MATCH(MIN(Q11:V11),Q11:V11,0))))</f>
        <v/>
      </c>
      <c r="X11" s="69">
        <f>IF(G11="","",IF(W11=E11,1,0))</f>
        <v/>
      </c>
      <c r="Y11" s="70" t="n"/>
    </row>
    <row r="12">
      <c r="A12" s="61" t="n">
        <v>5</v>
      </c>
      <c r="B12" s="62" t="n">
        <v>17</v>
      </c>
      <c r="C12" s="61" t="inlineStr">
        <is>
          <t>R3</t>
        </is>
      </c>
      <c r="D12" s="63" t="inlineStr">
        <is>
          <t>OK</t>
        </is>
      </c>
      <c r="E12" s="61" t="inlineStr">
        <is>
          <t>NONE</t>
        </is>
      </c>
      <c r="F12" s="61" t="inlineStr">
        <is>
          <t>K005</t>
        </is>
      </c>
      <c r="G12" s="64" t="n">
        <v>9.869999999999999</v>
      </c>
      <c r="H12" s="65" t="n"/>
      <c r="I12" s="66" t="n"/>
      <c r="J12" s="67">
        <f>VLOOKUP(C12,Recipes!$A$2:$N$4,10,FALSE())</f>
        <v/>
      </c>
      <c r="K12" s="68">
        <f>VLOOKUP(C12,Recipes!$A$2:$N$4,12,FALSE())</f>
        <v/>
      </c>
      <c r="L12" s="67">
        <f>J12-6*K12</f>
        <v/>
      </c>
      <c r="M12" s="67">
        <f>J12+6*K12</f>
        <v/>
      </c>
      <c r="N12" s="61">
        <f>IF(G12="","",IF(AND(G12&gt;=L12,G12&lt;=M12),"OK","NG"))</f>
        <v/>
      </c>
      <c r="O12" s="69">
        <f>IF(N12="","",IF(N12=D12,1,0))</f>
        <v/>
      </c>
      <c r="P12" s="67">
        <f>IF(G12="","",J12-G12)</f>
        <v/>
      </c>
      <c r="Q12" s="67">
        <f>IF(G12="","",ABS(P12-Components!$D$2))</f>
        <v/>
      </c>
      <c r="R12" s="67">
        <f>IF(G12="","",ABS(P12-Components!$D$3))</f>
        <v/>
      </c>
      <c r="S12" s="67">
        <f>IF(G12="","",ABS(P12-Components!$D$4))</f>
        <v/>
      </c>
      <c r="T12" s="67">
        <f>IF(G12="","",ABS(P12-Components!$D$5))</f>
        <v/>
      </c>
      <c r="U12" s="67">
        <f>IF(G12="","",ABS(P12-Components!$D$6))</f>
        <v/>
      </c>
      <c r="V12" s="67">
        <f>IF(G12="","",ABS(P12-Components!$D$7))</f>
        <v/>
      </c>
      <c r="W12" s="61">
        <f>IF(G12="","",IF(N12="OK","NONE",INDEX({"S1","S2","W1","W2","N1","N2"},MATCH(MIN(Q12:V12),Q12:V12,0))))</f>
        <v/>
      </c>
      <c r="X12" s="69">
        <f>IF(G12="","",IF(W12=E12,1,0))</f>
        <v/>
      </c>
      <c r="Y12" s="70" t="n"/>
    </row>
    <row r="13">
      <c r="A13" s="61" t="n">
        <v>5</v>
      </c>
      <c r="B13" s="62" t="n">
        <v>17</v>
      </c>
      <c r="C13" s="61" t="inlineStr">
        <is>
          <t>R3</t>
        </is>
      </c>
      <c r="D13" s="63" t="inlineStr">
        <is>
          <t>OK</t>
        </is>
      </c>
      <c r="E13" s="61" t="inlineStr">
        <is>
          <t>NONE</t>
        </is>
      </c>
      <c r="F13" s="61" t="inlineStr">
        <is>
          <t>K005</t>
        </is>
      </c>
      <c r="G13" s="64" t="n">
        <v>9.880000000000001</v>
      </c>
      <c r="H13" s="65" t="n"/>
      <c r="I13" s="66" t="n"/>
      <c r="J13" s="67">
        <f>VLOOKUP(C13,Recipes!$A$2:$N$4,10,FALSE())</f>
        <v/>
      </c>
      <c r="K13" s="68">
        <f>VLOOKUP(C13,Recipes!$A$2:$N$4,12,FALSE())</f>
        <v/>
      </c>
      <c r="L13" s="67">
        <f>J13-6*K13</f>
        <v/>
      </c>
      <c r="M13" s="67">
        <f>J13+6*K13</f>
        <v/>
      </c>
      <c r="N13" s="61">
        <f>IF(G13="","",IF(AND(G13&gt;=L13,G13&lt;=M13),"OK","NG"))</f>
        <v/>
      </c>
      <c r="O13" s="69">
        <f>IF(N13="","",IF(N13=D13,1,0))</f>
        <v/>
      </c>
      <c r="P13" s="67">
        <f>IF(G13="","",J13-G13)</f>
        <v/>
      </c>
      <c r="Q13" s="67">
        <f>IF(G13="","",ABS(P13-Components!$D$2))</f>
        <v/>
      </c>
      <c r="R13" s="67">
        <f>IF(G13="","",ABS(P13-Components!$D$3))</f>
        <v/>
      </c>
      <c r="S13" s="67">
        <f>IF(G13="","",ABS(P13-Components!$D$4))</f>
        <v/>
      </c>
      <c r="T13" s="67">
        <f>IF(G13="","",ABS(P13-Components!$D$5))</f>
        <v/>
      </c>
      <c r="U13" s="67">
        <f>IF(G13="","",ABS(P13-Components!$D$6))</f>
        <v/>
      </c>
      <c r="V13" s="67">
        <f>IF(G13="","",ABS(P13-Components!$D$7))</f>
        <v/>
      </c>
      <c r="W13" s="61">
        <f>IF(G13="","",IF(N13="OK","NONE",INDEX({"S1","S2","W1","W2","N1","N2"},MATCH(MIN(Q13:V13),Q13:V13,0))))</f>
        <v/>
      </c>
      <c r="X13" s="69">
        <f>IF(G13="","",IF(W13=E13,1,0))</f>
        <v/>
      </c>
      <c r="Y13" s="70" t="n"/>
    </row>
    <row r="14">
      <c r="A14" s="61" t="n">
        <v>5</v>
      </c>
      <c r="B14" s="62" t="n">
        <v>17</v>
      </c>
      <c r="C14" s="61" t="inlineStr">
        <is>
          <t>R3</t>
        </is>
      </c>
      <c r="D14" s="63" t="inlineStr">
        <is>
          <t>OK</t>
        </is>
      </c>
      <c r="E14" s="61" t="inlineStr">
        <is>
          <t>NONE</t>
        </is>
      </c>
      <c r="F14" s="61" t="inlineStr">
        <is>
          <t>K005</t>
        </is>
      </c>
      <c r="G14" s="64" t="n">
        <v>9.91</v>
      </c>
      <c r="H14" s="65" t="n"/>
      <c r="I14" s="66" t="n"/>
      <c r="J14" s="67">
        <f>VLOOKUP(C14,Recipes!$A$2:$N$4,10,FALSE())</f>
        <v/>
      </c>
      <c r="K14" s="68">
        <f>VLOOKUP(C14,Recipes!$A$2:$N$4,12,FALSE())</f>
        <v/>
      </c>
      <c r="L14" s="67">
        <f>J14-6*K14</f>
        <v/>
      </c>
      <c r="M14" s="67">
        <f>J14+6*K14</f>
        <v/>
      </c>
      <c r="N14" s="61">
        <f>IF(G14="","",IF(AND(G14&gt;=L14,G14&lt;=M14),"OK","NG"))</f>
        <v/>
      </c>
      <c r="O14" s="69">
        <f>IF(N14="","",IF(N14=D14,1,0))</f>
        <v/>
      </c>
      <c r="P14" s="67">
        <f>IF(G14="","",J14-G14)</f>
        <v/>
      </c>
      <c r="Q14" s="67">
        <f>IF(G14="","",ABS(P14-Components!$D$2))</f>
        <v/>
      </c>
      <c r="R14" s="67">
        <f>IF(G14="","",ABS(P14-Components!$D$3))</f>
        <v/>
      </c>
      <c r="S14" s="67">
        <f>IF(G14="","",ABS(P14-Components!$D$4))</f>
        <v/>
      </c>
      <c r="T14" s="67">
        <f>IF(G14="","",ABS(P14-Components!$D$5))</f>
        <v/>
      </c>
      <c r="U14" s="67">
        <f>IF(G14="","",ABS(P14-Components!$D$6))</f>
        <v/>
      </c>
      <c r="V14" s="67">
        <f>IF(G14="","",ABS(P14-Components!$D$7))</f>
        <v/>
      </c>
      <c r="W14" s="61">
        <f>IF(G14="","",IF(N14="OK","NONE",INDEX({"S1","S2","W1","W2","N1","N2"},MATCH(MIN(Q14:V14),Q14:V14,0))))</f>
        <v/>
      </c>
      <c r="X14" s="69">
        <f>IF(G14="","",IF(W14=E14,1,0))</f>
        <v/>
      </c>
      <c r="Y14" s="70" t="n"/>
    </row>
    <row r="15">
      <c r="A15" s="61" t="n">
        <v>5</v>
      </c>
      <c r="B15" s="62" t="n">
        <v>17</v>
      </c>
      <c r="C15" s="61" t="inlineStr">
        <is>
          <t>R3</t>
        </is>
      </c>
      <c r="D15" s="63" t="inlineStr">
        <is>
          <t>OK</t>
        </is>
      </c>
      <c r="E15" s="61" t="inlineStr">
        <is>
          <t>NONE</t>
        </is>
      </c>
      <c r="F15" s="61" t="inlineStr">
        <is>
          <t>K005</t>
        </is>
      </c>
      <c r="G15" s="64" t="n">
        <v>9.9</v>
      </c>
      <c r="H15" s="65" t="n"/>
      <c r="I15" s="66" t="n"/>
      <c r="J15" s="67">
        <f>VLOOKUP(C15,Recipes!$A$2:$N$4,10,FALSE())</f>
        <v/>
      </c>
      <c r="K15" s="68">
        <f>VLOOKUP(C15,Recipes!$A$2:$N$4,12,FALSE())</f>
        <v/>
      </c>
      <c r="L15" s="67">
        <f>J15-6*K15</f>
        <v/>
      </c>
      <c r="M15" s="67">
        <f>J15+6*K15</f>
        <v/>
      </c>
      <c r="N15" s="61">
        <f>IF(G15="","",IF(AND(G15&gt;=L15,G15&lt;=M15),"OK","NG"))</f>
        <v/>
      </c>
      <c r="O15" s="69">
        <f>IF(N15="","",IF(N15=D15,1,0))</f>
        <v/>
      </c>
      <c r="P15" s="67">
        <f>IF(G15="","",J15-G15)</f>
        <v/>
      </c>
      <c r="Q15" s="67">
        <f>IF(G15="","",ABS(P15-Components!$D$2))</f>
        <v/>
      </c>
      <c r="R15" s="67">
        <f>IF(G15="","",ABS(P15-Components!$D$3))</f>
        <v/>
      </c>
      <c r="S15" s="67">
        <f>IF(G15="","",ABS(P15-Components!$D$4))</f>
        <v/>
      </c>
      <c r="T15" s="67">
        <f>IF(G15="","",ABS(P15-Components!$D$5))</f>
        <v/>
      </c>
      <c r="U15" s="67">
        <f>IF(G15="","",ABS(P15-Components!$D$6))</f>
        <v/>
      </c>
      <c r="V15" s="67">
        <f>IF(G15="","",ABS(P15-Components!$D$7))</f>
        <v/>
      </c>
      <c r="W15" s="61">
        <f>IF(G15="","",IF(N15="OK","NONE",INDEX({"S1","S2","W1","W2","N1","N2"},MATCH(MIN(Q15:V15),Q15:V15,0))))</f>
        <v/>
      </c>
      <c r="X15" s="69">
        <f>IF(G15="","",IF(W15=E15,1,0))</f>
        <v/>
      </c>
      <c r="Y15" s="70" t="n"/>
    </row>
    <row r="16">
      <c r="A16" s="61" t="n">
        <v>5</v>
      </c>
      <c r="B16" s="62" t="n">
        <v>17</v>
      </c>
      <c r="C16" s="61" t="inlineStr">
        <is>
          <t>R3</t>
        </is>
      </c>
      <c r="D16" s="63" t="inlineStr">
        <is>
          <t>OK</t>
        </is>
      </c>
      <c r="E16" s="61" t="inlineStr">
        <is>
          <t>NONE</t>
        </is>
      </c>
      <c r="F16" s="61" t="inlineStr">
        <is>
          <t>K005</t>
        </is>
      </c>
      <c r="G16" s="64" t="n">
        <v>9.92</v>
      </c>
      <c r="H16" s="65" t="n"/>
      <c r="I16" s="66" t="n"/>
      <c r="J16" s="67">
        <f>VLOOKUP(C16,Recipes!$A$2:$N$4,10,FALSE())</f>
        <v/>
      </c>
      <c r="K16" s="68">
        <f>VLOOKUP(C16,Recipes!$A$2:$N$4,12,FALSE())</f>
        <v/>
      </c>
      <c r="L16" s="67">
        <f>J16-6*K16</f>
        <v/>
      </c>
      <c r="M16" s="67">
        <f>J16+6*K16</f>
        <v/>
      </c>
      <c r="N16" s="61">
        <f>IF(G16="","",IF(AND(G16&gt;=L16,G16&lt;=M16),"OK","NG"))</f>
        <v/>
      </c>
      <c r="O16" s="69">
        <f>IF(N16="","",IF(N16=D16,1,0))</f>
        <v/>
      </c>
      <c r="P16" s="67">
        <f>IF(G16="","",J16-G16)</f>
        <v/>
      </c>
      <c r="Q16" s="67">
        <f>IF(G16="","",ABS(P16-Components!$D$2))</f>
        <v/>
      </c>
      <c r="R16" s="67">
        <f>IF(G16="","",ABS(P16-Components!$D$3))</f>
        <v/>
      </c>
      <c r="S16" s="67">
        <f>IF(G16="","",ABS(P16-Components!$D$4))</f>
        <v/>
      </c>
      <c r="T16" s="67">
        <f>IF(G16="","",ABS(P16-Components!$D$5))</f>
        <v/>
      </c>
      <c r="U16" s="67">
        <f>IF(G16="","",ABS(P16-Components!$D$6))</f>
        <v/>
      </c>
      <c r="V16" s="67">
        <f>IF(G16="","",ABS(P16-Components!$D$7))</f>
        <v/>
      </c>
      <c r="W16" s="61">
        <f>IF(G16="","",IF(N16="OK","NONE",INDEX({"S1","S2","W1","W2","N1","N2"},MATCH(MIN(Q16:V16),Q16:V16,0))))</f>
        <v/>
      </c>
      <c r="X16" s="69">
        <f>IF(G16="","",IF(W16=E16,1,0))</f>
        <v/>
      </c>
      <c r="Y16" s="70" t="n"/>
    </row>
    <row r="17">
      <c r="A17" s="61" t="n">
        <v>5</v>
      </c>
      <c r="B17" s="62" t="n">
        <v>17</v>
      </c>
      <c r="C17" s="61" t="inlineStr">
        <is>
          <t>R3</t>
        </is>
      </c>
      <c r="D17" s="63" t="inlineStr">
        <is>
          <t>OK</t>
        </is>
      </c>
      <c r="E17" s="61" t="inlineStr">
        <is>
          <t>NONE</t>
        </is>
      </c>
      <c r="F17" s="61" t="inlineStr">
        <is>
          <t>K005</t>
        </is>
      </c>
      <c r="G17" s="64" t="n">
        <v>9.94</v>
      </c>
      <c r="H17" s="65" t="n"/>
      <c r="I17" s="66" t="n"/>
      <c r="J17" s="67">
        <f>VLOOKUP(C17,Recipes!$A$2:$N$4,10,FALSE())</f>
        <v/>
      </c>
      <c r="K17" s="68">
        <f>VLOOKUP(C17,Recipes!$A$2:$N$4,12,FALSE())</f>
        <v/>
      </c>
      <c r="L17" s="67">
        <f>J17-6*K17</f>
        <v/>
      </c>
      <c r="M17" s="67">
        <f>J17+6*K17</f>
        <v/>
      </c>
      <c r="N17" s="61">
        <f>IF(G17="","",IF(AND(G17&gt;=L17,G17&lt;=M17),"OK","NG"))</f>
        <v/>
      </c>
      <c r="O17" s="69">
        <f>IF(N17="","",IF(N17=D17,1,0))</f>
        <v/>
      </c>
      <c r="P17" s="67">
        <f>IF(G17="","",J17-G17)</f>
        <v/>
      </c>
      <c r="Q17" s="67">
        <f>IF(G17="","",ABS(P17-Components!$D$2))</f>
        <v/>
      </c>
      <c r="R17" s="67">
        <f>IF(G17="","",ABS(P17-Components!$D$3))</f>
        <v/>
      </c>
      <c r="S17" s="67">
        <f>IF(G17="","",ABS(P17-Components!$D$4))</f>
        <v/>
      </c>
      <c r="T17" s="67">
        <f>IF(G17="","",ABS(P17-Components!$D$5))</f>
        <v/>
      </c>
      <c r="U17" s="67">
        <f>IF(G17="","",ABS(P17-Components!$D$6))</f>
        <v/>
      </c>
      <c r="V17" s="67">
        <f>IF(G17="","",ABS(P17-Components!$D$7))</f>
        <v/>
      </c>
      <c r="W17" s="61">
        <f>IF(G17="","",IF(N17="OK","NONE",INDEX({"S1","S2","W1","W2","N1","N2"},MATCH(MIN(Q17:V17),Q17:V17,0))))</f>
        <v/>
      </c>
      <c r="X17" s="69">
        <f>IF(G17="","",IF(W17=E17,1,0))</f>
        <v/>
      </c>
      <c r="Y17" s="70" t="n"/>
    </row>
    <row r="18">
      <c r="A18" s="61" t="n">
        <v>5</v>
      </c>
      <c r="B18" s="62" t="n">
        <v>17</v>
      </c>
      <c r="C18" s="61" t="inlineStr">
        <is>
          <t>R3</t>
        </is>
      </c>
      <c r="D18" s="63" t="inlineStr">
        <is>
          <t>OK</t>
        </is>
      </c>
      <c r="E18" s="61" t="inlineStr">
        <is>
          <t>NONE</t>
        </is>
      </c>
      <c r="F18" s="61" t="inlineStr">
        <is>
          <t>K005</t>
        </is>
      </c>
      <c r="G18" s="64" t="n">
        <v>9.92</v>
      </c>
      <c r="H18" s="65" t="n"/>
      <c r="I18" s="66" t="n"/>
      <c r="J18" s="67">
        <f>VLOOKUP(C18,Recipes!$A$2:$N$4,10,FALSE())</f>
        <v/>
      </c>
      <c r="K18" s="68">
        <f>VLOOKUP(C18,Recipes!$A$2:$N$4,12,FALSE())</f>
        <v/>
      </c>
      <c r="L18" s="67">
        <f>J18-6*K18</f>
        <v/>
      </c>
      <c r="M18" s="67">
        <f>J18+6*K18</f>
        <v/>
      </c>
      <c r="N18" s="61">
        <f>IF(G18="","",IF(AND(G18&gt;=L18,G18&lt;=M18),"OK","NG"))</f>
        <v/>
      </c>
      <c r="O18" s="69">
        <f>IF(N18="","",IF(N18=D18,1,0))</f>
        <v/>
      </c>
      <c r="P18" s="67">
        <f>IF(G18="","",J18-G18)</f>
        <v/>
      </c>
      <c r="Q18" s="67">
        <f>IF(G18="","",ABS(P18-Components!$D$2))</f>
        <v/>
      </c>
      <c r="R18" s="67">
        <f>IF(G18="","",ABS(P18-Components!$D$3))</f>
        <v/>
      </c>
      <c r="S18" s="67">
        <f>IF(G18="","",ABS(P18-Components!$D$4))</f>
        <v/>
      </c>
      <c r="T18" s="67">
        <f>IF(G18="","",ABS(P18-Components!$D$5))</f>
        <v/>
      </c>
      <c r="U18" s="67">
        <f>IF(G18="","",ABS(P18-Components!$D$6))</f>
        <v/>
      </c>
      <c r="V18" s="67">
        <f>IF(G18="","",ABS(P18-Components!$D$7))</f>
        <v/>
      </c>
      <c r="W18" s="61">
        <f>IF(G18="","",IF(N18="OK","NONE",INDEX({"S1","S2","W1","W2","N1","N2"},MATCH(MIN(Q18:V18),Q18:V18,0))))</f>
        <v/>
      </c>
      <c r="X18" s="69">
        <f>IF(G18="","",IF(W18=E18,1,0))</f>
        <v/>
      </c>
      <c r="Y18" s="70" t="n"/>
    </row>
    <row r="19">
      <c r="A19" s="61" t="n">
        <v>5</v>
      </c>
      <c r="B19" s="62" t="n">
        <v>17</v>
      </c>
      <c r="C19" s="61" t="inlineStr">
        <is>
          <t>R3</t>
        </is>
      </c>
      <c r="D19" s="63" t="inlineStr">
        <is>
          <t>OK</t>
        </is>
      </c>
      <c r="E19" s="61" t="inlineStr">
        <is>
          <t>NONE</t>
        </is>
      </c>
      <c r="F19" s="61" t="inlineStr">
        <is>
          <t>K005</t>
        </is>
      </c>
      <c r="G19" s="64" t="n">
        <v>9.890000000000001</v>
      </c>
      <c r="H19" s="65" t="n"/>
      <c r="I19" s="66" t="n"/>
      <c r="J19" s="67">
        <f>VLOOKUP(C19,Recipes!$A$2:$N$4,10,FALSE())</f>
        <v/>
      </c>
      <c r="K19" s="68">
        <f>VLOOKUP(C19,Recipes!$A$2:$N$4,12,FALSE())</f>
        <v/>
      </c>
      <c r="L19" s="67">
        <f>J19-6*K19</f>
        <v/>
      </c>
      <c r="M19" s="67">
        <f>J19+6*K19</f>
        <v/>
      </c>
      <c r="N19" s="61">
        <f>IF(G19="","",IF(AND(G19&gt;=L19,G19&lt;=M19),"OK","NG"))</f>
        <v/>
      </c>
      <c r="O19" s="69">
        <f>IF(N19="","",IF(N19=D19,1,0))</f>
        <v/>
      </c>
      <c r="P19" s="67">
        <f>IF(G19="","",J19-G19)</f>
        <v/>
      </c>
      <c r="Q19" s="67">
        <f>IF(G19="","",ABS(P19-Components!$D$2))</f>
        <v/>
      </c>
      <c r="R19" s="67">
        <f>IF(G19="","",ABS(P19-Components!$D$3))</f>
        <v/>
      </c>
      <c r="S19" s="67">
        <f>IF(G19="","",ABS(P19-Components!$D$4))</f>
        <v/>
      </c>
      <c r="T19" s="67">
        <f>IF(G19="","",ABS(P19-Components!$D$5))</f>
        <v/>
      </c>
      <c r="U19" s="67">
        <f>IF(G19="","",ABS(P19-Components!$D$6))</f>
        <v/>
      </c>
      <c r="V19" s="67">
        <f>IF(G19="","",ABS(P19-Components!$D$7))</f>
        <v/>
      </c>
      <c r="W19" s="61">
        <f>IF(G19="","",IF(N19="OK","NONE",INDEX({"S1","S2","W1","W2","N1","N2"},MATCH(MIN(Q19:V19),Q19:V19,0))))</f>
        <v/>
      </c>
      <c r="X19" s="69">
        <f>IF(G19="","",IF(W19=E19,1,0))</f>
        <v/>
      </c>
      <c r="Y19" s="70" t="n"/>
    </row>
    <row r="20">
      <c r="A20" s="61" t="n">
        <v>5</v>
      </c>
      <c r="B20" s="62" t="n">
        <v>17</v>
      </c>
      <c r="C20" s="61" t="inlineStr">
        <is>
          <t>R3</t>
        </is>
      </c>
      <c r="D20" s="63" t="inlineStr">
        <is>
          <t>OK</t>
        </is>
      </c>
      <c r="E20" s="61" t="inlineStr">
        <is>
          <t>NONE</t>
        </is>
      </c>
      <c r="F20" s="61" t="inlineStr">
        <is>
          <t>K005</t>
        </is>
      </c>
      <c r="G20" s="64" t="n">
        <v>9.92</v>
      </c>
      <c r="H20" s="65" t="n"/>
      <c r="I20" s="66" t="n"/>
      <c r="J20" s="67">
        <f>VLOOKUP(C20,Recipes!$A$2:$N$4,10,FALSE())</f>
        <v/>
      </c>
      <c r="K20" s="68">
        <f>VLOOKUP(C20,Recipes!$A$2:$N$4,12,FALSE())</f>
        <v/>
      </c>
      <c r="L20" s="67">
        <f>J20-6*K20</f>
        <v/>
      </c>
      <c r="M20" s="67">
        <f>J20+6*K20</f>
        <v/>
      </c>
      <c r="N20" s="61">
        <f>IF(G20="","",IF(AND(G20&gt;=L20,G20&lt;=M20),"OK","NG"))</f>
        <v/>
      </c>
      <c r="O20" s="69">
        <f>IF(N20="","",IF(N20=D20,1,0))</f>
        <v/>
      </c>
      <c r="P20" s="67">
        <f>IF(G20="","",J20-G20)</f>
        <v/>
      </c>
      <c r="Q20" s="67">
        <f>IF(G20="","",ABS(P20-Components!$D$2))</f>
        <v/>
      </c>
      <c r="R20" s="67">
        <f>IF(G20="","",ABS(P20-Components!$D$3))</f>
        <v/>
      </c>
      <c r="S20" s="67">
        <f>IF(G20="","",ABS(P20-Components!$D$4))</f>
        <v/>
      </c>
      <c r="T20" s="67">
        <f>IF(G20="","",ABS(P20-Components!$D$5))</f>
        <v/>
      </c>
      <c r="U20" s="67">
        <f>IF(G20="","",ABS(P20-Components!$D$6))</f>
        <v/>
      </c>
      <c r="V20" s="67">
        <f>IF(G20="","",ABS(P20-Components!$D$7))</f>
        <v/>
      </c>
      <c r="W20" s="61">
        <f>IF(G20="","",IF(N20="OK","NONE",INDEX({"S1","S2","W1","W2","N1","N2"},MATCH(MIN(Q20:V20),Q20:V20,0))))</f>
        <v/>
      </c>
      <c r="X20" s="69">
        <f>IF(G20="","",IF(W20=E20,1,0))</f>
        <v/>
      </c>
      <c r="Y20" s="70" t="n"/>
    </row>
    <row r="21">
      <c r="A21" s="61" t="n">
        <v>5</v>
      </c>
      <c r="B21" s="62" t="n">
        <v>17</v>
      </c>
      <c r="C21" s="61" t="inlineStr">
        <is>
          <t>R3</t>
        </is>
      </c>
      <c r="D21" s="63" t="inlineStr">
        <is>
          <t>OK</t>
        </is>
      </c>
      <c r="E21" s="61" t="inlineStr">
        <is>
          <t>NONE</t>
        </is>
      </c>
      <c r="F21" s="61" t="inlineStr">
        <is>
          <t>K005</t>
        </is>
      </c>
      <c r="G21" s="64" t="n">
        <v>9.949999999999999</v>
      </c>
      <c r="H21" s="65" t="n"/>
      <c r="I21" s="66" t="n"/>
      <c r="J21" s="67">
        <f>VLOOKUP(C21,Recipes!$A$2:$N$4,10,FALSE())</f>
        <v/>
      </c>
      <c r="K21" s="68">
        <f>VLOOKUP(C21,Recipes!$A$2:$N$4,12,FALSE())</f>
        <v/>
      </c>
      <c r="L21" s="67">
        <f>J21-6*K21</f>
        <v/>
      </c>
      <c r="M21" s="67">
        <f>J21+6*K21</f>
        <v/>
      </c>
      <c r="N21" s="61">
        <f>IF(G21="","",IF(AND(G21&gt;=L21,G21&lt;=M21),"OK","NG"))</f>
        <v/>
      </c>
      <c r="O21" s="69">
        <f>IF(N21="","",IF(N21=D21,1,0))</f>
        <v/>
      </c>
      <c r="P21" s="67">
        <f>IF(G21="","",J21-G21)</f>
        <v/>
      </c>
      <c r="Q21" s="67">
        <f>IF(G21="","",ABS(P21-Components!$D$2))</f>
        <v/>
      </c>
      <c r="R21" s="67">
        <f>IF(G21="","",ABS(P21-Components!$D$3))</f>
        <v/>
      </c>
      <c r="S21" s="67">
        <f>IF(G21="","",ABS(P21-Components!$D$4))</f>
        <v/>
      </c>
      <c r="T21" s="67">
        <f>IF(G21="","",ABS(P21-Components!$D$5))</f>
        <v/>
      </c>
      <c r="U21" s="67">
        <f>IF(G21="","",ABS(P21-Components!$D$6))</f>
        <v/>
      </c>
      <c r="V21" s="67">
        <f>IF(G21="","",ABS(P21-Components!$D$7))</f>
        <v/>
      </c>
      <c r="W21" s="61">
        <f>IF(G21="","",IF(N21="OK","NONE",INDEX({"S1","S2","W1","W2","N1","N2"},MATCH(MIN(Q21:V21),Q21:V21,0))))</f>
        <v/>
      </c>
      <c r="X21" s="69">
        <f>IF(G21="","",IF(W21=E21,1,0))</f>
        <v/>
      </c>
      <c r="Y21" s="70" t="n"/>
    </row>
    <row r="22">
      <c r="A22" s="61" t="n">
        <v>5</v>
      </c>
      <c r="B22" s="62" t="n">
        <v>17</v>
      </c>
      <c r="C22" s="61" t="inlineStr">
        <is>
          <t>R3</t>
        </is>
      </c>
      <c r="D22" s="63" t="inlineStr">
        <is>
          <t>OK</t>
        </is>
      </c>
      <c r="E22" s="61" t="inlineStr">
        <is>
          <t>NONE</t>
        </is>
      </c>
      <c r="F22" s="61" t="inlineStr">
        <is>
          <t>K005</t>
        </is>
      </c>
      <c r="G22" s="64" t="n">
        <v>9.98</v>
      </c>
      <c r="H22" s="65" t="n"/>
      <c r="I22" s="66" t="n"/>
      <c r="J22" s="67">
        <f>VLOOKUP(C22,Recipes!$A$2:$N$4,10,FALSE())</f>
        <v/>
      </c>
      <c r="K22" s="68">
        <f>VLOOKUP(C22,Recipes!$A$2:$N$4,12,FALSE())</f>
        <v/>
      </c>
      <c r="L22" s="67">
        <f>J22-6*K22</f>
        <v/>
      </c>
      <c r="M22" s="67">
        <f>J22+6*K22</f>
        <v/>
      </c>
      <c r="N22" s="61">
        <f>IF(G22="","",IF(AND(G22&gt;=L22,G22&lt;=M22),"OK","NG"))</f>
        <v/>
      </c>
      <c r="O22" s="69">
        <f>IF(N22="","",IF(N22=D22,1,0))</f>
        <v/>
      </c>
      <c r="P22" s="67">
        <f>IF(G22="","",J22-G22)</f>
        <v/>
      </c>
      <c r="Q22" s="67">
        <f>IF(G22="","",ABS(P22-Components!$D$2))</f>
        <v/>
      </c>
      <c r="R22" s="67">
        <f>IF(G22="","",ABS(P22-Components!$D$3))</f>
        <v/>
      </c>
      <c r="S22" s="67">
        <f>IF(G22="","",ABS(P22-Components!$D$4))</f>
        <v/>
      </c>
      <c r="T22" s="67">
        <f>IF(G22="","",ABS(P22-Components!$D$5))</f>
        <v/>
      </c>
      <c r="U22" s="67">
        <f>IF(G22="","",ABS(P22-Components!$D$6))</f>
        <v/>
      </c>
      <c r="V22" s="67">
        <f>IF(G22="","",ABS(P22-Components!$D$7))</f>
        <v/>
      </c>
      <c r="W22" s="61">
        <f>IF(G22="","",IF(N22="OK","NONE",INDEX({"S1","S2","W1","W2","N1","N2"},MATCH(MIN(Q22:V22),Q22:V22,0))))</f>
        <v/>
      </c>
      <c r="X22" s="69">
        <f>IF(G22="","",IF(W22=E22,1,0))</f>
        <v/>
      </c>
      <c r="Y22" s="70" t="n"/>
    </row>
    <row r="23">
      <c r="A23" s="61" t="n">
        <v>5</v>
      </c>
      <c r="B23" s="62" t="n">
        <v>17</v>
      </c>
      <c r="C23" s="61" t="inlineStr">
        <is>
          <t>R3</t>
        </is>
      </c>
      <c r="D23" s="63" t="inlineStr">
        <is>
          <t>OK</t>
        </is>
      </c>
      <c r="E23" s="61" t="inlineStr">
        <is>
          <t>NONE</t>
        </is>
      </c>
      <c r="F23" s="61" t="inlineStr">
        <is>
          <t>K005</t>
        </is>
      </c>
      <c r="G23" s="64" t="n">
        <v>9.99</v>
      </c>
      <c r="H23" s="65" t="n"/>
      <c r="I23" s="66" t="n"/>
      <c r="J23" s="67">
        <f>VLOOKUP(C23,Recipes!$A$2:$N$4,10,FALSE())</f>
        <v/>
      </c>
      <c r="K23" s="68">
        <f>VLOOKUP(C23,Recipes!$A$2:$N$4,12,FALSE())</f>
        <v/>
      </c>
      <c r="L23" s="67">
        <f>J23-6*K23</f>
        <v/>
      </c>
      <c r="M23" s="67">
        <f>J23+6*K23</f>
        <v/>
      </c>
      <c r="N23" s="61">
        <f>IF(G23="","",IF(AND(G23&gt;=L23,G23&lt;=M23),"OK","NG"))</f>
        <v/>
      </c>
      <c r="O23" s="69">
        <f>IF(N23="","",IF(N23=D23,1,0))</f>
        <v/>
      </c>
      <c r="P23" s="67">
        <f>IF(G23="","",J23-G23)</f>
        <v/>
      </c>
      <c r="Q23" s="67">
        <f>IF(G23="","",ABS(P23-Components!$D$2))</f>
        <v/>
      </c>
      <c r="R23" s="67">
        <f>IF(G23="","",ABS(P23-Components!$D$3))</f>
        <v/>
      </c>
      <c r="S23" s="67">
        <f>IF(G23="","",ABS(P23-Components!$D$4))</f>
        <v/>
      </c>
      <c r="T23" s="67">
        <f>IF(G23="","",ABS(P23-Components!$D$5))</f>
        <v/>
      </c>
      <c r="U23" s="67">
        <f>IF(G23="","",ABS(P23-Components!$D$6))</f>
        <v/>
      </c>
      <c r="V23" s="67">
        <f>IF(G23="","",ABS(P23-Components!$D$7))</f>
        <v/>
      </c>
      <c r="W23" s="61">
        <f>IF(G23="","",IF(N23="OK","NONE",INDEX({"S1","S2","W1","W2","N1","N2"},MATCH(MIN(Q23:V23),Q23:V23,0))))</f>
        <v/>
      </c>
      <c r="X23" s="69">
        <f>IF(G23="","",IF(W23=E23,1,0))</f>
        <v/>
      </c>
      <c r="Y23" s="70" t="n"/>
    </row>
    <row r="24">
      <c r="A24" s="61" t="n">
        <v>5</v>
      </c>
      <c r="B24" s="62" t="n">
        <v>17</v>
      </c>
      <c r="C24" s="61" t="inlineStr">
        <is>
          <t>R3</t>
        </is>
      </c>
      <c r="D24" s="63" t="inlineStr">
        <is>
          <t>OK</t>
        </is>
      </c>
      <c r="E24" s="61" t="inlineStr">
        <is>
          <t>NONE</t>
        </is>
      </c>
      <c r="F24" s="61" t="inlineStr">
        <is>
          <t>K005</t>
        </is>
      </c>
      <c r="G24" s="64" t="n">
        <v>9.9</v>
      </c>
      <c r="H24" s="65" t="n"/>
      <c r="I24" s="66" t="n"/>
      <c r="J24" s="67">
        <f>VLOOKUP(C24,Recipes!$A$2:$N$4,10,FALSE())</f>
        <v/>
      </c>
      <c r="K24" s="68">
        <f>VLOOKUP(C24,Recipes!$A$2:$N$4,12,FALSE())</f>
        <v/>
      </c>
      <c r="L24" s="67">
        <f>J24-6*K24</f>
        <v/>
      </c>
      <c r="M24" s="67">
        <f>J24+6*K24</f>
        <v/>
      </c>
      <c r="N24" s="61">
        <f>IF(G24="","",IF(AND(G24&gt;=L24,G24&lt;=M24),"OK","NG"))</f>
        <v/>
      </c>
      <c r="O24" s="69">
        <f>IF(N24="","",IF(N24=D24,1,0))</f>
        <v/>
      </c>
      <c r="P24" s="67">
        <f>IF(G24="","",J24-G24)</f>
        <v/>
      </c>
      <c r="Q24" s="67">
        <f>IF(G24="","",ABS(P24-Components!$D$2))</f>
        <v/>
      </c>
      <c r="R24" s="67">
        <f>IF(G24="","",ABS(P24-Components!$D$3))</f>
        <v/>
      </c>
      <c r="S24" s="67">
        <f>IF(G24="","",ABS(P24-Components!$D$4))</f>
        <v/>
      </c>
      <c r="T24" s="67">
        <f>IF(G24="","",ABS(P24-Components!$D$5))</f>
        <v/>
      </c>
      <c r="U24" s="67">
        <f>IF(G24="","",ABS(P24-Components!$D$6))</f>
        <v/>
      </c>
      <c r="V24" s="67">
        <f>IF(G24="","",ABS(P24-Components!$D$7))</f>
        <v/>
      </c>
      <c r="W24" s="61">
        <f>IF(G24="","",IF(N24="OK","NONE",INDEX({"S1","S2","W1","W2","N1","N2"},MATCH(MIN(Q24:V24),Q24:V24,0))))</f>
        <v/>
      </c>
      <c r="X24" s="69">
        <f>IF(G24="","",IF(W24=E24,1,0))</f>
        <v/>
      </c>
      <c r="Y24" s="70" t="n"/>
    </row>
    <row r="25">
      <c r="A25" s="61" t="n">
        <v>5</v>
      </c>
      <c r="B25" s="62" t="n">
        <v>17</v>
      </c>
      <c r="C25" s="61" t="inlineStr">
        <is>
          <t>R3</t>
        </is>
      </c>
      <c r="D25" s="63" t="inlineStr">
        <is>
          <t>OK</t>
        </is>
      </c>
      <c r="E25" s="61" t="inlineStr">
        <is>
          <t>NONE</t>
        </is>
      </c>
      <c r="F25" s="61" t="inlineStr">
        <is>
          <t>K005</t>
        </is>
      </c>
      <c r="G25" s="64" t="n">
        <v>9.970000000000001</v>
      </c>
      <c r="H25" s="65" t="n"/>
      <c r="I25" s="66" t="n"/>
      <c r="J25" s="67">
        <f>VLOOKUP(C25,Recipes!$A$2:$N$4,10,FALSE())</f>
        <v/>
      </c>
      <c r="K25" s="68">
        <f>VLOOKUP(C25,Recipes!$A$2:$N$4,12,FALSE())</f>
        <v/>
      </c>
      <c r="L25" s="67">
        <f>J25-6*K25</f>
        <v/>
      </c>
      <c r="M25" s="67">
        <f>J25+6*K25</f>
        <v/>
      </c>
      <c r="N25" s="61">
        <f>IF(G25="","",IF(AND(G25&gt;=L25,G25&lt;=M25),"OK","NG"))</f>
        <v/>
      </c>
      <c r="O25" s="69">
        <f>IF(N25="","",IF(N25=D25,1,0))</f>
        <v/>
      </c>
      <c r="P25" s="67">
        <f>IF(G25="","",J25-G25)</f>
        <v/>
      </c>
      <c r="Q25" s="67">
        <f>IF(G25="","",ABS(P25-Components!$D$2))</f>
        <v/>
      </c>
      <c r="R25" s="67">
        <f>IF(G25="","",ABS(P25-Components!$D$3))</f>
        <v/>
      </c>
      <c r="S25" s="67">
        <f>IF(G25="","",ABS(P25-Components!$D$4))</f>
        <v/>
      </c>
      <c r="T25" s="67">
        <f>IF(G25="","",ABS(P25-Components!$D$5))</f>
        <v/>
      </c>
      <c r="U25" s="67">
        <f>IF(G25="","",ABS(P25-Components!$D$6))</f>
        <v/>
      </c>
      <c r="V25" s="67">
        <f>IF(G25="","",ABS(P25-Components!$D$7))</f>
        <v/>
      </c>
      <c r="W25" s="61">
        <f>IF(G25="","",IF(N25="OK","NONE",INDEX({"S1","S2","W1","W2","N1","N2"},MATCH(MIN(Q25:V25),Q25:V25,0))))</f>
        <v/>
      </c>
      <c r="X25" s="69">
        <f>IF(G25="","",IF(W25=E25,1,0))</f>
        <v/>
      </c>
      <c r="Y25" s="70" t="n"/>
    </row>
    <row r="26">
      <c r="A26" s="61" t="n">
        <v>5</v>
      </c>
      <c r="B26" s="62" t="n">
        <v>17</v>
      </c>
      <c r="C26" s="61" t="inlineStr">
        <is>
          <t>R3</t>
        </is>
      </c>
      <c r="D26" s="63" t="inlineStr">
        <is>
          <t>OK</t>
        </is>
      </c>
      <c r="E26" s="61" t="inlineStr">
        <is>
          <t>NONE</t>
        </is>
      </c>
      <c r="F26" s="61" t="inlineStr">
        <is>
          <t>K005</t>
        </is>
      </c>
      <c r="G26" s="64" t="n">
        <v>10.02</v>
      </c>
      <c r="H26" s="65" t="n"/>
      <c r="I26" s="66" t="n"/>
      <c r="J26" s="67">
        <f>VLOOKUP(C26,Recipes!$A$2:$N$4,10,FALSE())</f>
        <v/>
      </c>
      <c r="K26" s="68">
        <f>VLOOKUP(C26,Recipes!$A$2:$N$4,12,FALSE())</f>
        <v/>
      </c>
      <c r="L26" s="67">
        <f>J26-6*K26</f>
        <v/>
      </c>
      <c r="M26" s="67">
        <f>J26+6*K26</f>
        <v/>
      </c>
      <c r="N26" s="61">
        <f>IF(G26="","",IF(AND(G26&gt;=L26,G26&lt;=M26),"OK","NG"))</f>
        <v/>
      </c>
      <c r="O26" s="69">
        <f>IF(N26="","",IF(N26=D26,1,0))</f>
        <v/>
      </c>
      <c r="P26" s="67">
        <f>IF(G26="","",J26-G26)</f>
        <v/>
      </c>
      <c r="Q26" s="67">
        <f>IF(G26="","",ABS(P26-Components!$D$2))</f>
        <v/>
      </c>
      <c r="R26" s="67">
        <f>IF(G26="","",ABS(P26-Components!$D$3))</f>
        <v/>
      </c>
      <c r="S26" s="67">
        <f>IF(G26="","",ABS(P26-Components!$D$4))</f>
        <v/>
      </c>
      <c r="T26" s="67">
        <f>IF(G26="","",ABS(P26-Components!$D$5))</f>
        <v/>
      </c>
      <c r="U26" s="67">
        <f>IF(G26="","",ABS(P26-Components!$D$6))</f>
        <v/>
      </c>
      <c r="V26" s="67">
        <f>IF(G26="","",ABS(P26-Components!$D$7))</f>
        <v/>
      </c>
      <c r="W26" s="61">
        <f>IF(G26="","",IF(N26="OK","NONE",INDEX({"S1","S2","W1","W2","N1","N2"},MATCH(MIN(Q26:V26),Q26:V26,0))))</f>
        <v/>
      </c>
      <c r="X26" s="69">
        <f>IF(G26="","",IF(W26=E26,1,0))</f>
        <v/>
      </c>
      <c r="Y26" s="70" t="n"/>
    </row>
    <row r="27">
      <c r="A27" s="61" t="n">
        <v>5</v>
      </c>
      <c r="B27" s="62" t="n">
        <v>17</v>
      </c>
      <c r="C27" s="61" t="inlineStr">
        <is>
          <t>R3</t>
        </is>
      </c>
      <c r="D27" s="63" t="inlineStr">
        <is>
          <t>OK</t>
        </is>
      </c>
      <c r="E27" s="61" t="inlineStr">
        <is>
          <t>NONE</t>
        </is>
      </c>
      <c r="F27" s="61" t="inlineStr">
        <is>
          <t>K005</t>
        </is>
      </c>
      <c r="G27" s="64" t="n">
        <v>10</v>
      </c>
      <c r="H27" s="65" t="n"/>
      <c r="I27" s="66" t="n"/>
      <c r="J27" s="67">
        <f>VLOOKUP(C27,Recipes!$A$2:$N$4,10,FALSE())</f>
        <v/>
      </c>
      <c r="K27" s="68">
        <f>VLOOKUP(C27,Recipes!$A$2:$N$4,12,FALSE())</f>
        <v/>
      </c>
      <c r="L27" s="67">
        <f>J27-6*K27</f>
        <v/>
      </c>
      <c r="M27" s="67">
        <f>J27+6*K27</f>
        <v/>
      </c>
      <c r="N27" s="61">
        <f>IF(G27="","",IF(AND(G27&gt;=L27,G27&lt;=M27),"OK","NG"))</f>
        <v/>
      </c>
      <c r="O27" s="69">
        <f>IF(N27="","",IF(N27=D27,1,0))</f>
        <v/>
      </c>
      <c r="P27" s="67">
        <f>IF(G27="","",J27-G27)</f>
        <v/>
      </c>
      <c r="Q27" s="67">
        <f>IF(G27="","",ABS(P27-Components!$D$2))</f>
        <v/>
      </c>
      <c r="R27" s="67">
        <f>IF(G27="","",ABS(P27-Components!$D$3))</f>
        <v/>
      </c>
      <c r="S27" s="67">
        <f>IF(G27="","",ABS(P27-Components!$D$4))</f>
        <v/>
      </c>
      <c r="T27" s="67">
        <f>IF(G27="","",ABS(P27-Components!$D$5))</f>
        <v/>
      </c>
      <c r="U27" s="67">
        <f>IF(G27="","",ABS(P27-Components!$D$6))</f>
        <v/>
      </c>
      <c r="V27" s="67">
        <f>IF(G27="","",ABS(P27-Components!$D$7))</f>
        <v/>
      </c>
      <c r="W27" s="61">
        <f>IF(G27="","",IF(N27="OK","NONE",INDEX({"S1","S2","W1","W2","N1","N2"},MATCH(MIN(Q27:V27),Q27:V27,0))))</f>
        <v/>
      </c>
      <c r="X27" s="69">
        <f>IF(G27="","",IF(W27=E27,1,0))</f>
        <v/>
      </c>
      <c r="Y27" s="70" t="n"/>
    </row>
    <row r="28">
      <c r="A28" s="61" t="n">
        <v>5</v>
      </c>
      <c r="B28" s="62" t="n">
        <v>17</v>
      </c>
      <c r="C28" s="61" t="inlineStr">
        <is>
          <t>R3</t>
        </is>
      </c>
      <c r="D28" s="63" t="inlineStr">
        <is>
          <t>OK</t>
        </is>
      </c>
      <c r="E28" s="61" t="inlineStr">
        <is>
          <t>NONE</t>
        </is>
      </c>
      <c r="F28" s="61" t="inlineStr">
        <is>
          <t>K005</t>
        </is>
      </c>
      <c r="G28" s="64" t="n">
        <v>9.93</v>
      </c>
      <c r="H28" s="65" t="n"/>
      <c r="I28" s="66" t="n"/>
      <c r="J28" s="67">
        <f>VLOOKUP(C28,Recipes!$A$2:$N$4,10,FALSE())</f>
        <v/>
      </c>
      <c r="K28" s="68">
        <f>VLOOKUP(C28,Recipes!$A$2:$N$4,12,FALSE())</f>
        <v/>
      </c>
      <c r="L28" s="67">
        <f>J28-6*K28</f>
        <v/>
      </c>
      <c r="M28" s="67">
        <f>J28+6*K28</f>
        <v/>
      </c>
      <c r="N28" s="61">
        <f>IF(G28="","",IF(AND(G28&gt;=L28,G28&lt;=M28),"OK","NG"))</f>
        <v/>
      </c>
      <c r="O28" s="69">
        <f>IF(N28="","",IF(N28=D28,1,0))</f>
        <v/>
      </c>
      <c r="P28" s="67">
        <f>IF(G28="","",J28-G28)</f>
        <v/>
      </c>
      <c r="Q28" s="67">
        <f>IF(G28="","",ABS(P28-Components!$D$2))</f>
        <v/>
      </c>
      <c r="R28" s="67">
        <f>IF(G28="","",ABS(P28-Components!$D$3))</f>
        <v/>
      </c>
      <c r="S28" s="67">
        <f>IF(G28="","",ABS(P28-Components!$D$4))</f>
        <v/>
      </c>
      <c r="T28" s="67">
        <f>IF(G28="","",ABS(P28-Components!$D$5))</f>
        <v/>
      </c>
      <c r="U28" s="67">
        <f>IF(G28="","",ABS(P28-Components!$D$6))</f>
        <v/>
      </c>
      <c r="V28" s="67">
        <f>IF(G28="","",ABS(P28-Components!$D$7))</f>
        <v/>
      </c>
      <c r="W28" s="61">
        <f>IF(G28="","",IF(N28="OK","NONE",INDEX({"S1","S2","W1","W2","N1","N2"},MATCH(MIN(Q28:V28),Q28:V28,0))))</f>
        <v/>
      </c>
      <c r="X28" s="69">
        <f>IF(G28="","",IF(W28=E28,1,0))</f>
        <v/>
      </c>
      <c r="Y28" s="70" t="n"/>
    </row>
    <row r="29">
      <c r="A29" s="61" t="n">
        <v>5</v>
      </c>
      <c r="B29" s="62" t="n">
        <v>17</v>
      </c>
      <c r="C29" s="61" t="inlineStr">
        <is>
          <t>R3</t>
        </is>
      </c>
      <c r="D29" s="63" t="inlineStr">
        <is>
          <t>OK</t>
        </is>
      </c>
      <c r="E29" s="61" t="inlineStr">
        <is>
          <t>NONE</t>
        </is>
      </c>
      <c r="F29" s="61" t="inlineStr">
        <is>
          <t>K005</t>
        </is>
      </c>
      <c r="G29" s="64" t="n">
        <v>9.970000000000001</v>
      </c>
      <c r="H29" s="65" t="n"/>
      <c r="I29" s="66" t="n"/>
      <c r="J29" s="67">
        <f>VLOOKUP(C29,Recipes!$A$2:$N$4,10,FALSE())</f>
        <v/>
      </c>
      <c r="K29" s="68">
        <f>VLOOKUP(C29,Recipes!$A$2:$N$4,12,FALSE())</f>
        <v/>
      </c>
      <c r="L29" s="67">
        <f>J29-6*K29</f>
        <v/>
      </c>
      <c r="M29" s="67">
        <f>J29+6*K29</f>
        <v/>
      </c>
      <c r="N29" s="61">
        <f>IF(G29="","",IF(AND(G29&gt;=L29,G29&lt;=M29),"OK","NG"))</f>
        <v/>
      </c>
      <c r="O29" s="69">
        <f>IF(N29="","",IF(N29=D29,1,0))</f>
        <v/>
      </c>
      <c r="P29" s="67">
        <f>IF(G29="","",J29-G29)</f>
        <v/>
      </c>
      <c r="Q29" s="67">
        <f>IF(G29="","",ABS(P29-Components!$D$2))</f>
        <v/>
      </c>
      <c r="R29" s="67">
        <f>IF(G29="","",ABS(P29-Components!$D$3))</f>
        <v/>
      </c>
      <c r="S29" s="67">
        <f>IF(G29="","",ABS(P29-Components!$D$4))</f>
        <v/>
      </c>
      <c r="T29" s="67">
        <f>IF(G29="","",ABS(P29-Components!$D$5))</f>
        <v/>
      </c>
      <c r="U29" s="67">
        <f>IF(G29="","",ABS(P29-Components!$D$6))</f>
        <v/>
      </c>
      <c r="V29" s="67">
        <f>IF(G29="","",ABS(P29-Components!$D$7))</f>
        <v/>
      </c>
      <c r="W29" s="61">
        <f>IF(G29="","",IF(N29="OK","NONE",INDEX({"S1","S2","W1","W2","N1","N2"},MATCH(MIN(Q29:V29),Q29:V29,0))))</f>
        <v/>
      </c>
      <c r="X29" s="69">
        <f>IF(G29="","",IF(W29=E29,1,0))</f>
        <v/>
      </c>
      <c r="Y29" s="70" t="n"/>
    </row>
    <row r="30">
      <c r="A30" s="61" t="n">
        <v>5</v>
      </c>
      <c r="B30" s="62" t="n">
        <v>17</v>
      </c>
      <c r="C30" s="61" t="inlineStr">
        <is>
          <t>R3</t>
        </is>
      </c>
      <c r="D30" s="63" t="inlineStr">
        <is>
          <t>OK</t>
        </is>
      </c>
      <c r="E30" s="61" t="inlineStr">
        <is>
          <t>NONE</t>
        </is>
      </c>
      <c r="F30" s="61" t="inlineStr">
        <is>
          <t>K005</t>
        </is>
      </c>
      <c r="G30" s="64" t="n">
        <v>9.94</v>
      </c>
      <c r="H30" s="65" t="n"/>
      <c r="I30" s="66" t="n"/>
      <c r="J30" s="67">
        <f>VLOOKUP(C30,Recipes!$A$2:$N$4,10,FALSE())</f>
        <v/>
      </c>
      <c r="K30" s="68">
        <f>VLOOKUP(C30,Recipes!$A$2:$N$4,12,FALSE())</f>
        <v/>
      </c>
      <c r="L30" s="67">
        <f>J30-6*K30</f>
        <v/>
      </c>
      <c r="M30" s="67">
        <f>J30+6*K30</f>
        <v/>
      </c>
      <c r="N30" s="61">
        <f>IF(G30="","",IF(AND(G30&gt;=L30,G30&lt;=M30),"OK","NG"))</f>
        <v/>
      </c>
      <c r="O30" s="69">
        <f>IF(N30="","",IF(N30=D30,1,0))</f>
        <v/>
      </c>
      <c r="P30" s="67">
        <f>IF(G30="","",J30-G30)</f>
        <v/>
      </c>
      <c r="Q30" s="67">
        <f>IF(G30="","",ABS(P30-Components!$D$2))</f>
        <v/>
      </c>
      <c r="R30" s="67">
        <f>IF(G30="","",ABS(P30-Components!$D$3))</f>
        <v/>
      </c>
      <c r="S30" s="67">
        <f>IF(G30="","",ABS(P30-Components!$D$4))</f>
        <v/>
      </c>
      <c r="T30" s="67">
        <f>IF(G30="","",ABS(P30-Components!$D$5))</f>
        <v/>
      </c>
      <c r="U30" s="67">
        <f>IF(G30="","",ABS(P30-Components!$D$6))</f>
        <v/>
      </c>
      <c r="V30" s="67">
        <f>IF(G30="","",ABS(P30-Components!$D$7))</f>
        <v/>
      </c>
      <c r="W30" s="61">
        <f>IF(G30="","",IF(N30="OK","NONE",INDEX({"S1","S2","W1","W2","N1","N2"},MATCH(MIN(Q30:V30),Q30:V30,0))))</f>
        <v/>
      </c>
      <c r="X30" s="69">
        <f>IF(G30="","",IF(W30=E30,1,0))</f>
        <v/>
      </c>
      <c r="Y30" s="70" t="n"/>
    </row>
    <row r="31">
      <c r="A31" s="61" t="n">
        <v>5</v>
      </c>
      <c r="B31" s="62" t="n">
        <v>17</v>
      </c>
      <c r="C31" s="61" t="inlineStr">
        <is>
          <t>R3</t>
        </is>
      </c>
      <c r="D31" s="63" t="inlineStr">
        <is>
          <t>OK</t>
        </is>
      </c>
      <c r="E31" s="61" t="inlineStr">
        <is>
          <t>NONE</t>
        </is>
      </c>
      <c r="F31" s="61" t="inlineStr">
        <is>
          <t>K005</t>
        </is>
      </c>
      <c r="G31" s="64" t="n">
        <v>9.99</v>
      </c>
      <c r="H31" s="65" t="n"/>
      <c r="I31" s="66" t="n"/>
      <c r="J31" s="67">
        <f>VLOOKUP(C31,Recipes!$A$2:$N$4,10,FALSE())</f>
        <v/>
      </c>
      <c r="K31" s="68">
        <f>VLOOKUP(C31,Recipes!$A$2:$N$4,12,FALSE())</f>
        <v/>
      </c>
      <c r="L31" s="67">
        <f>J31-6*K31</f>
        <v/>
      </c>
      <c r="M31" s="67">
        <f>J31+6*K31</f>
        <v/>
      </c>
      <c r="N31" s="61">
        <f>IF(G31="","",IF(AND(G31&gt;=L31,G31&lt;=M31),"OK","NG"))</f>
        <v/>
      </c>
      <c r="O31" s="69">
        <f>IF(N31="","",IF(N31=D31,1,0))</f>
        <v/>
      </c>
      <c r="P31" s="67">
        <f>IF(G31="","",J31-G31)</f>
        <v/>
      </c>
      <c r="Q31" s="67">
        <f>IF(G31="","",ABS(P31-Components!$D$2))</f>
        <v/>
      </c>
      <c r="R31" s="67">
        <f>IF(G31="","",ABS(P31-Components!$D$3))</f>
        <v/>
      </c>
      <c r="S31" s="67">
        <f>IF(G31="","",ABS(P31-Components!$D$4))</f>
        <v/>
      </c>
      <c r="T31" s="67">
        <f>IF(G31="","",ABS(P31-Components!$D$5))</f>
        <v/>
      </c>
      <c r="U31" s="67">
        <f>IF(G31="","",ABS(P31-Components!$D$6))</f>
        <v/>
      </c>
      <c r="V31" s="67">
        <f>IF(G31="","",ABS(P31-Components!$D$7))</f>
        <v/>
      </c>
      <c r="W31" s="61">
        <f>IF(G31="","",IF(N31="OK","NONE",INDEX({"S1","S2","W1","W2","N1","N2"},MATCH(MIN(Q31:V31),Q31:V31,0))))</f>
        <v/>
      </c>
      <c r="X31" s="69">
        <f>IF(G31="","",IF(W31=E31,1,0))</f>
        <v/>
      </c>
      <c r="Y31" s="70" t="n"/>
    </row>
    <row r="32">
      <c r="A32" s="61" t="n">
        <v>5</v>
      </c>
      <c r="B32" s="62" t="n">
        <v>17</v>
      </c>
      <c r="C32" s="61" t="inlineStr">
        <is>
          <t>R3</t>
        </is>
      </c>
      <c r="D32" s="63" t="inlineStr">
        <is>
          <t>OK</t>
        </is>
      </c>
      <c r="E32" s="61" t="inlineStr">
        <is>
          <t>NONE</t>
        </is>
      </c>
      <c r="F32" s="61" t="inlineStr">
        <is>
          <t>K005</t>
        </is>
      </c>
      <c r="G32" s="73" t="n">
        <v>9.48</v>
      </c>
      <c r="H32" s="65" t="n"/>
      <c r="I32" s="66" t="n"/>
      <c r="J32" s="67">
        <f>VLOOKUP(C32,Recipes!$A$2:$N$4,10,FALSE())</f>
        <v/>
      </c>
      <c r="K32" s="68">
        <f>VLOOKUP(C32,Recipes!$A$2:$N$4,12,FALSE())</f>
        <v/>
      </c>
      <c r="L32" s="67">
        <f>J32-6*K32</f>
        <v/>
      </c>
      <c r="M32" s="67">
        <f>J32+6*K32</f>
        <v/>
      </c>
      <c r="N32" s="61">
        <f>IF(G32="","",IF(AND(G32&gt;=L32,G32&lt;=M32),"OK","NG"))</f>
        <v/>
      </c>
      <c r="O32" s="69">
        <f>IF(N32="","",IF(N32=D32,1,0))</f>
        <v/>
      </c>
      <c r="P32" s="67">
        <f>IF(G32="","",J32-G32)</f>
        <v/>
      </c>
      <c r="Q32" s="67">
        <f>IF(G32="","",ABS(P32-Components!$D$2))</f>
        <v/>
      </c>
      <c r="R32" s="67">
        <f>IF(G32="","",ABS(P32-Components!$D$3))</f>
        <v/>
      </c>
      <c r="S32" s="67">
        <f>IF(G32="","",ABS(P32-Components!$D$4))</f>
        <v/>
      </c>
      <c r="T32" s="67">
        <f>IF(G32="","",ABS(P32-Components!$D$5))</f>
        <v/>
      </c>
      <c r="U32" s="67">
        <f>IF(G32="","",ABS(P32-Components!$D$6))</f>
        <v/>
      </c>
      <c r="V32" s="67">
        <f>IF(G32="","",ABS(P32-Components!$D$7))</f>
        <v/>
      </c>
      <c r="W32" s="61">
        <f>IF(G32="","",IF(N32="OK","NONE",INDEX({"S1","S2","W1","W2","N1","N2"},MATCH(MIN(Q32:V32),Q32:V32,0))))</f>
        <v/>
      </c>
      <c r="X32" s="71">
        <f>IF(G32="","",IF(W32=E32,1,0))</f>
        <v/>
      </c>
      <c r="Y32" s="70" t="n"/>
    </row>
    <row r="33">
      <c r="A33" s="61" t="n">
        <v>6</v>
      </c>
      <c r="B33" s="62" t="n">
        <v>21</v>
      </c>
      <c r="C33" s="61" t="inlineStr">
        <is>
          <t>R3</t>
        </is>
      </c>
      <c r="D33" s="74" t="inlineStr">
        <is>
          <t>NG</t>
        </is>
      </c>
      <c r="E33" s="61" t="inlineStr">
        <is>
          <t>S2</t>
        </is>
      </c>
      <c r="F33" s="61" t="inlineStr">
        <is>
          <t>K006</t>
        </is>
      </c>
      <c r="G33" s="64" t="n">
        <v>5.91</v>
      </c>
      <c r="H33" s="65" t="n"/>
      <c r="I33" s="66" t="n"/>
      <c r="J33" s="67">
        <f>VLOOKUP(C33,Recipes!$A$2:$N$4,10,FALSE())</f>
        <v/>
      </c>
      <c r="K33" s="68">
        <f>VLOOKUP(C33,Recipes!$A$2:$N$4,12,FALSE())</f>
        <v/>
      </c>
      <c r="L33" s="67">
        <f>J33-6*K33</f>
        <v/>
      </c>
      <c r="M33" s="67">
        <f>J33+6*K33</f>
        <v/>
      </c>
      <c r="N33" s="61">
        <f>IF(G33="","",IF(AND(G33&gt;=L33,G33&lt;=M33),"OK","NG"))</f>
        <v/>
      </c>
      <c r="O33" s="69">
        <f>IF(N33="","",IF(N33=D33,1,0))</f>
        <v/>
      </c>
      <c r="P33" s="67">
        <f>IF(G33="","",J33-G33)</f>
        <v/>
      </c>
      <c r="Q33" s="67">
        <f>IF(G33="","",ABS(P33-Components!$D$2))</f>
        <v/>
      </c>
      <c r="R33" s="67">
        <f>IF(G33="","",ABS(P33-Components!$D$3))</f>
        <v/>
      </c>
      <c r="S33" s="67">
        <f>IF(G33="","",ABS(P33-Components!$D$4))</f>
        <v/>
      </c>
      <c r="T33" s="67">
        <f>IF(G33="","",ABS(P33-Components!$D$5))</f>
        <v/>
      </c>
      <c r="U33" s="67">
        <f>IF(G33="","",ABS(P33-Components!$D$6))</f>
        <v/>
      </c>
      <c r="V33" s="67">
        <f>IF(G33="","",ABS(P33-Components!$D$7))</f>
        <v/>
      </c>
      <c r="W33" s="61">
        <f>IF(G33="","",IF(N33="OK","NONE",INDEX({"S1","S2","W1","W2","N1","N2"},MATCH(MIN(Q33:V33),Q33:V33,0))))</f>
        <v/>
      </c>
      <c r="X33" s="69">
        <f>IF(G33="","",IF(W33=E33,1,0))</f>
        <v/>
      </c>
      <c r="Y33" s="70" t="n"/>
    </row>
    <row r="34">
      <c r="A34" s="61" t="n">
        <v>7</v>
      </c>
      <c r="B34" s="62" t="n">
        <v>51</v>
      </c>
      <c r="C34" s="61" t="inlineStr">
        <is>
          <t>R3</t>
        </is>
      </c>
      <c r="D34" s="74" t="inlineStr">
        <is>
          <t>NG</t>
        </is>
      </c>
      <c r="E34" s="61" t="inlineStr">
        <is>
          <t>S2</t>
        </is>
      </c>
      <c r="F34" s="61" t="inlineStr">
        <is>
          <t>K007</t>
        </is>
      </c>
      <c r="G34" s="64" t="n">
        <v>5.93</v>
      </c>
      <c r="H34" s="65" t="n"/>
      <c r="I34" s="66" t="n"/>
      <c r="J34" s="67">
        <f>VLOOKUP(C34,Recipes!$A$2:$N$4,10,FALSE())</f>
        <v/>
      </c>
      <c r="K34" s="68">
        <f>VLOOKUP(C34,Recipes!$A$2:$N$4,12,FALSE())</f>
        <v/>
      </c>
      <c r="L34" s="67">
        <f>J34-6*K34</f>
        <v/>
      </c>
      <c r="M34" s="67">
        <f>J34+6*K34</f>
        <v/>
      </c>
      <c r="N34" s="61">
        <f>IF(G34="","",IF(AND(G34&gt;=L34,G34&lt;=M34),"OK","NG"))</f>
        <v/>
      </c>
      <c r="O34" s="69">
        <f>IF(N34="","",IF(N34=D34,1,0))</f>
        <v/>
      </c>
      <c r="P34" s="67">
        <f>IF(G34="","",J34-G34)</f>
        <v/>
      </c>
      <c r="Q34" s="67">
        <f>IF(G34="","",ABS(P34-Components!$D$2))</f>
        <v/>
      </c>
      <c r="R34" s="67">
        <f>IF(G34="","",ABS(P34-Components!$D$3))</f>
        <v/>
      </c>
      <c r="S34" s="67">
        <f>IF(G34="","",ABS(P34-Components!$D$4))</f>
        <v/>
      </c>
      <c r="T34" s="67">
        <f>IF(G34="","",ABS(P34-Components!$D$5))</f>
        <v/>
      </c>
      <c r="U34" s="67">
        <f>IF(G34="","",ABS(P34-Components!$D$6))</f>
        <v/>
      </c>
      <c r="V34" s="67">
        <f>IF(G34="","",ABS(P34-Components!$D$7))</f>
        <v/>
      </c>
      <c r="W34" s="61">
        <f>IF(G34="","",IF(N34="OK","NONE",INDEX({"S1","S2","W1","W2","N1","N2"},MATCH(MIN(Q34:V34),Q34:V34,0))))</f>
        <v/>
      </c>
      <c r="X34" s="69">
        <f>IF(G34="","",IF(W34=E34,1,0))</f>
        <v/>
      </c>
      <c r="Y34" s="70" t="n"/>
    </row>
    <row r="35">
      <c r="A35" s="61" t="n">
        <v>8</v>
      </c>
      <c r="B35" s="62" t="n">
        <v>54</v>
      </c>
      <c r="C35" s="61" t="inlineStr">
        <is>
          <t>R3</t>
        </is>
      </c>
      <c r="D35" s="74" t="inlineStr">
        <is>
          <t>NG</t>
        </is>
      </c>
      <c r="E35" s="61" t="inlineStr">
        <is>
          <t>S2</t>
        </is>
      </c>
      <c r="F35" s="61" t="inlineStr">
        <is>
          <t>K008</t>
        </is>
      </c>
      <c r="G35" s="64" t="n">
        <v>5.86</v>
      </c>
      <c r="H35" s="65" t="n"/>
      <c r="I35" s="66" t="n"/>
      <c r="J35" s="67">
        <f>VLOOKUP(C35,Recipes!$A$2:$N$4,10,FALSE())</f>
        <v/>
      </c>
      <c r="K35" s="68">
        <f>VLOOKUP(C35,Recipes!$A$2:$N$4,12,FALSE())</f>
        <v/>
      </c>
      <c r="L35" s="67">
        <f>J35-6*K35</f>
        <v/>
      </c>
      <c r="M35" s="67">
        <f>J35+6*K35</f>
        <v/>
      </c>
      <c r="N35" s="61">
        <f>IF(G35="","",IF(AND(G35&gt;=L35,G35&lt;=M35),"OK","NG"))</f>
        <v/>
      </c>
      <c r="O35" s="69">
        <f>IF(N35="","",IF(N35=D35,1,0))</f>
        <v/>
      </c>
      <c r="P35" s="67">
        <f>IF(G35="","",J35-G35)</f>
        <v/>
      </c>
      <c r="Q35" s="67">
        <f>IF(G35="","",ABS(P35-Components!$D$2))</f>
        <v/>
      </c>
      <c r="R35" s="67">
        <f>IF(G35="","",ABS(P35-Components!$D$3))</f>
        <v/>
      </c>
      <c r="S35" s="67">
        <f>IF(G35="","",ABS(P35-Components!$D$4))</f>
        <v/>
      </c>
      <c r="T35" s="67">
        <f>IF(G35="","",ABS(P35-Components!$D$5))</f>
        <v/>
      </c>
      <c r="U35" s="67">
        <f>IF(G35="","",ABS(P35-Components!$D$6))</f>
        <v/>
      </c>
      <c r="V35" s="67">
        <f>IF(G35="","",ABS(P35-Components!$D$7))</f>
        <v/>
      </c>
      <c r="W35" s="61">
        <f>IF(G35="","",IF(N35="OK","NONE",INDEX({"S1","S2","W1","W2","N1","N2"},MATCH(MIN(Q35:V35),Q35:V35,0))))</f>
        <v/>
      </c>
      <c r="X35" s="69">
        <f>IF(G35="","",IF(W35=E35,1,0))</f>
        <v/>
      </c>
      <c r="Y35" s="70" t="n"/>
    </row>
    <row r="36">
      <c r="A36" s="61" t="n">
        <v>9</v>
      </c>
      <c r="B36" s="62" t="n">
        <v>36</v>
      </c>
      <c r="C36" s="61" t="inlineStr">
        <is>
          <t>R3</t>
        </is>
      </c>
      <c r="D36" s="74" t="inlineStr">
        <is>
          <t>NG</t>
        </is>
      </c>
      <c r="E36" s="61" t="inlineStr">
        <is>
          <t>S2</t>
        </is>
      </c>
      <c r="F36" s="61" t="inlineStr">
        <is>
          <t>K009</t>
        </is>
      </c>
      <c r="G36" s="64" t="n">
        <v>5.94</v>
      </c>
      <c r="H36" s="65" t="n"/>
      <c r="I36" s="66" t="n"/>
      <c r="J36" s="67">
        <f>VLOOKUP(C36,Recipes!$A$2:$N$4,10,FALSE())</f>
        <v/>
      </c>
      <c r="K36" s="68">
        <f>VLOOKUP(C36,Recipes!$A$2:$N$4,12,FALSE())</f>
        <v/>
      </c>
      <c r="L36" s="67">
        <f>J36-6*K36</f>
        <v/>
      </c>
      <c r="M36" s="67">
        <f>J36+6*K36</f>
        <v/>
      </c>
      <c r="N36" s="61">
        <f>IF(G36="","",IF(AND(G36&gt;=L36,G36&lt;=M36),"OK","NG"))</f>
        <v/>
      </c>
      <c r="O36" s="69">
        <f>IF(N36="","",IF(N36=D36,1,0))</f>
        <v/>
      </c>
      <c r="P36" s="67">
        <f>IF(G36="","",J36-G36)</f>
        <v/>
      </c>
      <c r="Q36" s="67">
        <f>IF(G36="","",ABS(P36-Components!$D$2))</f>
        <v/>
      </c>
      <c r="R36" s="67">
        <f>IF(G36="","",ABS(P36-Components!$D$3))</f>
        <v/>
      </c>
      <c r="S36" s="67">
        <f>IF(G36="","",ABS(P36-Components!$D$4))</f>
        <v/>
      </c>
      <c r="T36" s="67">
        <f>IF(G36="","",ABS(P36-Components!$D$5))</f>
        <v/>
      </c>
      <c r="U36" s="67">
        <f>IF(G36="","",ABS(P36-Components!$D$6))</f>
        <v/>
      </c>
      <c r="V36" s="67">
        <f>IF(G36="","",ABS(P36-Components!$D$7))</f>
        <v/>
      </c>
      <c r="W36" s="61">
        <f>IF(G36="","",IF(N36="OK","NONE",INDEX({"S1","S2","W1","W2","N1","N2"},MATCH(MIN(Q36:V36),Q36:V36,0))))</f>
        <v/>
      </c>
      <c r="X36" s="69">
        <f>IF(G36="","",IF(W36=E36,1,0))</f>
        <v/>
      </c>
      <c r="Y36" s="70" t="n"/>
    </row>
    <row r="37">
      <c r="A37" s="61" t="n">
        <v>9</v>
      </c>
      <c r="B37" s="62" t="n">
        <v>36</v>
      </c>
      <c r="C37" s="61" t="inlineStr">
        <is>
          <t>R3</t>
        </is>
      </c>
      <c r="D37" s="74" t="inlineStr">
        <is>
          <t>NG</t>
        </is>
      </c>
      <c r="E37" s="61" t="inlineStr">
        <is>
          <t>S2</t>
        </is>
      </c>
      <c r="F37" s="61" t="inlineStr">
        <is>
          <t>K009</t>
        </is>
      </c>
      <c r="G37" s="64" t="n">
        <v>5.9</v>
      </c>
      <c r="H37" s="65" t="n"/>
      <c r="I37" s="66" t="n"/>
      <c r="J37" s="67">
        <f>VLOOKUP(C37,Recipes!$A$2:$N$4,10,FALSE())</f>
        <v/>
      </c>
      <c r="K37" s="68">
        <f>VLOOKUP(C37,Recipes!$A$2:$N$4,12,FALSE())</f>
        <v/>
      </c>
      <c r="L37" s="67">
        <f>J37-6*K37</f>
        <v/>
      </c>
      <c r="M37" s="67">
        <f>J37+6*K37</f>
        <v/>
      </c>
      <c r="N37" s="61">
        <f>IF(G37="","",IF(AND(G37&gt;=L37,G37&lt;=M37),"OK","NG"))</f>
        <v/>
      </c>
      <c r="O37" s="69">
        <f>IF(N37="","",IF(N37=D37,1,0))</f>
        <v/>
      </c>
      <c r="P37" s="67">
        <f>IF(G37="","",J37-G37)</f>
        <v/>
      </c>
      <c r="Q37" s="67">
        <f>IF(G37="","",ABS(P37-Components!$D$2))</f>
        <v/>
      </c>
      <c r="R37" s="67">
        <f>IF(G37="","",ABS(P37-Components!$D$3))</f>
        <v/>
      </c>
      <c r="S37" s="67">
        <f>IF(G37="","",ABS(P37-Components!$D$4))</f>
        <v/>
      </c>
      <c r="T37" s="67">
        <f>IF(G37="","",ABS(P37-Components!$D$5))</f>
        <v/>
      </c>
      <c r="U37" s="67">
        <f>IF(G37="","",ABS(P37-Components!$D$6))</f>
        <v/>
      </c>
      <c r="V37" s="67">
        <f>IF(G37="","",ABS(P37-Components!$D$7))</f>
        <v/>
      </c>
      <c r="W37" s="61">
        <f>IF(G37="","",IF(N37="OK","NONE",INDEX({"S1","S2","W1","W2","N1","N2"},MATCH(MIN(Q37:V37),Q37:V37,0))))</f>
        <v/>
      </c>
      <c r="X37" s="69">
        <f>IF(G37="","",IF(W37=E37,1,0))</f>
        <v/>
      </c>
      <c r="Y37" s="70" t="n"/>
    </row>
    <row r="38">
      <c r="A38" s="61" t="n">
        <v>9</v>
      </c>
      <c r="B38" s="62" t="n">
        <v>36</v>
      </c>
      <c r="C38" s="61" t="inlineStr">
        <is>
          <t>R3</t>
        </is>
      </c>
      <c r="D38" s="74" t="inlineStr">
        <is>
          <t>NG</t>
        </is>
      </c>
      <c r="E38" s="61" t="inlineStr">
        <is>
          <t>S2</t>
        </is>
      </c>
      <c r="F38" s="61" t="inlineStr">
        <is>
          <t>K009</t>
        </is>
      </c>
      <c r="G38" s="64" t="n">
        <v>5.82</v>
      </c>
      <c r="H38" s="65" t="n"/>
      <c r="I38" s="66" t="n"/>
      <c r="J38" s="67">
        <f>VLOOKUP(C38,Recipes!$A$2:$N$4,10,FALSE())</f>
        <v/>
      </c>
      <c r="K38" s="68">
        <f>VLOOKUP(C38,Recipes!$A$2:$N$4,12,FALSE())</f>
        <v/>
      </c>
      <c r="L38" s="67">
        <f>J38-6*K38</f>
        <v/>
      </c>
      <c r="M38" s="67">
        <f>J38+6*K38</f>
        <v/>
      </c>
      <c r="N38" s="61">
        <f>IF(G38="","",IF(AND(G38&gt;=L38,G38&lt;=M38),"OK","NG"))</f>
        <v/>
      </c>
      <c r="O38" s="69">
        <f>IF(N38="","",IF(N38=D38,1,0))</f>
        <v/>
      </c>
      <c r="P38" s="67">
        <f>IF(G38="","",J38-G38)</f>
        <v/>
      </c>
      <c r="Q38" s="67">
        <f>IF(G38="","",ABS(P38-Components!$D$2))</f>
        <v/>
      </c>
      <c r="R38" s="67">
        <f>IF(G38="","",ABS(P38-Components!$D$3))</f>
        <v/>
      </c>
      <c r="S38" s="67">
        <f>IF(G38="","",ABS(P38-Components!$D$4))</f>
        <v/>
      </c>
      <c r="T38" s="67">
        <f>IF(G38="","",ABS(P38-Components!$D$5))</f>
        <v/>
      </c>
      <c r="U38" s="67">
        <f>IF(G38="","",ABS(P38-Components!$D$6))</f>
        <v/>
      </c>
      <c r="V38" s="67">
        <f>IF(G38="","",ABS(P38-Components!$D$7))</f>
        <v/>
      </c>
      <c r="W38" s="61">
        <f>IF(G38="","",IF(N38="OK","NONE",INDEX({"S1","S2","W1","W2","N1","N2"},MATCH(MIN(Q38:V38),Q38:V38,0))))</f>
        <v/>
      </c>
      <c r="X38" s="69">
        <f>IF(G38="","",IF(W38=E38,1,0))</f>
        <v/>
      </c>
      <c r="Y38" s="70" t="n"/>
    </row>
    <row r="39">
      <c r="A39" s="61" t="n">
        <v>9</v>
      </c>
      <c r="B39" s="62" t="n">
        <v>36</v>
      </c>
      <c r="C39" s="61" t="inlineStr">
        <is>
          <t>R3</t>
        </is>
      </c>
      <c r="D39" s="74" t="inlineStr">
        <is>
          <t>NG</t>
        </is>
      </c>
      <c r="E39" s="61" t="inlineStr">
        <is>
          <t>S2</t>
        </is>
      </c>
      <c r="F39" s="61" t="inlineStr">
        <is>
          <t>K009</t>
        </is>
      </c>
      <c r="G39" s="64" t="n">
        <v>5.87</v>
      </c>
      <c r="H39" s="65" t="n"/>
      <c r="I39" s="66" t="n"/>
      <c r="J39" s="67">
        <f>VLOOKUP(C39,Recipes!$A$2:$N$4,10,FALSE())</f>
        <v/>
      </c>
      <c r="K39" s="68">
        <f>VLOOKUP(C39,Recipes!$A$2:$N$4,12,FALSE())</f>
        <v/>
      </c>
      <c r="L39" s="67">
        <f>J39-6*K39</f>
        <v/>
      </c>
      <c r="M39" s="67">
        <f>J39+6*K39</f>
        <v/>
      </c>
      <c r="N39" s="61">
        <f>IF(G39="","",IF(AND(G39&gt;=L39,G39&lt;=M39),"OK","NG"))</f>
        <v/>
      </c>
      <c r="O39" s="69">
        <f>IF(N39="","",IF(N39=D39,1,0))</f>
        <v/>
      </c>
      <c r="P39" s="67">
        <f>IF(G39="","",J39-G39)</f>
        <v/>
      </c>
      <c r="Q39" s="67">
        <f>IF(G39="","",ABS(P39-Components!$D$2))</f>
        <v/>
      </c>
      <c r="R39" s="67">
        <f>IF(G39="","",ABS(P39-Components!$D$3))</f>
        <v/>
      </c>
      <c r="S39" s="67">
        <f>IF(G39="","",ABS(P39-Components!$D$4))</f>
        <v/>
      </c>
      <c r="T39" s="67">
        <f>IF(G39="","",ABS(P39-Components!$D$5))</f>
        <v/>
      </c>
      <c r="U39" s="67">
        <f>IF(G39="","",ABS(P39-Components!$D$6))</f>
        <v/>
      </c>
      <c r="V39" s="67">
        <f>IF(G39="","",ABS(P39-Components!$D$7))</f>
        <v/>
      </c>
      <c r="W39" s="61">
        <f>IF(G39="","",IF(N39="OK","NONE",INDEX({"S1","S2","W1","W2","N1","N2"},MATCH(MIN(Q39:V39),Q39:V39,0))))</f>
        <v/>
      </c>
      <c r="X39" s="69">
        <f>IF(G39="","",IF(W39=E39,1,0))</f>
        <v/>
      </c>
      <c r="Y39" s="70" t="n"/>
    </row>
    <row r="40">
      <c r="A40" s="61" t="n">
        <v>9</v>
      </c>
      <c r="B40" s="62" t="n">
        <v>36</v>
      </c>
      <c r="C40" s="61" t="inlineStr">
        <is>
          <t>R3</t>
        </is>
      </c>
      <c r="D40" s="74" t="inlineStr">
        <is>
          <t>NG</t>
        </is>
      </c>
      <c r="E40" s="61" t="inlineStr">
        <is>
          <t>S2</t>
        </is>
      </c>
      <c r="F40" s="61" t="inlineStr">
        <is>
          <t>K009</t>
        </is>
      </c>
      <c r="G40" s="64" t="n">
        <v>5.89</v>
      </c>
      <c r="H40" s="65" t="n"/>
      <c r="I40" s="66" t="n"/>
      <c r="J40" s="67">
        <f>VLOOKUP(C40,Recipes!$A$2:$N$4,10,FALSE())</f>
        <v/>
      </c>
      <c r="K40" s="68">
        <f>VLOOKUP(C40,Recipes!$A$2:$N$4,12,FALSE())</f>
        <v/>
      </c>
      <c r="L40" s="67">
        <f>J40-6*K40</f>
        <v/>
      </c>
      <c r="M40" s="67">
        <f>J40+6*K40</f>
        <v/>
      </c>
      <c r="N40" s="61">
        <f>IF(G40="","",IF(AND(G40&gt;=L40,G40&lt;=M40),"OK","NG"))</f>
        <v/>
      </c>
      <c r="O40" s="69">
        <f>IF(N40="","",IF(N40=D40,1,0))</f>
        <v/>
      </c>
      <c r="P40" s="67">
        <f>IF(G40="","",J40-G40)</f>
        <v/>
      </c>
      <c r="Q40" s="67">
        <f>IF(G40="","",ABS(P40-Components!$D$2))</f>
        <v/>
      </c>
      <c r="R40" s="67">
        <f>IF(G40="","",ABS(P40-Components!$D$3))</f>
        <v/>
      </c>
      <c r="S40" s="67">
        <f>IF(G40="","",ABS(P40-Components!$D$4))</f>
        <v/>
      </c>
      <c r="T40" s="67">
        <f>IF(G40="","",ABS(P40-Components!$D$5))</f>
        <v/>
      </c>
      <c r="U40" s="67">
        <f>IF(G40="","",ABS(P40-Components!$D$6))</f>
        <v/>
      </c>
      <c r="V40" s="67">
        <f>IF(G40="","",ABS(P40-Components!$D$7))</f>
        <v/>
      </c>
      <c r="W40" s="61">
        <f>IF(G40="","",IF(N40="OK","NONE",INDEX({"S1","S2","W1","W2","N1","N2"},MATCH(MIN(Q40:V40),Q40:V40,0))))</f>
        <v/>
      </c>
      <c r="X40" s="69">
        <f>IF(G40="","",IF(W40=E40,1,0))</f>
        <v/>
      </c>
      <c r="Y40" s="70" t="n"/>
    </row>
    <row r="41">
      <c r="A41" s="61" t="n">
        <v>9</v>
      </c>
      <c r="B41" s="62" t="n">
        <v>36</v>
      </c>
      <c r="C41" s="61" t="inlineStr">
        <is>
          <t>R3</t>
        </is>
      </c>
      <c r="D41" s="74" t="inlineStr">
        <is>
          <t>NG</t>
        </is>
      </c>
      <c r="E41" s="61" t="inlineStr">
        <is>
          <t>S2</t>
        </is>
      </c>
      <c r="F41" s="61" t="inlineStr">
        <is>
          <t>K009</t>
        </is>
      </c>
      <c r="G41" s="64" t="n">
        <v>5.91</v>
      </c>
      <c r="H41" s="65" t="n"/>
      <c r="I41" s="66" t="n"/>
      <c r="J41" s="67">
        <f>VLOOKUP(C41,Recipes!$A$2:$N$4,10,FALSE())</f>
        <v/>
      </c>
      <c r="K41" s="68">
        <f>VLOOKUP(C41,Recipes!$A$2:$N$4,12,FALSE())</f>
        <v/>
      </c>
      <c r="L41" s="67">
        <f>J41-6*K41</f>
        <v/>
      </c>
      <c r="M41" s="67">
        <f>J41+6*K41</f>
        <v/>
      </c>
      <c r="N41" s="61">
        <f>IF(G41="","",IF(AND(G41&gt;=L41,G41&lt;=M41),"OK","NG"))</f>
        <v/>
      </c>
      <c r="O41" s="69">
        <f>IF(N41="","",IF(N41=D41,1,0))</f>
        <v/>
      </c>
      <c r="P41" s="67">
        <f>IF(G41="","",J41-G41)</f>
        <v/>
      </c>
      <c r="Q41" s="67">
        <f>IF(G41="","",ABS(P41-Components!$D$2))</f>
        <v/>
      </c>
      <c r="R41" s="67">
        <f>IF(G41="","",ABS(P41-Components!$D$3))</f>
        <v/>
      </c>
      <c r="S41" s="67">
        <f>IF(G41="","",ABS(P41-Components!$D$4))</f>
        <v/>
      </c>
      <c r="T41" s="67">
        <f>IF(G41="","",ABS(P41-Components!$D$5))</f>
        <v/>
      </c>
      <c r="U41" s="67">
        <f>IF(G41="","",ABS(P41-Components!$D$6))</f>
        <v/>
      </c>
      <c r="V41" s="67">
        <f>IF(G41="","",ABS(P41-Components!$D$7))</f>
        <v/>
      </c>
      <c r="W41" s="61">
        <f>IF(G41="","",IF(N41="OK","NONE",INDEX({"S1","S2","W1","W2","N1","N2"},MATCH(MIN(Q41:V41),Q41:V41,0))))</f>
        <v/>
      </c>
      <c r="X41" s="69">
        <f>IF(G41="","",IF(W41=E41,1,0))</f>
        <v/>
      </c>
      <c r="Y41" s="70" t="n"/>
    </row>
    <row r="42">
      <c r="A42" s="61" t="n">
        <v>9</v>
      </c>
      <c r="B42" s="62" t="n">
        <v>36</v>
      </c>
      <c r="C42" s="61" t="inlineStr">
        <is>
          <t>R3</t>
        </is>
      </c>
      <c r="D42" s="74" t="inlineStr">
        <is>
          <t>NG</t>
        </is>
      </c>
      <c r="E42" s="61" t="inlineStr">
        <is>
          <t>S2</t>
        </is>
      </c>
      <c r="F42" s="61" t="inlineStr">
        <is>
          <t>K009</t>
        </is>
      </c>
      <c r="G42" s="64" t="n">
        <v>5.94</v>
      </c>
      <c r="H42" s="65" t="n"/>
      <c r="I42" s="66" t="n"/>
      <c r="J42" s="67">
        <f>VLOOKUP(C42,Recipes!$A$2:$N$4,10,FALSE())</f>
        <v/>
      </c>
      <c r="K42" s="68">
        <f>VLOOKUP(C42,Recipes!$A$2:$N$4,12,FALSE())</f>
        <v/>
      </c>
      <c r="L42" s="67">
        <f>J42-6*K42</f>
        <v/>
      </c>
      <c r="M42" s="67">
        <f>J42+6*K42</f>
        <v/>
      </c>
      <c r="N42" s="61">
        <f>IF(G42="","",IF(AND(G42&gt;=L42,G42&lt;=M42),"OK","NG"))</f>
        <v/>
      </c>
      <c r="O42" s="69">
        <f>IF(N42="","",IF(N42=D42,1,0))</f>
        <v/>
      </c>
      <c r="P42" s="67">
        <f>IF(G42="","",J42-G42)</f>
        <v/>
      </c>
      <c r="Q42" s="67">
        <f>IF(G42="","",ABS(P42-Components!$D$2))</f>
        <v/>
      </c>
      <c r="R42" s="67">
        <f>IF(G42="","",ABS(P42-Components!$D$3))</f>
        <v/>
      </c>
      <c r="S42" s="67">
        <f>IF(G42="","",ABS(P42-Components!$D$4))</f>
        <v/>
      </c>
      <c r="T42" s="67">
        <f>IF(G42="","",ABS(P42-Components!$D$5))</f>
        <v/>
      </c>
      <c r="U42" s="67">
        <f>IF(G42="","",ABS(P42-Components!$D$6))</f>
        <v/>
      </c>
      <c r="V42" s="67">
        <f>IF(G42="","",ABS(P42-Components!$D$7))</f>
        <v/>
      </c>
      <c r="W42" s="61">
        <f>IF(G42="","",IF(N42="OK","NONE",INDEX({"S1","S2","W1","W2","N1","N2"},MATCH(MIN(Q42:V42),Q42:V42,0))))</f>
        <v/>
      </c>
      <c r="X42" s="69">
        <f>IF(G42="","",IF(W42=E42,1,0))</f>
        <v/>
      </c>
      <c r="Y42" s="70" t="n"/>
    </row>
    <row r="43">
      <c r="A43" s="61" t="n">
        <v>9</v>
      </c>
      <c r="B43" s="62" t="n">
        <v>36</v>
      </c>
      <c r="C43" s="61" t="inlineStr">
        <is>
          <t>R3</t>
        </is>
      </c>
      <c r="D43" s="74" t="inlineStr">
        <is>
          <t>NG</t>
        </is>
      </c>
      <c r="E43" s="61" t="inlineStr">
        <is>
          <t>S2</t>
        </is>
      </c>
      <c r="F43" s="61" t="inlineStr">
        <is>
          <t>K009</t>
        </is>
      </c>
      <c r="G43" s="64" t="n">
        <v>5.91</v>
      </c>
      <c r="H43" s="65" t="n"/>
      <c r="I43" s="66" t="n"/>
      <c r="J43" s="67">
        <f>VLOOKUP(C43,Recipes!$A$2:$N$4,10,FALSE())</f>
        <v/>
      </c>
      <c r="K43" s="68">
        <f>VLOOKUP(C43,Recipes!$A$2:$N$4,12,FALSE())</f>
        <v/>
      </c>
      <c r="L43" s="67">
        <f>J43-6*K43</f>
        <v/>
      </c>
      <c r="M43" s="67">
        <f>J43+6*K43</f>
        <v/>
      </c>
      <c r="N43" s="61">
        <f>IF(G43="","",IF(AND(G43&gt;=L43,G43&lt;=M43),"OK","NG"))</f>
        <v/>
      </c>
      <c r="O43" s="69">
        <f>IF(N43="","",IF(N43=D43,1,0))</f>
        <v/>
      </c>
      <c r="P43" s="67">
        <f>IF(G43="","",J43-G43)</f>
        <v/>
      </c>
      <c r="Q43" s="67">
        <f>IF(G43="","",ABS(P43-Components!$D$2))</f>
        <v/>
      </c>
      <c r="R43" s="67">
        <f>IF(G43="","",ABS(P43-Components!$D$3))</f>
        <v/>
      </c>
      <c r="S43" s="67">
        <f>IF(G43="","",ABS(P43-Components!$D$4))</f>
        <v/>
      </c>
      <c r="T43" s="67">
        <f>IF(G43="","",ABS(P43-Components!$D$5))</f>
        <v/>
      </c>
      <c r="U43" s="67">
        <f>IF(G43="","",ABS(P43-Components!$D$6))</f>
        <v/>
      </c>
      <c r="V43" s="67">
        <f>IF(G43="","",ABS(P43-Components!$D$7))</f>
        <v/>
      </c>
      <c r="W43" s="61">
        <f>IF(G43="","",IF(N43="OK","NONE",INDEX({"S1","S2","W1","W2","N1","N2"},MATCH(MIN(Q43:V43),Q43:V43,0))))</f>
        <v/>
      </c>
      <c r="X43" s="69">
        <f>IF(G43="","",IF(W43=E43,1,0))</f>
        <v/>
      </c>
      <c r="Y43" s="70" t="n"/>
    </row>
    <row r="44">
      <c r="A44" s="61" t="n">
        <v>9</v>
      </c>
      <c r="B44" s="62" t="n">
        <v>36</v>
      </c>
      <c r="C44" s="61" t="inlineStr">
        <is>
          <t>R3</t>
        </is>
      </c>
      <c r="D44" s="74" t="inlineStr">
        <is>
          <t>NG</t>
        </is>
      </c>
      <c r="E44" s="61" t="inlineStr">
        <is>
          <t>S2</t>
        </is>
      </c>
      <c r="F44" s="61" t="inlineStr">
        <is>
          <t>K009</t>
        </is>
      </c>
      <c r="G44" s="64" t="n">
        <v>5.96</v>
      </c>
      <c r="H44" s="65" t="n"/>
      <c r="I44" s="66" t="n"/>
      <c r="J44" s="67">
        <f>VLOOKUP(C44,Recipes!$A$2:$N$4,10,FALSE())</f>
        <v/>
      </c>
      <c r="K44" s="68">
        <f>VLOOKUP(C44,Recipes!$A$2:$N$4,12,FALSE())</f>
        <v/>
      </c>
      <c r="L44" s="67">
        <f>J44-6*K44</f>
        <v/>
      </c>
      <c r="M44" s="67">
        <f>J44+6*K44</f>
        <v/>
      </c>
      <c r="N44" s="61">
        <f>IF(G44="","",IF(AND(G44&gt;=L44,G44&lt;=M44),"OK","NG"))</f>
        <v/>
      </c>
      <c r="O44" s="69">
        <f>IF(N44="","",IF(N44=D44,1,0))</f>
        <v/>
      </c>
      <c r="P44" s="67">
        <f>IF(G44="","",J44-G44)</f>
        <v/>
      </c>
      <c r="Q44" s="67">
        <f>IF(G44="","",ABS(P44-Components!$D$2))</f>
        <v/>
      </c>
      <c r="R44" s="67">
        <f>IF(G44="","",ABS(P44-Components!$D$3))</f>
        <v/>
      </c>
      <c r="S44" s="67">
        <f>IF(G44="","",ABS(P44-Components!$D$4))</f>
        <v/>
      </c>
      <c r="T44" s="67">
        <f>IF(G44="","",ABS(P44-Components!$D$5))</f>
        <v/>
      </c>
      <c r="U44" s="67">
        <f>IF(G44="","",ABS(P44-Components!$D$6))</f>
        <v/>
      </c>
      <c r="V44" s="67">
        <f>IF(G44="","",ABS(P44-Components!$D$7))</f>
        <v/>
      </c>
      <c r="W44" s="61">
        <f>IF(G44="","",IF(N44="OK","NONE",INDEX({"S1","S2","W1","W2","N1","N2"},MATCH(MIN(Q44:V44),Q44:V44,0))))</f>
        <v/>
      </c>
      <c r="X44" s="69">
        <f>IF(G44="","",IF(W44=E44,1,0))</f>
        <v/>
      </c>
      <c r="Y44" s="70" t="n"/>
    </row>
    <row r="45">
      <c r="A45" s="61" t="n">
        <v>9</v>
      </c>
      <c r="B45" s="62" t="n">
        <v>36</v>
      </c>
      <c r="C45" s="61" t="inlineStr">
        <is>
          <t>R3</t>
        </is>
      </c>
      <c r="D45" s="74" t="inlineStr">
        <is>
          <t>NG</t>
        </is>
      </c>
      <c r="E45" s="61" t="inlineStr">
        <is>
          <t>S2</t>
        </is>
      </c>
      <c r="F45" s="61" t="inlineStr">
        <is>
          <t>K009</t>
        </is>
      </c>
      <c r="G45" s="64" t="n">
        <v>5.98</v>
      </c>
      <c r="H45" s="65" t="n"/>
      <c r="I45" s="66" t="n"/>
      <c r="J45" s="67">
        <f>VLOOKUP(C45,Recipes!$A$2:$N$4,10,FALSE())</f>
        <v/>
      </c>
      <c r="K45" s="68">
        <f>VLOOKUP(C45,Recipes!$A$2:$N$4,12,FALSE())</f>
        <v/>
      </c>
      <c r="L45" s="67">
        <f>J45-6*K45</f>
        <v/>
      </c>
      <c r="M45" s="67">
        <f>J45+6*K45</f>
        <v/>
      </c>
      <c r="N45" s="61">
        <f>IF(G45="","",IF(AND(G45&gt;=L45,G45&lt;=M45),"OK","NG"))</f>
        <v/>
      </c>
      <c r="O45" s="69">
        <f>IF(N45="","",IF(N45=D45,1,0))</f>
        <v/>
      </c>
      <c r="P45" s="67">
        <f>IF(G45="","",J45-G45)</f>
        <v/>
      </c>
      <c r="Q45" s="67">
        <f>IF(G45="","",ABS(P45-Components!$D$2))</f>
        <v/>
      </c>
      <c r="R45" s="67">
        <f>IF(G45="","",ABS(P45-Components!$D$3))</f>
        <v/>
      </c>
      <c r="S45" s="67">
        <f>IF(G45="","",ABS(P45-Components!$D$4))</f>
        <v/>
      </c>
      <c r="T45" s="67">
        <f>IF(G45="","",ABS(P45-Components!$D$5))</f>
        <v/>
      </c>
      <c r="U45" s="67">
        <f>IF(G45="","",ABS(P45-Components!$D$6))</f>
        <v/>
      </c>
      <c r="V45" s="67">
        <f>IF(G45="","",ABS(P45-Components!$D$7))</f>
        <v/>
      </c>
      <c r="W45" s="61">
        <f>IF(G45="","",IF(N45="OK","NONE",INDEX({"S1","S2","W1","W2","N1","N2"},MATCH(MIN(Q45:V45),Q45:V45,0))))</f>
        <v/>
      </c>
      <c r="X45" s="69">
        <f>IF(G45="","",IF(W45=E45,1,0))</f>
        <v/>
      </c>
      <c r="Y45" s="70" t="n"/>
    </row>
    <row r="46">
      <c r="A46" s="61" t="n">
        <v>9</v>
      </c>
      <c r="B46" s="62" t="n">
        <v>36</v>
      </c>
      <c r="C46" s="61" t="inlineStr">
        <is>
          <t>R3</t>
        </is>
      </c>
      <c r="D46" s="74" t="inlineStr">
        <is>
          <t>NG</t>
        </is>
      </c>
      <c r="E46" s="61" t="inlineStr">
        <is>
          <t>S2</t>
        </is>
      </c>
      <c r="F46" s="61" t="inlineStr">
        <is>
          <t>K009</t>
        </is>
      </c>
      <c r="G46" s="64" t="n">
        <v>5.94</v>
      </c>
      <c r="H46" s="65" t="n"/>
      <c r="I46" s="66" t="n"/>
      <c r="J46" s="67">
        <f>VLOOKUP(C46,Recipes!$A$2:$N$4,10,FALSE())</f>
        <v/>
      </c>
      <c r="K46" s="68">
        <f>VLOOKUP(C46,Recipes!$A$2:$N$4,12,FALSE())</f>
        <v/>
      </c>
      <c r="L46" s="67">
        <f>J46-6*K46</f>
        <v/>
      </c>
      <c r="M46" s="67">
        <f>J46+6*K46</f>
        <v/>
      </c>
      <c r="N46" s="61">
        <f>IF(G46="","",IF(AND(G46&gt;=L46,G46&lt;=M46),"OK","NG"))</f>
        <v/>
      </c>
      <c r="O46" s="69">
        <f>IF(N46="","",IF(N46=D46,1,0))</f>
        <v/>
      </c>
      <c r="P46" s="67">
        <f>IF(G46="","",J46-G46)</f>
        <v/>
      </c>
      <c r="Q46" s="67">
        <f>IF(G46="","",ABS(P46-Components!$D$2))</f>
        <v/>
      </c>
      <c r="R46" s="67">
        <f>IF(G46="","",ABS(P46-Components!$D$3))</f>
        <v/>
      </c>
      <c r="S46" s="67">
        <f>IF(G46="","",ABS(P46-Components!$D$4))</f>
        <v/>
      </c>
      <c r="T46" s="67">
        <f>IF(G46="","",ABS(P46-Components!$D$5))</f>
        <v/>
      </c>
      <c r="U46" s="67">
        <f>IF(G46="","",ABS(P46-Components!$D$6))</f>
        <v/>
      </c>
      <c r="V46" s="67">
        <f>IF(G46="","",ABS(P46-Components!$D$7))</f>
        <v/>
      </c>
      <c r="W46" s="61">
        <f>IF(G46="","",IF(N46="OK","NONE",INDEX({"S1","S2","W1","W2","N1","N2"},MATCH(MIN(Q46:V46),Q46:V46,0))))</f>
        <v/>
      </c>
      <c r="X46" s="69">
        <f>IF(G46="","",IF(W46=E46,1,0))</f>
        <v/>
      </c>
      <c r="Y46" s="70" t="n"/>
    </row>
    <row r="47">
      <c r="A47" s="61" t="n">
        <v>9</v>
      </c>
      <c r="B47" s="62" t="n">
        <v>36</v>
      </c>
      <c r="C47" s="61" t="inlineStr">
        <is>
          <t>R3</t>
        </is>
      </c>
      <c r="D47" s="74" t="inlineStr">
        <is>
          <t>NG</t>
        </is>
      </c>
      <c r="E47" s="61" t="inlineStr">
        <is>
          <t>S2</t>
        </is>
      </c>
      <c r="F47" s="61" t="inlineStr">
        <is>
          <t>K009</t>
        </is>
      </c>
      <c r="G47" s="64" t="n">
        <v>5.87</v>
      </c>
      <c r="H47" s="65" t="n"/>
      <c r="I47" s="66" t="n"/>
      <c r="J47" s="67">
        <f>VLOOKUP(C47,Recipes!$A$2:$N$4,10,FALSE())</f>
        <v/>
      </c>
      <c r="K47" s="68">
        <f>VLOOKUP(C47,Recipes!$A$2:$N$4,12,FALSE())</f>
        <v/>
      </c>
      <c r="L47" s="67">
        <f>J47-6*K47</f>
        <v/>
      </c>
      <c r="M47" s="67">
        <f>J47+6*K47</f>
        <v/>
      </c>
      <c r="N47" s="61">
        <f>IF(G47="","",IF(AND(G47&gt;=L47,G47&lt;=M47),"OK","NG"))</f>
        <v/>
      </c>
      <c r="O47" s="69">
        <f>IF(N47="","",IF(N47=D47,1,0))</f>
        <v/>
      </c>
      <c r="P47" s="67">
        <f>IF(G47="","",J47-G47)</f>
        <v/>
      </c>
      <c r="Q47" s="67">
        <f>IF(G47="","",ABS(P47-Components!$D$2))</f>
        <v/>
      </c>
      <c r="R47" s="67">
        <f>IF(G47="","",ABS(P47-Components!$D$3))</f>
        <v/>
      </c>
      <c r="S47" s="67">
        <f>IF(G47="","",ABS(P47-Components!$D$4))</f>
        <v/>
      </c>
      <c r="T47" s="67">
        <f>IF(G47="","",ABS(P47-Components!$D$5))</f>
        <v/>
      </c>
      <c r="U47" s="67">
        <f>IF(G47="","",ABS(P47-Components!$D$6))</f>
        <v/>
      </c>
      <c r="V47" s="67">
        <f>IF(G47="","",ABS(P47-Components!$D$7))</f>
        <v/>
      </c>
      <c r="W47" s="61">
        <f>IF(G47="","",IF(N47="OK","NONE",INDEX({"S1","S2","W1","W2","N1","N2"},MATCH(MIN(Q47:V47),Q47:V47,0))))</f>
        <v/>
      </c>
      <c r="X47" s="69">
        <f>IF(G47="","",IF(W47=E47,1,0))</f>
        <v/>
      </c>
      <c r="Y47" s="70" t="n"/>
    </row>
    <row r="48">
      <c r="A48" s="61" t="n">
        <v>9</v>
      </c>
      <c r="B48" s="62" t="n">
        <v>36</v>
      </c>
      <c r="C48" s="61" t="inlineStr">
        <is>
          <t>R3</t>
        </is>
      </c>
      <c r="D48" s="74" t="inlineStr">
        <is>
          <t>NG</t>
        </is>
      </c>
      <c r="E48" s="61" t="inlineStr">
        <is>
          <t>S2</t>
        </is>
      </c>
      <c r="F48" s="61" t="inlineStr">
        <is>
          <t>K009</t>
        </is>
      </c>
      <c r="G48" s="64" t="n">
        <v>5.95</v>
      </c>
      <c r="H48" s="65" t="n"/>
      <c r="I48" s="66" t="n"/>
      <c r="J48" s="67">
        <f>VLOOKUP(C48,Recipes!$A$2:$N$4,10,FALSE())</f>
        <v/>
      </c>
      <c r="K48" s="68">
        <f>VLOOKUP(C48,Recipes!$A$2:$N$4,12,FALSE())</f>
        <v/>
      </c>
      <c r="L48" s="67">
        <f>J48-6*K48</f>
        <v/>
      </c>
      <c r="M48" s="67">
        <f>J48+6*K48</f>
        <v/>
      </c>
      <c r="N48" s="61">
        <f>IF(G48="","",IF(AND(G48&gt;=L48,G48&lt;=M48),"OK","NG"))</f>
        <v/>
      </c>
      <c r="O48" s="69">
        <f>IF(N48="","",IF(N48=D48,1,0))</f>
        <v/>
      </c>
      <c r="P48" s="67">
        <f>IF(G48="","",J48-G48)</f>
        <v/>
      </c>
      <c r="Q48" s="67">
        <f>IF(G48="","",ABS(P48-Components!$D$2))</f>
        <v/>
      </c>
      <c r="R48" s="67">
        <f>IF(G48="","",ABS(P48-Components!$D$3))</f>
        <v/>
      </c>
      <c r="S48" s="67">
        <f>IF(G48="","",ABS(P48-Components!$D$4))</f>
        <v/>
      </c>
      <c r="T48" s="67">
        <f>IF(G48="","",ABS(P48-Components!$D$5))</f>
        <v/>
      </c>
      <c r="U48" s="67">
        <f>IF(G48="","",ABS(P48-Components!$D$6))</f>
        <v/>
      </c>
      <c r="V48" s="67">
        <f>IF(G48="","",ABS(P48-Components!$D$7))</f>
        <v/>
      </c>
      <c r="W48" s="61">
        <f>IF(G48="","",IF(N48="OK","NONE",INDEX({"S1","S2","W1","W2","N1","N2"},MATCH(MIN(Q48:V48),Q48:V48,0))))</f>
        <v/>
      </c>
      <c r="X48" s="69">
        <f>IF(G48="","",IF(W48=E48,1,0))</f>
        <v/>
      </c>
      <c r="Y48" s="70" t="n"/>
    </row>
    <row r="49">
      <c r="A49" s="61" t="n">
        <v>9</v>
      </c>
      <c r="B49" s="62" t="n">
        <v>36</v>
      </c>
      <c r="C49" s="61" t="inlineStr">
        <is>
          <t>R3</t>
        </is>
      </c>
      <c r="D49" s="74" t="inlineStr">
        <is>
          <t>NG</t>
        </is>
      </c>
      <c r="E49" s="61" t="inlineStr">
        <is>
          <t>S2</t>
        </is>
      </c>
      <c r="F49" s="61" t="inlineStr">
        <is>
          <t>K009</t>
        </is>
      </c>
      <c r="G49" s="64" t="n">
        <v>5.89</v>
      </c>
      <c r="H49" s="65" t="n"/>
      <c r="I49" s="66" t="n"/>
      <c r="J49" s="67">
        <f>VLOOKUP(C49,Recipes!$A$2:$N$4,10,FALSE())</f>
        <v/>
      </c>
      <c r="K49" s="68">
        <f>VLOOKUP(C49,Recipes!$A$2:$N$4,12,FALSE())</f>
        <v/>
      </c>
      <c r="L49" s="67">
        <f>J49-6*K49</f>
        <v/>
      </c>
      <c r="M49" s="67">
        <f>J49+6*K49</f>
        <v/>
      </c>
      <c r="N49" s="61">
        <f>IF(G49="","",IF(AND(G49&gt;=L49,G49&lt;=M49),"OK","NG"))</f>
        <v/>
      </c>
      <c r="O49" s="69">
        <f>IF(N49="","",IF(N49=D49,1,0))</f>
        <v/>
      </c>
      <c r="P49" s="67">
        <f>IF(G49="","",J49-G49)</f>
        <v/>
      </c>
      <c r="Q49" s="67">
        <f>IF(G49="","",ABS(P49-Components!$D$2))</f>
        <v/>
      </c>
      <c r="R49" s="67">
        <f>IF(G49="","",ABS(P49-Components!$D$3))</f>
        <v/>
      </c>
      <c r="S49" s="67">
        <f>IF(G49="","",ABS(P49-Components!$D$4))</f>
        <v/>
      </c>
      <c r="T49" s="67">
        <f>IF(G49="","",ABS(P49-Components!$D$5))</f>
        <v/>
      </c>
      <c r="U49" s="67">
        <f>IF(G49="","",ABS(P49-Components!$D$6))</f>
        <v/>
      </c>
      <c r="V49" s="67">
        <f>IF(G49="","",ABS(P49-Components!$D$7))</f>
        <v/>
      </c>
      <c r="W49" s="61">
        <f>IF(G49="","",IF(N49="OK","NONE",INDEX({"S1","S2","W1","W2","N1","N2"},MATCH(MIN(Q49:V49),Q49:V49,0))))</f>
        <v/>
      </c>
      <c r="X49" s="69">
        <f>IF(G49="","",IF(W49=E49,1,0))</f>
        <v/>
      </c>
      <c r="Y49" s="70" t="n"/>
    </row>
    <row r="50">
      <c r="A50" s="61" t="n">
        <v>9</v>
      </c>
      <c r="B50" s="62" t="n">
        <v>36</v>
      </c>
      <c r="C50" s="61" t="inlineStr">
        <is>
          <t>R3</t>
        </is>
      </c>
      <c r="D50" s="74" t="inlineStr">
        <is>
          <t>NG</t>
        </is>
      </c>
      <c r="E50" s="61" t="inlineStr">
        <is>
          <t>S2</t>
        </is>
      </c>
      <c r="F50" s="61" t="inlineStr">
        <is>
          <t>K009</t>
        </is>
      </c>
      <c r="G50" s="64" t="n">
        <v>5.88</v>
      </c>
      <c r="H50" s="65" t="n"/>
      <c r="I50" s="66" t="n"/>
      <c r="J50" s="67">
        <f>VLOOKUP(C50,Recipes!$A$2:$N$4,10,FALSE())</f>
        <v/>
      </c>
      <c r="K50" s="68">
        <f>VLOOKUP(C50,Recipes!$A$2:$N$4,12,FALSE())</f>
        <v/>
      </c>
      <c r="L50" s="67">
        <f>J50-6*K50</f>
        <v/>
      </c>
      <c r="M50" s="67">
        <f>J50+6*K50</f>
        <v/>
      </c>
      <c r="N50" s="61">
        <f>IF(G50="","",IF(AND(G50&gt;=L50,G50&lt;=M50),"OK","NG"))</f>
        <v/>
      </c>
      <c r="O50" s="69">
        <f>IF(N50="","",IF(N50=D50,1,0))</f>
        <v/>
      </c>
      <c r="P50" s="67">
        <f>IF(G50="","",J50-G50)</f>
        <v/>
      </c>
      <c r="Q50" s="67">
        <f>IF(G50="","",ABS(P50-Components!$D$2))</f>
        <v/>
      </c>
      <c r="R50" s="67">
        <f>IF(G50="","",ABS(P50-Components!$D$3))</f>
        <v/>
      </c>
      <c r="S50" s="67">
        <f>IF(G50="","",ABS(P50-Components!$D$4))</f>
        <v/>
      </c>
      <c r="T50" s="67">
        <f>IF(G50="","",ABS(P50-Components!$D$5))</f>
        <v/>
      </c>
      <c r="U50" s="67">
        <f>IF(G50="","",ABS(P50-Components!$D$6))</f>
        <v/>
      </c>
      <c r="V50" s="67">
        <f>IF(G50="","",ABS(P50-Components!$D$7))</f>
        <v/>
      </c>
      <c r="W50" s="61">
        <f>IF(G50="","",IF(N50="OK","NONE",INDEX({"S1","S2","W1","W2","N1","N2"},MATCH(MIN(Q50:V50),Q50:V50,0))))</f>
        <v/>
      </c>
      <c r="X50" s="69">
        <f>IF(G50="","",IF(W50=E50,1,0))</f>
        <v/>
      </c>
      <c r="Y50" s="70" t="n"/>
    </row>
    <row r="51">
      <c r="A51" s="61" t="n">
        <v>9</v>
      </c>
      <c r="B51" s="62" t="n">
        <v>36</v>
      </c>
      <c r="C51" s="61" t="inlineStr">
        <is>
          <t>R3</t>
        </is>
      </c>
      <c r="D51" s="74" t="inlineStr">
        <is>
          <t>NG</t>
        </is>
      </c>
      <c r="E51" s="61" t="inlineStr">
        <is>
          <t>S2</t>
        </is>
      </c>
      <c r="F51" s="61" t="inlineStr">
        <is>
          <t>K009</t>
        </is>
      </c>
      <c r="G51" s="64" t="n">
        <v>5.94</v>
      </c>
      <c r="H51" s="65" t="n"/>
      <c r="I51" s="66" t="n"/>
      <c r="J51" s="67">
        <f>VLOOKUP(C51,Recipes!$A$2:$N$4,10,FALSE())</f>
        <v/>
      </c>
      <c r="K51" s="68">
        <f>VLOOKUP(C51,Recipes!$A$2:$N$4,12,FALSE())</f>
        <v/>
      </c>
      <c r="L51" s="67">
        <f>J51-6*K51</f>
        <v/>
      </c>
      <c r="M51" s="67">
        <f>J51+6*K51</f>
        <v/>
      </c>
      <c r="N51" s="61">
        <f>IF(G51="","",IF(AND(G51&gt;=L51,G51&lt;=M51),"OK","NG"))</f>
        <v/>
      </c>
      <c r="O51" s="69">
        <f>IF(N51="","",IF(N51=D51,1,0))</f>
        <v/>
      </c>
      <c r="P51" s="67">
        <f>IF(G51="","",J51-G51)</f>
        <v/>
      </c>
      <c r="Q51" s="67">
        <f>IF(G51="","",ABS(P51-Components!$D$2))</f>
        <v/>
      </c>
      <c r="R51" s="67">
        <f>IF(G51="","",ABS(P51-Components!$D$3))</f>
        <v/>
      </c>
      <c r="S51" s="67">
        <f>IF(G51="","",ABS(P51-Components!$D$4))</f>
        <v/>
      </c>
      <c r="T51" s="67">
        <f>IF(G51="","",ABS(P51-Components!$D$5))</f>
        <v/>
      </c>
      <c r="U51" s="67">
        <f>IF(G51="","",ABS(P51-Components!$D$6))</f>
        <v/>
      </c>
      <c r="V51" s="67">
        <f>IF(G51="","",ABS(P51-Components!$D$7))</f>
        <v/>
      </c>
      <c r="W51" s="61">
        <f>IF(G51="","",IF(N51="OK","NONE",INDEX({"S1","S2","W1","W2","N1","N2"},MATCH(MIN(Q51:V51),Q51:V51,0))))</f>
        <v/>
      </c>
      <c r="X51" s="69">
        <f>IF(G51="","",IF(W51=E51,1,0))</f>
        <v/>
      </c>
      <c r="Y51" s="70" t="n"/>
    </row>
    <row r="52">
      <c r="A52" s="61" t="n">
        <v>9</v>
      </c>
      <c r="B52" s="62" t="n">
        <v>36</v>
      </c>
      <c r="C52" s="61" t="inlineStr">
        <is>
          <t>R3</t>
        </is>
      </c>
      <c r="D52" s="74" t="inlineStr">
        <is>
          <t>NG</t>
        </is>
      </c>
      <c r="E52" s="61" t="inlineStr">
        <is>
          <t>S2</t>
        </is>
      </c>
      <c r="F52" s="61" t="inlineStr">
        <is>
          <t>K009</t>
        </is>
      </c>
      <c r="G52" s="64" t="n">
        <v>5.93</v>
      </c>
      <c r="H52" s="65" t="n"/>
      <c r="I52" s="66" t="n"/>
      <c r="J52" s="67">
        <f>VLOOKUP(C52,Recipes!$A$2:$N$4,10,FALSE())</f>
        <v/>
      </c>
      <c r="K52" s="68">
        <f>VLOOKUP(C52,Recipes!$A$2:$N$4,12,FALSE())</f>
        <v/>
      </c>
      <c r="L52" s="67">
        <f>J52-6*K52</f>
        <v/>
      </c>
      <c r="M52" s="67">
        <f>J52+6*K52</f>
        <v/>
      </c>
      <c r="N52" s="61">
        <f>IF(G52="","",IF(AND(G52&gt;=L52,G52&lt;=M52),"OK","NG"))</f>
        <v/>
      </c>
      <c r="O52" s="69">
        <f>IF(N52="","",IF(N52=D52,1,0))</f>
        <v/>
      </c>
      <c r="P52" s="67">
        <f>IF(G52="","",J52-G52)</f>
        <v/>
      </c>
      <c r="Q52" s="67">
        <f>IF(G52="","",ABS(P52-Components!$D$2))</f>
        <v/>
      </c>
      <c r="R52" s="67">
        <f>IF(G52="","",ABS(P52-Components!$D$3))</f>
        <v/>
      </c>
      <c r="S52" s="67">
        <f>IF(G52="","",ABS(P52-Components!$D$4))</f>
        <v/>
      </c>
      <c r="T52" s="67">
        <f>IF(G52="","",ABS(P52-Components!$D$5))</f>
        <v/>
      </c>
      <c r="U52" s="67">
        <f>IF(G52="","",ABS(P52-Components!$D$6))</f>
        <v/>
      </c>
      <c r="V52" s="67">
        <f>IF(G52="","",ABS(P52-Components!$D$7))</f>
        <v/>
      </c>
      <c r="W52" s="61">
        <f>IF(G52="","",IF(N52="OK","NONE",INDEX({"S1","S2","W1","W2","N1","N2"},MATCH(MIN(Q52:V52),Q52:V52,0))))</f>
        <v/>
      </c>
      <c r="X52" s="69">
        <f>IF(G52="","",IF(W52=E52,1,0))</f>
        <v/>
      </c>
      <c r="Y52" s="70" t="n"/>
    </row>
    <row r="53">
      <c r="A53" s="61" t="n">
        <v>9</v>
      </c>
      <c r="B53" s="62" t="n">
        <v>36</v>
      </c>
      <c r="C53" s="61" t="inlineStr">
        <is>
          <t>R3</t>
        </is>
      </c>
      <c r="D53" s="74" t="inlineStr">
        <is>
          <t>NG</t>
        </is>
      </c>
      <c r="E53" s="61" t="inlineStr">
        <is>
          <t>S2</t>
        </is>
      </c>
      <c r="F53" s="61" t="inlineStr">
        <is>
          <t>K009</t>
        </is>
      </c>
      <c r="G53" s="64" t="n">
        <v>5.99</v>
      </c>
      <c r="H53" s="65" t="n"/>
      <c r="I53" s="66" t="n"/>
      <c r="J53" s="67">
        <f>VLOOKUP(C53,Recipes!$A$2:$N$4,10,FALSE())</f>
        <v/>
      </c>
      <c r="K53" s="68">
        <f>VLOOKUP(C53,Recipes!$A$2:$N$4,12,FALSE())</f>
        <v/>
      </c>
      <c r="L53" s="67">
        <f>J53-6*K53</f>
        <v/>
      </c>
      <c r="M53" s="67">
        <f>J53+6*K53</f>
        <v/>
      </c>
      <c r="N53" s="61">
        <f>IF(G53="","",IF(AND(G53&gt;=L53,G53&lt;=M53),"OK","NG"))</f>
        <v/>
      </c>
      <c r="O53" s="69">
        <f>IF(N53="","",IF(N53=D53,1,0))</f>
        <v/>
      </c>
      <c r="P53" s="67">
        <f>IF(G53="","",J53-G53)</f>
        <v/>
      </c>
      <c r="Q53" s="67">
        <f>IF(G53="","",ABS(P53-Components!$D$2))</f>
        <v/>
      </c>
      <c r="R53" s="67">
        <f>IF(G53="","",ABS(P53-Components!$D$3))</f>
        <v/>
      </c>
      <c r="S53" s="67">
        <f>IF(G53="","",ABS(P53-Components!$D$4))</f>
        <v/>
      </c>
      <c r="T53" s="67">
        <f>IF(G53="","",ABS(P53-Components!$D$5))</f>
        <v/>
      </c>
      <c r="U53" s="67">
        <f>IF(G53="","",ABS(P53-Components!$D$6))</f>
        <v/>
      </c>
      <c r="V53" s="67">
        <f>IF(G53="","",ABS(P53-Components!$D$7))</f>
        <v/>
      </c>
      <c r="W53" s="61">
        <f>IF(G53="","",IF(N53="OK","NONE",INDEX({"S1","S2","W1","W2","N1","N2"},MATCH(MIN(Q53:V53),Q53:V53,0))))</f>
        <v/>
      </c>
      <c r="X53" s="69">
        <f>IF(G53="","",IF(W53=E53,1,0))</f>
        <v/>
      </c>
      <c r="Y53" s="70" t="n"/>
    </row>
    <row r="54">
      <c r="A54" s="61" t="n">
        <v>9</v>
      </c>
      <c r="B54" s="62" t="n">
        <v>36</v>
      </c>
      <c r="C54" s="61" t="inlineStr">
        <is>
          <t>R3</t>
        </is>
      </c>
      <c r="D54" s="74" t="inlineStr">
        <is>
          <t>NG</t>
        </is>
      </c>
      <c r="E54" s="61" t="inlineStr">
        <is>
          <t>S2</t>
        </is>
      </c>
      <c r="F54" s="61" t="inlineStr">
        <is>
          <t>K009</t>
        </is>
      </c>
      <c r="G54" s="64" t="n">
        <v>5.92</v>
      </c>
      <c r="H54" s="65" t="n"/>
      <c r="I54" s="66" t="n"/>
      <c r="J54" s="67">
        <f>VLOOKUP(C54,Recipes!$A$2:$N$4,10,FALSE())</f>
        <v/>
      </c>
      <c r="K54" s="68">
        <f>VLOOKUP(C54,Recipes!$A$2:$N$4,12,FALSE())</f>
        <v/>
      </c>
      <c r="L54" s="67">
        <f>J54-6*K54</f>
        <v/>
      </c>
      <c r="M54" s="67">
        <f>J54+6*K54</f>
        <v/>
      </c>
      <c r="N54" s="61">
        <f>IF(G54="","",IF(AND(G54&gt;=L54,G54&lt;=M54),"OK","NG"))</f>
        <v/>
      </c>
      <c r="O54" s="69">
        <f>IF(N54="","",IF(N54=D54,1,0))</f>
        <v/>
      </c>
      <c r="P54" s="67">
        <f>IF(G54="","",J54-G54)</f>
        <v/>
      </c>
      <c r="Q54" s="67">
        <f>IF(G54="","",ABS(P54-Components!$D$2))</f>
        <v/>
      </c>
      <c r="R54" s="67">
        <f>IF(G54="","",ABS(P54-Components!$D$3))</f>
        <v/>
      </c>
      <c r="S54" s="67">
        <f>IF(G54="","",ABS(P54-Components!$D$4))</f>
        <v/>
      </c>
      <c r="T54" s="67">
        <f>IF(G54="","",ABS(P54-Components!$D$5))</f>
        <v/>
      </c>
      <c r="U54" s="67">
        <f>IF(G54="","",ABS(P54-Components!$D$6))</f>
        <v/>
      </c>
      <c r="V54" s="67">
        <f>IF(G54="","",ABS(P54-Components!$D$7))</f>
        <v/>
      </c>
      <c r="W54" s="61">
        <f>IF(G54="","",IF(N54="OK","NONE",INDEX({"S1","S2","W1","W2","N1","N2"},MATCH(MIN(Q54:V54),Q54:V54,0))))</f>
        <v/>
      </c>
      <c r="X54" s="69">
        <f>IF(G54="","",IF(W54=E54,1,0))</f>
        <v/>
      </c>
      <c r="Y54" s="70" t="n"/>
    </row>
    <row r="55">
      <c r="A55" s="61" t="n">
        <v>9</v>
      </c>
      <c r="B55" s="62" t="n">
        <v>36</v>
      </c>
      <c r="C55" s="61" t="inlineStr">
        <is>
          <t>R3</t>
        </is>
      </c>
      <c r="D55" s="74" t="inlineStr">
        <is>
          <t>NG</t>
        </is>
      </c>
      <c r="E55" s="61" t="inlineStr">
        <is>
          <t>S2</t>
        </is>
      </c>
      <c r="F55" s="61" t="inlineStr">
        <is>
          <t>K009</t>
        </is>
      </c>
      <c r="G55" s="64" t="n">
        <v>5.78</v>
      </c>
      <c r="H55" s="65" t="n"/>
      <c r="I55" s="66" t="n"/>
      <c r="J55" s="67">
        <f>VLOOKUP(C55,Recipes!$A$2:$N$4,10,FALSE())</f>
        <v/>
      </c>
      <c r="K55" s="68">
        <f>VLOOKUP(C55,Recipes!$A$2:$N$4,12,FALSE())</f>
        <v/>
      </c>
      <c r="L55" s="67">
        <f>J55-6*K55</f>
        <v/>
      </c>
      <c r="M55" s="67">
        <f>J55+6*K55</f>
        <v/>
      </c>
      <c r="N55" s="61">
        <f>IF(G55="","",IF(AND(G55&gt;=L55,G55&lt;=M55),"OK","NG"))</f>
        <v/>
      </c>
      <c r="O55" s="69">
        <f>IF(N55="","",IF(N55=D55,1,0))</f>
        <v/>
      </c>
      <c r="P55" s="67">
        <f>IF(G55="","",J55-G55)</f>
        <v/>
      </c>
      <c r="Q55" s="67">
        <f>IF(G55="","",ABS(P55-Components!$D$2))</f>
        <v/>
      </c>
      <c r="R55" s="67">
        <f>IF(G55="","",ABS(P55-Components!$D$3))</f>
        <v/>
      </c>
      <c r="S55" s="67">
        <f>IF(G55="","",ABS(P55-Components!$D$4))</f>
        <v/>
      </c>
      <c r="T55" s="67">
        <f>IF(G55="","",ABS(P55-Components!$D$5))</f>
        <v/>
      </c>
      <c r="U55" s="67">
        <f>IF(G55="","",ABS(P55-Components!$D$6))</f>
        <v/>
      </c>
      <c r="V55" s="67">
        <f>IF(G55="","",ABS(P55-Components!$D$7))</f>
        <v/>
      </c>
      <c r="W55" s="61">
        <f>IF(G55="","",IF(N55="OK","NONE",INDEX({"S1","S2","W1","W2","N1","N2"},MATCH(MIN(Q55:V55),Q55:V55,0))))</f>
        <v/>
      </c>
      <c r="X55" s="69">
        <f>IF(G55="","",IF(W55=E55,1,0))</f>
        <v/>
      </c>
      <c r="Y55" s="70" t="n"/>
    </row>
    <row r="56">
      <c r="A56" s="61" t="n">
        <v>9</v>
      </c>
      <c r="B56" s="62" t="n">
        <v>36</v>
      </c>
      <c r="C56" s="61" t="inlineStr">
        <is>
          <t>R3</t>
        </is>
      </c>
      <c r="D56" s="74" t="inlineStr">
        <is>
          <t>NG</t>
        </is>
      </c>
      <c r="E56" s="61" t="inlineStr">
        <is>
          <t>S2</t>
        </is>
      </c>
      <c r="F56" s="61" t="inlineStr">
        <is>
          <t>K009</t>
        </is>
      </c>
      <c r="G56" s="64" t="n">
        <v>5.95</v>
      </c>
      <c r="H56" s="65" t="n"/>
      <c r="I56" s="66" t="n"/>
      <c r="J56" s="67">
        <f>VLOOKUP(C56,Recipes!$A$2:$N$4,10,FALSE())</f>
        <v/>
      </c>
      <c r="K56" s="68">
        <f>VLOOKUP(C56,Recipes!$A$2:$N$4,12,FALSE())</f>
        <v/>
      </c>
      <c r="L56" s="67">
        <f>J56-6*K56</f>
        <v/>
      </c>
      <c r="M56" s="67">
        <f>J56+6*K56</f>
        <v/>
      </c>
      <c r="N56" s="61">
        <f>IF(G56="","",IF(AND(G56&gt;=L56,G56&lt;=M56),"OK","NG"))</f>
        <v/>
      </c>
      <c r="O56" s="69">
        <f>IF(N56="","",IF(N56=D56,1,0))</f>
        <v/>
      </c>
      <c r="P56" s="67">
        <f>IF(G56="","",J56-G56)</f>
        <v/>
      </c>
      <c r="Q56" s="67">
        <f>IF(G56="","",ABS(P56-Components!$D$2))</f>
        <v/>
      </c>
      <c r="R56" s="67">
        <f>IF(G56="","",ABS(P56-Components!$D$3))</f>
        <v/>
      </c>
      <c r="S56" s="67">
        <f>IF(G56="","",ABS(P56-Components!$D$4))</f>
        <v/>
      </c>
      <c r="T56" s="67">
        <f>IF(G56="","",ABS(P56-Components!$D$5))</f>
        <v/>
      </c>
      <c r="U56" s="67">
        <f>IF(G56="","",ABS(P56-Components!$D$6))</f>
        <v/>
      </c>
      <c r="V56" s="67">
        <f>IF(G56="","",ABS(P56-Components!$D$7))</f>
        <v/>
      </c>
      <c r="W56" s="61">
        <f>IF(G56="","",IF(N56="OK","NONE",INDEX({"S1","S2","W1","W2","N1","N2"},MATCH(MIN(Q56:V56),Q56:V56,0))))</f>
        <v/>
      </c>
      <c r="X56" s="69">
        <f>IF(G56="","",IF(W56=E56,1,0))</f>
        <v/>
      </c>
      <c r="Y56" s="70" t="n"/>
    </row>
    <row r="57">
      <c r="A57" s="61" t="n">
        <v>9</v>
      </c>
      <c r="B57" s="62" t="n">
        <v>36</v>
      </c>
      <c r="C57" s="61" t="inlineStr">
        <is>
          <t>R3</t>
        </is>
      </c>
      <c r="D57" s="74" t="inlineStr">
        <is>
          <t>NG</t>
        </is>
      </c>
      <c r="E57" s="61" t="inlineStr">
        <is>
          <t>S2</t>
        </is>
      </c>
      <c r="F57" s="61" t="inlineStr">
        <is>
          <t>K009</t>
        </is>
      </c>
      <c r="G57" s="64" t="n">
        <v>5.92</v>
      </c>
      <c r="H57" s="65" t="n"/>
      <c r="I57" s="66" t="n"/>
      <c r="J57" s="67">
        <f>VLOOKUP(C57,Recipes!$A$2:$N$4,10,FALSE())</f>
        <v/>
      </c>
      <c r="K57" s="68">
        <f>VLOOKUP(C57,Recipes!$A$2:$N$4,12,FALSE())</f>
        <v/>
      </c>
      <c r="L57" s="67">
        <f>J57-6*K57</f>
        <v/>
      </c>
      <c r="M57" s="67">
        <f>J57+6*K57</f>
        <v/>
      </c>
      <c r="N57" s="61">
        <f>IF(G57="","",IF(AND(G57&gt;=L57,G57&lt;=M57),"OK","NG"))</f>
        <v/>
      </c>
      <c r="O57" s="69">
        <f>IF(N57="","",IF(N57=D57,1,0))</f>
        <v/>
      </c>
      <c r="P57" s="67">
        <f>IF(G57="","",J57-G57)</f>
        <v/>
      </c>
      <c r="Q57" s="67">
        <f>IF(G57="","",ABS(P57-Components!$D$2))</f>
        <v/>
      </c>
      <c r="R57" s="67">
        <f>IF(G57="","",ABS(P57-Components!$D$3))</f>
        <v/>
      </c>
      <c r="S57" s="67">
        <f>IF(G57="","",ABS(P57-Components!$D$4))</f>
        <v/>
      </c>
      <c r="T57" s="67">
        <f>IF(G57="","",ABS(P57-Components!$D$5))</f>
        <v/>
      </c>
      <c r="U57" s="67">
        <f>IF(G57="","",ABS(P57-Components!$D$6))</f>
        <v/>
      </c>
      <c r="V57" s="67">
        <f>IF(G57="","",ABS(P57-Components!$D$7))</f>
        <v/>
      </c>
      <c r="W57" s="61">
        <f>IF(G57="","",IF(N57="OK","NONE",INDEX({"S1","S2","W1","W2","N1","N2"},MATCH(MIN(Q57:V57),Q57:V57,0))))</f>
        <v/>
      </c>
      <c r="X57" s="69">
        <f>IF(G57="","",IF(W57=E57,1,0))</f>
        <v/>
      </c>
      <c r="Y57" s="70" t="n"/>
    </row>
    <row r="58">
      <c r="A58" s="61" t="n">
        <v>9</v>
      </c>
      <c r="B58" s="62" t="n">
        <v>36</v>
      </c>
      <c r="C58" s="61" t="inlineStr">
        <is>
          <t>R3</t>
        </is>
      </c>
      <c r="D58" s="74" t="inlineStr">
        <is>
          <t>NG</t>
        </is>
      </c>
      <c r="E58" s="61" t="inlineStr">
        <is>
          <t>S2</t>
        </is>
      </c>
      <c r="F58" s="61" t="inlineStr">
        <is>
          <t>K009</t>
        </is>
      </c>
      <c r="G58" s="64" t="n">
        <v>5.94</v>
      </c>
      <c r="H58" s="65" t="n"/>
      <c r="I58" s="66" t="n"/>
      <c r="J58" s="67">
        <f>VLOOKUP(C58,Recipes!$A$2:$N$4,10,FALSE())</f>
        <v/>
      </c>
      <c r="K58" s="68">
        <f>VLOOKUP(C58,Recipes!$A$2:$N$4,12,FALSE())</f>
        <v/>
      </c>
      <c r="L58" s="67">
        <f>J58-6*K58</f>
        <v/>
      </c>
      <c r="M58" s="67">
        <f>J58+6*K58</f>
        <v/>
      </c>
      <c r="N58" s="61">
        <f>IF(G58="","",IF(AND(G58&gt;=L58,G58&lt;=M58),"OK","NG"))</f>
        <v/>
      </c>
      <c r="O58" s="69">
        <f>IF(N58="","",IF(N58=D58,1,0))</f>
        <v/>
      </c>
      <c r="P58" s="67">
        <f>IF(G58="","",J58-G58)</f>
        <v/>
      </c>
      <c r="Q58" s="67">
        <f>IF(G58="","",ABS(P58-Components!$D$2))</f>
        <v/>
      </c>
      <c r="R58" s="67">
        <f>IF(G58="","",ABS(P58-Components!$D$3))</f>
        <v/>
      </c>
      <c r="S58" s="67">
        <f>IF(G58="","",ABS(P58-Components!$D$4))</f>
        <v/>
      </c>
      <c r="T58" s="67">
        <f>IF(G58="","",ABS(P58-Components!$D$5))</f>
        <v/>
      </c>
      <c r="U58" s="67">
        <f>IF(G58="","",ABS(P58-Components!$D$6))</f>
        <v/>
      </c>
      <c r="V58" s="67">
        <f>IF(G58="","",ABS(P58-Components!$D$7))</f>
        <v/>
      </c>
      <c r="W58" s="61">
        <f>IF(G58="","",IF(N58="OK","NONE",INDEX({"S1","S2","W1","W2","N1","N2"},MATCH(MIN(Q58:V58),Q58:V58,0))))</f>
        <v/>
      </c>
      <c r="X58" s="69">
        <f>IF(G58="","",IF(W58=E58,1,0))</f>
        <v/>
      </c>
      <c r="Y58" s="70" t="n"/>
    </row>
    <row r="59">
      <c r="A59" s="61" t="n">
        <v>9</v>
      </c>
      <c r="B59" s="62" t="n">
        <v>36</v>
      </c>
      <c r="C59" s="61" t="inlineStr">
        <is>
          <t>R3</t>
        </is>
      </c>
      <c r="D59" s="74" t="inlineStr">
        <is>
          <t>NG</t>
        </is>
      </c>
      <c r="E59" s="61" t="inlineStr">
        <is>
          <t>S2</t>
        </is>
      </c>
      <c r="F59" s="61" t="inlineStr">
        <is>
          <t>K009</t>
        </is>
      </c>
      <c r="G59" s="64" t="n">
        <v>5.9</v>
      </c>
      <c r="H59" s="65" t="n"/>
      <c r="I59" s="66" t="n"/>
      <c r="J59" s="67">
        <f>VLOOKUP(C59,Recipes!$A$2:$N$4,10,FALSE())</f>
        <v/>
      </c>
      <c r="K59" s="68">
        <f>VLOOKUP(C59,Recipes!$A$2:$N$4,12,FALSE())</f>
        <v/>
      </c>
      <c r="L59" s="67">
        <f>J59-6*K59</f>
        <v/>
      </c>
      <c r="M59" s="67">
        <f>J59+6*K59</f>
        <v/>
      </c>
      <c r="N59" s="61">
        <f>IF(G59="","",IF(AND(G59&gt;=L59,G59&lt;=M59),"OK","NG"))</f>
        <v/>
      </c>
      <c r="O59" s="69">
        <f>IF(N59="","",IF(N59=D59,1,0))</f>
        <v/>
      </c>
      <c r="P59" s="67">
        <f>IF(G59="","",J59-G59)</f>
        <v/>
      </c>
      <c r="Q59" s="67">
        <f>IF(G59="","",ABS(P59-Components!$D$2))</f>
        <v/>
      </c>
      <c r="R59" s="67">
        <f>IF(G59="","",ABS(P59-Components!$D$3))</f>
        <v/>
      </c>
      <c r="S59" s="67">
        <f>IF(G59="","",ABS(P59-Components!$D$4))</f>
        <v/>
      </c>
      <c r="T59" s="67">
        <f>IF(G59="","",ABS(P59-Components!$D$5))</f>
        <v/>
      </c>
      <c r="U59" s="67">
        <f>IF(G59="","",ABS(P59-Components!$D$6))</f>
        <v/>
      </c>
      <c r="V59" s="67">
        <f>IF(G59="","",ABS(P59-Components!$D$7))</f>
        <v/>
      </c>
      <c r="W59" s="61">
        <f>IF(G59="","",IF(N59="OK","NONE",INDEX({"S1","S2","W1","W2","N1","N2"},MATCH(MIN(Q59:V59),Q59:V59,0))))</f>
        <v/>
      </c>
      <c r="X59" s="69">
        <f>IF(G59="","",IF(W59=E59,1,0))</f>
        <v/>
      </c>
      <c r="Y59" s="70" t="n"/>
    </row>
    <row r="60">
      <c r="A60" s="61" t="n">
        <v>9</v>
      </c>
      <c r="B60" s="62" t="n">
        <v>36</v>
      </c>
      <c r="C60" s="61" t="inlineStr">
        <is>
          <t>R3</t>
        </is>
      </c>
      <c r="D60" s="74" t="inlineStr">
        <is>
          <t>NG</t>
        </is>
      </c>
      <c r="E60" s="61" t="inlineStr">
        <is>
          <t>S2</t>
        </is>
      </c>
      <c r="F60" s="61" t="inlineStr">
        <is>
          <t>K009</t>
        </is>
      </c>
      <c r="G60" s="64" t="n">
        <v>5.92</v>
      </c>
      <c r="H60" s="65" t="n"/>
      <c r="I60" s="66" t="n"/>
      <c r="J60" s="67">
        <f>VLOOKUP(C60,Recipes!$A$2:$N$4,10,FALSE())</f>
        <v/>
      </c>
      <c r="K60" s="68">
        <f>VLOOKUP(C60,Recipes!$A$2:$N$4,12,FALSE())</f>
        <v/>
      </c>
      <c r="L60" s="67">
        <f>J60-6*K60</f>
        <v/>
      </c>
      <c r="M60" s="67">
        <f>J60+6*K60</f>
        <v/>
      </c>
      <c r="N60" s="61">
        <f>IF(G60="","",IF(AND(G60&gt;=L60,G60&lt;=M60),"OK","NG"))</f>
        <v/>
      </c>
      <c r="O60" s="69">
        <f>IF(N60="","",IF(N60=D60,1,0))</f>
        <v/>
      </c>
      <c r="P60" s="67">
        <f>IF(G60="","",J60-G60)</f>
        <v/>
      </c>
      <c r="Q60" s="67">
        <f>IF(G60="","",ABS(P60-Components!$D$2))</f>
        <v/>
      </c>
      <c r="R60" s="67">
        <f>IF(G60="","",ABS(P60-Components!$D$3))</f>
        <v/>
      </c>
      <c r="S60" s="67">
        <f>IF(G60="","",ABS(P60-Components!$D$4))</f>
        <v/>
      </c>
      <c r="T60" s="67">
        <f>IF(G60="","",ABS(P60-Components!$D$5))</f>
        <v/>
      </c>
      <c r="U60" s="67">
        <f>IF(G60="","",ABS(P60-Components!$D$6))</f>
        <v/>
      </c>
      <c r="V60" s="67">
        <f>IF(G60="","",ABS(P60-Components!$D$7))</f>
        <v/>
      </c>
      <c r="W60" s="61">
        <f>IF(G60="","",IF(N60="OK","NONE",INDEX({"S1","S2","W1","W2","N1","N2"},MATCH(MIN(Q60:V60),Q60:V60,0))))</f>
        <v/>
      </c>
      <c r="X60" s="69">
        <f>IF(G60="","",IF(W60=E60,1,0))</f>
        <v/>
      </c>
      <c r="Y60" s="70" t="n"/>
    </row>
    <row r="61">
      <c r="A61" s="61" t="n">
        <v>9</v>
      </c>
      <c r="B61" s="62" t="n">
        <v>36</v>
      </c>
      <c r="C61" s="61" t="inlineStr">
        <is>
          <t>R3</t>
        </is>
      </c>
      <c r="D61" s="74" t="inlineStr">
        <is>
          <t>NG</t>
        </is>
      </c>
      <c r="E61" s="61" t="inlineStr">
        <is>
          <t>S2</t>
        </is>
      </c>
      <c r="F61" s="61" t="inlineStr">
        <is>
          <t>K009</t>
        </is>
      </c>
      <c r="G61" s="64" t="n">
        <v>5.4</v>
      </c>
      <c r="H61" s="65" t="n"/>
      <c r="I61" s="66" t="n"/>
      <c r="J61" s="67">
        <f>VLOOKUP(C61,Recipes!$A$2:$N$4,10,FALSE())</f>
        <v/>
      </c>
      <c r="K61" s="68">
        <f>VLOOKUP(C61,Recipes!$A$2:$N$4,12,FALSE())</f>
        <v/>
      </c>
      <c r="L61" s="67">
        <f>J61-6*K61</f>
        <v/>
      </c>
      <c r="M61" s="67">
        <f>J61+6*K61</f>
        <v/>
      </c>
      <c r="N61" s="61">
        <f>IF(G61="","",IF(AND(G61&gt;=L61,G61&lt;=M61),"OK","NG"))</f>
        <v/>
      </c>
      <c r="O61" s="69">
        <f>IF(N61="","",IF(N61=D61,1,0))</f>
        <v/>
      </c>
      <c r="P61" s="67">
        <f>IF(G61="","",J61-G61)</f>
        <v/>
      </c>
      <c r="Q61" s="67">
        <f>IF(G61="","",ABS(P61-Components!$D$2))</f>
        <v/>
      </c>
      <c r="R61" s="67">
        <f>IF(G61="","",ABS(P61-Components!$D$3))</f>
        <v/>
      </c>
      <c r="S61" s="67">
        <f>IF(G61="","",ABS(P61-Components!$D$4))</f>
        <v/>
      </c>
      <c r="T61" s="67">
        <f>IF(G61="","",ABS(P61-Components!$D$5))</f>
        <v/>
      </c>
      <c r="U61" s="67">
        <f>IF(G61="","",ABS(P61-Components!$D$6))</f>
        <v/>
      </c>
      <c r="V61" s="67">
        <f>IF(G61="","",ABS(P61-Components!$D$7))</f>
        <v/>
      </c>
      <c r="W61" s="61">
        <f>IF(G61="","",IF(N61="OK","NONE",INDEX({"S1","S2","W1","W2","N1","N2"},MATCH(MIN(Q61:V61),Q61:V61,0))))</f>
        <v/>
      </c>
      <c r="X61" s="71">
        <f>IF(G61="","",IF(W61=E61,1,0))</f>
        <v/>
      </c>
      <c r="Y61" s="70" t="n"/>
    </row>
    <row r="62">
      <c r="A62" s="61" t="n">
        <v>9</v>
      </c>
      <c r="B62" s="62" t="n">
        <v>36</v>
      </c>
      <c r="C62" s="61" t="inlineStr">
        <is>
          <t>R3</t>
        </is>
      </c>
      <c r="D62" s="74" t="inlineStr">
        <is>
          <t>NG</t>
        </is>
      </c>
      <c r="E62" s="61" t="inlineStr">
        <is>
          <t>S2</t>
        </is>
      </c>
      <c r="F62" s="61" t="inlineStr">
        <is>
          <t>K009</t>
        </is>
      </c>
      <c r="G62" s="64" t="n">
        <v>5.8</v>
      </c>
      <c r="H62" s="65" t="n"/>
      <c r="I62" s="66" t="n"/>
      <c r="J62" s="67">
        <f>VLOOKUP(C62,Recipes!$A$2:$N$4,10,FALSE())</f>
        <v/>
      </c>
      <c r="K62" s="68">
        <f>VLOOKUP(C62,Recipes!$A$2:$N$4,12,FALSE())</f>
        <v/>
      </c>
      <c r="L62" s="67">
        <f>J62-6*K62</f>
        <v/>
      </c>
      <c r="M62" s="67">
        <f>J62+6*K62</f>
        <v/>
      </c>
      <c r="N62" s="61">
        <f>IF(G62="","",IF(AND(G62&gt;=L62,G62&lt;=M62),"OK","NG"))</f>
        <v/>
      </c>
      <c r="O62" s="69">
        <f>IF(N62="","",IF(N62=D62,1,0))</f>
        <v/>
      </c>
      <c r="P62" s="67">
        <f>IF(G62="","",J62-G62)</f>
        <v/>
      </c>
      <c r="Q62" s="67">
        <f>IF(G62="","",ABS(P62-Components!$D$2))</f>
        <v/>
      </c>
      <c r="R62" s="67">
        <f>IF(G62="","",ABS(P62-Components!$D$3))</f>
        <v/>
      </c>
      <c r="S62" s="67">
        <f>IF(G62="","",ABS(P62-Components!$D$4))</f>
        <v/>
      </c>
      <c r="T62" s="67">
        <f>IF(G62="","",ABS(P62-Components!$D$5))</f>
        <v/>
      </c>
      <c r="U62" s="67">
        <f>IF(G62="","",ABS(P62-Components!$D$6))</f>
        <v/>
      </c>
      <c r="V62" s="67">
        <f>IF(G62="","",ABS(P62-Components!$D$7))</f>
        <v/>
      </c>
      <c r="W62" s="61">
        <f>IF(G62="","",IF(N62="OK","NONE",INDEX({"S1","S2","W1","W2","N1","N2"},MATCH(MIN(Q62:V62),Q62:V62,0))))</f>
        <v/>
      </c>
      <c r="X62" s="69">
        <f>IF(G62="","",IF(W62=E62,1,0))</f>
        <v/>
      </c>
      <c r="Y62" s="70" t="n"/>
    </row>
    <row r="63">
      <c r="A63" s="61" t="n">
        <v>11</v>
      </c>
      <c r="B63" s="62" t="n">
        <v>10</v>
      </c>
      <c r="C63" s="61" t="inlineStr">
        <is>
          <t>R3</t>
        </is>
      </c>
      <c r="D63" s="74" t="inlineStr">
        <is>
          <t>NG</t>
        </is>
      </c>
      <c r="E63" s="61" t="inlineStr">
        <is>
          <t>W2</t>
        </is>
      </c>
      <c r="F63" s="61" t="inlineStr">
        <is>
          <t>K011</t>
        </is>
      </c>
      <c r="G63" s="64" t="n">
        <v>5.4</v>
      </c>
      <c r="H63" s="65" t="n"/>
      <c r="I63" s="66" t="n"/>
      <c r="J63" s="67">
        <f>VLOOKUP(C63,Recipes!$A$2:$N$4,10,FALSE())</f>
        <v/>
      </c>
      <c r="K63" s="68">
        <f>VLOOKUP(C63,Recipes!$A$2:$N$4,12,FALSE())</f>
        <v/>
      </c>
      <c r="L63" s="67">
        <f>J63-6*K63</f>
        <v/>
      </c>
      <c r="M63" s="67">
        <f>J63+6*K63</f>
        <v/>
      </c>
      <c r="N63" s="61">
        <f>IF(G63="","",IF(AND(G63&gt;=L63,G63&lt;=M63),"OK","NG"))</f>
        <v/>
      </c>
      <c r="O63" s="69">
        <f>IF(N63="","",IF(N63=D63,1,0))</f>
        <v/>
      </c>
      <c r="P63" s="67">
        <f>IF(G63="","",J63-G63)</f>
        <v/>
      </c>
      <c r="Q63" s="67">
        <f>IF(G63="","",ABS(P63-Components!$D$2))</f>
        <v/>
      </c>
      <c r="R63" s="67">
        <f>IF(G63="","",ABS(P63-Components!$D$3))</f>
        <v/>
      </c>
      <c r="S63" s="67">
        <f>IF(G63="","",ABS(P63-Components!$D$4))</f>
        <v/>
      </c>
      <c r="T63" s="67">
        <f>IF(G63="","",ABS(P63-Components!$D$5))</f>
        <v/>
      </c>
      <c r="U63" s="67">
        <f>IF(G63="","",ABS(P63-Components!$D$6))</f>
        <v/>
      </c>
      <c r="V63" s="67">
        <f>IF(G63="","",ABS(P63-Components!$D$7))</f>
        <v/>
      </c>
      <c r="W63" s="61">
        <f>IF(G63="","",IF(N63="OK","NONE",INDEX({"S1","S2","W1","W2","N1","N2"},MATCH(MIN(Q63:V63),Q63:V63,0))))</f>
        <v/>
      </c>
      <c r="X63" s="69">
        <f>IF(G63="","",IF(W63=E63,1,0))</f>
        <v/>
      </c>
      <c r="Y63" s="70" t="n"/>
    </row>
    <row r="64">
      <c r="A64" s="61" t="n">
        <v>12</v>
      </c>
      <c r="B64" s="62" t="n">
        <v>34</v>
      </c>
      <c r="C64" s="61" t="inlineStr">
        <is>
          <t>R3</t>
        </is>
      </c>
      <c r="D64" s="74" t="inlineStr">
        <is>
          <t>NG</t>
        </is>
      </c>
      <c r="E64" s="61" t="inlineStr">
        <is>
          <t>W2</t>
        </is>
      </c>
      <c r="F64" s="61" t="inlineStr">
        <is>
          <t>K012</t>
        </is>
      </c>
      <c r="G64" s="64" t="n">
        <v>5.45</v>
      </c>
      <c r="H64" s="65" t="n"/>
      <c r="I64" s="66" t="n"/>
      <c r="J64" s="67">
        <f>VLOOKUP(C64,Recipes!$A$2:$N$4,10,FALSE())</f>
        <v/>
      </c>
      <c r="K64" s="68">
        <f>VLOOKUP(C64,Recipes!$A$2:$N$4,12,FALSE())</f>
        <v/>
      </c>
      <c r="L64" s="67">
        <f>J64-6*K64</f>
        <v/>
      </c>
      <c r="M64" s="67">
        <f>J64+6*K64</f>
        <v/>
      </c>
      <c r="N64" s="61">
        <f>IF(G64="","",IF(AND(G64&gt;=L64,G64&lt;=M64),"OK","NG"))</f>
        <v/>
      </c>
      <c r="O64" s="69">
        <f>IF(N64="","",IF(N64=D64,1,0))</f>
        <v/>
      </c>
      <c r="P64" s="67">
        <f>IF(G64="","",J64-G64)</f>
        <v/>
      </c>
      <c r="Q64" s="67">
        <f>IF(G64="","",ABS(P64-Components!$D$2))</f>
        <v/>
      </c>
      <c r="R64" s="67">
        <f>IF(G64="","",ABS(P64-Components!$D$3))</f>
        <v/>
      </c>
      <c r="S64" s="67">
        <f>IF(G64="","",ABS(P64-Components!$D$4))</f>
        <v/>
      </c>
      <c r="T64" s="67">
        <f>IF(G64="","",ABS(P64-Components!$D$5))</f>
        <v/>
      </c>
      <c r="U64" s="67">
        <f>IF(G64="","",ABS(P64-Components!$D$6))</f>
        <v/>
      </c>
      <c r="V64" s="67">
        <f>IF(G64="","",ABS(P64-Components!$D$7))</f>
        <v/>
      </c>
      <c r="W64" s="61">
        <f>IF(G64="","",IF(N64="OK","NONE",INDEX({"S1","S2","W1","W2","N1","N2"},MATCH(MIN(Q64:V64),Q64:V64,0))))</f>
        <v/>
      </c>
      <c r="X64" s="69">
        <f>IF(G64="","",IF(W64=E64,1,0))</f>
        <v/>
      </c>
      <c r="Y64" s="70" t="n"/>
    </row>
    <row r="65">
      <c r="A65" s="61" t="n">
        <v>13</v>
      </c>
      <c r="B65" s="62" t="n">
        <v>42</v>
      </c>
      <c r="C65" s="61" t="inlineStr">
        <is>
          <t>R3</t>
        </is>
      </c>
      <c r="D65" s="74" t="inlineStr">
        <is>
          <t>NG</t>
        </is>
      </c>
      <c r="E65" s="61" t="inlineStr">
        <is>
          <t>W2</t>
        </is>
      </c>
      <c r="F65" s="61" t="inlineStr">
        <is>
          <t>K013</t>
        </is>
      </c>
      <c r="G65" s="64" t="n">
        <v>5.42</v>
      </c>
      <c r="H65" s="65" t="n"/>
      <c r="I65" s="66" t="n"/>
      <c r="J65" s="67">
        <f>VLOOKUP(C65,Recipes!$A$2:$N$4,10,FALSE())</f>
        <v/>
      </c>
      <c r="K65" s="68">
        <f>VLOOKUP(C65,Recipes!$A$2:$N$4,12,FALSE())</f>
        <v/>
      </c>
      <c r="L65" s="67">
        <f>J65-6*K65</f>
        <v/>
      </c>
      <c r="M65" s="67">
        <f>J65+6*K65</f>
        <v/>
      </c>
      <c r="N65" s="61">
        <f>IF(G65="","",IF(AND(G65&gt;=L65,G65&lt;=M65),"OK","NG"))</f>
        <v/>
      </c>
      <c r="O65" s="69">
        <f>IF(N65="","",IF(N65=D65,1,0))</f>
        <v/>
      </c>
      <c r="P65" s="67">
        <f>IF(G65="","",J65-G65)</f>
        <v/>
      </c>
      <c r="Q65" s="67">
        <f>IF(G65="","",ABS(P65-Components!$D$2))</f>
        <v/>
      </c>
      <c r="R65" s="67">
        <f>IF(G65="","",ABS(P65-Components!$D$3))</f>
        <v/>
      </c>
      <c r="S65" s="67">
        <f>IF(G65="","",ABS(P65-Components!$D$4))</f>
        <v/>
      </c>
      <c r="T65" s="67">
        <f>IF(G65="","",ABS(P65-Components!$D$5))</f>
        <v/>
      </c>
      <c r="U65" s="67">
        <f>IF(G65="","",ABS(P65-Components!$D$6))</f>
        <v/>
      </c>
      <c r="V65" s="67">
        <f>IF(G65="","",ABS(P65-Components!$D$7))</f>
        <v/>
      </c>
      <c r="W65" s="61">
        <f>IF(G65="","",IF(N65="OK","NONE",INDEX({"S1","S2","W1","W2","N1","N2"},MATCH(MIN(Q65:V65),Q65:V65,0))))</f>
        <v/>
      </c>
      <c r="X65" s="69">
        <f>IF(G65="","",IF(W65=E65,1,0))</f>
        <v/>
      </c>
      <c r="Y65" s="70" t="n"/>
    </row>
    <row r="66">
      <c r="A66" s="61" t="n">
        <v>14</v>
      </c>
      <c r="B66" s="62" t="n">
        <v>45</v>
      </c>
      <c r="C66" s="61" t="inlineStr">
        <is>
          <t>R3</t>
        </is>
      </c>
      <c r="D66" s="74" t="inlineStr">
        <is>
          <t>NG</t>
        </is>
      </c>
      <c r="E66" s="61" t="inlineStr">
        <is>
          <t>W2</t>
        </is>
      </c>
      <c r="F66" s="61" t="inlineStr">
        <is>
          <t>K014</t>
        </is>
      </c>
      <c r="G66" s="64" t="n">
        <v>5.42</v>
      </c>
      <c r="H66" s="65" t="n"/>
      <c r="I66" s="66" t="n"/>
      <c r="J66" s="67">
        <f>VLOOKUP(C66,Recipes!$A$2:$N$4,10,FALSE())</f>
        <v/>
      </c>
      <c r="K66" s="68">
        <f>VLOOKUP(C66,Recipes!$A$2:$N$4,12,FALSE())</f>
        <v/>
      </c>
      <c r="L66" s="67">
        <f>J66-6*K66</f>
        <v/>
      </c>
      <c r="M66" s="67">
        <f>J66+6*K66</f>
        <v/>
      </c>
      <c r="N66" s="61">
        <f>IF(G66="","",IF(AND(G66&gt;=L66,G66&lt;=M66),"OK","NG"))</f>
        <v/>
      </c>
      <c r="O66" s="69">
        <f>IF(N66="","",IF(N66=D66,1,0))</f>
        <v/>
      </c>
      <c r="P66" s="67">
        <f>IF(G66="","",J66-G66)</f>
        <v/>
      </c>
      <c r="Q66" s="67">
        <f>IF(G66="","",ABS(P66-Components!$D$2))</f>
        <v/>
      </c>
      <c r="R66" s="67">
        <f>IF(G66="","",ABS(P66-Components!$D$3))</f>
        <v/>
      </c>
      <c r="S66" s="67">
        <f>IF(G66="","",ABS(P66-Components!$D$4))</f>
        <v/>
      </c>
      <c r="T66" s="67">
        <f>IF(G66="","",ABS(P66-Components!$D$5))</f>
        <v/>
      </c>
      <c r="U66" s="67">
        <f>IF(G66="","",ABS(P66-Components!$D$6))</f>
        <v/>
      </c>
      <c r="V66" s="67">
        <f>IF(G66="","",ABS(P66-Components!$D$7))</f>
        <v/>
      </c>
      <c r="W66" s="61">
        <f>IF(G66="","",IF(N66="OK","NONE",INDEX({"S1","S2","W1","W2","N1","N2"},MATCH(MIN(Q66:V66),Q66:V66,0))))</f>
        <v/>
      </c>
      <c r="X66" s="69">
        <f>IF(G66="","",IF(W66=E66,1,0))</f>
        <v/>
      </c>
      <c r="Y66" s="70" t="n"/>
    </row>
    <row r="67">
      <c r="A67" s="61" t="n">
        <v>14</v>
      </c>
      <c r="B67" s="62" t="n">
        <v>45</v>
      </c>
      <c r="C67" s="61" t="inlineStr">
        <is>
          <t>R3</t>
        </is>
      </c>
      <c r="D67" s="74" t="inlineStr">
        <is>
          <t>NG</t>
        </is>
      </c>
      <c r="E67" s="61" t="inlineStr">
        <is>
          <t>W2</t>
        </is>
      </c>
      <c r="F67" s="61" t="inlineStr">
        <is>
          <t>K014</t>
        </is>
      </c>
      <c r="G67" s="64" t="n">
        <v>5.42</v>
      </c>
      <c r="H67" s="65" t="n"/>
      <c r="I67" s="66" t="n"/>
      <c r="J67" s="67">
        <f>VLOOKUP(C67,Recipes!$A$2:$N$4,10,FALSE())</f>
        <v/>
      </c>
      <c r="K67" s="68">
        <f>VLOOKUP(C67,Recipes!$A$2:$N$4,12,FALSE())</f>
        <v/>
      </c>
      <c r="L67" s="67">
        <f>J67-6*K67</f>
        <v/>
      </c>
      <c r="M67" s="67">
        <f>J67+6*K67</f>
        <v/>
      </c>
      <c r="N67" s="61">
        <f>IF(G67="","",IF(AND(G67&gt;=L67,G67&lt;=M67),"OK","NG"))</f>
        <v/>
      </c>
      <c r="O67" s="69">
        <f>IF(N67="","",IF(N67=D67,1,0))</f>
        <v/>
      </c>
      <c r="P67" s="67">
        <f>IF(G67="","",J67-G67)</f>
        <v/>
      </c>
      <c r="Q67" s="67">
        <f>IF(G67="","",ABS(P67-Components!$D$2))</f>
        <v/>
      </c>
      <c r="R67" s="67">
        <f>IF(G67="","",ABS(P67-Components!$D$3))</f>
        <v/>
      </c>
      <c r="S67" s="67">
        <f>IF(G67="","",ABS(P67-Components!$D$4))</f>
        <v/>
      </c>
      <c r="T67" s="67">
        <f>IF(G67="","",ABS(P67-Components!$D$5))</f>
        <v/>
      </c>
      <c r="U67" s="67">
        <f>IF(G67="","",ABS(P67-Components!$D$6))</f>
        <v/>
      </c>
      <c r="V67" s="67">
        <f>IF(G67="","",ABS(P67-Components!$D$7))</f>
        <v/>
      </c>
      <c r="W67" s="61">
        <f>IF(G67="","",IF(N67="OK","NONE",INDEX({"S1","S2","W1","W2","N1","N2"},MATCH(MIN(Q67:V67),Q67:V67,0))))</f>
        <v/>
      </c>
      <c r="X67" s="69">
        <f>IF(G67="","",IF(W67=E67,1,0))</f>
        <v/>
      </c>
      <c r="Y67" s="70" t="n"/>
    </row>
    <row r="68">
      <c r="A68" s="61" t="n">
        <v>14</v>
      </c>
      <c r="B68" s="62" t="n">
        <v>45</v>
      </c>
      <c r="C68" s="61" t="inlineStr">
        <is>
          <t>R3</t>
        </is>
      </c>
      <c r="D68" s="74" t="inlineStr">
        <is>
          <t>NG</t>
        </is>
      </c>
      <c r="E68" s="61" t="inlineStr">
        <is>
          <t>W2</t>
        </is>
      </c>
      <c r="F68" s="61" t="inlineStr">
        <is>
          <t>K014</t>
        </is>
      </c>
      <c r="G68" s="64" t="n">
        <v>5.42</v>
      </c>
      <c r="H68" s="65" t="n"/>
      <c r="I68" s="66" t="n"/>
      <c r="J68" s="67">
        <f>VLOOKUP(C68,Recipes!$A$2:$N$4,10,FALSE())</f>
        <v/>
      </c>
      <c r="K68" s="68">
        <f>VLOOKUP(C68,Recipes!$A$2:$N$4,12,FALSE())</f>
        <v/>
      </c>
      <c r="L68" s="67">
        <f>J68-6*K68</f>
        <v/>
      </c>
      <c r="M68" s="67">
        <f>J68+6*K68</f>
        <v/>
      </c>
      <c r="N68" s="61">
        <f>IF(G68="","",IF(AND(G68&gt;=L68,G68&lt;=M68),"OK","NG"))</f>
        <v/>
      </c>
      <c r="O68" s="69">
        <f>IF(N68="","",IF(N68=D68,1,0))</f>
        <v/>
      </c>
      <c r="P68" s="67">
        <f>IF(G68="","",J68-G68)</f>
        <v/>
      </c>
      <c r="Q68" s="67">
        <f>IF(G68="","",ABS(P68-Components!$D$2))</f>
        <v/>
      </c>
      <c r="R68" s="67">
        <f>IF(G68="","",ABS(P68-Components!$D$3))</f>
        <v/>
      </c>
      <c r="S68" s="67">
        <f>IF(G68="","",ABS(P68-Components!$D$4))</f>
        <v/>
      </c>
      <c r="T68" s="67">
        <f>IF(G68="","",ABS(P68-Components!$D$5))</f>
        <v/>
      </c>
      <c r="U68" s="67">
        <f>IF(G68="","",ABS(P68-Components!$D$6))</f>
        <v/>
      </c>
      <c r="V68" s="67">
        <f>IF(G68="","",ABS(P68-Components!$D$7))</f>
        <v/>
      </c>
      <c r="W68" s="61">
        <f>IF(G68="","",IF(N68="OK","NONE",INDEX({"S1","S2","W1","W2","N1","N2"},MATCH(MIN(Q68:V68),Q68:V68,0))))</f>
        <v/>
      </c>
      <c r="X68" s="69">
        <f>IF(G68="","",IF(W68=E68,1,0))</f>
        <v/>
      </c>
      <c r="Y68" s="70" t="n"/>
    </row>
    <row r="69">
      <c r="A69" s="61" t="n">
        <v>14</v>
      </c>
      <c r="B69" s="62" t="n">
        <v>45</v>
      </c>
      <c r="C69" s="61" t="inlineStr">
        <is>
          <t>R3</t>
        </is>
      </c>
      <c r="D69" s="74" t="inlineStr">
        <is>
          <t>NG</t>
        </is>
      </c>
      <c r="E69" s="61" t="inlineStr">
        <is>
          <t>W2</t>
        </is>
      </c>
      <c r="F69" s="61" t="inlineStr">
        <is>
          <t>K014</t>
        </is>
      </c>
      <c r="G69" s="64" t="n">
        <v>5.45</v>
      </c>
      <c r="H69" s="65" t="n"/>
      <c r="I69" s="66" t="n"/>
      <c r="J69" s="67">
        <f>VLOOKUP(C69,Recipes!$A$2:$N$4,10,FALSE())</f>
        <v/>
      </c>
      <c r="K69" s="68">
        <f>VLOOKUP(C69,Recipes!$A$2:$N$4,12,FALSE())</f>
        <v/>
      </c>
      <c r="L69" s="67">
        <f>J69-6*K69</f>
        <v/>
      </c>
      <c r="M69" s="67">
        <f>J69+6*K69</f>
        <v/>
      </c>
      <c r="N69" s="61">
        <f>IF(G69="","",IF(AND(G69&gt;=L69,G69&lt;=M69),"OK","NG"))</f>
        <v/>
      </c>
      <c r="O69" s="69">
        <f>IF(N69="","",IF(N69=D69,1,0))</f>
        <v/>
      </c>
      <c r="P69" s="67">
        <f>IF(G69="","",J69-G69)</f>
        <v/>
      </c>
      <c r="Q69" s="67">
        <f>IF(G69="","",ABS(P69-Components!$D$2))</f>
        <v/>
      </c>
      <c r="R69" s="67">
        <f>IF(G69="","",ABS(P69-Components!$D$3))</f>
        <v/>
      </c>
      <c r="S69" s="67">
        <f>IF(G69="","",ABS(P69-Components!$D$4))</f>
        <v/>
      </c>
      <c r="T69" s="67">
        <f>IF(G69="","",ABS(P69-Components!$D$5))</f>
        <v/>
      </c>
      <c r="U69" s="67">
        <f>IF(G69="","",ABS(P69-Components!$D$6))</f>
        <v/>
      </c>
      <c r="V69" s="67">
        <f>IF(G69="","",ABS(P69-Components!$D$7))</f>
        <v/>
      </c>
      <c r="W69" s="61">
        <f>IF(G69="","",IF(N69="OK","NONE",INDEX({"S1","S2","W1","W2","N1","N2"},MATCH(MIN(Q69:V69),Q69:V69,0))))</f>
        <v/>
      </c>
      <c r="X69" s="69">
        <f>IF(G69="","",IF(W69=E69,1,0))</f>
        <v/>
      </c>
      <c r="Y69" s="70" t="n"/>
    </row>
    <row r="70">
      <c r="A70" s="61" t="n">
        <v>14</v>
      </c>
      <c r="B70" s="62" t="n">
        <v>45</v>
      </c>
      <c r="C70" s="61" t="inlineStr">
        <is>
          <t>R3</t>
        </is>
      </c>
      <c r="D70" s="74" t="inlineStr">
        <is>
          <t>NG</t>
        </is>
      </c>
      <c r="E70" s="61" t="inlineStr">
        <is>
          <t>W2</t>
        </is>
      </c>
      <c r="F70" s="61" t="inlineStr">
        <is>
          <t>K014</t>
        </is>
      </c>
      <c r="G70" s="64" t="n">
        <v>5.41</v>
      </c>
      <c r="H70" s="65" t="n"/>
      <c r="I70" s="66" t="n"/>
      <c r="J70" s="67">
        <f>VLOOKUP(C70,Recipes!$A$2:$N$4,10,FALSE())</f>
        <v/>
      </c>
      <c r="K70" s="68">
        <f>VLOOKUP(C70,Recipes!$A$2:$N$4,12,FALSE())</f>
        <v/>
      </c>
      <c r="L70" s="67">
        <f>J70-6*K70</f>
        <v/>
      </c>
      <c r="M70" s="67">
        <f>J70+6*K70</f>
        <v/>
      </c>
      <c r="N70" s="61">
        <f>IF(G70="","",IF(AND(G70&gt;=L70,G70&lt;=M70),"OK","NG"))</f>
        <v/>
      </c>
      <c r="O70" s="69">
        <f>IF(N70="","",IF(N70=D70,1,0))</f>
        <v/>
      </c>
      <c r="P70" s="67">
        <f>IF(G70="","",J70-G70)</f>
        <v/>
      </c>
      <c r="Q70" s="67">
        <f>IF(G70="","",ABS(P70-Components!$D$2))</f>
        <v/>
      </c>
      <c r="R70" s="67">
        <f>IF(G70="","",ABS(P70-Components!$D$3))</f>
        <v/>
      </c>
      <c r="S70" s="67">
        <f>IF(G70="","",ABS(P70-Components!$D$4))</f>
        <v/>
      </c>
      <c r="T70" s="67">
        <f>IF(G70="","",ABS(P70-Components!$D$5))</f>
        <v/>
      </c>
      <c r="U70" s="67">
        <f>IF(G70="","",ABS(P70-Components!$D$6))</f>
        <v/>
      </c>
      <c r="V70" s="67">
        <f>IF(G70="","",ABS(P70-Components!$D$7))</f>
        <v/>
      </c>
      <c r="W70" s="61">
        <f>IF(G70="","",IF(N70="OK","NONE",INDEX({"S1","S2","W1","W2","N1","N2"},MATCH(MIN(Q70:V70),Q70:V70,0))))</f>
        <v/>
      </c>
      <c r="X70" s="69">
        <f>IF(G70="","",IF(W70=E70,1,0))</f>
        <v/>
      </c>
      <c r="Y70" s="70" t="n"/>
    </row>
    <row r="71">
      <c r="A71" s="61" t="n">
        <v>14</v>
      </c>
      <c r="B71" s="62" t="n">
        <v>45</v>
      </c>
      <c r="C71" s="61" t="inlineStr">
        <is>
          <t>R3</t>
        </is>
      </c>
      <c r="D71" s="74" t="inlineStr">
        <is>
          <t>NG</t>
        </is>
      </c>
      <c r="E71" s="61" t="inlineStr">
        <is>
          <t>W2</t>
        </is>
      </c>
      <c r="F71" s="61" t="inlineStr">
        <is>
          <t>K014</t>
        </is>
      </c>
      <c r="G71" s="64" t="n">
        <v>5.38</v>
      </c>
      <c r="H71" s="65" t="n"/>
      <c r="I71" s="66" t="n"/>
      <c r="J71" s="67">
        <f>VLOOKUP(C71,Recipes!$A$2:$N$4,10,FALSE())</f>
        <v/>
      </c>
      <c r="K71" s="68">
        <f>VLOOKUP(C71,Recipes!$A$2:$N$4,12,FALSE())</f>
        <v/>
      </c>
      <c r="L71" s="67">
        <f>J71-6*K71</f>
        <v/>
      </c>
      <c r="M71" s="67">
        <f>J71+6*K71</f>
        <v/>
      </c>
      <c r="N71" s="61">
        <f>IF(G71="","",IF(AND(G71&gt;=L71,G71&lt;=M71),"OK","NG"))</f>
        <v/>
      </c>
      <c r="O71" s="69">
        <f>IF(N71="","",IF(N71=D71,1,0))</f>
        <v/>
      </c>
      <c r="P71" s="67">
        <f>IF(G71="","",J71-G71)</f>
        <v/>
      </c>
      <c r="Q71" s="67">
        <f>IF(G71="","",ABS(P71-Components!$D$2))</f>
        <v/>
      </c>
      <c r="R71" s="67">
        <f>IF(G71="","",ABS(P71-Components!$D$3))</f>
        <v/>
      </c>
      <c r="S71" s="67">
        <f>IF(G71="","",ABS(P71-Components!$D$4))</f>
        <v/>
      </c>
      <c r="T71" s="67">
        <f>IF(G71="","",ABS(P71-Components!$D$5))</f>
        <v/>
      </c>
      <c r="U71" s="67">
        <f>IF(G71="","",ABS(P71-Components!$D$6))</f>
        <v/>
      </c>
      <c r="V71" s="67">
        <f>IF(G71="","",ABS(P71-Components!$D$7))</f>
        <v/>
      </c>
      <c r="W71" s="61">
        <f>IF(G71="","",IF(N71="OK","NONE",INDEX({"S1","S2","W1","W2","N1","N2"},MATCH(MIN(Q71:V71),Q71:V71,0))))</f>
        <v/>
      </c>
      <c r="X71" s="69">
        <f>IF(G71="","",IF(W71=E71,1,0))</f>
        <v/>
      </c>
      <c r="Y71" s="70" t="n"/>
    </row>
    <row r="72">
      <c r="A72" s="61" t="n">
        <v>14</v>
      </c>
      <c r="B72" s="62" t="n">
        <v>45</v>
      </c>
      <c r="C72" s="61" t="inlineStr">
        <is>
          <t>R3</t>
        </is>
      </c>
      <c r="D72" s="74" t="inlineStr">
        <is>
          <t>NG</t>
        </is>
      </c>
      <c r="E72" s="61" t="inlineStr">
        <is>
          <t>W2</t>
        </is>
      </c>
      <c r="F72" s="61" t="inlineStr">
        <is>
          <t>K014</t>
        </is>
      </c>
      <c r="G72" s="64" t="n">
        <v>5.37</v>
      </c>
      <c r="H72" s="65" t="n"/>
      <c r="I72" s="66" t="n"/>
      <c r="J72" s="67">
        <f>VLOOKUP(C72,Recipes!$A$2:$N$4,10,FALSE())</f>
        <v/>
      </c>
      <c r="K72" s="68">
        <f>VLOOKUP(C72,Recipes!$A$2:$N$4,12,FALSE())</f>
        <v/>
      </c>
      <c r="L72" s="67">
        <f>J72-6*K72</f>
        <v/>
      </c>
      <c r="M72" s="67">
        <f>J72+6*K72</f>
        <v/>
      </c>
      <c r="N72" s="61">
        <f>IF(G72="","",IF(AND(G72&gt;=L72,G72&lt;=M72),"OK","NG"))</f>
        <v/>
      </c>
      <c r="O72" s="69">
        <f>IF(N72="","",IF(N72=D72,1,0))</f>
        <v/>
      </c>
      <c r="P72" s="67">
        <f>IF(G72="","",J72-G72)</f>
        <v/>
      </c>
      <c r="Q72" s="67">
        <f>IF(G72="","",ABS(P72-Components!$D$2))</f>
        <v/>
      </c>
      <c r="R72" s="67">
        <f>IF(G72="","",ABS(P72-Components!$D$3))</f>
        <v/>
      </c>
      <c r="S72" s="67">
        <f>IF(G72="","",ABS(P72-Components!$D$4))</f>
        <v/>
      </c>
      <c r="T72" s="67">
        <f>IF(G72="","",ABS(P72-Components!$D$5))</f>
        <v/>
      </c>
      <c r="U72" s="67">
        <f>IF(G72="","",ABS(P72-Components!$D$6))</f>
        <v/>
      </c>
      <c r="V72" s="67">
        <f>IF(G72="","",ABS(P72-Components!$D$7))</f>
        <v/>
      </c>
      <c r="W72" s="61">
        <f>IF(G72="","",IF(N72="OK","NONE",INDEX({"S1","S2","W1","W2","N1","N2"},MATCH(MIN(Q72:V72),Q72:V72,0))))</f>
        <v/>
      </c>
      <c r="X72" s="69">
        <f>IF(G72="","",IF(W72=E72,1,0))</f>
        <v/>
      </c>
      <c r="Y72" s="70" t="n"/>
    </row>
    <row r="73">
      <c r="A73" s="61" t="n">
        <v>14</v>
      </c>
      <c r="B73" s="62" t="n">
        <v>45</v>
      </c>
      <c r="C73" s="61" t="inlineStr">
        <is>
          <t>R3</t>
        </is>
      </c>
      <c r="D73" s="74" t="inlineStr">
        <is>
          <t>NG</t>
        </is>
      </c>
      <c r="E73" s="61" t="inlineStr">
        <is>
          <t>W2</t>
        </is>
      </c>
      <c r="F73" s="61" t="inlineStr">
        <is>
          <t>K014</t>
        </is>
      </c>
      <c r="G73" s="64" t="n">
        <v>5.36</v>
      </c>
      <c r="H73" s="65" t="n"/>
      <c r="I73" s="66" t="n"/>
      <c r="J73" s="67">
        <f>VLOOKUP(C73,Recipes!$A$2:$N$4,10,FALSE())</f>
        <v/>
      </c>
      <c r="K73" s="68">
        <f>VLOOKUP(C73,Recipes!$A$2:$N$4,12,FALSE())</f>
        <v/>
      </c>
      <c r="L73" s="67">
        <f>J73-6*K73</f>
        <v/>
      </c>
      <c r="M73" s="67">
        <f>J73+6*K73</f>
        <v/>
      </c>
      <c r="N73" s="61">
        <f>IF(G73="","",IF(AND(G73&gt;=L73,G73&lt;=M73),"OK","NG"))</f>
        <v/>
      </c>
      <c r="O73" s="69">
        <f>IF(N73="","",IF(N73=D73,1,0))</f>
        <v/>
      </c>
      <c r="P73" s="67">
        <f>IF(G73="","",J73-G73)</f>
        <v/>
      </c>
      <c r="Q73" s="67">
        <f>IF(G73="","",ABS(P73-Components!$D$2))</f>
        <v/>
      </c>
      <c r="R73" s="67">
        <f>IF(G73="","",ABS(P73-Components!$D$3))</f>
        <v/>
      </c>
      <c r="S73" s="67">
        <f>IF(G73="","",ABS(P73-Components!$D$4))</f>
        <v/>
      </c>
      <c r="T73" s="67">
        <f>IF(G73="","",ABS(P73-Components!$D$5))</f>
        <v/>
      </c>
      <c r="U73" s="67">
        <f>IF(G73="","",ABS(P73-Components!$D$6))</f>
        <v/>
      </c>
      <c r="V73" s="67">
        <f>IF(G73="","",ABS(P73-Components!$D$7))</f>
        <v/>
      </c>
      <c r="W73" s="61">
        <f>IF(G73="","",IF(N73="OK","NONE",INDEX({"S1","S2","W1","W2","N1","N2"},MATCH(MIN(Q73:V73),Q73:V73,0))))</f>
        <v/>
      </c>
      <c r="X73" s="69">
        <f>IF(G73="","",IF(W73=E73,1,0))</f>
        <v/>
      </c>
      <c r="Y73" s="70" t="n"/>
    </row>
    <row r="74">
      <c r="A74" s="61" t="n">
        <v>14</v>
      </c>
      <c r="B74" s="62" t="n">
        <v>45</v>
      </c>
      <c r="C74" s="61" t="inlineStr">
        <is>
          <t>R3</t>
        </is>
      </c>
      <c r="D74" s="74" t="inlineStr">
        <is>
          <t>NG</t>
        </is>
      </c>
      <c r="E74" s="61" t="inlineStr">
        <is>
          <t>W2</t>
        </is>
      </c>
      <c r="F74" s="61" t="inlineStr">
        <is>
          <t>K014</t>
        </is>
      </c>
      <c r="G74" s="64" t="n">
        <v>5.41</v>
      </c>
      <c r="H74" s="65" t="n"/>
      <c r="I74" s="66" t="n"/>
      <c r="J74" s="67">
        <f>VLOOKUP(C74,Recipes!$A$2:$N$4,10,FALSE())</f>
        <v/>
      </c>
      <c r="K74" s="68">
        <f>VLOOKUP(C74,Recipes!$A$2:$N$4,12,FALSE())</f>
        <v/>
      </c>
      <c r="L74" s="67">
        <f>J74-6*K74</f>
        <v/>
      </c>
      <c r="M74" s="67">
        <f>J74+6*K74</f>
        <v/>
      </c>
      <c r="N74" s="61">
        <f>IF(G74="","",IF(AND(G74&gt;=L74,G74&lt;=M74),"OK","NG"))</f>
        <v/>
      </c>
      <c r="O74" s="69">
        <f>IF(N74="","",IF(N74=D74,1,0))</f>
        <v/>
      </c>
      <c r="P74" s="67">
        <f>IF(G74="","",J74-G74)</f>
        <v/>
      </c>
      <c r="Q74" s="67">
        <f>IF(G74="","",ABS(P74-Components!$D$2))</f>
        <v/>
      </c>
      <c r="R74" s="67">
        <f>IF(G74="","",ABS(P74-Components!$D$3))</f>
        <v/>
      </c>
      <c r="S74" s="67">
        <f>IF(G74="","",ABS(P74-Components!$D$4))</f>
        <v/>
      </c>
      <c r="T74" s="67">
        <f>IF(G74="","",ABS(P74-Components!$D$5))</f>
        <v/>
      </c>
      <c r="U74" s="67">
        <f>IF(G74="","",ABS(P74-Components!$D$6))</f>
        <v/>
      </c>
      <c r="V74" s="67">
        <f>IF(G74="","",ABS(P74-Components!$D$7))</f>
        <v/>
      </c>
      <c r="W74" s="61">
        <f>IF(G74="","",IF(N74="OK","NONE",INDEX({"S1","S2","W1","W2","N1","N2"},MATCH(MIN(Q74:V74),Q74:V74,0))))</f>
        <v/>
      </c>
      <c r="X74" s="69">
        <f>IF(G74="","",IF(W74=E74,1,0))</f>
        <v/>
      </c>
      <c r="Y74" s="70" t="n"/>
    </row>
    <row r="75">
      <c r="A75" s="61" t="n">
        <v>14</v>
      </c>
      <c r="B75" s="62" t="n">
        <v>45</v>
      </c>
      <c r="C75" s="61" t="inlineStr">
        <is>
          <t>R3</t>
        </is>
      </c>
      <c r="D75" s="74" t="inlineStr">
        <is>
          <t>NG</t>
        </is>
      </c>
      <c r="E75" s="61" t="inlineStr">
        <is>
          <t>W2</t>
        </is>
      </c>
      <c r="F75" s="61" t="inlineStr">
        <is>
          <t>K014</t>
        </is>
      </c>
      <c r="G75" s="64" t="n">
        <v>5.37</v>
      </c>
      <c r="H75" s="65" t="n"/>
      <c r="I75" s="66" t="n"/>
      <c r="J75" s="67">
        <f>VLOOKUP(C75,Recipes!$A$2:$N$4,10,FALSE())</f>
        <v/>
      </c>
      <c r="K75" s="68">
        <f>VLOOKUP(C75,Recipes!$A$2:$N$4,12,FALSE())</f>
        <v/>
      </c>
      <c r="L75" s="67">
        <f>J75-6*K75</f>
        <v/>
      </c>
      <c r="M75" s="67">
        <f>J75+6*K75</f>
        <v/>
      </c>
      <c r="N75" s="61">
        <f>IF(G75="","",IF(AND(G75&gt;=L75,G75&lt;=M75),"OK","NG"))</f>
        <v/>
      </c>
      <c r="O75" s="69">
        <f>IF(N75="","",IF(N75=D75,1,0))</f>
        <v/>
      </c>
      <c r="P75" s="67">
        <f>IF(G75="","",J75-G75)</f>
        <v/>
      </c>
      <c r="Q75" s="67">
        <f>IF(G75="","",ABS(P75-Components!$D$2))</f>
        <v/>
      </c>
      <c r="R75" s="67">
        <f>IF(G75="","",ABS(P75-Components!$D$3))</f>
        <v/>
      </c>
      <c r="S75" s="67">
        <f>IF(G75="","",ABS(P75-Components!$D$4))</f>
        <v/>
      </c>
      <c r="T75" s="67">
        <f>IF(G75="","",ABS(P75-Components!$D$5))</f>
        <v/>
      </c>
      <c r="U75" s="67">
        <f>IF(G75="","",ABS(P75-Components!$D$6))</f>
        <v/>
      </c>
      <c r="V75" s="67">
        <f>IF(G75="","",ABS(P75-Components!$D$7))</f>
        <v/>
      </c>
      <c r="W75" s="61">
        <f>IF(G75="","",IF(N75="OK","NONE",INDEX({"S1","S2","W1","W2","N1","N2"},MATCH(MIN(Q75:V75),Q75:V75,0))))</f>
        <v/>
      </c>
      <c r="X75" s="69">
        <f>IF(G75="","",IF(W75=E75,1,0))</f>
        <v/>
      </c>
      <c r="Y75" s="70" t="n"/>
    </row>
    <row r="76">
      <c r="A76" s="61" t="n">
        <v>14</v>
      </c>
      <c r="B76" s="62" t="n">
        <v>45</v>
      </c>
      <c r="C76" s="61" t="inlineStr">
        <is>
          <t>R3</t>
        </is>
      </c>
      <c r="D76" s="74" t="inlineStr">
        <is>
          <t>NG</t>
        </is>
      </c>
      <c r="E76" s="61" t="inlineStr">
        <is>
          <t>W2</t>
        </is>
      </c>
      <c r="F76" s="61" t="inlineStr">
        <is>
          <t>K014</t>
        </is>
      </c>
      <c r="G76" s="64" t="n">
        <v>5.36</v>
      </c>
      <c r="H76" s="65" t="n"/>
      <c r="I76" s="66" t="n"/>
      <c r="J76" s="67">
        <f>VLOOKUP(C76,Recipes!$A$2:$N$4,10,FALSE())</f>
        <v/>
      </c>
      <c r="K76" s="68">
        <f>VLOOKUP(C76,Recipes!$A$2:$N$4,12,FALSE())</f>
        <v/>
      </c>
      <c r="L76" s="67">
        <f>J76-6*K76</f>
        <v/>
      </c>
      <c r="M76" s="67">
        <f>J76+6*K76</f>
        <v/>
      </c>
      <c r="N76" s="61">
        <f>IF(G76="","",IF(AND(G76&gt;=L76,G76&lt;=M76),"OK","NG"))</f>
        <v/>
      </c>
      <c r="O76" s="69">
        <f>IF(N76="","",IF(N76=D76,1,0))</f>
        <v/>
      </c>
      <c r="P76" s="67">
        <f>IF(G76="","",J76-G76)</f>
        <v/>
      </c>
      <c r="Q76" s="67">
        <f>IF(G76="","",ABS(P76-Components!$D$2))</f>
        <v/>
      </c>
      <c r="R76" s="67">
        <f>IF(G76="","",ABS(P76-Components!$D$3))</f>
        <v/>
      </c>
      <c r="S76" s="67">
        <f>IF(G76="","",ABS(P76-Components!$D$4))</f>
        <v/>
      </c>
      <c r="T76" s="67">
        <f>IF(G76="","",ABS(P76-Components!$D$5))</f>
        <v/>
      </c>
      <c r="U76" s="67">
        <f>IF(G76="","",ABS(P76-Components!$D$6))</f>
        <v/>
      </c>
      <c r="V76" s="67">
        <f>IF(G76="","",ABS(P76-Components!$D$7))</f>
        <v/>
      </c>
      <c r="W76" s="61">
        <f>IF(G76="","",IF(N76="OK","NONE",INDEX({"S1","S2","W1","W2","N1","N2"},MATCH(MIN(Q76:V76),Q76:V76,0))))</f>
        <v/>
      </c>
      <c r="X76" s="69">
        <f>IF(G76="","",IF(W76=E76,1,0))</f>
        <v/>
      </c>
      <c r="Y76" s="70" t="n"/>
    </row>
    <row r="77">
      <c r="A77" s="61" t="n">
        <v>14</v>
      </c>
      <c r="B77" s="62" t="n">
        <v>45</v>
      </c>
      <c r="C77" s="61" t="inlineStr">
        <is>
          <t>R3</t>
        </is>
      </c>
      <c r="D77" s="74" t="inlineStr">
        <is>
          <t>NG</t>
        </is>
      </c>
      <c r="E77" s="61" t="inlineStr">
        <is>
          <t>W2</t>
        </is>
      </c>
      <c r="F77" s="61" t="inlineStr">
        <is>
          <t>K014</t>
        </is>
      </c>
      <c r="G77" s="64" t="n">
        <v>5.38</v>
      </c>
      <c r="H77" s="65" t="n"/>
      <c r="I77" s="66" t="n"/>
      <c r="J77" s="67">
        <f>VLOOKUP(C77,Recipes!$A$2:$N$4,10,FALSE())</f>
        <v/>
      </c>
      <c r="K77" s="68">
        <f>VLOOKUP(C77,Recipes!$A$2:$N$4,12,FALSE())</f>
        <v/>
      </c>
      <c r="L77" s="67">
        <f>J77-6*K77</f>
        <v/>
      </c>
      <c r="M77" s="67">
        <f>J77+6*K77</f>
        <v/>
      </c>
      <c r="N77" s="61">
        <f>IF(G77="","",IF(AND(G77&gt;=L77,G77&lt;=M77),"OK","NG"))</f>
        <v/>
      </c>
      <c r="O77" s="69">
        <f>IF(N77="","",IF(N77=D77,1,0))</f>
        <v/>
      </c>
      <c r="P77" s="67">
        <f>IF(G77="","",J77-G77)</f>
        <v/>
      </c>
      <c r="Q77" s="67">
        <f>IF(G77="","",ABS(P77-Components!$D$2))</f>
        <v/>
      </c>
      <c r="R77" s="67">
        <f>IF(G77="","",ABS(P77-Components!$D$3))</f>
        <v/>
      </c>
      <c r="S77" s="67">
        <f>IF(G77="","",ABS(P77-Components!$D$4))</f>
        <v/>
      </c>
      <c r="T77" s="67">
        <f>IF(G77="","",ABS(P77-Components!$D$5))</f>
        <v/>
      </c>
      <c r="U77" s="67">
        <f>IF(G77="","",ABS(P77-Components!$D$6))</f>
        <v/>
      </c>
      <c r="V77" s="67">
        <f>IF(G77="","",ABS(P77-Components!$D$7))</f>
        <v/>
      </c>
      <c r="W77" s="61">
        <f>IF(G77="","",IF(N77="OK","NONE",INDEX({"S1","S2","W1","W2","N1","N2"},MATCH(MIN(Q77:V77),Q77:V77,0))))</f>
        <v/>
      </c>
      <c r="X77" s="69">
        <f>IF(G77="","",IF(W77=E77,1,0))</f>
        <v/>
      </c>
      <c r="Y77" s="70" t="n"/>
    </row>
    <row r="78">
      <c r="A78" s="61" t="n">
        <v>14</v>
      </c>
      <c r="B78" s="62" t="n">
        <v>45</v>
      </c>
      <c r="C78" s="61" t="inlineStr">
        <is>
          <t>R3</t>
        </is>
      </c>
      <c r="D78" s="74" t="inlineStr">
        <is>
          <t>NG</t>
        </is>
      </c>
      <c r="E78" s="61" t="inlineStr">
        <is>
          <t>W2</t>
        </is>
      </c>
      <c r="F78" s="61" t="inlineStr">
        <is>
          <t>K014</t>
        </is>
      </c>
      <c r="G78" s="64" t="n">
        <v>5.38</v>
      </c>
      <c r="H78" s="65" t="n"/>
      <c r="I78" s="66" t="n"/>
      <c r="J78" s="67">
        <f>VLOOKUP(C78,Recipes!$A$2:$N$4,10,FALSE())</f>
        <v/>
      </c>
      <c r="K78" s="68">
        <f>VLOOKUP(C78,Recipes!$A$2:$N$4,12,FALSE())</f>
        <v/>
      </c>
      <c r="L78" s="67">
        <f>J78-6*K78</f>
        <v/>
      </c>
      <c r="M78" s="67">
        <f>J78+6*K78</f>
        <v/>
      </c>
      <c r="N78" s="61">
        <f>IF(G78="","",IF(AND(G78&gt;=L78,G78&lt;=M78),"OK","NG"))</f>
        <v/>
      </c>
      <c r="O78" s="69">
        <f>IF(N78="","",IF(N78=D78,1,0))</f>
        <v/>
      </c>
      <c r="P78" s="67">
        <f>IF(G78="","",J78-G78)</f>
        <v/>
      </c>
      <c r="Q78" s="67">
        <f>IF(G78="","",ABS(P78-Components!$D$2))</f>
        <v/>
      </c>
      <c r="R78" s="67">
        <f>IF(G78="","",ABS(P78-Components!$D$3))</f>
        <v/>
      </c>
      <c r="S78" s="67">
        <f>IF(G78="","",ABS(P78-Components!$D$4))</f>
        <v/>
      </c>
      <c r="T78" s="67">
        <f>IF(G78="","",ABS(P78-Components!$D$5))</f>
        <v/>
      </c>
      <c r="U78" s="67">
        <f>IF(G78="","",ABS(P78-Components!$D$6))</f>
        <v/>
      </c>
      <c r="V78" s="67">
        <f>IF(G78="","",ABS(P78-Components!$D$7))</f>
        <v/>
      </c>
      <c r="W78" s="61">
        <f>IF(G78="","",IF(N78="OK","NONE",INDEX({"S1","S2","W1","W2","N1","N2"},MATCH(MIN(Q78:V78),Q78:V78,0))))</f>
        <v/>
      </c>
      <c r="X78" s="69">
        <f>IF(G78="","",IF(W78=E78,1,0))</f>
        <v/>
      </c>
      <c r="Y78" s="70" t="n"/>
    </row>
    <row r="79">
      <c r="A79" s="61" t="n">
        <v>14</v>
      </c>
      <c r="B79" s="62" t="n">
        <v>45</v>
      </c>
      <c r="C79" s="61" t="inlineStr">
        <is>
          <t>R3</t>
        </is>
      </c>
      <c r="D79" s="74" t="inlineStr">
        <is>
          <t>NG</t>
        </is>
      </c>
      <c r="E79" s="61" t="inlineStr">
        <is>
          <t>W2</t>
        </is>
      </c>
      <c r="F79" s="61" t="inlineStr">
        <is>
          <t>K014</t>
        </is>
      </c>
      <c r="G79" s="64" t="n">
        <v>5.42</v>
      </c>
      <c r="H79" s="65" t="n"/>
      <c r="I79" s="66" t="n"/>
      <c r="J79" s="67">
        <f>VLOOKUP(C79,Recipes!$A$2:$N$4,10,FALSE())</f>
        <v/>
      </c>
      <c r="K79" s="68">
        <f>VLOOKUP(C79,Recipes!$A$2:$N$4,12,FALSE())</f>
        <v/>
      </c>
      <c r="L79" s="67">
        <f>J79-6*K79</f>
        <v/>
      </c>
      <c r="M79" s="67">
        <f>J79+6*K79</f>
        <v/>
      </c>
      <c r="N79" s="61">
        <f>IF(G79="","",IF(AND(G79&gt;=L79,G79&lt;=M79),"OK","NG"))</f>
        <v/>
      </c>
      <c r="O79" s="69">
        <f>IF(N79="","",IF(N79=D79,1,0))</f>
        <v/>
      </c>
      <c r="P79" s="67">
        <f>IF(G79="","",J79-G79)</f>
        <v/>
      </c>
      <c r="Q79" s="67">
        <f>IF(G79="","",ABS(P79-Components!$D$2))</f>
        <v/>
      </c>
      <c r="R79" s="67">
        <f>IF(G79="","",ABS(P79-Components!$D$3))</f>
        <v/>
      </c>
      <c r="S79" s="67">
        <f>IF(G79="","",ABS(P79-Components!$D$4))</f>
        <v/>
      </c>
      <c r="T79" s="67">
        <f>IF(G79="","",ABS(P79-Components!$D$5))</f>
        <v/>
      </c>
      <c r="U79" s="67">
        <f>IF(G79="","",ABS(P79-Components!$D$6))</f>
        <v/>
      </c>
      <c r="V79" s="67">
        <f>IF(G79="","",ABS(P79-Components!$D$7))</f>
        <v/>
      </c>
      <c r="W79" s="61">
        <f>IF(G79="","",IF(N79="OK","NONE",INDEX({"S1","S2","W1","W2","N1","N2"},MATCH(MIN(Q79:V79),Q79:V79,0))))</f>
        <v/>
      </c>
      <c r="X79" s="69">
        <f>IF(G79="","",IF(W79=E79,1,0))</f>
        <v/>
      </c>
      <c r="Y79" s="70" t="n"/>
    </row>
    <row r="80">
      <c r="A80" s="61" t="n">
        <v>14</v>
      </c>
      <c r="B80" s="62" t="n">
        <v>45</v>
      </c>
      <c r="C80" s="61" t="inlineStr">
        <is>
          <t>R3</t>
        </is>
      </c>
      <c r="D80" s="74" t="inlineStr">
        <is>
          <t>NG</t>
        </is>
      </c>
      <c r="E80" s="61" t="inlineStr">
        <is>
          <t>W2</t>
        </is>
      </c>
      <c r="F80" s="61" t="inlineStr">
        <is>
          <t>K014</t>
        </is>
      </c>
      <c r="G80" s="64" t="n">
        <v>5.39</v>
      </c>
      <c r="H80" s="65" t="n"/>
      <c r="I80" s="66" t="n"/>
      <c r="J80" s="67">
        <f>VLOOKUP(C80,Recipes!$A$2:$N$4,10,FALSE())</f>
        <v/>
      </c>
      <c r="K80" s="68">
        <f>VLOOKUP(C80,Recipes!$A$2:$N$4,12,FALSE())</f>
        <v/>
      </c>
      <c r="L80" s="67">
        <f>J80-6*K80</f>
        <v/>
      </c>
      <c r="M80" s="67">
        <f>J80+6*K80</f>
        <v/>
      </c>
      <c r="N80" s="61">
        <f>IF(G80="","",IF(AND(G80&gt;=L80,G80&lt;=M80),"OK","NG"))</f>
        <v/>
      </c>
      <c r="O80" s="69">
        <f>IF(N80="","",IF(N80=D80,1,0))</f>
        <v/>
      </c>
      <c r="P80" s="67">
        <f>IF(G80="","",J80-G80)</f>
        <v/>
      </c>
      <c r="Q80" s="67">
        <f>IF(G80="","",ABS(P80-Components!$D$2))</f>
        <v/>
      </c>
      <c r="R80" s="67">
        <f>IF(G80="","",ABS(P80-Components!$D$3))</f>
        <v/>
      </c>
      <c r="S80" s="67">
        <f>IF(G80="","",ABS(P80-Components!$D$4))</f>
        <v/>
      </c>
      <c r="T80" s="67">
        <f>IF(G80="","",ABS(P80-Components!$D$5))</f>
        <v/>
      </c>
      <c r="U80" s="67">
        <f>IF(G80="","",ABS(P80-Components!$D$6))</f>
        <v/>
      </c>
      <c r="V80" s="67">
        <f>IF(G80="","",ABS(P80-Components!$D$7))</f>
        <v/>
      </c>
      <c r="W80" s="61">
        <f>IF(G80="","",IF(N80="OK","NONE",INDEX({"S1","S2","W1","W2","N1","N2"},MATCH(MIN(Q80:V80),Q80:V80,0))))</f>
        <v/>
      </c>
      <c r="X80" s="69">
        <f>IF(G80="","",IF(W80=E80,1,0))</f>
        <v/>
      </c>
      <c r="Y80" s="70" t="n"/>
    </row>
    <row r="81">
      <c r="A81" s="61" t="n">
        <v>14</v>
      </c>
      <c r="B81" s="62" t="n">
        <v>45</v>
      </c>
      <c r="C81" s="61" t="inlineStr">
        <is>
          <t>R3</t>
        </is>
      </c>
      <c r="D81" s="74" t="inlineStr">
        <is>
          <t>NG</t>
        </is>
      </c>
      <c r="E81" s="61" t="inlineStr">
        <is>
          <t>W2</t>
        </is>
      </c>
      <c r="F81" s="61" t="inlineStr">
        <is>
          <t>K014</t>
        </is>
      </c>
      <c r="G81" s="64" t="n">
        <v>5.41</v>
      </c>
      <c r="H81" s="65" t="n"/>
      <c r="I81" s="66" t="n"/>
      <c r="J81" s="67">
        <f>VLOOKUP(C81,Recipes!$A$2:$N$4,10,FALSE())</f>
        <v/>
      </c>
      <c r="K81" s="68">
        <f>VLOOKUP(C81,Recipes!$A$2:$N$4,12,FALSE())</f>
        <v/>
      </c>
      <c r="L81" s="67">
        <f>J81-6*K81</f>
        <v/>
      </c>
      <c r="M81" s="67">
        <f>J81+6*K81</f>
        <v/>
      </c>
      <c r="N81" s="61">
        <f>IF(G81="","",IF(AND(G81&gt;=L81,G81&lt;=M81),"OK","NG"))</f>
        <v/>
      </c>
      <c r="O81" s="69">
        <f>IF(N81="","",IF(N81=D81,1,0))</f>
        <v/>
      </c>
      <c r="P81" s="67">
        <f>IF(G81="","",J81-G81)</f>
        <v/>
      </c>
      <c r="Q81" s="67">
        <f>IF(G81="","",ABS(P81-Components!$D$2))</f>
        <v/>
      </c>
      <c r="R81" s="67">
        <f>IF(G81="","",ABS(P81-Components!$D$3))</f>
        <v/>
      </c>
      <c r="S81" s="67">
        <f>IF(G81="","",ABS(P81-Components!$D$4))</f>
        <v/>
      </c>
      <c r="T81" s="67">
        <f>IF(G81="","",ABS(P81-Components!$D$5))</f>
        <v/>
      </c>
      <c r="U81" s="67">
        <f>IF(G81="","",ABS(P81-Components!$D$6))</f>
        <v/>
      </c>
      <c r="V81" s="67">
        <f>IF(G81="","",ABS(P81-Components!$D$7))</f>
        <v/>
      </c>
      <c r="W81" s="61">
        <f>IF(G81="","",IF(N81="OK","NONE",INDEX({"S1","S2","W1","W2","N1","N2"},MATCH(MIN(Q81:V81),Q81:V81,0))))</f>
        <v/>
      </c>
      <c r="X81" s="69">
        <f>IF(G81="","",IF(W81=E81,1,0))</f>
        <v/>
      </c>
      <c r="Y81" s="70" t="n"/>
    </row>
    <row r="82">
      <c r="A82" s="61" t="n">
        <v>14</v>
      </c>
      <c r="B82" s="62" t="n">
        <v>45</v>
      </c>
      <c r="C82" s="61" t="inlineStr">
        <is>
          <t>R3</t>
        </is>
      </c>
      <c r="D82" s="74" t="inlineStr">
        <is>
          <t>NG</t>
        </is>
      </c>
      <c r="E82" s="61" t="inlineStr">
        <is>
          <t>W2</t>
        </is>
      </c>
      <c r="F82" s="61" t="inlineStr">
        <is>
          <t>K014</t>
        </is>
      </c>
      <c r="G82" s="64" t="n">
        <v>5.32</v>
      </c>
      <c r="H82" s="65" t="n"/>
      <c r="I82" s="66" t="n"/>
      <c r="J82" s="67">
        <f>VLOOKUP(C82,Recipes!$A$2:$N$4,10,FALSE())</f>
        <v/>
      </c>
      <c r="K82" s="68">
        <f>VLOOKUP(C82,Recipes!$A$2:$N$4,12,FALSE())</f>
        <v/>
      </c>
      <c r="L82" s="67">
        <f>J82-6*K82</f>
        <v/>
      </c>
      <c r="M82" s="67">
        <f>J82+6*K82</f>
        <v/>
      </c>
      <c r="N82" s="61">
        <f>IF(G82="","",IF(AND(G82&gt;=L82,G82&lt;=M82),"OK","NG"))</f>
        <v/>
      </c>
      <c r="O82" s="69">
        <f>IF(N82="","",IF(N82=D82,1,0))</f>
        <v/>
      </c>
      <c r="P82" s="67">
        <f>IF(G82="","",J82-G82)</f>
        <v/>
      </c>
      <c r="Q82" s="67">
        <f>IF(G82="","",ABS(P82-Components!$D$2))</f>
        <v/>
      </c>
      <c r="R82" s="67">
        <f>IF(G82="","",ABS(P82-Components!$D$3))</f>
        <v/>
      </c>
      <c r="S82" s="67">
        <f>IF(G82="","",ABS(P82-Components!$D$4))</f>
        <v/>
      </c>
      <c r="T82" s="67">
        <f>IF(G82="","",ABS(P82-Components!$D$5))</f>
        <v/>
      </c>
      <c r="U82" s="67">
        <f>IF(G82="","",ABS(P82-Components!$D$6))</f>
        <v/>
      </c>
      <c r="V82" s="67">
        <f>IF(G82="","",ABS(P82-Components!$D$7))</f>
        <v/>
      </c>
      <c r="W82" s="61">
        <f>IF(G82="","",IF(N82="OK","NONE",INDEX({"S1","S2","W1","W2","N1","N2"},MATCH(MIN(Q82:V82),Q82:V82,0))))</f>
        <v/>
      </c>
      <c r="X82" s="69">
        <f>IF(G82="","",IF(W82=E82,1,0))</f>
        <v/>
      </c>
      <c r="Y82" s="70" t="n"/>
    </row>
    <row r="83">
      <c r="A83" s="61" t="n">
        <v>14</v>
      </c>
      <c r="B83" s="62" t="n">
        <v>45</v>
      </c>
      <c r="C83" s="61" t="inlineStr">
        <is>
          <t>R3</t>
        </is>
      </c>
      <c r="D83" s="74" t="inlineStr">
        <is>
          <t>NG</t>
        </is>
      </c>
      <c r="E83" s="61" t="inlineStr">
        <is>
          <t>W2</t>
        </is>
      </c>
      <c r="F83" s="61" t="inlineStr">
        <is>
          <t>K014</t>
        </is>
      </c>
      <c r="G83" s="64" t="n">
        <v>5.36</v>
      </c>
      <c r="H83" s="65" t="n"/>
      <c r="I83" s="66" t="n"/>
      <c r="J83" s="67">
        <f>VLOOKUP(C83,Recipes!$A$2:$N$4,10,FALSE())</f>
        <v/>
      </c>
      <c r="K83" s="68">
        <f>VLOOKUP(C83,Recipes!$A$2:$N$4,12,FALSE())</f>
        <v/>
      </c>
      <c r="L83" s="67">
        <f>J83-6*K83</f>
        <v/>
      </c>
      <c r="M83" s="67">
        <f>J83+6*K83</f>
        <v/>
      </c>
      <c r="N83" s="61">
        <f>IF(G83="","",IF(AND(G83&gt;=L83,G83&lt;=M83),"OK","NG"))</f>
        <v/>
      </c>
      <c r="O83" s="69">
        <f>IF(N83="","",IF(N83=D83,1,0))</f>
        <v/>
      </c>
      <c r="P83" s="67">
        <f>IF(G83="","",J83-G83)</f>
        <v/>
      </c>
      <c r="Q83" s="67">
        <f>IF(G83="","",ABS(P83-Components!$D$2))</f>
        <v/>
      </c>
      <c r="R83" s="67">
        <f>IF(G83="","",ABS(P83-Components!$D$3))</f>
        <v/>
      </c>
      <c r="S83" s="67">
        <f>IF(G83="","",ABS(P83-Components!$D$4))</f>
        <v/>
      </c>
      <c r="T83" s="67">
        <f>IF(G83="","",ABS(P83-Components!$D$5))</f>
        <v/>
      </c>
      <c r="U83" s="67">
        <f>IF(G83="","",ABS(P83-Components!$D$6))</f>
        <v/>
      </c>
      <c r="V83" s="67">
        <f>IF(G83="","",ABS(P83-Components!$D$7))</f>
        <v/>
      </c>
      <c r="W83" s="61">
        <f>IF(G83="","",IF(N83="OK","NONE",INDEX({"S1","S2","W1","W2","N1","N2"},MATCH(MIN(Q83:V83),Q83:V83,0))))</f>
        <v/>
      </c>
      <c r="X83" s="69">
        <f>IF(G83="","",IF(W83=E83,1,0))</f>
        <v/>
      </c>
      <c r="Y83" s="70" t="n"/>
    </row>
    <row r="84">
      <c r="A84" s="61" t="n">
        <v>14</v>
      </c>
      <c r="B84" s="62" t="n">
        <v>45</v>
      </c>
      <c r="C84" s="61" t="inlineStr">
        <is>
          <t>R3</t>
        </is>
      </c>
      <c r="D84" s="74" t="inlineStr">
        <is>
          <t>NG</t>
        </is>
      </c>
      <c r="E84" s="61" t="inlineStr">
        <is>
          <t>W2</t>
        </is>
      </c>
      <c r="F84" s="61" t="inlineStr">
        <is>
          <t>K014</t>
        </is>
      </c>
      <c r="G84" s="64" t="n">
        <v>5.42</v>
      </c>
      <c r="H84" s="65" t="n"/>
      <c r="I84" s="66" t="n"/>
      <c r="J84" s="67">
        <f>VLOOKUP(C84,Recipes!$A$2:$N$4,10,FALSE())</f>
        <v/>
      </c>
      <c r="K84" s="68">
        <f>VLOOKUP(C84,Recipes!$A$2:$N$4,12,FALSE())</f>
        <v/>
      </c>
      <c r="L84" s="67">
        <f>J84-6*K84</f>
        <v/>
      </c>
      <c r="M84" s="67">
        <f>J84+6*K84</f>
        <v/>
      </c>
      <c r="N84" s="61">
        <f>IF(G84="","",IF(AND(G84&gt;=L84,G84&lt;=M84),"OK","NG"))</f>
        <v/>
      </c>
      <c r="O84" s="69">
        <f>IF(N84="","",IF(N84=D84,1,0))</f>
        <v/>
      </c>
      <c r="P84" s="67">
        <f>IF(G84="","",J84-G84)</f>
        <v/>
      </c>
      <c r="Q84" s="67">
        <f>IF(G84="","",ABS(P84-Components!$D$2))</f>
        <v/>
      </c>
      <c r="R84" s="67">
        <f>IF(G84="","",ABS(P84-Components!$D$3))</f>
        <v/>
      </c>
      <c r="S84" s="67">
        <f>IF(G84="","",ABS(P84-Components!$D$4))</f>
        <v/>
      </c>
      <c r="T84" s="67">
        <f>IF(G84="","",ABS(P84-Components!$D$5))</f>
        <v/>
      </c>
      <c r="U84" s="67">
        <f>IF(G84="","",ABS(P84-Components!$D$6))</f>
        <v/>
      </c>
      <c r="V84" s="67">
        <f>IF(G84="","",ABS(P84-Components!$D$7))</f>
        <v/>
      </c>
      <c r="W84" s="61">
        <f>IF(G84="","",IF(N84="OK","NONE",INDEX({"S1","S2","W1","W2","N1","N2"},MATCH(MIN(Q84:V84),Q84:V84,0))))</f>
        <v/>
      </c>
      <c r="X84" s="69">
        <f>IF(G84="","",IF(W84=E84,1,0))</f>
        <v/>
      </c>
      <c r="Y84" s="70" t="n"/>
    </row>
    <row r="85">
      <c r="A85" s="61" t="n">
        <v>14</v>
      </c>
      <c r="B85" s="62" t="n">
        <v>45</v>
      </c>
      <c r="C85" s="61" t="inlineStr">
        <is>
          <t>R3</t>
        </is>
      </c>
      <c r="D85" s="74" t="inlineStr">
        <is>
          <t>NG</t>
        </is>
      </c>
      <c r="E85" s="61" t="inlineStr">
        <is>
          <t>W2</t>
        </is>
      </c>
      <c r="F85" s="61" t="inlineStr">
        <is>
          <t>K014</t>
        </is>
      </c>
      <c r="G85" s="64" t="n">
        <v>5.37</v>
      </c>
      <c r="H85" s="65" t="n"/>
      <c r="I85" s="66" t="n"/>
      <c r="J85" s="67">
        <f>VLOOKUP(C85,Recipes!$A$2:$N$4,10,FALSE())</f>
        <v/>
      </c>
      <c r="K85" s="68">
        <f>VLOOKUP(C85,Recipes!$A$2:$N$4,12,FALSE())</f>
        <v/>
      </c>
      <c r="L85" s="67">
        <f>J85-6*K85</f>
        <v/>
      </c>
      <c r="M85" s="67">
        <f>J85+6*K85</f>
        <v/>
      </c>
      <c r="N85" s="61">
        <f>IF(G85="","",IF(AND(G85&gt;=L85,G85&lt;=M85),"OK","NG"))</f>
        <v/>
      </c>
      <c r="O85" s="69">
        <f>IF(N85="","",IF(N85=D85,1,0))</f>
        <v/>
      </c>
      <c r="P85" s="67">
        <f>IF(G85="","",J85-G85)</f>
        <v/>
      </c>
      <c r="Q85" s="67">
        <f>IF(G85="","",ABS(P85-Components!$D$2))</f>
        <v/>
      </c>
      <c r="R85" s="67">
        <f>IF(G85="","",ABS(P85-Components!$D$3))</f>
        <v/>
      </c>
      <c r="S85" s="67">
        <f>IF(G85="","",ABS(P85-Components!$D$4))</f>
        <v/>
      </c>
      <c r="T85" s="67">
        <f>IF(G85="","",ABS(P85-Components!$D$5))</f>
        <v/>
      </c>
      <c r="U85" s="67">
        <f>IF(G85="","",ABS(P85-Components!$D$6))</f>
        <v/>
      </c>
      <c r="V85" s="67">
        <f>IF(G85="","",ABS(P85-Components!$D$7))</f>
        <v/>
      </c>
      <c r="W85" s="61">
        <f>IF(G85="","",IF(N85="OK","NONE",INDEX({"S1","S2","W1","W2","N1","N2"},MATCH(MIN(Q85:V85),Q85:V85,0))))</f>
        <v/>
      </c>
      <c r="X85" s="69">
        <f>IF(G85="","",IF(W85=E85,1,0))</f>
        <v/>
      </c>
      <c r="Y85" s="70" t="n"/>
    </row>
    <row r="86">
      <c r="A86" s="61" t="n">
        <v>14</v>
      </c>
      <c r="B86" s="62" t="n">
        <v>45</v>
      </c>
      <c r="C86" s="61" t="inlineStr">
        <is>
          <t>R3</t>
        </is>
      </c>
      <c r="D86" s="74" t="inlineStr">
        <is>
          <t>NG</t>
        </is>
      </c>
      <c r="E86" s="61" t="inlineStr">
        <is>
          <t>W2</t>
        </is>
      </c>
      <c r="F86" s="61" t="inlineStr">
        <is>
          <t>K014</t>
        </is>
      </c>
      <c r="G86" s="64" t="n">
        <v>5.4</v>
      </c>
      <c r="H86" s="65" t="n"/>
      <c r="I86" s="66" t="n"/>
      <c r="J86" s="67">
        <f>VLOOKUP(C86,Recipes!$A$2:$N$4,10,FALSE())</f>
        <v/>
      </c>
      <c r="K86" s="68">
        <f>VLOOKUP(C86,Recipes!$A$2:$N$4,12,FALSE())</f>
        <v/>
      </c>
      <c r="L86" s="67">
        <f>J86-6*K86</f>
        <v/>
      </c>
      <c r="M86" s="67">
        <f>J86+6*K86</f>
        <v/>
      </c>
      <c r="N86" s="61">
        <f>IF(G86="","",IF(AND(G86&gt;=L86,G86&lt;=M86),"OK","NG"))</f>
        <v/>
      </c>
      <c r="O86" s="69">
        <f>IF(N86="","",IF(N86=D86,1,0))</f>
        <v/>
      </c>
      <c r="P86" s="67">
        <f>IF(G86="","",J86-G86)</f>
        <v/>
      </c>
      <c r="Q86" s="67">
        <f>IF(G86="","",ABS(P86-Components!$D$2))</f>
        <v/>
      </c>
      <c r="R86" s="67">
        <f>IF(G86="","",ABS(P86-Components!$D$3))</f>
        <v/>
      </c>
      <c r="S86" s="67">
        <f>IF(G86="","",ABS(P86-Components!$D$4))</f>
        <v/>
      </c>
      <c r="T86" s="67">
        <f>IF(G86="","",ABS(P86-Components!$D$5))</f>
        <v/>
      </c>
      <c r="U86" s="67">
        <f>IF(G86="","",ABS(P86-Components!$D$6))</f>
        <v/>
      </c>
      <c r="V86" s="67">
        <f>IF(G86="","",ABS(P86-Components!$D$7))</f>
        <v/>
      </c>
      <c r="W86" s="61">
        <f>IF(G86="","",IF(N86="OK","NONE",INDEX({"S1","S2","W1","W2","N1","N2"},MATCH(MIN(Q86:V86),Q86:V86,0))))</f>
        <v/>
      </c>
      <c r="X86" s="69">
        <f>IF(G86="","",IF(W86=E86,1,0))</f>
        <v/>
      </c>
      <c r="Y86" s="70" t="n"/>
    </row>
    <row r="87">
      <c r="A87" s="61" t="n">
        <v>14</v>
      </c>
      <c r="B87" s="62" t="n">
        <v>45</v>
      </c>
      <c r="C87" s="61" t="inlineStr">
        <is>
          <t>R3</t>
        </is>
      </c>
      <c r="D87" s="74" t="inlineStr">
        <is>
          <t>NG</t>
        </is>
      </c>
      <c r="E87" s="61" t="inlineStr">
        <is>
          <t>W2</t>
        </is>
      </c>
      <c r="F87" s="61" t="inlineStr">
        <is>
          <t>K014</t>
        </is>
      </c>
      <c r="G87" s="64" t="n">
        <v>5.35</v>
      </c>
      <c r="H87" s="65" t="n"/>
      <c r="I87" s="66" t="n"/>
      <c r="J87" s="67">
        <f>VLOOKUP(C87,Recipes!$A$2:$N$4,10,FALSE())</f>
        <v/>
      </c>
      <c r="K87" s="68">
        <f>VLOOKUP(C87,Recipes!$A$2:$N$4,12,FALSE())</f>
        <v/>
      </c>
      <c r="L87" s="67">
        <f>J87-6*K87</f>
        <v/>
      </c>
      <c r="M87" s="67">
        <f>J87+6*K87</f>
        <v/>
      </c>
      <c r="N87" s="61">
        <f>IF(G87="","",IF(AND(G87&gt;=L87,G87&lt;=M87),"OK","NG"))</f>
        <v/>
      </c>
      <c r="O87" s="69">
        <f>IF(N87="","",IF(N87=D87,1,0))</f>
        <v/>
      </c>
      <c r="P87" s="67">
        <f>IF(G87="","",J87-G87)</f>
        <v/>
      </c>
      <c r="Q87" s="67">
        <f>IF(G87="","",ABS(P87-Components!$D$2))</f>
        <v/>
      </c>
      <c r="R87" s="67">
        <f>IF(G87="","",ABS(P87-Components!$D$3))</f>
        <v/>
      </c>
      <c r="S87" s="67">
        <f>IF(G87="","",ABS(P87-Components!$D$4))</f>
        <v/>
      </c>
      <c r="T87" s="67">
        <f>IF(G87="","",ABS(P87-Components!$D$5))</f>
        <v/>
      </c>
      <c r="U87" s="67">
        <f>IF(G87="","",ABS(P87-Components!$D$6))</f>
        <v/>
      </c>
      <c r="V87" s="67">
        <f>IF(G87="","",ABS(P87-Components!$D$7))</f>
        <v/>
      </c>
      <c r="W87" s="61">
        <f>IF(G87="","",IF(N87="OK","NONE",INDEX({"S1","S2","W1","W2","N1","N2"},MATCH(MIN(Q87:V87),Q87:V87,0))))</f>
        <v/>
      </c>
      <c r="X87" s="69">
        <f>IF(G87="","",IF(W87=E87,1,0))</f>
        <v/>
      </c>
      <c r="Y87" s="70" t="n"/>
    </row>
    <row r="88">
      <c r="A88" s="61" t="n">
        <v>14</v>
      </c>
      <c r="B88" s="62" t="n">
        <v>45</v>
      </c>
      <c r="C88" s="61" t="inlineStr">
        <is>
          <t>R3</t>
        </is>
      </c>
      <c r="D88" s="74" t="inlineStr">
        <is>
          <t>NG</t>
        </is>
      </c>
      <c r="E88" s="61" t="inlineStr">
        <is>
          <t>W2</t>
        </is>
      </c>
      <c r="F88" s="61" t="inlineStr">
        <is>
          <t>K014</t>
        </is>
      </c>
      <c r="G88" s="64" t="n">
        <v>5.38</v>
      </c>
      <c r="H88" s="65" t="n"/>
      <c r="I88" s="66" t="n"/>
      <c r="J88" s="67">
        <f>VLOOKUP(C88,Recipes!$A$2:$N$4,10,FALSE())</f>
        <v/>
      </c>
      <c r="K88" s="68">
        <f>VLOOKUP(C88,Recipes!$A$2:$N$4,12,FALSE())</f>
        <v/>
      </c>
      <c r="L88" s="67">
        <f>J88-6*K88</f>
        <v/>
      </c>
      <c r="M88" s="67">
        <f>J88+6*K88</f>
        <v/>
      </c>
      <c r="N88" s="61">
        <f>IF(G88="","",IF(AND(G88&gt;=L88,G88&lt;=M88),"OK","NG"))</f>
        <v/>
      </c>
      <c r="O88" s="69">
        <f>IF(N88="","",IF(N88=D88,1,0))</f>
        <v/>
      </c>
      <c r="P88" s="67">
        <f>IF(G88="","",J88-G88)</f>
        <v/>
      </c>
      <c r="Q88" s="67">
        <f>IF(G88="","",ABS(P88-Components!$D$2))</f>
        <v/>
      </c>
      <c r="R88" s="67">
        <f>IF(G88="","",ABS(P88-Components!$D$3))</f>
        <v/>
      </c>
      <c r="S88" s="67">
        <f>IF(G88="","",ABS(P88-Components!$D$4))</f>
        <v/>
      </c>
      <c r="T88" s="67">
        <f>IF(G88="","",ABS(P88-Components!$D$5))</f>
        <v/>
      </c>
      <c r="U88" s="67">
        <f>IF(G88="","",ABS(P88-Components!$D$6))</f>
        <v/>
      </c>
      <c r="V88" s="67">
        <f>IF(G88="","",ABS(P88-Components!$D$7))</f>
        <v/>
      </c>
      <c r="W88" s="61">
        <f>IF(G88="","",IF(N88="OK","NONE",INDEX({"S1","S2","W1","W2","N1","N2"},MATCH(MIN(Q88:V88),Q88:V88,0))))</f>
        <v/>
      </c>
      <c r="X88" s="69">
        <f>IF(G88="","",IF(W88=E88,1,0))</f>
        <v/>
      </c>
      <c r="Y88" s="70" t="n"/>
    </row>
    <row r="89">
      <c r="A89" s="61" t="n">
        <v>14</v>
      </c>
      <c r="B89" s="62" t="n">
        <v>45</v>
      </c>
      <c r="C89" s="61" t="inlineStr">
        <is>
          <t>R3</t>
        </is>
      </c>
      <c r="D89" s="74" t="inlineStr">
        <is>
          <t>NG</t>
        </is>
      </c>
      <c r="E89" s="61" t="inlineStr">
        <is>
          <t>W2</t>
        </is>
      </c>
      <c r="F89" s="61" t="inlineStr">
        <is>
          <t>K014</t>
        </is>
      </c>
      <c r="G89" s="64" t="n">
        <v>5.34</v>
      </c>
      <c r="H89" s="65" t="n"/>
      <c r="I89" s="66" t="n"/>
      <c r="J89" s="67">
        <f>VLOOKUP(C89,Recipes!$A$2:$N$4,10,FALSE())</f>
        <v/>
      </c>
      <c r="K89" s="68">
        <f>VLOOKUP(C89,Recipes!$A$2:$N$4,12,FALSE())</f>
        <v/>
      </c>
      <c r="L89" s="67">
        <f>J89-6*K89</f>
        <v/>
      </c>
      <c r="M89" s="67">
        <f>J89+6*K89</f>
        <v/>
      </c>
      <c r="N89" s="61">
        <f>IF(G89="","",IF(AND(G89&gt;=L89,G89&lt;=M89),"OK","NG"))</f>
        <v/>
      </c>
      <c r="O89" s="69">
        <f>IF(N89="","",IF(N89=D89,1,0))</f>
        <v/>
      </c>
      <c r="P89" s="67">
        <f>IF(G89="","",J89-G89)</f>
        <v/>
      </c>
      <c r="Q89" s="67">
        <f>IF(G89="","",ABS(P89-Components!$D$2))</f>
        <v/>
      </c>
      <c r="R89" s="67">
        <f>IF(G89="","",ABS(P89-Components!$D$3))</f>
        <v/>
      </c>
      <c r="S89" s="67">
        <f>IF(G89="","",ABS(P89-Components!$D$4))</f>
        <v/>
      </c>
      <c r="T89" s="67">
        <f>IF(G89="","",ABS(P89-Components!$D$5))</f>
        <v/>
      </c>
      <c r="U89" s="67">
        <f>IF(G89="","",ABS(P89-Components!$D$6))</f>
        <v/>
      </c>
      <c r="V89" s="67">
        <f>IF(G89="","",ABS(P89-Components!$D$7))</f>
        <v/>
      </c>
      <c r="W89" s="61">
        <f>IF(G89="","",IF(N89="OK","NONE",INDEX({"S1","S2","W1","W2","N1","N2"},MATCH(MIN(Q89:V89),Q89:V89,0))))</f>
        <v/>
      </c>
      <c r="X89" s="69">
        <f>IF(G89="","",IF(W89=E89,1,0))</f>
        <v/>
      </c>
      <c r="Y89" s="70" t="n"/>
    </row>
    <row r="90">
      <c r="A90" s="61" t="n">
        <v>14</v>
      </c>
      <c r="B90" s="62" t="n">
        <v>45</v>
      </c>
      <c r="C90" s="61" t="inlineStr">
        <is>
          <t>R3</t>
        </is>
      </c>
      <c r="D90" s="74" t="inlineStr">
        <is>
          <t>NG</t>
        </is>
      </c>
      <c r="E90" s="61" t="inlineStr">
        <is>
          <t>W2</t>
        </is>
      </c>
      <c r="F90" s="61" t="inlineStr">
        <is>
          <t>K014</t>
        </is>
      </c>
      <c r="G90" s="64" t="n">
        <v>5.42</v>
      </c>
      <c r="H90" s="65" t="n"/>
      <c r="I90" s="66" t="n"/>
      <c r="J90" s="67">
        <f>VLOOKUP(C90,Recipes!$A$2:$N$4,10,FALSE())</f>
        <v/>
      </c>
      <c r="K90" s="68">
        <f>VLOOKUP(C90,Recipes!$A$2:$N$4,12,FALSE())</f>
        <v/>
      </c>
      <c r="L90" s="67">
        <f>J90-6*K90</f>
        <v/>
      </c>
      <c r="M90" s="67">
        <f>J90+6*K90</f>
        <v/>
      </c>
      <c r="N90" s="61">
        <f>IF(G90="","",IF(AND(G90&gt;=L90,G90&lt;=M90),"OK","NG"))</f>
        <v/>
      </c>
      <c r="O90" s="69">
        <f>IF(N90="","",IF(N90=D90,1,0))</f>
        <v/>
      </c>
      <c r="P90" s="67">
        <f>IF(G90="","",J90-G90)</f>
        <v/>
      </c>
      <c r="Q90" s="67">
        <f>IF(G90="","",ABS(P90-Components!$D$2))</f>
        <v/>
      </c>
      <c r="R90" s="67">
        <f>IF(G90="","",ABS(P90-Components!$D$3))</f>
        <v/>
      </c>
      <c r="S90" s="67">
        <f>IF(G90="","",ABS(P90-Components!$D$4))</f>
        <v/>
      </c>
      <c r="T90" s="67">
        <f>IF(G90="","",ABS(P90-Components!$D$5))</f>
        <v/>
      </c>
      <c r="U90" s="67">
        <f>IF(G90="","",ABS(P90-Components!$D$6))</f>
        <v/>
      </c>
      <c r="V90" s="67">
        <f>IF(G90="","",ABS(P90-Components!$D$7))</f>
        <v/>
      </c>
      <c r="W90" s="61">
        <f>IF(G90="","",IF(N90="OK","NONE",INDEX({"S1","S2","W1","W2","N1","N2"},MATCH(MIN(Q90:V90),Q90:V90,0))))</f>
        <v/>
      </c>
      <c r="X90" s="69">
        <f>IF(G90="","",IF(W90=E90,1,0))</f>
        <v/>
      </c>
      <c r="Y90" s="70" t="n"/>
    </row>
    <row r="91">
      <c r="A91" s="61" t="n">
        <v>14</v>
      </c>
      <c r="B91" s="62" t="n">
        <v>45</v>
      </c>
      <c r="C91" s="61" t="inlineStr">
        <is>
          <t>R3</t>
        </is>
      </c>
      <c r="D91" s="74" t="inlineStr">
        <is>
          <t>NG</t>
        </is>
      </c>
      <c r="E91" s="61" t="inlineStr">
        <is>
          <t>W2</t>
        </is>
      </c>
      <c r="F91" s="61" t="inlineStr">
        <is>
          <t>K014</t>
        </is>
      </c>
      <c r="G91" s="64" t="n">
        <v>5.4</v>
      </c>
      <c r="H91" s="65" t="n"/>
      <c r="I91" s="66" t="n"/>
      <c r="J91" s="67">
        <f>VLOOKUP(C91,Recipes!$A$2:$N$4,10,FALSE())</f>
        <v/>
      </c>
      <c r="K91" s="68">
        <f>VLOOKUP(C91,Recipes!$A$2:$N$4,12,FALSE())</f>
        <v/>
      </c>
      <c r="L91" s="67">
        <f>J91-6*K91</f>
        <v/>
      </c>
      <c r="M91" s="67">
        <f>J91+6*K91</f>
        <v/>
      </c>
      <c r="N91" s="61">
        <f>IF(G91="","",IF(AND(G91&gt;=L91,G91&lt;=M91),"OK","NG"))</f>
        <v/>
      </c>
      <c r="O91" s="69">
        <f>IF(N91="","",IF(N91=D91,1,0))</f>
        <v/>
      </c>
      <c r="P91" s="67">
        <f>IF(G91="","",J91-G91)</f>
        <v/>
      </c>
      <c r="Q91" s="67">
        <f>IF(G91="","",ABS(P91-Components!$D$2))</f>
        <v/>
      </c>
      <c r="R91" s="67">
        <f>IF(G91="","",ABS(P91-Components!$D$3))</f>
        <v/>
      </c>
      <c r="S91" s="67">
        <f>IF(G91="","",ABS(P91-Components!$D$4))</f>
        <v/>
      </c>
      <c r="T91" s="67">
        <f>IF(G91="","",ABS(P91-Components!$D$5))</f>
        <v/>
      </c>
      <c r="U91" s="67">
        <f>IF(G91="","",ABS(P91-Components!$D$6))</f>
        <v/>
      </c>
      <c r="V91" s="67">
        <f>IF(G91="","",ABS(P91-Components!$D$7))</f>
        <v/>
      </c>
      <c r="W91" s="61">
        <f>IF(G91="","",IF(N91="OK","NONE",INDEX({"S1","S2","W1","W2","N1","N2"},MATCH(MIN(Q91:V91),Q91:V91,0))))</f>
        <v/>
      </c>
      <c r="X91" s="69">
        <f>IF(G91="","",IF(W91=E91,1,0))</f>
        <v/>
      </c>
      <c r="Y91" s="70" t="n"/>
    </row>
    <row r="92">
      <c r="A92" s="61" t="n">
        <v>15</v>
      </c>
      <c r="B92" s="62" t="n">
        <v>30</v>
      </c>
      <c r="C92" s="61" t="inlineStr">
        <is>
          <t>R3</t>
        </is>
      </c>
      <c r="D92" s="74" t="inlineStr">
        <is>
          <t>NG</t>
        </is>
      </c>
      <c r="E92" s="61" t="inlineStr">
        <is>
          <t>W2</t>
        </is>
      </c>
      <c r="F92" s="61" t="inlineStr">
        <is>
          <t>K015</t>
        </is>
      </c>
      <c r="G92" s="64" t="n">
        <v>5.42</v>
      </c>
      <c r="H92" s="65" t="n"/>
      <c r="I92" s="66" t="n"/>
      <c r="J92" s="67">
        <f>VLOOKUP(C92,Recipes!$A$2:$N$4,10,FALSE())</f>
        <v/>
      </c>
      <c r="K92" s="68">
        <f>VLOOKUP(C92,Recipes!$A$2:$N$4,12,FALSE())</f>
        <v/>
      </c>
      <c r="L92" s="67">
        <f>J92-6*K92</f>
        <v/>
      </c>
      <c r="M92" s="67">
        <f>J92+6*K92</f>
        <v/>
      </c>
      <c r="N92" s="61">
        <f>IF(G92="","",IF(AND(G92&gt;=L92,G92&lt;=M92),"OK","NG"))</f>
        <v/>
      </c>
      <c r="O92" s="69">
        <f>IF(N92="","",IF(N92=D92,1,0))</f>
        <v/>
      </c>
      <c r="P92" s="67">
        <f>IF(G92="","",J92-G92)</f>
        <v/>
      </c>
      <c r="Q92" s="67">
        <f>IF(G92="","",ABS(P92-Components!$D$2))</f>
        <v/>
      </c>
      <c r="R92" s="67">
        <f>IF(G92="","",ABS(P92-Components!$D$3))</f>
        <v/>
      </c>
      <c r="S92" s="67">
        <f>IF(G92="","",ABS(P92-Components!$D$4))</f>
        <v/>
      </c>
      <c r="T92" s="67">
        <f>IF(G92="","",ABS(P92-Components!$D$5))</f>
        <v/>
      </c>
      <c r="U92" s="67">
        <f>IF(G92="","",ABS(P92-Components!$D$6))</f>
        <v/>
      </c>
      <c r="V92" s="67">
        <f>IF(G92="","",ABS(P92-Components!$D$7))</f>
        <v/>
      </c>
      <c r="W92" s="61">
        <f>IF(G92="","",IF(N92="OK","NONE",INDEX({"S1","S2","W1","W2","N1","N2"},MATCH(MIN(Q92:V92),Q92:V92,0))))</f>
        <v/>
      </c>
      <c r="X92" s="69">
        <f>IF(G92="","",IF(W92=E92,1,0))</f>
        <v/>
      </c>
      <c r="Y92" s="70" t="n"/>
    </row>
    <row r="93">
      <c r="A93" s="61" t="n">
        <v>16</v>
      </c>
      <c r="B93" s="62" t="n">
        <v>55</v>
      </c>
      <c r="C93" s="61" t="inlineStr">
        <is>
          <t>R3</t>
        </is>
      </c>
      <c r="D93" s="74" t="inlineStr">
        <is>
          <t>NG</t>
        </is>
      </c>
      <c r="E93" s="61" t="inlineStr">
        <is>
          <t>N2</t>
        </is>
      </c>
      <c r="F93" s="61" t="inlineStr">
        <is>
          <t>K016</t>
        </is>
      </c>
      <c r="G93" s="64" t="n">
        <v>8.609999999999999</v>
      </c>
      <c r="H93" s="65" t="n"/>
      <c r="I93" s="66" t="n"/>
      <c r="J93" s="67">
        <f>VLOOKUP(C93,Recipes!$A$2:$N$4,10,FALSE())</f>
        <v/>
      </c>
      <c r="K93" s="68">
        <f>VLOOKUP(C93,Recipes!$A$2:$N$4,12,FALSE())</f>
        <v/>
      </c>
      <c r="L93" s="67">
        <f>J93-6*K93</f>
        <v/>
      </c>
      <c r="M93" s="67">
        <f>J93+6*K93</f>
        <v/>
      </c>
      <c r="N93" s="61">
        <f>IF(G93="","",IF(AND(G93&gt;=L93,G93&lt;=M93),"OK","NG"))</f>
        <v/>
      </c>
      <c r="O93" s="69">
        <f>IF(N93="","",IF(N93=D93,1,0))</f>
        <v/>
      </c>
      <c r="P93" s="67">
        <f>IF(G93="","",J93-G93)</f>
        <v/>
      </c>
      <c r="Q93" s="67">
        <f>IF(G93="","",ABS(P93-Components!$D$2))</f>
        <v/>
      </c>
      <c r="R93" s="67">
        <f>IF(G93="","",ABS(P93-Components!$D$3))</f>
        <v/>
      </c>
      <c r="S93" s="67">
        <f>IF(G93="","",ABS(P93-Components!$D$4))</f>
        <v/>
      </c>
      <c r="T93" s="67">
        <f>IF(G93="","",ABS(P93-Components!$D$5))</f>
        <v/>
      </c>
      <c r="U93" s="67">
        <f>IF(G93="","",ABS(P93-Components!$D$6))</f>
        <v/>
      </c>
      <c r="V93" s="67">
        <f>IF(G93="","",ABS(P93-Components!$D$7))</f>
        <v/>
      </c>
      <c r="W93" s="61">
        <f>IF(G93="","",IF(N93="OK","NONE",INDEX({"S1","S2","W1","W2","N1","N2"},MATCH(MIN(Q93:V93),Q93:V93,0))))</f>
        <v/>
      </c>
      <c r="X93" s="69">
        <f>IF(G93="","",IF(W93=E93,1,0))</f>
        <v/>
      </c>
      <c r="Y93" s="70" t="n"/>
    </row>
    <row r="94">
      <c r="A94" s="61" t="n">
        <v>17</v>
      </c>
      <c r="B94" s="62" t="n">
        <v>4</v>
      </c>
      <c r="C94" s="61" t="inlineStr">
        <is>
          <t>R3</t>
        </is>
      </c>
      <c r="D94" s="74" t="inlineStr">
        <is>
          <t>NG</t>
        </is>
      </c>
      <c r="E94" s="61" t="inlineStr">
        <is>
          <t>N2</t>
        </is>
      </c>
      <c r="F94" s="61" t="inlineStr">
        <is>
          <t>K017</t>
        </is>
      </c>
      <c r="G94" s="64" t="n">
        <v>8.619999999999999</v>
      </c>
      <c r="H94" s="65" t="n"/>
      <c r="I94" s="66" t="n"/>
      <c r="J94" s="67">
        <f>VLOOKUP(C94,Recipes!$A$2:$N$4,10,FALSE())</f>
        <v/>
      </c>
      <c r="K94" s="68">
        <f>VLOOKUP(C94,Recipes!$A$2:$N$4,12,FALSE())</f>
        <v/>
      </c>
      <c r="L94" s="67">
        <f>J94-6*K94</f>
        <v/>
      </c>
      <c r="M94" s="67">
        <f>J94+6*K94</f>
        <v/>
      </c>
      <c r="N94" s="61">
        <f>IF(G94="","",IF(AND(G94&gt;=L94,G94&lt;=M94),"OK","NG"))</f>
        <v/>
      </c>
      <c r="O94" s="69">
        <f>IF(N94="","",IF(N94=D94,1,0))</f>
        <v/>
      </c>
      <c r="P94" s="67">
        <f>IF(G94="","",J94-G94)</f>
        <v/>
      </c>
      <c r="Q94" s="67">
        <f>IF(G94="","",ABS(P94-Components!$D$2))</f>
        <v/>
      </c>
      <c r="R94" s="67">
        <f>IF(G94="","",ABS(P94-Components!$D$3))</f>
        <v/>
      </c>
      <c r="S94" s="67">
        <f>IF(G94="","",ABS(P94-Components!$D$4))</f>
        <v/>
      </c>
      <c r="T94" s="67">
        <f>IF(G94="","",ABS(P94-Components!$D$5))</f>
        <v/>
      </c>
      <c r="U94" s="67">
        <f>IF(G94="","",ABS(P94-Components!$D$6))</f>
        <v/>
      </c>
      <c r="V94" s="67">
        <f>IF(G94="","",ABS(P94-Components!$D$7))</f>
        <v/>
      </c>
      <c r="W94" s="61">
        <f>IF(G94="","",IF(N94="OK","NONE",INDEX({"S1","S2","W1","W2","N1","N2"},MATCH(MIN(Q94:V94),Q94:V94,0))))</f>
        <v/>
      </c>
      <c r="X94" s="69">
        <f>IF(G94="","",IF(W94=E94,1,0))</f>
        <v/>
      </c>
      <c r="Y94" s="70" t="n"/>
    </row>
    <row r="95">
      <c r="A95" s="61" t="n">
        <v>18</v>
      </c>
      <c r="B95" s="62" t="n">
        <v>22</v>
      </c>
      <c r="C95" s="61" t="inlineStr">
        <is>
          <t>R3</t>
        </is>
      </c>
      <c r="D95" s="74" t="inlineStr">
        <is>
          <t>NG</t>
        </is>
      </c>
      <c r="E95" s="61" t="inlineStr">
        <is>
          <t>N2</t>
        </is>
      </c>
      <c r="F95" s="61" t="inlineStr">
        <is>
          <t>K018</t>
        </is>
      </c>
      <c r="G95" s="64" t="n">
        <v>8.630000000000001</v>
      </c>
      <c r="H95" s="65" t="n"/>
      <c r="I95" s="66" t="n"/>
      <c r="J95" s="67">
        <f>VLOOKUP(C95,Recipes!$A$2:$N$4,10,FALSE())</f>
        <v/>
      </c>
      <c r="K95" s="68">
        <f>VLOOKUP(C95,Recipes!$A$2:$N$4,12,FALSE())</f>
        <v/>
      </c>
      <c r="L95" s="67">
        <f>J95-6*K95</f>
        <v/>
      </c>
      <c r="M95" s="67">
        <f>J95+6*K95</f>
        <v/>
      </c>
      <c r="N95" s="61">
        <f>IF(G95="","",IF(AND(G95&gt;=L95,G95&lt;=M95),"OK","NG"))</f>
        <v/>
      </c>
      <c r="O95" s="69">
        <f>IF(N95="","",IF(N95=D95,1,0))</f>
        <v/>
      </c>
      <c r="P95" s="67">
        <f>IF(G95="","",J95-G95)</f>
        <v/>
      </c>
      <c r="Q95" s="67">
        <f>IF(G95="","",ABS(P95-Components!$D$2))</f>
        <v/>
      </c>
      <c r="R95" s="67">
        <f>IF(G95="","",ABS(P95-Components!$D$3))</f>
        <v/>
      </c>
      <c r="S95" s="67">
        <f>IF(G95="","",ABS(P95-Components!$D$4))</f>
        <v/>
      </c>
      <c r="T95" s="67">
        <f>IF(G95="","",ABS(P95-Components!$D$5))</f>
        <v/>
      </c>
      <c r="U95" s="67">
        <f>IF(G95="","",ABS(P95-Components!$D$6))</f>
        <v/>
      </c>
      <c r="V95" s="67">
        <f>IF(G95="","",ABS(P95-Components!$D$7))</f>
        <v/>
      </c>
      <c r="W95" s="61">
        <f>IF(G95="","",IF(N95="OK","NONE",INDEX({"S1","S2","W1","W2","N1","N2"},MATCH(MIN(Q95:V95),Q95:V95,0))))</f>
        <v/>
      </c>
      <c r="X95" s="69">
        <f>IF(G95="","",IF(W95=E95,1,0))</f>
        <v/>
      </c>
      <c r="Y95" s="70" t="n"/>
    </row>
    <row r="96">
      <c r="A96" s="61" t="n">
        <v>19</v>
      </c>
      <c r="B96" s="62" t="n">
        <v>47</v>
      </c>
      <c r="C96" s="61" t="inlineStr">
        <is>
          <t>R3</t>
        </is>
      </c>
      <c r="D96" s="74" t="inlineStr">
        <is>
          <t>NG</t>
        </is>
      </c>
      <c r="E96" s="61" t="inlineStr">
        <is>
          <t>N2</t>
        </is>
      </c>
      <c r="F96" s="61" t="inlineStr">
        <is>
          <t>K019</t>
        </is>
      </c>
      <c r="G96" s="64" t="n">
        <v>8.619999999999999</v>
      </c>
      <c r="H96" s="65" t="n"/>
      <c r="I96" s="66" t="n"/>
      <c r="J96" s="67">
        <f>VLOOKUP(C96,Recipes!$A$2:$N$4,10,FALSE())</f>
        <v/>
      </c>
      <c r="K96" s="68">
        <f>VLOOKUP(C96,Recipes!$A$2:$N$4,12,FALSE())</f>
        <v/>
      </c>
      <c r="L96" s="67">
        <f>J96-6*K96</f>
        <v/>
      </c>
      <c r="M96" s="67">
        <f>J96+6*K96</f>
        <v/>
      </c>
      <c r="N96" s="61">
        <f>IF(G96="","",IF(AND(G96&gt;=L96,G96&lt;=M96),"OK","NG"))</f>
        <v/>
      </c>
      <c r="O96" s="69">
        <f>IF(N96="","",IF(N96=D96,1,0))</f>
        <v/>
      </c>
      <c r="P96" s="67">
        <f>IF(G96="","",J96-G96)</f>
        <v/>
      </c>
      <c r="Q96" s="67">
        <f>IF(G96="","",ABS(P96-Components!$D$2))</f>
        <v/>
      </c>
      <c r="R96" s="67">
        <f>IF(G96="","",ABS(P96-Components!$D$3))</f>
        <v/>
      </c>
      <c r="S96" s="67">
        <f>IF(G96="","",ABS(P96-Components!$D$4))</f>
        <v/>
      </c>
      <c r="T96" s="67">
        <f>IF(G96="","",ABS(P96-Components!$D$5))</f>
        <v/>
      </c>
      <c r="U96" s="67">
        <f>IF(G96="","",ABS(P96-Components!$D$6))</f>
        <v/>
      </c>
      <c r="V96" s="67">
        <f>IF(G96="","",ABS(P96-Components!$D$7))</f>
        <v/>
      </c>
      <c r="W96" s="61">
        <f>IF(G96="","",IF(N96="OK","NONE",INDEX({"S1","S2","W1","W2","N1","N2"},MATCH(MIN(Q96:V96),Q96:V96,0))))</f>
        <v/>
      </c>
      <c r="X96" s="69">
        <f>IF(G96="","",IF(W96=E96,1,0))</f>
        <v/>
      </c>
      <c r="Y96" s="70" t="n"/>
    </row>
    <row r="97">
      <c r="A97" s="61" t="n">
        <v>19</v>
      </c>
      <c r="B97" s="62" t="n">
        <v>47</v>
      </c>
      <c r="C97" s="61" t="inlineStr">
        <is>
          <t>R3</t>
        </is>
      </c>
      <c r="D97" s="74" t="inlineStr">
        <is>
          <t>NG</t>
        </is>
      </c>
      <c r="E97" s="61" t="inlineStr">
        <is>
          <t>N2</t>
        </is>
      </c>
      <c r="F97" s="61" t="inlineStr">
        <is>
          <t>K019</t>
        </is>
      </c>
      <c r="G97" s="64" t="n">
        <v>8.539999999999999</v>
      </c>
      <c r="H97" s="65" t="n"/>
      <c r="I97" s="66" t="n"/>
      <c r="J97" s="67">
        <f>VLOOKUP(C97,Recipes!$A$2:$N$4,10,FALSE())</f>
        <v/>
      </c>
      <c r="K97" s="68">
        <f>VLOOKUP(C97,Recipes!$A$2:$N$4,12,FALSE())</f>
        <v/>
      </c>
      <c r="L97" s="67">
        <f>J97-6*K97</f>
        <v/>
      </c>
      <c r="M97" s="67">
        <f>J97+6*K97</f>
        <v/>
      </c>
      <c r="N97" s="61">
        <f>IF(G97="","",IF(AND(G97&gt;=L97,G97&lt;=M97),"OK","NG"))</f>
        <v/>
      </c>
      <c r="O97" s="69">
        <f>IF(N97="","",IF(N97=D97,1,0))</f>
        <v/>
      </c>
      <c r="P97" s="67">
        <f>IF(G97="","",J97-G97)</f>
        <v/>
      </c>
      <c r="Q97" s="67">
        <f>IF(G97="","",ABS(P97-Components!$D$2))</f>
        <v/>
      </c>
      <c r="R97" s="67">
        <f>IF(G97="","",ABS(P97-Components!$D$3))</f>
        <v/>
      </c>
      <c r="S97" s="67">
        <f>IF(G97="","",ABS(P97-Components!$D$4))</f>
        <v/>
      </c>
      <c r="T97" s="67">
        <f>IF(G97="","",ABS(P97-Components!$D$5))</f>
        <v/>
      </c>
      <c r="U97" s="67">
        <f>IF(G97="","",ABS(P97-Components!$D$6))</f>
        <v/>
      </c>
      <c r="V97" s="67">
        <f>IF(G97="","",ABS(P97-Components!$D$7))</f>
        <v/>
      </c>
      <c r="W97" s="61">
        <f>IF(G97="","",IF(N97="OK","NONE",INDEX({"S1","S2","W1","W2","N1","N2"},MATCH(MIN(Q97:V97),Q97:V97,0))))</f>
        <v/>
      </c>
      <c r="X97" s="69">
        <f>IF(G97="","",IF(W97=E97,1,0))</f>
        <v/>
      </c>
      <c r="Y97" s="70" t="n"/>
    </row>
    <row r="98">
      <c r="A98" s="61" t="n">
        <v>19</v>
      </c>
      <c r="B98" s="62" t="n">
        <v>47</v>
      </c>
      <c r="C98" s="61" t="inlineStr">
        <is>
          <t>R3</t>
        </is>
      </c>
      <c r="D98" s="74" t="inlineStr">
        <is>
          <t>NG</t>
        </is>
      </c>
      <c r="E98" s="61" t="inlineStr">
        <is>
          <t>N2</t>
        </is>
      </c>
      <c r="F98" s="61" t="inlineStr">
        <is>
          <t>K019</t>
        </is>
      </c>
      <c r="G98" s="64" t="n">
        <v>8.48</v>
      </c>
      <c r="H98" s="65" t="n"/>
      <c r="I98" s="66" t="n"/>
      <c r="J98" s="67">
        <f>VLOOKUP(C98,Recipes!$A$2:$N$4,10,FALSE())</f>
        <v/>
      </c>
      <c r="K98" s="68">
        <f>VLOOKUP(C98,Recipes!$A$2:$N$4,12,FALSE())</f>
        <v/>
      </c>
      <c r="L98" s="67">
        <f>J98-6*K98</f>
        <v/>
      </c>
      <c r="M98" s="67">
        <f>J98+6*K98</f>
        <v/>
      </c>
      <c r="N98" s="61">
        <f>IF(G98="","",IF(AND(G98&gt;=L98,G98&lt;=M98),"OK","NG"))</f>
        <v/>
      </c>
      <c r="O98" s="69">
        <f>IF(N98="","",IF(N98=D98,1,0))</f>
        <v/>
      </c>
      <c r="P98" s="67">
        <f>IF(G98="","",J98-G98)</f>
        <v/>
      </c>
      <c r="Q98" s="67">
        <f>IF(G98="","",ABS(P98-Components!$D$2))</f>
        <v/>
      </c>
      <c r="R98" s="67">
        <f>IF(G98="","",ABS(P98-Components!$D$3))</f>
        <v/>
      </c>
      <c r="S98" s="67">
        <f>IF(G98="","",ABS(P98-Components!$D$4))</f>
        <v/>
      </c>
      <c r="T98" s="67">
        <f>IF(G98="","",ABS(P98-Components!$D$5))</f>
        <v/>
      </c>
      <c r="U98" s="67">
        <f>IF(G98="","",ABS(P98-Components!$D$6))</f>
        <v/>
      </c>
      <c r="V98" s="67">
        <f>IF(G98="","",ABS(P98-Components!$D$7))</f>
        <v/>
      </c>
      <c r="W98" s="61">
        <f>IF(G98="","",IF(N98="OK","NONE",INDEX({"S1","S2","W1","W2","N1","N2"},MATCH(MIN(Q98:V98),Q98:V98,0))))</f>
        <v/>
      </c>
      <c r="X98" s="69">
        <f>IF(G98="","",IF(W98=E98,1,0))</f>
        <v/>
      </c>
      <c r="Y98" s="70" t="n"/>
    </row>
    <row r="99">
      <c r="A99" s="61" t="n">
        <v>19</v>
      </c>
      <c r="B99" s="62" t="n">
        <v>47</v>
      </c>
      <c r="C99" s="61" t="inlineStr">
        <is>
          <t>R3</t>
        </is>
      </c>
      <c r="D99" s="74" t="inlineStr">
        <is>
          <t>NG</t>
        </is>
      </c>
      <c r="E99" s="61" t="inlineStr">
        <is>
          <t>N2</t>
        </is>
      </c>
      <c r="F99" s="61" t="inlineStr">
        <is>
          <t>K019</t>
        </is>
      </c>
      <c r="G99" s="64" t="n">
        <v>8.6</v>
      </c>
      <c r="H99" s="65" t="n"/>
      <c r="I99" s="66" t="n"/>
      <c r="J99" s="67">
        <f>VLOOKUP(C99,Recipes!$A$2:$N$4,10,FALSE())</f>
        <v/>
      </c>
      <c r="K99" s="68">
        <f>VLOOKUP(C99,Recipes!$A$2:$N$4,12,FALSE())</f>
        <v/>
      </c>
      <c r="L99" s="67">
        <f>J99-6*K99</f>
        <v/>
      </c>
      <c r="M99" s="67">
        <f>J99+6*K99</f>
        <v/>
      </c>
      <c r="N99" s="61">
        <f>IF(G99="","",IF(AND(G99&gt;=L99,G99&lt;=M99),"OK","NG"))</f>
        <v/>
      </c>
      <c r="O99" s="69">
        <f>IF(N99="","",IF(N99=D99,1,0))</f>
        <v/>
      </c>
      <c r="P99" s="67">
        <f>IF(G99="","",J99-G99)</f>
        <v/>
      </c>
      <c r="Q99" s="67">
        <f>IF(G99="","",ABS(P99-Components!$D$2))</f>
        <v/>
      </c>
      <c r="R99" s="67">
        <f>IF(G99="","",ABS(P99-Components!$D$3))</f>
        <v/>
      </c>
      <c r="S99" s="67">
        <f>IF(G99="","",ABS(P99-Components!$D$4))</f>
        <v/>
      </c>
      <c r="T99" s="67">
        <f>IF(G99="","",ABS(P99-Components!$D$5))</f>
        <v/>
      </c>
      <c r="U99" s="67">
        <f>IF(G99="","",ABS(P99-Components!$D$6))</f>
        <v/>
      </c>
      <c r="V99" s="67">
        <f>IF(G99="","",ABS(P99-Components!$D$7))</f>
        <v/>
      </c>
      <c r="W99" s="61">
        <f>IF(G99="","",IF(N99="OK","NONE",INDEX({"S1","S2","W1","W2","N1","N2"},MATCH(MIN(Q99:V99),Q99:V99,0))))</f>
        <v/>
      </c>
      <c r="X99" s="69">
        <f>IF(G99="","",IF(W99=E99,1,0))</f>
        <v/>
      </c>
      <c r="Y99" s="70" t="n"/>
    </row>
    <row r="100">
      <c r="A100" s="61" t="n">
        <v>19</v>
      </c>
      <c r="B100" s="62" t="n">
        <v>47</v>
      </c>
      <c r="C100" s="61" t="inlineStr">
        <is>
          <t>R3</t>
        </is>
      </c>
      <c r="D100" s="74" t="inlineStr">
        <is>
          <t>NG</t>
        </is>
      </c>
      <c r="E100" s="61" t="inlineStr">
        <is>
          <t>N2</t>
        </is>
      </c>
      <c r="F100" s="61" t="inlineStr">
        <is>
          <t>K019</t>
        </is>
      </c>
      <c r="G100" s="64" t="n">
        <v>8.630000000000001</v>
      </c>
      <c r="H100" s="65" t="n"/>
      <c r="I100" s="66" t="n"/>
      <c r="J100" s="67">
        <f>VLOOKUP(C100,Recipes!$A$2:$N$4,10,FALSE())</f>
        <v/>
      </c>
      <c r="K100" s="68">
        <f>VLOOKUP(C100,Recipes!$A$2:$N$4,12,FALSE())</f>
        <v/>
      </c>
      <c r="L100" s="67">
        <f>J100-6*K100</f>
        <v/>
      </c>
      <c r="M100" s="67">
        <f>J100+6*K100</f>
        <v/>
      </c>
      <c r="N100" s="61">
        <f>IF(G100="","",IF(AND(G100&gt;=L100,G100&lt;=M100),"OK","NG"))</f>
        <v/>
      </c>
      <c r="O100" s="69">
        <f>IF(N100="","",IF(N100=D100,1,0))</f>
        <v/>
      </c>
      <c r="P100" s="67">
        <f>IF(G100="","",J100-G100)</f>
        <v/>
      </c>
      <c r="Q100" s="67">
        <f>IF(G100="","",ABS(P100-Components!$D$2))</f>
        <v/>
      </c>
      <c r="R100" s="67">
        <f>IF(G100="","",ABS(P100-Components!$D$3))</f>
        <v/>
      </c>
      <c r="S100" s="67">
        <f>IF(G100="","",ABS(P100-Components!$D$4))</f>
        <v/>
      </c>
      <c r="T100" s="67">
        <f>IF(G100="","",ABS(P100-Components!$D$5))</f>
        <v/>
      </c>
      <c r="U100" s="67">
        <f>IF(G100="","",ABS(P100-Components!$D$6))</f>
        <v/>
      </c>
      <c r="V100" s="67">
        <f>IF(G100="","",ABS(P100-Components!$D$7))</f>
        <v/>
      </c>
      <c r="W100" s="61">
        <f>IF(G100="","",IF(N100="OK","NONE",INDEX({"S1","S2","W1","W2","N1","N2"},MATCH(MIN(Q100:V100),Q100:V100,0))))</f>
        <v/>
      </c>
      <c r="X100" s="69">
        <f>IF(G100="","",IF(W100=E100,1,0))</f>
        <v/>
      </c>
      <c r="Y100" s="70" t="n"/>
    </row>
    <row r="101">
      <c r="A101" s="61" t="n">
        <v>19</v>
      </c>
      <c r="B101" s="62" t="n">
        <v>47</v>
      </c>
      <c r="C101" s="61" t="inlineStr">
        <is>
          <t>R3</t>
        </is>
      </c>
      <c r="D101" s="74" t="inlineStr">
        <is>
          <t>NG</t>
        </is>
      </c>
      <c r="E101" s="61" t="inlineStr">
        <is>
          <t>N2</t>
        </is>
      </c>
      <c r="F101" s="61" t="inlineStr">
        <is>
          <t>K019</t>
        </is>
      </c>
      <c r="G101" s="64" t="n">
        <v>8.6</v>
      </c>
      <c r="H101" s="65" t="n"/>
      <c r="I101" s="66" t="n"/>
      <c r="J101" s="67">
        <f>VLOOKUP(C101,Recipes!$A$2:$N$4,10,FALSE())</f>
        <v/>
      </c>
      <c r="K101" s="68">
        <f>VLOOKUP(C101,Recipes!$A$2:$N$4,12,FALSE())</f>
        <v/>
      </c>
      <c r="L101" s="67">
        <f>J101-6*K101</f>
        <v/>
      </c>
      <c r="M101" s="67">
        <f>J101+6*K101</f>
        <v/>
      </c>
      <c r="N101" s="61">
        <f>IF(G101="","",IF(AND(G101&gt;=L101,G101&lt;=M101),"OK","NG"))</f>
        <v/>
      </c>
      <c r="O101" s="69">
        <f>IF(N101="","",IF(N101=D101,1,0))</f>
        <v/>
      </c>
      <c r="P101" s="67">
        <f>IF(G101="","",J101-G101)</f>
        <v/>
      </c>
      <c r="Q101" s="67">
        <f>IF(G101="","",ABS(P101-Components!$D$2))</f>
        <v/>
      </c>
      <c r="R101" s="67">
        <f>IF(G101="","",ABS(P101-Components!$D$3))</f>
        <v/>
      </c>
      <c r="S101" s="67">
        <f>IF(G101="","",ABS(P101-Components!$D$4))</f>
        <v/>
      </c>
      <c r="T101" s="67">
        <f>IF(G101="","",ABS(P101-Components!$D$5))</f>
        <v/>
      </c>
      <c r="U101" s="67">
        <f>IF(G101="","",ABS(P101-Components!$D$6))</f>
        <v/>
      </c>
      <c r="V101" s="67">
        <f>IF(G101="","",ABS(P101-Components!$D$7))</f>
        <v/>
      </c>
      <c r="W101" s="61">
        <f>IF(G101="","",IF(N101="OK","NONE",INDEX({"S1","S2","W1","W2","N1","N2"},MATCH(MIN(Q101:V101),Q101:V101,0))))</f>
        <v/>
      </c>
      <c r="X101" s="69">
        <f>IF(G101="","",IF(W101=E101,1,0))</f>
        <v/>
      </c>
      <c r="Y101" s="70" t="n"/>
    </row>
    <row r="102">
      <c r="A102" s="61" t="n">
        <v>19</v>
      </c>
      <c r="B102" s="62" t="n">
        <v>47</v>
      </c>
      <c r="C102" s="61" t="inlineStr">
        <is>
          <t>R3</t>
        </is>
      </c>
      <c r="D102" s="74" t="inlineStr">
        <is>
          <t>NG</t>
        </is>
      </c>
      <c r="E102" s="61" t="inlineStr">
        <is>
          <t>N2</t>
        </is>
      </c>
      <c r="F102" s="61" t="inlineStr">
        <is>
          <t>K019</t>
        </is>
      </c>
      <c r="G102" s="64" t="n">
        <v>8.619999999999999</v>
      </c>
      <c r="H102" s="65" t="n"/>
      <c r="I102" s="66" t="n"/>
      <c r="J102" s="67">
        <f>VLOOKUP(C102,Recipes!$A$2:$N$4,10,FALSE())</f>
        <v/>
      </c>
      <c r="K102" s="68">
        <f>VLOOKUP(C102,Recipes!$A$2:$N$4,12,FALSE())</f>
        <v/>
      </c>
      <c r="L102" s="67">
        <f>J102-6*K102</f>
        <v/>
      </c>
      <c r="M102" s="67">
        <f>J102+6*K102</f>
        <v/>
      </c>
      <c r="N102" s="61">
        <f>IF(G102="","",IF(AND(G102&gt;=L102,G102&lt;=M102),"OK","NG"))</f>
        <v/>
      </c>
      <c r="O102" s="69">
        <f>IF(N102="","",IF(N102=D102,1,0))</f>
        <v/>
      </c>
      <c r="P102" s="67">
        <f>IF(G102="","",J102-G102)</f>
        <v/>
      </c>
      <c r="Q102" s="67">
        <f>IF(G102="","",ABS(P102-Components!$D$2))</f>
        <v/>
      </c>
      <c r="R102" s="67">
        <f>IF(G102="","",ABS(P102-Components!$D$3))</f>
        <v/>
      </c>
      <c r="S102" s="67">
        <f>IF(G102="","",ABS(P102-Components!$D$4))</f>
        <v/>
      </c>
      <c r="T102" s="67">
        <f>IF(G102="","",ABS(P102-Components!$D$5))</f>
        <v/>
      </c>
      <c r="U102" s="67">
        <f>IF(G102="","",ABS(P102-Components!$D$6))</f>
        <v/>
      </c>
      <c r="V102" s="67">
        <f>IF(G102="","",ABS(P102-Components!$D$7))</f>
        <v/>
      </c>
      <c r="W102" s="61">
        <f>IF(G102="","",IF(N102="OK","NONE",INDEX({"S1","S2","W1","W2","N1","N2"},MATCH(MIN(Q102:V102),Q102:V102,0))))</f>
        <v/>
      </c>
      <c r="X102" s="69">
        <f>IF(G102="","",IF(W102=E102,1,0))</f>
        <v/>
      </c>
      <c r="Y102" s="70" t="n"/>
    </row>
    <row r="103">
      <c r="A103" s="61" t="n">
        <v>19</v>
      </c>
      <c r="B103" s="62" t="n">
        <v>47</v>
      </c>
      <c r="C103" s="61" t="inlineStr">
        <is>
          <t>R3</t>
        </is>
      </c>
      <c r="D103" s="74" t="inlineStr">
        <is>
          <t>NG</t>
        </is>
      </c>
      <c r="E103" s="61" t="inlineStr">
        <is>
          <t>N2</t>
        </is>
      </c>
      <c r="F103" s="61" t="inlineStr">
        <is>
          <t>K019</t>
        </is>
      </c>
      <c r="G103" s="64" t="n">
        <v>8.6</v>
      </c>
      <c r="H103" s="65" t="n"/>
      <c r="I103" s="66" t="n"/>
      <c r="J103" s="67">
        <f>VLOOKUP(C103,Recipes!$A$2:$N$4,10,FALSE())</f>
        <v/>
      </c>
      <c r="K103" s="68">
        <f>VLOOKUP(C103,Recipes!$A$2:$N$4,12,FALSE())</f>
        <v/>
      </c>
      <c r="L103" s="67">
        <f>J103-6*K103</f>
        <v/>
      </c>
      <c r="M103" s="67">
        <f>J103+6*K103</f>
        <v/>
      </c>
      <c r="N103" s="61">
        <f>IF(G103="","",IF(AND(G103&gt;=L103,G103&lt;=M103),"OK","NG"))</f>
        <v/>
      </c>
      <c r="O103" s="69">
        <f>IF(N103="","",IF(N103=D103,1,0))</f>
        <v/>
      </c>
      <c r="P103" s="67">
        <f>IF(G103="","",J103-G103)</f>
        <v/>
      </c>
      <c r="Q103" s="67">
        <f>IF(G103="","",ABS(P103-Components!$D$2))</f>
        <v/>
      </c>
      <c r="R103" s="67">
        <f>IF(G103="","",ABS(P103-Components!$D$3))</f>
        <v/>
      </c>
      <c r="S103" s="67">
        <f>IF(G103="","",ABS(P103-Components!$D$4))</f>
        <v/>
      </c>
      <c r="T103" s="67">
        <f>IF(G103="","",ABS(P103-Components!$D$5))</f>
        <v/>
      </c>
      <c r="U103" s="67">
        <f>IF(G103="","",ABS(P103-Components!$D$6))</f>
        <v/>
      </c>
      <c r="V103" s="67">
        <f>IF(G103="","",ABS(P103-Components!$D$7))</f>
        <v/>
      </c>
      <c r="W103" s="61">
        <f>IF(G103="","",IF(N103="OK","NONE",INDEX({"S1","S2","W1","W2","N1","N2"},MATCH(MIN(Q103:V103),Q103:V103,0))))</f>
        <v/>
      </c>
      <c r="X103" s="69">
        <f>IF(G103="","",IF(W103=E103,1,0))</f>
        <v/>
      </c>
      <c r="Y103" s="70" t="n"/>
    </row>
    <row r="104">
      <c r="A104" s="61" t="n">
        <v>19</v>
      </c>
      <c r="B104" s="62" t="n">
        <v>47</v>
      </c>
      <c r="C104" s="61" t="inlineStr">
        <is>
          <t>R3</t>
        </is>
      </c>
      <c r="D104" s="74" t="inlineStr">
        <is>
          <t>NG</t>
        </is>
      </c>
      <c r="E104" s="61" t="inlineStr">
        <is>
          <t>N2</t>
        </is>
      </c>
      <c r="F104" s="61" t="inlineStr">
        <is>
          <t>K019</t>
        </is>
      </c>
      <c r="G104" s="64" t="n">
        <v>8.539999999999999</v>
      </c>
      <c r="H104" s="65" t="n"/>
      <c r="I104" s="66" t="n"/>
      <c r="J104" s="67">
        <f>VLOOKUP(C104,Recipes!$A$2:$N$4,10,FALSE())</f>
        <v/>
      </c>
      <c r="K104" s="68">
        <f>VLOOKUP(C104,Recipes!$A$2:$N$4,12,FALSE())</f>
        <v/>
      </c>
      <c r="L104" s="67">
        <f>J104-6*K104</f>
        <v/>
      </c>
      <c r="M104" s="67">
        <f>J104+6*K104</f>
        <v/>
      </c>
      <c r="N104" s="61">
        <f>IF(G104="","",IF(AND(G104&gt;=L104,G104&lt;=M104),"OK","NG"))</f>
        <v/>
      </c>
      <c r="O104" s="69">
        <f>IF(N104="","",IF(N104=D104,1,0))</f>
        <v/>
      </c>
      <c r="P104" s="67">
        <f>IF(G104="","",J104-G104)</f>
        <v/>
      </c>
      <c r="Q104" s="67">
        <f>IF(G104="","",ABS(P104-Components!$D$2))</f>
        <v/>
      </c>
      <c r="R104" s="67">
        <f>IF(G104="","",ABS(P104-Components!$D$3))</f>
        <v/>
      </c>
      <c r="S104" s="67">
        <f>IF(G104="","",ABS(P104-Components!$D$4))</f>
        <v/>
      </c>
      <c r="T104" s="67">
        <f>IF(G104="","",ABS(P104-Components!$D$5))</f>
        <v/>
      </c>
      <c r="U104" s="67">
        <f>IF(G104="","",ABS(P104-Components!$D$6))</f>
        <v/>
      </c>
      <c r="V104" s="67">
        <f>IF(G104="","",ABS(P104-Components!$D$7))</f>
        <v/>
      </c>
      <c r="W104" s="61">
        <f>IF(G104="","",IF(N104="OK","NONE",INDEX({"S1","S2","W1","W2","N1","N2"},MATCH(MIN(Q104:V104),Q104:V104,0))))</f>
        <v/>
      </c>
      <c r="X104" s="69">
        <f>IF(G104="","",IF(W104=E104,1,0))</f>
        <v/>
      </c>
      <c r="Y104" s="70" t="n"/>
    </row>
    <row r="105">
      <c r="A105" s="61" t="n">
        <v>19</v>
      </c>
      <c r="B105" s="62" t="n">
        <v>47</v>
      </c>
      <c r="C105" s="61" t="inlineStr">
        <is>
          <t>R3</t>
        </is>
      </c>
      <c r="D105" s="74" t="inlineStr">
        <is>
          <t>NG</t>
        </is>
      </c>
      <c r="E105" s="61" t="inlineStr">
        <is>
          <t>N2</t>
        </is>
      </c>
      <c r="F105" s="61" t="inlineStr">
        <is>
          <t>K019</t>
        </is>
      </c>
      <c r="G105" s="64" t="n">
        <v>8.640000000000001</v>
      </c>
      <c r="H105" s="65" t="n"/>
      <c r="I105" s="66" t="n"/>
      <c r="J105" s="67">
        <f>VLOOKUP(C105,Recipes!$A$2:$N$4,10,FALSE())</f>
        <v/>
      </c>
      <c r="K105" s="68">
        <f>VLOOKUP(C105,Recipes!$A$2:$N$4,12,FALSE())</f>
        <v/>
      </c>
      <c r="L105" s="67">
        <f>J105-6*K105</f>
        <v/>
      </c>
      <c r="M105" s="67">
        <f>J105+6*K105</f>
        <v/>
      </c>
      <c r="N105" s="61">
        <f>IF(G105="","",IF(AND(G105&gt;=L105,G105&lt;=M105),"OK","NG"))</f>
        <v/>
      </c>
      <c r="O105" s="69">
        <f>IF(N105="","",IF(N105=D105,1,0))</f>
        <v/>
      </c>
      <c r="P105" s="67">
        <f>IF(G105="","",J105-G105)</f>
        <v/>
      </c>
      <c r="Q105" s="67">
        <f>IF(G105="","",ABS(P105-Components!$D$2))</f>
        <v/>
      </c>
      <c r="R105" s="67">
        <f>IF(G105="","",ABS(P105-Components!$D$3))</f>
        <v/>
      </c>
      <c r="S105" s="67">
        <f>IF(G105="","",ABS(P105-Components!$D$4))</f>
        <v/>
      </c>
      <c r="T105" s="67">
        <f>IF(G105="","",ABS(P105-Components!$D$5))</f>
        <v/>
      </c>
      <c r="U105" s="67">
        <f>IF(G105="","",ABS(P105-Components!$D$6))</f>
        <v/>
      </c>
      <c r="V105" s="67">
        <f>IF(G105="","",ABS(P105-Components!$D$7))</f>
        <v/>
      </c>
      <c r="W105" s="61">
        <f>IF(G105="","",IF(N105="OK","NONE",INDEX({"S1","S2","W1","W2","N1","N2"},MATCH(MIN(Q105:V105),Q105:V105,0))))</f>
        <v/>
      </c>
      <c r="X105" s="69">
        <f>IF(G105="","",IF(W105=E105,1,0))</f>
        <v/>
      </c>
      <c r="Y105" s="70" t="n"/>
    </row>
    <row r="106">
      <c r="A106" s="61" t="n">
        <v>19</v>
      </c>
      <c r="B106" s="62" t="n">
        <v>47</v>
      </c>
      <c r="C106" s="61" t="inlineStr">
        <is>
          <t>R3</t>
        </is>
      </c>
      <c r="D106" s="74" t="inlineStr">
        <is>
          <t>NG</t>
        </is>
      </c>
      <c r="E106" s="61" t="inlineStr">
        <is>
          <t>N2</t>
        </is>
      </c>
      <c r="F106" s="61" t="inlineStr">
        <is>
          <t>K019</t>
        </is>
      </c>
      <c r="G106" s="64" t="n">
        <v>8.6</v>
      </c>
      <c r="H106" s="65" t="n"/>
      <c r="I106" s="66" t="n"/>
      <c r="J106" s="67">
        <f>VLOOKUP(C106,Recipes!$A$2:$N$4,10,FALSE())</f>
        <v/>
      </c>
      <c r="K106" s="68">
        <f>VLOOKUP(C106,Recipes!$A$2:$N$4,12,FALSE())</f>
        <v/>
      </c>
      <c r="L106" s="67">
        <f>J106-6*K106</f>
        <v/>
      </c>
      <c r="M106" s="67">
        <f>J106+6*K106</f>
        <v/>
      </c>
      <c r="N106" s="61">
        <f>IF(G106="","",IF(AND(G106&gt;=L106,G106&lt;=M106),"OK","NG"))</f>
        <v/>
      </c>
      <c r="O106" s="69">
        <f>IF(N106="","",IF(N106=D106,1,0))</f>
        <v/>
      </c>
      <c r="P106" s="67">
        <f>IF(G106="","",J106-G106)</f>
        <v/>
      </c>
      <c r="Q106" s="67">
        <f>IF(G106="","",ABS(P106-Components!$D$2))</f>
        <v/>
      </c>
      <c r="R106" s="67">
        <f>IF(G106="","",ABS(P106-Components!$D$3))</f>
        <v/>
      </c>
      <c r="S106" s="67">
        <f>IF(G106="","",ABS(P106-Components!$D$4))</f>
        <v/>
      </c>
      <c r="T106" s="67">
        <f>IF(G106="","",ABS(P106-Components!$D$5))</f>
        <v/>
      </c>
      <c r="U106" s="67">
        <f>IF(G106="","",ABS(P106-Components!$D$6))</f>
        <v/>
      </c>
      <c r="V106" s="67">
        <f>IF(G106="","",ABS(P106-Components!$D$7))</f>
        <v/>
      </c>
      <c r="W106" s="61">
        <f>IF(G106="","",IF(N106="OK","NONE",INDEX({"S1","S2","W1","W2","N1","N2"},MATCH(MIN(Q106:V106),Q106:V106,0))))</f>
        <v/>
      </c>
      <c r="X106" s="69">
        <f>IF(G106="","",IF(W106=E106,1,0))</f>
        <v/>
      </c>
      <c r="Y106" s="70" t="n"/>
    </row>
    <row r="107">
      <c r="A107" s="61" t="n">
        <v>19</v>
      </c>
      <c r="B107" s="62" t="n">
        <v>47</v>
      </c>
      <c r="C107" s="61" t="inlineStr">
        <is>
          <t>R3</t>
        </is>
      </c>
      <c r="D107" s="74" t="inlineStr">
        <is>
          <t>NG</t>
        </is>
      </c>
      <c r="E107" s="61" t="inlineStr">
        <is>
          <t>N2</t>
        </is>
      </c>
      <c r="F107" s="61" t="inlineStr">
        <is>
          <t>K019</t>
        </is>
      </c>
      <c r="G107" s="64" t="n">
        <v>8.59</v>
      </c>
      <c r="H107" s="65" t="n"/>
      <c r="I107" s="66" t="n"/>
      <c r="J107" s="67">
        <f>VLOOKUP(C107,Recipes!$A$2:$N$4,10,FALSE())</f>
        <v/>
      </c>
      <c r="K107" s="68">
        <f>VLOOKUP(C107,Recipes!$A$2:$N$4,12,FALSE())</f>
        <v/>
      </c>
      <c r="L107" s="67">
        <f>J107-6*K107</f>
        <v/>
      </c>
      <c r="M107" s="67">
        <f>J107+6*K107</f>
        <v/>
      </c>
      <c r="N107" s="61">
        <f>IF(G107="","",IF(AND(G107&gt;=L107,G107&lt;=M107),"OK","NG"))</f>
        <v/>
      </c>
      <c r="O107" s="69">
        <f>IF(N107="","",IF(N107=D107,1,0))</f>
        <v/>
      </c>
      <c r="P107" s="67">
        <f>IF(G107="","",J107-G107)</f>
        <v/>
      </c>
      <c r="Q107" s="67">
        <f>IF(G107="","",ABS(P107-Components!$D$2))</f>
        <v/>
      </c>
      <c r="R107" s="67">
        <f>IF(G107="","",ABS(P107-Components!$D$3))</f>
        <v/>
      </c>
      <c r="S107" s="67">
        <f>IF(G107="","",ABS(P107-Components!$D$4))</f>
        <v/>
      </c>
      <c r="T107" s="67">
        <f>IF(G107="","",ABS(P107-Components!$D$5))</f>
        <v/>
      </c>
      <c r="U107" s="67">
        <f>IF(G107="","",ABS(P107-Components!$D$6))</f>
        <v/>
      </c>
      <c r="V107" s="67">
        <f>IF(G107="","",ABS(P107-Components!$D$7))</f>
        <v/>
      </c>
      <c r="W107" s="61">
        <f>IF(G107="","",IF(N107="OK","NONE",INDEX({"S1","S2","W1","W2","N1","N2"},MATCH(MIN(Q107:V107),Q107:V107,0))))</f>
        <v/>
      </c>
      <c r="X107" s="69">
        <f>IF(G107="","",IF(W107=E107,1,0))</f>
        <v/>
      </c>
      <c r="Y107" s="70" t="n"/>
    </row>
    <row r="108">
      <c r="A108" s="61" t="n">
        <v>19</v>
      </c>
      <c r="B108" s="62" t="n">
        <v>47</v>
      </c>
      <c r="C108" s="61" t="inlineStr">
        <is>
          <t>R3</t>
        </is>
      </c>
      <c r="D108" s="74" t="inlineStr">
        <is>
          <t>NG</t>
        </is>
      </c>
      <c r="E108" s="61" t="inlineStr">
        <is>
          <t>N2</t>
        </is>
      </c>
      <c r="F108" s="61" t="inlineStr">
        <is>
          <t>K019</t>
        </is>
      </c>
      <c r="G108" s="64" t="n">
        <v>8.57</v>
      </c>
      <c r="H108" s="65" t="n"/>
      <c r="I108" s="66" t="n"/>
      <c r="J108" s="67">
        <f>VLOOKUP(C108,Recipes!$A$2:$N$4,10,FALSE())</f>
        <v/>
      </c>
      <c r="K108" s="68">
        <f>VLOOKUP(C108,Recipes!$A$2:$N$4,12,FALSE())</f>
        <v/>
      </c>
      <c r="L108" s="67">
        <f>J108-6*K108</f>
        <v/>
      </c>
      <c r="M108" s="67">
        <f>J108+6*K108</f>
        <v/>
      </c>
      <c r="N108" s="61">
        <f>IF(G108="","",IF(AND(G108&gt;=L108,G108&lt;=M108),"OK","NG"))</f>
        <v/>
      </c>
      <c r="O108" s="69">
        <f>IF(N108="","",IF(N108=D108,1,0))</f>
        <v/>
      </c>
      <c r="P108" s="67">
        <f>IF(G108="","",J108-G108)</f>
        <v/>
      </c>
      <c r="Q108" s="67">
        <f>IF(G108="","",ABS(P108-Components!$D$2))</f>
        <v/>
      </c>
      <c r="R108" s="67">
        <f>IF(G108="","",ABS(P108-Components!$D$3))</f>
        <v/>
      </c>
      <c r="S108" s="67">
        <f>IF(G108="","",ABS(P108-Components!$D$4))</f>
        <v/>
      </c>
      <c r="T108" s="67">
        <f>IF(G108="","",ABS(P108-Components!$D$5))</f>
        <v/>
      </c>
      <c r="U108" s="67">
        <f>IF(G108="","",ABS(P108-Components!$D$6))</f>
        <v/>
      </c>
      <c r="V108" s="67">
        <f>IF(G108="","",ABS(P108-Components!$D$7))</f>
        <v/>
      </c>
      <c r="W108" s="61">
        <f>IF(G108="","",IF(N108="OK","NONE",INDEX({"S1","S2","W1","W2","N1","N2"},MATCH(MIN(Q108:V108),Q108:V108,0))))</f>
        <v/>
      </c>
      <c r="X108" s="69">
        <f>IF(G108="","",IF(W108=E108,1,0))</f>
        <v/>
      </c>
      <c r="Y108" s="70" t="n"/>
    </row>
    <row r="109">
      <c r="A109" s="61" t="n">
        <v>19</v>
      </c>
      <c r="B109" s="62" t="n">
        <v>47</v>
      </c>
      <c r="C109" s="61" t="inlineStr">
        <is>
          <t>R3</t>
        </is>
      </c>
      <c r="D109" s="74" t="inlineStr">
        <is>
          <t>NG</t>
        </is>
      </c>
      <c r="E109" s="61" t="inlineStr">
        <is>
          <t>N2</t>
        </is>
      </c>
      <c r="F109" s="61" t="inlineStr">
        <is>
          <t>K019</t>
        </is>
      </c>
      <c r="G109" s="64" t="n">
        <v>8.609999999999999</v>
      </c>
      <c r="H109" s="65" t="n"/>
      <c r="I109" s="66" t="n"/>
      <c r="J109" s="67">
        <f>VLOOKUP(C109,Recipes!$A$2:$N$4,10,FALSE())</f>
        <v/>
      </c>
      <c r="K109" s="68">
        <f>VLOOKUP(C109,Recipes!$A$2:$N$4,12,FALSE())</f>
        <v/>
      </c>
      <c r="L109" s="67">
        <f>J109-6*K109</f>
        <v/>
      </c>
      <c r="M109" s="67">
        <f>J109+6*K109</f>
        <v/>
      </c>
      <c r="N109" s="61">
        <f>IF(G109="","",IF(AND(G109&gt;=L109,G109&lt;=M109),"OK","NG"))</f>
        <v/>
      </c>
      <c r="O109" s="69">
        <f>IF(N109="","",IF(N109=D109,1,0))</f>
        <v/>
      </c>
      <c r="P109" s="67">
        <f>IF(G109="","",J109-G109)</f>
        <v/>
      </c>
      <c r="Q109" s="67">
        <f>IF(G109="","",ABS(P109-Components!$D$2))</f>
        <v/>
      </c>
      <c r="R109" s="67">
        <f>IF(G109="","",ABS(P109-Components!$D$3))</f>
        <v/>
      </c>
      <c r="S109" s="67">
        <f>IF(G109="","",ABS(P109-Components!$D$4))</f>
        <v/>
      </c>
      <c r="T109" s="67">
        <f>IF(G109="","",ABS(P109-Components!$D$5))</f>
        <v/>
      </c>
      <c r="U109" s="67">
        <f>IF(G109="","",ABS(P109-Components!$D$6))</f>
        <v/>
      </c>
      <c r="V109" s="67">
        <f>IF(G109="","",ABS(P109-Components!$D$7))</f>
        <v/>
      </c>
      <c r="W109" s="61">
        <f>IF(G109="","",IF(N109="OK","NONE",INDEX({"S1","S2","W1","W2","N1","N2"},MATCH(MIN(Q109:V109),Q109:V109,0))))</f>
        <v/>
      </c>
      <c r="X109" s="69">
        <f>IF(G109="","",IF(W109=E109,1,0))</f>
        <v/>
      </c>
      <c r="Y109" s="70" t="n"/>
    </row>
    <row r="110">
      <c r="A110" s="61" t="n">
        <v>19</v>
      </c>
      <c r="B110" s="62" t="n">
        <v>47</v>
      </c>
      <c r="C110" s="61" t="inlineStr">
        <is>
          <t>R3</t>
        </is>
      </c>
      <c r="D110" s="74" t="inlineStr">
        <is>
          <t>NG</t>
        </is>
      </c>
      <c r="E110" s="61" t="inlineStr">
        <is>
          <t>N2</t>
        </is>
      </c>
      <c r="F110" s="61" t="inlineStr">
        <is>
          <t>K019</t>
        </is>
      </c>
      <c r="G110" s="64" t="n">
        <v>8.59</v>
      </c>
      <c r="H110" s="65" t="n"/>
      <c r="I110" s="66" t="n"/>
      <c r="J110" s="67">
        <f>VLOOKUP(C110,Recipes!$A$2:$N$4,10,FALSE())</f>
        <v/>
      </c>
      <c r="K110" s="68">
        <f>VLOOKUP(C110,Recipes!$A$2:$N$4,12,FALSE())</f>
        <v/>
      </c>
      <c r="L110" s="67">
        <f>J110-6*K110</f>
        <v/>
      </c>
      <c r="M110" s="67">
        <f>J110+6*K110</f>
        <v/>
      </c>
      <c r="N110" s="61">
        <f>IF(G110="","",IF(AND(G110&gt;=L110,G110&lt;=M110),"OK","NG"))</f>
        <v/>
      </c>
      <c r="O110" s="69">
        <f>IF(N110="","",IF(N110=D110,1,0))</f>
        <v/>
      </c>
      <c r="P110" s="67">
        <f>IF(G110="","",J110-G110)</f>
        <v/>
      </c>
      <c r="Q110" s="67">
        <f>IF(G110="","",ABS(P110-Components!$D$2))</f>
        <v/>
      </c>
      <c r="R110" s="67">
        <f>IF(G110="","",ABS(P110-Components!$D$3))</f>
        <v/>
      </c>
      <c r="S110" s="67">
        <f>IF(G110="","",ABS(P110-Components!$D$4))</f>
        <v/>
      </c>
      <c r="T110" s="67">
        <f>IF(G110="","",ABS(P110-Components!$D$5))</f>
        <v/>
      </c>
      <c r="U110" s="67">
        <f>IF(G110="","",ABS(P110-Components!$D$6))</f>
        <v/>
      </c>
      <c r="V110" s="67">
        <f>IF(G110="","",ABS(P110-Components!$D$7))</f>
        <v/>
      </c>
      <c r="W110" s="61">
        <f>IF(G110="","",IF(N110="OK","NONE",INDEX({"S1","S2","W1","W2","N1","N2"},MATCH(MIN(Q110:V110),Q110:V110,0))))</f>
        <v/>
      </c>
      <c r="X110" s="69">
        <f>IF(G110="","",IF(W110=E110,1,0))</f>
        <v/>
      </c>
      <c r="Y110" s="70" t="n"/>
    </row>
    <row r="111">
      <c r="A111" s="61" t="n">
        <v>19</v>
      </c>
      <c r="B111" s="62" t="n">
        <v>47</v>
      </c>
      <c r="C111" s="61" t="inlineStr">
        <is>
          <t>R3</t>
        </is>
      </c>
      <c r="D111" s="74" t="inlineStr">
        <is>
          <t>NG</t>
        </is>
      </c>
      <c r="E111" s="61" t="inlineStr">
        <is>
          <t>N2</t>
        </is>
      </c>
      <c r="F111" s="61" t="inlineStr">
        <is>
          <t>K019</t>
        </is>
      </c>
      <c r="G111" s="64" t="n">
        <v>8.5</v>
      </c>
      <c r="H111" s="65" t="n"/>
      <c r="I111" s="66" t="n"/>
      <c r="J111" s="67">
        <f>VLOOKUP(C111,Recipes!$A$2:$N$4,10,FALSE())</f>
        <v/>
      </c>
      <c r="K111" s="68">
        <f>VLOOKUP(C111,Recipes!$A$2:$N$4,12,FALSE())</f>
        <v/>
      </c>
      <c r="L111" s="67">
        <f>J111-6*K111</f>
        <v/>
      </c>
      <c r="M111" s="67">
        <f>J111+6*K111</f>
        <v/>
      </c>
      <c r="N111" s="61">
        <f>IF(G111="","",IF(AND(G111&gt;=L111,G111&lt;=M111),"OK","NG"))</f>
        <v/>
      </c>
      <c r="O111" s="69">
        <f>IF(N111="","",IF(N111=D111,1,0))</f>
        <v/>
      </c>
      <c r="P111" s="67">
        <f>IF(G111="","",J111-G111)</f>
        <v/>
      </c>
      <c r="Q111" s="67">
        <f>IF(G111="","",ABS(P111-Components!$D$2))</f>
        <v/>
      </c>
      <c r="R111" s="67">
        <f>IF(G111="","",ABS(P111-Components!$D$3))</f>
        <v/>
      </c>
      <c r="S111" s="67">
        <f>IF(G111="","",ABS(P111-Components!$D$4))</f>
        <v/>
      </c>
      <c r="T111" s="67">
        <f>IF(G111="","",ABS(P111-Components!$D$5))</f>
        <v/>
      </c>
      <c r="U111" s="67">
        <f>IF(G111="","",ABS(P111-Components!$D$6))</f>
        <v/>
      </c>
      <c r="V111" s="67">
        <f>IF(G111="","",ABS(P111-Components!$D$7))</f>
        <v/>
      </c>
      <c r="W111" s="61">
        <f>IF(G111="","",IF(N111="OK","NONE",INDEX({"S1","S2","W1","W2","N1","N2"},MATCH(MIN(Q111:V111),Q111:V111,0))))</f>
        <v/>
      </c>
      <c r="X111" s="69">
        <f>IF(G111="","",IF(W111=E111,1,0))</f>
        <v/>
      </c>
      <c r="Y111" s="70" t="n"/>
    </row>
    <row r="112">
      <c r="A112" s="61" t="n">
        <v>19</v>
      </c>
      <c r="B112" s="62" t="n">
        <v>47</v>
      </c>
      <c r="C112" s="61" t="inlineStr">
        <is>
          <t>R3</t>
        </is>
      </c>
      <c r="D112" s="74" t="inlineStr">
        <is>
          <t>NG</t>
        </is>
      </c>
      <c r="E112" s="61" t="inlineStr">
        <is>
          <t>N2</t>
        </is>
      </c>
      <c r="F112" s="61" t="inlineStr">
        <is>
          <t>K019</t>
        </is>
      </c>
      <c r="G112" s="64" t="n">
        <v>8.619999999999999</v>
      </c>
      <c r="H112" s="65" t="n"/>
      <c r="I112" s="66" t="n"/>
      <c r="J112" s="67">
        <f>VLOOKUP(C112,Recipes!$A$2:$N$4,10,FALSE())</f>
        <v/>
      </c>
      <c r="K112" s="68">
        <f>VLOOKUP(C112,Recipes!$A$2:$N$4,12,FALSE())</f>
        <v/>
      </c>
      <c r="L112" s="67">
        <f>J112-6*K112</f>
        <v/>
      </c>
      <c r="M112" s="67">
        <f>J112+6*K112</f>
        <v/>
      </c>
      <c r="N112" s="61">
        <f>IF(G112="","",IF(AND(G112&gt;=L112,G112&lt;=M112),"OK","NG"))</f>
        <v/>
      </c>
      <c r="O112" s="69">
        <f>IF(N112="","",IF(N112=D112,1,0))</f>
        <v/>
      </c>
      <c r="P112" s="67">
        <f>IF(G112="","",J112-G112)</f>
        <v/>
      </c>
      <c r="Q112" s="67">
        <f>IF(G112="","",ABS(P112-Components!$D$2))</f>
        <v/>
      </c>
      <c r="R112" s="67">
        <f>IF(G112="","",ABS(P112-Components!$D$3))</f>
        <v/>
      </c>
      <c r="S112" s="67">
        <f>IF(G112="","",ABS(P112-Components!$D$4))</f>
        <v/>
      </c>
      <c r="T112" s="67">
        <f>IF(G112="","",ABS(P112-Components!$D$5))</f>
        <v/>
      </c>
      <c r="U112" s="67">
        <f>IF(G112="","",ABS(P112-Components!$D$6))</f>
        <v/>
      </c>
      <c r="V112" s="67">
        <f>IF(G112="","",ABS(P112-Components!$D$7))</f>
        <v/>
      </c>
      <c r="W112" s="61">
        <f>IF(G112="","",IF(N112="OK","NONE",INDEX({"S1","S2","W1","W2","N1","N2"},MATCH(MIN(Q112:V112),Q112:V112,0))))</f>
        <v/>
      </c>
      <c r="X112" s="69">
        <f>IF(G112="","",IF(W112=E112,1,0))</f>
        <v/>
      </c>
      <c r="Y112" s="70" t="n"/>
    </row>
    <row r="113">
      <c r="A113" s="61" t="n">
        <v>19</v>
      </c>
      <c r="B113" s="62" t="n">
        <v>47</v>
      </c>
      <c r="C113" s="61" t="inlineStr">
        <is>
          <t>R3</t>
        </is>
      </c>
      <c r="D113" s="74" t="inlineStr">
        <is>
          <t>NG</t>
        </is>
      </c>
      <c r="E113" s="61" t="inlineStr">
        <is>
          <t>N2</t>
        </is>
      </c>
      <c r="F113" s="61" t="inlineStr">
        <is>
          <t>K019</t>
        </is>
      </c>
      <c r="G113" s="64" t="n">
        <v>8.609999999999999</v>
      </c>
      <c r="H113" s="65" t="n"/>
      <c r="I113" s="66" t="n"/>
      <c r="J113" s="67">
        <f>VLOOKUP(C113,Recipes!$A$2:$N$4,10,FALSE())</f>
        <v/>
      </c>
      <c r="K113" s="68">
        <f>VLOOKUP(C113,Recipes!$A$2:$N$4,12,FALSE())</f>
        <v/>
      </c>
      <c r="L113" s="67">
        <f>J113-6*K113</f>
        <v/>
      </c>
      <c r="M113" s="67">
        <f>J113+6*K113</f>
        <v/>
      </c>
      <c r="N113" s="61">
        <f>IF(G113="","",IF(AND(G113&gt;=L113,G113&lt;=M113),"OK","NG"))</f>
        <v/>
      </c>
      <c r="O113" s="69">
        <f>IF(N113="","",IF(N113=D113,1,0))</f>
        <v/>
      </c>
      <c r="P113" s="67">
        <f>IF(G113="","",J113-G113)</f>
        <v/>
      </c>
      <c r="Q113" s="67">
        <f>IF(G113="","",ABS(P113-Components!$D$2))</f>
        <v/>
      </c>
      <c r="R113" s="67">
        <f>IF(G113="","",ABS(P113-Components!$D$3))</f>
        <v/>
      </c>
      <c r="S113" s="67">
        <f>IF(G113="","",ABS(P113-Components!$D$4))</f>
        <v/>
      </c>
      <c r="T113" s="67">
        <f>IF(G113="","",ABS(P113-Components!$D$5))</f>
        <v/>
      </c>
      <c r="U113" s="67">
        <f>IF(G113="","",ABS(P113-Components!$D$6))</f>
        <v/>
      </c>
      <c r="V113" s="67">
        <f>IF(G113="","",ABS(P113-Components!$D$7))</f>
        <v/>
      </c>
      <c r="W113" s="61">
        <f>IF(G113="","",IF(N113="OK","NONE",INDEX({"S1","S2","W1","W2","N1","N2"},MATCH(MIN(Q113:V113),Q113:V113,0))))</f>
        <v/>
      </c>
      <c r="X113" s="69">
        <f>IF(G113="","",IF(W113=E113,1,0))</f>
        <v/>
      </c>
      <c r="Y113" s="70" t="n"/>
    </row>
    <row r="114">
      <c r="A114" s="61" t="n">
        <v>19</v>
      </c>
      <c r="B114" s="62" t="n">
        <v>47</v>
      </c>
      <c r="C114" s="61" t="inlineStr">
        <is>
          <t>R3</t>
        </is>
      </c>
      <c r="D114" s="74" t="inlineStr">
        <is>
          <t>NG</t>
        </is>
      </c>
      <c r="E114" s="61" t="inlineStr">
        <is>
          <t>N2</t>
        </is>
      </c>
      <c r="F114" s="61" t="inlineStr">
        <is>
          <t>K019</t>
        </is>
      </c>
      <c r="G114" s="64" t="n">
        <v>8.58</v>
      </c>
      <c r="H114" s="65" t="n"/>
      <c r="I114" s="66" t="n"/>
      <c r="J114" s="67">
        <f>VLOOKUP(C114,Recipes!$A$2:$N$4,10,FALSE())</f>
        <v/>
      </c>
      <c r="K114" s="68">
        <f>VLOOKUP(C114,Recipes!$A$2:$N$4,12,FALSE())</f>
        <v/>
      </c>
      <c r="L114" s="67">
        <f>J114-6*K114</f>
        <v/>
      </c>
      <c r="M114" s="67">
        <f>J114+6*K114</f>
        <v/>
      </c>
      <c r="N114" s="61">
        <f>IF(G114="","",IF(AND(G114&gt;=L114,G114&lt;=M114),"OK","NG"))</f>
        <v/>
      </c>
      <c r="O114" s="69">
        <f>IF(N114="","",IF(N114=D114,1,0))</f>
        <v/>
      </c>
      <c r="P114" s="67">
        <f>IF(G114="","",J114-G114)</f>
        <v/>
      </c>
      <c r="Q114" s="67">
        <f>IF(G114="","",ABS(P114-Components!$D$2))</f>
        <v/>
      </c>
      <c r="R114" s="67">
        <f>IF(G114="","",ABS(P114-Components!$D$3))</f>
        <v/>
      </c>
      <c r="S114" s="67">
        <f>IF(G114="","",ABS(P114-Components!$D$4))</f>
        <v/>
      </c>
      <c r="T114" s="67">
        <f>IF(G114="","",ABS(P114-Components!$D$5))</f>
        <v/>
      </c>
      <c r="U114" s="67">
        <f>IF(G114="","",ABS(P114-Components!$D$6))</f>
        <v/>
      </c>
      <c r="V114" s="67">
        <f>IF(G114="","",ABS(P114-Components!$D$7))</f>
        <v/>
      </c>
      <c r="W114" s="61">
        <f>IF(G114="","",IF(N114="OK","NONE",INDEX({"S1","S2","W1","W2","N1","N2"},MATCH(MIN(Q114:V114),Q114:V114,0))))</f>
        <v/>
      </c>
      <c r="X114" s="69">
        <f>IF(G114="","",IF(W114=E114,1,0))</f>
        <v/>
      </c>
      <c r="Y114" s="70" t="n"/>
    </row>
    <row r="115">
      <c r="A115" s="61" t="n">
        <v>19</v>
      </c>
      <c r="B115" s="62" t="n">
        <v>47</v>
      </c>
      <c r="C115" s="61" t="inlineStr">
        <is>
          <t>R3</t>
        </is>
      </c>
      <c r="D115" s="74" t="inlineStr">
        <is>
          <t>NG</t>
        </is>
      </c>
      <c r="E115" s="61" t="inlineStr">
        <is>
          <t>N2</t>
        </is>
      </c>
      <c r="F115" s="61" t="inlineStr">
        <is>
          <t>K019</t>
        </is>
      </c>
      <c r="G115" s="64" t="n">
        <v>8.59</v>
      </c>
      <c r="H115" s="65" t="n"/>
      <c r="I115" s="66" t="n"/>
      <c r="J115" s="67">
        <f>VLOOKUP(C115,Recipes!$A$2:$N$4,10,FALSE())</f>
        <v/>
      </c>
      <c r="K115" s="68">
        <f>VLOOKUP(C115,Recipes!$A$2:$N$4,12,FALSE())</f>
        <v/>
      </c>
      <c r="L115" s="67">
        <f>J115-6*K115</f>
        <v/>
      </c>
      <c r="M115" s="67">
        <f>J115+6*K115</f>
        <v/>
      </c>
      <c r="N115" s="61">
        <f>IF(G115="","",IF(AND(G115&gt;=L115,G115&lt;=M115),"OK","NG"))</f>
        <v/>
      </c>
      <c r="O115" s="69">
        <f>IF(N115="","",IF(N115=D115,1,0))</f>
        <v/>
      </c>
      <c r="P115" s="67">
        <f>IF(G115="","",J115-G115)</f>
        <v/>
      </c>
      <c r="Q115" s="67">
        <f>IF(G115="","",ABS(P115-Components!$D$2))</f>
        <v/>
      </c>
      <c r="R115" s="67">
        <f>IF(G115="","",ABS(P115-Components!$D$3))</f>
        <v/>
      </c>
      <c r="S115" s="67">
        <f>IF(G115="","",ABS(P115-Components!$D$4))</f>
        <v/>
      </c>
      <c r="T115" s="67">
        <f>IF(G115="","",ABS(P115-Components!$D$5))</f>
        <v/>
      </c>
      <c r="U115" s="67">
        <f>IF(G115="","",ABS(P115-Components!$D$6))</f>
        <v/>
      </c>
      <c r="V115" s="67">
        <f>IF(G115="","",ABS(P115-Components!$D$7))</f>
        <v/>
      </c>
      <c r="W115" s="61">
        <f>IF(G115="","",IF(N115="OK","NONE",INDEX({"S1","S2","W1","W2","N1","N2"},MATCH(MIN(Q115:V115),Q115:V115,0))))</f>
        <v/>
      </c>
      <c r="X115" s="69">
        <f>IF(G115="","",IF(W115=E115,1,0))</f>
        <v/>
      </c>
      <c r="Y115" s="70" t="n"/>
    </row>
    <row r="116">
      <c r="A116" s="61" t="n">
        <v>19</v>
      </c>
      <c r="B116" s="62" t="n">
        <v>47</v>
      </c>
      <c r="C116" s="61" t="inlineStr">
        <is>
          <t>R3</t>
        </is>
      </c>
      <c r="D116" s="74" t="inlineStr">
        <is>
          <t>NG</t>
        </is>
      </c>
      <c r="E116" s="61" t="inlineStr">
        <is>
          <t>N2</t>
        </is>
      </c>
      <c r="F116" s="61" t="inlineStr">
        <is>
          <t>K019</t>
        </is>
      </c>
      <c r="G116" s="64" t="n">
        <v>8.630000000000001</v>
      </c>
      <c r="H116" s="65" t="n"/>
      <c r="I116" s="66" t="n"/>
      <c r="J116" s="67">
        <f>VLOOKUP(C116,Recipes!$A$2:$N$4,10,FALSE())</f>
        <v/>
      </c>
      <c r="K116" s="68">
        <f>VLOOKUP(C116,Recipes!$A$2:$N$4,12,FALSE())</f>
        <v/>
      </c>
      <c r="L116" s="67">
        <f>J116-6*K116</f>
        <v/>
      </c>
      <c r="M116" s="67">
        <f>J116+6*K116</f>
        <v/>
      </c>
      <c r="N116" s="61">
        <f>IF(G116="","",IF(AND(G116&gt;=L116,G116&lt;=M116),"OK","NG"))</f>
        <v/>
      </c>
      <c r="O116" s="69">
        <f>IF(N116="","",IF(N116=D116,1,0))</f>
        <v/>
      </c>
      <c r="P116" s="67">
        <f>IF(G116="","",J116-G116)</f>
        <v/>
      </c>
      <c r="Q116" s="67">
        <f>IF(G116="","",ABS(P116-Components!$D$2))</f>
        <v/>
      </c>
      <c r="R116" s="67">
        <f>IF(G116="","",ABS(P116-Components!$D$3))</f>
        <v/>
      </c>
      <c r="S116" s="67">
        <f>IF(G116="","",ABS(P116-Components!$D$4))</f>
        <v/>
      </c>
      <c r="T116" s="67">
        <f>IF(G116="","",ABS(P116-Components!$D$5))</f>
        <v/>
      </c>
      <c r="U116" s="67">
        <f>IF(G116="","",ABS(P116-Components!$D$6))</f>
        <v/>
      </c>
      <c r="V116" s="67">
        <f>IF(G116="","",ABS(P116-Components!$D$7))</f>
        <v/>
      </c>
      <c r="W116" s="61">
        <f>IF(G116="","",IF(N116="OK","NONE",INDEX({"S1","S2","W1","W2","N1","N2"},MATCH(MIN(Q116:V116),Q116:V116,0))))</f>
        <v/>
      </c>
      <c r="X116" s="69">
        <f>IF(G116="","",IF(W116=E116,1,0))</f>
        <v/>
      </c>
      <c r="Y116" s="70" t="n"/>
    </row>
    <row r="117">
      <c r="A117" s="61" t="n">
        <v>19</v>
      </c>
      <c r="B117" s="62" t="n">
        <v>47</v>
      </c>
      <c r="C117" s="61" t="inlineStr">
        <is>
          <t>R3</t>
        </is>
      </c>
      <c r="D117" s="74" t="inlineStr">
        <is>
          <t>NG</t>
        </is>
      </c>
      <c r="E117" s="61" t="inlineStr">
        <is>
          <t>N2</t>
        </is>
      </c>
      <c r="F117" s="61" t="inlineStr">
        <is>
          <t>K019</t>
        </is>
      </c>
      <c r="G117" s="64" t="n">
        <v>8.630000000000001</v>
      </c>
      <c r="H117" s="65" t="n"/>
      <c r="I117" s="66" t="n"/>
      <c r="J117" s="67">
        <f>VLOOKUP(C117,Recipes!$A$2:$N$4,10,FALSE())</f>
        <v/>
      </c>
      <c r="K117" s="68">
        <f>VLOOKUP(C117,Recipes!$A$2:$N$4,12,FALSE())</f>
        <v/>
      </c>
      <c r="L117" s="67">
        <f>J117-6*K117</f>
        <v/>
      </c>
      <c r="M117" s="67">
        <f>J117+6*K117</f>
        <v/>
      </c>
      <c r="N117" s="61">
        <f>IF(G117="","",IF(AND(G117&gt;=L117,G117&lt;=M117),"OK","NG"))</f>
        <v/>
      </c>
      <c r="O117" s="69">
        <f>IF(N117="","",IF(N117=D117,1,0))</f>
        <v/>
      </c>
      <c r="P117" s="67">
        <f>IF(G117="","",J117-G117)</f>
        <v/>
      </c>
      <c r="Q117" s="67">
        <f>IF(G117="","",ABS(P117-Components!$D$2))</f>
        <v/>
      </c>
      <c r="R117" s="67">
        <f>IF(G117="","",ABS(P117-Components!$D$3))</f>
        <v/>
      </c>
      <c r="S117" s="67">
        <f>IF(G117="","",ABS(P117-Components!$D$4))</f>
        <v/>
      </c>
      <c r="T117" s="67">
        <f>IF(G117="","",ABS(P117-Components!$D$5))</f>
        <v/>
      </c>
      <c r="U117" s="67">
        <f>IF(G117="","",ABS(P117-Components!$D$6))</f>
        <v/>
      </c>
      <c r="V117" s="67">
        <f>IF(G117="","",ABS(P117-Components!$D$7))</f>
        <v/>
      </c>
      <c r="W117" s="61">
        <f>IF(G117="","",IF(N117="OK","NONE",INDEX({"S1","S2","W1","W2","N1","N2"},MATCH(MIN(Q117:V117),Q117:V117,0))))</f>
        <v/>
      </c>
      <c r="X117" s="69">
        <f>IF(G117="","",IF(W117=E117,1,0))</f>
        <v/>
      </c>
      <c r="Y117" s="70" t="n"/>
    </row>
    <row r="118">
      <c r="A118" s="61" t="n">
        <v>19</v>
      </c>
      <c r="B118" s="62" t="n">
        <v>47</v>
      </c>
      <c r="C118" s="61" t="inlineStr">
        <is>
          <t>R3</t>
        </is>
      </c>
      <c r="D118" s="74" t="inlineStr">
        <is>
          <t>NG</t>
        </is>
      </c>
      <c r="E118" s="61" t="inlineStr">
        <is>
          <t>N2</t>
        </is>
      </c>
      <c r="F118" s="61" t="inlineStr">
        <is>
          <t>K019</t>
        </is>
      </c>
      <c r="G118" s="64" t="n">
        <v>8.59</v>
      </c>
      <c r="H118" s="65" t="n"/>
      <c r="I118" s="66" t="n"/>
      <c r="J118" s="67">
        <f>VLOOKUP(C118,Recipes!$A$2:$N$4,10,FALSE())</f>
        <v/>
      </c>
      <c r="K118" s="68">
        <f>VLOOKUP(C118,Recipes!$A$2:$N$4,12,FALSE())</f>
        <v/>
      </c>
      <c r="L118" s="67">
        <f>J118-6*K118</f>
        <v/>
      </c>
      <c r="M118" s="67">
        <f>J118+6*K118</f>
        <v/>
      </c>
      <c r="N118" s="61">
        <f>IF(G118="","",IF(AND(G118&gt;=L118,G118&lt;=M118),"OK","NG"))</f>
        <v/>
      </c>
      <c r="O118" s="69">
        <f>IF(N118="","",IF(N118=D118,1,0))</f>
        <v/>
      </c>
      <c r="P118" s="67">
        <f>IF(G118="","",J118-G118)</f>
        <v/>
      </c>
      <c r="Q118" s="67">
        <f>IF(G118="","",ABS(P118-Components!$D$2))</f>
        <v/>
      </c>
      <c r="R118" s="67">
        <f>IF(G118="","",ABS(P118-Components!$D$3))</f>
        <v/>
      </c>
      <c r="S118" s="67">
        <f>IF(G118="","",ABS(P118-Components!$D$4))</f>
        <v/>
      </c>
      <c r="T118" s="67">
        <f>IF(G118="","",ABS(P118-Components!$D$5))</f>
        <v/>
      </c>
      <c r="U118" s="67">
        <f>IF(G118="","",ABS(P118-Components!$D$6))</f>
        <v/>
      </c>
      <c r="V118" s="67">
        <f>IF(G118="","",ABS(P118-Components!$D$7))</f>
        <v/>
      </c>
      <c r="W118" s="61">
        <f>IF(G118="","",IF(N118="OK","NONE",INDEX({"S1","S2","W1","W2","N1","N2"},MATCH(MIN(Q118:V118),Q118:V118,0))))</f>
        <v/>
      </c>
      <c r="X118" s="69">
        <f>IF(G118="","",IF(W118=E118,1,0))</f>
        <v/>
      </c>
      <c r="Y118" s="70" t="n"/>
    </row>
    <row r="119">
      <c r="A119" s="61" t="n">
        <v>19</v>
      </c>
      <c r="B119" s="62" t="n">
        <v>47</v>
      </c>
      <c r="C119" s="61" t="inlineStr">
        <is>
          <t>R3</t>
        </is>
      </c>
      <c r="D119" s="74" t="inlineStr">
        <is>
          <t>NG</t>
        </is>
      </c>
      <c r="E119" s="61" t="inlineStr">
        <is>
          <t>N2</t>
        </is>
      </c>
      <c r="F119" s="61" t="inlineStr">
        <is>
          <t>K019</t>
        </is>
      </c>
      <c r="G119" s="64" t="n">
        <v>8.56</v>
      </c>
      <c r="H119" s="65" t="n"/>
      <c r="I119" s="66" t="n"/>
      <c r="J119" s="67">
        <f>VLOOKUP(C119,Recipes!$A$2:$N$4,10,FALSE())</f>
        <v/>
      </c>
      <c r="K119" s="68">
        <f>VLOOKUP(C119,Recipes!$A$2:$N$4,12,FALSE())</f>
        <v/>
      </c>
      <c r="L119" s="67">
        <f>J119-6*K119</f>
        <v/>
      </c>
      <c r="M119" s="67">
        <f>J119+6*K119</f>
        <v/>
      </c>
      <c r="N119" s="61">
        <f>IF(G119="","",IF(AND(G119&gt;=L119,G119&lt;=M119),"OK","NG"))</f>
        <v/>
      </c>
      <c r="O119" s="69">
        <f>IF(N119="","",IF(N119=D119,1,0))</f>
        <v/>
      </c>
      <c r="P119" s="67">
        <f>IF(G119="","",J119-G119)</f>
        <v/>
      </c>
      <c r="Q119" s="67">
        <f>IF(G119="","",ABS(P119-Components!$D$2))</f>
        <v/>
      </c>
      <c r="R119" s="67">
        <f>IF(G119="","",ABS(P119-Components!$D$3))</f>
        <v/>
      </c>
      <c r="S119" s="67">
        <f>IF(G119="","",ABS(P119-Components!$D$4))</f>
        <v/>
      </c>
      <c r="T119" s="67">
        <f>IF(G119="","",ABS(P119-Components!$D$5))</f>
        <v/>
      </c>
      <c r="U119" s="67">
        <f>IF(G119="","",ABS(P119-Components!$D$6))</f>
        <v/>
      </c>
      <c r="V119" s="67">
        <f>IF(G119="","",ABS(P119-Components!$D$7))</f>
        <v/>
      </c>
      <c r="W119" s="61">
        <f>IF(G119="","",IF(N119="OK","NONE",INDEX({"S1","S2","W1","W2","N1","N2"},MATCH(MIN(Q119:V119),Q119:V119,0))))</f>
        <v/>
      </c>
      <c r="X119" s="69">
        <f>IF(G119="","",IF(W119=E119,1,0))</f>
        <v/>
      </c>
      <c r="Y119" s="70" t="n"/>
    </row>
    <row r="120">
      <c r="A120" s="61" t="n">
        <v>19</v>
      </c>
      <c r="B120" s="62" t="n">
        <v>47</v>
      </c>
      <c r="C120" s="61" t="inlineStr">
        <is>
          <t>R3</t>
        </is>
      </c>
      <c r="D120" s="74" t="inlineStr">
        <is>
          <t>NG</t>
        </is>
      </c>
      <c r="E120" s="61" t="inlineStr">
        <is>
          <t>N2</t>
        </is>
      </c>
      <c r="F120" s="61" t="inlineStr">
        <is>
          <t>K019</t>
        </is>
      </c>
      <c r="G120" s="64" t="n">
        <v>8.58</v>
      </c>
      <c r="H120" s="65" t="n"/>
      <c r="I120" s="66" t="n"/>
      <c r="J120" s="67">
        <f>VLOOKUP(C120,Recipes!$A$2:$N$4,10,FALSE())</f>
        <v/>
      </c>
      <c r="K120" s="68">
        <f>VLOOKUP(C120,Recipes!$A$2:$N$4,12,FALSE())</f>
        <v/>
      </c>
      <c r="L120" s="67">
        <f>J120-6*K120</f>
        <v/>
      </c>
      <c r="M120" s="67">
        <f>J120+6*K120</f>
        <v/>
      </c>
      <c r="N120" s="61">
        <f>IF(G120="","",IF(AND(G120&gt;=L120,G120&lt;=M120),"OK","NG"))</f>
        <v/>
      </c>
      <c r="O120" s="69">
        <f>IF(N120="","",IF(N120=D120,1,0))</f>
        <v/>
      </c>
      <c r="P120" s="67">
        <f>IF(G120="","",J120-G120)</f>
        <v/>
      </c>
      <c r="Q120" s="67">
        <f>IF(G120="","",ABS(P120-Components!$D$2))</f>
        <v/>
      </c>
      <c r="R120" s="67">
        <f>IF(G120="","",ABS(P120-Components!$D$3))</f>
        <v/>
      </c>
      <c r="S120" s="67">
        <f>IF(G120="","",ABS(P120-Components!$D$4))</f>
        <v/>
      </c>
      <c r="T120" s="67">
        <f>IF(G120="","",ABS(P120-Components!$D$5))</f>
        <v/>
      </c>
      <c r="U120" s="67">
        <f>IF(G120="","",ABS(P120-Components!$D$6))</f>
        <v/>
      </c>
      <c r="V120" s="67">
        <f>IF(G120="","",ABS(P120-Components!$D$7))</f>
        <v/>
      </c>
      <c r="W120" s="61">
        <f>IF(G120="","",IF(N120="OK","NONE",INDEX({"S1","S2","W1","W2","N1","N2"},MATCH(MIN(Q120:V120),Q120:V120,0))))</f>
        <v/>
      </c>
      <c r="X120" s="69">
        <f>IF(G120="","",IF(W120=E120,1,0))</f>
        <v/>
      </c>
      <c r="Y120" s="70" t="n"/>
    </row>
    <row r="121">
      <c r="A121" s="61" t="n">
        <v>19</v>
      </c>
      <c r="B121" s="62" t="n">
        <v>47</v>
      </c>
      <c r="C121" s="61" t="inlineStr">
        <is>
          <t>R3</t>
        </is>
      </c>
      <c r="D121" s="74" t="inlineStr">
        <is>
          <t>NG</t>
        </is>
      </c>
      <c r="E121" s="61" t="inlineStr">
        <is>
          <t>N2</t>
        </is>
      </c>
      <c r="F121" s="61" t="inlineStr">
        <is>
          <t>K019</t>
        </is>
      </c>
      <c r="G121" s="64" t="n">
        <v>8.630000000000001</v>
      </c>
      <c r="H121" s="65" t="n"/>
      <c r="I121" s="66" t="n"/>
      <c r="J121" s="67">
        <f>VLOOKUP(C121,Recipes!$A$2:$N$4,10,FALSE())</f>
        <v/>
      </c>
      <c r="K121" s="68">
        <f>VLOOKUP(C121,Recipes!$A$2:$N$4,12,FALSE())</f>
        <v/>
      </c>
      <c r="L121" s="67">
        <f>J121-6*K121</f>
        <v/>
      </c>
      <c r="M121" s="67">
        <f>J121+6*K121</f>
        <v/>
      </c>
      <c r="N121" s="61">
        <f>IF(G121="","",IF(AND(G121&gt;=L121,G121&lt;=M121),"OK","NG"))</f>
        <v/>
      </c>
      <c r="O121" s="69">
        <f>IF(N121="","",IF(N121=D121,1,0))</f>
        <v/>
      </c>
      <c r="P121" s="67">
        <f>IF(G121="","",J121-G121)</f>
        <v/>
      </c>
      <c r="Q121" s="67">
        <f>IF(G121="","",ABS(P121-Components!$D$2))</f>
        <v/>
      </c>
      <c r="R121" s="67">
        <f>IF(G121="","",ABS(P121-Components!$D$3))</f>
        <v/>
      </c>
      <c r="S121" s="67">
        <f>IF(G121="","",ABS(P121-Components!$D$4))</f>
        <v/>
      </c>
      <c r="T121" s="67">
        <f>IF(G121="","",ABS(P121-Components!$D$5))</f>
        <v/>
      </c>
      <c r="U121" s="67">
        <f>IF(G121="","",ABS(P121-Components!$D$6))</f>
        <v/>
      </c>
      <c r="V121" s="67">
        <f>IF(G121="","",ABS(P121-Components!$D$7))</f>
        <v/>
      </c>
      <c r="W121" s="61">
        <f>IF(G121="","",IF(N121="OK","NONE",INDEX({"S1","S2","W1","W2","N1","N2"},MATCH(MIN(Q121:V121),Q121:V121,0))))</f>
        <v/>
      </c>
      <c r="X121" s="69">
        <f>IF(G121="","",IF(W121=E121,1,0))</f>
        <v/>
      </c>
      <c r="Y121" s="70" t="n"/>
    </row>
    <row r="122">
      <c r="A122" s="61" t="n">
        <v>19</v>
      </c>
      <c r="B122" s="62" t="n">
        <v>47</v>
      </c>
      <c r="C122" s="61" t="inlineStr">
        <is>
          <t>R3</t>
        </is>
      </c>
      <c r="D122" s="74" t="inlineStr">
        <is>
          <t>NG</t>
        </is>
      </c>
      <c r="E122" s="61" t="inlineStr">
        <is>
          <t>N2</t>
        </is>
      </c>
      <c r="F122" s="61" t="inlineStr">
        <is>
          <t>K019</t>
        </is>
      </c>
      <c r="G122" s="64" t="n">
        <v>8.59</v>
      </c>
      <c r="H122" s="65" t="n"/>
      <c r="I122" s="66" t="n"/>
      <c r="J122" s="67">
        <f>VLOOKUP(C122,Recipes!$A$2:$N$4,10,FALSE())</f>
        <v/>
      </c>
      <c r="K122" s="68">
        <f>VLOOKUP(C122,Recipes!$A$2:$N$4,12,FALSE())</f>
        <v/>
      </c>
      <c r="L122" s="67">
        <f>J122-6*K122</f>
        <v/>
      </c>
      <c r="M122" s="67">
        <f>J122+6*K122</f>
        <v/>
      </c>
      <c r="N122" s="61">
        <f>IF(G122="","",IF(AND(G122&gt;=L122,G122&lt;=M122),"OK","NG"))</f>
        <v/>
      </c>
      <c r="O122" s="69">
        <f>IF(N122="","",IF(N122=D122,1,0))</f>
        <v/>
      </c>
      <c r="P122" s="67">
        <f>IF(G122="","",J122-G122)</f>
        <v/>
      </c>
      <c r="Q122" s="67">
        <f>IF(G122="","",ABS(P122-Components!$D$2))</f>
        <v/>
      </c>
      <c r="R122" s="67">
        <f>IF(G122="","",ABS(P122-Components!$D$3))</f>
        <v/>
      </c>
      <c r="S122" s="67">
        <f>IF(G122="","",ABS(P122-Components!$D$4))</f>
        <v/>
      </c>
      <c r="T122" s="67">
        <f>IF(G122="","",ABS(P122-Components!$D$5))</f>
        <v/>
      </c>
      <c r="U122" s="67">
        <f>IF(G122="","",ABS(P122-Components!$D$6))</f>
        <v/>
      </c>
      <c r="V122" s="67">
        <f>IF(G122="","",ABS(P122-Components!$D$7))</f>
        <v/>
      </c>
      <c r="W122" s="61">
        <f>IF(G122="","",IF(N122="OK","NONE",INDEX({"S1","S2","W1","W2","N1","N2"},MATCH(MIN(Q122:V122),Q122:V122,0))))</f>
        <v/>
      </c>
      <c r="X122" s="69">
        <f>IF(G122="","",IF(W122=E122,1,0))</f>
        <v/>
      </c>
      <c r="Y122" s="70" t="n"/>
    </row>
    <row r="123">
      <c r="A123" s="61" t="n">
        <v>21</v>
      </c>
      <c r="B123" s="62" t="n">
        <v>29</v>
      </c>
      <c r="C123" s="61" t="inlineStr">
        <is>
          <t>R4</t>
        </is>
      </c>
      <c r="D123" s="63" t="inlineStr">
        <is>
          <t>OK</t>
        </is>
      </c>
      <c r="E123" s="61" t="inlineStr">
        <is>
          <t>NONE</t>
        </is>
      </c>
      <c r="F123" s="61" t="inlineStr">
        <is>
          <t>K021</t>
        </is>
      </c>
      <c r="G123" s="64" t="n">
        <v>8.949999999999999</v>
      </c>
      <c r="H123" s="65" t="n"/>
      <c r="I123" s="66" t="n"/>
      <c r="J123" s="67">
        <f>VLOOKUP(C123,Recipes!$A$2:$N$4,10,FALSE())</f>
        <v/>
      </c>
      <c r="K123" s="68">
        <f>VLOOKUP(C123,Recipes!$A$2:$N$4,12,FALSE())</f>
        <v/>
      </c>
      <c r="L123" s="67">
        <f>J123-6*K123</f>
        <v/>
      </c>
      <c r="M123" s="67">
        <f>J123+6*K123</f>
        <v/>
      </c>
      <c r="N123" s="61">
        <f>IF(G123="","",IF(AND(G123&gt;=L123,G123&lt;=M123),"OK","NG"))</f>
        <v/>
      </c>
      <c r="O123" s="69">
        <f>IF(N123="","",IF(N123=D123,1,0))</f>
        <v/>
      </c>
      <c r="P123" s="67">
        <f>IF(G123="","",J123-G123)</f>
        <v/>
      </c>
      <c r="Q123" s="67">
        <f>IF(G123="","",ABS(P123-Components!$D$2))</f>
        <v/>
      </c>
      <c r="R123" s="67">
        <f>IF(G123="","",ABS(P123-Components!$D$3))</f>
        <v/>
      </c>
      <c r="S123" s="67">
        <f>IF(G123="","",ABS(P123-Components!$D$4))</f>
        <v/>
      </c>
      <c r="T123" s="67">
        <f>IF(G123="","",ABS(P123-Components!$D$5))</f>
        <v/>
      </c>
      <c r="U123" s="67">
        <f>IF(G123="","",ABS(P123-Components!$D$6))</f>
        <v/>
      </c>
      <c r="V123" s="67">
        <f>IF(G123="","",ABS(P123-Components!$D$7))</f>
        <v/>
      </c>
      <c r="W123" s="61">
        <f>IF(G123="","",IF(N123="OK","NONE",INDEX({"S1","S2","W1","W2","N1","N2"},MATCH(MIN(Q123:V123),Q123:V123,0))))</f>
        <v/>
      </c>
      <c r="X123" s="69">
        <f>IF(G123="","",IF(W123=E123,1,0))</f>
        <v/>
      </c>
      <c r="Y123" s="70" t="n"/>
    </row>
    <row r="124">
      <c r="A124" s="61" t="n">
        <v>22</v>
      </c>
      <c r="B124" s="62" t="n">
        <v>11</v>
      </c>
      <c r="C124" s="61" t="inlineStr">
        <is>
          <t>R4</t>
        </is>
      </c>
      <c r="D124" s="63" t="inlineStr">
        <is>
          <t>OK</t>
        </is>
      </c>
      <c r="E124" s="61" t="inlineStr">
        <is>
          <t>NONE</t>
        </is>
      </c>
      <c r="F124" s="61" t="inlineStr">
        <is>
          <t>K022</t>
        </is>
      </c>
      <c r="G124" s="64" t="n">
        <v>8.94</v>
      </c>
      <c r="H124" s="65" t="n"/>
      <c r="I124" s="66" t="n"/>
      <c r="J124" s="67">
        <f>VLOOKUP(C124,Recipes!$A$2:$N$4,10,FALSE())</f>
        <v/>
      </c>
      <c r="K124" s="68">
        <f>VLOOKUP(C124,Recipes!$A$2:$N$4,12,FALSE())</f>
        <v/>
      </c>
      <c r="L124" s="67">
        <f>J124-6*K124</f>
        <v/>
      </c>
      <c r="M124" s="67">
        <f>J124+6*K124</f>
        <v/>
      </c>
      <c r="N124" s="61">
        <f>IF(G124="","",IF(AND(G124&gt;=L124,G124&lt;=M124),"OK","NG"))</f>
        <v/>
      </c>
      <c r="O124" s="69">
        <f>IF(N124="","",IF(N124=D124,1,0))</f>
        <v/>
      </c>
      <c r="P124" s="67">
        <f>IF(G124="","",J124-G124)</f>
        <v/>
      </c>
      <c r="Q124" s="67">
        <f>IF(G124="","",ABS(P124-Components!$D$2))</f>
        <v/>
      </c>
      <c r="R124" s="67">
        <f>IF(G124="","",ABS(P124-Components!$D$3))</f>
        <v/>
      </c>
      <c r="S124" s="67">
        <f>IF(G124="","",ABS(P124-Components!$D$4))</f>
        <v/>
      </c>
      <c r="T124" s="67">
        <f>IF(G124="","",ABS(P124-Components!$D$5))</f>
        <v/>
      </c>
      <c r="U124" s="67">
        <f>IF(G124="","",ABS(P124-Components!$D$6))</f>
        <v/>
      </c>
      <c r="V124" s="67">
        <f>IF(G124="","",ABS(P124-Components!$D$7))</f>
        <v/>
      </c>
      <c r="W124" s="61">
        <f>IF(G124="","",IF(N124="OK","NONE",INDEX({"S1","S2","W1","W2","N1","N2"},MATCH(MIN(Q124:V124),Q124:V124,0))))</f>
        <v/>
      </c>
      <c r="X124" s="69">
        <f>IF(G124="","",IF(W124=E124,1,0))</f>
        <v/>
      </c>
      <c r="Y124" s="70" t="n"/>
    </row>
    <row r="125">
      <c r="A125" s="61" t="n">
        <v>23</v>
      </c>
      <c r="B125" s="62" t="n">
        <v>43</v>
      </c>
      <c r="C125" s="61" t="inlineStr">
        <is>
          <t>R4</t>
        </is>
      </c>
      <c r="D125" s="63" t="inlineStr">
        <is>
          <t>OK</t>
        </is>
      </c>
      <c r="E125" s="61" t="inlineStr">
        <is>
          <t>NONE</t>
        </is>
      </c>
      <c r="F125" s="61" t="inlineStr">
        <is>
          <t>K023</t>
        </is>
      </c>
      <c r="G125" s="64" t="n">
        <v>8.94</v>
      </c>
      <c r="H125" s="65" t="n"/>
      <c r="I125" s="66" t="n"/>
      <c r="J125" s="67">
        <f>VLOOKUP(C125,Recipes!$A$2:$N$4,10,FALSE())</f>
        <v/>
      </c>
      <c r="K125" s="68">
        <f>VLOOKUP(C125,Recipes!$A$2:$N$4,12,FALSE())</f>
        <v/>
      </c>
      <c r="L125" s="67">
        <f>J125-6*K125</f>
        <v/>
      </c>
      <c r="M125" s="67">
        <f>J125+6*K125</f>
        <v/>
      </c>
      <c r="N125" s="61">
        <f>IF(G125="","",IF(AND(G125&gt;=L125,G125&lt;=M125),"OK","NG"))</f>
        <v/>
      </c>
      <c r="O125" s="69">
        <f>IF(N125="","",IF(N125=D125,1,0))</f>
        <v/>
      </c>
      <c r="P125" s="67">
        <f>IF(G125="","",J125-G125)</f>
        <v/>
      </c>
      <c r="Q125" s="67">
        <f>IF(G125="","",ABS(P125-Components!$D$2))</f>
        <v/>
      </c>
      <c r="R125" s="67">
        <f>IF(G125="","",ABS(P125-Components!$D$3))</f>
        <v/>
      </c>
      <c r="S125" s="67">
        <f>IF(G125="","",ABS(P125-Components!$D$4))</f>
        <v/>
      </c>
      <c r="T125" s="67">
        <f>IF(G125="","",ABS(P125-Components!$D$5))</f>
        <v/>
      </c>
      <c r="U125" s="67">
        <f>IF(G125="","",ABS(P125-Components!$D$6))</f>
        <v/>
      </c>
      <c r="V125" s="67">
        <f>IF(G125="","",ABS(P125-Components!$D$7))</f>
        <v/>
      </c>
      <c r="W125" s="61">
        <f>IF(G125="","",IF(N125="OK","NONE",INDEX({"S1","S2","W1","W2","N1","N2"},MATCH(MIN(Q125:V125),Q125:V125,0))))</f>
        <v/>
      </c>
      <c r="X125" s="69">
        <f>IF(G125="","",IF(W125=E125,1,0))</f>
        <v/>
      </c>
      <c r="Y125" s="70" t="n"/>
    </row>
    <row r="126">
      <c r="A126" s="61" t="n">
        <v>24</v>
      </c>
      <c r="B126" s="62" t="n">
        <v>23</v>
      </c>
      <c r="C126" s="61" t="inlineStr">
        <is>
          <t>R4</t>
        </is>
      </c>
      <c r="D126" s="63" t="inlineStr">
        <is>
          <t>OK</t>
        </is>
      </c>
      <c r="E126" s="61" t="inlineStr">
        <is>
          <t>NONE</t>
        </is>
      </c>
      <c r="F126" s="61" t="inlineStr">
        <is>
          <t>K024</t>
        </is>
      </c>
      <c r="G126" s="64" t="n">
        <v>8.890000000000001</v>
      </c>
      <c r="H126" s="65" t="n"/>
      <c r="I126" s="66" t="n"/>
      <c r="J126" s="67">
        <f>VLOOKUP(C126,Recipes!$A$2:$N$4,10,FALSE())</f>
        <v/>
      </c>
      <c r="K126" s="68">
        <f>VLOOKUP(C126,Recipes!$A$2:$N$4,12,FALSE())</f>
        <v/>
      </c>
      <c r="L126" s="67">
        <f>J126-6*K126</f>
        <v/>
      </c>
      <c r="M126" s="67">
        <f>J126+6*K126</f>
        <v/>
      </c>
      <c r="N126" s="61">
        <f>IF(G126="","",IF(AND(G126&gt;=L126,G126&lt;=M126),"OK","NG"))</f>
        <v/>
      </c>
      <c r="O126" s="69">
        <f>IF(N126="","",IF(N126=D126,1,0))</f>
        <v/>
      </c>
      <c r="P126" s="67">
        <f>IF(G126="","",J126-G126)</f>
        <v/>
      </c>
      <c r="Q126" s="67">
        <f>IF(G126="","",ABS(P126-Components!$D$2))</f>
        <v/>
      </c>
      <c r="R126" s="67">
        <f>IF(G126="","",ABS(P126-Components!$D$3))</f>
        <v/>
      </c>
      <c r="S126" s="67">
        <f>IF(G126="","",ABS(P126-Components!$D$4))</f>
        <v/>
      </c>
      <c r="T126" s="67">
        <f>IF(G126="","",ABS(P126-Components!$D$5))</f>
        <v/>
      </c>
      <c r="U126" s="67">
        <f>IF(G126="","",ABS(P126-Components!$D$6))</f>
        <v/>
      </c>
      <c r="V126" s="67">
        <f>IF(G126="","",ABS(P126-Components!$D$7))</f>
        <v/>
      </c>
      <c r="W126" s="61">
        <f>IF(G126="","",IF(N126="OK","NONE",INDEX({"S1","S2","W1","W2","N1","N2"},MATCH(MIN(Q126:V126),Q126:V126,0))))</f>
        <v/>
      </c>
      <c r="X126" s="69">
        <f>IF(G126="","",IF(W126=E126,1,0))</f>
        <v/>
      </c>
      <c r="Y126" s="70" t="n"/>
    </row>
    <row r="127">
      <c r="A127" s="61" t="n">
        <v>25</v>
      </c>
      <c r="B127" s="62" t="n">
        <v>39</v>
      </c>
      <c r="C127" s="61" t="inlineStr">
        <is>
          <t>R4</t>
        </is>
      </c>
      <c r="D127" s="63" t="inlineStr">
        <is>
          <t>OK</t>
        </is>
      </c>
      <c r="E127" s="61" t="inlineStr">
        <is>
          <t>NONE</t>
        </is>
      </c>
      <c r="F127" s="61" t="inlineStr">
        <is>
          <t>K025</t>
        </is>
      </c>
      <c r="G127" s="64" t="n">
        <v>8.890000000000001</v>
      </c>
      <c r="H127" s="65" t="n"/>
      <c r="I127" s="66" t="n"/>
      <c r="J127" s="67">
        <f>VLOOKUP(C127,Recipes!$A$2:$N$4,10,FALSE())</f>
        <v/>
      </c>
      <c r="K127" s="68">
        <f>VLOOKUP(C127,Recipes!$A$2:$N$4,12,FALSE())</f>
        <v/>
      </c>
      <c r="L127" s="67">
        <f>J127-6*K127</f>
        <v/>
      </c>
      <c r="M127" s="67">
        <f>J127+6*K127</f>
        <v/>
      </c>
      <c r="N127" s="61">
        <f>IF(G127="","",IF(AND(G127&gt;=L127,G127&lt;=M127),"OK","NG"))</f>
        <v/>
      </c>
      <c r="O127" s="69">
        <f>IF(N127="","",IF(N127=D127,1,0))</f>
        <v/>
      </c>
      <c r="P127" s="67">
        <f>IF(G127="","",J127-G127)</f>
        <v/>
      </c>
      <c r="Q127" s="67">
        <f>IF(G127="","",ABS(P127-Components!$D$2))</f>
        <v/>
      </c>
      <c r="R127" s="67">
        <f>IF(G127="","",ABS(P127-Components!$D$3))</f>
        <v/>
      </c>
      <c r="S127" s="67">
        <f>IF(G127="","",ABS(P127-Components!$D$4))</f>
        <v/>
      </c>
      <c r="T127" s="67">
        <f>IF(G127="","",ABS(P127-Components!$D$5))</f>
        <v/>
      </c>
      <c r="U127" s="67">
        <f>IF(G127="","",ABS(P127-Components!$D$6))</f>
        <v/>
      </c>
      <c r="V127" s="67">
        <f>IF(G127="","",ABS(P127-Components!$D$7))</f>
        <v/>
      </c>
      <c r="W127" s="61">
        <f>IF(G127="","",IF(N127="OK","NONE",INDEX({"S1","S2","W1","W2","N1","N2"},MATCH(MIN(Q127:V127),Q127:V127,0))))</f>
        <v/>
      </c>
      <c r="X127" s="69">
        <f>IF(G127="","",IF(W127=E127,1,0))</f>
        <v/>
      </c>
      <c r="Y127" s="70" t="n"/>
    </row>
    <row r="128">
      <c r="A128" s="61" t="n">
        <v>26</v>
      </c>
      <c r="B128" s="62" t="n">
        <v>31</v>
      </c>
      <c r="C128" s="61" t="inlineStr">
        <is>
          <t>R4</t>
        </is>
      </c>
      <c r="D128" s="63" t="inlineStr">
        <is>
          <t>OK</t>
        </is>
      </c>
      <c r="E128" s="61" t="inlineStr">
        <is>
          <t>NONE</t>
        </is>
      </c>
      <c r="F128" s="61" t="inlineStr">
        <is>
          <t>K026</t>
        </is>
      </c>
      <c r="G128" s="75" t="n">
        <v>8.880000000000001</v>
      </c>
      <c r="H128" s="65" t="n"/>
      <c r="I128" s="66" t="n"/>
      <c r="J128" s="67">
        <f>VLOOKUP(C128,Recipes!$A$2:$N$4,10,FALSE())</f>
        <v/>
      </c>
      <c r="K128" s="68">
        <f>VLOOKUP(C128,Recipes!$A$2:$N$4,12,FALSE())</f>
        <v/>
      </c>
      <c r="L128" s="67">
        <f>J128-6*K128</f>
        <v/>
      </c>
      <c r="M128" s="67">
        <f>J128+6*K128</f>
        <v/>
      </c>
      <c r="N128" s="61">
        <f>IF(G128="","",IF(AND(G128&gt;=L128,G128&lt;=M128),"OK","NG"))</f>
        <v/>
      </c>
      <c r="O128" s="69">
        <f>IF(N128="","",IF(N128=D128,1,0))</f>
        <v/>
      </c>
      <c r="P128" s="67">
        <f>IF(G128="","",J128-G128)</f>
        <v/>
      </c>
      <c r="Q128" s="67">
        <f>IF(G128="","",ABS(P128-Components!$D$2))</f>
        <v/>
      </c>
      <c r="R128" s="67">
        <f>IF(G128="","",ABS(P128-Components!$D$3))</f>
        <v/>
      </c>
      <c r="S128" s="67">
        <f>IF(G128="","",ABS(P128-Components!$D$4))</f>
        <v/>
      </c>
      <c r="T128" s="67">
        <f>IF(G128="","",ABS(P128-Components!$D$5))</f>
        <v/>
      </c>
      <c r="U128" s="67">
        <f>IF(G128="","",ABS(P128-Components!$D$6))</f>
        <v/>
      </c>
      <c r="V128" s="67">
        <f>IF(G128="","",ABS(P128-Components!$D$7))</f>
        <v/>
      </c>
      <c r="W128" s="61">
        <f>IF(G128="","",IF(N128="OK","NONE",INDEX({"S1","S2","W1","W2","N1","N2"},MATCH(MIN(Q128:V128),Q128:V128,0))))</f>
        <v/>
      </c>
      <c r="X128" s="69">
        <f>IF(G128="","",IF(W128=E128,1,0))</f>
        <v/>
      </c>
      <c r="Y128" s="70" t="n"/>
    </row>
    <row r="129">
      <c r="A129" s="61" t="n">
        <v>27</v>
      </c>
      <c r="B129" s="62" t="n">
        <v>29</v>
      </c>
      <c r="C129" s="61" t="inlineStr">
        <is>
          <t>R4</t>
        </is>
      </c>
      <c r="D129" s="63" t="inlineStr">
        <is>
          <t>OK</t>
        </is>
      </c>
      <c r="E129" s="61" t="inlineStr">
        <is>
          <t>NONE</t>
        </is>
      </c>
      <c r="F129" s="61" t="inlineStr">
        <is>
          <t>K027</t>
        </is>
      </c>
      <c r="G129" s="75" t="n">
        <v>8.91</v>
      </c>
      <c r="H129" s="65" t="n"/>
      <c r="I129" s="66" t="n"/>
      <c r="J129" s="67">
        <f>VLOOKUP(C129,Recipes!$A$2:$N$4,10,FALSE())</f>
        <v/>
      </c>
      <c r="K129" s="68">
        <f>VLOOKUP(C129,Recipes!$A$2:$N$4,12,FALSE())</f>
        <v/>
      </c>
      <c r="L129" s="67">
        <f>J129-6*K129</f>
        <v/>
      </c>
      <c r="M129" s="67">
        <f>J129+6*K129</f>
        <v/>
      </c>
      <c r="N129" s="61">
        <f>IF(G129="","",IF(AND(G129&gt;=L129,G129&lt;=M129),"OK","NG"))</f>
        <v/>
      </c>
      <c r="O129" s="69">
        <f>IF(N129="","",IF(N129=D129,1,0))</f>
        <v/>
      </c>
      <c r="P129" s="67">
        <f>IF(G129="","",J129-G129)</f>
        <v/>
      </c>
      <c r="Q129" s="67">
        <f>IF(G129="","",ABS(P129-Components!$D$2))</f>
        <v/>
      </c>
      <c r="R129" s="67">
        <f>IF(G129="","",ABS(P129-Components!$D$3))</f>
        <v/>
      </c>
      <c r="S129" s="67">
        <f>IF(G129="","",ABS(P129-Components!$D$4))</f>
        <v/>
      </c>
      <c r="T129" s="67">
        <f>IF(G129="","",ABS(P129-Components!$D$5))</f>
        <v/>
      </c>
      <c r="U129" s="67">
        <f>IF(G129="","",ABS(P129-Components!$D$6))</f>
        <v/>
      </c>
      <c r="V129" s="67">
        <f>IF(G129="","",ABS(P129-Components!$D$7))</f>
        <v/>
      </c>
      <c r="W129" s="61">
        <f>IF(G129="","",IF(N129="OK","NONE",INDEX({"S1","S2","W1","W2","N1","N2"},MATCH(MIN(Q129:V129),Q129:V129,0))))</f>
        <v/>
      </c>
      <c r="X129" s="69">
        <f>IF(G129="","",IF(W129=E129,1,0))</f>
        <v/>
      </c>
      <c r="Y129" s="70" t="n"/>
    </row>
    <row r="130">
      <c r="A130" s="61" t="n">
        <v>28</v>
      </c>
      <c r="B130" s="62" t="n">
        <v>27</v>
      </c>
      <c r="C130" s="61" t="inlineStr">
        <is>
          <t>R4</t>
        </is>
      </c>
      <c r="D130" s="63" t="inlineStr">
        <is>
          <t>OK</t>
        </is>
      </c>
      <c r="E130" s="61" t="inlineStr">
        <is>
          <t>NONE</t>
        </is>
      </c>
      <c r="F130" s="61" t="inlineStr">
        <is>
          <t>K028</t>
        </is>
      </c>
      <c r="G130" s="75" t="n">
        <v>8.85</v>
      </c>
      <c r="H130" s="65" t="n"/>
      <c r="I130" s="66" t="n"/>
      <c r="J130" s="67">
        <f>VLOOKUP(C130,Recipes!$A$2:$N$4,10,FALSE())</f>
        <v/>
      </c>
      <c r="K130" s="68">
        <f>VLOOKUP(C130,Recipes!$A$2:$N$4,12,FALSE())</f>
        <v/>
      </c>
      <c r="L130" s="67">
        <f>J130-6*K130</f>
        <v/>
      </c>
      <c r="M130" s="67">
        <f>J130+6*K130</f>
        <v/>
      </c>
      <c r="N130" s="61">
        <f>IF(G130="","",IF(AND(G130&gt;=L130,G130&lt;=M130),"OK","NG"))</f>
        <v/>
      </c>
      <c r="O130" s="69">
        <f>IF(N130="","",IF(N130=D130,1,0))</f>
        <v/>
      </c>
      <c r="P130" s="67">
        <f>IF(G130="","",J130-G130)</f>
        <v/>
      </c>
      <c r="Q130" s="67">
        <f>IF(G130="","",ABS(P130-Components!$D$2))</f>
        <v/>
      </c>
      <c r="R130" s="67">
        <f>IF(G130="","",ABS(P130-Components!$D$3))</f>
        <v/>
      </c>
      <c r="S130" s="67">
        <f>IF(G130="","",ABS(P130-Components!$D$4))</f>
        <v/>
      </c>
      <c r="T130" s="67">
        <f>IF(G130="","",ABS(P130-Components!$D$5))</f>
        <v/>
      </c>
      <c r="U130" s="67">
        <f>IF(G130="","",ABS(P130-Components!$D$6))</f>
        <v/>
      </c>
      <c r="V130" s="67">
        <f>IF(G130="","",ABS(P130-Components!$D$7))</f>
        <v/>
      </c>
      <c r="W130" s="61">
        <f>IF(G130="","",IF(N130="OK","NONE",INDEX({"S1","S2","W1","W2","N1","N2"},MATCH(MIN(Q130:V130),Q130:V130,0))))</f>
        <v/>
      </c>
      <c r="X130" s="69">
        <f>IF(G130="","",IF(W130=E130,1,0))</f>
        <v/>
      </c>
      <c r="Y130" s="70" t="n"/>
    </row>
    <row r="131">
      <c r="A131" s="61" t="n">
        <v>29</v>
      </c>
      <c r="B131" s="62" t="n">
        <v>25</v>
      </c>
      <c r="C131" s="61" t="inlineStr">
        <is>
          <t>R4</t>
        </is>
      </c>
      <c r="D131" s="63" t="inlineStr">
        <is>
          <t>OK</t>
        </is>
      </c>
      <c r="E131" s="61" t="inlineStr">
        <is>
          <t>NONE</t>
        </is>
      </c>
      <c r="F131" s="61" t="inlineStr">
        <is>
          <t>K029</t>
        </is>
      </c>
      <c r="G131" s="75" t="n">
        <v>8.880000000000001</v>
      </c>
      <c r="H131" s="65" t="n"/>
      <c r="I131" s="66" t="n"/>
      <c r="J131" s="67">
        <f>VLOOKUP(C131,Recipes!$A$2:$N$4,10,FALSE())</f>
        <v/>
      </c>
      <c r="K131" s="68">
        <f>VLOOKUP(C131,Recipes!$A$2:$N$4,12,FALSE())</f>
        <v/>
      </c>
      <c r="L131" s="67">
        <f>J131-6*K131</f>
        <v/>
      </c>
      <c r="M131" s="67">
        <f>J131+6*K131</f>
        <v/>
      </c>
      <c r="N131" s="61">
        <f>IF(G131="","",IF(AND(G131&gt;=L131,G131&lt;=M131),"OK","NG"))</f>
        <v/>
      </c>
      <c r="O131" s="69">
        <f>IF(N131="","",IF(N131=D131,1,0))</f>
        <v/>
      </c>
      <c r="P131" s="67">
        <f>IF(G131="","",J131-G131)</f>
        <v/>
      </c>
      <c r="Q131" s="67">
        <f>IF(G131="","",ABS(P131-Components!$D$2))</f>
        <v/>
      </c>
      <c r="R131" s="67">
        <f>IF(G131="","",ABS(P131-Components!$D$3))</f>
        <v/>
      </c>
      <c r="S131" s="67">
        <f>IF(G131="","",ABS(P131-Components!$D$4))</f>
        <v/>
      </c>
      <c r="T131" s="67">
        <f>IF(G131="","",ABS(P131-Components!$D$5))</f>
        <v/>
      </c>
      <c r="U131" s="67">
        <f>IF(G131="","",ABS(P131-Components!$D$6))</f>
        <v/>
      </c>
      <c r="V131" s="67">
        <f>IF(G131="","",ABS(P131-Components!$D$7))</f>
        <v/>
      </c>
      <c r="W131" s="61">
        <f>IF(G131="","",IF(N131="OK","NONE",INDEX({"S1","S2","W1","W2","N1","N2"},MATCH(MIN(Q131:V131),Q131:V131,0))))</f>
        <v/>
      </c>
      <c r="X131" s="69">
        <f>IF(G131="","",IF(W131=E131,1,0))</f>
        <v/>
      </c>
      <c r="Y131" s="70" t="n"/>
    </row>
    <row r="132">
      <c r="A132" s="61" t="n">
        <v>30</v>
      </c>
      <c r="B132" s="62" t="n">
        <v>23</v>
      </c>
      <c r="C132" s="61" t="inlineStr">
        <is>
          <t>R4</t>
        </is>
      </c>
      <c r="D132" s="63" t="inlineStr">
        <is>
          <t>OK</t>
        </is>
      </c>
      <c r="E132" s="61" t="inlineStr">
        <is>
          <t>NONE</t>
        </is>
      </c>
      <c r="F132" s="61" t="inlineStr">
        <is>
          <t>K030</t>
        </is>
      </c>
      <c r="G132" s="75" t="n">
        <v>8.869999999999999</v>
      </c>
      <c r="H132" s="65" t="n"/>
      <c r="I132" s="66" t="n"/>
      <c r="J132" s="67">
        <f>VLOOKUP(C132,Recipes!$A$2:$N$4,10,FALSE())</f>
        <v/>
      </c>
      <c r="K132" s="68">
        <f>VLOOKUP(C132,Recipes!$A$2:$N$4,12,FALSE())</f>
        <v/>
      </c>
      <c r="L132" s="67">
        <f>J132-6*K132</f>
        <v/>
      </c>
      <c r="M132" s="67">
        <f>J132+6*K132</f>
        <v/>
      </c>
      <c r="N132" s="61">
        <f>IF(G132="","",IF(AND(G132&gt;=L132,G132&lt;=M132),"OK","NG"))</f>
        <v/>
      </c>
      <c r="O132" s="69">
        <f>IF(N132="","",IF(N132=D132,1,0))</f>
        <v/>
      </c>
      <c r="P132" s="67">
        <f>IF(G132="","",J132-G132)</f>
        <v/>
      </c>
      <c r="Q132" s="67">
        <f>IF(G132="","",ABS(P132-Components!$D$2))</f>
        <v/>
      </c>
      <c r="R132" s="67">
        <f>IF(G132="","",ABS(P132-Components!$D$3))</f>
        <v/>
      </c>
      <c r="S132" s="67">
        <f>IF(G132="","",ABS(P132-Components!$D$4))</f>
        <v/>
      </c>
      <c r="T132" s="67">
        <f>IF(G132="","",ABS(P132-Components!$D$5))</f>
        <v/>
      </c>
      <c r="U132" s="67">
        <f>IF(G132="","",ABS(P132-Components!$D$6))</f>
        <v/>
      </c>
      <c r="V132" s="67">
        <f>IF(G132="","",ABS(P132-Components!$D$7))</f>
        <v/>
      </c>
      <c r="W132" s="61">
        <f>IF(G132="","",IF(N132="OK","NONE",INDEX({"S1","S2","W1","W2","N1","N2"},MATCH(MIN(Q132:V132),Q132:V132,0))))</f>
        <v/>
      </c>
      <c r="X132" s="69">
        <f>IF(G132="","",IF(W132=E132,1,0))</f>
        <v/>
      </c>
      <c r="Y132" s="70" t="n"/>
    </row>
    <row r="133">
      <c r="A133" s="61" t="n">
        <v>31</v>
      </c>
      <c r="B133" s="62" t="n">
        <v>21</v>
      </c>
      <c r="C133" s="61" t="inlineStr">
        <is>
          <t>R4</t>
        </is>
      </c>
      <c r="D133" s="63" t="inlineStr">
        <is>
          <t>OK</t>
        </is>
      </c>
      <c r="E133" s="61" t="inlineStr">
        <is>
          <t>NONE</t>
        </is>
      </c>
      <c r="F133" s="61" t="inlineStr">
        <is>
          <t>K031</t>
        </is>
      </c>
      <c r="G133" s="75" t="n">
        <v>8.890000000000001</v>
      </c>
      <c r="H133" s="65" t="n"/>
      <c r="I133" s="66" t="n"/>
      <c r="J133" s="67">
        <f>VLOOKUP(C133,Recipes!$A$2:$N$4,10,FALSE())</f>
        <v/>
      </c>
      <c r="K133" s="68">
        <f>VLOOKUP(C133,Recipes!$A$2:$N$4,12,FALSE())</f>
        <v/>
      </c>
      <c r="L133" s="67">
        <f>J133-6*K133</f>
        <v/>
      </c>
      <c r="M133" s="67">
        <f>J133+6*K133</f>
        <v/>
      </c>
      <c r="N133" s="61">
        <f>IF(G133="","",IF(AND(G133&gt;=L133,G133&lt;=M133),"OK","NG"))</f>
        <v/>
      </c>
      <c r="O133" s="69">
        <f>IF(N133="","",IF(N133=D133,1,0))</f>
        <v/>
      </c>
      <c r="P133" s="67">
        <f>IF(G133="","",J133-G133)</f>
        <v/>
      </c>
      <c r="Q133" s="67">
        <f>IF(G133="","",ABS(P133-Components!$D$2))</f>
        <v/>
      </c>
      <c r="R133" s="67">
        <f>IF(G133="","",ABS(P133-Components!$D$3))</f>
        <v/>
      </c>
      <c r="S133" s="67">
        <f>IF(G133="","",ABS(P133-Components!$D$4))</f>
        <v/>
      </c>
      <c r="T133" s="67">
        <f>IF(G133="","",ABS(P133-Components!$D$5))</f>
        <v/>
      </c>
      <c r="U133" s="67">
        <f>IF(G133="","",ABS(P133-Components!$D$6))</f>
        <v/>
      </c>
      <c r="V133" s="67">
        <f>IF(G133="","",ABS(P133-Components!$D$7))</f>
        <v/>
      </c>
      <c r="W133" s="61">
        <f>IF(G133="","",IF(N133="OK","NONE",INDEX({"S1","S2","W1","W2","N1","N2"},MATCH(MIN(Q133:V133),Q133:V133,0))))</f>
        <v/>
      </c>
      <c r="X133" s="69">
        <f>IF(G133="","",IF(W133=E133,1,0))</f>
        <v/>
      </c>
      <c r="Y133" s="70" t="n"/>
    </row>
    <row r="134">
      <c r="A134" s="61" t="n">
        <v>32</v>
      </c>
      <c r="B134" s="62" t="n">
        <v>19</v>
      </c>
      <c r="C134" s="61" t="inlineStr">
        <is>
          <t>R4</t>
        </is>
      </c>
      <c r="D134" s="63" t="inlineStr">
        <is>
          <t>OK</t>
        </is>
      </c>
      <c r="E134" s="61" t="inlineStr">
        <is>
          <t>NONE</t>
        </is>
      </c>
      <c r="F134" s="61" t="inlineStr">
        <is>
          <t>K032</t>
        </is>
      </c>
      <c r="G134" s="75" t="n">
        <v>8.869999999999999</v>
      </c>
      <c r="H134" s="65" t="n"/>
      <c r="I134" s="66" t="n"/>
      <c r="J134" s="67">
        <f>VLOOKUP(C134,Recipes!$A$2:$N$4,10,FALSE())</f>
        <v/>
      </c>
      <c r="K134" s="68">
        <f>VLOOKUP(C134,Recipes!$A$2:$N$4,12,FALSE())</f>
        <v/>
      </c>
      <c r="L134" s="67">
        <f>J134-6*K134</f>
        <v/>
      </c>
      <c r="M134" s="67">
        <f>J134+6*K134</f>
        <v/>
      </c>
      <c r="N134" s="61">
        <f>IF(G134="","",IF(AND(G134&gt;=L134,G134&lt;=M134),"OK","NG"))</f>
        <v/>
      </c>
      <c r="O134" s="69">
        <f>IF(N134="","",IF(N134=D134,1,0))</f>
        <v/>
      </c>
      <c r="P134" s="67">
        <f>IF(G134="","",J134-G134)</f>
        <v/>
      </c>
      <c r="Q134" s="67">
        <f>IF(G134="","",ABS(P134-Components!$D$2))</f>
        <v/>
      </c>
      <c r="R134" s="67">
        <f>IF(G134="","",ABS(P134-Components!$D$3))</f>
        <v/>
      </c>
      <c r="S134" s="67">
        <f>IF(G134="","",ABS(P134-Components!$D$4))</f>
        <v/>
      </c>
      <c r="T134" s="67">
        <f>IF(G134="","",ABS(P134-Components!$D$5))</f>
        <v/>
      </c>
      <c r="U134" s="67">
        <f>IF(G134="","",ABS(P134-Components!$D$6))</f>
        <v/>
      </c>
      <c r="V134" s="67">
        <f>IF(G134="","",ABS(P134-Components!$D$7))</f>
        <v/>
      </c>
      <c r="W134" s="61">
        <f>IF(G134="","",IF(N134="OK","NONE",INDEX({"S1","S2","W1","W2","N1","N2"},MATCH(MIN(Q134:V134),Q134:V134,0))))</f>
        <v/>
      </c>
      <c r="X134" s="69">
        <f>IF(G134="","",IF(W134=E134,1,0))</f>
        <v/>
      </c>
      <c r="Y134" s="70" t="n"/>
    </row>
    <row r="135">
      <c r="A135" s="61" t="n">
        <v>33</v>
      </c>
      <c r="B135" s="62" t="n">
        <v>17</v>
      </c>
      <c r="C135" s="61" t="inlineStr">
        <is>
          <t>R4</t>
        </is>
      </c>
      <c r="D135" s="63" t="inlineStr">
        <is>
          <t>OK</t>
        </is>
      </c>
      <c r="E135" s="61" t="inlineStr">
        <is>
          <t>NONE</t>
        </is>
      </c>
      <c r="F135" s="61" t="inlineStr">
        <is>
          <t>K033</t>
        </is>
      </c>
      <c r="G135" s="75" t="n">
        <v>8.970000000000001</v>
      </c>
      <c r="H135" s="65" t="n"/>
      <c r="I135" s="66" t="n"/>
      <c r="J135" s="67">
        <f>VLOOKUP(C135,Recipes!$A$2:$N$4,10,FALSE())</f>
        <v/>
      </c>
      <c r="K135" s="68">
        <f>VLOOKUP(C135,Recipes!$A$2:$N$4,12,FALSE())</f>
        <v/>
      </c>
      <c r="L135" s="67">
        <f>J135-6*K135</f>
        <v/>
      </c>
      <c r="M135" s="67">
        <f>J135+6*K135</f>
        <v/>
      </c>
      <c r="N135" s="61">
        <f>IF(G135="","",IF(AND(G135&gt;=L135,G135&lt;=M135),"OK","NG"))</f>
        <v/>
      </c>
      <c r="O135" s="69">
        <f>IF(N135="","",IF(N135=D135,1,0))</f>
        <v/>
      </c>
      <c r="P135" s="67">
        <f>IF(G135="","",J135-G135)</f>
        <v/>
      </c>
      <c r="Q135" s="67">
        <f>IF(G135="","",ABS(P135-Components!$D$2))</f>
        <v/>
      </c>
      <c r="R135" s="67">
        <f>IF(G135="","",ABS(P135-Components!$D$3))</f>
        <v/>
      </c>
      <c r="S135" s="67">
        <f>IF(G135="","",ABS(P135-Components!$D$4))</f>
        <v/>
      </c>
      <c r="T135" s="67">
        <f>IF(G135="","",ABS(P135-Components!$D$5))</f>
        <v/>
      </c>
      <c r="U135" s="67">
        <f>IF(G135="","",ABS(P135-Components!$D$6))</f>
        <v/>
      </c>
      <c r="V135" s="67">
        <f>IF(G135="","",ABS(P135-Components!$D$7))</f>
        <v/>
      </c>
      <c r="W135" s="61">
        <f>IF(G135="","",IF(N135="OK","NONE",INDEX({"S1","S2","W1","W2","N1","N2"},MATCH(MIN(Q135:V135),Q135:V135,0))))</f>
        <v/>
      </c>
      <c r="X135" s="69">
        <f>IF(G135="","",IF(W135=E135,1,0))</f>
        <v/>
      </c>
      <c r="Y135" s="70" t="n"/>
    </row>
    <row r="136">
      <c r="A136" s="61" t="n">
        <v>34</v>
      </c>
      <c r="B136" s="62" t="n">
        <v>15</v>
      </c>
      <c r="C136" s="61" t="inlineStr">
        <is>
          <t>R4</t>
        </is>
      </c>
      <c r="D136" s="63" t="inlineStr">
        <is>
          <t>OK</t>
        </is>
      </c>
      <c r="E136" s="61" t="inlineStr">
        <is>
          <t>NONE</t>
        </is>
      </c>
      <c r="F136" s="61" t="inlineStr">
        <is>
          <t>K034</t>
        </is>
      </c>
      <c r="G136" s="75" t="n">
        <v>8.94</v>
      </c>
      <c r="H136" s="65" t="n"/>
      <c r="I136" s="66" t="n"/>
      <c r="J136" s="67">
        <f>VLOOKUP(C136,Recipes!$A$2:$N$4,10,FALSE())</f>
        <v/>
      </c>
      <c r="K136" s="68">
        <f>VLOOKUP(C136,Recipes!$A$2:$N$4,12,FALSE())</f>
        <v/>
      </c>
      <c r="L136" s="67">
        <f>J136-6*K136</f>
        <v/>
      </c>
      <c r="M136" s="67">
        <f>J136+6*K136</f>
        <v/>
      </c>
      <c r="N136" s="61">
        <f>IF(G136="","",IF(AND(G136&gt;=L136,G136&lt;=M136),"OK","NG"))</f>
        <v/>
      </c>
      <c r="O136" s="69">
        <f>IF(N136="","",IF(N136=D136,1,0))</f>
        <v/>
      </c>
      <c r="P136" s="67">
        <f>IF(G136="","",J136-G136)</f>
        <v/>
      </c>
      <c r="Q136" s="67">
        <f>IF(G136="","",ABS(P136-Components!$D$2))</f>
        <v/>
      </c>
      <c r="R136" s="67">
        <f>IF(G136="","",ABS(P136-Components!$D$3))</f>
        <v/>
      </c>
      <c r="S136" s="67">
        <f>IF(G136="","",ABS(P136-Components!$D$4))</f>
        <v/>
      </c>
      <c r="T136" s="67">
        <f>IF(G136="","",ABS(P136-Components!$D$5))</f>
        <v/>
      </c>
      <c r="U136" s="67">
        <f>IF(G136="","",ABS(P136-Components!$D$6))</f>
        <v/>
      </c>
      <c r="V136" s="67">
        <f>IF(G136="","",ABS(P136-Components!$D$7))</f>
        <v/>
      </c>
      <c r="W136" s="61">
        <f>IF(G136="","",IF(N136="OK","NONE",INDEX({"S1","S2","W1","W2","N1","N2"},MATCH(MIN(Q136:V136),Q136:V136,0))))</f>
        <v/>
      </c>
      <c r="X136" s="69">
        <f>IF(G136="","",IF(W136=E136,1,0))</f>
        <v/>
      </c>
      <c r="Y136" s="70" t="n"/>
    </row>
    <row r="137">
      <c r="A137" s="61" t="n">
        <v>35</v>
      </c>
      <c r="B137" s="62" t="n">
        <v>13</v>
      </c>
      <c r="C137" s="61" t="inlineStr">
        <is>
          <t>R4</t>
        </is>
      </c>
      <c r="D137" s="63" t="inlineStr">
        <is>
          <t>OK</t>
        </is>
      </c>
      <c r="E137" s="61" t="inlineStr">
        <is>
          <t>NONE</t>
        </is>
      </c>
      <c r="F137" s="61" t="inlineStr">
        <is>
          <t>K035</t>
        </is>
      </c>
      <c r="G137" s="75" t="n">
        <v>8.890000000000001</v>
      </c>
      <c r="H137" s="65" t="n"/>
      <c r="I137" s="66" t="n"/>
      <c r="J137" s="67">
        <f>VLOOKUP(C137,Recipes!$A$2:$N$4,10,FALSE())</f>
        <v/>
      </c>
      <c r="K137" s="68">
        <f>VLOOKUP(C137,Recipes!$A$2:$N$4,12,FALSE())</f>
        <v/>
      </c>
      <c r="L137" s="67">
        <f>J137-6*K137</f>
        <v/>
      </c>
      <c r="M137" s="67">
        <f>J137+6*K137</f>
        <v/>
      </c>
      <c r="N137" s="61">
        <f>IF(G137="","",IF(AND(G137&gt;=L137,G137&lt;=M137),"OK","NG"))</f>
        <v/>
      </c>
      <c r="O137" s="69">
        <f>IF(N137="","",IF(N137=D137,1,0))</f>
        <v/>
      </c>
      <c r="P137" s="67">
        <f>IF(G137="","",J137-G137)</f>
        <v/>
      </c>
      <c r="Q137" s="67">
        <f>IF(G137="","",ABS(P137-Components!$D$2))</f>
        <v/>
      </c>
      <c r="R137" s="67">
        <f>IF(G137="","",ABS(P137-Components!$D$3))</f>
        <v/>
      </c>
      <c r="S137" s="67">
        <f>IF(G137="","",ABS(P137-Components!$D$4))</f>
        <v/>
      </c>
      <c r="T137" s="67">
        <f>IF(G137="","",ABS(P137-Components!$D$5))</f>
        <v/>
      </c>
      <c r="U137" s="67">
        <f>IF(G137="","",ABS(P137-Components!$D$6))</f>
        <v/>
      </c>
      <c r="V137" s="67">
        <f>IF(G137="","",ABS(P137-Components!$D$7))</f>
        <v/>
      </c>
      <c r="W137" s="61">
        <f>IF(G137="","",IF(N137="OK","NONE",INDEX({"S1","S2","W1","W2","N1","N2"},MATCH(MIN(Q137:V137),Q137:V137,0))))</f>
        <v/>
      </c>
      <c r="X137" s="69">
        <f>IF(G137="","",IF(W137=E137,1,0))</f>
        <v/>
      </c>
      <c r="Y137" s="70" t="n"/>
    </row>
    <row r="138">
      <c r="A138" s="61" t="n">
        <v>36</v>
      </c>
      <c r="B138" s="62" t="n">
        <v>11</v>
      </c>
      <c r="C138" s="61" t="inlineStr">
        <is>
          <t>R4</t>
        </is>
      </c>
      <c r="D138" s="63" t="inlineStr">
        <is>
          <t>OK</t>
        </is>
      </c>
      <c r="E138" s="61" t="inlineStr">
        <is>
          <t>NONE</t>
        </is>
      </c>
      <c r="F138" s="61" t="inlineStr">
        <is>
          <t>K036</t>
        </is>
      </c>
      <c r="G138" s="75" t="n">
        <v>8.880000000000001</v>
      </c>
      <c r="H138" s="65" t="n"/>
      <c r="I138" s="66" t="n"/>
      <c r="J138" s="67">
        <f>VLOOKUP(C138,Recipes!$A$2:$N$4,10,FALSE())</f>
        <v/>
      </c>
      <c r="K138" s="68">
        <f>VLOOKUP(C138,Recipes!$A$2:$N$4,12,FALSE())</f>
        <v/>
      </c>
      <c r="L138" s="67">
        <f>J138-6*K138</f>
        <v/>
      </c>
      <c r="M138" s="67">
        <f>J138+6*K138</f>
        <v/>
      </c>
      <c r="N138" s="61">
        <f>IF(G138="","",IF(AND(G138&gt;=L138,G138&lt;=M138),"OK","NG"))</f>
        <v/>
      </c>
      <c r="O138" s="69">
        <f>IF(N138="","",IF(N138=D138,1,0))</f>
        <v/>
      </c>
      <c r="P138" s="67">
        <f>IF(G138="","",J138-G138)</f>
        <v/>
      </c>
      <c r="Q138" s="67">
        <f>IF(G138="","",ABS(P138-Components!$D$2))</f>
        <v/>
      </c>
      <c r="R138" s="67">
        <f>IF(G138="","",ABS(P138-Components!$D$3))</f>
        <v/>
      </c>
      <c r="S138" s="67">
        <f>IF(G138="","",ABS(P138-Components!$D$4))</f>
        <v/>
      </c>
      <c r="T138" s="67">
        <f>IF(G138="","",ABS(P138-Components!$D$5))</f>
        <v/>
      </c>
      <c r="U138" s="67">
        <f>IF(G138="","",ABS(P138-Components!$D$6))</f>
        <v/>
      </c>
      <c r="V138" s="67">
        <f>IF(G138="","",ABS(P138-Components!$D$7))</f>
        <v/>
      </c>
      <c r="W138" s="61">
        <f>IF(G138="","",IF(N138="OK","NONE",INDEX({"S1","S2","W1","W2","N1","N2"},MATCH(MIN(Q138:V138),Q138:V138,0))))</f>
        <v/>
      </c>
      <c r="X138" s="69">
        <f>IF(G138="","",IF(W138=E138,1,0))</f>
        <v/>
      </c>
      <c r="Y138" s="70" t="n"/>
    </row>
    <row r="139">
      <c r="A139" s="61" t="n">
        <v>37</v>
      </c>
      <c r="B139" s="62" t="n">
        <v>9</v>
      </c>
      <c r="C139" s="61" t="inlineStr">
        <is>
          <t>R4</t>
        </is>
      </c>
      <c r="D139" s="63" t="inlineStr">
        <is>
          <t>OK</t>
        </is>
      </c>
      <c r="E139" s="61" t="inlineStr">
        <is>
          <t>NONE</t>
        </is>
      </c>
      <c r="F139" s="61" t="inlineStr">
        <is>
          <t>K037</t>
        </is>
      </c>
      <c r="G139" s="75" t="n">
        <v>8.93</v>
      </c>
      <c r="H139" s="65" t="n"/>
      <c r="I139" s="66" t="n"/>
      <c r="J139" s="67">
        <f>VLOOKUP(C139,Recipes!$A$2:$N$4,10,FALSE())</f>
        <v/>
      </c>
      <c r="K139" s="68">
        <f>VLOOKUP(C139,Recipes!$A$2:$N$4,12,FALSE())</f>
        <v/>
      </c>
      <c r="L139" s="67">
        <f>J139-6*K139</f>
        <v/>
      </c>
      <c r="M139" s="67">
        <f>J139+6*K139</f>
        <v/>
      </c>
      <c r="N139" s="61">
        <f>IF(G139="","",IF(AND(G139&gt;=L139,G139&lt;=M139),"OK","NG"))</f>
        <v/>
      </c>
      <c r="O139" s="69">
        <f>IF(N139="","",IF(N139=D139,1,0))</f>
        <v/>
      </c>
      <c r="P139" s="67">
        <f>IF(G139="","",J139-G139)</f>
        <v/>
      </c>
      <c r="Q139" s="67">
        <f>IF(G139="","",ABS(P139-Components!$D$2))</f>
        <v/>
      </c>
      <c r="R139" s="67">
        <f>IF(G139="","",ABS(P139-Components!$D$3))</f>
        <v/>
      </c>
      <c r="S139" s="67">
        <f>IF(G139="","",ABS(P139-Components!$D$4))</f>
        <v/>
      </c>
      <c r="T139" s="67">
        <f>IF(G139="","",ABS(P139-Components!$D$5))</f>
        <v/>
      </c>
      <c r="U139" s="67">
        <f>IF(G139="","",ABS(P139-Components!$D$6))</f>
        <v/>
      </c>
      <c r="V139" s="67">
        <f>IF(G139="","",ABS(P139-Components!$D$7))</f>
        <v/>
      </c>
      <c r="W139" s="61">
        <f>IF(G139="","",IF(N139="OK","NONE",INDEX({"S1","S2","W1","W2","N1","N2"},MATCH(MIN(Q139:V139),Q139:V139,0))))</f>
        <v/>
      </c>
      <c r="X139" s="69">
        <f>IF(G139="","",IF(W139=E139,1,0))</f>
        <v/>
      </c>
      <c r="Y139" s="70" t="n"/>
    </row>
    <row r="140">
      <c r="A140" s="61" t="n">
        <v>38</v>
      </c>
      <c r="B140" s="62" t="n">
        <v>7</v>
      </c>
      <c r="C140" s="61" t="inlineStr">
        <is>
          <t>R4</t>
        </is>
      </c>
      <c r="D140" s="63" t="inlineStr">
        <is>
          <t>OK</t>
        </is>
      </c>
      <c r="E140" s="61" t="inlineStr">
        <is>
          <t>NONE</t>
        </is>
      </c>
      <c r="F140" s="61" t="inlineStr">
        <is>
          <t>K038</t>
        </is>
      </c>
      <c r="G140" s="75" t="n">
        <v>8.93</v>
      </c>
      <c r="H140" s="65" t="n"/>
      <c r="I140" s="66" t="n"/>
      <c r="J140" s="67">
        <f>VLOOKUP(C140,Recipes!$A$2:$N$4,10,FALSE())</f>
        <v/>
      </c>
      <c r="K140" s="68">
        <f>VLOOKUP(C140,Recipes!$A$2:$N$4,12,FALSE())</f>
        <v/>
      </c>
      <c r="L140" s="67">
        <f>J140-6*K140</f>
        <v/>
      </c>
      <c r="M140" s="67">
        <f>J140+6*K140</f>
        <v/>
      </c>
      <c r="N140" s="61">
        <f>IF(G140="","",IF(AND(G140&gt;=L140,G140&lt;=M140),"OK","NG"))</f>
        <v/>
      </c>
      <c r="O140" s="69">
        <f>IF(N140="","",IF(N140=D140,1,0))</f>
        <v/>
      </c>
      <c r="P140" s="67">
        <f>IF(G140="","",J140-G140)</f>
        <v/>
      </c>
      <c r="Q140" s="67">
        <f>IF(G140="","",ABS(P140-Components!$D$2))</f>
        <v/>
      </c>
      <c r="R140" s="67">
        <f>IF(G140="","",ABS(P140-Components!$D$3))</f>
        <v/>
      </c>
      <c r="S140" s="67">
        <f>IF(G140="","",ABS(P140-Components!$D$4))</f>
        <v/>
      </c>
      <c r="T140" s="67">
        <f>IF(G140="","",ABS(P140-Components!$D$5))</f>
        <v/>
      </c>
      <c r="U140" s="67">
        <f>IF(G140="","",ABS(P140-Components!$D$6))</f>
        <v/>
      </c>
      <c r="V140" s="67">
        <f>IF(G140="","",ABS(P140-Components!$D$7))</f>
        <v/>
      </c>
      <c r="W140" s="61">
        <f>IF(G140="","",IF(N140="OK","NONE",INDEX({"S1","S2","W1","W2","N1","N2"},MATCH(MIN(Q140:V140),Q140:V140,0))))</f>
        <v/>
      </c>
      <c r="X140" s="69">
        <f>IF(G140="","",IF(W140=E140,1,0))</f>
        <v/>
      </c>
      <c r="Y140" s="70" t="n"/>
    </row>
    <row r="141">
      <c r="A141" s="61" t="n">
        <v>39</v>
      </c>
      <c r="B141" s="62" t="n">
        <v>5</v>
      </c>
      <c r="C141" s="61" t="inlineStr">
        <is>
          <t>R4</t>
        </is>
      </c>
      <c r="D141" s="63" t="inlineStr">
        <is>
          <t>OK</t>
        </is>
      </c>
      <c r="E141" s="61" t="inlineStr">
        <is>
          <t>NONE</t>
        </is>
      </c>
      <c r="F141" s="61" t="inlineStr">
        <is>
          <t>K039</t>
        </is>
      </c>
      <c r="G141" s="75" t="n">
        <v>8.92</v>
      </c>
      <c r="H141" s="65" t="n"/>
      <c r="I141" s="66" t="n"/>
      <c r="J141" s="67">
        <f>VLOOKUP(C141,Recipes!$A$2:$N$4,10,FALSE())</f>
        <v/>
      </c>
      <c r="K141" s="68">
        <f>VLOOKUP(C141,Recipes!$A$2:$N$4,12,FALSE())</f>
        <v/>
      </c>
      <c r="L141" s="67">
        <f>J141-6*K141</f>
        <v/>
      </c>
      <c r="M141" s="67">
        <f>J141+6*K141</f>
        <v/>
      </c>
      <c r="N141" s="61">
        <f>IF(G141="","",IF(AND(G141&gt;=L141,G141&lt;=M141),"OK","NG"))</f>
        <v/>
      </c>
      <c r="O141" s="69">
        <f>IF(N141="","",IF(N141=D141,1,0))</f>
        <v/>
      </c>
      <c r="P141" s="67">
        <f>IF(G141="","",J141-G141)</f>
        <v/>
      </c>
      <c r="Q141" s="67">
        <f>IF(G141="","",ABS(P141-Components!$D$2))</f>
        <v/>
      </c>
      <c r="R141" s="67">
        <f>IF(G141="","",ABS(P141-Components!$D$3))</f>
        <v/>
      </c>
      <c r="S141" s="67">
        <f>IF(G141="","",ABS(P141-Components!$D$4))</f>
        <v/>
      </c>
      <c r="T141" s="67">
        <f>IF(G141="","",ABS(P141-Components!$D$5))</f>
        <v/>
      </c>
      <c r="U141" s="67">
        <f>IF(G141="","",ABS(P141-Components!$D$6))</f>
        <v/>
      </c>
      <c r="V141" s="67">
        <f>IF(G141="","",ABS(P141-Components!$D$7))</f>
        <v/>
      </c>
      <c r="W141" s="61">
        <f>IF(G141="","",IF(N141="OK","NONE",INDEX({"S1","S2","W1","W2","N1","N2"},MATCH(MIN(Q141:V141),Q141:V141,0))))</f>
        <v/>
      </c>
      <c r="X141" s="69">
        <f>IF(G141="","",IF(W141=E141,1,0))</f>
        <v/>
      </c>
      <c r="Y141" s="70" t="n"/>
    </row>
    <row r="142">
      <c r="A142" s="61" t="n">
        <v>40</v>
      </c>
      <c r="B142" s="62" t="n">
        <v>3</v>
      </c>
      <c r="C142" s="61" t="inlineStr">
        <is>
          <t>R4</t>
        </is>
      </c>
      <c r="D142" s="63" t="inlineStr">
        <is>
          <t>OK</t>
        </is>
      </c>
      <c r="E142" s="61" t="inlineStr">
        <is>
          <t>NONE</t>
        </is>
      </c>
      <c r="F142" s="61" t="inlineStr">
        <is>
          <t>K040</t>
        </is>
      </c>
      <c r="G142" s="75" t="n">
        <v>8.880000000000001</v>
      </c>
      <c r="H142" s="65" t="n"/>
      <c r="I142" s="66" t="n"/>
      <c r="J142" s="67">
        <f>VLOOKUP(C142,Recipes!$A$2:$N$4,10,FALSE())</f>
        <v/>
      </c>
      <c r="K142" s="68">
        <f>VLOOKUP(C142,Recipes!$A$2:$N$4,12,FALSE())</f>
        <v/>
      </c>
      <c r="L142" s="67">
        <f>J142-6*K142</f>
        <v/>
      </c>
      <c r="M142" s="67">
        <f>J142+6*K142</f>
        <v/>
      </c>
      <c r="N142" s="61">
        <f>IF(G142="","",IF(AND(G142&gt;=L142,G142&lt;=M142),"OK","NG"))</f>
        <v/>
      </c>
      <c r="O142" s="69">
        <f>IF(N142="","",IF(N142=D142,1,0))</f>
        <v/>
      </c>
      <c r="P142" s="67">
        <f>IF(G142="","",J142-G142)</f>
        <v/>
      </c>
      <c r="Q142" s="67">
        <f>IF(G142="","",ABS(P142-Components!$D$2))</f>
        <v/>
      </c>
      <c r="R142" s="67">
        <f>IF(G142="","",ABS(P142-Components!$D$3))</f>
        <v/>
      </c>
      <c r="S142" s="67">
        <f>IF(G142="","",ABS(P142-Components!$D$4))</f>
        <v/>
      </c>
      <c r="T142" s="67">
        <f>IF(G142="","",ABS(P142-Components!$D$5))</f>
        <v/>
      </c>
      <c r="U142" s="67">
        <f>IF(G142="","",ABS(P142-Components!$D$6))</f>
        <v/>
      </c>
      <c r="V142" s="67">
        <f>IF(G142="","",ABS(P142-Components!$D$7))</f>
        <v/>
      </c>
      <c r="W142" s="61">
        <f>IF(G142="","",IF(N142="OK","NONE",INDEX({"S1","S2","W1","W2","N1","N2"},MATCH(MIN(Q142:V142),Q142:V142,0))))</f>
        <v/>
      </c>
      <c r="X142" s="69">
        <f>IF(G142="","",IF(W142=E142,1,0))</f>
        <v/>
      </c>
      <c r="Y142" s="70" t="n"/>
    </row>
    <row r="143">
      <c r="A143" s="61" t="n">
        <v>41</v>
      </c>
      <c r="B143" s="62" t="n">
        <v>1</v>
      </c>
      <c r="C143" s="61" t="inlineStr">
        <is>
          <t>R4</t>
        </is>
      </c>
      <c r="D143" s="63" t="inlineStr">
        <is>
          <t>OK</t>
        </is>
      </c>
      <c r="E143" s="61" t="inlineStr">
        <is>
          <t>NONE</t>
        </is>
      </c>
      <c r="F143" s="61" t="inlineStr">
        <is>
          <t>K041</t>
        </is>
      </c>
      <c r="G143" s="75" t="n">
        <v>8.9</v>
      </c>
      <c r="H143" s="65" t="n"/>
      <c r="I143" s="66" t="n"/>
      <c r="J143" s="67">
        <f>VLOOKUP(C143,Recipes!$A$2:$N$4,10,FALSE())</f>
        <v/>
      </c>
      <c r="K143" s="68">
        <f>VLOOKUP(C143,Recipes!$A$2:$N$4,12,FALSE())</f>
        <v/>
      </c>
      <c r="L143" s="67">
        <f>J143-6*K143</f>
        <v/>
      </c>
      <c r="M143" s="67">
        <f>J143+6*K143</f>
        <v/>
      </c>
      <c r="N143" s="61">
        <f>IF(G143="","",IF(AND(G143&gt;=L143,G143&lt;=M143),"OK","NG"))</f>
        <v/>
      </c>
      <c r="O143" s="69">
        <f>IF(N143="","",IF(N143=D143,1,0))</f>
        <v/>
      </c>
      <c r="P143" s="67">
        <f>IF(G143="","",J143-G143)</f>
        <v/>
      </c>
      <c r="Q143" s="67">
        <f>IF(G143="","",ABS(P143-Components!$D$2))</f>
        <v/>
      </c>
      <c r="R143" s="67">
        <f>IF(G143="","",ABS(P143-Components!$D$3))</f>
        <v/>
      </c>
      <c r="S143" s="67">
        <f>IF(G143="","",ABS(P143-Components!$D$4))</f>
        <v/>
      </c>
      <c r="T143" s="67">
        <f>IF(G143="","",ABS(P143-Components!$D$5))</f>
        <v/>
      </c>
      <c r="U143" s="67">
        <f>IF(G143="","",ABS(P143-Components!$D$6))</f>
        <v/>
      </c>
      <c r="V143" s="67">
        <f>IF(G143="","",ABS(P143-Components!$D$7))</f>
        <v/>
      </c>
      <c r="W143" s="61">
        <f>IF(G143="","",IF(N143="OK","NONE",INDEX({"S1","S2","W1","W2","N1","N2"},MATCH(MIN(Q143:V143),Q143:V143,0))))</f>
        <v/>
      </c>
      <c r="X143" s="69">
        <f>IF(G143="","",IF(W143=E143,1,0))</f>
        <v/>
      </c>
      <c r="Y143" s="70" t="n"/>
    </row>
    <row r="144">
      <c r="A144" s="61" t="n">
        <v>42</v>
      </c>
      <c r="B144" s="62" t="n">
        <v>-1</v>
      </c>
      <c r="C144" s="61" t="inlineStr">
        <is>
          <t>R4</t>
        </is>
      </c>
      <c r="D144" s="63" t="inlineStr">
        <is>
          <t>OK</t>
        </is>
      </c>
      <c r="E144" s="61" t="inlineStr">
        <is>
          <t>NONE</t>
        </is>
      </c>
      <c r="F144" s="61" t="inlineStr">
        <is>
          <t>K042</t>
        </is>
      </c>
      <c r="G144" s="75" t="n">
        <v>8.869999999999999</v>
      </c>
      <c r="H144" s="65" t="n"/>
      <c r="I144" s="66" t="n"/>
      <c r="J144" s="67">
        <f>VLOOKUP(C144,Recipes!$A$2:$N$4,10,FALSE())</f>
        <v/>
      </c>
      <c r="K144" s="68">
        <f>VLOOKUP(C144,Recipes!$A$2:$N$4,12,FALSE())</f>
        <v/>
      </c>
      <c r="L144" s="67">
        <f>J144-6*K144</f>
        <v/>
      </c>
      <c r="M144" s="67">
        <f>J144+6*K144</f>
        <v/>
      </c>
      <c r="N144" s="61">
        <f>IF(G144="","",IF(AND(G144&gt;=L144,G144&lt;=M144),"OK","NG"))</f>
        <v/>
      </c>
      <c r="O144" s="69">
        <f>IF(N144="","",IF(N144=D144,1,0))</f>
        <v/>
      </c>
      <c r="P144" s="67">
        <f>IF(G144="","",J144-G144)</f>
        <v/>
      </c>
      <c r="Q144" s="67">
        <f>IF(G144="","",ABS(P144-Components!$D$2))</f>
        <v/>
      </c>
      <c r="R144" s="67">
        <f>IF(G144="","",ABS(P144-Components!$D$3))</f>
        <v/>
      </c>
      <c r="S144" s="67">
        <f>IF(G144="","",ABS(P144-Components!$D$4))</f>
        <v/>
      </c>
      <c r="T144" s="67">
        <f>IF(G144="","",ABS(P144-Components!$D$5))</f>
        <v/>
      </c>
      <c r="U144" s="67">
        <f>IF(G144="","",ABS(P144-Components!$D$6))</f>
        <v/>
      </c>
      <c r="V144" s="67">
        <f>IF(G144="","",ABS(P144-Components!$D$7))</f>
        <v/>
      </c>
      <c r="W144" s="61">
        <f>IF(G144="","",IF(N144="OK","NONE",INDEX({"S1","S2","W1","W2","N1","N2"},MATCH(MIN(Q144:V144),Q144:V144,0))))</f>
        <v/>
      </c>
      <c r="X144" s="69">
        <f>IF(G144="","",IF(W144=E144,1,0))</f>
        <v/>
      </c>
      <c r="Y144" s="70" t="n"/>
    </row>
    <row r="145">
      <c r="A145" s="61" t="n">
        <v>43</v>
      </c>
      <c r="B145" s="62" t="n">
        <v>-3</v>
      </c>
      <c r="C145" s="61" t="inlineStr">
        <is>
          <t>R4</t>
        </is>
      </c>
      <c r="D145" s="63" t="inlineStr">
        <is>
          <t>OK</t>
        </is>
      </c>
      <c r="E145" s="61" t="inlineStr">
        <is>
          <t>NONE</t>
        </is>
      </c>
      <c r="F145" s="61" t="inlineStr">
        <is>
          <t>K043</t>
        </is>
      </c>
      <c r="G145" s="75" t="n">
        <v>8.93</v>
      </c>
      <c r="H145" s="65" t="n"/>
      <c r="I145" s="66" t="n"/>
      <c r="J145" s="67">
        <f>VLOOKUP(C145,Recipes!$A$2:$N$4,10,FALSE())</f>
        <v/>
      </c>
      <c r="K145" s="68">
        <f>VLOOKUP(C145,Recipes!$A$2:$N$4,12,FALSE())</f>
        <v/>
      </c>
      <c r="L145" s="67">
        <f>J145-6*K145</f>
        <v/>
      </c>
      <c r="M145" s="67">
        <f>J145+6*K145</f>
        <v/>
      </c>
      <c r="N145" s="61">
        <f>IF(G145="","",IF(AND(G145&gt;=L145,G145&lt;=M145),"OK","NG"))</f>
        <v/>
      </c>
      <c r="O145" s="69">
        <f>IF(N145="","",IF(N145=D145,1,0))</f>
        <v/>
      </c>
      <c r="P145" s="67">
        <f>IF(G145="","",J145-G145)</f>
        <v/>
      </c>
      <c r="Q145" s="67">
        <f>IF(G145="","",ABS(P145-Components!$D$2))</f>
        <v/>
      </c>
      <c r="R145" s="67">
        <f>IF(G145="","",ABS(P145-Components!$D$3))</f>
        <v/>
      </c>
      <c r="S145" s="67">
        <f>IF(G145="","",ABS(P145-Components!$D$4))</f>
        <v/>
      </c>
      <c r="T145" s="67">
        <f>IF(G145="","",ABS(P145-Components!$D$5))</f>
        <v/>
      </c>
      <c r="U145" s="67">
        <f>IF(G145="","",ABS(P145-Components!$D$6))</f>
        <v/>
      </c>
      <c r="V145" s="67">
        <f>IF(G145="","",ABS(P145-Components!$D$7))</f>
        <v/>
      </c>
      <c r="W145" s="61">
        <f>IF(G145="","",IF(N145="OK","NONE",INDEX({"S1","S2","W1","W2","N1","N2"},MATCH(MIN(Q145:V145),Q145:V145,0))))</f>
        <v/>
      </c>
      <c r="X145" s="69">
        <f>IF(G145="","",IF(W145=E145,1,0))</f>
        <v/>
      </c>
      <c r="Y145" s="70" t="n"/>
    </row>
    <row r="146">
      <c r="A146" s="61" t="n">
        <v>44</v>
      </c>
      <c r="B146" s="62" t="n">
        <v>-5</v>
      </c>
      <c r="C146" s="61" t="inlineStr">
        <is>
          <t>R4</t>
        </is>
      </c>
      <c r="D146" s="63" t="inlineStr">
        <is>
          <t>OK</t>
        </is>
      </c>
      <c r="E146" s="61" t="inlineStr">
        <is>
          <t>NONE</t>
        </is>
      </c>
      <c r="F146" s="61" t="inlineStr">
        <is>
          <t>K044</t>
        </is>
      </c>
      <c r="G146" s="75" t="n">
        <v>8.94</v>
      </c>
      <c r="H146" s="65" t="n"/>
      <c r="I146" s="66" t="n"/>
      <c r="J146" s="67">
        <f>VLOOKUP(C146,Recipes!$A$2:$N$4,10,FALSE())</f>
        <v/>
      </c>
      <c r="K146" s="68">
        <f>VLOOKUP(C146,Recipes!$A$2:$N$4,12,FALSE())</f>
        <v/>
      </c>
      <c r="L146" s="67">
        <f>J146-6*K146</f>
        <v/>
      </c>
      <c r="M146" s="67">
        <f>J146+6*K146</f>
        <v/>
      </c>
      <c r="N146" s="61">
        <f>IF(G146="","",IF(AND(G146&gt;=L146,G146&lt;=M146),"OK","NG"))</f>
        <v/>
      </c>
      <c r="O146" s="69">
        <f>IF(N146="","",IF(N146=D146,1,0))</f>
        <v/>
      </c>
      <c r="P146" s="67">
        <f>IF(G146="","",J146-G146)</f>
        <v/>
      </c>
      <c r="Q146" s="67">
        <f>IF(G146="","",ABS(P146-Components!$D$2))</f>
        <v/>
      </c>
      <c r="R146" s="67">
        <f>IF(G146="","",ABS(P146-Components!$D$3))</f>
        <v/>
      </c>
      <c r="S146" s="67">
        <f>IF(G146="","",ABS(P146-Components!$D$4))</f>
        <v/>
      </c>
      <c r="T146" s="67">
        <f>IF(G146="","",ABS(P146-Components!$D$5))</f>
        <v/>
      </c>
      <c r="U146" s="67">
        <f>IF(G146="","",ABS(P146-Components!$D$6))</f>
        <v/>
      </c>
      <c r="V146" s="67">
        <f>IF(G146="","",ABS(P146-Components!$D$7))</f>
        <v/>
      </c>
      <c r="W146" s="61">
        <f>IF(G146="","",IF(N146="OK","NONE",INDEX({"S1","S2","W1","W2","N1","N2"},MATCH(MIN(Q146:V146),Q146:V146,0))))</f>
        <v/>
      </c>
      <c r="X146" s="69">
        <f>IF(G146="","",IF(W146=E146,1,0))</f>
        <v/>
      </c>
      <c r="Y146" s="70" t="n"/>
    </row>
    <row r="147">
      <c r="A147" s="61" t="n">
        <v>44</v>
      </c>
      <c r="B147" s="62" t="n">
        <v>-5</v>
      </c>
      <c r="C147" s="61" t="inlineStr">
        <is>
          <t>R4</t>
        </is>
      </c>
      <c r="D147" s="63" t="inlineStr">
        <is>
          <t>OK</t>
        </is>
      </c>
      <c r="E147" s="61" t="inlineStr">
        <is>
          <t>NONE</t>
        </is>
      </c>
      <c r="F147" s="61" t="inlineStr">
        <is>
          <t>K044</t>
        </is>
      </c>
      <c r="G147" s="75" t="n">
        <v>8.880000000000001</v>
      </c>
      <c r="H147" s="65" t="n"/>
      <c r="I147" s="66" t="n"/>
      <c r="J147" s="67">
        <f>VLOOKUP(C147,Recipes!$A$2:$N$4,10,FALSE())</f>
        <v/>
      </c>
      <c r="K147" s="68">
        <f>VLOOKUP(C147,Recipes!$A$2:$N$4,12,FALSE())</f>
        <v/>
      </c>
      <c r="L147" s="67">
        <f>J147-6*K147</f>
        <v/>
      </c>
      <c r="M147" s="67">
        <f>J147+6*K147</f>
        <v/>
      </c>
      <c r="N147" s="61">
        <f>IF(G147="","",IF(AND(G147&gt;=L147,G147&lt;=M147),"OK","NG"))</f>
        <v/>
      </c>
      <c r="O147" s="69">
        <f>IF(N147="","",IF(N147=D147,1,0))</f>
        <v/>
      </c>
      <c r="P147" s="67">
        <f>IF(G147="","",J147-G147)</f>
        <v/>
      </c>
      <c r="Q147" s="67">
        <f>IF(G147="","",ABS(P147-Components!$D$2))</f>
        <v/>
      </c>
      <c r="R147" s="67">
        <f>IF(G147="","",ABS(P147-Components!$D$3))</f>
        <v/>
      </c>
      <c r="S147" s="67">
        <f>IF(G147="","",ABS(P147-Components!$D$4))</f>
        <v/>
      </c>
      <c r="T147" s="67">
        <f>IF(G147="","",ABS(P147-Components!$D$5))</f>
        <v/>
      </c>
      <c r="U147" s="67">
        <f>IF(G147="","",ABS(P147-Components!$D$6))</f>
        <v/>
      </c>
      <c r="V147" s="67">
        <f>IF(G147="","",ABS(P147-Components!$D$7))</f>
        <v/>
      </c>
      <c r="W147" s="61">
        <f>IF(G147="","",IF(N147="OK","NONE",INDEX({"S1","S2","W1","W2","N1","N2"},MATCH(MIN(Q147:V147),Q147:V147,0))))</f>
        <v/>
      </c>
      <c r="X147" s="69">
        <f>IF(G147="","",IF(W147=E147,1,0))</f>
        <v/>
      </c>
      <c r="Y147" s="70" t="n"/>
    </row>
    <row r="148">
      <c r="A148" s="61" t="n">
        <v>44</v>
      </c>
      <c r="B148" s="62" t="n">
        <v>-5</v>
      </c>
      <c r="C148" s="61" t="inlineStr">
        <is>
          <t>R4</t>
        </is>
      </c>
      <c r="D148" s="63" t="inlineStr">
        <is>
          <t>OK</t>
        </is>
      </c>
      <c r="E148" s="61" t="inlineStr">
        <is>
          <t>NONE</t>
        </is>
      </c>
      <c r="F148" s="61" t="inlineStr">
        <is>
          <t>K044</t>
        </is>
      </c>
      <c r="G148" s="75" t="n">
        <v>8.890000000000001</v>
      </c>
      <c r="H148" s="65" t="n"/>
      <c r="I148" s="66" t="n"/>
      <c r="J148" s="67">
        <f>VLOOKUP(C148,Recipes!$A$2:$N$4,10,FALSE())</f>
        <v/>
      </c>
      <c r="K148" s="68">
        <f>VLOOKUP(C148,Recipes!$A$2:$N$4,12,FALSE())</f>
        <v/>
      </c>
      <c r="L148" s="67">
        <f>J148-6*K148</f>
        <v/>
      </c>
      <c r="M148" s="67">
        <f>J148+6*K148</f>
        <v/>
      </c>
      <c r="N148" s="61">
        <f>IF(G148="","",IF(AND(G148&gt;=L148,G148&lt;=M148),"OK","NG"))</f>
        <v/>
      </c>
      <c r="O148" s="69">
        <f>IF(N148="","",IF(N148=D148,1,0))</f>
        <v/>
      </c>
      <c r="P148" s="67">
        <f>IF(G148="","",J148-G148)</f>
        <v/>
      </c>
      <c r="Q148" s="67">
        <f>IF(G148="","",ABS(P148-Components!$D$2))</f>
        <v/>
      </c>
      <c r="R148" s="67">
        <f>IF(G148="","",ABS(P148-Components!$D$3))</f>
        <v/>
      </c>
      <c r="S148" s="67">
        <f>IF(G148="","",ABS(P148-Components!$D$4))</f>
        <v/>
      </c>
      <c r="T148" s="67">
        <f>IF(G148="","",ABS(P148-Components!$D$5))</f>
        <v/>
      </c>
      <c r="U148" s="67">
        <f>IF(G148="","",ABS(P148-Components!$D$6))</f>
        <v/>
      </c>
      <c r="V148" s="67">
        <f>IF(G148="","",ABS(P148-Components!$D$7))</f>
        <v/>
      </c>
      <c r="W148" s="61">
        <f>IF(G148="","",IF(N148="OK","NONE",INDEX({"S1","S2","W1","W2","N1","N2"},MATCH(MIN(Q148:V148),Q148:V148,0))))</f>
        <v/>
      </c>
      <c r="X148" s="69">
        <f>IF(G148="","",IF(W148=E148,1,0))</f>
        <v/>
      </c>
      <c r="Y148" s="70" t="n"/>
    </row>
    <row r="149">
      <c r="A149" s="61" t="n">
        <v>44</v>
      </c>
      <c r="B149" s="62" t="n">
        <v>-5</v>
      </c>
      <c r="C149" s="61" t="inlineStr">
        <is>
          <t>R4</t>
        </is>
      </c>
      <c r="D149" s="63" t="inlineStr">
        <is>
          <t>OK</t>
        </is>
      </c>
      <c r="E149" s="61" t="inlineStr">
        <is>
          <t>NONE</t>
        </is>
      </c>
      <c r="F149" s="61" t="inlineStr">
        <is>
          <t>K044</t>
        </is>
      </c>
      <c r="G149" s="75" t="n">
        <v>8.880000000000001</v>
      </c>
      <c r="H149" s="65" t="n"/>
      <c r="I149" s="66" t="n"/>
      <c r="J149" s="67">
        <f>VLOOKUP(C149,Recipes!$A$2:$N$4,10,FALSE())</f>
        <v/>
      </c>
      <c r="K149" s="68">
        <f>VLOOKUP(C149,Recipes!$A$2:$N$4,12,FALSE())</f>
        <v/>
      </c>
      <c r="L149" s="67">
        <f>J149-6*K149</f>
        <v/>
      </c>
      <c r="M149" s="67">
        <f>J149+6*K149</f>
        <v/>
      </c>
      <c r="N149" s="61">
        <f>IF(G149="","",IF(AND(G149&gt;=L149,G149&lt;=M149),"OK","NG"))</f>
        <v/>
      </c>
      <c r="O149" s="69">
        <f>IF(N149="","",IF(N149=D149,1,0))</f>
        <v/>
      </c>
      <c r="P149" s="67">
        <f>IF(G149="","",J149-G149)</f>
        <v/>
      </c>
      <c r="Q149" s="67">
        <f>IF(G149="","",ABS(P149-Components!$D$2))</f>
        <v/>
      </c>
      <c r="R149" s="67">
        <f>IF(G149="","",ABS(P149-Components!$D$3))</f>
        <v/>
      </c>
      <c r="S149" s="67">
        <f>IF(G149="","",ABS(P149-Components!$D$4))</f>
        <v/>
      </c>
      <c r="T149" s="67">
        <f>IF(G149="","",ABS(P149-Components!$D$5))</f>
        <v/>
      </c>
      <c r="U149" s="67">
        <f>IF(G149="","",ABS(P149-Components!$D$6))</f>
        <v/>
      </c>
      <c r="V149" s="67">
        <f>IF(G149="","",ABS(P149-Components!$D$7))</f>
        <v/>
      </c>
      <c r="W149" s="61">
        <f>IF(G149="","",IF(N149="OK","NONE",INDEX({"S1","S2","W1","W2","N1","N2"},MATCH(MIN(Q149:V149),Q149:V149,0))))</f>
        <v/>
      </c>
      <c r="X149" s="69">
        <f>IF(G149="","",IF(W149=E149,1,0))</f>
        <v/>
      </c>
      <c r="Y149" s="70" t="n"/>
    </row>
    <row r="150">
      <c r="A150" s="61" t="n">
        <v>44</v>
      </c>
      <c r="B150" s="62" t="n">
        <v>-5</v>
      </c>
      <c r="C150" s="61" t="inlineStr">
        <is>
          <t>R4</t>
        </is>
      </c>
      <c r="D150" s="63" t="inlineStr">
        <is>
          <t>OK</t>
        </is>
      </c>
      <c r="E150" s="61" t="inlineStr">
        <is>
          <t>NONE</t>
        </is>
      </c>
      <c r="F150" s="61" t="inlineStr">
        <is>
          <t>K044</t>
        </is>
      </c>
      <c r="G150" s="75" t="n">
        <v>8.710000000000001</v>
      </c>
      <c r="H150" s="65" t="n"/>
      <c r="I150" s="66" t="n"/>
      <c r="J150" s="67">
        <f>VLOOKUP(C150,Recipes!$A$2:$N$4,10,FALSE())</f>
        <v/>
      </c>
      <c r="K150" s="68">
        <f>VLOOKUP(C150,Recipes!$A$2:$N$4,12,FALSE())</f>
        <v/>
      </c>
      <c r="L150" s="67">
        <f>J150-6*K150</f>
        <v/>
      </c>
      <c r="M150" s="67">
        <f>J150+6*K150</f>
        <v/>
      </c>
      <c r="N150" s="61">
        <f>IF(G150="","",IF(AND(G150&gt;=L150,G150&lt;=M150),"OK","NG"))</f>
        <v/>
      </c>
      <c r="O150" s="69">
        <f>IF(N150="","",IF(N150=D150,1,0))</f>
        <v/>
      </c>
      <c r="P150" s="67">
        <f>IF(G150="","",J150-G150)</f>
        <v/>
      </c>
      <c r="Q150" s="67">
        <f>IF(G150="","",ABS(P150-Components!$D$2))</f>
        <v/>
      </c>
      <c r="R150" s="67">
        <f>IF(G150="","",ABS(P150-Components!$D$3))</f>
        <v/>
      </c>
      <c r="S150" s="67">
        <f>IF(G150="","",ABS(P150-Components!$D$4))</f>
        <v/>
      </c>
      <c r="T150" s="67">
        <f>IF(G150="","",ABS(P150-Components!$D$5))</f>
        <v/>
      </c>
      <c r="U150" s="67">
        <f>IF(G150="","",ABS(P150-Components!$D$6))</f>
        <v/>
      </c>
      <c r="V150" s="67">
        <f>IF(G150="","",ABS(P150-Components!$D$7))</f>
        <v/>
      </c>
      <c r="W150" s="61">
        <f>IF(G150="","",IF(N150="OK","NONE",INDEX({"S1","S2","W1","W2","N1","N2"},MATCH(MIN(Q150:V150),Q150:V150,0))))</f>
        <v/>
      </c>
      <c r="X150" s="71">
        <f>IF(G150="","",IF(W150=E150,1,0))</f>
        <v/>
      </c>
      <c r="Y150" s="70" t="n"/>
    </row>
    <row r="151">
      <c r="A151" s="61" t="n">
        <v>44</v>
      </c>
      <c r="B151" s="62" t="n">
        <v>-5</v>
      </c>
      <c r="C151" s="61" t="inlineStr">
        <is>
          <t>R4</t>
        </is>
      </c>
      <c r="D151" s="63" t="inlineStr">
        <is>
          <t>OK</t>
        </is>
      </c>
      <c r="E151" s="61" t="inlineStr">
        <is>
          <t>NONE</t>
        </is>
      </c>
      <c r="F151" s="61" t="inlineStr">
        <is>
          <t>K044</t>
        </is>
      </c>
      <c r="G151" s="75" t="n">
        <v>8.94</v>
      </c>
      <c r="H151" s="65" t="n"/>
      <c r="I151" s="66" t="n"/>
      <c r="J151" s="67">
        <f>VLOOKUP(C151,Recipes!$A$2:$N$4,10,FALSE())</f>
        <v/>
      </c>
      <c r="K151" s="68">
        <f>VLOOKUP(C151,Recipes!$A$2:$N$4,12,FALSE())</f>
        <v/>
      </c>
      <c r="L151" s="67">
        <f>J151-6*K151</f>
        <v/>
      </c>
      <c r="M151" s="67">
        <f>J151+6*K151</f>
        <v/>
      </c>
      <c r="N151" s="61">
        <f>IF(G151="","",IF(AND(G151&gt;=L151,G151&lt;=M151),"OK","NG"))</f>
        <v/>
      </c>
      <c r="O151" s="69">
        <f>IF(N151="","",IF(N151=D151,1,0))</f>
        <v/>
      </c>
      <c r="P151" s="67">
        <f>IF(G151="","",J151-G151)</f>
        <v/>
      </c>
      <c r="Q151" s="67">
        <f>IF(G151="","",ABS(P151-Components!$D$2))</f>
        <v/>
      </c>
      <c r="R151" s="67">
        <f>IF(G151="","",ABS(P151-Components!$D$3))</f>
        <v/>
      </c>
      <c r="S151" s="67">
        <f>IF(G151="","",ABS(P151-Components!$D$4))</f>
        <v/>
      </c>
      <c r="T151" s="67">
        <f>IF(G151="","",ABS(P151-Components!$D$5))</f>
        <v/>
      </c>
      <c r="U151" s="67">
        <f>IF(G151="","",ABS(P151-Components!$D$6))</f>
        <v/>
      </c>
      <c r="V151" s="67">
        <f>IF(G151="","",ABS(P151-Components!$D$7))</f>
        <v/>
      </c>
      <c r="W151" s="61">
        <f>IF(G151="","",IF(N151="OK","NONE",INDEX({"S1","S2","W1","W2","N1","N2"},MATCH(MIN(Q151:V151),Q151:V151,0))))</f>
        <v/>
      </c>
      <c r="X151" s="69">
        <f>IF(G151="","",IF(W151=E151,1,0))</f>
        <v/>
      </c>
      <c r="Y151" s="70" t="n"/>
    </row>
    <row r="152">
      <c r="A152" s="61" t="n">
        <v>45</v>
      </c>
      <c r="B152" s="62" t="n">
        <v>-7</v>
      </c>
      <c r="C152" s="61" t="inlineStr">
        <is>
          <t>R4</t>
        </is>
      </c>
      <c r="D152" s="63" t="inlineStr">
        <is>
          <t>OK</t>
        </is>
      </c>
      <c r="E152" s="61" t="inlineStr">
        <is>
          <t>NONE</t>
        </is>
      </c>
      <c r="F152" s="61" t="inlineStr">
        <is>
          <t>K045</t>
        </is>
      </c>
      <c r="G152" s="75" t="n">
        <v>8.970000000000001</v>
      </c>
      <c r="H152" s="65" t="n"/>
      <c r="I152" s="66" t="n"/>
      <c r="J152" s="67">
        <f>VLOOKUP(C152,Recipes!$A$2:$N$4,10,FALSE())</f>
        <v/>
      </c>
      <c r="K152" s="68">
        <f>VLOOKUP(C152,Recipes!$A$2:$N$4,12,FALSE())</f>
        <v/>
      </c>
      <c r="L152" s="67">
        <f>J152-6*K152</f>
        <v/>
      </c>
      <c r="M152" s="67">
        <f>J152+6*K152</f>
        <v/>
      </c>
      <c r="N152" s="61">
        <f>IF(G152="","",IF(AND(G152&gt;=L152,G152&lt;=M152),"OK","NG"))</f>
        <v/>
      </c>
      <c r="O152" s="69">
        <f>IF(N152="","",IF(N152=D152,1,0))</f>
        <v/>
      </c>
      <c r="P152" s="67">
        <f>IF(G152="","",J152-G152)</f>
        <v/>
      </c>
      <c r="Q152" s="67">
        <f>IF(G152="","",ABS(P152-Components!$D$2))</f>
        <v/>
      </c>
      <c r="R152" s="67">
        <f>IF(G152="","",ABS(P152-Components!$D$3))</f>
        <v/>
      </c>
      <c r="S152" s="67">
        <f>IF(G152="","",ABS(P152-Components!$D$4))</f>
        <v/>
      </c>
      <c r="T152" s="67">
        <f>IF(G152="","",ABS(P152-Components!$D$5))</f>
        <v/>
      </c>
      <c r="U152" s="67">
        <f>IF(G152="","",ABS(P152-Components!$D$6))</f>
        <v/>
      </c>
      <c r="V152" s="67">
        <f>IF(G152="","",ABS(P152-Components!$D$7))</f>
        <v/>
      </c>
      <c r="W152" s="61">
        <f>IF(G152="","",IF(N152="OK","NONE",INDEX({"S1","S2","W1","W2","N1","N2"},MATCH(MIN(Q152:V152),Q152:V152,0))))</f>
        <v/>
      </c>
      <c r="X152" s="69">
        <f>IF(G152="","",IF(W152=E152,1,0))</f>
        <v/>
      </c>
      <c r="Y152" s="70" t="n"/>
    </row>
    <row r="153">
      <c r="A153" s="61" t="n">
        <v>26</v>
      </c>
      <c r="B153" s="62" t="n">
        <v>25</v>
      </c>
      <c r="C153" s="61" t="inlineStr">
        <is>
          <t>R4</t>
        </is>
      </c>
      <c r="D153" s="74" t="inlineStr">
        <is>
          <t>NG</t>
        </is>
      </c>
      <c r="E153" s="61" t="inlineStr">
        <is>
          <t>S1</t>
        </is>
      </c>
      <c r="F153" s="61" t="inlineStr">
        <is>
          <t>K026</t>
        </is>
      </c>
      <c r="G153" s="64" t="n">
        <v>6.18</v>
      </c>
      <c r="H153" s="65" t="n"/>
      <c r="I153" s="66" t="n"/>
      <c r="J153" s="67">
        <f>VLOOKUP(C153,Recipes!$A$2:$N$4,10,FALSE())</f>
        <v/>
      </c>
      <c r="K153" s="68">
        <f>VLOOKUP(C153,Recipes!$A$2:$N$4,12,FALSE())</f>
        <v/>
      </c>
      <c r="L153" s="67">
        <f>J153-6*K153</f>
        <v/>
      </c>
      <c r="M153" s="67">
        <f>J153+6*K153</f>
        <v/>
      </c>
      <c r="N153" s="61">
        <f>IF(G153="","",IF(AND(G153&gt;=L153,G153&lt;=M153),"OK","NG"))</f>
        <v/>
      </c>
      <c r="O153" s="69">
        <f>IF(N153="","",IF(N153=D153,1,0))</f>
        <v/>
      </c>
      <c r="P153" s="67">
        <f>IF(G153="","",J153-G153)</f>
        <v/>
      </c>
      <c r="Q153" s="67">
        <f>IF(G153="","",ABS(P153-Components!$D$2))</f>
        <v/>
      </c>
      <c r="R153" s="67">
        <f>IF(G153="","",ABS(P153-Components!$D$3))</f>
        <v/>
      </c>
      <c r="S153" s="67">
        <f>IF(G153="","",ABS(P153-Components!$D$4))</f>
        <v/>
      </c>
      <c r="T153" s="67">
        <f>IF(G153="","",ABS(P153-Components!$D$5))</f>
        <v/>
      </c>
      <c r="U153" s="67">
        <f>IF(G153="","",ABS(P153-Components!$D$6))</f>
        <v/>
      </c>
      <c r="V153" s="67">
        <f>IF(G153="","",ABS(P153-Components!$D$7))</f>
        <v/>
      </c>
      <c r="W153" s="61">
        <f>IF(G153="","",IF(N153="OK","NONE",INDEX({"S1","S2","W1","W2","N1","N2"},MATCH(MIN(Q153:V153),Q153:V153,0))))</f>
        <v/>
      </c>
      <c r="X153" s="69">
        <f>IF(G153="","",IF(W153=E153,1,0))</f>
        <v/>
      </c>
      <c r="Y153" s="70" t="n"/>
    </row>
    <row r="154">
      <c r="A154" s="61" t="n">
        <v>27</v>
      </c>
      <c r="B154" s="62" t="n">
        <v>1</v>
      </c>
      <c r="C154" s="61" t="inlineStr">
        <is>
          <t>R4</t>
        </is>
      </c>
      <c r="D154" s="74" t="inlineStr">
        <is>
          <t>NG</t>
        </is>
      </c>
      <c r="E154" s="61" t="inlineStr">
        <is>
          <t>S1</t>
        </is>
      </c>
      <c r="F154" s="61" t="inlineStr">
        <is>
          <t>K027</t>
        </is>
      </c>
      <c r="G154" s="64" t="n">
        <v>6.18</v>
      </c>
      <c r="H154" s="65" t="n"/>
      <c r="I154" s="66" t="n"/>
      <c r="J154" s="67">
        <f>VLOOKUP(C154,Recipes!$A$2:$N$4,10,FALSE())</f>
        <v/>
      </c>
      <c r="K154" s="68">
        <f>VLOOKUP(C154,Recipes!$A$2:$N$4,12,FALSE())</f>
        <v/>
      </c>
      <c r="L154" s="67">
        <f>J154-6*K154</f>
        <v/>
      </c>
      <c r="M154" s="67">
        <f>J154+6*K154</f>
        <v/>
      </c>
      <c r="N154" s="61">
        <f>IF(G154="","",IF(AND(G154&gt;=L154,G154&lt;=M154),"OK","NG"))</f>
        <v/>
      </c>
      <c r="O154" s="69">
        <f>IF(N154="","",IF(N154=D154,1,0))</f>
        <v/>
      </c>
      <c r="P154" s="67">
        <f>IF(G154="","",J154-G154)</f>
        <v/>
      </c>
      <c r="Q154" s="67">
        <f>IF(G154="","",ABS(P154-Components!$D$2))</f>
        <v/>
      </c>
      <c r="R154" s="67">
        <f>IF(G154="","",ABS(P154-Components!$D$3))</f>
        <v/>
      </c>
      <c r="S154" s="67">
        <f>IF(G154="","",ABS(P154-Components!$D$4))</f>
        <v/>
      </c>
      <c r="T154" s="67">
        <f>IF(G154="","",ABS(P154-Components!$D$5))</f>
        <v/>
      </c>
      <c r="U154" s="67">
        <f>IF(G154="","",ABS(P154-Components!$D$6))</f>
        <v/>
      </c>
      <c r="V154" s="67">
        <f>IF(G154="","",ABS(P154-Components!$D$7))</f>
        <v/>
      </c>
      <c r="W154" s="61">
        <f>IF(G154="","",IF(N154="OK","NONE",INDEX({"S1","S2","W1","W2","N1","N2"},MATCH(MIN(Q154:V154),Q154:V154,0))))</f>
        <v/>
      </c>
      <c r="X154" s="69">
        <f>IF(G154="","",IF(W154=E154,1,0))</f>
        <v/>
      </c>
      <c r="Y154" s="70" t="n"/>
    </row>
    <row r="155">
      <c r="A155" s="61" t="n">
        <v>28</v>
      </c>
      <c r="B155" s="62" t="n">
        <v>26</v>
      </c>
      <c r="C155" s="61" t="inlineStr">
        <is>
          <t>R4</t>
        </is>
      </c>
      <c r="D155" s="74" t="inlineStr">
        <is>
          <t>NG</t>
        </is>
      </c>
      <c r="E155" s="61" t="inlineStr">
        <is>
          <t>S1</t>
        </is>
      </c>
      <c r="F155" s="61" t="inlineStr">
        <is>
          <t>K028</t>
        </is>
      </c>
      <c r="G155" s="64" t="n">
        <v>6.15</v>
      </c>
      <c r="H155" s="65" t="n"/>
      <c r="I155" s="66" t="n"/>
      <c r="J155" s="67">
        <f>VLOOKUP(C155,Recipes!$A$2:$N$4,10,FALSE())</f>
        <v/>
      </c>
      <c r="K155" s="68">
        <f>VLOOKUP(C155,Recipes!$A$2:$N$4,12,FALSE())</f>
        <v/>
      </c>
      <c r="L155" s="67">
        <f>J155-6*K155</f>
        <v/>
      </c>
      <c r="M155" s="67">
        <f>J155+6*K155</f>
        <v/>
      </c>
      <c r="N155" s="61">
        <f>IF(G155="","",IF(AND(G155&gt;=L155,G155&lt;=M155),"OK","NG"))</f>
        <v/>
      </c>
      <c r="O155" s="69">
        <f>IF(N155="","",IF(N155=D155,1,0))</f>
        <v/>
      </c>
      <c r="P155" s="67">
        <f>IF(G155="","",J155-G155)</f>
        <v/>
      </c>
      <c r="Q155" s="67">
        <f>IF(G155="","",ABS(P155-Components!$D$2))</f>
        <v/>
      </c>
      <c r="R155" s="67">
        <f>IF(G155="","",ABS(P155-Components!$D$3))</f>
        <v/>
      </c>
      <c r="S155" s="67">
        <f>IF(G155="","",ABS(P155-Components!$D$4))</f>
        <v/>
      </c>
      <c r="T155" s="67">
        <f>IF(G155="","",ABS(P155-Components!$D$5))</f>
        <v/>
      </c>
      <c r="U155" s="67">
        <f>IF(G155="","",ABS(P155-Components!$D$6))</f>
        <v/>
      </c>
      <c r="V155" s="67">
        <f>IF(G155="","",ABS(P155-Components!$D$7))</f>
        <v/>
      </c>
      <c r="W155" s="61">
        <f>IF(G155="","",IF(N155="OK","NONE",INDEX({"S1","S2","W1","W2","N1","N2"},MATCH(MIN(Q155:V155),Q155:V155,0))))</f>
        <v/>
      </c>
      <c r="X155" s="69">
        <f>IF(G155="","",IF(W155=E155,1,0))</f>
        <v/>
      </c>
      <c r="Y155" s="70" t="n"/>
    </row>
    <row r="156">
      <c r="A156" s="61" t="n">
        <v>29</v>
      </c>
      <c r="B156" s="62" t="n">
        <v>52</v>
      </c>
      <c r="C156" s="61" t="inlineStr">
        <is>
          <t>R4</t>
        </is>
      </c>
      <c r="D156" s="74" t="inlineStr">
        <is>
          <t>NG</t>
        </is>
      </c>
      <c r="E156" s="61" t="inlineStr">
        <is>
          <t>S1</t>
        </is>
      </c>
      <c r="F156" s="61" t="inlineStr">
        <is>
          <t>K029</t>
        </is>
      </c>
      <c r="G156" s="64" t="n">
        <v>6.12</v>
      </c>
      <c r="H156" s="65" t="n"/>
      <c r="I156" s="66" t="n"/>
      <c r="J156" s="67">
        <f>VLOOKUP(C156,Recipes!$A$2:$N$4,10,FALSE())</f>
        <v/>
      </c>
      <c r="K156" s="68">
        <f>VLOOKUP(C156,Recipes!$A$2:$N$4,12,FALSE())</f>
        <v/>
      </c>
      <c r="L156" s="67">
        <f>J156-6*K156</f>
        <v/>
      </c>
      <c r="M156" s="67">
        <f>J156+6*K156</f>
        <v/>
      </c>
      <c r="N156" s="61">
        <f>IF(G156="","",IF(AND(G156&gt;=L156,G156&lt;=M156),"OK","NG"))</f>
        <v/>
      </c>
      <c r="O156" s="69">
        <f>IF(N156="","",IF(N156=D156,1,0))</f>
        <v/>
      </c>
      <c r="P156" s="67">
        <f>IF(G156="","",J156-G156)</f>
        <v/>
      </c>
      <c r="Q156" s="67">
        <f>IF(G156="","",ABS(P156-Components!$D$2))</f>
        <v/>
      </c>
      <c r="R156" s="67">
        <f>IF(G156="","",ABS(P156-Components!$D$3))</f>
        <v/>
      </c>
      <c r="S156" s="67">
        <f>IF(G156="","",ABS(P156-Components!$D$4))</f>
        <v/>
      </c>
      <c r="T156" s="67">
        <f>IF(G156="","",ABS(P156-Components!$D$5))</f>
        <v/>
      </c>
      <c r="U156" s="67">
        <f>IF(G156="","",ABS(P156-Components!$D$6))</f>
        <v/>
      </c>
      <c r="V156" s="67">
        <f>IF(G156="","",ABS(P156-Components!$D$7))</f>
        <v/>
      </c>
      <c r="W156" s="61">
        <f>IF(G156="","",IF(N156="OK","NONE",INDEX({"S1","S2","W1","W2","N1","N2"},MATCH(MIN(Q156:V156),Q156:V156,0))))</f>
        <v/>
      </c>
      <c r="X156" s="69">
        <f>IF(G156="","",IF(W156=E156,1,0))</f>
        <v/>
      </c>
      <c r="Y156" s="70" t="n"/>
    </row>
    <row r="157">
      <c r="A157" s="76" t="n">
        <v>41</v>
      </c>
      <c r="B157" s="77" t="n">
        <v>7</v>
      </c>
      <c r="C157" s="76" t="inlineStr">
        <is>
          <t>R4</t>
        </is>
      </c>
      <c r="D157" s="78" t="inlineStr">
        <is>
          <t>NG</t>
        </is>
      </c>
      <c r="E157" s="76" t="inlineStr">
        <is>
          <t>S1</t>
        </is>
      </c>
      <c r="F157" s="76" t="inlineStr">
        <is>
          <t>K041</t>
        </is>
      </c>
      <c r="G157" s="75" t="n">
        <v>6.16</v>
      </c>
      <c r="H157" s="65" t="n"/>
      <c r="I157" s="66" t="n"/>
      <c r="J157" s="67">
        <f>VLOOKUP(C155,Recipes!$A$2:$N$4,10,FALSE())</f>
        <v/>
      </c>
      <c r="K157" s="68">
        <f>VLOOKUP(C157,Recipes!$A$2:$N$4,12,FALSE())</f>
        <v/>
      </c>
      <c r="L157" s="67">
        <f>J157-6*K157</f>
        <v/>
      </c>
      <c r="M157" s="67">
        <f>J157+6*K157</f>
        <v/>
      </c>
      <c r="N157" s="61">
        <f>IF(G157="","",IF(AND(G157&gt;=L157,G157&lt;=M157),"OK","NG"))</f>
        <v/>
      </c>
      <c r="O157" s="69">
        <f>IF(N157="","",IF(N157=D157,1,0))</f>
        <v/>
      </c>
      <c r="P157" s="67">
        <f>IF(G157="","",J157-G157)</f>
        <v/>
      </c>
      <c r="Q157" s="67">
        <f>IF(G157="","",ABS(P157-Components!$D$2))</f>
        <v/>
      </c>
      <c r="R157" s="67">
        <f>IF(G157="","",ABS(P157-Components!$D$3))</f>
        <v/>
      </c>
      <c r="S157" s="67">
        <f>IF(G157="","",ABS(P157-Components!$D$3))</f>
        <v/>
      </c>
      <c r="T157" s="67">
        <f>IF(G157="","",ABS(P157-Components!$D$5))</f>
        <v/>
      </c>
      <c r="U157" s="67">
        <f>IF(G157="","",ABS(P157-Components!$D$6))</f>
        <v/>
      </c>
      <c r="V157" s="67">
        <f>IF(G157="","",ABS(P157-Components!$D$7))</f>
        <v/>
      </c>
      <c r="W157" s="61">
        <f>IF(G157="","",IF(N157="OK","NONE",INDEX({"S1","S2","W1","W2","N1","N2"},MATCH(MIN(Q157:V157),Q157:V157,0))))</f>
        <v/>
      </c>
      <c r="X157" s="69">
        <f>IF(G157="","",IF(W157=E157,1,0))</f>
        <v/>
      </c>
      <c r="Y157" s="70" t="n"/>
    </row>
    <row r="158">
      <c r="A158" s="61" t="n">
        <v>39.8</v>
      </c>
      <c r="B158" s="62" t="n">
        <v>26.7</v>
      </c>
      <c r="C158" s="61" t="inlineStr">
        <is>
          <t>R4</t>
        </is>
      </c>
      <c r="D158" s="74" t="inlineStr">
        <is>
          <t>NG</t>
        </is>
      </c>
      <c r="E158" s="61" t="inlineStr">
        <is>
          <t>S1</t>
        </is>
      </c>
      <c r="F158" s="61" t="inlineStr">
        <is>
          <t>K026</t>
        </is>
      </c>
      <c r="G158" s="75" t="n">
        <v>6.19</v>
      </c>
      <c r="H158" s="65" t="n"/>
      <c r="I158" s="66" t="n"/>
      <c r="J158" s="67">
        <f>VLOOKUP(C158,Recipes!$A$2:$N$4,10,FALSE())</f>
        <v/>
      </c>
      <c r="K158" s="68">
        <f>VLOOKUP(C158,Recipes!$A$2:$N$4,12,FALSE())</f>
        <v/>
      </c>
      <c r="L158" s="67">
        <f>J158-6*K158</f>
        <v/>
      </c>
      <c r="M158" s="67">
        <f>J158+6*K158</f>
        <v/>
      </c>
      <c r="N158" s="61">
        <f>IF(G158="","",IF(AND(G158&gt;=L158,G158&lt;=M158),"OK","NG"))</f>
        <v/>
      </c>
      <c r="O158" s="69">
        <f>IF(N158="","",IF(N158=D158,1,0))</f>
        <v/>
      </c>
      <c r="P158" s="67">
        <f>IF(G158="","",J158-G158)</f>
        <v/>
      </c>
      <c r="Q158" s="67">
        <f>IF(G158="","",ABS(P158-Components!$D$2))</f>
        <v/>
      </c>
      <c r="R158" s="67">
        <f>IF(G158="","",ABS(P158-Components!$D$3))</f>
        <v/>
      </c>
      <c r="S158" s="67">
        <f>IF(G158="","",ABS(P158-Components!$D$4))</f>
        <v/>
      </c>
      <c r="T158" s="67">
        <f>IF(G158="","",ABS(P158-Components!$D$5))</f>
        <v/>
      </c>
      <c r="U158" s="67">
        <f>IF(G158="","",ABS(P158-Components!$D$6))</f>
        <v/>
      </c>
      <c r="V158" s="67">
        <f>IF(G158="","",ABS(P158-Components!$D$7))</f>
        <v/>
      </c>
      <c r="W158" s="61">
        <f>IF(G158="","",IF(N158="OK","NONE",INDEX({"S1","S2","W1","W2","N1","N2"},MATCH(MIN(Q158:V158),Q158:V158,0))))</f>
        <v/>
      </c>
      <c r="X158" s="69">
        <f>IF(G158="","",IF(W158=E158,1,0))</f>
        <v/>
      </c>
      <c r="Y158" s="70" t="n"/>
    </row>
    <row r="159">
      <c r="A159" s="61" t="n">
        <v>43</v>
      </c>
      <c r="B159" s="62" t="n">
        <v>28.2</v>
      </c>
      <c r="C159" s="61" t="inlineStr">
        <is>
          <t>R4</t>
        </is>
      </c>
      <c r="D159" s="74" t="inlineStr">
        <is>
          <t>NG</t>
        </is>
      </c>
      <c r="E159" s="61" t="inlineStr">
        <is>
          <t>S1</t>
        </is>
      </c>
      <c r="F159" s="61" t="inlineStr">
        <is>
          <t>K027</t>
        </is>
      </c>
      <c r="G159" s="75" t="n">
        <v>6.18</v>
      </c>
      <c r="H159" s="65" t="n"/>
      <c r="I159" s="66" t="n"/>
      <c r="J159" s="67">
        <f>VLOOKUP(C159,Recipes!$A$2:$N$4,10,FALSE())</f>
        <v/>
      </c>
      <c r="K159" s="68">
        <f>VLOOKUP(C159,Recipes!$A$2:$N$4,12,FALSE())</f>
        <v/>
      </c>
      <c r="L159" s="67">
        <f>J159-6*K159</f>
        <v/>
      </c>
      <c r="M159" s="67">
        <f>J159+6*K159</f>
        <v/>
      </c>
      <c r="N159" s="61">
        <f>IF(G159="","",IF(AND(G159&gt;=L159,G159&lt;=M159),"OK","NG"))</f>
        <v/>
      </c>
      <c r="O159" s="69">
        <f>IF(N159="","",IF(N159=D159,1,0))</f>
        <v/>
      </c>
      <c r="P159" s="67">
        <f>IF(G159="","",J159-G159)</f>
        <v/>
      </c>
      <c r="Q159" s="67">
        <f>IF(G159="","",ABS(P159-Components!$D$2))</f>
        <v/>
      </c>
      <c r="R159" s="67">
        <f>IF(G159="","",ABS(P159-Components!$D$3))</f>
        <v/>
      </c>
      <c r="S159" s="67">
        <f>IF(G159="","",ABS(P159-Components!$D$4))</f>
        <v/>
      </c>
      <c r="T159" s="67">
        <f>IF(G159="","",ABS(P159-Components!$D$5))</f>
        <v/>
      </c>
      <c r="U159" s="67">
        <f>IF(G159="","",ABS(P159-Components!$D$6))</f>
        <v/>
      </c>
      <c r="V159" s="67">
        <f>IF(G159="","",ABS(P159-Components!$D$7))</f>
        <v/>
      </c>
      <c r="W159" s="61">
        <f>IF(G159="","",IF(N159="OK","NONE",INDEX({"S1","S2","W1","W2","N1","N2"},MATCH(MIN(Q159:V159),Q159:V159,0))))</f>
        <v/>
      </c>
      <c r="X159" s="69">
        <f>IF(G159="","",IF(W159=E159,1,0))</f>
        <v/>
      </c>
      <c r="Y159" s="70" t="n"/>
    </row>
    <row r="160">
      <c r="A160" s="61" t="n">
        <v>46.2</v>
      </c>
      <c r="B160" s="62" t="n">
        <v>29.7</v>
      </c>
      <c r="C160" s="61" t="inlineStr">
        <is>
          <t>R4</t>
        </is>
      </c>
      <c r="D160" s="74" t="inlineStr">
        <is>
          <t>NG</t>
        </is>
      </c>
      <c r="E160" s="61" t="inlineStr">
        <is>
          <t>S1</t>
        </is>
      </c>
      <c r="F160" s="61" t="inlineStr">
        <is>
          <t>K028</t>
        </is>
      </c>
      <c r="G160" s="75" t="n">
        <v>6.13</v>
      </c>
      <c r="H160" s="65" t="n"/>
      <c r="I160" s="66" t="n"/>
      <c r="J160" s="67">
        <f>VLOOKUP(C160,Recipes!$A$2:$N$4,10,FALSE())</f>
        <v/>
      </c>
      <c r="K160" s="68">
        <f>VLOOKUP(C160,Recipes!$A$2:$N$4,12,FALSE())</f>
        <v/>
      </c>
      <c r="L160" s="67">
        <f>J160-6*K160</f>
        <v/>
      </c>
      <c r="M160" s="67">
        <f>J160+6*K160</f>
        <v/>
      </c>
      <c r="N160" s="61">
        <f>IF(G160="","",IF(AND(G160&gt;=L160,G160&lt;=M160),"OK","NG"))</f>
        <v/>
      </c>
      <c r="O160" s="69">
        <f>IF(N160="","",IF(N160=D160,1,0))</f>
        <v/>
      </c>
      <c r="P160" s="67">
        <f>IF(G160="","",J160-G160)</f>
        <v/>
      </c>
      <c r="Q160" s="67">
        <f>IF(G160="","",ABS(P160-Components!$D$2))</f>
        <v/>
      </c>
      <c r="R160" s="67">
        <f>IF(G160="","",ABS(P160-Components!$D$3))</f>
        <v/>
      </c>
      <c r="S160" s="67">
        <f>IF(G160="","",ABS(P160-Components!$D$4))</f>
        <v/>
      </c>
      <c r="T160" s="67">
        <f>IF(G160="","",ABS(P160-Components!$D$5))</f>
        <v/>
      </c>
      <c r="U160" s="67">
        <f>IF(G160="","",ABS(P160-Components!$D$6))</f>
        <v/>
      </c>
      <c r="V160" s="67">
        <f>IF(G160="","",ABS(P160-Components!$D$7))</f>
        <v/>
      </c>
      <c r="W160" s="61">
        <f>IF(G160="","",IF(N160="OK","NONE",INDEX({"S1","S2","W1","W2","N1","N2"},MATCH(MIN(Q160:V160),Q160:V160,0))))</f>
        <v/>
      </c>
      <c r="X160" s="69">
        <f>IF(G160="","",IF(W160=E160,1,0))</f>
        <v/>
      </c>
      <c r="Y160" s="70" t="n"/>
    </row>
    <row r="161">
      <c r="A161" s="61" t="n">
        <v>49.4</v>
      </c>
      <c r="B161" s="62" t="n">
        <v>31.2</v>
      </c>
      <c r="C161" s="61" t="inlineStr">
        <is>
          <t>R4</t>
        </is>
      </c>
      <c r="D161" s="74" t="inlineStr">
        <is>
          <t>NG</t>
        </is>
      </c>
      <c r="E161" s="61" t="inlineStr">
        <is>
          <t>S1</t>
        </is>
      </c>
      <c r="F161" s="61" t="inlineStr">
        <is>
          <t>K029</t>
        </is>
      </c>
      <c r="G161" s="75" t="n">
        <v>6.22</v>
      </c>
      <c r="H161" s="65" t="n"/>
      <c r="I161" s="66" t="n"/>
      <c r="J161" s="67">
        <f>VLOOKUP(C161,Recipes!$A$2:$N$4,10,FALSE())</f>
        <v/>
      </c>
      <c r="K161" s="68">
        <f>VLOOKUP(C161,Recipes!$A$2:$N$4,12,FALSE())</f>
        <v/>
      </c>
      <c r="L161" s="67">
        <f>J161-6*K161</f>
        <v/>
      </c>
      <c r="M161" s="67">
        <f>J161+6*K161</f>
        <v/>
      </c>
      <c r="N161" s="61">
        <f>IF(G161="","",IF(AND(G161&gt;=L161,G161&lt;=M161),"OK","NG"))</f>
        <v/>
      </c>
      <c r="O161" s="69">
        <f>IF(N161="","",IF(N161=D161,1,0))</f>
        <v/>
      </c>
      <c r="P161" s="67">
        <f>IF(G161="","",J161-G161)</f>
        <v/>
      </c>
      <c r="Q161" s="67">
        <f>IF(G161="","",ABS(P161-Components!$D$2))</f>
        <v/>
      </c>
      <c r="R161" s="67">
        <f>IF(G161="","",ABS(P161-Components!$D$3))</f>
        <v/>
      </c>
      <c r="S161" s="67">
        <f>IF(G161="","",ABS(P161-Components!$D$4))</f>
        <v/>
      </c>
      <c r="T161" s="67">
        <f>IF(G161="","",ABS(P161-Components!$D$5))</f>
        <v/>
      </c>
      <c r="U161" s="67">
        <f>IF(G161="","",ABS(P161-Components!$D$6))</f>
        <v/>
      </c>
      <c r="V161" s="67">
        <f>IF(G161="","",ABS(P161-Components!$D$7))</f>
        <v/>
      </c>
      <c r="W161" s="61">
        <f>IF(G161="","",IF(N161="OK","NONE",INDEX({"S1","S2","W1","W2","N1","N2"},MATCH(MIN(Q161:V161),Q161:V161,0))))</f>
        <v/>
      </c>
      <c r="X161" s="69">
        <f>IF(G161="","",IF(W161=E161,1,0))</f>
        <v/>
      </c>
      <c r="Y161" s="70" t="n"/>
    </row>
    <row r="162">
      <c r="A162" s="76" t="n">
        <v>52.6</v>
      </c>
      <c r="B162" s="77" t="n">
        <v>32.7</v>
      </c>
      <c r="C162" s="76" t="inlineStr">
        <is>
          <t>R4</t>
        </is>
      </c>
      <c r="D162" s="78" t="inlineStr">
        <is>
          <t>NG</t>
        </is>
      </c>
      <c r="E162" s="76" t="inlineStr">
        <is>
          <t>S1</t>
        </is>
      </c>
      <c r="F162" s="76" t="inlineStr">
        <is>
          <t>K041</t>
        </is>
      </c>
      <c r="G162" s="75" t="n">
        <v>6.17</v>
      </c>
      <c r="H162" s="65" t="n"/>
      <c r="I162" s="66" t="n"/>
      <c r="J162" s="67">
        <f>VLOOKUP(C162,Recipes!$A$2:$N$4,10,FALSE())</f>
        <v/>
      </c>
      <c r="K162" s="68">
        <f>VLOOKUP(C162,Recipes!$A$2:$N$4,12,FALSE())</f>
        <v/>
      </c>
      <c r="L162" s="67">
        <f>J162-6*K162</f>
        <v/>
      </c>
      <c r="M162" s="67">
        <f>J162+6*K162</f>
        <v/>
      </c>
      <c r="N162" s="61">
        <f>IF(G162="","",IF(AND(G162&gt;=L162,G162&lt;=M162),"OK","NG"))</f>
        <v/>
      </c>
      <c r="O162" s="69">
        <f>IF(N162="","",IF(N162=D162,1,0))</f>
        <v/>
      </c>
      <c r="P162" s="67">
        <f>IF(G162="","",J162-G162)</f>
        <v/>
      </c>
      <c r="Q162" s="67">
        <f>IF(G162="","",ABS(P162-Components!$D$2))</f>
        <v/>
      </c>
      <c r="R162" s="67">
        <f>IF(G162="","",ABS(P162-Components!$D$3))</f>
        <v/>
      </c>
      <c r="S162" s="67">
        <f>IF(G162="","",ABS(P162-Components!$D$4))</f>
        <v/>
      </c>
      <c r="T162" s="67">
        <f>IF(G162="","",ABS(P162-Components!$D$5))</f>
        <v/>
      </c>
      <c r="U162" s="67">
        <f>IF(G162="","",ABS(P162-Components!$D$6))</f>
        <v/>
      </c>
      <c r="V162" s="67">
        <f>IF(G162="","",ABS(P162-Components!$D$7))</f>
        <v/>
      </c>
      <c r="W162" s="61">
        <f>IF(G162="","",IF(N162="OK","NONE",INDEX({"S1","S2","W1","W2","N1","N2"},MATCH(MIN(Q162:V162),Q162:V162,0))))</f>
        <v/>
      </c>
      <c r="X162" s="69">
        <f>IF(G162="","",IF(W162=E162,1,0))</f>
        <v/>
      </c>
      <c r="Y162" s="70" t="n"/>
    </row>
    <row r="163">
      <c r="A163" s="61" t="n">
        <v>55.8</v>
      </c>
      <c r="B163" s="62" t="n">
        <v>34.2</v>
      </c>
      <c r="C163" s="61" t="inlineStr">
        <is>
          <t>R4</t>
        </is>
      </c>
      <c r="D163" s="74" t="inlineStr">
        <is>
          <t>NG</t>
        </is>
      </c>
      <c r="E163" s="61" t="inlineStr">
        <is>
          <t>S1</t>
        </is>
      </c>
      <c r="F163" s="61" t="inlineStr">
        <is>
          <t>K026</t>
        </is>
      </c>
      <c r="G163" s="75" t="n">
        <v>6.16</v>
      </c>
      <c r="H163" s="65" t="n"/>
      <c r="I163" s="66" t="n"/>
      <c r="J163" s="67">
        <f>VLOOKUP(C163,Recipes!$A$2:$N$4,10,FALSE())</f>
        <v/>
      </c>
      <c r="K163" s="68">
        <f>VLOOKUP(C163,Recipes!$A$2:$N$4,12,FALSE())</f>
        <v/>
      </c>
      <c r="L163" s="67">
        <f>J163-6*K163</f>
        <v/>
      </c>
      <c r="M163" s="67">
        <f>J163+6*K163</f>
        <v/>
      </c>
      <c r="N163" s="61">
        <f>IF(G163="","",IF(AND(G163&gt;=L163,G163&lt;=M163),"OK","NG"))</f>
        <v/>
      </c>
      <c r="O163" s="69">
        <f>IF(N163="","",IF(N163=D163,1,0))</f>
        <v/>
      </c>
      <c r="P163" s="67">
        <f>IF(G163="","",J163-G163)</f>
        <v/>
      </c>
      <c r="Q163" s="67">
        <f>IF(G163="","",ABS(P163-Components!$D$2))</f>
        <v/>
      </c>
      <c r="R163" s="67">
        <f>IF(G163="","",ABS(P163-Components!$D$3))</f>
        <v/>
      </c>
      <c r="S163" s="67">
        <f>IF(G163="","",ABS(P163-Components!$D$4))</f>
        <v/>
      </c>
      <c r="T163" s="67">
        <f>IF(G163="","",ABS(P163-Components!$D$5))</f>
        <v/>
      </c>
      <c r="U163" s="67">
        <f>IF(G163="","",ABS(P163-Components!$D$6))</f>
        <v/>
      </c>
      <c r="V163" s="67">
        <f>IF(G163="","",ABS(P163-Components!$D$7))</f>
        <v/>
      </c>
      <c r="W163" s="61">
        <f>IF(G163="","",IF(N163="OK","NONE",INDEX({"S1","S2","W1","W2","N1","N2"},MATCH(MIN(Q163:V163),Q163:V163,0))))</f>
        <v/>
      </c>
      <c r="X163" s="69">
        <f>IF(G163="","",IF(W163=E163,1,0))</f>
        <v/>
      </c>
      <c r="Y163" s="70" t="n"/>
    </row>
    <row r="164">
      <c r="A164" s="61" t="n">
        <v>59</v>
      </c>
      <c r="B164" s="62" t="n">
        <v>35.7</v>
      </c>
      <c r="C164" s="61" t="inlineStr">
        <is>
          <t>R4</t>
        </is>
      </c>
      <c r="D164" s="74" t="inlineStr">
        <is>
          <t>NG</t>
        </is>
      </c>
      <c r="E164" s="61" t="inlineStr">
        <is>
          <t>S1</t>
        </is>
      </c>
      <c r="F164" s="61" t="inlineStr">
        <is>
          <t>K027</t>
        </is>
      </c>
      <c r="G164" s="75" t="n">
        <v>6.17</v>
      </c>
      <c r="H164" s="65" t="n"/>
      <c r="I164" s="66" t="n"/>
      <c r="J164" s="67">
        <f>VLOOKUP(C164,Recipes!$A$2:$N$4,10,FALSE())</f>
        <v/>
      </c>
      <c r="K164" s="68">
        <f>VLOOKUP(C164,Recipes!$A$2:$N$4,12,FALSE())</f>
        <v/>
      </c>
      <c r="L164" s="67">
        <f>J164-6*K164</f>
        <v/>
      </c>
      <c r="M164" s="67">
        <f>J164+6*K164</f>
        <v/>
      </c>
      <c r="N164" s="61">
        <f>IF(G164="","",IF(AND(G164&gt;=L164,G164&lt;=M164),"OK","NG"))</f>
        <v/>
      </c>
      <c r="O164" s="69">
        <f>IF(N164="","",IF(N164=D164,1,0))</f>
        <v/>
      </c>
      <c r="P164" s="67">
        <f>IF(G164="","",J164-G164)</f>
        <v/>
      </c>
      <c r="Q164" s="67">
        <f>IF(G164="","",ABS(P164-Components!$D$2))</f>
        <v/>
      </c>
      <c r="R164" s="67">
        <f>IF(G164="","",ABS(P164-Components!$D$3))</f>
        <v/>
      </c>
      <c r="S164" s="67">
        <f>IF(G164="","",ABS(P164-Components!$D$4))</f>
        <v/>
      </c>
      <c r="T164" s="67">
        <f>IF(G164="","",ABS(P164-Components!$D$5))</f>
        <v/>
      </c>
      <c r="U164" s="67">
        <f>IF(G164="","",ABS(P164-Components!$D$6))</f>
        <v/>
      </c>
      <c r="V164" s="67">
        <f>IF(G164="","",ABS(P164-Components!$D$7))</f>
        <v/>
      </c>
      <c r="W164" s="61">
        <f>IF(G164="","",IF(N164="OK","NONE",INDEX({"S1","S2","W1","W2","N1","N2"},MATCH(MIN(Q164:V164),Q164:V164,0))))</f>
        <v/>
      </c>
      <c r="X164" s="69">
        <f>IF(G164="","",IF(W164=E164,1,0))</f>
        <v/>
      </c>
      <c r="Y164" s="70" t="n"/>
    </row>
    <row r="165">
      <c r="A165" s="61" t="n">
        <v>62.2</v>
      </c>
      <c r="B165" s="62" t="n">
        <v>37.2</v>
      </c>
      <c r="C165" s="61" t="inlineStr">
        <is>
          <t>R4</t>
        </is>
      </c>
      <c r="D165" s="74" t="inlineStr">
        <is>
          <t>NG</t>
        </is>
      </c>
      <c r="E165" s="61" t="inlineStr">
        <is>
          <t>S1</t>
        </is>
      </c>
      <c r="F165" s="61" t="inlineStr">
        <is>
          <t>K028</t>
        </is>
      </c>
      <c r="G165" s="75" t="n">
        <v>6.14</v>
      </c>
      <c r="H165" s="65" t="n"/>
      <c r="I165" s="66" t="n"/>
      <c r="J165" s="67">
        <f>VLOOKUP(C165,Recipes!$A$2:$N$4,10,FALSE())</f>
        <v/>
      </c>
      <c r="K165" s="68">
        <f>VLOOKUP(C165,Recipes!$A$2:$N$4,12,FALSE())</f>
        <v/>
      </c>
      <c r="L165" s="67">
        <f>J165-6*K165</f>
        <v/>
      </c>
      <c r="M165" s="67">
        <f>J165+6*K165</f>
        <v/>
      </c>
      <c r="N165" s="61">
        <f>IF(G165="","",IF(AND(G165&gt;=L165,G165&lt;=M165),"OK","NG"))</f>
        <v/>
      </c>
      <c r="O165" s="69">
        <f>IF(N165="","",IF(N165=D165,1,0))</f>
        <v/>
      </c>
      <c r="P165" s="67">
        <f>IF(G165="","",J165-G165)</f>
        <v/>
      </c>
      <c r="Q165" s="67">
        <f>IF(G165="","",ABS(P165-Components!$D$2))</f>
        <v/>
      </c>
      <c r="R165" s="67">
        <f>IF(G165="","",ABS(P165-Components!$D$3))</f>
        <v/>
      </c>
      <c r="S165" s="67">
        <f>IF(G165="","",ABS(P165-Components!$D$4))</f>
        <v/>
      </c>
      <c r="T165" s="67">
        <f>IF(G165="","",ABS(P165-Components!$D$5))</f>
        <v/>
      </c>
      <c r="U165" s="67">
        <f>IF(G165="","",ABS(P165-Components!$D$6))</f>
        <v/>
      </c>
      <c r="V165" s="67">
        <f>IF(G165="","",ABS(P165-Components!$D$7))</f>
        <v/>
      </c>
      <c r="W165" s="61">
        <f>IF(G165="","",IF(N165="OK","NONE",INDEX({"S1","S2","W1","W2","N1","N2"},MATCH(MIN(Q165:V165),Q165:V165,0))))</f>
        <v/>
      </c>
      <c r="X165" s="69">
        <f>IF(G165="","",IF(W165=E165,1,0))</f>
        <v/>
      </c>
      <c r="Y165" s="70" t="n"/>
    </row>
    <row r="166">
      <c r="A166" s="61" t="n">
        <v>65.40000000000001</v>
      </c>
      <c r="B166" s="62" t="n">
        <v>38.7</v>
      </c>
      <c r="C166" s="61" t="inlineStr">
        <is>
          <t>R4</t>
        </is>
      </c>
      <c r="D166" s="74" t="inlineStr">
        <is>
          <t>NG</t>
        </is>
      </c>
      <c r="E166" s="61" t="inlineStr">
        <is>
          <t>S1</t>
        </is>
      </c>
      <c r="F166" s="61" t="inlineStr">
        <is>
          <t>K029</t>
        </is>
      </c>
      <c r="G166" s="75" t="n">
        <v>6.2</v>
      </c>
      <c r="H166" s="65" t="n"/>
      <c r="I166" s="66" t="n"/>
      <c r="J166" s="67">
        <f>VLOOKUP(C166,Recipes!$A$2:$N$4,10,FALSE())</f>
        <v/>
      </c>
      <c r="K166" s="68">
        <f>VLOOKUP(C166,Recipes!$A$2:$N$4,12,FALSE())</f>
        <v/>
      </c>
      <c r="L166" s="67">
        <f>J166-6*K166</f>
        <v/>
      </c>
      <c r="M166" s="67">
        <f>J166+6*K166</f>
        <v/>
      </c>
      <c r="N166" s="61">
        <f>IF(G166="","",IF(AND(G166&gt;=L166,G166&lt;=M166),"OK","NG"))</f>
        <v/>
      </c>
      <c r="O166" s="69">
        <f>IF(N166="","",IF(N166=D166,1,0))</f>
        <v/>
      </c>
      <c r="P166" s="67">
        <f>IF(G166="","",J166-G166)</f>
        <v/>
      </c>
      <c r="Q166" s="67">
        <f>IF(G166="","",ABS(P166-Components!$D$2))</f>
        <v/>
      </c>
      <c r="R166" s="67">
        <f>IF(G166="","",ABS(P166-Components!$D$3))</f>
        <v/>
      </c>
      <c r="S166" s="67">
        <f>IF(G166="","",ABS(P166-Components!$D$4))</f>
        <v/>
      </c>
      <c r="T166" s="67">
        <f>IF(G166="","",ABS(P166-Components!$D$5))</f>
        <v/>
      </c>
      <c r="U166" s="67">
        <f>IF(G166="","",ABS(P166-Components!$D$6))</f>
        <v/>
      </c>
      <c r="V166" s="67">
        <f>IF(G166="","",ABS(P166-Components!$D$7))</f>
        <v/>
      </c>
      <c r="W166" s="61">
        <f>IF(G166="","",IF(N166="OK","NONE",INDEX({"S1","S2","W1","W2","N1","N2"},MATCH(MIN(Q166:V166),Q166:V166,0))))</f>
        <v/>
      </c>
      <c r="X166" s="69">
        <f>IF(G166="","",IF(W166=E166,1,0))</f>
        <v/>
      </c>
      <c r="Y166" s="70" t="n"/>
    </row>
    <row r="167">
      <c r="A167" s="76" t="n">
        <v>68.59999999999999</v>
      </c>
      <c r="B167" s="77" t="n">
        <v>40.2</v>
      </c>
      <c r="C167" s="76" t="inlineStr">
        <is>
          <t>R4</t>
        </is>
      </c>
      <c r="D167" s="78" t="inlineStr">
        <is>
          <t>NG</t>
        </is>
      </c>
      <c r="E167" s="76" t="inlineStr">
        <is>
          <t>S1</t>
        </is>
      </c>
      <c r="F167" s="76" t="inlineStr">
        <is>
          <t>K041</t>
        </is>
      </c>
      <c r="G167" s="75" t="n">
        <v>6.19</v>
      </c>
      <c r="H167" s="65" t="n"/>
      <c r="I167" s="66" t="n"/>
      <c r="J167" s="67">
        <f>VLOOKUP(C167,Recipes!$A$2:$N$4,10,FALSE())</f>
        <v/>
      </c>
      <c r="K167" s="68">
        <f>VLOOKUP(C167,Recipes!$A$2:$N$4,12,FALSE())</f>
        <v/>
      </c>
      <c r="L167" s="67">
        <f>J167-6*K167</f>
        <v/>
      </c>
      <c r="M167" s="67">
        <f>J167+6*K167</f>
        <v/>
      </c>
      <c r="N167" s="61">
        <f>IF(G167="","",IF(AND(G167&gt;=L167,G167&lt;=M167),"OK","NG"))</f>
        <v/>
      </c>
      <c r="O167" s="69">
        <f>IF(N167="","",IF(N167=D167,1,0))</f>
        <v/>
      </c>
      <c r="P167" s="67">
        <f>IF(G167="","",J167-G167)</f>
        <v/>
      </c>
      <c r="Q167" s="67">
        <f>IF(G167="","",ABS(P167-Components!$D$2))</f>
        <v/>
      </c>
      <c r="R167" s="67">
        <f>IF(G167="","",ABS(P167-Components!$D$3))</f>
        <v/>
      </c>
      <c r="S167" s="67">
        <f>IF(G167="","",ABS(P167-Components!$D$4))</f>
        <v/>
      </c>
      <c r="T167" s="67">
        <f>IF(G167="","",ABS(P167-Components!$D$5))</f>
        <v/>
      </c>
      <c r="U167" s="67">
        <f>IF(G167="","",ABS(P167-Components!$D$6))</f>
        <v/>
      </c>
      <c r="V167" s="67">
        <f>IF(G167="","",ABS(P167-Components!$D$7))</f>
        <v/>
      </c>
      <c r="W167" s="61">
        <f>IF(G167="","",IF(N167="OK","NONE",INDEX({"S1","S2","W1","W2","N1","N2"},MATCH(MIN(Q167:V167),Q167:V167,0))))</f>
        <v/>
      </c>
      <c r="X167" s="69">
        <f>IF(G167="","",IF(W167=E167,1,0))</f>
        <v/>
      </c>
      <c r="Y167" s="70" t="n"/>
    </row>
    <row r="168">
      <c r="A168" s="61" t="n">
        <v>71.8</v>
      </c>
      <c r="B168" s="62" t="n">
        <v>41.7</v>
      </c>
      <c r="C168" s="61" t="inlineStr">
        <is>
          <t>R4</t>
        </is>
      </c>
      <c r="D168" s="74" t="inlineStr">
        <is>
          <t>NG</t>
        </is>
      </c>
      <c r="E168" s="61" t="inlineStr">
        <is>
          <t>S1</t>
        </is>
      </c>
      <c r="F168" s="61" t="inlineStr">
        <is>
          <t>K026</t>
        </is>
      </c>
      <c r="G168" s="75" t="n">
        <v>6.19</v>
      </c>
      <c r="H168" s="65" t="n"/>
      <c r="I168" s="66" t="n"/>
      <c r="J168" s="67">
        <f>VLOOKUP(C168,Recipes!$A$2:$N$4,10,FALSE())</f>
        <v/>
      </c>
      <c r="K168" s="68">
        <f>VLOOKUP(C168,Recipes!$A$2:$N$4,12,FALSE())</f>
        <v/>
      </c>
      <c r="L168" s="67">
        <f>J168-6*K168</f>
        <v/>
      </c>
      <c r="M168" s="67">
        <f>J168+6*K168</f>
        <v/>
      </c>
      <c r="N168" s="61">
        <f>IF(G168="","",IF(AND(G168&gt;=L168,G168&lt;=M168),"OK","NG"))</f>
        <v/>
      </c>
      <c r="O168" s="69">
        <f>IF(N168="","",IF(N168=D168,1,0))</f>
        <v/>
      </c>
      <c r="P168" s="67">
        <f>IF(G168="","",J168-G168)</f>
        <v/>
      </c>
      <c r="Q168" s="67">
        <f>IF(G168="","",ABS(P168-Components!$D$2))</f>
        <v/>
      </c>
      <c r="R168" s="67">
        <f>IF(G168="","",ABS(P168-Components!$D$3))</f>
        <v/>
      </c>
      <c r="S168" s="67">
        <f>IF(G168="","",ABS(P168-Components!$D$4))</f>
        <v/>
      </c>
      <c r="T168" s="67">
        <f>IF(G168="","",ABS(P168-Components!$D$5))</f>
        <v/>
      </c>
      <c r="U168" s="67">
        <f>IF(G168="","",ABS(P168-Components!$D$6))</f>
        <v/>
      </c>
      <c r="V168" s="67">
        <f>IF(G168="","",ABS(P168-Components!$D$7))</f>
        <v/>
      </c>
      <c r="W168" s="61">
        <f>IF(G168="","",IF(N168="OK","NONE",INDEX({"S1","S2","W1","W2","N1","N2"},MATCH(MIN(Q168:V168),Q168:V168,0))))</f>
        <v/>
      </c>
      <c r="X168" s="69">
        <f>IF(G168="","",IF(W168=E168,1,0))</f>
        <v/>
      </c>
      <c r="Y168" s="70" t="n"/>
    </row>
    <row r="169">
      <c r="A169" s="61" t="n">
        <v>75</v>
      </c>
      <c r="B169" s="62" t="n">
        <v>43.2</v>
      </c>
      <c r="C169" s="61" t="inlineStr">
        <is>
          <t>R4</t>
        </is>
      </c>
      <c r="D169" s="74" t="inlineStr">
        <is>
          <t>NG</t>
        </is>
      </c>
      <c r="E169" s="61" t="inlineStr">
        <is>
          <t>S1</t>
        </is>
      </c>
      <c r="F169" s="61" t="inlineStr">
        <is>
          <t>K027</t>
        </is>
      </c>
      <c r="G169" s="75" t="n">
        <v>6.13</v>
      </c>
      <c r="H169" s="65" t="n"/>
      <c r="I169" s="66" t="n"/>
      <c r="J169" s="67">
        <f>VLOOKUP(C169,Recipes!$A$2:$N$4,10,FALSE())</f>
        <v/>
      </c>
      <c r="K169" s="68">
        <f>VLOOKUP(C169,Recipes!$A$2:$N$4,12,FALSE())</f>
        <v/>
      </c>
      <c r="L169" s="67">
        <f>J169-6*K169</f>
        <v/>
      </c>
      <c r="M169" s="67">
        <f>J169+6*K169</f>
        <v/>
      </c>
      <c r="N169" s="61">
        <f>IF(G169="","",IF(AND(G169&gt;=L169,G169&lt;=M169),"OK","NG"))</f>
        <v/>
      </c>
      <c r="O169" s="69">
        <f>IF(N169="","",IF(N169=D169,1,0))</f>
        <v/>
      </c>
      <c r="P169" s="67">
        <f>IF(G169="","",J169-G169)</f>
        <v/>
      </c>
      <c r="Q169" s="67">
        <f>IF(G169="","",ABS(P169-Components!$D$2))</f>
        <v/>
      </c>
      <c r="R169" s="67">
        <f>IF(G169="","",ABS(P169-Components!$D$3))</f>
        <v/>
      </c>
      <c r="S169" s="67">
        <f>IF(G169="","",ABS(P169-Components!$D$4))</f>
        <v/>
      </c>
      <c r="T169" s="67">
        <f>IF(G169="","",ABS(P169-Components!$D$5))</f>
        <v/>
      </c>
      <c r="U169" s="67">
        <f>IF(G169="","",ABS(P169-Components!$D$6))</f>
        <v/>
      </c>
      <c r="V169" s="67">
        <f>IF(G169="","",ABS(P169-Components!$D$7))</f>
        <v/>
      </c>
      <c r="W169" s="61">
        <f>IF(G169="","",IF(N169="OK","NONE",INDEX({"S1","S2","W1","W2","N1","N2"},MATCH(MIN(Q169:V169),Q169:V169,0))))</f>
        <v/>
      </c>
      <c r="X169" s="69">
        <f>IF(G169="","",IF(W169=E169,1,0))</f>
        <v/>
      </c>
      <c r="Y169" s="70" t="n"/>
    </row>
    <row r="170">
      <c r="A170" s="61" t="n">
        <v>78.2</v>
      </c>
      <c r="B170" s="62" t="n">
        <v>44.7</v>
      </c>
      <c r="C170" s="61" t="inlineStr">
        <is>
          <t>R4</t>
        </is>
      </c>
      <c r="D170" s="74" t="inlineStr">
        <is>
          <t>NG</t>
        </is>
      </c>
      <c r="E170" s="61" t="inlineStr">
        <is>
          <t>S1</t>
        </is>
      </c>
      <c r="F170" s="61" t="inlineStr">
        <is>
          <t>K028</t>
        </is>
      </c>
      <c r="G170" s="75" t="n">
        <v>6.17</v>
      </c>
      <c r="H170" s="65" t="n"/>
      <c r="I170" s="66" t="n"/>
      <c r="J170" s="67">
        <f>VLOOKUP(C170,Recipes!$A$2:$N$4,10,FALSE())</f>
        <v/>
      </c>
      <c r="K170" s="68">
        <f>VLOOKUP(C170,Recipes!$A$2:$N$4,12,FALSE())</f>
        <v/>
      </c>
      <c r="L170" s="67">
        <f>J170-6*K170</f>
        <v/>
      </c>
      <c r="M170" s="67">
        <f>J170+6*K170</f>
        <v/>
      </c>
      <c r="N170" s="61">
        <f>IF(G170="","",IF(AND(G170&gt;=L170,G170&lt;=M170),"OK","NG"))</f>
        <v/>
      </c>
      <c r="O170" s="69">
        <f>IF(N170="","",IF(N170=D170,1,0))</f>
        <v/>
      </c>
      <c r="P170" s="67">
        <f>IF(G170="","",J170-G170)</f>
        <v/>
      </c>
      <c r="Q170" s="67">
        <f>IF(G170="","",ABS(P170-Components!$D$2))</f>
        <v/>
      </c>
      <c r="R170" s="67">
        <f>IF(G170="","",ABS(P170-Components!$D$3))</f>
        <v/>
      </c>
      <c r="S170" s="67">
        <f>IF(G170="","",ABS(P170-Components!$D$4))</f>
        <v/>
      </c>
      <c r="T170" s="67">
        <f>IF(G170="","",ABS(P170-Components!$D$5))</f>
        <v/>
      </c>
      <c r="U170" s="67">
        <f>IF(G170="","",ABS(P170-Components!$D$6))</f>
        <v/>
      </c>
      <c r="V170" s="67">
        <f>IF(G170="","",ABS(P170-Components!$D$7))</f>
        <v/>
      </c>
      <c r="W170" s="61">
        <f>IF(G170="","",IF(N170="OK","NONE",INDEX({"S1","S2","W1","W2","N1","N2"},MATCH(MIN(Q170:V170),Q170:V170,0))))</f>
        <v/>
      </c>
      <c r="X170" s="69">
        <f>IF(G170="","",IF(W170=E170,1,0))</f>
        <v/>
      </c>
      <c r="Y170" s="70" t="n"/>
    </row>
    <row r="171">
      <c r="A171" s="61" t="n">
        <v>81.40000000000001</v>
      </c>
      <c r="B171" s="62" t="n">
        <v>46.2</v>
      </c>
      <c r="C171" s="61" t="inlineStr">
        <is>
          <t>R4</t>
        </is>
      </c>
      <c r="D171" s="74" t="inlineStr">
        <is>
          <t>NG</t>
        </is>
      </c>
      <c r="E171" s="61" t="inlineStr">
        <is>
          <t>S1</t>
        </is>
      </c>
      <c r="F171" s="61" t="inlineStr">
        <is>
          <t>K029</t>
        </is>
      </c>
      <c r="G171" s="75" t="n">
        <v>6.19</v>
      </c>
      <c r="H171" s="65" t="n"/>
      <c r="I171" s="66" t="n"/>
      <c r="J171" s="67">
        <f>VLOOKUP(C171,Recipes!$A$2:$N$4,10,FALSE())</f>
        <v/>
      </c>
      <c r="K171" s="68">
        <f>VLOOKUP(C171,Recipes!$A$2:$N$4,12,FALSE())</f>
        <v/>
      </c>
      <c r="L171" s="67">
        <f>J171-6*K171</f>
        <v/>
      </c>
      <c r="M171" s="67">
        <f>J171+6*K171</f>
        <v/>
      </c>
      <c r="N171" s="61">
        <f>IF(G171="","",IF(AND(G171&gt;=L171,G171&lt;=M171),"OK","NG"))</f>
        <v/>
      </c>
      <c r="O171" s="69">
        <f>IF(N171="","",IF(N171=D171,1,0))</f>
        <v/>
      </c>
      <c r="P171" s="67">
        <f>IF(G171="","",J171-G171)</f>
        <v/>
      </c>
      <c r="Q171" s="67">
        <f>IF(G171="","",ABS(P171-Components!$D$2))</f>
        <v/>
      </c>
      <c r="R171" s="67">
        <f>IF(G171="","",ABS(P171-Components!$D$3))</f>
        <v/>
      </c>
      <c r="S171" s="67">
        <f>IF(G171="","",ABS(P171-Components!$D$4))</f>
        <v/>
      </c>
      <c r="T171" s="67">
        <f>IF(G171="","",ABS(P171-Components!$D$5))</f>
        <v/>
      </c>
      <c r="U171" s="67">
        <f>IF(G171="","",ABS(P171-Components!$D$6))</f>
        <v/>
      </c>
      <c r="V171" s="67">
        <f>IF(G171="","",ABS(P171-Components!$D$7))</f>
        <v/>
      </c>
      <c r="W171" s="61">
        <f>IF(G171="","",IF(N171="OK","NONE",INDEX({"S1","S2","W1","W2","N1","N2"},MATCH(MIN(Q171:V171),Q171:V171,0))))</f>
        <v/>
      </c>
      <c r="X171" s="69">
        <f>IF(G171="","",IF(W171=E171,1,0))</f>
        <v/>
      </c>
      <c r="Y171" s="70" t="n"/>
    </row>
    <row r="172">
      <c r="A172" s="76" t="n">
        <v>84.59999999999999</v>
      </c>
      <c r="B172" s="77" t="n">
        <v>47.7</v>
      </c>
      <c r="C172" s="76" t="inlineStr">
        <is>
          <t>R4</t>
        </is>
      </c>
      <c r="D172" s="78" t="inlineStr">
        <is>
          <t>NG</t>
        </is>
      </c>
      <c r="E172" s="76" t="inlineStr">
        <is>
          <t>S1</t>
        </is>
      </c>
      <c r="F172" s="76" t="inlineStr">
        <is>
          <t>K041</t>
        </is>
      </c>
      <c r="G172" s="75" t="n">
        <v>6.09</v>
      </c>
      <c r="H172" s="65" t="n"/>
      <c r="I172" s="66" t="n"/>
      <c r="J172" s="67">
        <f>VLOOKUP(C172,Recipes!$A$2:$N$4,10,FALSE())</f>
        <v/>
      </c>
      <c r="K172" s="68">
        <f>VLOOKUP(C172,Recipes!$A$2:$N$4,12,FALSE())</f>
        <v/>
      </c>
      <c r="L172" s="67">
        <f>J172-6*K172</f>
        <v/>
      </c>
      <c r="M172" s="67">
        <f>J172+6*K172</f>
        <v/>
      </c>
      <c r="N172" s="61">
        <f>IF(G172="","",IF(AND(G172&gt;=L172,G172&lt;=M172),"OK","NG"))</f>
        <v/>
      </c>
      <c r="O172" s="69">
        <f>IF(N172="","",IF(N172=D172,1,0))</f>
        <v/>
      </c>
      <c r="P172" s="67">
        <f>IF(G172="","",J172-G172)</f>
        <v/>
      </c>
      <c r="Q172" s="67">
        <f>IF(G172="","",ABS(P172-Components!$D$2))</f>
        <v/>
      </c>
      <c r="R172" s="67">
        <f>IF(G172="","",ABS(P172-Components!$D$3))</f>
        <v/>
      </c>
      <c r="S172" s="67">
        <f>IF(G172="","",ABS(P172-Components!$D$4))</f>
        <v/>
      </c>
      <c r="T172" s="67">
        <f>IF(G172="","",ABS(P172-Components!$D$5))</f>
        <v/>
      </c>
      <c r="U172" s="67">
        <f>IF(G172="","",ABS(P172-Components!$D$6))</f>
        <v/>
      </c>
      <c r="V172" s="67">
        <f>IF(G172="","",ABS(P172-Components!$D$7))</f>
        <v/>
      </c>
      <c r="W172" s="61">
        <f>IF(G172="","",IF(N172="OK","NONE",INDEX({"S1","S2","W1","W2","N1","N2"},MATCH(MIN(Q172:V172),Q172:V172,0))))</f>
        <v/>
      </c>
      <c r="X172" s="69">
        <f>IF(G172="","",IF(W172=E172,1,0))</f>
        <v/>
      </c>
      <c r="Y172" s="70" t="n"/>
    </row>
    <row r="173">
      <c r="A173" s="61" t="n">
        <v>87.8</v>
      </c>
      <c r="B173" s="62" t="n">
        <v>49.2</v>
      </c>
      <c r="C173" s="61" t="inlineStr">
        <is>
          <t>R4</t>
        </is>
      </c>
      <c r="D173" s="74" t="inlineStr">
        <is>
          <t>NG</t>
        </is>
      </c>
      <c r="E173" s="61" t="inlineStr">
        <is>
          <t>S1</t>
        </is>
      </c>
      <c r="F173" s="61" t="inlineStr">
        <is>
          <t>K026</t>
        </is>
      </c>
      <c r="G173" s="75" t="n">
        <v>6.19</v>
      </c>
      <c r="H173" s="65" t="n"/>
      <c r="I173" s="66" t="n"/>
      <c r="J173" s="67">
        <f>VLOOKUP(C173,Recipes!$A$2:$N$4,10,FALSE())</f>
        <v/>
      </c>
      <c r="K173" s="68">
        <f>VLOOKUP(C173,Recipes!$A$2:$N$4,12,FALSE())</f>
        <v/>
      </c>
      <c r="L173" s="67">
        <f>J173-6*K173</f>
        <v/>
      </c>
      <c r="M173" s="67">
        <f>J173+6*K173</f>
        <v/>
      </c>
      <c r="N173" s="61">
        <f>IF(G173="","",IF(AND(G173&gt;=L173,G173&lt;=M173),"OK","NG"))</f>
        <v/>
      </c>
      <c r="O173" s="69">
        <f>IF(N173="","",IF(N173=D173,1,0))</f>
        <v/>
      </c>
      <c r="P173" s="67">
        <f>IF(G173="","",J173-G173)</f>
        <v/>
      </c>
      <c r="Q173" s="67">
        <f>IF(G173="","",ABS(P173-Components!$D$2))</f>
        <v/>
      </c>
      <c r="R173" s="67">
        <f>IF(G173="","",ABS(P173-Components!$D$3))</f>
        <v/>
      </c>
      <c r="S173" s="67">
        <f>IF(G173="","",ABS(P173-Components!$D$4))</f>
        <v/>
      </c>
      <c r="T173" s="67">
        <f>IF(G173="","",ABS(P173-Components!$D$5))</f>
        <v/>
      </c>
      <c r="U173" s="67">
        <f>IF(G173="","",ABS(P173-Components!$D$6))</f>
        <v/>
      </c>
      <c r="V173" s="67">
        <f>IF(G173="","",ABS(P173-Components!$D$7))</f>
        <v/>
      </c>
      <c r="W173" s="61">
        <f>IF(G173="","",IF(N173="OK","NONE",INDEX({"S1","S2","W1","W2","N1","N2"},MATCH(MIN(Q173:V173),Q173:V173,0))))</f>
        <v/>
      </c>
      <c r="X173" s="69">
        <f>IF(G173="","",IF(W173=E173,1,0))</f>
        <v/>
      </c>
      <c r="Y173" s="70" t="n"/>
    </row>
    <row r="174">
      <c r="A174" s="61" t="n">
        <v>91</v>
      </c>
      <c r="B174" s="62" t="n">
        <v>50.7</v>
      </c>
      <c r="C174" s="61" t="inlineStr">
        <is>
          <t>R4</t>
        </is>
      </c>
      <c r="D174" s="74" t="inlineStr">
        <is>
          <t>NG</t>
        </is>
      </c>
      <c r="E174" s="61" t="inlineStr">
        <is>
          <t>S1</t>
        </is>
      </c>
      <c r="F174" s="61" t="inlineStr">
        <is>
          <t>K027</t>
        </is>
      </c>
      <c r="G174" s="75" t="n">
        <v>6.18</v>
      </c>
      <c r="H174" s="65" t="n"/>
      <c r="I174" s="66" t="n"/>
      <c r="J174" s="67">
        <f>VLOOKUP(C174,Recipes!$A$2:$N$4,10,FALSE())</f>
        <v/>
      </c>
      <c r="K174" s="68">
        <f>VLOOKUP(C174,Recipes!$A$2:$N$4,12,FALSE())</f>
        <v/>
      </c>
      <c r="L174" s="67">
        <f>J174-6*K174</f>
        <v/>
      </c>
      <c r="M174" s="67">
        <f>J174+6*K174</f>
        <v/>
      </c>
      <c r="N174" s="61">
        <f>IF(G174="","",IF(AND(G174&gt;=L174,G174&lt;=M174),"OK","NG"))</f>
        <v/>
      </c>
      <c r="O174" s="69">
        <f>IF(N174="","",IF(N174=D174,1,0))</f>
        <v/>
      </c>
      <c r="P174" s="67">
        <f>IF(G174="","",J174-G174)</f>
        <v/>
      </c>
      <c r="Q174" s="67">
        <f>IF(G174="","",ABS(P174-Components!$D$2))</f>
        <v/>
      </c>
      <c r="R174" s="67">
        <f>IF(G174="","",ABS(P174-Components!$D$3))</f>
        <v/>
      </c>
      <c r="S174" s="67">
        <f>IF(G174="","",ABS(P174-Components!$D$4))</f>
        <v/>
      </c>
      <c r="T174" s="67">
        <f>IF(G174="","",ABS(P174-Components!$D$5))</f>
        <v/>
      </c>
      <c r="U174" s="67">
        <f>IF(G174="","",ABS(P174-Components!$D$6))</f>
        <v/>
      </c>
      <c r="V174" s="67">
        <f>IF(G174="","",ABS(P174-Components!$D$7))</f>
        <v/>
      </c>
      <c r="W174" s="61">
        <f>IF(G174="","",IF(N174="OK","NONE",INDEX({"S1","S2","W1","W2","N1","N2"},MATCH(MIN(Q174:V174),Q174:V174,0))))</f>
        <v/>
      </c>
      <c r="X174" s="69">
        <f>IF(G174="","",IF(W174=E174,1,0))</f>
        <v/>
      </c>
      <c r="Y174" s="70" t="n"/>
    </row>
    <row r="175">
      <c r="A175" s="61" t="n">
        <v>94.2</v>
      </c>
      <c r="B175" s="62" t="n">
        <v>52.2</v>
      </c>
      <c r="C175" s="61" t="inlineStr">
        <is>
          <t>R4</t>
        </is>
      </c>
      <c r="D175" s="74" t="inlineStr">
        <is>
          <t>NG</t>
        </is>
      </c>
      <c r="E175" s="61" t="inlineStr">
        <is>
          <t>S1</t>
        </is>
      </c>
      <c r="F175" s="61" t="inlineStr">
        <is>
          <t>K028</t>
        </is>
      </c>
      <c r="G175" s="75" t="n">
        <v>6.19</v>
      </c>
      <c r="H175" s="65" t="n"/>
      <c r="I175" s="66" t="n"/>
      <c r="J175" s="67">
        <f>VLOOKUP(C175,Recipes!$A$2:$N$4,10,FALSE())</f>
        <v/>
      </c>
      <c r="K175" s="68">
        <f>VLOOKUP(C175,Recipes!$A$2:$N$4,12,FALSE())</f>
        <v/>
      </c>
      <c r="L175" s="67">
        <f>J175-6*K175</f>
        <v/>
      </c>
      <c r="M175" s="67">
        <f>J175+6*K175</f>
        <v/>
      </c>
      <c r="N175" s="61">
        <f>IF(G175="","",IF(AND(G175&gt;=L175,G175&lt;=M175),"OK","NG"))</f>
        <v/>
      </c>
      <c r="O175" s="69">
        <f>IF(N175="","",IF(N175=D175,1,0))</f>
        <v/>
      </c>
      <c r="P175" s="67">
        <f>IF(G175="","",J175-G175)</f>
        <v/>
      </c>
      <c r="Q175" s="67">
        <f>IF(G175="","",ABS(P175-Components!$D$2))</f>
        <v/>
      </c>
      <c r="R175" s="67">
        <f>IF(G175="","",ABS(P175-Components!$D$3))</f>
        <v/>
      </c>
      <c r="S175" s="67">
        <f>IF(G175="","",ABS(P175-Components!$D$4))</f>
        <v/>
      </c>
      <c r="T175" s="67">
        <f>IF(G175="","",ABS(P175-Components!$D$5))</f>
        <v/>
      </c>
      <c r="U175" s="67">
        <f>IF(G175="","",ABS(P175-Components!$D$6))</f>
        <v/>
      </c>
      <c r="V175" s="67">
        <f>IF(G175="","",ABS(P175-Components!$D$7))</f>
        <v/>
      </c>
      <c r="W175" s="61">
        <f>IF(G175="","",IF(N175="OK","NONE",INDEX({"S1","S2","W1","W2","N1","N2"},MATCH(MIN(Q175:V175),Q175:V175,0))))</f>
        <v/>
      </c>
      <c r="X175" s="69">
        <f>IF(G175="","",IF(W175=E175,1,0))</f>
        <v/>
      </c>
      <c r="Y175" s="70" t="n"/>
    </row>
    <row r="176">
      <c r="A176" s="61" t="n">
        <v>97.40000000000001</v>
      </c>
      <c r="B176" s="62" t="n">
        <v>53.7</v>
      </c>
      <c r="C176" s="61" t="inlineStr">
        <is>
          <t>R4</t>
        </is>
      </c>
      <c r="D176" s="74" t="inlineStr">
        <is>
          <t>NG</t>
        </is>
      </c>
      <c r="E176" s="61" t="inlineStr">
        <is>
          <t>S1</t>
        </is>
      </c>
      <c r="F176" s="61" t="inlineStr">
        <is>
          <t>K029</t>
        </is>
      </c>
      <c r="G176" s="75" t="n">
        <v>6.15</v>
      </c>
      <c r="H176" s="65" t="n"/>
      <c r="I176" s="66" t="n"/>
      <c r="J176" s="67">
        <f>VLOOKUP(C176,Recipes!$A$2:$N$4,10,FALSE())</f>
        <v/>
      </c>
      <c r="K176" s="68">
        <f>VLOOKUP(C176,Recipes!$A$2:$N$4,12,FALSE())</f>
        <v/>
      </c>
      <c r="L176" s="67">
        <f>J176-6*K176</f>
        <v/>
      </c>
      <c r="M176" s="67">
        <f>J176+6*K176</f>
        <v/>
      </c>
      <c r="N176" s="61">
        <f>IF(G176="","",IF(AND(G176&gt;=L176,G176&lt;=M176),"OK","NG"))</f>
        <v/>
      </c>
      <c r="O176" s="69">
        <f>IF(N176="","",IF(N176=D176,1,0))</f>
        <v/>
      </c>
      <c r="P176" s="67">
        <f>IF(G176="","",J176-G176)</f>
        <v/>
      </c>
      <c r="Q176" s="67">
        <f>IF(G176="","",ABS(P176-Components!$D$2))</f>
        <v/>
      </c>
      <c r="R176" s="67">
        <f>IF(G176="","",ABS(P176-Components!$D$3))</f>
        <v/>
      </c>
      <c r="S176" s="67">
        <f>IF(G176="","",ABS(P176-Components!$D$4))</f>
        <v/>
      </c>
      <c r="T176" s="67">
        <f>IF(G176="","",ABS(P176-Components!$D$5))</f>
        <v/>
      </c>
      <c r="U176" s="67">
        <f>IF(G176="","",ABS(P176-Components!$D$6))</f>
        <v/>
      </c>
      <c r="V176" s="67">
        <f>IF(G176="","",ABS(P176-Components!$D$7))</f>
        <v/>
      </c>
      <c r="W176" s="61">
        <f>IF(G176="","",IF(N176="OK","NONE",INDEX({"S1","S2","W1","W2","N1","N2"},MATCH(MIN(Q176:V176),Q176:V176,0))))</f>
        <v/>
      </c>
      <c r="X176" s="69">
        <f>IF(G176="","",IF(W176=E176,1,0))</f>
        <v/>
      </c>
      <c r="Y176" s="70" t="n"/>
    </row>
    <row r="177">
      <c r="A177" s="76" t="n">
        <v>100.6</v>
      </c>
      <c r="B177" s="77" t="n">
        <v>55.2</v>
      </c>
      <c r="C177" s="76" t="inlineStr">
        <is>
          <t>R4</t>
        </is>
      </c>
      <c r="D177" s="78" t="inlineStr">
        <is>
          <t>NG</t>
        </is>
      </c>
      <c r="E177" s="76" t="inlineStr">
        <is>
          <t>S1</t>
        </is>
      </c>
      <c r="F177" s="76" t="inlineStr">
        <is>
          <t>K041</t>
        </is>
      </c>
      <c r="G177" s="75" t="n">
        <v>6.16</v>
      </c>
      <c r="H177" s="65" t="n"/>
      <c r="I177" s="66" t="n"/>
      <c r="J177" s="67">
        <f>VLOOKUP(C177,Recipes!$A$2:$N$4,10,FALSE())</f>
        <v/>
      </c>
      <c r="K177" s="68">
        <f>VLOOKUP(C177,Recipes!$A$2:$N$4,12,FALSE())</f>
        <v/>
      </c>
      <c r="L177" s="67">
        <f>J177-6*K177</f>
        <v/>
      </c>
      <c r="M177" s="67">
        <f>J177+6*K177</f>
        <v/>
      </c>
      <c r="N177" s="61">
        <f>IF(G177="","",IF(AND(G177&gt;=L177,G177&lt;=M177),"OK","NG"))</f>
        <v/>
      </c>
      <c r="O177" s="69">
        <f>IF(N177="","",IF(N177=D177,1,0))</f>
        <v/>
      </c>
      <c r="P177" s="67">
        <f>IF(G177="","",J177-G177)</f>
        <v/>
      </c>
      <c r="Q177" s="67">
        <f>IF(G177="","",ABS(P177-Components!$D$2))</f>
        <v/>
      </c>
      <c r="R177" s="67">
        <f>IF(G177="","",ABS(P177-Components!$D$3))</f>
        <v/>
      </c>
      <c r="S177" s="67">
        <f>IF(G177="","",ABS(P177-Components!$D$4))</f>
        <v/>
      </c>
      <c r="T177" s="67">
        <f>IF(G177="","",ABS(P177-Components!$D$5))</f>
        <v/>
      </c>
      <c r="U177" s="67">
        <f>IF(G177="","",ABS(P177-Components!$D$6))</f>
        <v/>
      </c>
      <c r="V177" s="67">
        <f>IF(G177="","",ABS(P177-Components!$D$7))</f>
        <v/>
      </c>
      <c r="W177" s="61">
        <f>IF(G177="","",IF(N177="OK","NONE",INDEX({"S1","S2","W1","W2","N1","N2"},MATCH(MIN(Q177:V177),Q177:V177,0))))</f>
        <v/>
      </c>
      <c r="X177" s="69">
        <f>IF(G177="","",IF(W177=E177,1,0))</f>
        <v/>
      </c>
      <c r="Y177" s="70" t="n"/>
    </row>
    <row r="178">
      <c r="A178" s="61" t="n">
        <v>103.8</v>
      </c>
      <c r="B178" s="62" t="n">
        <v>56.7</v>
      </c>
      <c r="C178" s="61" t="inlineStr">
        <is>
          <t>R4</t>
        </is>
      </c>
      <c r="D178" s="74" t="inlineStr">
        <is>
          <t>NG</t>
        </is>
      </c>
      <c r="E178" s="61" t="inlineStr">
        <is>
          <t>S1</t>
        </is>
      </c>
      <c r="F178" s="61" t="inlineStr">
        <is>
          <t>K026</t>
        </is>
      </c>
      <c r="G178" s="75" t="n">
        <v>6.16</v>
      </c>
      <c r="H178" s="65" t="n"/>
      <c r="I178" s="66" t="n"/>
      <c r="J178" s="67">
        <f>VLOOKUP(C178,Recipes!$A$2:$N$4,10,FALSE())</f>
        <v/>
      </c>
      <c r="K178" s="68">
        <f>VLOOKUP(C178,Recipes!$A$2:$N$4,12,FALSE())</f>
        <v/>
      </c>
      <c r="L178" s="67">
        <f>J178-6*K178</f>
        <v/>
      </c>
      <c r="M178" s="67">
        <f>J178+6*K178</f>
        <v/>
      </c>
      <c r="N178" s="61">
        <f>IF(G178="","",IF(AND(G178&gt;=L178,G178&lt;=M178),"OK","NG"))</f>
        <v/>
      </c>
      <c r="O178" s="69">
        <f>IF(N178="","",IF(N178=D178,1,0))</f>
        <v/>
      </c>
      <c r="P178" s="67">
        <f>IF(G178="","",J178-G178)</f>
        <v/>
      </c>
      <c r="Q178" s="67">
        <f>IF(G178="","",ABS(P178-Components!$D$2))</f>
        <v/>
      </c>
      <c r="R178" s="67">
        <f>IF(G178="","",ABS(P178-Components!$D$3))</f>
        <v/>
      </c>
      <c r="S178" s="67">
        <f>IF(G178="","",ABS(P178-Components!$D$4))</f>
        <v/>
      </c>
      <c r="T178" s="67">
        <f>IF(G178="","",ABS(P178-Components!$D$5))</f>
        <v/>
      </c>
      <c r="U178" s="67">
        <f>IF(G178="","",ABS(P178-Components!$D$6))</f>
        <v/>
      </c>
      <c r="V178" s="67">
        <f>IF(G178="","",ABS(P178-Components!$D$7))</f>
        <v/>
      </c>
      <c r="W178" s="61">
        <f>IF(G178="","",IF(N178="OK","NONE",INDEX({"S1","S2","W1","W2","N1","N2"},MATCH(MIN(Q178:V178),Q178:V178,0))))</f>
        <v/>
      </c>
      <c r="X178" s="69">
        <f>IF(G178="","",IF(W178=E178,1,0))</f>
        <v/>
      </c>
      <c r="Y178" s="70" t="n"/>
    </row>
    <row r="179">
      <c r="A179" s="61" t="n">
        <v>107</v>
      </c>
      <c r="B179" s="62" t="n">
        <v>58.2</v>
      </c>
      <c r="C179" s="61" t="inlineStr">
        <is>
          <t>R4</t>
        </is>
      </c>
      <c r="D179" s="74" t="inlineStr">
        <is>
          <t>NG</t>
        </is>
      </c>
      <c r="E179" s="61" t="inlineStr">
        <is>
          <t>S1</t>
        </is>
      </c>
      <c r="F179" s="61" t="inlineStr">
        <is>
          <t>K027</t>
        </is>
      </c>
      <c r="G179" s="75" t="n">
        <v>6.15</v>
      </c>
      <c r="H179" s="65" t="n"/>
      <c r="I179" s="66" t="n"/>
      <c r="J179" s="67">
        <f>VLOOKUP(C179,Recipes!$A$2:$N$4,10,FALSE())</f>
        <v/>
      </c>
      <c r="K179" s="68">
        <f>VLOOKUP(C179,Recipes!$A$2:$N$4,12,FALSE())</f>
        <v/>
      </c>
      <c r="L179" s="67">
        <f>J179-6*K179</f>
        <v/>
      </c>
      <c r="M179" s="67">
        <f>J179+6*K179</f>
        <v/>
      </c>
      <c r="N179" s="61">
        <f>IF(G179="","",IF(AND(G179&gt;=L179,G179&lt;=M179),"OK","NG"))</f>
        <v/>
      </c>
      <c r="O179" s="69">
        <f>IF(N179="","",IF(N179=D179,1,0))</f>
        <v/>
      </c>
      <c r="P179" s="67">
        <f>IF(G179="","",J179-G179)</f>
        <v/>
      </c>
      <c r="Q179" s="67">
        <f>IF(G179="","",ABS(P179-Components!$D$2))</f>
        <v/>
      </c>
      <c r="R179" s="67">
        <f>IF(G179="","",ABS(P179-Components!$D$3))</f>
        <v/>
      </c>
      <c r="S179" s="67">
        <f>IF(G179="","",ABS(P179-Components!$D$4))</f>
        <v/>
      </c>
      <c r="T179" s="67">
        <f>IF(G179="","",ABS(P179-Components!$D$5))</f>
        <v/>
      </c>
      <c r="U179" s="67">
        <f>IF(G179="","",ABS(P179-Components!$D$6))</f>
        <v/>
      </c>
      <c r="V179" s="67">
        <f>IF(G179="","",ABS(P179-Components!$D$7))</f>
        <v/>
      </c>
      <c r="W179" s="61">
        <f>IF(G179="","",IF(N179="OK","NONE",INDEX({"S1","S2","W1","W2","N1","N2"},MATCH(MIN(Q179:V179),Q179:V179,0))))</f>
        <v/>
      </c>
      <c r="X179" s="69">
        <f>IF(G179="","",IF(W179=E179,1,0))</f>
        <v/>
      </c>
      <c r="Y179" s="70" t="n"/>
    </row>
    <row r="180">
      <c r="A180" s="61" t="n">
        <v>110.2</v>
      </c>
      <c r="B180" s="62" t="n">
        <v>59.7</v>
      </c>
      <c r="C180" s="61" t="inlineStr">
        <is>
          <t>R4</t>
        </is>
      </c>
      <c r="D180" s="74" t="inlineStr">
        <is>
          <t>NG</t>
        </is>
      </c>
      <c r="E180" s="61" t="inlineStr">
        <is>
          <t>S1</t>
        </is>
      </c>
      <c r="F180" s="61" t="inlineStr">
        <is>
          <t>K028</t>
        </is>
      </c>
      <c r="G180" s="75" t="n">
        <v>6.17</v>
      </c>
      <c r="H180" s="65" t="n"/>
      <c r="I180" s="66" t="n"/>
      <c r="J180" s="67">
        <f>VLOOKUP(C180,Recipes!$A$2:$N$4,10,FALSE())</f>
        <v/>
      </c>
      <c r="K180" s="68">
        <f>VLOOKUP(C180,Recipes!$A$2:$N$4,12,FALSE())</f>
        <v/>
      </c>
      <c r="L180" s="67">
        <f>J180-6*K180</f>
        <v/>
      </c>
      <c r="M180" s="67">
        <f>J180+6*K180</f>
        <v/>
      </c>
      <c r="N180" s="61">
        <f>IF(G180="","",IF(AND(G180&gt;=L180,G180&lt;=M180),"OK","NG"))</f>
        <v/>
      </c>
      <c r="O180" s="69">
        <f>IF(N180="","",IF(N180=D180,1,0))</f>
        <v/>
      </c>
      <c r="P180" s="67">
        <f>IF(G180="","",J180-G180)</f>
        <v/>
      </c>
      <c r="Q180" s="67">
        <f>IF(G180="","",ABS(P180-Components!$D$2))</f>
        <v/>
      </c>
      <c r="R180" s="67">
        <f>IF(G180="","",ABS(P180-Components!$D$3))</f>
        <v/>
      </c>
      <c r="S180" s="67">
        <f>IF(G180="","",ABS(P180-Components!$D$4))</f>
        <v/>
      </c>
      <c r="T180" s="67">
        <f>IF(G180="","",ABS(P180-Components!$D$5))</f>
        <v/>
      </c>
      <c r="U180" s="67">
        <f>IF(G180="","",ABS(P180-Components!$D$6))</f>
        <v/>
      </c>
      <c r="V180" s="67">
        <f>IF(G180="","",ABS(P180-Components!$D$7))</f>
        <v/>
      </c>
      <c r="W180" s="61">
        <f>IF(G180="","",IF(N180="OK","NONE",INDEX({"S1","S2","W1","W2","N1","N2"},MATCH(MIN(Q180:V180),Q180:V180,0))))</f>
        <v/>
      </c>
      <c r="X180" s="69">
        <f>IF(G180="","",IF(W180=E180,1,0))</f>
        <v/>
      </c>
      <c r="Y180" s="70" t="n"/>
    </row>
    <row r="181">
      <c r="A181" s="61" t="n">
        <v>113.4</v>
      </c>
      <c r="B181" s="62" t="n">
        <v>61.2</v>
      </c>
      <c r="C181" s="61" t="inlineStr">
        <is>
          <t>R4</t>
        </is>
      </c>
      <c r="D181" s="74" t="inlineStr">
        <is>
          <t>NG</t>
        </is>
      </c>
      <c r="E181" s="61" t="inlineStr">
        <is>
          <t>S1</t>
        </is>
      </c>
      <c r="F181" s="61" t="inlineStr">
        <is>
          <t>K029</t>
        </is>
      </c>
      <c r="G181" s="75" t="n">
        <v>6.2</v>
      </c>
      <c r="H181" s="65" t="n"/>
      <c r="I181" s="66" t="n"/>
      <c r="J181" s="67">
        <f>VLOOKUP(C181,Recipes!$A$2:$N$4,10,FALSE())</f>
        <v/>
      </c>
      <c r="K181" s="68">
        <f>VLOOKUP(C181,Recipes!$A$2:$N$4,12,FALSE())</f>
        <v/>
      </c>
      <c r="L181" s="67">
        <f>J181-6*K181</f>
        <v/>
      </c>
      <c r="M181" s="67">
        <f>J181+6*K181</f>
        <v/>
      </c>
      <c r="N181" s="61">
        <f>IF(G181="","",IF(AND(G181&gt;=L181,G181&lt;=M181),"OK","NG"))</f>
        <v/>
      </c>
      <c r="O181" s="69">
        <f>IF(N181="","",IF(N181=D181,1,0))</f>
        <v/>
      </c>
      <c r="P181" s="67">
        <f>IF(G181="","",J181-G181)</f>
        <v/>
      </c>
      <c r="Q181" s="67">
        <f>IF(G181="","",ABS(P181-Components!$D$2))</f>
        <v/>
      </c>
      <c r="R181" s="67">
        <f>IF(G181="","",ABS(P181-Components!$D$3))</f>
        <v/>
      </c>
      <c r="S181" s="67">
        <f>IF(G181="","",ABS(P181-Components!$D$4))</f>
        <v/>
      </c>
      <c r="T181" s="67">
        <f>IF(G181="","",ABS(P181-Components!$D$5))</f>
        <v/>
      </c>
      <c r="U181" s="67">
        <f>IF(G181="","",ABS(P181-Components!$D$6))</f>
        <v/>
      </c>
      <c r="V181" s="67">
        <f>IF(G181="","",ABS(P181-Components!$D$7))</f>
        <v/>
      </c>
      <c r="W181" s="61">
        <f>IF(G181="","",IF(N181="OK","NONE",INDEX({"S1","S2","W1","W2","N1","N2"},MATCH(MIN(Q181:V181),Q181:V181,0))))</f>
        <v/>
      </c>
      <c r="X181" s="69">
        <f>IF(G181="","",IF(W181=E181,1,0))</f>
        <v/>
      </c>
      <c r="Y181" s="70" t="n"/>
    </row>
    <row r="182">
      <c r="A182" s="76" t="n">
        <v>116.6</v>
      </c>
      <c r="B182" s="77" t="n">
        <v>62.7</v>
      </c>
      <c r="C182" s="76" t="inlineStr">
        <is>
          <t>R4</t>
        </is>
      </c>
      <c r="D182" s="78" t="inlineStr">
        <is>
          <t>NG</t>
        </is>
      </c>
      <c r="E182" s="76" t="inlineStr">
        <is>
          <t>S1</t>
        </is>
      </c>
      <c r="F182" s="76" t="inlineStr">
        <is>
          <t>K041</t>
        </is>
      </c>
      <c r="G182" s="75" t="n">
        <v>6.14</v>
      </c>
      <c r="H182" s="65" t="n"/>
      <c r="I182" s="66" t="n"/>
      <c r="J182" s="67">
        <f>VLOOKUP(C182,Recipes!$A$2:$N$4,10,FALSE())</f>
        <v/>
      </c>
      <c r="K182" s="68">
        <f>VLOOKUP(C182,Recipes!$A$2:$N$4,12,FALSE())</f>
        <v/>
      </c>
      <c r="L182" s="67">
        <f>J182-6*K182</f>
        <v/>
      </c>
      <c r="M182" s="67">
        <f>J182+6*K182</f>
        <v/>
      </c>
      <c r="N182" s="61">
        <f>IF(G182="","",IF(AND(G182&gt;=L182,G182&lt;=M182),"OK","NG"))</f>
        <v/>
      </c>
      <c r="O182" s="69">
        <f>IF(N182="","",IF(N182=D182,1,0))</f>
        <v/>
      </c>
      <c r="P182" s="67">
        <f>IF(G182="","",J182-G182)</f>
        <v/>
      </c>
      <c r="Q182" s="67">
        <f>IF(G182="","",ABS(P182-Components!$D$2))</f>
        <v/>
      </c>
      <c r="R182" s="67">
        <f>IF(G182="","",ABS(P182-Components!$D$3))</f>
        <v/>
      </c>
      <c r="S182" s="67">
        <f>IF(G182="","",ABS(P182-Components!$D$4))</f>
        <v/>
      </c>
      <c r="T182" s="67">
        <f>IF(G182="","",ABS(P182-Components!$D$5))</f>
        <v/>
      </c>
      <c r="U182" s="67">
        <f>IF(G182="","",ABS(P182-Components!$D$6))</f>
        <v/>
      </c>
      <c r="V182" s="67">
        <f>IF(G182="","",ABS(P182-Components!$D$7))</f>
        <v/>
      </c>
      <c r="W182" s="61">
        <f>IF(G182="","",IF(N182="OK","NONE",INDEX({"S1","S2","W1","W2","N1","N2"},MATCH(MIN(Q182:V182),Q182:V182,0))))</f>
        <v/>
      </c>
      <c r="X182" s="69">
        <f>IF(G182="","",IF(W182=E182,1,0))</f>
        <v/>
      </c>
      <c r="Y182" s="70" t="n"/>
    </row>
    <row r="183">
      <c r="A183" s="61" t="n">
        <v>30</v>
      </c>
      <c r="B183" s="62" t="n">
        <v>19</v>
      </c>
      <c r="C183" s="61" t="inlineStr">
        <is>
          <t>R4</t>
        </is>
      </c>
      <c r="D183" s="74" t="inlineStr">
        <is>
          <t>NG</t>
        </is>
      </c>
      <c r="E183" s="61" t="inlineStr">
        <is>
          <t>W1</t>
        </is>
      </c>
      <c r="F183" s="61" t="inlineStr">
        <is>
          <t>K030</t>
        </is>
      </c>
      <c r="G183" s="64" t="n">
        <v>7.99</v>
      </c>
      <c r="H183" s="65" t="n"/>
      <c r="I183" s="66" t="n"/>
      <c r="J183" s="67">
        <f>VLOOKUP(C183,Recipes!$A$2:$N$4,10,FALSE())</f>
        <v/>
      </c>
      <c r="K183" s="68">
        <f>VLOOKUP(C183,Recipes!$A$2:$N$4,12,FALSE())</f>
        <v/>
      </c>
      <c r="L183" s="67">
        <f>J183-6*K183</f>
        <v/>
      </c>
      <c r="M183" s="67">
        <f>J183+6*K183</f>
        <v/>
      </c>
      <c r="N183" s="61">
        <f>IF(G183="","",IF(AND(G183&gt;=L183,G183&lt;=M183),"OK","NG"))</f>
        <v/>
      </c>
      <c r="O183" s="69">
        <f>IF(N183="","",IF(N183=D183,1,0))</f>
        <v/>
      </c>
      <c r="P183" s="67">
        <f>IF(G183="","",J183-G183)</f>
        <v/>
      </c>
      <c r="Q183" s="67">
        <f>IF(G183="","",ABS(P183-Components!$D$2))</f>
        <v/>
      </c>
      <c r="R183" s="67">
        <f>IF(G183="","",ABS(P183-Components!$D$3))</f>
        <v/>
      </c>
      <c r="S183" s="67">
        <f>IF(G183="","",ABS(P183-Components!$D$4))</f>
        <v/>
      </c>
      <c r="T183" s="67">
        <f>IF(G183="","",ABS(P183-Components!$D$5))</f>
        <v/>
      </c>
      <c r="U183" s="67">
        <f>IF(G183="","",ABS(P183-Components!$D$6))</f>
        <v/>
      </c>
      <c r="V183" s="67">
        <f>IF(G183="","",ABS(P183-Components!$D$7))</f>
        <v/>
      </c>
      <c r="W183" s="61">
        <f>IF(G183="","",IF(N183="OK","NONE",INDEX({"S1","S2","W1","W2","N1","N2"},MATCH(MIN(Q183:V183),Q183:V183,0))))</f>
        <v/>
      </c>
      <c r="X183" s="69">
        <f>IF(G183="","",IF(W183=E183,1,0))</f>
        <v/>
      </c>
      <c r="Y183" s="70" t="n"/>
    </row>
    <row r="184">
      <c r="A184" s="61" t="n">
        <v>31</v>
      </c>
      <c r="B184" s="62" t="n">
        <v>32</v>
      </c>
      <c r="C184" s="61" t="inlineStr">
        <is>
          <t>R4</t>
        </is>
      </c>
      <c r="D184" s="74" t="inlineStr">
        <is>
          <t>NG</t>
        </is>
      </c>
      <c r="E184" s="61" t="inlineStr">
        <is>
          <t>W1</t>
        </is>
      </c>
      <c r="F184" s="61" t="inlineStr">
        <is>
          <t>K031</t>
        </is>
      </c>
      <c r="G184" s="64" t="n">
        <v>7.97</v>
      </c>
      <c r="H184" s="65" t="n"/>
      <c r="I184" s="66" t="n"/>
      <c r="J184" s="67">
        <f>VLOOKUP(C184,Recipes!$A$2:$N$4,10,FALSE())</f>
        <v/>
      </c>
      <c r="K184" s="68">
        <f>VLOOKUP(C184,Recipes!$A$2:$N$4,12,FALSE())</f>
        <v/>
      </c>
      <c r="L184" s="67">
        <f>J184-6*K184</f>
        <v/>
      </c>
      <c r="M184" s="67">
        <f>J184+6*K184</f>
        <v/>
      </c>
      <c r="N184" s="61">
        <f>IF(G184="","",IF(AND(G184&gt;=L184,G184&lt;=M184),"OK","NG"))</f>
        <v/>
      </c>
      <c r="O184" s="69">
        <f>IF(N184="","",IF(N184=D184,1,0))</f>
        <v/>
      </c>
      <c r="P184" s="67">
        <f>IF(G184="","",J184-G184)</f>
        <v/>
      </c>
      <c r="Q184" s="67">
        <f>IF(G184="","",ABS(P184-Components!$D$2))</f>
        <v/>
      </c>
      <c r="R184" s="67">
        <f>IF(G184="","",ABS(P184-Components!$D$3))</f>
        <v/>
      </c>
      <c r="S184" s="67">
        <f>IF(G184="","",ABS(P184-Components!$D$4))</f>
        <v/>
      </c>
      <c r="T184" s="67">
        <f>IF(G184="","",ABS(P184-Components!$D$5))</f>
        <v/>
      </c>
      <c r="U184" s="67">
        <f>IF(G184="","",ABS(P184-Components!$D$6))</f>
        <v/>
      </c>
      <c r="V184" s="67">
        <f>IF(G184="","",ABS(P184-Components!$D$7))</f>
        <v/>
      </c>
      <c r="W184" s="61">
        <f>IF(G184="","",IF(N184="OK","NONE",INDEX({"S1","S2","W1","W2","N1","N2"},MATCH(MIN(Q184:V184),Q184:V184,0))))</f>
        <v/>
      </c>
      <c r="X184" s="69">
        <f>IF(G184="","",IF(W184=E184,1,0))</f>
        <v/>
      </c>
      <c r="Y184" s="70" t="n"/>
    </row>
    <row r="185">
      <c r="A185" s="61" t="n">
        <v>32</v>
      </c>
      <c r="B185" s="62" t="n">
        <v>37</v>
      </c>
      <c r="C185" s="61" t="inlineStr">
        <is>
          <t>R4</t>
        </is>
      </c>
      <c r="D185" s="74" t="inlineStr">
        <is>
          <t>NG</t>
        </is>
      </c>
      <c r="E185" s="61" t="inlineStr">
        <is>
          <t>W1</t>
        </is>
      </c>
      <c r="F185" s="61" t="inlineStr">
        <is>
          <t>K032</t>
        </is>
      </c>
      <c r="G185" s="64" t="n">
        <v>7.97</v>
      </c>
      <c r="H185" s="65" t="n"/>
      <c r="I185" s="66" t="n"/>
      <c r="J185" s="67">
        <f>VLOOKUP(C185,Recipes!$A$2:$N$4,10,FALSE())</f>
        <v/>
      </c>
      <c r="K185" s="68">
        <f>VLOOKUP(C185,Recipes!$A$2:$N$4,12,FALSE())</f>
        <v/>
      </c>
      <c r="L185" s="67">
        <f>J185-6*K185</f>
        <v/>
      </c>
      <c r="M185" s="67">
        <f>J185+6*K185</f>
        <v/>
      </c>
      <c r="N185" s="61">
        <f>IF(G185="","",IF(AND(G185&gt;=L185,G185&lt;=M185),"OK","NG"))</f>
        <v/>
      </c>
      <c r="O185" s="69">
        <f>IF(N185="","",IF(N185=D185,1,0))</f>
        <v/>
      </c>
      <c r="P185" s="67">
        <f>IF(G185="","",J185-G185)</f>
        <v/>
      </c>
      <c r="Q185" s="67">
        <f>IF(G185="","",ABS(P185-Components!$D$2))</f>
        <v/>
      </c>
      <c r="R185" s="67">
        <f>IF(G185="","",ABS(P185-Components!$D$3))</f>
        <v/>
      </c>
      <c r="S185" s="67">
        <f>IF(G185="","",ABS(P185-Components!$D$4))</f>
        <v/>
      </c>
      <c r="T185" s="67">
        <f>IF(G185="","",ABS(P185-Components!$D$5))</f>
        <v/>
      </c>
      <c r="U185" s="67">
        <f>IF(G185="","",ABS(P185-Components!$D$6))</f>
        <v/>
      </c>
      <c r="V185" s="67">
        <f>IF(G185="","",ABS(P185-Components!$D$7))</f>
        <v/>
      </c>
      <c r="W185" s="61">
        <f>IF(G185="","",IF(N185="OK","NONE",INDEX({"S1","S2","W1","W2","N1","N2"},MATCH(MIN(Q185:V185),Q185:V185,0))))</f>
        <v/>
      </c>
      <c r="X185" s="69">
        <f>IF(G185="","",IF(W185=E185,1,0))</f>
        <v/>
      </c>
      <c r="Y185" s="70" t="n"/>
    </row>
    <row r="186">
      <c r="A186" s="61" t="n">
        <v>33</v>
      </c>
      <c r="B186" s="62" t="n">
        <v>27</v>
      </c>
      <c r="C186" s="61" t="inlineStr">
        <is>
          <t>R4</t>
        </is>
      </c>
      <c r="D186" s="74" t="inlineStr">
        <is>
          <t>NG</t>
        </is>
      </c>
      <c r="E186" s="61" t="inlineStr">
        <is>
          <t>W1</t>
        </is>
      </c>
      <c r="F186" s="61" t="inlineStr">
        <is>
          <t>K033</t>
        </is>
      </c>
      <c r="G186" s="64" t="n">
        <v>7.94</v>
      </c>
      <c r="H186" s="65" t="n"/>
      <c r="I186" s="66" t="n"/>
      <c r="J186" s="67">
        <f>VLOOKUP(C186,Recipes!$A$2:$N$4,10,FALSE())</f>
        <v/>
      </c>
      <c r="K186" s="68">
        <f>VLOOKUP(C186,Recipes!$A$2:$N$4,12,FALSE())</f>
        <v/>
      </c>
      <c r="L186" s="67">
        <f>J186-6*K186</f>
        <v/>
      </c>
      <c r="M186" s="67">
        <f>J186+6*K186</f>
        <v/>
      </c>
      <c r="N186" s="61">
        <f>IF(G186="","",IF(AND(G186&gt;=L186,G186&lt;=M186),"OK","NG"))</f>
        <v/>
      </c>
      <c r="O186" s="69">
        <f>IF(N186="","",IF(N186=D186,1,0))</f>
        <v/>
      </c>
      <c r="P186" s="67">
        <f>IF(G186="","",J186-G186)</f>
        <v/>
      </c>
      <c r="Q186" s="67">
        <f>IF(G186="","",ABS(P186-Components!$D$2))</f>
        <v/>
      </c>
      <c r="R186" s="67">
        <f>IF(G186="","",ABS(P186-Components!$D$3))</f>
        <v/>
      </c>
      <c r="S186" s="67">
        <f>IF(G186="","",ABS(P186-Components!$D$4))</f>
        <v/>
      </c>
      <c r="T186" s="67">
        <f>IF(G186="","",ABS(P186-Components!$D$5))</f>
        <v/>
      </c>
      <c r="U186" s="67">
        <f>IF(G186="","",ABS(P186-Components!$D$6))</f>
        <v/>
      </c>
      <c r="V186" s="67">
        <f>IF(G186="","",ABS(P186-Components!$D$7))</f>
        <v/>
      </c>
      <c r="W186" s="61">
        <f>IF(G186="","",IF(N186="OK","NONE",INDEX({"S1","S2","W1","W2","N1","N2"},MATCH(MIN(Q186:V186),Q186:V186,0))))</f>
        <v/>
      </c>
      <c r="X186" s="69">
        <f>IF(G186="","",IF(W186=E186,1,0))</f>
        <v/>
      </c>
      <c r="Y186" s="70" t="n"/>
    </row>
    <row r="187">
      <c r="A187" s="76" t="n">
        <v>42</v>
      </c>
      <c r="B187" s="77" t="n">
        <v>48</v>
      </c>
      <c r="C187" s="76" t="inlineStr">
        <is>
          <t>R4</t>
        </is>
      </c>
      <c r="D187" s="78" t="inlineStr">
        <is>
          <t>NG</t>
        </is>
      </c>
      <c r="E187" s="76" t="inlineStr">
        <is>
          <t>W1</t>
        </is>
      </c>
      <c r="F187" s="76" t="inlineStr">
        <is>
          <t>K042</t>
        </is>
      </c>
      <c r="G187" s="75" t="n">
        <v>7.96</v>
      </c>
      <c r="H187" s="65" t="n"/>
      <c r="I187" s="66" t="n"/>
      <c r="J187" s="67">
        <f>VLOOKUP(C187,Recipes!$A$2:$N$4,10,FALSE())</f>
        <v/>
      </c>
      <c r="K187" s="68">
        <f>VLOOKUP(C187,Recipes!$A$2:$N$4,12,FALSE())</f>
        <v/>
      </c>
      <c r="L187" s="67">
        <f>J187-6*K187</f>
        <v/>
      </c>
      <c r="M187" s="67">
        <f>J187+6*K187</f>
        <v/>
      </c>
      <c r="N187" s="61">
        <f>IF(G187="","",IF(AND(G187&gt;=L187,G187&lt;=M187),"OK","NG"))</f>
        <v/>
      </c>
      <c r="O187" s="69">
        <f>IF(N187="","",IF(N187=D187,1,0))</f>
        <v/>
      </c>
      <c r="P187" s="67">
        <f>IF(G187="","",J187-G187)</f>
        <v/>
      </c>
      <c r="Q187" s="67">
        <f>IF(G187="","",ABS(P187-Components!$D$2))</f>
        <v/>
      </c>
      <c r="R187" s="67">
        <f>IF(G187="","",ABS(P187-Components!$D$3))</f>
        <v/>
      </c>
      <c r="S187" s="67">
        <f>IF(G187="","",ABS(P187-Components!$D$4))</f>
        <v/>
      </c>
      <c r="T187" s="67">
        <f>IF(G187="","",ABS(P187-Components!$D$5))</f>
        <v/>
      </c>
      <c r="U187" s="67">
        <f>IF(G187="","",ABS(P187-Components!$D$6))</f>
        <v/>
      </c>
      <c r="V187" s="67">
        <f>IF(G187="","",ABS(P187-Components!$D$7))</f>
        <v/>
      </c>
      <c r="W187" s="61">
        <f>IF(G187="","",IF(N187="OK","NONE",INDEX({"S1","S2","W1","W2","N1","N2"},MATCH(MIN(Q187:V187),Q187:V187,0))))</f>
        <v/>
      </c>
      <c r="X187" s="69">
        <f>IF(G187="","",IF(W187=E187,1,0))</f>
        <v/>
      </c>
      <c r="Y187" s="70" t="n"/>
    </row>
    <row r="188">
      <c r="A188" s="61" t="n">
        <v>41.4</v>
      </c>
      <c r="B188" s="62" t="n">
        <v>48.5</v>
      </c>
      <c r="C188" s="61" t="inlineStr">
        <is>
          <t>R4</t>
        </is>
      </c>
      <c r="D188" s="74" t="inlineStr">
        <is>
          <t>NG</t>
        </is>
      </c>
      <c r="E188" s="61" t="inlineStr">
        <is>
          <t>W1</t>
        </is>
      </c>
      <c r="F188" s="61" t="inlineStr">
        <is>
          <t>K030</t>
        </is>
      </c>
      <c r="G188" s="75" t="n">
        <v>8.02</v>
      </c>
      <c r="H188" s="65" t="n"/>
      <c r="I188" s="66" t="n"/>
      <c r="J188" s="67">
        <f>VLOOKUP(C188,Recipes!$A$2:$N$4,10,FALSE())</f>
        <v/>
      </c>
      <c r="K188" s="68">
        <f>VLOOKUP(C188,Recipes!$A$2:$N$4,12,FALSE())</f>
        <v/>
      </c>
      <c r="L188" s="67">
        <f>J188-6*K188</f>
        <v/>
      </c>
      <c r="M188" s="67">
        <f>J188+6*K188</f>
        <v/>
      </c>
      <c r="N188" s="61">
        <f>IF(G188="","",IF(AND(G188&gt;=L188,G188&lt;=M188),"OK","NG"))</f>
        <v/>
      </c>
      <c r="O188" s="69">
        <f>IF(N188="","",IF(N188=D188,1,0))</f>
        <v/>
      </c>
      <c r="P188" s="67">
        <f>IF(G188="","",J188-G188)</f>
        <v/>
      </c>
      <c r="Q188" s="67">
        <f>IF(G188="","",ABS(P188-Components!$D$2))</f>
        <v/>
      </c>
      <c r="R188" s="67">
        <f>IF(G188="","",ABS(P188-Components!$D$3))</f>
        <v/>
      </c>
      <c r="S188" s="67">
        <f>IF(G188="","",ABS(P188-Components!$D$4))</f>
        <v/>
      </c>
      <c r="T188" s="67">
        <f>IF(G188="","",ABS(P188-Components!$D$5))</f>
        <v/>
      </c>
      <c r="U188" s="67">
        <f>IF(G188="","",ABS(P188-Components!$D$6))</f>
        <v/>
      </c>
      <c r="V188" s="67">
        <f>IF(G188="","",ABS(P188-Components!$D$7))</f>
        <v/>
      </c>
      <c r="W188" s="61">
        <f>IF(G188="","",IF(N188="OK","NONE",INDEX({"S1","S2","W1","W2","N1","N2"},MATCH(MIN(Q188:V188),Q188:V188,0))))</f>
        <v/>
      </c>
      <c r="X188" s="69">
        <f>IF(G188="","",IF(W188=E188,1,0))</f>
        <v/>
      </c>
      <c r="Y188" s="70" t="n"/>
    </row>
    <row r="189">
      <c r="A189" s="61" t="n">
        <v>44</v>
      </c>
      <c r="B189" s="62" t="n">
        <v>53.8</v>
      </c>
      <c r="C189" s="61" t="inlineStr">
        <is>
          <t>R4</t>
        </is>
      </c>
      <c r="D189" s="74" t="inlineStr">
        <is>
          <t>NG</t>
        </is>
      </c>
      <c r="E189" s="61" t="inlineStr">
        <is>
          <t>W1</t>
        </is>
      </c>
      <c r="F189" s="61" t="inlineStr">
        <is>
          <t>K031</t>
        </is>
      </c>
      <c r="G189" s="75" t="n">
        <v>8.07</v>
      </c>
      <c r="H189" s="65" t="n"/>
      <c r="I189" s="66" t="n"/>
      <c r="J189" s="67">
        <f>VLOOKUP(C189,Recipes!$A$2:$N$4,10,FALSE())</f>
        <v/>
      </c>
      <c r="K189" s="68">
        <f>VLOOKUP(C189,Recipes!$A$2:$N$4,12,FALSE())</f>
        <v/>
      </c>
      <c r="L189" s="67">
        <f>J189-6*K189</f>
        <v/>
      </c>
      <c r="M189" s="67">
        <f>J189+6*K189</f>
        <v/>
      </c>
      <c r="N189" s="61">
        <f>IF(G189="","",IF(AND(G189&gt;=L189,G189&lt;=M189),"OK","NG"))</f>
        <v/>
      </c>
      <c r="O189" s="69">
        <f>IF(N189="","",IF(N189=D189,1,0))</f>
        <v/>
      </c>
      <c r="P189" s="67">
        <f>IF(G189="","",J189-G189)</f>
        <v/>
      </c>
      <c r="Q189" s="67">
        <f>IF(G189="","",ABS(P189-Components!$D$2))</f>
        <v/>
      </c>
      <c r="R189" s="67">
        <f>IF(G189="","",ABS(P189-Components!$D$3))</f>
        <v/>
      </c>
      <c r="S189" s="67">
        <f>IF(G189="","",ABS(P189-Components!$D$4))</f>
        <v/>
      </c>
      <c r="T189" s="67">
        <f>IF(G189="","",ABS(P189-Components!$D$5))</f>
        <v/>
      </c>
      <c r="U189" s="67">
        <f>IF(G189="","",ABS(P189-Components!$D$6))</f>
        <v/>
      </c>
      <c r="V189" s="67">
        <f>IF(G189="","",ABS(P189-Components!$D$7))</f>
        <v/>
      </c>
      <c r="W189" s="61">
        <f>IF(G189="","",IF(N189="OK","NONE",INDEX({"S1","S2","W1","W2","N1","N2"},MATCH(MIN(Q189:V189),Q189:V189,0))))</f>
        <v/>
      </c>
      <c r="X189" s="69">
        <f>IF(G189="","",IF(W189=E189,1,0))</f>
        <v/>
      </c>
      <c r="Y189" s="70" t="n"/>
    </row>
    <row r="190">
      <c r="A190" s="61" t="n">
        <v>46.6</v>
      </c>
      <c r="B190" s="62" t="n">
        <v>59.1</v>
      </c>
      <c r="C190" s="61" t="inlineStr">
        <is>
          <t>R4</t>
        </is>
      </c>
      <c r="D190" s="74" t="inlineStr">
        <is>
          <t>NG</t>
        </is>
      </c>
      <c r="E190" s="61" t="inlineStr">
        <is>
          <t>W1</t>
        </is>
      </c>
      <c r="F190" s="61" t="inlineStr">
        <is>
          <t>K032</t>
        </is>
      </c>
      <c r="G190" s="75" t="n">
        <v>7.89</v>
      </c>
      <c r="H190" s="65" t="n"/>
      <c r="I190" s="66" t="n"/>
      <c r="J190" s="67">
        <f>VLOOKUP(C190,Recipes!$A$2:$N$4,10,FALSE())</f>
        <v/>
      </c>
      <c r="K190" s="68">
        <f>VLOOKUP(C190,Recipes!$A$2:$N$4,12,FALSE())</f>
        <v/>
      </c>
      <c r="L190" s="67">
        <f>J190-6*K190</f>
        <v/>
      </c>
      <c r="M190" s="67">
        <f>J190+6*K190</f>
        <v/>
      </c>
      <c r="N190" s="61">
        <f>IF(G190="","",IF(AND(G190&gt;=L190,G190&lt;=M190),"OK","NG"))</f>
        <v/>
      </c>
      <c r="O190" s="69">
        <f>IF(N190="","",IF(N190=D190,1,0))</f>
        <v/>
      </c>
      <c r="P190" s="67">
        <f>IF(G190="","",J190-G190)</f>
        <v/>
      </c>
      <c r="Q190" s="67">
        <f>IF(G190="","",ABS(P190-Components!$D$2))</f>
        <v/>
      </c>
      <c r="R190" s="67">
        <f>IF(G190="","",ABS(P190-Components!$D$3))</f>
        <v/>
      </c>
      <c r="S190" s="67">
        <f>IF(G190="","",ABS(P190-Components!$D$4))</f>
        <v/>
      </c>
      <c r="T190" s="67">
        <f>IF(G190="","",ABS(P190-Components!$D$5))</f>
        <v/>
      </c>
      <c r="U190" s="67">
        <f>IF(G190="","",ABS(P190-Components!$D$6))</f>
        <v/>
      </c>
      <c r="V190" s="67">
        <f>IF(G190="","",ABS(P190-Components!$D$7))</f>
        <v/>
      </c>
      <c r="W190" s="61">
        <f>IF(G190="","",IF(N190="OK","NONE",INDEX({"S1","S2","W1","W2","N1","N2"},MATCH(MIN(Q190:V190),Q190:V190,0))))</f>
        <v/>
      </c>
      <c r="X190" s="69">
        <f>IF(G190="","",IF(W190=E190,1,0))</f>
        <v/>
      </c>
      <c r="Y190" s="70" t="n"/>
    </row>
    <row r="191">
      <c r="A191" s="61" t="n">
        <v>49.2</v>
      </c>
      <c r="B191" s="62" t="n">
        <v>64.40000000000001</v>
      </c>
      <c r="C191" s="61" t="inlineStr">
        <is>
          <t>R4</t>
        </is>
      </c>
      <c r="D191" s="74" t="inlineStr">
        <is>
          <t>NG</t>
        </is>
      </c>
      <c r="E191" s="61" t="inlineStr">
        <is>
          <t>W1</t>
        </is>
      </c>
      <c r="F191" s="61" t="inlineStr">
        <is>
          <t>K033</t>
        </is>
      </c>
      <c r="G191" s="75" t="n">
        <v>7.91</v>
      </c>
      <c r="H191" s="65" t="n"/>
      <c r="I191" s="66" t="n"/>
      <c r="J191" s="67">
        <f>VLOOKUP(C191,Recipes!$A$2:$N$4,10,FALSE())</f>
        <v/>
      </c>
      <c r="K191" s="68">
        <f>VLOOKUP(C191,Recipes!$A$2:$N$4,12,FALSE())</f>
        <v/>
      </c>
      <c r="L191" s="67">
        <f>J191-6*K191</f>
        <v/>
      </c>
      <c r="M191" s="67">
        <f>J191+6*K191</f>
        <v/>
      </c>
      <c r="N191" s="61">
        <f>IF(G191="","",IF(AND(G191&gt;=L191,G191&lt;=M191),"OK","NG"))</f>
        <v/>
      </c>
      <c r="O191" s="69">
        <f>IF(N191="","",IF(N191=D191,1,0))</f>
        <v/>
      </c>
      <c r="P191" s="67">
        <f>IF(G191="","",J191-G191)</f>
        <v/>
      </c>
      <c r="Q191" s="67">
        <f>IF(G191="","",ABS(P191-Components!$D$2))</f>
        <v/>
      </c>
      <c r="R191" s="67">
        <f>IF(G191="","",ABS(P191-Components!$D$3))</f>
        <v/>
      </c>
      <c r="S191" s="67">
        <f>IF(G191="","",ABS(P191-Components!$D$4))</f>
        <v/>
      </c>
      <c r="T191" s="67">
        <f>IF(G191="","",ABS(P191-Components!$D$5))</f>
        <v/>
      </c>
      <c r="U191" s="67">
        <f>IF(G191="","",ABS(P191-Components!$D$6))</f>
        <v/>
      </c>
      <c r="V191" s="67">
        <f>IF(G191="","",ABS(P191-Components!$D$7))</f>
        <v/>
      </c>
      <c r="W191" s="61">
        <f>IF(G191="","",IF(N191="OK","NONE",INDEX({"S1","S2","W1","W2","N1","N2"},MATCH(MIN(Q191:V191),Q191:V191,0))))</f>
        <v/>
      </c>
      <c r="X191" s="69">
        <f>IF(G191="","",IF(W191=E191,1,0))</f>
        <v/>
      </c>
      <c r="Y191" s="70" t="n"/>
    </row>
    <row r="192">
      <c r="A192" s="76" t="n">
        <v>51.8</v>
      </c>
      <c r="B192" s="77" t="n">
        <v>69.7</v>
      </c>
      <c r="C192" s="76" t="inlineStr">
        <is>
          <t>R4</t>
        </is>
      </c>
      <c r="D192" s="78" t="inlineStr">
        <is>
          <t>NG</t>
        </is>
      </c>
      <c r="E192" s="76" t="inlineStr">
        <is>
          <t>W1</t>
        </is>
      </c>
      <c r="F192" s="76" t="inlineStr">
        <is>
          <t>K042</t>
        </is>
      </c>
      <c r="G192" s="75" t="n">
        <v>7.95</v>
      </c>
      <c r="H192" s="65" t="n"/>
      <c r="I192" s="66" t="n"/>
      <c r="J192" s="67">
        <f>VLOOKUP(C192,Recipes!$A$2:$N$4,10,FALSE())</f>
        <v/>
      </c>
      <c r="K192" s="68">
        <f>VLOOKUP(C192,Recipes!$A$2:$N$4,12,FALSE())</f>
        <v/>
      </c>
      <c r="L192" s="67">
        <f>J192-6*K192</f>
        <v/>
      </c>
      <c r="M192" s="67">
        <f>J192+6*K192</f>
        <v/>
      </c>
      <c r="N192" s="61">
        <f>IF(G192="","",IF(AND(G192&gt;=L192,G192&lt;=M192),"OK","NG"))</f>
        <v/>
      </c>
      <c r="O192" s="69">
        <f>IF(N192="","",IF(N192=D192,1,0))</f>
        <v/>
      </c>
      <c r="P192" s="67">
        <f>IF(G192="","",J192-G192)</f>
        <v/>
      </c>
      <c r="Q192" s="67">
        <f>IF(G192="","",ABS(P192-Components!$D$2))</f>
        <v/>
      </c>
      <c r="R192" s="67">
        <f>IF(G192="","",ABS(P192-Components!$D$3))</f>
        <v/>
      </c>
      <c r="S192" s="67">
        <f>IF(G192="","",ABS(P192-Components!$D$4))</f>
        <v/>
      </c>
      <c r="T192" s="67">
        <f>IF(G192="","",ABS(P192-Components!$D$5))</f>
        <v/>
      </c>
      <c r="U192" s="67">
        <f>IF(G192="","",ABS(P192-Components!$D$6))</f>
        <v/>
      </c>
      <c r="V192" s="67">
        <f>IF(G192="","",ABS(P192-Components!$D$7))</f>
        <v/>
      </c>
      <c r="W192" s="61">
        <f>IF(G192="","",IF(N192="OK","NONE",INDEX({"S1","S2","W1","W2","N1","N2"},MATCH(MIN(Q192:V192),Q192:V192,0))))</f>
        <v/>
      </c>
      <c r="X192" s="69">
        <f>IF(G192="","",IF(W192=E192,1,0))</f>
        <v/>
      </c>
      <c r="Y192" s="70" t="n"/>
    </row>
    <row r="193">
      <c r="A193" s="61" t="n">
        <v>54.4</v>
      </c>
      <c r="B193" s="62" t="n">
        <v>75</v>
      </c>
      <c r="C193" s="61" t="inlineStr">
        <is>
          <t>R4</t>
        </is>
      </c>
      <c r="D193" s="74" t="inlineStr">
        <is>
          <t>NG</t>
        </is>
      </c>
      <c r="E193" s="61" t="inlineStr">
        <is>
          <t>W1</t>
        </is>
      </c>
      <c r="F193" s="61" t="inlineStr">
        <is>
          <t>K030</t>
        </is>
      </c>
      <c r="G193" s="75" t="n">
        <v>7.95</v>
      </c>
      <c r="H193" s="65" t="n"/>
      <c r="I193" s="66" t="n"/>
      <c r="J193" s="67">
        <f>VLOOKUP(C193,Recipes!$A$2:$N$4,10,FALSE())</f>
        <v/>
      </c>
      <c r="K193" s="68">
        <f>VLOOKUP(C193,Recipes!$A$2:$N$4,12,FALSE())</f>
        <v/>
      </c>
      <c r="L193" s="67">
        <f>J193-6*K193</f>
        <v/>
      </c>
      <c r="M193" s="67">
        <f>J193+6*K193</f>
        <v/>
      </c>
      <c r="N193" s="61">
        <f>IF(G193="","",IF(AND(G193&gt;=L193,G193&lt;=M193),"OK","NG"))</f>
        <v/>
      </c>
      <c r="O193" s="69">
        <f>IF(N193="","",IF(N193=D193,1,0))</f>
        <v/>
      </c>
      <c r="P193" s="67">
        <f>IF(G193="","",J193-G193)</f>
        <v/>
      </c>
      <c r="Q193" s="67">
        <f>IF(G193="","",ABS(P193-Components!$D$2))</f>
        <v/>
      </c>
      <c r="R193" s="67">
        <f>IF(G193="","",ABS(P193-Components!$D$3))</f>
        <v/>
      </c>
      <c r="S193" s="67">
        <f>IF(G193="","",ABS(P193-Components!$D$4))</f>
        <v/>
      </c>
      <c r="T193" s="67">
        <f>IF(G193="","",ABS(P193-Components!$D$5))</f>
        <v/>
      </c>
      <c r="U193" s="67">
        <f>IF(G193="","",ABS(P193-Components!$D$6))</f>
        <v/>
      </c>
      <c r="V193" s="67">
        <f>IF(G193="","",ABS(P193-Components!$D$7))</f>
        <v/>
      </c>
      <c r="W193" s="61">
        <f>IF(G193="","",IF(N193="OK","NONE",INDEX({"S1","S2","W1","W2","N1","N2"},MATCH(MIN(Q193:V193),Q193:V193,0))))</f>
        <v/>
      </c>
      <c r="X193" s="69">
        <f>IF(G193="","",IF(W193=E193,1,0))</f>
        <v/>
      </c>
      <c r="Y193" s="70" t="n"/>
    </row>
    <row r="194">
      <c r="A194" s="61" t="n">
        <v>57</v>
      </c>
      <c r="B194" s="62" t="n">
        <v>80.3</v>
      </c>
      <c r="C194" s="61" t="inlineStr">
        <is>
          <t>R4</t>
        </is>
      </c>
      <c r="D194" s="74" t="inlineStr">
        <is>
          <t>NG</t>
        </is>
      </c>
      <c r="E194" s="61" t="inlineStr">
        <is>
          <t>W1</t>
        </is>
      </c>
      <c r="F194" s="61" t="inlineStr">
        <is>
          <t>K031</t>
        </is>
      </c>
      <c r="G194" s="75" t="n">
        <v>7.9</v>
      </c>
      <c r="H194" s="65" t="n"/>
      <c r="I194" s="66" t="n"/>
      <c r="J194" s="67">
        <f>VLOOKUP(C194,Recipes!$A$2:$N$4,10,FALSE())</f>
        <v/>
      </c>
      <c r="K194" s="68">
        <f>VLOOKUP(C194,Recipes!$A$2:$N$4,12,FALSE())</f>
        <v/>
      </c>
      <c r="L194" s="67">
        <f>J194-6*K194</f>
        <v/>
      </c>
      <c r="M194" s="67">
        <f>J194+6*K194</f>
        <v/>
      </c>
      <c r="N194" s="61">
        <f>IF(G194="","",IF(AND(G194&gt;=L194,G194&lt;=M194),"OK","NG"))</f>
        <v/>
      </c>
      <c r="O194" s="69">
        <f>IF(N194="","",IF(N194=D194,1,0))</f>
        <v/>
      </c>
      <c r="P194" s="67">
        <f>IF(G194="","",J194-G194)</f>
        <v/>
      </c>
      <c r="Q194" s="67">
        <f>IF(G194="","",ABS(P194-Components!$D$2))</f>
        <v/>
      </c>
      <c r="R194" s="67">
        <f>IF(G194="","",ABS(P194-Components!$D$3))</f>
        <v/>
      </c>
      <c r="S194" s="67">
        <f>IF(G194="","",ABS(P194-Components!$D$4))</f>
        <v/>
      </c>
      <c r="T194" s="67">
        <f>IF(G194="","",ABS(P194-Components!$D$5))</f>
        <v/>
      </c>
      <c r="U194" s="67">
        <f>IF(G194="","",ABS(P194-Components!$D$6))</f>
        <v/>
      </c>
      <c r="V194" s="67">
        <f>IF(G194="","",ABS(P194-Components!$D$7))</f>
        <v/>
      </c>
      <c r="W194" s="61">
        <f>IF(G194="","",IF(N194="OK","NONE",INDEX({"S1","S2","W1","W2","N1","N2"},MATCH(MIN(Q194:V194),Q194:V194,0))))</f>
        <v/>
      </c>
      <c r="X194" s="69">
        <f>IF(G194="","",IF(W194=E194,1,0))</f>
        <v/>
      </c>
      <c r="Y194" s="70" t="n"/>
    </row>
    <row r="195">
      <c r="A195" s="61" t="n">
        <v>59.6</v>
      </c>
      <c r="B195" s="62" t="n">
        <v>85.59999999999999</v>
      </c>
      <c r="C195" s="61" t="inlineStr">
        <is>
          <t>R4</t>
        </is>
      </c>
      <c r="D195" s="74" t="inlineStr">
        <is>
          <t>NG</t>
        </is>
      </c>
      <c r="E195" s="61" t="inlineStr">
        <is>
          <t>W1</t>
        </is>
      </c>
      <c r="F195" s="61" t="inlineStr">
        <is>
          <t>K032</t>
        </is>
      </c>
      <c r="G195" s="75" t="n">
        <v>7.91</v>
      </c>
      <c r="H195" s="65" t="n"/>
      <c r="I195" s="66" t="n"/>
      <c r="J195" s="67">
        <f>VLOOKUP(C195,Recipes!$A$2:$N$4,10,FALSE())</f>
        <v/>
      </c>
      <c r="K195" s="68">
        <f>VLOOKUP(C195,Recipes!$A$2:$N$4,12,FALSE())</f>
        <v/>
      </c>
      <c r="L195" s="67">
        <f>J195-6*K195</f>
        <v/>
      </c>
      <c r="M195" s="67">
        <f>J195+6*K195</f>
        <v/>
      </c>
      <c r="N195" s="61">
        <f>IF(G195="","",IF(AND(G195&gt;=L195,G195&lt;=M195),"OK","NG"))</f>
        <v/>
      </c>
      <c r="O195" s="69">
        <f>IF(N195="","",IF(N195=D195,1,0))</f>
        <v/>
      </c>
      <c r="P195" s="67">
        <f>IF(G195="","",J195-G195)</f>
        <v/>
      </c>
      <c r="Q195" s="67">
        <f>IF(G195="","",ABS(P195-Components!$D$2))</f>
        <v/>
      </c>
      <c r="R195" s="67">
        <f>IF(G195="","",ABS(P195-Components!$D$3))</f>
        <v/>
      </c>
      <c r="S195" s="67">
        <f>IF(G195="","",ABS(P195-Components!$D$4))</f>
        <v/>
      </c>
      <c r="T195" s="67">
        <f>IF(G195="","",ABS(P195-Components!$D$5))</f>
        <v/>
      </c>
      <c r="U195" s="67">
        <f>IF(G195="","",ABS(P195-Components!$D$6))</f>
        <v/>
      </c>
      <c r="V195" s="67">
        <f>IF(G195="","",ABS(P195-Components!$D$7))</f>
        <v/>
      </c>
      <c r="W195" s="61">
        <f>IF(G195="","",IF(N195="OK","NONE",INDEX({"S1","S2","W1","W2","N1","N2"},MATCH(MIN(Q195:V195),Q195:V195,0))))</f>
        <v/>
      </c>
      <c r="X195" s="69">
        <f>IF(G195="","",IF(W195=E195,1,0))</f>
        <v/>
      </c>
      <c r="Y195" s="70" t="n"/>
    </row>
    <row r="196">
      <c r="A196" s="61" t="n">
        <v>62.2</v>
      </c>
      <c r="B196" s="62" t="n">
        <v>90.90000000000001</v>
      </c>
      <c r="C196" s="61" t="inlineStr">
        <is>
          <t>R4</t>
        </is>
      </c>
      <c r="D196" s="74" t="inlineStr">
        <is>
          <t>NG</t>
        </is>
      </c>
      <c r="E196" s="61" t="inlineStr">
        <is>
          <t>W1</t>
        </is>
      </c>
      <c r="F196" s="61" t="inlineStr">
        <is>
          <t>K033</t>
        </is>
      </c>
      <c r="G196" s="75" t="n">
        <v>7.98</v>
      </c>
      <c r="H196" s="65" t="n"/>
      <c r="I196" s="66" t="n"/>
      <c r="J196" s="67">
        <f>VLOOKUP(C196,Recipes!$A$2:$N$4,10,FALSE())</f>
        <v/>
      </c>
      <c r="K196" s="68">
        <f>VLOOKUP(C196,Recipes!$A$2:$N$4,12,FALSE())</f>
        <v/>
      </c>
      <c r="L196" s="67">
        <f>J196-6*K196</f>
        <v/>
      </c>
      <c r="M196" s="67">
        <f>J196+6*K196</f>
        <v/>
      </c>
      <c r="N196" s="61">
        <f>IF(G196="","",IF(AND(G196&gt;=L196,G196&lt;=M196),"OK","NG"))</f>
        <v/>
      </c>
      <c r="O196" s="69">
        <f>IF(N196="","",IF(N196=D196,1,0))</f>
        <v/>
      </c>
      <c r="P196" s="67">
        <f>IF(G196="","",J196-G196)</f>
        <v/>
      </c>
      <c r="Q196" s="67">
        <f>IF(G196="","",ABS(P196-Components!$D$2))</f>
        <v/>
      </c>
      <c r="R196" s="67">
        <f>IF(G196="","",ABS(P196-Components!$D$3))</f>
        <v/>
      </c>
      <c r="S196" s="67">
        <f>IF(G196="","",ABS(P196-Components!$D$4))</f>
        <v/>
      </c>
      <c r="T196" s="67">
        <f>IF(G196="","",ABS(P196-Components!$D$5))</f>
        <v/>
      </c>
      <c r="U196" s="67">
        <f>IF(G196="","",ABS(P196-Components!$D$6))</f>
        <v/>
      </c>
      <c r="V196" s="67">
        <f>IF(G196="","",ABS(P196-Components!$D$7))</f>
        <v/>
      </c>
      <c r="W196" s="61">
        <f>IF(G196="","",IF(N196="OK","NONE",INDEX({"S1","S2","W1","W2","N1","N2"},MATCH(MIN(Q196:V196),Q196:V196,0))))</f>
        <v/>
      </c>
      <c r="X196" s="69">
        <f>IF(G196="","",IF(W196=E196,1,0))</f>
        <v/>
      </c>
      <c r="Y196" s="70" t="n"/>
    </row>
    <row r="197">
      <c r="A197" s="76" t="n">
        <v>64.8</v>
      </c>
      <c r="B197" s="77" t="n">
        <v>96.2</v>
      </c>
      <c r="C197" s="76" t="inlineStr">
        <is>
          <t>R4</t>
        </is>
      </c>
      <c r="D197" s="78" t="inlineStr">
        <is>
          <t>NG</t>
        </is>
      </c>
      <c r="E197" s="76" t="inlineStr">
        <is>
          <t>W1</t>
        </is>
      </c>
      <c r="F197" s="76" t="inlineStr">
        <is>
          <t>K042</t>
        </is>
      </c>
      <c r="G197" s="75" t="n">
        <v>7.95</v>
      </c>
      <c r="H197" s="65" t="n"/>
      <c r="I197" s="66" t="n"/>
      <c r="J197" s="67">
        <f>VLOOKUP(C197,Recipes!$A$2:$N$4,10,FALSE())</f>
        <v/>
      </c>
      <c r="K197" s="68">
        <f>VLOOKUP(C197,Recipes!$A$2:$N$4,12,FALSE())</f>
        <v/>
      </c>
      <c r="L197" s="67">
        <f>J197-6*K197</f>
        <v/>
      </c>
      <c r="M197" s="67">
        <f>J197+6*K197</f>
        <v/>
      </c>
      <c r="N197" s="61">
        <f>IF(G197="","",IF(AND(G197&gt;=L197,G197&lt;=M197),"OK","NG"))</f>
        <v/>
      </c>
      <c r="O197" s="69">
        <f>IF(N197="","",IF(N197=D197,1,0))</f>
        <v/>
      </c>
      <c r="P197" s="67">
        <f>IF(G197="","",J197-G197)</f>
        <v/>
      </c>
      <c r="Q197" s="67">
        <f>IF(G197="","",ABS(P197-Components!$D$2))</f>
        <v/>
      </c>
      <c r="R197" s="67">
        <f>IF(G197="","",ABS(P197-Components!$D$3))</f>
        <v/>
      </c>
      <c r="S197" s="67">
        <f>IF(G197="","",ABS(P197-Components!$D$4))</f>
        <v/>
      </c>
      <c r="T197" s="67">
        <f>IF(G197="","",ABS(P197-Components!$D$5))</f>
        <v/>
      </c>
      <c r="U197" s="67">
        <f>IF(G197="","",ABS(P197-Components!$D$6))</f>
        <v/>
      </c>
      <c r="V197" s="67">
        <f>IF(G197="","",ABS(P197-Components!$D$7))</f>
        <v/>
      </c>
      <c r="W197" s="61">
        <f>IF(G197="","",IF(N197="OK","NONE",INDEX({"S1","S2","W1","W2","N1","N2"},MATCH(MIN(Q197:V197),Q197:V197,0))))</f>
        <v/>
      </c>
      <c r="X197" s="69">
        <f>IF(G197="","",IF(W197=E197,1,0))</f>
        <v/>
      </c>
      <c r="Y197" s="70" t="n"/>
    </row>
    <row r="198">
      <c r="A198" s="61" t="n">
        <v>67.40000000000001</v>
      </c>
      <c r="B198" s="62" t="n">
        <v>101.5</v>
      </c>
      <c r="C198" s="61" t="inlineStr">
        <is>
          <t>R4</t>
        </is>
      </c>
      <c r="D198" s="74" t="inlineStr">
        <is>
          <t>NG</t>
        </is>
      </c>
      <c r="E198" s="61" t="inlineStr">
        <is>
          <t>W1</t>
        </is>
      </c>
      <c r="F198" s="61" t="inlineStr">
        <is>
          <t>K030</t>
        </is>
      </c>
      <c r="G198" s="75" t="n">
        <v>7.964</v>
      </c>
      <c r="H198" s="65" t="n"/>
      <c r="I198" s="66" t="n"/>
      <c r="J198" s="67">
        <f>VLOOKUP(C198,Recipes!$A$2:$N$4,10,FALSE())</f>
        <v/>
      </c>
      <c r="K198" s="68">
        <f>VLOOKUP(C198,Recipes!$A$2:$N$4,12,FALSE())</f>
        <v/>
      </c>
      <c r="L198" s="67">
        <f>J198-6*K198</f>
        <v/>
      </c>
      <c r="M198" s="67">
        <f>J198+6*K198</f>
        <v/>
      </c>
      <c r="N198" s="61">
        <f>IF(G198="","",IF(AND(G198&gt;=L198,G198&lt;=M198),"OK","NG"))</f>
        <v/>
      </c>
      <c r="O198" s="69">
        <f>IF(N198="","",IF(N198=D198,1,0))</f>
        <v/>
      </c>
      <c r="P198" s="67">
        <f>IF(G198="","",J198-G198)</f>
        <v/>
      </c>
      <c r="Q198" s="67">
        <f>IF(G198="","",ABS(P198-Components!$D$2))</f>
        <v/>
      </c>
      <c r="R198" s="67">
        <f>IF(G198="","",ABS(P198-Components!$D$3))</f>
        <v/>
      </c>
      <c r="S198" s="67">
        <f>IF(G198="","",ABS(P198-Components!$D$4))</f>
        <v/>
      </c>
      <c r="T198" s="67">
        <f>IF(G198="","",ABS(P198-Components!$D$5))</f>
        <v/>
      </c>
      <c r="U198" s="67">
        <f>IF(G198="","",ABS(P198-Components!$D$6))</f>
        <v/>
      </c>
      <c r="V198" s="67">
        <f>IF(G198="","",ABS(P198-Components!$D$7))</f>
        <v/>
      </c>
      <c r="W198" s="61">
        <f>IF(G198="","",IF(N198="OK","NONE",INDEX({"S1","S2","W1","W2","N1","N2"},MATCH(MIN(Q198:V198),Q198:V198,0))))</f>
        <v/>
      </c>
      <c r="X198" s="69">
        <f>IF(G198="","",IF(W198=E198,1,0))</f>
        <v/>
      </c>
      <c r="Y198" s="70" t="n"/>
    </row>
    <row r="199">
      <c r="A199" s="61" t="n">
        <v>70</v>
      </c>
      <c r="B199" s="62" t="n">
        <v>106.8</v>
      </c>
      <c r="C199" s="61" t="inlineStr">
        <is>
          <t>R4</t>
        </is>
      </c>
      <c r="D199" s="74" t="inlineStr">
        <is>
          <t>NG</t>
        </is>
      </c>
      <c r="E199" s="61" t="inlineStr">
        <is>
          <t>W1</t>
        </is>
      </c>
      <c r="F199" s="61" t="inlineStr">
        <is>
          <t>K031</t>
        </is>
      </c>
      <c r="G199" s="75" t="n">
        <v>7.97</v>
      </c>
      <c r="H199" s="65" t="n"/>
      <c r="I199" s="66" t="n"/>
      <c r="J199" s="67">
        <f>VLOOKUP(C199,Recipes!$A$2:$N$4,10,FALSE())</f>
        <v/>
      </c>
      <c r="K199" s="68">
        <f>VLOOKUP(C199,Recipes!$A$2:$N$4,12,FALSE())</f>
        <v/>
      </c>
      <c r="L199" s="67">
        <f>J199-6*K199</f>
        <v/>
      </c>
      <c r="M199" s="67">
        <f>J199+6*K199</f>
        <v/>
      </c>
      <c r="N199" s="61">
        <f>IF(G199="","",IF(AND(G199&gt;=L199,G199&lt;=M199),"OK","NG"))</f>
        <v/>
      </c>
      <c r="O199" s="69">
        <f>IF(N199="","",IF(N199=D199,1,0))</f>
        <v/>
      </c>
      <c r="P199" s="67">
        <f>IF(G199="","",J199-G199)</f>
        <v/>
      </c>
      <c r="Q199" s="67">
        <f>IF(G199="","",ABS(P199-Components!$D$2))</f>
        <v/>
      </c>
      <c r="R199" s="67">
        <f>IF(G199="","",ABS(P199-Components!$D$3))</f>
        <v/>
      </c>
      <c r="S199" s="67">
        <f>IF(G199="","",ABS(P199-Components!$D$4))</f>
        <v/>
      </c>
      <c r="T199" s="67">
        <f>IF(G199="","",ABS(P199-Components!$D$5))</f>
        <v/>
      </c>
      <c r="U199" s="67">
        <f>IF(G199="","",ABS(P199-Components!$D$6))</f>
        <v/>
      </c>
      <c r="V199" s="67">
        <f>IF(G199="","",ABS(P199-Components!$D$7))</f>
        <v/>
      </c>
      <c r="W199" s="61">
        <f>IF(G199="","",IF(N199="OK","NONE",INDEX({"S1","S2","W1","W2","N1","N2"},MATCH(MIN(Q199:V199),Q199:V199,0))))</f>
        <v/>
      </c>
      <c r="X199" s="69">
        <f>IF(G199="","",IF(W199=E199,1,0))</f>
        <v/>
      </c>
      <c r="Y199" s="70" t="n"/>
    </row>
    <row r="200">
      <c r="A200" s="61" t="n">
        <v>72.59999999999999</v>
      </c>
      <c r="B200" s="62" t="n">
        <v>112.1</v>
      </c>
      <c r="C200" s="61" t="inlineStr">
        <is>
          <t>R4</t>
        </is>
      </c>
      <c r="D200" s="74" t="inlineStr">
        <is>
          <t>NG</t>
        </is>
      </c>
      <c r="E200" s="61" t="inlineStr">
        <is>
          <t>W1</t>
        </is>
      </c>
      <c r="F200" s="61" t="inlineStr">
        <is>
          <t>K032</t>
        </is>
      </c>
      <c r="G200" s="75" t="n">
        <v>7.91</v>
      </c>
      <c r="H200" s="65" t="n"/>
      <c r="I200" s="66" t="n"/>
      <c r="J200" s="67">
        <f>VLOOKUP(C200,Recipes!$A$2:$N$4,10,FALSE())</f>
        <v/>
      </c>
      <c r="K200" s="68">
        <f>VLOOKUP(C200,Recipes!$A$2:$N$4,12,FALSE())</f>
        <v/>
      </c>
      <c r="L200" s="67">
        <f>J200-6*K200</f>
        <v/>
      </c>
      <c r="M200" s="67">
        <f>J200+6*K200</f>
        <v/>
      </c>
      <c r="N200" s="61">
        <f>IF(G200="","",IF(AND(G200&gt;=L200,G200&lt;=M200),"OK","NG"))</f>
        <v/>
      </c>
      <c r="O200" s="69">
        <f>IF(N200="","",IF(N200=D200,1,0))</f>
        <v/>
      </c>
      <c r="P200" s="67">
        <f>IF(G200="","",J200-G200)</f>
        <v/>
      </c>
      <c r="Q200" s="67">
        <f>IF(G200="","",ABS(P200-Components!$D$2))</f>
        <v/>
      </c>
      <c r="R200" s="67">
        <f>IF(G200="","",ABS(P200-Components!$D$3))</f>
        <v/>
      </c>
      <c r="S200" s="67">
        <f>IF(G200="","",ABS(P200-Components!$D$4))</f>
        <v/>
      </c>
      <c r="T200" s="67">
        <f>IF(G200="","",ABS(P200-Components!$D$5))</f>
        <v/>
      </c>
      <c r="U200" s="67">
        <f>IF(G200="","",ABS(P200-Components!$D$6))</f>
        <v/>
      </c>
      <c r="V200" s="67">
        <f>IF(G200="","",ABS(P200-Components!$D$7))</f>
        <v/>
      </c>
      <c r="W200" s="61">
        <f>IF(G200="","",IF(N200="OK","NONE",INDEX({"S1","S2","W1","W2","N1","N2"},MATCH(MIN(Q200:V200),Q200:V200,0))))</f>
        <v/>
      </c>
      <c r="X200" s="69">
        <f>IF(G200="","",IF(W200=E200,1,0))</f>
        <v/>
      </c>
      <c r="Y200" s="70" t="n"/>
    </row>
    <row r="201">
      <c r="A201" s="61" t="n">
        <v>75.2</v>
      </c>
      <c r="B201" s="62" t="n">
        <v>117.4</v>
      </c>
      <c r="C201" s="61" t="inlineStr">
        <is>
          <t>R4</t>
        </is>
      </c>
      <c r="D201" s="74" t="inlineStr">
        <is>
          <t>NG</t>
        </is>
      </c>
      <c r="E201" s="61" t="inlineStr">
        <is>
          <t>W1</t>
        </is>
      </c>
      <c r="F201" s="61" t="inlineStr">
        <is>
          <t>K033</t>
        </is>
      </c>
      <c r="G201" s="75" t="n">
        <v>7.93</v>
      </c>
      <c r="H201" s="65" t="n"/>
      <c r="I201" s="66" t="n"/>
      <c r="J201" s="67">
        <f>VLOOKUP(C201,Recipes!$A$2:$N$4,10,FALSE())</f>
        <v/>
      </c>
      <c r="K201" s="68">
        <f>VLOOKUP(C201,Recipes!$A$2:$N$4,12,FALSE())</f>
        <v/>
      </c>
      <c r="L201" s="67">
        <f>J201-6*K201</f>
        <v/>
      </c>
      <c r="M201" s="67">
        <f>J201+6*K201</f>
        <v/>
      </c>
      <c r="N201" s="61">
        <f>IF(G201="","",IF(AND(G201&gt;=L201,G201&lt;=M201),"OK","NG"))</f>
        <v/>
      </c>
      <c r="O201" s="69">
        <f>IF(N201="","",IF(N201=D201,1,0))</f>
        <v/>
      </c>
      <c r="P201" s="67">
        <f>IF(G201="","",J201-G201)</f>
        <v/>
      </c>
      <c r="Q201" s="67">
        <f>IF(G201="","",ABS(P201-Components!$D$2))</f>
        <v/>
      </c>
      <c r="R201" s="67">
        <f>IF(G201="","",ABS(P201-Components!$D$3))</f>
        <v/>
      </c>
      <c r="S201" s="67">
        <f>IF(G201="","",ABS(P201-Components!$D$4))</f>
        <v/>
      </c>
      <c r="T201" s="67">
        <f>IF(G201="","",ABS(P201-Components!$D$5))</f>
        <v/>
      </c>
      <c r="U201" s="67">
        <f>IF(G201="","",ABS(P201-Components!$D$6))</f>
        <v/>
      </c>
      <c r="V201" s="67">
        <f>IF(G201="","",ABS(P201-Components!$D$7))</f>
        <v/>
      </c>
      <c r="W201" s="61">
        <f>IF(G201="","",IF(N201="OK","NONE",INDEX({"S1","S2","W1","W2","N1","N2"},MATCH(MIN(Q201:V201),Q201:V201,0))))</f>
        <v/>
      </c>
      <c r="X201" s="69">
        <f>IF(G201="","",IF(W201=E201,1,0))</f>
        <v/>
      </c>
      <c r="Y201" s="70" t="n"/>
    </row>
    <row r="202">
      <c r="A202" s="76" t="n">
        <v>77.8</v>
      </c>
      <c r="B202" s="77" t="n">
        <v>122.7</v>
      </c>
      <c r="C202" s="76" t="inlineStr">
        <is>
          <t>R4</t>
        </is>
      </c>
      <c r="D202" s="78" t="inlineStr">
        <is>
          <t>NG</t>
        </is>
      </c>
      <c r="E202" s="76" t="inlineStr">
        <is>
          <t>W1</t>
        </is>
      </c>
      <c r="F202" s="76" t="inlineStr">
        <is>
          <t>K042</t>
        </is>
      </c>
      <c r="G202" s="75" t="n">
        <v>7.94</v>
      </c>
      <c r="H202" s="65" t="n"/>
      <c r="I202" s="66" t="n"/>
      <c r="J202" s="67">
        <f>VLOOKUP(C202,Recipes!$A$2:$N$4,10,FALSE())</f>
        <v/>
      </c>
      <c r="K202" s="68">
        <f>VLOOKUP(C202,Recipes!$A$2:$N$4,12,FALSE())</f>
        <v/>
      </c>
      <c r="L202" s="67">
        <f>J202-6*K202</f>
        <v/>
      </c>
      <c r="M202" s="67">
        <f>J202+6*K202</f>
        <v/>
      </c>
      <c r="N202" s="61">
        <f>IF(G202="","",IF(AND(G202&gt;=L202,G202&lt;=M202),"OK","NG"))</f>
        <v/>
      </c>
      <c r="O202" s="69">
        <f>IF(N202="","",IF(N202=D202,1,0))</f>
        <v/>
      </c>
      <c r="P202" s="67">
        <f>IF(G202="","",J202-G202)</f>
        <v/>
      </c>
      <c r="Q202" s="67">
        <f>IF(G202="","",ABS(P202-Components!$D$2))</f>
        <v/>
      </c>
      <c r="R202" s="67">
        <f>IF(G202="","",ABS(P202-Components!$D$3))</f>
        <v/>
      </c>
      <c r="S202" s="67">
        <f>IF(G202="","",ABS(P202-Components!$D$4))</f>
        <v/>
      </c>
      <c r="T202" s="67">
        <f>IF(G202="","",ABS(P202-Components!$D$5))</f>
        <v/>
      </c>
      <c r="U202" s="67">
        <f>IF(G202="","",ABS(P202-Components!$D$6))</f>
        <v/>
      </c>
      <c r="V202" s="67">
        <f>IF(G202="","",ABS(P202-Components!$D$7))</f>
        <v/>
      </c>
      <c r="W202" s="61">
        <f>IF(G202="","",IF(N202="OK","NONE",INDEX({"S1","S2","W1","W2","N1","N2"},MATCH(MIN(Q202:V202),Q202:V202,0))))</f>
        <v/>
      </c>
      <c r="X202" s="69">
        <f>IF(G202="","",IF(W202=E202,1,0))</f>
        <v/>
      </c>
      <c r="Y202" s="70" t="n"/>
    </row>
    <row r="203">
      <c r="A203" s="61" t="n">
        <v>80.40000000000001</v>
      </c>
      <c r="B203" s="62" t="n">
        <v>128</v>
      </c>
      <c r="C203" s="61" t="inlineStr">
        <is>
          <t>R4</t>
        </is>
      </c>
      <c r="D203" s="74" t="inlineStr">
        <is>
          <t>NG</t>
        </is>
      </c>
      <c r="E203" s="61" t="inlineStr">
        <is>
          <t>W1</t>
        </is>
      </c>
      <c r="F203" s="61" t="inlineStr">
        <is>
          <t>K030</t>
        </is>
      </c>
      <c r="G203" s="75" t="n">
        <v>7.89</v>
      </c>
      <c r="H203" s="65" t="n"/>
      <c r="I203" s="66" t="n"/>
      <c r="J203" s="67">
        <f>VLOOKUP(C203,Recipes!$A$2:$N$4,10,FALSE())</f>
        <v/>
      </c>
      <c r="K203" s="68">
        <f>VLOOKUP(C203,Recipes!$A$2:$N$4,12,FALSE())</f>
        <v/>
      </c>
      <c r="L203" s="67">
        <f>J203-6*K203</f>
        <v/>
      </c>
      <c r="M203" s="67">
        <f>J203+6*K203</f>
        <v/>
      </c>
      <c r="N203" s="61">
        <f>IF(G203="","",IF(AND(G203&gt;=L203,G203&lt;=M203),"OK","NG"))</f>
        <v/>
      </c>
      <c r="O203" s="69">
        <f>IF(N203="","",IF(N203=D203,1,0))</f>
        <v/>
      </c>
      <c r="P203" s="67">
        <f>IF(G203="","",J203-G203)</f>
        <v/>
      </c>
      <c r="Q203" s="67">
        <f>IF(G203="","",ABS(P203-Components!$D$2))</f>
        <v/>
      </c>
      <c r="R203" s="67">
        <f>IF(G203="","",ABS(P203-Components!$D$3))</f>
        <v/>
      </c>
      <c r="S203" s="67">
        <f>IF(G203="","",ABS(P203-Components!$D$4))</f>
        <v/>
      </c>
      <c r="T203" s="67">
        <f>IF(G203="","",ABS(P203-Components!$D$5))</f>
        <v/>
      </c>
      <c r="U203" s="67">
        <f>IF(G203="","",ABS(P203-Components!$D$6))</f>
        <v/>
      </c>
      <c r="V203" s="67">
        <f>IF(G203="","",ABS(P203-Components!$D$7))</f>
        <v/>
      </c>
      <c r="W203" s="61">
        <f>IF(G203="","",IF(N203="OK","NONE",INDEX({"S1","S2","W1","W2","N1","N2"},MATCH(MIN(Q203:V203),Q203:V203,0))))</f>
        <v/>
      </c>
      <c r="X203" s="69">
        <f>IF(G203="","",IF(W203=E203,1,0))</f>
        <v/>
      </c>
      <c r="Y203" s="70" t="n"/>
    </row>
    <row r="204">
      <c r="A204" s="61" t="n">
        <v>83</v>
      </c>
      <c r="B204" s="62" t="n">
        <v>133.3</v>
      </c>
      <c r="C204" s="61" t="inlineStr">
        <is>
          <t>R4</t>
        </is>
      </c>
      <c r="D204" s="74" t="inlineStr">
        <is>
          <t>NG</t>
        </is>
      </c>
      <c r="E204" s="61" t="inlineStr">
        <is>
          <t>W1</t>
        </is>
      </c>
      <c r="F204" s="61" t="inlineStr">
        <is>
          <t>K031</t>
        </is>
      </c>
      <c r="G204" s="75" t="n">
        <v>7.95</v>
      </c>
      <c r="H204" s="65" t="n"/>
      <c r="I204" s="66" t="n"/>
      <c r="J204" s="67">
        <f>VLOOKUP(C204,Recipes!$A$2:$N$4,10,FALSE())</f>
        <v/>
      </c>
      <c r="K204" s="68">
        <f>VLOOKUP(C204,Recipes!$A$2:$N$4,12,FALSE())</f>
        <v/>
      </c>
      <c r="L204" s="67">
        <f>J204-6*K204</f>
        <v/>
      </c>
      <c r="M204" s="67">
        <f>J204+6*K204</f>
        <v/>
      </c>
      <c r="N204" s="61">
        <f>IF(G204="","",IF(AND(G204&gt;=L204,G204&lt;=M204),"OK","NG"))</f>
        <v/>
      </c>
      <c r="O204" s="69">
        <f>IF(N204="","",IF(N204=D204,1,0))</f>
        <v/>
      </c>
      <c r="P204" s="67">
        <f>IF(G204="","",J204-G204)</f>
        <v/>
      </c>
      <c r="Q204" s="67">
        <f>IF(G204="","",ABS(P204-Components!$D$2))</f>
        <v/>
      </c>
      <c r="R204" s="67">
        <f>IF(G204="","",ABS(P204-Components!$D$3))</f>
        <v/>
      </c>
      <c r="S204" s="67">
        <f>IF(G204="","",ABS(P204-Components!$D$4))</f>
        <v/>
      </c>
      <c r="T204" s="67">
        <f>IF(G204="","",ABS(P204-Components!$D$5))</f>
        <v/>
      </c>
      <c r="U204" s="67">
        <f>IF(G204="","",ABS(P204-Components!$D$6))</f>
        <v/>
      </c>
      <c r="V204" s="67">
        <f>IF(G204="","",ABS(P204-Components!$D$7))</f>
        <v/>
      </c>
      <c r="W204" s="61">
        <f>IF(G204="","",IF(N204="OK","NONE",INDEX({"S1","S2","W1","W2","N1","N2"},MATCH(MIN(Q204:V204),Q204:V204,0))))</f>
        <v/>
      </c>
      <c r="X204" s="69">
        <f>IF(G204="","",IF(W204=E204,1,0))</f>
        <v/>
      </c>
      <c r="Y204" s="70" t="n"/>
    </row>
    <row r="205">
      <c r="A205" s="61" t="n">
        <v>85.59999999999999</v>
      </c>
      <c r="B205" s="62" t="n">
        <v>138.6</v>
      </c>
      <c r="C205" s="61" t="inlineStr">
        <is>
          <t>R4</t>
        </is>
      </c>
      <c r="D205" s="74" t="inlineStr">
        <is>
          <t>NG</t>
        </is>
      </c>
      <c r="E205" s="61" t="inlineStr">
        <is>
          <t>W1</t>
        </is>
      </c>
      <c r="F205" s="61" t="inlineStr">
        <is>
          <t>K032</t>
        </is>
      </c>
      <c r="G205" s="75" t="n">
        <v>7.9</v>
      </c>
      <c r="H205" s="65" t="n"/>
      <c r="I205" s="66" t="n"/>
      <c r="J205" s="67">
        <f>VLOOKUP(C205,Recipes!$A$2:$N$4,10,FALSE())</f>
        <v/>
      </c>
      <c r="K205" s="68">
        <f>VLOOKUP(C205,Recipes!$A$2:$N$4,12,FALSE())</f>
        <v/>
      </c>
      <c r="L205" s="67">
        <f>J205-6*K205</f>
        <v/>
      </c>
      <c r="M205" s="67">
        <f>J205+6*K205</f>
        <v/>
      </c>
      <c r="N205" s="61">
        <f>IF(G205="","",IF(AND(G205&gt;=L205,G205&lt;=M205),"OK","NG"))</f>
        <v/>
      </c>
      <c r="O205" s="69">
        <f>IF(N205="","",IF(N205=D205,1,0))</f>
        <v/>
      </c>
      <c r="P205" s="67">
        <f>IF(G205="","",J205-G205)</f>
        <v/>
      </c>
      <c r="Q205" s="67">
        <f>IF(G205="","",ABS(P205-Components!$D$2))</f>
        <v/>
      </c>
      <c r="R205" s="67">
        <f>IF(G205="","",ABS(P205-Components!$D$3))</f>
        <v/>
      </c>
      <c r="S205" s="67">
        <f>IF(G205="","",ABS(P205-Components!$D$4))</f>
        <v/>
      </c>
      <c r="T205" s="67">
        <f>IF(G205="","",ABS(P205-Components!$D$5))</f>
        <v/>
      </c>
      <c r="U205" s="67">
        <f>IF(G205="","",ABS(P205-Components!$D$6))</f>
        <v/>
      </c>
      <c r="V205" s="67">
        <f>IF(G205="","",ABS(P205-Components!$D$7))</f>
        <v/>
      </c>
      <c r="W205" s="61">
        <f>IF(G205="","",IF(N205="OK","NONE",INDEX({"S1","S2","W1","W2","N1","N2"},MATCH(MIN(Q205:V205),Q205:V205,0))))</f>
        <v/>
      </c>
      <c r="X205" s="69">
        <f>IF(G205="","",IF(W205=E205,1,0))</f>
        <v/>
      </c>
      <c r="Y205" s="70" t="n"/>
    </row>
    <row r="206">
      <c r="A206" s="61" t="n">
        <v>88.2</v>
      </c>
      <c r="B206" s="62" t="n">
        <v>143.9</v>
      </c>
      <c r="C206" s="61" t="inlineStr">
        <is>
          <t>R4</t>
        </is>
      </c>
      <c r="D206" s="74" t="inlineStr">
        <is>
          <t>NG</t>
        </is>
      </c>
      <c r="E206" s="61" t="inlineStr">
        <is>
          <t>W1</t>
        </is>
      </c>
      <c r="F206" s="61" t="inlineStr">
        <is>
          <t>K033</t>
        </is>
      </c>
      <c r="G206" s="75" t="n">
        <v>7.99</v>
      </c>
      <c r="H206" s="65" t="n"/>
      <c r="I206" s="66" t="n"/>
      <c r="J206" s="67">
        <f>VLOOKUP(C206,Recipes!$A$2:$N$4,10,FALSE())</f>
        <v/>
      </c>
      <c r="K206" s="68">
        <f>VLOOKUP(C206,Recipes!$A$2:$N$4,12,FALSE())</f>
        <v/>
      </c>
      <c r="L206" s="67">
        <f>J206-6*K206</f>
        <v/>
      </c>
      <c r="M206" s="67">
        <f>J206+6*K206</f>
        <v/>
      </c>
      <c r="N206" s="61">
        <f>IF(G206="","",IF(AND(G206&gt;=L206,G206&lt;=M206),"OK","NG"))</f>
        <v/>
      </c>
      <c r="O206" s="69">
        <f>IF(N206="","",IF(N206=D206,1,0))</f>
        <v/>
      </c>
      <c r="P206" s="67">
        <f>IF(G206="","",J206-G206)</f>
        <v/>
      </c>
      <c r="Q206" s="67">
        <f>IF(G206="","",ABS(P206-Components!$D$2))</f>
        <v/>
      </c>
      <c r="R206" s="67">
        <f>IF(G206="","",ABS(P206-Components!$D$3))</f>
        <v/>
      </c>
      <c r="S206" s="67">
        <f>IF(G206="","",ABS(P206-Components!$D$4))</f>
        <v/>
      </c>
      <c r="T206" s="67">
        <f>IF(G206="","",ABS(P206-Components!$D$5))</f>
        <v/>
      </c>
      <c r="U206" s="67">
        <f>IF(G206="","",ABS(P206-Components!$D$6))</f>
        <v/>
      </c>
      <c r="V206" s="67">
        <f>IF(G206="","",ABS(P206-Components!$D$7))</f>
        <v/>
      </c>
      <c r="W206" s="61">
        <f>IF(G206="","",IF(N206="OK","NONE",INDEX({"S1","S2","W1","W2","N1","N2"},MATCH(MIN(Q206:V206),Q206:V206,0))))</f>
        <v/>
      </c>
      <c r="X206" s="69">
        <f>IF(G206="","",IF(W206=E206,1,0))</f>
        <v/>
      </c>
      <c r="Y206" s="70" t="n"/>
    </row>
    <row r="207">
      <c r="A207" s="76" t="n">
        <v>90.8</v>
      </c>
      <c r="B207" s="77" t="n">
        <v>149.2</v>
      </c>
      <c r="C207" s="76" t="inlineStr">
        <is>
          <t>R4</t>
        </is>
      </c>
      <c r="D207" s="78" t="inlineStr">
        <is>
          <t>NG</t>
        </is>
      </c>
      <c r="E207" s="76" t="inlineStr">
        <is>
          <t>W1</t>
        </is>
      </c>
      <c r="F207" s="76" t="inlineStr">
        <is>
          <t>K042</t>
        </is>
      </c>
      <c r="G207" s="75" t="n">
        <v>7.97</v>
      </c>
      <c r="H207" s="65" t="n"/>
      <c r="I207" s="66" t="n"/>
      <c r="J207" s="67">
        <f>VLOOKUP(C207,Recipes!$A$2:$N$4,10,FALSE())</f>
        <v/>
      </c>
      <c r="K207" s="68">
        <f>VLOOKUP(C207,Recipes!$A$2:$N$4,12,FALSE())</f>
        <v/>
      </c>
      <c r="L207" s="67">
        <f>J207-6*K207</f>
        <v/>
      </c>
      <c r="M207" s="67">
        <f>J207+6*K207</f>
        <v/>
      </c>
      <c r="N207" s="61">
        <f>IF(G207="","",IF(AND(G207&gt;=L207,G207&lt;=M207),"OK","NG"))</f>
        <v/>
      </c>
      <c r="O207" s="69">
        <f>IF(N207="","",IF(N207=D207,1,0))</f>
        <v/>
      </c>
      <c r="P207" s="67">
        <f>IF(G207="","",J207-G207)</f>
        <v/>
      </c>
      <c r="Q207" s="67">
        <f>IF(G207="","",ABS(P207-Components!$D$2))</f>
        <v/>
      </c>
      <c r="R207" s="67">
        <f>IF(G207="","",ABS(P207-Components!$D$3))</f>
        <v/>
      </c>
      <c r="S207" s="67">
        <f>IF(G207="","",ABS(P207-Components!$D$4))</f>
        <v/>
      </c>
      <c r="T207" s="67">
        <f>IF(G207="","",ABS(P207-Components!$D$5))</f>
        <v/>
      </c>
      <c r="U207" s="67">
        <f>IF(G207="","",ABS(P207-Components!$D$6))</f>
        <v/>
      </c>
      <c r="V207" s="67">
        <f>IF(G207="","",ABS(P207-Components!$D$7))</f>
        <v/>
      </c>
      <c r="W207" s="61">
        <f>IF(G207="","",IF(N207="OK","NONE",INDEX({"S1","S2","W1","W2","N1","N2"},MATCH(MIN(Q207:V207),Q207:V207,0))))</f>
        <v/>
      </c>
      <c r="X207" s="69">
        <f>IF(G207="","",IF(W207=E207,1,0))</f>
        <v/>
      </c>
      <c r="Y207" s="70" t="n"/>
    </row>
    <row r="208">
      <c r="A208" s="61" t="n">
        <v>93.40000000000001</v>
      </c>
      <c r="B208" s="62" t="n">
        <v>154.5</v>
      </c>
      <c r="C208" s="61" t="inlineStr">
        <is>
          <t>R4</t>
        </is>
      </c>
      <c r="D208" s="74" t="inlineStr">
        <is>
          <t>NG</t>
        </is>
      </c>
      <c r="E208" s="61" t="inlineStr">
        <is>
          <t>W1</t>
        </is>
      </c>
      <c r="F208" s="61" t="inlineStr">
        <is>
          <t>K030</t>
        </is>
      </c>
      <c r="G208" s="75" t="n">
        <v>7.96</v>
      </c>
      <c r="H208" s="65" t="n"/>
      <c r="I208" s="66" t="n"/>
      <c r="J208" s="67">
        <f>VLOOKUP(C208,Recipes!$A$2:$N$4,10,FALSE())</f>
        <v/>
      </c>
      <c r="K208" s="68">
        <f>VLOOKUP(C208,Recipes!$A$2:$N$4,12,FALSE())</f>
        <v/>
      </c>
      <c r="L208" s="67">
        <f>J208-6*K208</f>
        <v/>
      </c>
      <c r="M208" s="67">
        <f>J208+6*K208</f>
        <v/>
      </c>
      <c r="N208" s="61">
        <f>IF(G208="","",IF(AND(G208&gt;=L208,G208&lt;=M208),"OK","NG"))</f>
        <v/>
      </c>
      <c r="O208" s="69">
        <f>IF(N208="","",IF(N208=D208,1,0))</f>
        <v/>
      </c>
      <c r="P208" s="67">
        <f>IF(G208="","",J208-G208)</f>
        <v/>
      </c>
      <c r="Q208" s="67">
        <f>IF(G208="","",ABS(P208-Components!$D$2))</f>
        <v/>
      </c>
      <c r="R208" s="67">
        <f>IF(G208="","",ABS(P208-Components!$D$3))</f>
        <v/>
      </c>
      <c r="S208" s="67">
        <f>IF(G208="","",ABS(P208-Components!$D$4))</f>
        <v/>
      </c>
      <c r="T208" s="67">
        <f>IF(G208="","",ABS(P208-Components!$D$5))</f>
        <v/>
      </c>
      <c r="U208" s="67">
        <f>IF(G208="","",ABS(P208-Components!$D$6))</f>
        <v/>
      </c>
      <c r="V208" s="67">
        <f>IF(G208="","",ABS(P208-Components!$D$7))</f>
        <v/>
      </c>
      <c r="W208" s="61">
        <f>IF(G208="","",IF(N208="OK","NONE",INDEX({"S1","S2","W1","W2","N1","N2"},MATCH(MIN(Q208:V208),Q208:V208,0))))</f>
        <v/>
      </c>
      <c r="X208" s="69">
        <f>IF(G208="","",IF(W208=E208,1,0))</f>
        <v/>
      </c>
      <c r="Y208" s="70" t="n"/>
    </row>
    <row r="209">
      <c r="A209" s="61" t="n">
        <v>96</v>
      </c>
      <c r="B209" s="62" t="n">
        <v>159.8</v>
      </c>
      <c r="C209" s="61" t="inlineStr">
        <is>
          <t>R4</t>
        </is>
      </c>
      <c r="D209" s="74" t="inlineStr">
        <is>
          <t>NG</t>
        </is>
      </c>
      <c r="E209" s="61" t="inlineStr">
        <is>
          <t>W1</t>
        </is>
      </c>
      <c r="F209" s="61" t="inlineStr">
        <is>
          <t>K031</t>
        </is>
      </c>
      <c r="G209" s="75" t="n">
        <v>7.99</v>
      </c>
      <c r="H209" s="65" t="n"/>
      <c r="I209" s="66" t="n"/>
      <c r="J209" s="67">
        <f>VLOOKUP(C209,Recipes!$A$2:$N$4,10,FALSE())</f>
        <v/>
      </c>
      <c r="K209" s="68">
        <f>VLOOKUP(C209,Recipes!$A$2:$N$4,12,FALSE())</f>
        <v/>
      </c>
      <c r="L209" s="67">
        <f>J209-6*K209</f>
        <v/>
      </c>
      <c r="M209" s="67">
        <f>J209+6*K209</f>
        <v/>
      </c>
      <c r="N209" s="61">
        <f>IF(G209="","",IF(AND(G209&gt;=L209,G209&lt;=M209),"OK","NG"))</f>
        <v/>
      </c>
      <c r="O209" s="69">
        <f>IF(N209="","",IF(N209=D209,1,0))</f>
        <v/>
      </c>
      <c r="P209" s="67">
        <f>IF(G209="","",J209-G209)</f>
        <v/>
      </c>
      <c r="Q209" s="67">
        <f>IF(G209="","",ABS(P209-Components!$D$2))</f>
        <v/>
      </c>
      <c r="R209" s="67">
        <f>IF(G209="","",ABS(P209-Components!$D$3))</f>
        <v/>
      </c>
      <c r="S209" s="67">
        <f>IF(G209="","",ABS(P209-Components!$D$4))</f>
        <v/>
      </c>
      <c r="T209" s="67">
        <f>IF(G209="","",ABS(P209-Components!$D$5))</f>
        <v/>
      </c>
      <c r="U209" s="67">
        <f>IF(G209="","",ABS(P209-Components!$D$6))</f>
        <v/>
      </c>
      <c r="V209" s="67">
        <f>IF(G209="","",ABS(P209-Components!$D$7))</f>
        <v/>
      </c>
      <c r="W209" s="61">
        <f>IF(G209="","",IF(N209="OK","NONE",INDEX({"S1","S2","W1","W2","N1","N2"},MATCH(MIN(Q209:V209),Q209:V209,0))))</f>
        <v/>
      </c>
      <c r="X209" s="69">
        <f>IF(G209="","",IF(W209=E209,1,0))</f>
        <v/>
      </c>
      <c r="Y209" s="70" t="n"/>
    </row>
    <row r="210">
      <c r="A210" s="61" t="n">
        <v>98.59999999999999</v>
      </c>
      <c r="B210" s="62" t="n">
        <v>165.1</v>
      </c>
      <c r="C210" s="61" t="inlineStr">
        <is>
          <t>R4</t>
        </is>
      </c>
      <c r="D210" s="74" t="inlineStr">
        <is>
          <t>NG</t>
        </is>
      </c>
      <c r="E210" s="61" t="inlineStr">
        <is>
          <t>W1</t>
        </is>
      </c>
      <c r="F210" s="61" t="inlineStr">
        <is>
          <t>K032</t>
        </is>
      </c>
      <c r="G210" s="75" t="n">
        <v>7.87</v>
      </c>
      <c r="H210" s="65" t="n"/>
      <c r="I210" s="66" t="n"/>
      <c r="J210" s="67">
        <f>VLOOKUP(C210,Recipes!$A$2:$N$4,10,FALSE())</f>
        <v/>
      </c>
      <c r="K210" s="68">
        <f>VLOOKUP(C210,Recipes!$A$2:$N$4,12,FALSE())</f>
        <v/>
      </c>
      <c r="L210" s="67">
        <f>J210-6*K210</f>
        <v/>
      </c>
      <c r="M210" s="67">
        <f>J210+6*K210</f>
        <v/>
      </c>
      <c r="N210" s="61">
        <f>IF(G210="","",IF(AND(G210&gt;=L210,G210&lt;=M210),"OK","NG"))</f>
        <v/>
      </c>
      <c r="O210" s="69">
        <f>IF(N210="","",IF(N210=D210,1,0))</f>
        <v/>
      </c>
      <c r="P210" s="67">
        <f>IF(G210="","",J210-G210)</f>
        <v/>
      </c>
      <c r="Q210" s="67">
        <f>IF(G210="","",ABS(P210-Components!$D$2))</f>
        <v/>
      </c>
      <c r="R210" s="67">
        <f>IF(G210="","",ABS(P210-Components!$D$3))</f>
        <v/>
      </c>
      <c r="S210" s="67">
        <f>IF(G210="","",ABS(P210-Components!$D$4))</f>
        <v/>
      </c>
      <c r="T210" s="67">
        <f>IF(G210="","",ABS(P210-Components!$D$5))</f>
        <v/>
      </c>
      <c r="U210" s="67">
        <f>IF(G210="","",ABS(P210-Components!$D$6))</f>
        <v/>
      </c>
      <c r="V210" s="67">
        <f>IF(G210="","",ABS(P210-Components!$D$7))</f>
        <v/>
      </c>
      <c r="W210" s="61">
        <f>IF(G210="","",IF(N210="OK","NONE",INDEX({"S1","S2","W1","W2","N1","N2"},MATCH(MIN(Q210:V210),Q210:V210,0))))</f>
        <v/>
      </c>
      <c r="X210" s="69">
        <f>IF(G210="","",IF(W210=E210,1,0))</f>
        <v/>
      </c>
      <c r="Y210" s="70" t="n"/>
    </row>
    <row r="211">
      <c r="A211" s="61" t="n">
        <v>101.2</v>
      </c>
      <c r="B211" s="62" t="n">
        <v>170.4</v>
      </c>
      <c r="C211" s="61" t="inlineStr">
        <is>
          <t>R4</t>
        </is>
      </c>
      <c r="D211" s="74" t="inlineStr">
        <is>
          <t>NG</t>
        </is>
      </c>
      <c r="E211" s="61" t="inlineStr">
        <is>
          <t>W1</t>
        </is>
      </c>
      <c r="F211" s="61" t="inlineStr">
        <is>
          <t>K033</t>
        </is>
      </c>
      <c r="G211" s="75" t="n">
        <v>7.72</v>
      </c>
      <c r="H211" s="65" t="n"/>
      <c r="I211" s="66" t="n"/>
      <c r="J211" s="67">
        <f>VLOOKUP(C211,Recipes!$A$2:$N$4,10,FALSE())</f>
        <v/>
      </c>
      <c r="K211" s="68">
        <f>VLOOKUP(C211,Recipes!$A$2:$N$4,12,FALSE())</f>
        <v/>
      </c>
      <c r="L211" s="67">
        <f>J211-6*K211</f>
        <v/>
      </c>
      <c r="M211" s="67">
        <f>J211+6*K211</f>
        <v/>
      </c>
      <c r="N211" s="61">
        <f>IF(G211="","",IF(AND(G211&gt;=L211,G211&lt;=M211),"OK","NG"))</f>
        <v/>
      </c>
      <c r="O211" s="69">
        <f>IF(N211="","",IF(N211=D211,1,0))</f>
        <v/>
      </c>
      <c r="P211" s="67">
        <f>IF(G211="","",J211-G211)</f>
        <v/>
      </c>
      <c r="Q211" s="67">
        <f>IF(G211="","",ABS(P211-Components!$D$2))</f>
        <v/>
      </c>
      <c r="R211" s="67">
        <f>IF(G211="","",ABS(P211-Components!$D$3))</f>
        <v/>
      </c>
      <c r="S211" s="67">
        <f>IF(G211="","",ABS(P211-Components!$D$4))</f>
        <v/>
      </c>
      <c r="T211" s="67">
        <f>IF(G211="","",ABS(P211-Components!$D$5))</f>
        <v/>
      </c>
      <c r="U211" s="67">
        <f>IF(G211="","",ABS(P211-Components!$D$6))</f>
        <v/>
      </c>
      <c r="V211" s="67">
        <f>IF(G211="","",ABS(P211-Components!$D$7))</f>
        <v/>
      </c>
      <c r="W211" s="61">
        <f>IF(G211="","",IF(N211="OK","NONE",INDEX({"S1","S2","W1","W2","N1","N2"},MATCH(MIN(Q211:V211),Q211:V211,0))))</f>
        <v/>
      </c>
      <c r="X211" s="71">
        <f>IF(G211="","",IF(W211=E211,1,0))</f>
        <v/>
      </c>
      <c r="Y211" s="70" t="n"/>
    </row>
    <row r="212">
      <c r="A212" s="76" t="n">
        <v>103.8</v>
      </c>
      <c r="B212" s="77" t="n">
        <v>175.7</v>
      </c>
      <c r="C212" s="76" t="inlineStr">
        <is>
          <t>R4</t>
        </is>
      </c>
      <c r="D212" s="78" t="inlineStr">
        <is>
          <t>NG</t>
        </is>
      </c>
      <c r="E212" s="76" t="inlineStr">
        <is>
          <t>W1</t>
        </is>
      </c>
      <c r="F212" s="76" t="inlineStr">
        <is>
          <t>K042</t>
        </is>
      </c>
      <c r="G212" s="75" t="n">
        <v>7.95</v>
      </c>
      <c r="H212" s="65" t="n"/>
      <c r="I212" s="66" t="n"/>
      <c r="J212" s="67">
        <f>VLOOKUP(C212,Recipes!$A$2:$N$4,10,FALSE())</f>
        <v/>
      </c>
      <c r="K212" s="68">
        <f>VLOOKUP(C212,Recipes!$A$2:$N$4,12,FALSE())</f>
        <v/>
      </c>
      <c r="L212" s="67">
        <f>J212-6*K212</f>
        <v/>
      </c>
      <c r="M212" s="67">
        <f>J212+6*K212</f>
        <v/>
      </c>
      <c r="N212" s="61">
        <f>IF(G212="","",IF(AND(G212&gt;=L212,G212&lt;=M212),"OK","NG"))</f>
        <v/>
      </c>
      <c r="O212" s="69">
        <f>IF(N212="","",IF(N212=D212,1,0))</f>
        <v/>
      </c>
      <c r="P212" s="67">
        <f>IF(G212="","",J212-G212)</f>
        <v/>
      </c>
      <c r="Q212" s="67">
        <f>IF(G212="","",ABS(P212-Components!$D$2))</f>
        <v/>
      </c>
      <c r="R212" s="67">
        <f>IF(G212="","",ABS(P212-Components!$D$3))</f>
        <v/>
      </c>
      <c r="S212" s="67">
        <f>IF(G212="","",ABS(P212-Components!$D$4))</f>
        <v/>
      </c>
      <c r="T212" s="67">
        <f>IF(G212="","",ABS(P212-Components!$D$5))</f>
        <v/>
      </c>
      <c r="U212" s="67">
        <f>IF(G212="","",ABS(P212-Components!$D$6))</f>
        <v/>
      </c>
      <c r="V212" s="67">
        <f>IF(G212="","",ABS(P212-Components!$D$7))</f>
        <v/>
      </c>
      <c r="W212" s="61">
        <f>IF(G212="","",IF(N212="OK","NONE",INDEX({"S1","S2","W1","W2","N1","N2"},MATCH(MIN(Q212:V212),Q212:V212,0))))</f>
        <v/>
      </c>
      <c r="X212" s="69">
        <f>IF(G212="","",IF(W212=E212,1,0))</f>
        <v/>
      </c>
      <c r="Y212" s="70" t="n"/>
    </row>
    <row r="213">
      <c r="A213" s="61" t="n">
        <v>-17</v>
      </c>
      <c r="B213" s="62" t="n">
        <v>62.4999999999999</v>
      </c>
      <c r="C213" s="61" t="inlineStr">
        <is>
          <t>R4</t>
        </is>
      </c>
      <c r="D213" s="74" t="inlineStr">
        <is>
          <t>NG</t>
        </is>
      </c>
      <c r="E213" s="61" t="inlineStr">
        <is>
          <t>N1</t>
        </is>
      </c>
      <c r="F213" s="61" t="inlineStr">
        <is>
          <t>K034</t>
        </is>
      </c>
      <c r="G213" s="75" t="n">
        <v>7.72</v>
      </c>
      <c r="H213" s="65" t="n"/>
      <c r="I213" s="66" t="n"/>
      <c r="J213" s="67">
        <f>VLOOKUP(C213,Recipes!$A$2:$N$4,10,FALSE())</f>
        <v/>
      </c>
      <c r="K213" s="68">
        <f>VLOOKUP(C213,Recipes!$A$2:$N$4,12,FALSE())</f>
        <v/>
      </c>
      <c r="L213" s="67">
        <f>J213-6*K213</f>
        <v/>
      </c>
      <c r="M213" s="67">
        <f>J213+6*K213</f>
        <v/>
      </c>
      <c r="N213" s="61">
        <f>IF(G213="","",IF(AND(G213&gt;=L213,G213&lt;=M213),"OK","NG"))</f>
        <v/>
      </c>
      <c r="O213" s="69">
        <f>IF(N213="","",IF(N213=D213,1,0))</f>
        <v/>
      </c>
      <c r="P213" s="67">
        <f>IF(G213="","",J213-G213)</f>
        <v/>
      </c>
      <c r="Q213" s="67">
        <f>IF(G213="","",ABS(P213-Components!$D$2))</f>
        <v/>
      </c>
      <c r="R213" s="67">
        <f>IF(G213="","",ABS(P213-Components!$D$3))</f>
        <v/>
      </c>
      <c r="S213" s="67">
        <f>IF(G213="","",ABS(P213-Components!$D$4))</f>
        <v/>
      </c>
      <c r="T213" s="67">
        <f>IF(G213="","",ABS(P213-Components!$D$5))</f>
        <v/>
      </c>
      <c r="U213" s="67">
        <f>IF(G213="","",ABS(P213-Components!$D$6))</f>
        <v/>
      </c>
      <c r="V213" s="67">
        <f>IF(G213="","",ABS(P213-Components!$D$7))</f>
        <v/>
      </c>
      <c r="W213" s="61">
        <f>IF(G213="","",IF(N213="OK","NONE",INDEX({"S1","S2","W1","W2","N1","N2"},MATCH(MIN(Q213:V213),Q213:V213,0))))</f>
        <v/>
      </c>
      <c r="X213" s="69">
        <f>IF(G213="","",IF(W213=E213,1,0))</f>
        <v/>
      </c>
      <c r="Y213" s="70" t="n"/>
    </row>
    <row r="214">
      <c r="A214" s="61" t="n">
        <v>-15</v>
      </c>
      <c r="B214" s="62" t="n">
        <v>61.1999999999999</v>
      </c>
      <c r="C214" s="61" t="inlineStr">
        <is>
          <t>R4</t>
        </is>
      </c>
      <c r="D214" s="74" t="inlineStr">
        <is>
          <t>NG</t>
        </is>
      </c>
      <c r="E214" s="61" t="inlineStr">
        <is>
          <t>N1</t>
        </is>
      </c>
      <c r="F214" s="61" t="inlineStr">
        <is>
          <t>K035</t>
        </is>
      </c>
      <c r="G214" s="75" t="n">
        <v>7.75</v>
      </c>
      <c r="H214" s="65" t="n"/>
      <c r="I214" s="66" t="n"/>
      <c r="J214" s="67">
        <f>VLOOKUP(C214,Recipes!$A$2:$N$4,10,FALSE())</f>
        <v/>
      </c>
      <c r="K214" s="68">
        <f>VLOOKUP(C214,Recipes!$A$2:$N$4,12,FALSE())</f>
        <v/>
      </c>
      <c r="L214" s="67">
        <f>J214-6*K214</f>
        <v/>
      </c>
      <c r="M214" s="67">
        <f>J214+6*K214</f>
        <v/>
      </c>
      <c r="N214" s="61">
        <f>IF(G214="","",IF(AND(G214&gt;=L214,G214&lt;=M214),"OK","NG"))</f>
        <v/>
      </c>
      <c r="O214" s="69">
        <f>IF(N214="","",IF(N214=D214,1,0))</f>
        <v/>
      </c>
      <c r="P214" s="67">
        <f>IF(G214="","",J214-G214)</f>
        <v/>
      </c>
      <c r="Q214" s="67">
        <f>IF(G214="","",ABS(P214-Components!$D$2))</f>
        <v/>
      </c>
      <c r="R214" s="67">
        <f>IF(G214="","",ABS(P214-Components!$D$3))</f>
        <v/>
      </c>
      <c r="S214" s="67">
        <f>IF(G214="","",ABS(P214-Components!$D$4))</f>
        <v/>
      </c>
      <c r="T214" s="67">
        <f>IF(G214="","",ABS(P214-Components!$D$5))</f>
        <v/>
      </c>
      <c r="U214" s="67">
        <f>IF(G214="","",ABS(P214-Components!$D$6))</f>
        <v/>
      </c>
      <c r="V214" s="67">
        <f>IF(G214="","",ABS(P214-Components!$D$7))</f>
        <v/>
      </c>
      <c r="W214" s="61">
        <f>IF(G214="","",IF(N214="OK","NONE",INDEX({"S1","S2","W1","W2","N1","N2"},MATCH(MIN(Q214:V214),Q214:V214,0))))</f>
        <v/>
      </c>
      <c r="X214" s="69">
        <f>IF(G214="","",IF(W214=E214,1,0))</f>
        <v/>
      </c>
      <c r="Y214" s="70" t="n"/>
    </row>
    <row r="215">
      <c r="A215" s="61" t="n">
        <v>-13</v>
      </c>
      <c r="B215" s="62" t="n">
        <v>59.8999999999999</v>
      </c>
      <c r="C215" s="61" t="inlineStr">
        <is>
          <t>R4</t>
        </is>
      </c>
      <c r="D215" s="74" t="inlineStr">
        <is>
          <t>NG</t>
        </is>
      </c>
      <c r="E215" s="61" t="inlineStr">
        <is>
          <t>N1</t>
        </is>
      </c>
      <c r="F215" s="61" t="inlineStr">
        <is>
          <t>K036</t>
        </is>
      </c>
      <c r="G215" s="75" t="n">
        <v>7.8</v>
      </c>
      <c r="H215" s="65" t="n"/>
      <c r="I215" s="66" t="n"/>
      <c r="J215" s="67">
        <f>VLOOKUP(C215,Recipes!$A$2:$N$4,10,FALSE())</f>
        <v/>
      </c>
      <c r="K215" s="68">
        <f>VLOOKUP(C215,Recipes!$A$2:$N$4,12,FALSE())</f>
        <v/>
      </c>
      <c r="L215" s="67">
        <f>J215-6*K215</f>
        <v/>
      </c>
      <c r="M215" s="67">
        <f>J215+6*K215</f>
        <v/>
      </c>
      <c r="N215" s="61">
        <f>IF(G215="","",IF(AND(G215&gt;=L215,G215&lt;=M215),"OK","NG"))</f>
        <v/>
      </c>
      <c r="O215" s="69">
        <f>IF(N215="","",IF(N215=D215,1,0))</f>
        <v/>
      </c>
      <c r="P215" s="67">
        <f>IF(G215="","",J215-G215)</f>
        <v/>
      </c>
      <c r="Q215" s="67">
        <f>IF(G215="","",ABS(P215-Components!$D$2))</f>
        <v/>
      </c>
      <c r="R215" s="67">
        <f>IF(G215="","",ABS(P215-Components!$D$3))</f>
        <v/>
      </c>
      <c r="S215" s="67">
        <f>IF(G215="","",ABS(P215-Components!$D$4))</f>
        <v/>
      </c>
      <c r="T215" s="67">
        <f>IF(G215="","",ABS(P215-Components!$D$5))</f>
        <v/>
      </c>
      <c r="U215" s="67">
        <f>IF(G215="","",ABS(P215-Components!$D$6))</f>
        <v/>
      </c>
      <c r="V215" s="67">
        <f>IF(G215="","",ABS(P215-Components!$D$7))</f>
        <v/>
      </c>
      <c r="W215" s="61">
        <f>IF(G215="","",IF(N215="OK","NONE",INDEX({"S1","S2","W1","W2","N1","N2"},MATCH(MIN(Q215:V215),Q215:V215,0))))</f>
        <v/>
      </c>
      <c r="X215" s="69">
        <f>IF(G215="","",IF(W215=E215,1,0))</f>
        <v/>
      </c>
      <c r="Y215" s="70" t="n"/>
    </row>
    <row r="216">
      <c r="A216" s="61" t="n">
        <v>-11</v>
      </c>
      <c r="B216" s="62" t="n">
        <v>58.5999999999999</v>
      </c>
      <c r="C216" s="61" t="inlineStr">
        <is>
          <t>R4</t>
        </is>
      </c>
      <c r="D216" s="74" t="inlineStr">
        <is>
          <t>NG</t>
        </is>
      </c>
      <c r="E216" s="61" t="inlineStr">
        <is>
          <t>N1</t>
        </is>
      </c>
      <c r="F216" s="61" t="inlineStr">
        <is>
          <t>K037</t>
        </is>
      </c>
      <c r="G216" s="75" t="n">
        <v>7.77</v>
      </c>
      <c r="H216" s="65" t="n"/>
      <c r="I216" s="66" t="n"/>
      <c r="J216" s="67">
        <f>VLOOKUP(C216,Recipes!$A$2:$N$4,10,FALSE())</f>
        <v/>
      </c>
      <c r="K216" s="68">
        <f>VLOOKUP(C216,Recipes!$A$2:$N$4,12,FALSE())</f>
        <v/>
      </c>
      <c r="L216" s="67">
        <f>J216-6*K216</f>
        <v/>
      </c>
      <c r="M216" s="67">
        <f>J216+6*K216</f>
        <v/>
      </c>
      <c r="N216" s="61">
        <f>IF(G216="","",IF(AND(G216&gt;=L216,G216&lt;=M216),"OK","NG"))</f>
        <v/>
      </c>
      <c r="O216" s="69">
        <f>IF(N216="","",IF(N216=D216,1,0))</f>
        <v/>
      </c>
      <c r="P216" s="67">
        <f>IF(G216="","",J216-G216)</f>
        <v/>
      </c>
      <c r="Q216" s="67">
        <f>IF(G216="","",ABS(P216-Components!$D$2))</f>
        <v/>
      </c>
      <c r="R216" s="67">
        <f>IF(G216="","",ABS(P216-Components!$D$3))</f>
        <v/>
      </c>
      <c r="S216" s="67">
        <f>IF(G216="","",ABS(P216-Components!$D$4))</f>
        <v/>
      </c>
      <c r="T216" s="67">
        <f>IF(G216="","",ABS(P216-Components!$D$5))</f>
        <v/>
      </c>
      <c r="U216" s="67">
        <f>IF(G216="","",ABS(P216-Components!$D$6))</f>
        <v/>
      </c>
      <c r="V216" s="67">
        <f>IF(G216="","",ABS(P216-Components!$D$7))</f>
        <v/>
      </c>
      <c r="W216" s="61">
        <f>IF(G216="","",IF(N216="OK","NONE",INDEX({"S1","S2","W1","W2","N1","N2"},MATCH(MIN(Q216:V216),Q216:V216,0))))</f>
        <v/>
      </c>
      <c r="X216" s="69">
        <f>IF(G216="","",IF(W216=E216,1,0))</f>
        <v/>
      </c>
      <c r="Y216" s="70" t="n"/>
    </row>
    <row r="217">
      <c r="A217" s="76" t="n">
        <v>-9</v>
      </c>
      <c r="B217" s="77" t="n">
        <v>57.3</v>
      </c>
      <c r="C217" s="76" t="inlineStr">
        <is>
          <t>R4</t>
        </is>
      </c>
      <c r="D217" s="78" t="inlineStr">
        <is>
          <t>NG</t>
        </is>
      </c>
      <c r="E217" s="76" t="inlineStr">
        <is>
          <t>N1</t>
        </is>
      </c>
      <c r="F217" s="76" t="inlineStr">
        <is>
          <t>K043</t>
        </is>
      </c>
      <c r="G217" s="75" t="n">
        <v>7.78</v>
      </c>
      <c r="H217" s="65" t="n"/>
      <c r="I217" s="66" t="n"/>
      <c r="J217" s="67">
        <f>VLOOKUP(C217,Recipes!$A$2:$N$4,10,FALSE())</f>
        <v/>
      </c>
      <c r="K217" s="68">
        <f>VLOOKUP(C217,Recipes!$A$2:$N$4,12,FALSE())</f>
        <v/>
      </c>
      <c r="L217" s="67">
        <f>J217-6*K217</f>
        <v/>
      </c>
      <c r="M217" s="67">
        <f>J217+6*K217</f>
        <v/>
      </c>
      <c r="N217" s="61">
        <f>IF(G217="","",IF(AND(G217&gt;=L217,G217&lt;=M217),"OK","NG"))</f>
        <v/>
      </c>
      <c r="O217" s="69">
        <f>IF(N217="","",IF(N217=D217,1,0))</f>
        <v/>
      </c>
      <c r="P217" s="67">
        <f>IF(G217="","",J217-G217)</f>
        <v/>
      </c>
      <c r="Q217" s="67">
        <f>IF(G217="","",ABS(P217-Components!$D$2))</f>
        <v/>
      </c>
      <c r="R217" s="67">
        <f>IF(G217="","",ABS(P217-Components!$D$3))</f>
        <v/>
      </c>
      <c r="S217" s="67">
        <f>IF(G217="","",ABS(P217-Components!$D$4))</f>
        <v/>
      </c>
      <c r="T217" s="67">
        <f>IF(G217="","",ABS(P217-Components!$D$5))</f>
        <v/>
      </c>
      <c r="U217" s="67">
        <f>IF(G217="","",ABS(P217-Components!$D$6))</f>
        <v/>
      </c>
      <c r="V217" s="67">
        <f>IF(G217="","",ABS(P217-Components!$D$7))</f>
        <v/>
      </c>
      <c r="W217" s="61">
        <f>IF(G217="","",IF(N217="OK","NONE",INDEX({"S1","S2","W1","W2","N1","N2"},MATCH(MIN(Q217:V217),Q217:V217,0))))</f>
        <v/>
      </c>
      <c r="X217" s="69">
        <f>IF(G217="","",IF(W217=E217,1,0))</f>
        <v/>
      </c>
      <c r="Y217" s="70" t="n"/>
    </row>
    <row r="218">
      <c r="A218" s="61" t="n">
        <v>-7</v>
      </c>
      <c r="B218" s="62" t="n">
        <v>56</v>
      </c>
      <c r="C218" s="61" t="inlineStr">
        <is>
          <t>R4</t>
        </is>
      </c>
      <c r="D218" s="74" t="inlineStr">
        <is>
          <t>NG</t>
        </is>
      </c>
      <c r="E218" s="61" t="inlineStr">
        <is>
          <t>N1</t>
        </is>
      </c>
      <c r="F218" s="61" t="inlineStr">
        <is>
          <t>K034</t>
        </is>
      </c>
      <c r="G218" s="75" t="n">
        <v>7.82</v>
      </c>
      <c r="H218" s="65" t="n"/>
      <c r="I218" s="66" t="n"/>
      <c r="J218" s="67">
        <f>VLOOKUP(C218,Recipes!$A$2:$N$4,10,FALSE())</f>
        <v/>
      </c>
      <c r="K218" s="68">
        <f>VLOOKUP(C218,Recipes!$A$2:$N$4,12,FALSE())</f>
        <v/>
      </c>
      <c r="L218" s="67">
        <f>J218-6*K218</f>
        <v/>
      </c>
      <c r="M218" s="67">
        <f>J218+6*K218</f>
        <v/>
      </c>
      <c r="N218" s="61">
        <f>IF(G218="","",IF(AND(G218&gt;=L218,G218&lt;=M218),"OK","NG"))</f>
        <v/>
      </c>
      <c r="O218" s="69">
        <f>IF(N218="","",IF(N218=D218,1,0))</f>
        <v/>
      </c>
      <c r="P218" s="67">
        <f>IF(G218="","",J218-G218)</f>
        <v/>
      </c>
      <c r="Q218" s="67">
        <f>IF(G218="","",ABS(P218-Components!$D$2))</f>
        <v/>
      </c>
      <c r="R218" s="67">
        <f>IF(G218="","",ABS(P218-Components!$D$3))</f>
        <v/>
      </c>
      <c r="S218" s="67">
        <f>IF(G218="","",ABS(P218-Components!$D$4))</f>
        <v/>
      </c>
      <c r="T218" s="67">
        <f>IF(G218="","",ABS(P218-Components!$D$5))</f>
        <v/>
      </c>
      <c r="U218" s="67">
        <f>IF(G218="","",ABS(P218-Components!$D$6))</f>
        <v/>
      </c>
      <c r="V218" s="67">
        <f>IF(G218="","",ABS(P218-Components!$D$7))</f>
        <v/>
      </c>
      <c r="W218" s="61">
        <f>IF(G218="","",IF(N218="OK","NONE",INDEX({"S1","S2","W1","W2","N1","N2"},MATCH(MIN(Q218:V218),Q218:V218,0))))</f>
        <v/>
      </c>
      <c r="X218" s="69">
        <f>IF(G218="","",IF(W218=E218,1,0))</f>
        <v/>
      </c>
      <c r="Y218" s="70" t="n"/>
    </row>
    <row r="219">
      <c r="A219" s="61" t="n">
        <v>-5</v>
      </c>
      <c r="B219" s="62" t="n">
        <v>54.7</v>
      </c>
      <c r="C219" s="61" t="inlineStr">
        <is>
          <t>R4</t>
        </is>
      </c>
      <c r="D219" s="74" t="inlineStr">
        <is>
          <t>NG</t>
        </is>
      </c>
      <c r="E219" s="61" t="inlineStr">
        <is>
          <t>N1</t>
        </is>
      </c>
      <c r="F219" s="61" t="inlineStr">
        <is>
          <t>K035</t>
        </is>
      </c>
      <c r="G219" s="75" t="n">
        <v>7.78</v>
      </c>
      <c r="H219" s="65" t="n"/>
      <c r="I219" s="66" t="n"/>
      <c r="J219" s="67">
        <f>VLOOKUP(C219,Recipes!$A$2:$N$4,10,FALSE())</f>
        <v/>
      </c>
      <c r="K219" s="68">
        <f>VLOOKUP(C219,Recipes!$A$2:$N$4,12,FALSE())</f>
        <v/>
      </c>
      <c r="L219" s="67">
        <f>J219-6*K219</f>
        <v/>
      </c>
      <c r="M219" s="67">
        <f>J219+6*K219</f>
        <v/>
      </c>
      <c r="N219" s="61">
        <f>IF(G219="","",IF(AND(G219&gt;=L219,G219&lt;=M219),"OK","NG"))</f>
        <v/>
      </c>
      <c r="O219" s="69">
        <f>IF(N219="","",IF(N219=D219,1,0))</f>
        <v/>
      </c>
      <c r="P219" s="67">
        <f>IF(G219="","",J219-G219)</f>
        <v/>
      </c>
      <c r="Q219" s="67">
        <f>IF(G219="","",ABS(P219-Components!$D$2))</f>
        <v/>
      </c>
      <c r="R219" s="67">
        <f>IF(G219="","",ABS(P219-Components!$D$3))</f>
        <v/>
      </c>
      <c r="S219" s="67">
        <f>IF(G219="","",ABS(P219-Components!$D$4))</f>
        <v/>
      </c>
      <c r="T219" s="67">
        <f>IF(G219="","",ABS(P219-Components!$D$5))</f>
        <v/>
      </c>
      <c r="U219" s="67">
        <f>IF(G219="","",ABS(P219-Components!$D$6))</f>
        <v/>
      </c>
      <c r="V219" s="67">
        <f>IF(G219="","",ABS(P219-Components!$D$7))</f>
        <v/>
      </c>
      <c r="W219" s="61">
        <f>IF(G219="","",IF(N219="OK","NONE",INDEX({"S1","S2","W1","W2","N1","N2"},MATCH(MIN(Q219:V219),Q219:V219,0))))</f>
        <v/>
      </c>
      <c r="X219" s="69">
        <f>IF(G219="","",IF(W219=E219,1,0))</f>
        <v/>
      </c>
      <c r="Y219" s="70" t="n"/>
    </row>
    <row r="220">
      <c r="A220" s="61" t="n">
        <v>-3</v>
      </c>
      <c r="B220" s="62" t="n">
        <v>53.4</v>
      </c>
      <c r="C220" s="61" t="inlineStr">
        <is>
          <t>R4</t>
        </is>
      </c>
      <c r="D220" s="74" t="inlineStr">
        <is>
          <t>NG</t>
        </is>
      </c>
      <c r="E220" s="61" t="inlineStr">
        <is>
          <t>N1</t>
        </is>
      </c>
      <c r="F220" s="61" t="inlineStr">
        <is>
          <t>K036</t>
        </is>
      </c>
      <c r="G220" s="75" t="n">
        <v>7.52</v>
      </c>
      <c r="H220" s="65" t="n"/>
      <c r="I220" s="66" t="n"/>
      <c r="J220" s="67">
        <f>VLOOKUP(C220,Recipes!$A$2:$N$4,10,FALSE())</f>
        <v/>
      </c>
      <c r="K220" s="68">
        <f>VLOOKUP(C220,Recipes!$A$2:$N$4,12,FALSE())</f>
        <v/>
      </c>
      <c r="L220" s="67">
        <f>J220-6*K220</f>
        <v/>
      </c>
      <c r="M220" s="67">
        <f>J220+6*K220</f>
        <v/>
      </c>
      <c r="N220" s="61">
        <f>IF(G220="","",IF(AND(G220&gt;=L220,G220&lt;=M220),"OK","NG"))</f>
        <v/>
      </c>
      <c r="O220" s="69">
        <f>IF(N220="","",IF(N220=D220,1,0))</f>
        <v/>
      </c>
      <c r="P220" s="67">
        <f>IF(G220="","",J220-G220)</f>
        <v/>
      </c>
      <c r="Q220" s="67">
        <f>IF(G220="","",ABS(P220-Components!$D$2))</f>
        <v/>
      </c>
      <c r="R220" s="67">
        <f>IF(G220="","",ABS(P220-Components!$D$3))</f>
        <v/>
      </c>
      <c r="S220" s="67">
        <f>IF(G220="","",ABS(P220-Components!$D$4))</f>
        <v/>
      </c>
      <c r="T220" s="67">
        <f>IF(G220="","",ABS(P220-Components!$D$5))</f>
        <v/>
      </c>
      <c r="U220" s="67">
        <f>IF(G220="","",ABS(P220-Components!$D$6))</f>
        <v/>
      </c>
      <c r="V220" s="67">
        <f>IF(G220="","",ABS(P220-Components!$D$7))</f>
        <v/>
      </c>
      <c r="W220" s="61">
        <f>IF(G220="","",IF(N220="OK","NONE",INDEX({"S1","S2","W1","W2","N1","N2"},MATCH(MIN(Q220:V220),Q220:V220,0))))</f>
        <v/>
      </c>
      <c r="X220" s="71">
        <f>IF(G220="","",IF(W220=E220,1,0))</f>
        <v/>
      </c>
      <c r="Y220" s="70" t="n"/>
    </row>
    <row r="221">
      <c r="A221" s="61" t="n">
        <v>-1</v>
      </c>
      <c r="B221" s="62" t="n">
        <v>52.1</v>
      </c>
      <c r="C221" s="61" t="inlineStr">
        <is>
          <t>R4</t>
        </is>
      </c>
      <c r="D221" s="74" t="inlineStr">
        <is>
          <t>NG</t>
        </is>
      </c>
      <c r="E221" s="61" t="inlineStr">
        <is>
          <t>N1</t>
        </is>
      </c>
      <c r="F221" s="61" t="inlineStr">
        <is>
          <t>K037</t>
        </is>
      </c>
      <c r="G221" s="75" t="n">
        <v>7.75</v>
      </c>
      <c r="H221" s="65" t="n"/>
      <c r="I221" s="66" t="n"/>
      <c r="J221" s="67">
        <f>VLOOKUP(C221,Recipes!$A$2:$N$4,10,FALSE())</f>
        <v/>
      </c>
      <c r="K221" s="68">
        <f>VLOOKUP(C221,Recipes!$A$2:$N$4,12,FALSE())</f>
        <v/>
      </c>
      <c r="L221" s="67">
        <f>J221-6*K221</f>
        <v/>
      </c>
      <c r="M221" s="67">
        <f>J221+6*K221</f>
        <v/>
      </c>
      <c r="N221" s="61">
        <f>IF(G221="","",IF(AND(G221&gt;=L221,G221&lt;=M221),"OK","NG"))</f>
        <v/>
      </c>
      <c r="O221" s="69">
        <f>IF(N221="","",IF(N221=D221,1,0))</f>
        <v/>
      </c>
      <c r="P221" s="67">
        <f>IF(G221="","",J221-G221)</f>
        <v/>
      </c>
      <c r="Q221" s="67">
        <f>IF(G221="","",ABS(P221-Components!$D$2))</f>
        <v/>
      </c>
      <c r="R221" s="67">
        <f>IF(G221="","",ABS(P221-Components!$D$3))</f>
        <v/>
      </c>
      <c r="S221" s="67">
        <f>IF(G221="","",ABS(P221-Components!$D$4))</f>
        <v/>
      </c>
      <c r="T221" s="67">
        <f>IF(G221="","",ABS(P221-Components!$D$5))</f>
        <v/>
      </c>
      <c r="U221" s="67">
        <f>IF(G221="","",ABS(P221-Components!$D$6))</f>
        <v/>
      </c>
      <c r="V221" s="67">
        <f>IF(G221="","",ABS(P221-Components!$D$7))</f>
        <v/>
      </c>
      <c r="W221" s="61">
        <f>IF(G221="","",IF(N221="OK","NONE",INDEX({"S1","S2","W1","W2","N1","N2"},MATCH(MIN(Q221:V221),Q221:V221,0))))</f>
        <v/>
      </c>
      <c r="X221" s="69">
        <f>IF(G221="","",IF(W221=E221,1,0))</f>
        <v/>
      </c>
      <c r="Y221" s="70" t="n"/>
    </row>
    <row r="222">
      <c r="A222" s="76" t="n">
        <v>1</v>
      </c>
      <c r="B222" s="77" t="n">
        <v>50.8</v>
      </c>
      <c r="C222" s="76" t="inlineStr">
        <is>
          <t>R4</t>
        </is>
      </c>
      <c r="D222" s="78" t="inlineStr">
        <is>
          <t>NG</t>
        </is>
      </c>
      <c r="E222" s="76" t="inlineStr">
        <is>
          <t>N1</t>
        </is>
      </c>
      <c r="F222" s="76" t="inlineStr">
        <is>
          <t>K043</t>
        </is>
      </c>
      <c r="G222" s="75" t="n">
        <v>7.76</v>
      </c>
      <c r="H222" s="65" t="n"/>
      <c r="I222" s="66" t="n"/>
      <c r="J222" s="67">
        <f>VLOOKUP(C222,Recipes!$A$2:$N$4,10,FALSE())</f>
        <v/>
      </c>
      <c r="K222" s="68">
        <f>VLOOKUP(C222,Recipes!$A$2:$N$4,12,FALSE())</f>
        <v/>
      </c>
      <c r="L222" s="67">
        <f>J222-6*K222</f>
        <v/>
      </c>
      <c r="M222" s="67">
        <f>J222+6*K222</f>
        <v/>
      </c>
      <c r="N222" s="61">
        <f>IF(G222="","",IF(AND(G222&gt;=L222,G222&lt;=M222),"OK","NG"))</f>
        <v/>
      </c>
      <c r="O222" s="69">
        <f>IF(N222="","",IF(N222=D222,1,0))</f>
        <v/>
      </c>
      <c r="P222" s="67">
        <f>IF(G222="","",J222-G222)</f>
        <v/>
      </c>
      <c r="Q222" s="67">
        <f>IF(G222="","",ABS(P222-Components!$D$2))</f>
        <v/>
      </c>
      <c r="R222" s="67">
        <f>IF(G222="","",ABS(P222-Components!$D$3))</f>
        <v/>
      </c>
      <c r="S222" s="67">
        <f>IF(G222="","",ABS(P222-Components!$D$4))</f>
        <v/>
      </c>
      <c r="T222" s="67">
        <f>IF(G222="","",ABS(P222-Components!$D$5))</f>
        <v/>
      </c>
      <c r="U222" s="67">
        <f>IF(G222="","",ABS(P222-Components!$D$6))</f>
        <v/>
      </c>
      <c r="V222" s="67">
        <f>IF(G222="","",ABS(P222-Components!$D$7))</f>
        <v/>
      </c>
      <c r="W222" s="61">
        <f>IF(G222="","",IF(N222="OK","NONE",INDEX({"S1","S2","W1","W2","N1","N2"},MATCH(MIN(Q222:V222),Q222:V222,0))))</f>
        <v/>
      </c>
      <c r="X222" s="69">
        <f>IF(G222="","",IF(W222=E222,1,0))</f>
        <v/>
      </c>
      <c r="Y222" s="70" t="n"/>
    </row>
    <row r="223">
      <c r="A223" s="61" t="n">
        <v>3</v>
      </c>
      <c r="B223" s="62" t="n">
        <v>49.5</v>
      </c>
      <c r="C223" s="61" t="inlineStr">
        <is>
          <t>R4</t>
        </is>
      </c>
      <c r="D223" s="74" t="inlineStr">
        <is>
          <t>NG</t>
        </is>
      </c>
      <c r="E223" s="61" t="inlineStr">
        <is>
          <t>N1</t>
        </is>
      </c>
      <c r="F223" s="61" t="inlineStr">
        <is>
          <t>K034</t>
        </is>
      </c>
      <c r="G223" s="75" t="n">
        <v>7.78</v>
      </c>
      <c r="H223" s="65" t="n"/>
      <c r="I223" s="66" t="n"/>
      <c r="J223" s="67">
        <f>VLOOKUP(C223,Recipes!$A$2:$N$4,10,FALSE())</f>
        <v/>
      </c>
      <c r="K223" s="68">
        <f>VLOOKUP(C223,Recipes!$A$2:$N$4,12,FALSE())</f>
        <v/>
      </c>
      <c r="L223" s="67">
        <f>J223-6*K223</f>
        <v/>
      </c>
      <c r="M223" s="67">
        <f>J223+6*K223</f>
        <v/>
      </c>
      <c r="N223" s="61">
        <f>IF(G223="","",IF(AND(G223&gt;=L223,G223&lt;=M223),"OK","NG"))</f>
        <v/>
      </c>
      <c r="O223" s="69">
        <f>IF(N223="","",IF(N223=D223,1,0))</f>
        <v/>
      </c>
      <c r="P223" s="67">
        <f>IF(G223="","",J223-G223)</f>
        <v/>
      </c>
      <c r="Q223" s="67">
        <f>IF(G223="","",ABS(P223-Components!$D$2))</f>
        <v/>
      </c>
      <c r="R223" s="67">
        <f>IF(G223="","",ABS(P223-Components!$D$3))</f>
        <v/>
      </c>
      <c r="S223" s="67">
        <f>IF(G223="","",ABS(P223-Components!$D$4))</f>
        <v/>
      </c>
      <c r="T223" s="67">
        <f>IF(G223="","",ABS(P223-Components!$D$5))</f>
        <v/>
      </c>
      <c r="U223" s="67">
        <f>IF(G223="","",ABS(P223-Components!$D$6))</f>
        <v/>
      </c>
      <c r="V223" s="67">
        <f>IF(G223="","",ABS(P223-Components!$D$7))</f>
        <v/>
      </c>
      <c r="W223" s="61">
        <f>IF(G223="","",IF(N223="OK","NONE",INDEX({"S1","S2","W1","W2","N1","N2"},MATCH(MIN(Q223:V223),Q223:V223,0))))</f>
        <v/>
      </c>
      <c r="X223" s="69">
        <f>IF(G223="","",IF(W223=E223,1,0))</f>
        <v/>
      </c>
      <c r="Y223" s="70" t="n"/>
    </row>
    <row r="224">
      <c r="A224" s="61" t="n">
        <v>5</v>
      </c>
      <c r="B224" s="62" t="n">
        <v>48.2</v>
      </c>
      <c r="C224" s="61" t="inlineStr">
        <is>
          <t>R4</t>
        </is>
      </c>
      <c r="D224" s="74" t="inlineStr">
        <is>
          <t>NG</t>
        </is>
      </c>
      <c r="E224" s="61" t="inlineStr">
        <is>
          <t>N1</t>
        </is>
      </c>
      <c r="F224" s="61" t="inlineStr">
        <is>
          <t>K035</t>
        </is>
      </c>
      <c r="G224" s="75" t="n">
        <v>7.82</v>
      </c>
      <c r="H224" s="65" t="n"/>
      <c r="I224" s="66" t="n"/>
      <c r="J224" s="67">
        <f>VLOOKUP(C224,Recipes!$A$2:$N$4,10,FALSE())</f>
        <v/>
      </c>
      <c r="K224" s="68">
        <f>VLOOKUP(C224,Recipes!$A$2:$N$4,12,FALSE())</f>
        <v/>
      </c>
      <c r="L224" s="67">
        <f>J224-6*K224</f>
        <v/>
      </c>
      <c r="M224" s="67">
        <f>J224+6*K224</f>
        <v/>
      </c>
      <c r="N224" s="61">
        <f>IF(G224="","",IF(AND(G224&gt;=L224,G224&lt;=M224),"OK","NG"))</f>
        <v/>
      </c>
      <c r="O224" s="69">
        <f>IF(N224="","",IF(N224=D224,1,0))</f>
        <v/>
      </c>
      <c r="P224" s="67">
        <f>IF(G224="","",J224-G224)</f>
        <v/>
      </c>
      <c r="Q224" s="67">
        <f>IF(G224="","",ABS(P224-Components!$D$2))</f>
        <v/>
      </c>
      <c r="R224" s="67">
        <f>IF(G224="","",ABS(P224-Components!$D$3))</f>
        <v/>
      </c>
      <c r="S224" s="67">
        <f>IF(G224="","",ABS(P224-Components!$D$4))</f>
        <v/>
      </c>
      <c r="T224" s="67">
        <f>IF(G224="","",ABS(P224-Components!$D$5))</f>
        <v/>
      </c>
      <c r="U224" s="67">
        <f>IF(G224="","",ABS(P224-Components!$D$6))</f>
        <v/>
      </c>
      <c r="V224" s="67">
        <f>IF(G224="","",ABS(P224-Components!$D$7))</f>
        <v/>
      </c>
      <c r="W224" s="61">
        <f>IF(G224="","",IF(N224="OK","NONE",INDEX({"S1","S2","W1","W2","N1","N2"},MATCH(MIN(Q224:V224),Q224:V224,0))))</f>
        <v/>
      </c>
      <c r="X224" s="69">
        <f>IF(G224="","",IF(W224=E224,1,0))</f>
        <v/>
      </c>
      <c r="Y224" s="70" t="n"/>
    </row>
    <row r="225">
      <c r="A225" s="61" t="n">
        <v>7</v>
      </c>
      <c r="B225" s="62" t="n">
        <v>46.9</v>
      </c>
      <c r="C225" s="61" t="inlineStr">
        <is>
          <t>R4</t>
        </is>
      </c>
      <c r="D225" s="74" t="inlineStr">
        <is>
          <t>NG</t>
        </is>
      </c>
      <c r="E225" s="61" t="inlineStr">
        <is>
          <t>N1</t>
        </is>
      </c>
      <c r="F225" s="61" t="inlineStr">
        <is>
          <t>K036</t>
        </is>
      </c>
      <c r="G225" s="75" t="n">
        <v>7.8</v>
      </c>
      <c r="H225" s="65" t="n"/>
      <c r="I225" s="66" t="n"/>
      <c r="J225" s="67">
        <f>VLOOKUP(C225,Recipes!$A$2:$N$4,10,FALSE())</f>
        <v/>
      </c>
      <c r="K225" s="68">
        <f>VLOOKUP(C225,Recipes!$A$2:$N$4,12,FALSE())</f>
        <v/>
      </c>
      <c r="L225" s="67">
        <f>J225-6*K225</f>
        <v/>
      </c>
      <c r="M225" s="67">
        <f>J225+6*K225</f>
        <v/>
      </c>
      <c r="N225" s="61">
        <f>IF(G225="","",IF(AND(G225&gt;=L225,G225&lt;=M225),"OK","NG"))</f>
        <v/>
      </c>
      <c r="O225" s="69">
        <f>IF(N225="","",IF(N225=D225,1,0))</f>
        <v/>
      </c>
      <c r="P225" s="67">
        <f>IF(G225="","",J225-G225)</f>
        <v/>
      </c>
      <c r="Q225" s="67">
        <f>IF(G225="","",ABS(P225-Components!$D$2))</f>
        <v/>
      </c>
      <c r="R225" s="67">
        <f>IF(G225="","",ABS(P225-Components!$D$3))</f>
        <v/>
      </c>
      <c r="S225" s="67">
        <f>IF(G225="","",ABS(P225-Components!$D$4))</f>
        <v/>
      </c>
      <c r="T225" s="67">
        <f>IF(G225="","",ABS(P225-Components!$D$5))</f>
        <v/>
      </c>
      <c r="U225" s="67">
        <f>IF(G225="","",ABS(P225-Components!$D$6))</f>
        <v/>
      </c>
      <c r="V225" s="67">
        <f>IF(G225="","",ABS(P225-Components!$D$7))</f>
        <v/>
      </c>
      <c r="W225" s="61">
        <f>IF(G225="","",IF(N225="OK","NONE",INDEX({"S1","S2","W1","W2","N1","N2"},MATCH(MIN(Q225:V225),Q225:V225,0))))</f>
        <v/>
      </c>
      <c r="X225" s="69">
        <f>IF(G225="","",IF(W225=E225,1,0))</f>
        <v/>
      </c>
      <c r="Y225" s="70" t="n"/>
    </row>
    <row r="226">
      <c r="A226" s="61" t="n">
        <v>9</v>
      </c>
      <c r="B226" s="62" t="n">
        <v>45.6</v>
      </c>
      <c r="C226" s="61" t="inlineStr">
        <is>
          <t>R4</t>
        </is>
      </c>
      <c r="D226" s="74" t="inlineStr">
        <is>
          <t>NG</t>
        </is>
      </c>
      <c r="E226" s="61" t="inlineStr">
        <is>
          <t>N1</t>
        </is>
      </c>
      <c r="F226" s="61" t="inlineStr">
        <is>
          <t>K037</t>
        </is>
      </c>
      <c r="G226" s="75" t="n">
        <v>7.75</v>
      </c>
      <c r="H226" s="65" t="n"/>
      <c r="I226" s="66" t="n"/>
      <c r="J226" s="67">
        <f>VLOOKUP(C226,Recipes!$A$2:$N$4,10,FALSE())</f>
        <v/>
      </c>
      <c r="K226" s="68">
        <f>VLOOKUP(C226,Recipes!$A$2:$N$4,12,FALSE())</f>
        <v/>
      </c>
      <c r="L226" s="67">
        <f>J226-6*K226</f>
        <v/>
      </c>
      <c r="M226" s="67">
        <f>J226+6*K226</f>
        <v/>
      </c>
      <c r="N226" s="61">
        <f>IF(G226="","",IF(AND(G226&gt;=L226,G226&lt;=M226),"OK","NG"))</f>
        <v/>
      </c>
      <c r="O226" s="69">
        <f>IF(N226="","",IF(N226=D226,1,0))</f>
        <v/>
      </c>
      <c r="P226" s="67">
        <f>IF(G226="","",J226-G226)</f>
        <v/>
      </c>
      <c r="Q226" s="67">
        <f>IF(G226="","",ABS(P226-Components!$D$2))</f>
        <v/>
      </c>
      <c r="R226" s="67">
        <f>IF(G226="","",ABS(P226-Components!$D$3))</f>
        <v/>
      </c>
      <c r="S226" s="67">
        <f>IF(G226="","",ABS(P226-Components!$D$4))</f>
        <v/>
      </c>
      <c r="T226" s="67">
        <f>IF(G226="","",ABS(P226-Components!$D$5))</f>
        <v/>
      </c>
      <c r="U226" s="67">
        <f>IF(G226="","",ABS(P226-Components!$D$6))</f>
        <v/>
      </c>
      <c r="V226" s="67">
        <f>IF(G226="","",ABS(P226-Components!$D$7))</f>
        <v/>
      </c>
      <c r="W226" s="61">
        <f>IF(G226="","",IF(N226="OK","NONE",INDEX({"S1","S2","W1","W2","N1","N2"},MATCH(MIN(Q226:V226),Q226:V226,0))))</f>
        <v/>
      </c>
      <c r="X226" s="69">
        <f>IF(G226="","",IF(W226=E226,1,0))</f>
        <v/>
      </c>
      <c r="Y226" s="70" t="n"/>
    </row>
    <row r="227">
      <c r="A227" s="76" t="n">
        <v>11</v>
      </c>
      <c r="B227" s="77" t="n">
        <v>44.3</v>
      </c>
      <c r="C227" s="76" t="inlineStr">
        <is>
          <t>R4</t>
        </is>
      </c>
      <c r="D227" s="78" t="inlineStr">
        <is>
          <t>NG</t>
        </is>
      </c>
      <c r="E227" s="76" t="inlineStr">
        <is>
          <t>N1</t>
        </is>
      </c>
      <c r="F227" s="76" t="inlineStr">
        <is>
          <t>K043</t>
        </is>
      </c>
      <c r="G227" s="75" t="n">
        <v>7.72</v>
      </c>
      <c r="H227" s="65" t="n"/>
      <c r="I227" s="66" t="n"/>
      <c r="J227" s="67">
        <f>VLOOKUP(C227,Recipes!$A$2:$N$4,10,FALSE())</f>
        <v/>
      </c>
      <c r="K227" s="68">
        <f>VLOOKUP(C227,Recipes!$A$2:$N$4,12,FALSE())</f>
        <v/>
      </c>
      <c r="L227" s="67">
        <f>J227-6*K227</f>
        <v/>
      </c>
      <c r="M227" s="67">
        <f>J227+6*K227</f>
        <v/>
      </c>
      <c r="N227" s="61">
        <f>IF(G227="","",IF(AND(G227&gt;=L227,G227&lt;=M227),"OK","NG"))</f>
        <v/>
      </c>
      <c r="O227" s="69">
        <f>IF(N227="","",IF(N227=D227,1,0))</f>
        <v/>
      </c>
      <c r="P227" s="67">
        <f>IF(G227="","",J227-G227)</f>
        <v/>
      </c>
      <c r="Q227" s="67">
        <f>IF(G227="","",ABS(P227-Components!$D$2))</f>
        <v/>
      </c>
      <c r="R227" s="67">
        <f>IF(G227="","",ABS(P227-Components!$D$3))</f>
        <v/>
      </c>
      <c r="S227" s="67">
        <f>IF(G227="","",ABS(P227-Components!$D$4))</f>
        <v/>
      </c>
      <c r="T227" s="67">
        <f>IF(G227="","",ABS(P227-Components!$D$5))</f>
        <v/>
      </c>
      <c r="U227" s="67">
        <f>IF(G227="","",ABS(P227-Components!$D$6))</f>
        <v/>
      </c>
      <c r="V227" s="67">
        <f>IF(G227="","",ABS(P227-Components!$D$7))</f>
        <v/>
      </c>
      <c r="W227" s="61">
        <f>IF(G227="","",IF(N227="OK","NONE",INDEX({"S1","S2","W1","W2","N1","N2"},MATCH(MIN(Q227:V227),Q227:V227,0))))</f>
        <v/>
      </c>
      <c r="X227" s="69">
        <f>IF(G227="","",IF(W227=E227,1,0))</f>
        <v/>
      </c>
      <c r="Y227" s="70" t="n"/>
    </row>
    <row r="228">
      <c r="A228" s="61" t="n">
        <v>13</v>
      </c>
      <c r="B228" s="62" t="n">
        <v>43</v>
      </c>
      <c r="C228" s="61" t="inlineStr">
        <is>
          <t>R4</t>
        </is>
      </c>
      <c r="D228" s="74" t="inlineStr">
        <is>
          <t>NG</t>
        </is>
      </c>
      <c r="E228" s="61" t="inlineStr">
        <is>
          <t>N1</t>
        </is>
      </c>
      <c r="F228" s="61" t="inlineStr">
        <is>
          <t>K034</t>
        </is>
      </c>
      <c r="G228" s="75" t="n">
        <v>7.78</v>
      </c>
      <c r="H228" s="65" t="n"/>
      <c r="I228" s="66" t="n"/>
      <c r="J228" s="67">
        <f>VLOOKUP(C228,Recipes!$A$2:$N$4,10,FALSE())</f>
        <v/>
      </c>
      <c r="K228" s="68">
        <f>VLOOKUP(C228,Recipes!$A$2:$N$4,12,FALSE())</f>
        <v/>
      </c>
      <c r="L228" s="67">
        <f>J228-6*K228</f>
        <v/>
      </c>
      <c r="M228" s="67">
        <f>J228+6*K228</f>
        <v/>
      </c>
      <c r="N228" s="61">
        <f>IF(G228="","",IF(AND(G228&gt;=L228,G228&lt;=M228),"OK","NG"))</f>
        <v/>
      </c>
      <c r="O228" s="69">
        <f>IF(N228="","",IF(N228=D228,1,0))</f>
        <v/>
      </c>
      <c r="P228" s="67">
        <f>IF(G228="","",J228-G228)</f>
        <v/>
      </c>
      <c r="Q228" s="67">
        <f>IF(G228="","",ABS(P228-Components!$D$2))</f>
        <v/>
      </c>
      <c r="R228" s="67">
        <f>IF(G228="","",ABS(P228-Components!$D$3))</f>
        <v/>
      </c>
      <c r="S228" s="67">
        <f>IF(G228="","",ABS(P228-Components!$D$4))</f>
        <v/>
      </c>
      <c r="T228" s="67">
        <f>IF(G228="","",ABS(P228-Components!$D$5))</f>
        <v/>
      </c>
      <c r="U228" s="67">
        <f>IF(G228="","",ABS(P228-Components!$D$6))</f>
        <v/>
      </c>
      <c r="V228" s="67">
        <f>IF(G228="","",ABS(P228-Components!$D$7))</f>
        <v/>
      </c>
      <c r="W228" s="61">
        <f>IF(G228="","",IF(N228="OK","NONE",INDEX({"S1","S2","W1","W2","N1","N2"},MATCH(MIN(Q228:V228),Q228:V228,0))))</f>
        <v/>
      </c>
      <c r="X228" s="69">
        <f>IF(G228="","",IF(W228=E228,1,0))</f>
        <v/>
      </c>
      <c r="Y228" s="70" t="n"/>
    </row>
    <row r="229">
      <c r="A229" s="61" t="n">
        <v>15</v>
      </c>
      <c r="B229" s="62" t="n">
        <v>41.7</v>
      </c>
      <c r="C229" s="61" t="inlineStr">
        <is>
          <t>R4</t>
        </is>
      </c>
      <c r="D229" s="74" t="inlineStr">
        <is>
          <t>NG</t>
        </is>
      </c>
      <c r="E229" s="61" t="inlineStr">
        <is>
          <t>N1</t>
        </is>
      </c>
      <c r="F229" s="61" t="inlineStr">
        <is>
          <t>K035</t>
        </is>
      </c>
      <c r="G229" s="75" t="n">
        <v>7.75</v>
      </c>
      <c r="H229" s="65" t="n"/>
      <c r="I229" s="66" t="n"/>
      <c r="J229" s="67">
        <f>VLOOKUP(C229,Recipes!$A$2:$N$4,10,FALSE())</f>
        <v/>
      </c>
      <c r="K229" s="68">
        <f>VLOOKUP(C229,Recipes!$A$2:$N$4,12,FALSE())</f>
        <v/>
      </c>
      <c r="L229" s="67">
        <f>J229-6*K229</f>
        <v/>
      </c>
      <c r="M229" s="67">
        <f>J229+6*K229</f>
        <v/>
      </c>
      <c r="N229" s="61">
        <f>IF(G229="","",IF(AND(G229&gt;=L229,G229&lt;=M229),"OK","NG"))</f>
        <v/>
      </c>
      <c r="O229" s="69">
        <f>IF(N229="","",IF(N229=D229,1,0))</f>
        <v/>
      </c>
      <c r="P229" s="67">
        <f>IF(G229="","",J229-G229)</f>
        <v/>
      </c>
      <c r="Q229" s="67">
        <f>IF(G229="","",ABS(P229-Components!$D$2))</f>
        <v/>
      </c>
      <c r="R229" s="67">
        <f>IF(G229="","",ABS(P229-Components!$D$3))</f>
        <v/>
      </c>
      <c r="S229" s="67">
        <f>IF(G229="","",ABS(P229-Components!$D$4))</f>
        <v/>
      </c>
      <c r="T229" s="67">
        <f>IF(G229="","",ABS(P229-Components!$D$5))</f>
        <v/>
      </c>
      <c r="U229" s="67">
        <f>IF(G229="","",ABS(P229-Components!$D$6))</f>
        <v/>
      </c>
      <c r="V229" s="67">
        <f>IF(G229="","",ABS(P229-Components!$D$7))</f>
        <v/>
      </c>
      <c r="W229" s="61">
        <f>IF(G229="","",IF(N229="OK","NONE",INDEX({"S1","S2","W1","W2","N1","N2"},MATCH(MIN(Q229:V229),Q229:V229,0))))</f>
        <v/>
      </c>
      <c r="X229" s="69">
        <f>IF(G229="","",IF(W229=E229,1,0))</f>
        <v/>
      </c>
      <c r="Y229" s="70" t="n"/>
    </row>
    <row r="230">
      <c r="A230" s="61" t="n">
        <v>17</v>
      </c>
      <c r="B230" s="62" t="n">
        <v>40.4</v>
      </c>
      <c r="C230" s="61" t="inlineStr">
        <is>
          <t>R4</t>
        </is>
      </c>
      <c r="D230" s="74" t="inlineStr">
        <is>
          <t>NG</t>
        </is>
      </c>
      <c r="E230" s="61" t="inlineStr">
        <is>
          <t>N1</t>
        </is>
      </c>
      <c r="F230" s="61" t="inlineStr">
        <is>
          <t>K036</t>
        </is>
      </c>
      <c r="G230" s="75" t="n">
        <v>7.77</v>
      </c>
      <c r="H230" s="65" t="n"/>
      <c r="I230" s="66" t="n"/>
      <c r="J230" s="67">
        <f>VLOOKUP(C230,Recipes!$A$2:$N$4,10,FALSE())</f>
        <v/>
      </c>
      <c r="K230" s="68">
        <f>VLOOKUP(C230,Recipes!$A$2:$N$4,12,FALSE())</f>
        <v/>
      </c>
      <c r="L230" s="67">
        <f>J230-6*K230</f>
        <v/>
      </c>
      <c r="M230" s="67">
        <f>J230+6*K230</f>
        <v/>
      </c>
      <c r="N230" s="61">
        <f>IF(G230="","",IF(AND(G230&gt;=L230,G230&lt;=M230),"OK","NG"))</f>
        <v/>
      </c>
      <c r="O230" s="69">
        <f>IF(N230="","",IF(N230=D230,1,0))</f>
        <v/>
      </c>
      <c r="P230" s="67">
        <f>IF(G230="","",J230-G230)</f>
        <v/>
      </c>
      <c r="Q230" s="67">
        <f>IF(G230="","",ABS(P230-Components!$D$2))</f>
        <v/>
      </c>
      <c r="R230" s="67">
        <f>IF(G230="","",ABS(P230-Components!$D$3))</f>
        <v/>
      </c>
      <c r="S230" s="67">
        <f>IF(G230="","",ABS(P230-Components!$D$4))</f>
        <v/>
      </c>
      <c r="T230" s="67">
        <f>IF(G230="","",ABS(P230-Components!$D$5))</f>
        <v/>
      </c>
      <c r="U230" s="67">
        <f>IF(G230="","",ABS(P230-Components!$D$6))</f>
        <v/>
      </c>
      <c r="V230" s="67">
        <f>IF(G230="","",ABS(P230-Components!$D$7))</f>
        <v/>
      </c>
      <c r="W230" s="61">
        <f>IF(G230="","",IF(N230="OK","NONE",INDEX({"S1","S2","W1","W2","N1","N2"},MATCH(MIN(Q230:V230),Q230:V230,0))))</f>
        <v/>
      </c>
      <c r="X230" s="69">
        <f>IF(G230="","",IF(W230=E230,1,0))</f>
        <v/>
      </c>
      <c r="Y230" s="70" t="n"/>
    </row>
    <row r="231">
      <c r="A231" s="61" t="n">
        <v>19</v>
      </c>
      <c r="B231" s="62" t="n">
        <v>39.1</v>
      </c>
      <c r="C231" s="61" t="inlineStr">
        <is>
          <t>R4</t>
        </is>
      </c>
      <c r="D231" s="74" t="inlineStr">
        <is>
          <t>NG</t>
        </is>
      </c>
      <c r="E231" s="61" t="inlineStr">
        <is>
          <t>N1</t>
        </is>
      </c>
      <c r="F231" s="61" t="inlineStr">
        <is>
          <t>K037</t>
        </is>
      </c>
      <c r="G231" s="75" t="n">
        <v>7.69</v>
      </c>
      <c r="H231" s="65" t="n"/>
      <c r="I231" s="66" t="n"/>
      <c r="J231" s="67">
        <f>VLOOKUP(C231,Recipes!$A$2:$N$4,10,FALSE())</f>
        <v/>
      </c>
      <c r="K231" s="68">
        <f>VLOOKUP(C231,Recipes!$A$2:$N$4,12,FALSE())</f>
        <v/>
      </c>
      <c r="L231" s="67">
        <f>J231-6*K231</f>
        <v/>
      </c>
      <c r="M231" s="67">
        <f>J231+6*K231</f>
        <v/>
      </c>
      <c r="N231" s="61">
        <f>IF(G231="","",IF(AND(G231&gt;=L231,G231&lt;=M231),"OK","NG"))</f>
        <v/>
      </c>
      <c r="O231" s="69">
        <f>IF(N231="","",IF(N231=D231,1,0))</f>
        <v/>
      </c>
      <c r="P231" s="67">
        <f>IF(G231="","",J231-G231)</f>
        <v/>
      </c>
      <c r="Q231" s="67">
        <f>IF(G231="","",ABS(P231-Components!$D$2))</f>
        <v/>
      </c>
      <c r="R231" s="67">
        <f>IF(G231="","",ABS(P231-Components!$D$3))</f>
        <v/>
      </c>
      <c r="S231" s="67">
        <f>IF(G231="","",ABS(P231-Components!$D$4))</f>
        <v/>
      </c>
      <c r="T231" s="67">
        <f>IF(G231="","",ABS(P231-Components!$D$5))</f>
        <v/>
      </c>
      <c r="U231" s="67">
        <f>IF(G231="","",ABS(P231-Components!$D$6))</f>
        <v/>
      </c>
      <c r="V231" s="67">
        <f>IF(G231="","",ABS(P231-Components!$D$7))</f>
        <v/>
      </c>
      <c r="W231" s="61">
        <f>IF(G231="","",IF(N231="OK","NONE",INDEX({"S1","S2","W1","W2","N1","N2"},MATCH(MIN(Q231:V231),Q231:V231,0))))</f>
        <v/>
      </c>
      <c r="X231" s="69">
        <f>IF(G231="","",IF(W231=E231,1,0))</f>
        <v/>
      </c>
      <c r="Y231" s="70" t="n"/>
    </row>
    <row r="232">
      <c r="A232" s="76" t="n">
        <v>21</v>
      </c>
      <c r="B232" s="77" t="n">
        <v>37.8</v>
      </c>
      <c r="C232" s="76" t="inlineStr">
        <is>
          <t>R4</t>
        </is>
      </c>
      <c r="D232" s="78" t="inlineStr">
        <is>
          <t>NG</t>
        </is>
      </c>
      <c r="E232" s="76" t="inlineStr">
        <is>
          <t>N1</t>
        </is>
      </c>
      <c r="F232" s="76" t="inlineStr">
        <is>
          <t>K043</t>
        </is>
      </c>
      <c r="G232" s="75" t="n">
        <v>7.77</v>
      </c>
      <c r="H232" s="65" t="n"/>
      <c r="I232" s="66" t="n"/>
      <c r="J232" s="67">
        <f>VLOOKUP(C232,Recipes!$A$2:$N$4,10,FALSE())</f>
        <v/>
      </c>
      <c r="K232" s="68">
        <f>VLOOKUP(C232,Recipes!$A$2:$N$4,12,FALSE())</f>
        <v/>
      </c>
      <c r="L232" s="67">
        <f>J232-6*K232</f>
        <v/>
      </c>
      <c r="M232" s="67">
        <f>J232+6*K232</f>
        <v/>
      </c>
      <c r="N232" s="61">
        <f>IF(G232="","",IF(AND(G232&gt;=L232,G232&lt;=M232),"OK","NG"))</f>
        <v/>
      </c>
      <c r="O232" s="69">
        <f>IF(N232="","",IF(N232=D232,1,0))</f>
        <v/>
      </c>
      <c r="P232" s="67">
        <f>IF(G232="","",J232-G232)</f>
        <v/>
      </c>
      <c r="Q232" s="67">
        <f>IF(G232="","",ABS(P232-Components!$D$2))</f>
        <v/>
      </c>
      <c r="R232" s="67">
        <f>IF(G232="","",ABS(P232-Components!$D$3))</f>
        <v/>
      </c>
      <c r="S232" s="67">
        <f>IF(G232="","",ABS(P232-Components!$D$4))</f>
        <v/>
      </c>
      <c r="T232" s="67">
        <f>IF(G232="","",ABS(P232-Components!$D$5))</f>
        <v/>
      </c>
      <c r="U232" s="67">
        <f>IF(G232="","",ABS(P232-Components!$D$6))</f>
        <v/>
      </c>
      <c r="V232" s="67">
        <f>IF(G232="","",ABS(P232-Components!$D$7))</f>
        <v/>
      </c>
      <c r="W232" s="61">
        <f>IF(G232="","",IF(N232="OK","NONE",INDEX({"S1","S2","W1","W2","N1","N2"},MATCH(MIN(Q232:V232),Q232:V232,0))))</f>
        <v/>
      </c>
      <c r="X232" s="69">
        <f>IF(G232="","",IF(W232=E232,1,0))</f>
        <v/>
      </c>
      <c r="Y232" s="70" t="n"/>
    </row>
    <row r="233">
      <c r="A233" s="61" t="n">
        <v>23</v>
      </c>
      <c r="B233" s="62" t="n">
        <v>36.5</v>
      </c>
      <c r="C233" s="61" t="inlineStr">
        <is>
          <t>R4</t>
        </is>
      </c>
      <c r="D233" s="74" t="inlineStr">
        <is>
          <t>NG</t>
        </is>
      </c>
      <c r="E233" s="61" t="inlineStr">
        <is>
          <t>N1</t>
        </is>
      </c>
      <c r="F233" s="61" t="inlineStr">
        <is>
          <t>K034</t>
        </is>
      </c>
      <c r="G233" s="75" t="n">
        <v>7.77</v>
      </c>
      <c r="H233" s="65" t="n"/>
      <c r="I233" s="66" t="n"/>
      <c r="J233" s="67">
        <f>VLOOKUP(C233,Recipes!$A$2:$N$4,10,FALSE())</f>
        <v/>
      </c>
      <c r="K233" s="68">
        <f>VLOOKUP(C233,Recipes!$A$2:$N$4,12,FALSE())</f>
        <v/>
      </c>
      <c r="L233" s="67">
        <f>J233-6*K233</f>
        <v/>
      </c>
      <c r="M233" s="67">
        <f>J233+6*K233</f>
        <v/>
      </c>
      <c r="N233" s="61">
        <f>IF(G233="","",IF(AND(G233&gt;=L233,G233&lt;=M233),"OK","NG"))</f>
        <v/>
      </c>
      <c r="O233" s="69">
        <f>IF(N233="","",IF(N233=D233,1,0))</f>
        <v/>
      </c>
      <c r="P233" s="67">
        <f>IF(G233="","",J233-G233)</f>
        <v/>
      </c>
      <c r="Q233" s="67">
        <f>IF(G233="","",ABS(P233-Components!$D$2))</f>
        <v/>
      </c>
      <c r="R233" s="67">
        <f>IF(G233="","",ABS(P233-Components!$D$3))</f>
        <v/>
      </c>
      <c r="S233" s="67">
        <f>IF(G233="","",ABS(P233-Components!$D$4))</f>
        <v/>
      </c>
      <c r="T233" s="67">
        <f>IF(G233="","",ABS(P233-Components!$D$5))</f>
        <v/>
      </c>
      <c r="U233" s="67">
        <f>IF(G233="","",ABS(P233-Components!$D$6))</f>
        <v/>
      </c>
      <c r="V233" s="67">
        <f>IF(G233="","",ABS(P233-Components!$D$7))</f>
        <v/>
      </c>
      <c r="W233" s="61">
        <f>IF(G233="","",IF(N233="OK","NONE",INDEX({"S1","S2","W1","W2","N1","N2"},MATCH(MIN(Q233:V233),Q233:V233,0))))</f>
        <v/>
      </c>
      <c r="X233" s="69">
        <f>IF(G233="","",IF(W233=E233,1,0))</f>
        <v/>
      </c>
      <c r="Y233" s="70" t="n"/>
    </row>
    <row r="234">
      <c r="A234" s="61" t="n">
        <v>25</v>
      </c>
      <c r="B234" s="62" t="n">
        <v>35.2</v>
      </c>
      <c r="C234" s="61" t="inlineStr">
        <is>
          <t>R4</t>
        </is>
      </c>
      <c r="D234" s="74" t="inlineStr">
        <is>
          <t>NG</t>
        </is>
      </c>
      <c r="E234" s="61" t="inlineStr">
        <is>
          <t>N1</t>
        </is>
      </c>
      <c r="F234" s="61" t="inlineStr">
        <is>
          <t>K035</t>
        </is>
      </c>
      <c r="G234" s="75" t="n">
        <v>7.78</v>
      </c>
      <c r="H234" s="65" t="n"/>
      <c r="I234" s="66" t="n"/>
      <c r="J234" s="67">
        <f>VLOOKUP(C234,Recipes!$A$2:$N$4,10,FALSE())</f>
        <v/>
      </c>
      <c r="K234" s="68">
        <f>VLOOKUP(C234,Recipes!$A$2:$N$4,12,FALSE())</f>
        <v/>
      </c>
      <c r="L234" s="67">
        <f>J234-6*K234</f>
        <v/>
      </c>
      <c r="M234" s="67">
        <f>J234+6*K234</f>
        <v/>
      </c>
      <c r="N234" s="61">
        <f>IF(G234="","",IF(AND(G234&gt;=L234,G234&lt;=M234),"OK","NG"))</f>
        <v/>
      </c>
      <c r="O234" s="69">
        <f>IF(N234="","",IF(N234=D234,1,0))</f>
        <v/>
      </c>
      <c r="P234" s="67">
        <f>IF(G234="","",J234-G234)</f>
        <v/>
      </c>
      <c r="Q234" s="67">
        <f>IF(G234="","",ABS(P234-Components!$D$2))</f>
        <v/>
      </c>
      <c r="R234" s="67">
        <f>IF(G234="","",ABS(P234-Components!$D$3))</f>
        <v/>
      </c>
      <c r="S234" s="67">
        <f>IF(G234="","",ABS(P234-Components!$D$4))</f>
        <v/>
      </c>
      <c r="T234" s="67">
        <f>IF(G234="","",ABS(P234-Components!$D$5))</f>
        <v/>
      </c>
      <c r="U234" s="67">
        <f>IF(G234="","",ABS(P234-Components!$D$6))</f>
        <v/>
      </c>
      <c r="V234" s="67">
        <f>IF(G234="","",ABS(P234-Components!$D$7))</f>
        <v/>
      </c>
      <c r="W234" s="61">
        <f>IF(G234="","",IF(N234="OK","NONE",INDEX({"S1","S2","W1","W2","N1","N2"},MATCH(MIN(Q234:V234),Q234:V234,0))))</f>
        <v/>
      </c>
      <c r="X234" s="69">
        <f>IF(G234="","",IF(W234=E234,1,0))</f>
        <v/>
      </c>
      <c r="Y234" s="70" t="n"/>
    </row>
    <row r="235">
      <c r="A235" s="61" t="n">
        <v>27</v>
      </c>
      <c r="B235" s="62" t="n">
        <v>33.9</v>
      </c>
      <c r="C235" s="61" t="inlineStr">
        <is>
          <t>R4</t>
        </is>
      </c>
      <c r="D235" s="74" t="inlineStr">
        <is>
          <t>NG</t>
        </is>
      </c>
      <c r="E235" s="61" t="inlineStr">
        <is>
          <t>N1</t>
        </is>
      </c>
      <c r="F235" s="61" t="inlineStr">
        <is>
          <t>K036</t>
        </is>
      </c>
      <c r="G235" s="75" t="n">
        <v>7.76</v>
      </c>
      <c r="H235" s="65" t="n"/>
      <c r="I235" s="66" t="n"/>
      <c r="J235" s="67">
        <f>VLOOKUP(C235,Recipes!$A$2:$N$4,10,FALSE())</f>
        <v/>
      </c>
      <c r="K235" s="68">
        <f>VLOOKUP(C235,Recipes!$A$2:$N$4,12,FALSE())</f>
        <v/>
      </c>
      <c r="L235" s="67">
        <f>J235-6*K235</f>
        <v/>
      </c>
      <c r="M235" s="67">
        <f>J235+6*K235</f>
        <v/>
      </c>
      <c r="N235" s="61">
        <f>IF(G235="","",IF(AND(G235&gt;=L235,G235&lt;=M235),"OK","NG"))</f>
        <v/>
      </c>
      <c r="O235" s="69">
        <f>IF(N235="","",IF(N235=D235,1,0))</f>
        <v/>
      </c>
      <c r="P235" s="67">
        <f>IF(G235="","",J235-G235)</f>
        <v/>
      </c>
      <c r="Q235" s="67">
        <f>IF(G235="","",ABS(P235-Components!$D$2))</f>
        <v/>
      </c>
      <c r="R235" s="67">
        <f>IF(G235="","",ABS(P235-Components!$D$3))</f>
        <v/>
      </c>
      <c r="S235" s="67">
        <f>IF(G235="","",ABS(P235-Components!$D$4))</f>
        <v/>
      </c>
      <c r="T235" s="67">
        <f>IF(G235="","",ABS(P235-Components!$D$5))</f>
        <v/>
      </c>
      <c r="U235" s="67">
        <f>IF(G235="","",ABS(P235-Components!$D$6))</f>
        <v/>
      </c>
      <c r="V235" s="67">
        <f>IF(G235="","",ABS(P235-Components!$D$7))</f>
        <v/>
      </c>
      <c r="W235" s="61">
        <f>IF(G235="","",IF(N235="OK","NONE",INDEX({"S1","S2","W1","W2","N1","N2"},MATCH(MIN(Q235:V235),Q235:V235,0))))</f>
        <v/>
      </c>
      <c r="X235" s="69">
        <f>IF(G235="","",IF(W235=E235,1,0))</f>
        <v/>
      </c>
      <c r="Y235" s="70" t="n"/>
    </row>
    <row r="236">
      <c r="A236" s="61" t="n">
        <v>29</v>
      </c>
      <c r="B236" s="62" t="n">
        <v>32.6</v>
      </c>
      <c r="C236" s="61" t="inlineStr">
        <is>
          <t>R4</t>
        </is>
      </c>
      <c r="D236" s="74" t="inlineStr">
        <is>
          <t>NG</t>
        </is>
      </c>
      <c r="E236" s="61" t="inlineStr">
        <is>
          <t>N1</t>
        </is>
      </c>
      <c r="F236" s="61" t="inlineStr">
        <is>
          <t>K037</t>
        </is>
      </c>
      <c r="G236" s="75" t="n">
        <v>7.77</v>
      </c>
      <c r="H236" s="65" t="n"/>
      <c r="I236" s="66" t="n"/>
      <c r="J236" s="67">
        <f>VLOOKUP(C236,Recipes!$A$2:$N$4,10,FALSE())</f>
        <v/>
      </c>
      <c r="K236" s="68">
        <f>VLOOKUP(C236,Recipes!$A$2:$N$4,12,FALSE())</f>
        <v/>
      </c>
      <c r="L236" s="67">
        <f>J236-6*K236</f>
        <v/>
      </c>
      <c r="M236" s="67">
        <f>J236+6*K236</f>
        <v/>
      </c>
      <c r="N236" s="61">
        <f>IF(G236="","",IF(AND(G236&gt;=L236,G236&lt;=M236),"OK","NG"))</f>
        <v/>
      </c>
      <c r="O236" s="69">
        <f>IF(N236="","",IF(N236=D236,1,0))</f>
        <v/>
      </c>
      <c r="P236" s="67">
        <f>IF(G236="","",J236-G236)</f>
        <v/>
      </c>
      <c r="Q236" s="67">
        <f>IF(G236="","",ABS(P236-Components!$D$2))</f>
        <v/>
      </c>
      <c r="R236" s="67">
        <f>IF(G236="","",ABS(P236-Components!$D$3))</f>
        <v/>
      </c>
      <c r="S236" s="67">
        <f>IF(G236="","",ABS(P236-Components!$D$4))</f>
        <v/>
      </c>
      <c r="T236" s="67">
        <f>IF(G236="","",ABS(P236-Components!$D$5))</f>
        <v/>
      </c>
      <c r="U236" s="67">
        <f>IF(G236="","",ABS(P236-Components!$D$6))</f>
        <v/>
      </c>
      <c r="V236" s="67">
        <f>IF(G236="","",ABS(P236-Components!$D$7))</f>
        <v/>
      </c>
      <c r="W236" s="61">
        <f>IF(G236="","",IF(N236="OK","NONE",INDEX({"S1","S2","W1","W2","N1","N2"},MATCH(MIN(Q236:V236),Q236:V236,0))))</f>
        <v/>
      </c>
      <c r="X236" s="69">
        <f>IF(G236="","",IF(W236=E236,1,0))</f>
        <v/>
      </c>
      <c r="Y236" s="70" t="n"/>
    </row>
    <row r="237">
      <c r="A237" s="76" t="n">
        <v>31</v>
      </c>
      <c r="B237" s="77" t="n">
        <v>31.3</v>
      </c>
      <c r="C237" s="76" t="inlineStr">
        <is>
          <t>R4</t>
        </is>
      </c>
      <c r="D237" s="78" t="inlineStr">
        <is>
          <t>NG</t>
        </is>
      </c>
      <c r="E237" s="76" t="inlineStr">
        <is>
          <t>N1</t>
        </is>
      </c>
      <c r="F237" s="76" t="inlineStr">
        <is>
          <t>K043</t>
        </is>
      </c>
      <c r="G237" s="75" t="n">
        <v>7.71</v>
      </c>
      <c r="H237" s="65" t="n"/>
      <c r="I237" s="66" t="n"/>
      <c r="J237" s="67">
        <f>VLOOKUP(C237,Recipes!$A$2:$N$4,10,FALSE())</f>
        <v/>
      </c>
      <c r="K237" s="68">
        <f>VLOOKUP(C237,Recipes!$A$2:$N$4,12,FALSE())</f>
        <v/>
      </c>
      <c r="L237" s="67">
        <f>J237-6*K237</f>
        <v/>
      </c>
      <c r="M237" s="67">
        <f>J237+6*K237</f>
        <v/>
      </c>
      <c r="N237" s="61">
        <f>IF(G237="","",IF(AND(G237&gt;=L237,G237&lt;=M237),"OK","NG"))</f>
        <v/>
      </c>
      <c r="O237" s="69">
        <f>IF(N237="","",IF(N237=D237,1,0))</f>
        <v/>
      </c>
      <c r="P237" s="67">
        <f>IF(G237="","",J237-G237)</f>
        <v/>
      </c>
      <c r="Q237" s="67">
        <f>IF(G237="","",ABS(P237-Components!$D$2))</f>
        <v/>
      </c>
      <c r="R237" s="67">
        <f>IF(G237="","",ABS(P237-Components!$D$3))</f>
        <v/>
      </c>
      <c r="S237" s="67">
        <f>IF(G237="","",ABS(P237-Components!$D$4))</f>
        <v/>
      </c>
      <c r="T237" s="67">
        <f>IF(G237="","",ABS(P237-Components!$D$5))</f>
        <v/>
      </c>
      <c r="U237" s="67">
        <f>IF(G237="","",ABS(P237-Components!$D$6))</f>
        <v/>
      </c>
      <c r="V237" s="67">
        <f>IF(G237="","",ABS(P237-Components!$D$7))</f>
        <v/>
      </c>
      <c r="W237" s="61">
        <f>IF(G237="","",IF(N237="OK","NONE",INDEX({"S1","S2","W1","W2","N1","N2"},MATCH(MIN(Q237:V237),Q237:V237,0))))</f>
        <v/>
      </c>
      <c r="X237" s="69">
        <f>IF(G237="","",IF(W237=E237,1,0))</f>
        <v/>
      </c>
      <c r="Y237" s="70" t="n"/>
    </row>
    <row r="238">
      <c r="A238" s="61" t="n">
        <v>34</v>
      </c>
      <c r="B238" s="62" t="n">
        <v>13</v>
      </c>
      <c r="C238" s="61" t="inlineStr">
        <is>
          <t>R4</t>
        </is>
      </c>
      <c r="D238" s="74" t="inlineStr">
        <is>
          <t>NG</t>
        </is>
      </c>
      <c r="E238" s="61" t="inlineStr">
        <is>
          <t>N1</t>
        </is>
      </c>
      <c r="F238" s="61" t="inlineStr">
        <is>
          <t>K034</t>
        </is>
      </c>
      <c r="G238" s="64" t="n">
        <v>7.78</v>
      </c>
      <c r="H238" s="65" t="n"/>
      <c r="I238" s="66" t="n"/>
      <c r="J238" s="67">
        <f>VLOOKUP(C238,Recipes!$A$2:$N$4,10,FALSE())</f>
        <v/>
      </c>
      <c r="K238" s="68">
        <f>VLOOKUP(C238,Recipes!$A$2:$N$4,12,FALSE())</f>
        <v/>
      </c>
      <c r="L238" s="67">
        <f>J238-6*K238</f>
        <v/>
      </c>
      <c r="M238" s="67">
        <f>J238+6*K238</f>
        <v/>
      </c>
      <c r="N238" s="61">
        <f>IF(G238="","",IF(AND(G238&gt;=L238,G238&lt;=M238),"OK","NG"))</f>
        <v/>
      </c>
      <c r="O238" s="69">
        <f>IF(N238="","",IF(N238=D238,1,0))</f>
        <v/>
      </c>
      <c r="P238" s="67">
        <f>IF(G238="","",J238-G238)</f>
        <v/>
      </c>
      <c r="Q238" s="67">
        <f>IF(G238="","",ABS(P238-Components!$D$2))</f>
        <v/>
      </c>
      <c r="R238" s="67">
        <f>IF(G238="","",ABS(P238-Components!$D$3))</f>
        <v/>
      </c>
      <c r="S238" s="67">
        <f>IF(G238="","",ABS(P238-Components!$D$4))</f>
        <v/>
      </c>
      <c r="T238" s="67">
        <f>IF(G238="","",ABS(P238-Components!$D$5))</f>
        <v/>
      </c>
      <c r="U238" s="67">
        <f>IF(G238="","",ABS(P238-Components!$D$6))</f>
        <v/>
      </c>
      <c r="V238" s="67">
        <f>IF(G238="","",ABS(P238-Components!$D$7))</f>
        <v/>
      </c>
      <c r="W238" s="61">
        <f>IF(G238="","",IF(N238="OK","NONE",INDEX({"S1","S2","W1","W2","N1","N2"},MATCH(MIN(Q238:V238),Q238:V238,0))))</f>
        <v/>
      </c>
      <c r="X238" s="69">
        <f>IF(G238="","",IF(W238=E238,1,0))</f>
        <v/>
      </c>
      <c r="Y238" s="70" t="n"/>
    </row>
    <row r="239">
      <c r="A239" s="61" t="n">
        <v>35</v>
      </c>
      <c r="B239" s="62" t="n">
        <v>40</v>
      </c>
      <c r="C239" s="61" t="inlineStr">
        <is>
          <t>R4</t>
        </is>
      </c>
      <c r="D239" s="74" t="inlineStr">
        <is>
          <t>NG</t>
        </is>
      </c>
      <c r="E239" s="61" t="inlineStr">
        <is>
          <t>N1</t>
        </is>
      </c>
      <c r="F239" s="61" t="inlineStr">
        <is>
          <t>K035</t>
        </is>
      </c>
      <c r="G239" s="64" t="n">
        <v>7.79</v>
      </c>
      <c r="H239" s="65" t="n"/>
      <c r="I239" s="66" t="n"/>
      <c r="J239" s="67">
        <f>VLOOKUP(C239,Recipes!$A$2:$N$4,10,FALSE())</f>
        <v/>
      </c>
      <c r="K239" s="68">
        <f>VLOOKUP(C239,Recipes!$A$2:$N$4,12,FALSE())</f>
        <v/>
      </c>
      <c r="L239" s="67">
        <f>J239-6*K239</f>
        <v/>
      </c>
      <c r="M239" s="67">
        <f>J239+6*K239</f>
        <v/>
      </c>
      <c r="N239" s="61">
        <f>IF(G239="","",IF(AND(G239&gt;=L239,G239&lt;=M239),"OK","NG"))</f>
        <v/>
      </c>
      <c r="O239" s="69">
        <f>IF(N239="","",IF(N239=D239,1,0))</f>
        <v/>
      </c>
      <c r="P239" s="67">
        <f>IF(G239="","",J239-G239)</f>
        <v/>
      </c>
      <c r="Q239" s="67">
        <f>IF(G239="","",ABS(P239-Components!$D$2))</f>
        <v/>
      </c>
      <c r="R239" s="67">
        <f>IF(G239="","",ABS(P239-Components!$D$3))</f>
        <v/>
      </c>
      <c r="S239" s="67">
        <f>IF(G239="","",ABS(P239-Components!$D$4))</f>
        <v/>
      </c>
      <c r="T239" s="67">
        <f>IF(G239="","",ABS(P239-Components!$D$5))</f>
        <v/>
      </c>
      <c r="U239" s="67">
        <f>IF(G239="","",ABS(P239-Components!$D$6))</f>
        <v/>
      </c>
      <c r="V239" s="67">
        <f>IF(G239="","",ABS(P239-Components!$D$7))</f>
        <v/>
      </c>
      <c r="W239" s="61">
        <f>IF(G239="","",IF(N239="OK","NONE",INDEX({"S1","S2","W1","W2","N1","N2"},MATCH(MIN(Q239:V239),Q239:V239,0))))</f>
        <v/>
      </c>
      <c r="X239" s="69">
        <f>IF(G239="","",IF(W239=E239,1,0))</f>
        <v/>
      </c>
      <c r="Y239" s="70" t="n"/>
    </row>
    <row r="240">
      <c r="A240" s="61" t="n">
        <v>36</v>
      </c>
      <c r="B240" s="62" t="n">
        <v>33</v>
      </c>
      <c r="C240" s="61" t="inlineStr">
        <is>
          <t>R4</t>
        </is>
      </c>
      <c r="D240" s="74" t="inlineStr">
        <is>
          <t>NG</t>
        </is>
      </c>
      <c r="E240" s="61" t="inlineStr">
        <is>
          <t>N1</t>
        </is>
      </c>
      <c r="F240" s="61" t="inlineStr">
        <is>
          <t>K036</t>
        </is>
      </c>
      <c r="G240" s="64" t="n">
        <v>7.78</v>
      </c>
      <c r="H240" s="65" t="n"/>
      <c r="I240" s="66" t="n"/>
      <c r="J240" s="67">
        <f>VLOOKUP(C240,Recipes!$A$2:$N$4,10,FALSE())</f>
        <v/>
      </c>
      <c r="K240" s="68">
        <f>VLOOKUP(C240,Recipes!$A$2:$N$4,12,FALSE())</f>
        <v/>
      </c>
      <c r="L240" s="67">
        <f>J240-6*K240</f>
        <v/>
      </c>
      <c r="M240" s="67">
        <f>J240+6*K240</f>
        <v/>
      </c>
      <c r="N240" s="61">
        <f>IF(G240="","",IF(AND(G240&gt;=L240,G240&lt;=M240),"OK","NG"))</f>
        <v/>
      </c>
      <c r="O240" s="69">
        <f>IF(N240="","",IF(N240=D240,1,0))</f>
        <v/>
      </c>
      <c r="P240" s="67">
        <f>IF(G240="","",J240-G240)</f>
        <v/>
      </c>
      <c r="Q240" s="67">
        <f>IF(G240="","",ABS(P240-Components!$D$2))</f>
        <v/>
      </c>
      <c r="R240" s="67">
        <f>IF(G240="","",ABS(P240-Components!$D$3))</f>
        <v/>
      </c>
      <c r="S240" s="67">
        <f>IF(G240="","",ABS(P240-Components!$D$4))</f>
        <v/>
      </c>
      <c r="T240" s="67">
        <f>IF(G240="","",ABS(P240-Components!$D$5))</f>
        <v/>
      </c>
      <c r="U240" s="67">
        <f>IF(G240="","",ABS(P240-Components!$D$6))</f>
        <v/>
      </c>
      <c r="V240" s="67">
        <f>IF(G240="","",ABS(P240-Components!$D$7))</f>
        <v/>
      </c>
      <c r="W240" s="61">
        <f>IF(G240="","",IF(N240="OK","NONE",INDEX({"S1","S2","W1","W2","N1","N2"},MATCH(MIN(Q240:V240),Q240:V240,0))))</f>
        <v/>
      </c>
      <c r="X240" s="69">
        <f>IF(G240="","",IF(W240=E240,1,0))</f>
        <v/>
      </c>
      <c r="Y240" s="70" t="n"/>
    </row>
    <row r="241">
      <c r="A241" s="61" t="n">
        <v>37</v>
      </c>
      <c r="B241" s="62" t="n">
        <v>49</v>
      </c>
      <c r="C241" s="61" t="inlineStr">
        <is>
          <t>R4</t>
        </is>
      </c>
      <c r="D241" s="74" t="inlineStr">
        <is>
          <t>NG</t>
        </is>
      </c>
      <c r="E241" s="61" t="inlineStr">
        <is>
          <t>N1</t>
        </is>
      </c>
      <c r="F241" s="61" t="inlineStr">
        <is>
          <t>K037</t>
        </is>
      </c>
      <c r="G241" s="64" t="n">
        <v>7.78</v>
      </c>
      <c r="H241" s="65" t="n"/>
      <c r="I241" s="66" t="n"/>
      <c r="J241" s="67">
        <f>VLOOKUP(C241,Recipes!$A$2:$N$4,10,FALSE())</f>
        <v/>
      </c>
      <c r="K241" s="68">
        <f>VLOOKUP(C241,Recipes!$A$2:$N$4,12,FALSE())</f>
        <v/>
      </c>
      <c r="L241" s="67">
        <f>J241-6*K241</f>
        <v/>
      </c>
      <c r="M241" s="67">
        <f>J241+6*K241</f>
        <v/>
      </c>
      <c r="N241" s="61">
        <f>IF(G241="","",IF(AND(G241&gt;=L241,G241&lt;=M241),"OK","NG"))</f>
        <v/>
      </c>
      <c r="O241" s="69">
        <f>IF(N241="","",IF(N241=D241,1,0))</f>
        <v/>
      </c>
      <c r="P241" s="67">
        <f>IF(G241="","",J241-G241)</f>
        <v/>
      </c>
      <c r="Q241" s="67">
        <f>IF(G241="","",ABS(P241-Components!$D$2))</f>
        <v/>
      </c>
      <c r="R241" s="67">
        <f>IF(G241="","",ABS(P241-Components!$D$3))</f>
        <v/>
      </c>
      <c r="S241" s="67">
        <f>IF(G241="","",ABS(P241-Components!$D$4))</f>
        <v/>
      </c>
      <c r="T241" s="67">
        <f>IF(G241="","",ABS(P241-Components!$D$5))</f>
        <v/>
      </c>
      <c r="U241" s="67">
        <f>IF(G241="","",ABS(P241-Components!$D$6))</f>
        <v/>
      </c>
      <c r="V241" s="67">
        <f>IF(G241="","",ABS(P241-Components!$D$7))</f>
        <v/>
      </c>
      <c r="W241" s="61">
        <f>IF(G241="","",IF(N241="OK","NONE",INDEX({"S1","S2","W1","W2","N1","N2"},MATCH(MIN(Q241:V241),Q241:V241,0))))</f>
        <v/>
      </c>
      <c r="X241" s="69">
        <f>IF(G241="","",IF(W241=E241,1,0))</f>
        <v/>
      </c>
      <c r="Y241" s="70" t="n"/>
    </row>
    <row r="242">
      <c r="A242" s="76" t="n">
        <v>43</v>
      </c>
      <c r="B242" s="77" t="n">
        <v>2</v>
      </c>
      <c r="C242" s="76" t="inlineStr">
        <is>
          <t>R4</t>
        </is>
      </c>
      <c r="D242" s="78" t="inlineStr">
        <is>
          <t>NG</t>
        </is>
      </c>
      <c r="E242" s="76" t="inlineStr">
        <is>
          <t>N1</t>
        </is>
      </c>
      <c r="F242" s="76" t="inlineStr">
        <is>
          <t>K043</t>
        </is>
      </c>
      <c r="G242" s="64" t="n">
        <v>7.79</v>
      </c>
      <c r="H242" s="65" t="n"/>
      <c r="I242" s="66" t="n"/>
      <c r="J242" s="67">
        <f>VLOOKUP(C242,Recipes!$A$2:$N$4,10,FALSE())</f>
        <v/>
      </c>
      <c r="K242" s="68">
        <f>VLOOKUP(C242,Recipes!$A$2:$N$4,12,FALSE())</f>
        <v/>
      </c>
      <c r="L242" s="67">
        <f>J242-6*K242</f>
        <v/>
      </c>
      <c r="M242" s="67">
        <f>J242+6*K242</f>
        <v/>
      </c>
      <c r="N242" s="61">
        <f>IF(G242="","",IF(AND(G242&gt;=L242,G242&lt;=M242),"OK","NG"))</f>
        <v/>
      </c>
      <c r="O242" s="69">
        <f>IF(N242="","",IF(N242=D242,1,0))</f>
        <v/>
      </c>
      <c r="P242" s="67">
        <f>IF(G242="","",J242-G242)</f>
        <v/>
      </c>
      <c r="Q242" s="67">
        <f>IF(G242="","",ABS(P242-Components!$D$2))</f>
        <v/>
      </c>
      <c r="R242" s="67">
        <f>IF(G242="","",ABS(P242-Components!$D$3))</f>
        <v/>
      </c>
      <c r="S242" s="67">
        <f>IF(G242="","",ABS(P242-Components!$D$4))</f>
        <v/>
      </c>
      <c r="T242" s="67">
        <f>IF(G242="","",ABS(P242-Components!$D$5))</f>
        <v/>
      </c>
      <c r="U242" s="67">
        <f>IF(G242="","",ABS(P242-Components!$D$6))</f>
        <v/>
      </c>
      <c r="V242" s="67">
        <f>IF(G242="","",ABS(P242-Components!$D$7))</f>
        <v/>
      </c>
      <c r="W242" s="61">
        <f>IF(G242="","",IF(N242="OK","NONE",INDEX({"S1","S2","W1","W2","N1","N2"},MATCH(MIN(Q242:V242),Q242:V242,0))))</f>
        <v/>
      </c>
      <c r="X242" s="69">
        <f>IF(G242="","",IF(W242=E242,1,0))</f>
        <v/>
      </c>
      <c r="Y242" s="70" t="n"/>
    </row>
    <row r="243">
      <c r="A243" s="61" t="n">
        <v>-10.1</v>
      </c>
      <c r="B243" s="62" t="n">
        <v>61.9</v>
      </c>
      <c r="C243" s="61" t="inlineStr">
        <is>
          <t>R4</t>
        </is>
      </c>
      <c r="D243" s="74" t="inlineStr">
        <is>
          <t>NG</t>
        </is>
      </c>
      <c r="E243" s="61" t="inlineStr">
        <is>
          <t>S2</t>
        </is>
      </c>
      <c r="F243" s="61" t="inlineStr">
        <is>
          <t>K038</t>
        </is>
      </c>
      <c r="G243" s="75" t="n">
        <v>4.94</v>
      </c>
      <c r="H243" s="65" t="n"/>
      <c r="I243" s="66" t="n"/>
      <c r="J243" s="67">
        <f>VLOOKUP(C243,Recipes!$A$2:$N$4,10,FALSE())</f>
        <v/>
      </c>
      <c r="K243" s="68">
        <f>VLOOKUP(C243,Recipes!$A$2:$N$4,12,FALSE())</f>
        <v/>
      </c>
      <c r="L243" s="67">
        <f>J243-6*K243</f>
        <v/>
      </c>
      <c r="M243" s="67">
        <f>J243+6*K243</f>
        <v/>
      </c>
      <c r="N243" s="61">
        <f>IF(G243="","",IF(AND(G243&gt;=L243,G243&lt;=M243),"OK","NG"))</f>
        <v/>
      </c>
      <c r="O243" s="69">
        <f>IF(N243="","",IF(N243=D243,1,0))</f>
        <v/>
      </c>
      <c r="P243" s="67">
        <f>IF(G243="","",J243-G243)</f>
        <v/>
      </c>
      <c r="Q243" s="67">
        <f>IF(G243="","",ABS(P243-Components!$D$2))</f>
        <v/>
      </c>
      <c r="R243" s="67">
        <f>IF(G243="","",ABS(P243-Components!$D$3))</f>
        <v/>
      </c>
      <c r="S243" s="67">
        <f>IF(G243="","",ABS(P243-Components!$D$4))</f>
        <v/>
      </c>
      <c r="T243" s="67">
        <f>IF(G243="","",ABS(P243-Components!$D$5))</f>
        <v/>
      </c>
      <c r="U243" s="67">
        <f>IF(G243="","",ABS(P243-Components!$D$6))</f>
        <v/>
      </c>
      <c r="V243" s="67">
        <f>IF(G243="","",ABS(P243-Components!$D$7))</f>
        <v/>
      </c>
      <c r="W243" s="61">
        <f>IF(G243="","",IF(N243="OK","NONE",INDEX({"S1","S2","W1","W2","N1","N2"},MATCH(MIN(Q243:V243),Q243:V243,0))))</f>
        <v/>
      </c>
      <c r="X243" s="69">
        <f>IF(G243="","",IF(W243=E243,1,0))</f>
        <v/>
      </c>
      <c r="Y243" s="70" t="n"/>
    </row>
    <row r="244">
      <c r="A244" s="61" t="n">
        <v>-8.199999999999999</v>
      </c>
      <c r="B244" s="62" t="n">
        <v>60.8</v>
      </c>
      <c r="C244" s="61" t="inlineStr">
        <is>
          <t>R4</t>
        </is>
      </c>
      <c r="D244" s="74" t="inlineStr">
        <is>
          <t>NG</t>
        </is>
      </c>
      <c r="E244" s="61" t="inlineStr">
        <is>
          <t>S2</t>
        </is>
      </c>
      <c r="F244" s="61" t="inlineStr">
        <is>
          <t>K039</t>
        </is>
      </c>
      <c r="G244" s="75" t="n">
        <v>4.91</v>
      </c>
      <c r="H244" s="65" t="n"/>
      <c r="I244" s="66" t="n"/>
      <c r="J244" s="67">
        <f>VLOOKUP(C244,Recipes!$A$2:$N$4,10,FALSE())</f>
        <v/>
      </c>
      <c r="K244" s="68">
        <f>VLOOKUP(C244,Recipes!$A$2:$N$4,12,FALSE())</f>
        <v/>
      </c>
      <c r="L244" s="67">
        <f>J244-6*K244</f>
        <v/>
      </c>
      <c r="M244" s="67">
        <f>J244+6*K244</f>
        <v/>
      </c>
      <c r="N244" s="61">
        <f>IF(G244="","",IF(AND(G244&gt;=L244,G244&lt;=M244),"OK","NG"))</f>
        <v/>
      </c>
      <c r="O244" s="69">
        <f>IF(N244="","",IF(N244=D244,1,0))</f>
        <v/>
      </c>
      <c r="P244" s="67">
        <f>IF(G244="","",J244-G244)</f>
        <v/>
      </c>
      <c r="Q244" s="67">
        <f>IF(G244="","",ABS(P244-Components!$D$2))</f>
        <v/>
      </c>
      <c r="R244" s="67">
        <f>IF(G244="","",ABS(P244-Components!$D$3))</f>
        <v/>
      </c>
      <c r="S244" s="67">
        <f>IF(G244="","",ABS(P244-Components!$D$4))</f>
        <v/>
      </c>
      <c r="T244" s="67">
        <f>IF(G244="","",ABS(P244-Components!$D$5))</f>
        <v/>
      </c>
      <c r="U244" s="67">
        <f>IF(G244="","",ABS(P244-Components!$D$6))</f>
        <v/>
      </c>
      <c r="V244" s="67">
        <f>IF(G244="","",ABS(P244-Components!$D$7))</f>
        <v/>
      </c>
      <c r="W244" s="61">
        <f>IF(G244="","",IF(N244="OK","NONE",INDEX({"S1","S2","W1","W2","N1","N2"},MATCH(MIN(Q244:V244),Q244:V244,0))))</f>
        <v/>
      </c>
      <c r="X244" s="69">
        <f>IF(G244="","",IF(W244=E244,1,0))</f>
        <v/>
      </c>
      <c r="Y244" s="70" t="n"/>
    </row>
    <row r="245">
      <c r="A245" s="61" t="n">
        <v>-6.3</v>
      </c>
      <c r="B245" s="62" t="n">
        <v>59.7</v>
      </c>
      <c r="C245" s="61" t="inlineStr">
        <is>
          <t>R4</t>
        </is>
      </c>
      <c r="D245" s="74" t="inlineStr">
        <is>
          <t>NG</t>
        </is>
      </c>
      <c r="E245" s="61" t="inlineStr">
        <is>
          <t>S2</t>
        </is>
      </c>
      <c r="F245" s="61" t="inlineStr">
        <is>
          <t>K040</t>
        </is>
      </c>
      <c r="G245" s="75" t="n">
        <v>4.81</v>
      </c>
      <c r="H245" s="65" t="n"/>
      <c r="I245" s="66" t="n"/>
      <c r="J245" s="67">
        <f>VLOOKUP(C245,Recipes!$A$2:$N$4,10,FALSE())</f>
        <v/>
      </c>
      <c r="K245" s="68">
        <f>VLOOKUP(C245,Recipes!$A$2:$N$4,12,FALSE())</f>
        <v/>
      </c>
      <c r="L245" s="67">
        <f>J245-6*K245</f>
        <v/>
      </c>
      <c r="M245" s="67">
        <f>J245+6*K245</f>
        <v/>
      </c>
      <c r="N245" s="61">
        <f>IF(G245="","",IF(AND(G245&gt;=L245,G245&lt;=M245),"OK","NG"))</f>
        <v/>
      </c>
      <c r="O245" s="69">
        <f>IF(N245="","",IF(N245=D245,1,0))</f>
        <v/>
      </c>
      <c r="P245" s="67">
        <f>IF(G245="","",J245-G245)</f>
        <v/>
      </c>
      <c r="Q245" s="67">
        <f>IF(G245="","",ABS(P245-Components!$D$2))</f>
        <v/>
      </c>
      <c r="R245" s="67">
        <f>IF(G245="","",ABS(P245-Components!$D$3))</f>
        <v/>
      </c>
      <c r="S245" s="67">
        <f>IF(G245="","",ABS(P245-Components!$D$4))</f>
        <v/>
      </c>
      <c r="T245" s="67">
        <f>IF(G245="","",ABS(P245-Components!$D$5))</f>
        <v/>
      </c>
      <c r="U245" s="67">
        <f>IF(G245="","",ABS(P245-Components!$D$6))</f>
        <v/>
      </c>
      <c r="V245" s="67">
        <f>IF(G245="","",ABS(P245-Components!$D$7))</f>
        <v/>
      </c>
      <c r="W245" s="61">
        <f>IF(G245="","",IF(N245="OK","NONE",INDEX({"S1","S2","W1","W2","N1","N2"},MATCH(MIN(Q245:V245),Q245:V245,0))))</f>
        <v/>
      </c>
      <c r="X245" s="69">
        <f>IF(G245="","",IF(W245=E245,1,0))</f>
        <v/>
      </c>
      <c r="Y245" s="70" t="n"/>
    </row>
    <row r="246">
      <c r="A246" s="76" t="n">
        <v>-4.4</v>
      </c>
      <c r="B246" s="77" t="n">
        <v>58.6</v>
      </c>
      <c r="C246" s="76" t="inlineStr">
        <is>
          <t>R4</t>
        </is>
      </c>
      <c r="D246" s="78" t="inlineStr">
        <is>
          <t>NG</t>
        </is>
      </c>
      <c r="E246" s="76" t="inlineStr">
        <is>
          <t>S2</t>
        </is>
      </c>
      <c r="F246" s="76" t="inlineStr">
        <is>
          <t>K044</t>
        </is>
      </c>
      <c r="G246" s="75" t="n">
        <v>4.92</v>
      </c>
      <c r="H246" s="65" t="n"/>
      <c r="I246" s="66" t="n"/>
      <c r="J246" s="67">
        <f>VLOOKUP(C246,Recipes!$A$2:$N$4,10,FALSE())</f>
        <v/>
      </c>
      <c r="K246" s="68">
        <f>VLOOKUP(C246,Recipes!$A$2:$N$4,12,FALSE())</f>
        <v/>
      </c>
      <c r="L246" s="67">
        <f>J246-6*K246</f>
        <v/>
      </c>
      <c r="M246" s="67">
        <f>J246+6*K246</f>
        <v/>
      </c>
      <c r="N246" s="61">
        <f>IF(G246="","",IF(AND(G246&gt;=L246,G246&lt;=M246),"OK","NG"))</f>
        <v/>
      </c>
      <c r="O246" s="69">
        <f>IF(N246="","",IF(N246=D246,1,0))</f>
        <v/>
      </c>
      <c r="P246" s="67">
        <f>IF(G246="","",J246-G246)</f>
        <v/>
      </c>
      <c r="Q246" s="67">
        <f>IF(G246="","",ABS(P246-Components!$D$2))</f>
        <v/>
      </c>
      <c r="R246" s="67">
        <f>IF(G246="","",ABS(P246-Components!$D$3))</f>
        <v/>
      </c>
      <c r="S246" s="67">
        <f>IF(G246="","",ABS(P246-Components!$D$4))</f>
        <v/>
      </c>
      <c r="T246" s="67">
        <f>IF(G246="","",ABS(P246-Components!$D$5))</f>
        <v/>
      </c>
      <c r="U246" s="67">
        <f>IF(G246="","",ABS(P246-Components!$D$6))</f>
        <v/>
      </c>
      <c r="V246" s="67">
        <f>IF(G246="","",ABS(P246-Components!$D$7))</f>
        <v/>
      </c>
      <c r="W246" s="61">
        <f>IF(G246="","",IF(N246="OK","NONE",INDEX({"S1","S2","W1","W2","N1","N2"},MATCH(MIN(Q246:V246),Q246:V246,0))))</f>
        <v/>
      </c>
      <c r="X246" s="69">
        <f>IF(G246="","",IF(W246=E246,1,0))</f>
        <v/>
      </c>
      <c r="Y246" s="70" t="n"/>
    </row>
    <row r="247">
      <c r="A247" s="76" t="n">
        <v>-2.5</v>
      </c>
      <c r="B247" s="77" t="n">
        <v>57.5</v>
      </c>
      <c r="C247" s="76" t="inlineStr">
        <is>
          <t>R4</t>
        </is>
      </c>
      <c r="D247" s="78" t="inlineStr">
        <is>
          <t>NG</t>
        </is>
      </c>
      <c r="E247" s="76" t="inlineStr">
        <is>
          <t>S2</t>
        </is>
      </c>
      <c r="F247" s="76" t="inlineStr">
        <is>
          <t>K045</t>
        </is>
      </c>
      <c r="G247" s="75" t="n">
        <v>4.87</v>
      </c>
      <c r="H247" s="65" t="n"/>
      <c r="I247" s="66" t="n"/>
      <c r="J247" s="67">
        <f>VLOOKUP(C247,Recipes!$A$2:$N$4,10,FALSE())</f>
        <v/>
      </c>
      <c r="K247" s="68">
        <f>VLOOKUP(C247,Recipes!$A$2:$N$4,12,FALSE())</f>
        <v/>
      </c>
      <c r="L247" s="67">
        <f>J247-6*K247</f>
        <v/>
      </c>
      <c r="M247" s="67">
        <f>J247+6*K247</f>
        <v/>
      </c>
      <c r="N247" s="61">
        <f>IF(G247="","",IF(AND(G247&gt;=L247,G247&lt;=M247),"OK","NG"))</f>
        <v/>
      </c>
      <c r="O247" s="69">
        <f>IF(N247="","",IF(N247=D247,1,0))</f>
        <v/>
      </c>
      <c r="P247" s="67">
        <f>IF(G247="","",J247-G247)</f>
        <v/>
      </c>
      <c r="Q247" s="67">
        <f>IF(G247="","",ABS(P247-Components!$D$2))</f>
        <v/>
      </c>
      <c r="R247" s="67">
        <f>IF(G247="","",ABS(P247-Components!$D$3))</f>
        <v/>
      </c>
      <c r="S247" s="67">
        <f>IF(G247="","",ABS(P247-Components!$D$4))</f>
        <v/>
      </c>
      <c r="T247" s="67">
        <f>IF(G247="","",ABS(P247-Components!$D$5))</f>
        <v/>
      </c>
      <c r="U247" s="67">
        <f>IF(G247="","",ABS(P247-Components!$D$6))</f>
        <v/>
      </c>
      <c r="V247" s="67">
        <f>IF(G247="","",ABS(P247-Components!$D$7))</f>
        <v/>
      </c>
      <c r="W247" s="61">
        <f>IF(G247="","",IF(N247="OK","NONE",INDEX({"S1","S2","W1","W2","N1","N2"},MATCH(MIN(Q247:V247),Q247:V247,0))))</f>
        <v/>
      </c>
      <c r="X247" s="69">
        <f>IF(G247="","",IF(W247=E247,1,0))</f>
        <v/>
      </c>
      <c r="Y247" s="70" t="n"/>
    </row>
    <row r="248">
      <c r="A248" s="61" t="n">
        <v>-0.600000000000001</v>
      </c>
      <c r="B248" s="62" t="n">
        <v>56.4</v>
      </c>
      <c r="C248" s="61" t="inlineStr">
        <is>
          <t>R4</t>
        </is>
      </c>
      <c r="D248" s="74" t="inlineStr">
        <is>
          <t>NG</t>
        </is>
      </c>
      <c r="E248" s="61" t="inlineStr">
        <is>
          <t>S2</t>
        </is>
      </c>
      <c r="F248" s="61" t="inlineStr">
        <is>
          <t>K038</t>
        </is>
      </c>
      <c r="G248" s="75" t="n">
        <v>4.94</v>
      </c>
      <c r="H248" s="65" t="n"/>
      <c r="I248" s="66" t="n"/>
      <c r="J248" s="67">
        <f>VLOOKUP(C248,Recipes!$A$2:$N$4,10,FALSE())</f>
        <v/>
      </c>
      <c r="K248" s="68">
        <f>VLOOKUP(C248,Recipes!$A$2:$N$4,12,FALSE())</f>
        <v/>
      </c>
      <c r="L248" s="67">
        <f>J248-6*K248</f>
        <v/>
      </c>
      <c r="M248" s="67">
        <f>J248+6*K248</f>
        <v/>
      </c>
      <c r="N248" s="61">
        <f>IF(G248="","",IF(AND(G248&gt;=L248,G248&lt;=M248),"OK","NG"))</f>
        <v/>
      </c>
      <c r="O248" s="69">
        <f>IF(N248="","",IF(N248=D248,1,0))</f>
        <v/>
      </c>
      <c r="P248" s="67">
        <f>IF(G248="","",J248-G248)</f>
        <v/>
      </c>
      <c r="Q248" s="67">
        <f>IF(G248="","",ABS(P248-Components!$D$2))</f>
        <v/>
      </c>
      <c r="R248" s="67">
        <f>IF(G248="","",ABS(P248-Components!$D$3))</f>
        <v/>
      </c>
      <c r="S248" s="67">
        <f>IF(G248="","",ABS(P248-Components!$D$4))</f>
        <v/>
      </c>
      <c r="T248" s="67">
        <f>IF(G248="","",ABS(P248-Components!$D$5))</f>
        <v/>
      </c>
      <c r="U248" s="67">
        <f>IF(G248="","",ABS(P248-Components!$D$6))</f>
        <v/>
      </c>
      <c r="V248" s="67">
        <f>IF(G248="","",ABS(P248-Components!$D$7))</f>
        <v/>
      </c>
      <c r="W248" s="61">
        <f>IF(G248="","",IF(N248="OK","NONE",INDEX({"S1","S2","W1","W2","N1","N2"},MATCH(MIN(Q248:V248),Q248:V248,0))))</f>
        <v/>
      </c>
      <c r="X248" s="69">
        <f>IF(G248="","",IF(W248=E248,1,0))</f>
        <v/>
      </c>
      <c r="Y248" s="70" t="n"/>
    </row>
    <row r="249">
      <c r="A249" s="61" t="n">
        <v>1.3</v>
      </c>
      <c r="B249" s="62" t="n">
        <v>55.3</v>
      </c>
      <c r="C249" s="61" t="inlineStr">
        <is>
          <t>R4</t>
        </is>
      </c>
      <c r="D249" s="74" t="inlineStr">
        <is>
          <t>NG</t>
        </is>
      </c>
      <c r="E249" s="61" t="inlineStr">
        <is>
          <t>S2</t>
        </is>
      </c>
      <c r="F249" s="61" t="inlineStr">
        <is>
          <t>K039</t>
        </is>
      </c>
      <c r="G249" s="75" t="n">
        <v>4.89</v>
      </c>
      <c r="H249" s="65" t="n"/>
      <c r="I249" s="66" t="n"/>
      <c r="J249" s="67">
        <f>VLOOKUP(C249,Recipes!$A$2:$N$4,10,FALSE())</f>
        <v/>
      </c>
      <c r="K249" s="68">
        <f>VLOOKUP(C249,Recipes!$A$2:$N$4,12,FALSE())</f>
        <v/>
      </c>
      <c r="L249" s="67">
        <f>J249-6*K249</f>
        <v/>
      </c>
      <c r="M249" s="67">
        <f>J249+6*K249</f>
        <v/>
      </c>
      <c r="N249" s="61">
        <f>IF(G249="","",IF(AND(G249&gt;=L249,G249&lt;=M249),"OK","NG"))</f>
        <v/>
      </c>
      <c r="O249" s="69">
        <f>IF(N249="","",IF(N249=D249,1,0))</f>
        <v/>
      </c>
      <c r="P249" s="67">
        <f>IF(G249="","",J249-G249)</f>
        <v/>
      </c>
      <c r="Q249" s="67">
        <f>IF(G249="","",ABS(P249-Components!$D$2))</f>
        <v/>
      </c>
      <c r="R249" s="67">
        <f>IF(G249="","",ABS(P249-Components!$D$3))</f>
        <v/>
      </c>
      <c r="S249" s="67">
        <f>IF(G249="","",ABS(P249-Components!$D$4))</f>
        <v/>
      </c>
      <c r="T249" s="67">
        <f>IF(G249="","",ABS(P249-Components!$D$5))</f>
        <v/>
      </c>
      <c r="U249" s="67">
        <f>IF(G249="","",ABS(P249-Components!$D$6))</f>
        <v/>
      </c>
      <c r="V249" s="67">
        <f>IF(G249="","",ABS(P249-Components!$D$7))</f>
        <v/>
      </c>
      <c r="W249" s="61">
        <f>IF(G249="","",IF(N249="OK","NONE",INDEX({"S1","S2","W1","W2","N1","N2"},MATCH(MIN(Q249:V249),Q249:V249,0))))</f>
        <v/>
      </c>
      <c r="X249" s="69">
        <f>IF(G249="","",IF(W249=E249,1,0))</f>
        <v/>
      </c>
      <c r="Y249" s="70" t="n"/>
    </row>
    <row r="250">
      <c r="A250" s="61" t="n">
        <v>3.2</v>
      </c>
      <c r="B250" s="62" t="n">
        <v>54.2</v>
      </c>
      <c r="C250" s="61" t="inlineStr">
        <is>
          <t>R4</t>
        </is>
      </c>
      <c r="D250" s="74" t="inlineStr">
        <is>
          <t>NG</t>
        </is>
      </c>
      <c r="E250" s="61" t="inlineStr">
        <is>
          <t>S2</t>
        </is>
      </c>
      <c r="F250" s="61" t="inlineStr">
        <is>
          <t>K040</t>
        </is>
      </c>
      <c r="G250" s="75" t="n">
        <v>4.86</v>
      </c>
      <c r="H250" s="65" t="n"/>
      <c r="I250" s="66" t="n"/>
      <c r="J250" s="67">
        <f>VLOOKUP(C250,Recipes!$A$2:$N$4,10,FALSE())</f>
        <v/>
      </c>
      <c r="K250" s="68">
        <f>VLOOKUP(C250,Recipes!$A$2:$N$4,12,FALSE())</f>
        <v/>
      </c>
      <c r="L250" s="67">
        <f>J250-6*K250</f>
        <v/>
      </c>
      <c r="M250" s="67">
        <f>J250+6*K250</f>
        <v/>
      </c>
      <c r="N250" s="61">
        <f>IF(G250="","",IF(AND(G250&gt;=L250,G250&lt;=M250),"OK","NG"))</f>
        <v/>
      </c>
      <c r="O250" s="69">
        <f>IF(N250="","",IF(N250=D250,1,0))</f>
        <v/>
      </c>
      <c r="P250" s="67">
        <f>IF(G250="","",J250-G250)</f>
        <v/>
      </c>
      <c r="Q250" s="67">
        <f>IF(G250="","",ABS(P250-Components!$D$2))</f>
        <v/>
      </c>
      <c r="R250" s="67">
        <f>IF(G250="","",ABS(P250-Components!$D$3))</f>
        <v/>
      </c>
      <c r="S250" s="67">
        <f>IF(G250="","",ABS(P250-Components!$D$4))</f>
        <v/>
      </c>
      <c r="T250" s="67">
        <f>IF(G250="","",ABS(P250-Components!$D$5))</f>
        <v/>
      </c>
      <c r="U250" s="67">
        <f>IF(G250="","",ABS(P250-Components!$D$6))</f>
        <v/>
      </c>
      <c r="V250" s="67">
        <f>IF(G250="","",ABS(P250-Components!$D$7))</f>
        <v/>
      </c>
      <c r="W250" s="61">
        <f>IF(G250="","",IF(N250="OK","NONE",INDEX({"S1","S2","W1","W2","N1","N2"},MATCH(MIN(Q250:V250),Q250:V250,0))))</f>
        <v/>
      </c>
      <c r="X250" s="69">
        <f>IF(G250="","",IF(W250=E250,1,0))</f>
        <v/>
      </c>
      <c r="Y250" s="70" t="n"/>
    </row>
    <row r="251">
      <c r="A251" s="76" t="n">
        <v>5.1</v>
      </c>
      <c r="B251" s="77" t="n">
        <v>53.1</v>
      </c>
      <c r="C251" s="76" t="inlineStr">
        <is>
          <t>R4</t>
        </is>
      </c>
      <c r="D251" s="78" t="inlineStr">
        <is>
          <t>NG</t>
        </is>
      </c>
      <c r="E251" s="76" t="inlineStr">
        <is>
          <t>S2</t>
        </is>
      </c>
      <c r="F251" s="76" t="inlineStr">
        <is>
          <t>K044</t>
        </is>
      </c>
      <c r="G251" s="75" t="n">
        <v>4.97</v>
      </c>
      <c r="H251" s="65" t="n"/>
      <c r="I251" s="66" t="n"/>
      <c r="J251" s="67">
        <f>VLOOKUP(C251,Recipes!$A$2:$N$4,10,FALSE())</f>
        <v/>
      </c>
      <c r="K251" s="68">
        <f>VLOOKUP(C251,Recipes!$A$2:$N$4,12,FALSE())</f>
        <v/>
      </c>
      <c r="L251" s="67">
        <f>J251-6*K251</f>
        <v/>
      </c>
      <c r="M251" s="67">
        <f>J251+6*K251</f>
        <v/>
      </c>
      <c r="N251" s="61">
        <f>IF(G251="","",IF(AND(G251&gt;=L251,G251&lt;=M251),"OK","NG"))</f>
        <v/>
      </c>
      <c r="O251" s="69">
        <f>IF(N251="","",IF(N251=D251,1,0))</f>
        <v/>
      </c>
      <c r="P251" s="67">
        <f>IF(G251="","",J251-G251)</f>
        <v/>
      </c>
      <c r="Q251" s="67">
        <f>IF(G251="","",ABS(P251-Components!$D$2))</f>
        <v/>
      </c>
      <c r="R251" s="67">
        <f>IF(G251="","",ABS(P251-Components!$D$3))</f>
        <v/>
      </c>
      <c r="S251" s="67">
        <f>IF(G251="","",ABS(P251-Components!$D$4))</f>
        <v/>
      </c>
      <c r="T251" s="67">
        <f>IF(G251="","",ABS(P251-Components!$D$5))</f>
        <v/>
      </c>
      <c r="U251" s="67">
        <f>IF(G251="","",ABS(P251-Components!$D$6))</f>
        <v/>
      </c>
      <c r="V251" s="67">
        <f>IF(G251="","",ABS(P251-Components!$D$7))</f>
        <v/>
      </c>
      <c r="W251" s="61">
        <f>IF(G251="","",IF(N251="OK","NONE",INDEX({"S1","S2","W1","W2","N1","N2"},MATCH(MIN(Q251:V251),Q251:V251,0))))</f>
        <v/>
      </c>
      <c r="X251" s="69">
        <f>IF(G251="","",IF(W251=E251,1,0))</f>
        <v/>
      </c>
      <c r="Y251" s="70" t="n"/>
    </row>
    <row r="252">
      <c r="A252" s="76" t="n">
        <v>7</v>
      </c>
      <c r="B252" s="77" t="n">
        <v>52</v>
      </c>
      <c r="C252" s="76" t="inlineStr">
        <is>
          <t>R4</t>
        </is>
      </c>
      <c r="D252" s="78" t="inlineStr">
        <is>
          <t>NG</t>
        </is>
      </c>
      <c r="E252" s="76" t="inlineStr">
        <is>
          <t>S2</t>
        </is>
      </c>
      <c r="F252" s="76" t="inlineStr">
        <is>
          <t>K045</t>
        </is>
      </c>
      <c r="G252" s="75" t="n">
        <v>4.88</v>
      </c>
      <c r="H252" s="65" t="n"/>
      <c r="I252" s="66" t="n"/>
      <c r="J252" s="67">
        <f>VLOOKUP(C252,Recipes!$A$2:$N$4,10,FALSE())</f>
        <v/>
      </c>
      <c r="K252" s="68">
        <f>VLOOKUP(C252,Recipes!$A$2:$N$4,12,FALSE())</f>
        <v/>
      </c>
      <c r="L252" s="67">
        <f>J252-6*K252</f>
        <v/>
      </c>
      <c r="M252" s="67">
        <f>J252+6*K252</f>
        <v/>
      </c>
      <c r="N252" s="61">
        <f>IF(G252="","",IF(AND(G252&gt;=L252,G252&lt;=M252),"OK","NG"))</f>
        <v/>
      </c>
      <c r="O252" s="69">
        <f>IF(N252="","",IF(N252=D252,1,0))</f>
        <v/>
      </c>
      <c r="P252" s="67">
        <f>IF(G252="","",J252-G252)</f>
        <v/>
      </c>
      <c r="Q252" s="67">
        <f>IF(G252="","",ABS(P252-Components!$D$2))</f>
        <v/>
      </c>
      <c r="R252" s="67">
        <f>IF(G252="","",ABS(P252-Components!$D$3))</f>
        <v/>
      </c>
      <c r="S252" s="67">
        <f>IF(G252="","",ABS(P252-Components!$D$4))</f>
        <v/>
      </c>
      <c r="T252" s="67">
        <f>IF(G252="","",ABS(P252-Components!$D$5))</f>
        <v/>
      </c>
      <c r="U252" s="67">
        <f>IF(G252="","",ABS(P252-Components!$D$6))</f>
        <v/>
      </c>
      <c r="V252" s="67">
        <f>IF(G252="","",ABS(P252-Components!$D$7))</f>
        <v/>
      </c>
      <c r="W252" s="61">
        <f>IF(G252="","",IF(N252="OK","NONE",INDEX({"S1","S2","W1","W2","N1","N2"},MATCH(MIN(Q252:V252),Q252:V252,0))))</f>
        <v/>
      </c>
      <c r="X252" s="69">
        <f>IF(G252="","",IF(W252=E252,1,0))</f>
        <v/>
      </c>
      <c r="Y252" s="70" t="n"/>
    </row>
    <row r="253">
      <c r="A253" s="61" t="n">
        <v>8.9</v>
      </c>
      <c r="B253" s="62" t="n">
        <v>50.9</v>
      </c>
      <c r="C253" s="61" t="inlineStr">
        <is>
          <t>R4</t>
        </is>
      </c>
      <c r="D253" s="74" t="inlineStr">
        <is>
          <t>NG</t>
        </is>
      </c>
      <c r="E253" s="61" t="inlineStr">
        <is>
          <t>S2</t>
        </is>
      </c>
      <c r="F253" s="61" t="inlineStr">
        <is>
          <t>K038</t>
        </is>
      </c>
      <c r="G253" s="75" t="n">
        <v>4.83</v>
      </c>
      <c r="H253" s="65" t="n"/>
      <c r="I253" s="66" t="n"/>
      <c r="J253" s="67">
        <f>VLOOKUP(C253,Recipes!$A$2:$N$4,10,FALSE())</f>
        <v/>
      </c>
      <c r="K253" s="68">
        <f>VLOOKUP(C253,Recipes!$A$2:$N$4,12,FALSE())</f>
        <v/>
      </c>
      <c r="L253" s="67">
        <f>J253-6*K253</f>
        <v/>
      </c>
      <c r="M253" s="67">
        <f>J253+6*K253</f>
        <v/>
      </c>
      <c r="N253" s="61">
        <f>IF(G253="","",IF(AND(G253&gt;=L253,G253&lt;=M253),"OK","NG"))</f>
        <v/>
      </c>
      <c r="O253" s="69">
        <f>IF(N253="","",IF(N253=D253,1,0))</f>
        <v/>
      </c>
      <c r="P253" s="67">
        <f>IF(G253="","",J253-G253)</f>
        <v/>
      </c>
      <c r="Q253" s="67">
        <f>IF(G253="","",ABS(P253-Components!$D$2))</f>
        <v/>
      </c>
      <c r="R253" s="67">
        <f>IF(G253="","",ABS(P253-Components!$D$3))</f>
        <v/>
      </c>
      <c r="S253" s="67">
        <f>IF(G253="","",ABS(P253-Components!$D$4))</f>
        <v/>
      </c>
      <c r="T253" s="67">
        <f>IF(G253="","",ABS(P253-Components!$D$5))</f>
        <v/>
      </c>
      <c r="U253" s="67">
        <f>IF(G253="","",ABS(P253-Components!$D$6))</f>
        <v/>
      </c>
      <c r="V253" s="67">
        <f>IF(G253="","",ABS(P253-Components!$D$7))</f>
        <v/>
      </c>
      <c r="W253" s="61">
        <f>IF(G253="","",IF(N253="OK","NONE",INDEX({"S1","S2","W1","W2","N1","N2"},MATCH(MIN(Q253:V253),Q253:V253,0))))</f>
        <v/>
      </c>
      <c r="X253" s="69">
        <f>IF(G253="","",IF(W253=E253,1,0))</f>
        <v/>
      </c>
      <c r="Y253" s="70" t="n"/>
    </row>
    <row r="254">
      <c r="A254" s="61" t="n">
        <v>10.8</v>
      </c>
      <c r="B254" s="62" t="n">
        <v>49.8</v>
      </c>
      <c r="C254" s="61" t="inlineStr">
        <is>
          <t>R4</t>
        </is>
      </c>
      <c r="D254" s="74" t="inlineStr">
        <is>
          <t>NG</t>
        </is>
      </c>
      <c r="E254" s="61" t="inlineStr">
        <is>
          <t>S2</t>
        </is>
      </c>
      <c r="F254" s="61" t="inlineStr">
        <is>
          <t>K039</t>
        </is>
      </c>
      <c r="G254" s="75" t="n">
        <v>4.87</v>
      </c>
      <c r="H254" s="65" t="n"/>
      <c r="I254" s="66" t="n"/>
      <c r="J254" s="67">
        <f>VLOOKUP(C254,Recipes!$A$2:$N$4,10,FALSE())</f>
        <v/>
      </c>
      <c r="K254" s="68">
        <f>VLOOKUP(C254,Recipes!$A$2:$N$4,12,FALSE())</f>
        <v/>
      </c>
      <c r="L254" s="67">
        <f>J254-6*K254</f>
        <v/>
      </c>
      <c r="M254" s="67">
        <f>J254+6*K254</f>
        <v/>
      </c>
      <c r="N254" s="61">
        <f>IF(G254="","",IF(AND(G254&gt;=L254,G254&lt;=M254),"OK","NG"))</f>
        <v/>
      </c>
      <c r="O254" s="69">
        <f>IF(N254="","",IF(N254=D254,1,0))</f>
        <v/>
      </c>
      <c r="P254" s="67">
        <f>IF(G254="","",J254-G254)</f>
        <v/>
      </c>
      <c r="Q254" s="67">
        <f>IF(G254="","",ABS(P254-Components!$D$2))</f>
        <v/>
      </c>
      <c r="R254" s="67">
        <f>IF(G254="","",ABS(P254-Components!$D$3))</f>
        <v/>
      </c>
      <c r="S254" s="67">
        <f>IF(G254="","",ABS(P254-Components!$D$4))</f>
        <v/>
      </c>
      <c r="T254" s="67">
        <f>IF(G254="","",ABS(P254-Components!$D$5))</f>
        <v/>
      </c>
      <c r="U254" s="67">
        <f>IF(G254="","",ABS(P254-Components!$D$6))</f>
        <v/>
      </c>
      <c r="V254" s="67">
        <f>IF(G254="","",ABS(P254-Components!$D$7))</f>
        <v/>
      </c>
      <c r="W254" s="61">
        <f>IF(G254="","",IF(N254="OK","NONE",INDEX({"S1","S2","W1","W2","N1","N2"},MATCH(MIN(Q254:V254),Q254:V254,0))))</f>
        <v/>
      </c>
      <c r="X254" s="69">
        <f>IF(G254="","",IF(W254=E254,1,0))</f>
        <v/>
      </c>
      <c r="Y254" s="70" t="n"/>
    </row>
    <row r="255">
      <c r="A255" s="61" t="n">
        <v>12.7</v>
      </c>
      <c r="B255" s="62" t="n">
        <v>48.7</v>
      </c>
      <c r="C255" s="61" t="inlineStr">
        <is>
          <t>R4</t>
        </is>
      </c>
      <c r="D255" s="74" t="inlineStr">
        <is>
          <t>NG</t>
        </is>
      </c>
      <c r="E255" s="61" t="inlineStr">
        <is>
          <t>S2</t>
        </is>
      </c>
      <c r="F255" s="61" t="inlineStr">
        <is>
          <t>K040</t>
        </is>
      </c>
      <c r="G255" s="75" t="n">
        <v>4.93</v>
      </c>
      <c r="H255" s="65" t="n"/>
      <c r="I255" s="66" t="n"/>
      <c r="J255" s="67">
        <f>VLOOKUP(C255,Recipes!$A$2:$N$4,10,FALSE())</f>
        <v/>
      </c>
      <c r="K255" s="68">
        <f>VLOOKUP(C255,Recipes!$A$2:$N$4,12,FALSE())</f>
        <v/>
      </c>
      <c r="L255" s="67">
        <f>J255-6*K255</f>
        <v/>
      </c>
      <c r="M255" s="67">
        <f>J255+6*K255</f>
        <v/>
      </c>
      <c r="N255" s="61">
        <f>IF(G255="","",IF(AND(G255&gt;=L255,G255&lt;=M255),"OK","NG"))</f>
        <v/>
      </c>
      <c r="O255" s="69">
        <f>IF(N255="","",IF(N255=D255,1,0))</f>
        <v/>
      </c>
      <c r="P255" s="67">
        <f>IF(G255="","",J255-G255)</f>
        <v/>
      </c>
      <c r="Q255" s="67">
        <f>IF(G255="","",ABS(P255-Components!$D$2))</f>
        <v/>
      </c>
      <c r="R255" s="67">
        <f>IF(G255="","",ABS(P255-Components!$D$3))</f>
        <v/>
      </c>
      <c r="S255" s="67">
        <f>IF(G255="","",ABS(P255-Components!$D$4))</f>
        <v/>
      </c>
      <c r="T255" s="67">
        <f>IF(G255="","",ABS(P255-Components!$D$5))</f>
        <v/>
      </c>
      <c r="U255" s="67">
        <f>IF(G255="","",ABS(P255-Components!$D$6))</f>
        <v/>
      </c>
      <c r="V255" s="67">
        <f>IF(G255="","",ABS(P255-Components!$D$7))</f>
        <v/>
      </c>
      <c r="W255" s="61">
        <f>IF(G255="","",IF(N255="OK","NONE",INDEX({"S1","S2","W1","W2","N1","N2"},MATCH(MIN(Q255:V255),Q255:V255,0))))</f>
        <v/>
      </c>
      <c r="X255" s="69">
        <f>IF(G255="","",IF(W255=E255,1,0))</f>
        <v/>
      </c>
      <c r="Y255" s="70" t="n"/>
    </row>
    <row r="256">
      <c r="A256" s="76" t="n">
        <v>14.6</v>
      </c>
      <c r="B256" s="77" t="n">
        <v>47.6</v>
      </c>
      <c r="C256" s="76" t="inlineStr">
        <is>
          <t>R4</t>
        </is>
      </c>
      <c r="D256" s="78" t="inlineStr">
        <is>
          <t>NG</t>
        </is>
      </c>
      <c r="E256" s="76" t="inlineStr">
        <is>
          <t>S2</t>
        </is>
      </c>
      <c r="F256" s="76" t="inlineStr">
        <is>
          <t>K044</t>
        </is>
      </c>
      <c r="G256" s="75" t="n">
        <v>4.91</v>
      </c>
      <c r="H256" s="65" t="n"/>
      <c r="I256" s="66" t="n"/>
      <c r="J256" s="67">
        <f>VLOOKUP(C256,Recipes!$A$2:$N$4,10,FALSE())</f>
        <v/>
      </c>
      <c r="K256" s="68">
        <f>VLOOKUP(C256,Recipes!$A$2:$N$4,12,FALSE())</f>
        <v/>
      </c>
      <c r="L256" s="67">
        <f>J256-6*K256</f>
        <v/>
      </c>
      <c r="M256" s="67">
        <f>J256+6*K256</f>
        <v/>
      </c>
      <c r="N256" s="61">
        <f>IF(G256="","",IF(AND(G256&gt;=L256,G256&lt;=M256),"OK","NG"))</f>
        <v/>
      </c>
      <c r="O256" s="69">
        <f>IF(N256="","",IF(N256=D256,1,0))</f>
        <v/>
      </c>
      <c r="P256" s="67">
        <f>IF(G256="","",J256-G256)</f>
        <v/>
      </c>
      <c r="Q256" s="67">
        <f>IF(G256="","",ABS(P256-Components!$D$2))</f>
        <v/>
      </c>
      <c r="R256" s="67">
        <f>IF(G256="","",ABS(P256-Components!$D$3))</f>
        <v/>
      </c>
      <c r="S256" s="67">
        <f>IF(G256="","",ABS(P256-Components!$D$4))</f>
        <v/>
      </c>
      <c r="T256" s="67">
        <f>IF(G256="","",ABS(P256-Components!$D$5))</f>
        <v/>
      </c>
      <c r="U256" s="67">
        <f>IF(G256="","",ABS(P256-Components!$D$6))</f>
        <v/>
      </c>
      <c r="V256" s="67">
        <f>IF(G256="","",ABS(P256-Components!$D$7))</f>
        <v/>
      </c>
      <c r="W256" s="61">
        <f>IF(G256="","",IF(N256="OK","NONE",INDEX({"S1","S2","W1","W2","N1","N2"},MATCH(MIN(Q256:V256),Q256:V256,0))))</f>
        <v/>
      </c>
      <c r="X256" s="69">
        <f>IF(G256="","",IF(W256=E256,1,0))</f>
        <v/>
      </c>
      <c r="Y256" s="70" t="n"/>
    </row>
    <row r="257">
      <c r="A257" s="76" t="n">
        <v>16.5</v>
      </c>
      <c r="B257" s="77" t="n">
        <v>46.5</v>
      </c>
      <c r="C257" s="76" t="inlineStr">
        <is>
          <t>R4</t>
        </is>
      </c>
      <c r="D257" s="78" t="inlineStr">
        <is>
          <t>NG</t>
        </is>
      </c>
      <c r="E257" s="76" t="inlineStr">
        <is>
          <t>S2</t>
        </is>
      </c>
      <c r="F257" s="76" t="inlineStr">
        <is>
          <t>K045</t>
        </is>
      </c>
      <c r="G257" s="75" t="n">
        <v>4.88</v>
      </c>
      <c r="H257" s="65" t="n"/>
      <c r="I257" s="66" t="n"/>
      <c r="J257" s="67">
        <f>VLOOKUP(C257,Recipes!$A$2:$N$4,10,FALSE())</f>
        <v/>
      </c>
      <c r="K257" s="68">
        <f>VLOOKUP(C257,Recipes!$A$2:$N$4,12,FALSE())</f>
        <v/>
      </c>
      <c r="L257" s="67">
        <f>J257-6*K257</f>
        <v/>
      </c>
      <c r="M257" s="67">
        <f>J257+6*K257</f>
        <v/>
      </c>
      <c r="N257" s="61">
        <f>IF(G257="","",IF(AND(G257&gt;=L257,G257&lt;=M257),"OK","NG"))</f>
        <v/>
      </c>
      <c r="O257" s="69">
        <f>IF(N257="","",IF(N257=D257,1,0))</f>
        <v/>
      </c>
      <c r="P257" s="67">
        <f>IF(G257="","",J257-G257)</f>
        <v/>
      </c>
      <c r="Q257" s="67">
        <f>IF(G257="","",ABS(P257-Components!$D$2))</f>
        <v/>
      </c>
      <c r="R257" s="67">
        <f>IF(G257="","",ABS(P257-Components!$D$3))</f>
        <v/>
      </c>
      <c r="S257" s="67">
        <f>IF(G257="","",ABS(P257-Components!$D$4))</f>
        <v/>
      </c>
      <c r="T257" s="67">
        <f>IF(G257="","",ABS(P257-Components!$D$5))</f>
        <v/>
      </c>
      <c r="U257" s="67">
        <f>IF(G257="","",ABS(P257-Components!$D$6))</f>
        <v/>
      </c>
      <c r="V257" s="67">
        <f>IF(G257="","",ABS(P257-Components!$D$7))</f>
        <v/>
      </c>
      <c r="W257" s="61">
        <f>IF(G257="","",IF(N257="OK","NONE",INDEX({"S1","S2","W1","W2","N1","N2"},MATCH(MIN(Q257:V257),Q257:V257,0))))</f>
        <v/>
      </c>
      <c r="X257" s="69">
        <f>IF(G257="","",IF(W257=E257,1,0))</f>
        <v/>
      </c>
      <c r="Y257" s="70" t="n"/>
    </row>
    <row r="258">
      <c r="A258" s="61" t="n">
        <v>18.4</v>
      </c>
      <c r="B258" s="62" t="n">
        <v>45.4</v>
      </c>
      <c r="C258" s="61" t="inlineStr">
        <is>
          <t>R4</t>
        </is>
      </c>
      <c r="D258" s="74" t="inlineStr">
        <is>
          <t>NG</t>
        </is>
      </c>
      <c r="E258" s="61" t="inlineStr">
        <is>
          <t>S2</t>
        </is>
      </c>
      <c r="F258" s="61" t="inlineStr">
        <is>
          <t>K038</t>
        </is>
      </c>
      <c r="G258" s="75" t="n">
        <v>4.87</v>
      </c>
      <c r="H258" s="65" t="n"/>
      <c r="I258" s="66" t="n"/>
      <c r="J258" s="67">
        <f>VLOOKUP(C258,Recipes!$A$2:$N$4,10,FALSE())</f>
        <v/>
      </c>
      <c r="K258" s="68">
        <f>VLOOKUP(C258,Recipes!$A$2:$N$4,12,FALSE())</f>
        <v/>
      </c>
      <c r="L258" s="67">
        <f>J258-6*K258</f>
        <v/>
      </c>
      <c r="M258" s="67">
        <f>J258+6*K258</f>
        <v/>
      </c>
      <c r="N258" s="61">
        <f>IF(G258="","",IF(AND(G258&gt;=L258,G258&lt;=M258),"OK","NG"))</f>
        <v/>
      </c>
      <c r="O258" s="69">
        <f>IF(N258="","",IF(N258=D258,1,0))</f>
        <v/>
      </c>
      <c r="P258" s="67">
        <f>IF(G258="","",J258-G258)</f>
        <v/>
      </c>
      <c r="Q258" s="67">
        <f>IF(G258="","",ABS(P258-Components!$D$2))</f>
        <v/>
      </c>
      <c r="R258" s="67">
        <f>IF(G258="","",ABS(P258-Components!$D$3))</f>
        <v/>
      </c>
      <c r="S258" s="67">
        <f>IF(G258="","",ABS(P258-Components!$D$4))</f>
        <v/>
      </c>
      <c r="T258" s="67">
        <f>IF(G258="","",ABS(P258-Components!$D$5))</f>
        <v/>
      </c>
      <c r="U258" s="67">
        <f>IF(G258="","",ABS(P258-Components!$D$6))</f>
        <v/>
      </c>
      <c r="V258" s="67">
        <f>IF(G258="","",ABS(P258-Components!$D$7))</f>
        <v/>
      </c>
      <c r="W258" s="61">
        <f>IF(G258="","",IF(N258="OK","NONE",INDEX({"S1","S2","W1","W2","N1","N2"},MATCH(MIN(Q258:V258),Q258:V258,0))))</f>
        <v/>
      </c>
      <c r="X258" s="69">
        <f>IF(G258="","",IF(W258=E258,1,0))</f>
        <v/>
      </c>
      <c r="Y258" s="70" t="n"/>
    </row>
    <row r="259">
      <c r="A259" s="61" t="n">
        <v>20.3</v>
      </c>
      <c r="B259" s="62" t="n">
        <v>44.3</v>
      </c>
      <c r="C259" s="61" t="inlineStr">
        <is>
          <t>R4</t>
        </is>
      </c>
      <c r="D259" s="74" t="inlineStr">
        <is>
          <t>NG</t>
        </is>
      </c>
      <c r="E259" s="61" t="inlineStr">
        <is>
          <t>S2</t>
        </is>
      </c>
      <c r="F259" s="61" t="inlineStr">
        <is>
          <t>K039</t>
        </is>
      </c>
      <c r="G259" s="75" t="n">
        <v>4.91</v>
      </c>
      <c r="H259" s="65" t="n"/>
      <c r="I259" s="66" t="n"/>
      <c r="J259" s="67">
        <f>VLOOKUP(C259,Recipes!$A$2:$N$4,10,FALSE())</f>
        <v/>
      </c>
      <c r="K259" s="68">
        <f>VLOOKUP(C259,Recipes!$A$2:$N$4,12,FALSE())</f>
        <v/>
      </c>
      <c r="L259" s="67">
        <f>J259-6*K259</f>
        <v/>
      </c>
      <c r="M259" s="67">
        <f>J259+6*K259</f>
        <v/>
      </c>
      <c r="N259" s="61">
        <f>IF(G259="","",IF(AND(G259&gt;=L259,G259&lt;=M259),"OK","NG"))</f>
        <v/>
      </c>
      <c r="O259" s="69">
        <f>IF(N259="","",IF(N259=D259,1,0))</f>
        <v/>
      </c>
      <c r="P259" s="67">
        <f>IF(G259="","",J259-G259)</f>
        <v/>
      </c>
      <c r="Q259" s="67">
        <f>IF(G259="","",ABS(P259-Components!$D$2))</f>
        <v/>
      </c>
      <c r="R259" s="67">
        <f>IF(G259="","",ABS(P259-Components!$D$3))</f>
        <v/>
      </c>
      <c r="S259" s="67">
        <f>IF(G259="","",ABS(P259-Components!$D$4))</f>
        <v/>
      </c>
      <c r="T259" s="67">
        <f>IF(G259="","",ABS(P259-Components!$D$5))</f>
        <v/>
      </c>
      <c r="U259" s="67">
        <f>IF(G259="","",ABS(P259-Components!$D$6))</f>
        <v/>
      </c>
      <c r="V259" s="67">
        <f>IF(G259="","",ABS(P259-Components!$D$7))</f>
        <v/>
      </c>
      <c r="W259" s="61">
        <f>IF(G259="","",IF(N259="OK","NONE",INDEX({"S1","S2","W1","W2","N1","N2"},MATCH(MIN(Q259:V259),Q259:V259,0))))</f>
        <v/>
      </c>
      <c r="X259" s="69">
        <f>IF(G259="","",IF(W259=E259,1,0))</f>
        <v/>
      </c>
      <c r="Y259" s="70" t="n"/>
    </row>
    <row r="260">
      <c r="A260" s="61" t="n">
        <v>22.2</v>
      </c>
      <c r="B260" s="62" t="n">
        <v>43.2</v>
      </c>
      <c r="C260" s="61" t="inlineStr">
        <is>
          <t>R4</t>
        </is>
      </c>
      <c r="D260" s="74" t="inlineStr">
        <is>
          <t>NG</t>
        </is>
      </c>
      <c r="E260" s="61" t="inlineStr">
        <is>
          <t>S2</t>
        </is>
      </c>
      <c r="F260" s="61" t="inlineStr">
        <is>
          <t>K040</t>
        </is>
      </c>
      <c r="G260" s="75" t="n">
        <v>4.67</v>
      </c>
      <c r="H260" s="65" t="n"/>
      <c r="I260" s="66" t="n"/>
      <c r="J260" s="67">
        <f>VLOOKUP(C260,Recipes!$A$2:$N$4,10,FALSE())</f>
        <v/>
      </c>
      <c r="K260" s="68">
        <f>VLOOKUP(C260,Recipes!$A$2:$N$4,12,FALSE())</f>
        <v/>
      </c>
      <c r="L260" s="67">
        <f>J260-6*K260</f>
        <v/>
      </c>
      <c r="M260" s="67">
        <f>J260+6*K260</f>
        <v/>
      </c>
      <c r="N260" s="61">
        <f>IF(G260="","",IF(AND(G260&gt;=L260,G260&lt;=M260),"OK","NG"))</f>
        <v/>
      </c>
      <c r="O260" s="69">
        <f>IF(N260="","",IF(N260=D260,1,0))</f>
        <v/>
      </c>
      <c r="P260" s="67">
        <f>IF(G260="","",J260-G260)</f>
        <v/>
      </c>
      <c r="Q260" s="67">
        <f>IF(G260="","",ABS(P260-Components!$D$2))</f>
        <v/>
      </c>
      <c r="R260" s="67">
        <f>IF(G260="","",ABS(P260-Components!$D$3))</f>
        <v/>
      </c>
      <c r="S260" s="67">
        <f>IF(G260="","",ABS(P260-Components!$D$4))</f>
        <v/>
      </c>
      <c r="T260" s="67">
        <f>IF(G260="","",ABS(P260-Components!$D$5))</f>
        <v/>
      </c>
      <c r="U260" s="67">
        <f>IF(G260="","",ABS(P260-Components!$D$6))</f>
        <v/>
      </c>
      <c r="V260" s="67">
        <f>IF(G260="","",ABS(P260-Components!$D$7))</f>
        <v/>
      </c>
      <c r="W260" s="61">
        <f>IF(G260="","",IF(N260="OK","NONE",INDEX({"S1","S2","W1","W2","N1","N2"},MATCH(MIN(Q260:V260),Q260:V260,0))))</f>
        <v/>
      </c>
      <c r="X260" s="69">
        <f>IF(G260="","",IF(W260=E260,1,0))</f>
        <v/>
      </c>
      <c r="Y260" s="70" t="n"/>
    </row>
    <row r="261">
      <c r="A261" s="76" t="n">
        <v>24.1</v>
      </c>
      <c r="B261" s="77" t="n">
        <v>42.1</v>
      </c>
      <c r="C261" s="76" t="inlineStr">
        <is>
          <t>R4</t>
        </is>
      </c>
      <c r="D261" s="78" t="inlineStr">
        <is>
          <t>NG</t>
        </is>
      </c>
      <c r="E261" s="76" t="inlineStr">
        <is>
          <t>S2</t>
        </is>
      </c>
      <c r="F261" s="76" t="inlineStr">
        <is>
          <t>K044</t>
        </is>
      </c>
      <c r="G261" s="75" t="n">
        <v>4.86</v>
      </c>
      <c r="H261" s="65" t="n"/>
      <c r="I261" s="66" t="n"/>
      <c r="J261" s="67">
        <f>VLOOKUP(C261,Recipes!$A$2:$N$4,10,FALSE())</f>
        <v/>
      </c>
      <c r="K261" s="68">
        <f>VLOOKUP(C261,Recipes!$A$2:$N$4,12,FALSE())</f>
        <v/>
      </c>
      <c r="L261" s="67">
        <f>J261-6*K261</f>
        <v/>
      </c>
      <c r="M261" s="67">
        <f>J261+6*K261</f>
        <v/>
      </c>
      <c r="N261" s="61">
        <f>IF(G261="","",IF(AND(G261&gt;=L261,G261&lt;=M261),"OK","NG"))</f>
        <v/>
      </c>
      <c r="O261" s="69">
        <f>IF(N261="","",IF(N261=D261,1,0))</f>
        <v/>
      </c>
      <c r="P261" s="67">
        <f>IF(G261="","",J261-G261)</f>
        <v/>
      </c>
      <c r="Q261" s="67">
        <f>IF(G261="","",ABS(P261-Components!$D$2))</f>
        <v/>
      </c>
      <c r="R261" s="67">
        <f>IF(G261="","",ABS(P261-Components!$D$3))</f>
        <v/>
      </c>
      <c r="S261" s="67">
        <f>IF(G261="","",ABS(P261-Components!$D$4))</f>
        <v/>
      </c>
      <c r="T261" s="67">
        <f>IF(G261="","",ABS(P261-Components!$D$5))</f>
        <v/>
      </c>
      <c r="U261" s="67">
        <f>IF(G261="","",ABS(P261-Components!$D$6))</f>
        <v/>
      </c>
      <c r="V261" s="67">
        <f>IF(G261="","",ABS(P261-Components!$D$7))</f>
        <v/>
      </c>
      <c r="W261" s="61">
        <f>IF(G261="","",IF(N261="OK","NONE",INDEX({"S1","S2","W1","W2","N1","N2"},MATCH(MIN(Q261:V261),Q261:V261,0))))</f>
        <v/>
      </c>
      <c r="X261" s="69">
        <f>IF(G261="","",IF(W261=E261,1,0))</f>
        <v/>
      </c>
      <c r="Y261" s="70" t="n"/>
    </row>
    <row r="262">
      <c r="A262" s="76" t="n">
        <v>26</v>
      </c>
      <c r="B262" s="77" t="n">
        <v>41</v>
      </c>
      <c r="C262" s="76" t="inlineStr">
        <is>
          <t>R4</t>
        </is>
      </c>
      <c r="D262" s="78" t="inlineStr">
        <is>
          <t>NG</t>
        </is>
      </c>
      <c r="E262" s="76" t="inlineStr">
        <is>
          <t>S2</t>
        </is>
      </c>
      <c r="F262" s="76" t="inlineStr">
        <is>
          <t>K045</t>
        </is>
      </c>
      <c r="G262" s="75" t="n">
        <v>4.75</v>
      </c>
      <c r="H262" s="65" t="n"/>
      <c r="I262" s="66" t="n"/>
      <c r="J262" s="67">
        <f>VLOOKUP(C262,Recipes!$A$2:$N$4,10,FALSE())</f>
        <v/>
      </c>
      <c r="K262" s="68">
        <f>VLOOKUP(C262,Recipes!$A$2:$N$4,12,FALSE())</f>
        <v/>
      </c>
      <c r="L262" s="67">
        <f>J262-6*K262</f>
        <v/>
      </c>
      <c r="M262" s="67">
        <f>J262+6*K262</f>
        <v/>
      </c>
      <c r="N262" s="61">
        <f>IF(G262="","",IF(AND(G262&gt;=L262,G262&lt;=M262),"OK","NG"))</f>
        <v/>
      </c>
      <c r="O262" s="69">
        <f>IF(N262="","",IF(N262=D262,1,0))</f>
        <v/>
      </c>
      <c r="P262" s="67">
        <f>IF(G262="","",J262-G262)</f>
        <v/>
      </c>
      <c r="Q262" s="67">
        <f>IF(G262="","",ABS(P262-Components!$D$2))</f>
        <v/>
      </c>
      <c r="R262" s="67">
        <f>IF(G262="","",ABS(P262-Components!$D$3))</f>
        <v/>
      </c>
      <c r="S262" s="67">
        <f>IF(G262="","",ABS(P262-Components!$D$4))</f>
        <v/>
      </c>
      <c r="T262" s="67">
        <f>IF(G262="","",ABS(P262-Components!$D$5))</f>
        <v/>
      </c>
      <c r="U262" s="67">
        <f>IF(G262="","",ABS(P262-Components!$D$6))</f>
        <v/>
      </c>
      <c r="V262" s="67">
        <f>IF(G262="","",ABS(P262-Components!$D$7))</f>
        <v/>
      </c>
      <c r="W262" s="61">
        <f>IF(G262="","",IF(N262="OK","NONE",INDEX({"S1","S2","W1","W2","N1","N2"},MATCH(MIN(Q262:V262),Q262:V262,0))))</f>
        <v/>
      </c>
      <c r="X262" s="69">
        <f>IF(G262="","",IF(W262=E262,1,0))</f>
        <v/>
      </c>
      <c r="Y262" s="70" t="n"/>
    </row>
    <row r="263">
      <c r="A263" s="61" t="n">
        <v>27.9</v>
      </c>
      <c r="B263" s="62" t="n">
        <v>39.9</v>
      </c>
      <c r="C263" s="61" t="inlineStr">
        <is>
          <t>R4</t>
        </is>
      </c>
      <c r="D263" s="74" t="inlineStr">
        <is>
          <t>NG</t>
        </is>
      </c>
      <c r="E263" s="61" t="inlineStr">
        <is>
          <t>S2</t>
        </is>
      </c>
      <c r="F263" s="61" t="inlineStr">
        <is>
          <t>K038</t>
        </is>
      </c>
      <c r="G263" s="75" t="n">
        <v>4.91</v>
      </c>
      <c r="H263" s="65" t="n"/>
      <c r="I263" s="66" t="n"/>
      <c r="J263" s="67">
        <f>VLOOKUP(C263,Recipes!$A$2:$N$4,10,FALSE())</f>
        <v/>
      </c>
      <c r="K263" s="68">
        <f>VLOOKUP(C263,Recipes!$A$2:$N$4,12,FALSE())</f>
        <v/>
      </c>
      <c r="L263" s="67">
        <f>J263-6*K263</f>
        <v/>
      </c>
      <c r="M263" s="67">
        <f>J263+6*K263</f>
        <v/>
      </c>
      <c r="N263" s="61">
        <f>IF(G263="","",IF(AND(G263&gt;=L263,G263&lt;=M263),"OK","NG"))</f>
        <v/>
      </c>
      <c r="O263" s="69">
        <f>IF(N263="","",IF(N263=D263,1,0))</f>
        <v/>
      </c>
      <c r="P263" s="67">
        <f>IF(G263="","",J263-G263)</f>
        <v/>
      </c>
      <c r="Q263" s="67">
        <f>IF(G263="","",ABS(P263-Components!$D$2))</f>
        <v/>
      </c>
      <c r="R263" s="67">
        <f>IF(G263="","",ABS(P263-Components!$D$3))</f>
        <v/>
      </c>
      <c r="S263" s="67">
        <f>IF(G263="","",ABS(P263-Components!$D$4))</f>
        <v/>
      </c>
      <c r="T263" s="67">
        <f>IF(G263="","",ABS(P263-Components!$D$5))</f>
        <v/>
      </c>
      <c r="U263" s="67">
        <f>IF(G263="","",ABS(P263-Components!$D$6))</f>
        <v/>
      </c>
      <c r="V263" s="67">
        <f>IF(G263="","",ABS(P263-Components!$D$7))</f>
        <v/>
      </c>
      <c r="W263" s="61">
        <f>IF(G263="","",IF(N263="OK","NONE",INDEX({"S1","S2","W1","W2","N1","N2"},MATCH(MIN(Q263:V263),Q263:V263,0))))</f>
        <v/>
      </c>
      <c r="X263" s="69">
        <f>IF(G263="","",IF(W263=E263,1,0))</f>
        <v/>
      </c>
      <c r="Y263" s="70" t="n"/>
    </row>
    <row r="264">
      <c r="A264" s="61" t="n">
        <v>29.8</v>
      </c>
      <c r="B264" s="62" t="n">
        <v>38.8</v>
      </c>
      <c r="C264" s="61" t="inlineStr">
        <is>
          <t>R4</t>
        </is>
      </c>
      <c r="D264" s="74" t="inlineStr">
        <is>
          <t>NG</t>
        </is>
      </c>
      <c r="E264" s="61" t="inlineStr">
        <is>
          <t>S2</t>
        </is>
      </c>
      <c r="F264" s="61" t="inlineStr">
        <is>
          <t>K039</t>
        </is>
      </c>
      <c r="G264" s="75" t="n">
        <v>4.82</v>
      </c>
      <c r="H264" s="65" t="n"/>
      <c r="I264" s="66" t="n"/>
      <c r="J264" s="67">
        <f>VLOOKUP(C264,Recipes!$A$2:$N$4,10,FALSE())</f>
        <v/>
      </c>
      <c r="K264" s="68">
        <f>VLOOKUP(C264,Recipes!$A$2:$N$4,12,FALSE())</f>
        <v/>
      </c>
      <c r="L264" s="67">
        <f>J264-6*K264</f>
        <v/>
      </c>
      <c r="M264" s="67">
        <f>J264+6*K264</f>
        <v/>
      </c>
      <c r="N264" s="61">
        <f>IF(G264="","",IF(AND(G264&gt;=L264,G264&lt;=M264),"OK","NG"))</f>
        <v/>
      </c>
      <c r="O264" s="69">
        <f>IF(N264="","",IF(N264=D264,1,0))</f>
        <v/>
      </c>
      <c r="P264" s="67">
        <f>IF(G264="","",J264-G264)</f>
        <v/>
      </c>
      <c r="Q264" s="67">
        <f>IF(G264="","",ABS(P264-Components!$D$2))</f>
        <v/>
      </c>
      <c r="R264" s="67">
        <f>IF(G264="","",ABS(P264-Components!$D$3))</f>
        <v/>
      </c>
      <c r="S264" s="67">
        <f>IF(G264="","",ABS(P264-Components!$D$4))</f>
        <v/>
      </c>
      <c r="T264" s="67">
        <f>IF(G264="","",ABS(P264-Components!$D$5))</f>
        <v/>
      </c>
      <c r="U264" s="67">
        <f>IF(G264="","",ABS(P264-Components!$D$6))</f>
        <v/>
      </c>
      <c r="V264" s="67">
        <f>IF(G264="","",ABS(P264-Components!$D$7))</f>
        <v/>
      </c>
      <c r="W264" s="61">
        <f>IF(G264="","",IF(N264="OK","NONE",INDEX({"S1","S2","W1","W2","N1","N2"},MATCH(MIN(Q264:V264),Q264:V264,0))))</f>
        <v/>
      </c>
      <c r="X264" s="69">
        <f>IF(G264="","",IF(W264=E264,1,0))</f>
        <v/>
      </c>
      <c r="Y264" s="70" t="n"/>
    </row>
    <row r="265">
      <c r="A265" s="61" t="n">
        <v>31.7</v>
      </c>
      <c r="B265" s="62" t="n">
        <v>37.7</v>
      </c>
      <c r="C265" s="61" t="inlineStr">
        <is>
          <t>R4</t>
        </is>
      </c>
      <c r="D265" s="74" t="inlineStr">
        <is>
          <t>NG</t>
        </is>
      </c>
      <c r="E265" s="61" t="inlineStr">
        <is>
          <t>S2</t>
        </is>
      </c>
      <c r="F265" s="61" t="inlineStr">
        <is>
          <t>K040</t>
        </is>
      </c>
      <c r="G265" s="75" t="n">
        <v>4.83</v>
      </c>
      <c r="H265" s="65" t="n"/>
      <c r="I265" s="66" t="n"/>
      <c r="J265" s="67">
        <f>VLOOKUP(C265,Recipes!$A$2:$N$4,10,FALSE())</f>
        <v/>
      </c>
      <c r="K265" s="68">
        <f>VLOOKUP(C265,Recipes!$A$2:$N$4,12,FALSE())</f>
        <v/>
      </c>
      <c r="L265" s="67">
        <f>J265-6*K265</f>
        <v/>
      </c>
      <c r="M265" s="67">
        <f>J265+6*K265</f>
        <v/>
      </c>
      <c r="N265" s="61">
        <f>IF(G265="","",IF(AND(G265&gt;=L265,G265&lt;=M265),"OK","NG"))</f>
        <v/>
      </c>
      <c r="O265" s="69">
        <f>IF(N265="","",IF(N265=D265,1,0))</f>
        <v/>
      </c>
      <c r="P265" s="67">
        <f>IF(G265="","",J265-G265)</f>
        <v/>
      </c>
      <c r="Q265" s="67">
        <f>IF(G265="","",ABS(P265-Components!$D$2))</f>
        <v/>
      </c>
      <c r="R265" s="67">
        <f>IF(G265="","",ABS(P265-Components!$D$3))</f>
        <v/>
      </c>
      <c r="S265" s="67">
        <f>IF(G265="","",ABS(P265-Components!$D$4))</f>
        <v/>
      </c>
      <c r="T265" s="67">
        <f>IF(G265="","",ABS(P265-Components!$D$5))</f>
        <v/>
      </c>
      <c r="U265" s="67">
        <f>IF(G265="","",ABS(P265-Components!$D$6))</f>
        <v/>
      </c>
      <c r="V265" s="67">
        <f>IF(G265="","",ABS(P265-Components!$D$7))</f>
        <v/>
      </c>
      <c r="W265" s="61">
        <f>IF(G265="","",IF(N265="OK","NONE",INDEX({"S1","S2","W1","W2","N1","N2"},MATCH(MIN(Q265:V265),Q265:V265,0))))</f>
        <v/>
      </c>
      <c r="X265" s="69">
        <f>IF(G265="","",IF(W265=E265,1,0))</f>
        <v/>
      </c>
      <c r="Y265" s="70" t="n"/>
    </row>
    <row r="266">
      <c r="A266" s="76" t="n">
        <v>33.6</v>
      </c>
      <c r="B266" s="77" t="n">
        <v>36.6</v>
      </c>
      <c r="C266" s="76" t="inlineStr">
        <is>
          <t>R4</t>
        </is>
      </c>
      <c r="D266" s="78" t="inlineStr">
        <is>
          <t>NG</t>
        </is>
      </c>
      <c r="E266" s="76" t="inlineStr">
        <is>
          <t>S2</t>
        </is>
      </c>
      <c r="F266" s="76" t="inlineStr">
        <is>
          <t>K044</t>
        </is>
      </c>
      <c r="G266" s="75" t="n">
        <v>4.78</v>
      </c>
      <c r="H266" s="65" t="n"/>
      <c r="I266" s="66" t="n"/>
      <c r="J266" s="67">
        <f>VLOOKUP(C266,Recipes!$A$2:$N$4,10,FALSE())</f>
        <v/>
      </c>
      <c r="K266" s="68">
        <f>VLOOKUP(C266,Recipes!$A$2:$N$4,12,FALSE())</f>
        <v/>
      </c>
      <c r="L266" s="67">
        <f>J266-6*K266</f>
        <v/>
      </c>
      <c r="M266" s="67">
        <f>J266+6*K266</f>
        <v/>
      </c>
      <c r="N266" s="61">
        <f>IF(G266="","",IF(AND(G266&gt;=L266,G266&lt;=M266),"OK","NG"))</f>
        <v/>
      </c>
      <c r="O266" s="69">
        <f>IF(N266="","",IF(N266=D266,1,0))</f>
        <v/>
      </c>
      <c r="P266" s="67">
        <f>IF(G266="","",J266-G266)</f>
        <v/>
      </c>
      <c r="Q266" s="67">
        <f>IF(G266="","",ABS(P266-Components!$D$2))</f>
        <v/>
      </c>
      <c r="R266" s="67">
        <f>IF(G266="","",ABS(P266-Components!$D$3))</f>
        <v/>
      </c>
      <c r="S266" s="67">
        <f>IF(G266="","",ABS(P266-Components!$D$4))</f>
        <v/>
      </c>
      <c r="T266" s="67">
        <f>IF(G266="","",ABS(P266-Components!$D$5))</f>
        <v/>
      </c>
      <c r="U266" s="67">
        <f>IF(G266="","",ABS(P266-Components!$D$6))</f>
        <v/>
      </c>
      <c r="V266" s="67">
        <f>IF(G266="","",ABS(P266-Components!$D$7))</f>
        <v/>
      </c>
      <c r="W266" s="61">
        <f>IF(G266="","",IF(N266="OK","NONE",INDEX({"S1","S2","W1","W2","N1","N2"},MATCH(MIN(Q266:V266),Q266:V266,0))))</f>
        <v/>
      </c>
      <c r="X266" s="69">
        <f>IF(G266="","",IF(W266=E266,1,0))</f>
        <v/>
      </c>
      <c r="Y266" s="70" t="n"/>
    </row>
    <row r="267">
      <c r="A267" s="76" t="n">
        <v>35.5</v>
      </c>
      <c r="B267" s="77" t="n">
        <v>35.5</v>
      </c>
      <c r="C267" s="76" t="inlineStr">
        <is>
          <t>R4</t>
        </is>
      </c>
      <c r="D267" s="78" t="inlineStr">
        <is>
          <t>NG</t>
        </is>
      </c>
      <c r="E267" s="76" t="inlineStr">
        <is>
          <t>S2</t>
        </is>
      </c>
      <c r="F267" s="76" t="inlineStr">
        <is>
          <t>K045</t>
        </is>
      </c>
      <c r="G267" s="75" t="n">
        <v>4.88</v>
      </c>
      <c r="H267" s="65" t="n"/>
      <c r="I267" s="66" t="n"/>
      <c r="J267" s="67">
        <f>VLOOKUP(C267,Recipes!$A$2:$N$4,10,FALSE())</f>
        <v/>
      </c>
      <c r="K267" s="68">
        <f>VLOOKUP(C267,Recipes!$A$2:$N$4,12,FALSE())</f>
        <v/>
      </c>
      <c r="L267" s="67">
        <f>J267-6*K267</f>
        <v/>
      </c>
      <c r="M267" s="67">
        <f>J267+6*K267</f>
        <v/>
      </c>
      <c r="N267" s="61">
        <f>IF(G267="","",IF(AND(G267&gt;=L267,G267&lt;=M267),"OK","NG"))</f>
        <v/>
      </c>
      <c r="O267" s="69">
        <f>IF(N267="","",IF(N267=D267,1,0))</f>
        <v/>
      </c>
      <c r="P267" s="67">
        <f>IF(G267="","",J267-G267)</f>
        <v/>
      </c>
      <c r="Q267" s="67">
        <f>IF(G267="","",ABS(P267-Components!$D$2))</f>
        <v/>
      </c>
      <c r="R267" s="67">
        <f>IF(G267="","",ABS(P267-Components!$D$3))</f>
        <v/>
      </c>
      <c r="S267" s="67">
        <f>IF(G267="","",ABS(P267-Components!$D$4))</f>
        <v/>
      </c>
      <c r="T267" s="67">
        <f>IF(G267="","",ABS(P267-Components!$D$5))</f>
        <v/>
      </c>
      <c r="U267" s="67">
        <f>IF(G267="","",ABS(P267-Components!$D$6))</f>
        <v/>
      </c>
      <c r="V267" s="67">
        <f>IF(G267="","",ABS(P267-Components!$D$7))</f>
        <v/>
      </c>
      <c r="W267" s="61">
        <f>IF(G267="","",IF(N267="OK","NONE",INDEX({"S1","S2","W1","W2","N1","N2"},MATCH(MIN(Q267:V267),Q267:V267,0))))</f>
        <v/>
      </c>
      <c r="X267" s="69">
        <f>IF(G267="","",IF(W267=E267,1,0))</f>
        <v/>
      </c>
      <c r="Y267" s="70" t="n"/>
    </row>
    <row r="268">
      <c r="A268" s="61" t="n">
        <v>38</v>
      </c>
      <c r="B268" s="62" t="n">
        <v>14</v>
      </c>
      <c r="C268" s="61" t="inlineStr">
        <is>
          <t>R4</t>
        </is>
      </c>
      <c r="D268" s="74" t="inlineStr">
        <is>
          <t>NG</t>
        </is>
      </c>
      <c r="E268" s="61" t="inlineStr">
        <is>
          <t>S2</t>
        </is>
      </c>
      <c r="F268" s="61" t="inlineStr">
        <is>
          <t>K038</t>
        </is>
      </c>
      <c r="G268" s="64" t="n">
        <v>4.91</v>
      </c>
      <c r="H268" s="65" t="n"/>
      <c r="I268" s="66" t="n"/>
      <c r="J268" s="67">
        <f>VLOOKUP(C268,Recipes!$A$2:$N$4,10,FALSE())</f>
        <v/>
      </c>
      <c r="K268" s="68">
        <f>VLOOKUP(C268,Recipes!$A$2:$N$4,12,FALSE())</f>
        <v/>
      </c>
      <c r="L268" s="67">
        <f>J268-6*K268</f>
        <v/>
      </c>
      <c r="M268" s="67">
        <f>J268+6*K268</f>
        <v/>
      </c>
      <c r="N268" s="61">
        <f>IF(G268="","",IF(AND(G268&gt;=L268,G268&lt;=M268),"OK","NG"))</f>
        <v/>
      </c>
      <c r="O268" s="69">
        <f>IF(N268="","",IF(N268=D268,1,0))</f>
        <v/>
      </c>
      <c r="P268" s="67">
        <f>IF(G268="","",J268-G268)</f>
        <v/>
      </c>
      <c r="Q268" s="67">
        <f>IF(G268="","",ABS(P268-Components!$D$2))</f>
        <v/>
      </c>
      <c r="R268" s="67">
        <f>IF(G268="","",ABS(P268-Components!$D$3))</f>
        <v/>
      </c>
      <c r="S268" s="67">
        <f>IF(G268="","",ABS(P268-Components!$D$4))</f>
        <v/>
      </c>
      <c r="T268" s="67">
        <f>IF(G268="","",ABS(P268-Components!$D$5))</f>
        <v/>
      </c>
      <c r="U268" s="67">
        <f>IF(G268="","",ABS(P268-Components!$D$6))</f>
        <v/>
      </c>
      <c r="V268" s="67">
        <f>IF(G268="","",ABS(P268-Components!$D$7))</f>
        <v/>
      </c>
      <c r="W268" s="61">
        <f>IF(G268="","",IF(N268="OK","NONE",INDEX({"S1","S2","W1","W2","N1","N2"},MATCH(MIN(Q268:V268),Q268:V268,0))))</f>
        <v/>
      </c>
      <c r="X268" s="69">
        <f>IF(G268="","",IF(W268=E268,1,0))</f>
        <v/>
      </c>
      <c r="Y268" s="70" t="n"/>
    </row>
    <row r="269">
      <c r="A269" s="61" t="n">
        <v>39</v>
      </c>
      <c r="B269" s="62" t="n">
        <v>46</v>
      </c>
      <c r="C269" s="61" t="inlineStr">
        <is>
          <t>R4</t>
        </is>
      </c>
      <c r="D269" s="74" t="inlineStr">
        <is>
          <t>NG</t>
        </is>
      </c>
      <c r="E269" s="61" t="inlineStr">
        <is>
          <t>S2</t>
        </is>
      </c>
      <c r="F269" s="61" t="inlineStr">
        <is>
          <t>K039</t>
        </is>
      </c>
      <c r="G269" s="64" t="n">
        <v>4.89</v>
      </c>
      <c r="H269" s="65" t="n"/>
      <c r="I269" s="66" t="n"/>
      <c r="J269" s="67">
        <f>VLOOKUP(C269,Recipes!$A$2:$N$4,10,FALSE())</f>
        <v/>
      </c>
      <c r="K269" s="68">
        <f>VLOOKUP(C269,Recipes!$A$2:$N$4,12,FALSE())</f>
        <v/>
      </c>
      <c r="L269" s="67">
        <f>J269-6*K269</f>
        <v/>
      </c>
      <c r="M269" s="67">
        <f>J269+6*K269</f>
        <v/>
      </c>
      <c r="N269" s="61">
        <f>IF(G269="","",IF(AND(G269&gt;=L269,G269&lt;=M269),"OK","NG"))</f>
        <v/>
      </c>
      <c r="O269" s="69">
        <f>IF(N269="","",IF(N269=D269,1,0))</f>
        <v/>
      </c>
      <c r="P269" s="67">
        <f>IF(G269="","",J269-G269)</f>
        <v/>
      </c>
      <c r="Q269" s="67">
        <f>IF(G269="","",ABS(P269-Components!$D$2))</f>
        <v/>
      </c>
      <c r="R269" s="67">
        <f>IF(G269="","",ABS(P269-Components!$D$3))</f>
        <v/>
      </c>
      <c r="S269" s="67">
        <f>IF(G269="","",ABS(P269-Components!$D$4))</f>
        <v/>
      </c>
      <c r="T269" s="67">
        <f>IF(G269="","",ABS(P269-Components!$D$5))</f>
        <v/>
      </c>
      <c r="U269" s="67">
        <f>IF(G269="","",ABS(P269-Components!$D$6))</f>
        <v/>
      </c>
      <c r="V269" s="67">
        <f>IF(G269="","",ABS(P269-Components!$D$7))</f>
        <v/>
      </c>
      <c r="W269" s="61">
        <f>IF(G269="","",IF(N269="OK","NONE",INDEX({"S1","S2","W1","W2","N1","N2"},MATCH(MIN(Q269:V269),Q269:V269,0))))</f>
        <v/>
      </c>
      <c r="X269" s="69">
        <f>IF(G269="","",IF(W269=E269,1,0))</f>
        <v/>
      </c>
      <c r="Y269" s="70" t="n"/>
    </row>
    <row r="270">
      <c r="A270" s="61" t="n">
        <v>40</v>
      </c>
      <c r="B270" s="62" t="n">
        <v>53</v>
      </c>
      <c r="C270" s="61" t="inlineStr">
        <is>
          <t>R4</t>
        </is>
      </c>
      <c r="D270" s="74" t="inlineStr">
        <is>
          <t>NG</t>
        </is>
      </c>
      <c r="E270" s="61" t="inlineStr">
        <is>
          <t>S2</t>
        </is>
      </c>
      <c r="F270" s="61" t="inlineStr">
        <is>
          <t>K040</t>
        </is>
      </c>
      <c r="G270" s="64" t="n">
        <v>4.89</v>
      </c>
      <c r="H270" s="65" t="n"/>
      <c r="I270" s="66" t="n"/>
      <c r="J270" s="67">
        <f>VLOOKUP(C270,Recipes!$A$2:$N$4,10,FALSE())</f>
        <v/>
      </c>
      <c r="K270" s="68">
        <f>VLOOKUP(C270,Recipes!$A$2:$N$4,12,FALSE())</f>
        <v/>
      </c>
      <c r="L270" s="67">
        <f>J270-6*K270</f>
        <v/>
      </c>
      <c r="M270" s="67">
        <f>J270+6*K270</f>
        <v/>
      </c>
      <c r="N270" s="61">
        <f>IF(G270="","",IF(AND(G270&gt;=L270,G270&lt;=M270),"OK","NG"))</f>
        <v/>
      </c>
      <c r="O270" s="69">
        <f>IF(N270="","",IF(N270=D270,1,0))</f>
        <v/>
      </c>
      <c r="P270" s="67">
        <f>IF(G270="","",J270-G270)</f>
        <v/>
      </c>
      <c r="Q270" s="67">
        <f>IF(G270="","",ABS(P270-Components!$D$2))</f>
        <v/>
      </c>
      <c r="R270" s="67">
        <f>IF(G270="","",ABS(P270-Components!$D$3))</f>
        <v/>
      </c>
      <c r="S270" s="67">
        <f>IF(G270="","",ABS(P270-Components!$D$4))</f>
        <v/>
      </c>
      <c r="T270" s="67">
        <f>IF(G270="","",ABS(P270-Components!$D$5))</f>
        <v/>
      </c>
      <c r="U270" s="67">
        <f>IF(G270="","",ABS(P270-Components!$D$6))</f>
        <v/>
      </c>
      <c r="V270" s="67">
        <f>IF(G270="","",ABS(P270-Components!$D$7))</f>
        <v/>
      </c>
      <c r="W270" s="61">
        <f>IF(G270="","",IF(N270="OK","NONE",INDEX({"S1","S2","W1","W2","N1","N2"},MATCH(MIN(Q270:V270),Q270:V270,0))))</f>
        <v/>
      </c>
      <c r="X270" s="69">
        <f>IF(G270="","",IF(W270=E270,1,0))</f>
        <v/>
      </c>
      <c r="Y270" s="70" t="n"/>
    </row>
    <row r="271">
      <c r="A271" s="76" t="n">
        <v>44</v>
      </c>
      <c r="B271" s="77" t="n">
        <v>33</v>
      </c>
      <c r="C271" s="76" t="inlineStr">
        <is>
          <t>R4</t>
        </is>
      </c>
      <c r="D271" s="78" t="inlineStr">
        <is>
          <t>NG</t>
        </is>
      </c>
      <c r="E271" s="76" t="inlineStr">
        <is>
          <t>S2</t>
        </is>
      </c>
      <c r="F271" s="76" t="inlineStr">
        <is>
          <t>K044</t>
        </is>
      </c>
      <c r="G271" s="75" t="n">
        <v>4.9</v>
      </c>
      <c r="H271" s="65" t="n"/>
      <c r="I271" s="66" t="n"/>
      <c r="J271" s="67">
        <f>VLOOKUP(C271,Recipes!$A$2:$N$4,10,FALSE())</f>
        <v/>
      </c>
      <c r="K271" s="68">
        <f>VLOOKUP(C271,Recipes!$A$2:$N$4,12,FALSE())</f>
        <v/>
      </c>
      <c r="L271" s="67">
        <f>J271-6*K271</f>
        <v/>
      </c>
      <c r="M271" s="67">
        <f>J271+6*K271</f>
        <v/>
      </c>
      <c r="N271" s="61">
        <f>IF(G271="","",IF(AND(G271&gt;=L271,G271&lt;=M271),"OK","NG"))</f>
        <v/>
      </c>
      <c r="O271" s="69">
        <f>IF(N271="","",IF(N271=D271,1,0))</f>
        <v/>
      </c>
      <c r="P271" s="67">
        <f>IF(G271="","",J271-G271)</f>
        <v/>
      </c>
      <c r="Q271" s="67">
        <f>IF(G271="","",ABS(P271-Components!$D$2))</f>
        <v/>
      </c>
      <c r="R271" s="67">
        <f>IF(G271="","",ABS(P271-Components!$D$3))</f>
        <v/>
      </c>
      <c r="S271" s="67">
        <f>IF(G271="","",ABS(P271-Components!$D$4))</f>
        <v/>
      </c>
      <c r="T271" s="67">
        <f>IF(G271="","",ABS(P271-Components!$D$5))</f>
        <v/>
      </c>
      <c r="U271" s="67">
        <f>IF(G271="","",ABS(P271-Components!$D$6))</f>
        <v/>
      </c>
      <c r="V271" s="67">
        <f>IF(G271="","",ABS(P271-Components!$D$7))</f>
        <v/>
      </c>
      <c r="W271" s="61">
        <f>IF(G271="","",IF(N271="OK","NONE",INDEX({"S1","S2","W1","W2","N1","N2"},MATCH(MIN(Q271:V271),Q271:V271,0))))</f>
        <v/>
      </c>
      <c r="X271" s="69">
        <f>IF(G271="","",IF(W271=E271,1,0))</f>
        <v/>
      </c>
      <c r="Y271" s="70" t="n"/>
    </row>
    <row r="272">
      <c r="A272" s="76" t="n">
        <v>45</v>
      </c>
      <c r="B272" s="77" t="n">
        <v>15</v>
      </c>
      <c r="C272" s="76" t="inlineStr">
        <is>
          <t>R4</t>
        </is>
      </c>
      <c r="D272" s="78" t="inlineStr">
        <is>
          <t>NG</t>
        </is>
      </c>
      <c r="E272" s="76" t="inlineStr">
        <is>
          <t>S2</t>
        </is>
      </c>
      <c r="F272" s="76" t="inlineStr">
        <is>
          <t>K045</t>
        </is>
      </c>
      <c r="G272" s="75" t="n">
        <v>4.91</v>
      </c>
      <c r="H272" s="65" t="n"/>
      <c r="I272" s="66" t="n"/>
      <c r="J272" s="67">
        <f>VLOOKUP(C272,Recipes!$A$2:$N$4,10,FALSE())</f>
        <v/>
      </c>
      <c r="K272" s="68">
        <f>VLOOKUP(C272,Recipes!$A$2:$N$4,12,FALSE())</f>
        <v/>
      </c>
      <c r="L272" s="67">
        <f>J272-6*K272</f>
        <v/>
      </c>
      <c r="M272" s="67">
        <f>J272+6*K272</f>
        <v/>
      </c>
      <c r="N272" s="61">
        <f>IF(G272="","",IF(AND(G272&gt;=L272,G272&lt;=M272),"OK","NG"))</f>
        <v/>
      </c>
      <c r="O272" s="69">
        <f>IF(N272="","",IF(N272=D272,1,0))</f>
        <v/>
      </c>
      <c r="P272" s="67">
        <f>IF(G272="","",J272-G272)</f>
        <v/>
      </c>
      <c r="Q272" s="67">
        <f>IF(G272="","",ABS(P272-Components!$D$2))</f>
        <v/>
      </c>
      <c r="R272" s="67">
        <f>IF(G272="","",ABS(P272-Components!$D$3))</f>
        <v/>
      </c>
      <c r="S272" s="67">
        <f>IF(G272="","",ABS(P272-Components!$D$4))</f>
        <v/>
      </c>
      <c r="T272" s="67">
        <f>IF(G272="","",ABS(P272-Components!$D$5))</f>
        <v/>
      </c>
      <c r="U272" s="67">
        <f>IF(G272="","",ABS(P272-Components!$D$6))</f>
        <v/>
      </c>
      <c r="V272" s="67">
        <f>IF(G272="","",ABS(P272-Components!$D$7))</f>
        <v/>
      </c>
      <c r="W272" s="61">
        <f>IF(G272="","",IF(N272="OK","NONE",INDEX({"S1","S2","W1","W2","N1","N2"},MATCH(MIN(Q272:V272),Q272:V272,0))))</f>
        <v/>
      </c>
      <c r="X272" s="69">
        <f>IF(G272="","",IF(W272=E272,1,0))</f>
        <v/>
      </c>
      <c r="Y272" s="70" t="n"/>
    </row>
    <row r="273">
      <c r="A273" s="61" t="n">
        <v>41</v>
      </c>
      <c r="B273" s="62" t="n">
        <v>3</v>
      </c>
      <c r="C273" s="61" t="inlineStr">
        <is>
          <t>R6</t>
        </is>
      </c>
      <c r="D273" s="63" t="inlineStr">
        <is>
          <t>OK</t>
        </is>
      </c>
      <c r="E273" s="61" t="inlineStr">
        <is>
          <t>NONE</t>
        </is>
      </c>
      <c r="F273" s="61" t="inlineStr">
        <is>
          <t>K041</t>
        </is>
      </c>
      <c r="G273" s="64" t="n">
        <v>8.65</v>
      </c>
      <c r="H273" s="65" t="n"/>
      <c r="I273" s="66" t="n"/>
      <c r="J273" s="67">
        <f>VLOOKUP(C273,Recipes!$A$2:$N$4,10,FALSE())</f>
        <v/>
      </c>
      <c r="K273" s="68">
        <f>VLOOKUP(C273,Recipes!$A$2:$N$4,12,FALSE())</f>
        <v/>
      </c>
      <c r="L273" s="67">
        <f>J273-6*K273</f>
        <v/>
      </c>
      <c r="M273" s="67">
        <f>J273+6*K273</f>
        <v/>
      </c>
      <c r="N273" s="61">
        <f>IF(G273="","",IF(AND(G273&gt;=L273,G273&lt;=M273),"OK","NG"))</f>
        <v/>
      </c>
      <c r="O273" s="69">
        <f>IF(N273="","",IF(N273=D273,1,0))</f>
        <v/>
      </c>
      <c r="P273" s="67">
        <f>IF(G273="","",J273-G273)</f>
        <v/>
      </c>
      <c r="Q273" s="67">
        <f>IF(G273="","",ABS(P273-Components!$D$2))</f>
        <v/>
      </c>
      <c r="R273" s="67">
        <f>IF(G273="","",ABS(P273-Components!$D$3))</f>
        <v/>
      </c>
      <c r="S273" s="67">
        <f>IF(G273="","",ABS(P273-Components!$D$4))</f>
        <v/>
      </c>
      <c r="T273" s="67">
        <f>IF(G273="","",ABS(P273-Components!$D$5))</f>
        <v/>
      </c>
      <c r="U273" s="67">
        <f>IF(G273="","",ABS(P273-Components!$D$6))</f>
        <v/>
      </c>
      <c r="V273" s="67">
        <f>IF(G273="","",ABS(P273-Components!$D$7))</f>
        <v/>
      </c>
      <c r="W273" s="61">
        <f>IF(G273="","",IF(N273="OK","NONE",INDEX({"S1","S2","W1","W2","N1","N2"},MATCH(MIN(Q273:V273),Q273:V273,0))))</f>
        <v/>
      </c>
      <c r="X273" s="69">
        <f>IF(G273="","",IF(W273=E273,1,0))</f>
        <v/>
      </c>
      <c r="Y273" s="70" t="n"/>
    </row>
    <row r="274">
      <c r="A274" s="61" t="n">
        <v>41</v>
      </c>
      <c r="B274" s="62" t="n">
        <v>3</v>
      </c>
      <c r="C274" s="61" t="inlineStr">
        <is>
          <t>R6</t>
        </is>
      </c>
      <c r="D274" s="63" t="inlineStr">
        <is>
          <t>OK</t>
        </is>
      </c>
      <c r="E274" s="61" t="inlineStr">
        <is>
          <t>NONE</t>
        </is>
      </c>
      <c r="F274" s="61" t="inlineStr">
        <is>
          <t>K041</t>
        </is>
      </c>
      <c r="G274" s="64" t="n">
        <v>8.529999999999999</v>
      </c>
      <c r="H274" s="65" t="n"/>
      <c r="I274" s="66" t="n"/>
      <c r="J274" s="67">
        <f>VLOOKUP(C274,Recipes!$A$2:$N$4,10,FALSE())</f>
        <v/>
      </c>
      <c r="K274" s="68">
        <f>VLOOKUP(C274,Recipes!$A$2:$N$4,12,FALSE())</f>
        <v/>
      </c>
      <c r="L274" s="67">
        <f>J274-6*K274</f>
        <v/>
      </c>
      <c r="M274" s="67">
        <f>J274+6*K274</f>
        <v/>
      </c>
      <c r="N274" s="61">
        <f>IF(G274="","",IF(AND(G274&gt;=L274,G274&lt;=M274),"OK","NG"))</f>
        <v/>
      </c>
      <c r="O274" s="69">
        <f>IF(N274="","",IF(N274=D274,1,0))</f>
        <v/>
      </c>
      <c r="P274" s="67">
        <f>IF(G274="","",J274-G274)</f>
        <v/>
      </c>
      <c r="Q274" s="67">
        <f>IF(G274="","",ABS(P274-Components!$D$2))</f>
        <v/>
      </c>
      <c r="R274" s="67">
        <f>IF(G274="","",ABS(P274-Components!$D$3))</f>
        <v/>
      </c>
      <c r="S274" s="67">
        <f>IF(G274="","",ABS(P274-Components!$D$4))</f>
        <v/>
      </c>
      <c r="T274" s="67">
        <f>IF(G274="","",ABS(P274-Components!$D$5))</f>
        <v/>
      </c>
      <c r="U274" s="67">
        <f>IF(G274="","",ABS(P274-Components!$D$6))</f>
        <v/>
      </c>
      <c r="V274" s="67">
        <f>IF(G274="","",ABS(P274-Components!$D$7))</f>
        <v/>
      </c>
      <c r="W274" s="61">
        <f>IF(G274="","",IF(N274="OK","NONE",INDEX({"S1","S2","W1","W2","N1","N2"},MATCH(MIN(Q274:V274),Q274:V274,0))))</f>
        <v/>
      </c>
      <c r="X274" s="69">
        <f>IF(G274="","",IF(W274=E274,1,0))</f>
        <v/>
      </c>
      <c r="Y274" s="70" t="n"/>
    </row>
    <row r="275">
      <c r="A275" s="61" t="n">
        <v>41</v>
      </c>
      <c r="B275" s="62" t="n">
        <v>3</v>
      </c>
      <c r="C275" s="61" t="inlineStr">
        <is>
          <t>R6</t>
        </is>
      </c>
      <c r="D275" s="63" t="inlineStr">
        <is>
          <t>OK</t>
        </is>
      </c>
      <c r="E275" s="61" t="inlineStr">
        <is>
          <t>NONE</t>
        </is>
      </c>
      <c r="F275" s="61" t="inlineStr">
        <is>
          <t>K041</t>
        </is>
      </c>
      <c r="G275" s="75" t="n">
        <v>8.58</v>
      </c>
      <c r="H275" s="65" t="n"/>
      <c r="I275" s="66" t="n"/>
      <c r="J275" s="67">
        <f>VLOOKUP(C275,Recipes!$A$2:$N$4,10,FALSE())</f>
        <v/>
      </c>
      <c r="K275" s="68">
        <f>VLOOKUP(C275,Recipes!$A$2:$N$4,12,FALSE())</f>
        <v/>
      </c>
      <c r="L275" s="67">
        <f>J275-6*K275</f>
        <v/>
      </c>
      <c r="M275" s="67">
        <f>J275+6*K275</f>
        <v/>
      </c>
      <c r="N275" s="61">
        <f>IF(G275="","",IF(AND(G275&gt;=L275,G275&lt;=M275),"OK","NG"))</f>
        <v/>
      </c>
      <c r="O275" s="69">
        <f>IF(N275="","",IF(N275=D275,1,0))</f>
        <v/>
      </c>
      <c r="P275" s="67">
        <f>IF(G275="","",J275-G275)</f>
        <v/>
      </c>
      <c r="Q275" s="67">
        <f>IF(G275="","",ABS(P275-Components!$D$2))</f>
        <v/>
      </c>
      <c r="R275" s="67">
        <f>IF(G275="","",ABS(P275-Components!$D$3))</f>
        <v/>
      </c>
      <c r="S275" s="67">
        <f>IF(G275="","",ABS(P275-Components!$D$4))</f>
        <v/>
      </c>
      <c r="T275" s="67">
        <f>IF(G275="","",ABS(P275-Components!$D$5))</f>
        <v/>
      </c>
      <c r="U275" s="67">
        <f>IF(G275="","",ABS(P275-Components!$D$6))</f>
        <v/>
      </c>
      <c r="V275" s="67">
        <f>IF(G275="","",ABS(P275-Components!$D$7))</f>
        <v/>
      </c>
      <c r="W275" s="61">
        <f>IF(G275="","",IF(N275="OK","NONE",INDEX({"S1","S2","W1","W2","N1","N2"},MATCH(MIN(Q275:V275),Q275:V275,0))))</f>
        <v/>
      </c>
      <c r="X275" s="69">
        <f>IF(G275="","",IF(W275=E275,1,0))</f>
        <v/>
      </c>
      <c r="Y275" s="70" t="n"/>
    </row>
    <row r="276">
      <c r="A276" s="61" t="n">
        <v>41</v>
      </c>
      <c r="B276" s="62" t="n">
        <v>3</v>
      </c>
      <c r="C276" s="61" t="inlineStr">
        <is>
          <t>R6</t>
        </is>
      </c>
      <c r="D276" s="63" t="inlineStr">
        <is>
          <t>OK</t>
        </is>
      </c>
      <c r="E276" s="61" t="inlineStr">
        <is>
          <t>NONE</t>
        </is>
      </c>
      <c r="F276" s="61" t="inlineStr">
        <is>
          <t>K041</t>
        </is>
      </c>
      <c r="G276" s="75" t="n">
        <v>8.66</v>
      </c>
      <c r="H276" s="65" t="n"/>
      <c r="I276" s="66" t="n"/>
      <c r="J276" s="67">
        <f>VLOOKUP(C276,Recipes!$A$2:$N$4,10,FALSE())</f>
        <v/>
      </c>
      <c r="K276" s="68">
        <f>VLOOKUP(C276,Recipes!$A$2:$N$4,12,FALSE())</f>
        <v/>
      </c>
      <c r="L276" s="67">
        <f>J276-6*K276</f>
        <v/>
      </c>
      <c r="M276" s="67">
        <f>J276+6*K276</f>
        <v/>
      </c>
      <c r="N276" s="61">
        <f>IF(G276="","",IF(AND(G276&gt;=L276,G276&lt;=M276),"OK","NG"))</f>
        <v/>
      </c>
      <c r="O276" s="69">
        <f>IF(N276="","",IF(N276=D276,1,0))</f>
        <v/>
      </c>
      <c r="P276" s="67">
        <f>IF(G276="","",J276-G276)</f>
        <v/>
      </c>
      <c r="Q276" s="67">
        <f>IF(G276="","",ABS(P276-Components!$D$2))</f>
        <v/>
      </c>
      <c r="R276" s="67">
        <f>IF(G276="","",ABS(P276-Components!$D$3))</f>
        <v/>
      </c>
      <c r="S276" s="67">
        <f>IF(G276="","",ABS(P276-Components!$D$4))</f>
        <v/>
      </c>
      <c r="T276" s="67">
        <f>IF(G276="","",ABS(P276-Components!$D$5))</f>
        <v/>
      </c>
      <c r="U276" s="67">
        <f>IF(G276="","",ABS(P276-Components!$D$6))</f>
        <v/>
      </c>
      <c r="V276" s="67">
        <f>IF(G276="","",ABS(P276-Components!$D$7))</f>
        <v/>
      </c>
      <c r="W276" s="61">
        <f>IF(G276="","",IF(N276="OK","NONE",INDEX({"S1","S2","W1","W2","N1","N2"},MATCH(MIN(Q276:V276),Q276:V276,0))))</f>
        <v/>
      </c>
      <c r="X276" s="69">
        <f>IF(G276="","",IF(W276=E276,1,0))</f>
        <v/>
      </c>
      <c r="Y276" s="70" t="n"/>
    </row>
    <row r="277">
      <c r="A277" s="61" t="n">
        <v>41</v>
      </c>
      <c r="B277" s="62" t="n">
        <v>3</v>
      </c>
      <c r="C277" s="61" t="inlineStr">
        <is>
          <t>R6</t>
        </is>
      </c>
      <c r="D277" s="63" t="inlineStr">
        <is>
          <t>OK</t>
        </is>
      </c>
      <c r="E277" s="61" t="inlineStr">
        <is>
          <t>NONE</t>
        </is>
      </c>
      <c r="F277" s="61" t="inlineStr">
        <is>
          <t>K041</t>
        </is>
      </c>
      <c r="G277" s="75" t="n">
        <v>8.57</v>
      </c>
      <c r="H277" s="65" t="n"/>
      <c r="I277" s="66" t="n"/>
      <c r="J277" s="67">
        <f>VLOOKUP(C277,Recipes!$A$2:$N$4,10,FALSE())</f>
        <v/>
      </c>
      <c r="K277" s="68">
        <f>VLOOKUP(C277,Recipes!$A$2:$N$4,12,FALSE())</f>
        <v/>
      </c>
      <c r="L277" s="67">
        <f>J277-6*K277</f>
        <v/>
      </c>
      <c r="M277" s="67">
        <f>J277+6*K277</f>
        <v/>
      </c>
      <c r="N277" s="61">
        <f>IF(G277="","",IF(AND(G277&gt;=L277,G277&lt;=M277),"OK","NG"))</f>
        <v/>
      </c>
      <c r="O277" s="69">
        <f>IF(N277="","",IF(N277=D277,1,0))</f>
        <v/>
      </c>
      <c r="P277" s="67">
        <f>IF(G277="","",J277-G277)</f>
        <v/>
      </c>
      <c r="Q277" s="67">
        <f>IF(G277="","",ABS(P277-Components!$D$2))</f>
        <v/>
      </c>
      <c r="R277" s="67">
        <f>IF(G277="","",ABS(P277-Components!$D$3))</f>
        <v/>
      </c>
      <c r="S277" s="67">
        <f>IF(G277="","",ABS(P277-Components!$D$4))</f>
        <v/>
      </c>
      <c r="T277" s="67">
        <f>IF(G277="","",ABS(P277-Components!$D$5))</f>
        <v/>
      </c>
      <c r="U277" s="67">
        <f>IF(G277="","",ABS(P277-Components!$D$6))</f>
        <v/>
      </c>
      <c r="V277" s="67">
        <f>IF(G277="","",ABS(P277-Components!$D$7))</f>
        <v/>
      </c>
      <c r="W277" s="61">
        <f>IF(G277="","",IF(N277="OK","NONE",INDEX({"S1","S2","W1","W2","N1","N2"},MATCH(MIN(Q277:V277),Q277:V277,0))))</f>
        <v/>
      </c>
      <c r="X277" s="69">
        <f>IF(G277="","",IF(W277=E277,1,0))</f>
        <v/>
      </c>
      <c r="Y277" s="70" t="n"/>
    </row>
    <row r="278">
      <c r="A278" s="61" t="n">
        <v>41</v>
      </c>
      <c r="B278" s="62" t="n">
        <v>3</v>
      </c>
      <c r="C278" s="61" t="inlineStr">
        <is>
          <t>R6</t>
        </is>
      </c>
      <c r="D278" s="63" t="inlineStr">
        <is>
          <t>OK</t>
        </is>
      </c>
      <c r="E278" s="61" t="inlineStr">
        <is>
          <t>NONE</t>
        </is>
      </c>
      <c r="F278" s="61" t="inlineStr">
        <is>
          <t>K041</t>
        </is>
      </c>
      <c r="G278" s="75" t="n">
        <v>8.6</v>
      </c>
      <c r="H278" s="65" t="n"/>
      <c r="I278" s="66" t="n"/>
      <c r="J278" s="67">
        <f>VLOOKUP(C278,Recipes!$A$2:$N$4,10,FALSE())</f>
        <v/>
      </c>
      <c r="K278" s="68">
        <f>VLOOKUP(C278,Recipes!$A$2:$N$4,12,FALSE())</f>
        <v/>
      </c>
      <c r="L278" s="67">
        <f>J278-6*K278</f>
        <v/>
      </c>
      <c r="M278" s="67">
        <f>J278+6*K278</f>
        <v/>
      </c>
      <c r="N278" s="61">
        <f>IF(G278="","",IF(AND(G278&gt;=L278,G278&lt;=M278),"OK","NG"))</f>
        <v/>
      </c>
      <c r="O278" s="69">
        <f>IF(N278="","",IF(N278=D278,1,0))</f>
        <v/>
      </c>
      <c r="P278" s="67">
        <f>IF(G278="","",J278-G278)</f>
        <v/>
      </c>
      <c r="Q278" s="67">
        <f>IF(G278="","",ABS(P278-Components!$D$2))</f>
        <v/>
      </c>
      <c r="R278" s="67">
        <f>IF(G278="","",ABS(P278-Components!$D$3))</f>
        <v/>
      </c>
      <c r="S278" s="67">
        <f>IF(G278="","",ABS(P278-Components!$D$4))</f>
        <v/>
      </c>
      <c r="T278" s="67">
        <f>IF(G278="","",ABS(P278-Components!$D$5))</f>
        <v/>
      </c>
      <c r="U278" s="67">
        <f>IF(G278="","",ABS(P278-Components!$D$6))</f>
        <v/>
      </c>
      <c r="V278" s="67">
        <f>IF(G278="","",ABS(P278-Components!$D$7))</f>
        <v/>
      </c>
      <c r="W278" s="61">
        <f>IF(G278="","",IF(N278="OK","NONE",INDEX({"S1","S2","W1","W2","N1","N2"},MATCH(MIN(Q278:V278),Q278:V278,0))))</f>
        <v/>
      </c>
      <c r="X278" s="69">
        <f>IF(G278="","",IF(W278=E278,1,0))</f>
        <v/>
      </c>
      <c r="Y278" s="70" t="n"/>
    </row>
    <row r="279">
      <c r="A279" s="61" t="n">
        <v>41</v>
      </c>
      <c r="B279" s="62" t="n">
        <v>3</v>
      </c>
      <c r="C279" s="61" t="inlineStr">
        <is>
          <t>R6</t>
        </is>
      </c>
      <c r="D279" s="63" t="inlineStr">
        <is>
          <t>OK</t>
        </is>
      </c>
      <c r="E279" s="61" t="inlineStr">
        <is>
          <t>NONE</t>
        </is>
      </c>
      <c r="F279" s="61" t="inlineStr">
        <is>
          <t>K041</t>
        </is>
      </c>
      <c r="G279" s="75" t="n">
        <v>8.65</v>
      </c>
      <c r="H279" s="65" t="n"/>
      <c r="I279" s="66" t="n"/>
      <c r="J279" s="67">
        <f>VLOOKUP(C279,Recipes!$A$2:$N$4,10,FALSE())</f>
        <v/>
      </c>
      <c r="K279" s="68">
        <f>VLOOKUP(C279,Recipes!$A$2:$N$4,12,FALSE())</f>
        <v/>
      </c>
      <c r="L279" s="67">
        <f>J279-6*K279</f>
        <v/>
      </c>
      <c r="M279" s="67">
        <f>J279+6*K279</f>
        <v/>
      </c>
      <c r="N279" s="61">
        <f>IF(G279="","",IF(AND(G279&gt;=L279,G279&lt;=M279),"OK","NG"))</f>
        <v/>
      </c>
      <c r="O279" s="69">
        <f>IF(N279="","",IF(N279=D279,1,0))</f>
        <v/>
      </c>
      <c r="P279" s="67">
        <f>IF(G279="","",J279-G279)</f>
        <v/>
      </c>
      <c r="Q279" s="67">
        <f>IF(G279="","",ABS(P279-Components!$D$2))</f>
        <v/>
      </c>
      <c r="R279" s="67">
        <f>IF(G279="","",ABS(P279-Components!$D$3))</f>
        <v/>
      </c>
      <c r="S279" s="67">
        <f>IF(G279="","",ABS(P279-Components!$D$4))</f>
        <v/>
      </c>
      <c r="T279" s="67">
        <f>IF(G279="","",ABS(P279-Components!$D$5))</f>
        <v/>
      </c>
      <c r="U279" s="67">
        <f>IF(G279="","",ABS(P279-Components!$D$6))</f>
        <v/>
      </c>
      <c r="V279" s="67">
        <f>IF(G279="","",ABS(P279-Components!$D$7))</f>
        <v/>
      </c>
      <c r="W279" s="61">
        <f>IF(G279="","",IF(N279="OK","NONE",INDEX({"S1","S2","W1","W2","N1","N2"},MATCH(MIN(Q279:V279),Q279:V279,0))))</f>
        <v/>
      </c>
      <c r="X279" s="69">
        <f>IF(G279="","",IF(W279=E279,1,0))</f>
        <v/>
      </c>
      <c r="Y279" s="70" t="n"/>
    </row>
    <row r="280">
      <c r="A280" s="61" t="n">
        <v>41</v>
      </c>
      <c r="B280" s="62" t="n">
        <v>3</v>
      </c>
      <c r="C280" s="61" t="inlineStr">
        <is>
          <t>R6</t>
        </is>
      </c>
      <c r="D280" s="63" t="inlineStr">
        <is>
          <t>OK</t>
        </is>
      </c>
      <c r="E280" s="61" t="inlineStr">
        <is>
          <t>NONE</t>
        </is>
      </c>
      <c r="F280" s="61" t="inlineStr">
        <is>
          <t>K041</t>
        </is>
      </c>
      <c r="G280" s="75" t="n">
        <v>8.58</v>
      </c>
      <c r="H280" s="65" t="n"/>
      <c r="I280" s="66" t="n"/>
      <c r="J280" s="67">
        <f>VLOOKUP(C280,Recipes!$A$2:$N$4,10,FALSE())</f>
        <v/>
      </c>
      <c r="K280" s="68">
        <f>VLOOKUP(C280,Recipes!$A$2:$N$4,12,FALSE())</f>
        <v/>
      </c>
      <c r="L280" s="67">
        <f>J280-6*K280</f>
        <v/>
      </c>
      <c r="M280" s="67">
        <f>J280+6*K280</f>
        <v/>
      </c>
      <c r="N280" s="61">
        <f>IF(G280="","",IF(AND(G280&gt;=L280,G280&lt;=M280),"OK","NG"))</f>
        <v/>
      </c>
      <c r="O280" s="69">
        <f>IF(N280="","",IF(N280=D280,1,0))</f>
        <v/>
      </c>
      <c r="P280" s="67">
        <f>IF(G280="","",J280-G280)</f>
        <v/>
      </c>
      <c r="Q280" s="67">
        <f>IF(G280="","",ABS(P280-Components!$D$2))</f>
        <v/>
      </c>
      <c r="R280" s="67">
        <f>IF(G280="","",ABS(P280-Components!$D$3))</f>
        <v/>
      </c>
      <c r="S280" s="67">
        <f>IF(G280="","",ABS(P280-Components!$D$4))</f>
        <v/>
      </c>
      <c r="T280" s="67">
        <f>IF(G280="","",ABS(P280-Components!$D$5))</f>
        <v/>
      </c>
      <c r="U280" s="67">
        <f>IF(G280="","",ABS(P280-Components!$D$6))</f>
        <v/>
      </c>
      <c r="V280" s="67">
        <f>IF(G280="","",ABS(P280-Components!$D$7))</f>
        <v/>
      </c>
      <c r="W280" s="61">
        <f>IF(G280="","",IF(N280="OK","NONE",INDEX({"S1","S2","W1","W2","N1","N2"},MATCH(MIN(Q280:V280),Q280:V280,0))))</f>
        <v/>
      </c>
      <c r="X280" s="69">
        <f>IF(G280="","",IF(W280=E280,1,0))</f>
        <v/>
      </c>
      <c r="Y280" s="70" t="n"/>
    </row>
    <row r="281">
      <c r="A281" s="61" t="n">
        <v>41</v>
      </c>
      <c r="B281" s="62" t="n">
        <v>3</v>
      </c>
      <c r="C281" s="61" t="inlineStr">
        <is>
          <t>R6</t>
        </is>
      </c>
      <c r="D281" s="63" t="inlineStr">
        <is>
          <t>OK</t>
        </is>
      </c>
      <c r="E281" s="61" t="inlineStr">
        <is>
          <t>NONE</t>
        </is>
      </c>
      <c r="F281" s="61" t="inlineStr">
        <is>
          <t>K041</t>
        </is>
      </c>
      <c r="G281" s="75" t="n">
        <v>8.58</v>
      </c>
      <c r="H281" s="65" t="n"/>
      <c r="I281" s="66" t="n"/>
      <c r="J281" s="67">
        <f>VLOOKUP(C281,Recipes!$A$2:$N$4,10,FALSE())</f>
        <v/>
      </c>
      <c r="K281" s="68">
        <f>VLOOKUP(C281,Recipes!$A$2:$N$4,12,FALSE())</f>
        <v/>
      </c>
      <c r="L281" s="67">
        <f>J281-6*K281</f>
        <v/>
      </c>
      <c r="M281" s="67">
        <f>J281+6*K281</f>
        <v/>
      </c>
      <c r="N281" s="61">
        <f>IF(G281="","",IF(AND(G281&gt;=L281,G281&lt;=M281),"OK","NG"))</f>
        <v/>
      </c>
      <c r="O281" s="69">
        <f>IF(N281="","",IF(N281=D281,1,0))</f>
        <v/>
      </c>
      <c r="P281" s="67">
        <f>IF(G281="","",J281-G281)</f>
        <v/>
      </c>
      <c r="Q281" s="67">
        <f>IF(G281="","",ABS(P281-Components!$D$2))</f>
        <v/>
      </c>
      <c r="R281" s="67">
        <f>IF(G281="","",ABS(P281-Components!$D$3))</f>
        <v/>
      </c>
      <c r="S281" s="67">
        <f>IF(G281="","",ABS(P281-Components!$D$4))</f>
        <v/>
      </c>
      <c r="T281" s="67">
        <f>IF(G281="","",ABS(P281-Components!$D$5))</f>
        <v/>
      </c>
      <c r="U281" s="67">
        <f>IF(G281="","",ABS(P281-Components!$D$6))</f>
        <v/>
      </c>
      <c r="V281" s="67">
        <f>IF(G281="","",ABS(P281-Components!$D$7))</f>
        <v/>
      </c>
      <c r="W281" s="61">
        <f>IF(G281="","",IF(N281="OK","NONE",INDEX({"S1","S2","W1","W2","N1","N2"},MATCH(MIN(Q281:V281),Q281:V281,0))))</f>
        <v/>
      </c>
      <c r="X281" s="69">
        <f>IF(G281="","",IF(W281=E281,1,0))</f>
        <v/>
      </c>
      <c r="Y281" s="70" t="n"/>
    </row>
    <row r="282">
      <c r="A282" s="61" t="n">
        <v>41</v>
      </c>
      <c r="B282" s="62" t="n">
        <v>3</v>
      </c>
      <c r="C282" s="61" t="inlineStr">
        <is>
          <t>R6</t>
        </is>
      </c>
      <c r="D282" s="63" t="inlineStr">
        <is>
          <t>OK</t>
        </is>
      </c>
      <c r="E282" s="61" t="inlineStr">
        <is>
          <t>NONE</t>
        </is>
      </c>
      <c r="F282" s="61" t="inlineStr">
        <is>
          <t>K041</t>
        </is>
      </c>
      <c r="G282" s="75" t="n">
        <v>8.57</v>
      </c>
      <c r="H282" s="65" t="n"/>
      <c r="I282" s="66" t="n"/>
      <c r="J282" s="67">
        <f>VLOOKUP(C282,Recipes!$A$2:$N$4,10,FALSE())</f>
        <v/>
      </c>
      <c r="K282" s="68">
        <f>VLOOKUP(C282,Recipes!$A$2:$N$4,12,FALSE())</f>
        <v/>
      </c>
      <c r="L282" s="67">
        <f>J282-6*K282</f>
        <v/>
      </c>
      <c r="M282" s="67">
        <f>J282+6*K282</f>
        <v/>
      </c>
      <c r="N282" s="61">
        <f>IF(G282="","",IF(AND(G282&gt;=L282,G282&lt;=M282),"OK","NG"))</f>
        <v/>
      </c>
      <c r="O282" s="69">
        <f>IF(N282="","",IF(N282=D282,1,0))</f>
        <v/>
      </c>
      <c r="P282" s="67">
        <f>IF(G282="","",J282-G282)</f>
        <v/>
      </c>
      <c r="Q282" s="67">
        <f>IF(G282="","",ABS(P282-Components!$D$2))</f>
        <v/>
      </c>
      <c r="R282" s="67">
        <f>IF(G282="","",ABS(P282-Components!$D$3))</f>
        <v/>
      </c>
      <c r="S282" s="67">
        <f>IF(G282="","",ABS(P282-Components!$D$4))</f>
        <v/>
      </c>
      <c r="T282" s="67">
        <f>IF(G282="","",ABS(P282-Components!$D$5))</f>
        <v/>
      </c>
      <c r="U282" s="67">
        <f>IF(G282="","",ABS(P282-Components!$D$6))</f>
        <v/>
      </c>
      <c r="V282" s="67">
        <f>IF(G282="","",ABS(P282-Components!$D$7))</f>
        <v/>
      </c>
      <c r="W282" s="61">
        <f>IF(G282="","",IF(N282="OK","NONE",INDEX({"S1","S2","W1","W2","N1","N2"},MATCH(MIN(Q282:V282),Q282:V282,0))))</f>
        <v/>
      </c>
      <c r="X282" s="69">
        <f>IF(G282="","",IF(W282=E282,1,0))</f>
        <v/>
      </c>
      <c r="Y282" s="70" t="n"/>
    </row>
    <row r="283">
      <c r="A283" s="61" t="n">
        <v>41</v>
      </c>
      <c r="B283" s="62" t="n">
        <v>3</v>
      </c>
      <c r="C283" s="61" t="inlineStr">
        <is>
          <t>R6</t>
        </is>
      </c>
      <c r="D283" s="63" t="inlineStr">
        <is>
          <t>OK</t>
        </is>
      </c>
      <c r="E283" s="61" t="inlineStr">
        <is>
          <t>NONE</t>
        </is>
      </c>
      <c r="F283" s="61" t="inlineStr">
        <is>
          <t>K041</t>
        </is>
      </c>
      <c r="G283" s="75" t="n">
        <v>8.529999999999999</v>
      </c>
      <c r="H283" s="65" t="n"/>
      <c r="I283" s="66" t="n"/>
      <c r="J283" s="67">
        <f>VLOOKUP(C283,Recipes!$A$2:$N$4,10,FALSE())</f>
        <v/>
      </c>
      <c r="K283" s="68">
        <f>VLOOKUP(C283,Recipes!$A$2:$N$4,12,FALSE())</f>
        <v/>
      </c>
      <c r="L283" s="67">
        <f>J283-6*K283</f>
        <v/>
      </c>
      <c r="M283" s="67">
        <f>J283+6*K283</f>
        <v/>
      </c>
      <c r="N283" s="61">
        <f>IF(G283="","",IF(AND(G283&gt;=L283,G283&lt;=M283),"OK","NG"))</f>
        <v/>
      </c>
      <c r="O283" s="69">
        <f>IF(N283="","",IF(N283=D283,1,0))</f>
        <v/>
      </c>
      <c r="P283" s="67">
        <f>IF(G283="","",J283-G283)</f>
        <v/>
      </c>
      <c r="Q283" s="67">
        <f>IF(G283="","",ABS(P283-Components!$D$2))</f>
        <v/>
      </c>
      <c r="R283" s="67">
        <f>IF(G283="","",ABS(P283-Components!$D$3))</f>
        <v/>
      </c>
      <c r="S283" s="67">
        <f>IF(G283="","",ABS(P283-Components!$D$4))</f>
        <v/>
      </c>
      <c r="T283" s="67">
        <f>IF(G283="","",ABS(P283-Components!$D$5))</f>
        <v/>
      </c>
      <c r="U283" s="67">
        <f>IF(G283="","",ABS(P283-Components!$D$6))</f>
        <v/>
      </c>
      <c r="V283" s="67">
        <f>IF(G283="","",ABS(P283-Components!$D$7))</f>
        <v/>
      </c>
      <c r="W283" s="61">
        <f>IF(G283="","",IF(N283="OK","NONE",INDEX({"S1","S2","W1","W2","N1","N2"},MATCH(MIN(Q283:V283),Q283:V283,0))))</f>
        <v/>
      </c>
      <c r="X283" s="69">
        <f>IF(G283="","",IF(W283=E283,1,0))</f>
        <v/>
      </c>
      <c r="Y283" s="70" t="n"/>
    </row>
    <row r="284">
      <c r="A284" s="61" t="n">
        <v>41</v>
      </c>
      <c r="B284" s="62" t="n">
        <v>3</v>
      </c>
      <c r="C284" s="61" t="inlineStr">
        <is>
          <t>R6</t>
        </is>
      </c>
      <c r="D284" s="63" t="inlineStr">
        <is>
          <t>OK</t>
        </is>
      </c>
      <c r="E284" s="61" t="inlineStr">
        <is>
          <t>NONE</t>
        </is>
      </c>
      <c r="F284" s="61" t="inlineStr">
        <is>
          <t>K041</t>
        </is>
      </c>
      <c r="G284" s="75" t="n">
        <v>8.640000000000001</v>
      </c>
      <c r="H284" s="65" t="n"/>
      <c r="I284" s="66" t="n"/>
      <c r="J284" s="67">
        <f>VLOOKUP(C284,Recipes!$A$2:$N$4,10,FALSE())</f>
        <v/>
      </c>
      <c r="K284" s="68">
        <f>VLOOKUP(C284,Recipes!$A$2:$N$4,12,FALSE())</f>
        <v/>
      </c>
      <c r="L284" s="67">
        <f>J284-6*K284</f>
        <v/>
      </c>
      <c r="M284" s="67">
        <f>J284+6*K284</f>
        <v/>
      </c>
      <c r="N284" s="61">
        <f>IF(G284="","",IF(AND(G284&gt;=L284,G284&lt;=M284),"OK","NG"))</f>
        <v/>
      </c>
      <c r="O284" s="69">
        <f>IF(N284="","",IF(N284=D284,1,0))</f>
        <v/>
      </c>
      <c r="P284" s="67">
        <f>IF(G284="","",J284-G284)</f>
        <v/>
      </c>
      <c r="Q284" s="67">
        <f>IF(G284="","",ABS(P284-Components!$D$2))</f>
        <v/>
      </c>
      <c r="R284" s="67">
        <f>IF(G284="","",ABS(P284-Components!$D$3))</f>
        <v/>
      </c>
      <c r="S284" s="67">
        <f>IF(G284="","",ABS(P284-Components!$D$4))</f>
        <v/>
      </c>
      <c r="T284" s="67">
        <f>IF(G284="","",ABS(P284-Components!$D$5))</f>
        <v/>
      </c>
      <c r="U284" s="67">
        <f>IF(G284="","",ABS(P284-Components!$D$6))</f>
        <v/>
      </c>
      <c r="V284" s="67">
        <f>IF(G284="","",ABS(P284-Components!$D$7))</f>
        <v/>
      </c>
      <c r="W284" s="61">
        <f>IF(G284="","",IF(N284="OK","NONE",INDEX({"S1","S2","W1","W2","N1","N2"},MATCH(MIN(Q284:V284),Q284:V284,0))))</f>
        <v/>
      </c>
      <c r="X284" s="69">
        <f>IF(G284="","",IF(W284=E284,1,0))</f>
        <v/>
      </c>
      <c r="Y284" s="70" t="n"/>
    </row>
    <row r="285">
      <c r="A285" s="61" t="n">
        <v>41</v>
      </c>
      <c r="B285" s="62" t="n">
        <v>3</v>
      </c>
      <c r="C285" s="61" t="inlineStr">
        <is>
          <t>R6</t>
        </is>
      </c>
      <c r="D285" s="63" t="inlineStr">
        <is>
          <t>OK</t>
        </is>
      </c>
      <c r="E285" s="61" t="inlineStr">
        <is>
          <t>NONE</t>
        </is>
      </c>
      <c r="F285" s="61" t="inlineStr">
        <is>
          <t>K041</t>
        </is>
      </c>
      <c r="G285" s="75" t="n">
        <v>8.57</v>
      </c>
      <c r="H285" s="65" t="n"/>
      <c r="I285" s="66" t="n"/>
      <c r="J285" s="67">
        <f>VLOOKUP(C285,Recipes!$A$2:$N$4,10,FALSE())</f>
        <v/>
      </c>
      <c r="K285" s="68">
        <f>VLOOKUP(C285,Recipes!$A$2:$N$4,12,FALSE())</f>
        <v/>
      </c>
      <c r="L285" s="67">
        <f>J285-6*K285</f>
        <v/>
      </c>
      <c r="M285" s="67">
        <f>J285+6*K285</f>
        <v/>
      </c>
      <c r="N285" s="61">
        <f>IF(G285="","",IF(AND(G285&gt;=L285,G285&lt;=M285),"OK","NG"))</f>
        <v/>
      </c>
      <c r="O285" s="69">
        <f>IF(N285="","",IF(N285=D285,1,0))</f>
        <v/>
      </c>
      <c r="P285" s="67">
        <f>IF(G285="","",J285-G285)</f>
        <v/>
      </c>
      <c r="Q285" s="67">
        <f>IF(G285="","",ABS(P285-Components!$D$2))</f>
        <v/>
      </c>
      <c r="R285" s="67">
        <f>IF(G285="","",ABS(P285-Components!$D$3))</f>
        <v/>
      </c>
      <c r="S285" s="67">
        <f>IF(G285="","",ABS(P285-Components!$D$4))</f>
        <v/>
      </c>
      <c r="T285" s="67">
        <f>IF(G285="","",ABS(P285-Components!$D$5))</f>
        <v/>
      </c>
      <c r="U285" s="67">
        <f>IF(G285="","",ABS(P285-Components!$D$6))</f>
        <v/>
      </c>
      <c r="V285" s="67">
        <f>IF(G285="","",ABS(P285-Components!$D$7))</f>
        <v/>
      </c>
      <c r="W285" s="61">
        <f>IF(G285="","",IF(N285="OK","NONE",INDEX({"S1","S2","W1","W2","N1","N2"},MATCH(MIN(Q285:V285),Q285:V285,0))))</f>
        <v/>
      </c>
      <c r="X285" s="69">
        <f>IF(G285="","",IF(W285=E285,1,0))</f>
        <v/>
      </c>
      <c r="Y285" s="70" t="n"/>
    </row>
    <row r="286">
      <c r="A286" s="61" t="n">
        <v>41</v>
      </c>
      <c r="B286" s="62" t="n">
        <v>3</v>
      </c>
      <c r="C286" s="61" t="inlineStr">
        <is>
          <t>R6</t>
        </is>
      </c>
      <c r="D286" s="63" t="inlineStr">
        <is>
          <t>OK</t>
        </is>
      </c>
      <c r="E286" s="61" t="inlineStr">
        <is>
          <t>NONE</t>
        </is>
      </c>
      <c r="F286" s="61" t="inlineStr">
        <is>
          <t>K041</t>
        </is>
      </c>
      <c r="G286" s="75" t="n">
        <v>8.58</v>
      </c>
      <c r="H286" s="65" t="n"/>
      <c r="I286" s="66" t="n"/>
      <c r="J286" s="67">
        <f>VLOOKUP(C286,Recipes!$A$2:$N$4,10,FALSE())</f>
        <v/>
      </c>
      <c r="K286" s="68">
        <f>VLOOKUP(C286,Recipes!$A$2:$N$4,12,FALSE())</f>
        <v/>
      </c>
      <c r="L286" s="67">
        <f>J286-6*K286</f>
        <v/>
      </c>
      <c r="M286" s="67">
        <f>J286+6*K286</f>
        <v/>
      </c>
      <c r="N286" s="61">
        <f>IF(G286="","",IF(AND(G286&gt;=L286,G286&lt;=M286),"OK","NG"))</f>
        <v/>
      </c>
      <c r="O286" s="69">
        <f>IF(N286="","",IF(N286=D286,1,0))</f>
        <v/>
      </c>
      <c r="P286" s="67">
        <f>IF(G286="","",J286-G286)</f>
        <v/>
      </c>
      <c r="Q286" s="67">
        <f>IF(G286="","",ABS(P286-Components!$D$2))</f>
        <v/>
      </c>
      <c r="R286" s="67">
        <f>IF(G286="","",ABS(P286-Components!$D$3))</f>
        <v/>
      </c>
      <c r="S286" s="67">
        <f>IF(G286="","",ABS(P286-Components!$D$4))</f>
        <v/>
      </c>
      <c r="T286" s="67">
        <f>IF(G286="","",ABS(P286-Components!$D$5))</f>
        <v/>
      </c>
      <c r="U286" s="67">
        <f>IF(G286="","",ABS(P286-Components!$D$6))</f>
        <v/>
      </c>
      <c r="V286" s="67">
        <f>IF(G286="","",ABS(P286-Components!$D$7))</f>
        <v/>
      </c>
      <c r="W286" s="61">
        <f>IF(G286="","",IF(N286="OK","NONE",INDEX({"S1","S2","W1","W2","N1","N2"},MATCH(MIN(Q286:V286),Q286:V286,0))))</f>
        <v/>
      </c>
      <c r="X286" s="69">
        <f>IF(G286="","",IF(W286=E286,1,0))</f>
        <v/>
      </c>
      <c r="Y286" s="70" t="n"/>
    </row>
    <row r="287">
      <c r="A287" s="61" t="n">
        <v>41</v>
      </c>
      <c r="B287" s="62" t="n">
        <v>3</v>
      </c>
      <c r="C287" s="61" t="inlineStr">
        <is>
          <t>R6</t>
        </is>
      </c>
      <c r="D287" s="63" t="inlineStr">
        <is>
          <t>OK</t>
        </is>
      </c>
      <c r="E287" s="61" t="inlineStr">
        <is>
          <t>NONE</t>
        </is>
      </c>
      <c r="F287" s="61" t="inlineStr">
        <is>
          <t>K041</t>
        </is>
      </c>
      <c r="G287" s="75" t="n">
        <v>8.630000000000001</v>
      </c>
      <c r="H287" s="65" t="n"/>
      <c r="I287" s="66" t="n"/>
      <c r="J287" s="67">
        <f>VLOOKUP(C287,Recipes!$A$2:$N$4,10,FALSE())</f>
        <v/>
      </c>
      <c r="K287" s="68">
        <f>VLOOKUP(C287,Recipes!$A$2:$N$4,12,FALSE())</f>
        <v/>
      </c>
      <c r="L287" s="67">
        <f>J287-6*K287</f>
        <v/>
      </c>
      <c r="M287" s="67">
        <f>J287+6*K287</f>
        <v/>
      </c>
      <c r="N287" s="61">
        <f>IF(G287="","",IF(AND(G287&gt;=L287,G287&lt;=M287),"OK","NG"))</f>
        <v/>
      </c>
      <c r="O287" s="69">
        <f>IF(N287="","",IF(N287=D287,1,0))</f>
        <v/>
      </c>
      <c r="P287" s="67">
        <f>IF(G287="","",J287-G287)</f>
        <v/>
      </c>
      <c r="Q287" s="67">
        <f>IF(G287="","",ABS(P287-Components!$D$2))</f>
        <v/>
      </c>
      <c r="R287" s="67">
        <f>IF(G287="","",ABS(P287-Components!$D$3))</f>
        <v/>
      </c>
      <c r="S287" s="67">
        <f>IF(G287="","",ABS(P287-Components!$D$4))</f>
        <v/>
      </c>
      <c r="T287" s="67">
        <f>IF(G287="","",ABS(P287-Components!$D$5))</f>
        <v/>
      </c>
      <c r="U287" s="67">
        <f>IF(G287="","",ABS(P287-Components!$D$6))</f>
        <v/>
      </c>
      <c r="V287" s="67">
        <f>IF(G287="","",ABS(P287-Components!$D$7))</f>
        <v/>
      </c>
      <c r="W287" s="61">
        <f>IF(G287="","",IF(N287="OK","NONE",INDEX({"S1","S2","W1","W2","N1","N2"},MATCH(MIN(Q287:V287),Q287:V287,0))))</f>
        <v/>
      </c>
      <c r="X287" s="69">
        <f>IF(G287="","",IF(W287=E287,1,0))</f>
        <v/>
      </c>
      <c r="Y287" s="70" t="n"/>
    </row>
    <row r="288">
      <c r="A288" s="61" t="n">
        <v>41</v>
      </c>
      <c r="B288" s="62" t="n">
        <v>3</v>
      </c>
      <c r="C288" s="61" t="inlineStr">
        <is>
          <t>R6</t>
        </is>
      </c>
      <c r="D288" s="63" t="inlineStr">
        <is>
          <t>OK</t>
        </is>
      </c>
      <c r="E288" s="61" t="inlineStr">
        <is>
          <t>NONE</t>
        </is>
      </c>
      <c r="F288" s="61" t="inlineStr">
        <is>
          <t>K041</t>
        </is>
      </c>
      <c r="G288" s="75" t="n">
        <v>8.6</v>
      </c>
      <c r="H288" s="65" t="n"/>
      <c r="I288" s="66" t="n"/>
      <c r="J288" s="67">
        <f>VLOOKUP(C288,Recipes!$A$2:$N$4,10,FALSE())</f>
        <v/>
      </c>
      <c r="K288" s="68">
        <f>VLOOKUP(C288,Recipes!$A$2:$N$4,12,FALSE())</f>
        <v/>
      </c>
      <c r="L288" s="67">
        <f>J288-6*K288</f>
        <v/>
      </c>
      <c r="M288" s="67">
        <f>J288+6*K288</f>
        <v/>
      </c>
      <c r="N288" s="61">
        <f>IF(G288="","",IF(AND(G288&gt;=L288,G288&lt;=M288),"OK","NG"))</f>
        <v/>
      </c>
      <c r="O288" s="69">
        <f>IF(N288="","",IF(N288=D288,1,0))</f>
        <v/>
      </c>
      <c r="P288" s="67">
        <f>IF(G288="","",J288-G288)</f>
        <v/>
      </c>
      <c r="Q288" s="67">
        <f>IF(G288="","",ABS(P288-Components!$D$2))</f>
        <v/>
      </c>
      <c r="R288" s="67">
        <f>IF(G288="","",ABS(P288-Components!$D$3))</f>
        <v/>
      </c>
      <c r="S288" s="67">
        <f>IF(G288="","",ABS(P288-Components!$D$4))</f>
        <v/>
      </c>
      <c r="T288" s="67">
        <f>IF(G288="","",ABS(P288-Components!$D$5))</f>
        <v/>
      </c>
      <c r="U288" s="67">
        <f>IF(G288="","",ABS(P288-Components!$D$6))</f>
        <v/>
      </c>
      <c r="V288" s="67">
        <f>IF(G288="","",ABS(P288-Components!$D$7))</f>
        <v/>
      </c>
      <c r="W288" s="61">
        <f>IF(G288="","",IF(N288="OK","NONE",INDEX({"S1","S2","W1","W2","N1","N2"},MATCH(MIN(Q288:V288),Q288:V288,0))))</f>
        <v/>
      </c>
      <c r="X288" s="69">
        <f>IF(G288="","",IF(W288=E288,1,0))</f>
        <v/>
      </c>
      <c r="Y288" s="70" t="n"/>
    </row>
    <row r="289">
      <c r="A289" s="61" t="n">
        <v>41</v>
      </c>
      <c r="B289" s="62" t="n">
        <v>3</v>
      </c>
      <c r="C289" s="61" t="inlineStr">
        <is>
          <t>R6</t>
        </is>
      </c>
      <c r="D289" s="63" t="inlineStr">
        <is>
          <t>OK</t>
        </is>
      </c>
      <c r="E289" s="61" t="inlineStr">
        <is>
          <t>NONE</t>
        </is>
      </c>
      <c r="F289" s="61" t="inlineStr">
        <is>
          <t>K041</t>
        </is>
      </c>
      <c r="G289" s="75" t="n">
        <v>8.619999999999999</v>
      </c>
      <c r="H289" s="65" t="n"/>
      <c r="I289" s="66" t="n"/>
      <c r="J289" s="67">
        <f>VLOOKUP(C289,Recipes!$A$2:$N$4,10,FALSE())</f>
        <v/>
      </c>
      <c r="K289" s="68">
        <f>VLOOKUP(C289,Recipes!$A$2:$N$4,12,FALSE())</f>
        <v/>
      </c>
      <c r="L289" s="67">
        <f>J289-6*K289</f>
        <v/>
      </c>
      <c r="M289" s="67">
        <f>J289+6*K289</f>
        <v/>
      </c>
      <c r="N289" s="61">
        <f>IF(G289="","",IF(AND(G289&gt;=L289,G289&lt;=M289),"OK","NG"))</f>
        <v/>
      </c>
      <c r="O289" s="69">
        <f>IF(N289="","",IF(N289=D289,1,0))</f>
        <v/>
      </c>
      <c r="P289" s="67">
        <f>IF(G289="","",J289-G289)</f>
        <v/>
      </c>
      <c r="Q289" s="67">
        <f>IF(G289="","",ABS(P289-Components!$D$2))</f>
        <v/>
      </c>
      <c r="R289" s="67">
        <f>IF(G289="","",ABS(P289-Components!$D$3))</f>
        <v/>
      </c>
      <c r="S289" s="67">
        <f>IF(G289="","",ABS(P289-Components!$D$4))</f>
        <v/>
      </c>
      <c r="T289" s="67">
        <f>IF(G289="","",ABS(P289-Components!$D$5))</f>
        <v/>
      </c>
      <c r="U289" s="67">
        <f>IF(G289="","",ABS(P289-Components!$D$6))</f>
        <v/>
      </c>
      <c r="V289" s="67">
        <f>IF(G289="","",ABS(P289-Components!$D$7))</f>
        <v/>
      </c>
      <c r="W289" s="61">
        <f>IF(G289="","",IF(N289="OK","NONE",INDEX({"S1","S2","W1","W2","N1","N2"},MATCH(MIN(Q289:V289),Q289:V289,0))))</f>
        <v/>
      </c>
      <c r="X289" s="69">
        <f>IF(G289="","",IF(W289=E289,1,0))</f>
        <v/>
      </c>
      <c r="Y289" s="70" t="n"/>
    </row>
    <row r="290">
      <c r="A290" s="61" t="n">
        <v>41</v>
      </c>
      <c r="B290" s="62" t="n">
        <v>3</v>
      </c>
      <c r="C290" s="61" t="inlineStr">
        <is>
          <t>R6</t>
        </is>
      </c>
      <c r="D290" s="63" t="inlineStr">
        <is>
          <t>OK</t>
        </is>
      </c>
      <c r="E290" s="61" t="inlineStr">
        <is>
          <t>NONE</t>
        </is>
      </c>
      <c r="F290" s="61" t="inlineStr">
        <is>
          <t>K041</t>
        </is>
      </c>
      <c r="G290" s="75" t="n">
        <v>8.41</v>
      </c>
      <c r="H290" s="65" t="n"/>
      <c r="I290" s="66" t="n"/>
      <c r="J290" s="67">
        <f>VLOOKUP(C290,Recipes!$A$2:$N$4,10,FALSE())</f>
        <v/>
      </c>
      <c r="K290" s="68">
        <f>VLOOKUP(C290,Recipes!$A$2:$N$4,12,FALSE())</f>
        <v/>
      </c>
      <c r="L290" s="67">
        <f>J290-6*K290</f>
        <v/>
      </c>
      <c r="M290" s="67">
        <f>J290+6*K290</f>
        <v/>
      </c>
      <c r="N290" s="61">
        <f>IF(G290="","",IF(AND(G290&gt;=L290,G290&lt;=M290),"OK","NG"))</f>
        <v/>
      </c>
      <c r="O290" s="69">
        <f>IF(N290="","",IF(N290=D290,1,0))</f>
        <v/>
      </c>
      <c r="P290" s="67">
        <f>IF(G290="","",J290-G290)</f>
        <v/>
      </c>
      <c r="Q290" s="67">
        <f>IF(G290="","",ABS(P290-Components!$D$2))</f>
        <v/>
      </c>
      <c r="R290" s="67">
        <f>IF(G290="","",ABS(P290-Components!$D$3))</f>
        <v/>
      </c>
      <c r="S290" s="67">
        <f>IF(G290="","",ABS(P290-Components!$D$4))</f>
        <v/>
      </c>
      <c r="T290" s="67">
        <f>IF(G290="","",ABS(P290-Components!$D$5))</f>
        <v/>
      </c>
      <c r="U290" s="67">
        <f>IF(G290="","",ABS(P290-Components!$D$6))</f>
        <v/>
      </c>
      <c r="V290" s="67">
        <f>IF(G290="","",ABS(P290-Components!$D$7))</f>
        <v/>
      </c>
      <c r="W290" s="61">
        <f>IF(G290="","",IF(N290="OK","NONE",INDEX({"S1","S2","W1","W2","N1","N2"},MATCH(MIN(Q290:V290),Q290:V290,0))))</f>
        <v/>
      </c>
      <c r="X290" s="69">
        <f>IF(G290="","",IF(W290=E290,1,0))</f>
        <v/>
      </c>
      <c r="Y290" s="70" t="n"/>
    </row>
    <row r="291">
      <c r="A291" s="61" t="n">
        <v>41</v>
      </c>
      <c r="B291" s="62" t="n">
        <v>3</v>
      </c>
      <c r="C291" s="61" t="inlineStr">
        <is>
          <t>R6</t>
        </is>
      </c>
      <c r="D291" s="63" t="inlineStr">
        <is>
          <t>OK</t>
        </is>
      </c>
      <c r="E291" s="61" t="inlineStr">
        <is>
          <t>NONE</t>
        </is>
      </c>
      <c r="F291" s="61" t="inlineStr">
        <is>
          <t>K041</t>
        </is>
      </c>
      <c r="G291" s="75" t="n">
        <v>8.609999999999999</v>
      </c>
      <c r="H291" s="65" t="n"/>
      <c r="I291" s="66" t="n"/>
      <c r="J291" s="67">
        <f>VLOOKUP(C291,Recipes!$A$2:$N$4,10,FALSE())</f>
        <v/>
      </c>
      <c r="K291" s="68">
        <f>VLOOKUP(C291,Recipes!$A$2:$N$4,12,FALSE())</f>
        <v/>
      </c>
      <c r="L291" s="67">
        <f>J291-6*K291</f>
        <v/>
      </c>
      <c r="M291" s="67">
        <f>J291+6*K291</f>
        <v/>
      </c>
      <c r="N291" s="61">
        <f>IF(G291="","",IF(AND(G291&gt;=L291,G291&lt;=M291),"OK","NG"))</f>
        <v/>
      </c>
      <c r="O291" s="69">
        <f>IF(N291="","",IF(N291=D291,1,0))</f>
        <v/>
      </c>
      <c r="P291" s="67">
        <f>IF(G291="","",J291-G291)</f>
        <v/>
      </c>
      <c r="Q291" s="67">
        <f>IF(G291="","",ABS(P291-Components!$D$2))</f>
        <v/>
      </c>
      <c r="R291" s="67">
        <f>IF(G291="","",ABS(P291-Components!$D$3))</f>
        <v/>
      </c>
      <c r="S291" s="67">
        <f>IF(G291="","",ABS(P291-Components!$D$4))</f>
        <v/>
      </c>
      <c r="T291" s="67">
        <f>IF(G291="","",ABS(P291-Components!$D$5))</f>
        <v/>
      </c>
      <c r="U291" s="67">
        <f>IF(G291="","",ABS(P291-Components!$D$6))</f>
        <v/>
      </c>
      <c r="V291" s="67">
        <f>IF(G291="","",ABS(P291-Components!$D$7))</f>
        <v/>
      </c>
      <c r="W291" s="61">
        <f>IF(G291="","",IF(N291="OK","NONE",INDEX({"S1","S2","W1","W2","N1","N2"},MATCH(MIN(Q291:V291),Q291:V291,0))))</f>
        <v/>
      </c>
      <c r="X291" s="69">
        <f>IF(G291="","",IF(W291=E291,1,0))</f>
        <v/>
      </c>
      <c r="Y291" s="70" t="n"/>
    </row>
    <row r="292">
      <c r="A292" s="61" t="n">
        <v>41</v>
      </c>
      <c r="B292" s="62" t="n">
        <v>3</v>
      </c>
      <c r="C292" s="61" t="inlineStr">
        <is>
          <t>R6</t>
        </is>
      </c>
      <c r="D292" s="63" t="inlineStr">
        <is>
          <t>OK</t>
        </is>
      </c>
      <c r="E292" s="61" t="inlineStr">
        <is>
          <t>NONE</t>
        </is>
      </c>
      <c r="F292" s="61" t="inlineStr">
        <is>
          <t>K041</t>
        </is>
      </c>
      <c r="G292" s="75" t="n">
        <v>8.609999999999999</v>
      </c>
      <c r="H292" s="65" t="n"/>
      <c r="I292" s="66" t="n"/>
      <c r="J292" s="67">
        <f>VLOOKUP(C292,Recipes!$A$2:$N$4,10,FALSE())</f>
        <v/>
      </c>
      <c r="K292" s="68">
        <f>VLOOKUP(C292,Recipes!$A$2:$N$4,12,FALSE())</f>
        <v/>
      </c>
      <c r="L292" s="67">
        <f>J292-6*K292</f>
        <v/>
      </c>
      <c r="M292" s="67">
        <f>J292+6*K292</f>
        <v/>
      </c>
      <c r="N292" s="61">
        <f>IF(G292="","",IF(AND(G292&gt;=L292,G292&lt;=M292),"OK","NG"))</f>
        <v/>
      </c>
      <c r="O292" s="69">
        <f>IF(N292="","",IF(N292=D292,1,0))</f>
        <v/>
      </c>
      <c r="P292" s="67">
        <f>IF(G292="","",J292-G292)</f>
        <v/>
      </c>
      <c r="Q292" s="67">
        <f>IF(G292="","",ABS(P292-Components!$D$2))</f>
        <v/>
      </c>
      <c r="R292" s="67">
        <f>IF(G292="","",ABS(P292-Components!$D$3))</f>
        <v/>
      </c>
      <c r="S292" s="67">
        <f>IF(G292="","",ABS(P292-Components!$D$4))</f>
        <v/>
      </c>
      <c r="T292" s="67">
        <f>IF(G292="","",ABS(P292-Components!$D$5))</f>
        <v/>
      </c>
      <c r="U292" s="67">
        <f>IF(G292="","",ABS(P292-Components!$D$6))</f>
        <v/>
      </c>
      <c r="V292" s="67">
        <f>IF(G292="","",ABS(P292-Components!$D$7))</f>
        <v/>
      </c>
      <c r="W292" s="61">
        <f>IF(G292="","",IF(N292="OK","NONE",INDEX({"S1","S2","W1","W2","N1","N2"},MATCH(MIN(Q292:V292),Q292:V292,0))))</f>
        <v/>
      </c>
      <c r="X292" s="69">
        <f>IF(G292="","",IF(W292=E292,1,0))</f>
        <v/>
      </c>
      <c r="Y292" s="70" t="n"/>
    </row>
    <row r="293">
      <c r="A293" s="61" t="n">
        <v>41</v>
      </c>
      <c r="B293" s="62" t="n">
        <v>3</v>
      </c>
      <c r="C293" s="61" t="inlineStr">
        <is>
          <t>R6</t>
        </is>
      </c>
      <c r="D293" s="63" t="inlineStr">
        <is>
          <t>OK</t>
        </is>
      </c>
      <c r="E293" s="61" t="inlineStr">
        <is>
          <t>NONE</t>
        </is>
      </c>
      <c r="F293" s="61" t="inlineStr">
        <is>
          <t>K041</t>
        </is>
      </c>
      <c r="G293" s="75" t="n">
        <v>8.539999999999999</v>
      </c>
      <c r="H293" s="65" t="n"/>
      <c r="I293" s="66" t="n"/>
      <c r="J293" s="67">
        <f>VLOOKUP(C293,Recipes!$A$2:$N$4,10,FALSE())</f>
        <v/>
      </c>
      <c r="K293" s="68">
        <f>VLOOKUP(C293,Recipes!$A$2:$N$4,12,FALSE())</f>
        <v/>
      </c>
      <c r="L293" s="67">
        <f>J293-6*K293</f>
        <v/>
      </c>
      <c r="M293" s="67">
        <f>J293+6*K293</f>
        <v/>
      </c>
      <c r="N293" s="61">
        <f>IF(G293="","",IF(AND(G293&gt;=L293,G293&lt;=M293),"OK","NG"))</f>
        <v/>
      </c>
      <c r="O293" s="69">
        <f>IF(N293="","",IF(N293=D293,1,0))</f>
        <v/>
      </c>
      <c r="P293" s="67">
        <f>IF(G293="","",J293-G293)</f>
        <v/>
      </c>
      <c r="Q293" s="67">
        <f>IF(G293="","",ABS(P293-Components!$D$2))</f>
        <v/>
      </c>
      <c r="R293" s="67">
        <f>IF(G293="","",ABS(P293-Components!$D$3))</f>
        <v/>
      </c>
      <c r="S293" s="67">
        <f>IF(G293="","",ABS(P293-Components!$D$4))</f>
        <v/>
      </c>
      <c r="T293" s="67">
        <f>IF(G293="","",ABS(P293-Components!$D$5))</f>
        <v/>
      </c>
      <c r="U293" s="67">
        <f>IF(G293="","",ABS(P293-Components!$D$6))</f>
        <v/>
      </c>
      <c r="V293" s="67">
        <f>IF(G293="","",ABS(P293-Components!$D$7))</f>
        <v/>
      </c>
      <c r="W293" s="61">
        <f>IF(G293="","",IF(N293="OK","NONE",INDEX({"S1","S2","W1","W2","N1","N2"},MATCH(MIN(Q293:V293),Q293:V293,0))))</f>
        <v/>
      </c>
      <c r="X293" s="69">
        <f>IF(G293="","",IF(W293=E293,1,0))</f>
        <v/>
      </c>
      <c r="Y293" s="70" t="n"/>
    </row>
    <row r="294">
      <c r="A294" s="61" t="n">
        <v>41</v>
      </c>
      <c r="B294" s="62" t="n">
        <v>3</v>
      </c>
      <c r="C294" s="61" t="inlineStr">
        <is>
          <t>R6</t>
        </is>
      </c>
      <c r="D294" s="63" t="inlineStr">
        <is>
          <t>OK</t>
        </is>
      </c>
      <c r="E294" s="61" t="inlineStr">
        <is>
          <t>NONE</t>
        </is>
      </c>
      <c r="F294" s="61" t="inlineStr">
        <is>
          <t>K041</t>
        </is>
      </c>
      <c r="G294" s="75" t="n">
        <v>8.59</v>
      </c>
      <c r="H294" s="65" t="n"/>
      <c r="I294" s="66" t="n"/>
      <c r="J294" s="67">
        <f>VLOOKUP(C294,Recipes!$A$2:$N$4,10,FALSE())</f>
        <v/>
      </c>
      <c r="K294" s="68">
        <f>VLOOKUP(C294,Recipes!$A$2:$N$4,12,FALSE())</f>
        <v/>
      </c>
      <c r="L294" s="67">
        <f>J294-6*K294</f>
        <v/>
      </c>
      <c r="M294" s="67">
        <f>J294+6*K294</f>
        <v/>
      </c>
      <c r="N294" s="61">
        <f>IF(G294="","",IF(AND(G294&gt;=L294,G294&lt;=M294),"OK","NG"))</f>
        <v/>
      </c>
      <c r="O294" s="69">
        <f>IF(N294="","",IF(N294=D294,1,0))</f>
        <v/>
      </c>
      <c r="P294" s="67">
        <f>IF(G294="","",J294-G294)</f>
        <v/>
      </c>
      <c r="Q294" s="67">
        <f>IF(G294="","",ABS(P294-Components!$D$2))</f>
        <v/>
      </c>
      <c r="R294" s="67">
        <f>IF(G294="","",ABS(P294-Components!$D$3))</f>
        <v/>
      </c>
      <c r="S294" s="67">
        <f>IF(G294="","",ABS(P294-Components!$D$4))</f>
        <v/>
      </c>
      <c r="T294" s="67">
        <f>IF(G294="","",ABS(P294-Components!$D$5))</f>
        <v/>
      </c>
      <c r="U294" s="67">
        <f>IF(G294="","",ABS(P294-Components!$D$6))</f>
        <v/>
      </c>
      <c r="V294" s="67">
        <f>IF(G294="","",ABS(P294-Components!$D$7))</f>
        <v/>
      </c>
      <c r="W294" s="61">
        <f>IF(G294="","",IF(N294="OK","NONE",INDEX({"S1","S2","W1","W2","N1","N2"},MATCH(MIN(Q294:V294),Q294:V294,0))))</f>
        <v/>
      </c>
      <c r="X294" s="69">
        <f>IF(G294="","",IF(W294=E294,1,0))</f>
        <v/>
      </c>
      <c r="Y294" s="70" t="n"/>
    </row>
    <row r="295">
      <c r="A295" s="61" t="n">
        <v>41</v>
      </c>
      <c r="B295" s="62" t="n">
        <v>3</v>
      </c>
      <c r="C295" s="61" t="inlineStr">
        <is>
          <t>R6</t>
        </is>
      </c>
      <c r="D295" s="63" t="inlineStr">
        <is>
          <t>OK</t>
        </is>
      </c>
      <c r="E295" s="61" t="inlineStr">
        <is>
          <t>NONE</t>
        </is>
      </c>
      <c r="F295" s="61" t="inlineStr">
        <is>
          <t>K041</t>
        </is>
      </c>
      <c r="G295" s="75" t="n">
        <v>8.640000000000001</v>
      </c>
      <c r="H295" s="65" t="n"/>
      <c r="I295" s="66" t="n"/>
      <c r="J295" s="67">
        <f>VLOOKUP(C295,Recipes!$A$2:$N$4,10,FALSE())</f>
        <v/>
      </c>
      <c r="K295" s="68">
        <f>VLOOKUP(C295,Recipes!$A$2:$N$4,12,FALSE())</f>
        <v/>
      </c>
      <c r="L295" s="67">
        <f>J295-6*K295</f>
        <v/>
      </c>
      <c r="M295" s="67">
        <f>J295+6*K295</f>
        <v/>
      </c>
      <c r="N295" s="61">
        <f>IF(G295="","",IF(AND(G295&gt;=L295,G295&lt;=M295),"OK","NG"))</f>
        <v/>
      </c>
      <c r="O295" s="69">
        <f>IF(N295="","",IF(N295=D295,1,0))</f>
        <v/>
      </c>
      <c r="P295" s="67">
        <f>IF(G295="","",J295-G295)</f>
        <v/>
      </c>
      <c r="Q295" s="67">
        <f>IF(G295="","",ABS(P295-Components!$D$2))</f>
        <v/>
      </c>
      <c r="R295" s="67">
        <f>IF(G295="","",ABS(P295-Components!$D$3))</f>
        <v/>
      </c>
      <c r="S295" s="67">
        <f>IF(G295="","",ABS(P295-Components!$D$4))</f>
        <v/>
      </c>
      <c r="T295" s="67">
        <f>IF(G295="","",ABS(P295-Components!$D$5))</f>
        <v/>
      </c>
      <c r="U295" s="67">
        <f>IF(G295="","",ABS(P295-Components!$D$6))</f>
        <v/>
      </c>
      <c r="V295" s="67">
        <f>IF(G295="","",ABS(P295-Components!$D$7))</f>
        <v/>
      </c>
      <c r="W295" s="61">
        <f>IF(G295="","",IF(N295="OK","NONE",INDEX({"S1","S2","W1","W2","N1","N2"},MATCH(MIN(Q295:V295),Q295:V295,0))))</f>
        <v/>
      </c>
      <c r="X295" s="69">
        <f>IF(G295="","",IF(W295=E295,1,0))</f>
        <v/>
      </c>
      <c r="Y295" s="70" t="n"/>
    </row>
    <row r="296">
      <c r="A296" s="61" t="n">
        <v>41</v>
      </c>
      <c r="B296" s="62" t="n">
        <v>3</v>
      </c>
      <c r="C296" s="61" t="inlineStr">
        <is>
          <t>R6</t>
        </is>
      </c>
      <c r="D296" s="63" t="inlineStr">
        <is>
          <t>OK</t>
        </is>
      </c>
      <c r="E296" s="61" t="inlineStr">
        <is>
          <t>NONE</t>
        </is>
      </c>
      <c r="F296" s="61" t="inlineStr">
        <is>
          <t>K041</t>
        </is>
      </c>
      <c r="G296" s="75" t="n">
        <v>8.640000000000001</v>
      </c>
      <c r="H296" s="65" t="n"/>
      <c r="I296" s="66" t="n"/>
      <c r="J296" s="67">
        <f>VLOOKUP(C296,Recipes!$A$2:$N$4,10,FALSE())</f>
        <v/>
      </c>
      <c r="K296" s="68">
        <f>VLOOKUP(C296,Recipes!$A$2:$N$4,12,FALSE())</f>
        <v/>
      </c>
      <c r="L296" s="67">
        <f>J296-6*K296</f>
        <v/>
      </c>
      <c r="M296" s="67">
        <f>J296+6*K296</f>
        <v/>
      </c>
      <c r="N296" s="61">
        <f>IF(G296="","",IF(AND(G296&gt;=L296,G296&lt;=M296),"OK","NG"))</f>
        <v/>
      </c>
      <c r="O296" s="69">
        <f>IF(N296="","",IF(N296=D296,1,0))</f>
        <v/>
      </c>
      <c r="P296" s="67">
        <f>IF(G296="","",J296-G296)</f>
        <v/>
      </c>
      <c r="Q296" s="67">
        <f>IF(G296="","",ABS(P296-Components!$D$2))</f>
        <v/>
      </c>
      <c r="R296" s="67">
        <f>IF(G296="","",ABS(P296-Components!$D$3))</f>
        <v/>
      </c>
      <c r="S296" s="67">
        <f>IF(G296="","",ABS(P296-Components!$D$4))</f>
        <v/>
      </c>
      <c r="T296" s="67">
        <f>IF(G296="","",ABS(P296-Components!$D$5))</f>
        <v/>
      </c>
      <c r="U296" s="67">
        <f>IF(G296="","",ABS(P296-Components!$D$6))</f>
        <v/>
      </c>
      <c r="V296" s="67">
        <f>IF(G296="","",ABS(P296-Components!$D$7))</f>
        <v/>
      </c>
      <c r="W296" s="61">
        <f>IF(G296="","",IF(N296="OK","NONE",INDEX({"S1","S2","W1","W2","N1","N2"},MATCH(MIN(Q296:V296),Q296:V296,0))))</f>
        <v/>
      </c>
      <c r="X296" s="69">
        <f>IF(G296="","",IF(W296=E296,1,0))</f>
        <v/>
      </c>
      <c r="Y296" s="70" t="n"/>
    </row>
    <row r="297">
      <c r="A297" s="61" t="n">
        <v>41</v>
      </c>
      <c r="B297" s="62" t="n">
        <v>3</v>
      </c>
      <c r="C297" s="61" t="inlineStr">
        <is>
          <t>R6</t>
        </is>
      </c>
      <c r="D297" s="63" t="inlineStr">
        <is>
          <t>OK</t>
        </is>
      </c>
      <c r="E297" s="61" t="inlineStr">
        <is>
          <t>NONE</t>
        </is>
      </c>
      <c r="F297" s="61" t="inlineStr">
        <is>
          <t>K041</t>
        </is>
      </c>
      <c r="G297" s="75" t="n">
        <v>8.68</v>
      </c>
      <c r="H297" s="65" t="n"/>
      <c r="I297" s="66" t="n"/>
      <c r="J297" s="67">
        <f>VLOOKUP(C297,Recipes!$A$2:$N$4,10,FALSE())</f>
        <v/>
      </c>
      <c r="K297" s="68">
        <f>VLOOKUP(C297,Recipes!$A$2:$N$4,12,FALSE())</f>
        <v/>
      </c>
      <c r="L297" s="67">
        <f>J297-6*K297</f>
        <v/>
      </c>
      <c r="M297" s="67">
        <f>J297+6*K297</f>
        <v/>
      </c>
      <c r="N297" s="61">
        <f>IF(G297="","",IF(AND(G297&gt;=L297,G297&lt;=M297),"OK","NG"))</f>
        <v/>
      </c>
      <c r="O297" s="69">
        <f>IF(N297="","",IF(N297=D297,1,0))</f>
        <v/>
      </c>
      <c r="P297" s="67">
        <f>IF(G297="","",J297-G297)</f>
        <v/>
      </c>
      <c r="Q297" s="67">
        <f>IF(G297="","",ABS(P297-Components!$D$2))</f>
        <v/>
      </c>
      <c r="R297" s="67">
        <f>IF(G297="","",ABS(P297-Components!$D$3))</f>
        <v/>
      </c>
      <c r="S297" s="67">
        <f>IF(G297="","",ABS(P297-Components!$D$4))</f>
        <v/>
      </c>
      <c r="T297" s="67">
        <f>IF(G297="","",ABS(P297-Components!$D$5))</f>
        <v/>
      </c>
      <c r="U297" s="67">
        <f>IF(G297="","",ABS(P297-Components!$D$6))</f>
        <v/>
      </c>
      <c r="V297" s="67">
        <f>IF(G297="","",ABS(P297-Components!$D$7))</f>
        <v/>
      </c>
      <c r="W297" s="61">
        <f>IF(G297="","",IF(N297="OK","NONE",INDEX({"S1","S2","W1","W2","N1","N2"},MATCH(MIN(Q297:V297),Q297:V297,0))))</f>
        <v/>
      </c>
      <c r="X297" s="69">
        <f>IF(G297="","",IF(W297=E297,1,0))</f>
        <v/>
      </c>
      <c r="Y297" s="70" t="n"/>
    </row>
    <row r="298">
      <c r="A298" s="61" t="n">
        <v>41</v>
      </c>
      <c r="B298" s="62" t="n">
        <v>3</v>
      </c>
      <c r="C298" s="61" t="inlineStr">
        <is>
          <t>R6</t>
        </is>
      </c>
      <c r="D298" s="63" t="inlineStr">
        <is>
          <t>OK</t>
        </is>
      </c>
      <c r="E298" s="61" t="inlineStr">
        <is>
          <t>NONE</t>
        </is>
      </c>
      <c r="F298" s="61" t="inlineStr">
        <is>
          <t>K041</t>
        </is>
      </c>
      <c r="G298" s="75" t="n">
        <v>8.66</v>
      </c>
      <c r="H298" s="65" t="n"/>
      <c r="I298" s="66" t="n"/>
      <c r="J298" s="67">
        <f>VLOOKUP(C298,Recipes!$A$2:$N$4,10,FALSE())</f>
        <v/>
      </c>
      <c r="K298" s="68">
        <f>VLOOKUP(C298,Recipes!$A$2:$N$4,12,FALSE())</f>
        <v/>
      </c>
      <c r="L298" s="67">
        <f>J298-6*K298</f>
        <v/>
      </c>
      <c r="M298" s="67">
        <f>J298+6*K298</f>
        <v/>
      </c>
      <c r="N298" s="61">
        <f>IF(G298="","",IF(AND(G298&gt;=L298,G298&lt;=M298),"OK","NG"))</f>
        <v/>
      </c>
      <c r="O298" s="69">
        <f>IF(N298="","",IF(N298=D298,1,0))</f>
        <v/>
      </c>
      <c r="P298" s="67">
        <f>IF(G298="","",J298-G298)</f>
        <v/>
      </c>
      <c r="Q298" s="67">
        <f>IF(G298="","",ABS(P298-Components!$D$2))</f>
        <v/>
      </c>
      <c r="R298" s="67">
        <f>IF(G298="","",ABS(P298-Components!$D$3))</f>
        <v/>
      </c>
      <c r="S298" s="67">
        <f>IF(G298="","",ABS(P298-Components!$D$4))</f>
        <v/>
      </c>
      <c r="T298" s="67">
        <f>IF(G298="","",ABS(P298-Components!$D$5))</f>
        <v/>
      </c>
      <c r="U298" s="67">
        <f>IF(G298="","",ABS(P298-Components!$D$6))</f>
        <v/>
      </c>
      <c r="V298" s="67">
        <f>IF(G298="","",ABS(P298-Components!$D$7))</f>
        <v/>
      </c>
      <c r="W298" s="61">
        <f>IF(G298="","",IF(N298="OK","NONE",INDEX({"S1","S2","W1","W2","N1","N2"},MATCH(MIN(Q298:V298),Q298:V298,0))))</f>
        <v/>
      </c>
      <c r="X298" s="69">
        <f>IF(G298="","",IF(W298=E298,1,0))</f>
        <v/>
      </c>
      <c r="Y298" s="70" t="n"/>
    </row>
    <row r="299">
      <c r="A299" s="61" t="n">
        <v>41</v>
      </c>
      <c r="B299" s="62" t="n">
        <v>3</v>
      </c>
      <c r="C299" s="61" t="inlineStr">
        <is>
          <t>R6</t>
        </is>
      </c>
      <c r="D299" s="63" t="inlineStr">
        <is>
          <t>OK</t>
        </is>
      </c>
      <c r="E299" s="61" t="inlineStr">
        <is>
          <t>NONE</t>
        </is>
      </c>
      <c r="F299" s="61" t="inlineStr">
        <is>
          <t>K041</t>
        </is>
      </c>
      <c r="G299" s="75" t="n">
        <v>8.58</v>
      </c>
      <c r="H299" s="65" t="n"/>
      <c r="I299" s="66" t="n"/>
      <c r="J299" s="67">
        <f>VLOOKUP(C299,Recipes!$A$2:$N$4,10,FALSE())</f>
        <v/>
      </c>
      <c r="K299" s="68">
        <f>VLOOKUP(C299,Recipes!$A$2:$N$4,12,FALSE())</f>
        <v/>
      </c>
      <c r="L299" s="67">
        <f>J299-6*K299</f>
        <v/>
      </c>
      <c r="M299" s="67">
        <f>J299+6*K299</f>
        <v/>
      </c>
      <c r="N299" s="61">
        <f>IF(G299="","",IF(AND(G299&gt;=L299,G299&lt;=M299),"OK","NG"))</f>
        <v/>
      </c>
      <c r="O299" s="69">
        <f>IF(N299="","",IF(N299=D299,1,0))</f>
        <v/>
      </c>
      <c r="P299" s="67">
        <f>IF(G299="","",J299-G299)</f>
        <v/>
      </c>
      <c r="Q299" s="67">
        <f>IF(G299="","",ABS(P299-Components!$D$2))</f>
        <v/>
      </c>
      <c r="R299" s="67">
        <f>IF(G299="","",ABS(P299-Components!$D$3))</f>
        <v/>
      </c>
      <c r="S299" s="67">
        <f>IF(G299="","",ABS(P299-Components!$D$4))</f>
        <v/>
      </c>
      <c r="T299" s="67">
        <f>IF(G299="","",ABS(P299-Components!$D$5))</f>
        <v/>
      </c>
      <c r="U299" s="67">
        <f>IF(G299="","",ABS(P299-Components!$D$6))</f>
        <v/>
      </c>
      <c r="V299" s="67">
        <f>IF(G299="","",ABS(P299-Components!$D$7))</f>
        <v/>
      </c>
      <c r="W299" s="61">
        <f>IF(G299="","",IF(N299="OK","NONE",INDEX({"S1","S2","W1","W2","N1","N2"},MATCH(MIN(Q299:V299),Q299:V299,0))))</f>
        <v/>
      </c>
      <c r="X299" s="69">
        <f>IF(G299="","",IF(W299=E299,1,0))</f>
        <v/>
      </c>
      <c r="Y299" s="70" t="n"/>
    </row>
    <row r="300">
      <c r="A300" s="61" t="n">
        <v>43</v>
      </c>
      <c r="B300" s="62" t="n">
        <v>38</v>
      </c>
      <c r="C300" s="61" t="inlineStr">
        <is>
          <t>R6</t>
        </is>
      </c>
      <c r="D300" s="63" t="inlineStr">
        <is>
          <t>OK</t>
        </is>
      </c>
      <c r="E300" s="61" t="inlineStr">
        <is>
          <t>NONE</t>
        </is>
      </c>
      <c r="F300" s="61" t="inlineStr">
        <is>
          <t>K043</t>
        </is>
      </c>
      <c r="G300" s="64" t="n">
        <v>8.630000000000001</v>
      </c>
      <c r="H300" s="65" t="n"/>
      <c r="I300" s="66" t="n"/>
      <c r="J300" s="67">
        <f>VLOOKUP(C300,Recipes!$A$2:$N$4,10,FALSE())</f>
        <v/>
      </c>
      <c r="K300" s="68">
        <f>VLOOKUP(C300,Recipes!$A$2:$N$4,12,FALSE())</f>
        <v/>
      </c>
      <c r="L300" s="67">
        <f>J300-6*K300</f>
        <v/>
      </c>
      <c r="M300" s="67">
        <f>J300+6*K300</f>
        <v/>
      </c>
      <c r="N300" s="61">
        <f>IF(G300="","",IF(AND(G300&gt;=L300,G300&lt;=M300),"OK","NG"))</f>
        <v/>
      </c>
      <c r="O300" s="69">
        <f>IF(N300="","",IF(N300=D300,1,0))</f>
        <v/>
      </c>
      <c r="P300" s="67">
        <f>IF(G300="","",J300-G300)</f>
        <v/>
      </c>
      <c r="Q300" s="67">
        <f>IF(G300="","",ABS(P300-Components!$D$2))</f>
        <v/>
      </c>
      <c r="R300" s="67">
        <f>IF(G300="","",ABS(P300-Components!$D$3))</f>
        <v/>
      </c>
      <c r="S300" s="67">
        <f>IF(G300="","",ABS(P300-Components!$D$4))</f>
        <v/>
      </c>
      <c r="T300" s="67">
        <f>IF(G300="","",ABS(P300-Components!$D$5))</f>
        <v/>
      </c>
      <c r="U300" s="67">
        <f>IF(G300="","",ABS(P300-Components!$D$6))</f>
        <v/>
      </c>
      <c r="V300" s="67">
        <f>IF(G300="","",ABS(P300-Components!$D$7))</f>
        <v/>
      </c>
      <c r="W300" s="61">
        <f>IF(G300="","",IF(N300="OK","NONE",INDEX({"S1","S2","W1","W2","N1","N2"},MATCH(MIN(Q300:V300),Q300:V300,0))))</f>
        <v/>
      </c>
      <c r="X300" s="69">
        <f>IF(G300="","",IF(W300=E300,1,0))</f>
        <v/>
      </c>
      <c r="Y300" s="70" t="n"/>
    </row>
    <row r="301">
      <c r="A301" s="79" t="n"/>
      <c r="B301" s="80" t="n"/>
      <c r="C301" s="76" t="inlineStr">
        <is>
          <t>R6</t>
        </is>
      </c>
      <c r="D301" s="77" t="inlineStr">
        <is>
          <t>OK</t>
        </is>
      </c>
      <c r="E301" s="76" t="inlineStr">
        <is>
          <t>NONE</t>
        </is>
      </c>
      <c r="F301" s="81" t="n"/>
      <c r="G301" s="75" t="n">
        <v>8.619999999999999</v>
      </c>
      <c r="H301" s="65" t="n"/>
      <c r="I301" s="66" t="n"/>
      <c r="J301" s="67">
        <f>VLOOKUP(C301,Recipes!$A$2:$N$4,10,FALSE())</f>
        <v/>
      </c>
      <c r="K301" s="68">
        <f>VLOOKUP(C301,Recipes!$A$2:$N$4,12,FALSE())</f>
        <v/>
      </c>
      <c r="L301" s="67">
        <f>J301-6*K301</f>
        <v/>
      </c>
      <c r="M301" s="67">
        <f>J301+6*K301</f>
        <v/>
      </c>
      <c r="N301" s="61">
        <f>IF(G301="","",IF(AND(G301&gt;=L301,G301&lt;=M301),"OK","NG"))</f>
        <v/>
      </c>
      <c r="O301" s="69">
        <f>IF(N301="","",IF(N301=D301,1,0))</f>
        <v/>
      </c>
      <c r="P301" s="67">
        <f>IF(G301="","",J301-G301)</f>
        <v/>
      </c>
      <c r="Q301" s="67">
        <f>IF(G301="","",ABS(P301-Components!$D$2))</f>
        <v/>
      </c>
      <c r="R301" s="67">
        <f>IF(G301="","",ABS(P301-Components!$D$3))</f>
        <v/>
      </c>
      <c r="S301" s="67">
        <f>IF(G301="","",ABS(P301-Components!$D$4))</f>
        <v/>
      </c>
      <c r="T301" s="67">
        <f>IF(G301="","",ABS(P301-Components!$D$5))</f>
        <v/>
      </c>
      <c r="U301" s="67">
        <f>IF(G301="","",ABS(P301-Components!$D$6))</f>
        <v/>
      </c>
      <c r="V301" s="67">
        <f>IF(G301="","",ABS(P301-Components!$D$7))</f>
        <v/>
      </c>
      <c r="W301" s="61">
        <f>IF(G301="","",IF(N301="OK","NONE",INDEX({"S1","S2","W1","W2","N1","N2"},MATCH(MIN(Q301:V301),Q301:V301,0))))</f>
        <v/>
      </c>
      <c r="X301" s="69">
        <f>IF(G301="","",IF(W301=E301,1,0))</f>
        <v/>
      </c>
      <c r="Y301" s="70" t="n"/>
    </row>
    <row r="302">
      <c r="A302" s="79" t="n"/>
      <c r="B302" s="80" t="n"/>
      <c r="C302" s="76" t="inlineStr">
        <is>
          <t>R6</t>
        </is>
      </c>
      <c r="D302" s="77" t="inlineStr">
        <is>
          <t>OK</t>
        </is>
      </c>
      <c r="E302" s="76" t="inlineStr">
        <is>
          <t>NONE</t>
        </is>
      </c>
      <c r="F302" s="81" t="n"/>
      <c r="G302" s="75" t="n">
        <v>8.58</v>
      </c>
      <c r="H302" s="65" t="n"/>
      <c r="I302" s="66" t="n"/>
      <c r="J302" s="67">
        <f>VLOOKUP(C302,Recipes!$A$2:$N$4,10,FALSE())</f>
        <v/>
      </c>
      <c r="K302" s="68">
        <f>VLOOKUP(C302,Recipes!$A$2:$N$4,12,FALSE())</f>
        <v/>
      </c>
      <c r="L302" s="67">
        <f>J302-6*K302</f>
        <v/>
      </c>
      <c r="M302" s="67">
        <f>J302+6*K302</f>
        <v/>
      </c>
      <c r="N302" s="61">
        <f>IF(G302="","",IF(AND(G302&gt;=L302,G302&lt;=M302),"OK","NG"))</f>
        <v/>
      </c>
      <c r="O302" s="69">
        <f>IF(N302="","",IF(N302=D302,1,0))</f>
        <v/>
      </c>
      <c r="P302" s="67">
        <f>IF(G302="","",J302-G302)</f>
        <v/>
      </c>
      <c r="Q302" s="67">
        <f>IF(G302="","",ABS(P302-Components!$D$2))</f>
        <v/>
      </c>
      <c r="R302" s="67">
        <f>IF(G302="","",ABS(P302-Components!$D$3))</f>
        <v/>
      </c>
      <c r="S302" s="67">
        <f>IF(G302="","",ABS(P302-Components!$D$4))</f>
        <v/>
      </c>
      <c r="T302" s="67">
        <f>IF(G302="","",ABS(P302-Components!$D$5))</f>
        <v/>
      </c>
      <c r="U302" s="67">
        <f>IF(G302="","",ABS(P302-Components!$D$6))</f>
        <v/>
      </c>
      <c r="V302" s="67">
        <f>IF(G302="","",ABS(P302-Components!$D$7))</f>
        <v/>
      </c>
      <c r="W302" s="61">
        <f>IF(G302="","",IF(N302="OK","NONE",INDEX({"S1","S2","W1","W2","N1","N2"},MATCH(MIN(Q302:V302),Q302:V302,0))))</f>
        <v/>
      </c>
      <c r="X302" s="69">
        <f>IF(G302="","",IF(W302=E302,1,0))</f>
        <v/>
      </c>
      <c r="Y302" s="70" t="n"/>
    </row>
    <row r="303">
      <c r="A303" s="61" t="n">
        <v>44</v>
      </c>
      <c r="B303" s="62" t="n">
        <v>6</v>
      </c>
      <c r="C303" s="61" t="inlineStr">
        <is>
          <t>R6</t>
        </is>
      </c>
      <c r="D303" s="74" t="inlineStr">
        <is>
          <t>NG</t>
        </is>
      </c>
      <c r="E303" s="61" t="inlineStr">
        <is>
          <t>S1</t>
        </is>
      </c>
      <c r="F303" s="61" t="inlineStr">
        <is>
          <t>K044</t>
        </is>
      </c>
      <c r="G303" s="64" t="n">
        <v>5.89</v>
      </c>
      <c r="H303" s="65" t="n"/>
      <c r="I303" s="66" t="n"/>
      <c r="J303" s="67">
        <f>VLOOKUP(C303,Recipes!$A$2:$N$4,10,FALSE())</f>
        <v/>
      </c>
      <c r="K303" s="68">
        <f>VLOOKUP(C303,Recipes!$A$2:$N$4,12,FALSE())</f>
        <v/>
      </c>
      <c r="L303" s="67">
        <f>J303-6*K303</f>
        <v/>
      </c>
      <c r="M303" s="67">
        <f>J303+6*K303</f>
        <v/>
      </c>
      <c r="N303" s="61">
        <f>IF(G303="","",IF(AND(G303&gt;=L303,G303&lt;=M303),"OK","NG"))</f>
        <v/>
      </c>
      <c r="O303" s="69">
        <f>IF(N303="","",IF(N303=D303,1,0))</f>
        <v/>
      </c>
      <c r="P303" s="67">
        <f>IF(G303="","",J303-G303)</f>
        <v/>
      </c>
      <c r="Q303" s="67">
        <f>IF(G303="","",ABS(P303-Components!$D$2))</f>
        <v/>
      </c>
      <c r="R303" s="67">
        <f>IF(G303="","",ABS(P303-Components!$D$3))</f>
        <v/>
      </c>
      <c r="S303" s="67">
        <f>IF(G303="","",ABS(P303-Components!$D$4))</f>
        <v/>
      </c>
      <c r="T303" s="67">
        <f>IF(G303="","",ABS(P303-Components!$D$5))</f>
        <v/>
      </c>
      <c r="U303" s="67">
        <f>IF(G303="","",ABS(P303-Components!$D$6))</f>
        <v/>
      </c>
      <c r="V303" s="67">
        <f>IF(G303="","",ABS(P303-Components!$D$7))</f>
        <v/>
      </c>
      <c r="W303" s="61">
        <f>IF(G303="","",IF(N303="OK","NONE",INDEX({"S1","S2","W1","W2","N1","N2"},MATCH(MIN(Q303:V303),Q303:V303,0))))</f>
        <v/>
      </c>
      <c r="X303" s="69">
        <f>IF(G303="","",IF(W303=E303,1,0))</f>
        <v/>
      </c>
      <c r="Y303" s="70" t="n"/>
    </row>
    <row r="304">
      <c r="A304" s="61" t="n">
        <v>44</v>
      </c>
      <c r="B304" s="62" t="n">
        <v>6</v>
      </c>
      <c r="C304" s="61" t="inlineStr">
        <is>
          <t>R6</t>
        </is>
      </c>
      <c r="D304" s="74" t="inlineStr">
        <is>
          <t>NG</t>
        </is>
      </c>
      <c r="E304" s="61" t="inlineStr">
        <is>
          <t>S1</t>
        </is>
      </c>
      <c r="F304" s="61" t="inlineStr">
        <is>
          <t>K044</t>
        </is>
      </c>
      <c r="G304" s="64" t="n">
        <v>5.89</v>
      </c>
      <c r="H304" s="65" t="n"/>
      <c r="I304" s="66" t="n"/>
      <c r="J304" s="67">
        <f>VLOOKUP(C304,Recipes!$A$2:$N$4,10,FALSE())</f>
        <v/>
      </c>
      <c r="K304" s="68">
        <f>VLOOKUP(C304,Recipes!$A$2:$N$4,12,FALSE())</f>
        <v/>
      </c>
      <c r="L304" s="67">
        <f>J304-6*K304</f>
        <v/>
      </c>
      <c r="M304" s="67">
        <f>J304+6*K304</f>
        <v/>
      </c>
      <c r="N304" s="61">
        <f>IF(G304="","",IF(AND(G304&gt;=L304,G304&lt;=M304),"OK","NG"))</f>
        <v/>
      </c>
      <c r="O304" s="69">
        <f>IF(N304="","",IF(N304=D304,1,0))</f>
        <v/>
      </c>
      <c r="P304" s="67">
        <f>IF(G304="","",J304-G304)</f>
        <v/>
      </c>
      <c r="Q304" s="67">
        <f>IF(G304="","",ABS(P304-Components!$D$2))</f>
        <v/>
      </c>
      <c r="R304" s="67">
        <f>IF(G304="","",ABS(P304-Components!$D$3))</f>
        <v/>
      </c>
      <c r="S304" s="67">
        <f>IF(G304="","",ABS(P304-Components!$D$4))</f>
        <v/>
      </c>
      <c r="T304" s="67">
        <f>IF(G304="","",ABS(P304-Components!$D$5))</f>
        <v/>
      </c>
      <c r="U304" s="67">
        <f>IF(G304="","",ABS(P304-Components!$D$6))</f>
        <v/>
      </c>
      <c r="V304" s="67">
        <f>IF(G304="","",ABS(P304-Components!$D$7))</f>
        <v/>
      </c>
      <c r="W304" s="61">
        <f>IF(G304="","",IF(N304="OK","NONE",INDEX({"S1","S2","W1","W2","N1","N2"},MATCH(MIN(Q304:V304),Q304:V304,0))))</f>
        <v/>
      </c>
      <c r="X304" s="69">
        <f>IF(G304="","",IF(W304=E304,1,0))</f>
        <v/>
      </c>
      <c r="Y304" s="70" t="n"/>
    </row>
    <row r="305">
      <c r="A305" s="61" t="n">
        <v>44</v>
      </c>
      <c r="B305" s="62" t="n">
        <v>6</v>
      </c>
      <c r="C305" s="61" t="inlineStr">
        <is>
          <t>R6</t>
        </is>
      </c>
      <c r="D305" s="74" t="inlineStr">
        <is>
          <t>NG</t>
        </is>
      </c>
      <c r="E305" s="61" t="inlineStr">
        <is>
          <t>S1</t>
        </is>
      </c>
      <c r="F305" s="61" t="inlineStr">
        <is>
          <t>K044</t>
        </is>
      </c>
      <c r="G305" s="75" t="n">
        <v>5.9</v>
      </c>
      <c r="H305" s="65" t="n"/>
      <c r="I305" s="66" t="n"/>
      <c r="J305" s="67">
        <f>VLOOKUP(C305,Recipes!$A$2:$N$4,10,FALSE())</f>
        <v/>
      </c>
      <c r="K305" s="68">
        <f>VLOOKUP(C305,Recipes!$A$2:$N$4,12,FALSE())</f>
        <v/>
      </c>
      <c r="L305" s="67">
        <f>J305-6*K305</f>
        <v/>
      </c>
      <c r="M305" s="67">
        <f>J305+6*K305</f>
        <v/>
      </c>
      <c r="N305" s="61">
        <f>IF(G305="","",IF(AND(G305&gt;=L305,G305&lt;=M305),"OK","NG"))</f>
        <v/>
      </c>
      <c r="O305" s="69">
        <f>IF(N305="","",IF(N305=D305,1,0))</f>
        <v/>
      </c>
      <c r="P305" s="67">
        <f>IF(G305="","",J305-G305)</f>
        <v/>
      </c>
      <c r="Q305" s="67">
        <f>IF(G305="","",ABS(P305-Components!$D$2))</f>
        <v/>
      </c>
      <c r="R305" s="67">
        <f>IF(G305="","",ABS(P305-Components!$D$3))</f>
        <v/>
      </c>
      <c r="S305" s="67">
        <f>IF(G305="","",ABS(P305-Components!$D$4))</f>
        <v/>
      </c>
      <c r="T305" s="67">
        <f>IF(G305="","",ABS(P305-Components!$D$5))</f>
        <v/>
      </c>
      <c r="U305" s="67">
        <f>IF(G305="","",ABS(P305-Components!$D$6))</f>
        <v/>
      </c>
      <c r="V305" s="67">
        <f>IF(G305="","",ABS(P305-Components!$D$7))</f>
        <v/>
      </c>
      <c r="W305" s="61">
        <f>IF(G305="","",IF(N305="OK","NONE",INDEX({"S1","S2","W1","W2","N1","N2"},MATCH(MIN(Q305:V305),Q305:V305,0))))</f>
        <v/>
      </c>
      <c r="X305" s="69">
        <f>IF(G305="","",IF(W305=E305,1,0))</f>
        <v/>
      </c>
      <c r="Y305" s="70" t="n"/>
    </row>
    <row r="306">
      <c r="A306" s="61" t="n">
        <v>44</v>
      </c>
      <c r="B306" s="62" t="n">
        <v>6</v>
      </c>
      <c r="C306" s="61" t="inlineStr">
        <is>
          <t>R6</t>
        </is>
      </c>
      <c r="D306" s="74" t="inlineStr">
        <is>
          <t>NG</t>
        </is>
      </c>
      <c r="E306" s="61" t="inlineStr">
        <is>
          <t>S1</t>
        </is>
      </c>
      <c r="F306" s="61" t="inlineStr">
        <is>
          <t>K044</t>
        </is>
      </c>
      <c r="G306" s="75" t="n">
        <v>5.88</v>
      </c>
      <c r="H306" s="65" t="n"/>
      <c r="I306" s="66" t="n"/>
      <c r="J306" s="67">
        <f>VLOOKUP(C306,Recipes!$A$2:$N$4,10,FALSE())</f>
        <v/>
      </c>
      <c r="K306" s="68">
        <f>VLOOKUP(C306,Recipes!$A$2:$N$4,12,FALSE())</f>
        <v/>
      </c>
      <c r="L306" s="67">
        <f>J306-6*K306</f>
        <v/>
      </c>
      <c r="M306" s="67">
        <f>J306+6*K306</f>
        <v/>
      </c>
      <c r="N306" s="61">
        <f>IF(G306="","",IF(AND(G306&gt;=L306,G306&lt;=M306),"OK","NG"))</f>
        <v/>
      </c>
      <c r="O306" s="69">
        <f>IF(N306="","",IF(N306=D306,1,0))</f>
        <v/>
      </c>
      <c r="P306" s="67">
        <f>IF(G306="","",J306-G306)</f>
        <v/>
      </c>
      <c r="Q306" s="67">
        <f>IF(G306="","",ABS(P306-Components!$D$2))</f>
        <v/>
      </c>
      <c r="R306" s="67">
        <f>IF(G306="","",ABS(P306-Components!$D$3))</f>
        <v/>
      </c>
      <c r="S306" s="67">
        <f>IF(G306="","",ABS(P306-Components!$D$4))</f>
        <v/>
      </c>
      <c r="T306" s="67">
        <f>IF(G306="","",ABS(P306-Components!$D$5))</f>
        <v/>
      </c>
      <c r="U306" s="67">
        <f>IF(G306="","",ABS(P306-Components!$D$6))</f>
        <v/>
      </c>
      <c r="V306" s="67">
        <f>IF(G306="","",ABS(P306-Components!$D$7))</f>
        <v/>
      </c>
      <c r="W306" s="61">
        <f>IF(G306="","",IF(N306="OK","NONE",INDEX({"S1","S2","W1","W2","N1","N2"},MATCH(MIN(Q306:V306),Q306:V306,0))))</f>
        <v/>
      </c>
      <c r="X306" s="69">
        <f>IF(G306="","",IF(W306=E306,1,0))</f>
        <v/>
      </c>
      <c r="Y306" s="70" t="n"/>
    </row>
    <row r="307">
      <c r="A307" s="61" t="n">
        <v>44</v>
      </c>
      <c r="B307" s="62" t="n">
        <v>6</v>
      </c>
      <c r="C307" s="61" t="inlineStr">
        <is>
          <t>R6</t>
        </is>
      </c>
      <c r="D307" s="74" t="inlineStr">
        <is>
          <t>NG</t>
        </is>
      </c>
      <c r="E307" s="61" t="inlineStr">
        <is>
          <t>S1</t>
        </is>
      </c>
      <c r="F307" s="61" t="inlineStr">
        <is>
          <t>K044</t>
        </is>
      </c>
      <c r="G307" s="75" t="n">
        <v>5.91</v>
      </c>
      <c r="H307" s="65" t="n"/>
      <c r="I307" s="66" t="n"/>
      <c r="J307" s="67">
        <f>VLOOKUP(C307,Recipes!$A$2:$N$4,10,FALSE())</f>
        <v/>
      </c>
      <c r="K307" s="68">
        <f>VLOOKUP(C307,Recipes!$A$2:$N$4,12,FALSE())</f>
        <v/>
      </c>
      <c r="L307" s="67">
        <f>J307-6*K307</f>
        <v/>
      </c>
      <c r="M307" s="67">
        <f>J307+6*K307</f>
        <v/>
      </c>
      <c r="N307" s="61">
        <f>IF(G307="","",IF(AND(G307&gt;=L307,G307&lt;=M307),"OK","NG"))</f>
        <v/>
      </c>
      <c r="O307" s="69">
        <f>IF(N307="","",IF(N307=D307,1,0))</f>
        <v/>
      </c>
      <c r="P307" s="67">
        <f>IF(G307="","",J307-G307)</f>
        <v/>
      </c>
      <c r="Q307" s="67">
        <f>IF(G307="","",ABS(P307-Components!$D$2))</f>
        <v/>
      </c>
      <c r="R307" s="67">
        <f>IF(G307="","",ABS(P307-Components!$D$3))</f>
        <v/>
      </c>
      <c r="S307" s="67">
        <f>IF(G307="","",ABS(P307-Components!$D$4))</f>
        <v/>
      </c>
      <c r="T307" s="67">
        <f>IF(G307="","",ABS(P307-Components!$D$5))</f>
        <v/>
      </c>
      <c r="U307" s="67">
        <f>IF(G307="","",ABS(P307-Components!$D$6))</f>
        <v/>
      </c>
      <c r="V307" s="67">
        <f>IF(G307="","",ABS(P307-Components!$D$7))</f>
        <v/>
      </c>
      <c r="W307" s="61">
        <f>IF(G307="","",IF(N307="OK","NONE",INDEX({"S1","S2","W1","W2","N1","N2"},MATCH(MIN(Q307:V307),Q307:V307,0))))</f>
        <v/>
      </c>
      <c r="X307" s="69">
        <f>IF(G307="","",IF(W307=E307,1,0))</f>
        <v/>
      </c>
      <c r="Y307" s="70" t="n"/>
    </row>
    <row r="308">
      <c r="A308" s="61" t="n">
        <v>44</v>
      </c>
      <c r="B308" s="62" t="n">
        <v>6</v>
      </c>
      <c r="C308" s="61" t="inlineStr">
        <is>
          <t>R6</t>
        </is>
      </c>
      <c r="D308" s="74" t="inlineStr">
        <is>
          <t>NG</t>
        </is>
      </c>
      <c r="E308" s="61" t="inlineStr">
        <is>
          <t>S1</t>
        </is>
      </c>
      <c r="F308" s="61" t="inlineStr">
        <is>
          <t>K044</t>
        </is>
      </c>
      <c r="G308" s="75" t="n">
        <v>5.86</v>
      </c>
      <c r="H308" s="65" t="n"/>
      <c r="I308" s="66" t="n"/>
      <c r="J308" s="67">
        <f>VLOOKUP(C308,Recipes!$A$2:$N$4,10,FALSE())</f>
        <v/>
      </c>
      <c r="K308" s="68">
        <f>VLOOKUP(C308,Recipes!$A$2:$N$4,12,FALSE())</f>
        <v/>
      </c>
      <c r="L308" s="67">
        <f>J308-6*K308</f>
        <v/>
      </c>
      <c r="M308" s="67">
        <f>J308+6*K308</f>
        <v/>
      </c>
      <c r="N308" s="61">
        <f>IF(G308="","",IF(AND(G308&gt;=L308,G308&lt;=M308),"OK","NG"))</f>
        <v/>
      </c>
      <c r="O308" s="69">
        <f>IF(N308="","",IF(N308=D308,1,0))</f>
        <v/>
      </c>
      <c r="P308" s="67">
        <f>IF(G308="","",J308-G308)</f>
        <v/>
      </c>
      <c r="Q308" s="67">
        <f>IF(G308="","",ABS(P308-Components!$D$2))</f>
        <v/>
      </c>
      <c r="R308" s="67">
        <f>IF(G308="","",ABS(P308-Components!$D$3))</f>
        <v/>
      </c>
      <c r="S308" s="67">
        <f>IF(G308="","",ABS(P308-Components!$D$4))</f>
        <v/>
      </c>
      <c r="T308" s="67">
        <f>IF(G308="","",ABS(P308-Components!$D$5))</f>
        <v/>
      </c>
      <c r="U308" s="67">
        <f>IF(G308="","",ABS(P308-Components!$D$6))</f>
        <v/>
      </c>
      <c r="V308" s="67">
        <f>IF(G308="","",ABS(P308-Components!$D$7))</f>
        <v/>
      </c>
      <c r="W308" s="61">
        <f>IF(G308="","",IF(N308="OK","NONE",INDEX({"S1","S2","W1","W2","N1","N2"},MATCH(MIN(Q308:V308),Q308:V308,0))))</f>
        <v/>
      </c>
      <c r="X308" s="69">
        <f>IF(G308="","",IF(W308=E308,1,0))</f>
        <v/>
      </c>
      <c r="Y308" s="70" t="n"/>
    </row>
    <row r="309">
      <c r="A309" s="61" t="n">
        <v>44</v>
      </c>
      <c r="B309" s="62" t="n">
        <v>6</v>
      </c>
      <c r="C309" s="61" t="inlineStr">
        <is>
          <t>R6</t>
        </is>
      </c>
      <c r="D309" s="74" t="inlineStr">
        <is>
          <t>NG</t>
        </is>
      </c>
      <c r="E309" s="61" t="inlineStr">
        <is>
          <t>S1</t>
        </is>
      </c>
      <c r="F309" s="61" t="inlineStr">
        <is>
          <t>K044</t>
        </is>
      </c>
      <c r="G309" s="75" t="n">
        <v>5.9</v>
      </c>
      <c r="H309" s="65" t="n"/>
      <c r="I309" s="66" t="n"/>
      <c r="J309" s="67">
        <f>VLOOKUP(C309,Recipes!$A$2:$N$4,10,FALSE())</f>
        <v/>
      </c>
      <c r="K309" s="68">
        <f>VLOOKUP(C309,Recipes!$A$2:$N$4,12,FALSE())</f>
        <v/>
      </c>
      <c r="L309" s="67">
        <f>J309-6*K309</f>
        <v/>
      </c>
      <c r="M309" s="67">
        <f>J309+6*K309</f>
        <v/>
      </c>
      <c r="N309" s="61">
        <f>IF(G309="","",IF(AND(G309&gt;=L309,G309&lt;=M309),"OK","NG"))</f>
        <v/>
      </c>
      <c r="O309" s="69">
        <f>IF(N309="","",IF(N309=D309,1,0))</f>
        <v/>
      </c>
      <c r="P309" s="67">
        <f>IF(G309="","",J309-G309)</f>
        <v/>
      </c>
      <c r="Q309" s="67">
        <f>IF(G309="","",ABS(P309-Components!$D$2))</f>
        <v/>
      </c>
      <c r="R309" s="67">
        <f>IF(G309="","",ABS(P309-Components!$D$3))</f>
        <v/>
      </c>
      <c r="S309" s="67">
        <f>IF(G309="","",ABS(P309-Components!$D$4))</f>
        <v/>
      </c>
      <c r="T309" s="67">
        <f>IF(G309="","",ABS(P309-Components!$D$5))</f>
        <v/>
      </c>
      <c r="U309" s="67">
        <f>IF(G309="","",ABS(P309-Components!$D$6))</f>
        <v/>
      </c>
      <c r="V309" s="67">
        <f>IF(G309="","",ABS(P309-Components!$D$7))</f>
        <v/>
      </c>
      <c r="W309" s="61">
        <f>IF(G309="","",IF(N309="OK","NONE",INDEX({"S1","S2","W1","W2","N1","N2"},MATCH(MIN(Q309:V309),Q309:V309,0))))</f>
        <v/>
      </c>
      <c r="X309" s="69">
        <f>IF(G309="","",IF(W309=E309,1,0))</f>
        <v/>
      </c>
      <c r="Y309" s="70" t="n"/>
    </row>
    <row r="310">
      <c r="A310" s="61" t="n">
        <v>44</v>
      </c>
      <c r="B310" s="62" t="n">
        <v>6</v>
      </c>
      <c r="C310" s="61" t="inlineStr">
        <is>
          <t>R6</t>
        </is>
      </c>
      <c r="D310" s="74" t="inlineStr">
        <is>
          <t>NG</t>
        </is>
      </c>
      <c r="E310" s="61" t="inlineStr">
        <is>
          <t>S1</t>
        </is>
      </c>
      <c r="F310" s="61" t="inlineStr">
        <is>
          <t>K044</t>
        </is>
      </c>
      <c r="G310" s="75" t="n">
        <v>5.8</v>
      </c>
      <c r="H310" s="65" t="n"/>
      <c r="I310" s="66" t="n"/>
      <c r="J310" s="67">
        <f>VLOOKUP(C310,Recipes!$A$2:$N$4,10,FALSE())</f>
        <v/>
      </c>
      <c r="K310" s="68">
        <f>VLOOKUP(C310,Recipes!$A$2:$N$4,12,FALSE())</f>
        <v/>
      </c>
      <c r="L310" s="67">
        <f>J310-6*K310</f>
        <v/>
      </c>
      <c r="M310" s="67">
        <f>J310+6*K310</f>
        <v/>
      </c>
      <c r="N310" s="61">
        <f>IF(G310="","",IF(AND(G310&gt;=L310,G310&lt;=M310),"OK","NG"))</f>
        <v/>
      </c>
      <c r="O310" s="69">
        <f>IF(N310="","",IF(N310=D310,1,0))</f>
        <v/>
      </c>
      <c r="P310" s="67">
        <f>IF(G310="","",J310-G310)</f>
        <v/>
      </c>
      <c r="Q310" s="67">
        <f>IF(G310="","",ABS(P310-Components!$D$2))</f>
        <v/>
      </c>
      <c r="R310" s="67">
        <f>IF(G310="","",ABS(P310-Components!$D$3))</f>
        <v/>
      </c>
      <c r="S310" s="67">
        <f>IF(G310="","",ABS(P310-Components!$D$4))</f>
        <v/>
      </c>
      <c r="T310" s="67">
        <f>IF(G310="","",ABS(P310-Components!$D$5))</f>
        <v/>
      </c>
      <c r="U310" s="67">
        <f>IF(G310="","",ABS(P310-Components!$D$6))</f>
        <v/>
      </c>
      <c r="V310" s="67">
        <f>IF(G310="","",ABS(P310-Components!$D$7))</f>
        <v/>
      </c>
      <c r="W310" s="61">
        <f>IF(G310="","",IF(N310="OK","NONE",INDEX({"S1","S2","W1","W2","N1","N2"},MATCH(MIN(Q310:V310),Q310:V310,0))))</f>
        <v/>
      </c>
      <c r="X310" s="69">
        <f>IF(G310="","",IF(W310=E310,1,0))</f>
        <v/>
      </c>
      <c r="Y310" s="70" t="n"/>
    </row>
    <row r="311">
      <c r="A311" s="61" t="n">
        <v>44</v>
      </c>
      <c r="B311" s="62" t="n">
        <v>6</v>
      </c>
      <c r="C311" s="61" t="inlineStr">
        <is>
          <t>R6</t>
        </is>
      </c>
      <c r="D311" s="74" t="inlineStr">
        <is>
          <t>NG</t>
        </is>
      </c>
      <c r="E311" s="61" t="inlineStr">
        <is>
          <t>S1</t>
        </is>
      </c>
      <c r="F311" s="61" t="inlineStr">
        <is>
          <t>K044</t>
        </is>
      </c>
      <c r="G311" s="75" t="n">
        <v>5.94</v>
      </c>
      <c r="H311" s="65" t="n"/>
      <c r="I311" s="66" t="n"/>
      <c r="J311" s="67">
        <f>VLOOKUP(C311,Recipes!$A$2:$N$4,10,FALSE())</f>
        <v/>
      </c>
      <c r="K311" s="68">
        <f>VLOOKUP(C311,Recipes!$A$2:$N$4,12,FALSE())</f>
        <v/>
      </c>
      <c r="L311" s="67">
        <f>J311-6*K311</f>
        <v/>
      </c>
      <c r="M311" s="67">
        <f>J311+6*K311</f>
        <v/>
      </c>
      <c r="N311" s="61">
        <f>IF(G311="","",IF(AND(G311&gt;=L311,G311&lt;=M311),"OK","NG"))</f>
        <v/>
      </c>
      <c r="O311" s="69">
        <f>IF(N311="","",IF(N311=D311,1,0))</f>
        <v/>
      </c>
      <c r="P311" s="67">
        <f>IF(G311="","",J311-G311)</f>
        <v/>
      </c>
      <c r="Q311" s="67">
        <f>IF(G311="","",ABS(P311-Components!$D$2))</f>
        <v/>
      </c>
      <c r="R311" s="67">
        <f>IF(G311="","",ABS(P311-Components!$D$3))</f>
        <v/>
      </c>
      <c r="S311" s="67">
        <f>IF(G311="","",ABS(P311-Components!$D$4))</f>
        <v/>
      </c>
      <c r="T311" s="67">
        <f>IF(G311="","",ABS(P311-Components!$D$5))</f>
        <v/>
      </c>
      <c r="U311" s="67">
        <f>IF(G311="","",ABS(P311-Components!$D$6))</f>
        <v/>
      </c>
      <c r="V311" s="67">
        <f>IF(G311="","",ABS(P311-Components!$D$7))</f>
        <v/>
      </c>
      <c r="W311" s="61">
        <f>IF(G311="","",IF(N311="OK","NONE",INDEX({"S1","S2","W1","W2","N1","N2"},MATCH(MIN(Q311:V311),Q311:V311,0))))</f>
        <v/>
      </c>
      <c r="X311" s="69">
        <f>IF(G311="","",IF(W311=E311,1,0))</f>
        <v/>
      </c>
      <c r="Y311" s="70" t="n"/>
    </row>
    <row r="312">
      <c r="A312" s="61" t="n">
        <v>44</v>
      </c>
      <c r="B312" s="62" t="n">
        <v>6</v>
      </c>
      <c r="C312" s="61" t="inlineStr">
        <is>
          <t>R6</t>
        </is>
      </c>
      <c r="D312" s="74" t="inlineStr">
        <is>
          <t>NG</t>
        </is>
      </c>
      <c r="E312" s="61" t="inlineStr">
        <is>
          <t>S1</t>
        </is>
      </c>
      <c r="F312" s="61" t="inlineStr">
        <is>
          <t>K044</t>
        </is>
      </c>
      <c r="G312" s="75" t="n">
        <v>5.94</v>
      </c>
      <c r="H312" s="65" t="n"/>
      <c r="I312" s="66" t="n"/>
      <c r="J312" s="67">
        <f>VLOOKUP(C312,Recipes!$A$2:$N$4,10,FALSE())</f>
        <v/>
      </c>
      <c r="K312" s="68">
        <f>VLOOKUP(C312,Recipes!$A$2:$N$4,12,FALSE())</f>
        <v/>
      </c>
      <c r="L312" s="67">
        <f>J312-6*K312</f>
        <v/>
      </c>
      <c r="M312" s="67">
        <f>J312+6*K312</f>
        <v/>
      </c>
      <c r="N312" s="61">
        <f>IF(G312="","",IF(AND(G312&gt;=L312,G312&lt;=M312),"OK","NG"))</f>
        <v/>
      </c>
      <c r="O312" s="69">
        <f>IF(N312="","",IF(N312=D312,1,0))</f>
        <v/>
      </c>
      <c r="P312" s="67">
        <f>IF(G312="","",J312-G312)</f>
        <v/>
      </c>
      <c r="Q312" s="67">
        <f>IF(G312="","",ABS(P312-Components!$D$2))</f>
        <v/>
      </c>
      <c r="R312" s="67">
        <f>IF(G312="","",ABS(P312-Components!$D$3))</f>
        <v/>
      </c>
      <c r="S312" s="67">
        <f>IF(G312="","",ABS(P312-Components!$D$4))</f>
        <v/>
      </c>
      <c r="T312" s="67">
        <f>IF(G312="","",ABS(P312-Components!$D$5))</f>
        <v/>
      </c>
      <c r="U312" s="67">
        <f>IF(G312="","",ABS(P312-Components!$D$6))</f>
        <v/>
      </c>
      <c r="V312" s="67">
        <f>IF(G312="","",ABS(P312-Components!$D$7))</f>
        <v/>
      </c>
      <c r="W312" s="61">
        <f>IF(G312="","",IF(N312="OK","NONE",INDEX({"S1","S2","W1","W2","N1","N2"},MATCH(MIN(Q312:V312),Q312:V312,0))))</f>
        <v/>
      </c>
      <c r="X312" s="69">
        <f>IF(G312="","",IF(W312=E312,1,0))</f>
        <v/>
      </c>
      <c r="Y312" s="70" t="n"/>
    </row>
    <row r="313">
      <c r="A313" s="61" t="n">
        <v>44</v>
      </c>
      <c r="B313" s="62" t="n">
        <v>6</v>
      </c>
      <c r="C313" s="61" t="inlineStr">
        <is>
          <t>R6</t>
        </is>
      </c>
      <c r="D313" s="74" t="inlineStr">
        <is>
          <t>NG</t>
        </is>
      </c>
      <c r="E313" s="61" t="inlineStr">
        <is>
          <t>S1</t>
        </is>
      </c>
      <c r="F313" s="61" t="inlineStr">
        <is>
          <t>K044</t>
        </is>
      </c>
      <c r="G313" s="75" t="n">
        <v>5.87</v>
      </c>
      <c r="H313" s="65" t="n"/>
      <c r="I313" s="66" t="n"/>
      <c r="J313" s="67">
        <f>VLOOKUP(C313,Recipes!$A$2:$N$4,10,FALSE())</f>
        <v/>
      </c>
      <c r="K313" s="68">
        <f>VLOOKUP(C313,Recipes!$A$2:$N$4,12,FALSE())</f>
        <v/>
      </c>
      <c r="L313" s="67">
        <f>J313-6*K313</f>
        <v/>
      </c>
      <c r="M313" s="67">
        <f>J313+6*K313</f>
        <v/>
      </c>
      <c r="N313" s="61">
        <f>IF(G313="","",IF(AND(G313&gt;=L313,G313&lt;=M313),"OK","NG"))</f>
        <v/>
      </c>
      <c r="O313" s="69">
        <f>IF(N313="","",IF(N313=D313,1,0))</f>
        <v/>
      </c>
      <c r="P313" s="67">
        <f>IF(G313="","",J313-G313)</f>
        <v/>
      </c>
      <c r="Q313" s="67">
        <f>IF(G313="","",ABS(P313-Components!$D$2))</f>
        <v/>
      </c>
      <c r="R313" s="67">
        <f>IF(G313="","",ABS(P313-Components!$D$3))</f>
        <v/>
      </c>
      <c r="S313" s="67">
        <f>IF(G313="","",ABS(P313-Components!$D$4))</f>
        <v/>
      </c>
      <c r="T313" s="67">
        <f>IF(G313="","",ABS(P313-Components!$D$5))</f>
        <v/>
      </c>
      <c r="U313" s="67">
        <f>IF(G313="","",ABS(P313-Components!$D$6))</f>
        <v/>
      </c>
      <c r="V313" s="67">
        <f>IF(G313="","",ABS(P313-Components!$D$7))</f>
        <v/>
      </c>
      <c r="W313" s="61">
        <f>IF(G313="","",IF(N313="OK","NONE",INDEX({"S1","S2","W1","W2","N1","N2"},MATCH(MIN(Q313:V313),Q313:V313,0))))</f>
        <v/>
      </c>
      <c r="X313" s="69">
        <f>IF(G313="","",IF(W313=E313,1,0))</f>
        <v/>
      </c>
      <c r="Y313" s="70" t="n"/>
    </row>
    <row r="314">
      <c r="A314" s="61" t="n">
        <v>44</v>
      </c>
      <c r="B314" s="62" t="n">
        <v>6</v>
      </c>
      <c r="C314" s="61" t="inlineStr">
        <is>
          <t>R6</t>
        </is>
      </c>
      <c r="D314" s="74" t="inlineStr">
        <is>
          <t>NG</t>
        </is>
      </c>
      <c r="E314" s="61" t="inlineStr">
        <is>
          <t>S1</t>
        </is>
      </c>
      <c r="F314" s="61" t="inlineStr">
        <is>
          <t>K044</t>
        </is>
      </c>
      <c r="G314" s="75" t="n">
        <v>5.88</v>
      </c>
      <c r="H314" s="65" t="n"/>
      <c r="I314" s="66" t="n"/>
      <c r="J314" s="67">
        <f>VLOOKUP(C314,Recipes!$A$2:$N$4,10,FALSE())</f>
        <v/>
      </c>
      <c r="K314" s="68">
        <f>VLOOKUP(C314,Recipes!$A$2:$N$4,12,FALSE())</f>
        <v/>
      </c>
      <c r="L314" s="67">
        <f>J314-6*K314</f>
        <v/>
      </c>
      <c r="M314" s="67">
        <f>J314+6*K314</f>
        <v/>
      </c>
      <c r="N314" s="61">
        <f>IF(G314="","",IF(AND(G314&gt;=L314,G314&lt;=M314),"OK","NG"))</f>
        <v/>
      </c>
      <c r="O314" s="69">
        <f>IF(N314="","",IF(N314=D314,1,0))</f>
        <v/>
      </c>
      <c r="P314" s="67">
        <f>IF(G314="","",J314-G314)</f>
        <v/>
      </c>
      <c r="Q314" s="67">
        <f>IF(G314="","",ABS(P314-Components!$D$2))</f>
        <v/>
      </c>
      <c r="R314" s="67">
        <f>IF(G314="","",ABS(P314-Components!$D$3))</f>
        <v/>
      </c>
      <c r="S314" s="67">
        <f>IF(G314="","",ABS(P314-Components!$D$4))</f>
        <v/>
      </c>
      <c r="T314" s="67">
        <f>IF(G314="","",ABS(P314-Components!$D$5))</f>
        <v/>
      </c>
      <c r="U314" s="67">
        <f>IF(G314="","",ABS(P314-Components!$D$6))</f>
        <v/>
      </c>
      <c r="V314" s="67">
        <f>IF(G314="","",ABS(P314-Components!$D$7))</f>
        <v/>
      </c>
      <c r="W314" s="61">
        <f>IF(G314="","",IF(N314="OK","NONE",INDEX({"S1","S2","W1","W2","N1","N2"},MATCH(MIN(Q314:V314),Q314:V314,0))))</f>
        <v/>
      </c>
      <c r="X314" s="69">
        <f>IF(G314="","",IF(W314=E314,1,0))</f>
        <v/>
      </c>
      <c r="Y314" s="70" t="n"/>
    </row>
    <row r="315">
      <c r="A315" s="61" t="n">
        <v>44</v>
      </c>
      <c r="B315" s="62" t="n">
        <v>6</v>
      </c>
      <c r="C315" s="61" t="inlineStr">
        <is>
          <t>R6</t>
        </is>
      </c>
      <c r="D315" s="74" t="inlineStr">
        <is>
          <t>NG</t>
        </is>
      </c>
      <c r="E315" s="61" t="inlineStr">
        <is>
          <t>S1</t>
        </is>
      </c>
      <c r="F315" s="61" t="inlineStr">
        <is>
          <t>K044</t>
        </is>
      </c>
      <c r="G315" s="75" t="n">
        <v>5.87</v>
      </c>
      <c r="H315" s="65" t="n"/>
      <c r="I315" s="66" t="n"/>
      <c r="J315" s="67">
        <f>VLOOKUP(C315,Recipes!$A$2:$N$4,10,FALSE())</f>
        <v/>
      </c>
      <c r="K315" s="68">
        <f>VLOOKUP(C315,Recipes!$A$2:$N$4,12,FALSE())</f>
        <v/>
      </c>
      <c r="L315" s="67">
        <f>J315-6*K315</f>
        <v/>
      </c>
      <c r="M315" s="67">
        <f>J315+6*K315</f>
        <v/>
      </c>
      <c r="N315" s="61">
        <f>IF(G315="","",IF(AND(G315&gt;=L315,G315&lt;=M315),"OK","NG"))</f>
        <v/>
      </c>
      <c r="O315" s="69">
        <f>IF(N315="","",IF(N315=D315,1,0))</f>
        <v/>
      </c>
      <c r="P315" s="67">
        <f>IF(G315="","",J315-G315)</f>
        <v/>
      </c>
      <c r="Q315" s="67">
        <f>IF(G315="","",ABS(P315-Components!$D$2))</f>
        <v/>
      </c>
      <c r="R315" s="67">
        <f>IF(G315="","",ABS(P315-Components!$D$3))</f>
        <v/>
      </c>
      <c r="S315" s="67">
        <f>IF(G315="","",ABS(P315-Components!$D$4))</f>
        <v/>
      </c>
      <c r="T315" s="67">
        <f>IF(G315="","",ABS(P315-Components!$D$5))</f>
        <v/>
      </c>
      <c r="U315" s="67">
        <f>IF(G315="","",ABS(P315-Components!$D$6))</f>
        <v/>
      </c>
      <c r="V315" s="67">
        <f>IF(G315="","",ABS(P315-Components!$D$7))</f>
        <v/>
      </c>
      <c r="W315" s="61">
        <f>IF(G315="","",IF(N315="OK","NONE",INDEX({"S1","S2","W1","W2","N1","N2"},MATCH(MIN(Q315:V315),Q315:V315,0))))</f>
        <v/>
      </c>
      <c r="X315" s="69">
        <f>IF(G315="","",IF(W315=E315,1,0))</f>
        <v/>
      </c>
      <c r="Y315" s="70" t="n"/>
    </row>
    <row r="316">
      <c r="A316" s="61" t="n">
        <v>44</v>
      </c>
      <c r="B316" s="62" t="n">
        <v>6</v>
      </c>
      <c r="C316" s="61" t="inlineStr">
        <is>
          <t>R6</t>
        </is>
      </c>
      <c r="D316" s="74" t="inlineStr">
        <is>
          <t>NG</t>
        </is>
      </c>
      <c r="E316" s="61" t="inlineStr">
        <is>
          <t>S1</t>
        </is>
      </c>
      <c r="F316" s="61" t="inlineStr">
        <is>
          <t>K044</t>
        </is>
      </c>
      <c r="G316" s="75" t="n">
        <v>5.87</v>
      </c>
      <c r="H316" s="65" t="n"/>
      <c r="I316" s="66" t="n"/>
      <c r="J316" s="67">
        <f>VLOOKUP(C316,Recipes!$A$2:$N$4,10,FALSE())</f>
        <v/>
      </c>
      <c r="K316" s="68">
        <f>VLOOKUP(C316,Recipes!$A$2:$N$4,12,FALSE())</f>
        <v/>
      </c>
      <c r="L316" s="67">
        <f>J316-6*K316</f>
        <v/>
      </c>
      <c r="M316" s="67">
        <f>J316+6*K316</f>
        <v/>
      </c>
      <c r="N316" s="61">
        <f>IF(G316="","",IF(AND(G316&gt;=L316,G316&lt;=M316),"OK","NG"))</f>
        <v/>
      </c>
      <c r="O316" s="69">
        <f>IF(N316="","",IF(N316=D316,1,0))</f>
        <v/>
      </c>
      <c r="P316" s="67">
        <f>IF(G316="","",J316-G316)</f>
        <v/>
      </c>
      <c r="Q316" s="67">
        <f>IF(G316="","",ABS(P316-Components!$D$2))</f>
        <v/>
      </c>
      <c r="R316" s="67">
        <f>IF(G316="","",ABS(P316-Components!$D$3))</f>
        <v/>
      </c>
      <c r="S316" s="67">
        <f>IF(G316="","",ABS(P316-Components!$D$4))</f>
        <v/>
      </c>
      <c r="T316" s="67">
        <f>IF(G316="","",ABS(P316-Components!$D$5))</f>
        <v/>
      </c>
      <c r="U316" s="67">
        <f>IF(G316="","",ABS(P316-Components!$D$6))</f>
        <v/>
      </c>
      <c r="V316" s="67">
        <f>IF(G316="","",ABS(P316-Components!$D$7))</f>
        <v/>
      </c>
      <c r="W316" s="61">
        <f>IF(G316="","",IF(N316="OK","NONE",INDEX({"S1","S2","W1","W2","N1","N2"},MATCH(MIN(Q316:V316),Q316:V316,0))))</f>
        <v/>
      </c>
      <c r="X316" s="69">
        <f>IF(G316="","",IF(W316=E316,1,0))</f>
        <v/>
      </c>
      <c r="Y316" s="70" t="n"/>
    </row>
    <row r="317">
      <c r="A317" s="61" t="n">
        <v>44</v>
      </c>
      <c r="B317" s="62" t="n">
        <v>6</v>
      </c>
      <c r="C317" s="61" t="inlineStr">
        <is>
          <t>R6</t>
        </is>
      </c>
      <c r="D317" s="74" t="inlineStr">
        <is>
          <t>NG</t>
        </is>
      </c>
      <c r="E317" s="61" t="inlineStr">
        <is>
          <t>S1</t>
        </is>
      </c>
      <c r="F317" s="61" t="inlineStr">
        <is>
          <t>K044</t>
        </is>
      </c>
      <c r="G317" s="75" t="n">
        <v>5.82</v>
      </c>
      <c r="H317" s="65" t="n"/>
      <c r="I317" s="66" t="n"/>
      <c r="J317" s="67">
        <f>VLOOKUP(C317,Recipes!$A$2:$N$4,10,FALSE())</f>
        <v/>
      </c>
      <c r="K317" s="68">
        <f>VLOOKUP(C317,Recipes!$A$2:$N$4,12,FALSE())</f>
        <v/>
      </c>
      <c r="L317" s="67">
        <f>J317-6*K317</f>
        <v/>
      </c>
      <c r="M317" s="67">
        <f>J317+6*K317</f>
        <v/>
      </c>
      <c r="N317" s="61">
        <f>IF(G317="","",IF(AND(G317&gt;=L317,G317&lt;=M317),"OK","NG"))</f>
        <v/>
      </c>
      <c r="O317" s="69">
        <f>IF(N317="","",IF(N317=D317,1,0))</f>
        <v/>
      </c>
      <c r="P317" s="67">
        <f>IF(G317="","",J317-G317)</f>
        <v/>
      </c>
      <c r="Q317" s="67">
        <f>IF(G317="","",ABS(P317-Components!$D$2))</f>
        <v/>
      </c>
      <c r="R317" s="67">
        <f>IF(G317="","",ABS(P317-Components!$D$3))</f>
        <v/>
      </c>
      <c r="S317" s="67">
        <f>IF(G317="","",ABS(P317-Components!$D$4))</f>
        <v/>
      </c>
      <c r="T317" s="67">
        <f>IF(G317="","",ABS(P317-Components!$D$5))</f>
        <v/>
      </c>
      <c r="U317" s="67">
        <f>IF(G317="","",ABS(P317-Components!$D$6))</f>
        <v/>
      </c>
      <c r="V317" s="67">
        <f>IF(G317="","",ABS(P317-Components!$D$7))</f>
        <v/>
      </c>
      <c r="W317" s="61">
        <f>IF(G317="","",IF(N317="OK","NONE",INDEX({"S1","S2","W1","W2","N1","N2"},MATCH(MIN(Q317:V317),Q317:V317,0))))</f>
        <v/>
      </c>
      <c r="X317" s="69">
        <f>IF(G317="","",IF(W317=E317,1,0))</f>
        <v/>
      </c>
      <c r="Y317" s="70" t="n"/>
    </row>
    <row r="318">
      <c r="A318" s="61" t="n">
        <v>44</v>
      </c>
      <c r="B318" s="62" t="n">
        <v>6</v>
      </c>
      <c r="C318" s="61" t="inlineStr">
        <is>
          <t>R6</t>
        </is>
      </c>
      <c r="D318" s="74" t="inlineStr">
        <is>
          <t>NG</t>
        </is>
      </c>
      <c r="E318" s="61" t="inlineStr">
        <is>
          <t>S1</t>
        </is>
      </c>
      <c r="F318" s="61" t="inlineStr">
        <is>
          <t>K044</t>
        </is>
      </c>
      <c r="G318" s="75" t="n">
        <v>5.92</v>
      </c>
      <c r="H318" s="65" t="n"/>
      <c r="I318" s="66" t="n"/>
      <c r="J318" s="67">
        <f>VLOOKUP(C318,Recipes!$A$2:$N$4,10,FALSE())</f>
        <v/>
      </c>
      <c r="K318" s="68">
        <f>VLOOKUP(C318,Recipes!$A$2:$N$4,12,FALSE())</f>
        <v/>
      </c>
      <c r="L318" s="67">
        <f>J318-6*K318</f>
        <v/>
      </c>
      <c r="M318" s="67">
        <f>J318+6*K318</f>
        <v/>
      </c>
      <c r="N318" s="61">
        <f>IF(G318="","",IF(AND(G318&gt;=L318,G318&lt;=M318),"OK","NG"))</f>
        <v/>
      </c>
      <c r="O318" s="69">
        <f>IF(N318="","",IF(N318=D318,1,0))</f>
        <v/>
      </c>
      <c r="P318" s="67">
        <f>IF(G318="","",J318-G318)</f>
        <v/>
      </c>
      <c r="Q318" s="67">
        <f>IF(G318="","",ABS(P318-Components!$D$2))</f>
        <v/>
      </c>
      <c r="R318" s="67">
        <f>IF(G318="","",ABS(P318-Components!$D$3))</f>
        <v/>
      </c>
      <c r="S318" s="67">
        <f>IF(G318="","",ABS(P318-Components!$D$4))</f>
        <v/>
      </c>
      <c r="T318" s="67">
        <f>IF(G318="","",ABS(P318-Components!$D$5))</f>
        <v/>
      </c>
      <c r="U318" s="67">
        <f>IF(G318="","",ABS(P318-Components!$D$6))</f>
        <v/>
      </c>
      <c r="V318" s="67">
        <f>IF(G318="","",ABS(P318-Components!$D$7))</f>
        <v/>
      </c>
      <c r="W318" s="61">
        <f>IF(G318="","",IF(N318="OK","NONE",INDEX({"S1","S2","W1","W2","N1","N2"},MATCH(MIN(Q318:V318),Q318:V318,0))))</f>
        <v/>
      </c>
      <c r="X318" s="69">
        <f>IF(G318="","",IF(W318=E318,1,0))</f>
        <v/>
      </c>
      <c r="Y318" s="70" t="n"/>
    </row>
    <row r="319">
      <c r="A319" s="61" t="n">
        <v>44</v>
      </c>
      <c r="B319" s="62" t="n">
        <v>6</v>
      </c>
      <c r="C319" s="61" t="inlineStr">
        <is>
          <t>R6</t>
        </is>
      </c>
      <c r="D319" s="74" t="inlineStr">
        <is>
          <t>NG</t>
        </is>
      </c>
      <c r="E319" s="61" t="inlineStr">
        <is>
          <t>S1</t>
        </is>
      </c>
      <c r="F319" s="61" t="inlineStr">
        <is>
          <t>K044</t>
        </is>
      </c>
      <c r="G319" s="75" t="n">
        <v>5.84</v>
      </c>
      <c r="H319" s="65" t="n"/>
      <c r="I319" s="66" t="n"/>
      <c r="J319" s="67">
        <f>VLOOKUP(C319,Recipes!$A$2:$N$4,10,FALSE())</f>
        <v/>
      </c>
      <c r="K319" s="68">
        <f>VLOOKUP(C319,Recipes!$A$2:$N$4,12,FALSE())</f>
        <v/>
      </c>
      <c r="L319" s="67">
        <f>J319-6*K319</f>
        <v/>
      </c>
      <c r="M319" s="67">
        <f>J319+6*K319</f>
        <v/>
      </c>
      <c r="N319" s="61">
        <f>IF(G319="","",IF(AND(G319&gt;=L319,G319&lt;=M319),"OK","NG"))</f>
        <v/>
      </c>
      <c r="O319" s="69">
        <f>IF(N319="","",IF(N319=D319,1,0))</f>
        <v/>
      </c>
      <c r="P319" s="67">
        <f>IF(G319="","",J319-G319)</f>
        <v/>
      </c>
      <c r="Q319" s="67">
        <f>IF(G319="","",ABS(P319-Components!$D$2))</f>
        <v/>
      </c>
      <c r="R319" s="67">
        <f>IF(G319="","",ABS(P319-Components!$D$3))</f>
        <v/>
      </c>
      <c r="S319" s="67">
        <f>IF(G319="","",ABS(P319-Components!$D$4))</f>
        <v/>
      </c>
      <c r="T319" s="67">
        <f>IF(G319="","",ABS(P319-Components!$D$5))</f>
        <v/>
      </c>
      <c r="U319" s="67">
        <f>IF(G319="","",ABS(P319-Components!$D$6))</f>
        <v/>
      </c>
      <c r="V319" s="67">
        <f>IF(G319="","",ABS(P319-Components!$D$7))</f>
        <v/>
      </c>
      <c r="W319" s="61">
        <f>IF(G319="","",IF(N319="OK","NONE",INDEX({"S1","S2","W1","W2","N1","N2"},MATCH(MIN(Q319:V319),Q319:V319,0))))</f>
        <v/>
      </c>
      <c r="X319" s="69">
        <f>IF(G319="","",IF(W319=E319,1,0))</f>
        <v/>
      </c>
      <c r="Y319" s="70" t="n"/>
    </row>
    <row r="320">
      <c r="A320" s="61" t="n">
        <v>44</v>
      </c>
      <c r="B320" s="62" t="n">
        <v>6</v>
      </c>
      <c r="C320" s="61" t="inlineStr">
        <is>
          <t>R6</t>
        </is>
      </c>
      <c r="D320" s="74" t="inlineStr">
        <is>
          <t>NG</t>
        </is>
      </c>
      <c r="E320" s="61" t="inlineStr">
        <is>
          <t>S1</t>
        </is>
      </c>
      <c r="F320" s="61" t="inlineStr">
        <is>
          <t>K044</t>
        </is>
      </c>
      <c r="G320" s="75" t="n">
        <v>5.92</v>
      </c>
      <c r="H320" s="65" t="n"/>
      <c r="I320" s="66" t="n"/>
      <c r="J320" s="67">
        <f>VLOOKUP(C320,Recipes!$A$2:$N$4,10,FALSE())</f>
        <v/>
      </c>
      <c r="K320" s="68">
        <f>VLOOKUP(C320,Recipes!$A$2:$N$4,12,FALSE())</f>
        <v/>
      </c>
      <c r="L320" s="67">
        <f>J320-6*K320</f>
        <v/>
      </c>
      <c r="M320" s="67">
        <f>J320+6*K320</f>
        <v/>
      </c>
      <c r="N320" s="61">
        <f>IF(G320="","",IF(AND(G320&gt;=L320,G320&lt;=M320),"OK","NG"))</f>
        <v/>
      </c>
      <c r="O320" s="69">
        <f>IF(N320="","",IF(N320=D320,1,0))</f>
        <v/>
      </c>
      <c r="P320" s="67">
        <f>IF(G320="","",J320-G320)</f>
        <v/>
      </c>
      <c r="Q320" s="67">
        <f>IF(G320="","",ABS(P320-Components!$D$2))</f>
        <v/>
      </c>
      <c r="R320" s="67">
        <f>IF(G320="","",ABS(P320-Components!$D$3))</f>
        <v/>
      </c>
      <c r="S320" s="67">
        <f>IF(G320="","",ABS(P320-Components!$D$4))</f>
        <v/>
      </c>
      <c r="T320" s="67">
        <f>IF(G320="","",ABS(P320-Components!$D$5))</f>
        <v/>
      </c>
      <c r="U320" s="67">
        <f>IF(G320="","",ABS(P320-Components!$D$6))</f>
        <v/>
      </c>
      <c r="V320" s="67">
        <f>IF(G320="","",ABS(P320-Components!$D$7))</f>
        <v/>
      </c>
      <c r="W320" s="61">
        <f>IF(G320="","",IF(N320="OK","NONE",INDEX({"S1","S2","W1","W2","N1","N2"},MATCH(MIN(Q320:V320),Q320:V320,0))))</f>
        <v/>
      </c>
      <c r="X320" s="69">
        <f>IF(G320="","",IF(W320=E320,1,0))</f>
        <v/>
      </c>
      <c r="Y320" s="70" t="n"/>
    </row>
    <row r="321">
      <c r="A321" s="61" t="n">
        <v>44</v>
      </c>
      <c r="B321" s="62" t="n">
        <v>6</v>
      </c>
      <c r="C321" s="61" t="inlineStr">
        <is>
          <t>R6</t>
        </is>
      </c>
      <c r="D321" s="74" t="inlineStr">
        <is>
          <t>NG</t>
        </is>
      </c>
      <c r="E321" s="61" t="inlineStr">
        <is>
          <t>S1</t>
        </is>
      </c>
      <c r="F321" s="61" t="inlineStr">
        <is>
          <t>K044</t>
        </is>
      </c>
      <c r="G321" s="75" t="n">
        <v>5.87</v>
      </c>
      <c r="H321" s="65" t="n"/>
      <c r="I321" s="66" t="n"/>
      <c r="J321" s="67">
        <f>VLOOKUP(C321,Recipes!$A$2:$N$4,10,FALSE())</f>
        <v/>
      </c>
      <c r="K321" s="68">
        <f>VLOOKUP(C321,Recipes!$A$2:$N$4,12,FALSE())</f>
        <v/>
      </c>
      <c r="L321" s="67">
        <f>J321-6*K321</f>
        <v/>
      </c>
      <c r="M321" s="67">
        <f>J321+6*K321</f>
        <v/>
      </c>
      <c r="N321" s="61">
        <f>IF(G321="","",IF(AND(G321&gt;=L321,G321&lt;=M321),"OK","NG"))</f>
        <v/>
      </c>
      <c r="O321" s="69">
        <f>IF(N321="","",IF(N321=D321,1,0))</f>
        <v/>
      </c>
      <c r="P321" s="67">
        <f>IF(G321="","",J321-G321)</f>
        <v/>
      </c>
      <c r="Q321" s="67">
        <f>IF(G321="","",ABS(P321-Components!$D$2))</f>
        <v/>
      </c>
      <c r="R321" s="67">
        <f>IF(G321="","",ABS(P321-Components!$D$3))</f>
        <v/>
      </c>
      <c r="S321" s="67">
        <f>IF(G321="","",ABS(P321-Components!$D$4))</f>
        <v/>
      </c>
      <c r="T321" s="67">
        <f>IF(G321="","",ABS(P321-Components!$D$5))</f>
        <v/>
      </c>
      <c r="U321" s="67">
        <f>IF(G321="","",ABS(P321-Components!$D$6))</f>
        <v/>
      </c>
      <c r="V321" s="67">
        <f>IF(G321="","",ABS(P321-Components!$D$7))</f>
        <v/>
      </c>
      <c r="W321" s="61">
        <f>IF(G321="","",IF(N321="OK","NONE",INDEX({"S1","S2","W1","W2","N1","N2"},MATCH(MIN(Q321:V321),Q321:V321,0))))</f>
        <v/>
      </c>
      <c r="X321" s="69">
        <f>IF(G321="","",IF(W321=E321,1,0))</f>
        <v/>
      </c>
      <c r="Y321" s="70" t="n"/>
    </row>
    <row r="322">
      <c r="A322" s="61" t="n">
        <v>44</v>
      </c>
      <c r="B322" s="62" t="n">
        <v>6</v>
      </c>
      <c r="C322" s="61" t="inlineStr">
        <is>
          <t>R6</t>
        </is>
      </c>
      <c r="D322" s="74" t="inlineStr">
        <is>
          <t>NG</t>
        </is>
      </c>
      <c r="E322" s="61" t="inlineStr">
        <is>
          <t>S1</t>
        </is>
      </c>
      <c r="F322" s="61" t="inlineStr">
        <is>
          <t>K044</t>
        </is>
      </c>
      <c r="G322" s="75" t="n">
        <v>5.82</v>
      </c>
      <c r="H322" s="65" t="n"/>
      <c r="I322" s="66" t="n"/>
      <c r="J322" s="67">
        <f>VLOOKUP(C322,Recipes!$A$2:$N$4,10,FALSE())</f>
        <v/>
      </c>
      <c r="K322" s="68">
        <f>VLOOKUP(C322,Recipes!$A$2:$N$4,12,FALSE())</f>
        <v/>
      </c>
      <c r="L322" s="67">
        <f>J322-6*K322</f>
        <v/>
      </c>
      <c r="M322" s="67">
        <f>J322+6*K322</f>
        <v/>
      </c>
      <c r="N322" s="61">
        <f>IF(G322="","",IF(AND(G322&gt;=L322,G322&lt;=M322),"OK","NG"))</f>
        <v/>
      </c>
      <c r="O322" s="69">
        <f>IF(N322="","",IF(N322=D322,1,0))</f>
        <v/>
      </c>
      <c r="P322" s="67">
        <f>IF(G322="","",J322-G322)</f>
        <v/>
      </c>
      <c r="Q322" s="67">
        <f>IF(G322="","",ABS(P322-Components!$D$2))</f>
        <v/>
      </c>
      <c r="R322" s="67">
        <f>IF(G322="","",ABS(P322-Components!$D$3))</f>
        <v/>
      </c>
      <c r="S322" s="67">
        <f>IF(G322="","",ABS(P322-Components!$D$4))</f>
        <v/>
      </c>
      <c r="T322" s="67">
        <f>IF(G322="","",ABS(P322-Components!$D$5))</f>
        <v/>
      </c>
      <c r="U322" s="67">
        <f>IF(G322="","",ABS(P322-Components!$D$6))</f>
        <v/>
      </c>
      <c r="V322" s="67">
        <f>IF(G322="","",ABS(P322-Components!$D$7))</f>
        <v/>
      </c>
      <c r="W322" s="61">
        <f>IF(G322="","",IF(N322="OK","NONE",INDEX({"S1","S2","W1","W2","N1","N2"},MATCH(MIN(Q322:V322),Q322:V322,0))))</f>
        <v/>
      </c>
      <c r="X322" s="69">
        <f>IF(G322="","",IF(W322=E322,1,0))</f>
        <v/>
      </c>
      <c r="Y322" s="70" t="n"/>
    </row>
    <row r="323">
      <c r="A323" s="61" t="n">
        <v>44</v>
      </c>
      <c r="B323" s="62" t="n">
        <v>6</v>
      </c>
      <c r="C323" s="61" t="inlineStr">
        <is>
          <t>R6</t>
        </is>
      </c>
      <c r="D323" s="74" t="inlineStr">
        <is>
          <t>NG</t>
        </is>
      </c>
      <c r="E323" s="61" t="inlineStr">
        <is>
          <t>S1</t>
        </is>
      </c>
      <c r="F323" s="61" t="inlineStr">
        <is>
          <t>K044</t>
        </is>
      </c>
      <c r="G323" s="75" t="n">
        <v>5.77</v>
      </c>
      <c r="H323" s="65" t="n"/>
      <c r="I323" s="66" t="n"/>
      <c r="J323" s="67">
        <f>VLOOKUP(C323,Recipes!$A$2:$N$4,10,FALSE())</f>
        <v/>
      </c>
      <c r="K323" s="68">
        <f>VLOOKUP(C323,Recipes!$A$2:$N$4,12,FALSE())</f>
        <v/>
      </c>
      <c r="L323" s="67">
        <f>J323-6*K323</f>
        <v/>
      </c>
      <c r="M323" s="67">
        <f>J323+6*K323</f>
        <v/>
      </c>
      <c r="N323" s="61">
        <f>IF(G323="","",IF(AND(G323&gt;=L323,G323&lt;=M323),"OK","NG"))</f>
        <v/>
      </c>
      <c r="O323" s="69">
        <f>IF(N323="","",IF(N323=D323,1,0))</f>
        <v/>
      </c>
      <c r="P323" s="67">
        <f>IF(G323="","",J323-G323)</f>
        <v/>
      </c>
      <c r="Q323" s="67">
        <f>IF(G323="","",ABS(P323-Components!$D$2))</f>
        <v/>
      </c>
      <c r="R323" s="67">
        <f>IF(G323="","",ABS(P323-Components!$D$3))</f>
        <v/>
      </c>
      <c r="S323" s="67">
        <f>IF(G323="","",ABS(P323-Components!$D$4))</f>
        <v/>
      </c>
      <c r="T323" s="67">
        <f>IF(G323="","",ABS(P323-Components!$D$5))</f>
        <v/>
      </c>
      <c r="U323" s="67">
        <f>IF(G323="","",ABS(P323-Components!$D$6))</f>
        <v/>
      </c>
      <c r="V323" s="67">
        <f>IF(G323="","",ABS(P323-Components!$D$7))</f>
        <v/>
      </c>
      <c r="W323" s="61">
        <f>IF(G323="","",IF(N323="OK","NONE",INDEX({"S1","S2","W1","W2","N1","N2"},MATCH(MIN(Q323:V323),Q323:V323,0))))</f>
        <v/>
      </c>
      <c r="X323" s="69">
        <f>IF(G323="","",IF(W323=E323,1,0))</f>
        <v/>
      </c>
      <c r="Y323" s="70" t="n"/>
    </row>
    <row r="324">
      <c r="A324" s="61" t="n">
        <v>44</v>
      </c>
      <c r="B324" s="62" t="n">
        <v>6</v>
      </c>
      <c r="C324" s="61" t="inlineStr">
        <is>
          <t>R6</t>
        </is>
      </c>
      <c r="D324" s="74" t="inlineStr">
        <is>
          <t>NG</t>
        </is>
      </c>
      <c r="E324" s="61" t="inlineStr">
        <is>
          <t>S1</t>
        </is>
      </c>
      <c r="F324" s="61" t="inlineStr">
        <is>
          <t>K044</t>
        </is>
      </c>
      <c r="G324" s="75" t="n">
        <v>5.83</v>
      </c>
      <c r="H324" s="65" t="n"/>
      <c r="I324" s="66" t="n"/>
      <c r="J324" s="67">
        <f>VLOOKUP(C324,Recipes!$A$2:$N$4,10,FALSE())</f>
        <v/>
      </c>
      <c r="K324" s="68">
        <f>VLOOKUP(C324,Recipes!$A$2:$N$4,12,FALSE())</f>
        <v/>
      </c>
      <c r="L324" s="67">
        <f>J324-6*K324</f>
        <v/>
      </c>
      <c r="M324" s="67">
        <f>J324+6*K324</f>
        <v/>
      </c>
      <c r="N324" s="61">
        <f>IF(G324="","",IF(AND(G324&gt;=L324,G324&lt;=M324),"OK","NG"))</f>
        <v/>
      </c>
      <c r="O324" s="69">
        <f>IF(N324="","",IF(N324=D324,1,0))</f>
        <v/>
      </c>
      <c r="P324" s="67">
        <f>IF(G324="","",J324-G324)</f>
        <v/>
      </c>
      <c r="Q324" s="67">
        <f>IF(G324="","",ABS(P324-Components!$D$2))</f>
        <v/>
      </c>
      <c r="R324" s="67">
        <f>IF(G324="","",ABS(P324-Components!$D$3))</f>
        <v/>
      </c>
      <c r="S324" s="67">
        <f>IF(G324="","",ABS(P324-Components!$D$4))</f>
        <v/>
      </c>
      <c r="T324" s="67">
        <f>IF(G324="","",ABS(P324-Components!$D$5))</f>
        <v/>
      </c>
      <c r="U324" s="67">
        <f>IF(G324="","",ABS(P324-Components!$D$6))</f>
        <v/>
      </c>
      <c r="V324" s="67">
        <f>IF(G324="","",ABS(P324-Components!$D$7))</f>
        <v/>
      </c>
      <c r="W324" s="61">
        <f>IF(G324="","",IF(N324="OK","NONE",INDEX({"S1","S2","W1","W2","N1","N2"},MATCH(MIN(Q324:V324),Q324:V324,0))))</f>
        <v/>
      </c>
      <c r="X324" s="69">
        <f>IF(G324="","",IF(W324=E324,1,0))</f>
        <v/>
      </c>
      <c r="Y324" s="70" t="n"/>
    </row>
    <row r="325">
      <c r="A325" s="61" t="n">
        <v>44</v>
      </c>
      <c r="B325" s="62" t="n">
        <v>6</v>
      </c>
      <c r="C325" s="61" t="inlineStr">
        <is>
          <t>R6</t>
        </is>
      </c>
      <c r="D325" s="74" t="inlineStr">
        <is>
          <t>NG</t>
        </is>
      </c>
      <c r="E325" s="61" t="inlineStr">
        <is>
          <t>S1</t>
        </is>
      </c>
      <c r="F325" s="61" t="inlineStr">
        <is>
          <t>K044</t>
        </is>
      </c>
      <c r="G325" s="75" t="n">
        <v>5.85</v>
      </c>
      <c r="H325" s="65" t="n"/>
      <c r="I325" s="66" t="n"/>
      <c r="J325" s="67">
        <f>VLOOKUP(C325,Recipes!$A$2:$N$4,10,FALSE())</f>
        <v/>
      </c>
      <c r="K325" s="68">
        <f>VLOOKUP(C325,Recipes!$A$2:$N$4,12,FALSE())</f>
        <v/>
      </c>
      <c r="L325" s="67">
        <f>J325-6*K325</f>
        <v/>
      </c>
      <c r="M325" s="67">
        <f>J325+6*K325</f>
        <v/>
      </c>
      <c r="N325" s="61">
        <f>IF(G325="","",IF(AND(G325&gt;=L325,G325&lt;=M325),"OK","NG"))</f>
        <v/>
      </c>
      <c r="O325" s="69">
        <f>IF(N325="","",IF(N325=D325,1,0))</f>
        <v/>
      </c>
      <c r="P325" s="67">
        <f>IF(G325="","",J325-G325)</f>
        <v/>
      </c>
      <c r="Q325" s="67">
        <f>IF(G325="","",ABS(P325-Components!$D$2))</f>
        <v/>
      </c>
      <c r="R325" s="67">
        <f>IF(G325="","",ABS(P325-Components!$D$3))</f>
        <v/>
      </c>
      <c r="S325" s="67">
        <f>IF(G325="","",ABS(P325-Components!$D$4))</f>
        <v/>
      </c>
      <c r="T325" s="67">
        <f>IF(G325="","",ABS(P325-Components!$D$5))</f>
        <v/>
      </c>
      <c r="U325" s="67">
        <f>IF(G325="","",ABS(P325-Components!$D$6))</f>
        <v/>
      </c>
      <c r="V325" s="67">
        <f>IF(G325="","",ABS(P325-Components!$D$7))</f>
        <v/>
      </c>
      <c r="W325" s="61">
        <f>IF(G325="","",IF(N325="OK","NONE",INDEX({"S1","S2","W1","W2","N1","N2"},MATCH(MIN(Q325:V325),Q325:V325,0))))</f>
        <v/>
      </c>
      <c r="X325" s="69">
        <f>IF(G325="","",IF(W325=E325,1,0))</f>
        <v/>
      </c>
      <c r="Y325" s="70" t="n"/>
    </row>
    <row r="326">
      <c r="A326" s="61" t="n">
        <v>44</v>
      </c>
      <c r="B326" s="62" t="n">
        <v>6</v>
      </c>
      <c r="C326" s="61" t="inlineStr">
        <is>
          <t>R6</t>
        </is>
      </c>
      <c r="D326" s="74" t="inlineStr">
        <is>
          <t>NG</t>
        </is>
      </c>
      <c r="E326" s="61" t="inlineStr">
        <is>
          <t>S1</t>
        </is>
      </c>
      <c r="F326" s="61" t="inlineStr">
        <is>
          <t>K044</t>
        </is>
      </c>
      <c r="G326" s="75" t="n">
        <v>5.86</v>
      </c>
      <c r="H326" s="65" t="n"/>
      <c r="I326" s="66" t="n"/>
      <c r="J326" s="67">
        <f>VLOOKUP(C326,Recipes!$A$2:$N$4,10,FALSE())</f>
        <v/>
      </c>
      <c r="K326" s="68">
        <f>VLOOKUP(C326,Recipes!$A$2:$N$4,12,FALSE())</f>
        <v/>
      </c>
      <c r="L326" s="67">
        <f>J326-6*K326</f>
        <v/>
      </c>
      <c r="M326" s="67">
        <f>J326+6*K326</f>
        <v/>
      </c>
      <c r="N326" s="61">
        <f>IF(G326="","",IF(AND(G326&gt;=L326,G326&lt;=M326),"OK","NG"))</f>
        <v/>
      </c>
      <c r="O326" s="69">
        <f>IF(N326="","",IF(N326=D326,1,0))</f>
        <v/>
      </c>
      <c r="P326" s="67">
        <f>IF(G326="","",J326-G326)</f>
        <v/>
      </c>
      <c r="Q326" s="67">
        <f>IF(G326="","",ABS(P326-Components!$D$2))</f>
        <v/>
      </c>
      <c r="R326" s="67">
        <f>IF(G326="","",ABS(P326-Components!$D$3))</f>
        <v/>
      </c>
      <c r="S326" s="67">
        <f>IF(G326="","",ABS(P326-Components!$D$4))</f>
        <v/>
      </c>
      <c r="T326" s="67">
        <f>IF(G326="","",ABS(P326-Components!$D$5))</f>
        <v/>
      </c>
      <c r="U326" s="67">
        <f>IF(G326="","",ABS(P326-Components!$D$6))</f>
        <v/>
      </c>
      <c r="V326" s="67">
        <f>IF(G326="","",ABS(P326-Components!$D$7))</f>
        <v/>
      </c>
      <c r="W326" s="61">
        <f>IF(G326="","",IF(N326="OK","NONE",INDEX({"S1","S2","W1","W2","N1","N2"},MATCH(MIN(Q326:V326),Q326:V326,0))))</f>
        <v/>
      </c>
      <c r="X326" s="69">
        <f>IF(G326="","",IF(W326=E326,1,0))</f>
        <v/>
      </c>
      <c r="Y326" s="70" t="n"/>
    </row>
    <row r="327">
      <c r="A327" s="61" t="n">
        <v>44</v>
      </c>
      <c r="B327" s="62" t="n">
        <v>6</v>
      </c>
      <c r="C327" s="61" t="inlineStr">
        <is>
          <t>R6</t>
        </is>
      </c>
      <c r="D327" s="74" t="inlineStr">
        <is>
          <t>NG</t>
        </is>
      </c>
      <c r="E327" s="61" t="inlineStr">
        <is>
          <t>S1</t>
        </is>
      </c>
      <c r="F327" s="61" t="inlineStr">
        <is>
          <t>K044</t>
        </is>
      </c>
      <c r="G327" s="75" t="n">
        <v>5.87</v>
      </c>
      <c r="H327" s="65" t="n"/>
      <c r="I327" s="66" t="n"/>
      <c r="J327" s="67">
        <f>VLOOKUP(C327,Recipes!$A$2:$N$4,10,FALSE())</f>
        <v/>
      </c>
      <c r="K327" s="68">
        <f>VLOOKUP(C327,Recipes!$A$2:$N$4,12,FALSE())</f>
        <v/>
      </c>
      <c r="L327" s="67">
        <f>J327-6*K327</f>
        <v/>
      </c>
      <c r="M327" s="67">
        <f>J327+6*K327</f>
        <v/>
      </c>
      <c r="N327" s="61">
        <f>IF(G327="","",IF(AND(G327&gt;=L327,G327&lt;=M327),"OK","NG"))</f>
        <v/>
      </c>
      <c r="O327" s="69">
        <f>IF(N327="","",IF(N327=D327,1,0))</f>
        <v/>
      </c>
      <c r="P327" s="67">
        <f>IF(G327="","",J327-G327)</f>
        <v/>
      </c>
      <c r="Q327" s="67">
        <f>IF(G327="","",ABS(P327-Components!$D$2))</f>
        <v/>
      </c>
      <c r="R327" s="67">
        <f>IF(G327="","",ABS(P327-Components!$D$3))</f>
        <v/>
      </c>
      <c r="S327" s="67">
        <f>IF(G327="","",ABS(P327-Components!$D$4))</f>
        <v/>
      </c>
      <c r="T327" s="67">
        <f>IF(G327="","",ABS(P327-Components!$D$5))</f>
        <v/>
      </c>
      <c r="U327" s="67">
        <f>IF(G327="","",ABS(P327-Components!$D$6))</f>
        <v/>
      </c>
      <c r="V327" s="67">
        <f>IF(G327="","",ABS(P327-Components!$D$7))</f>
        <v/>
      </c>
      <c r="W327" s="61">
        <f>IF(G327="","",IF(N327="OK","NONE",INDEX({"S1","S2","W1","W2","N1","N2"},MATCH(MIN(Q327:V327),Q327:V327,0))))</f>
        <v/>
      </c>
      <c r="X327" s="69">
        <f>IF(G327="","",IF(W327=E327,1,0))</f>
        <v/>
      </c>
      <c r="Y327" s="70" t="n"/>
    </row>
    <row r="328">
      <c r="A328" s="61" t="n">
        <v>44</v>
      </c>
      <c r="B328" s="62" t="n">
        <v>6</v>
      </c>
      <c r="C328" s="61" t="inlineStr">
        <is>
          <t>R6</t>
        </is>
      </c>
      <c r="D328" s="74" t="inlineStr">
        <is>
          <t>NG</t>
        </is>
      </c>
      <c r="E328" s="61" t="inlineStr">
        <is>
          <t>S1</t>
        </is>
      </c>
      <c r="F328" s="61" t="inlineStr">
        <is>
          <t>K044</t>
        </is>
      </c>
      <c r="G328" s="75" t="n">
        <v>5.81</v>
      </c>
      <c r="H328" s="65" t="n"/>
      <c r="I328" s="66" t="n"/>
      <c r="J328" s="67">
        <f>VLOOKUP(C328,Recipes!$A$2:$N$4,10,FALSE())</f>
        <v/>
      </c>
      <c r="K328" s="68">
        <f>VLOOKUP(C328,Recipes!$A$2:$N$4,12,FALSE())</f>
        <v/>
      </c>
      <c r="L328" s="67">
        <f>J328-6*K328</f>
        <v/>
      </c>
      <c r="M328" s="67">
        <f>J328+6*K328</f>
        <v/>
      </c>
      <c r="N328" s="61">
        <f>IF(G328="","",IF(AND(G328&gt;=L328,G328&lt;=M328),"OK","NG"))</f>
        <v/>
      </c>
      <c r="O328" s="69">
        <f>IF(N328="","",IF(N328=D328,1,0))</f>
        <v/>
      </c>
      <c r="P328" s="67">
        <f>IF(G328="","",J328-G328)</f>
        <v/>
      </c>
      <c r="Q328" s="67">
        <f>IF(G328="","",ABS(P328-Components!$D$2))</f>
        <v/>
      </c>
      <c r="R328" s="67">
        <f>IF(G328="","",ABS(P328-Components!$D$3))</f>
        <v/>
      </c>
      <c r="S328" s="67">
        <f>IF(G328="","",ABS(P328-Components!$D$4))</f>
        <v/>
      </c>
      <c r="T328" s="67">
        <f>IF(G328="","",ABS(P328-Components!$D$5))</f>
        <v/>
      </c>
      <c r="U328" s="67">
        <f>IF(G328="","",ABS(P328-Components!$D$6))</f>
        <v/>
      </c>
      <c r="V328" s="67">
        <f>IF(G328="","",ABS(P328-Components!$D$7))</f>
        <v/>
      </c>
      <c r="W328" s="61">
        <f>IF(G328="","",IF(N328="OK","NONE",INDEX({"S1","S2","W1","W2","N1","N2"},MATCH(MIN(Q328:V328),Q328:V328,0))))</f>
        <v/>
      </c>
      <c r="X328" s="69">
        <f>IF(G328="","",IF(W328=E328,1,0))</f>
        <v/>
      </c>
      <c r="Y328" s="70" t="n"/>
    </row>
    <row r="329">
      <c r="A329" s="61" t="n">
        <v>44</v>
      </c>
      <c r="B329" s="62" t="n">
        <v>6</v>
      </c>
      <c r="C329" s="61" t="inlineStr">
        <is>
          <t>R6</t>
        </is>
      </c>
      <c r="D329" s="74" t="inlineStr">
        <is>
          <t>NG</t>
        </is>
      </c>
      <c r="E329" s="61" t="inlineStr">
        <is>
          <t>S1</t>
        </is>
      </c>
      <c r="F329" s="61" t="inlineStr">
        <is>
          <t>K044</t>
        </is>
      </c>
      <c r="G329" s="75" t="n">
        <v>5.83</v>
      </c>
      <c r="H329" s="65" t="n"/>
      <c r="I329" s="66" t="n"/>
      <c r="J329" s="67">
        <f>VLOOKUP(C329,Recipes!$A$2:$N$4,10,FALSE())</f>
        <v/>
      </c>
      <c r="K329" s="68">
        <f>VLOOKUP(C329,Recipes!$A$2:$N$4,12,FALSE())</f>
        <v/>
      </c>
      <c r="L329" s="67">
        <f>J329-6*K329</f>
        <v/>
      </c>
      <c r="M329" s="67">
        <f>J329+6*K329</f>
        <v/>
      </c>
      <c r="N329" s="61">
        <f>IF(G329="","",IF(AND(G329&gt;=L329,G329&lt;=M329),"OK","NG"))</f>
        <v/>
      </c>
      <c r="O329" s="69">
        <f>IF(N329="","",IF(N329=D329,1,0))</f>
        <v/>
      </c>
      <c r="P329" s="67">
        <f>IF(G329="","",J329-G329)</f>
        <v/>
      </c>
      <c r="Q329" s="67">
        <f>IF(G329="","",ABS(P329-Components!$D$2))</f>
        <v/>
      </c>
      <c r="R329" s="67">
        <f>IF(G329="","",ABS(P329-Components!$D$3))</f>
        <v/>
      </c>
      <c r="S329" s="67">
        <f>IF(G329="","",ABS(P329-Components!$D$4))</f>
        <v/>
      </c>
      <c r="T329" s="67">
        <f>IF(G329="","",ABS(P329-Components!$D$5))</f>
        <v/>
      </c>
      <c r="U329" s="67">
        <f>IF(G329="","",ABS(P329-Components!$D$6))</f>
        <v/>
      </c>
      <c r="V329" s="67">
        <f>IF(G329="","",ABS(P329-Components!$D$7))</f>
        <v/>
      </c>
      <c r="W329" s="61">
        <f>IF(G329="","",IF(N329="OK","NONE",INDEX({"S1","S2","W1","W2","N1","N2"},MATCH(MIN(Q329:V329),Q329:V329,0))))</f>
        <v/>
      </c>
      <c r="X329" s="69">
        <f>IF(G329="","",IF(W329=E329,1,0))</f>
        <v/>
      </c>
      <c r="Y329" s="70" t="n"/>
    </row>
    <row r="330">
      <c r="A330" s="61" t="n">
        <v>44</v>
      </c>
      <c r="B330" s="62" t="n">
        <v>6</v>
      </c>
      <c r="C330" s="61" t="inlineStr">
        <is>
          <t>R6</t>
        </is>
      </c>
      <c r="D330" s="74" t="inlineStr">
        <is>
          <t>NG</t>
        </is>
      </c>
      <c r="E330" s="61" t="inlineStr">
        <is>
          <t>S1</t>
        </is>
      </c>
      <c r="F330" s="61" t="inlineStr">
        <is>
          <t>K044</t>
        </is>
      </c>
      <c r="G330" s="75" t="n">
        <v>5.87</v>
      </c>
      <c r="H330" s="65" t="n"/>
      <c r="I330" s="66" t="n"/>
      <c r="J330" s="67">
        <f>VLOOKUP(C330,Recipes!$A$2:$N$4,10,FALSE())</f>
        <v/>
      </c>
      <c r="K330" s="68">
        <f>VLOOKUP(C330,Recipes!$A$2:$N$4,12,FALSE())</f>
        <v/>
      </c>
      <c r="L330" s="67">
        <f>J330-6*K330</f>
        <v/>
      </c>
      <c r="M330" s="67">
        <f>J330+6*K330</f>
        <v/>
      </c>
      <c r="N330" s="61">
        <f>IF(G330="","",IF(AND(G330&gt;=L330,G330&lt;=M330),"OK","NG"))</f>
        <v/>
      </c>
      <c r="O330" s="69">
        <f>IF(N330="","",IF(N330=D330,1,0))</f>
        <v/>
      </c>
      <c r="P330" s="67">
        <f>IF(G330="","",J330-G330)</f>
        <v/>
      </c>
      <c r="Q330" s="67">
        <f>IF(G330="","",ABS(P330-Components!$D$2))</f>
        <v/>
      </c>
      <c r="R330" s="67">
        <f>IF(G330="","",ABS(P330-Components!$D$3))</f>
        <v/>
      </c>
      <c r="S330" s="67">
        <f>IF(G330="","",ABS(P330-Components!$D$4))</f>
        <v/>
      </c>
      <c r="T330" s="67">
        <f>IF(G330="","",ABS(P330-Components!$D$5))</f>
        <v/>
      </c>
      <c r="U330" s="67">
        <f>IF(G330="","",ABS(P330-Components!$D$6))</f>
        <v/>
      </c>
      <c r="V330" s="67">
        <f>IF(G330="","",ABS(P330-Components!$D$7))</f>
        <v/>
      </c>
      <c r="W330" s="61">
        <f>IF(G330="","",IF(N330="OK","NONE",INDEX({"S1","S2","W1","W2","N1","N2"},MATCH(MIN(Q330:V330),Q330:V330,0))))</f>
        <v/>
      </c>
      <c r="X330" s="69">
        <f>IF(G330="","",IF(W330=E330,1,0))</f>
        <v/>
      </c>
      <c r="Y330" s="70" t="n"/>
    </row>
    <row r="331">
      <c r="A331" s="61" t="n">
        <v>44</v>
      </c>
      <c r="B331" s="62" t="n">
        <v>6</v>
      </c>
      <c r="C331" s="61" t="inlineStr">
        <is>
          <t>R6</t>
        </is>
      </c>
      <c r="D331" s="74" t="inlineStr">
        <is>
          <t>NG</t>
        </is>
      </c>
      <c r="E331" s="61" t="inlineStr">
        <is>
          <t>S1</t>
        </is>
      </c>
      <c r="F331" s="61" t="inlineStr">
        <is>
          <t>K044</t>
        </is>
      </c>
      <c r="G331" s="75" t="n">
        <v>5.8</v>
      </c>
      <c r="H331" s="65" t="n"/>
      <c r="I331" s="66" t="n"/>
      <c r="J331" s="67">
        <f>VLOOKUP(C331,Recipes!$A$2:$N$4,10,FALSE())</f>
        <v/>
      </c>
      <c r="K331" s="68">
        <f>VLOOKUP(C331,Recipes!$A$2:$N$4,12,FALSE())</f>
        <v/>
      </c>
      <c r="L331" s="67">
        <f>J331-6*K331</f>
        <v/>
      </c>
      <c r="M331" s="67">
        <f>J331+6*K331</f>
        <v/>
      </c>
      <c r="N331" s="61">
        <f>IF(G331="","",IF(AND(G331&gt;=L331,G331&lt;=M331),"OK","NG"))</f>
        <v/>
      </c>
      <c r="O331" s="69">
        <f>IF(N331="","",IF(N331=D331,1,0))</f>
        <v/>
      </c>
      <c r="P331" s="67">
        <f>IF(G331="","",J331-G331)</f>
        <v/>
      </c>
      <c r="Q331" s="67">
        <f>IF(G331="","",ABS(P331-Components!$D$2))</f>
        <v/>
      </c>
      <c r="R331" s="67">
        <f>IF(G331="","",ABS(P331-Components!$D$3))</f>
        <v/>
      </c>
      <c r="S331" s="67">
        <f>IF(G331="","",ABS(P331-Components!$D$4))</f>
        <v/>
      </c>
      <c r="T331" s="67">
        <f>IF(G331="","",ABS(P331-Components!$D$5))</f>
        <v/>
      </c>
      <c r="U331" s="67">
        <f>IF(G331="","",ABS(P331-Components!$D$6))</f>
        <v/>
      </c>
      <c r="V331" s="67">
        <f>IF(G331="","",ABS(P331-Components!$D$7))</f>
        <v/>
      </c>
      <c r="W331" s="61">
        <f>IF(G331="","",IF(N331="OK","NONE",INDEX({"S1","S2","W1","W2","N1","N2"},MATCH(MIN(Q331:V331),Q331:V331,0))))</f>
        <v/>
      </c>
      <c r="X331" s="69">
        <f>IF(G331="","",IF(W331=E331,1,0))</f>
        <v/>
      </c>
      <c r="Y331" s="70" t="n"/>
    </row>
    <row r="332">
      <c r="A332" s="61" t="n">
        <v>44</v>
      </c>
      <c r="B332" s="62" t="n">
        <v>6</v>
      </c>
      <c r="C332" s="61" t="inlineStr">
        <is>
          <t>R6</t>
        </is>
      </c>
      <c r="D332" s="74" t="inlineStr">
        <is>
          <t>NG</t>
        </is>
      </c>
      <c r="E332" s="61" t="inlineStr">
        <is>
          <t>S1</t>
        </is>
      </c>
      <c r="F332" s="61" t="inlineStr">
        <is>
          <t>K044</t>
        </is>
      </c>
      <c r="G332" s="75" t="n">
        <v>5.86</v>
      </c>
      <c r="H332" s="65" t="n"/>
      <c r="I332" s="66" t="n"/>
      <c r="J332" s="67">
        <f>VLOOKUP(C332,Recipes!$A$2:$N$4,10,FALSE())</f>
        <v/>
      </c>
      <c r="K332" s="68">
        <f>VLOOKUP(C332,Recipes!$A$2:$N$4,12,FALSE())</f>
        <v/>
      </c>
      <c r="L332" s="67">
        <f>J332-6*K332</f>
        <v/>
      </c>
      <c r="M332" s="67">
        <f>J332+6*K332</f>
        <v/>
      </c>
      <c r="N332" s="61">
        <f>IF(G332="","",IF(AND(G332&gt;=L332,G332&lt;=M332),"OK","NG"))</f>
        <v/>
      </c>
      <c r="O332" s="69">
        <f>IF(N332="","",IF(N332=D332,1,0))</f>
        <v/>
      </c>
      <c r="P332" s="67">
        <f>IF(G332="","",J332-G332)</f>
        <v/>
      </c>
      <c r="Q332" s="67">
        <f>IF(G332="","",ABS(P332-Components!$D$2))</f>
        <v/>
      </c>
      <c r="R332" s="67">
        <f>IF(G332="","",ABS(P332-Components!$D$3))</f>
        <v/>
      </c>
      <c r="S332" s="67">
        <f>IF(G332="","",ABS(P332-Components!$D$4))</f>
        <v/>
      </c>
      <c r="T332" s="67">
        <f>IF(G332="","",ABS(P332-Components!$D$5))</f>
        <v/>
      </c>
      <c r="U332" s="67">
        <f>IF(G332="","",ABS(P332-Components!$D$6))</f>
        <v/>
      </c>
      <c r="V332" s="67">
        <f>IF(G332="","",ABS(P332-Components!$D$7))</f>
        <v/>
      </c>
      <c r="W332" s="61">
        <f>IF(G332="","",IF(N332="OK","NONE",INDEX({"S1","S2","W1","W2","N1","N2"},MATCH(MIN(Q332:V332),Q332:V332,0))))</f>
        <v/>
      </c>
      <c r="X332" s="69">
        <f>IF(G332="","",IF(W332=E332,1,0))</f>
        <v/>
      </c>
      <c r="Y332" s="70" t="n"/>
    </row>
    <row r="333">
      <c r="A333" s="61" t="n">
        <v>46</v>
      </c>
      <c r="B333" s="62" t="n">
        <v>44</v>
      </c>
      <c r="C333" s="61" t="inlineStr">
        <is>
          <t>R6</t>
        </is>
      </c>
      <c r="D333" s="74" t="inlineStr">
        <is>
          <t>NG</t>
        </is>
      </c>
      <c r="E333" s="61" t="inlineStr">
        <is>
          <t>W1</t>
        </is>
      </c>
      <c r="F333" s="61" t="inlineStr">
        <is>
          <t>K046</t>
        </is>
      </c>
      <c r="G333" s="75" t="n">
        <v>7.6</v>
      </c>
      <c r="H333" s="65" t="n"/>
      <c r="I333" s="66" t="n"/>
      <c r="J333" s="67">
        <f>VLOOKUP(C333,Recipes!$A$2:$N$4,10,FALSE())</f>
        <v/>
      </c>
      <c r="K333" s="68">
        <f>VLOOKUP(C333,Recipes!$A$2:$N$4,12,FALSE())</f>
        <v/>
      </c>
      <c r="L333" s="67">
        <f>J333-6*K333</f>
        <v/>
      </c>
      <c r="M333" s="67">
        <f>J333+6*K333</f>
        <v/>
      </c>
      <c r="N333" s="61">
        <f>IF(G333="","",IF(AND(G333&gt;=L333,G333&lt;=M333),"OK","NG"))</f>
        <v/>
      </c>
      <c r="O333" s="69">
        <f>IF(N333="","",IF(N333=D333,1,0))</f>
        <v/>
      </c>
      <c r="P333" s="67">
        <f>IF(G333="","",J333-G333)</f>
        <v/>
      </c>
      <c r="Q333" s="67">
        <f>IF(G333="","",ABS(P333-Components!$D$2))</f>
        <v/>
      </c>
      <c r="R333" s="67">
        <f>IF(G333="","",ABS(P333-Components!$D$3))</f>
        <v/>
      </c>
      <c r="S333" s="67">
        <f>IF(G333="","",ABS(P333-Components!$D$4))</f>
        <v/>
      </c>
      <c r="T333" s="67">
        <f>IF(G333="","",ABS(P333-Components!$D$5))</f>
        <v/>
      </c>
      <c r="U333" s="67">
        <f>IF(G333="","",ABS(P333-Components!$D$6))</f>
        <v/>
      </c>
      <c r="V333" s="67">
        <f>IF(G333="","",ABS(P333-Components!$D$7))</f>
        <v/>
      </c>
      <c r="W333" s="61">
        <f>IF(G333="","",IF(N333="OK","NONE",INDEX({"S1","S2","W1","W2","N1","N2"},MATCH(MIN(Q333:V333),Q333:V333,0))))</f>
        <v/>
      </c>
      <c r="X333" s="69">
        <f>IF(G333="","",IF(W333=E333,1,0))</f>
        <v/>
      </c>
      <c r="Y333" s="70" t="n"/>
    </row>
    <row r="334">
      <c r="A334" s="61" t="n">
        <v>46</v>
      </c>
      <c r="B334" s="62" t="n">
        <v>44</v>
      </c>
      <c r="C334" s="61" t="inlineStr">
        <is>
          <t>R6</t>
        </is>
      </c>
      <c r="D334" s="74" t="inlineStr">
        <is>
          <t>NG</t>
        </is>
      </c>
      <c r="E334" s="61" t="inlineStr">
        <is>
          <t>W1</t>
        </is>
      </c>
      <c r="F334" s="61" t="inlineStr">
        <is>
          <t>K046</t>
        </is>
      </c>
      <c r="G334" s="75" t="n">
        <v>7.68</v>
      </c>
      <c r="H334" s="65" t="n"/>
      <c r="I334" s="66" t="n"/>
      <c r="J334" s="67">
        <f>VLOOKUP(C334,Recipes!$A$2:$N$4,10,FALSE())</f>
        <v/>
      </c>
      <c r="K334" s="68">
        <f>VLOOKUP(C334,Recipes!$A$2:$N$4,12,FALSE())</f>
        <v/>
      </c>
      <c r="L334" s="67">
        <f>J334-6*K334</f>
        <v/>
      </c>
      <c r="M334" s="67">
        <f>J334+6*K334</f>
        <v/>
      </c>
      <c r="N334" s="61">
        <f>IF(G334="","",IF(AND(G334&gt;=L334,G334&lt;=M334),"OK","NG"))</f>
        <v/>
      </c>
      <c r="O334" s="69">
        <f>IF(N334="","",IF(N334=D334,1,0))</f>
        <v/>
      </c>
      <c r="P334" s="67">
        <f>IF(G334="","",J334-G334)</f>
        <v/>
      </c>
      <c r="Q334" s="67">
        <f>IF(G334="","",ABS(P334-Components!$D$2))</f>
        <v/>
      </c>
      <c r="R334" s="67">
        <f>IF(G334="","",ABS(P334-Components!$D$3))</f>
        <v/>
      </c>
      <c r="S334" s="67">
        <f>IF(G334="","",ABS(P334-Components!$D$4))</f>
        <v/>
      </c>
      <c r="T334" s="67">
        <f>IF(G334="","",ABS(P334-Components!$D$5))</f>
        <v/>
      </c>
      <c r="U334" s="67">
        <f>IF(G334="","",ABS(P334-Components!$D$6))</f>
        <v/>
      </c>
      <c r="V334" s="67">
        <f>IF(G334="","",ABS(P334-Components!$D$7))</f>
        <v/>
      </c>
      <c r="W334" s="61">
        <f>IF(G334="","",IF(N334="OK","NONE",INDEX({"S1","S2","W1","W2","N1","N2"},MATCH(MIN(Q334:V334),Q334:V334,0))))</f>
        <v/>
      </c>
      <c r="X334" s="69">
        <f>IF(G334="","",IF(W334=E334,1,0))</f>
        <v/>
      </c>
      <c r="Y334" s="70" t="n"/>
    </row>
    <row r="335">
      <c r="A335" s="61" t="n">
        <v>46</v>
      </c>
      <c r="B335" s="62" t="n">
        <v>44</v>
      </c>
      <c r="C335" s="61" t="inlineStr">
        <is>
          <t>R6</t>
        </is>
      </c>
      <c r="D335" s="74" t="inlineStr">
        <is>
          <t>NG</t>
        </is>
      </c>
      <c r="E335" s="61" t="inlineStr">
        <is>
          <t>W1</t>
        </is>
      </c>
      <c r="F335" s="61" t="inlineStr">
        <is>
          <t>K046</t>
        </is>
      </c>
      <c r="G335" s="75" t="n">
        <v>7.4</v>
      </c>
      <c r="H335" s="65" t="n"/>
      <c r="I335" s="66" t="n"/>
      <c r="J335" s="67">
        <f>VLOOKUP(C335,Recipes!$A$2:$N$4,10,FALSE())</f>
        <v/>
      </c>
      <c r="K335" s="68">
        <f>VLOOKUP(C335,Recipes!$A$2:$N$4,12,FALSE())</f>
        <v/>
      </c>
      <c r="L335" s="67">
        <f>J335-6*K335</f>
        <v/>
      </c>
      <c r="M335" s="67">
        <f>J335+6*K335</f>
        <v/>
      </c>
      <c r="N335" s="61">
        <f>IF(G335="","",IF(AND(G335&gt;=L335,G335&lt;=M335),"OK","NG"))</f>
        <v/>
      </c>
      <c r="O335" s="69">
        <f>IF(N335="","",IF(N335=D335,1,0))</f>
        <v/>
      </c>
      <c r="P335" s="67">
        <f>IF(G335="","",J335-G335)</f>
        <v/>
      </c>
      <c r="Q335" s="67">
        <f>IF(G335="","",ABS(P335-Components!$D$2))</f>
        <v/>
      </c>
      <c r="R335" s="67">
        <f>IF(G335="","",ABS(P335-Components!$D$3))</f>
        <v/>
      </c>
      <c r="S335" s="67">
        <f>IF(G335="","",ABS(P335-Components!$D$4))</f>
        <v/>
      </c>
      <c r="T335" s="67">
        <f>IF(G335="","",ABS(P335-Components!$D$5))</f>
        <v/>
      </c>
      <c r="U335" s="67">
        <f>IF(G335="","",ABS(P335-Components!$D$6))</f>
        <v/>
      </c>
      <c r="V335" s="67">
        <f>IF(G335="","",ABS(P335-Components!$D$7))</f>
        <v/>
      </c>
      <c r="W335" s="61">
        <f>IF(G335="","",IF(N335="OK","NONE",INDEX({"S1","S2","W1","W2","N1","N2"},MATCH(MIN(Q335:V335),Q335:V335,0))))</f>
        <v/>
      </c>
      <c r="X335" s="71">
        <f>IF(G335="","",IF(W335=E335,1,0))</f>
        <v/>
      </c>
      <c r="Y335" s="70" t="n"/>
    </row>
    <row r="336">
      <c r="A336" s="61" t="n">
        <v>46</v>
      </c>
      <c r="B336" s="62" t="n">
        <v>44</v>
      </c>
      <c r="C336" s="61" t="inlineStr">
        <is>
          <t>R6</t>
        </is>
      </c>
      <c r="D336" s="74" t="inlineStr">
        <is>
          <t>NG</t>
        </is>
      </c>
      <c r="E336" s="61" t="inlineStr">
        <is>
          <t>W1</t>
        </is>
      </c>
      <c r="F336" s="61" t="inlineStr">
        <is>
          <t>K046</t>
        </is>
      </c>
      <c r="G336" s="75" t="n">
        <v>7.59</v>
      </c>
      <c r="H336" s="65" t="n"/>
      <c r="I336" s="66" t="n"/>
      <c r="J336" s="67">
        <f>VLOOKUP(C336,Recipes!$A$2:$N$4,10,FALSE())</f>
        <v/>
      </c>
      <c r="K336" s="68">
        <f>VLOOKUP(C336,Recipes!$A$2:$N$4,12,FALSE())</f>
        <v/>
      </c>
      <c r="L336" s="67">
        <f>J336-6*K336</f>
        <v/>
      </c>
      <c r="M336" s="67">
        <f>J336+6*K336</f>
        <v/>
      </c>
      <c r="N336" s="61">
        <f>IF(G336="","",IF(AND(G336&gt;=L336,G336&lt;=M336),"OK","NG"))</f>
        <v/>
      </c>
      <c r="O336" s="69">
        <f>IF(N336="","",IF(N336=D336,1,0))</f>
        <v/>
      </c>
      <c r="P336" s="67">
        <f>IF(G336="","",J336-G336)</f>
        <v/>
      </c>
      <c r="Q336" s="67">
        <f>IF(G336="","",ABS(P336-Components!$D$2))</f>
        <v/>
      </c>
      <c r="R336" s="67">
        <f>IF(G336="","",ABS(P336-Components!$D$3))</f>
        <v/>
      </c>
      <c r="S336" s="67">
        <f>IF(G336="","",ABS(P336-Components!$D$4))</f>
        <v/>
      </c>
      <c r="T336" s="67">
        <f>IF(G336="","",ABS(P336-Components!$D$5))</f>
        <v/>
      </c>
      <c r="U336" s="67">
        <f>IF(G336="","",ABS(P336-Components!$D$6))</f>
        <v/>
      </c>
      <c r="V336" s="67">
        <f>IF(G336="","",ABS(P336-Components!$D$7))</f>
        <v/>
      </c>
      <c r="W336" s="61">
        <f>IF(G336="","",IF(N336="OK","NONE",INDEX({"S1","S2","W1","W2","N1","N2"},MATCH(MIN(Q336:V336),Q336:V336,0))))</f>
        <v/>
      </c>
      <c r="X336" s="69">
        <f>IF(G336="","",IF(W336=E336,1,0))</f>
        <v/>
      </c>
      <c r="Y336" s="70" t="n"/>
    </row>
    <row r="337">
      <c r="A337" s="61" t="n">
        <v>46</v>
      </c>
      <c r="B337" s="62" t="n">
        <v>44</v>
      </c>
      <c r="C337" s="61" t="inlineStr">
        <is>
          <t>R6</t>
        </is>
      </c>
      <c r="D337" s="74" t="inlineStr">
        <is>
          <t>NG</t>
        </is>
      </c>
      <c r="E337" s="61" t="inlineStr">
        <is>
          <t>W1</t>
        </is>
      </c>
      <c r="F337" s="61" t="inlineStr">
        <is>
          <t>K046</t>
        </is>
      </c>
      <c r="G337" s="75" t="n">
        <v>7.53</v>
      </c>
      <c r="H337" s="65" t="n"/>
      <c r="I337" s="66" t="n"/>
      <c r="J337" s="67">
        <f>VLOOKUP(C337,Recipes!$A$2:$N$4,10,FALSE())</f>
        <v/>
      </c>
      <c r="K337" s="68">
        <f>VLOOKUP(C337,Recipes!$A$2:$N$4,12,FALSE())</f>
        <v/>
      </c>
      <c r="L337" s="67">
        <f>J337-6*K337</f>
        <v/>
      </c>
      <c r="M337" s="67">
        <f>J337+6*K337</f>
        <v/>
      </c>
      <c r="N337" s="61">
        <f>IF(G337="","",IF(AND(G337&gt;=L337,G337&lt;=M337),"OK","NG"))</f>
        <v/>
      </c>
      <c r="O337" s="69">
        <f>IF(N337="","",IF(N337=D337,1,0))</f>
        <v/>
      </c>
      <c r="P337" s="67">
        <f>IF(G337="","",J337-G337)</f>
        <v/>
      </c>
      <c r="Q337" s="67">
        <f>IF(G337="","",ABS(P337-Components!$D$2))</f>
        <v/>
      </c>
      <c r="R337" s="67">
        <f>IF(G337="","",ABS(P337-Components!$D$3))</f>
        <v/>
      </c>
      <c r="S337" s="67">
        <f>IF(G337="","",ABS(P337-Components!$D$4))</f>
        <v/>
      </c>
      <c r="T337" s="67">
        <f>IF(G337="","",ABS(P337-Components!$D$5))</f>
        <v/>
      </c>
      <c r="U337" s="67">
        <f>IF(G337="","",ABS(P337-Components!$D$6))</f>
        <v/>
      </c>
      <c r="V337" s="67">
        <f>IF(G337="","",ABS(P337-Components!$D$7))</f>
        <v/>
      </c>
      <c r="W337" s="61">
        <f>IF(G337="","",IF(N337="OK","NONE",INDEX({"S1","S2","W1","W2","N1","N2"},MATCH(MIN(Q337:V337),Q337:V337,0))))</f>
        <v/>
      </c>
      <c r="X337" s="71">
        <f>IF(G337="","",IF(W337=E337,1,0))</f>
        <v/>
      </c>
      <c r="Y337" s="70" t="n"/>
    </row>
    <row r="338">
      <c r="A338" s="61" t="n">
        <v>46</v>
      </c>
      <c r="B338" s="62" t="n">
        <v>44</v>
      </c>
      <c r="C338" s="61" t="inlineStr">
        <is>
          <t>R6</t>
        </is>
      </c>
      <c r="D338" s="74" t="inlineStr">
        <is>
          <t>NG</t>
        </is>
      </c>
      <c r="E338" s="61" t="inlineStr">
        <is>
          <t>W1</t>
        </is>
      </c>
      <c r="F338" s="61" t="inlineStr">
        <is>
          <t>K046</t>
        </is>
      </c>
      <c r="G338" s="75" t="n">
        <v>7.53</v>
      </c>
      <c r="H338" s="65" t="n"/>
      <c r="I338" s="66" t="n"/>
      <c r="J338" s="67">
        <f>VLOOKUP(C338,Recipes!$A$2:$N$4,10,FALSE())</f>
        <v/>
      </c>
      <c r="K338" s="68">
        <f>VLOOKUP(C338,Recipes!$A$2:$N$4,12,FALSE())</f>
        <v/>
      </c>
      <c r="L338" s="67">
        <f>J338-6*K338</f>
        <v/>
      </c>
      <c r="M338" s="67">
        <f>J338+6*K338</f>
        <v/>
      </c>
      <c r="N338" s="61">
        <f>IF(G338="","",IF(AND(G338&gt;=L338,G338&lt;=M338),"OK","NG"))</f>
        <v/>
      </c>
      <c r="O338" s="69">
        <f>IF(N338="","",IF(N338=D338,1,0))</f>
        <v/>
      </c>
      <c r="P338" s="67">
        <f>IF(G338="","",J338-G338)</f>
        <v/>
      </c>
      <c r="Q338" s="67">
        <f>IF(G338="","",ABS(P338-Components!$D$2))</f>
        <v/>
      </c>
      <c r="R338" s="67">
        <f>IF(G338="","",ABS(P338-Components!$D$3))</f>
        <v/>
      </c>
      <c r="S338" s="67">
        <f>IF(G338="","",ABS(P338-Components!$D$4))</f>
        <v/>
      </c>
      <c r="T338" s="67">
        <f>IF(G338="","",ABS(P338-Components!$D$5))</f>
        <v/>
      </c>
      <c r="U338" s="67">
        <f>IF(G338="","",ABS(P338-Components!$D$6))</f>
        <v/>
      </c>
      <c r="V338" s="67">
        <f>IF(G338="","",ABS(P338-Components!$D$7))</f>
        <v/>
      </c>
      <c r="W338" s="61">
        <f>IF(G338="","",IF(N338="OK","NONE",INDEX({"S1","S2","W1","W2","N1","N2"},MATCH(MIN(Q338:V338),Q338:V338,0))))</f>
        <v/>
      </c>
      <c r="X338" s="71">
        <f>IF(G338="","",IF(W338=E338,1,0))</f>
        <v/>
      </c>
      <c r="Y338" s="70" t="n"/>
    </row>
    <row r="339">
      <c r="A339" s="61" t="n">
        <v>46</v>
      </c>
      <c r="B339" s="62" t="n">
        <v>44</v>
      </c>
      <c r="C339" s="61" t="inlineStr">
        <is>
          <t>R6</t>
        </is>
      </c>
      <c r="D339" s="74" t="inlineStr">
        <is>
          <t>NG</t>
        </is>
      </c>
      <c r="E339" s="61" t="inlineStr">
        <is>
          <t>W1</t>
        </is>
      </c>
      <c r="F339" s="61" t="inlineStr">
        <is>
          <t>K046</t>
        </is>
      </c>
      <c r="G339" s="75" t="n">
        <v>7.63</v>
      </c>
      <c r="H339" s="65" t="n"/>
      <c r="I339" s="66" t="n"/>
      <c r="J339" s="67">
        <f>VLOOKUP(C339,Recipes!$A$2:$N$4,10,FALSE())</f>
        <v/>
      </c>
      <c r="K339" s="68">
        <f>VLOOKUP(C339,Recipes!$A$2:$N$4,12,FALSE())</f>
        <v/>
      </c>
      <c r="L339" s="67">
        <f>J339-6*K339</f>
        <v/>
      </c>
      <c r="M339" s="67">
        <f>J339+6*K339</f>
        <v/>
      </c>
      <c r="N339" s="61">
        <f>IF(G339="","",IF(AND(G339&gt;=L339,G339&lt;=M339),"OK","NG"))</f>
        <v/>
      </c>
      <c r="O339" s="69">
        <f>IF(N339="","",IF(N339=D339,1,0))</f>
        <v/>
      </c>
      <c r="P339" s="67">
        <f>IF(G339="","",J339-G339)</f>
        <v/>
      </c>
      <c r="Q339" s="67">
        <f>IF(G339="","",ABS(P339-Components!$D$2))</f>
        <v/>
      </c>
      <c r="R339" s="67">
        <f>IF(G339="","",ABS(P339-Components!$D$3))</f>
        <v/>
      </c>
      <c r="S339" s="67">
        <f>IF(G339="","",ABS(P339-Components!$D$4))</f>
        <v/>
      </c>
      <c r="T339" s="67">
        <f>IF(G339="","",ABS(P339-Components!$D$5))</f>
        <v/>
      </c>
      <c r="U339" s="67">
        <f>IF(G339="","",ABS(P339-Components!$D$6))</f>
        <v/>
      </c>
      <c r="V339" s="67">
        <f>IF(G339="","",ABS(P339-Components!$D$7))</f>
        <v/>
      </c>
      <c r="W339" s="61">
        <f>IF(G339="","",IF(N339="OK","NONE",INDEX({"S1","S2","W1","W2","N1","N2"},MATCH(MIN(Q339:V339),Q339:V339,0))))</f>
        <v/>
      </c>
      <c r="X339" s="69">
        <f>IF(G339="","",IF(W339=E339,1,0))</f>
        <v/>
      </c>
      <c r="Y339" s="70" t="n"/>
    </row>
    <row r="340">
      <c r="A340" s="61" t="n">
        <v>46</v>
      </c>
      <c r="B340" s="62" t="n">
        <v>44</v>
      </c>
      <c r="C340" s="61" t="inlineStr">
        <is>
          <t>R6</t>
        </is>
      </c>
      <c r="D340" s="74" t="inlineStr">
        <is>
          <t>NG</t>
        </is>
      </c>
      <c r="E340" s="61" t="inlineStr">
        <is>
          <t>W1</t>
        </is>
      </c>
      <c r="F340" s="61" t="inlineStr">
        <is>
          <t>K046</t>
        </is>
      </c>
      <c r="G340" s="75" t="n">
        <v>7.62</v>
      </c>
      <c r="H340" s="65" t="n"/>
      <c r="I340" s="66" t="n"/>
      <c r="J340" s="67">
        <f>VLOOKUP(C340,Recipes!$A$2:$N$4,10,FALSE())</f>
        <v/>
      </c>
      <c r="K340" s="68">
        <f>VLOOKUP(C340,Recipes!$A$2:$N$4,12,FALSE())</f>
        <v/>
      </c>
      <c r="L340" s="67">
        <f>J340-6*K340</f>
        <v/>
      </c>
      <c r="M340" s="67">
        <f>J340+6*K340</f>
        <v/>
      </c>
      <c r="N340" s="61">
        <f>IF(G340="","",IF(AND(G340&gt;=L340,G340&lt;=M340),"OK","NG"))</f>
        <v/>
      </c>
      <c r="O340" s="69">
        <f>IF(N340="","",IF(N340=D340,1,0))</f>
        <v/>
      </c>
      <c r="P340" s="67">
        <f>IF(G340="","",J340-G340)</f>
        <v/>
      </c>
      <c r="Q340" s="67">
        <f>IF(G340="","",ABS(P340-Components!$D$2))</f>
        <v/>
      </c>
      <c r="R340" s="67">
        <f>IF(G340="","",ABS(P340-Components!$D$3))</f>
        <v/>
      </c>
      <c r="S340" s="67">
        <f>IF(G340="","",ABS(P340-Components!$D$4))</f>
        <v/>
      </c>
      <c r="T340" s="67">
        <f>IF(G340="","",ABS(P340-Components!$D$5))</f>
        <v/>
      </c>
      <c r="U340" s="67">
        <f>IF(G340="","",ABS(P340-Components!$D$6))</f>
        <v/>
      </c>
      <c r="V340" s="67">
        <f>IF(G340="","",ABS(P340-Components!$D$7))</f>
        <v/>
      </c>
      <c r="W340" s="61">
        <f>IF(G340="","",IF(N340="OK","NONE",INDEX({"S1","S2","W1","W2","N1","N2"},MATCH(MIN(Q340:V340),Q340:V340,0))))</f>
        <v/>
      </c>
      <c r="X340" s="69">
        <f>IF(G340="","",IF(W340=E340,1,0))</f>
        <v/>
      </c>
      <c r="Y340" s="70" t="n"/>
    </row>
    <row r="341">
      <c r="A341" s="61" t="n">
        <v>46</v>
      </c>
      <c r="B341" s="62" t="n">
        <v>44</v>
      </c>
      <c r="C341" s="61" t="inlineStr">
        <is>
          <t>R6</t>
        </is>
      </c>
      <c r="D341" s="74" t="inlineStr">
        <is>
          <t>NG</t>
        </is>
      </c>
      <c r="E341" s="61" t="inlineStr">
        <is>
          <t>W1</t>
        </is>
      </c>
      <c r="F341" s="61" t="inlineStr">
        <is>
          <t>K046</t>
        </is>
      </c>
      <c r="G341" s="75" t="n">
        <v>7.59</v>
      </c>
      <c r="H341" s="65" t="n"/>
      <c r="I341" s="66" t="n"/>
      <c r="J341" s="67">
        <f>VLOOKUP(C341,Recipes!$A$2:$N$4,10,FALSE())</f>
        <v/>
      </c>
      <c r="K341" s="68">
        <f>VLOOKUP(C341,Recipes!$A$2:$N$4,12,FALSE())</f>
        <v/>
      </c>
      <c r="L341" s="67">
        <f>J341-6*K341</f>
        <v/>
      </c>
      <c r="M341" s="67">
        <f>J341+6*K341</f>
        <v/>
      </c>
      <c r="N341" s="61">
        <f>IF(G341="","",IF(AND(G341&gt;=L341,G341&lt;=M341),"OK","NG"))</f>
        <v/>
      </c>
      <c r="O341" s="69">
        <f>IF(N341="","",IF(N341=D341,1,0))</f>
        <v/>
      </c>
      <c r="P341" s="67">
        <f>IF(G341="","",J341-G341)</f>
        <v/>
      </c>
      <c r="Q341" s="67">
        <f>IF(G341="","",ABS(P341-Components!$D$2))</f>
        <v/>
      </c>
      <c r="R341" s="67">
        <f>IF(G341="","",ABS(P341-Components!$D$3))</f>
        <v/>
      </c>
      <c r="S341" s="67">
        <f>IF(G341="","",ABS(P341-Components!$D$4))</f>
        <v/>
      </c>
      <c r="T341" s="67">
        <f>IF(G341="","",ABS(P341-Components!$D$5))</f>
        <v/>
      </c>
      <c r="U341" s="67">
        <f>IF(G341="","",ABS(P341-Components!$D$6))</f>
        <v/>
      </c>
      <c r="V341" s="67">
        <f>IF(G341="","",ABS(P341-Components!$D$7))</f>
        <v/>
      </c>
      <c r="W341" s="61">
        <f>IF(G341="","",IF(N341="OK","NONE",INDEX({"S1","S2","W1","W2","N1","N2"},MATCH(MIN(Q341:V341),Q341:V341,0))))</f>
        <v/>
      </c>
      <c r="X341" s="69">
        <f>IF(G341="","",IF(W341=E341,1,0))</f>
        <v/>
      </c>
      <c r="Y341" s="70" t="n"/>
    </row>
    <row r="342">
      <c r="A342" s="61" t="n">
        <v>46</v>
      </c>
      <c r="B342" s="62" t="n">
        <v>44</v>
      </c>
      <c r="C342" s="61" t="inlineStr">
        <is>
          <t>R6</t>
        </is>
      </c>
      <c r="D342" s="74" t="inlineStr">
        <is>
          <t>NG</t>
        </is>
      </c>
      <c r="E342" s="61" t="inlineStr">
        <is>
          <t>W1</t>
        </is>
      </c>
      <c r="F342" s="61" t="inlineStr">
        <is>
          <t>K046</t>
        </is>
      </c>
      <c r="G342" s="75" t="n">
        <v>7.64</v>
      </c>
      <c r="H342" s="65" t="n"/>
      <c r="I342" s="66" t="n"/>
      <c r="J342" s="67">
        <f>VLOOKUP(C342,Recipes!$A$2:$N$4,10,FALSE())</f>
        <v/>
      </c>
      <c r="K342" s="68">
        <f>VLOOKUP(C342,Recipes!$A$2:$N$4,12,FALSE())</f>
        <v/>
      </c>
      <c r="L342" s="67">
        <f>J342-6*K342</f>
        <v/>
      </c>
      <c r="M342" s="67">
        <f>J342+6*K342</f>
        <v/>
      </c>
      <c r="N342" s="61">
        <f>IF(G342="","",IF(AND(G342&gt;=L342,G342&lt;=M342),"OK","NG"))</f>
        <v/>
      </c>
      <c r="O342" s="69">
        <f>IF(N342="","",IF(N342=D342,1,0))</f>
        <v/>
      </c>
      <c r="P342" s="67">
        <f>IF(G342="","",J342-G342)</f>
        <v/>
      </c>
      <c r="Q342" s="67">
        <f>IF(G342="","",ABS(P342-Components!$D$2))</f>
        <v/>
      </c>
      <c r="R342" s="67">
        <f>IF(G342="","",ABS(P342-Components!$D$3))</f>
        <v/>
      </c>
      <c r="S342" s="67">
        <f>IF(G342="","",ABS(P342-Components!$D$4))</f>
        <v/>
      </c>
      <c r="T342" s="67">
        <f>IF(G342="","",ABS(P342-Components!$D$5))</f>
        <v/>
      </c>
      <c r="U342" s="67">
        <f>IF(G342="","",ABS(P342-Components!$D$6))</f>
        <v/>
      </c>
      <c r="V342" s="67">
        <f>IF(G342="","",ABS(P342-Components!$D$7))</f>
        <v/>
      </c>
      <c r="W342" s="61">
        <f>IF(G342="","",IF(N342="OK","NONE",INDEX({"S1","S2","W1","W2","N1","N2"},MATCH(MIN(Q342:V342),Q342:V342,0))))</f>
        <v/>
      </c>
      <c r="X342" s="69">
        <f>IF(G342="","",IF(W342=E342,1,0))</f>
        <v/>
      </c>
      <c r="Y342" s="70" t="n"/>
    </row>
    <row r="343">
      <c r="A343" s="61" t="n">
        <v>46</v>
      </c>
      <c r="B343" s="62" t="n">
        <v>44</v>
      </c>
      <c r="C343" s="61" t="inlineStr">
        <is>
          <t>R6</t>
        </is>
      </c>
      <c r="D343" s="74" t="inlineStr">
        <is>
          <t>NG</t>
        </is>
      </c>
      <c r="E343" s="61" t="inlineStr">
        <is>
          <t>W1</t>
        </is>
      </c>
      <c r="F343" s="61" t="inlineStr">
        <is>
          <t>K046</t>
        </is>
      </c>
      <c r="G343" s="75" t="n">
        <v>7.65</v>
      </c>
      <c r="H343" s="65" t="n"/>
      <c r="I343" s="66" t="n"/>
      <c r="J343" s="67">
        <f>VLOOKUP(C343,Recipes!$A$2:$N$4,10,FALSE())</f>
        <v/>
      </c>
      <c r="K343" s="68">
        <f>VLOOKUP(C343,Recipes!$A$2:$N$4,12,FALSE())</f>
        <v/>
      </c>
      <c r="L343" s="67">
        <f>J343-6*K343</f>
        <v/>
      </c>
      <c r="M343" s="67">
        <f>J343+6*K343</f>
        <v/>
      </c>
      <c r="N343" s="61">
        <f>IF(G343="","",IF(AND(G343&gt;=L343,G343&lt;=M343),"OK","NG"))</f>
        <v/>
      </c>
      <c r="O343" s="69">
        <f>IF(N343="","",IF(N343=D343,1,0))</f>
        <v/>
      </c>
      <c r="P343" s="67">
        <f>IF(G343="","",J343-G343)</f>
        <v/>
      </c>
      <c r="Q343" s="67">
        <f>IF(G343="","",ABS(P343-Components!$D$2))</f>
        <v/>
      </c>
      <c r="R343" s="67">
        <f>IF(G343="","",ABS(P343-Components!$D$3))</f>
        <v/>
      </c>
      <c r="S343" s="67">
        <f>IF(G343="","",ABS(P343-Components!$D$4))</f>
        <v/>
      </c>
      <c r="T343" s="67">
        <f>IF(G343="","",ABS(P343-Components!$D$5))</f>
        <v/>
      </c>
      <c r="U343" s="67">
        <f>IF(G343="","",ABS(P343-Components!$D$6))</f>
        <v/>
      </c>
      <c r="V343" s="67">
        <f>IF(G343="","",ABS(P343-Components!$D$7))</f>
        <v/>
      </c>
      <c r="W343" s="61">
        <f>IF(G343="","",IF(N343="OK","NONE",INDEX({"S1","S2","W1","W2","N1","N2"},MATCH(MIN(Q343:V343),Q343:V343,0))))</f>
        <v/>
      </c>
      <c r="X343" s="69">
        <f>IF(G343="","",IF(W343=E343,1,0))</f>
        <v/>
      </c>
      <c r="Y343" s="70" t="n"/>
    </row>
    <row r="344">
      <c r="A344" s="61" t="n">
        <v>46</v>
      </c>
      <c r="B344" s="62" t="n">
        <v>44</v>
      </c>
      <c r="C344" s="61" t="inlineStr">
        <is>
          <t>R6</t>
        </is>
      </c>
      <c r="D344" s="74" t="inlineStr">
        <is>
          <t>NG</t>
        </is>
      </c>
      <c r="E344" s="61" t="inlineStr">
        <is>
          <t>W1</t>
        </is>
      </c>
      <c r="F344" s="61" t="inlineStr">
        <is>
          <t>K046</t>
        </is>
      </c>
      <c r="G344" s="75" t="n">
        <v>7.6</v>
      </c>
      <c r="H344" s="65" t="n"/>
      <c r="I344" s="66" t="n"/>
      <c r="J344" s="67">
        <f>VLOOKUP(C344,Recipes!$A$2:$N$4,10,FALSE())</f>
        <v/>
      </c>
      <c r="K344" s="68">
        <f>VLOOKUP(C344,Recipes!$A$2:$N$4,12,FALSE())</f>
        <v/>
      </c>
      <c r="L344" s="67">
        <f>J344-6*K344</f>
        <v/>
      </c>
      <c r="M344" s="67">
        <f>J344+6*K344</f>
        <v/>
      </c>
      <c r="N344" s="61">
        <f>IF(G344="","",IF(AND(G344&gt;=L344,G344&lt;=M344),"OK","NG"))</f>
        <v/>
      </c>
      <c r="O344" s="69">
        <f>IF(N344="","",IF(N344=D344,1,0))</f>
        <v/>
      </c>
      <c r="P344" s="67">
        <f>IF(G344="","",J344-G344)</f>
        <v/>
      </c>
      <c r="Q344" s="67">
        <f>IF(G344="","",ABS(P344-Components!$D$2))</f>
        <v/>
      </c>
      <c r="R344" s="67">
        <f>IF(G344="","",ABS(P344-Components!$D$3))</f>
        <v/>
      </c>
      <c r="S344" s="67">
        <f>IF(G344="","",ABS(P344-Components!$D$4))</f>
        <v/>
      </c>
      <c r="T344" s="67">
        <f>IF(G344="","",ABS(P344-Components!$D$5))</f>
        <v/>
      </c>
      <c r="U344" s="67">
        <f>IF(G344="","",ABS(P344-Components!$D$6))</f>
        <v/>
      </c>
      <c r="V344" s="67">
        <f>IF(G344="","",ABS(P344-Components!$D$7))</f>
        <v/>
      </c>
      <c r="W344" s="61">
        <f>IF(G344="","",IF(N344="OK","NONE",INDEX({"S1","S2","W1","W2","N1","N2"},MATCH(MIN(Q344:V344),Q344:V344,0))))</f>
        <v/>
      </c>
      <c r="X344" s="69">
        <f>IF(G344="","",IF(W344=E344,1,0))</f>
        <v/>
      </c>
      <c r="Y344" s="70" t="n"/>
    </row>
    <row r="345">
      <c r="A345" s="61" t="n">
        <v>46</v>
      </c>
      <c r="B345" s="62" t="n">
        <v>44</v>
      </c>
      <c r="C345" s="61" t="inlineStr">
        <is>
          <t>R6</t>
        </is>
      </c>
      <c r="D345" s="74" t="inlineStr">
        <is>
          <t>NG</t>
        </is>
      </c>
      <c r="E345" s="61" t="inlineStr">
        <is>
          <t>W1</t>
        </is>
      </c>
      <c r="F345" s="61" t="inlineStr">
        <is>
          <t>K046</t>
        </is>
      </c>
      <c r="G345" s="75" t="n">
        <v>7.6</v>
      </c>
      <c r="H345" s="65" t="n"/>
      <c r="I345" s="66" t="n"/>
      <c r="J345" s="67">
        <f>VLOOKUP(C345,Recipes!$A$2:$N$4,10,FALSE())</f>
        <v/>
      </c>
      <c r="K345" s="68">
        <f>VLOOKUP(C345,Recipes!$A$2:$N$4,12,FALSE())</f>
        <v/>
      </c>
      <c r="L345" s="67">
        <f>J345-6*K345</f>
        <v/>
      </c>
      <c r="M345" s="67">
        <f>J345+6*K345</f>
        <v/>
      </c>
      <c r="N345" s="61">
        <f>IF(G345="","",IF(AND(G345&gt;=L345,G345&lt;=M345),"OK","NG"))</f>
        <v/>
      </c>
      <c r="O345" s="69">
        <f>IF(N345="","",IF(N345=D345,1,0))</f>
        <v/>
      </c>
      <c r="P345" s="67">
        <f>IF(G345="","",J345-G345)</f>
        <v/>
      </c>
      <c r="Q345" s="67">
        <f>IF(G345="","",ABS(P345-Components!$D$2))</f>
        <v/>
      </c>
      <c r="R345" s="67">
        <f>IF(G345="","",ABS(P345-Components!$D$3))</f>
        <v/>
      </c>
      <c r="S345" s="67">
        <f>IF(G345="","",ABS(P345-Components!$D$4))</f>
        <v/>
      </c>
      <c r="T345" s="67">
        <f>IF(G345="","",ABS(P345-Components!$D$5))</f>
        <v/>
      </c>
      <c r="U345" s="67">
        <f>IF(G345="","",ABS(P345-Components!$D$6))</f>
        <v/>
      </c>
      <c r="V345" s="67">
        <f>IF(G345="","",ABS(P345-Components!$D$7))</f>
        <v/>
      </c>
      <c r="W345" s="61">
        <f>IF(G345="","",IF(N345="OK","NONE",INDEX({"S1","S2","W1","W2","N1","N2"},MATCH(MIN(Q345:V345),Q345:V345,0))))</f>
        <v/>
      </c>
      <c r="X345" s="69">
        <f>IF(G345="","",IF(W345=E345,1,0))</f>
        <v/>
      </c>
      <c r="Y345" s="70" t="n"/>
    </row>
    <row r="346">
      <c r="A346" s="61" t="n">
        <v>46</v>
      </c>
      <c r="B346" s="62" t="n">
        <v>44</v>
      </c>
      <c r="C346" s="61" t="inlineStr">
        <is>
          <t>R6</t>
        </is>
      </c>
      <c r="D346" s="74" t="inlineStr">
        <is>
          <t>NG</t>
        </is>
      </c>
      <c r="E346" s="61" t="inlineStr">
        <is>
          <t>W1</t>
        </is>
      </c>
      <c r="F346" s="61" t="inlineStr">
        <is>
          <t>K046</t>
        </is>
      </c>
      <c r="G346" s="75" t="n">
        <v>7.59</v>
      </c>
      <c r="H346" s="65" t="n"/>
      <c r="I346" s="66" t="n"/>
      <c r="J346" s="67">
        <f>VLOOKUP(C346,Recipes!$A$2:$N$4,10,FALSE())</f>
        <v/>
      </c>
      <c r="K346" s="68">
        <f>VLOOKUP(C346,Recipes!$A$2:$N$4,12,FALSE())</f>
        <v/>
      </c>
      <c r="L346" s="67">
        <f>J346-6*K346</f>
        <v/>
      </c>
      <c r="M346" s="67">
        <f>J346+6*K346</f>
        <v/>
      </c>
      <c r="N346" s="61">
        <f>IF(G346="","",IF(AND(G346&gt;=L346,G346&lt;=M346),"OK","NG"))</f>
        <v/>
      </c>
      <c r="O346" s="69">
        <f>IF(N346="","",IF(N346=D346,1,0))</f>
        <v/>
      </c>
      <c r="P346" s="67">
        <f>IF(G346="","",J346-G346)</f>
        <v/>
      </c>
      <c r="Q346" s="67">
        <f>IF(G346="","",ABS(P346-Components!$D$2))</f>
        <v/>
      </c>
      <c r="R346" s="67">
        <f>IF(G346="","",ABS(P346-Components!$D$3))</f>
        <v/>
      </c>
      <c r="S346" s="67">
        <f>IF(G346="","",ABS(P346-Components!$D$4))</f>
        <v/>
      </c>
      <c r="T346" s="67">
        <f>IF(G346="","",ABS(P346-Components!$D$5))</f>
        <v/>
      </c>
      <c r="U346" s="67">
        <f>IF(G346="","",ABS(P346-Components!$D$6))</f>
        <v/>
      </c>
      <c r="V346" s="67">
        <f>IF(G346="","",ABS(P346-Components!$D$7))</f>
        <v/>
      </c>
      <c r="W346" s="61">
        <f>IF(G346="","",IF(N346="OK","NONE",INDEX({"S1","S2","W1","W2","N1","N2"},MATCH(MIN(Q346:V346),Q346:V346,0))))</f>
        <v/>
      </c>
      <c r="X346" s="69">
        <f>IF(G346="","",IF(W346=E346,1,0))</f>
        <v/>
      </c>
      <c r="Y346" s="70" t="n"/>
    </row>
    <row r="347">
      <c r="A347" s="61" t="n">
        <v>46</v>
      </c>
      <c r="B347" s="62" t="n">
        <v>44</v>
      </c>
      <c r="C347" s="61" t="inlineStr">
        <is>
          <t>R6</t>
        </is>
      </c>
      <c r="D347" s="74" t="inlineStr">
        <is>
          <t>NG</t>
        </is>
      </c>
      <c r="E347" s="61" t="inlineStr">
        <is>
          <t>W1</t>
        </is>
      </c>
      <c r="F347" s="61" t="inlineStr">
        <is>
          <t>K046</t>
        </is>
      </c>
      <c r="G347" s="75" t="n">
        <v>7.63</v>
      </c>
      <c r="H347" s="65" t="n"/>
      <c r="I347" s="66" t="n"/>
      <c r="J347" s="67">
        <f>VLOOKUP(C347,Recipes!$A$2:$N$4,10,FALSE())</f>
        <v/>
      </c>
      <c r="K347" s="68">
        <f>VLOOKUP(C347,Recipes!$A$2:$N$4,12,FALSE())</f>
        <v/>
      </c>
      <c r="L347" s="67">
        <f>J347-6*K347</f>
        <v/>
      </c>
      <c r="M347" s="67">
        <f>J347+6*K347</f>
        <v/>
      </c>
      <c r="N347" s="61">
        <f>IF(G347="","",IF(AND(G347&gt;=L347,G347&lt;=M347),"OK","NG"))</f>
        <v/>
      </c>
      <c r="O347" s="69">
        <f>IF(N347="","",IF(N347=D347,1,0))</f>
        <v/>
      </c>
      <c r="P347" s="67">
        <f>IF(G347="","",J347-G347)</f>
        <v/>
      </c>
      <c r="Q347" s="67">
        <f>IF(G347="","",ABS(P347-Components!$D$2))</f>
        <v/>
      </c>
      <c r="R347" s="67">
        <f>IF(G347="","",ABS(P347-Components!$D$3))</f>
        <v/>
      </c>
      <c r="S347" s="67">
        <f>IF(G347="","",ABS(P347-Components!$D$4))</f>
        <v/>
      </c>
      <c r="T347" s="67">
        <f>IF(G347="","",ABS(P347-Components!$D$5))</f>
        <v/>
      </c>
      <c r="U347" s="67">
        <f>IF(G347="","",ABS(P347-Components!$D$6))</f>
        <v/>
      </c>
      <c r="V347" s="67">
        <f>IF(G347="","",ABS(P347-Components!$D$7))</f>
        <v/>
      </c>
      <c r="W347" s="61">
        <f>IF(G347="","",IF(N347="OK","NONE",INDEX({"S1","S2","W1","W2","N1","N2"},MATCH(MIN(Q347:V347),Q347:V347,0))))</f>
        <v/>
      </c>
      <c r="X347" s="69">
        <f>IF(G347="","",IF(W347=E347,1,0))</f>
        <v/>
      </c>
      <c r="Y347" s="70" t="n"/>
    </row>
    <row r="348">
      <c r="A348" s="61" t="n">
        <v>46</v>
      </c>
      <c r="B348" s="62" t="n">
        <v>44</v>
      </c>
      <c r="C348" s="61" t="inlineStr">
        <is>
          <t>R6</t>
        </is>
      </c>
      <c r="D348" s="74" t="inlineStr">
        <is>
          <t>NG</t>
        </is>
      </c>
      <c r="E348" s="61" t="inlineStr">
        <is>
          <t>W1</t>
        </is>
      </c>
      <c r="F348" s="61" t="inlineStr">
        <is>
          <t>K046</t>
        </is>
      </c>
      <c r="G348" s="75" t="n">
        <v>7.6</v>
      </c>
      <c r="H348" s="65" t="n"/>
      <c r="I348" s="66" t="n"/>
      <c r="J348" s="67">
        <f>VLOOKUP(C348,Recipes!$A$2:$N$4,10,FALSE())</f>
        <v/>
      </c>
      <c r="K348" s="68">
        <f>VLOOKUP(C348,Recipes!$A$2:$N$4,12,FALSE())</f>
        <v/>
      </c>
      <c r="L348" s="67">
        <f>J348-6*K348</f>
        <v/>
      </c>
      <c r="M348" s="67">
        <f>J348+6*K348</f>
        <v/>
      </c>
      <c r="N348" s="61">
        <f>IF(G348="","",IF(AND(G348&gt;=L348,G348&lt;=M348),"OK","NG"))</f>
        <v/>
      </c>
      <c r="O348" s="69">
        <f>IF(N348="","",IF(N348=D348,1,0))</f>
        <v/>
      </c>
      <c r="P348" s="67">
        <f>IF(G348="","",J348-G348)</f>
        <v/>
      </c>
      <c r="Q348" s="67">
        <f>IF(G348="","",ABS(P348-Components!$D$2))</f>
        <v/>
      </c>
      <c r="R348" s="67">
        <f>IF(G348="","",ABS(P348-Components!$D$3))</f>
        <v/>
      </c>
      <c r="S348" s="67">
        <f>IF(G348="","",ABS(P348-Components!$D$4))</f>
        <v/>
      </c>
      <c r="T348" s="67">
        <f>IF(G348="","",ABS(P348-Components!$D$5))</f>
        <v/>
      </c>
      <c r="U348" s="67">
        <f>IF(G348="","",ABS(P348-Components!$D$6))</f>
        <v/>
      </c>
      <c r="V348" s="67">
        <f>IF(G348="","",ABS(P348-Components!$D$7))</f>
        <v/>
      </c>
      <c r="W348" s="61">
        <f>IF(G348="","",IF(N348="OK","NONE",INDEX({"S1","S2","W1","W2","N1","N2"},MATCH(MIN(Q348:V348),Q348:V348,0))))</f>
        <v/>
      </c>
      <c r="X348" s="69">
        <f>IF(G348="","",IF(W348=E348,1,0))</f>
        <v/>
      </c>
      <c r="Y348" s="70" t="n"/>
    </row>
    <row r="349">
      <c r="A349" s="61" t="n">
        <v>46</v>
      </c>
      <c r="B349" s="62" t="n">
        <v>44</v>
      </c>
      <c r="C349" s="61" t="inlineStr">
        <is>
          <t>R6</t>
        </is>
      </c>
      <c r="D349" s="74" t="inlineStr">
        <is>
          <t>NG</t>
        </is>
      </c>
      <c r="E349" s="61" t="inlineStr">
        <is>
          <t>W1</t>
        </is>
      </c>
      <c r="F349" s="61" t="inlineStr">
        <is>
          <t>K046</t>
        </is>
      </c>
      <c r="G349" s="75" t="n">
        <v>7.56</v>
      </c>
      <c r="H349" s="65" t="n"/>
      <c r="I349" s="66" t="n"/>
      <c r="J349" s="67">
        <f>VLOOKUP(C349,Recipes!$A$2:$N$4,10,FALSE())</f>
        <v/>
      </c>
      <c r="K349" s="68">
        <f>VLOOKUP(C349,Recipes!$A$2:$N$4,12,FALSE())</f>
        <v/>
      </c>
      <c r="L349" s="67">
        <f>J349-6*K349</f>
        <v/>
      </c>
      <c r="M349" s="67">
        <f>J349+6*K349</f>
        <v/>
      </c>
      <c r="N349" s="61">
        <f>IF(G349="","",IF(AND(G349&gt;=L349,G349&lt;=M349),"OK","NG"))</f>
        <v/>
      </c>
      <c r="O349" s="69">
        <f>IF(N349="","",IF(N349=D349,1,0))</f>
        <v/>
      </c>
      <c r="P349" s="67">
        <f>IF(G349="","",J349-G349)</f>
        <v/>
      </c>
      <c r="Q349" s="67">
        <f>IF(G349="","",ABS(P349-Components!$D$2))</f>
        <v/>
      </c>
      <c r="R349" s="67">
        <f>IF(G349="","",ABS(P349-Components!$D$3))</f>
        <v/>
      </c>
      <c r="S349" s="67">
        <f>IF(G349="","",ABS(P349-Components!$D$4))</f>
        <v/>
      </c>
      <c r="T349" s="67">
        <f>IF(G349="","",ABS(P349-Components!$D$5))</f>
        <v/>
      </c>
      <c r="U349" s="67">
        <f>IF(G349="","",ABS(P349-Components!$D$6))</f>
        <v/>
      </c>
      <c r="V349" s="67">
        <f>IF(G349="","",ABS(P349-Components!$D$7))</f>
        <v/>
      </c>
      <c r="W349" s="61">
        <f>IF(G349="","",IF(N349="OK","NONE",INDEX({"S1","S2","W1","W2","N1","N2"},MATCH(MIN(Q349:V349),Q349:V349,0))))</f>
        <v/>
      </c>
      <c r="X349" s="71">
        <f>IF(G349="","",IF(W349=E349,1,0))</f>
        <v/>
      </c>
      <c r="Y349" s="70" t="n"/>
    </row>
    <row r="350">
      <c r="A350" s="61" t="n">
        <v>46</v>
      </c>
      <c r="B350" s="62" t="n">
        <v>44</v>
      </c>
      <c r="C350" s="61" t="inlineStr">
        <is>
          <t>R6</t>
        </is>
      </c>
      <c r="D350" s="74" t="inlineStr">
        <is>
          <t>NG</t>
        </is>
      </c>
      <c r="E350" s="61" t="inlineStr">
        <is>
          <t>W1</t>
        </is>
      </c>
      <c r="F350" s="61" t="inlineStr">
        <is>
          <t>K046</t>
        </is>
      </c>
      <c r="G350" s="75" t="n">
        <v>7.63</v>
      </c>
      <c r="H350" s="65" t="n"/>
      <c r="I350" s="66" t="n"/>
      <c r="J350" s="67">
        <f>VLOOKUP(C350,Recipes!$A$2:$N$4,10,FALSE())</f>
        <v/>
      </c>
      <c r="K350" s="68">
        <f>VLOOKUP(C350,Recipes!$A$2:$N$4,12,FALSE())</f>
        <v/>
      </c>
      <c r="L350" s="67">
        <f>J350-6*K350</f>
        <v/>
      </c>
      <c r="M350" s="67">
        <f>J350+6*K350</f>
        <v/>
      </c>
      <c r="N350" s="61">
        <f>IF(G350="","",IF(AND(G350&gt;=L350,G350&lt;=M350),"OK","NG"))</f>
        <v/>
      </c>
      <c r="O350" s="69">
        <f>IF(N350="","",IF(N350=D350,1,0))</f>
        <v/>
      </c>
      <c r="P350" s="67">
        <f>IF(G350="","",J350-G350)</f>
        <v/>
      </c>
      <c r="Q350" s="67">
        <f>IF(G350="","",ABS(P350-Components!$D$2))</f>
        <v/>
      </c>
      <c r="R350" s="67">
        <f>IF(G350="","",ABS(P350-Components!$D$3))</f>
        <v/>
      </c>
      <c r="S350" s="67">
        <f>IF(G350="","",ABS(P350-Components!$D$4))</f>
        <v/>
      </c>
      <c r="T350" s="67">
        <f>IF(G350="","",ABS(P350-Components!$D$5))</f>
        <v/>
      </c>
      <c r="U350" s="67">
        <f>IF(G350="","",ABS(P350-Components!$D$6))</f>
        <v/>
      </c>
      <c r="V350" s="67">
        <f>IF(G350="","",ABS(P350-Components!$D$7))</f>
        <v/>
      </c>
      <c r="W350" s="61">
        <f>IF(G350="","",IF(N350="OK","NONE",INDEX({"S1","S2","W1","W2","N1","N2"},MATCH(MIN(Q350:V350),Q350:V350,0))))</f>
        <v/>
      </c>
      <c r="X350" s="69">
        <f>IF(G350="","",IF(W350=E350,1,0))</f>
        <v/>
      </c>
      <c r="Y350" s="70" t="n"/>
    </row>
    <row r="351">
      <c r="A351" s="61" t="n">
        <v>46</v>
      </c>
      <c r="B351" s="62" t="n">
        <v>44</v>
      </c>
      <c r="C351" s="61" t="inlineStr">
        <is>
          <t>R6</t>
        </is>
      </c>
      <c r="D351" s="74" t="inlineStr">
        <is>
          <t>NG</t>
        </is>
      </c>
      <c r="E351" s="61" t="inlineStr">
        <is>
          <t>W1</t>
        </is>
      </c>
      <c r="F351" s="61" t="inlineStr">
        <is>
          <t>K046</t>
        </is>
      </c>
      <c r="G351" s="75" t="n">
        <v>7.6</v>
      </c>
      <c r="H351" s="65" t="n"/>
      <c r="I351" s="66" t="n"/>
      <c r="J351" s="67">
        <f>VLOOKUP(C351,Recipes!$A$2:$N$4,10,FALSE())</f>
        <v/>
      </c>
      <c r="K351" s="68">
        <f>VLOOKUP(C351,Recipes!$A$2:$N$4,12,FALSE())</f>
        <v/>
      </c>
      <c r="L351" s="67">
        <f>J351-6*K351</f>
        <v/>
      </c>
      <c r="M351" s="67">
        <f>J351+6*K351</f>
        <v/>
      </c>
      <c r="N351" s="61">
        <f>IF(G351="","",IF(AND(G351&gt;=L351,G351&lt;=M351),"OK","NG"))</f>
        <v/>
      </c>
      <c r="O351" s="69">
        <f>IF(N351="","",IF(N351=D351,1,0))</f>
        <v/>
      </c>
      <c r="P351" s="67">
        <f>IF(G351="","",J351-G351)</f>
        <v/>
      </c>
      <c r="Q351" s="67">
        <f>IF(G351="","",ABS(P351-Components!$D$2))</f>
        <v/>
      </c>
      <c r="R351" s="67">
        <f>IF(G351="","",ABS(P351-Components!$D$3))</f>
        <v/>
      </c>
      <c r="S351" s="67">
        <f>IF(G351="","",ABS(P351-Components!$D$4))</f>
        <v/>
      </c>
      <c r="T351" s="67">
        <f>IF(G351="","",ABS(P351-Components!$D$5))</f>
        <v/>
      </c>
      <c r="U351" s="67">
        <f>IF(G351="","",ABS(P351-Components!$D$6))</f>
        <v/>
      </c>
      <c r="V351" s="67">
        <f>IF(G351="","",ABS(P351-Components!$D$7))</f>
        <v/>
      </c>
      <c r="W351" s="61">
        <f>IF(G351="","",IF(N351="OK","NONE",INDEX({"S1","S2","W1","W2","N1","N2"},MATCH(MIN(Q351:V351),Q351:V351,0))))</f>
        <v/>
      </c>
      <c r="X351" s="69">
        <f>IF(G351="","",IF(W351=E351,1,0))</f>
        <v/>
      </c>
      <c r="Y351" s="70" t="n"/>
    </row>
    <row r="352">
      <c r="A352" s="61" t="n">
        <v>46</v>
      </c>
      <c r="B352" s="62" t="n">
        <v>44</v>
      </c>
      <c r="C352" s="61" t="inlineStr">
        <is>
          <t>R6</t>
        </is>
      </c>
      <c r="D352" s="74" t="inlineStr">
        <is>
          <t>NG</t>
        </is>
      </c>
      <c r="E352" s="61" t="inlineStr">
        <is>
          <t>W1</t>
        </is>
      </c>
      <c r="F352" s="61" t="inlineStr">
        <is>
          <t>K046</t>
        </is>
      </c>
      <c r="G352" s="75" t="n">
        <v>7.58</v>
      </c>
      <c r="H352" s="65" t="n"/>
      <c r="I352" s="66" t="n"/>
      <c r="J352" s="67">
        <f>VLOOKUP(C352,Recipes!$A$2:$N$4,10,FALSE())</f>
        <v/>
      </c>
      <c r="K352" s="68">
        <f>VLOOKUP(C352,Recipes!$A$2:$N$4,12,FALSE())</f>
        <v/>
      </c>
      <c r="L352" s="67">
        <f>J352-6*K352</f>
        <v/>
      </c>
      <c r="M352" s="67">
        <f>J352+6*K352</f>
        <v/>
      </c>
      <c r="N352" s="61">
        <f>IF(G352="","",IF(AND(G352&gt;=L352,G352&lt;=M352),"OK","NG"))</f>
        <v/>
      </c>
      <c r="O352" s="69">
        <f>IF(N352="","",IF(N352=D352,1,0))</f>
        <v/>
      </c>
      <c r="P352" s="67">
        <f>IF(G352="","",J352-G352)</f>
        <v/>
      </c>
      <c r="Q352" s="67">
        <f>IF(G352="","",ABS(P352-Components!$D$2))</f>
        <v/>
      </c>
      <c r="R352" s="67">
        <f>IF(G352="","",ABS(P352-Components!$D$3))</f>
        <v/>
      </c>
      <c r="S352" s="67">
        <f>IF(G352="","",ABS(P352-Components!$D$4))</f>
        <v/>
      </c>
      <c r="T352" s="67">
        <f>IF(G352="","",ABS(P352-Components!$D$5))</f>
        <v/>
      </c>
      <c r="U352" s="67">
        <f>IF(G352="","",ABS(P352-Components!$D$6))</f>
        <v/>
      </c>
      <c r="V352" s="67">
        <f>IF(G352="","",ABS(P352-Components!$D$7))</f>
        <v/>
      </c>
      <c r="W352" s="61">
        <f>IF(G352="","",IF(N352="OK","NONE",INDEX({"S1","S2","W1","W2","N1","N2"},MATCH(MIN(Q352:V352),Q352:V352,0))))</f>
        <v/>
      </c>
      <c r="X352" s="69">
        <f>IF(G352="","",IF(W352=E352,1,0))</f>
        <v/>
      </c>
      <c r="Y352" s="70" t="n"/>
    </row>
    <row r="353">
      <c r="A353" s="61" t="n">
        <v>46</v>
      </c>
      <c r="B353" s="62" t="n">
        <v>44</v>
      </c>
      <c r="C353" s="61" t="inlineStr">
        <is>
          <t>R6</t>
        </is>
      </c>
      <c r="D353" s="74" t="inlineStr">
        <is>
          <t>NG</t>
        </is>
      </c>
      <c r="E353" s="61" t="inlineStr">
        <is>
          <t>W1</t>
        </is>
      </c>
      <c r="F353" s="61" t="inlineStr">
        <is>
          <t>K046</t>
        </is>
      </c>
      <c r="G353" s="75" t="n">
        <v>7.61</v>
      </c>
      <c r="H353" s="65" t="n"/>
      <c r="I353" s="66" t="n"/>
      <c r="J353" s="67">
        <f>VLOOKUP(C353,Recipes!$A$2:$N$4,10,FALSE())</f>
        <v/>
      </c>
      <c r="K353" s="68">
        <f>VLOOKUP(C353,Recipes!$A$2:$N$4,12,FALSE())</f>
        <v/>
      </c>
      <c r="L353" s="67">
        <f>J353-6*K353</f>
        <v/>
      </c>
      <c r="M353" s="67">
        <f>J353+6*K353</f>
        <v/>
      </c>
      <c r="N353" s="61">
        <f>IF(G353="","",IF(AND(G353&gt;=L353,G353&lt;=M353),"OK","NG"))</f>
        <v/>
      </c>
      <c r="O353" s="69">
        <f>IF(N353="","",IF(N353=D353,1,0))</f>
        <v/>
      </c>
      <c r="P353" s="67">
        <f>IF(G353="","",J353-G353)</f>
        <v/>
      </c>
      <c r="Q353" s="67">
        <f>IF(G353="","",ABS(P353-Components!$D$2))</f>
        <v/>
      </c>
      <c r="R353" s="67">
        <f>IF(G353="","",ABS(P353-Components!$D$3))</f>
        <v/>
      </c>
      <c r="S353" s="67">
        <f>IF(G353="","",ABS(P353-Components!$D$4))</f>
        <v/>
      </c>
      <c r="T353" s="67">
        <f>IF(G353="","",ABS(P353-Components!$D$5))</f>
        <v/>
      </c>
      <c r="U353" s="67">
        <f>IF(G353="","",ABS(P353-Components!$D$6))</f>
        <v/>
      </c>
      <c r="V353" s="67">
        <f>IF(G353="","",ABS(P353-Components!$D$7))</f>
        <v/>
      </c>
      <c r="W353" s="61">
        <f>IF(G353="","",IF(N353="OK","NONE",INDEX({"S1","S2","W1","W2","N1","N2"},MATCH(MIN(Q353:V353),Q353:V353,0))))</f>
        <v/>
      </c>
      <c r="X353" s="69">
        <f>IF(G353="","",IF(W353=E353,1,0))</f>
        <v/>
      </c>
      <c r="Y353" s="70" t="n"/>
    </row>
    <row r="354">
      <c r="A354" s="61" t="n">
        <v>46</v>
      </c>
      <c r="B354" s="62" t="n">
        <v>44</v>
      </c>
      <c r="C354" s="61" t="inlineStr">
        <is>
          <t>R6</t>
        </is>
      </c>
      <c r="D354" s="74" t="inlineStr">
        <is>
          <t>NG</t>
        </is>
      </c>
      <c r="E354" s="61" t="inlineStr">
        <is>
          <t>W1</t>
        </is>
      </c>
      <c r="F354" s="61" t="inlineStr">
        <is>
          <t>K046</t>
        </is>
      </c>
      <c r="G354" s="75" t="n">
        <v>7.67</v>
      </c>
      <c r="H354" s="65" t="n"/>
      <c r="I354" s="66" t="n"/>
      <c r="J354" s="67">
        <f>VLOOKUP(C354,Recipes!$A$2:$N$4,10,FALSE())</f>
        <v/>
      </c>
      <c r="K354" s="68">
        <f>VLOOKUP(C354,Recipes!$A$2:$N$4,12,FALSE())</f>
        <v/>
      </c>
      <c r="L354" s="67">
        <f>J354-6*K354</f>
        <v/>
      </c>
      <c r="M354" s="67">
        <f>J354+6*K354</f>
        <v/>
      </c>
      <c r="N354" s="61">
        <f>IF(G354="","",IF(AND(G354&gt;=L354,G354&lt;=M354),"OK","NG"))</f>
        <v/>
      </c>
      <c r="O354" s="69">
        <f>IF(N354="","",IF(N354=D354,1,0))</f>
        <v/>
      </c>
      <c r="P354" s="67">
        <f>IF(G354="","",J354-G354)</f>
        <v/>
      </c>
      <c r="Q354" s="67">
        <f>IF(G354="","",ABS(P354-Components!$D$2))</f>
        <v/>
      </c>
      <c r="R354" s="67">
        <f>IF(G354="","",ABS(P354-Components!$D$3))</f>
        <v/>
      </c>
      <c r="S354" s="67">
        <f>IF(G354="","",ABS(P354-Components!$D$4))</f>
        <v/>
      </c>
      <c r="T354" s="67">
        <f>IF(G354="","",ABS(P354-Components!$D$5))</f>
        <v/>
      </c>
      <c r="U354" s="67">
        <f>IF(G354="","",ABS(P354-Components!$D$6))</f>
        <v/>
      </c>
      <c r="V354" s="67">
        <f>IF(G354="","",ABS(P354-Components!$D$7))</f>
        <v/>
      </c>
      <c r="W354" s="61">
        <f>IF(G354="","",IF(N354="OK","NONE",INDEX({"S1","S2","W1","W2","N1","N2"},MATCH(MIN(Q354:V354),Q354:V354,0))))</f>
        <v/>
      </c>
      <c r="X354" s="69">
        <f>IF(G354="","",IF(W354=E354,1,0))</f>
        <v/>
      </c>
      <c r="Y354" s="70" t="n"/>
    </row>
    <row r="355">
      <c r="A355" s="61" t="n">
        <v>46</v>
      </c>
      <c r="B355" s="62" t="n">
        <v>44</v>
      </c>
      <c r="C355" s="61" t="inlineStr">
        <is>
          <t>R6</t>
        </is>
      </c>
      <c r="D355" s="74" t="inlineStr">
        <is>
          <t>NG</t>
        </is>
      </c>
      <c r="E355" s="61" t="inlineStr">
        <is>
          <t>W1</t>
        </is>
      </c>
      <c r="F355" s="61" t="inlineStr">
        <is>
          <t>K046</t>
        </is>
      </c>
      <c r="G355" s="75" t="n">
        <v>7.42</v>
      </c>
      <c r="H355" s="65" t="n"/>
      <c r="I355" s="66" t="n"/>
      <c r="J355" s="67">
        <f>VLOOKUP(C355,Recipes!$A$2:$N$4,10,FALSE())</f>
        <v/>
      </c>
      <c r="K355" s="68">
        <f>VLOOKUP(C355,Recipes!$A$2:$N$4,12,FALSE())</f>
        <v/>
      </c>
      <c r="L355" s="67">
        <f>J355-6*K355</f>
        <v/>
      </c>
      <c r="M355" s="67">
        <f>J355+6*K355</f>
        <v/>
      </c>
      <c r="N355" s="61">
        <f>IF(G355="","",IF(AND(G355&gt;=L355,G355&lt;=M355),"OK","NG"))</f>
        <v/>
      </c>
      <c r="O355" s="69">
        <f>IF(N355="","",IF(N355=D355,1,0))</f>
        <v/>
      </c>
      <c r="P355" s="67">
        <f>IF(G355="","",J355-G355)</f>
        <v/>
      </c>
      <c r="Q355" s="67">
        <f>IF(G355="","",ABS(P355-Components!$D$2))</f>
        <v/>
      </c>
      <c r="R355" s="67">
        <f>IF(G355="","",ABS(P355-Components!$D$3))</f>
        <v/>
      </c>
      <c r="S355" s="67">
        <f>IF(G355="","",ABS(P355-Components!$D$4))</f>
        <v/>
      </c>
      <c r="T355" s="67">
        <f>IF(G355="","",ABS(P355-Components!$D$5))</f>
        <v/>
      </c>
      <c r="U355" s="67">
        <f>IF(G355="","",ABS(P355-Components!$D$6))</f>
        <v/>
      </c>
      <c r="V355" s="67">
        <f>IF(G355="","",ABS(P355-Components!$D$7))</f>
        <v/>
      </c>
      <c r="W355" s="61">
        <f>IF(G355="","",IF(N355="OK","NONE",INDEX({"S1","S2","W1","W2","N1","N2"},MATCH(MIN(Q355:V355),Q355:V355,0))))</f>
        <v/>
      </c>
      <c r="X355" s="71">
        <f>IF(G355="","",IF(W355=E355,1,0))</f>
        <v/>
      </c>
      <c r="Y355" s="70" t="n"/>
    </row>
    <row r="356">
      <c r="A356" s="61" t="n">
        <v>46</v>
      </c>
      <c r="B356" s="62" t="n">
        <v>44</v>
      </c>
      <c r="C356" s="61" t="inlineStr">
        <is>
          <t>R6</t>
        </is>
      </c>
      <c r="D356" s="74" t="inlineStr">
        <is>
          <t>NG</t>
        </is>
      </c>
      <c r="E356" s="61" t="inlineStr">
        <is>
          <t>W1</t>
        </is>
      </c>
      <c r="F356" s="61" t="inlineStr">
        <is>
          <t>K046</t>
        </is>
      </c>
      <c r="G356" s="75" t="n">
        <v>7.69</v>
      </c>
      <c r="H356" s="65" t="n"/>
      <c r="I356" s="66" t="n"/>
      <c r="J356" s="67">
        <f>VLOOKUP(C356,Recipes!$A$2:$N$4,10,FALSE())</f>
        <v/>
      </c>
      <c r="K356" s="68">
        <f>VLOOKUP(C356,Recipes!$A$2:$N$4,12,FALSE())</f>
        <v/>
      </c>
      <c r="L356" s="67">
        <f>J356-6*K356</f>
        <v/>
      </c>
      <c r="M356" s="67">
        <f>J356+6*K356</f>
        <v/>
      </c>
      <c r="N356" s="61">
        <f>IF(G356="","",IF(AND(G356&gt;=L356,G356&lt;=M356),"OK","NG"))</f>
        <v/>
      </c>
      <c r="O356" s="69">
        <f>IF(N356="","",IF(N356=D356,1,0))</f>
        <v/>
      </c>
      <c r="P356" s="67">
        <f>IF(G356="","",J356-G356)</f>
        <v/>
      </c>
      <c r="Q356" s="67">
        <f>IF(G356="","",ABS(P356-Components!$D$2))</f>
        <v/>
      </c>
      <c r="R356" s="67">
        <f>IF(G356="","",ABS(P356-Components!$D$3))</f>
        <v/>
      </c>
      <c r="S356" s="67">
        <f>IF(G356="","",ABS(P356-Components!$D$4))</f>
        <v/>
      </c>
      <c r="T356" s="67">
        <f>IF(G356="","",ABS(P356-Components!$D$5))</f>
        <v/>
      </c>
      <c r="U356" s="67">
        <f>IF(G356="","",ABS(P356-Components!$D$6))</f>
        <v/>
      </c>
      <c r="V356" s="67">
        <f>IF(G356="","",ABS(P356-Components!$D$7))</f>
        <v/>
      </c>
      <c r="W356" s="61">
        <f>IF(G356="","",IF(N356="OK","NONE",INDEX({"S1","S2","W1","W2","N1","N2"},MATCH(MIN(Q356:V356),Q356:V356,0))))</f>
        <v/>
      </c>
      <c r="X356" s="69">
        <f>IF(G356="","",IF(W356=E356,1,0))</f>
        <v/>
      </c>
      <c r="Y356" s="70" t="n"/>
    </row>
    <row r="357">
      <c r="A357" s="61" t="n">
        <v>46</v>
      </c>
      <c r="B357" s="62" t="n">
        <v>44</v>
      </c>
      <c r="C357" s="61" t="inlineStr">
        <is>
          <t>R6</t>
        </is>
      </c>
      <c r="D357" s="74" t="inlineStr">
        <is>
          <t>NG</t>
        </is>
      </c>
      <c r="E357" s="61" t="inlineStr">
        <is>
          <t>W1</t>
        </is>
      </c>
      <c r="F357" s="61" t="inlineStr">
        <is>
          <t>K046</t>
        </is>
      </c>
      <c r="G357" s="75" t="n">
        <v>7.63</v>
      </c>
      <c r="H357" s="65" t="n"/>
      <c r="I357" s="66" t="n"/>
      <c r="J357" s="67">
        <f>VLOOKUP(C357,Recipes!$A$2:$N$4,10,FALSE())</f>
        <v/>
      </c>
      <c r="K357" s="68">
        <f>VLOOKUP(C357,Recipes!$A$2:$N$4,12,FALSE())</f>
        <v/>
      </c>
      <c r="L357" s="67">
        <f>J357-6*K357</f>
        <v/>
      </c>
      <c r="M357" s="67">
        <f>J357+6*K357</f>
        <v/>
      </c>
      <c r="N357" s="61">
        <f>IF(G357="","",IF(AND(G357&gt;=L357,G357&lt;=M357),"OK","NG"))</f>
        <v/>
      </c>
      <c r="O357" s="69">
        <f>IF(N357="","",IF(N357=D357,1,0))</f>
        <v/>
      </c>
      <c r="P357" s="67">
        <f>IF(G357="","",J357-G357)</f>
        <v/>
      </c>
      <c r="Q357" s="67">
        <f>IF(G357="","",ABS(P357-Components!$D$2))</f>
        <v/>
      </c>
      <c r="R357" s="67">
        <f>IF(G357="","",ABS(P357-Components!$D$3))</f>
        <v/>
      </c>
      <c r="S357" s="67">
        <f>IF(G357="","",ABS(P357-Components!$D$4))</f>
        <v/>
      </c>
      <c r="T357" s="67">
        <f>IF(G357="","",ABS(P357-Components!$D$5))</f>
        <v/>
      </c>
      <c r="U357" s="67">
        <f>IF(G357="","",ABS(P357-Components!$D$6))</f>
        <v/>
      </c>
      <c r="V357" s="67">
        <f>IF(G357="","",ABS(P357-Components!$D$7))</f>
        <v/>
      </c>
      <c r="W357" s="61">
        <f>IF(G357="","",IF(N357="OK","NONE",INDEX({"S1","S2","W1","W2","N1","N2"},MATCH(MIN(Q357:V357),Q357:V357,0))))</f>
        <v/>
      </c>
      <c r="X357" s="69">
        <f>IF(G357="","",IF(W357=E357,1,0))</f>
        <v/>
      </c>
      <c r="Y357" s="70" t="n"/>
    </row>
    <row r="358">
      <c r="A358" s="61" t="n">
        <v>46</v>
      </c>
      <c r="B358" s="62" t="n">
        <v>44</v>
      </c>
      <c r="C358" s="61" t="inlineStr">
        <is>
          <t>R6</t>
        </is>
      </c>
      <c r="D358" s="74" t="inlineStr">
        <is>
          <t>NG</t>
        </is>
      </c>
      <c r="E358" s="61" t="inlineStr">
        <is>
          <t>W1</t>
        </is>
      </c>
      <c r="F358" s="61" t="inlineStr">
        <is>
          <t>K046</t>
        </is>
      </c>
      <c r="G358" s="64" t="n">
        <v>7.38</v>
      </c>
      <c r="H358" s="65" t="n"/>
      <c r="I358" s="66" t="n"/>
      <c r="J358" s="67">
        <f>VLOOKUP(C358,Recipes!$A$2:$N$4,10,FALSE())</f>
        <v/>
      </c>
      <c r="K358" s="68">
        <f>VLOOKUP(C358,Recipes!$A$2:$N$4,12,FALSE())</f>
        <v/>
      </c>
      <c r="L358" s="67">
        <f>J358-6*K358</f>
        <v/>
      </c>
      <c r="M358" s="67">
        <f>J358+6*K358</f>
        <v/>
      </c>
      <c r="N358" s="61">
        <f>IF(G358="","",IF(AND(G358&gt;=L358,G358&lt;=M358),"OK","NG"))</f>
        <v/>
      </c>
      <c r="O358" s="69">
        <f>IF(N358="","",IF(N358=D358,1,0))</f>
        <v/>
      </c>
      <c r="P358" s="67">
        <f>IF(G358="","",J358-G358)</f>
        <v/>
      </c>
      <c r="Q358" s="67">
        <f>IF(G358="","",ABS(P358-Components!$D$2))</f>
        <v/>
      </c>
      <c r="R358" s="67">
        <f>IF(G358="","",ABS(P358-Components!$D$3))</f>
        <v/>
      </c>
      <c r="S358" s="67">
        <f>IF(G358="","",ABS(P358-Components!$D$4))</f>
        <v/>
      </c>
      <c r="T358" s="67">
        <f>IF(G358="","",ABS(P358-Components!$D$5))</f>
        <v/>
      </c>
      <c r="U358" s="67">
        <f>IF(G358="","",ABS(P358-Components!$D$6))</f>
        <v/>
      </c>
      <c r="V358" s="67">
        <f>IF(G358="","",ABS(P358-Components!$D$7))</f>
        <v/>
      </c>
      <c r="W358" s="61">
        <f>IF(G358="","",IF(N358="OK","NONE",INDEX({"S1","S2","W1","W2","N1","N2"},MATCH(MIN(Q358:V358),Q358:V358,0))))</f>
        <v/>
      </c>
      <c r="X358" s="71">
        <f>IF(G358="","",IF(W358=E358,1,0))</f>
        <v/>
      </c>
      <c r="Y358" s="70" t="n"/>
    </row>
    <row r="359">
      <c r="A359" s="61" t="n">
        <v>47</v>
      </c>
      <c r="B359" s="62" t="n">
        <v>7</v>
      </c>
      <c r="C359" s="61" t="inlineStr">
        <is>
          <t>R6</t>
        </is>
      </c>
      <c r="D359" s="74" t="inlineStr">
        <is>
          <t>NG</t>
        </is>
      </c>
      <c r="E359" s="61" t="inlineStr">
        <is>
          <t>W1</t>
        </is>
      </c>
      <c r="F359" s="61" t="inlineStr">
        <is>
          <t>K047</t>
        </is>
      </c>
      <c r="G359" s="64" t="n">
        <v>7.54</v>
      </c>
      <c r="H359" s="65" t="n"/>
      <c r="I359" s="66" t="n"/>
      <c r="J359" s="67">
        <f>VLOOKUP(C359,Recipes!$A$2:$N$4,10,FALSE())</f>
        <v/>
      </c>
      <c r="K359" s="68">
        <f>VLOOKUP(C359,Recipes!$A$2:$N$4,12,FALSE())</f>
        <v/>
      </c>
      <c r="L359" s="67">
        <f>J359-6*K359</f>
        <v/>
      </c>
      <c r="M359" s="67">
        <f>J359+6*K359</f>
        <v/>
      </c>
      <c r="N359" s="61">
        <f>IF(G359="","",IF(AND(G359&gt;=L359,G359&lt;=M359),"OK","NG"))</f>
        <v/>
      </c>
      <c r="O359" s="69">
        <f>IF(N359="","",IF(N359=D359,1,0))</f>
        <v/>
      </c>
      <c r="P359" s="67">
        <f>IF(G359="","",J359-G359)</f>
        <v/>
      </c>
      <c r="Q359" s="67">
        <f>IF(G359="","",ABS(P359-Components!$D$2))</f>
        <v/>
      </c>
      <c r="R359" s="67">
        <f>IF(G359="","",ABS(P359-Components!$D$3))</f>
        <v/>
      </c>
      <c r="S359" s="67">
        <f>IF(G359="","",ABS(P359-Components!$D$4))</f>
        <v/>
      </c>
      <c r="T359" s="67">
        <f>IF(G359="","",ABS(P359-Components!$D$5))</f>
        <v/>
      </c>
      <c r="U359" s="67">
        <f>IF(G359="","",ABS(P359-Components!$D$6))</f>
        <v/>
      </c>
      <c r="V359" s="67">
        <f>IF(G359="","",ABS(P359-Components!$D$7))</f>
        <v/>
      </c>
      <c r="W359" s="61">
        <f>IF(G359="","",IF(N359="OK","NONE",INDEX({"S1","S2","W1","W2","N1","N2"},MATCH(MIN(Q359:V359),Q359:V359,0))))</f>
        <v/>
      </c>
      <c r="X359" s="71">
        <f>IF(G359="","",IF(W359=E359,1,0))</f>
        <v/>
      </c>
      <c r="Y359" s="70" t="n"/>
    </row>
    <row r="360">
      <c r="A360" s="61" t="n">
        <v>48</v>
      </c>
      <c r="B360" s="62" t="n">
        <v>9</v>
      </c>
      <c r="C360" s="61" t="inlineStr">
        <is>
          <t>R6</t>
        </is>
      </c>
      <c r="D360" s="74" t="inlineStr">
        <is>
          <t>NG</t>
        </is>
      </c>
      <c r="E360" s="61" t="inlineStr">
        <is>
          <t>W1</t>
        </is>
      </c>
      <c r="F360" s="61" t="inlineStr">
        <is>
          <t>K048</t>
        </is>
      </c>
      <c r="G360" s="64" t="n">
        <v>7.65</v>
      </c>
      <c r="H360" s="65" t="n"/>
      <c r="I360" s="66" t="n"/>
      <c r="J360" s="67">
        <f>VLOOKUP(C360,Recipes!$A$2:$N$4,10,FALSE())</f>
        <v/>
      </c>
      <c r="K360" s="68">
        <f>VLOOKUP(C360,Recipes!$A$2:$N$4,12,FALSE())</f>
        <v/>
      </c>
      <c r="L360" s="67">
        <f>J360-6*K360</f>
        <v/>
      </c>
      <c r="M360" s="67">
        <f>J360+6*K360</f>
        <v/>
      </c>
      <c r="N360" s="61">
        <f>IF(G360="","",IF(AND(G360&gt;=L360,G360&lt;=M360),"OK","NG"))</f>
        <v/>
      </c>
      <c r="O360" s="69">
        <f>IF(N360="","",IF(N360=D360,1,0))</f>
        <v/>
      </c>
      <c r="P360" s="67">
        <f>IF(G360="","",J360-G360)</f>
        <v/>
      </c>
      <c r="Q360" s="67">
        <f>IF(G360="","",ABS(P360-Components!$D$2))</f>
        <v/>
      </c>
      <c r="R360" s="67">
        <f>IF(G360="","",ABS(P360-Components!$D$3))</f>
        <v/>
      </c>
      <c r="S360" s="67">
        <f>IF(G360="","",ABS(P360-Components!$D$4))</f>
        <v/>
      </c>
      <c r="T360" s="67">
        <f>IF(G360="","",ABS(P360-Components!$D$5))</f>
        <v/>
      </c>
      <c r="U360" s="67">
        <f>IF(G360="","",ABS(P360-Components!$D$6))</f>
        <v/>
      </c>
      <c r="V360" s="67">
        <f>IF(G360="","",ABS(P360-Components!$D$7))</f>
        <v/>
      </c>
      <c r="W360" s="61">
        <f>IF(G360="","",IF(N360="OK","NONE",INDEX({"S1","S2","W1","W2","N1","N2"},MATCH(MIN(Q360:V360),Q360:V360,0))))</f>
        <v/>
      </c>
      <c r="X360" s="69">
        <f>IF(G360="","",IF(W360=E360,1,0))</f>
        <v/>
      </c>
      <c r="Y360" s="70" t="n"/>
    </row>
    <row r="361">
      <c r="A361" s="61" t="n">
        <v>49</v>
      </c>
      <c r="B361" s="62" t="n">
        <v>8</v>
      </c>
      <c r="C361" s="61" t="inlineStr">
        <is>
          <t>R6</t>
        </is>
      </c>
      <c r="D361" s="74" t="inlineStr">
        <is>
          <t>NG</t>
        </is>
      </c>
      <c r="E361" s="61" t="inlineStr">
        <is>
          <t>W1</t>
        </is>
      </c>
      <c r="F361" s="61" t="inlineStr">
        <is>
          <t>K054</t>
        </is>
      </c>
      <c r="G361" s="64" t="n">
        <v>7.34</v>
      </c>
      <c r="H361" s="65" t="n"/>
      <c r="I361" s="66" t="n"/>
      <c r="J361" s="67">
        <f>VLOOKUP(C361,Recipes!$A$2:$N$4,10,FALSE())</f>
        <v/>
      </c>
      <c r="K361" s="68">
        <f>VLOOKUP(C361,Recipes!$A$2:$N$4,12,FALSE())</f>
        <v/>
      </c>
      <c r="L361" s="67">
        <f>J361-6*K361</f>
        <v/>
      </c>
      <c r="M361" s="67">
        <f>J361+6*K361</f>
        <v/>
      </c>
      <c r="N361" s="61">
        <f>IF(G361="","",IF(AND(G361&gt;=L361,G361&lt;=M361),"OK","NG"))</f>
        <v/>
      </c>
      <c r="O361" s="69">
        <f>IF(N361="","",IF(N361=D361,1,0))</f>
        <v/>
      </c>
      <c r="P361" s="67">
        <f>IF(G361="","",J361-G361)</f>
        <v/>
      </c>
      <c r="Q361" s="67">
        <f>IF(G361="","",ABS(P361-Components!$D$2))</f>
        <v/>
      </c>
      <c r="R361" s="67">
        <f>IF(G361="","",ABS(P361-Components!$D$3))</f>
        <v/>
      </c>
      <c r="S361" s="67">
        <f>IF(G361="","",ABS(P361-Components!$D$4))</f>
        <v/>
      </c>
      <c r="T361" s="67">
        <f>IF(G361="","",ABS(P361-Components!$D$5))</f>
        <v/>
      </c>
      <c r="U361" s="67">
        <f>IF(G361="","",ABS(P361-Components!$D$6))</f>
        <v/>
      </c>
      <c r="V361" s="67">
        <f>IF(G361="","",ABS(P361-Components!$D$7))</f>
        <v/>
      </c>
      <c r="W361" s="61">
        <f>IF(G361="","",IF(N361="OK","NONE",INDEX({"S1","S2","W1","W2","N1","N2"},MATCH(MIN(Q361:V361),Q361:V361,0))))</f>
        <v/>
      </c>
      <c r="X361" s="71">
        <f>IF(G361="","",IF(W361=E361,1,0))</f>
        <v/>
      </c>
      <c r="Y361" s="70" t="n"/>
    </row>
    <row r="362">
      <c r="A362" s="61" t="n">
        <v>50</v>
      </c>
      <c r="B362" s="62" t="n">
        <v>41</v>
      </c>
      <c r="C362" s="61" t="inlineStr">
        <is>
          <t>R6</t>
        </is>
      </c>
      <c r="D362" s="74" t="inlineStr">
        <is>
          <t>NG</t>
        </is>
      </c>
      <c r="E362" s="61" t="inlineStr">
        <is>
          <t>W1</t>
        </is>
      </c>
      <c r="F362" s="61" t="inlineStr">
        <is>
          <t>K055</t>
        </is>
      </c>
      <c r="G362" s="64" t="n">
        <v>7.68</v>
      </c>
      <c r="H362" s="65" t="n"/>
      <c r="I362" s="66" t="n"/>
      <c r="J362" s="67">
        <f>VLOOKUP(C362,Recipes!$A$2:$N$4,10,FALSE())</f>
        <v/>
      </c>
      <c r="K362" s="68">
        <f>VLOOKUP(C362,Recipes!$A$2:$N$4,12,FALSE())</f>
        <v/>
      </c>
      <c r="L362" s="67">
        <f>J362-6*K362</f>
        <v/>
      </c>
      <c r="M362" s="67">
        <f>J362+6*K362</f>
        <v/>
      </c>
      <c r="N362" s="61">
        <f>IF(G362="","",IF(AND(G362&gt;=L362,G362&lt;=M362),"OK","NG"))</f>
        <v/>
      </c>
      <c r="O362" s="69">
        <f>IF(N362="","",IF(N362=D362,1,0))</f>
        <v/>
      </c>
      <c r="P362" s="67">
        <f>IF(G362="","",J362-G362)</f>
        <v/>
      </c>
      <c r="Q362" s="67">
        <f>IF(G362="","",ABS(P362-Components!$D$2))</f>
        <v/>
      </c>
      <c r="R362" s="67">
        <f>IF(G362="","",ABS(P362-Components!$D$3))</f>
        <v/>
      </c>
      <c r="S362" s="67">
        <f>IF(G362="","",ABS(P362-Components!$D$4))</f>
        <v/>
      </c>
      <c r="T362" s="67">
        <f>IF(G362="","",ABS(P362-Components!$D$5))</f>
        <v/>
      </c>
      <c r="U362" s="67">
        <f>IF(G362="","",ABS(P362-Components!$D$6))</f>
        <v/>
      </c>
      <c r="V362" s="67">
        <f>IF(G362="","",ABS(P362-Components!$D$7))</f>
        <v/>
      </c>
      <c r="W362" s="61">
        <f>IF(G362="","",IF(N362="OK","NONE",INDEX({"S1","S2","W1","W2","N1","N2"},MATCH(MIN(Q362:V362),Q362:V362,0))))</f>
        <v/>
      </c>
      <c r="X362" s="69">
        <f>IF(G362="","",IF(W362=E362,1,0))</f>
        <v/>
      </c>
      <c r="Y362" s="70" t="n"/>
    </row>
    <row r="363">
      <c r="A363" s="61" t="n">
        <v>51</v>
      </c>
      <c r="B363" s="62" t="n">
        <v>15</v>
      </c>
      <c r="C363" s="61" t="inlineStr">
        <is>
          <t>R6</t>
        </is>
      </c>
      <c r="D363" s="74" t="inlineStr">
        <is>
          <t>NG</t>
        </is>
      </c>
      <c r="E363" s="61" t="inlineStr">
        <is>
          <t>N2</t>
        </is>
      </c>
      <c r="F363" s="61" t="inlineStr">
        <is>
          <t>K049</t>
        </is>
      </c>
      <c r="G363" s="75" t="n">
        <v>7.21</v>
      </c>
      <c r="H363" s="65" t="n"/>
      <c r="I363" s="66" t="n"/>
      <c r="J363" s="67">
        <f>VLOOKUP(C363,Recipes!$A$2:$N$4,10,FALSE())</f>
        <v/>
      </c>
      <c r="K363" s="68">
        <f>VLOOKUP(C363,Recipes!$A$2:$N$4,12,FALSE())</f>
        <v/>
      </c>
      <c r="L363" s="67">
        <f>J363-6*K363</f>
        <v/>
      </c>
      <c r="M363" s="67">
        <f>J363+6*K363</f>
        <v/>
      </c>
      <c r="N363" s="61">
        <f>IF(G363="","",IF(AND(G363&gt;=L363,G363&lt;=M363),"OK","NG"))</f>
        <v/>
      </c>
      <c r="O363" s="69">
        <f>IF(N363="","",IF(N363=D363,1,0))</f>
        <v/>
      </c>
      <c r="P363" s="67">
        <f>IF(G363="","",J363-G363)</f>
        <v/>
      </c>
      <c r="Q363" s="67">
        <f>IF(G363="","",ABS(P363-Components!$D$2))</f>
        <v/>
      </c>
      <c r="R363" s="67">
        <f>IF(G363="","",ABS(P363-Components!$D$3))</f>
        <v/>
      </c>
      <c r="S363" s="67">
        <f>IF(G363="","",ABS(P363-Components!$D$4))</f>
        <v/>
      </c>
      <c r="T363" s="67">
        <f>IF(G363="","",ABS(P363-Components!$D$5))</f>
        <v/>
      </c>
      <c r="U363" s="67">
        <f>IF(G363="","",ABS(P363-Components!$D$6))</f>
        <v/>
      </c>
      <c r="V363" s="67">
        <f>IF(G363="","",ABS(P363-Components!$D$7))</f>
        <v/>
      </c>
      <c r="W363" s="61">
        <f>IF(G363="","",IF(N363="OK","NONE",INDEX({"S1","S2","W1","W2","N1","N2"},MATCH(MIN(Q363:V363),Q363:V363,0))))</f>
        <v/>
      </c>
      <c r="X363" s="69">
        <f>IF(G363="","",IF(W363=E363,1,0))</f>
        <v/>
      </c>
      <c r="Y363" s="70" t="n"/>
    </row>
    <row r="364">
      <c r="A364" s="61" t="n">
        <v>51</v>
      </c>
      <c r="B364" s="62" t="n">
        <v>15</v>
      </c>
      <c r="C364" s="61" t="inlineStr">
        <is>
          <t>R6</t>
        </is>
      </c>
      <c r="D364" s="74" t="inlineStr">
        <is>
          <t>NG</t>
        </is>
      </c>
      <c r="E364" s="61" t="inlineStr">
        <is>
          <t>N2</t>
        </is>
      </c>
      <c r="F364" s="61" t="inlineStr">
        <is>
          <t>K049</t>
        </is>
      </c>
      <c r="G364" s="75" t="n">
        <v>7.27</v>
      </c>
      <c r="H364" s="65" t="n"/>
      <c r="I364" s="66" t="n"/>
      <c r="J364" s="67">
        <f>VLOOKUP(C364,Recipes!$A$2:$N$4,10,FALSE())</f>
        <v/>
      </c>
      <c r="K364" s="68">
        <f>VLOOKUP(C364,Recipes!$A$2:$N$4,12,FALSE())</f>
        <v/>
      </c>
      <c r="L364" s="67">
        <f>J364-6*K364</f>
        <v/>
      </c>
      <c r="M364" s="67">
        <f>J364+6*K364</f>
        <v/>
      </c>
      <c r="N364" s="61">
        <f>IF(G364="","",IF(AND(G364&gt;=L364,G364&lt;=M364),"OK","NG"))</f>
        <v/>
      </c>
      <c r="O364" s="69">
        <f>IF(N364="","",IF(N364=D364,1,0))</f>
        <v/>
      </c>
      <c r="P364" s="67">
        <f>IF(G364="","",J364-G364)</f>
        <v/>
      </c>
      <c r="Q364" s="67">
        <f>IF(G364="","",ABS(P364-Components!$D$2))</f>
        <v/>
      </c>
      <c r="R364" s="67">
        <f>IF(G364="","",ABS(P364-Components!$D$3))</f>
        <v/>
      </c>
      <c r="S364" s="67">
        <f>IF(G364="","",ABS(P364-Components!$D$4))</f>
        <v/>
      </c>
      <c r="T364" s="67">
        <f>IF(G364="","",ABS(P364-Components!$D$5))</f>
        <v/>
      </c>
      <c r="U364" s="67">
        <f>IF(G364="","",ABS(P364-Components!$D$6))</f>
        <v/>
      </c>
      <c r="V364" s="67">
        <f>IF(G364="","",ABS(P364-Components!$D$7))</f>
        <v/>
      </c>
      <c r="W364" s="61">
        <f>IF(G364="","",IF(N364="OK","NONE",INDEX({"S1","S2","W1","W2","N1","N2"},MATCH(MIN(Q364:V364),Q364:V364,0))))</f>
        <v/>
      </c>
      <c r="X364" s="69">
        <f>IF(G364="","",IF(W364=E364,1,0))</f>
        <v/>
      </c>
      <c r="Y364" s="70" t="n"/>
    </row>
    <row r="365">
      <c r="A365" s="61" t="n">
        <v>51</v>
      </c>
      <c r="B365" s="62" t="n">
        <v>15</v>
      </c>
      <c r="C365" s="61" t="inlineStr">
        <is>
          <t>R6</t>
        </is>
      </c>
      <c r="D365" s="74" t="inlineStr">
        <is>
          <t>NG</t>
        </is>
      </c>
      <c r="E365" s="61" t="inlineStr">
        <is>
          <t>N2</t>
        </is>
      </c>
      <c r="F365" s="61" t="inlineStr">
        <is>
          <t>K049</t>
        </is>
      </c>
      <c r="G365" s="75" t="n">
        <v>7.3</v>
      </c>
      <c r="H365" s="65" t="n"/>
      <c r="I365" s="66" t="n"/>
      <c r="J365" s="67">
        <f>VLOOKUP(C365,Recipes!$A$2:$N$4,10,FALSE())</f>
        <v/>
      </c>
      <c r="K365" s="68">
        <f>VLOOKUP(C365,Recipes!$A$2:$N$4,12,FALSE())</f>
        <v/>
      </c>
      <c r="L365" s="67">
        <f>J365-6*K365</f>
        <v/>
      </c>
      <c r="M365" s="67">
        <f>J365+6*K365</f>
        <v/>
      </c>
      <c r="N365" s="61">
        <f>IF(G365="","",IF(AND(G365&gt;=L365,G365&lt;=M365),"OK","NG"))</f>
        <v/>
      </c>
      <c r="O365" s="69">
        <f>IF(N365="","",IF(N365=D365,1,0))</f>
        <v/>
      </c>
      <c r="P365" s="67">
        <f>IF(G365="","",J365-G365)</f>
        <v/>
      </c>
      <c r="Q365" s="67">
        <f>IF(G365="","",ABS(P365-Components!$D$2))</f>
        <v/>
      </c>
      <c r="R365" s="67">
        <f>IF(G365="","",ABS(P365-Components!$D$3))</f>
        <v/>
      </c>
      <c r="S365" s="67">
        <f>IF(G365="","",ABS(P365-Components!$D$4))</f>
        <v/>
      </c>
      <c r="T365" s="67">
        <f>IF(G365="","",ABS(P365-Components!$D$5))</f>
        <v/>
      </c>
      <c r="U365" s="67">
        <f>IF(G365="","",ABS(P365-Components!$D$6))</f>
        <v/>
      </c>
      <c r="V365" s="67">
        <f>IF(G365="","",ABS(P365-Components!$D$7))</f>
        <v/>
      </c>
      <c r="W365" s="61">
        <f>IF(G365="","",IF(N365="OK","NONE",INDEX({"S1","S2","W1","W2","N1","N2"},MATCH(MIN(Q365:V365),Q365:V365,0))))</f>
        <v/>
      </c>
      <c r="X365" s="69">
        <f>IF(G365="","",IF(W365=E365,1,0))</f>
        <v/>
      </c>
      <c r="Y365" s="70" t="n"/>
    </row>
    <row r="366">
      <c r="A366" s="61" t="n">
        <v>51</v>
      </c>
      <c r="B366" s="62" t="n">
        <v>15</v>
      </c>
      <c r="C366" s="61" t="inlineStr">
        <is>
          <t>R6</t>
        </is>
      </c>
      <c r="D366" s="74" t="inlineStr">
        <is>
          <t>NG</t>
        </is>
      </c>
      <c r="E366" s="61" t="inlineStr">
        <is>
          <t>N2</t>
        </is>
      </c>
      <c r="F366" s="61" t="inlineStr">
        <is>
          <t>K049</t>
        </is>
      </c>
      <c r="G366" s="75" t="n">
        <v>7.31</v>
      </c>
      <c r="H366" s="65" t="n"/>
      <c r="I366" s="66" t="n"/>
      <c r="J366" s="67">
        <f>VLOOKUP(C366,Recipes!$A$2:$N$4,10,FALSE())</f>
        <v/>
      </c>
      <c r="K366" s="68">
        <f>VLOOKUP(C366,Recipes!$A$2:$N$4,12,FALSE())</f>
        <v/>
      </c>
      <c r="L366" s="67">
        <f>J366-6*K366</f>
        <v/>
      </c>
      <c r="M366" s="67">
        <f>J366+6*K366</f>
        <v/>
      </c>
      <c r="N366" s="61">
        <f>IF(G366="","",IF(AND(G366&gt;=L366,G366&lt;=M366),"OK","NG"))</f>
        <v/>
      </c>
      <c r="O366" s="69">
        <f>IF(N366="","",IF(N366=D366,1,0))</f>
        <v/>
      </c>
      <c r="P366" s="67">
        <f>IF(G366="","",J366-G366)</f>
        <v/>
      </c>
      <c r="Q366" s="67">
        <f>IF(G366="","",ABS(P366-Components!$D$2))</f>
        <v/>
      </c>
      <c r="R366" s="67">
        <f>IF(G366="","",ABS(P366-Components!$D$3))</f>
        <v/>
      </c>
      <c r="S366" s="67">
        <f>IF(G366="","",ABS(P366-Components!$D$4))</f>
        <v/>
      </c>
      <c r="T366" s="67">
        <f>IF(G366="","",ABS(P366-Components!$D$5))</f>
        <v/>
      </c>
      <c r="U366" s="67">
        <f>IF(G366="","",ABS(P366-Components!$D$6))</f>
        <v/>
      </c>
      <c r="V366" s="67">
        <f>IF(G366="","",ABS(P366-Components!$D$7))</f>
        <v/>
      </c>
      <c r="W366" s="61">
        <f>IF(G366="","",IF(N366="OK","NONE",INDEX({"S1","S2","W1","W2","N1","N2"},MATCH(MIN(Q366:V366),Q366:V366,0))))</f>
        <v/>
      </c>
      <c r="X366" s="69">
        <f>IF(G366="","",IF(W366=E366,1,0))</f>
        <v/>
      </c>
      <c r="Y366" s="70" t="n"/>
    </row>
    <row r="367">
      <c r="A367" s="61" t="n">
        <v>51</v>
      </c>
      <c r="B367" s="62" t="n">
        <v>15</v>
      </c>
      <c r="C367" s="61" t="inlineStr">
        <is>
          <t>R6</t>
        </is>
      </c>
      <c r="D367" s="74" t="inlineStr">
        <is>
          <t>NG</t>
        </is>
      </c>
      <c r="E367" s="61" t="inlineStr">
        <is>
          <t>N2</t>
        </is>
      </c>
      <c r="F367" s="61" t="inlineStr">
        <is>
          <t>K049</t>
        </is>
      </c>
      <c r="G367" s="75" t="n">
        <v>7.17</v>
      </c>
      <c r="H367" s="65" t="n"/>
      <c r="I367" s="66" t="n"/>
      <c r="J367" s="67">
        <f>VLOOKUP(C367,Recipes!$A$2:$N$4,10,FALSE())</f>
        <v/>
      </c>
      <c r="K367" s="68">
        <f>VLOOKUP(C367,Recipes!$A$2:$N$4,12,FALSE())</f>
        <v/>
      </c>
      <c r="L367" s="67">
        <f>J367-6*K367</f>
        <v/>
      </c>
      <c r="M367" s="67">
        <f>J367+6*K367</f>
        <v/>
      </c>
      <c r="N367" s="61">
        <f>IF(G367="","",IF(AND(G367&gt;=L367,G367&lt;=M367),"OK","NG"))</f>
        <v/>
      </c>
      <c r="O367" s="69">
        <f>IF(N367="","",IF(N367=D367,1,0))</f>
        <v/>
      </c>
      <c r="P367" s="67">
        <f>IF(G367="","",J367-G367)</f>
        <v/>
      </c>
      <c r="Q367" s="67">
        <f>IF(G367="","",ABS(P367-Components!$D$2))</f>
        <v/>
      </c>
      <c r="R367" s="67">
        <f>IF(G367="","",ABS(P367-Components!$D$3))</f>
        <v/>
      </c>
      <c r="S367" s="67">
        <f>IF(G367="","",ABS(P367-Components!$D$4))</f>
        <v/>
      </c>
      <c r="T367" s="67">
        <f>IF(G367="","",ABS(P367-Components!$D$5))</f>
        <v/>
      </c>
      <c r="U367" s="67">
        <f>IF(G367="","",ABS(P367-Components!$D$6))</f>
        <v/>
      </c>
      <c r="V367" s="67">
        <f>IF(G367="","",ABS(P367-Components!$D$7))</f>
        <v/>
      </c>
      <c r="W367" s="61">
        <f>IF(G367="","",IF(N367="OK","NONE",INDEX({"S1","S2","W1","W2","N1","N2"},MATCH(MIN(Q367:V367),Q367:V367,0))))</f>
        <v/>
      </c>
      <c r="X367" s="69">
        <f>IF(G367="","",IF(W367=E367,1,0))</f>
        <v/>
      </c>
      <c r="Y367" s="70" t="n"/>
    </row>
    <row r="368">
      <c r="A368" s="61" t="n">
        <v>51</v>
      </c>
      <c r="B368" s="62" t="n">
        <v>15</v>
      </c>
      <c r="C368" s="61" t="inlineStr">
        <is>
          <t>R6</t>
        </is>
      </c>
      <c r="D368" s="74" t="inlineStr">
        <is>
          <t>NG</t>
        </is>
      </c>
      <c r="E368" s="61" t="inlineStr">
        <is>
          <t>N2</t>
        </is>
      </c>
      <c r="F368" s="61" t="inlineStr">
        <is>
          <t>K049</t>
        </is>
      </c>
      <c r="G368" s="75" t="n">
        <v>7.23</v>
      </c>
      <c r="H368" s="65" t="n"/>
      <c r="I368" s="66" t="n"/>
      <c r="J368" s="67">
        <f>VLOOKUP(C368,Recipes!$A$2:$N$4,10,FALSE())</f>
        <v/>
      </c>
      <c r="K368" s="68">
        <f>VLOOKUP(C368,Recipes!$A$2:$N$4,12,FALSE())</f>
        <v/>
      </c>
      <c r="L368" s="67">
        <f>J368-6*K368</f>
        <v/>
      </c>
      <c r="M368" s="67">
        <f>J368+6*K368</f>
        <v/>
      </c>
      <c r="N368" s="61">
        <f>IF(G368="","",IF(AND(G368&gt;=L368,G368&lt;=M368),"OK","NG"))</f>
        <v/>
      </c>
      <c r="O368" s="69">
        <f>IF(N368="","",IF(N368=D368,1,0))</f>
        <v/>
      </c>
      <c r="P368" s="67">
        <f>IF(G368="","",J368-G368)</f>
        <v/>
      </c>
      <c r="Q368" s="67">
        <f>IF(G368="","",ABS(P368-Components!$D$2))</f>
        <v/>
      </c>
      <c r="R368" s="67">
        <f>IF(G368="","",ABS(P368-Components!$D$3))</f>
        <v/>
      </c>
      <c r="S368" s="67">
        <f>IF(G368="","",ABS(P368-Components!$D$4))</f>
        <v/>
      </c>
      <c r="T368" s="67">
        <f>IF(G368="","",ABS(P368-Components!$D$5))</f>
        <v/>
      </c>
      <c r="U368" s="67">
        <f>IF(G368="","",ABS(P368-Components!$D$6))</f>
        <v/>
      </c>
      <c r="V368" s="67">
        <f>IF(G368="","",ABS(P368-Components!$D$7))</f>
        <v/>
      </c>
      <c r="W368" s="61">
        <f>IF(G368="","",IF(N368="OK","NONE",INDEX({"S1","S2","W1","W2","N1","N2"},MATCH(MIN(Q368:V368),Q368:V368,0))))</f>
        <v/>
      </c>
      <c r="X368" s="69">
        <f>IF(G368="","",IF(W368=E368,1,0))</f>
        <v/>
      </c>
      <c r="Y368" s="70" t="n"/>
    </row>
    <row r="369">
      <c r="A369" s="61" t="n">
        <v>51</v>
      </c>
      <c r="B369" s="62" t="n">
        <v>15</v>
      </c>
      <c r="C369" s="61" t="inlineStr">
        <is>
          <t>R6</t>
        </is>
      </c>
      <c r="D369" s="74" t="inlineStr">
        <is>
          <t>NG</t>
        </is>
      </c>
      <c r="E369" s="61" t="inlineStr">
        <is>
          <t>N2</t>
        </is>
      </c>
      <c r="F369" s="61" t="inlineStr">
        <is>
          <t>K049</t>
        </is>
      </c>
      <c r="G369" s="75" t="n">
        <v>7.23</v>
      </c>
      <c r="H369" s="65" t="n"/>
      <c r="I369" s="66" t="n"/>
      <c r="J369" s="67">
        <f>VLOOKUP(C369,Recipes!$A$2:$N$4,10,FALSE())</f>
        <v/>
      </c>
      <c r="K369" s="68">
        <f>VLOOKUP(C369,Recipes!$A$2:$N$4,12,FALSE())</f>
        <v/>
      </c>
      <c r="L369" s="67">
        <f>J369-6*K369</f>
        <v/>
      </c>
      <c r="M369" s="67">
        <f>J369+6*K369</f>
        <v/>
      </c>
      <c r="N369" s="61">
        <f>IF(G369="","",IF(AND(G369&gt;=L369,G369&lt;=M369),"OK","NG"))</f>
        <v/>
      </c>
      <c r="O369" s="69">
        <f>IF(N369="","",IF(N369=D369,1,0))</f>
        <v/>
      </c>
      <c r="P369" s="67">
        <f>IF(G369="","",J369-G369)</f>
        <v/>
      </c>
      <c r="Q369" s="67">
        <f>IF(G369="","",ABS(P369-Components!$D$2))</f>
        <v/>
      </c>
      <c r="R369" s="67">
        <f>IF(G369="","",ABS(P369-Components!$D$3))</f>
        <v/>
      </c>
      <c r="S369" s="67">
        <f>IF(G369="","",ABS(P369-Components!$D$4))</f>
        <v/>
      </c>
      <c r="T369" s="67">
        <f>IF(G369="","",ABS(P369-Components!$D$5))</f>
        <v/>
      </c>
      <c r="U369" s="67">
        <f>IF(G369="","",ABS(P369-Components!$D$6))</f>
        <v/>
      </c>
      <c r="V369" s="67">
        <f>IF(G369="","",ABS(P369-Components!$D$7))</f>
        <v/>
      </c>
      <c r="W369" s="61">
        <f>IF(G369="","",IF(N369="OK","NONE",INDEX({"S1","S2","W1","W2","N1","N2"},MATCH(MIN(Q369:V369),Q369:V369,0))))</f>
        <v/>
      </c>
      <c r="X369" s="69">
        <f>IF(G369="","",IF(W369=E369,1,0))</f>
        <v/>
      </c>
      <c r="Y369" s="70" t="n"/>
    </row>
    <row r="370">
      <c r="A370" s="61" t="n">
        <v>51</v>
      </c>
      <c r="B370" s="62" t="n">
        <v>15</v>
      </c>
      <c r="C370" s="61" t="inlineStr">
        <is>
          <t>R6</t>
        </is>
      </c>
      <c r="D370" s="74" t="inlineStr">
        <is>
          <t>NG</t>
        </is>
      </c>
      <c r="E370" s="61" t="inlineStr">
        <is>
          <t>N2</t>
        </is>
      </c>
      <c r="F370" s="61" t="inlineStr">
        <is>
          <t>K049</t>
        </is>
      </c>
      <c r="G370" s="75" t="n">
        <v>7.3</v>
      </c>
      <c r="H370" s="65" t="n"/>
      <c r="I370" s="66" t="n"/>
      <c r="J370" s="67">
        <f>VLOOKUP(C370,Recipes!$A$2:$N$4,10,FALSE())</f>
        <v/>
      </c>
      <c r="K370" s="68">
        <f>VLOOKUP(C370,Recipes!$A$2:$N$4,12,FALSE())</f>
        <v/>
      </c>
      <c r="L370" s="67">
        <f>J370-6*K370</f>
        <v/>
      </c>
      <c r="M370" s="67">
        <f>J370+6*K370</f>
        <v/>
      </c>
      <c r="N370" s="61">
        <f>IF(G370="","",IF(AND(G370&gt;=L370,G370&lt;=M370),"OK","NG"))</f>
        <v/>
      </c>
      <c r="O370" s="69">
        <f>IF(N370="","",IF(N370=D370,1,0))</f>
        <v/>
      </c>
      <c r="P370" s="67">
        <f>IF(G370="","",J370-G370)</f>
        <v/>
      </c>
      <c r="Q370" s="67">
        <f>IF(G370="","",ABS(P370-Components!$D$2))</f>
        <v/>
      </c>
      <c r="R370" s="67">
        <f>IF(G370="","",ABS(P370-Components!$D$3))</f>
        <v/>
      </c>
      <c r="S370" s="67">
        <f>IF(G370="","",ABS(P370-Components!$D$4))</f>
        <v/>
      </c>
      <c r="T370" s="67">
        <f>IF(G370="","",ABS(P370-Components!$D$5))</f>
        <v/>
      </c>
      <c r="U370" s="67">
        <f>IF(G370="","",ABS(P370-Components!$D$6))</f>
        <v/>
      </c>
      <c r="V370" s="67">
        <f>IF(G370="","",ABS(P370-Components!$D$7))</f>
        <v/>
      </c>
      <c r="W370" s="61">
        <f>IF(G370="","",IF(N370="OK","NONE",INDEX({"S1","S2","W1","W2","N1","N2"},MATCH(MIN(Q370:V370),Q370:V370,0))))</f>
        <v/>
      </c>
      <c r="X370" s="69">
        <f>IF(G370="","",IF(W370=E370,1,0))</f>
        <v/>
      </c>
      <c r="Y370" s="70" t="n"/>
    </row>
    <row r="371">
      <c r="A371" s="61" t="n">
        <v>51</v>
      </c>
      <c r="B371" s="62" t="n">
        <v>15</v>
      </c>
      <c r="C371" s="61" t="inlineStr">
        <is>
          <t>R6</t>
        </is>
      </c>
      <c r="D371" s="74" t="inlineStr">
        <is>
          <t>NG</t>
        </is>
      </c>
      <c r="E371" s="61" t="inlineStr">
        <is>
          <t>N2</t>
        </is>
      </c>
      <c r="F371" s="61" t="inlineStr">
        <is>
          <t>K049</t>
        </is>
      </c>
      <c r="G371" s="75" t="n">
        <v>7.25</v>
      </c>
      <c r="H371" s="65" t="n"/>
      <c r="I371" s="66" t="n"/>
      <c r="J371" s="67">
        <f>VLOOKUP(C371,Recipes!$A$2:$N$4,10,FALSE())</f>
        <v/>
      </c>
      <c r="K371" s="68">
        <f>VLOOKUP(C371,Recipes!$A$2:$N$4,12,FALSE())</f>
        <v/>
      </c>
      <c r="L371" s="67">
        <f>J371-6*K371</f>
        <v/>
      </c>
      <c r="M371" s="67">
        <f>J371+6*K371</f>
        <v/>
      </c>
      <c r="N371" s="61">
        <f>IF(G371="","",IF(AND(G371&gt;=L371,G371&lt;=M371),"OK","NG"))</f>
        <v/>
      </c>
      <c r="O371" s="69">
        <f>IF(N371="","",IF(N371=D371,1,0))</f>
        <v/>
      </c>
      <c r="P371" s="67">
        <f>IF(G371="","",J371-G371)</f>
        <v/>
      </c>
      <c r="Q371" s="67">
        <f>IF(G371="","",ABS(P371-Components!$D$2))</f>
        <v/>
      </c>
      <c r="R371" s="67">
        <f>IF(G371="","",ABS(P371-Components!$D$3))</f>
        <v/>
      </c>
      <c r="S371" s="67">
        <f>IF(G371="","",ABS(P371-Components!$D$4))</f>
        <v/>
      </c>
      <c r="T371" s="67">
        <f>IF(G371="","",ABS(P371-Components!$D$5))</f>
        <v/>
      </c>
      <c r="U371" s="67">
        <f>IF(G371="","",ABS(P371-Components!$D$6))</f>
        <v/>
      </c>
      <c r="V371" s="67">
        <f>IF(G371="","",ABS(P371-Components!$D$7))</f>
        <v/>
      </c>
      <c r="W371" s="61">
        <f>IF(G371="","",IF(N371="OK","NONE",INDEX({"S1","S2","W1","W2","N1","N2"},MATCH(MIN(Q371:V371),Q371:V371,0))))</f>
        <v/>
      </c>
      <c r="X371" s="69">
        <f>IF(G371="","",IF(W371=E371,1,0))</f>
        <v/>
      </c>
      <c r="Y371" s="70" t="n"/>
    </row>
    <row r="372">
      <c r="A372" s="61" t="n">
        <v>51</v>
      </c>
      <c r="B372" s="62" t="n">
        <v>15</v>
      </c>
      <c r="C372" s="61" t="inlineStr">
        <is>
          <t>R6</t>
        </is>
      </c>
      <c r="D372" s="74" t="inlineStr">
        <is>
          <t>NG</t>
        </is>
      </c>
      <c r="E372" s="61" t="inlineStr">
        <is>
          <t>N2</t>
        </is>
      </c>
      <c r="F372" s="61" t="inlineStr">
        <is>
          <t>K049</t>
        </is>
      </c>
      <c r="G372" s="75" t="n">
        <v>7.25</v>
      </c>
      <c r="H372" s="65" t="n"/>
      <c r="I372" s="66" t="n"/>
      <c r="J372" s="67">
        <f>VLOOKUP(C372,Recipes!$A$2:$N$4,10,FALSE())</f>
        <v/>
      </c>
      <c r="K372" s="68">
        <f>VLOOKUP(C372,Recipes!$A$2:$N$4,12,FALSE())</f>
        <v/>
      </c>
      <c r="L372" s="67">
        <f>J372-6*K372</f>
        <v/>
      </c>
      <c r="M372" s="67">
        <f>J372+6*K372</f>
        <v/>
      </c>
      <c r="N372" s="61">
        <f>IF(G372="","",IF(AND(G372&gt;=L372,G372&lt;=M372),"OK","NG"))</f>
        <v/>
      </c>
      <c r="O372" s="69">
        <f>IF(N372="","",IF(N372=D372,1,0))</f>
        <v/>
      </c>
      <c r="P372" s="67">
        <f>IF(G372="","",J372-G372)</f>
        <v/>
      </c>
      <c r="Q372" s="67">
        <f>IF(G372="","",ABS(P372-Components!$D$2))</f>
        <v/>
      </c>
      <c r="R372" s="67">
        <f>IF(G372="","",ABS(P372-Components!$D$3))</f>
        <v/>
      </c>
      <c r="S372" s="67">
        <f>IF(G372="","",ABS(P372-Components!$D$4))</f>
        <v/>
      </c>
      <c r="T372" s="67">
        <f>IF(G372="","",ABS(P372-Components!$D$5))</f>
        <v/>
      </c>
      <c r="U372" s="67">
        <f>IF(G372="","",ABS(P372-Components!$D$6))</f>
        <v/>
      </c>
      <c r="V372" s="67">
        <f>IF(G372="","",ABS(P372-Components!$D$7))</f>
        <v/>
      </c>
      <c r="W372" s="61">
        <f>IF(G372="","",IF(N372="OK","NONE",INDEX({"S1","S2","W1","W2","N1","N2"},MATCH(MIN(Q372:V372),Q372:V372,0))))</f>
        <v/>
      </c>
      <c r="X372" s="69">
        <f>IF(G372="","",IF(W372=E372,1,0))</f>
        <v/>
      </c>
      <c r="Y372" s="70" t="n"/>
    </row>
    <row r="373">
      <c r="A373" s="61" t="n">
        <v>51</v>
      </c>
      <c r="B373" s="62" t="n">
        <v>15</v>
      </c>
      <c r="C373" s="61" t="inlineStr">
        <is>
          <t>R6</t>
        </is>
      </c>
      <c r="D373" s="74" t="inlineStr">
        <is>
          <t>NG</t>
        </is>
      </c>
      <c r="E373" s="61" t="inlineStr">
        <is>
          <t>N2</t>
        </is>
      </c>
      <c r="F373" s="61" t="inlineStr">
        <is>
          <t>K049</t>
        </is>
      </c>
      <c r="G373" s="75" t="n">
        <v>7.19</v>
      </c>
      <c r="H373" s="65" t="n"/>
      <c r="I373" s="66" t="n"/>
      <c r="J373" s="67">
        <f>VLOOKUP(C373,Recipes!$A$2:$N$4,10,FALSE())</f>
        <v/>
      </c>
      <c r="K373" s="68">
        <f>VLOOKUP(C373,Recipes!$A$2:$N$4,12,FALSE())</f>
        <v/>
      </c>
      <c r="L373" s="67">
        <f>J373-6*K373</f>
        <v/>
      </c>
      <c r="M373" s="67">
        <f>J373+6*K373</f>
        <v/>
      </c>
      <c r="N373" s="61">
        <f>IF(G373="","",IF(AND(G373&gt;=L373,G373&lt;=M373),"OK","NG"))</f>
        <v/>
      </c>
      <c r="O373" s="69">
        <f>IF(N373="","",IF(N373=D373,1,0))</f>
        <v/>
      </c>
      <c r="P373" s="67">
        <f>IF(G373="","",J373-G373)</f>
        <v/>
      </c>
      <c r="Q373" s="67">
        <f>IF(G373="","",ABS(P373-Components!$D$2))</f>
        <v/>
      </c>
      <c r="R373" s="67">
        <f>IF(G373="","",ABS(P373-Components!$D$3))</f>
        <v/>
      </c>
      <c r="S373" s="67">
        <f>IF(G373="","",ABS(P373-Components!$D$4))</f>
        <v/>
      </c>
      <c r="T373" s="67">
        <f>IF(G373="","",ABS(P373-Components!$D$5))</f>
        <v/>
      </c>
      <c r="U373" s="67">
        <f>IF(G373="","",ABS(P373-Components!$D$6))</f>
        <v/>
      </c>
      <c r="V373" s="67">
        <f>IF(G373="","",ABS(P373-Components!$D$7))</f>
        <v/>
      </c>
      <c r="W373" s="61">
        <f>IF(G373="","",IF(N373="OK","NONE",INDEX({"S1","S2","W1","W2","N1","N2"},MATCH(MIN(Q373:V373),Q373:V373,0))))</f>
        <v/>
      </c>
      <c r="X373" s="69">
        <f>IF(G373="","",IF(W373=E373,1,0))</f>
        <v/>
      </c>
      <c r="Y373" s="70" t="n"/>
    </row>
    <row r="374">
      <c r="A374" s="61" t="n">
        <v>51</v>
      </c>
      <c r="B374" s="62" t="n">
        <v>15</v>
      </c>
      <c r="C374" s="61" t="inlineStr">
        <is>
          <t>R6</t>
        </is>
      </c>
      <c r="D374" s="74" t="inlineStr">
        <is>
          <t>NG</t>
        </is>
      </c>
      <c r="E374" s="61" t="inlineStr">
        <is>
          <t>N2</t>
        </is>
      </c>
      <c r="F374" s="61" t="inlineStr">
        <is>
          <t>K049</t>
        </is>
      </c>
      <c r="G374" s="75" t="n">
        <v>7.26</v>
      </c>
      <c r="H374" s="65" t="n"/>
      <c r="I374" s="66" t="n"/>
      <c r="J374" s="67">
        <f>VLOOKUP(C374,Recipes!$A$2:$N$4,10,FALSE())</f>
        <v/>
      </c>
      <c r="K374" s="68">
        <f>VLOOKUP(C374,Recipes!$A$2:$N$4,12,FALSE())</f>
        <v/>
      </c>
      <c r="L374" s="67">
        <f>J374-6*K374</f>
        <v/>
      </c>
      <c r="M374" s="67">
        <f>J374+6*K374</f>
        <v/>
      </c>
      <c r="N374" s="61">
        <f>IF(G374="","",IF(AND(G374&gt;=L374,G374&lt;=M374),"OK","NG"))</f>
        <v/>
      </c>
      <c r="O374" s="69">
        <f>IF(N374="","",IF(N374=D374,1,0))</f>
        <v/>
      </c>
      <c r="P374" s="67">
        <f>IF(G374="","",J374-G374)</f>
        <v/>
      </c>
      <c r="Q374" s="67">
        <f>IF(G374="","",ABS(P374-Components!$D$2))</f>
        <v/>
      </c>
      <c r="R374" s="67">
        <f>IF(G374="","",ABS(P374-Components!$D$3))</f>
        <v/>
      </c>
      <c r="S374" s="67">
        <f>IF(G374="","",ABS(P374-Components!$D$4))</f>
        <v/>
      </c>
      <c r="T374" s="67">
        <f>IF(G374="","",ABS(P374-Components!$D$5))</f>
        <v/>
      </c>
      <c r="U374" s="67">
        <f>IF(G374="","",ABS(P374-Components!$D$6))</f>
        <v/>
      </c>
      <c r="V374" s="67">
        <f>IF(G374="","",ABS(P374-Components!$D$7))</f>
        <v/>
      </c>
      <c r="W374" s="61">
        <f>IF(G374="","",IF(N374="OK","NONE",INDEX({"S1","S2","W1","W2","N1","N2"},MATCH(MIN(Q374:V374),Q374:V374,0))))</f>
        <v/>
      </c>
      <c r="X374" s="69">
        <f>IF(G374="","",IF(W374=E374,1,0))</f>
        <v/>
      </c>
      <c r="Y374" s="70" t="n"/>
    </row>
    <row r="375">
      <c r="A375" s="61" t="n">
        <v>51</v>
      </c>
      <c r="B375" s="62" t="n">
        <v>15</v>
      </c>
      <c r="C375" s="61" t="inlineStr">
        <is>
          <t>R6</t>
        </is>
      </c>
      <c r="D375" s="74" t="inlineStr">
        <is>
          <t>NG</t>
        </is>
      </c>
      <c r="E375" s="61" t="inlineStr">
        <is>
          <t>N2</t>
        </is>
      </c>
      <c r="F375" s="61" t="inlineStr">
        <is>
          <t>K049</t>
        </is>
      </c>
      <c r="G375" s="75" t="n">
        <v>7.23</v>
      </c>
      <c r="H375" s="65" t="n"/>
      <c r="I375" s="66" t="n"/>
      <c r="J375" s="67">
        <f>VLOOKUP(C375,Recipes!$A$2:$N$4,10,FALSE())</f>
        <v/>
      </c>
      <c r="K375" s="68">
        <f>VLOOKUP(C375,Recipes!$A$2:$N$4,12,FALSE())</f>
        <v/>
      </c>
      <c r="L375" s="67">
        <f>J375-6*K375</f>
        <v/>
      </c>
      <c r="M375" s="67">
        <f>J375+6*K375</f>
        <v/>
      </c>
      <c r="N375" s="61">
        <f>IF(G375="","",IF(AND(G375&gt;=L375,G375&lt;=M375),"OK","NG"))</f>
        <v/>
      </c>
      <c r="O375" s="69">
        <f>IF(N375="","",IF(N375=D375,1,0))</f>
        <v/>
      </c>
      <c r="P375" s="67">
        <f>IF(G375="","",J375-G375)</f>
        <v/>
      </c>
      <c r="Q375" s="67">
        <f>IF(G375="","",ABS(P375-Components!$D$2))</f>
        <v/>
      </c>
      <c r="R375" s="67">
        <f>IF(G375="","",ABS(P375-Components!$D$3))</f>
        <v/>
      </c>
      <c r="S375" s="67">
        <f>IF(G375="","",ABS(P375-Components!$D$4))</f>
        <v/>
      </c>
      <c r="T375" s="67">
        <f>IF(G375="","",ABS(P375-Components!$D$5))</f>
        <v/>
      </c>
      <c r="U375" s="67">
        <f>IF(G375="","",ABS(P375-Components!$D$6))</f>
        <v/>
      </c>
      <c r="V375" s="67">
        <f>IF(G375="","",ABS(P375-Components!$D$7))</f>
        <v/>
      </c>
      <c r="W375" s="61">
        <f>IF(G375="","",IF(N375="OK","NONE",INDEX({"S1","S2","W1","W2","N1","N2"},MATCH(MIN(Q375:V375),Q375:V375,0))))</f>
        <v/>
      </c>
      <c r="X375" s="69">
        <f>IF(G375="","",IF(W375=E375,1,0))</f>
        <v/>
      </c>
      <c r="Y375" s="70" t="n"/>
    </row>
    <row r="376">
      <c r="A376" s="61" t="n">
        <v>51</v>
      </c>
      <c r="B376" s="62" t="n">
        <v>15</v>
      </c>
      <c r="C376" s="61" t="inlineStr">
        <is>
          <t>R6</t>
        </is>
      </c>
      <c r="D376" s="74" t="inlineStr">
        <is>
          <t>NG</t>
        </is>
      </c>
      <c r="E376" s="61" t="inlineStr">
        <is>
          <t>N2</t>
        </is>
      </c>
      <c r="F376" s="61" t="inlineStr">
        <is>
          <t>K049</t>
        </is>
      </c>
      <c r="G376" s="75" t="n">
        <v>7.06</v>
      </c>
      <c r="H376" s="65" t="n"/>
      <c r="I376" s="66" t="n"/>
      <c r="J376" s="67">
        <f>VLOOKUP(C376,Recipes!$A$2:$N$4,10,FALSE())</f>
        <v/>
      </c>
      <c r="K376" s="68">
        <f>VLOOKUP(C376,Recipes!$A$2:$N$4,12,FALSE())</f>
        <v/>
      </c>
      <c r="L376" s="67">
        <f>J376-6*K376</f>
        <v/>
      </c>
      <c r="M376" s="67">
        <f>J376+6*K376</f>
        <v/>
      </c>
      <c r="N376" s="61">
        <f>IF(G376="","",IF(AND(G376&gt;=L376,G376&lt;=M376),"OK","NG"))</f>
        <v/>
      </c>
      <c r="O376" s="69">
        <f>IF(N376="","",IF(N376=D376,1,0))</f>
        <v/>
      </c>
      <c r="P376" s="67">
        <f>IF(G376="","",J376-G376)</f>
        <v/>
      </c>
      <c r="Q376" s="67">
        <f>IF(G376="","",ABS(P376-Components!$D$2))</f>
        <v/>
      </c>
      <c r="R376" s="67">
        <f>IF(G376="","",ABS(P376-Components!$D$3))</f>
        <v/>
      </c>
      <c r="S376" s="67">
        <f>IF(G376="","",ABS(P376-Components!$D$4))</f>
        <v/>
      </c>
      <c r="T376" s="67">
        <f>IF(G376="","",ABS(P376-Components!$D$5))</f>
        <v/>
      </c>
      <c r="U376" s="67">
        <f>IF(G376="","",ABS(P376-Components!$D$6))</f>
        <v/>
      </c>
      <c r="V376" s="67">
        <f>IF(G376="","",ABS(P376-Components!$D$7))</f>
        <v/>
      </c>
      <c r="W376" s="61">
        <f>IF(G376="","",IF(N376="OK","NONE",INDEX({"S1","S2","W1","W2","N1","N2"},MATCH(MIN(Q376:V376),Q376:V376,0))))</f>
        <v/>
      </c>
      <c r="X376" s="69">
        <f>IF(G376="","",IF(W376=E376,1,0))</f>
        <v/>
      </c>
      <c r="Y376" s="70" t="n"/>
    </row>
    <row r="377">
      <c r="A377" s="61" t="n">
        <v>51</v>
      </c>
      <c r="B377" s="62" t="n">
        <v>15</v>
      </c>
      <c r="C377" s="61" t="inlineStr">
        <is>
          <t>R6</t>
        </is>
      </c>
      <c r="D377" s="74" t="inlineStr">
        <is>
          <t>NG</t>
        </is>
      </c>
      <c r="E377" s="61" t="inlineStr">
        <is>
          <t>N2</t>
        </is>
      </c>
      <c r="F377" s="61" t="inlineStr">
        <is>
          <t>K049</t>
        </is>
      </c>
      <c r="G377" s="75" t="n">
        <v>7.2</v>
      </c>
      <c r="H377" s="65" t="n"/>
      <c r="I377" s="66" t="n"/>
      <c r="J377" s="67">
        <f>VLOOKUP(C377,Recipes!$A$2:$N$4,10,FALSE())</f>
        <v/>
      </c>
      <c r="K377" s="68">
        <f>VLOOKUP(C377,Recipes!$A$2:$N$4,12,FALSE())</f>
        <v/>
      </c>
      <c r="L377" s="67">
        <f>J377-6*K377</f>
        <v/>
      </c>
      <c r="M377" s="67">
        <f>J377+6*K377</f>
        <v/>
      </c>
      <c r="N377" s="61">
        <f>IF(G377="","",IF(AND(G377&gt;=L377,G377&lt;=M377),"OK","NG"))</f>
        <v/>
      </c>
      <c r="O377" s="69">
        <f>IF(N377="","",IF(N377=D377,1,0))</f>
        <v/>
      </c>
      <c r="P377" s="67">
        <f>IF(G377="","",J377-G377)</f>
        <v/>
      </c>
      <c r="Q377" s="67">
        <f>IF(G377="","",ABS(P377-Components!$D$2))</f>
        <v/>
      </c>
      <c r="R377" s="67">
        <f>IF(G377="","",ABS(P377-Components!$D$3))</f>
        <v/>
      </c>
      <c r="S377" s="67">
        <f>IF(G377="","",ABS(P377-Components!$D$4))</f>
        <v/>
      </c>
      <c r="T377" s="67">
        <f>IF(G377="","",ABS(P377-Components!$D$5))</f>
        <v/>
      </c>
      <c r="U377" s="67">
        <f>IF(G377="","",ABS(P377-Components!$D$6))</f>
        <v/>
      </c>
      <c r="V377" s="67">
        <f>IF(G377="","",ABS(P377-Components!$D$7))</f>
        <v/>
      </c>
      <c r="W377" s="61">
        <f>IF(G377="","",IF(N377="OK","NONE",INDEX({"S1","S2","W1","W2","N1","N2"},MATCH(MIN(Q377:V377),Q377:V377,0))))</f>
        <v/>
      </c>
      <c r="X377" s="69">
        <f>IF(G377="","",IF(W377=E377,1,0))</f>
        <v/>
      </c>
      <c r="Y377" s="70" t="n"/>
    </row>
    <row r="378">
      <c r="A378" s="61" t="n">
        <v>51</v>
      </c>
      <c r="B378" s="62" t="n">
        <v>15</v>
      </c>
      <c r="C378" s="61" t="inlineStr">
        <is>
          <t>R6</t>
        </is>
      </c>
      <c r="D378" s="74" t="inlineStr">
        <is>
          <t>NG</t>
        </is>
      </c>
      <c r="E378" s="61" t="inlineStr">
        <is>
          <t>N2</t>
        </is>
      </c>
      <c r="F378" s="61" t="inlineStr">
        <is>
          <t>K049</t>
        </is>
      </c>
      <c r="G378" s="75" t="n">
        <v>7.21</v>
      </c>
      <c r="H378" s="65" t="n"/>
      <c r="I378" s="66" t="n"/>
      <c r="J378" s="67">
        <f>VLOOKUP(C378,Recipes!$A$2:$N$4,10,FALSE())</f>
        <v/>
      </c>
      <c r="K378" s="68">
        <f>VLOOKUP(C378,Recipes!$A$2:$N$4,12,FALSE())</f>
        <v/>
      </c>
      <c r="L378" s="67">
        <f>J378-6*K378</f>
        <v/>
      </c>
      <c r="M378" s="67">
        <f>J378+6*K378</f>
        <v/>
      </c>
      <c r="N378" s="61">
        <f>IF(G378="","",IF(AND(G378&gt;=L378,G378&lt;=M378),"OK","NG"))</f>
        <v/>
      </c>
      <c r="O378" s="69">
        <f>IF(N378="","",IF(N378=D378,1,0))</f>
        <v/>
      </c>
      <c r="P378" s="67">
        <f>IF(G378="","",J378-G378)</f>
        <v/>
      </c>
      <c r="Q378" s="67">
        <f>IF(G378="","",ABS(P378-Components!$D$2))</f>
        <v/>
      </c>
      <c r="R378" s="67">
        <f>IF(G378="","",ABS(P378-Components!$D$3))</f>
        <v/>
      </c>
      <c r="S378" s="67">
        <f>IF(G378="","",ABS(P378-Components!$D$4))</f>
        <v/>
      </c>
      <c r="T378" s="67">
        <f>IF(G378="","",ABS(P378-Components!$D$5))</f>
        <v/>
      </c>
      <c r="U378" s="67">
        <f>IF(G378="","",ABS(P378-Components!$D$6))</f>
        <v/>
      </c>
      <c r="V378" s="67">
        <f>IF(G378="","",ABS(P378-Components!$D$7))</f>
        <v/>
      </c>
      <c r="W378" s="61">
        <f>IF(G378="","",IF(N378="OK","NONE",INDEX({"S1","S2","W1","W2","N1","N2"},MATCH(MIN(Q378:V378),Q378:V378,0))))</f>
        <v/>
      </c>
      <c r="X378" s="69">
        <f>IF(G378="","",IF(W378=E378,1,0))</f>
        <v/>
      </c>
      <c r="Y378" s="70" t="n"/>
    </row>
    <row r="379">
      <c r="A379" s="61" t="n">
        <v>51</v>
      </c>
      <c r="B379" s="62" t="n">
        <v>15</v>
      </c>
      <c r="C379" s="61" t="inlineStr">
        <is>
          <t>R6</t>
        </is>
      </c>
      <c r="D379" s="74" t="inlineStr">
        <is>
          <t>NG</t>
        </is>
      </c>
      <c r="E379" s="61" t="inlineStr">
        <is>
          <t>N2</t>
        </is>
      </c>
      <c r="F379" s="61" t="inlineStr">
        <is>
          <t>K049</t>
        </is>
      </c>
      <c r="G379" s="75" t="n">
        <v>7.22</v>
      </c>
      <c r="H379" s="65" t="n"/>
      <c r="I379" s="66" t="n"/>
      <c r="J379" s="67">
        <f>VLOOKUP(C379,Recipes!$A$2:$N$4,10,FALSE())</f>
        <v/>
      </c>
      <c r="K379" s="68">
        <f>VLOOKUP(C379,Recipes!$A$2:$N$4,12,FALSE())</f>
        <v/>
      </c>
      <c r="L379" s="67">
        <f>J379-6*K379</f>
        <v/>
      </c>
      <c r="M379" s="67">
        <f>J379+6*K379</f>
        <v/>
      </c>
      <c r="N379" s="61">
        <f>IF(G379="","",IF(AND(G379&gt;=L379,G379&lt;=M379),"OK","NG"))</f>
        <v/>
      </c>
      <c r="O379" s="69">
        <f>IF(N379="","",IF(N379=D379,1,0))</f>
        <v/>
      </c>
      <c r="P379" s="67">
        <f>IF(G379="","",J379-G379)</f>
        <v/>
      </c>
      <c r="Q379" s="67">
        <f>IF(G379="","",ABS(P379-Components!$D$2))</f>
        <v/>
      </c>
      <c r="R379" s="67">
        <f>IF(G379="","",ABS(P379-Components!$D$3))</f>
        <v/>
      </c>
      <c r="S379" s="67">
        <f>IF(G379="","",ABS(P379-Components!$D$4))</f>
        <v/>
      </c>
      <c r="T379" s="67">
        <f>IF(G379="","",ABS(P379-Components!$D$5))</f>
        <v/>
      </c>
      <c r="U379" s="67">
        <f>IF(G379="","",ABS(P379-Components!$D$6))</f>
        <v/>
      </c>
      <c r="V379" s="67">
        <f>IF(G379="","",ABS(P379-Components!$D$7))</f>
        <v/>
      </c>
      <c r="W379" s="61">
        <f>IF(G379="","",IF(N379="OK","NONE",INDEX({"S1","S2","W1","W2","N1","N2"},MATCH(MIN(Q379:V379),Q379:V379,0))))</f>
        <v/>
      </c>
      <c r="X379" s="69">
        <f>IF(G379="","",IF(W379=E379,1,0))</f>
        <v/>
      </c>
      <c r="Y379" s="70" t="n"/>
    </row>
    <row r="380">
      <c r="A380" s="61" t="n">
        <v>51</v>
      </c>
      <c r="B380" s="62" t="n">
        <v>15</v>
      </c>
      <c r="C380" s="61" t="inlineStr">
        <is>
          <t>R6</t>
        </is>
      </c>
      <c r="D380" s="74" t="inlineStr">
        <is>
          <t>NG</t>
        </is>
      </c>
      <c r="E380" s="61" t="inlineStr">
        <is>
          <t>N2</t>
        </is>
      </c>
      <c r="F380" s="61" t="inlineStr">
        <is>
          <t>K049</t>
        </is>
      </c>
      <c r="G380" s="75" t="n">
        <v>7.15</v>
      </c>
      <c r="H380" s="65" t="n"/>
      <c r="I380" s="66" t="n"/>
      <c r="J380" s="67">
        <f>VLOOKUP(C380,Recipes!$A$2:$N$4,10,FALSE())</f>
        <v/>
      </c>
      <c r="K380" s="68">
        <f>VLOOKUP(C380,Recipes!$A$2:$N$4,12,FALSE())</f>
        <v/>
      </c>
      <c r="L380" s="67">
        <f>J380-6*K380</f>
        <v/>
      </c>
      <c r="M380" s="67">
        <f>J380+6*K380</f>
        <v/>
      </c>
      <c r="N380" s="61">
        <f>IF(G380="","",IF(AND(G380&gt;=L380,G380&lt;=M380),"OK","NG"))</f>
        <v/>
      </c>
      <c r="O380" s="69">
        <f>IF(N380="","",IF(N380=D380,1,0))</f>
        <v/>
      </c>
      <c r="P380" s="67">
        <f>IF(G380="","",J380-G380)</f>
        <v/>
      </c>
      <c r="Q380" s="67">
        <f>IF(G380="","",ABS(P380-Components!$D$2))</f>
        <v/>
      </c>
      <c r="R380" s="67">
        <f>IF(G380="","",ABS(P380-Components!$D$3))</f>
        <v/>
      </c>
      <c r="S380" s="67">
        <f>IF(G380="","",ABS(P380-Components!$D$4))</f>
        <v/>
      </c>
      <c r="T380" s="67">
        <f>IF(G380="","",ABS(P380-Components!$D$5))</f>
        <v/>
      </c>
      <c r="U380" s="67">
        <f>IF(G380="","",ABS(P380-Components!$D$6))</f>
        <v/>
      </c>
      <c r="V380" s="67">
        <f>IF(G380="","",ABS(P380-Components!$D$7))</f>
        <v/>
      </c>
      <c r="W380" s="61">
        <f>IF(G380="","",IF(N380="OK","NONE",INDEX({"S1","S2","W1","W2","N1","N2"},MATCH(MIN(Q380:V380),Q380:V380,0))))</f>
        <v/>
      </c>
      <c r="X380" s="69">
        <f>IF(G380="","",IF(W380=E380,1,0))</f>
        <v/>
      </c>
      <c r="Y380" s="70" t="n"/>
    </row>
    <row r="381">
      <c r="A381" s="61" t="n">
        <v>51</v>
      </c>
      <c r="B381" s="62" t="n">
        <v>15</v>
      </c>
      <c r="C381" s="61" t="inlineStr">
        <is>
          <t>R6</t>
        </is>
      </c>
      <c r="D381" s="74" t="inlineStr">
        <is>
          <t>NG</t>
        </is>
      </c>
      <c r="E381" s="61" t="inlineStr">
        <is>
          <t>N2</t>
        </is>
      </c>
      <c r="F381" s="61" t="inlineStr">
        <is>
          <t>K049</t>
        </is>
      </c>
      <c r="G381" s="75" t="n">
        <v>7.28</v>
      </c>
      <c r="H381" s="65" t="n"/>
      <c r="I381" s="66" t="n"/>
      <c r="J381" s="67">
        <f>VLOOKUP(C381,Recipes!$A$2:$N$4,10,FALSE())</f>
        <v/>
      </c>
      <c r="K381" s="68">
        <f>VLOOKUP(C381,Recipes!$A$2:$N$4,12,FALSE())</f>
        <v/>
      </c>
      <c r="L381" s="67">
        <f>J381-6*K381</f>
        <v/>
      </c>
      <c r="M381" s="67">
        <f>J381+6*K381</f>
        <v/>
      </c>
      <c r="N381" s="61">
        <f>IF(G381="","",IF(AND(G381&gt;=L381,G381&lt;=M381),"OK","NG"))</f>
        <v/>
      </c>
      <c r="O381" s="69">
        <f>IF(N381="","",IF(N381=D381,1,0))</f>
        <v/>
      </c>
      <c r="P381" s="67">
        <f>IF(G381="","",J381-G381)</f>
        <v/>
      </c>
      <c r="Q381" s="67">
        <f>IF(G381="","",ABS(P381-Components!$D$2))</f>
        <v/>
      </c>
      <c r="R381" s="67">
        <f>IF(G381="","",ABS(P381-Components!$D$3))</f>
        <v/>
      </c>
      <c r="S381" s="67">
        <f>IF(G381="","",ABS(P381-Components!$D$4))</f>
        <v/>
      </c>
      <c r="T381" s="67">
        <f>IF(G381="","",ABS(P381-Components!$D$5))</f>
        <v/>
      </c>
      <c r="U381" s="67">
        <f>IF(G381="","",ABS(P381-Components!$D$6))</f>
        <v/>
      </c>
      <c r="V381" s="67">
        <f>IF(G381="","",ABS(P381-Components!$D$7))</f>
        <v/>
      </c>
      <c r="W381" s="61">
        <f>IF(G381="","",IF(N381="OK","NONE",INDEX({"S1","S2","W1","W2","N1","N2"},MATCH(MIN(Q381:V381),Q381:V381,0))))</f>
        <v/>
      </c>
      <c r="X381" s="69">
        <f>IF(G381="","",IF(W381=E381,1,0))</f>
        <v/>
      </c>
      <c r="Y381" s="70" t="n"/>
    </row>
    <row r="382">
      <c r="A382" s="61" t="n">
        <v>51</v>
      </c>
      <c r="B382" s="62" t="n">
        <v>15</v>
      </c>
      <c r="C382" s="61" t="inlineStr">
        <is>
          <t>R6</t>
        </is>
      </c>
      <c r="D382" s="74" t="inlineStr">
        <is>
          <t>NG</t>
        </is>
      </c>
      <c r="E382" s="61" t="inlineStr">
        <is>
          <t>N2</t>
        </is>
      </c>
      <c r="F382" s="61" t="inlineStr">
        <is>
          <t>K049</t>
        </is>
      </c>
      <c r="G382" s="75" t="n">
        <v>7.23</v>
      </c>
      <c r="H382" s="65" t="n"/>
      <c r="I382" s="66" t="n"/>
      <c r="J382" s="67">
        <f>VLOOKUP(C382,Recipes!$A$2:$N$4,10,FALSE())</f>
        <v/>
      </c>
      <c r="K382" s="68">
        <f>VLOOKUP(C382,Recipes!$A$2:$N$4,12,FALSE())</f>
        <v/>
      </c>
      <c r="L382" s="67">
        <f>J382-6*K382</f>
        <v/>
      </c>
      <c r="M382" s="67">
        <f>J382+6*K382</f>
        <v/>
      </c>
      <c r="N382" s="61">
        <f>IF(G382="","",IF(AND(G382&gt;=L382,G382&lt;=M382),"OK","NG"))</f>
        <v/>
      </c>
      <c r="O382" s="69">
        <f>IF(N382="","",IF(N382=D382,1,0))</f>
        <v/>
      </c>
      <c r="P382" s="67">
        <f>IF(G382="","",J382-G382)</f>
        <v/>
      </c>
      <c r="Q382" s="67">
        <f>IF(G382="","",ABS(P382-Components!$D$2))</f>
        <v/>
      </c>
      <c r="R382" s="67">
        <f>IF(G382="","",ABS(P382-Components!$D$3))</f>
        <v/>
      </c>
      <c r="S382" s="67">
        <f>IF(G382="","",ABS(P382-Components!$D$4))</f>
        <v/>
      </c>
      <c r="T382" s="67">
        <f>IF(G382="","",ABS(P382-Components!$D$5))</f>
        <v/>
      </c>
      <c r="U382" s="67">
        <f>IF(G382="","",ABS(P382-Components!$D$6))</f>
        <v/>
      </c>
      <c r="V382" s="67">
        <f>IF(G382="","",ABS(P382-Components!$D$7))</f>
        <v/>
      </c>
      <c r="W382" s="61">
        <f>IF(G382="","",IF(N382="OK","NONE",INDEX({"S1","S2","W1","W2","N1","N2"},MATCH(MIN(Q382:V382),Q382:V382,0))))</f>
        <v/>
      </c>
      <c r="X382" s="69">
        <f>IF(G382="","",IF(W382=E382,1,0))</f>
        <v/>
      </c>
      <c r="Y382" s="70" t="n"/>
    </row>
    <row r="383">
      <c r="A383" s="61" t="n">
        <v>51</v>
      </c>
      <c r="B383" s="62" t="n">
        <v>15</v>
      </c>
      <c r="C383" s="61" t="inlineStr">
        <is>
          <t>R6</t>
        </is>
      </c>
      <c r="D383" s="74" t="inlineStr">
        <is>
          <t>NG</t>
        </is>
      </c>
      <c r="E383" s="61" t="inlineStr">
        <is>
          <t>N2</t>
        </is>
      </c>
      <c r="F383" s="61" t="inlineStr">
        <is>
          <t>K049</t>
        </is>
      </c>
      <c r="G383" s="75" t="n">
        <v>7.26</v>
      </c>
      <c r="H383" s="65" t="n"/>
      <c r="I383" s="66" t="n"/>
      <c r="J383" s="67">
        <f>VLOOKUP(C383,Recipes!$A$2:$N$4,10,FALSE())</f>
        <v/>
      </c>
      <c r="K383" s="68">
        <f>VLOOKUP(C383,Recipes!$A$2:$N$4,12,FALSE())</f>
        <v/>
      </c>
      <c r="L383" s="67">
        <f>J383-6*K383</f>
        <v/>
      </c>
      <c r="M383" s="67">
        <f>J383+6*K383</f>
        <v/>
      </c>
      <c r="N383" s="61">
        <f>IF(G383="","",IF(AND(G383&gt;=L383,G383&lt;=M383),"OK","NG"))</f>
        <v/>
      </c>
      <c r="O383" s="69">
        <f>IF(N383="","",IF(N383=D383,1,0))</f>
        <v/>
      </c>
      <c r="P383" s="67">
        <f>IF(G383="","",J383-G383)</f>
        <v/>
      </c>
      <c r="Q383" s="67">
        <f>IF(G383="","",ABS(P383-Components!$D$2))</f>
        <v/>
      </c>
      <c r="R383" s="67">
        <f>IF(G383="","",ABS(P383-Components!$D$3))</f>
        <v/>
      </c>
      <c r="S383" s="67">
        <f>IF(G383="","",ABS(P383-Components!$D$4))</f>
        <v/>
      </c>
      <c r="T383" s="67">
        <f>IF(G383="","",ABS(P383-Components!$D$5))</f>
        <v/>
      </c>
      <c r="U383" s="67">
        <f>IF(G383="","",ABS(P383-Components!$D$6))</f>
        <v/>
      </c>
      <c r="V383" s="67">
        <f>IF(G383="","",ABS(P383-Components!$D$7))</f>
        <v/>
      </c>
      <c r="W383" s="61">
        <f>IF(G383="","",IF(N383="OK","NONE",INDEX({"S1","S2","W1","W2","N1","N2"},MATCH(MIN(Q383:V383),Q383:V383,0))))</f>
        <v/>
      </c>
      <c r="X383" s="69">
        <f>IF(G383="","",IF(W383=E383,1,0))</f>
        <v/>
      </c>
      <c r="Y383" s="70" t="n"/>
    </row>
    <row r="384">
      <c r="A384" s="61" t="n">
        <v>51</v>
      </c>
      <c r="B384" s="62" t="n">
        <v>15</v>
      </c>
      <c r="C384" s="61" t="inlineStr">
        <is>
          <t>R6</t>
        </is>
      </c>
      <c r="D384" s="74" t="inlineStr">
        <is>
          <t>NG</t>
        </is>
      </c>
      <c r="E384" s="61" t="inlineStr">
        <is>
          <t>N2</t>
        </is>
      </c>
      <c r="F384" s="61" t="inlineStr">
        <is>
          <t>K049</t>
        </is>
      </c>
      <c r="G384" s="75" t="n">
        <v>7.26</v>
      </c>
      <c r="H384" s="65" t="n"/>
      <c r="I384" s="66" t="n"/>
      <c r="J384" s="67">
        <f>VLOOKUP(C384,Recipes!$A$2:$N$4,10,FALSE())</f>
        <v/>
      </c>
      <c r="K384" s="68">
        <f>VLOOKUP(C384,Recipes!$A$2:$N$4,12,FALSE())</f>
        <v/>
      </c>
      <c r="L384" s="67">
        <f>J384-6*K384</f>
        <v/>
      </c>
      <c r="M384" s="67">
        <f>J384+6*K384</f>
        <v/>
      </c>
      <c r="N384" s="61">
        <f>IF(G384="","",IF(AND(G384&gt;=L384,G384&lt;=M384),"OK","NG"))</f>
        <v/>
      </c>
      <c r="O384" s="69">
        <f>IF(N384="","",IF(N384=D384,1,0))</f>
        <v/>
      </c>
      <c r="P384" s="67">
        <f>IF(G384="","",J384-G384)</f>
        <v/>
      </c>
      <c r="Q384" s="67">
        <f>IF(G384="","",ABS(P384-Components!$D$2))</f>
        <v/>
      </c>
      <c r="R384" s="67">
        <f>IF(G384="","",ABS(P384-Components!$D$3))</f>
        <v/>
      </c>
      <c r="S384" s="67">
        <f>IF(G384="","",ABS(P384-Components!$D$4))</f>
        <v/>
      </c>
      <c r="T384" s="67">
        <f>IF(G384="","",ABS(P384-Components!$D$5))</f>
        <v/>
      </c>
      <c r="U384" s="67">
        <f>IF(G384="","",ABS(P384-Components!$D$6))</f>
        <v/>
      </c>
      <c r="V384" s="67">
        <f>IF(G384="","",ABS(P384-Components!$D$7))</f>
        <v/>
      </c>
      <c r="W384" s="61">
        <f>IF(G384="","",IF(N384="OK","NONE",INDEX({"S1","S2","W1","W2","N1","N2"},MATCH(MIN(Q384:V384),Q384:V384,0))))</f>
        <v/>
      </c>
      <c r="X384" s="69">
        <f>IF(G384="","",IF(W384=E384,1,0))</f>
        <v/>
      </c>
      <c r="Y384" s="70" t="n"/>
    </row>
    <row r="385">
      <c r="A385" s="61" t="n">
        <v>51</v>
      </c>
      <c r="B385" s="62" t="n">
        <v>15</v>
      </c>
      <c r="C385" s="61" t="inlineStr">
        <is>
          <t>R6</t>
        </is>
      </c>
      <c r="D385" s="74" t="inlineStr">
        <is>
          <t>NG</t>
        </is>
      </c>
      <c r="E385" s="61" t="inlineStr">
        <is>
          <t>N2</t>
        </is>
      </c>
      <c r="F385" s="61" t="inlineStr">
        <is>
          <t>K049</t>
        </is>
      </c>
      <c r="G385" s="75" t="n">
        <v>7.27</v>
      </c>
      <c r="H385" s="65" t="n"/>
      <c r="I385" s="66" t="n"/>
      <c r="J385" s="67">
        <f>VLOOKUP(C385,Recipes!$A$2:$N$4,10,FALSE())</f>
        <v/>
      </c>
      <c r="K385" s="68">
        <f>VLOOKUP(C385,Recipes!$A$2:$N$4,12,FALSE())</f>
        <v/>
      </c>
      <c r="L385" s="67">
        <f>J385-6*K385</f>
        <v/>
      </c>
      <c r="M385" s="67">
        <f>J385+6*K385</f>
        <v/>
      </c>
      <c r="N385" s="61">
        <f>IF(G385="","",IF(AND(G385&gt;=L385,G385&lt;=M385),"OK","NG"))</f>
        <v/>
      </c>
      <c r="O385" s="69">
        <f>IF(N385="","",IF(N385=D385,1,0))</f>
        <v/>
      </c>
      <c r="P385" s="67">
        <f>IF(G385="","",J385-G385)</f>
        <v/>
      </c>
      <c r="Q385" s="67">
        <f>IF(G385="","",ABS(P385-Components!$D$2))</f>
        <v/>
      </c>
      <c r="R385" s="67">
        <f>IF(G385="","",ABS(P385-Components!$D$3))</f>
        <v/>
      </c>
      <c r="S385" s="67">
        <f>IF(G385="","",ABS(P385-Components!$D$4))</f>
        <v/>
      </c>
      <c r="T385" s="67">
        <f>IF(G385="","",ABS(P385-Components!$D$5))</f>
        <v/>
      </c>
      <c r="U385" s="67">
        <f>IF(G385="","",ABS(P385-Components!$D$6))</f>
        <v/>
      </c>
      <c r="V385" s="67">
        <f>IF(G385="","",ABS(P385-Components!$D$7))</f>
        <v/>
      </c>
      <c r="W385" s="61">
        <f>IF(G385="","",IF(N385="OK","NONE",INDEX({"S1","S2","W1","W2","N1","N2"},MATCH(MIN(Q385:V385),Q385:V385,0))))</f>
        <v/>
      </c>
      <c r="X385" s="69">
        <f>IF(G385="","",IF(W385=E385,1,0))</f>
        <v/>
      </c>
      <c r="Y385" s="70" t="n"/>
    </row>
    <row r="386">
      <c r="A386" s="61" t="n">
        <v>51</v>
      </c>
      <c r="B386" s="62" t="n">
        <v>15</v>
      </c>
      <c r="C386" s="61" t="inlineStr">
        <is>
          <t>R6</t>
        </is>
      </c>
      <c r="D386" s="74" t="inlineStr">
        <is>
          <t>NG</t>
        </is>
      </c>
      <c r="E386" s="61" t="inlineStr">
        <is>
          <t>N2</t>
        </is>
      </c>
      <c r="F386" s="61" t="inlineStr">
        <is>
          <t>K049</t>
        </is>
      </c>
      <c r="G386" s="75" t="n">
        <v>7.14</v>
      </c>
      <c r="H386" s="65" t="n"/>
      <c r="I386" s="66" t="n"/>
      <c r="J386" s="67">
        <f>VLOOKUP(C386,Recipes!$A$2:$N$4,10,FALSE())</f>
        <v/>
      </c>
      <c r="K386" s="68">
        <f>VLOOKUP(C386,Recipes!$A$2:$N$4,12,FALSE())</f>
        <v/>
      </c>
      <c r="L386" s="67">
        <f>J386-6*K386</f>
        <v/>
      </c>
      <c r="M386" s="67">
        <f>J386+6*K386</f>
        <v/>
      </c>
      <c r="N386" s="61">
        <f>IF(G386="","",IF(AND(G386&gt;=L386,G386&lt;=M386),"OK","NG"))</f>
        <v/>
      </c>
      <c r="O386" s="69">
        <f>IF(N386="","",IF(N386=D386,1,0))</f>
        <v/>
      </c>
      <c r="P386" s="67">
        <f>IF(G386="","",J386-G386)</f>
        <v/>
      </c>
      <c r="Q386" s="67">
        <f>IF(G386="","",ABS(P386-Components!$D$2))</f>
        <v/>
      </c>
      <c r="R386" s="67">
        <f>IF(G386="","",ABS(P386-Components!$D$3))</f>
        <v/>
      </c>
      <c r="S386" s="67">
        <f>IF(G386="","",ABS(P386-Components!$D$4))</f>
        <v/>
      </c>
      <c r="T386" s="67">
        <f>IF(G386="","",ABS(P386-Components!$D$5))</f>
        <v/>
      </c>
      <c r="U386" s="67">
        <f>IF(G386="","",ABS(P386-Components!$D$6))</f>
        <v/>
      </c>
      <c r="V386" s="67">
        <f>IF(G386="","",ABS(P386-Components!$D$7))</f>
        <v/>
      </c>
      <c r="W386" s="61">
        <f>IF(G386="","",IF(N386="OK","NONE",INDEX({"S1","S2","W1","W2","N1","N2"},MATCH(MIN(Q386:V386),Q386:V386,0))))</f>
        <v/>
      </c>
      <c r="X386" s="69">
        <f>IF(G386="","",IF(W386=E386,1,0))</f>
        <v/>
      </c>
      <c r="Y386" s="70" t="n"/>
    </row>
    <row r="387">
      <c r="A387" s="61" t="n">
        <v>51</v>
      </c>
      <c r="B387" s="62" t="n">
        <v>15</v>
      </c>
      <c r="C387" s="61" t="inlineStr">
        <is>
          <t>R6</t>
        </is>
      </c>
      <c r="D387" s="74" t="inlineStr">
        <is>
          <t>NG</t>
        </is>
      </c>
      <c r="E387" s="61" t="inlineStr">
        <is>
          <t>N2</t>
        </is>
      </c>
      <c r="F387" s="61" t="inlineStr">
        <is>
          <t>K049</t>
        </is>
      </c>
      <c r="G387" s="75" t="n">
        <v>6.97</v>
      </c>
      <c r="H387" s="65" t="n"/>
      <c r="I387" s="66" t="n"/>
      <c r="J387" s="67">
        <f>VLOOKUP(C387,Recipes!$A$2:$N$4,10,FALSE())</f>
        <v/>
      </c>
      <c r="K387" s="68">
        <f>VLOOKUP(C387,Recipes!$A$2:$N$4,12,FALSE())</f>
        <v/>
      </c>
      <c r="L387" s="67">
        <f>J387-6*K387</f>
        <v/>
      </c>
      <c r="M387" s="67">
        <f>J387+6*K387</f>
        <v/>
      </c>
      <c r="N387" s="61">
        <f>IF(G387="","",IF(AND(G387&gt;=L387,G387&lt;=M387),"OK","NG"))</f>
        <v/>
      </c>
      <c r="O387" s="69">
        <f>IF(N387="","",IF(N387=D387,1,0))</f>
        <v/>
      </c>
      <c r="P387" s="67">
        <f>IF(G387="","",J387-G387)</f>
        <v/>
      </c>
      <c r="Q387" s="67">
        <f>IF(G387="","",ABS(P387-Components!$D$2))</f>
        <v/>
      </c>
      <c r="R387" s="67">
        <f>IF(G387="","",ABS(P387-Components!$D$3))</f>
        <v/>
      </c>
      <c r="S387" s="67">
        <f>IF(G387="","",ABS(P387-Components!$D$4))</f>
        <v/>
      </c>
      <c r="T387" s="67">
        <f>IF(G387="","",ABS(P387-Components!$D$5))</f>
        <v/>
      </c>
      <c r="U387" s="67">
        <f>IF(G387="","",ABS(P387-Components!$D$6))</f>
        <v/>
      </c>
      <c r="V387" s="67">
        <f>IF(G387="","",ABS(P387-Components!$D$7))</f>
        <v/>
      </c>
      <c r="W387" s="61">
        <f>IF(G387="","",IF(N387="OK","NONE",INDEX({"S1","S2","W1","W2","N1","N2"},MATCH(MIN(Q387:V387),Q387:V387,0))))</f>
        <v/>
      </c>
      <c r="X387" s="69">
        <f>IF(G387="","",IF(W387=E387,1,0))</f>
        <v/>
      </c>
      <c r="Y387" s="70" t="n"/>
    </row>
    <row r="388">
      <c r="A388" s="61" t="n">
        <v>51</v>
      </c>
      <c r="B388" s="62" t="n">
        <v>15</v>
      </c>
      <c r="C388" s="61" t="inlineStr">
        <is>
          <t>R6</t>
        </is>
      </c>
      <c r="D388" s="74" t="inlineStr">
        <is>
          <t>NG</t>
        </is>
      </c>
      <c r="E388" s="61" t="inlineStr">
        <is>
          <t>N2</t>
        </is>
      </c>
      <c r="F388" s="61" t="inlineStr">
        <is>
          <t>K049</t>
        </is>
      </c>
      <c r="G388" s="64" t="n">
        <v>7.29</v>
      </c>
      <c r="H388" s="65" t="n"/>
      <c r="I388" s="66" t="n"/>
      <c r="J388" s="67">
        <f>VLOOKUP(C388,Recipes!$A$2:$N$4,10,FALSE())</f>
        <v/>
      </c>
      <c r="K388" s="68">
        <f>VLOOKUP(C388,Recipes!$A$2:$N$4,12,FALSE())</f>
        <v/>
      </c>
      <c r="L388" s="67">
        <f>J388-6*K388</f>
        <v/>
      </c>
      <c r="M388" s="67">
        <f>J388+6*K388</f>
        <v/>
      </c>
      <c r="N388" s="61">
        <f>IF(G388="","",IF(AND(G388&gt;=L388,G388&lt;=M388),"OK","NG"))</f>
        <v/>
      </c>
      <c r="O388" s="69">
        <f>IF(N388="","",IF(N388=D388,1,0))</f>
        <v/>
      </c>
      <c r="P388" s="67">
        <f>IF(G388="","",J388-G388)</f>
        <v/>
      </c>
      <c r="Q388" s="67">
        <f>IF(G388="","",ABS(P388-Components!$D$2))</f>
        <v/>
      </c>
      <c r="R388" s="67">
        <f>IF(G388="","",ABS(P388-Components!$D$3))</f>
        <v/>
      </c>
      <c r="S388" s="67">
        <f>IF(G388="","",ABS(P388-Components!$D$4))</f>
        <v/>
      </c>
      <c r="T388" s="67">
        <f>IF(G388="","",ABS(P388-Components!$D$5))</f>
        <v/>
      </c>
      <c r="U388" s="67">
        <f>IF(G388="","",ABS(P388-Components!$D$6))</f>
        <v/>
      </c>
      <c r="V388" s="67">
        <f>IF(G388="","",ABS(P388-Components!$D$7))</f>
        <v/>
      </c>
      <c r="W388" s="61">
        <f>IF(G388="","",IF(N388="OK","NONE",INDEX({"S1","S2","W1","W2","N1","N2"},MATCH(MIN(Q388:V388),Q388:V388,0))))</f>
        <v/>
      </c>
      <c r="X388" s="69">
        <f>IF(G388="","",IF(W388=E388,1,0))</f>
        <v/>
      </c>
      <c r="Y388" s="70" t="n"/>
    </row>
    <row r="389">
      <c r="A389" s="61" t="n">
        <v>52</v>
      </c>
      <c r="B389" s="62" t="n">
        <v>16</v>
      </c>
      <c r="C389" s="61" t="inlineStr">
        <is>
          <t>R6</t>
        </is>
      </c>
      <c r="D389" s="74" t="inlineStr">
        <is>
          <t>NG</t>
        </is>
      </c>
      <c r="E389" s="61" t="inlineStr">
        <is>
          <t>N2</t>
        </is>
      </c>
      <c r="F389" s="61" t="inlineStr">
        <is>
          <t>K050</t>
        </is>
      </c>
      <c r="G389" s="64" t="n">
        <v>7.16</v>
      </c>
      <c r="H389" s="65" t="n"/>
      <c r="I389" s="66" t="n"/>
      <c r="J389" s="67">
        <f>VLOOKUP(C389,Recipes!$A$2:$N$4,10,FALSE())</f>
        <v/>
      </c>
      <c r="K389" s="68">
        <f>VLOOKUP(C389,Recipes!$A$2:$N$4,12,FALSE())</f>
        <v/>
      </c>
      <c r="L389" s="67">
        <f>J389-6*K389</f>
        <v/>
      </c>
      <c r="M389" s="67">
        <f>J389+6*K389</f>
        <v/>
      </c>
      <c r="N389" s="61">
        <f>IF(G389="","",IF(AND(G389&gt;=L389,G389&lt;=M389),"OK","NG"))</f>
        <v/>
      </c>
      <c r="O389" s="69">
        <f>IF(N389="","",IF(N389=D389,1,0))</f>
        <v/>
      </c>
      <c r="P389" s="67">
        <f>IF(G389="","",J389-G389)</f>
        <v/>
      </c>
      <c r="Q389" s="67">
        <f>IF(G389="","",ABS(P389-Components!$D$2))</f>
        <v/>
      </c>
      <c r="R389" s="67">
        <f>IF(G389="","",ABS(P389-Components!$D$3))</f>
        <v/>
      </c>
      <c r="S389" s="67">
        <f>IF(G389="","",ABS(P389-Components!$D$4))</f>
        <v/>
      </c>
      <c r="T389" s="67">
        <f>IF(G389="","",ABS(P389-Components!$D$5))</f>
        <v/>
      </c>
      <c r="U389" s="67">
        <f>IF(G389="","",ABS(P389-Components!$D$6))</f>
        <v/>
      </c>
      <c r="V389" s="67">
        <f>IF(G389="","",ABS(P389-Components!$D$7))</f>
        <v/>
      </c>
      <c r="W389" s="61">
        <f>IF(G389="","",IF(N389="OK","NONE",INDEX({"S1","S2","W1","W2","N1","N2"},MATCH(MIN(Q389:V389),Q389:V389,0))))</f>
        <v/>
      </c>
      <c r="X389" s="69">
        <f>IF(G389="","",IF(W389=E389,1,0))</f>
        <v/>
      </c>
      <c r="Y389" s="70" t="n"/>
    </row>
    <row r="390">
      <c r="A390" s="61" t="n">
        <v>53</v>
      </c>
      <c r="B390" s="62" t="n">
        <v>18</v>
      </c>
      <c r="C390" s="61" t="inlineStr">
        <is>
          <t>R6</t>
        </is>
      </c>
      <c r="D390" s="74" t="inlineStr">
        <is>
          <t>NG</t>
        </is>
      </c>
      <c r="E390" s="61" t="inlineStr">
        <is>
          <t>N2</t>
        </is>
      </c>
      <c r="F390" s="61" t="inlineStr">
        <is>
          <t>K051</t>
        </is>
      </c>
      <c r="G390" s="64" t="n">
        <v>7.23</v>
      </c>
      <c r="H390" s="65" t="n"/>
      <c r="I390" s="66" t="n"/>
      <c r="J390" s="67">
        <f>VLOOKUP(C390,Recipes!$A$2:$N$4,10,FALSE())</f>
        <v/>
      </c>
      <c r="K390" s="68">
        <f>VLOOKUP(C390,Recipes!$A$2:$N$4,12,FALSE())</f>
        <v/>
      </c>
      <c r="L390" s="67">
        <f>J390-6*K390</f>
        <v/>
      </c>
      <c r="M390" s="67">
        <f>J390+6*K390</f>
        <v/>
      </c>
      <c r="N390" s="61">
        <f>IF(G390="","",IF(AND(G390&gt;=L390,G390&lt;=M390),"OK","NG"))</f>
        <v/>
      </c>
      <c r="O390" s="69">
        <f>IF(N390="","",IF(N390=D390,1,0))</f>
        <v/>
      </c>
      <c r="P390" s="67">
        <f>IF(G390="","",J390-G390)</f>
        <v/>
      </c>
      <c r="Q390" s="67">
        <f>IF(G390="","",ABS(P390-Components!$D$2))</f>
        <v/>
      </c>
      <c r="R390" s="67">
        <f>IF(G390="","",ABS(P390-Components!$D$3))</f>
        <v/>
      </c>
      <c r="S390" s="67">
        <f>IF(G390="","",ABS(P390-Components!$D$4))</f>
        <v/>
      </c>
      <c r="T390" s="67">
        <f>IF(G390="","",ABS(P390-Components!$D$5))</f>
        <v/>
      </c>
      <c r="U390" s="67">
        <f>IF(G390="","",ABS(P390-Components!$D$6))</f>
        <v/>
      </c>
      <c r="V390" s="67">
        <f>IF(G390="","",ABS(P390-Components!$D$7))</f>
        <v/>
      </c>
      <c r="W390" s="61">
        <f>IF(G390="","",IF(N390="OK","NONE",INDEX({"S1","S2","W1","W2","N1","N2"},MATCH(MIN(Q390:V390),Q390:V390,0))))</f>
        <v/>
      </c>
      <c r="X390" s="69">
        <f>IF(G390="","",IF(W390=E390,1,0))</f>
        <v/>
      </c>
      <c r="Y390" s="70" t="n"/>
    </row>
    <row r="391">
      <c r="A391" s="76" t="n">
        <v>54</v>
      </c>
      <c r="B391" s="80" t="n"/>
      <c r="C391" s="76" t="inlineStr">
        <is>
          <t>R6</t>
        </is>
      </c>
      <c r="D391" s="78" t="inlineStr">
        <is>
          <t>NG</t>
        </is>
      </c>
      <c r="E391" s="76" t="inlineStr">
        <is>
          <t>N2</t>
        </is>
      </c>
      <c r="F391" s="81" t="n"/>
      <c r="G391" s="75" t="n">
        <v>7.25</v>
      </c>
      <c r="H391" s="65" t="n"/>
      <c r="I391" s="66" t="n"/>
      <c r="J391" s="67">
        <f>VLOOKUP(C391,Recipes!$A$2:$N$4,10,FALSE())</f>
        <v/>
      </c>
      <c r="K391" s="68">
        <f>VLOOKUP(C391,Recipes!$A$2:$N$4,12,FALSE())</f>
        <v/>
      </c>
      <c r="L391" s="67">
        <f>J391-6*K391</f>
        <v/>
      </c>
      <c r="M391" s="67">
        <f>J391+6*K391</f>
        <v/>
      </c>
      <c r="N391" s="61">
        <f>IF(G391="","",IF(AND(G391&gt;=L391,G391&lt;=M391),"OK","NG"))</f>
        <v/>
      </c>
      <c r="O391" s="69">
        <f>IF(N391="","",IF(N391=D391,1,0))</f>
        <v/>
      </c>
      <c r="P391" s="67">
        <f>IF(G391="","",J391-G391)</f>
        <v/>
      </c>
      <c r="Q391" s="67">
        <f>IF(G391="","",ABS(P391-Components!$D$2))</f>
        <v/>
      </c>
      <c r="R391" s="67">
        <f>IF(G391="","",ABS(P391-Components!$D$3))</f>
        <v/>
      </c>
      <c r="S391" s="67">
        <f>IF(G391="","",ABS(P391-Components!$D$4))</f>
        <v/>
      </c>
      <c r="T391" s="67">
        <f>IF(G391="","",ABS(P391-Components!$D$5))</f>
        <v/>
      </c>
      <c r="U391" s="67">
        <f>IF(G391="","",ABS(P391-Components!$D$6))</f>
        <v/>
      </c>
      <c r="V391" s="67">
        <f>IF(G391="","",ABS(P391-Components!$D$7))</f>
        <v/>
      </c>
      <c r="W391" s="61">
        <f>IF(G391="","",IF(N391="OK","NONE",INDEX({"S1","S2","W1","W2","N1","N2"},MATCH(MIN(Q391:V391),Q391:V391,0))))</f>
        <v/>
      </c>
      <c r="X391" s="69">
        <f>IF(G391="","",IF(W391=E391,1,0))</f>
        <v/>
      </c>
      <c r="Y391" s="70" t="n"/>
    </row>
    <row r="392">
      <c r="A392" s="79" t="n"/>
      <c r="B392" s="80" t="n"/>
      <c r="C392" s="76" t="inlineStr">
        <is>
          <t>R6</t>
        </is>
      </c>
      <c r="D392" s="78" t="inlineStr">
        <is>
          <t>NG</t>
        </is>
      </c>
      <c r="E392" s="76" t="inlineStr">
        <is>
          <t>N2</t>
        </is>
      </c>
      <c r="F392" s="81" t="n"/>
      <c r="G392" s="75" t="n">
        <v>7.2</v>
      </c>
      <c r="H392" s="65" t="n"/>
      <c r="I392" s="66" t="n"/>
      <c r="J392" s="67">
        <f>VLOOKUP(C392,Recipes!$A$2:$N$4,10,FALSE())</f>
        <v/>
      </c>
      <c r="K392" s="68">
        <f>VLOOKUP(C392,Recipes!$A$2:$N$4,12,FALSE())</f>
        <v/>
      </c>
      <c r="L392" s="67">
        <f>J392-6*K392</f>
        <v/>
      </c>
      <c r="M392" s="67">
        <f>J392+6*K392</f>
        <v/>
      </c>
      <c r="N392" s="61">
        <f>IF(G392="","",IF(AND(G392&gt;=L392,G392&lt;=M392),"OK","NG"))</f>
        <v/>
      </c>
      <c r="O392" s="69">
        <f>IF(N392="","",IF(N392=D392,1,0))</f>
        <v/>
      </c>
      <c r="P392" s="67">
        <f>IF(G392="","",J392-G392)</f>
        <v/>
      </c>
      <c r="Q392" s="67">
        <f>IF(G392="","",ABS(P392-Components!$D$2))</f>
        <v/>
      </c>
      <c r="R392" s="67">
        <f>IF(G392="","",ABS(P392-Components!$D$3))</f>
        <v/>
      </c>
      <c r="S392" s="67">
        <f>IF(G392="","",ABS(P392-Components!$D$4))</f>
        <v/>
      </c>
      <c r="T392" s="67">
        <f>IF(G392="","",ABS(P392-Components!$D$5))</f>
        <v/>
      </c>
      <c r="U392" s="67">
        <f>IF(G392="","",ABS(P392-Components!$D$6))</f>
        <v/>
      </c>
      <c r="V392" s="67">
        <f>IF(G392="","",ABS(P392-Components!$D$7))</f>
        <v/>
      </c>
      <c r="W392" s="61">
        <f>IF(G392="","",IF(N392="OK","NONE",INDEX({"S1","S2","W1","W2","N1","N2"},MATCH(MIN(Q392:V392),Q392:V392,0))))</f>
        <v/>
      </c>
      <c r="X392" s="69">
        <f>IF(G392="","",IF(W392=E392,1,0))</f>
        <v/>
      </c>
      <c r="Y392" s="70" t="n"/>
    </row>
    <row r="393">
      <c r="A393" s="61" t="n">
        <v>52</v>
      </c>
      <c r="B393" s="62" t="n">
        <v>48</v>
      </c>
      <c r="C393" s="61" t="inlineStr">
        <is>
          <t>R6</t>
        </is>
      </c>
      <c r="D393" s="74" t="inlineStr">
        <is>
          <t>NG</t>
        </is>
      </c>
      <c r="E393" s="61" t="inlineStr">
        <is>
          <t>N1</t>
        </is>
      </c>
      <c r="F393" s="61" t="inlineStr">
        <is>
          <t>K052</t>
        </is>
      </c>
      <c r="G393" s="75" t="n">
        <v>7.39</v>
      </c>
      <c r="H393" s="65" t="n"/>
      <c r="I393" s="66" t="n"/>
      <c r="J393" s="67">
        <f>VLOOKUP(C393,Recipes!$A$2:$N$4,10,FALSE())</f>
        <v/>
      </c>
      <c r="K393" s="68">
        <f>VLOOKUP(C393,Recipes!$A$2:$N$4,12,FALSE())</f>
        <v/>
      </c>
      <c r="L393" s="67">
        <f>J393-6*K393</f>
        <v/>
      </c>
      <c r="M393" s="67">
        <f>J393+6*K393</f>
        <v/>
      </c>
      <c r="N393" s="61">
        <f>IF(G393="","",IF(AND(G393&gt;=L393,G393&lt;=M393),"OK","NG"))</f>
        <v/>
      </c>
      <c r="O393" s="69">
        <f>IF(N393="","",IF(N393=D393,1,0))</f>
        <v/>
      </c>
      <c r="P393" s="67">
        <f>IF(G393="","",J393-G393)</f>
        <v/>
      </c>
      <c r="Q393" s="67">
        <f>IF(G393="","",ABS(P393-Components!$D$2))</f>
        <v/>
      </c>
      <c r="R393" s="67">
        <f>IF(G393="","",ABS(P393-Components!$D$3))</f>
        <v/>
      </c>
      <c r="S393" s="67">
        <f>IF(G393="","",ABS(P393-Components!$D$4))</f>
        <v/>
      </c>
      <c r="T393" s="67">
        <f>IF(G393="","",ABS(P393-Components!$D$5))</f>
        <v/>
      </c>
      <c r="U393" s="67">
        <f>IF(G393="","",ABS(P393-Components!$D$6))</f>
        <v/>
      </c>
      <c r="V393" s="67">
        <f>IF(G393="","",ABS(P393-Components!$D$7))</f>
        <v/>
      </c>
      <c r="W393" s="61">
        <f>IF(G393="","",IF(N393="OK","NONE",INDEX({"S1","S2","W1","W2","N1","N2"},MATCH(MIN(Q393:V393),Q393:V393,0))))</f>
        <v/>
      </c>
      <c r="X393" s="69">
        <f>IF(G393="","",IF(W393=E393,1,0))</f>
        <v/>
      </c>
      <c r="Y393" s="70" t="n"/>
    </row>
    <row r="394">
      <c r="A394" s="61" t="n">
        <v>52</v>
      </c>
      <c r="B394" s="62" t="n">
        <v>48</v>
      </c>
      <c r="C394" s="61" t="inlineStr">
        <is>
          <t>R6</t>
        </is>
      </c>
      <c r="D394" s="74" t="inlineStr">
        <is>
          <t>NG</t>
        </is>
      </c>
      <c r="E394" s="61" t="inlineStr">
        <is>
          <t>N1</t>
        </is>
      </c>
      <c r="F394" s="61" t="inlineStr">
        <is>
          <t>K052</t>
        </is>
      </c>
      <c r="G394" s="75" t="n">
        <v>7.49</v>
      </c>
      <c r="H394" s="65" t="n"/>
      <c r="I394" s="66" t="n"/>
      <c r="J394" s="67">
        <f>VLOOKUP(C394,Recipes!$A$2:$N$4,10,FALSE())</f>
        <v/>
      </c>
      <c r="K394" s="68">
        <f>VLOOKUP(C394,Recipes!$A$2:$N$4,12,FALSE())</f>
        <v/>
      </c>
      <c r="L394" s="67">
        <f>J394-6*K394</f>
        <v/>
      </c>
      <c r="M394" s="67">
        <f>J394+6*K394</f>
        <v/>
      </c>
      <c r="N394" s="61">
        <f>IF(G394="","",IF(AND(G394&gt;=L394,G394&lt;=M394),"OK","NG"))</f>
        <v/>
      </c>
      <c r="O394" s="69">
        <f>IF(N394="","",IF(N394=D394,1,0))</f>
        <v/>
      </c>
      <c r="P394" s="67">
        <f>IF(G394="","",J394-G394)</f>
        <v/>
      </c>
      <c r="Q394" s="67">
        <f>IF(G394="","",ABS(P394-Components!$D$2))</f>
        <v/>
      </c>
      <c r="R394" s="67">
        <f>IF(G394="","",ABS(P394-Components!$D$3))</f>
        <v/>
      </c>
      <c r="S394" s="67">
        <f>IF(G394="","",ABS(P394-Components!$D$4))</f>
        <v/>
      </c>
      <c r="T394" s="67">
        <f>IF(G394="","",ABS(P394-Components!$D$5))</f>
        <v/>
      </c>
      <c r="U394" s="67">
        <f>IF(G394="","",ABS(P394-Components!$D$6))</f>
        <v/>
      </c>
      <c r="V394" s="67">
        <f>IF(G394="","",ABS(P394-Components!$D$7))</f>
        <v/>
      </c>
      <c r="W394" s="61">
        <f>IF(G394="","",IF(N394="OK","NONE",INDEX({"S1","S2","W1","W2","N1","N2"},MATCH(MIN(Q394:V394),Q394:V394,0))))</f>
        <v/>
      </c>
      <c r="X394" s="69">
        <f>IF(G394="","",IF(W394=E394,1,0))</f>
        <v/>
      </c>
      <c r="Y394" s="70" t="n"/>
    </row>
    <row r="395">
      <c r="A395" s="61" t="n">
        <v>52</v>
      </c>
      <c r="B395" s="62" t="n">
        <v>48</v>
      </c>
      <c r="C395" s="61" t="inlineStr">
        <is>
          <t>R6</t>
        </is>
      </c>
      <c r="D395" s="74" t="inlineStr">
        <is>
          <t>NG</t>
        </is>
      </c>
      <c r="E395" s="61" t="inlineStr">
        <is>
          <t>N1</t>
        </is>
      </c>
      <c r="F395" s="61" t="inlineStr">
        <is>
          <t>K052</t>
        </is>
      </c>
      <c r="G395" s="75" t="n">
        <v>7.43</v>
      </c>
      <c r="H395" s="65" t="n"/>
      <c r="I395" s="66" t="n"/>
      <c r="J395" s="67">
        <f>VLOOKUP(C395,Recipes!$A$2:$N$4,10,FALSE())</f>
        <v/>
      </c>
      <c r="K395" s="68">
        <f>VLOOKUP(C395,Recipes!$A$2:$N$4,12,FALSE())</f>
        <v/>
      </c>
      <c r="L395" s="67">
        <f>J395-6*K395</f>
        <v/>
      </c>
      <c r="M395" s="67">
        <f>J395+6*K395</f>
        <v/>
      </c>
      <c r="N395" s="61">
        <f>IF(G395="","",IF(AND(G395&gt;=L395,G395&lt;=M395),"OK","NG"))</f>
        <v/>
      </c>
      <c r="O395" s="69">
        <f>IF(N395="","",IF(N395=D395,1,0))</f>
        <v/>
      </c>
      <c r="P395" s="67">
        <f>IF(G395="","",J395-G395)</f>
        <v/>
      </c>
      <c r="Q395" s="67">
        <f>IF(G395="","",ABS(P395-Components!$D$2))</f>
        <v/>
      </c>
      <c r="R395" s="67">
        <f>IF(G395="","",ABS(P395-Components!$D$3))</f>
        <v/>
      </c>
      <c r="S395" s="67">
        <f>IF(G395="","",ABS(P395-Components!$D$4))</f>
        <v/>
      </c>
      <c r="T395" s="67">
        <f>IF(G395="","",ABS(P395-Components!$D$5))</f>
        <v/>
      </c>
      <c r="U395" s="67">
        <f>IF(G395="","",ABS(P395-Components!$D$6))</f>
        <v/>
      </c>
      <c r="V395" s="67">
        <f>IF(G395="","",ABS(P395-Components!$D$7))</f>
        <v/>
      </c>
      <c r="W395" s="61">
        <f>IF(G395="","",IF(N395="OK","NONE",INDEX({"S1","S2","W1","W2","N1","N2"},MATCH(MIN(Q395:V395),Q395:V395,0))))</f>
        <v/>
      </c>
      <c r="X395" s="69">
        <f>IF(G395="","",IF(W395=E395,1,0))</f>
        <v/>
      </c>
      <c r="Y395" s="70" t="n"/>
    </row>
    <row r="396">
      <c r="A396" s="61" t="n">
        <v>52</v>
      </c>
      <c r="B396" s="62" t="n">
        <v>48</v>
      </c>
      <c r="C396" s="61" t="inlineStr">
        <is>
          <t>R6</t>
        </is>
      </c>
      <c r="D396" s="74" t="inlineStr">
        <is>
          <t>NG</t>
        </is>
      </c>
      <c r="E396" s="61" t="inlineStr">
        <is>
          <t>N1</t>
        </is>
      </c>
      <c r="F396" s="61" t="inlineStr">
        <is>
          <t>K052</t>
        </is>
      </c>
      <c r="G396" s="75" t="n">
        <v>7.39</v>
      </c>
      <c r="H396" s="65" t="n"/>
      <c r="I396" s="66" t="n"/>
      <c r="J396" s="67">
        <f>VLOOKUP(C396,Recipes!$A$2:$N$4,10,FALSE())</f>
        <v/>
      </c>
      <c r="K396" s="68">
        <f>VLOOKUP(C396,Recipes!$A$2:$N$4,12,FALSE())</f>
        <v/>
      </c>
      <c r="L396" s="67">
        <f>J396-6*K396</f>
        <v/>
      </c>
      <c r="M396" s="67">
        <f>J396+6*K396</f>
        <v/>
      </c>
      <c r="N396" s="61">
        <f>IF(G396="","",IF(AND(G396&gt;=L396,G396&lt;=M396),"OK","NG"))</f>
        <v/>
      </c>
      <c r="O396" s="69">
        <f>IF(N396="","",IF(N396=D396,1,0))</f>
        <v/>
      </c>
      <c r="P396" s="67">
        <f>IF(G396="","",J396-G396)</f>
        <v/>
      </c>
      <c r="Q396" s="67">
        <f>IF(G396="","",ABS(P396-Components!$D$2))</f>
        <v/>
      </c>
      <c r="R396" s="67">
        <f>IF(G396="","",ABS(P396-Components!$D$3))</f>
        <v/>
      </c>
      <c r="S396" s="67">
        <f>IF(G396="","",ABS(P396-Components!$D$4))</f>
        <v/>
      </c>
      <c r="T396" s="67">
        <f>IF(G396="","",ABS(P396-Components!$D$5))</f>
        <v/>
      </c>
      <c r="U396" s="67">
        <f>IF(G396="","",ABS(P396-Components!$D$6))</f>
        <v/>
      </c>
      <c r="V396" s="67">
        <f>IF(G396="","",ABS(P396-Components!$D$7))</f>
        <v/>
      </c>
      <c r="W396" s="61">
        <f>IF(G396="","",IF(N396="OK","NONE",INDEX({"S1","S2","W1","W2","N1","N2"},MATCH(MIN(Q396:V396),Q396:V396,0))))</f>
        <v/>
      </c>
      <c r="X396" s="69">
        <f>IF(G396="","",IF(W396=E396,1,0))</f>
        <v/>
      </c>
      <c r="Y396" s="70" t="n"/>
    </row>
    <row r="397">
      <c r="A397" s="61" t="n">
        <v>52</v>
      </c>
      <c r="B397" s="62" t="n">
        <v>48</v>
      </c>
      <c r="C397" s="61" t="inlineStr">
        <is>
          <t>R6</t>
        </is>
      </c>
      <c r="D397" s="74" t="inlineStr">
        <is>
          <t>NG</t>
        </is>
      </c>
      <c r="E397" s="61" t="inlineStr">
        <is>
          <t>N1</t>
        </is>
      </c>
      <c r="F397" s="61" t="inlineStr">
        <is>
          <t>K052</t>
        </is>
      </c>
      <c r="G397" s="75" t="n">
        <v>7.49</v>
      </c>
      <c r="H397" s="65" t="n"/>
      <c r="I397" s="66" t="n"/>
      <c r="J397" s="67">
        <f>VLOOKUP(C397,Recipes!$A$2:$N$4,10,FALSE())</f>
        <v/>
      </c>
      <c r="K397" s="68">
        <f>VLOOKUP(C397,Recipes!$A$2:$N$4,12,FALSE())</f>
        <v/>
      </c>
      <c r="L397" s="67">
        <f>J397-6*K397</f>
        <v/>
      </c>
      <c r="M397" s="67">
        <f>J397+6*K397</f>
        <v/>
      </c>
      <c r="N397" s="61">
        <f>IF(G397="","",IF(AND(G397&gt;=L397,G397&lt;=M397),"OK","NG"))</f>
        <v/>
      </c>
      <c r="O397" s="69">
        <f>IF(N397="","",IF(N397=D397,1,0))</f>
        <v/>
      </c>
      <c r="P397" s="67">
        <f>IF(G397="","",J397-G397)</f>
        <v/>
      </c>
      <c r="Q397" s="67">
        <f>IF(G397="","",ABS(P397-Components!$D$2))</f>
        <v/>
      </c>
      <c r="R397" s="67">
        <f>IF(G397="","",ABS(P397-Components!$D$3))</f>
        <v/>
      </c>
      <c r="S397" s="67">
        <f>IF(G397="","",ABS(P397-Components!$D$4))</f>
        <v/>
      </c>
      <c r="T397" s="67">
        <f>IF(G397="","",ABS(P397-Components!$D$5))</f>
        <v/>
      </c>
      <c r="U397" s="67">
        <f>IF(G397="","",ABS(P397-Components!$D$6))</f>
        <v/>
      </c>
      <c r="V397" s="67">
        <f>IF(G397="","",ABS(P397-Components!$D$7))</f>
        <v/>
      </c>
      <c r="W397" s="61">
        <f>IF(G397="","",IF(N397="OK","NONE",INDEX({"S1","S2","W1","W2","N1","N2"},MATCH(MIN(Q397:V397),Q397:V397,0))))</f>
        <v/>
      </c>
      <c r="X397" s="69">
        <f>IF(G397="","",IF(W397=E397,1,0))</f>
        <v/>
      </c>
      <c r="Y397" s="70" t="n"/>
    </row>
    <row r="398">
      <c r="A398" s="61" t="n">
        <v>52</v>
      </c>
      <c r="B398" s="62" t="n">
        <v>48</v>
      </c>
      <c r="C398" s="61" t="inlineStr">
        <is>
          <t>R6</t>
        </is>
      </c>
      <c r="D398" s="74" t="inlineStr">
        <is>
          <t>NG</t>
        </is>
      </c>
      <c r="E398" s="61" t="inlineStr">
        <is>
          <t>N1</t>
        </is>
      </c>
      <c r="F398" s="61" t="inlineStr">
        <is>
          <t>K052</t>
        </is>
      </c>
      <c r="G398" s="75" t="n">
        <v>7.48</v>
      </c>
      <c r="H398" s="65" t="n"/>
      <c r="I398" s="66" t="n"/>
      <c r="J398" s="67">
        <f>VLOOKUP(C398,Recipes!$A$2:$N$4,10,FALSE())</f>
        <v/>
      </c>
      <c r="K398" s="68">
        <f>VLOOKUP(C398,Recipes!$A$2:$N$4,12,FALSE())</f>
        <v/>
      </c>
      <c r="L398" s="67">
        <f>J398-6*K398</f>
        <v/>
      </c>
      <c r="M398" s="67">
        <f>J398+6*K398</f>
        <v/>
      </c>
      <c r="N398" s="61">
        <f>IF(G398="","",IF(AND(G398&gt;=L398,G398&lt;=M398),"OK","NG"))</f>
        <v/>
      </c>
      <c r="O398" s="69">
        <f>IF(N398="","",IF(N398=D398,1,0))</f>
        <v/>
      </c>
      <c r="P398" s="67">
        <f>IF(G398="","",J398-G398)</f>
        <v/>
      </c>
      <c r="Q398" s="67">
        <f>IF(G398="","",ABS(P398-Components!$D$2))</f>
        <v/>
      </c>
      <c r="R398" s="67">
        <f>IF(G398="","",ABS(P398-Components!$D$3))</f>
        <v/>
      </c>
      <c r="S398" s="67">
        <f>IF(G398="","",ABS(P398-Components!$D$4))</f>
        <v/>
      </c>
      <c r="T398" s="67">
        <f>IF(G398="","",ABS(P398-Components!$D$5))</f>
        <v/>
      </c>
      <c r="U398" s="67">
        <f>IF(G398="","",ABS(P398-Components!$D$6))</f>
        <v/>
      </c>
      <c r="V398" s="67">
        <f>IF(G398="","",ABS(P398-Components!$D$7))</f>
        <v/>
      </c>
      <c r="W398" s="61">
        <f>IF(G398="","",IF(N398="OK","NONE",INDEX({"S1","S2","W1","W2","N1","N2"},MATCH(MIN(Q398:V398),Q398:V398,0))))</f>
        <v/>
      </c>
      <c r="X398" s="69">
        <f>IF(G398="","",IF(W398=E398,1,0))</f>
        <v/>
      </c>
      <c r="Y398" s="70" t="n"/>
    </row>
    <row r="399">
      <c r="A399" s="61" t="n">
        <v>52</v>
      </c>
      <c r="B399" s="62" t="n">
        <v>48</v>
      </c>
      <c r="C399" s="61" t="inlineStr">
        <is>
          <t>R6</t>
        </is>
      </c>
      <c r="D399" s="74" t="inlineStr">
        <is>
          <t>NG</t>
        </is>
      </c>
      <c r="E399" s="61" t="inlineStr">
        <is>
          <t>N1</t>
        </is>
      </c>
      <c r="F399" s="61" t="inlineStr">
        <is>
          <t>K052</t>
        </is>
      </c>
      <c r="G399" s="75" t="n">
        <v>7.46</v>
      </c>
      <c r="H399" s="65" t="n"/>
      <c r="I399" s="66" t="n"/>
      <c r="J399" s="67">
        <f>VLOOKUP(C399,Recipes!$A$2:$N$4,10,FALSE())</f>
        <v/>
      </c>
      <c r="K399" s="68">
        <f>VLOOKUP(C399,Recipes!$A$2:$N$4,12,FALSE())</f>
        <v/>
      </c>
      <c r="L399" s="67">
        <f>J399-6*K399</f>
        <v/>
      </c>
      <c r="M399" s="67">
        <f>J399+6*K399</f>
        <v/>
      </c>
      <c r="N399" s="61">
        <f>IF(G399="","",IF(AND(G399&gt;=L399,G399&lt;=M399),"OK","NG"))</f>
        <v/>
      </c>
      <c r="O399" s="69">
        <f>IF(N399="","",IF(N399=D399,1,0))</f>
        <v/>
      </c>
      <c r="P399" s="67">
        <f>IF(G399="","",J399-G399)</f>
        <v/>
      </c>
      <c r="Q399" s="67">
        <f>IF(G399="","",ABS(P399-Components!$D$2))</f>
        <v/>
      </c>
      <c r="R399" s="67">
        <f>IF(G399="","",ABS(P399-Components!$D$3))</f>
        <v/>
      </c>
      <c r="S399" s="67">
        <f>IF(G399="","",ABS(P399-Components!$D$4))</f>
        <v/>
      </c>
      <c r="T399" s="67">
        <f>IF(G399="","",ABS(P399-Components!$D$5))</f>
        <v/>
      </c>
      <c r="U399" s="67">
        <f>IF(G399="","",ABS(P399-Components!$D$6))</f>
        <v/>
      </c>
      <c r="V399" s="67">
        <f>IF(G399="","",ABS(P399-Components!$D$7))</f>
        <v/>
      </c>
      <c r="W399" s="61">
        <f>IF(G399="","",IF(N399="OK","NONE",INDEX({"S1","S2","W1","W2","N1","N2"},MATCH(MIN(Q399:V399),Q399:V399,0))))</f>
        <v/>
      </c>
      <c r="X399" s="69">
        <f>IF(G399="","",IF(W399=E399,1,0))</f>
        <v/>
      </c>
      <c r="Y399" s="70" t="n"/>
    </row>
    <row r="400">
      <c r="A400" s="61" t="n">
        <v>52</v>
      </c>
      <c r="B400" s="62" t="n">
        <v>48</v>
      </c>
      <c r="C400" s="61" t="inlineStr">
        <is>
          <t>R6</t>
        </is>
      </c>
      <c r="D400" s="74" t="inlineStr">
        <is>
          <t>NG</t>
        </is>
      </c>
      <c r="E400" s="61" t="inlineStr">
        <is>
          <t>N1</t>
        </is>
      </c>
      <c r="F400" s="61" t="inlineStr">
        <is>
          <t>K052</t>
        </is>
      </c>
      <c r="G400" s="75" t="n">
        <v>7.48</v>
      </c>
      <c r="H400" s="65" t="n"/>
      <c r="I400" s="66" t="n"/>
      <c r="J400" s="67">
        <f>VLOOKUP(C400,Recipes!$A$2:$N$4,10,FALSE())</f>
        <v/>
      </c>
      <c r="K400" s="68">
        <f>VLOOKUP(C400,Recipes!$A$2:$N$4,12,FALSE())</f>
        <v/>
      </c>
      <c r="L400" s="67">
        <f>J400-6*K400</f>
        <v/>
      </c>
      <c r="M400" s="67">
        <f>J400+6*K400</f>
        <v/>
      </c>
      <c r="N400" s="61">
        <f>IF(G400="","",IF(AND(G400&gt;=L400,G400&lt;=M400),"OK","NG"))</f>
        <v/>
      </c>
      <c r="O400" s="69">
        <f>IF(N400="","",IF(N400=D400,1,0))</f>
        <v/>
      </c>
      <c r="P400" s="67">
        <f>IF(G400="","",J400-G400)</f>
        <v/>
      </c>
      <c r="Q400" s="67">
        <f>IF(G400="","",ABS(P400-Components!$D$2))</f>
        <v/>
      </c>
      <c r="R400" s="67">
        <f>IF(G400="","",ABS(P400-Components!$D$3))</f>
        <v/>
      </c>
      <c r="S400" s="67">
        <f>IF(G400="","",ABS(P400-Components!$D$4))</f>
        <v/>
      </c>
      <c r="T400" s="67">
        <f>IF(G400="","",ABS(P400-Components!$D$5))</f>
        <v/>
      </c>
      <c r="U400" s="67">
        <f>IF(G400="","",ABS(P400-Components!$D$6))</f>
        <v/>
      </c>
      <c r="V400" s="67">
        <f>IF(G400="","",ABS(P400-Components!$D$7))</f>
        <v/>
      </c>
      <c r="W400" s="61">
        <f>IF(G400="","",IF(N400="OK","NONE",INDEX({"S1","S2","W1","W2","N1","N2"},MATCH(MIN(Q400:V400),Q400:V400,0))))</f>
        <v/>
      </c>
      <c r="X400" s="69">
        <f>IF(G400="","",IF(W400=E400,1,0))</f>
        <v/>
      </c>
      <c r="Y400" s="70" t="n"/>
    </row>
    <row r="401">
      <c r="A401" s="61" t="n">
        <v>52</v>
      </c>
      <c r="B401" s="62" t="n">
        <v>48</v>
      </c>
      <c r="C401" s="61" t="inlineStr">
        <is>
          <t>R6</t>
        </is>
      </c>
      <c r="D401" s="74" t="inlineStr">
        <is>
          <t>NG</t>
        </is>
      </c>
      <c r="E401" s="61" t="inlineStr">
        <is>
          <t>N1</t>
        </is>
      </c>
      <c r="F401" s="61" t="inlineStr">
        <is>
          <t>K052</t>
        </is>
      </c>
      <c r="G401" s="75" t="n">
        <v>7.45</v>
      </c>
      <c r="H401" s="65" t="n"/>
      <c r="I401" s="66" t="n"/>
      <c r="J401" s="67">
        <f>VLOOKUP(C401,Recipes!$A$2:$N$4,10,FALSE())</f>
        <v/>
      </c>
      <c r="K401" s="68">
        <f>VLOOKUP(C401,Recipes!$A$2:$N$4,12,FALSE())</f>
        <v/>
      </c>
      <c r="L401" s="67">
        <f>J401-6*K401</f>
        <v/>
      </c>
      <c r="M401" s="67">
        <f>J401+6*K401</f>
        <v/>
      </c>
      <c r="N401" s="61">
        <f>IF(G401="","",IF(AND(G401&gt;=L401,G401&lt;=M401),"OK","NG"))</f>
        <v/>
      </c>
      <c r="O401" s="69">
        <f>IF(N401="","",IF(N401=D401,1,0))</f>
        <v/>
      </c>
      <c r="P401" s="67">
        <f>IF(G401="","",J401-G401)</f>
        <v/>
      </c>
      <c r="Q401" s="67">
        <f>IF(G401="","",ABS(P401-Components!$D$2))</f>
        <v/>
      </c>
      <c r="R401" s="67">
        <f>IF(G401="","",ABS(P401-Components!$D$3))</f>
        <v/>
      </c>
      <c r="S401" s="67">
        <f>IF(G401="","",ABS(P401-Components!$D$4))</f>
        <v/>
      </c>
      <c r="T401" s="67">
        <f>IF(G401="","",ABS(P401-Components!$D$5))</f>
        <v/>
      </c>
      <c r="U401" s="67">
        <f>IF(G401="","",ABS(P401-Components!$D$6))</f>
        <v/>
      </c>
      <c r="V401" s="67">
        <f>IF(G401="","",ABS(P401-Components!$D$7))</f>
        <v/>
      </c>
      <c r="W401" s="61">
        <f>IF(G401="","",IF(N401="OK","NONE",INDEX({"S1","S2","W1","W2","N1","N2"},MATCH(MIN(Q401:V401),Q401:V401,0))))</f>
        <v/>
      </c>
      <c r="X401" s="69">
        <f>IF(G401="","",IF(W401=E401,1,0))</f>
        <v/>
      </c>
      <c r="Y401" s="70" t="n"/>
    </row>
    <row r="402">
      <c r="A402" s="61" t="n">
        <v>52</v>
      </c>
      <c r="B402" s="62" t="n">
        <v>48</v>
      </c>
      <c r="C402" s="61" t="inlineStr">
        <is>
          <t>R6</t>
        </is>
      </c>
      <c r="D402" s="74" t="inlineStr">
        <is>
          <t>NG</t>
        </is>
      </c>
      <c r="E402" s="61" t="inlineStr">
        <is>
          <t>N1</t>
        </is>
      </c>
      <c r="F402" s="61" t="inlineStr">
        <is>
          <t>K052</t>
        </is>
      </c>
      <c r="G402" s="75" t="n">
        <v>7.43</v>
      </c>
      <c r="H402" s="65" t="n"/>
      <c r="I402" s="66" t="n"/>
      <c r="J402" s="67">
        <f>VLOOKUP(C402,Recipes!$A$2:$N$4,10,FALSE())</f>
        <v/>
      </c>
      <c r="K402" s="68">
        <f>VLOOKUP(C402,Recipes!$A$2:$N$4,12,FALSE())</f>
        <v/>
      </c>
      <c r="L402" s="67">
        <f>J402-6*K402</f>
        <v/>
      </c>
      <c r="M402" s="67">
        <f>J402+6*K402</f>
        <v/>
      </c>
      <c r="N402" s="61">
        <f>IF(G402="","",IF(AND(G402&gt;=L402,G402&lt;=M402),"OK","NG"))</f>
        <v/>
      </c>
      <c r="O402" s="69">
        <f>IF(N402="","",IF(N402=D402,1,0))</f>
        <v/>
      </c>
      <c r="P402" s="67">
        <f>IF(G402="","",J402-G402)</f>
        <v/>
      </c>
      <c r="Q402" s="67">
        <f>IF(G402="","",ABS(P402-Components!$D$2))</f>
        <v/>
      </c>
      <c r="R402" s="67">
        <f>IF(G402="","",ABS(P402-Components!$D$3))</f>
        <v/>
      </c>
      <c r="S402" s="67">
        <f>IF(G402="","",ABS(P402-Components!$D$4))</f>
        <v/>
      </c>
      <c r="T402" s="67">
        <f>IF(G402="","",ABS(P402-Components!$D$5))</f>
        <v/>
      </c>
      <c r="U402" s="67">
        <f>IF(G402="","",ABS(P402-Components!$D$6))</f>
        <v/>
      </c>
      <c r="V402" s="67">
        <f>IF(G402="","",ABS(P402-Components!$D$7))</f>
        <v/>
      </c>
      <c r="W402" s="61">
        <f>IF(G402="","",IF(N402="OK","NONE",INDEX({"S1","S2","W1","W2","N1","N2"},MATCH(MIN(Q402:V402),Q402:V402,0))))</f>
        <v/>
      </c>
      <c r="X402" s="69">
        <f>IF(G402="","",IF(W402=E402,1,0))</f>
        <v/>
      </c>
      <c r="Y402" s="70" t="n"/>
    </row>
    <row r="403">
      <c r="A403" s="61" t="n">
        <v>52</v>
      </c>
      <c r="B403" s="62" t="n">
        <v>48</v>
      </c>
      <c r="C403" s="61" t="inlineStr">
        <is>
          <t>R6</t>
        </is>
      </c>
      <c r="D403" s="74" t="inlineStr">
        <is>
          <t>NG</t>
        </is>
      </c>
      <c r="E403" s="61" t="inlineStr">
        <is>
          <t>N1</t>
        </is>
      </c>
      <c r="F403" s="61" t="inlineStr">
        <is>
          <t>K052</t>
        </is>
      </c>
      <c r="G403" s="75" t="n">
        <v>7.48</v>
      </c>
      <c r="H403" s="65" t="n"/>
      <c r="I403" s="66" t="n"/>
      <c r="J403" s="67">
        <f>VLOOKUP(C403,Recipes!$A$2:$N$4,10,FALSE())</f>
        <v/>
      </c>
      <c r="K403" s="68">
        <f>VLOOKUP(C403,Recipes!$A$2:$N$4,12,FALSE())</f>
        <v/>
      </c>
      <c r="L403" s="67">
        <f>J403-6*K403</f>
        <v/>
      </c>
      <c r="M403" s="67">
        <f>J403+6*K403</f>
        <v/>
      </c>
      <c r="N403" s="61">
        <f>IF(G403="","",IF(AND(G403&gt;=L403,G403&lt;=M403),"OK","NG"))</f>
        <v/>
      </c>
      <c r="O403" s="69">
        <f>IF(N403="","",IF(N403=D403,1,0))</f>
        <v/>
      </c>
      <c r="P403" s="67">
        <f>IF(G403="","",J403-G403)</f>
        <v/>
      </c>
      <c r="Q403" s="67">
        <f>IF(G403="","",ABS(P403-Components!$D$2))</f>
        <v/>
      </c>
      <c r="R403" s="67">
        <f>IF(G403="","",ABS(P403-Components!$D$3))</f>
        <v/>
      </c>
      <c r="S403" s="67">
        <f>IF(G403="","",ABS(P403-Components!$D$4))</f>
        <v/>
      </c>
      <c r="T403" s="67">
        <f>IF(G403="","",ABS(P403-Components!$D$5))</f>
        <v/>
      </c>
      <c r="U403" s="67">
        <f>IF(G403="","",ABS(P403-Components!$D$6))</f>
        <v/>
      </c>
      <c r="V403" s="67">
        <f>IF(G403="","",ABS(P403-Components!$D$7))</f>
        <v/>
      </c>
      <c r="W403" s="61">
        <f>IF(G403="","",IF(N403="OK","NONE",INDEX({"S1","S2","W1","W2","N1","N2"},MATCH(MIN(Q403:V403),Q403:V403,0))))</f>
        <v/>
      </c>
      <c r="X403" s="69">
        <f>IF(G403="","",IF(W403=E403,1,0))</f>
        <v/>
      </c>
      <c r="Y403" s="70" t="n"/>
    </row>
    <row r="404">
      <c r="A404" s="61" t="n">
        <v>52</v>
      </c>
      <c r="B404" s="62" t="n">
        <v>48</v>
      </c>
      <c r="C404" s="61" t="inlineStr">
        <is>
          <t>R6</t>
        </is>
      </c>
      <c r="D404" s="74" t="inlineStr">
        <is>
          <t>NG</t>
        </is>
      </c>
      <c r="E404" s="61" t="inlineStr">
        <is>
          <t>N1</t>
        </is>
      </c>
      <c r="F404" s="61" t="inlineStr">
        <is>
          <t>K052</t>
        </is>
      </c>
      <c r="G404" s="75" t="n">
        <v>7.46</v>
      </c>
      <c r="H404" s="65" t="n"/>
      <c r="I404" s="66" t="n"/>
      <c r="J404" s="67">
        <f>VLOOKUP(C404,Recipes!$A$2:$N$4,10,FALSE())</f>
        <v/>
      </c>
      <c r="K404" s="68">
        <f>VLOOKUP(C404,Recipes!$A$2:$N$4,12,FALSE())</f>
        <v/>
      </c>
      <c r="L404" s="67">
        <f>J404-6*K404</f>
        <v/>
      </c>
      <c r="M404" s="67">
        <f>J404+6*K404</f>
        <v/>
      </c>
      <c r="N404" s="61">
        <f>IF(G404="","",IF(AND(G404&gt;=L404,G404&lt;=M404),"OK","NG"))</f>
        <v/>
      </c>
      <c r="O404" s="69">
        <f>IF(N404="","",IF(N404=D404,1,0))</f>
        <v/>
      </c>
      <c r="P404" s="67">
        <f>IF(G404="","",J404-G404)</f>
        <v/>
      </c>
      <c r="Q404" s="67">
        <f>IF(G404="","",ABS(P404-Components!$D$2))</f>
        <v/>
      </c>
      <c r="R404" s="67">
        <f>IF(G404="","",ABS(P404-Components!$D$3))</f>
        <v/>
      </c>
      <c r="S404" s="67">
        <f>IF(G404="","",ABS(P404-Components!$D$4))</f>
        <v/>
      </c>
      <c r="T404" s="67">
        <f>IF(G404="","",ABS(P404-Components!$D$5))</f>
        <v/>
      </c>
      <c r="U404" s="67">
        <f>IF(G404="","",ABS(P404-Components!$D$6))</f>
        <v/>
      </c>
      <c r="V404" s="67">
        <f>IF(G404="","",ABS(P404-Components!$D$7))</f>
        <v/>
      </c>
      <c r="W404" s="61">
        <f>IF(G404="","",IF(N404="OK","NONE",INDEX({"S1","S2","W1","W2","N1","N2"},MATCH(MIN(Q404:V404),Q404:V404,0))))</f>
        <v/>
      </c>
      <c r="X404" s="69">
        <f>IF(G404="","",IF(W404=E404,1,0))</f>
        <v/>
      </c>
      <c r="Y404" s="70" t="n"/>
    </row>
    <row r="405">
      <c r="A405" s="61" t="n">
        <v>52</v>
      </c>
      <c r="B405" s="62" t="n">
        <v>48</v>
      </c>
      <c r="C405" s="61" t="inlineStr">
        <is>
          <t>R6</t>
        </is>
      </c>
      <c r="D405" s="74" t="inlineStr">
        <is>
          <t>NG</t>
        </is>
      </c>
      <c r="E405" s="61" t="inlineStr">
        <is>
          <t>N1</t>
        </is>
      </c>
      <c r="F405" s="61" t="inlineStr">
        <is>
          <t>K052</t>
        </is>
      </c>
      <c r="G405" s="75" t="n">
        <v>7.47</v>
      </c>
      <c r="H405" s="65" t="n"/>
      <c r="I405" s="66" t="n"/>
      <c r="J405" s="67">
        <f>VLOOKUP(C405,Recipes!$A$2:$N$4,10,FALSE())</f>
        <v/>
      </c>
      <c r="K405" s="68">
        <f>VLOOKUP(C405,Recipes!$A$2:$N$4,12,FALSE())</f>
        <v/>
      </c>
      <c r="L405" s="67">
        <f>J405-6*K405</f>
        <v/>
      </c>
      <c r="M405" s="67">
        <f>J405+6*K405</f>
        <v/>
      </c>
      <c r="N405" s="61">
        <f>IF(G405="","",IF(AND(G405&gt;=L405,G405&lt;=M405),"OK","NG"))</f>
        <v/>
      </c>
      <c r="O405" s="69">
        <f>IF(N405="","",IF(N405=D405,1,0))</f>
        <v/>
      </c>
      <c r="P405" s="67">
        <f>IF(G405="","",J405-G405)</f>
        <v/>
      </c>
      <c r="Q405" s="67">
        <f>IF(G405="","",ABS(P405-Components!$D$2))</f>
        <v/>
      </c>
      <c r="R405" s="67">
        <f>IF(G405="","",ABS(P405-Components!$D$3))</f>
        <v/>
      </c>
      <c r="S405" s="67">
        <f>IF(G405="","",ABS(P405-Components!$D$4))</f>
        <v/>
      </c>
      <c r="T405" s="67">
        <f>IF(G405="","",ABS(P405-Components!$D$5))</f>
        <v/>
      </c>
      <c r="U405" s="67">
        <f>IF(G405="","",ABS(P405-Components!$D$6))</f>
        <v/>
      </c>
      <c r="V405" s="67">
        <f>IF(G405="","",ABS(P405-Components!$D$7))</f>
        <v/>
      </c>
      <c r="W405" s="61">
        <f>IF(G405="","",IF(N405="OK","NONE",INDEX({"S1","S2","W1","W2","N1","N2"},MATCH(MIN(Q405:V405),Q405:V405,0))))</f>
        <v/>
      </c>
      <c r="X405" s="69">
        <f>IF(G405="","",IF(W405=E405,1,0))</f>
        <v/>
      </c>
      <c r="Y405" s="70" t="n"/>
    </row>
    <row r="406">
      <c r="A406" s="61" t="n">
        <v>52</v>
      </c>
      <c r="B406" s="62" t="n">
        <v>48</v>
      </c>
      <c r="C406" s="61" t="inlineStr">
        <is>
          <t>R6</t>
        </is>
      </c>
      <c r="D406" s="74" t="inlineStr">
        <is>
          <t>NG</t>
        </is>
      </c>
      <c r="E406" s="61" t="inlineStr">
        <is>
          <t>N1</t>
        </is>
      </c>
      <c r="F406" s="61" t="inlineStr">
        <is>
          <t>K052</t>
        </is>
      </c>
      <c r="G406" s="75" t="n">
        <v>7.3</v>
      </c>
      <c r="H406" s="65" t="n"/>
      <c r="I406" s="66" t="n"/>
      <c r="J406" s="67">
        <f>VLOOKUP(C406,Recipes!$A$2:$N$4,10,FALSE())</f>
        <v/>
      </c>
      <c r="K406" s="68">
        <f>VLOOKUP(C406,Recipes!$A$2:$N$4,12,FALSE())</f>
        <v/>
      </c>
      <c r="L406" s="67">
        <f>J406-6*K406</f>
        <v/>
      </c>
      <c r="M406" s="67">
        <f>J406+6*K406</f>
        <v/>
      </c>
      <c r="N406" s="61">
        <f>IF(G406="","",IF(AND(G406&gt;=L406,G406&lt;=M406),"OK","NG"))</f>
        <v/>
      </c>
      <c r="O406" s="69">
        <f>IF(N406="","",IF(N406=D406,1,0))</f>
        <v/>
      </c>
      <c r="P406" s="67">
        <f>IF(G406="","",J406-G406)</f>
        <v/>
      </c>
      <c r="Q406" s="67">
        <f>IF(G406="","",ABS(P406-Components!$D$2))</f>
        <v/>
      </c>
      <c r="R406" s="67">
        <f>IF(G406="","",ABS(P406-Components!$D$3))</f>
        <v/>
      </c>
      <c r="S406" s="67">
        <f>IF(G406="","",ABS(P406-Components!$D$4))</f>
        <v/>
      </c>
      <c r="T406" s="67">
        <f>IF(G406="","",ABS(P406-Components!$D$5))</f>
        <v/>
      </c>
      <c r="U406" s="67">
        <f>IF(G406="","",ABS(P406-Components!$D$6))</f>
        <v/>
      </c>
      <c r="V406" s="67">
        <f>IF(G406="","",ABS(P406-Components!$D$7))</f>
        <v/>
      </c>
      <c r="W406" s="61">
        <f>IF(G406="","",IF(N406="OK","NONE",INDEX({"S1","S2","W1","W2","N1","N2"},MATCH(MIN(Q406:V406),Q406:V406,0))))</f>
        <v/>
      </c>
      <c r="X406" s="71">
        <f>IF(G406="","",IF(W406=E406,1,0))</f>
        <v/>
      </c>
      <c r="Y406" s="70" t="n"/>
    </row>
    <row r="407">
      <c r="A407" s="61" t="n">
        <v>52</v>
      </c>
      <c r="B407" s="62" t="n">
        <v>48</v>
      </c>
      <c r="C407" s="61" t="inlineStr">
        <is>
          <t>R6</t>
        </is>
      </c>
      <c r="D407" s="74" t="inlineStr">
        <is>
          <t>NG</t>
        </is>
      </c>
      <c r="E407" s="61" t="inlineStr">
        <is>
          <t>N1</t>
        </is>
      </c>
      <c r="F407" s="61" t="inlineStr">
        <is>
          <t>K052</t>
        </is>
      </c>
      <c r="G407" s="75" t="n">
        <v>7.44</v>
      </c>
      <c r="H407" s="65" t="n"/>
      <c r="I407" s="66" t="n"/>
      <c r="J407" s="67">
        <f>VLOOKUP(C407,Recipes!$A$2:$N$4,10,FALSE())</f>
        <v/>
      </c>
      <c r="K407" s="68">
        <f>VLOOKUP(C407,Recipes!$A$2:$N$4,12,FALSE())</f>
        <v/>
      </c>
      <c r="L407" s="67">
        <f>J407-6*K407</f>
        <v/>
      </c>
      <c r="M407" s="67">
        <f>J407+6*K407</f>
        <v/>
      </c>
      <c r="N407" s="61">
        <f>IF(G407="","",IF(AND(G407&gt;=L407,G407&lt;=M407),"OK","NG"))</f>
        <v/>
      </c>
      <c r="O407" s="69">
        <f>IF(N407="","",IF(N407=D407,1,0))</f>
        <v/>
      </c>
      <c r="P407" s="67">
        <f>IF(G407="","",J407-G407)</f>
        <v/>
      </c>
      <c r="Q407" s="67">
        <f>IF(G407="","",ABS(P407-Components!$D$2))</f>
        <v/>
      </c>
      <c r="R407" s="67">
        <f>IF(G407="","",ABS(P407-Components!$D$3))</f>
        <v/>
      </c>
      <c r="S407" s="67">
        <f>IF(G407="","",ABS(P407-Components!$D$4))</f>
        <v/>
      </c>
      <c r="T407" s="67">
        <f>IF(G407="","",ABS(P407-Components!$D$5))</f>
        <v/>
      </c>
      <c r="U407" s="67">
        <f>IF(G407="","",ABS(P407-Components!$D$6))</f>
        <v/>
      </c>
      <c r="V407" s="67">
        <f>IF(G407="","",ABS(P407-Components!$D$7))</f>
        <v/>
      </c>
      <c r="W407" s="61">
        <f>IF(G407="","",IF(N407="OK","NONE",INDEX({"S1","S2","W1","W2","N1","N2"},MATCH(MIN(Q407:V407),Q407:V407,0))))</f>
        <v/>
      </c>
      <c r="X407" s="69">
        <f>IF(G407="","",IF(W407=E407,1,0))</f>
        <v/>
      </c>
      <c r="Y407" s="70" t="n"/>
    </row>
    <row r="408">
      <c r="A408" s="61" t="n">
        <v>52</v>
      </c>
      <c r="B408" s="62" t="n">
        <v>48</v>
      </c>
      <c r="C408" s="61" t="inlineStr">
        <is>
          <t>R6</t>
        </is>
      </c>
      <c r="D408" s="74" t="inlineStr">
        <is>
          <t>NG</t>
        </is>
      </c>
      <c r="E408" s="61" t="inlineStr">
        <is>
          <t>N1</t>
        </is>
      </c>
      <c r="F408" s="61" t="inlineStr">
        <is>
          <t>K052</t>
        </is>
      </c>
      <c r="G408" s="75" t="n">
        <v>7.45</v>
      </c>
      <c r="H408" s="65" t="n"/>
      <c r="I408" s="66" t="n"/>
      <c r="J408" s="67">
        <f>VLOOKUP(C408,Recipes!$A$2:$N$4,10,FALSE())</f>
        <v/>
      </c>
      <c r="K408" s="68">
        <f>VLOOKUP(C408,Recipes!$A$2:$N$4,12,FALSE())</f>
        <v/>
      </c>
      <c r="L408" s="67">
        <f>J408-6*K408</f>
        <v/>
      </c>
      <c r="M408" s="67">
        <f>J408+6*K408</f>
        <v/>
      </c>
      <c r="N408" s="61">
        <f>IF(G408="","",IF(AND(G408&gt;=L408,G408&lt;=M408),"OK","NG"))</f>
        <v/>
      </c>
      <c r="O408" s="69">
        <f>IF(N408="","",IF(N408=D408,1,0))</f>
        <v/>
      </c>
      <c r="P408" s="67">
        <f>IF(G408="","",J408-G408)</f>
        <v/>
      </c>
      <c r="Q408" s="67">
        <f>IF(G408="","",ABS(P408-Components!$D$2))</f>
        <v/>
      </c>
      <c r="R408" s="67">
        <f>IF(G408="","",ABS(P408-Components!$D$3))</f>
        <v/>
      </c>
      <c r="S408" s="67">
        <f>IF(G408="","",ABS(P408-Components!$D$4))</f>
        <v/>
      </c>
      <c r="T408" s="67">
        <f>IF(G408="","",ABS(P408-Components!$D$5))</f>
        <v/>
      </c>
      <c r="U408" s="67">
        <f>IF(G408="","",ABS(P408-Components!$D$6))</f>
        <v/>
      </c>
      <c r="V408" s="67">
        <f>IF(G408="","",ABS(P408-Components!$D$7))</f>
        <v/>
      </c>
      <c r="W408" s="61">
        <f>IF(G408="","",IF(N408="OK","NONE",INDEX({"S1","S2","W1","W2","N1","N2"},MATCH(MIN(Q408:V408),Q408:V408,0))))</f>
        <v/>
      </c>
      <c r="X408" s="69">
        <f>IF(G408="","",IF(W408=E408,1,0))</f>
        <v/>
      </c>
      <c r="Y408" s="70" t="n"/>
    </row>
    <row r="409">
      <c r="A409" s="61" t="n">
        <v>52</v>
      </c>
      <c r="B409" s="62" t="n">
        <v>48</v>
      </c>
      <c r="C409" s="61" t="inlineStr">
        <is>
          <t>R6</t>
        </is>
      </c>
      <c r="D409" s="74" t="inlineStr">
        <is>
          <t>NG</t>
        </is>
      </c>
      <c r="E409" s="61" t="inlineStr">
        <is>
          <t>N1</t>
        </is>
      </c>
      <c r="F409" s="61" t="inlineStr">
        <is>
          <t>K052</t>
        </is>
      </c>
      <c r="G409" s="75" t="n">
        <v>7.45</v>
      </c>
      <c r="H409" s="65" t="n"/>
      <c r="I409" s="66" t="n"/>
      <c r="J409" s="67">
        <f>VLOOKUP(C409,Recipes!$A$2:$N$4,10,FALSE())</f>
        <v/>
      </c>
      <c r="K409" s="68">
        <f>VLOOKUP(C409,Recipes!$A$2:$N$4,12,FALSE())</f>
        <v/>
      </c>
      <c r="L409" s="67">
        <f>J409-6*K409</f>
        <v/>
      </c>
      <c r="M409" s="67">
        <f>J409+6*K409</f>
        <v/>
      </c>
      <c r="N409" s="61">
        <f>IF(G409="","",IF(AND(G409&gt;=L409,G409&lt;=M409),"OK","NG"))</f>
        <v/>
      </c>
      <c r="O409" s="69">
        <f>IF(N409="","",IF(N409=D409,1,0))</f>
        <v/>
      </c>
      <c r="P409" s="67">
        <f>IF(G409="","",J409-G409)</f>
        <v/>
      </c>
      <c r="Q409" s="67">
        <f>IF(G409="","",ABS(P409-Components!$D$2))</f>
        <v/>
      </c>
      <c r="R409" s="67">
        <f>IF(G409="","",ABS(P409-Components!$D$3))</f>
        <v/>
      </c>
      <c r="S409" s="67">
        <f>IF(G409="","",ABS(P409-Components!$D$4))</f>
        <v/>
      </c>
      <c r="T409" s="67">
        <f>IF(G409="","",ABS(P409-Components!$D$5))</f>
        <v/>
      </c>
      <c r="U409" s="67">
        <f>IF(G409="","",ABS(P409-Components!$D$6))</f>
        <v/>
      </c>
      <c r="V409" s="67">
        <f>IF(G409="","",ABS(P409-Components!$D$7))</f>
        <v/>
      </c>
      <c r="W409" s="61">
        <f>IF(G409="","",IF(N409="OK","NONE",INDEX({"S1","S2","W1","W2","N1","N2"},MATCH(MIN(Q409:V409),Q409:V409,0))))</f>
        <v/>
      </c>
      <c r="X409" s="69">
        <f>IF(G409="","",IF(W409=E409,1,0))</f>
        <v/>
      </c>
      <c r="Y409" s="70" t="n"/>
    </row>
    <row r="410">
      <c r="A410" s="61" t="n">
        <v>52</v>
      </c>
      <c r="B410" s="62" t="n">
        <v>48</v>
      </c>
      <c r="C410" s="61" t="inlineStr">
        <is>
          <t>R6</t>
        </is>
      </c>
      <c r="D410" s="74" t="inlineStr">
        <is>
          <t>NG</t>
        </is>
      </c>
      <c r="E410" s="61" t="inlineStr">
        <is>
          <t>N1</t>
        </is>
      </c>
      <c r="F410" s="61" t="inlineStr">
        <is>
          <t>K052</t>
        </is>
      </c>
      <c r="G410" s="75" t="n">
        <v>7.44</v>
      </c>
      <c r="H410" s="65" t="n"/>
      <c r="I410" s="66" t="n"/>
      <c r="J410" s="67">
        <f>VLOOKUP(C410,Recipes!$A$2:$N$4,10,FALSE())</f>
        <v/>
      </c>
      <c r="K410" s="68">
        <f>VLOOKUP(C410,Recipes!$A$2:$N$4,12,FALSE())</f>
        <v/>
      </c>
      <c r="L410" s="67">
        <f>J410-6*K410</f>
        <v/>
      </c>
      <c r="M410" s="67">
        <f>J410+6*K410</f>
        <v/>
      </c>
      <c r="N410" s="61">
        <f>IF(G410="","",IF(AND(G410&gt;=L410,G410&lt;=M410),"OK","NG"))</f>
        <v/>
      </c>
      <c r="O410" s="69">
        <f>IF(N410="","",IF(N410=D410,1,0))</f>
        <v/>
      </c>
      <c r="P410" s="67">
        <f>IF(G410="","",J410-G410)</f>
        <v/>
      </c>
      <c r="Q410" s="67">
        <f>IF(G410="","",ABS(P410-Components!$D$2))</f>
        <v/>
      </c>
      <c r="R410" s="67">
        <f>IF(G410="","",ABS(P410-Components!$D$3))</f>
        <v/>
      </c>
      <c r="S410" s="67">
        <f>IF(G410="","",ABS(P410-Components!$D$4))</f>
        <v/>
      </c>
      <c r="T410" s="67">
        <f>IF(G410="","",ABS(P410-Components!$D$5))</f>
        <v/>
      </c>
      <c r="U410" s="67">
        <f>IF(G410="","",ABS(P410-Components!$D$6))</f>
        <v/>
      </c>
      <c r="V410" s="67">
        <f>IF(G410="","",ABS(P410-Components!$D$7))</f>
        <v/>
      </c>
      <c r="W410" s="61">
        <f>IF(G410="","",IF(N410="OK","NONE",INDEX({"S1","S2","W1","W2","N1","N2"},MATCH(MIN(Q410:V410),Q410:V410,0))))</f>
        <v/>
      </c>
      <c r="X410" s="69">
        <f>IF(G410="","",IF(W410=E410,1,0))</f>
        <v/>
      </c>
      <c r="Y410" s="70" t="n"/>
    </row>
    <row r="411">
      <c r="A411" s="61" t="n">
        <v>52</v>
      </c>
      <c r="B411" s="62" t="n">
        <v>48</v>
      </c>
      <c r="C411" s="61" t="inlineStr">
        <is>
          <t>R6</t>
        </is>
      </c>
      <c r="D411" s="74" t="inlineStr">
        <is>
          <t>NG</t>
        </is>
      </c>
      <c r="E411" s="61" t="inlineStr">
        <is>
          <t>N1</t>
        </is>
      </c>
      <c r="F411" s="61" t="inlineStr">
        <is>
          <t>K052</t>
        </is>
      </c>
      <c r="G411" s="75" t="n">
        <v>7.47</v>
      </c>
      <c r="H411" s="65" t="n"/>
      <c r="I411" s="66" t="n"/>
      <c r="J411" s="67">
        <f>VLOOKUP(C411,Recipes!$A$2:$N$4,10,FALSE())</f>
        <v/>
      </c>
      <c r="K411" s="68">
        <f>VLOOKUP(C411,Recipes!$A$2:$N$4,12,FALSE())</f>
        <v/>
      </c>
      <c r="L411" s="67">
        <f>J411-6*K411</f>
        <v/>
      </c>
      <c r="M411" s="67">
        <f>J411+6*K411</f>
        <v/>
      </c>
      <c r="N411" s="61">
        <f>IF(G411="","",IF(AND(G411&gt;=L411,G411&lt;=M411),"OK","NG"))</f>
        <v/>
      </c>
      <c r="O411" s="69">
        <f>IF(N411="","",IF(N411=D411,1,0))</f>
        <v/>
      </c>
      <c r="P411" s="67">
        <f>IF(G411="","",J411-G411)</f>
        <v/>
      </c>
      <c r="Q411" s="67">
        <f>IF(G411="","",ABS(P411-Components!$D$2))</f>
        <v/>
      </c>
      <c r="R411" s="67">
        <f>IF(G411="","",ABS(P411-Components!$D$3))</f>
        <v/>
      </c>
      <c r="S411" s="67">
        <f>IF(G411="","",ABS(P411-Components!$D$4))</f>
        <v/>
      </c>
      <c r="T411" s="67">
        <f>IF(G411="","",ABS(P411-Components!$D$5))</f>
        <v/>
      </c>
      <c r="U411" s="67">
        <f>IF(G411="","",ABS(P411-Components!$D$6))</f>
        <v/>
      </c>
      <c r="V411" s="67">
        <f>IF(G411="","",ABS(P411-Components!$D$7))</f>
        <v/>
      </c>
      <c r="W411" s="61">
        <f>IF(G411="","",IF(N411="OK","NONE",INDEX({"S1","S2","W1","W2","N1","N2"},MATCH(MIN(Q411:V411),Q411:V411,0))))</f>
        <v/>
      </c>
      <c r="X411" s="69">
        <f>IF(G411="","",IF(W411=E411,1,0))</f>
        <v/>
      </c>
      <c r="Y411" s="70" t="n"/>
    </row>
    <row r="412">
      <c r="A412" s="61" t="n">
        <v>52</v>
      </c>
      <c r="B412" s="62" t="n">
        <v>48</v>
      </c>
      <c r="C412" s="61" t="inlineStr">
        <is>
          <t>R6</t>
        </is>
      </c>
      <c r="D412" s="74" t="inlineStr">
        <is>
          <t>NG</t>
        </is>
      </c>
      <c r="E412" s="61" t="inlineStr">
        <is>
          <t>N1</t>
        </is>
      </c>
      <c r="F412" s="61" t="inlineStr">
        <is>
          <t>K052</t>
        </is>
      </c>
      <c r="G412" s="75" t="n">
        <v>7.38</v>
      </c>
      <c r="H412" s="65" t="n"/>
      <c r="I412" s="66" t="n"/>
      <c r="J412" s="67">
        <f>VLOOKUP(C412,Recipes!$A$2:$N$4,10,FALSE())</f>
        <v/>
      </c>
      <c r="K412" s="68">
        <f>VLOOKUP(C412,Recipes!$A$2:$N$4,12,FALSE())</f>
        <v/>
      </c>
      <c r="L412" s="67">
        <f>J412-6*K412</f>
        <v/>
      </c>
      <c r="M412" s="67">
        <f>J412+6*K412</f>
        <v/>
      </c>
      <c r="N412" s="61">
        <f>IF(G412="","",IF(AND(G412&gt;=L412,G412&lt;=M412),"OK","NG"))</f>
        <v/>
      </c>
      <c r="O412" s="69">
        <f>IF(N412="","",IF(N412=D412,1,0))</f>
        <v/>
      </c>
      <c r="P412" s="67">
        <f>IF(G412="","",J412-G412)</f>
        <v/>
      </c>
      <c r="Q412" s="67">
        <f>IF(G412="","",ABS(P412-Components!$D$2))</f>
        <v/>
      </c>
      <c r="R412" s="67">
        <f>IF(G412="","",ABS(P412-Components!$D$3))</f>
        <v/>
      </c>
      <c r="S412" s="67">
        <f>IF(G412="","",ABS(P412-Components!$D$4))</f>
        <v/>
      </c>
      <c r="T412" s="67">
        <f>IF(G412="","",ABS(P412-Components!$D$5))</f>
        <v/>
      </c>
      <c r="U412" s="67">
        <f>IF(G412="","",ABS(P412-Components!$D$6))</f>
        <v/>
      </c>
      <c r="V412" s="67">
        <f>IF(G412="","",ABS(P412-Components!$D$7))</f>
        <v/>
      </c>
      <c r="W412" s="61">
        <f>IF(G412="","",IF(N412="OK","NONE",INDEX({"S1","S2","W1","W2","N1","N2"},MATCH(MIN(Q412:V412),Q412:V412,0))))</f>
        <v/>
      </c>
      <c r="X412" s="69">
        <f>IF(G412="","",IF(W412=E412,1,0))</f>
        <v/>
      </c>
      <c r="Y412" s="70" t="n"/>
    </row>
    <row r="413">
      <c r="A413" s="61" t="n">
        <v>52</v>
      </c>
      <c r="B413" s="62" t="n">
        <v>48</v>
      </c>
      <c r="C413" s="61" t="inlineStr">
        <is>
          <t>R6</t>
        </is>
      </c>
      <c r="D413" s="74" t="inlineStr">
        <is>
          <t>NG</t>
        </is>
      </c>
      <c r="E413" s="61" t="inlineStr">
        <is>
          <t>N1</t>
        </is>
      </c>
      <c r="F413" s="61" t="inlineStr">
        <is>
          <t>K052</t>
        </is>
      </c>
      <c r="G413" s="75" t="n">
        <v>7.45</v>
      </c>
      <c r="H413" s="65" t="n"/>
      <c r="I413" s="66" t="n"/>
      <c r="J413" s="67">
        <f>VLOOKUP(C413,Recipes!$A$2:$N$4,10,FALSE())</f>
        <v/>
      </c>
      <c r="K413" s="68">
        <f>VLOOKUP(C413,Recipes!$A$2:$N$4,12,FALSE())</f>
        <v/>
      </c>
      <c r="L413" s="67">
        <f>J413-6*K413</f>
        <v/>
      </c>
      <c r="M413" s="67">
        <f>J413+6*K413</f>
        <v/>
      </c>
      <c r="N413" s="61">
        <f>IF(G413="","",IF(AND(G413&gt;=L413,G413&lt;=M413),"OK","NG"))</f>
        <v/>
      </c>
      <c r="O413" s="69">
        <f>IF(N413="","",IF(N413=D413,1,0))</f>
        <v/>
      </c>
      <c r="P413" s="67">
        <f>IF(G413="","",J413-G413)</f>
        <v/>
      </c>
      <c r="Q413" s="67">
        <f>IF(G413="","",ABS(P413-Components!$D$2))</f>
        <v/>
      </c>
      <c r="R413" s="67">
        <f>IF(G413="","",ABS(P413-Components!$D$3))</f>
        <v/>
      </c>
      <c r="S413" s="67">
        <f>IF(G413="","",ABS(P413-Components!$D$4))</f>
        <v/>
      </c>
      <c r="T413" s="67">
        <f>IF(G413="","",ABS(P413-Components!$D$5))</f>
        <v/>
      </c>
      <c r="U413" s="67">
        <f>IF(G413="","",ABS(P413-Components!$D$6))</f>
        <v/>
      </c>
      <c r="V413" s="67">
        <f>IF(G413="","",ABS(P413-Components!$D$7))</f>
        <v/>
      </c>
      <c r="W413" s="61">
        <f>IF(G413="","",IF(N413="OK","NONE",INDEX({"S1","S2","W1","W2","N1","N2"},MATCH(MIN(Q413:V413),Q413:V413,0))))</f>
        <v/>
      </c>
      <c r="X413" s="69">
        <f>IF(G413="","",IF(W413=E413,1,0))</f>
        <v/>
      </c>
      <c r="Y413" s="70" t="n"/>
    </row>
    <row r="414">
      <c r="A414" s="61" t="n">
        <v>52</v>
      </c>
      <c r="B414" s="62" t="n">
        <v>48</v>
      </c>
      <c r="C414" s="61" t="inlineStr">
        <is>
          <t>R6</t>
        </is>
      </c>
      <c r="D414" s="74" t="inlineStr">
        <is>
          <t>NG</t>
        </is>
      </c>
      <c r="E414" s="61" t="inlineStr">
        <is>
          <t>N1</t>
        </is>
      </c>
      <c r="F414" s="61" t="inlineStr">
        <is>
          <t>K052</t>
        </is>
      </c>
      <c r="G414" s="75" t="n">
        <v>7.45</v>
      </c>
      <c r="H414" s="65" t="n"/>
      <c r="I414" s="66" t="n"/>
      <c r="J414" s="67">
        <f>VLOOKUP(C414,Recipes!$A$2:$N$4,10,FALSE())</f>
        <v/>
      </c>
      <c r="K414" s="68">
        <f>VLOOKUP(C414,Recipes!$A$2:$N$4,12,FALSE())</f>
        <v/>
      </c>
      <c r="L414" s="67">
        <f>J414-6*K414</f>
        <v/>
      </c>
      <c r="M414" s="67">
        <f>J414+6*K414</f>
        <v/>
      </c>
      <c r="N414" s="61">
        <f>IF(G414="","",IF(AND(G414&gt;=L414,G414&lt;=M414),"OK","NG"))</f>
        <v/>
      </c>
      <c r="O414" s="69">
        <f>IF(N414="","",IF(N414=D414,1,0))</f>
        <v/>
      </c>
      <c r="P414" s="67">
        <f>IF(G414="","",J414-G414)</f>
        <v/>
      </c>
      <c r="Q414" s="67">
        <f>IF(G414="","",ABS(P414-Components!$D$2))</f>
        <v/>
      </c>
      <c r="R414" s="67">
        <f>IF(G414="","",ABS(P414-Components!$D$3))</f>
        <v/>
      </c>
      <c r="S414" s="67">
        <f>IF(G414="","",ABS(P414-Components!$D$4))</f>
        <v/>
      </c>
      <c r="T414" s="67">
        <f>IF(G414="","",ABS(P414-Components!$D$5))</f>
        <v/>
      </c>
      <c r="U414" s="67">
        <f>IF(G414="","",ABS(P414-Components!$D$6))</f>
        <v/>
      </c>
      <c r="V414" s="67">
        <f>IF(G414="","",ABS(P414-Components!$D$7))</f>
        <v/>
      </c>
      <c r="W414" s="61">
        <f>IF(G414="","",IF(N414="OK","NONE",INDEX({"S1","S2","W1","W2","N1","N2"},MATCH(MIN(Q414:V414),Q414:V414,0))))</f>
        <v/>
      </c>
      <c r="X414" s="69">
        <f>IF(G414="","",IF(W414=E414,1,0))</f>
        <v/>
      </c>
      <c r="Y414" s="70" t="n"/>
    </row>
    <row r="415">
      <c r="A415" s="61" t="n">
        <v>52</v>
      </c>
      <c r="B415" s="62" t="n">
        <v>48</v>
      </c>
      <c r="C415" s="61" t="inlineStr">
        <is>
          <t>R6</t>
        </is>
      </c>
      <c r="D415" s="74" t="inlineStr">
        <is>
          <t>NG</t>
        </is>
      </c>
      <c r="E415" s="61" t="inlineStr">
        <is>
          <t>N1</t>
        </is>
      </c>
      <c r="F415" s="61" t="inlineStr">
        <is>
          <t>K052</t>
        </is>
      </c>
      <c r="G415" s="75" t="n">
        <v>7.45</v>
      </c>
      <c r="H415" s="65" t="n"/>
      <c r="I415" s="66" t="n"/>
      <c r="J415" s="67">
        <f>VLOOKUP(C415,Recipes!$A$2:$N$4,10,FALSE())</f>
        <v/>
      </c>
      <c r="K415" s="68">
        <f>VLOOKUP(C415,Recipes!$A$2:$N$4,12,FALSE())</f>
        <v/>
      </c>
      <c r="L415" s="67">
        <f>J415-6*K415</f>
        <v/>
      </c>
      <c r="M415" s="67">
        <f>J415+6*K415</f>
        <v/>
      </c>
      <c r="N415" s="61">
        <f>IF(G415="","",IF(AND(G415&gt;=L415,G415&lt;=M415),"OK","NG"))</f>
        <v/>
      </c>
      <c r="O415" s="69">
        <f>IF(N415="","",IF(N415=D415,1,0))</f>
        <v/>
      </c>
      <c r="P415" s="67">
        <f>IF(G415="","",J415-G415)</f>
        <v/>
      </c>
      <c r="Q415" s="67">
        <f>IF(G415="","",ABS(P415-Components!$D$2))</f>
        <v/>
      </c>
      <c r="R415" s="67">
        <f>IF(G415="","",ABS(P415-Components!$D$3))</f>
        <v/>
      </c>
      <c r="S415" s="67">
        <f>IF(G415="","",ABS(P415-Components!$D$4))</f>
        <v/>
      </c>
      <c r="T415" s="67">
        <f>IF(G415="","",ABS(P415-Components!$D$5))</f>
        <v/>
      </c>
      <c r="U415" s="67">
        <f>IF(G415="","",ABS(P415-Components!$D$6))</f>
        <v/>
      </c>
      <c r="V415" s="67">
        <f>IF(G415="","",ABS(P415-Components!$D$7))</f>
        <v/>
      </c>
      <c r="W415" s="61">
        <f>IF(G415="","",IF(N415="OK","NONE",INDEX({"S1","S2","W1","W2","N1","N2"},MATCH(MIN(Q415:V415),Q415:V415,0))))</f>
        <v/>
      </c>
      <c r="X415" s="69">
        <f>IF(G415="","",IF(W415=E415,1,0))</f>
        <v/>
      </c>
      <c r="Y415" s="70" t="n"/>
    </row>
    <row r="416">
      <c r="A416" s="61" t="n">
        <v>52</v>
      </c>
      <c r="B416" s="62" t="n">
        <v>48</v>
      </c>
      <c r="C416" s="61" t="inlineStr">
        <is>
          <t>R6</t>
        </is>
      </c>
      <c r="D416" s="74" t="inlineStr">
        <is>
          <t>NG</t>
        </is>
      </c>
      <c r="E416" s="61" t="inlineStr">
        <is>
          <t>N1</t>
        </is>
      </c>
      <c r="F416" s="61" t="inlineStr">
        <is>
          <t>K052</t>
        </is>
      </c>
      <c r="G416" s="75" t="n">
        <v>7.44</v>
      </c>
      <c r="H416" s="65" t="n"/>
      <c r="I416" s="66" t="n"/>
      <c r="J416" s="67">
        <f>VLOOKUP(C416,Recipes!$A$2:$N$4,10,FALSE())</f>
        <v/>
      </c>
      <c r="K416" s="68">
        <f>VLOOKUP(C416,Recipes!$A$2:$N$4,12,FALSE())</f>
        <v/>
      </c>
      <c r="L416" s="67">
        <f>J416-6*K416</f>
        <v/>
      </c>
      <c r="M416" s="67">
        <f>J416+6*K416</f>
        <v/>
      </c>
      <c r="N416" s="61">
        <f>IF(G416="","",IF(AND(G416&gt;=L416,G416&lt;=M416),"OK","NG"))</f>
        <v/>
      </c>
      <c r="O416" s="69">
        <f>IF(N416="","",IF(N416=D416,1,0))</f>
        <v/>
      </c>
      <c r="P416" s="67">
        <f>IF(G416="","",J416-G416)</f>
        <v/>
      </c>
      <c r="Q416" s="67">
        <f>IF(G416="","",ABS(P416-Components!$D$2))</f>
        <v/>
      </c>
      <c r="R416" s="67">
        <f>IF(G416="","",ABS(P416-Components!$D$3))</f>
        <v/>
      </c>
      <c r="S416" s="67">
        <f>IF(G416="","",ABS(P416-Components!$D$4))</f>
        <v/>
      </c>
      <c r="T416" s="67">
        <f>IF(G416="","",ABS(P416-Components!$D$5))</f>
        <v/>
      </c>
      <c r="U416" s="67">
        <f>IF(G416="","",ABS(P416-Components!$D$6))</f>
        <v/>
      </c>
      <c r="V416" s="67">
        <f>IF(G416="","",ABS(P416-Components!$D$7))</f>
        <v/>
      </c>
      <c r="W416" s="61">
        <f>IF(G416="","",IF(N416="OK","NONE",INDEX({"S1","S2","W1","W2","N1","N2"},MATCH(MIN(Q416:V416),Q416:V416,0))))</f>
        <v/>
      </c>
      <c r="X416" s="69">
        <f>IF(G416="","",IF(W416=E416,1,0))</f>
        <v/>
      </c>
      <c r="Y416" s="70" t="n"/>
    </row>
    <row r="417">
      <c r="A417" s="61" t="n">
        <v>52</v>
      </c>
      <c r="B417" s="62" t="n">
        <v>48</v>
      </c>
      <c r="C417" s="61" t="inlineStr">
        <is>
          <t>R6</t>
        </is>
      </c>
      <c r="D417" s="74" t="inlineStr">
        <is>
          <t>NG</t>
        </is>
      </c>
      <c r="E417" s="61" t="inlineStr">
        <is>
          <t>N1</t>
        </is>
      </c>
      <c r="F417" s="61" t="inlineStr">
        <is>
          <t>K052</t>
        </is>
      </c>
      <c r="G417" s="64" t="n">
        <v>7.45</v>
      </c>
      <c r="H417" s="65" t="n"/>
      <c r="I417" s="66" t="n"/>
      <c r="J417" s="67">
        <f>VLOOKUP(C417,Recipes!$A$2:$N$4,10,FALSE())</f>
        <v/>
      </c>
      <c r="K417" s="68">
        <f>VLOOKUP(C417,Recipes!$A$2:$N$4,12,FALSE())</f>
        <v/>
      </c>
      <c r="L417" s="67">
        <f>J417-6*K417</f>
        <v/>
      </c>
      <c r="M417" s="67">
        <f>J417+6*K417</f>
        <v/>
      </c>
      <c r="N417" s="61">
        <f>IF(G417="","",IF(AND(G417&gt;=L417,G417&lt;=M417),"OK","NG"))</f>
        <v/>
      </c>
      <c r="O417" s="69">
        <f>IF(N417="","",IF(N417=D417,1,0))</f>
        <v/>
      </c>
      <c r="P417" s="67">
        <f>IF(G417="","",J417-G417)</f>
        <v/>
      </c>
      <c r="Q417" s="67">
        <f>IF(G417="","",ABS(P417-Components!$D$2))</f>
        <v/>
      </c>
      <c r="R417" s="67">
        <f>IF(G417="","",ABS(P417-Components!$D$3))</f>
        <v/>
      </c>
      <c r="S417" s="67">
        <f>IF(G417="","",ABS(P417-Components!$D$4))</f>
        <v/>
      </c>
      <c r="T417" s="67">
        <f>IF(G417="","",ABS(P417-Components!$D$5))</f>
        <v/>
      </c>
      <c r="U417" s="67">
        <f>IF(G417="","",ABS(P417-Components!$D$6))</f>
        <v/>
      </c>
      <c r="V417" s="67">
        <f>IF(G417="","",ABS(P417-Components!$D$7))</f>
        <v/>
      </c>
      <c r="W417" s="61">
        <f>IF(G417="","",IF(N417="OK","NONE",INDEX({"S1","S2","W1","W2","N1","N2"},MATCH(MIN(Q417:V417),Q417:V417,0))))</f>
        <v/>
      </c>
      <c r="X417" s="69">
        <f>IF(G417="","",IF(W417=E417,1,0))</f>
        <v/>
      </c>
      <c r="Y417" s="70" t="n"/>
    </row>
    <row r="418">
      <c r="A418" s="61" t="n">
        <v>53</v>
      </c>
      <c r="B418" s="62" t="n">
        <v>2</v>
      </c>
      <c r="C418" s="61" t="inlineStr">
        <is>
          <t>R6</t>
        </is>
      </c>
      <c r="D418" s="74" t="inlineStr">
        <is>
          <t>NG</t>
        </is>
      </c>
      <c r="E418" s="61" t="inlineStr">
        <is>
          <t>N1</t>
        </is>
      </c>
      <c r="F418" s="61" t="inlineStr">
        <is>
          <t>K053</t>
        </is>
      </c>
      <c r="G418" s="64" t="n">
        <v>7.45</v>
      </c>
      <c r="H418" s="65" t="n"/>
      <c r="I418" s="66" t="n"/>
      <c r="J418" s="67">
        <f>VLOOKUP(C418,Recipes!$A$2:$N$4,10,FALSE())</f>
        <v/>
      </c>
      <c r="K418" s="68">
        <f>VLOOKUP(C418,Recipes!$A$2:$N$4,12,FALSE())</f>
        <v/>
      </c>
      <c r="L418" s="67">
        <f>J418-6*K418</f>
        <v/>
      </c>
      <c r="M418" s="67">
        <f>J418+6*K418</f>
        <v/>
      </c>
      <c r="N418" s="61">
        <f>IF(G418="","",IF(AND(G418&gt;=L418,G418&lt;=M418),"OK","NG"))</f>
        <v/>
      </c>
      <c r="O418" s="69">
        <f>IF(N418="","",IF(N418=D418,1,0))</f>
        <v/>
      </c>
      <c r="P418" s="67">
        <f>IF(G418="","",J418-G418)</f>
        <v/>
      </c>
      <c r="Q418" s="67">
        <f>IF(G418="","",ABS(P418-Components!$D$2))</f>
        <v/>
      </c>
      <c r="R418" s="67">
        <f>IF(G418="","",ABS(P418-Components!$D$3))</f>
        <v/>
      </c>
      <c r="S418" s="67">
        <f>IF(G418="","",ABS(P418-Components!$D$4))</f>
        <v/>
      </c>
      <c r="T418" s="67">
        <f>IF(G418="","",ABS(P418-Components!$D$5))</f>
        <v/>
      </c>
      <c r="U418" s="67">
        <f>IF(G418="","",ABS(P418-Components!$D$6))</f>
        <v/>
      </c>
      <c r="V418" s="67">
        <f>IF(G418="","",ABS(P418-Components!$D$7))</f>
        <v/>
      </c>
      <c r="W418" s="61">
        <f>IF(G418="","",IF(N418="OK","NONE",INDEX({"S1","S2","W1","W2","N1","N2"},MATCH(MIN(Q418:V418),Q418:V418,0))))</f>
        <v/>
      </c>
      <c r="X418" s="69">
        <f>IF(G418="","",IF(W418=E418,1,0))</f>
        <v/>
      </c>
      <c r="Y418" s="70" t="n"/>
    </row>
    <row r="419">
      <c r="A419" s="79" t="n"/>
      <c r="B419" s="80" t="n"/>
      <c r="C419" s="76" t="inlineStr">
        <is>
          <t>R6</t>
        </is>
      </c>
      <c r="D419" s="78" t="inlineStr">
        <is>
          <t>NG</t>
        </is>
      </c>
      <c r="E419" s="76" t="inlineStr">
        <is>
          <t>N1</t>
        </is>
      </c>
      <c r="F419" s="81" t="n"/>
      <c r="G419" s="75" t="n">
        <v>7.44</v>
      </c>
      <c r="H419" s="65" t="n"/>
      <c r="I419" s="66" t="n"/>
      <c r="J419" s="67">
        <f>VLOOKUP(C419,Recipes!$A$2:$N$4,10,FALSE())</f>
        <v/>
      </c>
      <c r="K419" s="68">
        <f>VLOOKUP(C419,Recipes!$A$2:$N$4,12,FALSE())</f>
        <v/>
      </c>
      <c r="L419" s="67">
        <f>J419-6*K419</f>
        <v/>
      </c>
      <c r="M419" s="67">
        <f>J419+6*K419</f>
        <v/>
      </c>
      <c r="N419" s="61">
        <f>IF(G419="","",IF(AND(G419&gt;=L419,G419&lt;=M419),"OK","NG"))</f>
        <v/>
      </c>
      <c r="O419" s="69">
        <f>IF(N419="","",IF(N419=D419,1,0))</f>
        <v/>
      </c>
      <c r="P419" s="67">
        <f>IF(G419="","",J419-G419)</f>
        <v/>
      </c>
      <c r="Q419" s="67">
        <f>IF(G419="","",ABS(P419-Components!$D$2))</f>
        <v/>
      </c>
      <c r="R419" s="67">
        <f>IF(G419="","",ABS(P419-Components!$D$3))</f>
        <v/>
      </c>
      <c r="S419" s="67">
        <f>IF(G419="","",ABS(P419-Components!$D$4))</f>
        <v/>
      </c>
      <c r="T419" s="67">
        <f>IF(G419="","",ABS(P419-Components!$D$5))</f>
        <v/>
      </c>
      <c r="U419" s="67">
        <f>IF(G419="","",ABS(P419-Components!$D$6))</f>
        <v/>
      </c>
      <c r="V419" s="67">
        <f>IF(G419="","",ABS(P419-Components!$D$7))</f>
        <v/>
      </c>
      <c r="W419" s="61">
        <f>IF(G419="","",IF(N419="OK","NONE",INDEX({"S1","S2","W1","W2","N1","N2"},MATCH(MIN(Q419:V419),Q419:V419,0))))</f>
        <v/>
      </c>
      <c r="X419" s="69">
        <f>IF(G419="","",IF(W419=E419,1,0))</f>
        <v/>
      </c>
      <c r="Y419" s="70" t="n"/>
    </row>
    <row r="420">
      <c r="A420" s="79" t="n"/>
      <c r="B420" s="80" t="n"/>
      <c r="C420" s="76" t="inlineStr">
        <is>
          <t>R6</t>
        </is>
      </c>
      <c r="D420" s="78" t="inlineStr">
        <is>
          <t>NG</t>
        </is>
      </c>
      <c r="E420" s="76" t="inlineStr">
        <is>
          <t>N1</t>
        </is>
      </c>
      <c r="F420" s="81" t="n"/>
      <c r="G420" s="75" t="n">
        <v>7.46</v>
      </c>
      <c r="H420" s="65" t="n"/>
      <c r="I420" s="66" t="n"/>
      <c r="J420" s="67">
        <f>VLOOKUP(C420,Recipes!$A$2:$N$4,10,FALSE())</f>
        <v/>
      </c>
      <c r="K420" s="68">
        <f>VLOOKUP(C420,Recipes!$A$2:$N$4,12,FALSE())</f>
        <v/>
      </c>
      <c r="L420" s="67">
        <f>J420-6*K420</f>
        <v/>
      </c>
      <c r="M420" s="67">
        <f>J420+6*K420</f>
        <v/>
      </c>
      <c r="N420" s="61">
        <f>IF(G420="","",IF(AND(G420&gt;=L420,G420&lt;=M420),"OK","NG"))</f>
        <v/>
      </c>
      <c r="O420" s="69">
        <f>IF(N420="","",IF(N420=D420,1,0))</f>
        <v/>
      </c>
      <c r="P420" s="67">
        <f>IF(G420="","",J420-G420)</f>
        <v/>
      </c>
      <c r="Q420" s="67">
        <f>IF(G420="","",ABS(P420-Components!$D$2))</f>
        <v/>
      </c>
      <c r="R420" s="67">
        <f>IF(G420="","",ABS(P420-Components!$D$3))</f>
        <v/>
      </c>
      <c r="S420" s="67">
        <f>IF(G420="","",ABS(P420-Components!$D$4))</f>
        <v/>
      </c>
      <c r="T420" s="67">
        <f>IF(G420="","",ABS(P420-Components!$D$5))</f>
        <v/>
      </c>
      <c r="U420" s="67">
        <f>IF(G420="","",ABS(P420-Components!$D$6))</f>
        <v/>
      </c>
      <c r="V420" s="67">
        <f>IF(G420="","",ABS(P420-Components!$D$7))</f>
        <v/>
      </c>
      <c r="W420" s="61">
        <f>IF(G420="","",IF(N420="OK","NONE",INDEX({"S1","S2","W1","W2","N1","N2"},MATCH(MIN(Q420:V420),Q420:V420,0))))</f>
        <v/>
      </c>
      <c r="X420" s="69">
        <f>IF(G420="","",IF(W420=E420,1,0))</f>
        <v/>
      </c>
      <c r="Y420" s="70" t="n"/>
    </row>
    <row r="421">
      <c r="A421" s="61" t="n">
        <v>52</v>
      </c>
      <c r="B421" s="62" t="n">
        <v>48</v>
      </c>
      <c r="C421" s="61" t="inlineStr">
        <is>
          <t>R6</t>
        </is>
      </c>
      <c r="D421" s="74" t="inlineStr">
        <is>
          <t>NG</t>
        </is>
      </c>
      <c r="E421" s="61" t="inlineStr">
        <is>
          <t>N1</t>
        </is>
      </c>
      <c r="F421" s="61" t="inlineStr">
        <is>
          <t>K052</t>
        </is>
      </c>
      <c r="G421" s="75" t="n">
        <v>7.25</v>
      </c>
      <c r="H421" s="65" t="n"/>
      <c r="I421" s="66" t="n"/>
      <c r="J421" s="67">
        <f>VLOOKUP(C421,Recipes!$A$2:$N$4,10,FALSE())</f>
        <v/>
      </c>
      <c r="K421" s="68">
        <f>VLOOKUP(C421,Recipes!$A$2:$N$4,12,FALSE())</f>
        <v/>
      </c>
      <c r="L421" s="67">
        <f>J421-6*K421</f>
        <v/>
      </c>
      <c r="M421" s="67">
        <f>J421+6*K421</f>
        <v/>
      </c>
      <c r="N421" s="61">
        <f>IF(G421="","",IF(AND(G421&gt;=L421,G421&lt;=M421),"OK","NG"))</f>
        <v/>
      </c>
      <c r="O421" s="69">
        <f>IF(N421="","",IF(N421=D421,1,0))</f>
        <v/>
      </c>
      <c r="P421" s="67">
        <f>IF(G421="","",J421-G421)</f>
        <v/>
      </c>
      <c r="Q421" s="67">
        <f>IF(G421="","",ABS(P421-Components!$D$2))</f>
        <v/>
      </c>
      <c r="R421" s="67">
        <f>IF(G421="","",ABS(P421-Components!$D$3))</f>
        <v/>
      </c>
      <c r="S421" s="67">
        <f>IF(G421="","",ABS(P421-Components!$D$4))</f>
        <v/>
      </c>
      <c r="T421" s="67">
        <f>IF(G421="","",ABS(P421-Components!$D$5))</f>
        <v/>
      </c>
      <c r="U421" s="67">
        <f>IF(G421="","",ABS(P421-Components!$D$6))</f>
        <v/>
      </c>
      <c r="V421" s="67">
        <f>IF(G421="","",ABS(P421-Components!$D$7))</f>
        <v/>
      </c>
      <c r="W421" s="61">
        <f>IF(G421="","",IF(N421="OK","NONE",INDEX({"S1","S2","W1","W2","N1","N2"},MATCH(MIN(Q421:V421),Q421:V421,0))))</f>
        <v/>
      </c>
      <c r="X421" s="71">
        <f>IF(G421="","",IF(W421=E421,1,0))</f>
        <v/>
      </c>
      <c r="Y421" s="70" t="n"/>
    </row>
    <row r="422">
      <c r="A422" s="82" t="n"/>
      <c r="B422" s="83" t="n"/>
      <c r="C422" s="76" t="inlineStr">
        <is>
          <t>R6</t>
        </is>
      </c>
      <c r="D422" s="78" t="inlineStr">
        <is>
          <t>NG</t>
        </is>
      </c>
      <c r="E422" s="76" t="inlineStr">
        <is>
          <t>N1</t>
        </is>
      </c>
      <c r="F422" s="84" t="n"/>
      <c r="G422" s="75" t="n">
        <v>7.47</v>
      </c>
      <c r="H422" s="85" t="n"/>
      <c r="I422" s="86" t="n"/>
      <c r="J422" s="67">
        <f>VLOOKUP(C422,Recipes!$A$2:$N$4,10,FALSE())</f>
        <v/>
      </c>
      <c r="K422" s="68">
        <f>VLOOKUP(C422,Recipes!$A$2:$N$4,12,FALSE())</f>
        <v/>
      </c>
      <c r="L422" s="67">
        <f>J422-6*K422</f>
        <v/>
      </c>
      <c r="M422" s="67">
        <f>J422+6*K422</f>
        <v/>
      </c>
      <c r="N422" s="61">
        <f>IF(G422="","",IF(AND(G422&gt;=L422,G422&lt;=M422),"OK","NG"))</f>
        <v/>
      </c>
      <c r="O422" s="69">
        <f>IF(N422="","",IF(N422=D422,1,0))</f>
        <v/>
      </c>
      <c r="P422" s="67">
        <f>IF(G422="","",J422-G422)</f>
        <v/>
      </c>
      <c r="Q422" s="67">
        <f>IF(G422="","",ABS(P422-Components!$D$2))</f>
        <v/>
      </c>
      <c r="R422" s="67">
        <f>IF(G422="","",ABS(P422-Components!$D$3))</f>
        <v/>
      </c>
      <c r="S422" s="67">
        <f>IF(G422="","",ABS(P422-Components!$D$4))</f>
        <v/>
      </c>
      <c r="T422" s="67">
        <f>IF(G422="","",ABS(P422-Components!$D$5))</f>
        <v/>
      </c>
      <c r="U422" s="67">
        <f>IF(G422="","",ABS(P422-Components!$D$6))</f>
        <v/>
      </c>
      <c r="V422" s="67">
        <f>IF(G422="","",ABS(P422-Components!$D$7))</f>
        <v/>
      </c>
      <c r="W422" s="61">
        <f>IF(G422="","",IF(N422="OK","NONE",INDEX({"S1","S2","W1","W2","N1","N2"},MATCH(MIN(Q422:V422),Q422:V422,0))))</f>
        <v/>
      </c>
      <c r="X422" s="69">
        <f>IF(G422="","",IF(W422=E422,1,0))</f>
        <v/>
      </c>
      <c r="Y422" s="70" t="n"/>
    </row>
    <row r="423">
      <c r="A423" s="5" t="n"/>
      <c r="B423" s="16" t="n"/>
      <c r="C423" s="5" t="n"/>
      <c r="D423" s="5" t="n"/>
      <c r="E423" s="5" t="n"/>
      <c r="F423" s="5" t="n"/>
      <c r="G423" s="17" t="n"/>
      <c r="H423" s="18" t="n"/>
      <c r="I423" s="19" t="n"/>
      <c r="J423" s="13" t="n"/>
      <c r="K423" s="13" t="n"/>
      <c r="L423" s="7" t="n"/>
      <c r="M423" s="7" t="n"/>
      <c r="N423" s="5" t="n"/>
      <c r="O423" s="5" t="n"/>
      <c r="P423" s="7" t="n"/>
      <c r="Q423" s="6" t="n"/>
      <c r="R423" s="6" t="n"/>
      <c r="S423" s="6" t="n"/>
      <c r="T423" s="6" t="n"/>
      <c r="U423" s="6" t="n"/>
      <c r="V423" s="6" t="n"/>
      <c r="W423" s="5" t="n"/>
      <c r="X423" s="5" t="n"/>
    </row>
    <row r="424">
      <c r="A424" s="5" t="n"/>
      <c r="B424" s="16" t="n"/>
      <c r="C424" s="5" t="n"/>
      <c r="D424" s="5" t="n"/>
      <c r="E424" s="5" t="n"/>
      <c r="F424" s="5" t="n"/>
      <c r="G424" s="17" t="n"/>
      <c r="H424" s="18" t="n"/>
      <c r="I424" s="19" t="n"/>
      <c r="J424" s="13" t="n"/>
      <c r="K424" s="13" t="n"/>
      <c r="L424" s="7" t="n"/>
      <c r="M424" s="7" t="n"/>
      <c r="N424" s="5" t="n"/>
      <c r="O424" s="5" t="n"/>
      <c r="P424" s="7" t="n"/>
      <c r="Q424" s="6" t="n"/>
      <c r="R424" s="6" t="n"/>
      <c r="S424" s="6" t="n"/>
      <c r="T424" s="6" t="n"/>
      <c r="U424" s="6" t="n"/>
      <c r="V424" s="6" t="n"/>
      <c r="W424" s="5" t="n"/>
      <c r="X424" s="5" t="n"/>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2:X424"/>
  <sheetViews>
    <sheetView zoomScaleNormal="84" workbookViewId="0">
      <pane ySplit="2" topLeftCell="A3" activePane="bottomLeft" state="frozen"/>
      <selection pane="bottomLeft" activeCell="A2" sqref="A2"/>
    </sheetView>
  </sheetViews>
  <sheetFormatPr baseColWidth="8" defaultColWidth="8.7109375" defaultRowHeight="15"/>
  <cols>
    <col width="8" customWidth="1" style="180" min="1" max="1"/>
    <col width="17" customWidth="1" style="180" min="2" max="2"/>
    <col width="8" customWidth="1" style="180" min="3" max="3"/>
    <col width="11" customWidth="1" style="180" min="4" max="4"/>
    <col width="19" customWidth="1" style="180" min="5" max="5"/>
    <col width="8" customWidth="1" style="180" min="6" max="6"/>
    <col width="19" customWidth="1" style="180" min="7" max="7"/>
    <col width="11" customWidth="1" style="180" min="8" max="8"/>
    <col width="8" customWidth="1" style="180" min="9" max="9"/>
    <col width="17" customWidth="1" style="180" min="10" max="10"/>
    <col width="14" customWidth="1" style="180" min="11" max="11"/>
    <col width="13" customWidth="1" style="180" min="12" max="13"/>
    <col width="17" customWidth="1" style="180" min="14" max="14"/>
    <col width="12" customWidth="1" style="180" min="15" max="15"/>
    <col width="19" customWidth="1" style="180" min="16" max="16"/>
    <col width="10" customWidth="1" style="180" min="17" max="22"/>
    <col width="19" customWidth="1" style="180" min="23" max="23"/>
    <col width="12" customWidth="1" style="180" min="24" max="24"/>
  </cols>
  <sheetData>
    <row r="2" ht="30" customHeight="1" s="180">
      <c r="A2" s="60" t="inlineStr">
        <is>
          <t>run_id</t>
        </is>
      </c>
      <c r="B2" s="60" t="inlineStr">
        <is>
          <t>execution_order</t>
        </is>
      </c>
      <c r="C2" s="60" t="inlineStr">
        <is>
          <t>recipe</t>
        </is>
      </c>
      <c r="D2" s="60" t="inlineStr">
        <is>
          <t>condition</t>
        </is>
      </c>
      <c r="E2" s="60" t="inlineStr">
        <is>
          <t>missing_component</t>
        </is>
      </c>
      <c r="F2" s="60" t="inlineStr">
        <is>
          <t>kit_id</t>
        </is>
      </c>
      <c r="G2" s="60" t="inlineStr">
        <is>
          <t>measured_weight_g</t>
        </is>
      </c>
      <c r="H2" s="60" t="inlineStr">
        <is>
          <t>timestamp</t>
        </is>
      </c>
      <c r="I2" s="60" t="inlineStr">
        <is>
          <t>notes</t>
        </is>
      </c>
      <c r="J2" s="60" t="inlineStr">
        <is>
          <t>expected_weight</t>
        </is>
      </c>
      <c r="K2" s="60" t="inlineStr">
        <is>
          <t>expected_std</t>
        </is>
      </c>
      <c r="L2" s="60" t="inlineStr">
        <is>
          <t>lower_bound</t>
        </is>
      </c>
      <c r="M2" s="60" t="inlineStr">
        <is>
          <t>upper_bound</t>
        </is>
      </c>
      <c r="N2" s="60" t="inlineStr">
        <is>
          <t>predicted_OK_NG</t>
        </is>
      </c>
      <c r="O2" s="60" t="inlineStr">
        <is>
          <t>L1_correct</t>
        </is>
      </c>
      <c r="P2" s="60" t="inlineStr">
        <is>
          <t>deficit</t>
        </is>
      </c>
      <c r="Q2" s="60" t="inlineStr">
        <is>
          <t>match_S1</t>
        </is>
      </c>
      <c r="R2" s="60" t="inlineStr">
        <is>
          <t>match_S2</t>
        </is>
      </c>
      <c r="S2" s="60" t="inlineStr">
        <is>
          <t>match_W1</t>
        </is>
      </c>
      <c r="T2" s="60" t="inlineStr">
        <is>
          <t>match_W2</t>
        </is>
      </c>
      <c r="U2" s="60" t="inlineStr">
        <is>
          <t>match_N1</t>
        </is>
      </c>
      <c r="V2" s="60" t="inlineStr">
        <is>
          <t>match_N2</t>
        </is>
      </c>
      <c r="W2" s="60" t="inlineStr">
        <is>
          <t>predicted_missing</t>
        </is>
      </c>
      <c r="X2" s="60" t="inlineStr">
        <is>
          <t>L2_correct</t>
        </is>
      </c>
    </row>
    <row r="3">
      <c r="A3" s="61" t="n">
        <v>1</v>
      </c>
      <c r="B3" s="62" t="n">
        <v>31</v>
      </c>
      <c r="C3" s="61" t="inlineStr">
        <is>
          <t>R3</t>
        </is>
      </c>
      <c r="D3" s="63" t="inlineStr">
        <is>
          <t>OK</t>
        </is>
      </c>
      <c r="E3" s="61" t="inlineStr">
        <is>
          <t>NONE</t>
        </is>
      </c>
      <c r="F3" s="61" t="inlineStr">
        <is>
          <t>K001</t>
        </is>
      </c>
      <c r="G3" s="64" t="n">
        <v>9.91</v>
      </c>
      <c r="H3" s="65" t="n"/>
      <c r="I3" s="66" t="n"/>
      <c r="J3" s="67">
        <f>VLOOKUP(C3,Recipes!$A$2:$N$4,10,FALSE())</f>
        <v/>
      </c>
      <c r="K3" s="68">
        <f>VLOOKUP(C3,Recipes!$A$2:$N$4,12,FALSE())</f>
        <v/>
      </c>
      <c r="L3" s="67">
        <f>J3-3*K3</f>
        <v/>
      </c>
      <c r="M3" s="67">
        <f>J3+3*K3</f>
        <v/>
      </c>
      <c r="N3" s="61">
        <f>IF(G3="","",IF(AND(G3&gt;=L3,G3&lt;=M3),"OK","NG"))</f>
        <v/>
      </c>
      <c r="O3" s="69">
        <f>IF(N3="","",IF(N3=D3,1,0))</f>
        <v/>
      </c>
      <c r="P3" s="67">
        <f>IF(G3="","",J3-G3)</f>
        <v/>
      </c>
      <c r="Q3" s="67">
        <f>IF(G3="","",ABS(P3-Components!$D$2)/Components!$E$2)</f>
        <v/>
      </c>
      <c r="R3" s="67">
        <f>IF(G3="","",ABS(P3-Components!$D$3)/Components!$E$3)</f>
        <v/>
      </c>
      <c r="S3" s="67">
        <f>IF(G3="","",ABS(P3-Components!$D$4)/Components!$E$4)</f>
        <v/>
      </c>
      <c r="T3" s="67">
        <f>IF(G3="","",ABS(P3-Components!$D$5)/Components!$E$5)</f>
        <v/>
      </c>
      <c r="U3" s="67">
        <f>IF(G3="","",ABS(P3-Components!$D$6)/Components!$E$6)</f>
        <v/>
      </c>
      <c r="V3" s="67">
        <f>IF(G3="","",ABS(P3-Components!$D$7)/Components!$E$7)</f>
        <v/>
      </c>
      <c r="W3" s="61">
        <f>IF(G3="","",IF(N3="OK","NONE",INDEX({"S1","S2","W1","W2","N1","N2"},MATCH(MIN(Q3:V3),Q3:V3,0))))</f>
        <v/>
      </c>
      <c r="X3" s="69">
        <f>IF(G3="","",IF(W3=E3,1,0))</f>
        <v/>
      </c>
    </row>
    <row r="4">
      <c r="A4" s="61" t="n">
        <v>2</v>
      </c>
      <c r="B4" s="62" t="n">
        <v>24</v>
      </c>
      <c r="C4" s="61" t="inlineStr">
        <is>
          <t>R3</t>
        </is>
      </c>
      <c r="D4" s="63" t="inlineStr">
        <is>
          <t>OK</t>
        </is>
      </c>
      <c r="E4" s="61" t="inlineStr">
        <is>
          <t>NONE</t>
        </is>
      </c>
      <c r="F4" s="61" t="inlineStr">
        <is>
          <t>K002</t>
        </is>
      </c>
      <c r="G4" s="64" t="n">
        <v>10</v>
      </c>
      <c r="H4" s="65" t="n"/>
      <c r="I4" s="66" t="n"/>
      <c r="J4" s="67">
        <f>VLOOKUP(C4,Recipes!$A$2:$N$4,10,FALSE())</f>
        <v/>
      </c>
      <c r="K4" s="68">
        <f>VLOOKUP(C4,Recipes!$A$2:$N$4,12,FALSE())</f>
        <v/>
      </c>
      <c r="L4" s="67">
        <f>J4-3*K4</f>
        <v/>
      </c>
      <c r="M4" s="67">
        <f>J4+3*K4</f>
        <v/>
      </c>
      <c r="N4" s="61">
        <f>IF(G4="","",IF(AND(G4&gt;=L4,G4&lt;=M4),"OK","NG"))</f>
        <v/>
      </c>
      <c r="O4" s="69">
        <f>IF(N4="","",IF(N4=D4,1,0))</f>
        <v/>
      </c>
      <c r="P4" s="67">
        <f>IF(G4="","",J4-G4)</f>
        <v/>
      </c>
      <c r="Q4" s="67">
        <f>IF(G4="","",ABS(P4-Components!$D$2)/Components!$E$2)</f>
        <v/>
      </c>
      <c r="R4" s="67">
        <f>IF(G4="","",ABS(P4-Components!$D$3)/Components!$E$3)</f>
        <v/>
      </c>
      <c r="S4" s="67">
        <f>IF(G4="","",ABS(P4-Components!$D$4)/Components!$E$4)</f>
        <v/>
      </c>
      <c r="T4" s="67">
        <f>IF(G4="","",ABS(P4-Components!$D$5)/Components!$E$5)</f>
        <v/>
      </c>
      <c r="U4" s="67">
        <f>IF(G4="","",ABS(P4-Components!$D$6)/Components!$E$6)</f>
        <v/>
      </c>
      <c r="V4" s="67">
        <f>IF(G4="","",ABS(P4-Components!$D$7)/Components!$E$7)</f>
        <v/>
      </c>
      <c r="W4" s="61">
        <f>IF(G4="","",IF(N4="OK","NONE",INDEX({"S1","S2","W1","W2","N1","N2"},MATCH(MIN(Q4:V4),Q4:V4,0))))</f>
        <v/>
      </c>
      <c r="X4" s="69">
        <f>IF(G4="","",IF(W4=E4,1,0))</f>
        <v/>
      </c>
    </row>
    <row r="5">
      <c r="A5" s="61" t="n">
        <v>3</v>
      </c>
      <c r="B5" s="62" t="n">
        <v>50</v>
      </c>
      <c r="C5" s="61" t="inlineStr">
        <is>
          <t>R3</t>
        </is>
      </c>
      <c r="D5" s="63" t="inlineStr">
        <is>
          <t>OK</t>
        </is>
      </c>
      <c r="E5" s="61" t="inlineStr">
        <is>
          <t>NONE</t>
        </is>
      </c>
      <c r="F5" s="61" t="inlineStr">
        <is>
          <t>K003</t>
        </is>
      </c>
      <c r="G5" s="64" t="n">
        <v>10</v>
      </c>
      <c r="H5" s="65" t="n"/>
      <c r="I5" s="66" t="n"/>
      <c r="J5" s="67">
        <f>VLOOKUP(C5,Recipes!$A$2:$N$4,10,FALSE())</f>
        <v/>
      </c>
      <c r="K5" s="68">
        <f>VLOOKUP(C5,Recipes!$A$2:$N$4,12,FALSE())</f>
        <v/>
      </c>
      <c r="L5" s="67">
        <f>J5-3*K5</f>
        <v/>
      </c>
      <c r="M5" s="67">
        <f>J5+3*K5</f>
        <v/>
      </c>
      <c r="N5" s="61">
        <f>IF(G5="","",IF(AND(G5&gt;=L5,G5&lt;=M5),"OK","NG"))</f>
        <v/>
      </c>
      <c r="O5" s="69">
        <f>IF(N5="","",IF(N5=D5,1,0))</f>
        <v/>
      </c>
      <c r="P5" s="67">
        <f>IF(G5="","",J5-G5)</f>
        <v/>
      </c>
      <c r="Q5" s="67">
        <f>IF(G5="","",ABS(P5-Components!$D$2)/Components!$E$2)</f>
        <v/>
      </c>
      <c r="R5" s="67">
        <f>IF(G5="","",ABS(P5-Components!$D$3)/Components!$E$3)</f>
        <v/>
      </c>
      <c r="S5" s="67">
        <f>IF(G5="","",ABS(P5-Components!$D$4)/Components!$E$4)</f>
        <v/>
      </c>
      <c r="T5" s="67">
        <f>IF(G5="","",ABS(P5-Components!$D$5)/Components!$E$5)</f>
        <v/>
      </c>
      <c r="U5" s="67">
        <f>IF(G5="","",ABS(P5-Components!$D$6)/Components!$E$6)</f>
        <v/>
      </c>
      <c r="V5" s="67">
        <f>IF(G5="","",ABS(P5-Components!$D$7)/Components!$E$7)</f>
        <v/>
      </c>
      <c r="W5" s="61">
        <f>IF(G5="","",IF(N5="OK","NONE",INDEX({"S1","S2","W1","W2","N1","N2"},MATCH(MIN(Q5:V5),Q5:V5,0))))</f>
        <v/>
      </c>
      <c r="X5" s="69">
        <f>IF(G5="","",IF(W5=E5,1,0))</f>
        <v/>
      </c>
    </row>
    <row r="6">
      <c r="A6" s="61" t="n">
        <v>4</v>
      </c>
      <c r="B6" s="62" t="n">
        <v>12</v>
      </c>
      <c r="C6" s="61" t="inlineStr">
        <is>
          <t>R3</t>
        </is>
      </c>
      <c r="D6" s="63" t="inlineStr">
        <is>
          <t>OK</t>
        </is>
      </c>
      <c r="E6" s="61" t="inlineStr">
        <is>
          <t>NONE</t>
        </is>
      </c>
      <c r="F6" s="61" t="inlineStr">
        <is>
          <t>K004</t>
        </is>
      </c>
      <c r="G6" s="64" t="n">
        <v>9.91</v>
      </c>
      <c r="H6" s="65" t="n"/>
      <c r="I6" s="66" t="n"/>
      <c r="J6" s="67">
        <f>VLOOKUP(C6,Recipes!$A$2:$N$4,10,FALSE())</f>
        <v/>
      </c>
      <c r="K6" s="68">
        <f>VLOOKUP(C6,Recipes!$A$2:$N$4,12,FALSE())</f>
        <v/>
      </c>
      <c r="L6" s="67">
        <f>J6-3*K6</f>
        <v/>
      </c>
      <c r="M6" s="67">
        <f>J6+3*K6</f>
        <v/>
      </c>
      <c r="N6" s="61">
        <f>IF(G6="","",IF(AND(G6&gt;=L6,G6&lt;=M6),"OK","NG"))</f>
        <v/>
      </c>
      <c r="O6" s="69">
        <f>IF(N6="","",IF(N6=D6,1,0))</f>
        <v/>
      </c>
      <c r="P6" s="67">
        <f>IF(G6="","",J6-G6)</f>
        <v/>
      </c>
      <c r="Q6" s="67">
        <f>IF(G6="","",ABS(P6-Components!$D$2)/Components!$E$2)</f>
        <v/>
      </c>
      <c r="R6" s="67">
        <f>IF(G6="","",ABS(P6-Components!$D$3)/Components!$E$3)</f>
        <v/>
      </c>
      <c r="S6" s="67">
        <f>IF(G6="","",ABS(P6-Components!$D$4)/Components!$E$4)</f>
        <v/>
      </c>
      <c r="T6" s="67">
        <f>IF(G6="","",ABS(P6-Components!$D$5)/Components!$E$5)</f>
        <v/>
      </c>
      <c r="U6" s="67">
        <f>IF(G6="","",ABS(P6-Components!$D$6)/Components!$E$6)</f>
        <v/>
      </c>
      <c r="V6" s="67">
        <f>IF(G6="","",ABS(P6-Components!$D$7)/Components!$E$7)</f>
        <v/>
      </c>
      <c r="W6" s="61">
        <f>IF(G6="","",IF(N6="OK","NONE",INDEX({"S1","S2","W1","W2","N1","N2"},MATCH(MIN(Q6:V6),Q6:V6,0))))</f>
        <v/>
      </c>
      <c r="X6" s="69">
        <f>IF(G6="","",IF(W6=E6,1,0))</f>
        <v/>
      </c>
    </row>
    <row r="7">
      <c r="A7" s="61" t="n">
        <v>5</v>
      </c>
      <c r="B7" s="62" t="n">
        <v>17</v>
      </c>
      <c r="C7" s="61" t="inlineStr">
        <is>
          <t>R3</t>
        </is>
      </c>
      <c r="D7" s="63" t="inlineStr">
        <is>
          <t>OK</t>
        </is>
      </c>
      <c r="E7" s="61" t="inlineStr">
        <is>
          <t>NONE</t>
        </is>
      </c>
      <c r="F7" s="61" t="inlineStr">
        <is>
          <t>K005</t>
        </is>
      </c>
      <c r="G7" s="64" t="n">
        <v>10.04</v>
      </c>
      <c r="H7" s="65" t="n"/>
      <c r="I7" s="66" t="n"/>
      <c r="J7" s="67">
        <f>VLOOKUP(C7,Recipes!$A$2:$N$4,10,FALSE())</f>
        <v/>
      </c>
      <c r="K7" s="68">
        <f>VLOOKUP(C7,Recipes!$A$2:$N$4,12,FALSE())</f>
        <v/>
      </c>
      <c r="L7" s="67">
        <f>J7-3*K7</f>
        <v/>
      </c>
      <c r="M7" s="67">
        <f>J7+3*K7</f>
        <v/>
      </c>
      <c r="N7" s="61">
        <f>IF(G7="","",IF(AND(G7&gt;=L7,G7&lt;=M7),"OK","NG"))</f>
        <v/>
      </c>
      <c r="O7" s="69">
        <f>IF(N7="","",IF(N7=D7,1,0))</f>
        <v/>
      </c>
      <c r="P7" s="67">
        <f>IF(G7="","",J7-G7)</f>
        <v/>
      </c>
      <c r="Q7" s="67">
        <f>IF(G7="","",ABS(P7-Components!$D$2)/Components!$E$2)</f>
        <v/>
      </c>
      <c r="R7" s="67">
        <f>IF(G7="","",ABS(P7-Components!$D$3)/Components!$E$3)</f>
        <v/>
      </c>
      <c r="S7" s="67">
        <f>IF(G7="","",ABS(P7-Components!$D$4)/Components!$E$4)</f>
        <v/>
      </c>
      <c r="T7" s="67">
        <f>IF(G7="","",ABS(P7-Components!$D$5)/Components!$E$5)</f>
        <v/>
      </c>
      <c r="U7" s="67">
        <f>IF(G7="","",ABS(P7-Components!$D$6)/Components!$E$6)</f>
        <v/>
      </c>
      <c r="V7" s="67">
        <f>IF(G7="","",ABS(P7-Components!$D$7)/Components!$E$7)</f>
        <v/>
      </c>
      <c r="W7" s="61">
        <f>IF(G7="","",IF(N7="OK","NONE",INDEX({"S1","S2","W1","W2","N1","N2"},MATCH(MIN(Q7:V7),Q7:V7,0))))</f>
        <v/>
      </c>
      <c r="X7" s="69">
        <f>IF(G7="","",IF(W7=E7,1,0))</f>
        <v/>
      </c>
    </row>
    <row r="8">
      <c r="A8" s="61" t="n">
        <v>5</v>
      </c>
      <c r="B8" s="62" t="n">
        <v>17</v>
      </c>
      <c r="C8" s="61" t="inlineStr">
        <is>
          <t>R3</t>
        </is>
      </c>
      <c r="D8" s="63" t="inlineStr">
        <is>
          <t>OK</t>
        </is>
      </c>
      <c r="E8" s="61" t="inlineStr">
        <is>
          <t>NONE</t>
        </is>
      </c>
      <c r="F8" s="61" t="inlineStr">
        <is>
          <t>K005</t>
        </is>
      </c>
      <c r="G8" s="64" t="n">
        <v>9.84</v>
      </c>
      <c r="H8" s="65" t="n"/>
      <c r="I8" s="66" t="n"/>
      <c r="J8" s="67">
        <f>VLOOKUP(C8,Recipes!$A$2:$N$4,10,FALSE())</f>
        <v/>
      </c>
      <c r="K8" s="68">
        <f>VLOOKUP(C8,Recipes!$A$2:$N$4,12,FALSE())</f>
        <v/>
      </c>
      <c r="L8" s="67">
        <f>J8-3*K8</f>
        <v/>
      </c>
      <c r="M8" s="67">
        <f>J8+3*K8</f>
        <v/>
      </c>
      <c r="N8" s="61">
        <f>IF(G8="","",IF(AND(G8&gt;=L8,G8&lt;=M8),"OK","NG"))</f>
        <v/>
      </c>
      <c r="O8" s="69">
        <f>IF(N8="","",IF(N8=D8,1,0))</f>
        <v/>
      </c>
      <c r="P8" s="67">
        <f>IF(G8="","",J8-G8)</f>
        <v/>
      </c>
      <c r="Q8" s="67">
        <f>IF(G8="","",ABS(P8-Components!$D$2)/Components!$E$2)</f>
        <v/>
      </c>
      <c r="R8" s="67">
        <f>IF(G8="","",ABS(P8-Components!$D$3)/Components!$E$3)</f>
        <v/>
      </c>
      <c r="S8" s="67">
        <f>IF(G8="","",ABS(P8-Components!$D$4)/Components!$E$4)</f>
        <v/>
      </c>
      <c r="T8" s="67">
        <f>IF(G8="","",ABS(P8-Components!$D$5)/Components!$E$5)</f>
        <v/>
      </c>
      <c r="U8" s="67">
        <f>IF(G8="","",ABS(P8-Components!$D$6)/Components!$E$6)</f>
        <v/>
      </c>
      <c r="V8" s="67">
        <f>IF(G8="","",ABS(P8-Components!$D$7)/Components!$E$7)</f>
        <v/>
      </c>
      <c r="W8" s="61">
        <f>IF(G8="","",IF(N8="OK","NONE",INDEX({"S1","S2","W1","W2","N1","N2"},MATCH(MIN(Q8:V8),Q8:V8,0))))</f>
        <v/>
      </c>
      <c r="X8" s="71">
        <f>IF(G8="","",IF(W8=E8,1,0))</f>
        <v/>
      </c>
    </row>
    <row r="9">
      <c r="A9" s="61" t="n">
        <v>5</v>
      </c>
      <c r="B9" s="62" t="n">
        <v>17</v>
      </c>
      <c r="C9" s="61" t="inlineStr">
        <is>
          <t>R3</t>
        </is>
      </c>
      <c r="D9" s="63" t="inlineStr">
        <is>
          <t>OK</t>
        </is>
      </c>
      <c r="E9" s="61" t="inlineStr">
        <is>
          <t>NONE</t>
        </is>
      </c>
      <c r="F9" s="61" t="inlineStr">
        <is>
          <t>K005</t>
        </is>
      </c>
      <c r="G9" s="64" t="n">
        <v>9.9</v>
      </c>
      <c r="H9" s="65" t="n"/>
      <c r="I9" s="66" t="n"/>
      <c r="J9" s="67">
        <f>VLOOKUP(C9,Recipes!$A$2:$N$4,10,FALSE())</f>
        <v/>
      </c>
      <c r="K9" s="68">
        <f>VLOOKUP(C9,Recipes!$A$2:$N$4,12,FALSE())</f>
        <v/>
      </c>
      <c r="L9" s="67">
        <f>J9-3*K9</f>
        <v/>
      </c>
      <c r="M9" s="67">
        <f>J9+3*K9</f>
        <v/>
      </c>
      <c r="N9" s="61">
        <f>IF(G9="","",IF(AND(G9&gt;=L9,G9&lt;=M9),"OK","NG"))</f>
        <v/>
      </c>
      <c r="O9" s="69">
        <f>IF(N9="","",IF(N9=D9,1,0))</f>
        <v/>
      </c>
      <c r="P9" s="67">
        <f>IF(G9="","",J9-G9)</f>
        <v/>
      </c>
      <c r="Q9" s="67">
        <f>IF(G9="","",ABS(P9-Components!$D$2)/Components!$E$2)</f>
        <v/>
      </c>
      <c r="R9" s="67">
        <f>IF(G9="","",ABS(P9-Components!$D$3)/Components!$E$3)</f>
        <v/>
      </c>
      <c r="S9" s="67">
        <f>IF(G9="","",ABS(P9-Components!$D$4)/Components!$E$4)</f>
        <v/>
      </c>
      <c r="T9" s="67">
        <f>IF(G9="","",ABS(P9-Components!$D$5)/Components!$E$5)</f>
        <v/>
      </c>
      <c r="U9" s="67">
        <f>IF(G9="","",ABS(P9-Components!$D$6)/Components!$E$6)</f>
        <v/>
      </c>
      <c r="V9" s="67">
        <f>IF(G9="","",ABS(P9-Components!$D$7)/Components!$E$7)</f>
        <v/>
      </c>
      <c r="W9" s="61">
        <f>IF(G9="","",IF(N9="OK","NONE",INDEX({"S1","S2","W1","W2","N1","N2"},MATCH(MIN(Q9:V9),Q9:V9,0))))</f>
        <v/>
      </c>
      <c r="X9" s="69">
        <f>IF(G9="","",IF(W9=E9,1,0))</f>
        <v/>
      </c>
    </row>
    <row r="10">
      <c r="A10" s="61" t="n">
        <v>5</v>
      </c>
      <c r="B10" s="62" t="n">
        <v>17</v>
      </c>
      <c r="C10" s="61" t="inlineStr">
        <is>
          <t>R3</t>
        </is>
      </c>
      <c r="D10" s="63" t="inlineStr">
        <is>
          <t>OK</t>
        </is>
      </c>
      <c r="E10" s="61" t="inlineStr">
        <is>
          <t>NONE</t>
        </is>
      </c>
      <c r="F10" s="61" t="inlineStr">
        <is>
          <t>K005</t>
        </is>
      </c>
      <c r="G10" s="64" t="n">
        <v>9.92</v>
      </c>
      <c r="H10" s="65" t="n"/>
      <c r="I10" s="66" t="n"/>
      <c r="J10" s="67">
        <f>VLOOKUP(C10,Recipes!$A$2:$N$4,10,FALSE())</f>
        <v/>
      </c>
      <c r="K10" s="68">
        <f>VLOOKUP(C10,Recipes!$A$2:$N$4,12,FALSE())</f>
        <v/>
      </c>
      <c r="L10" s="72">
        <f>J10-3*K10</f>
        <v/>
      </c>
      <c r="M10" s="72">
        <f>J10+3*K10</f>
        <v/>
      </c>
      <c r="N10" s="61">
        <f>IF(G10="","",IF(AND(G10&gt;=L10,G10&lt;=M10),"OK","NG"))</f>
        <v/>
      </c>
      <c r="O10" s="69">
        <f>IF(N10="","",IF(N10=D10,1,0))</f>
        <v/>
      </c>
      <c r="P10" s="67">
        <f>IF(G10="","",J10-G10)</f>
        <v/>
      </c>
      <c r="Q10" s="67">
        <f>IF(G10="","",ABS(P10-Components!$D$2)/Components!$E$2)</f>
        <v/>
      </c>
      <c r="R10" s="67">
        <f>IF(G10="","",ABS(P10-Components!$D$3)/Components!$E$3)</f>
        <v/>
      </c>
      <c r="S10" s="67">
        <f>IF(G10="","",ABS(P10-Components!$D$4)/Components!$E$4)</f>
        <v/>
      </c>
      <c r="T10" s="67">
        <f>IF(G10="","",ABS(P10-Components!$D$5)/Components!$E$5)</f>
        <v/>
      </c>
      <c r="U10" s="67">
        <f>IF(G10="","",ABS(P10-Components!$D$6)/Components!$E$6)</f>
        <v/>
      </c>
      <c r="V10" s="67">
        <f>IF(G10="","",ABS(P10-Components!$D$7)/Components!$E$7)</f>
        <v/>
      </c>
      <c r="W10" s="61">
        <f>IF(G10="","",IF(N10="OK","NONE",INDEX({"S1","S2","W1","W2","N1","N2"},MATCH(MIN(Q10:V10),Q10:V10,0))))</f>
        <v/>
      </c>
      <c r="X10" s="69">
        <f>IF(G10="","",IF(W10=E10,1,0))</f>
        <v/>
      </c>
    </row>
    <row r="11">
      <c r="A11" s="61" t="n">
        <v>5</v>
      </c>
      <c r="B11" s="62" t="n">
        <v>17</v>
      </c>
      <c r="C11" s="61" t="inlineStr">
        <is>
          <t>R3</t>
        </is>
      </c>
      <c r="D11" s="63" t="inlineStr">
        <is>
          <t>OK</t>
        </is>
      </c>
      <c r="E11" s="61" t="inlineStr">
        <is>
          <t>NONE</t>
        </is>
      </c>
      <c r="F11" s="61" t="inlineStr">
        <is>
          <t>K005</t>
        </is>
      </c>
      <c r="G11" s="64" t="n">
        <v>9.949999999999999</v>
      </c>
      <c r="H11" s="65" t="n"/>
      <c r="I11" s="66" t="n"/>
      <c r="J11" s="67">
        <f>VLOOKUP(C11,Recipes!$A$2:$N$4,10,FALSE())</f>
        <v/>
      </c>
      <c r="K11" s="68">
        <f>VLOOKUP(C11,Recipes!$A$2:$N$4,12,FALSE())</f>
        <v/>
      </c>
      <c r="L11" s="67">
        <f>J11-3*K11</f>
        <v/>
      </c>
      <c r="M11" s="67">
        <f>J11+3*K11</f>
        <v/>
      </c>
      <c r="N11" s="61">
        <f>IF(G11="","",IF(AND(G11&gt;=L11,G11&lt;=M11),"OK","NG"))</f>
        <v/>
      </c>
      <c r="O11" s="69">
        <f>IF(N11="","",IF(N11=D11,1,0))</f>
        <v/>
      </c>
      <c r="P11" s="67">
        <f>IF(G11="","",J11-G11)</f>
        <v/>
      </c>
      <c r="Q11" s="67">
        <f>IF(G11="","",ABS(P11-Components!$D$2)/Components!$E$2)</f>
        <v/>
      </c>
      <c r="R11" s="67">
        <f>IF(G11="","",ABS(P11-Components!$D$3)/Components!$E$3)</f>
        <v/>
      </c>
      <c r="S11" s="67">
        <f>IF(G11="","",ABS(P11-Components!$D$4)/Components!$E$4)</f>
        <v/>
      </c>
      <c r="T11" s="67">
        <f>IF(G11="","",ABS(P11-Components!$D$5)/Components!$E$5)</f>
        <v/>
      </c>
      <c r="U11" s="67">
        <f>IF(G11="","",ABS(P11-Components!$D$6)/Components!$E$6)</f>
        <v/>
      </c>
      <c r="V11" s="67">
        <f>IF(G11="","",ABS(P11-Components!$D$7)/Components!$E$7)</f>
        <v/>
      </c>
      <c r="W11" s="61">
        <f>IF(G11="","",IF(N11="OK","NONE",INDEX({"S1","S2","W1","W2","N1","N2"},MATCH(MIN(Q11:V11),Q11:V11,0))))</f>
        <v/>
      </c>
      <c r="X11" s="69">
        <f>IF(G11="","",IF(W11=E11,1,0))</f>
        <v/>
      </c>
    </row>
    <row r="12">
      <c r="A12" s="61" t="n">
        <v>5</v>
      </c>
      <c r="B12" s="62" t="n">
        <v>17</v>
      </c>
      <c r="C12" s="61" t="inlineStr">
        <is>
          <t>R3</t>
        </is>
      </c>
      <c r="D12" s="63" t="inlineStr">
        <is>
          <t>OK</t>
        </is>
      </c>
      <c r="E12" s="61" t="inlineStr">
        <is>
          <t>NONE</t>
        </is>
      </c>
      <c r="F12" s="61" t="inlineStr">
        <is>
          <t>K005</t>
        </is>
      </c>
      <c r="G12" s="64" t="n">
        <v>9.869999999999999</v>
      </c>
      <c r="H12" s="65" t="n"/>
      <c r="I12" s="66" t="n"/>
      <c r="J12" s="67">
        <f>VLOOKUP(C12,Recipes!$A$2:$N$4,10,FALSE())</f>
        <v/>
      </c>
      <c r="K12" s="68">
        <f>VLOOKUP(C12,Recipes!$A$2:$N$4,12,FALSE())</f>
        <v/>
      </c>
      <c r="L12" s="67">
        <f>J12-3*K12</f>
        <v/>
      </c>
      <c r="M12" s="67">
        <f>J12+3*K12</f>
        <v/>
      </c>
      <c r="N12" s="61">
        <f>IF(G12="","",IF(AND(G12&gt;=L12,G12&lt;=M12),"OK","NG"))</f>
        <v/>
      </c>
      <c r="O12" s="69">
        <f>IF(N12="","",IF(N12=D12,1,0))</f>
        <v/>
      </c>
      <c r="P12" s="67">
        <f>IF(G12="","",J12-G12)</f>
        <v/>
      </c>
      <c r="Q12" s="67">
        <f>IF(G12="","",ABS(P12-Components!$D$2)/Components!$E$2)</f>
        <v/>
      </c>
      <c r="R12" s="67">
        <f>IF(G12="","",ABS(P12-Components!$D$3)/Components!$E$3)</f>
        <v/>
      </c>
      <c r="S12" s="67">
        <f>IF(G12="","",ABS(P12-Components!$D$4)/Components!$E$4)</f>
        <v/>
      </c>
      <c r="T12" s="67">
        <f>IF(G12="","",ABS(P12-Components!$D$5)/Components!$E$5)</f>
        <v/>
      </c>
      <c r="U12" s="67">
        <f>IF(G12="","",ABS(P12-Components!$D$6)/Components!$E$6)</f>
        <v/>
      </c>
      <c r="V12" s="67">
        <f>IF(G12="","",ABS(P12-Components!$D$7)/Components!$E$7)</f>
        <v/>
      </c>
      <c r="W12" s="61">
        <f>IF(G12="","",IF(N12="OK","NONE",INDEX({"S1","S2","W1","W2","N1","N2"},MATCH(MIN(Q12:V12),Q12:V12,0))))</f>
        <v/>
      </c>
      <c r="X12" s="69">
        <f>IF(G12="","",IF(W12=E12,1,0))</f>
        <v/>
      </c>
    </row>
    <row r="13">
      <c r="A13" s="61" t="n">
        <v>5</v>
      </c>
      <c r="B13" s="62" t="n">
        <v>17</v>
      </c>
      <c r="C13" s="61" t="inlineStr">
        <is>
          <t>R3</t>
        </is>
      </c>
      <c r="D13" s="63" t="inlineStr">
        <is>
          <t>OK</t>
        </is>
      </c>
      <c r="E13" s="61" t="inlineStr">
        <is>
          <t>NONE</t>
        </is>
      </c>
      <c r="F13" s="61" t="inlineStr">
        <is>
          <t>K005</t>
        </is>
      </c>
      <c r="G13" s="64" t="n">
        <v>9.880000000000001</v>
      </c>
      <c r="H13" s="65" t="n"/>
      <c r="I13" s="66" t="n"/>
      <c r="J13" s="67">
        <f>VLOOKUP(C13,Recipes!$A$2:$N$4,10,FALSE())</f>
        <v/>
      </c>
      <c r="K13" s="68">
        <f>VLOOKUP(C13,Recipes!$A$2:$N$4,12,FALSE())</f>
        <v/>
      </c>
      <c r="L13" s="67">
        <f>J13-3*K13</f>
        <v/>
      </c>
      <c r="M13" s="67">
        <f>J13+3*K13</f>
        <v/>
      </c>
      <c r="N13" s="61">
        <f>IF(G13="","",IF(AND(G13&gt;=L13,G13&lt;=M13),"OK","NG"))</f>
        <v/>
      </c>
      <c r="O13" s="69">
        <f>IF(N13="","",IF(N13=D13,1,0))</f>
        <v/>
      </c>
      <c r="P13" s="67">
        <f>IF(G13="","",J13-G13)</f>
        <v/>
      </c>
      <c r="Q13" s="67">
        <f>IF(G13="","",ABS(P13-Components!$D$2)/Components!$E$2)</f>
        <v/>
      </c>
      <c r="R13" s="67">
        <f>IF(G13="","",ABS(P13-Components!$D$3)/Components!$E$3)</f>
        <v/>
      </c>
      <c r="S13" s="67">
        <f>IF(G13="","",ABS(P13-Components!$D$4)/Components!$E$4)</f>
        <v/>
      </c>
      <c r="T13" s="67">
        <f>IF(G13="","",ABS(P13-Components!$D$5)/Components!$E$5)</f>
        <v/>
      </c>
      <c r="U13" s="67">
        <f>IF(G13="","",ABS(P13-Components!$D$6)/Components!$E$6)</f>
        <v/>
      </c>
      <c r="V13" s="67">
        <f>IF(G13="","",ABS(P13-Components!$D$7)/Components!$E$7)</f>
        <v/>
      </c>
      <c r="W13" s="61">
        <f>IF(G13="","",IF(N13="OK","NONE",INDEX({"S1","S2","W1","W2","N1","N2"},MATCH(MIN(Q13:V13),Q13:V13,0))))</f>
        <v/>
      </c>
      <c r="X13" s="69">
        <f>IF(G13="","",IF(W13=E13,1,0))</f>
        <v/>
      </c>
    </row>
    <row r="14">
      <c r="A14" s="61" t="n">
        <v>5</v>
      </c>
      <c r="B14" s="62" t="n">
        <v>17</v>
      </c>
      <c r="C14" s="61" t="inlineStr">
        <is>
          <t>R3</t>
        </is>
      </c>
      <c r="D14" s="63" t="inlineStr">
        <is>
          <t>OK</t>
        </is>
      </c>
      <c r="E14" s="61" t="inlineStr">
        <is>
          <t>NONE</t>
        </is>
      </c>
      <c r="F14" s="61" t="inlineStr">
        <is>
          <t>K005</t>
        </is>
      </c>
      <c r="G14" s="64" t="n">
        <v>9.91</v>
      </c>
      <c r="H14" s="65" t="n"/>
      <c r="I14" s="66" t="n"/>
      <c r="J14" s="67">
        <f>VLOOKUP(C14,Recipes!$A$2:$N$4,10,FALSE())</f>
        <v/>
      </c>
      <c r="K14" s="68">
        <f>VLOOKUP(C14,Recipes!$A$2:$N$4,12,FALSE())</f>
        <v/>
      </c>
      <c r="L14" s="67">
        <f>J14-3*K14</f>
        <v/>
      </c>
      <c r="M14" s="67">
        <f>J14+3*K14</f>
        <v/>
      </c>
      <c r="N14" s="61">
        <f>IF(G14="","",IF(AND(G14&gt;=L14,G14&lt;=M14),"OK","NG"))</f>
        <v/>
      </c>
      <c r="O14" s="69">
        <f>IF(N14="","",IF(N14=D14,1,0))</f>
        <v/>
      </c>
      <c r="P14" s="67">
        <f>IF(G14="","",J14-G14)</f>
        <v/>
      </c>
      <c r="Q14" s="67">
        <f>IF(G14="","",ABS(P14-Components!$D$2)/Components!$E$2)</f>
        <v/>
      </c>
      <c r="R14" s="67">
        <f>IF(G14="","",ABS(P14-Components!$D$3)/Components!$E$3)</f>
        <v/>
      </c>
      <c r="S14" s="67">
        <f>IF(G14="","",ABS(P14-Components!$D$4)/Components!$E$4)</f>
        <v/>
      </c>
      <c r="T14" s="67">
        <f>IF(G14="","",ABS(P14-Components!$D$5)/Components!$E$5)</f>
        <v/>
      </c>
      <c r="U14" s="67">
        <f>IF(G14="","",ABS(P14-Components!$D$6)/Components!$E$6)</f>
        <v/>
      </c>
      <c r="V14" s="67">
        <f>IF(G14="","",ABS(P14-Components!$D$7)/Components!$E$7)</f>
        <v/>
      </c>
      <c r="W14" s="61">
        <f>IF(G14="","",IF(N14="OK","NONE",INDEX({"S1","S2","W1","W2","N1","N2"},MATCH(MIN(Q14:V14),Q14:V14,0))))</f>
        <v/>
      </c>
      <c r="X14" s="69">
        <f>IF(G14="","",IF(W14=E14,1,0))</f>
        <v/>
      </c>
    </row>
    <row r="15">
      <c r="A15" s="61" t="n">
        <v>5</v>
      </c>
      <c r="B15" s="62" t="n">
        <v>17</v>
      </c>
      <c r="C15" s="61" t="inlineStr">
        <is>
          <t>R3</t>
        </is>
      </c>
      <c r="D15" s="63" t="inlineStr">
        <is>
          <t>OK</t>
        </is>
      </c>
      <c r="E15" s="61" t="inlineStr">
        <is>
          <t>NONE</t>
        </is>
      </c>
      <c r="F15" s="61" t="inlineStr">
        <is>
          <t>K005</t>
        </is>
      </c>
      <c r="G15" s="64" t="n">
        <v>9.9</v>
      </c>
      <c r="H15" s="65" t="n"/>
      <c r="I15" s="66" t="n"/>
      <c r="J15" s="67">
        <f>VLOOKUP(C15,Recipes!$A$2:$N$4,10,FALSE())</f>
        <v/>
      </c>
      <c r="K15" s="68">
        <f>VLOOKUP(C15,Recipes!$A$2:$N$4,12,FALSE())</f>
        <v/>
      </c>
      <c r="L15" s="67">
        <f>J15-3*K15</f>
        <v/>
      </c>
      <c r="M15" s="67">
        <f>J15+3*K15</f>
        <v/>
      </c>
      <c r="N15" s="61">
        <f>IF(G15="","",IF(AND(G15&gt;=L15,G15&lt;=M15),"OK","NG"))</f>
        <v/>
      </c>
      <c r="O15" s="69">
        <f>IF(N15="","",IF(N15=D15,1,0))</f>
        <v/>
      </c>
      <c r="P15" s="67">
        <f>IF(G15="","",J15-G15)</f>
        <v/>
      </c>
      <c r="Q15" s="67">
        <f>IF(G15="","",ABS(P15-Components!$D$2)/Components!$E$2)</f>
        <v/>
      </c>
      <c r="R15" s="67">
        <f>IF(G15="","",ABS(P15-Components!$D$3)/Components!$E$3)</f>
        <v/>
      </c>
      <c r="S15" s="67">
        <f>IF(G15="","",ABS(P15-Components!$D$4)/Components!$E$4)</f>
        <v/>
      </c>
      <c r="T15" s="67">
        <f>IF(G15="","",ABS(P15-Components!$D$5)/Components!$E$5)</f>
        <v/>
      </c>
      <c r="U15" s="67">
        <f>IF(G15="","",ABS(P15-Components!$D$6)/Components!$E$6)</f>
        <v/>
      </c>
      <c r="V15" s="67">
        <f>IF(G15="","",ABS(P15-Components!$D$7)/Components!$E$7)</f>
        <v/>
      </c>
      <c r="W15" s="61">
        <f>IF(G15="","",IF(N15="OK","NONE",INDEX({"S1","S2","W1","W2","N1","N2"},MATCH(MIN(Q15:V15),Q15:V15,0))))</f>
        <v/>
      </c>
      <c r="X15" s="69">
        <f>IF(G15="","",IF(W15=E15,1,0))</f>
        <v/>
      </c>
    </row>
    <row r="16">
      <c r="A16" s="61" t="n">
        <v>5</v>
      </c>
      <c r="B16" s="62" t="n">
        <v>17</v>
      </c>
      <c r="C16" s="61" t="inlineStr">
        <is>
          <t>R3</t>
        </is>
      </c>
      <c r="D16" s="63" t="inlineStr">
        <is>
          <t>OK</t>
        </is>
      </c>
      <c r="E16" s="61" t="inlineStr">
        <is>
          <t>NONE</t>
        </is>
      </c>
      <c r="F16" s="61" t="inlineStr">
        <is>
          <t>K005</t>
        </is>
      </c>
      <c r="G16" s="64" t="n">
        <v>9.92</v>
      </c>
      <c r="H16" s="65" t="n"/>
      <c r="I16" s="66" t="n"/>
      <c r="J16" s="67">
        <f>VLOOKUP(C16,Recipes!$A$2:$N$4,10,FALSE())</f>
        <v/>
      </c>
      <c r="K16" s="68">
        <f>VLOOKUP(C16,Recipes!$A$2:$N$4,12,FALSE())</f>
        <v/>
      </c>
      <c r="L16" s="67">
        <f>J16-3*K16</f>
        <v/>
      </c>
      <c r="M16" s="67">
        <f>J16+3*K16</f>
        <v/>
      </c>
      <c r="N16" s="61">
        <f>IF(G16="","",IF(AND(G16&gt;=L16,G16&lt;=M16),"OK","NG"))</f>
        <v/>
      </c>
      <c r="O16" s="69">
        <f>IF(N16="","",IF(N16=D16,1,0))</f>
        <v/>
      </c>
      <c r="P16" s="67">
        <f>IF(G16="","",J16-G16)</f>
        <v/>
      </c>
      <c r="Q16" s="67">
        <f>IF(G16="","",ABS(P16-Components!$D$2)/Components!$E$2)</f>
        <v/>
      </c>
      <c r="R16" s="67">
        <f>IF(G16="","",ABS(P16-Components!$D$3)/Components!$E$3)</f>
        <v/>
      </c>
      <c r="S16" s="67">
        <f>IF(G16="","",ABS(P16-Components!$D$4)/Components!$E$4)</f>
        <v/>
      </c>
      <c r="T16" s="67">
        <f>IF(G16="","",ABS(P16-Components!$D$5)/Components!$E$5)</f>
        <v/>
      </c>
      <c r="U16" s="67">
        <f>IF(G16="","",ABS(P16-Components!$D$6)/Components!$E$6)</f>
        <v/>
      </c>
      <c r="V16" s="67">
        <f>IF(G16="","",ABS(P16-Components!$D$7)/Components!$E$7)</f>
        <v/>
      </c>
      <c r="W16" s="61">
        <f>IF(G16="","",IF(N16="OK","NONE",INDEX({"S1","S2","W1","W2","N1","N2"},MATCH(MIN(Q16:V16),Q16:V16,0))))</f>
        <v/>
      </c>
      <c r="X16" s="69">
        <f>IF(G16="","",IF(W16=E16,1,0))</f>
        <v/>
      </c>
    </row>
    <row r="17">
      <c r="A17" s="61" t="n">
        <v>5</v>
      </c>
      <c r="B17" s="62" t="n">
        <v>17</v>
      </c>
      <c r="C17" s="61" t="inlineStr">
        <is>
          <t>R3</t>
        </is>
      </c>
      <c r="D17" s="63" t="inlineStr">
        <is>
          <t>OK</t>
        </is>
      </c>
      <c r="E17" s="61" t="inlineStr">
        <is>
          <t>NONE</t>
        </is>
      </c>
      <c r="F17" s="61" t="inlineStr">
        <is>
          <t>K005</t>
        </is>
      </c>
      <c r="G17" s="64" t="n">
        <v>9.94</v>
      </c>
      <c r="H17" s="65" t="n"/>
      <c r="I17" s="66" t="n"/>
      <c r="J17" s="67">
        <f>VLOOKUP(C17,Recipes!$A$2:$N$4,10,FALSE())</f>
        <v/>
      </c>
      <c r="K17" s="68">
        <f>VLOOKUP(C17,Recipes!$A$2:$N$4,12,FALSE())</f>
        <v/>
      </c>
      <c r="L17" s="67">
        <f>J17-3*K17</f>
        <v/>
      </c>
      <c r="M17" s="67">
        <f>J17+3*K17</f>
        <v/>
      </c>
      <c r="N17" s="61">
        <f>IF(G17="","",IF(AND(G17&gt;=L17,G17&lt;=M17),"OK","NG"))</f>
        <v/>
      </c>
      <c r="O17" s="69">
        <f>IF(N17="","",IF(N17=D17,1,0))</f>
        <v/>
      </c>
      <c r="P17" s="67">
        <f>IF(G17="","",J17-G17)</f>
        <v/>
      </c>
      <c r="Q17" s="67">
        <f>IF(G17="","",ABS(P17-Components!$D$2)/Components!$E$2)</f>
        <v/>
      </c>
      <c r="R17" s="67">
        <f>IF(G17="","",ABS(P17-Components!$D$3)/Components!$E$3)</f>
        <v/>
      </c>
      <c r="S17" s="67">
        <f>IF(G17="","",ABS(P17-Components!$D$4)/Components!$E$4)</f>
        <v/>
      </c>
      <c r="T17" s="67">
        <f>IF(G17="","",ABS(P17-Components!$D$5)/Components!$E$5)</f>
        <v/>
      </c>
      <c r="U17" s="67">
        <f>IF(G17="","",ABS(P17-Components!$D$6)/Components!$E$6)</f>
        <v/>
      </c>
      <c r="V17" s="67">
        <f>IF(G17="","",ABS(P17-Components!$D$7)/Components!$E$7)</f>
        <v/>
      </c>
      <c r="W17" s="61">
        <f>IF(G17="","",IF(N17="OK","NONE",INDEX({"S1","S2","W1","W2","N1","N2"},MATCH(MIN(Q17:V17),Q17:V17,0))))</f>
        <v/>
      </c>
      <c r="X17" s="69">
        <f>IF(G17="","",IF(W17=E17,1,0))</f>
        <v/>
      </c>
    </row>
    <row r="18">
      <c r="A18" s="61" t="n">
        <v>5</v>
      </c>
      <c r="B18" s="62" t="n">
        <v>17</v>
      </c>
      <c r="C18" s="61" t="inlineStr">
        <is>
          <t>R3</t>
        </is>
      </c>
      <c r="D18" s="63" t="inlineStr">
        <is>
          <t>OK</t>
        </is>
      </c>
      <c r="E18" s="61" t="inlineStr">
        <is>
          <t>NONE</t>
        </is>
      </c>
      <c r="F18" s="61" t="inlineStr">
        <is>
          <t>K005</t>
        </is>
      </c>
      <c r="G18" s="64" t="n">
        <v>9.92</v>
      </c>
      <c r="H18" s="65" t="n"/>
      <c r="I18" s="66" t="n"/>
      <c r="J18" s="67">
        <f>VLOOKUP(C18,Recipes!$A$2:$N$4,10,FALSE())</f>
        <v/>
      </c>
      <c r="K18" s="68">
        <f>VLOOKUP(C18,Recipes!$A$2:$N$4,12,FALSE())</f>
        <v/>
      </c>
      <c r="L18" s="67">
        <f>J18-3*K18</f>
        <v/>
      </c>
      <c r="M18" s="67">
        <f>J18+3*K18</f>
        <v/>
      </c>
      <c r="N18" s="61">
        <f>IF(G18="","",IF(AND(G18&gt;=L18,G18&lt;=M18),"OK","NG"))</f>
        <v/>
      </c>
      <c r="O18" s="69">
        <f>IF(N18="","",IF(N18=D18,1,0))</f>
        <v/>
      </c>
      <c r="P18" s="67">
        <f>IF(G18="","",J18-G18)</f>
        <v/>
      </c>
      <c r="Q18" s="67">
        <f>IF(G18="","",ABS(P18-Components!$D$2)/Components!$E$2)</f>
        <v/>
      </c>
      <c r="R18" s="67">
        <f>IF(G18="","",ABS(P18-Components!$D$3)/Components!$E$3)</f>
        <v/>
      </c>
      <c r="S18" s="67">
        <f>IF(G18="","",ABS(P18-Components!$D$4)/Components!$E$4)</f>
        <v/>
      </c>
      <c r="T18" s="67">
        <f>IF(G18="","",ABS(P18-Components!$D$5)/Components!$E$5)</f>
        <v/>
      </c>
      <c r="U18" s="67">
        <f>IF(G18="","",ABS(P18-Components!$D$6)/Components!$E$6)</f>
        <v/>
      </c>
      <c r="V18" s="67">
        <f>IF(G18="","",ABS(P18-Components!$D$7)/Components!$E$7)</f>
        <v/>
      </c>
      <c r="W18" s="61">
        <f>IF(G18="","",IF(N18="OK","NONE",INDEX({"S1","S2","W1","W2","N1","N2"},MATCH(MIN(Q18:V18),Q18:V18,0))))</f>
        <v/>
      </c>
      <c r="X18" s="69">
        <f>IF(G18="","",IF(W18=E18,1,0))</f>
        <v/>
      </c>
    </row>
    <row r="19">
      <c r="A19" s="61" t="n">
        <v>5</v>
      </c>
      <c r="B19" s="62" t="n">
        <v>17</v>
      </c>
      <c r="C19" s="61" t="inlineStr">
        <is>
          <t>R3</t>
        </is>
      </c>
      <c r="D19" s="63" t="inlineStr">
        <is>
          <t>OK</t>
        </is>
      </c>
      <c r="E19" s="61" t="inlineStr">
        <is>
          <t>NONE</t>
        </is>
      </c>
      <c r="F19" s="61" t="inlineStr">
        <is>
          <t>K005</t>
        </is>
      </c>
      <c r="G19" s="64" t="n">
        <v>9.890000000000001</v>
      </c>
      <c r="H19" s="65" t="n"/>
      <c r="I19" s="66" t="n"/>
      <c r="J19" s="67">
        <f>VLOOKUP(C19,Recipes!$A$2:$N$4,10,FALSE())</f>
        <v/>
      </c>
      <c r="K19" s="68">
        <f>VLOOKUP(C19,Recipes!$A$2:$N$4,12,FALSE())</f>
        <v/>
      </c>
      <c r="L19" s="67">
        <f>J19-3*K19</f>
        <v/>
      </c>
      <c r="M19" s="67">
        <f>J19+3*K19</f>
        <v/>
      </c>
      <c r="N19" s="61">
        <f>IF(G19="","",IF(AND(G19&gt;=L19,G19&lt;=M19),"OK","NG"))</f>
        <v/>
      </c>
      <c r="O19" s="69">
        <f>IF(N19="","",IF(N19=D19,1,0))</f>
        <v/>
      </c>
      <c r="P19" s="67">
        <f>IF(G19="","",J19-G19)</f>
        <v/>
      </c>
      <c r="Q19" s="67">
        <f>IF(G19="","",ABS(P19-Components!$D$2)/Components!$E$2)</f>
        <v/>
      </c>
      <c r="R19" s="67">
        <f>IF(G19="","",ABS(P19-Components!$D$3)/Components!$E$3)</f>
        <v/>
      </c>
      <c r="S19" s="67">
        <f>IF(G19="","",ABS(P19-Components!$D$4)/Components!$E$4)</f>
        <v/>
      </c>
      <c r="T19" s="67">
        <f>IF(G19="","",ABS(P19-Components!$D$5)/Components!$E$5)</f>
        <v/>
      </c>
      <c r="U19" s="67">
        <f>IF(G19="","",ABS(P19-Components!$D$6)/Components!$E$6)</f>
        <v/>
      </c>
      <c r="V19" s="67">
        <f>IF(G19="","",ABS(P19-Components!$D$7)/Components!$E$7)</f>
        <v/>
      </c>
      <c r="W19" s="61">
        <f>IF(G19="","",IF(N19="OK","NONE",INDEX({"S1","S2","W1","W2","N1","N2"},MATCH(MIN(Q19:V19),Q19:V19,0))))</f>
        <v/>
      </c>
      <c r="X19" s="69">
        <f>IF(G19="","",IF(W19=E19,1,0))</f>
        <v/>
      </c>
    </row>
    <row r="20">
      <c r="A20" s="61" t="n">
        <v>5</v>
      </c>
      <c r="B20" s="62" t="n">
        <v>17</v>
      </c>
      <c r="C20" s="61" t="inlineStr">
        <is>
          <t>R3</t>
        </is>
      </c>
      <c r="D20" s="63" t="inlineStr">
        <is>
          <t>OK</t>
        </is>
      </c>
      <c r="E20" s="61" t="inlineStr">
        <is>
          <t>NONE</t>
        </is>
      </c>
      <c r="F20" s="61" t="inlineStr">
        <is>
          <t>K005</t>
        </is>
      </c>
      <c r="G20" s="64" t="n">
        <v>9.92</v>
      </c>
      <c r="H20" s="65" t="n"/>
      <c r="I20" s="66" t="n"/>
      <c r="J20" s="67">
        <f>VLOOKUP(C20,Recipes!$A$2:$N$4,10,FALSE())</f>
        <v/>
      </c>
      <c r="K20" s="68">
        <f>VLOOKUP(C20,Recipes!$A$2:$N$4,12,FALSE())</f>
        <v/>
      </c>
      <c r="L20" s="67">
        <f>J20-3*K20</f>
        <v/>
      </c>
      <c r="M20" s="67">
        <f>J20+3*K20</f>
        <v/>
      </c>
      <c r="N20" s="61">
        <f>IF(G20="","",IF(AND(G20&gt;=L20,G20&lt;=M20),"OK","NG"))</f>
        <v/>
      </c>
      <c r="O20" s="69">
        <f>IF(N20="","",IF(N20=D20,1,0))</f>
        <v/>
      </c>
      <c r="P20" s="67">
        <f>IF(G20="","",J20-G20)</f>
        <v/>
      </c>
      <c r="Q20" s="67">
        <f>IF(G20="","",ABS(P20-Components!$D$2)/Components!$E$2)</f>
        <v/>
      </c>
      <c r="R20" s="67">
        <f>IF(G20="","",ABS(P20-Components!$D$3)/Components!$E$3)</f>
        <v/>
      </c>
      <c r="S20" s="67">
        <f>IF(G20="","",ABS(P20-Components!$D$4)/Components!$E$4)</f>
        <v/>
      </c>
      <c r="T20" s="67">
        <f>IF(G20="","",ABS(P20-Components!$D$5)/Components!$E$5)</f>
        <v/>
      </c>
      <c r="U20" s="67">
        <f>IF(G20="","",ABS(P20-Components!$D$6)/Components!$E$6)</f>
        <v/>
      </c>
      <c r="V20" s="67">
        <f>IF(G20="","",ABS(P20-Components!$D$7)/Components!$E$7)</f>
        <v/>
      </c>
      <c r="W20" s="61">
        <f>IF(G20="","",IF(N20="OK","NONE",INDEX({"S1","S2","W1","W2","N1","N2"},MATCH(MIN(Q20:V20),Q20:V20,0))))</f>
        <v/>
      </c>
      <c r="X20" s="69">
        <f>IF(G20="","",IF(W20=E20,1,0))</f>
        <v/>
      </c>
    </row>
    <row r="21">
      <c r="A21" s="61" t="n">
        <v>5</v>
      </c>
      <c r="B21" s="62" t="n">
        <v>17</v>
      </c>
      <c r="C21" s="61" t="inlineStr">
        <is>
          <t>R3</t>
        </is>
      </c>
      <c r="D21" s="63" t="inlineStr">
        <is>
          <t>OK</t>
        </is>
      </c>
      <c r="E21" s="61" t="inlineStr">
        <is>
          <t>NONE</t>
        </is>
      </c>
      <c r="F21" s="61" t="inlineStr">
        <is>
          <t>K005</t>
        </is>
      </c>
      <c r="G21" s="64" t="n">
        <v>9.949999999999999</v>
      </c>
      <c r="H21" s="65" t="n"/>
      <c r="I21" s="66" t="n"/>
      <c r="J21" s="67">
        <f>VLOOKUP(C21,Recipes!$A$2:$N$4,10,FALSE())</f>
        <v/>
      </c>
      <c r="K21" s="68">
        <f>VLOOKUP(C21,Recipes!$A$2:$N$4,12,FALSE())</f>
        <v/>
      </c>
      <c r="L21" s="67">
        <f>J21-3*K21</f>
        <v/>
      </c>
      <c r="M21" s="67">
        <f>J21+3*K21</f>
        <v/>
      </c>
      <c r="N21" s="61">
        <f>IF(G21="","",IF(AND(G21&gt;=L21,G21&lt;=M21),"OK","NG"))</f>
        <v/>
      </c>
      <c r="O21" s="69">
        <f>IF(N21="","",IF(N21=D21,1,0))</f>
        <v/>
      </c>
      <c r="P21" s="67">
        <f>IF(G21="","",J21-G21)</f>
        <v/>
      </c>
      <c r="Q21" s="67">
        <f>IF(G21="","",ABS(P21-Components!$D$2)/Components!$E$2)</f>
        <v/>
      </c>
      <c r="R21" s="67">
        <f>IF(G21="","",ABS(P21-Components!$D$3)/Components!$E$3)</f>
        <v/>
      </c>
      <c r="S21" s="67">
        <f>IF(G21="","",ABS(P21-Components!$D$4)/Components!$E$4)</f>
        <v/>
      </c>
      <c r="T21" s="67">
        <f>IF(G21="","",ABS(P21-Components!$D$5)/Components!$E$5)</f>
        <v/>
      </c>
      <c r="U21" s="67">
        <f>IF(G21="","",ABS(P21-Components!$D$6)/Components!$E$6)</f>
        <v/>
      </c>
      <c r="V21" s="67">
        <f>IF(G21="","",ABS(P21-Components!$D$7)/Components!$E$7)</f>
        <v/>
      </c>
      <c r="W21" s="61">
        <f>IF(G21="","",IF(N21="OK","NONE",INDEX({"S1","S2","W1","W2","N1","N2"},MATCH(MIN(Q21:V21),Q21:V21,0))))</f>
        <v/>
      </c>
      <c r="X21" s="69">
        <f>IF(G21="","",IF(W21=E21,1,0))</f>
        <v/>
      </c>
    </row>
    <row r="22">
      <c r="A22" s="61" t="n">
        <v>5</v>
      </c>
      <c r="B22" s="62" t="n">
        <v>17</v>
      </c>
      <c r="C22" s="61" t="inlineStr">
        <is>
          <t>R3</t>
        </is>
      </c>
      <c r="D22" s="63" t="inlineStr">
        <is>
          <t>OK</t>
        </is>
      </c>
      <c r="E22" s="61" t="inlineStr">
        <is>
          <t>NONE</t>
        </is>
      </c>
      <c r="F22" s="61" t="inlineStr">
        <is>
          <t>K005</t>
        </is>
      </c>
      <c r="G22" s="64" t="n">
        <v>9.98</v>
      </c>
      <c r="H22" s="65" t="n"/>
      <c r="I22" s="66" t="n"/>
      <c r="J22" s="67">
        <f>VLOOKUP(C22,Recipes!$A$2:$N$4,10,FALSE())</f>
        <v/>
      </c>
      <c r="K22" s="68">
        <f>VLOOKUP(C22,Recipes!$A$2:$N$4,12,FALSE())</f>
        <v/>
      </c>
      <c r="L22" s="67">
        <f>J22-3*K22</f>
        <v/>
      </c>
      <c r="M22" s="67">
        <f>J22+3*K22</f>
        <v/>
      </c>
      <c r="N22" s="61">
        <f>IF(G22="","",IF(AND(G22&gt;=L22,G22&lt;=M22),"OK","NG"))</f>
        <v/>
      </c>
      <c r="O22" s="69">
        <f>IF(N22="","",IF(N22=D22,1,0))</f>
        <v/>
      </c>
      <c r="P22" s="67">
        <f>IF(G22="","",J22-G22)</f>
        <v/>
      </c>
      <c r="Q22" s="67">
        <f>IF(G22="","",ABS(P22-Components!$D$2)/Components!$E$2)</f>
        <v/>
      </c>
      <c r="R22" s="67">
        <f>IF(G22="","",ABS(P22-Components!$D$3)/Components!$E$3)</f>
        <v/>
      </c>
      <c r="S22" s="67">
        <f>IF(G22="","",ABS(P22-Components!$D$4)/Components!$E$4)</f>
        <v/>
      </c>
      <c r="T22" s="67">
        <f>IF(G22="","",ABS(P22-Components!$D$5)/Components!$E$5)</f>
        <v/>
      </c>
      <c r="U22" s="67">
        <f>IF(G22="","",ABS(P22-Components!$D$6)/Components!$E$6)</f>
        <v/>
      </c>
      <c r="V22" s="67">
        <f>IF(G22="","",ABS(P22-Components!$D$7)/Components!$E$7)</f>
        <v/>
      </c>
      <c r="W22" s="61">
        <f>IF(G22="","",IF(N22="OK","NONE",INDEX({"S1","S2","W1","W2","N1","N2"},MATCH(MIN(Q22:V22),Q22:V22,0))))</f>
        <v/>
      </c>
      <c r="X22" s="69">
        <f>IF(G22="","",IF(W22=E22,1,0))</f>
        <v/>
      </c>
    </row>
    <row r="23">
      <c r="A23" s="61" t="n">
        <v>5</v>
      </c>
      <c r="B23" s="62" t="n">
        <v>17</v>
      </c>
      <c r="C23" s="61" t="inlineStr">
        <is>
          <t>R3</t>
        </is>
      </c>
      <c r="D23" s="63" t="inlineStr">
        <is>
          <t>OK</t>
        </is>
      </c>
      <c r="E23" s="61" t="inlineStr">
        <is>
          <t>NONE</t>
        </is>
      </c>
      <c r="F23" s="61" t="inlineStr">
        <is>
          <t>K005</t>
        </is>
      </c>
      <c r="G23" s="64" t="n">
        <v>9.99</v>
      </c>
      <c r="H23" s="65" t="n"/>
      <c r="I23" s="66" t="n"/>
      <c r="J23" s="67">
        <f>VLOOKUP(C23,Recipes!$A$2:$N$4,10,FALSE())</f>
        <v/>
      </c>
      <c r="K23" s="68">
        <f>VLOOKUP(C23,Recipes!$A$2:$N$4,12,FALSE())</f>
        <v/>
      </c>
      <c r="L23" s="67">
        <f>J23-3*K23</f>
        <v/>
      </c>
      <c r="M23" s="67">
        <f>J23+3*K23</f>
        <v/>
      </c>
      <c r="N23" s="61">
        <f>IF(G23="","",IF(AND(G23&gt;=L23,G23&lt;=M23),"OK","NG"))</f>
        <v/>
      </c>
      <c r="O23" s="69">
        <f>IF(N23="","",IF(N23=D23,1,0))</f>
        <v/>
      </c>
      <c r="P23" s="67">
        <f>IF(G23="","",J23-G23)</f>
        <v/>
      </c>
      <c r="Q23" s="67">
        <f>IF(G23="","",ABS(P23-Components!$D$2)/Components!$E$2)</f>
        <v/>
      </c>
      <c r="R23" s="67">
        <f>IF(G23="","",ABS(P23-Components!$D$3)/Components!$E$3)</f>
        <v/>
      </c>
      <c r="S23" s="67">
        <f>IF(G23="","",ABS(P23-Components!$D$4)/Components!$E$4)</f>
        <v/>
      </c>
      <c r="T23" s="67">
        <f>IF(G23="","",ABS(P23-Components!$D$5)/Components!$E$5)</f>
        <v/>
      </c>
      <c r="U23" s="67">
        <f>IF(G23="","",ABS(P23-Components!$D$6)/Components!$E$6)</f>
        <v/>
      </c>
      <c r="V23" s="67">
        <f>IF(G23="","",ABS(P23-Components!$D$7)/Components!$E$7)</f>
        <v/>
      </c>
      <c r="W23" s="61">
        <f>IF(G23="","",IF(N23="OK","NONE",INDEX({"S1","S2","W1","W2","N1","N2"},MATCH(MIN(Q23:V23),Q23:V23,0))))</f>
        <v/>
      </c>
      <c r="X23" s="69">
        <f>IF(G23="","",IF(W23=E23,1,0))</f>
        <v/>
      </c>
    </row>
    <row r="24">
      <c r="A24" s="61" t="n">
        <v>5</v>
      </c>
      <c r="B24" s="62" t="n">
        <v>17</v>
      </c>
      <c r="C24" s="61" t="inlineStr">
        <is>
          <t>R3</t>
        </is>
      </c>
      <c r="D24" s="63" t="inlineStr">
        <is>
          <t>OK</t>
        </is>
      </c>
      <c r="E24" s="61" t="inlineStr">
        <is>
          <t>NONE</t>
        </is>
      </c>
      <c r="F24" s="61" t="inlineStr">
        <is>
          <t>K005</t>
        </is>
      </c>
      <c r="G24" s="64" t="n">
        <v>9.9</v>
      </c>
      <c r="H24" s="65" t="n"/>
      <c r="I24" s="66" t="n"/>
      <c r="J24" s="67">
        <f>VLOOKUP(C24,Recipes!$A$2:$N$4,10,FALSE())</f>
        <v/>
      </c>
      <c r="K24" s="68">
        <f>VLOOKUP(C24,Recipes!$A$2:$N$4,12,FALSE())</f>
        <v/>
      </c>
      <c r="L24" s="67">
        <f>J24-3*K24</f>
        <v/>
      </c>
      <c r="M24" s="67">
        <f>J24+3*K24</f>
        <v/>
      </c>
      <c r="N24" s="61">
        <f>IF(G24="","",IF(AND(G24&gt;=L24,G24&lt;=M24),"OK","NG"))</f>
        <v/>
      </c>
      <c r="O24" s="69">
        <f>IF(N24="","",IF(N24=D24,1,0))</f>
        <v/>
      </c>
      <c r="P24" s="67">
        <f>IF(G24="","",J24-G24)</f>
        <v/>
      </c>
      <c r="Q24" s="67">
        <f>IF(G24="","",ABS(P24-Components!$D$2)/Components!$E$2)</f>
        <v/>
      </c>
      <c r="R24" s="67">
        <f>IF(G24="","",ABS(P24-Components!$D$3)/Components!$E$3)</f>
        <v/>
      </c>
      <c r="S24" s="67">
        <f>IF(G24="","",ABS(P24-Components!$D$4)/Components!$E$4)</f>
        <v/>
      </c>
      <c r="T24" s="67">
        <f>IF(G24="","",ABS(P24-Components!$D$5)/Components!$E$5)</f>
        <v/>
      </c>
      <c r="U24" s="67">
        <f>IF(G24="","",ABS(P24-Components!$D$6)/Components!$E$6)</f>
        <v/>
      </c>
      <c r="V24" s="67">
        <f>IF(G24="","",ABS(P24-Components!$D$7)/Components!$E$7)</f>
        <v/>
      </c>
      <c r="W24" s="61">
        <f>IF(G24="","",IF(N24="OK","NONE",INDEX({"S1","S2","W1","W2","N1","N2"},MATCH(MIN(Q24:V24),Q24:V24,0))))</f>
        <v/>
      </c>
      <c r="X24" s="69">
        <f>IF(G24="","",IF(W24=E24,1,0))</f>
        <v/>
      </c>
    </row>
    <row r="25">
      <c r="A25" s="61" t="n">
        <v>5</v>
      </c>
      <c r="B25" s="62" t="n">
        <v>17</v>
      </c>
      <c r="C25" s="61" t="inlineStr">
        <is>
          <t>R3</t>
        </is>
      </c>
      <c r="D25" s="63" t="inlineStr">
        <is>
          <t>OK</t>
        </is>
      </c>
      <c r="E25" s="61" t="inlineStr">
        <is>
          <t>NONE</t>
        </is>
      </c>
      <c r="F25" s="61" t="inlineStr">
        <is>
          <t>K005</t>
        </is>
      </c>
      <c r="G25" s="64" t="n">
        <v>9.970000000000001</v>
      </c>
      <c r="H25" s="65" t="n"/>
      <c r="I25" s="66" t="n"/>
      <c r="J25" s="67">
        <f>VLOOKUP(C25,Recipes!$A$2:$N$4,10,FALSE())</f>
        <v/>
      </c>
      <c r="K25" s="68">
        <f>VLOOKUP(C25,Recipes!$A$2:$N$4,12,FALSE())</f>
        <v/>
      </c>
      <c r="L25" s="67">
        <f>J25-3*K25</f>
        <v/>
      </c>
      <c r="M25" s="67">
        <f>J25+3*K25</f>
        <v/>
      </c>
      <c r="N25" s="61">
        <f>IF(G25="","",IF(AND(G25&gt;=L25,G25&lt;=M25),"OK","NG"))</f>
        <v/>
      </c>
      <c r="O25" s="69">
        <f>IF(N25="","",IF(N25=D25,1,0))</f>
        <v/>
      </c>
      <c r="P25" s="67">
        <f>IF(G25="","",J25-G25)</f>
        <v/>
      </c>
      <c r="Q25" s="67">
        <f>IF(G25="","",ABS(P25-Components!$D$2)/Components!$E$2)</f>
        <v/>
      </c>
      <c r="R25" s="67">
        <f>IF(G25="","",ABS(P25-Components!$D$3)/Components!$E$3)</f>
        <v/>
      </c>
      <c r="S25" s="67">
        <f>IF(G25="","",ABS(P25-Components!$D$4)/Components!$E$4)</f>
        <v/>
      </c>
      <c r="T25" s="67">
        <f>IF(G25="","",ABS(P25-Components!$D$5)/Components!$E$5)</f>
        <v/>
      </c>
      <c r="U25" s="67">
        <f>IF(G25="","",ABS(P25-Components!$D$6)/Components!$E$6)</f>
        <v/>
      </c>
      <c r="V25" s="67">
        <f>IF(G25="","",ABS(P25-Components!$D$7)/Components!$E$7)</f>
        <v/>
      </c>
      <c r="W25" s="61">
        <f>IF(G25="","",IF(N25="OK","NONE",INDEX({"S1","S2","W1","W2","N1","N2"},MATCH(MIN(Q25:V25),Q25:V25,0))))</f>
        <v/>
      </c>
      <c r="X25" s="69">
        <f>IF(G25="","",IF(W25=E25,1,0))</f>
        <v/>
      </c>
    </row>
    <row r="26">
      <c r="A26" s="61" t="n">
        <v>5</v>
      </c>
      <c r="B26" s="62" t="n">
        <v>17</v>
      </c>
      <c r="C26" s="61" t="inlineStr">
        <is>
          <t>R3</t>
        </is>
      </c>
      <c r="D26" s="63" t="inlineStr">
        <is>
          <t>OK</t>
        </is>
      </c>
      <c r="E26" s="61" t="inlineStr">
        <is>
          <t>NONE</t>
        </is>
      </c>
      <c r="F26" s="61" t="inlineStr">
        <is>
          <t>K005</t>
        </is>
      </c>
      <c r="G26" s="64" t="n">
        <v>10.02</v>
      </c>
      <c r="H26" s="65" t="n"/>
      <c r="I26" s="66" t="n"/>
      <c r="J26" s="67">
        <f>VLOOKUP(C26,Recipes!$A$2:$N$4,10,FALSE())</f>
        <v/>
      </c>
      <c r="K26" s="68">
        <f>VLOOKUP(C26,Recipes!$A$2:$N$4,12,FALSE())</f>
        <v/>
      </c>
      <c r="L26" s="67">
        <f>J26-3*K26</f>
        <v/>
      </c>
      <c r="M26" s="67">
        <f>J26+3*K26</f>
        <v/>
      </c>
      <c r="N26" s="61">
        <f>IF(G26="","",IF(AND(G26&gt;=L26,G26&lt;=M26),"OK","NG"))</f>
        <v/>
      </c>
      <c r="O26" s="69">
        <f>IF(N26="","",IF(N26=D26,1,0))</f>
        <v/>
      </c>
      <c r="P26" s="67">
        <f>IF(G26="","",J26-G26)</f>
        <v/>
      </c>
      <c r="Q26" s="67">
        <f>IF(G26="","",ABS(P26-Components!$D$2)/Components!$E$2)</f>
        <v/>
      </c>
      <c r="R26" s="67">
        <f>IF(G26="","",ABS(P26-Components!$D$3)/Components!$E$3)</f>
        <v/>
      </c>
      <c r="S26" s="67">
        <f>IF(G26="","",ABS(P26-Components!$D$4)/Components!$E$4)</f>
        <v/>
      </c>
      <c r="T26" s="67">
        <f>IF(G26="","",ABS(P26-Components!$D$5)/Components!$E$5)</f>
        <v/>
      </c>
      <c r="U26" s="67">
        <f>IF(G26="","",ABS(P26-Components!$D$6)/Components!$E$6)</f>
        <v/>
      </c>
      <c r="V26" s="67">
        <f>IF(G26="","",ABS(P26-Components!$D$7)/Components!$E$7)</f>
        <v/>
      </c>
      <c r="W26" s="61">
        <f>IF(G26="","",IF(N26="OK","NONE",INDEX({"S1","S2","W1","W2","N1","N2"},MATCH(MIN(Q26:V26),Q26:V26,0))))</f>
        <v/>
      </c>
      <c r="X26" s="69">
        <f>IF(G26="","",IF(W26=E26,1,0))</f>
        <v/>
      </c>
    </row>
    <row r="27">
      <c r="A27" s="61" t="n">
        <v>5</v>
      </c>
      <c r="B27" s="62" t="n">
        <v>17</v>
      </c>
      <c r="C27" s="61" t="inlineStr">
        <is>
          <t>R3</t>
        </is>
      </c>
      <c r="D27" s="63" t="inlineStr">
        <is>
          <t>OK</t>
        </is>
      </c>
      <c r="E27" s="61" t="inlineStr">
        <is>
          <t>NONE</t>
        </is>
      </c>
      <c r="F27" s="61" t="inlineStr">
        <is>
          <t>K005</t>
        </is>
      </c>
      <c r="G27" s="64" t="n">
        <v>10</v>
      </c>
      <c r="H27" s="65" t="n"/>
      <c r="I27" s="66" t="n"/>
      <c r="J27" s="67">
        <f>VLOOKUP(C27,Recipes!$A$2:$N$4,10,FALSE())</f>
        <v/>
      </c>
      <c r="K27" s="68">
        <f>VLOOKUP(C27,Recipes!$A$2:$N$4,12,FALSE())</f>
        <v/>
      </c>
      <c r="L27" s="67">
        <f>J27-3*K27</f>
        <v/>
      </c>
      <c r="M27" s="67">
        <f>J27+3*K27</f>
        <v/>
      </c>
      <c r="N27" s="61">
        <f>IF(G27="","",IF(AND(G27&gt;=L27,G27&lt;=M27),"OK","NG"))</f>
        <v/>
      </c>
      <c r="O27" s="69">
        <f>IF(N27="","",IF(N27=D27,1,0))</f>
        <v/>
      </c>
      <c r="P27" s="67">
        <f>IF(G27="","",J27-G27)</f>
        <v/>
      </c>
      <c r="Q27" s="67">
        <f>IF(G27="","",ABS(P27-Components!$D$2)/Components!$E$2)</f>
        <v/>
      </c>
      <c r="R27" s="67">
        <f>IF(G27="","",ABS(P27-Components!$D$3)/Components!$E$3)</f>
        <v/>
      </c>
      <c r="S27" s="67">
        <f>IF(G27="","",ABS(P27-Components!$D$4)/Components!$E$4)</f>
        <v/>
      </c>
      <c r="T27" s="67">
        <f>IF(G27="","",ABS(P27-Components!$D$5)/Components!$E$5)</f>
        <v/>
      </c>
      <c r="U27" s="67">
        <f>IF(G27="","",ABS(P27-Components!$D$6)/Components!$E$6)</f>
        <v/>
      </c>
      <c r="V27" s="67">
        <f>IF(G27="","",ABS(P27-Components!$D$7)/Components!$E$7)</f>
        <v/>
      </c>
      <c r="W27" s="61">
        <f>IF(G27="","",IF(N27="OK","NONE",INDEX({"S1","S2","W1","W2","N1","N2"},MATCH(MIN(Q27:V27),Q27:V27,0))))</f>
        <v/>
      </c>
      <c r="X27" s="69">
        <f>IF(G27="","",IF(W27=E27,1,0))</f>
        <v/>
      </c>
    </row>
    <row r="28">
      <c r="A28" s="61" t="n">
        <v>5</v>
      </c>
      <c r="B28" s="62" t="n">
        <v>17</v>
      </c>
      <c r="C28" s="61" t="inlineStr">
        <is>
          <t>R3</t>
        </is>
      </c>
      <c r="D28" s="63" t="inlineStr">
        <is>
          <t>OK</t>
        </is>
      </c>
      <c r="E28" s="61" t="inlineStr">
        <is>
          <t>NONE</t>
        </is>
      </c>
      <c r="F28" s="61" t="inlineStr">
        <is>
          <t>K005</t>
        </is>
      </c>
      <c r="G28" s="64" t="n">
        <v>9.93</v>
      </c>
      <c r="H28" s="65" t="n"/>
      <c r="I28" s="66" t="n"/>
      <c r="J28" s="67">
        <f>VLOOKUP(C28,Recipes!$A$2:$N$4,10,FALSE())</f>
        <v/>
      </c>
      <c r="K28" s="68">
        <f>VLOOKUP(C28,Recipes!$A$2:$N$4,12,FALSE())</f>
        <v/>
      </c>
      <c r="L28" s="67">
        <f>J28-3*K28</f>
        <v/>
      </c>
      <c r="M28" s="67">
        <f>J28+3*K28</f>
        <v/>
      </c>
      <c r="N28" s="61">
        <f>IF(G28="","",IF(AND(G28&gt;=L28,G28&lt;=M28),"OK","NG"))</f>
        <v/>
      </c>
      <c r="O28" s="69">
        <f>IF(N28="","",IF(N28=D28,1,0))</f>
        <v/>
      </c>
      <c r="P28" s="67">
        <f>IF(G28="","",J28-G28)</f>
        <v/>
      </c>
      <c r="Q28" s="67">
        <f>IF(G28="","",ABS(P28-Components!$D$2)/Components!$E$2)</f>
        <v/>
      </c>
      <c r="R28" s="67">
        <f>IF(G28="","",ABS(P28-Components!$D$3)/Components!$E$3)</f>
        <v/>
      </c>
      <c r="S28" s="67">
        <f>IF(G28="","",ABS(P28-Components!$D$4)/Components!$E$4)</f>
        <v/>
      </c>
      <c r="T28" s="67">
        <f>IF(G28="","",ABS(P28-Components!$D$5)/Components!$E$5)</f>
        <v/>
      </c>
      <c r="U28" s="67">
        <f>IF(G28="","",ABS(P28-Components!$D$6)/Components!$E$6)</f>
        <v/>
      </c>
      <c r="V28" s="67">
        <f>IF(G28="","",ABS(P28-Components!$D$7)/Components!$E$7)</f>
        <v/>
      </c>
      <c r="W28" s="61">
        <f>IF(G28="","",IF(N28="OK","NONE",INDEX({"S1","S2","W1","W2","N1","N2"},MATCH(MIN(Q28:V28),Q28:V28,0))))</f>
        <v/>
      </c>
      <c r="X28" s="69">
        <f>IF(G28="","",IF(W28=E28,1,0))</f>
        <v/>
      </c>
    </row>
    <row r="29">
      <c r="A29" s="61" t="n">
        <v>5</v>
      </c>
      <c r="B29" s="62" t="n">
        <v>17</v>
      </c>
      <c r="C29" s="61" t="inlineStr">
        <is>
          <t>R3</t>
        </is>
      </c>
      <c r="D29" s="63" t="inlineStr">
        <is>
          <t>OK</t>
        </is>
      </c>
      <c r="E29" s="61" t="inlineStr">
        <is>
          <t>NONE</t>
        </is>
      </c>
      <c r="F29" s="61" t="inlineStr">
        <is>
          <t>K005</t>
        </is>
      </c>
      <c r="G29" s="64" t="n">
        <v>9.970000000000001</v>
      </c>
      <c r="H29" s="65" t="n"/>
      <c r="I29" s="66" t="n"/>
      <c r="J29" s="67">
        <f>VLOOKUP(C29,Recipes!$A$2:$N$4,10,FALSE())</f>
        <v/>
      </c>
      <c r="K29" s="68">
        <f>VLOOKUP(C29,Recipes!$A$2:$N$4,12,FALSE())</f>
        <v/>
      </c>
      <c r="L29" s="67">
        <f>J29-3*K29</f>
        <v/>
      </c>
      <c r="M29" s="67">
        <f>J29+3*K29</f>
        <v/>
      </c>
      <c r="N29" s="61">
        <f>IF(G29="","",IF(AND(G29&gt;=L29,G29&lt;=M29),"OK","NG"))</f>
        <v/>
      </c>
      <c r="O29" s="69">
        <f>IF(N29="","",IF(N29=D29,1,0))</f>
        <v/>
      </c>
      <c r="P29" s="67">
        <f>IF(G29="","",J29-G29)</f>
        <v/>
      </c>
      <c r="Q29" s="67">
        <f>IF(G29="","",ABS(P29-Components!$D$2)/Components!$E$2)</f>
        <v/>
      </c>
      <c r="R29" s="67">
        <f>IF(G29="","",ABS(P29-Components!$D$3)/Components!$E$3)</f>
        <v/>
      </c>
      <c r="S29" s="67">
        <f>IF(G29="","",ABS(P29-Components!$D$4)/Components!$E$4)</f>
        <v/>
      </c>
      <c r="T29" s="67">
        <f>IF(G29="","",ABS(P29-Components!$D$5)/Components!$E$5)</f>
        <v/>
      </c>
      <c r="U29" s="67">
        <f>IF(G29="","",ABS(P29-Components!$D$6)/Components!$E$6)</f>
        <v/>
      </c>
      <c r="V29" s="67">
        <f>IF(G29="","",ABS(P29-Components!$D$7)/Components!$E$7)</f>
        <v/>
      </c>
      <c r="W29" s="61">
        <f>IF(G29="","",IF(N29="OK","NONE",INDEX({"S1","S2","W1","W2","N1","N2"},MATCH(MIN(Q29:V29),Q29:V29,0))))</f>
        <v/>
      </c>
      <c r="X29" s="69">
        <f>IF(G29="","",IF(W29=E29,1,0))</f>
        <v/>
      </c>
    </row>
    <row r="30">
      <c r="A30" s="61" t="n">
        <v>5</v>
      </c>
      <c r="B30" s="62" t="n">
        <v>17</v>
      </c>
      <c r="C30" s="61" t="inlineStr">
        <is>
          <t>R3</t>
        </is>
      </c>
      <c r="D30" s="63" t="inlineStr">
        <is>
          <t>OK</t>
        </is>
      </c>
      <c r="E30" s="61" t="inlineStr">
        <is>
          <t>NONE</t>
        </is>
      </c>
      <c r="F30" s="61" t="inlineStr">
        <is>
          <t>K005</t>
        </is>
      </c>
      <c r="G30" s="64" t="n">
        <v>9.94</v>
      </c>
      <c r="H30" s="65" t="n"/>
      <c r="I30" s="66" t="n"/>
      <c r="J30" s="67">
        <f>VLOOKUP(C30,Recipes!$A$2:$N$4,10,FALSE())</f>
        <v/>
      </c>
      <c r="K30" s="68">
        <f>VLOOKUP(C30,Recipes!$A$2:$N$4,12,FALSE())</f>
        <v/>
      </c>
      <c r="L30" s="67">
        <f>J30-3*K30</f>
        <v/>
      </c>
      <c r="M30" s="67">
        <f>J30+3*K30</f>
        <v/>
      </c>
      <c r="N30" s="61">
        <f>IF(G30="","",IF(AND(G30&gt;=L30,G30&lt;=M30),"OK","NG"))</f>
        <v/>
      </c>
      <c r="O30" s="69">
        <f>IF(N30="","",IF(N30=D30,1,0))</f>
        <v/>
      </c>
      <c r="P30" s="67">
        <f>IF(G30="","",J30-G30)</f>
        <v/>
      </c>
      <c r="Q30" s="67">
        <f>IF(G30="","",ABS(P30-Components!$D$2)/Components!$E$2)</f>
        <v/>
      </c>
      <c r="R30" s="67">
        <f>IF(G30="","",ABS(P30-Components!$D$3)/Components!$E$3)</f>
        <v/>
      </c>
      <c r="S30" s="67">
        <f>IF(G30="","",ABS(P30-Components!$D$4)/Components!$E$4)</f>
        <v/>
      </c>
      <c r="T30" s="67">
        <f>IF(G30="","",ABS(P30-Components!$D$5)/Components!$E$5)</f>
        <v/>
      </c>
      <c r="U30" s="67">
        <f>IF(G30="","",ABS(P30-Components!$D$6)/Components!$E$6)</f>
        <v/>
      </c>
      <c r="V30" s="67">
        <f>IF(G30="","",ABS(P30-Components!$D$7)/Components!$E$7)</f>
        <v/>
      </c>
      <c r="W30" s="61">
        <f>IF(G30="","",IF(N30="OK","NONE",INDEX({"S1","S2","W1","W2","N1","N2"},MATCH(MIN(Q30:V30),Q30:V30,0))))</f>
        <v/>
      </c>
      <c r="X30" s="69">
        <f>IF(G30="","",IF(W30=E30,1,0))</f>
        <v/>
      </c>
    </row>
    <row r="31">
      <c r="A31" s="61" t="n">
        <v>5</v>
      </c>
      <c r="B31" s="62" t="n">
        <v>17</v>
      </c>
      <c r="C31" s="61" t="inlineStr">
        <is>
          <t>R3</t>
        </is>
      </c>
      <c r="D31" s="63" t="inlineStr">
        <is>
          <t>OK</t>
        </is>
      </c>
      <c r="E31" s="61" t="inlineStr">
        <is>
          <t>NONE</t>
        </is>
      </c>
      <c r="F31" s="61" t="inlineStr">
        <is>
          <t>K005</t>
        </is>
      </c>
      <c r="G31" s="64" t="n">
        <v>9.99</v>
      </c>
      <c r="H31" s="65" t="n"/>
      <c r="I31" s="66" t="n"/>
      <c r="J31" s="67">
        <f>VLOOKUP(C31,Recipes!$A$2:$N$4,10,FALSE())</f>
        <v/>
      </c>
      <c r="K31" s="68">
        <f>VLOOKUP(C31,Recipes!$A$2:$N$4,12,FALSE())</f>
        <v/>
      </c>
      <c r="L31" s="67">
        <f>J31-3*K31</f>
        <v/>
      </c>
      <c r="M31" s="67">
        <f>J31+3*K31</f>
        <v/>
      </c>
      <c r="N31" s="61">
        <f>IF(G31="","",IF(AND(G31&gt;=L31,G31&lt;=M31),"OK","NG"))</f>
        <v/>
      </c>
      <c r="O31" s="69">
        <f>IF(N31="","",IF(N31=D31,1,0))</f>
        <v/>
      </c>
      <c r="P31" s="67">
        <f>IF(G31="","",J31-G31)</f>
        <v/>
      </c>
      <c r="Q31" s="67">
        <f>IF(G31="","",ABS(P31-Components!$D$2)/Components!$E$2)</f>
        <v/>
      </c>
      <c r="R31" s="67">
        <f>IF(G31="","",ABS(P31-Components!$D$3)/Components!$E$3)</f>
        <v/>
      </c>
      <c r="S31" s="67">
        <f>IF(G31="","",ABS(P31-Components!$D$4)/Components!$E$4)</f>
        <v/>
      </c>
      <c r="T31" s="67">
        <f>IF(G31="","",ABS(P31-Components!$D$5)/Components!$E$5)</f>
        <v/>
      </c>
      <c r="U31" s="67">
        <f>IF(G31="","",ABS(P31-Components!$D$6)/Components!$E$6)</f>
        <v/>
      </c>
      <c r="V31" s="67">
        <f>IF(G31="","",ABS(P31-Components!$D$7)/Components!$E$7)</f>
        <v/>
      </c>
      <c r="W31" s="61">
        <f>IF(G31="","",IF(N31="OK","NONE",INDEX({"S1","S2","W1","W2","N1","N2"},MATCH(MIN(Q31:V31),Q31:V31,0))))</f>
        <v/>
      </c>
      <c r="X31" s="69">
        <f>IF(G31="","",IF(W31=E31,1,0))</f>
        <v/>
      </c>
    </row>
    <row r="32">
      <c r="A32" s="61" t="n">
        <v>5</v>
      </c>
      <c r="B32" s="62" t="n">
        <v>17</v>
      </c>
      <c r="C32" s="61" t="inlineStr">
        <is>
          <t>R3</t>
        </is>
      </c>
      <c r="D32" s="63" t="inlineStr">
        <is>
          <t>OK</t>
        </is>
      </c>
      <c r="E32" s="61" t="inlineStr">
        <is>
          <t>NONE</t>
        </is>
      </c>
      <c r="F32" s="61" t="inlineStr">
        <is>
          <t>K005</t>
        </is>
      </c>
      <c r="G32" s="73" t="n">
        <v>9.48</v>
      </c>
      <c r="H32" s="65" t="n"/>
      <c r="I32" s="66" t="n"/>
      <c r="J32" s="67">
        <f>VLOOKUP(C32,Recipes!$A$2:$N$4,10,FALSE())</f>
        <v/>
      </c>
      <c r="K32" s="68">
        <f>VLOOKUP(C32,Recipes!$A$2:$N$4,12,FALSE())</f>
        <v/>
      </c>
      <c r="L32" s="67">
        <f>J32-3*K32</f>
        <v/>
      </c>
      <c r="M32" s="67">
        <f>J32+3*K32</f>
        <v/>
      </c>
      <c r="N32" s="61">
        <f>IF(G32="","",IF(AND(G32&gt;=L32,G32&lt;=M32),"OK","NG"))</f>
        <v/>
      </c>
      <c r="O32" s="69">
        <f>IF(N32="","",IF(N32=D32,1,0))</f>
        <v/>
      </c>
      <c r="P32" s="67">
        <f>IF(G32="","",J32-G32)</f>
        <v/>
      </c>
      <c r="Q32" s="67">
        <f>IF(G32="","",ABS(P32-Components!$D$2)/Components!$E$2)</f>
        <v/>
      </c>
      <c r="R32" s="67">
        <f>IF(G32="","",ABS(P32-Components!$D$3)/Components!$E$3)</f>
        <v/>
      </c>
      <c r="S32" s="67">
        <f>IF(G32="","",ABS(P32-Components!$D$4)/Components!$E$4)</f>
        <v/>
      </c>
      <c r="T32" s="67">
        <f>IF(G32="","",ABS(P32-Components!$D$5)/Components!$E$5)</f>
        <v/>
      </c>
      <c r="U32" s="67">
        <f>IF(G32="","",ABS(P32-Components!$D$6)/Components!$E$6)</f>
        <v/>
      </c>
      <c r="V32" s="67">
        <f>IF(G32="","",ABS(P32-Components!$D$7)/Components!$E$7)</f>
        <v/>
      </c>
      <c r="W32" s="61">
        <f>IF(G32="","",IF(N32="OK","NONE",INDEX({"S1","S2","W1","W2","N1","N2"},MATCH(MIN(Q32:V32),Q32:V32,0))))</f>
        <v/>
      </c>
      <c r="X32" s="71">
        <f>IF(G32="","",IF(W32=E32,1,0))</f>
        <v/>
      </c>
    </row>
    <row r="33">
      <c r="A33" s="61" t="n">
        <v>6</v>
      </c>
      <c r="B33" s="62" t="n">
        <v>21</v>
      </c>
      <c r="C33" s="61" t="inlineStr">
        <is>
          <t>R3</t>
        </is>
      </c>
      <c r="D33" s="74" t="inlineStr">
        <is>
          <t>NG</t>
        </is>
      </c>
      <c r="E33" s="61" t="inlineStr">
        <is>
          <t>S2</t>
        </is>
      </c>
      <c r="F33" s="61" t="inlineStr">
        <is>
          <t>K006</t>
        </is>
      </c>
      <c r="G33" s="64" t="n">
        <v>5.91</v>
      </c>
      <c r="H33" s="65" t="n"/>
      <c r="I33" s="66" t="n"/>
      <c r="J33" s="67">
        <f>VLOOKUP(C33,Recipes!$A$2:$N$4,10,FALSE())</f>
        <v/>
      </c>
      <c r="K33" s="68">
        <f>VLOOKUP(C33,Recipes!$A$2:$N$4,12,FALSE())</f>
        <v/>
      </c>
      <c r="L33" s="67">
        <f>J33-3*K33</f>
        <v/>
      </c>
      <c r="M33" s="67">
        <f>J33+3*K33</f>
        <v/>
      </c>
      <c r="N33" s="61">
        <f>IF(G33="","",IF(AND(G33&gt;=L33,G33&lt;=M33),"OK","NG"))</f>
        <v/>
      </c>
      <c r="O33" s="69">
        <f>IF(N33="","",IF(N33=D33,1,0))</f>
        <v/>
      </c>
      <c r="P33" s="67">
        <f>IF(G33="","",J33-G33)</f>
        <v/>
      </c>
      <c r="Q33" s="67">
        <f>IF(G33="","",ABS(P33-Components!$D$2)/Components!$E$2)</f>
        <v/>
      </c>
      <c r="R33" s="67">
        <f>IF(G33="","",ABS(P33-Components!$D$3)/Components!$E$3)</f>
        <v/>
      </c>
      <c r="S33" s="67">
        <f>IF(G33="","",ABS(P33-Components!$D$4)/Components!$E$4)</f>
        <v/>
      </c>
      <c r="T33" s="67">
        <f>IF(G33="","",ABS(P33-Components!$D$5)/Components!$E$5)</f>
        <v/>
      </c>
      <c r="U33" s="67">
        <f>IF(G33="","",ABS(P33-Components!$D$6)/Components!$E$6)</f>
        <v/>
      </c>
      <c r="V33" s="67">
        <f>IF(G33="","",ABS(P33-Components!$D$7)/Components!$E$7)</f>
        <v/>
      </c>
      <c r="W33" s="61">
        <f>IF(G33="","",IF(N33="OK","NONE",INDEX({"S1","S2","W1","W2","N1","N2"},MATCH(MIN(Q33:V33),Q33:V33,0))))</f>
        <v/>
      </c>
      <c r="X33" s="69">
        <f>IF(G33="","",IF(W33=E33,1,0))</f>
        <v/>
      </c>
    </row>
    <row r="34">
      <c r="A34" s="61" t="n">
        <v>7</v>
      </c>
      <c r="B34" s="62" t="n">
        <v>51</v>
      </c>
      <c r="C34" s="61" t="inlineStr">
        <is>
          <t>R3</t>
        </is>
      </c>
      <c r="D34" s="74" t="inlineStr">
        <is>
          <t>NG</t>
        </is>
      </c>
      <c r="E34" s="61" t="inlineStr">
        <is>
          <t>S2</t>
        </is>
      </c>
      <c r="F34" s="61" t="inlineStr">
        <is>
          <t>K007</t>
        </is>
      </c>
      <c r="G34" s="64" t="n">
        <v>5.93</v>
      </c>
      <c r="H34" s="65" t="n"/>
      <c r="I34" s="66" t="n"/>
      <c r="J34" s="67">
        <f>VLOOKUP(C34,Recipes!$A$2:$N$4,10,FALSE())</f>
        <v/>
      </c>
      <c r="K34" s="68">
        <f>VLOOKUP(C34,Recipes!$A$2:$N$4,12,FALSE())</f>
        <v/>
      </c>
      <c r="L34" s="67">
        <f>J34-3*K34</f>
        <v/>
      </c>
      <c r="M34" s="67">
        <f>J34+3*K34</f>
        <v/>
      </c>
      <c r="N34" s="61">
        <f>IF(G34="","",IF(AND(G34&gt;=L34,G34&lt;=M34),"OK","NG"))</f>
        <v/>
      </c>
      <c r="O34" s="69">
        <f>IF(N34="","",IF(N34=D34,1,0))</f>
        <v/>
      </c>
      <c r="P34" s="67">
        <f>IF(G34="","",J34-G34)</f>
        <v/>
      </c>
      <c r="Q34" s="67">
        <f>IF(G34="","",ABS(P34-Components!$D$2)/Components!$E$2)</f>
        <v/>
      </c>
      <c r="R34" s="67">
        <f>IF(G34="","",ABS(P34-Components!$D$3)/Components!$E$3)</f>
        <v/>
      </c>
      <c r="S34" s="67">
        <f>IF(G34="","",ABS(P34-Components!$D$4)/Components!$E$4)</f>
        <v/>
      </c>
      <c r="T34" s="67">
        <f>IF(G34="","",ABS(P34-Components!$D$5)/Components!$E$5)</f>
        <v/>
      </c>
      <c r="U34" s="67">
        <f>IF(G34="","",ABS(P34-Components!$D$6)/Components!$E$6)</f>
        <v/>
      </c>
      <c r="V34" s="67">
        <f>IF(G34="","",ABS(P34-Components!$D$7)/Components!$E$7)</f>
        <v/>
      </c>
      <c r="W34" s="61">
        <f>IF(G34="","",IF(N34="OK","NONE",INDEX({"S1","S2","W1","W2","N1","N2"},MATCH(MIN(Q34:V34),Q34:V34,0))))</f>
        <v/>
      </c>
      <c r="X34" s="69">
        <f>IF(G34="","",IF(W34=E34,1,0))</f>
        <v/>
      </c>
    </row>
    <row r="35">
      <c r="A35" s="61" t="n">
        <v>8</v>
      </c>
      <c r="B35" s="62" t="n">
        <v>54</v>
      </c>
      <c r="C35" s="61" t="inlineStr">
        <is>
          <t>R3</t>
        </is>
      </c>
      <c r="D35" s="74" t="inlineStr">
        <is>
          <t>NG</t>
        </is>
      </c>
      <c r="E35" s="61" t="inlineStr">
        <is>
          <t>S2</t>
        </is>
      </c>
      <c r="F35" s="61" t="inlineStr">
        <is>
          <t>K008</t>
        </is>
      </c>
      <c r="G35" s="64" t="n">
        <v>5.86</v>
      </c>
      <c r="H35" s="65" t="n"/>
      <c r="I35" s="66" t="n"/>
      <c r="J35" s="67">
        <f>VLOOKUP(C35,Recipes!$A$2:$N$4,10,FALSE())</f>
        <v/>
      </c>
      <c r="K35" s="68">
        <f>VLOOKUP(C35,Recipes!$A$2:$N$4,12,FALSE())</f>
        <v/>
      </c>
      <c r="L35" s="67">
        <f>J35-3*K35</f>
        <v/>
      </c>
      <c r="M35" s="67">
        <f>J35+3*K35</f>
        <v/>
      </c>
      <c r="N35" s="61">
        <f>IF(G35="","",IF(AND(G35&gt;=L35,G35&lt;=M35),"OK","NG"))</f>
        <v/>
      </c>
      <c r="O35" s="69">
        <f>IF(N35="","",IF(N35=D35,1,0))</f>
        <v/>
      </c>
      <c r="P35" s="67">
        <f>IF(G35="","",J35-G35)</f>
        <v/>
      </c>
      <c r="Q35" s="67">
        <f>IF(G35="","",ABS(P35-Components!$D$2)/Components!$E$2)</f>
        <v/>
      </c>
      <c r="R35" s="67">
        <f>IF(G35="","",ABS(P35-Components!$D$3)/Components!$E$3)</f>
        <v/>
      </c>
      <c r="S35" s="67">
        <f>IF(G35="","",ABS(P35-Components!$D$4)/Components!$E$4)</f>
        <v/>
      </c>
      <c r="T35" s="67">
        <f>IF(G35="","",ABS(P35-Components!$D$5)/Components!$E$5)</f>
        <v/>
      </c>
      <c r="U35" s="67">
        <f>IF(G35="","",ABS(P35-Components!$D$6)/Components!$E$6)</f>
        <v/>
      </c>
      <c r="V35" s="67">
        <f>IF(G35="","",ABS(P35-Components!$D$7)/Components!$E$7)</f>
        <v/>
      </c>
      <c r="W35" s="61">
        <f>IF(G35="","",IF(N35="OK","NONE",INDEX({"S1","S2","W1","W2","N1","N2"},MATCH(MIN(Q35:V35),Q35:V35,0))))</f>
        <v/>
      </c>
      <c r="X35" s="69">
        <f>IF(G35="","",IF(W35=E35,1,0))</f>
        <v/>
      </c>
    </row>
    <row r="36">
      <c r="A36" s="61" t="n">
        <v>9</v>
      </c>
      <c r="B36" s="62" t="n">
        <v>36</v>
      </c>
      <c r="C36" s="61" t="inlineStr">
        <is>
          <t>R3</t>
        </is>
      </c>
      <c r="D36" s="74" t="inlineStr">
        <is>
          <t>NG</t>
        </is>
      </c>
      <c r="E36" s="61" t="inlineStr">
        <is>
          <t>S2</t>
        </is>
      </c>
      <c r="F36" s="61" t="inlineStr">
        <is>
          <t>K009</t>
        </is>
      </c>
      <c r="G36" s="64" t="n">
        <v>5.94</v>
      </c>
      <c r="H36" s="65" t="n"/>
      <c r="I36" s="66" t="n"/>
      <c r="J36" s="67">
        <f>VLOOKUP(C36,Recipes!$A$2:$N$4,10,FALSE())</f>
        <v/>
      </c>
      <c r="K36" s="68">
        <f>VLOOKUP(C36,Recipes!$A$2:$N$4,12,FALSE())</f>
        <v/>
      </c>
      <c r="L36" s="67">
        <f>J36-3*K36</f>
        <v/>
      </c>
      <c r="M36" s="67">
        <f>J36+3*K36</f>
        <v/>
      </c>
      <c r="N36" s="61">
        <f>IF(G36="","",IF(AND(G36&gt;=L36,G36&lt;=M36),"OK","NG"))</f>
        <v/>
      </c>
      <c r="O36" s="69">
        <f>IF(N36="","",IF(N36=D36,1,0))</f>
        <v/>
      </c>
      <c r="P36" s="67">
        <f>IF(G36="","",J36-G36)</f>
        <v/>
      </c>
      <c r="Q36" s="67">
        <f>IF(G36="","",ABS(P36-Components!$D$2)/Components!$E$2)</f>
        <v/>
      </c>
      <c r="R36" s="67">
        <f>IF(G36="","",ABS(P36-Components!$D$3)/Components!$E$3)</f>
        <v/>
      </c>
      <c r="S36" s="67">
        <f>IF(G36="","",ABS(P36-Components!$D$4)/Components!$E$4)</f>
        <v/>
      </c>
      <c r="T36" s="67">
        <f>IF(G36="","",ABS(P36-Components!$D$5)/Components!$E$5)</f>
        <v/>
      </c>
      <c r="U36" s="67">
        <f>IF(G36="","",ABS(P36-Components!$D$6)/Components!$E$6)</f>
        <v/>
      </c>
      <c r="V36" s="67">
        <f>IF(G36="","",ABS(P36-Components!$D$7)/Components!$E$7)</f>
        <v/>
      </c>
      <c r="W36" s="61">
        <f>IF(G36="","",IF(N36="OK","NONE",INDEX({"S1","S2","W1","W2","N1","N2"},MATCH(MIN(Q36:V36),Q36:V36,0))))</f>
        <v/>
      </c>
      <c r="X36" s="69">
        <f>IF(G36="","",IF(W36=E36,1,0))</f>
        <v/>
      </c>
    </row>
    <row r="37">
      <c r="A37" s="61" t="n">
        <v>9</v>
      </c>
      <c r="B37" s="62" t="n">
        <v>36</v>
      </c>
      <c r="C37" s="61" t="inlineStr">
        <is>
          <t>R3</t>
        </is>
      </c>
      <c r="D37" s="74" t="inlineStr">
        <is>
          <t>NG</t>
        </is>
      </c>
      <c r="E37" s="61" t="inlineStr">
        <is>
          <t>S2</t>
        </is>
      </c>
      <c r="F37" s="61" t="inlineStr">
        <is>
          <t>K009</t>
        </is>
      </c>
      <c r="G37" s="64" t="n">
        <v>5.9</v>
      </c>
      <c r="H37" s="65" t="n"/>
      <c r="I37" s="66" t="n"/>
      <c r="J37" s="67">
        <f>VLOOKUP(C37,Recipes!$A$2:$N$4,10,FALSE())</f>
        <v/>
      </c>
      <c r="K37" s="68">
        <f>VLOOKUP(C37,Recipes!$A$2:$N$4,12,FALSE())</f>
        <v/>
      </c>
      <c r="L37" s="67">
        <f>J37-3*K37</f>
        <v/>
      </c>
      <c r="M37" s="67">
        <f>J37+3*K37</f>
        <v/>
      </c>
      <c r="N37" s="61">
        <f>IF(G37="","",IF(AND(G37&gt;=L37,G37&lt;=M37),"OK","NG"))</f>
        <v/>
      </c>
      <c r="O37" s="69">
        <f>IF(N37="","",IF(N37=D37,1,0))</f>
        <v/>
      </c>
      <c r="P37" s="67">
        <f>IF(G37="","",J37-G37)</f>
        <v/>
      </c>
      <c r="Q37" s="67">
        <f>IF(G37="","",ABS(P37-Components!$D$2)/Components!$E$2)</f>
        <v/>
      </c>
      <c r="R37" s="67">
        <f>IF(G37="","",ABS(P37-Components!$D$3)/Components!$E$3)</f>
        <v/>
      </c>
      <c r="S37" s="67">
        <f>IF(G37="","",ABS(P37-Components!$D$4)/Components!$E$4)</f>
        <v/>
      </c>
      <c r="T37" s="67">
        <f>IF(G37="","",ABS(P37-Components!$D$5)/Components!$E$5)</f>
        <v/>
      </c>
      <c r="U37" s="67">
        <f>IF(G37="","",ABS(P37-Components!$D$6)/Components!$E$6)</f>
        <v/>
      </c>
      <c r="V37" s="67">
        <f>IF(G37="","",ABS(P37-Components!$D$7)/Components!$E$7)</f>
        <v/>
      </c>
      <c r="W37" s="61">
        <f>IF(G37="","",IF(N37="OK","NONE",INDEX({"S1","S2","W1","W2","N1","N2"},MATCH(MIN(Q37:V37),Q37:V37,0))))</f>
        <v/>
      </c>
      <c r="X37" s="69">
        <f>IF(G37="","",IF(W37=E37,1,0))</f>
        <v/>
      </c>
    </row>
    <row r="38">
      <c r="A38" s="61" t="n">
        <v>9</v>
      </c>
      <c r="B38" s="62" t="n">
        <v>36</v>
      </c>
      <c r="C38" s="61" t="inlineStr">
        <is>
          <t>R3</t>
        </is>
      </c>
      <c r="D38" s="74" t="inlineStr">
        <is>
          <t>NG</t>
        </is>
      </c>
      <c r="E38" s="61" t="inlineStr">
        <is>
          <t>S2</t>
        </is>
      </c>
      <c r="F38" s="61" t="inlineStr">
        <is>
          <t>K009</t>
        </is>
      </c>
      <c r="G38" s="64" t="n">
        <v>5.82</v>
      </c>
      <c r="H38" s="65" t="n"/>
      <c r="I38" s="66" t="n"/>
      <c r="J38" s="67">
        <f>VLOOKUP(C38,Recipes!$A$2:$N$4,10,FALSE())</f>
        <v/>
      </c>
      <c r="K38" s="68">
        <f>VLOOKUP(C38,Recipes!$A$2:$N$4,12,FALSE())</f>
        <v/>
      </c>
      <c r="L38" s="67">
        <f>J38-3*K38</f>
        <v/>
      </c>
      <c r="M38" s="67">
        <f>J38+3*K38</f>
        <v/>
      </c>
      <c r="N38" s="61">
        <f>IF(G38="","",IF(AND(G38&gt;=L38,G38&lt;=M38),"OK","NG"))</f>
        <v/>
      </c>
      <c r="O38" s="69">
        <f>IF(N38="","",IF(N38=D38,1,0))</f>
        <v/>
      </c>
      <c r="P38" s="67">
        <f>IF(G38="","",J38-G38)</f>
        <v/>
      </c>
      <c r="Q38" s="67">
        <f>IF(G38="","",ABS(P38-Components!$D$2)/Components!$E$2)</f>
        <v/>
      </c>
      <c r="R38" s="67">
        <f>IF(G38="","",ABS(P38-Components!$D$3)/Components!$E$3)</f>
        <v/>
      </c>
      <c r="S38" s="67">
        <f>IF(G38="","",ABS(P38-Components!$D$4)/Components!$E$4)</f>
        <v/>
      </c>
      <c r="T38" s="67">
        <f>IF(G38="","",ABS(P38-Components!$D$5)/Components!$E$5)</f>
        <v/>
      </c>
      <c r="U38" s="67">
        <f>IF(G38="","",ABS(P38-Components!$D$6)/Components!$E$6)</f>
        <v/>
      </c>
      <c r="V38" s="67">
        <f>IF(G38="","",ABS(P38-Components!$D$7)/Components!$E$7)</f>
        <v/>
      </c>
      <c r="W38" s="61">
        <f>IF(G38="","",IF(N38="OK","NONE",INDEX({"S1","S2","W1","W2","N1","N2"},MATCH(MIN(Q38:V38),Q38:V38,0))))</f>
        <v/>
      </c>
      <c r="X38" s="69">
        <f>IF(G38="","",IF(W38=E38,1,0))</f>
        <v/>
      </c>
    </row>
    <row r="39">
      <c r="A39" s="61" t="n">
        <v>9</v>
      </c>
      <c r="B39" s="62" t="n">
        <v>36</v>
      </c>
      <c r="C39" s="61" t="inlineStr">
        <is>
          <t>R3</t>
        </is>
      </c>
      <c r="D39" s="74" t="inlineStr">
        <is>
          <t>NG</t>
        </is>
      </c>
      <c r="E39" s="61" t="inlineStr">
        <is>
          <t>S2</t>
        </is>
      </c>
      <c r="F39" s="61" t="inlineStr">
        <is>
          <t>K009</t>
        </is>
      </c>
      <c r="G39" s="64" t="n">
        <v>5.87</v>
      </c>
      <c r="H39" s="65" t="n"/>
      <c r="I39" s="66" t="n"/>
      <c r="J39" s="67">
        <f>VLOOKUP(C39,Recipes!$A$2:$N$4,10,FALSE())</f>
        <v/>
      </c>
      <c r="K39" s="68">
        <f>VLOOKUP(C39,Recipes!$A$2:$N$4,12,FALSE())</f>
        <v/>
      </c>
      <c r="L39" s="67">
        <f>J39-3*K39</f>
        <v/>
      </c>
      <c r="M39" s="67">
        <f>J39+3*K39</f>
        <v/>
      </c>
      <c r="N39" s="61">
        <f>IF(G39="","",IF(AND(G39&gt;=L39,G39&lt;=M39),"OK","NG"))</f>
        <v/>
      </c>
      <c r="O39" s="69">
        <f>IF(N39="","",IF(N39=D39,1,0))</f>
        <v/>
      </c>
      <c r="P39" s="67">
        <f>IF(G39="","",J39-G39)</f>
        <v/>
      </c>
      <c r="Q39" s="67">
        <f>IF(G39="","",ABS(P39-Components!$D$2)/Components!$E$2)</f>
        <v/>
      </c>
      <c r="R39" s="67">
        <f>IF(G39="","",ABS(P39-Components!$D$3)/Components!$E$3)</f>
        <v/>
      </c>
      <c r="S39" s="67">
        <f>IF(G39="","",ABS(P39-Components!$D$4)/Components!$E$4)</f>
        <v/>
      </c>
      <c r="T39" s="67">
        <f>IF(G39="","",ABS(P39-Components!$D$5)/Components!$E$5)</f>
        <v/>
      </c>
      <c r="U39" s="67">
        <f>IF(G39="","",ABS(P39-Components!$D$6)/Components!$E$6)</f>
        <v/>
      </c>
      <c r="V39" s="67">
        <f>IF(G39="","",ABS(P39-Components!$D$7)/Components!$E$7)</f>
        <v/>
      </c>
      <c r="W39" s="61">
        <f>IF(G39="","",IF(N39="OK","NONE",INDEX({"S1","S2","W1","W2","N1","N2"},MATCH(MIN(Q39:V39),Q39:V39,0))))</f>
        <v/>
      </c>
      <c r="X39" s="69">
        <f>IF(G39="","",IF(W39=E39,1,0))</f>
        <v/>
      </c>
    </row>
    <row r="40">
      <c r="A40" s="61" t="n">
        <v>9</v>
      </c>
      <c r="B40" s="62" t="n">
        <v>36</v>
      </c>
      <c r="C40" s="61" t="inlineStr">
        <is>
          <t>R3</t>
        </is>
      </c>
      <c r="D40" s="74" t="inlineStr">
        <is>
          <t>NG</t>
        </is>
      </c>
      <c r="E40" s="61" t="inlineStr">
        <is>
          <t>S2</t>
        </is>
      </c>
      <c r="F40" s="61" t="inlineStr">
        <is>
          <t>K009</t>
        </is>
      </c>
      <c r="G40" s="64" t="n">
        <v>5.89</v>
      </c>
      <c r="H40" s="65" t="n"/>
      <c r="I40" s="66" t="n"/>
      <c r="J40" s="67">
        <f>VLOOKUP(C40,Recipes!$A$2:$N$4,10,FALSE())</f>
        <v/>
      </c>
      <c r="K40" s="68">
        <f>VLOOKUP(C40,Recipes!$A$2:$N$4,12,FALSE())</f>
        <v/>
      </c>
      <c r="L40" s="67">
        <f>J40-3*K40</f>
        <v/>
      </c>
      <c r="M40" s="67">
        <f>J40+3*K40</f>
        <v/>
      </c>
      <c r="N40" s="61">
        <f>IF(G40="","",IF(AND(G40&gt;=L40,G40&lt;=M40),"OK","NG"))</f>
        <v/>
      </c>
      <c r="O40" s="69">
        <f>IF(N40="","",IF(N40=D40,1,0))</f>
        <v/>
      </c>
      <c r="P40" s="67">
        <f>IF(G40="","",J40-G40)</f>
        <v/>
      </c>
      <c r="Q40" s="67">
        <f>IF(G40="","",ABS(P40-Components!$D$2)/Components!$E$2)</f>
        <v/>
      </c>
      <c r="R40" s="67">
        <f>IF(G40="","",ABS(P40-Components!$D$3)/Components!$E$3)</f>
        <v/>
      </c>
      <c r="S40" s="67">
        <f>IF(G40="","",ABS(P40-Components!$D$4)/Components!$E$4)</f>
        <v/>
      </c>
      <c r="T40" s="67">
        <f>IF(G40="","",ABS(P40-Components!$D$5)/Components!$E$5)</f>
        <v/>
      </c>
      <c r="U40" s="67">
        <f>IF(G40="","",ABS(P40-Components!$D$6)/Components!$E$6)</f>
        <v/>
      </c>
      <c r="V40" s="67">
        <f>IF(G40="","",ABS(P40-Components!$D$7)/Components!$E$7)</f>
        <v/>
      </c>
      <c r="W40" s="61">
        <f>IF(G40="","",IF(N40="OK","NONE",INDEX({"S1","S2","W1","W2","N1","N2"},MATCH(MIN(Q40:V40),Q40:V40,0))))</f>
        <v/>
      </c>
      <c r="X40" s="69">
        <f>IF(G40="","",IF(W40=E40,1,0))</f>
        <v/>
      </c>
    </row>
    <row r="41">
      <c r="A41" s="61" t="n">
        <v>9</v>
      </c>
      <c r="B41" s="62" t="n">
        <v>36</v>
      </c>
      <c r="C41" s="61" t="inlineStr">
        <is>
          <t>R3</t>
        </is>
      </c>
      <c r="D41" s="74" t="inlineStr">
        <is>
          <t>NG</t>
        </is>
      </c>
      <c r="E41" s="61" t="inlineStr">
        <is>
          <t>S2</t>
        </is>
      </c>
      <c r="F41" s="61" t="inlineStr">
        <is>
          <t>K009</t>
        </is>
      </c>
      <c r="G41" s="64" t="n">
        <v>5.91</v>
      </c>
      <c r="H41" s="65" t="n"/>
      <c r="I41" s="66" t="n"/>
      <c r="J41" s="67">
        <f>VLOOKUP(C41,Recipes!$A$2:$N$4,10,FALSE())</f>
        <v/>
      </c>
      <c r="K41" s="68">
        <f>VLOOKUP(C41,Recipes!$A$2:$N$4,12,FALSE())</f>
        <v/>
      </c>
      <c r="L41" s="67">
        <f>J41-3*K41</f>
        <v/>
      </c>
      <c r="M41" s="67">
        <f>J41+3*K41</f>
        <v/>
      </c>
      <c r="N41" s="61">
        <f>IF(G41="","",IF(AND(G41&gt;=L41,G41&lt;=M41),"OK","NG"))</f>
        <v/>
      </c>
      <c r="O41" s="69">
        <f>IF(N41="","",IF(N41=D41,1,0))</f>
        <v/>
      </c>
      <c r="P41" s="67">
        <f>IF(G41="","",J41-G41)</f>
        <v/>
      </c>
      <c r="Q41" s="67">
        <f>IF(G41="","",ABS(P41-Components!$D$2)/Components!$E$2)</f>
        <v/>
      </c>
      <c r="R41" s="67">
        <f>IF(G41="","",ABS(P41-Components!$D$3)/Components!$E$3)</f>
        <v/>
      </c>
      <c r="S41" s="67">
        <f>IF(G41="","",ABS(P41-Components!$D$4)/Components!$E$4)</f>
        <v/>
      </c>
      <c r="T41" s="67">
        <f>IF(G41="","",ABS(P41-Components!$D$5)/Components!$E$5)</f>
        <v/>
      </c>
      <c r="U41" s="67">
        <f>IF(G41="","",ABS(P41-Components!$D$6)/Components!$E$6)</f>
        <v/>
      </c>
      <c r="V41" s="67">
        <f>IF(G41="","",ABS(P41-Components!$D$7)/Components!$E$7)</f>
        <v/>
      </c>
      <c r="W41" s="61">
        <f>IF(G41="","",IF(N41="OK","NONE",INDEX({"S1","S2","W1","W2","N1","N2"},MATCH(MIN(Q41:V41),Q41:V41,0))))</f>
        <v/>
      </c>
      <c r="X41" s="69">
        <f>IF(G41="","",IF(W41=E41,1,0))</f>
        <v/>
      </c>
    </row>
    <row r="42">
      <c r="A42" s="61" t="n">
        <v>9</v>
      </c>
      <c r="B42" s="62" t="n">
        <v>36</v>
      </c>
      <c r="C42" s="61" t="inlineStr">
        <is>
          <t>R3</t>
        </is>
      </c>
      <c r="D42" s="74" t="inlineStr">
        <is>
          <t>NG</t>
        </is>
      </c>
      <c r="E42" s="61" t="inlineStr">
        <is>
          <t>S2</t>
        </is>
      </c>
      <c r="F42" s="61" t="inlineStr">
        <is>
          <t>K009</t>
        </is>
      </c>
      <c r="G42" s="64" t="n">
        <v>5.94</v>
      </c>
      <c r="H42" s="65" t="n"/>
      <c r="I42" s="66" t="n"/>
      <c r="J42" s="67">
        <f>VLOOKUP(C42,Recipes!$A$2:$N$4,10,FALSE())</f>
        <v/>
      </c>
      <c r="K42" s="68">
        <f>VLOOKUP(C42,Recipes!$A$2:$N$4,12,FALSE())</f>
        <v/>
      </c>
      <c r="L42" s="67">
        <f>J42-3*K42</f>
        <v/>
      </c>
      <c r="M42" s="67">
        <f>J42+3*K42</f>
        <v/>
      </c>
      <c r="N42" s="61">
        <f>IF(G42="","",IF(AND(G42&gt;=L42,G42&lt;=M42),"OK","NG"))</f>
        <v/>
      </c>
      <c r="O42" s="69">
        <f>IF(N42="","",IF(N42=D42,1,0))</f>
        <v/>
      </c>
      <c r="P42" s="67">
        <f>IF(G42="","",J42-G42)</f>
        <v/>
      </c>
      <c r="Q42" s="67">
        <f>IF(G42="","",ABS(P42-Components!$D$2)/Components!$E$2)</f>
        <v/>
      </c>
      <c r="R42" s="67">
        <f>IF(G42="","",ABS(P42-Components!$D$3)/Components!$E$3)</f>
        <v/>
      </c>
      <c r="S42" s="67">
        <f>IF(G42="","",ABS(P42-Components!$D$4)/Components!$E$4)</f>
        <v/>
      </c>
      <c r="T42" s="67">
        <f>IF(G42="","",ABS(P42-Components!$D$5)/Components!$E$5)</f>
        <v/>
      </c>
      <c r="U42" s="67">
        <f>IF(G42="","",ABS(P42-Components!$D$6)/Components!$E$6)</f>
        <v/>
      </c>
      <c r="V42" s="67">
        <f>IF(G42="","",ABS(P42-Components!$D$7)/Components!$E$7)</f>
        <v/>
      </c>
      <c r="W42" s="61">
        <f>IF(G42="","",IF(N42="OK","NONE",INDEX({"S1","S2","W1","W2","N1","N2"},MATCH(MIN(Q42:V42),Q42:V42,0))))</f>
        <v/>
      </c>
      <c r="X42" s="69">
        <f>IF(G42="","",IF(W42=E42,1,0))</f>
        <v/>
      </c>
    </row>
    <row r="43">
      <c r="A43" s="61" t="n">
        <v>9</v>
      </c>
      <c r="B43" s="62" t="n">
        <v>36</v>
      </c>
      <c r="C43" s="61" t="inlineStr">
        <is>
          <t>R3</t>
        </is>
      </c>
      <c r="D43" s="74" t="inlineStr">
        <is>
          <t>NG</t>
        </is>
      </c>
      <c r="E43" s="61" t="inlineStr">
        <is>
          <t>S2</t>
        </is>
      </c>
      <c r="F43" s="61" t="inlineStr">
        <is>
          <t>K009</t>
        </is>
      </c>
      <c r="G43" s="64" t="n">
        <v>5.91</v>
      </c>
      <c r="H43" s="65" t="n"/>
      <c r="I43" s="66" t="n"/>
      <c r="J43" s="67">
        <f>VLOOKUP(C43,Recipes!$A$2:$N$4,10,FALSE())</f>
        <v/>
      </c>
      <c r="K43" s="68">
        <f>VLOOKUP(C43,Recipes!$A$2:$N$4,12,FALSE())</f>
        <v/>
      </c>
      <c r="L43" s="67">
        <f>J43-3*K43</f>
        <v/>
      </c>
      <c r="M43" s="67">
        <f>J43+3*K43</f>
        <v/>
      </c>
      <c r="N43" s="61">
        <f>IF(G43="","",IF(AND(G43&gt;=L43,G43&lt;=M43),"OK","NG"))</f>
        <v/>
      </c>
      <c r="O43" s="69">
        <f>IF(N43="","",IF(N43=D43,1,0))</f>
        <v/>
      </c>
      <c r="P43" s="67">
        <f>IF(G43="","",J43-G43)</f>
        <v/>
      </c>
      <c r="Q43" s="67">
        <f>IF(G43="","",ABS(P43-Components!$D$2)/Components!$E$2)</f>
        <v/>
      </c>
      <c r="R43" s="67">
        <f>IF(G43="","",ABS(P43-Components!$D$3)/Components!$E$3)</f>
        <v/>
      </c>
      <c r="S43" s="67">
        <f>IF(G43="","",ABS(P43-Components!$D$4)/Components!$E$4)</f>
        <v/>
      </c>
      <c r="T43" s="67">
        <f>IF(G43="","",ABS(P43-Components!$D$5)/Components!$E$5)</f>
        <v/>
      </c>
      <c r="U43" s="67">
        <f>IF(G43="","",ABS(P43-Components!$D$6)/Components!$E$6)</f>
        <v/>
      </c>
      <c r="V43" s="67">
        <f>IF(G43="","",ABS(P43-Components!$D$7)/Components!$E$7)</f>
        <v/>
      </c>
      <c r="W43" s="61">
        <f>IF(G43="","",IF(N43="OK","NONE",INDEX({"S1","S2","W1","W2","N1","N2"},MATCH(MIN(Q43:V43),Q43:V43,0))))</f>
        <v/>
      </c>
      <c r="X43" s="69">
        <f>IF(G43="","",IF(W43=E43,1,0))</f>
        <v/>
      </c>
    </row>
    <row r="44">
      <c r="A44" s="61" t="n">
        <v>9</v>
      </c>
      <c r="B44" s="62" t="n">
        <v>36</v>
      </c>
      <c r="C44" s="61" t="inlineStr">
        <is>
          <t>R3</t>
        </is>
      </c>
      <c r="D44" s="74" t="inlineStr">
        <is>
          <t>NG</t>
        </is>
      </c>
      <c r="E44" s="61" t="inlineStr">
        <is>
          <t>S2</t>
        </is>
      </c>
      <c r="F44" s="61" t="inlineStr">
        <is>
          <t>K009</t>
        </is>
      </c>
      <c r="G44" s="64" t="n">
        <v>5.96</v>
      </c>
      <c r="H44" s="65" t="n"/>
      <c r="I44" s="66" t="n"/>
      <c r="J44" s="67">
        <f>VLOOKUP(C44,Recipes!$A$2:$N$4,10,FALSE())</f>
        <v/>
      </c>
      <c r="K44" s="68">
        <f>VLOOKUP(C44,Recipes!$A$2:$N$4,12,FALSE())</f>
        <v/>
      </c>
      <c r="L44" s="67">
        <f>J44-3*K44</f>
        <v/>
      </c>
      <c r="M44" s="67">
        <f>J44+3*K44</f>
        <v/>
      </c>
      <c r="N44" s="61">
        <f>IF(G44="","",IF(AND(G44&gt;=L44,G44&lt;=M44),"OK","NG"))</f>
        <v/>
      </c>
      <c r="O44" s="69">
        <f>IF(N44="","",IF(N44=D44,1,0))</f>
        <v/>
      </c>
      <c r="P44" s="67">
        <f>IF(G44="","",J44-G44)</f>
        <v/>
      </c>
      <c r="Q44" s="67">
        <f>IF(G44="","",ABS(P44-Components!$D$2)/Components!$E$2)</f>
        <v/>
      </c>
      <c r="R44" s="67">
        <f>IF(G44="","",ABS(P44-Components!$D$3)/Components!$E$3)</f>
        <v/>
      </c>
      <c r="S44" s="67">
        <f>IF(G44="","",ABS(P44-Components!$D$4)/Components!$E$4)</f>
        <v/>
      </c>
      <c r="T44" s="67">
        <f>IF(G44="","",ABS(P44-Components!$D$5)/Components!$E$5)</f>
        <v/>
      </c>
      <c r="U44" s="67">
        <f>IF(G44="","",ABS(P44-Components!$D$6)/Components!$E$6)</f>
        <v/>
      </c>
      <c r="V44" s="67">
        <f>IF(G44="","",ABS(P44-Components!$D$7)/Components!$E$7)</f>
        <v/>
      </c>
      <c r="W44" s="61">
        <f>IF(G44="","",IF(N44="OK","NONE",INDEX({"S1","S2","W1","W2","N1","N2"},MATCH(MIN(Q44:V44),Q44:V44,0))))</f>
        <v/>
      </c>
      <c r="X44" s="69">
        <f>IF(G44="","",IF(W44=E44,1,0))</f>
        <v/>
      </c>
    </row>
    <row r="45">
      <c r="A45" s="61" t="n">
        <v>9</v>
      </c>
      <c r="B45" s="62" t="n">
        <v>36</v>
      </c>
      <c r="C45" s="61" t="inlineStr">
        <is>
          <t>R3</t>
        </is>
      </c>
      <c r="D45" s="74" t="inlineStr">
        <is>
          <t>NG</t>
        </is>
      </c>
      <c r="E45" s="61" t="inlineStr">
        <is>
          <t>S2</t>
        </is>
      </c>
      <c r="F45" s="61" t="inlineStr">
        <is>
          <t>K009</t>
        </is>
      </c>
      <c r="G45" s="64" t="n">
        <v>5.98</v>
      </c>
      <c r="H45" s="65" t="n"/>
      <c r="I45" s="66" t="n"/>
      <c r="J45" s="67">
        <f>VLOOKUP(C45,Recipes!$A$2:$N$4,10,FALSE())</f>
        <v/>
      </c>
      <c r="K45" s="68">
        <f>VLOOKUP(C45,Recipes!$A$2:$N$4,12,FALSE())</f>
        <v/>
      </c>
      <c r="L45" s="67">
        <f>J45-3*K45</f>
        <v/>
      </c>
      <c r="M45" s="67">
        <f>J45+3*K45</f>
        <v/>
      </c>
      <c r="N45" s="61">
        <f>IF(G45="","",IF(AND(G45&gt;=L45,G45&lt;=M45),"OK","NG"))</f>
        <v/>
      </c>
      <c r="O45" s="69">
        <f>IF(N45="","",IF(N45=D45,1,0))</f>
        <v/>
      </c>
      <c r="P45" s="67">
        <f>IF(G45="","",J45-G45)</f>
        <v/>
      </c>
      <c r="Q45" s="67">
        <f>IF(G45="","",ABS(P45-Components!$D$2)/Components!$E$2)</f>
        <v/>
      </c>
      <c r="R45" s="67">
        <f>IF(G45="","",ABS(P45-Components!$D$3)/Components!$E$3)</f>
        <v/>
      </c>
      <c r="S45" s="67">
        <f>IF(G45="","",ABS(P45-Components!$D$4)/Components!$E$4)</f>
        <v/>
      </c>
      <c r="T45" s="67">
        <f>IF(G45="","",ABS(P45-Components!$D$5)/Components!$E$5)</f>
        <v/>
      </c>
      <c r="U45" s="67">
        <f>IF(G45="","",ABS(P45-Components!$D$6)/Components!$E$6)</f>
        <v/>
      </c>
      <c r="V45" s="67">
        <f>IF(G45="","",ABS(P45-Components!$D$7)/Components!$E$7)</f>
        <v/>
      </c>
      <c r="W45" s="61">
        <f>IF(G45="","",IF(N45="OK","NONE",INDEX({"S1","S2","W1","W2","N1","N2"},MATCH(MIN(Q45:V45),Q45:V45,0))))</f>
        <v/>
      </c>
      <c r="X45" s="69">
        <f>IF(G45="","",IF(W45=E45,1,0))</f>
        <v/>
      </c>
    </row>
    <row r="46">
      <c r="A46" s="61" t="n">
        <v>9</v>
      </c>
      <c r="B46" s="62" t="n">
        <v>36</v>
      </c>
      <c r="C46" s="61" t="inlineStr">
        <is>
          <t>R3</t>
        </is>
      </c>
      <c r="D46" s="74" t="inlineStr">
        <is>
          <t>NG</t>
        </is>
      </c>
      <c r="E46" s="61" t="inlineStr">
        <is>
          <t>S2</t>
        </is>
      </c>
      <c r="F46" s="61" t="inlineStr">
        <is>
          <t>K009</t>
        </is>
      </c>
      <c r="G46" s="64" t="n">
        <v>5.94</v>
      </c>
      <c r="H46" s="65" t="n"/>
      <c r="I46" s="66" t="n"/>
      <c r="J46" s="67">
        <f>VLOOKUP(C46,Recipes!$A$2:$N$4,10,FALSE())</f>
        <v/>
      </c>
      <c r="K46" s="68">
        <f>VLOOKUP(C46,Recipes!$A$2:$N$4,12,FALSE())</f>
        <v/>
      </c>
      <c r="L46" s="67">
        <f>J46-3*K46</f>
        <v/>
      </c>
      <c r="M46" s="67">
        <f>J46+3*K46</f>
        <v/>
      </c>
      <c r="N46" s="61">
        <f>IF(G46="","",IF(AND(G46&gt;=L46,G46&lt;=M46),"OK","NG"))</f>
        <v/>
      </c>
      <c r="O46" s="69">
        <f>IF(N46="","",IF(N46=D46,1,0))</f>
        <v/>
      </c>
      <c r="P46" s="67">
        <f>IF(G46="","",J46-G46)</f>
        <v/>
      </c>
      <c r="Q46" s="67">
        <f>IF(G46="","",ABS(P46-Components!$D$2)/Components!$E$2)</f>
        <v/>
      </c>
      <c r="R46" s="67">
        <f>IF(G46="","",ABS(P46-Components!$D$3)/Components!$E$3)</f>
        <v/>
      </c>
      <c r="S46" s="67">
        <f>IF(G46="","",ABS(P46-Components!$D$4)/Components!$E$4)</f>
        <v/>
      </c>
      <c r="T46" s="67">
        <f>IF(G46="","",ABS(P46-Components!$D$5)/Components!$E$5)</f>
        <v/>
      </c>
      <c r="U46" s="67">
        <f>IF(G46="","",ABS(P46-Components!$D$6)/Components!$E$6)</f>
        <v/>
      </c>
      <c r="V46" s="67">
        <f>IF(G46="","",ABS(P46-Components!$D$7)/Components!$E$7)</f>
        <v/>
      </c>
      <c r="W46" s="61">
        <f>IF(G46="","",IF(N46="OK","NONE",INDEX({"S1","S2","W1","W2","N1","N2"},MATCH(MIN(Q46:V46),Q46:V46,0))))</f>
        <v/>
      </c>
      <c r="X46" s="69">
        <f>IF(G46="","",IF(W46=E46,1,0))</f>
        <v/>
      </c>
    </row>
    <row r="47">
      <c r="A47" s="61" t="n">
        <v>9</v>
      </c>
      <c r="B47" s="62" t="n">
        <v>36</v>
      </c>
      <c r="C47" s="61" t="inlineStr">
        <is>
          <t>R3</t>
        </is>
      </c>
      <c r="D47" s="74" t="inlineStr">
        <is>
          <t>NG</t>
        </is>
      </c>
      <c r="E47" s="61" t="inlineStr">
        <is>
          <t>S2</t>
        </is>
      </c>
      <c r="F47" s="61" t="inlineStr">
        <is>
          <t>K009</t>
        </is>
      </c>
      <c r="G47" s="64" t="n">
        <v>5.87</v>
      </c>
      <c r="H47" s="65" t="n"/>
      <c r="I47" s="66" t="n"/>
      <c r="J47" s="67">
        <f>VLOOKUP(C47,Recipes!$A$2:$N$4,10,FALSE())</f>
        <v/>
      </c>
      <c r="K47" s="68">
        <f>VLOOKUP(C47,Recipes!$A$2:$N$4,12,FALSE())</f>
        <v/>
      </c>
      <c r="L47" s="67">
        <f>J47-3*K47</f>
        <v/>
      </c>
      <c r="M47" s="67">
        <f>J47+3*K47</f>
        <v/>
      </c>
      <c r="N47" s="61">
        <f>IF(G47="","",IF(AND(G47&gt;=L47,G47&lt;=M47),"OK","NG"))</f>
        <v/>
      </c>
      <c r="O47" s="69">
        <f>IF(N47="","",IF(N47=D47,1,0))</f>
        <v/>
      </c>
      <c r="P47" s="67">
        <f>IF(G47="","",J47-G47)</f>
        <v/>
      </c>
      <c r="Q47" s="67">
        <f>IF(G47="","",ABS(P47-Components!$D$2)/Components!$E$2)</f>
        <v/>
      </c>
      <c r="R47" s="67">
        <f>IF(G47="","",ABS(P47-Components!$D$3)/Components!$E$3)</f>
        <v/>
      </c>
      <c r="S47" s="67">
        <f>IF(G47="","",ABS(P47-Components!$D$4)/Components!$E$4)</f>
        <v/>
      </c>
      <c r="T47" s="67">
        <f>IF(G47="","",ABS(P47-Components!$D$5)/Components!$E$5)</f>
        <v/>
      </c>
      <c r="U47" s="67">
        <f>IF(G47="","",ABS(P47-Components!$D$6)/Components!$E$6)</f>
        <v/>
      </c>
      <c r="V47" s="67">
        <f>IF(G47="","",ABS(P47-Components!$D$7)/Components!$E$7)</f>
        <v/>
      </c>
      <c r="W47" s="61">
        <f>IF(G47="","",IF(N47="OK","NONE",INDEX({"S1","S2","W1","W2","N1","N2"},MATCH(MIN(Q47:V47),Q47:V47,0))))</f>
        <v/>
      </c>
      <c r="X47" s="69">
        <f>IF(G47="","",IF(W47=E47,1,0))</f>
        <v/>
      </c>
    </row>
    <row r="48">
      <c r="A48" s="61" t="n">
        <v>9</v>
      </c>
      <c r="B48" s="62" t="n">
        <v>36</v>
      </c>
      <c r="C48" s="61" t="inlineStr">
        <is>
          <t>R3</t>
        </is>
      </c>
      <c r="D48" s="74" t="inlineStr">
        <is>
          <t>NG</t>
        </is>
      </c>
      <c r="E48" s="61" t="inlineStr">
        <is>
          <t>S2</t>
        </is>
      </c>
      <c r="F48" s="61" t="inlineStr">
        <is>
          <t>K009</t>
        </is>
      </c>
      <c r="G48" s="64" t="n">
        <v>5.95</v>
      </c>
      <c r="H48" s="65" t="n"/>
      <c r="I48" s="66" t="n"/>
      <c r="J48" s="67">
        <f>VLOOKUP(C48,Recipes!$A$2:$N$4,10,FALSE())</f>
        <v/>
      </c>
      <c r="K48" s="68">
        <f>VLOOKUP(C48,Recipes!$A$2:$N$4,12,FALSE())</f>
        <v/>
      </c>
      <c r="L48" s="67">
        <f>J48-3*K48</f>
        <v/>
      </c>
      <c r="M48" s="67">
        <f>J48+3*K48</f>
        <v/>
      </c>
      <c r="N48" s="61">
        <f>IF(G48="","",IF(AND(G48&gt;=L48,G48&lt;=M48),"OK","NG"))</f>
        <v/>
      </c>
      <c r="O48" s="69">
        <f>IF(N48="","",IF(N48=D48,1,0))</f>
        <v/>
      </c>
      <c r="P48" s="67">
        <f>IF(G48="","",J48-G48)</f>
        <v/>
      </c>
      <c r="Q48" s="67">
        <f>IF(G48="","",ABS(P48-Components!$D$2)/Components!$E$2)</f>
        <v/>
      </c>
      <c r="R48" s="67">
        <f>IF(G48="","",ABS(P48-Components!$D$3)/Components!$E$3)</f>
        <v/>
      </c>
      <c r="S48" s="67">
        <f>IF(G48="","",ABS(P48-Components!$D$4)/Components!$E$4)</f>
        <v/>
      </c>
      <c r="T48" s="67">
        <f>IF(G48="","",ABS(P48-Components!$D$5)/Components!$E$5)</f>
        <v/>
      </c>
      <c r="U48" s="67">
        <f>IF(G48="","",ABS(P48-Components!$D$6)/Components!$E$6)</f>
        <v/>
      </c>
      <c r="V48" s="67">
        <f>IF(G48="","",ABS(P48-Components!$D$7)/Components!$E$7)</f>
        <v/>
      </c>
      <c r="W48" s="61">
        <f>IF(G48="","",IF(N48="OK","NONE",INDEX({"S1","S2","W1","W2","N1","N2"},MATCH(MIN(Q48:V48),Q48:V48,0))))</f>
        <v/>
      </c>
      <c r="X48" s="69">
        <f>IF(G48="","",IF(W48=E48,1,0))</f>
        <v/>
      </c>
    </row>
    <row r="49">
      <c r="A49" s="61" t="n">
        <v>9</v>
      </c>
      <c r="B49" s="62" t="n">
        <v>36</v>
      </c>
      <c r="C49" s="61" t="inlineStr">
        <is>
          <t>R3</t>
        </is>
      </c>
      <c r="D49" s="74" t="inlineStr">
        <is>
          <t>NG</t>
        </is>
      </c>
      <c r="E49" s="61" t="inlineStr">
        <is>
          <t>S2</t>
        </is>
      </c>
      <c r="F49" s="61" t="inlineStr">
        <is>
          <t>K009</t>
        </is>
      </c>
      <c r="G49" s="64" t="n">
        <v>5.89</v>
      </c>
      <c r="H49" s="65" t="n"/>
      <c r="I49" s="66" t="n"/>
      <c r="J49" s="67">
        <f>VLOOKUP(C49,Recipes!$A$2:$N$4,10,FALSE())</f>
        <v/>
      </c>
      <c r="K49" s="68">
        <f>VLOOKUP(C49,Recipes!$A$2:$N$4,12,FALSE())</f>
        <v/>
      </c>
      <c r="L49" s="67">
        <f>J49-3*K49</f>
        <v/>
      </c>
      <c r="M49" s="67">
        <f>J49+3*K49</f>
        <v/>
      </c>
      <c r="N49" s="61">
        <f>IF(G49="","",IF(AND(G49&gt;=L49,G49&lt;=M49),"OK","NG"))</f>
        <v/>
      </c>
      <c r="O49" s="69">
        <f>IF(N49="","",IF(N49=D49,1,0))</f>
        <v/>
      </c>
      <c r="P49" s="67">
        <f>IF(G49="","",J49-G49)</f>
        <v/>
      </c>
      <c r="Q49" s="67">
        <f>IF(G49="","",ABS(P49-Components!$D$2)/Components!$E$2)</f>
        <v/>
      </c>
      <c r="R49" s="67">
        <f>IF(G49="","",ABS(P49-Components!$D$3)/Components!$E$3)</f>
        <v/>
      </c>
      <c r="S49" s="67">
        <f>IF(G49="","",ABS(P49-Components!$D$4)/Components!$E$4)</f>
        <v/>
      </c>
      <c r="T49" s="67">
        <f>IF(G49="","",ABS(P49-Components!$D$5)/Components!$E$5)</f>
        <v/>
      </c>
      <c r="U49" s="67">
        <f>IF(G49="","",ABS(P49-Components!$D$6)/Components!$E$6)</f>
        <v/>
      </c>
      <c r="V49" s="67">
        <f>IF(G49="","",ABS(P49-Components!$D$7)/Components!$E$7)</f>
        <v/>
      </c>
      <c r="W49" s="61">
        <f>IF(G49="","",IF(N49="OK","NONE",INDEX({"S1","S2","W1","W2","N1","N2"},MATCH(MIN(Q49:V49),Q49:V49,0))))</f>
        <v/>
      </c>
      <c r="X49" s="69">
        <f>IF(G49="","",IF(W49=E49,1,0))</f>
        <v/>
      </c>
    </row>
    <row r="50">
      <c r="A50" s="61" t="n">
        <v>9</v>
      </c>
      <c r="B50" s="62" t="n">
        <v>36</v>
      </c>
      <c r="C50" s="61" t="inlineStr">
        <is>
          <t>R3</t>
        </is>
      </c>
      <c r="D50" s="74" t="inlineStr">
        <is>
          <t>NG</t>
        </is>
      </c>
      <c r="E50" s="61" t="inlineStr">
        <is>
          <t>S2</t>
        </is>
      </c>
      <c r="F50" s="61" t="inlineStr">
        <is>
          <t>K009</t>
        </is>
      </c>
      <c r="G50" s="64" t="n">
        <v>5.88</v>
      </c>
      <c r="H50" s="65" t="n"/>
      <c r="I50" s="66" t="n"/>
      <c r="J50" s="67">
        <f>VLOOKUP(C50,Recipes!$A$2:$N$4,10,FALSE())</f>
        <v/>
      </c>
      <c r="K50" s="68">
        <f>VLOOKUP(C50,Recipes!$A$2:$N$4,12,FALSE())</f>
        <v/>
      </c>
      <c r="L50" s="67">
        <f>J50-3*K50</f>
        <v/>
      </c>
      <c r="M50" s="67">
        <f>J50+3*K50</f>
        <v/>
      </c>
      <c r="N50" s="61">
        <f>IF(G50="","",IF(AND(G50&gt;=L50,G50&lt;=M50),"OK","NG"))</f>
        <v/>
      </c>
      <c r="O50" s="69">
        <f>IF(N50="","",IF(N50=D50,1,0))</f>
        <v/>
      </c>
      <c r="P50" s="67">
        <f>IF(G50="","",J50-G50)</f>
        <v/>
      </c>
      <c r="Q50" s="67">
        <f>IF(G50="","",ABS(P50-Components!$D$2)/Components!$E$2)</f>
        <v/>
      </c>
      <c r="R50" s="67">
        <f>IF(G50="","",ABS(P50-Components!$D$3)/Components!$E$3)</f>
        <v/>
      </c>
      <c r="S50" s="67">
        <f>IF(G50="","",ABS(P50-Components!$D$4)/Components!$E$4)</f>
        <v/>
      </c>
      <c r="T50" s="67">
        <f>IF(G50="","",ABS(P50-Components!$D$5)/Components!$E$5)</f>
        <v/>
      </c>
      <c r="U50" s="67">
        <f>IF(G50="","",ABS(P50-Components!$D$6)/Components!$E$6)</f>
        <v/>
      </c>
      <c r="V50" s="67">
        <f>IF(G50="","",ABS(P50-Components!$D$7)/Components!$E$7)</f>
        <v/>
      </c>
      <c r="W50" s="61">
        <f>IF(G50="","",IF(N50="OK","NONE",INDEX({"S1","S2","W1","W2","N1","N2"},MATCH(MIN(Q50:V50),Q50:V50,0))))</f>
        <v/>
      </c>
      <c r="X50" s="69">
        <f>IF(G50="","",IF(W50=E50,1,0))</f>
        <v/>
      </c>
    </row>
    <row r="51">
      <c r="A51" s="61" t="n">
        <v>9</v>
      </c>
      <c r="B51" s="62" t="n">
        <v>36</v>
      </c>
      <c r="C51" s="61" t="inlineStr">
        <is>
          <t>R3</t>
        </is>
      </c>
      <c r="D51" s="74" t="inlineStr">
        <is>
          <t>NG</t>
        </is>
      </c>
      <c r="E51" s="61" t="inlineStr">
        <is>
          <t>S2</t>
        </is>
      </c>
      <c r="F51" s="61" t="inlineStr">
        <is>
          <t>K009</t>
        </is>
      </c>
      <c r="G51" s="64" t="n">
        <v>5.94</v>
      </c>
      <c r="H51" s="65" t="n"/>
      <c r="I51" s="66" t="n"/>
      <c r="J51" s="67">
        <f>VLOOKUP(C51,Recipes!$A$2:$N$4,10,FALSE())</f>
        <v/>
      </c>
      <c r="K51" s="68">
        <f>VLOOKUP(C51,Recipes!$A$2:$N$4,12,FALSE())</f>
        <v/>
      </c>
      <c r="L51" s="67">
        <f>J51-3*K51</f>
        <v/>
      </c>
      <c r="M51" s="67">
        <f>J51+3*K51</f>
        <v/>
      </c>
      <c r="N51" s="61">
        <f>IF(G51="","",IF(AND(G51&gt;=L51,G51&lt;=M51),"OK","NG"))</f>
        <v/>
      </c>
      <c r="O51" s="69">
        <f>IF(N51="","",IF(N51=D51,1,0))</f>
        <v/>
      </c>
      <c r="P51" s="67">
        <f>IF(G51="","",J51-G51)</f>
        <v/>
      </c>
      <c r="Q51" s="67">
        <f>IF(G51="","",ABS(P51-Components!$D$2)/Components!$E$2)</f>
        <v/>
      </c>
      <c r="R51" s="67">
        <f>IF(G51="","",ABS(P51-Components!$D$3)/Components!$E$3)</f>
        <v/>
      </c>
      <c r="S51" s="67">
        <f>IF(G51="","",ABS(P51-Components!$D$4)/Components!$E$4)</f>
        <v/>
      </c>
      <c r="T51" s="67">
        <f>IF(G51="","",ABS(P51-Components!$D$5)/Components!$E$5)</f>
        <v/>
      </c>
      <c r="U51" s="67">
        <f>IF(G51="","",ABS(P51-Components!$D$6)/Components!$E$6)</f>
        <v/>
      </c>
      <c r="V51" s="67">
        <f>IF(G51="","",ABS(P51-Components!$D$7)/Components!$E$7)</f>
        <v/>
      </c>
      <c r="W51" s="61">
        <f>IF(G51="","",IF(N51="OK","NONE",INDEX({"S1","S2","W1","W2","N1","N2"},MATCH(MIN(Q51:V51),Q51:V51,0))))</f>
        <v/>
      </c>
      <c r="X51" s="69">
        <f>IF(G51="","",IF(W51=E51,1,0))</f>
        <v/>
      </c>
    </row>
    <row r="52">
      <c r="A52" s="61" t="n">
        <v>9</v>
      </c>
      <c r="B52" s="62" t="n">
        <v>36</v>
      </c>
      <c r="C52" s="61" t="inlineStr">
        <is>
          <t>R3</t>
        </is>
      </c>
      <c r="D52" s="74" t="inlineStr">
        <is>
          <t>NG</t>
        </is>
      </c>
      <c r="E52" s="61" t="inlineStr">
        <is>
          <t>S2</t>
        </is>
      </c>
      <c r="F52" s="61" t="inlineStr">
        <is>
          <t>K009</t>
        </is>
      </c>
      <c r="G52" s="64" t="n">
        <v>5.93</v>
      </c>
      <c r="H52" s="65" t="n"/>
      <c r="I52" s="66" t="n"/>
      <c r="J52" s="67">
        <f>VLOOKUP(C52,Recipes!$A$2:$N$4,10,FALSE())</f>
        <v/>
      </c>
      <c r="K52" s="68">
        <f>VLOOKUP(C52,Recipes!$A$2:$N$4,12,FALSE())</f>
        <v/>
      </c>
      <c r="L52" s="67">
        <f>J52-3*K52</f>
        <v/>
      </c>
      <c r="M52" s="67">
        <f>J52+3*K52</f>
        <v/>
      </c>
      <c r="N52" s="61">
        <f>IF(G52="","",IF(AND(G52&gt;=L52,G52&lt;=M52),"OK","NG"))</f>
        <v/>
      </c>
      <c r="O52" s="69">
        <f>IF(N52="","",IF(N52=D52,1,0))</f>
        <v/>
      </c>
      <c r="P52" s="67">
        <f>IF(G52="","",J52-G52)</f>
        <v/>
      </c>
      <c r="Q52" s="67">
        <f>IF(G52="","",ABS(P52-Components!$D$2)/Components!$E$2)</f>
        <v/>
      </c>
      <c r="R52" s="67">
        <f>IF(G52="","",ABS(P52-Components!$D$3)/Components!$E$3)</f>
        <v/>
      </c>
      <c r="S52" s="67">
        <f>IF(G52="","",ABS(P52-Components!$D$4)/Components!$E$4)</f>
        <v/>
      </c>
      <c r="T52" s="67">
        <f>IF(G52="","",ABS(P52-Components!$D$5)/Components!$E$5)</f>
        <v/>
      </c>
      <c r="U52" s="67">
        <f>IF(G52="","",ABS(P52-Components!$D$6)/Components!$E$6)</f>
        <v/>
      </c>
      <c r="V52" s="67">
        <f>IF(G52="","",ABS(P52-Components!$D$7)/Components!$E$7)</f>
        <v/>
      </c>
      <c r="W52" s="61">
        <f>IF(G52="","",IF(N52="OK","NONE",INDEX({"S1","S2","W1","W2","N1","N2"},MATCH(MIN(Q52:V52),Q52:V52,0))))</f>
        <v/>
      </c>
      <c r="X52" s="69">
        <f>IF(G52="","",IF(W52=E52,1,0))</f>
        <v/>
      </c>
    </row>
    <row r="53">
      <c r="A53" s="61" t="n">
        <v>9</v>
      </c>
      <c r="B53" s="62" t="n">
        <v>36</v>
      </c>
      <c r="C53" s="61" t="inlineStr">
        <is>
          <t>R3</t>
        </is>
      </c>
      <c r="D53" s="74" t="inlineStr">
        <is>
          <t>NG</t>
        </is>
      </c>
      <c r="E53" s="61" t="inlineStr">
        <is>
          <t>S2</t>
        </is>
      </c>
      <c r="F53" s="61" t="inlineStr">
        <is>
          <t>K009</t>
        </is>
      </c>
      <c r="G53" s="64" t="n">
        <v>5.99</v>
      </c>
      <c r="H53" s="65" t="n"/>
      <c r="I53" s="66" t="n"/>
      <c r="J53" s="67">
        <f>VLOOKUP(C53,Recipes!$A$2:$N$4,10,FALSE())</f>
        <v/>
      </c>
      <c r="K53" s="68">
        <f>VLOOKUP(C53,Recipes!$A$2:$N$4,12,FALSE())</f>
        <v/>
      </c>
      <c r="L53" s="67">
        <f>J53-3*K53</f>
        <v/>
      </c>
      <c r="M53" s="67">
        <f>J53+3*K53</f>
        <v/>
      </c>
      <c r="N53" s="61">
        <f>IF(G53="","",IF(AND(G53&gt;=L53,G53&lt;=M53),"OK","NG"))</f>
        <v/>
      </c>
      <c r="O53" s="69">
        <f>IF(N53="","",IF(N53=D53,1,0))</f>
        <v/>
      </c>
      <c r="P53" s="67">
        <f>IF(G53="","",J53-G53)</f>
        <v/>
      </c>
      <c r="Q53" s="67">
        <f>IF(G53="","",ABS(P53-Components!$D$2)/Components!$E$2)</f>
        <v/>
      </c>
      <c r="R53" s="67">
        <f>IF(G53="","",ABS(P53-Components!$D$3)/Components!$E$3)</f>
        <v/>
      </c>
      <c r="S53" s="67">
        <f>IF(G53="","",ABS(P53-Components!$D$4)/Components!$E$4)</f>
        <v/>
      </c>
      <c r="T53" s="67">
        <f>IF(G53="","",ABS(P53-Components!$D$5)/Components!$E$5)</f>
        <v/>
      </c>
      <c r="U53" s="67">
        <f>IF(G53="","",ABS(P53-Components!$D$6)/Components!$E$6)</f>
        <v/>
      </c>
      <c r="V53" s="67">
        <f>IF(G53="","",ABS(P53-Components!$D$7)/Components!$E$7)</f>
        <v/>
      </c>
      <c r="W53" s="61">
        <f>IF(G53="","",IF(N53="OK","NONE",INDEX({"S1","S2","W1","W2","N1","N2"},MATCH(MIN(Q53:V53),Q53:V53,0))))</f>
        <v/>
      </c>
      <c r="X53" s="69">
        <f>IF(G53="","",IF(W53=E53,1,0))</f>
        <v/>
      </c>
    </row>
    <row r="54">
      <c r="A54" s="61" t="n">
        <v>9</v>
      </c>
      <c r="B54" s="62" t="n">
        <v>36</v>
      </c>
      <c r="C54" s="61" t="inlineStr">
        <is>
          <t>R3</t>
        </is>
      </c>
      <c r="D54" s="74" t="inlineStr">
        <is>
          <t>NG</t>
        </is>
      </c>
      <c r="E54" s="61" t="inlineStr">
        <is>
          <t>S2</t>
        </is>
      </c>
      <c r="F54" s="61" t="inlineStr">
        <is>
          <t>K009</t>
        </is>
      </c>
      <c r="G54" s="64" t="n">
        <v>5.92</v>
      </c>
      <c r="H54" s="65" t="n"/>
      <c r="I54" s="66" t="n"/>
      <c r="J54" s="67">
        <f>VLOOKUP(C54,Recipes!$A$2:$N$4,10,FALSE())</f>
        <v/>
      </c>
      <c r="K54" s="68">
        <f>VLOOKUP(C54,Recipes!$A$2:$N$4,12,FALSE())</f>
        <v/>
      </c>
      <c r="L54" s="67">
        <f>J54-3*K54</f>
        <v/>
      </c>
      <c r="M54" s="67">
        <f>J54+3*K54</f>
        <v/>
      </c>
      <c r="N54" s="61">
        <f>IF(G54="","",IF(AND(G54&gt;=L54,G54&lt;=M54),"OK","NG"))</f>
        <v/>
      </c>
      <c r="O54" s="69">
        <f>IF(N54="","",IF(N54=D54,1,0))</f>
        <v/>
      </c>
      <c r="P54" s="67">
        <f>IF(G54="","",J54-G54)</f>
        <v/>
      </c>
      <c r="Q54" s="67">
        <f>IF(G54="","",ABS(P54-Components!$D$2)/Components!$E$2)</f>
        <v/>
      </c>
      <c r="R54" s="67">
        <f>IF(G54="","",ABS(P54-Components!$D$3)/Components!$E$3)</f>
        <v/>
      </c>
      <c r="S54" s="67">
        <f>IF(G54="","",ABS(P54-Components!$D$4)/Components!$E$4)</f>
        <v/>
      </c>
      <c r="T54" s="67">
        <f>IF(G54="","",ABS(P54-Components!$D$5)/Components!$E$5)</f>
        <v/>
      </c>
      <c r="U54" s="67">
        <f>IF(G54="","",ABS(P54-Components!$D$6)/Components!$E$6)</f>
        <v/>
      </c>
      <c r="V54" s="67">
        <f>IF(G54="","",ABS(P54-Components!$D$7)/Components!$E$7)</f>
        <v/>
      </c>
      <c r="W54" s="61">
        <f>IF(G54="","",IF(N54="OK","NONE",INDEX({"S1","S2","W1","W2","N1","N2"},MATCH(MIN(Q54:V54),Q54:V54,0))))</f>
        <v/>
      </c>
      <c r="X54" s="69">
        <f>IF(G54="","",IF(W54=E54,1,0))</f>
        <v/>
      </c>
    </row>
    <row r="55">
      <c r="A55" s="61" t="n">
        <v>9</v>
      </c>
      <c r="B55" s="62" t="n">
        <v>36</v>
      </c>
      <c r="C55" s="61" t="inlineStr">
        <is>
          <t>R3</t>
        </is>
      </c>
      <c r="D55" s="74" t="inlineStr">
        <is>
          <t>NG</t>
        </is>
      </c>
      <c r="E55" s="61" t="inlineStr">
        <is>
          <t>S2</t>
        </is>
      </c>
      <c r="F55" s="61" t="inlineStr">
        <is>
          <t>K009</t>
        </is>
      </c>
      <c r="G55" s="64" t="n">
        <v>5.78</v>
      </c>
      <c r="H55" s="65" t="n"/>
      <c r="I55" s="66" t="n"/>
      <c r="J55" s="67">
        <f>VLOOKUP(C55,Recipes!$A$2:$N$4,10,FALSE())</f>
        <v/>
      </c>
      <c r="K55" s="68">
        <f>VLOOKUP(C55,Recipes!$A$2:$N$4,12,FALSE())</f>
        <v/>
      </c>
      <c r="L55" s="67">
        <f>J55-3*K55</f>
        <v/>
      </c>
      <c r="M55" s="67">
        <f>J55+3*K55</f>
        <v/>
      </c>
      <c r="N55" s="61">
        <f>IF(G55="","",IF(AND(G55&gt;=L55,G55&lt;=M55),"OK","NG"))</f>
        <v/>
      </c>
      <c r="O55" s="69">
        <f>IF(N55="","",IF(N55=D55,1,0))</f>
        <v/>
      </c>
      <c r="P55" s="67">
        <f>IF(G55="","",J55-G55)</f>
        <v/>
      </c>
      <c r="Q55" s="67">
        <f>IF(G55="","",ABS(P55-Components!$D$2)/Components!$E$2)</f>
        <v/>
      </c>
      <c r="R55" s="67">
        <f>IF(G55="","",ABS(P55-Components!$D$3)/Components!$E$3)</f>
        <v/>
      </c>
      <c r="S55" s="67">
        <f>IF(G55="","",ABS(P55-Components!$D$4)/Components!$E$4)</f>
        <v/>
      </c>
      <c r="T55" s="67">
        <f>IF(G55="","",ABS(P55-Components!$D$5)/Components!$E$5)</f>
        <v/>
      </c>
      <c r="U55" s="67">
        <f>IF(G55="","",ABS(P55-Components!$D$6)/Components!$E$6)</f>
        <v/>
      </c>
      <c r="V55" s="67">
        <f>IF(G55="","",ABS(P55-Components!$D$7)/Components!$E$7)</f>
        <v/>
      </c>
      <c r="W55" s="61">
        <f>IF(G55="","",IF(N55="OK","NONE",INDEX({"S1","S2","W1","W2","N1","N2"},MATCH(MIN(Q55:V55),Q55:V55,0))))</f>
        <v/>
      </c>
      <c r="X55" s="69">
        <f>IF(G55="","",IF(W55=E55,1,0))</f>
        <v/>
      </c>
    </row>
    <row r="56">
      <c r="A56" s="61" t="n">
        <v>9</v>
      </c>
      <c r="B56" s="62" t="n">
        <v>36</v>
      </c>
      <c r="C56" s="61" t="inlineStr">
        <is>
          <t>R3</t>
        </is>
      </c>
      <c r="D56" s="74" t="inlineStr">
        <is>
          <t>NG</t>
        </is>
      </c>
      <c r="E56" s="61" t="inlineStr">
        <is>
          <t>S2</t>
        </is>
      </c>
      <c r="F56" s="61" t="inlineStr">
        <is>
          <t>K009</t>
        </is>
      </c>
      <c r="G56" s="64" t="n">
        <v>5.95</v>
      </c>
      <c r="H56" s="65" t="n"/>
      <c r="I56" s="66" t="n"/>
      <c r="J56" s="67">
        <f>VLOOKUP(C56,Recipes!$A$2:$N$4,10,FALSE())</f>
        <v/>
      </c>
      <c r="K56" s="68">
        <f>VLOOKUP(C56,Recipes!$A$2:$N$4,12,FALSE())</f>
        <v/>
      </c>
      <c r="L56" s="67">
        <f>J56-3*K56</f>
        <v/>
      </c>
      <c r="M56" s="67">
        <f>J56+3*K56</f>
        <v/>
      </c>
      <c r="N56" s="61">
        <f>IF(G56="","",IF(AND(G56&gt;=L56,G56&lt;=M56),"OK","NG"))</f>
        <v/>
      </c>
      <c r="O56" s="69">
        <f>IF(N56="","",IF(N56=D56,1,0))</f>
        <v/>
      </c>
      <c r="P56" s="67">
        <f>IF(G56="","",J56-G56)</f>
        <v/>
      </c>
      <c r="Q56" s="67">
        <f>IF(G56="","",ABS(P56-Components!$D$2)/Components!$E$2)</f>
        <v/>
      </c>
      <c r="R56" s="67">
        <f>IF(G56="","",ABS(P56-Components!$D$3)/Components!$E$3)</f>
        <v/>
      </c>
      <c r="S56" s="67">
        <f>IF(G56="","",ABS(P56-Components!$D$4)/Components!$E$4)</f>
        <v/>
      </c>
      <c r="T56" s="67">
        <f>IF(G56="","",ABS(P56-Components!$D$5)/Components!$E$5)</f>
        <v/>
      </c>
      <c r="U56" s="67">
        <f>IF(G56="","",ABS(P56-Components!$D$6)/Components!$E$6)</f>
        <v/>
      </c>
      <c r="V56" s="67">
        <f>IF(G56="","",ABS(P56-Components!$D$7)/Components!$E$7)</f>
        <v/>
      </c>
      <c r="W56" s="61">
        <f>IF(G56="","",IF(N56="OK","NONE",INDEX({"S1","S2","W1","W2","N1","N2"},MATCH(MIN(Q56:V56),Q56:V56,0))))</f>
        <v/>
      </c>
      <c r="X56" s="69">
        <f>IF(G56="","",IF(W56=E56,1,0))</f>
        <v/>
      </c>
    </row>
    <row r="57">
      <c r="A57" s="61" t="n">
        <v>9</v>
      </c>
      <c r="B57" s="62" t="n">
        <v>36</v>
      </c>
      <c r="C57" s="61" t="inlineStr">
        <is>
          <t>R3</t>
        </is>
      </c>
      <c r="D57" s="74" t="inlineStr">
        <is>
          <t>NG</t>
        </is>
      </c>
      <c r="E57" s="61" t="inlineStr">
        <is>
          <t>S2</t>
        </is>
      </c>
      <c r="F57" s="61" t="inlineStr">
        <is>
          <t>K009</t>
        </is>
      </c>
      <c r="G57" s="64" t="n">
        <v>5.92</v>
      </c>
      <c r="H57" s="65" t="n"/>
      <c r="I57" s="66" t="n"/>
      <c r="J57" s="67">
        <f>VLOOKUP(C57,Recipes!$A$2:$N$4,10,FALSE())</f>
        <v/>
      </c>
      <c r="K57" s="68">
        <f>VLOOKUP(C57,Recipes!$A$2:$N$4,12,FALSE())</f>
        <v/>
      </c>
      <c r="L57" s="67">
        <f>J57-3*K57</f>
        <v/>
      </c>
      <c r="M57" s="67">
        <f>J57+3*K57</f>
        <v/>
      </c>
      <c r="N57" s="61">
        <f>IF(G57="","",IF(AND(G57&gt;=L57,G57&lt;=M57),"OK","NG"))</f>
        <v/>
      </c>
      <c r="O57" s="69">
        <f>IF(N57="","",IF(N57=D57,1,0))</f>
        <v/>
      </c>
      <c r="P57" s="67">
        <f>IF(G57="","",J57-G57)</f>
        <v/>
      </c>
      <c r="Q57" s="67">
        <f>IF(G57="","",ABS(P57-Components!$D$2)/Components!$E$2)</f>
        <v/>
      </c>
      <c r="R57" s="67">
        <f>IF(G57="","",ABS(P57-Components!$D$3)/Components!$E$3)</f>
        <v/>
      </c>
      <c r="S57" s="67">
        <f>IF(G57="","",ABS(P57-Components!$D$4)/Components!$E$4)</f>
        <v/>
      </c>
      <c r="T57" s="67">
        <f>IF(G57="","",ABS(P57-Components!$D$5)/Components!$E$5)</f>
        <v/>
      </c>
      <c r="U57" s="67">
        <f>IF(G57="","",ABS(P57-Components!$D$6)/Components!$E$6)</f>
        <v/>
      </c>
      <c r="V57" s="67">
        <f>IF(G57="","",ABS(P57-Components!$D$7)/Components!$E$7)</f>
        <v/>
      </c>
      <c r="W57" s="61">
        <f>IF(G57="","",IF(N57="OK","NONE",INDEX({"S1","S2","W1","W2","N1","N2"},MATCH(MIN(Q57:V57),Q57:V57,0))))</f>
        <v/>
      </c>
      <c r="X57" s="69">
        <f>IF(G57="","",IF(W57=E57,1,0))</f>
        <v/>
      </c>
    </row>
    <row r="58">
      <c r="A58" s="61" t="n">
        <v>9</v>
      </c>
      <c r="B58" s="62" t="n">
        <v>36</v>
      </c>
      <c r="C58" s="61" t="inlineStr">
        <is>
          <t>R3</t>
        </is>
      </c>
      <c r="D58" s="74" t="inlineStr">
        <is>
          <t>NG</t>
        </is>
      </c>
      <c r="E58" s="61" t="inlineStr">
        <is>
          <t>S2</t>
        </is>
      </c>
      <c r="F58" s="61" t="inlineStr">
        <is>
          <t>K009</t>
        </is>
      </c>
      <c r="G58" s="64" t="n">
        <v>5.94</v>
      </c>
      <c r="H58" s="65" t="n"/>
      <c r="I58" s="66" t="n"/>
      <c r="J58" s="67">
        <f>VLOOKUP(C58,Recipes!$A$2:$N$4,10,FALSE())</f>
        <v/>
      </c>
      <c r="K58" s="68">
        <f>VLOOKUP(C58,Recipes!$A$2:$N$4,12,FALSE())</f>
        <v/>
      </c>
      <c r="L58" s="67">
        <f>J58-3*K58</f>
        <v/>
      </c>
      <c r="M58" s="67">
        <f>J58+3*K58</f>
        <v/>
      </c>
      <c r="N58" s="61">
        <f>IF(G58="","",IF(AND(G58&gt;=L58,G58&lt;=M58),"OK","NG"))</f>
        <v/>
      </c>
      <c r="O58" s="69">
        <f>IF(N58="","",IF(N58=D58,1,0))</f>
        <v/>
      </c>
      <c r="P58" s="67">
        <f>IF(G58="","",J58-G58)</f>
        <v/>
      </c>
      <c r="Q58" s="67">
        <f>IF(G58="","",ABS(P58-Components!$D$2)/Components!$E$2)</f>
        <v/>
      </c>
      <c r="R58" s="67">
        <f>IF(G58="","",ABS(P58-Components!$D$3)/Components!$E$3)</f>
        <v/>
      </c>
      <c r="S58" s="67">
        <f>IF(G58="","",ABS(P58-Components!$D$4)/Components!$E$4)</f>
        <v/>
      </c>
      <c r="T58" s="67">
        <f>IF(G58="","",ABS(P58-Components!$D$5)/Components!$E$5)</f>
        <v/>
      </c>
      <c r="U58" s="67">
        <f>IF(G58="","",ABS(P58-Components!$D$6)/Components!$E$6)</f>
        <v/>
      </c>
      <c r="V58" s="67">
        <f>IF(G58="","",ABS(P58-Components!$D$7)/Components!$E$7)</f>
        <v/>
      </c>
      <c r="W58" s="61">
        <f>IF(G58="","",IF(N58="OK","NONE",INDEX({"S1","S2","W1","W2","N1","N2"},MATCH(MIN(Q58:V58),Q58:V58,0))))</f>
        <v/>
      </c>
      <c r="X58" s="69">
        <f>IF(G58="","",IF(W58=E58,1,0))</f>
        <v/>
      </c>
    </row>
    <row r="59">
      <c r="A59" s="61" t="n">
        <v>9</v>
      </c>
      <c r="B59" s="62" t="n">
        <v>36</v>
      </c>
      <c r="C59" s="61" t="inlineStr">
        <is>
          <t>R3</t>
        </is>
      </c>
      <c r="D59" s="74" t="inlineStr">
        <is>
          <t>NG</t>
        </is>
      </c>
      <c r="E59" s="61" t="inlineStr">
        <is>
          <t>S2</t>
        </is>
      </c>
      <c r="F59" s="61" t="inlineStr">
        <is>
          <t>K009</t>
        </is>
      </c>
      <c r="G59" s="64" t="n">
        <v>5.9</v>
      </c>
      <c r="H59" s="65" t="n"/>
      <c r="I59" s="66" t="n"/>
      <c r="J59" s="67">
        <f>VLOOKUP(C59,Recipes!$A$2:$N$4,10,FALSE())</f>
        <v/>
      </c>
      <c r="K59" s="68">
        <f>VLOOKUP(C59,Recipes!$A$2:$N$4,12,FALSE())</f>
        <v/>
      </c>
      <c r="L59" s="67">
        <f>J59-3*K59</f>
        <v/>
      </c>
      <c r="M59" s="67">
        <f>J59+3*K59</f>
        <v/>
      </c>
      <c r="N59" s="61">
        <f>IF(G59="","",IF(AND(G59&gt;=L59,G59&lt;=M59),"OK","NG"))</f>
        <v/>
      </c>
      <c r="O59" s="69">
        <f>IF(N59="","",IF(N59=D59,1,0))</f>
        <v/>
      </c>
      <c r="P59" s="67">
        <f>IF(G59="","",J59-G59)</f>
        <v/>
      </c>
      <c r="Q59" s="67">
        <f>IF(G59="","",ABS(P59-Components!$D$2)/Components!$E$2)</f>
        <v/>
      </c>
      <c r="R59" s="67">
        <f>IF(G59="","",ABS(P59-Components!$D$3)/Components!$E$3)</f>
        <v/>
      </c>
      <c r="S59" s="67">
        <f>IF(G59="","",ABS(P59-Components!$D$4)/Components!$E$4)</f>
        <v/>
      </c>
      <c r="T59" s="67">
        <f>IF(G59="","",ABS(P59-Components!$D$5)/Components!$E$5)</f>
        <v/>
      </c>
      <c r="U59" s="67">
        <f>IF(G59="","",ABS(P59-Components!$D$6)/Components!$E$6)</f>
        <v/>
      </c>
      <c r="V59" s="67">
        <f>IF(G59="","",ABS(P59-Components!$D$7)/Components!$E$7)</f>
        <v/>
      </c>
      <c r="W59" s="61">
        <f>IF(G59="","",IF(N59="OK","NONE",INDEX({"S1","S2","W1","W2","N1","N2"},MATCH(MIN(Q59:V59),Q59:V59,0))))</f>
        <v/>
      </c>
      <c r="X59" s="69">
        <f>IF(G59="","",IF(W59=E59,1,0))</f>
        <v/>
      </c>
    </row>
    <row r="60">
      <c r="A60" s="61" t="n">
        <v>9</v>
      </c>
      <c r="B60" s="62" t="n">
        <v>36</v>
      </c>
      <c r="C60" s="61" t="inlineStr">
        <is>
          <t>R3</t>
        </is>
      </c>
      <c r="D60" s="74" t="inlineStr">
        <is>
          <t>NG</t>
        </is>
      </c>
      <c r="E60" s="61" t="inlineStr">
        <is>
          <t>S2</t>
        </is>
      </c>
      <c r="F60" s="61" t="inlineStr">
        <is>
          <t>K009</t>
        </is>
      </c>
      <c r="G60" s="64" t="n">
        <v>5.92</v>
      </c>
      <c r="H60" s="65" t="n"/>
      <c r="I60" s="66" t="n"/>
      <c r="J60" s="67">
        <f>VLOOKUP(C60,Recipes!$A$2:$N$4,10,FALSE())</f>
        <v/>
      </c>
      <c r="K60" s="68">
        <f>VLOOKUP(C60,Recipes!$A$2:$N$4,12,FALSE())</f>
        <v/>
      </c>
      <c r="L60" s="67">
        <f>J60-3*K60</f>
        <v/>
      </c>
      <c r="M60" s="67">
        <f>J60+3*K60</f>
        <v/>
      </c>
      <c r="N60" s="61">
        <f>IF(G60="","",IF(AND(G60&gt;=L60,G60&lt;=M60),"OK","NG"))</f>
        <v/>
      </c>
      <c r="O60" s="69">
        <f>IF(N60="","",IF(N60=D60,1,0))</f>
        <v/>
      </c>
      <c r="P60" s="67">
        <f>IF(G60="","",J60-G60)</f>
        <v/>
      </c>
      <c r="Q60" s="67">
        <f>IF(G60="","",ABS(P60-Components!$D$2)/Components!$E$2)</f>
        <v/>
      </c>
      <c r="R60" s="67">
        <f>IF(G60="","",ABS(P60-Components!$D$3)/Components!$E$3)</f>
        <v/>
      </c>
      <c r="S60" s="67">
        <f>IF(G60="","",ABS(P60-Components!$D$4)/Components!$E$4)</f>
        <v/>
      </c>
      <c r="T60" s="67">
        <f>IF(G60="","",ABS(P60-Components!$D$5)/Components!$E$5)</f>
        <v/>
      </c>
      <c r="U60" s="67">
        <f>IF(G60="","",ABS(P60-Components!$D$6)/Components!$E$6)</f>
        <v/>
      </c>
      <c r="V60" s="67">
        <f>IF(G60="","",ABS(P60-Components!$D$7)/Components!$E$7)</f>
        <v/>
      </c>
      <c r="W60" s="61">
        <f>IF(G60="","",IF(N60="OK","NONE",INDEX({"S1","S2","W1","W2","N1","N2"},MATCH(MIN(Q60:V60),Q60:V60,0))))</f>
        <v/>
      </c>
      <c r="X60" s="69">
        <f>IF(G60="","",IF(W60=E60,1,0))</f>
        <v/>
      </c>
    </row>
    <row r="61">
      <c r="A61" s="61" t="n">
        <v>9</v>
      </c>
      <c r="B61" s="62" t="n">
        <v>36</v>
      </c>
      <c r="C61" s="61" t="inlineStr">
        <is>
          <t>R3</t>
        </is>
      </c>
      <c r="D61" s="74" t="inlineStr">
        <is>
          <t>NG</t>
        </is>
      </c>
      <c r="E61" s="61" t="inlineStr">
        <is>
          <t>S2</t>
        </is>
      </c>
      <c r="F61" s="61" t="inlineStr">
        <is>
          <t>K009</t>
        </is>
      </c>
      <c r="G61" s="64" t="n">
        <v>5.4</v>
      </c>
      <c r="H61" s="65" t="n"/>
      <c r="I61" s="66" t="n"/>
      <c r="J61" s="67">
        <f>VLOOKUP(C61,Recipes!$A$2:$N$4,10,FALSE())</f>
        <v/>
      </c>
      <c r="K61" s="68">
        <f>VLOOKUP(C61,Recipes!$A$2:$N$4,12,FALSE())</f>
        <v/>
      </c>
      <c r="L61" s="67">
        <f>J61-3*K61</f>
        <v/>
      </c>
      <c r="M61" s="67">
        <f>J61+3*K61</f>
        <v/>
      </c>
      <c r="N61" s="61">
        <f>IF(G61="","",IF(AND(G61&gt;=L61,G61&lt;=M61),"OK","NG"))</f>
        <v/>
      </c>
      <c r="O61" s="69">
        <f>IF(N61="","",IF(N61=D61,1,0))</f>
        <v/>
      </c>
      <c r="P61" s="67">
        <f>IF(G61="","",J61-G61)</f>
        <v/>
      </c>
      <c r="Q61" s="67">
        <f>IF(G61="","",ABS(P61-Components!$D$2)/Components!$E$2)</f>
        <v/>
      </c>
      <c r="R61" s="72">
        <f>IF(G61="","",ABS(P61-Components!$D$3)/Components!$E$3)</f>
        <v/>
      </c>
      <c r="S61" s="67">
        <f>IF(G61="","",ABS(P61-Components!$D$4)/Components!$E$4)</f>
        <v/>
      </c>
      <c r="T61" s="72">
        <f>IF(G61="","",ABS(P61-Components!$D$5)/Components!$E$5)</f>
        <v/>
      </c>
      <c r="U61" s="67">
        <f>IF(G61="","",ABS(P61-Components!$D$6)/Components!$E$6)</f>
        <v/>
      </c>
      <c r="V61" s="67">
        <f>IF(G61="","",ABS(P61-Components!$D$7)/Components!$E$7)</f>
        <v/>
      </c>
      <c r="W61" s="61">
        <f>IF(G61="","",IF(N61="OK","NONE",INDEX({"S1","S2","W1","W2","N1","N2"},MATCH(MIN(Q61:V61),Q61:V61,0))))</f>
        <v/>
      </c>
      <c r="X61" s="71">
        <f>IF(G61="","",IF(W61=E61,1,0))</f>
        <v/>
      </c>
    </row>
    <row r="62">
      <c r="A62" s="61" t="n">
        <v>9</v>
      </c>
      <c r="B62" s="62" t="n">
        <v>36</v>
      </c>
      <c r="C62" s="61" t="inlineStr">
        <is>
          <t>R3</t>
        </is>
      </c>
      <c r="D62" s="74" t="inlineStr">
        <is>
          <t>NG</t>
        </is>
      </c>
      <c r="E62" s="61" t="inlineStr">
        <is>
          <t>S2</t>
        </is>
      </c>
      <c r="F62" s="61" t="inlineStr">
        <is>
          <t>K009</t>
        </is>
      </c>
      <c r="G62" s="64" t="n">
        <v>5.8</v>
      </c>
      <c r="H62" s="65" t="n"/>
      <c r="I62" s="66" t="n"/>
      <c r="J62" s="67">
        <f>VLOOKUP(C62,Recipes!$A$2:$N$4,10,FALSE())</f>
        <v/>
      </c>
      <c r="K62" s="68">
        <f>VLOOKUP(C62,Recipes!$A$2:$N$4,12,FALSE())</f>
        <v/>
      </c>
      <c r="L62" s="67">
        <f>J62-3*K62</f>
        <v/>
      </c>
      <c r="M62" s="67">
        <f>J62+3*K62</f>
        <v/>
      </c>
      <c r="N62" s="61">
        <f>IF(G62="","",IF(AND(G62&gt;=L62,G62&lt;=M62),"OK","NG"))</f>
        <v/>
      </c>
      <c r="O62" s="69">
        <f>IF(N62="","",IF(N62=D62,1,0))</f>
        <v/>
      </c>
      <c r="P62" s="67">
        <f>IF(G62="","",J62-G62)</f>
        <v/>
      </c>
      <c r="Q62" s="67">
        <f>IF(G62="","",ABS(P62-Components!$D$2)/Components!$E$2)</f>
        <v/>
      </c>
      <c r="R62" s="67">
        <f>IF(G62="","",ABS(P62-Components!$D$3)/Components!$E$3)</f>
        <v/>
      </c>
      <c r="S62" s="67">
        <f>IF(G62="","",ABS(P62-Components!$D$4)/Components!$E$4)</f>
        <v/>
      </c>
      <c r="T62" s="67">
        <f>IF(G62="","",ABS(P62-Components!$D$5)/Components!$E$5)</f>
        <v/>
      </c>
      <c r="U62" s="67">
        <f>IF(G62="","",ABS(P62-Components!$D$6)/Components!$E$6)</f>
        <v/>
      </c>
      <c r="V62" s="67">
        <f>IF(G62="","",ABS(P62-Components!$D$7)/Components!$E$7)</f>
        <v/>
      </c>
      <c r="W62" s="61">
        <f>IF(G62="","",IF(N62="OK","NONE",INDEX({"S1","S2","W1","W2","N1","N2"},MATCH(MIN(Q62:V62),Q62:V62,0))))</f>
        <v/>
      </c>
      <c r="X62" s="69">
        <f>IF(G62="","",IF(W62=E62,1,0))</f>
        <v/>
      </c>
    </row>
    <row r="63">
      <c r="A63" s="61" t="n">
        <v>11</v>
      </c>
      <c r="B63" s="62" t="n">
        <v>10</v>
      </c>
      <c r="C63" s="61" t="inlineStr">
        <is>
          <t>R3</t>
        </is>
      </c>
      <c r="D63" s="74" t="inlineStr">
        <is>
          <t>NG</t>
        </is>
      </c>
      <c r="E63" s="61" t="inlineStr">
        <is>
          <t>W2</t>
        </is>
      </c>
      <c r="F63" s="61" t="inlineStr">
        <is>
          <t>K011</t>
        </is>
      </c>
      <c r="G63" s="64" t="n">
        <v>5.4</v>
      </c>
      <c r="H63" s="65" t="n"/>
      <c r="I63" s="66" t="n"/>
      <c r="J63" s="67">
        <f>VLOOKUP(C63,Recipes!$A$2:$N$4,10,FALSE())</f>
        <v/>
      </c>
      <c r="K63" s="68">
        <f>VLOOKUP(C63,Recipes!$A$2:$N$4,12,FALSE())</f>
        <v/>
      </c>
      <c r="L63" s="67">
        <f>J63-3*K63</f>
        <v/>
      </c>
      <c r="M63" s="67">
        <f>J63+3*K63</f>
        <v/>
      </c>
      <c r="N63" s="61">
        <f>IF(G63="","",IF(AND(G63&gt;=L63,G63&lt;=M63),"OK","NG"))</f>
        <v/>
      </c>
      <c r="O63" s="69">
        <f>IF(N63="","",IF(N63=D63,1,0))</f>
        <v/>
      </c>
      <c r="P63" s="67">
        <f>IF(G63="","",J63-G63)</f>
        <v/>
      </c>
      <c r="Q63" s="67">
        <f>IF(G63="","",ABS(P63-Components!$D$2)/Components!$E$2)</f>
        <v/>
      </c>
      <c r="R63" s="67">
        <f>IF(G63="","",ABS(P63-Components!$D$3)/Components!$E$3)</f>
        <v/>
      </c>
      <c r="S63" s="67">
        <f>IF(G63="","",ABS(P63-Components!$D$4)/Components!$E$4)</f>
        <v/>
      </c>
      <c r="T63" s="67">
        <f>IF(G63="","",ABS(P63-Components!$D$5)/Components!$E$5)</f>
        <v/>
      </c>
      <c r="U63" s="67">
        <f>IF(G63="","",ABS(P63-Components!$D$6)/Components!$E$6)</f>
        <v/>
      </c>
      <c r="V63" s="67">
        <f>IF(G63="","",ABS(P63-Components!$D$7)/Components!$E$7)</f>
        <v/>
      </c>
      <c r="W63" s="61">
        <f>IF(G63="","",IF(N63="OK","NONE",INDEX({"S1","S2","W1","W2","N1","N2"},MATCH(MIN(Q63:V63),Q63:V63,0))))</f>
        <v/>
      </c>
      <c r="X63" s="69">
        <f>IF(G63="","",IF(W63=E63,1,0))</f>
        <v/>
      </c>
    </row>
    <row r="64">
      <c r="A64" s="61" t="n">
        <v>12</v>
      </c>
      <c r="B64" s="62" t="n">
        <v>34</v>
      </c>
      <c r="C64" s="61" t="inlineStr">
        <is>
          <t>R3</t>
        </is>
      </c>
      <c r="D64" s="74" t="inlineStr">
        <is>
          <t>NG</t>
        </is>
      </c>
      <c r="E64" s="61" t="inlineStr">
        <is>
          <t>W2</t>
        </is>
      </c>
      <c r="F64" s="61" t="inlineStr">
        <is>
          <t>K012</t>
        </is>
      </c>
      <c r="G64" s="64" t="n">
        <v>5.45</v>
      </c>
      <c r="H64" s="65" t="n"/>
      <c r="I64" s="66" t="n"/>
      <c r="J64" s="67">
        <f>VLOOKUP(C64,Recipes!$A$2:$N$4,10,FALSE())</f>
        <v/>
      </c>
      <c r="K64" s="68">
        <f>VLOOKUP(C64,Recipes!$A$2:$N$4,12,FALSE())</f>
        <v/>
      </c>
      <c r="L64" s="67">
        <f>J64-3*K64</f>
        <v/>
      </c>
      <c r="M64" s="67">
        <f>J64+3*K64</f>
        <v/>
      </c>
      <c r="N64" s="61">
        <f>IF(G64="","",IF(AND(G64&gt;=L64,G64&lt;=M64),"OK","NG"))</f>
        <v/>
      </c>
      <c r="O64" s="69">
        <f>IF(N64="","",IF(N64=D64,1,0))</f>
        <v/>
      </c>
      <c r="P64" s="67">
        <f>IF(G64="","",J64-G64)</f>
        <v/>
      </c>
      <c r="Q64" s="67">
        <f>IF(G64="","",ABS(P64-Components!$D$2)/Components!$E$2)</f>
        <v/>
      </c>
      <c r="R64" s="67">
        <f>IF(G64="","",ABS(P64-Components!$D$3)/Components!$E$3)</f>
        <v/>
      </c>
      <c r="S64" s="67">
        <f>IF(G64="","",ABS(P64-Components!$D$4)/Components!$E$4)</f>
        <v/>
      </c>
      <c r="T64" s="67">
        <f>IF(G64="","",ABS(P64-Components!$D$5)/Components!$E$5)</f>
        <v/>
      </c>
      <c r="U64" s="67">
        <f>IF(G64="","",ABS(P64-Components!$D$6)/Components!$E$6)</f>
        <v/>
      </c>
      <c r="V64" s="67">
        <f>IF(G64="","",ABS(P64-Components!$D$7)/Components!$E$7)</f>
        <v/>
      </c>
      <c r="W64" s="61">
        <f>IF(G64="","",IF(N64="OK","NONE",INDEX({"S1","S2","W1","W2","N1","N2"},MATCH(MIN(Q64:V64),Q64:V64,0))))</f>
        <v/>
      </c>
      <c r="X64" s="69">
        <f>IF(G64="","",IF(W64=E64,1,0))</f>
        <v/>
      </c>
    </row>
    <row r="65">
      <c r="A65" s="61" t="n">
        <v>13</v>
      </c>
      <c r="B65" s="62" t="n">
        <v>42</v>
      </c>
      <c r="C65" s="61" t="inlineStr">
        <is>
          <t>R3</t>
        </is>
      </c>
      <c r="D65" s="74" t="inlineStr">
        <is>
          <t>NG</t>
        </is>
      </c>
      <c r="E65" s="61" t="inlineStr">
        <is>
          <t>W2</t>
        </is>
      </c>
      <c r="F65" s="61" t="inlineStr">
        <is>
          <t>K013</t>
        </is>
      </c>
      <c r="G65" s="64" t="n">
        <v>5.42</v>
      </c>
      <c r="H65" s="65" t="n"/>
      <c r="I65" s="66" t="n"/>
      <c r="J65" s="67">
        <f>VLOOKUP(C65,Recipes!$A$2:$N$4,10,FALSE())</f>
        <v/>
      </c>
      <c r="K65" s="68">
        <f>VLOOKUP(C65,Recipes!$A$2:$N$4,12,FALSE())</f>
        <v/>
      </c>
      <c r="L65" s="67">
        <f>J65-3*K65</f>
        <v/>
      </c>
      <c r="M65" s="67">
        <f>J65+3*K65</f>
        <v/>
      </c>
      <c r="N65" s="61">
        <f>IF(G65="","",IF(AND(G65&gt;=L65,G65&lt;=M65),"OK","NG"))</f>
        <v/>
      </c>
      <c r="O65" s="69">
        <f>IF(N65="","",IF(N65=D65,1,0))</f>
        <v/>
      </c>
      <c r="P65" s="67">
        <f>IF(G65="","",J65-G65)</f>
        <v/>
      </c>
      <c r="Q65" s="67">
        <f>IF(G65="","",ABS(P65-Components!$D$2)/Components!$E$2)</f>
        <v/>
      </c>
      <c r="R65" s="67">
        <f>IF(G65="","",ABS(P65-Components!$D$3)/Components!$E$3)</f>
        <v/>
      </c>
      <c r="S65" s="67">
        <f>IF(G65="","",ABS(P65-Components!$D$4)/Components!$E$4)</f>
        <v/>
      </c>
      <c r="T65" s="67">
        <f>IF(G65="","",ABS(P65-Components!$D$5)/Components!$E$5)</f>
        <v/>
      </c>
      <c r="U65" s="67">
        <f>IF(G65="","",ABS(P65-Components!$D$6)/Components!$E$6)</f>
        <v/>
      </c>
      <c r="V65" s="67">
        <f>IF(G65="","",ABS(P65-Components!$D$7)/Components!$E$7)</f>
        <v/>
      </c>
      <c r="W65" s="61">
        <f>IF(G65="","",IF(N65="OK","NONE",INDEX({"S1","S2","W1","W2","N1","N2"},MATCH(MIN(Q65:V65),Q65:V65,0))))</f>
        <v/>
      </c>
      <c r="X65" s="69">
        <f>IF(G65="","",IF(W65=E65,1,0))</f>
        <v/>
      </c>
    </row>
    <row r="66">
      <c r="A66" s="61" t="n">
        <v>14</v>
      </c>
      <c r="B66" s="62" t="n">
        <v>45</v>
      </c>
      <c r="C66" s="61" t="inlineStr">
        <is>
          <t>R3</t>
        </is>
      </c>
      <c r="D66" s="74" t="inlineStr">
        <is>
          <t>NG</t>
        </is>
      </c>
      <c r="E66" s="61" t="inlineStr">
        <is>
          <t>W2</t>
        </is>
      </c>
      <c r="F66" s="61" t="inlineStr">
        <is>
          <t>K014</t>
        </is>
      </c>
      <c r="G66" s="64" t="n">
        <v>5.42</v>
      </c>
      <c r="H66" s="65" t="n"/>
      <c r="I66" s="66" t="n"/>
      <c r="J66" s="67">
        <f>VLOOKUP(C66,Recipes!$A$2:$N$4,10,FALSE())</f>
        <v/>
      </c>
      <c r="K66" s="68">
        <f>VLOOKUP(C66,Recipes!$A$2:$N$4,12,FALSE())</f>
        <v/>
      </c>
      <c r="L66" s="67">
        <f>J66-3*K66</f>
        <v/>
      </c>
      <c r="M66" s="67">
        <f>J66+3*K66</f>
        <v/>
      </c>
      <c r="N66" s="61">
        <f>IF(G66="","",IF(AND(G66&gt;=L66,G66&lt;=M66),"OK","NG"))</f>
        <v/>
      </c>
      <c r="O66" s="69">
        <f>IF(N66="","",IF(N66=D66,1,0))</f>
        <v/>
      </c>
      <c r="P66" s="67">
        <f>IF(G66="","",J66-G66)</f>
        <v/>
      </c>
      <c r="Q66" s="67">
        <f>IF(G66="","",ABS(P66-Components!$D$2)/Components!$E$2)</f>
        <v/>
      </c>
      <c r="R66" s="67">
        <f>IF(G66="","",ABS(P66-Components!$D$3)/Components!$E$3)</f>
        <v/>
      </c>
      <c r="S66" s="67">
        <f>IF(G66="","",ABS(P66-Components!$D$4)/Components!$E$4)</f>
        <v/>
      </c>
      <c r="T66" s="67">
        <f>IF(G66="","",ABS(P66-Components!$D$5)/Components!$E$5)</f>
        <v/>
      </c>
      <c r="U66" s="67">
        <f>IF(G66="","",ABS(P66-Components!$D$6)/Components!$E$6)</f>
        <v/>
      </c>
      <c r="V66" s="67">
        <f>IF(G66="","",ABS(P66-Components!$D$7)/Components!$E$7)</f>
        <v/>
      </c>
      <c r="W66" s="61">
        <f>IF(G66="","",IF(N66="OK","NONE",INDEX({"S1","S2","W1","W2","N1","N2"},MATCH(MIN(Q66:V66),Q66:V66,0))))</f>
        <v/>
      </c>
      <c r="X66" s="69">
        <f>IF(G66="","",IF(W66=E66,1,0))</f>
        <v/>
      </c>
    </row>
    <row r="67">
      <c r="A67" s="61" t="n">
        <v>14</v>
      </c>
      <c r="B67" s="62" t="n">
        <v>45</v>
      </c>
      <c r="C67" s="61" t="inlineStr">
        <is>
          <t>R3</t>
        </is>
      </c>
      <c r="D67" s="74" t="inlineStr">
        <is>
          <t>NG</t>
        </is>
      </c>
      <c r="E67" s="61" t="inlineStr">
        <is>
          <t>W2</t>
        </is>
      </c>
      <c r="F67" s="61" t="inlineStr">
        <is>
          <t>K014</t>
        </is>
      </c>
      <c r="G67" s="64" t="n">
        <v>5.42</v>
      </c>
      <c r="H67" s="65" t="n"/>
      <c r="I67" s="66" t="n"/>
      <c r="J67" s="67">
        <f>VLOOKUP(C67,Recipes!$A$2:$N$4,10,FALSE())</f>
        <v/>
      </c>
      <c r="K67" s="68">
        <f>VLOOKUP(C67,Recipes!$A$2:$N$4,12,FALSE())</f>
        <v/>
      </c>
      <c r="L67" s="67">
        <f>J67-3*K67</f>
        <v/>
      </c>
      <c r="M67" s="67">
        <f>J67+3*K67</f>
        <v/>
      </c>
      <c r="N67" s="61">
        <f>IF(G67="","",IF(AND(G67&gt;=L67,G67&lt;=M67),"OK","NG"))</f>
        <v/>
      </c>
      <c r="O67" s="69">
        <f>IF(N67="","",IF(N67=D67,1,0))</f>
        <v/>
      </c>
      <c r="P67" s="67">
        <f>IF(G67="","",J67-G67)</f>
        <v/>
      </c>
      <c r="Q67" s="67">
        <f>IF(G67="","",ABS(P67-Components!$D$2)/Components!$E$2)</f>
        <v/>
      </c>
      <c r="R67" s="67">
        <f>IF(G67="","",ABS(P67-Components!$D$3)/Components!$E$3)</f>
        <v/>
      </c>
      <c r="S67" s="67">
        <f>IF(G67="","",ABS(P67-Components!$D$4)/Components!$E$4)</f>
        <v/>
      </c>
      <c r="T67" s="67">
        <f>IF(G67="","",ABS(P67-Components!$D$5)/Components!$E$5)</f>
        <v/>
      </c>
      <c r="U67" s="67">
        <f>IF(G67="","",ABS(P67-Components!$D$6)/Components!$E$6)</f>
        <v/>
      </c>
      <c r="V67" s="67">
        <f>IF(G67="","",ABS(P67-Components!$D$7)/Components!$E$7)</f>
        <v/>
      </c>
      <c r="W67" s="61">
        <f>IF(G67="","",IF(N67="OK","NONE",INDEX({"S1","S2","W1","W2","N1","N2"},MATCH(MIN(Q67:V67),Q67:V67,0))))</f>
        <v/>
      </c>
      <c r="X67" s="69">
        <f>IF(G67="","",IF(W67=E67,1,0))</f>
        <v/>
      </c>
    </row>
    <row r="68">
      <c r="A68" s="61" t="n">
        <v>14</v>
      </c>
      <c r="B68" s="62" t="n">
        <v>45</v>
      </c>
      <c r="C68" s="61" t="inlineStr">
        <is>
          <t>R3</t>
        </is>
      </c>
      <c r="D68" s="74" t="inlineStr">
        <is>
          <t>NG</t>
        </is>
      </c>
      <c r="E68" s="61" t="inlineStr">
        <is>
          <t>W2</t>
        </is>
      </c>
      <c r="F68" s="61" t="inlineStr">
        <is>
          <t>K014</t>
        </is>
      </c>
      <c r="G68" s="64" t="n">
        <v>5.42</v>
      </c>
      <c r="H68" s="65" t="n"/>
      <c r="I68" s="66" t="n"/>
      <c r="J68" s="67">
        <f>VLOOKUP(C68,Recipes!$A$2:$N$4,10,FALSE())</f>
        <v/>
      </c>
      <c r="K68" s="68">
        <f>VLOOKUP(C68,Recipes!$A$2:$N$4,12,FALSE())</f>
        <v/>
      </c>
      <c r="L68" s="67">
        <f>J68-3*K68</f>
        <v/>
      </c>
      <c r="M68" s="67">
        <f>J68+3*K68</f>
        <v/>
      </c>
      <c r="N68" s="61">
        <f>IF(G68="","",IF(AND(G68&gt;=L68,G68&lt;=M68),"OK","NG"))</f>
        <v/>
      </c>
      <c r="O68" s="69">
        <f>IF(N68="","",IF(N68=D68,1,0))</f>
        <v/>
      </c>
      <c r="P68" s="67">
        <f>IF(G68="","",J68-G68)</f>
        <v/>
      </c>
      <c r="Q68" s="67">
        <f>IF(G68="","",ABS(P68-Components!$D$2)/Components!$E$2)</f>
        <v/>
      </c>
      <c r="R68" s="67">
        <f>IF(G68="","",ABS(P68-Components!$D$3)/Components!$E$3)</f>
        <v/>
      </c>
      <c r="S68" s="67">
        <f>IF(G68="","",ABS(P68-Components!$D$4)/Components!$E$4)</f>
        <v/>
      </c>
      <c r="T68" s="67">
        <f>IF(G68="","",ABS(P68-Components!$D$5)/Components!$E$5)</f>
        <v/>
      </c>
      <c r="U68" s="67">
        <f>IF(G68="","",ABS(P68-Components!$D$6)/Components!$E$6)</f>
        <v/>
      </c>
      <c r="V68" s="67">
        <f>IF(G68="","",ABS(P68-Components!$D$7)/Components!$E$7)</f>
        <v/>
      </c>
      <c r="W68" s="61">
        <f>IF(G68="","",IF(N68="OK","NONE",INDEX({"S1","S2","W1","W2","N1","N2"},MATCH(MIN(Q68:V68),Q68:V68,0))))</f>
        <v/>
      </c>
      <c r="X68" s="69">
        <f>IF(G68="","",IF(W68=E68,1,0))</f>
        <v/>
      </c>
    </row>
    <row r="69">
      <c r="A69" s="61" t="n">
        <v>14</v>
      </c>
      <c r="B69" s="62" t="n">
        <v>45</v>
      </c>
      <c r="C69" s="61" t="inlineStr">
        <is>
          <t>R3</t>
        </is>
      </c>
      <c r="D69" s="74" t="inlineStr">
        <is>
          <t>NG</t>
        </is>
      </c>
      <c r="E69" s="61" t="inlineStr">
        <is>
          <t>W2</t>
        </is>
      </c>
      <c r="F69" s="61" t="inlineStr">
        <is>
          <t>K014</t>
        </is>
      </c>
      <c r="G69" s="64" t="n">
        <v>5.45</v>
      </c>
      <c r="H69" s="65" t="n"/>
      <c r="I69" s="66" t="n"/>
      <c r="J69" s="67">
        <f>VLOOKUP(C69,Recipes!$A$2:$N$4,10,FALSE())</f>
        <v/>
      </c>
      <c r="K69" s="68">
        <f>VLOOKUP(C69,Recipes!$A$2:$N$4,12,FALSE())</f>
        <v/>
      </c>
      <c r="L69" s="67">
        <f>J69-3*K69</f>
        <v/>
      </c>
      <c r="M69" s="67">
        <f>J69+3*K69</f>
        <v/>
      </c>
      <c r="N69" s="61">
        <f>IF(G69="","",IF(AND(G69&gt;=L69,G69&lt;=M69),"OK","NG"))</f>
        <v/>
      </c>
      <c r="O69" s="69">
        <f>IF(N69="","",IF(N69=D69,1,0))</f>
        <v/>
      </c>
      <c r="P69" s="67">
        <f>IF(G69="","",J69-G69)</f>
        <v/>
      </c>
      <c r="Q69" s="67">
        <f>IF(G69="","",ABS(P69-Components!$D$2)/Components!$E$2)</f>
        <v/>
      </c>
      <c r="R69" s="67">
        <f>IF(G69="","",ABS(P69-Components!$D$3)/Components!$E$3)</f>
        <v/>
      </c>
      <c r="S69" s="67">
        <f>IF(G69="","",ABS(P69-Components!$D$4)/Components!$E$4)</f>
        <v/>
      </c>
      <c r="T69" s="67">
        <f>IF(G69="","",ABS(P69-Components!$D$5)/Components!$E$5)</f>
        <v/>
      </c>
      <c r="U69" s="67">
        <f>IF(G69="","",ABS(P69-Components!$D$6)/Components!$E$6)</f>
        <v/>
      </c>
      <c r="V69" s="67">
        <f>IF(G69="","",ABS(P69-Components!$D$7)/Components!$E$7)</f>
        <v/>
      </c>
      <c r="W69" s="61">
        <f>IF(G69="","",IF(N69="OK","NONE",INDEX({"S1","S2","W1","W2","N1","N2"},MATCH(MIN(Q69:V69),Q69:V69,0))))</f>
        <v/>
      </c>
      <c r="X69" s="69">
        <f>IF(G69="","",IF(W69=E69,1,0))</f>
        <v/>
      </c>
    </row>
    <row r="70">
      <c r="A70" s="61" t="n">
        <v>14</v>
      </c>
      <c r="B70" s="62" t="n">
        <v>45</v>
      </c>
      <c r="C70" s="61" t="inlineStr">
        <is>
          <t>R3</t>
        </is>
      </c>
      <c r="D70" s="74" t="inlineStr">
        <is>
          <t>NG</t>
        </is>
      </c>
      <c r="E70" s="61" t="inlineStr">
        <is>
          <t>W2</t>
        </is>
      </c>
      <c r="F70" s="61" t="inlineStr">
        <is>
          <t>K014</t>
        </is>
      </c>
      <c r="G70" s="64" t="n">
        <v>5.41</v>
      </c>
      <c r="H70" s="65" t="n"/>
      <c r="I70" s="66" t="n"/>
      <c r="J70" s="67">
        <f>VLOOKUP(C70,Recipes!$A$2:$N$4,10,FALSE())</f>
        <v/>
      </c>
      <c r="K70" s="68">
        <f>VLOOKUP(C70,Recipes!$A$2:$N$4,12,FALSE())</f>
        <v/>
      </c>
      <c r="L70" s="67">
        <f>J70-3*K70</f>
        <v/>
      </c>
      <c r="M70" s="67">
        <f>J70+3*K70</f>
        <v/>
      </c>
      <c r="N70" s="61">
        <f>IF(G70="","",IF(AND(G70&gt;=L70,G70&lt;=M70),"OK","NG"))</f>
        <v/>
      </c>
      <c r="O70" s="69">
        <f>IF(N70="","",IF(N70=D70,1,0))</f>
        <v/>
      </c>
      <c r="P70" s="67">
        <f>IF(G70="","",J70-G70)</f>
        <v/>
      </c>
      <c r="Q70" s="67">
        <f>IF(G70="","",ABS(P70-Components!$D$2)/Components!$E$2)</f>
        <v/>
      </c>
      <c r="R70" s="67">
        <f>IF(G70="","",ABS(P70-Components!$D$3)/Components!$E$3)</f>
        <v/>
      </c>
      <c r="S70" s="67">
        <f>IF(G70="","",ABS(P70-Components!$D$4)/Components!$E$4)</f>
        <v/>
      </c>
      <c r="T70" s="67">
        <f>IF(G70="","",ABS(P70-Components!$D$5)/Components!$E$5)</f>
        <v/>
      </c>
      <c r="U70" s="67">
        <f>IF(G70="","",ABS(P70-Components!$D$6)/Components!$E$6)</f>
        <v/>
      </c>
      <c r="V70" s="67">
        <f>IF(G70="","",ABS(P70-Components!$D$7)/Components!$E$7)</f>
        <v/>
      </c>
      <c r="W70" s="61">
        <f>IF(G70="","",IF(N70="OK","NONE",INDEX({"S1","S2","W1","W2","N1","N2"},MATCH(MIN(Q70:V70),Q70:V70,0))))</f>
        <v/>
      </c>
      <c r="X70" s="69">
        <f>IF(G70="","",IF(W70=E70,1,0))</f>
        <v/>
      </c>
    </row>
    <row r="71">
      <c r="A71" s="61" t="n">
        <v>14</v>
      </c>
      <c r="B71" s="62" t="n">
        <v>45</v>
      </c>
      <c r="C71" s="61" t="inlineStr">
        <is>
          <t>R3</t>
        </is>
      </c>
      <c r="D71" s="74" t="inlineStr">
        <is>
          <t>NG</t>
        </is>
      </c>
      <c r="E71" s="61" t="inlineStr">
        <is>
          <t>W2</t>
        </is>
      </c>
      <c r="F71" s="61" t="inlineStr">
        <is>
          <t>K014</t>
        </is>
      </c>
      <c r="G71" s="64" t="n">
        <v>5.38</v>
      </c>
      <c r="H71" s="65" t="n"/>
      <c r="I71" s="66" t="n"/>
      <c r="J71" s="67">
        <f>VLOOKUP(C71,Recipes!$A$2:$N$4,10,FALSE())</f>
        <v/>
      </c>
      <c r="K71" s="68">
        <f>VLOOKUP(C71,Recipes!$A$2:$N$4,12,FALSE())</f>
        <v/>
      </c>
      <c r="L71" s="67">
        <f>J71-3*K71</f>
        <v/>
      </c>
      <c r="M71" s="67">
        <f>J71+3*K71</f>
        <v/>
      </c>
      <c r="N71" s="61">
        <f>IF(G71="","",IF(AND(G71&gt;=L71,G71&lt;=M71),"OK","NG"))</f>
        <v/>
      </c>
      <c r="O71" s="69">
        <f>IF(N71="","",IF(N71=D71,1,0))</f>
        <v/>
      </c>
      <c r="P71" s="67">
        <f>IF(G71="","",J71-G71)</f>
        <v/>
      </c>
      <c r="Q71" s="67">
        <f>IF(G71="","",ABS(P71-Components!$D$2)/Components!$E$2)</f>
        <v/>
      </c>
      <c r="R71" s="67">
        <f>IF(G71="","",ABS(P71-Components!$D$3)/Components!$E$3)</f>
        <v/>
      </c>
      <c r="S71" s="67">
        <f>IF(G71="","",ABS(P71-Components!$D$4)/Components!$E$4)</f>
        <v/>
      </c>
      <c r="T71" s="67">
        <f>IF(G71="","",ABS(P71-Components!$D$5)/Components!$E$5)</f>
        <v/>
      </c>
      <c r="U71" s="67">
        <f>IF(G71="","",ABS(P71-Components!$D$6)/Components!$E$6)</f>
        <v/>
      </c>
      <c r="V71" s="67">
        <f>IF(G71="","",ABS(P71-Components!$D$7)/Components!$E$7)</f>
        <v/>
      </c>
      <c r="W71" s="61">
        <f>IF(G71="","",IF(N71="OK","NONE",INDEX({"S1","S2","W1","W2","N1","N2"},MATCH(MIN(Q71:V71),Q71:V71,0))))</f>
        <v/>
      </c>
      <c r="X71" s="69">
        <f>IF(G71="","",IF(W71=E71,1,0))</f>
        <v/>
      </c>
    </row>
    <row r="72">
      <c r="A72" s="61" t="n">
        <v>14</v>
      </c>
      <c r="B72" s="62" t="n">
        <v>45</v>
      </c>
      <c r="C72" s="61" t="inlineStr">
        <is>
          <t>R3</t>
        </is>
      </c>
      <c r="D72" s="74" t="inlineStr">
        <is>
          <t>NG</t>
        </is>
      </c>
      <c r="E72" s="61" t="inlineStr">
        <is>
          <t>W2</t>
        </is>
      </c>
      <c r="F72" s="61" t="inlineStr">
        <is>
          <t>K014</t>
        </is>
      </c>
      <c r="G72" s="64" t="n">
        <v>5.37</v>
      </c>
      <c r="H72" s="65" t="n"/>
      <c r="I72" s="66" t="n"/>
      <c r="J72" s="67">
        <f>VLOOKUP(C72,Recipes!$A$2:$N$4,10,FALSE())</f>
        <v/>
      </c>
      <c r="K72" s="68">
        <f>VLOOKUP(C72,Recipes!$A$2:$N$4,12,FALSE())</f>
        <v/>
      </c>
      <c r="L72" s="67">
        <f>J72-3*K72</f>
        <v/>
      </c>
      <c r="M72" s="67">
        <f>J72+3*K72</f>
        <v/>
      </c>
      <c r="N72" s="61">
        <f>IF(G72="","",IF(AND(G72&gt;=L72,G72&lt;=M72),"OK","NG"))</f>
        <v/>
      </c>
      <c r="O72" s="69">
        <f>IF(N72="","",IF(N72=D72,1,0))</f>
        <v/>
      </c>
      <c r="P72" s="67">
        <f>IF(G72="","",J72-G72)</f>
        <v/>
      </c>
      <c r="Q72" s="67">
        <f>IF(G72="","",ABS(P72-Components!$D$2)/Components!$E$2)</f>
        <v/>
      </c>
      <c r="R72" s="67">
        <f>IF(G72="","",ABS(P72-Components!$D$3)/Components!$E$3)</f>
        <v/>
      </c>
      <c r="S72" s="67">
        <f>IF(G72="","",ABS(P72-Components!$D$4)/Components!$E$4)</f>
        <v/>
      </c>
      <c r="T72" s="67">
        <f>IF(G72="","",ABS(P72-Components!$D$5)/Components!$E$5)</f>
        <v/>
      </c>
      <c r="U72" s="67">
        <f>IF(G72="","",ABS(P72-Components!$D$6)/Components!$E$6)</f>
        <v/>
      </c>
      <c r="V72" s="67">
        <f>IF(G72="","",ABS(P72-Components!$D$7)/Components!$E$7)</f>
        <v/>
      </c>
      <c r="W72" s="61">
        <f>IF(G72="","",IF(N72="OK","NONE",INDEX({"S1","S2","W1","W2","N1","N2"},MATCH(MIN(Q72:V72),Q72:V72,0))))</f>
        <v/>
      </c>
      <c r="X72" s="69">
        <f>IF(G72="","",IF(W72=E72,1,0))</f>
        <v/>
      </c>
    </row>
    <row r="73">
      <c r="A73" s="61" t="n">
        <v>14</v>
      </c>
      <c r="B73" s="62" t="n">
        <v>45</v>
      </c>
      <c r="C73" s="61" t="inlineStr">
        <is>
          <t>R3</t>
        </is>
      </c>
      <c r="D73" s="74" t="inlineStr">
        <is>
          <t>NG</t>
        </is>
      </c>
      <c r="E73" s="61" t="inlineStr">
        <is>
          <t>W2</t>
        </is>
      </c>
      <c r="F73" s="61" t="inlineStr">
        <is>
          <t>K014</t>
        </is>
      </c>
      <c r="G73" s="64" t="n">
        <v>5.36</v>
      </c>
      <c r="H73" s="65" t="n"/>
      <c r="I73" s="66" t="n"/>
      <c r="J73" s="67">
        <f>VLOOKUP(C73,Recipes!$A$2:$N$4,10,FALSE())</f>
        <v/>
      </c>
      <c r="K73" s="68">
        <f>VLOOKUP(C73,Recipes!$A$2:$N$4,12,FALSE())</f>
        <v/>
      </c>
      <c r="L73" s="67">
        <f>J73-3*K73</f>
        <v/>
      </c>
      <c r="M73" s="67">
        <f>J73+3*K73</f>
        <v/>
      </c>
      <c r="N73" s="61">
        <f>IF(G73="","",IF(AND(G73&gt;=L73,G73&lt;=M73),"OK","NG"))</f>
        <v/>
      </c>
      <c r="O73" s="69">
        <f>IF(N73="","",IF(N73=D73,1,0))</f>
        <v/>
      </c>
      <c r="P73" s="67">
        <f>IF(G73="","",J73-G73)</f>
        <v/>
      </c>
      <c r="Q73" s="67">
        <f>IF(G73="","",ABS(P73-Components!$D$2)/Components!$E$2)</f>
        <v/>
      </c>
      <c r="R73" s="67">
        <f>IF(G73="","",ABS(P73-Components!$D$3)/Components!$E$3)</f>
        <v/>
      </c>
      <c r="S73" s="67">
        <f>IF(G73="","",ABS(P73-Components!$D$4)/Components!$E$4)</f>
        <v/>
      </c>
      <c r="T73" s="67">
        <f>IF(G73="","",ABS(P73-Components!$D$5)/Components!$E$5)</f>
        <v/>
      </c>
      <c r="U73" s="67">
        <f>IF(G73="","",ABS(P73-Components!$D$6)/Components!$E$6)</f>
        <v/>
      </c>
      <c r="V73" s="67">
        <f>IF(G73="","",ABS(P73-Components!$D$7)/Components!$E$7)</f>
        <v/>
      </c>
      <c r="W73" s="61">
        <f>IF(G73="","",IF(N73="OK","NONE",INDEX({"S1","S2","W1","W2","N1","N2"},MATCH(MIN(Q73:V73),Q73:V73,0))))</f>
        <v/>
      </c>
      <c r="X73" s="69">
        <f>IF(G73="","",IF(W73=E73,1,0))</f>
        <v/>
      </c>
    </row>
    <row r="74">
      <c r="A74" s="61" t="n">
        <v>14</v>
      </c>
      <c r="B74" s="62" t="n">
        <v>45</v>
      </c>
      <c r="C74" s="61" t="inlineStr">
        <is>
          <t>R3</t>
        </is>
      </c>
      <c r="D74" s="74" t="inlineStr">
        <is>
          <t>NG</t>
        </is>
      </c>
      <c r="E74" s="61" t="inlineStr">
        <is>
          <t>W2</t>
        </is>
      </c>
      <c r="F74" s="61" t="inlineStr">
        <is>
          <t>K014</t>
        </is>
      </c>
      <c r="G74" s="64" t="n">
        <v>5.41</v>
      </c>
      <c r="H74" s="65" t="n"/>
      <c r="I74" s="66" t="n"/>
      <c r="J74" s="67">
        <f>VLOOKUP(C74,Recipes!$A$2:$N$4,10,FALSE())</f>
        <v/>
      </c>
      <c r="K74" s="68">
        <f>VLOOKUP(C74,Recipes!$A$2:$N$4,12,FALSE())</f>
        <v/>
      </c>
      <c r="L74" s="67">
        <f>J74-3*K74</f>
        <v/>
      </c>
      <c r="M74" s="67">
        <f>J74+3*K74</f>
        <v/>
      </c>
      <c r="N74" s="61">
        <f>IF(G74="","",IF(AND(G74&gt;=L74,G74&lt;=M74),"OK","NG"))</f>
        <v/>
      </c>
      <c r="O74" s="69">
        <f>IF(N74="","",IF(N74=D74,1,0))</f>
        <v/>
      </c>
      <c r="P74" s="67">
        <f>IF(G74="","",J74-G74)</f>
        <v/>
      </c>
      <c r="Q74" s="67">
        <f>IF(G74="","",ABS(P74-Components!$D$2)/Components!$E$2)</f>
        <v/>
      </c>
      <c r="R74" s="67">
        <f>IF(G74="","",ABS(P74-Components!$D$3)/Components!$E$3)</f>
        <v/>
      </c>
      <c r="S74" s="67">
        <f>IF(G74="","",ABS(P74-Components!$D$4)/Components!$E$4)</f>
        <v/>
      </c>
      <c r="T74" s="67">
        <f>IF(G74="","",ABS(P74-Components!$D$5)/Components!$E$5)</f>
        <v/>
      </c>
      <c r="U74" s="67">
        <f>IF(G74="","",ABS(P74-Components!$D$6)/Components!$E$6)</f>
        <v/>
      </c>
      <c r="V74" s="67">
        <f>IF(G74="","",ABS(P74-Components!$D$7)/Components!$E$7)</f>
        <v/>
      </c>
      <c r="W74" s="61">
        <f>IF(G74="","",IF(N74="OK","NONE",INDEX({"S1","S2","W1","W2","N1","N2"},MATCH(MIN(Q74:V74),Q74:V74,0))))</f>
        <v/>
      </c>
      <c r="X74" s="69">
        <f>IF(G74="","",IF(W74=E74,1,0))</f>
        <v/>
      </c>
    </row>
    <row r="75">
      <c r="A75" s="61" t="n">
        <v>14</v>
      </c>
      <c r="B75" s="62" t="n">
        <v>45</v>
      </c>
      <c r="C75" s="61" t="inlineStr">
        <is>
          <t>R3</t>
        </is>
      </c>
      <c r="D75" s="74" t="inlineStr">
        <is>
          <t>NG</t>
        </is>
      </c>
      <c r="E75" s="61" t="inlineStr">
        <is>
          <t>W2</t>
        </is>
      </c>
      <c r="F75" s="61" t="inlineStr">
        <is>
          <t>K014</t>
        </is>
      </c>
      <c r="G75" s="64" t="n">
        <v>5.37</v>
      </c>
      <c r="H75" s="65" t="n"/>
      <c r="I75" s="66" t="n"/>
      <c r="J75" s="67">
        <f>VLOOKUP(C75,Recipes!$A$2:$N$4,10,FALSE())</f>
        <v/>
      </c>
      <c r="K75" s="68">
        <f>VLOOKUP(C75,Recipes!$A$2:$N$4,12,FALSE())</f>
        <v/>
      </c>
      <c r="L75" s="67">
        <f>J75-3*K75</f>
        <v/>
      </c>
      <c r="M75" s="67">
        <f>J75+3*K75</f>
        <v/>
      </c>
      <c r="N75" s="61">
        <f>IF(G75="","",IF(AND(G75&gt;=L75,G75&lt;=M75),"OK","NG"))</f>
        <v/>
      </c>
      <c r="O75" s="69">
        <f>IF(N75="","",IF(N75=D75,1,0))</f>
        <v/>
      </c>
      <c r="P75" s="67">
        <f>IF(G75="","",J75-G75)</f>
        <v/>
      </c>
      <c r="Q75" s="67">
        <f>IF(G75="","",ABS(P75-Components!$D$2)/Components!$E$2)</f>
        <v/>
      </c>
      <c r="R75" s="67">
        <f>IF(G75="","",ABS(P75-Components!$D$3)/Components!$E$3)</f>
        <v/>
      </c>
      <c r="S75" s="67">
        <f>IF(G75="","",ABS(P75-Components!$D$4)/Components!$E$4)</f>
        <v/>
      </c>
      <c r="T75" s="67">
        <f>IF(G75="","",ABS(P75-Components!$D$5)/Components!$E$5)</f>
        <v/>
      </c>
      <c r="U75" s="67">
        <f>IF(G75="","",ABS(P75-Components!$D$6)/Components!$E$6)</f>
        <v/>
      </c>
      <c r="V75" s="67">
        <f>IF(G75="","",ABS(P75-Components!$D$7)/Components!$E$7)</f>
        <v/>
      </c>
      <c r="W75" s="61">
        <f>IF(G75="","",IF(N75="OK","NONE",INDEX({"S1","S2","W1","W2","N1","N2"},MATCH(MIN(Q75:V75),Q75:V75,0))))</f>
        <v/>
      </c>
      <c r="X75" s="69">
        <f>IF(G75="","",IF(W75=E75,1,0))</f>
        <v/>
      </c>
    </row>
    <row r="76">
      <c r="A76" s="61" t="n">
        <v>14</v>
      </c>
      <c r="B76" s="62" t="n">
        <v>45</v>
      </c>
      <c r="C76" s="61" t="inlineStr">
        <is>
          <t>R3</t>
        </is>
      </c>
      <c r="D76" s="74" t="inlineStr">
        <is>
          <t>NG</t>
        </is>
      </c>
      <c r="E76" s="61" t="inlineStr">
        <is>
          <t>W2</t>
        </is>
      </c>
      <c r="F76" s="61" t="inlineStr">
        <is>
          <t>K014</t>
        </is>
      </c>
      <c r="G76" s="64" t="n">
        <v>5.36</v>
      </c>
      <c r="H76" s="65" t="n"/>
      <c r="I76" s="66" t="n"/>
      <c r="J76" s="67">
        <f>VLOOKUP(C76,Recipes!$A$2:$N$4,10,FALSE())</f>
        <v/>
      </c>
      <c r="K76" s="68">
        <f>VLOOKUP(C76,Recipes!$A$2:$N$4,12,FALSE())</f>
        <v/>
      </c>
      <c r="L76" s="67">
        <f>J76-3*K76</f>
        <v/>
      </c>
      <c r="M76" s="67">
        <f>J76+3*K76</f>
        <v/>
      </c>
      <c r="N76" s="61">
        <f>IF(G76="","",IF(AND(G76&gt;=L76,G76&lt;=M76),"OK","NG"))</f>
        <v/>
      </c>
      <c r="O76" s="69">
        <f>IF(N76="","",IF(N76=D76,1,0))</f>
        <v/>
      </c>
      <c r="P76" s="67">
        <f>IF(G76="","",J76-G76)</f>
        <v/>
      </c>
      <c r="Q76" s="67">
        <f>IF(G76="","",ABS(P76-Components!$D$2)/Components!$E$2)</f>
        <v/>
      </c>
      <c r="R76" s="67">
        <f>IF(G76="","",ABS(P76-Components!$D$3)/Components!$E$3)</f>
        <v/>
      </c>
      <c r="S76" s="67">
        <f>IF(G76="","",ABS(P76-Components!$D$4)/Components!$E$4)</f>
        <v/>
      </c>
      <c r="T76" s="67">
        <f>IF(G76="","",ABS(P76-Components!$D$5)/Components!$E$5)</f>
        <v/>
      </c>
      <c r="U76" s="67">
        <f>IF(G76="","",ABS(P76-Components!$D$6)/Components!$E$6)</f>
        <v/>
      </c>
      <c r="V76" s="67">
        <f>IF(G76="","",ABS(P76-Components!$D$7)/Components!$E$7)</f>
        <v/>
      </c>
      <c r="W76" s="61">
        <f>IF(G76="","",IF(N76="OK","NONE",INDEX({"S1","S2","W1","W2","N1","N2"},MATCH(MIN(Q76:V76),Q76:V76,0))))</f>
        <v/>
      </c>
      <c r="X76" s="69">
        <f>IF(G76="","",IF(W76=E76,1,0))</f>
        <v/>
      </c>
    </row>
    <row r="77">
      <c r="A77" s="61" t="n">
        <v>14</v>
      </c>
      <c r="B77" s="62" t="n">
        <v>45</v>
      </c>
      <c r="C77" s="61" t="inlineStr">
        <is>
          <t>R3</t>
        </is>
      </c>
      <c r="D77" s="74" t="inlineStr">
        <is>
          <t>NG</t>
        </is>
      </c>
      <c r="E77" s="61" t="inlineStr">
        <is>
          <t>W2</t>
        </is>
      </c>
      <c r="F77" s="61" t="inlineStr">
        <is>
          <t>K014</t>
        </is>
      </c>
      <c r="G77" s="64" t="n">
        <v>5.38</v>
      </c>
      <c r="H77" s="65" t="n"/>
      <c r="I77" s="66" t="n"/>
      <c r="J77" s="67">
        <f>VLOOKUP(C77,Recipes!$A$2:$N$4,10,FALSE())</f>
        <v/>
      </c>
      <c r="K77" s="68">
        <f>VLOOKUP(C77,Recipes!$A$2:$N$4,12,FALSE())</f>
        <v/>
      </c>
      <c r="L77" s="67">
        <f>J77-3*K77</f>
        <v/>
      </c>
      <c r="M77" s="67">
        <f>J77+3*K77</f>
        <v/>
      </c>
      <c r="N77" s="61">
        <f>IF(G77="","",IF(AND(G77&gt;=L77,G77&lt;=M77),"OK","NG"))</f>
        <v/>
      </c>
      <c r="O77" s="69">
        <f>IF(N77="","",IF(N77=D77,1,0))</f>
        <v/>
      </c>
      <c r="P77" s="67">
        <f>IF(G77="","",J77-G77)</f>
        <v/>
      </c>
      <c r="Q77" s="67">
        <f>IF(G77="","",ABS(P77-Components!$D$2)/Components!$E$2)</f>
        <v/>
      </c>
      <c r="R77" s="67">
        <f>IF(G77="","",ABS(P77-Components!$D$3)/Components!$E$3)</f>
        <v/>
      </c>
      <c r="S77" s="67">
        <f>IF(G77="","",ABS(P77-Components!$D$4)/Components!$E$4)</f>
        <v/>
      </c>
      <c r="T77" s="67">
        <f>IF(G77="","",ABS(P77-Components!$D$5)/Components!$E$5)</f>
        <v/>
      </c>
      <c r="U77" s="67">
        <f>IF(G77="","",ABS(P77-Components!$D$6)/Components!$E$6)</f>
        <v/>
      </c>
      <c r="V77" s="67">
        <f>IF(G77="","",ABS(P77-Components!$D$7)/Components!$E$7)</f>
        <v/>
      </c>
      <c r="W77" s="61">
        <f>IF(G77="","",IF(N77="OK","NONE",INDEX({"S1","S2","W1","W2","N1","N2"},MATCH(MIN(Q77:V77),Q77:V77,0))))</f>
        <v/>
      </c>
      <c r="X77" s="69">
        <f>IF(G77="","",IF(W77=E77,1,0))</f>
        <v/>
      </c>
    </row>
    <row r="78">
      <c r="A78" s="61" t="n">
        <v>14</v>
      </c>
      <c r="B78" s="62" t="n">
        <v>45</v>
      </c>
      <c r="C78" s="61" t="inlineStr">
        <is>
          <t>R3</t>
        </is>
      </c>
      <c r="D78" s="74" t="inlineStr">
        <is>
          <t>NG</t>
        </is>
      </c>
      <c r="E78" s="61" t="inlineStr">
        <is>
          <t>W2</t>
        </is>
      </c>
      <c r="F78" s="61" t="inlineStr">
        <is>
          <t>K014</t>
        </is>
      </c>
      <c r="G78" s="64" t="n">
        <v>5.38</v>
      </c>
      <c r="H78" s="65" t="n"/>
      <c r="I78" s="66" t="n"/>
      <c r="J78" s="67">
        <f>VLOOKUP(C78,Recipes!$A$2:$N$4,10,FALSE())</f>
        <v/>
      </c>
      <c r="K78" s="68">
        <f>VLOOKUP(C78,Recipes!$A$2:$N$4,12,FALSE())</f>
        <v/>
      </c>
      <c r="L78" s="67">
        <f>J78-3*K78</f>
        <v/>
      </c>
      <c r="M78" s="67">
        <f>J78+3*K78</f>
        <v/>
      </c>
      <c r="N78" s="61">
        <f>IF(G78="","",IF(AND(G78&gt;=L78,G78&lt;=M78),"OK","NG"))</f>
        <v/>
      </c>
      <c r="O78" s="69">
        <f>IF(N78="","",IF(N78=D78,1,0))</f>
        <v/>
      </c>
      <c r="P78" s="67">
        <f>IF(G78="","",J78-G78)</f>
        <v/>
      </c>
      <c r="Q78" s="67">
        <f>IF(G78="","",ABS(P78-Components!$D$2)/Components!$E$2)</f>
        <v/>
      </c>
      <c r="R78" s="67">
        <f>IF(G78="","",ABS(P78-Components!$D$3)/Components!$E$3)</f>
        <v/>
      </c>
      <c r="S78" s="67">
        <f>IF(G78="","",ABS(P78-Components!$D$4)/Components!$E$4)</f>
        <v/>
      </c>
      <c r="T78" s="67">
        <f>IF(G78="","",ABS(P78-Components!$D$5)/Components!$E$5)</f>
        <v/>
      </c>
      <c r="U78" s="67">
        <f>IF(G78="","",ABS(P78-Components!$D$6)/Components!$E$6)</f>
        <v/>
      </c>
      <c r="V78" s="67">
        <f>IF(G78="","",ABS(P78-Components!$D$7)/Components!$E$7)</f>
        <v/>
      </c>
      <c r="W78" s="61">
        <f>IF(G78="","",IF(N78="OK","NONE",INDEX({"S1","S2","W1","W2","N1","N2"},MATCH(MIN(Q78:V78),Q78:V78,0))))</f>
        <v/>
      </c>
      <c r="X78" s="69">
        <f>IF(G78="","",IF(W78=E78,1,0))</f>
        <v/>
      </c>
    </row>
    <row r="79">
      <c r="A79" s="61" t="n">
        <v>14</v>
      </c>
      <c r="B79" s="62" t="n">
        <v>45</v>
      </c>
      <c r="C79" s="61" t="inlineStr">
        <is>
          <t>R3</t>
        </is>
      </c>
      <c r="D79" s="74" t="inlineStr">
        <is>
          <t>NG</t>
        </is>
      </c>
      <c r="E79" s="61" t="inlineStr">
        <is>
          <t>W2</t>
        </is>
      </c>
      <c r="F79" s="61" t="inlineStr">
        <is>
          <t>K014</t>
        </is>
      </c>
      <c r="G79" s="64" t="n">
        <v>5.42</v>
      </c>
      <c r="H79" s="65" t="n"/>
      <c r="I79" s="66" t="n"/>
      <c r="J79" s="67">
        <f>VLOOKUP(C79,Recipes!$A$2:$N$4,10,FALSE())</f>
        <v/>
      </c>
      <c r="K79" s="68">
        <f>VLOOKUP(C79,Recipes!$A$2:$N$4,12,FALSE())</f>
        <v/>
      </c>
      <c r="L79" s="67">
        <f>J79-3*K79</f>
        <v/>
      </c>
      <c r="M79" s="67">
        <f>J79+3*K79</f>
        <v/>
      </c>
      <c r="N79" s="61">
        <f>IF(G79="","",IF(AND(G79&gt;=L79,G79&lt;=M79),"OK","NG"))</f>
        <v/>
      </c>
      <c r="O79" s="69">
        <f>IF(N79="","",IF(N79=D79,1,0))</f>
        <v/>
      </c>
      <c r="P79" s="67">
        <f>IF(G79="","",J79-G79)</f>
        <v/>
      </c>
      <c r="Q79" s="67">
        <f>IF(G79="","",ABS(P79-Components!$D$2)/Components!$E$2)</f>
        <v/>
      </c>
      <c r="R79" s="67">
        <f>IF(G79="","",ABS(P79-Components!$D$3)/Components!$E$3)</f>
        <v/>
      </c>
      <c r="S79" s="67">
        <f>IF(G79="","",ABS(P79-Components!$D$4)/Components!$E$4)</f>
        <v/>
      </c>
      <c r="T79" s="67">
        <f>IF(G79="","",ABS(P79-Components!$D$5)/Components!$E$5)</f>
        <v/>
      </c>
      <c r="U79" s="67">
        <f>IF(G79="","",ABS(P79-Components!$D$6)/Components!$E$6)</f>
        <v/>
      </c>
      <c r="V79" s="67">
        <f>IF(G79="","",ABS(P79-Components!$D$7)/Components!$E$7)</f>
        <v/>
      </c>
      <c r="W79" s="61">
        <f>IF(G79="","",IF(N79="OK","NONE",INDEX({"S1","S2","W1","W2","N1","N2"},MATCH(MIN(Q79:V79),Q79:V79,0))))</f>
        <v/>
      </c>
      <c r="X79" s="69">
        <f>IF(G79="","",IF(W79=E79,1,0))</f>
        <v/>
      </c>
    </row>
    <row r="80">
      <c r="A80" s="61" t="n">
        <v>14</v>
      </c>
      <c r="B80" s="62" t="n">
        <v>45</v>
      </c>
      <c r="C80" s="61" t="inlineStr">
        <is>
          <t>R3</t>
        </is>
      </c>
      <c r="D80" s="74" t="inlineStr">
        <is>
          <t>NG</t>
        </is>
      </c>
      <c r="E80" s="61" t="inlineStr">
        <is>
          <t>W2</t>
        </is>
      </c>
      <c r="F80" s="61" t="inlineStr">
        <is>
          <t>K014</t>
        </is>
      </c>
      <c r="G80" s="64" t="n">
        <v>5.39</v>
      </c>
      <c r="H80" s="65" t="n"/>
      <c r="I80" s="66" t="n"/>
      <c r="J80" s="67">
        <f>VLOOKUP(C80,Recipes!$A$2:$N$4,10,FALSE())</f>
        <v/>
      </c>
      <c r="K80" s="68">
        <f>VLOOKUP(C80,Recipes!$A$2:$N$4,12,FALSE())</f>
        <v/>
      </c>
      <c r="L80" s="67">
        <f>J80-3*K80</f>
        <v/>
      </c>
      <c r="M80" s="67">
        <f>J80+3*K80</f>
        <v/>
      </c>
      <c r="N80" s="61">
        <f>IF(G80="","",IF(AND(G80&gt;=L80,G80&lt;=M80),"OK","NG"))</f>
        <v/>
      </c>
      <c r="O80" s="69">
        <f>IF(N80="","",IF(N80=D80,1,0))</f>
        <v/>
      </c>
      <c r="P80" s="67">
        <f>IF(G80="","",J80-G80)</f>
        <v/>
      </c>
      <c r="Q80" s="67">
        <f>IF(G80="","",ABS(P80-Components!$D$2)/Components!$E$2)</f>
        <v/>
      </c>
      <c r="R80" s="67">
        <f>IF(G80="","",ABS(P80-Components!$D$3)/Components!$E$3)</f>
        <v/>
      </c>
      <c r="S80" s="67">
        <f>IF(G80="","",ABS(P80-Components!$D$4)/Components!$E$4)</f>
        <v/>
      </c>
      <c r="T80" s="67">
        <f>IF(G80="","",ABS(P80-Components!$D$5)/Components!$E$5)</f>
        <v/>
      </c>
      <c r="U80" s="67">
        <f>IF(G80="","",ABS(P80-Components!$D$6)/Components!$E$6)</f>
        <v/>
      </c>
      <c r="V80" s="67">
        <f>IF(G80="","",ABS(P80-Components!$D$7)/Components!$E$7)</f>
        <v/>
      </c>
      <c r="W80" s="61">
        <f>IF(G80="","",IF(N80="OK","NONE",INDEX({"S1","S2","W1","W2","N1","N2"},MATCH(MIN(Q80:V80),Q80:V80,0))))</f>
        <v/>
      </c>
      <c r="X80" s="69">
        <f>IF(G80="","",IF(W80=E80,1,0))</f>
        <v/>
      </c>
    </row>
    <row r="81">
      <c r="A81" s="61" t="n">
        <v>14</v>
      </c>
      <c r="B81" s="62" t="n">
        <v>45</v>
      </c>
      <c r="C81" s="61" t="inlineStr">
        <is>
          <t>R3</t>
        </is>
      </c>
      <c r="D81" s="74" t="inlineStr">
        <is>
          <t>NG</t>
        </is>
      </c>
      <c r="E81" s="61" t="inlineStr">
        <is>
          <t>W2</t>
        </is>
      </c>
      <c r="F81" s="61" t="inlineStr">
        <is>
          <t>K014</t>
        </is>
      </c>
      <c r="G81" s="64" t="n">
        <v>5.41</v>
      </c>
      <c r="H81" s="65" t="n"/>
      <c r="I81" s="66" t="n"/>
      <c r="J81" s="67">
        <f>VLOOKUP(C81,Recipes!$A$2:$N$4,10,FALSE())</f>
        <v/>
      </c>
      <c r="K81" s="68">
        <f>VLOOKUP(C81,Recipes!$A$2:$N$4,12,FALSE())</f>
        <v/>
      </c>
      <c r="L81" s="67">
        <f>J81-3*K81</f>
        <v/>
      </c>
      <c r="M81" s="67">
        <f>J81+3*K81</f>
        <v/>
      </c>
      <c r="N81" s="61">
        <f>IF(G81="","",IF(AND(G81&gt;=L81,G81&lt;=M81),"OK","NG"))</f>
        <v/>
      </c>
      <c r="O81" s="69">
        <f>IF(N81="","",IF(N81=D81,1,0))</f>
        <v/>
      </c>
      <c r="P81" s="67">
        <f>IF(G81="","",J81-G81)</f>
        <v/>
      </c>
      <c r="Q81" s="67">
        <f>IF(G81="","",ABS(P81-Components!$D$2)/Components!$E$2)</f>
        <v/>
      </c>
      <c r="R81" s="67">
        <f>IF(G81="","",ABS(P81-Components!$D$3)/Components!$E$3)</f>
        <v/>
      </c>
      <c r="S81" s="67">
        <f>IF(G81="","",ABS(P81-Components!$D$4)/Components!$E$4)</f>
        <v/>
      </c>
      <c r="T81" s="67">
        <f>IF(G81="","",ABS(P81-Components!$D$5)/Components!$E$5)</f>
        <v/>
      </c>
      <c r="U81" s="67">
        <f>IF(G81="","",ABS(P81-Components!$D$6)/Components!$E$6)</f>
        <v/>
      </c>
      <c r="V81" s="67">
        <f>IF(G81="","",ABS(P81-Components!$D$7)/Components!$E$7)</f>
        <v/>
      </c>
      <c r="W81" s="61">
        <f>IF(G81="","",IF(N81="OK","NONE",INDEX({"S1","S2","W1","W2","N1","N2"},MATCH(MIN(Q81:V81),Q81:V81,0))))</f>
        <v/>
      </c>
      <c r="X81" s="69">
        <f>IF(G81="","",IF(W81=E81,1,0))</f>
        <v/>
      </c>
    </row>
    <row r="82">
      <c r="A82" s="61" t="n">
        <v>14</v>
      </c>
      <c r="B82" s="62" t="n">
        <v>45</v>
      </c>
      <c r="C82" s="61" t="inlineStr">
        <is>
          <t>R3</t>
        </is>
      </c>
      <c r="D82" s="74" t="inlineStr">
        <is>
          <t>NG</t>
        </is>
      </c>
      <c r="E82" s="61" t="inlineStr">
        <is>
          <t>W2</t>
        </is>
      </c>
      <c r="F82" s="61" t="inlineStr">
        <is>
          <t>K014</t>
        </is>
      </c>
      <c r="G82" s="64" t="n">
        <v>5.32</v>
      </c>
      <c r="H82" s="65" t="n"/>
      <c r="I82" s="66" t="n"/>
      <c r="J82" s="67">
        <f>VLOOKUP(C82,Recipes!$A$2:$N$4,10,FALSE())</f>
        <v/>
      </c>
      <c r="K82" s="68">
        <f>VLOOKUP(C82,Recipes!$A$2:$N$4,12,FALSE())</f>
        <v/>
      </c>
      <c r="L82" s="67">
        <f>J82-3*K82</f>
        <v/>
      </c>
      <c r="M82" s="67">
        <f>J82+3*K82</f>
        <v/>
      </c>
      <c r="N82" s="61">
        <f>IF(G82="","",IF(AND(G82&gt;=L82,G82&lt;=M82),"OK","NG"))</f>
        <v/>
      </c>
      <c r="O82" s="69">
        <f>IF(N82="","",IF(N82=D82,1,0))</f>
        <v/>
      </c>
      <c r="P82" s="67">
        <f>IF(G82="","",J82-G82)</f>
        <v/>
      </c>
      <c r="Q82" s="67">
        <f>IF(G82="","",ABS(P82-Components!$D$2)/Components!$E$2)</f>
        <v/>
      </c>
      <c r="R82" s="67">
        <f>IF(G82="","",ABS(P82-Components!$D$3)/Components!$E$3)</f>
        <v/>
      </c>
      <c r="S82" s="67">
        <f>IF(G82="","",ABS(P82-Components!$D$4)/Components!$E$4)</f>
        <v/>
      </c>
      <c r="T82" s="67">
        <f>IF(G82="","",ABS(P82-Components!$D$5)/Components!$E$5)</f>
        <v/>
      </c>
      <c r="U82" s="67">
        <f>IF(G82="","",ABS(P82-Components!$D$6)/Components!$E$6)</f>
        <v/>
      </c>
      <c r="V82" s="67">
        <f>IF(G82="","",ABS(P82-Components!$D$7)/Components!$E$7)</f>
        <v/>
      </c>
      <c r="W82" s="61">
        <f>IF(G82="","",IF(N82="OK","NONE",INDEX({"S1","S2","W1","W2","N1","N2"},MATCH(MIN(Q82:V82),Q82:V82,0))))</f>
        <v/>
      </c>
      <c r="X82" s="69">
        <f>IF(G82="","",IF(W82=E82,1,0))</f>
        <v/>
      </c>
    </row>
    <row r="83">
      <c r="A83" s="61" t="n">
        <v>14</v>
      </c>
      <c r="B83" s="62" t="n">
        <v>45</v>
      </c>
      <c r="C83" s="61" t="inlineStr">
        <is>
          <t>R3</t>
        </is>
      </c>
      <c r="D83" s="74" t="inlineStr">
        <is>
          <t>NG</t>
        </is>
      </c>
      <c r="E83" s="61" t="inlineStr">
        <is>
          <t>W2</t>
        </is>
      </c>
      <c r="F83" s="61" t="inlineStr">
        <is>
          <t>K014</t>
        </is>
      </c>
      <c r="G83" s="64" t="n">
        <v>5.36</v>
      </c>
      <c r="H83" s="65" t="n"/>
      <c r="I83" s="66" t="n"/>
      <c r="J83" s="67">
        <f>VLOOKUP(C83,Recipes!$A$2:$N$4,10,FALSE())</f>
        <v/>
      </c>
      <c r="K83" s="68">
        <f>VLOOKUP(C83,Recipes!$A$2:$N$4,12,FALSE())</f>
        <v/>
      </c>
      <c r="L83" s="67">
        <f>J83-3*K83</f>
        <v/>
      </c>
      <c r="M83" s="67">
        <f>J83+3*K83</f>
        <v/>
      </c>
      <c r="N83" s="61">
        <f>IF(G83="","",IF(AND(G83&gt;=L83,G83&lt;=M83),"OK","NG"))</f>
        <v/>
      </c>
      <c r="O83" s="69">
        <f>IF(N83="","",IF(N83=D83,1,0))</f>
        <v/>
      </c>
      <c r="P83" s="67">
        <f>IF(G83="","",J83-G83)</f>
        <v/>
      </c>
      <c r="Q83" s="67">
        <f>IF(G83="","",ABS(P83-Components!$D$2)/Components!$E$2)</f>
        <v/>
      </c>
      <c r="R83" s="67">
        <f>IF(G83="","",ABS(P83-Components!$D$3)/Components!$E$3)</f>
        <v/>
      </c>
      <c r="S83" s="67">
        <f>IF(G83="","",ABS(P83-Components!$D$4)/Components!$E$4)</f>
        <v/>
      </c>
      <c r="T83" s="67">
        <f>IF(G83="","",ABS(P83-Components!$D$5)/Components!$E$5)</f>
        <v/>
      </c>
      <c r="U83" s="67">
        <f>IF(G83="","",ABS(P83-Components!$D$6)/Components!$E$6)</f>
        <v/>
      </c>
      <c r="V83" s="67">
        <f>IF(G83="","",ABS(P83-Components!$D$7)/Components!$E$7)</f>
        <v/>
      </c>
      <c r="W83" s="61">
        <f>IF(G83="","",IF(N83="OK","NONE",INDEX({"S1","S2","W1","W2","N1","N2"},MATCH(MIN(Q83:V83),Q83:V83,0))))</f>
        <v/>
      </c>
      <c r="X83" s="69">
        <f>IF(G83="","",IF(W83=E83,1,0))</f>
        <v/>
      </c>
    </row>
    <row r="84">
      <c r="A84" s="61" t="n">
        <v>14</v>
      </c>
      <c r="B84" s="62" t="n">
        <v>45</v>
      </c>
      <c r="C84" s="61" t="inlineStr">
        <is>
          <t>R3</t>
        </is>
      </c>
      <c r="D84" s="74" t="inlineStr">
        <is>
          <t>NG</t>
        </is>
      </c>
      <c r="E84" s="61" t="inlineStr">
        <is>
          <t>W2</t>
        </is>
      </c>
      <c r="F84" s="61" t="inlineStr">
        <is>
          <t>K014</t>
        </is>
      </c>
      <c r="G84" s="64" t="n">
        <v>5.42</v>
      </c>
      <c r="H84" s="65" t="n"/>
      <c r="I84" s="66" t="n"/>
      <c r="J84" s="67">
        <f>VLOOKUP(C84,Recipes!$A$2:$N$4,10,FALSE())</f>
        <v/>
      </c>
      <c r="K84" s="68">
        <f>VLOOKUP(C84,Recipes!$A$2:$N$4,12,FALSE())</f>
        <v/>
      </c>
      <c r="L84" s="67">
        <f>J84-3*K84</f>
        <v/>
      </c>
      <c r="M84" s="67">
        <f>J84+3*K84</f>
        <v/>
      </c>
      <c r="N84" s="61">
        <f>IF(G84="","",IF(AND(G84&gt;=L84,G84&lt;=M84),"OK","NG"))</f>
        <v/>
      </c>
      <c r="O84" s="69">
        <f>IF(N84="","",IF(N84=D84,1,0))</f>
        <v/>
      </c>
      <c r="P84" s="67">
        <f>IF(G84="","",J84-G84)</f>
        <v/>
      </c>
      <c r="Q84" s="67">
        <f>IF(G84="","",ABS(P84-Components!$D$2)/Components!$E$2)</f>
        <v/>
      </c>
      <c r="R84" s="67">
        <f>IF(G84="","",ABS(P84-Components!$D$3)/Components!$E$3)</f>
        <v/>
      </c>
      <c r="S84" s="67">
        <f>IF(G84="","",ABS(P84-Components!$D$4)/Components!$E$4)</f>
        <v/>
      </c>
      <c r="T84" s="67">
        <f>IF(G84="","",ABS(P84-Components!$D$5)/Components!$E$5)</f>
        <v/>
      </c>
      <c r="U84" s="67">
        <f>IF(G84="","",ABS(P84-Components!$D$6)/Components!$E$6)</f>
        <v/>
      </c>
      <c r="V84" s="67">
        <f>IF(G84="","",ABS(P84-Components!$D$7)/Components!$E$7)</f>
        <v/>
      </c>
      <c r="W84" s="61">
        <f>IF(G84="","",IF(N84="OK","NONE",INDEX({"S1","S2","W1","W2","N1","N2"},MATCH(MIN(Q84:V84),Q84:V84,0))))</f>
        <v/>
      </c>
      <c r="X84" s="69">
        <f>IF(G84="","",IF(W84=E84,1,0))</f>
        <v/>
      </c>
    </row>
    <row r="85">
      <c r="A85" s="61" t="n">
        <v>14</v>
      </c>
      <c r="B85" s="62" t="n">
        <v>45</v>
      </c>
      <c r="C85" s="61" t="inlineStr">
        <is>
          <t>R3</t>
        </is>
      </c>
      <c r="D85" s="74" t="inlineStr">
        <is>
          <t>NG</t>
        </is>
      </c>
      <c r="E85" s="61" t="inlineStr">
        <is>
          <t>W2</t>
        </is>
      </c>
      <c r="F85" s="61" t="inlineStr">
        <is>
          <t>K014</t>
        </is>
      </c>
      <c r="G85" s="64" t="n">
        <v>5.37</v>
      </c>
      <c r="H85" s="65" t="n"/>
      <c r="I85" s="66" t="n"/>
      <c r="J85" s="67">
        <f>VLOOKUP(C85,Recipes!$A$2:$N$4,10,FALSE())</f>
        <v/>
      </c>
      <c r="K85" s="68">
        <f>VLOOKUP(C85,Recipes!$A$2:$N$4,12,FALSE())</f>
        <v/>
      </c>
      <c r="L85" s="67">
        <f>J85-3*K85</f>
        <v/>
      </c>
      <c r="M85" s="67">
        <f>J85+3*K85</f>
        <v/>
      </c>
      <c r="N85" s="61">
        <f>IF(G85="","",IF(AND(G85&gt;=L85,G85&lt;=M85),"OK","NG"))</f>
        <v/>
      </c>
      <c r="O85" s="69">
        <f>IF(N85="","",IF(N85=D85,1,0))</f>
        <v/>
      </c>
      <c r="P85" s="67">
        <f>IF(G85="","",J85-G85)</f>
        <v/>
      </c>
      <c r="Q85" s="67">
        <f>IF(G85="","",ABS(P85-Components!$D$2)/Components!$E$2)</f>
        <v/>
      </c>
      <c r="R85" s="67">
        <f>IF(G85="","",ABS(P85-Components!$D$3)/Components!$E$3)</f>
        <v/>
      </c>
      <c r="S85" s="67">
        <f>IF(G85="","",ABS(P85-Components!$D$4)/Components!$E$4)</f>
        <v/>
      </c>
      <c r="T85" s="67">
        <f>IF(G85="","",ABS(P85-Components!$D$5)/Components!$E$5)</f>
        <v/>
      </c>
      <c r="U85" s="67">
        <f>IF(G85="","",ABS(P85-Components!$D$6)/Components!$E$6)</f>
        <v/>
      </c>
      <c r="V85" s="67">
        <f>IF(G85="","",ABS(P85-Components!$D$7)/Components!$E$7)</f>
        <v/>
      </c>
      <c r="W85" s="61">
        <f>IF(G85="","",IF(N85="OK","NONE",INDEX({"S1","S2","W1","W2","N1","N2"},MATCH(MIN(Q85:V85),Q85:V85,0))))</f>
        <v/>
      </c>
      <c r="X85" s="69">
        <f>IF(G85="","",IF(W85=E85,1,0))</f>
        <v/>
      </c>
    </row>
    <row r="86">
      <c r="A86" s="61" t="n">
        <v>14</v>
      </c>
      <c r="B86" s="62" t="n">
        <v>45</v>
      </c>
      <c r="C86" s="61" t="inlineStr">
        <is>
          <t>R3</t>
        </is>
      </c>
      <c r="D86" s="74" t="inlineStr">
        <is>
          <t>NG</t>
        </is>
      </c>
      <c r="E86" s="61" t="inlineStr">
        <is>
          <t>W2</t>
        </is>
      </c>
      <c r="F86" s="61" t="inlineStr">
        <is>
          <t>K014</t>
        </is>
      </c>
      <c r="G86" s="64" t="n">
        <v>5.4</v>
      </c>
      <c r="H86" s="65" t="n"/>
      <c r="I86" s="66" t="n"/>
      <c r="J86" s="67">
        <f>VLOOKUP(C86,Recipes!$A$2:$N$4,10,FALSE())</f>
        <v/>
      </c>
      <c r="K86" s="68">
        <f>VLOOKUP(C86,Recipes!$A$2:$N$4,12,FALSE())</f>
        <v/>
      </c>
      <c r="L86" s="67">
        <f>J86-3*K86</f>
        <v/>
      </c>
      <c r="M86" s="67">
        <f>J86+3*K86</f>
        <v/>
      </c>
      <c r="N86" s="61">
        <f>IF(G86="","",IF(AND(G86&gt;=L86,G86&lt;=M86),"OK","NG"))</f>
        <v/>
      </c>
      <c r="O86" s="69">
        <f>IF(N86="","",IF(N86=D86,1,0))</f>
        <v/>
      </c>
      <c r="P86" s="67">
        <f>IF(G86="","",J86-G86)</f>
        <v/>
      </c>
      <c r="Q86" s="67">
        <f>IF(G86="","",ABS(P86-Components!$D$2)/Components!$E$2)</f>
        <v/>
      </c>
      <c r="R86" s="67">
        <f>IF(G86="","",ABS(P86-Components!$D$3)/Components!$E$3)</f>
        <v/>
      </c>
      <c r="S86" s="67">
        <f>IF(G86="","",ABS(P86-Components!$D$4)/Components!$E$4)</f>
        <v/>
      </c>
      <c r="T86" s="67">
        <f>IF(G86="","",ABS(P86-Components!$D$5)/Components!$E$5)</f>
        <v/>
      </c>
      <c r="U86" s="67">
        <f>IF(G86="","",ABS(P86-Components!$D$6)/Components!$E$6)</f>
        <v/>
      </c>
      <c r="V86" s="67">
        <f>IF(G86="","",ABS(P86-Components!$D$7)/Components!$E$7)</f>
        <v/>
      </c>
      <c r="W86" s="61">
        <f>IF(G86="","",IF(N86="OK","NONE",INDEX({"S1","S2","W1","W2","N1","N2"},MATCH(MIN(Q86:V86),Q86:V86,0))))</f>
        <v/>
      </c>
      <c r="X86" s="69">
        <f>IF(G86="","",IF(W86=E86,1,0))</f>
        <v/>
      </c>
    </row>
    <row r="87">
      <c r="A87" s="61" t="n">
        <v>14</v>
      </c>
      <c r="B87" s="62" t="n">
        <v>45</v>
      </c>
      <c r="C87" s="61" t="inlineStr">
        <is>
          <t>R3</t>
        </is>
      </c>
      <c r="D87" s="74" t="inlineStr">
        <is>
          <t>NG</t>
        </is>
      </c>
      <c r="E87" s="61" t="inlineStr">
        <is>
          <t>W2</t>
        </is>
      </c>
      <c r="F87" s="61" t="inlineStr">
        <is>
          <t>K014</t>
        </is>
      </c>
      <c r="G87" s="64" t="n">
        <v>5.35</v>
      </c>
      <c r="H87" s="65" t="n"/>
      <c r="I87" s="66" t="n"/>
      <c r="J87" s="67">
        <f>VLOOKUP(C87,Recipes!$A$2:$N$4,10,FALSE())</f>
        <v/>
      </c>
      <c r="K87" s="68">
        <f>VLOOKUP(C87,Recipes!$A$2:$N$4,12,FALSE())</f>
        <v/>
      </c>
      <c r="L87" s="67">
        <f>J87-3*K87</f>
        <v/>
      </c>
      <c r="M87" s="67">
        <f>J87+3*K87</f>
        <v/>
      </c>
      <c r="N87" s="61">
        <f>IF(G87="","",IF(AND(G87&gt;=L87,G87&lt;=M87),"OK","NG"))</f>
        <v/>
      </c>
      <c r="O87" s="69">
        <f>IF(N87="","",IF(N87=D87,1,0))</f>
        <v/>
      </c>
      <c r="P87" s="67">
        <f>IF(G87="","",J87-G87)</f>
        <v/>
      </c>
      <c r="Q87" s="67">
        <f>IF(G87="","",ABS(P87-Components!$D$2)/Components!$E$2)</f>
        <v/>
      </c>
      <c r="R87" s="67">
        <f>IF(G87="","",ABS(P87-Components!$D$3)/Components!$E$3)</f>
        <v/>
      </c>
      <c r="S87" s="67">
        <f>IF(G87="","",ABS(P87-Components!$D$4)/Components!$E$4)</f>
        <v/>
      </c>
      <c r="T87" s="67">
        <f>IF(G87="","",ABS(P87-Components!$D$5)/Components!$E$5)</f>
        <v/>
      </c>
      <c r="U87" s="67">
        <f>IF(G87="","",ABS(P87-Components!$D$6)/Components!$E$6)</f>
        <v/>
      </c>
      <c r="V87" s="67">
        <f>IF(G87="","",ABS(P87-Components!$D$7)/Components!$E$7)</f>
        <v/>
      </c>
      <c r="W87" s="61">
        <f>IF(G87="","",IF(N87="OK","NONE",INDEX({"S1","S2","W1","W2","N1","N2"},MATCH(MIN(Q87:V87),Q87:V87,0))))</f>
        <v/>
      </c>
      <c r="X87" s="69">
        <f>IF(G87="","",IF(W87=E87,1,0))</f>
        <v/>
      </c>
    </row>
    <row r="88">
      <c r="A88" s="61" t="n">
        <v>14</v>
      </c>
      <c r="B88" s="62" t="n">
        <v>45</v>
      </c>
      <c r="C88" s="61" t="inlineStr">
        <is>
          <t>R3</t>
        </is>
      </c>
      <c r="D88" s="74" t="inlineStr">
        <is>
          <t>NG</t>
        </is>
      </c>
      <c r="E88" s="61" t="inlineStr">
        <is>
          <t>W2</t>
        </is>
      </c>
      <c r="F88" s="61" t="inlineStr">
        <is>
          <t>K014</t>
        </is>
      </c>
      <c r="G88" s="64" t="n">
        <v>5.38</v>
      </c>
      <c r="H88" s="65" t="n"/>
      <c r="I88" s="66" t="n"/>
      <c r="J88" s="67">
        <f>VLOOKUP(C88,Recipes!$A$2:$N$4,10,FALSE())</f>
        <v/>
      </c>
      <c r="K88" s="68">
        <f>VLOOKUP(C88,Recipes!$A$2:$N$4,12,FALSE())</f>
        <v/>
      </c>
      <c r="L88" s="67">
        <f>J88-3*K88</f>
        <v/>
      </c>
      <c r="M88" s="67">
        <f>J88+3*K88</f>
        <v/>
      </c>
      <c r="N88" s="61">
        <f>IF(G88="","",IF(AND(G88&gt;=L88,G88&lt;=M88),"OK","NG"))</f>
        <v/>
      </c>
      <c r="O88" s="69">
        <f>IF(N88="","",IF(N88=D88,1,0))</f>
        <v/>
      </c>
      <c r="P88" s="67">
        <f>IF(G88="","",J88-G88)</f>
        <v/>
      </c>
      <c r="Q88" s="67">
        <f>IF(G88="","",ABS(P88-Components!$D$2)/Components!$E$2)</f>
        <v/>
      </c>
      <c r="R88" s="67">
        <f>IF(G88="","",ABS(P88-Components!$D$3)/Components!$E$3)</f>
        <v/>
      </c>
      <c r="S88" s="67">
        <f>IF(G88="","",ABS(P88-Components!$D$4)/Components!$E$4)</f>
        <v/>
      </c>
      <c r="T88" s="67">
        <f>IF(G88="","",ABS(P88-Components!$D$5)/Components!$E$5)</f>
        <v/>
      </c>
      <c r="U88" s="67">
        <f>IF(G88="","",ABS(P88-Components!$D$6)/Components!$E$6)</f>
        <v/>
      </c>
      <c r="V88" s="67">
        <f>IF(G88="","",ABS(P88-Components!$D$7)/Components!$E$7)</f>
        <v/>
      </c>
      <c r="W88" s="61">
        <f>IF(G88="","",IF(N88="OK","NONE",INDEX({"S1","S2","W1","W2","N1","N2"},MATCH(MIN(Q88:V88),Q88:V88,0))))</f>
        <v/>
      </c>
      <c r="X88" s="69">
        <f>IF(G88="","",IF(W88=E88,1,0))</f>
        <v/>
      </c>
    </row>
    <row r="89">
      <c r="A89" s="61" t="n">
        <v>14</v>
      </c>
      <c r="B89" s="62" t="n">
        <v>45</v>
      </c>
      <c r="C89" s="61" t="inlineStr">
        <is>
          <t>R3</t>
        </is>
      </c>
      <c r="D89" s="74" t="inlineStr">
        <is>
          <t>NG</t>
        </is>
      </c>
      <c r="E89" s="61" t="inlineStr">
        <is>
          <t>W2</t>
        </is>
      </c>
      <c r="F89" s="61" t="inlineStr">
        <is>
          <t>K014</t>
        </is>
      </c>
      <c r="G89" s="64" t="n">
        <v>5.34</v>
      </c>
      <c r="H89" s="65" t="n"/>
      <c r="I89" s="66" t="n"/>
      <c r="J89" s="67">
        <f>VLOOKUP(C89,Recipes!$A$2:$N$4,10,FALSE())</f>
        <v/>
      </c>
      <c r="K89" s="68">
        <f>VLOOKUP(C89,Recipes!$A$2:$N$4,12,FALSE())</f>
        <v/>
      </c>
      <c r="L89" s="67">
        <f>J89-3*K89</f>
        <v/>
      </c>
      <c r="M89" s="67">
        <f>J89+3*K89</f>
        <v/>
      </c>
      <c r="N89" s="61">
        <f>IF(G89="","",IF(AND(G89&gt;=L89,G89&lt;=M89),"OK","NG"))</f>
        <v/>
      </c>
      <c r="O89" s="69">
        <f>IF(N89="","",IF(N89=D89,1,0))</f>
        <v/>
      </c>
      <c r="P89" s="67">
        <f>IF(G89="","",J89-G89)</f>
        <v/>
      </c>
      <c r="Q89" s="67">
        <f>IF(G89="","",ABS(P89-Components!$D$2)/Components!$E$2)</f>
        <v/>
      </c>
      <c r="R89" s="67">
        <f>IF(G89="","",ABS(P89-Components!$D$3)/Components!$E$3)</f>
        <v/>
      </c>
      <c r="S89" s="67">
        <f>IF(G89="","",ABS(P89-Components!$D$4)/Components!$E$4)</f>
        <v/>
      </c>
      <c r="T89" s="67">
        <f>IF(G89="","",ABS(P89-Components!$D$5)/Components!$E$5)</f>
        <v/>
      </c>
      <c r="U89" s="67">
        <f>IF(G89="","",ABS(P89-Components!$D$6)/Components!$E$6)</f>
        <v/>
      </c>
      <c r="V89" s="67">
        <f>IF(G89="","",ABS(P89-Components!$D$7)/Components!$E$7)</f>
        <v/>
      </c>
      <c r="W89" s="61">
        <f>IF(G89="","",IF(N89="OK","NONE",INDEX({"S1","S2","W1","W2","N1","N2"},MATCH(MIN(Q89:V89),Q89:V89,0))))</f>
        <v/>
      </c>
      <c r="X89" s="69">
        <f>IF(G89="","",IF(W89=E89,1,0))</f>
        <v/>
      </c>
    </row>
    <row r="90">
      <c r="A90" s="61" t="n">
        <v>14</v>
      </c>
      <c r="B90" s="62" t="n">
        <v>45</v>
      </c>
      <c r="C90" s="61" t="inlineStr">
        <is>
          <t>R3</t>
        </is>
      </c>
      <c r="D90" s="74" t="inlineStr">
        <is>
          <t>NG</t>
        </is>
      </c>
      <c r="E90" s="61" t="inlineStr">
        <is>
          <t>W2</t>
        </is>
      </c>
      <c r="F90" s="61" t="inlineStr">
        <is>
          <t>K014</t>
        </is>
      </c>
      <c r="G90" s="64" t="n">
        <v>5.42</v>
      </c>
      <c r="H90" s="65" t="n"/>
      <c r="I90" s="66" t="n"/>
      <c r="J90" s="67">
        <f>VLOOKUP(C90,Recipes!$A$2:$N$4,10,FALSE())</f>
        <v/>
      </c>
      <c r="K90" s="68">
        <f>VLOOKUP(C90,Recipes!$A$2:$N$4,12,FALSE())</f>
        <v/>
      </c>
      <c r="L90" s="67">
        <f>J90-3*K90</f>
        <v/>
      </c>
      <c r="M90" s="67">
        <f>J90+3*K90</f>
        <v/>
      </c>
      <c r="N90" s="61">
        <f>IF(G90="","",IF(AND(G90&gt;=L90,G90&lt;=M90),"OK","NG"))</f>
        <v/>
      </c>
      <c r="O90" s="69">
        <f>IF(N90="","",IF(N90=D90,1,0))</f>
        <v/>
      </c>
      <c r="P90" s="67">
        <f>IF(G90="","",J90-G90)</f>
        <v/>
      </c>
      <c r="Q90" s="67">
        <f>IF(G90="","",ABS(P90-Components!$D$2)/Components!$E$2)</f>
        <v/>
      </c>
      <c r="R90" s="67">
        <f>IF(G90="","",ABS(P90-Components!$D$3)/Components!$E$3)</f>
        <v/>
      </c>
      <c r="S90" s="67">
        <f>IF(G90="","",ABS(P90-Components!$D$4)/Components!$E$4)</f>
        <v/>
      </c>
      <c r="T90" s="67">
        <f>IF(G90="","",ABS(P90-Components!$D$5)/Components!$E$5)</f>
        <v/>
      </c>
      <c r="U90" s="67">
        <f>IF(G90="","",ABS(P90-Components!$D$6)/Components!$E$6)</f>
        <v/>
      </c>
      <c r="V90" s="67">
        <f>IF(G90="","",ABS(P90-Components!$D$7)/Components!$E$7)</f>
        <v/>
      </c>
      <c r="W90" s="61">
        <f>IF(G90="","",IF(N90="OK","NONE",INDEX({"S1","S2","W1","W2","N1","N2"},MATCH(MIN(Q90:V90),Q90:V90,0))))</f>
        <v/>
      </c>
      <c r="X90" s="69">
        <f>IF(G90="","",IF(W90=E90,1,0))</f>
        <v/>
      </c>
    </row>
    <row r="91">
      <c r="A91" s="61" t="n">
        <v>14</v>
      </c>
      <c r="B91" s="62" t="n">
        <v>45</v>
      </c>
      <c r="C91" s="61" t="inlineStr">
        <is>
          <t>R3</t>
        </is>
      </c>
      <c r="D91" s="74" t="inlineStr">
        <is>
          <t>NG</t>
        </is>
      </c>
      <c r="E91" s="61" t="inlineStr">
        <is>
          <t>W2</t>
        </is>
      </c>
      <c r="F91" s="61" t="inlineStr">
        <is>
          <t>K014</t>
        </is>
      </c>
      <c r="G91" s="64" t="n">
        <v>5.4</v>
      </c>
      <c r="H91" s="65" t="n"/>
      <c r="I91" s="66" t="n"/>
      <c r="J91" s="67">
        <f>VLOOKUP(C91,Recipes!$A$2:$N$4,10,FALSE())</f>
        <v/>
      </c>
      <c r="K91" s="68">
        <f>VLOOKUP(C91,Recipes!$A$2:$N$4,12,FALSE())</f>
        <v/>
      </c>
      <c r="L91" s="67">
        <f>J91-3*K91</f>
        <v/>
      </c>
      <c r="M91" s="67">
        <f>J91+3*K91</f>
        <v/>
      </c>
      <c r="N91" s="61">
        <f>IF(G91="","",IF(AND(G91&gt;=L91,G91&lt;=M91),"OK","NG"))</f>
        <v/>
      </c>
      <c r="O91" s="69">
        <f>IF(N91="","",IF(N91=D91,1,0))</f>
        <v/>
      </c>
      <c r="P91" s="67">
        <f>IF(G91="","",J91-G91)</f>
        <v/>
      </c>
      <c r="Q91" s="67">
        <f>IF(G91="","",ABS(P91-Components!$D$2)/Components!$E$2)</f>
        <v/>
      </c>
      <c r="R91" s="67">
        <f>IF(G91="","",ABS(P91-Components!$D$3)/Components!$E$3)</f>
        <v/>
      </c>
      <c r="S91" s="67">
        <f>IF(G91="","",ABS(P91-Components!$D$4)/Components!$E$4)</f>
        <v/>
      </c>
      <c r="T91" s="67">
        <f>IF(G91="","",ABS(P91-Components!$D$5)/Components!$E$5)</f>
        <v/>
      </c>
      <c r="U91" s="67">
        <f>IF(G91="","",ABS(P91-Components!$D$6)/Components!$E$6)</f>
        <v/>
      </c>
      <c r="V91" s="67">
        <f>IF(G91="","",ABS(P91-Components!$D$7)/Components!$E$7)</f>
        <v/>
      </c>
      <c r="W91" s="61">
        <f>IF(G91="","",IF(N91="OK","NONE",INDEX({"S1","S2","W1","W2","N1","N2"},MATCH(MIN(Q91:V91),Q91:V91,0))))</f>
        <v/>
      </c>
      <c r="X91" s="69">
        <f>IF(G91="","",IF(W91=E91,1,0))</f>
        <v/>
      </c>
    </row>
    <row r="92">
      <c r="A92" s="61" t="n">
        <v>15</v>
      </c>
      <c r="B92" s="62" t="n">
        <v>30</v>
      </c>
      <c r="C92" s="61" t="inlineStr">
        <is>
          <t>R3</t>
        </is>
      </c>
      <c r="D92" s="74" t="inlineStr">
        <is>
          <t>NG</t>
        </is>
      </c>
      <c r="E92" s="61" t="inlineStr">
        <is>
          <t>W2</t>
        </is>
      </c>
      <c r="F92" s="61" t="inlineStr">
        <is>
          <t>K015</t>
        </is>
      </c>
      <c r="G92" s="64" t="n">
        <v>5.42</v>
      </c>
      <c r="H92" s="65" t="n"/>
      <c r="I92" s="66" t="n"/>
      <c r="J92" s="67">
        <f>VLOOKUP(C92,Recipes!$A$2:$N$4,10,FALSE())</f>
        <v/>
      </c>
      <c r="K92" s="68">
        <f>VLOOKUP(C92,Recipes!$A$2:$N$4,12,FALSE())</f>
        <v/>
      </c>
      <c r="L92" s="67">
        <f>J92-3*K92</f>
        <v/>
      </c>
      <c r="M92" s="67">
        <f>J92+3*K92</f>
        <v/>
      </c>
      <c r="N92" s="61">
        <f>IF(G92="","",IF(AND(G92&gt;=L92,G92&lt;=M92),"OK","NG"))</f>
        <v/>
      </c>
      <c r="O92" s="69">
        <f>IF(N92="","",IF(N92=D92,1,0))</f>
        <v/>
      </c>
      <c r="P92" s="67">
        <f>IF(G92="","",J92-G92)</f>
        <v/>
      </c>
      <c r="Q92" s="67">
        <f>IF(G92="","",ABS(P92-Components!$D$2)/Components!$E$2)</f>
        <v/>
      </c>
      <c r="R92" s="67">
        <f>IF(G92="","",ABS(P92-Components!$D$3)/Components!$E$3)</f>
        <v/>
      </c>
      <c r="S92" s="67">
        <f>IF(G92="","",ABS(P92-Components!$D$4)/Components!$E$4)</f>
        <v/>
      </c>
      <c r="T92" s="67">
        <f>IF(G92="","",ABS(P92-Components!$D$5)/Components!$E$5)</f>
        <v/>
      </c>
      <c r="U92" s="67">
        <f>IF(G92="","",ABS(P92-Components!$D$6)/Components!$E$6)</f>
        <v/>
      </c>
      <c r="V92" s="67">
        <f>IF(G92="","",ABS(P92-Components!$D$7)/Components!$E$7)</f>
        <v/>
      </c>
      <c r="W92" s="61">
        <f>IF(G92="","",IF(N92="OK","NONE",INDEX({"S1","S2","W1","W2","N1","N2"},MATCH(MIN(Q92:V92),Q92:V92,0))))</f>
        <v/>
      </c>
      <c r="X92" s="69">
        <f>IF(G92="","",IF(W92=E92,1,0))</f>
        <v/>
      </c>
    </row>
    <row r="93">
      <c r="A93" s="61" t="n">
        <v>16</v>
      </c>
      <c r="B93" s="62" t="n">
        <v>55</v>
      </c>
      <c r="C93" s="61" t="inlineStr">
        <is>
          <t>R3</t>
        </is>
      </c>
      <c r="D93" s="74" t="inlineStr">
        <is>
          <t>NG</t>
        </is>
      </c>
      <c r="E93" s="61" t="inlineStr">
        <is>
          <t>N2</t>
        </is>
      </c>
      <c r="F93" s="61" t="inlineStr">
        <is>
          <t>K016</t>
        </is>
      </c>
      <c r="G93" s="64" t="n">
        <v>8.609999999999999</v>
      </c>
      <c r="H93" s="65" t="n"/>
      <c r="I93" s="66" t="n"/>
      <c r="J93" s="67">
        <f>VLOOKUP(C93,Recipes!$A$2:$N$4,10,FALSE())</f>
        <v/>
      </c>
      <c r="K93" s="68">
        <f>VLOOKUP(C93,Recipes!$A$2:$N$4,12,FALSE())</f>
        <v/>
      </c>
      <c r="L93" s="67">
        <f>J93-3*K93</f>
        <v/>
      </c>
      <c r="M93" s="67">
        <f>J93+3*K93</f>
        <v/>
      </c>
      <c r="N93" s="61">
        <f>IF(G93="","",IF(AND(G93&gt;=L93,G93&lt;=M93),"OK","NG"))</f>
        <v/>
      </c>
      <c r="O93" s="69">
        <f>IF(N93="","",IF(N93=D93,1,0))</f>
        <v/>
      </c>
      <c r="P93" s="67">
        <f>IF(G93="","",J93-G93)</f>
        <v/>
      </c>
      <c r="Q93" s="67">
        <f>IF(G93="","",ABS(P93-Components!$D$2)/Components!$E$2)</f>
        <v/>
      </c>
      <c r="R93" s="67">
        <f>IF(G93="","",ABS(P93-Components!$D$3)/Components!$E$3)</f>
        <v/>
      </c>
      <c r="S93" s="67">
        <f>IF(G93="","",ABS(P93-Components!$D$4)/Components!$E$4)</f>
        <v/>
      </c>
      <c r="T93" s="67">
        <f>IF(G93="","",ABS(P93-Components!$D$5)/Components!$E$5)</f>
        <v/>
      </c>
      <c r="U93" s="67">
        <f>IF(G93="","",ABS(P93-Components!$D$6)/Components!$E$6)</f>
        <v/>
      </c>
      <c r="V93" s="67">
        <f>IF(G93="","",ABS(P93-Components!$D$7)/Components!$E$7)</f>
        <v/>
      </c>
      <c r="W93" s="61">
        <f>IF(G93="","",IF(N93="OK","NONE",INDEX({"S1","S2","W1","W2","N1","N2"},MATCH(MIN(Q93:V93),Q93:V93,0))))</f>
        <v/>
      </c>
      <c r="X93" s="69">
        <f>IF(G93="","",IF(W93=E93,1,0))</f>
        <v/>
      </c>
    </row>
    <row r="94">
      <c r="A94" s="61" t="n">
        <v>17</v>
      </c>
      <c r="B94" s="62" t="n">
        <v>4</v>
      </c>
      <c r="C94" s="61" t="inlineStr">
        <is>
          <t>R3</t>
        </is>
      </c>
      <c r="D94" s="74" t="inlineStr">
        <is>
          <t>NG</t>
        </is>
      </c>
      <c r="E94" s="61" t="inlineStr">
        <is>
          <t>N2</t>
        </is>
      </c>
      <c r="F94" s="61" t="inlineStr">
        <is>
          <t>K017</t>
        </is>
      </c>
      <c r="G94" s="64" t="n">
        <v>8.619999999999999</v>
      </c>
      <c r="H94" s="65" t="n"/>
      <c r="I94" s="66" t="n"/>
      <c r="J94" s="67">
        <f>VLOOKUP(C94,Recipes!$A$2:$N$4,10,FALSE())</f>
        <v/>
      </c>
      <c r="K94" s="68">
        <f>VLOOKUP(C94,Recipes!$A$2:$N$4,12,FALSE())</f>
        <v/>
      </c>
      <c r="L94" s="67">
        <f>J94-3*K94</f>
        <v/>
      </c>
      <c r="M94" s="67">
        <f>J94+3*K94</f>
        <v/>
      </c>
      <c r="N94" s="61">
        <f>IF(G94="","",IF(AND(G94&gt;=L94,G94&lt;=M94),"OK","NG"))</f>
        <v/>
      </c>
      <c r="O94" s="69">
        <f>IF(N94="","",IF(N94=D94,1,0))</f>
        <v/>
      </c>
      <c r="P94" s="67">
        <f>IF(G94="","",J94-G94)</f>
        <v/>
      </c>
      <c r="Q94" s="67">
        <f>IF(G94="","",ABS(P94-Components!$D$2)/Components!$E$2)</f>
        <v/>
      </c>
      <c r="R94" s="67">
        <f>IF(G94="","",ABS(P94-Components!$D$3)/Components!$E$3)</f>
        <v/>
      </c>
      <c r="S94" s="67">
        <f>IF(G94="","",ABS(P94-Components!$D$4)/Components!$E$4)</f>
        <v/>
      </c>
      <c r="T94" s="67">
        <f>IF(G94="","",ABS(P94-Components!$D$5)/Components!$E$5)</f>
        <v/>
      </c>
      <c r="U94" s="67">
        <f>IF(G94="","",ABS(P94-Components!$D$6)/Components!$E$6)</f>
        <v/>
      </c>
      <c r="V94" s="67">
        <f>IF(G94="","",ABS(P94-Components!$D$7)/Components!$E$7)</f>
        <v/>
      </c>
      <c r="W94" s="61">
        <f>IF(G94="","",IF(N94="OK","NONE",INDEX({"S1","S2","W1","W2","N1","N2"},MATCH(MIN(Q94:V94),Q94:V94,0))))</f>
        <v/>
      </c>
      <c r="X94" s="69">
        <f>IF(G94="","",IF(W94=E94,1,0))</f>
        <v/>
      </c>
    </row>
    <row r="95">
      <c r="A95" s="61" t="n">
        <v>18</v>
      </c>
      <c r="B95" s="62" t="n">
        <v>22</v>
      </c>
      <c r="C95" s="61" t="inlineStr">
        <is>
          <t>R3</t>
        </is>
      </c>
      <c r="D95" s="74" t="inlineStr">
        <is>
          <t>NG</t>
        </is>
      </c>
      <c r="E95" s="61" t="inlineStr">
        <is>
          <t>N2</t>
        </is>
      </c>
      <c r="F95" s="61" t="inlineStr">
        <is>
          <t>K018</t>
        </is>
      </c>
      <c r="G95" s="64" t="n">
        <v>8.630000000000001</v>
      </c>
      <c r="H95" s="65" t="n"/>
      <c r="I95" s="66" t="n"/>
      <c r="J95" s="67">
        <f>VLOOKUP(C95,Recipes!$A$2:$N$4,10,FALSE())</f>
        <v/>
      </c>
      <c r="K95" s="68">
        <f>VLOOKUP(C95,Recipes!$A$2:$N$4,12,FALSE())</f>
        <v/>
      </c>
      <c r="L95" s="67">
        <f>J95-3*K95</f>
        <v/>
      </c>
      <c r="M95" s="67">
        <f>J95+3*K95</f>
        <v/>
      </c>
      <c r="N95" s="61">
        <f>IF(G95="","",IF(AND(G95&gt;=L95,G95&lt;=M95),"OK","NG"))</f>
        <v/>
      </c>
      <c r="O95" s="69">
        <f>IF(N95="","",IF(N95=D95,1,0))</f>
        <v/>
      </c>
      <c r="P95" s="67">
        <f>IF(G95="","",J95-G95)</f>
        <v/>
      </c>
      <c r="Q95" s="67">
        <f>IF(G95="","",ABS(P95-Components!$D$2)/Components!$E$2)</f>
        <v/>
      </c>
      <c r="R95" s="67">
        <f>IF(G95="","",ABS(P95-Components!$D$3)/Components!$E$3)</f>
        <v/>
      </c>
      <c r="S95" s="67">
        <f>IF(G95="","",ABS(P95-Components!$D$4)/Components!$E$4)</f>
        <v/>
      </c>
      <c r="T95" s="67">
        <f>IF(G95="","",ABS(P95-Components!$D$5)/Components!$E$5)</f>
        <v/>
      </c>
      <c r="U95" s="67">
        <f>IF(G95="","",ABS(P95-Components!$D$6)/Components!$E$6)</f>
        <v/>
      </c>
      <c r="V95" s="67">
        <f>IF(G95="","",ABS(P95-Components!$D$7)/Components!$E$7)</f>
        <v/>
      </c>
      <c r="W95" s="61">
        <f>IF(G95="","",IF(N95="OK","NONE",INDEX({"S1","S2","W1","W2","N1","N2"},MATCH(MIN(Q95:V95),Q95:V95,0))))</f>
        <v/>
      </c>
      <c r="X95" s="69">
        <f>IF(G95="","",IF(W95=E95,1,0))</f>
        <v/>
      </c>
    </row>
    <row r="96">
      <c r="A96" s="61" t="n">
        <v>19</v>
      </c>
      <c r="B96" s="62" t="n">
        <v>47</v>
      </c>
      <c r="C96" s="61" t="inlineStr">
        <is>
          <t>R3</t>
        </is>
      </c>
      <c r="D96" s="74" t="inlineStr">
        <is>
          <t>NG</t>
        </is>
      </c>
      <c r="E96" s="61" t="inlineStr">
        <is>
          <t>N2</t>
        </is>
      </c>
      <c r="F96" s="61" t="inlineStr">
        <is>
          <t>K019</t>
        </is>
      </c>
      <c r="G96" s="64" t="n">
        <v>8.619999999999999</v>
      </c>
      <c r="H96" s="65" t="n"/>
      <c r="I96" s="66" t="n"/>
      <c r="J96" s="67">
        <f>VLOOKUP(C96,Recipes!$A$2:$N$4,10,FALSE())</f>
        <v/>
      </c>
      <c r="K96" s="68">
        <f>VLOOKUP(C96,Recipes!$A$2:$N$4,12,FALSE())</f>
        <v/>
      </c>
      <c r="L96" s="67">
        <f>J96-3*K96</f>
        <v/>
      </c>
      <c r="M96" s="67">
        <f>J96+3*K96</f>
        <v/>
      </c>
      <c r="N96" s="61">
        <f>IF(G96="","",IF(AND(G96&gt;=L96,G96&lt;=M96),"OK","NG"))</f>
        <v/>
      </c>
      <c r="O96" s="69">
        <f>IF(N96="","",IF(N96=D96,1,0))</f>
        <v/>
      </c>
      <c r="P96" s="67">
        <f>IF(G96="","",J96-G96)</f>
        <v/>
      </c>
      <c r="Q96" s="67">
        <f>IF(G96="","",ABS(P96-Components!$D$2)/Components!$E$2)</f>
        <v/>
      </c>
      <c r="R96" s="67">
        <f>IF(G96="","",ABS(P96-Components!$D$3)/Components!$E$3)</f>
        <v/>
      </c>
      <c r="S96" s="67">
        <f>IF(G96="","",ABS(P96-Components!$D$4)/Components!$E$4)</f>
        <v/>
      </c>
      <c r="T96" s="67">
        <f>IF(G96="","",ABS(P96-Components!$D$5)/Components!$E$5)</f>
        <v/>
      </c>
      <c r="U96" s="67">
        <f>IF(G96="","",ABS(P96-Components!$D$6)/Components!$E$6)</f>
        <v/>
      </c>
      <c r="V96" s="67">
        <f>IF(G96="","",ABS(P96-Components!$D$7)/Components!$E$7)</f>
        <v/>
      </c>
      <c r="W96" s="61">
        <f>IF(G96="","",IF(N96="OK","NONE",INDEX({"S1","S2","W1","W2","N1","N2"},MATCH(MIN(Q96:V96),Q96:V96,0))))</f>
        <v/>
      </c>
      <c r="X96" s="69">
        <f>IF(G96="","",IF(W96=E96,1,0))</f>
        <v/>
      </c>
    </row>
    <row r="97">
      <c r="A97" s="61" t="n">
        <v>19</v>
      </c>
      <c r="B97" s="62" t="n">
        <v>47</v>
      </c>
      <c r="C97" s="61" t="inlineStr">
        <is>
          <t>R3</t>
        </is>
      </c>
      <c r="D97" s="74" t="inlineStr">
        <is>
          <t>NG</t>
        </is>
      </c>
      <c r="E97" s="61" t="inlineStr">
        <is>
          <t>N2</t>
        </is>
      </c>
      <c r="F97" s="61" t="inlineStr">
        <is>
          <t>K019</t>
        </is>
      </c>
      <c r="G97" s="64" t="n">
        <v>8.539999999999999</v>
      </c>
      <c r="H97" s="65" t="n"/>
      <c r="I97" s="66" t="n"/>
      <c r="J97" s="67">
        <f>VLOOKUP(C97,Recipes!$A$2:$N$4,10,FALSE())</f>
        <v/>
      </c>
      <c r="K97" s="68">
        <f>VLOOKUP(C97,Recipes!$A$2:$N$4,12,FALSE())</f>
        <v/>
      </c>
      <c r="L97" s="67">
        <f>J97-3*K97</f>
        <v/>
      </c>
      <c r="M97" s="67">
        <f>J97+3*K97</f>
        <v/>
      </c>
      <c r="N97" s="61">
        <f>IF(G97="","",IF(AND(G97&gt;=L97,G97&lt;=M97),"OK","NG"))</f>
        <v/>
      </c>
      <c r="O97" s="69">
        <f>IF(N97="","",IF(N97=D97,1,0))</f>
        <v/>
      </c>
      <c r="P97" s="67">
        <f>IF(G97="","",J97-G97)</f>
        <v/>
      </c>
      <c r="Q97" s="67">
        <f>IF(G97="","",ABS(P97-Components!$D$2)/Components!$E$2)</f>
        <v/>
      </c>
      <c r="R97" s="67">
        <f>IF(G97="","",ABS(P97-Components!$D$3)/Components!$E$3)</f>
        <v/>
      </c>
      <c r="S97" s="67">
        <f>IF(G97="","",ABS(P97-Components!$D$4)/Components!$E$4)</f>
        <v/>
      </c>
      <c r="T97" s="67">
        <f>IF(G97="","",ABS(P97-Components!$D$5)/Components!$E$5)</f>
        <v/>
      </c>
      <c r="U97" s="67">
        <f>IF(G97="","",ABS(P97-Components!$D$6)/Components!$E$6)</f>
        <v/>
      </c>
      <c r="V97" s="67">
        <f>IF(G97="","",ABS(P97-Components!$D$7)/Components!$E$7)</f>
        <v/>
      </c>
      <c r="W97" s="61">
        <f>IF(G97="","",IF(N97="OK","NONE",INDEX({"S1","S2","W1","W2","N1","N2"},MATCH(MIN(Q97:V97),Q97:V97,0))))</f>
        <v/>
      </c>
      <c r="X97" s="69">
        <f>IF(G97="","",IF(W97=E97,1,0))</f>
        <v/>
      </c>
    </row>
    <row r="98">
      <c r="A98" s="61" t="n">
        <v>19</v>
      </c>
      <c r="B98" s="62" t="n">
        <v>47</v>
      </c>
      <c r="C98" s="61" t="inlineStr">
        <is>
          <t>R3</t>
        </is>
      </c>
      <c r="D98" s="74" t="inlineStr">
        <is>
          <t>NG</t>
        </is>
      </c>
      <c r="E98" s="61" t="inlineStr">
        <is>
          <t>N2</t>
        </is>
      </c>
      <c r="F98" s="61" t="inlineStr">
        <is>
          <t>K019</t>
        </is>
      </c>
      <c r="G98" s="64" t="n">
        <v>8.48</v>
      </c>
      <c r="H98" s="65" t="n"/>
      <c r="I98" s="66" t="n"/>
      <c r="J98" s="67">
        <f>VLOOKUP(C98,Recipes!$A$2:$N$4,10,FALSE())</f>
        <v/>
      </c>
      <c r="K98" s="68">
        <f>VLOOKUP(C98,Recipes!$A$2:$N$4,12,FALSE())</f>
        <v/>
      </c>
      <c r="L98" s="67">
        <f>J98-3*K98</f>
        <v/>
      </c>
      <c r="M98" s="67">
        <f>J98+3*K98</f>
        <v/>
      </c>
      <c r="N98" s="61">
        <f>IF(G98="","",IF(AND(G98&gt;=L98,G98&lt;=M98),"OK","NG"))</f>
        <v/>
      </c>
      <c r="O98" s="69">
        <f>IF(N98="","",IF(N98=D98,1,0))</f>
        <v/>
      </c>
      <c r="P98" s="67">
        <f>IF(G98="","",J98-G98)</f>
        <v/>
      </c>
      <c r="Q98" s="67">
        <f>IF(G98="","",ABS(P98-Components!$D$2)/Components!$E$2)</f>
        <v/>
      </c>
      <c r="R98" s="67">
        <f>IF(G98="","",ABS(P98-Components!$D$3)/Components!$E$3)</f>
        <v/>
      </c>
      <c r="S98" s="67">
        <f>IF(G98="","",ABS(P98-Components!$D$4)/Components!$E$4)</f>
        <v/>
      </c>
      <c r="T98" s="67">
        <f>IF(G98="","",ABS(P98-Components!$D$5)/Components!$E$5)</f>
        <v/>
      </c>
      <c r="U98" s="67">
        <f>IF(G98="","",ABS(P98-Components!$D$6)/Components!$E$6)</f>
        <v/>
      </c>
      <c r="V98" s="67">
        <f>IF(G98="","",ABS(P98-Components!$D$7)/Components!$E$7)</f>
        <v/>
      </c>
      <c r="W98" s="61">
        <f>IF(G98="","",IF(N98="OK","NONE",INDEX({"S1","S2","W1","W2","N1","N2"},MATCH(MIN(Q98:V98),Q98:V98,0))))</f>
        <v/>
      </c>
      <c r="X98" s="69">
        <f>IF(G98="","",IF(W98=E98,1,0))</f>
        <v/>
      </c>
    </row>
    <row r="99">
      <c r="A99" s="61" t="n">
        <v>19</v>
      </c>
      <c r="B99" s="62" t="n">
        <v>47</v>
      </c>
      <c r="C99" s="61" t="inlineStr">
        <is>
          <t>R3</t>
        </is>
      </c>
      <c r="D99" s="74" t="inlineStr">
        <is>
          <t>NG</t>
        </is>
      </c>
      <c r="E99" s="61" t="inlineStr">
        <is>
          <t>N2</t>
        </is>
      </c>
      <c r="F99" s="61" t="inlineStr">
        <is>
          <t>K019</t>
        </is>
      </c>
      <c r="G99" s="64" t="n">
        <v>8.6</v>
      </c>
      <c r="H99" s="65" t="n"/>
      <c r="I99" s="66" t="n"/>
      <c r="J99" s="67">
        <f>VLOOKUP(C99,Recipes!$A$2:$N$4,10,FALSE())</f>
        <v/>
      </c>
      <c r="K99" s="68">
        <f>VLOOKUP(C99,Recipes!$A$2:$N$4,12,FALSE())</f>
        <v/>
      </c>
      <c r="L99" s="67">
        <f>J99-3*K99</f>
        <v/>
      </c>
      <c r="M99" s="67">
        <f>J99+3*K99</f>
        <v/>
      </c>
      <c r="N99" s="61">
        <f>IF(G99="","",IF(AND(G99&gt;=L99,G99&lt;=M99),"OK","NG"))</f>
        <v/>
      </c>
      <c r="O99" s="69">
        <f>IF(N99="","",IF(N99=D99,1,0))</f>
        <v/>
      </c>
      <c r="P99" s="67">
        <f>IF(G99="","",J99-G99)</f>
        <v/>
      </c>
      <c r="Q99" s="67">
        <f>IF(G99="","",ABS(P99-Components!$D$2)/Components!$E$2)</f>
        <v/>
      </c>
      <c r="R99" s="67">
        <f>IF(G99="","",ABS(P99-Components!$D$3)/Components!$E$3)</f>
        <v/>
      </c>
      <c r="S99" s="67">
        <f>IF(G99="","",ABS(P99-Components!$D$4)/Components!$E$4)</f>
        <v/>
      </c>
      <c r="T99" s="67">
        <f>IF(G99="","",ABS(P99-Components!$D$5)/Components!$E$5)</f>
        <v/>
      </c>
      <c r="U99" s="67">
        <f>IF(G99="","",ABS(P99-Components!$D$6)/Components!$E$6)</f>
        <v/>
      </c>
      <c r="V99" s="67">
        <f>IF(G99="","",ABS(P99-Components!$D$7)/Components!$E$7)</f>
        <v/>
      </c>
      <c r="W99" s="61">
        <f>IF(G99="","",IF(N99="OK","NONE",INDEX({"S1","S2","W1","W2","N1","N2"},MATCH(MIN(Q99:V99),Q99:V99,0))))</f>
        <v/>
      </c>
      <c r="X99" s="69">
        <f>IF(G99="","",IF(W99=E99,1,0))</f>
        <v/>
      </c>
    </row>
    <row r="100">
      <c r="A100" s="61" t="n">
        <v>19</v>
      </c>
      <c r="B100" s="62" t="n">
        <v>47</v>
      </c>
      <c r="C100" s="61" t="inlineStr">
        <is>
          <t>R3</t>
        </is>
      </c>
      <c r="D100" s="74" t="inlineStr">
        <is>
          <t>NG</t>
        </is>
      </c>
      <c r="E100" s="61" t="inlineStr">
        <is>
          <t>N2</t>
        </is>
      </c>
      <c r="F100" s="61" t="inlineStr">
        <is>
          <t>K019</t>
        </is>
      </c>
      <c r="G100" s="64" t="n">
        <v>8.630000000000001</v>
      </c>
      <c r="H100" s="65" t="n"/>
      <c r="I100" s="66" t="n"/>
      <c r="J100" s="67">
        <f>VLOOKUP(C100,Recipes!$A$2:$N$4,10,FALSE())</f>
        <v/>
      </c>
      <c r="K100" s="68">
        <f>VLOOKUP(C100,Recipes!$A$2:$N$4,12,FALSE())</f>
        <v/>
      </c>
      <c r="L100" s="67">
        <f>J100-3*K100</f>
        <v/>
      </c>
      <c r="M100" s="67">
        <f>J100+3*K100</f>
        <v/>
      </c>
      <c r="N100" s="61">
        <f>IF(G100="","",IF(AND(G100&gt;=L100,G100&lt;=M100),"OK","NG"))</f>
        <v/>
      </c>
      <c r="O100" s="69">
        <f>IF(N100="","",IF(N100=D100,1,0))</f>
        <v/>
      </c>
      <c r="P100" s="67">
        <f>IF(G100="","",J100-G100)</f>
        <v/>
      </c>
      <c r="Q100" s="67">
        <f>IF(G100="","",ABS(P100-Components!$D$2)/Components!$E$2)</f>
        <v/>
      </c>
      <c r="R100" s="67">
        <f>IF(G100="","",ABS(P100-Components!$D$3)/Components!$E$3)</f>
        <v/>
      </c>
      <c r="S100" s="67">
        <f>IF(G100="","",ABS(P100-Components!$D$4)/Components!$E$4)</f>
        <v/>
      </c>
      <c r="T100" s="67">
        <f>IF(G100="","",ABS(P100-Components!$D$5)/Components!$E$5)</f>
        <v/>
      </c>
      <c r="U100" s="67">
        <f>IF(G100="","",ABS(P100-Components!$D$6)/Components!$E$6)</f>
        <v/>
      </c>
      <c r="V100" s="67">
        <f>IF(G100="","",ABS(P100-Components!$D$7)/Components!$E$7)</f>
        <v/>
      </c>
      <c r="W100" s="61">
        <f>IF(G100="","",IF(N100="OK","NONE",INDEX({"S1","S2","W1","W2","N1","N2"},MATCH(MIN(Q100:V100),Q100:V100,0))))</f>
        <v/>
      </c>
      <c r="X100" s="69">
        <f>IF(G100="","",IF(W100=E100,1,0))</f>
        <v/>
      </c>
    </row>
    <row r="101">
      <c r="A101" s="61" t="n">
        <v>19</v>
      </c>
      <c r="B101" s="62" t="n">
        <v>47</v>
      </c>
      <c r="C101" s="61" t="inlineStr">
        <is>
          <t>R3</t>
        </is>
      </c>
      <c r="D101" s="74" t="inlineStr">
        <is>
          <t>NG</t>
        </is>
      </c>
      <c r="E101" s="61" t="inlineStr">
        <is>
          <t>N2</t>
        </is>
      </c>
      <c r="F101" s="61" t="inlineStr">
        <is>
          <t>K019</t>
        </is>
      </c>
      <c r="G101" s="64" t="n">
        <v>8.6</v>
      </c>
      <c r="H101" s="65" t="n"/>
      <c r="I101" s="66" t="n"/>
      <c r="J101" s="67">
        <f>VLOOKUP(C101,Recipes!$A$2:$N$4,10,FALSE())</f>
        <v/>
      </c>
      <c r="K101" s="68">
        <f>VLOOKUP(C101,Recipes!$A$2:$N$4,12,FALSE())</f>
        <v/>
      </c>
      <c r="L101" s="67">
        <f>J101-3*K101</f>
        <v/>
      </c>
      <c r="M101" s="67">
        <f>J101+3*K101</f>
        <v/>
      </c>
      <c r="N101" s="61">
        <f>IF(G101="","",IF(AND(G101&gt;=L101,G101&lt;=M101),"OK","NG"))</f>
        <v/>
      </c>
      <c r="O101" s="69">
        <f>IF(N101="","",IF(N101=D101,1,0))</f>
        <v/>
      </c>
      <c r="P101" s="67">
        <f>IF(G101="","",J101-G101)</f>
        <v/>
      </c>
      <c r="Q101" s="67">
        <f>IF(G101="","",ABS(P101-Components!$D$2)/Components!$E$2)</f>
        <v/>
      </c>
      <c r="R101" s="67">
        <f>IF(G101="","",ABS(P101-Components!$D$3)/Components!$E$3)</f>
        <v/>
      </c>
      <c r="S101" s="67">
        <f>IF(G101="","",ABS(P101-Components!$D$4)/Components!$E$4)</f>
        <v/>
      </c>
      <c r="T101" s="67">
        <f>IF(G101="","",ABS(P101-Components!$D$5)/Components!$E$5)</f>
        <v/>
      </c>
      <c r="U101" s="67">
        <f>IF(G101="","",ABS(P101-Components!$D$6)/Components!$E$6)</f>
        <v/>
      </c>
      <c r="V101" s="67">
        <f>IF(G101="","",ABS(P101-Components!$D$7)/Components!$E$7)</f>
        <v/>
      </c>
      <c r="W101" s="61">
        <f>IF(G101="","",IF(N101="OK","NONE",INDEX({"S1","S2","W1","W2","N1","N2"},MATCH(MIN(Q101:V101),Q101:V101,0))))</f>
        <v/>
      </c>
      <c r="X101" s="69">
        <f>IF(G101="","",IF(W101=E101,1,0))</f>
        <v/>
      </c>
    </row>
    <row r="102">
      <c r="A102" s="61" t="n">
        <v>19</v>
      </c>
      <c r="B102" s="62" t="n">
        <v>47</v>
      </c>
      <c r="C102" s="61" t="inlineStr">
        <is>
          <t>R3</t>
        </is>
      </c>
      <c r="D102" s="74" t="inlineStr">
        <is>
          <t>NG</t>
        </is>
      </c>
      <c r="E102" s="61" t="inlineStr">
        <is>
          <t>N2</t>
        </is>
      </c>
      <c r="F102" s="61" t="inlineStr">
        <is>
          <t>K019</t>
        </is>
      </c>
      <c r="G102" s="64" t="n">
        <v>8.619999999999999</v>
      </c>
      <c r="H102" s="65" t="n"/>
      <c r="I102" s="66" t="n"/>
      <c r="J102" s="67">
        <f>VLOOKUP(C102,Recipes!$A$2:$N$4,10,FALSE())</f>
        <v/>
      </c>
      <c r="K102" s="68">
        <f>VLOOKUP(C102,Recipes!$A$2:$N$4,12,FALSE())</f>
        <v/>
      </c>
      <c r="L102" s="67">
        <f>J102-3*K102</f>
        <v/>
      </c>
      <c r="M102" s="67">
        <f>J102+3*K102</f>
        <v/>
      </c>
      <c r="N102" s="61">
        <f>IF(G102="","",IF(AND(G102&gt;=L102,G102&lt;=M102),"OK","NG"))</f>
        <v/>
      </c>
      <c r="O102" s="69">
        <f>IF(N102="","",IF(N102=D102,1,0))</f>
        <v/>
      </c>
      <c r="P102" s="67">
        <f>IF(G102="","",J102-G102)</f>
        <v/>
      </c>
      <c r="Q102" s="67">
        <f>IF(G102="","",ABS(P102-Components!$D$2)/Components!$E$2)</f>
        <v/>
      </c>
      <c r="R102" s="67">
        <f>IF(G102="","",ABS(P102-Components!$D$3)/Components!$E$3)</f>
        <v/>
      </c>
      <c r="S102" s="67">
        <f>IF(G102="","",ABS(P102-Components!$D$4)/Components!$E$4)</f>
        <v/>
      </c>
      <c r="T102" s="67">
        <f>IF(G102="","",ABS(P102-Components!$D$5)/Components!$E$5)</f>
        <v/>
      </c>
      <c r="U102" s="67">
        <f>IF(G102="","",ABS(P102-Components!$D$6)/Components!$E$6)</f>
        <v/>
      </c>
      <c r="V102" s="67">
        <f>IF(G102="","",ABS(P102-Components!$D$7)/Components!$E$7)</f>
        <v/>
      </c>
      <c r="W102" s="61">
        <f>IF(G102="","",IF(N102="OK","NONE",INDEX({"S1","S2","W1","W2","N1","N2"},MATCH(MIN(Q102:V102),Q102:V102,0))))</f>
        <v/>
      </c>
      <c r="X102" s="69">
        <f>IF(G102="","",IF(W102=E102,1,0))</f>
        <v/>
      </c>
    </row>
    <row r="103">
      <c r="A103" s="61" t="n">
        <v>19</v>
      </c>
      <c r="B103" s="62" t="n">
        <v>47</v>
      </c>
      <c r="C103" s="61" t="inlineStr">
        <is>
          <t>R3</t>
        </is>
      </c>
      <c r="D103" s="74" t="inlineStr">
        <is>
          <t>NG</t>
        </is>
      </c>
      <c r="E103" s="61" t="inlineStr">
        <is>
          <t>N2</t>
        </is>
      </c>
      <c r="F103" s="61" t="inlineStr">
        <is>
          <t>K019</t>
        </is>
      </c>
      <c r="G103" s="64" t="n">
        <v>8.6</v>
      </c>
      <c r="H103" s="65" t="n"/>
      <c r="I103" s="66" t="n"/>
      <c r="J103" s="67">
        <f>VLOOKUP(C103,Recipes!$A$2:$N$4,10,FALSE())</f>
        <v/>
      </c>
      <c r="K103" s="68">
        <f>VLOOKUP(C103,Recipes!$A$2:$N$4,12,FALSE())</f>
        <v/>
      </c>
      <c r="L103" s="67">
        <f>J103-3*K103</f>
        <v/>
      </c>
      <c r="M103" s="67">
        <f>J103+3*K103</f>
        <v/>
      </c>
      <c r="N103" s="61">
        <f>IF(G103="","",IF(AND(G103&gt;=L103,G103&lt;=M103),"OK","NG"))</f>
        <v/>
      </c>
      <c r="O103" s="69">
        <f>IF(N103="","",IF(N103=D103,1,0))</f>
        <v/>
      </c>
      <c r="P103" s="67">
        <f>IF(G103="","",J103-G103)</f>
        <v/>
      </c>
      <c r="Q103" s="67">
        <f>IF(G103="","",ABS(P103-Components!$D$2)/Components!$E$2)</f>
        <v/>
      </c>
      <c r="R103" s="67">
        <f>IF(G103="","",ABS(P103-Components!$D$3)/Components!$E$3)</f>
        <v/>
      </c>
      <c r="S103" s="67">
        <f>IF(G103="","",ABS(P103-Components!$D$4)/Components!$E$4)</f>
        <v/>
      </c>
      <c r="T103" s="67">
        <f>IF(G103="","",ABS(P103-Components!$D$5)/Components!$E$5)</f>
        <v/>
      </c>
      <c r="U103" s="67">
        <f>IF(G103="","",ABS(P103-Components!$D$6)/Components!$E$6)</f>
        <v/>
      </c>
      <c r="V103" s="67">
        <f>IF(G103="","",ABS(P103-Components!$D$7)/Components!$E$7)</f>
        <v/>
      </c>
      <c r="W103" s="61">
        <f>IF(G103="","",IF(N103="OK","NONE",INDEX({"S1","S2","W1","W2","N1","N2"},MATCH(MIN(Q103:V103),Q103:V103,0))))</f>
        <v/>
      </c>
      <c r="X103" s="69">
        <f>IF(G103="","",IF(W103=E103,1,0))</f>
        <v/>
      </c>
    </row>
    <row r="104">
      <c r="A104" s="61" t="n">
        <v>19</v>
      </c>
      <c r="B104" s="62" t="n">
        <v>47</v>
      </c>
      <c r="C104" s="61" t="inlineStr">
        <is>
          <t>R3</t>
        </is>
      </c>
      <c r="D104" s="74" t="inlineStr">
        <is>
          <t>NG</t>
        </is>
      </c>
      <c r="E104" s="61" t="inlineStr">
        <is>
          <t>N2</t>
        </is>
      </c>
      <c r="F104" s="61" t="inlineStr">
        <is>
          <t>K019</t>
        </is>
      </c>
      <c r="G104" s="64" t="n">
        <v>8.539999999999999</v>
      </c>
      <c r="H104" s="65" t="n"/>
      <c r="I104" s="66" t="n"/>
      <c r="J104" s="67">
        <f>VLOOKUP(C104,Recipes!$A$2:$N$4,10,FALSE())</f>
        <v/>
      </c>
      <c r="K104" s="68">
        <f>VLOOKUP(C104,Recipes!$A$2:$N$4,12,FALSE())</f>
        <v/>
      </c>
      <c r="L104" s="67">
        <f>J104-3*K104</f>
        <v/>
      </c>
      <c r="M104" s="67">
        <f>J104+3*K104</f>
        <v/>
      </c>
      <c r="N104" s="61">
        <f>IF(G104="","",IF(AND(G104&gt;=L104,G104&lt;=M104),"OK","NG"))</f>
        <v/>
      </c>
      <c r="O104" s="69">
        <f>IF(N104="","",IF(N104=D104,1,0))</f>
        <v/>
      </c>
      <c r="P104" s="67">
        <f>IF(G104="","",J104-G104)</f>
        <v/>
      </c>
      <c r="Q104" s="67">
        <f>IF(G104="","",ABS(P104-Components!$D$2)/Components!$E$2)</f>
        <v/>
      </c>
      <c r="R104" s="67">
        <f>IF(G104="","",ABS(P104-Components!$D$3)/Components!$E$3)</f>
        <v/>
      </c>
      <c r="S104" s="67">
        <f>IF(G104="","",ABS(P104-Components!$D$4)/Components!$E$4)</f>
        <v/>
      </c>
      <c r="T104" s="67">
        <f>IF(G104="","",ABS(P104-Components!$D$5)/Components!$E$5)</f>
        <v/>
      </c>
      <c r="U104" s="67">
        <f>IF(G104="","",ABS(P104-Components!$D$6)/Components!$E$6)</f>
        <v/>
      </c>
      <c r="V104" s="67">
        <f>IF(G104="","",ABS(P104-Components!$D$7)/Components!$E$7)</f>
        <v/>
      </c>
      <c r="W104" s="61">
        <f>IF(G104="","",IF(N104="OK","NONE",INDEX({"S1","S2","W1","W2","N1","N2"},MATCH(MIN(Q104:V104),Q104:V104,0))))</f>
        <v/>
      </c>
      <c r="X104" s="69">
        <f>IF(G104="","",IF(W104=E104,1,0))</f>
        <v/>
      </c>
    </row>
    <row r="105">
      <c r="A105" s="61" t="n">
        <v>19</v>
      </c>
      <c r="B105" s="62" t="n">
        <v>47</v>
      </c>
      <c r="C105" s="61" t="inlineStr">
        <is>
          <t>R3</t>
        </is>
      </c>
      <c r="D105" s="74" t="inlineStr">
        <is>
          <t>NG</t>
        </is>
      </c>
      <c r="E105" s="61" t="inlineStr">
        <is>
          <t>N2</t>
        </is>
      </c>
      <c r="F105" s="61" t="inlineStr">
        <is>
          <t>K019</t>
        </is>
      </c>
      <c r="G105" s="64" t="n">
        <v>8.640000000000001</v>
      </c>
      <c r="H105" s="65" t="n"/>
      <c r="I105" s="66" t="n"/>
      <c r="J105" s="67">
        <f>VLOOKUP(C105,Recipes!$A$2:$N$4,10,FALSE())</f>
        <v/>
      </c>
      <c r="K105" s="68">
        <f>VLOOKUP(C105,Recipes!$A$2:$N$4,12,FALSE())</f>
        <v/>
      </c>
      <c r="L105" s="67">
        <f>J105-3*K105</f>
        <v/>
      </c>
      <c r="M105" s="67">
        <f>J105+3*K105</f>
        <v/>
      </c>
      <c r="N105" s="61">
        <f>IF(G105="","",IF(AND(G105&gt;=L105,G105&lt;=M105),"OK","NG"))</f>
        <v/>
      </c>
      <c r="O105" s="69">
        <f>IF(N105="","",IF(N105=D105,1,0))</f>
        <v/>
      </c>
      <c r="P105" s="67">
        <f>IF(G105="","",J105-G105)</f>
        <v/>
      </c>
      <c r="Q105" s="67">
        <f>IF(G105="","",ABS(P105-Components!$D$2)/Components!$E$2)</f>
        <v/>
      </c>
      <c r="R105" s="67">
        <f>IF(G105="","",ABS(P105-Components!$D$3)/Components!$E$3)</f>
        <v/>
      </c>
      <c r="S105" s="67">
        <f>IF(G105="","",ABS(P105-Components!$D$4)/Components!$E$4)</f>
        <v/>
      </c>
      <c r="T105" s="67">
        <f>IF(G105="","",ABS(P105-Components!$D$5)/Components!$E$5)</f>
        <v/>
      </c>
      <c r="U105" s="67">
        <f>IF(G105="","",ABS(P105-Components!$D$6)/Components!$E$6)</f>
        <v/>
      </c>
      <c r="V105" s="67">
        <f>IF(G105="","",ABS(P105-Components!$D$7)/Components!$E$7)</f>
        <v/>
      </c>
      <c r="W105" s="61">
        <f>IF(G105="","",IF(N105="OK","NONE",INDEX({"S1","S2","W1","W2","N1","N2"},MATCH(MIN(Q105:V105),Q105:V105,0))))</f>
        <v/>
      </c>
      <c r="X105" s="69">
        <f>IF(G105="","",IF(W105=E105,1,0))</f>
        <v/>
      </c>
    </row>
    <row r="106">
      <c r="A106" s="61" t="n">
        <v>19</v>
      </c>
      <c r="B106" s="62" t="n">
        <v>47</v>
      </c>
      <c r="C106" s="61" t="inlineStr">
        <is>
          <t>R3</t>
        </is>
      </c>
      <c r="D106" s="74" t="inlineStr">
        <is>
          <t>NG</t>
        </is>
      </c>
      <c r="E106" s="61" t="inlineStr">
        <is>
          <t>N2</t>
        </is>
      </c>
      <c r="F106" s="61" t="inlineStr">
        <is>
          <t>K019</t>
        </is>
      </c>
      <c r="G106" s="64" t="n">
        <v>8.6</v>
      </c>
      <c r="H106" s="65" t="n"/>
      <c r="I106" s="66" t="n"/>
      <c r="J106" s="67">
        <f>VLOOKUP(C106,Recipes!$A$2:$N$4,10,FALSE())</f>
        <v/>
      </c>
      <c r="K106" s="68">
        <f>VLOOKUP(C106,Recipes!$A$2:$N$4,12,FALSE())</f>
        <v/>
      </c>
      <c r="L106" s="67">
        <f>J106-3*K106</f>
        <v/>
      </c>
      <c r="M106" s="67">
        <f>J106+3*K106</f>
        <v/>
      </c>
      <c r="N106" s="61">
        <f>IF(G106="","",IF(AND(G106&gt;=L106,G106&lt;=M106),"OK","NG"))</f>
        <v/>
      </c>
      <c r="O106" s="69">
        <f>IF(N106="","",IF(N106=D106,1,0))</f>
        <v/>
      </c>
      <c r="P106" s="67">
        <f>IF(G106="","",J106-G106)</f>
        <v/>
      </c>
      <c r="Q106" s="67">
        <f>IF(G106="","",ABS(P106-Components!$D$2)/Components!$E$2)</f>
        <v/>
      </c>
      <c r="R106" s="67">
        <f>IF(G106="","",ABS(P106-Components!$D$3)/Components!$E$3)</f>
        <v/>
      </c>
      <c r="S106" s="67">
        <f>IF(G106="","",ABS(P106-Components!$D$4)/Components!$E$4)</f>
        <v/>
      </c>
      <c r="T106" s="67">
        <f>IF(G106="","",ABS(P106-Components!$D$5)/Components!$E$5)</f>
        <v/>
      </c>
      <c r="U106" s="67">
        <f>IF(G106="","",ABS(P106-Components!$D$6)/Components!$E$6)</f>
        <v/>
      </c>
      <c r="V106" s="67">
        <f>IF(G106="","",ABS(P106-Components!$D$7)/Components!$E$7)</f>
        <v/>
      </c>
      <c r="W106" s="61">
        <f>IF(G106="","",IF(N106="OK","NONE",INDEX({"S1","S2","W1","W2","N1","N2"},MATCH(MIN(Q106:V106),Q106:V106,0))))</f>
        <v/>
      </c>
      <c r="X106" s="69">
        <f>IF(G106="","",IF(W106=E106,1,0))</f>
        <v/>
      </c>
    </row>
    <row r="107">
      <c r="A107" s="61" t="n">
        <v>19</v>
      </c>
      <c r="B107" s="62" t="n">
        <v>47</v>
      </c>
      <c r="C107" s="61" t="inlineStr">
        <is>
          <t>R3</t>
        </is>
      </c>
      <c r="D107" s="74" t="inlineStr">
        <is>
          <t>NG</t>
        </is>
      </c>
      <c r="E107" s="61" t="inlineStr">
        <is>
          <t>N2</t>
        </is>
      </c>
      <c r="F107" s="61" t="inlineStr">
        <is>
          <t>K019</t>
        </is>
      </c>
      <c r="G107" s="64" t="n">
        <v>8.59</v>
      </c>
      <c r="H107" s="65" t="n"/>
      <c r="I107" s="66" t="n"/>
      <c r="J107" s="67">
        <f>VLOOKUP(C107,Recipes!$A$2:$N$4,10,FALSE())</f>
        <v/>
      </c>
      <c r="K107" s="68">
        <f>VLOOKUP(C107,Recipes!$A$2:$N$4,12,FALSE())</f>
        <v/>
      </c>
      <c r="L107" s="67">
        <f>J107-3*K107</f>
        <v/>
      </c>
      <c r="M107" s="67">
        <f>J107+3*K107</f>
        <v/>
      </c>
      <c r="N107" s="61">
        <f>IF(G107="","",IF(AND(G107&gt;=L107,G107&lt;=M107),"OK","NG"))</f>
        <v/>
      </c>
      <c r="O107" s="69">
        <f>IF(N107="","",IF(N107=D107,1,0))</f>
        <v/>
      </c>
      <c r="P107" s="67">
        <f>IF(G107="","",J107-G107)</f>
        <v/>
      </c>
      <c r="Q107" s="67">
        <f>IF(G107="","",ABS(P107-Components!$D$2)/Components!$E$2)</f>
        <v/>
      </c>
      <c r="R107" s="67">
        <f>IF(G107="","",ABS(P107-Components!$D$3)/Components!$E$3)</f>
        <v/>
      </c>
      <c r="S107" s="67">
        <f>IF(G107="","",ABS(P107-Components!$D$4)/Components!$E$4)</f>
        <v/>
      </c>
      <c r="T107" s="67">
        <f>IF(G107="","",ABS(P107-Components!$D$5)/Components!$E$5)</f>
        <v/>
      </c>
      <c r="U107" s="67">
        <f>IF(G107="","",ABS(P107-Components!$D$6)/Components!$E$6)</f>
        <v/>
      </c>
      <c r="V107" s="67">
        <f>IF(G107="","",ABS(P107-Components!$D$7)/Components!$E$7)</f>
        <v/>
      </c>
      <c r="W107" s="61">
        <f>IF(G107="","",IF(N107="OK","NONE",INDEX({"S1","S2","W1","W2","N1","N2"},MATCH(MIN(Q107:V107),Q107:V107,0))))</f>
        <v/>
      </c>
      <c r="X107" s="69">
        <f>IF(G107="","",IF(W107=E107,1,0))</f>
        <v/>
      </c>
    </row>
    <row r="108">
      <c r="A108" s="61" t="n">
        <v>19</v>
      </c>
      <c r="B108" s="62" t="n">
        <v>47</v>
      </c>
      <c r="C108" s="61" t="inlineStr">
        <is>
          <t>R3</t>
        </is>
      </c>
      <c r="D108" s="74" t="inlineStr">
        <is>
          <t>NG</t>
        </is>
      </c>
      <c r="E108" s="61" t="inlineStr">
        <is>
          <t>N2</t>
        </is>
      </c>
      <c r="F108" s="61" t="inlineStr">
        <is>
          <t>K019</t>
        </is>
      </c>
      <c r="G108" s="64" t="n">
        <v>8.57</v>
      </c>
      <c r="H108" s="65" t="n"/>
      <c r="I108" s="66" t="n"/>
      <c r="J108" s="67">
        <f>VLOOKUP(C108,Recipes!$A$2:$N$4,10,FALSE())</f>
        <v/>
      </c>
      <c r="K108" s="68">
        <f>VLOOKUP(C108,Recipes!$A$2:$N$4,12,FALSE())</f>
        <v/>
      </c>
      <c r="L108" s="67">
        <f>J108-3*K108</f>
        <v/>
      </c>
      <c r="M108" s="67">
        <f>J108+3*K108</f>
        <v/>
      </c>
      <c r="N108" s="61">
        <f>IF(G108="","",IF(AND(G108&gt;=L108,G108&lt;=M108),"OK","NG"))</f>
        <v/>
      </c>
      <c r="O108" s="69">
        <f>IF(N108="","",IF(N108=D108,1,0))</f>
        <v/>
      </c>
      <c r="P108" s="67">
        <f>IF(G108="","",J108-G108)</f>
        <v/>
      </c>
      <c r="Q108" s="67">
        <f>IF(G108="","",ABS(P108-Components!$D$2)/Components!$E$2)</f>
        <v/>
      </c>
      <c r="R108" s="67">
        <f>IF(G108="","",ABS(P108-Components!$D$3)/Components!$E$3)</f>
        <v/>
      </c>
      <c r="S108" s="67">
        <f>IF(G108="","",ABS(P108-Components!$D$4)/Components!$E$4)</f>
        <v/>
      </c>
      <c r="T108" s="67">
        <f>IF(G108="","",ABS(P108-Components!$D$5)/Components!$E$5)</f>
        <v/>
      </c>
      <c r="U108" s="67">
        <f>IF(G108="","",ABS(P108-Components!$D$6)/Components!$E$6)</f>
        <v/>
      </c>
      <c r="V108" s="67">
        <f>IF(G108="","",ABS(P108-Components!$D$7)/Components!$E$7)</f>
        <v/>
      </c>
      <c r="W108" s="61">
        <f>IF(G108="","",IF(N108="OK","NONE",INDEX({"S1","S2","W1","W2","N1","N2"},MATCH(MIN(Q108:V108),Q108:V108,0))))</f>
        <v/>
      </c>
      <c r="X108" s="69">
        <f>IF(G108="","",IF(W108=E108,1,0))</f>
        <v/>
      </c>
    </row>
    <row r="109">
      <c r="A109" s="61" t="n">
        <v>19</v>
      </c>
      <c r="B109" s="62" t="n">
        <v>47</v>
      </c>
      <c r="C109" s="61" t="inlineStr">
        <is>
          <t>R3</t>
        </is>
      </c>
      <c r="D109" s="74" t="inlineStr">
        <is>
          <t>NG</t>
        </is>
      </c>
      <c r="E109" s="61" t="inlineStr">
        <is>
          <t>N2</t>
        </is>
      </c>
      <c r="F109" s="61" t="inlineStr">
        <is>
          <t>K019</t>
        </is>
      </c>
      <c r="G109" s="64" t="n">
        <v>8.609999999999999</v>
      </c>
      <c r="H109" s="65" t="n"/>
      <c r="I109" s="66" t="n"/>
      <c r="J109" s="67">
        <f>VLOOKUP(C109,Recipes!$A$2:$N$4,10,FALSE())</f>
        <v/>
      </c>
      <c r="K109" s="68">
        <f>VLOOKUP(C109,Recipes!$A$2:$N$4,12,FALSE())</f>
        <v/>
      </c>
      <c r="L109" s="67">
        <f>J109-3*K109</f>
        <v/>
      </c>
      <c r="M109" s="67">
        <f>J109+3*K109</f>
        <v/>
      </c>
      <c r="N109" s="61">
        <f>IF(G109="","",IF(AND(G109&gt;=L109,G109&lt;=M109),"OK","NG"))</f>
        <v/>
      </c>
      <c r="O109" s="69">
        <f>IF(N109="","",IF(N109=D109,1,0))</f>
        <v/>
      </c>
      <c r="P109" s="67">
        <f>IF(G109="","",J109-G109)</f>
        <v/>
      </c>
      <c r="Q109" s="67">
        <f>IF(G109="","",ABS(P109-Components!$D$2)/Components!$E$2)</f>
        <v/>
      </c>
      <c r="R109" s="67">
        <f>IF(G109="","",ABS(P109-Components!$D$3)/Components!$E$3)</f>
        <v/>
      </c>
      <c r="S109" s="67">
        <f>IF(G109="","",ABS(P109-Components!$D$4)/Components!$E$4)</f>
        <v/>
      </c>
      <c r="T109" s="67">
        <f>IF(G109="","",ABS(P109-Components!$D$5)/Components!$E$5)</f>
        <v/>
      </c>
      <c r="U109" s="67">
        <f>IF(G109="","",ABS(P109-Components!$D$6)/Components!$E$6)</f>
        <v/>
      </c>
      <c r="V109" s="67">
        <f>IF(G109="","",ABS(P109-Components!$D$7)/Components!$E$7)</f>
        <v/>
      </c>
      <c r="W109" s="61">
        <f>IF(G109="","",IF(N109="OK","NONE",INDEX({"S1","S2","W1","W2","N1","N2"},MATCH(MIN(Q109:V109),Q109:V109,0))))</f>
        <v/>
      </c>
      <c r="X109" s="69">
        <f>IF(G109="","",IF(W109=E109,1,0))</f>
        <v/>
      </c>
    </row>
    <row r="110">
      <c r="A110" s="61" t="n">
        <v>19</v>
      </c>
      <c r="B110" s="62" t="n">
        <v>47</v>
      </c>
      <c r="C110" s="61" t="inlineStr">
        <is>
          <t>R3</t>
        </is>
      </c>
      <c r="D110" s="74" t="inlineStr">
        <is>
          <t>NG</t>
        </is>
      </c>
      <c r="E110" s="61" t="inlineStr">
        <is>
          <t>N2</t>
        </is>
      </c>
      <c r="F110" s="61" t="inlineStr">
        <is>
          <t>K019</t>
        </is>
      </c>
      <c r="G110" s="64" t="n">
        <v>8.59</v>
      </c>
      <c r="H110" s="65" t="n"/>
      <c r="I110" s="66" t="n"/>
      <c r="J110" s="67">
        <f>VLOOKUP(C110,Recipes!$A$2:$N$4,10,FALSE())</f>
        <v/>
      </c>
      <c r="K110" s="68">
        <f>VLOOKUP(C110,Recipes!$A$2:$N$4,12,FALSE())</f>
        <v/>
      </c>
      <c r="L110" s="67">
        <f>J110-3*K110</f>
        <v/>
      </c>
      <c r="M110" s="67">
        <f>J110+3*K110</f>
        <v/>
      </c>
      <c r="N110" s="61">
        <f>IF(G110="","",IF(AND(G110&gt;=L110,G110&lt;=M110),"OK","NG"))</f>
        <v/>
      </c>
      <c r="O110" s="69">
        <f>IF(N110="","",IF(N110=D110,1,0))</f>
        <v/>
      </c>
      <c r="P110" s="67">
        <f>IF(G110="","",J110-G110)</f>
        <v/>
      </c>
      <c r="Q110" s="67">
        <f>IF(G110="","",ABS(P110-Components!$D$2)/Components!$E$2)</f>
        <v/>
      </c>
      <c r="R110" s="67">
        <f>IF(G110="","",ABS(P110-Components!$D$3)/Components!$E$3)</f>
        <v/>
      </c>
      <c r="S110" s="67">
        <f>IF(G110="","",ABS(P110-Components!$D$4)/Components!$E$4)</f>
        <v/>
      </c>
      <c r="T110" s="67">
        <f>IF(G110="","",ABS(P110-Components!$D$5)/Components!$E$5)</f>
        <v/>
      </c>
      <c r="U110" s="67">
        <f>IF(G110="","",ABS(P110-Components!$D$6)/Components!$E$6)</f>
        <v/>
      </c>
      <c r="V110" s="67">
        <f>IF(G110="","",ABS(P110-Components!$D$7)/Components!$E$7)</f>
        <v/>
      </c>
      <c r="W110" s="61">
        <f>IF(G110="","",IF(N110="OK","NONE",INDEX({"S1","S2","W1","W2","N1","N2"},MATCH(MIN(Q110:V110),Q110:V110,0))))</f>
        <v/>
      </c>
      <c r="X110" s="69">
        <f>IF(G110="","",IF(W110=E110,1,0))</f>
        <v/>
      </c>
    </row>
    <row r="111">
      <c r="A111" s="61" t="n">
        <v>19</v>
      </c>
      <c r="B111" s="62" t="n">
        <v>47</v>
      </c>
      <c r="C111" s="61" t="inlineStr">
        <is>
          <t>R3</t>
        </is>
      </c>
      <c r="D111" s="74" t="inlineStr">
        <is>
          <t>NG</t>
        </is>
      </c>
      <c r="E111" s="61" t="inlineStr">
        <is>
          <t>N2</t>
        </is>
      </c>
      <c r="F111" s="61" t="inlineStr">
        <is>
          <t>K019</t>
        </is>
      </c>
      <c r="G111" s="64" t="n">
        <v>8.5</v>
      </c>
      <c r="H111" s="65" t="n"/>
      <c r="I111" s="66" t="n"/>
      <c r="J111" s="67">
        <f>VLOOKUP(C111,Recipes!$A$2:$N$4,10,FALSE())</f>
        <v/>
      </c>
      <c r="K111" s="68">
        <f>VLOOKUP(C111,Recipes!$A$2:$N$4,12,FALSE())</f>
        <v/>
      </c>
      <c r="L111" s="67">
        <f>J111-3*K111</f>
        <v/>
      </c>
      <c r="M111" s="67">
        <f>J111+3*K111</f>
        <v/>
      </c>
      <c r="N111" s="61">
        <f>IF(G111="","",IF(AND(G111&gt;=L111,G111&lt;=M111),"OK","NG"))</f>
        <v/>
      </c>
      <c r="O111" s="69">
        <f>IF(N111="","",IF(N111=D111,1,0))</f>
        <v/>
      </c>
      <c r="P111" s="67">
        <f>IF(G111="","",J111-G111)</f>
        <v/>
      </c>
      <c r="Q111" s="67">
        <f>IF(G111="","",ABS(P111-Components!$D$2)/Components!$E$2)</f>
        <v/>
      </c>
      <c r="R111" s="67">
        <f>IF(G111="","",ABS(P111-Components!$D$3)/Components!$E$3)</f>
        <v/>
      </c>
      <c r="S111" s="67">
        <f>IF(G111="","",ABS(P111-Components!$D$4)/Components!$E$4)</f>
        <v/>
      </c>
      <c r="T111" s="67">
        <f>IF(G111="","",ABS(P111-Components!$D$5)/Components!$E$5)</f>
        <v/>
      </c>
      <c r="U111" s="67">
        <f>IF(G111="","",ABS(P111-Components!$D$6)/Components!$E$6)</f>
        <v/>
      </c>
      <c r="V111" s="67">
        <f>IF(G111="","",ABS(P111-Components!$D$7)/Components!$E$7)</f>
        <v/>
      </c>
      <c r="W111" s="61">
        <f>IF(G111="","",IF(N111="OK","NONE",INDEX({"S1","S2","W1","W2","N1","N2"},MATCH(MIN(Q111:V111),Q111:V111,0))))</f>
        <v/>
      </c>
      <c r="X111" s="69">
        <f>IF(G111="","",IF(W111=E111,1,0))</f>
        <v/>
      </c>
    </row>
    <row r="112">
      <c r="A112" s="61" t="n">
        <v>19</v>
      </c>
      <c r="B112" s="62" t="n">
        <v>47</v>
      </c>
      <c r="C112" s="61" t="inlineStr">
        <is>
          <t>R3</t>
        </is>
      </c>
      <c r="D112" s="74" t="inlineStr">
        <is>
          <t>NG</t>
        </is>
      </c>
      <c r="E112" s="61" t="inlineStr">
        <is>
          <t>N2</t>
        </is>
      </c>
      <c r="F112" s="61" t="inlineStr">
        <is>
          <t>K019</t>
        </is>
      </c>
      <c r="G112" s="64" t="n">
        <v>8.619999999999999</v>
      </c>
      <c r="H112" s="65" t="n"/>
      <c r="I112" s="66" t="n"/>
      <c r="J112" s="67">
        <f>VLOOKUP(C112,Recipes!$A$2:$N$4,10,FALSE())</f>
        <v/>
      </c>
      <c r="K112" s="68">
        <f>VLOOKUP(C112,Recipes!$A$2:$N$4,12,FALSE())</f>
        <v/>
      </c>
      <c r="L112" s="67">
        <f>J112-3*K112</f>
        <v/>
      </c>
      <c r="M112" s="67">
        <f>J112+3*K112</f>
        <v/>
      </c>
      <c r="N112" s="61">
        <f>IF(G112="","",IF(AND(G112&gt;=L112,G112&lt;=M112),"OK","NG"))</f>
        <v/>
      </c>
      <c r="O112" s="69">
        <f>IF(N112="","",IF(N112=D112,1,0))</f>
        <v/>
      </c>
      <c r="P112" s="67">
        <f>IF(G112="","",J112-G112)</f>
        <v/>
      </c>
      <c r="Q112" s="67">
        <f>IF(G112="","",ABS(P112-Components!$D$2)/Components!$E$2)</f>
        <v/>
      </c>
      <c r="R112" s="67">
        <f>IF(G112="","",ABS(P112-Components!$D$3)/Components!$E$3)</f>
        <v/>
      </c>
      <c r="S112" s="67">
        <f>IF(G112="","",ABS(P112-Components!$D$4)/Components!$E$4)</f>
        <v/>
      </c>
      <c r="T112" s="67">
        <f>IF(G112="","",ABS(P112-Components!$D$5)/Components!$E$5)</f>
        <v/>
      </c>
      <c r="U112" s="67">
        <f>IF(G112="","",ABS(P112-Components!$D$6)/Components!$E$6)</f>
        <v/>
      </c>
      <c r="V112" s="67">
        <f>IF(G112="","",ABS(P112-Components!$D$7)/Components!$E$7)</f>
        <v/>
      </c>
      <c r="W112" s="61">
        <f>IF(G112="","",IF(N112="OK","NONE",INDEX({"S1","S2","W1","W2","N1","N2"},MATCH(MIN(Q112:V112),Q112:V112,0))))</f>
        <v/>
      </c>
      <c r="X112" s="69">
        <f>IF(G112="","",IF(W112=E112,1,0))</f>
        <v/>
      </c>
    </row>
    <row r="113">
      <c r="A113" s="61" t="n">
        <v>19</v>
      </c>
      <c r="B113" s="62" t="n">
        <v>47</v>
      </c>
      <c r="C113" s="61" t="inlineStr">
        <is>
          <t>R3</t>
        </is>
      </c>
      <c r="D113" s="74" t="inlineStr">
        <is>
          <t>NG</t>
        </is>
      </c>
      <c r="E113" s="61" t="inlineStr">
        <is>
          <t>N2</t>
        </is>
      </c>
      <c r="F113" s="61" t="inlineStr">
        <is>
          <t>K019</t>
        </is>
      </c>
      <c r="G113" s="64" t="n">
        <v>8.609999999999999</v>
      </c>
      <c r="H113" s="65" t="n"/>
      <c r="I113" s="66" t="n"/>
      <c r="J113" s="67">
        <f>VLOOKUP(C113,Recipes!$A$2:$N$4,10,FALSE())</f>
        <v/>
      </c>
      <c r="K113" s="68">
        <f>VLOOKUP(C113,Recipes!$A$2:$N$4,12,FALSE())</f>
        <v/>
      </c>
      <c r="L113" s="67">
        <f>J113-3*K113</f>
        <v/>
      </c>
      <c r="M113" s="67">
        <f>J113+3*K113</f>
        <v/>
      </c>
      <c r="N113" s="61">
        <f>IF(G113="","",IF(AND(G113&gt;=L113,G113&lt;=M113),"OK","NG"))</f>
        <v/>
      </c>
      <c r="O113" s="69">
        <f>IF(N113="","",IF(N113=D113,1,0))</f>
        <v/>
      </c>
      <c r="P113" s="67">
        <f>IF(G113="","",J113-G113)</f>
        <v/>
      </c>
      <c r="Q113" s="67">
        <f>IF(G113="","",ABS(P113-Components!$D$2)/Components!$E$2)</f>
        <v/>
      </c>
      <c r="R113" s="67">
        <f>IF(G113="","",ABS(P113-Components!$D$3)/Components!$E$3)</f>
        <v/>
      </c>
      <c r="S113" s="67">
        <f>IF(G113="","",ABS(P113-Components!$D$4)/Components!$E$4)</f>
        <v/>
      </c>
      <c r="T113" s="67">
        <f>IF(G113="","",ABS(P113-Components!$D$5)/Components!$E$5)</f>
        <v/>
      </c>
      <c r="U113" s="67">
        <f>IF(G113="","",ABS(P113-Components!$D$6)/Components!$E$6)</f>
        <v/>
      </c>
      <c r="V113" s="67">
        <f>IF(G113="","",ABS(P113-Components!$D$7)/Components!$E$7)</f>
        <v/>
      </c>
      <c r="W113" s="61">
        <f>IF(G113="","",IF(N113="OK","NONE",INDEX({"S1","S2","W1","W2","N1","N2"},MATCH(MIN(Q113:V113),Q113:V113,0))))</f>
        <v/>
      </c>
      <c r="X113" s="69">
        <f>IF(G113="","",IF(W113=E113,1,0))</f>
        <v/>
      </c>
    </row>
    <row r="114">
      <c r="A114" s="61" t="n">
        <v>19</v>
      </c>
      <c r="B114" s="62" t="n">
        <v>47</v>
      </c>
      <c r="C114" s="61" t="inlineStr">
        <is>
          <t>R3</t>
        </is>
      </c>
      <c r="D114" s="74" t="inlineStr">
        <is>
          <t>NG</t>
        </is>
      </c>
      <c r="E114" s="61" t="inlineStr">
        <is>
          <t>N2</t>
        </is>
      </c>
      <c r="F114" s="61" t="inlineStr">
        <is>
          <t>K019</t>
        </is>
      </c>
      <c r="G114" s="64" t="n">
        <v>8.58</v>
      </c>
      <c r="H114" s="65" t="n"/>
      <c r="I114" s="66" t="n"/>
      <c r="J114" s="67">
        <f>VLOOKUP(C114,Recipes!$A$2:$N$4,10,FALSE())</f>
        <v/>
      </c>
      <c r="K114" s="68">
        <f>VLOOKUP(C114,Recipes!$A$2:$N$4,12,FALSE())</f>
        <v/>
      </c>
      <c r="L114" s="67">
        <f>J114-3*K114</f>
        <v/>
      </c>
      <c r="M114" s="67">
        <f>J114+3*K114</f>
        <v/>
      </c>
      <c r="N114" s="61">
        <f>IF(G114="","",IF(AND(G114&gt;=L114,G114&lt;=M114),"OK","NG"))</f>
        <v/>
      </c>
      <c r="O114" s="69">
        <f>IF(N114="","",IF(N114=D114,1,0))</f>
        <v/>
      </c>
      <c r="P114" s="67">
        <f>IF(G114="","",J114-G114)</f>
        <v/>
      </c>
      <c r="Q114" s="67">
        <f>IF(G114="","",ABS(P114-Components!$D$2)/Components!$E$2)</f>
        <v/>
      </c>
      <c r="R114" s="67">
        <f>IF(G114="","",ABS(P114-Components!$D$3)/Components!$E$3)</f>
        <v/>
      </c>
      <c r="S114" s="67">
        <f>IF(G114="","",ABS(P114-Components!$D$4)/Components!$E$4)</f>
        <v/>
      </c>
      <c r="T114" s="67">
        <f>IF(G114="","",ABS(P114-Components!$D$5)/Components!$E$5)</f>
        <v/>
      </c>
      <c r="U114" s="67">
        <f>IF(G114="","",ABS(P114-Components!$D$6)/Components!$E$6)</f>
        <v/>
      </c>
      <c r="V114" s="67">
        <f>IF(G114="","",ABS(P114-Components!$D$7)/Components!$E$7)</f>
        <v/>
      </c>
      <c r="W114" s="61">
        <f>IF(G114="","",IF(N114="OK","NONE",INDEX({"S1","S2","W1","W2","N1","N2"},MATCH(MIN(Q114:V114),Q114:V114,0))))</f>
        <v/>
      </c>
      <c r="X114" s="69">
        <f>IF(G114="","",IF(W114=E114,1,0))</f>
        <v/>
      </c>
    </row>
    <row r="115">
      <c r="A115" s="61" t="n">
        <v>19</v>
      </c>
      <c r="B115" s="62" t="n">
        <v>47</v>
      </c>
      <c r="C115" s="61" t="inlineStr">
        <is>
          <t>R3</t>
        </is>
      </c>
      <c r="D115" s="74" t="inlineStr">
        <is>
          <t>NG</t>
        </is>
      </c>
      <c r="E115" s="61" t="inlineStr">
        <is>
          <t>N2</t>
        </is>
      </c>
      <c r="F115" s="61" t="inlineStr">
        <is>
          <t>K019</t>
        </is>
      </c>
      <c r="G115" s="64" t="n">
        <v>8.59</v>
      </c>
      <c r="H115" s="65" t="n"/>
      <c r="I115" s="66" t="n"/>
      <c r="J115" s="67">
        <f>VLOOKUP(C115,Recipes!$A$2:$N$4,10,FALSE())</f>
        <v/>
      </c>
      <c r="K115" s="68">
        <f>VLOOKUP(C115,Recipes!$A$2:$N$4,12,FALSE())</f>
        <v/>
      </c>
      <c r="L115" s="67">
        <f>J115-3*K115</f>
        <v/>
      </c>
      <c r="M115" s="67">
        <f>J115+3*K115</f>
        <v/>
      </c>
      <c r="N115" s="61">
        <f>IF(G115="","",IF(AND(G115&gt;=L115,G115&lt;=M115),"OK","NG"))</f>
        <v/>
      </c>
      <c r="O115" s="69">
        <f>IF(N115="","",IF(N115=D115,1,0))</f>
        <v/>
      </c>
      <c r="P115" s="67">
        <f>IF(G115="","",J115-G115)</f>
        <v/>
      </c>
      <c r="Q115" s="67">
        <f>IF(G115="","",ABS(P115-Components!$D$2)/Components!$E$2)</f>
        <v/>
      </c>
      <c r="R115" s="67">
        <f>IF(G115="","",ABS(P115-Components!$D$3)/Components!$E$3)</f>
        <v/>
      </c>
      <c r="S115" s="67">
        <f>IF(G115="","",ABS(P115-Components!$D$4)/Components!$E$4)</f>
        <v/>
      </c>
      <c r="T115" s="67">
        <f>IF(G115="","",ABS(P115-Components!$D$5)/Components!$E$5)</f>
        <v/>
      </c>
      <c r="U115" s="67">
        <f>IF(G115="","",ABS(P115-Components!$D$6)/Components!$E$6)</f>
        <v/>
      </c>
      <c r="V115" s="67">
        <f>IF(G115="","",ABS(P115-Components!$D$7)/Components!$E$7)</f>
        <v/>
      </c>
      <c r="W115" s="61">
        <f>IF(G115="","",IF(N115="OK","NONE",INDEX({"S1","S2","W1","W2","N1","N2"},MATCH(MIN(Q115:V115),Q115:V115,0))))</f>
        <v/>
      </c>
      <c r="X115" s="69">
        <f>IF(G115="","",IF(W115=E115,1,0))</f>
        <v/>
      </c>
    </row>
    <row r="116">
      <c r="A116" s="61" t="n">
        <v>19</v>
      </c>
      <c r="B116" s="62" t="n">
        <v>47</v>
      </c>
      <c r="C116" s="61" t="inlineStr">
        <is>
          <t>R3</t>
        </is>
      </c>
      <c r="D116" s="74" t="inlineStr">
        <is>
          <t>NG</t>
        </is>
      </c>
      <c r="E116" s="61" t="inlineStr">
        <is>
          <t>N2</t>
        </is>
      </c>
      <c r="F116" s="61" t="inlineStr">
        <is>
          <t>K019</t>
        </is>
      </c>
      <c r="G116" s="64" t="n">
        <v>8.630000000000001</v>
      </c>
      <c r="H116" s="65" t="n"/>
      <c r="I116" s="66" t="n"/>
      <c r="J116" s="67">
        <f>VLOOKUP(C116,Recipes!$A$2:$N$4,10,FALSE())</f>
        <v/>
      </c>
      <c r="K116" s="68">
        <f>VLOOKUP(C116,Recipes!$A$2:$N$4,12,FALSE())</f>
        <v/>
      </c>
      <c r="L116" s="67">
        <f>J116-3*K116</f>
        <v/>
      </c>
      <c r="M116" s="67">
        <f>J116+3*K116</f>
        <v/>
      </c>
      <c r="N116" s="61">
        <f>IF(G116="","",IF(AND(G116&gt;=L116,G116&lt;=M116),"OK","NG"))</f>
        <v/>
      </c>
      <c r="O116" s="69">
        <f>IF(N116="","",IF(N116=D116,1,0))</f>
        <v/>
      </c>
      <c r="P116" s="67">
        <f>IF(G116="","",J116-G116)</f>
        <v/>
      </c>
      <c r="Q116" s="67">
        <f>IF(G116="","",ABS(P116-Components!$D$2)/Components!$E$2)</f>
        <v/>
      </c>
      <c r="R116" s="67">
        <f>IF(G116="","",ABS(P116-Components!$D$3)/Components!$E$3)</f>
        <v/>
      </c>
      <c r="S116" s="67">
        <f>IF(G116="","",ABS(P116-Components!$D$4)/Components!$E$4)</f>
        <v/>
      </c>
      <c r="T116" s="67">
        <f>IF(G116="","",ABS(P116-Components!$D$5)/Components!$E$5)</f>
        <v/>
      </c>
      <c r="U116" s="67">
        <f>IF(G116="","",ABS(P116-Components!$D$6)/Components!$E$6)</f>
        <v/>
      </c>
      <c r="V116" s="67">
        <f>IF(G116="","",ABS(P116-Components!$D$7)/Components!$E$7)</f>
        <v/>
      </c>
      <c r="W116" s="61">
        <f>IF(G116="","",IF(N116="OK","NONE",INDEX({"S1","S2","W1","W2","N1","N2"},MATCH(MIN(Q116:V116),Q116:V116,0))))</f>
        <v/>
      </c>
      <c r="X116" s="69">
        <f>IF(G116="","",IF(W116=E116,1,0))</f>
        <v/>
      </c>
    </row>
    <row r="117">
      <c r="A117" s="61" t="n">
        <v>19</v>
      </c>
      <c r="B117" s="62" t="n">
        <v>47</v>
      </c>
      <c r="C117" s="61" t="inlineStr">
        <is>
          <t>R3</t>
        </is>
      </c>
      <c r="D117" s="74" t="inlineStr">
        <is>
          <t>NG</t>
        </is>
      </c>
      <c r="E117" s="61" t="inlineStr">
        <is>
          <t>N2</t>
        </is>
      </c>
      <c r="F117" s="61" t="inlineStr">
        <is>
          <t>K019</t>
        </is>
      </c>
      <c r="G117" s="64" t="n">
        <v>8.630000000000001</v>
      </c>
      <c r="H117" s="65" t="n"/>
      <c r="I117" s="66" t="n"/>
      <c r="J117" s="67">
        <f>VLOOKUP(C117,Recipes!$A$2:$N$4,10,FALSE())</f>
        <v/>
      </c>
      <c r="K117" s="68">
        <f>VLOOKUP(C117,Recipes!$A$2:$N$4,12,FALSE())</f>
        <v/>
      </c>
      <c r="L117" s="67">
        <f>J117-3*K117</f>
        <v/>
      </c>
      <c r="M117" s="67">
        <f>J117+3*K117</f>
        <v/>
      </c>
      <c r="N117" s="61">
        <f>IF(G117="","",IF(AND(G117&gt;=L117,G117&lt;=M117),"OK","NG"))</f>
        <v/>
      </c>
      <c r="O117" s="69">
        <f>IF(N117="","",IF(N117=D117,1,0))</f>
        <v/>
      </c>
      <c r="P117" s="67">
        <f>IF(G117="","",J117-G117)</f>
        <v/>
      </c>
      <c r="Q117" s="67">
        <f>IF(G117="","",ABS(P117-Components!$D$2)/Components!$E$2)</f>
        <v/>
      </c>
      <c r="R117" s="67">
        <f>IF(G117="","",ABS(P117-Components!$D$3)/Components!$E$3)</f>
        <v/>
      </c>
      <c r="S117" s="67">
        <f>IF(G117="","",ABS(P117-Components!$D$4)/Components!$E$4)</f>
        <v/>
      </c>
      <c r="T117" s="67">
        <f>IF(G117="","",ABS(P117-Components!$D$5)/Components!$E$5)</f>
        <v/>
      </c>
      <c r="U117" s="67">
        <f>IF(G117="","",ABS(P117-Components!$D$6)/Components!$E$6)</f>
        <v/>
      </c>
      <c r="V117" s="67">
        <f>IF(G117="","",ABS(P117-Components!$D$7)/Components!$E$7)</f>
        <v/>
      </c>
      <c r="W117" s="61">
        <f>IF(G117="","",IF(N117="OK","NONE",INDEX({"S1","S2","W1","W2","N1","N2"},MATCH(MIN(Q117:V117),Q117:V117,0))))</f>
        <v/>
      </c>
      <c r="X117" s="69">
        <f>IF(G117="","",IF(W117=E117,1,0))</f>
        <v/>
      </c>
    </row>
    <row r="118">
      <c r="A118" s="61" t="n">
        <v>19</v>
      </c>
      <c r="B118" s="62" t="n">
        <v>47</v>
      </c>
      <c r="C118" s="61" t="inlineStr">
        <is>
          <t>R3</t>
        </is>
      </c>
      <c r="D118" s="74" t="inlineStr">
        <is>
          <t>NG</t>
        </is>
      </c>
      <c r="E118" s="61" t="inlineStr">
        <is>
          <t>N2</t>
        </is>
      </c>
      <c r="F118" s="61" t="inlineStr">
        <is>
          <t>K019</t>
        </is>
      </c>
      <c r="G118" s="64" t="n">
        <v>8.59</v>
      </c>
      <c r="H118" s="65" t="n"/>
      <c r="I118" s="66" t="n"/>
      <c r="J118" s="67">
        <f>VLOOKUP(C118,Recipes!$A$2:$N$4,10,FALSE())</f>
        <v/>
      </c>
      <c r="K118" s="68">
        <f>VLOOKUP(C118,Recipes!$A$2:$N$4,12,FALSE())</f>
        <v/>
      </c>
      <c r="L118" s="67">
        <f>J118-3*K118</f>
        <v/>
      </c>
      <c r="M118" s="67">
        <f>J118+3*K118</f>
        <v/>
      </c>
      <c r="N118" s="61">
        <f>IF(G118="","",IF(AND(G118&gt;=L118,G118&lt;=M118),"OK","NG"))</f>
        <v/>
      </c>
      <c r="O118" s="69">
        <f>IF(N118="","",IF(N118=D118,1,0))</f>
        <v/>
      </c>
      <c r="P118" s="67">
        <f>IF(G118="","",J118-G118)</f>
        <v/>
      </c>
      <c r="Q118" s="67">
        <f>IF(G118="","",ABS(P118-Components!$D$2)/Components!$E$2)</f>
        <v/>
      </c>
      <c r="R118" s="67">
        <f>IF(G118="","",ABS(P118-Components!$D$3)/Components!$E$3)</f>
        <v/>
      </c>
      <c r="S118" s="67">
        <f>IF(G118="","",ABS(P118-Components!$D$4)/Components!$E$4)</f>
        <v/>
      </c>
      <c r="T118" s="67">
        <f>IF(G118="","",ABS(P118-Components!$D$5)/Components!$E$5)</f>
        <v/>
      </c>
      <c r="U118" s="67">
        <f>IF(G118="","",ABS(P118-Components!$D$6)/Components!$E$6)</f>
        <v/>
      </c>
      <c r="V118" s="67">
        <f>IF(G118="","",ABS(P118-Components!$D$7)/Components!$E$7)</f>
        <v/>
      </c>
      <c r="W118" s="61">
        <f>IF(G118="","",IF(N118="OK","NONE",INDEX({"S1","S2","W1","W2","N1","N2"},MATCH(MIN(Q118:V118),Q118:V118,0))))</f>
        <v/>
      </c>
      <c r="X118" s="69">
        <f>IF(G118="","",IF(W118=E118,1,0))</f>
        <v/>
      </c>
    </row>
    <row r="119">
      <c r="A119" s="61" t="n">
        <v>19</v>
      </c>
      <c r="B119" s="62" t="n">
        <v>47</v>
      </c>
      <c r="C119" s="61" t="inlineStr">
        <is>
          <t>R3</t>
        </is>
      </c>
      <c r="D119" s="74" t="inlineStr">
        <is>
          <t>NG</t>
        </is>
      </c>
      <c r="E119" s="61" t="inlineStr">
        <is>
          <t>N2</t>
        </is>
      </c>
      <c r="F119" s="61" t="inlineStr">
        <is>
          <t>K019</t>
        </is>
      </c>
      <c r="G119" s="64" t="n">
        <v>8.56</v>
      </c>
      <c r="H119" s="65" t="n"/>
      <c r="I119" s="66" t="n"/>
      <c r="J119" s="67">
        <f>VLOOKUP(C119,Recipes!$A$2:$N$4,10,FALSE())</f>
        <v/>
      </c>
      <c r="K119" s="68">
        <f>VLOOKUP(C119,Recipes!$A$2:$N$4,12,FALSE())</f>
        <v/>
      </c>
      <c r="L119" s="67">
        <f>J119-3*K119</f>
        <v/>
      </c>
      <c r="M119" s="67">
        <f>J119+3*K119</f>
        <v/>
      </c>
      <c r="N119" s="61">
        <f>IF(G119="","",IF(AND(G119&gt;=L119,G119&lt;=M119),"OK","NG"))</f>
        <v/>
      </c>
      <c r="O119" s="69">
        <f>IF(N119="","",IF(N119=D119,1,0))</f>
        <v/>
      </c>
      <c r="P119" s="67">
        <f>IF(G119="","",J119-G119)</f>
        <v/>
      </c>
      <c r="Q119" s="67">
        <f>IF(G119="","",ABS(P119-Components!$D$2)/Components!$E$2)</f>
        <v/>
      </c>
      <c r="R119" s="67">
        <f>IF(G119="","",ABS(P119-Components!$D$3)/Components!$E$3)</f>
        <v/>
      </c>
      <c r="S119" s="67">
        <f>IF(G119="","",ABS(P119-Components!$D$4)/Components!$E$4)</f>
        <v/>
      </c>
      <c r="T119" s="67">
        <f>IF(G119="","",ABS(P119-Components!$D$5)/Components!$E$5)</f>
        <v/>
      </c>
      <c r="U119" s="67">
        <f>IF(G119="","",ABS(P119-Components!$D$6)/Components!$E$6)</f>
        <v/>
      </c>
      <c r="V119" s="67">
        <f>IF(G119="","",ABS(P119-Components!$D$7)/Components!$E$7)</f>
        <v/>
      </c>
      <c r="W119" s="61">
        <f>IF(G119="","",IF(N119="OK","NONE",INDEX({"S1","S2","W1","W2","N1","N2"},MATCH(MIN(Q119:V119),Q119:V119,0))))</f>
        <v/>
      </c>
      <c r="X119" s="69">
        <f>IF(G119="","",IF(W119=E119,1,0))</f>
        <v/>
      </c>
    </row>
    <row r="120">
      <c r="A120" s="61" t="n">
        <v>19</v>
      </c>
      <c r="B120" s="62" t="n">
        <v>47</v>
      </c>
      <c r="C120" s="61" t="inlineStr">
        <is>
          <t>R3</t>
        </is>
      </c>
      <c r="D120" s="74" t="inlineStr">
        <is>
          <t>NG</t>
        </is>
      </c>
      <c r="E120" s="61" t="inlineStr">
        <is>
          <t>N2</t>
        </is>
      </c>
      <c r="F120" s="61" t="inlineStr">
        <is>
          <t>K019</t>
        </is>
      </c>
      <c r="G120" s="64" t="n">
        <v>8.58</v>
      </c>
      <c r="H120" s="65" t="n"/>
      <c r="I120" s="66" t="n"/>
      <c r="J120" s="67">
        <f>VLOOKUP(C120,Recipes!$A$2:$N$4,10,FALSE())</f>
        <v/>
      </c>
      <c r="K120" s="68">
        <f>VLOOKUP(C120,Recipes!$A$2:$N$4,12,FALSE())</f>
        <v/>
      </c>
      <c r="L120" s="67">
        <f>J120-3*K120</f>
        <v/>
      </c>
      <c r="M120" s="67">
        <f>J120+3*K120</f>
        <v/>
      </c>
      <c r="N120" s="61">
        <f>IF(G120="","",IF(AND(G120&gt;=L120,G120&lt;=M120),"OK","NG"))</f>
        <v/>
      </c>
      <c r="O120" s="69">
        <f>IF(N120="","",IF(N120=D120,1,0))</f>
        <v/>
      </c>
      <c r="P120" s="67">
        <f>IF(G120="","",J120-G120)</f>
        <v/>
      </c>
      <c r="Q120" s="67">
        <f>IF(G120="","",ABS(P120-Components!$D$2)/Components!$E$2)</f>
        <v/>
      </c>
      <c r="R120" s="67">
        <f>IF(G120="","",ABS(P120-Components!$D$3)/Components!$E$3)</f>
        <v/>
      </c>
      <c r="S120" s="67">
        <f>IF(G120="","",ABS(P120-Components!$D$4)/Components!$E$4)</f>
        <v/>
      </c>
      <c r="T120" s="67">
        <f>IF(G120="","",ABS(P120-Components!$D$5)/Components!$E$5)</f>
        <v/>
      </c>
      <c r="U120" s="67">
        <f>IF(G120="","",ABS(P120-Components!$D$6)/Components!$E$6)</f>
        <v/>
      </c>
      <c r="V120" s="67">
        <f>IF(G120="","",ABS(P120-Components!$D$7)/Components!$E$7)</f>
        <v/>
      </c>
      <c r="W120" s="61">
        <f>IF(G120="","",IF(N120="OK","NONE",INDEX({"S1","S2","W1","W2","N1","N2"},MATCH(MIN(Q120:V120),Q120:V120,0))))</f>
        <v/>
      </c>
      <c r="X120" s="69">
        <f>IF(G120="","",IF(W120=E120,1,0))</f>
        <v/>
      </c>
    </row>
    <row r="121">
      <c r="A121" s="61" t="n">
        <v>19</v>
      </c>
      <c r="B121" s="62" t="n">
        <v>47</v>
      </c>
      <c r="C121" s="61" t="inlineStr">
        <is>
          <t>R3</t>
        </is>
      </c>
      <c r="D121" s="74" t="inlineStr">
        <is>
          <t>NG</t>
        </is>
      </c>
      <c r="E121" s="61" t="inlineStr">
        <is>
          <t>N2</t>
        </is>
      </c>
      <c r="F121" s="61" t="inlineStr">
        <is>
          <t>K019</t>
        </is>
      </c>
      <c r="G121" s="64" t="n">
        <v>8.630000000000001</v>
      </c>
      <c r="H121" s="65" t="n"/>
      <c r="I121" s="66" t="n"/>
      <c r="J121" s="67">
        <f>VLOOKUP(C121,Recipes!$A$2:$N$4,10,FALSE())</f>
        <v/>
      </c>
      <c r="K121" s="68">
        <f>VLOOKUP(C121,Recipes!$A$2:$N$4,12,FALSE())</f>
        <v/>
      </c>
      <c r="L121" s="67">
        <f>J121-3*K121</f>
        <v/>
      </c>
      <c r="M121" s="67">
        <f>J121+3*K121</f>
        <v/>
      </c>
      <c r="N121" s="61">
        <f>IF(G121="","",IF(AND(G121&gt;=L121,G121&lt;=M121),"OK","NG"))</f>
        <v/>
      </c>
      <c r="O121" s="69">
        <f>IF(N121="","",IF(N121=D121,1,0))</f>
        <v/>
      </c>
      <c r="P121" s="67">
        <f>IF(G121="","",J121-G121)</f>
        <v/>
      </c>
      <c r="Q121" s="67">
        <f>IF(G121="","",ABS(P121-Components!$D$2)/Components!$E$2)</f>
        <v/>
      </c>
      <c r="R121" s="67">
        <f>IF(G121="","",ABS(P121-Components!$D$3)/Components!$E$3)</f>
        <v/>
      </c>
      <c r="S121" s="67">
        <f>IF(G121="","",ABS(P121-Components!$D$4)/Components!$E$4)</f>
        <v/>
      </c>
      <c r="T121" s="67">
        <f>IF(G121="","",ABS(P121-Components!$D$5)/Components!$E$5)</f>
        <v/>
      </c>
      <c r="U121" s="67">
        <f>IF(G121="","",ABS(P121-Components!$D$6)/Components!$E$6)</f>
        <v/>
      </c>
      <c r="V121" s="67">
        <f>IF(G121="","",ABS(P121-Components!$D$7)/Components!$E$7)</f>
        <v/>
      </c>
      <c r="W121" s="61">
        <f>IF(G121="","",IF(N121="OK","NONE",INDEX({"S1","S2","W1","W2","N1","N2"},MATCH(MIN(Q121:V121),Q121:V121,0))))</f>
        <v/>
      </c>
      <c r="X121" s="69">
        <f>IF(G121="","",IF(W121=E121,1,0))</f>
        <v/>
      </c>
    </row>
    <row r="122">
      <c r="A122" s="61" t="n">
        <v>19</v>
      </c>
      <c r="B122" s="62" t="n">
        <v>47</v>
      </c>
      <c r="C122" s="61" t="inlineStr">
        <is>
          <t>R3</t>
        </is>
      </c>
      <c r="D122" s="74" t="inlineStr">
        <is>
          <t>NG</t>
        </is>
      </c>
      <c r="E122" s="61" t="inlineStr">
        <is>
          <t>N2</t>
        </is>
      </c>
      <c r="F122" s="61" t="inlineStr">
        <is>
          <t>K019</t>
        </is>
      </c>
      <c r="G122" s="64" t="n">
        <v>8.59</v>
      </c>
      <c r="H122" s="65" t="n"/>
      <c r="I122" s="66" t="n"/>
      <c r="J122" s="67">
        <f>VLOOKUP(C122,Recipes!$A$2:$N$4,10,FALSE())</f>
        <v/>
      </c>
      <c r="K122" s="68">
        <f>VLOOKUP(C122,Recipes!$A$2:$N$4,12,FALSE())</f>
        <v/>
      </c>
      <c r="L122" s="67">
        <f>J122-3*K122</f>
        <v/>
      </c>
      <c r="M122" s="67">
        <f>J122+3*K122</f>
        <v/>
      </c>
      <c r="N122" s="61">
        <f>IF(G122="","",IF(AND(G122&gt;=L122,G122&lt;=M122),"OK","NG"))</f>
        <v/>
      </c>
      <c r="O122" s="69">
        <f>IF(N122="","",IF(N122=D122,1,0))</f>
        <v/>
      </c>
      <c r="P122" s="67">
        <f>IF(G122="","",J122-G122)</f>
        <v/>
      </c>
      <c r="Q122" s="67">
        <f>IF(G122="","",ABS(P122-Components!$D$2)/Components!$E$2)</f>
        <v/>
      </c>
      <c r="R122" s="67">
        <f>IF(G122="","",ABS(P122-Components!$D$3)/Components!$E$3)</f>
        <v/>
      </c>
      <c r="S122" s="67">
        <f>IF(G122="","",ABS(P122-Components!$D$4)/Components!$E$4)</f>
        <v/>
      </c>
      <c r="T122" s="67">
        <f>IF(G122="","",ABS(P122-Components!$D$5)/Components!$E$5)</f>
        <v/>
      </c>
      <c r="U122" s="67">
        <f>IF(G122="","",ABS(P122-Components!$D$6)/Components!$E$6)</f>
        <v/>
      </c>
      <c r="V122" s="67">
        <f>IF(G122="","",ABS(P122-Components!$D$7)/Components!$E$7)</f>
        <v/>
      </c>
      <c r="W122" s="61">
        <f>IF(G122="","",IF(N122="OK","NONE",INDEX({"S1","S2","W1","W2","N1","N2"},MATCH(MIN(Q122:V122),Q122:V122,0))))</f>
        <v/>
      </c>
      <c r="X122" s="69">
        <f>IF(G122="","",IF(W122=E122,1,0))</f>
        <v/>
      </c>
    </row>
    <row r="123">
      <c r="A123" s="61" t="n">
        <v>21</v>
      </c>
      <c r="B123" s="62" t="n">
        <v>29</v>
      </c>
      <c r="C123" s="61" t="inlineStr">
        <is>
          <t>R4</t>
        </is>
      </c>
      <c r="D123" s="63" t="inlineStr">
        <is>
          <t>OK</t>
        </is>
      </c>
      <c r="E123" s="61" t="inlineStr">
        <is>
          <t>NONE</t>
        </is>
      </c>
      <c r="F123" s="61" t="inlineStr">
        <is>
          <t>K021</t>
        </is>
      </c>
      <c r="G123" s="64" t="n">
        <v>8.949999999999999</v>
      </c>
      <c r="H123" s="65" t="n"/>
      <c r="I123" s="66" t="n"/>
      <c r="J123" s="67">
        <f>VLOOKUP(C123,Recipes!$A$2:$N$4,10,FALSE())</f>
        <v/>
      </c>
      <c r="K123" s="68">
        <f>VLOOKUP(C123,Recipes!$A$2:$N$4,12,FALSE())</f>
        <v/>
      </c>
      <c r="L123" s="67">
        <f>J123-3*K123</f>
        <v/>
      </c>
      <c r="M123" s="67">
        <f>J123+3*K123</f>
        <v/>
      </c>
      <c r="N123" s="61">
        <f>IF(G123="","",IF(AND(G123&gt;=L123,G123&lt;=M123),"OK","NG"))</f>
        <v/>
      </c>
      <c r="O123" s="69">
        <f>IF(N123="","",IF(N123=D123,1,0))</f>
        <v/>
      </c>
      <c r="P123" s="67">
        <f>IF(G123="","",J123-G123)</f>
        <v/>
      </c>
      <c r="Q123" s="67">
        <f>IF(G123="","",ABS(P123-Components!$D$2)/Components!$E$2)</f>
        <v/>
      </c>
      <c r="R123" s="67">
        <f>IF(G123="","",ABS(P123-Components!$D$3)/Components!$E$3)</f>
        <v/>
      </c>
      <c r="S123" s="67">
        <f>IF(G123="","",ABS(P123-Components!$D$4)/Components!$E$4)</f>
        <v/>
      </c>
      <c r="T123" s="67">
        <f>IF(G123="","",ABS(P123-Components!$D$5)/Components!$E$5)</f>
        <v/>
      </c>
      <c r="U123" s="67">
        <f>IF(G123="","",ABS(P123-Components!$D$6)/Components!$E$6)</f>
        <v/>
      </c>
      <c r="V123" s="67">
        <f>IF(G123="","",ABS(P123-Components!$D$7)/Components!$E$7)</f>
        <v/>
      </c>
      <c r="W123" s="61">
        <f>IF(G123="","",IF(N123="OK","NONE",INDEX({"S1","S2","W1","W2","N1","N2"},MATCH(MIN(Q123:V123),Q123:V123,0))))</f>
        <v/>
      </c>
      <c r="X123" s="69">
        <f>IF(G123="","",IF(W123=E123,1,0))</f>
        <v/>
      </c>
    </row>
    <row r="124">
      <c r="A124" s="61" t="n">
        <v>22</v>
      </c>
      <c r="B124" s="62" t="n">
        <v>11</v>
      </c>
      <c r="C124" s="61" t="inlineStr">
        <is>
          <t>R4</t>
        </is>
      </c>
      <c r="D124" s="63" t="inlineStr">
        <is>
          <t>OK</t>
        </is>
      </c>
      <c r="E124" s="61" t="inlineStr">
        <is>
          <t>NONE</t>
        </is>
      </c>
      <c r="F124" s="61" t="inlineStr">
        <is>
          <t>K022</t>
        </is>
      </c>
      <c r="G124" s="64" t="n">
        <v>8.94</v>
      </c>
      <c r="H124" s="65" t="n"/>
      <c r="I124" s="66" t="n"/>
      <c r="J124" s="67">
        <f>VLOOKUP(C124,Recipes!$A$2:$N$4,10,FALSE())</f>
        <v/>
      </c>
      <c r="K124" s="68">
        <f>VLOOKUP(C124,Recipes!$A$2:$N$4,12,FALSE())</f>
        <v/>
      </c>
      <c r="L124" s="67">
        <f>J124-3*K124</f>
        <v/>
      </c>
      <c r="M124" s="67">
        <f>J124+3*K124</f>
        <v/>
      </c>
      <c r="N124" s="61">
        <f>IF(G124="","",IF(AND(G124&gt;=L124,G124&lt;=M124),"OK","NG"))</f>
        <v/>
      </c>
      <c r="O124" s="69">
        <f>IF(N124="","",IF(N124=D124,1,0))</f>
        <v/>
      </c>
      <c r="P124" s="67">
        <f>IF(G124="","",J124-G124)</f>
        <v/>
      </c>
      <c r="Q124" s="67">
        <f>IF(G124="","",ABS(P124-Components!$D$2)/Components!$E$2)</f>
        <v/>
      </c>
      <c r="R124" s="67">
        <f>IF(G124="","",ABS(P124-Components!$D$3)/Components!$E$3)</f>
        <v/>
      </c>
      <c r="S124" s="67">
        <f>IF(G124="","",ABS(P124-Components!$D$4)/Components!$E$4)</f>
        <v/>
      </c>
      <c r="T124" s="67">
        <f>IF(G124="","",ABS(P124-Components!$D$5)/Components!$E$5)</f>
        <v/>
      </c>
      <c r="U124" s="67">
        <f>IF(G124="","",ABS(P124-Components!$D$6)/Components!$E$6)</f>
        <v/>
      </c>
      <c r="V124" s="67">
        <f>IF(G124="","",ABS(P124-Components!$D$7)/Components!$E$7)</f>
        <v/>
      </c>
      <c r="W124" s="61">
        <f>IF(G124="","",IF(N124="OK","NONE",INDEX({"S1","S2","W1","W2","N1","N2"},MATCH(MIN(Q124:V124),Q124:V124,0))))</f>
        <v/>
      </c>
      <c r="X124" s="69">
        <f>IF(G124="","",IF(W124=E124,1,0))</f>
        <v/>
      </c>
    </row>
    <row r="125">
      <c r="A125" s="61" t="n">
        <v>23</v>
      </c>
      <c r="B125" s="62" t="n">
        <v>43</v>
      </c>
      <c r="C125" s="61" t="inlineStr">
        <is>
          <t>R4</t>
        </is>
      </c>
      <c r="D125" s="63" t="inlineStr">
        <is>
          <t>OK</t>
        </is>
      </c>
      <c r="E125" s="61" t="inlineStr">
        <is>
          <t>NONE</t>
        </is>
      </c>
      <c r="F125" s="61" t="inlineStr">
        <is>
          <t>K023</t>
        </is>
      </c>
      <c r="G125" s="64" t="n">
        <v>8.94</v>
      </c>
      <c r="H125" s="65" t="n"/>
      <c r="I125" s="66" t="n"/>
      <c r="J125" s="67">
        <f>VLOOKUP(C125,Recipes!$A$2:$N$4,10,FALSE())</f>
        <v/>
      </c>
      <c r="K125" s="68">
        <f>VLOOKUP(C125,Recipes!$A$2:$N$4,12,FALSE())</f>
        <v/>
      </c>
      <c r="L125" s="67">
        <f>J125-3*K125</f>
        <v/>
      </c>
      <c r="M125" s="67">
        <f>J125+3*K125</f>
        <v/>
      </c>
      <c r="N125" s="61">
        <f>IF(G125="","",IF(AND(G125&gt;=L125,G125&lt;=M125),"OK","NG"))</f>
        <v/>
      </c>
      <c r="O125" s="69">
        <f>IF(N125="","",IF(N125=D125,1,0))</f>
        <v/>
      </c>
      <c r="P125" s="67">
        <f>IF(G125="","",J125-G125)</f>
        <v/>
      </c>
      <c r="Q125" s="67">
        <f>IF(G125="","",ABS(P125-Components!$D$2)/Components!$E$2)</f>
        <v/>
      </c>
      <c r="R125" s="67">
        <f>IF(G125="","",ABS(P125-Components!$D$3)/Components!$E$3)</f>
        <v/>
      </c>
      <c r="S125" s="67">
        <f>IF(G125="","",ABS(P125-Components!$D$4)/Components!$E$4)</f>
        <v/>
      </c>
      <c r="T125" s="67">
        <f>IF(G125="","",ABS(P125-Components!$D$5)/Components!$E$5)</f>
        <v/>
      </c>
      <c r="U125" s="67">
        <f>IF(G125="","",ABS(P125-Components!$D$6)/Components!$E$6)</f>
        <v/>
      </c>
      <c r="V125" s="67">
        <f>IF(G125="","",ABS(P125-Components!$D$7)/Components!$E$7)</f>
        <v/>
      </c>
      <c r="W125" s="61">
        <f>IF(G125="","",IF(N125="OK","NONE",INDEX({"S1","S2","W1","W2","N1","N2"},MATCH(MIN(Q125:V125),Q125:V125,0))))</f>
        <v/>
      </c>
      <c r="X125" s="69">
        <f>IF(G125="","",IF(W125=E125,1,0))</f>
        <v/>
      </c>
    </row>
    <row r="126">
      <c r="A126" s="61" t="n">
        <v>24</v>
      </c>
      <c r="B126" s="62" t="n">
        <v>23</v>
      </c>
      <c r="C126" s="61" t="inlineStr">
        <is>
          <t>R4</t>
        </is>
      </c>
      <c r="D126" s="63" t="inlineStr">
        <is>
          <t>OK</t>
        </is>
      </c>
      <c r="E126" s="61" t="inlineStr">
        <is>
          <t>NONE</t>
        </is>
      </c>
      <c r="F126" s="61" t="inlineStr">
        <is>
          <t>K024</t>
        </is>
      </c>
      <c r="G126" s="64" t="n">
        <v>8.890000000000001</v>
      </c>
      <c r="H126" s="65" t="n"/>
      <c r="I126" s="66" t="n"/>
      <c r="J126" s="67">
        <f>VLOOKUP(C126,Recipes!$A$2:$N$4,10,FALSE())</f>
        <v/>
      </c>
      <c r="K126" s="68">
        <f>VLOOKUP(C126,Recipes!$A$2:$N$4,12,FALSE())</f>
        <v/>
      </c>
      <c r="L126" s="67">
        <f>J126-3*K126</f>
        <v/>
      </c>
      <c r="M126" s="67">
        <f>J126+3*K126</f>
        <v/>
      </c>
      <c r="N126" s="61">
        <f>IF(G126="","",IF(AND(G126&gt;=L126,G126&lt;=M126),"OK","NG"))</f>
        <v/>
      </c>
      <c r="O126" s="69">
        <f>IF(N126="","",IF(N126=D126,1,0))</f>
        <v/>
      </c>
      <c r="P126" s="67">
        <f>IF(G126="","",J126-G126)</f>
        <v/>
      </c>
      <c r="Q126" s="67">
        <f>IF(G126="","",ABS(P126-Components!$D$2)/Components!$E$2)</f>
        <v/>
      </c>
      <c r="R126" s="67">
        <f>IF(G126="","",ABS(P126-Components!$D$3)/Components!$E$3)</f>
        <v/>
      </c>
      <c r="S126" s="67">
        <f>IF(G126="","",ABS(P126-Components!$D$4)/Components!$E$4)</f>
        <v/>
      </c>
      <c r="T126" s="67">
        <f>IF(G126="","",ABS(P126-Components!$D$5)/Components!$E$5)</f>
        <v/>
      </c>
      <c r="U126" s="67">
        <f>IF(G126="","",ABS(P126-Components!$D$6)/Components!$E$6)</f>
        <v/>
      </c>
      <c r="V126" s="67">
        <f>IF(G126="","",ABS(P126-Components!$D$7)/Components!$E$7)</f>
        <v/>
      </c>
      <c r="W126" s="61">
        <f>IF(G126="","",IF(N126="OK","NONE",INDEX({"S1","S2","W1","W2","N1","N2"},MATCH(MIN(Q126:V126),Q126:V126,0))))</f>
        <v/>
      </c>
      <c r="X126" s="69">
        <f>IF(G126="","",IF(W126=E126,1,0))</f>
        <v/>
      </c>
    </row>
    <row r="127">
      <c r="A127" s="61" t="n">
        <v>25</v>
      </c>
      <c r="B127" s="62" t="n">
        <v>39</v>
      </c>
      <c r="C127" s="61" t="inlineStr">
        <is>
          <t>R4</t>
        </is>
      </c>
      <c r="D127" s="63" t="inlineStr">
        <is>
          <t>OK</t>
        </is>
      </c>
      <c r="E127" s="61" t="inlineStr">
        <is>
          <t>NONE</t>
        </is>
      </c>
      <c r="F127" s="61" t="inlineStr">
        <is>
          <t>K025</t>
        </is>
      </c>
      <c r="G127" s="64" t="n">
        <v>8.890000000000001</v>
      </c>
      <c r="H127" s="65" t="n"/>
      <c r="I127" s="66" t="n"/>
      <c r="J127" s="67">
        <f>VLOOKUP(C127,Recipes!$A$2:$N$4,10,FALSE())</f>
        <v/>
      </c>
      <c r="K127" s="68">
        <f>VLOOKUP(C127,Recipes!$A$2:$N$4,12,FALSE())</f>
        <v/>
      </c>
      <c r="L127" s="67">
        <f>J127-3*K127</f>
        <v/>
      </c>
      <c r="M127" s="67">
        <f>J127+3*K127</f>
        <v/>
      </c>
      <c r="N127" s="61">
        <f>IF(G127="","",IF(AND(G127&gt;=L127,G127&lt;=M127),"OK","NG"))</f>
        <v/>
      </c>
      <c r="O127" s="69">
        <f>IF(N127="","",IF(N127=D127,1,0))</f>
        <v/>
      </c>
      <c r="P127" s="67">
        <f>IF(G127="","",J127-G127)</f>
        <v/>
      </c>
      <c r="Q127" s="67">
        <f>IF(G127="","",ABS(P127-Components!$D$2)/Components!$E$2)</f>
        <v/>
      </c>
      <c r="R127" s="67">
        <f>IF(G127="","",ABS(P127-Components!$D$3)/Components!$E$3)</f>
        <v/>
      </c>
      <c r="S127" s="67">
        <f>IF(G127="","",ABS(P127-Components!$D$4)/Components!$E$4)</f>
        <v/>
      </c>
      <c r="T127" s="67">
        <f>IF(G127="","",ABS(P127-Components!$D$5)/Components!$E$5)</f>
        <v/>
      </c>
      <c r="U127" s="67">
        <f>IF(G127="","",ABS(P127-Components!$D$6)/Components!$E$6)</f>
        <v/>
      </c>
      <c r="V127" s="67">
        <f>IF(G127="","",ABS(P127-Components!$D$7)/Components!$E$7)</f>
        <v/>
      </c>
      <c r="W127" s="61">
        <f>IF(G127="","",IF(N127="OK","NONE",INDEX({"S1","S2","W1","W2","N1","N2"},MATCH(MIN(Q127:V127),Q127:V127,0))))</f>
        <v/>
      </c>
      <c r="X127" s="69">
        <f>IF(G127="","",IF(W127=E127,1,0))</f>
        <v/>
      </c>
    </row>
    <row r="128">
      <c r="A128" s="61" t="n">
        <v>26</v>
      </c>
      <c r="B128" s="62" t="n">
        <v>31</v>
      </c>
      <c r="C128" s="61" t="inlineStr">
        <is>
          <t>R4</t>
        </is>
      </c>
      <c r="D128" s="63" t="inlineStr">
        <is>
          <t>OK</t>
        </is>
      </c>
      <c r="E128" s="61" t="inlineStr">
        <is>
          <t>NONE</t>
        </is>
      </c>
      <c r="F128" s="61" t="inlineStr">
        <is>
          <t>K026</t>
        </is>
      </c>
      <c r="G128" s="75" t="n">
        <v>8.880000000000001</v>
      </c>
      <c r="H128" s="65" t="n"/>
      <c r="I128" s="66" t="n"/>
      <c r="J128" s="67">
        <f>VLOOKUP(C128,Recipes!$A$2:$N$4,10,FALSE())</f>
        <v/>
      </c>
      <c r="K128" s="68">
        <f>VLOOKUP(C128,Recipes!$A$2:$N$4,12,FALSE())</f>
        <v/>
      </c>
      <c r="L128" s="67">
        <f>J128-3*K128</f>
        <v/>
      </c>
      <c r="M128" s="67">
        <f>J128+3*K128</f>
        <v/>
      </c>
      <c r="N128" s="61">
        <f>IF(G128="","",IF(AND(G128&gt;=L128,G128&lt;=M128),"OK","NG"))</f>
        <v/>
      </c>
      <c r="O128" s="69">
        <f>IF(N128="","",IF(N128=D128,1,0))</f>
        <v/>
      </c>
      <c r="P128" s="67">
        <f>IF(G128="","",J128-G128)</f>
        <v/>
      </c>
      <c r="Q128" s="67">
        <f>IF(G128="","",ABS(P128-Components!$D$2)/Components!$E$2)</f>
        <v/>
      </c>
      <c r="R128" s="67">
        <f>IF(G128="","",ABS(P128-Components!$D$3)/Components!$E$3)</f>
        <v/>
      </c>
      <c r="S128" s="67">
        <f>IF(G128="","",ABS(P128-Components!$D$4)/Components!$E$4)</f>
        <v/>
      </c>
      <c r="T128" s="67">
        <f>IF(G128="","",ABS(P128-Components!$D$5)/Components!$E$5)</f>
        <v/>
      </c>
      <c r="U128" s="67">
        <f>IF(G128="","",ABS(P128-Components!$D$6)/Components!$E$6)</f>
        <v/>
      </c>
      <c r="V128" s="67">
        <f>IF(G128="","",ABS(P128-Components!$D$7)/Components!$E$7)</f>
        <v/>
      </c>
      <c r="W128" s="61">
        <f>IF(G128="","",IF(N128="OK","NONE",INDEX({"S1","S2","W1","W2","N1","N2"},MATCH(MIN(Q128:V128),Q128:V128,0))))</f>
        <v/>
      </c>
      <c r="X128" s="69">
        <f>IF(G128="","",IF(W128=E128,1,0))</f>
        <v/>
      </c>
    </row>
    <row r="129">
      <c r="A129" s="61" t="n">
        <v>27</v>
      </c>
      <c r="B129" s="62" t="n">
        <v>29</v>
      </c>
      <c r="C129" s="61" t="inlineStr">
        <is>
          <t>R4</t>
        </is>
      </c>
      <c r="D129" s="63" t="inlineStr">
        <is>
          <t>OK</t>
        </is>
      </c>
      <c r="E129" s="61" t="inlineStr">
        <is>
          <t>NONE</t>
        </is>
      </c>
      <c r="F129" s="61" t="inlineStr">
        <is>
          <t>K027</t>
        </is>
      </c>
      <c r="G129" s="75" t="n">
        <v>8.91</v>
      </c>
      <c r="H129" s="65" t="n"/>
      <c r="I129" s="66" t="n"/>
      <c r="J129" s="67">
        <f>VLOOKUP(C129,Recipes!$A$2:$N$4,10,FALSE())</f>
        <v/>
      </c>
      <c r="K129" s="68">
        <f>VLOOKUP(C129,Recipes!$A$2:$N$4,12,FALSE())</f>
        <v/>
      </c>
      <c r="L129" s="67">
        <f>J129-3*K129</f>
        <v/>
      </c>
      <c r="M129" s="67">
        <f>J129+3*K129</f>
        <v/>
      </c>
      <c r="N129" s="61">
        <f>IF(G129="","",IF(AND(G129&gt;=L129,G129&lt;=M129),"OK","NG"))</f>
        <v/>
      </c>
      <c r="O129" s="69">
        <f>IF(N129="","",IF(N129=D129,1,0))</f>
        <v/>
      </c>
      <c r="P129" s="67">
        <f>IF(G129="","",J129-G129)</f>
        <v/>
      </c>
      <c r="Q129" s="67">
        <f>IF(G129="","",ABS(P129-Components!$D$2)/Components!$E$2)</f>
        <v/>
      </c>
      <c r="R129" s="67">
        <f>IF(G129="","",ABS(P129-Components!$D$3)/Components!$E$3)</f>
        <v/>
      </c>
      <c r="S129" s="67">
        <f>IF(G129="","",ABS(P129-Components!$D$4)/Components!$E$4)</f>
        <v/>
      </c>
      <c r="T129" s="67">
        <f>IF(G129="","",ABS(P129-Components!$D$5)/Components!$E$5)</f>
        <v/>
      </c>
      <c r="U129" s="67">
        <f>IF(G129="","",ABS(P129-Components!$D$6)/Components!$E$6)</f>
        <v/>
      </c>
      <c r="V129" s="67">
        <f>IF(G129="","",ABS(P129-Components!$D$7)/Components!$E$7)</f>
        <v/>
      </c>
      <c r="W129" s="61">
        <f>IF(G129="","",IF(N129="OK","NONE",INDEX({"S1","S2","W1","W2","N1","N2"},MATCH(MIN(Q129:V129),Q129:V129,0))))</f>
        <v/>
      </c>
      <c r="X129" s="69">
        <f>IF(G129="","",IF(W129=E129,1,0))</f>
        <v/>
      </c>
    </row>
    <row r="130">
      <c r="A130" s="61" t="n">
        <v>28</v>
      </c>
      <c r="B130" s="62" t="n">
        <v>27</v>
      </c>
      <c r="C130" s="61" t="inlineStr">
        <is>
          <t>R4</t>
        </is>
      </c>
      <c r="D130" s="63" t="inlineStr">
        <is>
          <t>OK</t>
        </is>
      </c>
      <c r="E130" s="61" t="inlineStr">
        <is>
          <t>NONE</t>
        </is>
      </c>
      <c r="F130" s="61" t="inlineStr">
        <is>
          <t>K028</t>
        </is>
      </c>
      <c r="G130" s="75" t="n">
        <v>8.85</v>
      </c>
      <c r="H130" s="65" t="n"/>
      <c r="I130" s="66" t="n"/>
      <c r="J130" s="67">
        <f>VLOOKUP(C130,Recipes!$A$2:$N$4,10,FALSE())</f>
        <v/>
      </c>
      <c r="K130" s="68">
        <f>VLOOKUP(C130,Recipes!$A$2:$N$4,12,FALSE())</f>
        <v/>
      </c>
      <c r="L130" s="67">
        <f>J130-3*K130</f>
        <v/>
      </c>
      <c r="M130" s="67">
        <f>J130+3*K130</f>
        <v/>
      </c>
      <c r="N130" s="61">
        <f>IF(G130="","",IF(AND(G130&gt;=L130,G130&lt;=M130),"OK","NG"))</f>
        <v/>
      </c>
      <c r="O130" s="69">
        <f>IF(N130="","",IF(N130=D130,1,0))</f>
        <v/>
      </c>
      <c r="P130" s="67">
        <f>IF(G130="","",J130-G130)</f>
        <v/>
      </c>
      <c r="Q130" s="67">
        <f>IF(G130="","",ABS(P130-Components!$D$2)/Components!$E$2)</f>
        <v/>
      </c>
      <c r="R130" s="67">
        <f>IF(G130="","",ABS(P130-Components!$D$3)/Components!$E$3)</f>
        <v/>
      </c>
      <c r="S130" s="67">
        <f>IF(G130="","",ABS(P130-Components!$D$4)/Components!$E$4)</f>
        <v/>
      </c>
      <c r="T130" s="67">
        <f>IF(G130="","",ABS(P130-Components!$D$5)/Components!$E$5)</f>
        <v/>
      </c>
      <c r="U130" s="67">
        <f>IF(G130="","",ABS(P130-Components!$D$6)/Components!$E$6)</f>
        <v/>
      </c>
      <c r="V130" s="67">
        <f>IF(G130="","",ABS(P130-Components!$D$7)/Components!$E$7)</f>
        <v/>
      </c>
      <c r="W130" s="61">
        <f>IF(G130="","",IF(N130="OK","NONE",INDEX({"S1","S2","W1","W2","N1","N2"},MATCH(MIN(Q130:V130),Q130:V130,0))))</f>
        <v/>
      </c>
      <c r="X130" s="69">
        <f>IF(G130="","",IF(W130=E130,1,0))</f>
        <v/>
      </c>
    </row>
    <row r="131">
      <c r="A131" s="61" t="n">
        <v>29</v>
      </c>
      <c r="B131" s="62" t="n">
        <v>25</v>
      </c>
      <c r="C131" s="61" t="inlineStr">
        <is>
          <t>R4</t>
        </is>
      </c>
      <c r="D131" s="63" t="inlineStr">
        <is>
          <t>OK</t>
        </is>
      </c>
      <c r="E131" s="61" t="inlineStr">
        <is>
          <t>NONE</t>
        </is>
      </c>
      <c r="F131" s="61" t="inlineStr">
        <is>
          <t>K029</t>
        </is>
      </c>
      <c r="G131" s="75" t="n">
        <v>8.880000000000001</v>
      </c>
      <c r="H131" s="65" t="n"/>
      <c r="I131" s="66" t="n"/>
      <c r="J131" s="67">
        <f>VLOOKUP(C131,Recipes!$A$2:$N$4,10,FALSE())</f>
        <v/>
      </c>
      <c r="K131" s="68">
        <f>VLOOKUP(C131,Recipes!$A$2:$N$4,12,FALSE())</f>
        <v/>
      </c>
      <c r="L131" s="67">
        <f>J131-3*K131</f>
        <v/>
      </c>
      <c r="M131" s="67">
        <f>J131+3*K131</f>
        <v/>
      </c>
      <c r="N131" s="61">
        <f>IF(G131="","",IF(AND(G131&gt;=L131,G131&lt;=M131),"OK","NG"))</f>
        <v/>
      </c>
      <c r="O131" s="69">
        <f>IF(N131="","",IF(N131=D131,1,0))</f>
        <v/>
      </c>
      <c r="P131" s="67">
        <f>IF(G131="","",J131-G131)</f>
        <v/>
      </c>
      <c r="Q131" s="67">
        <f>IF(G131="","",ABS(P131-Components!$D$2)/Components!$E$2)</f>
        <v/>
      </c>
      <c r="R131" s="67">
        <f>IF(G131="","",ABS(P131-Components!$D$3)/Components!$E$3)</f>
        <v/>
      </c>
      <c r="S131" s="67">
        <f>IF(G131="","",ABS(P131-Components!$D$4)/Components!$E$4)</f>
        <v/>
      </c>
      <c r="T131" s="67">
        <f>IF(G131="","",ABS(P131-Components!$D$5)/Components!$E$5)</f>
        <v/>
      </c>
      <c r="U131" s="67">
        <f>IF(G131="","",ABS(P131-Components!$D$6)/Components!$E$6)</f>
        <v/>
      </c>
      <c r="V131" s="67">
        <f>IF(G131="","",ABS(P131-Components!$D$7)/Components!$E$7)</f>
        <v/>
      </c>
      <c r="W131" s="61">
        <f>IF(G131="","",IF(N131="OK","NONE",INDEX({"S1","S2","W1","W2","N1","N2"},MATCH(MIN(Q131:V131),Q131:V131,0))))</f>
        <v/>
      </c>
      <c r="X131" s="69">
        <f>IF(G131="","",IF(W131=E131,1,0))</f>
        <v/>
      </c>
    </row>
    <row r="132">
      <c r="A132" s="61" t="n">
        <v>30</v>
      </c>
      <c r="B132" s="62" t="n">
        <v>23</v>
      </c>
      <c r="C132" s="61" t="inlineStr">
        <is>
          <t>R4</t>
        </is>
      </c>
      <c r="D132" s="63" t="inlineStr">
        <is>
          <t>OK</t>
        </is>
      </c>
      <c r="E132" s="61" t="inlineStr">
        <is>
          <t>NONE</t>
        </is>
      </c>
      <c r="F132" s="61" t="inlineStr">
        <is>
          <t>K030</t>
        </is>
      </c>
      <c r="G132" s="75" t="n">
        <v>8.869999999999999</v>
      </c>
      <c r="H132" s="65" t="n"/>
      <c r="I132" s="66" t="n"/>
      <c r="J132" s="67">
        <f>VLOOKUP(C132,Recipes!$A$2:$N$4,10,FALSE())</f>
        <v/>
      </c>
      <c r="K132" s="68">
        <f>VLOOKUP(C132,Recipes!$A$2:$N$4,12,FALSE())</f>
        <v/>
      </c>
      <c r="L132" s="67">
        <f>J132-3*K132</f>
        <v/>
      </c>
      <c r="M132" s="67">
        <f>J132+3*K132</f>
        <v/>
      </c>
      <c r="N132" s="61">
        <f>IF(G132="","",IF(AND(G132&gt;=L132,G132&lt;=M132),"OK","NG"))</f>
        <v/>
      </c>
      <c r="O132" s="69">
        <f>IF(N132="","",IF(N132=D132,1,0))</f>
        <v/>
      </c>
      <c r="P132" s="67">
        <f>IF(G132="","",J132-G132)</f>
        <v/>
      </c>
      <c r="Q132" s="67">
        <f>IF(G132="","",ABS(P132-Components!$D$2)/Components!$E$2)</f>
        <v/>
      </c>
      <c r="R132" s="67">
        <f>IF(G132="","",ABS(P132-Components!$D$3)/Components!$E$3)</f>
        <v/>
      </c>
      <c r="S132" s="67">
        <f>IF(G132="","",ABS(P132-Components!$D$4)/Components!$E$4)</f>
        <v/>
      </c>
      <c r="T132" s="67">
        <f>IF(G132="","",ABS(P132-Components!$D$5)/Components!$E$5)</f>
        <v/>
      </c>
      <c r="U132" s="67">
        <f>IF(G132="","",ABS(P132-Components!$D$6)/Components!$E$6)</f>
        <v/>
      </c>
      <c r="V132" s="67">
        <f>IF(G132="","",ABS(P132-Components!$D$7)/Components!$E$7)</f>
        <v/>
      </c>
      <c r="W132" s="61">
        <f>IF(G132="","",IF(N132="OK","NONE",INDEX({"S1","S2","W1","W2","N1","N2"},MATCH(MIN(Q132:V132),Q132:V132,0))))</f>
        <v/>
      </c>
      <c r="X132" s="69">
        <f>IF(G132="","",IF(W132=E132,1,0))</f>
        <v/>
      </c>
    </row>
    <row r="133">
      <c r="A133" s="61" t="n">
        <v>31</v>
      </c>
      <c r="B133" s="62" t="n">
        <v>21</v>
      </c>
      <c r="C133" s="61" t="inlineStr">
        <is>
          <t>R4</t>
        </is>
      </c>
      <c r="D133" s="63" t="inlineStr">
        <is>
          <t>OK</t>
        </is>
      </c>
      <c r="E133" s="61" t="inlineStr">
        <is>
          <t>NONE</t>
        </is>
      </c>
      <c r="F133" s="61" t="inlineStr">
        <is>
          <t>K031</t>
        </is>
      </c>
      <c r="G133" s="75" t="n">
        <v>8.890000000000001</v>
      </c>
      <c r="H133" s="65" t="n"/>
      <c r="I133" s="66" t="n"/>
      <c r="J133" s="67">
        <f>VLOOKUP(C133,Recipes!$A$2:$N$4,10,FALSE())</f>
        <v/>
      </c>
      <c r="K133" s="68">
        <f>VLOOKUP(C133,Recipes!$A$2:$N$4,12,FALSE())</f>
        <v/>
      </c>
      <c r="L133" s="67">
        <f>J133-3*K133</f>
        <v/>
      </c>
      <c r="M133" s="67">
        <f>J133+3*K133</f>
        <v/>
      </c>
      <c r="N133" s="61">
        <f>IF(G133="","",IF(AND(G133&gt;=L133,G133&lt;=M133),"OK","NG"))</f>
        <v/>
      </c>
      <c r="O133" s="69">
        <f>IF(N133="","",IF(N133=D133,1,0))</f>
        <v/>
      </c>
      <c r="P133" s="67">
        <f>IF(G133="","",J133-G133)</f>
        <v/>
      </c>
      <c r="Q133" s="67">
        <f>IF(G133="","",ABS(P133-Components!$D$2)/Components!$E$2)</f>
        <v/>
      </c>
      <c r="R133" s="67">
        <f>IF(G133="","",ABS(P133-Components!$D$3)/Components!$E$3)</f>
        <v/>
      </c>
      <c r="S133" s="67">
        <f>IF(G133="","",ABS(P133-Components!$D$4)/Components!$E$4)</f>
        <v/>
      </c>
      <c r="T133" s="67">
        <f>IF(G133="","",ABS(P133-Components!$D$5)/Components!$E$5)</f>
        <v/>
      </c>
      <c r="U133" s="67">
        <f>IF(G133="","",ABS(P133-Components!$D$6)/Components!$E$6)</f>
        <v/>
      </c>
      <c r="V133" s="67">
        <f>IF(G133="","",ABS(P133-Components!$D$7)/Components!$E$7)</f>
        <v/>
      </c>
      <c r="W133" s="61">
        <f>IF(G133="","",IF(N133="OK","NONE",INDEX({"S1","S2","W1","W2","N1","N2"},MATCH(MIN(Q133:V133),Q133:V133,0))))</f>
        <v/>
      </c>
      <c r="X133" s="69">
        <f>IF(G133="","",IF(W133=E133,1,0))</f>
        <v/>
      </c>
    </row>
    <row r="134">
      <c r="A134" s="61" t="n">
        <v>32</v>
      </c>
      <c r="B134" s="62" t="n">
        <v>19</v>
      </c>
      <c r="C134" s="61" t="inlineStr">
        <is>
          <t>R4</t>
        </is>
      </c>
      <c r="D134" s="63" t="inlineStr">
        <is>
          <t>OK</t>
        </is>
      </c>
      <c r="E134" s="61" t="inlineStr">
        <is>
          <t>NONE</t>
        </is>
      </c>
      <c r="F134" s="61" t="inlineStr">
        <is>
          <t>K032</t>
        </is>
      </c>
      <c r="G134" s="75" t="n">
        <v>8.869999999999999</v>
      </c>
      <c r="H134" s="65" t="n"/>
      <c r="I134" s="66" t="n"/>
      <c r="J134" s="67">
        <f>VLOOKUP(C134,Recipes!$A$2:$N$4,10,FALSE())</f>
        <v/>
      </c>
      <c r="K134" s="68">
        <f>VLOOKUP(C134,Recipes!$A$2:$N$4,12,FALSE())</f>
        <v/>
      </c>
      <c r="L134" s="67">
        <f>J134-3*K134</f>
        <v/>
      </c>
      <c r="M134" s="67">
        <f>J134+3*K134</f>
        <v/>
      </c>
      <c r="N134" s="61">
        <f>IF(G134="","",IF(AND(G134&gt;=L134,G134&lt;=M134),"OK","NG"))</f>
        <v/>
      </c>
      <c r="O134" s="69">
        <f>IF(N134="","",IF(N134=D134,1,0))</f>
        <v/>
      </c>
      <c r="P134" s="67">
        <f>IF(G134="","",J134-G134)</f>
        <v/>
      </c>
      <c r="Q134" s="67">
        <f>IF(G134="","",ABS(P134-Components!$D$2)/Components!$E$2)</f>
        <v/>
      </c>
      <c r="R134" s="67">
        <f>IF(G134="","",ABS(P134-Components!$D$3)/Components!$E$3)</f>
        <v/>
      </c>
      <c r="S134" s="67">
        <f>IF(G134="","",ABS(P134-Components!$D$4)/Components!$E$4)</f>
        <v/>
      </c>
      <c r="T134" s="67">
        <f>IF(G134="","",ABS(P134-Components!$D$5)/Components!$E$5)</f>
        <v/>
      </c>
      <c r="U134" s="67">
        <f>IF(G134="","",ABS(P134-Components!$D$6)/Components!$E$6)</f>
        <v/>
      </c>
      <c r="V134" s="67">
        <f>IF(G134="","",ABS(P134-Components!$D$7)/Components!$E$7)</f>
        <v/>
      </c>
      <c r="W134" s="61">
        <f>IF(G134="","",IF(N134="OK","NONE",INDEX({"S1","S2","W1","W2","N1","N2"},MATCH(MIN(Q134:V134),Q134:V134,0))))</f>
        <v/>
      </c>
      <c r="X134" s="69">
        <f>IF(G134="","",IF(W134=E134,1,0))</f>
        <v/>
      </c>
    </row>
    <row r="135">
      <c r="A135" s="61" t="n">
        <v>33</v>
      </c>
      <c r="B135" s="62" t="n">
        <v>17</v>
      </c>
      <c r="C135" s="61" t="inlineStr">
        <is>
          <t>R4</t>
        </is>
      </c>
      <c r="D135" s="63" t="inlineStr">
        <is>
          <t>OK</t>
        </is>
      </c>
      <c r="E135" s="61" t="inlineStr">
        <is>
          <t>NONE</t>
        </is>
      </c>
      <c r="F135" s="61" t="inlineStr">
        <is>
          <t>K033</t>
        </is>
      </c>
      <c r="G135" s="75" t="n">
        <v>8.970000000000001</v>
      </c>
      <c r="H135" s="65" t="n"/>
      <c r="I135" s="66" t="n"/>
      <c r="J135" s="67">
        <f>VLOOKUP(C135,Recipes!$A$2:$N$4,10,FALSE())</f>
        <v/>
      </c>
      <c r="K135" s="68">
        <f>VLOOKUP(C135,Recipes!$A$2:$N$4,12,FALSE())</f>
        <v/>
      </c>
      <c r="L135" s="67">
        <f>J135-3*K135</f>
        <v/>
      </c>
      <c r="M135" s="67">
        <f>J135+3*K135</f>
        <v/>
      </c>
      <c r="N135" s="61">
        <f>IF(G135="","",IF(AND(G135&gt;=L135,G135&lt;=M135),"OK","NG"))</f>
        <v/>
      </c>
      <c r="O135" s="69">
        <f>IF(N135="","",IF(N135=D135,1,0))</f>
        <v/>
      </c>
      <c r="P135" s="67">
        <f>IF(G135="","",J135-G135)</f>
        <v/>
      </c>
      <c r="Q135" s="67">
        <f>IF(G135="","",ABS(P135-Components!$D$2)/Components!$E$2)</f>
        <v/>
      </c>
      <c r="R135" s="67">
        <f>IF(G135="","",ABS(P135-Components!$D$3)/Components!$E$3)</f>
        <v/>
      </c>
      <c r="S135" s="67">
        <f>IF(G135="","",ABS(P135-Components!$D$4)/Components!$E$4)</f>
        <v/>
      </c>
      <c r="T135" s="67">
        <f>IF(G135="","",ABS(P135-Components!$D$5)/Components!$E$5)</f>
        <v/>
      </c>
      <c r="U135" s="67">
        <f>IF(G135="","",ABS(P135-Components!$D$6)/Components!$E$6)</f>
        <v/>
      </c>
      <c r="V135" s="67">
        <f>IF(G135="","",ABS(P135-Components!$D$7)/Components!$E$7)</f>
        <v/>
      </c>
      <c r="W135" s="61">
        <f>IF(G135="","",IF(N135="OK","NONE",INDEX({"S1","S2","W1","W2","N1","N2"},MATCH(MIN(Q135:V135),Q135:V135,0))))</f>
        <v/>
      </c>
      <c r="X135" s="69">
        <f>IF(G135="","",IF(W135=E135,1,0))</f>
        <v/>
      </c>
    </row>
    <row r="136">
      <c r="A136" s="61" t="n">
        <v>34</v>
      </c>
      <c r="B136" s="62" t="n">
        <v>15</v>
      </c>
      <c r="C136" s="61" t="inlineStr">
        <is>
          <t>R4</t>
        </is>
      </c>
      <c r="D136" s="63" t="inlineStr">
        <is>
          <t>OK</t>
        </is>
      </c>
      <c r="E136" s="61" t="inlineStr">
        <is>
          <t>NONE</t>
        </is>
      </c>
      <c r="F136" s="61" t="inlineStr">
        <is>
          <t>K034</t>
        </is>
      </c>
      <c r="G136" s="75" t="n">
        <v>8.94</v>
      </c>
      <c r="H136" s="65" t="n"/>
      <c r="I136" s="66" t="n"/>
      <c r="J136" s="67">
        <f>VLOOKUP(C136,Recipes!$A$2:$N$4,10,FALSE())</f>
        <v/>
      </c>
      <c r="K136" s="68">
        <f>VLOOKUP(C136,Recipes!$A$2:$N$4,12,FALSE())</f>
        <v/>
      </c>
      <c r="L136" s="67">
        <f>J136-3*K136</f>
        <v/>
      </c>
      <c r="M136" s="67">
        <f>J136+3*K136</f>
        <v/>
      </c>
      <c r="N136" s="61">
        <f>IF(G136="","",IF(AND(G136&gt;=L136,G136&lt;=M136),"OK","NG"))</f>
        <v/>
      </c>
      <c r="O136" s="69">
        <f>IF(N136="","",IF(N136=D136,1,0))</f>
        <v/>
      </c>
      <c r="P136" s="67">
        <f>IF(G136="","",J136-G136)</f>
        <v/>
      </c>
      <c r="Q136" s="67">
        <f>IF(G136="","",ABS(P136-Components!$D$2)/Components!$E$2)</f>
        <v/>
      </c>
      <c r="R136" s="67">
        <f>IF(G136="","",ABS(P136-Components!$D$3)/Components!$E$3)</f>
        <v/>
      </c>
      <c r="S136" s="67">
        <f>IF(G136="","",ABS(P136-Components!$D$4)/Components!$E$4)</f>
        <v/>
      </c>
      <c r="T136" s="67">
        <f>IF(G136="","",ABS(P136-Components!$D$5)/Components!$E$5)</f>
        <v/>
      </c>
      <c r="U136" s="67">
        <f>IF(G136="","",ABS(P136-Components!$D$6)/Components!$E$6)</f>
        <v/>
      </c>
      <c r="V136" s="67">
        <f>IF(G136="","",ABS(P136-Components!$D$7)/Components!$E$7)</f>
        <v/>
      </c>
      <c r="W136" s="61">
        <f>IF(G136="","",IF(N136="OK","NONE",INDEX({"S1","S2","W1","W2","N1","N2"},MATCH(MIN(Q136:V136),Q136:V136,0))))</f>
        <v/>
      </c>
      <c r="X136" s="69">
        <f>IF(G136="","",IF(W136=E136,1,0))</f>
        <v/>
      </c>
    </row>
    <row r="137">
      <c r="A137" s="61" t="n">
        <v>35</v>
      </c>
      <c r="B137" s="62" t="n">
        <v>13</v>
      </c>
      <c r="C137" s="61" t="inlineStr">
        <is>
          <t>R4</t>
        </is>
      </c>
      <c r="D137" s="63" t="inlineStr">
        <is>
          <t>OK</t>
        </is>
      </c>
      <c r="E137" s="61" t="inlineStr">
        <is>
          <t>NONE</t>
        </is>
      </c>
      <c r="F137" s="61" t="inlineStr">
        <is>
          <t>K035</t>
        </is>
      </c>
      <c r="G137" s="75" t="n">
        <v>8.890000000000001</v>
      </c>
      <c r="H137" s="65" t="n"/>
      <c r="I137" s="66" t="n"/>
      <c r="J137" s="67">
        <f>VLOOKUP(C137,Recipes!$A$2:$N$4,10,FALSE())</f>
        <v/>
      </c>
      <c r="K137" s="68">
        <f>VLOOKUP(C137,Recipes!$A$2:$N$4,12,FALSE())</f>
        <v/>
      </c>
      <c r="L137" s="67">
        <f>J137-3*K137</f>
        <v/>
      </c>
      <c r="M137" s="67">
        <f>J137+3*K137</f>
        <v/>
      </c>
      <c r="N137" s="61">
        <f>IF(G137="","",IF(AND(G137&gt;=L137,G137&lt;=M137),"OK","NG"))</f>
        <v/>
      </c>
      <c r="O137" s="69">
        <f>IF(N137="","",IF(N137=D137,1,0))</f>
        <v/>
      </c>
      <c r="P137" s="67">
        <f>IF(G137="","",J137-G137)</f>
        <v/>
      </c>
      <c r="Q137" s="67">
        <f>IF(G137="","",ABS(P137-Components!$D$2)/Components!$E$2)</f>
        <v/>
      </c>
      <c r="R137" s="67">
        <f>IF(G137="","",ABS(P137-Components!$D$3)/Components!$E$3)</f>
        <v/>
      </c>
      <c r="S137" s="67">
        <f>IF(G137="","",ABS(P137-Components!$D$4)/Components!$E$4)</f>
        <v/>
      </c>
      <c r="T137" s="67">
        <f>IF(G137="","",ABS(P137-Components!$D$5)/Components!$E$5)</f>
        <v/>
      </c>
      <c r="U137" s="67">
        <f>IF(G137="","",ABS(P137-Components!$D$6)/Components!$E$6)</f>
        <v/>
      </c>
      <c r="V137" s="67">
        <f>IF(G137="","",ABS(P137-Components!$D$7)/Components!$E$7)</f>
        <v/>
      </c>
      <c r="W137" s="61">
        <f>IF(G137="","",IF(N137="OK","NONE",INDEX({"S1","S2","W1","W2","N1","N2"},MATCH(MIN(Q137:V137),Q137:V137,0))))</f>
        <v/>
      </c>
      <c r="X137" s="69">
        <f>IF(G137="","",IF(W137=E137,1,0))</f>
        <v/>
      </c>
    </row>
    <row r="138">
      <c r="A138" s="61" t="n">
        <v>36</v>
      </c>
      <c r="B138" s="62" t="n">
        <v>11</v>
      </c>
      <c r="C138" s="61" t="inlineStr">
        <is>
          <t>R4</t>
        </is>
      </c>
      <c r="D138" s="63" t="inlineStr">
        <is>
          <t>OK</t>
        </is>
      </c>
      <c r="E138" s="61" t="inlineStr">
        <is>
          <t>NONE</t>
        </is>
      </c>
      <c r="F138" s="61" t="inlineStr">
        <is>
          <t>K036</t>
        </is>
      </c>
      <c r="G138" s="75" t="n">
        <v>8.880000000000001</v>
      </c>
      <c r="H138" s="65" t="n"/>
      <c r="I138" s="66" t="n"/>
      <c r="J138" s="67">
        <f>VLOOKUP(C138,Recipes!$A$2:$N$4,10,FALSE())</f>
        <v/>
      </c>
      <c r="K138" s="68">
        <f>VLOOKUP(C138,Recipes!$A$2:$N$4,12,FALSE())</f>
        <v/>
      </c>
      <c r="L138" s="67">
        <f>J138-3*K138</f>
        <v/>
      </c>
      <c r="M138" s="67">
        <f>J138+3*K138</f>
        <v/>
      </c>
      <c r="N138" s="61">
        <f>IF(G138="","",IF(AND(G138&gt;=L138,G138&lt;=M138),"OK","NG"))</f>
        <v/>
      </c>
      <c r="O138" s="69">
        <f>IF(N138="","",IF(N138=D138,1,0))</f>
        <v/>
      </c>
      <c r="P138" s="67">
        <f>IF(G138="","",J138-G138)</f>
        <v/>
      </c>
      <c r="Q138" s="67">
        <f>IF(G138="","",ABS(P138-Components!$D$2)/Components!$E$2)</f>
        <v/>
      </c>
      <c r="R138" s="67">
        <f>IF(G138="","",ABS(P138-Components!$D$3)/Components!$E$3)</f>
        <v/>
      </c>
      <c r="S138" s="67">
        <f>IF(G138="","",ABS(P138-Components!$D$4)/Components!$E$4)</f>
        <v/>
      </c>
      <c r="T138" s="67">
        <f>IF(G138="","",ABS(P138-Components!$D$5)/Components!$E$5)</f>
        <v/>
      </c>
      <c r="U138" s="67">
        <f>IF(G138="","",ABS(P138-Components!$D$6)/Components!$E$6)</f>
        <v/>
      </c>
      <c r="V138" s="67">
        <f>IF(G138="","",ABS(P138-Components!$D$7)/Components!$E$7)</f>
        <v/>
      </c>
      <c r="W138" s="61">
        <f>IF(G138="","",IF(N138="OK","NONE",INDEX({"S1","S2","W1","W2","N1","N2"},MATCH(MIN(Q138:V138),Q138:V138,0))))</f>
        <v/>
      </c>
      <c r="X138" s="69">
        <f>IF(G138="","",IF(W138=E138,1,0))</f>
        <v/>
      </c>
    </row>
    <row r="139">
      <c r="A139" s="61" t="n">
        <v>37</v>
      </c>
      <c r="B139" s="62" t="n">
        <v>9</v>
      </c>
      <c r="C139" s="61" t="inlineStr">
        <is>
          <t>R4</t>
        </is>
      </c>
      <c r="D139" s="63" t="inlineStr">
        <is>
          <t>OK</t>
        </is>
      </c>
      <c r="E139" s="61" t="inlineStr">
        <is>
          <t>NONE</t>
        </is>
      </c>
      <c r="F139" s="61" t="inlineStr">
        <is>
          <t>K037</t>
        </is>
      </c>
      <c r="G139" s="75" t="n">
        <v>8.93</v>
      </c>
      <c r="H139" s="65" t="n"/>
      <c r="I139" s="66" t="n"/>
      <c r="J139" s="67">
        <f>VLOOKUP(C139,Recipes!$A$2:$N$4,10,FALSE())</f>
        <v/>
      </c>
      <c r="K139" s="68">
        <f>VLOOKUP(C139,Recipes!$A$2:$N$4,12,FALSE())</f>
        <v/>
      </c>
      <c r="L139" s="67">
        <f>J139-3*K139</f>
        <v/>
      </c>
      <c r="M139" s="67">
        <f>J139+3*K139</f>
        <v/>
      </c>
      <c r="N139" s="61">
        <f>IF(G139="","",IF(AND(G139&gt;=L139,G139&lt;=M139),"OK","NG"))</f>
        <v/>
      </c>
      <c r="O139" s="69">
        <f>IF(N139="","",IF(N139=D139,1,0))</f>
        <v/>
      </c>
      <c r="P139" s="67">
        <f>IF(G139="","",J139-G139)</f>
        <v/>
      </c>
      <c r="Q139" s="67">
        <f>IF(G139="","",ABS(P139-Components!$D$2)/Components!$E$2)</f>
        <v/>
      </c>
      <c r="R139" s="67">
        <f>IF(G139="","",ABS(P139-Components!$D$3)/Components!$E$3)</f>
        <v/>
      </c>
      <c r="S139" s="67">
        <f>IF(G139="","",ABS(P139-Components!$D$4)/Components!$E$4)</f>
        <v/>
      </c>
      <c r="T139" s="67">
        <f>IF(G139="","",ABS(P139-Components!$D$5)/Components!$E$5)</f>
        <v/>
      </c>
      <c r="U139" s="67">
        <f>IF(G139="","",ABS(P139-Components!$D$6)/Components!$E$6)</f>
        <v/>
      </c>
      <c r="V139" s="67">
        <f>IF(G139="","",ABS(P139-Components!$D$7)/Components!$E$7)</f>
        <v/>
      </c>
      <c r="W139" s="61">
        <f>IF(G139="","",IF(N139="OK","NONE",INDEX({"S1","S2","W1","W2","N1","N2"},MATCH(MIN(Q139:V139),Q139:V139,0))))</f>
        <v/>
      </c>
      <c r="X139" s="69">
        <f>IF(G139="","",IF(W139=E139,1,0))</f>
        <v/>
      </c>
    </row>
    <row r="140">
      <c r="A140" s="61" t="n">
        <v>38</v>
      </c>
      <c r="B140" s="62" t="n">
        <v>7</v>
      </c>
      <c r="C140" s="61" t="inlineStr">
        <is>
          <t>R4</t>
        </is>
      </c>
      <c r="D140" s="63" t="inlineStr">
        <is>
          <t>OK</t>
        </is>
      </c>
      <c r="E140" s="61" t="inlineStr">
        <is>
          <t>NONE</t>
        </is>
      </c>
      <c r="F140" s="61" t="inlineStr">
        <is>
          <t>K038</t>
        </is>
      </c>
      <c r="G140" s="75" t="n">
        <v>8.93</v>
      </c>
      <c r="H140" s="65" t="n"/>
      <c r="I140" s="66" t="n"/>
      <c r="J140" s="67">
        <f>VLOOKUP(C140,Recipes!$A$2:$N$4,10,FALSE())</f>
        <v/>
      </c>
      <c r="K140" s="68">
        <f>VLOOKUP(C140,Recipes!$A$2:$N$4,12,FALSE())</f>
        <v/>
      </c>
      <c r="L140" s="67">
        <f>J140-3*K140</f>
        <v/>
      </c>
      <c r="M140" s="67">
        <f>J140+3*K140</f>
        <v/>
      </c>
      <c r="N140" s="61">
        <f>IF(G140="","",IF(AND(G140&gt;=L140,G140&lt;=M140),"OK","NG"))</f>
        <v/>
      </c>
      <c r="O140" s="69">
        <f>IF(N140="","",IF(N140=D140,1,0))</f>
        <v/>
      </c>
      <c r="P140" s="67">
        <f>IF(G140="","",J140-G140)</f>
        <v/>
      </c>
      <c r="Q140" s="67">
        <f>IF(G140="","",ABS(P140-Components!$D$2)/Components!$E$2)</f>
        <v/>
      </c>
      <c r="R140" s="67">
        <f>IF(G140="","",ABS(P140-Components!$D$3)/Components!$E$3)</f>
        <v/>
      </c>
      <c r="S140" s="67">
        <f>IF(G140="","",ABS(P140-Components!$D$4)/Components!$E$4)</f>
        <v/>
      </c>
      <c r="T140" s="67">
        <f>IF(G140="","",ABS(P140-Components!$D$5)/Components!$E$5)</f>
        <v/>
      </c>
      <c r="U140" s="67">
        <f>IF(G140="","",ABS(P140-Components!$D$6)/Components!$E$6)</f>
        <v/>
      </c>
      <c r="V140" s="67">
        <f>IF(G140="","",ABS(P140-Components!$D$7)/Components!$E$7)</f>
        <v/>
      </c>
      <c r="W140" s="61">
        <f>IF(G140="","",IF(N140="OK","NONE",INDEX({"S1","S2","W1","W2","N1","N2"},MATCH(MIN(Q140:V140),Q140:V140,0))))</f>
        <v/>
      </c>
      <c r="X140" s="69">
        <f>IF(G140="","",IF(W140=E140,1,0))</f>
        <v/>
      </c>
    </row>
    <row r="141">
      <c r="A141" s="61" t="n">
        <v>39</v>
      </c>
      <c r="B141" s="62" t="n">
        <v>5</v>
      </c>
      <c r="C141" s="61" t="inlineStr">
        <is>
          <t>R4</t>
        </is>
      </c>
      <c r="D141" s="63" t="inlineStr">
        <is>
          <t>OK</t>
        </is>
      </c>
      <c r="E141" s="61" t="inlineStr">
        <is>
          <t>NONE</t>
        </is>
      </c>
      <c r="F141" s="61" t="inlineStr">
        <is>
          <t>K039</t>
        </is>
      </c>
      <c r="G141" s="75" t="n">
        <v>8.92</v>
      </c>
      <c r="H141" s="65" t="n"/>
      <c r="I141" s="66" t="n"/>
      <c r="J141" s="67">
        <f>VLOOKUP(C141,Recipes!$A$2:$N$4,10,FALSE())</f>
        <v/>
      </c>
      <c r="K141" s="68">
        <f>VLOOKUP(C141,Recipes!$A$2:$N$4,12,FALSE())</f>
        <v/>
      </c>
      <c r="L141" s="67">
        <f>J141-3*K141</f>
        <v/>
      </c>
      <c r="M141" s="67">
        <f>J141+3*K141</f>
        <v/>
      </c>
      <c r="N141" s="61">
        <f>IF(G141="","",IF(AND(G141&gt;=L141,G141&lt;=M141),"OK","NG"))</f>
        <v/>
      </c>
      <c r="O141" s="69">
        <f>IF(N141="","",IF(N141=D141,1,0))</f>
        <v/>
      </c>
      <c r="P141" s="67">
        <f>IF(G141="","",J141-G141)</f>
        <v/>
      </c>
      <c r="Q141" s="67">
        <f>IF(G141="","",ABS(P141-Components!$D$2)/Components!$E$2)</f>
        <v/>
      </c>
      <c r="R141" s="67">
        <f>IF(G141="","",ABS(P141-Components!$D$3)/Components!$E$3)</f>
        <v/>
      </c>
      <c r="S141" s="67">
        <f>IF(G141="","",ABS(P141-Components!$D$4)/Components!$E$4)</f>
        <v/>
      </c>
      <c r="T141" s="67">
        <f>IF(G141="","",ABS(P141-Components!$D$5)/Components!$E$5)</f>
        <v/>
      </c>
      <c r="U141" s="67">
        <f>IF(G141="","",ABS(P141-Components!$D$6)/Components!$E$6)</f>
        <v/>
      </c>
      <c r="V141" s="67">
        <f>IF(G141="","",ABS(P141-Components!$D$7)/Components!$E$7)</f>
        <v/>
      </c>
      <c r="W141" s="61">
        <f>IF(G141="","",IF(N141="OK","NONE",INDEX({"S1","S2","W1","W2","N1","N2"},MATCH(MIN(Q141:V141),Q141:V141,0))))</f>
        <v/>
      </c>
      <c r="X141" s="69">
        <f>IF(G141="","",IF(W141=E141,1,0))</f>
        <v/>
      </c>
    </row>
    <row r="142">
      <c r="A142" s="61" t="n">
        <v>40</v>
      </c>
      <c r="B142" s="62" t="n">
        <v>3</v>
      </c>
      <c r="C142" s="61" t="inlineStr">
        <is>
          <t>R4</t>
        </is>
      </c>
      <c r="D142" s="63" t="inlineStr">
        <is>
          <t>OK</t>
        </is>
      </c>
      <c r="E142" s="61" t="inlineStr">
        <is>
          <t>NONE</t>
        </is>
      </c>
      <c r="F142" s="61" t="inlineStr">
        <is>
          <t>K040</t>
        </is>
      </c>
      <c r="G142" s="75" t="n">
        <v>8.880000000000001</v>
      </c>
      <c r="H142" s="65" t="n"/>
      <c r="I142" s="66" t="n"/>
      <c r="J142" s="67">
        <f>VLOOKUP(C142,Recipes!$A$2:$N$4,10,FALSE())</f>
        <v/>
      </c>
      <c r="K142" s="68">
        <f>VLOOKUP(C142,Recipes!$A$2:$N$4,12,FALSE())</f>
        <v/>
      </c>
      <c r="L142" s="67">
        <f>J142-3*K142</f>
        <v/>
      </c>
      <c r="M142" s="67">
        <f>J142+3*K142</f>
        <v/>
      </c>
      <c r="N142" s="61">
        <f>IF(G142="","",IF(AND(G142&gt;=L142,G142&lt;=M142),"OK","NG"))</f>
        <v/>
      </c>
      <c r="O142" s="69">
        <f>IF(N142="","",IF(N142=D142,1,0))</f>
        <v/>
      </c>
      <c r="P142" s="67">
        <f>IF(G142="","",J142-G142)</f>
        <v/>
      </c>
      <c r="Q142" s="67">
        <f>IF(G142="","",ABS(P142-Components!$D$2)/Components!$E$2)</f>
        <v/>
      </c>
      <c r="R142" s="67">
        <f>IF(G142="","",ABS(P142-Components!$D$3)/Components!$E$3)</f>
        <v/>
      </c>
      <c r="S142" s="67">
        <f>IF(G142="","",ABS(P142-Components!$D$4)/Components!$E$4)</f>
        <v/>
      </c>
      <c r="T142" s="67">
        <f>IF(G142="","",ABS(P142-Components!$D$5)/Components!$E$5)</f>
        <v/>
      </c>
      <c r="U142" s="67">
        <f>IF(G142="","",ABS(P142-Components!$D$6)/Components!$E$6)</f>
        <v/>
      </c>
      <c r="V142" s="67">
        <f>IF(G142="","",ABS(P142-Components!$D$7)/Components!$E$7)</f>
        <v/>
      </c>
      <c r="W142" s="61">
        <f>IF(G142="","",IF(N142="OK","NONE",INDEX({"S1","S2","W1","W2","N1","N2"},MATCH(MIN(Q142:V142),Q142:V142,0))))</f>
        <v/>
      </c>
      <c r="X142" s="69">
        <f>IF(G142="","",IF(W142=E142,1,0))</f>
        <v/>
      </c>
    </row>
    <row r="143">
      <c r="A143" s="61" t="n">
        <v>41</v>
      </c>
      <c r="B143" s="62" t="n">
        <v>1</v>
      </c>
      <c r="C143" s="61" t="inlineStr">
        <is>
          <t>R4</t>
        </is>
      </c>
      <c r="D143" s="63" t="inlineStr">
        <is>
          <t>OK</t>
        </is>
      </c>
      <c r="E143" s="61" t="inlineStr">
        <is>
          <t>NONE</t>
        </is>
      </c>
      <c r="F143" s="61" t="inlineStr">
        <is>
          <t>K041</t>
        </is>
      </c>
      <c r="G143" s="75" t="n">
        <v>8.9</v>
      </c>
      <c r="H143" s="65" t="n"/>
      <c r="I143" s="66" t="n"/>
      <c r="J143" s="67">
        <f>VLOOKUP(C143,Recipes!$A$2:$N$4,10,FALSE())</f>
        <v/>
      </c>
      <c r="K143" s="68">
        <f>VLOOKUP(C143,Recipes!$A$2:$N$4,12,FALSE())</f>
        <v/>
      </c>
      <c r="L143" s="67">
        <f>J143-3*K143</f>
        <v/>
      </c>
      <c r="M143" s="67">
        <f>J143+3*K143</f>
        <v/>
      </c>
      <c r="N143" s="61">
        <f>IF(G143="","",IF(AND(G143&gt;=L143,G143&lt;=M143),"OK","NG"))</f>
        <v/>
      </c>
      <c r="O143" s="69">
        <f>IF(N143="","",IF(N143=D143,1,0))</f>
        <v/>
      </c>
      <c r="P143" s="67">
        <f>IF(G143="","",J143-G143)</f>
        <v/>
      </c>
      <c r="Q143" s="67">
        <f>IF(G143="","",ABS(P143-Components!$D$2)/Components!$E$2)</f>
        <v/>
      </c>
      <c r="R143" s="67">
        <f>IF(G143="","",ABS(P143-Components!$D$3)/Components!$E$3)</f>
        <v/>
      </c>
      <c r="S143" s="67">
        <f>IF(G143="","",ABS(P143-Components!$D$4)/Components!$E$4)</f>
        <v/>
      </c>
      <c r="T143" s="67">
        <f>IF(G143="","",ABS(P143-Components!$D$5)/Components!$E$5)</f>
        <v/>
      </c>
      <c r="U143" s="67">
        <f>IF(G143="","",ABS(P143-Components!$D$6)/Components!$E$6)</f>
        <v/>
      </c>
      <c r="V143" s="67">
        <f>IF(G143="","",ABS(P143-Components!$D$7)/Components!$E$7)</f>
        <v/>
      </c>
      <c r="W143" s="61">
        <f>IF(G143="","",IF(N143="OK","NONE",INDEX({"S1","S2","W1","W2","N1","N2"},MATCH(MIN(Q143:V143),Q143:V143,0))))</f>
        <v/>
      </c>
      <c r="X143" s="69">
        <f>IF(G143="","",IF(W143=E143,1,0))</f>
        <v/>
      </c>
    </row>
    <row r="144">
      <c r="A144" s="61" t="n">
        <v>42</v>
      </c>
      <c r="B144" s="62" t="n">
        <v>-1</v>
      </c>
      <c r="C144" s="61" t="inlineStr">
        <is>
          <t>R4</t>
        </is>
      </c>
      <c r="D144" s="63" t="inlineStr">
        <is>
          <t>OK</t>
        </is>
      </c>
      <c r="E144" s="61" t="inlineStr">
        <is>
          <t>NONE</t>
        </is>
      </c>
      <c r="F144" s="61" t="inlineStr">
        <is>
          <t>K042</t>
        </is>
      </c>
      <c r="G144" s="75" t="n">
        <v>8.869999999999999</v>
      </c>
      <c r="H144" s="65" t="n"/>
      <c r="I144" s="66" t="n"/>
      <c r="J144" s="67">
        <f>VLOOKUP(C144,Recipes!$A$2:$N$4,10,FALSE())</f>
        <v/>
      </c>
      <c r="K144" s="68">
        <f>VLOOKUP(C144,Recipes!$A$2:$N$4,12,FALSE())</f>
        <v/>
      </c>
      <c r="L144" s="67">
        <f>J144-3*K144</f>
        <v/>
      </c>
      <c r="M144" s="67">
        <f>J144+3*K144</f>
        <v/>
      </c>
      <c r="N144" s="61">
        <f>IF(G144="","",IF(AND(G144&gt;=L144,G144&lt;=M144),"OK","NG"))</f>
        <v/>
      </c>
      <c r="O144" s="69">
        <f>IF(N144="","",IF(N144=D144,1,0))</f>
        <v/>
      </c>
      <c r="P144" s="67">
        <f>IF(G144="","",J144-G144)</f>
        <v/>
      </c>
      <c r="Q144" s="67">
        <f>IF(G144="","",ABS(P144-Components!$D$2)/Components!$E$2)</f>
        <v/>
      </c>
      <c r="R144" s="67">
        <f>IF(G144="","",ABS(P144-Components!$D$3)/Components!$E$3)</f>
        <v/>
      </c>
      <c r="S144" s="67">
        <f>IF(G144="","",ABS(P144-Components!$D$4)/Components!$E$4)</f>
        <v/>
      </c>
      <c r="T144" s="67">
        <f>IF(G144="","",ABS(P144-Components!$D$5)/Components!$E$5)</f>
        <v/>
      </c>
      <c r="U144" s="67">
        <f>IF(G144="","",ABS(P144-Components!$D$6)/Components!$E$6)</f>
        <v/>
      </c>
      <c r="V144" s="67">
        <f>IF(G144="","",ABS(P144-Components!$D$7)/Components!$E$7)</f>
        <v/>
      </c>
      <c r="W144" s="61">
        <f>IF(G144="","",IF(N144="OK","NONE",INDEX({"S1","S2","W1","W2","N1","N2"},MATCH(MIN(Q144:V144),Q144:V144,0))))</f>
        <v/>
      </c>
      <c r="X144" s="69">
        <f>IF(G144="","",IF(W144=E144,1,0))</f>
        <v/>
      </c>
    </row>
    <row r="145">
      <c r="A145" s="61" t="n">
        <v>43</v>
      </c>
      <c r="B145" s="62" t="n">
        <v>-3</v>
      </c>
      <c r="C145" s="61" t="inlineStr">
        <is>
          <t>R4</t>
        </is>
      </c>
      <c r="D145" s="63" t="inlineStr">
        <is>
          <t>OK</t>
        </is>
      </c>
      <c r="E145" s="61" t="inlineStr">
        <is>
          <t>NONE</t>
        </is>
      </c>
      <c r="F145" s="61" t="inlineStr">
        <is>
          <t>K043</t>
        </is>
      </c>
      <c r="G145" s="75" t="n">
        <v>8.93</v>
      </c>
      <c r="H145" s="65" t="n"/>
      <c r="I145" s="66" t="n"/>
      <c r="J145" s="67">
        <f>VLOOKUP(C145,Recipes!$A$2:$N$4,10,FALSE())</f>
        <v/>
      </c>
      <c r="K145" s="68">
        <f>VLOOKUP(C145,Recipes!$A$2:$N$4,12,FALSE())</f>
        <v/>
      </c>
      <c r="L145" s="67">
        <f>J145-3*K145</f>
        <v/>
      </c>
      <c r="M145" s="67">
        <f>J145+3*K145</f>
        <v/>
      </c>
      <c r="N145" s="61">
        <f>IF(G145="","",IF(AND(G145&gt;=L145,G145&lt;=M145),"OK","NG"))</f>
        <v/>
      </c>
      <c r="O145" s="69">
        <f>IF(N145="","",IF(N145=D145,1,0))</f>
        <v/>
      </c>
      <c r="P145" s="67">
        <f>IF(G145="","",J145-G145)</f>
        <v/>
      </c>
      <c r="Q145" s="67">
        <f>IF(G145="","",ABS(P145-Components!$D$2)/Components!$E$2)</f>
        <v/>
      </c>
      <c r="R145" s="67">
        <f>IF(G145="","",ABS(P145-Components!$D$3)/Components!$E$3)</f>
        <v/>
      </c>
      <c r="S145" s="67">
        <f>IF(G145="","",ABS(P145-Components!$D$4)/Components!$E$4)</f>
        <v/>
      </c>
      <c r="T145" s="67">
        <f>IF(G145="","",ABS(P145-Components!$D$5)/Components!$E$5)</f>
        <v/>
      </c>
      <c r="U145" s="67">
        <f>IF(G145="","",ABS(P145-Components!$D$6)/Components!$E$6)</f>
        <v/>
      </c>
      <c r="V145" s="67">
        <f>IF(G145="","",ABS(P145-Components!$D$7)/Components!$E$7)</f>
        <v/>
      </c>
      <c r="W145" s="61">
        <f>IF(G145="","",IF(N145="OK","NONE",INDEX({"S1","S2","W1","W2","N1","N2"},MATCH(MIN(Q145:V145),Q145:V145,0))))</f>
        <v/>
      </c>
      <c r="X145" s="69">
        <f>IF(G145="","",IF(W145=E145,1,0))</f>
        <v/>
      </c>
    </row>
    <row r="146">
      <c r="A146" s="61" t="n">
        <v>44</v>
      </c>
      <c r="B146" s="62" t="n">
        <v>-5</v>
      </c>
      <c r="C146" s="61" t="inlineStr">
        <is>
          <t>R4</t>
        </is>
      </c>
      <c r="D146" s="63" t="inlineStr">
        <is>
          <t>OK</t>
        </is>
      </c>
      <c r="E146" s="61" t="inlineStr">
        <is>
          <t>NONE</t>
        </is>
      </c>
      <c r="F146" s="61" t="inlineStr">
        <is>
          <t>K044</t>
        </is>
      </c>
      <c r="G146" s="75" t="n">
        <v>8.94</v>
      </c>
      <c r="H146" s="65" t="n"/>
      <c r="I146" s="66" t="n"/>
      <c r="J146" s="67">
        <f>VLOOKUP(C146,Recipes!$A$2:$N$4,10,FALSE())</f>
        <v/>
      </c>
      <c r="K146" s="68">
        <f>VLOOKUP(C146,Recipes!$A$2:$N$4,12,FALSE())</f>
        <v/>
      </c>
      <c r="L146" s="67">
        <f>J146-3*K146</f>
        <v/>
      </c>
      <c r="M146" s="67">
        <f>J146+3*K146</f>
        <v/>
      </c>
      <c r="N146" s="61">
        <f>IF(G146="","",IF(AND(G146&gt;=L146,G146&lt;=M146),"OK","NG"))</f>
        <v/>
      </c>
      <c r="O146" s="69">
        <f>IF(N146="","",IF(N146=D146,1,0))</f>
        <v/>
      </c>
      <c r="P146" s="67">
        <f>IF(G146="","",J146-G146)</f>
        <v/>
      </c>
      <c r="Q146" s="67">
        <f>IF(G146="","",ABS(P146-Components!$D$2)/Components!$E$2)</f>
        <v/>
      </c>
      <c r="R146" s="67">
        <f>IF(G146="","",ABS(P146-Components!$D$3)/Components!$E$3)</f>
        <v/>
      </c>
      <c r="S146" s="67">
        <f>IF(G146="","",ABS(P146-Components!$D$4)/Components!$E$4)</f>
        <v/>
      </c>
      <c r="T146" s="67">
        <f>IF(G146="","",ABS(P146-Components!$D$5)/Components!$E$5)</f>
        <v/>
      </c>
      <c r="U146" s="67">
        <f>IF(G146="","",ABS(P146-Components!$D$6)/Components!$E$6)</f>
        <v/>
      </c>
      <c r="V146" s="67">
        <f>IF(G146="","",ABS(P146-Components!$D$7)/Components!$E$7)</f>
        <v/>
      </c>
      <c r="W146" s="61">
        <f>IF(G146="","",IF(N146="OK","NONE",INDEX({"S1","S2","W1","W2","N1","N2"},MATCH(MIN(Q146:V146),Q146:V146,0))))</f>
        <v/>
      </c>
      <c r="X146" s="69">
        <f>IF(G146="","",IF(W146=E146,1,0))</f>
        <v/>
      </c>
    </row>
    <row r="147">
      <c r="A147" s="61" t="n">
        <v>44</v>
      </c>
      <c r="B147" s="62" t="n">
        <v>-5</v>
      </c>
      <c r="C147" s="61" t="inlineStr">
        <is>
          <t>R4</t>
        </is>
      </c>
      <c r="D147" s="63" t="inlineStr">
        <is>
          <t>OK</t>
        </is>
      </c>
      <c r="E147" s="61" t="inlineStr">
        <is>
          <t>NONE</t>
        </is>
      </c>
      <c r="F147" s="61" t="inlineStr">
        <is>
          <t>K044</t>
        </is>
      </c>
      <c r="G147" s="75" t="n">
        <v>8.880000000000001</v>
      </c>
      <c r="H147" s="65" t="n"/>
      <c r="I147" s="66" t="n"/>
      <c r="J147" s="67">
        <f>VLOOKUP(C147,Recipes!$A$2:$N$4,10,FALSE())</f>
        <v/>
      </c>
      <c r="K147" s="68">
        <f>VLOOKUP(C147,Recipes!$A$2:$N$4,12,FALSE())</f>
        <v/>
      </c>
      <c r="L147" s="67">
        <f>J147-3*K147</f>
        <v/>
      </c>
      <c r="M147" s="67">
        <f>J147+3*K147</f>
        <v/>
      </c>
      <c r="N147" s="61">
        <f>IF(G147="","",IF(AND(G147&gt;=L147,G147&lt;=M147),"OK","NG"))</f>
        <v/>
      </c>
      <c r="O147" s="69">
        <f>IF(N147="","",IF(N147=D147,1,0))</f>
        <v/>
      </c>
      <c r="P147" s="67">
        <f>IF(G147="","",J147-G147)</f>
        <v/>
      </c>
      <c r="Q147" s="67">
        <f>IF(G147="","",ABS(P147-Components!$D$2)/Components!$E$2)</f>
        <v/>
      </c>
      <c r="R147" s="67">
        <f>IF(G147="","",ABS(P147-Components!$D$3)/Components!$E$3)</f>
        <v/>
      </c>
      <c r="S147" s="67">
        <f>IF(G147="","",ABS(P147-Components!$D$4)/Components!$E$4)</f>
        <v/>
      </c>
      <c r="T147" s="67">
        <f>IF(G147="","",ABS(P147-Components!$D$5)/Components!$E$5)</f>
        <v/>
      </c>
      <c r="U147" s="67">
        <f>IF(G147="","",ABS(P147-Components!$D$6)/Components!$E$6)</f>
        <v/>
      </c>
      <c r="V147" s="67">
        <f>IF(G147="","",ABS(P147-Components!$D$7)/Components!$E$7)</f>
        <v/>
      </c>
      <c r="W147" s="61">
        <f>IF(G147="","",IF(N147="OK","NONE",INDEX({"S1","S2","W1","W2","N1","N2"},MATCH(MIN(Q147:V147),Q147:V147,0))))</f>
        <v/>
      </c>
      <c r="X147" s="69">
        <f>IF(G147="","",IF(W147=E147,1,0))</f>
        <v/>
      </c>
    </row>
    <row r="148">
      <c r="A148" s="61" t="n">
        <v>44</v>
      </c>
      <c r="B148" s="62" t="n">
        <v>-5</v>
      </c>
      <c r="C148" s="61" t="inlineStr">
        <is>
          <t>R4</t>
        </is>
      </c>
      <c r="D148" s="63" t="inlineStr">
        <is>
          <t>OK</t>
        </is>
      </c>
      <c r="E148" s="61" t="inlineStr">
        <is>
          <t>NONE</t>
        </is>
      </c>
      <c r="F148" s="61" t="inlineStr">
        <is>
          <t>K044</t>
        </is>
      </c>
      <c r="G148" s="75" t="n">
        <v>8.890000000000001</v>
      </c>
      <c r="H148" s="65" t="n"/>
      <c r="I148" s="66" t="n"/>
      <c r="J148" s="67">
        <f>VLOOKUP(C148,Recipes!$A$2:$N$4,10,FALSE())</f>
        <v/>
      </c>
      <c r="K148" s="68">
        <f>VLOOKUP(C148,Recipes!$A$2:$N$4,12,FALSE())</f>
        <v/>
      </c>
      <c r="L148" s="67">
        <f>J148-3*K148</f>
        <v/>
      </c>
      <c r="M148" s="67">
        <f>J148+3*K148</f>
        <v/>
      </c>
      <c r="N148" s="61">
        <f>IF(G148="","",IF(AND(G148&gt;=L148,G148&lt;=M148),"OK","NG"))</f>
        <v/>
      </c>
      <c r="O148" s="69">
        <f>IF(N148="","",IF(N148=D148,1,0))</f>
        <v/>
      </c>
      <c r="P148" s="67">
        <f>IF(G148="","",J148-G148)</f>
        <v/>
      </c>
      <c r="Q148" s="67">
        <f>IF(G148="","",ABS(P148-Components!$D$2)/Components!$E$2)</f>
        <v/>
      </c>
      <c r="R148" s="67">
        <f>IF(G148="","",ABS(P148-Components!$D$3)/Components!$E$3)</f>
        <v/>
      </c>
      <c r="S148" s="67">
        <f>IF(G148="","",ABS(P148-Components!$D$4)/Components!$E$4)</f>
        <v/>
      </c>
      <c r="T148" s="67">
        <f>IF(G148="","",ABS(P148-Components!$D$5)/Components!$E$5)</f>
        <v/>
      </c>
      <c r="U148" s="67">
        <f>IF(G148="","",ABS(P148-Components!$D$6)/Components!$E$6)</f>
        <v/>
      </c>
      <c r="V148" s="67">
        <f>IF(G148="","",ABS(P148-Components!$D$7)/Components!$E$7)</f>
        <v/>
      </c>
      <c r="W148" s="61">
        <f>IF(G148="","",IF(N148="OK","NONE",INDEX({"S1","S2","W1","W2","N1","N2"},MATCH(MIN(Q148:V148),Q148:V148,0))))</f>
        <v/>
      </c>
      <c r="X148" s="69">
        <f>IF(G148="","",IF(W148=E148,1,0))</f>
        <v/>
      </c>
    </row>
    <row r="149">
      <c r="A149" s="61" t="n">
        <v>44</v>
      </c>
      <c r="B149" s="62" t="n">
        <v>-5</v>
      </c>
      <c r="C149" s="61" t="inlineStr">
        <is>
          <t>R4</t>
        </is>
      </c>
      <c r="D149" s="63" t="inlineStr">
        <is>
          <t>OK</t>
        </is>
      </c>
      <c r="E149" s="61" t="inlineStr">
        <is>
          <t>NONE</t>
        </is>
      </c>
      <c r="F149" s="61" t="inlineStr">
        <is>
          <t>K044</t>
        </is>
      </c>
      <c r="G149" s="75" t="n">
        <v>8.880000000000001</v>
      </c>
      <c r="H149" s="65" t="n"/>
      <c r="I149" s="66" t="n"/>
      <c r="J149" s="67">
        <f>VLOOKUP(C149,Recipes!$A$2:$N$4,10,FALSE())</f>
        <v/>
      </c>
      <c r="K149" s="68">
        <f>VLOOKUP(C149,Recipes!$A$2:$N$4,12,FALSE())</f>
        <v/>
      </c>
      <c r="L149" s="67">
        <f>J149-3*K149</f>
        <v/>
      </c>
      <c r="M149" s="67">
        <f>J149+3*K149</f>
        <v/>
      </c>
      <c r="N149" s="61">
        <f>IF(G149="","",IF(AND(G149&gt;=L149,G149&lt;=M149),"OK","NG"))</f>
        <v/>
      </c>
      <c r="O149" s="69">
        <f>IF(N149="","",IF(N149=D149,1,0))</f>
        <v/>
      </c>
      <c r="P149" s="67">
        <f>IF(G149="","",J149-G149)</f>
        <v/>
      </c>
      <c r="Q149" s="67">
        <f>IF(G149="","",ABS(P149-Components!$D$2)/Components!$E$2)</f>
        <v/>
      </c>
      <c r="R149" s="67">
        <f>IF(G149="","",ABS(P149-Components!$D$3)/Components!$E$3)</f>
        <v/>
      </c>
      <c r="S149" s="67">
        <f>IF(G149="","",ABS(P149-Components!$D$4)/Components!$E$4)</f>
        <v/>
      </c>
      <c r="T149" s="67">
        <f>IF(G149="","",ABS(P149-Components!$D$5)/Components!$E$5)</f>
        <v/>
      </c>
      <c r="U149" s="67">
        <f>IF(G149="","",ABS(P149-Components!$D$6)/Components!$E$6)</f>
        <v/>
      </c>
      <c r="V149" s="67">
        <f>IF(G149="","",ABS(P149-Components!$D$7)/Components!$E$7)</f>
        <v/>
      </c>
      <c r="W149" s="61">
        <f>IF(G149="","",IF(N149="OK","NONE",INDEX({"S1","S2","W1","W2","N1","N2"},MATCH(MIN(Q149:V149),Q149:V149,0))))</f>
        <v/>
      </c>
      <c r="X149" s="69">
        <f>IF(G149="","",IF(W149=E149,1,0))</f>
        <v/>
      </c>
    </row>
    <row r="150">
      <c r="A150" s="61" t="n">
        <v>44</v>
      </c>
      <c r="B150" s="62" t="n">
        <v>-5</v>
      </c>
      <c r="C150" s="61" t="inlineStr">
        <is>
          <t>R4</t>
        </is>
      </c>
      <c r="D150" s="63" t="inlineStr">
        <is>
          <t>OK</t>
        </is>
      </c>
      <c r="E150" s="61" t="inlineStr">
        <is>
          <t>NONE</t>
        </is>
      </c>
      <c r="F150" s="61" t="inlineStr">
        <is>
          <t>K044</t>
        </is>
      </c>
      <c r="G150" s="75" t="n">
        <v>8.710000000000001</v>
      </c>
      <c r="H150" s="65" t="n"/>
      <c r="I150" s="66" t="n"/>
      <c r="J150" s="67">
        <f>VLOOKUP(C150,Recipes!$A$2:$N$4,10,FALSE())</f>
        <v/>
      </c>
      <c r="K150" s="68">
        <f>VLOOKUP(C150,Recipes!$A$2:$N$4,12,FALSE())</f>
        <v/>
      </c>
      <c r="L150" s="67">
        <f>J150-3*K150</f>
        <v/>
      </c>
      <c r="M150" s="67">
        <f>J150+3*K150</f>
        <v/>
      </c>
      <c r="N150" s="61">
        <f>IF(G150="","",IF(AND(G150&gt;=L150,G150&lt;=M150),"OK","NG"))</f>
        <v/>
      </c>
      <c r="O150" s="69">
        <f>IF(N150="","",IF(N150=D150,1,0))</f>
        <v/>
      </c>
      <c r="P150" s="67">
        <f>IF(G150="","",J150-G150)</f>
        <v/>
      </c>
      <c r="Q150" s="67">
        <f>IF(G150="","",ABS(P150-Components!$D$2)/Components!$E$2)</f>
        <v/>
      </c>
      <c r="R150" s="67">
        <f>IF(G150="","",ABS(P150-Components!$D$3)/Components!$E$3)</f>
        <v/>
      </c>
      <c r="S150" s="67">
        <f>IF(G150="","",ABS(P150-Components!$D$4)/Components!$E$4)</f>
        <v/>
      </c>
      <c r="T150" s="67">
        <f>IF(G150="","",ABS(P150-Components!$D$5)/Components!$E$5)</f>
        <v/>
      </c>
      <c r="U150" s="67">
        <f>IF(G150="","",ABS(P150-Components!$D$6)/Components!$E$6)</f>
        <v/>
      </c>
      <c r="V150" s="67">
        <f>IF(G150="","",ABS(P150-Components!$D$7)/Components!$E$7)</f>
        <v/>
      </c>
      <c r="W150" s="61">
        <f>IF(G150="","",IF(N150="OK","NONE",INDEX({"S1","S2","W1","W2","N1","N2"},MATCH(MIN(Q150:V150),Q150:V150,0))))</f>
        <v/>
      </c>
      <c r="X150" s="71">
        <f>IF(G150="","",IF(W150=E150,1,0))</f>
        <v/>
      </c>
    </row>
    <row r="151">
      <c r="A151" s="61" t="n">
        <v>44</v>
      </c>
      <c r="B151" s="62" t="n">
        <v>-5</v>
      </c>
      <c r="C151" s="61" t="inlineStr">
        <is>
          <t>R4</t>
        </is>
      </c>
      <c r="D151" s="63" t="inlineStr">
        <is>
          <t>OK</t>
        </is>
      </c>
      <c r="E151" s="61" t="inlineStr">
        <is>
          <t>NONE</t>
        </is>
      </c>
      <c r="F151" s="61" t="inlineStr">
        <is>
          <t>K044</t>
        </is>
      </c>
      <c r="G151" s="75" t="n">
        <v>8.94</v>
      </c>
      <c r="H151" s="65" t="n"/>
      <c r="I151" s="66" t="n"/>
      <c r="J151" s="67">
        <f>VLOOKUP(C151,Recipes!$A$2:$N$4,10,FALSE())</f>
        <v/>
      </c>
      <c r="K151" s="68">
        <f>VLOOKUP(C151,Recipes!$A$2:$N$4,12,FALSE())</f>
        <v/>
      </c>
      <c r="L151" s="67">
        <f>J151-3*K151</f>
        <v/>
      </c>
      <c r="M151" s="67">
        <f>J151+3*K151</f>
        <v/>
      </c>
      <c r="N151" s="61">
        <f>IF(G151="","",IF(AND(G151&gt;=L151,G151&lt;=M151),"OK","NG"))</f>
        <v/>
      </c>
      <c r="O151" s="69">
        <f>IF(N151="","",IF(N151=D151,1,0))</f>
        <v/>
      </c>
      <c r="P151" s="67">
        <f>IF(G151="","",J151-G151)</f>
        <v/>
      </c>
      <c r="Q151" s="67">
        <f>IF(G151="","",ABS(P151-Components!$D$2)/Components!$E$2)</f>
        <v/>
      </c>
      <c r="R151" s="67">
        <f>IF(G151="","",ABS(P151-Components!$D$3)/Components!$E$3)</f>
        <v/>
      </c>
      <c r="S151" s="67">
        <f>IF(G151="","",ABS(P151-Components!$D$4)/Components!$E$4)</f>
        <v/>
      </c>
      <c r="T151" s="67">
        <f>IF(G151="","",ABS(P151-Components!$D$5)/Components!$E$5)</f>
        <v/>
      </c>
      <c r="U151" s="67">
        <f>IF(G151="","",ABS(P151-Components!$D$6)/Components!$E$6)</f>
        <v/>
      </c>
      <c r="V151" s="67">
        <f>IF(G151="","",ABS(P151-Components!$D$7)/Components!$E$7)</f>
        <v/>
      </c>
      <c r="W151" s="61">
        <f>IF(G151="","",IF(N151="OK","NONE",INDEX({"S1","S2","W1","W2","N1","N2"},MATCH(MIN(Q151:V151),Q151:V151,0))))</f>
        <v/>
      </c>
      <c r="X151" s="69">
        <f>IF(G151="","",IF(W151=E151,1,0))</f>
        <v/>
      </c>
    </row>
    <row r="152">
      <c r="A152" s="61" t="n">
        <v>45</v>
      </c>
      <c r="B152" s="62" t="n">
        <v>-7</v>
      </c>
      <c r="C152" s="61" t="inlineStr">
        <is>
          <t>R4</t>
        </is>
      </c>
      <c r="D152" s="63" t="inlineStr">
        <is>
          <t>OK</t>
        </is>
      </c>
      <c r="E152" s="61" t="inlineStr">
        <is>
          <t>NONE</t>
        </is>
      </c>
      <c r="F152" s="61" t="inlineStr">
        <is>
          <t>K045</t>
        </is>
      </c>
      <c r="G152" s="75" t="n">
        <v>8.970000000000001</v>
      </c>
      <c r="H152" s="65" t="n"/>
      <c r="I152" s="66" t="n"/>
      <c r="J152" s="67">
        <f>VLOOKUP(C152,Recipes!$A$2:$N$4,10,FALSE())</f>
        <v/>
      </c>
      <c r="K152" s="68">
        <f>VLOOKUP(C152,Recipes!$A$2:$N$4,12,FALSE())</f>
        <v/>
      </c>
      <c r="L152" s="67">
        <f>J152-3*K152</f>
        <v/>
      </c>
      <c r="M152" s="67">
        <f>J152+3*K152</f>
        <v/>
      </c>
      <c r="N152" s="61">
        <f>IF(G152="","",IF(AND(G152&gt;=L152,G152&lt;=M152),"OK","NG"))</f>
        <v/>
      </c>
      <c r="O152" s="69">
        <f>IF(N152="","",IF(N152=D152,1,0))</f>
        <v/>
      </c>
      <c r="P152" s="67">
        <f>IF(G152="","",J152-G152)</f>
        <v/>
      </c>
      <c r="Q152" s="67">
        <f>IF(G152="","",ABS(P152-Components!$D$2)/Components!$E$2)</f>
        <v/>
      </c>
      <c r="R152" s="67">
        <f>IF(G152="","",ABS(P152-Components!$D$3)/Components!$E$3)</f>
        <v/>
      </c>
      <c r="S152" s="67">
        <f>IF(G152="","",ABS(P152-Components!$D$4)/Components!$E$4)</f>
        <v/>
      </c>
      <c r="T152" s="67">
        <f>IF(G152="","",ABS(P152-Components!$D$5)/Components!$E$5)</f>
        <v/>
      </c>
      <c r="U152" s="67">
        <f>IF(G152="","",ABS(P152-Components!$D$6)/Components!$E$6)</f>
        <v/>
      </c>
      <c r="V152" s="67">
        <f>IF(G152="","",ABS(P152-Components!$D$7)/Components!$E$7)</f>
        <v/>
      </c>
      <c r="W152" s="61">
        <f>IF(G152="","",IF(N152="OK","NONE",INDEX({"S1","S2","W1","W2","N1","N2"},MATCH(MIN(Q152:V152),Q152:V152,0))))</f>
        <v/>
      </c>
      <c r="X152" s="69">
        <f>IF(G152="","",IF(W152=E152,1,0))</f>
        <v/>
      </c>
    </row>
    <row r="153">
      <c r="A153" s="61" t="n">
        <v>26</v>
      </c>
      <c r="B153" s="62" t="n">
        <v>25</v>
      </c>
      <c r="C153" s="61" t="inlineStr">
        <is>
          <t>R4</t>
        </is>
      </c>
      <c r="D153" s="74" t="inlineStr">
        <is>
          <t>NG</t>
        </is>
      </c>
      <c r="E153" s="61" t="inlineStr">
        <is>
          <t>S1</t>
        </is>
      </c>
      <c r="F153" s="61" t="inlineStr">
        <is>
          <t>K026</t>
        </is>
      </c>
      <c r="G153" s="64" t="n">
        <v>6.18</v>
      </c>
      <c r="H153" s="65" t="n"/>
      <c r="I153" s="66" t="n"/>
      <c r="J153" s="67">
        <f>VLOOKUP(C153,Recipes!$A$2:$N$4,10,FALSE())</f>
        <v/>
      </c>
      <c r="K153" s="68">
        <f>VLOOKUP(C153,Recipes!$A$2:$N$4,12,FALSE())</f>
        <v/>
      </c>
      <c r="L153" s="67">
        <f>J153-3*K153</f>
        <v/>
      </c>
      <c r="M153" s="67">
        <f>J153+3*K153</f>
        <v/>
      </c>
      <c r="N153" s="61">
        <f>IF(G153="","",IF(AND(G153&gt;=L153,G153&lt;=M153),"OK","NG"))</f>
        <v/>
      </c>
      <c r="O153" s="69">
        <f>IF(N153="","",IF(N153=D153,1,0))</f>
        <v/>
      </c>
      <c r="P153" s="67">
        <f>IF(G153="","",J153-G153)</f>
        <v/>
      </c>
      <c r="Q153" s="67">
        <f>IF(G153="","",ABS(P153-Components!$D$2)/Components!$E$2)</f>
        <v/>
      </c>
      <c r="R153" s="67">
        <f>IF(G153="","",ABS(P153-Components!$D$3)/Components!$E$3)</f>
        <v/>
      </c>
      <c r="S153" s="67">
        <f>IF(G153="","",ABS(P153-Components!$D$4)/Components!$E$4)</f>
        <v/>
      </c>
      <c r="T153" s="67">
        <f>IF(G153="","",ABS(P153-Components!$D$5)/Components!$E$5)</f>
        <v/>
      </c>
      <c r="U153" s="67">
        <f>IF(G153="","",ABS(P153-Components!$D$6)/Components!$E$6)</f>
        <v/>
      </c>
      <c r="V153" s="67">
        <f>IF(G153="","",ABS(P153-Components!$D$7)/Components!$E$7)</f>
        <v/>
      </c>
      <c r="W153" s="61">
        <f>IF(G153="","",IF(N153="OK","NONE",INDEX({"S1","S2","W1","W2","N1","N2"},MATCH(MIN(Q153:V153),Q153:V153,0))))</f>
        <v/>
      </c>
      <c r="X153" s="69">
        <f>IF(G153="","",IF(W153=E153,1,0))</f>
        <v/>
      </c>
    </row>
    <row r="154">
      <c r="A154" s="61" t="n">
        <v>27</v>
      </c>
      <c r="B154" s="62" t="n">
        <v>1</v>
      </c>
      <c r="C154" s="61" t="inlineStr">
        <is>
          <t>R4</t>
        </is>
      </c>
      <c r="D154" s="74" t="inlineStr">
        <is>
          <t>NG</t>
        </is>
      </c>
      <c r="E154" s="61" t="inlineStr">
        <is>
          <t>S1</t>
        </is>
      </c>
      <c r="F154" s="61" t="inlineStr">
        <is>
          <t>K027</t>
        </is>
      </c>
      <c r="G154" s="64" t="n">
        <v>6.18</v>
      </c>
      <c r="H154" s="65" t="n"/>
      <c r="I154" s="66" t="n"/>
      <c r="J154" s="67">
        <f>VLOOKUP(C154,Recipes!$A$2:$N$4,10,FALSE())</f>
        <v/>
      </c>
      <c r="K154" s="68">
        <f>VLOOKUP(C154,Recipes!$A$2:$N$4,12,FALSE())</f>
        <v/>
      </c>
      <c r="L154" s="67">
        <f>J154-3*K154</f>
        <v/>
      </c>
      <c r="M154" s="67">
        <f>J154+3*K154</f>
        <v/>
      </c>
      <c r="N154" s="61">
        <f>IF(G154="","",IF(AND(G154&gt;=L154,G154&lt;=M154),"OK","NG"))</f>
        <v/>
      </c>
      <c r="O154" s="69">
        <f>IF(N154="","",IF(N154=D154,1,0))</f>
        <v/>
      </c>
      <c r="P154" s="67">
        <f>IF(G154="","",J154-G154)</f>
        <v/>
      </c>
      <c r="Q154" s="67">
        <f>IF(G154="","",ABS(P154-Components!$D$2)/Components!$E$2)</f>
        <v/>
      </c>
      <c r="R154" s="67">
        <f>IF(G154="","",ABS(P154-Components!$D$3)/Components!$E$3)</f>
        <v/>
      </c>
      <c r="S154" s="67">
        <f>IF(G154="","",ABS(P154-Components!$D$4)/Components!$E$4)</f>
        <v/>
      </c>
      <c r="T154" s="67">
        <f>IF(G154="","",ABS(P154-Components!$D$5)/Components!$E$5)</f>
        <v/>
      </c>
      <c r="U154" s="67">
        <f>IF(G154="","",ABS(P154-Components!$D$6)/Components!$E$6)</f>
        <v/>
      </c>
      <c r="V154" s="67">
        <f>IF(G154="","",ABS(P154-Components!$D$7)/Components!$E$7)</f>
        <v/>
      </c>
      <c r="W154" s="61">
        <f>IF(G154="","",IF(N154="OK","NONE",INDEX({"S1","S2","W1","W2","N1","N2"},MATCH(MIN(Q154:V154),Q154:V154,0))))</f>
        <v/>
      </c>
      <c r="X154" s="69">
        <f>IF(G154="","",IF(W154=E154,1,0))</f>
        <v/>
      </c>
    </row>
    <row r="155">
      <c r="A155" s="61" t="n">
        <v>28</v>
      </c>
      <c r="B155" s="62" t="n">
        <v>26</v>
      </c>
      <c r="C155" s="61" t="inlineStr">
        <is>
          <t>R4</t>
        </is>
      </c>
      <c r="D155" s="74" t="inlineStr">
        <is>
          <t>NG</t>
        </is>
      </c>
      <c r="E155" s="61" t="inlineStr">
        <is>
          <t>S1</t>
        </is>
      </c>
      <c r="F155" s="61" t="inlineStr">
        <is>
          <t>K028</t>
        </is>
      </c>
      <c r="G155" s="64" t="n">
        <v>6.15</v>
      </c>
      <c r="H155" s="65" t="n"/>
      <c r="I155" s="66" t="n"/>
      <c r="J155" s="67">
        <f>VLOOKUP(C155,Recipes!$A$2:$N$4,10,FALSE())</f>
        <v/>
      </c>
      <c r="K155" s="68">
        <f>VLOOKUP(C155,Recipes!$A$2:$N$4,12,FALSE())</f>
        <v/>
      </c>
      <c r="L155" s="67">
        <f>J155-3*K155</f>
        <v/>
      </c>
      <c r="M155" s="67">
        <f>J155+3*K155</f>
        <v/>
      </c>
      <c r="N155" s="61">
        <f>IF(G155="","",IF(AND(G155&gt;=L155,G155&lt;=M155),"OK","NG"))</f>
        <v/>
      </c>
      <c r="O155" s="69">
        <f>IF(N155="","",IF(N155=D155,1,0))</f>
        <v/>
      </c>
      <c r="P155" s="67">
        <f>IF(G155="","",J155-G155)</f>
        <v/>
      </c>
      <c r="Q155" s="67">
        <f>IF(G155="","",ABS(P155-Components!$D$2)/Components!$E$2)</f>
        <v/>
      </c>
      <c r="R155" s="67">
        <f>IF(G155="","",ABS(P155-Components!$D$3)/Components!$E$3)</f>
        <v/>
      </c>
      <c r="S155" s="67">
        <f>IF(G155="","",ABS(P155-Components!$D$4)/Components!$E$4)</f>
        <v/>
      </c>
      <c r="T155" s="67">
        <f>IF(G155="","",ABS(P155-Components!$D$5)/Components!$E$5)</f>
        <v/>
      </c>
      <c r="U155" s="67">
        <f>IF(G155="","",ABS(P155-Components!$D$6)/Components!$E$6)</f>
        <v/>
      </c>
      <c r="V155" s="67">
        <f>IF(G155="","",ABS(P155-Components!$D$7)/Components!$E$7)</f>
        <v/>
      </c>
      <c r="W155" s="61">
        <f>IF(G155="","",IF(N155="OK","NONE",INDEX({"S1","S2","W1","W2","N1","N2"},MATCH(MIN(Q155:V155),Q155:V155,0))))</f>
        <v/>
      </c>
      <c r="X155" s="69">
        <f>IF(G155="","",IF(W155=E155,1,0))</f>
        <v/>
      </c>
    </row>
    <row r="156">
      <c r="A156" s="61" t="n">
        <v>29</v>
      </c>
      <c r="B156" s="62" t="n">
        <v>52</v>
      </c>
      <c r="C156" s="61" t="inlineStr">
        <is>
          <t>R4</t>
        </is>
      </c>
      <c r="D156" s="74" t="inlineStr">
        <is>
          <t>NG</t>
        </is>
      </c>
      <c r="E156" s="61" t="inlineStr">
        <is>
          <t>S1</t>
        </is>
      </c>
      <c r="F156" s="61" t="inlineStr">
        <is>
          <t>K029</t>
        </is>
      </c>
      <c r="G156" s="64" t="n">
        <v>6.12</v>
      </c>
      <c r="H156" s="65" t="n"/>
      <c r="I156" s="66" t="n"/>
      <c r="J156" s="67">
        <f>VLOOKUP(C156,Recipes!$A$2:$N$4,10,FALSE())</f>
        <v/>
      </c>
      <c r="K156" s="68">
        <f>VLOOKUP(C156,Recipes!$A$2:$N$4,12,FALSE())</f>
        <v/>
      </c>
      <c r="L156" s="67">
        <f>J156-3*K156</f>
        <v/>
      </c>
      <c r="M156" s="67">
        <f>J156+3*K156</f>
        <v/>
      </c>
      <c r="N156" s="61">
        <f>IF(G156="","",IF(AND(G156&gt;=L156,G156&lt;=M156),"OK","NG"))</f>
        <v/>
      </c>
      <c r="O156" s="69">
        <f>IF(N156="","",IF(N156=D156,1,0))</f>
        <v/>
      </c>
      <c r="P156" s="67">
        <f>IF(G156="","",J156-G156)</f>
        <v/>
      </c>
      <c r="Q156" s="67">
        <f>IF(G156="","",ABS(P156-Components!$D$2)/Components!$E$2)</f>
        <v/>
      </c>
      <c r="R156" s="67">
        <f>IF(G156="","",ABS(P156-Components!$D$3)/Components!$E$3)</f>
        <v/>
      </c>
      <c r="S156" s="67">
        <f>IF(G156="","",ABS(P156-Components!$D$4)/Components!$E$4)</f>
        <v/>
      </c>
      <c r="T156" s="67">
        <f>IF(G156="","",ABS(P156-Components!$D$5)/Components!$E$5)</f>
        <v/>
      </c>
      <c r="U156" s="67">
        <f>IF(G156="","",ABS(P156-Components!$D$6)/Components!$E$6)</f>
        <v/>
      </c>
      <c r="V156" s="67">
        <f>IF(G156="","",ABS(P156-Components!$D$7)/Components!$E$7)</f>
        <v/>
      </c>
      <c r="W156" s="61">
        <f>IF(G156="","",IF(N156="OK","NONE",INDEX({"S1","S2","W1","W2","N1","N2"},MATCH(MIN(Q156:V156),Q156:V156,0))))</f>
        <v/>
      </c>
      <c r="X156" s="69">
        <f>IF(G156="","",IF(W156=E156,1,0))</f>
        <v/>
      </c>
    </row>
    <row r="157">
      <c r="A157" s="76" t="n">
        <v>41</v>
      </c>
      <c r="B157" s="77" t="n">
        <v>7</v>
      </c>
      <c r="C157" s="76" t="inlineStr">
        <is>
          <t>R4</t>
        </is>
      </c>
      <c r="D157" s="78" t="inlineStr">
        <is>
          <t>NG</t>
        </is>
      </c>
      <c r="E157" s="76" t="inlineStr">
        <is>
          <t>S1</t>
        </is>
      </c>
      <c r="F157" s="76" t="inlineStr">
        <is>
          <t>K041</t>
        </is>
      </c>
      <c r="G157" s="75" t="n">
        <v>6.16</v>
      </c>
      <c r="H157" s="65" t="n"/>
      <c r="I157" s="66" t="n"/>
      <c r="J157" s="67">
        <f>VLOOKUP(C155,Recipes!$A$2:$N$4,10,FALSE())</f>
        <v/>
      </c>
      <c r="K157" s="68">
        <f>VLOOKUP(C157,Recipes!$A$2:$N$4,12,FALSE())</f>
        <v/>
      </c>
      <c r="L157" s="67">
        <f>J157-3*K157</f>
        <v/>
      </c>
      <c r="M157" s="67">
        <f>J157+3*K157</f>
        <v/>
      </c>
      <c r="N157" s="61">
        <f>IF(G157="","",IF(AND(G157&gt;=L157,G157&lt;=M157),"OK","NG"))</f>
        <v/>
      </c>
      <c r="O157" s="69">
        <f>IF(N157="","",IF(N157=D157,1,0))</f>
        <v/>
      </c>
      <c r="P157" s="67">
        <f>IF(G157="","",J157-G157)</f>
        <v/>
      </c>
      <c r="Q157" s="67">
        <f>IF(G157="","",ABS(P157-Components!$D$2)/Components!$E$2)</f>
        <v/>
      </c>
      <c r="R157" s="67">
        <f>IF(G157="","",ABS(P157-Components!$D$3)/Components!$E$3)</f>
        <v/>
      </c>
      <c r="S157" s="67">
        <f>IF(G157="","",ABS(P157-Components!$D$4)/Components!$E$4)</f>
        <v/>
      </c>
      <c r="T157" s="67">
        <f>IF(G157="","",ABS(P157-Components!$D$5)/Components!$E$5)</f>
        <v/>
      </c>
      <c r="U157" s="67">
        <f>IF(G157="","",ABS(P157-Components!$D$6)/Components!$E$6)</f>
        <v/>
      </c>
      <c r="V157" s="67">
        <f>IF(G157="","",ABS(P157-Components!$D$7)/Components!$E$7)</f>
        <v/>
      </c>
      <c r="W157" s="61">
        <f>IF(G157="","",IF(N157="OK","NONE",INDEX({"S1","S2","W1","W2","N1","N2"},MATCH(MIN(Q157:V157),Q157:V157,0))))</f>
        <v/>
      </c>
      <c r="X157" s="69">
        <f>IF(G157="","",IF(W157=E157,1,0))</f>
        <v/>
      </c>
    </row>
    <row r="158">
      <c r="A158" s="61" t="n">
        <v>39.8</v>
      </c>
      <c r="B158" s="62" t="n">
        <v>26.7</v>
      </c>
      <c r="C158" s="61" t="inlineStr">
        <is>
          <t>R4</t>
        </is>
      </c>
      <c r="D158" s="74" t="inlineStr">
        <is>
          <t>NG</t>
        </is>
      </c>
      <c r="E158" s="61" t="inlineStr">
        <is>
          <t>S1</t>
        </is>
      </c>
      <c r="F158" s="61" t="inlineStr">
        <is>
          <t>K026</t>
        </is>
      </c>
      <c r="G158" s="75" t="n">
        <v>6.19</v>
      </c>
      <c r="H158" s="65" t="n"/>
      <c r="I158" s="66" t="n"/>
      <c r="J158" s="67">
        <f>VLOOKUP(C158,Recipes!$A$2:$N$4,10,FALSE())</f>
        <v/>
      </c>
      <c r="K158" s="68">
        <f>VLOOKUP(C158,Recipes!$A$2:$N$4,12,FALSE())</f>
        <v/>
      </c>
      <c r="L158" s="67">
        <f>J158-3*K158</f>
        <v/>
      </c>
      <c r="M158" s="67">
        <f>J158+3*K158</f>
        <v/>
      </c>
      <c r="N158" s="61">
        <f>IF(G158="","",IF(AND(G158&gt;=L158,G158&lt;=M158),"OK","NG"))</f>
        <v/>
      </c>
      <c r="O158" s="69">
        <f>IF(N158="","",IF(N158=D158,1,0))</f>
        <v/>
      </c>
      <c r="P158" s="67">
        <f>IF(G158="","",J158-G158)</f>
        <v/>
      </c>
      <c r="Q158" s="67">
        <f>IF(G158="","",ABS(P158-Components!$D$2)/Components!$E$2)</f>
        <v/>
      </c>
      <c r="R158" s="67">
        <f>IF(G158="","",ABS(P158-Components!$D$3)/Components!$E$3)</f>
        <v/>
      </c>
      <c r="S158" s="67">
        <f>IF(G158="","",ABS(P158-Components!$D$4)/Components!$E$4)</f>
        <v/>
      </c>
      <c r="T158" s="67">
        <f>IF(G158="","",ABS(P158-Components!$D$5)/Components!$E$5)</f>
        <v/>
      </c>
      <c r="U158" s="67">
        <f>IF(G158="","",ABS(P158-Components!$D$6)/Components!$E$6)</f>
        <v/>
      </c>
      <c r="V158" s="67">
        <f>IF(G158="","",ABS(P158-Components!$D$7)/Components!$E$7)</f>
        <v/>
      </c>
      <c r="W158" s="61">
        <f>IF(G158="","",IF(N158="OK","NONE",INDEX({"S1","S2","W1","W2","N1","N2"},MATCH(MIN(Q158:V158),Q158:V158,0))))</f>
        <v/>
      </c>
      <c r="X158" s="69">
        <f>IF(G158="","",IF(W158=E158,1,0))</f>
        <v/>
      </c>
    </row>
    <row r="159">
      <c r="A159" s="61" t="n">
        <v>43</v>
      </c>
      <c r="B159" s="62" t="n">
        <v>28.2</v>
      </c>
      <c r="C159" s="61" t="inlineStr">
        <is>
          <t>R4</t>
        </is>
      </c>
      <c r="D159" s="74" t="inlineStr">
        <is>
          <t>NG</t>
        </is>
      </c>
      <c r="E159" s="61" t="inlineStr">
        <is>
          <t>S1</t>
        </is>
      </c>
      <c r="F159" s="61" t="inlineStr">
        <is>
          <t>K027</t>
        </is>
      </c>
      <c r="G159" s="75" t="n">
        <v>6.18</v>
      </c>
      <c r="H159" s="65" t="n"/>
      <c r="I159" s="66" t="n"/>
      <c r="J159" s="67">
        <f>VLOOKUP(C159,Recipes!$A$2:$N$4,10,FALSE())</f>
        <v/>
      </c>
      <c r="K159" s="68">
        <f>VLOOKUP(C159,Recipes!$A$2:$N$4,12,FALSE())</f>
        <v/>
      </c>
      <c r="L159" s="67">
        <f>J159-3*K159</f>
        <v/>
      </c>
      <c r="M159" s="67">
        <f>J159+3*K159</f>
        <v/>
      </c>
      <c r="N159" s="61">
        <f>IF(G159="","",IF(AND(G159&gt;=L159,G159&lt;=M159),"OK","NG"))</f>
        <v/>
      </c>
      <c r="O159" s="69">
        <f>IF(N159="","",IF(N159=D159,1,0))</f>
        <v/>
      </c>
      <c r="P159" s="67">
        <f>IF(G159="","",J159-G159)</f>
        <v/>
      </c>
      <c r="Q159" s="67">
        <f>IF(G159="","",ABS(P159-Components!$D$2)/Components!$E$2)</f>
        <v/>
      </c>
      <c r="R159" s="67">
        <f>IF(G159="","",ABS(P159-Components!$D$3)/Components!$E$3)</f>
        <v/>
      </c>
      <c r="S159" s="67">
        <f>IF(G159="","",ABS(P159-Components!$D$4)/Components!$E$4)</f>
        <v/>
      </c>
      <c r="T159" s="67">
        <f>IF(G159="","",ABS(P159-Components!$D$5)/Components!$E$5)</f>
        <v/>
      </c>
      <c r="U159" s="67">
        <f>IF(G159="","",ABS(P159-Components!$D$6)/Components!$E$6)</f>
        <v/>
      </c>
      <c r="V159" s="67">
        <f>IF(G159="","",ABS(P159-Components!$D$7)/Components!$E$7)</f>
        <v/>
      </c>
      <c r="W159" s="61">
        <f>IF(G159="","",IF(N159="OK","NONE",INDEX({"S1","S2","W1","W2","N1","N2"},MATCH(MIN(Q159:V159),Q159:V159,0))))</f>
        <v/>
      </c>
      <c r="X159" s="69">
        <f>IF(G159="","",IF(W159=E159,1,0))</f>
        <v/>
      </c>
    </row>
    <row r="160">
      <c r="A160" s="61" t="n">
        <v>46.2</v>
      </c>
      <c r="B160" s="62" t="n">
        <v>29.7</v>
      </c>
      <c r="C160" s="61" t="inlineStr">
        <is>
          <t>R4</t>
        </is>
      </c>
      <c r="D160" s="74" t="inlineStr">
        <is>
          <t>NG</t>
        </is>
      </c>
      <c r="E160" s="61" t="inlineStr">
        <is>
          <t>S1</t>
        </is>
      </c>
      <c r="F160" s="61" t="inlineStr">
        <is>
          <t>K028</t>
        </is>
      </c>
      <c r="G160" s="75" t="n">
        <v>6.13</v>
      </c>
      <c r="H160" s="65" t="n"/>
      <c r="I160" s="66" t="n"/>
      <c r="J160" s="67">
        <f>VLOOKUP(C160,Recipes!$A$2:$N$4,10,FALSE())</f>
        <v/>
      </c>
      <c r="K160" s="68">
        <f>VLOOKUP(C160,Recipes!$A$2:$N$4,12,FALSE())</f>
        <v/>
      </c>
      <c r="L160" s="67">
        <f>J160-3*K160</f>
        <v/>
      </c>
      <c r="M160" s="67">
        <f>J160+3*K160</f>
        <v/>
      </c>
      <c r="N160" s="61">
        <f>IF(G160="","",IF(AND(G160&gt;=L160,G160&lt;=M160),"OK","NG"))</f>
        <v/>
      </c>
      <c r="O160" s="69">
        <f>IF(N160="","",IF(N160=D160,1,0))</f>
        <v/>
      </c>
      <c r="P160" s="67">
        <f>IF(G160="","",J160-G160)</f>
        <v/>
      </c>
      <c r="Q160" s="67">
        <f>IF(G160="","",ABS(P160-Components!$D$2)/Components!$E$2)</f>
        <v/>
      </c>
      <c r="R160" s="67">
        <f>IF(G160="","",ABS(P160-Components!$D$3)/Components!$E$3)</f>
        <v/>
      </c>
      <c r="S160" s="67">
        <f>IF(G160="","",ABS(P160-Components!$D$4)/Components!$E$4)</f>
        <v/>
      </c>
      <c r="T160" s="67">
        <f>IF(G160="","",ABS(P160-Components!$D$5)/Components!$E$5)</f>
        <v/>
      </c>
      <c r="U160" s="67">
        <f>IF(G160="","",ABS(P160-Components!$D$6)/Components!$E$6)</f>
        <v/>
      </c>
      <c r="V160" s="67">
        <f>IF(G160="","",ABS(P160-Components!$D$7)/Components!$E$7)</f>
        <v/>
      </c>
      <c r="W160" s="61">
        <f>IF(G160="","",IF(N160="OK","NONE",INDEX({"S1","S2","W1","W2","N1","N2"},MATCH(MIN(Q160:V160),Q160:V160,0))))</f>
        <v/>
      </c>
      <c r="X160" s="69">
        <f>IF(G160="","",IF(W160=E160,1,0))</f>
        <v/>
      </c>
    </row>
    <row r="161">
      <c r="A161" s="61" t="n">
        <v>49.4</v>
      </c>
      <c r="B161" s="62" t="n">
        <v>31.2</v>
      </c>
      <c r="C161" s="61" t="inlineStr">
        <is>
          <t>R4</t>
        </is>
      </c>
      <c r="D161" s="74" t="inlineStr">
        <is>
          <t>NG</t>
        </is>
      </c>
      <c r="E161" s="61" t="inlineStr">
        <is>
          <t>S1</t>
        </is>
      </c>
      <c r="F161" s="61" t="inlineStr">
        <is>
          <t>K029</t>
        </is>
      </c>
      <c r="G161" s="75" t="n">
        <v>6.22</v>
      </c>
      <c r="H161" s="65" t="n"/>
      <c r="I161" s="66" t="n"/>
      <c r="J161" s="67">
        <f>VLOOKUP(C161,Recipes!$A$2:$N$4,10,FALSE())</f>
        <v/>
      </c>
      <c r="K161" s="68">
        <f>VLOOKUP(C161,Recipes!$A$2:$N$4,12,FALSE())</f>
        <v/>
      </c>
      <c r="L161" s="67">
        <f>J161-3*K161</f>
        <v/>
      </c>
      <c r="M161" s="67">
        <f>J161+3*K161</f>
        <v/>
      </c>
      <c r="N161" s="61">
        <f>IF(G161="","",IF(AND(G161&gt;=L161,G161&lt;=M161),"OK","NG"))</f>
        <v/>
      </c>
      <c r="O161" s="69">
        <f>IF(N161="","",IF(N161=D161,1,0))</f>
        <v/>
      </c>
      <c r="P161" s="67">
        <f>IF(G161="","",J161-G161)</f>
        <v/>
      </c>
      <c r="Q161" s="67">
        <f>IF(G161="","",ABS(P161-Components!$D$2)/Components!$E$2)</f>
        <v/>
      </c>
      <c r="R161" s="67">
        <f>IF(G161="","",ABS(P161-Components!$D$3)/Components!$E$3)</f>
        <v/>
      </c>
      <c r="S161" s="67">
        <f>IF(G161="","",ABS(P161-Components!$D$4)/Components!$E$4)</f>
        <v/>
      </c>
      <c r="T161" s="67">
        <f>IF(G161="","",ABS(P161-Components!$D$5)/Components!$E$5)</f>
        <v/>
      </c>
      <c r="U161" s="67">
        <f>IF(G161="","",ABS(P161-Components!$D$6)/Components!$E$6)</f>
        <v/>
      </c>
      <c r="V161" s="67">
        <f>IF(G161="","",ABS(P161-Components!$D$7)/Components!$E$7)</f>
        <v/>
      </c>
      <c r="W161" s="61">
        <f>IF(G161="","",IF(N161="OK","NONE",INDEX({"S1","S2","W1","W2","N1","N2"},MATCH(MIN(Q161:V161),Q161:V161,0))))</f>
        <v/>
      </c>
      <c r="X161" s="69">
        <f>IF(G161="","",IF(W161=E161,1,0))</f>
        <v/>
      </c>
    </row>
    <row r="162">
      <c r="A162" s="76" t="n">
        <v>52.6</v>
      </c>
      <c r="B162" s="77" t="n">
        <v>32.7</v>
      </c>
      <c r="C162" s="76" t="inlineStr">
        <is>
          <t>R4</t>
        </is>
      </c>
      <c r="D162" s="78" t="inlineStr">
        <is>
          <t>NG</t>
        </is>
      </c>
      <c r="E162" s="76" t="inlineStr">
        <is>
          <t>S1</t>
        </is>
      </c>
      <c r="F162" s="76" t="inlineStr">
        <is>
          <t>K041</t>
        </is>
      </c>
      <c r="G162" s="75" t="n">
        <v>6.17</v>
      </c>
      <c r="H162" s="65" t="n"/>
      <c r="I162" s="66" t="n"/>
      <c r="J162" s="67">
        <f>VLOOKUP(C162,Recipes!$A$2:$N$4,10,FALSE())</f>
        <v/>
      </c>
      <c r="K162" s="68">
        <f>VLOOKUP(C162,Recipes!$A$2:$N$4,12,FALSE())</f>
        <v/>
      </c>
      <c r="L162" s="67">
        <f>J162-3*K162</f>
        <v/>
      </c>
      <c r="M162" s="67">
        <f>J162+3*K162</f>
        <v/>
      </c>
      <c r="N162" s="61">
        <f>IF(G162="","",IF(AND(G162&gt;=L162,G162&lt;=M162),"OK","NG"))</f>
        <v/>
      </c>
      <c r="O162" s="69">
        <f>IF(N162="","",IF(N162=D162,1,0))</f>
        <v/>
      </c>
      <c r="P162" s="67">
        <f>IF(G162="","",J162-G162)</f>
        <v/>
      </c>
      <c r="Q162" s="67">
        <f>IF(G162="","",ABS(P162-Components!$D$2)/Components!$E$2)</f>
        <v/>
      </c>
      <c r="R162" s="67">
        <f>IF(G162="","",ABS(P162-Components!$D$3)/Components!$E$3)</f>
        <v/>
      </c>
      <c r="S162" s="67">
        <f>IF(G162="","",ABS(P162-Components!$D$4)/Components!$E$4)</f>
        <v/>
      </c>
      <c r="T162" s="67">
        <f>IF(G162="","",ABS(P162-Components!$D$5)/Components!$E$5)</f>
        <v/>
      </c>
      <c r="U162" s="67">
        <f>IF(G162="","",ABS(P162-Components!$D$6)/Components!$E$6)</f>
        <v/>
      </c>
      <c r="V162" s="67">
        <f>IF(G162="","",ABS(P162-Components!$D$7)/Components!$E$7)</f>
        <v/>
      </c>
      <c r="W162" s="61">
        <f>IF(G162="","",IF(N162="OK","NONE",INDEX({"S1","S2","W1","W2","N1","N2"},MATCH(MIN(Q162:V162),Q162:V162,0))))</f>
        <v/>
      </c>
      <c r="X162" s="69">
        <f>IF(G162="","",IF(W162=E162,1,0))</f>
        <v/>
      </c>
    </row>
    <row r="163">
      <c r="A163" s="61" t="n">
        <v>55.8</v>
      </c>
      <c r="B163" s="62" t="n">
        <v>34.2</v>
      </c>
      <c r="C163" s="61" t="inlineStr">
        <is>
          <t>R4</t>
        </is>
      </c>
      <c r="D163" s="74" t="inlineStr">
        <is>
          <t>NG</t>
        </is>
      </c>
      <c r="E163" s="61" t="inlineStr">
        <is>
          <t>S1</t>
        </is>
      </c>
      <c r="F163" s="61" t="inlineStr">
        <is>
          <t>K026</t>
        </is>
      </c>
      <c r="G163" s="75" t="n">
        <v>6.16</v>
      </c>
      <c r="H163" s="65" t="n"/>
      <c r="I163" s="66" t="n"/>
      <c r="J163" s="67">
        <f>VLOOKUP(C163,Recipes!$A$2:$N$4,10,FALSE())</f>
        <v/>
      </c>
      <c r="K163" s="68">
        <f>VLOOKUP(C163,Recipes!$A$2:$N$4,12,FALSE())</f>
        <v/>
      </c>
      <c r="L163" s="67">
        <f>J163-3*K163</f>
        <v/>
      </c>
      <c r="M163" s="67">
        <f>J163+3*K163</f>
        <v/>
      </c>
      <c r="N163" s="61">
        <f>IF(G163="","",IF(AND(G163&gt;=L163,G163&lt;=M163),"OK","NG"))</f>
        <v/>
      </c>
      <c r="O163" s="69">
        <f>IF(N163="","",IF(N163=D163,1,0))</f>
        <v/>
      </c>
      <c r="P163" s="67">
        <f>IF(G163="","",J163-G163)</f>
        <v/>
      </c>
      <c r="Q163" s="67">
        <f>IF(G163="","",ABS(P163-Components!$D$2)/Components!$E$2)</f>
        <v/>
      </c>
      <c r="R163" s="67">
        <f>IF(G163="","",ABS(P163-Components!$D$3)/Components!$E$3)</f>
        <v/>
      </c>
      <c r="S163" s="67">
        <f>IF(G163="","",ABS(P163-Components!$D$4)/Components!$E$4)</f>
        <v/>
      </c>
      <c r="T163" s="67">
        <f>IF(G163="","",ABS(P163-Components!$D$5)/Components!$E$5)</f>
        <v/>
      </c>
      <c r="U163" s="67">
        <f>IF(G163="","",ABS(P163-Components!$D$6)/Components!$E$6)</f>
        <v/>
      </c>
      <c r="V163" s="67">
        <f>IF(G163="","",ABS(P163-Components!$D$7)/Components!$E$7)</f>
        <v/>
      </c>
      <c r="W163" s="61">
        <f>IF(G163="","",IF(N163="OK","NONE",INDEX({"S1","S2","W1","W2","N1","N2"},MATCH(MIN(Q163:V163),Q163:V163,0))))</f>
        <v/>
      </c>
      <c r="X163" s="69">
        <f>IF(G163="","",IF(W163=E163,1,0))</f>
        <v/>
      </c>
    </row>
    <row r="164">
      <c r="A164" s="61" t="n">
        <v>59</v>
      </c>
      <c r="B164" s="62" t="n">
        <v>35.7</v>
      </c>
      <c r="C164" s="61" t="inlineStr">
        <is>
          <t>R4</t>
        </is>
      </c>
      <c r="D164" s="74" t="inlineStr">
        <is>
          <t>NG</t>
        </is>
      </c>
      <c r="E164" s="61" t="inlineStr">
        <is>
          <t>S1</t>
        </is>
      </c>
      <c r="F164" s="61" t="inlineStr">
        <is>
          <t>K027</t>
        </is>
      </c>
      <c r="G164" s="75" t="n">
        <v>6.17</v>
      </c>
      <c r="H164" s="65" t="n"/>
      <c r="I164" s="66" t="n"/>
      <c r="J164" s="67">
        <f>VLOOKUP(C164,Recipes!$A$2:$N$4,10,FALSE())</f>
        <v/>
      </c>
      <c r="K164" s="68">
        <f>VLOOKUP(C164,Recipes!$A$2:$N$4,12,FALSE())</f>
        <v/>
      </c>
      <c r="L164" s="67">
        <f>J164-3*K164</f>
        <v/>
      </c>
      <c r="M164" s="67">
        <f>J164+3*K164</f>
        <v/>
      </c>
      <c r="N164" s="61">
        <f>IF(G164="","",IF(AND(G164&gt;=L164,G164&lt;=M164),"OK","NG"))</f>
        <v/>
      </c>
      <c r="O164" s="69">
        <f>IF(N164="","",IF(N164=D164,1,0))</f>
        <v/>
      </c>
      <c r="P164" s="67">
        <f>IF(G164="","",J164-G164)</f>
        <v/>
      </c>
      <c r="Q164" s="67">
        <f>IF(G164="","",ABS(P164-Components!$D$2)/Components!$E$2)</f>
        <v/>
      </c>
      <c r="R164" s="67">
        <f>IF(G164="","",ABS(P164-Components!$D$3)/Components!$E$3)</f>
        <v/>
      </c>
      <c r="S164" s="67">
        <f>IF(G164="","",ABS(P164-Components!$D$4)/Components!$E$4)</f>
        <v/>
      </c>
      <c r="T164" s="67">
        <f>IF(G164="","",ABS(P164-Components!$D$5)/Components!$E$5)</f>
        <v/>
      </c>
      <c r="U164" s="67">
        <f>IF(G164="","",ABS(P164-Components!$D$6)/Components!$E$6)</f>
        <v/>
      </c>
      <c r="V164" s="67">
        <f>IF(G164="","",ABS(P164-Components!$D$7)/Components!$E$7)</f>
        <v/>
      </c>
      <c r="W164" s="61">
        <f>IF(G164="","",IF(N164="OK","NONE",INDEX({"S1","S2","W1","W2","N1","N2"},MATCH(MIN(Q164:V164),Q164:V164,0))))</f>
        <v/>
      </c>
      <c r="X164" s="69">
        <f>IF(G164="","",IF(W164=E164,1,0))</f>
        <v/>
      </c>
    </row>
    <row r="165">
      <c r="A165" s="61" t="n">
        <v>62.2</v>
      </c>
      <c r="B165" s="62" t="n">
        <v>37.2</v>
      </c>
      <c r="C165" s="61" t="inlineStr">
        <is>
          <t>R4</t>
        </is>
      </c>
      <c r="D165" s="74" t="inlineStr">
        <is>
          <t>NG</t>
        </is>
      </c>
      <c r="E165" s="61" t="inlineStr">
        <is>
          <t>S1</t>
        </is>
      </c>
      <c r="F165" s="61" t="inlineStr">
        <is>
          <t>K028</t>
        </is>
      </c>
      <c r="G165" s="75" t="n">
        <v>6.14</v>
      </c>
      <c r="H165" s="65" t="n"/>
      <c r="I165" s="66" t="n"/>
      <c r="J165" s="67">
        <f>VLOOKUP(C165,Recipes!$A$2:$N$4,10,FALSE())</f>
        <v/>
      </c>
      <c r="K165" s="68">
        <f>VLOOKUP(C165,Recipes!$A$2:$N$4,12,FALSE())</f>
        <v/>
      </c>
      <c r="L165" s="67">
        <f>J165-3*K165</f>
        <v/>
      </c>
      <c r="M165" s="67">
        <f>J165+3*K165</f>
        <v/>
      </c>
      <c r="N165" s="61">
        <f>IF(G165="","",IF(AND(G165&gt;=L165,G165&lt;=M165),"OK","NG"))</f>
        <v/>
      </c>
      <c r="O165" s="69">
        <f>IF(N165="","",IF(N165=D165,1,0))</f>
        <v/>
      </c>
      <c r="P165" s="67">
        <f>IF(G165="","",J165-G165)</f>
        <v/>
      </c>
      <c r="Q165" s="67">
        <f>IF(G165="","",ABS(P165-Components!$D$2)/Components!$E$2)</f>
        <v/>
      </c>
      <c r="R165" s="67">
        <f>IF(G165="","",ABS(P165-Components!$D$3)/Components!$E$3)</f>
        <v/>
      </c>
      <c r="S165" s="67">
        <f>IF(G165="","",ABS(P165-Components!$D$4)/Components!$E$4)</f>
        <v/>
      </c>
      <c r="T165" s="67">
        <f>IF(G165="","",ABS(P165-Components!$D$5)/Components!$E$5)</f>
        <v/>
      </c>
      <c r="U165" s="67">
        <f>IF(G165="","",ABS(P165-Components!$D$6)/Components!$E$6)</f>
        <v/>
      </c>
      <c r="V165" s="67">
        <f>IF(G165="","",ABS(P165-Components!$D$7)/Components!$E$7)</f>
        <v/>
      </c>
      <c r="W165" s="61">
        <f>IF(G165="","",IF(N165="OK","NONE",INDEX({"S1","S2","W1","W2","N1","N2"},MATCH(MIN(Q165:V165),Q165:V165,0))))</f>
        <v/>
      </c>
      <c r="X165" s="69">
        <f>IF(G165="","",IF(W165=E165,1,0))</f>
        <v/>
      </c>
    </row>
    <row r="166">
      <c r="A166" s="61" t="n">
        <v>65.40000000000001</v>
      </c>
      <c r="B166" s="62" t="n">
        <v>38.7</v>
      </c>
      <c r="C166" s="61" t="inlineStr">
        <is>
          <t>R4</t>
        </is>
      </c>
      <c r="D166" s="74" t="inlineStr">
        <is>
          <t>NG</t>
        </is>
      </c>
      <c r="E166" s="61" t="inlineStr">
        <is>
          <t>S1</t>
        </is>
      </c>
      <c r="F166" s="61" t="inlineStr">
        <is>
          <t>K029</t>
        </is>
      </c>
      <c r="G166" s="75" t="n">
        <v>6.2</v>
      </c>
      <c r="H166" s="65" t="n"/>
      <c r="I166" s="66" t="n"/>
      <c r="J166" s="67">
        <f>VLOOKUP(C166,Recipes!$A$2:$N$4,10,FALSE())</f>
        <v/>
      </c>
      <c r="K166" s="68">
        <f>VLOOKUP(C166,Recipes!$A$2:$N$4,12,FALSE())</f>
        <v/>
      </c>
      <c r="L166" s="67">
        <f>J166-3*K166</f>
        <v/>
      </c>
      <c r="M166" s="67">
        <f>J166+3*K166</f>
        <v/>
      </c>
      <c r="N166" s="61">
        <f>IF(G166="","",IF(AND(G166&gt;=L166,G166&lt;=M166),"OK","NG"))</f>
        <v/>
      </c>
      <c r="O166" s="69">
        <f>IF(N166="","",IF(N166=D166,1,0))</f>
        <v/>
      </c>
      <c r="P166" s="67">
        <f>IF(G166="","",J166-G166)</f>
        <v/>
      </c>
      <c r="Q166" s="67">
        <f>IF(G166="","",ABS(P166-Components!$D$2)/Components!$E$2)</f>
        <v/>
      </c>
      <c r="R166" s="67">
        <f>IF(G166="","",ABS(P166-Components!$D$3)/Components!$E$3)</f>
        <v/>
      </c>
      <c r="S166" s="67">
        <f>IF(G166="","",ABS(P166-Components!$D$4)/Components!$E$4)</f>
        <v/>
      </c>
      <c r="T166" s="67">
        <f>IF(G166="","",ABS(P166-Components!$D$5)/Components!$E$5)</f>
        <v/>
      </c>
      <c r="U166" s="67">
        <f>IF(G166="","",ABS(P166-Components!$D$6)/Components!$E$6)</f>
        <v/>
      </c>
      <c r="V166" s="67">
        <f>IF(G166="","",ABS(P166-Components!$D$7)/Components!$E$7)</f>
        <v/>
      </c>
      <c r="W166" s="61">
        <f>IF(G166="","",IF(N166="OK","NONE",INDEX({"S1","S2","W1","W2","N1","N2"},MATCH(MIN(Q166:V166),Q166:V166,0))))</f>
        <v/>
      </c>
      <c r="X166" s="69">
        <f>IF(G166="","",IF(W166=E166,1,0))</f>
        <v/>
      </c>
    </row>
    <row r="167">
      <c r="A167" s="76" t="n">
        <v>68.59999999999999</v>
      </c>
      <c r="B167" s="77" t="n">
        <v>40.2</v>
      </c>
      <c r="C167" s="76" t="inlineStr">
        <is>
          <t>R4</t>
        </is>
      </c>
      <c r="D167" s="78" t="inlineStr">
        <is>
          <t>NG</t>
        </is>
      </c>
      <c r="E167" s="76" t="inlineStr">
        <is>
          <t>S1</t>
        </is>
      </c>
      <c r="F167" s="76" t="inlineStr">
        <is>
          <t>K041</t>
        </is>
      </c>
      <c r="G167" s="75" t="n">
        <v>6.19</v>
      </c>
      <c r="H167" s="65" t="n"/>
      <c r="I167" s="66" t="n"/>
      <c r="J167" s="67">
        <f>VLOOKUP(C167,Recipes!$A$2:$N$4,10,FALSE())</f>
        <v/>
      </c>
      <c r="K167" s="68">
        <f>VLOOKUP(C167,Recipes!$A$2:$N$4,12,FALSE())</f>
        <v/>
      </c>
      <c r="L167" s="67">
        <f>J167-3*K167</f>
        <v/>
      </c>
      <c r="M167" s="67">
        <f>J167+3*K167</f>
        <v/>
      </c>
      <c r="N167" s="61">
        <f>IF(G167="","",IF(AND(G167&gt;=L167,G167&lt;=M167),"OK","NG"))</f>
        <v/>
      </c>
      <c r="O167" s="69">
        <f>IF(N167="","",IF(N167=D167,1,0))</f>
        <v/>
      </c>
      <c r="P167" s="67">
        <f>IF(G167="","",J167-G167)</f>
        <v/>
      </c>
      <c r="Q167" s="67">
        <f>IF(G167="","",ABS(P167-Components!$D$2)/Components!$E$2)</f>
        <v/>
      </c>
      <c r="R167" s="67">
        <f>IF(G167="","",ABS(P167-Components!$D$3)/Components!$E$3)</f>
        <v/>
      </c>
      <c r="S167" s="67">
        <f>IF(G167="","",ABS(P167-Components!$D$4)/Components!$E$4)</f>
        <v/>
      </c>
      <c r="T167" s="67">
        <f>IF(G167="","",ABS(P167-Components!$D$5)/Components!$E$5)</f>
        <v/>
      </c>
      <c r="U167" s="67">
        <f>IF(G167="","",ABS(P167-Components!$D$6)/Components!$E$6)</f>
        <v/>
      </c>
      <c r="V167" s="67">
        <f>IF(G167="","",ABS(P167-Components!$D$7)/Components!$E$7)</f>
        <v/>
      </c>
      <c r="W167" s="61">
        <f>IF(G167="","",IF(N167="OK","NONE",INDEX({"S1","S2","W1","W2","N1","N2"},MATCH(MIN(Q167:V167),Q167:V167,0))))</f>
        <v/>
      </c>
      <c r="X167" s="69">
        <f>IF(G167="","",IF(W167=E167,1,0))</f>
        <v/>
      </c>
    </row>
    <row r="168">
      <c r="A168" s="61" t="n">
        <v>71.8</v>
      </c>
      <c r="B168" s="62" t="n">
        <v>41.7</v>
      </c>
      <c r="C168" s="61" t="inlineStr">
        <is>
          <t>R4</t>
        </is>
      </c>
      <c r="D168" s="74" t="inlineStr">
        <is>
          <t>NG</t>
        </is>
      </c>
      <c r="E168" s="61" t="inlineStr">
        <is>
          <t>S1</t>
        </is>
      </c>
      <c r="F168" s="61" t="inlineStr">
        <is>
          <t>K026</t>
        </is>
      </c>
      <c r="G168" s="75" t="n">
        <v>6.19</v>
      </c>
      <c r="H168" s="65" t="n"/>
      <c r="I168" s="66" t="n"/>
      <c r="J168" s="67">
        <f>VLOOKUP(C168,Recipes!$A$2:$N$4,10,FALSE())</f>
        <v/>
      </c>
      <c r="K168" s="68">
        <f>VLOOKUP(C168,Recipes!$A$2:$N$4,12,FALSE())</f>
        <v/>
      </c>
      <c r="L168" s="67">
        <f>J168-3*K168</f>
        <v/>
      </c>
      <c r="M168" s="67">
        <f>J168+3*K168</f>
        <v/>
      </c>
      <c r="N168" s="61">
        <f>IF(G168="","",IF(AND(G168&gt;=L168,G168&lt;=M168),"OK","NG"))</f>
        <v/>
      </c>
      <c r="O168" s="69">
        <f>IF(N168="","",IF(N168=D168,1,0))</f>
        <v/>
      </c>
      <c r="P168" s="67">
        <f>IF(G168="","",J168-G168)</f>
        <v/>
      </c>
      <c r="Q168" s="67">
        <f>IF(G168="","",ABS(P168-Components!$D$2)/Components!$E$2)</f>
        <v/>
      </c>
      <c r="R168" s="67">
        <f>IF(G168="","",ABS(P168-Components!$D$3)/Components!$E$3)</f>
        <v/>
      </c>
      <c r="S168" s="67">
        <f>IF(G168="","",ABS(P168-Components!$D$4)/Components!$E$4)</f>
        <v/>
      </c>
      <c r="T168" s="67">
        <f>IF(G168="","",ABS(P168-Components!$D$5)/Components!$E$5)</f>
        <v/>
      </c>
      <c r="U168" s="67">
        <f>IF(G168="","",ABS(P168-Components!$D$6)/Components!$E$6)</f>
        <v/>
      </c>
      <c r="V168" s="67">
        <f>IF(G168="","",ABS(P168-Components!$D$7)/Components!$E$7)</f>
        <v/>
      </c>
      <c r="W168" s="61">
        <f>IF(G168="","",IF(N168="OK","NONE",INDEX({"S1","S2","W1","W2","N1","N2"},MATCH(MIN(Q168:V168),Q168:V168,0))))</f>
        <v/>
      </c>
      <c r="X168" s="69">
        <f>IF(G168="","",IF(W168=E168,1,0))</f>
        <v/>
      </c>
    </row>
    <row r="169">
      <c r="A169" s="61" t="n">
        <v>75</v>
      </c>
      <c r="B169" s="62" t="n">
        <v>43.2</v>
      </c>
      <c r="C169" s="61" t="inlineStr">
        <is>
          <t>R4</t>
        </is>
      </c>
      <c r="D169" s="74" t="inlineStr">
        <is>
          <t>NG</t>
        </is>
      </c>
      <c r="E169" s="61" t="inlineStr">
        <is>
          <t>S1</t>
        </is>
      </c>
      <c r="F169" s="61" t="inlineStr">
        <is>
          <t>K027</t>
        </is>
      </c>
      <c r="G169" s="75" t="n">
        <v>6.13</v>
      </c>
      <c r="H169" s="65" t="n"/>
      <c r="I169" s="66" t="n"/>
      <c r="J169" s="67">
        <f>VLOOKUP(C169,Recipes!$A$2:$N$4,10,FALSE())</f>
        <v/>
      </c>
      <c r="K169" s="68">
        <f>VLOOKUP(C169,Recipes!$A$2:$N$4,12,FALSE())</f>
        <v/>
      </c>
      <c r="L169" s="67">
        <f>J169-3*K169</f>
        <v/>
      </c>
      <c r="M169" s="67">
        <f>J169+3*K169</f>
        <v/>
      </c>
      <c r="N169" s="61">
        <f>IF(G169="","",IF(AND(G169&gt;=L169,G169&lt;=M169),"OK","NG"))</f>
        <v/>
      </c>
      <c r="O169" s="69">
        <f>IF(N169="","",IF(N169=D169,1,0))</f>
        <v/>
      </c>
      <c r="P169" s="67">
        <f>IF(G169="","",J169-G169)</f>
        <v/>
      </c>
      <c r="Q169" s="67">
        <f>IF(G169="","",ABS(P169-Components!$D$2)/Components!$E$2)</f>
        <v/>
      </c>
      <c r="R169" s="67">
        <f>IF(G169="","",ABS(P169-Components!$D$3)/Components!$E$3)</f>
        <v/>
      </c>
      <c r="S169" s="67">
        <f>IF(G169="","",ABS(P169-Components!$D$4)/Components!$E$4)</f>
        <v/>
      </c>
      <c r="T169" s="67">
        <f>IF(G169="","",ABS(P169-Components!$D$5)/Components!$E$5)</f>
        <v/>
      </c>
      <c r="U169" s="67">
        <f>IF(G169="","",ABS(P169-Components!$D$6)/Components!$E$6)</f>
        <v/>
      </c>
      <c r="V169" s="67">
        <f>IF(G169="","",ABS(P169-Components!$D$7)/Components!$E$7)</f>
        <v/>
      </c>
      <c r="W169" s="61">
        <f>IF(G169="","",IF(N169="OK","NONE",INDEX({"S1","S2","W1","W2","N1","N2"},MATCH(MIN(Q169:V169),Q169:V169,0))))</f>
        <v/>
      </c>
      <c r="X169" s="69">
        <f>IF(G169="","",IF(W169=E169,1,0))</f>
        <v/>
      </c>
    </row>
    <row r="170">
      <c r="A170" s="61" t="n">
        <v>78.2</v>
      </c>
      <c r="B170" s="62" t="n">
        <v>44.7</v>
      </c>
      <c r="C170" s="61" t="inlineStr">
        <is>
          <t>R4</t>
        </is>
      </c>
      <c r="D170" s="74" t="inlineStr">
        <is>
          <t>NG</t>
        </is>
      </c>
      <c r="E170" s="61" t="inlineStr">
        <is>
          <t>S1</t>
        </is>
      </c>
      <c r="F170" s="61" t="inlineStr">
        <is>
          <t>K028</t>
        </is>
      </c>
      <c r="G170" s="75" t="n">
        <v>6.17</v>
      </c>
      <c r="H170" s="65" t="n"/>
      <c r="I170" s="66" t="n"/>
      <c r="J170" s="67">
        <f>VLOOKUP(C170,Recipes!$A$2:$N$4,10,FALSE())</f>
        <v/>
      </c>
      <c r="K170" s="68">
        <f>VLOOKUP(C170,Recipes!$A$2:$N$4,12,FALSE())</f>
        <v/>
      </c>
      <c r="L170" s="67">
        <f>J170-3*K170</f>
        <v/>
      </c>
      <c r="M170" s="67">
        <f>J170+3*K170</f>
        <v/>
      </c>
      <c r="N170" s="61">
        <f>IF(G170="","",IF(AND(G170&gt;=L170,G170&lt;=M170),"OK","NG"))</f>
        <v/>
      </c>
      <c r="O170" s="69">
        <f>IF(N170="","",IF(N170=D170,1,0))</f>
        <v/>
      </c>
      <c r="P170" s="67">
        <f>IF(G170="","",J170-G170)</f>
        <v/>
      </c>
      <c r="Q170" s="67">
        <f>IF(G170="","",ABS(P170-Components!$D$2)/Components!$E$2)</f>
        <v/>
      </c>
      <c r="R170" s="67">
        <f>IF(G170="","",ABS(P170-Components!$D$3)/Components!$E$3)</f>
        <v/>
      </c>
      <c r="S170" s="67">
        <f>IF(G170="","",ABS(P170-Components!$D$4)/Components!$E$4)</f>
        <v/>
      </c>
      <c r="T170" s="67">
        <f>IF(G170="","",ABS(P170-Components!$D$5)/Components!$E$5)</f>
        <v/>
      </c>
      <c r="U170" s="67">
        <f>IF(G170="","",ABS(P170-Components!$D$6)/Components!$E$6)</f>
        <v/>
      </c>
      <c r="V170" s="67">
        <f>IF(G170="","",ABS(P170-Components!$D$7)/Components!$E$7)</f>
        <v/>
      </c>
      <c r="W170" s="61">
        <f>IF(G170="","",IF(N170="OK","NONE",INDEX({"S1","S2","W1","W2","N1","N2"},MATCH(MIN(Q170:V170),Q170:V170,0))))</f>
        <v/>
      </c>
      <c r="X170" s="69">
        <f>IF(G170="","",IF(W170=E170,1,0))</f>
        <v/>
      </c>
    </row>
    <row r="171">
      <c r="A171" s="61" t="n">
        <v>81.40000000000001</v>
      </c>
      <c r="B171" s="62" t="n">
        <v>46.2</v>
      </c>
      <c r="C171" s="61" t="inlineStr">
        <is>
          <t>R4</t>
        </is>
      </c>
      <c r="D171" s="74" t="inlineStr">
        <is>
          <t>NG</t>
        </is>
      </c>
      <c r="E171" s="61" t="inlineStr">
        <is>
          <t>S1</t>
        </is>
      </c>
      <c r="F171" s="61" t="inlineStr">
        <is>
          <t>K029</t>
        </is>
      </c>
      <c r="G171" s="75" t="n">
        <v>6.19</v>
      </c>
      <c r="H171" s="65" t="n"/>
      <c r="I171" s="66" t="n"/>
      <c r="J171" s="67">
        <f>VLOOKUP(C171,Recipes!$A$2:$N$4,10,FALSE())</f>
        <v/>
      </c>
      <c r="K171" s="68">
        <f>VLOOKUP(C171,Recipes!$A$2:$N$4,12,FALSE())</f>
        <v/>
      </c>
      <c r="L171" s="67">
        <f>J171-3*K171</f>
        <v/>
      </c>
      <c r="M171" s="67">
        <f>J171+3*K171</f>
        <v/>
      </c>
      <c r="N171" s="61">
        <f>IF(G171="","",IF(AND(G171&gt;=L171,G171&lt;=M171),"OK","NG"))</f>
        <v/>
      </c>
      <c r="O171" s="69">
        <f>IF(N171="","",IF(N171=D171,1,0))</f>
        <v/>
      </c>
      <c r="P171" s="67">
        <f>IF(G171="","",J171-G171)</f>
        <v/>
      </c>
      <c r="Q171" s="67">
        <f>IF(G171="","",ABS(P171-Components!$D$2)/Components!$E$2)</f>
        <v/>
      </c>
      <c r="R171" s="67">
        <f>IF(G171="","",ABS(P171-Components!$D$3)/Components!$E$3)</f>
        <v/>
      </c>
      <c r="S171" s="67">
        <f>IF(G171="","",ABS(P171-Components!$D$4)/Components!$E$4)</f>
        <v/>
      </c>
      <c r="T171" s="67">
        <f>IF(G171="","",ABS(P171-Components!$D$5)/Components!$E$5)</f>
        <v/>
      </c>
      <c r="U171" s="67">
        <f>IF(G171="","",ABS(P171-Components!$D$6)/Components!$E$6)</f>
        <v/>
      </c>
      <c r="V171" s="67">
        <f>IF(G171="","",ABS(P171-Components!$D$7)/Components!$E$7)</f>
        <v/>
      </c>
      <c r="W171" s="61">
        <f>IF(G171="","",IF(N171="OK","NONE",INDEX({"S1","S2","W1","W2","N1","N2"},MATCH(MIN(Q171:V171),Q171:V171,0))))</f>
        <v/>
      </c>
      <c r="X171" s="69">
        <f>IF(G171="","",IF(W171=E171,1,0))</f>
        <v/>
      </c>
    </row>
    <row r="172">
      <c r="A172" s="76" t="n">
        <v>84.59999999999999</v>
      </c>
      <c r="B172" s="77" t="n">
        <v>47.7</v>
      </c>
      <c r="C172" s="76" t="inlineStr">
        <is>
          <t>R4</t>
        </is>
      </c>
      <c r="D172" s="78" t="inlineStr">
        <is>
          <t>NG</t>
        </is>
      </c>
      <c r="E172" s="76" t="inlineStr">
        <is>
          <t>S1</t>
        </is>
      </c>
      <c r="F172" s="76" t="inlineStr">
        <is>
          <t>K041</t>
        </is>
      </c>
      <c r="G172" s="75" t="n">
        <v>6.09</v>
      </c>
      <c r="H172" s="65" t="n"/>
      <c r="I172" s="66" t="n"/>
      <c r="J172" s="67">
        <f>VLOOKUP(C172,Recipes!$A$2:$N$4,10,FALSE())</f>
        <v/>
      </c>
      <c r="K172" s="68">
        <f>VLOOKUP(C172,Recipes!$A$2:$N$4,12,FALSE())</f>
        <v/>
      </c>
      <c r="L172" s="67">
        <f>J172-3*K172</f>
        <v/>
      </c>
      <c r="M172" s="67">
        <f>J172+3*K172</f>
        <v/>
      </c>
      <c r="N172" s="61">
        <f>IF(G172="","",IF(AND(G172&gt;=L172,G172&lt;=M172),"OK","NG"))</f>
        <v/>
      </c>
      <c r="O172" s="69">
        <f>IF(N172="","",IF(N172=D172,1,0))</f>
        <v/>
      </c>
      <c r="P172" s="67">
        <f>IF(G172="","",J172-G172)</f>
        <v/>
      </c>
      <c r="Q172" s="67">
        <f>IF(G172="","",ABS(P172-Components!$D$2)/Components!$E$2)</f>
        <v/>
      </c>
      <c r="R172" s="67">
        <f>IF(G172="","",ABS(P172-Components!$D$3)/Components!$E$3)</f>
        <v/>
      </c>
      <c r="S172" s="67">
        <f>IF(G172="","",ABS(P172-Components!$D$4)/Components!$E$4)</f>
        <v/>
      </c>
      <c r="T172" s="67">
        <f>IF(G172="","",ABS(P172-Components!$D$5)/Components!$E$5)</f>
        <v/>
      </c>
      <c r="U172" s="67">
        <f>IF(G172="","",ABS(P172-Components!$D$6)/Components!$E$6)</f>
        <v/>
      </c>
      <c r="V172" s="67">
        <f>IF(G172="","",ABS(P172-Components!$D$7)/Components!$E$7)</f>
        <v/>
      </c>
      <c r="W172" s="61">
        <f>IF(G172="","",IF(N172="OK","NONE",INDEX({"S1","S2","W1","W2","N1","N2"},MATCH(MIN(Q172:V172),Q172:V172,0))))</f>
        <v/>
      </c>
      <c r="X172" s="69">
        <f>IF(G172="","",IF(W172=E172,1,0))</f>
        <v/>
      </c>
    </row>
    <row r="173">
      <c r="A173" s="61" t="n">
        <v>87.8</v>
      </c>
      <c r="B173" s="62" t="n">
        <v>49.2</v>
      </c>
      <c r="C173" s="61" t="inlineStr">
        <is>
          <t>R4</t>
        </is>
      </c>
      <c r="D173" s="74" t="inlineStr">
        <is>
          <t>NG</t>
        </is>
      </c>
      <c r="E173" s="61" t="inlineStr">
        <is>
          <t>S1</t>
        </is>
      </c>
      <c r="F173" s="61" t="inlineStr">
        <is>
          <t>K026</t>
        </is>
      </c>
      <c r="G173" s="75" t="n">
        <v>6.19</v>
      </c>
      <c r="H173" s="65" t="n"/>
      <c r="I173" s="66" t="n"/>
      <c r="J173" s="67">
        <f>VLOOKUP(C173,Recipes!$A$2:$N$4,10,FALSE())</f>
        <v/>
      </c>
      <c r="K173" s="68">
        <f>VLOOKUP(C173,Recipes!$A$2:$N$4,12,FALSE())</f>
        <v/>
      </c>
      <c r="L173" s="67">
        <f>J173-3*K173</f>
        <v/>
      </c>
      <c r="M173" s="67">
        <f>J173+3*K173</f>
        <v/>
      </c>
      <c r="N173" s="61">
        <f>IF(G173="","",IF(AND(G173&gt;=L173,G173&lt;=M173),"OK","NG"))</f>
        <v/>
      </c>
      <c r="O173" s="69">
        <f>IF(N173="","",IF(N173=D173,1,0))</f>
        <v/>
      </c>
      <c r="P173" s="67">
        <f>IF(G173="","",J173-G173)</f>
        <v/>
      </c>
      <c r="Q173" s="67">
        <f>IF(G173="","",ABS(P173-Components!$D$2)/Components!$E$2)</f>
        <v/>
      </c>
      <c r="R173" s="67">
        <f>IF(G173="","",ABS(P173-Components!$D$3)/Components!$E$3)</f>
        <v/>
      </c>
      <c r="S173" s="67">
        <f>IF(G173="","",ABS(P173-Components!$D$4)/Components!$E$4)</f>
        <v/>
      </c>
      <c r="T173" s="67">
        <f>IF(G173="","",ABS(P173-Components!$D$5)/Components!$E$5)</f>
        <v/>
      </c>
      <c r="U173" s="67">
        <f>IF(G173="","",ABS(P173-Components!$D$6)/Components!$E$6)</f>
        <v/>
      </c>
      <c r="V173" s="67">
        <f>IF(G173="","",ABS(P173-Components!$D$7)/Components!$E$7)</f>
        <v/>
      </c>
      <c r="W173" s="61">
        <f>IF(G173="","",IF(N173="OK","NONE",INDEX({"S1","S2","W1","W2","N1","N2"},MATCH(MIN(Q173:V173),Q173:V173,0))))</f>
        <v/>
      </c>
      <c r="X173" s="69">
        <f>IF(G173="","",IF(W173=E173,1,0))</f>
        <v/>
      </c>
    </row>
    <row r="174">
      <c r="A174" s="61" t="n">
        <v>91</v>
      </c>
      <c r="B174" s="62" t="n">
        <v>50.7</v>
      </c>
      <c r="C174" s="61" t="inlineStr">
        <is>
          <t>R4</t>
        </is>
      </c>
      <c r="D174" s="74" t="inlineStr">
        <is>
          <t>NG</t>
        </is>
      </c>
      <c r="E174" s="61" t="inlineStr">
        <is>
          <t>S1</t>
        </is>
      </c>
      <c r="F174" s="61" t="inlineStr">
        <is>
          <t>K027</t>
        </is>
      </c>
      <c r="G174" s="75" t="n">
        <v>6.18</v>
      </c>
      <c r="H174" s="65" t="n"/>
      <c r="I174" s="66" t="n"/>
      <c r="J174" s="67">
        <f>VLOOKUP(C174,Recipes!$A$2:$N$4,10,FALSE())</f>
        <v/>
      </c>
      <c r="K174" s="68">
        <f>VLOOKUP(C174,Recipes!$A$2:$N$4,12,FALSE())</f>
        <v/>
      </c>
      <c r="L174" s="67">
        <f>J174-3*K174</f>
        <v/>
      </c>
      <c r="M174" s="67">
        <f>J174+3*K174</f>
        <v/>
      </c>
      <c r="N174" s="61">
        <f>IF(G174="","",IF(AND(G174&gt;=L174,G174&lt;=M174),"OK","NG"))</f>
        <v/>
      </c>
      <c r="O174" s="69">
        <f>IF(N174="","",IF(N174=D174,1,0))</f>
        <v/>
      </c>
      <c r="P174" s="67">
        <f>IF(G174="","",J174-G174)</f>
        <v/>
      </c>
      <c r="Q174" s="67">
        <f>IF(G174="","",ABS(P174-Components!$D$2)/Components!$E$2)</f>
        <v/>
      </c>
      <c r="R174" s="67">
        <f>IF(G174="","",ABS(P174-Components!$D$3)/Components!$E$3)</f>
        <v/>
      </c>
      <c r="S174" s="67">
        <f>IF(G174="","",ABS(P174-Components!$D$4)/Components!$E$4)</f>
        <v/>
      </c>
      <c r="T174" s="67">
        <f>IF(G174="","",ABS(P174-Components!$D$5)/Components!$E$5)</f>
        <v/>
      </c>
      <c r="U174" s="67">
        <f>IF(G174="","",ABS(P174-Components!$D$6)/Components!$E$6)</f>
        <v/>
      </c>
      <c r="V174" s="67">
        <f>IF(G174="","",ABS(P174-Components!$D$7)/Components!$E$7)</f>
        <v/>
      </c>
      <c r="W174" s="61">
        <f>IF(G174="","",IF(N174="OK","NONE",INDEX({"S1","S2","W1","W2","N1","N2"},MATCH(MIN(Q174:V174),Q174:V174,0))))</f>
        <v/>
      </c>
      <c r="X174" s="69">
        <f>IF(G174="","",IF(W174=E174,1,0))</f>
        <v/>
      </c>
    </row>
    <row r="175">
      <c r="A175" s="61" t="n">
        <v>94.2</v>
      </c>
      <c r="B175" s="62" t="n">
        <v>52.2</v>
      </c>
      <c r="C175" s="61" t="inlineStr">
        <is>
          <t>R4</t>
        </is>
      </c>
      <c r="D175" s="74" t="inlineStr">
        <is>
          <t>NG</t>
        </is>
      </c>
      <c r="E175" s="61" t="inlineStr">
        <is>
          <t>S1</t>
        </is>
      </c>
      <c r="F175" s="61" t="inlineStr">
        <is>
          <t>K028</t>
        </is>
      </c>
      <c r="G175" s="75" t="n">
        <v>6.19</v>
      </c>
      <c r="H175" s="65" t="n"/>
      <c r="I175" s="66" t="n"/>
      <c r="J175" s="67">
        <f>VLOOKUP(C175,Recipes!$A$2:$N$4,10,FALSE())</f>
        <v/>
      </c>
      <c r="K175" s="68">
        <f>VLOOKUP(C175,Recipes!$A$2:$N$4,12,FALSE())</f>
        <v/>
      </c>
      <c r="L175" s="67">
        <f>J175-3*K175</f>
        <v/>
      </c>
      <c r="M175" s="67">
        <f>J175+3*K175</f>
        <v/>
      </c>
      <c r="N175" s="61">
        <f>IF(G175="","",IF(AND(G175&gt;=L175,G175&lt;=M175),"OK","NG"))</f>
        <v/>
      </c>
      <c r="O175" s="69">
        <f>IF(N175="","",IF(N175=D175,1,0))</f>
        <v/>
      </c>
      <c r="P175" s="67">
        <f>IF(G175="","",J175-G175)</f>
        <v/>
      </c>
      <c r="Q175" s="67">
        <f>IF(G175="","",ABS(P175-Components!$D$2)/Components!$E$2)</f>
        <v/>
      </c>
      <c r="R175" s="67">
        <f>IF(G175="","",ABS(P175-Components!$D$3)/Components!$E$3)</f>
        <v/>
      </c>
      <c r="S175" s="67">
        <f>IF(G175="","",ABS(P175-Components!$D$4)/Components!$E$4)</f>
        <v/>
      </c>
      <c r="T175" s="67">
        <f>IF(G175="","",ABS(P175-Components!$D$5)/Components!$E$5)</f>
        <v/>
      </c>
      <c r="U175" s="67">
        <f>IF(G175="","",ABS(P175-Components!$D$6)/Components!$E$6)</f>
        <v/>
      </c>
      <c r="V175" s="67">
        <f>IF(G175="","",ABS(P175-Components!$D$7)/Components!$E$7)</f>
        <v/>
      </c>
      <c r="W175" s="61">
        <f>IF(G175="","",IF(N175="OK","NONE",INDEX({"S1","S2","W1","W2","N1","N2"},MATCH(MIN(Q175:V175),Q175:V175,0))))</f>
        <v/>
      </c>
      <c r="X175" s="69">
        <f>IF(G175="","",IF(W175=E175,1,0))</f>
        <v/>
      </c>
    </row>
    <row r="176">
      <c r="A176" s="61" t="n">
        <v>97.40000000000001</v>
      </c>
      <c r="B176" s="62" t="n">
        <v>53.7</v>
      </c>
      <c r="C176" s="61" t="inlineStr">
        <is>
          <t>R4</t>
        </is>
      </c>
      <c r="D176" s="74" t="inlineStr">
        <is>
          <t>NG</t>
        </is>
      </c>
      <c r="E176" s="61" t="inlineStr">
        <is>
          <t>S1</t>
        </is>
      </c>
      <c r="F176" s="61" t="inlineStr">
        <is>
          <t>K029</t>
        </is>
      </c>
      <c r="G176" s="75" t="n">
        <v>6.15</v>
      </c>
      <c r="H176" s="65" t="n"/>
      <c r="I176" s="66" t="n"/>
      <c r="J176" s="67">
        <f>VLOOKUP(C176,Recipes!$A$2:$N$4,10,FALSE())</f>
        <v/>
      </c>
      <c r="K176" s="68">
        <f>VLOOKUP(C176,Recipes!$A$2:$N$4,12,FALSE())</f>
        <v/>
      </c>
      <c r="L176" s="67">
        <f>J176-3*K176</f>
        <v/>
      </c>
      <c r="M176" s="67">
        <f>J176+3*K176</f>
        <v/>
      </c>
      <c r="N176" s="61">
        <f>IF(G176="","",IF(AND(G176&gt;=L176,G176&lt;=M176),"OK","NG"))</f>
        <v/>
      </c>
      <c r="O176" s="69">
        <f>IF(N176="","",IF(N176=D176,1,0))</f>
        <v/>
      </c>
      <c r="P176" s="67">
        <f>IF(G176="","",J176-G176)</f>
        <v/>
      </c>
      <c r="Q176" s="67">
        <f>IF(G176="","",ABS(P176-Components!$D$2)/Components!$E$2)</f>
        <v/>
      </c>
      <c r="R176" s="67">
        <f>IF(G176="","",ABS(P176-Components!$D$3)/Components!$E$3)</f>
        <v/>
      </c>
      <c r="S176" s="67">
        <f>IF(G176="","",ABS(P176-Components!$D$4)/Components!$E$4)</f>
        <v/>
      </c>
      <c r="T176" s="67">
        <f>IF(G176="","",ABS(P176-Components!$D$5)/Components!$E$5)</f>
        <v/>
      </c>
      <c r="U176" s="67">
        <f>IF(G176="","",ABS(P176-Components!$D$6)/Components!$E$6)</f>
        <v/>
      </c>
      <c r="V176" s="67">
        <f>IF(G176="","",ABS(P176-Components!$D$7)/Components!$E$7)</f>
        <v/>
      </c>
      <c r="W176" s="61">
        <f>IF(G176="","",IF(N176="OK","NONE",INDEX({"S1","S2","W1","W2","N1","N2"},MATCH(MIN(Q176:V176),Q176:V176,0))))</f>
        <v/>
      </c>
      <c r="X176" s="69">
        <f>IF(G176="","",IF(W176=E176,1,0))</f>
        <v/>
      </c>
    </row>
    <row r="177">
      <c r="A177" s="76" t="n">
        <v>100.6</v>
      </c>
      <c r="B177" s="77" t="n">
        <v>55.2</v>
      </c>
      <c r="C177" s="76" t="inlineStr">
        <is>
          <t>R4</t>
        </is>
      </c>
      <c r="D177" s="78" t="inlineStr">
        <is>
          <t>NG</t>
        </is>
      </c>
      <c r="E177" s="76" t="inlineStr">
        <is>
          <t>S1</t>
        </is>
      </c>
      <c r="F177" s="76" t="inlineStr">
        <is>
          <t>K041</t>
        </is>
      </c>
      <c r="G177" s="75" t="n">
        <v>6.16</v>
      </c>
      <c r="H177" s="65" t="n"/>
      <c r="I177" s="66" t="n"/>
      <c r="J177" s="67">
        <f>VLOOKUP(C177,Recipes!$A$2:$N$4,10,FALSE())</f>
        <v/>
      </c>
      <c r="K177" s="68">
        <f>VLOOKUP(C177,Recipes!$A$2:$N$4,12,FALSE())</f>
        <v/>
      </c>
      <c r="L177" s="67">
        <f>J177-3*K177</f>
        <v/>
      </c>
      <c r="M177" s="67">
        <f>J177+3*K177</f>
        <v/>
      </c>
      <c r="N177" s="61">
        <f>IF(G177="","",IF(AND(G177&gt;=L177,G177&lt;=M177),"OK","NG"))</f>
        <v/>
      </c>
      <c r="O177" s="69">
        <f>IF(N177="","",IF(N177=D177,1,0))</f>
        <v/>
      </c>
      <c r="P177" s="67">
        <f>IF(G177="","",J177-G177)</f>
        <v/>
      </c>
      <c r="Q177" s="67">
        <f>IF(G177="","",ABS(P177-Components!$D$2)/Components!$E$2)</f>
        <v/>
      </c>
      <c r="R177" s="67">
        <f>IF(G177="","",ABS(P177-Components!$D$3)/Components!$E$3)</f>
        <v/>
      </c>
      <c r="S177" s="67">
        <f>IF(G177="","",ABS(P177-Components!$D$4)/Components!$E$4)</f>
        <v/>
      </c>
      <c r="T177" s="67">
        <f>IF(G177="","",ABS(P177-Components!$D$5)/Components!$E$5)</f>
        <v/>
      </c>
      <c r="U177" s="67">
        <f>IF(G177="","",ABS(P177-Components!$D$6)/Components!$E$6)</f>
        <v/>
      </c>
      <c r="V177" s="67">
        <f>IF(G177="","",ABS(P177-Components!$D$7)/Components!$E$7)</f>
        <v/>
      </c>
      <c r="W177" s="61">
        <f>IF(G177="","",IF(N177="OK","NONE",INDEX({"S1","S2","W1","W2","N1","N2"},MATCH(MIN(Q177:V177),Q177:V177,0))))</f>
        <v/>
      </c>
      <c r="X177" s="69">
        <f>IF(G177="","",IF(W177=E177,1,0))</f>
        <v/>
      </c>
    </row>
    <row r="178">
      <c r="A178" s="61" t="n">
        <v>103.8</v>
      </c>
      <c r="B178" s="62" t="n">
        <v>56.7</v>
      </c>
      <c r="C178" s="61" t="inlineStr">
        <is>
          <t>R4</t>
        </is>
      </c>
      <c r="D178" s="74" t="inlineStr">
        <is>
          <t>NG</t>
        </is>
      </c>
      <c r="E178" s="61" t="inlineStr">
        <is>
          <t>S1</t>
        </is>
      </c>
      <c r="F178" s="61" t="inlineStr">
        <is>
          <t>K026</t>
        </is>
      </c>
      <c r="G178" s="75" t="n">
        <v>6.16</v>
      </c>
      <c r="H178" s="65" t="n"/>
      <c r="I178" s="66" t="n"/>
      <c r="J178" s="67">
        <f>VLOOKUP(C178,Recipes!$A$2:$N$4,10,FALSE())</f>
        <v/>
      </c>
      <c r="K178" s="68">
        <f>VLOOKUP(C178,Recipes!$A$2:$N$4,12,FALSE())</f>
        <v/>
      </c>
      <c r="L178" s="67">
        <f>J178-3*K178</f>
        <v/>
      </c>
      <c r="M178" s="67">
        <f>J178+3*K178</f>
        <v/>
      </c>
      <c r="N178" s="61">
        <f>IF(G178="","",IF(AND(G178&gt;=L178,G178&lt;=M178),"OK","NG"))</f>
        <v/>
      </c>
      <c r="O178" s="69">
        <f>IF(N178="","",IF(N178=D178,1,0))</f>
        <v/>
      </c>
      <c r="P178" s="67">
        <f>IF(G178="","",J178-G178)</f>
        <v/>
      </c>
      <c r="Q178" s="67">
        <f>IF(G178="","",ABS(P178-Components!$D$2)/Components!$E$2)</f>
        <v/>
      </c>
      <c r="R178" s="67">
        <f>IF(G178="","",ABS(P178-Components!$D$3)/Components!$E$3)</f>
        <v/>
      </c>
      <c r="S178" s="67">
        <f>IF(G178="","",ABS(P178-Components!$D$4)/Components!$E$4)</f>
        <v/>
      </c>
      <c r="T178" s="67">
        <f>IF(G178="","",ABS(P178-Components!$D$5)/Components!$E$5)</f>
        <v/>
      </c>
      <c r="U178" s="67">
        <f>IF(G178="","",ABS(P178-Components!$D$6)/Components!$E$6)</f>
        <v/>
      </c>
      <c r="V178" s="67">
        <f>IF(G178="","",ABS(P178-Components!$D$7)/Components!$E$7)</f>
        <v/>
      </c>
      <c r="W178" s="61">
        <f>IF(G178="","",IF(N178="OK","NONE",INDEX({"S1","S2","W1","W2","N1","N2"},MATCH(MIN(Q178:V178),Q178:V178,0))))</f>
        <v/>
      </c>
      <c r="X178" s="69">
        <f>IF(G178="","",IF(W178=E178,1,0))</f>
        <v/>
      </c>
    </row>
    <row r="179">
      <c r="A179" s="61" t="n">
        <v>107</v>
      </c>
      <c r="B179" s="62" t="n">
        <v>58.2</v>
      </c>
      <c r="C179" s="61" t="inlineStr">
        <is>
          <t>R4</t>
        </is>
      </c>
      <c r="D179" s="74" t="inlineStr">
        <is>
          <t>NG</t>
        </is>
      </c>
      <c r="E179" s="61" t="inlineStr">
        <is>
          <t>S1</t>
        </is>
      </c>
      <c r="F179" s="61" t="inlineStr">
        <is>
          <t>K027</t>
        </is>
      </c>
      <c r="G179" s="75" t="n">
        <v>6.15</v>
      </c>
      <c r="H179" s="65" t="n"/>
      <c r="I179" s="66" t="n"/>
      <c r="J179" s="67">
        <f>VLOOKUP(C179,Recipes!$A$2:$N$4,10,FALSE())</f>
        <v/>
      </c>
      <c r="K179" s="68">
        <f>VLOOKUP(C179,Recipes!$A$2:$N$4,12,FALSE())</f>
        <v/>
      </c>
      <c r="L179" s="67">
        <f>J179-3*K179</f>
        <v/>
      </c>
      <c r="M179" s="67">
        <f>J179+3*K179</f>
        <v/>
      </c>
      <c r="N179" s="61">
        <f>IF(G179="","",IF(AND(G179&gt;=L179,G179&lt;=M179),"OK","NG"))</f>
        <v/>
      </c>
      <c r="O179" s="69">
        <f>IF(N179="","",IF(N179=D179,1,0))</f>
        <v/>
      </c>
      <c r="P179" s="67">
        <f>IF(G179="","",J179-G179)</f>
        <v/>
      </c>
      <c r="Q179" s="67">
        <f>IF(G179="","",ABS(P179-Components!$D$2)/Components!$E$2)</f>
        <v/>
      </c>
      <c r="R179" s="67">
        <f>IF(G179="","",ABS(P179-Components!$D$3)/Components!$E$3)</f>
        <v/>
      </c>
      <c r="S179" s="67">
        <f>IF(G179="","",ABS(P179-Components!$D$4)/Components!$E$4)</f>
        <v/>
      </c>
      <c r="T179" s="67">
        <f>IF(G179="","",ABS(P179-Components!$D$5)/Components!$E$5)</f>
        <v/>
      </c>
      <c r="U179" s="67">
        <f>IF(G179="","",ABS(P179-Components!$D$6)/Components!$E$6)</f>
        <v/>
      </c>
      <c r="V179" s="67">
        <f>IF(G179="","",ABS(P179-Components!$D$7)/Components!$E$7)</f>
        <v/>
      </c>
      <c r="W179" s="61">
        <f>IF(G179="","",IF(N179="OK","NONE",INDEX({"S1","S2","W1","W2","N1","N2"},MATCH(MIN(Q179:V179),Q179:V179,0))))</f>
        <v/>
      </c>
      <c r="X179" s="69">
        <f>IF(G179="","",IF(W179=E179,1,0))</f>
        <v/>
      </c>
    </row>
    <row r="180">
      <c r="A180" s="61" t="n">
        <v>110.2</v>
      </c>
      <c r="B180" s="62" t="n">
        <v>59.7</v>
      </c>
      <c r="C180" s="61" t="inlineStr">
        <is>
          <t>R4</t>
        </is>
      </c>
      <c r="D180" s="74" t="inlineStr">
        <is>
          <t>NG</t>
        </is>
      </c>
      <c r="E180" s="61" t="inlineStr">
        <is>
          <t>S1</t>
        </is>
      </c>
      <c r="F180" s="61" t="inlineStr">
        <is>
          <t>K028</t>
        </is>
      </c>
      <c r="G180" s="75" t="n">
        <v>6.17</v>
      </c>
      <c r="H180" s="65" t="n"/>
      <c r="I180" s="66" t="n"/>
      <c r="J180" s="67">
        <f>VLOOKUP(C180,Recipes!$A$2:$N$4,10,FALSE())</f>
        <v/>
      </c>
      <c r="K180" s="68">
        <f>VLOOKUP(C180,Recipes!$A$2:$N$4,12,FALSE())</f>
        <v/>
      </c>
      <c r="L180" s="67">
        <f>J180-3*K180</f>
        <v/>
      </c>
      <c r="M180" s="67">
        <f>J180+3*K180</f>
        <v/>
      </c>
      <c r="N180" s="61">
        <f>IF(G180="","",IF(AND(G180&gt;=L180,G180&lt;=M180),"OK","NG"))</f>
        <v/>
      </c>
      <c r="O180" s="69">
        <f>IF(N180="","",IF(N180=D180,1,0))</f>
        <v/>
      </c>
      <c r="P180" s="67">
        <f>IF(G180="","",J180-G180)</f>
        <v/>
      </c>
      <c r="Q180" s="67">
        <f>IF(G180="","",ABS(P180-Components!$D$2)/Components!$E$2)</f>
        <v/>
      </c>
      <c r="R180" s="67">
        <f>IF(G180="","",ABS(P180-Components!$D$3)/Components!$E$3)</f>
        <v/>
      </c>
      <c r="S180" s="67">
        <f>IF(G180="","",ABS(P180-Components!$D$4)/Components!$E$4)</f>
        <v/>
      </c>
      <c r="T180" s="67">
        <f>IF(G180="","",ABS(P180-Components!$D$5)/Components!$E$5)</f>
        <v/>
      </c>
      <c r="U180" s="67">
        <f>IF(G180="","",ABS(P180-Components!$D$6)/Components!$E$6)</f>
        <v/>
      </c>
      <c r="V180" s="67">
        <f>IF(G180="","",ABS(P180-Components!$D$7)/Components!$E$7)</f>
        <v/>
      </c>
      <c r="W180" s="61">
        <f>IF(G180="","",IF(N180="OK","NONE",INDEX({"S1","S2","W1","W2","N1","N2"},MATCH(MIN(Q180:V180),Q180:V180,0))))</f>
        <v/>
      </c>
      <c r="X180" s="69">
        <f>IF(G180="","",IF(W180=E180,1,0))</f>
        <v/>
      </c>
    </row>
    <row r="181">
      <c r="A181" s="61" t="n">
        <v>113.4</v>
      </c>
      <c r="B181" s="62" t="n">
        <v>61.2</v>
      </c>
      <c r="C181" s="61" t="inlineStr">
        <is>
          <t>R4</t>
        </is>
      </c>
      <c r="D181" s="74" t="inlineStr">
        <is>
          <t>NG</t>
        </is>
      </c>
      <c r="E181" s="61" t="inlineStr">
        <is>
          <t>S1</t>
        </is>
      </c>
      <c r="F181" s="61" t="inlineStr">
        <is>
          <t>K029</t>
        </is>
      </c>
      <c r="G181" s="75" t="n">
        <v>6.2</v>
      </c>
      <c r="H181" s="65" t="n"/>
      <c r="I181" s="66" t="n"/>
      <c r="J181" s="67">
        <f>VLOOKUP(C181,Recipes!$A$2:$N$4,10,FALSE())</f>
        <v/>
      </c>
      <c r="K181" s="68">
        <f>VLOOKUP(C181,Recipes!$A$2:$N$4,12,FALSE())</f>
        <v/>
      </c>
      <c r="L181" s="67">
        <f>J181-3*K181</f>
        <v/>
      </c>
      <c r="M181" s="67">
        <f>J181+3*K181</f>
        <v/>
      </c>
      <c r="N181" s="61">
        <f>IF(G181="","",IF(AND(G181&gt;=L181,G181&lt;=M181),"OK","NG"))</f>
        <v/>
      </c>
      <c r="O181" s="69">
        <f>IF(N181="","",IF(N181=D181,1,0))</f>
        <v/>
      </c>
      <c r="P181" s="67">
        <f>IF(G181="","",J181-G181)</f>
        <v/>
      </c>
      <c r="Q181" s="67">
        <f>IF(G181="","",ABS(P181-Components!$D$2)/Components!$E$2)</f>
        <v/>
      </c>
      <c r="R181" s="67">
        <f>IF(G181="","",ABS(P181-Components!$D$3)/Components!$E$3)</f>
        <v/>
      </c>
      <c r="S181" s="67">
        <f>IF(G181="","",ABS(P181-Components!$D$4)/Components!$E$4)</f>
        <v/>
      </c>
      <c r="T181" s="67">
        <f>IF(G181="","",ABS(P181-Components!$D$5)/Components!$E$5)</f>
        <v/>
      </c>
      <c r="U181" s="67">
        <f>IF(G181="","",ABS(P181-Components!$D$6)/Components!$E$6)</f>
        <v/>
      </c>
      <c r="V181" s="67">
        <f>IF(G181="","",ABS(P181-Components!$D$7)/Components!$E$7)</f>
        <v/>
      </c>
      <c r="W181" s="61">
        <f>IF(G181="","",IF(N181="OK","NONE",INDEX({"S1","S2","W1","W2","N1","N2"},MATCH(MIN(Q181:V181),Q181:V181,0))))</f>
        <v/>
      </c>
      <c r="X181" s="69">
        <f>IF(G181="","",IF(W181=E181,1,0))</f>
        <v/>
      </c>
    </row>
    <row r="182">
      <c r="A182" s="76" t="n">
        <v>116.6</v>
      </c>
      <c r="B182" s="77" t="n">
        <v>62.7</v>
      </c>
      <c r="C182" s="76" t="inlineStr">
        <is>
          <t>R4</t>
        </is>
      </c>
      <c r="D182" s="78" t="inlineStr">
        <is>
          <t>NG</t>
        </is>
      </c>
      <c r="E182" s="76" t="inlineStr">
        <is>
          <t>S1</t>
        </is>
      </c>
      <c r="F182" s="76" t="inlineStr">
        <is>
          <t>K041</t>
        </is>
      </c>
      <c r="G182" s="75" t="n">
        <v>6.14</v>
      </c>
      <c r="H182" s="65" t="n"/>
      <c r="I182" s="66" t="n"/>
      <c r="J182" s="67">
        <f>VLOOKUP(C182,Recipes!$A$2:$N$4,10,FALSE())</f>
        <v/>
      </c>
      <c r="K182" s="68">
        <f>VLOOKUP(C182,Recipes!$A$2:$N$4,12,FALSE())</f>
        <v/>
      </c>
      <c r="L182" s="67">
        <f>J182-3*K182</f>
        <v/>
      </c>
      <c r="M182" s="67">
        <f>J182+3*K182</f>
        <v/>
      </c>
      <c r="N182" s="61">
        <f>IF(G182="","",IF(AND(G182&gt;=L182,G182&lt;=M182),"OK","NG"))</f>
        <v/>
      </c>
      <c r="O182" s="69">
        <f>IF(N182="","",IF(N182=D182,1,0))</f>
        <v/>
      </c>
      <c r="P182" s="67">
        <f>IF(G182="","",J182-G182)</f>
        <v/>
      </c>
      <c r="Q182" s="67">
        <f>IF(G182="","",ABS(P182-Components!$D$2)/Components!$E$2)</f>
        <v/>
      </c>
      <c r="R182" s="67">
        <f>IF(G182="","",ABS(P182-Components!$D$3)/Components!$E$3)</f>
        <v/>
      </c>
      <c r="S182" s="67">
        <f>IF(G182="","",ABS(P182-Components!$D$4)/Components!$E$4)</f>
        <v/>
      </c>
      <c r="T182" s="67">
        <f>IF(G182="","",ABS(P182-Components!$D$5)/Components!$E$5)</f>
        <v/>
      </c>
      <c r="U182" s="67">
        <f>IF(G182="","",ABS(P182-Components!$D$6)/Components!$E$6)</f>
        <v/>
      </c>
      <c r="V182" s="67">
        <f>IF(G182="","",ABS(P182-Components!$D$7)/Components!$E$7)</f>
        <v/>
      </c>
      <c r="W182" s="61">
        <f>IF(G182="","",IF(N182="OK","NONE",INDEX({"S1","S2","W1","W2","N1","N2"},MATCH(MIN(Q182:V182),Q182:V182,0))))</f>
        <v/>
      </c>
      <c r="X182" s="69">
        <f>IF(G182="","",IF(W182=E182,1,0))</f>
        <v/>
      </c>
    </row>
    <row r="183">
      <c r="A183" s="61" t="n">
        <v>30</v>
      </c>
      <c r="B183" s="62" t="n">
        <v>19</v>
      </c>
      <c r="C183" s="61" t="inlineStr">
        <is>
          <t>R4</t>
        </is>
      </c>
      <c r="D183" s="74" t="inlineStr">
        <is>
          <t>NG</t>
        </is>
      </c>
      <c r="E183" s="61" t="inlineStr">
        <is>
          <t>W1</t>
        </is>
      </c>
      <c r="F183" s="61" t="inlineStr">
        <is>
          <t>K030</t>
        </is>
      </c>
      <c r="G183" s="64" t="n">
        <v>7.99</v>
      </c>
      <c r="H183" s="65" t="n"/>
      <c r="I183" s="66" t="n"/>
      <c r="J183" s="67">
        <f>VLOOKUP(C183,Recipes!$A$2:$N$4,10,FALSE())</f>
        <v/>
      </c>
      <c r="K183" s="68">
        <f>VLOOKUP(C183,Recipes!$A$2:$N$4,12,FALSE())</f>
        <v/>
      </c>
      <c r="L183" s="67">
        <f>J183-3*K183</f>
        <v/>
      </c>
      <c r="M183" s="67">
        <f>J183+3*K183</f>
        <v/>
      </c>
      <c r="N183" s="61">
        <f>IF(G183="","",IF(AND(G183&gt;=L183,G183&lt;=M183),"OK","NG"))</f>
        <v/>
      </c>
      <c r="O183" s="69">
        <f>IF(N183="","",IF(N183=D183,1,0))</f>
        <v/>
      </c>
      <c r="P183" s="67">
        <f>IF(G183="","",J183-G183)</f>
        <v/>
      </c>
      <c r="Q183" s="67">
        <f>IF(G183="","",ABS(P183-Components!$D$2)/Components!$E$2)</f>
        <v/>
      </c>
      <c r="R183" s="67">
        <f>IF(G183="","",ABS(P183-Components!$D$3)/Components!$E$3)</f>
        <v/>
      </c>
      <c r="S183" s="67">
        <f>IF(G183="","",ABS(P183-Components!$D$4)/Components!$E$4)</f>
        <v/>
      </c>
      <c r="T183" s="67">
        <f>IF(G183="","",ABS(P183-Components!$D$5)/Components!$E$5)</f>
        <v/>
      </c>
      <c r="U183" s="67">
        <f>IF(G183="","",ABS(P183-Components!$D$6)/Components!$E$6)</f>
        <v/>
      </c>
      <c r="V183" s="67">
        <f>IF(G183="","",ABS(P183-Components!$D$7)/Components!$E$7)</f>
        <v/>
      </c>
      <c r="W183" s="61">
        <f>IF(G183="","",IF(N183="OK","NONE",INDEX({"S1","S2","W1","W2","N1","N2"},MATCH(MIN(Q183:V183),Q183:V183,0))))</f>
        <v/>
      </c>
      <c r="X183" s="69">
        <f>IF(G183="","",IF(W183=E183,1,0))</f>
        <v/>
      </c>
    </row>
    <row r="184">
      <c r="A184" s="61" t="n">
        <v>31</v>
      </c>
      <c r="B184" s="62" t="n">
        <v>32</v>
      </c>
      <c r="C184" s="61" t="inlineStr">
        <is>
          <t>R4</t>
        </is>
      </c>
      <c r="D184" s="74" t="inlineStr">
        <is>
          <t>NG</t>
        </is>
      </c>
      <c r="E184" s="61" t="inlineStr">
        <is>
          <t>W1</t>
        </is>
      </c>
      <c r="F184" s="61" t="inlineStr">
        <is>
          <t>K031</t>
        </is>
      </c>
      <c r="G184" s="64" t="n">
        <v>7.97</v>
      </c>
      <c r="H184" s="65" t="n"/>
      <c r="I184" s="66" t="n"/>
      <c r="J184" s="67">
        <f>VLOOKUP(C184,Recipes!$A$2:$N$4,10,FALSE())</f>
        <v/>
      </c>
      <c r="K184" s="68">
        <f>VLOOKUP(C184,Recipes!$A$2:$N$4,12,FALSE())</f>
        <v/>
      </c>
      <c r="L184" s="67">
        <f>J184-3*K184</f>
        <v/>
      </c>
      <c r="M184" s="67">
        <f>J184+3*K184</f>
        <v/>
      </c>
      <c r="N184" s="61">
        <f>IF(G184="","",IF(AND(G184&gt;=L184,G184&lt;=M184),"OK","NG"))</f>
        <v/>
      </c>
      <c r="O184" s="69">
        <f>IF(N184="","",IF(N184=D184,1,0))</f>
        <v/>
      </c>
      <c r="P184" s="67">
        <f>IF(G184="","",J184-G184)</f>
        <v/>
      </c>
      <c r="Q184" s="67">
        <f>IF(G184="","",ABS(P184-Components!$D$2)/Components!$E$2)</f>
        <v/>
      </c>
      <c r="R184" s="67">
        <f>IF(G184="","",ABS(P184-Components!$D$3)/Components!$E$3)</f>
        <v/>
      </c>
      <c r="S184" s="67">
        <f>IF(G184="","",ABS(P184-Components!$D$4)/Components!$E$4)</f>
        <v/>
      </c>
      <c r="T184" s="67">
        <f>IF(G184="","",ABS(P184-Components!$D$5)/Components!$E$5)</f>
        <v/>
      </c>
      <c r="U184" s="67">
        <f>IF(G184="","",ABS(P184-Components!$D$6)/Components!$E$6)</f>
        <v/>
      </c>
      <c r="V184" s="67">
        <f>IF(G184="","",ABS(P184-Components!$D$7)/Components!$E$7)</f>
        <v/>
      </c>
      <c r="W184" s="61">
        <f>IF(G184="","",IF(N184="OK","NONE",INDEX({"S1","S2","W1","W2","N1","N2"},MATCH(MIN(Q184:V184),Q184:V184,0))))</f>
        <v/>
      </c>
      <c r="X184" s="69">
        <f>IF(G184="","",IF(W184=E184,1,0))</f>
        <v/>
      </c>
    </row>
    <row r="185">
      <c r="A185" s="61" t="n">
        <v>32</v>
      </c>
      <c r="B185" s="62" t="n">
        <v>37</v>
      </c>
      <c r="C185" s="61" t="inlineStr">
        <is>
          <t>R4</t>
        </is>
      </c>
      <c r="D185" s="74" t="inlineStr">
        <is>
          <t>NG</t>
        </is>
      </c>
      <c r="E185" s="61" t="inlineStr">
        <is>
          <t>W1</t>
        </is>
      </c>
      <c r="F185" s="61" t="inlineStr">
        <is>
          <t>K032</t>
        </is>
      </c>
      <c r="G185" s="64" t="n">
        <v>7.97</v>
      </c>
      <c r="H185" s="65" t="n"/>
      <c r="I185" s="66" t="n"/>
      <c r="J185" s="67">
        <f>VLOOKUP(C185,Recipes!$A$2:$N$4,10,FALSE())</f>
        <v/>
      </c>
      <c r="K185" s="68">
        <f>VLOOKUP(C185,Recipes!$A$2:$N$4,12,FALSE())</f>
        <v/>
      </c>
      <c r="L185" s="67">
        <f>J185-3*K185</f>
        <v/>
      </c>
      <c r="M185" s="67">
        <f>J185+3*K185</f>
        <v/>
      </c>
      <c r="N185" s="61">
        <f>IF(G185="","",IF(AND(G185&gt;=L185,G185&lt;=M185),"OK","NG"))</f>
        <v/>
      </c>
      <c r="O185" s="69">
        <f>IF(N185="","",IF(N185=D185,1,0))</f>
        <v/>
      </c>
      <c r="P185" s="67">
        <f>IF(G185="","",J185-G185)</f>
        <v/>
      </c>
      <c r="Q185" s="67">
        <f>IF(G185="","",ABS(P185-Components!$D$2)/Components!$E$2)</f>
        <v/>
      </c>
      <c r="R185" s="67">
        <f>IF(G185="","",ABS(P185-Components!$D$3)/Components!$E$3)</f>
        <v/>
      </c>
      <c r="S185" s="67">
        <f>IF(G185="","",ABS(P185-Components!$D$4)/Components!$E$4)</f>
        <v/>
      </c>
      <c r="T185" s="67">
        <f>IF(G185="","",ABS(P185-Components!$D$5)/Components!$E$5)</f>
        <v/>
      </c>
      <c r="U185" s="67">
        <f>IF(G185="","",ABS(P185-Components!$D$6)/Components!$E$6)</f>
        <v/>
      </c>
      <c r="V185" s="67">
        <f>IF(G185="","",ABS(P185-Components!$D$7)/Components!$E$7)</f>
        <v/>
      </c>
      <c r="W185" s="61">
        <f>IF(G185="","",IF(N185="OK","NONE",INDEX({"S1","S2","W1","W2","N1","N2"},MATCH(MIN(Q185:V185),Q185:V185,0))))</f>
        <v/>
      </c>
      <c r="X185" s="69">
        <f>IF(G185="","",IF(W185=E185,1,0))</f>
        <v/>
      </c>
    </row>
    <row r="186">
      <c r="A186" s="61" t="n">
        <v>33</v>
      </c>
      <c r="B186" s="62" t="n">
        <v>27</v>
      </c>
      <c r="C186" s="61" t="inlineStr">
        <is>
          <t>R4</t>
        </is>
      </c>
      <c r="D186" s="74" t="inlineStr">
        <is>
          <t>NG</t>
        </is>
      </c>
      <c r="E186" s="61" t="inlineStr">
        <is>
          <t>W1</t>
        </is>
      </c>
      <c r="F186" s="61" t="inlineStr">
        <is>
          <t>K033</t>
        </is>
      </c>
      <c r="G186" s="64" t="n">
        <v>7.94</v>
      </c>
      <c r="H186" s="65" t="n"/>
      <c r="I186" s="66" t="n"/>
      <c r="J186" s="67">
        <f>VLOOKUP(C186,Recipes!$A$2:$N$4,10,FALSE())</f>
        <v/>
      </c>
      <c r="K186" s="68">
        <f>VLOOKUP(C186,Recipes!$A$2:$N$4,12,FALSE())</f>
        <v/>
      </c>
      <c r="L186" s="67">
        <f>J186-3*K186</f>
        <v/>
      </c>
      <c r="M186" s="67">
        <f>J186+3*K186</f>
        <v/>
      </c>
      <c r="N186" s="61">
        <f>IF(G186="","",IF(AND(G186&gt;=L186,G186&lt;=M186),"OK","NG"))</f>
        <v/>
      </c>
      <c r="O186" s="69">
        <f>IF(N186="","",IF(N186=D186,1,0))</f>
        <v/>
      </c>
      <c r="P186" s="67">
        <f>IF(G186="","",J186-G186)</f>
        <v/>
      </c>
      <c r="Q186" s="67">
        <f>IF(G186="","",ABS(P186-Components!$D$2)/Components!$E$2)</f>
        <v/>
      </c>
      <c r="R186" s="67">
        <f>IF(G186="","",ABS(P186-Components!$D$3)/Components!$E$3)</f>
        <v/>
      </c>
      <c r="S186" s="67">
        <f>IF(G186="","",ABS(P186-Components!$D$4)/Components!$E$4)</f>
        <v/>
      </c>
      <c r="T186" s="67">
        <f>IF(G186="","",ABS(P186-Components!$D$5)/Components!$E$5)</f>
        <v/>
      </c>
      <c r="U186" s="67">
        <f>IF(G186="","",ABS(P186-Components!$D$6)/Components!$E$6)</f>
        <v/>
      </c>
      <c r="V186" s="67">
        <f>IF(G186="","",ABS(P186-Components!$D$7)/Components!$E$7)</f>
        <v/>
      </c>
      <c r="W186" s="61">
        <f>IF(G186="","",IF(N186="OK","NONE",INDEX({"S1","S2","W1","W2","N1","N2"},MATCH(MIN(Q186:V186),Q186:V186,0))))</f>
        <v/>
      </c>
      <c r="X186" s="69">
        <f>IF(G186="","",IF(W186=E186,1,0))</f>
        <v/>
      </c>
    </row>
    <row r="187">
      <c r="A187" s="76" t="n">
        <v>42</v>
      </c>
      <c r="B187" s="77" t="n">
        <v>48</v>
      </c>
      <c r="C187" s="76" t="inlineStr">
        <is>
          <t>R4</t>
        </is>
      </c>
      <c r="D187" s="78" t="inlineStr">
        <is>
          <t>NG</t>
        </is>
      </c>
      <c r="E187" s="76" t="inlineStr">
        <is>
          <t>W1</t>
        </is>
      </c>
      <c r="F187" s="76" t="inlineStr">
        <is>
          <t>K042</t>
        </is>
      </c>
      <c r="G187" s="75" t="n">
        <v>7.96</v>
      </c>
      <c r="H187" s="65" t="n"/>
      <c r="I187" s="66" t="n"/>
      <c r="J187" s="67">
        <f>VLOOKUP(C187,Recipes!$A$2:$N$4,10,FALSE())</f>
        <v/>
      </c>
      <c r="K187" s="68">
        <f>VLOOKUP(C187,Recipes!$A$2:$N$4,12,FALSE())</f>
        <v/>
      </c>
      <c r="L187" s="67">
        <f>J187-3*K187</f>
        <v/>
      </c>
      <c r="M187" s="67">
        <f>J187+3*K187</f>
        <v/>
      </c>
      <c r="N187" s="61">
        <f>IF(G187="","",IF(AND(G187&gt;=L187,G187&lt;=M187),"OK","NG"))</f>
        <v/>
      </c>
      <c r="O187" s="69">
        <f>IF(N187="","",IF(N187=D187,1,0))</f>
        <v/>
      </c>
      <c r="P187" s="67">
        <f>IF(G187="","",J187-G187)</f>
        <v/>
      </c>
      <c r="Q187" s="67">
        <f>IF(G187="","",ABS(P187-Components!$D$2)/Components!$E$2)</f>
        <v/>
      </c>
      <c r="R187" s="67">
        <f>IF(G187="","",ABS(P187-Components!$D$3)/Components!$E$3)</f>
        <v/>
      </c>
      <c r="S187" s="67">
        <f>IF(G187="","",ABS(P187-Components!$D$4)/Components!$E$4)</f>
        <v/>
      </c>
      <c r="T187" s="67">
        <f>IF(G187="","",ABS(P187-Components!$D$5)/Components!$E$5)</f>
        <v/>
      </c>
      <c r="U187" s="67">
        <f>IF(G187="","",ABS(P187-Components!$D$6)/Components!$E$6)</f>
        <v/>
      </c>
      <c r="V187" s="67">
        <f>IF(G187="","",ABS(P187-Components!$D$7)/Components!$E$7)</f>
        <v/>
      </c>
      <c r="W187" s="61">
        <f>IF(G187="","",IF(N187="OK","NONE",INDEX({"S1","S2","W1","W2","N1","N2"},MATCH(MIN(Q187:V187),Q187:V187,0))))</f>
        <v/>
      </c>
      <c r="X187" s="69">
        <f>IF(G187="","",IF(W187=E187,1,0))</f>
        <v/>
      </c>
    </row>
    <row r="188">
      <c r="A188" s="61" t="n">
        <v>41.4</v>
      </c>
      <c r="B188" s="62" t="n">
        <v>48.5</v>
      </c>
      <c r="C188" s="61" t="inlineStr">
        <is>
          <t>R4</t>
        </is>
      </c>
      <c r="D188" s="74" t="inlineStr">
        <is>
          <t>NG</t>
        </is>
      </c>
      <c r="E188" s="61" t="inlineStr">
        <is>
          <t>W1</t>
        </is>
      </c>
      <c r="F188" s="61" t="inlineStr">
        <is>
          <t>K030</t>
        </is>
      </c>
      <c r="G188" s="75" t="n">
        <v>8.02</v>
      </c>
      <c r="H188" s="65" t="n"/>
      <c r="I188" s="66" t="n"/>
      <c r="J188" s="67">
        <f>VLOOKUP(C188,Recipes!$A$2:$N$4,10,FALSE())</f>
        <v/>
      </c>
      <c r="K188" s="68">
        <f>VLOOKUP(C188,Recipes!$A$2:$N$4,12,FALSE())</f>
        <v/>
      </c>
      <c r="L188" s="67">
        <f>J188-3*K188</f>
        <v/>
      </c>
      <c r="M188" s="67">
        <f>J188+3*K188</f>
        <v/>
      </c>
      <c r="N188" s="61">
        <f>IF(G188="","",IF(AND(G188&gt;=L188,G188&lt;=M188),"OK","NG"))</f>
        <v/>
      </c>
      <c r="O188" s="69">
        <f>IF(N188="","",IF(N188=D188,1,0))</f>
        <v/>
      </c>
      <c r="P188" s="67">
        <f>IF(G188="","",J188-G188)</f>
        <v/>
      </c>
      <c r="Q188" s="67">
        <f>IF(G188="","",ABS(P188-Components!$D$2)/Components!$E$2)</f>
        <v/>
      </c>
      <c r="R188" s="67">
        <f>IF(G188="","",ABS(P188-Components!$D$3)/Components!$E$3)</f>
        <v/>
      </c>
      <c r="S188" s="67">
        <f>IF(G188="","",ABS(P188-Components!$D$4)/Components!$E$4)</f>
        <v/>
      </c>
      <c r="T188" s="67">
        <f>IF(G188="","",ABS(P188-Components!$D$5)/Components!$E$5)</f>
        <v/>
      </c>
      <c r="U188" s="67">
        <f>IF(G188="","",ABS(P188-Components!$D$6)/Components!$E$6)</f>
        <v/>
      </c>
      <c r="V188" s="67">
        <f>IF(G188="","",ABS(P188-Components!$D$7)/Components!$E$7)</f>
        <v/>
      </c>
      <c r="W188" s="61">
        <f>IF(G188="","",IF(N188="OK","NONE",INDEX({"S1","S2","W1","W2","N1","N2"},MATCH(MIN(Q188:V188),Q188:V188,0))))</f>
        <v/>
      </c>
      <c r="X188" s="69">
        <f>IF(G188="","",IF(W188=E188,1,0))</f>
        <v/>
      </c>
    </row>
    <row r="189">
      <c r="A189" s="61" t="n">
        <v>44</v>
      </c>
      <c r="B189" s="62" t="n">
        <v>53.8</v>
      </c>
      <c r="C189" s="61" t="inlineStr">
        <is>
          <t>R4</t>
        </is>
      </c>
      <c r="D189" s="74" t="inlineStr">
        <is>
          <t>NG</t>
        </is>
      </c>
      <c r="E189" s="61" t="inlineStr">
        <is>
          <t>W1</t>
        </is>
      </c>
      <c r="F189" s="61" t="inlineStr">
        <is>
          <t>K031</t>
        </is>
      </c>
      <c r="G189" s="75" t="n">
        <v>8.07</v>
      </c>
      <c r="H189" s="65" t="n"/>
      <c r="I189" s="66" t="n"/>
      <c r="J189" s="67">
        <f>VLOOKUP(C189,Recipes!$A$2:$N$4,10,FALSE())</f>
        <v/>
      </c>
      <c r="K189" s="68">
        <f>VLOOKUP(C189,Recipes!$A$2:$N$4,12,FALSE())</f>
        <v/>
      </c>
      <c r="L189" s="67">
        <f>J189-3*K189</f>
        <v/>
      </c>
      <c r="M189" s="67">
        <f>J189+3*K189</f>
        <v/>
      </c>
      <c r="N189" s="61">
        <f>IF(G189="","",IF(AND(G189&gt;=L189,G189&lt;=M189),"OK","NG"))</f>
        <v/>
      </c>
      <c r="O189" s="69">
        <f>IF(N189="","",IF(N189=D189,1,0))</f>
        <v/>
      </c>
      <c r="P189" s="67">
        <f>IF(G189="","",J189-G189)</f>
        <v/>
      </c>
      <c r="Q189" s="67">
        <f>IF(G189="","",ABS(P189-Components!$D$2)/Components!$E$2)</f>
        <v/>
      </c>
      <c r="R189" s="67">
        <f>IF(G189="","",ABS(P189-Components!$D$3)/Components!$E$3)</f>
        <v/>
      </c>
      <c r="S189" s="67">
        <f>IF(G189="","",ABS(P189-Components!$D$4)/Components!$E$4)</f>
        <v/>
      </c>
      <c r="T189" s="67">
        <f>IF(G189="","",ABS(P189-Components!$D$5)/Components!$E$5)</f>
        <v/>
      </c>
      <c r="U189" s="67">
        <f>IF(G189="","",ABS(P189-Components!$D$6)/Components!$E$6)</f>
        <v/>
      </c>
      <c r="V189" s="67">
        <f>IF(G189="","",ABS(P189-Components!$D$7)/Components!$E$7)</f>
        <v/>
      </c>
      <c r="W189" s="61">
        <f>IF(G189="","",IF(N189="OK","NONE",INDEX({"S1","S2","W1","W2","N1","N2"},MATCH(MIN(Q189:V189),Q189:V189,0))))</f>
        <v/>
      </c>
      <c r="X189" s="69">
        <f>IF(G189="","",IF(W189=E189,1,0))</f>
        <v/>
      </c>
    </row>
    <row r="190">
      <c r="A190" s="61" t="n">
        <v>46.6</v>
      </c>
      <c r="B190" s="62" t="n">
        <v>59.1</v>
      </c>
      <c r="C190" s="61" t="inlineStr">
        <is>
          <t>R4</t>
        </is>
      </c>
      <c r="D190" s="74" t="inlineStr">
        <is>
          <t>NG</t>
        </is>
      </c>
      <c r="E190" s="61" t="inlineStr">
        <is>
          <t>W1</t>
        </is>
      </c>
      <c r="F190" s="61" t="inlineStr">
        <is>
          <t>K032</t>
        </is>
      </c>
      <c r="G190" s="75" t="n">
        <v>7.89</v>
      </c>
      <c r="H190" s="65" t="n"/>
      <c r="I190" s="66" t="n"/>
      <c r="J190" s="67">
        <f>VLOOKUP(C190,Recipes!$A$2:$N$4,10,FALSE())</f>
        <v/>
      </c>
      <c r="K190" s="68">
        <f>VLOOKUP(C190,Recipes!$A$2:$N$4,12,FALSE())</f>
        <v/>
      </c>
      <c r="L190" s="67">
        <f>J190-3*K190</f>
        <v/>
      </c>
      <c r="M190" s="67">
        <f>J190+3*K190</f>
        <v/>
      </c>
      <c r="N190" s="61">
        <f>IF(G190="","",IF(AND(G190&gt;=L190,G190&lt;=M190),"OK","NG"))</f>
        <v/>
      </c>
      <c r="O190" s="69">
        <f>IF(N190="","",IF(N190=D190,1,0))</f>
        <v/>
      </c>
      <c r="P190" s="67">
        <f>IF(G190="","",J190-G190)</f>
        <v/>
      </c>
      <c r="Q190" s="67">
        <f>IF(G190="","",ABS(P190-Components!$D$2)/Components!$E$2)</f>
        <v/>
      </c>
      <c r="R190" s="67">
        <f>IF(G190="","",ABS(P190-Components!$D$3)/Components!$E$3)</f>
        <v/>
      </c>
      <c r="S190" s="67">
        <f>IF(G190="","",ABS(P190-Components!$D$4)/Components!$E$4)</f>
        <v/>
      </c>
      <c r="T190" s="67">
        <f>IF(G190="","",ABS(P190-Components!$D$5)/Components!$E$5)</f>
        <v/>
      </c>
      <c r="U190" s="67">
        <f>IF(G190="","",ABS(P190-Components!$D$6)/Components!$E$6)</f>
        <v/>
      </c>
      <c r="V190" s="67">
        <f>IF(G190="","",ABS(P190-Components!$D$7)/Components!$E$7)</f>
        <v/>
      </c>
      <c r="W190" s="61">
        <f>IF(G190="","",IF(N190="OK","NONE",INDEX({"S1","S2","W1","W2","N1","N2"},MATCH(MIN(Q190:V190),Q190:V190,0))))</f>
        <v/>
      </c>
      <c r="X190" s="71">
        <f>IF(G190="","",IF(W190=E190,1,0))</f>
        <v/>
      </c>
    </row>
    <row r="191">
      <c r="A191" s="61" t="n">
        <v>49.2</v>
      </c>
      <c r="B191" s="62" t="n">
        <v>64.40000000000001</v>
      </c>
      <c r="C191" s="61" t="inlineStr">
        <is>
          <t>R4</t>
        </is>
      </c>
      <c r="D191" s="74" t="inlineStr">
        <is>
          <t>NG</t>
        </is>
      </c>
      <c r="E191" s="61" t="inlineStr">
        <is>
          <t>W1</t>
        </is>
      </c>
      <c r="F191" s="61" t="inlineStr">
        <is>
          <t>K033</t>
        </is>
      </c>
      <c r="G191" s="75" t="n">
        <v>7.91</v>
      </c>
      <c r="H191" s="65" t="n"/>
      <c r="I191" s="66" t="n"/>
      <c r="J191" s="67">
        <f>VLOOKUP(C191,Recipes!$A$2:$N$4,10,FALSE())</f>
        <v/>
      </c>
      <c r="K191" s="68">
        <f>VLOOKUP(C191,Recipes!$A$2:$N$4,12,FALSE())</f>
        <v/>
      </c>
      <c r="L191" s="67">
        <f>J191-3*K191</f>
        <v/>
      </c>
      <c r="M191" s="67">
        <f>J191+3*K191</f>
        <v/>
      </c>
      <c r="N191" s="61">
        <f>IF(G191="","",IF(AND(G191&gt;=L191,G191&lt;=M191),"OK","NG"))</f>
        <v/>
      </c>
      <c r="O191" s="69">
        <f>IF(N191="","",IF(N191=D191,1,0))</f>
        <v/>
      </c>
      <c r="P191" s="67">
        <f>IF(G191="","",J191-G191)</f>
        <v/>
      </c>
      <c r="Q191" s="67">
        <f>IF(G191="","",ABS(P191-Components!$D$2)/Components!$E$2)</f>
        <v/>
      </c>
      <c r="R191" s="67">
        <f>IF(G191="","",ABS(P191-Components!$D$3)/Components!$E$3)</f>
        <v/>
      </c>
      <c r="S191" s="67">
        <f>IF(G191="","",ABS(P191-Components!$D$4)/Components!$E$4)</f>
        <v/>
      </c>
      <c r="T191" s="67">
        <f>IF(G191="","",ABS(P191-Components!$D$5)/Components!$E$5)</f>
        <v/>
      </c>
      <c r="U191" s="67">
        <f>IF(G191="","",ABS(P191-Components!$D$6)/Components!$E$6)</f>
        <v/>
      </c>
      <c r="V191" s="67">
        <f>IF(G191="","",ABS(P191-Components!$D$7)/Components!$E$7)</f>
        <v/>
      </c>
      <c r="W191" s="61">
        <f>IF(G191="","",IF(N191="OK","NONE",INDEX({"S1","S2","W1","W2","N1","N2"},MATCH(MIN(Q191:V191),Q191:V191,0))))</f>
        <v/>
      </c>
      <c r="X191" s="69">
        <f>IF(G191="","",IF(W191=E191,1,0))</f>
        <v/>
      </c>
    </row>
    <row r="192">
      <c r="A192" s="76" t="n">
        <v>51.8</v>
      </c>
      <c r="B192" s="77" t="n">
        <v>69.7</v>
      </c>
      <c r="C192" s="76" t="inlineStr">
        <is>
          <t>R4</t>
        </is>
      </c>
      <c r="D192" s="78" t="inlineStr">
        <is>
          <t>NG</t>
        </is>
      </c>
      <c r="E192" s="76" t="inlineStr">
        <is>
          <t>W1</t>
        </is>
      </c>
      <c r="F192" s="76" t="inlineStr">
        <is>
          <t>K042</t>
        </is>
      </c>
      <c r="G192" s="75" t="n">
        <v>7.95</v>
      </c>
      <c r="H192" s="65" t="n"/>
      <c r="I192" s="66" t="n"/>
      <c r="J192" s="67">
        <f>VLOOKUP(C192,Recipes!$A$2:$N$4,10,FALSE())</f>
        <v/>
      </c>
      <c r="K192" s="68">
        <f>VLOOKUP(C192,Recipes!$A$2:$N$4,12,FALSE())</f>
        <v/>
      </c>
      <c r="L192" s="67">
        <f>J192-3*K192</f>
        <v/>
      </c>
      <c r="M192" s="67">
        <f>J192+3*K192</f>
        <v/>
      </c>
      <c r="N192" s="61">
        <f>IF(G192="","",IF(AND(G192&gt;=L192,G192&lt;=M192),"OK","NG"))</f>
        <v/>
      </c>
      <c r="O192" s="69">
        <f>IF(N192="","",IF(N192=D192,1,0))</f>
        <v/>
      </c>
      <c r="P192" s="67">
        <f>IF(G192="","",J192-G192)</f>
        <v/>
      </c>
      <c r="Q192" s="67">
        <f>IF(G192="","",ABS(P192-Components!$D$2)/Components!$E$2)</f>
        <v/>
      </c>
      <c r="R192" s="67">
        <f>IF(G192="","",ABS(P192-Components!$D$3)/Components!$E$3)</f>
        <v/>
      </c>
      <c r="S192" s="67">
        <f>IF(G192="","",ABS(P192-Components!$D$4)/Components!$E$4)</f>
        <v/>
      </c>
      <c r="T192" s="67">
        <f>IF(G192="","",ABS(P192-Components!$D$5)/Components!$E$5)</f>
        <v/>
      </c>
      <c r="U192" s="67">
        <f>IF(G192="","",ABS(P192-Components!$D$6)/Components!$E$6)</f>
        <v/>
      </c>
      <c r="V192" s="67">
        <f>IF(G192="","",ABS(P192-Components!$D$7)/Components!$E$7)</f>
        <v/>
      </c>
      <c r="W192" s="61">
        <f>IF(G192="","",IF(N192="OK","NONE",INDEX({"S1","S2","W1","W2","N1","N2"},MATCH(MIN(Q192:V192),Q192:V192,0))))</f>
        <v/>
      </c>
      <c r="X192" s="69">
        <f>IF(G192="","",IF(W192=E192,1,0))</f>
        <v/>
      </c>
    </row>
    <row r="193">
      <c r="A193" s="61" t="n">
        <v>54.4</v>
      </c>
      <c r="B193" s="62" t="n">
        <v>75</v>
      </c>
      <c r="C193" s="61" t="inlineStr">
        <is>
          <t>R4</t>
        </is>
      </c>
      <c r="D193" s="74" t="inlineStr">
        <is>
          <t>NG</t>
        </is>
      </c>
      <c r="E193" s="61" t="inlineStr">
        <is>
          <t>W1</t>
        </is>
      </c>
      <c r="F193" s="61" t="inlineStr">
        <is>
          <t>K030</t>
        </is>
      </c>
      <c r="G193" s="75" t="n">
        <v>7.95</v>
      </c>
      <c r="H193" s="65" t="n"/>
      <c r="I193" s="66" t="n"/>
      <c r="J193" s="67">
        <f>VLOOKUP(C193,Recipes!$A$2:$N$4,10,FALSE())</f>
        <v/>
      </c>
      <c r="K193" s="68">
        <f>VLOOKUP(C193,Recipes!$A$2:$N$4,12,FALSE())</f>
        <v/>
      </c>
      <c r="L193" s="67">
        <f>J193-3*K193</f>
        <v/>
      </c>
      <c r="M193" s="67">
        <f>J193+3*K193</f>
        <v/>
      </c>
      <c r="N193" s="61">
        <f>IF(G193="","",IF(AND(G193&gt;=L193,G193&lt;=M193),"OK","NG"))</f>
        <v/>
      </c>
      <c r="O193" s="69">
        <f>IF(N193="","",IF(N193=D193,1,0))</f>
        <v/>
      </c>
      <c r="P193" s="67">
        <f>IF(G193="","",J193-G193)</f>
        <v/>
      </c>
      <c r="Q193" s="67">
        <f>IF(G193="","",ABS(P193-Components!$D$2)/Components!$E$2)</f>
        <v/>
      </c>
      <c r="R193" s="67">
        <f>IF(G193="","",ABS(P193-Components!$D$3)/Components!$E$3)</f>
        <v/>
      </c>
      <c r="S193" s="67">
        <f>IF(G193="","",ABS(P193-Components!$D$4)/Components!$E$4)</f>
        <v/>
      </c>
      <c r="T193" s="67">
        <f>IF(G193="","",ABS(P193-Components!$D$5)/Components!$E$5)</f>
        <v/>
      </c>
      <c r="U193" s="67">
        <f>IF(G193="","",ABS(P193-Components!$D$6)/Components!$E$6)</f>
        <v/>
      </c>
      <c r="V193" s="67">
        <f>IF(G193="","",ABS(P193-Components!$D$7)/Components!$E$7)</f>
        <v/>
      </c>
      <c r="W193" s="61">
        <f>IF(G193="","",IF(N193="OK","NONE",INDEX({"S1","S2","W1","W2","N1","N2"},MATCH(MIN(Q193:V193),Q193:V193,0))))</f>
        <v/>
      </c>
      <c r="X193" s="69">
        <f>IF(G193="","",IF(W193=E193,1,0))</f>
        <v/>
      </c>
    </row>
    <row r="194">
      <c r="A194" s="61" t="n">
        <v>57</v>
      </c>
      <c r="B194" s="62" t="n">
        <v>80.3</v>
      </c>
      <c r="C194" s="61" t="inlineStr">
        <is>
          <t>R4</t>
        </is>
      </c>
      <c r="D194" s="74" t="inlineStr">
        <is>
          <t>NG</t>
        </is>
      </c>
      <c r="E194" s="61" t="inlineStr">
        <is>
          <t>W1</t>
        </is>
      </c>
      <c r="F194" s="61" t="inlineStr">
        <is>
          <t>K031</t>
        </is>
      </c>
      <c r="G194" s="75" t="n">
        <v>7.9</v>
      </c>
      <c r="H194" s="65" t="n"/>
      <c r="I194" s="66" t="n"/>
      <c r="J194" s="67">
        <f>VLOOKUP(C194,Recipes!$A$2:$N$4,10,FALSE())</f>
        <v/>
      </c>
      <c r="K194" s="68">
        <f>VLOOKUP(C194,Recipes!$A$2:$N$4,12,FALSE())</f>
        <v/>
      </c>
      <c r="L194" s="67">
        <f>J194-3*K194</f>
        <v/>
      </c>
      <c r="M194" s="67">
        <f>J194+3*K194</f>
        <v/>
      </c>
      <c r="N194" s="61">
        <f>IF(G194="","",IF(AND(G194&gt;=L194,G194&lt;=M194),"OK","NG"))</f>
        <v/>
      </c>
      <c r="O194" s="69">
        <f>IF(N194="","",IF(N194=D194,1,0))</f>
        <v/>
      </c>
      <c r="P194" s="67">
        <f>IF(G194="","",J194-G194)</f>
        <v/>
      </c>
      <c r="Q194" s="67">
        <f>IF(G194="","",ABS(P194-Components!$D$2)/Components!$E$2)</f>
        <v/>
      </c>
      <c r="R194" s="67">
        <f>IF(G194="","",ABS(P194-Components!$D$3)/Components!$E$3)</f>
        <v/>
      </c>
      <c r="S194" s="67">
        <f>IF(G194="","",ABS(P194-Components!$D$4)/Components!$E$4)</f>
        <v/>
      </c>
      <c r="T194" s="67">
        <f>IF(G194="","",ABS(P194-Components!$D$5)/Components!$E$5)</f>
        <v/>
      </c>
      <c r="U194" s="67">
        <f>IF(G194="","",ABS(P194-Components!$D$6)/Components!$E$6)</f>
        <v/>
      </c>
      <c r="V194" s="67">
        <f>IF(G194="","",ABS(P194-Components!$D$7)/Components!$E$7)</f>
        <v/>
      </c>
      <c r="W194" s="61">
        <f>IF(G194="","",IF(N194="OK","NONE",INDEX({"S1","S2","W1","W2","N1","N2"},MATCH(MIN(Q194:V194),Q194:V194,0))))</f>
        <v/>
      </c>
      <c r="X194" s="69">
        <f>IF(G194="","",IF(W194=E194,1,0))</f>
        <v/>
      </c>
    </row>
    <row r="195">
      <c r="A195" s="61" t="n">
        <v>59.6</v>
      </c>
      <c r="B195" s="62" t="n">
        <v>85.59999999999999</v>
      </c>
      <c r="C195" s="61" t="inlineStr">
        <is>
          <t>R4</t>
        </is>
      </c>
      <c r="D195" s="74" t="inlineStr">
        <is>
          <t>NG</t>
        </is>
      </c>
      <c r="E195" s="61" t="inlineStr">
        <is>
          <t>W1</t>
        </is>
      </c>
      <c r="F195" s="61" t="inlineStr">
        <is>
          <t>K032</t>
        </is>
      </c>
      <c r="G195" s="75" t="n">
        <v>7.91</v>
      </c>
      <c r="H195" s="65" t="n"/>
      <c r="I195" s="66" t="n"/>
      <c r="J195" s="67">
        <f>VLOOKUP(C195,Recipes!$A$2:$N$4,10,FALSE())</f>
        <v/>
      </c>
      <c r="K195" s="68">
        <f>VLOOKUP(C195,Recipes!$A$2:$N$4,12,FALSE())</f>
        <v/>
      </c>
      <c r="L195" s="67">
        <f>J195-3*K195</f>
        <v/>
      </c>
      <c r="M195" s="67">
        <f>J195+3*K195</f>
        <v/>
      </c>
      <c r="N195" s="61">
        <f>IF(G195="","",IF(AND(G195&gt;=L195,G195&lt;=M195),"OK","NG"))</f>
        <v/>
      </c>
      <c r="O195" s="69">
        <f>IF(N195="","",IF(N195=D195,1,0))</f>
        <v/>
      </c>
      <c r="P195" s="67">
        <f>IF(G195="","",J195-G195)</f>
        <v/>
      </c>
      <c r="Q195" s="67">
        <f>IF(G195="","",ABS(P195-Components!$D$2)/Components!$E$2)</f>
        <v/>
      </c>
      <c r="R195" s="67">
        <f>IF(G195="","",ABS(P195-Components!$D$3)/Components!$E$3)</f>
        <v/>
      </c>
      <c r="S195" s="67">
        <f>IF(G195="","",ABS(P195-Components!$D$4)/Components!$E$4)</f>
        <v/>
      </c>
      <c r="T195" s="67">
        <f>IF(G195="","",ABS(P195-Components!$D$5)/Components!$E$5)</f>
        <v/>
      </c>
      <c r="U195" s="67">
        <f>IF(G195="","",ABS(P195-Components!$D$6)/Components!$E$6)</f>
        <v/>
      </c>
      <c r="V195" s="67">
        <f>IF(G195="","",ABS(P195-Components!$D$7)/Components!$E$7)</f>
        <v/>
      </c>
      <c r="W195" s="61">
        <f>IF(G195="","",IF(N195="OK","NONE",INDEX({"S1","S2","W1","W2","N1","N2"},MATCH(MIN(Q195:V195),Q195:V195,0))))</f>
        <v/>
      </c>
      <c r="X195" s="69">
        <f>IF(G195="","",IF(W195=E195,1,0))</f>
        <v/>
      </c>
    </row>
    <row r="196">
      <c r="A196" s="61" t="n">
        <v>62.2</v>
      </c>
      <c r="B196" s="62" t="n">
        <v>90.90000000000001</v>
      </c>
      <c r="C196" s="61" t="inlineStr">
        <is>
          <t>R4</t>
        </is>
      </c>
      <c r="D196" s="74" t="inlineStr">
        <is>
          <t>NG</t>
        </is>
      </c>
      <c r="E196" s="61" t="inlineStr">
        <is>
          <t>W1</t>
        </is>
      </c>
      <c r="F196" s="61" t="inlineStr">
        <is>
          <t>K033</t>
        </is>
      </c>
      <c r="G196" s="75" t="n">
        <v>7.98</v>
      </c>
      <c r="H196" s="65" t="n"/>
      <c r="I196" s="66" t="n"/>
      <c r="J196" s="67">
        <f>VLOOKUP(C196,Recipes!$A$2:$N$4,10,FALSE())</f>
        <v/>
      </c>
      <c r="K196" s="68">
        <f>VLOOKUP(C196,Recipes!$A$2:$N$4,12,FALSE())</f>
        <v/>
      </c>
      <c r="L196" s="67">
        <f>J196-3*K196</f>
        <v/>
      </c>
      <c r="M196" s="67">
        <f>J196+3*K196</f>
        <v/>
      </c>
      <c r="N196" s="61">
        <f>IF(G196="","",IF(AND(G196&gt;=L196,G196&lt;=M196),"OK","NG"))</f>
        <v/>
      </c>
      <c r="O196" s="69">
        <f>IF(N196="","",IF(N196=D196,1,0))</f>
        <v/>
      </c>
      <c r="P196" s="67">
        <f>IF(G196="","",J196-G196)</f>
        <v/>
      </c>
      <c r="Q196" s="67">
        <f>IF(G196="","",ABS(P196-Components!$D$2)/Components!$E$2)</f>
        <v/>
      </c>
      <c r="R196" s="67">
        <f>IF(G196="","",ABS(P196-Components!$D$3)/Components!$E$3)</f>
        <v/>
      </c>
      <c r="S196" s="67">
        <f>IF(G196="","",ABS(P196-Components!$D$4)/Components!$E$4)</f>
        <v/>
      </c>
      <c r="T196" s="67">
        <f>IF(G196="","",ABS(P196-Components!$D$5)/Components!$E$5)</f>
        <v/>
      </c>
      <c r="U196" s="67">
        <f>IF(G196="","",ABS(P196-Components!$D$6)/Components!$E$6)</f>
        <v/>
      </c>
      <c r="V196" s="67">
        <f>IF(G196="","",ABS(P196-Components!$D$7)/Components!$E$7)</f>
        <v/>
      </c>
      <c r="W196" s="61">
        <f>IF(G196="","",IF(N196="OK","NONE",INDEX({"S1","S2","W1","W2","N1","N2"},MATCH(MIN(Q196:V196),Q196:V196,0))))</f>
        <v/>
      </c>
      <c r="X196" s="69">
        <f>IF(G196="","",IF(W196=E196,1,0))</f>
        <v/>
      </c>
    </row>
    <row r="197">
      <c r="A197" s="76" t="n">
        <v>64.8</v>
      </c>
      <c r="B197" s="77" t="n">
        <v>96.2</v>
      </c>
      <c r="C197" s="76" t="inlineStr">
        <is>
          <t>R4</t>
        </is>
      </c>
      <c r="D197" s="78" t="inlineStr">
        <is>
          <t>NG</t>
        </is>
      </c>
      <c r="E197" s="76" t="inlineStr">
        <is>
          <t>W1</t>
        </is>
      </c>
      <c r="F197" s="76" t="inlineStr">
        <is>
          <t>K042</t>
        </is>
      </c>
      <c r="G197" s="75" t="n">
        <v>7.95</v>
      </c>
      <c r="H197" s="65" t="n"/>
      <c r="I197" s="66" t="n"/>
      <c r="J197" s="67">
        <f>VLOOKUP(C197,Recipes!$A$2:$N$4,10,FALSE())</f>
        <v/>
      </c>
      <c r="K197" s="68">
        <f>VLOOKUP(C197,Recipes!$A$2:$N$4,12,FALSE())</f>
        <v/>
      </c>
      <c r="L197" s="67">
        <f>J197-3*K197</f>
        <v/>
      </c>
      <c r="M197" s="67">
        <f>J197+3*K197</f>
        <v/>
      </c>
      <c r="N197" s="61">
        <f>IF(G197="","",IF(AND(G197&gt;=L197,G197&lt;=M197),"OK","NG"))</f>
        <v/>
      </c>
      <c r="O197" s="69">
        <f>IF(N197="","",IF(N197=D197,1,0))</f>
        <v/>
      </c>
      <c r="P197" s="67">
        <f>IF(G197="","",J197-G197)</f>
        <v/>
      </c>
      <c r="Q197" s="67">
        <f>IF(G197="","",ABS(P197-Components!$D$2)/Components!$E$2)</f>
        <v/>
      </c>
      <c r="R197" s="67">
        <f>IF(G197="","",ABS(P197-Components!$D$3)/Components!$E$3)</f>
        <v/>
      </c>
      <c r="S197" s="67">
        <f>IF(G197="","",ABS(P197-Components!$D$4)/Components!$E$4)</f>
        <v/>
      </c>
      <c r="T197" s="67">
        <f>IF(G197="","",ABS(P197-Components!$D$5)/Components!$E$5)</f>
        <v/>
      </c>
      <c r="U197" s="67">
        <f>IF(G197="","",ABS(P197-Components!$D$6)/Components!$E$6)</f>
        <v/>
      </c>
      <c r="V197" s="67">
        <f>IF(G197="","",ABS(P197-Components!$D$7)/Components!$E$7)</f>
        <v/>
      </c>
      <c r="W197" s="61">
        <f>IF(G197="","",IF(N197="OK","NONE",INDEX({"S1","S2","W1","W2","N1","N2"},MATCH(MIN(Q197:V197),Q197:V197,0))))</f>
        <v/>
      </c>
      <c r="X197" s="69">
        <f>IF(G197="","",IF(W197=E197,1,0))</f>
        <v/>
      </c>
    </row>
    <row r="198">
      <c r="A198" s="61" t="n">
        <v>67.40000000000001</v>
      </c>
      <c r="B198" s="62" t="n">
        <v>101.5</v>
      </c>
      <c r="C198" s="61" t="inlineStr">
        <is>
          <t>R4</t>
        </is>
      </c>
      <c r="D198" s="74" t="inlineStr">
        <is>
          <t>NG</t>
        </is>
      </c>
      <c r="E198" s="61" t="inlineStr">
        <is>
          <t>W1</t>
        </is>
      </c>
      <c r="F198" s="61" t="inlineStr">
        <is>
          <t>K030</t>
        </is>
      </c>
      <c r="G198" s="75" t="n">
        <v>7.964</v>
      </c>
      <c r="H198" s="65" t="n"/>
      <c r="I198" s="66" t="n"/>
      <c r="J198" s="67">
        <f>VLOOKUP(C198,Recipes!$A$2:$N$4,10,FALSE())</f>
        <v/>
      </c>
      <c r="K198" s="68">
        <f>VLOOKUP(C198,Recipes!$A$2:$N$4,12,FALSE())</f>
        <v/>
      </c>
      <c r="L198" s="67">
        <f>J198-3*K198</f>
        <v/>
      </c>
      <c r="M198" s="67">
        <f>J198+3*K198</f>
        <v/>
      </c>
      <c r="N198" s="61">
        <f>IF(G198="","",IF(AND(G198&gt;=L198,G198&lt;=M198),"OK","NG"))</f>
        <v/>
      </c>
      <c r="O198" s="69">
        <f>IF(N198="","",IF(N198=D198,1,0))</f>
        <v/>
      </c>
      <c r="P198" s="67">
        <f>IF(G198="","",J198-G198)</f>
        <v/>
      </c>
      <c r="Q198" s="67">
        <f>IF(G198="","",ABS(P198-Components!$D$2)/Components!$E$2)</f>
        <v/>
      </c>
      <c r="R198" s="67">
        <f>IF(G198="","",ABS(P198-Components!$D$3)/Components!$E$3)</f>
        <v/>
      </c>
      <c r="S198" s="67">
        <f>IF(G198="","",ABS(P198-Components!$D$4)/Components!$E$4)</f>
        <v/>
      </c>
      <c r="T198" s="67">
        <f>IF(G198="","",ABS(P198-Components!$D$5)/Components!$E$5)</f>
        <v/>
      </c>
      <c r="U198" s="67">
        <f>IF(G198="","",ABS(P198-Components!$D$6)/Components!$E$6)</f>
        <v/>
      </c>
      <c r="V198" s="67">
        <f>IF(G198="","",ABS(P198-Components!$D$7)/Components!$E$7)</f>
        <v/>
      </c>
      <c r="W198" s="61">
        <f>IF(G198="","",IF(N198="OK","NONE",INDEX({"S1","S2","W1","W2","N1","N2"},MATCH(MIN(Q198:V198),Q198:V198,0))))</f>
        <v/>
      </c>
      <c r="X198" s="69">
        <f>IF(G198="","",IF(W198=E198,1,0))</f>
        <v/>
      </c>
    </row>
    <row r="199">
      <c r="A199" s="61" t="n">
        <v>70</v>
      </c>
      <c r="B199" s="62" t="n">
        <v>106.8</v>
      </c>
      <c r="C199" s="61" t="inlineStr">
        <is>
          <t>R4</t>
        </is>
      </c>
      <c r="D199" s="74" t="inlineStr">
        <is>
          <t>NG</t>
        </is>
      </c>
      <c r="E199" s="61" t="inlineStr">
        <is>
          <t>W1</t>
        </is>
      </c>
      <c r="F199" s="61" t="inlineStr">
        <is>
          <t>K031</t>
        </is>
      </c>
      <c r="G199" s="75" t="n">
        <v>7.97</v>
      </c>
      <c r="H199" s="65" t="n"/>
      <c r="I199" s="66" t="n"/>
      <c r="J199" s="67">
        <f>VLOOKUP(C199,Recipes!$A$2:$N$4,10,FALSE())</f>
        <v/>
      </c>
      <c r="K199" s="68">
        <f>VLOOKUP(C199,Recipes!$A$2:$N$4,12,FALSE())</f>
        <v/>
      </c>
      <c r="L199" s="67">
        <f>J199-3*K199</f>
        <v/>
      </c>
      <c r="M199" s="67">
        <f>J199+3*K199</f>
        <v/>
      </c>
      <c r="N199" s="61">
        <f>IF(G199="","",IF(AND(G199&gt;=L199,G199&lt;=M199),"OK","NG"))</f>
        <v/>
      </c>
      <c r="O199" s="69">
        <f>IF(N199="","",IF(N199=D199,1,0))</f>
        <v/>
      </c>
      <c r="P199" s="67">
        <f>IF(G199="","",J199-G199)</f>
        <v/>
      </c>
      <c r="Q199" s="67">
        <f>IF(G199="","",ABS(P199-Components!$D$2)/Components!$E$2)</f>
        <v/>
      </c>
      <c r="R199" s="67">
        <f>IF(G199="","",ABS(P199-Components!$D$3)/Components!$E$3)</f>
        <v/>
      </c>
      <c r="S199" s="67">
        <f>IF(G199="","",ABS(P199-Components!$D$4)/Components!$E$4)</f>
        <v/>
      </c>
      <c r="T199" s="67">
        <f>IF(G199="","",ABS(P199-Components!$D$5)/Components!$E$5)</f>
        <v/>
      </c>
      <c r="U199" s="67">
        <f>IF(G199="","",ABS(P199-Components!$D$6)/Components!$E$6)</f>
        <v/>
      </c>
      <c r="V199" s="67">
        <f>IF(G199="","",ABS(P199-Components!$D$7)/Components!$E$7)</f>
        <v/>
      </c>
      <c r="W199" s="61">
        <f>IF(G199="","",IF(N199="OK","NONE",INDEX({"S1","S2","W1","W2","N1","N2"},MATCH(MIN(Q199:V199),Q199:V199,0))))</f>
        <v/>
      </c>
      <c r="X199" s="69">
        <f>IF(G199="","",IF(W199=E199,1,0))</f>
        <v/>
      </c>
    </row>
    <row r="200">
      <c r="A200" s="61" t="n">
        <v>72.59999999999999</v>
      </c>
      <c r="B200" s="62" t="n">
        <v>112.1</v>
      </c>
      <c r="C200" s="61" t="inlineStr">
        <is>
          <t>R4</t>
        </is>
      </c>
      <c r="D200" s="74" t="inlineStr">
        <is>
          <t>NG</t>
        </is>
      </c>
      <c r="E200" s="61" t="inlineStr">
        <is>
          <t>W1</t>
        </is>
      </c>
      <c r="F200" s="61" t="inlineStr">
        <is>
          <t>K032</t>
        </is>
      </c>
      <c r="G200" s="75" t="n">
        <v>7.91</v>
      </c>
      <c r="H200" s="65" t="n"/>
      <c r="I200" s="66" t="n"/>
      <c r="J200" s="67">
        <f>VLOOKUP(C200,Recipes!$A$2:$N$4,10,FALSE())</f>
        <v/>
      </c>
      <c r="K200" s="68">
        <f>VLOOKUP(C200,Recipes!$A$2:$N$4,12,FALSE())</f>
        <v/>
      </c>
      <c r="L200" s="67">
        <f>J200-3*K200</f>
        <v/>
      </c>
      <c r="M200" s="67">
        <f>J200+3*K200</f>
        <v/>
      </c>
      <c r="N200" s="61">
        <f>IF(G200="","",IF(AND(G200&gt;=L200,G200&lt;=M200),"OK","NG"))</f>
        <v/>
      </c>
      <c r="O200" s="69">
        <f>IF(N200="","",IF(N200=D200,1,0))</f>
        <v/>
      </c>
      <c r="P200" s="67">
        <f>IF(G200="","",J200-G200)</f>
        <v/>
      </c>
      <c r="Q200" s="67">
        <f>IF(G200="","",ABS(P200-Components!$D$2)/Components!$E$2)</f>
        <v/>
      </c>
      <c r="R200" s="67">
        <f>IF(G200="","",ABS(P200-Components!$D$3)/Components!$E$3)</f>
        <v/>
      </c>
      <c r="S200" s="67">
        <f>IF(G200="","",ABS(P200-Components!$D$4)/Components!$E$4)</f>
        <v/>
      </c>
      <c r="T200" s="67">
        <f>IF(G200="","",ABS(P200-Components!$D$5)/Components!$E$5)</f>
        <v/>
      </c>
      <c r="U200" s="67">
        <f>IF(G200="","",ABS(P200-Components!$D$6)/Components!$E$6)</f>
        <v/>
      </c>
      <c r="V200" s="67">
        <f>IF(G200="","",ABS(P200-Components!$D$7)/Components!$E$7)</f>
        <v/>
      </c>
      <c r="W200" s="61">
        <f>IF(G200="","",IF(N200="OK","NONE",INDEX({"S1","S2","W1","W2","N1","N2"},MATCH(MIN(Q200:V200),Q200:V200,0))))</f>
        <v/>
      </c>
      <c r="X200" s="69">
        <f>IF(G200="","",IF(W200=E200,1,0))</f>
        <v/>
      </c>
    </row>
    <row r="201">
      <c r="A201" s="61" t="n">
        <v>75.2</v>
      </c>
      <c r="B201" s="62" t="n">
        <v>117.4</v>
      </c>
      <c r="C201" s="61" t="inlineStr">
        <is>
          <t>R4</t>
        </is>
      </c>
      <c r="D201" s="74" t="inlineStr">
        <is>
          <t>NG</t>
        </is>
      </c>
      <c r="E201" s="61" t="inlineStr">
        <is>
          <t>W1</t>
        </is>
      </c>
      <c r="F201" s="61" t="inlineStr">
        <is>
          <t>K033</t>
        </is>
      </c>
      <c r="G201" s="75" t="n">
        <v>7.93</v>
      </c>
      <c r="H201" s="65" t="n"/>
      <c r="I201" s="66" t="n"/>
      <c r="J201" s="67">
        <f>VLOOKUP(C201,Recipes!$A$2:$N$4,10,FALSE())</f>
        <v/>
      </c>
      <c r="K201" s="68">
        <f>VLOOKUP(C201,Recipes!$A$2:$N$4,12,FALSE())</f>
        <v/>
      </c>
      <c r="L201" s="67">
        <f>J201-3*K201</f>
        <v/>
      </c>
      <c r="M201" s="67">
        <f>J201+3*K201</f>
        <v/>
      </c>
      <c r="N201" s="61">
        <f>IF(G201="","",IF(AND(G201&gt;=L201,G201&lt;=M201),"OK","NG"))</f>
        <v/>
      </c>
      <c r="O201" s="69">
        <f>IF(N201="","",IF(N201=D201,1,0))</f>
        <v/>
      </c>
      <c r="P201" s="67">
        <f>IF(G201="","",J201-G201)</f>
        <v/>
      </c>
      <c r="Q201" s="67">
        <f>IF(G201="","",ABS(P201-Components!$D$2)/Components!$E$2)</f>
        <v/>
      </c>
      <c r="R201" s="67">
        <f>IF(G201="","",ABS(P201-Components!$D$3)/Components!$E$3)</f>
        <v/>
      </c>
      <c r="S201" s="67">
        <f>IF(G201="","",ABS(P201-Components!$D$4)/Components!$E$4)</f>
        <v/>
      </c>
      <c r="T201" s="67">
        <f>IF(G201="","",ABS(P201-Components!$D$5)/Components!$E$5)</f>
        <v/>
      </c>
      <c r="U201" s="67">
        <f>IF(G201="","",ABS(P201-Components!$D$6)/Components!$E$6)</f>
        <v/>
      </c>
      <c r="V201" s="67">
        <f>IF(G201="","",ABS(P201-Components!$D$7)/Components!$E$7)</f>
        <v/>
      </c>
      <c r="W201" s="61">
        <f>IF(G201="","",IF(N201="OK","NONE",INDEX({"S1","S2","W1","W2","N1","N2"},MATCH(MIN(Q201:V201),Q201:V201,0))))</f>
        <v/>
      </c>
      <c r="X201" s="69">
        <f>IF(G201="","",IF(W201=E201,1,0))</f>
        <v/>
      </c>
    </row>
    <row r="202">
      <c r="A202" s="76" t="n">
        <v>77.8</v>
      </c>
      <c r="B202" s="77" t="n">
        <v>122.7</v>
      </c>
      <c r="C202" s="76" t="inlineStr">
        <is>
          <t>R4</t>
        </is>
      </c>
      <c r="D202" s="78" t="inlineStr">
        <is>
          <t>NG</t>
        </is>
      </c>
      <c r="E202" s="76" t="inlineStr">
        <is>
          <t>W1</t>
        </is>
      </c>
      <c r="F202" s="76" t="inlineStr">
        <is>
          <t>K042</t>
        </is>
      </c>
      <c r="G202" s="75" t="n">
        <v>7.94</v>
      </c>
      <c r="H202" s="65" t="n"/>
      <c r="I202" s="66" t="n"/>
      <c r="J202" s="67">
        <f>VLOOKUP(C202,Recipes!$A$2:$N$4,10,FALSE())</f>
        <v/>
      </c>
      <c r="K202" s="68">
        <f>VLOOKUP(C202,Recipes!$A$2:$N$4,12,FALSE())</f>
        <v/>
      </c>
      <c r="L202" s="67">
        <f>J202-3*K202</f>
        <v/>
      </c>
      <c r="M202" s="67">
        <f>J202+3*K202</f>
        <v/>
      </c>
      <c r="N202" s="61">
        <f>IF(G202="","",IF(AND(G202&gt;=L202,G202&lt;=M202),"OK","NG"))</f>
        <v/>
      </c>
      <c r="O202" s="69">
        <f>IF(N202="","",IF(N202=D202,1,0))</f>
        <v/>
      </c>
      <c r="P202" s="67">
        <f>IF(G202="","",J202-G202)</f>
        <v/>
      </c>
      <c r="Q202" s="67">
        <f>IF(G202="","",ABS(P202-Components!$D$2)/Components!$E$2)</f>
        <v/>
      </c>
      <c r="R202" s="67">
        <f>IF(G202="","",ABS(P202-Components!$D$3)/Components!$E$3)</f>
        <v/>
      </c>
      <c r="S202" s="67">
        <f>IF(G202="","",ABS(P202-Components!$D$4)/Components!$E$4)</f>
        <v/>
      </c>
      <c r="T202" s="67">
        <f>IF(G202="","",ABS(P202-Components!$D$5)/Components!$E$5)</f>
        <v/>
      </c>
      <c r="U202" s="67">
        <f>IF(G202="","",ABS(P202-Components!$D$6)/Components!$E$6)</f>
        <v/>
      </c>
      <c r="V202" s="67">
        <f>IF(G202="","",ABS(P202-Components!$D$7)/Components!$E$7)</f>
        <v/>
      </c>
      <c r="W202" s="61">
        <f>IF(G202="","",IF(N202="OK","NONE",INDEX({"S1","S2","W1","W2","N1","N2"},MATCH(MIN(Q202:V202),Q202:V202,0))))</f>
        <v/>
      </c>
      <c r="X202" s="69">
        <f>IF(G202="","",IF(W202=E202,1,0))</f>
        <v/>
      </c>
    </row>
    <row r="203">
      <c r="A203" s="61" t="n">
        <v>80.40000000000001</v>
      </c>
      <c r="B203" s="62" t="n">
        <v>128</v>
      </c>
      <c r="C203" s="61" t="inlineStr">
        <is>
          <t>R4</t>
        </is>
      </c>
      <c r="D203" s="74" t="inlineStr">
        <is>
          <t>NG</t>
        </is>
      </c>
      <c r="E203" s="61" t="inlineStr">
        <is>
          <t>W1</t>
        </is>
      </c>
      <c r="F203" s="61" t="inlineStr">
        <is>
          <t>K030</t>
        </is>
      </c>
      <c r="G203" s="75" t="n">
        <v>7.89</v>
      </c>
      <c r="H203" s="65" t="n"/>
      <c r="I203" s="66" t="n"/>
      <c r="J203" s="67">
        <f>VLOOKUP(C203,Recipes!$A$2:$N$4,10,FALSE())</f>
        <v/>
      </c>
      <c r="K203" s="68">
        <f>VLOOKUP(C203,Recipes!$A$2:$N$4,12,FALSE())</f>
        <v/>
      </c>
      <c r="L203" s="67">
        <f>J203-3*K203</f>
        <v/>
      </c>
      <c r="M203" s="67">
        <f>J203+3*K203</f>
        <v/>
      </c>
      <c r="N203" s="61">
        <f>IF(G203="","",IF(AND(G203&gt;=L203,G203&lt;=M203),"OK","NG"))</f>
        <v/>
      </c>
      <c r="O203" s="69">
        <f>IF(N203="","",IF(N203=D203,1,0))</f>
        <v/>
      </c>
      <c r="P203" s="67">
        <f>IF(G203="","",J203-G203)</f>
        <v/>
      </c>
      <c r="Q203" s="67">
        <f>IF(G203="","",ABS(P203-Components!$D$2)/Components!$E$2)</f>
        <v/>
      </c>
      <c r="R203" s="67">
        <f>IF(G203="","",ABS(P203-Components!$D$3)/Components!$E$3)</f>
        <v/>
      </c>
      <c r="S203" s="67">
        <f>IF(G203="","",ABS(P203-Components!$D$4)/Components!$E$4)</f>
        <v/>
      </c>
      <c r="T203" s="67">
        <f>IF(G203="","",ABS(P203-Components!$D$5)/Components!$E$5)</f>
        <v/>
      </c>
      <c r="U203" s="67">
        <f>IF(G203="","",ABS(P203-Components!$D$6)/Components!$E$6)</f>
        <v/>
      </c>
      <c r="V203" s="67">
        <f>IF(G203="","",ABS(P203-Components!$D$7)/Components!$E$7)</f>
        <v/>
      </c>
      <c r="W203" s="61">
        <f>IF(G203="","",IF(N203="OK","NONE",INDEX({"S1","S2","W1","W2","N1","N2"},MATCH(MIN(Q203:V203),Q203:V203,0))))</f>
        <v/>
      </c>
      <c r="X203" s="71">
        <f>IF(G203="","",IF(W203=E203,1,0))</f>
        <v/>
      </c>
    </row>
    <row r="204">
      <c r="A204" s="61" t="n">
        <v>83</v>
      </c>
      <c r="B204" s="62" t="n">
        <v>133.3</v>
      </c>
      <c r="C204" s="61" t="inlineStr">
        <is>
          <t>R4</t>
        </is>
      </c>
      <c r="D204" s="74" t="inlineStr">
        <is>
          <t>NG</t>
        </is>
      </c>
      <c r="E204" s="61" t="inlineStr">
        <is>
          <t>W1</t>
        </is>
      </c>
      <c r="F204" s="61" t="inlineStr">
        <is>
          <t>K031</t>
        </is>
      </c>
      <c r="G204" s="75" t="n">
        <v>7.95</v>
      </c>
      <c r="H204" s="65" t="n"/>
      <c r="I204" s="66" t="n"/>
      <c r="J204" s="67">
        <f>VLOOKUP(C204,Recipes!$A$2:$N$4,10,FALSE())</f>
        <v/>
      </c>
      <c r="K204" s="68">
        <f>VLOOKUP(C204,Recipes!$A$2:$N$4,12,FALSE())</f>
        <v/>
      </c>
      <c r="L204" s="67">
        <f>J204-3*K204</f>
        <v/>
      </c>
      <c r="M204" s="67">
        <f>J204+3*K204</f>
        <v/>
      </c>
      <c r="N204" s="61">
        <f>IF(G204="","",IF(AND(G204&gt;=L204,G204&lt;=M204),"OK","NG"))</f>
        <v/>
      </c>
      <c r="O204" s="69">
        <f>IF(N204="","",IF(N204=D204,1,0))</f>
        <v/>
      </c>
      <c r="P204" s="67">
        <f>IF(G204="","",J204-G204)</f>
        <v/>
      </c>
      <c r="Q204" s="67">
        <f>IF(G204="","",ABS(P204-Components!$D$2)/Components!$E$2)</f>
        <v/>
      </c>
      <c r="R204" s="67">
        <f>IF(G204="","",ABS(P204-Components!$D$3)/Components!$E$3)</f>
        <v/>
      </c>
      <c r="S204" s="67">
        <f>IF(G204="","",ABS(P204-Components!$D$4)/Components!$E$4)</f>
        <v/>
      </c>
      <c r="T204" s="67">
        <f>IF(G204="","",ABS(P204-Components!$D$5)/Components!$E$5)</f>
        <v/>
      </c>
      <c r="U204" s="67">
        <f>IF(G204="","",ABS(P204-Components!$D$6)/Components!$E$6)</f>
        <v/>
      </c>
      <c r="V204" s="67">
        <f>IF(G204="","",ABS(P204-Components!$D$7)/Components!$E$7)</f>
        <v/>
      </c>
      <c r="W204" s="61">
        <f>IF(G204="","",IF(N204="OK","NONE",INDEX({"S1","S2","W1","W2","N1","N2"},MATCH(MIN(Q204:V204),Q204:V204,0))))</f>
        <v/>
      </c>
      <c r="X204" s="69">
        <f>IF(G204="","",IF(W204=E204,1,0))</f>
        <v/>
      </c>
    </row>
    <row r="205">
      <c r="A205" s="61" t="n">
        <v>85.59999999999999</v>
      </c>
      <c r="B205" s="62" t="n">
        <v>138.6</v>
      </c>
      <c r="C205" s="61" t="inlineStr">
        <is>
          <t>R4</t>
        </is>
      </c>
      <c r="D205" s="74" t="inlineStr">
        <is>
          <t>NG</t>
        </is>
      </c>
      <c r="E205" s="61" t="inlineStr">
        <is>
          <t>W1</t>
        </is>
      </c>
      <c r="F205" s="61" t="inlineStr">
        <is>
          <t>K032</t>
        </is>
      </c>
      <c r="G205" s="75" t="n">
        <v>7.9</v>
      </c>
      <c r="H205" s="65" t="n"/>
      <c r="I205" s="66" t="n"/>
      <c r="J205" s="67">
        <f>VLOOKUP(C205,Recipes!$A$2:$N$4,10,FALSE())</f>
        <v/>
      </c>
      <c r="K205" s="68">
        <f>VLOOKUP(C205,Recipes!$A$2:$N$4,12,FALSE())</f>
        <v/>
      </c>
      <c r="L205" s="67">
        <f>J205-3*K205</f>
        <v/>
      </c>
      <c r="M205" s="67">
        <f>J205+3*K205</f>
        <v/>
      </c>
      <c r="N205" s="61">
        <f>IF(G205="","",IF(AND(G205&gt;=L205,G205&lt;=M205),"OK","NG"))</f>
        <v/>
      </c>
      <c r="O205" s="69">
        <f>IF(N205="","",IF(N205=D205,1,0))</f>
        <v/>
      </c>
      <c r="P205" s="67">
        <f>IF(G205="","",J205-G205)</f>
        <v/>
      </c>
      <c r="Q205" s="67">
        <f>IF(G205="","",ABS(P205-Components!$D$2)/Components!$E$2)</f>
        <v/>
      </c>
      <c r="R205" s="67">
        <f>IF(G205="","",ABS(P205-Components!$D$3)/Components!$E$3)</f>
        <v/>
      </c>
      <c r="S205" s="67">
        <f>IF(G205="","",ABS(P205-Components!$D$4)/Components!$E$4)</f>
        <v/>
      </c>
      <c r="T205" s="67">
        <f>IF(G205="","",ABS(P205-Components!$D$5)/Components!$E$5)</f>
        <v/>
      </c>
      <c r="U205" s="67">
        <f>IF(G205="","",ABS(P205-Components!$D$6)/Components!$E$6)</f>
        <v/>
      </c>
      <c r="V205" s="67">
        <f>IF(G205="","",ABS(P205-Components!$D$7)/Components!$E$7)</f>
        <v/>
      </c>
      <c r="W205" s="61">
        <f>IF(G205="","",IF(N205="OK","NONE",INDEX({"S1","S2","W1","W2","N1","N2"},MATCH(MIN(Q205:V205),Q205:V205,0))))</f>
        <v/>
      </c>
      <c r="X205" s="69">
        <f>IF(G205="","",IF(W205=E205,1,0))</f>
        <v/>
      </c>
    </row>
    <row r="206">
      <c r="A206" s="61" t="n">
        <v>88.2</v>
      </c>
      <c r="B206" s="62" t="n">
        <v>143.9</v>
      </c>
      <c r="C206" s="61" t="inlineStr">
        <is>
          <t>R4</t>
        </is>
      </c>
      <c r="D206" s="74" t="inlineStr">
        <is>
          <t>NG</t>
        </is>
      </c>
      <c r="E206" s="61" t="inlineStr">
        <is>
          <t>W1</t>
        </is>
      </c>
      <c r="F206" s="61" t="inlineStr">
        <is>
          <t>K033</t>
        </is>
      </c>
      <c r="G206" s="75" t="n">
        <v>7.99</v>
      </c>
      <c r="H206" s="65" t="n"/>
      <c r="I206" s="66" t="n"/>
      <c r="J206" s="67">
        <f>VLOOKUP(C206,Recipes!$A$2:$N$4,10,FALSE())</f>
        <v/>
      </c>
      <c r="K206" s="68">
        <f>VLOOKUP(C206,Recipes!$A$2:$N$4,12,FALSE())</f>
        <v/>
      </c>
      <c r="L206" s="67">
        <f>J206-3*K206</f>
        <v/>
      </c>
      <c r="M206" s="67">
        <f>J206+3*K206</f>
        <v/>
      </c>
      <c r="N206" s="61">
        <f>IF(G206="","",IF(AND(G206&gt;=L206,G206&lt;=M206),"OK","NG"))</f>
        <v/>
      </c>
      <c r="O206" s="69">
        <f>IF(N206="","",IF(N206=D206,1,0))</f>
        <v/>
      </c>
      <c r="P206" s="67">
        <f>IF(G206="","",J206-G206)</f>
        <v/>
      </c>
      <c r="Q206" s="67">
        <f>IF(G206="","",ABS(P206-Components!$D$2)/Components!$E$2)</f>
        <v/>
      </c>
      <c r="R206" s="67">
        <f>IF(G206="","",ABS(P206-Components!$D$3)/Components!$E$3)</f>
        <v/>
      </c>
      <c r="S206" s="67">
        <f>IF(G206="","",ABS(P206-Components!$D$4)/Components!$E$4)</f>
        <v/>
      </c>
      <c r="T206" s="67">
        <f>IF(G206="","",ABS(P206-Components!$D$5)/Components!$E$5)</f>
        <v/>
      </c>
      <c r="U206" s="67">
        <f>IF(G206="","",ABS(P206-Components!$D$6)/Components!$E$6)</f>
        <v/>
      </c>
      <c r="V206" s="67">
        <f>IF(G206="","",ABS(P206-Components!$D$7)/Components!$E$7)</f>
        <v/>
      </c>
      <c r="W206" s="61">
        <f>IF(G206="","",IF(N206="OK","NONE",INDEX({"S1","S2","W1","W2","N1","N2"},MATCH(MIN(Q206:V206),Q206:V206,0))))</f>
        <v/>
      </c>
      <c r="X206" s="69">
        <f>IF(G206="","",IF(W206=E206,1,0))</f>
        <v/>
      </c>
    </row>
    <row r="207">
      <c r="A207" s="76" t="n">
        <v>90.8</v>
      </c>
      <c r="B207" s="77" t="n">
        <v>149.2</v>
      </c>
      <c r="C207" s="76" t="inlineStr">
        <is>
          <t>R4</t>
        </is>
      </c>
      <c r="D207" s="78" t="inlineStr">
        <is>
          <t>NG</t>
        </is>
      </c>
      <c r="E207" s="76" t="inlineStr">
        <is>
          <t>W1</t>
        </is>
      </c>
      <c r="F207" s="76" t="inlineStr">
        <is>
          <t>K042</t>
        </is>
      </c>
      <c r="G207" s="75" t="n">
        <v>7.97</v>
      </c>
      <c r="H207" s="65" t="n"/>
      <c r="I207" s="66" t="n"/>
      <c r="J207" s="67">
        <f>VLOOKUP(C207,Recipes!$A$2:$N$4,10,FALSE())</f>
        <v/>
      </c>
      <c r="K207" s="68">
        <f>VLOOKUP(C207,Recipes!$A$2:$N$4,12,FALSE())</f>
        <v/>
      </c>
      <c r="L207" s="67">
        <f>J207-3*K207</f>
        <v/>
      </c>
      <c r="M207" s="67">
        <f>J207+3*K207</f>
        <v/>
      </c>
      <c r="N207" s="61">
        <f>IF(G207="","",IF(AND(G207&gt;=L207,G207&lt;=M207),"OK","NG"))</f>
        <v/>
      </c>
      <c r="O207" s="69">
        <f>IF(N207="","",IF(N207=D207,1,0))</f>
        <v/>
      </c>
      <c r="P207" s="67">
        <f>IF(G207="","",J207-G207)</f>
        <v/>
      </c>
      <c r="Q207" s="67">
        <f>IF(G207="","",ABS(P207-Components!$D$2)/Components!$E$2)</f>
        <v/>
      </c>
      <c r="R207" s="67">
        <f>IF(G207="","",ABS(P207-Components!$D$3)/Components!$E$3)</f>
        <v/>
      </c>
      <c r="S207" s="67">
        <f>IF(G207="","",ABS(P207-Components!$D$4)/Components!$E$4)</f>
        <v/>
      </c>
      <c r="T207" s="67">
        <f>IF(G207="","",ABS(P207-Components!$D$5)/Components!$E$5)</f>
        <v/>
      </c>
      <c r="U207" s="67">
        <f>IF(G207="","",ABS(P207-Components!$D$6)/Components!$E$6)</f>
        <v/>
      </c>
      <c r="V207" s="67">
        <f>IF(G207="","",ABS(P207-Components!$D$7)/Components!$E$7)</f>
        <v/>
      </c>
      <c r="W207" s="61">
        <f>IF(G207="","",IF(N207="OK","NONE",INDEX({"S1","S2","W1","W2","N1","N2"},MATCH(MIN(Q207:V207),Q207:V207,0))))</f>
        <v/>
      </c>
      <c r="X207" s="69">
        <f>IF(G207="","",IF(W207=E207,1,0))</f>
        <v/>
      </c>
    </row>
    <row r="208">
      <c r="A208" s="61" t="n">
        <v>93.40000000000001</v>
      </c>
      <c r="B208" s="62" t="n">
        <v>154.5</v>
      </c>
      <c r="C208" s="61" t="inlineStr">
        <is>
          <t>R4</t>
        </is>
      </c>
      <c r="D208" s="74" t="inlineStr">
        <is>
          <t>NG</t>
        </is>
      </c>
      <c r="E208" s="61" t="inlineStr">
        <is>
          <t>W1</t>
        </is>
      </c>
      <c r="F208" s="61" t="inlineStr">
        <is>
          <t>K030</t>
        </is>
      </c>
      <c r="G208" s="75" t="n">
        <v>7.96</v>
      </c>
      <c r="H208" s="65" t="n"/>
      <c r="I208" s="66" t="n"/>
      <c r="J208" s="67">
        <f>VLOOKUP(C208,Recipes!$A$2:$N$4,10,FALSE())</f>
        <v/>
      </c>
      <c r="K208" s="68">
        <f>VLOOKUP(C208,Recipes!$A$2:$N$4,12,FALSE())</f>
        <v/>
      </c>
      <c r="L208" s="67">
        <f>J208-3*K208</f>
        <v/>
      </c>
      <c r="M208" s="67">
        <f>J208+3*K208</f>
        <v/>
      </c>
      <c r="N208" s="61">
        <f>IF(G208="","",IF(AND(G208&gt;=L208,G208&lt;=M208),"OK","NG"))</f>
        <v/>
      </c>
      <c r="O208" s="69">
        <f>IF(N208="","",IF(N208=D208,1,0))</f>
        <v/>
      </c>
      <c r="P208" s="67">
        <f>IF(G208="","",J208-G208)</f>
        <v/>
      </c>
      <c r="Q208" s="67">
        <f>IF(G208="","",ABS(P208-Components!$D$2)/Components!$E$2)</f>
        <v/>
      </c>
      <c r="R208" s="67">
        <f>IF(G208="","",ABS(P208-Components!$D$3)/Components!$E$3)</f>
        <v/>
      </c>
      <c r="S208" s="67">
        <f>IF(G208="","",ABS(P208-Components!$D$4)/Components!$E$4)</f>
        <v/>
      </c>
      <c r="T208" s="67">
        <f>IF(G208="","",ABS(P208-Components!$D$5)/Components!$E$5)</f>
        <v/>
      </c>
      <c r="U208" s="67">
        <f>IF(G208="","",ABS(P208-Components!$D$6)/Components!$E$6)</f>
        <v/>
      </c>
      <c r="V208" s="67">
        <f>IF(G208="","",ABS(P208-Components!$D$7)/Components!$E$7)</f>
        <v/>
      </c>
      <c r="W208" s="61">
        <f>IF(G208="","",IF(N208="OK","NONE",INDEX({"S1","S2","W1","W2","N1","N2"},MATCH(MIN(Q208:V208),Q208:V208,0))))</f>
        <v/>
      </c>
      <c r="X208" s="69">
        <f>IF(G208="","",IF(W208=E208,1,0))</f>
        <v/>
      </c>
    </row>
    <row r="209">
      <c r="A209" s="61" t="n">
        <v>96</v>
      </c>
      <c r="B209" s="62" t="n">
        <v>159.8</v>
      </c>
      <c r="C209" s="61" t="inlineStr">
        <is>
          <t>R4</t>
        </is>
      </c>
      <c r="D209" s="74" t="inlineStr">
        <is>
          <t>NG</t>
        </is>
      </c>
      <c r="E209" s="61" t="inlineStr">
        <is>
          <t>W1</t>
        </is>
      </c>
      <c r="F209" s="61" t="inlineStr">
        <is>
          <t>K031</t>
        </is>
      </c>
      <c r="G209" s="75" t="n">
        <v>7.99</v>
      </c>
      <c r="H209" s="65" t="n"/>
      <c r="I209" s="66" t="n"/>
      <c r="J209" s="67">
        <f>VLOOKUP(C209,Recipes!$A$2:$N$4,10,FALSE())</f>
        <v/>
      </c>
      <c r="K209" s="68">
        <f>VLOOKUP(C209,Recipes!$A$2:$N$4,12,FALSE())</f>
        <v/>
      </c>
      <c r="L209" s="67">
        <f>J209-3*K209</f>
        <v/>
      </c>
      <c r="M209" s="67">
        <f>J209+3*K209</f>
        <v/>
      </c>
      <c r="N209" s="61">
        <f>IF(G209="","",IF(AND(G209&gt;=L209,G209&lt;=M209),"OK","NG"))</f>
        <v/>
      </c>
      <c r="O209" s="69">
        <f>IF(N209="","",IF(N209=D209,1,0))</f>
        <v/>
      </c>
      <c r="P209" s="67">
        <f>IF(G209="","",J209-G209)</f>
        <v/>
      </c>
      <c r="Q209" s="67">
        <f>IF(G209="","",ABS(P209-Components!$D$2)/Components!$E$2)</f>
        <v/>
      </c>
      <c r="R209" s="67">
        <f>IF(G209="","",ABS(P209-Components!$D$3)/Components!$E$3)</f>
        <v/>
      </c>
      <c r="S209" s="67">
        <f>IF(G209="","",ABS(P209-Components!$D$4)/Components!$E$4)</f>
        <v/>
      </c>
      <c r="T209" s="67">
        <f>IF(G209="","",ABS(P209-Components!$D$5)/Components!$E$5)</f>
        <v/>
      </c>
      <c r="U209" s="67">
        <f>IF(G209="","",ABS(P209-Components!$D$6)/Components!$E$6)</f>
        <v/>
      </c>
      <c r="V209" s="67">
        <f>IF(G209="","",ABS(P209-Components!$D$7)/Components!$E$7)</f>
        <v/>
      </c>
      <c r="W209" s="61">
        <f>IF(G209="","",IF(N209="OK","NONE",INDEX({"S1","S2","W1","W2","N1","N2"},MATCH(MIN(Q209:V209),Q209:V209,0))))</f>
        <v/>
      </c>
      <c r="X209" s="69">
        <f>IF(G209="","",IF(W209=E209,1,0))</f>
        <v/>
      </c>
    </row>
    <row r="210">
      <c r="A210" s="61" t="n">
        <v>98.59999999999999</v>
      </c>
      <c r="B210" s="62" t="n">
        <v>165.1</v>
      </c>
      <c r="C210" s="61" t="inlineStr">
        <is>
          <t>R4</t>
        </is>
      </c>
      <c r="D210" s="74" t="inlineStr">
        <is>
          <t>NG</t>
        </is>
      </c>
      <c r="E210" s="61" t="inlineStr">
        <is>
          <t>W1</t>
        </is>
      </c>
      <c r="F210" s="61" t="inlineStr">
        <is>
          <t>K032</t>
        </is>
      </c>
      <c r="G210" s="75" t="n">
        <v>7.87</v>
      </c>
      <c r="H210" s="65" t="n"/>
      <c r="I210" s="66" t="n"/>
      <c r="J210" s="67">
        <f>VLOOKUP(C210,Recipes!$A$2:$N$4,10,FALSE())</f>
        <v/>
      </c>
      <c r="K210" s="68">
        <f>VLOOKUP(C210,Recipes!$A$2:$N$4,12,FALSE())</f>
        <v/>
      </c>
      <c r="L210" s="67">
        <f>J210-3*K210</f>
        <v/>
      </c>
      <c r="M210" s="67">
        <f>J210+3*K210</f>
        <v/>
      </c>
      <c r="N210" s="61">
        <f>IF(G210="","",IF(AND(G210&gt;=L210,G210&lt;=M210),"OK","NG"))</f>
        <v/>
      </c>
      <c r="O210" s="69">
        <f>IF(N210="","",IF(N210=D210,1,0))</f>
        <v/>
      </c>
      <c r="P210" s="67">
        <f>IF(G210="","",J210-G210)</f>
        <v/>
      </c>
      <c r="Q210" s="67">
        <f>IF(G210="","",ABS(P210-Components!$D$2)/Components!$E$2)</f>
        <v/>
      </c>
      <c r="R210" s="67">
        <f>IF(G210="","",ABS(P210-Components!$D$3)/Components!$E$3)</f>
        <v/>
      </c>
      <c r="S210" s="67">
        <f>IF(G210="","",ABS(P210-Components!$D$4)/Components!$E$4)</f>
        <v/>
      </c>
      <c r="T210" s="67">
        <f>IF(G210="","",ABS(P210-Components!$D$5)/Components!$E$5)</f>
        <v/>
      </c>
      <c r="U210" s="67">
        <f>IF(G210="","",ABS(P210-Components!$D$6)/Components!$E$6)</f>
        <v/>
      </c>
      <c r="V210" s="67">
        <f>IF(G210="","",ABS(P210-Components!$D$7)/Components!$E$7)</f>
        <v/>
      </c>
      <c r="W210" s="61">
        <f>IF(G210="","",IF(N210="OK","NONE",INDEX({"S1","S2","W1","W2","N1","N2"},MATCH(MIN(Q210:V210),Q210:V210,0))))</f>
        <v/>
      </c>
      <c r="X210" s="71">
        <f>IF(G210="","",IF(W210=E210,1,0))</f>
        <v/>
      </c>
    </row>
    <row r="211">
      <c r="A211" s="61" t="n">
        <v>101.2</v>
      </c>
      <c r="B211" s="62" t="n">
        <v>170.4</v>
      </c>
      <c r="C211" s="61" t="inlineStr">
        <is>
          <t>R4</t>
        </is>
      </c>
      <c r="D211" s="74" t="inlineStr">
        <is>
          <t>NG</t>
        </is>
      </c>
      <c r="E211" s="61" t="inlineStr">
        <is>
          <t>W1</t>
        </is>
      </c>
      <c r="F211" s="61" t="inlineStr">
        <is>
          <t>K033</t>
        </is>
      </c>
      <c r="G211" s="75" t="n">
        <v>7.72</v>
      </c>
      <c r="H211" s="65" t="n"/>
      <c r="I211" s="66" t="n"/>
      <c r="J211" s="67">
        <f>VLOOKUP(C211,Recipes!$A$2:$N$4,10,FALSE())</f>
        <v/>
      </c>
      <c r="K211" s="68">
        <f>VLOOKUP(C211,Recipes!$A$2:$N$4,12,FALSE())</f>
        <v/>
      </c>
      <c r="L211" s="67">
        <f>J211-3*K211</f>
        <v/>
      </c>
      <c r="M211" s="67">
        <f>J211+3*K211</f>
        <v/>
      </c>
      <c r="N211" s="61">
        <f>IF(G211="","",IF(AND(G211&gt;=L211,G211&lt;=M211),"OK","NG"))</f>
        <v/>
      </c>
      <c r="O211" s="69">
        <f>IF(N211="","",IF(N211=D211,1,0))</f>
        <v/>
      </c>
      <c r="P211" s="67">
        <f>IF(G211="","",J211-G211)</f>
        <v/>
      </c>
      <c r="Q211" s="67">
        <f>IF(G211="","",ABS(P211-Components!$D$2)/Components!$E$2)</f>
        <v/>
      </c>
      <c r="R211" s="67">
        <f>IF(G211="","",ABS(P211-Components!$D$3)/Components!$E$3)</f>
        <v/>
      </c>
      <c r="S211" s="67">
        <f>IF(G211="","",ABS(P211-Components!$D$4)/Components!$E$4)</f>
        <v/>
      </c>
      <c r="T211" s="67">
        <f>IF(G211="","",ABS(P211-Components!$D$5)/Components!$E$5)</f>
        <v/>
      </c>
      <c r="U211" s="67">
        <f>IF(G211="","",ABS(P211-Components!$D$6)/Components!$E$6)</f>
        <v/>
      </c>
      <c r="V211" s="67">
        <f>IF(G211="","",ABS(P211-Components!$D$7)/Components!$E$7)</f>
        <v/>
      </c>
      <c r="W211" s="61">
        <f>IF(G211="","",IF(N211="OK","NONE",INDEX({"S1","S2","W1","W2","N1","N2"},MATCH(MIN(Q211:V211),Q211:V211,0))))</f>
        <v/>
      </c>
      <c r="X211" s="71">
        <f>IF(G211="","",IF(W211=E211,1,0))</f>
        <v/>
      </c>
    </row>
    <row r="212">
      <c r="A212" s="76" t="n">
        <v>103.8</v>
      </c>
      <c r="B212" s="77" t="n">
        <v>175.7</v>
      </c>
      <c r="C212" s="76" t="inlineStr">
        <is>
          <t>R4</t>
        </is>
      </c>
      <c r="D212" s="78" t="inlineStr">
        <is>
          <t>NG</t>
        </is>
      </c>
      <c r="E212" s="76" t="inlineStr">
        <is>
          <t>W1</t>
        </is>
      </c>
      <c r="F212" s="76" t="inlineStr">
        <is>
          <t>K042</t>
        </is>
      </c>
      <c r="G212" s="75" t="n">
        <v>7.95</v>
      </c>
      <c r="H212" s="65" t="n"/>
      <c r="I212" s="66" t="n"/>
      <c r="J212" s="67">
        <f>VLOOKUP(C212,Recipes!$A$2:$N$4,10,FALSE())</f>
        <v/>
      </c>
      <c r="K212" s="68">
        <f>VLOOKUP(C212,Recipes!$A$2:$N$4,12,FALSE())</f>
        <v/>
      </c>
      <c r="L212" s="67">
        <f>J212-3*K212</f>
        <v/>
      </c>
      <c r="M212" s="67">
        <f>J212+3*K212</f>
        <v/>
      </c>
      <c r="N212" s="61">
        <f>IF(G212="","",IF(AND(G212&gt;=L212,G212&lt;=M212),"OK","NG"))</f>
        <v/>
      </c>
      <c r="O212" s="69">
        <f>IF(N212="","",IF(N212=D212,1,0))</f>
        <v/>
      </c>
      <c r="P212" s="67">
        <f>IF(G212="","",J212-G212)</f>
        <v/>
      </c>
      <c r="Q212" s="67">
        <f>IF(G212="","",ABS(P212-Components!$D$2)/Components!$E$2)</f>
        <v/>
      </c>
      <c r="R212" s="67">
        <f>IF(G212="","",ABS(P212-Components!$D$3)/Components!$E$3)</f>
        <v/>
      </c>
      <c r="S212" s="67">
        <f>IF(G212="","",ABS(P212-Components!$D$4)/Components!$E$4)</f>
        <v/>
      </c>
      <c r="T212" s="67">
        <f>IF(G212="","",ABS(P212-Components!$D$5)/Components!$E$5)</f>
        <v/>
      </c>
      <c r="U212" s="67">
        <f>IF(G212="","",ABS(P212-Components!$D$6)/Components!$E$6)</f>
        <v/>
      </c>
      <c r="V212" s="67">
        <f>IF(G212="","",ABS(P212-Components!$D$7)/Components!$E$7)</f>
        <v/>
      </c>
      <c r="W212" s="61">
        <f>IF(G212="","",IF(N212="OK","NONE",INDEX({"S1","S2","W1","W2","N1","N2"},MATCH(MIN(Q212:V212),Q212:V212,0))))</f>
        <v/>
      </c>
      <c r="X212" s="69">
        <f>IF(G212="","",IF(W212=E212,1,0))</f>
        <v/>
      </c>
    </row>
    <row r="213">
      <c r="A213" s="61" t="n">
        <v>-17</v>
      </c>
      <c r="B213" s="62" t="n">
        <v>62.4999999999999</v>
      </c>
      <c r="C213" s="61" t="inlineStr">
        <is>
          <t>R4</t>
        </is>
      </c>
      <c r="D213" s="74" t="inlineStr">
        <is>
          <t>NG</t>
        </is>
      </c>
      <c r="E213" s="61" t="inlineStr">
        <is>
          <t>N1</t>
        </is>
      </c>
      <c r="F213" s="61" t="inlineStr">
        <is>
          <t>K034</t>
        </is>
      </c>
      <c r="G213" s="75" t="n">
        <v>7.72</v>
      </c>
      <c r="H213" s="65" t="n"/>
      <c r="I213" s="66" t="n"/>
      <c r="J213" s="67">
        <f>VLOOKUP(C213,Recipes!$A$2:$N$4,10,FALSE())</f>
        <v/>
      </c>
      <c r="K213" s="68">
        <f>VLOOKUP(C213,Recipes!$A$2:$N$4,12,FALSE())</f>
        <v/>
      </c>
      <c r="L213" s="67">
        <f>J213-3*K213</f>
        <v/>
      </c>
      <c r="M213" s="67">
        <f>J213+3*K213</f>
        <v/>
      </c>
      <c r="N213" s="61">
        <f>IF(G213="","",IF(AND(G213&gt;=L213,G213&lt;=M213),"OK","NG"))</f>
        <v/>
      </c>
      <c r="O213" s="69">
        <f>IF(N213="","",IF(N213=D213,1,0))</f>
        <v/>
      </c>
      <c r="P213" s="67">
        <f>IF(G213="","",J213-G213)</f>
        <v/>
      </c>
      <c r="Q213" s="67">
        <f>IF(G213="","",ABS(P213-Components!$D$2)/Components!$E$2)</f>
        <v/>
      </c>
      <c r="R213" s="67">
        <f>IF(G213="","",ABS(P213-Components!$D$3)/Components!$E$3)</f>
        <v/>
      </c>
      <c r="S213" s="67">
        <f>IF(G213="","",ABS(P213-Components!$D$4)/Components!$E$4)</f>
        <v/>
      </c>
      <c r="T213" s="67">
        <f>IF(G213="","",ABS(P213-Components!$D$5)/Components!$E$5)</f>
        <v/>
      </c>
      <c r="U213" s="67">
        <f>IF(G213="","",ABS(P213-Components!$D$6)/Components!$E$6)</f>
        <v/>
      </c>
      <c r="V213" s="67">
        <f>IF(G213="","",ABS(P213-Components!$D$7)/Components!$E$7)</f>
        <v/>
      </c>
      <c r="W213" s="61">
        <f>IF(G213="","",IF(N213="OK","NONE",INDEX({"S1","S2","W1","W2","N1","N2"},MATCH(MIN(Q213:V213),Q213:V213,0))))</f>
        <v/>
      </c>
      <c r="X213" s="69">
        <f>IF(G213="","",IF(W213=E213,1,0))</f>
        <v/>
      </c>
    </row>
    <row r="214">
      <c r="A214" s="61" t="n">
        <v>-15</v>
      </c>
      <c r="B214" s="62" t="n">
        <v>61.1999999999999</v>
      </c>
      <c r="C214" s="61" t="inlineStr">
        <is>
          <t>R4</t>
        </is>
      </c>
      <c r="D214" s="74" t="inlineStr">
        <is>
          <t>NG</t>
        </is>
      </c>
      <c r="E214" s="61" t="inlineStr">
        <is>
          <t>N1</t>
        </is>
      </c>
      <c r="F214" s="61" t="inlineStr">
        <is>
          <t>K035</t>
        </is>
      </c>
      <c r="G214" s="75" t="n">
        <v>7.75</v>
      </c>
      <c r="H214" s="65" t="n"/>
      <c r="I214" s="66" t="n"/>
      <c r="J214" s="67">
        <f>VLOOKUP(C214,Recipes!$A$2:$N$4,10,FALSE())</f>
        <v/>
      </c>
      <c r="K214" s="68">
        <f>VLOOKUP(C214,Recipes!$A$2:$N$4,12,FALSE())</f>
        <v/>
      </c>
      <c r="L214" s="67">
        <f>J214-3*K214</f>
        <v/>
      </c>
      <c r="M214" s="67">
        <f>J214+3*K214</f>
        <v/>
      </c>
      <c r="N214" s="61">
        <f>IF(G214="","",IF(AND(G214&gt;=L214,G214&lt;=M214),"OK","NG"))</f>
        <v/>
      </c>
      <c r="O214" s="69">
        <f>IF(N214="","",IF(N214=D214,1,0))</f>
        <v/>
      </c>
      <c r="P214" s="67">
        <f>IF(G214="","",J214-G214)</f>
        <v/>
      </c>
      <c r="Q214" s="67">
        <f>IF(G214="","",ABS(P214-Components!$D$2)/Components!$E$2)</f>
        <v/>
      </c>
      <c r="R214" s="67">
        <f>IF(G214="","",ABS(P214-Components!$D$3)/Components!$E$3)</f>
        <v/>
      </c>
      <c r="S214" s="67">
        <f>IF(G214="","",ABS(P214-Components!$D$4)/Components!$E$4)</f>
        <v/>
      </c>
      <c r="T214" s="67">
        <f>IF(G214="","",ABS(P214-Components!$D$5)/Components!$E$5)</f>
        <v/>
      </c>
      <c r="U214" s="67">
        <f>IF(G214="","",ABS(P214-Components!$D$6)/Components!$E$6)</f>
        <v/>
      </c>
      <c r="V214" s="67">
        <f>IF(G214="","",ABS(P214-Components!$D$7)/Components!$E$7)</f>
        <v/>
      </c>
      <c r="W214" s="61">
        <f>IF(G214="","",IF(N214="OK","NONE",INDEX({"S1","S2","W1","W2","N1","N2"},MATCH(MIN(Q214:V214),Q214:V214,0))))</f>
        <v/>
      </c>
      <c r="X214" s="69">
        <f>IF(G214="","",IF(W214=E214,1,0))</f>
        <v/>
      </c>
    </row>
    <row r="215">
      <c r="A215" s="61" t="n">
        <v>-13</v>
      </c>
      <c r="B215" s="62" t="n">
        <v>59.8999999999999</v>
      </c>
      <c r="C215" s="61" t="inlineStr">
        <is>
          <t>R4</t>
        </is>
      </c>
      <c r="D215" s="74" t="inlineStr">
        <is>
          <t>NG</t>
        </is>
      </c>
      <c r="E215" s="61" t="inlineStr">
        <is>
          <t>N1</t>
        </is>
      </c>
      <c r="F215" s="61" t="inlineStr">
        <is>
          <t>K036</t>
        </is>
      </c>
      <c r="G215" s="75" t="n">
        <v>7.8</v>
      </c>
      <c r="H215" s="65" t="n"/>
      <c r="I215" s="66" t="n"/>
      <c r="J215" s="67">
        <f>VLOOKUP(C215,Recipes!$A$2:$N$4,10,FALSE())</f>
        <v/>
      </c>
      <c r="K215" s="68">
        <f>VLOOKUP(C215,Recipes!$A$2:$N$4,12,FALSE())</f>
        <v/>
      </c>
      <c r="L215" s="67">
        <f>J215-3*K215</f>
        <v/>
      </c>
      <c r="M215" s="67">
        <f>J215+3*K215</f>
        <v/>
      </c>
      <c r="N215" s="61">
        <f>IF(G215="","",IF(AND(G215&gt;=L215,G215&lt;=M215),"OK","NG"))</f>
        <v/>
      </c>
      <c r="O215" s="69">
        <f>IF(N215="","",IF(N215=D215,1,0))</f>
        <v/>
      </c>
      <c r="P215" s="67">
        <f>IF(G215="","",J215-G215)</f>
        <v/>
      </c>
      <c r="Q215" s="67">
        <f>IF(G215="","",ABS(P215-Components!$D$2)/Components!$E$2)</f>
        <v/>
      </c>
      <c r="R215" s="67">
        <f>IF(G215="","",ABS(P215-Components!$D$3)/Components!$E$3)</f>
        <v/>
      </c>
      <c r="S215" s="67">
        <f>IF(G215="","",ABS(P215-Components!$D$4)/Components!$E$4)</f>
        <v/>
      </c>
      <c r="T215" s="67">
        <f>IF(G215="","",ABS(P215-Components!$D$5)/Components!$E$5)</f>
        <v/>
      </c>
      <c r="U215" s="67">
        <f>IF(G215="","",ABS(P215-Components!$D$6)/Components!$E$6)</f>
        <v/>
      </c>
      <c r="V215" s="67">
        <f>IF(G215="","",ABS(P215-Components!$D$7)/Components!$E$7)</f>
        <v/>
      </c>
      <c r="W215" s="61">
        <f>IF(G215="","",IF(N215="OK","NONE",INDEX({"S1","S2","W1","W2","N1","N2"},MATCH(MIN(Q215:V215),Q215:V215,0))))</f>
        <v/>
      </c>
      <c r="X215" s="69">
        <f>IF(G215="","",IF(W215=E215,1,0))</f>
        <v/>
      </c>
    </row>
    <row r="216">
      <c r="A216" s="61" t="n">
        <v>-11</v>
      </c>
      <c r="B216" s="62" t="n">
        <v>58.5999999999999</v>
      </c>
      <c r="C216" s="61" t="inlineStr">
        <is>
          <t>R4</t>
        </is>
      </c>
      <c r="D216" s="74" t="inlineStr">
        <is>
          <t>NG</t>
        </is>
      </c>
      <c r="E216" s="61" t="inlineStr">
        <is>
          <t>N1</t>
        </is>
      </c>
      <c r="F216" s="61" t="inlineStr">
        <is>
          <t>K037</t>
        </is>
      </c>
      <c r="G216" s="75" t="n">
        <v>7.77</v>
      </c>
      <c r="H216" s="65" t="n"/>
      <c r="I216" s="66" t="n"/>
      <c r="J216" s="67">
        <f>VLOOKUP(C216,Recipes!$A$2:$N$4,10,FALSE())</f>
        <v/>
      </c>
      <c r="K216" s="68">
        <f>VLOOKUP(C216,Recipes!$A$2:$N$4,12,FALSE())</f>
        <v/>
      </c>
      <c r="L216" s="67">
        <f>J216-3*K216</f>
        <v/>
      </c>
      <c r="M216" s="67">
        <f>J216+3*K216</f>
        <v/>
      </c>
      <c r="N216" s="61">
        <f>IF(G216="","",IF(AND(G216&gt;=L216,G216&lt;=M216),"OK","NG"))</f>
        <v/>
      </c>
      <c r="O216" s="69">
        <f>IF(N216="","",IF(N216=D216,1,0))</f>
        <v/>
      </c>
      <c r="P216" s="67">
        <f>IF(G216="","",J216-G216)</f>
        <v/>
      </c>
      <c r="Q216" s="67">
        <f>IF(G216="","",ABS(P216-Components!$D$2)/Components!$E$2)</f>
        <v/>
      </c>
      <c r="R216" s="67">
        <f>IF(G216="","",ABS(P216-Components!$D$3)/Components!$E$3)</f>
        <v/>
      </c>
      <c r="S216" s="67">
        <f>IF(G216="","",ABS(P216-Components!$D$4)/Components!$E$4)</f>
        <v/>
      </c>
      <c r="T216" s="67">
        <f>IF(G216="","",ABS(P216-Components!$D$5)/Components!$E$5)</f>
        <v/>
      </c>
      <c r="U216" s="67">
        <f>IF(G216="","",ABS(P216-Components!$D$6)/Components!$E$6)</f>
        <v/>
      </c>
      <c r="V216" s="67">
        <f>IF(G216="","",ABS(P216-Components!$D$7)/Components!$E$7)</f>
        <v/>
      </c>
      <c r="W216" s="61">
        <f>IF(G216="","",IF(N216="OK","NONE",INDEX({"S1","S2","W1","W2","N1","N2"},MATCH(MIN(Q216:V216),Q216:V216,0))))</f>
        <v/>
      </c>
      <c r="X216" s="69">
        <f>IF(G216="","",IF(W216=E216,1,0))</f>
        <v/>
      </c>
    </row>
    <row r="217">
      <c r="A217" s="76" t="n">
        <v>-9</v>
      </c>
      <c r="B217" s="77" t="n">
        <v>57.3</v>
      </c>
      <c r="C217" s="76" t="inlineStr">
        <is>
          <t>R4</t>
        </is>
      </c>
      <c r="D217" s="78" t="inlineStr">
        <is>
          <t>NG</t>
        </is>
      </c>
      <c r="E217" s="76" t="inlineStr">
        <is>
          <t>N1</t>
        </is>
      </c>
      <c r="F217" s="76" t="inlineStr">
        <is>
          <t>K043</t>
        </is>
      </c>
      <c r="G217" s="75" t="n">
        <v>7.78</v>
      </c>
      <c r="H217" s="65" t="n"/>
      <c r="I217" s="66" t="n"/>
      <c r="J217" s="67">
        <f>VLOOKUP(C217,Recipes!$A$2:$N$4,10,FALSE())</f>
        <v/>
      </c>
      <c r="K217" s="68">
        <f>VLOOKUP(C217,Recipes!$A$2:$N$4,12,FALSE())</f>
        <v/>
      </c>
      <c r="L217" s="67">
        <f>J217-3*K217</f>
        <v/>
      </c>
      <c r="M217" s="67">
        <f>J217+3*K217</f>
        <v/>
      </c>
      <c r="N217" s="61">
        <f>IF(G217="","",IF(AND(G217&gt;=L217,G217&lt;=M217),"OK","NG"))</f>
        <v/>
      </c>
      <c r="O217" s="69">
        <f>IF(N217="","",IF(N217=D217,1,0))</f>
        <v/>
      </c>
      <c r="P217" s="67">
        <f>IF(G217="","",J217-G217)</f>
        <v/>
      </c>
      <c r="Q217" s="67">
        <f>IF(G217="","",ABS(P217-Components!$D$2)/Components!$E$2)</f>
        <v/>
      </c>
      <c r="R217" s="67">
        <f>IF(G217="","",ABS(P217-Components!$D$3)/Components!$E$3)</f>
        <v/>
      </c>
      <c r="S217" s="67">
        <f>IF(G217="","",ABS(P217-Components!$D$4)/Components!$E$4)</f>
        <v/>
      </c>
      <c r="T217" s="67">
        <f>IF(G217="","",ABS(P217-Components!$D$5)/Components!$E$5)</f>
        <v/>
      </c>
      <c r="U217" s="67">
        <f>IF(G217="","",ABS(P217-Components!$D$6)/Components!$E$6)</f>
        <v/>
      </c>
      <c r="V217" s="67">
        <f>IF(G217="","",ABS(P217-Components!$D$7)/Components!$E$7)</f>
        <v/>
      </c>
      <c r="W217" s="61">
        <f>IF(G217="","",IF(N217="OK","NONE",INDEX({"S1","S2","W1","W2","N1","N2"},MATCH(MIN(Q217:V217),Q217:V217,0))))</f>
        <v/>
      </c>
      <c r="X217" s="69">
        <f>IF(G217="","",IF(W217=E217,1,0))</f>
        <v/>
      </c>
    </row>
    <row r="218">
      <c r="A218" s="61" t="n">
        <v>-7</v>
      </c>
      <c r="B218" s="62" t="n">
        <v>56</v>
      </c>
      <c r="C218" s="61" t="inlineStr">
        <is>
          <t>R4</t>
        </is>
      </c>
      <c r="D218" s="74" t="inlineStr">
        <is>
          <t>NG</t>
        </is>
      </c>
      <c r="E218" s="61" t="inlineStr">
        <is>
          <t>N1</t>
        </is>
      </c>
      <c r="F218" s="61" t="inlineStr">
        <is>
          <t>K034</t>
        </is>
      </c>
      <c r="G218" s="75" t="n">
        <v>7.82</v>
      </c>
      <c r="H218" s="65" t="n"/>
      <c r="I218" s="66" t="n"/>
      <c r="J218" s="67">
        <f>VLOOKUP(C218,Recipes!$A$2:$N$4,10,FALSE())</f>
        <v/>
      </c>
      <c r="K218" s="68">
        <f>VLOOKUP(C218,Recipes!$A$2:$N$4,12,FALSE())</f>
        <v/>
      </c>
      <c r="L218" s="67">
        <f>J218-3*K218</f>
        <v/>
      </c>
      <c r="M218" s="67">
        <f>J218+3*K218</f>
        <v/>
      </c>
      <c r="N218" s="61">
        <f>IF(G218="","",IF(AND(G218&gt;=L218,G218&lt;=M218),"OK","NG"))</f>
        <v/>
      </c>
      <c r="O218" s="69">
        <f>IF(N218="","",IF(N218=D218,1,0))</f>
        <v/>
      </c>
      <c r="P218" s="67">
        <f>IF(G218="","",J218-G218)</f>
        <v/>
      </c>
      <c r="Q218" s="67">
        <f>IF(G218="","",ABS(P218-Components!$D$2)/Components!$E$2)</f>
        <v/>
      </c>
      <c r="R218" s="67">
        <f>IF(G218="","",ABS(P218-Components!$D$3)/Components!$E$3)</f>
        <v/>
      </c>
      <c r="S218" s="67">
        <f>IF(G218="","",ABS(P218-Components!$D$4)/Components!$E$4)</f>
        <v/>
      </c>
      <c r="T218" s="67">
        <f>IF(G218="","",ABS(P218-Components!$D$5)/Components!$E$5)</f>
        <v/>
      </c>
      <c r="U218" s="67">
        <f>IF(G218="","",ABS(P218-Components!$D$6)/Components!$E$6)</f>
        <v/>
      </c>
      <c r="V218" s="67">
        <f>IF(G218="","",ABS(P218-Components!$D$7)/Components!$E$7)</f>
        <v/>
      </c>
      <c r="W218" s="61">
        <f>IF(G218="","",IF(N218="OK","NONE",INDEX({"S1","S2","W1","W2","N1","N2"},MATCH(MIN(Q218:V218),Q218:V218,0))))</f>
        <v/>
      </c>
      <c r="X218" s="69">
        <f>IF(G218="","",IF(W218=E218,1,0))</f>
        <v/>
      </c>
    </row>
    <row r="219">
      <c r="A219" s="61" t="n">
        <v>-5</v>
      </c>
      <c r="B219" s="62" t="n">
        <v>54.7</v>
      </c>
      <c r="C219" s="61" t="inlineStr">
        <is>
          <t>R4</t>
        </is>
      </c>
      <c r="D219" s="74" t="inlineStr">
        <is>
          <t>NG</t>
        </is>
      </c>
      <c r="E219" s="61" t="inlineStr">
        <is>
          <t>N1</t>
        </is>
      </c>
      <c r="F219" s="61" t="inlineStr">
        <is>
          <t>K035</t>
        </is>
      </c>
      <c r="G219" s="75" t="n">
        <v>7.78</v>
      </c>
      <c r="H219" s="65" t="n"/>
      <c r="I219" s="66" t="n"/>
      <c r="J219" s="67">
        <f>VLOOKUP(C219,Recipes!$A$2:$N$4,10,FALSE())</f>
        <v/>
      </c>
      <c r="K219" s="68">
        <f>VLOOKUP(C219,Recipes!$A$2:$N$4,12,FALSE())</f>
        <v/>
      </c>
      <c r="L219" s="67">
        <f>J219-3*K219</f>
        <v/>
      </c>
      <c r="M219" s="67">
        <f>J219+3*K219</f>
        <v/>
      </c>
      <c r="N219" s="61">
        <f>IF(G219="","",IF(AND(G219&gt;=L219,G219&lt;=M219),"OK","NG"))</f>
        <v/>
      </c>
      <c r="O219" s="69">
        <f>IF(N219="","",IF(N219=D219,1,0))</f>
        <v/>
      </c>
      <c r="P219" s="67">
        <f>IF(G219="","",J219-G219)</f>
        <v/>
      </c>
      <c r="Q219" s="67">
        <f>IF(G219="","",ABS(P219-Components!$D$2)/Components!$E$2)</f>
        <v/>
      </c>
      <c r="R219" s="67">
        <f>IF(G219="","",ABS(P219-Components!$D$3)/Components!$E$3)</f>
        <v/>
      </c>
      <c r="S219" s="67">
        <f>IF(G219="","",ABS(P219-Components!$D$4)/Components!$E$4)</f>
        <v/>
      </c>
      <c r="T219" s="67">
        <f>IF(G219="","",ABS(P219-Components!$D$5)/Components!$E$5)</f>
        <v/>
      </c>
      <c r="U219" s="67">
        <f>IF(G219="","",ABS(P219-Components!$D$6)/Components!$E$6)</f>
        <v/>
      </c>
      <c r="V219" s="67">
        <f>IF(G219="","",ABS(P219-Components!$D$7)/Components!$E$7)</f>
        <v/>
      </c>
      <c r="W219" s="61">
        <f>IF(G219="","",IF(N219="OK","NONE",INDEX({"S1","S2","W1","W2","N1","N2"},MATCH(MIN(Q219:V219),Q219:V219,0))))</f>
        <v/>
      </c>
      <c r="X219" s="69">
        <f>IF(G219="","",IF(W219=E219,1,0))</f>
        <v/>
      </c>
    </row>
    <row r="220">
      <c r="A220" s="61" t="n">
        <v>-3</v>
      </c>
      <c r="B220" s="62" t="n">
        <v>53.4</v>
      </c>
      <c r="C220" s="61" t="inlineStr">
        <is>
          <t>R4</t>
        </is>
      </c>
      <c r="D220" s="74" t="inlineStr">
        <is>
          <t>NG</t>
        </is>
      </c>
      <c r="E220" s="61" t="inlineStr">
        <is>
          <t>N1</t>
        </is>
      </c>
      <c r="F220" s="61" t="inlineStr">
        <is>
          <t>K036</t>
        </is>
      </c>
      <c r="G220" s="75" t="n">
        <v>7.52</v>
      </c>
      <c r="H220" s="65" t="n"/>
      <c r="I220" s="66" t="n"/>
      <c r="J220" s="67">
        <f>VLOOKUP(C220,Recipes!$A$2:$N$4,10,FALSE())</f>
        <v/>
      </c>
      <c r="K220" s="68">
        <f>VLOOKUP(C220,Recipes!$A$2:$N$4,12,FALSE())</f>
        <v/>
      </c>
      <c r="L220" s="67">
        <f>J220-3*K220</f>
        <v/>
      </c>
      <c r="M220" s="67">
        <f>J220+3*K220</f>
        <v/>
      </c>
      <c r="N220" s="61">
        <f>IF(G220="","",IF(AND(G220&gt;=L220,G220&lt;=M220),"OK","NG"))</f>
        <v/>
      </c>
      <c r="O220" s="69">
        <f>IF(N220="","",IF(N220=D220,1,0))</f>
        <v/>
      </c>
      <c r="P220" s="67">
        <f>IF(G220="","",J220-G220)</f>
        <v/>
      </c>
      <c r="Q220" s="67">
        <f>IF(G220="","",ABS(P220-Components!$D$2)/Components!$E$2)</f>
        <v/>
      </c>
      <c r="R220" s="67">
        <f>IF(G220="","",ABS(P220-Components!$D$3)/Components!$E$3)</f>
        <v/>
      </c>
      <c r="S220" s="67">
        <f>IF(G220="","",ABS(P220-Components!$D$4)/Components!$E$4)</f>
        <v/>
      </c>
      <c r="T220" s="67">
        <f>IF(G220="","",ABS(P220-Components!$D$5)/Components!$E$5)</f>
        <v/>
      </c>
      <c r="U220" s="67">
        <f>IF(G220="","",ABS(P220-Components!$D$6)/Components!$E$6)</f>
        <v/>
      </c>
      <c r="V220" s="67">
        <f>IF(G220="","",ABS(P220-Components!$D$7)/Components!$E$7)</f>
        <v/>
      </c>
      <c r="W220" s="61">
        <f>IF(G220="","",IF(N220="OK","NONE",INDEX({"S1","S2","W1","W2","N1","N2"},MATCH(MIN(Q220:V220),Q220:V220,0))))</f>
        <v/>
      </c>
      <c r="X220" s="71">
        <f>IF(G220="","",IF(W220=E220,1,0))</f>
        <v/>
      </c>
    </row>
    <row r="221">
      <c r="A221" s="61" t="n">
        <v>-1</v>
      </c>
      <c r="B221" s="62" t="n">
        <v>52.1</v>
      </c>
      <c r="C221" s="61" t="inlineStr">
        <is>
          <t>R4</t>
        </is>
      </c>
      <c r="D221" s="74" t="inlineStr">
        <is>
          <t>NG</t>
        </is>
      </c>
      <c r="E221" s="61" t="inlineStr">
        <is>
          <t>N1</t>
        </is>
      </c>
      <c r="F221" s="61" t="inlineStr">
        <is>
          <t>K037</t>
        </is>
      </c>
      <c r="G221" s="75" t="n">
        <v>7.75</v>
      </c>
      <c r="H221" s="65" t="n"/>
      <c r="I221" s="66" t="n"/>
      <c r="J221" s="67">
        <f>VLOOKUP(C221,Recipes!$A$2:$N$4,10,FALSE())</f>
        <v/>
      </c>
      <c r="K221" s="68">
        <f>VLOOKUP(C221,Recipes!$A$2:$N$4,12,FALSE())</f>
        <v/>
      </c>
      <c r="L221" s="67">
        <f>J221-3*K221</f>
        <v/>
      </c>
      <c r="M221" s="67">
        <f>J221+3*K221</f>
        <v/>
      </c>
      <c r="N221" s="61">
        <f>IF(G221="","",IF(AND(G221&gt;=L221,G221&lt;=M221),"OK","NG"))</f>
        <v/>
      </c>
      <c r="O221" s="69">
        <f>IF(N221="","",IF(N221=D221,1,0))</f>
        <v/>
      </c>
      <c r="P221" s="67">
        <f>IF(G221="","",J221-G221)</f>
        <v/>
      </c>
      <c r="Q221" s="67">
        <f>IF(G221="","",ABS(P221-Components!$D$2)/Components!$E$2)</f>
        <v/>
      </c>
      <c r="R221" s="67">
        <f>IF(G221="","",ABS(P221-Components!$D$3)/Components!$E$3)</f>
        <v/>
      </c>
      <c r="S221" s="67">
        <f>IF(G221="","",ABS(P221-Components!$D$4)/Components!$E$4)</f>
        <v/>
      </c>
      <c r="T221" s="67">
        <f>IF(G221="","",ABS(P221-Components!$D$5)/Components!$E$5)</f>
        <v/>
      </c>
      <c r="U221" s="67">
        <f>IF(G221="","",ABS(P221-Components!$D$6)/Components!$E$6)</f>
        <v/>
      </c>
      <c r="V221" s="67">
        <f>IF(G221="","",ABS(P221-Components!$D$7)/Components!$E$7)</f>
        <v/>
      </c>
      <c r="W221" s="61">
        <f>IF(G221="","",IF(N221="OK","NONE",INDEX({"S1","S2","W1","W2","N1","N2"},MATCH(MIN(Q221:V221),Q221:V221,0))))</f>
        <v/>
      </c>
      <c r="X221" s="69">
        <f>IF(G221="","",IF(W221=E221,1,0))</f>
        <v/>
      </c>
    </row>
    <row r="222">
      <c r="A222" s="76" t="n">
        <v>1</v>
      </c>
      <c r="B222" s="77" t="n">
        <v>50.8</v>
      </c>
      <c r="C222" s="76" t="inlineStr">
        <is>
          <t>R4</t>
        </is>
      </c>
      <c r="D222" s="78" t="inlineStr">
        <is>
          <t>NG</t>
        </is>
      </c>
      <c r="E222" s="76" t="inlineStr">
        <is>
          <t>N1</t>
        </is>
      </c>
      <c r="F222" s="76" t="inlineStr">
        <is>
          <t>K043</t>
        </is>
      </c>
      <c r="G222" s="75" t="n">
        <v>7.76</v>
      </c>
      <c r="H222" s="65" t="n"/>
      <c r="I222" s="66" t="n"/>
      <c r="J222" s="67">
        <f>VLOOKUP(C222,Recipes!$A$2:$N$4,10,FALSE())</f>
        <v/>
      </c>
      <c r="K222" s="68">
        <f>VLOOKUP(C222,Recipes!$A$2:$N$4,12,FALSE())</f>
        <v/>
      </c>
      <c r="L222" s="67">
        <f>J222-3*K222</f>
        <v/>
      </c>
      <c r="M222" s="67">
        <f>J222+3*K222</f>
        <v/>
      </c>
      <c r="N222" s="61">
        <f>IF(G222="","",IF(AND(G222&gt;=L222,G222&lt;=M222),"OK","NG"))</f>
        <v/>
      </c>
      <c r="O222" s="69">
        <f>IF(N222="","",IF(N222=D222,1,0))</f>
        <v/>
      </c>
      <c r="P222" s="67">
        <f>IF(G222="","",J222-G222)</f>
        <v/>
      </c>
      <c r="Q222" s="67">
        <f>IF(G222="","",ABS(P222-Components!$D$2)/Components!$E$2)</f>
        <v/>
      </c>
      <c r="R222" s="67">
        <f>IF(G222="","",ABS(P222-Components!$D$3)/Components!$E$3)</f>
        <v/>
      </c>
      <c r="S222" s="67">
        <f>IF(G222="","",ABS(P222-Components!$D$4)/Components!$E$4)</f>
        <v/>
      </c>
      <c r="T222" s="67">
        <f>IF(G222="","",ABS(P222-Components!$D$5)/Components!$E$5)</f>
        <v/>
      </c>
      <c r="U222" s="67">
        <f>IF(G222="","",ABS(P222-Components!$D$6)/Components!$E$6)</f>
        <v/>
      </c>
      <c r="V222" s="67">
        <f>IF(G222="","",ABS(P222-Components!$D$7)/Components!$E$7)</f>
        <v/>
      </c>
      <c r="W222" s="61">
        <f>IF(G222="","",IF(N222="OK","NONE",INDEX({"S1","S2","W1","W2","N1","N2"},MATCH(MIN(Q222:V222),Q222:V222,0))))</f>
        <v/>
      </c>
      <c r="X222" s="69">
        <f>IF(G222="","",IF(W222=E222,1,0))</f>
        <v/>
      </c>
    </row>
    <row r="223">
      <c r="A223" s="61" t="n">
        <v>3</v>
      </c>
      <c r="B223" s="62" t="n">
        <v>49.5</v>
      </c>
      <c r="C223" s="61" t="inlineStr">
        <is>
          <t>R4</t>
        </is>
      </c>
      <c r="D223" s="74" t="inlineStr">
        <is>
          <t>NG</t>
        </is>
      </c>
      <c r="E223" s="61" t="inlineStr">
        <is>
          <t>N1</t>
        </is>
      </c>
      <c r="F223" s="61" t="inlineStr">
        <is>
          <t>K034</t>
        </is>
      </c>
      <c r="G223" s="75" t="n">
        <v>7.78</v>
      </c>
      <c r="H223" s="65" t="n"/>
      <c r="I223" s="66" t="n"/>
      <c r="J223" s="67">
        <f>VLOOKUP(C223,Recipes!$A$2:$N$4,10,FALSE())</f>
        <v/>
      </c>
      <c r="K223" s="68">
        <f>VLOOKUP(C223,Recipes!$A$2:$N$4,12,FALSE())</f>
        <v/>
      </c>
      <c r="L223" s="67">
        <f>J223-3*K223</f>
        <v/>
      </c>
      <c r="M223" s="67">
        <f>J223+3*K223</f>
        <v/>
      </c>
      <c r="N223" s="61">
        <f>IF(G223="","",IF(AND(G223&gt;=L223,G223&lt;=M223),"OK","NG"))</f>
        <v/>
      </c>
      <c r="O223" s="69">
        <f>IF(N223="","",IF(N223=D223,1,0))</f>
        <v/>
      </c>
      <c r="P223" s="67">
        <f>IF(G223="","",J223-G223)</f>
        <v/>
      </c>
      <c r="Q223" s="67">
        <f>IF(G223="","",ABS(P223-Components!$D$2)/Components!$E$2)</f>
        <v/>
      </c>
      <c r="R223" s="67">
        <f>IF(G223="","",ABS(P223-Components!$D$3)/Components!$E$3)</f>
        <v/>
      </c>
      <c r="S223" s="67">
        <f>IF(G223="","",ABS(P223-Components!$D$4)/Components!$E$4)</f>
        <v/>
      </c>
      <c r="T223" s="67">
        <f>IF(G223="","",ABS(P223-Components!$D$5)/Components!$E$5)</f>
        <v/>
      </c>
      <c r="U223" s="67">
        <f>IF(G223="","",ABS(P223-Components!$D$6)/Components!$E$6)</f>
        <v/>
      </c>
      <c r="V223" s="67">
        <f>IF(G223="","",ABS(P223-Components!$D$7)/Components!$E$7)</f>
        <v/>
      </c>
      <c r="W223" s="61">
        <f>IF(G223="","",IF(N223="OK","NONE",INDEX({"S1","S2","W1","W2","N1","N2"},MATCH(MIN(Q223:V223),Q223:V223,0))))</f>
        <v/>
      </c>
      <c r="X223" s="69">
        <f>IF(G223="","",IF(W223=E223,1,0))</f>
        <v/>
      </c>
    </row>
    <row r="224">
      <c r="A224" s="61" t="n">
        <v>5</v>
      </c>
      <c r="B224" s="62" t="n">
        <v>48.2</v>
      </c>
      <c r="C224" s="61" t="inlineStr">
        <is>
          <t>R4</t>
        </is>
      </c>
      <c r="D224" s="74" t="inlineStr">
        <is>
          <t>NG</t>
        </is>
      </c>
      <c r="E224" s="61" t="inlineStr">
        <is>
          <t>N1</t>
        </is>
      </c>
      <c r="F224" s="61" t="inlineStr">
        <is>
          <t>K035</t>
        </is>
      </c>
      <c r="G224" s="75" t="n">
        <v>7.82</v>
      </c>
      <c r="H224" s="65" t="n"/>
      <c r="I224" s="66" t="n"/>
      <c r="J224" s="67">
        <f>VLOOKUP(C224,Recipes!$A$2:$N$4,10,FALSE())</f>
        <v/>
      </c>
      <c r="K224" s="68">
        <f>VLOOKUP(C224,Recipes!$A$2:$N$4,12,FALSE())</f>
        <v/>
      </c>
      <c r="L224" s="67">
        <f>J224-3*K224</f>
        <v/>
      </c>
      <c r="M224" s="67">
        <f>J224+3*K224</f>
        <v/>
      </c>
      <c r="N224" s="61">
        <f>IF(G224="","",IF(AND(G224&gt;=L224,G224&lt;=M224),"OK","NG"))</f>
        <v/>
      </c>
      <c r="O224" s="69">
        <f>IF(N224="","",IF(N224=D224,1,0))</f>
        <v/>
      </c>
      <c r="P224" s="67">
        <f>IF(G224="","",J224-G224)</f>
        <v/>
      </c>
      <c r="Q224" s="67">
        <f>IF(G224="","",ABS(P224-Components!$D$2)/Components!$E$2)</f>
        <v/>
      </c>
      <c r="R224" s="67">
        <f>IF(G224="","",ABS(P224-Components!$D$3)/Components!$E$3)</f>
        <v/>
      </c>
      <c r="S224" s="67">
        <f>IF(G224="","",ABS(P224-Components!$D$4)/Components!$E$4)</f>
        <v/>
      </c>
      <c r="T224" s="67">
        <f>IF(G224="","",ABS(P224-Components!$D$5)/Components!$E$5)</f>
        <v/>
      </c>
      <c r="U224" s="67">
        <f>IF(G224="","",ABS(P224-Components!$D$6)/Components!$E$6)</f>
        <v/>
      </c>
      <c r="V224" s="67">
        <f>IF(G224="","",ABS(P224-Components!$D$7)/Components!$E$7)</f>
        <v/>
      </c>
      <c r="W224" s="61">
        <f>IF(G224="","",IF(N224="OK","NONE",INDEX({"S1","S2","W1","W2","N1","N2"},MATCH(MIN(Q224:V224),Q224:V224,0))))</f>
        <v/>
      </c>
      <c r="X224" s="69">
        <f>IF(G224="","",IF(W224=E224,1,0))</f>
        <v/>
      </c>
    </row>
    <row r="225">
      <c r="A225" s="61" t="n">
        <v>7</v>
      </c>
      <c r="B225" s="62" t="n">
        <v>46.9</v>
      </c>
      <c r="C225" s="61" t="inlineStr">
        <is>
          <t>R4</t>
        </is>
      </c>
      <c r="D225" s="74" t="inlineStr">
        <is>
          <t>NG</t>
        </is>
      </c>
      <c r="E225" s="61" t="inlineStr">
        <is>
          <t>N1</t>
        </is>
      </c>
      <c r="F225" s="61" t="inlineStr">
        <is>
          <t>K036</t>
        </is>
      </c>
      <c r="G225" s="75" t="n">
        <v>7.8</v>
      </c>
      <c r="H225" s="65" t="n"/>
      <c r="I225" s="66" t="n"/>
      <c r="J225" s="67">
        <f>VLOOKUP(C225,Recipes!$A$2:$N$4,10,FALSE())</f>
        <v/>
      </c>
      <c r="K225" s="68">
        <f>VLOOKUP(C225,Recipes!$A$2:$N$4,12,FALSE())</f>
        <v/>
      </c>
      <c r="L225" s="67">
        <f>J225-3*K225</f>
        <v/>
      </c>
      <c r="M225" s="67">
        <f>J225+3*K225</f>
        <v/>
      </c>
      <c r="N225" s="61">
        <f>IF(G225="","",IF(AND(G225&gt;=L225,G225&lt;=M225),"OK","NG"))</f>
        <v/>
      </c>
      <c r="O225" s="69">
        <f>IF(N225="","",IF(N225=D225,1,0))</f>
        <v/>
      </c>
      <c r="P225" s="67">
        <f>IF(G225="","",J225-G225)</f>
        <v/>
      </c>
      <c r="Q225" s="67">
        <f>IF(G225="","",ABS(P225-Components!$D$2)/Components!$E$2)</f>
        <v/>
      </c>
      <c r="R225" s="67">
        <f>IF(G225="","",ABS(P225-Components!$D$3)/Components!$E$3)</f>
        <v/>
      </c>
      <c r="S225" s="67">
        <f>IF(G225="","",ABS(P225-Components!$D$4)/Components!$E$4)</f>
        <v/>
      </c>
      <c r="T225" s="67">
        <f>IF(G225="","",ABS(P225-Components!$D$5)/Components!$E$5)</f>
        <v/>
      </c>
      <c r="U225" s="67">
        <f>IF(G225="","",ABS(P225-Components!$D$6)/Components!$E$6)</f>
        <v/>
      </c>
      <c r="V225" s="67">
        <f>IF(G225="","",ABS(P225-Components!$D$7)/Components!$E$7)</f>
        <v/>
      </c>
      <c r="W225" s="61">
        <f>IF(G225="","",IF(N225="OK","NONE",INDEX({"S1","S2","W1","W2","N1","N2"},MATCH(MIN(Q225:V225),Q225:V225,0))))</f>
        <v/>
      </c>
      <c r="X225" s="69">
        <f>IF(G225="","",IF(W225=E225,1,0))</f>
        <v/>
      </c>
    </row>
    <row r="226">
      <c r="A226" s="61" t="n">
        <v>9</v>
      </c>
      <c r="B226" s="62" t="n">
        <v>45.6</v>
      </c>
      <c r="C226" s="61" t="inlineStr">
        <is>
          <t>R4</t>
        </is>
      </c>
      <c r="D226" s="74" t="inlineStr">
        <is>
          <t>NG</t>
        </is>
      </c>
      <c r="E226" s="61" t="inlineStr">
        <is>
          <t>N1</t>
        </is>
      </c>
      <c r="F226" s="61" t="inlineStr">
        <is>
          <t>K037</t>
        </is>
      </c>
      <c r="G226" s="75" t="n">
        <v>7.75</v>
      </c>
      <c r="H226" s="65" t="n"/>
      <c r="I226" s="66" t="n"/>
      <c r="J226" s="67">
        <f>VLOOKUP(C226,Recipes!$A$2:$N$4,10,FALSE())</f>
        <v/>
      </c>
      <c r="K226" s="68">
        <f>VLOOKUP(C226,Recipes!$A$2:$N$4,12,FALSE())</f>
        <v/>
      </c>
      <c r="L226" s="67">
        <f>J226-3*K226</f>
        <v/>
      </c>
      <c r="M226" s="67">
        <f>J226+3*K226</f>
        <v/>
      </c>
      <c r="N226" s="61">
        <f>IF(G226="","",IF(AND(G226&gt;=L226,G226&lt;=M226),"OK","NG"))</f>
        <v/>
      </c>
      <c r="O226" s="69">
        <f>IF(N226="","",IF(N226=D226,1,0))</f>
        <v/>
      </c>
      <c r="P226" s="67">
        <f>IF(G226="","",J226-G226)</f>
        <v/>
      </c>
      <c r="Q226" s="67">
        <f>IF(G226="","",ABS(P226-Components!$D$2)/Components!$E$2)</f>
        <v/>
      </c>
      <c r="R226" s="67">
        <f>IF(G226="","",ABS(P226-Components!$D$3)/Components!$E$3)</f>
        <v/>
      </c>
      <c r="S226" s="67">
        <f>IF(G226="","",ABS(P226-Components!$D$4)/Components!$E$4)</f>
        <v/>
      </c>
      <c r="T226" s="67">
        <f>IF(G226="","",ABS(P226-Components!$D$5)/Components!$E$5)</f>
        <v/>
      </c>
      <c r="U226" s="67">
        <f>IF(G226="","",ABS(P226-Components!$D$6)/Components!$E$6)</f>
        <v/>
      </c>
      <c r="V226" s="67">
        <f>IF(G226="","",ABS(P226-Components!$D$7)/Components!$E$7)</f>
        <v/>
      </c>
      <c r="W226" s="61">
        <f>IF(G226="","",IF(N226="OK","NONE",INDEX({"S1","S2","W1","W2","N1","N2"},MATCH(MIN(Q226:V226),Q226:V226,0))))</f>
        <v/>
      </c>
      <c r="X226" s="69">
        <f>IF(G226="","",IF(W226=E226,1,0))</f>
        <v/>
      </c>
    </row>
    <row r="227">
      <c r="A227" s="76" t="n">
        <v>11</v>
      </c>
      <c r="B227" s="77" t="n">
        <v>44.3</v>
      </c>
      <c r="C227" s="76" t="inlineStr">
        <is>
          <t>R4</t>
        </is>
      </c>
      <c r="D227" s="78" t="inlineStr">
        <is>
          <t>NG</t>
        </is>
      </c>
      <c r="E227" s="76" t="inlineStr">
        <is>
          <t>N1</t>
        </is>
      </c>
      <c r="F227" s="76" t="inlineStr">
        <is>
          <t>K043</t>
        </is>
      </c>
      <c r="G227" s="75" t="n">
        <v>7.72</v>
      </c>
      <c r="H227" s="65" t="n"/>
      <c r="I227" s="66" t="n"/>
      <c r="J227" s="67">
        <f>VLOOKUP(C227,Recipes!$A$2:$N$4,10,FALSE())</f>
        <v/>
      </c>
      <c r="K227" s="68">
        <f>VLOOKUP(C227,Recipes!$A$2:$N$4,12,FALSE())</f>
        <v/>
      </c>
      <c r="L227" s="67">
        <f>J227-3*K227</f>
        <v/>
      </c>
      <c r="M227" s="67">
        <f>J227+3*K227</f>
        <v/>
      </c>
      <c r="N227" s="61">
        <f>IF(G227="","",IF(AND(G227&gt;=L227,G227&lt;=M227),"OK","NG"))</f>
        <v/>
      </c>
      <c r="O227" s="69">
        <f>IF(N227="","",IF(N227=D227,1,0))</f>
        <v/>
      </c>
      <c r="P227" s="67">
        <f>IF(G227="","",J227-G227)</f>
        <v/>
      </c>
      <c r="Q227" s="67">
        <f>IF(G227="","",ABS(P227-Components!$D$2)/Components!$E$2)</f>
        <v/>
      </c>
      <c r="R227" s="67">
        <f>IF(G227="","",ABS(P227-Components!$D$3)/Components!$E$3)</f>
        <v/>
      </c>
      <c r="S227" s="67">
        <f>IF(G227="","",ABS(P227-Components!$D$4)/Components!$E$4)</f>
        <v/>
      </c>
      <c r="T227" s="67">
        <f>IF(G227="","",ABS(P227-Components!$D$5)/Components!$E$5)</f>
        <v/>
      </c>
      <c r="U227" s="67">
        <f>IF(G227="","",ABS(P227-Components!$D$6)/Components!$E$6)</f>
        <v/>
      </c>
      <c r="V227" s="67">
        <f>IF(G227="","",ABS(P227-Components!$D$7)/Components!$E$7)</f>
        <v/>
      </c>
      <c r="W227" s="61">
        <f>IF(G227="","",IF(N227="OK","NONE",INDEX({"S1","S2","W1","W2","N1","N2"},MATCH(MIN(Q227:V227),Q227:V227,0))))</f>
        <v/>
      </c>
      <c r="X227" s="69">
        <f>IF(G227="","",IF(W227=E227,1,0))</f>
        <v/>
      </c>
    </row>
    <row r="228">
      <c r="A228" s="61" t="n">
        <v>13</v>
      </c>
      <c r="B228" s="62" t="n">
        <v>43</v>
      </c>
      <c r="C228" s="61" t="inlineStr">
        <is>
          <t>R4</t>
        </is>
      </c>
      <c r="D228" s="74" t="inlineStr">
        <is>
          <t>NG</t>
        </is>
      </c>
      <c r="E228" s="61" t="inlineStr">
        <is>
          <t>N1</t>
        </is>
      </c>
      <c r="F228" s="61" t="inlineStr">
        <is>
          <t>K034</t>
        </is>
      </c>
      <c r="G228" s="75" t="n">
        <v>7.78</v>
      </c>
      <c r="H228" s="65" t="n"/>
      <c r="I228" s="66" t="n"/>
      <c r="J228" s="67">
        <f>VLOOKUP(C228,Recipes!$A$2:$N$4,10,FALSE())</f>
        <v/>
      </c>
      <c r="K228" s="68">
        <f>VLOOKUP(C228,Recipes!$A$2:$N$4,12,FALSE())</f>
        <v/>
      </c>
      <c r="L228" s="67">
        <f>J228-3*K228</f>
        <v/>
      </c>
      <c r="M228" s="67">
        <f>J228+3*K228</f>
        <v/>
      </c>
      <c r="N228" s="61">
        <f>IF(G228="","",IF(AND(G228&gt;=L228,G228&lt;=M228),"OK","NG"))</f>
        <v/>
      </c>
      <c r="O228" s="69">
        <f>IF(N228="","",IF(N228=D228,1,0))</f>
        <v/>
      </c>
      <c r="P228" s="67">
        <f>IF(G228="","",J228-G228)</f>
        <v/>
      </c>
      <c r="Q228" s="67">
        <f>IF(G228="","",ABS(P228-Components!$D$2)/Components!$E$2)</f>
        <v/>
      </c>
      <c r="R228" s="67">
        <f>IF(G228="","",ABS(P228-Components!$D$3)/Components!$E$3)</f>
        <v/>
      </c>
      <c r="S228" s="67">
        <f>IF(G228="","",ABS(P228-Components!$D$4)/Components!$E$4)</f>
        <v/>
      </c>
      <c r="T228" s="67">
        <f>IF(G228="","",ABS(P228-Components!$D$5)/Components!$E$5)</f>
        <v/>
      </c>
      <c r="U228" s="67">
        <f>IF(G228="","",ABS(P228-Components!$D$6)/Components!$E$6)</f>
        <v/>
      </c>
      <c r="V228" s="67">
        <f>IF(G228="","",ABS(P228-Components!$D$7)/Components!$E$7)</f>
        <v/>
      </c>
      <c r="W228" s="61">
        <f>IF(G228="","",IF(N228="OK","NONE",INDEX({"S1","S2","W1","W2","N1","N2"},MATCH(MIN(Q228:V228),Q228:V228,0))))</f>
        <v/>
      </c>
      <c r="X228" s="69">
        <f>IF(G228="","",IF(W228=E228,1,0))</f>
        <v/>
      </c>
    </row>
    <row r="229">
      <c r="A229" s="61" t="n">
        <v>15</v>
      </c>
      <c r="B229" s="62" t="n">
        <v>41.7</v>
      </c>
      <c r="C229" s="61" t="inlineStr">
        <is>
          <t>R4</t>
        </is>
      </c>
      <c r="D229" s="74" t="inlineStr">
        <is>
          <t>NG</t>
        </is>
      </c>
      <c r="E229" s="61" t="inlineStr">
        <is>
          <t>N1</t>
        </is>
      </c>
      <c r="F229" s="61" t="inlineStr">
        <is>
          <t>K035</t>
        </is>
      </c>
      <c r="G229" s="75" t="n">
        <v>7.75</v>
      </c>
      <c r="H229" s="65" t="n"/>
      <c r="I229" s="66" t="n"/>
      <c r="J229" s="67">
        <f>VLOOKUP(C229,Recipes!$A$2:$N$4,10,FALSE())</f>
        <v/>
      </c>
      <c r="K229" s="68">
        <f>VLOOKUP(C229,Recipes!$A$2:$N$4,12,FALSE())</f>
        <v/>
      </c>
      <c r="L229" s="67">
        <f>J229-3*K229</f>
        <v/>
      </c>
      <c r="M229" s="67">
        <f>J229+3*K229</f>
        <v/>
      </c>
      <c r="N229" s="61">
        <f>IF(G229="","",IF(AND(G229&gt;=L229,G229&lt;=M229),"OK","NG"))</f>
        <v/>
      </c>
      <c r="O229" s="69">
        <f>IF(N229="","",IF(N229=D229,1,0))</f>
        <v/>
      </c>
      <c r="P229" s="67">
        <f>IF(G229="","",J229-G229)</f>
        <v/>
      </c>
      <c r="Q229" s="67">
        <f>IF(G229="","",ABS(P229-Components!$D$2)/Components!$E$2)</f>
        <v/>
      </c>
      <c r="R229" s="67">
        <f>IF(G229="","",ABS(P229-Components!$D$3)/Components!$E$3)</f>
        <v/>
      </c>
      <c r="S229" s="67">
        <f>IF(G229="","",ABS(P229-Components!$D$4)/Components!$E$4)</f>
        <v/>
      </c>
      <c r="T229" s="67">
        <f>IF(G229="","",ABS(P229-Components!$D$5)/Components!$E$5)</f>
        <v/>
      </c>
      <c r="U229" s="67">
        <f>IF(G229="","",ABS(P229-Components!$D$6)/Components!$E$6)</f>
        <v/>
      </c>
      <c r="V229" s="67">
        <f>IF(G229="","",ABS(P229-Components!$D$7)/Components!$E$7)</f>
        <v/>
      </c>
      <c r="W229" s="61">
        <f>IF(G229="","",IF(N229="OK","NONE",INDEX({"S1","S2","W1","W2","N1","N2"},MATCH(MIN(Q229:V229),Q229:V229,0))))</f>
        <v/>
      </c>
      <c r="X229" s="69">
        <f>IF(G229="","",IF(W229=E229,1,0))</f>
        <v/>
      </c>
    </row>
    <row r="230">
      <c r="A230" s="61" t="n">
        <v>17</v>
      </c>
      <c r="B230" s="62" t="n">
        <v>40.4</v>
      </c>
      <c r="C230" s="61" t="inlineStr">
        <is>
          <t>R4</t>
        </is>
      </c>
      <c r="D230" s="74" t="inlineStr">
        <is>
          <t>NG</t>
        </is>
      </c>
      <c r="E230" s="61" t="inlineStr">
        <is>
          <t>N1</t>
        </is>
      </c>
      <c r="F230" s="61" t="inlineStr">
        <is>
          <t>K036</t>
        </is>
      </c>
      <c r="G230" s="75" t="n">
        <v>7.77</v>
      </c>
      <c r="H230" s="65" t="n"/>
      <c r="I230" s="66" t="n"/>
      <c r="J230" s="67">
        <f>VLOOKUP(C230,Recipes!$A$2:$N$4,10,FALSE())</f>
        <v/>
      </c>
      <c r="K230" s="68">
        <f>VLOOKUP(C230,Recipes!$A$2:$N$4,12,FALSE())</f>
        <v/>
      </c>
      <c r="L230" s="67">
        <f>J230-3*K230</f>
        <v/>
      </c>
      <c r="M230" s="67">
        <f>J230+3*K230</f>
        <v/>
      </c>
      <c r="N230" s="61">
        <f>IF(G230="","",IF(AND(G230&gt;=L230,G230&lt;=M230),"OK","NG"))</f>
        <v/>
      </c>
      <c r="O230" s="69">
        <f>IF(N230="","",IF(N230=D230,1,0))</f>
        <v/>
      </c>
      <c r="P230" s="67">
        <f>IF(G230="","",J230-G230)</f>
        <v/>
      </c>
      <c r="Q230" s="67">
        <f>IF(G230="","",ABS(P230-Components!$D$2)/Components!$E$2)</f>
        <v/>
      </c>
      <c r="R230" s="67">
        <f>IF(G230="","",ABS(P230-Components!$D$3)/Components!$E$3)</f>
        <v/>
      </c>
      <c r="S230" s="67">
        <f>IF(G230="","",ABS(P230-Components!$D$4)/Components!$E$4)</f>
        <v/>
      </c>
      <c r="T230" s="67">
        <f>IF(G230="","",ABS(P230-Components!$D$5)/Components!$E$5)</f>
        <v/>
      </c>
      <c r="U230" s="67">
        <f>IF(G230="","",ABS(P230-Components!$D$6)/Components!$E$6)</f>
        <v/>
      </c>
      <c r="V230" s="67">
        <f>IF(G230="","",ABS(P230-Components!$D$7)/Components!$E$7)</f>
        <v/>
      </c>
      <c r="W230" s="61">
        <f>IF(G230="","",IF(N230="OK","NONE",INDEX({"S1","S2","W1","W2","N1","N2"},MATCH(MIN(Q230:V230),Q230:V230,0))))</f>
        <v/>
      </c>
      <c r="X230" s="69">
        <f>IF(G230="","",IF(W230=E230,1,0))</f>
        <v/>
      </c>
    </row>
    <row r="231">
      <c r="A231" s="61" t="n">
        <v>19</v>
      </c>
      <c r="B231" s="62" t="n">
        <v>39.1</v>
      </c>
      <c r="C231" s="61" t="inlineStr">
        <is>
          <t>R4</t>
        </is>
      </c>
      <c r="D231" s="74" t="inlineStr">
        <is>
          <t>NG</t>
        </is>
      </c>
      <c r="E231" s="61" t="inlineStr">
        <is>
          <t>N1</t>
        </is>
      </c>
      <c r="F231" s="61" t="inlineStr">
        <is>
          <t>K037</t>
        </is>
      </c>
      <c r="G231" s="75" t="n">
        <v>7.69</v>
      </c>
      <c r="H231" s="65" t="n"/>
      <c r="I231" s="66" t="n"/>
      <c r="J231" s="67">
        <f>VLOOKUP(C231,Recipes!$A$2:$N$4,10,FALSE())</f>
        <v/>
      </c>
      <c r="K231" s="68">
        <f>VLOOKUP(C231,Recipes!$A$2:$N$4,12,FALSE())</f>
        <v/>
      </c>
      <c r="L231" s="67">
        <f>J231-3*K231</f>
        <v/>
      </c>
      <c r="M231" s="67">
        <f>J231+3*K231</f>
        <v/>
      </c>
      <c r="N231" s="61">
        <f>IF(G231="","",IF(AND(G231&gt;=L231,G231&lt;=M231),"OK","NG"))</f>
        <v/>
      </c>
      <c r="O231" s="69">
        <f>IF(N231="","",IF(N231=D231,1,0))</f>
        <v/>
      </c>
      <c r="P231" s="67">
        <f>IF(G231="","",J231-G231)</f>
        <v/>
      </c>
      <c r="Q231" s="67">
        <f>IF(G231="","",ABS(P231-Components!$D$2)/Components!$E$2)</f>
        <v/>
      </c>
      <c r="R231" s="67">
        <f>IF(G231="","",ABS(P231-Components!$D$3)/Components!$E$3)</f>
        <v/>
      </c>
      <c r="S231" s="67">
        <f>IF(G231="","",ABS(P231-Components!$D$4)/Components!$E$4)</f>
        <v/>
      </c>
      <c r="T231" s="67">
        <f>IF(G231="","",ABS(P231-Components!$D$5)/Components!$E$5)</f>
        <v/>
      </c>
      <c r="U231" s="67">
        <f>IF(G231="","",ABS(P231-Components!$D$6)/Components!$E$6)</f>
        <v/>
      </c>
      <c r="V231" s="67">
        <f>IF(G231="","",ABS(P231-Components!$D$7)/Components!$E$7)</f>
        <v/>
      </c>
      <c r="W231" s="61">
        <f>IF(G231="","",IF(N231="OK","NONE",INDEX({"S1","S2","W1","W2","N1","N2"},MATCH(MIN(Q231:V231),Q231:V231,0))))</f>
        <v/>
      </c>
      <c r="X231" s="69">
        <f>IF(G231="","",IF(W231=E231,1,0))</f>
        <v/>
      </c>
    </row>
    <row r="232">
      <c r="A232" s="76" t="n">
        <v>21</v>
      </c>
      <c r="B232" s="77" t="n">
        <v>37.8</v>
      </c>
      <c r="C232" s="76" t="inlineStr">
        <is>
          <t>R4</t>
        </is>
      </c>
      <c r="D232" s="78" t="inlineStr">
        <is>
          <t>NG</t>
        </is>
      </c>
      <c r="E232" s="76" t="inlineStr">
        <is>
          <t>N1</t>
        </is>
      </c>
      <c r="F232" s="76" t="inlineStr">
        <is>
          <t>K043</t>
        </is>
      </c>
      <c r="G232" s="75" t="n">
        <v>7.77</v>
      </c>
      <c r="H232" s="65" t="n"/>
      <c r="I232" s="66" t="n"/>
      <c r="J232" s="67">
        <f>VLOOKUP(C232,Recipes!$A$2:$N$4,10,FALSE())</f>
        <v/>
      </c>
      <c r="K232" s="68">
        <f>VLOOKUP(C232,Recipes!$A$2:$N$4,12,FALSE())</f>
        <v/>
      </c>
      <c r="L232" s="67">
        <f>J232-3*K232</f>
        <v/>
      </c>
      <c r="M232" s="67">
        <f>J232+3*K232</f>
        <v/>
      </c>
      <c r="N232" s="61">
        <f>IF(G232="","",IF(AND(G232&gt;=L232,G232&lt;=M232),"OK","NG"))</f>
        <v/>
      </c>
      <c r="O232" s="69">
        <f>IF(N232="","",IF(N232=D232,1,0))</f>
        <v/>
      </c>
      <c r="P232" s="67">
        <f>IF(G232="","",J232-G232)</f>
        <v/>
      </c>
      <c r="Q232" s="67">
        <f>IF(G232="","",ABS(P232-Components!$D$2)/Components!$E$2)</f>
        <v/>
      </c>
      <c r="R232" s="67">
        <f>IF(G232="","",ABS(P232-Components!$D$3)/Components!$E$3)</f>
        <v/>
      </c>
      <c r="S232" s="67">
        <f>IF(G232="","",ABS(P232-Components!$D$4)/Components!$E$4)</f>
        <v/>
      </c>
      <c r="T232" s="67">
        <f>IF(G232="","",ABS(P232-Components!$D$5)/Components!$E$5)</f>
        <v/>
      </c>
      <c r="U232" s="67">
        <f>IF(G232="","",ABS(P232-Components!$D$6)/Components!$E$6)</f>
        <v/>
      </c>
      <c r="V232" s="67">
        <f>IF(G232="","",ABS(P232-Components!$D$7)/Components!$E$7)</f>
        <v/>
      </c>
      <c r="W232" s="61">
        <f>IF(G232="","",IF(N232="OK","NONE",INDEX({"S1","S2","W1","W2","N1","N2"},MATCH(MIN(Q232:V232),Q232:V232,0))))</f>
        <v/>
      </c>
      <c r="X232" s="69">
        <f>IF(G232="","",IF(W232=E232,1,0))</f>
        <v/>
      </c>
    </row>
    <row r="233">
      <c r="A233" s="61" t="n">
        <v>23</v>
      </c>
      <c r="B233" s="62" t="n">
        <v>36.5</v>
      </c>
      <c r="C233" s="61" t="inlineStr">
        <is>
          <t>R4</t>
        </is>
      </c>
      <c r="D233" s="74" t="inlineStr">
        <is>
          <t>NG</t>
        </is>
      </c>
      <c r="E233" s="61" t="inlineStr">
        <is>
          <t>N1</t>
        </is>
      </c>
      <c r="F233" s="61" t="inlineStr">
        <is>
          <t>K034</t>
        </is>
      </c>
      <c r="G233" s="75" t="n">
        <v>7.77</v>
      </c>
      <c r="H233" s="65" t="n"/>
      <c r="I233" s="66" t="n"/>
      <c r="J233" s="67">
        <f>VLOOKUP(C233,Recipes!$A$2:$N$4,10,FALSE())</f>
        <v/>
      </c>
      <c r="K233" s="68">
        <f>VLOOKUP(C233,Recipes!$A$2:$N$4,12,FALSE())</f>
        <v/>
      </c>
      <c r="L233" s="67">
        <f>J233-3*K233</f>
        <v/>
      </c>
      <c r="M233" s="67">
        <f>J233+3*K233</f>
        <v/>
      </c>
      <c r="N233" s="61">
        <f>IF(G233="","",IF(AND(G233&gt;=L233,G233&lt;=M233),"OK","NG"))</f>
        <v/>
      </c>
      <c r="O233" s="69">
        <f>IF(N233="","",IF(N233=D233,1,0))</f>
        <v/>
      </c>
      <c r="P233" s="67">
        <f>IF(G233="","",J233-G233)</f>
        <v/>
      </c>
      <c r="Q233" s="67">
        <f>IF(G233="","",ABS(P233-Components!$D$2)/Components!$E$2)</f>
        <v/>
      </c>
      <c r="R233" s="67">
        <f>IF(G233="","",ABS(P233-Components!$D$3)/Components!$E$3)</f>
        <v/>
      </c>
      <c r="S233" s="67">
        <f>IF(G233="","",ABS(P233-Components!$D$4)/Components!$E$4)</f>
        <v/>
      </c>
      <c r="T233" s="67">
        <f>IF(G233="","",ABS(P233-Components!$D$5)/Components!$E$5)</f>
        <v/>
      </c>
      <c r="U233" s="67">
        <f>IF(G233="","",ABS(P233-Components!$D$6)/Components!$E$6)</f>
        <v/>
      </c>
      <c r="V233" s="67">
        <f>IF(G233="","",ABS(P233-Components!$D$7)/Components!$E$7)</f>
        <v/>
      </c>
      <c r="W233" s="61">
        <f>IF(G233="","",IF(N233="OK","NONE",INDEX({"S1","S2","W1","W2","N1","N2"},MATCH(MIN(Q233:V233),Q233:V233,0))))</f>
        <v/>
      </c>
      <c r="X233" s="69">
        <f>IF(G233="","",IF(W233=E233,1,0))</f>
        <v/>
      </c>
    </row>
    <row r="234">
      <c r="A234" s="61" t="n">
        <v>25</v>
      </c>
      <c r="B234" s="62" t="n">
        <v>35.2</v>
      </c>
      <c r="C234" s="61" t="inlineStr">
        <is>
          <t>R4</t>
        </is>
      </c>
      <c r="D234" s="74" t="inlineStr">
        <is>
          <t>NG</t>
        </is>
      </c>
      <c r="E234" s="61" t="inlineStr">
        <is>
          <t>N1</t>
        </is>
      </c>
      <c r="F234" s="61" t="inlineStr">
        <is>
          <t>K035</t>
        </is>
      </c>
      <c r="G234" s="75" t="n">
        <v>7.78</v>
      </c>
      <c r="H234" s="65" t="n"/>
      <c r="I234" s="66" t="n"/>
      <c r="J234" s="67">
        <f>VLOOKUP(C234,Recipes!$A$2:$N$4,10,FALSE())</f>
        <v/>
      </c>
      <c r="K234" s="68">
        <f>VLOOKUP(C234,Recipes!$A$2:$N$4,12,FALSE())</f>
        <v/>
      </c>
      <c r="L234" s="67">
        <f>J234-3*K234</f>
        <v/>
      </c>
      <c r="M234" s="67">
        <f>J234+3*K234</f>
        <v/>
      </c>
      <c r="N234" s="61">
        <f>IF(G234="","",IF(AND(G234&gt;=L234,G234&lt;=M234),"OK","NG"))</f>
        <v/>
      </c>
      <c r="O234" s="69">
        <f>IF(N234="","",IF(N234=D234,1,0))</f>
        <v/>
      </c>
      <c r="P234" s="67">
        <f>IF(G234="","",J234-G234)</f>
        <v/>
      </c>
      <c r="Q234" s="67">
        <f>IF(G234="","",ABS(P234-Components!$D$2)/Components!$E$2)</f>
        <v/>
      </c>
      <c r="R234" s="67">
        <f>IF(G234="","",ABS(P234-Components!$D$3)/Components!$E$3)</f>
        <v/>
      </c>
      <c r="S234" s="67">
        <f>IF(G234="","",ABS(P234-Components!$D$4)/Components!$E$4)</f>
        <v/>
      </c>
      <c r="T234" s="67">
        <f>IF(G234="","",ABS(P234-Components!$D$5)/Components!$E$5)</f>
        <v/>
      </c>
      <c r="U234" s="67">
        <f>IF(G234="","",ABS(P234-Components!$D$6)/Components!$E$6)</f>
        <v/>
      </c>
      <c r="V234" s="67">
        <f>IF(G234="","",ABS(P234-Components!$D$7)/Components!$E$7)</f>
        <v/>
      </c>
      <c r="W234" s="61">
        <f>IF(G234="","",IF(N234="OK","NONE",INDEX({"S1","S2","W1","W2","N1","N2"},MATCH(MIN(Q234:V234),Q234:V234,0))))</f>
        <v/>
      </c>
      <c r="X234" s="69">
        <f>IF(G234="","",IF(W234=E234,1,0))</f>
        <v/>
      </c>
    </row>
    <row r="235">
      <c r="A235" s="61" t="n">
        <v>27</v>
      </c>
      <c r="B235" s="62" t="n">
        <v>33.9</v>
      </c>
      <c r="C235" s="61" t="inlineStr">
        <is>
          <t>R4</t>
        </is>
      </c>
      <c r="D235" s="74" t="inlineStr">
        <is>
          <t>NG</t>
        </is>
      </c>
      <c r="E235" s="61" t="inlineStr">
        <is>
          <t>N1</t>
        </is>
      </c>
      <c r="F235" s="61" t="inlineStr">
        <is>
          <t>K036</t>
        </is>
      </c>
      <c r="G235" s="75" t="n">
        <v>7.76</v>
      </c>
      <c r="H235" s="65" t="n"/>
      <c r="I235" s="66" t="n"/>
      <c r="J235" s="67">
        <f>VLOOKUP(C235,Recipes!$A$2:$N$4,10,FALSE())</f>
        <v/>
      </c>
      <c r="K235" s="68">
        <f>VLOOKUP(C235,Recipes!$A$2:$N$4,12,FALSE())</f>
        <v/>
      </c>
      <c r="L235" s="67">
        <f>J235-3*K235</f>
        <v/>
      </c>
      <c r="M235" s="67">
        <f>J235+3*K235</f>
        <v/>
      </c>
      <c r="N235" s="61">
        <f>IF(G235="","",IF(AND(G235&gt;=L235,G235&lt;=M235),"OK","NG"))</f>
        <v/>
      </c>
      <c r="O235" s="69">
        <f>IF(N235="","",IF(N235=D235,1,0))</f>
        <v/>
      </c>
      <c r="P235" s="67">
        <f>IF(G235="","",J235-G235)</f>
        <v/>
      </c>
      <c r="Q235" s="67">
        <f>IF(G235="","",ABS(P235-Components!$D$2)/Components!$E$2)</f>
        <v/>
      </c>
      <c r="R235" s="67">
        <f>IF(G235="","",ABS(P235-Components!$D$3)/Components!$E$3)</f>
        <v/>
      </c>
      <c r="S235" s="67">
        <f>IF(G235="","",ABS(P235-Components!$D$4)/Components!$E$4)</f>
        <v/>
      </c>
      <c r="T235" s="67">
        <f>IF(G235="","",ABS(P235-Components!$D$5)/Components!$E$5)</f>
        <v/>
      </c>
      <c r="U235" s="67">
        <f>IF(G235="","",ABS(P235-Components!$D$6)/Components!$E$6)</f>
        <v/>
      </c>
      <c r="V235" s="67">
        <f>IF(G235="","",ABS(P235-Components!$D$7)/Components!$E$7)</f>
        <v/>
      </c>
      <c r="W235" s="61">
        <f>IF(G235="","",IF(N235="OK","NONE",INDEX({"S1","S2","W1","W2","N1","N2"},MATCH(MIN(Q235:V235),Q235:V235,0))))</f>
        <v/>
      </c>
      <c r="X235" s="69">
        <f>IF(G235="","",IF(W235=E235,1,0))</f>
        <v/>
      </c>
    </row>
    <row r="236">
      <c r="A236" s="61" t="n">
        <v>29</v>
      </c>
      <c r="B236" s="62" t="n">
        <v>32.6</v>
      </c>
      <c r="C236" s="61" t="inlineStr">
        <is>
          <t>R4</t>
        </is>
      </c>
      <c r="D236" s="74" t="inlineStr">
        <is>
          <t>NG</t>
        </is>
      </c>
      <c r="E236" s="61" t="inlineStr">
        <is>
          <t>N1</t>
        </is>
      </c>
      <c r="F236" s="61" t="inlineStr">
        <is>
          <t>K037</t>
        </is>
      </c>
      <c r="G236" s="75" t="n">
        <v>7.77</v>
      </c>
      <c r="H236" s="65" t="n"/>
      <c r="I236" s="66" t="n"/>
      <c r="J236" s="67">
        <f>VLOOKUP(C236,Recipes!$A$2:$N$4,10,FALSE())</f>
        <v/>
      </c>
      <c r="K236" s="68">
        <f>VLOOKUP(C236,Recipes!$A$2:$N$4,12,FALSE())</f>
        <v/>
      </c>
      <c r="L236" s="67">
        <f>J236-3*K236</f>
        <v/>
      </c>
      <c r="M236" s="67">
        <f>J236+3*K236</f>
        <v/>
      </c>
      <c r="N236" s="61">
        <f>IF(G236="","",IF(AND(G236&gt;=L236,G236&lt;=M236),"OK","NG"))</f>
        <v/>
      </c>
      <c r="O236" s="69">
        <f>IF(N236="","",IF(N236=D236,1,0))</f>
        <v/>
      </c>
      <c r="P236" s="67">
        <f>IF(G236="","",J236-G236)</f>
        <v/>
      </c>
      <c r="Q236" s="67">
        <f>IF(G236="","",ABS(P236-Components!$D$2)/Components!$E$2)</f>
        <v/>
      </c>
      <c r="R236" s="67">
        <f>IF(G236="","",ABS(P236-Components!$D$3)/Components!$E$3)</f>
        <v/>
      </c>
      <c r="S236" s="67">
        <f>IF(G236="","",ABS(P236-Components!$D$4)/Components!$E$4)</f>
        <v/>
      </c>
      <c r="T236" s="67">
        <f>IF(G236="","",ABS(P236-Components!$D$5)/Components!$E$5)</f>
        <v/>
      </c>
      <c r="U236" s="67">
        <f>IF(G236="","",ABS(P236-Components!$D$6)/Components!$E$6)</f>
        <v/>
      </c>
      <c r="V236" s="67">
        <f>IF(G236="","",ABS(P236-Components!$D$7)/Components!$E$7)</f>
        <v/>
      </c>
      <c r="W236" s="61">
        <f>IF(G236="","",IF(N236="OK","NONE",INDEX({"S1","S2","W1","W2","N1","N2"},MATCH(MIN(Q236:V236),Q236:V236,0))))</f>
        <v/>
      </c>
      <c r="X236" s="69">
        <f>IF(G236="","",IF(W236=E236,1,0))</f>
        <v/>
      </c>
    </row>
    <row r="237">
      <c r="A237" s="76" t="n">
        <v>31</v>
      </c>
      <c r="B237" s="77" t="n">
        <v>31.3</v>
      </c>
      <c r="C237" s="76" t="inlineStr">
        <is>
          <t>R4</t>
        </is>
      </c>
      <c r="D237" s="78" t="inlineStr">
        <is>
          <t>NG</t>
        </is>
      </c>
      <c r="E237" s="76" t="inlineStr">
        <is>
          <t>N1</t>
        </is>
      </c>
      <c r="F237" s="76" t="inlineStr">
        <is>
          <t>K043</t>
        </is>
      </c>
      <c r="G237" s="75" t="n">
        <v>7.71</v>
      </c>
      <c r="H237" s="65" t="n"/>
      <c r="I237" s="66" t="n"/>
      <c r="J237" s="67">
        <f>VLOOKUP(C237,Recipes!$A$2:$N$4,10,FALSE())</f>
        <v/>
      </c>
      <c r="K237" s="68">
        <f>VLOOKUP(C237,Recipes!$A$2:$N$4,12,FALSE())</f>
        <v/>
      </c>
      <c r="L237" s="67">
        <f>J237-3*K237</f>
        <v/>
      </c>
      <c r="M237" s="67">
        <f>J237+3*K237</f>
        <v/>
      </c>
      <c r="N237" s="61">
        <f>IF(G237="","",IF(AND(G237&gt;=L237,G237&lt;=M237),"OK","NG"))</f>
        <v/>
      </c>
      <c r="O237" s="69">
        <f>IF(N237="","",IF(N237=D237,1,0))</f>
        <v/>
      </c>
      <c r="P237" s="67">
        <f>IF(G237="","",J237-G237)</f>
        <v/>
      </c>
      <c r="Q237" s="67">
        <f>IF(G237="","",ABS(P237-Components!$D$2)/Components!$E$2)</f>
        <v/>
      </c>
      <c r="R237" s="67">
        <f>IF(G237="","",ABS(P237-Components!$D$3)/Components!$E$3)</f>
        <v/>
      </c>
      <c r="S237" s="67">
        <f>IF(G237="","",ABS(P237-Components!$D$4)/Components!$E$4)</f>
        <v/>
      </c>
      <c r="T237" s="67">
        <f>IF(G237="","",ABS(P237-Components!$D$5)/Components!$E$5)</f>
        <v/>
      </c>
      <c r="U237" s="67">
        <f>IF(G237="","",ABS(P237-Components!$D$6)/Components!$E$6)</f>
        <v/>
      </c>
      <c r="V237" s="67">
        <f>IF(G237="","",ABS(P237-Components!$D$7)/Components!$E$7)</f>
        <v/>
      </c>
      <c r="W237" s="61">
        <f>IF(G237="","",IF(N237="OK","NONE",INDEX({"S1","S2","W1","W2","N1","N2"},MATCH(MIN(Q237:V237),Q237:V237,0))))</f>
        <v/>
      </c>
      <c r="X237" s="69">
        <f>IF(G237="","",IF(W237=E237,1,0))</f>
        <v/>
      </c>
    </row>
    <row r="238">
      <c r="A238" s="61" t="n">
        <v>34</v>
      </c>
      <c r="B238" s="62" t="n">
        <v>13</v>
      </c>
      <c r="C238" s="61" t="inlineStr">
        <is>
          <t>R4</t>
        </is>
      </c>
      <c r="D238" s="74" t="inlineStr">
        <is>
          <t>NG</t>
        </is>
      </c>
      <c r="E238" s="61" t="inlineStr">
        <is>
          <t>N1</t>
        </is>
      </c>
      <c r="F238" s="61" t="inlineStr">
        <is>
          <t>K034</t>
        </is>
      </c>
      <c r="G238" s="64" t="n">
        <v>7.78</v>
      </c>
      <c r="H238" s="65" t="n"/>
      <c r="I238" s="66" t="n"/>
      <c r="J238" s="67">
        <f>VLOOKUP(C238,Recipes!$A$2:$N$4,10,FALSE())</f>
        <v/>
      </c>
      <c r="K238" s="68">
        <f>VLOOKUP(C238,Recipes!$A$2:$N$4,12,FALSE())</f>
        <v/>
      </c>
      <c r="L238" s="67">
        <f>J238-3*K238</f>
        <v/>
      </c>
      <c r="M238" s="67">
        <f>J238+3*K238</f>
        <v/>
      </c>
      <c r="N238" s="61">
        <f>IF(G238="","",IF(AND(G238&gt;=L238,G238&lt;=M238),"OK","NG"))</f>
        <v/>
      </c>
      <c r="O238" s="69">
        <f>IF(N238="","",IF(N238=D238,1,0))</f>
        <v/>
      </c>
      <c r="P238" s="67">
        <f>IF(G238="","",J238-G238)</f>
        <v/>
      </c>
      <c r="Q238" s="67">
        <f>IF(G238="","",ABS(P238-Components!$D$2)/Components!$E$2)</f>
        <v/>
      </c>
      <c r="R238" s="67">
        <f>IF(G238="","",ABS(P238-Components!$D$3)/Components!$E$3)</f>
        <v/>
      </c>
      <c r="S238" s="67">
        <f>IF(G238="","",ABS(P238-Components!$D$4)/Components!$E$4)</f>
        <v/>
      </c>
      <c r="T238" s="67">
        <f>IF(G238="","",ABS(P238-Components!$D$5)/Components!$E$5)</f>
        <v/>
      </c>
      <c r="U238" s="67">
        <f>IF(G238="","",ABS(P238-Components!$D$6)/Components!$E$6)</f>
        <v/>
      </c>
      <c r="V238" s="67">
        <f>IF(G238="","",ABS(P238-Components!$D$7)/Components!$E$7)</f>
        <v/>
      </c>
      <c r="W238" s="61">
        <f>IF(G238="","",IF(N238="OK","NONE",INDEX({"S1","S2","W1","W2","N1","N2"},MATCH(MIN(Q238:V238),Q238:V238,0))))</f>
        <v/>
      </c>
      <c r="X238" s="69">
        <f>IF(G238="","",IF(W238=E238,1,0))</f>
        <v/>
      </c>
    </row>
    <row r="239">
      <c r="A239" s="61" t="n">
        <v>35</v>
      </c>
      <c r="B239" s="62" t="n">
        <v>40</v>
      </c>
      <c r="C239" s="61" t="inlineStr">
        <is>
          <t>R4</t>
        </is>
      </c>
      <c r="D239" s="74" t="inlineStr">
        <is>
          <t>NG</t>
        </is>
      </c>
      <c r="E239" s="61" t="inlineStr">
        <is>
          <t>N1</t>
        </is>
      </c>
      <c r="F239" s="61" t="inlineStr">
        <is>
          <t>K035</t>
        </is>
      </c>
      <c r="G239" s="64" t="n">
        <v>7.79</v>
      </c>
      <c r="H239" s="65" t="n"/>
      <c r="I239" s="66" t="n"/>
      <c r="J239" s="67">
        <f>VLOOKUP(C239,Recipes!$A$2:$N$4,10,FALSE())</f>
        <v/>
      </c>
      <c r="K239" s="68">
        <f>VLOOKUP(C239,Recipes!$A$2:$N$4,12,FALSE())</f>
        <v/>
      </c>
      <c r="L239" s="67">
        <f>J239-3*K239</f>
        <v/>
      </c>
      <c r="M239" s="67">
        <f>J239+3*K239</f>
        <v/>
      </c>
      <c r="N239" s="61">
        <f>IF(G239="","",IF(AND(G239&gt;=L239,G239&lt;=M239),"OK","NG"))</f>
        <v/>
      </c>
      <c r="O239" s="69">
        <f>IF(N239="","",IF(N239=D239,1,0))</f>
        <v/>
      </c>
      <c r="P239" s="67">
        <f>IF(G239="","",J239-G239)</f>
        <v/>
      </c>
      <c r="Q239" s="67">
        <f>IF(G239="","",ABS(P239-Components!$D$2)/Components!$E$2)</f>
        <v/>
      </c>
      <c r="R239" s="67">
        <f>IF(G239="","",ABS(P239-Components!$D$3)/Components!$E$3)</f>
        <v/>
      </c>
      <c r="S239" s="67">
        <f>IF(G239="","",ABS(P239-Components!$D$4)/Components!$E$4)</f>
        <v/>
      </c>
      <c r="T239" s="67">
        <f>IF(G239="","",ABS(P239-Components!$D$5)/Components!$E$5)</f>
        <v/>
      </c>
      <c r="U239" s="67">
        <f>IF(G239="","",ABS(P239-Components!$D$6)/Components!$E$6)</f>
        <v/>
      </c>
      <c r="V239" s="67">
        <f>IF(G239="","",ABS(P239-Components!$D$7)/Components!$E$7)</f>
        <v/>
      </c>
      <c r="W239" s="61">
        <f>IF(G239="","",IF(N239="OK","NONE",INDEX({"S1","S2","W1","W2","N1","N2"},MATCH(MIN(Q239:V239),Q239:V239,0))))</f>
        <v/>
      </c>
      <c r="X239" s="69">
        <f>IF(G239="","",IF(W239=E239,1,0))</f>
        <v/>
      </c>
    </row>
    <row r="240">
      <c r="A240" s="61" t="n">
        <v>36</v>
      </c>
      <c r="B240" s="62" t="n">
        <v>33</v>
      </c>
      <c r="C240" s="61" t="inlineStr">
        <is>
          <t>R4</t>
        </is>
      </c>
      <c r="D240" s="74" t="inlineStr">
        <is>
          <t>NG</t>
        </is>
      </c>
      <c r="E240" s="61" t="inlineStr">
        <is>
          <t>N1</t>
        </is>
      </c>
      <c r="F240" s="61" t="inlineStr">
        <is>
          <t>K036</t>
        </is>
      </c>
      <c r="G240" s="64" t="n">
        <v>7.78</v>
      </c>
      <c r="H240" s="65" t="n"/>
      <c r="I240" s="66" t="n"/>
      <c r="J240" s="67">
        <f>VLOOKUP(C240,Recipes!$A$2:$N$4,10,FALSE())</f>
        <v/>
      </c>
      <c r="K240" s="68">
        <f>VLOOKUP(C240,Recipes!$A$2:$N$4,12,FALSE())</f>
        <v/>
      </c>
      <c r="L240" s="67">
        <f>J240-3*K240</f>
        <v/>
      </c>
      <c r="M240" s="67">
        <f>J240+3*K240</f>
        <v/>
      </c>
      <c r="N240" s="61">
        <f>IF(G240="","",IF(AND(G240&gt;=L240,G240&lt;=M240),"OK","NG"))</f>
        <v/>
      </c>
      <c r="O240" s="69">
        <f>IF(N240="","",IF(N240=D240,1,0))</f>
        <v/>
      </c>
      <c r="P240" s="67">
        <f>IF(G240="","",J240-G240)</f>
        <v/>
      </c>
      <c r="Q240" s="67">
        <f>IF(G240="","",ABS(P240-Components!$D$2)/Components!$E$2)</f>
        <v/>
      </c>
      <c r="R240" s="67">
        <f>IF(G240="","",ABS(P240-Components!$D$3)/Components!$E$3)</f>
        <v/>
      </c>
      <c r="S240" s="67">
        <f>IF(G240="","",ABS(P240-Components!$D$4)/Components!$E$4)</f>
        <v/>
      </c>
      <c r="T240" s="67">
        <f>IF(G240="","",ABS(P240-Components!$D$5)/Components!$E$5)</f>
        <v/>
      </c>
      <c r="U240" s="67">
        <f>IF(G240="","",ABS(P240-Components!$D$6)/Components!$E$6)</f>
        <v/>
      </c>
      <c r="V240" s="67">
        <f>IF(G240="","",ABS(P240-Components!$D$7)/Components!$E$7)</f>
        <v/>
      </c>
      <c r="W240" s="61">
        <f>IF(G240="","",IF(N240="OK","NONE",INDEX({"S1","S2","W1","W2","N1","N2"},MATCH(MIN(Q240:V240),Q240:V240,0))))</f>
        <v/>
      </c>
      <c r="X240" s="69">
        <f>IF(G240="","",IF(W240=E240,1,0))</f>
        <v/>
      </c>
    </row>
    <row r="241">
      <c r="A241" s="61" t="n">
        <v>37</v>
      </c>
      <c r="B241" s="62" t="n">
        <v>49</v>
      </c>
      <c r="C241" s="61" t="inlineStr">
        <is>
          <t>R4</t>
        </is>
      </c>
      <c r="D241" s="74" t="inlineStr">
        <is>
          <t>NG</t>
        </is>
      </c>
      <c r="E241" s="61" t="inlineStr">
        <is>
          <t>N1</t>
        </is>
      </c>
      <c r="F241" s="61" t="inlineStr">
        <is>
          <t>K037</t>
        </is>
      </c>
      <c r="G241" s="64" t="n">
        <v>7.78</v>
      </c>
      <c r="H241" s="65" t="n"/>
      <c r="I241" s="66" t="n"/>
      <c r="J241" s="67">
        <f>VLOOKUP(C241,Recipes!$A$2:$N$4,10,FALSE())</f>
        <v/>
      </c>
      <c r="K241" s="68">
        <f>VLOOKUP(C241,Recipes!$A$2:$N$4,12,FALSE())</f>
        <v/>
      </c>
      <c r="L241" s="67">
        <f>J241-3*K241</f>
        <v/>
      </c>
      <c r="M241" s="67">
        <f>J241+3*K241</f>
        <v/>
      </c>
      <c r="N241" s="61">
        <f>IF(G241="","",IF(AND(G241&gt;=L241,G241&lt;=M241),"OK","NG"))</f>
        <v/>
      </c>
      <c r="O241" s="69">
        <f>IF(N241="","",IF(N241=D241,1,0))</f>
        <v/>
      </c>
      <c r="P241" s="67">
        <f>IF(G241="","",J241-G241)</f>
        <v/>
      </c>
      <c r="Q241" s="67">
        <f>IF(G241="","",ABS(P241-Components!$D$2)/Components!$E$2)</f>
        <v/>
      </c>
      <c r="R241" s="67">
        <f>IF(G241="","",ABS(P241-Components!$D$3)/Components!$E$3)</f>
        <v/>
      </c>
      <c r="S241" s="67">
        <f>IF(G241="","",ABS(P241-Components!$D$4)/Components!$E$4)</f>
        <v/>
      </c>
      <c r="T241" s="67">
        <f>IF(G241="","",ABS(P241-Components!$D$5)/Components!$E$5)</f>
        <v/>
      </c>
      <c r="U241" s="67">
        <f>IF(G241="","",ABS(P241-Components!$D$6)/Components!$E$6)</f>
        <v/>
      </c>
      <c r="V241" s="67">
        <f>IF(G241="","",ABS(P241-Components!$D$7)/Components!$E$7)</f>
        <v/>
      </c>
      <c r="W241" s="61">
        <f>IF(G241="","",IF(N241="OK","NONE",INDEX({"S1","S2","W1","W2","N1","N2"},MATCH(MIN(Q241:V241),Q241:V241,0))))</f>
        <v/>
      </c>
      <c r="X241" s="69">
        <f>IF(G241="","",IF(W241=E241,1,0))</f>
        <v/>
      </c>
    </row>
    <row r="242">
      <c r="A242" s="76" t="n">
        <v>43</v>
      </c>
      <c r="B242" s="77" t="n">
        <v>2</v>
      </c>
      <c r="C242" s="76" t="inlineStr">
        <is>
          <t>R4</t>
        </is>
      </c>
      <c r="D242" s="78" t="inlineStr">
        <is>
          <t>NG</t>
        </is>
      </c>
      <c r="E242" s="76" t="inlineStr">
        <is>
          <t>N1</t>
        </is>
      </c>
      <c r="F242" s="76" t="inlineStr">
        <is>
          <t>K043</t>
        </is>
      </c>
      <c r="G242" s="64" t="n">
        <v>7.79</v>
      </c>
      <c r="H242" s="65" t="n"/>
      <c r="I242" s="66" t="n"/>
      <c r="J242" s="67">
        <f>VLOOKUP(C242,Recipes!$A$2:$N$4,10,FALSE())</f>
        <v/>
      </c>
      <c r="K242" s="68">
        <f>VLOOKUP(C242,Recipes!$A$2:$N$4,12,FALSE())</f>
        <v/>
      </c>
      <c r="L242" s="67">
        <f>J242-3*K242</f>
        <v/>
      </c>
      <c r="M242" s="67">
        <f>J242+3*K242</f>
        <v/>
      </c>
      <c r="N242" s="61">
        <f>IF(G242="","",IF(AND(G242&gt;=L242,G242&lt;=M242),"OK","NG"))</f>
        <v/>
      </c>
      <c r="O242" s="69">
        <f>IF(N242="","",IF(N242=D242,1,0))</f>
        <v/>
      </c>
      <c r="P242" s="67">
        <f>IF(G242="","",J242-G242)</f>
        <v/>
      </c>
      <c r="Q242" s="67">
        <f>IF(G242="","",ABS(P242-Components!$D$2)/Components!$E$2)</f>
        <v/>
      </c>
      <c r="R242" s="67">
        <f>IF(G242="","",ABS(P242-Components!$D$3)/Components!$E$3)</f>
        <v/>
      </c>
      <c r="S242" s="67">
        <f>IF(G242="","",ABS(P242-Components!$D$4)/Components!$E$4)</f>
        <v/>
      </c>
      <c r="T242" s="67">
        <f>IF(G242="","",ABS(P242-Components!$D$5)/Components!$E$5)</f>
        <v/>
      </c>
      <c r="U242" s="67">
        <f>IF(G242="","",ABS(P242-Components!$D$6)/Components!$E$6)</f>
        <v/>
      </c>
      <c r="V242" s="67">
        <f>IF(G242="","",ABS(P242-Components!$D$7)/Components!$E$7)</f>
        <v/>
      </c>
      <c r="W242" s="61">
        <f>IF(G242="","",IF(N242="OK","NONE",INDEX({"S1","S2","W1","W2","N1","N2"},MATCH(MIN(Q242:V242),Q242:V242,0))))</f>
        <v/>
      </c>
      <c r="X242" s="69">
        <f>IF(G242="","",IF(W242=E242,1,0))</f>
        <v/>
      </c>
    </row>
    <row r="243">
      <c r="A243" s="61" t="n">
        <v>-10.1</v>
      </c>
      <c r="B243" s="62" t="n">
        <v>61.9</v>
      </c>
      <c r="C243" s="61" t="inlineStr">
        <is>
          <t>R4</t>
        </is>
      </c>
      <c r="D243" s="74" t="inlineStr">
        <is>
          <t>NG</t>
        </is>
      </c>
      <c r="E243" s="61" t="inlineStr">
        <is>
          <t>S2</t>
        </is>
      </c>
      <c r="F243" s="61" t="inlineStr">
        <is>
          <t>K038</t>
        </is>
      </c>
      <c r="G243" s="75" t="n">
        <v>4.94</v>
      </c>
      <c r="H243" s="65" t="n"/>
      <c r="I243" s="66" t="n"/>
      <c r="J243" s="67">
        <f>VLOOKUP(C243,Recipes!$A$2:$N$4,10,FALSE())</f>
        <v/>
      </c>
      <c r="K243" s="68">
        <f>VLOOKUP(C243,Recipes!$A$2:$N$4,12,FALSE())</f>
        <v/>
      </c>
      <c r="L243" s="67">
        <f>J243-3*K243</f>
        <v/>
      </c>
      <c r="M243" s="67">
        <f>J243+3*K243</f>
        <v/>
      </c>
      <c r="N243" s="61">
        <f>IF(G243="","",IF(AND(G243&gt;=L243,G243&lt;=M243),"OK","NG"))</f>
        <v/>
      </c>
      <c r="O243" s="69">
        <f>IF(N243="","",IF(N243=D243,1,0))</f>
        <v/>
      </c>
      <c r="P243" s="67">
        <f>IF(G243="","",J243-G243)</f>
        <v/>
      </c>
      <c r="Q243" s="67">
        <f>IF(G243="","",ABS(P243-Components!$D$2)/Components!$E$2)</f>
        <v/>
      </c>
      <c r="R243" s="67">
        <f>IF(G243="","",ABS(P243-Components!$D$3)/Components!$E$3)</f>
        <v/>
      </c>
      <c r="S243" s="67">
        <f>IF(G243="","",ABS(P243-Components!$D$4)/Components!$E$4)</f>
        <v/>
      </c>
      <c r="T243" s="67">
        <f>IF(G243="","",ABS(P243-Components!$D$5)/Components!$E$5)</f>
        <v/>
      </c>
      <c r="U243" s="67">
        <f>IF(G243="","",ABS(P243-Components!$D$6)/Components!$E$6)</f>
        <v/>
      </c>
      <c r="V243" s="67">
        <f>IF(G243="","",ABS(P243-Components!$D$7)/Components!$E$7)</f>
        <v/>
      </c>
      <c r="W243" s="61">
        <f>IF(G243="","",IF(N243="OK","NONE",INDEX({"S1","S2","W1","W2","N1","N2"},MATCH(MIN(Q243:V243),Q243:V243,0))))</f>
        <v/>
      </c>
      <c r="X243" s="69">
        <f>IF(G243="","",IF(W243=E243,1,0))</f>
        <v/>
      </c>
    </row>
    <row r="244">
      <c r="A244" s="61" t="n">
        <v>-8.199999999999999</v>
      </c>
      <c r="B244" s="62" t="n">
        <v>60.8</v>
      </c>
      <c r="C244" s="61" t="inlineStr">
        <is>
          <t>R4</t>
        </is>
      </c>
      <c r="D244" s="74" t="inlineStr">
        <is>
          <t>NG</t>
        </is>
      </c>
      <c r="E244" s="61" t="inlineStr">
        <is>
          <t>S2</t>
        </is>
      </c>
      <c r="F244" s="61" t="inlineStr">
        <is>
          <t>K039</t>
        </is>
      </c>
      <c r="G244" s="75" t="n">
        <v>4.91</v>
      </c>
      <c r="H244" s="65" t="n"/>
      <c r="I244" s="66" t="n"/>
      <c r="J244" s="67">
        <f>VLOOKUP(C244,Recipes!$A$2:$N$4,10,FALSE())</f>
        <v/>
      </c>
      <c r="K244" s="68">
        <f>VLOOKUP(C244,Recipes!$A$2:$N$4,12,FALSE())</f>
        <v/>
      </c>
      <c r="L244" s="67">
        <f>J244-3*K244</f>
        <v/>
      </c>
      <c r="M244" s="67">
        <f>J244+3*K244</f>
        <v/>
      </c>
      <c r="N244" s="61">
        <f>IF(G244="","",IF(AND(G244&gt;=L244,G244&lt;=M244),"OK","NG"))</f>
        <v/>
      </c>
      <c r="O244" s="69">
        <f>IF(N244="","",IF(N244=D244,1,0))</f>
        <v/>
      </c>
      <c r="P244" s="67">
        <f>IF(G244="","",J244-G244)</f>
        <v/>
      </c>
      <c r="Q244" s="67">
        <f>IF(G244="","",ABS(P244-Components!$D$2)/Components!$E$2)</f>
        <v/>
      </c>
      <c r="R244" s="67">
        <f>IF(G244="","",ABS(P244-Components!$D$3)/Components!$E$3)</f>
        <v/>
      </c>
      <c r="S244" s="67">
        <f>IF(G244="","",ABS(P244-Components!$D$4)/Components!$E$4)</f>
        <v/>
      </c>
      <c r="T244" s="67">
        <f>IF(G244="","",ABS(P244-Components!$D$5)/Components!$E$5)</f>
        <v/>
      </c>
      <c r="U244" s="67">
        <f>IF(G244="","",ABS(P244-Components!$D$6)/Components!$E$6)</f>
        <v/>
      </c>
      <c r="V244" s="67">
        <f>IF(G244="","",ABS(P244-Components!$D$7)/Components!$E$7)</f>
        <v/>
      </c>
      <c r="W244" s="61">
        <f>IF(G244="","",IF(N244="OK","NONE",INDEX({"S1","S2","W1","W2","N1","N2"},MATCH(MIN(Q244:V244),Q244:V244,0))))</f>
        <v/>
      </c>
      <c r="X244" s="69">
        <f>IF(G244="","",IF(W244=E244,1,0))</f>
        <v/>
      </c>
    </row>
    <row r="245">
      <c r="A245" s="61" t="n">
        <v>-6.3</v>
      </c>
      <c r="B245" s="62" t="n">
        <v>59.7</v>
      </c>
      <c r="C245" s="61" t="inlineStr">
        <is>
          <t>R4</t>
        </is>
      </c>
      <c r="D245" s="74" t="inlineStr">
        <is>
          <t>NG</t>
        </is>
      </c>
      <c r="E245" s="61" t="inlineStr">
        <is>
          <t>S2</t>
        </is>
      </c>
      <c r="F245" s="61" t="inlineStr">
        <is>
          <t>K040</t>
        </is>
      </c>
      <c r="G245" s="75" t="n">
        <v>4.81</v>
      </c>
      <c r="H245" s="65" t="n"/>
      <c r="I245" s="66" t="n"/>
      <c r="J245" s="67">
        <f>VLOOKUP(C245,Recipes!$A$2:$N$4,10,FALSE())</f>
        <v/>
      </c>
      <c r="K245" s="68">
        <f>VLOOKUP(C245,Recipes!$A$2:$N$4,12,FALSE())</f>
        <v/>
      </c>
      <c r="L245" s="67">
        <f>J245-3*K245</f>
        <v/>
      </c>
      <c r="M245" s="67">
        <f>J245+3*K245</f>
        <v/>
      </c>
      <c r="N245" s="61">
        <f>IF(G245="","",IF(AND(G245&gt;=L245,G245&lt;=M245),"OK","NG"))</f>
        <v/>
      </c>
      <c r="O245" s="69">
        <f>IF(N245="","",IF(N245=D245,1,0))</f>
        <v/>
      </c>
      <c r="P245" s="67">
        <f>IF(G245="","",J245-G245)</f>
        <v/>
      </c>
      <c r="Q245" s="67">
        <f>IF(G245="","",ABS(P245-Components!$D$2)/Components!$E$2)</f>
        <v/>
      </c>
      <c r="R245" s="67">
        <f>IF(G245="","",ABS(P245-Components!$D$3)/Components!$E$3)</f>
        <v/>
      </c>
      <c r="S245" s="67">
        <f>IF(G245="","",ABS(P245-Components!$D$4)/Components!$E$4)</f>
        <v/>
      </c>
      <c r="T245" s="67">
        <f>IF(G245="","",ABS(P245-Components!$D$5)/Components!$E$5)</f>
        <v/>
      </c>
      <c r="U245" s="67">
        <f>IF(G245="","",ABS(P245-Components!$D$6)/Components!$E$6)</f>
        <v/>
      </c>
      <c r="V245" s="67">
        <f>IF(G245="","",ABS(P245-Components!$D$7)/Components!$E$7)</f>
        <v/>
      </c>
      <c r="W245" s="61">
        <f>IF(G245="","",IF(N245="OK","NONE",INDEX({"S1","S2","W1","W2","N1","N2"},MATCH(MIN(Q245:V245),Q245:V245,0))))</f>
        <v/>
      </c>
      <c r="X245" s="69">
        <f>IF(G245="","",IF(W245=E245,1,0))</f>
        <v/>
      </c>
    </row>
    <row r="246">
      <c r="A246" s="76" t="n">
        <v>-4.4</v>
      </c>
      <c r="B246" s="77" t="n">
        <v>58.6</v>
      </c>
      <c r="C246" s="76" t="inlineStr">
        <is>
          <t>R4</t>
        </is>
      </c>
      <c r="D246" s="78" t="inlineStr">
        <is>
          <t>NG</t>
        </is>
      </c>
      <c r="E246" s="76" t="inlineStr">
        <is>
          <t>S2</t>
        </is>
      </c>
      <c r="F246" s="76" t="inlineStr">
        <is>
          <t>K044</t>
        </is>
      </c>
      <c r="G246" s="75" t="n">
        <v>4.92</v>
      </c>
      <c r="H246" s="65" t="n"/>
      <c r="I246" s="66" t="n"/>
      <c r="J246" s="67">
        <f>VLOOKUP(C246,Recipes!$A$2:$N$4,10,FALSE())</f>
        <v/>
      </c>
      <c r="K246" s="68">
        <f>VLOOKUP(C246,Recipes!$A$2:$N$4,12,FALSE())</f>
        <v/>
      </c>
      <c r="L246" s="67">
        <f>J246-3*K246</f>
        <v/>
      </c>
      <c r="M246" s="67">
        <f>J246+3*K246</f>
        <v/>
      </c>
      <c r="N246" s="61">
        <f>IF(G246="","",IF(AND(G246&gt;=L246,G246&lt;=M246),"OK","NG"))</f>
        <v/>
      </c>
      <c r="O246" s="69">
        <f>IF(N246="","",IF(N246=D246,1,0))</f>
        <v/>
      </c>
      <c r="P246" s="67">
        <f>IF(G246="","",J246-G246)</f>
        <v/>
      </c>
      <c r="Q246" s="67">
        <f>IF(G246="","",ABS(P246-Components!$D$2)/Components!$E$2)</f>
        <v/>
      </c>
      <c r="R246" s="67">
        <f>IF(G246="","",ABS(P246-Components!$D$3)/Components!$E$3)</f>
        <v/>
      </c>
      <c r="S246" s="67">
        <f>IF(G246="","",ABS(P246-Components!$D$4)/Components!$E$4)</f>
        <v/>
      </c>
      <c r="T246" s="67">
        <f>IF(G246="","",ABS(P246-Components!$D$5)/Components!$E$5)</f>
        <v/>
      </c>
      <c r="U246" s="67">
        <f>IF(G246="","",ABS(P246-Components!$D$6)/Components!$E$6)</f>
        <v/>
      </c>
      <c r="V246" s="67">
        <f>IF(G246="","",ABS(P246-Components!$D$7)/Components!$E$7)</f>
        <v/>
      </c>
      <c r="W246" s="61">
        <f>IF(G246="","",IF(N246="OK","NONE",INDEX({"S1","S2","W1","W2","N1","N2"},MATCH(MIN(Q246:V246),Q246:V246,0))))</f>
        <v/>
      </c>
      <c r="X246" s="69">
        <f>IF(G246="","",IF(W246=E246,1,0))</f>
        <v/>
      </c>
    </row>
    <row r="247">
      <c r="A247" s="76" t="n">
        <v>-2.5</v>
      </c>
      <c r="B247" s="77" t="n">
        <v>57.5</v>
      </c>
      <c r="C247" s="76" t="inlineStr">
        <is>
          <t>R4</t>
        </is>
      </c>
      <c r="D247" s="78" t="inlineStr">
        <is>
          <t>NG</t>
        </is>
      </c>
      <c r="E247" s="76" t="inlineStr">
        <is>
          <t>S2</t>
        </is>
      </c>
      <c r="F247" s="76" t="inlineStr">
        <is>
          <t>K045</t>
        </is>
      </c>
      <c r="G247" s="75" t="n">
        <v>4.87</v>
      </c>
      <c r="H247" s="65" t="n"/>
      <c r="I247" s="66" t="n"/>
      <c r="J247" s="67">
        <f>VLOOKUP(C247,Recipes!$A$2:$N$4,10,FALSE())</f>
        <v/>
      </c>
      <c r="K247" s="68">
        <f>VLOOKUP(C247,Recipes!$A$2:$N$4,12,FALSE())</f>
        <v/>
      </c>
      <c r="L247" s="67">
        <f>J247-3*K247</f>
        <v/>
      </c>
      <c r="M247" s="67">
        <f>J247+3*K247</f>
        <v/>
      </c>
      <c r="N247" s="61">
        <f>IF(G247="","",IF(AND(G247&gt;=L247,G247&lt;=M247),"OK","NG"))</f>
        <v/>
      </c>
      <c r="O247" s="69">
        <f>IF(N247="","",IF(N247=D247,1,0))</f>
        <v/>
      </c>
      <c r="P247" s="67">
        <f>IF(G247="","",J247-G247)</f>
        <v/>
      </c>
      <c r="Q247" s="67">
        <f>IF(G247="","",ABS(P247-Components!$D$2)/Components!$E$2)</f>
        <v/>
      </c>
      <c r="R247" s="67">
        <f>IF(G247="","",ABS(P247-Components!$D$3)/Components!$E$3)</f>
        <v/>
      </c>
      <c r="S247" s="67">
        <f>IF(G247="","",ABS(P247-Components!$D$4)/Components!$E$4)</f>
        <v/>
      </c>
      <c r="T247" s="67">
        <f>IF(G247="","",ABS(P247-Components!$D$5)/Components!$E$5)</f>
        <v/>
      </c>
      <c r="U247" s="67">
        <f>IF(G247="","",ABS(P247-Components!$D$6)/Components!$E$6)</f>
        <v/>
      </c>
      <c r="V247" s="67">
        <f>IF(G247="","",ABS(P247-Components!$D$7)/Components!$E$7)</f>
        <v/>
      </c>
      <c r="W247" s="61">
        <f>IF(G247="","",IF(N247="OK","NONE",INDEX({"S1","S2","W1","W2","N1","N2"},MATCH(MIN(Q247:V247),Q247:V247,0))))</f>
        <v/>
      </c>
      <c r="X247" s="69">
        <f>IF(G247="","",IF(W247=E247,1,0))</f>
        <v/>
      </c>
    </row>
    <row r="248">
      <c r="A248" s="61" t="n">
        <v>-0.600000000000001</v>
      </c>
      <c r="B248" s="62" t="n">
        <v>56.4</v>
      </c>
      <c r="C248" s="61" t="inlineStr">
        <is>
          <t>R4</t>
        </is>
      </c>
      <c r="D248" s="74" t="inlineStr">
        <is>
          <t>NG</t>
        </is>
      </c>
      <c r="E248" s="61" t="inlineStr">
        <is>
          <t>S2</t>
        </is>
      </c>
      <c r="F248" s="61" t="inlineStr">
        <is>
          <t>K038</t>
        </is>
      </c>
      <c r="G248" s="75" t="n">
        <v>4.94</v>
      </c>
      <c r="H248" s="65" t="n"/>
      <c r="I248" s="66" t="n"/>
      <c r="J248" s="67">
        <f>VLOOKUP(C248,Recipes!$A$2:$N$4,10,FALSE())</f>
        <v/>
      </c>
      <c r="K248" s="68">
        <f>VLOOKUP(C248,Recipes!$A$2:$N$4,12,FALSE())</f>
        <v/>
      </c>
      <c r="L248" s="67">
        <f>J248-3*K248</f>
        <v/>
      </c>
      <c r="M248" s="67">
        <f>J248+3*K248</f>
        <v/>
      </c>
      <c r="N248" s="61">
        <f>IF(G248="","",IF(AND(G248&gt;=L248,G248&lt;=M248),"OK","NG"))</f>
        <v/>
      </c>
      <c r="O248" s="69">
        <f>IF(N248="","",IF(N248=D248,1,0))</f>
        <v/>
      </c>
      <c r="P248" s="67">
        <f>IF(G248="","",J248-G248)</f>
        <v/>
      </c>
      <c r="Q248" s="67">
        <f>IF(G248="","",ABS(P248-Components!$D$2)/Components!$E$2)</f>
        <v/>
      </c>
      <c r="R248" s="67">
        <f>IF(G248="","",ABS(P248-Components!$D$3)/Components!$E$3)</f>
        <v/>
      </c>
      <c r="S248" s="67">
        <f>IF(G248="","",ABS(P248-Components!$D$4)/Components!$E$4)</f>
        <v/>
      </c>
      <c r="T248" s="67">
        <f>IF(G248="","",ABS(P248-Components!$D$5)/Components!$E$5)</f>
        <v/>
      </c>
      <c r="U248" s="67">
        <f>IF(G248="","",ABS(P248-Components!$D$6)/Components!$E$6)</f>
        <v/>
      </c>
      <c r="V248" s="67">
        <f>IF(G248="","",ABS(P248-Components!$D$7)/Components!$E$7)</f>
        <v/>
      </c>
      <c r="W248" s="61">
        <f>IF(G248="","",IF(N248="OK","NONE",INDEX({"S1","S2","W1","W2","N1","N2"},MATCH(MIN(Q248:V248),Q248:V248,0))))</f>
        <v/>
      </c>
      <c r="X248" s="69">
        <f>IF(G248="","",IF(W248=E248,1,0))</f>
        <v/>
      </c>
    </row>
    <row r="249">
      <c r="A249" s="61" t="n">
        <v>1.3</v>
      </c>
      <c r="B249" s="62" t="n">
        <v>55.3</v>
      </c>
      <c r="C249" s="61" t="inlineStr">
        <is>
          <t>R4</t>
        </is>
      </c>
      <c r="D249" s="74" t="inlineStr">
        <is>
          <t>NG</t>
        </is>
      </c>
      <c r="E249" s="61" t="inlineStr">
        <is>
          <t>S2</t>
        </is>
      </c>
      <c r="F249" s="61" t="inlineStr">
        <is>
          <t>K039</t>
        </is>
      </c>
      <c r="G249" s="75" t="n">
        <v>4.89</v>
      </c>
      <c r="H249" s="65" t="n"/>
      <c r="I249" s="66" t="n"/>
      <c r="J249" s="67">
        <f>VLOOKUP(C249,Recipes!$A$2:$N$4,10,FALSE())</f>
        <v/>
      </c>
      <c r="K249" s="68">
        <f>VLOOKUP(C249,Recipes!$A$2:$N$4,12,FALSE())</f>
        <v/>
      </c>
      <c r="L249" s="67">
        <f>J249-3*K249</f>
        <v/>
      </c>
      <c r="M249" s="67">
        <f>J249+3*K249</f>
        <v/>
      </c>
      <c r="N249" s="61">
        <f>IF(G249="","",IF(AND(G249&gt;=L249,G249&lt;=M249),"OK","NG"))</f>
        <v/>
      </c>
      <c r="O249" s="69">
        <f>IF(N249="","",IF(N249=D249,1,0))</f>
        <v/>
      </c>
      <c r="P249" s="67">
        <f>IF(G249="","",J249-G249)</f>
        <v/>
      </c>
      <c r="Q249" s="67">
        <f>IF(G249="","",ABS(P249-Components!$D$2)/Components!$E$2)</f>
        <v/>
      </c>
      <c r="R249" s="67">
        <f>IF(G249="","",ABS(P249-Components!$D$3)/Components!$E$3)</f>
        <v/>
      </c>
      <c r="S249" s="67">
        <f>IF(G249="","",ABS(P249-Components!$D$4)/Components!$E$4)</f>
        <v/>
      </c>
      <c r="T249" s="67">
        <f>IF(G249="","",ABS(P249-Components!$D$5)/Components!$E$5)</f>
        <v/>
      </c>
      <c r="U249" s="67">
        <f>IF(G249="","",ABS(P249-Components!$D$6)/Components!$E$6)</f>
        <v/>
      </c>
      <c r="V249" s="67">
        <f>IF(G249="","",ABS(P249-Components!$D$7)/Components!$E$7)</f>
        <v/>
      </c>
      <c r="W249" s="61">
        <f>IF(G249="","",IF(N249="OK","NONE",INDEX({"S1","S2","W1","W2","N1","N2"},MATCH(MIN(Q249:V249),Q249:V249,0))))</f>
        <v/>
      </c>
      <c r="X249" s="69">
        <f>IF(G249="","",IF(W249=E249,1,0))</f>
        <v/>
      </c>
    </row>
    <row r="250">
      <c r="A250" s="61" t="n">
        <v>3.2</v>
      </c>
      <c r="B250" s="62" t="n">
        <v>54.2</v>
      </c>
      <c r="C250" s="61" t="inlineStr">
        <is>
          <t>R4</t>
        </is>
      </c>
      <c r="D250" s="74" t="inlineStr">
        <is>
          <t>NG</t>
        </is>
      </c>
      <c r="E250" s="61" t="inlineStr">
        <is>
          <t>S2</t>
        </is>
      </c>
      <c r="F250" s="61" t="inlineStr">
        <is>
          <t>K040</t>
        </is>
      </c>
      <c r="G250" s="75" t="n">
        <v>4.86</v>
      </c>
      <c r="H250" s="65" t="n"/>
      <c r="I250" s="66" t="n"/>
      <c r="J250" s="67">
        <f>VLOOKUP(C250,Recipes!$A$2:$N$4,10,FALSE())</f>
        <v/>
      </c>
      <c r="K250" s="68">
        <f>VLOOKUP(C250,Recipes!$A$2:$N$4,12,FALSE())</f>
        <v/>
      </c>
      <c r="L250" s="67">
        <f>J250-3*K250</f>
        <v/>
      </c>
      <c r="M250" s="67">
        <f>J250+3*K250</f>
        <v/>
      </c>
      <c r="N250" s="61">
        <f>IF(G250="","",IF(AND(G250&gt;=L250,G250&lt;=M250),"OK","NG"))</f>
        <v/>
      </c>
      <c r="O250" s="69">
        <f>IF(N250="","",IF(N250=D250,1,0))</f>
        <v/>
      </c>
      <c r="P250" s="67">
        <f>IF(G250="","",J250-G250)</f>
        <v/>
      </c>
      <c r="Q250" s="67">
        <f>IF(G250="","",ABS(P250-Components!$D$2)/Components!$E$2)</f>
        <v/>
      </c>
      <c r="R250" s="67">
        <f>IF(G250="","",ABS(P250-Components!$D$3)/Components!$E$3)</f>
        <v/>
      </c>
      <c r="S250" s="67">
        <f>IF(G250="","",ABS(P250-Components!$D$4)/Components!$E$4)</f>
        <v/>
      </c>
      <c r="T250" s="67">
        <f>IF(G250="","",ABS(P250-Components!$D$5)/Components!$E$5)</f>
        <v/>
      </c>
      <c r="U250" s="67">
        <f>IF(G250="","",ABS(P250-Components!$D$6)/Components!$E$6)</f>
        <v/>
      </c>
      <c r="V250" s="67">
        <f>IF(G250="","",ABS(P250-Components!$D$7)/Components!$E$7)</f>
        <v/>
      </c>
      <c r="W250" s="61">
        <f>IF(G250="","",IF(N250="OK","NONE",INDEX({"S1","S2","W1","W2","N1","N2"},MATCH(MIN(Q250:V250),Q250:V250,0))))</f>
        <v/>
      </c>
      <c r="X250" s="69">
        <f>IF(G250="","",IF(W250=E250,1,0))</f>
        <v/>
      </c>
    </row>
    <row r="251">
      <c r="A251" s="76" t="n">
        <v>5.1</v>
      </c>
      <c r="B251" s="77" t="n">
        <v>53.1</v>
      </c>
      <c r="C251" s="76" t="inlineStr">
        <is>
          <t>R4</t>
        </is>
      </c>
      <c r="D251" s="78" t="inlineStr">
        <is>
          <t>NG</t>
        </is>
      </c>
      <c r="E251" s="76" t="inlineStr">
        <is>
          <t>S2</t>
        </is>
      </c>
      <c r="F251" s="76" t="inlineStr">
        <is>
          <t>K044</t>
        </is>
      </c>
      <c r="G251" s="75" t="n">
        <v>4.97</v>
      </c>
      <c r="H251" s="65" t="n"/>
      <c r="I251" s="66" t="n"/>
      <c r="J251" s="67">
        <f>VLOOKUP(C251,Recipes!$A$2:$N$4,10,FALSE())</f>
        <v/>
      </c>
      <c r="K251" s="68">
        <f>VLOOKUP(C251,Recipes!$A$2:$N$4,12,FALSE())</f>
        <v/>
      </c>
      <c r="L251" s="67">
        <f>J251-3*K251</f>
        <v/>
      </c>
      <c r="M251" s="67">
        <f>J251+3*K251</f>
        <v/>
      </c>
      <c r="N251" s="61">
        <f>IF(G251="","",IF(AND(G251&gt;=L251,G251&lt;=M251),"OK","NG"))</f>
        <v/>
      </c>
      <c r="O251" s="69">
        <f>IF(N251="","",IF(N251=D251,1,0))</f>
        <v/>
      </c>
      <c r="P251" s="67">
        <f>IF(G251="","",J251-G251)</f>
        <v/>
      </c>
      <c r="Q251" s="67">
        <f>IF(G251="","",ABS(P251-Components!$D$2)/Components!$E$2)</f>
        <v/>
      </c>
      <c r="R251" s="67">
        <f>IF(G251="","",ABS(P251-Components!$D$3)/Components!$E$3)</f>
        <v/>
      </c>
      <c r="S251" s="67">
        <f>IF(G251="","",ABS(P251-Components!$D$4)/Components!$E$4)</f>
        <v/>
      </c>
      <c r="T251" s="67">
        <f>IF(G251="","",ABS(P251-Components!$D$5)/Components!$E$5)</f>
        <v/>
      </c>
      <c r="U251" s="67">
        <f>IF(G251="","",ABS(P251-Components!$D$6)/Components!$E$6)</f>
        <v/>
      </c>
      <c r="V251" s="67">
        <f>IF(G251="","",ABS(P251-Components!$D$7)/Components!$E$7)</f>
        <v/>
      </c>
      <c r="W251" s="61">
        <f>IF(G251="","",IF(N251="OK","NONE",INDEX({"S1","S2","W1","W2","N1","N2"},MATCH(MIN(Q251:V251),Q251:V251,0))))</f>
        <v/>
      </c>
      <c r="X251" s="69">
        <f>IF(G251="","",IF(W251=E251,1,0))</f>
        <v/>
      </c>
    </row>
    <row r="252">
      <c r="A252" s="76" t="n">
        <v>7</v>
      </c>
      <c r="B252" s="77" t="n">
        <v>52</v>
      </c>
      <c r="C252" s="76" t="inlineStr">
        <is>
          <t>R4</t>
        </is>
      </c>
      <c r="D252" s="78" t="inlineStr">
        <is>
          <t>NG</t>
        </is>
      </c>
      <c r="E252" s="76" t="inlineStr">
        <is>
          <t>S2</t>
        </is>
      </c>
      <c r="F252" s="76" t="inlineStr">
        <is>
          <t>K045</t>
        </is>
      </c>
      <c r="G252" s="75" t="n">
        <v>4.88</v>
      </c>
      <c r="H252" s="65" t="n"/>
      <c r="I252" s="66" t="n"/>
      <c r="J252" s="67">
        <f>VLOOKUP(C252,Recipes!$A$2:$N$4,10,FALSE())</f>
        <v/>
      </c>
      <c r="K252" s="68">
        <f>VLOOKUP(C252,Recipes!$A$2:$N$4,12,FALSE())</f>
        <v/>
      </c>
      <c r="L252" s="67">
        <f>J252-3*K252</f>
        <v/>
      </c>
      <c r="M252" s="67">
        <f>J252+3*K252</f>
        <v/>
      </c>
      <c r="N252" s="61">
        <f>IF(G252="","",IF(AND(G252&gt;=L252,G252&lt;=M252),"OK","NG"))</f>
        <v/>
      </c>
      <c r="O252" s="69">
        <f>IF(N252="","",IF(N252=D252,1,0))</f>
        <v/>
      </c>
      <c r="P252" s="67">
        <f>IF(G252="","",J252-G252)</f>
        <v/>
      </c>
      <c r="Q252" s="67">
        <f>IF(G252="","",ABS(P252-Components!$D$2)/Components!$E$2)</f>
        <v/>
      </c>
      <c r="R252" s="67">
        <f>IF(G252="","",ABS(P252-Components!$D$3)/Components!$E$3)</f>
        <v/>
      </c>
      <c r="S252" s="67">
        <f>IF(G252="","",ABS(P252-Components!$D$4)/Components!$E$4)</f>
        <v/>
      </c>
      <c r="T252" s="67">
        <f>IF(G252="","",ABS(P252-Components!$D$5)/Components!$E$5)</f>
        <v/>
      </c>
      <c r="U252" s="67">
        <f>IF(G252="","",ABS(P252-Components!$D$6)/Components!$E$6)</f>
        <v/>
      </c>
      <c r="V252" s="67">
        <f>IF(G252="","",ABS(P252-Components!$D$7)/Components!$E$7)</f>
        <v/>
      </c>
      <c r="W252" s="61">
        <f>IF(G252="","",IF(N252="OK","NONE",INDEX({"S1","S2","W1","W2","N1","N2"},MATCH(MIN(Q252:V252),Q252:V252,0))))</f>
        <v/>
      </c>
      <c r="X252" s="69">
        <f>IF(G252="","",IF(W252=E252,1,0))</f>
        <v/>
      </c>
    </row>
    <row r="253">
      <c r="A253" s="61" t="n">
        <v>8.9</v>
      </c>
      <c r="B253" s="62" t="n">
        <v>50.9</v>
      </c>
      <c r="C253" s="61" t="inlineStr">
        <is>
          <t>R4</t>
        </is>
      </c>
      <c r="D253" s="74" t="inlineStr">
        <is>
          <t>NG</t>
        </is>
      </c>
      <c r="E253" s="61" t="inlineStr">
        <is>
          <t>S2</t>
        </is>
      </c>
      <c r="F253" s="61" t="inlineStr">
        <is>
          <t>K038</t>
        </is>
      </c>
      <c r="G253" s="75" t="n">
        <v>4.83</v>
      </c>
      <c r="H253" s="65" t="n"/>
      <c r="I253" s="66" t="n"/>
      <c r="J253" s="67">
        <f>VLOOKUP(C253,Recipes!$A$2:$N$4,10,FALSE())</f>
        <v/>
      </c>
      <c r="K253" s="68">
        <f>VLOOKUP(C253,Recipes!$A$2:$N$4,12,FALSE())</f>
        <v/>
      </c>
      <c r="L253" s="67">
        <f>J253-3*K253</f>
        <v/>
      </c>
      <c r="M253" s="67">
        <f>J253+3*K253</f>
        <v/>
      </c>
      <c r="N253" s="61">
        <f>IF(G253="","",IF(AND(G253&gt;=L253,G253&lt;=M253),"OK","NG"))</f>
        <v/>
      </c>
      <c r="O253" s="69">
        <f>IF(N253="","",IF(N253=D253,1,0))</f>
        <v/>
      </c>
      <c r="P253" s="67">
        <f>IF(G253="","",J253-G253)</f>
        <v/>
      </c>
      <c r="Q253" s="67">
        <f>IF(G253="","",ABS(P253-Components!$D$2)/Components!$E$2)</f>
        <v/>
      </c>
      <c r="R253" s="67">
        <f>IF(G253="","",ABS(P253-Components!$D$3)/Components!$E$3)</f>
        <v/>
      </c>
      <c r="S253" s="67">
        <f>IF(G253="","",ABS(P253-Components!$D$4)/Components!$E$4)</f>
        <v/>
      </c>
      <c r="T253" s="67">
        <f>IF(G253="","",ABS(P253-Components!$D$5)/Components!$E$5)</f>
        <v/>
      </c>
      <c r="U253" s="67">
        <f>IF(G253="","",ABS(P253-Components!$D$6)/Components!$E$6)</f>
        <v/>
      </c>
      <c r="V253" s="67">
        <f>IF(G253="","",ABS(P253-Components!$D$7)/Components!$E$7)</f>
        <v/>
      </c>
      <c r="W253" s="61">
        <f>IF(G253="","",IF(N253="OK","NONE",INDEX({"S1","S2","W1","W2","N1","N2"},MATCH(MIN(Q253:V253),Q253:V253,0))))</f>
        <v/>
      </c>
      <c r="X253" s="69">
        <f>IF(G253="","",IF(W253=E253,1,0))</f>
        <v/>
      </c>
    </row>
    <row r="254">
      <c r="A254" s="61" t="n">
        <v>10.8</v>
      </c>
      <c r="B254" s="62" t="n">
        <v>49.8</v>
      </c>
      <c r="C254" s="61" t="inlineStr">
        <is>
          <t>R4</t>
        </is>
      </c>
      <c r="D254" s="74" t="inlineStr">
        <is>
          <t>NG</t>
        </is>
      </c>
      <c r="E254" s="61" t="inlineStr">
        <is>
          <t>S2</t>
        </is>
      </c>
      <c r="F254" s="61" t="inlineStr">
        <is>
          <t>K039</t>
        </is>
      </c>
      <c r="G254" s="75" t="n">
        <v>4.87</v>
      </c>
      <c r="H254" s="65" t="n"/>
      <c r="I254" s="66" t="n"/>
      <c r="J254" s="67">
        <f>VLOOKUP(C254,Recipes!$A$2:$N$4,10,FALSE())</f>
        <v/>
      </c>
      <c r="K254" s="68">
        <f>VLOOKUP(C254,Recipes!$A$2:$N$4,12,FALSE())</f>
        <v/>
      </c>
      <c r="L254" s="67">
        <f>J254-3*K254</f>
        <v/>
      </c>
      <c r="M254" s="67">
        <f>J254+3*K254</f>
        <v/>
      </c>
      <c r="N254" s="61">
        <f>IF(G254="","",IF(AND(G254&gt;=L254,G254&lt;=M254),"OK","NG"))</f>
        <v/>
      </c>
      <c r="O254" s="69">
        <f>IF(N254="","",IF(N254=D254,1,0))</f>
        <v/>
      </c>
      <c r="P254" s="67">
        <f>IF(G254="","",J254-G254)</f>
        <v/>
      </c>
      <c r="Q254" s="67">
        <f>IF(G254="","",ABS(P254-Components!$D$2)/Components!$E$2)</f>
        <v/>
      </c>
      <c r="R254" s="67">
        <f>IF(G254="","",ABS(P254-Components!$D$3)/Components!$E$3)</f>
        <v/>
      </c>
      <c r="S254" s="67">
        <f>IF(G254="","",ABS(P254-Components!$D$4)/Components!$E$4)</f>
        <v/>
      </c>
      <c r="T254" s="67">
        <f>IF(G254="","",ABS(P254-Components!$D$5)/Components!$E$5)</f>
        <v/>
      </c>
      <c r="U254" s="67">
        <f>IF(G254="","",ABS(P254-Components!$D$6)/Components!$E$6)</f>
        <v/>
      </c>
      <c r="V254" s="67">
        <f>IF(G254="","",ABS(P254-Components!$D$7)/Components!$E$7)</f>
        <v/>
      </c>
      <c r="W254" s="61">
        <f>IF(G254="","",IF(N254="OK","NONE",INDEX({"S1","S2","W1","W2","N1","N2"},MATCH(MIN(Q254:V254),Q254:V254,0))))</f>
        <v/>
      </c>
      <c r="X254" s="69">
        <f>IF(G254="","",IF(W254=E254,1,0))</f>
        <v/>
      </c>
    </row>
    <row r="255">
      <c r="A255" s="61" t="n">
        <v>12.7</v>
      </c>
      <c r="B255" s="62" t="n">
        <v>48.7</v>
      </c>
      <c r="C255" s="61" t="inlineStr">
        <is>
          <t>R4</t>
        </is>
      </c>
      <c r="D255" s="74" t="inlineStr">
        <is>
          <t>NG</t>
        </is>
      </c>
      <c r="E255" s="61" t="inlineStr">
        <is>
          <t>S2</t>
        </is>
      </c>
      <c r="F255" s="61" t="inlineStr">
        <is>
          <t>K040</t>
        </is>
      </c>
      <c r="G255" s="75" t="n">
        <v>4.93</v>
      </c>
      <c r="H255" s="65" t="n"/>
      <c r="I255" s="66" t="n"/>
      <c r="J255" s="67">
        <f>VLOOKUP(C255,Recipes!$A$2:$N$4,10,FALSE())</f>
        <v/>
      </c>
      <c r="K255" s="68">
        <f>VLOOKUP(C255,Recipes!$A$2:$N$4,12,FALSE())</f>
        <v/>
      </c>
      <c r="L255" s="67">
        <f>J255-3*K255</f>
        <v/>
      </c>
      <c r="M255" s="67">
        <f>J255+3*K255</f>
        <v/>
      </c>
      <c r="N255" s="61">
        <f>IF(G255="","",IF(AND(G255&gt;=L255,G255&lt;=M255),"OK","NG"))</f>
        <v/>
      </c>
      <c r="O255" s="69">
        <f>IF(N255="","",IF(N255=D255,1,0))</f>
        <v/>
      </c>
      <c r="P255" s="67">
        <f>IF(G255="","",J255-G255)</f>
        <v/>
      </c>
      <c r="Q255" s="67">
        <f>IF(G255="","",ABS(P255-Components!$D$2)/Components!$E$2)</f>
        <v/>
      </c>
      <c r="R255" s="67">
        <f>IF(G255="","",ABS(P255-Components!$D$3)/Components!$E$3)</f>
        <v/>
      </c>
      <c r="S255" s="67">
        <f>IF(G255="","",ABS(P255-Components!$D$4)/Components!$E$4)</f>
        <v/>
      </c>
      <c r="T255" s="67">
        <f>IF(G255="","",ABS(P255-Components!$D$5)/Components!$E$5)</f>
        <v/>
      </c>
      <c r="U255" s="67">
        <f>IF(G255="","",ABS(P255-Components!$D$6)/Components!$E$6)</f>
        <v/>
      </c>
      <c r="V255" s="67">
        <f>IF(G255="","",ABS(P255-Components!$D$7)/Components!$E$7)</f>
        <v/>
      </c>
      <c r="W255" s="61">
        <f>IF(G255="","",IF(N255="OK","NONE",INDEX({"S1","S2","W1","W2","N1","N2"},MATCH(MIN(Q255:V255),Q255:V255,0))))</f>
        <v/>
      </c>
      <c r="X255" s="69">
        <f>IF(G255="","",IF(W255=E255,1,0))</f>
        <v/>
      </c>
    </row>
    <row r="256">
      <c r="A256" s="76" t="n">
        <v>14.6</v>
      </c>
      <c r="B256" s="77" t="n">
        <v>47.6</v>
      </c>
      <c r="C256" s="76" t="inlineStr">
        <is>
          <t>R4</t>
        </is>
      </c>
      <c r="D256" s="78" t="inlineStr">
        <is>
          <t>NG</t>
        </is>
      </c>
      <c r="E256" s="76" t="inlineStr">
        <is>
          <t>S2</t>
        </is>
      </c>
      <c r="F256" s="76" t="inlineStr">
        <is>
          <t>K044</t>
        </is>
      </c>
      <c r="G256" s="75" t="n">
        <v>4.91</v>
      </c>
      <c r="H256" s="65" t="n"/>
      <c r="I256" s="66" t="n"/>
      <c r="J256" s="67">
        <f>VLOOKUP(C256,Recipes!$A$2:$N$4,10,FALSE())</f>
        <v/>
      </c>
      <c r="K256" s="68">
        <f>VLOOKUP(C256,Recipes!$A$2:$N$4,12,FALSE())</f>
        <v/>
      </c>
      <c r="L256" s="67">
        <f>J256-3*K256</f>
        <v/>
      </c>
      <c r="M256" s="67">
        <f>J256+3*K256</f>
        <v/>
      </c>
      <c r="N256" s="61">
        <f>IF(G256="","",IF(AND(G256&gt;=L256,G256&lt;=M256),"OK","NG"))</f>
        <v/>
      </c>
      <c r="O256" s="69">
        <f>IF(N256="","",IF(N256=D256,1,0))</f>
        <v/>
      </c>
      <c r="P256" s="67">
        <f>IF(G256="","",J256-G256)</f>
        <v/>
      </c>
      <c r="Q256" s="67">
        <f>IF(G256="","",ABS(P256-Components!$D$2)/Components!$E$2)</f>
        <v/>
      </c>
      <c r="R256" s="67">
        <f>IF(G256="","",ABS(P256-Components!$D$3)/Components!$E$3)</f>
        <v/>
      </c>
      <c r="S256" s="67">
        <f>IF(G256="","",ABS(P256-Components!$D$4)/Components!$E$4)</f>
        <v/>
      </c>
      <c r="T256" s="67">
        <f>IF(G256="","",ABS(P256-Components!$D$5)/Components!$E$5)</f>
        <v/>
      </c>
      <c r="U256" s="67">
        <f>IF(G256="","",ABS(P256-Components!$D$6)/Components!$E$6)</f>
        <v/>
      </c>
      <c r="V256" s="67">
        <f>IF(G256="","",ABS(P256-Components!$D$7)/Components!$E$7)</f>
        <v/>
      </c>
      <c r="W256" s="61">
        <f>IF(G256="","",IF(N256="OK","NONE",INDEX({"S1","S2","W1","W2","N1","N2"},MATCH(MIN(Q256:V256),Q256:V256,0))))</f>
        <v/>
      </c>
      <c r="X256" s="69">
        <f>IF(G256="","",IF(W256=E256,1,0))</f>
        <v/>
      </c>
    </row>
    <row r="257">
      <c r="A257" s="76" t="n">
        <v>16.5</v>
      </c>
      <c r="B257" s="77" t="n">
        <v>46.5</v>
      </c>
      <c r="C257" s="76" t="inlineStr">
        <is>
          <t>R4</t>
        </is>
      </c>
      <c r="D257" s="78" t="inlineStr">
        <is>
          <t>NG</t>
        </is>
      </c>
      <c r="E257" s="76" t="inlineStr">
        <is>
          <t>S2</t>
        </is>
      </c>
      <c r="F257" s="76" t="inlineStr">
        <is>
          <t>K045</t>
        </is>
      </c>
      <c r="G257" s="75" t="n">
        <v>4.88</v>
      </c>
      <c r="H257" s="65" t="n"/>
      <c r="I257" s="66" t="n"/>
      <c r="J257" s="67">
        <f>VLOOKUP(C257,Recipes!$A$2:$N$4,10,FALSE())</f>
        <v/>
      </c>
      <c r="K257" s="68">
        <f>VLOOKUP(C257,Recipes!$A$2:$N$4,12,FALSE())</f>
        <v/>
      </c>
      <c r="L257" s="67">
        <f>J257-3*K257</f>
        <v/>
      </c>
      <c r="M257" s="67">
        <f>J257+3*K257</f>
        <v/>
      </c>
      <c r="N257" s="61">
        <f>IF(G257="","",IF(AND(G257&gt;=L257,G257&lt;=M257),"OK","NG"))</f>
        <v/>
      </c>
      <c r="O257" s="69">
        <f>IF(N257="","",IF(N257=D257,1,0))</f>
        <v/>
      </c>
      <c r="P257" s="67">
        <f>IF(G257="","",J257-G257)</f>
        <v/>
      </c>
      <c r="Q257" s="67">
        <f>IF(G257="","",ABS(P257-Components!$D$2)/Components!$E$2)</f>
        <v/>
      </c>
      <c r="R257" s="67">
        <f>IF(G257="","",ABS(P257-Components!$D$3)/Components!$E$3)</f>
        <v/>
      </c>
      <c r="S257" s="67">
        <f>IF(G257="","",ABS(P257-Components!$D$4)/Components!$E$4)</f>
        <v/>
      </c>
      <c r="T257" s="67">
        <f>IF(G257="","",ABS(P257-Components!$D$5)/Components!$E$5)</f>
        <v/>
      </c>
      <c r="U257" s="67">
        <f>IF(G257="","",ABS(P257-Components!$D$6)/Components!$E$6)</f>
        <v/>
      </c>
      <c r="V257" s="67">
        <f>IF(G257="","",ABS(P257-Components!$D$7)/Components!$E$7)</f>
        <v/>
      </c>
      <c r="W257" s="61">
        <f>IF(G257="","",IF(N257="OK","NONE",INDEX({"S1","S2","W1","W2","N1","N2"},MATCH(MIN(Q257:V257),Q257:V257,0))))</f>
        <v/>
      </c>
      <c r="X257" s="69">
        <f>IF(G257="","",IF(W257=E257,1,0))</f>
        <v/>
      </c>
    </row>
    <row r="258">
      <c r="A258" s="61" t="n">
        <v>18.4</v>
      </c>
      <c r="B258" s="62" t="n">
        <v>45.4</v>
      </c>
      <c r="C258" s="61" t="inlineStr">
        <is>
          <t>R4</t>
        </is>
      </c>
      <c r="D258" s="74" t="inlineStr">
        <is>
          <t>NG</t>
        </is>
      </c>
      <c r="E258" s="61" t="inlineStr">
        <is>
          <t>S2</t>
        </is>
      </c>
      <c r="F258" s="61" t="inlineStr">
        <is>
          <t>K038</t>
        </is>
      </c>
      <c r="G258" s="75" t="n">
        <v>4.87</v>
      </c>
      <c r="H258" s="65" t="n"/>
      <c r="I258" s="66" t="n"/>
      <c r="J258" s="67">
        <f>VLOOKUP(C258,Recipes!$A$2:$N$4,10,FALSE())</f>
        <v/>
      </c>
      <c r="K258" s="68">
        <f>VLOOKUP(C258,Recipes!$A$2:$N$4,12,FALSE())</f>
        <v/>
      </c>
      <c r="L258" s="67">
        <f>J258-3*K258</f>
        <v/>
      </c>
      <c r="M258" s="67">
        <f>J258+3*K258</f>
        <v/>
      </c>
      <c r="N258" s="61">
        <f>IF(G258="","",IF(AND(G258&gt;=L258,G258&lt;=M258),"OK","NG"))</f>
        <v/>
      </c>
      <c r="O258" s="69">
        <f>IF(N258="","",IF(N258=D258,1,0))</f>
        <v/>
      </c>
      <c r="P258" s="67">
        <f>IF(G258="","",J258-G258)</f>
        <v/>
      </c>
      <c r="Q258" s="67">
        <f>IF(G258="","",ABS(P258-Components!$D$2)/Components!$E$2)</f>
        <v/>
      </c>
      <c r="R258" s="67">
        <f>IF(G258="","",ABS(P258-Components!$D$3)/Components!$E$3)</f>
        <v/>
      </c>
      <c r="S258" s="67">
        <f>IF(G258="","",ABS(P258-Components!$D$4)/Components!$E$4)</f>
        <v/>
      </c>
      <c r="T258" s="67">
        <f>IF(G258="","",ABS(P258-Components!$D$5)/Components!$E$5)</f>
        <v/>
      </c>
      <c r="U258" s="67">
        <f>IF(G258="","",ABS(P258-Components!$D$6)/Components!$E$6)</f>
        <v/>
      </c>
      <c r="V258" s="67">
        <f>IF(G258="","",ABS(P258-Components!$D$7)/Components!$E$7)</f>
        <v/>
      </c>
      <c r="W258" s="61">
        <f>IF(G258="","",IF(N258="OK","NONE",INDEX({"S1","S2","W1","W2","N1","N2"},MATCH(MIN(Q258:V258),Q258:V258,0))))</f>
        <v/>
      </c>
      <c r="X258" s="69">
        <f>IF(G258="","",IF(W258=E258,1,0))</f>
        <v/>
      </c>
    </row>
    <row r="259">
      <c r="A259" s="61" t="n">
        <v>20.3</v>
      </c>
      <c r="B259" s="62" t="n">
        <v>44.3</v>
      </c>
      <c r="C259" s="61" t="inlineStr">
        <is>
          <t>R4</t>
        </is>
      </c>
      <c r="D259" s="74" t="inlineStr">
        <is>
          <t>NG</t>
        </is>
      </c>
      <c r="E259" s="61" t="inlineStr">
        <is>
          <t>S2</t>
        </is>
      </c>
      <c r="F259" s="61" t="inlineStr">
        <is>
          <t>K039</t>
        </is>
      </c>
      <c r="G259" s="75" t="n">
        <v>4.91</v>
      </c>
      <c r="H259" s="65" t="n"/>
      <c r="I259" s="66" t="n"/>
      <c r="J259" s="67">
        <f>VLOOKUP(C259,Recipes!$A$2:$N$4,10,FALSE())</f>
        <v/>
      </c>
      <c r="K259" s="68">
        <f>VLOOKUP(C259,Recipes!$A$2:$N$4,12,FALSE())</f>
        <v/>
      </c>
      <c r="L259" s="67">
        <f>J259-3*K259</f>
        <v/>
      </c>
      <c r="M259" s="67">
        <f>J259+3*K259</f>
        <v/>
      </c>
      <c r="N259" s="61">
        <f>IF(G259="","",IF(AND(G259&gt;=L259,G259&lt;=M259),"OK","NG"))</f>
        <v/>
      </c>
      <c r="O259" s="69">
        <f>IF(N259="","",IF(N259=D259,1,0))</f>
        <v/>
      </c>
      <c r="P259" s="67">
        <f>IF(G259="","",J259-G259)</f>
        <v/>
      </c>
      <c r="Q259" s="67">
        <f>IF(G259="","",ABS(P259-Components!$D$2)/Components!$E$2)</f>
        <v/>
      </c>
      <c r="R259" s="67">
        <f>IF(G259="","",ABS(P259-Components!$D$3)/Components!$E$3)</f>
        <v/>
      </c>
      <c r="S259" s="67">
        <f>IF(G259="","",ABS(P259-Components!$D$4)/Components!$E$4)</f>
        <v/>
      </c>
      <c r="T259" s="67">
        <f>IF(G259="","",ABS(P259-Components!$D$5)/Components!$E$5)</f>
        <v/>
      </c>
      <c r="U259" s="67">
        <f>IF(G259="","",ABS(P259-Components!$D$6)/Components!$E$6)</f>
        <v/>
      </c>
      <c r="V259" s="67">
        <f>IF(G259="","",ABS(P259-Components!$D$7)/Components!$E$7)</f>
        <v/>
      </c>
      <c r="W259" s="61">
        <f>IF(G259="","",IF(N259="OK","NONE",INDEX({"S1","S2","W1","W2","N1","N2"},MATCH(MIN(Q259:V259),Q259:V259,0))))</f>
        <v/>
      </c>
      <c r="X259" s="69">
        <f>IF(G259="","",IF(W259=E259,1,0))</f>
        <v/>
      </c>
    </row>
    <row r="260">
      <c r="A260" s="61" t="n">
        <v>22.2</v>
      </c>
      <c r="B260" s="62" t="n">
        <v>43.2</v>
      </c>
      <c r="C260" s="61" t="inlineStr">
        <is>
          <t>R4</t>
        </is>
      </c>
      <c r="D260" s="74" t="inlineStr">
        <is>
          <t>NG</t>
        </is>
      </c>
      <c r="E260" s="61" t="inlineStr">
        <is>
          <t>S2</t>
        </is>
      </c>
      <c r="F260" s="61" t="inlineStr">
        <is>
          <t>K040</t>
        </is>
      </c>
      <c r="G260" s="75" t="n">
        <v>4.67</v>
      </c>
      <c r="H260" s="65" t="n"/>
      <c r="I260" s="66" t="n"/>
      <c r="J260" s="67">
        <f>VLOOKUP(C260,Recipes!$A$2:$N$4,10,FALSE())</f>
        <v/>
      </c>
      <c r="K260" s="68">
        <f>VLOOKUP(C260,Recipes!$A$2:$N$4,12,FALSE())</f>
        <v/>
      </c>
      <c r="L260" s="67">
        <f>J260-3*K260</f>
        <v/>
      </c>
      <c r="M260" s="67">
        <f>J260+3*K260</f>
        <v/>
      </c>
      <c r="N260" s="61">
        <f>IF(G260="","",IF(AND(G260&gt;=L260,G260&lt;=M260),"OK","NG"))</f>
        <v/>
      </c>
      <c r="O260" s="69">
        <f>IF(N260="","",IF(N260=D260,1,0))</f>
        <v/>
      </c>
      <c r="P260" s="67">
        <f>IF(G260="","",J260-G260)</f>
        <v/>
      </c>
      <c r="Q260" s="67">
        <f>IF(G260="","",ABS(P260-Components!$D$2)/Components!$E$2)</f>
        <v/>
      </c>
      <c r="R260" s="67">
        <f>IF(G260="","",ABS(P260-Components!$D$3)/Components!$E$3)</f>
        <v/>
      </c>
      <c r="S260" s="67">
        <f>IF(G260="","",ABS(P260-Components!$D$4)/Components!$E$4)</f>
        <v/>
      </c>
      <c r="T260" s="67">
        <f>IF(G260="","",ABS(P260-Components!$D$5)/Components!$E$5)</f>
        <v/>
      </c>
      <c r="U260" s="67">
        <f>IF(G260="","",ABS(P260-Components!$D$6)/Components!$E$6)</f>
        <v/>
      </c>
      <c r="V260" s="67">
        <f>IF(G260="","",ABS(P260-Components!$D$7)/Components!$E$7)</f>
        <v/>
      </c>
      <c r="W260" s="61">
        <f>IF(G260="","",IF(N260="OK","NONE",INDEX({"S1","S2","W1","W2","N1","N2"},MATCH(MIN(Q260:V260),Q260:V260,0))))</f>
        <v/>
      </c>
      <c r="X260" s="71">
        <f>IF(G260="","",IF(W260=E260,1,0))</f>
        <v/>
      </c>
    </row>
    <row r="261">
      <c r="A261" s="76" t="n">
        <v>24.1</v>
      </c>
      <c r="B261" s="77" t="n">
        <v>42.1</v>
      </c>
      <c r="C261" s="76" t="inlineStr">
        <is>
          <t>R4</t>
        </is>
      </c>
      <c r="D261" s="78" t="inlineStr">
        <is>
          <t>NG</t>
        </is>
      </c>
      <c r="E261" s="76" t="inlineStr">
        <is>
          <t>S2</t>
        </is>
      </c>
      <c r="F261" s="76" t="inlineStr">
        <is>
          <t>K044</t>
        </is>
      </c>
      <c r="G261" s="75" t="n">
        <v>4.86</v>
      </c>
      <c r="H261" s="65" t="n"/>
      <c r="I261" s="66" t="n"/>
      <c r="J261" s="67">
        <f>VLOOKUP(C261,Recipes!$A$2:$N$4,10,FALSE())</f>
        <v/>
      </c>
      <c r="K261" s="68">
        <f>VLOOKUP(C261,Recipes!$A$2:$N$4,12,FALSE())</f>
        <v/>
      </c>
      <c r="L261" s="67">
        <f>J261-3*K261</f>
        <v/>
      </c>
      <c r="M261" s="67">
        <f>J261+3*K261</f>
        <v/>
      </c>
      <c r="N261" s="61">
        <f>IF(G261="","",IF(AND(G261&gt;=L261,G261&lt;=M261),"OK","NG"))</f>
        <v/>
      </c>
      <c r="O261" s="69">
        <f>IF(N261="","",IF(N261=D261,1,0))</f>
        <v/>
      </c>
      <c r="P261" s="67">
        <f>IF(G261="","",J261-G261)</f>
        <v/>
      </c>
      <c r="Q261" s="67">
        <f>IF(G261="","",ABS(P261-Components!$D$2)/Components!$E$2)</f>
        <v/>
      </c>
      <c r="R261" s="67">
        <f>IF(G261="","",ABS(P261-Components!$D$3)/Components!$E$3)</f>
        <v/>
      </c>
      <c r="S261" s="67">
        <f>IF(G261="","",ABS(P261-Components!$D$4)/Components!$E$4)</f>
        <v/>
      </c>
      <c r="T261" s="67">
        <f>IF(G261="","",ABS(P261-Components!$D$5)/Components!$E$5)</f>
        <v/>
      </c>
      <c r="U261" s="67">
        <f>IF(G261="","",ABS(P261-Components!$D$6)/Components!$E$6)</f>
        <v/>
      </c>
      <c r="V261" s="67">
        <f>IF(G261="","",ABS(P261-Components!$D$7)/Components!$E$7)</f>
        <v/>
      </c>
      <c r="W261" s="61">
        <f>IF(G261="","",IF(N261="OK","NONE",INDEX({"S1","S2","W1","W2","N1","N2"},MATCH(MIN(Q261:V261),Q261:V261,0))))</f>
        <v/>
      </c>
      <c r="X261" s="69">
        <f>IF(G261="","",IF(W261=E261,1,0))</f>
        <v/>
      </c>
    </row>
    <row r="262">
      <c r="A262" s="76" t="n">
        <v>26</v>
      </c>
      <c r="B262" s="77" t="n">
        <v>41</v>
      </c>
      <c r="C262" s="76" t="inlineStr">
        <is>
          <t>R4</t>
        </is>
      </c>
      <c r="D262" s="78" t="inlineStr">
        <is>
          <t>NG</t>
        </is>
      </c>
      <c r="E262" s="76" t="inlineStr">
        <is>
          <t>S2</t>
        </is>
      </c>
      <c r="F262" s="76" t="inlineStr">
        <is>
          <t>K045</t>
        </is>
      </c>
      <c r="G262" s="75" t="n">
        <v>4.75</v>
      </c>
      <c r="H262" s="65" t="n"/>
      <c r="I262" s="66" t="n"/>
      <c r="J262" s="67">
        <f>VLOOKUP(C262,Recipes!$A$2:$N$4,10,FALSE())</f>
        <v/>
      </c>
      <c r="K262" s="68">
        <f>VLOOKUP(C262,Recipes!$A$2:$N$4,12,FALSE())</f>
        <v/>
      </c>
      <c r="L262" s="67">
        <f>J262-3*K262</f>
        <v/>
      </c>
      <c r="M262" s="67">
        <f>J262+3*K262</f>
        <v/>
      </c>
      <c r="N262" s="61">
        <f>IF(G262="","",IF(AND(G262&gt;=L262,G262&lt;=M262),"OK","NG"))</f>
        <v/>
      </c>
      <c r="O262" s="69">
        <f>IF(N262="","",IF(N262=D262,1,0))</f>
        <v/>
      </c>
      <c r="P262" s="67">
        <f>IF(G262="","",J262-G262)</f>
        <v/>
      </c>
      <c r="Q262" s="67">
        <f>IF(G262="","",ABS(P262-Components!$D$2)/Components!$E$2)</f>
        <v/>
      </c>
      <c r="R262" s="67">
        <f>IF(G262="","",ABS(P262-Components!$D$3)/Components!$E$3)</f>
        <v/>
      </c>
      <c r="S262" s="67">
        <f>IF(G262="","",ABS(P262-Components!$D$4)/Components!$E$4)</f>
        <v/>
      </c>
      <c r="T262" s="67">
        <f>IF(G262="","",ABS(P262-Components!$D$5)/Components!$E$5)</f>
        <v/>
      </c>
      <c r="U262" s="67">
        <f>IF(G262="","",ABS(P262-Components!$D$6)/Components!$E$6)</f>
        <v/>
      </c>
      <c r="V262" s="67">
        <f>IF(G262="","",ABS(P262-Components!$D$7)/Components!$E$7)</f>
        <v/>
      </c>
      <c r="W262" s="61">
        <f>IF(G262="","",IF(N262="OK","NONE",INDEX({"S1","S2","W1","W2","N1","N2"},MATCH(MIN(Q262:V262),Q262:V262,0))))</f>
        <v/>
      </c>
      <c r="X262" s="69">
        <f>IF(G262="","",IF(W262=E262,1,0))</f>
        <v/>
      </c>
    </row>
    <row r="263">
      <c r="A263" s="61" t="n">
        <v>27.9</v>
      </c>
      <c r="B263" s="62" t="n">
        <v>39.9</v>
      </c>
      <c r="C263" s="61" t="inlineStr">
        <is>
          <t>R4</t>
        </is>
      </c>
      <c r="D263" s="74" t="inlineStr">
        <is>
          <t>NG</t>
        </is>
      </c>
      <c r="E263" s="61" t="inlineStr">
        <is>
          <t>S2</t>
        </is>
      </c>
      <c r="F263" s="61" t="inlineStr">
        <is>
          <t>K038</t>
        </is>
      </c>
      <c r="G263" s="75" t="n">
        <v>4.91</v>
      </c>
      <c r="H263" s="65" t="n"/>
      <c r="I263" s="66" t="n"/>
      <c r="J263" s="67">
        <f>VLOOKUP(C263,Recipes!$A$2:$N$4,10,FALSE())</f>
        <v/>
      </c>
      <c r="K263" s="68">
        <f>VLOOKUP(C263,Recipes!$A$2:$N$4,12,FALSE())</f>
        <v/>
      </c>
      <c r="L263" s="67">
        <f>J263-3*K263</f>
        <v/>
      </c>
      <c r="M263" s="67">
        <f>J263+3*K263</f>
        <v/>
      </c>
      <c r="N263" s="61">
        <f>IF(G263="","",IF(AND(G263&gt;=L263,G263&lt;=M263),"OK","NG"))</f>
        <v/>
      </c>
      <c r="O263" s="69">
        <f>IF(N263="","",IF(N263=D263,1,0))</f>
        <v/>
      </c>
      <c r="P263" s="67">
        <f>IF(G263="","",J263-G263)</f>
        <v/>
      </c>
      <c r="Q263" s="67">
        <f>IF(G263="","",ABS(P263-Components!$D$2)/Components!$E$2)</f>
        <v/>
      </c>
      <c r="R263" s="67">
        <f>IF(G263="","",ABS(P263-Components!$D$3)/Components!$E$3)</f>
        <v/>
      </c>
      <c r="S263" s="67">
        <f>IF(G263="","",ABS(P263-Components!$D$4)/Components!$E$4)</f>
        <v/>
      </c>
      <c r="T263" s="67">
        <f>IF(G263="","",ABS(P263-Components!$D$5)/Components!$E$5)</f>
        <v/>
      </c>
      <c r="U263" s="67">
        <f>IF(G263="","",ABS(P263-Components!$D$6)/Components!$E$6)</f>
        <v/>
      </c>
      <c r="V263" s="67">
        <f>IF(G263="","",ABS(P263-Components!$D$7)/Components!$E$7)</f>
        <v/>
      </c>
      <c r="W263" s="61">
        <f>IF(G263="","",IF(N263="OK","NONE",INDEX({"S1","S2","W1","W2","N1","N2"},MATCH(MIN(Q263:V263),Q263:V263,0))))</f>
        <v/>
      </c>
      <c r="X263" s="69">
        <f>IF(G263="","",IF(W263=E263,1,0))</f>
        <v/>
      </c>
    </row>
    <row r="264">
      <c r="A264" s="61" t="n">
        <v>29.8</v>
      </c>
      <c r="B264" s="62" t="n">
        <v>38.8</v>
      </c>
      <c r="C264" s="61" t="inlineStr">
        <is>
          <t>R4</t>
        </is>
      </c>
      <c r="D264" s="74" t="inlineStr">
        <is>
          <t>NG</t>
        </is>
      </c>
      <c r="E264" s="61" t="inlineStr">
        <is>
          <t>S2</t>
        </is>
      </c>
      <c r="F264" s="61" t="inlineStr">
        <is>
          <t>K039</t>
        </is>
      </c>
      <c r="G264" s="75" t="n">
        <v>4.82</v>
      </c>
      <c r="H264" s="65" t="n"/>
      <c r="I264" s="66" t="n"/>
      <c r="J264" s="67">
        <f>VLOOKUP(C264,Recipes!$A$2:$N$4,10,FALSE())</f>
        <v/>
      </c>
      <c r="K264" s="68">
        <f>VLOOKUP(C264,Recipes!$A$2:$N$4,12,FALSE())</f>
        <v/>
      </c>
      <c r="L264" s="67">
        <f>J264-3*K264</f>
        <v/>
      </c>
      <c r="M264" s="67">
        <f>J264+3*K264</f>
        <v/>
      </c>
      <c r="N264" s="61">
        <f>IF(G264="","",IF(AND(G264&gt;=L264,G264&lt;=M264),"OK","NG"))</f>
        <v/>
      </c>
      <c r="O264" s="69">
        <f>IF(N264="","",IF(N264=D264,1,0))</f>
        <v/>
      </c>
      <c r="P264" s="67">
        <f>IF(G264="","",J264-G264)</f>
        <v/>
      </c>
      <c r="Q264" s="67">
        <f>IF(G264="","",ABS(P264-Components!$D$2)/Components!$E$2)</f>
        <v/>
      </c>
      <c r="R264" s="67">
        <f>IF(G264="","",ABS(P264-Components!$D$3)/Components!$E$3)</f>
        <v/>
      </c>
      <c r="S264" s="67">
        <f>IF(G264="","",ABS(P264-Components!$D$4)/Components!$E$4)</f>
        <v/>
      </c>
      <c r="T264" s="67">
        <f>IF(G264="","",ABS(P264-Components!$D$5)/Components!$E$5)</f>
        <v/>
      </c>
      <c r="U264" s="67">
        <f>IF(G264="","",ABS(P264-Components!$D$6)/Components!$E$6)</f>
        <v/>
      </c>
      <c r="V264" s="67">
        <f>IF(G264="","",ABS(P264-Components!$D$7)/Components!$E$7)</f>
        <v/>
      </c>
      <c r="W264" s="61">
        <f>IF(G264="","",IF(N264="OK","NONE",INDEX({"S1","S2","W1","W2","N1","N2"},MATCH(MIN(Q264:V264),Q264:V264,0))))</f>
        <v/>
      </c>
      <c r="X264" s="69">
        <f>IF(G264="","",IF(W264=E264,1,0))</f>
        <v/>
      </c>
    </row>
    <row r="265">
      <c r="A265" s="61" t="n">
        <v>31.7</v>
      </c>
      <c r="B265" s="62" t="n">
        <v>37.7</v>
      </c>
      <c r="C265" s="61" t="inlineStr">
        <is>
          <t>R4</t>
        </is>
      </c>
      <c r="D265" s="74" t="inlineStr">
        <is>
          <t>NG</t>
        </is>
      </c>
      <c r="E265" s="61" t="inlineStr">
        <is>
          <t>S2</t>
        </is>
      </c>
      <c r="F265" s="61" t="inlineStr">
        <is>
          <t>K040</t>
        </is>
      </c>
      <c r="G265" s="75" t="n">
        <v>4.83</v>
      </c>
      <c r="H265" s="65" t="n"/>
      <c r="I265" s="66" t="n"/>
      <c r="J265" s="67">
        <f>VLOOKUP(C265,Recipes!$A$2:$N$4,10,FALSE())</f>
        <v/>
      </c>
      <c r="K265" s="68">
        <f>VLOOKUP(C265,Recipes!$A$2:$N$4,12,FALSE())</f>
        <v/>
      </c>
      <c r="L265" s="67">
        <f>J265-3*K265</f>
        <v/>
      </c>
      <c r="M265" s="67">
        <f>J265+3*K265</f>
        <v/>
      </c>
      <c r="N265" s="61">
        <f>IF(G265="","",IF(AND(G265&gt;=L265,G265&lt;=M265),"OK","NG"))</f>
        <v/>
      </c>
      <c r="O265" s="69">
        <f>IF(N265="","",IF(N265=D265,1,0))</f>
        <v/>
      </c>
      <c r="P265" s="67">
        <f>IF(G265="","",J265-G265)</f>
        <v/>
      </c>
      <c r="Q265" s="67">
        <f>IF(G265="","",ABS(P265-Components!$D$2)/Components!$E$2)</f>
        <v/>
      </c>
      <c r="R265" s="67">
        <f>IF(G265="","",ABS(P265-Components!$D$3)/Components!$E$3)</f>
        <v/>
      </c>
      <c r="S265" s="67">
        <f>IF(G265="","",ABS(P265-Components!$D$4)/Components!$E$4)</f>
        <v/>
      </c>
      <c r="T265" s="67">
        <f>IF(G265="","",ABS(P265-Components!$D$5)/Components!$E$5)</f>
        <v/>
      </c>
      <c r="U265" s="67">
        <f>IF(G265="","",ABS(P265-Components!$D$6)/Components!$E$6)</f>
        <v/>
      </c>
      <c r="V265" s="67">
        <f>IF(G265="","",ABS(P265-Components!$D$7)/Components!$E$7)</f>
        <v/>
      </c>
      <c r="W265" s="61">
        <f>IF(G265="","",IF(N265="OK","NONE",INDEX({"S1","S2","W1","W2","N1","N2"},MATCH(MIN(Q265:V265),Q265:V265,0))))</f>
        <v/>
      </c>
      <c r="X265" s="69">
        <f>IF(G265="","",IF(W265=E265,1,0))</f>
        <v/>
      </c>
    </row>
    <row r="266">
      <c r="A266" s="76" t="n">
        <v>33.6</v>
      </c>
      <c r="B266" s="77" t="n">
        <v>36.6</v>
      </c>
      <c r="C266" s="76" t="inlineStr">
        <is>
          <t>R4</t>
        </is>
      </c>
      <c r="D266" s="78" t="inlineStr">
        <is>
          <t>NG</t>
        </is>
      </c>
      <c r="E266" s="76" t="inlineStr">
        <is>
          <t>S2</t>
        </is>
      </c>
      <c r="F266" s="76" t="inlineStr">
        <is>
          <t>K044</t>
        </is>
      </c>
      <c r="G266" s="75" t="n">
        <v>4.78</v>
      </c>
      <c r="H266" s="65" t="n"/>
      <c r="I266" s="66" t="n"/>
      <c r="J266" s="67">
        <f>VLOOKUP(C266,Recipes!$A$2:$N$4,10,FALSE())</f>
        <v/>
      </c>
      <c r="K266" s="68">
        <f>VLOOKUP(C266,Recipes!$A$2:$N$4,12,FALSE())</f>
        <v/>
      </c>
      <c r="L266" s="67">
        <f>J266-3*K266</f>
        <v/>
      </c>
      <c r="M266" s="67">
        <f>J266+3*K266</f>
        <v/>
      </c>
      <c r="N266" s="61">
        <f>IF(G266="","",IF(AND(G266&gt;=L266,G266&lt;=M266),"OK","NG"))</f>
        <v/>
      </c>
      <c r="O266" s="69">
        <f>IF(N266="","",IF(N266=D266,1,0))</f>
        <v/>
      </c>
      <c r="P266" s="67">
        <f>IF(G266="","",J266-G266)</f>
        <v/>
      </c>
      <c r="Q266" s="67">
        <f>IF(G266="","",ABS(P266-Components!$D$2)/Components!$E$2)</f>
        <v/>
      </c>
      <c r="R266" s="67">
        <f>IF(G266="","",ABS(P266-Components!$D$3)/Components!$E$3)</f>
        <v/>
      </c>
      <c r="S266" s="67">
        <f>IF(G266="","",ABS(P266-Components!$D$4)/Components!$E$4)</f>
        <v/>
      </c>
      <c r="T266" s="67">
        <f>IF(G266="","",ABS(P266-Components!$D$5)/Components!$E$5)</f>
        <v/>
      </c>
      <c r="U266" s="67">
        <f>IF(G266="","",ABS(P266-Components!$D$6)/Components!$E$6)</f>
        <v/>
      </c>
      <c r="V266" s="67">
        <f>IF(G266="","",ABS(P266-Components!$D$7)/Components!$E$7)</f>
        <v/>
      </c>
      <c r="W266" s="61">
        <f>IF(G266="","",IF(N266="OK","NONE",INDEX({"S1","S2","W1","W2","N1","N2"},MATCH(MIN(Q266:V266),Q266:V266,0))))</f>
        <v/>
      </c>
      <c r="X266" s="69">
        <f>IF(G266="","",IF(W266=E266,1,0))</f>
        <v/>
      </c>
    </row>
    <row r="267">
      <c r="A267" s="76" t="n">
        <v>35.5</v>
      </c>
      <c r="B267" s="77" t="n">
        <v>35.5</v>
      </c>
      <c r="C267" s="76" t="inlineStr">
        <is>
          <t>R4</t>
        </is>
      </c>
      <c r="D267" s="78" t="inlineStr">
        <is>
          <t>NG</t>
        </is>
      </c>
      <c r="E267" s="76" t="inlineStr">
        <is>
          <t>S2</t>
        </is>
      </c>
      <c r="F267" s="76" t="inlineStr">
        <is>
          <t>K045</t>
        </is>
      </c>
      <c r="G267" s="75" t="n">
        <v>4.88</v>
      </c>
      <c r="H267" s="65" t="n"/>
      <c r="I267" s="66" t="n"/>
      <c r="J267" s="67">
        <f>VLOOKUP(C267,Recipes!$A$2:$N$4,10,FALSE())</f>
        <v/>
      </c>
      <c r="K267" s="68">
        <f>VLOOKUP(C267,Recipes!$A$2:$N$4,12,FALSE())</f>
        <v/>
      </c>
      <c r="L267" s="67">
        <f>J267-3*K267</f>
        <v/>
      </c>
      <c r="M267" s="67">
        <f>J267+3*K267</f>
        <v/>
      </c>
      <c r="N267" s="61">
        <f>IF(G267="","",IF(AND(G267&gt;=L267,G267&lt;=M267),"OK","NG"))</f>
        <v/>
      </c>
      <c r="O267" s="69">
        <f>IF(N267="","",IF(N267=D267,1,0))</f>
        <v/>
      </c>
      <c r="P267" s="67">
        <f>IF(G267="","",J267-G267)</f>
        <v/>
      </c>
      <c r="Q267" s="67">
        <f>IF(G267="","",ABS(P267-Components!$D$2)/Components!$E$2)</f>
        <v/>
      </c>
      <c r="R267" s="67">
        <f>IF(G267="","",ABS(P267-Components!$D$3)/Components!$E$3)</f>
        <v/>
      </c>
      <c r="S267" s="67">
        <f>IF(G267="","",ABS(P267-Components!$D$4)/Components!$E$4)</f>
        <v/>
      </c>
      <c r="T267" s="67">
        <f>IF(G267="","",ABS(P267-Components!$D$5)/Components!$E$5)</f>
        <v/>
      </c>
      <c r="U267" s="67">
        <f>IF(G267="","",ABS(P267-Components!$D$6)/Components!$E$6)</f>
        <v/>
      </c>
      <c r="V267" s="67">
        <f>IF(G267="","",ABS(P267-Components!$D$7)/Components!$E$7)</f>
        <v/>
      </c>
      <c r="W267" s="61">
        <f>IF(G267="","",IF(N267="OK","NONE",INDEX({"S1","S2","W1","W2","N1","N2"},MATCH(MIN(Q267:V267),Q267:V267,0))))</f>
        <v/>
      </c>
      <c r="X267" s="69">
        <f>IF(G267="","",IF(W267=E267,1,0))</f>
        <v/>
      </c>
    </row>
    <row r="268">
      <c r="A268" s="61" t="n">
        <v>38</v>
      </c>
      <c r="B268" s="62" t="n">
        <v>14</v>
      </c>
      <c r="C268" s="61" t="inlineStr">
        <is>
          <t>R4</t>
        </is>
      </c>
      <c r="D268" s="74" t="inlineStr">
        <is>
          <t>NG</t>
        </is>
      </c>
      <c r="E268" s="61" t="inlineStr">
        <is>
          <t>S2</t>
        </is>
      </c>
      <c r="F268" s="61" t="inlineStr">
        <is>
          <t>K038</t>
        </is>
      </c>
      <c r="G268" s="64" t="n">
        <v>4.91</v>
      </c>
      <c r="H268" s="65" t="n"/>
      <c r="I268" s="66" t="n"/>
      <c r="J268" s="67">
        <f>VLOOKUP(C268,Recipes!$A$2:$N$4,10,FALSE())</f>
        <v/>
      </c>
      <c r="K268" s="68">
        <f>VLOOKUP(C268,Recipes!$A$2:$N$4,12,FALSE())</f>
        <v/>
      </c>
      <c r="L268" s="67">
        <f>J268-3*K268</f>
        <v/>
      </c>
      <c r="M268" s="67">
        <f>J268+3*K268</f>
        <v/>
      </c>
      <c r="N268" s="61">
        <f>IF(G268="","",IF(AND(G268&gt;=L268,G268&lt;=M268),"OK","NG"))</f>
        <v/>
      </c>
      <c r="O268" s="69">
        <f>IF(N268="","",IF(N268=D268,1,0))</f>
        <v/>
      </c>
      <c r="P268" s="67">
        <f>IF(G268="","",J268-G268)</f>
        <v/>
      </c>
      <c r="Q268" s="67">
        <f>IF(G268="","",ABS(P268-Components!$D$2)/Components!$E$2)</f>
        <v/>
      </c>
      <c r="R268" s="67">
        <f>IF(G268="","",ABS(P268-Components!$D$3)/Components!$E$3)</f>
        <v/>
      </c>
      <c r="S268" s="67">
        <f>IF(G268="","",ABS(P268-Components!$D$4)/Components!$E$4)</f>
        <v/>
      </c>
      <c r="T268" s="67">
        <f>IF(G268="","",ABS(P268-Components!$D$5)/Components!$E$5)</f>
        <v/>
      </c>
      <c r="U268" s="67">
        <f>IF(G268="","",ABS(P268-Components!$D$6)/Components!$E$6)</f>
        <v/>
      </c>
      <c r="V268" s="67">
        <f>IF(G268="","",ABS(P268-Components!$D$7)/Components!$E$7)</f>
        <v/>
      </c>
      <c r="W268" s="61">
        <f>IF(G268="","",IF(N268="OK","NONE",INDEX({"S1","S2","W1","W2","N1","N2"},MATCH(MIN(Q268:V268),Q268:V268,0))))</f>
        <v/>
      </c>
      <c r="X268" s="69">
        <f>IF(G268="","",IF(W268=E268,1,0))</f>
        <v/>
      </c>
    </row>
    <row r="269">
      <c r="A269" s="61" t="n">
        <v>39</v>
      </c>
      <c r="B269" s="62" t="n">
        <v>46</v>
      </c>
      <c r="C269" s="61" t="inlineStr">
        <is>
          <t>R4</t>
        </is>
      </c>
      <c r="D269" s="74" t="inlineStr">
        <is>
          <t>NG</t>
        </is>
      </c>
      <c r="E269" s="61" t="inlineStr">
        <is>
          <t>S2</t>
        </is>
      </c>
      <c r="F269" s="61" t="inlineStr">
        <is>
          <t>K039</t>
        </is>
      </c>
      <c r="G269" s="64" t="n">
        <v>4.89</v>
      </c>
      <c r="H269" s="65" t="n"/>
      <c r="I269" s="66" t="n"/>
      <c r="J269" s="67">
        <f>VLOOKUP(C269,Recipes!$A$2:$N$4,10,FALSE())</f>
        <v/>
      </c>
      <c r="K269" s="68">
        <f>VLOOKUP(C269,Recipes!$A$2:$N$4,12,FALSE())</f>
        <v/>
      </c>
      <c r="L269" s="67">
        <f>J269-3*K269</f>
        <v/>
      </c>
      <c r="M269" s="67">
        <f>J269+3*K269</f>
        <v/>
      </c>
      <c r="N269" s="61">
        <f>IF(G269="","",IF(AND(G269&gt;=L269,G269&lt;=M269),"OK","NG"))</f>
        <v/>
      </c>
      <c r="O269" s="69">
        <f>IF(N269="","",IF(N269=D269,1,0))</f>
        <v/>
      </c>
      <c r="P269" s="67">
        <f>IF(G269="","",J269-G269)</f>
        <v/>
      </c>
      <c r="Q269" s="67">
        <f>IF(G269="","",ABS(P269-Components!$D$2)/Components!$E$2)</f>
        <v/>
      </c>
      <c r="R269" s="67">
        <f>IF(G269="","",ABS(P269-Components!$D$3)/Components!$E$3)</f>
        <v/>
      </c>
      <c r="S269" s="67">
        <f>IF(G269="","",ABS(P269-Components!$D$4)/Components!$E$4)</f>
        <v/>
      </c>
      <c r="T269" s="67">
        <f>IF(G269="","",ABS(P269-Components!$D$5)/Components!$E$5)</f>
        <v/>
      </c>
      <c r="U269" s="67">
        <f>IF(G269="","",ABS(P269-Components!$D$6)/Components!$E$6)</f>
        <v/>
      </c>
      <c r="V269" s="67">
        <f>IF(G269="","",ABS(P269-Components!$D$7)/Components!$E$7)</f>
        <v/>
      </c>
      <c r="W269" s="61">
        <f>IF(G269="","",IF(N269="OK","NONE",INDEX({"S1","S2","W1","W2","N1","N2"},MATCH(MIN(Q269:V269),Q269:V269,0))))</f>
        <v/>
      </c>
      <c r="X269" s="69">
        <f>IF(G269="","",IF(W269=E269,1,0))</f>
        <v/>
      </c>
    </row>
    <row r="270">
      <c r="A270" s="61" t="n">
        <v>40</v>
      </c>
      <c r="B270" s="62" t="n">
        <v>53</v>
      </c>
      <c r="C270" s="61" t="inlineStr">
        <is>
          <t>R4</t>
        </is>
      </c>
      <c r="D270" s="74" t="inlineStr">
        <is>
          <t>NG</t>
        </is>
      </c>
      <c r="E270" s="61" t="inlineStr">
        <is>
          <t>S2</t>
        </is>
      </c>
      <c r="F270" s="61" t="inlineStr">
        <is>
          <t>K040</t>
        </is>
      </c>
      <c r="G270" s="64" t="n">
        <v>4.89</v>
      </c>
      <c r="H270" s="65" t="n"/>
      <c r="I270" s="66" t="n"/>
      <c r="J270" s="67">
        <f>VLOOKUP(C270,Recipes!$A$2:$N$4,10,FALSE())</f>
        <v/>
      </c>
      <c r="K270" s="68">
        <f>VLOOKUP(C270,Recipes!$A$2:$N$4,12,FALSE())</f>
        <v/>
      </c>
      <c r="L270" s="67">
        <f>J270-3*K270</f>
        <v/>
      </c>
      <c r="M270" s="67">
        <f>J270+3*K270</f>
        <v/>
      </c>
      <c r="N270" s="61">
        <f>IF(G270="","",IF(AND(G270&gt;=L270,G270&lt;=M270),"OK","NG"))</f>
        <v/>
      </c>
      <c r="O270" s="69">
        <f>IF(N270="","",IF(N270=D270,1,0))</f>
        <v/>
      </c>
      <c r="P270" s="67">
        <f>IF(G270="","",J270-G270)</f>
        <v/>
      </c>
      <c r="Q270" s="67">
        <f>IF(G270="","",ABS(P270-Components!$D$2)/Components!$E$2)</f>
        <v/>
      </c>
      <c r="R270" s="67">
        <f>IF(G270="","",ABS(P270-Components!$D$3)/Components!$E$3)</f>
        <v/>
      </c>
      <c r="S270" s="67">
        <f>IF(G270="","",ABS(P270-Components!$D$4)/Components!$E$4)</f>
        <v/>
      </c>
      <c r="T270" s="67">
        <f>IF(G270="","",ABS(P270-Components!$D$5)/Components!$E$5)</f>
        <v/>
      </c>
      <c r="U270" s="67">
        <f>IF(G270="","",ABS(P270-Components!$D$6)/Components!$E$6)</f>
        <v/>
      </c>
      <c r="V270" s="67">
        <f>IF(G270="","",ABS(P270-Components!$D$7)/Components!$E$7)</f>
        <v/>
      </c>
      <c r="W270" s="61">
        <f>IF(G270="","",IF(N270="OK","NONE",INDEX({"S1","S2","W1","W2","N1","N2"},MATCH(MIN(Q270:V270),Q270:V270,0))))</f>
        <v/>
      </c>
      <c r="X270" s="69">
        <f>IF(G270="","",IF(W270=E270,1,0))</f>
        <v/>
      </c>
    </row>
    <row r="271">
      <c r="A271" s="76" t="n">
        <v>44</v>
      </c>
      <c r="B271" s="77" t="n">
        <v>33</v>
      </c>
      <c r="C271" s="76" t="inlineStr">
        <is>
          <t>R4</t>
        </is>
      </c>
      <c r="D271" s="78" t="inlineStr">
        <is>
          <t>NG</t>
        </is>
      </c>
      <c r="E271" s="76" t="inlineStr">
        <is>
          <t>S2</t>
        </is>
      </c>
      <c r="F271" s="76" t="inlineStr">
        <is>
          <t>K044</t>
        </is>
      </c>
      <c r="G271" s="75" t="n">
        <v>4.9</v>
      </c>
      <c r="H271" s="65" t="n"/>
      <c r="I271" s="66" t="n"/>
      <c r="J271" s="67">
        <f>VLOOKUP(C271,Recipes!$A$2:$N$4,10,FALSE())</f>
        <v/>
      </c>
      <c r="K271" s="68">
        <f>VLOOKUP(C271,Recipes!$A$2:$N$4,12,FALSE())</f>
        <v/>
      </c>
      <c r="L271" s="67">
        <f>J271-3*K271</f>
        <v/>
      </c>
      <c r="M271" s="67">
        <f>J271+3*K271</f>
        <v/>
      </c>
      <c r="N271" s="61">
        <f>IF(G271="","",IF(AND(G271&gt;=L271,G271&lt;=M271),"OK","NG"))</f>
        <v/>
      </c>
      <c r="O271" s="69">
        <f>IF(N271="","",IF(N271=D271,1,0))</f>
        <v/>
      </c>
      <c r="P271" s="67">
        <f>IF(G271="","",J271-G271)</f>
        <v/>
      </c>
      <c r="Q271" s="67">
        <f>IF(G271="","",ABS(P271-Components!$D$2)/Components!$E$2)</f>
        <v/>
      </c>
      <c r="R271" s="67">
        <f>IF(G271="","",ABS(P271-Components!$D$3)/Components!$E$3)</f>
        <v/>
      </c>
      <c r="S271" s="67">
        <f>IF(G271="","",ABS(P271-Components!$D$4)/Components!$E$4)</f>
        <v/>
      </c>
      <c r="T271" s="67">
        <f>IF(G271="","",ABS(P271-Components!$D$5)/Components!$E$5)</f>
        <v/>
      </c>
      <c r="U271" s="67">
        <f>IF(G271="","",ABS(P271-Components!$D$6)/Components!$E$6)</f>
        <v/>
      </c>
      <c r="V271" s="67">
        <f>IF(G271="","",ABS(P271-Components!$D$7)/Components!$E$7)</f>
        <v/>
      </c>
      <c r="W271" s="61">
        <f>IF(G271="","",IF(N271="OK","NONE",INDEX({"S1","S2","W1","W2","N1","N2"},MATCH(MIN(Q271:V271),Q271:V271,0))))</f>
        <v/>
      </c>
      <c r="X271" s="69">
        <f>IF(G271="","",IF(W271=E271,1,0))</f>
        <v/>
      </c>
    </row>
    <row r="272">
      <c r="A272" s="76" t="n">
        <v>45</v>
      </c>
      <c r="B272" s="77" t="n">
        <v>15</v>
      </c>
      <c r="C272" s="76" t="inlineStr">
        <is>
          <t>R4</t>
        </is>
      </c>
      <c r="D272" s="78" t="inlineStr">
        <is>
          <t>NG</t>
        </is>
      </c>
      <c r="E272" s="76" t="inlineStr">
        <is>
          <t>S2</t>
        </is>
      </c>
      <c r="F272" s="76" t="inlineStr">
        <is>
          <t>K045</t>
        </is>
      </c>
      <c r="G272" s="75" t="n">
        <v>4.91</v>
      </c>
      <c r="H272" s="65" t="n"/>
      <c r="I272" s="66" t="n"/>
      <c r="J272" s="67">
        <f>VLOOKUP(C272,Recipes!$A$2:$N$4,10,FALSE())</f>
        <v/>
      </c>
      <c r="K272" s="68">
        <f>VLOOKUP(C272,Recipes!$A$2:$N$4,12,FALSE())</f>
        <v/>
      </c>
      <c r="L272" s="67">
        <f>J272-3*K272</f>
        <v/>
      </c>
      <c r="M272" s="67">
        <f>J272+3*K272</f>
        <v/>
      </c>
      <c r="N272" s="61">
        <f>IF(G272="","",IF(AND(G272&gt;=L272,G272&lt;=M272),"OK","NG"))</f>
        <v/>
      </c>
      <c r="O272" s="69">
        <f>IF(N272="","",IF(N272=D272,1,0))</f>
        <v/>
      </c>
      <c r="P272" s="67">
        <f>IF(G272="","",J272-G272)</f>
        <v/>
      </c>
      <c r="Q272" s="67">
        <f>IF(G272="","",ABS(P272-Components!$D$2)/Components!$E$2)</f>
        <v/>
      </c>
      <c r="R272" s="67">
        <f>IF(G272="","",ABS(P272-Components!$D$3)/Components!$E$3)</f>
        <v/>
      </c>
      <c r="S272" s="67">
        <f>IF(G272="","",ABS(P272-Components!$D$4)/Components!$E$4)</f>
        <v/>
      </c>
      <c r="T272" s="67">
        <f>IF(G272="","",ABS(P272-Components!$D$5)/Components!$E$5)</f>
        <v/>
      </c>
      <c r="U272" s="67">
        <f>IF(G272="","",ABS(P272-Components!$D$6)/Components!$E$6)</f>
        <v/>
      </c>
      <c r="V272" s="67">
        <f>IF(G272="","",ABS(P272-Components!$D$7)/Components!$E$7)</f>
        <v/>
      </c>
      <c r="W272" s="61">
        <f>IF(G272="","",IF(N272="OK","NONE",INDEX({"S1","S2","W1","W2","N1","N2"},MATCH(MIN(Q272:V272),Q272:V272,0))))</f>
        <v/>
      </c>
      <c r="X272" s="69">
        <f>IF(G272="","",IF(W272=E272,1,0))</f>
        <v/>
      </c>
    </row>
    <row r="273">
      <c r="A273" s="61" t="n">
        <v>41</v>
      </c>
      <c r="B273" s="62" t="n">
        <v>3</v>
      </c>
      <c r="C273" s="61" t="inlineStr">
        <is>
          <t>R6</t>
        </is>
      </c>
      <c r="D273" s="63" t="inlineStr">
        <is>
          <t>OK</t>
        </is>
      </c>
      <c r="E273" s="61" t="inlineStr">
        <is>
          <t>NONE</t>
        </is>
      </c>
      <c r="F273" s="61" t="inlineStr">
        <is>
          <t>K041</t>
        </is>
      </c>
      <c r="G273" s="64" t="n">
        <v>8.65</v>
      </c>
      <c r="H273" s="65" t="n"/>
      <c r="I273" s="66" t="n"/>
      <c r="J273" s="67">
        <f>VLOOKUP(C273,Recipes!$A$2:$N$4,10,FALSE())</f>
        <v/>
      </c>
      <c r="K273" s="68">
        <f>VLOOKUP(C273,Recipes!$A$2:$N$4,12,FALSE())</f>
        <v/>
      </c>
      <c r="L273" s="67">
        <f>J273-3*K273</f>
        <v/>
      </c>
      <c r="M273" s="67">
        <f>J273+3*K273</f>
        <v/>
      </c>
      <c r="N273" s="61">
        <f>IF(G273="","",IF(AND(G273&gt;=L273,G273&lt;=M273),"OK","NG"))</f>
        <v/>
      </c>
      <c r="O273" s="69">
        <f>IF(N273="","",IF(N273=D273,1,0))</f>
        <v/>
      </c>
      <c r="P273" s="67">
        <f>IF(G273="","",J273-G273)</f>
        <v/>
      </c>
      <c r="Q273" s="67">
        <f>IF(G273="","",ABS(P273-Components!$D$2)/Components!$E$2)</f>
        <v/>
      </c>
      <c r="R273" s="67">
        <f>IF(G273="","",ABS(P273-Components!$D$3)/Components!$E$3)</f>
        <v/>
      </c>
      <c r="S273" s="67">
        <f>IF(G273="","",ABS(P273-Components!$D$4)/Components!$E$4)</f>
        <v/>
      </c>
      <c r="T273" s="67">
        <f>IF(G273="","",ABS(P273-Components!$D$5)/Components!$E$5)</f>
        <v/>
      </c>
      <c r="U273" s="67">
        <f>IF(G273="","",ABS(P273-Components!$D$6)/Components!$E$6)</f>
        <v/>
      </c>
      <c r="V273" s="67">
        <f>IF(G273="","",ABS(P273-Components!$D$7)/Components!$E$7)</f>
        <v/>
      </c>
      <c r="W273" s="61">
        <f>IF(G273="","",IF(N273="OK","NONE",INDEX({"S1","S2","W1","W2","N1","N2"},MATCH(MIN(Q273:V273),Q273:V273,0))))</f>
        <v/>
      </c>
      <c r="X273" s="69">
        <f>IF(G273="","",IF(W273=E273,1,0))</f>
        <v/>
      </c>
    </row>
    <row r="274">
      <c r="A274" s="61" t="n">
        <v>41</v>
      </c>
      <c r="B274" s="62" t="n">
        <v>3</v>
      </c>
      <c r="C274" s="61" t="inlineStr">
        <is>
          <t>R6</t>
        </is>
      </c>
      <c r="D274" s="63" t="inlineStr">
        <is>
          <t>OK</t>
        </is>
      </c>
      <c r="E274" s="61" t="inlineStr">
        <is>
          <t>NONE</t>
        </is>
      </c>
      <c r="F274" s="61" t="inlineStr">
        <is>
          <t>K041</t>
        </is>
      </c>
      <c r="G274" s="64" t="n">
        <v>8.529999999999999</v>
      </c>
      <c r="H274" s="65" t="n"/>
      <c r="I274" s="66" t="n"/>
      <c r="J274" s="67">
        <f>VLOOKUP(C274,Recipes!$A$2:$N$4,10,FALSE())</f>
        <v/>
      </c>
      <c r="K274" s="68">
        <f>VLOOKUP(C274,Recipes!$A$2:$N$4,12,FALSE())</f>
        <v/>
      </c>
      <c r="L274" s="67">
        <f>J274-3*K274</f>
        <v/>
      </c>
      <c r="M274" s="67">
        <f>J274+3*K274</f>
        <v/>
      </c>
      <c r="N274" s="61">
        <f>IF(G274="","",IF(AND(G274&gt;=L274,G274&lt;=M274),"OK","NG"))</f>
        <v/>
      </c>
      <c r="O274" s="69">
        <f>IF(N274="","",IF(N274=D274,1,0))</f>
        <v/>
      </c>
      <c r="P274" s="67">
        <f>IF(G274="","",J274-G274)</f>
        <v/>
      </c>
      <c r="Q274" s="67">
        <f>IF(G274="","",ABS(P274-Components!$D$2)/Components!$E$2)</f>
        <v/>
      </c>
      <c r="R274" s="67">
        <f>IF(G274="","",ABS(P274-Components!$D$3)/Components!$E$3)</f>
        <v/>
      </c>
      <c r="S274" s="67">
        <f>IF(G274="","",ABS(P274-Components!$D$4)/Components!$E$4)</f>
        <v/>
      </c>
      <c r="T274" s="67">
        <f>IF(G274="","",ABS(P274-Components!$D$5)/Components!$E$5)</f>
        <v/>
      </c>
      <c r="U274" s="67">
        <f>IF(G274="","",ABS(P274-Components!$D$6)/Components!$E$6)</f>
        <v/>
      </c>
      <c r="V274" s="67">
        <f>IF(G274="","",ABS(P274-Components!$D$7)/Components!$E$7)</f>
        <v/>
      </c>
      <c r="W274" s="61">
        <f>IF(G274="","",IF(N274="OK","NONE",INDEX({"S1","S2","W1","W2","N1","N2"},MATCH(MIN(Q274:V274),Q274:V274,0))))</f>
        <v/>
      </c>
      <c r="X274" s="69">
        <f>IF(G274="","",IF(W274=E274,1,0))</f>
        <v/>
      </c>
    </row>
    <row r="275">
      <c r="A275" s="61" t="n">
        <v>41</v>
      </c>
      <c r="B275" s="62" t="n">
        <v>3</v>
      </c>
      <c r="C275" s="61" t="inlineStr">
        <is>
          <t>R6</t>
        </is>
      </c>
      <c r="D275" s="63" t="inlineStr">
        <is>
          <t>OK</t>
        </is>
      </c>
      <c r="E275" s="61" t="inlineStr">
        <is>
          <t>NONE</t>
        </is>
      </c>
      <c r="F275" s="61" t="inlineStr">
        <is>
          <t>K041</t>
        </is>
      </c>
      <c r="G275" s="75" t="n">
        <v>8.58</v>
      </c>
      <c r="H275" s="65" t="n"/>
      <c r="I275" s="66" t="n"/>
      <c r="J275" s="67">
        <f>VLOOKUP(C275,Recipes!$A$2:$N$4,10,FALSE())</f>
        <v/>
      </c>
      <c r="K275" s="68">
        <f>VLOOKUP(C275,Recipes!$A$2:$N$4,12,FALSE())</f>
        <v/>
      </c>
      <c r="L275" s="67">
        <f>J275-3*K275</f>
        <v/>
      </c>
      <c r="M275" s="67">
        <f>J275+3*K275</f>
        <v/>
      </c>
      <c r="N275" s="61">
        <f>IF(G275="","",IF(AND(G275&gt;=L275,G275&lt;=M275),"OK","NG"))</f>
        <v/>
      </c>
      <c r="O275" s="69">
        <f>IF(N275="","",IF(N275=D275,1,0))</f>
        <v/>
      </c>
      <c r="P275" s="67">
        <f>IF(G275="","",J275-G275)</f>
        <v/>
      </c>
      <c r="Q275" s="67">
        <f>IF(G275="","",ABS(P275-Components!$D$2)/Components!$E$2)</f>
        <v/>
      </c>
      <c r="R275" s="67">
        <f>IF(G275="","",ABS(P275-Components!$D$3)/Components!$E$3)</f>
        <v/>
      </c>
      <c r="S275" s="67">
        <f>IF(G275="","",ABS(P275-Components!$D$4)/Components!$E$4)</f>
        <v/>
      </c>
      <c r="T275" s="67">
        <f>IF(G275="","",ABS(P275-Components!$D$5)/Components!$E$5)</f>
        <v/>
      </c>
      <c r="U275" s="67">
        <f>IF(G275="","",ABS(P275-Components!$D$6)/Components!$E$6)</f>
        <v/>
      </c>
      <c r="V275" s="67">
        <f>IF(G275="","",ABS(P275-Components!$D$7)/Components!$E$7)</f>
        <v/>
      </c>
      <c r="W275" s="61">
        <f>IF(G275="","",IF(N275="OK","NONE",INDEX({"S1","S2","W1","W2","N1","N2"},MATCH(MIN(Q275:V275),Q275:V275,0))))</f>
        <v/>
      </c>
      <c r="X275" s="69">
        <f>IF(G275="","",IF(W275=E275,1,0))</f>
        <v/>
      </c>
    </row>
    <row r="276">
      <c r="A276" s="61" t="n">
        <v>41</v>
      </c>
      <c r="B276" s="62" t="n">
        <v>3</v>
      </c>
      <c r="C276" s="61" t="inlineStr">
        <is>
          <t>R6</t>
        </is>
      </c>
      <c r="D276" s="63" t="inlineStr">
        <is>
          <t>OK</t>
        </is>
      </c>
      <c r="E276" s="61" t="inlineStr">
        <is>
          <t>NONE</t>
        </is>
      </c>
      <c r="F276" s="61" t="inlineStr">
        <is>
          <t>K041</t>
        </is>
      </c>
      <c r="G276" s="75" t="n">
        <v>8.66</v>
      </c>
      <c r="H276" s="65" t="n"/>
      <c r="I276" s="66" t="n"/>
      <c r="J276" s="67">
        <f>VLOOKUP(C276,Recipes!$A$2:$N$4,10,FALSE())</f>
        <v/>
      </c>
      <c r="K276" s="68">
        <f>VLOOKUP(C276,Recipes!$A$2:$N$4,12,FALSE())</f>
        <v/>
      </c>
      <c r="L276" s="67">
        <f>J276-3*K276</f>
        <v/>
      </c>
      <c r="M276" s="67">
        <f>J276+3*K276</f>
        <v/>
      </c>
      <c r="N276" s="61">
        <f>IF(G276="","",IF(AND(G276&gt;=L276,G276&lt;=M276),"OK","NG"))</f>
        <v/>
      </c>
      <c r="O276" s="69">
        <f>IF(N276="","",IF(N276=D276,1,0))</f>
        <v/>
      </c>
      <c r="P276" s="67">
        <f>IF(G276="","",J276-G276)</f>
        <v/>
      </c>
      <c r="Q276" s="67">
        <f>IF(G276="","",ABS(P276-Components!$D$2)/Components!$E$2)</f>
        <v/>
      </c>
      <c r="R276" s="67">
        <f>IF(G276="","",ABS(P276-Components!$D$3)/Components!$E$3)</f>
        <v/>
      </c>
      <c r="S276" s="67">
        <f>IF(G276="","",ABS(P276-Components!$D$4)/Components!$E$4)</f>
        <v/>
      </c>
      <c r="T276" s="67">
        <f>IF(G276="","",ABS(P276-Components!$D$5)/Components!$E$5)</f>
        <v/>
      </c>
      <c r="U276" s="67">
        <f>IF(G276="","",ABS(P276-Components!$D$6)/Components!$E$6)</f>
        <v/>
      </c>
      <c r="V276" s="67">
        <f>IF(G276="","",ABS(P276-Components!$D$7)/Components!$E$7)</f>
        <v/>
      </c>
      <c r="W276" s="61">
        <f>IF(G276="","",IF(N276="OK","NONE",INDEX({"S1","S2","W1","W2","N1","N2"},MATCH(MIN(Q276:V276),Q276:V276,0))))</f>
        <v/>
      </c>
      <c r="X276" s="69">
        <f>IF(G276="","",IF(W276=E276,1,0))</f>
        <v/>
      </c>
    </row>
    <row r="277">
      <c r="A277" s="61" t="n">
        <v>41</v>
      </c>
      <c r="B277" s="62" t="n">
        <v>3</v>
      </c>
      <c r="C277" s="61" t="inlineStr">
        <is>
          <t>R6</t>
        </is>
      </c>
      <c r="D277" s="63" t="inlineStr">
        <is>
          <t>OK</t>
        </is>
      </c>
      <c r="E277" s="61" t="inlineStr">
        <is>
          <t>NONE</t>
        </is>
      </c>
      <c r="F277" s="61" t="inlineStr">
        <is>
          <t>K041</t>
        </is>
      </c>
      <c r="G277" s="75" t="n">
        <v>8.57</v>
      </c>
      <c r="H277" s="65" t="n"/>
      <c r="I277" s="66" t="n"/>
      <c r="J277" s="67">
        <f>VLOOKUP(C277,Recipes!$A$2:$N$4,10,FALSE())</f>
        <v/>
      </c>
      <c r="K277" s="68">
        <f>VLOOKUP(C277,Recipes!$A$2:$N$4,12,FALSE())</f>
        <v/>
      </c>
      <c r="L277" s="67">
        <f>J277-3*K277</f>
        <v/>
      </c>
      <c r="M277" s="67">
        <f>J277+3*K277</f>
        <v/>
      </c>
      <c r="N277" s="61">
        <f>IF(G277="","",IF(AND(G277&gt;=L277,G277&lt;=M277),"OK","NG"))</f>
        <v/>
      </c>
      <c r="O277" s="69">
        <f>IF(N277="","",IF(N277=D277,1,0))</f>
        <v/>
      </c>
      <c r="P277" s="67">
        <f>IF(G277="","",J277-G277)</f>
        <v/>
      </c>
      <c r="Q277" s="67">
        <f>IF(G277="","",ABS(P277-Components!$D$2)/Components!$E$2)</f>
        <v/>
      </c>
      <c r="R277" s="67">
        <f>IF(G277="","",ABS(P277-Components!$D$3)/Components!$E$3)</f>
        <v/>
      </c>
      <c r="S277" s="67">
        <f>IF(G277="","",ABS(P277-Components!$D$4)/Components!$E$4)</f>
        <v/>
      </c>
      <c r="T277" s="67">
        <f>IF(G277="","",ABS(P277-Components!$D$5)/Components!$E$5)</f>
        <v/>
      </c>
      <c r="U277" s="67">
        <f>IF(G277="","",ABS(P277-Components!$D$6)/Components!$E$6)</f>
        <v/>
      </c>
      <c r="V277" s="67">
        <f>IF(G277="","",ABS(P277-Components!$D$7)/Components!$E$7)</f>
        <v/>
      </c>
      <c r="W277" s="61">
        <f>IF(G277="","",IF(N277="OK","NONE",INDEX({"S1","S2","W1","W2","N1","N2"},MATCH(MIN(Q277:V277),Q277:V277,0))))</f>
        <v/>
      </c>
      <c r="X277" s="69">
        <f>IF(G277="","",IF(W277=E277,1,0))</f>
        <v/>
      </c>
    </row>
    <row r="278">
      <c r="A278" s="61" t="n">
        <v>41</v>
      </c>
      <c r="B278" s="62" t="n">
        <v>3</v>
      </c>
      <c r="C278" s="61" t="inlineStr">
        <is>
          <t>R6</t>
        </is>
      </c>
      <c r="D278" s="63" t="inlineStr">
        <is>
          <t>OK</t>
        </is>
      </c>
      <c r="E278" s="61" t="inlineStr">
        <is>
          <t>NONE</t>
        </is>
      </c>
      <c r="F278" s="61" t="inlineStr">
        <is>
          <t>K041</t>
        </is>
      </c>
      <c r="G278" s="75" t="n">
        <v>8.6</v>
      </c>
      <c r="H278" s="65" t="n"/>
      <c r="I278" s="66" t="n"/>
      <c r="J278" s="67">
        <f>VLOOKUP(C278,Recipes!$A$2:$N$4,10,FALSE())</f>
        <v/>
      </c>
      <c r="K278" s="68">
        <f>VLOOKUP(C278,Recipes!$A$2:$N$4,12,FALSE())</f>
        <v/>
      </c>
      <c r="L278" s="67">
        <f>J278-3*K278</f>
        <v/>
      </c>
      <c r="M278" s="67">
        <f>J278+3*K278</f>
        <v/>
      </c>
      <c r="N278" s="61">
        <f>IF(G278="","",IF(AND(G278&gt;=L278,G278&lt;=M278),"OK","NG"))</f>
        <v/>
      </c>
      <c r="O278" s="69">
        <f>IF(N278="","",IF(N278=D278,1,0))</f>
        <v/>
      </c>
      <c r="P278" s="67">
        <f>IF(G278="","",J278-G278)</f>
        <v/>
      </c>
      <c r="Q278" s="67">
        <f>IF(G278="","",ABS(P278-Components!$D$2)/Components!$E$2)</f>
        <v/>
      </c>
      <c r="R278" s="67">
        <f>IF(G278="","",ABS(P278-Components!$D$3)/Components!$E$3)</f>
        <v/>
      </c>
      <c r="S278" s="67">
        <f>IF(G278="","",ABS(P278-Components!$D$4)/Components!$E$4)</f>
        <v/>
      </c>
      <c r="T278" s="67">
        <f>IF(G278="","",ABS(P278-Components!$D$5)/Components!$E$5)</f>
        <v/>
      </c>
      <c r="U278" s="67">
        <f>IF(G278="","",ABS(P278-Components!$D$6)/Components!$E$6)</f>
        <v/>
      </c>
      <c r="V278" s="67">
        <f>IF(G278="","",ABS(P278-Components!$D$7)/Components!$E$7)</f>
        <v/>
      </c>
      <c r="W278" s="61">
        <f>IF(G278="","",IF(N278="OK","NONE",INDEX({"S1","S2","W1","W2","N1","N2"},MATCH(MIN(Q278:V278),Q278:V278,0))))</f>
        <v/>
      </c>
      <c r="X278" s="69">
        <f>IF(G278="","",IF(W278=E278,1,0))</f>
        <v/>
      </c>
    </row>
    <row r="279">
      <c r="A279" s="61" t="n">
        <v>41</v>
      </c>
      <c r="B279" s="62" t="n">
        <v>3</v>
      </c>
      <c r="C279" s="61" t="inlineStr">
        <is>
          <t>R6</t>
        </is>
      </c>
      <c r="D279" s="63" t="inlineStr">
        <is>
          <t>OK</t>
        </is>
      </c>
      <c r="E279" s="61" t="inlineStr">
        <is>
          <t>NONE</t>
        </is>
      </c>
      <c r="F279" s="61" t="inlineStr">
        <is>
          <t>K041</t>
        </is>
      </c>
      <c r="G279" s="75" t="n">
        <v>8.65</v>
      </c>
      <c r="H279" s="65" t="n"/>
      <c r="I279" s="66" t="n"/>
      <c r="J279" s="67">
        <f>VLOOKUP(C279,Recipes!$A$2:$N$4,10,FALSE())</f>
        <v/>
      </c>
      <c r="K279" s="68">
        <f>VLOOKUP(C279,Recipes!$A$2:$N$4,12,FALSE())</f>
        <v/>
      </c>
      <c r="L279" s="67">
        <f>J279-3*K279</f>
        <v/>
      </c>
      <c r="M279" s="67">
        <f>J279+3*K279</f>
        <v/>
      </c>
      <c r="N279" s="61">
        <f>IF(G279="","",IF(AND(G279&gt;=L279,G279&lt;=M279),"OK","NG"))</f>
        <v/>
      </c>
      <c r="O279" s="69">
        <f>IF(N279="","",IF(N279=D279,1,0))</f>
        <v/>
      </c>
      <c r="P279" s="67">
        <f>IF(G279="","",J279-G279)</f>
        <v/>
      </c>
      <c r="Q279" s="67">
        <f>IF(G279="","",ABS(P279-Components!$D$2)/Components!$E$2)</f>
        <v/>
      </c>
      <c r="R279" s="67">
        <f>IF(G279="","",ABS(P279-Components!$D$3)/Components!$E$3)</f>
        <v/>
      </c>
      <c r="S279" s="67">
        <f>IF(G279="","",ABS(P279-Components!$D$4)/Components!$E$4)</f>
        <v/>
      </c>
      <c r="T279" s="67">
        <f>IF(G279="","",ABS(P279-Components!$D$5)/Components!$E$5)</f>
        <v/>
      </c>
      <c r="U279" s="67">
        <f>IF(G279="","",ABS(P279-Components!$D$6)/Components!$E$6)</f>
        <v/>
      </c>
      <c r="V279" s="67">
        <f>IF(G279="","",ABS(P279-Components!$D$7)/Components!$E$7)</f>
        <v/>
      </c>
      <c r="W279" s="61">
        <f>IF(G279="","",IF(N279="OK","NONE",INDEX({"S1","S2","W1","W2","N1","N2"},MATCH(MIN(Q279:V279),Q279:V279,0))))</f>
        <v/>
      </c>
      <c r="X279" s="69">
        <f>IF(G279="","",IF(W279=E279,1,0))</f>
        <v/>
      </c>
    </row>
    <row r="280">
      <c r="A280" s="61" t="n">
        <v>41</v>
      </c>
      <c r="B280" s="62" t="n">
        <v>3</v>
      </c>
      <c r="C280" s="61" t="inlineStr">
        <is>
          <t>R6</t>
        </is>
      </c>
      <c r="D280" s="63" t="inlineStr">
        <is>
          <t>OK</t>
        </is>
      </c>
      <c r="E280" s="61" t="inlineStr">
        <is>
          <t>NONE</t>
        </is>
      </c>
      <c r="F280" s="61" t="inlineStr">
        <is>
          <t>K041</t>
        </is>
      </c>
      <c r="G280" s="75" t="n">
        <v>8.58</v>
      </c>
      <c r="H280" s="65" t="n"/>
      <c r="I280" s="66" t="n"/>
      <c r="J280" s="67">
        <f>VLOOKUP(C280,Recipes!$A$2:$N$4,10,FALSE())</f>
        <v/>
      </c>
      <c r="K280" s="68">
        <f>VLOOKUP(C280,Recipes!$A$2:$N$4,12,FALSE())</f>
        <v/>
      </c>
      <c r="L280" s="67">
        <f>J280-3*K280</f>
        <v/>
      </c>
      <c r="M280" s="67">
        <f>J280+3*K280</f>
        <v/>
      </c>
      <c r="N280" s="61">
        <f>IF(G280="","",IF(AND(G280&gt;=L280,G280&lt;=M280),"OK","NG"))</f>
        <v/>
      </c>
      <c r="O280" s="69">
        <f>IF(N280="","",IF(N280=D280,1,0))</f>
        <v/>
      </c>
      <c r="P280" s="67">
        <f>IF(G280="","",J280-G280)</f>
        <v/>
      </c>
      <c r="Q280" s="67">
        <f>IF(G280="","",ABS(P280-Components!$D$2)/Components!$E$2)</f>
        <v/>
      </c>
      <c r="R280" s="67">
        <f>IF(G280="","",ABS(P280-Components!$D$3)/Components!$E$3)</f>
        <v/>
      </c>
      <c r="S280" s="67">
        <f>IF(G280="","",ABS(P280-Components!$D$4)/Components!$E$4)</f>
        <v/>
      </c>
      <c r="T280" s="67">
        <f>IF(G280="","",ABS(P280-Components!$D$5)/Components!$E$5)</f>
        <v/>
      </c>
      <c r="U280" s="67">
        <f>IF(G280="","",ABS(P280-Components!$D$6)/Components!$E$6)</f>
        <v/>
      </c>
      <c r="V280" s="67">
        <f>IF(G280="","",ABS(P280-Components!$D$7)/Components!$E$7)</f>
        <v/>
      </c>
      <c r="W280" s="61">
        <f>IF(G280="","",IF(N280="OK","NONE",INDEX({"S1","S2","W1","W2","N1","N2"},MATCH(MIN(Q280:V280),Q280:V280,0))))</f>
        <v/>
      </c>
      <c r="X280" s="69">
        <f>IF(G280="","",IF(W280=E280,1,0))</f>
        <v/>
      </c>
    </row>
    <row r="281">
      <c r="A281" s="61" t="n">
        <v>41</v>
      </c>
      <c r="B281" s="62" t="n">
        <v>3</v>
      </c>
      <c r="C281" s="61" t="inlineStr">
        <is>
          <t>R6</t>
        </is>
      </c>
      <c r="D281" s="63" t="inlineStr">
        <is>
          <t>OK</t>
        </is>
      </c>
      <c r="E281" s="61" t="inlineStr">
        <is>
          <t>NONE</t>
        </is>
      </c>
      <c r="F281" s="61" t="inlineStr">
        <is>
          <t>K041</t>
        </is>
      </c>
      <c r="G281" s="75" t="n">
        <v>8.58</v>
      </c>
      <c r="H281" s="65" t="n"/>
      <c r="I281" s="66" t="n"/>
      <c r="J281" s="67">
        <f>VLOOKUP(C281,Recipes!$A$2:$N$4,10,FALSE())</f>
        <v/>
      </c>
      <c r="K281" s="68">
        <f>VLOOKUP(C281,Recipes!$A$2:$N$4,12,FALSE())</f>
        <v/>
      </c>
      <c r="L281" s="67">
        <f>J281-3*K281</f>
        <v/>
      </c>
      <c r="M281" s="67">
        <f>J281+3*K281</f>
        <v/>
      </c>
      <c r="N281" s="61">
        <f>IF(G281="","",IF(AND(G281&gt;=L281,G281&lt;=M281),"OK","NG"))</f>
        <v/>
      </c>
      <c r="O281" s="69">
        <f>IF(N281="","",IF(N281=D281,1,0))</f>
        <v/>
      </c>
      <c r="P281" s="67">
        <f>IF(G281="","",J281-G281)</f>
        <v/>
      </c>
      <c r="Q281" s="67">
        <f>IF(G281="","",ABS(P281-Components!$D$2)/Components!$E$2)</f>
        <v/>
      </c>
      <c r="R281" s="67">
        <f>IF(G281="","",ABS(P281-Components!$D$3)/Components!$E$3)</f>
        <v/>
      </c>
      <c r="S281" s="67">
        <f>IF(G281="","",ABS(P281-Components!$D$4)/Components!$E$4)</f>
        <v/>
      </c>
      <c r="T281" s="67">
        <f>IF(G281="","",ABS(P281-Components!$D$5)/Components!$E$5)</f>
        <v/>
      </c>
      <c r="U281" s="67">
        <f>IF(G281="","",ABS(P281-Components!$D$6)/Components!$E$6)</f>
        <v/>
      </c>
      <c r="V281" s="67">
        <f>IF(G281="","",ABS(P281-Components!$D$7)/Components!$E$7)</f>
        <v/>
      </c>
      <c r="W281" s="61">
        <f>IF(G281="","",IF(N281="OK","NONE",INDEX({"S1","S2","W1","W2","N1","N2"},MATCH(MIN(Q281:V281),Q281:V281,0))))</f>
        <v/>
      </c>
      <c r="X281" s="69">
        <f>IF(G281="","",IF(W281=E281,1,0))</f>
        <v/>
      </c>
    </row>
    <row r="282">
      <c r="A282" s="61" t="n">
        <v>41</v>
      </c>
      <c r="B282" s="62" t="n">
        <v>3</v>
      </c>
      <c r="C282" s="61" t="inlineStr">
        <is>
          <t>R6</t>
        </is>
      </c>
      <c r="D282" s="63" t="inlineStr">
        <is>
          <t>OK</t>
        </is>
      </c>
      <c r="E282" s="61" t="inlineStr">
        <is>
          <t>NONE</t>
        </is>
      </c>
      <c r="F282" s="61" t="inlineStr">
        <is>
          <t>K041</t>
        </is>
      </c>
      <c r="G282" s="75" t="n">
        <v>8.57</v>
      </c>
      <c r="H282" s="65" t="n"/>
      <c r="I282" s="66" t="n"/>
      <c r="J282" s="67">
        <f>VLOOKUP(C282,Recipes!$A$2:$N$4,10,FALSE())</f>
        <v/>
      </c>
      <c r="K282" s="68">
        <f>VLOOKUP(C282,Recipes!$A$2:$N$4,12,FALSE())</f>
        <v/>
      </c>
      <c r="L282" s="67">
        <f>J282-3*K282</f>
        <v/>
      </c>
      <c r="M282" s="67">
        <f>J282+3*K282</f>
        <v/>
      </c>
      <c r="N282" s="61">
        <f>IF(G282="","",IF(AND(G282&gt;=L282,G282&lt;=M282),"OK","NG"))</f>
        <v/>
      </c>
      <c r="O282" s="69">
        <f>IF(N282="","",IF(N282=D282,1,0))</f>
        <v/>
      </c>
      <c r="P282" s="67">
        <f>IF(G282="","",J282-G282)</f>
        <v/>
      </c>
      <c r="Q282" s="67">
        <f>IF(G282="","",ABS(P282-Components!$D$2)/Components!$E$2)</f>
        <v/>
      </c>
      <c r="R282" s="67">
        <f>IF(G282="","",ABS(P282-Components!$D$3)/Components!$E$3)</f>
        <v/>
      </c>
      <c r="S282" s="67">
        <f>IF(G282="","",ABS(P282-Components!$D$4)/Components!$E$4)</f>
        <v/>
      </c>
      <c r="T282" s="67">
        <f>IF(G282="","",ABS(P282-Components!$D$5)/Components!$E$5)</f>
        <v/>
      </c>
      <c r="U282" s="67">
        <f>IF(G282="","",ABS(P282-Components!$D$6)/Components!$E$6)</f>
        <v/>
      </c>
      <c r="V282" s="67">
        <f>IF(G282="","",ABS(P282-Components!$D$7)/Components!$E$7)</f>
        <v/>
      </c>
      <c r="W282" s="61">
        <f>IF(G282="","",IF(N282="OK","NONE",INDEX({"S1","S2","W1","W2","N1","N2"},MATCH(MIN(Q282:V282),Q282:V282,0))))</f>
        <v/>
      </c>
      <c r="X282" s="69">
        <f>IF(G282="","",IF(W282=E282,1,0))</f>
        <v/>
      </c>
    </row>
    <row r="283">
      <c r="A283" s="61" t="n">
        <v>41</v>
      </c>
      <c r="B283" s="62" t="n">
        <v>3</v>
      </c>
      <c r="C283" s="61" t="inlineStr">
        <is>
          <t>R6</t>
        </is>
      </c>
      <c r="D283" s="63" t="inlineStr">
        <is>
          <t>OK</t>
        </is>
      </c>
      <c r="E283" s="61" t="inlineStr">
        <is>
          <t>NONE</t>
        </is>
      </c>
      <c r="F283" s="61" t="inlineStr">
        <is>
          <t>K041</t>
        </is>
      </c>
      <c r="G283" s="75" t="n">
        <v>8.529999999999999</v>
      </c>
      <c r="H283" s="65" t="n"/>
      <c r="I283" s="66" t="n"/>
      <c r="J283" s="67">
        <f>VLOOKUP(C283,Recipes!$A$2:$N$4,10,FALSE())</f>
        <v/>
      </c>
      <c r="K283" s="68">
        <f>VLOOKUP(C283,Recipes!$A$2:$N$4,12,FALSE())</f>
        <v/>
      </c>
      <c r="L283" s="67">
        <f>J283-3*K283</f>
        <v/>
      </c>
      <c r="M283" s="67">
        <f>J283+3*K283</f>
        <v/>
      </c>
      <c r="N283" s="61">
        <f>IF(G283="","",IF(AND(G283&gt;=L283,G283&lt;=M283),"OK","NG"))</f>
        <v/>
      </c>
      <c r="O283" s="69">
        <f>IF(N283="","",IF(N283=D283,1,0))</f>
        <v/>
      </c>
      <c r="P283" s="67">
        <f>IF(G283="","",J283-G283)</f>
        <v/>
      </c>
      <c r="Q283" s="67">
        <f>IF(G283="","",ABS(P283-Components!$D$2)/Components!$E$2)</f>
        <v/>
      </c>
      <c r="R283" s="67">
        <f>IF(G283="","",ABS(P283-Components!$D$3)/Components!$E$3)</f>
        <v/>
      </c>
      <c r="S283" s="67">
        <f>IF(G283="","",ABS(P283-Components!$D$4)/Components!$E$4)</f>
        <v/>
      </c>
      <c r="T283" s="67">
        <f>IF(G283="","",ABS(P283-Components!$D$5)/Components!$E$5)</f>
        <v/>
      </c>
      <c r="U283" s="67">
        <f>IF(G283="","",ABS(P283-Components!$D$6)/Components!$E$6)</f>
        <v/>
      </c>
      <c r="V283" s="67">
        <f>IF(G283="","",ABS(P283-Components!$D$7)/Components!$E$7)</f>
        <v/>
      </c>
      <c r="W283" s="61">
        <f>IF(G283="","",IF(N283="OK","NONE",INDEX({"S1","S2","W1","W2","N1","N2"},MATCH(MIN(Q283:V283),Q283:V283,0))))</f>
        <v/>
      </c>
      <c r="X283" s="69">
        <f>IF(G283="","",IF(W283=E283,1,0))</f>
        <v/>
      </c>
    </row>
    <row r="284">
      <c r="A284" s="61" t="n">
        <v>41</v>
      </c>
      <c r="B284" s="62" t="n">
        <v>3</v>
      </c>
      <c r="C284" s="61" t="inlineStr">
        <is>
          <t>R6</t>
        </is>
      </c>
      <c r="D284" s="63" t="inlineStr">
        <is>
          <t>OK</t>
        </is>
      </c>
      <c r="E284" s="61" t="inlineStr">
        <is>
          <t>NONE</t>
        </is>
      </c>
      <c r="F284" s="61" t="inlineStr">
        <is>
          <t>K041</t>
        </is>
      </c>
      <c r="G284" s="75" t="n">
        <v>8.640000000000001</v>
      </c>
      <c r="H284" s="65" t="n"/>
      <c r="I284" s="66" t="n"/>
      <c r="J284" s="67">
        <f>VLOOKUP(C284,Recipes!$A$2:$N$4,10,FALSE())</f>
        <v/>
      </c>
      <c r="K284" s="68">
        <f>VLOOKUP(C284,Recipes!$A$2:$N$4,12,FALSE())</f>
        <v/>
      </c>
      <c r="L284" s="67">
        <f>J284-3*K284</f>
        <v/>
      </c>
      <c r="M284" s="67">
        <f>J284+3*K284</f>
        <v/>
      </c>
      <c r="N284" s="61">
        <f>IF(G284="","",IF(AND(G284&gt;=L284,G284&lt;=M284),"OK","NG"))</f>
        <v/>
      </c>
      <c r="O284" s="69">
        <f>IF(N284="","",IF(N284=D284,1,0))</f>
        <v/>
      </c>
      <c r="P284" s="67">
        <f>IF(G284="","",J284-G284)</f>
        <v/>
      </c>
      <c r="Q284" s="67">
        <f>IF(G284="","",ABS(P284-Components!$D$2)/Components!$E$2)</f>
        <v/>
      </c>
      <c r="R284" s="67">
        <f>IF(G284="","",ABS(P284-Components!$D$3)/Components!$E$3)</f>
        <v/>
      </c>
      <c r="S284" s="67">
        <f>IF(G284="","",ABS(P284-Components!$D$4)/Components!$E$4)</f>
        <v/>
      </c>
      <c r="T284" s="67">
        <f>IF(G284="","",ABS(P284-Components!$D$5)/Components!$E$5)</f>
        <v/>
      </c>
      <c r="U284" s="67">
        <f>IF(G284="","",ABS(P284-Components!$D$6)/Components!$E$6)</f>
        <v/>
      </c>
      <c r="V284" s="67">
        <f>IF(G284="","",ABS(P284-Components!$D$7)/Components!$E$7)</f>
        <v/>
      </c>
      <c r="W284" s="61">
        <f>IF(G284="","",IF(N284="OK","NONE",INDEX({"S1","S2","W1","W2","N1","N2"},MATCH(MIN(Q284:V284),Q284:V284,0))))</f>
        <v/>
      </c>
      <c r="X284" s="69">
        <f>IF(G284="","",IF(W284=E284,1,0))</f>
        <v/>
      </c>
    </row>
    <row r="285">
      <c r="A285" s="61" t="n">
        <v>41</v>
      </c>
      <c r="B285" s="62" t="n">
        <v>3</v>
      </c>
      <c r="C285" s="61" t="inlineStr">
        <is>
          <t>R6</t>
        </is>
      </c>
      <c r="D285" s="63" t="inlineStr">
        <is>
          <t>OK</t>
        </is>
      </c>
      <c r="E285" s="61" t="inlineStr">
        <is>
          <t>NONE</t>
        </is>
      </c>
      <c r="F285" s="61" t="inlineStr">
        <is>
          <t>K041</t>
        </is>
      </c>
      <c r="G285" s="75" t="n">
        <v>8.57</v>
      </c>
      <c r="H285" s="65" t="n"/>
      <c r="I285" s="66" t="n"/>
      <c r="J285" s="67">
        <f>VLOOKUP(C285,Recipes!$A$2:$N$4,10,FALSE())</f>
        <v/>
      </c>
      <c r="K285" s="68">
        <f>VLOOKUP(C285,Recipes!$A$2:$N$4,12,FALSE())</f>
        <v/>
      </c>
      <c r="L285" s="67">
        <f>J285-3*K285</f>
        <v/>
      </c>
      <c r="M285" s="67">
        <f>J285+3*K285</f>
        <v/>
      </c>
      <c r="N285" s="61">
        <f>IF(G285="","",IF(AND(G285&gt;=L285,G285&lt;=M285),"OK","NG"))</f>
        <v/>
      </c>
      <c r="O285" s="69">
        <f>IF(N285="","",IF(N285=D285,1,0))</f>
        <v/>
      </c>
      <c r="P285" s="67">
        <f>IF(G285="","",J285-G285)</f>
        <v/>
      </c>
      <c r="Q285" s="67">
        <f>IF(G285="","",ABS(P285-Components!$D$2)/Components!$E$2)</f>
        <v/>
      </c>
      <c r="R285" s="67">
        <f>IF(G285="","",ABS(P285-Components!$D$3)/Components!$E$3)</f>
        <v/>
      </c>
      <c r="S285" s="67">
        <f>IF(G285="","",ABS(P285-Components!$D$4)/Components!$E$4)</f>
        <v/>
      </c>
      <c r="T285" s="67">
        <f>IF(G285="","",ABS(P285-Components!$D$5)/Components!$E$5)</f>
        <v/>
      </c>
      <c r="U285" s="67">
        <f>IF(G285="","",ABS(P285-Components!$D$6)/Components!$E$6)</f>
        <v/>
      </c>
      <c r="V285" s="67">
        <f>IF(G285="","",ABS(P285-Components!$D$7)/Components!$E$7)</f>
        <v/>
      </c>
      <c r="W285" s="61">
        <f>IF(G285="","",IF(N285="OK","NONE",INDEX({"S1","S2","W1","W2","N1","N2"},MATCH(MIN(Q285:V285),Q285:V285,0))))</f>
        <v/>
      </c>
      <c r="X285" s="69">
        <f>IF(G285="","",IF(W285=E285,1,0))</f>
        <v/>
      </c>
    </row>
    <row r="286">
      <c r="A286" s="61" t="n">
        <v>41</v>
      </c>
      <c r="B286" s="62" t="n">
        <v>3</v>
      </c>
      <c r="C286" s="61" t="inlineStr">
        <is>
          <t>R6</t>
        </is>
      </c>
      <c r="D286" s="63" t="inlineStr">
        <is>
          <t>OK</t>
        </is>
      </c>
      <c r="E286" s="61" t="inlineStr">
        <is>
          <t>NONE</t>
        </is>
      </c>
      <c r="F286" s="61" t="inlineStr">
        <is>
          <t>K041</t>
        </is>
      </c>
      <c r="G286" s="75" t="n">
        <v>8.58</v>
      </c>
      <c r="H286" s="65" t="n"/>
      <c r="I286" s="66" t="n"/>
      <c r="J286" s="67">
        <f>VLOOKUP(C286,Recipes!$A$2:$N$4,10,FALSE())</f>
        <v/>
      </c>
      <c r="K286" s="68">
        <f>VLOOKUP(C286,Recipes!$A$2:$N$4,12,FALSE())</f>
        <v/>
      </c>
      <c r="L286" s="67">
        <f>J286-3*K286</f>
        <v/>
      </c>
      <c r="M286" s="67">
        <f>J286+3*K286</f>
        <v/>
      </c>
      <c r="N286" s="61">
        <f>IF(G286="","",IF(AND(G286&gt;=L286,G286&lt;=M286),"OK","NG"))</f>
        <v/>
      </c>
      <c r="O286" s="69">
        <f>IF(N286="","",IF(N286=D286,1,0))</f>
        <v/>
      </c>
      <c r="P286" s="67">
        <f>IF(G286="","",J286-G286)</f>
        <v/>
      </c>
      <c r="Q286" s="67">
        <f>IF(G286="","",ABS(P286-Components!$D$2)/Components!$E$2)</f>
        <v/>
      </c>
      <c r="R286" s="67">
        <f>IF(G286="","",ABS(P286-Components!$D$3)/Components!$E$3)</f>
        <v/>
      </c>
      <c r="S286" s="67">
        <f>IF(G286="","",ABS(P286-Components!$D$4)/Components!$E$4)</f>
        <v/>
      </c>
      <c r="T286" s="67">
        <f>IF(G286="","",ABS(P286-Components!$D$5)/Components!$E$5)</f>
        <v/>
      </c>
      <c r="U286" s="67">
        <f>IF(G286="","",ABS(P286-Components!$D$6)/Components!$E$6)</f>
        <v/>
      </c>
      <c r="V286" s="67">
        <f>IF(G286="","",ABS(P286-Components!$D$7)/Components!$E$7)</f>
        <v/>
      </c>
      <c r="W286" s="61">
        <f>IF(G286="","",IF(N286="OK","NONE",INDEX({"S1","S2","W1","W2","N1","N2"},MATCH(MIN(Q286:V286),Q286:V286,0))))</f>
        <v/>
      </c>
      <c r="X286" s="69">
        <f>IF(G286="","",IF(W286=E286,1,0))</f>
        <v/>
      </c>
    </row>
    <row r="287">
      <c r="A287" s="61" t="n">
        <v>41</v>
      </c>
      <c r="B287" s="62" t="n">
        <v>3</v>
      </c>
      <c r="C287" s="61" t="inlineStr">
        <is>
          <t>R6</t>
        </is>
      </c>
      <c r="D287" s="63" t="inlineStr">
        <is>
          <t>OK</t>
        </is>
      </c>
      <c r="E287" s="61" t="inlineStr">
        <is>
          <t>NONE</t>
        </is>
      </c>
      <c r="F287" s="61" t="inlineStr">
        <is>
          <t>K041</t>
        </is>
      </c>
      <c r="G287" s="75" t="n">
        <v>8.630000000000001</v>
      </c>
      <c r="H287" s="65" t="n"/>
      <c r="I287" s="66" t="n"/>
      <c r="J287" s="67">
        <f>VLOOKUP(C287,Recipes!$A$2:$N$4,10,FALSE())</f>
        <v/>
      </c>
      <c r="K287" s="68">
        <f>VLOOKUP(C287,Recipes!$A$2:$N$4,12,FALSE())</f>
        <v/>
      </c>
      <c r="L287" s="67">
        <f>J287-3*K287</f>
        <v/>
      </c>
      <c r="M287" s="67">
        <f>J287+3*K287</f>
        <v/>
      </c>
      <c r="N287" s="61">
        <f>IF(G287="","",IF(AND(G287&gt;=L287,G287&lt;=M287),"OK","NG"))</f>
        <v/>
      </c>
      <c r="O287" s="69">
        <f>IF(N287="","",IF(N287=D287,1,0))</f>
        <v/>
      </c>
      <c r="P287" s="67">
        <f>IF(G287="","",J287-G287)</f>
        <v/>
      </c>
      <c r="Q287" s="67">
        <f>IF(G287="","",ABS(P287-Components!$D$2)/Components!$E$2)</f>
        <v/>
      </c>
      <c r="R287" s="67">
        <f>IF(G287="","",ABS(P287-Components!$D$3)/Components!$E$3)</f>
        <v/>
      </c>
      <c r="S287" s="67">
        <f>IF(G287="","",ABS(P287-Components!$D$4)/Components!$E$4)</f>
        <v/>
      </c>
      <c r="T287" s="67">
        <f>IF(G287="","",ABS(P287-Components!$D$5)/Components!$E$5)</f>
        <v/>
      </c>
      <c r="U287" s="67">
        <f>IF(G287="","",ABS(P287-Components!$D$6)/Components!$E$6)</f>
        <v/>
      </c>
      <c r="V287" s="67">
        <f>IF(G287="","",ABS(P287-Components!$D$7)/Components!$E$7)</f>
        <v/>
      </c>
      <c r="W287" s="61">
        <f>IF(G287="","",IF(N287="OK","NONE",INDEX({"S1","S2","W1","W2","N1","N2"},MATCH(MIN(Q287:V287),Q287:V287,0))))</f>
        <v/>
      </c>
      <c r="X287" s="69">
        <f>IF(G287="","",IF(W287=E287,1,0))</f>
        <v/>
      </c>
    </row>
    <row r="288">
      <c r="A288" s="61" t="n">
        <v>41</v>
      </c>
      <c r="B288" s="62" t="n">
        <v>3</v>
      </c>
      <c r="C288" s="61" t="inlineStr">
        <is>
          <t>R6</t>
        </is>
      </c>
      <c r="D288" s="63" t="inlineStr">
        <is>
          <t>OK</t>
        </is>
      </c>
      <c r="E288" s="61" t="inlineStr">
        <is>
          <t>NONE</t>
        </is>
      </c>
      <c r="F288" s="61" t="inlineStr">
        <is>
          <t>K041</t>
        </is>
      </c>
      <c r="G288" s="75" t="n">
        <v>8.6</v>
      </c>
      <c r="H288" s="65" t="n"/>
      <c r="I288" s="66" t="n"/>
      <c r="J288" s="67">
        <f>VLOOKUP(C288,Recipes!$A$2:$N$4,10,FALSE())</f>
        <v/>
      </c>
      <c r="K288" s="68">
        <f>VLOOKUP(C288,Recipes!$A$2:$N$4,12,FALSE())</f>
        <v/>
      </c>
      <c r="L288" s="67">
        <f>J288-3*K288</f>
        <v/>
      </c>
      <c r="M288" s="67">
        <f>J288+3*K288</f>
        <v/>
      </c>
      <c r="N288" s="61">
        <f>IF(G288="","",IF(AND(G288&gt;=L288,G288&lt;=M288),"OK","NG"))</f>
        <v/>
      </c>
      <c r="O288" s="69">
        <f>IF(N288="","",IF(N288=D288,1,0))</f>
        <v/>
      </c>
      <c r="P288" s="67">
        <f>IF(G288="","",J288-G288)</f>
        <v/>
      </c>
      <c r="Q288" s="67">
        <f>IF(G288="","",ABS(P288-Components!$D$2)/Components!$E$2)</f>
        <v/>
      </c>
      <c r="R288" s="67">
        <f>IF(G288="","",ABS(P288-Components!$D$3)/Components!$E$3)</f>
        <v/>
      </c>
      <c r="S288" s="67">
        <f>IF(G288="","",ABS(P288-Components!$D$4)/Components!$E$4)</f>
        <v/>
      </c>
      <c r="T288" s="67">
        <f>IF(G288="","",ABS(P288-Components!$D$5)/Components!$E$5)</f>
        <v/>
      </c>
      <c r="U288" s="67">
        <f>IF(G288="","",ABS(P288-Components!$D$6)/Components!$E$6)</f>
        <v/>
      </c>
      <c r="V288" s="67">
        <f>IF(G288="","",ABS(P288-Components!$D$7)/Components!$E$7)</f>
        <v/>
      </c>
      <c r="W288" s="61">
        <f>IF(G288="","",IF(N288="OK","NONE",INDEX({"S1","S2","W1","W2","N1","N2"},MATCH(MIN(Q288:V288),Q288:V288,0))))</f>
        <v/>
      </c>
      <c r="X288" s="69">
        <f>IF(G288="","",IF(W288=E288,1,0))</f>
        <v/>
      </c>
    </row>
    <row r="289">
      <c r="A289" s="61" t="n">
        <v>41</v>
      </c>
      <c r="B289" s="62" t="n">
        <v>3</v>
      </c>
      <c r="C289" s="61" t="inlineStr">
        <is>
          <t>R6</t>
        </is>
      </c>
      <c r="D289" s="63" t="inlineStr">
        <is>
          <t>OK</t>
        </is>
      </c>
      <c r="E289" s="61" t="inlineStr">
        <is>
          <t>NONE</t>
        </is>
      </c>
      <c r="F289" s="61" t="inlineStr">
        <is>
          <t>K041</t>
        </is>
      </c>
      <c r="G289" s="75" t="n">
        <v>8.619999999999999</v>
      </c>
      <c r="H289" s="65" t="n"/>
      <c r="I289" s="66" t="n"/>
      <c r="J289" s="67">
        <f>VLOOKUP(C289,Recipes!$A$2:$N$4,10,FALSE())</f>
        <v/>
      </c>
      <c r="K289" s="68">
        <f>VLOOKUP(C289,Recipes!$A$2:$N$4,12,FALSE())</f>
        <v/>
      </c>
      <c r="L289" s="67">
        <f>J289-3*K289</f>
        <v/>
      </c>
      <c r="M289" s="67">
        <f>J289+3*K289</f>
        <v/>
      </c>
      <c r="N289" s="61">
        <f>IF(G289="","",IF(AND(G289&gt;=L289,G289&lt;=M289),"OK","NG"))</f>
        <v/>
      </c>
      <c r="O289" s="69">
        <f>IF(N289="","",IF(N289=D289,1,0))</f>
        <v/>
      </c>
      <c r="P289" s="67">
        <f>IF(G289="","",J289-G289)</f>
        <v/>
      </c>
      <c r="Q289" s="67">
        <f>IF(G289="","",ABS(P289-Components!$D$2)/Components!$E$2)</f>
        <v/>
      </c>
      <c r="R289" s="67">
        <f>IF(G289="","",ABS(P289-Components!$D$3)/Components!$E$3)</f>
        <v/>
      </c>
      <c r="S289" s="67">
        <f>IF(G289="","",ABS(P289-Components!$D$4)/Components!$E$4)</f>
        <v/>
      </c>
      <c r="T289" s="67">
        <f>IF(G289="","",ABS(P289-Components!$D$5)/Components!$E$5)</f>
        <v/>
      </c>
      <c r="U289" s="67">
        <f>IF(G289="","",ABS(P289-Components!$D$6)/Components!$E$6)</f>
        <v/>
      </c>
      <c r="V289" s="67">
        <f>IF(G289="","",ABS(P289-Components!$D$7)/Components!$E$7)</f>
        <v/>
      </c>
      <c r="W289" s="61">
        <f>IF(G289="","",IF(N289="OK","NONE",INDEX({"S1","S2","W1","W2","N1","N2"},MATCH(MIN(Q289:V289),Q289:V289,0))))</f>
        <v/>
      </c>
      <c r="X289" s="69">
        <f>IF(G289="","",IF(W289=E289,1,0))</f>
        <v/>
      </c>
    </row>
    <row r="290">
      <c r="A290" s="61" t="n">
        <v>41</v>
      </c>
      <c r="B290" s="62" t="n">
        <v>3</v>
      </c>
      <c r="C290" s="61" t="inlineStr">
        <is>
          <t>R6</t>
        </is>
      </c>
      <c r="D290" s="63" t="inlineStr">
        <is>
          <t>OK</t>
        </is>
      </c>
      <c r="E290" s="61" t="inlineStr">
        <is>
          <t>NONE</t>
        </is>
      </c>
      <c r="F290" s="61" t="inlineStr">
        <is>
          <t>K041</t>
        </is>
      </c>
      <c r="G290" s="75" t="n">
        <v>8.41</v>
      </c>
      <c r="H290" s="65" t="n"/>
      <c r="I290" s="66" t="n"/>
      <c r="J290" s="67">
        <f>VLOOKUP(C290,Recipes!$A$2:$N$4,10,FALSE())</f>
        <v/>
      </c>
      <c r="K290" s="68">
        <f>VLOOKUP(C290,Recipes!$A$2:$N$4,12,FALSE())</f>
        <v/>
      </c>
      <c r="L290" s="67">
        <f>J290-3*K290</f>
        <v/>
      </c>
      <c r="M290" s="67">
        <f>J290+3*K290</f>
        <v/>
      </c>
      <c r="N290" s="61">
        <f>IF(G290="","",IF(AND(G290&gt;=L290,G290&lt;=M290),"OK","NG"))</f>
        <v/>
      </c>
      <c r="O290" s="69">
        <f>IF(N290="","",IF(N290=D290,1,0))</f>
        <v/>
      </c>
      <c r="P290" s="67">
        <f>IF(G290="","",J290-G290)</f>
        <v/>
      </c>
      <c r="Q290" s="67">
        <f>IF(G290="","",ABS(P290-Components!$D$2)/Components!$E$2)</f>
        <v/>
      </c>
      <c r="R290" s="67">
        <f>IF(G290="","",ABS(P290-Components!$D$3)/Components!$E$3)</f>
        <v/>
      </c>
      <c r="S290" s="67">
        <f>IF(G290="","",ABS(P290-Components!$D$4)/Components!$E$4)</f>
        <v/>
      </c>
      <c r="T290" s="67">
        <f>IF(G290="","",ABS(P290-Components!$D$5)/Components!$E$5)</f>
        <v/>
      </c>
      <c r="U290" s="67">
        <f>IF(G290="","",ABS(P290-Components!$D$6)/Components!$E$6)</f>
        <v/>
      </c>
      <c r="V290" s="67">
        <f>IF(G290="","",ABS(P290-Components!$D$7)/Components!$E$7)</f>
        <v/>
      </c>
      <c r="W290" s="61">
        <f>IF(G290="","",IF(N290="OK","NONE",INDEX({"S1","S2","W1","W2","N1","N2"},MATCH(MIN(Q290:V290),Q290:V290,0))))</f>
        <v/>
      </c>
      <c r="X290" s="71">
        <f>IF(G290="","",IF(W290=E290,1,0))</f>
        <v/>
      </c>
    </row>
    <row r="291">
      <c r="A291" s="61" t="n">
        <v>41</v>
      </c>
      <c r="B291" s="62" t="n">
        <v>3</v>
      </c>
      <c r="C291" s="61" t="inlineStr">
        <is>
          <t>R6</t>
        </is>
      </c>
      <c r="D291" s="63" t="inlineStr">
        <is>
          <t>OK</t>
        </is>
      </c>
      <c r="E291" s="61" t="inlineStr">
        <is>
          <t>NONE</t>
        </is>
      </c>
      <c r="F291" s="61" t="inlineStr">
        <is>
          <t>K041</t>
        </is>
      </c>
      <c r="G291" s="75" t="n">
        <v>8.609999999999999</v>
      </c>
      <c r="H291" s="65" t="n"/>
      <c r="I291" s="66" t="n"/>
      <c r="J291" s="67">
        <f>VLOOKUP(C291,Recipes!$A$2:$N$4,10,FALSE())</f>
        <v/>
      </c>
      <c r="K291" s="68">
        <f>VLOOKUP(C291,Recipes!$A$2:$N$4,12,FALSE())</f>
        <v/>
      </c>
      <c r="L291" s="67">
        <f>J291-3*K291</f>
        <v/>
      </c>
      <c r="M291" s="67">
        <f>J291+3*K291</f>
        <v/>
      </c>
      <c r="N291" s="61">
        <f>IF(G291="","",IF(AND(G291&gt;=L291,G291&lt;=M291),"OK","NG"))</f>
        <v/>
      </c>
      <c r="O291" s="69">
        <f>IF(N291="","",IF(N291=D291,1,0))</f>
        <v/>
      </c>
      <c r="P291" s="67">
        <f>IF(G291="","",J291-G291)</f>
        <v/>
      </c>
      <c r="Q291" s="67">
        <f>IF(G291="","",ABS(P291-Components!$D$2)/Components!$E$2)</f>
        <v/>
      </c>
      <c r="R291" s="67">
        <f>IF(G291="","",ABS(P291-Components!$D$3)/Components!$E$3)</f>
        <v/>
      </c>
      <c r="S291" s="67">
        <f>IF(G291="","",ABS(P291-Components!$D$4)/Components!$E$4)</f>
        <v/>
      </c>
      <c r="T291" s="67">
        <f>IF(G291="","",ABS(P291-Components!$D$5)/Components!$E$5)</f>
        <v/>
      </c>
      <c r="U291" s="67">
        <f>IF(G291="","",ABS(P291-Components!$D$6)/Components!$E$6)</f>
        <v/>
      </c>
      <c r="V291" s="67">
        <f>IF(G291="","",ABS(P291-Components!$D$7)/Components!$E$7)</f>
        <v/>
      </c>
      <c r="W291" s="61">
        <f>IF(G291="","",IF(N291="OK","NONE",INDEX({"S1","S2","W1","W2","N1","N2"},MATCH(MIN(Q291:V291),Q291:V291,0))))</f>
        <v/>
      </c>
      <c r="X291" s="69">
        <f>IF(G291="","",IF(W291=E291,1,0))</f>
        <v/>
      </c>
    </row>
    <row r="292">
      <c r="A292" s="61" t="n">
        <v>41</v>
      </c>
      <c r="B292" s="62" t="n">
        <v>3</v>
      </c>
      <c r="C292" s="61" t="inlineStr">
        <is>
          <t>R6</t>
        </is>
      </c>
      <c r="D292" s="63" t="inlineStr">
        <is>
          <t>OK</t>
        </is>
      </c>
      <c r="E292" s="61" t="inlineStr">
        <is>
          <t>NONE</t>
        </is>
      </c>
      <c r="F292" s="61" t="inlineStr">
        <is>
          <t>K041</t>
        </is>
      </c>
      <c r="G292" s="75" t="n">
        <v>8.609999999999999</v>
      </c>
      <c r="H292" s="65" t="n"/>
      <c r="I292" s="66" t="n"/>
      <c r="J292" s="67">
        <f>VLOOKUP(C292,Recipes!$A$2:$N$4,10,FALSE())</f>
        <v/>
      </c>
      <c r="K292" s="68">
        <f>VLOOKUP(C292,Recipes!$A$2:$N$4,12,FALSE())</f>
        <v/>
      </c>
      <c r="L292" s="67">
        <f>J292-3*K292</f>
        <v/>
      </c>
      <c r="M292" s="67">
        <f>J292+3*K292</f>
        <v/>
      </c>
      <c r="N292" s="61">
        <f>IF(G292="","",IF(AND(G292&gt;=L292,G292&lt;=M292),"OK","NG"))</f>
        <v/>
      </c>
      <c r="O292" s="69">
        <f>IF(N292="","",IF(N292=D292,1,0))</f>
        <v/>
      </c>
      <c r="P292" s="67">
        <f>IF(G292="","",J292-G292)</f>
        <v/>
      </c>
      <c r="Q292" s="67">
        <f>IF(G292="","",ABS(P292-Components!$D$2)/Components!$E$2)</f>
        <v/>
      </c>
      <c r="R292" s="67">
        <f>IF(G292="","",ABS(P292-Components!$D$3)/Components!$E$3)</f>
        <v/>
      </c>
      <c r="S292" s="67">
        <f>IF(G292="","",ABS(P292-Components!$D$4)/Components!$E$4)</f>
        <v/>
      </c>
      <c r="T292" s="67">
        <f>IF(G292="","",ABS(P292-Components!$D$5)/Components!$E$5)</f>
        <v/>
      </c>
      <c r="U292" s="67">
        <f>IF(G292="","",ABS(P292-Components!$D$6)/Components!$E$6)</f>
        <v/>
      </c>
      <c r="V292" s="67">
        <f>IF(G292="","",ABS(P292-Components!$D$7)/Components!$E$7)</f>
        <v/>
      </c>
      <c r="W292" s="61">
        <f>IF(G292="","",IF(N292="OK","NONE",INDEX({"S1","S2","W1","W2","N1","N2"},MATCH(MIN(Q292:V292),Q292:V292,0))))</f>
        <v/>
      </c>
      <c r="X292" s="69">
        <f>IF(G292="","",IF(W292=E292,1,0))</f>
        <v/>
      </c>
    </row>
    <row r="293">
      <c r="A293" s="61" t="n">
        <v>41</v>
      </c>
      <c r="B293" s="62" t="n">
        <v>3</v>
      </c>
      <c r="C293" s="61" t="inlineStr">
        <is>
          <t>R6</t>
        </is>
      </c>
      <c r="D293" s="63" t="inlineStr">
        <is>
          <t>OK</t>
        </is>
      </c>
      <c r="E293" s="61" t="inlineStr">
        <is>
          <t>NONE</t>
        </is>
      </c>
      <c r="F293" s="61" t="inlineStr">
        <is>
          <t>K041</t>
        </is>
      </c>
      <c r="G293" s="75" t="n">
        <v>8.539999999999999</v>
      </c>
      <c r="H293" s="65" t="n"/>
      <c r="I293" s="66" t="n"/>
      <c r="J293" s="67">
        <f>VLOOKUP(C293,Recipes!$A$2:$N$4,10,FALSE())</f>
        <v/>
      </c>
      <c r="K293" s="68">
        <f>VLOOKUP(C293,Recipes!$A$2:$N$4,12,FALSE())</f>
        <v/>
      </c>
      <c r="L293" s="67">
        <f>J293-3*K293</f>
        <v/>
      </c>
      <c r="M293" s="67">
        <f>J293+3*K293</f>
        <v/>
      </c>
      <c r="N293" s="61">
        <f>IF(G293="","",IF(AND(G293&gt;=L293,G293&lt;=M293),"OK","NG"))</f>
        <v/>
      </c>
      <c r="O293" s="69">
        <f>IF(N293="","",IF(N293=D293,1,0))</f>
        <v/>
      </c>
      <c r="P293" s="67">
        <f>IF(G293="","",J293-G293)</f>
        <v/>
      </c>
      <c r="Q293" s="67">
        <f>IF(G293="","",ABS(P293-Components!$D$2)/Components!$E$2)</f>
        <v/>
      </c>
      <c r="R293" s="67">
        <f>IF(G293="","",ABS(P293-Components!$D$3)/Components!$E$3)</f>
        <v/>
      </c>
      <c r="S293" s="67">
        <f>IF(G293="","",ABS(P293-Components!$D$4)/Components!$E$4)</f>
        <v/>
      </c>
      <c r="T293" s="67">
        <f>IF(G293="","",ABS(P293-Components!$D$5)/Components!$E$5)</f>
        <v/>
      </c>
      <c r="U293" s="67">
        <f>IF(G293="","",ABS(P293-Components!$D$6)/Components!$E$6)</f>
        <v/>
      </c>
      <c r="V293" s="67">
        <f>IF(G293="","",ABS(P293-Components!$D$7)/Components!$E$7)</f>
        <v/>
      </c>
      <c r="W293" s="61">
        <f>IF(G293="","",IF(N293="OK","NONE",INDEX({"S1","S2","W1","W2","N1","N2"},MATCH(MIN(Q293:V293),Q293:V293,0))))</f>
        <v/>
      </c>
      <c r="X293" s="69">
        <f>IF(G293="","",IF(W293=E293,1,0))</f>
        <v/>
      </c>
    </row>
    <row r="294">
      <c r="A294" s="61" t="n">
        <v>41</v>
      </c>
      <c r="B294" s="62" t="n">
        <v>3</v>
      </c>
      <c r="C294" s="61" t="inlineStr">
        <is>
          <t>R6</t>
        </is>
      </c>
      <c r="D294" s="63" t="inlineStr">
        <is>
          <t>OK</t>
        </is>
      </c>
      <c r="E294" s="61" t="inlineStr">
        <is>
          <t>NONE</t>
        </is>
      </c>
      <c r="F294" s="61" t="inlineStr">
        <is>
          <t>K041</t>
        </is>
      </c>
      <c r="G294" s="75" t="n">
        <v>8.59</v>
      </c>
      <c r="H294" s="65" t="n"/>
      <c r="I294" s="66" t="n"/>
      <c r="J294" s="67">
        <f>VLOOKUP(C294,Recipes!$A$2:$N$4,10,FALSE())</f>
        <v/>
      </c>
      <c r="K294" s="68">
        <f>VLOOKUP(C294,Recipes!$A$2:$N$4,12,FALSE())</f>
        <v/>
      </c>
      <c r="L294" s="67">
        <f>J294-3*K294</f>
        <v/>
      </c>
      <c r="M294" s="67">
        <f>J294+3*K294</f>
        <v/>
      </c>
      <c r="N294" s="61">
        <f>IF(G294="","",IF(AND(G294&gt;=L294,G294&lt;=M294),"OK","NG"))</f>
        <v/>
      </c>
      <c r="O294" s="69">
        <f>IF(N294="","",IF(N294=D294,1,0))</f>
        <v/>
      </c>
      <c r="P294" s="67">
        <f>IF(G294="","",J294-G294)</f>
        <v/>
      </c>
      <c r="Q294" s="67">
        <f>IF(G294="","",ABS(P294-Components!$D$2)/Components!$E$2)</f>
        <v/>
      </c>
      <c r="R294" s="67">
        <f>IF(G294="","",ABS(P294-Components!$D$3)/Components!$E$3)</f>
        <v/>
      </c>
      <c r="S294" s="67">
        <f>IF(G294="","",ABS(P294-Components!$D$4)/Components!$E$4)</f>
        <v/>
      </c>
      <c r="T294" s="67">
        <f>IF(G294="","",ABS(P294-Components!$D$5)/Components!$E$5)</f>
        <v/>
      </c>
      <c r="U294" s="67">
        <f>IF(G294="","",ABS(P294-Components!$D$6)/Components!$E$6)</f>
        <v/>
      </c>
      <c r="V294" s="67">
        <f>IF(G294="","",ABS(P294-Components!$D$7)/Components!$E$7)</f>
        <v/>
      </c>
      <c r="W294" s="61">
        <f>IF(G294="","",IF(N294="OK","NONE",INDEX({"S1","S2","W1","W2","N1","N2"},MATCH(MIN(Q294:V294),Q294:V294,0))))</f>
        <v/>
      </c>
      <c r="X294" s="69">
        <f>IF(G294="","",IF(W294=E294,1,0))</f>
        <v/>
      </c>
    </row>
    <row r="295">
      <c r="A295" s="61" t="n">
        <v>41</v>
      </c>
      <c r="B295" s="62" t="n">
        <v>3</v>
      </c>
      <c r="C295" s="61" t="inlineStr">
        <is>
          <t>R6</t>
        </is>
      </c>
      <c r="D295" s="63" t="inlineStr">
        <is>
          <t>OK</t>
        </is>
      </c>
      <c r="E295" s="61" t="inlineStr">
        <is>
          <t>NONE</t>
        </is>
      </c>
      <c r="F295" s="61" t="inlineStr">
        <is>
          <t>K041</t>
        </is>
      </c>
      <c r="G295" s="75" t="n">
        <v>8.640000000000001</v>
      </c>
      <c r="H295" s="65" t="n"/>
      <c r="I295" s="66" t="n"/>
      <c r="J295" s="67">
        <f>VLOOKUP(C295,Recipes!$A$2:$N$4,10,FALSE())</f>
        <v/>
      </c>
      <c r="K295" s="68">
        <f>VLOOKUP(C295,Recipes!$A$2:$N$4,12,FALSE())</f>
        <v/>
      </c>
      <c r="L295" s="67">
        <f>J295-3*K295</f>
        <v/>
      </c>
      <c r="M295" s="67">
        <f>J295+3*K295</f>
        <v/>
      </c>
      <c r="N295" s="61">
        <f>IF(G295="","",IF(AND(G295&gt;=L295,G295&lt;=M295),"OK","NG"))</f>
        <v/>
      </c>
      <c r="O295" s="69">
        <f>IF(N295="","",IF(N295=D295,1,0))</f>
        <v/>
      </c>
      <c r="P295" s="67">
        <f>IF(G295="","",J295-G295)</f>
        <v/>
      </c>
      <c r="Q295" s="67">
        <f>IF(G295="","",ABS(P295-Components!$D$2)/Components!$E$2)</f>
        <v/>
      </c>
      <c r="R295" s="67">
        <f>IF(G295="","",ABS(P295-Components!$D$3)/Components!$E$3)</f>
        <v/>
      </c>
      <c r="S295" s="67">
        <f>IF(G295="","",ABS(P295-Components!$D$4)/Components!$E$4)</f>
        <v/>
      </c>
      <c r="T295" s="67">
        <f>IF(G295="","",ABS(P295-Components!$D$5)/Components!$E$5)</f>
        <v/>
      </c>
      <c r="U295" s="67">
        <f>IF(G295="","",ABS(P295-Components!$D$6)/Components!$E$6)</f>
        <v/>
      </c>
      <c r="V295" s="67">
        <f>IF(G295="","",ABS(P295-Components!$D$7)/Components!$E$7)</f>
        <v/>
      </c>
      <c r="W295" s="61">
        <f>IF(G295="","",IF(N295="OK","NONE",INDEX({"S1","S2","W1","W2","N1","N2"},MATCH(MIN(Q295:V295),Q295:V295,0))))</f>
        <v/>
      </c>
      <c r="X295" s="69">
        <f>IF(G295="","",IF(W295=E295,1,0))</f>
        <v/>
      </c>
    </row>
    <row r="296">
      <c r="A296" s="61" t="n">
        <v>41</v>
      </c>
      <c r="B296" s="62" t="n">
        <v>3</v>
      </c>
      <c r="C296" s="61" t="inlineStr">
        <is>
          <t>R6</t>
        </is>
      </c>
      <c r="D296" s="63" t="inlineStr">
        <is>
          <t>OK</t>
        </is>
      </c>
      <c r="E296" s="61" t="inlineStr">
        <is>
          <t>NONE</t>
        </is>
      </c>
      <c r="F296" s="61" t="inlineStr">
        <is>
          <t>K041</t>
        </is>
      </c>
      <c r="G296" s="75" t="n">
        <v>8.640000000000001</v>
      </c>
      <c r="H296" s="65" t="n"/>
      <c r="I296" s="66" t="n"/>
      <c r="J296" s="67">
        <f>VLOOKUP(C296,Recipes!$A$2:$N$4,10,FALSE())</f>
        <v/>
      </c>
      <c r="K296" s="68">
        <f>VLOOKUP(C296,Recipes!$A$2:$N$4,12,FALSE())</f>
        <v/>
      </c>
      <c r="L296" s="67">
        <f>J296-3*K296</f>
        <v/>
      </c>
      <c r="M296" s="67">
        <f>J296+3*K296</f>
        <v/>
      </c>
      <c r="N296" s="61">
        <f>IF(G296="","",IF(AND(G296&gt;=L296,G296&lt;=M296),"OK","NG"))</f>
        <v/>
      </c>
      <c r="O296" s="69">
        <f>IF(N296="","",IF(N296=D296,1,0))</f>
        <v/>
      </c>
      <c r="P296" s="67">
        <f>IF(G296="","",J296-G296)</f>
        <v/>
      </c>
      <c r="Q296" s="67">
        <f>IF(G296="","",ABS(P296-Components!$D$2)/Components!$E$2)</f>
        <v/>
      </c>
      <c r="R296" s="67">
        <f>IF(G296="","",ABS(P296-Components!$D$3)/Components!$E$3)</f>
        <v/>
      </c>
      <c r="S296" s="67">
        <f>IF(G296="","",ABS(P296-Components!$D$4)/Components!$E$4)</f>
        <v/>
      </c>
      <c r="T296" s="67">
        <f>IF(G296="","",ABS(P296-Components!$D$5)/Components!$E$5)</f>
        <v/>
      </c>
      <c r="U296" s="67">
        <f>IF(G296="","",ABS(P296-Components!$D$6)/Components!$E$6)</f>
        <v/>
      </c>
      <c r="V296" s="67">
        <f>IF(G296="","",ABS(P296-Components!$D$7)/Components!$E$7)</f>
        <v/>
      </c>
      <c r="W296" s="61">
        <f>IF(G296="","",IF(N296="OK","NONE",INDEX({"S1","S2","W1","W2","N1","N2"},MATCH(MIN(Q296:V296),Q296:V296,0))))</f>
        <v/>
      </c>
      <c r="X296" s="69">
        <f>IF(G296="","",IF(W296=E296,1,0))</f>
        <v/>
      </c>
    </row>
    <row r="297">
      <c r="A297" s="61" t="n">
        <v>41</v>
      </c>
      <c r="B297" s="62" t="n">
        <v>3</v>
      </c>
      <c r="C297" s="61" t="inlineStr">
        <is>
          <t>R6</t>
        </is>
      </c>
      <c r="D297" s="63" t="inlineStr">
        <is>
          <t>OK</t>
        </is>
      </c>
      <c r="E297" s="61" t="inlineStr">
        <is>
          <t>NONE</t>
        </is>
      </c>
      <c r="F297" s="61" t="inlineStr">
        <is>
          <t>K041</t>
        </is>
      </c>
      <c r="G297" s="75" t="n">
        <v>8.68</v>
      </c>
      <c r="H297" s="65" t="n"/>
      <c r="I297" s="66" t="n"/>
      <c r="J297" s="67">
        <f>VLOOKUP(C297,Recipes!$A$2:$N$4,10,FALSE())</f>
        <v/>
      </c>
      <c r="K297" s="68">
        <f>VLOOKUP(C297,Recipes!$A$2:$N$4,12,FALSE())</f>
        <v/>
      </c>
      <c r="L297" s="67">
        <f>J297-3*K297</f>
        <v/>
      </c>
      <c r="M297" s="67">
        <f>J297+3*K297</f>
        <v/>
      </c>
      <c r="N297" s="61">
        <f>IF(G297="","",IF(AND(G297&gt;=L297,G297&lt;=M297),"OK","NG"))</f>
        <v/>
      </c>
      <c r="O297" s="69">
        <f>IF(N297="","",IF(N297=D297,1,0))</f>
        <v/>
      </c>
      <c r="P297" s="67">
        <f>IF(G297="","",J297-G297)</f>
        <v/>
      </c>
      <c r="Q297" s="67">
        <f>IF(G297="","",ABS(P297-Components!$D$2)/Components!$E$2)</f>
        <v/>
      </c>
      <c r="R297" s="67">
        <f>IF(G297="","",ABS(P297-Components!$D$3)/Components!$E$3)</f>
        <v/>
      </c>
      <c r="S297" s="67">
        <f>IF(G297="","",ABS(P297-Components!$D$4)/Components!$E$4)</f>
        <v/>
      </c>
      <c r="T297" s="67">
        <f>IF(G297="","",ABS(P297-Components!$D$5)/Components!$E$5)</f>
        <v/>
      </c>
      <c r="U297" s="67">
        <f>IF(G297="","",ABS(P297-Components!$D$6)/Components!$E$6)</f>
        <v/>
      </c>
      <c r="V297" s="67">
        <f>IF(G297="","",ABS(P297-Components!$D$7)/Components!$E$7)</f>
        <v/>
      </c>
      <c r="W297" s="61">
        <f>IF(G297="","",IF(N297="OK","NONE",INDEX({"S1","S2","W1","W2","N1","N2"},MATCH(MIN(Q297:V297),Q297:V297,0))))</f>
        <v/>
      </c>
      <c r="X297" s="69">
        <f>IF(G297="","",IF(W297=E297,1,0))</f>
        <v/>
      </c>
    </row>
    <row r="298">
      <c r="A298" s="61" t="n">
        <v>41</v>
      </c>
      <c r="B298" s="62" t="n">
        <v>3</v>
      </c>
      <c r="C298" s="61" t="inlineStr">
        <is>
          <t>R6</t>
        </is>
      </c>
      <c r="D298" s="63" t="inlineStr">
        <is>
          <t>OK</t>
        </is>
      </c>
      <c r="E298" s="61" t="inlineStr">
        <is>
          <t>NONE</t>
        </is>
      </c>
      <c r="F298" s="61" t="inlineStr">
        <is>
          <t>K041</t>
        </is>
      </c>
      <c r="G298" s="75" t="n">
        <v>8.66</v>
      </c>
      <c r="H298" s="65" t="n"/>
      <c r="I298" s="66" t="n"/>
      <c r="J298" s="67">
        <f>VLOOKUP(C298,Recipes!$A$2:$N$4,10,FALSE())</f>
        <v/>
      </c>
      <c r="K298" s="68">
        <f>VLOOKUP(C298,Recipes!$A$2:$N$4,12,FALSE())</f>
        <v/>
      </c>
      <c r="L298" s="67">
        <f>J298-3*K298</f>
        <v/>
      </c>
      <c r="M298" s="67">
        <f>J298+3*K298</f>
        <v/>
      </c>
      <c r="N298" s="61">
        <f>IF(G298="","",IF(AND(G298&gt;=L298,G298&lt;=M298),"OK","NG"))</f>
        <v/>
      </c>
      <c r="O298" s="69">
        <f>IF(N298="","",IF(N298=D298,1,0))</f>
        <v/>
      </c>
      <c r="P298" s="67">
        <f>IF(G298="","",J298-G298)</f>
        <v/>
      </c>
      <c r="Q298" s="67">
        <f>IF(G298="","",ABS(P298-Components!$D$2)/Components!$E$2)</f>
        <v/>
      </c>
      <c r="R298" s="67">
        <f>IF(G298="","",ABS(P298-Components!$D$3)/Components!$E$3)</f>
        <v/>
      </c>
      <c r="S298" s="67">
        <f>IF(G298="","",ABS(P298-Components!$D$4)/Components!$E$4)</f>
        <v/>
      </c>
      <c r="T298" s="67">
        <f>IF(G298="","",ABS(P298-Components!$D$5)/Components!$E$5)</f>
        <v/>
      </c>
      <c r="U298" s="67">
        <f>IF(G298="","",ABS(P298-Components!$D$6)/Components!$E$6)</f>
        <v/>
      </c>
      <c r="V298" s="67">
        <f>IF(G298="","",ABS(P298-Components!$D$7)/Components!$E$7)</f>
        <v/>
      </c>
      <c r="W298" s="61">
        <f>IF(G298="","",IF(N298="OK","NONE",INDEX({"S1","S2","W1","W2","N1","N2"},MATCH(MIN(Q298:V298),Q298:V298,0))))</f>
        <v/>
      </c>
      <c r="X298" s="69">
        <f>IF(G298="","",IF(W298=E298,1,0))</f>
        <v/>
      </c>
    </row>
    <row r="299">
      <c r="A299" s="61" t="n">
        <v>41</v>
      </c>
      <c r="B299" s="62" t="n">
        <v>3</v>
      </c>
      <c r="C299" s="61" t="inlineStr">
        <is>
          <t>R6</t>
        </is>
      </c>
      <c r="D299" s="63" t="inlineStr">
        <is>
          <t>OK</t>
        </is>
      </c>
      <c r="E299" s="61" t="inlineStr">
        <is>
          <t>NONE</t>
        </is>
      </c>
      <c r="F299" s="61" t="inlineStr">
        <is>
          <t>K041</t>
        </is>
      </c>
      <c r="G299" s="75" t="n">
        <v>8.58</v>
      </c>
      <c r="H299" s="65" t="n"/>
      <c r="I299" s="66" t="n"/>
      <c r="J299" s="67">
        <f>VLOOKUP(C299,Recipes!$A$2:$N$4,10,FALSE())</f>
        <v/>
      </c>
      <c r="K299" s="68">
        <f>VLOOKUP(C299,Recipes!$A$2:$N$4,12,FALSE())</f>
        <v/>
      </c>
      <c r="L299" s="67">
        <f>J299-3*K299</f>
        <v/>
      </c>
      <c r="M299" s="67">
        <f>J299+3*K299</f>
        <v/>
      </c>
      <c r="N299" s="61">
        <f>IF(G299="","",IF(AND(G299&gt;=L299,G299&lt;=M299),"OK","NG"))</f>
        <v/>
      </c>
      <c r="O299" s="69">
        <f>IF(N299="","",IF(N299=D299,1,0))</f>
        <v/>
      </c>
      <c r="P299" s="67">
        <f>IF(G299="","",J299-G299)</f>
        <v/>
      </c>
      <c r="Q299" s="67">
        <f>IF(G299="","",ABS(P299-Components!$D$2)/Components!$E$2)</f>
        <v/>
      </c>
      <c r="R299" s="67">
        <f>IF(G299="","",ABS(P299-Components!$D$3)/Components!$E$3)</f>
        <v/>
      </c>
      <c r="S299" s="67">
        <f>IF(G299="","",ABS(P299-Components!$D$4)/Components!$E$4)</f>
        <v/>
      </c>
      <c r="T299" s="67">
        <f>IF(G299="","",ABS(P299-Components!$D$5)/Components!$E$5)</f>
        <v/>
      </c>
      <c r="U299" s="67">
        <f>IF(G299="","",ABS(P299-Components!$D$6)/Components!$E$6)</f>
        <v/>
      </c>
      <c r="V299" s="67">
        <f>IF(G299="","",ABS(P299-Components!$D$7)/Components!$E$7)</f>
        <v/>
      </c>
      <c r="W299" s="61">
        <f>IF(G299="","",IF(N299="OK","NONE",INDEX({"S1","S2","W1","W2","N1","N2"},MATCH(MIN(Q299:V299),Q299:V299,0))))</f>
        <v/>
      </c>
      <c r="X299" s="69">
        <f>IF(G299="","",IF(W299=E299,1,0))</f>
        <v/>
      </c>
    </row>
    <row r="300">
      <c r="A300" s="61" t="n">
        <v>43</v>
      </c>
      <c r="B300" s="62" t="n">
        <v>38</v>
      </c>
      <c r="C300" s="61" t="inlineStr">
        <is>
          <t>R6</t>
        </is>
      </c>
      <c r="D300" s="63" t="inlineStr">
        <is>
          <t>OK</t>
        </is>
      </c>
      <c r="E300" s="61" t="inlineStr">
        <is>
          <t>NONE</t>
        </is>
      </c>
      <c r="F300" s="61" t="inlineStr">
        <is>
          <t>K043</t>
        </is>
      </c>
      <c r="G300" s="64" t="n">
        <v>8.630000000000001</v>
      </c>
      <c r="H300" s="65" t="n"/>
      <c r="I300" s="66" t="n"/>
      <c r="J300" s="67">
        <f>VLOOKUP(C300,Recipes!$A$2:$N$4,10,FALSE())</f>
        <v/>
      </c>
      <c r="K300" s="68">
        <f>VLOOKUP(C300,Recipes!$A$2:$N$4,12,FALSE())</f>
        <v/>
      </c>
      <c r="L300" s="67">
        <f>J300-3*K300</f>
        <v/>
      </c>
      <c r="M300" s="67">
        <f>J300+3*K300</f>
        <v/>
      </c>
      <c r="N300" s="61">
        <f>IF(G300="","",IF(AND(G300&gt;=L300,G300&lt;=M300),"OK","NG"))</f>
        <v/>
      </c>
      <c r="O300" s="69">
        <f>IF(N300="","",IF(N300=D300,1,0))</f>
        <v/>
      </c>
      <c r="P300" s="67">
        <f>IF(G300="","",J300-G300)</f>
        <v/>
      </c>
      <c r="Q300" s="67">
        <f>IF(G300="","",ABS(P300-Components!$D$2)/Components!$E$2)</f>
        <v/>
      </c>
      <c r="R300" s="67">
        <f>IF(G300="","",ABS(P300-Components!$D$3)/Components!$E$3)</f>
        <v/>
      </c>
      <c r="S300" s="67">
        <f>IF(G300="","",ABS(P300-Components!$D$4)/Components!$E$4)</f>
        <v/>
      </c>
      <c r="T300" s="67">
        <f>IF(G300="","",ABS(P300-Components!$D$5)/Components!$E$5)</f>
        <v/>
      </c>
      <c r="U300" s="67">
        <f>IF(G300="","",ABS(P300-Components!$D$6)/Components!$E$6)</f>
        <v/>
      </c>
      <c r="V300" s="67">
        <f>IF(G300="","",ABS(P300-Components!$D$7)/Components!$E$7)</f>
        <v/>
      </c>
      <c r="W300" s="61">
        <f>IF(G300="","",IF(N300="OK","NONE",INDEX({"S1","S2","W1","W2","N1","N2"},MATCH(MIN(Q300:V300),Q300:V300,0))))</f>
        <v/>
      </c>
      <c r="X300" s="69">
        <f>IF(G300="","",IF(W300=E300,1,0))</f>
        <v/>
      </c>
    </row>
    <row r="301">
      <c r="A301" s="79" t="n"/>
      <c r="B301" s="80" t="n"/>
      <c r="C301" s="76" t="inlineStr">
        <is>
          <t>R6</t>
        </is>
      </c>
      <c r="D301" s="77" t="inlineStr">
        <is>
          <t>OK</t>
        </is>
      </c>
      <c r="E301" s="76" t="inlineStr">
        <is>
          <t>NONE</t>
        </is>
      </c>
      <c r="F301" s="81" t="n"/>
      <c r="G301" s="75" t="n">
        <v>8.619999999999999</v>
      </c>
      <c r="H301" s="65" t="n"/>
      <c r="I301" s="66" t="n"/>
      <c r="J301" s="67">
        <f>VLOOKUP(C301,Recipes!$A$2:$N$4,10,FALSE())</f>
        <v/>
      </c>
      <c r="K301" s="68">
        <f>VLOOKUP(C301,Recipes!$A$2:$N$4,12,FALSE())</f>
        <v/>
      </c>
      <c r="L301" s="67">
        <f>J301-3*K301</f>
        <v/>
      </c>
      <c r="M301" s="67">
        <f>J301+3*K301</f>
        <v/>
      </c>
      <c r="N301" s="61">
        <f>IF(G301="","",IF(AND(G301&gt;=L301,G301&lt;=M301),"OK","NG"))</f>
        <v/>
      </c>
      <c r="O301" s="69">
        <f>IF(N301="","",IF(N301=D301,1,0))</f>
        <v/>
      </c>
      <c r="P301" s="67">
        <f>IF(G301="","",J301-G301)</f>
        <v/>
      </c>
      <c r="Q301" s="67">
        <f>IF(G301="","",ABS(P301-Components!$D$2)/Components!$E$2)</f>
        <v/>
      </c>
      <c r="R301" s="67">
        <f>IF(G301="","",ABS(P301-Components!$D$3)/Components!$E$3)</f>
        <v/>
      </c>
      <c r="S301" s="67">
        <f>IF(G301="","",ABS(P301-Components!$D$4)/Components!$E$4)</f>
        <v/>
      </c>
      <c r="T301" s="67">
        <f>IF(G301="","",ABS(P301-Components!$D$5)/Components!$E$5)</f>
        <v/>
      </c>
      <c r="U301" s="67">
        <f>IF(G301="","",ABS(P301-Components!$D$6)/Components!$E$6)</f>
        <v/>
      </c>
      <c r="V301" s="67">
        <f>IF(G301="","",ABS(P301-Components!$D$7)/Components!$E$7)</f>
        <v/>
      </c>
      <c r="W301" s="61">
        <f>IF(G301="","",IF(N301="OK","NONE",INDEX({"S1","S2","W1","W2","N1","N2"},MATCH(MIN(Q301:V301),Q301:V301,0))))</f>
        <v/>
      </c>
      <c r="X301" s="69">
        <f>IF(G301="","",IF(W301=E301,1,0))</f>
        <v/>
      </c>
    </row>
    <row r="302">
      <c r="A302" s="79" t="n"/>
      <c r="B302" s="80" t="n"/>
      <c r="C302" s="76" t="inlineStr">
        <is>
          <t>R6</t>
        </is>
      </c>
      <c r="D302" s="77" t="inlineStr">
        <is>
          <t>OK</t>
        </is>
      </c>
      <c r="E302" s="76" t="inlineStr">
        <is>
          <t>NONE</t>
        </is>
      </c>
      <c r="F302" s="81" t="n"/>
      <c r="G302" s="75" t="n">
        <v>8.58</v>
      </c>
      <c r="H302" s="65" t="n"/>
      <c r="I302" s="66" t="n"/>
      <c r="J302" s="67">
        <f>VLOOKUP(C302,Recipes!$A$2:$N$4,10,FALSE())</f>
        <v/>
      </c>
      <c r="K302" s="68">
        <f>VLOOKUP(C302,Recipes!$A$2:$N$4,12,FALSE())</f>
        <v/>
      </c>
      <c r="L302" s="67">
        <f>J302-3*K302</f>
        <v/>
      </c>
      <c r="M302" s="67">
        <f>J302+3*K302</f>
        <v/>
      </c>
      <c r="N302" s="61">
        <f>IF(G302="","",IF(AND(G302&gt;=L302,G302&lt;=M302),"OK","NG"))</f>
        <v/>
      </c>
      <c r="O302" s="69">
        <f>IF(N302="","",IF(N302=D302,1,0))</f>
        <v/>
      </c>
      <c r="P302" s="67">
        <f>IF(G302="","",J302-G302)</f>
        <v/>
      </c>
      <c r="Q302" s="67">
        <f>IF(G302="","",ABS(P302-Components!$D$2)/Components!$E$2)</f>
        <v/>
      </c>
      <c r="R302" s="67">
        <f>IF(G302="","",ABS(P302-Components!$D$3)/Components!$E$3)</f>
        <v/>
      </c>
      <c r="S302" s="67">
        <f>IF(G302="","",ABS(P302-Components!$D$4)/Components!$E$4)</f>
        <v/>
      </c>
      <c r="T302" s="67">
        <f>IF(G302="","",ABS(P302-Components!$D$5)/Components!$E$5)</f>
        <v/>
      </c>
      <c r="U302" s="67">
        <f>IF(G302="","",ABS(P302-Components!$D$6)/Components!$E$6)</f>
        <v/>
      </c>
      <c r="V302" s="67">
        <f>IF(G302="","",ABS(P302-Components!$D$7)/Components!$E$7)</f>
        <v/>
      </c>
      <c r="W302" s="61">
        <f>IF(G302="","",IF(N302="OK","NONE",INDEX({"S1","S2","W1","W2","N1","N2"},MATCH(MIN(Q302:V302),Q302:V302,0))))</f>
        <v/>
      </c>
      <c r="X302" s="69">
        <f>IF(G302="","",IF(W302=E302,1,0))</f>
        <v/>
      </c>
    </row>
    <row r="303">
      <c r="A303" s="61" t="n">
        <v>44</v>
      </c>
      <c r="B303" s="62" t="n">
        <v>6</v>
      </c>
      <c r="C303" s="61" t="inlineStr">
        <is>
          <t>R6</t>
        </is>
      </c>
      <c r="D303" s="74" t="inlineStr">
        <is>
          <t>NG</t>
        </is>
      </c>
      <c r="E303" s="61" t="inlineStr">
        <is>
          <t>S1</t>
        </is>
      </c>
      <c r="F303" s="61" t="inlineStr">
        <is>
          <t>K044</t>
        </is>
      </c>
      <c r="G303" s="64" t="n">
        <v>5.89</v>
      </c>
      <c r="H303" s="65" t="n"/>
      <c r="I303" s="66" t="n"/>
      <c r="J303" s="67">
        <f>VLOOKUP(C303,Recipes!$A$2:$N$4,10,FALSE())</f>
        <v/>
      </c>
      <c r="K303" s="68">
        <f>VLOOKUP(C303,Recipes!$A$2:$N$4,12,FALSE())</f>
        <v/>
      </c>
      <c r="L303" s="67">
        <f>J303-3*K303</f>
        <v/>
      </c>
      <c r="M303" s="67">
        <f>J303+3*K303</f>
        <v/>
      </c>
      <c r="N303" s="61">
        <f>IF(G303="","",IF(AND(G303&gt;=L303,G303&lt;=M303),"OK","NG"))</f>
        <v/>
      </c>
      <c r="O303" s="69">
        <f>IF(N303="","",IF(N303=D303,1,0))</f>
        <v/>
      </c>
      <c r="P303" s="67">
        <f>IF(G303="","",J303-G303)</f>
        <v/>
      </c>
      <c r="Q303" s="67">
        <f>IF(G303="","",ABS(P303-Components!$D$2)/Components!$E$2)</f>
        <v/>
      </c>
      <c r="R303" s="67">
        <f>IF(G303="","",ABS(P303-Components!$D$3)/Components!$E$3)</f>
        <v/>
      </c>
      <c r="S303" s="67">
        <f>IF(G303="","",ABS(P303-Components!$D$4)/Components!$E$4)</f>
        <v/>
      </c>
      <c r="T303" s="67">
        <f>IF(G303="","",ABS(P303-Components!$D$5)/Components!$E$5)</f>
        <v/>
      </c>
      <c r="U303" s="67">
        <f>IF(G303="","",ABS(P303-Components!$D$6)/Components!$E$6)</f>
        <v/>
      </c>
      <c r="V303" s="67">
        <f>IF(G303="","",ABS(P303-Components!$D$7)/Components!$E$7)</f>
        <v/>
      </c>
      <c r="W303" s="61">
        <f>IF(G303="","",IF(N303="OK","NONE",INDEX({"S1","S2","W1","W2","N1","N2"},MATCH(MIN(Q303:V303),Q303:V303,0))))</f>
        <v/>
      </c>
      <c r="X303" s="69">
        <f>IF(G303="","",IF(W303=E303,1,0))</f>
        <v/>
      </c>
    </row>
    <row r="304">
      <c r="A304" s="61" t="n">
        <v>44</v>
      </c>
      <c r="B304" s="62" t="n">
        <v>6</v>
      </c>
      <c r="C304" s="61" t="inlineStr">
        <is>
          <t>R6</t>
        </is>
      </c>
      <c r="D304" s="74" t="inlineStr">
        <is>
          <t>NG</t>
        </is>
      </c>
      <c r="E304" s="61" t="inlineStr">
        <is>
          <t>S1</t>
        </is>
      </c>
      <c r="F304" s="61" t="inlineStr">
        <is>
          <t>K044</t>
        </is>
      </c>
      <c r="G304" s="64" t="n">
        <v>5.89</v>
      </c>
      <c r="H304" s="65" t="n"/>
      <c r="I304" s="66" t="n"/>
      <c r="J304" s="67">
        <f>VLOOKUP(C304,Recipes!$A$2:$N$4,10,FALSE())</f>
        <v/>
      </c>
      <c r="K304" s="68">
        <f>VLOOKUP(C304,Recipes!$A$2:$N$4,12,FALSE())</f>
        <v/>
      </c>
      <c r="L304" s="67">
        <f>J304-3*K304</f>
        <v/>
      </c>
      <c r="M304" s="67">
        <f>J304+3*K304</f>
        <v/>
      </c>
      <c r="N304" s="61">
        <f>IF(G304="","",IF(AND(G304&gt;=L304,G304&lt;=M304),"OK","NG"))</f>
        <v/>
      </c>
      <c r="O304" s="69">
        <f>IF(N304="","",IF(N304=D304,1,0))</f>
        <v/>
      </c>
      <c r="P304" s="67">
        <f>IF(G304="","",J304-G304)</f>
        <v/>
      </c>
      <c r="Q304" s="67">
        <f>IF(G304="","",ABS(P304-Components!$D$2)/Components!$E$2)</f>
        <v/>
      </c>
      <c r="R304" s="67">
        <f>IF(G304="","",ABS(P304-Components!$D$3)/Components!$E$3)</f>
        <v/>
      </c>
      <c r="S304" s="67">
        <f>IF(G304="","",ABS(P304-Components!$D$4)/Components!$E$4)</f>
        <v/>
      </c>
      <c r="T304" s="67">
        <f>IF(G304="","",ABS(P304-Components!$D$5)/Components!$E$5)</f>
        <v/>
      </c>
      <c r="U304" s="67">
        <f>IF(G304="","",ABS(P304-Components!$D$6)/Components!$E$6)</f>
        <v/>
      </c>
      <c r="V304" s="67">
        <f>IF(G304="","",ABS(P304-Components!$D$7)/Components!$E$7)</f>
        <v/>
      </c>
      <c r="W304" s="61">
        <f>IF(G304="","",IF(N304="OK","NONE",INDEX({"S1","S2","W1","W2","N1","N2"},MATCH(MIN(Q304:V304),Q304:V304,0))))</f>
        <v/>
      </c>
      <c r="X304" s="69">
        <f>IF(G304="","",IF(W304=E304,1,0))</f>
        <v/>
      </c>
    </row>
    <row r="305">
      <c r="A305" s="61" t="n">
        <v>44</v>
      </c>
      <c r="B305" s="62" t="n">
        <v>6</v>
      </c>
      <c r="C305" s="61" t="inlineStr">
        <is>
          <t>R6</t>
        </is>
      </c>
      <c r="D305" s="74" t="inlineStr">
        <is>
          <t>NG</t>
        </is>
      </c>
      <c r="E305" s="61" t="inlineStr">
        <is>
          <t>S1</t>
        </is>
      </c>
      <c r="F305" s="61" t="inlineStr">
        <is>
          <t>K044</t>
        </is>
      </c>
      <c r="G305" s="75" t="n">
        <v>5.9</v>
      </c>
      <c r="H305" s="65" t="n"/>
      <c r="I305" s="66" t="n"/>
      <c r="J305" s="67">
        <f>VLOOKUP(C305,Recipes!$A$2:$N$4,10,FALSE())</f>
        <v/>
      </c>
      <c r="K305" s="68">
        <f>VLOOKUP(C305,Recipes!$A$2:$N$4,12,FALSE())</f>
        <v/>
      </c>
      <c r="L305" s="67">
        <f>J305-3*K305</f>
        <v/>
      </c>
      <c r="M305" s="67">
        <f>J305+3*K305</f>
        <v/>
      </c>
      <c r="N305" s="61">
        <f>IF(G305="","",IF(AND(G305&gt;=L305,G305&lt;=M305),"OK","NG"))</f>
        <v/>
      </c>
      <c r="O305" s="69">
        <f>IF(N305="","",IF(N305=D305,1,0))</f>
        <v/>
      </c>
      <c r="P305" s="67">
        <f>IF(G305="","",J305-G305)</f>
        <v/>
      </c>
      <c r="Q305" s="67">
        <f>IF(G305="","",ABS(P305-Components!$D$2)/Components!$E$2)</f>
        <v/>
      </c>
      <c r="R305" s="67">
        <f>IF(G305="","",ABS(P305-Components!$D$3)/Components!$E$3)</f>
        <v/>
      </c>
      <c r="S305" s="67">
        <f>IF(G305="","",ABS(P305-Components!$D$4)/Components!$E$4)</f>
        <v/>
      </c>
      <c r="T305" s="67">
        <f>IF(G305="","",ABS(P305-Components!$D$5)/Components!$E$5)</f>
        <v/>
      </c>
      <c r="U305" s="67">
        <f>IF(G305="","",ABS(P305-Components!$D$6)/Components!$E$6)</f>
        <v/>
      </c>
      <c r="V305" s="67">
        <f>IF(G305="","",ABS(P305-Components!$D$7)/Components!$E$7)</f>
        <v/>
      </c>
      <c r="W305" s="61">
        <f>IF(G305="","",IF(N305="OK","NONE",INDEX({"S1","S2","W1","W2","N1","N2"},MATCH(MIN(Q305:V305),Q305:V305,0))))</f>
        <v/>
      </c>
      <c r="X305" s="69">
        <f>IF(G305="","",IF(W305=E305,1,0))</f>
        <v/>
      </c>
    </row>
    <row r="306">
      <c r="A306" s="61" t="n">
        <v>44</v>
      </c>
      <c r="B306" s="62" t="n">
        <v>6</v>
      </c>
      <c r="C306" s="61" t="inlineStr">
        <is>
          <t>R6</t>
        </is>
      </c>
      <c r="D306" s="74" t="inlineStr">
        <is>
          <t>NG</t>
        </is>
      </c>
      <c r="E306" s="61" t="inlineStr">
        <is>
          <t>S1</t>
        </is>
      </c>
      <c r="F306" s="61" t="inlineStr">
        <is>
          <t>K044</t>
        </is>
      </c>
      <c r="G306" s="75" t="n">
        <v>5.88</v>
      </c>
      <c r="H306" s="65" t="n"/>
      <c r="I306" s="66" t="n"/>
      <c r="J306" s="67">
        <f>VLOOKUP(C306,Recipes!$A$2:$N$4,10,FALSE())</f>
        <v/>
      </c>
      <c r="K306" s="68">
        <f>VLOOKUP(C306,Recipes!$A$2:$N$4,12,FALSE())</f>
        <v/>
      </c>
      <c r="L306" s="67">
        <f>J306-3*K306</f>
        <v/>
      </c>
      <c r="M306" s="67">
        <f>J306+3*K306</f>
        <v/>
      </c>
      <c r="N306" s="61">
        <f>IF(G306="","",IF(AND(G306&gt;=L306,G306&lt;=M306),"OK","NG"))</f>
        <v/>
      </c>
      <c r="O306" s="69">
        <f>IF(N306="","",IF(N306=D306,1,0))</f>
        <v/>
      </c>
      <c r="P306" s="67">
        <f>IF(G306="","",J306-G306)</f>
        <v/>
      </c>
      <c r="Q306" s="67">
        <f>IF(G306="","",ABS(P306-Components!$D$2)/Components!$E$2)</f>
        <v/>
      </c>
      <c r="R306" s="67">
        <f>IF(G306="","",ABS(P306-Components!$D$3)/Components!$E$3)</f>
        <v/>
      </c>
      <c r="S306" s="67">
        <f>IF(G306="","",ABS(P306-Components!$D$4)/Components!$E$4)</f>
        <v/>
      </c>
      <c r="T306" s="67">
        <f>IF(G306="","",ABS(P306-Components!$D$5)/Components!$E$5)</f>
        <v/>
      </c>
      <c r="U306" s="67">
        <f>IF(G306="","",ABS(P306-Components!$D$6)/Components!$E$6)</f>
        <v/>
      </c>
      <c r="V306" s="67">
        <f>IF(G306="","",ABS(P306-Components!$D$7)/Components!$E$7)</f>
        <v/>
      </c>
      <c r="W306" s="61">
        <f>IF(G306="","",IF(N306="OK","NONE",INDEX({"S1","S2","W1","W2","N1","N2"},MATCH(MIN(Q306:V306),Q306:V306,0))))</f>
        <v/>
      </c>
      <c r="X306" s="69">
        <f>IF(G306="","",IF(W306=E306,1,0))</f>
        <v/>
      </c>
    </row>
    <row r="307">
      <c r="A307" s="61" t="n">
        <v>44</v>
      </c>
      <c r="B307" s="62" t="n">
        <v>6</v>
      </c>
      <c r="C307" s="61" t="inlineStr">
        <is>
          <t>R6</t>
        </is>
      </c>
      <c r="D307" s="74" t="inlineStr">
        <is>
          <t>NG</t>
        </is>
      </c>
      <c r="E307" s="61" t="inlineStr">
        <is>
          <t>S1</t>
        </is>
      </c>
      <c r="F307" s="61" t="inlineStr">
        <is>
          <t>K044</t>
        </is>
      </c>
      <c r="G307" s="75" t="n">
        <v>5.91</v>
      </c>
      <c r="H307" s="65" t="n"/>
      <c r="I307" s="66" t="n"/>
      <c r="J307" s="67">
        <f>VLOOKUP(C307,Recipes!$A$2:$N$4,10,FALSE())</f>
        <v/>
      </c>
      <c r="K307" s="68">
        <f>VLOOKUP(C307,Recipes!$A$2:$N$4,12,FALSE())</f>
        <v/>
      </c>
      <c r="L307" s="67">
        <f>J307-3*K307</f>
        <v/>
      </c>
      <c r="M307" s="67">
        <f>J307+3*K307</f>
        <v/>
      </c>
      <c r="N307" s="61">
        <f>IF(G307="","",IF(AND(G307&gt;=L307,G307&lt;=M307),"OK","NG"))</f>
        <v/>
      </c>
      <c r="O307" s="69">
        <f>IF(N307="","",IF(N307=D307,1,0))</f>
        <v/>
      </c>
      <c r="P307" s="67">
        <f>IF(G307="","",J307-G307)</f>
        <v/>
      </c>
      <c r="Q307" s="67">
        <f>IF(G307="","",ABS(P307-Components!$D$2)/Components!$E$2)</f>
        <v/>
      </c>
      <c r="R307" s="67">
        <f>IF(G307="","",ABS(P307-Components!$D$3)/Components!$E$3)</f>
        <v/>
      </c>
      <c r="S307" s="67">
        <f>IF(G307="","",ABS(P307-Components!$D$4)/Components!$E$4)</f>
        <v/>
      </c>
      <c r="T307" s="67">
        <f>IF(G307="","",ABS(P307-Components!$D$5)/Components!$E$5)</f>
        <v/>
      </c>
      <c r="U307" s="67">
        <f>IF(G307="","",ABS(P307-Components!$D$6)/Components!$E$6)</f>
        <v/>
      </c>
      <c r="V307" s="67">
        <f>IF(G307="","",ABS(P307-Components!$D$7)/Components!$E$7)</f>
        <v/>
      </c>
      <c r="W307" s="61">
        <f>IF(G307="","",IF(N307="OK","NONE",INDEX({"S1","S2","W1","W2","N1","N2"},MATCH(MIN(Q307:V307),Q307:V307,0))))</f>
        <v/>
      </c>
      <c r="X307" s="69">
        <f>IF(G307="","",IF(W307=E307,1,0))</f>
        <v/>
      </c>
    </row>
    <row r="308">
      <c r="A308" s="61" t="n">
        <v>44</v>
      </c>
      <c r="B308" s="62" t="n">
        <v>6</v>
      </c>
      <c r="C308" s="61" t="inlineStr">
        <is>
          <t>R6</t>
        </is>
      </c>
      <c r="D308" s="74" t="inlineStr">
        <is>
          <t>NG</t>
        </is>
      </c>
      <c r="E308" s="61" t="inlineStr">
        <is>
          <t>S1</t>
        </is>
      </c>
      <c r="F308" s="61" t="inlineStr">
        <is>
          <t>K044</t>
        </is>
      </c>
      <c r="G308" s="75" t="n">
        <v>5.86</v>
      </c>
      <c r="H308" s="65" t="n"/>
      <c r="I308" s="66" t="n"/>
      <c r="J308" s="67">
        <f>VLOOKUP(C308,Recipes!$A$2:$N$4,10,FALSE())</f>
        <v/>
      </c>
      <c r="K308" s="68">
        <f>VLOOKUP(C308,Recipes!$A$2:$N$4,12,FALSE())</f>
        <v/>
      </c>
      <c r="L308" s="67">
        <f>J308-3*K308</f>
        <v/>
      </c>
      <c r="M308" s="67">
        <f>J308+3*K308</f>
        <v/>
      </c>
      <c r="N308" s="61">
        <f>IF(G308="","",IF(AND(G308&gt;=L308,G308&lt;=M308),"OK","NG"))</f>
        <v/>
      </c>
      <c r="O308" s="69">
        <f>IF(N308="","",IF(N308=D308,1,0))</f>
        <v/>
      </c>
      <c r="P308" s="67">
        <f>IF(G308="","",J308-G308)</f>
        <v/>
      </c>
      <c r="Q308" s="67">
        <f>IF(G308="","",ABS(P308-Components!$D$2)/Components!$E$2)</f>
        <v/>
      </c>
      <c r="R308" s="67">
        <f>IF(G308="","",ABS(P308-Components!$D$3)/Components!$E$3)</f>
        <v/>
      </c>
      <c r="S308" s="67">
        <f>IF(G308="","",ABS(P308-Components!$D$4)/Components!$E$4)</f>
        <v/>
      </c>
      <c r="T308" s="67">
        <f>IF(G308="","",ABS(P308-Components!$D$5)/Components!$E$5)</f>
        <v/>
      </c>
      <c r="U308" s="67">
        <f>IF(G308="","",ABS(P308-Components!$D$6)/Components!$E$6)</f>
        <v/>
      </c>
      <c r="V308" s="67">
        <f>IF(G308="","",ABS(P308-Components!$D$7)/Components!$E$7)</f>
        <v/>
      </c>
      <c r="W308" s="61">
        <f>IF(G308="","",IF(N308="OK","NONE",INDEX({"S1","S2","W1","W2","N1","N2"},MATCH(MIN(Q308:V308),Q308:V308,0))))</f>
        <v/>
      </c>
      <c r="X308" s="69">
        <f>IF(G308="","",IF(W308=E308,1,0))</f>
        <v/>
      </c>
    </row>
    <row r="309">
      <c r="A309" s="61" t="n">
        <v>44</v>
      </c>
      <c r="B309" s="62" t="n">
        <v>6</v>
      </c>
      <c r="C309" s="61" t="inlineStr">
        <is>
          <t>R6</t>
        </is>
      </c>
      <c r="D309" s="74" t="inlineStr">
        <is>
          <t>NG</t>
        </is>
      </c>
      <c r="E309" s="61" t="inlineStr">
        <is>
          <t>S1</t>
        </is>
      </c>
      <c r="F309" s="61" t="inlineStr">
        <is>
          <t>K044</t>
        </is>
      </c>
      <c r="G309" s="75" t="n">
        <v>5.9</v>
      </c>
      <c r="H309" s="65" t="n"/>
      <c r="I309" s="66" t="n"/>
      <c r="J309" s="67">
        <f>VLOOKUP(C309,Recipes!$A$2:$N$4,10,FALSE())</f>
        <v/>
      </c>
      <c r="K309" s="68">
        <f>VLOOKUP(C309,Recipes!$A$2:$N$4,12,FALSE())</f>
        <v/>
      </c>
      <c r="L309" s="67">
        <f>J309-3*K309</f>
        <v/>
      </c>
      <c r="M309" s="67">
        <f>J309+3*K309</f>
        <v/>
      </c>
      <c r="N309" s="61">
        <f>IF(G309="","",IF(AND(G309&gt;=L309,G309&lt;=M309),"OK","NG"))</f>
        <v/>
      </c>
      <c r="O309" s="69">
        <f>IF(N309="","",IF(N309=D309,1,0))</f>
        <v/>
      </c>
      <c r="P309" s="67">
        <f>IF(G309="","",J309-G309)</f>
        <v/>
      </c>
      <c r="Q309" s="67">
        <f>IF(G309="","",ABS(P309-Components!$D$2)/Components!$E$2)</f>
        <v/>
      </c>
      <c r="R309" s="67">
        <f>IF(G309="","",ABS(P309-Components!$D$3)/Components!$E$3)</f>
        <v/>
      </c>
      <c r="S309" s="67">
        <f>IF(G309="","",ABS(P309-Components!$D$4)/Components!$E$4)</f>
        <v/>
      </c>
      <c r="T309" s="67">
        <f>IF(G309="","",ABS(P309-Components!$D$5)/Components!$E$5)</f>
        <v/>
      </c>
      <c r="U309" s="67">
        <f>IF(G309="","",ABS(P309-Components!$D$6)/Components!$E$6)</f>
        <v/>
      </c>
      <c r="V309" s="67">
        <f>IF(G309="","",ABS(P309-Components!$D$7)/Components!$E$7)</f>
        <v/>
      </c>
      <c r="W309" s="61">
        <f>IF(G309="","",IF(N309="OK","NONE",INDEX({"S1","S2","W1","W2","N1","N2"},MATCH(MIN(Q309:V309),Q309:V309,0))))</f>
        <v/>
      </c>
      <c r="X309" s="69">
        <f>IF(G309="","",IF(W309=E309,1,0))</f>
        <v/>
      </c>
    </row>
    <row r="310">
      <c r="A310" s="61" t="n">
        <v>44</v>
      </c>
      <c r="B310" s="62" t="n">
        <v>6</v>
      </c>
      <c r="C310" s="61" t="inlineStr">
        <is>
          <t>R6</t>
        </is>
      </c>
      <c r="D310" s="74" t="inlineStr">
        <is>
          <t>NG</t>
        </is>
      </c>
      <c r="E310" s="61" t="inlineStr">
        <is>
          <t>S1</t>
        </is>
      </c>
      <c r="F310" s="61" t="inlineStr">
        <is>
          <t>K044</t>
        </is>
      </c>
      <c r="G310" s="75" t="n">
        <v>5.8</v>
      </c>
      <c r="H310" s="65" t="n"/>
      <c r="I310" s="66" t="n"/>
      <c r="J310" s="67">
        <f>VLOOKUP(C310,Recipes!$A$2:$N$4,10,FALSE())</f>
        <v/>
      </c>
      <c r="K310" s="68">
        <f>VLOOKUP(C310,Recipes!$A$2:$N$4,12,FALSE())</f>
        <v/>
      </c>
      <c r="L310" s="67">
        <f>J310-3*K310</f>
        <v/>
      </c>
      <c r="M310" s="67">
        <f>J310+3*K310</f>
        <v/>
      </c>
      <c r="N310" s="61">
        <f>IF(G310="","",IF(AND(G310&gt;=L310,G310&lt;=M310),"OK","NG"))</f>
        <v/>
      </c>
      <c r="O310" s="69">
        <f>IF(N310="","",IF(N310=D310,1,0))</f>
        <v/>
      </c>
      <c r="P310" s="67">
        <f>IF(G310="","",J310-G310)</f>
        <v/>
      </c>
      <c r="Q310" s="67">
        <f>IF(G310="","",ABS(P310-Components!$D$2)/Components!$E$2)</f>
        <v/>
      </c>
      <c r="R310" s="67">
        <f>IF(G310="","",ABS(P310-Components!$D$3)/Components!$E$3)</f>
        <v/>
      </c>
      <c r="S310" s="67">
        <f>IF(G310="","",ABS(P310-Components!$D$4)/Components!$E$4)</f>
        <v/>
      </c>
      <c r="T310" s="67">
        <f>IF(G310="","",ABS(P310-Components!$D$5)/Components!$E$5)</f>
        <v/>
      </c>
      <c r="U310" s="67">
        <f>IF(G310="","",ABS(P310-Components!$D$6)/Components!$E$6)</f>
        <v/>
      </c>
      <c r="V310" s="67">
        <f>IF(G310="","",ABS(P310-Components!$D$7)/Components!$E$7)</f>
        <v/>
      </c>
      <c r="W310" s="61">
        <f>IF(G310="","",IF(N310="OK","NONE",INDEX({"S1","S2","W1","W2","N1","N2"},MATCH(MIN(Q310:V310),Q310:V310,0))))</f>
        <v/>
      </c>
      <c r="X310" s="69">
        <f>IF(G310="","",IF(W310=E310,1,0))</f>
        <v/>
      </c>
    </row>
    <row r="311">
      <c r="A311" s="61" t="n">
        <v>44</v>
      </c>
      <c r="B311" s="62" t="n">
        <v>6</v>
      </c>
      <c r="C311" s="61" t="inlineStr">
        <is>
          <t>R6</t>
        </is>
      </c>
      <c r="D311" s="74" t="inlineStr">
        <is>
          <t>NG</t>
        </is>
      </c>
      <c r="E311" s="61" t="inlineStr">
        <is>
          <t>S1</t>
        </is>
      </c>
      <c r="F311" s="61" t="inlineStr">
        <is>
          <t>K044</t>
        </is>
      </c>
      <c r="G311" s="75" t="n">
        <v>5.94</v>
      </c>
      <c r="H311" s="65" t="n"/>
      <c r="I311" s="66" t="n"/>
      <c r="J311" s="67">
        <f>VLOOKUP(C311,Recipes!$A$2:$N$4,10,FALSE())</f>
        <v/>
      </c>
      <c r="K311" s="68">
        <f>VLOOKUP(C311,Recipes!$A$2:$N$4,12,FALSE())</f>
        <v/>
      </c>
      <c r="L311" s="67">
        <f>J311-3*K311</f>
        <v/>
      </c>
      <c r="M311" s="67">
        <f>J311+3*K311</f>
        <v/>
      </c>
      <c r="N311" s="61">
        <f>IF(G311="","",IF(AND(G311&gt;=L311,G311&lt;=M311),"OK","NG"))</f>
        <v/>
      </c>
      <c r="O311" s="69">
        <f>IF(N311="","",IF(N311=D311,1,0))</f>
        <v/>
      </c>
      <c r="P311" s="67">
        <f>IF(G311="","",J311-G311)</f>
        <v/>
      </c>
      <c r="Q311" s="67">
        <f>IF(G311="","",ABS(P311-Components!$D$2)/Components!$E$2)</f>
        <v/>
      </c>
      <c r="R311" s="67">
        <f>IF(G311="","",ABS(P311-Components!$D$3)/Components!$E$3)</f>
        <v/>
      </c>
      <c r="S311" s="67">
        <f>IF(G311="","",ABS(P311-Components!$D$4)/Components!$E$4)</f>
        <v/>
      </c>
      <c r="T311" s="67">
        <f>IF(G311="","",ABS(P311-Components!$D$5)/Components!$E$5)</f>
        <v/>
      </c>
      <c r="U311" s="67">
        <f>IF(G311="","",ABS(P311-Components!$D$6)/Components!$E$6)</f>
        <v/>
      </c>
      <c r="V311" s="67">
        <f>IF(G311="","",ABS(P311-Components!$D$7)/Components!$E$7)</f>
        <v/>
      </c>
      <c r="W311" s="61">
        <f>IF(G311="","",IF(N311="OK","NONE",INDEX({"S1","S2","W1","W2","N1","N2"},MATCH(MIN(Q311:V311),Q311:V311,0))))</f>
        <v/>
      </c>
      <c r="X311" s="69">
        <f>IF(G311="","",IF(W311=E311,1,0))</f>
        <v/>
      </c>
    </row>
    <row r="312">
      <c r="A312" s="61" t="n">
        <v>44</v>
      </c>
      <c r="B312" s="62" t="n">
        <v>6</v>
      </c>
      <c r="C312" s="61" t="inlineStr">
        <is>
          <t>R6</t>
        </is>
      </c>
      <c r="D312" s="74" t="inlineStr">
        <is>
          <t>NG</t>
        </is>
      </c>
      <c r="E312" s="61" t="inlineStr">
        <is>
          <t>S1</t>
        </is>
      </c>
      <c r="F312" s="61" t="inlineStr">
        <is>
          <t>K044</t>
        </is>
      </c>
      <c r="G312" s="75" t="n">
        <v>5.94</v>
      </c>
      <c r="H312" s="65" t="n"/>
      <c r="I312" s="66" t="n"/>
      <c r="J312" s="67">
        <f>VLOOKUP(C312,Recipes!$A$2:$N$4,10,FALSE())</f>
        <v/>
      </c>
      <c r="K312" s="68">
        <f>VLOOKUP(C312,Recipes!$A$2:$N$4,12,FALSE())</f>
        <v/>
      </c>
      <c r="L312" s="67">
        <f>J312-3*K312</f>
        <v/>
      </c>
      <c r="M312" s="67">
        <f>J312+3*K312</f>
        <v/>
      </c>
      <c r="N312" s="61">
        <f>IF(G312="","",IF(AND(G312&gt;=L312,G312&lt;=M312),"OK","NG"))</f>
        <v/>
      </c>
      <c r="O312" s="69">
        <f>IF(N312="","",IF(N312=D312,1,0))</f>
        <v/>
      </c>
      <c r="P312" s="67">
        <f>IF(G312="","",J312-G312)</f>
        <v/>
      </c>
      <c r="Q312" s="67">
        <f>IF(G312="","",ABS(P312-Components!$D$2)/Components!$E$2)</f>
        <v/>
      </c>
      <c r="R312" s="67">
        <f>IF(G312="","",ABS(P312-Components!$D$3)/Components!$E$3)</f>
        <v/>
      </c>
      <c r="S312" s="67">
        <f>IF(G312="","",ABS(P312-Components!$D$4)/Components!$E$4)</f>
        <v/>
      </c>
      <c r="T312" s="67">
        <f>IF(G312="","",ABS(P312-Components!$D$5)/Components!$E$5)</f>
        <v/>
      </c>
      <c r="U312" s="67">
        <f>IF(G312="","",ABS(P312-Components!$D$6)/Components!$E$6)</f>
        <v/>
      </c>
      <c r="V312" s="67">
        <f>IF(G312="","",ABS(P312-Components!$D$7)/Components!$E$7)</f>
        <v/>
      </c>
      <c r="W312" s="61">
        <f>IF(G312="","",IF(N312="OK","NONE",INDEX({"S1","S2","W1","W2","N1","N2"},MATCH(MIN(Q312:V312),Q312:V312,0))))</f>
        <v/>
      </c>
      <c r="X312" s="69">
        <f>IF(G312="","",IF(W312=E312,1,0))</f>
        <v/>
      </c>
    </row>
    <row r="313">
      <c r="A313" s="61" t="n">
        <v>44</v>
      </c>
      <c r="B313" s="62" t="n">
        <v>6</v>
      </c>
      <c r="C313" s="61" t="inlineStr">
        <is>
          <t>R6</t>
        </is>
      </c>
      <c r="D313" s="74" t="inlineStr">
        <is>
          <t>NG</t>
        </is>
      </c>
      <c r="E313" s="61" t="inlineStr">
        <is>
          <t>S1</t>
        </is>
      </c>
      <c r="F313" s="61" t="inlineStr">
        <is>
          <t>K044</t>
        </is>
      </c>
      <c r="G313" s="75" t="n">
        <v>5.87</v>
      </c>
      <c r="H313" s="65" t="n"/>
      <c r="I313" s="66" t="n"/>
      <c r="J313" s="67">
        <f>VLOOKUP(C313,Recipes!$A$2:$N$4,10,FALSE())</f>
        <v/>
      </c>
      <c r="K313" s="68">
        <f>VLOOKUP(C313,Recipes!$A$2:$N$4,12,FALSE())</f>
        <v/>
      </c>
      <c r="L313" s="67">
        <f>J313-3*K313</f>
        <v/>
      </c>
      <c r="M313" s="67">
        <f>J313+3*K313</f>
        <v/>
      </c>
      <c r="N313" s="61">
        <f>IF(G313="","",IF(AND(G313&gt;=L313,G313&lt;=M313),"OK","NG"))</f>
        <v/>
      </c>
      <c r="O313" s="69">
        <f>IF(N313="","",IF(N313=D313,1,0))</f>
        <v/>
      </c>
      <c r="P313" s="67">
        <f>IF(G313="","",J313-G313)</f>
        <v/>
      </c>
      <c r="Q313" s="67">
        <f>IF(G313="","",ABS(P313-Components!$D$2)/Components!$E$2)</f>
        <v/>
      </c>
      <c r="R313" s="67">
        <f>IF(G313="","",ABS(P313-Components!$D$3)/Components!$E$3)</f>
        <v/>
      </c>
      <c r="S313" s="67">
        <f>IF(G313="","",ABS(P313-Components!$D$4)/Components!$E$4)</f>
        <v/>
      </c>
      <c r="T313" s="67">
        <f>IF(G313="","",ABS(P313-Components!$D$5)/Components!$E$5)</f>
        <v/>
      </c>
      <c r="U313" s="67">
        <f>IF(G313="","",ABS(P313-Components!$D$6)/Components!$E$6)</f>
        <v/>
      </c>
      <c r="V313" s="67">
        <f>IF(G313="","",ABS(P313-Components!$D$7)/Components!$E$7)</f>
        <v/>
      </c>
      <c r="W313" s="61">
        <f>IF(G313="","",IF(N313="OK","NONE",INDEX({"S1","S2","W1","W2","N1","N2"},MATCH(MIN(Q313:V313),Q313:V313,0))))</f>
        <v/>
      </c>
      <c r="X313" s="69">
        <f>IF(G313="","",IF(W313=E313,1,0))</f>
        <v/>
      </c>
    </row>
    <row r="314">
      <c r="A314" s="61" t="n">
        <v>44</v>
      </c>
      <c r="B314" s="62" t="n">
        <v>6</v>
      </c>
      <c r="C314" s="61" t="inlineStr">
        <is>
          <t>R6</t>
        </is>
      </c>
      <c r="D314" s="74" t="inlineStr">
        <is>
          <t>NG</t>
        </is>
      </c>
      <c r="E314" s="61" t="inlineStr">
        <is>
          <t>S1</t>
        </is>
      </c>
      <c r="F314" s="61" t="inlineStr">
        <is>
          <t>K044</t>
        </is>
      </c>
      <c r="G314" s="75" t="n">
        <v>5.88</v>
      </c>
      <c r="H314" s="65" t="n"/>
      <c r="I314" s="66" t="n"/>
      <c r="J314" s="67">
        <f>VLOOKUP(C314,Recipes!$A$2:$N$4,10,FALSE())</f>
        <v/>
      </c>
      <c r="K314" s="68">
        <f>VLOOKUP(C314,Recipes!$A$2:$N$4,12,FALSE())</f>
        <v/>
      </c>
      <c r="L314" s="67">
        <f>J314-3*K314</f>
        <v/>
      </c>
      <c r="M314" s="67">
        <f>J314+3*K314</f>
        <v/>
      </c>
      <c r="N314" s="61">
        <f>IF(G314="","",IF(AND(G314&gt;=L314,G314&lt;=M314),"OK","NG"))</f>
        <v/>
      </c>
      <c r="O314" s="69">
        <f>IF(N314="","",IF(N314=D314,1,0))</f>
        <v/>
      </c>
      <c r="P314" s="67">
        <f>IF(G314="","",J314-G314)</f>
        <v/>
      </c>
      <c r="Q314" s="67">
        <f>IF(G314="","",ABS(P314-Components!$D$2)/Components!$E$2)</f>
        <v/>
      </c>
      <c r="R314" s="67">
        <f>IF(G314="","",ABS(P314-Components!$D$3)/Components!$E$3)</f>
        <v/>
      </c>
      <c r="S314" s="67">
        <f>IF(G314="","",ABS(P314-Components!$D$4)/Components!$E$4)</f>
        <v/>
      </c>
      <c r="T314" s="67">
        <f>IF(G314="","",ABS(P314-Components!$D$5)/Components!$E$5)</f>
        <v/>
      </c>
      <c r="U314" s="67">
        <f>IF(G314="","",ABS(P314-Components!$D$6)/Components!$E$6)</f>
        <v/>
      </c>
      <c r="V314" s="67">
        <f>IF(G314="","",ABS(P314-Components!$D$7)/Components!$E$7)</f>
        <v/>
      </c>
      <c r="W314" s="61">
        <f>IF(G314="","",IF(N314="OK","NONE",INDEX({"S1","S2","W1","W2","N1","N2"},MATCH(MIN(Q314:V314),Q314:V314,0))))</f>
        <v/>
      </c>
      <c r="X314" s="69">
        <f>IF(G314="","",IF(W314=E314,1,0))</f>
        <v/>
      </c>
    </row>
    <row r="315">
      <c r="A315" s="61" t="n">
        <v>44</v>
      </c>
      <c r="B315" s="62" t="n">
        <v>6</v>
      </c>
      <c r="C315" s="61" t="inlineStr">
        <is>
          <t>R6</t>
        </is>
      </c>
      <c r="D315" s="74" t="inlineStr">
        <is>
          <t>NG</t>
        </is>
      </c>
      <c r="E315" s="61" t="inlineStr">
        <is>
          <t>S1</t>
        </is>
      </c>
      <c r="F315" s="61" t="inlineStr">
        <is>
          <t>K044</t>
        </is>
      </c>
      <c r="G315" s="75" t="n">
        <v>5.87</v>
      </c>
      <c r="H315" s="65" t="n"/>
      <c r="I315" s="66" t="n"/>
      <c r="J315" s="67">
        <f>VLOOKUP(C315,Recipes!$A$2:$N$4,10,FALSE())</f>
        <v/>
      </c>
      <c r="K315" s="68">
        <f>VLOOKUP(C315,Recipes!$A$2:$N$4,12,FALSE())</f>
        <v/>
      </c>
      <c r="L315" s="67">
        <f>J315-3*K315</f>
        <v/>
      </c>
      <c r="M315" s="67">
        <f>J315+3*K315</f>
        <v/>
      </c>
      <c r="N315" s="61">
        <f>IF(G315="","",IF(AND(G315&gt;=L315,G315&lt;=M315),"OK","NG"))</f>
        <v/>
      </c>
      <c r="O315" s="69">
        <f>IF(N315="","",IF(N315=D315,1,0))</f>
        <v/>
      </c>
      <c r="P315" s="67">
        <f>IF(G315="","",J315-G315)</f>
        <v/>
      </c>
      <c r="Q315" s="67">
        <f>IF(G315="","",ABS(P315-Components!$D$2)/Components!$E$2)</f>
        <v/>
      </c>
      <c r="R315" s="67">
        <f>IF(G315="","",ABS(P315-Components!$D$3)/Components!$E$3)</f>
        <v/>
      </c>
      <c r="S315" s="67">
        <f>IF(G315="","",ABS(P315-Components!$D$4)/Components!$E$4)</f>
        <v/>
      </c>
      <c r="T315" s="67">
        <f>IF(G315="","",ABS(P315-Components!$D$5)/Components!$E$5)</f>
        <v/>
      </c>
      <c r="U315" s="67">
        <f>IF(G315="","",ABS(P315-Components!$D$6)/Components!$E$6)</f>
        <v/>
      </c>
      <c r="V315" s="67">
        <f>IF(G315="","",ABS(P315-Components!$D$7)/Components!$E$7)</f>
        <v/>
      </c>
      <c r="W315" s="61">
        <f>IF(G315="","",IF(N315="OK","NONE",INDEX({"S1","S2","W1","W2","N1","N2"},MATCH(MIN(Q315:V315),Q315:V315,0))))</f>
        <v/>
      </c>
      <c r="X315" s="69">
        <f>IF(G315="","",IF(W315=E315,1,0))</f>
        <v/>
      </c>
    </row>
    <row r="316">
      <c r="A316" s="61" t="n">
        <v>44</v>
      </c>
      <c r="B316" s="62" t="n">
        <v>6</v>
      </c>
      <c r="C316" s="61" t="inlineStr">
        <is>
          <t>R6</t>
        </is>
      </c>
      <c r="D316" s="74" t="inlineStr">
        <is>
          <t>NG</t>
        </is>
      </c>
      <c r="E316" s="61" t="inlineStr">
        <is>
          <t>S1</t>
        </is>
      </c>
      <c r="F316" s="61" t="inlineStr">
        <is>
          <t>K044</t>
        </is>
      </c>
      <c r="G316" s="75" t="n">
        <v>5.87</v>
      </c>
      <c r="H316" s="65" t="n"/>
      <c r="I316" s="66" t="n"/>
      <c r="J316" s="67">
        <f>VLOOKUP(C316,Recipes!$A$2:$N$4,10,FALSE())</f>
        <v/>
      </c>
      <c r="K316" s="68">
        <f>VLOOKUP(C316,Recipes!$A$2:$N$4,12,FALSE())</f>
        <v/>
      </c>
      <c r="L316" s="67">
        <f>J316-3*K316</f>
        <v/>
      </c>
      <c r="M316" s="67">
        <f>J316+3*K316</f>
        <v/>
      </c>
      <c r="N316" s="61">
        <f>IF(G316="","",IF(AND(G316&gt;=L316,G316&lt;=M316),"OK","NG"))</f>
        <v/>
      </c>
      <c r="O316" s="69">
        <f>IF(N316="","",IF(N316=D316,1,0))</f>
        <v/>
      </c>
      <c r="P316" s="67">
        <f>IF(G316="","",J316-G316)</f>
        <v/>
      </c>
      <c r="Q316" s="67">
        <f>IF(G316="","",ABS(P316-Components!$D$2)/Components!$E$2)</f>
        <v/>
      </c>
      <c r="R316" s="67">
        <f>IF(G316="","",ABS(P316-Components!$D$3)/Components!$E$3)</f>
        <v/>
      </c>
      <c r="S316" s="67">
        <f>IF(G316="","",ABS(P316-Components!$D$4)/Components!$E$4)</f>
        <v/>
      </c>
      <c r="T316" s="67">
        <f>IF(G316="","",ABS(P316-Components!$D$5)/Components!$E$5)</f>
        <v/>
      </c>
      <c r="U316" s="67">
        <f>IF(G316="","",ABS(P316-Components!$D$6)/Components!$E$6)</f>
        <v/>
      </c>
      <c r="V316" s="67">
        <f>IF(G316="","",ABS(P316-Components!$D$7)/Components!$E$7)</f>
        <v/>
      </c>
      <c r="W316" s="61">
        <f>IF(G316="","",IF(N316="OK","NONE",INDEX({"S1","S2","W1","W2","N1","N2"},MATCH(MIN(Q316:V316),Q316:V316,0))))</f>
        <v/>
      </c>
      <c r="X316" s="69">
        <f>IF(G316="","",IF(W316=E316,1,0))</f>
        <v/>
      </c>
    </row>
    <row r="317">
      <c r="A317" s="61" t="n">
        <v>44</v>
      </c>
      <c r="B317" s="62" t="n">
        <v>6</v>
      </c>
      <c r="C317" s="61" t="inlineStr">
        <is>
          <t>R6</t>
        </is>
      </c>
      <c r="D317" s="74" t="inlineStr">
        <is>
          <t>NG</t>
        </is>
      </c>
      <c r="E317" s="61" t="inlineStr">
        <is>
          <t>S1</t>
        </is>
      </c>
      <c r="F317" s="61" t="inlineStr">
        <is>
          <t>K044</t>
        </is>
      </c>
      <c r="G317" s="75" t="n">
        <v>5.82</v>
      </c>
      <c r="H317" s="65" t="n"/>
      <c r="I317" s="66" t="n"/>
      <c r="J317" s="67">
        <f>VLOOKUP(C317,Recipes!$A$2:$N$4,10,FALSE())</f>
        <v/>
      </c>
      <c r="K317" s="68">
        <f>VLOOKUP(C317,Recipes!$A$2:$N$4,12,FALSE())</f>
        <v/>
      </c>
      <c r="L317" s="67">
        <f>J317-3*K317</f>
        <v/>
      </c>
      <c r="M317" s="67">
        <f>J317+3*K317</f>
        <v/>
      </c>
      <c r="N317" s="61">
        <f>IF(G317="","",IF(AND(G317&gt;=L317,G317&lt;=M317),"OK","NG"))</f>
        <v/>
      </c>
      <c r="O317" s="69">
        <f>IF(N317="","",IF(N317=D317,1,0))</f>
        <v/>
      </c>
      <c r="P317" s="67">
        <f>IF(G317="","",J317-G317)</f>
        <v/>
      </c>
      <c r="Q317" s="67">
        <f>IF(G317="","",ABS(P317-Components!$D$2)/Components!$E$2)</f>
        <v/>
      </c>
      <c r="R317" s="67">
        <f>IF(G317="","",ABS(P317-Components!$D$3)/Components!$E$3)</f>
        <v/>
      </c>
      <c r="S317" s="67">
        <f>IF(G317="","",ABS(P317-Components!$D$4)/Components!$E$4)</f>
        <v/>
      </c>
      <c r="T317" s="67">
        <f>IF(G317="","",ABS(P317-Components!$D$5)/Components!$E$5)</f>
        <v/>
      </c>
      <c r="U317" s="67">
        <f>IF(G317="","",ABS(P317-Components!$D$6)/Components!$E$6)</f>
        <v/>
      </c>
      <c r="V317" s="67">
        <f>IF(G317="","",ABS(P317-Components!$D$7)/Components!$E$7)</f>
        <v/>
      </c>
      <c r="W317" s="61">
        <f>IF(G317="","",IF(N317="OK","NONE",INDEX({"S1","S2","W1","W2","N1","N2"},MATCH(MIN(Q317:V317),Q317:V317,0))))</f>
        <v/>
      </c>
      <c r="X317" s="69">
        <f>IF(G317="","",IF(W317=E317,1,0))</f>
        <v/>
      </c>
    </row>
    <row r="318">
      <c r="A318" s="61" t="n">
        <v>44</v>
      </c>
      <c r="B318" s="62" t="n">
        <v>6</v>
      </c>
      <c r="C318" s="61" t="inlineStr">
        <is>
          <t>R6</t>
        </is>
      </c>
      <c r="D318" s="74" t="inlineStr">
        <is>
          <t>NG</t>
        </is>
      </c>
      <c r="E318" s="61" t="inlineStr">
        <is>
          <t>S1</t>
        </is>
      </c>
      <c r="F318" s="61" t="inlineStr">
        <is>
          <t>K044</t>
        </is>
      </c>
      <c r="G318" s="75" t="n">
        <v>5.92</v>
      </c>
      <c r="H318" s="65" t="n"/>
      <c r="I318" s="66" t="n"/>
      <c r="J318" s="67">
        <f>VLOOKUP(C318,Recipes!$A$2:$N$4,10,FALSE())</f>
        <v/>
      </c>
      <c r="K318" s="68">
        <f>VLOOKUP(C318,Recipes!$A$2:$N$4,12,FALSE())</f>
        <v/>
      </c>
      <c r="L318" s="67">
        <f>J318-3*K318</f>
        <v/>
      </c>
      <c r="M318" s="67">
        <f>J318+3*K318</f>
        <v/>
      </c>
      <c r="N318" s="61">
        <f>IF(G318="","",IF(AND(G318&gt;=L318,G318&lt;=M318),"OK","NG"))</f>
        <v/>
      </c>
      <c r="O318" s="69">
        <f>IF(N318="","",IF(N318=D318,1,0))</f>
        <v/>
      </c>
      <c r="P318" s="67">
        <f>IF(G318="","",J318-G318)</f>
        <v/>
      </c>
      <c r="Q318" s="67">
        <f>IF(G318="","",ABS(P318-Components!$D$2)/Components!$E$2)</f>
        <v/>
      </c>
      <c r="R318" s="67">
        <f>IF(G318="","",ABS(P318-Components!$D$3)/Components!$E$3)</f>
        <v/>
      </c>
      <c r="S318" s="67">
        <f>IF(G318="","",ABS(P318-Components!$D$4)/Components!$E$4)</f>
        <v/>
      </c>
      <c r="T318" s="67">
        <f>IF(G318="","",ABS(P318-Components!$D$5)/Components!$E$5)</f>
        <v/>
      </c>
      <c r="U318" s="67">
        <f>IF(G318="","",ABS(P318-Components!$D$6)/Components!$E$6)</f>
        <v/>
      </c>
      <c r="V318" s="67">
        <f>IF(G318="","",ABS(P318-Components!$D$7)/Components!$E$7)</f>
        <v/>
      </c>
      <c r="W318" s="61">
        <f>IF(G318="","",IF(N318="OK","NONE",INDEX({"S1","S2","W1","W2","N1","N2"},MATCH(MIN(Q318:V318),Q318:V318,0))))</f>
        <v/>
      </c>
      <c r="X318" s="69">
        <f>IF(G318="","",IF(W318=E318,1,0))</f>
        <v/>
      </c>
    </row>
    <row r="319">
      <c r="A319" s="61" t="n">
        <v>44</v>
      </c>
      <c r="B319" s="62" t="n">
        <v>6</v>
      </c>
      <c r="C319" s="61" t="inlineStr">
        <is>
          <t>R6</t>
        </is>
      </c>
      <c r="D319" s="74" t="inlineStr">
        <is>
          <t>NG</t>
        </is>
      </c>
      <c r="E319" s="61" t="inlineStr">
        <is>
          <t>S1</t>
        </is>
      </c>
      <c r="F319" s="61" t="inlineStr">
        <is>
          <t>K044</t>
        </is>
      </c>
      <c r="G319" s="75" t="n">
        <v>5.84</v>
      </c>
      <c r="H319" s="65" t="n"/>
      <c r="I319" s="66" t="n"/>
      <c r="J319" s="67">
        <f>VLOOKUP(C319,Recipes!$A$2:$N$4,10,FALSE())</f>
        <v/>
      </c>
      <c r="K319" s="68">
        <f>VLOOKUP(C319,Recipes!$A$2:$N$4,12,FALSE())</f>
        <v/>
      </c>
      <c r="L319" s="67">
        <f>J319-3*K319</f>
        <v/>
      </c>
      <c r="M319" s="67">
        <f>J319+3*K319</f>
        <v/>
      </c>
      <c r="N319" s="61">
        <f>IF(G319="","",IF(AND(G319&gt;=L319,G319&lt;=M319),"OK","NG"))</f>
        <v/>
      </c>
      <c r="O319" s="69">
        <f>IF(N319="","",IF(N319=D319,1,0))</f>
        <v/>
      </c>
      <c r="P319" s="67">
        <f>IF(G319="","",J319-G319)</f>
        <v/>
      </c>
      <c r="Q319" s="67">
        <f>IF(G319="","",ABS(P319-Components!$D$2)/Components!$E$2)</f>
        <v/>
      </c>
      <c r="R319" s="67">
        <f>IF(G319="","",ABS(P319-Components!$D$3)/Components!$E$3)</f>
        <v/>
      </c>
      <c r="S319" s="67">
        <f>IF(G319="","",ABS(P319-Components!$D$4)/Components!$E$4)</f>
        <v/>
      </c>
      <c r="T319" s="67">
        <f>IF(G319="","",ABS(P319-Components!$D$5)/Components!$E$5)</f>
        <v/>
      </c>
      <c r="U319" s="67">
        <f>IF(G319="","",ABS(P319-Components!$D$6)/Components!$E$6)</f>
        <v/>
      </c>
      <c r="V319" s="67">
        <f>IF(G319="","",ABS(P319-Components!$D$7)/Components!$E$7)</f>
        <v/>
      </c>
      <c r="W319" s="61">
        <f>IF(G319="","",IF(N319="OK","NONE",INDEX({"S1","S2","W1","W2","N1","N2"},MATCH(MIN(Q319:V319),Q319:V319,0))))</f>
        <v/>
      </c>
      <c r="X319" s="69">
        <f>IF(G319="","",IF(W319=E319,1,0))</f>
        <v/>
      </c>
    </row>
    <row r="320">
      <c r="A320" s="61" t="n">
        <v>44</v>
      </c>
      <c r="B320" s="62" t="n">
        <v>6</v>
      </c>
      <c r="C320" s="61" t="inlineStr">
        <is>
          <t>R6</t>
        </is>
      </c>
      <c r="D320" s="74" t="inlineStr">
        <is>
          <t>NG</t>
        </is>
      </c>
      <c r="E320" s="61" t="inlineStr">
        <is>
          <t>S1</t>
        </is>
      </c>
      <c r="F320" s="61" t="inlineStr">
        <is>
          <t>K044</t>
        </is>
      </c>
      <c r="G320" s="75" t="n">
        <v>5.92</v>
      </c>
      <c r="H320" s="65" t="n"/>
      <c r="I320" s="66" t="n"/>
      <c r="J320" s="67">
        <f>VLOOKUP(C320,Recipes!$A$2:$N$4,10,FALSE())</f>
        <v/>
      </c>
      <c r="K320" s="68">
        <f>VLOOKUP(C320,Recipes!$A$2:$N$4,12,FALSE())</f>
        <v/>
      </c>
      <c r="L320" s="67">
        <f>J320-3*K320</f>
        <v/>
      </c>
      <c r="M320" s="67">
        <f>J320+3*K320</f>
        <v/>
      </c>
      <c r="N320" s="61">
        <f>IF(G320="","",IF(AND(G320&gt;=L320,G320&lt;=M320),"OK","NG"))</f>
        <v/>
      </c>
      <c r="O320" s="69">
        <f>IF(N320="","",IF(N320=D320,1,0))</f>
        <v/>
      </c>
      <c r="P320" s="67">
        <f>IF(G320="","",J320-G320)</f>
        <v/>
      </c>
      <c r="Q320" s="67">
        <f>IF(G320="","",ABS(P320-Components!$D$2)/Components!$E$2)</f>
        <v/>
      </c>
      <c r="R320" s="67">
        <f>IF(G320="","",ABS(P320-Components!$D$3)/Components!$E$3)</f>
        <v/>
      </c>
      <c r="S320" s="67">
        <f>IF(G320="","",ABS(P320-Components!$D$4)/Components!$E$4)</f>
        <v/>
      </c>
      <c r="T320" s="67">
        <f>IF(G320="","",ABS(P320-Components!$D$5)/Components!$E$5)</f>
        <v/>
      </c>
      <c r="U320" s="67">
        <f>IF(G320="","",ABS(P320-Components!$D$6)/Components!$E$6)</f>
        <v/>
      </c>
      <c r="V320" s="67">
        <f>IF(G320="","",ABS(P320-Components!$D$7)/Components!$E$7)</f>
        <v/>
      </c>
      <c r="W320" s="61">
        <f>IF(G320="","",IF(N320="OK","NONE",INDEX({"S1","S2","W1","W2","N1","N2"},MATCH(MIN(Q320:V320),Q320:V320,0))))</f>
        <v/>
      </c>
      <c r="X320" s="69">
        <f>IF(G320="","",IF(W320=E320,1,0))</f>
        <v/>
      </c>
    </row>
    <row r="321">
      <c r="A321" s="61" t="n">
        <v>44</v>
      </c>
      <c r="B321" s="62" t="n">
        <v>6</v>
      </c>
      <c r="C321" s="61" t="inlineStr">
        <is>
          <t>R6</t>
        </is>
      </c>
      <c r="D321" s="74" t="inlineStr">
        <is>
          <t>NG</t>
        </is>
      </c>
      <c r="E321" s="61" t="inlineStr">
        <is>
          <t>S1</t>
        </is>
      </c>
      <c r="F321" s="61" t="inlineStr">
        <is>
          <t>K044</t>
        </is>
      </c>
      <c r="G321" s="75" t="n">
        <v>5.87</v>
      </c>
      <c r="H321" s="65" t="n"/>
      <c r="I321" s="66" t="n"/>
      <c r="J321" s="67">
        <f>VLOOKUP(C321,Recipes!$A$2:$N$4,10,FALSE())</f>
        <v/>
      </c>
      <c r="K321" s="68">
        <f>VLOOKUP(C321,Recipes!$A$2:$N$4,12,FALSE())</f>
        <v/>
      </c>
      <c r="L321" s="67">
        <f>J321-3*K321</f>
        <v/>
      </c>
      <c r="M321" s="67">
        <f>J321+3*K321</f>
        <v/>
      </c>
      <c r="N321" s="61">
        <f>IF(G321="","",IF(AND(G321&gt;=L321,G321&lt;=M321),"OK","NG"))</f>
        <v/>
      </c>
      <c r="O321" s="69">
        <f>IF(N321="","",IF(N321=D321,1,0))</f>
        <v/>
      </c>
      <c r="P321" s="67">
        <f>IF(G321="","",J321-G321)</f>
        <v/>
      </c>
      <c r="Q321" s="67">
        <f>IF(G321="","",ABS(P321-Components!$D$2)/Components!$E$2)</f>
        <v/>
      </c>
      <c r="R321" s="67">
        <f>IF(G321="","",ABS(P321-Components!$D$3)/Components!$E$3)</f>
        <v/>
      </c>
      <c r="S321" s="67">
        <f>IF(G321="","",ABS(P321-Components!$D$4)/Components!$E$4)</f>
        <v/>
      </c>
      <c r="T321" s="67">
        <f>IF(G321="","",ABS(P321-Components!$D$5)/Components!$E$5)</f>
        <v/>
      </c>
      <c r="U321" s="67">
        <f>IF(G321="","",ABS(P321-Components!$D$6)/Components!$E$6)</f>
        <v/>
      </c>
      <c r="V321" s="67">
        <f>IF(G321="","",ABS(P321-Components!$D$7)/Components!$E$7)</f>
        <v/>
      </c>
      <c r="W321" s="61">
        <f>IF(G321="","",IF(N321="OK","NONE",INDEX({"S1","S2","W1","W2","N1","N2"},MATCH(MIN(Q321:V321),Q321:V321,0))))</f>
        <v/>
      </c>
      <c r="X321" s="69">
        <f>IF(G321="","",IF(W321=E321,1,0))</f>
        <v/>
      </c>
    </row>
    <row r="322">
      <c r="A322" s="61" t="n">
        <v>44</v>
      </c>
      <c r="B322" s="62" t="n">
        <v>6</v>
      </c>
      <c r="C322" s="61" t="inlineStr">
        <is>
          <t>R6</t>
        </is>
      </c>
      <c r="D322" s="74" t="inlineStr">
        <is>
          <t>NG</t>
        </is>
      </c>
      <c r="E322" s="61" t="inlineStr">
        <is>
          <t>S1</t>
        </is>
      </c>
      <c r="F322" s="61" t="inlineStr">
        <is>
          <t>K044</t>
        </is>
      </c>
      <c r="G322" s="75" t="n">
        <v>5.82</v>
      </c>
      <c r="H322" s="65" t="n"/>
      <c r="I322" s="66" t="n"/>
      <c r="J322" s="67">
        <f>VLOOKUP(C322,Recipes!$A$2:$N$4,10,FALSE())</f>
        <v/>
      </c>
      <c r="K322" s="68">
        <f>VLOOKUP(C322,Recipes!$A$2:$N$4,12,FALSE())</f>
        <v/>
      </c>
      <c r="L322" s="67">
        <f>J322-3*K322</f>
        <v/>
      </c>
      <c r="M322" s="67">
        <f>J322+3*K322</f>
        <v/>
      </c>
      <c r="N322" s="61">
        <f>IF(G322="","",IF(AND(G322&gt;=L322,G322&lt;=M322),"OK","NG"))</f>
        <v/>
      </c>
      <c r="O322" s="69">
        <f>IF(N322="","",IF(N322=D322,1,0))</f>
        <v/>
      </c>
      <c r="P322" s="67">
        <f>IF(G322="","",J322-G322)</f>
        <v/>
      </c>
      <c r="Q322" s="67">
        <f>IF(G322="","",ABS(P322-Components!$D$2)/Components!$E$2)</f>
        <v/>
      </c>
      <c r="R322" s="67">
        <f>IF(G322="","",ABS(P322-Components!$D$3)/Components!$E$3)</f>
        <v/>
      </c>
      <c r="S322" s="67">
        <f>IF(G322="","",ABS(P322-Components!$D$4)/Components!$E$4)</f>
        <v/>
      </c>
      <c r="T322" s="67">
        <f>IF(G322="","",ABS(P322-Components!$D$5)/Components!$E$5)</f>
        <v/>
      </c>
      <c r="U322" s="67">
        <f>IF(G322="","",ABS(P322-Components!$D$6)/Components!$E$6)</f>
        <v/>
      </c>
      <c r="V322" s="67">
        <f>IF(G322="","",ABS(P322-Components!$D$7)/Components!$E$7)</f>
        <v/>
      </c>
      <c r="W322" s="61">
        <f>IF(G322="","",IF(N322="OK","NONE",INDEX({"S1","S2","W1","W2","N1","N2"},MATCH(MIN(Q322:V322),Q322:V322,0))))</f>
        <v/>
      </c>
      <c r="X322" s="69">
        <f>IF(G322="","",IF(W322=E322,1,0))</f>
        <v/>
      </c>
    </row>
    <row r="323">
      <c r="A323" s="61" t="n">
        <v>44</v>
      </c>
      <c r="B323" s="62" t="n">
        <v>6</v>
      </c>
      <c r="C323" s="61" t="inlineStr">
        <is>
          <t>R6</t>
        </is>
      </c>
      <c r="D323" s="74" t="inlineStr">
        <is>
          <t>NG</t>
        </is>
      </c>
      <c r="E323" s="61" t="inlineStr">
        <is>
          <t>S1</t>
        </is>
      </c>
      <c r="F323" s="61" t="inlineStr">
        <is>
          <t>K044</t>
        </is>
      </c>
      <c r="G323" s="75" t="n">
        <v>5.77</v>
      </c>
      <c r="H323" s="65" t="n"/>
      <c r="I323" s="66" t="n"/>
      <c r="J323" s="67">
        <f>VLOOKUP(C323,Recipes!$A$2:$N$4,10,FALSE())</f>
        <v/>
      </c>
      <c r="K323" s="68">
        <f>VLOOKUP(C323,Recipes!$A$2:$N$4,12,FALSE())</f>
        <v/>
      </c>
      <c r="L323" s="67">
        <f>J323-3*K323</f>
        <v/>
      </c>
      <c r="M323" s="67">
        <f>J323+3*K323</f>
        <v/>
      </c>
      <c r="N323" s="61">
        <f>IF(G323="","",IF(AND(G323&gt;=L323,G323&lt;=M323),"OK","NG"))</f>
        <v/>
      </c>
      <c r="O323" s="69">
        <f>IF(N323="","",IF(N323=D323,1,0))</f>
        <v/>
      </c>
      <c r="P323" s="67">
        <f>IF(G323="","",J323-G323)</f>
        <v/>
      </c>
      <c r="Q323" s="67">
        <f>IF(G323="","",ABS(P323-Components!$D$2)/Components!$E$2)</f>
        <v/>
      </c>
      <c r="R323" s="67">
        <f>IF(G323="","",ABS(P323-Components!$D$3)/Components!$E$3)</f>
        <v/>
      </c>
      <c r="S323" s="67">
        <f>IF(G323="","",ABS(P323-Components!$D$4)/Components!$E$4)</f>
        <v/>
      </c>
      <c r="T323" s="67">
        <f>IF(G323="","",ABS(P323-Components!$D$5)/Components!$E$5)</f>
        <v/>
      </c>
      <c r="U323" s="67">
        <f>IF(G323="","",ABS(P323-Components!$D$6)/Components!$E$6)</f>
        <v/>
      </c>
      <c r="V323" s="67">
        <f>IF(G323="","",ABS(P323-Components!$D$7)/Components!$E$7)</f>
        <v/>
      </c>
      <c r="W323" s="61">
        <f>IF(G323="","",IF(N323="OK","NONE",INDEX({"S1","S2","W1","W2","N1","N2"},MATCH(MIN(Q323:V323),Q323:V323,0))))</f>
        <v/>
      </c>
      <c r="X323" s="69">
        <f>IF(G323="","",IF(W323=E323,1,0))</f>
        <v/>
      </c>
    </row>
    <row r="324">
      <c r="A324" s="61" t="n">
        <v>44</v>
      </c>
      <c r="B324" s="62" t="n">
        <v>6</v>
      </c>
      <c r="C324" s="61" t="inlineStr">
        <is>
          <t>R6</t>
        </is>
      </c>
      <c r="D324" s="74" t="inlineStr">
        <is>
          <t>NG</t>
        </is>
      </c>
      <c r="E324" s="61" t="inlineStr">
        <is>
          <t>S1</t>
        </is>
      </c>
      <c r="F324" s="61" t="inlineStr">
        <is>
          <t>K044</t>
        </is>
      </c>
      <c r="G324" s="75" t="n">
        <v>5.83</v>
      </c>
      <c r="H324" s="65" t="n"/>
      <c r="I324" s="66" t="n"/>
      <c r="J324" s="67">
        <f>VLOOKUP(C324,Recipes!$A$2:$N$4,10,FALSE())</f>
        <v/>
      </c>
      <c r="K324" s="68">
        <f>VLOOKUP(C324,Recipes!$A$2:$N$4,12,FALSE())</f>
        <v/>
      </c>
      <c r="L324" s="67">
        <f>J324-3*K324</f>
        <v/>
      </c>
      <c r="M324" s="67">
        <f>J324+3*K324</f>
        <v/>
      </c>
      <c r="N324" s="61">
        <f>IF(G324="","",IF(AND(G324&gt;=L324,G324&lt;=M324),"OK","NG"))</f>
        <v/>
      </c>
      <c r="O324" s="69">
        <f>IF(N324="","",IF(N324=D324,1,0))</f>
        <v/>
      </c>
      <c r="P324" s="67">
        <f>IF(G324="","",J324-G324)</f>
        <v/>
      </c>
      <c r="Q324" s="67">
        <f>IF(G324="","",ABS(P324-Components!$D$2)/Components!$E$2)</f>
        <v/>
      </c>
      <c r="R324" s="67">
        <f>IF(G324="","",ABS(P324-Components!$D$3)/Components!$E$3)</f>
        <v/>
      </c>
      <c r="S324" s="67">
        <f>IF(G324="","",ABS(P324-Components!$D$4)/Components!$E$4)</f>
        <v/>
      </c>
      <c r="T324" s="67">
        <f>IF(G324="","",ABS(P324-Components!$D$5)/Components!$E$5)</f>
        <v/>
      </c>
      <c r="U324" s="67">
        <f>IF(G324="","",ABS(P324-Components!$D$6)/Components!$E$6)</f>
        <v/>
      </c>
      <c r="V324" s="67">
        <f>IF(G324="","",ABS(P324-Components!$D$7)/Components!$E$7)</f>
        <v/>
      </c>
      <c r="W324" s="61">
        <f>IF(G324="","",IF(N324="OK","NONE",INDEX({"S1","S2","W1","W2","N1","N2"},MATCH(MIN(Q324:V324),Q324:V324,0))))</f>
        <v/>
      </c>
      <c r="X324" s="69">
        <f>IF(G324="","",IF(W324=E324,1,0))</f>
        <v/>
      </c>
    </row>
    <row r="325">
      <c r="A325" s="61" t="n">
        <v>44</v>
      </c>
      <c r="B325" s="62" t="n">
        <v>6</v>
      </c>
      <c r="C325" s="61" t="inlineStr">
        <is>
          <t>R6</t>
        </is>
      </c>
      <c r="D325" s="74" t="inlineStr">
        <is>
          <t>NG</t>
        </is>
      </c>
      <c r="E325" s="61" t="inlineStr">
        <is>
          <t>S1</t>
        </is>
      </c>
      <c r="F325" s="61" t="inlineStr">
        <is>
          <t>K044</t>
        </is>
      </c>
      <c r="G325" s="75" t="n">
        <v>5.85</v>
      </c>
      <c r="H325" s="65" t="n"/>
      <c r="I325" s="66" t="n"/>
      <c r="J325" s="67">
        <f>VLOOKUP(C325,Recipes!$A$2:$N$4,10,FALSE())</f>
        <v/>
      </c>
      <c r="K325" s="68">
        <f>VLOOKUP(C325,Recipes!$A$2:$N$4,12,FALSE())</f>
        <v/>
      </c>
      <c r="L325" s="67">
        <f>J325-3*K325</f>
        <v/>
      </c>
      <c r="M325" s="67">
        <f>J325+3*K325</f>
        <v/>
      </c>
      <c r="N325" s="61">
        <f>IF(G325="","",IF(AND(G325&gt;=L325,G325&lt;=M325),"OK","NG"))</f>
        <v/>
      </c>
      <c r="O325" s="69">
        <f>IF(N325="","",IF(N325=D325,1,0))</f>
        <v/>
      </c>
      <c r="P325" s="67">
        <f>IF(G325="","",J325-G325)</f>
        <v/>
      </c>
      <c r="Q325" s="67">
        <f>IF(G325="","",ABS(P325-Components!$D$2)/Components!$E$2)</f>
        <v/>
      </c>
      <c r="R325" s="67">
        <f>IF(G325="","",ABS(P325-Components!$D$3)/Components!$E$3)</f>
        <v/>
      </c>
      <c r="S325" s="67">
        <f>IF(G325="","",ABS(P325-Components!$D$4)/Components!$E$4)</f>
        <v/>
      </c>
      <c r="T325" s="67">
        <f>IF(G325="","",ABS(P325-Components!$D$5)/Components!$E$5)</f>
        <v/>
      </c>
      <c r="U325" s="67">
        <f>IF(G325="","",ABS(P325-Components!$D$6)/Components!$E$6)</f>
        <v/>
      </c>
      <c r="V325" s="67">
        <f>IF(G325="","",ABS(P325-Components!$D$7)/Components!$E$7)</f>
        <v/>
      </c>
      <c r="W325" s="61">
        <f>IF(G325="","",IF(N325="OK","NONE",INDEX({"S1","S2","W1","W2","N1","N2"},MATCH(MIN(Q325:V325),Q325:V325,0))))</f>
        <v/>
      </c>
      <c r="X325" s="69">
        <f>IF(G325="","",IF(W325=E325,1,0))</f>
        <v/>
      </c>
    </row>
    <row r="326">
      <c r="A326" s="61" t="n">
        <v>44</v>
      </c>
      <c r="B326" s="62" t="n">
        <v>6</v>
      </c>
      <c r="C326" s="61" t="inlineStr">
        <is>
          <t>R6</t>
        </is>
      </c>
      <c r="D326" s="74" t="inlineStr">
        <is>
          <t>NG</t>
        </is>
      </c>
      <c r="E326" s="61" t="inlineStr">
        <is>
          <t>S1</t>
        </is>
      </c>
      <c r="F326" s="61" t="inlineStr">
        <is>
          <t>K044</t>
        </is>
      </c>
      <c r="G326" s="75" t="n">
        <v>5.86</v>
      </c>
      <c r="H326" s="65" t="n"/>
      <c r="I326" s="66" t="n"/>
      <c r="J326" s="67">
        <f>VLOOKUP(C326,Recipes!$A$2:$N$4,10,FALSE())</f>
        <v/>
      </c>
      <c r="K326" s="68">
        <f>VLOOKUP(C326,Recipes!$A$2:$N$4,12,FALSE())</f>
        <v/>
      </c>
      <c r="L326" s="67">
        <f>J326-3*K326</f>
        <v/>
      </c>
      <c r="M326" s="67">
        <f>J326+3*K326</f>
        <v/>
      </c>
      <c r="N326" s="61">
        <f>IF(G326="","",IF(AND(G326&gt;=L326,G326&lt;=M326),"OK","NG"))</f>
        <v/>
      </c>
      <c r="O326" s="69">
        <f>IF(N326="","",IF(N326=D326,1,0))</f>
        <v/>
      </c>
      <c r="P326" s="67">
        <f>IF(G326="","",J326-G326)</f>
        <v/>
      </c>
      <c r="Q326" s="67">
        <f>IF(G326="","",ABS(P326-Components!$D$2)/Components!$E$2)</f>
        <v/>
      </c>
      <c r="R326" s="67">
        <f>IF(G326="","",ABS(P326-Components!$D$3)/Components!$E$3)</f>
        <v/>
      </c>
      <c r="S326" s="67">
        <f>IF(G326="","",ABS(P326-Components!$D$4)/Components!$E$4)</f>
        <v/>
      </c>
      <c r="T326" s="67">
        <f>IF(G326="","",ABS(P326-Components!$D$5)/Components!$E$5)</f>
        <v/>
      </c>
      <c r="U326" s="67">
        <f>IF(G326="","",ABS(P326-Components!$D$6)/Components!$E$6)</f>
        <v/>
      </c>
      <c r="V326" s="67">
        <f>IF(G326="","",ABS(P326-Components!$D$7)/Components!$E$7)</f>
        <v/>
      </c>
      <c r="W326" s="61">
        <f>IF(G326="","",IF(N326="OK","NONE",INDEX({"S1","S2","W1","W2","N1","N2"},MATCH(MIN(Q326:V326),Q326:V326,0))))</f>
        <v/>
      </c>
      <c r="X326" s="69">
        <f>IF(G326="","",IF(W326=E326,1,0))</f>
        <v/>
      </c>
    </row>
    <row r="327">
      <c r="A327" s="61" t="n">
        <v>44</v>
      </c>
      <c r="B327" s="62" t="n">
        <v>6</v>
      </c>
      <c r="C327" s="61" t="inlineStr">
        <is>
          <t>R6</t>
        </is>
      </c>
      <c r="D327" s="74" t="inlineStr">
        <is>
          <t>NG</t>
        </is>
      </c>
      <c r="E327" s="61" t="inlineStr">
        <is>
          <t>S1</t>
        </is>
      </c>
      <c r="F327" s="61" t="inlineStr">
        <is>
          <t>K044</t>
        </is>
      </c>
      <c r="G327" s="75" t="n">
        <v>5.87</v>
      </c>
      <c r="H327" s="65" t="n"/>
      <c r="I327" s="66" t="n"/>
      <c r="J327" s="67">
        <f>VLOOKUP(C327,Recipes!$A$2:$N$4,10,FALSE())</f>
        <v/>
      </c>
      <c r="K327" s="68">
        <f>VLOOKUP(C327,Recipes!$A$2:$N$4,12,FALSE())</f>
        <v/>
      </c>
      <c r="L327" s="67">
        <f>J327-3*K327</f>
        <v/>
      </c>
      <c r="M327" s="67">
        <f>J327+3*K327</f>
        <v/>
      </c>
      <c r="N327" s="61">
        <f>IF(G327="","",IF(AND(G327&gt;=L327,G327&lt;=M327),"OK","NG"))</f>
        <v/>
      </c>
      <c r="O327" s="69">
        <f>IF(N327="","",IF(N327=D327,1,0))</f>
        <v/>
      </c>
      <c r="P327" s="67">
        <f>IF(G327="","",J327-G327)</f>
        <v/>
      </c>
      <c r="Q327" s="67">
        <f>IF(G327="","",ABS(P327-Components!$D$2)/Components!$E$2)</f>
        <v/>
      </c>
      <c r="R327" s="67">
        <f>IF(G327="","",ABS(P327-Components!$D$3)/Components!$E$3)</f>
        <v/>
      </c>
      <c r="S327" s="67">
        <f>IF(G327="","",ABS(P327-Components!$D$4)/Components!$E$4)</f>
        <v/>
      </c>
      <c r="T327" s="67">
        <f>IF(G327="","",ABS(P327-Components!$D$5)/Components!$E$5)</f>
        <v/>
      </c>
      <c r="U327" s="67">
        <f>IF(G327="","",ABS(P327-Components!$D$6)/Components!$E$6)</f>
        <v/>
      </c>
      <c r="V327" s="67">
        <f>IF(G327="","",ABS(P327-Components!$D$7)/Components!$E$7)</f>
        <v/>
      </c>
      <c r="W327" s="61">
        <f>IF(G327="","",IF(N327="OK","NONE",INDEX({"S1","S2","W1","W2","N1","N2"},MATCH(MIN(Q327:V327),Q327:V327,0))))</f>
        <v/>
      </c>
      <c r="X327" s="69">
        <f>IF(G327="","",IF(W327=E327,1,0))</f>
        <v/>
      </c>
    </row>
    <row r="328">
      <c r="A328" s="61" t="n">
        <v>44</v>
      </c>
      <c r="B328" s="62" t="n">
        <v>6</v>
      </c>
      <c r="C328" s="61" t="inlineStr">
        <is>
          <t>R6</t>
        </is>
      </c>
      <c r="D328" s="74" t="inlineStr">
        <is>
          <t>NG</t>
        </is>
      </c>
      <c r="E328" s="61" t="inlineStr">
        <is>
          <t>S1</t>
        </is>
      </c>
      <c r="F328" s="61" t="inlineStr">
        <is>
          <t>K044</t>
        </is>
      </c>
      <c r="G328" s="75" t="n">
        <v>5.81</v>
      </c>
      <c r="H328" s="65" t="n"/>
      <c r="I328" s="66" t="n"/>
      <c r="J328" s="67">
        <f>VLOOKUP(C328,Recipes!$A$2:$N$4,10,FALSE())</f>
        <v/>
      </c>
      <c r="K328" s="68">
        <f>VLOOKUP(C328,Recipes!$A$2:$N$4,12,FALSE())</f>
        <v/>
      </c>
      <c r="L328" s="67">
        <f>J328-3*K328</f>
        <v/>
      </c>
      <c r="M328" s="67">
        <f>J328+3*K328</f>
        <v/>
      </c>
      <c r="N328" s="61">
        <f>IF(G328="","",IF(AND(G328&gt;=L328,G328&lt;=M328),"OK","NG"))</f>
        <v/>
      </c>
      <c r="O328" s="69">
        <f>IF(N328="","",IF(N328=D328,1,0))</f>
        <v/>
      </c>
      <c r="P328" s="67">
        <f>IF(G328="","",J328-G328)</f>
        <v/>
      </c>
      <c r="Q328" s="67">
        <f>IF(G328="","",ABS(P328-Components!$D$2)/Components!$E$2)</f>
        <v/>
      </c>
      <c r="R328" s="67">
        <f>IF(G328="","",ABS(P328-Components!$D$3)/Components!$E$3)</f>
        <v/>
      </c>
      <c r="S328" s="67">
        <f>IF(G328="","",ABS(P328-Components!$D$4)/Components!$E$4)</f>
        <v/>
      </c>
      <c r="T328" s="67">
        <f>IF(G328="","",ABS(P328-Components!$D$5)/Components!$E$5)</f>
        <v/>
      </c>
      <c r="U328" s="67">
        <f>IF(G328="","",ABS(P328-Components!$D$6)/Components!$E$6)</f>
        <v/>
      </c>
      <c r="V328" s="67">
        <f>IF(G328="","",ABS(P328-Components!$D$7)/Components!$E$7)</f>
        <v/>
      </c>
      <c r="W328" s="61">
        <f>IF(G328="","",IF(N328="OK","NONE",INDEX({"S1","S2","W1","W2","N1","N2"},MATCH(MIN(Q328:V328),Q328:V328,0))))</f>
        <v/>
      </c>
      <c r="X328" s="69">
        <f>IF(G328="","",IF(W328=E328,1,0))</f>
        <v/>
      </c>
    </row>
    <row r="329">
      <c r="A329" s="61" t="n">
        <v>44</v>
      </c>
      <c r="B329" s="62" t="n">
        <v>6</v>
      </c>
      <c r="C329" s="61" t="inlineStr">
        <is>
          <t>R6</t>
        </is>
      </c>
      <c r="D329" s="74" t="inlineStr">
        <is>
          <t>NG</t>
        </is>
      </c>
      <c r="E329" s="61" t="inlineStr">
        <is>
          <t>S1</t>
        </is>
      </c>
      <c r="F329" s="61" t="inlineStr">
        <is>
          <t>K044</t>
        </is>
      </c>
      <c r="G329" s="75" t="n">
        <v>5.83</v>
      </c>
      <c r="H329" s="65" t="n"/>
      <c r="I329" s="66" t="n"/>
      <c r="J329" s="67">
        <f>VLOOKUP(C329,Recipes!$A$2:$N$4,10,FALSE())</f>
        <v/>
      </c>
      <c r="K329" s="68">
        <f>VLOOKUP(C329,Recipes!$A$2:$N$4,12,FALSE())</f>
        <v/>
      </c>
      <c r="L329" s="67">
        <f>J329-3*K329</f>
        <v/>
      </c>
      <c r="M329" s="67">
        <f>J329+3*K329</f>
        <v/>
      </c>
      <c r="N329" s="61">
        <f>IF(G329="","",IF(AND(G329&gt;=L329,G329&lt;=M329),"OK","NG"))</f>
        <v/>
      </c>
      <c r="O329" s="69">
        <f>IF(N329="","",IF(N329=D329,1,0))</f>
        <v/>
      </c>
      <c r="P329" s="67">
        <f>IF(G329="","",J329-G329)</f>
        <v/>
      </c>
      <c r="Q329" s="67">
        <f>IF(G329="","",ABS(P329-Components!$D$2)/Components!$E$2)</f>
        <v/>
      </c>
      <c r="R329" s="67">
        <f>IF(G329="","",ABS(P329-Components!$D$3)/Components!$E$3)</f>
        <v/>
      </c>
      <c r="S329" s="67">
        <f>IF(G329="","",ABS(P329-Components!$D$4)/Components!$E$4)</f>
        <v/>
      </c>
      <c r="T329" s="67">
        <f>IF(G329="","",ABS(P329-Components!$D$5)/Components!$E$5)</f>
        <v/>
      </c>
      <c r="U329" s="67">
        <f>IF(G329="","",ABS(P329-Components!$D$6)/Components!$E$6)</f>
        <v/>
      </c>
      <c r="V329" s="67">
        <f>IF(G329="","",ABS(P329-Components!$D$7)/Components!$E$7)</f>
        <v/>
      </c>
      <c r="W329" s="61">
        <f>IF(G329="","",IF(N329="OK","NONE",INDEX({"S1","S2","W1","W2","N1","N2"},MATCH(MIN(Q329:V329),Q329:V329,0))))</f>
        <v/>
      </c>
      <c r="X329" s="69">
        <f>IF(G329="","",IF(W329=E329,1,0))</f>
        <v/>
      </c>
    </row>
    <row r="330">
      <c r="A330" s="61" t="n">
        <v>44</v>
      </c>
      <c r="B330" s="62" t="n">
        <v>6</v>
      </c>
      <c r="C330" s="61" t="inlineStr">
        <is>
          <t>R6</t>
        </is>
      </c>
      <c r="D330" s="74" t="inlineStr">
        <is>
          <t>NG</t>
        </is>
      </c>
      <c r="E330" s="61" t="inlineStr">
        <is>
          <t>S1</t>
        </is>
      </c>
      <c r="F330" s="61" t="inlineStr">
        <is>
          <t>K044</t>
        </is>
      </c>
      <c r="G330" s="75" t="n">
        <v>5.87</v>
      </c>
      <c r="H330" s="65" t="n"/>
      <c r="I330" s="66" t="n"/>
      <c r="J330" s="67">
        <f>VLOOKUP(C330,Recipes!$A$2:$N$4,10,FALSE())</f>
        <v/>
      </c>
      <c r="K330" s="68">
        <f>VLOOKUP(C330,Recipes!$A$2:$N$4,12,FALSE())</f>
        <v/>
      </c>
      <c r="L330" s="67">
        <f>J330-3*K330</f>
        <v/>
      </c>
      <c r="M330" s="67">
        <f>J330+3*K330</f>
        <v/>
      </c>
      <c r="N330" s="61">
        <f>IF(G330="","",IF(AND(G330&gt;=L330,G330&lt;=M330),"OK","NG"))</f>
        <v/>
      </c>
      <c r="O330" s="69">
        <f>IF(N330="","",IF(N330=D330,1,0))</f>
        <v/>
      </c>
      <c r="P330" s="67">
        <f>IF(G330="","",J330-G330)</f>
        <v/>
      </c>
      <c r="Q330" s="67">
        <f>IF(G330="","",ABS(P330-Components!$D$2)/Components!$E$2)</f>
        <v/>
      </c>
      <c r="R330" s="67">
        <f>IF(G330="","",ABS(P330-Components!$D$3)/Components!$E$3)</f>
        <v/>
      </c>
      <c r="S330" s="67">
        <f>IF(G330="","",ABS(P330-Components!$D$4)/Components!$E$4)</f>
        <v/>
      </c>
      <c r="T330" s="67">
        <f>IF(G330="","",ABS(P330-Components!$D$5)/Components!$E$5)</f>
        <v/>
      </c>
      <c r="U330" s="67">
        <f>IF(G330="","",ABS(P330-Components!$D$6)/Components!$E$6)</f>
        <v/>
      </c>
      <c r="V330" s="67">
        <f>IF(G330="","",ABS(P330-Components!$D$7)/Components!$E$7)</f>
        <v/>
      </c>
      <c r="W330" s="61">
        <f>IF(G330="","",IF(N330="OK","NONE",INDEX({"S1","S2","W1","W2","N1","N2"},MATCH(MIN(Q330:V330),Q330:V330,0))))</f>
        <v/>
      </c>
      <c r="X330" s="69">
        <f>IF(G330="","",IF(W330=E330,1,0))</f>
        <v/>
      </c>
    </row>
    <row r="331">
      <c r="A331" s="61" t="n">
        <v>44</v>
      </c>
      <c r="B331" s="62" t="n">
        <v>6</v>
      </c>
      <c r="C331" s="61" t="inlineStr">
        <is>
          <t>R6</t>
        </is>
      </c>
      <c r="D331" s="74" t="inlineStr">
        <is>
          <t>NG</t>
        </is>
      </c>
      <c r="E331" s="61" t="inlineStr">
        <is>
          <t>S1</t>
        </is>
      </c>
      <c r="F331" s="61" t="inlineStr">
        <is>
          <t>K044</t>
        </is>
      </c>
      <c r="G331" s="75" t="n">
        <v>5.8</v>
      </c>
      <c r="H331" s="65" t="n"/>
      <c r="I331" s="66" t="n"/>
      <c r="J331" s="67">
        <f>VLOOKUP(C331,Recipes!$A$2:$N$4,10,FALSE())</f>
        <v/>
      </c>
      <c r="K331" s="68">
        <f>VLOOKUP(C331,Recipes!$A$2:$N$4,12,FALSE())</f>
        <v/>
      </c>
      <c r="L331" s="67">
        <f>J331-3*K331</f>
        <v/>
      </c>
      <c r="M331" s="67">
        <f>J331+3*K331</f>
        <v/>
      </c>
      <c r="N331" s="61">
        <f>IF(G331="","",IF(AND(G331&gt;=L331,G331&lt;=M331),"OK","NG"))</f>
        <v/>
      </c>
      <c r="O331" s="69">
        <f>IF(N331="","",IF(N331=D331,1,0))</f>
        <v/>
      </c>
      <c r="P331" s="67">
        <f>IF(G331="","",J331-G331)</f>
        <v/>
      </c>
      <c r="Q331" s="67">
        <f>IF(G331="","",ABS(P331-Components!$D$2)/Components!$E$2)</f>
        <v/>
      </c>
      <c r="R331" s="67">
        <f>IF(G331="","",ABS(P331-Components!$D$3)/Components!$E$3)</f>
        <v/>
      </c>
      <c r="S331" s="67">
        <f>IF(G331="","",ABS(P331-Components!$D$4)/Components!$E$4)</f>
        <v/>
      </c>
      <c r="T331" s="67">
        <f>IF(G331="","",ABS(P331-Components!$D$5)/Components!$E$5)</f>
        <v/>
      </c>
      <c r="U331" s="67">
        <f>IF(G331="","",ABS(P331-Components!$D$6)/Components!$E$6)</f>
        <v/>
      </c>
      <c r="V331" s="67">
        <f>IF(G331="","",ABS(P331-Components!$D$7)/Components!$E$7)</f>
        <v/>
      </c>
      <c r="W331" s="61">
        <f>IF(G331="","",IF(N331="OK","NONE",INDEX({"S1","S2","W1","W2","N1","N2"},MATCH(MIN(Q331:V331),Q331:V331,0))))</f>
        <v/>
      </c>
      <c r="X331" s="69">
        <f>IF(G331="","",IF(W331=E331,1,0))</f>
        <v/>
      </c>
    </row>
    <row r="332">
      <c r="A332" s="61" t="n">
        <v>44</v>
      </c>
      <c r="B332" s="62" t="n">
        <v>6</v>
      </c>
      <c r="C332" s="61" t="inlineStr">
        <is>
          <t>R6</t>
        </is>
      </c>
      <c r="D332" s="74" t="inlineStr">
        <is>
          <t>NG</t>
        </is>
      </c>
      <c r="E332" s="61" t="inlineStr">
        <is>
          <t>S1</t>
        </is>
      </c>
      <c r="F332" s="61" t="inlineStr">
        <is>
          <t>K044</t>
        </is>
      </c>
      <c r="G332" s="75" t="n">
        <v>5.86</v>
      </c>
      <c r="H332" s="65" t="n"/>
      <c r="I332" s="66" t="n"/>
      <c r="J332" s="67">
        <f>VLOOKUP(C332,Recipes!$A$2:$N$4,10,FALSE())</f>
        <v/>
      </c>
      <c r="K332" s="68">
        <f>VLOOKUP(C332,Recipes!$A$2:$N$4,12,FALSE())</f>
        <v/>
      </c>
      <c r="L332" s="67">
        <f>J332-3*K332</f>
        <v/>
      </c>
      <c r="M332" s="67">
        <f>J332+3*K332</f>
        <v/>
      </c>
      <c r="N332" s="61">
        <f>IF(G332="","",IF(AND(G332&gt;=L332,G332&lt;=M332),"OK","NG"))</f>
        <v/>
      </c>
      <c r="O332" s="69">
        <f>IF(N332="","",IF(N332=D332,1,0))</f>
        <v/>
      </c>
      <c r="P332" s="67">
        <f>IF(G332="","",J332-G332)</f>
        <v/>
      </c>
      <c r="Q332" s="67">
        <f>IF(G332="","",ABS(P332-Components!$D$2)/Components!$E$2)</f>
        <v/>
      </c>
      <c r="R332" s="67">
        <f>IF(G332="","",ABS(P332-Components!$D$3)/Components!$E$3)</f>
        <v/>
      </c>
      <c r="S332" s="67">
        <f>IF(G332="","",ABS(P332-Components!$D$4)/Components!$E$4)</f>
        <v/>
      </c>
      <c r="T332" s="67">
        <f>IF(G332="","",ABS(P332-Components!$D$5)/Components!$E$5)</f>
        <v/>
      </c>
      <c r="U332" s="67">
        <f>IF(G332="","",ABS(P332-Components!$D$6)/Components!$E$6)</f>
        <v/>
      </c>
      <c r="V332" s="67">
        <f>IF(G332="","",ABS(P332-Components!$D$7)/Components!$E$7)</f>
        <v/>
      </c>
      <c r="W332" s="61">
        <f>IF(G332="","",IF(N332="OK","NONE",INDEX({"S1","S2","W1","W2","N1","N2"},MATCH(MIN(Q332:V332),Q332:V332,0))))</f>
        <v/>
      </c>
      <c r="X332" s="69">
        <f>IF(G332="","",IF(W332=E332,1,0))</f>
        <v/>
      </c>
    </row>
    <row r="333">
      <c r="A333" s="61" t="n">
        <v>46</v>
      </c>
      <c r="B333" s="62" t="n">
        <v>44</v>
      </c>
      <c r="C333" s="61" t="inlineStr">
        <is>
          <t>R6</t>
        </is>
      </c>
      <c r="D333" s="74" t="inlineStr">
        <is>
          <t>NG</t>
        </is>
      </c>
      <c r="E333" s="61" t="inlineStr">
        <is>
          <t>W1</t>
        </is>
      </c>
      <c r="F333" s="61" t="inlineStr">
        <is>
          <t>K046</t>
        </is>
      </c>
      <c r="G333" s="75" t="n">
        <v>7.6</v>
      </c>
      <c r="H333" s="65" t="n"/>
      <c r="I333" s="66" t="n"/>
      <c r="J333" s="67">
        <f>VLOOKUP(C333,Recipes!$A$2:$N$4,10,FALSE())</f>
        <v/>
      </c>
      <c r="K333" s="68">
        <f>VLOOKUP(C333,Recipes!$A$2:$N$4,12,FALSE())</f>
        <v/>
      </c>
      <c r="L333" s="67">
        <f>J333-3*K333</f>
        <v/>
      </c>
      <c r="M333" s="67">
        <f>J333+3*K333</f>
        <v/>
      </c>
      <c r="N333" s="61">
        <f>IF(G333="","",IF(AND(G333&gt;=L333,G333&lt;=M333),"OK","NG"))</f>
        <v/>
      </c>
      <c r="O333" s="69">
        <f>IF(N333="","",IF(N333=D333,1,0))</f>
        <v/>
      </c>
      <c r="P333" s="67">
        <f>IF(G333="","",J333-G333)</f>
        <v/>
      </c>
      <c r="Q333" s="67">
        <f>IF(G333="","",ABS(P333-Components!$D$2)/Components!$E$2)</f>
        <v/>
      </c>
      <c r="R333" s="67">
        <f>IF(G333="","",ABS(P333-Components!$D$3)/Components!$E$3)</f>
        <v/>
      </c>
      <c r="S333" s="67">
        <f>IF(G333="","",ABS(P333-Components!$D$4)/Components!$E$4)</f>
        <v/>
      </c>
      <c r="T333" s="67">
        <f>IF(G333="","",ABS(P333-Components!$D$5)/Components!$E$5)</f>
        <v/>
      </c>
      <c r="U333" s="67">
        <f>IF(G333="","",ABS(P333-Components!$D$6)/Components!$E$6)</f>
        <v/>
      </c>
      <c r="V333" s="67">
        <f>IF(G333="","",ABS(P333-Components!$D$7)/Components!$E$7)</f>
        <v/>
      </c>
      <c r="W333" s="61">
        <f>IF(G333="","",IF(N333="OK","NONE",INDEX({"S1","S2","W1","W2","N1","N2"},MATCH(MIN(Q333:V333),Q333:V333,0))))</f>
        <v/>
      </c>
      <c r="X333" s="69">
        <f>IF(G333="","",IF(W333=E333,1,0))</f>
        <v/>
      </c>
    </row>
    <row r="334">
      <c r="A334" s="61" t="n">
        <v>46</v>
      </c>
      <c r="B334" s="62" t="n">
        <v>44</v>
      </c>
      <c r="C334" s="61" t="inlineStr">
        <is>
          <t>R6</t>
        </is>
      </c>
      <c r="D334" s="74" t="inlineStr">
        <is>
          <t>NG</t>
        </is>
      </c>
      <c r="E334" s="61" t="inlineStr">
        <is>
          <t>W1</t>
        </is>
      </c>
      <c r="F334" s="61" t="inlineStr">
        <is>
          <t>K046</t>
        </is>
      </c>
      <c r="G334" s="75" t="n">
        <v>7.68</v>
      </c>
      <c r="H334" s="65" t="n"/>
      <c r="I334" s="66" t="n"/>
      <c r="J334" s="67">
        <f>VLOOKUP(C334,Recipes!$A$2:$N$4,10,FALSE())</f>
        <v/>
      </c>
      <c r="K334" s="68">
        <f>VLOOKUP(C334,Recipes!$A$2:$N$4,12,FALSE())</f>
        <v/>
      </c>
      <c r="L334" s="67">
        <f>J334-3*K334</f>
        <v/>
      </c>
      <c r="M334" s="67">
        <f>J334+3*K334</f>
        <v/>
      </c>
      <c r="N334" s="61">
        <f>IF(G334="","",IF(AND(G334&gt;=L334,G334&lt;=M334),"OK","NG"))</f>
        <v/>
      </c>
      <c r="O334" s="69">
        <f>IF(N334="","",IF(N334=D334,1,0))</f>
        <v/>
      </c>
      <c r="P334" s="67">
        <f>IF(G334="","",J334-G334)</f>
        <v/>
      </c>
      <c r="Q334" s="67">
        <f>IF(G334="","",ABS(P334-Components!$D$2)/Components!$E$2)</f>
        <v/>
      </c>
      <c r="R334" s="67">
        <f>IF(G334="","",ABS(P334-Components!$D$3)/Components!$E$3)</f>
        <v/>
      </c>
      <c r="S334" s="67">
        <f>IF(G334="","",ABS(P334-Components!$D$4)/Components!$E$4)</f>
        <v/>
      </c>
      <c r="T334" s="67">
        <f>IF(G334="","",ABS(P334-Components!$D$5)/Components!$E$5)</f>
        <v/>
      </c>
      <c r="U334" s="67">
        <f>IF(G334="","",ABS(P334-Components!$D$6)/Components!$E$6)</f>
        <v/>
      </c>
      <c r="V334" s="67">
        <f>IF(G334="","",ABS(P334-Components!$D$7)/Components!$E$7)</f>
        <v/>
      </c>
      <c r="W334" s="61">
        <f>IF(G334="","",IF(N334="OK","NONE",INDEX({"S1","S2","W1","W2","N1","N2"},MATCH(MIN(Q334:V334),Q334:V334,0))))</f>
        <v/>
      </c>
      <c r="X334" s="69">
        <f>IF(G334="","",IF(W334=E334,1,0))</f>
        <v/>
      </c>
    </row>
    <row r="335">
      <c r="A335" s="61" t="n">
        <v>46</v>
      </c>
      <c r="B335" s="62" t="n">
        <v>44</v>
      </c>
      <c r="C335" s="61" t="inlineStr">
        <is>
          <t>R6</t>
        </is>
      </c>
      <c r="D335" s="74" t="inlineStr">
        <is>
          <t>NG</t>
        </is>
      </c>
      <c r="E335" s="61" t="inlineStr">
        <is>
          <t>W1</t>
        </is>
      </c>
      <c r="F335" s="61" t="inlineStr">
        <is>
          <t>K046</t>
        </is>
      </c>
      <c r="G335" s="75" t="n">
        <v>7.4</v>
      </c>
      <c r="H335" s="65" t="n"/>
      <c r="I335" s="66" t="n"/>
      <c r="J335" s="67">
        <f>VLOOKUP(C335,Recipes!$A$2:$N$4,10,FALSE())</f>
        <v/>
      </c>
      <c r="K335" s="68">
        <f>VLOOKUP(C335,Recipes!$A$2:$N$4,12,FALSE())</f>
        <v/>
      </c>
      <c r="L335" s="67">
        <f>J335-3*K335</f>
        <v/>
      </c>
      <c r="M335" s="67">
        <f>J335+3*K335</f>
        <v/>
      </c>
      <c r="N335" s="61">
        <f>IF(G335="","",IF(AND(G335&gt;=L335,G335&lt;=M335),"OK","NG"))</f>
        <v/>
      </c>
      <c r="O335" s="69">
        <f>IF(N335="","",IF(N335=D335,1,0))</f>
        <v/>
      </c>
      <c r="P335" s="67">
        <f>IF(G335="","",J335-G335)</f>
        <v/>
      </c>
      <c r="Q335" s="67">
        <f>IF(G335="","",ABS(P335-Components!$D$2)/Components!$E$2)</f>
        <v/>
      </c>
      <c r="R335" s="67">
        <f>IF(G335="","",ABS(P335-Components!$D$3)/Components!$E$3)</f>
        <v/>
      </c>
      <c r="S335" s="67">
        <f>IF(G335="","",ABS(P335-Components!$D$4)/Components!$E$4)</f>
        <v/>
      </c>
      <c r="T335" s="67">
        <f>IF(G335="","",ABS(P335-Components!$D$5)/Components!$E$5)</f>
        <v/>
      </c>
      <c r="U335" s="67">
        <f>IF(G335="","",ABS(P335-Components!$D$6)/Components!$E$6)</f>
        <v/>
      </c>
      <c r="V335" s="67">
        <f>IF(G335="","",ABS(P335-Components!$D$7)/Components!$E$7)</f>
        <v/>
      </c>
      <c r="W335" s="61">
        <f>IF(G335="","",IF(N335="OK","NONE",INDEX({"S1","S2","W1","W2","N1","N2"},MATCH(MIN(Q335:V335),Q335:V335,0))))</f>
        <v/>
      </c>
      <c r="X335" s="71">
        <f>IF(G335="","",IF(W335=E335,1,0))</f>
        <v/>
      </c>
    </row>
    <row r="336">
      <c r="A336" s="61" t="n">
        <v>46</v>
      </c>
      <c r="B336" s="62" t="n">
        <v>44</v>
      </c>
      <c r="C336" s="61" t="inlineStr">
        <is>
          <t>R6</t>
        </is>
      </c>
      <c r="D336" s="74" t="inlineStr">
        <is>
          <t>NG</t>
        </is>
      </c>
      <c r="E336" s="61" t="inlineStr">
        <is>
          <t>W1</t>
        </is>
      </c>
      <c r="F336" s="61" t="inlineStr">
        <is>
          <t>K046</t>
        </is>
      </c>
      <c r="G336" s="75" t="n">
        <v>7.59</v>
      </c>
      <c r="H336" s="65" t="n"/>
      <c r="I336" s="66" t="n"/>
      <c r="J336" s="67">
        <f>VLOOKUP(C336,Recipes!$A$2:$N$4,10,FALSE())</f>
        <v/>
      </c>
      <c r="K336" s="68">
        <f>VLOOKUP(C336,Recipes!$A$2:$N$4,12,FALSE())</f>
        <v/>
      </c>
      <c r="L336" s="67">
        <f>J336-3*K336</f>
        <v/>
      </c>
      <c r="M336" s="67">
        <f>J336+3*K336</f>
        <v/>
      </c>
      <c r="N336" s="61">
        <f>IF(G336="","",IF(AND(G336&gt;=L336,G336&lt;=M336),"OK","NG"))</f>
        <v/>
      </c>
      <c r="O336" s="69">
        <f>IF(N336="","",IF(N336=D336,1,0))</f>
        <v/>
      </c>
      <c r="P336" s="67">
        <f>IF(G336="","",J336-G336)</f>
        <v/>
      </c>
      <c r="Q336" s="67">
        <f>IF(G336="","",ABS(P336-Components!$D$2)/Components!$E$2)</f>
        <v/>
      </c>
      <c r="R336" s="67">
        <f>IF(G336="","",ABS(P336-Components!$D$3)/Components!$E$3)</f>
        <v/>
      </c>
      <c r="S336" s="67">
        <f>IF(G336="","",ABS(P336-Components!$D$4)/Components!$E$4)</f>
        <v/>
      </c>
      <c r="T336" s="67">
        <f>IF(G336="","",ABS(P336-Components!$D$5)/Components!$E$5)</f>
        <v/>
      </c>
      <c r="U336" s="67">
        <f>IF(G336="","",ABS(P336-Components!$D$6)/Components!$E$6)</f>
        <v/>
      </c>
      <c r="V336" s="67">
        <f>IF(G336="","",ABS(P336-Components!$D$7)/Components!$E$7)</f>
        <v/>
      </c>
      <c r="W336" s="61">
        <f>IF(G336="","",IF(N336="OK","NONE",INDEX({"S1","S2","W1","W2","N1","N2"},MATCH(MIN(Q336:V336),Q336:V336,0))))</f>
        <v/>
      </c>
      <c r="X336" s="71">
        <f>IF(G336="","",IF(W336=E336,1,0))</f>
        <v/>
      </c>
    </row>
    <row r="337">
      <c r="A337" s="61" t="n">
        <v>46</v>
      </c>
      <c r="B337" s="62" t="n">
        <v>44</v>
      </c>
      <c r="C337" s="61" t="inlineStr">
        <is>
          <t>R6</t>
        </is>
      </c>
      <c r="D337" s="74" t="inlineStr">
        <is>
          <t>NG</t>
        </is>
      </c>
      <c r="E337" s="61" t="inlineStr">
        <is>
          <t>W1</t>
        </is>
      </c>
      <c r="F337" s="61" t="inlineStr">
        <is>
          <t>K046</t>
        </is>
      </c>
      <c r="G337" s="75" t="n">
        <v>7.53</v>
      </c>
      <c r="H337" s="65" t="n"/>
      <c r="I337" s="66" t="n"/>
      <c r="J337" s="67">
        <f>VLOOKUP(C337,Recipes!$A$2:$N$4,10,FALSE())</f>
        <v/>
      </c>
      <c r="K337" s="68">
        <f>VLOOKUP(C337,Recipes!$A$2:$N$4,12,FALSE())</f>
        <v/>
      </c>
      <c r="L337" s="67">
        <f>J337-3*K337</f>
        <v/>
      </c>
      <c r="M337" s="67">
        <f>J337+3*K337</f>
        <v/>
      </c>
      <c r="N337" s="61">
        <f>IF(G337="","",IF(AND(G337&gt;=L337,G337&lt;=M337),"OK","NG"))</f>
        <v/>
      </c>
      <c r="O337" s="69">
        <f>IF(N337="","",IF(N337=D337,1,0))</f>
        <v/>
      </c>
      <c r="P337" s="67">
        <f>IF(G337="","",J337-G337)</f>
        <v/>
      </c>
      <c r="Q337" s="67">
        <f>IF(G337="","",ABS(P337-Components!$D$2)/Components!$E$2)</f>
        <v/>
      </c>
      <c r="R337" s="67">
        <f>IF(G337="","",ABS(P337-Components!$D$3)/Components!$E$3)</f>
        <v/>
      </c>
      <c r="S337" s="67">
        <f>IF(G337="","",ABS(P337-Components!$D$4)/Components!$E$4)</f>
        <v/>
      </c>
      <c r="T337" s="67">
        <f>IF(G337="","",ABS(P337-Components!$D$5)/Components!$E$5)</f>
        <v/>
      </c>
      <c r="U337" s="67">
        <f>IF(G337="","",ABS(P337-Components!$D$6)/Components!$E$6)</f>
        <v/>
      </c>
      <c r="V337" s="67">
        <f>IF(G337="","",ABS(P337-Components!$D$7)/Components!$E$7)</f>
        <v/>
      </c>
      <c r="W337" s="61">
        <f>IF(G337="","",IF(N337="OK","NONE",INDEX({"S1","S2","W1","W2","N1","N2"},MATCH(MIN(Q337:V337),Q337:V337,0))))</f>
        <v/>
      </c>
      <c r="X337" s="71">
        <f>IF(G337="","",IF(W337=E337,1,0))</f>
        <v/>
      </c>
    </row>
    <row r="338">
      <c r="A338" s="61" t="n">
        <v>46</v>
      </c>
      <c r="B338" s="62" t="n">
        <v>44</v>
      </c>
      <c r="C338" s="61" t="inlineStr">
        <is>
          <t>R6</t>
        </is>
      </c>
      <c r="D338" s="74" t="inlineStr">
        <is>
          <t>NG</t>
        </is>
      </c>
      <c r="E338" s="61" t="inlineStr">
        <is>
          <t>W1</t>
        </is>
      </c>
      <c r="F338" s="61" t="inlineStr">
        <is>
          <t>K046</t>
        </is>
      </c>
      <c r="G338" s="75" t="n">
        <v>7.53</v>
      </c>
      <c r="H338" s="65" t="n"/>
      <c r="I338" s="66" t="n"/>
      <c r="J338" s="67">
        <f>VLOOKUP(C338,Recipes!$A$2:$N$4,10,FALSE())</f>
        <v/>
      </c>
      <c r="K338" s="68">
        <f>VLOOKUP(C338,Recipes!$A$2:$N$4,12,FALSE())</f>
        <v/>
      </c>
      <c r="L338" s="67">
        <f>J338-3*K338</f>
        <v/>
      </c>
      <c r="M338" s="67">
        <f>J338+3*K338</f>
        <v/>
      </c>
      <c r="N338" s="61">
        <f>IF(G338="","",IF(AND(G338&gt;=L338,G338&lt;=M338),"OK","NG"))</f>
        <v/>
      </c>
      <c r="O338" s="69">
        <f>IF(N338="","",IF(N338=D338,1,0))</f>
        <v/>
      </c>
      <c r="P338" s="67">
        <f>IF(G338="","",J338-G338)</f>
        <v/>
      </c>
      <c r="Q338" s="67">
        <f>IF(G338="","",ABS(P338-Components!$D$2)/Components!$E$2)</f>
        <v/>
      </c>
      <c r="R338" s="67">
        <f>IF(G338="","",ABS(P338-Components!$D$3)/Components!$E$3)</f>
        <v/>
      </c>
      <c r="S338" s="67">
        <f>IF(G338="","",ABS(P338-Components!$D$4)/Components!$E$4)</f>
        <v/>
      </c>
      <c r="T338" s="67">
        <f>IF(G338="","",ABS(P338-Components!$D$5)/Components!$E$5)</f>
        <v/>
      </c>
      <c r="U338" s="67">
        <f>IF(G338="","",ABS(P338-Components!$D$6)/Components!$E$6)</f>
        <v/>
      </c>
      <c r="V338" s="67">
        <f>IF(G338="","",ABS(P338-Components!$D$7)/Components!$E$7)</f>
        <v/>
      </c>
      <c r="W338" s="61">
        <f>IF(G338="","",IF(N338="OK","NONE",INDEX({"S1","S2","W1","W2","N1","N2"},MATCH(MIN(Q338:V338),Q338:V338,0))))</f>
        <v/>
      </c>
      <c r="X338" s="71">
        <f>IF(G338="","",IF(W338=E338,1,0))</f>
        <v/>
      </c>
    </row>
    <row r="339">
      <c r="A339" s="61" t="n">
        <v>46</v>
      </c>
      <c r="B339" s="62" t="n">
        <v>44</v>
      </c>
      <c r="C339" s="61" t="inlineStr">
        <is>
          <t>R6</t>
        </is>
      </c>
      <c r="D339" s="74" t="inlineStr">
        <is>
          <t>NG</t>
        </is>
      </c>
      <c r="E339" s="61" t="inlineStr">
        <is>
          <t>W1</t>
        </is>
      </c>
      <c r="F339" s="61" t="inlineStr">
        <is>
          <t>K046</t>
        </is>
      </c>
      <c r="G339" s="75" t="n">
        <v>7.63</v>
      </c>
      <c r="H339" s="65" t="n"/>
      <c r="I339" s="66" t="n"/>
      <c r="J339" s="67">
        <f>VLOOKUP(C339,Recipes!$A$2:$N$4,10,FALSE())</f>
        <v/>
      </c>
      <c r="K339" s="68">
        <f>VLOOKUP(C339,Recipes!$A$2:$N$4,12,FALSE())</f>
        <v/>
      </c>
      <c r="L339" s="67">
        <f>J339-3*K339</f>
        <v/>
      </c>
      <c r="M339" s="67">
        <f>J339+3*K339</f>
        <v/>
      </c>
      <c r="N339" s="61">
        <f>IF(G339="","",IF(AND(G339&gt;=L339,G339&lt;=M339),"OK","NG"))</f>
        <v/>
      </c>
      <c r="O339" s="69">
        <f>IF(N339="","",IF(N339=D339,1,0))</f>
        <v/>
      </c>
      <c r="P339" s="67">
        <f>IF(G339="","",J339-G339)</f>
        <v/>
      </c>
      <c r="Q339" s="67">
        <f>IF(G339="","",ABS(P339-Components!$D$2)/Components!$E$2)</f>
        <v/>
      </c>
      <c r="R339" s="67">
        <f>IF(G339="","",ABS(P339-Components!$D$3)/Components!$E$3)</f>
        <v/>
      </c>
      <c r="S339" s="67">
        <f>IF(G339="","",ABS(P339-Components!$D$4)/Components!$E$4)</f>
        <v/>
      </c>
      <c r="T339" s="67">
        <f>IF(G339="","",ABS(P339-Components!$D$5)/Components!$E$5)</f>
        <v/>
      </c>
      <c r="U339" s="67">
        <f>IF(G339="","",ABS(P339-Components!$D$6)/Components!$E$6)</f>
        <v/>
      </c>
      <c r="V339" s="67">
        <f>IF(G339="","",ABS(P339-Components!$D$7)/Components!$E$7)</f>
        <v/>
      </c>
      <c r="W339" s="61">
        <f>IF(G339="","",IF(N339="OK","NONE",INDEX({"S1","S2","W1","W2","N1","N2"},MATCH(MIN(Q339:V339),Q339:V339,0))))</f>
        <v/>
      </c>
      <c r="X339" s="69">
        <f>IF(G339="","",IF(W339=E339,1,0))</f>
        <v/>
      </c>
    </row>
    <row r="340">
      <c r="A340" s="61" t="n">
        <v>46</v>
      </c>
      <c r="B340" s="62" t="n">
        <v>44</v>
      </c>
      <c r="C340" s="61" t="inlineStr">
        <is>
          <t>R6</t>
        </is>
      </c>
      <c r="D340" s="74" t="inlineStr">
        <is>
          <t>NG</t>
        </is>
      </c>
      <c r="E340" s="61" t="inlineStr">
        <is>
          <t>W1</t>
        </is>
      </c>
      <c r="F340" s="61" t="inlineStr">
        <is>
          <t>K046</t>
        </is>
      </c>
      <c r="G340" s="75" t="n">
        <v>7.62</v>
      </c>
      <c r="H340" s="65" t="n"/>
      <c r="I340" s="66" t="n"/>
      <c r="J340" s="67">
        <f>VLOOKUP(C340,Recipes!$A$2:$N$4,10,FALSE())</f>
        <v/>
      </c>
      <c r="K340" s="68">
        <f>VLOOKUP(C340,Recipes!$A$2:$N$4,12,FALSE())</f>
        <v/>
      </c>
      <c r="L340" s="67">
        <f>J340-3*K340</f>
        <v/>
      </c>
      <c r="M340" s="67">
        <f>J340+3*K340</f>
        <v/>
      </c>
      <c r="N340" s="61">
        <f>IF(G340="","",IF(AND(G340&gt;=L340,G340&lt;=M340),"OK","NG"))</f>
        <v/>
      </c>
      <c r="O340" s="69">
        <f>IF(N340="","",IF(N340=D340,1,0))</f>
        <v/>
      </c>
      <c r="P340" s="67">
        <f>IF(G340="","",J340-G340)</f>
        <v/>
      </c>
      <c r="Q340" s="67">
        <f>IF(G340="","",ABS(P340-Components!$D$2)/Components!$E$2)</f>
        <v/>
      </c>
      <c r="R340" s="67">
        <f>IF(G340="","",ABS(P340-Components!$D$3)/Components!$E$3)</f>
        <v/>
      </c>
      <c r="S340" s="67">
        <f>IF(G340="","",ABS(P340-Components!$D$4)/Components!$E$4)</f>
        <v/>
      </c>
      <c r="T340" s="67">
        <f>IF(G340="","",ABS(P340-Components!$D$5)/Components!$E$5)</f>
        <v/>
      </c>
      <c r="U340" s="67">
        <f>IF(G340="","",ABS(P340-Components!$D$6)/Components!$E$6)</f>
        <v/>
      </c>
      <c r="V340" s="67">
        <f>IF(G340="","",ABS(P340-Components!$D$7)/Components!$E$7)</f>
        <v/>
      </c>
      <c r="W340" s="61">
        <f>IF(G340="","",IF(N340="OK","NONE",INDEX({"S1","S2","W1","W2","N1","N2"},MATCH(MIN(Q340:V340),Q340:V340,0))))</f>
        <v/>
      </c>
      <c r="X340" s="69">
        <f>IF(G340="","",IF(W340=E340,1,0))</f>
        <v/>
      </c>
    </row>
    <row r="341">
      <c r="A341" s="61" t="n">
        <v>46</v>
      </c>
      <c r="B341" s="62" t="n">
        <v>44</v>
      </c>
      <c r="C341" s="61" t="inlineStr">
        <is>
          <t>R6</t>
        </is>
      </c>
      <c r="D341" s="74" t="inlineStr">
        <is>
          <t>NG</t>
        </is>
      </c>
      <c r="E341" s="61" t="inlineStr">
        <is>
          <t>W1</t>
        </is>
      </c>
      <c r="F341" s="61" t="inlineStr">
        <is>
          <t>K046</t>
        </is>
      </c>
      <c r="G341" s="75" t="n">
        <v>7.59</v>
      </c>
      <c r="H341" s="65" t="n"/>
      <c r="I341" s="66" t="n"/>
      <c r="J341" s="67">
        <f>VLOOKUP(C341,Recipes!$A$2:$N$4,10,FALSE())</f>
        <v/>
      </c>
      <c r="K341" s="68">
        <f>VLOOKUP(C341,Recipes!$A$2:$N$4,12,FALSE())</f>
        <v/>
      </c>
      <c r="L341" s="67">
        <f>J341-3*K341</f>
        <v/>
      </c>
      <c r="M341" s="67">
        <f>J341+3*K341</f>
        <v/>
      </c>
      <c r="N341" s="61">
        <f>IF(G341="","",IF(AND(G341&gt;=L341,G341&lt;=M341),"OK","NG"))</f>
        <v/>
      </c>
      <c r="O341" s="69">
        <f>IF(N341="","",IF(N341=D341,1,0))</f>
        <v/>
      </c>
      <c r="P341" s="67">
        <f>IF(G341="","",J341-G341)</f>
        <v/>
      </c>
      <c r="Q341" s="67">
        <f>IF(G341="","",ABS(P341-Components!$D$2)/Components!$E$2)</f>
        <v/>
      </c>
      <c r="R341" s="67">
        <f>IF(G341="","",ABS(P341-Components!$D$3)/Components!$E$3)</f>
        <v/>
      </c>
      <c r="S341" s="67">
        <f>IF(G341="","",ABS(P341-Components!$D$4)/Components!$E$4)</f>
        <v/>
      </c>
      <c r="T341" s="67">
        <f>IF(G341="","",ABS(P341-Components!$D$5)/Components!$E$5)</f>
        <v/>
      </c>
      <c r="U341" s="67">
        <f>IF(G341="","",ABS(P341-Components!$D$6)/Components!$E$6)</f>
        <v/>
      </c>
      <c r="V341" s="67">
        <f>IF(G341="","",ABS(P341-Components!$D$7)/Components!$E$7)</f>
        <v/>
      </c>
      <c r="W341" s="61">
        <f>IF(G341="","",IF(N341="OK","NONE",INDEX({"S1","S2","W1","W2","N1","N2"},MATCH(MIN(Q341:V341),Q341:V341,0))))</f>
        <v/>
      </c>
      <c r="X341" s="71">
        <f>IF(G341="","",IF(W341=E341,1,0))</f>
        <v/>
      </c>
    </row>
    <row r="342">
      <c r="A342" s="61" t="n">
        <v>46</v>
      </c>
      <c r="B342" s="62" t="n">
        <v>44</v>
      </c>
      <c r="C342" s="61" t="inlineStr">
        <is>
          <t>R6</t>
        </is>
      </c>
      <c r="D342" s="74" t="inlineStr">
        <is>
          <t>NG</t>
        </is>
      </c>
      <c r="E342" s="61" t="inlineStr">
        <is>
          <t>W1</t>
        </is>
      </c>
      <c r="F342" s="61" t="inlineStr">
        <is>
          <t>K046</t>
        </is>
      </c>
      <c r="G342" s="75" t="n">
        <v>7.64</v>
      </c>
      <c r="H342" s="65" t="n"/>
      <c r="I342" s="66" t="n"/>
      <c r="J342" s="67">
        <f>VLOOKUP(C342,Recipes!$A$2:$N$4,10,FALSE())</f>
        <v/>
      </c>
      <c r="K342" s="68">
        <f>VLOOKUP(C342,Recipes!$A$2:$N$4,12,FALSE())</f>
        <v/>
      </c>
      <c r="L342" s="67">
        <f>J342-3*K342</f>
        <v/>
      </c>
      <c r="M342" s="67">
        <f>J342+3*K342</f>
        <v/>
      </c>
      <c r="N342" s="61">
        <f>IF(G342="","",IF(AND(G342&gt;=L342,G342&lt;=M342),"OK","NG"))</f>
        <v/>
      </c>
      <c r="O342" s="69">
        <f>IF(N342="","",IF(N342=D342,1,0))</f>
        <v/>
      </c>
      <c r="P342" s="67">
        <f>IF(G342="","",J342-G342)</f>
        <v/>
      </c>
      <c r="Q342" s="67">
        <f>IF(G342="","",ABS(P342-Components!$D$2)/Components!$E$2)</f>
        <v/>
      </c>
      <c r="R342" s="67">
        <f>IF(G342="","",ABS(P342-Components!$D$3)/Components!$E$3)</f>
        <v/>
      </c>
      <c r="S342" s="67">
        <f>IF(G342="","",ABS(P342-Components!$D$4)/Components!$E$4)</f>
        <v/>
      </c>
      <c r="T342" s="67">
        <f>IF(G342="","",ABS(P342-Components!$D$5)/Components!$E$5)</f>
        <v/>
      </c>
      <c r="U342" s="67">
        <f>IF(G342="","",ABS(P342-Components!$D$6)/Components!$E$6)</f>
        <v/>
      </c>
      <c r="V342" s="67">
        <f>IF(G342="","",ABS(P342-Components!$D$7)/Components!$E$7)</f>
        <v/>
      </c>
      <c r="W342" s="61">
        <f>IF(G342="","",IF(N342="OK","NONE",INDEX({"S1","S2","W1","W2","N1","N2"},MATCH(MIN(Q342:V342),Q342:V342,0))))</f>
        <v/>
      </c>
      <c r="X342" s="69">
        <f>IF(G342="","",IF(W342=E342,1,0))</f>
        <v/>
      </c>
    </row>
    <row r="343">
      <c r="A343" s="61" t="n">
        <v>46</v>
      </c>
      <c r="B343" s="62" t="n">
        <v>44</v>
      </c>
      <c r="C343" s="61" t="inlineStr">
        <is>
          <t>R6</t>
        </is>
      </c>
      <c r="D343" s="74" t="inlineStr">
        <is>
          <t>NG</t>
        </is>
      </c>
      <c r="E343" s="61" t="inlineStr">
        <is>
          <t>W1</t>
        </is>
      </c>
      <c r="F343" s="61" t="inlineStr">
        <is>
          <t>K046</t>
        </is>
      </c>
      <c r="G343" s="75" t="n">
        <v>7.65</v>
      </c>
      <c r="H343" s="65" t="n"/>
      <c r="I343" s="66" t="n"/>
      <c r="J343" s="67">
        <f>VLOOKUP(C343,Recipes!$A$2:$N$4,10,FALSE())</f>
        <v/>
      </c>
      <c r="K343" s="68">
        <f>VLOOKUP(C343,Recipes!$A$2:$N$4,12,FALSE())</f>
        <v/>
      </c>
      <c r="L343" s="67">
        <f>J343-3*K343</f>
        <v/>
      </c>
      <c r="M343" s="67">
        <f>J343+3*K343</f>
        <v/>
      </c>
      <c r="N343" s="61">
        <f>IF(G343="","",IF(AND(G343&gt;=L343,G343&lt;=M343),"OK","NG"))</f>
        <v/>
      </c>
      <c r="O343" s="69">
        <f>IF(N343="","",IF(N343=D343,1,0))</f>
        <v/>
      </c>
      <c r="P343" s="67">
        <f>IF(G343="","",J343-G343)</f>
        <v/>
      </c>
      <c r="Q343" s="67">
        <f>IF(G343="","",ABS(P343-Components!$D$2)/Components!$E$2)</f>
        <v/>
      </c>
      <c r="R343" s="67">
        <f>IF(G343="","",ABS(P343-Components!$D$3)/Components!$E$3)</f>
        <v/>
      </c>
      <c r="S343" s="67">
        <f>IF(G343="","",ABS(P343-Components!$D$4)/Components!$E$4)</f>
        <v/>
      </c>
      <c r="T343" s="67">
        <f>IF(G343="","",ABS(P343-Components!$D$5)/Components!$E$5)</f>
        <v/>
      </c>
      <c r="U343" s="67">
        <f>IF(G343="","",ABS(P343-Components!$D$6)/Components!$E$6)</f>
        <v/>
      </c>
      <c r="V343" s="67">
        <f>IF(G343="","",ABS(P343-Components!$D$7)/Components!$E$7)</f>
        <v/>
      </c>
      <c r="W343" s="61">
        <f>IF(G343="","",IF(N343="OK","NONE",INDEX({"S1","S2","W1","W2","N1","N2"},MATCH(MIN(Q343:V343),Q343:V343,0))))</f>
        <v/>
      </c>
      <c r="X343" s="69">
        <f>IF(G343="","",IF(W343=E343,1,0))</f>
        <v/>
      </c>
    </row>
    <row r="344">
      <c r="A344" s="61" t="n">
        <v>46</v>
      </c>
      <c r="B344" s="62" t="n">
        <v>44</v>
      </c>
      <c r="C344" s="61" t="inlineStr">
        <is>
          <t>R6</t>
        </is>
      </c>
      <c r="D344" s="74" t="inlineStr">
        <is>
          <t>NG</t>
        </is>
      </c>
      <c r="E344" s="61" t="inlineStr">
        <is>
          <t>W1</t>
        </is>
      </c>
      <c r="F344" s="61" t="inlineStr">
        <is>
          <t>K046</t>
        </is>
      </c>
      <c r="G344" s="75" t="n">
        <v>7.6</v>
      </c>
      <c r="H344" s="65" t="n"/>
      <c r="I344" s="66" t="n"/>
      <c r="J344" s="67">
        <f>VLOOKUP(C344,Recipes!$A$2:$N$4,10,FALSE())</f>
        <v/>
      </c>
      <c r="K344" s="68">
        <f>VLOOKUP(C344,Recipes!$A$2:$N$4,12,FALSE())</f>
        <v/>
      </c>
      <c r="L344" s="67">
        <f>J344-3*K344</f>
        <v/>
      </c>
      <c r="M344" s="67">
        <f>J344+3*K344</f>
        <v/>
      </c>
      <c r="N344" s="61">
        <f>IF(G344="","",IF(AND(G344&gt;=L344,G344&lt;=M344),"OK","NG"))</f>
        <v/>
      </c>
      <c r="O344" s="69">
        <f>IF(N344="","",IF(N344=D344,1,0))</f>
        <v/>
      </c>
      <c r="P344" s="67">
        <f>IF(G344="","",J344-G344)</f>
        <v/>
      </c>
      <c r="Q344" s="67">
        <f>IF(G344="","",ABS(P344-Components!$D$2)/Components!$E$2)</f>
        <v/>
      </c>
      <c r="R344" s="67">
        <f>IF(G344="","",ABS(P344-Components!$D$3)/Components!$E$3)</f>
        <v/>
      </c>
      <c r="S344" s="67">
        <f>IF(G344="","",ABS(P344-Components!$D$4)/Components!$E$4)</f>
        <v/>
      </c>
      <c r="T344" s="67">
        <f>IF(G344="","",ABS(P344-Components!$D$5)/Components!$E$5)</f>
        <v/>
      </c>
      <c r="U344" s="67">
        <f>IF(G344="","",ABS(P344-Components!$D$6)/Components!$E$6)</f>
        <v/>
      </c>
      <c r="V344" s="67">
        <f>IF(G344="","",ABS(P344-Components!$D$7)/Components!$E$7)</f>
        <v/>
      </c>
      <c r="W344" s="61">
        <f>IF(G344="","",IF(N344="OK","NONE",INDEX({"S1","S2","W1","W2","N1","N2"},MATCH(MIN(Q344:V344),Q344:V344,0))))</f>
        <v/>
      </c>
      <c r="X344" s="69">
        <f>IF(G344="","",IF(W344=E344,1,0))</f>
        <v/>
      </c>
    </row>
    <row r="345">
      <c r="A345" s="61" t="n">
        <v>46</v>
      </c>
      <c r="B345" s="62" t="n">
        <v>44</v>
      </c>
      <c r="C345" s="61" t="inlineStr">
        <is>
          <t>R6</t>
        </is>
      </c>
      <c r="D345" s="74" t="inlineStr">
        <is>
          <t>NG</t>
        </is>
      </c>
      <c r="E345" s="61" t="inlineStr">
        <is>
          <t>W1</t>
        </is>
      </c>
      <c r="F345" s="61" t="inlineStr">
        <is>
          <t>K046</t>
        </is>
      </c>
      <c r="G345" s="75" t="n">
        <v>7.6</v>
      </c>
      <c r="H345" s="65" t="n"/>
      <c r="I345" s="66" t="n"/>
      <c r="J345" s="67">
        <f>VLOOKUP(C345,Recipes!$A$2:$N$4,10,FALSE())</f>
        <v/>
      </c>
      <c r="K345" s="68">
        <f>VLOOKUP(C345,Recipes!$A$2:$N$4,12,FALSE())</f>
        <v/>
      </c>
      <c r="L345" s="67">
        <f>J345-3*K345</f>
        <v/>
      </c>
      <c r="M345" s="67">
        <f>J345+3*K345</f>
        <v/>
      </c>
      <c r="N345" s="61">
        <f>IF(G345="","",IF(AND(G345&gt;=L345,G345&lt;=M345),"OK","NG"))</f>
        <v/>
      </c>
      <c r="O345" s="69">
        <f>IF(N345="","",IF(N345=D345,1,0))</f>
        <v/>
      </c>
      <c r="P345" s="67">
        <f>IF(G345="","",J345-G345)</f>
        <v/>
      </c>
      <c r="Q345" s="67">
        <f>IF(G345="","",ABS(P345-Components!$D$2)/Components!$E$2)</f>
        <v/>
      </c>
      <c r="R345" s="67">
        <f>IF(G345="","",ABS(P345-Components!$D$3)/Components!$E$3)</f>
        <v/>
      </c>
      <c r="S345" s="67">
        <f>IF(G345="","",ABS(P345-Components!$D$4)/Components!$E$4)</f>
        <v/>
      </c>
      <c r="T345" s="67">
        <f>IF(G345="","",ABS(P345-Components!$D$5)/Components!$E$5)</f>
        <v/>
      </c>
      <c r="U345" s="67">
        <f>IF(G345="","",ABS(P345-Components!$D$6)/Components!$E$6)</f>
        <v/>
      </c>
      <c r="V345" s="67">
        <f>IF(G345="","",ABS(P345-Components!$D$7)/Components!$E$7)</f>
        <v/>
      </c>
      <c r="W345" s="61">
        <f>IF(G345="","",IF(N345="OK","NONE",INDEX({"S1","S2","W1","W2","N1","N2"},MATCH(MIN(Q345:V345),Q345:V345,0))))</f>
        <v/>
      </c>
      <c r="X345" s="69">
        <f>IF(G345="","",IF(W345=E345,1,0))</f>
        <v/>
      </c>
    </row>
    <row r="346">
      <c r="A346" s="61" t="n">
        <v>46</v>
      </c>
      <c r="B346" s="62" t="n">
        <v>44</v>
      </c>
      <c r="C346" s="61" t="inlineStr">
        <is>
          <t>R6</t>
        </is>
      </c>
      <c r="D346" s="74" t="inlineStr">
        <is>
          <t>NG</t>
        </is>
      </c>
      <c r="E346" s="61" t="inlineStr">
        <is>
          <t>W1</t>
        </is>
      </c>
      <c r="F346" s="61" t="inlineStr">
        <is>
          <t>K046</t>
        </is>
      </c>
      <c r="G346" s="75" t="n">
        <v>7.59</v>
      </c>
      <c r="H346" s="65" t="n"/>
      <c r="I346" s="66" t="n"/>
      <c r="J346" s="67">
        <f>VLOOKUP(C346,Recipes!$A$2:$N$4,10,FALSE())</f>
        <v/>
      </c>
      <c r="K346" s="68">
        <f>VLOOKUP(C346,Recipes!$A$2:$N$4,12,FALSE())</f>
        <v/>
      </c>
      <c r="L346" s="67">
        <f>J346-3*K346</f>
        <v/>
      </c>
      <c r="M346" s="67">
        <f>J346+3*K346</f>
        <v/>
      </c>
      <c r="N346" s="61">
        <f>IF(G346="","",IF(AND(G346&gt;=L346,G346&lt;=M346),"OK","NG"))</f>
        <v/>
      </c>
      <c r="O346" s="69">
        <f>IF(N346="","",IF(N346=D346,1,0))</f>
        <v/>
      </c>
      <c r="P346" s="67">
        <f>IF(G346="","",J346-G346)</f>
        <v/>
      </c>
      <c r="Q346" s="67">
        <f>IF(G346="","",ABS(P346-Components!$D$2)/Components!$E$2)</f>
        <v/>
      </c>
      <c r="R346" s="67">
        <f>IF(G346="","",ABS(P346-Components!$D$3)/Components!$E$3)</f>
        <v/>
      </c>
      <c r="S346" s="67">
        <f>IF(G346="","",ABS(P346-Components!$D$4)/Components!$E$4)</f>
        <v/>
      </c>
      <c r="T346" s="67">
        <f>IF(G346="","",ABS(P346-Components!$D$5)/Components!$E$5)</f>
        <v/>
      </c>
      <c r="U346" s="67">
        <f>IF(G346="","",ABS(P346-Components!$D$6)/Components!$E$6)</f>
        <v/>
      </c>
      <c r="V346" s="67">
        <f>IF(G346="","",ABS(P346-Components!$D$7)/Components!$E$7)</f>
        <v/>
      </c>
      <c r="W346" s="61">
        <f>IF(G346="","",IF(N346="OK","NONE",INDEX({"S1","S2","W1","W2","N1","N2"},MATCH(MIN(Q346:V346),Q346:V346,0))))</f>
        <v/>
      </c>
      <c r="X346" s="71">
        <f>IF(G346="","",IF(W346=E346,1,0))</f>
        <v/>
      </c>
    </row>
    <row r="347">
      <c r="A347" s="61" t="n">
        <v>46</v>
      </c>
      <c r="B347" s="62" t="n">
        <v>44</v>
      </c>
      <c r="C347" s="61" t="inlineStr">
        <is>
          <t>R6</t>
        </is>
      </c>
      <c r="D347" s="74" t="inlineStr">
        <is>
          <t>NG</t>
        </is>
      </c>
      <c r="E347" s="61" t="inlineStr">
        <is>
          <t>W1</t>
        </is>
      </c>
      <c r="F347" s="61" t="inlineStr">
        <is>
          <t>K046</t>
        </is>
      </c>
      <c r="G347" s="75" t="n">
        <v>7.63</v>
      </c>
      <c r="H347" s="65" t="n"/>
      <c r="I347" s="66" t="n"/>
      <c r="J347" s="67">
        <f>VLOOKUP(C347,Recipes!$A$2:$N$4,10,FALSE())</f>
        <v/>
      </c>
      <c r="K347" s="68">
        <f>VLOOKUP(C347,Recipes!$A$2:$N$4,12,FALSE())</f>
        <v/>
      </c>
      <c r="L347" s="67">
        <f>J347-3*K347</f>
        <v/>
      </c>
      <c r="M347" s="67">
        <f>J347+3*K347</f>
        <v/>
      </c>
      <c r="N347" s="61">
        <f>IF(G347="","",IF(AND(G347&gt;=L347,G347&lt;=M347),"OK","NG"))</f>
        <v/>
      </c>
      <c r="O347" s="69">
        <f>IF(N347="","",IF(N347=D347,1,0))</f>
        <v/>
      </c>
      <c r="P347" s="67">
        <f>IF(G347="","",J347-G347)</f>
        <v/>
      </c>
      <c r="Q347" s="67">
        <f>IF(G347="","",ABS(P347-Components!$D$2)/Components!$E$2)</f>
        <v/>
      </c>
      <c r="R347" s="67">
        <f>IF(G347="","",ABS(P347-Components!$D$3)/Components!$E$3)</f>
        <v/>
      </c>
      <c r="S347" s="67">
        <f>IF(G347="","",ABS(P347-Components!$D$4)/Components!$E$4)</f>
        <v/>
      </c>
      <c r="T347" s="67">
        <f>IF(G347="","",ABS(P347-Components!$D$5)/Components!$E$5)</f>
        <v/>
      </c>
      <c r="U347" s="67">
        <f>IF(G347="","",ABS(P347-Components!$D$6)/Components!$E$6)</f>
        <v/>
      </c>
      <c r="V347" s="67">
        <f>IF(G347="","",ABS(P347-Components!$D$7)/Components!$E$7)</f>
        <v/>
      </c>
      <c r="W347" s="61">
        <f>IF(G347="","",IF(N347="OK","NONE",INDEX({"S1","S2","W1","W2","N1","N2"},MATCH(MIN(Q347:V347),Q347:V347,0))))</f>
        <v/>
      </c>
      <c r="X347" s="69">
        <f>IF(G347="","",IF(W347=E347,1,0))</f>
        <v/>
      </c>
    </row>
    <row r="348">
      <c r="A348" s="61" t="n">
        <v>46</v>
      </c>
      <c r="B348" s="62" t="n">
        <v>44</v>
      </c>
      <c r="C348" s="61" t="inlineStr">
        <is>
          <t>R6</t>
        </is>
      </c>
      <c r="D348" s="74" t="inlineStr">
        <is>
          <t>NG</t>
        </is>
      </c>
      <c r="E348" s="61" t="inlineStr">
        <is>
          <t>W1</t>
        </is>
      </c>
      <c r="F348" s="61" t="inlineStr">
        <is>
          <t>K046</t>
        </is>
      </c>
      <c r="G348" s="75" t="n">
        <v>7.6</v>
      </c>
      <c r="H348" s="65" t="n"/>
      <c r="I348" s="66" t="n"/>
      <c r="J348" s="67">
        <f>VLOOKUP(C348,Recipes!$A$2:$N$4,10,FALSE())</f>
        <v/>
      </c>
      <c r="K348" s="68">
        <f>VLOOKUP(C348,Recipes!$A$2:$N$4,12,FALSE())</f>
        <v/>
      </c>
      <c r="L348" s="67">
        <f>J348-3*K348</f>
        <v/>
      </c>
      <c r="M348" s="67">
        <f>J348+3*K348</f>
        <v/>
      </c>
      <c r="N348" s="61">
        <f>IF(G348="","",IF(AND(G348&gt;=L348,G348&lt;=M348),"OK","NG"))</f>
        <v/>
      </c>
      <c r="O348" s="69">
        <f>IF(N348="","",IF(N348=D348,1,0))</f>
        <v/>
      </c>
      <c r="P348" s="67">
        <f>IF(G348="","",J348-G348)</f>
        <v/>
      </c>
      <c r="Q348" s="67">
        <f>IF(G348="","",ABS(P348-Components!$D$2)/Components!$E$2)</f>
        <v/>
      </c>
      <c r="R348" s="67">
        <f>IF(G348="","",ABS(P348-Components!$D$3)/Components!$E$3)</f>
        <v/>
      </c>
      <c r="S348" s="67">
        <f>IF(G348="","",ABS(P348-Components!$D$4)/Components!$E$4)</f>
        <v/>
      </c>
      <c r="T348" s="67">
        <f>IF(G348="","",ABS(P348-Components!$D$5)/Components!$E$5)</f>
        <v/>
      </c>
      <c r="U348" s="67">
        <f>IF(G348="","",ABS(P348-Components!$D$6)/Components!$E$6)</f>
        <v/>
      </c>
      <c r="V348" s="67">
        <f>IF(G348="","",ABS(P348-Components!$D$7)/Components!$E$7)</f>
        <v/>
      </c>
      <c r="W348" s="61">
        <f>IF(G348="","",IF(N348="OK","NONE",INDEX({"S1","S2","W1","W2","N1","N2"},MATCH(MIN(Q348:V348),Q348:V348,0))))</f>
        <v/>
      </c>
      <c r="X348" s="69">
        <f>IF(G348="","",IF(W348=E348,1,0))</f>
        <v/>
      </c>
    </row>
    <row r="349">
      <c r="A349" s="61" t="n">
        <v>46</v>
      </c>
      <c r="B349" s="62" t="n">
        <v>44</v>
      </c>
      <c r="C349" s="61" t="inlineStr">
        <is>
          <t>R6</t>
        </is>
      </c>
      <c r="D349" s="74" t="inlineStr">
        <is>
          <t>NG</t>
        </is>
      </c>
      <c r="E349" s="61" t="inlineStr">
        <is>
          <t>W1</t>
        </is>
      </c>
      <c r="F349" s="61" t="inlineStr">
        <is>
          <t>K046</t>
        </is>
      </c>
      <c r="G349" s="75" t="n">
        <v>7.56</v>
      </c>
      <c r="H349" s="65" t="n"/>
      <c r="I349" s="66" t="n"/>
      <c r="J349" s="67">
        <f>VLOOKUP(C349,Recipes!$A$2:$N$4,10,FALSE())</f>
        <v/>
      </c>
      <c r="K349" s="68">
        <f>VLOOKUP(C349,Recipes!$A$2:$N$4,12,FALSE())</f>
        <v/>
      </c>
      <c r="L349" s="67">
        <f>J349-3*K349</f>
        <v/>
      </c>
      <c r="M349" s="67">
        <f>J349+3*K349</f>
        <v/>
      </c>
      <c r="N349" s="61">
        <f>IF(G349="","",IF(AND(G349&gt;=L349,G349&lt;=M349),"OK","NG"))</f>
        <v/>
      </c>
      <c r="O349" s="69">
        <f>IF(N349="","",IF(N349=D349,1,0))</f>
        <v/>
      </c>
      <c r="P349" s="67">
        <f>IF(G349="","",J349-G349)</f>
        <v/>
      </c>
      <c r="Q349" s="67">
        <f>IF(G349="","",ABS(P349-Components!$D$2)/Components!$E$2)</f>
        <v/>
      </c>
      <c r="R349" s="67">
        <f>IF(G349="","",ABS(P349-Components!$D$3)/Components!$E$3)</f>
        <v/>
      </c>
      <c r="S349" s="67">
        <f>IF(G349="","",ABS(P349-Components!$D$4)/Components!$E$4)</f>
        <v/>
      </c>
      <c r="T349" s="67">
        <f>IF(G349="","",ABS(P349-Components!$D$5)/Components!$E$5)</f>
        <v/>
      </c>
      <c r="U349" s="67">
        <f>IF(G349="","",ABS(P349-Components!$D$6)/Components!$E$6)</f>
        <v/>
      </c>
      <c r="V349" s="67">
        <f>IF(G349="","",ABS(P349-Components!$D$7)/Components!$E$7)</f>
        <v/>
      </c>
      <c r="W349" s="61">
        <f>IF(G349="","",IF(N349="OK","NONE",INDEX({"S1","S2","W1","W2","N1","N2"},MATCH(MIN(Q349:V349),Q349:V349,0))))</f>
        <v/>
      </c>
      <c r="X349" s="71">
        <f>IF(G349="","",IF(W349=E349,1,0))</f>
        <v/>
      </c>
    </row>
    <row r="350">
      <c r="A350" s="61" t="n">
        <v>46</v>
      </c>
      <c r="B350" s="62" t="n">
        <v>44</v>
      </c>
      <c r="C350" s="61" t="inlineStr">
        <is>
          <t>R6</t>
        </is>
      </c>
      <c r="D350" s="74" t="inlineStr">
        <is>
          <t>NG</t>
        </is>
      </c>
      <c r="E350" s="61" t="inlineStr">
        <is>
          <t>W1</t>
        </is>
      </c>
      <c r="F350" s="61" t="inlineStr">
        <is>
          <t>K046</t>
        </is>
      </c>
      <c r="G350" s="75" t="n">
        <v>7.63</v>
      </c>
      <c r="H350" s="65" t="n"/>
      <c r="I350" s="66" t="n"/>
      <c r="J350" s="67">
        <f>VLOOKUP(C350,Recipes!$A$2:$N$4,10,FALSE())</f>
        <v/>
      </c>
      <c r="K350" s="68">
        <f>VLOOKUP(C350,Recipes!$A$2:$N$4,12,FALSE())</f>
        <v/>
      </c>
      <c r="L350" s="67">
        <f>J350-3*K350</f>
        <v/>
      </c>
      <c r="M350" s="67">
        <f>J350+3*K350</f>
        <v/>
      </c>
      <c r="N350" s="61">
        <f>IF(G350="","",IF(AND(G350&gt;=L350,G350&lt;=M350),"OK","NG"))</f>
        <v/>
      </c>
      <c r="O350" s="69">
        <f>IF(N350="","",IF(N350=D350,1,0))</f>
        <v/>
      </c>
      <c r="P350" s="67">
        <f>IF(G350="","",J350-G350)</f>
        <v/>
      </c>
      <c r="Q350" s="67">
        <f>IF(G350="","",ABS(P350-Components!$D$2)/Components!$E$2)</f>
        <v/>
      </c>
      <c r="R350" s="67">
        <f>IF(G350="","",ABS(P350-Components!$D$3)/Components!$E$3)</f>
        <v/>
      </c>
      <c r="S350" s="67">
        <f>IF(G350="","",ABS(P350-Components!$D$4)/Components!$E$4)</f>
        <v/>
      </c>
      <c r="T350" s="67">
        <f>IF(G350="","",ABS(P350-Components!$D$5)/Components!$E$5)</f>
        <v/>
      </c>
      <c r="U350" s="67">
        <f>IF(G350="","",ABS(P350-Components!$D$6)/Components!$E$6)</f>
        <v/>
      </c>
      <c r="V350" s="67">
        <f>IF(G350="","",ABS(P350-Components!$D$7)/Components!$E$7)</f>
        <v/>
      </c>
      <c r="W350" s="61">
        <f>IF(G350="","",IF(N350="OK","NONE",INDEX({"S1","S2","W1","W2","N1","N2"},MATCH(MIN(Q350:V350),Q350:V350,0))))</f>
        <v/>
      </c>
      <c r="X350" s="69">
        <f>IF(G350="","",IF(W350=E350,1,0))</f>
        <v/>
      </c>
    </row>
    <row r="351">
      <c r="A351" s="61" t="n">
        <v>46</v>
      </c>
      <c r="B351" s="62" t="n">
        <v>44</v>
      </c>
      <c r="C351" s="61" t="inlineStr">
        <is>
          <t>R6</t>
        </is>
      </c>
      <c r="D351" s="74" t="inlineStr">
        <is>
          <t>NG</t>
        </is>
      </c>
      <c r="E351" s="61" t="inlineStr">
        <is>
          <t>W1</t>
        </is>
      </c>
      <c r="F351" s="61" t="inlineStr">
        <is>
          <t>K046</t>
        </is>
      </c>
      <c r="G351" s="75" t="n">
        <v>7.6</v>
      </c>
      <c r="H351" s="65" t="n"/>
      <c r="I351" s="66" t="n"/>
      <c r="J351" s="67">
        <f>VLOOKUP(C351,Recipes!$A$2:$N$4,10,FALSE())</f>
        <v/>
      </c>
      <c r="K351" s="68">
        <f>VLOOKUP(C351,Recipes!$A$2:$N$4,12,FALSE())</f>
        <v/>
      </c>
      <c r="L351" s="67">
        <f>J351-3*K351</f>
        <v/>
      </c>
      <c r="M351" s="67">
        <f>J351+3*K351</f>
        <v/>
      </c>
      <c r="N351" s="61">
        <f>IF(G351="","",IF(AND(G351&gt;=L351,G351&lt;=M351),"OK","NG"))</f>
        <v/>
      </c>
      <c r="O351" s="69">
        <f>IF(N351="","",IF(N351=D351,1,0))</f>
        <v/>
      </c>
      <c r="P351" s="67">
        <f>IF(G351="","",J351-G351)</f>
        <v/>
      </c>
      <c r="Q351" s="67">
        <f>IF(G351="","",ABS(P351-Components!$D$2)/Components!$E$2)</f>
        <v/>
      </c>
      <c r="R351" s="67">
        <f>IF(G351="","",ABS(P351-Components!$D$3)/Components!$E$3)</f>
        <v/>
      </c>
      <c r="S351" s="67">
        <f>IF(G351="","",ABS(P351-Components!$D$4)/Components!$E$4)</f>
        <v/>
      </c>
      <c r="T351" s="67">
        <f>IF(G351="","",ABS(P351-Components!$D$5)/Components!$E$5)</f>
        <v/>
      </c>
      <c r="U351" s="67">
        <f>IF(G351="","",ABS(P351-Components!$D$6)/Components!$E$6)</f>
        <v/>
      </c>
      <c r="V351" s="67">
        <f>IF(G351="","",ABS(P351-Components!$D$7)/Components!$E$7)</f>
        <v/>
      </c>
      <c r="W351" s="61">
        <f>IF(G351="","",IF(N351="OK","NONE",INDEX({"S1","S2","W1","W2","N1","N2"},MATCH(MIN(Q351:V351),Q351:V351,0))))</f>
        <v/>
      </c>
      <c r="X351" s="69">
        <f>IF(G351="","",IF(W351=E351,1,0))</f>
        <v/>
      </c>
    </row>
    <row r="352">
      <c r="A352" s="61" t="n">
        <v>46</v>
      </c>
      <c r="B352" s="62" t="n">
        <v>44</v>
      </c>
      <c r="C352" s="61" t="inlineStr">
        <is>
          <t>R6</t>
        </is>
      </c>
      <c r="D352" s="74" t="inlineStr">
        <is>
          <t>NG</t>
        </is>
      </c>
      <c r="E352" s="61" t="inlineStr">
        <is>
          <t>W1</t>
        </is>
      </c>
      <c r="F352" s="61" t="inlineStr">
        <is>
          <t>K046</t>
        </is>
      </c>
      <c r="G352" s="75" t="n">
        <v>7.58</v>
      </c>
      <c r="H352" s="65" t="n"/>
      <c r="I352" s="66" t="n"/>
      <c r="J352" s="67">
        <f>VLOOKUP(C352,Recipes!$A$2:$N$4,10,FALSE())</f>
        <v/>
      </c>
      <c r="K352" s="68">
        <f>VLOOKUP(C352,Recipes!$A$2:$N$4,12,FALSE())</f>
        <v/>
      </c>
      <c r="L352" s="67">
        <f>J352-3*K352</f>
        <v/>
      </c>
      <c r="M352" s="67">
        <f>J352+3*K352</f>
        <v/>
      </c>
      <c r="N352" s="61">
        <f>IF(G352="","",IF(AND(G352&gt;=L352,G352&lt;=M352),"OK","NG"))</f>
        <v/>
      </c>
      <c r="O352" s="69">
        <f>IF(N352="","",IF(N352=D352,1,0))</f>
        <v/>
      </c>
      <c r="P352" s="67">
        <f>IF(G352="","",J352-G352)</f>
        <v/>
      </c>
      <c r="Q352" s="67">
        <f>IF(G352="","",ABS(P352-Components!$D$2)/Components!$E$2)</f>
        <v/>
      </c>
      <c r="R352" s="67">
        <f>IF(G352="","",ABS(P352-Components!$D$3)/Components!$E$3)</f>
        <v/>
      </c>
      <c r="S352" s="67">
        <f>IF(G352="","",ABS(P352-Components!$D$4)/Components!$E$4)</f>
        <v/>
      </c>
      <c r="T352" s="67">
        <f>IF(G352="","",ABS(P352-Components!$D$5)/Components!$E$5)</f>
        <v/>
      </c>
      <c r="U352" s="67">
        <f>IF(G352="","",ABS(P352-Components!$D$6)/Components!$E$6)</f>
        <v/>
      </c>
      <c r="V352" s="67">
        <f>IF(G352="","",ABS(P352-Components!$D$7)/Components!$E$7)</f>
        <v/>
      </c>
      <c r="W352" s="61">
        <f>IF(G352="","",IF(N352="OK","NONE",INDEX({"S1","S2","W1","W2","N1","N2"},MATCH(MIN(Q352:V352),Q352:V352,0))))</f>
        <v/>
      </c>
      <c r="X352" s="71">
        <f>IF(G352="","",IF(W352=E352,1,0))</f>
        <v/>
      </c>
    </row>
    <row r="353">
      <c r="A353" s="61" t="n">
        <v>46</v>
      </c>
      <c r="B353" s="62" t="n">
        <v>44</v>
      </c>
      <c r="C353" s="61" t="inlineStr">
        <is>
          <t>R6</t>
        </is>
      </c>
      <c r="D353" s="74" t="inlineStr">
        <is>
          <t>NG</t>
        </is>
      </c>
      <c r="E353" s="61" t="inlineStr">
        <is>
          <t>W1</t>
        </is>
      </c>
      <c r="F353" s="61" t="inlineStr">
        <is>
          <t>K046</t>
        </is>
      </c>
      <c r="G353" s="75" t="n">
        <v>7.61</v>
      </c>
      <c r="H353" s="65" t="n"/>
      <c r="I353" s="66" t="n"/>
      <c r="J353" s="67">
        <f>VLOOKUP(C353,Recipes!$A$2:$N$4,10,FALSE())</f>
        <v/>
      </c>
      <c r="K353" s="68">
        <f>VLOOKUP(C353,Recipes!$A$2:$N$4,12,FALSE())</f>
        <v/>
      </c>
      <c r="L353" s="67">
        <f>J353-3*K353</f>
        <v/>
      </c>
      <c r="M353" s="67">
        <f>J353+3*K353</f>
        <v/>
      </c>
      <c r="N353" s="61">
        <f>IF(G353="","",IF(AND(G353&gt;=L353,G353&lt;=M353),"OK","NG"))</f>
        <v/>
      </c>
      <c r="O353" s="69">
        <f>IF(N353="","",IF(N353=D353,1,0))</f>
        <v/>
      </c>
      <c r="P353" s="67">
        <f>IF(G353="","",J353-G353)</f>
        <v/>
      </c>
      <c r="Q353" s="67">
        <f>IF(G353="","",ABS(P353-Components!$D$2)/Components!$E$2)</f>
        <v/>
      </c>
      <c r="R353" s="67">
        <f>IF(G353="","",ABS(P353-Components!$D$3)/Components!$E$3)</f>
        <v/>
      </c>
      <c r="S353" s="67">
        <f>IF(G353="","",ABS(P353-Components!$D$4)/Components!$E$4)</f>
        <v/>
      </c>
      <c r="T353" s="67">
        <f>IF(G353="","",ABS(P353-Components!$D$5)/Components!$E$5)</f>
        <v/>
      </c>
      <c r="U353" s="67">
        <f>IF(G353="","",ABS(P353-Components!$D$6)/Components!$E$6)</f>
        <v/>
      </c>
      <c r="V353" s="67">
        <f>IF(G353="","",ABS(P353-Components!$D$7)/Components!$E$7)</f>
        <v/>
      </c>
      <c r="W353" s="61">
        <f>IF(G353="","",IF(N353="OK","NONE",INDEX({"S1","S2","W1","W2","N1","N2"},MATCH(MIN(Q353:V353),Q353:V353,0))))</f>
        <v/>
      </c>
      <c r="X353" s="69">
        <f>IF(G353="","",IF(W353=E353,1,0))</f>
        <v/>
      </c>
    </row>
    <row r="354">
      <c r="A354" s="61" t="n">
        <v>46</v>
      </c>
      <c r="B354" s="62" t="n">
        <v>44</v>
      </c>
      <c r="C354" s="61" t="inlineStr">
        <is>
          <t>R6</t>
        </is>
      </c>
      <c r="D354" s="74" t="inlineStr">
        <is>
          <t>NG</t>
        </is>
      </c>
      <c r="E354" s="61" t="inlineStr">
        <is>
          <t>W1</t>
        </is>
      </c>
      <c r="F354" s="61" t="inlineStr">
        <is>
          <t>K046</t>
        </is>
      </c>
      <c r="G354" s="75" t="n">
        <v>7.67</v>
      </c>
      <c r="H354" s="65" t="n"/>
      <c r="I354" s="66" t="n"/>
      <c r="J354" s="67">
        <f>VLOOKUP(C354,Recipes!$A$2:$N$4,10,FALSE())</f>
        <v/>
      </c>
      <c r="K354" s="68">
        <f>VLOOKUP(C354,Recipes!$A$2:$N$4,12,FALSE())</f>
        <v/>
      </c>
      <c r="L354" s="67">
        <f>J354-3*K354</f>
        <v/>
      </c>
      <c r="M354" s="67">
        <f>J354+3*K354</f>
        <v/>
      </c>
      <c r="N354" s="61">
        <f>IF(G354="","",IF(AND(G354&gt;=L354,G354&lt;=M354),"OK","NG"))</f>
        <v/>
      </c>
      <c r="O354" s="69">
        <f>IF(N354="","",IF(N354=D354,1,0))</f>
        <v/>
      </c>
      <c r="P354" s="67">
        <f>IF(G354="","",J354-G354)</f>
        <v/>
      </c>
      <c r="Q354" s="67">
        <f>IF(G354="","",ABS(P354-Components!$D$2)/Components!$E$2)</f>
        <v/>
      </c>
      <c r="R354" s="67">
        <f>IF(G354="","",ABS(P354-Components!$D$3)/Components!$E$3)</f>
        <v/>
      </c>
      <c r="S354" s="67">
        <f>IF(G354="","",ABS(P354-Components!$D$4)/Components!$E$4)</f>
        <v/>
      </c>
      <c r="T354" s="67">
        <f>IF(G354="","",ABS(P354-Components!$D$5)/Components!$E$5)</f>
        <v/>
      </c>
      <c r="U354" s="67">
        <f>IF(G354="","",ABS(P354-Components!$D$6)/Components!$E$6)</f>
        <v/>
      </c>
      <c r="V354" s="67">
        <f>IF(G354="","",ABS(P354-Components!$D$7)/Components!$E$7)</f>
        <v/>
      </c>
      <c r="W354" s="61">
        <f>IF(G354="","",IF(N354="OK","NONE",INDEX({"S1","S2","W1","W2","N1","N2"},MATCH(MIN(Q354:V354),Q354:V354,0))))</f>
        <v/>
      </c>
      <c r="X354" s="69">
        <f>IF(G354="","",IF(W354=E354,1,0))</f>
        <v/>
      </c>
    </row>
    <row r="355">
      <c r="A355" s="61" t="n">
        <v>46</v>
      </c>
      <c r="B355" s="62" t="n">
        <v>44</v>
      </c>
      <c r="C355" s="61" t="inlineStr">
        <is>
          <t>R6</t>
        </is>
      </c>
      <c r="D355" s="74" t="inlineStr">
        <is>
          <t>NG</t>
        </is>
      </c>
      <c r="E355" s="61" t="inlineStr">
        <is>
          <t>W1</t>
        </is>
      </c>
      <c r="F355" s="61" t="inlineStr">
        <is>
          <t>K046</t>
        </is>
      </c>
      <c r="G355" s="75" t="n">
        <v>7.42</v>
      </c>
      <c r="H355" s="65" t="n"/>
      <c r="I355" s="66" t="n"/>
      <c r="J355" s="67">
        <f>VLOOKUP(C355,Recipes!$A$2:$N$4,10,FALSE())</f>
        <v/>
      </c>
      <c r="K355" s="68">
        <f>VLOOKUP(C355,Recipes!$A$2:$N$4,12,FALSE())</f>
        <v/>
      </c>
      <c r="L355" s="67">
        <f>J355-3*K355</f>
        <v/>
      </c>
      <c r="M355" s="67">
        <f>J355+3*K355</f>
        <v/>
      </c>
      <c r="N355" s="61">
        <f>IF(G355="","",IF(AND(G355&gt;=L355,G355&lt;=M355),"OK","NG"))</f>
        <v/>
      </c>
      <c r="O355" s="69">
        <f>IF(N355="","",IF(N355=D355,1,0))</f>
        <v/>
      </c>
      <c r="P355" s="67">
        <f>IF(G355="","",J355-G355)</f>
        <v/>
      </c>
      <c r="Q355" s="67">
        <f>IF(G355="","",ABS(P355-Components!$D$2)/Components!$E$2)</f>
        <v/>
      </c>
      <c r="R355" s="67">
        <f>IF(G355="","",ABS(P355-Components!$D$3)/Components!$E$3)</f>
        <v/>
      </c>
      <c r="S355" s="67">
        <f>IF(G355="","",ABS(P355-Components!$D$4)/Components!$E$4)</f>
        <v/>
      </c>
      <c r="T355" s="67">
        <f>IF(G355="","",ABS(P355-Components!$D$5)/Components!$E$5)</f>
        <v/>
      </c>
      <c r="U355" s="67">
        <f>IF(G355="","",ABS(P355-Components!$D$6)/Components!$E$6)</f>
        <v/>
      </c>
      <c r="V355" s="67">
        <f>IF(G355="","",ABS(P355-Components!$D$7)/Components!$E$7)</f>
        <v/>
      </c>
      <c r="W355" s="61">
        <f>IF(G355="","",IF(N355="OK","NONE",INDEX({"S1","S2","W1","W2","N1","N2"},MATCH(MIN(Q355:V355),Q355:V355,0))))</f>
        <v/>
      </c>
      <c r="X355" s="71">
        <f>IF(G355="","",IF(W355=E355,1,0))</f>
        <v/>
      </c>
    </row>
    <row r="356">
      <c r="A356" s="61" t="n">
        <v>46</v>
      </c>
      <c r="B356" s="62" t="n">
        <v>44</v>
      </c>
      <c r="C356" s="61" t="inlineStr">
        <is>
          <t>R6</t>
        </is>
      </c>
      <c r="D356" s="74" t="inlineStr">
        <is>
          <t>NG</t>
        </is>
      </c>
      <c r="E356" s="61" t="inlineStr">
        <is>
          <t>W1</t>
        </is>
      </c>
      <c r="F356" s="61" t="inlineStr">
        <is>
          <t>K046</t>
        </is>
      </c>
      <c r="G356" s="75" t="n">
        <v>7.69</v>
      </c>
      <c r="H356" s="65" t="n"/>
      <c r="I356" s="66" t="n"/>
      <c r="J356" s="67">
        <f>VLOOKUP(C356,Recipes!$A$2:$N$4,10,FALSE())</f>
        <v/>
      </c>
      <c r="K356" s="68">
        <f>VLOOKUP(C356,Recipes!$A$2:$N$4,12,FALSE())</f>
        <v/>
      </c>
      <c r="L356" s="67">
        <f>J356-3*K356</f>
        <v/>
      </c>
      <c r="M356" s="67">
        <f>J356+3*K356</f>
        <v/>
      </c>
      <c r="N356" s="61">
        <f>IF(G356="","",IF(AND(G356&gt;=L356,G356&lt;=M356),"OK","NG"))</f>
        <v/>
      </c>
      <c r="O356" s="69">
        <f>IF(N356="","",IF(N356=D356,1,0))</f>
        <v/>
      </c>
      <c r="P356" s="67">
        <f>IF(G356="","",J356-G356)</f>
        <v/>
      </c>
      <c r="Q356" s="67">
        <f>IF(G356="","",ABS(P356-Components!$D$2)/Components!$E$2)</f>
        <v/>
      </c>
      <c r="R356" s="67">
        <f>IF(G356="","",ABS(P356-Components!$D$3)/Components!$E$3)</f>
        <v/>
      </c>
      <c r="S356" s="67">
        <f>IF(G356="","",ABS(P356-Components!$D$4)/Components!$E$4)</f>
        <v/>
      </c>
      <c r="T356" s="67">
        <f>IF(G356="","",ABS(P356-Components!$D$5)/Components!$E$5)</f>
        <v/>
      </c>
      <c r="U356" s="67">
        <f>IF(G356="","",ABS(P356-Components!$D$6)/Components!$E$6)</f>
        <v/>
      </c>
      <c r="V356" s="67">
        <f>IF(G356="","",ABS(P356-Components!$D$7)/Components!$E$7)</f>
        <v/>
      </c>
      <c r="W356" s="61">
        <f>IF(G356="","",IF(N356="OK","NONE",INDEX({"S1","S2","W1","W2","N1","N2"},MATCH(MIN(Q356:V356),Q356:V356,0))))</f>
        <v/>
      </c>
      <c r="X356" s="69">
        <f>IF(G356="","",IF(W356=E356,1,0))</f>
        <v/>
      </c>
    </row>
    <row r="357">
      <c r="A357" s="61" t="n">
        <v>46</v>
      </c>
      <c r="B357" s="62" t="n">
        <v>44</v>
      </c>
      <c r="C357" s="61" t="inlineStr">
        <is>
          <t>R6</t>
        </is>
      </c>
      <c r="D357" s="74" t="inlineStr">
        <is>
          <t>NG</t>
        </is>
      </c>
      <c r="E357" s="61" t="inlineStr">
        <is>
          <t>W1</t>
        </is>
      </c>
      <c r="F357" s="61" t="inlineStr">
        <is>
          <t>K046</t>
        </is>
      </c>
      <c r="G357" s="75" t="n">
        <v>7.63</v>
      </c>
      <c r="H357" s="65" t="n"/>
      <c r="I357" s="66" t="n"/>
      <c r="J357" s="67">
        <f>VLOOKUP(C357,Recipes!$A$2:$N$4,10,FALSE())</f>
        <v/>
      </c>
      <c r="K357" s="68">
        <f>VLOOKUP(C357,Recipes!$A$2:$N$4,12,FALSE())</f>
        <v/>
      </c>
      <c r="L357" s="67">
        <f>J357-3*K357</f>
        <v/>
      </c>
      <c r="M357" s="67">
        <f>J357+3*K357</f>
        <v/>
      </c>
      <c r="N357" s="61">
        <f>IF(G357="","",IF(AND(G357&gt;=L357,G357&lt;=M357),"OK","NG"))</f>
        <v/>
      </c>
      <c r="O357" s="69">
        <f>IF(N357="","",IF(N357=D357,1,0))</f>
        <v/>
      </c>
      <c r="P357" s="67">
        <f>IF(G357="","",J357-G357)</f>
        <v/>
      </c>
      <c r="Q357" s="67">
        <f>IF(G357="","",ABS(P357-Components!$D$2)/Components!$E$2)</f>
        <v/>
      </c>
      <c r="R357" s="67">
        <f>IF(G357="","",ABS(P357-Components!$D$3)/Components!$E$3)</f>
        <v/>
      </c>
      <c r="S357" s="67">
        <f>IF(G357="","",ABS(P357-Components!$D$4)/Components!$E$4)</f>
        <v/>
      </c>
      <c r="T357" s="67">
        <f>IF(G357="","",ABS(P357-Components!$D$5)/Components!$E$5)</f>
        <v/>
      </c>
      <c r="U357" s="67">
        <f>IF(G357="","",ABS(P357-Components!$D$6)/Components!$E$6)</f>
        <v/>
      </c>
      <c r="V357" s="67">
        <f>IF(G357="","",ABS(P357-Components!$D$7)/Components!$E$7)</f>
        <v/>
      </c>
      <c r="W357" s="61">
        <f>IF(G357="","",IF(N357="OK","NONE",INDEX({"S1","S2","W1","W2","N1","N2"},MATCH(MIN(Q357:V357),Q357:V357,0))))</f>
        <v/>
      </c>
      <c r="X357" s="69">
        <f>IF(G357="","",IF(W357=E357,1,0))</f>
        <v/>
      </c>
    </row>
    <row r="358">
      <c r="A358" s="61" t="n">
        <v>46</v>
      </c>
      <c r="B358" s="62" t="n">
        <v>44</v>
      </c>
      <c r="C358" s="61" t="inlineStr">
        <is>
          <t>R6</t>
        </is>
      </c>
      <c r="D358" s="74" t="inlineStr">
        <is>
          <t>NG</t>
        </is>
      </c>
      <c r="E358" s="61" t="inlineStr">
        <is>
          <t>W1</t>
        </is>
      </c>
      <c r="F358" s="61" t="inlineStr">
        <is>
          <t>K046</t>
        </is>
      </c>
      <c r="G358" s="64" t="n">
        <v>7.38</v>
      </c>
      <c r="H358" s="65" t="n"/>
      <c r="I358" s="66" t="n"/>
      <c r="J358" s="67">
        <f>VLOOKUP(C358,Recipes!$A$2:$N$4,10,FALSE())</f>
        <v/>
      </c>
      <c r="K358" s="68">
        <f>VLOOKUP(C358,Recipes!$A$2:$N$4,12,FALSE())</f>
        <v/>
      </c>
      <c r="L358" s="67">
        <f>J358-3*K358</f>
        <v/>
      </c>
      <c r="M358" s="67">
        <f>J358+3*K358</f>
        <v/>
      </c>
      <c r="N358" s="61">
        <f>IF(G358="","",IF(AND(G358&gt;=L358,G358&lt;=M358),"OK","NG"))</f>
        <v/>
      </c>
      <c r="O358" s="69">
        <f>IF(N358="","",IF(N358=D358,1,0))</f>
        <v/>
      </c>
      <c r="P358" s="67">
        <f>IF(G358="","",J358-G358)</f>
        <v/>
      </c>
      <c r="Q358" s="67">
        <f>IF(G358="","",ABS(P358-Components!$D$2)/Components!$E$2)</f>
        <v/>
      </c>
      <c r="R358" s="67">
        <f>IF(G358="","",ABS(P358-Components!$D$3)/Components!$E$3)</f>
        <v/>
      </c>
      <c r="S358" s="67">
        <f>IF(G358="","",ABS(P358-Components!$D$4)/Components!$E$4)</f>
        <v/>
      </c>
      <c r="T358" s="67">
        <f>IF(G358="","",ABS(P358-Components!$D$5)/Components!$E$5)</f>
        <v/>
      </c>
      <c r="U358" s="67">
        <f>IF(G358="","",ABS(P358-Components!$D$6)/Components!$E$6)</f>
        <v/>
      </c>
      <c r="V358" s="67">
        <f>IF(G358="","",ABS(P358-Components!$D$7)/Components!$E$7)</f>
        <v/>
      </c>
      <c r="W358" s="61">
        <f>IF(G358="","",IF(N358="OK","NONE",INDEX({"S1","S2","W1","W2","N1","N2"},MATCH(MIN(Q358:V358),Q358:V358,0))))</f>
        <v/>
      </c>
      <c r="X358" s="71">
        <f>IF(G358="","",IF(W358=E358,1,0))</f>
        <v/>
      </c>
    </row>
    <row r="359">
      <c r="A359" s="61" t="n">
        <v>47</v>
      </c>
      <c r="B359" s="62" t="n">
        <v>7</v>
      </c>
      <c r="C359" s="61" t="inlineStr">
        <is>
          <t>R6</t>
        </is>
      </c>
      <c r="D359" s="74" t="inlineStr">
        <is>
          <t>NG</t>
        </is>
      </c>
      <c r="E359" s="61" t="inlineStr">
        <is>
          <t>W1</t>
        </is>
      </c>
      <c r="F359" s="61" t="inlineStr">
        <is>
          <t>K047</t>
        </is>
      </c>
      <c r="G359" s="64" t="n">
        <v>7.54</v>
      </c>
      <c r="H359" s="65" t="n"/>
      <c r="I359" s="66" t="n"/>
      <c r="J359" s="67">
        <f>VLOOKUP(C359,Recipes!$A$2:$N$4,10,FALSE())</f>
        <v/>
      </c>
      <c r="K359" s="68">
        <f>VLOOKUP(C359,Recipes!$A$2:$N$4,12,FALSE())</f>
        <v/>
      </c>
      <c r="L359" s="67">
        <f>J359-3*K359</f>
        <v/>
      </c>
      <c r="M359" s="67">
        <f>J359+3*K359</f>
        <v/>
      </c>
      <c r="N359" s="61">
        <f>IF(G359="","",IF(AND(G359&gt;=L359,G359&lt;=M359),"OK","NG"))</f>
        <v/>
      </c>
      <c r="O359" s="69">
        <f>IF(N359="","",IF(N359=D359,1,0))</f>
        <v/>
      </c>
      <c r="P359" s="67">
        <f>IF(G359="","",J359-G359)</f>
        <v/>
      </c>
      <c r="Q359" s="67">
        <f>IF(G359="","",ABS(P359-Components!$D$2)/Components!$E$2)</f>
        <v/>
      </c>
      <c r="R359" s="67">
        <f>IF(G359="","",ABS(P359-Components!$D$3)/Components!$E$3)</f>
        <v/>
      </c>
      <c r="S359" s="67">
        <f>IF(G359="","",ABS(P359-Components!$D$4)/Components!$E$4)</f>
        <v/>
      </c>
      <c r="T359" s="67">
        <f>IF(G359="","",ABS(P359-Components!$D$5)/Components!$E$5)</f>
        <v/>
      </c>
      <c r="U359" s="67">
        <f>IF(G359="","",ABS(P359-Components!$D$6)/Components!$E$6)</f>
        <v/>
      </c>
      <c r="V359" s="67">
        <f>IF(G359="","",ABS(P359-Components!$D$7)/Components!$E$7)</f>
        <v/>
      </c>
      <c r="W359" s="61">
        <f>IF(G359="","",IF(N359="OK","NONE",INDEX({"S1","S2","W1","W2","N1","N2"},MATCH(MIN(Q359:V359),Q359:V359,0))))</f>
        <v/>
      </c>
      <c r="X359" s="71">
        <f>IF(G359="","",IF(W359=E359,1,0))</f>
        <v/>
      </c>
    </row>
    <row r="360">
      <c r="A360" s="61" t="n">
        <v>48</v>
      </c>
      <c r="B360" s="62" t="n">
        <v>9</v>
      </c>
      <c r="C360" s="61" t="inlineStr">
        <is>
          <t>R6</t>
        </is>
      </c>
      <c r="D360" s="74" t="inlineStr">
        <is>
          <t>NG</t>
        </is>
      </c>
      <c r="E360" s="61" t="inlineStr">
        <is>
          <t>W1</t>
        </is>
      </c>
      <c r="F360" s="61" t="inlineStr">
        <is>
          <t>K048</t>
        </is>
      </c>
      <c r="G360" s="64" t="n">
        <v>7.65</v>
      </c>
      <c r="H360" s="65" t="n"/>
      <c r="I360" s="66" t="n"/>
      <c r="J360" s="67">
        <f>VLOOKUP(C360,Recipes!$A$2:$N$4,10,FALSE())</f>
        <v/>
      </c>
      <c r="K360" s="68">
        <f>VLOOKUP(C360,Recipes!$A$2:$N$4,12,FALSE())</f>
        <v/>
      </c>
      <c r="L360" s="67">
        <f>J360-3*K360</f>
        <v/>
      </c>
      <c r="M360" s="67">
        <f>J360+3*K360</f>
        <v/>
      </c>
      <c r="N360" s="61">
        <f>IF(G360="","",IF(AND(G360&gt;=L360,G360&lt;=M360),"OK","NG"))</f>
        <v/>
      </c>
      <c r="O360" s="69">
        <f>IF(N360="","",IF(N360=D360,1,0))</f>
        <v/>
      </c>
      <c r="P360" s="67">
        <f>IF(G360="","",J360-G360)</f>
        <v/>
      </c>
      <c r="Q360" s="67">
        <f>IF(G360="","",ABS(P360-Components!$D$2)/Components!$E$2)</f>
        <v/>
      </c>
      <c r="R360" s="67">
        <f>IF(G360="","",ABS(P360-Components!$D$3)/Components!$E$3)</f>
        <v/>
      </c>
      <c r="S360" s="67">
        <f>IF(G360="","",ABS(P360-Components!$D$4)/Components!$E$4)</f>
        <v/>
      </c>
      <c r="T360" s="67">
        <f>IF(G360="","",ABS(P360-Components!$D$5)/Components!$E$5)</f>
        <v/>
      </c>
      <c r="U360" s="67">
        <f>IF(G360="","",ABS(P360-Components!$D$6)/Components!$E$6)</f>
        <v/>
      </c>
      <c r="V360" s="67">
        <f>IF(G360="","",ABS(P360-Components!$D$7)/Components!$E$7)</f>
        <v/>
      </c>
      <c r="W360" s="61">
        <f>IF(G360="","",IF(N360="OK","NONE",INDEX({"S1","S2","W1","W2","N1","N2"},MATCH(MIN(Q360:V360),Q360:V360,0))))</f>
        <v/>
      </c>
      <c r="X360" s="69">
        <f>IF(G360="","",IF(W360=E360,1,0))</f>
        <v/>
      </c>
    </row>
    <row r="361">
      <c r="A361" s="61" t="n">
        <v>49</v>
      </c>
      <c r="B361" s="62" t="n">
        <v>8</v>
      </c>
      <c r="C361" s="61" t="inlineStr">
        <is>
          <t>R6</t>
        </is>
      </c>
      <c r="D361" s="74" t="inlineStr">
        <is>
          <t>NG</t>
        </is>
      </c>
      <c r="E361" s="61" t="inlineStr">
        <is>
          <t>W1</t>
        </is>
      </c>
      <c r="F361" s="61" t="inlineStr">
        <is>
          <t>K054</t>
        </is>
      </c>
      <c r="G361" s="64" t="n">
        <v>7.34</v>
      </c>
      <c r="H361" s="65" t="n"/>
      <c r="I361" s="66" t="n"/>
      <c r="J361" s="67">
        <f>VLOOKUP(C361,Recipes!$A$2:$N$4,10,FALSE())</f>
        <v/>
      </c>
      <c r="K361" s="68">
        <f>VLOOKUP(C361,Recipes!$A$2:$N$4,12,FALSE())</f>
        <v/>
      </c>
      <c r="L361" s="67">
        <f>J361-3*K361</f>
        <v/>
      </c>
      <c r="M361" s="67">
        <f>J361+3*K361</f>
        <v/>
      </c>
      <c r="N361" s="61">
        <f>IF(G361="","",IF(AND(G361&gt;=L361,G361&lt;=M361),"OK","NG"))</f>
        <v/>
      </c>
      <c r="O361" s="69">
        <f>IF(N361="","",IF(N361=D361,1,0))</f>
        <v/>
      </c>
      <c r="P361" s="67">
        <f>IF(G361="","",J361-G361)</f>
        <v/>
      </c>
      <c r="Q361" s="67">
        <f>IF(G361="","",ABS(P361-Components!$D$2)/Components!$E$2)</f>
        <v/>
      </c>
      <c r="R361" s="67">
        <f>IF(G361="","",ABS(P361-Components!$D$3)/Components!$E$3)</f>
        <v/>
      </c>
      <c r="S361" s="67">
        <f>IF(G361="","",ABS(P361-Components!$D$4)/Components!$E$4)</f>
        <v/>
      </c>
      <c r="T361" s="67">
        <f>IF(G361="","",ABS(P361-Components!$D$5)/Components!$E$5)</f>
        <v/>
      </c>
      <c r="U361" s="67">
        <f>IF(G361="","",ABS(P361-Components!$D$6)/Components!$E$6)</f>
        <v/>
      </c>
      <c r="V361" s="67">
        <f>IF(G361="","",ABS(P361-Components!$D$7)/Components!$E$7)</f>
        <v/>
      </c>
      <c r="W361" s="61">
        <f>IF(G361="","",IF(N361="OK","NONE",INDEX({"S1","S2","W1","W2","N1","N2"},MATCH(MIN(Q361:V361),Q361:V361,0))))</f>
        <v/>
      </c>
      <c r="X361" s="71">
        <f>IF(G361="","",IF(W361=E361,1,0))</f>
        <v/>
      </c>
    </row>
    <row r="362">
      <c r="A362" s="61" t="n">
        <v>50</v>
      </c>
      <c r="B362" s="62" t="n">
        <v>41</v>
      </c>
      <c r="C362" s="61" t="inlineStr">
        <is>
          <t>R6</t>
        </is>
      </c>
      <c r="D362" s="74" t="inlineStr">
        <is>
          <t>NG</t>
        </is>
      </c>
      <c r="E362" s="61" t="inlineStr">
        <is>
          <t>W1</t>
        </is>
      </c>
      <c r="F362" s="61" t="inlineStr">
        <is>
          <t>K055</t>
        </is>
      </c>
      <c r="G362" s="64" t="n">
        <v>7.68</v>
      </c>
      <c r="H362" s="65" t="n"/>
      <c r="I362" s="66" t="n"/>
      <c r="J362" s="67">
        <f>VLOOKUP(C362,Recipes!$A$2:$N$4,10,FALSE())</f>
        <v/>
      </c>
      <c r="K362" s="68">
        <f>VLOOKUP(C362,Recipes!$A$2:$N$4,12,FALSE())</f>
        <v/>
      </c>
      <c r="L362" s="67">
        <f>J362-3*K362</f>
        <v/>
      </c>
      <c r="M362" s="67">
        <f>J362+3*K362</f>
        <v/>
      </c>
      <c r="N362" s="61">
        <f>IF(G362="","",IF(AND(G362&gt;=L362,G362&lt;=M362),"OK","NG"))</f>
        <v/>
      </c>
      <c r="O362" s="69">
        <f>IF(N362="","",IF(N362=D362,1,0))</f>
        <v/>
      </c>
      <c r="P362" s="67">
        <f>IF(G362="","",J362-G362)</f>
        <v/>
      </c>
      <c r="Q362" s="67">
        <f>IF(G362="","",ABS(P362-Components!$D$2)/Components!$E$2)</f>
        <v/>
      </c>
      <c r="R362" s="67">
        <f>IF(G362="","",ABS(P362-Components!$D$3)/Components!$E$3)</f>
        <v/>
      </c>
      <c r="S362" s="67">
        <f>IF(G362="","",ABS(P362-Components!$D$4)/Components!$E$4)</f>
        <v/>
      </c>
      <c r="T362" s="67">
        <f>IF(G362="","",ABS(P362-Components!$D$5)/Components!$E$5)</f>
        <v/>
      </c>
      <c r="U362" s="67">
        <f>IF(G362="","",ABS(P362-Components!$D$6)/Components!$E$6)</f>
        <v/>
      </c>
      <c r="V362" s="67">
        <f>IF(G362="","",ABS(P362-Components!$D$7)/Components!$E$7)</f>
        <v/>
      </c>
      <c r="W362" s="61">
        <f>IF(G362="","",IF(N362="OK","NONE",INDEX({"S1","S2","W1","W2","N1","N2"},MATCH(MIN(Q362:V362),Q362:V362,0))))</f>
        <v/>
      </c>
      <c r="X362" s="69">
        <f>IF(G362="","",IF(W362=E362,1,0))</f>
        <v/>
      </c>
    </row>
    <row r="363">
      <c r="A363" s="61" t="n">
        <v>51</v>
      </c>
      <c r="B363" s="62" t="n">
        <v>15</v>
      </c>
      <c r="C363" s="61" t="inlineStr">
        <is>
          <t>R6</t>
        </is>
      </c>
      <c r="D363" s="74" t="inlineStr">
        <is>
          <t>NG</t>
        </is>
      </c>
      <c r="E363" s="61" t="inlineStr">
        <is>
          <t>N2</t>
        </is>
      </c>
      <c r="F363" s="61" t="inlineStr">
        <is>
          <t>K049</t>
        </is>
      </c>
      <c r="G363" s="75" t="n">
        <v>7.21</v>
      </c>
      <c r="H363" s="65" t="n"/>
      <c r="I363" s="66" t="n"/>
      <c r="J363" s="67">
        <f>VLOOKUP(C363,Recipes!$A$2:$N$4,10,FALSE())</f>
        <v/>
      </c>
      <c r="K363" s="68">
        <f>VLOOKUP(C363,Recipes!$A$2:$N$4,12,FALSE())</f>
        <v/>
      </c>
      <c r="L363" s="67">
        <f>J363-3*K363</f>
        <v/>
      </c>
      <c r="M363" s="67">
        <f>J363+3*K363</f>
        <v/>
      </c>
      <c r="N363" s="61">
        <f>IF(G363="","",IF(AND(G363&gt;=L363,G363&lt;=M363),"OK","NG"))</f>
        <v/>
      </c>
      <c r="O363" s="69">
        <f>IF(N363="","",IF(N363=D363,1,0))</f>
        <v/>
      </c>
      <c r="P363" s="67">
        <f>IF(G363="","",J363-G363)</f>
        <v/>
      </c>
      <c r="Q363" s="67">
        <f>IF(G363="","",ABS(P363-Components!$D$2)/Components!$E$2)</f>
        <v/>
      </c>
      <c r="R363" s="67">
        <f>IF(G363="","",ABS(P363-Components!$D$3)/Components!$E$3)</f>
        <v/>
      </c>
      <c r="S363" s="67">
        <f>IF(G363="","",ABS(P363-Components!$D$4)/Components!$E$4)</f>
        <v/>
      </c>
      <c r="T363" s="67">
        <f>IF(G363="","",ABS(P363-Components!$D$5)/Components!$E$5)</f>
        <v/>
      </c>
      <c r="U363" s="67">
        <f>IF(G363="","",ABS(P363-Components!$D$6)/Components!$E$6)</f>
        <v/>
      </c>
      <c r="V363" s="67">
        <f>IF(G363="","",ABS(P363-Components!$D$7)/Components!$E$7)</f>
        <v/>
      </c>
      <c r="W363" s="61">
        <f>IF(G363="","",IF(N363="OK","NONE",INDEX({"S1","S2","W1","W2","N1","N2"},MATCH(MIN(Q363:V363),Q363:V363,0))))</f>
        <v/>
      </c>
      <c r="X363" s="69">
        <f>IF(G363="","",IF(W363=E363,1,0))</f>
        <v/>
      </c>
    </row>
    <row r="364">
      <c r="A364" s="61" t="n">
        <v>51</v>
      </c>
      <c r="B364" s="62" t="n">
        <v>15</v>
      </c>
      <c r="C364" s="61" t="inlineStr">
        <is>
          <t>R6</t>
        </is>
      </c>
      <c r="D364" s="74" t="inlineStr">
        <is>
          <t>NG</t>
        </is>
      </c>
      <c r="E364" s="61" t="inlineStr">
        <is>
          <t>N2</t>
        </is>
      </c>
      <c r="F364" s="61" t="inlineStr">
        <is>
          <t>K049</t>
        </is>
      </c>
      <c r="G364" s="75" t="n">
        <v>7.27</v>
      </c>
      <c r="H364" s="65" t="n"/>
      <c r="I364" s="66" t="n"/>
      <c r="J364" s="67">
        <f>VLOOKUP(C364,Recipes!$A$2:$N$4,10,FALSE())</f>
        <v/>
      </c>
      <c r="K364" s="68">
        <f>VLOOKUP(C364,Recipes!$A$2:$N$4,12,FALSE())</f>
        <v/>
      </c>
      <c r="L364" s="67">
        <f>J364-3*K364</f>
        <v/>
      </c>
      <c r="M364" s="67">
        <f>J364+3*K364</f>
        <v/>
      </c>
      <c r="N364" s="61">
        <f>IF(G364="","",IF(AND(G364&gt;=L364,G364&lt;=M364),"OK","NG"))</f>
        <v/>
      </c>
      <c r="O364" s="69">
        <f>IF(N364="","",IF(N364=D364,1,0))</f>
        <v/>
      </c>
      <c r="P364" s="67">
        <f>IF(G364="","",J364-G364)</f>
        <v/>
      </c>
      <c r="Q364" s="67">
        <f>IF(G364="","",ABS(P364-Components!$D$2)/Components!$E$2)</f>
        <v/>
      </c>
      <c r="R364" s="67">
        <f>IF(G364="","",ABS(P364-Components!$D$3)/Components!$E$3)</f>
        <v/>
      </c>
      <c r="S364" s="67">
        <f>IF(G364="","",ABS(P364-Components!$D$4)/Components!$E$4)</f>
        <v/>
      </c>
      <c r="T364" s="67">
        <f>IF(G364="","",ABS(P364-Components!$D$5)/Components!$E$5)</f>
        <v/>
      </c>
      <c r="U364" s="67">
        <f>IF(G364="","",ABS(P364-Components!$D$6)/Components!$E$6)</f>
        <v/>
      </c>
      <c r="V364" s="67">
        <f>IF(G364="","",ABS(P364-Components!$D$7)/Components!$E$7)</f>
        <v/>
      </c>
      <c r="W364" s="61">
        <f>IF(G364="","",IF(N364="OK","NONE",INDEX({"S1","S2","W1","W2","N1","N2"},MATCH(MIN(Q364:V364),Q364:V364,0))))</f>
        <v/>
      </c>
      <c r="X364" s="69">
        <f>IF(G364="","",IF(W364=E364,1,0))</f>
        <v/>
      </c>
    </row>
    <row r="365">
      <c r="A365" s="61" t="n">
        <v>51</v>
      </c>
      <c r="B365" s="62" t="n">
        <v>15</v>
      </c>
      <c r="C365" s="61" t="inlineStr">
        <is>
          <t>R6</t>
        </is>
      </c>
      <c r="D365" s="74" t="inlineStr">
        <is>
          <t>NG</t>
        </is>
      </c>
      <c r="E365" s="61" t="inlineStr">
        <is>
          <t>N2</t>
        </is>
      </c>
      <c r="F365" s="61" t="inlineStr">
        <is>
          <t>K049</t>
        </is>
      </c>
      <c r="G365" s="75" t="n">
        <v>7.3</v>
      </c>
      <c r="H365" s="65" t="n"/>
      <c r="I365" s="66" t="n"/>
      <c r="J365" s="67">
        <f>VLOOKUP(C365,Recipes!$A$2:$N$4,10,FALSE())</f>
        <v/>
      </c>
      <c r="K365" s="68">
        <f>VLOOKUP(C365,Recipes!$A$2:$N$4,12,FALSE())</f>
        <v/>
      </c>
      <c r="L365" s="67">
        <f>J365-3*K365</f>
        <v/>
      </c>
      <c r="M365" s="67">
        <f>J365+3*K365</f>
        <v/>
      </c>
      <c r="N365" s="61">
        <f>IF(G365="","",IF(AND(G365&gt;=L365,G365&lt;=M365),"OK","NG"))</f>
        <v/>
      </c>
      <c r="O365" s="69">
        <f>IF(N365="","",IF(N365=D365,1,0))</f>
        <v/>
      </c>
      <c r="P365" s="67">
        <f>IF(G365="","",J365-G365)</f>
        <v/>
      </c>
      <c r="Q365" s="67">
        <f>IF(G365="","",ABS(P365-Components!$D$2)/Components!$E$2)</f>
        <v/>
      </c>
      <c r="R365" s="67">
        <f>IF(G365="","",ABS(P365-Components!$D$3)/Components!$E$3)</f>
        <v/>
      </c>
      <c r="S365" s="67">
        <f>IF(G365="","",ABS(P365-Components!$D$4)/Components!$E$4)</f>
        <v/>
      </c>
      <c r="T365" s="67">
        <f>IF(G365="","",ABS(P365-Components!$D$5)/Components!$E$5)</f>
        <v/>
      </c>
      <c r="U365" s="67">
        <f>IF(G365="","",ABS(P365-Components!$D$6)/Components!$E$6)</f>
        <v/>
      </c>
      <c r="V365" s="67">
        <f>IF(G365="","",ABS(P365-Components!$D$7)/Components!$E$7)</f>
        <v/>
      </c>
      <c r="W365" s="61">
        <f>IF(G365="","",IF(N365="OK","NONE",INDEX({"S1","S2","W1","W2","N1","N2"},MATCH(MIN(Q365:V365),Q365:V365,0))))</f>
        <v/>
      </c>
      <c r="X365" s="69">
        <f>IF(G365="","",IF(W365=E365,1,0))</f>
        <v/>
      </c>
    </row>
    <row r="366">
      <c r="A366" s="61" t="n">
        <v>51</v>
      </c>
      <c r="B366" s="62" t="n">
        <v>15</v>
      </c>
      <c r="C366" s="61" t="inlineStr">
        <is>
          <t>R6</t>
        </is>
      </c>
      <c r="D366" s="74" t="inlineStr">
        <is>
          <t>NG</t>
        </is>
      </c>
      <c r="E366" s="61" t="inlineStr">
        <is>
          <t>N2</t>
        </is>
      </c>
      <c r="F366" s="61" t="inlineStr">
        <is>
          <t>K049</t>
        </is>
      </c>
      <c r="G366" s="75" t="n">
        <v>7.31</v>
      </c>
      <c r="H366" s="65" t="n"/>
      <c r="I366" s="66" t="n"/>
      <c r="J366" s="67">
        <f>VLOOKUP(C366,Recipes!$A$2:$N$4,10,FALSE())</f>
        <v/>
      </c>
      <c r="K366" s="68">
        <f>VLOOKUP(C366,Recipes!$A$2:$N$4,12,FALSE())</f>
        <v/>
      </c>
      <c r="L366" s="67">
        <f>J366-3*K366</f>
        <v/>
      </c>
      <c r="M366" s="67">
        <f>J366+3*K366</f>
        <v/>
      </c>
      <c r="N366" s="61">
        <f>IF(G366="","",IF(AND(G366&gt;=L366,G366&lt;=M366),"OK","NG"))</f>
        <v/>
      </c>
      <c r="O366" s="69">
        <f>IF(N366="","",IF(N366=D366,1,0))</f>
        <v/>
      </c>
      <c r="P366" s="67">
        <f>IF(G366="","",J366-G366)</f>
        <v/>
      </c>
      <c r="Q366" s="67">
        <f>IF(G366="","",ABS(P366-Components!$D$2)/Components!$E$2)</f>
        <v/>
      </c>
      <c r="R366" s="67">
        <f>IF(G366="","",ABS(P366-Components!$D$3)/Components!$E$3)</f>
        <v/>
      </c>
      <c r="S366" s="67">
        <f>IF(G366="","",ABS(P366-Components!$D$4)/Components!$E$4)</f>
        <v/>
      </c>
      <c r="T366" s="67">
        <f>IF(G366="","",ABS(P366-Components!$D$5)/Components!$E$5)</f>
        <v/>
      </c>
      <c r="U366" s="67">
        <f>IF(G366="","",ABS(P366-Components!$D$6)/Components!$E$6)</f>
        <v/>
      </c>
      <c r="V366" s="67">
        <f>IF(G366="","",ABS(P366-Components!$D$7)/Components!$E$7)</f>
        <v/>
      </c>
      <c r="W366" s="61">
        <f>IF(G366="","",IF(N366="OK","NONE",INDEX({"S1","S2","W1","W2","N1","N2"},MATCH(MIN(Q366:V366),Q366:V366,0))))</f>
        <v/>
      </c>
      <c r="X366" s="69">
        <f>IF(G366="","",IF(W366=E366,1,0))</f>
        <v/>
      </c>
    </row>
    <row r="367">
      <c r="A367" s="61" t="n">
        <v>51</v>
      </c>
      <c r="B367" s="62" t="n">
        <v>15</v>
      </c>
      <c r="C367" s="61" t="inlineStr">
        <is>
          <t>R6</t>
        </is>
      </c>
      <c r="D367" s="74" t="inlineStr">
        <is>
          <t>NG</t>
        </is>
      </c>
      <c r="E367" s="61" t="inlineStr">
        <is>
          <t>N2</t>
        </is>
      </c>
      <c r="F367" s="61" t="inlineStr">
        <is>
          <t>K049</t>
        </is>
      </c>
      <c r="G367" s="75" t="n">
        <v>7.17</v>
      </c>
      <c r="H367" s="65" t="n"/>
      <c r="I367" s="66" t="n"/>
      <c r="J367" s="67">
        <f>VLOOKUP(C367,Recipes!$A$2:$N$4,10,FALSE())</f>
        <v/>
      </c>
      <c r="K367" s="68">
        <f>VLOOKUP(C367,Recipes!$A$2:$N$4,12,FALSE())</f>
        <v/>
      </c>
      <c r="L367" s="67">
        <f>J367-3*K367</f>
        <v/>
      </c>
      <c r="M367" s="67">
        <f>J367+3*K367</f>
        <v/>
      </c>
      <c r="N367" s="61">
        <f>IF(G367="","",IF(AND(G367&gt;=L367,G367&lt;=M367),"OK","NG"))</f>
        <v/>
      </c>
      <c r="O367" s="69">
        <f>IF(N367="","",IF(N367=D367,1,0))</f>
        <v/>
      </c>
      <c r="P367" s="67">
        <f>IF(G367="","",J367-G367)</f>
        <v/>
      </c>
      <c r="Q367" s="67">
        <f>IF(G367="","",ABS(P367-Components!$D$2)/Components!$E$2)</f>
        <v/>
      </c>
      <c r="R367" s="67">
        <f>IF(G367="","",ABS(P367-Components!$D$3)/Components!$E$3)</f>
        <v/>
      </c>
      <c r="S367" s="67">
        <f>IF(G367="","",ABS(P367-Components!$D$4)/Components!$E$4)</f>
        <v/>
      </c>
      <c r="T367" s="67">
        <f>IF(G367="","",ABS(P367-Components!$D$5)/Components!$E$5)</f>
        <v/>
      </c>
      <c r="U367" s="67">
        <f>IF(G367="","",ABS(P367-Components!$D$6)/Components!$E$6)</f>
        <v/>
      </c>
      <c r="V367" s="67">
        <f>IF(G367="","",ABS(P367-Components!$D$7)/Components!$E$7)</f>
        <v/>
      </c>
      <c r="W367" s="61">
        <f>IF(G367="","",IF(N367="OK","NONE",INDEX({"S1","S2","W1","W2","N1","N2"},MATCH(MIN(Q367:V367),Q367:V367,0))))</f>
        <v/>
      </c>
      <c r="X367" s="69">
        <f>IF(G367="","",IF(W367=E367,1,0))</f>
        <v/>
      </c>
    </row>
    <row r="368">
      <c r="A368" s="61" t="n">
        <v>51</v>
      </c>
      <c r="B368" s="62" t="n">
        <v>15</v>
      </c>
      <c r="C368" s="61" t="inlineStr">
        <is>
          <t>R6</t>
        </is>
      </c>
      <c r="D368" s="74" t="inlineStr">
        <is>
          <t>NG</t>
        </is>
      </c>
      <c r="E368" s="61" t="inlineStr">
        <is>
          <t>N2</t>
        </is>
      </c>
      <c r="F368" s="61" t="inlineStr">
        <is>
          <t>K049</t>
        </is>
      </c>
      <c r="G368" s="75" t="n">
        <v>7.23</v>
      </c>
      <c r="H368" s="65" t="n"/>
      <c r="I368" s="66" t="n"/>
      <c r="J368" s="67">
        <f>VLOOKUP(C368,Recipes!$A$2:$N$4,10,FALSE())</f>
        <v/>
      </c>
      <c r="K368" s="68">
        <f>VLOOKUP(C368,Recipes!$A$2:$N$4,12,FALSE())</f>
        <v/>
      </c>
      <c r="L368" s="67">
        <f>J368-3*K368</f>
        <v/>
      </c>
      <c r="M368" s="67">
        <f>J368+3*K368</f>
        <v/>
      </c>
      <c r="N368" s="61">
        <f>IF(G368="","",IF(AND(G368&gt;=L368,G368&lt;=M368),"OK","NG"))</f>
        <v/>
      </c>
      <c r="O368" s="69">
        <f>IF(N368="","",IF(N368=D368,1,0))</f>
        <v/>
      </c>
      <c r="P368" s="67">
        <f>IF(G368="","",J368-G368)</f>
        <v/>
      </c>
      <c r="Q368" s="67">
        <f>IF(G368="","",ABS(P368-Components!$D$2)/Components!$E$2)</f>
        <v/>
      </c>
      <c r="R368" s="67">
        <f>IF(G368="","",ABS(P368-Components!$D$3)/Components!$E$3)</f>
        <v/>
      </c>
      <c r="S368" s="67">
        <f>IF(G368="","",ABS(P368-Components!$D$4)/Components!$E$4)</f>
        <v/>
      </c>
      <c r="T368" s="67">
        <f>IF(G368="","",ABS(P368-Components!$D$5)/Components!$E$5)</f>
        <v/>
      </c>
      <c r="U368" s="67">
        <f>IF(G368="","",ABS(P368-Components!$D$6)/Components!$E$6)</f>
        <v/>
      </c>
      <c r="V368" s="67">
        <f>IF(G368="","",ABS(P368-Components!$D$7)/Components!$E$7)</f>
        <v/>
      </c>
      <c r="W368" s="61">
        <f>IF(G368="","",IF(N368="OK","NONE",INDEX({"S1","S2","W1","W2","N1","N2"},MATCH(MIN(Q368:V368),Q368:V368,0))))</f>
        <v/>
      </c>
      <c r="X368" s="69">
        <f>IF(G368="","",IF(W368=E368,1,0))</f>
        <v/>
      </c>
    </row>
    <row r="369">
      <c r="A369" s="61" t="n">
        <v>51</v>
      </c>
      <c r="B369" s="62" t="n">
        <v>15</v>
      </c>
      <c r="C369" s="61" t="inlineStr">
        <is>
          <t>R6</t>
        </is>
      </c>
      <c r="D369" s="74" t="inlineStr">
        <is>
          <t>NG</t>
        </is>
      </c>
      <c r="E369" s="61" t="inlineStr">
        <is>
          <t>N2</t>
        </is>
      </c>
      <c r="F369" s="61" t="inlineStr">
        <is>
          <t>K049</t>
        </is>
      </c>
      <c r="G369" s="75" t="n">
        <v>7.23</v>
      </c>
      <c r="H369" s="65" t="n"/>
      <c r="I369" s="66" t="n"/>
      <c r="J369" s="67">
        <f>VLOOKUP(C369,Recipes!$A$2:$N$4,10,FALSE())</f>
        <v/>
      </c>
      <c r="K369" s="68">
        <f>VLOOKUP(C369,Recipes!$A$2:$N$4,12,FALSE())</f>
        <v/>
      </c>
      <c r="L369" s="67">
        <f>J369-3*K369</f>
        <v/>
      </c>
      <c r="M369" s="67">
        <f>J369+3*K369</f>
        <v/>
      </c>
      <c r="N369" s="61">
        <f>IF(G369="","",IF(AND(G369&gt;=L369,G369&lt;=M369),"OK","NG"))</f>
        <v/>
      </c>
      <c r="O369" s="69">
        <f>IF(N369="","",IF(N369=D369,1,0))</f>
        <v/>
      </c>
      <c r="P369" s="67">
        <f>IF(G369="","",J369-G369)</f>
        <v/>
      </c>
      <c r="Q369" s="67">
        <f>IF(G369="","",ABS(P369-Components!$D$2)/Components!$E$2)</f>
        <v/>
      </c>
      <c r="R369" s="67">
        <f>IF(G369="","",ABS(P369-Components!$D$3)/Components!$E$3)</f>
        <v/>
      </c>
      <c r="S369" s="67">
        <f>IF(G369="","",ABS(P369-Components!$D$4)/Components!$E$4)</f>
        <v/>
      </c>
      <c r="T369" s="67">
        <f>IF(G369="","",ABS(P369-Components!$D$5)/Components!$E$5)</f>
        <v/>
      </c>
      <c r="U369" s="67">
        <f>IF(G369="","",ABS(P369-Components!$D$6)/Components!$E$6)</f>
        <v/>
      </c>
      <c r="V369" s="67">
        <f>IF(G369="","",ABS(P369-Components!$D$7)/Components!$E$7)</f>
        <v/>
      </c>
      <c r="W369" s="61">
        <f>IF(G369="","",IF(N369="OK","NONE",INDEX({"S1","S2","W1","W2","N1","N2"},MATCH(MIN(Q369:V369),Q369:V369,0))))</f>
        <v/>
      </c>
      <c r="X369" s="69">
        <f>IF(G369="","",IF(W369=E369,1,0))</f>
        <v/>
      </c>
    </row>
    <row r="370">
      <c r="A370" s="61" t="n">
        <v>51</v>
      </c>
      <c r="B370" s="62" t="n">
        <v>15</v>
      </c>
      <c r="C370" s="61" t="inlineStr">
        <is>
          <t>R6</t>
        </is>
      </c>
      <c r="D370" s="74" t="inlineStr">
        <is>
          <t>NG</t>
        </is>
      </c>
      <c r="E370" s="61" t="inlineStr">
        <is>
          <t>N2</t>
        </is>
      </c>
      <c r="F370" s="61" t="inlineStr">
        <is>
          <t>K049</t>
        </is>
      </c>
      <c r="G370" s="75" t="n">
        <v>7.3</v>
      </c>
      <c r="H370" s="65" t="n"/>
      <c r="I370" s="66" t="n"/>
      <c r="J370" s="67">
        <f>VLOOKUP(C370,Recipes!$A$2:$N$4,10,FALSE())</f>
        <v/>
      </c>
      <c r="K370" s="68">
        <f>VLOOKUP(C370,Recipes!$A$2:$N$4,12,FALSE())</f>
        <v/>
      </c>
      <c r="L370" s="67">
        <f>J370-3*K370</f>
        <v/>
      </c>
      <c r="M370" s="67">
        <f>J370+3*K370</f>
        <v/>
      </c>
      <c r="N370" s="61">
        <f>IF(G370="","",IF(AND(G370&gt;=L370,G370&lt;=M370),"OK","NG"))</f>
        <v/>
      </c>
      <c r="O370" s="69">
        <f>IF(N370="","",IF(N370=D370,1,0))</f>
        <v/>
      </c>
      <c r="P370" s="67">
        <f>IF(G370="","",J370-G370)</f>
        <v/>
      </c>
      <c r="Q370" s="67">
        <f>IF(G370="","",ABS(P370-Components!$D$2)/Components!$E$2)</f>
        <v/>
      </c>
      <c r="R370" s="67">
        <f>IF(G370="","",ABS(P370-Components!$D$3)/Components!$E$3)</f>
        <v/>
      </c>
      <c r="S370" s="67">
        <f>IF(G370="","",ABS(P370-Components!$D$4)/Components!$E$4)</f>
        <v/>
      </c>
      <c r="T370" s="67">
        <f>IF(G370="","",ABS(P370-Components!$D$5)/Components!$E$5)</f>
        <v/>
      </c>
      <c r="U370" s="67">
        <f>IF(G370="","",ABS(P370-Components!$D$6)/Components!$E$6)</f>
        <v/>
      </c>
      <c r="V370" s="67">
        <f>IF(G370="","",ABS(P370-Components!$D$7)/Components!$E$7)</f>
        <v/>
      </c>
      <c r="W370" s="61">
        <f>IF(G370="","",IF(N370="OK","NONE",INDEX({"S1","S2","W1","W2","N1","N2"},MATCH(MIN(Q370:V370),Q370:V370,0))))</f>
        <v/>
      </c>
      <c r="X370" s="69">
        <f>IF(G370="","",IF(W370=E370,1,0))</f>
        <v/>
      </c>
    </row>
    <row r="371">
      <c r="A371" s="61" t="n">
        <v>51</v>
      </c>
      <c r="B371" s="62" t="n">
        <v>15</v>
      </c>
      <c r="C371" s="61" t="inlineStr">
        <is>
          <t>R6</t>
        </is>
      </c>
      <c r="D371" s="74" t="inlineStr">
        <is>
          <t>NG</t>
        </is>
      </c>
      <c r="E371" s="61" t="inlineStr">
        <is>
          <t>N2</t>
        </is>
      </c>
      <c r="F371" s="61" t="inlineStr">
        <is>
          <t>K049</t>
        </is>
      </c>
      <c r="G371" s="75" t="n">
        <v>7.25</v>
      </c>
      <c r="H371" s="65" t="n"/>
      <c r="I371" s="66" t="n"/>
      <c r="J371" s="67">
        <f>VLOOKUP(C371,Recipes!$A$2:$N$4,10,FALSE())</f>
        <v/>
      </c>
      <c r="K371" s="68">
        <f>VLOOKUP(C371,Recipes!$A$2:$N$4,12,FALSE())</f>
        <v/>
      </c>
      <c r="L371" s="67">
        <f>J371-3*K371</f>
        <v/>
      </c>
      <c r="M371" s="67">
        <f>J371+3*K371</f>
        <v/>
      </c>
      <c r="N371" s="61">
        <f>IF(G371="","",IF(AND(G371&gt;=L371,G371&lt;=M371),"OK","NG"))</f>
        <v/>
      </c>
      <c r="O371" s="69">
        <f>IF(N371="","",IF(N371=D371,1,0))</f>
        <v/>
      </c>
      <c r="P371" s="67">
        <f>IF(G371="","",J371-G371)</f>
        <v/>
      </c>
      <c r="Q371" s="67">
        <f>IF(G371="","",ABS(P371-Components!$D$2)/Components!$E$2)</f>
        <v/>
      </c>
      <c r="R371" s="67">
        <f>IF(G371="","",ABS(P371-Components!$D$3)/Components!$E$3)</f>
        <v/>
      </c>
      <c r="S371" s="67">
        <f>IF(G371="","",ABS(P371-Components!$D$4)/Components!$E$4)</f>
        <v/>
      </c>
      <c r="T371" s="67">
        <f>IF(G371="","",ABS(P371-Components!$D$5)/Components!$E$5)</f>
        <v/>
      </c>
      <c r="U371" s="67">
        <f>IF(G371="","",ABS(P371-Components!$D$6)/Components!$E$6)</f>
        <v/>
      </c>
      <c r="V371" s="67">
        <f>IF(G371="","",ABS(P371-Components!$D$7)/Components!$E$7)</f>
        <v/>
      </c>
      <c r="W371" s="61">
        <f>IF(G371="","",IF(N371="OK","NONE",INDEX({"S1","S2","W1","W2","N1","N2"},MATCH(MIN(Q371:V371),Q371:V371,0))))</f>
        <v/>
      </c>
      <c r="X371" s="69">
        <f>IF(G371="","",IF(W371=E371,1,0))</f>
        <v/>
      </c>
    </row>
    <row r="372">
      <c r="A372" s="61" t="n">
        <v>51</v>
      </c>
      <c r="B372" s="62" t="n">
        <v>15</v>
      </c>
      <c r="C372" s="61" t="inlineStr">
        <is>
          <t>R6</t>
        </is>
      </c>
      <c r="D372" s="74" t="inlineStr">
        <is>
          <t>NG</t>
        </is>
      </c>
      <c r="E372" s="61" t="inlineStr">
        <is>
          <t>N2</t>
        </is>
      </c>
      <c r="F372" s="61" t="inlineStr">
        <is>
          <t>K049</t>
        </is>
      </c>
      <c r="G372" s="75" t="n">
        <v>7.25</v>
      </c>
      <c r="H372" s="65" t="n"/>
      <c r="I372" s="66" t="n"/>
      <c r="J372" s="67">
        <f>VLOOKUP(C372,Recipes!$A$2:$N$4,10,FALSE())</f>
        <v/>
      </c>
      <c r="K372" s="68">
        <f>VLOOKUP(C372,Recipes!$A$2:$N$4,12,FALSE())</f>
        <v/>
      </c>
      <c r="L372" s="67">
        <f>J372-3*K372</f>
        <v/>
      </c>
      <c r="M372" s="67">
        <f>J372+3*K372</f>
        <v/>
      </c>
      <c r="N372" s="61">
        <f>IF(G372="","",IF(AND(G372&gt;=L372,G372&lt;=M372),"OK","NG"))</f>
        <v/>
      </c>
      <c r="O372" s="69">
        <f>IF(N372="","",IF(N372=D372,1,0))</f>
        <v/>
      </c>
      <c r="P372" s="67">
        <f>IF(G372="","",J372-G372)</f>
        <v/>
      </c>
      <c r="Q372" s="67">
        <f>IF(G372="","",ABS(P372-Components!$D$2)/Components!$E$2)</f>
        <v/>
      </c>
      <c r="R372" s="67">
        <f>IF(G372="","",ABS(P372-Components!$D$3)/Components!$E$3)</f>
        <v/>
      </c>
      <c r="S372" s="67">
        <f>IF(G372="","",ABS(P372-Components!$D$4)/Components!$E$4)</f>
        <v/>
      </c>
      <c r="T372" s="67">
        <f>IF(G372="","",ABS(P372-Components!$D$5)/Components!$E$5)</f>
        <v/>
      </c>
      <c r="U372" s="67">
        <f>IF(G372="","",ABS(P372-Components!$D$6)/Components!$E$6)</f>
        <v/>
      </c>
      <c r="V372" s="67">
        <f>IF(G372="","",ABS(P372-Components!$D$7)/Components!$E$7)</f>
        <v/>
      </c>
      <c r="W372" s="61">
        <f>IF(G372="","",IF(N372="OK","NONE",INDEX({"S1","S2","W1","W2","N1","N2"},MATCH(MIN(Q372:V372),Q372:V372,0))))</f>
        <v/>
      </c>
      <c r="X372" s="69">
        <f>IF(G372="","",IF(W372=E372,1,0))</f>
        <v/>
      </c>
    </row>
    <row r="373">
      <c r="A373" s="61" t="n">
        <v>51</v>
      </c>
      <c r="B373" s="62" t="n">
        <v>15</v>
      </c>
      <c r="C373" s="61" t="inlineStr">
        <is>
          <t>R6</t>
        </is>
      </c>
      <c r="D373" s="74" t="inlineStr">
        <is>
          <t>NG</t>
        </is>
      </c>
      <c r="E373" s="61" t="inlineStr">
        <is>
          <t>N2</t>
        </is>
      </c>
      <c r="F373" s="61" t="inlineStr">
        <is>
          <t>K049</t>
        </is>
      </c>
      <c r="G373" s="75" t="n">
        <v>7.19</v>
      </c>
      <c r="H373" s="65" t="n"/>
      <c r="I373" s="66" t="n"/>
      <c r="J373" s="67">
        <f>VLOOKUP(C373,Recipes!$A$2:$N$4,10,FALSE())</f>
        <v/>
      </c>
      <c r="K373" s="68">
        <f>VLOOKUP(C373,Recipes!$A$2:$N$4,12,FALSE())</f>
        <v/>
      </c>
      <c r="L373" s="67">
        <f>J373-3*K373</f>
        <v/>
      </c>
      <c r="M373" s="67">
        <f>J373+3*K373</f>
        <v/>
      </c>
      <c r="N373" s="61">
        <f>IF(G373="","",IF(AND(G373&gt;=L373,G373&lt;=M373),"OK","NG"))</f>
        <v/>
      </c>
      <c r="O373" s="69">
        <f>IF(N373="","",IF(N373=D373,1,0))</f>
        <v/>
      </c>
      <c r="P373" s="67">
        <f>IF(G373="","",J373-G373)</f>
        <v/>
      </c>
      <c r="Q373" s="67">
        <f>IF(G373="","",ABS(P373-Components!$D$2)/Components!$E$2)</f>
        <v/>
      </c>
      <c r="R373" s="67">
        <f>IF(G373="","",ABS(P373-Components!$D$3)/Components!$E$3)</f>
        <v/>
      </c>
      <c r="S373" s="67">
        <f>IF(G373="","",ABS(P373-Components!$D$4)/Components!$E$4)</f>
        <v/>
      </c>
      <c r="T373" s="67">
        <f>IF(G373="","",ABS(P373-Components!$D$5)/Components!$E$5)</f>
        <v/>
      </c>
      <c r="U373" s="67">
        <f>IF(G373="","",ABS(P373-Components!$D$6)/Components!$E$6)</f>
        <v/>
      </c>
      <c r="V373" s="67">
        <f>IF(G373="","",ABS(P373-Components!$D$7)/Components!$E$7)</f>
        <v/>
      </c>
      <c r="W373" s="61">
        <f>IF(G373="","",IF(N373="OK","NONE",INDEX({"S1","S2","W1","W2","N1","N2"},MATCH(MIN(Q373:V373),Q373:V373,0))))</f>
        <v/>
      </c>
      <c r="X373" s="69">
        <f>IF(G373="","",IF(W373=E373,1,0))</f>
        <v/>
      </c>
    </row>
    <row r="374">
      <c r="A374" s="61" t="n">
        <v>51</v>
      </c>
      <c r="B374" s="62" t="n">
        <v>15</v>
      </c>
      <c r="C374" s="61" t="inlineStr">
        <is>
          <t>R6</t>
        </is>
      </c>
      <c r="D374" s="74" t="inlineStr">
        <is>
          <t>NG</t>
        </is>
      </c>
      <c r="E374" s="61" t="inlineStr">
        <is>
          <t>N2</t>
        </is>
      </c>
      <c r="F374" s="61" t="inlineStr">
        <is>
          <t>K049</t>
        </is>
      </c>
      <c r="G374" s="75" t="n">
        <v>7.26</v>
      </c>
      <c r="H374" s="65" t="n"/>
      <c r="I374" s="66" t="n"/>
      <c r="J374" s="67">
        <f>VLOOKUP(C374,Recipes!$A$2:$N$4,10,FALSE())</f>
        <v/>
      </c>
      <c r="K374" s="68">
        <f>VLOOKUP(C374,Recipes!$A$2:$N$4,12,FALSE())</f>
        <v/>
      </c>
      <c r="L374" s="67">
        <f>J374-3*K374</f>
        <v/>
      </c>
      <c r="M374" s="67">
        <f>J374+3*K374</f>
        <v/>
      </c>
      <c r="N374" s="61">
        <f>IF(G374="","",IF(AND(G374&gt;=L374,G374&lt;=M374),"OK","NG"))</f>
        <v/>
      </c>
      <c r="O374" s="69">
        <f>IF(N374="","",IF(N374=D374,1,0))</f>
        <v/>
      </c>
      <c r="P374" s="67">
        <f>IF(G374="","",J374-G374)</f>
        <v/>
      </c>
      <c r="Q374" s="67">
        <f>IF(G374="","",ABS(P374-Components!$D$2)/Components!$E$2)</f>
        <v/>
      </c>
      <c r="R374" s="67">
        <f>IF(G374="","",ABS(P374-Components!$D$3)/Components!$E$3)</f>
        <v/>
      </c>
      <c r="S374" s="67">
        <f>IF(G374="","",ABS(P374-Components!$D$4)/Components!$E$4)</f>
        <v/>
      </c>
      <c r="T374" s="67">
        <f>IF(G374="","",ABS(P374-Components!$D$5)/Components!$E$5)</f>
        <v/>
      </c>
      <c r="U374" s="67">
        <f>IF(G374="","",ABS(P374-Components!$D$6)/Components!$E$6)</f>
        <v/>
      </c>
      <c r="V374" s="67">
        <f>IF(G374="","",ABS(P374-Components!$D$7)/Components!$E$7)</f>
        <v/>
      </c>
      <c r="W374" s="61">
        <f>IF(G374="","",IF(N374="OK","NONE",INDEX({"S1","S2","W1","W2","N1","N2"},MATCH(MIN(Q374:V374),Q374:V374,0))))</f>
        <v/>
      </c>
      <c r="X374" s="69">
        <f>IF(G374="","",IF(W374=E374,1,0))</f>
        <v/>
      </c>
    </row>
    <row r="375">
      <c r="A375" s="61" t="n">
        <v>51</v>
      </c>
      <c r="B375" s="62" t="n">
        <v>15</v>
      </c>
      <c r="C375" s="61" t="inlineStr">
        <is>
          <t>R6</t>
        </is>
      </c>
      <c r="D375" s="74" t="inlineStr">
        <is>
          <t>NG</t>
        </is>
      </c>
      <c r="E375" s="61" t="inlineStr">
        <is>
          <t>N2</t>
        </is>
      </c>
      <c r="F375" s="61" t="inlineStr">
        <is>
          <t>K049</t>
        </is>
      </c>
      <c r="G375" s="75" t="n">
        <v>7.23</v>
      </c>
      <c r="H375" s="65" t="n"/>
      <c r="I375" s="66" t="n"/>
      <c r="J375" s="67">
        <f>VLOOKUP(C375,Recipes!$A$2:$N$4,10,FALSE())</f>
        <v/>
      </c>
      <c r="K375" s="68">
        <f>VLOOKUP(C375,Recipes!$A$2:$N$4,12,FALSE())</f>
        <v/>
      </c>
      <c r="L375" s="67">
        <f>J375-3*K375</f>
        <v/>
      </c>
      <c r="M375" s="67">
        <f>J375+3*K375</f>
        <v/>
      </c>
      <c r="N375" s="61">
        <f>IF(G375="","",IF(AND(G375&gt;=L375,G375&lt;=M375),"OK","NG"))</f>
        <v/>
      </c>
      <c r="O375" s="69">
        <f>IF(N375="","",IF(N375=D375,1,0))</f>
        <v/>
      </c>
      <c r="P375" s="67">
        <f>IF(G375="","",J375-G375)</f>
        <v/>
      </c>
      <c r="Q375" s="67">
        <f>IF(G375="","",ABS(P375-Components!$D$2)/Components!$E$2)</f>
        <v/>
      </c>
      <c r="R375" s="67">
        <f>IF(G375="","",ABS(P375-Components!$D$3)/Components!$E$3)</f>
        <v/>
      </c>
      <c r="S375" s="67">
        <f>IF(G375="","",ABS(P375-Components!$D$4)/Components!$E$4)</f>
        <v/>
      </c>
      <c r="T375" s="67">
        <f>IF(G375="","",ABS(P375-Components!$D$5)/Components!$E$5)</f>
        <v/>
      </c>
      <c r="U375" s="67">
        <f>IF(G375="","",ABS(P375-Components!$D$6)/Components!$E$6)</f>
        <v/>
      </c>
      <c r="V375" s="67">
        <f>IF(G375="","",ABS(P375-Components!$D$7)/Components!$E$7)</f>
        <v/>
      </c>
      <c r="W375" s="61">
        <f>IF(G375="","",IF(N375="OK","NONE",INDEX({"S1","S2","W1","W2","N1","N2"},MATCH(MIN(Q375:V375),Q375:V375,0))))</f>
        <v/>
      </c>
      <c r="X375" s="69">
        <f>IF(G375="","",IF(W375=E375,1,0))</f>
        <v/>
      </c>
    </row>
    <row r="376">
      <c r="A376" s="61" t="n">
        <v>51</v>
      </c>
      <c r="B376" s="62" t="n">
        <v>15</v>
      </c>
      <c r="C376" s="61" t="inlineStr">
        <is>
          <t>R6</t>
        </is>
      </c>
      <c r="D376" s="74" t="inlineStr">
        <is>
          <t>NG</t>
        </is>
      </c>
      <c r="E376" s="61" t="inlineStr">
        <is>
          <t>N2</t>
        </is>
      </c>
      <c r="F376" s="61" t="inlineStr">
        <is>
          <t>K049</t>
        </is>
      </c>
      <c r="G376" s="75" t="n">
        <v>7.06</v>
      </c>
      <c r="H376" s="65" t="n"/>
      <c r="I376" s="66" t="n"/>
      <c r="J376" s="67">
        <f>VLOOKUP(C376,Recipes!$A$2:$N$4,10,FALSE())</f>
        <v/>
      </c>
      <c r="K376" s="68">
        <f>VLOOKUP(C376,Recipes!$A$2:$N$4,12,FALSE())</f>
        <v/>
      </c>
      <c r="L376" s="67">
        <f>J376-3*K376</f>
        <v/>
      </c>
      <c r="M376" s="67">
        <f>J376+3*K376</f>
        <v/>
      </c>
      <c r="N376" s="61">
        <f>IF(G376="","",IF(AND(G376&gt;=L376,G376&lt;=M376),"OK","NG"))</f>
        <v/>
      </c>
      <c r="O376" s="69">
        <f>IF(N376="","",IF(N376=D376,1,0))</f>
        <v/>
      </c>
      <c r="P376" s="67">
        <f>IF(G376="","",J376-G376)</f>
        <v/>
      </c>
      <c r="Q376" s="67">
        <f>IF(G376="","",ABS(P376-Components!$D$2)/Components!$E$2)</f>
        <v/>
      </c>
      <c r="R376" s="67">
        <f>IF(G376="","",ABS(P376-Components!$D$3)/Components!$E$3)</f>
        <v/>
      </c>
      <c r="S376" s="67">
        <f>IF(G376="","",ABS(P376-Components!$D$4)/Components!$E$4)</f>
        <v/>
      </c>
      <c r="T376" s="67">
        <f>IF(G376="","",ABS(P376-Components!$D$5)/Components!$E$5)</f>
        <v/>
      </c>
      <c r="U376" s="67">
        <f>IF(G376="","",ABS(P376-Components!$D$6)/Components!$E$6)</f>
        <v/>
      </c>
      <c r="V376" s="67">
        <f>IF(G376="","",ABS(P376-Components!$D$7)/Components!$E$7)</f>
        <v/>
      </c>
      <c r="W376" s="61">
        <f>IF(G376="","",IF(N376="OK","NONE",INDEX({"S1","S2","W1","W2","N1","N2"},MATCH(MIN(Q376:V376),Q376:V376,0))))</f>
        <v/>
      </c>
      <c r="X376" s="69">
        <f>IF(G376="","",IF(W376=E376,1,0))</f>
        <v/>
      </c>
    </row>
    <row r="377">
      <c r="A377" s="61" t="n">
        <v>51</v>
      </c>
      <c r="B377" s="62" t="n">
        <v>15</v>
      </c>
      <c r="C377" s="61" t="inlineStr">
        <is>
          <t>R6</t>
        </is>
      </c>
      <c r="D377" s="74" t="inlineStr">
        <is>
          <t>NG</t>
        </is>
      </c>
      <c r="E377" s="61" t="inlineStr">
        <is>
          <t>N2</t>
        </is>
      </c>
      <c r="F377" s="61" t="inlineStr">
        <is>
          <t>K049</t>
        </is>
      </c>
      <c r="G377" s="75" t="n">
        <v>7.2</v>
      </c>
      <c r="H377" s="65" t="n"/>
      <c r="I377" s="66" t="n"/>
      <c r="J377" s="67">
        <f>VLOOKUP(C377,Recipes!$A$2:$N$4,10,FALSE())</f>
        <v/>
      </c>
      <c r="K377" s="68">
        <f>VLOOKUP(C377,Recipes!$A$2:$N$4,12,FALSE())</f>
        <v/>
      </c>
      <c r="L377" s="67">
        <f>J377-3*K377</f>
        <v/>
      </c>
      <c r="M377" s="67">
        <f>J377+3*K377</f>
        <v/>
      </c>
      <c r="N377" s="61">
        <f>IF(G377="","",IF(AND(G377&gt;=L377,G377&lt;=M377),"OK","NG"))</f>
        <v/>
      </c>
      <c r="O377" s="69">
        <f>IF(N377="","",IF(N377=D377,1,0))</f>
        <v/>
      </c>
      <c r="P377" s="67">
        <f>IF(G377="","",J377-G377)</f>
        <v/>
      </c>
      <c r="Q377" s="67">
        <f>IF(G377="","",ABS(P377-Components!$D$2)/Components!$E$2)</f>
        <v/>
      </c>
      <c r="R377" s="67">
        <f>IF(G377="","",ABS(P377-Components!$D$3)/Components!$E$3)</f>
        <v/>
      </c>
      <c r="S377" s="67">
        <f>IF(G377="","",ABS(P377-Components!$D$4)/Components!$E$4)</f>
        <v/>
      </c>
      <c r="T377" s="67">
        <f>IF(G377="","",ABS(P377-Components!$D$5)/Components!$E$5)</f>
        <v/>
      </c>
      <c r="U377" s="67">
        <f>IF(G377="","",ABS(P377-Components!$D$6)/Components!$E$6)</f>
        <v/>
      </c>
      <c r="V377" s="67">
        <f>IF(G377="","",ABS(P377-Components!$D$7)/Components!$E$7)</f>
        <v/>
      </c>
      <c r="W377" s="61">
        <f>IF(G377="","",IF(N377="OK","NONE",INDEX({"S1","S2","W1","W2","N1","N2"},MATCH(MIN(Q377:V377),Q377:V377,0))))</f>
        <v/>
      </c>
      <c r="X377" s="69">
        <f>IF(G377="","",IF(W377=E377,1,0))</f>
        <v/>
      </c>
    </row>
    <row r="378">
      <c r="A378" s="61" t="n">
        <v>51</v>
      </c>
      <c r="B378" s="62" t="n">
        <v>15</v>
      </c>
      <c r="C378" s="61" t="inlineStr">
        <is>
          <t>R6</t>
        </is>
      </c>
      <c r="D378" s="74" t="inlineStr">
        <is>
          <t>NG</t>
        </is>
      </c>
      <c r="E378" s="61" t="inlineStr">
        <is>
          <t>N2</t>
        </is>
      </c>
      <c r="F378" s="61" t="inlineStr">
        <is>
          <t>K049</t>
        </is>
      </c>
      <c r="G378" s="75" t="n">
        <v>7.21</v>
      </c>
      <c r="H378" s="65" t="n"/>
      <c r="I378" s="66" t="n"/>
      <c r="J378" s="67">
        <f>VLOOKUP(C378,Recipes!$A$2:$N$4,10,FALSE())</f>
        <v/>
      </c>
      <c r="K378" s="68">
        <f>VLOOKUP(C378,Recipes!$A$2:$N$4,12,FALSE())</f>
        <v/>
      </c>
      <c r="L378" s="67">
        <f>J378-3*K378</f>
        <v/>
      </c>
      <c r="M378" s="67">
        <f>J378+3*K378</f>
        <v/>
      </c>
      <c r="N378" s="61">
        <f>IF(G378="","",IF(AND(G378&gt;=L378,G378&lt;=M378),"OK","NG"))</f>
        <v/>
      </c>
      <c r="O378" s="69">
        <f>IF(N378="","",IF(N378=D378,1,0))</f>
        <v/>
      </c>
      <c r="P378" s="67">
        <f>IF(G378="","",J378-G378)</f>
        <v/>
      </c>
      <c r="Q378" s="67">
        <f>IF(G378="","",ABS(P378-Components!$D$2)/Components!$E$2)</f>
        <v/>
      </c>
      <c r="R378" s="67">
        <f>IF(G378="","",ABS(P378-Components!$D$3)/Components!$E$3)</f>
        <v/>
      </c>
      <c r="S378" s="67">
        <f>IF(G378="","",ABS(P378-Components!$D$4)/Components!$E$4)</f>
        <v/>
      </c>
      <c r="T378" s="67">
        <f>IF(G378="","",ABS(P378-Components!$D$5)/Components!$E$5)</f>
        <v/>
      </c>
      <c r="U378" s="67">
        <f>IF(G378="","",ABS(P378-Components!$D$6)/Components!$E$6)</f>
        <v/>
      </c>
      <c r="V378" s="67">
        <f>IF(G378="","",ABS(P378-Components!$D$7)/Components!$E$7)</f>
        <v/>
      </c>
      <c r="W378" s="61">
        <f>IF(G378="","",IF(N378="OK","NONE",INDEX({"S1","S2","W1","W2","N1","N2"},MATCH(MIN(Q378:V378),Q378:V378,0))))</f>
        <v/>
      </c>
      <c r="X378" s="69">
        <f>IF(G378="","",IF(W378=E378,1,0))</f>
        <v/>
      </c>
    </row>
    <row r="379">
      <c r="A379" s="61" t="n">
        <v>51</v>
      </c>
      <c r="B379" s="62" t="n">
        <v>15</v>
      </c>
      <c r="C379" s="61" t="inlineStr">
        <is>
          <t>R6</t>
        </is>
      </c>
      <c r="D379" s="74" t="inlineStr">
        <is>
          <t>NG</t>
        </is>
      </c>
      <c r="E379" s="61" t="inlineStr">
        <is>
          <t>N2</t>
        </is>
      </c>
      <c r="F379" s="61" t="inlineStr">
        <is>
          <t>K049</t>
        </is>
      </c>
      <c r="G379" s="75" t="n">
        <v>7.22</v>
      </c>
      <c r="H379" s="65" t="n"/>
      <c r="I379" s="66" t="n"/>
      <c r="J379" s="67">
        <f>VLOOKUP(C379,Recipes!$A$2:$N$4,10,FALSE())</f>
        <v/>
      </c>
      <c r="K379" s="68">
        <f>VLOOKUP(C379,Recipes!$A$2:$N$4,12,FALSE())</f>
        <v/>
      </c>
      <c r="L379" s="67">
        <f>J379-3*K379</f>
        <v/>
      </c>
      <c r="M379" s="67">
        <f>J379+3*K379</f>
        <v/>
      </c>
      <c r="N379" s="61">
        <f>IF(G379="","",IF(AND(G379&gt;=L379,G379&lt;=M379),"OK","NG"))</f>
        <v/>
      </c>
      <c r="O379" s="69">
        <f>IF(N379="","",IF(N379=D379,1,0))</f>
        <v/>
      </c>
      <c r="P379" s="67">
        <f>IF(G379="","",J379-G379)</f>
        <v/>
      </c>
      <c r="Q379" s="67">
        <f>IF(G379="","",ABS(P379-Components!$D$2)/Components!$E$2)</f>
        <v/>
      </c>
      <c r="R379" s="67">
        <f>IF(G379="","",ABS(P379-Components!$D$3)/Components!$E$3)</f>
        <v/>
      </c>
      <c r="S379" s="67">
        <f>IF(G379="","",ABS(P379-Components!$D$4)/Components!$E$4)</f>
        <v/>
      </c>
      <c r="T379" s="67">
        <f>IF(G379="","",ABS(P379-Components!$D$5)/Components!$E$5)</f>
        <v/>
      </c>
      <c r="U379" s="67">
        <f>IF(G379="","",ABS(P379-Components!$D$6)/Components!$E$6)</f>
        <v/>
      </c>
      <c r="V379" s="67">
        <f>IF(G379="","",ABS(P379-Components!$D$7)/Components!$E$7)</f>
        <v/>
      </c>
      <c r="W379" s="61">
        <f>IF(G379="","",IF(N379="OK","NONE",INDEX({"S1","S2","W1","W2","N1","N2"},MATCH(MIN(Q379:V379),Q379:V379,0))))</f>
        <v/>
      </c>
      <c r="X379" s="69">
        <f>IF(G379="","",IF(W379=E379,1,0))</f>
        <v/>
      </c>
    </row>
    <row r="380">
      <c r="A380" s="61" t="n">
        <v>51</v>
      </c>
      <c r="B380" s="62" t="n">
        <v>15</v>
      </c>
      <c r="C380" s="61" t="inlineStr">
        <is>
          <t>R6</t>
        </is>
      </c>
      <c r="D380" s="74" t="inlineStr">
        <is>
          <t>NG</t>
        </is>
      </c>
      <c r="E380" s="61" t="inlineStr">
        <is>
          <t>N2</t>
        </is>
      </c>
      <c r="F380" s="61" t="inlineStr">
        <is>
          <t>K049</t>
        </is>
      </c>
      <c r="G380" s="75" t="n">
        <v>7.15</v>
      </c>
      <c r="H380" s="65" t="n"/>
      <c r="I380" s="66" t="n"/>
      <c r="J380" s="67">
        <f>VLOOKUP(C380,Recipes!$A$2:$N$4,10,FALSE())</f>
        <v/>
      </c>
      <c r="K380" s="68">
        <f>VLOOKUP(C380,Recipes!$A$2:$N$4,12,FALSE())</f>
        <v/>
      </c>
      <c r="L380" s="67">
        <f>J380-3*K380</f>
        <v/>
      </c>
      <c r="M380" s="67">
        <f>J380+3*K380</f>
        <v/>
      </c>
      <c r="N380" s="61">
        <f>IF(G380="","",IF(AND(G380&gt;=L380,G380&lt;=M380),"OK","NG"))</f>
        <v/>
      </c>
      <c r="O380" s="69">
        <f>IF(N380="","",IF(N380=D380,1,0))</f>
        <v/>
      </c>
      <c r="P380" s="67">
        <f>IF(G380="","",J380-G380)</f>
        <v/>
      </c>
      <c r="Q380" s="67">
        <f>IF(G380="","",ABS(P380-Components!$D$2)/Components!$E$2)</f>
        <v/>
      </c>
      <c r="R380" s="67">
        <f>IF(G380="","",ABS(P380-Components!$D$3)/Components!$E$3)</f>
        <v/>
      </c>
      <c r="S380" s="67">
        <f>IF(G380="","",ABS(P380-Components!$D$4)/Components!$E$4)</f>
        <v/>
      </c>
      <c r="T380" s="67">
        <f>IF(G380="","",ABS(P380-Components!$D$5)/Components!$E$5)</f>
        <v/>
      </c>
      <c r="U380" s="67">
        <f>IF(G380="","",ABS(P380-Components!$D$6)/Components!$E$6)</f>
        <v/>
      </c>
      <c r="V380" s="67">
        <f>IF(G380="","",ABS(P380-Components!$D$7)/Components!$E$7)</f>
        <v/>
      </c>
      <c r="W380" s="61">
        <f>IF(G380="","",IF(N380="OK","NONE",INDEX({"S1","S2","W1","W2","N1","N2"},MATCH(MIN(Q380:V380),Q380:V380,0))))</f>
        <v/>
      </c>
      <c r="X380" s="69">
        <f>IF(G380="","",IF(W380=E380,1,0))</f>
        <v/>
      </c>
    </row>
    <row r="381">
      <c r="A381" s="61" t="n">
        <v>51</v>
      </c>
      <c r="B381" s="62" t="n">
        <v>15</v>
      </c>
      <c r="C381" s="61" t="inlineStr">
        <is>
          <t>R6</t>
        </is>
      </c>
      <c r="D381" s="74" t="inlineStr">
        <is>
          <t>NG</t>
        </is>
      </c>
      <c r="E381" s="61" t="inlineStr">
        <is>
          <t>N2</t>
        </is>
      </c>
      <c r="F381" s="61" t="inlineStr">
        <is>
          <t>K049</t>
        </is>
      </c>
      <c r="G381" s="75" t="n">
        <v>7.28</v>
      </c>
      <c r="H381" s="65" t="n"/>
      <c r="I381" s="66" t="n"/>
      <c r="J381" s="67">
        <f>VLOOKUP(C381,Recipes!$A$2:$N$4,10,FALSE())</f>
        <v/>
      </c>
      <c r="K381" s="68">
        <f>VLOOKUP(C381,Recipes!$A$2:$N$4,12,FALSE())</f>
        <v/>
      </c>
      <c r="L381" s="67">
        <f>J381-3*K381</f>
        <v/>
      </c>
      <c r="M381" s="67">
        <f>J381+3*K381</f>
        <v/>
      </c>
      <c r="N381" s="61">
        <f>IF(G381="","",IF(AND(G381&gt;=L381,G381&lt;=M381),"OK","NG"))</f>
        <v/>
      </c>
      <c r="O381" s="69">
        <f>IF(N381="","",IF(N381=D381,1,0))</f>
        <v/>
      </c>
      <c r="P381" s="67">
        <f>IF(G381="","",J381-G381)</f>
        <v/>
      </c>
      <c r="Q381" s="67">
        <f>IF(G381="","",ABS(P381-Components!$D$2)/Components!$E$2)</f>
        <v/>
      </c>
      <c r="R381" s="67">
        <f>IF(G381="","",ABS(P381-Components!$D$3)/Components!$E$3)</f>
        <v/>
      </c>
      <c r="S381" s="67">
        <f>IF(G381="","",ABS(P381-Components!$D$4)/Components!$E$4)</f>
        <v/>
      </c>
      <c r="T381" s="67">
        <f>IF(G381="","",ABS(P381-Components!$D$5)/Components!$E$5)</f>
        <v/>
      </c>
      <c r="U381" s="67">
        <f>IF(G381="","",ABS(P381-Components!$D$6)/Components!$E$6)</f>
        <v/>
      </c>
      <c r="V381" s="67">
        <f>IF(G381="","",ABS(P381-Components!$D$7)/Components!$E$7)</f>
        <v/>
      </c>
      <c r="W381" s="61">
        <f>IF(G381="","",IF(N381="OK","NONE",INDEX({"S1","S2","W1","W2","N1","N2"},MATCH(MIN(Q381:V381),Q381:V381,0))))</f>
        <v/>
      </c>
      <c r="X381" s="69">
        <f>IF(G381="","",IF(W381=E381,1,0))</f>
        <v/>
      </c>
    </row>
    <row r="382">
      <c r="A382" s="61" t="n">
        <v>51</v>
      </c>
      <c r="B382" s="62" t="n">
        <v>15</v>
      </c>
      <c r="C382" s="61" t="inlineStr">
        <is>
          <t>R6</t>
        </is>
      </c>
      <c r="D382" s="74" t="inlineStr">
        <is>
          <t>NG</t>
        </is>
      </c>
      <c r="E382" s="61" t="inlineStr">
        <is>
          <t>N2</t>
        </is>
      </c>
      <c r="F382" s="61" t="inlineStr">
        <is>
          <t>K049</t>
        </is>
      </c>
      <c r="G382" s="75" t="n">
        <v>7.23</v>
      </c>
      <c r="H382" s="65" t="n"/>
      <c r="I382" s="66" t="n"/>
      <c r="J382" s="67">
        <f>VLOOKUP(C382,Recipes!$A$2:$N$4,10,FALSE())</f>
        <v/>
      </c>
      <c r="K382" s="68">
        <f>VLOOKUP(C382,Recipes!$A$2:$N$4,12,FALSE())</f>
        <v/>
      </c>
      <c r="L382" s="67">
        <f>J382-3*K382</f>
        <v/>
      </c>
      <c r="M382" s="67">
        <f>J382+3*K382</f>
        <v/>
      </c>
      <c r="N382" s="61">
        <f>IF(G382="","",IF(AND(G382&gt;=L382,G382&lt;=M382),"OK","NG"))</f>
        <v/>
      </c>
      <c r="O382" s="69">
        <f>IF(N382="","",IF(N382=D382,1,0))</f>
        <v/>
      </c>
      <c r="P382" s="67">
        <f>IF(G382="","",J382-G382)</f>
        <v/>
      </c>
      <c r="Q382" s="67">
        <f>IF(G382="","",ABS(P382-Components!$D$2)/Components!$E$2)</f>
        <v/>
      </c>
      <c r="R382" s="67">
        <f>IF(G382="","",ABS(P382-Components!$D$3)/Components!$E$3)</f>
        <v/>
      </c>
      <c r="S382" s="67">
        <f>IF(G382="","",ABS(P382-Components!$D$4)/Components!$E$4)</f>
        <v/>
      </c>
      <c r="T382" s="67">
        <f>IF(G382="","",ABS(P382-Components!$D$5)/Components!$E$5)</f>
        <v/>
      </c>
      <c r="U382" s="67">
        <f>IF(G382="","",ABS(P382-Components!$D$6)/Components!$E$6)</f>
        <v/>
      </c>
      <c r="V382" s="67">
        <f>IF(G382="","",ABS(P382-Components!$D$7)/Components!$E$7)</f>
        <v/>
      </c>
      <c r="W382" s="61">
        <f>IF(G382="","",IF(N382="OK","NONE",INDEX({"S1","S2","W1","W2","N1","N2"},MATCH(MIN(Q382:V382),Q382:V382,0))))</f>
        <v/>
      </c>
      <c r="X382" s="69">
        <f>IF(G382="","",IF(W382=E382,1,0))</f>
        <v/>
      </c>
    </row>
    <row r="383">
      <c r="A383" s="61" t="n">
        <v>51</v>
      </c>
      <c r="B383" s="62" t="n">
        <v>15</v>
      </c>
      <c r="C383" s="61" t="inlineStr">
        <is>
          <t>R6</t>
        </is>
      </c>
      <c r="D383" s="74" t="inlineStr">
        <is>
          <t>NG</t>
        </is>
      </c>
      <c r="E383" s="61" t="inlineStr">
        <is>
          <t>N2</t>
        </is>
      </c>
      <c r="F383" s="61" t="inlineStr">
        <is>
          <t>K049</t>
        </is>
      </c>
      <c r="G383" s="75" t="n">
        <v>7.26</v>
      </c>
      <c r="H383" s="65" t="n"/>
      <c r="I383" s="66" t="n"/>
      <c r="J383" s="67">
        <f>VLOOKUP(C383,Recipes!$A$2:$N$4,10,FALSE())</f>
        <v/>
      </c>
      <c r="K383" s="68">
        <f>VLOOKUP(C383,Recipes!$A$2:$N$4,12,FALSE())</f>
        <v/>
      </c>
      <c r="L383" s="67">
        <f>J383-3*K383</f>
        <v/>
      </c>
      <c r="M383" s="67">
        <f>J383+3*K383</f>
        <v/>
      </c>
      <c r="N383" s="61">
        <f>IF(G383="","",IF(AND(G383&gt;=L383,G383&lt;=M383),"OK","NG"))</f>
        <v/>
      </c>
      <c r="O383" s="69">
        <f>IF(N383="","",IF(N383=D383,1,0))</f>
        <v/>
      </c>
      <c r="P383" s="67">
        <f>IF(G383="","",J383-G383)</f>
        <v/>
      </c>
      <c r="Q383" s="67">
        <f>IF(G383="","",ABS(P383-Components!$D$2)/Components!$E$2)</f>
        <v/>
      </c>
      <c r="R383" s="67">
        <f>IF(G383="","",ABS(P383-Components!$D$3)/Components!$E$3)</f>
        <v/>
      </c>
      <c r="S383" s="67">
        <f>IF(G383="","",ABS(P383-Components!$D$4)/Components!$E$4)</f>
        <v/>
      </c>
      <c r="T383" s="67">
        <f>IF(G383="","",ABS(P383-Components!$D$5)/Components!$E$5)</f>
        <v/>
      </c>
      <c r="U383" s="67">
        <f>IF(G383="","",ABS(P383-Components!$D$6)/Components!$E$6)</f>
        <v/>
      </c>
      <c r="V383" s="67">
        <f>IF(G383="","",ABS(P383-Components!$D$7)/Components!$E$7)</f>
        <v/>
      </c>
      <c r="W383" s="61">
        <f>IF(G383="","",IF(N383="OK","NONE",INDEX({"S1","S2","W1","W2","N1","N2"},MATCH(MIN(Q383:V383),Q383:V383,0))))</f>
        <v/>
      </c>
      <c r="X383" s="69">
        <f>IF(G383="","",IF(W383=E383,1,0))</f>
        <v/>
      </c>
    </row>
    <row r="384">
      <c r="A384" s="61" t="n">
        <v>51</v>
      </c>
      <c r="B384" s="62" t="n">
        <v>15</v>
      </c>
      <c r="C384" s="61" t="inlineStr">
        <is>
          <t>R6</t>
        </is>
      </c>
      <c r="D384" s="74" t="inlineStr">
        <is>
          <t>NG</t>
        </is>
      </c>
      <c r="E384" s="61" t="inlineStr">
        <is>
          <t>N2</t>
        </is>
      </c>
      <c r="F384" s="61" t="inlineStr">
        <is>
          <t>K049</t>
        </is>
      </c>
      <c r="G384" s="75" t="n">
        <v>7.26</v>
      </c>
      <c r="H384" s="65" t="n"/>
      <c r="I384" s="66" t="n"/>
      <c r="J384" s="67">
        <f>VLOOKUP(C384,Recipes!$A$2:$N$4,10,FALSE())</f>
        <v/>
      </c>
      <c r="K384" s="68">
        <f>VLOOKUP(C384,Recipes!$A$2:$N$4,12,FALSE())</f>
        <v/>
      </c>
      <c r="L384" s="67">
        <f>J384-3*K384</f>
        <v/>
      </c>
      <c r="M384" s="67">
        <f>J384+3*K384</f>
        <v/>
      </c>
      <c r="N384" s="61">
        <f>IF(G384="","",IF(AND(G384&gt;=L384,G384&lt;=M384),"OK","NG"))</f>
        <v/>
      </c>
      <c r="O384" s="69">
        <f>IF(N384="","",IF(N384=D384,1,0))</f>
        <v/>
      </c>
      <c r="P384" s="67">
        <f>IF(G384="","",J384-G384)</f>
        <v/>
      </c>
      <c r="Q384" s="67">
        <f>IF(G384="","",ABS(P384-Components!$D$2)/Components!$E$2)</f>
        <v/>
      </c>
      <c r="R384" s="67">
        <f>IF(G384="","",ABS(P384-Components!$D$3)/Components!$E$3)</f>
        <v/>
      </c>
      <c r="S384" s="67">
        <f>IF(G384="","",ABS(P384-Components!$D$4)/Components!$E$4)</f>
        <v/>
      </c>
      <c r="T384" s="67">
        <f>IF(G384="","",ABS(P384-Components!$D$5)/Components!$E$5)</f>
        <v/>
      </c>
      <c r="U384" s="67">
        <f>IF(G384="","",ABS(P384-Components!$D$6)/Components!$E$6)</f>
        <v/>
      </c>
      <c r="V384" s="67">
        <f>IF(G384="","",ABS(P384-Components!$D$7)/Components!$E$7)</f>
        <v/>
      </c>
      <c r="W384" s="61">
        <f>IF(G384="","",IF(N384="OK","NONE",INDEX({"S1","S2","W1","W2","N1","N2"},MATCH(MIN(Q384:V384),Q384:V384,0))))</f>
        <v/>
      </c>
      <c r="X384" s="69">
        <f>IF(G384="","",IF(W384=E384,1,0))</f>
        <v/>
      </c>
    </row>
    <row r="385">
      <c r="A385" s="61" t="n">
        <v>51</v>
      </c>
      <c r="B385" s="62" t="n">
        <v>15</v>
      </c>
      <c r="C385" s="61" t="inlineStr">
        <is>
          <t>R6</t>
        </is>
      </c>
      <c r="D385" s="74" t="inlineStr">
        <is>
          <t>NG</t>
        </is>
      </c>
      <c r="E385" s="61" t="inlineStr">
        <is>
          <t>N2</t>
        </is>
      </c>
      <c r="F385" s="61" t="inlineStr">
        <is>
          <t>K049</t>
        </is>
      </c>
      <c r="G385" s="75" t="n">
        <v>7.27</v>
      </c>
      <c r="H385" s="65" t="n"/>
      <c r="I385" s="66" t="n"/>
      <c r="J385" s="67">
        <f>VLOOKUP(C385,Recipes!$A$2:$N$4,10,FALSE())</f>
        <v/>
      </c>
      <c r="K385" s="68">
        <f>VLOOKUP(C385,Recipes!$A$2:$N$4,12,FALSE())</f>
        <v/>
      </c>
      <c r="L385" s="67">
        <f>J385-3*K385</f>
        <v/>
      </c>
      <c r="M385" s="67">
        <f>J385+3*K385</f>
        <v/>
      </c>
      <c r="N385" s="61">
        <f>IF(G385="","",IF(AND(G385&gt;=L385,G385&lt;=M385),"OK","NG"))</f>
        <v/>
      </c>
      <c r="O385" s="69">
        <f>IF(N385="","",IF(N385=D385,1,0))</f>
        <v/>
      </c>
      <c r="P385" s="67">
        <f>IF(G385="","",J385-G385)</f>
        <v/>
      </c>
      <c r="Q385" s="67">
        <f>IF(G385="","",ABS(P385-Components!$D$2)/Components!$E$2)</f>
        <v/>
      </c>
      <c r="R385" s="67">
        <f>IF(G385="","",ABS(P385-Components!$D$3)/Components!$E$3)</f>
        <v/>
      </c>
      <c r="S385" s="67">
        <f>IF(G385="","",ABS(P385-Components!$D$4)/Components!$E$4)</f>
        <v/>
      </c>
      <c r="T385" s="67">
        <f>IF(G385="","",ABS(P385-Components!$D$5)/Components!$E$5)</f>
        <v/>
      </c>
      <c r="U385" s="67">
        <f>IF(G385="","",ABS(P385-Components!$D$6)/Components!$E$6)</f>
        <v/>
      </c>
      <c r="V385" s="67">
        <f>IF(G385="","",ABS(P385-Components!$D$7)/Components!$E$7)</f>
        <v/>
      </c>
      <c r="W385" s="61">
        <f>IF(G385="","",IF(N385="OK","NONE",INDEX({"S1","S2","W1","W2","N1","N2"},MATCH(MIN(Q385:V385),Q385:V385,0))))</f>
        <v/>
      </c>
      <c r="X385" s="69">
        <f>IF(G385="","",IF(W385=E385,1,0))</f>
        <v/>
      </c>
    </row>
    <row r="386">
      <c r="A386" s="61" t="n">
        <v>51</v>
      </c>
      <c r="B386" s="62" t="n">
        <v>15</v>
      </c>
      <c r="C386" s="61" t="inlineStr">
        <is>
          <t>R6</t>
        </is>
      </c>
      <c r="D386" s="74" t="inlineStr">
        <is>
          <t>NG</t>
        </is>
      </c>
      <c r="E386" s="61" t="inlineStr">
        <is>
          <t>N2</t>
        </is>
      </c>
      <c r="F386" s="61" t="inlineStr">
        <is>
          <t>K049</t>
        </is>
      </c>
      <c r="G386" s="75" t="n">
        <v>7.14</v>
      </c>
      <c r="H386" s="65" t="n"/>
      <c r="I386" s="66" t="n"/>
      <c r="J386" s="67">
        <f>VLOOKUP(C386,Recipes!$A$2:$N$4,10,FALSE())</f>
        <v/>
      </c>
      <c r="K386" s="68">
        <f>VLOOKUP(C386,Recipes!$A$2:$N$4,12,FALSE())</f>
        <v/>
      </c>
      <c r="L386" s="67">
        <f>J386-3*K386</f>
        <v/>
      </c>
      <c r="M386" s="67">
        <f>J386+3*K386</f>
        <v/>
      </c>
      <c r="N386" s="61">
        <f>IF(G386="","",IF(AND(G386&gt;=L386,G386&lt;=M386),"OK","NG"))</f>
        <v/>
      </c>
      <c r="O386" s="69">
        <f>IF(N386="","",IF(N386=D386,1,0))</f>
        <v/>
      </c>
      <c r="P386" s="67">
        <f>IF(G386="","",J386-G386)</f>
        <v/>
      </c>
      <c r="Q386" s="67">
        <f>IF(G386="","",ABS(P386-Components!$D$2)/Components!$E$2)</f>
        <v/>
      </c>
      <c r="R386" s="67">
        <f>IF(G386="","",ABS(P386-Components!$D$3)/Components!$E$3)</f>
        <v/>
      </c>
      <c r="S386" s="67">
        <f>IF(G386="","",ABS(P386-Components!$D$4)/Components!$E$4)</f>
        <v/>
      </c>
      <c r="T386" s="67">
        <f>IF(G386="","",ABS(P386-Components!$D$5)/Components!$E$5)</f>
        <v/>
      </c>
      <c r="U386" s="67">
        <f>IF(G386="","",ABS(P386-Components!$D$6)/Components!$E$6)</f>
        <v/>
      </c>
      <c r="V386" s="67">
        <f>IF(G386="","",ABS(P386-Components!$D$7)/Components!$E$7)</f>
        <v/>
      </c>
      <c r="W386" s="61">
        <f>IF(G386="","",IF(N386="OK","NONE",INDEX({"S1","S2","W1","W2","N1","N2"},MATCH(MIN(Q386:V386),Q386:V386,0))))</f>
        <v/>
      </c>
      <c r="X386" s="69">
        <f>IF(G386="","",IF(W386=E386,1,0))</f>
        <v/>
      </c>
    </row>
    <row r="387">
      <c r="A387" s="61" t="n">
        <v>51</v>
      </c>
      <c r="B387" s="62" t="n">
        <v>15</v>
      </c>
      <c r="C387" s="61" t="inlineStr">
        <is>
          <t>R6</t>
        </is>
      </c>
      <c r="D387" s="74" t="inlineStr">
        <is>
          <t>NG</t>
        </is>
      </c>
      <c r="E387" s="61" t="inlineStr">
        <is>
          <t>N2</t>
        </is>
      </c>
      <c r="F387" s="61" t="inlineStr">
        <is>
          <t>K049</t>
        </is>
      </c>
      <c r="G387" s="75" t="n">
        <v>6.97</v>
      </c>
      <c r="H387" s="65" t="n"/>
      <c r="I387" s="66" t="n"/>
      <c r="J387" s="67">
        <f>VLOOKUP(C387,Recipes!$A$2:$N$4,10,FALSE())</f>
        <v/>
      </c>
      <c r="K387" s="68">
        <f>VLOOKUP(C387,Recipes!$A$2:$N$4,12,FALSE())</f>
        <v/>
      </c>
      <c r="L387" s="67">
        <f>J387-3*K387</f>
        <v/>
      </c>
      <c r="M387" s="67">
        <f>J387+3*K387</f>
        <v/>
      </c>
      <c r="N387" s="61">
        <f>IF(G387="","",IF(AND(G387&gt;=L387,G387&lt;=M387),"OK","NG"))</f>
        <v/>
      </c>
      <c r="O387" s="69">
        <f>IF(N387="","",IF(N387=D387,1,0))</f>
        <v/>
      </c>
      <c r="P387" s="67">
        <f>IF(G387="","",J387-G387)</f>
        <v/>
      </c>
      <c r="Q387" s="67">
        <f>IF(G387="","",ABS(P387-Components!$D$2)/Components!$E$2)</f>
        <v/>
      </c>
      <c r="R387" s="67">
        <f>IF(G387="","",ABS(P387-Components!$D$3)/Components!$E$3)</f>
        <v/>
      </c>
      <c r="S387" s="67">
        <f>IF(G387="","",ABS(P387-Components!$D$4)/Components!$E$4)</f>
        <v/>
      </c>
      <c r="T387" s="67">
        <f>IF(G387="","",ABS(P387-Components!$D$5)/Components!$E$5)</f>
        <v/>
      </c>
      <c r="U387" s="67">
        <f>IF(G387="","",ABS(P387-Components!$D$6)/Components!$E$6)</f>
        <v/>
      </c>
      <c r="V387" s="67">
        <f>IF(G387="","",ABS(P387-Components!$D$7)/Components!$E$7)</f>
        <v/>
      </c>
      <c r="W387" s="61">
        <f>IF(G387="","",IF(N387="OK","NONE",INDEX({"S1","S2","W1","W2","N1","N2"},MATCH(MIN(Q387:V387),Q387:V387,0))))</f>
        <v/>
      </c>
      <c r="X387" s="69">
        <f>IF(G387="","",IF(W387=E387,1,0))</f>
        <v/>
      </c>
    </row>
    <row r="388">
      <c r="A388" s="61" t="n">
        <v>51</v>
      </c>
      <c r="B388" s="62" t="n">
        <v>15</v>
      </c>
      <c r="C388" s="61" t="inlineStr">
        <is>
          <t>R6</t>
        </is>
      </c>
      <c r="D388" s="74" t="inlineStr">
        <is>
          <t>NG</t>
        </is>
      </c>
      <c r="E388" s="61" t="inlineStr">
        <is>
          <t>N2</t>
        </is>
      </c>
      <c r="F388" s="61" t="inlineStr">
        <is>
          <t>K049</t>
        </is>
      </c>
      <c r="G388" s="64" t="n">
        <v>7.29</v>
      </c>
      <c r="H388" s="65" t="n"/>
      <c r="I388" s="66" t="n"/>
      <c r="J388" s="67">
        <f>VLOOKUP(C388,Recipes!$A$2:$N$4,10,FALSE())</f>
        <v/>
      </c>
      <c r="K388" s="68">
        <f>VLOOKUP(C388,Recipes!$A$2:$N$4,12,FALSE())</f>
        <v/>
      </c>
      <c r="L388" s="67">
        <f>J388-3*K388</f>
        <v/>
      </c>
      <c r="M388" s="67">
        <f>J388+3*K388</f>
        <v/>
      </c>
      <c r="N388" s="61">
        <f>IF(G388="","",IF(AND(G388&gt;=L388,G388&lt;=M388),"OK","NG"))</f>
        <v/>
      </c>
      <c r="O388" s="69">
        <f>IF(N388="","",IF(N388=D388,1,0))</f>
        <v/>
      </c>
      <c r="P388" s="67">
        <f>IF(G388="","",J388-G388)</f>
        <v/>
      </c>
      <c r="Q388" s="67">
        <f>IF(G388="","",ABS(P388-Components!$D$2)/Components!$E$2)</f>
        <v/>
      </c>
      <c r="R388" s="67">
        <f>IF(G388="","",ABS(P388-Components!$D$3)/Components!$E$3)</f>
        <v/>
      </c>
      <c r="S388" s="67">
        <f>IF(G388="","",ABS(P388-Components!$D$4)/Components!$E$4)</f>
        <v/>
      </c>
      <c r="T388" s="67">
        <f>IF(G388="","",ABS(P388-Components!$D$5)/Components!$E$5)</f>
        <v/>
      </c>
      <c r="U388" s="67">
        <f>IF(G388="","",ABS(P388-Components!$D$6)/Components!$E$6)</f>
        <v/>
      </c>
      <c r="V388" s="67">
        <f>IF(G388="","",ABS(P388-Components!$D$7)/Components!$E$7)</f>
        <v/>
      </c>
      <c r="W388" s="61">
        <f>IF(G388="","",IF(N388="OK","NONE",INDEX({"S1","S2","W1","W2","N1","N2"},MATCH(MIN(Q388:V388),Q388:V388,0))))</f>
        <v/>
      </c>
      <c r="X388" s="69">
        <f>IF(G388="","",IF(W388=E388,1,0))</f>
        <v/>
      </c>
    </row>
    <row r="389">
      <c r="A389" s="61" t="n">
        <v>52</v>
      </c>
      <c r="B389" s="62" t="n">
        <v>16</v>
      </c>
      <c r="C389" s="61" t="inlineStr">
        <is>
          <t>R6</t>
        </is>
      </c>
      <c r="D389" s="74" t="inlineStr">
        <is>
          <t>NG</t>
        </is>
      </c>
      <c r="E389" s="61" t="inlineStr">
        <is>
          <t>N2</t>
        </is>
      </c>
      <c r="F389" s="61" t="inlineStr">
        <is>
          <t>K050</t>
        </is>
      </c>
      <c r="G389" s="64" t="n">
        <v>7.16</v>
      </c>
      <c r="H389" s="65" t="n"/>
      <c r="I389" s="66" t="n"/>
      <c r="J389" s="67">
        <f>VLOOKUP(C389,Recipes!$A$2:$N$4,10,FALSE())</f>
        <v/>
      </c>
      <c r="K389" s="68">
        <f>VLOOKUP(C389,Recipes!$A$2:$N$4,12,FALSE())</f>
        <v/>
      </c>
      <c r="L389" s="67">
        <f>J389-3*K389</f>
        <v/>
      </c>
      <c r="M389" s="67">
        <f>J389+3*K389</f>
        <v/>
      </c>
      <c r="N389" s="61">
        <f>IF(G389="","",IF(AND(G389&gt;=L389,G389&lt;=M389),"OK","NG"))</f>
        <v/>
      </c>
      <c r="O389" s="69">
        <f>IF(N389="","",IF(N389=D389,1,0))</f>
        <v/>
      </c>
      <c r="P389" s="67">
        <f>IF(G389="","",J389-G389)</f>
        <v/>
      </c>
      <c r="Q389" s="67">
        <f>IF(G389="","",ABS(P389-Components!$D$2)/Components!$E$2)</f>
        <v/>
      </c>
      <c r="R389" s="67">
        <f>IF(G389="","",ABS(P389-Components!$D$3)/Components!$E$3)</f>
        <v/>
      </c>
      <c r="S389" s="67">
        <f>IF(G389="","",ABS(P389-Components!$D$4)/Components!$E$4)</f>
        <v/>
      </c>
      <c r="T389" s="67">
        <f>IF(G389="","",ABS(P389-Components!$D$5)/Components!$E$5)</f>
        <v/>
      </c>
      <c r="U389" s="67">
        <f>IF(G389="","",ABS(P389-Components!$D$6)/Components!$E$6)</f>
        <v/>
      </c>
      <c r="V389" s="67">
        <f>IF(G389="","",ABS(P389-Components!$D$7)/Components!$E$7)</f>
        <v/>
      </c>
      <c r="W389" s="61">
        <f>IF(G389="","",IF(N389="OK","NONE",INDEX({"S1","S2","W1","W2","N1","N2"},MATCH(MIN(Q389:V389),Q389:V389,0))))</f>
        <v/>
      </c>
      <c r="X389" s="69">
        <f>IF(G389="","",IF(W389=E389,1,0))</f>
        <v/>
      </c>
    </row>
    <row r="390">
      <c r="A390" s="61" t="n">
        <v>53</v>
      </c>
      <c r="B390" s="62" t="n">
        <v>18</v>
      </c>
      <c r="C390" s="61" t="inlineStr">
        <is>
          <t>R6</t>
        </is>
      </c>
      <c r="D390" s="74" t="inlineStr">
        <is>
          <t>NG</t>
        </is>
      </c>
      <c r="E390" s="61" t="inlineStr">
        <is>
          <t>N2</t>
        </is>
      </c>
      <c r="F390" s="61" t="inlineStr">
        <is>
          <t>K051</t>
        </is>
      </c>
      <c r="G390" s="64" t="n">
        <v>7.23</v>
      </c>
      <c r="H390" s="65" t="n"/>
      <c r="I390" s="66" t="n"/>
      <c r="J390" s="67">
        <f>VLOOKUP(C390,Recipes!$A$2:$N$4,10,FALSE())</f>
        <v/>
      </c>
      <c r="K390" s="68">
        <f>VLOOKUP(C390,Recipes!$A$2:$N$4,12,FALSE())</f>
        <v/>
      </c>
      <c r="L390" s="67">
        <f>J390-3*K390</f>
        <v/>
      </c>
      <c r="M390" s="67">
        <f>J390+3*K390</f>
        <v/>
      </c>
      <c r="N390" s="61">
        <f>IF(G390="","",IF(AND(G390&gt;=L390,G390&lt;=M390),"OK","NG"))</f>
        <v/>
      </c>
      <c r="O390" s="69">
        <f>IF(N390="","",IF(N390=D390,1,0))</f>
        <v/>
      </c>
      <c r="P390" s="67">
        <f>IF(G390="","",J390-G390)</f>
        <v/>
      </c>
      <c r="Q390" s="67">
        <f>IF(G390="","",ABS(P390-Components!$D$2)/Components!$E$2)</f>
        <v/>
      </c>
      <c r="R390" s="67">
        <f>IF(G390="","",ABS(P390-Components!$D$3)/Components!$E$3)</f>
        <v/>
      </c>
      <c r="S390" s="67">
        <f>IF(G390="","",ABS(P390-Components!$D$4)/Components!$E$4)</f>
        <v/>
      </c>
      <c r="T390" s="67">
        <f>IF(G390="","",ABS(P390-Components!$D$5)/Components!$E$5)</f>
        <v/>
      </c>
      <c r="U390" s="67">
        <f>IF(G390="","",ABS(P390-Components!$D$6)/Components!$E$6)</f>
        <v/>
      </c>
      <c r="V390" s="67">
        <f>IF(G390="","",ABS(P390-Components!$D$7)/Components!$E$7)</f>
        <v/>
      </c>
      <c r="W390" s="61">
        <f>IF(G390="","",IF(N390="OK","NONE",INDEX({"S1","S2","W1","W2","N1","N2"},MATCH(MIN(Q390:V390),Q390:V390,0))))</f>
        <v/>
      </c>
      <c r="X390" s="69">
        <f>IF(G390="","",IF(W390=E390,1,0))</f>
        <v/>
      </c>
    </row>
    <row r="391">
      <c r="A391" s="76" t="n">
        <v>54</v>
      </c>
      <c r="B391" s="80" t="n"/>
      <c r="C391" s="76" t="inlineStr">
        <is>
          <t>R6</t>
        </is>
      </c>
      <c r="D391" s="78" t="inlineStr">
        <is>
          <t>NG</t>
        </is>
      </c>
      <c r="E391" s="76" t="inlineStr">
        <is>
          <t>N2</t>
        </is>
      </c>
      <c r="F391" s="81" t="n"/>
      <c r="G391" s="75" t="n">
        <v>7.25</v>
      </c>
      <c r="H391" s="65" t="n"/>
      <c r="I391" s="66" t="n"/>
      <c r="J391" s="67">
        <f>VLOOKUP(C391,Recipes!$A$2:$N$4,10,FALSE())</f>
        <v/>
      </c>
      <c r="K391" s="68">
        <f>VLOOKUP(C391,Recipes!$A$2:$N$4,12,FALSE())</f>
        <v/>
      </c>
      <c r="L391" s="67">
        <f>J391-3*K391</f>
        <v/>
      </c>
      <c r="M391" s="67">
        <f>J391+3*K391</f>
        <v/>
      </c>
      <c r="N391" s="61">
        <f>IF(G391="","",IF(AND(G391&gt;=L391,G391&lt;=M391),"OK","NG"))</f>
        <v/>
      </c>
      <c r="O391" s="69">
        <f>IF(N391="","",IF(N391=D391,1,0))</f>
        <v/>
      </c>
      <c r="P391" s="67">
        <f>IF(G391="","",J391-G391)</f>
        <v/>
      </c>
      <c r="Q391" s="67">
        <f>IF(G391="","",ABS(P391-Components!$D$2)/Components!$E$2)</f>
        <v/>
      </c>
      <c r="R391" s="67">
        <f>IF(G391="","",ABS(P391-Components!$D$3)/Components!$E$3)</f>
        <v/>
      </c>
      <c r="S391" s="67">
        <f>IF(G391="","",ABS(P391-Components!$D$4)/Components!$E$4)</f>
        <v/>
      </c>
      <c r="T391" s="67">
        <f>IF(G391="","",ABS(P391-Components!$D$5)/Components!$E$5)</f>
        <v/>
      </c>
      <c r="U391" s="67">
        <f>IF(G391="","",ABS(P391-Components!$D$6)/Components!$E$6)</f>
        <v/>
      </c>
      <c r="V391" s="67">
        <f>IF(G391="","",ABS(P391-Components!$D$7)/Components!$E$7)</f>
        <v/>
      </c>
      <c r="W391" s="61">
        <f>IF(G391="","",IF(N391="OK","NONE",INDEX({"S1","S2","W1","W2","N1","N2"},MATCH(MIN(Q391:V391),Q391:V391,0))))</f>
        <v/>
      </c>
      <c r="X391" s="69">
        <f>IF(G391="","",IF(W391=E391,1,0))</f>
        <v/>
      </c>
    </row>
    <row r="392">
      <c r="A392" s="79" t="n"/>
      <c r="B392" s="80" t="n"/>
      <c r="C392" s="76" t="inlineStr">
        <is>
          <t>R6</t>
        </is>
      </c>
      <c r="D392" s="78" t="inlineStr">
        <is>
          <t>NG</t>
        </is>
      </c>
      <c r="E392" s="76" t="inlineStr">
        <is>
          <t>N2</t>
        </is>
      </c>
      <c r="F392" s="81" t="n"/>
      <c r="G392" s="75" t="n">
        <v>7.2</v>
      </c>
      <c r="H392" s="65" t="n"/>
      <c r="I392" s="66" t="n"/>
      <c r="J392" s="67">
        <f>VLOOKUP(C392,Recipes!$A$2:$N$4,10,FALSE())</f>
        <v/>
      </c>
      <c r="K392" s="68">
        <f>VLOOKUP(C392,Recipes!$A$2:$N$4,12,FALSE())</f>
        <v/>
      </c>
      <c r="L392" s="67">
        <f>J392-3*K392</f>
        <v/>
      </c>
      <c r="M392" s="67">
        <f>J392+3*K392</f>
        <v/>
      </c>
      <c r="N392" s="61">
        <f>IF(G392="","",IF(AND(G392&gt;=L392,G392&lt;=M392),"OK","NG"))</f>
        <v/>
      </c>
      <c r="O392" s="69">
        <f>IF(N392="","",IF(N392=D392,1,0))</f>
        <v/>
      </c>
      <c r="P392" s="67">
        <f>IF(G392="","",J392-G392)</f>
        <v/>
      </c>
      <c r="Q392" s="67">
        <f>IF(G392="","",ABS(P392-Components!$D$2)/Components!$E$2)</f>
        <v/>
      </c>
      <c r="R392" s="67">
        <f>IF(G392="","",ABS(P392-Components!$D$3)/Components!$E$3)</f>
        <v/>
      </c>
      <c r="S392" s="67">
        <f>IF(G392="","",ABS(P392-Components!$D$4)/Components!$E$4)</f>
        <v/>
      </c>
      <c r="T392" s="67">
        <f>IF(G392="","",ABS(P392-Components!$D$5)/Components!$E$5)</f>
        <v/>
      </c>
      <c r="U392" s="67">
        <f>IF(G392="","",ABS(P392-Components!$D$6)/Components!$E$6)</f>
        <v/>
      </c>
      <c r="V392" s="67">
        <f>IF(G392="","",ABS(P392-Components!$D$7)/Components!$E$7)</f>
        <v/>
      </c>
      <c r="W392" s="61">
        <f>IF(G392="","",IF(N392="OK","NONE",INDEX({"S1","S2","W1","W2","N1","N2"},MATCH(MIN(Q392:V392),Q392:V392,0))))</f>
        <v/>
      </c>
      <c r="X392" s="69">
        <f>IF(G392="","",IF(W392=E392,1,0))</f>
        <v/>
      </c>
    </row>
    <row r="393">
      <c r="A393" s="61" t="n">
        <v>52</v>
      </c>
      <c r="B393" s="62" t="n">
        <v>48</v>
      </c>
      <c r="C393" s="61" t="inlineStr">
        <is>
          <t>R6</t>
        </is>
      </c>
      <c r="D393" s="74" t="inlineStr">
        <is>
          <t>NG</t>
        </is>
      </c>
      <c r="E393" s="61" t="inlineStr">
        <is>
          <t>N1</t>
        </is>
      </c>
      <c r="F393" s="61" t="inlineStr">
        <is>
          <t>K052</t>
        </is>
      </c>
      <c r="G393" s="75" t="n">
        <v>7.39</v>
      </c>
      <c r="H393" s="65" t="n"/>
      <c r="I393" s="66" t="n"/>
      <c r="J393" s="67">
        <f>VLOOKUP(C393,Recipes!$A$2:$N$4,10,FALSE())</f>
        <v/>
      </c>
      <c r="K393" s="68">
        <f>VLOOKUP(C393,Recipes!$A$2:$N$4,12,FALSE())</f>
        <v/>
      </c>
      <c r="L393" s="67">
        <f>J393-3*K393</f>
        <v/>
      </c>
      <c r="M393" s="67">
        <f>J393+3*K393</f>
        <v/>
      </c>
      <c r="N393" s="61">
        <f>IF(G393="","",IF(AND(G393&gt;=L393,G393&lt;=M393),"OK","NG"))</f>
        <v/>
      </c>
      <c r="O393" s="69">
        <f>IF(N393="","",IF(N393=D393,1,0))</f>
        <v/>
      </c>
      <c r="P393" s="67">
        <f>IF(G393="","",J393-G393)</f>
        <v/>
      </c>
      <c r="Q393" s="67">
        <f>IF(G393="","",ABS(P393-Components!$D$2)/Components!$E$2)</f>
        <v/>
      </c>
      <c r="R393" s="67">
        <f>IF(G393="","",ABS(P393-Components!$D$3)/Components!$E$3)</f>
        <v/>
      </c>
      <c r="S393" s="67">
        <f>IF(G393="","",ABS(P393-Components!$D$4)/Components!$E$4)</f>
        <v/>
      </c>
      <c r="T393" s="67">
        <f>IF(G393="","",ABS(P393-Components!$D$5)/Components!$E$5)</f>
        <v/>
      </c>
      <c r="U393" s="67">
        <f>IF(G393="","",ABS(P393-Components!$D$6)/Components!$E$6)</f>
        <v/>
      </c>
      <c r="V393" s="67">
        <f>IF(G393="","",ABS(P393-Components!$D$7)/Components!$E$7)</f>
        <v/>
      </c>
      <c r="W393" s="61">
        <f>IF(G393="","",IF(N393="OK","NONE",INDEX({"S1","S2","W1","W2","N1","N2"},MATCH(MIN(Q393:V393),Q393:V393,0))))</f>
        <v/>
      </c>
      <c r="X393" s="69">
        <f>IF(G393="","",IF(W393=E393,1,0))</f>
        <v/>
      </c>
    </row>
    <row r="394">
      <c r="A394" s="61" t="n">
        <v>52</v>
      </c>
      <c r="B394" s="62" t="n">
        <v>48</v>
      </c>
      <c r="C394" s="61" t="inlineStr">
        <is>
          <t>R6</t>
        </is>
      </c>
      <c r="D394" s="74" t="inlineStr">
        <is>
          <t>NG</t>
        </is>
      </c>
      <c r="E394" s="61" t="inlineStr">
        <is>
          <t>N1</t>
        </is>
      </c>
      <c r="F394" s="61" t="inlineStr">
        <is>
          <t>K052</t>
        </is>
      </c>
      <c r="G394" s="75" t="n">
        <v>7.49</v>
      </c>
      <c r="H394" s="65" t="n"/>
      <c r="I394" s="66" t="n"/>
      <c r="J394" s="67">
        <f>VLOOKUP(C394,Recipes!$A$2:$N$4,10,FALSE())</f>
        <v/>
      </c>
      <c r="K394" s="68">
        <f>VLOOKUP(C394,Recipes!$A$2:$N$4,12,FALSE())</f>
        <v/>
      </c>
      <c r="L394" s="67">
        <f>J394-3*K394</f>
        <v/>
      </c>
      <c r="M394" s="67">
        <f>J394+3*K394</f>
        <v/>
      </c>
      <c r="N394" s="61">
        <f>IF(G394="","",IF(AND(G394&gt;=L394,G394&lt;=M394),"OK","NG"))</f>
        <v/>
      </c>
      <c r="O394" s="69">
        <f>IF(N394="","",IF(N394=D394,1,0))</f>
        <v/>
      </c>
      <c r="P394" s="67">
        <f>IF(G394="","",J394-G394)</f>
        <v/>
      </c>
      <c r="Q394" s="67">
        <f>IF(G394="","",ABS(P394-Components!$D$2)/Components!$E$2)</f>
        <v/>
      </c>
      <c r="R394" s="67">
        <f>IF(G394="","",ABS(P394-Components!$D$3)/Components!$E$3)</f>
        <v/>
      </c>
      <c r="S394" s="67">
        <f>IF(G394="","",ABS(P394-Components!$D$4)/Components!$E$4)</f>
        <v/>
      </c>
      <c r="T394" s="67">
        <f>IF(G394="","",ABS(P394-Components!$D$5)/Components!$E$5)</f>
        <v/>
      </c>
      <c r="U394" s="67">
        <f>IF(G394="","",ABS(P394-Components!$D$6)/Components!$E$6)</f>
        <v/>
      </c>
      <c r="V394" s="67">
        <f>IF(G394="","",ABS(P394-Components!$D$7)/Components!$E$7)</f>
        <v/>
      </c>
      <c r="W394" s="61">
        <f>IF(G394="","",IF(N394="OK","NONE",INDEX({"S1","S2","W1","W2","N1","N2"},MATCH(MIN(Q394:V394),Q394:V394,0))))</f>
        <v/>
      </c>
      <c r="X394" s="69">
        <f>IF(G394="","",IF(W394=E394,1,0))</f>
        <v/>
      </c>
    </row>
    <row r="395">
      <c r="A395" s="61" t="n">
        <v>52</v>
      </c>
      <c r="B395" s="62" t="n">
        <v>48</v>
      </c>
      <c r="C395" s="61" t="inlineStr">
        <is>
          <t>R6</t>
        </is>
      </c>
      <c r="D395" s="74" t="inlineStr">
        <is>
          <t>NG</t>
        </is>
      </c>
      <c r="E395" s="61" t="inlineStr">
        <is>
          <t>N1</t>
        </is>
      </c>
      <c r="F395" s="61" t="inlineStr">
        <is>
          <t>K052</t>
        </is>
      </c>
      <c r="G395" s="75" t="n">
        <v>7.43</v>
      </c>
      <c r="H395" s="65" t="n"/>
      <c r="I395" s="66" t="n"/>
      <c r="J395" s="67">
        <f>VLOOKUP(C395,Recipes!$A$2:$N$4,10,FALSE())</f>
        <v/>
      </c>
      <c r="K395" s="68">
        <f>VLOOKUP(C395,Recipes!$A$2:$N$4,12,FALSE())</f>
        <v/>
      </c>
      <c r="L395" s="67">
        <f>J395-3*K395</f>
        <v/>
      </c>
      <c r="M395" s="67">
        <f>J395+3*K395</f>
        <v/>
      </c>
      <c r="N395" s="61">
        <f>IF(G395="","",IF(AND(G395&gt;=L395,G395&lt;=M395),"OK","NG"))</f>
        <v/>
      </c>
      <c r="O395" s="69">
        <f>IF(N395="","",IF(N395=D395,1,0))</f>
        <v/>
      </c>
      <c r="P395" s="67">
        <f>IF(G395="","",J395-G395)</f>
        <v/>
      </c>
      <c r="Q395" s="67">
        <f>IF(G395="","",ABS(P395-Components!$D$2)/Components!$E$2)</f>
        <v/>
      </c>
      <c r="R395" s="67">
        <f>IF(G395="","",ABS(P395-Components!$D$3)/Components!$E$3)</f>
        <v/>
      </c>
      <c r="S395" s="67">
        <f>IF(G395="","",ABS(P395-Components!$D$4)/Components!$E$4)</f>
        <v/>
      </c>
      <c r="T395" s="67">
        <f>IF(G395="","",ABS(P395-Components!$D$5)/Components!$E$5)</f>
        <v/>
      </c>
      <c r="U395" s="67">
        <f>IF(G395="","",ABS(P395-Components!$D$6)/Components!$E$6)</f>
        <v/>
      </c>
      <c r="V395" s="67">
        <f>IF(G395="","",ABS(P395-Components!$D$7)/Components!$E$7)</f>
        <v/>
      </c>
      <c r="W395" s="61">
        <f>IF(G395="","",IF(N395="OK","NONE",INDEX({"S1","S2","W1","W2","N1","N2"},MATCH(MIN(Q395:V395),Q395:V395,0))))</f>
        <v/>
      </c>
      <c r="X395" s="69">
        <f>IF(G395="","",IF(W395=E395,1,0))</f>
        <v/>
      </c>
    </row>
    <row r="396">
      <c r="A396" s="61" t="n">
        <v>52</v>
      </c>
      <c r="B396" s="62" t="n">
        <v>48</v>
      </c>
      <c r="C396" s="61" t="inlineStr">
        <is>
          <t>R6</t>
        </is>
      </c>
      <c r="D396" s="74" t="inlineStr">
        <is>
          <t>NG</t>
        </is>
      </c>
      <c r="E396" s="61" t="inlineStr">
        <is>
          <t>N1</t>
        </is>
      </c>
      <c r="F396" s="61" t="inlineStr">
        <is>
          <t>K052</t>
        </is>
      </c>
      <c r="G396" s="75" t="n">
        <v>7.39</v>
      </c>
      <c r="H396" s="65" t="n"/>
      <c r="I396" s="66" t="n"/>
      <c r="J396" s="67">
        <f>VLOOKUP(C396,Recipes!$A$2:$N$4,10,FALSE())</f>
        <v/>
      </c>
      <c r="K396" s="68">
        <f>VLOOKUP(C396,Recipes!$A$2:$N$4,12,FALSE())</f>
        <v/>
      </c>
      <c r="L396" s="67">
        <f>J396-3*K396</f>
        <v/>
      </c>
      <c r="M396" s="67">
        <f>J396+3*K396</f>
        <v/>
      </c>
      <c r="N396" s="61">
        <f>IF(G396="","",IF(AND(G396&gt;=L396,G396&lt;=M396),"OK","NG"))</f>
        <v/>
      </c>
      <c r="O396" s="69">
        <f>IF(N396="","",IF(N396=D396,1,0))</f>
        <v/>
      </c>
      <c r="P396" s="67">
        <f>IF(G396="","",J396-G396)</f>
        <v/>
      </c>
      <c r="Q396" s="67">
        <f>IF(G396="","",ABS(P396-Components!$D$2)/Components!$E$2)</f>
        <v/>
      </c>
      <c r="R396" s="67">
        <f>IF(G396="","",ABS(P396-Components!$D$3)/Components!$E$3)</f>
        <v/>
      </c>
      <c r="S396" s="67">
        <f>IF(G396="","",ABS(P396-Components!$D$4)/Components!$E$4)</f>
        <v/>
      </c>
      <c r="T396" s="67">
        <f>IF(G396="","",ABS(P396-Components!$D$5)/Components!$E$5)</f>
        <v/>
      </c>
      <c r="U396" s="67">
        <f>IF(G396="","",ABS(P396-Components!$D$6)/Components!$E$6)</f>
        <v/>
      </c>
      <c r="V396" s="67">
        <f>IF(G396="","",ABS(P396-Components!$D$7)/Components!$E$7)</f>
        <v/>
      </c>
      <c r="W396" s="61">
        <f>IF(G396="","",IF(N396="OK","NONE",INDEX({"S1","S2","W1","W2","N1","N2"},MATCH(MIN(Q396:V396),Q396:V396,0))))</f>
        <v/>
      </c>
      <c r="X396" s="69">
        <f>IF(G396="","",IF(W396=E396,1,0))</f>
        <v/>
      </c>
    </row>
    <row r="397">
      <c r="A397" s="61" t="n">
        <v>52</v>
      </c>
      <c r="B397" s="62" t="n">
        <v>48</v>
      </c>
      <c r="C397" s="61" t="inlineStr">
        <is>
          <t>R6</t>
        </is>
      </c>
      <c r="D397" s="74" t="inlineStr">
        <is>
          <t>NG</t>
        </is>
      </c>
      <c r="E397" s="61" t="inlineStr">
        <is>
          <t>N1</t>
        </is>
      </c>
      <c r="F397" s="61" t="inlineStr">
        <is>
          <t>K052</t>
        </is>
      </c>
      <c r="G397" s="75" t="n">
        <v>7.49</v>
      </c>
      <c r="H397" s="65" t="n"/>
      <c r="I397" s="66" t="n"/>
      <c r="J397" s="67">
        <f>VLOOKUP(C397,Recipes!$A$2:$N$4,10,FALSE())</f>
        <v/>
      </c>
      <c r="K397" s="68">
        <f>VLOOKUP(C397,Recipes!$A$2:$N$4,12,FALSE())</f>
        <v/>
      </c>
      <c r="L397" s="67">
        <f>J397-3*K397</f>
        <v/>
      </c>
      <c r="M397" s="67">
        <f>J397+3*K397</f>
        <v/>
      </c>
      <c r="N397" s="61">
        <f>IF(G397="","",IF(AND(G397&gt;=L397,G397&lt;=M397),"OK","NG"))</f>
        <v/>
      </c>
      <c r="O397" s="69">
        <f>IF(N397="","",IF(N397=D397,1,0))</f>
        <v/>
      </c>
      <c r="P397" s="67">
        <f>IF(G397="","",J397-G397)</f>
        <v/>
      </c>
      <c r="Q397" s="67">
        <f>IF(G397="","",ABS(P397-Components!$D$2)/Components!$E$2)</f>
        <v/>
      </c>
      <c r="R397" s="67">
        <f>IF(G397="","",ABS(P397-Components!$D$3)/Components!$E$3)</f>
        <v/>
      </c>
      <c r="S397" s="67">
        <f>IF(G397="","",ABS(P397-Components!$D$4)/Components!$E$4)</f>
        <v/>
      </c>
      <c r="T397" s="67">
        <f>IF(G397="","",ABS(P397-Components!$D$5)/Components!$E$5)</f>
        <v/>
      </c>
      <c r="U397" s="67">
        <f>IF(G397="","",ABS(P397-Components!$D$6)/Components!$E$6)</f>
        <v/>
      </c>
      <c r="V397" s="67">
        <f>IF(G397="","",ABS(P397-Components!$D$7)/Components!$E$7)</f>
        <v/>
      </c>
      <c r="W397" s="61">
        <f>IF(G397="","",IF(N397="OK","NONE",INDEX({"S1","S2","W1","W2","N1","N2"},MATCH(MIN(Q397:V397),Q397:V397,0))))</f>
        <v/>
      </c>
      <c r="X397" s="69">
        <f>IF(G397="","",IF(W397=E397,1,0))</f>
        <v/>
      </c>
    </row>
    <row r="398">
      <c r="A398" s="61" t="n">
        <v>52</v>
      </c>
      <c r="B398" s="62" t="n">
        <v>48</v>
      </c>
      <c r="C398" s="61" t="inlineStr">
        <is>
          <t>R6</t>
        </is>
      </c>
      <c r="D398" s="74" t="inlineStr">
        <is>
          <t>NG</t>
        </is>
      </c>
      <c r="E398" s="61" t="inlineStr">
        <is>
          <t>N1</t>
        </is>
      </c>
      <c r="F398" s="61" t="inlineStr">
        <is>
          <t>K052</t>
        </is>
      </c>
      <c r="G398" s="75" t="n">
        <v>7.48</v>
      </c>
      <c r="H398" s="65" t="n"/>
      <c r="I398" s="66" t="n"/>
      <c r="J398" s="67">
        <f>VLOOKUP(C398,Recipes!$A$2:$N$4,10,FALSE())</f>
        <v/>
      </c>
      <c r="K398" s="68">
        <f>VLOOKUP(C398,Recipes!$A$2:$N$4,12,FALSE())</f>
        <v/>
      </c>
      <c r="L398" s="67">
        <f>J398-3*K398</f>
        <v/>
      </c>
      <c r="M398" s="67">
        <f>J398+3*K398</f>
        <v/>
      </c>
      <c r="N398" s="61">
        <f>IF(G398="","",IF(AND(G398&gt;=L398,G398&lt;=M398),"OK","NG"))</f>
        <v/>
      </c>
      <c r="O398" s="69">
        <f>IF(N398="","",IF(N398=D398,1,0))</f>
        <v/>
      </c>
      <c r="P398" s="67">
        <f>IF(G398="","",J398-G398)</f>
        <v/>
      </c>
      <c r="Q398" s="67">
        <f>IF(G398="","",ABS(P398-Components!$D$2)/Components!$E$2)</f>
        <v/>
      </c>
      <c r="R398" s="67">
        <f>IF(G398="","",ABS(P398-Components!$D$3)/Components!$E$3)</f>
        <v/>
      </c>
      <c r="S398" s="67">
        <f>IF(G398="","",ABS(P398-Components!$D$4)/Components!$E$4)</f>
        <v/>
      </c>
      <c r="T398" s="67">
        <f>IF(G398="","",ABS(P398-Components!$D$5)/Components!$E$5)</f>
        <v/>
      </c>
      <c r="U398" s="67">
        <f>IF(G398="","",ABS(P398-Components!$D$6)/Components!$E$6)</f>
        <v/>
      </c>
      <c r="V398" s="67">
        <f>IF(G398="","",ABS(P398-Components!$D$7)/Components!$E$7)</f>
        <v/>
      </c>
      <c r="W398" s="61">
        <f>IF(G398="","",IF(N398="OK","NONE",INDEX({"S1","S2","W1","W2","N1","N2"},MATCH(MIN(Q398:V398),Q398:V398,0))))</f>
        <v/>
      </c>
      <c r="X398" s="69">
        <f>IF(G398="","",IF(W398=E398,1,0))</f>
        <v/>
      </c>
    </row>
    <row r="399">
      <c r="A399" s="61" t="n">
        <v>52</v>
      </c>
      <c r="B399" s="62" t="n">
        <v>48</v>
      </c>
      <c r="C399" s="61" t="inlineStr">
        <is>
          <t>R6</t>
        </is>
      </c>
      <c r="D399" s="74" t="inlineStr">
        <is>
          <t>NG</t>
        </is>
      </c>
      <c r="E399" s="61" t="inlineStr">
        <is>
          <t>N1</t>
        </is>
      </c>
      <c r="F399" s="61" t="inlineStr">
        <is>
          <t>K052</t>
        </is>
      </c>
      <c r="G399" s="75" t="n">
        <v>7.46</v>
      </c>
      <c r="H399" s="65" t="n"/>
      <c r="I399" s="66" t="n"/>
      <c r="J399" s="67">
        <f>VLOOKUP(C399,Recipes!$A$2:$N$4,10,FALSE())</f>
        <v/>
      </c>
      <c r="K399" s="68">
        <f>VLOOKUP(C399,Recipes!$A$2:$N$4,12,FALSE())</f>
        <v/>
      </c>
      <c r="L399" s="67">
        <f>J399-3*K399</f>
        <v/>
      </c>
      <c r="M399" s="67">
        <f>J399+3*K399</f>
        <v/>
      </c>
      <c r="N399" s="61">
        <f>IF(G399="","",IF(AND(G399&gt;=L399,G399&lt;=M399),"OK","NG"))</f>
        <v/>
      </c>
      <c r="O399" s="69">
        <f>IF(N399="","",IF(N399=D399,1,0))</f>
        <v/>
      </c>
      <c r="P399" s="67">
        <f>IF(G399="","",J399-G399)</f>
        <v/>
      </c>
      <c r="Q399" s="67">
        <f>IF(G399="","",ABS(P399-Components!$D$2)/Components!$E$2)</f>
        <v/>
      </c>
      <c r="R399" s="67">
        <f>IF(G399="","",ABS(P399-Components!$D$3)/Components!$E$3)</f>
        <v/>
      </c>
      <c r="S399" s="67">
        <f>IF(G399="","",ABS(P399-Components!$D$4)/Components!$E$4)</f>
        <v/>
      </c>
      <c r="T399" s="67">
        <f>IF(G399="","",ABS(P399-Components!$D$5)/Components!$E$5)</f>
        <v/>
      </c>
      <c r="U399" s="67">
        <f>IF(G399="","",ABS(P399-Components!$D$6)/Components!$E$6)</f>
        <v/>
      </c>
      <c r="V399" s="67">
        <f>IF(G399="","",ABS(P399-Components!$D$7)/Components!$E$7)</f>
        <v/>
      </c>
      <c r="W399" s="61">
        <f>IF(G399="","",IF(N399="OK","NONE",INDEX({"S1","S2","W1","W2","N1","N2"},MATCH(MIN(Q399:V399),Q399:V399,0))))</f>
        <v/>
      </c>
      <c r="X399" s="69">
        <f>IF(G399="","",IF(W399=E399,1,0))</f>
        <v/>
      </c>
    </row>
    <row r="400">
      <c r="A400" s="61" t="n">
        <v>52</v>
      </c>
      <c r="B400" s="62" t="n">
        <v>48</v>
      </c>
      <c r="C400" s="61" t="inlineStr">
        <is>
          <t>R6</t>
        </is>
      </c>
      <c r="D400" s="74" t="inlineStr">
        <is>
          <t>NG</t>
        </is>
      </c>
      <c r="E400" s="61" t="inlineStr">
        <is>
          <t>N1</t>
        </is>
      </c>
      <c r="F400" s="61" t="inlineStr">
        <is>
          <t>K052</t>
        </is>
      </c>
      <c r="G400" s="75" t="n">
        <v>7.48</v>
      </c>
      <c r="H400" s="65" t="n"/>
      <c r="I400" s="66" t="n"/>
      <c r="J400" s="67">
        <f>VLOOKUP(C400,Recipes!$A$2:$N$4,10,FALSE())</f>
        <v/>
      </c>
      <c r="K400" s="68">
        <f>VLOOKUP(C400,Recipes!$A$2:$N$4,12,FALSE())</f>
        <v/>
      </c>
      <c r="L400" s="67">
        <f>J400-3*K400</f>
        <v/>
      </c>
      <c r="M400" s="67">
        <f>J400+3*K400</f>
        <v/>
      </c>
      <c r="N400" s="61">
        <f>IF(G400="","",IF(AND(G400&gt;=L400,G400&lt;=M400),"OK","NG"))</f>
        <v/>
      </c>
      <c r="O400" s="69">
        <f>IF(N400="","",IF(N400=D400,1,0))</f>
        <v/>
      </c>
      <c r="P400" s="67">
        <f>IF(G400="","",J400-G400)</f>
        <v/>
      </c>
      <c r="Q400" s="67">
        <f>IF(G400="","",ABS(P400-Components!$D$2)/Components!$E$2)</f>
        <v/>
      </c>
      <c r="R400" s="67">
        <f>IF(G400="","",ABS(P400-Components!$D$3)/Components!$E$3)</f>
        <v/>
      </c>
      <c r="S400" s="67">
        <f>IF(G400="","",ABS(P400-Components!$D$4)/Components!$E$4)</f>
        <v/>
      </c>
      <c r="T400" s="67">
        <f>IF(G400="","",ABS(P400-Components!$D$5)/Components!$E$5)</f>
        <v/>
      </c>
      <c r="U400" s="67">
        <f>IF(G400="","",ABS(P400-Components!$D$6)/Components!$E$6)</f>
        <v/>
      </c>
      <c r="V400" s="67">
        <f>IF(G400="","",ABS(P400-Components!$D$7)/Components!$E$7)</f>
        <v/>
      </c>
      <c r="W400" s="61">
        <f>IF(G400="","",IF(N400="OK","NONE",INDEX({"S1","S2","W1","W2","N1","N2"},MATCH(MIN(Q400:V400),Q400:V400,0))))</f>
        <v/>
      </c>
      <c r="X400" s="69">
        <f>IF(G400="","",IF(W400=E400,1,0))</f>
        <v/>
      </c>
    </row>
    <row r="401">
      <c r="A401" s="61" t="n">
        <v>52</v>
      </c>
      <c r="B401" s="62" t="n">
        <v>48</v>
      </c>
      <c r="C401" s="61" t="inlineStr">
        <is>
          <t>R6</t>
        </is>
      </c>
      <c r="D401" s="74" t="inlineStr">
        <is>
          <t>NG</t>
        </is>
      </c>
      <c r="E401" s="61" t="inlineStr">
        <is>
          <t>N1</t>
        </is>
      </c>
      <c r="F401" s="61" t="inlineStr">
        <is>
          <t>K052</t>
        </is>
      </c>
      <c r="G401" s="75" t="n">
        <v>7.45</v>
      </c>
      <c r="H401" s="65" t="n"/>
      <c r="I401" s="66" t="n"/>
      <c r="J401" s="67">
        <f>VLOOKUP(C401,Recipes!$A$2:$N$4,10,FALSE())</f>
        <v/>
      </c>
      <c r="K401" s="68">
        <f>VLOOKUP(C401,Recipes!$A$2:$N$4,12,FALSE())</f>
        <v/>
      </c>
      <c r="L401" s="67">
        <f>J401-3*K401</f>
        <v/>
      </c>
      <c r="M401" s="67">
        <f>J401+3*K401</f>
        <v/>
      </c>
      <c r="N401" s="61">
        <f>IF(G401="","",IF(AND(G401&gt;=L401,G401&lt;=M401),"OK","NG"))</f>
        <v/>
      </c>
      <c r="O401" s="69">
        <f>IF(N401="","",IF(N401=D401,1,0))</f>
        <v/>
      </c>
      <c r="P401" s="67">
        <f>IF(G401="","",J401-G401)</f>
        <v/>
      </c>
      <c r="Q401" s="67">
        <f>IF(G401="","",ABS(P401-Components!$D$2)/Components!$E$2)</f>
        <v/>
      </c>
      <c r="R401" s="67">
        <f>IF(G401="","",ABS(P401-Components!$D$3)/Components!$E$3)</f>
        <v/>
      </c>
      <c r="S401" s="67">
        <f>IF(G401="","",ABS(P401-Components!$D$4)/Components!$E$4)</f>
        <v/>
      </c>
      <c r="T401" s="67">
        <f>IF(G401="","",ABS(P401-Components!$D$5)/Components!$E$5)</f>
        <v/>
      </c>
      <c r="U401" s="67">
        <f>IF(G401="","",ABS(P401-Components!$D$6)/Components!$E$6)</f>
        <v/>
      </c>
      <c r="V401" s="67">
        <f>IF(G401="","",ABS(P401-Components!$D$7)/Components!$E$7)</f>
        <v/>
      </c>
      <c r="W401" s="61">
        <f>IF(G401="","",IF(N401="OK","NONE",INDEX({"S1","S2","W1","W2","N1","N2"},MATCH(MIN(Q401:V401),Q401:V401,0))))</f>
        <v/>
      </c>
      <c r="X401" s="69">
        <f>IF(G401="","",IF(W401=E401,1,0))</f>
        <v/>
      </c>
    </row>
    <row r="402">
      <c r="A402" s="61" t="n">
        <v>52</v>
      </c>
      <c r="B402" s="62" t="n">
        <v>48</v>
      </c>
      <c r="C402" s="61" t="inlineStr">
        <is>
          <t>R6</t>
        </is>
      </c>
      <c r="D402" s="74" t="inlineStr">
        <is>
          <t>NG</t>
        </is>
      </c>
      <c r="E402" s="61" t="inlineStr">
        <is>
          <t>N1</t>
        </is>
      </c>
      <c r="F402" s="61" t="inlineStr">
        <is>
          <t>K052</t>
        </is>
      </c>
      <c r="G402" s="75" t="n">
        <v>7.43</v>
      </c>
      <c r="H402" s="65" t="n"/>
      <c r="I402" s="66" t="n"/>
      <c r="J402" s="67">
        <f>VLOOKUP(C402,Recipes!$A$2:$N$4,10,FALSE())</f>
        <v/>
      </c>
      <c r="K402" s="68">
        <f>VLOOKUP(C402,Recipes!$A$2:$N$4,12,FALSE())</f>
        <v/>
      </c>
      <c r="L402" s="67">
        <f>J402-3*K402</f>
        <v/>
      </c>
      <c r="M402" s="67">
        <f>J402+3*K402</f>
        <v/>
      </c>
      <c r="N402" s="61">
        <f>IF(G402="","",IF(AND(G402&gt;=L402,G402&lt;=M402),"OK","NG"))</f>
        <v/>
      </c>
      <c r="O402" s="69">
        <f>IF(N402="","",IF(N402=D402,1,0))</f>
        <v/>
      </c>
      <c r="P402" s="67">
        <f>IF(G402="","",J402-G402)</f>
        <v/>
      </c>
      <c r="Q402" s="67">
        <f>IF(G402="","",ABS(P402-Components!$D$2)/Components!$E$2)</f>
        <v/>
      </c>
      <c r="R402" s="67">
        <f>IF(G402="","",ABS(P402-Components!$D$3)/Components!$E$3)</f>
        <v/>
      </c>
      <c r="S402" s="67">
        <f>IF(G402="","",ABS(P402-Components!$D$4)/Components!$E$4)</f>
        <v/>
      </c>
      <c r="T402" s="67">
        <f>IF(G402="","",ABS(P402-Components!$D$5)/Components!$E$5)</f>
        <v/>
      </c>
      <c r="U402" s="67">
        <f>IF(G402="","",ABS(P402-Components!$D$6)/Components!$E$6)</f>
        <v/>
      </c>
      <c r="V402" s="67">
        <f>IF(G402="","",ABS(P402-Components!$D$7)/Components!$E$7)</f>
        <v/>
      </c>
      <c r="W402" s="61">
        <f>IF(G402="","",IF(N402="OK","NONE",INDEX({"S1","S2","W1","W2","N1","N2"},MATCH(MIN(Q402:V402),Q402:V402,0))))</f>
        <v/>
      </c>
      <c r="X402" s="69">
        <f>IF(G402="","",IF(W402=E402,1,0))</f>
        <v/>
      </c>
    </row>
    <row r="403">
      <c r="A403" s="61" t="n">
        <v>52</v>
      </c>
      <c r="B403" s="62" t="n">
        <v>48</v>
      </c>
      <c r="C403" s="61" t="inlineStr">
        <is>
          <t>R6</t>
        </is>
      </c>
      <c r="D403" s="74" t="inlineStr">
        <is>
          <t>NG</t>
        </is>
      </c>
      <c r="E403" s="61" t="inlineStr">
        <is>
          <t>N1</t>
        </is>
      </c>
      <c r="F403" s="61" t="inlineStr">
        <is>
          <t>K052</t>
        </is>
      </c>
      <c r="G403" s="75" t="n">
        <v>7.48</v>
      </c>
      <c r="H403" s="65" t="n"/>
      <c r="I403" s="66" t="n"/>
      <c r="J403" s="67">
        <f>VLOOKUP(C403,Recipes!$A$2:$N$4,10,FALSE())</f>
        <v/>
      </c>
      <c r="K403" s="68">
        <f>VLOOKUP(C403,Recipes!$A$2:$N$4,12,FALSE())</f>
        <v/>
      </c>
      <c r="L403" s="67">
        <f>J403-3*K403</f>
        <v/>
      </c>
      <c r="M403" s="67">
        <f>J403+3*K403</f>
        <v/>
      </c>
      <c r="N403" s="61">
        <f>IF(G403="","",IF(AND(G403&gt;=L403,G403&lt;=M403),"OK","NG"))</f>
        <v/>
      </c>
      <c r="O403" s="69">
        <f>IF(N403="","",IF(N403=D403,1,0))</f>
        <v/>
      </c>
      <c r="P403" s="67">
        <f>IF(G403="","",J403-G403)</f>
        <v/>
      </c>
      <c r="Q403" s="67">
        <f>IF(G403="","",ABS(P403-Components!$D$2)/Components!$E$2)</f>
        <v/>
      </c>
      <c r="R403" s="67">
        <f>IF(G403="","",ABS(P403-Components!$D$3)/Components!$E$3)</f>
        <v/>
      </c>
      <c r="S403" s="67">
        <f>IF(G403="","",ABS(P403-Components!$D$4)/Components!$E$4)</f>
        <v/>
      </c>
      <c r="T403" s="67">
        <f>IF(G403="","",ABS(P403-Components!$D$5)/Components!$E$5)</f>
        <v/>
      </c>
      <c r="U403" s="67">
        <f>IF(G403="","",ABS(P403-Components!$D$6)/Components!$E$6)</f>
        <v/>
      </c>
      <c r="V403" s="67">
        <f>IF(G403="","",ABS(P403-Components!$D$7)/Components!$E$7)</f>
        <v/>
      </c>
      <c r="W403" s="61">
        <f>IF(G403="","",IF(N403="OK","NONE",INDEX({"S1","S2","W1","W2","N1","N2"},MATCH(MIN(Q403:V403),Q403:V403,0))))</f>
        <v/>
      </c>
      <c r="X403" s="69">
        <f>IF(G403="","",IF(W403=E403,1,0))</f>
        <v/>
      </c>
    </row>
    <row r="404">
      <c r="A404" s="61" t="n">
        <v>52</v>
      </c>
      <c r="B404" s="62" t="n">
        <v>48</v>
      </c>
      <c r="C404" s="61" t="inlineStr">
        <is>
          <t>R6</t>
        </is>
      </c>
      <c r="D404" s="74" t="inlineStr">
        <is>
          <t>NG</t>
        </is>
      </c>
      <c r="E404" s="61" t="inlineStr">
        <is>
          <t>N1</t>
        </is>
      </c>
      <c r="F404" s="61" t="inlineStr">
        <is>
          <t>K052</t>
        </is>
      </c>
      <c r="G404" s="75" t="n">
        <v>7.46</v>
      </c>
      <c r="H404" s="65" t="n"/>
      <c r="I404" s="66" t="n"/>
      <c r="J404" s="67">
        <f>VLOOKUP(C404,Recipes!$A$2:$N$4,10,FALSE())</f>
        <v/>
      </c>
      <c r="K404" s="68">
        <f>VLOOKUP(C404,Recipes!$A$2:$N$4,12,FALSE())</f>
        <v/>
      </c>
      <c r="L404" s="67">
        <f>J404-3*K404</f>
        <v/>
      </c>
      <c r="M404" s="67">
        <f>J404+3*K404</f>
        <v/>
      </c>
      <c r="N404" s="61">
        <f>IF(G404="","",IF(AND(G404&gt;=L404,G404&lt;=M404),"OK","NG"))</f>
        <v/>
      </c>
      <c r="O404" s="69">
        <f>IF(N404="","",IF(N404=D404,1,0))</f>
        <v/>
      </c>
      <c r="P404" s="67">
        <f>IF(G404="","",J404-G404)</f>
        <v/>
      </c>
      <c r="Q404" s="67">
        <f>IF(G404="","",ABS(P404-Components!$D$2)/Components!$E$2)</f>
        <v/>
      </c>
      <c r="R404" s="67">
        <f>IF(G404="","",ABS(P404-Components!$D$3)/Components!$E$3)</f>
        <v/>
      </c>
      <c r="S404" s="67">
        <f>IF(G404="","",ABS(P404-Components!$D$4)/Components!$E$4)</f>
        <v/>
      </c>
      <c r="T404" s="67">
        <f>IF(G404="","",ABS(P404-Components!$D$5)/Components!$E$5)</f>
        <v/>
      </c>
      <c r="U404" s="67">
        <f>IF(G404="","",ABS(P404-Components!$D$6)/Components!$E$6)</f>
        <v/>
      </c>
      <c r="V404" s="67">
        <f>IF(G404="","",ABS(P404-Components!$D$7)/Components!$E$7)</f>
        <v/>
      </c>
      <c r="W404" s="61">
        <f>IF(G404="","",IF(N404="OK","NONE",INDEX({"S1","S2","W1","W2","N1","N2"},MATCH(MIN(Q404:V404),Q404:V404,0))))</f>
        <v/>
      </c>
      <c r="X404" s="69">
        <f>IF(G404="","",IF(W404=E404,1,0))</f>
        <v/>
      </c>
    </row>
    <row r="405">
      <c r="A405" s="61" t="n">
        <v>52</v>
      </c>
      <c r="B405" s="62" t="n">
        <v>48</v>
      </c>
      <c r="C405" s="61" t="inlineStr">
        <is>
          <t>R6</t>
        </is>
      </c>
      <c r="D405" s="74" t="inlineStr">
        <is>
          <t>NG</t>
        </is>
      </c>
      <c r="E405" s="61" t="inlineStr">
        <is>
          <t>N1</t>
        </is>
      </c>
      <c r="F405" s="61" t="inlineStr">
        <is>
          <t>K052</t>
        </is>
      </c>
      <c r="G405" s="75" t="n">
        <v>7.47</v>
      </c>
      <c r="H405" s="65" t="n"/>
      <c r="I405" s="66" t="n"/>
      <c r="J405" s="67">
        <f>VLOOKUP(C405,Recipes!$A$2:$N$4,10,FALSE())</f>
        <v/>
      </c>
      <c r="K405" s="68">
        <f>VLOOKUP(C405,Recipes!$A$2:$N$4,12,FALSE())</f>
        <v/>
      </c>
      <c r="L405" s="67">
        <f>J405-3*K405</f>
        <v/>
      </c>
      <c r="M405" s="67">
        <f>J405+3*K405</f>
        <v/>
      </c>
      <c r="N405" s="61">
        <f>IF(G405="","",IF(AND(G405&gt;=L405,G405&lt;=M405),"OK","NG"))</f>
        <v/>
      </c>
      <c r="O405" s="69">
        <f>IF(N405="","",IF(N405=D405,1,0))</f>
        <v/>
      </c>
      <c r="P405" s="67">
        <f>IF(G405="","",J405-G405)</f>
        <v/>
      </c>
      <c r="Q405" s="67">
        <f>IF(G405="","",ABS(P405-Components!$D$2)/Components!$E$2)</f>
        <v/>
      </c>
      <c r="R405" s="67">
        <f>IF(G405="","",ABS(P405-Components!$D$3)/Components!$E$3)</f>
        <v/>
      </c>
      <c r="S405" s="67">
        <f>IF(G405="","",ABS(P405-Components!$D$4)/Components!$E$4)</f>
        <v/>
      </c>
      <c r="T405" s="67">
        <f>IF(G405="","",ABS(P405-Components!$D$5)/Components!$E$5)</f>
        <v/>
      </c>
      <c r="U405" s="67">
        <f>IF(G405="","",ABS(P405-Components!$D$6)/Components!$E$6)</f>
        <v/>
      </c>
      <c r="V405" s="67">
        <f>IF(G405="","",ABS(P405-Components!$D$7)/Components!$E$7)</f>
        <v/>
      </c>
      <c r="W405" s="61">
        <f>IF(G405="","",IF(N405="OK","NONE",INDEX({"S1","S2","W1","W2","N1","N2"},MATCH(MIN(Q405:V405),Q405:V405,0))))</f>
        <v/>
      </c>
      <c r="X405" s="69">
        <f>IF(G405="","",IF(W405=E405,1,0))</f>
        <v/>
      </c>
    </row>
    <row r="406">
      <c r="A406" s="61" t="n">
        <v>52</v>
      </c>
      <c r="B406" s="62" t="n">
        <v>48</v>
      </c>
      <c r="C406" s="61" t="inlineStr">
        <is>
          <t>R6</t>
        </is>
      </c>
      <c r="D406" s="74" t="inlineStr">
        <is>
          <t>NG</t>
        </is>
      </c>
      <c r="E406" s="61" t="inlineStr">
        <is>
          <t>N1</t>
        </is>
      </c>
      <c r="F406" s="61" t="inlineStr">
        <is>
          <t>K052</t>
        </is>
      </c>
      <c r="G406" s="75" t="n">
        <v>7.3</v>
      </c>
      <c r="H406" s="65" t="n"/>
      <c r="I406" s="66" t="n"/>
      <c r="J406" s="67">
        <f>VLOOKUP(C406,Recipes!$A$2:$N$4,10,FALSE())</f>
        <v/>
      </c>
      <c r="K406" s="68">
        <f>VLOOKUP(C406,Recipes!$A$2:$N$4,12,FALSE())</f>
        <v/>
      </c>
      <c r="L406" s="67">
        <f>J406-3*K406</f>
        <v/>
      </c>
      <c r="M406" s="67">
        <f>J406+3*K406</f>
        <v/>
      </c>
      <c r="N406" s="61">
        <f>IF(G406="","",IF(AND(G406&gt;=L406,G406&lt;=M406),"OK","NG"))</f>
        <v/>
      </c>
      <c r="O406" s="69">
        <f>IF(N406="","",IF(N406=D406,1,0))</f>
        <v/>
      </c>
      <c r="P406" s="67">
        <f>IF(G406="","",J406-G406)</f>
        <v/>
      </c>
      <c r="Q406" s="67">
        <f>IF(G406="","",ABS(P406-Components!$D$2)/Components!$E$2)</f>
        <v/>
      </c>
      <c r="R406" s="67">
        <f>IF(G406="","",ABS(P406-Components!$D$3)/Components!$E$3)</f>
        <v/>
      </c>
      <c r="S406" s="67">
        <f>IF(G406="","",ABS(P406-Components!$D$4)/Components!$E$4)</f>
        <v/>
      </c>
      <c r="T406" s="67">
        <f>IF(G406="","",ABS(P406-Components!$D$5)/Components!$E$5)</f>
        <v/>
      </c>
      <c r="U406" s="67">
        <f>IF(G406="","",ABS(P406-Components!$D$6)/Components!$E$6)</f>
        <v/>
      </c>
      <c r="V406" s="67">
        <f>IF(G406="","",ABS(P406-Components!$D$7)/Components!$E$7)</f>
        <v/>
      </c>
      <c r="W406" s="61">
        <f>IF(G406="","",IF(N406="OK","NONE",INDEX({"S1","S2","W1","W2","N1","N2"},MATCH(MIN(Q406:V406),Q406:V406,0))))</f>
        <v/>
      </c>
      <c r="X406" s="71">
        <f>IF(G406="","",IF(W406=E406,1,0))</f>
        <v/>
      </c>
    </row>
    <row r="407">
      <c r="A407" s="61" t="n">
        <v>52</v>
      </c>
      <c r="B407" s="62" t="n">
        <v>48</v>
      </c>
      <c r="C407" s="61" t="inlineStr">
        <is>
          <t>R6</t>
        </is>
      </c>
      <c r="D407" s="74" t="inlineStr">
        <is>
          <t>NG</t>
        </is>
      </c>
      <c r="E407" s="61" t="inlineStr">
        <is>
          <t>N1</t>
        </is>
      </c>
      <c r="F407" s="61" t="inlineStr">
        <is>
          <t>K052</t>
        </is>
      </c>
      <c r="G407" s="75" t="n">
        <v>7.44</v>
      </c>
      <c r="H407" s="65" t="n"/>
      <c r="I407" s="66" t="n"/>
      <c r="J407" s="67">
        <f>VLOOKUP(C407,Recipes!$A$2:$N$4,10,FALSE())</f>
        <v/>
      </c>
      <c r="K407" s="68">
        <f>VLOOKUP(C407,Recipes!$A$2:$N$4,12,FALSE())</f>
        <v/>
      </c>
      <c r="L407" s="67">
        <f>J407-3*K407</f>
        <v/>
      </c>
      <c r="M407" s="67">
        <f>J407+3*K407</f>
        <v/>
      </c>
      <c r="N407" s="61">
        <f>IF(G407="","",IF(AND(G407&gt;=L407,G407&lt;=M407),"OK","NG"))</f>
        <v/>
      </c>
      <c r="O407" s="69">
        <f>IF(N407="","",IF(N407=D407,1,0))</f>
        <v/>
      </c>
      <c r="P407" s="67">
        <f>IF(G407="","",J407-G407)</f>
        <v/>
      </c>
      <c r="Q407" s="67">
        <f>IF(G407="","",ABS(P407-Components!$D$2)/Components!$E$2)</f>
        <v/>
      </c>
      <c r="R407" s="67">
        <f>IF(G407="","",ABS(P407-Components!$D$3)/Components!$E$3)</f>
        <v/>
      </c>
      <c r="S407" s="67">
        <f>IF(G407="","",ABS(P407-Components!$D$4)/Components!$E$4)</f>
        <v/>
      </c>
      <c r="T407" s="67">
        <f>IF(G407="","",ABS(P407-Components!$D$5)/Components!$E$5)</f>
        <v/>
      </c>
      <c r="U407" s="67">
        <f>IF(G407="","",ABS(P407-Components!$D$6)/Components!$E$6)</f>
        <v/>
      </c>
      <c r="V407" s="67">
        <f>IF(G407="","",ABS(P407-Components!$D$7)/Components!$E$7)</f>
        <v/>
      </c>
      <c r="W407" s="61">
        <f>IF(G407="","",IF(N407="OK","NONE",INDEX({"S1","S2","W1","W2","N1","N2"},MATCH(MIN(Q407:V407),Q407:V407,0))))</f>
        <v/>
      </c>
      <c r="X407" s="69">
        <f>IF(G407="","",IF(W407=E407,1,0))</f>
        <v/>
      </c>
    </row>
    <row r="408">
      <c r="A408" s="61" t="n">
        <v>52</v>
      </c>
      <c r="B408" s="62" t="n">
        <v>48</v>
      </c>
      <c r="C408" s="61" t="inlineStr">
        <is>
          <t>R6</t>
        </is>
      </c>
      <c r="D408" s="74" t="inlineStr">
        <is>
          <t>NG</t>
        </is>
      </c>
      <c r="E408" s="61" t="inlineStr">
        <is>
          <t>N1</t>
        </is>
      </c>
      <c r="F408" s="61" t="inlineStr">
        <is>
          <t>K052</t>
        </is>
      </c>
      <c r="G408" s="75" t="n">
        <v>7.45</v>
      </c>
      <c r="H408" s="65" t="n"/>
      <c r="I408" s="66" t="n"/>
      <c r="J408" s="67">
        <f>VLOOKUP(C408,Recipes!$A$2:$N$4,10,FALSE())</f>
        <v/>
      </c>
      <c r="K408" s="68">
        <f>VLOOKUP(C408,Recipes!$A$2:$N$4,12,FALSE())</f>
        <v/>
      </c>
      <c r="L408" s="67">
        <f>J408-3*K408</f>
        <v/>
      </c>
      <c r="M408" s="67">
        <f>J408+3*K408</f>
        <v/>
      </c>
      <c r="N408" s="61">
        <f>IF(G408="","",IF(AND(G408&gt;=L408,G408&lt;=M408),"OK","NG"))</f>
        <v/>
      </c>
      <c r="O408" s="69">
        <f>IF(N408="","",IF(N408=D408,1,0))</f>
        <v/>
      </c>
      <c r="P408" s="67">
        <f>IF(G408="","",J408-G408)</f>
        <v/>
      </c>
      <c r="Q408" s="67">
        <f>IF(G408="","",ABS(P408-Components!$D$2)/Components!$E$2)</f>
        <v/>
      </c>
      <c r="R408" s="67">
        <f>IF(G408="","",ABS(P408-Components!$D$3)/Components!$E$3)</f>
        <v/>
      </c>
      <c r="S408" s="67">
        <f>IF(G408="","",ABS(P408-Components!$D$4)/Components!$E$4)</f>
        <v/>
      </c>
      <c r="T408" s="67">
        <f>IF(G408="","",ABS(P408-Components!$D$5)/Components!$E$5)</f>
        <v/>
      </c>
      <c r="U408" s="67">
        <f>IF(G408="","",ABS(P408-Components!$D$6)/Components!$E$6)</f>
        <v/>
      </c>
      <c r="V408" s="67">
        <f>IF(G408="","",ABS(P408-Components!$D$7)/Components!$E$7)</f>
        <v/>
      </c>
      <c r="W408" s="61">
        <f>IF(G408="","",IF(N408="OK","NONE",INDEX({"S1","S2","W1","W2","N1","N2"},MATCH(MIN(Q408:V408),Q408:V408,0))))</f>
        <v/>
      </c>
      <c r="X408" s="69">
        <f>IF(G408="","",IF(W408=E408,1,0))</f>
        <v/>
      </c>
    </row>
    <row r="409">
      <c r="A409" s="61" t="n">
        <v>52</v>
      </c>
      <c r="B409" s="62" t="n">
        <v>48</v>
      </c>
      <c r="C409" s="61" t="inlineStr">
        <is>
          <t>R6</t>
        </is>
      </c>
      <c r="D409" s="74" t="inlineStr">
        <is>
          <t>NG</t>
        </is>
      </c>
      <c r="E409" s="61" t="inlineStr">
        <is>
          <t>N1</t>
        </is>
      </c>
      <c r="F409" s="61" t="inlineStr">
        <is>
          <t>K052</t>
        </is>
      </c>
      <c r="G409" s="75" t="n">
        <v>7.45</v>
      </c>
      <c r="H409" s="65" t="n"/>
      <c r="I409" s="66" t="n"/>
      <c r="J409" s="67">
        <f>VLOOKUP(C409,Recipes!$A$2:$N$4,10,FALSE())</f>
        <v/>
      </c>
      <c r="K409" s="68">
        <f>VLOOKUP(C409,Recipes!$A$2:$N$4,12,FALSE())</f>
        <v/>
      </c>
      <c r="L409" s="67">
        <f>J409-3*K409</f>
        <v/>
      </c>
      <c r="M409" s="67">
        <f>J409+3*K409</f>
        <v/>
      </c>
      <c r="N409" s="61">
        <f>IF(G409="","",IF(AND(G409&gt;=L409,G409&lt;=M409),"OK","NG"))</f>
        <v/>
      </c>
      <c r="O409" s="69">
        <f>IF(N409="","",IF(N409=D409,1,0))</f>
        <v/>
      </c>
      <c r="P409" s="67">
        <f>IF(G409="","",J409-G409)</f>
        <v/>
      </c>
      <c r="Q409" s="67">
        <f>IF(G409="","",ABS(P409-Components!$D$2)/Components!$E$2)</f>
        <v/>
      </c>
      <c r="R409" s="67">
        <f>IF(G409="","",ABS(P409-Components!$D$3)/Components!$E$3)</f>
        <v/>
      </c>
      <c r="S409" s="67">
        <f>IF(G409="","",ABS(P409-Components!$D$4)/Components!$E$4)</f>
        <v/>
      </c>
      <c r="T409" s="67">
        <f>IF(G409="","",ABS(P409-Components!$D$5)/Components!$E$5)</f>
        <v/>
      </c>
      <c r="U409" s="67">
        <f>IF(G409="","",ABS(P409-Components!$D$6)/Components!$E$6)</f>
        <v/>
      </c>
      <c r="V409" s="67">
        <f>IF(G409="","",ABS(P409-Components!$D$7)/Components!$E$7)</f>
        <v/>
      </c>
      <c r="W409" s="61">
        <f>IF(G409="","",IF(N409="OK","NONE",INDEX({"S1","S2","W1","W2","N1","N2"},MATCH(MIN(Q409:V409),Q409:V409,0))))</f>
        <v/>
      </c>
      <c r="X409" s="69">
        <f>IF(G409="","",IF(W409=E409,1,0))</f>
        <v/>
      </c>
    </row>
    <row r="410">
      <c r="A410" s="61" t="n">
        <v>52</v>
      </c>
      <c r="B410" s="62" t="n">
        <v>48</v>
      </c>
      <c r="C410" s="61" t="inlineStr">
        <is>
          <t>R6</t>
        </is>
      </c>
      <c r="D410" s="74" t="inlineStr">
        <is>
          <t>NG</t>
        </is>
      </c>
      <c r="E410" s="61" t="inlineStr">
        <is>
          <t>N1</t>
        </is>
      </c>
      <c r="F410" s="61" t="inlineStr">
        <is>
          <t>K052</t>
        </is>
      </c>
      <c r="G410" s="75" t="n">
        <v>7.44</v>
      </c>
      <c r="H410" s="65" t="n"/>
      <c r="I410" s="66" t="n"/>
      <c r="J410" s="67">
        <f>VLOOKUP(C410,Recipes!$A$2:$N$4,10,FALSE())</f>
        <v/>
      </c>
      <c r="K410" s="68">
        <f>VLOOKUP(C410,Recipes!$A$2:$N$4,12,FALSE())</f>
        <v/>
      </c>
      <c r="L410" s="67">
        <f>J410-3*K410</f>
        <v/>
      </c>
      <c r="M410" s="67">
        <f>J410+3*K410</f>
        <v/>
      </c>
      <c r="N410" s="61">
        <f>IF(G410="","",IF(AND(G410&gt;=L410,G410&lt;=M410),"OK","NG"))</f>
        <v/>
      </c>
      <c r="O410" s="69">
        <f>IF(N410="","",IF(N410=D410,1,0))</f>
        <v/>
      </c>
      <c r="P410" s="67">
        <f>IF(G410="","",J410-G410)</f>
        <v/>
      </c>
      <c r="Q410" s="67">
        <f>IF(G410="","",ABS(P410-Components!$D$2)/Components!$E$2)</f>
        <v/>
      </c>
      <c r="R410" s="67">
        <f>IF(G410="","",ABS(P410-Components!$D$3)/Components!$E$3)</f>
        <v/>
      </c>
      <c r="S410" s="67">
        <f>IF(G410="","",ABS(P410-Components!$D$4)/Components!$E$4)</f>
        <v/>
      </c>
      <c r="T410" s="67">
        <f>IF(G410="","",ABS(P410-Components!$D$5)/Components!$E$5)</f>
        <v/>
      </c>
      <c r="U410" s="67">
        <f>IF(G410="","",ABS(P410-Components!$D$6)/Components!$E$6)</f>
        <v/>
      </c>
      <c r="V410" s="67">
        <f>IF(G410="","",ABS(P410-Components!$D$7)/Components!$E$7)</f>
        <v/>
      </c>
      <c r="W410" s="61">
        <f>IF(G410="","",IF(N410="OK","NONE",INDEX({"S1","S2","W1","W2","N1","N2"},MATCH(MIN(Q410:V410),Q410:V410,0))))</f>
        <v/>
      </c>
      <c r="X410" s="69">
        <f>IF(G410="","",IF(W410=E410,1,0))</f>
        <v/>
      </c>
    </row>
    <row r="411">
      <c r="A411" s="61" t="n">
        <v>52</v>
      </c>
      <c r="B411" s="62" t="n">
        <v>48</v>
      </c>
      <c r="C411" s="61" t="inlineStr">
        <is>
          <t>R6</t>
        </is>
      </c>
      <c r="D411" s="74" t="inlineStr">
        <is>
          <t>NG</t>
        </is>
      </c>
      <c r="E411" s="61" t="inlineStr">
        <is>
          <t>N1</t>
        </is>
      </c>
      <c r="F411" s="61" t="inlineStr">
        <is>
          <t>K052</t>
        </is>
      </c>
      <c r="G411" s="75" t="n">
        <v>7.47</v>
      </c>
      <c r="H411" s="65" t="n"/>
      <c r="I411" s="66" t="n"/>
      <c r="J411" s="67">
        <f>VLOOKUP(C411,Recipes!$A$2:$N$4,10,FALSE())</f>
        <v/>
      </c>
      <c r="K411" s="68">
        <f>VLOOKUP(C411,Recipes!$A$2:$N$4,12,FALSE())</f>
        <v/>
      </c>
      <c r="L411" s="67">
        <f>J411-3*K411</f>
        <v/>
      </c>
      <c r="M411" s="67">
        <f>J411+3*K411</f>
        <v/>
      </c>
      <c r="N411" s="61">
        <f>IF(G411="","",IF(AND(G411&gt;=L411,G411&lt;=M411),"OK","NG"))</f>
        <v/>
      </c>
      <c r="O411" s="69">
        <f>IF(N411="","",IF(N411=D411,1,0))</f>
        <v/>
      </c>
      <c r="P411" s="67">
        <f>IF(G411="","",J411-G411)</f>
        <v/>
      </c>
      <c r="Q411" s="67">
        <f>IF(G411="","",ABS(P411-Components!$D$2)/Components!$E$2)</f>
        <v/>
      </c>
      <c r="R411" s="67">
        <f>IF(G411="","",ABS(P411-Components!$D$3)/Components!$E$3)</f>
        <v/>
      </c>
      <c r="S411" s="67">
        <f>IF(G411="","",ABS(P411-Components!$D$4)/Components!$E$4)</f>
        <v/>
      </c>
      <c r="T411" s="67">
        <f>IF(G411="","",ABS(P411-Components!$D$5)/Components!$E$5)</f>
        <v/>
      </c>
      <c r="U411" s="67">
        <f>IF(G411="","",ABS(P411-Components!$D$6)/Components!$E$6)</f>
        <v/>
      </c>
      <c r="V411" s="67">
        <f>IF(G411="","",ABS(P411-Components!$D$7)/Components!$E$7)</f>
        <v/>
      </c>
      <c r="W411" s="61">
        <f>IF(G411="","",IF(N411="OK","NONE",INDEX({"S1","S2","W1","W2","N1","N2"},MATCH(MIN(Q411:V411),Q411:V411,0))))</f>
        <v/>
      </c>
      <c r="X411" s="69">
        <f>IF(G411="","",IF(W411=E411,1,0))</f>
        <v/>
      </c>
    </row>
    <row r="412">
      <c r="A412" s="61" t="n">
        <v>52</v>
      </c>
      <c r="B412" s="62" t="n">
        <v>48</v>
      </c>
      <c r="C412" s="61" t="inlineStr">
        <is>
          <t>R6</t>
        </is>
      </c>
      <c r="D412" s="74" t="inlineStr">
        <is>
          <t>NG</t>
        </is>
      </c>
      <c r="E412" s="61" t="inlineStr">
        <is>
          <t>N1</t>
        </is>
      </c>
      <c r="F412" s="61" t="inlineStr">
        <is>
          <t>K052</t>
        </is>
      </c>
      <c r="G412" s="75" t="n">
        <v>7.38</v>
      </c>
      <c r="H412" s="65" t="n"/>
      <c r="I412" s="66" t="n"/>
      <c r="J412" s="67">
        <f>VLOOKUP(C412,Recipes!$A$2:$N$4,10,FALSE())</f>
        <v/>
      </c>
      <c r="K412" s="68">
        <f>VLOOKUP(C412,Recipes!$A$2:$N$4,12,FALSE())</f>
        <v/>
      </c>
      <c r="L412" s="67">
        <f>J412-3*K412</f>
        <v/>
      </c>
      <c r="M412" s="67">
        <f>J412+3*K412</f>
        <v/>
      </c>
      <c r="N412" s="61">
        <f>IF(G412="","",IF(AND(G412&gt;=L412,G412&lt;=M412),"OK","NG"))</f>
        <v/>
      </c>
      <c r="O412" s="69">
        <f>IF(N412="","",IF(N412=D412,1,0))</f>
        <v/>
      </c>
      <c r="P412" s="67">
        <f>IF(G412="","",J412-G412)</f>
        <v/>
      </c>
      <c r="Q412" s="67">
        <f>IF(G412="","",ABS(P412-Components!$D$2)/Components!$E$2)</f>
        <v/>
      </c>
      <c r="R412" s="67">
        <f>IF(G412="","",ABS(P412-Components!$D$3)/Components!$E$3)</f>
        <v/>
      </c>
      <c r="S412" s="67">
        <f>IF(G412="","",ABS(P412-Components!$D$4)/Components!$E$4)</f>
        <v/>
      </c>
      <c r="T412" s="67">
        <f>IF(G412="","",ABS(P412-Components!$D$5)/Components!$E$5)</f>
        <v/>
      </c>
      <c r="U412" s="67">
        <f>IF(G412="","",ABS(P412-Components!$D$6)/Components!$E$6)</f>
        <v/>
      </c>
      <c r="V412" s="67">
        <f>IF(G412="","",ABS(P412-Components!$D$7)/Components!$E$7)</f>
        <v/>
      </c>
      <c r="W412" s="61">
        <f>IF(G412="","",IF(N412="OK","NONE",INDEX({"S1","S2","W1","W2","N1","N2"},MATCH(MIN(Q412:V412),Q412:V412,0))))</f>
        <v/>
      </c>
      <c r="X412" s="69">
        <f>IF(G412="","",IF(W412=E412,1,0))</f>
        <v/>
      </c>
    </row>
    <row r="413">
      <c r="A413" s="61" t="n">
        <v>52</v>
      </c>
      <c r="B413" s="62" t="n">
        <v>48</v>
      </c>
      <c r="C413" s="61" t="inlineStr">
        <is>
          <t>R6</t>
        </is>
      </c>
      <c r="D413" s="74" t="inlineStr">
        <is>
          <t>NG</t>
        </is>
      </c>
      <c r="E413" s="61" t="inlineStr">
        <is>
          <t>N1</t>
        </is>
      </c>
      <c r="F413" s="61" t="inlineStr">
        <is>
          <t>K052</t>
        </is>
      </c>
      <c r="G413" s="75" t="n">
        <v>7.45</v>
      </c>
      <c r="H413" s="65" t="n"/>
      <c r="I413" s="66" t="n"/>
      <c r="J413" s="67">
        <f>VLOOKUP(C413,Recipes!$A$2:$N$4,10,FALSE())</f>
        <v/>
      </c>
      <c r="K413" s="68">
        <f>VLOOKUP(C413,Recipes!$A$2:$N$4,12,FALSE())</f>
        <v/>
      </c>
      <c r="L413" s="67">
        <f>J413-3*K413</f>
        <v/>
      </c>
      <c r="M413" s="67">
        <f>J413+3*K413</f>
        <v/>
      </c>
      <c r="N413" s="61">
        <f>IF(G413="","",IF(AND(G413&gt;=L413,G413&lt;=M413),"OK","NG"))</f>
        <v/>
      </c>
      <c r="O413" s="69">
        <f>IF(N413="","",IF(N413=D413,1,0))</f>
        <v/>
      </c>
      <c r="P413" s="67">
        <f>IF(G413="","",J413-G413)</f>
        <v/>
      </c>
      <c r="Q413" s="67">
        <f>IF(G413="","",ABS(P413-Components!$D$2)/Components!$E$2)</f>
        <v/>
      </c>
      <c r="R413" s="67">
        <f>IF(G413="","",ABS(P413-Components!$D$3)/Components!$E$3)</f>
        <v/>
      </c>
      <c r="S413" s="67">
        <f>IF(G413="","",ABS(P413-Components!$D$4)/Components!$E$4)</f>
        <v/>
      </c>
      <c r="T413" s="67">
        <f>IF(G413="","",ABS(P413-Components!$D$5)/Components!$E$5)</f>
        <v/>
      </c>
      <c r="U413" s="67">
        <f>IF(G413="","",ABS(P413-Components!$D$6)/Components!$E$6)</f>
        <v/>
      </c>
      <c r="V413" s="67">
        <f>IF(G413="","",ABS(P413-Components!$D$7)/Components!$E$7)</f>
        <v/>
      </c>
      <c r="W413" s="61">
        <f>IF(G413="","",IF(N413="OK","NONE",INDEX({"S1","S2","W1","W2","N1","N2"},MATCH(MIN(Q413:V413),Q413:V413,0))))</f>
        <v/>
      </c>
      <c r="X413" s="69">
        <f>IF(G413="","",IF(W413=E413,1,0))</f>
        <v/>
      </c>
    </row>
    <row r="414">
      <c r="A414" s="61" t="n">
        <v>52</v>
      </c>
      <c r="B414" s="62" t="n">
        <v>48</v>
      </c>
      <c r="C414" s="61" t="inlineStr">
        <is>
          <t>R6</t>
        </is>
      </c>
      <c r="D414" s="74" t="inlineStr">
        <is>
          <t>NG</t>
        </is>
      </c>
      <c r="E414" s="61" t="inlineStr">
        <is>
          <t>N1</t>
        </is>
      </c>
      <c r="F414" s="61" t="inlineStr">
        <is>
          <t>K052</t>
        </is>
      </c>
      <c r="G414" s="75" t="n">
        <v>7.45</v>
      </c>
      <c r="H414" s="65" t="n"/>
      <c r="I414" s="66" t="n"/>
      <c r="J414" s="67">
        <f>VLOOKUP(C414,Recipes!$A$2:$N$4,10,FALSE())</f>
        <v/>
      </c>
      <c r="K414" s="68">
        <f>VLOOKUP(C414,Recipes!$A$2:$N$4,12,FALSE())</f>
        <v/>
      </c>
      <c r="L414" s="67">
        <f>J414-3*K414</f>
        <v/>
      </c>
      <c r="M414" s="67">
        <f>J414+3*K414</f>
        <v/>
      </c>
      <c r="N414" s="61">
        <f>IF(G414="","",IF(AND(G414&gt;=L414,G414&lt;=M414),"OK","NG"))</f>
        <v/>
      </c>
      <c r="O414" s="69">
        <f>IF(N414="","",IF(N414=D414,1,0))</f>
        <v/>
      </c>
      <c r="P414" s="67">
        <f>IF(G414="","",J414-G414)</f>
        <v/>
      </c>
      <c r="Q414" s="67">
        <f>IF(G414="","",ABS(P414-Components!$D$2)/Components!$E$2)</f>
        <v/>
      </c>
      <c r="R414" s="67">
        <f>IF(G414="","",ABS(P414-Components!$D$3)/Components!$E$3)</f>
        <v/>
      </c>
      <c r="S414" s="67">
        <f>IF(G414="","",ABS(P414-Components!$D$4)/Components!$E$4)</f>
        <v/>
      </c>
      <c r="T414" s="67">
        <f>IF(G414="","",ABS(P414-Components!$D$5)/Components!$E$5)</f>
        <v/>
      </c>
      <c r="U414" s="67">
        <f>IF(G414="","",ABS(P414-Components!$D$6)/Components!$E$6)</f>
        <v/>
      </c>
      <c r="V414" s="67">
        <f>IF(G414="","",ABS(P414-Components!$D$7)/Components!$E$7)</f>
        <v/>
      </c>
      <c r="W414" s="61">
        <f>IF(G414="","",IF(N414="OK","NONE",INDEX({"S1","S2","W1","W2","N1","N2"},MATCH(MIN(Q414:V414),Q414:V414,0))))</f>
        <v/>
      </c>
      <c r="X414" s="69">
        <f>IF(G414="","",IF(W414=E414,1,0))</f>
        <v/>
      </c>
    </row>
    <row r="415">
      <c r="A415" s="61" t="n">
        <v>52</v>
      </c>
      <c r="B415" s="62" t="n">
        <v>48</v>
      </c>
      <c r="C415" s="61" t="inlineStr">
        <is>
          <t>R6</t>
        </is>
      </c>
      <c r="D415" s="74" t="inlineStr">
        <is>
          <t>NG</t>
        </is>
      </c>
      <c r="E415" s="61" t="inlineStr">
        <is>
          <t>N1</t>
        </is>
      </c>
      <c r="F415" s="61" t="inlineStr">
        <is>
          <t>K052</t>
        </is>
      </c>
      <c r="G415" s="75" t="n">
        <v>7.45</v>
      </c>
      <c r="H415" s="65" t="n"/>
      <c r="I415" s="66" t="n"/>
      <c r="J415" s="67">
        <f>VLOOKUP(C415,Recipes!$A$2:$N$4,10,FALSE())</f>
        <v/>
      </c>
      <c r="K415" s="68">
        <f>VLOOKUP(C415,Recipes!$A$2:$N$4,12,FALSE())</f>
        <v/>
      </c>
      <c r="L415" s="67">
        <f>J415-3*K415</f>
        <v/>
      </c>
      <c r="M415" s="67">
        <f>J415+3*K415</f>
        <v/>
      </c>
      <c r="N415" s="61">
        <f>IF(G415="","",IF(AND(G415&gt;=L415,G415&lt;=M415),"OK","NG"))</f>
        <v/>
      </c>
      <c r="O415" s="69">
        <f>IF(N415="","",IF(N415=D415,1,0))</f>
        <v/>
      </c>
      <c r="P415" s="67">
        <f>IF(G415="","",J415-G415)</f>
        <v/>
      </c>
      <c r="Q415" s="67">
        <f>IF(G415="","",ABS(P415-Components!$D$2)/Components!$E$2)</f>
        <v/>
      </c>
      <c r="R415" s="67">
        <f>IF(G415="","",ABS(P415-Components!$D$3)/Components!$E$3)</f>
        <v/>
      </c>
      <c r="S415" s="67">
        <f>IF(G415="","",ABS(P415-Components!$D$4)/Components!$E$4)</f>
        <v/>
      </c>
      <c r="T415" s="67">
        <f>IF(G415="","",ABS(P415-Components!$D$5)/Components!$E$5)</f>
        <v/>
      </c>
      <c r="U415" s="67">
        <f>IF(G415="","",ABS(P415-Components!$D$6)/Components!$E$6)</f>
        <v/>
      </c>
      <c r="V415" s="67">
        <f>IF(G415="","",ABS(P415-Components!$D$7)/Components!$E$7)</f>
        <v/>
      </c>
      <c r="W415" s="61">
        <f>IF(G415="","",IF(N415="OK","NONE",INDEX({"S1","S2","W1","W2","N1","N2"},MATCH(MIN(Q415:V415),Q415:V415,0))))</f>
        <v/>
      </c>
      <c r="X415" s="69">
        <f>IF(G415="","",IF(W415=E415,1,0))</f>
        <v/>
      </c>
    </row>
    <row r="416">
      <c r="A416" s="61" t="n">
        <v>52</v>
      </c>
      <c r="B416" s="62" t="n">
        <v>48</v>
      </c>
      <c r="C416" s="61" t="inlineStr">
        <is>
          <t>R6</t>
        </is>
      </c>
      <c r="D416" s="74" t="inlineStr">
        <is>
          <t>NG</t>
        </is>
      </c>
      <c r="E416" s="61" t="inlineStr">
        <is>
          <t>N1</t>
        </is>
      </c>
      <c r="F416" s="61" t="inlineStr">
        <is>
          <t>K052</t>
        </is>
      </c>
      <c r="G416" s="75" t="n">
        <v>7.44</v>
      </c>
      <c r="H416" s="65" t="n"/>
      <c r="I416" s="66" t="n"/>
      <c r="J416" s="67">
        <f>VLOOKUP(C416,Recipes!$A$2:$N$4,10,FALSE())</f>
        <v/>
      </c>
      <c r="K416" s="68">
        <f>VLOOKUP(C416,Recipes!$A$2:$N$4,12,FALSE())</f>
        <v/>
      </c>
      <c r="L416" s="67">
        <f>J416-3*K416</f>
        <v/>
      </c>
      <c r="M416" s="67">
        <f>J416+3*K416</f>
        <v/>
      </c>
      <c r="N416" s="61">
        <f>IF(G416="","",IF(AND(G416&gt;=L416,G416&lt;=M416),"OK","NG"))</f>
        <v/>
      </c>
      <c r="O416" s="69">
        <f>IF(N416="","",IF(N416=D416,1,0))</f>
        <v/>
      </c>
      <c r="P416" s="67">
        <f>IF(G416="","",J416-G416)</f>
        <v/>
      </c>
      <c r="Q416" s="67">
        <f>IF(G416="","",ABS(P416-Components!$D$2)/Components!$E$2)</f>
        <v/>
      </c>
      <c r="R416" s="67">
        <f>IF(G416="","",ABS(P416-Components!$D$3)/Components!$E$3)</f>
        <v/>
      </c>
      <c r="S416" s="67">
        <f>IF(G416="","",ABS(P416-Components!$D$4)/Components!$E$4)</f>
        <v/>
      </c>
      <c r="T416" s="67">
        <f>IF(G416="","",ABS(P416-Components!$D$5)/Components!$E$5)</f>
        <v/>
      </c>
      <c r="U416" s="67">
        <f>IF(G416="","",ABS(P416-Components!$D$6)/Components!$E$6)</f>
        <v/>
      </c>
      <c r="V416" s="67">
        <f>IF(G416="","",ABS(P416-Components!$D$7)/Components!$E$7)</f>
        <v/>
      </c>
      <c r="W416" s="61">
        <f>IF(G416="","",IF(N416="OK","NONE",INDEX({"S1","S2","W1","W2","N1","N2"},MATCH(MIN(Q416:V416),Q416:V416,0))))</f>
        <v/>
      </c>
      <c r="X416" s="69">
        <f>IF(G416="","",IF(W416=E416,1,0))</f>
        <v/>
      </c>
    </row>
    <row r="417">
      <c r="A417" s="61" t="n">
        <v>52</v>
      </c>
      <c r="B417" s="62" t="n">
        <v>48</v>
      </c>
      <c r="C417" s="61" t="inlineStr">
        <is>
          <t>R6</t>
        </is>
      </c>
      <c r="D417" s="74" t="inlineStr">
        <is>
          <t>NG</t>
        </is>
      </c>
      <c r="E417" s="61" t="inlineStr">
        <is>
          <t>N1</t>
        </is>
      </c>
      <c r="F417" s="61" t="inlineStr">
        <is>
          <t>K052</t>
        </is>
      </c>
      <c r="G417" s="64" t="n">
        <v>7.45</v>
      </c>
      <c r="H417" s="65" t="n"/>
      <c r="I417" s="66" t="n"/>
      <c r="J417" s="67">
        <f>VLOOKUP(C417,Recipes!$A$2:$N$4,10,FALSE())</f>
        <v/>
      </c>
      <c r="K417" s="68">
        <f>VLOOKUP(C417,Recipes!$A$2:$N$4,12,FALSE())</f>
        <v/>
      </c>
      <c r="L417" s="67">
        <f>J417-3*K417</f>
        <v/>
      </c>
      <c r="M417" s="67">
        <f>J417+3*K417</f>
        <v/>
      </c>
      <c r="N417" s="61">
        <f>IF(G417="","",IF(AND(G417&gt;=L417,G417&lt;=M417),"OK","NG"))</f>
        <v/>
      </c>
      <c r="O417" s="69">
        <f>IF(N417="","",IF(N417=D417,1,0))</f>
        <v/>
      </c>
      <c r="P417" s="67">
        <f>IF(G417="","",J417-G417)</f>
        <v/>
      </c>
      <c r="Q417" s="67">
        <f>IF(G417="","",ABS(P417-Components!$D$2)/Components!$E$2)</f>
        <v/>
      </c>
      <c r="R417" s="67">
        <f>IF(G417="","",ABS(P417-Components!$D$3)/Components!$E$3)</f>
        <v/>
      </c>
      <c r="S417" s="67">
        <f>IF(G417="","",ABS(P417-Components!$D$4)/Components!$E$4)</f>
        <v/>
      </c>
      <c r="T417" s="67">
        <f>IF(G417="","",ABS(P417-Components!$D$5)/Components!$E$5)</f>
        <v/>
      </c>
      <c r="U417" s="67">
        <f>IF(G417="","",ABS(P417-Components!$D$6)/Components!$E$6)</f>
        <v/>
      </c>
      <c r="V417" s="67">
        <f>IF(G417="","",ABS(P417-Components!$D$7)/Components!$E$7)</f>
        <v/>
      </c>
      <c r="W417" s="61">
        <f>IF(G417="","",IF(N417="OK","NONE",INDEX({"S1","S2","W1","W2","N1","N2"},MATCH(MIN(Q417:V417),Q417:V417,0))))</f>
        <v/>
      </c>
      <c r="X417" s="69">
        <f>IF(G417="","",IF(W417=E417,1,0))</f>
        <v/>
      </c>
    </row>
    <row r="418">
      <c r="A418" s="61" t="n">
        <v>53</v>
      </c>
      <c r="B418" s="62" t="n">
        <v>2</v>
      </c>
      <c r="C418" s="61" t="inlineStr">
        <is>
          <t>R6</t>
        </is>
      </c>
      <c r="D418" s="74" t="inlineStr">
        <is>
          <t>NG</t>
        </is>
      </c>
      <c r="E418" s="61" t="inlineStr">
        <is>
          <t>N1</t>
        </is>
      </c>
      <c r="F418" s="61" t="inlineStr">
        <is>
          <t>K053</t>
        </is>
      </c>
      <c r="G418" s="64" t="n">
        <v>7.45</v>
      </c>
      <c r="H418" s="65" t="n"/>
      <c r="I418" s="66" t="n"/>
      <c r="J418" s="67">
        <f>VLOOKUP(C418,Recipes!$A$2:$N$4,10,FALSE())</f>
        <v/>
      </c>
      <c r="K418" s="68">
        <f>VLOOKUP(C418,Recipes!$A$2:$N$4,12,FALSE())</f>
        <v/>
      </c>
      <c r="L418" s="67">
        <f>J418-3*K418</f>
        <v/>
      </c>
      <c r="M418" s="67">
        <f>J418+3*K418</f>
        <v/>
      </c>
      <c r="N418" s="61">
        <f>IF(G418="","",IF(AND(G418&gt;=L418,G418&lt;=M418),"OK","NG"))</f>
        <v/>
      </c>
      <c r="O418" s="69">
        <f>IF(N418="","",IF(N418=D418,1,0))</f>
        <v/>
      </c>
      <c r="P418" s="67">
        <f>IF(G418="","",J418-G418)</f>
        <v/>
      </c>
      <c r="Q418" s="67">
        <f>IF(G418="","",ABS(P418-Components!$D$2)/Components!$E$2)</f>
        <v/>
      </c>
      <c r="R418" s="67">
        <f>IF(G418="","",ABS(P418-Components!$D$3)/Components!$E$3)</f>
        <v/>
      </c>
      <c r="S418" s="67">
        <f>IF(G418="","",ABS(P418-Components!$D$4)/Components!$E$4)</f>
        <v/>
      </c>
      <c r="T418" s="67">
        <f>IF(G418="","",ABS(P418-Components!$D$5)/Components!$E$5)</f>
        <v/>
      </c>
      <c r="U418" s="67">
        <f>IF(G418="","",ABS(P418-Components!$D$6)/Components!$E$6)</f>
        <v/>
      </c>
      <c r="V418" s="67">
        <f>IF(G418="","",ABS(P418-Components!$D$7)/Components!$E$7)</f>
        <v/>
      </c>
      <c r="W418" s="61">
        <f>IF(G418="","",IF(N418="OK","NONE",INDEX({"S1","S2","W1","W2","N1","N2"},MATCH(MIN(Q418:V418),Q418:V418,0))))</f>
        <v/>
      </c>
      <c r="X418" s="69">
        <f>IF(G418="","",IF(W418=E418,1,0))</f>
        <v/>
      </c>
    </row>
    <row r="419">
      <c r="A419" s="79" t="n"/>
      <c r="B419" s="80" t="n"/>
      <c r="C419" s="76" t="inlineStr">
        <is>
          <t>R6</t>
        </is>
      </c>
      <c r="D419" s="78" t="inlineStr">
        <is>
          <t>NG</t>
        </is>
      </c>
      <c r="E419" s="76" t="inlineStr">
        <is>
          <t>N1</t>
        </is>
      </c>
      <c r="F419" s="81" t="n"/>
      <c r="G419" s="75" t="n">
        <v>7.44</v>
      </c>
      <c r="H419" s="65" t="n"/>
      <c r="I419" s="66" t="n"/>
      <c r="J419" s="67">
        <f>VLOOKUP(C419,Recipes!$A$2:$N$4,10,FALSE())</f>
        <v/>
      </c>
      <c r="K419" s="68">
        <f>VLOOKUP(C419,Recipes!$A$2:$N$4,12,FALSE())</f>
        <v/>
      </c>
      <c r="L419" s="67">
        <f>J419-3*K419</f>
        <v/>
      </c>
      <c r="M419" s="67">
        <f>J419+3*K419</f>
        <v/>
      </c>
      <c r="N419" s="61">
        <f>IF(G419="","",IF(AND(G419&gt;=L419,G419&lt;=M419),"OK","NG"))</f>
        <v/>
      </c>
      <c r="O419" s="69">
        <f>IF(N419="","",IF(N419=D419,1,0))</f>
        <v/>
      </c>
      <c r="P419" s="67">
        <f>IF(G419="","",J419-G419)</f>
        <v/>
      </c>
      <c r="Q419" s="67">
        <f>IF(G419="","",ABS(P419-Components!$D$2)/Components!$E$2)</f>
        <v/>
      </c>
      <c r="R419" s="67">
        <f>IF(G419="","",ABS(P419-Components!$D$3)/Components!$E$3)</f>
        <v/>
      </c>
      <c r="S419" s="67">
        <f>IF(G419="","",ABS(P419-Components!$D$4)/Components!$E$4)</f>
        <v/>
      </c>
      <c r="T419" s="67">
        <f>IF(G419="","",ABS(P419-Components!$D$5)/Components!$E$5)</f>
        <v/>
      </c>
      <c r="U419" s="67">
        <f>IF(G419="","",ABS(P419-Components!$D$6)/Components!$E$6)</f>
        <v/>
      </c>
      <c r="V419" s="67">
        <f>IF(G419="","",ABS(P419-Components!$D$7)/Components!$E$7)</f>
        <v/>
      </c>
      <c r="W419" s="61">
        <f>IF(G419="","",IF(N419="OK","NONE",INDEX({"S1","S2","W1","W2","N1","N2"},MATCH(MIN(Q419:V419),Q419:V419,0))))</f>
        <v/>
      </c>
      <c r="X419" s="69">
        <f>IF(G419="","",IF(W419=E419,1,0))</f>
        <v/>
      </c>
    </row>
    <row r="420">
      <c r="A420" s="79" t="n"/>
      <c r="B420" s="80" t="n"/>
      <c r="C420" s="76" t="inlineStr">
        <is>
          <t>R6</t>
        </is>
      </c>
      <c r="D420" s="78" t="inlineStr">
        <is>
          <t>NG</t>
        </is>
      </c>
      <c r="E420" s="76" t="inlineStr">
        <is>
          <t>N1</t>
        </is>
      </c>
      <c r="F420" s="81" t="n"/>
      <c r="G420" s="75" t="n">
        <v>7.46</v>
      </c>
      <c r="H420" s="65" t="n"/>
      <c r="I420" s="66" t="n"/>
      <c r="J420" s="67">
        <f>VLOOKUP(C420,Recipes!$A$2:$N$4,10,FALSE())</f>
        <v/>
      </c>
      <c r="K420" s="68">
        <f>VLOOKUP(C420,Recipes!$A$2:$N$4,12,FALSE())</f>
        <v/>
      </c>
      <c r="L420" s="67">
        <f>J420-3*K420</f>
        <v/>
      </c>
      <c r="M420" s="67">
        <f>J420+3*K420</f>
        <v/>
      </c>
      <c r="N420" s="61">
        <f>IF(G420="","",IF(AND(G420&gt;=L420,G420&lt;=M420),"OK","NG"))</f>
        <v/>
      </c>
      <c r="O420" s="69">
        <f>IF(N420="","",IF(N420=D420,1,0))</f>
        <v/>
      </c>
      <c r="P420" s="67">
        <f>IF(G420="","",J420-G420)</f>
        <v/>
      </c>
      <c r="Q420" s="67">
        <f>IF(G420="","",ABS(P420-Components!$D$2)/Components!$E$2)</f>
        <v/>
      </c>
      <c r="R420" s="67">
        <f>IF(G420="","",ABS(P420-Components!$D$3)/Components!$E$3)</f>
        <v/>
      </c>
      <c r="S420" s="67">
        <f>IF(G420="","",ABS(P420-Components!$D$4)/Components!$E$4)</f>
        <v/>
      </c>
      <c r="T420" s="67">
        <f>IF(G420="","",ABS(P420-Components!$D$5)/Components!$E$5)</f>
        <v/>
      </c>
      <c r="U420" s="67">
        <f>IF(G420="","",ABS(P420-Components!$D$6)/Components!$E$6)</f>
        <v/>
      </c>
      <c r="V420" s="67">
        <f>IF(G420="","",ABS(P420-Components!$D$7)/Components!$E$7)</f>
        <v/>
      </c>
      <c r="W420" s="61">
        <f>IF(G420="","",IF(N420="OK","NONE",INDEX({"S1","S2","W1","W2","N1","N2"},MATCH(MIN(Q420:V420),Q420:V420,0))))</f>
        <v/>
      </c>
      <c r="X420" s="69">
        <f>IF(G420="","",IF(W420=E420,1,0))</f>
        <v/>
      </c>
    </row>
    <row r="421">
      <c r="A421" s="61" t="n">
        <v>52</v>
      </c>
      <c r="B421" s="62" t="n">
        <v>48</v>
      </c>
      <c r="C421" s="61" t="inlineStr">
        <is>
          <t>R6</t>
        </is>
      </c>
      <c r="D421" s="74" t="inlineStr">
        <is>
          <t>NG</t>
        </is>
      </c>
      <c r="E421" s="61" t="inlineStr">
        <is>
          <t>N1</t>
        </is>
      </c>
      <c r="F421" s="61" t="inlineStr">
        <is>
          <t>K052</t>
        </is>
      </c>
      <c r="G421" s="75" t="n">
        <v>7.25</v>
      </c>
      <c r="H421" s="65" t="n"/>
      <c r="I421" s="66" t="n"/>
      <c r="J421" s="67">
        <f>VLOOKUP(C421,Recipes!$A$2:$N$4,10,FALSE())</f>
        <v/>
      </c>
      <c r="K421" s="68">
        <f>VLOOKUP(C421,Recipes!$A$2:$N$4,12,FALSE())</f>
        <v/>
      </c>
      <c r="L421" s="67">
        <f>J421-3*K421</f>
        <v/>
      </c>
      <c r="M421" s="67">
        <f>J421+3*K421</f>
        <v/>
      </c>
      <c r="N421" s="61">
        <f>IF(G421="","",IF(AND(G421&gt;=L421,G421&lt;=M421),"OK","NG"))</f>
        <v/>
      </c>
      <c r="O421" s="69">
        <f>IF(N421="","",IF(N421=D421,1,0))</f>
        <v/>
      </c>
      <c r="P421" s="67">
        <f>IF(G421="","",J421-G421)</f>
        <v/>
      </c>
      <c r="Q421" s="67">
        <f>IF(G421="","",ABS(P421-Components!$D$2)/Components!$E$2)</f>
        <v/>
      </c>
      <c r="R421" s="67">
        <f>IF(G421="","",ABS(P421-Components!$D$3)/Components!$E$3)</f>
        <v/>
      </c>
      <c r="S421" s="67">
        <f>IF(G421="","",ABS(P421-Components!$D$4)/Components!$E$4)</f>
        <v/>
      </c>
      <c r="T421" s="67">
        <f>IF(G421="","",ABS(P421-Components!$D$5)/Components!$E$5)</f>
        <v/>
      </c>
      <c r="U421" s="67">
        <f>IF(G421="","",ABS(P421-Components!$D$6)/Components!$E$6)</f>
        <v/>
      </c>
      <c r="V421" s="67">
        <f>IF(G421="","",ABS(P421-Components!$D$7)/Components!$E$7)</f>
        <v/>
      </c>
      <c r="W421" s="61">
        <f>IF(G421="","",IF(N421="OK","NONE",INDEX({"S1","S2","W1","W2","N1","N2"},MATCH(MIN(Q421:V421),Q421:V421,0))))</f>
        <v/>
      </c>
      <c r="X421" s="71">
        <f>IF(G421="","",IF(W421=E421,1,0))</f>
        <v/>
      </c>
    </row>
    <row r="422">
      <c r="A422" s="82" t="n"/>
      <c r="B422" s="83" t="n"/>
      <c r="C422" s="76" t="inlineStr">
        <is>
          <t>R6</t>
        </is>
      </c>
      <c r="D422" s="78" t="inlineStr">
        <is>
          <t>NG</t>
        </is>
      </c>
      <c r="E422" s="76" t="inlineStr">
        <is>
          <t>N1</t>
        </is>
      </c>
      <c r="F422" s="84" t="n"/>
      <c r="G422" s="75" t="n">
        <v>7.47</v>
      </c>
      <c r="H422" s="85" t="n"/>
      <c r="I422" s="86" t="n"/>
      <c r="J422" s="67">
        <f>VLOOKUP(C422,Recipes!$A$2:$N$4,10,FALSE())</f>
        <v/>
      </c>
      <c r="K422" s="68">
        <f>VLOOKUP(C422,Recipes!$A$2:$N$4,12,FALSE())</f>
        <v/>
      </c>
      <c r="L422" s="67">
        <f>J422-3*K422</f>
        <v/>
      </c>
      <c r="M422" s="67">
        <f>J422+3*K422</f>
        <v/>
      </c>
      <c r="N422" s="61">
        <f>IF(G422="","",IF(AND(G422&gt;=L422,G422&lt;=M422),"OK","NG"))</f>
        <v/>
      </c>
      <c r="O422" s="69">
        <f>IF(N422="","",IF(N422=D422,1,0))</f>
        <v/>
      </c>
      <c r="P422" s="67">
        <f>IF(G422="","",J422-G422)</f>
        <v/>
      </c>
      <c r="Q422" s="67">
        <f>IF(G422="","",ABS(P422-Components!$D$2)/Components!$E$2)</f>
        <v/>
      </c>
      <c r="R422" s="67">
        <f>IF(G422="","",ABS(P422-Components!$D$3)/Components!$E$3)</f>
        <v/>
      </c>
      <c r="S422" s="67">
        <f>IF(G422="","",ABS(P422-Components!$D$4)/Components!$E$4)</f>
        <v/>
      </c>
      <c r="T422" s="67">
        <f>IF(G422="","",ABS(P422-Components!$D$5)/Components!$E$5)</f>
        <v/>
      </c>
      <c r="U422" s="67">
        <f>IF(G422="","",ABS(P422-Components!$D$6)/Components!$E$6)</f>
        <v/>
      </c>
      <c r="V422" s="67">
        <f>IF(G422="","",ABS(P422-Components!$D$7)/Components!$E$7)</f>
        <v/>
      </c>
      <c r="W422" s="61">
        <f>IF(G422="","",IF(N422="OK","NONE",INDEX({"S1","S2","W1","W2","N1","N2"},MATCH(MIN(Q422:V422),Q422:V422,0))))</f>
        <v/>
      </c>
      <c r="X422" s="69">
        <f>IF(G422="","",IF(W422=E422,1,0))</f>
        <v/>
      </c>
    </row>
    <row r="423">
      <c r="A423" s="5" t="n"/>
      <c r="B423" s="16" t="n"/>
      <c r="C423" s="5" t="n"/>
      <c r="D423" s="5" t="n"/>
      <c r="E423" s="5" t="n"/>
      <c r="F423" s="5" t="n"/>
      <c r="G423" s="17" t="n"/>
      <c r="H423" s="18" t="n"/>
      <c r="I423" s="19" t="n"/>
      <c r="J423" s="13" t="n"/>
      <c r="K423" s="13" t="n"/>
      <c r="L423" s="7" t="n"/>
      <c r="M423" s="7" t="n"/>
      <c r="N423" s="5" t="n"/>
      <c r="O423" s="5" t="n"/>
      <c r="P423" s="7" t="n"/>
      <c r="Q423" s="6" t="n"/>
      <c r="R423" s="6" t="n"/>
      <c r="S423" s="6" t="n"/>
      <c r="T423" s="6" t="n"/>
      <c r="U423" s="6" t="n"/>
      <c r="V423" s="6" t="n"/>
      <c r="W423" s="5" t="n"/>
      <c r="X423" s="5" t="n"/>
    </row>
    <row r="424">
      <c r="A424" s="5" t="n"/>
      <c r="B424" s="16" t="n"/>
      <c r="C424" s="5" t="n"/>
      <c r="D424" s="5" t="n"/>
      <c r="E424" s="5" t="n"/>
      <c r="F424" s="5" t="n"/>
      <c r="G424" s="17" t="n"/>
      <c r="H424" s="18" t="n"/>
      <c r="I424" s="19" t="n"/>
      <c r="J424" s="13" t="n"/>
      <c r="K424" s="13" t="n"/>
      <c r="L424" s="7" t="n"/>
      <c r="M424" s="7" t="n"/>
      <c r="N424" s="5" t="n"/>
      <c r="O424" s="5" t="n"/>
      <c r="P424" s="7" t="n"/>
      <c r="Q424" s="6" t="n"/>
      <c r="R424" s="6" t="n"/>
      <c r="S424" s="6" t="n"/>
      <c r="T424" s="6" t="n"/>
      <c r="U424" s="6" t="n"/>
      <c r="V424" s="6" t="n"/>
      <c r="W424" s="5" t="n"/>
      <c r="X424" s="5" t="n"/>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2:Y424"/>
  <sheetViews>
    <sheetView zoomScaleNormal="84" workbookViewId="0">
      <pane ySplit="2" topLeftCell="A3" activePane="bottomLeft" state="frozen"/>
      <selection pane="bottomLeft" activeCell="A2" sqref="A2"/>
    </sheetView>
  </sheetViews>
  <sheetFormatPr baseColWidth="8" defaultColWidth="8.7109375" defaultRowHeight="15"/>
  <cols>
    <col width="8" customWidth="1" style="180" min="1" max="1"/>
    <col width="17" customWidth="1" style="180" min="2" max="2"/>
    <col width="8" customWidth="1" style="180" min="3" max="3"/>
    <col width="11" customWidth="1" style="180" min="4" max="4"/>
    <col width="19" customWidth="1" style="180" min="5" max="5"/>
    <col width="8" customWidth="1" style="180" min="6" max="6"/>
    <col width="19" customWidth="1" style="180" min="7" max="7"/>
    <col width="11" customWidth="1" style="180" min="8" max="8"/>
    <col width="8" customWidth="1" style="180" min="9" max="9"/>
    <col width="17" customWidth="1" style="180" min="10" max="10"/>
    <col width="14" customWidth="1" style="180" min="11" max="11"/>
    <col width="13" customWidth="1" style="180" min="12" max="13"/>
    <col width="17" customWidth="1" style="180" min="14" max="14"/>
    <col width="12" customWidth="1" style="180" min="15" max="15"/>
    <col width="19" customWidth="1" style="180" min="16" max="16"/>
    <col width="10" customWidth="1" style="180" min="17" max="22"/>
    <col width="19" customWidth="1" style="180" min="23" max="23"/>
    <col width="12" customWidth="1" style="180" min="24" max="24"/>
    <col width="12" bestFit="1" customWidth="1" style="180" min="25" max="25"/>
  </cols>
  <sheetData>
    <row r="2" ht="30" customHeight="1" s="180">
      <c r="A2" s="60" t="inlineStr">
        <is>
          <t>run_id</t>
        </is>
      </c>
      <c r="B2" s="60" t="inlineStr">
        <is>
          <t>execution_order</t>
        </is>
      </c>
      <c r="C2" s="60" t="inlineStr">
        <is>
          <t>recipe</t>
        </is>
      </c>
      <c r="D2" s="60" t="inlineStr">
        <is>
          <t>condition</t>
        </is>
      </c>
      <c r="E2" s="60" t="inlineStr">
        <is>
          <t>missing_component</t>
        </is>
      </c>
      <c r="F2" s="60" t="inlineStr">
        <is>
          <t>kit_id</t>
        </is>
      </c>
      <c r="G2" s="60" t="inlineStr">
        <is>
          <t>measured_weight_g</t>
        </is>
      </c>
      <c r="H2" s="60" t="inlineStr">
        <is>
          <t>timestamp</t>
        </is>
      </c>
      <c r="I2" s="60" t="inlineStr">
        <is>
          <t>notes</t>
        </is>
      </c>
      <c r="J2" s="60" t="inlineStr">
        <is>
          <t>expected_weight</t>
        </is>
      </c>
      <c r="K2" s="60" t="inlineStr">
        <is>
          <t>expected_std</t>
        </is>
      </c>
      <c r="L2" s="60" t="inlineStr">
        <is>
          <t>lower_bound</t>
        </is>
      </c>
      <c r="M2" s="60" t="inlineStr">
        <is>
          <t>upper_bound</t>
        </is>
      </c>
      <c r="N2" s="60" t="inlineStr">
        <is>
          <t>predicted_OK_NG</t>
        </is>
      </c>
      <c r="O2" s="60" t="inlineStr">
        <is>
          <t>L1_correct</t>
        </is>
      </c>
      <c r="P2" s="60" t="inlineStr">
        <is>
          <t>deficit</t>
        </is>
      </c>
      <c r="Q2" s="60" t="inlineStr">
        <is>
          <t>match_S1</t>
        </is>
      </c>
      <c r="R2" s="60" t="inlineStr">
        <is>
          <t>match_S2</t>
        </is>
      </c>
      <c r="S2" s="60" t="inlineStr">
        <is>
          <t>match_W1</t>
        </is>
      </c>
      <c r="T2" s="60" t="inlineStr">
        <is>
          <t>match_W2</t>
        </is>
      </c>
      <c r="U2" s="60" t="inlineStr">
        <is>
          <t>match_N1</t>
        </is>
      </c>
      <c r="V2" s="60" t="inlineStr">
        <is>
          <t>match_N2</t>
        </is>
      </c>
      <c r="W2" s="60" t="inlineStr">
        <is>
          <t>predicted_missing</t>
        </is>
      </c>
      <c r="X2" s="60" t="inlineStr">
        <is>
          <t>L2_correct</t>
        </is>
      </c>
      <c r="Y2" s="60" t="inlineStr">
        <is>
          <t>25 Errores</t>
        </is>
      </c>
    </row>
    <row r="3">
      <c r="A3" s="61" t="n">
        <v>1</v>
      </c>
      <c r="B3" s="62" t="n">
        <v>31</v>
      </c>
      <c r="C3" s="61" t="inlineStr">
        <is>
          <t>R3</t>
        </is>
      </c>
      <c r="D3" s="63" t="inlineStr">
        <is>
          <t>OK</t>
        </is>
      </c>
      <c r="E3" s="61" t="inlineStr">
        <is>
          <t>NONE</t>
        </is>
      </c>
      <c r="F3" s="61" t="inlineStr">
        <is>
          <t>K001</t>
        </is>
      </c>
      <c r="G3" s="64" t="n">
        <v>9.91</v>
      </c>
      <c r="H3" s="65" t="n"/>
      <c r="I3" s="66" t="n"/>
      <c r="J3" s="67">
        <f>VLOOKUP(C3,Recipes!$A$2:$N$4,10,FALSE())</f>
        <v/>
      </c>
      <c r="K3" s="68">
        <f>VLOOKUP(C3,Recipes!$A$2:$N$4,12,FALSE())</f>
        <v/>
      </c>
      <c r="L3" s="67">
        <f>J3-6*K3</f>
        <v/>
      </c>
      <c r="M3" s="67">
        <f>J3+6*K3</f>
        <v/>
      </c>
      <c r="N3" s="61">
        <f>IF(G3="","",IF(AND(G3&gt;=L3,G3&lt;=M3),"OK","NG"))</f>
        <v/>
      </c>
      <c r="O3" s="69">
        <f>IF(N3="","",IF(N3=D3,1,0))</f>
        <v/>
      </c>
      <c r="P3" s="67">
        <f>IF(G3="","",J3-G3)</f>
        <v/>
      </c>
      <c r="Q3" s="67">
        <f>IF(G3="","",ABS(P3-Components!$D$2)/Components!$E$2)</f>
        <v/>
      </c>
      <c r="R3" s="67">
        <f>IF(G3="","",ABS(P3-Components!$D$3)/Components!$E$3)</f>
        <v/>
      </c>
      <c r="S3" s="67">
        <f>IF(G3="","",ABS(P3-Components!$D$4)/Components!$E$4)</f>
        <v/>
      </c>
      <c r="T3" s="67">
        <f>IF(G3="","",ABS(P3-Components!$D$5)/Components!$E$5)</f>
        <v/>
      </c>
      <c r="U3" s="67">
        <f>IF(G3="","",ABS(P3-Components!$D$6)/Components!$E$6)</f>
        <v/>
      </c>
      <c r="V3" s="67">
        <f>IF(G3="","",ABS(P3-Components!$D$7)/Components!$E$7)</f>
        <v/>
      </c>
      <c r="W3" s="61">
        <f>IF(G3="","",IF(N3="OK","NONE",INDEX({"S1","S2","W1","W2","N1","N2"},MATCH(MIN(Q3:V3),Q3:V3,0))))</f>
        <v/>
      </c>
      <c r="X3" s="69">
        <f>IF(G3="","",IF(W3=E3,1,0))</f>
        <v/>
      </c>
      <c r="Y3" s="70" t="n"/>
    </row>
    <row r="4">
      <c r="A4" s="61" t="n">
        <v>2</v>
      </c>
      <c r="B4" s="62" t="n">
        <v>24</v>
      </c>
      <c r="C4" s="61" t="inlineStr">
        <is>
          <t>R3</t>
        </is>
      </c>
      <c r="D4" s="63" t="inlineStr">
        <is>
          <t>OK</t>
        </is>
      </c>
      <c r="E4" s="61" t="inlineStr">
        <is>
          <t>NONE</t>
        </is>
      </c>
      <c r="F4" s="61" t="inlineStr">
        <is>
          <t>K002</t>
        </is>
      </c>
      <c r="G4" s="64" t="n">
        <v>10</v>
      </c>
      <c r="H4" s="65" t="n"/>
      <c r="I4" s="66" t="n"/>
      <c r="J4" s="67">
        <f>VLOOKUP(C4,Recipes!$A$2:$N$4,10,FALSE())</f>
        <v/>
      </c>
      <c r="K4" s="68">
        <f>VLOOKUP(C4,Recipes!$A$2:$N$4,12,FALSE())</f>
        <v/>
      </c>
      <c r="L4" s="67">
        <f>J4-6*K4</f>
        <v/>
      </c>
      <c r="M4" s="67">
        <f>J4+6*K4</f>
        <v/>
      </c>
      <c r="N4" s="61">
        <f>IF(G4="","",IF(AND(G4&gt;=L4,G4&lt;=M4),"OK","NG"))</f>
        <v/>
      </c>
      <c r="O4" s="69">
        <f>IF(N4="","",IF(N4=D4,1,0))</f>
        <v/>
      </c>
      <c r="P4" s="67">
        <f>IF(G4="","",J4-G4)</f>
        <v/>
      </c>
      <c r="Q4" s="67">
        <f>IF(G4="","",ABS(P4-Components!$D$2)/Components!$E$2)</f>
        <v/>
      </c>
      <c r="R4" s="67">
        <f>IF(G4="","",ABS(P4-Components!$D$3)/Components!$E$3)</f>
        <v/>
      </c>
      <c r="S4" s="67">
        <f>IF(G4="","",ABS(P4-Components!$D$4)/Components!$E$4)</f>
        <v/>
      </c>
      <c r="T4" s="67">
        <f>IF(G4="","",ABS(P4-Components!$D$5)/Components!$E$5)</f>
        <v/>
      </c>
      <c r="U4" s="67">
        <f>IF(G4="","",ABS(P4-Components!$D$6)/Components!$E$6)</f>
        <v/>
      </c>
      <c r="V4" s="67">
        <f>IF(G4="","",ABS(P4-Components!$D$7)/Components!$E$7)</f>
        <v/>
      </c>
      <c r="W4" s="61">
        <f>IF(G4="","",IF(N4="OK","NONE",INDEX({"S1","S2","W1","W2","N1","N2"},MATCH(MIN(Q4:V4),Q4:V4,0))))</f>
        <v/>
      </c>
      <c r="X4" s="69">
        <f>IF(G4="","",IF(W4=E4,1,0))</f>
        <v/>
      </c>
      <c r="Y4" s="70" t="n"/>
    </row>
    <row r="5">
      <c r="A5" s="61" t="n">
        <v>3</v>
      </c>
      <c r="B5" s="62" t="n">
        <v>50</v>
      </c>
      <c r="C5" s="61" t="inlineStr">
        <is>
          <t>R3</t>
        </is>
      </c>
      <c r="D5" s="63" t="inlineStr">
        <is>
          <t>OK</t>
        </is>
      </c>
      <c r="E5" s="61" t="inlineStr">
        <is>
          <t>NONE</t>
        </is>
      </c>
      <c r="F5" s="61" t="inlineStr">
        <is>
          <t>K003</t>
        </is>
      </c>
      <c r="G5" s="64" t="n">
        <v>10</v>
      </c>
      <c r="H5" s="65" t="n"/>
      <c r="I5" s="66" t="n"/>
      <c r="J5" s="67">
        <f>VLOOKUP(C5,Recipes!$A$2:$N$4,10,FALSE())</f>
        <v/>
      </c>
      <c r="K5" s="68">
        <f>VLOOKUP(C5,Recipes!$A$2:$N$4,12,FALSE())</f>
        <v/>
      </c>
      <c r="L5" s="67">
        <f>J5-6*K5</f>
        <v/>
      </c>
      <c r="M5" s="67">
        <f>J5+6*K5</f>
        <v/>
      </c>
      <c r="N5" s="61">
        <f>IF(G5="","",IF(AND(G5&gt;=L5,G5&lt;=M5),"OK","NG"))</f>
        <v/>
      </c>
      <c r="O5" s="69">
        <f>IF(N5="","",IF(N5=D5,1,0))</f>
        <v/>
      </c>
      <c r="P5" s="67">
        <f>IF(G5="","",J5-G5)</f>
        <v/>
      </c>
      <c r="Q5" s="67">
        <f>IF(G5="","",ABS(P5-Components!$D$2)/Components!$E$2)</f>
        <v/>
      </c>
      <c r="R5" s="67">
        <f>IF(G5="","",ABS(P5-Components!$D$3)/Components!$E$3)</f>
        <v/>
      </c>
      <c r="S5" s="67">
        <f>IF(G5="","",ABS(P5-Components!$D$4)/Components!$E$4)</f>
        <v/>
      </c>
      <c r="T5" s="67">
        <f>IF(G5="","",ABS(P5-Components!$D$5)/Components!$E$5)</f>
        <v/>
      </c>
      <c r="U5" s="67">
        <f>IF(G5="","",ABS(P5-Components!$D$6)/Components!$E$6)</f>
        <v/>
      </c>
      <c r="V5" s="67">
        <f>IF(G5="","",ABS(P5-Components!$D$7)/Components!$E$7)</f>
        <v/>
      </c>
      <c r="W5" s="61">
        <f>IF(G5="","",IF(N5="OK","NONE",INDEX({"S1","S2","W1","W2","N1","N2"},MATCH(MIN(Q5:V5),Q5:V5,0))))</f>
        <v/>
      </c>
      <c r="X5" s="69">
        <f>IF(G5="","",IF(W5=E5,1,0))</f>
        <v/>
      </c>
      <c r="Y5" s="70" t="n"/>
    </row>
    <row r="6">
      <c r="A6" s="61" t="n">
        <v>4</v>
      </c>
      <c r="B6" s="62" t="n">
        <v>12</v>
      </c>
      <c r="C6" s="61" t="inlineStr">
        <is>
          <t>R3</t>
        </is>
      </c>
      <c r="D6" s="63" t="inlineStr">
        <is>
          <t>OK</t>
        </is>
      </c>
      <c r="E6" s="61" t="inlineStr">
        <is>
          <t>NONE</t>
        </is>
      </c>
      <c r="F6" s="61" t="inlineStr">
        <is>
          <t>K004</t>
        </is>
      </c>
      <c r="G6" s="64" t="n">
        <v>9.91</v>
      </c>
      <c r="H6" s="65" t="n"/>
      <c r="I6" s="66" t="n"/>
      <c r="J6" s="67">
        <f>VLOOKUP(C6,Recipes!$A$2:$N$4,10,FALSE())</f>
        <v/>
      </c>
      <c r="K6" s="68">
        <f>VLOOKUP(C6,Recipes!$A$2:$N$4,12,FALSE())</f>
        <v/>
      </c>
      <c r="L6" s="67">
        <f>J6-6*K6</f>
        <v/>
      </c>
      <c r="M6" s="67">
        <f>J6+6*K6</f>
        <v/>
      </c>
      <c r="N6" s="61">
        <f>IF(G6="","",IF(AND(G6&gt;=L6,G6&lt;=M6),"OK","NG"))</f>
        <v/>
      </c>
      <c r="O6" s="69">
        <f>IF(N6="","",IF(N6=D6,1,0))</f>
        <v/>
      </c>
      <c r="P6" s="67">
        <f>IF(G6="","",J6-G6)</f>
        <v/>
      </c>
      <c r="Q6" s="67">
        <f>IF(G6="","",ABS(P6-Components!$D$2)/Components!$E$2)</f>
        <v/>
      </c>
      <c r="R6" s="67">
        <f>IF(G6="","",ABS(P6-Components!$D$3)/Components!$E$3)</f>
        <v/>
      </c>
      <c r="S6" s="67">
        <f>IF(G6="","",ABS(P6-Components!$D$4)/Components!$E$4)</f>
        <v/>
      </c>
      <c r="T6" s="67">
        <f>IF(G6="","",ABS(P6-Components!$D$5)/Components!$E$5)</f>
        <v/>
      </c>
      <c r="U6" s="67">
        <f>IF(G6="","",ABS(P6-Components!$D$6)/Components!$E$6)</f>
        <v/>
      </c>
      <c r="V6" s="67">
        <f>IF(G6="","",ABS(P6-Components!$D$7)/Components!$E$7)</f>
        <v/>
      </c>
      <c r="W6" s="61">
        <f>IF(G6="","",IF(N6="OK","NONE",INDEX({"S1","S2","W1","W2","N1","N2"},MATCH(MIN(Q6:V6),Q6:V6,0))))</f>
        <v/>
      </c>
      <c r="X6" s="69">
        <f>IF(G6="","",IF(W6=E6,1,0))</f>
        <v/>
      </c>
      <c r="Y6" s="70" t="n"/>
    </row>
    <row r="7">
      <c r="A7" s="61" t="n">
        <v>5</v>
      </c>
      <c r="B7" s="62" t="n">
        <v>17</v>
      </c>
      <c r="C7" s="61" t="inlineStr">
        <is>
          <t>R3</t>
        </is>
      </c>
      <c r="D7" s="63" t="inlineStr">
        <is>
          <t>OK</t>
        </is>
      </c>
      <c r="E7" s="61" t="inlineStr">
        <is>
          <t>NONE</t>
        </is>
      </c>
      <c r="F7" s="61" t="inlineStr">
        <is>
          <t>K005</t>
        </is>
      </c>
      <c r="G7" s="64" t="n">
        <v>10.04</v>
      </c>
      <c r="H7" s="65" t="n"/>
      <c r="I7" s="66" t="n"/>
      <c r="J7" s="67">
        <f>VLOOKUP(C7,Recipes!$A$2:$N$4,10,FALSE())</f>
        <v/>
      </c>
      <c r="K7" s="68">
        <f>VLOOKUP(C7,Recipes!$A$2:$N$4,12,FALSE())</f>
        <v/>
      </c>
      <c r="L7" s="67">
        <f>J7-6*K7</f>
        <v/>
      </c>
      <c r="M7" s="67">
        <f>J7+6*K7</f>
        <v/>
      </c>
      <c r="N7" s="61">
        <f>IF(G7="","",IF(AND(G7&gt;=L7,G7&lt;=M7),"OK","NG"))</f>
        <v/>
      </c>
      <c r="O7" s="69">
        <f>IF(N7="","",IF(N7=D7,1,0))</f>
        <v/>
      </c>
      <c r="P7" s="67">
        <f>IF(G7="","",J7-G7)</f>
        <v/>
      </c>
      <c r="Q7" s="67">
        <f>IF(G7="","",ABS(P7-Components!$D$2)/Components!$E$2)</f>
        <v/>
      </c>
      <c r="R7" s="67">
        <f>IF(G7="","",ABS(P7-Components!$D$3)/Components!$E$3)</f>
        <v/>
      </c>
      <c r="S7" s="67">
        <f>IF(G7="","",ABS(P7-Components!$D$4)/Components!$E$4)</f>
        <v/>
      </c>
      <c r="T7" s="67">
        <f>IF(G7="","",ABS(P7-Components!$D$5)/Components!$E$5)</f>
        <v/>
      </c>
      <c r="U7" s="67">
        <f>IF(G7="","",ABS(P7-Components!$D$6)/Components!$E$6)</f>
        <v/>
      </c>
      <c r="V7" s="67">
        <f>IF(G7="","",ABS(P7-Components!$D$7)/Components!$E$7)</f>
        <v/>
      </c>
      <c r="W7" s="61">
        <f>IF(G7="","",IF(N7="OK","NONE",INDEX({"S1","S2","W1","W2","N1","N2"},MATCH(MIN(Q7:V7),Q7:V7,0))))</f>
        <v/>
      </c>
      <c r="X7" s="69">
        <f>IF(G7="","",IF(W7=E7,1,0))</f>
        <v/>
      </c>
      <c r="Y7" s="70" t="n"/>
    </row>
    <row r="8">
      <c r="A8" s="61" t="n">
        <v>5</v>
      </c>
      <c r="B8" s="62" t="n">
        <v>17</v>
      </c>
      <c r="C8" s="61" t="inlineStr">
        <is>
          <t>R3</t>
        </is>
      </c>
      <c r="D8" s="63" t="inlineStr">
        <is>
          <t>OK</t>
        </is>
      </c>
      <c r="E8" s="61" t="inlineStr">
        <is>
          <t>NONE</t>
        </is>
      </c>
      <c r="F8" s="61" t="inlineStr">
        <is>
          <t>K005</t>
        </is>
      </c>
      <c r="G8" s="64" t="n">
        <v>9.84</v>
      </c>
      <c r="H8" s="65" t="n"/>
      <c r="I8" s="66" t="n"/>
      <c r="J8" s="67">
        <f>VLOOKUP(C8,Recipes!$A$2:$N$4,10,FALSE())</f>
        <v/>
      </c>
      <c r="K8" s="68">
        <f>VLOOKUP(C8,Recipes!$A$2:$N$4,12,FALSE())</f>
        <v/>
      </c>
      <c r="L8" s="67">
        <f>J8-6*K8</f>
        <v/>
      </c>
      <c r="M8" s="67">
        <f>J8+6*K8</f>
        <v/>
      </c>
      <c r="N8" s="61">
        <f>IF(G8="","",IF(AND(G8&gt;=L8,G8&lt;=M8),"OK","NG"))</f>
        <v/>
      </c>
      <c r="O8" s="69">
        <f>IF(N8="","",IF(N8=D8,1,0))</f>
        <v/>
      </c>
      <c r="P8" s="67">
        <f>IF(G8="","",J8-G8)</f>
        <v/>
      </c>
      <c r="Q8" s="67">
        <f>IF(G8="","",ABS(P8-Components!$D$2)/Components!$E$2)</f>
        <v/>
      </c>
      <c r="R8" s="67">
        <f>IF(G8="","",ABS(P8-Components!$D$3)/Components!$E$3)</f>
        <v/>
      </c>
      <c r="S8" s="67">
        <f>IF(G8="","",ABS(P8-Components!$D$4)/Components!$E$4)</f>
        <v/>
      </c>
      <c r="T8" s="67">
        <f>IF(G8="","",ABS(P8-Components!$D$5)/Components!$E$5)</f>
        <v/>
      </c>
      <c r="U8" s="67">
        <f>IF(G8="","",ABS(P8-Components!$D$6)/Components!$E$6)</f>
        <v/>
      </c>
      <c r="V8" s="67">
        <f>IF(G8="","",ABS(P8-Components!$D$7)/Components!$E$7)</f>
        <v/>
      </c>
      <c r="W8" s="61">
        <f>IF(G8="","",IF(N8="OK","NONE",INDEX({"S1","S2","W1","W2","N1","N2"},MATCH(MIN(Q8:V8),Q8:V8,0))))</f>
        <v/>
      </c>
      <c r="X8" s="69">
        <f>IF(G8="","",IF(W8=E8,1,0))</f>
        <v/>
      </c>
      <c r="Y8" s="70" t="n"/>
    </row>
    <row r="9">
      <c r="A9" s="61" t="n">
        <v>5</v>
      </c>
      <c r="B9" s="62" t="n">
        <v>17</v>
      </c>
      <c r="C9" s="61" t="inlineStr">
        <is>
          <t>R3</t>
        </is>
      </c>
      <c r="D9" s="63" t="inlineStr">
        <is>
          <t>OK</t>
        </is>
      </c>
      <c r="E9" s="61" t="inlineStr">
        <is>
          <t>NONE</t>
        </is>
      </c>
      <c r="F9" s="61" t="inlineStr">
        <is>
          <t>K005</t>
        </is>
      </c>
      <c r="G9" s="64" t="n">
        <v>9.9</v>
      </c>
      <c r="H9" s="65" t="n"/>
      <c r="I9" s="66" t="n"/>
      <c r="J9" s="67">
        <f>VLOOKUP(C9,Recipes!$A$2:$N$4,10,FALSE())</f>
        <v/>
      </c>
      <c r="K9" s="68">
        <f>VLOOKUP(C9,Recipes!$A$2:$N$4,12,FALSE())</f>
        <v/>
      </c>
      <c r="L9" s="67">
        <f>J9-6*K9</f>
        <v/>
      </c>
      <c r="M9" s="67">
        <f>J9+6*K9</f>
        <v/>
      </c>
      <c r="N9" s="61">
        <f>IF(G9="","",IF(AND(G9&gt;=L9,G9&lt;=M9),"OK","NG"))</f>
        <v/>
      </c>
      <c r="O9" s="69">
        <f>IF(N9="","",IF(N9=D9,1,0))</f>
        <v/>
      </c>
      <c r="P9" s="67">
        <f>IF(G9="","",J9-G9)</f>
        <v/>
      </c>
      <c r="Q9" s="67">
        <f>IF(G9="","",ABS(P9-Components!$D$2)/Components!$E$2)</f>
        <v/>
      </c>
      <c r="R9" s="67">
        <f>IF(G9="","",ABS(P9-Components!$D$3)/Components!$E$3)</f>
        <v/>
      </c>
      <c r="S9" s="67">
        <f>IF(G9="","",ABS(P9-Components!$D$4)/Components!$E$4)</f>
        <v/>
      </c>
      <c r="T9" s="67">
        <f>IF(G9="","",ABS(P9-Components!$D$5)/Components!$E$5)</f>
        <v/>
      </c>
      <c r="U9" s="67">
        <f>IF(G9="","",ABS(P9-Components!$D$6)/Components!$E$6)</f>
        <v/>
      </c>
      <c r="V9" s="67">
        <f>IF(G9="","",ABS(P9-Components!$D$7)/Components!$E$7)</f>
        <v/>
      </c>
      <c r="W9" s="61">
        <f>IF(G9="","",IF(N9="OK","NONE",INDEX({"S1","S2","W1","W2","N1","N2"},MATCH(MIN(Q9:V9),Q9:V9,0))))</f>
        <v/>
      </c>
      <c r="X9" s="69">
        <f>IF(G9="","",IF(W9=E9,1,0))</f>
        <v/>
      </c>
      <c r="Y9" s="70" t="n"/>
    </row>
    <row r="10">
      <c r="A10" s="61" t="n">
        <v>5</v>
      </c>
      <c r="B10" s="62" t="n">
        <v>17</v>
      </c>
      <c r="C10" s="61" t="inlineStr">
        <is>
          <t>R3</t>
        </is>
      </c>
      <c r="D10" s="63" t="inlineStr">
        <is>
          <t>OK</t>
        </is>
      </c>
      <c r="E10" s="61" t="inlineStr">
        <is>
          <t>NONE</t>
        </is>
      </c>
      <c r="F10" s="61" t="inlineStr">
        <is>
          <t>K005</t>
        </is>
      </c>
      <c r="G10" s="64" t="n">
        <v>9.92</v>
      </c>
      <c r="H10" s="65" t="n"/>
      <c r="I10" s="66" t="n"/>
      <c r="J10" s="67">
        <f>VLOOKUP(C10,Recipes!$A$2:$N$4,10,FALSE())</f>
        <v/>
      </c>
      <c r="K10" s="68">
        <f>VLOOKUP(C10,Recipes!$A$2:$N$4,12,FALSE())</f>
        <v/>
      </c>
      <c r="L10" s="72">
        <f>J10-6*K10</f>
        <v/>
      </c>
      <c r="M10" s="72">
        <f>J10+6*K10</f>
        <v/>
      </c>
      <c r="N10" s="61">
        <f>IF(G10="","",IF(AND(G10&gt;=L10,G10&lt;=M10),"OK","NG"))</f>
        <v/>
      </c>
      <c r="O10" s="69">
        <f>IF(N10="","",IF(N10=D10,1,0))</f>
        <v/>
      </c>
      <c r="P10" s="67">
        <f>IF(G10="","",J10-G10)</f>
        <v/>
      </c>
      <c r="Q10" s="67">
        <f>IF(G10="","",ABS(P10-Components!$D$2)/Components!$E$2)</f>
        <v/>
      </c>
      <c r="R10" s="67">
        <f>IF(G10="","",ABS(P10-Components!$D$3)/Components!$E$3)</f>
        <v/>
      </c>
      <c r="S10" s="67">
        <f>IF(G10="","",ABS(P10-Components!$D$4)/Components!$E$4)</f>
        <v/>
      </c>
      <c r="T10" s="67">
        <f>IF(G10="","",ABS(P10-Components!$D$5)/Components!$E$5)</f>
        <v/>
      </c>
      <c r="U10" s="67">
        <f>IF(G10="","",ABS(P10-Components!$D$6)/Components!$E$6)</f>
        <v/>
      </c>
      <c r="V10" s="67">
        <f>IF(G10="","",ABS(P10-Components!$D$7)/Components!$E$7)</f>
        <v/>
      </c>
      <c r="W10" s="61">
        <f>IF(G10="","",IF(N10="OK","NONE",INDEX({"S1","S2","W1","W2","N1","N2"},MATCH(MIN(Q10:V10),Q10:V10,0))))</f>
        <v/>
      </c>
      <c r="X10" s="69">
        <f>IF(G10="","",IF(W10=E10,1,0))</f>
        <v/>
      </c>
      <c r="Y10" s="70" t="n"/>
    </row>
    <row r="11">
      <c r="A11" s="61" t="n">
        <v>5</v>
      </c>
      <c r="B11" s="62" t="n">
        <v>17</v>
      </c>
      <c r="C11" s="61" t="inlineStr">
        <is>
          <t>R3</t>
        </is>
      </c>
      <c r="D11" s="63" t="inlineStr">
        <is>
          <t>OK</t>
        </is>
      </c>
      <c r="E11" s="61" t="inlineStr">
        <is>
          <t>NONE</t>
        </is>
      </c>
      <c r="F11" s="61" t="inlineStr">
        <is>
          <t>K005</t>
        </is>
      </c>
      <c r="G11" s="64" t="n">
        <v>9.949999999999999</v>
      </c>
      <c r="H11" s="65" t="n"/>
      <c r="I11" s="66" t="n"/>
      <c r="J11" s="67">
        <f>VLOOKUP(C11,Recipes!$A$2:$N$4,10,FALSE())</f>
        <v/>
      </c>
      <c r="K11" s="68">
        <f>VLOOKUP(C11,Recipes!$A$2:$N$4,12,FALSE())</f>
        <v/>
      </c>
      <c r="L11" s="67">
        <f>J11-6*K11</f>
        <v/>
      </c>
      <c r="M11" s="67">
        <f>J11+6*K11</f>
        <v/>
      </c>
      <c r="N11" s="61">
        <f>IF(G11="","",IF(AND(G11&gt;=L11,G11&lt;=M11),"OK","NG"))</f>
        <v/>
      </c>
      <c r="O11" s="69">
        <f>IF(N11="","",IF(N11=D11,1,0))</f>
        <v/>
      </c>
      <c r="P11" s="67">
        <f>IF(G11="","",J11-G11)</f>
        <v/>
      </c>
      <c r="Q11" s="67">
        <f>IF(G11="","",ABS(P11-Components!$D$2)/Components!$E$2)</f>
        <v/>
      </c>
      <c r="R11" s="67">
        <f>IF(G11="","",ABS(P11-Components!$D$3)/Components!$E$3)</f>
        <v/>
      </c>
      <c r="S11" s="67">
        <f>IF(G11="","",ABS(P11-Components!$D$4)/Components!$E$4)</f>
        <v/>
      </c>
      <c r="T11" s="67">
        <f>IF(G11="","",ABS(P11-Components!$D$5)/Components!$E$5)</f>
        <v/>
      </c>
      <c r="U11" s="67">
        <f>IF(G11="","",ABS(P11-Components!$D$6)/Components!$E$6)</f>
        <v/>
      </c>
      <c r="V11" s="67">
        <f>IF(G11="","",ABS(P11-Components!$D$7)/Components!$E$7)</f>
        <v/>
      </c>
      <c r="W11" s="61">
        <f>IF(G11="","",IF(N11="OK","NONE",INDEX({"S1","S2","W1","W2","N1","N2"},MATCH(MIN(Q11:V11),Q11:V11,0))))</f>
        <v/>
      </c>
      <c r="X11" s="69">
        <f>IF(G11="","",IF(W11=E11,1,0))</f>
        <v/>
      </c>
      <c r="Y11" s="70" t="n"/>
    </row>
    <row r="12">
      <c r="A12" s="61" t="n">
        <v>5</v>
      </c>
      <c r="B12" s="62" t="n">
        <v>17</v>
      </c>
      <c r="C12" s="61" t="inlineStr">
        <is>
          <t>R3</t>
        </is>
      </c>
      <c r="D12" s="63" t="inlineStr">
        <is>
          <t>OK</t>
        </is>
      </c>
      <c r="E12" s="61" t="inlineStr">
        <is>
          <t>NONE</t>
        </is>
      </c>
      <c r="F12" s="61" t="inlineStr">
        <is>
          <t>K005</t>
        </is>
      </c>
      <c r="G12" s="64" t="n">
        <v>9.869999999999999</v>
      </c>
      <c r="H12" s="65" t="n"/>
      <c r="I12" s="66" t="n"/>
      <c r="J12" s="67">
        <f>VLOOKUP(C12,Recipes!$A$2:$N$4,10,FALSE())</f>
        <v/>
      </c>
      <c r="K12" s="68">
        <f>VLOOKUP(C12,Recipes!$A$2:$N$4,12,FALSE())</f>
        <v/>
      </c>
      <c r="L12" s="67">
        <f>J12-6*K12</f>
        <v/>
      </c>
      <c r="M12" s="67">
        <f>J12+6*K12</f>
        <v/>
      </c>
      <c r="N12" s="61">
        <f>IF(G12="","",IF(AND(G12&gt;=L12,G12&lt;=M12),"OK","NG"))</f>
        <v/>
      </c>
      <c r="O12" s="69">
        <f>IF(N12="","",IF(N12=D12,1,0))</f>
        <v/>
      </c>
      <c r="P12" s="67">
        <f>IF(G12="","",J12-G12)</f>
        <v/>
      </c>
      <c r="Q12" s="67">
        <f>IF(G12="","",ABS(P12-Components!$D$2)/Components!$E$2)</f>
        <v/>
      </c>
      <c r="R12" s="67">
        <f>IF(G12="","",ABS(P12-Components!$D$3)/Components!$E$3)</f>
        <v/>
      </c>
      <c r="S12" s="67">
        <f>IF(G12="","",ABS(P12-Components!$D$4)/Components!$E$4)</f>
        <v/>
      </c>
      <c r="T12" s="67">
        <f>IF(G12="","",ABS(P12-Components!$D$5)/Components!$E$5)</f>
        <v/>
      </c>
      <c r="U12" s="67">
        <f>IF(G12="","",ABS(P12-Components!$D$6)/Components!$E$6)</f>
        <v/>
      </c>
      <c r="V12" s="67">
        <f>IF(G12="","",ABS(P12-Components!$D$7)/Components!$E$7)</f>
        <v/>
      </c>
      <c r="W12" s="61">
        <f>IF(G12="","",IF(N12="OK","NONE",INDEX({"S1","S2","W1","W2","N1","N2"},MATCH(MIN(Q12:V12),Q12:V12,0))))</f>
        <v/>
      </c>
      <c r="X12" s="69">
        <f>IF(G12="","",IF(W12=E12,1,0))</f>
        <v/>
      </c>
      <c r="Y12" s="70" t="n"/>
    </row>
    <row r="13">
      <c r="A13" s="61" t="n">
        <v>5</v>
      </c>
      <c r="B13" s="62" t="n">
        <v>17</v>
      </c>
      <c r="C13" s="61" t="inlineStr">
        <is>
          <t>R3</t>
        </is>
      </c>
      <c r="D13" s="63" t="inlineStr">
        <is>
          <t>OK</t>
        </is>
      </c>
      <c r="E13" s="61" t="inlineStr">
        <is>
          <t>NONE</t>
        </is>
      </c>
      <c r="F13" s="61" t="inlineStr">
        <is>
          <t>K005</t>
        </is>
      </c>
      <c r="G13" s="64" t="n">
        <v>9.880000000000001</v>
      </c>
      <c r="H13" s="65" t="n"/>
      <c r="I13" s="66" t="n"/>
      <c r="J13" s="67">
        <f>VLOOKUP(C13,Recipes!$A$2:$N$4,10,FALSE())</f>
        <v/>
      </c>
      <c r="K13" s="68">
        <f>VLOOKUP(C13,Recipes!$A$2:$N$4,12,FALSE())</f>
        <v/>
      </c>
      <c r="L13" s="67">
        <f>J13-6*K13</f>
        <v/>
      </c>
      <c r="M13" s="67">
        <f>J13+6*K13</f>
        <v/>
      </c>
      <c r="N13" s="61">
        <f>IF(G13="","",IF(AND(G13&gt;=L13,G13&lt;=M13),"OK","NG"))</f>
        <v/>
      </c>
      <c r="O13" s="69">
        <f>IF(N13="","",IF(N13=D13,1,0))</f>
        <v/>
      </c>
      <c r="P13" s="67">
        <f>IF(G13="","",J13-G13)</f>
        <v/>
      </c>
      <c r="Q13" s="67">
        <f>IF(G13="","",ABS(P13-Components!$D$2)/Components!$E$2)</f>
        <v/>
      </c>
      <c r="R13" s="67">
        <f>IF(G13="","",ABS(P13-Components!$D$3)/Components!$E$3)</f>
        <v/>
      </c>
      <c r="S13" s="67">
        <f>IF(G13="","",ABS(P13-Components!$D$4)/Components!$E$4)</f>
        <v/>
      </c>
      <c r="T13" s="67">
        <f>IF(G13="","",ABS(P13-Components!$D$5)/Components!$E$5)</f>
        <v/>
      </c>
      <c r="U13" s="67">
        <f>IF(G13="","",ABS(P13-Components!$D$6)/Components!$E$6)</f>
        <v/>
      </c>
      <c r="V13" s="67">
        <f>IF(G13="","",ABS(P13-Components!$D$7)/Components!$E$7)</f>
        <v/>
      </c>
      <c r="W13" s="61">
        <f>IF(G13="","",IF(N13="OK","NONE",INDEX({"S1","S2","W1","W2","N1","N2"},MATCH(MIN(Q13:V13),Q13:V13,0))))</f>
        <v/>
      </c>
      <c r="X13" s="69">
        <f>IF(G13="","",IF(W13=E13,1,0))</f>
        <v/>
      </c>
      <c r="Y13" s="70" t="n"/>
    </row>
    <row r="14">
      <c r="A14" s="61" t="n">
        <v>5</v>
      </c>
      <c r="B14" s="62" t="n">
        <v>17</v>
      </c>
      <c r="C14" s="61" t="inlineStr">
        <is>
          <t>R3</t>
        </is>
      </c>
      <c r="D14" s="63" t="inlineStr">
        <is>
          <t>OK</t>
        </is>
      </c>
      <c r="E14" s="61" t="inlineStr">
        <is>
          <t>NONE</t>
        </is>
      </c>
      <c r="F14" s="61" t="inlineStr">
        <is>
          <t>K005</t>
        </is>
      </c>
      <c r="G14" s="64" t="n">
        <v>9.91</v>
      </c>
      <c r="H14" s="65" t="n"/>
      <c r="I14" s="66" t="n"/>
      <c r="J14" s="67">
        <f>VLOOKUP(C14,Recipes!$A$2:$N$4,10,FALSE())</f>
        <v/>
      </c>
      <c r="K14" s="68">
        <f>VLOOKUP(C14,Recipes!$A$2:$N$4,12,FALSE())</f>
        <v/>
      </c>
      <c r="L14" s="67">
        <f>J14-6*K14</f>
        <v/>
      </c>
      <c r="M14" s="67">
        <f>J14+6*K14</f>
        <v/>
      </c>
      <c r="N14" s="61">
        <f>IF(G14="","",IF(AND(G14&gt;=L14,G14&lt;=M14),"OK","NG"))</f>
        <v/>
      </c>
      <c r="O14" s="69">
        <f>IF(N14="","",IF(N14=D14,1,0))</f>
        <v/>
      </c>
      <c r="P14" s="67">
        <f>IF(G14="","",J14-G14)</f>
        <v/>
      </c>
      <c r="Q14" s="67">
        <f>IF(G14="","",ABS(P14-Components!$D$2)/Components!$E$2)</f>
        <v/>
      </c>
      <c r="R14" s="67">
        <f>IF(G14="","",ABS(P14-Components!$D$3)/Components!$E$3)</f>
        <v/>
      </c>
      <c r="S14" s="67">
        <f>IF(G14="","",ABS(P14-Components!$D$4)/Components!$E$4)</f>
        <v/>
      </c>
      <c r="T14" s="67">
        <f>IF(G14="","",ABS(P14-Components!$D$5)/Components!$E$5)</f>
        <v/>
      </c>
      <c r="U14" s="67">
        <f>IF(G14="","",ABS(P14-Components!$D$6)/Components!$E$6)</f>
        <v/>
      </c>
      <c r="V14" s="67">
        <f>IF(G14="","",ABS(P14-Components!$D$7)/Components!$E$7)</f>
        <v/>
      </c>
      <c r="W14" s="61">
        <f>IF(G14="","",IF(N14="OK","NONE",INDEX({"S1","S2","W1","W2","N1","N2"},MATCH(MIN(Q14:V14),Q14:V14,0))))</f>
        <v/>
      </c>
      <c r="X14" s="69">
        <f>IF(G14="","",IF(W14=E14,1,0))</f>
        <v/>
      </c>
      <c r="Y14" s="70" t="n"/>
    </row>
    <row r="15">
      <c r="A15" s="61" t="n">
        <v>5</v>
      </c>
      <c r="B15" s="62" t="n">
        <v>17</v>
      </c>
      <c r="C15" s="61" t="inlineStr">
        <is>
          <t>R3</t>
        </is>
      </c>
      <c r="D15" s="63" t="inlineStr">
        <is>
          <t>OK</t>
        </is>
      </c>
      <c r="E15" s="61" t="inlineStr">
        <is>
          <t>NONE</t>
        </is>
      </c>
      <c r="F15" s="61" t="inlineStr">
        <is>
          <t>K005</t>
        </is>
      </c>
      <c r="G15" s="64" t="n">
        <v>9.9</v>
      </c>
      <c r="H15" s="65" t="n"/>
      <c r="I15" s="66" t="n"/>
      <c r="J15" s="67">
        <f>VLOOKUP(C15,Recipes!$A$2:$N$4,10,FALSE())</f>
        <v/>
      </c>
      <c r="K15" s="68">
        <f>VLOOKUP(C15,Recipes!$A$2:$N$4,12,FALSE())</f>
        <v/>
      </c>
      <c r="L15" s="67">
        <f>J15-6*K15</f>
        <v/>
      </c>
      <c r="M15" s="67">
        <f>J15+6*K15</f>
        <v/>
      </c>
      <c r="N15" s="61">
        <f>IF(G15="","",IF(AND(G15&gt;=L15,G15&lt;=M15),"OK","NG"))</f>
        <v/>
      </c>
      <c r="O15" s="69">
        <f>IF(N15="","",IF(N15=D15,1,0))</f>
        <v/>
      </c>
      <c r="P15" s="67">
        <f>IF(G15="","",J15-G15)</f>
        <v/>
      </c>
      <c r="Q15" s="67">
        <f>IF(G15="","",ABS(P15-Components!$D$2)/Components!$E$2)</f>
        <v/>
      </c>
      <c r="R15" s="67">
        <f>IF(G15="","",ABS(P15-Components!$D$3)/Components!$E$3)</f>
        <v/>
      </c>
      <c r="S15" s="67">
        <f>IF(G15="","",ABS(P15-Components!$D$4)/Components!$E$4)</f>
        <v/>
      </c>
      <c r="T15" s="67">
        <f>IF(G15="","",ABS(P15-Components!$D$5)/Components!$E$5)</f>
        <v/>
      </c>
      <c r="U15" s="67">
        <f>IF(G15="","",ABS(P15-Components!$D$6)/Components!$E$6)</f>
        <v/>
      </c>
      <c r="V15" s="67">
        <f>IF(G15="","",ABS(P15-Components!$D$7)/Components!$E$7)</f>
        <v/>
      </c>
      <c r="W15" s="61">
        <f>IF(G15="","",IF(N15="OK","NONE",INDEX({"S1","S2","W1","W2","N1","N2"},MATCH(MIN(Q15:V15),Q15:V15,0))))</f>
        <v/>
      </c>
      <c r="X15" s="69">
        <f>IF(G15="","",IF(W15=E15,1,0))</f>
        <v/>
      </c>
      <c r="Y15" s="70" t="n"/>
    </row>
    <row r="16">
      <c r="A16" s="61" t="n">
        <v>5</v>
      </c>
      <c r="B16" s="62" t="n">
        <v>17</v>
      </c>
      <c r="C16" s="61" t="inlineStr">
        <is>
          <t>R3</t>
        </is>
      </c>
      <c r="D16" s="63" t="inlineStr">
        <is>
          <t>OK</t>
        </is>
      </c>
      <c r="E16" s="61" t="inlineStr">
        <is>
          <t>NONE</t>
        </is>
      </c>
      <c r="F16" s="61" t="inlineStr">
        <is>
          <t>K005</t>
        </is>
      </c>
      <c r="G16" s="64" t="n">
        <v>9.92</v>
      </c>
      <c r="H16" s="65" t="n"/>
      <c r="I16" s="66" t="n"/>
      <c r="J16" s="67">
        <f>VLOOKUP(C16,Recipes!$A$2:$N$4,10,FALSE())</f>
        <v/>
      </c>
      <c r="K16" s="68">
        <f>VLOOKUP(C16,Recipes!$A$2:$N$4,12,FALSE())</f>
        <v/>
      </c>
      <c r="L16" s="67">
        <f>J16-6*K16</f>
        <v/>
      </c>
      <c r="M16" s="67">
        <f>J16+6*K16</f>
        <v/>
      </c>
      <c r="N16" s="61">
        <f>IF(G16="","",IF(AND(G16&gt;=L16,G16&lt;=M16),"OK","NG"))</f>
        <v/>
      </c>
      <c r="O16" s="69">
        <f>IF(N16="","",IF(N16=D16,1,0))</f>
        <v/>
      </c>
      <c r="P16" s="67">
        <f>IF(G16="","",J16-G16)</f>
        <v/>
      </c>
      <c r="Q16" s="67">
        <f>IF(G16="","",ABS(P16-Components!$D$2)/Components!$E$2)</f>
        <v/>
      </c>
      <c r="R16" s="67">
        <f>IF(G16="","",ABS(P16-Components!$D$3)/Components!$E$3)</f>
        <v/>
      </c>
      <c r="S16" s="67">
        <f>IF(G16="","",ABS(P16-Components!$D$4)/Components!$E$4)</f>
        <v/>
      </c>
      <c r="T16" s="67">
        <f>IF(G16="","",ABS(P16-Components!$D$5)/Components!$E$5)</f>
        <v/>
      </c>
      <c r="U16" s="67">
        <f>IF(G16="","",ABS(P16-Components!$D$6)/Components!$E$6)</f>
        <v/>
      </c>
      <c r="V16" s="67">
        <f>IF(G16="","",ABS(P16-Components!$D$7)/Components!$E$7)</f>
        <v/>
      </c>
      <c r="W16" s="61">
        <f>IF(G16="","",IF(N16="OK","NONE",INDEX({"S1","S2","W1","W2","N1","N2"},MATCH(MIN(Q16:V16),Q16:V16,0))))</f>
        <v/>
      </c>
      <c r="X16" s="69">
        <f>IF(G16="","",IF(W16=E16,1,0))</f>
        <v/>
      </c>
      <c r="Y16" s="70" t="n"/>
    </row>
    <row r="17">
      <c r="A17" s="61" t="n">
        <v>5</v>
      </c>
      <c r="B17" s="62" t="n">
        <v>17</v>
      </c>
      <c r="C17" s="61" t="inlineStr">
        <is>
          <t>R3</t>
        </is>
      </c>
      <c r="D17" s="63" t="inlineStr">
        <is>
          <t>OK</t>
        </is>
      </c>
      <c r="E17" s="61" t="inlineStr">
        <is>
          <t>NONE</t>
        </is>
      </c>
      <c r="F17" s="61" t="inlineStr">
        <is>
          <t>K005</t>
        </is>
      </c>
      <c r="G17" s="64" t="n">
        <v>9.94</v>
      </c>
      <c r="H17" s="65" t="n"/>
      <c r="I17" s="66" t="n"/>
      <c r="J17" s="67">
        <f>VLOOKUP(C17,Recipes!$A$2:$N$4,10,FALSE())</f>
        <v/>
      </c>
      <c r="K17" s="68">
        <f>VLOOKUP(C17,Recipes!$A$2:$N$4,12,FALSE())</f>
        <v/>
      </c>
      <c r="L17" s="67">
        <f>J17-6*K17</f>
        <v/>
      </c>
      <c r="M17" s="67">
        <f>J17+6*K17</f>
        <v/>
      </c>
      <c r="N17" s="61">
        <f>IF(G17="","",IF(AND(G17&gt;=L17,G17&lt;=M17),"OK","NG"))</f>
        <v/>
      </c>
      <c r="O17" s="69">
        <f>IF(N17="","",IF(N17=D17,1,0))</f>
        <v/>
      </c>
      <c r="P17" s="67">
        <f>IF(G17="","",J17-G17)</f>
        <v/>
      </c>
      <c r="Q17" s="67">
        <f>IF(G17="","",ABS(P17-Components!$D$2)/Components!$E$2)</f>
        <v/>
      </c>
      <c r="R17" s="67">
        <f>IF(G17="","",ABS(P17-Components!$D$3)/Components!$E$3)</f>
        <v/>
      </c>
      <c r="S17" s="67">
        <f>IF(G17="","",ABS(P17-Components!$D$4)/Components!$E$4)</f>
        <v/>
      </c>
      <c r="T17" s="67">
        <f>IF(G17="","",ABS(P17-Components!$D$5)/Components!$E$5)</f>
        <v/>
      </c>
      <c r="U17" s="67">
        <f>IF(G17="","",ABS(P17-Components!$D$6)/Components!$E$6)</f>
        <v/>
      </c>
      <c r="V17" s="67">
        <f>IF(G17="","",ABS(P17-Components!$D$7)/Components!$E$7)</f>
        <v/>
      </c>
      <c r="W17" s="61">
        <f>IF(G17="","",IF(N17="OK","NONE",INDEX({"S1","S2","W1","W2","N1","N2"},MATCH(MIN(Q17:V17),Q17:V17,0))))</f>
        <v/>
      </c>
      <c r="X17" s="69">
        <f>IF(G17="","",IF(W17=E17,1,0))</f>
        <v/>
      </c>
      <c r="Y17" s="70" t="n"/>
    </row>
    <row r="18">
      <c r="A18" s="61" t="n">
        <v>5</v>
      </c>
      <c r="B18" s="62" t="n">
        <v>17</v>
      </c>
      <c r="C18" s="61" t="inlineStr">
        <is>
          <t>R3</t>
        </is>
      </c>
      <c r="D18" s="63" t="inlineStr">
        <is>
          <t>OK</t>
        </is>
      </c>
      <c r="E18" s="61" t="inlineStr">
        <is>
          <t>NONE</t>
        </is>
      </c>
      <c r="F18" s="61" t="inlineStr">
        <is>
          <t>K005</t>
        </is>
      </c>
      <c r="G18" s="64" t="n">
        <v>9.92</v>
      </c>
      <c r="H18" s="65" t="n"/>
      <c r="I18" s="66" t="n"/>
      <c r="J18" s="67">
        <f>VLOOKUP(C18,Recipes!$A$2:$N$4,10,FALSE())</f>
        <v/>
      </c>
      <c r="K18" s="68">
        <f>VLOOKUP(C18,Recipes!$A$2:$N$4,12,FALSE())</f>
        <v/>
      </c>
      <c r="L18" s="67">
        <f>J18-6*K18</f>
        <v/>
      </c>
      <c r="M18" s="67">
        <f>J18+6*K18</f>
        <v/>
      </c>
      <c r="N18" s="61">
        <f>IF(G18="","",IF(AND(G18&gt;=L18,G18&lt;=M18),"OK","NG"))</f>
        <v/>
      </c>
      <c r="O18" s="69">
        <f>IF(N18="","",IF(N18=D18,1,0))</f>
        <v/>
      </c>
      <c r="P18" s="67">
        <f>IF(G18="","",J18-G18)</f>
        <v/>
      </c>
      <c r="Q18" s="67">
        <f>IF(G18="","",ABS(P18-Components!$D$2)/Components!$E$2)</f>
        <v/>
      </c>
      <c r="R18" s="67">
        <f>IF(G18="","",ABS(P18-Components!$D$3)/Components!$E$3)</f>
        <v/>
      </c>
      <c r="S18" s="67">
        <f>IF(G18="","",ABS(P18-Components!$D$4)/Components!$E$4)</f>
        <v/>
      </c>
      <c r="T18" s="67">
        <f>IF(G18="","",ABS(P18-Components!$D$5)/Components!$E$5)</f>
        <v/>
      </c>
      <c r="U18" s="67">
        <f>IF(G18="","",ABS(P18-Components!$D$6)/Components!$E$6)</f>
        <v/>
      </c>
      <c r="V18" s="67">
        <f>IF(G18="","",ABS(P18-Components!$D$7)/Components!$E$7)</f>
        <v/>
      </c>
      <c r="W18" s="61">
        <f>IF(G18="","",IF(N18="OK","NONE",INDEX({"S1","S2","W1","W2","N1","N2"},MATCH(MIN(Q18:V18),Q18:V18,0))))</f>
        <v/>
      </c>
      <c r="X18" s="69">
        <f>IF(G18="","",IF(W18=E18,1,0))</f>
        <v/>
      </c>
      <c r="Y18" s="70" t="n"/>
    </row>
    <row r="19">
      <c r="A19" s="61" t="n">
        <v>5</v>
      </c>
      <c r="B19" s="62" t="n">
        <v>17</v>
      </c>
      <c r="C19" s="61" t="inlineStr">
        <is>
          <t>R3</t>
        </is>
      </c>
      <c r="D19" s="63" t="inlineStr">
        <is>
          <t>OK</t>
        </is>
      </c>
      <c r="E19" s="61" t="inlineStr">
        <is>
          <t>NONE</t>
        </is>
      </c>
      <c r="F19" s="61" t="inlineStr">
        <is>
          <t>K005</t>
        </is>
      </c>
      <c r="G19" s="64" t="n">
        <v>9.890000000000001</v>
      </c>
      <c r="H19" s="65" t="n"/>
      <c r="I19" s="66" t="n"/>
      <c r="J19" s="67">
        <f>VLOOKUP(C19,Recipes!$A$2:$N$4,10,FALSE())</f>
        <v/>
      </c>
      <c r="K19" s="68">
        <f>VLOOKUP(C19,Recipes!$A$2:$N$4,12,FALSE())</f>
        <v/>
      </c>
      <c r="L19" s="67">
        <f>J19-6*K19</f>
        <v/>
      </c>
      <c r="M19" s="67">
        <f>J19+6*K19</f>
        <v/>
      </c>
      <c r="N19" s="61">
        <f>IF(G19="","",IF(AND(G19&gt;=L19,G19&lt;=M19),"OK","NG"))</f>
        <v/>
      </c>
      <c r="O19" s="69">
        <f>IF(N19="","",IF(N19=D19,1,0))</f>
        <v/>
      </c>
      <c r="P19" s="67">
        <f>IF(G19="","",J19-G19)</f>
        <v/>
      </c>
      <c r="Q19" s="67">
        <f>IF(G19="","",ABS(P19-Components!$D$2)/Components!$E$2)</f>
        <v/>
      </c>
      <c r="R19" s="67">
        <f>IF(G19="","",ABS(P19-Components!$D$3)/Components!$E$3)</f>
        <v/>
      </c>
      <c r="S19" s="67">
        <f>IF(G19="","",ABS(P19-Components!$D$4)/Components!$E$4)</f>
        <v/>
      </c>
      <c r="T19" s="67">
        <f>IF(G19="","",ABS(P19-Components!$D$5)/Components!$E$5)</f>
        <v/>
      </c>
      <c r="U19" s="67">
        <f>IF(G19="","",ABS(P19-Components!$D$6)/Components!$E$6)</f>
        <v/>
      </c>
      <c r="V19" s="67">
        <f>IF(G19="","",ABS(P19-Components!$D$7)/Components!$E$7)</f>
        <v/>
      </c>
      <c r="W19" s="61">
        <f>IF(G19="","",IF(N19="OK","NONE",INDEX({"S1","S2","W1","W2","N1","N2"},MATCH(MIN(Q19:V19),Q19:V19,0))))</f>
        <v/>
      </c>
      <c r="X19" s="69">
        <f>IF(G19="","",IF(W19=E19,1,0))</f>
        <v/>
      </c>
      <c r="Y19" s="70" t="n"/>
    </row>
    <row r="20">
      <c r="A20" s="61" t="n">
        <v>5</v>
      </c>
      <c r="B20" s="62" t="n">
        <v>17</v>
      </c>
      <c r="C20" s="61" t="inlineStr">
        <is>
          <t>R3</t>
        </is>
      </c>
      <c r="D20" s="63" t="inlineStr">
        <is>
          <t>OK</t>
        </is>
      </c>
      <c r="E20" s="61" t="inlineStr">
        <is>
          <t>NONE</t>
        </is>
      </c>
      <c r="F20" s="61" t="inlineStr">
        <is>
          <t>K005</t>
        </is>
      </c>
      <c r="G20" s="64" t="n">
        <v>9.92</v>
      </c>
      <c r="H20" s="65" t="n"/>
      <c r="I20" s="66" t="n"/>
      <c r="J20" s="67">
        <f>VLOOKUP(C20,Recipes!$A$2:$N$4,10,FALSE())</f>
        <v/>
      </c>
      <c r="K20" s="68">
        <f>VLOOKUP(C20,Recipes!$A$2:$N$4,12,FALSE())</f>
        <v/>
      </c>
      <c r="L20" s="67">
        <f>J20-6*K20</f>
        <v/>
      </c>
      <c r="M20" s="67">
        <f>J20+6*K20</f>
        <v/>
      </c>
      <c r="N20" s="61">
        <f>IF(G20="","",IF(AND(G20&gt;=L20,G20&lt;=M20),"OK","NG"))</f>
        <v/>
      </c>
      <c r="O20" s="69">
        <f>IF(N20="","",IF(N20=D20,1,0))</f>
        <v/>
      </c>
      <c r="P20" s="67">
        <f>IF(G20="","",J20-G20)</f>
        <v/>
      </c>
      <c r="Q20" s="67">
        <f>IF(G20="","",ABS(P20-Components!$D$2)/Components!$E$2)</f>
        <v/>
      </c>
      <c r="R20" s="67">
        <f>IF(G20="","",ABS(P20-Components!$D$3)/Components!$E$3)</f>
        <v/>
      </c>
      <c r="S20" s="67">
        <f>IF(G20="","",ABS(P20-Components!$D$4)/Components!$E$4)</f>
        <v/>
      </c>
      <c r="T20" s="67">
        <f>IF(G20="","",ABS(P20-Components!$D$5)/Components!$E$5)</f>
        <v/>
      </c>
      <c r="U20" s="67">
        <f>IF(G20="","",ABS(P20-Components!$D$6)/Components!$E$6)</f>
        <v/>
      </c>
      <c r="V20" s="67">
        <f>IF(G20="","",ABS(P20-Components!$D$7)/Components!$E$7)</f>
        <v/>
      </c>
      <c r="W20" s="61">
        <f>IF(G20="","",IF(N20="OK","NONE",INDEX({"S1","S2","W1","W2","N1","N2"},MATCH(MIN(Q20:V20),Q20:V20,0))))</f>
        <v/>
      </c>
      <c r="X20" s="69">
        <f>IF(G20="","",IF(W20=E20,1,0))</f>
        <v/>
      </c>
      <c r="Y20" s="70" t="n"/>
    </row>
    <row r="21">
      <c r="A21" s="61" t="n">
        <v>5</v>
      </c>
      <c r="B21" s="62" t="n">
        <v>17</v>
      </c>
      <c r="C21" s="61" t="inlineStr">
        <is>
          <t>R3</t>
        </is>
      </c>
      <c r="D21" s="63" t="inlineStr">
        <is>
          <t>OK</t>
        </is>
      </c>
      <c r="E21" s="61" t="inlineStr">
        <is>
          <t>NONE</t>
        </is>
      </c>
      <c r="F21" s="61" t="inlineStr">
        <is>
          <t>K005</t>
        </is>
      </c>
      <c r="G21" s="64" t="n">
        <v>9.949999999999999</v>
      </c>
      <c r="H21" s="65" t="n"/>
      <c r="I21" s="66" t="n"/>
      <c r="J21" s="67">
        <f>VLOOKUP(C21,Recipes!$A$2:$N$4,10,FALSE())</f>
        <v/>
      </c>
      <c r="K21" s="68">
        <f>VLOOKUP(C21,Recipes!$A$2:$N$4,12,FALSE())</f>
        <v/>
      </c>
      <c r="L21" s="67">
        <f>J21-6*K21</f>
        <v/>
      </c>
      <c r="M21" s="67">
        <f>J21+6*K21</f>
        <v/>
      </c>
      <c r="N21" s="61">
        <f>IF(G21="","",IF(AND(G21&gt;=L21,G21&lt;=M21),"OK","NG"))</f>
        <v/>
      </c>
      <c r="O21" s="69">
        <f>IF(N21="","",IF(N21=D21,1,0))</f>
        <v/>
      </c>
      <c r="P21" s="67">
        <f>IF(G21="","",J21-G21)</f>
        <v/>
      </c>
      <c r="Q21" s="67">
        <f>IF(G21="","",ABS(P21-Components!$D$2)/Components!$E$2)</f>
        <v/>
      </c>
      <c r="R21" s="67">
        <f>IF(G21="","",ABS(P21-Components!$D$3)/Components!$E$3)</f>
        <v/>
      </c>
      <c r="S21" s="67">
        <f>IF(G21="","",ABS(P21-Components!$D$4)/Components!$E$4)</f>
        <v/>
      </c>
      <c r="T21" s="67">
        <f>IF(G21="","",ABS(P21-Components!$D$5)/Components!$E$5)</f>
        <v/>
      </c>
      <c r="U21" s="67">
        <f>IF(G21="","",ABS(P21-Components!$D$6)/Components!$E$6)</f>
        <v/>
      </c>
      <c r="V21" s="67">
        <f>IF(G21="","",ABS(P21-Components!$D$7)/Components!$E$7)</f>
        <v/>
      </c>
      <c r="W21" s="61">
        <f>IF(G21="","",IF(N21="OK","NONE",INDEX({"S1","S2","W1","W2","N1","N2"},MATCH(MIN(Q21:V21),Q21:V21,0))))</f>
        <v/>
      </c>
      <c r="X21" s="69">
        <f>IF(G21="","",IF(W21=E21,1,0))</f>
        <v/>
      </c>
      <c r="Y21" s="70" t="n"/>
    </row>
    <row r="22">
      <c r="A22" s="61" t="n">
        <v>5</v>
      </c>
      <c r="B22" s="62" t="n">
        <v>17</v>
      </c>
      <c r="C22" s="61" t="inlineStr">
        <is>
          <t>R3</t>
        </is>
      </c>
      <c r="D22" s="63" t="inlineStr">
        <is>
          <t>OK</t>
        </is>
      </c>
      <c r="E22" s="61" t="inlineStr">
        <is>
          <t>NONE</t>
        </is>
      </c>
      <c r="F22" s="61" t="inlineStr">
        <is>
          <t>K005</t>
        </is>
      </c>
      <c r="G22" s="64" t="n">
        <v>9.98</v>
      </c>
      <c r="H22" s="65" t="n"/>
      <c r="I22" s="66" t="n"/>
      <c r="J22" s="67">
        <f>VLOOKUP(C22,Recipes!$A$2:$N$4,10,FALSE())</f>
        <v/>
      </c>
      <c r="K22" s="68">
        <f>VLOOKUP(C22,Recipes!$A$2:$N$4,12,FALSE())</f>
        <v/>
      </c>
      <c r="L22" s="67">
        <f>J22-6*K22</f>
        <v/>
      </c>
      <c r="M22" s="67">
        <f>J22+6*K22</f>
        <v/>
      </c>
      <c r="N22" s="61">
        <f>IF(G22="","",IF(AND(G22&gt;=L22,G22&lt;=M22),"OK","NG"))</f>
        <v/>
      </c>
      <c r="O22" s="69">
        <f>IF(N22="","",IF(N22=D22,1,0))</f>
        <v/>
      </c>
      <c r="P22" s="67">
        <f>IF(G22="","",J22-G22)</f>
        <v/>
      </c>
      <c r="Q22" s="67">
        <f>IF(G22="","",ABS(P22-Components!$D$2)/Components!$E$2)</f>
        <v/>
      </c>
      <c r="R22" s="67">
        <f>IF(G22="","",ABS(P22-Components!$D$3)/Components!$E$3)</f>
        <v/>
      </c>
      <c r="S22" s="67">
        <f>IF(G22="","",ABS(P22-Components!$D$4)/Components!$E$4)</f>
        <v/>
      </c>
      <c r="T22" s="67">
        <f>IF(G22="","",ABS(P22-Components!$D$5)/Components!$E$5)</f>
        <v/>
      </c>
      <c r="U22" s="67">
        <f>IF(G22="","",ABS(P22-Components!$D$6)/Components!$E$6)</f>
        <v/>
      </c>
      <c r="V22" s="67">
        <f>IF(G22="","",ABS(P22-Components!$D$7)/Components!$E$7)</f>
        <v/>
      </c>
      <c r="W22" s="61">
        <f>IF(G22="","",IF(N22="OK","NONE",INDEX({"S1","S2","W1","W2","N1","N2"},MATCH(MIN(Q22:V22),Q22:V22,0))))</f>
        <v/>
      </c>
      <c r="X22" s="69">
        <f>IF(G22="","",IF(W22=E22,1,0))</f>
        <v/>
      </c>
      <c r="Y22" s="70" t="n"/>
    </row>
    <row r="23">
      <c r="A23" s="61" t="n">
        <v>5</v>
      </c>
      <c r="B23" s="62" t="n">
        <v>17</v>
      </c>
      <c r="C23" s="61" t="inlineStr">
        <is>
          <t>R3</t>
        </is>
      </c>
      <c r="D23" s="63" t="inlineStr">
        <is>
          <t>OK</t>
        </is>
      </c>
      <c r="E23" s="61" t="inlineStr">
        <is>
          <t>NONE</t>
        </is>
      </c>
      <c r="F23" s="61" t="inlineStr">
        <is>
          <t>K005</t>
        </is>
      </c>
      <c r="G23" s="64" t="n">
        <v>9.99</v>
      </c>
      <c r="H23" s="65" t="n"/>
      <c r="I23" s="66" t="n"/>
      <c r="J23" s="67">
        <f>VLOOKUP(C23,Recipes!$A$2:$N$4,10,FALSE())</f>
        <v/>
      </c>
      <c r="K23" s="68">
        <f>VLOOKUP(C23,Recipes!$A$2:$N$4,12,FALSE())</f>
        <v/>
      </c>
      <c r="L23" s="67">
        <f>J23-6*K23</f>
        <v/>
      </c>
      <c r="M23" s="67">
        <f>J23+6*K23</f>
        <v/>
      </c>
      <c r="N23" s="61">
        <f>IF(G23="","",IF(AND(G23&gt;=L23,G23&lt;=M23),"OK","NG"))</f>
        <v/>
      </c>
      <c r="O23" s="69">
        <f>IF(N23="","",IF(N23=D23,1,0))</f>
        <v/>
      </c>
      <c r="P23" s="67">
        <f>IF(G23="","",J23-G23)</f>
        <v/>
      </c>
      <c r="Q23" s="67">
        <f>IF(G23="","",ABS(P23-Components!$D$2)/Components!$E$2)</f>
        <v/>
      </c>
      <c r="R23" s="67">
        <f>IF(G23="","",ABS(P23-Components!$D$3)/Components!$E$3)</f>
        <v/>
      </c>
      <c r="S23" s="67">
        <f>IF(G23="","",ABS(P23-Components!$D$4)/Components!$E$4)</f>
        <v/>
      </c>
      <c r="T23" s="67">
        <f>IF(G23="","",ABS(P23-Components!$D$5)/Components!$E$5)</f>
        <v/>
      </c>
      <c r="U23" s="67">
        <f>IF(G23="","",ABS(P23-Components!$D$6)/Components!$E$6)</f>
        <v/>
      </c>
      <c r="V23" s="67">
        <f>IF(G23="","",ABS(P23-Components!$D$7)/Components!$E$7)</f>
        <v/>
      </c>
      <c r="W23" s="61">
        <f>IF(G23="","",IF(N23="OK","NONE",INDEX({"S1","S2","W1","W2","N1","N2"},MATCH(MIN(Q23:V23),Q23:V23,0))))</f>
        <v/>
      </c>
      <c r="X23" s="69">
        <f>IF(G23="","",IF(W23=E23,1,0))</f>
        <v/>
      </c>
      <c r="Y23" s="70" t="n"/>
    </row>
    <row r="24">
      <c r="A24" s="61" t="n">
        <v>5</v>
      </c>
      <c r="B24" s="62" t="n">
        <v>17</v>
      </c>
      <c r="C24" s="61" t="inlineStr">
        <is>
          <t>R3</t>
        </is>
      </c>
      <c r="D24" s="63" t="inlineStr">
        <is>
          <t>OK</t>
        </is>
      </c>
      <c r="E24" s="61" t="inlineStr">
        <is>
          <t>NONE</t>
        </is>
      </c>
      <c r="F24" s="61" t="inlineStr">
        <is>
          <t>K005</t>
        </is>
      </c>
      <c r="G24" s="64" t="n">
        <v>9.9</v>
      </c>
      <c r="H24" s="65" t="n"/>
      <c r="I24" s="66" t="n"/>
      <c r="J24" s="67">
        <f>VLOOKUP(C24,Recipes!$A$2:$N$4,10,FALSE())</f>
        <v/>
      </c>
      <c r="K24" s="68">
        <f>VLOOKUP(C24,Recipes!$A$2:$N$4,12,FALSE())</f>
        <v/>
      </c>
      <c r="L24" s="67">
        <f>J24-6*K24</f>
        <v/>
      </c>
      <c r="M24" s="67">
        <f>J24+6*K24</f>
        <v/>
      </c>
      <c r="N24" s="61">
        <f>IF(G24="","",IF(AND(G24&gt;=L24,G24&lt;=M24),"OK","NG"))</f>
        <v/>
      </c>
      <c r="O24" s="69">
        <f>IF(N24="","",IF(N24=D24,1,0))</f>
        <v/>
      </c>
      <c r="P24" s="67">
        <f>IF(G24="","",J24-G24)</f>
        <v/>
      </c>
      <c r="Q24" s="67">
        <f>IF(G24="","",ABS(P24-Components!$D$2)/Components!$E$2)</f>
        <v/>
      </c>
      <c r="R24" s="67">
        <f>IF(G24="","",ABS(P24-Components!$D$3)/Components!$E$3)</f>
        <v/>
      </c>
      <c r="S24" s="67">
        <f>IF(G24="","",ABS(P24-Components!$D$4)/Components!$E$4)</f>
        <v/>
      </c>
      <c r="T24" s="67">
        <f>IF(G24="","",ABS(P24-Components!$D$5)/Components!$E$5)</f>
        <v/>
      </c>
      <c r="U24" s="67">
        <f>IF(G24="","",ABS(P24-Components!$D$6)/Components!$E$6)</f>
        <v/>
      </c>
      <c r="V24" s="67">
        <f>IF(G24="","",ABS(P24-Components!$D$7)/Components!$E$7)</f>
        <v/>
      </c>
      <c r="W24" s="61">
        <f>IF(G24="","",IF(N24="OK","NONE",INDEX({"S1","S2","W1","W2","N1","N2"},MATCH(MIN(Q24:V24),Q24:V24,0))))</f>
        <v/>
      </c>
      <c r="X24" s="69">
        <f>IF(G24="","",IF(W24=E24,1,0))</f>
        <v/>
      </c>
      <c r="Y24" s="70" t="n"/>
    </row>
    <row r="25">
      <c r="A25" s="61" t="n">
        <v>5</v>
      </c>
      <c r="B25" s="62" t="n">
        <v>17</v>
      </c>
      <c r="C25" s="61" t="inlineStr">
        <is>
          <t>R3</t>
        </is>
      </c>
      <c r="D25" s="63" t="inlineStr">
        <is>
          <t>OK</t>
        </is>
      </c>
      <c r="E25" s="61" t="inlineStr">
        <is>
          <t>NONE</t>
        </is>
      </c>
      <c r="F25" s="61" t="inlineStr">
        <is>
          <t>K005</t>
        </is>
      </c>
      <c r="G25" s="64" t="n">
        <v>9.970000000000001</v>
      </c>
      <c r="H25" s="65" t="n"/>
      <c r="I25" s="66" t="n"/>
      <c r="J25" s="67">
        <f>VLOOKUP(C25,Recipes!$A$2:$N$4,10,FALSE())</f>
        <v/>
      </c>
      <c r="K25" s="68">
        <f>VLOOKUP(C25,Recipes!$A$2:$N$4,12,FALSE())</f>
        <v/>
      </c>
      <c r="L25" s="67">
        <f>J25-6*K25</f>
        <v/>
      </c>
      <c r="M25" s="67">
        <f>J25+6*K25</f>
        <v/>
      </c>
      <c r="N25" s="61">
        <f>IF(G25="","",IF(AND(G25&gt;=L25,G25&lt;=M25),"OK","NG"))</f>
        <v/>
      </c>
      <c r="O25" s="69">
        <f>IF(N25="","",IF(N25=D25,1,0))</f>
        <v/>
      </c>
      <c r="P25" s="67">
        <f>IF(G25="","",J25-G25)</f>
        <v/>
      </c>
      <c r="Q25" s="67">
        <f>IF(G25="","",ABS(P25-Components!$D$2)/Components!$E$2)</f>
        <v/>
      </c>
      <c r="R25" s="67">
        <f>IF(G25="","",ABS(P25-Components!$D$3)/Components!$E$3)</f>
        <v/>
      </c>
      <c r="S25" s="67">
        <f>IF(G25="","",ABS(P25-Components!$D$4)/Components!$E$4)</f>
        <v/>
      </c>
      <c r="T25" s="67">
        <f>IF(G25="","",ABS(P25-Components!$D$5)/Components!$E$5)</f>
        <v/>
      </c>
      <c r="U25" s="67">
        <f>IF(G25="","",ABS(P25-Components!$D$6)/Components!$E$6)</f>
        <v/>
      </c>
      <c r="V25" s="67">
        <f>IF(G25="","",ABS(P25-Components!$D$7)/Components!$E$7)</f>
        <v/>
      </c>
      <c r="W25" s="61">
        <f>IF(G25="","",IF(N25="OK","NONE",INDEX({"S1","S2","W1","W2","N1","N2"},MATCH(MIN(Q25:V25),Q25:V25,0))))</f>
        <v/>
      </c>
      <c r="X25" s="69">
        <f>IF(G25="","",IF(W25=E25,1,0))</f>
        <v/>
      </c>
      <c r="Y25" s="70" t="n"/>
    </row>
    <row r="26">
      <c r="A26" s="61" t="n">
        <v>5</v>
      </c>
      <c r="B26" s="62" t="n">
        <v>17</v>
      </c>
      <c r="C26" s="61" t="inlineStr">
        <is>
          <t>R3</t>
        </is>
      </c>
      <c r="D26" s="63" t="inlineStr">
        <is>
          <t>OK</t>
        </is>
      </c>
      <c r="E26" s="61" t="inlineStr">
        <is>
          <t>NONE</t>
        </is>
      </c>
      <c r="F26" s="61" t="inlineStr">
        <is>
          <t>K005</t>
        </is>
      </c>
      <c r="G26" s="64" t="n">
        <v>10.02</v>
      </c>
      <c r="H26" s="65" t="n"/>
      <c r="I26" s="66" t="n"/>
      <c r="J26" s="67">
        <f>VLOOKUP(C26,Recipes!$A$2:$N$4,10,FALSE())</f>
        <v/>
      </c>
      <c r="K26" s="68">
        <f>VLOOKUP(C26,Recipes!$A$2:$N$4,12,FALSE())</f>
        <v/>
      </c>
      <c r="L26" s="67">
        <f>J26-6*K26</f>
        <v/>
      </c>
      <c r="M26" s="67">
        <f>J26+6*K26</f>
        <v/>
      </c>
      <c r="N26" s="61">
        <f>IF(G26="","",IF(AND(G26&gt;=L26,G26&lt;=M26),"OK","NG"))</f>
        <v/>
      </c>
      <c r="O26" s="69">
        <f>IF(N26="","",IF(N26=D26,1,0))</f>
        <v/>
      </c>
      <c r="P26" s="67">
        <f>IF(G26="","",J26-G26)</f>
        <v/>
      </c>
      <c r="Q26" s="67">
        <f>IF(G26="","",ABS(P26-Components!$D$2)/Components!$E$2)</f>
        <v/>
      </c>
      <c r="R26" s="67">
        <f>IF(G26="","",ABS(P26-Components!$D$3)/Components!$E$3)</f>
        <v/>
      </c>
      <c r="S26" s="67">
        <f>IF(G26="","",ABS(P26-Components!$D$4)/Components!$E$4)</f>
        <v/>
      </c>
      <c r="T26" s="67">
        <f>IF(G26="","",ABS(P26-Components!$D$5)/Components!$E$5)</f>
        <v/>
      </c>
      <c r="U26" s="67">
        <f>IF(G26="","",ABS(P26-Components!$D$6)/Components!$E$6)</f>
        <v/>
      </c>
      <c r="V26" s="67">
        <f>IF(G26="","",ABS(P26-Components!$D$7)/Components!$E$7)</f>
        <v/>
      </c>
      <c r="W26" s="61">
        <f>IF(G26="","",IF(N26="OK","NONE",INDEX({"S1","S2","W1","W2","N1","N2"},MATCH(MIN(Q26:V26),Q26:V26,0))))</f>
        <v/>
      </c>
      <c r="X26" s="69">
        <f>IF(G26="","",IF(W26=E26,1,0))</f>
        <v/>
      </c>
      <c r="Y26" s="70" t="n"/>
    </row>
    <row r="27">
      <c r="A27" s="61" t="n">
        <v>5</v>
      </c>
      <c r="B27" s="62" t="n">
        <v>17</v>
      </c>
      <c r="C27" s="61" t="inlineStr">
        <is>
          <t>R3</t>
        </is>
      </c>
      <c r="D27" s="63" t="inlineStr">
        <is>
          <t>OK</t>
        </is>
      </c>
      <c r="E27" s="61" t="inlineStr">
        <is>
          <t>NONE</t>
        </is>
      </c>
      <c r="F27" s="61" t="inlineStr">
        <is>
          <t>K005</t>
        </is>
      </c>
      <c r="G27" s="64" t="n">
        <v>10</v>
      </c>
      <c r="H27" s="65" t="n"/>
      <c r="I27" s="66" t="n"/>
      <c r="J27" s="67">
        <f>VLOOKUP(C27,Recipes!$A$2:$N$4,10,FALSE())</f>
        <v/>
      </c>
      <c r="K27" s="68">
        <f>VLOOKUP(C27,Recipes!$A$2:$N$4,12,FALSE())</f>
        <v/>
      </c>
      <c r="L27" s="67">
        <f>J27-6*K27</f>
        <v/>
      </c>
      <c r="M27" s="67">
        <f>J27+6*K27</f>
        <v/>
      </c>
      <c r="N27" s="61">
        <f>IF(G27="","",IF(AND(G27&gt;=L27,G27&lt;=M27),"OK","NG"))</f>
        <v/>
      </c>
      <c r="O27" s="69">
        <f>IF(N27="","",IF(N27=D27,1,0))</f>
        <v/>
      </c>
      <c r="P27" s="67">
        <f>IF(G27="","",J27-G27)</f>
        <v/>
      </c>
      <c r="Q27" s="67">
        <f>IF(G27="","",ABS(P27-Components!$D$2)/Components!$E$2)</f>
        <v/>
      </c>
      <c r="R27" s="67">
        <f>IF(G27="","",ABS(P27-Components!$D$3)/Components!$E$3)</f>
        <v/>
      </c>
      <c r="S27" s="67">
        <f>IF(G27="","",ABS(P27-Components!$D$4)/Components!$E$4)</f>
        <v/>
      </c>
      <c r="T27" s="67">
        <f>IF(G27="","",ABS(P27-Components!$D$5)/Components!$E$5)</f>
        <v/>
      </c>
      <c r="U27" s="67">
        <f>IF(G27="","",ABS(P27-Components!$D$6)/Components!$E$6)</f>
        <v/>
      </c>
      <c r="V27" s="67">
        <f>IF(G27="","",ABS(P27-Components!$D$7)/Components!$E$7)</f>
        <v/>
      </c>
      <c r="W27" s="61">
        <f>IF(G27="","",IF(N27="OK","NONE",INDEX({"S1","S2","W1","W2","N1","N2"},MATCH(MIN(Q27:V27),Q27:V27,0))))</f>
        <v/>
      </c>
      <c r="X27" s="69">
        <f>IF(G27="","",IF(W27=E27,1,0))</f>
        <v/>
      </c>
      <c r="Y27" s="70" t="n"/>
    </row>
    <row r="28">
      <c r="A28" s="61" t="n">
        <v>5</v>
      </c>
      <c r="B28" s="62" t="n">
        <v>17</v>
      </c>
      <c r="C28" s="61" t="inlineStr">
        <is>
          <t>R3</t>
        </is>
      </c>
      <c r="D28" s="63" t="inlineStr">
        <is>
          <t>OK</t>
        </is>
      </c>
      <c r="E28" s="61" t="inlineStr">
        <is>
          <t>NONE</t>
        </is>
      </c>
      <c r="F28" s="61" t="inlineStr">
        <is>
          <t>K005</t>
        </is>
      </c>
      <c r="G28" s="64" t="n">
        <v>9.93</v>
      </c>
      <c r="H28" s="65" t="n"/>
      <c r="I28" s="66" t="n"/>
      <c r="J28" s="67">
        <f>VLOOKUP(C28,Recipes!$A$2:$N$4,10,FALSE())</f>
        <v/>
      </c>
      <c r="K28" s="68">
        <f>VLOOKUP(C28,Recipes!$A$2:$N$4,12,FALSE())</f>
        <v/>
      </c>
      <c r="L28" s="67">
        <f>J28-6*K28</f>
        <v/>
      </c>
      <c r="M28" s="67">
        <f>J28+6*K28</f>
        <v/>
      </c>
      <c r="N28" s="61">
        <f>IF(G28="","",IF(AND(G28&gt;=L28,G28&lt;=M28),"OK","NG"))</f>
        <v/>
      </c>
      <c r="O28" s="69">
        <f>IF(N28="","",IF(N28=D28,1,0))</f>
        <v/>
      </c>
      <c r="P28" s="67">
        <f>IF(G28="","",J28-G28)</f>
        <v/>
      </c>
      <c r="Q28" s="67">
        <f>IF(G28="","",ABS(P28-Components!$D$2)/Components!$E$2)</f>
        <v/>
      </c>
      <c r="R28" s="67">
        <f>IF(G28="","",ABS(P28-Components!$D$3)/Components!$E$3)</f>
        <v/>
      </c>
      <c r="S28" s="67">
        <f>IF(G28="","",ABS(P28-Components!$D$4)/Components!$E$4)</f>
        <v/>
      </c>
      <c r="T28" s="67">
        <f>IF(G28="","",ABS(P28-Components!$D$5)/Components!$E$5)</f>
        <v/>
      </c>
      <c r="U28" s="67">
        <f>IF(G28="","",ABS(P28-Components!$D$6)/Components!$E$6)</f>
        <v/>
      </c>
      <c r="V28" s="67">
        <f>IF(G28="","",ABS(P28-Components!$D$7)/Components!$E$7)</f>
        <v/>
      </c>
      <c r="W28" s="61">
        <f>IF(G28="","",IF(N28="OK","NONE",INDEX({"S1","S2","W1","W2","N1","N2"},MATCH(MIN(Q28:V28),Q28:V28,0))))</f>
        <v/>
      </c>
      <c r="X28" s="69">
        <f>IF(G28="","",IF(W28=E28,1,0))</f>
        <v/>
      </c>
      <c r="Y28" s="70" t="n"/>
    </row>
    <row r="29">
      <c r="A29" s="61" t="n">
        <v>5</v>
      </c>
      <c r="B29" s="62" t="n">
        <v>17</v>
      </c>
      <c r="C29" s="61" t="inlineStr">
        <is>
          <t>R3</t>
        </is>
      </c>
      <c r="D29" s="63" t="inlineStr">
        <is>
          <t>OK</t>
        </is>
      </c>
      <c r="E29" s="61" t="inlineStr">
        <is>
          <t>NONE</t>
        </is>
      </c>
      <c r="F29" s="61" t="inlineStr">
        <is>
          <t>K005</t>
        </is>
      </c>
      <c r="G29" s="64" t="n">
        <v>9.970000000000001</v>
      </c>
      <c r="H29" s="65" t="n"/>
      <c r="I29" s="66" t="n"/>
      <c r="J29" s="67">
        <f>VLOOKUP(C29,Recipes!$A$2:$N$4,10,FALSE())</f>
        <v/>
      </c>
      <c r="K29" s="68">
        <f>VLOOKUP(C29,Recipes!$A$2:$N$4,12,FALSE())</f>
        <v/>
      </c>
      <c r="L29" s="67">
        <f>J29-6*K29</f>
        <v/>
      </c>
      <c r="M29" s="67">
        <f>J29+6*K29</f>
        <v/>
      </c>
      <c r="N29" s="61">
        <f>IF(G29="","",IF(AND(G29&gt;=L29,G29&lt;=M29),"OK","NG"))</f>
        <v/>
      </c>
      <c r="O29" s="69">
        <f>IF(N29="","",IF(N29=D29,1,0))</f>
        <v/>
      </c>
      <c r="P29" s="67">
        <f>IF(G29="","",J29-G29)</f>
        <v/>
      </c>
      <c r="Q29" s="67">
        <f>IF(G29="","",ABS(P29-Components!$D$2)/Components!$E$2)</f>
        <v/>
      </c>
      <c r="R29" s="67">
        <f>IF(G29="","",ABS(P29-Components!$D$3)/Components!$E$3)</f>
        <v/>
      </c>
      <c r="S29" s="67">
        <f>IF(G29="","",ABS(P29-Components!$D$4)/Components!$E$4)</f>
        <v/>
      </c>
      <c r="T29" s="67">
        <f>IF(G29="","",ABS(P29-Components!$D$5)/Components!$E$5)</f>
        <v/>
      </c>
      <c r="U29" s="67">
        <f>IF(G29="","",ABS(P29-Components!$D$6)/Components!$E$6)</f>
        <v/>
      </c>
      <c r="V29" s="67">
        <f>IF(G29="","",ABS(P29-Components!$D$7)/Components!$E$7)</f>
        <v/>
      </c>
      <c r="W29" s="61">
        <f>IF(G29="","",IF(N29="OK","NONE",INDEX({"S1","S2","W1","W2","N1","N2"},MATCH(MIN(Q29:V29),Q29:V29,0))))</f>
        <v/>
      </c>
      <c r="X29" s="69">
        <f>IF(G29="","",IF(W29=E29,1,0))</f>
        <v/>
      </c>
      <c r="Y29" s="70" t="n"/>
    </row>
    <row r="30">
      <c r="A30" s="61" t="n">
        <v>5</v>
      </c>
      <c r="B30" s="62" t="n">
        <v>17</v>
      </c>
      <c r="C30" s="61" t="inlineStr">
        <is>
          <t>R3</t>
        </is>
      </c>
      <c r="D30" s="63" t="inlineStr">
        <is>
          <t>OK</t>
        </is>
      </c>
      <c r="E30" s="61" t="inlineStr">
        <is>
          <t>NONE</t>
        </is>
      </c>
      <c r="F30" s="61" t="inlineStr">
        <is>
          <t>K005</t>
        </is>
      </c>
      <c r="G30" s="64" t="n">
        <v>9.94</v>
      </c>
      <c r="H30" s="65" t="n"/>
      <c r="I30" s="66" t="n"/>
      <c r="J30" s="67">
        <f>VLOOKUP(C30,Recipes!$A$2:$N$4,10,FALSE())</f>
        <v/>
      </c>
      <c r="K30" s="68">
        <f>VLOOKUP(C30,Recipes!$A$2:$N$4,12,FALSE())</f>
        <v/>
      </c>
      <c r="L30" s="67">
        <f>J30-6*K30</f>
        <v/>
      </c>
      <c r="M30" s="67">
        <f>J30+6*K30</f>
        <v/>
      </c>
      <c r="N30" s="61">
        <f>IF(G30="","",IF(AND(G30&gt;=L30,G30&lt;=M30),"OK","NG"))</f>
        <v/>
      </c>
      <c r="O30" s="69">
        <f>IF(N30="","",IF(N30=D30,1,0))</f>
        <v/>
      </c>
      <c r="P30" s="67">
        <f>IF(G30="","",J30-G30)</f>
        <v/>
      </c>
      <c r="Q30" s="67">
        <f>IF(G30="","",ABS(P30-Components!$D$2)/Components!$E$2)</f>
        <v/>
      </c>
      <c r="R30" s="67">
        <f>IF(G30="","",ABS(P30-Components!$D$3)/Components!$E$3)</f>
        <v/>
      </c>
      <c r="S30" s="67">
        <f>IF(G30="","",ABS(P30-Components!$D$4)/Components!$E$4)</f>
        <v/>
      </c>
      <c r="T30" s="67">
        <f>IF(G30="","",ABS(P30-Components!$D$5)/Components!$E$5)</f>
        <v/>
      </c>
      <c r="U30" s="67">
        <f>IF(G30="","",ABS(P30-Components!$D$6)/Components!$E$6)</f>
        <v/>
      </c>
      <c r="V30" s="67">
        <f>IF(G30="","",ABS(P30-Components!$D$7)/Components!$E$7)</f>
        <v/>
      </c>
      <c r="W30" s="61">
        <f>IF(G30="","",IF(N30="OK","NONE",INDEX({"S1","S2","W1","W2","N1","N2"},MATCH(MIN(Q30:V30),Q30:V30,0))))</f>
        <v/>
      </c>
      <c r="X30" s="69">
        <f>IF(G30="","",IF(W30=E30,1,0))</f>
        <v/>
      </c>
      <c r="Y30" s="70" t="n"/>
    </row>
    <row r="31">
      <c r="A31" s="61" t="n">
        <v>5</v>
      </c>
      <c r="B31" s="62" t="n">
        <v>17</v>
      </c>
      <c r="C31" s="61" t="inlineStr">
        <is>
          <t>R3</t>
        </is>
      </c>
      <c r="D31" s="63" t="inlineStr">
        <is>
          <t>OK</t>
        </is>
      </c>
      <c r="E31" s="61" t="inlineStr">
        <is>
          <t>NONE</t>
        </is>
      </c>
      <c r="F31" s="61" t="inlineStr">
        <is>
          <t>K005</t>
        </is>
      </c>
      <c r="G31" s="64" t="n">
        <v>9.99</v>
      </c>
      <c r="H31" s="65" t="n"/>
      <c r="I31" s="66" t="n"/>
      <c r="J31" s="67">
        <f>VLOOKUP(C31,Recipes!$A$2:$N$4,10,FALSE())</f>
        <v/>
      </c>
      <c r="K31" s="68">
        <f>VLOOKUP(C31,Recipes!$A$2:$N$4,12,FALSE())</f>
        <v/>
      </c>
      <c r="L31" s="67">
        <f>J31-6*K31</f>
        <v/>
      </c>
      <c r="M31" s="67">
        <f>J31+6*K31</f>
        <v/>
      </c>
      <c r="N31" s="61">
        <f>IF(G31="","",IF(AND(G31&gt;=L31,G31&lt;=M31),"OK","NG"))</f>
        <v/>
      </c>
      <c r="O31" s="69">
        <f>IF(N31="","",IF(N31=D31,1,0))</f>
        <v/>
      </c>
      <c r="P31" s="67">
        <f>IF(G31="","",J31-G31)</f>
        <v/>
      </c>
      <c r="Q31" s="67">
        <f>IF(G31="","",ABS(P31-Components!$D$2)/Components!$E$2)</f>
        <v/>
      </c>
      <c r="R31" s="67">
        <f>IF(G31="","",ABS(P31-Components!$D$3)/Components!$E$3)</f>
        <v/>
      </c>
      <c r="S31" s="67">
        <f>IF(G31="","",ABS(P31-Components!$D$4)/Components!$E$4)</f>
        <v/>
      </c>
      <c r="T31" s="67">
        <f>IF(G31="","",ABS(P31-Components!$D$5)/Components!$E$5)</f>
        <v/>
      </c>
      <c r="U31" s="67">
        <f>IF(G31="","",ABS(P31-Components!$D$6)/Components!$E$6)</f>
        <v/>
      </c>
      <c r="V31" s="67">
        <f>IF(G31="","",ABS(P31-Components!$D$7)/Components!$E$7)</f>
        <v/>
      </c>
      <c r="W31" s="61">
        <f>IF(G31="","",IF(N31="OK","NONE",INDEX({"S1","S2","W1","W2","N1","N2"},MATCH(MIN(Q31:V31),Q31:V31,0))))</f>
        <v/>
      </c>
      <c r="X31" s="69">
        <f>IF(G31="","",IF(W31=E31,1,0))</f>
        <v/>
      </c>
      <c r="Y31" s="70" t="n"/>
    </row>
    <row r="32">
      <c r="A32" s="61" t="n">
        <v>5</v>
      </c>
      <c r="B32" s="62" t="n">
        <v>17</v>
      </c>
      <c r="C32" s="61" t="inlineStr">
        <is>
          <t>R3</t>
        </is>
      </c>
      <c r="D32" s="63" t="inlineStr">
        <is>
          <t>OK</t>
        </is>
      </c>
      <c r="E32" s="61" t="inlineStr">
        <is>
          <t>NONE</t>
        </is>
      </c>
      <c r="F32" s="61" t="inlineStr">
        <is>
          <t>K005</t>
        </is>
      </c>
      <c r="G32" s="73" t="n">
        <v>9.48</v>
      </c>
      <c r="H32" s="65" t="n"/>
      <c r="I32" s="66" t="n"/>
      <c r="J32" s="67">
        <f>VLOOKUP(C32,Recipes!$A$2:$N$4,10,FALSE())</f>
        <v/>
      </c>
      <c r="K32" s="68">
        <f>VLOOKUP(C32,Recipes!$A$2:$N$4,12,FALSE())</f>
        <v/>
      </c>
      <c r="L32" s="67">
        <f>J32-6*K32</f>
        <v/>
      </c>
      <c r="M32" s="67">
        <f>J32+6*K32</f>
        <v/>
      </c>
      <c r="N32" s="61">
        <f>IF(G32="","",IF(AND(G32&gt;=L32,G32&lt;=M32),"OK","NG"))</f>
        <v/>
      </c>
      <c r="O32" s="69">
        <f>IF(N32="","",IF(N32=D32,1,0))</f>
        <v/>
      </c>
      <c r="P32" s="67">
        <f>IF(G32="","",J32-G32)</f>
        <v/>
      </c>
      <c r="Q32" s="67">
        <f>IF(G32="","",ABS(P32-Components!$D$2)/Components!$E$2)</f>
        <v/>
      </c>
      <c r="R32" s="67">
        <f>IF(G32="","",ABS(P32-Components!$D$3)/Components!$E$3)</f>
        <v/>
      </c>
      <c r="S32" s="67">
        <f>IF(G32="","",ABS(P32-Components!$D$4)/Components!$E$4)</f>
        <v/>
      </c>
      <c r="T32" s="67">
        <f>IF(G32="","",ABS(P32-Components!$D$5)/Components!$E$5)</f>
        <v/>
      </c>
      <c r="U32" s="67">
        <f>IF(G32="","",ABS(P32-Components!$D$6)/Components!$E$6)</f>
        <v/>
      </c>
      <c r="V32" s="67">
        <f>IF(G32="","",ABS(P32-Components!$D$7)/Components!$E$7)</f>
        <v/>
      </c>
      <c r="W32" s="61">
        <f>IF(G32="","",IF(N32="OK","NONE",INDEX({"S1","S2","W1","W2","N1","N2"},MATCH(MIN(Q32:V32),Q32:V32,0))))</f>
        <v/>
      </c>
      <c r="X32" s="71">
        <f>IF(G32="","",IF(W32=E32,1,0))</f>
        <v/>
      </c>
      <c r="Y32" s="70" t="n"/>
    </row>
    <row r="33">
      <c r="A33" s="61" t="n">
        <v>6</v>
      </c>
      <c r="B33" s="62" t="n">
        <v>21</v>
      </c>
      <c r="C33" s="61" t="inlineStr">
        <is>
          <t>R3</t>
        </is>
      </c>
      <c r="D33" s="74" t="inlineStr">
        <is>
          <t>NG</t>
        </is>
      </c>
      <c r="E33" s="61" t="inlineStr">
        <is>
          <t>S2</t>
        </is>
      </c>
      <c r="F33" s="61" t="inlineStr">
        <is>
          <t>K006</t>
        </is>
      </c>
      <c r="G33" s="64" t="n">
        <v>5.91</v>
      </c>
      <c r="H33" s="65" t="n"/>
      <c r="I33" s="66" t="n"/>
      <c r="J33" s="67">
        <f>VLOOKUP(C33,Recipes!$A$2:$N$4,10,FALSE())</f>
        <v/>
      </c>
      <c r="K33" s="68">
        <f>VLOOKUP(C33,Recipes!$A$2:$N$4,12,FALSE())</f>
        <v/>
      </c>
      <c r="L33" s="67">
        <f>J33-6*K33</f>
        <v/>
      </c>
      <c r="M33" s="67">
        <f>J33+6*K33</f>
        <v/>
      </c>
      <c r="N33" s="61">
        <f>IF(G33="","",IF(AND(G33&gt;=L33,G33&lt;=M33),"OK","NG"))</f>
        <v/>
      </c>
      <c r="O33" s="69">
        <f>IF(N33="","",IF(N33=D33,1,0))</f>
        <v/>
      </c>
      <c r="P33" s="67">
        <f>IF(G33="","",J33-G33)</f>
        <v/>
      </c>
      <c r="Q33" s="67">
        <f>IF(G33="","",ABS(P33-Components!$D$2)/Components!$E$2)</f>
        <v/>
      </c>
      <c r="R33" s="67">
        <f>IF(G33="","",ABS(P33-Components!$D$3)/Components!$E$3)</f>
        <v/>
      </c>
      <c r="S33" s="67">
        <f>IF(G33="","",ABS(P33-Components!$D$4)/Components!$E$4)</f>
        <v/>
      </c>
      <c r="T33" s="67">
        <f>IF(G33="","",ABS(P33-Components!$D$5)/Components!$E$5)</f>
        <v/>
      </c>
      <c r="U33" s="67">
        <f>IF(G33="","",ABS(P33-Components!$D$6)/Components!$E$6)</f>
        <v/>
      </c>
      <c r="V33" s="67">
        <f>IF(G33="","",ABS(P33-Components!$D$7)/Components!$E$7)</f>
        <v/>
      </c>
      <c r="W33" s="61">
        <f>IF(G33="","",IF(N33="OK","NONE",INDEX({"S1","S2","W1","W2","N1","N2"},MATCH(MIN(Q33:V33),Q33:V33,0))))</f>
        <v/>
      </c>
      <c r="X33" s="69">
        <f>IF(G33="","",IF(W33=E33,1,0))</f>
        <v/>
      </c>
      <c r="Y33" s="70" t="n"/>
    </row>
    <row r="34">
      <c r="A34" s="61" t="n">
        <v>7</v>
      </c>
      <c r="B34" s="62" t="n">
        <v>51</v>
      </c>
      <c r="C34" s="61" t="inlineStr">
        <is>
          <t>R3</t>
        </is>
      </c>
      <c r="D34" s="74" t="inlineStr">
        <is>
          <t>NG</t>
        </is>
      </c>
      <c r="E34" s="61" t="inlineStr">
        <is>
          <t>S2</t>
        </is>
      </c>
      <c r="F34" s="61" t="inlineStr">
        <is>
          <t>K007</t>
        </is>
      </c>
      <c r="G34" s="64" t="n">
        <v>5.93</v>
      </c>
      <c r="H34" s="65" t="n"/>
      <c r="I34" s="66" t="n"/>
      <c r="J34" s="67">
        <f>VLOOKUP(C34,Recipes!$A$2:$N$4,10,FALSE())</f>
        <v/>
      </c>
      <c r="K34" s="68">
        <f>VLOOKUP(C34,Recipes!$A$2:$N$4,12,FALSE())</f>
        <v/>
      </c>
      <c r="L34" s="67">
        <f>J34-6*K34</f>
        <v/>
      </c>
      <c r="M34" s="67">
        <f>J34+6*K34</f>
        <v/>
      </c>
      <c r="N34" s="61">
        <f>IF(G34="","",IF(AND(G34&gt;=L34,G34&lt;=M34),"OK","NG"))</f>
        <v/>
      </c>
      <c r="O34" s="69">
        <f>IF(N34="","",IF(N34=D34,1,0))</f>
        <v/>
      </c>
      <c r="P34" s="67">
        <f>IF(G34="","",J34-G34)</f>
        <v/>
      </c>
      <c r="Q34" s="67">
        <f>IF(G34="","",ABS(P34-Components!$D$2)/Components!$E$2)</f>
        <v/>
      </c>
      <c r="R34" s="67">
        <f>IF(G34="","",ABS(P34-Components!$D$3)/Components!$E$3)</f>
        <v/>
      </c>
      <c r="S34" s="67">
        <f>IF(G34="","",ABS(P34-Components!$D$4)/Components!$E$4)</f>
        <v/>
      </c>
      <c r="T34" s="67">
        <f>IF(G34="","",ABS(P34-Components!$D$5)/Components!$E$5)</f>
        <v/>
      </c>
      <c r="U34" s="67">
        <f>IF(G34="","",ABS(P34-Components!$D$6)/Components!$E$6)</f>
        <v/>
      </c>
      <c r="V34" s="67">
        <f>IF(G34="","",ABS(P34-Components!$D$7)/Components!$E$7)</f>
        <v/>
      </c>
      <c r="W34" s="61">
        <f>IF(G34="","",IF(N34="OK","NONE",INDEX({"S1","S2","W1","W2","N1","N2"},MATCH(MIN(Q34:V34),Q34:V34,0))))</f>
        <v/>
      </c>
      <c r="X34" s="69">
        <f>IF(G34="","",IF(W34=E34,1,0))</f>
        <v/>
      </c>
      <c r="Y34" s="70" t="n"/>
    </row>
    <row r="35">
      <c r="A35" s="61" t="n">
        <v>8</v>
      </c>
      <c r="B35" s="62" t="n">
        <v>54</v>
      </c>
      <c r="C35" s="61" t="inlineStr">
        <is>
          <t>R3</t>
        </is>
      </c>
      <c r="D35" s="74" t="inlineStr">
        <is>
          <t>NG</t>
        </is>
      </c>
      <c r="E35" s="61" t="inlineStr">
        <is>
          <t>S2</t>
        </is>
      </c>
      <c r="F35" s="61" t="inlineStr">
        <is>
          <t>K008</t>
        </is>
      </c>
      <c r="G35" s="64" t="n">
        <v>5.86</v>
      </c>
      <c r="H35" s="65" t="n"/>
      <c r="I35" s="66" t="n"/>
      <c r="J35" s="67">
        <f>VLOOKUP(C35,Recipes!$A$2:$N$4,10,FALSE())</f>
        <v/>
      </c>
      <c r="K35" s="68">
        <f>VLOOKUP(C35,Recipes!$A$2:$N$4,12,FALSE())</f>
        <v/>
      </c>
      <c r="L35" s="67">
        <f>J35-6*K35</f>
        <v/>
      </c>
      <c r="M35" s="67">
        <f>J35+6*K35</f>
        <v/>
      </c>
      <c r="N35" s="61">
        <f>IF(G35="","",IF(AND(G35&gt;=L35,G35&lt;=M35),"OK","NG"))</f>
        <v/>
      </c>
      <c r="O35" s="69">
        <f>IF(N35="","",IF(N35=D35,1,0))</f>
        <v/>
      </c>
      <c r="P35" s="67">
        <f>IF(G35="","",J35-G35)</f>
        <v/>
      </c>
      <c r="Q35" s="67">
        <f>IF(G35="","",ABS(P35-Components!$D$2)/Components!$E$2)</f>
        <v/>
      </c>
      <c r="R35" s="67">
        <f>IF(G35="","",ABS(P35-Components!$D$3)/Components!$E$3)</f>
        <v/>
      </c>
      <c r="S35" s="67">
        <f>IF(G35="","",ABS(P35-Components!$D$4)/Components!$E$4)</f>
        <v/>
      </c>
      <c r="T35" s="67">
        <f>IF(G35="","",ABS(P35-Components!$D$5)/Components!$E$5)</f>
        <v/>
      </c>
      <c r="U35" s="67">
        <f>IF(G35="","",ABS(P35-Components!$D$6)/Components!$E$6)</f>
        <v/>
      </c>
      <c r="V35" s="67">
        <f>IF(G35="","",ABS(P35-Components!$D$7)/Components!$E$7)</f>
        <v/>
      </c>
      <c r="W35" s="61">
        <f>IF(G35="","",IF(N35="OK","NONE",INDEX({"S1","S2","W1","W2","N1","N2"},MATCH(MIN(Q35:V35),Q35:V35,0))))</f>
        <v/>
      </c>
      <c r="X35" s="69">
        <f>IF(G35="","",IF(W35=E35,1,0))</f>
        <v/>
      </c>
      <c r="Y35" s="70" t="n"/>
    </row>
    <row r="36">
      <c r="A36" s="61" t="n">
        <v>9</v>
      </c>
      <c r="B36" s="62" t="n">
        <v>36</v>
      </c>
      <c r="C36" s="61" t="inlineStr">
        <is>
          <t>R3</t>
        </is>
      </c>
      <c r="D36" s="74" t="inlineStr">
        <is>
          <t>NG</t>
        </is>
      </c>
      <c r="E36" s="61" t="inlineStr">
        <is>
          <t>S2</t>
        </is>
      </c>
      <c r="F36" s="61" t="inlineStr">
        <is>
          <t>K009</t>
        </is>
      </c>
      <c r="G36" s="64" t="n">
        <v>5.94</v>
      </c>
      <c r="H36" s="65" t="n"/>
      <c r="I36" s="66" t="n"/>
      <c r="J36" s="67">
        <f>VLOOKUP(C36,Recipes!$A$2:$N$4,10,FALSE())</f>
        <v/>
      </c>
      <c r="K36" s="68">
        <f>VLOOKUP(C36,Recipes!$A$2:$N$4,12,FALSE())</f>
        <v/>
      </c>
      <c r="L36" s="67">
        <f>J36-6*K36</f>
        <v/>
      </c>
      <c r="M36" s="67">
        <f>J36+6*K36</f>
        <v/>
      </c>
      <c r="N36" s="61">
        <f>IF(G36="","",IF(AND(G36&gt;=L36,G36&lt;=M36),"OK","NG"))</f>
        <v/>
      </c>
      <c r="O36" s="69">
        <f>IF(N36="","",IF(N36=D36,1,0))</f>
        <v/>
      </c>
      <c r="P36" s="67">
        <f>IF(G36="","",J36-G36)</f>
        <v/>
      </c>
      <c r="Q36" s="67">
        <f>IF(G36="","",ABS(P36-Components!$D$2)/Components!$E$2)</f>
        <v/>
      </c>
      <c r="R36" s="67">
        <f>IF(G36="","",ABS(P36-Components!$D$3)/Components!$E$3)</f>
        <v/>
      </c>
      <c r="S36" s="67">
        <f>IF(G36="","",ABS(P36-Components!$D$4)/Components!$E$4)</f>
        <v/>
      </c>
      <c r="T36" s="67">
        <f>IF(G36="","",ABS(P36-Components!$D$5)/Components!$E$5)</f>
        <v/>
      </c>
      <c r="U36" s="67">
        <f>IF(G36="","",ABS(P36-Components!$D$6)/Components!$E$6)</f>
        <v/>
      </c>
      <c r="V36" s="67">
        <f>IF(G36="","",ABS(P36-Components!$D$7)/Components!$E$7)</f>
        <v/>
      </c>
      <c r="W36" s="61">
        <f>IF(G36="","",IF(N36="OK","NONE",INDEX({"S1","S2","W1","W2","N1","N2"},MATCH(MIN(Q36:V36),Q36:V36,0))))</f>
        <v/>
      </c>
      <c r="X36" s="69">
        <f>IF(G36="","",IF(W36=E36,1,0))</f>
        <v/>
      </c>
      <c r="Y36" s="70" t="n"/>
    </row>
    <row r="37">
      <c r="A37" s="61" t="n">
        <v>9</v>
      </c>
      <c r="B37" s="62" t="n">
        <v>36</v>
      </c>
      <c r="C37" s="61" t="inlineStr">
        <is>
          <t>R3</t>
        </is>
      </c>
      <c r="D37" s="74" t="inlineStr">
        <is>
          <t>NG</t>
        </is>
      </c>
      <c r="E37" s="61" t="inlineStr">
        <is>
          <t>S2</t>
        </is>
      </c>
      <c r="F37" s="61" t="inlineStr">
        <is>
          <t>K009</t>
        </is>
      </c>
      <c r="G37" s="64" t="n">
        <v>5.9</v>
      </c>
      <c r="H37" s="65" t="n"/>
      <c r="I37" s="66" t="n"/>
      <c r="J37" s="67">
        <f>VLOOKUP(C37,Recipes!$A$2:$N$4,10,FALSE())</f>
        <v/>
      </c>
      <c r="K37" s="68">
        <f>VLOOKUP(C37,Recipes!$A$2:$N$4,12,FALSE())</f>
        <v/>
      </c>
      <c r="L37" s="67">
        <f>J37-6*K37</f>
        <v/>
      </c>
      <c r="M37" s="67">
        <f>J37+6*K37</f>
        <v/>
      </c>
      <c r="N37" s="61">
        <f>IF(G37="","",IF(AND(G37&gt;=L37,G37&lt;=M37),"OK","NG"))</f>
        <v/>
      </c>
      <c r="O37" s="69">
        <f>IF(N37="","",IF(N37=D37,1,0))</f>
        <v/>
      </c>
      <c r="P37" s="67">
        <f>IF(G37="","",J37-G37)</f>
        <v/>
      </c>
      <c r="Q37" s="67">
        <f>IF(G37="","",ABS(P37-Components!$D$2)/Components!$E$2)</f>
        <v/>
      </c>
      <c r="R37" s="67">
        <f>IF(G37="","",ABS(P37-Components!$D$3)/Components!$E$3)</f>
        <v/>
      </c>
      <c r="S37" s="67">
        <f>IF(G37="","",ABS(P37-Components!$D$4)/Components!$E$4)</f>
        <v/>
      </c>
      <c r="T37" s="67">
        <f>IF(G37="","",ABS(P37-Components!$D$5)/Components!$E$5)</f>
        <v/>
      </c>
      <c r="U37" s="67">
        <f>IF(G37="","",ABS(P37-Components!$D$6)/Components!$E$6)</f>
        <v/>
      </c>
      <c r="V37" s="67">
        <f>IF(G37="","",ABS(P37-Components!$D$7)/Components!$E$7)</f>
        <v/>
      </c>
      <c r="W37" s="61">
        <f>IF(G37="","",IF(N37="OK","NONE",INDEX({"S1","S2","W1","W2","N1","N2"},MATCH(MIN(Q37:V37),Q37:V37,0))))</f>
        <v/>
      </c>
      <c r="X37" s="69">
        <f>IF(G37="","",IF(W37=E37,1,0))</f>
        <v/>
      </c>
      <c r="Y37" s="70" t="n"/>
    </row>
    <row r="38">
      <c r="A38" s="61" t="n">
        <v>9</v>
      </c>
      <c r="B38" s="62" t="n">
        <v>36</v>
      </c>
      <c r="C38" s="61" t="inlineStr">
        <is>
          <t>R3</t>
        </is>
      </c>
      <c r="D38" s="74" t="inlineStr">
        <is>
          <t>NG</t>
        </is>
      </c>
      <c r="E38" s="61" t="inlineStr">
        <is>
          <t>S2</t>
        </is>
      </c>
      <c r="F38" s="61" t="inlineStr">
        <is>
          <t>K009</t>
        </is>
      </c>
      <c r="G38" s="64" t="n">
        <v>5.82</v>
      </c>
      <c r="H38" s="65" t="n"/>
      <c r="I38" s="66" t="n"/>
      <c r="J38" s="67">
        <f>VLOOKUP(C38,Recipes!$A$2:$N$4,10,FALSE())</f>
        <v/>
      </c>
      <c r="K38" s="68">
        <f>VLOOKUP(C38,Recipes!$A$2:$N$4,12,FALSE())</f>
        <v/>
      </c>
      <c r="L38" s="67">
        <f>J38-6*K38</f>
        <v/>
      </c>
      <c r="M38" s="67">
        <f>J38+6*K38</f>
        <v/>
      </c>
      <c r="N38" s="61">
        <f>IF(G38="","",IF(AND(G38&gt;=L38,G38&lt;=M38),"OK","NG"))</f>
        <v/>
      </c>
      <c r="O38" s="69">
        <f>IF(N38="","",IF(N38=D38,1,0))</f>
        <v/>
      </c>
      <c r="P38" s="67">
        <f>IF(G38="","",J38-G38)</f>
        <v/>
      </c>
      <c r="Q38" s="67">
        <f>IF(G38="","",ABS(P38-Components!$D$2)/Components!$E$2)</f>
        <v/>
      </c>
      <c r="R38" s="67">
        <f>IF(G38="","",ABS(P38-Components!$D$3)/Components!$E$3)</f>
        <v/>
      </c>
      <c r="S38" s="67">
        <f>IF(G38="","",ABS(P38-Components!$D$4)/Components!$E$4)</f>
        <v/>
      </c>
      <c r="T38" s="67">
        <f>IF(G38="","",ABS(P38-Components!$D$5)/Components!$E$5)</f>
        <v/>
      </c>
      <c r="U38" s="67">
        <f>IF(G38="","",ABS(P38-Components!$D$6)/Components!$E$6)</f>
        <v/>
      </c>
      <c r="V38" s="67">
        <f>IF(G38="","",ABS(P38-Components!$D$7)/Components!$E$7)</f>
        <v/>
      </c>
      <c r="W38" s="61">
        <f>IF(G38="","",IF(N38="OK","NONE",INDEX({"S1","S2","W1","W2","N1","N2"},MATCH(MIN(Q38:V38),Q38:V38,0))))</f>
        <v/>
      </c>
      <c r="X38" s="69">
        <f>IF(G38="","",IF(W38=E38,1,0))</f>
        <v/>
      </c>
      <c r="Y38" s="70" t="n"/>
    </row>
    <row r="39">
      <c r="A39" s="61" t="n">
        <v>9</v>
      </c>
      <c r="B39" s="62" t="n">
        <v>36</v>
      </c>
      <c r="C39" s="61" t="inlineStr">
        <is>
          <t>R3</t>
        </is>
      </c>
      <c r="D39" s="74" t="inlineStr">
        <is>
          <t>NG</t>
        </is>
      </c>
      <c r="E39" s="61" t="inlineStr">
        <is>
          <t>S2</t>
        </is>
      </c>
      <c r="F39" s="61" t="inlineStr">
        <is>
          <t>K009</t>
        </is>
      </c>
      <c r="G39" s="64" t="n">
        <v>5.87</v>
      </c>
      <c r="H39" s="65" t="n"/>
      <c r="I39" s="66" t="n"/>
      <c r="J39" s="67">
        <f>VLOOKUP(C39,Recipes!$A$2:$N$4,10,FALSE())</f>
        <v/>
      </c>
      <c r="K39" s="68">
        <f>VLOOKUP(C39,Recipes!$A$2:$N$4,12,FALSE())</f>
        <v/>
      </c>
      <c r="L39" s="67">
        <f>J39-6*K39</f>
        <v/>
      </c>
      <c r="M39" s="67">
        <f>J39+6*K39</f>
        <v/>
      </c>
      <c r="N39" s="61">
        <f>IF(G39="","",IF(AND(G39&gt;=L39,G39&lt;=M39),"OK","NG"))</f>
        <v/>
      </c>
      <c r="O39" s="69">
        <f>IF(N39="","",IF(N39=D39,1,0))</f>
        <v/>
      </c>
      <c r="P39" s="67">
        <f>IF(G39="","",J39-G39)</f>
        <v/>
      </c>
      <c r="Q39" s="67">
        <f>IF(G39="","",ABS(P39-Components!$D$2)/Components!$E$2)</f>
        <v/>
      </c>
      <c r="R39" s="67">
        <f>IF(G39="","",ABS(P39-Components!$D$3)/Components!$E$3)</f>
        <v/>
      </c>
      <c r="S39" s="67">
        <f>IF(G39="","",ABS(P39-Components!$D$4)/Components!$E$4)</f>
        <v/>
      </c>
      <c r="T39" s="67">
        <f>IF(G39="","",ABS(P39-Components!$D$5)/Components!$E$5)</f>
        <v/>
      </c>
      <c r="U39" s="67">
        <f>IF(G39="","",ABS(P39-Components!$D$6)/Components!$E$6)</f>
        <v/>
      </c>
      <c r="V39" s="67">
        <f>IF(G39="","",ABS(P39-Components!$D$7)/Components!$E$7)</f>
        <v/>
      </c>
      <c r="W39" s="61">
        <f>IF(G39="","",IF(N39="OK","NONE",INDEX({"S1","S2","W1","W2","N1","N2"},MATCH(MIN(Q39:V39),Q39:V39,0))))</f>
        <v/>
      </c>
      <c r="X39" s="69">
        <f>IF(G39="","",IF(W39=E39,1,0))</f>
        <v/>
      </c>
      <c r="Y39" s="70" t="n"/>
    </row>
    <row r="40">
      <c r="A40" s="61" t="n">
        <v>9</v>
      </c>
      <c r="B40" s="62" t="n">
        <v>36</v>
      </c>
      <c r="C40" s="61" t="inlineStr">
        <is>
          <t>R3</t>
        </is>
      </c>
      <c r="D40" s="74" t="inlineStr">
        <is>
          <t>NG</t>
        </is>
      </c>
      <c r="E40" s="61" t="inlineStr">
        <is>
          <t>S2</t>
        </is>
      </c>
      <c r="F40" s="61" t="inlineStr">
        <is>
          <t>K009</t>
        </is>
      </c>
      <c r="G40" s="64" t="n">
        <v>5.89</v>
      </c>
      <c r="H40" s="65" t="n"/>
      <c r="I40" s="66" t="n"/>
      <c r="J40" s="67">
        <f>VLOOKUP(C40,Recipes!$A$2:$N$4,10,FALSE())</f>
        <v/>
      </c>
      <c r="K40" s="68">
        <f>VLOOKUP(C40,Recipes!$A$2:$N$4,12,FALSE())</f>
        <v/>
      </c>
      <c r="L40" s="67">
        <f>J40-6*K40</f>
        <v/>
      </c>
      <c r="M40" s="67">
        <f>J40+6*K40</f>
        <v/>
      </c>
      <c r="N40" s="61">
        <f>IF(G40="","",IF(AND(G40&gt;=L40,G40&lt;=M40),"OK","NG"))</f>
        <v/>
      </c>
      <c r="O40" s="69">
        <f>IF(N40="","",IF(N40=D40,1,0))</f>
        <v/>
      </c>
      <c r="P40" s="67">
        <f>IF(G40="","",J40-G40)</f>
        <v/>
      </c>
      <c r="Q40" s="67">
        <f>IF(G40="","",ABS(P40-Components!$D$2)/Components!$E$2)</f>
        <v/>
      </c>
      <c r="R40" s="67">
        <f>IF(G40="","",ABS(P40-Components!$D$3)/Components!$E$3)</f>
        <v/>
      </c>
      <c r="S40" s="67">
        <f>IF(G40="","",ABS(P40-Components!$D$4)/Components!$E$4)</f>
        <v/>
      </c>
      <c r="T40" s="67">
        <f>IF(G40="","",ABS(P40-Components!$D$5)/Components!$E$5)</f>
        <v/>
      </c>
      <c r="U40" s="67">
        <f>IF(G40="","",ABS(P40-Components!$D$6)/Components!$E$6)</f>
        <v/>
      </c>
      <c r="V40" s="67">
        <f>IF(G40="","",ABS(P40-Components!$D$7)/Components!$E$7)</f>
        <v/>
      </c>
      <c r="W40" s="61">
        <f>IF(G40="","",IF(N40="OK","NONE",INDEX({"S1","S2","W1","W2","N1","N2"},MATCH(MIN(Q40:V40),Q40:V40,0))))</f>
        <v/>
      </c>
      <c r="X40" s="69">
        <f>IF(G40="","",IF(W40=E40,1,0))</f>
        <v/>
      </c>
      <c r="Y40" s="70" t="n"/>
    </row>
    <row r="41">
      <c r="A41" s="61" t="n">
        <v>9</v>
      </c>
      <c r="B41" s="62" t="n">
        <v>36</v>
      </c>
      <c r="C41" s="61" t="inlineStr">
        <is>
          <t>R3</t>
        </is>
      </c>
      <c r="D41" s="74" t="inlineStr">
        <is>
          <t>NG</t>
        </is>
      </c>
      <c r="E41" s="61" t="inlineStr">
        <is>
          <t>S2</t>
        </is>
      </c>
      <c r="F41" s="61" t="inlineStr">
        <is>
          <t>K009</t>
        </is>
      </c>
      <c r="G41" s="64" t="n">
        <v>5.91</v>
      </c>
      <c r="H41" s="65" t="n"/>
      <c r="I41" s="66" t="n"/>
      <c r="J41" s="67">
        <f>VLOOKUP(C41,Recipes!$A$2:$N$4,10,FALSE())</f>
        <v/>
      </c>
      <c r="K41" s="68">
        <f>VLOOKUP(C41,Recipes!$A$2:$N$4,12,FALSE())</f>
        <v/>
      </c>
      <c r="L41" s="67">
        <f>J41-6*K41</f>
        <v/>
      </c>
      <c r="M41" s="67">
        <f>J41+6*K41</f>
        <v/>
      </c>
      <c r="N41" s="61">
        <f>IF(G41="","",IF(AND(G41&gt;=L41,G41&lt;=M41),"OK","NG"))</f>
        <v/>
      </c>
      <c r="O41" s="69">
        <f>IF(N41="","",IF(N41=D41,1,0))</f>
        <v/>
      </c>
      <c r="P41" s="67">
        <f>IF(G41="","",J41-G41)</f>
        <v/>
      </c>
      <c r="Q41" s="67">
        <f>IF(G41="","",ABS(P41-Components!$D$2)/Components!$E$2)</f>
        <v/>
      </c>
      <c r="R41" s="67">
        <f>IF(G41="","",ABS(P41-Components!$D$3)/Components!$E$3)</f>
        <v/>
      </c>
      <c r="S41" s="67">
        <f>IF(G41="","",ABS(P41-Components!$D$4)/Components!$E$4)</f>
        <v/>
      </c>
      <c r="T41" s="67">
        <f>IF(G41="","",ABS(P41-Components!$D$5)/Components!$E$5)</f>
        <v/>
      </c>
      <c r="U41" s="67">
        <f>IF(G41="","",ABS(P41-Components!$D$6)/Components!$E$6)</f>
        <v/>
      </c>
      <c r="V41" s="67">
        <f>IF(G41="","",ABS(P41-Components!$D$7)/Components!$E$7)</f>
        <v/>
      </c>
      <c r="W41" s="61">
        <f>IF(G41="","",IF(N41="OK","NONE",INDEX({"S1","S2","W1","W2","N1","N2"},MATCH(MIN(Q41:V41),Q41:V41,0))))</f>
        <v/>
      </c>
      <c r="X41" s="69">
        <f>IF(G41="","",IF(W41=E41,1,0))</f>
        <v/>
      </c>
      <c r="Y41" s="70" t="n"/>
    </row>
    <row r="42">
      <c r="A42" s="61" t="n">
        <v>9</v>
      </c>
      <c r="B42" s="62" t="n">
        <v>36</v>
      </c>
      <c r="C42" s="61" t="inlineStr">
        <is>
          <t>R3</t>
        </is>
      </c>
      <c r="D42" s="74" t="inlineStr">
        <is>
          <t>NG</t>
        </is>
      </c>
      <c r="E42" s="61" t="inlineStr">
        <is>
          <t>S2</t>
        </is>
      </c>
      <c r="F42" s="61" t="inlineStr">
        <is>
          <t>K009</t>
        </is>
      </c>
      <c r="G42" s="64" t="n">
        <v>5.94</v>
      </c>
      <c r="H42" s="65" t="n"/>
      <c r="I42" s="66" t="n"/>
      <c r="J42" s="67">
        <f>VLOOKUP(C42,Recipes!$A$2:$N$4,10,FALSE())</f>
        <v/>
      </c>
      <c r="K42" s="68">
        <f>VLOOKUP(C42,Recipes!$A$2:$N$4,12,FALSE())</f>
        <v/>
      </c>
      <c r="L42" s="67">
        <f>J42-6*K42</f>
        <v/>
      </c>
      <c r="M42" s="67">
        <f>J42+6*K42</f>
        <v/>
      </c>
      <c r="N42" s="61">
        <f>IF(G42="","",IF(AND(G42&gt;=L42,G42&lt;=M42),"OK","NG"))</f>
        <v/>
      </c>
      <c r="O42" s="69">
        <f>IF(N42="","",IF(N42=D42,1,0))</f>
        <v/>
      </c>
      <c r="P42" s="67">
        <f>IF(G42="","",J42-G42)</f>
        <v/>
      </c>
      <c r="Q42" s="67">
        <f>IF(G42="","",ABS(P42-Components!$D$2)/Components!$E$2)</f>
        <v/>
      </c>
      <c r="R42" s="67">
        <f>IF(G42="","",ABS(P42-Components!$D$3)/Components!$E$3)</f>
        <v/>
      </c>
      <c r="S42" s="67">
        <f>IF(G42="","",ABS(P42-Components!$D$4)/Components!$E$4)</f>
        <v/>
      </c>
      <c r="T42" s="67">
        <f>IF(G42="","",ABS(P42-Components!$D$5)/Components!$E$5)</f>
        <v/>
      </c>
      <c r="U42" s="67">
        <f>IF(G42="","",ABS(P42-Components!$D$6)/Components!$E$6)</f>
        <v/>
      </c>
      <c r="V42" s="67">
        <f>IF(G42="","",ABS(P42-Components!$D$7)/Components!$E$7)</f>
        <v/>
      </c>
      <c r="W42" s="61">
        <f>IF(G42="","",IF(N42="OK","NONE",INDEX({"S1","S2","W1","W2","N1","N2"},MATCH(MIN(Q42:V42),Q42:V42,0))))</f>
        <v/>
      </c>
      <c r="X42" s="69">
        <f>IF(G42="","",IF(W42=E42,1,0))</f>
        <v/>
      </c>
      <c r="Y42" s="70" t="n"/>
    </row>
    <row r="43">
      <c r="A43" s="61" t="n">
        <v>9</v>
      </c>
      <c r="B43" s="62" t="n">
        <v>36</v>
      </c>
      <c r="C43" s="61" t="inlineStr">
        <is>
          <t>R3</t>
        </is>
      </c>
      <c r="D43" s="74" t="inlineStr">
        <is>
          <t>NG</t>
        </is>
      </c>
      <c r="E43" s="61" t="inlineStr">
        <is>
          <t>S2</t>
        </is>
      </c>
      <c r="F43" s="61" t="inlineStr">
        <is>
          <t>K009</t>
        </is>
      </c>
      <c r="G43" s="64" t="n">
        <v>5.91</v>
      </c>
      <c r="H43" s="65" t="n"/>
      <c r="I43" s="66" t="n"/>
      <c r="J43" s="67">
        <f>VLOOKUP(C43,Recipes!$A$2:$N$4,10,FALSE())</f>
        <v/>
      </c>
      <c r="K43" s="68">
        <f>VLOOKUP(C43,Recipes!$A$2:$N$4,12,FALSE())</f>
        <v/>
      </c>
      <c r="L43" s="67">
        <f>J43-6*K43</f>
        <v/>
      </c>
      <c r="M43" s="67">
        <f>J43+6*K43</f>
        <v/>
      </c>
      <c r="N43" s="61">
        <f>IF(G43="","",IF(AND(G43&gt;=L43,G43&lt;=M43),"OK","NG"))</f>
        <v/>
      </c>
      <c r="O43" s="69">
        <f>IF(N43="","",IF(N43=D43,1,0))</f>
        <v/>
      </c>
      <c r="P43" s="67">
        <f>IF(G43="","",J43-G43)</f>
        <v/>
      </c>
      <c r="Q43" s="67">
        <f>IF(G43="","",ABS(P43-Components!$D$2)/Components!$E$2)</f>
        <v/>
      </c>
      <c r="R43" s="67">
        <f>IF(G43="","",ABS(P43-Components!$D$3)/Components!$E$3)</f>
        <v/>
      </c>
      <c r="S43" s="67">
        <f>IF(G43="","",ABS(P43-Components!$D$4)/Components!$E$4)</f>
        <v/>
      </c>
      <c r="T43" s="67">
        <f>IF(G43="","",ABS(P43-Components!$D$5)/Components!$E$5)</f>
        <v/>
      </c>
      <c r="U43" s="67">
        <f>IF(G43="","",ABS(P43-Components!$D$6)/Components!$E$6)</f>
        <v/>
      </c>
      <c r="V43" s="67">
        <f>IF(G43="","",ABS(P43-Components!$D$7)/Components!$E$7)</f>
        <v/>
      </c>
      <c r="W43" s="61">
        <f>IF(G43="","",IF(N43="OK","NONE",INDEX({"S1","S2","W1","W2","N1","N2"},MATCH(MIN(Q43:V43),Q43:V43,0))))</f>
        <v/>
      </c>
      <c r="X43" s="69">
        <f>IF(G43="","",IF(W43=E43,1,0))</f>
        <v/>
      </c>
      <c r="Y43" s="70" t="n"/>
    </row>
    <row r="44">
      <c r="A44" s="61" t="n">
        <v>9</v>
      </c>
      <c r="B44" s="62" t="n">
        <v>36</v>
      </c>
      <c r="C44" s="61" t="inlineStr">
        <is>
          <t>R3</t>
        </is>
      </c>
      <c r="D44" s="74" t="inlineStr">
        <is>
          <t>NG</t>
        </is>
      </c>
      <c r="E44" s="61" t="inlineStr">
        <is>
          <t>S2</t>
        </is>
      </c>
      <c r="F44" s="61" t="inlineStr">
        <is>
          <t>K009</t>
        </is>
      </c>
      <c r="G44" s="64" t="n">
        <v>5.96</v>
      </c>
      <c r="H44" s="65" t="n"/>
      <c r="I44" s="66" t="n"/>
      <c r="J44" s="67">
        <f>VLOOKUP(C44,Recipes!$A$2:$N$4,10,FALSE())</f>
        <v/>
      </c>
      <c r="K44" s="68">
        <f>VLOOKUP(C44,Recipes!$A$2:$N$4,12,FALSE())</f>
        <v/>
      </c>
      <c r="L44" s="67">
        <f>J44-6*K44</f>
        <v/>
      </c>
      <c r="M44" s="67">
        <f>J44+6*K44</f>
        <v/>
      </c>
      <c r="N44" s="61">
        <f>IF(G44="","",IF(AND(G44&gt;=L44,G44&lt;=M44),"OK","NG"))</f>
        <v/>
      </c>
      <c r="O44" s="69">
        <f>IF(N44="","",IF(N44=D44,1,0))</f>
        <v/>
      </c>
      <c r="P44" s="67">
        <f>IF(G44="","",J44-G44)</f>
        <v/>
      </c>
      <c r="Q44" s="67">
        <f>IF(G44="","",ABS(P44-Components!$D$2)/Components!$E$2)</f>
        <v/>
      </c>
      <c r="R44" s="67">
        <f>IF(G44="","",ABS(P44-Components!$D$3)/Components!$E$3)</f>
        <v/>
      </c>
      <c r="S44" s="67">
        <f>IF(G44="","",ABS(P44-Components!$D$4)/Components!$E$4)</f>
        <v/>
      </c>
      <c r="T44" s="67">
        <f>IF(G44="","",ABS(P44-Components!$D$5)/Components!$E$5)</f>
        <v/>
      </c>
      <c r="U44" s="67">
        <f>IF(G44="","",ABS(P44-Components!$D$6)/Components!$E$6)</f>
        <v/>
      </c>
      <c r="V44" s="67">
        <f>IF(G44="","",ABS(P44-Components!$D$7)/Components!$E$7)</f>
        <v/>
      </c>
      <c r="W44" s="61">
        <f>IF(G44="","",IF(N44="OK","NONE",INDEX({"S1","S2","W1","W2","N1","N2"},MATCH(MIN(Q44:V44),Q44:V44,0))))</f>
        <v/>
      </c>
      <c r="X44" s="69">
        <f>IF(G44="","",IF(W44=E44,1,0))</f>
        <v/>
      </c>
      <c r="Y44" s="70" t="n"/>
    </row>
    <row r="45">
      <c r="A45" s="61" t="n">
        <v>9</v>
      </c>
      <c r="B45" s="62" t="n">
        <v>36</v>
      </c>
      <c r="C45" s="61" t="inlineStr">
        <is>
          <t>R3</t>
        </is>
      </c>
      <c r="D45" s="74" t="inlineStr">
        <is>
          <t>NG</t>
        </is>
      </c>
      <c r="E45" s="61" t="inlineStr">
        <is>
          <t>S2</t>
        </is>
      </c>
      <c r="F45" s="61" t="inlineStr">
        <is>
          <t>K009</t>
        </is>
      </c>
      <c r="G45" s="64" t="n">
        <v>5.98</v>
      </c>
      <c r="H45" s="65" t="n"/>
      <c r="I45" s="66" t="n"/>
      <c r="J45" s="67">
        <f>VLOOKUP(C45,Recipes!$A$2:$N$4,10,FALSE())</f>
        <v/>
      </c>
      <c r="K45" s="68">
        <f>VLOOKUP(C45,Recipes!$A$2:$N$4,12,FALSE())</f>
        <v/>
      </c>
      <c r="L45" s="67">
        <f>J45-6*K45</f>
        <v/>
      </c>
      <c r="M45" s="67">
        <f>J45+6*K45</f>
        <v/>
      </c>
      <c r="N45" s="61">
        <f>IF(G45="","",IF(AND(G45&gt;=L45,G45&lt;=M45),"OK","NG"))</f>
        <v/>
      </c>
      <c r="O45" s="69">
        <f>IF(N45="","",IF(N45=D45,1,0))</f>
        <v/>
      </c>
      <c r="P45" s="67">
        <f>IF(G45="","",J45-G45)</f>
        <v/>
      </c>
      <c r="Q45" s="67">
        <f>IF(G45="","",ABS(P45-Components!$D$2)/Components!$E$2)</f>
        <v/>
      </c>
      <c r="R45" s="67">
        <f>IF(G45="","",ABS(P45-Components!$D$3)/Components!$E$3)</f>
        <v/>
      </c>
      <c r="S45" s="67">
        <f>IF(G45="","",ABS(P45-Components!$D$4)/Components!$E$4)</f>
        <v/>
      </c>
      <c r="T45" s="67">
        <f>IF(G45="","",ABS(P45-Components!$D$5)/Components!$E$5)</f>
        <v/>
      </c>
      <c r="U45" s="67">
        <f>IF(G45="","",ABS(P45-Components!$D$6)/Components!$E$6)</f>
        <v/>
      </c>
      <c r="V45" s="67">
        <f>IF(G45="","",ABS(P45-Components!$D$7)/Components!$E$7)</f>
        <v/>
      </c>
      <c r="W45" s="61">
        <f>IF(G45="","",IF(N45="OK","NONE",INDEX({"S1","S2","W1","W2","N1","N2"},MATCH(MIN(Q45:V45),Q45:V45,0))))</f>
        <v/>
      </c>
      <c r="X45" s="69">
        <f>IF(G45="","",IF(W45=E45,1,0))</f>
        <v/>
      </c>
      <c r="Y45" s="70" t="n"/>
    </row>
    <row r="46">
      <c r="A46" s="61" t="n">
        <v>9</v>
      </c>
      <c r="B46" s="62" t="n">
        <v>36</v>
      </c>
      <c r="C46" s="61" t="inlineStr">
        <is>
          <t>R3</t>
        </is>
      </c>
      <c r="D46" s="74" t="inlineStr">
        <is>
          <t>NG</t>
        </is>
      </c>
      <c r="E46" s="61" t="inlineStr">
        <is>
          <t>S2</t>
        </is>
      </c>
      <c r="F46" s="61" t="inlineStr">
        <is>
          <t>K009</t>
        </is>
      </c>
      <c r="G46" s="64" t="n">
        <v>5.94</v>
      </c>
      <c r="H46" s="65" t="n"/>
      <c r="I46" s="66" t="n"/>
      <c r="J46" s="67">
        <f>VLOOKUP(C46,Recipes!$A$2:$N$4,10,FALSE())</f>
        <v/>
      </c>
      <c r="K46" s="68">
        <f>VLOOKUP(C46,Recipes!$A$2:$N$4,12,FALSE())</f>
        <v/>
      </c>
      <c r="L46" s="67">
        <f>J46-6*K46</f>
        <v/>
      </c>
      <c r="M46" s="67">
        <f>J46+6*K46</f>
        <v/>
      </c>
      <c r="N46" s="61">
        <f>IF(G46="","",IF(AND(G46&gt;=L46,G46&lt;=M46),"OK","NG"))</f>
        <v/>
      </c>
      <c r="O46" s="69">
        <f>IF(N46="","",IF(N46=D46,1,0))</f>
        <v/>
      </c>
      <c r="P46" s="67">
        <f>IF(G46="","",J46-G46)</f>
        <v/>
      </c>
      <c r="Q46" s="67">
        <f>IF(G46="","",ABS(P46-Components!$D$2)/Components!$E$2)</f>
        <v/>
      </c>
      <c r="R46" s="67">
        <f>IF(G46="","",ABS(P46-Components!$D$3)/Components!$E$3)</f>
        <v/>
      </c>
      <c r="S46" s="67">
        <f>IF(G46="","",ABS(P46-Components!$D$4)/Components!$E$4)</f>
        <v/>
      </c>
      <c r="T46" s="67">
        <f>IF(G46="","",ABS(P46-Components!$D$5)/Components!$E$5)</f>
        <v/>
      </c>
      <c r="U46" s="67">
        <f>IF(G46="","",ABS(P46-Components!$D$6)/Components!$E$6)</f>
        <v/>
      </c>
      <c r="V46" s="67">
        <f>IF(G46="","",ABS(P46-Components!$D$7)/Components!$E$7)</f>
        <v/>
      </c>
      <c r="W46" s="61">
        <f>IF(G46="","",IF(N46="OK","NONE",INDEX({"S1","S2","W1","W2","N1","N2"},MATCH(MIN(Q46:V46),Q46:V46,0))))</f>
        <v/>
      </c>
      <c r="X46" s="69">
        <f>IF(G46="","",IF(W46=E46,1,0))</f>
        <v/>
      </c>
      <c r="Y46" s="70" t="n"/>
    </row>
    <row r="47">
      <c r="A47" s="61" t="n">
        <v>9</v>
      </c>
      <c r="B47" s="62" t="n">
        <v>36</v>
      </c>
      <c r="C47" s="61" t="inlineStr">
        <is>
          <t>R3</t>
        </is>
      </c>
      <c r="D47" s="74" t="inlineStr">
        <is>
          <t>NG</t>
        </is>
      </c>
      <c r="E47" s="61" t="inlineStr">
        <is>
          <t>S2</t>
        </is>
      </c>
      <c r="F47" s="61" t="inlineStr">
        <is>
          <t>K009</t>
        </is>
      </c>
      <c r="G47" s="64" t="n">
        <v>5.87</v>
      </c>
      <c r="H47" s="65" t="n"/>
      <c r="I47" s="66" t="n"/>
      <c r="J47" s="67">
        <f>VLOOKUP(C47,Recipes!$A$2:$N$4,10,FALSE())</f>
        <v/>
      </c>
      <c r="K47" s="68">
        <f>VLOOKUP(C47,Recipes!$A$2:$N$4,12,FALSE())</f>
        <v/>
      </c>
      <c r="L47" s="67">
        <f>J47-6*K47</f>
        <v/>
      </c>
      <c r="M47" s="67">
        <f>J47+6*K47</f>
        <v/>
      </c>
      <c r="N47" s="61">
        <f>IF(G47="","",IF(AND(G47&gt;=L47,G47&lt;=M47),"OK","NG"))</f>
        <v/>
      </c>
      <c r="O47" s="69">
        <f>IF(N47="","",IF(N47=D47,1,0))</f>
        <v/>
      </c>
      <c r="P47" s="67">
        <f>IF(G47="","",J47-G47)</f>
        <v/>
      </c>
      <c r="Q47" s="67">
        <f>IF(G47="","",ABS(P47-Components!$D$2)/Components!$E$2)</f>
        <v/>
      </c>
      <c r="R47" s="67">
        <f>IF(G47="","",ABS(P47-Components!$D$3)/Components!$E$3)</f>
        <v/>
      </c>
      <c r="S47" s="67">
        <f>IF(G47="","",ABS(P47-Components!$D$4)/Components!$E$4)</f>
        <v/>
      </c>
      <c r="T47" s="67">
        <f>IF(G47="","",ABS(P47-Components!$D$5)/Components!$E$5)</f>
        <v/>
      </c>
      <c r="U47" s="67">
        <f>IF(G47="","",ABS(P47-Components!$D$6)/Components!$E$6)</f>
        <v/>
      </c>
      <c r="V47" s="67">
        <f>IF(G47="","",ABS(P47-Components!$D$7)/Components!$E$7)</f>
        <v/>
      </c>
      <c r="W47" s="61">
        <f>IF(G47="","",IF(N47="OK","NONE",INDEX({"S1","S2","W1","W2","N1","N2"},MATCH(MIN(Q47:V47),Q47:V47,0))))</f>
        <v/>
      </c>
      <c r="X47" s="69">
        <f>IF(G47="","",IF(W47=E47,1,0))</f>
        <v/>
      </c>
      <c r="Y47" s="70" t="n"/>
    </row>
    <row r="48">
      <c r="A48" s="61" t="n">
        <v>9</v>
      </c>
      <c r="B48" s="62" t="n">
        <v>36</v>
      </c>
      <c r="C48" s="61" t="inlineStr">
        <is>
          <t>R3</t>
        </is>
      </c>
      <c r="D48" s="74" t="inlineStr">
        <is>
          <t>NG</t>
        </is>
      </c>
      <c r="E48" s="61" t="inlineStr">
        <is>
          <t>S2</t>
        </is>
      </c>
      <c r="F48" s="61" t="inlineStr">
        <is>
          <t>K009</t>
        </is>
      </c>
      <c r="G48" s="64" t="n">
        <v>5.95</v>
      </c>
      <c r="H48" s="65" t="n"/>
      <c r="I48" s="66" t="n"/>
      <c r="J48" s="67">
        <f>VLOOKUP(C48,Recipes!$A$2:$N$4,10,FALSE())</f>
        <v/>
      </c>
      <c r="K48" s="68">
        <f>VLOOKUP(C48,Recipes!$A$2:$N$4,12,FALSE())</f>
        <v/>
      </c>
      <c r="L48" s="67">
        <f>J48-6*K48</f>
        <v/>
      </c>
      <c r="M48" s="67">
        <f>J48+6*K48</f>
        <v/>
      </c>
      <c r="N48" s="61">
        <f>IF(G48="","",IF(AND(G48&gt;=L48,G48&lt;=M48),"OK","NG"))</f>
        <v/>
      </c>
      <c r="O48" s="69">
        <f>IF(N48="","",IF(N48=D48,1,0))</f>
        <v/>
      </c>
      <c r="P48" s="67">
        <f>IF(G48="","",J48-G48)</f>
        <v/>
      </c>
      <c r="Q48" s="67">
        <f>IF(G48="","",ABS(P48-Components!$D$2)/Components!$E$2)</f>
        <v/>
      </c>
      <c r="R48" s="67">
        <f>IF(G48="","",ABS(P48-Components!$D$3)/Components!$E$3)</f>
        <v/>
      </c>
      <c r="S48" s="67">
        <f>IF(G48="","",ABS(P48-Components!$D$4)/Components!$E$4)</f>
        <v/>
      </c>
      <c r="T48" s="67">
        <f>IF(G48="","",ABS(P48-Components!$D$5)/Components!$E$5)</f>
        <v/>
      </c>
      <c r="U48" s="67">
        <f>IF(G48="","",ABS(P48-Components!$D$6)/Components!$E$6)</f>
        <v/>
      </c>
      <c r="V48" s="67">
        <f>IF(G48="","",ABS(P48-Components!$D$7)/Components!$E$7)</f>
        <v/>
      </c>
      <c r="W48" s="61">
        <f>IF(G48="","",IF(N48="OK","NONE",INDEX({"S1","S2","W1","W2","N1","N2"},MATCH(MIN(Q48:V48),Q48:V48,0))))</f>
        <v/>
      </c>
      <c r="X48" s="69">
        <f>IF(G48="","",IF(W48=E48,1,0))</f>
        <v/>
      </c>
      <c r="Y48" s="70" t="n"/>
    </row>
    <row r="49">
      <c r="A49" s="61" t="n">
        <v>9</v>
      </c>
      <c r="B49" s="62" t="n">
        <v>36</v>
      </c>
      <c r="C49" s="61" t="inlineStr">
        <is>
          <t>R3</t>
        </is>
      </c>
      <c r="D49" s="74" t="inlineStr">
        <is>
          <t>NG</t>
        </is>
      </c>
      <c r="E49" s="61" t="inlineStr">
        <is>
          <t>S2</t>
        </is>
      </c>
      <c r="F49" s="61" t="inlineStr">
        <is>
          <t>K009</t>
        </is>
      </c>
      <c r="G49" s="64" t="n">
        <v>5.89</v>
      </c>
      <c r="H49" s="65" t="n"/>
      <c r="I49" s="66" t="n"/>
      <c r="J49" s="67">
        <f>VLOOKUP(C49,Recipes!$A$2:$N$4,10,FALSE())</f>
        <v/>
      </c>
      <c r="K49" s="68">
        <f>VLOOKUP(C49,Recipes!$A$2:$N$4,12,FALSE())</f>
        <v/>
      </c>
      <c r="L49" s="67">
        <f>J49-6*K49</f>
        <v/>
      </c>
      <c r="M49" s="67">
        <f>J49+6*K49</f>
        <v/>
      </c>
      <c r="N49" s="61">
        <f>IF(G49="","",IF(AND(G49&gt;=L49,G49&lt;=M49),"OK","NG"))</f>
        <v/>
      </c>
      <c r="O49" s="69">
        <f>IF(N49="","",IF(N49=D49,1,0))</f>
        <v/>
      </c>
      <c r="P49" s="67">
        <f>IF(G49="","",J49-G49)</f>
        <v/>
      </c>
      <c r="Q49" s="67">
        <f>IF(G49="","",ABS(P49-Components!$D$2)/Components!$E$2)</f>
        <v/>
      </c>
      <c r="R49" s="67">
        <f>IF(G49="","",ABS(P49-Components!$D$3)/Components!$E$3)</f>
        <v/>
      </c>
      <c r="S49" s="67">
        <f>IF(G49="","",ABS(P49-Components!$D$4)/Components!$E$4)</f>
        <v/>
      </c>
      <c r="T49" s="67">
        <f>IF(G49="","",ABS(P49-Components!$D$5)/Components!$E$5)</f>
        <v/>
      </c>
      <c r="U49" s="67">
        <f>IF(G49="","",ABS(P49-Components!$D$6)/Components!$E$6)</f>
        <v/>
      </c>
      <c r="V49" s="67">
        <f>IF(G49="","",ABS(P49-Components!$D$7)/Components!$E$7)</f>
        <v/>
      </c>
      <c r="W49" s="61">
        <f>IF(G49="","",IF(N49="OK","NONE",INDEX({"S1","S2","W1","W2","N1","N2"},MATCH(MIN(Q49:V49),Q49:V49,0))))</f>
        <v/>
      </c>
      <c r="X49" s="69">
        <f>IF(G49="","",IF(W49=E49,1,0))</f>
        <v/>
      </c>
      <c r="Y49" s="70" t="n"/>
    </row>
    <row r="50">
      <c r="A50" s="61" t="n">
        <v>9</v>
      </c>
      <c r="B50" s="62" t="n">
        <v>36</v>
      </c>
      <c r="C50" s="61" t="inlineStr">
        <is>
          <t>R3</t>
        </is>
      </c>
      <c r="D50" s="74" t="inlineStr">
        <is>
          <t>NG</t>
        </is>
      </c>
      <c r="E50" s="61" t="inlineStr">
        <is>
          <t>S2</t>
        </is>
      </c>
      <c r="F50" s="61" t="inlineStr">
        <is>
          <t>K009</t>
        </is>
      </c>
      <c r="G50" s="64" t="n">
        <v>5.88</v>
      </c>
      <c r="H50" s="65" t="n"/>
      <c r="I50" s="66" t="n"/>
      <c r="J50" s="67">
        <f>VLOOKUP(C50,Recipes!$A$2:$N$4,10,FALSE())</f>
        <v/>
      </c>
      <c r="K50" s="68">
        <f>VLOOKUP(C50,Recipes!$A$2:$N$4,12,FALSE())</f>
        <v/>
      </c>
      <c r="L50" s="67">
        <f>J50-6*K50</f>
        <v/>
      </c>
      <c r="M50" s="67">
        <f>J50+6*K50</f>
        <v/>
      </c>
      <c r="N50" s="61">
        <f>IF(G50="","",IF(AND(G50&gt;=L50,G50&lt;=M50),"OK","NG"))</f>
        <v/>
      </c>
      <c r="O50" s="69">
        <f>IF(N50="","",IF(N50=D50,1,0))</f>
        <v/>
      </c>
      <c r="P50" s="67">
        <f>IF(G50="","",J50-G50)</f>
        <v/>
      </c>
      <c r="Q50" s="67">
        <f>IF(G50="","",ABS(P50-Components!$D$2)/Components!$E$2)</f>
        <v/>
      </c>
      <c r="R50" s="67">
        <f>IF(G50="","",ABS(P50-Components!$D$3)/Components!$E$3)</f>
        <v/>
      </c>
      <c r="S50" s="67">
        <f>IF(G50="","",ABS(P50-Components!$D$4)/Components!$E$4)</f>
        <v/>
      </c>
      <c r="T50" s="67">
        <f>IF(G50="","",ABS(P50-Components!$D$5)/Components!$E$5)</f>
        <v/>
      </c>
      <c r="U50" s="67">
        <f>IF(G50="","",ABS(P50-Components!$D$6)/Components!$E$6)</f>
        <v/>
      </c>
      <c r="V50" s="67">
        <f>IF(G50="","",ABS(P50-Components!$D$7)/Components!$E$7)</f>
        <v/>
      </c>
      <c r="W50" s="61">
        <f>IF(G50="","",IF(N50="OK","NONE",INDEX({"S1","S2","W1","W2","N1","N2"},MATCH(MIN(Q50:V50),Q50:V50,0))))</f>
        <v/>
      </c>
      <c r="X50" s="69">
        <f>IF(G50="","",IF(W50=E50,1,0))</f>
        <v/>
      </c>
      <c r="Y50" s="70" t="n"/>
    </row>
    <row r="51">
      <c r="A51" s="61" t="n">
        <v>9</v>
      </c>
      <c r="B51" s="62" t="n">
        <v>36</v>
      </c>
      <c r="C51" s="61" t="inlineStr">
        <is>
          <t>R3</t>
        </is>
      </c>
      <c r="D51" s="74" t="inlineStr">
        <is>
          <t>NG</t>
        </is>
      </c>
      <c r="E51" s="61" t="inlineStr">
        <is>
          <t>S2</t>
        </is>
      </c>
      <c r="F51" s="61" t="inlineStr">
        <is>
          <t>K009</t>
        </is>
      </c>
      <c r="G51" s="64" t="n">
        <v>5.94</v>
      </c>
      <c r="H51" s="65" t="n"/>
      <c r="I51" s="66" t="n"/>
      <c r="J51" s="67">
        <f>VLOOKUP(C51,Recipes!$A$2:$N$4,10,FALSE())</f>
        <v/>
      </c>
      <c r="K51" s="68">
        <f>VLOOKUP(C51,Recipes!$A$2:$N$4,12,FALSE())</f>
        <v/>
      </c>
      <c r="L51" s="67">
        <f>J51-6*K51</f>
        <v/>
      </c>
      <c r="M51" s="67">
        <f>J51+6*K51</f>
        <v/>
      </c>
      <c r="N51" s="61">
        <f>IF(G51="","",IF(AND(G51&gt;=L51,G51&lt;=M51),"OK","NG"))</f>
        <v/>
      </c>
      <c r="O51" s="69">
        <f>IF(N51="","",IF(N51=D51,1,0))</f>
        <v/>
      </c>
      <c r="P51" s="67">
        <f>IF(G51="","",J51-G51)</f>
        <v/>
      </c>
      <c r="Q51" s="67">
        <f>IF(G51="","",ABS(P51-Components!$D$2)/Components!$E$2)</f>
        <v/>
      </c>
      <c r="R51" s="67">
        <f>IF(G51="","",ABS(P51-Components!$D$3)/Components!$E$3)</f>
        <v/>
      </c>
      <c r="S51" s="67">
        <f>IF(G51="","",ABS(P51-Components!$D$4)/Components!$E$4)</f>
        <v/>
      </c>
      <c r="T51" s="67">
        <f>IF(G51="","",ABS(P51-Components!$D$5)/Components!$E$5)</f>
        <v/>
      </c>
      <c r="U51" s="67">
        <f>IF(G51="","",ABS(P51-Components!$D$6)/Components!$E$6)</f>
        <v/>
      </c>
      <c r="V51" s="67">
        <f>IF(G51="","",ABS(P51-Components!$D$7)/Components!$E$7)</f>
        <v/>
      </c>
      <c r="W51" s="61">
        <f>IF(G51="","",IF(N51="OK","NONE",INDEX({"S1","S2","W1","W2","N1","N2"},MATCH(MIN(Q51:V51),Q51:V51,0))))</f>
        <v/>
      </c>
      <c r="X51" s="69">
        <f>IF(G51="","",IF(W51=E51,1,0))</f>
        <v/>
      </c>
      <c r="Y51" s="70" t="n"/>
    </row>
    <row r="52">
      <c r="A52" s="61" t="n">
        <v>9</v>
      </c>
      <c r="B52" s="62" t="n">
        <v>36</v>
      </c>
      <c r="C52" s="61" t="inlineStr">
        <is>
          <t>R3</t>
        </is>
      </c>
      <c r="D52" s="74" t="inlineStr">
        <is>
          <t>NG</t>
        </is>
      </c>
      <c r="E52" s="61" t="inlineStr">
        <is>
          <t>S2</t>
        </is>
      </c>
      <c r="F52" s="61" t="inlineStr">
        <is>
          <t>K009</t>
        </is>
      </c>
      <c r="G52" s="64" t="n">
        <v>5.93</v>
      </c>
      <c r="H52" s="65" t="n"/>
      <c r="I52" s="66" t="n"/>
      <c r="J52" s="67">
        <f>VLOOKUP(C52,Recipes!$A$2:$N$4,10,FALSE())</f>
        <v/>
      </c>
      <c r="K52" s="68">
        <f>VLOOKUP(C52,Recipes!$A$2:$N$4,12,FALSE())</f>
        <v/>
      </c>
      <c r="L52" s="67">
        <f>J52-6*K52</f>
        <v/>
      </c>
      <c r="M52" s="67">
        <f>J52+6*K52</f>
        <v/>
      </c>
      <c r="N52" s="61">
        <f>IF(G52="","",IF(AND(G52&gt;=L52,G52&lt;=M52),"OK","NG"))</f>
        <v/>
      </c>
      <c r="O52" s="69">
        <f>IF(N52="","",IF(N52=D52,1,0))</f>
        <v/>
      </c>
      <c r="P52" s="67">
        <f>IF(G52="","",J52-G52)</f>
        <v/>
      </c>
      <c r="Q52" s="67">
        <f>IF(G52="","",ABS(P52-Components!$D$2)/Components!$E$2)</f>
        <v/>
      </c>
      <c r="R52" s="67">
        <f>IF(G52="","",ABS(P52-Components!$D$3)/Components!$E$3)</f>
        <v/>
      </c>
      <c r="S52" s="67">
        <f>IF(G52="","",ABS(P52-Components!$D$4)/Components!$E$4)</f>
        <v/>
      </c>
      <c r="T52" s="67">
        <f>IF(G52="","",ABS(P52-Components!$D$5)/Components!$E$5)</f>
        <v/>
      </c>
      <c r="U52" s="67">
        <f>IF(G52="","",ABS(P52-Components!$D$6)/Components!$E$6)</f>
        <v/>
      </c>
      <c r="V52" s="67">
        <f>IF(G52="","",ABS(P52-Components!$D$7)/Components!$E$7)</f>
        <v/>
      </c>
      <c r="W52" s="61">
        <f>IF(G52="","",IF(N52="OK","NONE",INDEX({"S1","S2","W1","W2","N1","N2"},MATCH(MIN(Q52:V52),Q52:V52,0))))</f>
        <v/>
      </c>
      <c r="X52" s="69">
        <f>IF(G52="","",IF(W52=E52,1,0))</f>
        <v/>
      </c>
      <c r="Y52" s="70" t="n"/>
    </row>
    <row r="53">
      <c r="A53" s="61" t="n">
        <v>9</v>
      </c>
      <c r="B53" s="62" t="n">
        <v>36</v>
      </c>
      <c r="C53" s="61" t="inlineStr">
        <is>
          <t>R3</t>
        </is>
      </c>
      <c r="D53" s="74" t="inlineStr">
        <is>
          <t>NG</t>
        </is>
      </c>
      <c r="E53" s="61" t="inlineStr">
        <is>
          <t>S2</t>
        </is>
      </c>
      <c r="F53" s="61" t="inlineStr">
        <is>
          <t>K009</t>
        </is>
      </c>
      <c r="G53" s="64" t="n">
        <v>5.99</v>
      </c>
      <c r="H53" s="65" t="n"/>
      <c r="I53" s="66" t="n"/>
      <c r="J53" s="67">
        <f>VLOOKUP(C53,Recipes!$A$2:$N$4,10,FALSE())</f>
        <v/>
      </c>
      <c r="K53" s="68">
        <f>VLOOKUP(C53,Recipes!$A$2:$N$4,12,FALSE())</f>
        <v/>
      </c>
      <c r="L53" s="67">
        <f>J53-6*K53</f>
        <v/>
      </c>
      <c r="M53" s="67">
        <f>J53+6*K53</f>
        <v/>
      </c>
      <c r="N53" s="61">
        <f>IF(G53="","",IF(AND(G53&gt;=L53,G53&lt;=M53),"OK","NG"))</f>
        <v/>
      </c>
      <c r="O53" s="69">
        <f>IF(N53="","",IF(N53=D53,1,0))</f>
        <v/>
      </c>
      <c r="P53" s="67">
        <f>IF(G53="","",J53-G53)</f>
        <v/>
      </c>
      <c r="Q53" s="67">
        <f>IF(G53="","",ABS(P53-Components!$D$2)/Components!$E$2)</f>
        <v/>
      </c>
      <c r="R53" s="67">
        <f>IF(G53="","",ABS(P53-Components!$D$3)/Components!$E$3)</f>
        <v/>
      </c>
      <c r="S53" s="67">
        <f>IF(G53="","",ABS(P53-Components!$D$4)/Components!$E$4)</f>
        <v/>
      </c>
      <c r="T53" s="67">
        <f>IF(G53="","",ABS(P53-Components!$D$5)/Components!$E$5)</f>
        <v/>
      </c>
      <c r="U53" s="67">
        <f>IF(G53="","",ABS(P53-Components!$D$6)/Components!$E$6)</f>
        <v/>
      </c>
      <c r="V53" s="67">
        <f>IF(G53="","",ABS(P53-Components!$D$7)/Components!$E$7)</f>
        <v/>
      </c>
      <c r="W53" s="61">
        <f>IF(G53="","",IF(N53="OK","NONE",INDEX({"S1","S2","W1","W2","N1","N2"},MATCH(MIN(Q53:V53),Q53:V53,0))))</f>
        <v/>
      </c>
      <c r="X53" s="69">
        <f>IF(G53="","",IF(W53=E53,1,0))</f>
        <v/>
      </c>
      <c r="Y53" s="70" t="n"/>
    </row>
    <row r="54">
      <c r="A54" s="61" t="n">
        <v>9</v>
      </c>
      <c r="B54" s="62" t="n">
        <v>36</v>
      </c>
      <c r="C54" s="61" t="inlineStr">
        <is>
          <t>R3</t>
        </is>
      </c>
      <c r="D54" s="74" t="inlineStr">
        <is>
          <t>NG</t>
        </is>
      </c>
      <c r="E54" s="61" t="inlineStr">
        <is>
          <t>S2</t>
        </is>
      </c>
      <c r="F54" s="61" t="inlineStr">
        <is>
          <t>K009</t>
        </is>
      </c>
      <c r="G54" s="64" t="n">
        <v>5.92</v>
      </c>
      <c r="H54" s="65" t="n"/>
      <c r="I54" s="66" t="n"/>
      <c r="J54" s="67">
        <f>VLOOKUP(C54,Recipes!$A$2:$N$4,10,FALSE())</f>
        <v/>
      </c>
      <c r="K54" s="68">
        <f>VLOOKUP(C54,Recipes!$A$2:$N$4,12,FALSE())</f>
        <v/>
      </c>
      <c r="L54" s="67">
        <f>J54-6*K54</f>
        <v/>
      </c>
      <c r="M54" s="67">
        <f>J54+6*K54</f>
        <v/>
      </c>
      <c r="N54" s="61">
        <f>IF(G54="","",IF(AND(G54&gt;=L54,G54&lt;=M54),"OK","NG"))</f>
        <v/>
      </c>
      <c r="O54" s="69">
        <f>IF(N54="","",IF(N54=D54,1,0))</f>
        <v/>
      </c>
      <c r="P54" s="67">
        <f>IF(G54="","",J54-G54)</f>
        <v/>
      </c>
      <c r="Q54" s="67">
        <f>IF(G54="","",ABS(P54-Components!$D$2)/Components!$E$2)</f>
        <v/>
      </c>
      <c r="R54" s="67">
        <f>IF(G54="","",ABS(P54-Components!$D$3)/Components!$E$3)</f>
        <v/>
      </c>
      <c r="S54" s="67">
        <f>IF(G54="","",ABS(P54-Components!$D$4)/Components!$E$4)</f>
        <v/>
      </c>
      <c r="T54" s="67">
        <f>IF(G54="","",ABS(P54-Components!$D$5)/Components!$E$5)</f>
        <v/>
      </c>
      <c r="U54" s="67">
        <f>IF(G54="","",ABS(P54-Components!$D$6)/Components!$E$6)</f>
        <v/>
      </c>
      <c r="V54" s="67">
        <f>IF(G54="","",ABS(P54-Components!$D$7)/Components!$E$7)</f>
        <v/>
      </c>
      <c r="W54" s="61">
        <f>IF(G54="","",IF(N54="OK","NONE",INDEX({"S1","S2","W1","W2","N1","N2"},MATCH(MIN(Q54:V54),Q54:V54,0))))</f>
        <v/>
      </c>
      <c r="X54" s="69">
        <f>IF(G54="","",IF(W54=E54,1,0))</f>
        <v/>
      </c>
      <c r="Y54" s="70" t="n"/>
    </row>
    <row r="55">
      <c r="A55" s="61" t="n">
        <v>9</v>
      </c>
      <c r="B55" s="62" t="n">
        <v>36</v>
      </c>
      <c r="C55" s="61" t="inlineStr">
        <is>
          <t>R3</t>
        </is>
      </c>
      <c r="D55" s="74" t="inlineStr">
        <is>
          <t>NG</t>
        </is>
      </c>
      <c r="E55" s="61" t="inlineStr">
        <is>
          <t>S2</t>
        </is>
      </c>
      <c r="F55" s="61" t="inlineStr">
        <is>
          <t>K009</t>
        </is>
      </c>
      <c r="G55" s="64" t="n">
        <v>5.78</v>
      </c>
      <c r="H55" s="65" t="n"/>
      <c r="I55" s="66" t="n"/>
      <c r="J55" s="67">
        <f>VLOOKUP(C55,Recipes!$A$2:$N$4,10,FALSE())</f>
        <v/>
      </c>
      <c r="K55" s="68">
        <f>VLOOKUP(C55,Recipes!$A$2:$N$4,12,FALSE())</f>
        <v/>
      </c>
      <c r="L55" s="67">
        <f>J55-6*K55</f>
        <v/>
      </c>
      <c r="M55" s="67">
        <f>J55+6*K55</f>
        <v/>
      </c>
      <c r="N55" s="61">
        <f>IF(G55="","",IF(AND(G55&gt;=L55,G55&lt;=M55),"OK","NG"))</f>
        <v/>
      </c>
      <c r="O55" s="69">
        <f>IF(N55="","",IF(N55=D55,1,0))</f>
        <v/>
      </c>
      <c r="P55" s="67">
        <f>IF(G55="","",J55-G55)</f>
        <v/>
      </c>
      <c r="Q55" s="67">
        <f>IF(G55="","",ABS(P55-Components!$D$2)/Components!$E$2)</f>
        <v/>
      </c>
      <c r="R55" s="67">
        <f>IF(G55="","",ABS(P55-Components!$D$3)/Components!$E$3)</f>
        <v/>
      </c>
      <c r="S55" s="67">
        <f>IF(G55="","",ABS(P55-Components!$D$4)/Components!$E$4)</f>
        <v/>
      </c>
      <c r="T55" s="67">
        <f>IF(G55="","",ABS(P55-Components!$D$5)/Components!$E$5)</f>
        <v/>
      </c>
      <c r="U55" s="67">
        <f>IF(G55="","",ABS(P55-Components!$D$6)/Components!$E$6)</f>
        <v/>
      </c>
      <c r="V55" s="67">
        <f>IF(G55="","",ABS(P55-Components!$D$7)/Components!$E$7)</f>
        <v/>
      </c>
      <c r="W55" s="61">
        <f>IF(G55="","",IF(N55="OK","NONE",INDEX({"S1","S2","W1","W2","N1","N2"},MATCH(MIN(Q55:V55),Q55:V55,0))))</f>
        <v/>
      </c>
      <c r="X55" s="69">
        <f>IF(G55="","",IF(W55=E55,1,0))</f>
        <v/>
      </c>
      <c r="Y55" s="70" t="n"/>
    </row>
    <row r="56">
      <c r="A56" s="61" t="n">
        <v>9</v>
      </c>
      <c r="B56" s="62" t="n">
        <v>36</v>
      </c>
      <c r="C56" s="61" t="inlineStr">
        <is>
          <t>R3</t>
        </is>
      </c>
      <c r="D56" s="74" t="inlineStr">
        <is>
          <t>NG</t>
        </is>
      </c>
      <c r="E56" s="61" t="inlineStr">
        <is>
          <t>S2</t>
        </is>
      </c>
      <c r="F56" s="61" t="inlineStr">
        <is>
          <t>K009</t>
        </is>
      </c>
      <c r="G56" s="64" t="n">
        <v>5.95</v>
      </c>
      <c r="H56" s="65" t="n"/>
      <c r="I56" s="66" t="n"/>
      <c r="J56" s="67">
        <f>VLOOKUP(C56,Recipes!$A$2:$N$4,10,FALSE())</f>
        <v/>
      </c>
      <c r="K56" s="68">
        <f>VLOOKUP(C56,Recipes!$A$2:$N$4,12,FALSE())</f>
        <v/>
      </c>
      <c r="L56" s="67">
        <f>J56-6*K56</f>
        <v/>
      </c>
      <c r="M56" s="67">
        <f>J56+6*K56</f>
        <v/>
      </c>
      <c r="N56" s="61">
        <f>IF(G56="","",IF(AND(G56&gt;=L56,G56&lt;=M56),"OK","NG"))</f>
        <v/>
      </c>
      <c r="O56" s="69">
        <f>IF(N56="","",IF(N56=D56,1,0))</f>
        <v/>
      </c>
      <c r="P56" s="67">
        <f>IF(G56="","",J56-G56)</f>
        <v/>
      </c>
      <c r="Q56" s="67">
        <f>IF(G56="","",ABS(P56-Components!$D$2)/Components!$E$2)</f>
        <v/>
      </c>
      <c r="R56" s="67">
        <f>IF(G56="","",ABS(P56-Components!$D$3)/Components!$E$3)</f>
        <v/>
      </c>
      <c r="S56" s="67">
        <f>IF(G56="","",ABS(P56-Components!$D$4)/Components!$E$4)</f>
        <v/>
      </c>
      <c r="T56" s="67">
        <f>IF(G56="","",ABS(P56-Components!$D$5)/Components!$E$5)</f>
        <v/>
      </c>
      <c r="U56" s="67">
        <f>IF(G56="","",ABS(P56-Components!$D$6)/Components!$E$6)</f>
        <v/>
      </c>
      <c r="V56" s="67">
        <f>IF(G56="","",ABS(P56-Components!$D$7)/Components!$E$7)</f>
        <v/>
      </c>
      <c r="W56" s="61">
        <f>IF(G56="","",IF(N56="OK","NONE",INDEX({"S1","S2","W1","W2","N1","N2"},MATCH(MIN(Q56:V56),Q56:V56,0))))</f>
        <v/>
      </c>
      <c r="X56" s="69">
        <f>IF(G56="","",IF(W56=E56,1,0))</f>
        <v/>
      </c>
      <c r="Y56" s="70" t="n"/>
    </row>
    <row r="57">
      <c r="A57" s="61" t="n">
        <v>9</v>
      </c>
      <c r="B57" s="62" t="n">
        <v>36</v>
      </c>
      <c r="C57" s="61" t="inlineStr">
        <is>
          <t>R3</t>
        </is>
      </c>
      <c r="D57" s="74" t="inlineStr">
        <is>
          <t>NG</t>
        </is>
      </c>
      <c r="E57" s="61" t="inlineStr">
        <is>
          <t>S2</t>
        </is>
      </c>
      <c r="F57" s="61" t="inlineStr">
        <is>
          <t>K009</t>
        </is>
      </c>
      <c r="G57" s="64" t="n">
        <v>5.92</v>
      </c>
      <c r="H57" s="65" t="n"/>
      <c r="I57" s="66" t="n"/>
      <c r="J57" s="67">
        <f>VLOOKUP(C57,Recipes!$A$2:$N$4,10,FALSE())</f>
        <v/>
      </c>
      <c r="K57" s="68">
        <f>VLOOKUP(C57,Recipes!$A$2:$N$4,12,FALSE())</f>
        <v/>
      </c>
      <c r="L57" s="67">
        <f>J57-6*K57</f>
        <v/>
      </c>
      <c r="M57" s="67">
        <f>J57+6*K57</f>
        <v/>
      </c>
      <c r="N57" s="61">
        <f>IF(G57="","",IF(AND(G57&gt;=L57,G57&lt;=M57),"OK","NG"))</f>
        <v/>
      </c>
      <c r="O57" s="69">
        <f>IF(N57="","",IF(N57=D57,1,0))</f>
        <v/>
      </c>
      <c r="P57" s="67">
        <f>IF(G57="","",J57-G57)</f>
        <v/>
      </c>
      <c r="Q57" s="67">
        <f>IF(G57="","",ABS(P57-Components!$D$2)/Components!$E$2)</f>
        <v/>
      </c>
      <c r="R57" s="67">
        <f>IF(G57="","",ABS(P57-Components!$D$3)/Components!$E$3)</f>
        <v/>
      </c>
      <c r="S57" s="67">
        <f>IF(G57="","",ABS(P57-Components!$D$4)/Components!$E$4)</f>
        <v/>
      </c>
      <c r="T57" s="67">
        <f>IF(G57="","",ABS(P57-Components!$D$5)/Components!$E$5)</f>
        <v/>
      </c>
      <c r="U57" s="67">
        <f>IF(G57="","",ABS(P57-Components!$D$6)/Components!$E$6)</f>
        <v/>
      </c>
      <c r="V57" s="67">
        <f>IF(G57="","",ABS(P57-Components!$D$7)/Components!$E$7)</f>
        <v/>
      </c>
      <c r="W57" s="61">
        <f>IF(G57="","",IF(N57="OK","NONE",INDEX({"S1","S2","W1","W2","N1","N2"},MATCH(MIN(Q57:V57),Q57:V57,0))))</f>
        <v/>
      </c>
      <c r="X57" s="69">
        <f>IF(G57="","",IF(W57=E57,1,0))</f>
        <v/>
      </c>
      <c r="Y57" s="70" t="n"/>
    </row>
    <row r="58">
      <c r="A58" s="61" t="n">
        <v>9</v>
      </c>
      <c r="B58" s="62" t="n">
        <v>36</v>
      </c>
      <c r="C58" s="61" t="inlineStr">
        <is>
          <t>R3</t>
        </is>
      </c>
      <c r="D58" s="74" t="inlineStr">
        <is>
          <t>NG</t>
        </is>
      </c>
      <c r="E58" s="61" t="inlineStr">
        <is>
          <t>S2</t>
        </is>
      </c>
      <c r="F58" s="61" t="inlineStr">
        <is>
          <t>K009</t>
        </is>
      </c>
      <c r="G58" s="64" t="n">
        <v>5.94</v>
      </c>
      <c r="H58" s="65" t="n"/>
      <c r="I58" s="66" t="n"/>
      <c r="J58" s="67">
        <f>VLOOKUP(C58,Recipes!$A$2:$N$4,10,FALSE())</f>
        <v/>
      </c>
      <c r="K58" s="68">
        <f>VLOOKUP(C58,Recipes!$A$2:$N$4,12,FALSE())</f>
        <v/>
      </c>
      <c r="L58" s="67">
        <f>J58-6*K58</f>
        <v/>
      </c>
      <c r="M58" s="67">
        <f>J58+6*K58</f>
        <v/>
      </c>
      <c r="N58" s="61">
        <f>IF(G58="","",IF(AND(G58&gt;=L58,G58&lt;=M58),"OK","NG"))</f>
        <v/>
      </c>
      <c r="O58" s="69">
        <f>IF(N58="","",IF(N58=D58,1,0))</f>
        <v/>
      </c>
      <c r="P58" s="67">
        <f>IF(G58="","",J58-G58)</f>
        <v/>
      </c>
      <c r="Q58" s="67">
        <f>IF(G58="","",ABS(P58-Components!$D$2)/Components!$E$2)</f>
        <v/>
      </c>
      <c r="R58" s="67">
        <f>IF(G58="","",ABS(P58-Components!$D$3)/Components!$E$3)</f>
        <v/>
      </c>
      <c r="S58" s="67">
        <f>IF(G58="","",ABS(P58-Components!$D$4)/Components!$E$4)</f>
        <v/>
      </c>
      <c r="T58" s="67">
        <f>IF(G58="","",ABS(P58-Components!$D$5)/Components!$E$5)</f>
        <v/>
      </c>
      <c r="U58" s="67">
        <f>IF(G58="","",ABS(P58-Components!$D$6)/Components!$E$6)</f>
        <v/>
      </c>
      <c r="V58" s="67">
        <f>IF(G58="","",ABS(P58-Components!$D$7)/Components!$E$7)</f>
        <v/>
      </c>
      <c r="W58" s="61">
        <f>IF(G58="","",IF(N58="OK","NONE",INDEX({"S1","S2","W1","W2","N1","N2"},MATCH(MIN(Q58:V58),Q58:V58,0))))</f>
        <v/>
      </c>
      <c r="X58" s="69">
        <f>IF(G58="","",IF(W58=E58,1,0))</f>
        <v/>
      </c>
      <c r="Y58" s="70" t="n"/>
    </row>
    <row r="59">
      <c r="A59" s="61" t="n">
        <v>9</v>
      </c>
      <c r="B59" s="62" t="n">
        <v>36</v>
      </c>
      <c r="C59" s="61" t="inlineStr">
        <is>
          <t>R3</t>
        </is>
      </c>
      <c r="D59" s="74" t="inlineStr">
        <is>
          <t>NG</t>
        </is>
      </c>
      <c r="E59" s="61" t="inlineStr">
        <is>
          <t>S2</t>
        </is>
      </c>
      <c r="F59" s="61" t="inlineStr">
        <is>
          <t>K009</t>
        </is>
      </c>
      <c r="G59" s="64" t="n">
        <v>5.9</v>
      </c>
      <c r="H59" s="65" t="n"/>
      <c r="I59" s="66" t="n"/>
      <c r="J59" s="67">
        <f>VLOOKUP(C59,Recipes!$A$2:$N$4,10,FALSE())</f>
        <v/>
      </c>
      <c r="K59" s="68">
        <f>VLOOKUP(C59,Recipes!$A$2:$N$4,12,FALSE())</f>
        <v/>
      </c>
      <c r="L59" s="67">
        <f>J59-6*K59</f>
        <v/>
      </c>
      <c r="M59" s="67">
        <f>J59+6*K59</f>
        <v/>
      </c>
      <c r="N59" s="61">
        <f>IF(G59="","",IF(AND(G59&gt;=L59,G59&lt;=M59),"OK","NG"))</f>
        <v/>
      </c>
      <c r="O59" s="69">
        <f>IF(N59="","",IF(N59=D59,1,0))</f>
        <v/>
      </c>
      <c r="P59" s="67">
        <f>IF(G59="","",J59-G59)</f>
        <v/>
      </c>
      <c r="Q59" s="67">
        <f>IF(G59="","",ABS(P59-Components!$D$2)/Components!$E$2)</f>
        <v/>
      </c>
      <c r="R59" s="67">
        <f>IF(G59="","",ABS(P59-Components!$D$3)/Components!$E$3)</f>
        <v/>
      </c>
      <c r="S59" s="67">
        <f>IF(G59="","",ABS(P59-Components!$D$4)/Components!$E$4)</f>
        <v/>
      </c>
      <c r="T59" s="67">
        <f>IF(G59="","",ABS(P59-Components!$D$5)/Components!$E$5)</f>
        <v/>
      </c>
      <c r="U59" s="67">
        <f>IF(G59="","",ABS(P59-Components!$D$6)/Components!$E$6)</f>
        <v/>
      </c>
      <c r="V59" s="67">
        <f>IF(G59="","",ABS(P59-Components!$D$7)/Components!$E$7)</f>
        <v/>
      </c>
      <c r="W59" s="61">
        <f>IF(G59="","",IF(N59="OK","NONE",INDEX({"S1","S2","W1","W2","N1","N2"},MATCH(MIN(Q59:V59),Q59:V59,0))))</f>
        <v/>
      </c>
      <c r="X59" s="69">
        <f>IF(G59="","",IF(W59=E59,1,0))</f>
        <v/>
      </c>
      <c r="Y59" s="70" t="n"/>
    </row>
    <row r="60">
      <c r="A60" s="61" t="n">
        <v>9</v>
      </c>
      <c r="B60" s="62" t="n">
        <v>36</v>
      </c>
      <c r="C60" s="61" t="inlineStr">
        <is>
          <t>R3</t>
        </is>
      </c>
      <c r="D60" s="74" t="inlineStr">
        <is>
          <t>NG</t>
        </is>
      </c>
      <c r="E60" s="61" t="inlineStr">
        <is>
          <t>S2</t>
        </is>
      </c>
      <c r="F60" s="61" t="inlineStr">
        <is>
          <t>K009</t>
        </is>
      </c>
      <c r="G60" s="64" t="n">
        <v>5.92</v>
      </c>
      <c r="H60" s="65" t="n"/>
      <c r="I60" s="66" t="n"/>
      <c r="J60" s="67">
        <f>VLOOKUP(C60,Recipes!$A$2:$N$4,10,FALSE())</f>
        <v/>
      </c>
      <c r="K60" s="68">
        <f>VLOOKUP(C60,Recipes!$A$2:$N$4,12,FALSE())</f>
        <v/>
      </c>
      <c r="L60" s="67">
        <f>J60-6*K60</f>
        <v/>
      </c>
      <c r="M60" s="67">
        <f>J60+6*K60</f>
        <v/>
      </c>
      <c r="N60" s="61">
        <f>IF(G60="","",IF(AND(G60&gt;=L60,G60&lt;=M60),"OK","NG"))</f>
        <v/>
      </c>
      <c r="O60" s="69">
        <f>IF(N60="","",IF(N60=D60,1,0))</f>
        <v/>
      </c>
      <c r="P60" s="67">
        <f>IF(G60="","",J60-G60)</f>
        <v/>
      </c>
      <c r="Q60" s="67">
        <f>IF(G60="","",ABS(P60-Components!$D$2)/Components!$E$2)</f>
        <v/>
      </c>
      <c r="R60" s="67">
        <f>IF(G60="","",ABS(P60-Components!$D$3)/Components!$E$3)</f>
        <v/>
      </c>
      <c r="S60" s="67">
        <f>IF(G60="","",ABS(P60-Components!$D$4)/Components!$E$4)</f>
        <v/>
      </c>
      <c r="T60" s="67">
        <f>IF(G60="","",ABS(P60-Components!$D$5)/Components!$E$5)</f>
        <v/>
      </c>
      <c r="U60" s="67">
        <f>IF(G60="","",ABS(P60-Components!$D$6)/Components!$E$6)</f>
        <v/>
      </c>
      <c r="V60" s="67">
        <f>IF(G60="","",ABS(P60-Components!$D$7)/Components!$E$7)</f>
        <v/>
      </c>
      <c r="W60" s="61">
        <f>IF(G60="","",IF(N60="OK","NONE",INDEX({"S1","S2","W1","W2","N1","N2"},MATCH(MIN(Q60:V60),Q60:V60,0))))</f>
        <v/>
      </c>
      <c r="X60" s="69">
        <f>IF(G60="","",IF(W60=E60,1,0))</f>
        <v/>
      </c>
      <c r="Y60" s="70" t="n"/>
    </row>
    <row r="61">
      <c r="A61" s="61" t="n">
        <v>9</v>
      </c>
      <c r="B61" s="62" t="n">
        <v>36</v>
      </c>
      <c r="C61" s="61" t="inlineStr">
        <is>
          <t>R3</t>
        </is>
      </c>
      <c r="D61" s="74" t="inlineStr">
        <is>
          <t>NG</t>
        </is>
      </c>
      <c r="E61" s="61" t="inlineStr">
        <is>
          <t>S2</t>
        </is>
      </c>
      <c r="F61" s="61" t="inlineStr">
        <is>
          <t>K009</t>
        </is>
      </c>
      <c r="G61" s="64" t="n">
        <v>5.4</v>
      </c>
      <c r="H61" s="65" t="n"/>
      <c r="I61" s="66" t="n"/>
      <c r="J61" s="67">
        <f>VLOOKUP(C61,Recipes!$A$2:$N$4,10,FALSE())</f>
        <v/>
      </c>
      <c r="K61" s="68">
        <f>VLOOKUP(C61,Recipes!$A$2:$N$4,12,FALSE())</f>
        <v/>
      </c>
      <c r="L61" s="67">
        <f>J61-6*K61</f>
        <v/>
      </c>
      <c r="M61" s="67">
        <f>J61+6*K61</f>
        <v/>
      </c>
      <c r="N61" s="61">
        <f>IF(G61="","",IF(AND(G61&gt;=L61,G61&lt;=M61),"OK","NG"))</f>
        <v/>
      </c>
      <c r="O61" s="69">
        <f>IF(N61="","",IF(N61=D61,1,0))</f>
        <v/>
      </c>
      <c r="P61" s="67">
        <f>IF(G61="","",J61-G61)</f>
        <v/>
      </c>
      <c r="Q61" s="67">
        <f>IF(G61="","",ABS(P61-Components!$D$2)/Components!$E$2)</f>
        <v/>
      </c>
      <c r="R61" s="67">
        <f>IF(G61="","",ABS(P61-Components!$D$3)/Components!$E$3)</f>
        <v/>
      </c>
      <c r="S61" s="67">
        <f>IF(G61="","",ABS(P61-Components!$D$4)/Components!$E$4)</f>
        <v/>
      </c>
      <c r="T61" s="67">
        <f>IF(G61="","",ABS(P61-Components!$D$5)/Components!$E$5)</f>
        <v/>
      </c>
      <c r="U61" s="67">
        <f>IF(G61="","",ABS(P61-Components!$D$6)/Components!$E$6)</f>
        <v/>
      </c>
      <c r="V61" s="67">
        <f>IF(G61="","",ABS(P61-Components!$D$7)/Components!$E$7)</f>
        <v/>
      </c>
      <c r="W61" s="61">
        <f>IF(G61="","",IF(N61="OK","NONE",INDEX({"S1","S2","W1","W2","N1","N2"},MATCH(MIN(Q61:V61),Q61:V61,0))))</f>
        <v/>
      </c>
      <c r="X61" s="71">
        <f>IF(G61="","",IF(W61=E61,1,0))</f>
        <v/>
      </c>
      <c r="Y61" s="70" t="n"/>
    </row>
    <row r="62">
      <c r="A62" s="61" t="n">
        <v>9</v>
      </c>
      <c r="B62" s="62" t="n">
        <v>36</v>
      </c>
      <c r="C62" s="61" t="inlineStr">
        <is>
          <t>R3</t>
        </is>
      </c>
      <c r="D62" s="74" t="inlineStr">
        <is>
          <t>NG</t>
        </is>
      </c>
      <c r="E62" s="61" t="inlineStr">
        <is>
          <t>S2</t>
        </is>
      </c>
      <c r="F62" s="61" t="inlineStr">
        <is>
          <t>K009</t>
        </is>
      </c>
      <c r="G62" s="64" t="n">
        <v>5.8</v>
      </c>
      <c r="H62" s="65" t="n"/>
      <c r="I62" s="66" t="n"/>
      <c r="J62" s="67">
        <f>VLOOKUP(C62,Recipes!$A$2:$N$4,10,FALSE())</f>
        <v/>
      </c>
      <c r="K62" s="68">
        <f>VLOOKUP(C62,Recipes!$A$2:$N$4,12,FALSE())</f>
        <v/>
      </c>
      <c r="L62" s="67">
        <f>J62-6*K62</f>
        <v/>
      </c>
      <c r="M62" s="67">
        <f>J62+6*K62</f>
        <v/>
      </c>
      <c r="N62" s="61">
        <f>IF(G62="","",IF(AND(G62&gt;=L62,G62&lt;=M62),"OK","NG"))</f>
        <v/>
      </c>
      <c r="O62" s="69">
        <f>IF(N62="","",IF(N62=D62,1,0))</f>
        <v/>
      </c>
      <c r="P62" s="67">
        <f>IF(G62="","",J62-G62)</f>
        <v/>
      </c>
      <c r="Q62" s="67">
        <f>IF(G62="","",ABS(P62-Components!$D$2)/Components!$E$2)</f>
        <v/>
      </c>
      <c r="R62" s="67">
        <f>IF(G62="","",ABS(P62-Components!$D$3)/Components!$E$3)</f>
        <v/>
      </c>
      <c r="S62" s="67">
        <f>IF(G62="","",ABS(P62-Components!$D$4)/Components!$E$4)</f>
        <v/>
      </c>
      <c r="T62" s="67">
        <f>IF(G62="","",ABS(P62-Components!$D$5)/Components!$E$5)</f>
        <v/>
      </c>
      <c r="U62" s="67">
        <f>IF(G62="","",ABS(P62-Components!$D$6)/Components!$E$6)</f>
        <v/>
      </c>
      <c r="V62" s="67">
        <f>IF(G62="","",ABS(P62-Components!$D$7)/Components!$E$7)</f>
        <v/>
      </c>
      <c r="W62" s="61">
        <f>IF(G62="","",IF(N62="OK","NONE",INDEX({"S1","S2","W1","W2","N1","N2"},MATCH(MIN(Q62:V62),Q62:V62,0))))</f>
        <v/>
      </c>
      <c r="X62" s="69">
        <f>IF(G62="","",IF(W62=E62,1,0))</f>
        <v/>
      </c>
      <c r="Y62" s="70" t="n"/>
    </row>
    <row r="63">
      <c r="A63" s="61" t="n">
        <v>11</v>
      </c>
      <c r="B63" s="62" t="n">
        <v>10</v>
      </c>
      <c r="C63" s="61" t="inlineStr">
        <is>
          <t>R3</t>
        </is>
      </c>
      <c r="D63" s="74" t="inlineStr">
        <is>
          <t>NG</t>
        </is>
      </c>
      <c r="E63" s="61" t="inlineStr">
        <is>
          <t>W2</t>
        </is>
      </c>
      <c r="F63" s="61" t="inlineStr">
        <is>
          <t>K011</t>
        </is>
      </c>
      <c r="G63" s="64" t="n">
        <v>5.4</v>
      </c>
      <c r="H63" s="65" t="n"/>
      <c r="I63" s="66" t="n"/>
      <c r="J63" s="67">
        <f>VLOOKUP(C63,Recipes!$A$2:$N$4,10,FALSE())</f>
        <v/>
      </c>
      <c r="K63" s="68">
        <f>VLOOKUP(C63,Recipes!$A$2:$N$4,12,FALSE())</f>
        <v/>
      </c>
      <c r="L63" s="67">
        <f>J63-6*K63</f>
        <v/>
      </c>
      <c r="M63" s="67">
        <f>J63+6*K63</f>
        <v/>
      </c>
      <c r="N63" s="61">
        <f>IF(G63="","",IF(AND(G63&gt;=L63,G63&lt;=M63),"OK","NG"))</f>
        <v/>
      </c>
      <c r="O63" s="69">
        <f>IF(N63="","",IF(N63=D63,1,0))</f>
        <v/>
      </c>
      <c r="P63" s="67">
        <f>IF(G63="","",J63-G63)</f>
        <v/>
      </c>
      <c r="Q63" s="67">
        <f>IF(G63="","",ABS(P63-Components!$D$2)/Components!$E$2)</f>
        <v/>
      </c>
      <c r="R63" s="67">
        <f>IF(G63="","",ABS(P63-Components!$D$3)/Components!$E$3)</f>
        <v/>
      </c>
      <c r="S63" s="67">
        <f>IF(G63="","",ABS(P63-Components!$D$4)/Components!$E$4)</f>
        <v/>
      </c>
      <c r="T63" s="67">
        <f>IF(G63="","",ABS(P63-Components!$D$5)/Components!$E$5)</f>
        <v/>
      </c>
      <c r="U63" s="67">
        <f>IF(G63="","",ABS(P63-Components!$D$6)/Components!$E$6)</f>
        <v/>
      </c>
      <c r="V63" s="67">
        <f>IF(G63="","",ABS(P63-Components!$D$7)/Components!$E$7)</f>
        <v/>
      </c>
      <c r="W63" s="61">
        <f>IF(G63="","",IF(N63="OK","NONE",INDEX({"S1","S2","W1","W2","N1","N2"},MATCH(MIN(Q63:V63),Q63:V63,0))))</f>
        <v/>
      </c>
      <c r="X63" s="69">
        <f>IF(G63="","",IF(W63=E63,1,0))</f>
        <v/>
      </c>
      <c r="Y63" s="70" t="n"/>
    </row>
    <row r="64">
      <c r="A64" s="61" t="n">
        <v>12</v>
      </c>
      <c r="B64" s="62" t="n">
        <v>34</v>
      </c>
      <c r="C64" s="61" t="inlineStr">
        <is>
          <t>R3</t>
        </is>
      </c>
      <c r="D64" s="74" t="inlineStr">
        <is>
          <t>NG</t>
        </is>
      </c>
      <c r="E64" s="61" t="inlineStr">
        <is>
          <t>W2</t>
        </is>
      </c>
      <c r="F64" s="61" t="inlineStr">
        <is>
          <t>K012</t>
        </is>
      </c>
      <c r="G64" s="64" t="n">
        <v>5.45</v>
      </c>
      <c r="H64" s="65" t="n"/>
      <c r="I64" s="66" t="n"/>
      <c r="J64" s="67">
        <f>VLOOKUP(C64,Recipes!$A$2:$N$4,10,FALSE())</f>
        <v/>
      </c>
      <c r="K64" s="68">
        <f>VLOOKUP(C64,Recipes!$A$2:$N$4,12,FALSE())</f>
        <v/>
      </c>
      <c r="L64" s="67">
        <f>J64-6*K64</f>
        <v/>
      </c>
      <c r="M64" s="67">
        <f>J64+6*K64</f>
        <v/>
      </c>
      <c r="N64" s="61">
        <f>IF(G64="","",IF(AND(G64&gt;=L64,G64&lt;=M64),"OK","NG"))</f>
        <v/>
      </c>
      <c r="O64" s="69">
        <f>IF(N64="","",IF(N64=D64,1,0))</f>
        <v/>
      </c>
      <c r="P64" s="67">
        <f>IF(G64="","",J64-G64)</f>
        <v/>
      </c>
      <c r="Q64" s="67">
        <f>IF(G64="","",ABS(P64-Components!$D$2)/Components!$E$2)</f>
        <v/>
      </c>
      <c r="R64" s="67">
        <f>IF(G64="","",ABS(P64-Components!$D$3)/Components!$E$3)</f>
        <v/>
      </c>
      <c r="S64" s="67">
        <f>IF(G64="","",ABS(P64-Components!$D$4)/Components!$E$4)</f>
        <v/>
      </c>
      <c r="T64" s="67">
        <f>IF(G64="","",ABS(P64-Components!$D$5)/Components!$E$5)</f>
        <v/>
      </c>
      <c r="U64" s="67">
        <f>IF(G64="","",ABS(P64-Components!$D$6)/Components!$E$6)</f>
        <v/>
      </c>
      <c r="V64" s="67">
        <f>IF(G64="","",ABS(P64-Components!$D$7)/Components!$E$7)</f>
        <v/>
      </c>
      <c r="W64" s="61">
        <f>IF(G64="","",IF(N64="OK","NONE",INDEX({"S1","S2","W1","W2","N1","N2"},MATCH(MIN(Q64:V64),Q64:V64,0))))</f>
        <v/>
      </c>
      <c r="X64" s="69">
        <f>IF(G64="","",IF(W64=E64,1,0))</f>
        <v/>
      </c>
      <c r="Y64" s="70" t="n"/>
    </row>
    <row r="65">
      <c r="A65" s="61" t="n">
        <v>13</v>
      </c>
      <c r="B65" s="62" t="n">
        <v>42</v>
      </c>
      <c r="C65" s="61" t="inlineStr">
        <is>
          <t>R3</t>
        </is>
      </c>
      <c r="D65" s="74" t="inlineStr">
        <is>
          <t>NG</t>
        </is>
      </c>
      <c r="E65" s="61" t="inlineStr">
        <is>
          <t>W2</t>
        </is>
      </c>
      <c r="F65" s="61" t="inlineStr">
        <is>
          <t>K013</t>
        </is>
      </c>
      <c r="G65" s="64" t="n">
        <v>5.42</v>
      </c>
      <c r="H65" s="65" t="n"/>
      <c r="I65" s="66" t="n"/>
      <c r="J65" s="67">
        <f>VLOOKUP(C65,Recipes!$A$2:$N$4,10,FALSE())</f>
        <v/>
      </c>
      <c r="K65" s="68">
        <f>VLOOKUP(C65,Recipes!$A$2:$N$4,12,FALSE())</f>
        <v/>
      </c>
      <c r="L65" s="67">
        <f>J65-6*K65</f>
        <v/>
      </c>
      <c r="M65" s="67">
        <f>J65+6*K65</f>
        <v/>
      </c>
      <c r="N65" s="61">
        <f>IF(G65="","",IF(AND(G65&gt;=L65,G65&lt;=M65),"OK","NG"))</f>
        <v/>
      </c>
      <c r="O65" s="69">
        <f>IF(N65="","",IF(N65=D65,1,0))</f>
        <v/>
      </c>
      <c r="P65" s="67">
        <f>IF(G65="","",J65-G65)</f>
        <v/>
      </c>
      <c r="Q65" s="67">
        <f>IF(G65="","",ABS(P65-Components!$D$2)/Components!$E$2)</f>
        <v/>
      </c>
      <c r="R65" s="67">
        <f>IF(G65="","",ABS(P65-Components!$D$3)/Components!$E$3)</f>
        <v/>
      </c>
      <c r="S65" s="67">
        <f>IF(G65="","",ABS(P65-Components!$D$4)/Components!$E$4)</f>
        <v/>
      </c>
      <c r="T65" s="67">
        <f>IF(G65="","",ABS(P65-Components!$D$5)/Components!$E$5)</f>
        <v/>
      </c>
      <c r="U65" s="67">
        <f>IF(G65="","",ABS(P65-Components!$D$6)/Components!$E$6)</f>
        <v/>
      </c>
      <c r="V65" s="67">
        <f>IF(G65="","",ABS(P65-Components!$D$7)/Components!$E$7)</f>
        <v/>
      </c>
      <c r="W65" s="61">
        <f>IF(G65="","",IF(N65="OK","NONE",INDEX({"S1","S2","W1","W2","N1","N2"},MATCH(MIN(Q65:V65),Q65:V65,0))))</f>
        <v/>
      </c>
      <c r="X65" s="69">
        <f>IF(G65="","",IF(W65=E65,1,0))</f>
        <v/>
      </c>
      <c r="Y65" s="70" t="n"/>
    </row>
    <row r="66">
      <c r="A66" s="61" t="n">
        <v>14</v>
      </c>
      <c r="B66" s="62" t="n">
        <v>45</v>
      </c>
      <c r="C66" s="61" t="inlineStr">
        <is>
          <t>R3</t>
        </is>
      </c>
      <c r="D66" s="74" t="inlineStr">
        <is>
          <t>NG</t>
        </is>
      </c>
      <c r="E66" s="61" t="inlineStr">
        <is>
          <t>W2</t>
        </is>
      </c>
      <c r="F66" s="61" t="inlineStr">
        <is>
          <t>K014</t>
        </is>
      </c>
      <c r="G66" s="64" t="n">
        <v>5.42</v>
      </c>
      <c r="H66" s="65" t="n"/>
      <c r="I66" s="66" t="n"/>
      <c r="J66" s="67">
        <f>VLOOKUP(C66,Recipes!$A$2:$N$4,10,FALSE())</f>
        <v/>
      </c>
      <c r="K66" s="68">
        <f>VLOOKUP(C66,Recipes!$A$2:$N$4,12,FALSE())</f>
        <v/>
      </c>
      <c r="L66" s="67">
        <f>J66-6*K66</f>
        <v/>
      </c>
      <c r="M66" s="67">
        <f>J66+6*K66</f>
        <v/>
      </c>
      <c r="N66" s="61">
        <f>IF(G66="","",IF(AND(G66&gt;=L66,G66&lt;=M66),"OK","NG"))</f>
        <v/>
      </c>
      <c r="O66" s="69">
        <f>IF(N66="","",IF(N66=D66,1,0))</f>
        <v/>
      </c>
      <c r="P66" s="67">
        <f>IF(G66="","",J66-G66)</f>
        <v/>
      </c>
      <c r="Q66" s="67">
        <f>IF(G66="","",ABS(P66-Components!$D$2)/Components!$E$2)</f>
        <v/>
      </c>
      <c r="R66" s="67">
        <f>IF(G66="","",ABS(P66-Components!$D$3)/Components!$E$3)</f>
        <v/>
      </c>
      <c r="S66" s="67">
        <f>IF(G66="","",ABS(P66-Components!$D$4)/Components!$E$4)</f>
        <v/>
      </c>
      <c r="T66" s="67">
        <f>IF(G66="","",ABS(P66-Components!$D$5)/Components!$E$5)</f>
        <v/>
      </c>
      <c r="U66" s="67">
        <f>IF(G66="","",ABS(P66-Components!$D$6)/Components!$E$6)</f>
        <v/>
      </c>
      <c r="V66" s="67">
        <f>IF(G66="","",ABS(P66-Components!$D$7)/Components!$E$7)</f>
        <v/>
      </c>
      <c r="W66" s="61">
        <f>IF(G66="","",IF(N66="OK","NONE",INDEX({"S1","S2","W1","W2","N1","N2"},MATCH(MIN(Q66:V66),Q66:V66,0))))</f>
        <v/>
      </c>
      <c r="X66" s="69">
        <f>IF(G66="","",IF(W66=E66,1,0))</f>
        <v/>
      </c>
      <c r="Y66" s="70" t="n"/>
    </row>
    <row r="67">
      <c r="A67" s="61" t="n">
        <v>14</v>
      </c>
      <c r="B67" s="62" t="n">
        <v>45</v>
      </c>
      <c r="C67" s="61" t="inlineStr">
        <is>
          <t>R3</t>
        </is>
      </c>
      <c r="D67" s="74" t="inlineStr">
        <is>
          <t>NG</t>
        </is>
      </c>
      <c r="E67" s="61" t="inlineStr">
        <is>
          <t>W2</t>
        </is>
      </c>
      <c r="F67" s="61" t="inlineStr">
        <is>
          <t>K014</t>
        </is>
      </c>
      <c r="G67" s="64" t="n">
        <v>5.42</v>
      </c>
      <c r="H67" s="65" t="n"/>
      <c r="I67" s="66" t="n"/>
      <c r="J67" s="67">
        <f>VLOOKUP(C67,Recipes!$A$2:$N$4,10,FALSE())</f>
        <v/>
      </c>
      <c r="K67" s="68">
        <f>VLOOKUP(C67,Recipes!$A$2:$N$4,12,FALSE())</f>
        <v/>
      </c>
      <c r="L67" s="67">
        <f>J67-6*K67</f>
        <v/>
      </c>
      <c r="M67" s="67">
        <f>J67+6*K67</f>
        <v/>
      </c>
      <c r="N67" s="61">
        <f>IF(G67="","",IF(AND(G67&gt;=L67,G67&lt;=M67),"OK","NG"))</f>
        <v/>
      </c>
      <c r="O67" s="69">
        <f>IF(N67="","",IF(N67=D67,1,0))</f>
        <v/>
      </c>
      <c r="P67" s="67">
        <f>IF(G67="","",J67-G67)</f>
        <v/>
      </c>
      <c r="Q67" s="67">
        <f>IF(G67="","",ABS(P67-Components!$D$2)/Components!$E$2)</f>
        <v/>
      </c>
      <c r="R67" s="67">
        <f>IF(G67="","",ABS(P67-Components!$D$3)/Components!$E$3)</f>
        <v/>
      </c>
      <c r="S67" s="67">
        <f>IF(G67="","",ABS(P67-Components!$D$4)/Components!$E$4)</f>
        <v/>
      </c>
      <c r="T67" s="67">
        <f>IF(G67="","",ABS(P67-Components!$D$5)/Components!$E$5)</f>
        <v/>
      </c>
      <c r="U67" s="67">
        <f>IF(G67="","",ABS(P67-Components!$D$6)/Components!$E$6)</f>
        <v/>
      </c>
      <c r="V67" s="67">
        <f>IF(G67="","",ABS(P67-Components!$D$7)/Components!$E$7)</f>
        <v/>
      </c>
      <c r="W67" s="61">
        <f>IF(G67="","",IF(N67="OK","NONE",INDEX({"S1","S2","W1","W2","N1","N2"},MATCH(MIN(Q67:V67),Q67:V67,0))))</f>
        <v/>
      </c>
      <c r="X67" s="69">
        <f>IF(G67="","",IF(W67=E67,1,0))</f>
        <v/>
      </c>
      <c r="Y67" s="70" t="n"/>
    </row>
    <row r="68">
      <c r="A68" s="61" t="n">
        <v>14</v>
      </c>
      <c r="B68" s="62" t="n">
        <v>45</v>
      </c>
      <c r="C68" s="61" t="inlineStr">
        <is>
          <t>R3</t>
        </is>
      </c>
      <c r="D68" s="74" t="inlineStr">
        <is>
          <t>NG</t>
        </is>
      </c>
      <c r="E68" s="61" t="inlineStr">
        <is>
          <t>W2</t>
        </is>
      </c>
      <c r="F68" s="61" t="inlineStr">
        <is>
          <t>K014</t>
        </is>
      </c>
      <c r="G68" s="64" t="n">
        <v>5.42</v>
      </c>
      <c r="H68" s="65" t="n"/>
      <c r="I68" s="66" t="n"/>
      <c r="J68" s="67">
        <f>VLOOKUP(C68,Recipes!$A$2:$N$4,10,FALSE())</f>
        <v/>
      </c>
      <c r="K68" s="68">
        <f>VLOOKUP(C68,Recipes!$A$2:$N$4,12,FALSE())</f>
        <v/>
      </c>
      <c r="L68" s="67">
        <f>J68-6*K68</f>
        <v/>
      </c>
      <c r="M68" s="67">
        <f>J68+6*K68</f>
        <v/>
      </c>
      <c r="N68" s="61">
        <f>IF(G68="","",IF(AND(G68&gt;=L68,G68&lt;=M68),"OK","NG"))</f>
        <v/>
      </c>
      <c r="O68" s="69">
        <f>IF(N68="","",IF(N68=D68,1,0))</f>
        <v/>
      </c>
      <c r="P68" s="67">
        <f>IF(G68="","",J68-G68)</f>
        <v/>
      </c>
      <c r="Q68" s="67">
        <f>IF(G68="","",ABS(P68-Components!$D$2)/Components!$E$2)</f>
        <v/>
      </c>
      <c r="R68" s="67">
        <f>IF(G68="","",ABS(P68-Components!$D$3)/Components!$E$3)</f>
        <v/>
      </c>
      <c r="S68" s="67">
        <f>IF(G68="","",ABS(P68-Components!$D$4)/Components!$E$4)</f>
        <v/>
      </c>
      <c r="T68" s="67">
        <f>IF(G68="","",ABS(P68-Components!$D$5)/Components!$E$5)</f>
        <v/>
      </c>
      <c r="U68" s="67">
        <f>IF(G68="","",ABS(P68-Components!$D$6)/Components!$E$6)</f>
        <v/>
      </c>
      <c r="V68" s="67">
        <f>IF(G68="","",ABS(P68-Components!$D$7)/Components!$E$7)</f>
        <v/>
      </c>
      <c r="W68" s="61">
        <f>IF(G68="","",IF(N68="OK","NONE",INDEX({"S1","S2","W1","W2","N1","N2"},MATCH(MIN(Q68:V68),Q68:V68,0))))</f>
        <v/>
      </c>
      <c r="X68" s="69">
        <f>IF(G68="","",IF(W68=E68,1,0))</f>
        <v/>
      </c>
      <c r="Y68" s="70" t="n"/>
    </row>
    <row r="69">
      <c r="A69" s="61" t="n">
        <v>14</v>
      </c>
      <c r="B69" s="62" t="n">
        <v>45</v>
      </c>
      <c r="C69" s="61" t="inlineStr">
        <is>
          <t>R3</t>
        </is>
      </c>
      <c r="D69" s="74" t="inlineStr">
        <is>
          <t>NG</t>
        </is>
      </c>
      <c r="E69" s="61" t="inlineStr">
        <is>
          <t>W2</t>
        </is>
      </c>
      <c r="F69" s="61" t="inlineStr">
        <is>
          <t>K014</t>
        </is>
      </c>
      <c r="G69" s="64" t="n">
        <v>5.45</v>
      </c>
      <c r="H69" s="65" t="n"/>
      <c r="I69" s="66" t="n"/>
      <c r="J69" s="67">
        <f>VLOOKUP(C69,Recipes!$A$2:$N$4,10,FALSE())</f>
        <v/>
      </c>
      <c r="K69" s="68">
        <f>VLOOKUP(C69,Recipes!$A$2:$N$4,12,FALSE())</f>
        <v/>
      </c>
      <c r="L69" s="67">
        <f>J69-6*K69</f>
        <v/>
      </c>
      <c r="M69" s="67">
        <f>J69+6*K69</f>
        <v/>
      </c>
      <c r="N69" s="61">
        <f>IF(G69="","",IF(AND(G69&gt;=L69,G69&lt;=M69),"OK","NG"))</f>
        <v/>
      </c>
      <c r="O69" s="69">
        <f>IF(N69="","",IF(N69=D69,1,0))</f>
        <v/>
      </c>
      <c r="P69" s="67">
        <f>IF(G69="","",J69-G69)</f>
        <v/>
      </c>
      <c r="Q69" s="67">
        <f>IF(G69="","",ABS(P69-Components!$D$2)/Components!$E$2)</f>
        <v/>
      </c>
      <c r="R69" s="67">
        <f>IF(G69="","",ABS(P69-Components!$D$3)/Components!$E$3)</f>
        <v/>
      </c>
      <c r="S69" s="67">
        <f>IF(G69="","",ABS(P69-Components!$D$4)/Components!$E$4)</f>
        <v/>
      </c>
      <c r="T69" s="67">
        <f>IF(G69="","",ABS(P69-Components!$D$5)/Components!$E$5)</f>
        <v/>
      </c>
      <c r="U69" s="67">
        <f>IF(G69="","",ABS(P69-Components!$D$6)/Components!$E$6)</f>
        <v/>
      </c>
      <c r="V69" s="67">
        <f>IF(G69="","",ABS(P69-Components!$D$7)/Components!$E$7)</f>
        <v/>
      </c>
      <c r="W69" s="61">
        <f>IF(G69="","",IF(N69="OK","NONE",INDEX({"S1","S2","W1","W2","N1","N2"},MATCH(MIN(Q69:V69),Q69:V69,0))))</f>
        <v/>
      </c>
      <c r="X69" s="69">
        <f>IF(G69="","",IF(W69=E69,1,0))</f>
        <v/>
      </c>
      <c r="Y69" s="70" t="n"/>
    </row>
    <row r="70">
      <c r="A70" s="61" t="n">
        <v>14</v>
      </c>
      <c r="B70" s="62" t="n">
        <v>45</v>
      </c>
      <c r="C70" s="61" t="inlineStr">
        <is>
          <t>R3</t>
        </is>
      </c>
      <c r="D70" s="74" t="inlineStr">
        <is>
          <t>NG</t>
        </is>
      </c>
      <c r="E70" s="61" t="inlineStr">
        <is>
          <t>W2</t>
        </is>
      </c>
      <c r="F70" s="61" t="inlineStr">
        <is>
          <t>K014</t>
        </is>
      </c>
      <c r="G70" s="64" t="n">
        <v>5.41</v>
      </c>
      <c r="H70" s="65" t="n"/>
      <c r="I70" s="66" t="n"/>
      <c r="J70" s="67">
        <f>VLOOKUP(C70,Recipes!$A$2:$N$4,10,FALSE())</f>
        <v/>
      </c>
      <c r="K70" s="68">
        <f>VLOOKUP(C70,Recipes!$A$2:$N$4,12,FALSE())</f>
        <v/>
      </c>
      <c r="L70" s="67">
        <f>J70-6*K70</f>
        <v/>
      </c>
      <c r="M70" s="67">
        <f>J70+6*K70</f>
        <v/>
      </c>
      <c r="N70" s="61">
        <f>IF(G70="","",IF(AND(G70&gt;=L70,G70&lt;=M70),"OK","NG"))</f>
        <v/>
      </c>
      <c r="O70" s="69">
        <f>IF(N70="","",IF(N70=D70,1,0))</f>
        <v/>
      </c>
      <c r="P70" s="67">
        <f>IF(G70="","",J70-G70)</f>
        <v/>
      </c>
      <c r="Q70" s="67">
        <f>IF(G70="","",ABS(P70-Components!$D$2)/Components!$E$2)</f>
        <v/>
      </c>
      <c r="R70" s="67">
        <f>IF(G70="","",ABS(P70-Components!$D$3)/Components!$E$3)</f>
        <v/>
      </c>
      <c r="S70" s="67">
        <f>IF(G70="","",ABS(P70-Components!$D$4)/Components!$E$4)</f>
        <v/>
      </c>
      <c r="T70" s="67">
        <f>IF(G70="","",ABS(P70-Components!$D$5)/Components!$E$5)</f>
        <v/>
      </c>
      <c r="U70" s="67">
        <f>IF(G70="","",ABS(P70-Components!$D$6)/Components!$E$6)</f>
        <v/>
      </c>
      <c r="V70" s="67">
        <f>IF(G70="","",ABS(P70-Components!$D$7)/Components!$E$7)</f>
        <v/>
      </c>
      <c r="W70" s="61">
        <f>IF(G70="","",IF(N70="OK","NONE",INDEX({"S1","S2","W1","W2","N1","N2"},MATCH(MIN(Q70:V70),Q70:V70,0))))</f>
        <v/>
      </c>
      <c r="X70" s="69">
        <f>IF(G70="","",IF(W70=E70,1,0))</f>
        <v/>
      </c>
      <c r="Y70" s="70" t="n"/>
    </row>
    <row r="71">
      <c r="A71" s="61" t="n">
        <v>14</v>
      </c>
      <c r="B71" s="62" t="n">
        <v>45</v>
      </c>
      <c r="C71" s="61" t="inlineStr">
        <is>
          <t>R3</t>
        </is>
      </c>
      <c r="D71" s="74" t="inlineStr">
        <is>
          <t>NG</t>
        </is>
      </c>
      <c r="E71" s="61" t="inlineStr">
        <is>
          <t>W2</t>
        </is>
      </c>
      <c r="F71" s="61" t="inlineStr">
        <is>
          <t>K014</t>
        </is>
      </c>
      <c r="G71" s="64" t="n">
        <v>5.38</v>
      </c>
      <c r="H71" s="65" t="n"/>
      <c r="I71" s="66" t="n"/>
      <c r="J71" s="67">
        <f>VLOOKUP(C71,Recipes!$A$2:$N$4,10,FALSE())</f>
        <v/>
      </c>
      <c r="K71" s="68">
        <f>VLOOKUP(C71,Recipes!$A$2:$N$4,12,FALSE())</f>
        <v/>
      </c>
      <c r="L71" s="67">
        <f>J71-6*K71</f>
        <v/>
      </c>
      <c r="M71" s="67">
        <f>J71+6*K71</f>
        <v/>
      </c>
      <c r="N71" s="61">
        <f>IF(G71="","",IF(AND(G71&gt;=L71,G71&lt;=M71),"OK","NG"))</f>
        <v/>
      </c>
      <c r="O71" s="69">
        <f>IF(N71="","",IF(N71=D71,1,0))</f>
        <v/>
      </c>
      <c r="P71" s="67">
        <f>IF(G71="","",J71-G71)</f>
        <v/>
      </c>
      <c r="Q71" s="67">
        <f>IF(G71="","",ABS(P71-Components!$D$2)/Components!$E$2)</f>
        <v/>
      </c>
      <c r="R71" s="67">
        <f>IF(G71="","",ABS(P71-Components!$D$3)/Components!$E$3)</f>
        <v/>
      </c>
      <c r="S71" s="67">
        <f>IF(G71="","",ABS(P71-Components!$D$4)/Components!$E$4)</f>
        <v/>
      </c>
      <c r="T71" s="67">
        <f>IF(G71="","",ABS(P71-Components!$D$5)/Components!$E$5)</f>
        <v/>
      </c>
      <c r="U71" s="67">
        <f>IF(G71="","",ABS(P71-Components!$D$6)/Components!$E$6)</f>
        <v/>
      </c>
      <c r="V71" s="67">
        <f>IF(G71="","",ABS(P71-Components!$D$7)/Components!$E$7)</f>
        <v/>
      </c>
      <c r="W71" s="61">
        <f>IF(G71="","",IF(N71="OK","NONE",INDEX({"S1","S2","W1","W2","N1","N2"},MATCH(MIN(Q71:V71),Q71:V71,0))))</f>
        <v/>
      </c>
      <c r="X71" s="69">
        <f>IF(G71="","",IF(W71=E71,1,0))</f>
        <v/>
      </c>
      <c r="Y71" s="70" t="n"/>
    </row>
    <row r="72">
      <c r="A72" s="61" t="n">
        <v>14</v>
      </c>
      <c r="B72" s="62" t="n">
        <v>45</v>
      </c>
      <c r="C72" s="61" t="inlineStr">
        <is>
          <t>R3</t>
        </is>
      </c>
      <c r="D72" s="74" t="inlineStr">
        <is>
          <t>NG</t>
        </is>
      </c>
      <c r="E72" s="61" t="inlineStr">
        <is>
          <t>W2</t>
        </is>
      </c>
      <c r="F72" s="61" t="inlineStr">
        <is>
          <t>K014</t>
        </is>
      </c>
      <c r="G72" s="64" t="n">
        <v>5.37</v>
      </c>
      <c r="H72" s="65" t="n"/>
      <c r="I72" s="66" t="n"/>
      <c r="J72" s="67">
        <f>VLOOKUP(C72,Recipes!$A$2:$N$4,10,FALSE())</f>
        <v/>
      </c>
      <c r="K72" s="68">
        <f>VLOOKUP(C72,Recipes!$A$2:$N$4,12,FALSE())</f>
        <v/>
      </c>
      <c r="L72" s="67">
        <f>J72-6*K72</f>
        <v/>
      </c>
      <c r="M72" s="67">
        <f>J72+6*K72</f>
        <v/>
      </c>
      <c r="N72" s="61">
        <f>IF(G72="","",IF(AND(G72&gt;=L72,G72&lt;=M72),"OK","NG"))</f>
        <v/>
      </c>
      <c r="O72" s="69">
        <f>IF(N72="","",IF(N72=D72,1,0))</f>
        <v/>
      </c>
      <c r="P72" s="67">
        <f>IF(G72="","",J72-G72)</f>
        <v/>
      </c>
      <c r="Q72" s="67">
        <f>IF(G72="","",ABS(P72-Components!$D$2)/Components!$E$2)</f>
        <v/>
      </c>
      <c r="R72" s="67">
        <f>IF(G72="","",ABS(P72-Components!$D$3)/Components!$E$3)</f>
        <v/>
      </c>
      <c r="S72" s="67">
        <f>IF(G72="","",ABS(P72-Components!$D$4)/Components!$E$4)</f>
        <v/>
      </c>
      <c r="T72" s="67">
        <f>IF(G72="","",ABS(P72-Components!$D$5)/Components!$E$5)</f>
        <v/>
      </c>
      <c r="U72" s="67">
        <f>IF(G72="","",ABS(P72-Components!$D$6)/Components!$E$6)</f>
        <v/>
      </c>
      <c r="V72" s="67">
        <f>IF(G72="","",ABS(P72-Components!$D$7)/Components!$E$7)</f>
        <v/>
      </c>
      <c r="W72" s="61">
        <f>IF(G72="","",IF(N72="OK","NONE",INDEX({"S1","S2","W1","W2","N1","N2"},MATCH(MIN(Q72:V72),Q72:V72,0))))</f>
        <v/>
      </c>
      <c r="X72" s="69">
        <f>IF(G72="","",IF(W72=E72,1,0))</f>
        <v/>
      </c>
      <c r="Y72" s="70" t="n"/>
    </row>
    <row r="73">
      <c r="A73" s="61" t="n">
        <v>14</v>
      </c>
      <c r="B73" s="62" t="n">
        <v>45</v>
      </c>
      <c r="C73" s="61" t="inlineStr">
        <is>
          <t>R3</t>
        </is>
      </c>
      <c r="D73" s="74" t="inlineStr">
        <is>
          <t>NG</t>
        </is>
      </c>
      <c r="E73" s="61" t="inlineStr">
        <is>
          <t>W2</t>
        </is>
      </c>
      <c r="F73" s="61" t="inlineStr">
        <is>
          <t>K014</t>
        </is>
      </c>
      <c r="G73" s="64" t="n">
        <v>5.36</v>
      </c>
      <c r="H73" s="65" t="n"/>
      <c r="I73" s="66" t="n"/>
      <c r="J73" s="67">
        <f>VLOOKUP(C73,Recipes!$A$2:$N$4,10,FALSE())</f>
        <v/>
      </c>
      <c r="K73" s="68">
        <f>VLOOKUP(C73,Recipes!$A$2:$N$4,12,FALSE())</f>
        <v/>
      </c>
      <c r="L73" s="67">
        <f>J73-6*K73</f>
        <v/>
      </c>
      <c r="M73" s="67">
        <f>J73+6*K73</f>
        <v/>
      </c>
      <c r="N73" s="61">
        <f>IF(G73="","",IF(AND(G73&gt;=L73,G73&lt;=M73),"OK","NG"))</f>
        <v/>
      </c>
      <c r="O73" s="69">
        <f>IF(N73="","",IF(N73=D73,1,0))</f>
        <v/>
      </c>
      <c r="P73" s="67">
        <f>IF(G73="","",J73-G73)</f>
        <v/>
      </c>
      <c r="Q73" s="67">
        <f>IF(G73="","",ABS(P73-Components!$D$2)/Components!$E$2)</f>
        <v/>
      </c>
      <c r="R73" s="67">
        <f>IF(G73="","",ABS(P73-Components!$D$3)/Components!$E$3)</f>
        <v/>
      </c>
      <c r="S73" s="67">
        <f>IF(G73="","",ABS(P73-Components!$D$4)/Components!$E$4)</f>
        <v/>
      </c>
      <c r="T73" s="67">
        <f>IF(G73="","",ABS(P73-Components!$D$5)/Components!$E$5)</f>
        <v/>
      </c>
      <c r="U73" s="67">
        <f>IF(G73="","",ABS(P73-Components!$D$6)/Components!$E$6)</f>
        <v/>
      </c>
      <c r="V73" s="67">
        <f>IF(G73="","",ABS(P73-Components!$D$7)/Components!$E$7)</f>
        <v/>
      </c>
      <c r="W73" s="61">
        <f>IF(G73="","",IF(N73="OK","NONE",INDEX({"S1","S2","W1","W2","N1","N2"},MATCH(MIN(Q73:V73),Q73:V73,0))))</f>
        <v/>
      </c>
      <c r="X73" s="69">
        <f>IF(G73="","",IF(W73=E73,1,0))</f>
        <v/>
      </c>
      <c r="Y73" s="70" t="n"/>
    </row>
    <row r="74">
      <c r="A74" s="61" t="n">
        <v>14</v>
      </c>
      <c r="B74" s="62" t="n">
        <v>45</v>
      </c>
      <c r="C74" s="61" t="inlineStr">
        <is>
          <t>R3</t>
        </is>
      </c>
      <c r="D74" s="74" t="inlineStr">
        <is>
          <t>NG</t>
        </is>
      </c>
      <c r="E74" s="61" t="inlineStr">
        <is>
          <t>W2</t>
        </is>
      </c>
      <c r="F74" s="61" t="inlineStr">
        <is>
          <t>K014</t>
        </is>
      </c>
      <c r="G74" s="64" t="n">
        <v>5.41</v>
      </c>
      <c r="H74" s="65" t="n"/>
      <c r="I74" s="66" t="n"/>
      <c r="J74" s="67">
        <f>VLOOKUP(C74,Recipes!$A$2:$N$4,10,FALSE())</f>
        <v/>
      </c>
      <c r="K74" s="68">
        <f>VLOOKUP(C74,Recipes!$A$2:$N$4,12,FALSE())</f>
        <v/>
      </c>
      <c r="L74" s="67">
        <f>J74-6*K74</f>
        <v/>
      </c>
      <c r="M74" s="67">
        <f>J74+6*K74</f>
        <v/>
      </c>
      <c r="N74" s="61">
        <f>IF(G74="","",IF(AND(G74&gt;=L74,G74&lt;=M74),"OK","NG"))</f>
        <v/>
      </c>
      <c r="O74" s="69">
        <f>IF(N74="","",IF(N74=D74,1,0))</f>
        <v/>
      </c>
      <c r="P74" s="67">
        <f>IF(G74="","",J74-G74)</f>
        <v/>
      </c>
      <c r="Q74" s="67">
        <f>IF(G74="","",ABS(P74-Components!$D$2)/Components!$E$2)</f>
        <v/>
      </c>
      <c r="R74" s="67">
        <f>IF(G74="","",ABS(P74-Components!$D$3)/Components!$E$3)</f>
        <v/>
      </c>
      <c r="S74" s="67">
        <f>IF(G74="","",ABS(P74-Components!$D$4)/Components!$E$4)</f>
        <v/>
      </c>
      <c r="T74" s="67">
        <f>IF(G74="","",ABS(P74-Components!$D$5)/Components!$E$5)</f>
        <v/>
      </c>
      <c r="U74" s="67">
        <f>IF(G74="","",ABS(P74-Components!$D$6)/Components!$E$6)</f>
        <v/>
      </c>
      <c r="V74" s="67">
        <f>IF(G74="","",ABS(P74-Components!$D$7)/Components!$E$7)</f>
        <v/>
      </c>
      <c r="W74" s="61">
        <f>IF(G74="","",IF(N74="OK","NONE",INDEX({"S1","S2","W1","W2","N1","N2"},MATCH(MIN(Q74:V74),Q74:V74,0))))</f>
        <v/>
      </c>
      <c r="X74" s="69">
        <f>IF(G74="","",IF(W74=E74,1,0))</f>
        <v/>
      </c>
      <c r="Y74" s="70" t="n"/>
    </row>
    <row r="75">
      <c r="A75" s="61" t="n">
        <v>14</v>
      </c>
      <c r="B75" s="62" t="n">
        <v>45</v>
      </c>
      <c r="C75" s="61" t="inlineStr">
        <is>
          <t>R3</t>
        </is>
      </c>
      <c r="D75" s="74" t="inlineStr">
        <is>
          <t>NG</t>
        </is>
      </c>
      <c r="E75" s="61" t="inlineStr">
        <is>
          <t>W2</t>
        </is>
      </c>
      <c r="F75" s="61" t="inlineStr">
        <is>
          <t>K014</t>
        </is>
      </c>
      <c r="G75" s="64" t="n">
        <v>5.37</v>
      </c>
      <c r="H75" s="65" t="n"/>
      <c r="I75" s="66" t="n"/>
      <c r="J75" s="67">
        <f>VLOOKUP(C75,Recipes!$A$2:$N$4,10,FALSE())</f>
        <v/>
      </c>
      <c r="K75" s="68">
        <f>VLOOKUP(C75,Recipes!$A$2:$N$4,12,FALSE())</f>
        <v/>
      </c>
      <c r="L75" s="67">
        <f>J75-6*K75</f>
        <v/>
      </c>
      <c r="M75" s="67">
        <f>J75+6*K75</f>
        <v/>
      </c>
      <c r="N75" s="61">
        <f>IF(G75="","",IF(AND(G75&gt;=L75,G75&lt;=M75),"OK","NG"))</f>
        <v/>
      </c>
      <c r="O75" s="69">
        <f>IF(N75="","",IF(N75=D75,1,0))</f>
        <v/>
      </c>
      <c r="P75" s="67">
        <f>IF(G75="","",J75-G75)</f>
        <v/>
      </c>
      <c r="Q75" s="67">
        <f>IF(G75="","",ABS(P75-Components!$D$2)/Components!$E$2)</f>
        <v/>
      </c>
      <c r="R75" s="67">
        <f>IF(G75="","",ABS(P75-Components!$D$3)/Components!$E$3)</f>
        <v/>
      </c>
      <c r="S75" s="67">
        <f>IF(G75="","",ABS(P75-Components!$D$4)/Components!$E$4)</f>
        <v/>
      </c>
      <c r="T75" s="67">
        <f>IF(G75="","",ABS(P75-Components!$D$5)/Components!$E$5)</f>
        <v/>
      </c>
      <c r="U75" s="67">
        <f>IF(G75="","",ABS(P75-Components!$D$6)/Components!$E$6)</f>
        <v/>
      </c>
      <c r="V75" s="67">
        <f>IF(G75="","",ABS(P75-Components!$D$7)/Components!$E$7)</f>
        <v/>
      </c>
      <c r="W75" s="61">
        <f>IF(G75="","",IF(N75="OK","NONE",INDEX({"S1","S2","W1","W2","N1","N2"},MATCH(MIN(Q75:V75),Q75:V75,0))))</f>
        <v/>
      </c>
      <c r="X75" s="69">
        <f>IF(G75="","",IF(W75=E75,1,0))</f>
        <v/>
      </c>
      <c r="Y75" s="70" t="n"/>
    </row>
    <row r="76">
      <c r="A76" s="61" t="n">
        <v>14</v>
      </c>
      <c r="B76" s="62" t="n">
        <v>45</v>
      </c>
      <c r="C76" s="61" t="inlineStr">
        <is>
          <t>R3</t>
        </is>
      </c>
      <c r="D76" s="74" t="inlineStr">
        <is>
          <t>NG</t>
        </is>
      </c>
      <c r="E76" s="61" t="inlineStr">
        <is>
          <t>W2</t>
        </is>
      </c>
      <c r="F76" s="61" t="inlineStr">
        <is>
          <t>K014</t>
        </is>
      </c>
      <c r="G76" s="64" t="n">
        <v>5.36</v>
      </c>
      <c r="H76" s="65" t="n"/>
      <c r="I76" s="66" t="n"/>
      <c r="J76" s="67">
        <f>VLOOKUP(C76,Recipes!$A$2:$N$4,10,FALSE())</f>
        <v/>
      </c>
      <c r="K76" s="68">
        <f>VLOOKUP(C76,Recipes!$A$2:$N$4,12,FALSE())</f>
        <v/>
      </c>
      <c r="L76" s="67">
        <f>J76-6*K76</f>
        <v/>
      </c>
      <c r="M76" s="67">
        <f>J76+6*K76</f>
        <v/>
      </c>
      <c r="N76" s="61">
        <f>IF(G76="","",IF(AND(G76&gt;=L76,G76&lt;=M76),"OK","NG"))</f>
        <v/>
      </c>
      <c r="O76" s="69">
        <f>IF(N76="","",IF(N76=D76,1,0))</f>
        <v/>
      </c>
      <c r="P76" s="67">
        <f>IF(G76="","",J76-G76)</f>
        <v/>
      </c>
      <c r="Q76" s="67">
        <f>IF(G76="","",ABS(P76-Components!$D$2)/Components!$E$2)</f>
        <v/>
      </c>
      <c r="R76" s="67">
        <f>IF(G76="","",ABS(P76-Components!$D$3)/Components!$E$3)</f>
        <v/>
      </c>
      <c r="S76" s="67">
        <f>IF(G76="","",ABS(P76-Components!$D$4)/Components!$E$4)</f>
        <v/>
      </c>
      <c r="T76" s="67">
        <f>IF(G76="","",ABS(P76-Components!$D$5)/Components!$E$5)</f>
        <v/>
      </c>
      <c r="U76" s="67">
        <f>IF(G76="","",ABS(P76-Components!$D$6)/Components!$E$6)</f>
        <v/>
      </c>
      <c r="V76" s="67">
        <f>IF(G76="","",ABS(P76-Components!$D$7)/Components!$E$7)</f>
        <v/>
      </c>
      <c r="W76" s="61">
        <f>IF(G76="","",IF(N76="OK","NONE",INDEX({"S1","S2","W1","W2","N1","N2"},MATCH(MIN(Q76:V76),Q76:V76,0))))</f>
        <v/>
      </c>
      <c r="X76" s="69">
        <f>IF(G76="","",IF(W76=E76,1,0))</f>
        <v/>
      </c>
      <c r="Y76" s="70" t="n"/>
    </row>
    <row r="77">
      <c r="A77" s="61" t="n">
        <v>14</v>
      </c>
      <c r="B77" s="62" t="n">
        <v>45</v>
      </c>
      <c r="C77" s="61" t="inlineStr">
        <is>
          <t>R3</t>
        </is>
      </c>
      <c r="D77" s="74" t="inlineStr">
        <is>
          <t>NG</t>
        </is>
      </c>
      <c r="E77" s="61" t="inlineStr">
        <is>
          <t>W2</t>
        </is>
      </c>
      <c r="F77" s="61" t="inlineStr">
        <is>
          <t>K014</t>
        </is>
      </c>
      <c r="G77" s="64" t="n">
        <v>5.38</v>
      </c>
      <c r="H77" s="65" t="n"/>
      <c r="I77" s="66" t="n"/>
      <c r="J77" s="67">
        <f>VLOOKUP(C77,Recipes!$A$2:$N$4,10,FALSE())</f>
        <v/>
      </c>
      <c r="K77" s="68">
        <f>VLOOKUP(C77,Recipes!$A$2:$N$4,12,FALSE())</f>
        <v/>
      </c>
      <c r="L77" s="67">
        <f>J77-6*K77</f>
        <v/>
      </c>
      <c r="M77" s="67">
        <f>J77+6*K77</f>
        <v/>
      </c>
      <c r="N77" s="61">
        <f>IF(G77="","",IF(AND(G77&gt;=L77,G77&lt;=M77),"OK","NG"))</f>
        <v/>
      </c>
      <c r="O77" s="69">
        <f>IF(N77="","",IF(N77=D77,1,0))</f>
        <v/>
      </c>
      <c r="P77" s="67">
        <f>IF(G77="","",J77-G77)</f>
        <v/>
      </c>
      <c r="Q77" s="67">
        <f>IF(G77="","",ABS(P77-Components!$D$2)/Components!$E$2)</f>
        <v/>
      </c>
      <c r="R77" s="67">
        <f>IF(G77="","",ABS(P77-Components!$D$3)/Components!$E$3)</f>
        <v/>
      </c>
      <c r="S77" s="67">
        <f>IF(G77="","",ABS(P77-Components!$D$4)/Components!$E$4)</f>
        <v/>
      </c>
      <c r="T77" s="67">
        <f>IF(G77="","",ABS(P77-Components!$D$5)/Components!$E$5)</f>
        <v/>
      </c>
      <c r="U77" s="67">
        <f>IF(G77="","",ABS(P77-Components!$D$6)/Components!$E$6)</f>
        <v/>
      </c>
      <c r="V77" s="67">
        <f>IF(G77="","",ABS(P77-Components!$D$7)/Components!$E$7)</f>
        <v/>
      </c>
      <c r="W77" s="61">
        <f>IF(G77="","",IF(N77="OK","NONE",INDEX({"S1","S2","W1","W2","N1","N2"},MATCH(MIN(Q77:V77),Q77:V77,0))))</f>
        <v/>
      </c>
      <c r="X77" s="69">
        <f>IF(G77="","",IF(W77=E77,1,0))</f>
        <v/>
      </c>
      <c r="Y77" s="70" t="n"/>
    </row>
    <row r="78">
      <c r="A78" s="61" t="n">
        <v>14</v>
      </c>
      <c r="B78" s="62" t="n">
        <v>45</v>
      </c>
      <c r="C78" s="61" t="inlineStr">
        <is>
          <t>R3</t>
        </is>
      </c>
      <c r="D78" s="74" t="inlineStr">
        <is>
          <t>NG</t>
        </is>
      </c>
      <c r="E78" s="61" t="inlineStr">
        <is>
          <t>W2</t>
        </is>
      </c>
      <c r="F78" s="61" t="inlineStr">
        <is>
          <t>K014</t>
        </is>
      </c>
      <c r="G78" s="64" t="n">
        <v>5.38</v>
      </c>
      <c r="H78" s="65" t="n"/>
      <c r="I78" s="66" t="n"/>
      <c r="J78" s="67">
        <f>VLOOKUP(C78,Recipes!$A$2:$N$4,10,FALSE())</f>
        <v/>
      </c>
      <c r="K78" s="68">
        <f>VLOOKUP(C78,Recipes!$A$2:$N$4,12,FALSE())</f>
        <v/>
      </c>
      <c r="L78" s="67">
        <f>J78-6*K78</f>
        <v/>
      </c>
      <c r="M78" s="67">
        <f>J78+6*K78</f>
        <v/>
      </c>
      <c r="N78" s="61">
        <f>IF(G78="","",IF(AND(G78&gt;=L78,G78&lt;=M78),"OK","NG"))</f>
        <v/>
      </c>
      <c r="O78" s="69">
        <f>IF(N78="","",IF(N78=D78,1,0))</f>
        <v/>
      </c>
      <c r="P78" s="67">
        <f>IF(G78="","",J78-G78)</f>
        <v/>
      </c>
      <c r="Q78" s="67">
        <f>IF(G78="","",ABS(P78-Components!$D$2)/Components!$E$2)</f>
        <v/>
      </c>
      <c r="R78" s="67">
        <f>IF(G78="","",ABS(P78-Components!$D$3)/Components!$E$3)</f>
        <v/>
      </c>
      <c r="S78" s="67">
        <f>IF(G78="","",ABS(P78-Components!$D$4)/Components!$E$4)</f>
        <v/>
      </c>
      <c r="T78" s="67">
        <f>IF(G78="","",ABS(P78-Components!$D$5)/Components!$E$5)</f>
        <v/>
      </c>
      <c r="U78" s="67">
        <f>IF(G78="","",ABS(P78-Components!$D$6)/Components!$E$6)</f>
        <v/>
      </c>
      <c r="V78" s="67">
        <f>IF(G78="","",ABS(P78-Components!$D$7)/Components!$E$7)</f>
        <v/>
      </c>
      <c r="W78" s="61">
        <f>IF(G78="","",IF(N78="OK","NONE",INDEX({"S1","S2","W1","W2","N1","N2"},MATCH(MIN(Q78:V78),Q78:V78,0))))</f>
        <v/>
      </c>
      <c r="X78" s="69">
        <f>IF(G78="","",IF(W78=E78,1,0))</f>
        <v/>
      </c>
      <c r="Y78" s="70" t="n"/>
    </row>
    <row r="79">
      <c r="A79" s="61" t="n">
        <v>14</v>
      </c>
      <c r="B79" s="62" t="n">
        <v>45</v>
      </c>
      <c r="C79" s="61" t="inlineStr">
        <is>
          <t>R3</t>
        </is>
      </c>
      <c r="D79" s="74" t="inlineStr">
        <is>
          <t>NG</t>
        </is>
      </c>
      <c r="E79" s="61" t="inlineStr">
        <is>
          <t>W2</t>
        </is>
      </c>
      <c r="F79" s="61" t="inlineStr">
        <is>
          <t>K014</t>
        </is>
      </c>
      <c r="G79" s="64" t="n">
        <v>5.42</v>
      </c>
      <c r="H79" s="65" t="n"/>
      <c r="I79" s="66" t="n"/>
      <c r="J79" s="67">
        <f>VLOOKUP(C79,Recipes!$A$2:$N$4,10,FALSE())</f>
        <v/>
      </c>
      <c r="K79" s="68">
        <f>VLOOKUP(C79,Recipes!$A$2:$N$4,12,FALSE())</f>
        <v/>
      </c>
      <c r="L79" s="67">
        <f>J79-6*K79</f>
        <v/>
      </c>
      <c r="M79" s="67">
        <f>J79+6*K79</f>
        <v/>
      </c>
      <c r="N79" s="61">
        <f>IF(G79="","",IF(AND(G79&gt;=L79,G79&lt;=M79),"OK","NG"))</f>
        <v/>
      </c>
      <c r="O79" s="69">
        <f>IF(N79="","",IF(N79=D79,1,0))</f>
        <v/>
      </c>
      <c r="P79" s="67">
        <f>IF(G79="","",J79-G79)</f>
        <v/>
      </c>
      <c r="Q79" s="67">
        <f>IF(G79="","",ABS(P79-Components!$D$2)/Components!$E$2)</f>
        <v/>
      </c>
      <c r="R79" s="67">
        <f>IF(G79="","",ABS(P79-Components!$D$3)/Components!$E$3)</f>
        <v/>
      </c>
      <c r="S79" s="67">
        <f>IF(G79="","",ABS(P79-Components!$D$4)/Components!$E$4)</f>
        <v/>
      </c>
      <c r="T79" s="67">
        <f>IF(G79="","",ABS(P79-Components!$D$5)/Components!$E$5)</f>
        <v/>
      </c>
      <c r="U79" s="67">
        <f>IF(G79="","",ABS(P79-Components!$D$6)/Components!$E$6)</f>
        <v/>
      </c>
      <c r="V79" s="67">
        <f>IF(G79="","",ABS(P79-Components!$D$7)/Components!$E$7)</f>
        <v/>
      </c>
      <c r="W79" s="61">
        <f>IF(G79="","",IF(N79="OK","NONE",INDEX({"S1","S2","W1","W2","N1","N2"},MATCH(MIN(Q79:V79),Q79:V79,0))))</f>
        <v/>
      </c>
      <c r="X79" s="69">
        <f>IF(G79="","",IF(W79=E79,1,0))</f>
        <v/>
      </c>
      <c r="Y79" s="70" t="n"/>
    </row>
    <row r="80">
      <c r="A80" s="61" t="n">
        <v>14</v>
      </c>
      <c r="B80" s="62" t="n">
        <v>45</v>
      </c>
      <c r="C80" s="61" t="inlineStr">
        <is>
          <t>R3</t>
        </is>
      </c>
      <c r="D80" s="74" t="inlineStr">
        <is>
          <t>NG</t>
        </is>
      </c>
      <c r="E80" s="61" t="inlineStr">
        <is>
          <t>W2</t>
        </is>
      </c>
      <c r="F80" s="61" t="inlineStr">
        <is>
          <t>K014</t>
        </is>
      </c>
      <c r="G80" s="64" t="n">
        <v>5.39</v>
      </c>
      <c r="H80" s="65" t="n"/>
      <c r="I80" s="66" t="n"/>
      <c r="J80" s="67">
        <f>VLOOKUP(C80,Recipes!$A$2:$N$4,10,FALSE())</f>
        <v/>
      </c>
      <c r="K80" s="68">
        <f>VLOOKUP(C80,Recipes!$A$2:$N$4,12,FALSE())</f>
        <v/>
      </c>
      <c r="L80" s="67">
        <f>J80-6*K80</f>
        <v/>
      </c>
      <c r="M80" s="67">
        <f>J80+6*K80</f>
        <v/>
      </c>
      <c r="N80" s="61">
        <f>IF(G80="","",IF(AND(G80&gt;=L80,G80&lt;=M80),"OK","NG"))</f>
        <v/>
      </c>
      <c r="O80" s="69">
        <f>IF(N80="","",IF(N80=D80,1,0))</f>
        <v/>
      </c>
      <c r="P80" s="67">
        <f>IF(G80="","",J80-G80)</f>
        <v/>
      </c>
      <c r="Q80" s="67">
        <f>IF(G80="","",ABS(P80-Components!$D$2)/Components!$E$2)</f>
        <v/>
      </c>
      <c r="R80" s="67">
        <f>IF(G80="","",ABS(P80-Components!$D$3)/Components!$E$3)</f>
        <v/>
      </c>
      <c r="S80" s="67">
        <f>IF(G80="","",ABS(P80-Components!$D$4)/Components!$E$4)</f>
        <v/>
      </c>
      <c r="T80" s="67">
        <f>IF(G80="","",ABS(P80-Components!$D$5)/Components!$E$5)</f>
        <v/>
      </c>
      <c r="U80" s="67">
        <f>IF(G80="","",ABS(P80-Components!$D$6)/Components!$E$6)</f>
        <v/>
      </c>
      <c r="V80" s="67">
        <f>IF(G80="","",ABS(P80-Components!$D$7)/Components!$E$7)</f>
        <v/>
      </c>
      <c r="W80" s="61">
        <f>IF(G80="","",IF(N80="OK","NONE",INDEX({"S1","S2","W1","W2","N1","N2"},MATCH(MIN(Q80:V80),Q80:V80,0))))</f>
        <v/>
      </c>
      <c r="X80" s="69">
        <f>IF(G80="","",IF(W80=E80,1,0))</f>
        <v/>
      </c>
      <c r="Y80" s="70" t="n"/>
    </row>
    <row r="81">
      <c r="A81" s="61" t="n">
        <v>14</v>
      </c>
      <c r="B81" s="62" t="n">
        <v>45</v>
      </c>
      <c r="C81" s="61" t="inlineStr">
        <is>
          <t>R3</t>
        </is>
      </c>
      <c r="D81" s="74" t="inlineStr">
        <is>
          <t>NG</t>
        </is>
      </c>
      <c r="E81" s="61" t="inlineStr">
        <is>
          <t>W2</t>
        </is>
      </c>
      <c r="F81" s="61" t="inlineStr">
        <is>
          <t>K014</t>
        </is>
      </c>
      <c r="G81" s="64" t="n">
        <v>5.41</v>
      </c>
      <c r="H81" s="65" t="n"/>
      <c r="I81" s="66" t="n"/>
      <c r="J81" s="67">
        <f>VLOOKUP(C81,Recipes!$A$2:$N$4,10,FALSE())</f>
        <v/>
      </c>
      <c r="K81" s="68">
        <f>VLOOKUP(C81,Recipes!$A$2:$N$4,12,FALSE())</f>
        <v/>
      </c>
      <c r="L81" s="67">
        <f>J81-6*K81</f>
        <v/>
      </c>
      <c r="M81" s="67">
        <f>J81+6*K81</f>
        <v/>
      </c>
      <c r="N81" s="61">
        <f>IF(G81="","",IF(AND(G81&gt;=L81,G81&lt;=M81),"OK","NG"))</f>
        <v/>
      </c>
      <c r="O81" s="69">
        <f>IF(N81="","",IF(N81=D81,1,0))</f>
        <v/>
      </c>
      <c r="P81" s="67">
        <f>IF(G81="","",J81-G81)</f>
        <v/>
      </c>
      <c r="Q81" s="67">
        <f>IF(G81="","",ABS(P81-Components!$D$2)/Components!$E$2)</f>
        <v/>
      </c>
      <c r="R81" s="67">
        <f>IF(G81="","",ABS(P81-Components!$D$3)/Components!$E$3)</f>
        <v/>
      </c>
      <c r="S81" s="67">
        <f>IF(G81="","",ABS(P81-Components!$D$4)/Components!$E$4)</f>
        <v/>
      </c>
      <c r="T81" s="67">
        <f>IF(G81="","",ABS(P81-Components!$D$5)/Components!$E$5)</f>
        <v/>
      </c>
      <c r="U81" s="67">
        <f>IF(G81="","",ABS(P81-Components!$D$6)/Components!$E$6)</f>
        <v/>
      </c>
      <c r="V81" s="67">
        <f>IF(G81="","",ABS(P81-Components!$D$7)/Components!$E$7)</f>
        <v/>
      </c>
      <c r="W81" s="61">
        <f>IF(G81="","",IF(N81="OK","NONE",INDEX({"S1","S2","W1","W2","N1","N2"},MATCH(MIN(Q81:V81),Q81:V81,0))))</f>
        <v/>
      </c>
      <c r="X81" s="69">
        <f>IF(G81="","",IF(W81=E81,1,0))</f>
        <v/>
      </c>
      <c r="Y81" s="70" t="n"/>
    </row>
    <row r="82">
      <c r="A82" s="61" t="n">
        <v>14</v>
      </c>
      <c r="B82" s="62" t="n">
        <v>45</v>
      </c>
      <c r="C82" s="61" t="inlineStr">
        <is>
          <t>R3</t>
        </is>
      </c>
      <c r="D82" s="74" t="inlineStr">
        <is>
          <t>NG</t>
        </is>
      </c>
      <c r="E82" s="61" t="inlineStr">
        <is>
          <t>W2</t>
        </is>
      </c>
      <c r="F82" s="61" t="inlineStr">
        <is>
          <t>K014</t>
        </is>
      </c>
      <c r="G82" s="64" t="n">
        <v>5.32</v>
      </c>
      <c r="H82" s="65" t="n"/>
      <c r="I82" s="66" t="n"/>
      <c r="J82" s="67">
        <f>VLOOKUP(C82,Recipes!$A$2:$N$4,10,FALSE())</f>
        <v/>
      </c>
      <c r="K82" s="68">
        <f>VLOOKUP(C82,Recipes!$A$2:$N$4,12,FALSE())</f>
        <v/>
      </c>
      <c r="L82" s="67">
        <f>J82-6*K82</f>
        <v/>
      </c>
      <c r="M82" s="67">
        <f>J82+6*K82</f>
        <v/>
      </c>
      <c r="N82" s="61">
        <f>IF(G82="","",IF(AND(G82&gt;=L82,G82&lt;=M82),"OK","NG"))</f>
        <v/>
      </c>
      <c r="O82" s="69">
        <f>IF(N82="","",IF(N82=D82,1,0))</f>
        <v/>
      </c>
      <c r="P82" s="67">
        <f>IF(G82="","",J82-G82)</f>
        <v/>
      </c>
      <c r="Q82" s="67">
        <f>IF(G82="","",ABS(P82-Components!$D$2)/Components!$E$2)</f>
        <v/>
      </c>
      <c r="R82" s="67">
        <f>IF(G82="","",ABS(P82-Components!$D$3)/Components!$E$3)</f>
        <v/>
      </c>
      <c r="S82" s="67">
        <f>IF(G82="","",ABS(P82-Components!$D$4)/Components!$E$4)</f>
        <v/>
      </c>
      <c r="T82" s="67">
        <f>IF(G82="","",ABS(P82-Components!$D$5)/Components!$E$5)</f>
        <v/>
      </c>
      <c r="U82" s="67">
        <f>IF(G82="","",ABS(P82-Components!$D$6)/Components!$E$6)</f>
        <v/>
      </c>
      <c r="V82" s="67">
        <f>IF(G82="","",ABS(P82-Components!$D$7)/Components!$E$7)</f>
        <v/>
      </c>
      <c r="W82" s="61">
        <f>IF(G82="","",IF(N82="OK","NONE",INDEX({"S1","S2","W1","W2","N1","N2"},MATCH(MIN(Q82:V82),Q82:V82,0))))</f>
        <v/>
      </c>
      <c r="X82" s="69">
        <f>IF(G82="","",IF(W82=E82,1,0))</f>
        <v/>
      </c>
      <c r="Y82" s="70" t="n"/>
    </row>
    <row r="83">
      <c r="A83" s="61" t="n">
        <v>14</v>
      </c>
      <c r="B83" s="62" t="n">
        <v>45</v>
      </c>
      <c r="C83" s="61" t="inlineStr">
        <is>
          <t>R3</t>
        </is>
      </c>
      <c r="D83" s="74" t="inlineStr">
        <is>
          <t>NG</t>
        </is>
      </c>
      <c r="E83" s="61" t="inlineStr">
        <is>
          <t>W2</t>
        </is>
      </c>
      <c r="F83" s="61" t="inlineStr">
        <is>
          <t>K014</t>
        </is>
      </c>
      <c r="G83" s="64" t="n">
        <v>5.36</v>
      </c>
      <c r="H83" s="65" t="n"/>
      <c r="I83" s="66" t="n"/>
      <c r="J83" s="67">
        <f>VLOOKUP(C83,Recipes!$A$2:$N$4,10,FALSE())</f>
        <v/>
      </c>
      <c r="K83" s="68">
        <f>VLOOKUP(C83,Recipes!$A$2:$N$4,12,FALSE())</f>
        <v/>
      </c>
      <c r="L83" s="67">
        <f>J83-6*K83</f>
        <v/>
      </c>
      <c r="M83" s="67">
        <f>J83+6*K83</f>
        <v/>
      </c>
      <c r="N83" s="61">
        <f>IF(G83="","",IF(AND(G83&gt;=L83,G83&lt;=M83),"OK","NG"))</f>
        <v/>
      </c>
      <c r="O83" s="69">
        <f>IF(N83="","",IF(N83=D83,1,0))</f>
        <v/>
      </c>
      <c r="P83" s="67">
        <f>IF(G83="","",J83-G83)</f>
        <v/>
      </c>
      <c r="Q83" s="67">
        <f>IF(G83="","",ABS(P83-Components!$D$2)/Components!$E$2)</f>
        <v/>
      </c>
      <c r="R83" s="67">
        <f>IF(G83="","",ABS(P83-Components!$D$3)/Components!$E$3)</f>
        <v/>
      </c>
      <c r="S83" s="67">
        <f>IF(G83="","",ABS(P83-Components!$D$4)/Components!$E$4)</f>
        <v/>
      </c>
      <c r="T83" s="67">
        <f>IF(G83="","",ABS(P83-Components!$D$5)/Components!$E$5)</f>
        <v/>
      </c>
      <c r="U83" s="67">
        <f>IF(G83="","",ABS(P83-Components!$D$6)/Components!$E$6)</f>
        <v/>
      </c>
      <c r="V83" s="67">
        <f>IF(G83="","",ABS(P83-Components!$D$7)/Components!$E$7)</f>
        <v/>
      </c>
      <c r="W83" s="61">
        <f>IF(G83="","",IF(N83="OK","NONE",INDEX({"S1","S2","W1","W2","N1","N2"},MATCH(MIN(Q83:V83),Q83:V83,0))))</f>
        <v/>
      </c>
      <c r="X83" s="69">
        <f>IF(G83="","",IF(W83=E83,1,0))</f>
        <v/>
      </c>
      <c r="Y83" s="70" t="n"/>
    </row>
    <row r="84">
      <c r="A84" s="61" t="n">
        <v>14</v>
      </c>
      <c r="B84" s="62" t="n">
        <v>45</v>
      </c>
      <c r="C84" s="61" t="inlineStr">
        <is>
          <t>R3</t>
        </is>
      </c>
      <c r="D84" s="74" t="inlineStr">
        <is>
          <t>NG</t>
        </is>
      </c>
      <c r="E84" s="61" t="inlineStr">
        <is>
          <t>W2</t>
        </is>
      </c>
      <c r="F84" s="61" t="inlineStr">
        <is>
          <t>K014</t>
        </is>
      </c>
      <c r="G84" s="64" t="n">
        <v>5.42</v>
      </c>
      <c r="H84" s="65" t="n"/>
      <c r="I84" s="66" t="n"/>
      <c r="J84" s="67">
        <f>VLOOKUP(C84,Recipes!$A$2:$N$4,10,FALSE())</f>
        <v/>
      </c>
      <c r="K84" s="68">
        <f>VLOOKUP(C84,Recipes!$A$2:$N$4,12,FALSE())</f>
        <v/>
      </c>
      <c r="L84" s="67">
        <f>J84-6*K84</f>
        <v/>
      </c>
      <c r="M84" s="67">
        <f>J84+6*K84</f>
        <v/>
      </c>
      <c r="N84" s="61">
        <f>IF(G84="","",IF(AND(G84&gt;=L84,G84&lt;=M84),"OK","NG"))</f>
        <v/>
      </c>
      <c r="O84" s="69">
        <f>IF(N84="","",IF(N84=D84,1,0))</f>
        <v/>
      </c>
      <c r="P84" s="67">
        <f>IF(G84="","",J84-G84)</f>
        <v/>
      </c>
      <c r="Q84" s="67">
        <f>IF(G84="","",ABS(P84-Components!$D$2)/Components!$E$2)</f>
        <v/>
      </c>
      <c r="R84" s="67">
        <f>IF(G84="","",ABS(P84-Components!$D$3)/Components!$E$3)</f>
        <v/>
      </c>
      <c r="S84" s="67">
        <f>IF(G84="","",ABS(P84-Components!$D$4)/Components!$E$4)</f>
        <v/>
      </c>
      <c r="T84" s="67">
        <f>IF(G84="","",ABS(P84-Components!$D$5)/Components!$E$5)</f>
        <v/>
      </c>
      <c r="U84" s="67">
        <f>IF(G84="","",ABS(P84-Components!$D$6)/Components!$E$6)</f>
        <v/>
      </c>
      <c r="V84" s="67">
        <f>IF(G84="","",ABS(P84-Components!$D$7)/Components!$E$7)</f>
        <v/>
      </c>
      <c r="W84" s="61">
        <f>IF(G84="","",IF(N84="OK","NONE",INDEX({"S1","S2","W1","W2","N1","N2"},MATCH(MIN(Q84:V84),Q84:V84,0))))</f>
        <v/>
      </c>
      <c r="X84" s="69">
        <f>IF(G84="","",IF(W84=E84,1,0))</f>
        <v/>
      </c>
      <c r="Y84" s="70" t="n"/>
    </row>
    <row r="85">
      <c r="A85" s="61" t="n">
        <v>14</v>
      </c>
      <c r="B85" s="62" t="n">
        <v>45</v>
      </c>
      <c r="C85" s="61" t="inlineStr">
        <is>
          <t>R3</t>
        </is>
      </c>
      <c r="D85" s="74" t="inlineStr">
        <is>
          <t>NG</t>
        </is>
      </c>
      <c r="E85" s="61" t="inlineStr">
        <is>
          <t>W2</t>
        </is>
      </c>
      <c r="F85" s="61" t="inlineStr">
        <is>
          <t>K014</t>
        </is>
      </c>
      <c r="G85" s="64" t="n">
        <v>5.37</v>
      </c>
      <c r="H85" s="65" t="n"/>
      <c r="I85" s="66" t="n"/>
      <c r="J85" s="67">
        <f>VLOOKUP(C85,Recipes!$A$2:$N$4,10,FALSE())</f>
        <v/>
      </c>
      <c r="K85" s="68">
        <f>VLOOKUP(C85,Recipes!$A$2:$N$4,12,FALSE())</f>
        <v/>
      </c>
      <c r="L85" s="67">
        <f>J85-6*K85</f>
        <v/>
      </c>
      <c r="M85" s="67">
        <f>J85+6*K85</f>
        <v/>
      </c>
      <c r="N85" s="61">
        <f>IF(G85="","",IF(AND(G85&gt;=L85,G85&lt;=M85),"OK","NG"))</f>
        <v/>
      </c>
      <c r="O85" s="69">
        <f>IF(N85="","",IF(N85=D85,1,0))</f>
        <v/>
      </c>
      <c r="P85" s="67">
        <f>IF(G85="","",J85-G85)</f>
        <v/>
      </c>
      <c r="Q85" s="67">
        <f>IF(G85="","",ABS(P85-Components!$D$2)/Components!$E$2)</f>
        <v/>
      </c>
      <c r="R85" s="67">
        <f>IF(G85="","",ABS(P85-Components!$D$3)/Components!$E$3)</f>
        <v/>
      </c>
      <c r="S85" s="67">
        <f>IF(G85="","",ABS(P85-Components!$D$4)/Components!$E$4)</f>
        <v/>
      </c>
      <c r="T85" s="67">
        <f>IF(G85="","",ABS(P85-Components!$D$5)/Components!$E$5)</f>
        <v/>
      </c>
      <c r="U85" s="67">
        <f>IF(G85="","",ABS(P85-Components!$D$6)/Components!$E$6)</f>
        <v/>
      </c>
      <c r="V85" s="67">
        <f>IF(G85="","",ABS(P85-Components!$D$7)/Components!$E$7)</f>
        <v/>
      </c>
      <c r="W85" s="61">
        <f>IF(G85="","",IF(N85="OK","NONE",INDEX({"S1","S2","W1","W2","N1","N2"},MATCH(MIN(Q85:V85),Q85:V85,0))))</f>
        <v/>
      </c>
      <c r="X85" s="69">
        <f>IF(G85="","",IF(W85=E85,1,0))</f>
        <v/>
      </c>
      <c r="Y85" s="70" t="n"/>
    </row>
    <row r="86">
      <c r="A86" s="61" t="n">
        <v>14</v>
      </c>
      <c r="B86" s="62" t="n">
        <v>45</v>
      </c>
      <c r="C86" s="61" t="inlineStr">
        <is>
          <t>R3</t>
        </is>
      </c>
      <c r="D86" s="74" t="inlineStr">
        <is>
          <t>NG</t>
        </is>
      </c>
      <c r="E86" s="61" t="inlineStr">
        <is>
          <t>W2</t>
        </is>
      </c>
      <c r="F86" s="61" t="inlineStr">
        <is>
          <t>K014</t>
        </is>
      </c>
      <c r="G86" s="64" t="n">
        <v>5.4</v>
      </c>
      <c r="H86" s="65" t="n"/>
      <c r="I86" s="66" t="n"/>
      <c r="J86" s="67">
        <f>VLOOKUP(C86,Recipes!$A$2:$N$4,10,FALSE())</f>
        <v/>
      </c>
      <c r="K86" s="68">
        <f>VLOOKUP(C86,Recipes!$A$2:$N$4,12,FALSE())</f>
        <v/>
      </c>
      <c r="L86" s="67">
        <f>J86-6*K86</f>
        <v/>
      </c>
      <c r="M86" s="67">
        <f>J86+6*K86</f>
        <v/>
      </c>
      <c r="N86" s="61">
        <f>IF(G86="","",IF(AND(G86&gt;=L86,G86&lt;=M86),"OK","NG"))</f>
        <v/>
      </c>
      <c r="O86" s="69">
        <f>IF(N86="","",IF(N86=D86,1,0))</f>
        <v/>
      </c>
      <c r="P86" s="67">
        <f>IF(G86="","",J86-G86)</f>
        <v/>
      </c>
      <c r="Q86" s="67">
        <f>IF(G86="","",ABS(P86-Components!$D$2)/Components!$E$2)</f>
        <v/>
      </c>
      <c r="R86" s="67">
        <f>IF(G86="","",ABS(P86-Components!$D$3)/Components!$E$3)</f>
        <v/>
      </c>
      <c r="S86" s="67">
        <f>IF(G86="","",ABS(P86-Components!$D$4)/Components!$E$4)</f>
        <v/>
      </c>
      <c r="T86" s="67">
        <f>IF(G86="","",ABS(P86-Components!$D$5)/Components!$E$5)</f>
        <v/>
      </c>
      <c r="U86" s="67">
        <f>IF(G86="","",ABS(P86-Components!$D$6)/Components!$E$6)</f>
        <v/>
      </c>
      <c r="V86" s="67">
        <f>IF(G86="","",ABS(P86-Components!$D$7)/Components!$E$7)</f>
        <v/>
      </c>
      <c r="W86" s="61">
        <f>IF(G86="","",IF(N86="OK","NONE",INDEX({"S1","S2","W1","W2","N1","N2"},MATCH(MIN(Q86:V86),Q86:V86,0))))</f>
        <v/>
      </c>
      <c r="X86" s="69">
        <f>IF(G86="","",IF(W86=E86,1,0))</f>
        <v/>
      </c>
      <c r="Y86" s="70" t="n"/>
    </row>
    <row r="87">
      <c r="A87" s="61" t="n">
        <v>14</v>
      </c>
      <c r="B87" s="62" t="n">
        <v>45</v>
      </c>
      <c r="C87" s="61" t="inlineStr">
        <is>
          <t>R3</t>
        </is>
      </c>
      <c r="D87" s="74" t="inlineStr">
        <is>
          <t>NG</t>
        </is>
      </c>
      <c r="E87" s="61" t="inlineStr">
        <is>
          <t>W2</t>
        </is>
      </c>
      <c r="F87" s="61" t="inlineStr">
        <is>
          <t>K014</t>
        </is>
      </c>
      <c r="G87" s="64" t="n">
        <v>5.35</v>
      </c>
      <c r="H87" s="65" t="n"/>
      <c r="I87" s="66" t="n"/>
      <c r="J87" s="67">
        <f>VLOOKUP(C87,Recipes!$A$2:$N$4,10,FALSE())</f>
        <v/>
      </c>
      <c r="K87" s="68">
        <f>VLOOKUP(C87,Recipes!$A$2:$N$4,12,FALSE())</f>
        <v/>
      </c>
      <c r="L87" s="67">
        <f>J87-6*K87</f>
        <v/>
      </c>
      <c r="M87" s="67">
        <f>J87+6*K87</f>
        <v/>
      </c>
      <c r="N87" s="61">
        <f>IF(G87="","",IF(AND(G87&gt;=L87,G87&lt;=M87),"OK","NG"))</f>
        <v/>
      </c>
      <c r="O87" s="69">
        <f>IF(N87="","",IF(N87=D87,1,0))</f>
        <v/>
      </c>
      <c r="P87" s="67">
        <f>IF(G87="","",J87-G87)</f>
        <v/>
      </c>
      <c r="Q87" s="67">
        <f>IF(G87="","",ABS(P87-Components!$D$2)/Components!$E$2)</f>
        <v/>
      </c>
      <c r="R87" s="67">
        <f>IF(G87="","",ABS(P87-Components!$D$3)/Components!$E$3)</f>
        <v/>
      </c>
      <c r="S87" s="67">
        <f>IF(G87="","",ABS(P87-Components!$D$4)/Components!$E$4)</f>
        <v/>
      </c>
      <c r="T87" s="67">
        <f>IF(G87="","",ABS(P87-Components!$D$5)/Components!$E$5)</f>
        <v/>
      </c>
      <c r="U87" s="67">
        <f>IF(G87="","",ABS(P87-Components!$D$6)/Components!$E$6)</f>
        <v/>
      </c>
      <c r="V87" s="67">
        <f>IF(G87="","",ABS(P87-Components!$D$7)/Components!$E$7)</f>
        <v/>
      </c>
      <c r="W87" s="61">
        <f>IF(G87="","",IF(N87="OK","NONE",INDEX({"S1","S2","W1","W2","N1","N2"},MATCH(MIN(Q87:V87),Q87:V87,0))))</f>
        <v/>
      </c>
      <c r="X87" s="69">
        <f>IF(G87="","",IF(W87=E87,1,0))</f>
        <v/>
      </c>
      <c r="Y87" s="70" t="n"/>
    </row>
    <row r="88">
      <c r="A88" s="61" t="n">
        <v>14</v>
      </c>
      <c r="B88" s="62" t="n">
        <v>45</v>
      </c>
      <c r="C88" s="61" t="inlineStr">
        <is>
          <t>R3</t>
        </is>
      </c>
      <c r="D88" s="74" t="inlineStr">
        <is>
          <t>NG</t>
        </is>
      </c>
      <c r="E88" s="61" t="inlineStr">
        <is>
          <t>W2</t>
        </is>
      </c>
      <c r="F88" s="61" t="inlineStr">
        <is>
          <t>K014</t>
        </is>
      </c>
      <c r="G88" s="64" t="n">
        <v>5.38</v>
      </c>
      <c r="H88" s="65" t="n"/>
      <c r="I88" s="66" t="n"/>
      <c r="J88" s="67">
        <f>VLOOKUP(C88,Recipes!$A$2:$N$4,10,FALSE())</f>
        <v/>
      </c>
      <c r="K88" s="68">
        <f>VLOOKUP(C88,Recipes!$A$2:$N$4,12,FALSE())</f>
        <v/>
      </c>
      <c r="L88" s="67">
        <f>J88-6*K88</f>
        <v/>
      </c>
      <c r="M88" s="67">
        <f>J88+6*K88</f>
        <v/>
      </c>
      <c r="N88" s="61">
        <f>IF(G88="","",IF(AND(G88&gt;=L88,G88&lt;=M88),"OK","NG"))</f>
        <v/>
      </c>
      <c r="O88" s="69">
        <f>IF(N88="","",IF(N88=D88,1,0))</f>
        <v/>
      </c>
      <c r="P88" s="67">
        <f>IF(G88="","",J88-G88)</f>
        <v/>
      </c>
      <c r="Q88" s="67">
        <f>IF(G88="","",ABS(P88-Components!$D$2)/Components!$E$2)</f>
        <v/>
      </c>
      <c r="R88" s="67">
        <f>IF(G88="","",ABS(P88-Components!$D$3)/Components!$E$3)</f>
        <v/>
      </c>
      <c r="S88" s="67">
        <f>IF(G88="","",ABS(P88-Components!$D$4)/Components!$E$4)</f>
        <v/>
      </c>
      <c r="T88" s="67">
        <f>IF(G88="","",ABS(P88-Components!$D$5)/Components!$E$5)</f>
        <v/>
      </c>
      <c r="U88" s="67">
        <f>IF(G88="","",ABS(P88-Components!$D$6)/Components!$E$6)</f>
        <v/>
      </c>
      <c r="V88" s="67">
        <f>IF(G88="","",ABS(P88-Components!$D$7)/Components!$E$7)</f>
        <v/>
      </c>
      <c r="W88" s="61">
        <f>IF(G88="","",IF(N88="OK","NONE",INDEX({"S1","S2","W1","W2","N1","N2"},MATCH(MIN(Q88:V88),Q88:V88,0))))</f>
        <v/>
      </c>
      <c r="X88" s="69">
        <f>IF(G88="","",IF(W88=E88,1,0))</f>
        <v/>
      </c>
      <c r="Y88" s="70" t="n"/>
    </row>
    <row r="89">
      <c r="A89" s="61" t="n">
        <v>14</v>
      </c>
      <c r="B89" s="62" t="n">
        <v>45</v>
      </c>
      <c r="C89" s="61" t="inlineStr">
        <is>
          <t>R3</t>
        </is>
      </c>
      <c r="D89" s="74" t="inlineStr">
        <is>
          <t>NG</t>
        </is>
      </c>
      <c r="E89" s="61" t="inlineStr">
        <is>
          <t>W2</t>
        </is>
      </c>
      <c r="F89" s="61" t="inlineStr">
        <is>
          <t>K014</t>
        </is>
      </c>
      <c r="G89" s="64" t="n">
        <v>5.34</v>
      </c>
      <c r="H89" s="65" t="n"/>
      <c r="I89" s="66" t="n"/>
      <c r="J89" s="67">
        <f>VLOOKUP(C89,Recipes!$A$2:$N$4,10,FALSE())</f>
        <v/>
      </c>
      <c r="K89" s="68">
        <f>VLOOKUP(C89,Recipes!$A$2:$N$4,12,FALSE())</f>
        <v/>
      </c>
      <c r="L89" s="67">
        <f>J89-6*K89</f>
        <v/>
      </c>
      <c r="M89" s="67">
        <f>J89+6*K89</f>
        <v/>
      </c>
      <c r="N89" s="61">
        <f>IF(G89="","",IF(AND(G89&gt;=L89,G89&lt;=M89),"OK","NG"))</f>
        <v/>
      </c>
      <c r="O89" s="69">
        <f>IF(N89="","",IF(N89=D89,1,0))</f>
        <v/>
      </c>
      <c r="P89" s="67">
        <f>IF(G89="","",J89-G89)</f>
        <v/>
      </c>
      <c r="Q89" s="67">
        <f>IF(G89="","",ABS(P89-Components!$D$2)/Components!$E$2)</f>
        <v/>
      </c>
      <c r="R89" s="67">
        <f>IF(G89="","",ABS(P89-Components!$D$3)/Components!$E$3)</f>
        <v/>
      </c>
      <c r="S89" s="67">
        <f>IF(G89="","",ABS(P89-Components!$D$4)/Components!$E$4)</f>
        <v/>
      </c>
      <c r="T89" s="67">
        <f>IF(G89="","",ABS(P89-Components!$D$5)/Components!$E$5)</f>
        <v/>
      </c>
      <c r="U89" s="67">
        <f>IF(G89="","",ABS(P89-Components!$D$6)/Components!$E$6)</f>
        <v/>
      </c>
      <c r="V89" s="67">
        <f>IF(G89="","",ABS(P89-Components!$D$7)/Components!$E$7)</f>
        <v/>
      </c>
      <c r="W89" s="61">
        <f>IF(G89="","",IF(N89="OK","NONE",INDEX({"S1","S2","W1","W2","N1","N2"},MATCH(MIN(Q89:V89),Q89:V89,0))))</f>
        <v/>
      </c>
      <c r="X89" s="69">
        <f>IF(G89="","",IF(W89=E89,1,0))</f>
        <v/>
      </c>
      <c r="Y89" s="70" t="n"/>
    </row>
    <row r="90">
      <c r="A90" s="61" t="n">
        <v>14</v>
      </c>
      <c r="B90" s="62" t="n">
        <v>45</v>
      </c>
      <c r="C90" s="61" t="inlineStr">
        <is>
          <t>R3</t>
        </is>
      </c>
      <c r="D90" s="74" t="inlineStr">
        <is>
          <t>NG</t>
        </is>
      </c>
      <c r="E90" s="61" t="inlineStr">
        <is>
          <t>W2</t>
        </is>
      </c>
      <c r="F90" s="61" t="inlineStr">
        <is>
          <t>K014</t>
        </is>
      </c>
      <c r="G90" s="64" t="n">
        <v>5.42</v>
      </c>
      <c r="H90" s="65" t="n"/>
      <c r="I90" s="66" t="n"/>
      <c r="J90" s="67">
        <f>VLOOKUP(C90,Recipes!$A$2:$N$4,10,FALSE())</f>
        <v/>
      </c>
      <c r="K90" s="68">
        <f>VLOOKUP(C90,Recipes!$A$2:$N$4,12,FALSE())</f>
        <v/>
      </c>
      <c r="L90" s="67">
        <f>J90-6*K90</f>
        <v/>
      </c>
      <c r="M90" s="67">
        <f>J90+6*K90</f>
        <v/>
      </c>
      <c r="N90" s="61">
        <f>IF(G90="","",IF(AND(G90&gt;=L90,G90&lt;=M90),"OK","NG"))</f>
        <v/>
      </c>
      <c r="O90" s="69">
        <f>IF(N90="","",IF(N90=D90,1,0))</f>
        <v/>
      </c>
      <c r="P90" s="67">
        <f>IF(G90="","",J90-G90)</f>
        <v/>
      </c>
      <c r="Q90" s="67">
        <f>IF(G90="","",ABS(P90-Components!$D$2)/Components!$E$2)</f>
        <v/>
      </c>
      <c r="R90" s="67">
        <f>IF(G90="","",ABS(P90-Components!$D$3)/Components!$E$3)</f>
        <v/>
      </c>
      <c r="S90" s="67">
        <f>IF(G90="","",ABS(P90-Components!$D$4)/Components!$E$4)</f>
        <v/>
      </c>
      <c r="T90" s="67">
        <f>IF(G90="","",ABS(P90-Components!$D$5)/Components!$E$5)</f>
        <v/>
      </c>
      <c r="U90" s="67">
        <f>IF(G90="","",ABS(P90-Components!$D$6)/Components!$E$6)</f>
        <v/>
      </c>
      <c r="V90" s="67">
        <f>IF(G90="","",ABS(P90-Components!$D$7)/Components!$E$7)</f>
        <v/>
      </c>
      <c r="W90" s="61">
        <f>IF(G90="","",IF(N90="OK","NONE",INDEX({"S1","S2","W1","W2","N1","N2"},MATCH(MIN(Q90:V90),Q90:V90,0))))</f>
        <v/>
      </c>
      <c r="X90" s="69">
        <f>IF(G90="","",IF(W90=E90,1,0))</f>
        <v/>
      </c>
      <c r="Y90" s="70" t="n"/>
    </row>
    <row r="91">
      <c r="A91" s="61" t="n">
        <v>14</v>
      </c>
      <c r="B91" s="62" t="n">
        <v>45</v>
      </c>
      <c r="C91" s="61" t="inlineStr">
        <is>
          <t>R3</t>
        </is>
      </c>
      <c r="D91" s="74" t="inlineStr">
        <is>
          <t>NG</t>
        </is>
      </c>
      <c r="E91" s="61" t="inlineStr">
        <is>
          <t>W2</t>
        </is>
      </c>
      <c r="F91" s="61" t="inlineStr">
        <is>
          <t>K014</t>
        </is>
      </c>
      <c r="G91" s="64" t="n">
        <v>5.4</v>
      </c>
      <c r="H91" s="65" t="n"/>
      <c r="I91" s="66" t="n"/>
      <c r="J91" s="67">
        <f>VLOOKUP(C91,Recipes!$A$2:$N$4,10,FALSE())</f>
        <v/>
      </c>
      <c r="K91" s="68">
        <f>VLOOKUP(C91,Recipes!$A$2:$N$4,12,FALSE())</f>
        <v/>
      </c>
      <c r="L91" s="67">
        <f>J91-6*K91</f>
        <v/>
      </c>
      <c r="M91" s="67">
        <f>J91+6*K91</f>
        <v/>
      </c>
      <c r="N91" s="61">
        <f>IF(G91="","",IF(AND(G91&gt;=L91,G91&lt;=M91),"OK","NG"))</f>
        <v/>
      </c>
      <c r="O91" s="69">
        <f>IF(N91="","",IF(N91=D91,1,0))</f>
        <v/>
      </c>
      <c r="P91" s="67">
        <f>IF(G91="","",J91-G91)</f>
        <v/>
      </c>
      <c r="Q91" s="67">
        <f>IF(G91="","",ABS(P91-Components!$D$2)/Components!$E$2)</f>
        <v/>
      </c>
      <c r="R91" s="67">
        <f>IF(G91="","",ABS(P91-Components!$D$3)/Components!$E$3)</f>
        <v/>
      </c>
      <c r="S91" s="67">
        <f>IF(G91="","",ABS(P91-Components!$D$4)/Components!$E$4)</f>
        <v/>
      </c>
      <c r="T91" s="67">
        <f>IF(G91="","",ABS(P91-Components!$D$5)/Components!$E$5)</f>
        <v/>
      </c>
      <c r="U91" s="67">
        <f>IF(G91="","",ABS(P91-Components!$D$6)/Components!$E$6)</f>
        <v/>
      </c>
      <c r="V91" s="67">
        <f>IF(G91="","",ABS(P91-Components!$D$7)/Components!$E$7)</f>
        <v/>
      </c>
      <c r="W91" s="61">
        <f>IF(G91="","",IF(N91="OK","NONE",INDEX({"S1","S2","W1","W2","N1","N2"},MATCH(MIN(Q91:V91),Q91:V91,0))))</f>
        <v/>
      </c>
      <c r="X91" s="69">
        <f>IF(G91="","",IF(W91=E91,1,0))</f>
        <v/>
      </c>
      <c r="Y91" s="70" t="n"/>
    </row>
    <row r="92">
      <c r="A92" s="61" t="n">
        <v>15</v>
      </c>
      <c r="B92" s="62" t="n">
        <v>30</v>
      </c>
      <c r="C92" s="61" t="inlineStr">
        <is>
          <t>R3</t>
        </is>
      </c>
      <c r="D92" s="74" t="inlineStr">
        <is>
          <t>NG</t>
        </is>
      </c>
      <c r="E92" s="61" t="inlineStr">
        <is>
          <t>W2</t>
        </is>
      </c>
      <c r="F92" s="61" t="inlineStr">
        <is>
          <t>K015</t>
        </is>
      </c>
      <c r="G92" s="64" t="n">
        <v>5.42</v>
      </c>
      <c r="H92" s="65" t="n"/>
      <c r="I92" s="66" t="n"/>
      <c r="J92" s="67">
        <f>VLOOKUP(C92,Recipes!$A$2:$N$4,10,FALSE())</f>
        <v/>
      </c>
      <c r="K92" s="68">
        <f>VLOOKUP(C92,Recipes!$A$2:$N$4,12,FALSE())</f>
        <v/>
      </c>
      <c r="L92" s="67">
        <f>J92-6*K92</f>
        <v/>
      </c>
      <c r="M92" s="67">
        <f>J92+6*K92</f>
        <v/>
      </c>
      <c r="N92" s="61">
        <f>IF(G92="","",IF(AND(G92&gt;=L92,G92&lt;=M92),"OK","NG"))</f>
        <v/>
      </c>
      <c r="O92" s="69">
        <f>IF(N92="","",IF(N92=D92,1,0))</f>
        <v/>
      </c>
      <c r="P92" s="67">
        <f>IF(G92="","",J92-G92)</f>
        <v/>
      </c>
      <c r="Q92" s="67">
        <f>IF(G92="","",ABS(P92-Components!$D$2)/Components!$E$2)</f>
        <v/>
      </c>
      <c r="R92" s="67">
        <f>IF(G92="","",ABS(P92-Components!$D$3)/Components!$E$3)</f>
        <v/>
      </c>
      <c r="S92" s="67">
        <f>IF(G92="","",ABS(P92-Components!$D$4)/Components!$E$4)</f>
        <v/>
      </c>
      <c r="T92" s="67">
        <f>IF(G92="","",ABS(P92-Components!$D$5)/Components!$E$5)</f>
        <v/>
      </c>
      <c r="U92" s="67">
        <f>IF(G92="","",ABS(P92-Components!$D$6)/Components!$E$6)</f>
        <v/>
      </c>
      <c r="V92" s="67">
        <f>IF(G92="","",ABS(P92-Components!$D$7)/Components!$E$7)</f>
        <v/>
      </c>
      <c r="W92" s="61">
        <f>IF(G92="","",IF(N92="OK","NONE",INDEX({"S1","S2","W1","W2","N1","N2"},MATCH(MIN(Q92:V92),Q92:V92,0))))</f>
        <v/>
      </c>
      <c r="X92" s="69">
        <f>IF(G92="","",IF(W92=E92,1,0))</f>
        <v/>
      </c>
      <c r="Y92" s="70" t="n"/>
    </row>
    <row r="93">
      <c r="A93" s="61" t="n">
        <v>16</v>
      </c>
      <c r="B93" s="62" t="n">
        <v>55</v>
      </c>
      <c r="C93" s="61" t="inlineStr">
        <is>
          <t>R3</t>
        </is>
      </c>
      <c r="D93" s="74" t="inlineStr">
        <is>
          <t>NG</t>
        </is>
      </c>
      <c r="E93" s="61" t="inlineStr">
        <is>
          <t>N2</t>
        </is>
      </c>
      <c r="F93" s="61" t="inlineStr">
        <is>
          <t>K016</t>
        </is>
      </c>
      <c r="G93" s="64" t="n">
        <v>8.609999999999999</v>
      </c>
      <c r="H93" s="65" t="n"/>
      <c r="I93" s="66" t="n"/>
      <c r="J93" s="67">
        <f>VLOOKUP(C93,Recipes!$A$2:$N$4,10,FALSE())</f>
        <v/>
      </c>
      <c r="K93" s="68">
        <f>VLOOKUP(C93,Recipes!$A$2:$N$4,12,FALSE())</f>
        <v/>
      </c>
      <c r="L93" s="67">
        <f>J93-6*K93</f>
        <v/>
      </c>
      <c r="M93" s="67">
        <f>J93+6*K93</f>
        <v/>
      </c>
      <c r="N93" s="61">
        <f>IF(G93="","",IF(AND(G93&gt;=L93,G93&lt;=M93),"OK","NG"))</f>
        <v/>
      </c>
      <c r="O93" s="69">
        <f>IF(N93="","",IF(N93=D93,1,0))</f>
        <v/>
      </c>
      <c r="P93" s="67">
        <f>IF(G93="","",J93-G93)</f>
        <v/>
      </c>
      <c r="Q93" s="67">
        <f>IF(G93="","",ABS(P93-Components!$D$2)/Components!$E$2)</f>
        <v/>
      </c>
      <c r="R93" s="67">
        <f>IF(G93="","",ABS(P93-Components!$D$3)/Components!$E$3)</f>
        <v/>
      </c>
      <c r="S93" s="67">
        <f>IF(G93="","",ABS(P93-Components!$D$4)/Components!$E$4)</f>
        <v/>
      </c>
      <c r="T93" s="67">
        <f>IF(G93="","",ABS(P93-Components!$D$5)/Components!$E$5)</f>
        <v/>
      </c>
      <c r="U93" s="67">
        <f>IF(G93="","",ABS(P93-Components!$D$6)/Components!$E$6)</f>
        <v/>
      </c>
      <c r="V93" s="67">
        <f>IF(G93="","",ABS(P93-Components!$D$7)/Components!$E$7)</f>
        <v/>
      </c>
      <c r="W93" s="61">
        <f>IF(G93="","",IF(N93="OK","NONE",INDEX({"S1","S2","W1","W2","N1","N2"},MATCH(MIN(Q93:V93),Q93:V93,0))))</f>
        <v/>
      </c>
      <c r="X93" s="69">
        <f>IF(G93="","",IF(W93=E93,1,0))</f>
        <v/>
      </c>
      <c r="Y93" s="70" t="n"/>
    </row>
    <row r="94">
      <c r="A94" s="61" t="n">
        <v>17</v>
      </c>
      <c r="B94" s="62" t="n">
        <v>4</v>
      </c>
      <c r="C94" s="61" t="inlineStr">
        <is>
          <t>R3</t>
        </is>
      </c>
      <c r="D94" s="74" t="inlineStr">
        <is>
          <t>NG</t>
        </is>
      </c>
      <c r="E94" s="61" t="inlineStr">
        <is>
          <t>N2</t>
        </is>
      </c>
      <c r="F94" s="61" t="inlineStr">
        <is>
          <t>K017</t>
        </is>
      </c>
      <c r="G94" s="64" t="n">
        <v>8.619999999999999</v>
      </c>
      <c r="H94" s="65" t="n"/>
      <c r="I94" s="66" t="n"/>
      <c r="J94" s="67">
        <f>VLOOKUP(C94,Recipes!$A$2:$N$4,10,FALSE())</f>
        <v/>
      </c>
      <c r="K94" s="68">
        <f>VLOOKUP(C94,Recipes!$A$2:$N$4,12,FALSE())</f>
        <v/>
      </c>
      <c r="L94" s="67">
        <f>J94-6*K94</f>
        <v/>
      </c>
      <c r="M94" s="67">
        <f>J94+6*K94</f>
        <v/>
      </c>
      <c r="N94" s="61">
        <f>IF(G94="","",IF(AND(G94&gt;=L94,G94&lt;=M94),"OK","NG"))</f>
        <v/>
      </c>
      <c r="O94" s="69">
        <f>IF(N94="","",IF(N94=D94,1,0))</f>
        <v/>
      </c>
      <c r="P94" s="67">
        <f>IF(G94="","",J94-G94)</f>
        <v/>
      </c>
      <c r="Q94" s="67">
        <f>IF(G94="","",ABS(P94-Components!$D$2)/Components!$E$2)</f>
        <v/>
      </c>
      <c r="R94" s="67">
        <f>IF(G94="","",ABS(P94-Components!$D$3)/Components!$E$3)</f>
        <v/>
      </c>
      <c r="S94" s="67">
        <f>IF(G94="","",ABS(P94-Components!$D$4)/Components!$E$4)</f>
        <v/>
      </c>
      <c r="T94" s="67">
        <f>IF(G94="","",ABS(P94-Components!$D$5)/Components!$E$5)</f>
        <v/>
      </c>
      <c r="U94" s="67">
        <f>IF(G94="","",ABS(P94-Components!$D$6)/Components!$E$6)</f>
        <v/>
      </c>
      <c r="V94" s="67">
        <f>IF(G94="","",ABS(P94-Components!$D$7)/Components!$E$7)</f>
        <v/>
      </c>
      <c r="W94" s="61">
        <f>IF(G94="","",IF(N94="OK","NONE",INDEX({"S1","S2","W1","W2","N1","N2"},MATCH(MIN(Q94:V94),Q94:V94,0))))</f>
        <v/>
      </c>
      <c r="X94" s="69">
        <f>IF(G94="","",IF(W94=E94,1,0))</f>
        <v/>
      </c>
      <c r="Y94" s="70" t="n"/>
    </row>
    <row r="95">
      <c r="A95" s="61" t="n">
        <v>18</v>
      </c>
      <c r="B95" s="62" t="n">
        <v>22</v>
      </c>
      <c r="C95" s="61" t="inlineStr">
        <is>
          <t>R3</t>
        </is>
      </c>
      <c r="D95" s="74" t="inlineStr">
        <is>
          <t>NG</t>
        </is>
      </c>
      <c r="E95" s="61" t="inlineStr">
        <is>
          <t>N2</t>
        </is>
      </c>
      <c r="F95" s="61" t="inlineStr">
        <is>
          <t>K018</t>
        </is>
      </c>
      <c r="G95" s="64" t="n">
        <v>8.630000000000001</v>
      </c>
      <c r="H95" s="65" t="n"/>
      <c r="I95" s="66" t="n"/>
      <c r="J95" s="67">
        <f>VLOOKUP(C95,Recipes!$A$2:$N$4,10,FALSE())</f>
        <v/>
      </c>
      <c r="K95" s="68">
        <f>VLOOKUP(C95,Recipes!$A$2:$N$4,12,FALSE())</f>
        <v/>
      </c>
      <c r="L95" s="67">
        <f>J95-6*K95</f>
        <v/>
      </c>
      <c r="M95" s="67">
        <f>J95+6*K95</f>
        <v/>
      </c>
      <c r="N95" s="61">
        <f>IF(G95="","",IF(AND(G95&gt;=L95,G95&lt;=M95),"OK","NG"))</f>
        <v/>
      </c>
      <c r="O95" s="69">
        <f>IF(N95="","",IF(N95=D95,1,0))</f>
        <v/>
      </c>
      <c r="P95" s="67">
        <f>IF(G95="","",J95-G95)</f>
        <v/>
      </c>
      <c r="Q95" s="67">
        <f>IF(G95="","",ABS(P95-Components!$D$2)/Components!$E$2)</f>
        <v/>
      </c>
      <c r="R95" s="67">
        <f>IF(G95="","",ABS(P95-Components!$D$3)/Components!$E$3)</f>
        <v/>
      </c>
      <c r="S95" s="67">
        <f>IF(G95="","",ABS(P95-Components!$D$4)/Components!$E$4)</f>
        <v/>
      </c>
      <c r="T95" s="67">
        <f>IF(G95="","",ABS(P95-Components!$D$5)/Components!$E$5)</f>
        <v/>
      </c>
      <c r="U95" s="67">
        <f>IF(G95="","",ABS(P95-Components!$D$6)/Components!$E$6)</f>
        <v/>
      </c>
      <c r="V95" s="67">
        <f>IF(G95="","",ABS(P95-Components!$D$7)/Components!$E$7)</f>
        <v/>
      </c>
      <c r="W95" s="61">
        <f>IF(G95="","",IF(N95="OK","NONE",INDEX({"S1","S2","W1","W2","N1","N2"},MATCH(MIN(Q95:V95),Q95:V95,0))))</f>
        <v/>
      </c>
      <c r="X95" s="69">
        <f>IF(G95="","",IF(W95=E95,1,0))</f>
        <v/>
      </c>
      <c r="Y95" s="70" t="n"/>
    </row>
    <row r="96">
      <c r="A96" s="61" t="n">
        <v>19</v>
      </c>
      <c r="B96" s="62" t="n">
        <v>47</v>
      </c>
      <c r="C96" s="61" t="inlineStr">
        <is>
          <t>R3</t>
        </is>
      </c>
      <c r="D96" s="74" t="inlineStr">
        <is>
          <t>NG</t>
        </is>
      </c>
      <c r="E96" s="61" t="inlineStr">
        <is>
          <t>N2</t>
        </is>
      </c>
      <c r="F96" s="61" t="inlineStr">
        <is>
          <t>K019</t>
        </is>
      </c>
      <c r="G96" s="64" t="n">
        <v>8.619999999999999</v>
      </c>
      <c r="H96" s="65" t="n"/>
      <c r="I96" s="66" t="n"/>
      <c r="J96" s="67">
        <f>VLOOKUP(C96,Recipes!$A$2:$N$4,10,FALSE())</f>
        <v/>
      </c>
      <c r="K96" s="68">
        <f>VLOOKUP(C96,Recipes!$A$2:$N$4,12,FALSE())</f>
        <v/>
      </c>
      <c r="L96" s="67">
        <f>J96-6*K96</f>
        <v/>
      </c>
      <c r="M96" s="67">
        <f>J96+6*K96</f>
        <v/>
      </c>
      <c r="N96" s="61">
        <f>IF(G96="","",IF(AND(G96&gt;=L96,G96&lt;=M96),"OK","NG"))</f>
        <v/>
      </c>
      <c r="O96" s="69">
        <f>IF(N96="","",IF(N96=D96,1,0))</f>
        <v/>
      </c>
      <c r="P96" s="67">
        <f>IF(G96="","",J96-G96)</f>
        <v/>
      </c>
      <c r="Q96" s="67">
        <f>IF(G96="","",ABS(P96-Components!$D$2)/Components!$E$2)</f>
        <v/>
      </c>
      <c r="R96" s="67">
        <f>IF(G96="","",ABS(P96-Components!$D$3)/Components!$E$3)</f>
        <v/>
      </c>
      <c r="S96" s="67">
        <f>IF(G96="","",ABS(P96-Components!$D$4)/Components!$E$4)</f>
        <v/>
      </c>
      <c r="T96" s="67">
        <f>IF(G96="","",ABS(P96-Components!$D$5)/Components!$E$5)</f>
        <v/>
      </c>
      <c r="U96" s="67">
        <f>IF(G96="","",ABS(P96-Components!$D$6)/Components!$E$6)</f>
        <v/>
      </c>
      <c r="V96" s="67">
        <f>IF(G96="","",ABS(P96-Components!$D$7)/Components!$E$7)</f>
        <v/>
      </c>
      <c r="W96" s="61">
        <f>IF(G96="","",IF(N96="OK","NONE",INDEX({"S1","S2","W1","W2","N1","N2"},MATCH(MIN(Q96:V96),Q96:V96,0))))</f>
        <v/>
      </c>
      <c r="X96" s="69">
        <f>IF(G96="","",IF(W96=E96,1,0))</f>
        <v/>
      </c>
      <c r="Y96" s="70" t="n"/>
    </row>
    <row r="97">
      <c r="A97" s="61" t="n">
        <v>19</v>
      </c>
      <c r="B97" s="62" t="n">
        <v>47</v>
      </c>
      <c r="C97" s="61" t="inlineStr">
        <is>
          <t>R3</t>
        </is>
      </c>
      <c r="D97" s="74" t="inlineStr">
        <is>
          <t>NG</t>
        </is>
      </c>
      <c r="E97" s="61" t="inlineStr">
        <is>
          <t>N2</t>
        </is>
      </c>
      <c r="F97" s="61" t="inlineStr">
        <is>
          <t>K019</t>
        </is>
      </c>
      <c r="G97" s="64" t="n">
        <v>8.539999999999999</v>
      </c>
      <c r="H97" s="65" t="n"/>
      <c r="I97" s="66" t="n"/>
      <c r="J97" s="67">
        <f>VLOOKUP(C97,Recipes!$A$2:$N$4,10,FALSE())</f>
        <v/>
      </c>
      <c r="K97" s="68">
        <f>VLOOKUP(C97,Recipes!$A$2:$N$4,12,FALSE())</f>
        <v/>
      </c>
      <c r="L97" s="67">
        <f>J97-6*K97</f>
        <v/>
      </c>
      <c r="M97" s="67">
        <f>J97+6*K97</f>
        <v/>
      </c>
      <c r="N97" s="61">
        <f>IF(G97="","",IF(AND(G97&gt;=L97,G97&lt;=M97),"OK","NG"))</f>
        <v/>
      </c>
      <c r="O97" s="69">
        <f>IF(N97="","",IF(N97=D97,1,0))</f>
        <v/>
      </c>
      <c r="P97" s="67">
        <f>IF(G97="","",J97-G97)</f>
        <v/>
      </c>
      <c r="Q97" s="67">
        <f>IF(G97="","",ABS(P97-Components!$D$2)/Components!$E$2)</f>
        <v/>
      </c>
      <c r="R97" s="67">
        <f>IF(G97="","",ABS(P97-Components!$D$3)/Components!$E$3)</f>
        <v/>
      </c>
      <c r="S97" s="67">
        <f>IF(G97="","",ABS(P97-Components!$D$4)/Components!$E$4)</f>
        <v/>
      </c>
      <c r="T97" s="67">
        <f>IF(G97="","",ABS(P97-Components!$D$5)/Components!$E$5)</f>
        <v/>
      </c>
      <c r="U97" s="67">
        <f>IF(G97="","",ABS(P97-Components!$D$6)/Components!$E$6)</f>
        <v/>
      </c>
      <c r="V97" s="67">
        <f>IF(G97="","",ABS(P97-Components!$D$7)/Components!$E$7)</f>
        <v/>
      </c>
      <c r="W97" s="61">
        <f>IF(G97="","",IF(N97="OK","NONE",INDEX({"S1","S2","W1","W2","N1","N2"},MATCH(MIN(Q97:V97),Q97:V97,0))))</f>
        <v/>
      </c>
      <c r="X97" s="69">
        <f>IF(G97="","",IF(W97=E97,1,0))</f>
        <v/>
      </c>
      <c r="Y97" s="70" t="n"/>
    </row>
    <row r="98">
      <c r="A98" s="61" t="n">
        <v>19</v>
      </c>
      <c r="B98" s="62" t="n">
        <v>47</v>
      </c>
      <c r="C98" s="61" t="inlineStr">
        <is>
          <t>R3</t>
        </is>
      </c>
      <c r="D98" s="74" t="inlineStr">
        <is>
          <t>NG</t>
        </is>
      </c>
      <c r="E98" s="61" t="inlineStr">
        <is>
          <t>N2</t>
        </is>
      </c>
      <c r="F98" s="61" t="inlineStr">
        <is>
          <t>K019</t>
        </is>
      </c>
      <c r="G98" s="64" t="n">
        <v>8.48</v>
      </c>
      <c r="H98" s="65" t="n"/>
      <c r="I98" s="66" t="n"/>
      <c r="J98" s="67">
        <f>VLOOKUP(C98,Recipes!$A$2:$N$4,10,FALSE())</f>
        <v/>
      </c>
      <c r="K98" s="68">
        <f>VLOOKUP(C98,Recipes!$A$2:$N$4,12,FALSE())</f>
        <v/>
      </c>
      <c r="L98" s="67">
        <f>J98-6*K98</f>
        <v/>
      </c>
      <c r="M98" s="67">
        <f>J98+6*K98</f>
        <v/>
      </c>
      <c r="N98" s="61">
        <f>IF(G98="","",IF(AND(G98&gt;=L98,G98&lt;=M98),"OK","NG"))</f>
        <v/>
      </c>
      <c r="O98" s="69">
        <f>IF(N98="","",IF(N98=D98,1,0))</f>
        <v/>
      </c>
      <c r="P98" s="67">
        <f>IF(G98="","",J98-G98)</f>
        <v/>
      </c>
      <c r="Q98" s="67">
        <f>IF(G98="","",ABS(P98-Components!$D$2)/Components!$E$2)</f>
        <v/>
      </c>
      <c r="R98" s="67">
        <f>IF(G98="","",ABS(P98-Components!$D$3)/Components!$E$3)</f>
        <v/>
      </c>
      <c r="S98" s="67">
        <f>IF(G98="","",ABS(P98-Components!$D$4)/Components!$E$4)</f>
        <v/>
      </c>
      <c r="T98" s="67">
        <f>IF(G98="","",ABS(P98-Components!$D$5)/Components!$E$5)</f>
        <v/>
      </c>
      <c r="U98" s="67">
        <f>IF(G98="","",ABS(P98-Components!$D$6)/Components!$E$6)</f>
        <v/>
      </c>
      <c r="V98" s="67">
        <f>IF(G98="","",ABS(P98-Components!$D$7)/Components!$E$7)</f>
        <v/>
      </c>
      <c r="W98" s="61">
        <f>IF(G98="","",IF(N98="OK","NONE",INDEX({"S1","S2","W1","W2","N1","N2"},MATCH(MIN(Q98:V98),Q98:V98,0))))</f>
        <v/>
      </c>
      <c r="X98" s="69">
        <f>IF(G98="","",IF(W98=E98,1,0))</f>
        <v/>
      </c>
      <c r="Y98" s="70" t="n"/>
    </row>
    <row r="99">
      <c r="A99" s="61" t="n">
        <v>19</v>
      </c>
      <c r="B99" s="62" t="n">
        <v>47</v>
      </c>
      <c r="C99" s="61" t="inlineStr">
        <is>
          <t>R3</t>
        </is>
      </c>
      <c r="D99" s="74" t="inlineStr">
        <is>
          <t>NG</t>
        </is>
      </c>
      <c r="E99" s="61" t="inlineStr">
        <is>
          <t>N2</t>
        </is>
      </c>
      <c r="F99" s="61" t="inlineStr">
        <is>
          <t>K019</t>
        </is>
      </c>
      <c r="G99" s="64" t="n">
        <v>8.6</v>
      </c>
      <c r="H99" s="65" t="n"/>
      <c r="I99" s="66" t="n"/>
      <c r="J99" s="67">
        <f>VLOOKUP(C99,Recipes!$A$2:$N$4,10,FALSE())</f>
        <v/>
      </c>
      <c r="K99" s="68">
        <f>VLOOKUP(C99,Recipes!$A$2:$N$4,12,FALSE())</f>
        <v/>
      </c>
      <c r="L99" s="67">
        <f>J99-6*K99</f>
        <v/>
      </c>
      <c r="M99" s="67">
        <f>J99+6*K99</f>
        <v/>
      </c>
      <c r="N99" s="61">
        <f>IF(G99="","",IF(AND(G99&gt;=L99,G99&lt;=M99),"OK","NG"))</f>
        <v/>
      </c>
      <c r="O99" s="69">
        <f>IF(N99="","",IF(N99=D99,1,0))</f>
        <v/>
      </c>
      <c r="P99" s="67">
        <f>IF(G99="","",J99-G99)</f>
        <v/>
      </c>
      <c r="Q99" s="67">
        <f>IF(G99="","",ABS(P99-Components!$D$2)/Components!$E$2)</f>
        <v/>
      </c>
      <c r="R99" s="67">
        <f>IF(G99="","",ABS(P99-Components!$D$3)/Components!$E$3)</f>
        <v/>
      </c>
      <c r="S99" s="67">
        <f>IF(G99="","",ABS(P99-Components!$D$4)/Components!$E$4)</f>
        <v/>
      </c>
      <c r="T99" s="67">
        <f>IF(G99="","",ABS(P99-Components!$D$5)/Components!$E$5)</f>
        <v/>
      </c>
      <c r="U99" s="67">
        <f>IF(G99="","",ABS(P99-Components!$D$6)/Components!$E$6)</f>
        <v/>
      </c>
      <c r="V99" s="67">
        <f>IF(G99="","",ABS(P99-Components!$D$7)/Components!$E$7)</f>
        <v/>
      </c>
      <c r="W99" s="61">
        <f>IF(G99="","",IF(N99="OK","NONE",INDEX({"S1","S2","W1","W2","N1","N2"},MATCH(MIN(Q99:V99),Q99:V99,0))))</f>
        <v/>
      </c>
      <c r="X99" s="69">
        <f>IF(G99="","",IF(W99=E99,1,0))</f>
        <v/>
      </c>
      <c r="Y99" s="70" t="n"/>
    </row>
    <row r="100">
      <c r="A100" s="61" t="n">
        <v>19</v>
      </c>
      <c r="B100" s="62" t="n">
        <v>47</v>
      </c>
      <c r="C100" s="61" t="inlineStr">
        <is>
          <t>R3</t>
        </is>
      </c>
      <c r="D100" s="74" t="inlineStr">
        <is>
          <t>NG</t>
        </is>
      </c>
      <c r="E100" s="61" t="inlineStr">
        <is>
          <t>N2</t>
        </is>
      </c>
      <c r="F100" s="61" t="inlineStr">
        <is>
          <t>K019</t>
        </is>
      </c>
      <c r="G100" s="64" t="n">
        <v>8.630000000000001</v>
      </c>
      <c r="H100" s="65" t="n"/>
      <c r="I100" s="66" t="n"/>
      <c r="J100" s="67">
        <f>VLOOKUP(C100,Recipes!$A$2:$N$4,10,FALSE())</f>
        <v/>
      </c>
      <c r="K100" s="68">
        <f>VLOOKUP(C100,Recipes!$A$2:$N$4,12,FALSE())</f>
        <v/>
      </c>
      <c r="L100" s="67">
        <f>J100-6*K100</f>
        <v/>
      </c>
      <c r="M100" s="67">
        <f>J100+6*K100</f>
        <v/>
      </c>
      <c r="N100" s="61">
        <f>IF(G100="","",IF(AND(G100&gt;=L100,G100&lt;=M100),"OK","NG"))</f>
        <v/>
      </c>
      <c r="O100" s="69">
        <f>IF(N100="","",IF(N100=D100,1,0))</f>
        <v/>
      </c>
      <c r="P100" s="67">
        <f>IF(G100="","",J100-G100)</f>
        <v/>
      </c>
      <c r="Q100" s="67">
        <f>IF(G100="","",ABS(P100-Components!$D$2)/Components!$E$2)</f>
        <v/>
      </c>
      <c r="R100" s="67">
        <f>IF(G100="","",ABS(P100-Components!$D$3)/Components!$E$3)</f>
        <v/>
      </c>
      <c r="S100" s="67">
        <f>IF(G100="","",ABS(P100-Components!$D$4)/Components!$E$4)</f>
        <v/>
      </c>
      <c r="T100" s="67">
        <f>IF(G100="","",ABS(P100-Components!$D$5)/Components!$E$5)</f>
        <v/>
      </c>
      <c r="U100" s="67">
        <f>IF(G100="","",ABS(P100-Components!$D$6)/Components!$E$6)</f>
        <v/>
      </c>
      <c r="V100" s="67">
        <f>IF(G100="","",ABS(P100-Components!$D$7)/Components!$E$7)</f>
        <v/>
      </c>
      <c r="W100" s="61">
        <f>IF(G100="","",IF(N100="OK","NONE",INDEX({"S1","S2","W1","W2","N1","N2"},MATCH(MIN(Q100:V100),Q100:V100,0))))</f>
        <v/>
      </c>
      <c r="X100" s="69">
        <f>IF(G100="","",IF(W100=E100,1,0))</f>
        <v/>
      </c>
      <c r="Y100" s="70" t="n"/>
    </row>
    <row r="101">
      <c r="A101" s="61" t="n">
        <v>19</v>
      </c>
      <c r="B101" s="62" t="n">
        <v>47</v>
      </c>
      <c r="C101" s="61" t="inlineStr">
        <is>
          <t>R3</t>
        </is>
      </c>
      <c r="D101" s="74" t="inlineStr">
        <is>
          <t>NG</t>
        </is>
      </c>
      <c r="E101" s="61" t="inlineStr">
        <is>
          <t>N2</t>
        </is>
      </c>
      <c r="F101" s="61" t="inlineStr">
        <is>
          <t>K019</t>
        </is>
      </c>
      <c r="G101" s="64" t="n">
        <v>8.6</v>
      </c>
      <c r="H101" s="65" t="n"/>
      <c r="I101" s="66" t="n"/>
      <c r="J101" s="67">
        <f>VLOOKUP(C101,Recipes!$A$2:$N$4,10,FALSE())</f>
        <v/>
      </c>
      <c r="K101" s="68">
        <f>VLOOKUP(C101,Recipes!$A$2:$N$4,12,FALSE())</f>
        <v/>
      </c>
      <c r="L101" s="67">
        <f>J101-6*K101</f>
        <v/>
      </c>
      <c r="M101" s="67">
        <f>J101+6*K101</f>
        <v/>
      </c>
      <c r="N101" s="61">
        <f>IF(G101="","",IF(AND(G101&gt;=L101,G101&lt;=M101),"OK","NG"))</f>
        <v/>
      </c>
      <c r="O101" s="69">
        <f>IF(N101="","",IF(N101=D101,1,0))</f>
        <v/>
      </c>
      <c r="P101" s="67">
        <f>IF(G101="","",J101-G101)</f>
        <v/>
      </c>
      <c r="Q101" s="67">
        <f>IF(G101="","",ABS(P101-Components!$D$2)/Components!$E$2)</f>
        <v/>
      </c>
      <c r="R101" s="67">
        <f>IF(G101="","",ABS(P101-Components!$D$3)/Components!$E$3)</f>
        <v/>
      </c>
      <c r="S101" s="67">
        <f>IF(G101="","",ABS(P101-Components!$D$4)/Components!$E$4)</f>
        <v/>
      </c>
      <c r="T101" s="67">
        <f>IF(G101="","",ABS(P101-Components!$D$5)/Components!$E$5)</f>
        <v/>
      </c>
      <c r="U101" s="67">
        <f>IF(G101="","",ABS(P101-Components!$D$6)/Components!$E$6)</f>
        <v/>
      </c>
      <c r="V101" s="67">
        <f>IF(G101="","",ABS(P101-Components!$D$7)/Components!$E$7)</f>
        <v/>
      </c>
      <c r="W101" s="61">
        <f>IF(G101="","",IF(N101="OK","NONE",INDEX({"S1","S2","W1","W2","N1","N2"},MATCH(MIN(Q101:V101),Q101:V101,0))))</f>
        <v/>
      </c>
      <c r="X101" s="69">
        <f>IF(G101="","",IF(W101=E101,1,0))</f>
        <v/>
      </c>
      <c r="Y101" s="70" t="n"/>
    </row>
    <row r="102">
      <c r="A102" s="61" t="n">
        <v>19</v>
      </c>
      <c r="B102" s="62" t="n">
        <v>47</v>
      </c>
      <c r="C102" s="61" t="inlineStr">
        <is>
          <t>R3</t>
        </is>
      </c>
      <c r="D102" s="74" t="inlineStr">
        <is>
          <t>NG</t>
        </is>
      </c>
      <c r="E102" s="61" t="inlineStr">
        <is>
          <t>N2</t>
        </is>
      </c>
      <c r="F102" s="61" t="inlineStr">
        <is>
          <t>K019</t>
        </is>
      </c>
      <c r="G102" s="64" t="n">
        <v>8.619999999999999</v>
      </c>
      <c r="H102" s="65" t="n"/>
      <c r="I102" s="66" t="n"/>
      <c r="J102" s="67">
        <f>VLOOKUP(C102,Recipes!$A$2:$N$4,10,FALSE())</f>
        <v/>
      </c>
      <c r="K102" s="68">
        <f>VLOOKUP(C102,Recipes!$A$2:$N$4,12,FALSE())</f>
        <v/>
      </c>
      <c r="L102" s="67">
        <f>J102-6*K102</f>
        <v/>
      </c>
      <c r="M102" s="67">
        <f>J102+6*K102</f>
        <v/>
      </c>
      <c r="N102" s="61">
        <f>IF(G102="","",IF(AND(G102&gt;=L102,G102&lt;=M102),"OK","NG"))</f>
        <v/>
      </c>
      <c r="O102" s="69">
        <f>IF(N102="","",IF(N102=D102,1,0))</f>
        <v/>
      </c>
      <c r="P102" s="67">
        <f>IF(G102="","",J102-G102)</f>
        <v/>
      </c>
      <c r="Q102" s="67">
        <f>IF(G102="","",ABS(P102-Components!$D$2)/Components!$E$2)</f>
        <v/>
      </c>
      <c r="R102" s="67">
        <f>IF(G102="","",ABS(P102-Components!$D$3)/Components!$E$3)</f>
        <v/>
      </c>
      <c r="S102" s="67">
        <f>IF(G102="","",ABS(P102-Components!$D$4)/Components!$E$4)</f>
        <v/>
      </c>
      <c r="T102" s="67">
        <f>IF(G102="","",ABS(P102-Components!$D$5)/Components!$E$5)</f>
        <v/>
      </c>
      <c r="U102" s="67">
        <f>IF(G102="","",ABS(P102-Components!$D$6)/Components!$E$6)</f>
        <v/>
      </c>
      <c r="V102" s="67">
        <f>IF(G102="","",ABS(P102-Components!$D$7)/Components!$E$7)</f>
        <v/>
      </c>
      <c r="W102" s="61">
        <f>IF(G102="","",IF(N102="OK","NONE",INDEX({"S1","S2","W1","W2","N1","N2"},MATCH(MIN(Q102:V102),Q102:V102,0))))</f>
        <v/>
      </c>
      <c r="X102" s="69">
        <f>IF(G102="","",IF(W102=E102,1,0))</f>
        <v/>
      </c>
      <c r="Y102" s="70" t="n"/>
    </row>
    <row r="103">
      <c r="A103" s="61" t="n">
        <v>19</v>
      </c>
      <c r="B103" s="62" t="n">
        <v>47</v>
      </c>
      <c r="C103" s="61" t="inlineStr">
        <is>
          <t>R3</t>
        </is>
      </c>
      <c r="D103" s="74" t="inlineStr">
        <is>
          <t>NG</t>
        </is>
      </c>
      <c r="E103" s="61" t="inlineStr">
        <is>
          <t>N2</t>
        </is>
      </c>
      <c r="F103" s="61" t="inlineStr">
        <is>
          <t>K019</t>
        </is>
      </c>
      <c r="G103" s="64" t="n">
        <v>8.6</v>
      </c>
      <c r="H103" s="65" t="n"/>
      <c r="I103" s="66" t="n"/>
      <c r="J103" s="67">
        <f>VLOOKUP(C103,Recipes!$A$2:$N$4,10,FALSE())</f>
        <v/>
      </c>
      <c r="K103" s="68">
        <f>VLOOKUP(C103,Recipes!$A$2:$N$4,12,FALSE())</f>
        <v/>
      </c>
      <c r="L103" s="67">
        <f>J103-6*K103</f>
        <v/>
      </c>
      <c r="M103" s="67">
        <f>J103+6*K103</f>
        <v/>
      </c>
      <c r="N103" s="61">
        <f>IF(G103="","",IF(AND(G103&gt;=L103,G103&lt;=M103),"OK","NG"))</f>
        <v/>
      </c>
      <c r="O103" s="69">
        <f>IF(N103="","",IF(N103=D103,1,0))</f>
        <v/>
      </c>
      <c r="P103" s="67">
        <f>IF(G103="","",J103-G103)</f>
        <v/>
      </c>
      <c r="Q103" s="67">
        <f>IF(G103="","",ABS(P103-Components!$D$2)/Components!$E$2)</f>
        <v/>
      </c>
      <c r="R103" s="67">
        <f>IF(G103="","",ABS(P103-Components!$D$3)/Components!$E$3)</f>
        <v/>
      </c>
      <c r="S103" s="67">
        <f>IF(G103="","",ABS(P103-Components!$D$4)/Components!$E$4)</f>
        <v/>
      </c>
      <c r="T103" s="67">
        <f>IF(G103="","",ABS(P103-Components!$D$5)/Components!$E$5)</f>
        <v/>
      </c>
      <c r="U103" s="67">
        <f>IF(G103="","",ABS(P103-Components!$D$6)/Components!$E$6)</f>
        <v/>
      </c>
      <c r="V103" s="67">
        <f>IF(G103="","",ABS(P103-Components!$D$7)/Components!$E$7)</f>
        <v/>
      </c>
      <c r="W103" s="61">
        <f>IF(G103="","",IF(N103="OK","NONE",INDEX({"S1","S2","W1","W2","N1","N2"},MATCH(MIN(Q103:V103),Q103:V103,0))))</f>
        <v/>
      </c>
      <c r="X103" s="69">
        <f>IF(G103="","",IF(W103=E103,1,0))</f>
        <v/>
      </c>
      <c r="Y103" s="70" t="n"/>
    </row>
    <row r="104">
      <c r="A104" s="61" t="n">
        <v>19</v>
      </c>
      <c r="B104" s="62" t="n">
        <v>47</v>
      </c>
      <c r="C104" s="61" t="inlineStr">
        <is>
          <t>R3</t>
        </is>
      </c>
      <c r="D104" s="74" t="inlineStr">
        <is>
          <t>NG</t>
        </is>
      </c>
      <c r="E104" s="61" t="inlineStr">
        <is>
          <t>N2</t>
        </is>
      </c>
      <c r="F104" s="61" t="inlineStr">
        <is>
          <t>K019</t>
        </is>
      </c>
      <c r="G104" s="64" t="n">
        <v>8.539999999999999</v>
      </c>
      <c r="H104" s="65" t="n"/>
      <c r="I104" s="66" t="n"/>
      <c r="J104" s="67">
        <f>VLOOKUP(C104,Recipes!$A$2:$N$4,10,FALSE())</f>
        <v/>
      </c>
      <c r="K104" s="68">
        <f>VLOOKUP(C104,Recipes!$A$2:$N$4,12,FALSE())</f>
        <v/>
      </c>
      <c r="L104" s="67">
        <f>J104-6*K104</f>
        <v/>
      </c>
      <c r="M104" s="67">
        <f>J104+6*K104</f>
        <v/>
      </c>
      <c r="N104" s="61">
        <f>IF(G104="","",IF(AND(G104&gt;=L104,G104&lt;=M104),"OK","NG"))</f>
        <v/>
      </c>
      <c r="O104" s="69">
        <f>IF(N104="","",IF(N104=D104,1,0))</f>
        <v/>
      </c>
      <c r="P104" s="67">
        <f>IF(G104="","",J104-G104)</f>
        <v/>
      </c>
      <c r="Q104" s="67">
        <f>IF(G104="","",ABS(P104-Components!$D$2)/Components!$E$2)</f>
        <v/>
      </c>
      <c r="R104" s="67">
        <f>IF(G104="","",ABS(P104-Components!$D$3)/Components!$E$3)</f>
        <v/>
      </c>
      <c r="S104" s="67">
        <f>IF(G104="","",ABS(P104-Components!$D$4)/Components!$E$4)</f>
        <v/>
      </c>
      <c r="T104" s="67">
        <f>IF(G104="","",ABS(P104-Components!$D$5)/Components!$E$5)</f>
        <v/>
      </c>
      <c r="U104" s="67">
        <f>IF(G104="","",ABS(P104-Components!$D$6)/Components!$E$6)</f>
        <v/>
      </c>
      <c r="V104" s="67">
        <f>IF(G104="","",ABS(P104-Components!$D$7)/Components!$E$7)</f>
        <v/>
      </c>
      <c r="W104" s="61">
        <f>IF(G104="","",IF(N104="OK","NONE",INDEX({"S1","S2","W1","W2","N1","N2"},MATCH(MIN(Q104:V104),Q104:V104,0))))</f>
        <v/>
      </c>
      <c r="X104" s="69">
        <f>IF(G104="","",IF(W104=E104,1,0))</f>
        <v/>
      </c>
      <c r="Y104" s="70" t="n"/>
    </row>
    <row r="105">
      <c r="A105" s="61" t="n">
        <v>19</v>
      </c>
      <c r="B105" s="62" t="n">
        <v>47</v>
      </c>
      <c r="C105" s="61" t="inlineStr">
        <is>
          <t>R3</t>
        </is>
      </c>
      <c r="D105" s="74" t="inlineStr">
        <is>
          <t>NG</t>
        </is>
      </c>
      <c r="E105" s="61" t="inlineStr">
        <is>
          <t>N2</t>
        </is>
      </c>
      <c r="F105" s="61" t="inlineStr">
        <is>
          <t>K019</t>
        </is>
      </c>
      <c r="G105" s="64" t="n">
        <v>8.640000000000001</v>
      </c>
      <c r="H105" s="65" t="n"/>
      <c r="I105" s="66" t="n"/>
      <c r="J105" s="67">
        <f>VLOOKUP(C105,Recipes!$A$2:$N$4,10,FALSE())</f>
        <v/>
      </c>
      <c r="K105" s="68">
        <f>VLOOKUP(C105,Recipes!$A$2:$N$4,12,FALSE())</f>
        <v/>
      </c>
      <c r="L105" s="67">
        <f>J105-6*K105</f>
        <v/>
      </c>
      <c r="M105" s="67">
        <f>J105+6*K105</f>
        <v/>
      </c>
      <c r="N105" s="61">
        <f>IF(G105="","",IF(AND(G105&gt;=L105,G105&lt;=M105),"OK","NG"))</f>
        <v/>
      </c>
      <c r="O105" s="69">
        <f>IF(N105="","",IF(N105=D105,1,0))</f>
        <v/>
      </c>
      <c r="P105" s="67">
        <f>IF(G105="","",J105-G105)</f>
        <v/>
      </c>
      <c r="Q105" s="67">
        <f>IF(G105="","",ABS(P105-Components!$D$2)/Components!$E$2)</f>
        <v/>
      </c>
      <c r="R105" s="67">
        <f>IF(G105="","",ABS(P105-Components!$D$3)/Components!$E$3)</f>
        <v/>
      </c>
      <c r="S105" s="67">
        <f>IF(G105="","",ABS(P105-Components!$D$4)/Components!$E$4)</f>
        <v/>
      </c>
      <c r="T105" s="67">
        <f>IF(G105="","",ABS(P105-Components!$D$5)/Components!$E$5)</f>
        <v/>
      </c>
      <c r="U105" s="67">
        <f>IF(G105="","",ABS(P105-Components!$D$6)/Components!$E$6)</f>
        <v/>
      </c>
      <c r="V105" s="67">
        <f>IF(G105="","",ABS(P105-Components!$D$7)/Components!$E$7)</f>
        <v/>
      </c>
      <c r="W105" s="61">
        <f>IF(G105="","",IF(N105="OK","NONE",INDEX({"S1","S2","W1","W2","N1","N2"},MATCH(MIN(Q105:V105),Q105:V105,0))))</f>
        <v/>
      </c>
      <c r="X105" s="69">
        <f>IF(G105="","",IF(W105=E105,1,0))</f>
        <v/>
      </c>
      <c r="Y105" s="70" t="n"/>
    </row>
    <row r="106">
      <c r="A106" s="61" t="n">
        <v>19</v>
      </c>
      <c r="B106" s="62" t="n">
        <v>47</v>
      </c>
      <c r="C106" s="61" t="inlineStr">
        <is>
          <t>R3</t>
        </is>
      </c>
      <c r="D106" s="74" t="inlineStr">
        <is>
          <t>NG</t>
        </is>
      </c>
      <c r="E106" s="61" t="inlineStr">
        <is>
          <t>N2</t>
        </is>
      </c>
      <c r="F106" s="61" t="inlineStr">
        <is>
          <t>K019</t>
        </is>
      </c>
      <c r="G106" s="64" t="n">
        <v>8.6</v>
      </c>
      <c r="H106" s="65" t="n"/>
      <c r="I106" s="66" t="n"/>
      <c r="J106" s="67">
        <f>VLOOKUP(C106,Recipes!$A$2:$N$4,10,FALSE())</f>
        <v/>
      </c>
      <c r="K106" s="68">
        <f>VLOOKUP(C106,Recipes!$A$2:$N$4,12,FALSE())</f>
        <v/>
      </c>
      <c r="L106" s="67">
        <f>J106-6*K106</f>
        <v/>
      </c>
      <c r="M106" s="67">
        <f>J106+6*K106</f>
        <v/>
      </c>
      <c r="N106" s="61">
        <f>IF(G106="","",IF(AND(G106&gt;=L106,G106&lt;=M106),"OK","NG"))</f>
        <v/>
      </c>
      <c r="O106" s="69">
        <f>IF(N106="","",IF(N106=D106,1,0))</f>
        <v/>
      </c>
      <c r="P106" s="67">
        <f>IF(G106="","",J106-G106)</f>
        <v/>
      </c>
      <c r="Q106" s="67">
        <f>IF(G106="","",ABS(P106-Components!$D$2)/Components!$E$2)</f>
        <v/>
      </c>
      <c r="R106" s="67">
        <f>IF(G106="","",ABS(P106-Components!$D$3)/Components!$E$3)</f>
        <v/>
      </c>
      <c r="S106" s="67">
        <f>IF(G106="","",ABS(P106-Components!$D$4)/Components!$E$4)</f>
        <v/>
      </c>
      <c r="T106" s="67">
        <f>IF(G106="","",ABS(P106-Components!$D$5)/Components!$E$5)</f>
        <v/>
      </c>
      <c r="U106" s="67">
        <f>IF(G106="","",ABS(P106-Components!$D$6)/Components!$E$6)</f>
        <v/>
      </c>
      <c r="V106" s="67">
        <f>IF(G106="","",ABS(P106-Components!$D$7)/Components!$E$7)</f>
        <v/>
      </c>
      <c r="W106" s="61">
        <f>IF(G106="","",IF(N106="OK","NONE",INDEX({"S1","S2","W1","W2","N1","N2"},MATCH(MIN(Q106:V106),Q106:V106,0))))</f>
        <v/>
      </c>
      <c r="X106" s="69">
        <f>IF(G106="","",IF(W106=E106,1,0))</f>
        <v/>
      </c>
      <c r="Y106" s="70" t="n"/>
    </row>
    <row r="107">
      <c r="A107" s="61" t="n">
        <v>19</v>
      </c>
      <c r="B107" s="62" t="n">
        <v>47</v>
      </c>
      <c r="C107" s="61" t="inlineStr">
        <is>
          <t>R3</t>
        </is>
      </c>
      <c r="D107" s="74" t="inlineStr">
        <is>
          <t>NG</t>
        </is>
      </c>
      <c r="E107" s="61" t="inlineStr">
        <is>
          <t>N2</t>
        </is>
      </c>
      <c r="F107" s="61" t="inlineStr">
        <is>
          <t>K019</t>
        </is>
      </c>
      <c r="G107" s="64" t="n">
        <v>8.59</v>
      </c>
      <c r="H107" s="65" t="n"/>
      <c r="I107" s="66" t="n"/>
      <c r="J107" s="67">
        <f>VLOOKUP(C107,Recipes!$A$2:$N$4,10,FALSE())</f>
        <v/>
      </c>
      <c r="K107" s="68">
        <f>VLOOKUP(C107,Recipes!$A$2:$N$4,12,FALSE())</f>
        <v/>
      </c>
      <c r="L107" s="67">
        <f>J107-6*K107</f>
        <v/>
      </c>
      <c r="M107" s="67">
        <f>J107+6*K107</f>
        <v/>
      </c>
      <c r="N107" s="61">
        <f>IF(G107="","",IF(AND(G107&gt;=L107,G107&lt;=M107),"OK","NG"))</f>
        <v/>
      </c>
      <c r="O107" s="69">
        <f>IF(N107="","",IF(N107=D107,1,0))</f>
        <v/>
      </c>
      <c r="P107" s="67">
        <f>IF(G107="","",J107-G107)</f>
        <v/>
      </c>
      <c r="Q107" s="67">
        <f>IF(G107="","",ABS(P107-Components!$D$2)/Components!$E$2)</f>
        <v/>
      </c>
      <c r="R107" s="67">
        <f>IF(G107="","",ABS(P107-Components!$D$3)/Components!$E$3)</f>
        <v/>
      </c>
      <c r="S107" s="67">
        <f>IF(G107="","",ABS(P107-Components!$D$4)/Components!$E$4)</f>
        <v/>
      </c>
      <c r="T107" s="67">
        <f>IF(G107="","",ABS(P107-Components!$D$5)/Components!$E$5)</f>
        <v/>
      </c>
      <c r="U107" s="67">
        <f>IF(G107="","",ABS(P107-Components!$D$6)/Components!$E$6)</f>
        <v/>
      </c>
      <c r="V107" s="67">
        <f>IF(G107="","",ABS(P107-Components!$D$7)/Components!$E$7)</f>
        <v/>
      </c>
      <c r="W107" s="61">
        <f>IF(G107="","",IF(N107="OK","NONE",INDEX({"S1","S2","W1","W2","N1","N2"},MATCH(MIN(Q107:V107),Q107:V107,0))))</f>
        <v/>
      </c>
      <c r="X107" s="69">
        <f>IF(G107="","",IF(W107=E107,1,0))</f>
        <v/>
      </c>
      <c r="Y107" s="70" t="n"/>
    </row>
    <row r="108">
      <c r="A108" s="61" t="n">
        <v>19</v>
      </c>
      <c r="B108" s="62" t="n">
        <v>47</v>
      </c>
      <c r="C108" s="61" t="inlineStr">
        <is>
          <t>R3</t>
        </is>
      </c>
      <c r="D108" s="74" t="inlineStr">
        <is>
          <t>NG</t>
        </is>
      </c>
      <c r="E108" s="61" t="inlineStr">
        <is>
          <t>N2</t>
        </is>
      </c>
      <c r="F108" s="61" t="inlineStr">
        <is>
          <t>K019</t>
        </is>
      </c>
      <c r="G108" s="64" t="n">
        <v>8.57</v>
      </c>
      <c r="H108" s="65" t="n"/>
      <c r="I108" s="66" t="n"/>
      <c r="J108" s="67">
        <f>VLOOKUP(C108,Recipes!$A$2:$N$4,10,FALSE())</f>
        <v/>
      </c>
      <c r="K108" s="68">
        <f>VLOOKUP(C108,Recipes!$A$2:$N$4,12,FALSE())</f>
        <v/>
      </c>
      <c r="L108" s="67">
        <f>J108-6*K108</f>
        <v/>
      </c>
      <c r="M108" s="67">
        <f>J108+6*K108</f>
        <v/>
      </c>
      <c r="N108" s="61">
        <f>IF(G108="","",IF(AND(G108&gt;=L108,G108&lt;=M108),"OK","NG"))</f>
        <v/>
      </c>
      <c r="O108" s="69">
        <f>IF(N108="","",IF(N108=D108,1,0))</f>
        <v/>
      </c>
      <c r="P108" s="67">
        <f>IF(G108="","",J108-G108)</f>
        <v/>
      </c>
      <c r="Q108" s="67">
        <f>IF(G108="","",ABS(P108-Components!$D$2)/Components!$E$2)</f>
        <v/>
      </c>
      <c r="R108" s="67">
        <f>IF(G108="","",ABS(P108-Components!$D$3)/Components!$E$3)</f>
        <v/>
      </c>
      <c r="S108" s="67">
        <f>IF(G108="","",ABS(P108-Components!$D$4)/Components!$E$4)</f>
        <v/>
      </c>
      <c r="T108" s="67">
        <f>IF(G108="","",ABS(P108-Components!$D$5)/Components!$E$5)</f>
        <v/>
      </c>
      <c r="U108" s="67">
        <f>IF(G108="","",ABS(P108-Components!$D$6)/Components!$E$6)</f>
        <v/>
      </c>
      <c r="V108" s="67">
        <f>IF(G108="","",ABS(P108-Components!$D$7)/Components!$E$7)</f>
        <v/>
      </c>
      <c r="W108" s="61">
        <f>IF(G108="","",IF(N108="OK","NONE",INDEX({"S1","S2","W1","W2","N1","N2"},MATCH(MIN(Q108:V108),Q108:V108,0))))</f>
        <v/>
      </c>
      <c r="X108" s="69">
        <f>IF(G108="","",IF(W108=E108,1,0))</f>
        <v/>
      </c>
      <c r="Y108" s="70" t="n"/>
    </row>
    <row r="109">
      <c r="A109" s="61" t="n">
        <v>19</v>
      </c>
      <c r="B109" s="62" t="n">
        <v>47</v>
      </c>
      <c r="C109" s="61" t="inlineStr">
        <is>
          <t>R3</t>
        </is>
      </c>
      <c r="D109" s="74" t="inlineStr">
        <is>
          <t>NG</t>
        </is>
      </c>
      <c r="E109" s="61" t="inlineStr">
        <is>
          <t>N2</t>
        </is>
      </c>
      <c r="F109" s="61" t="inlineStr">
        <is>
          <t>K019</t>
        </is>
      </c>
      <c r="G109" s="64" t="n">
        <v>8.609999999999999</v>
      </c>
      <c r="H109" s="65" t="n"/>
      <c r="I109" s="66" t="n"/>
      <c r="J109" s="67">
        <f>VLOOKUP(C109,Recipes!$A$2:$N$4,10,FALSE())</f>
        <v/>
      </c>
      <c r="K109" s="68">
        <f>VLOOKUP(C109,Recipes!$A$2:$N$4,12,FALSE())</f>
        <v/>
      </c>
      <c r="L109" s="67">
        <f>J109-6*K109</f>
        <v/>
      </c>
      <c r="M109" s="67">
        <f>J109+6*K109</f>
        <v/>
      </c>
      <c r="N109" s="61">
        <f>IF(G109="","",IF(AND(G109&gt;=L109,G109&lt;=M109),"OK","NG"))</f>
        <v/>
      </c>
      <c r="O109" s="69">
        <f>IF(N109="","",IF(N109=D109,1,0))</f>
        <v/>
      </c>
      <c r="P109" s="67">
        <f>IF(G109="","",J109-G109)</f>
        <v/>
      </c>
      <c r="Q109" s="67">
        <f>IF(G109="","",ABS(P109-Components!$D$2)/Components!$E$2)</f>
        <v/>
      </c>
      <c r="R109" s="67">
        <f>IF(G109="","",ABS(P109-Components!$D$3)/Components!$E$3)</f>
        <v/>
      </c>
      <c r="S109" s="67">
        <f>IF(G109="","",ABS(P109-Components!$D$4)/Components!$E$4)</f>
        <v/>
      </c>
      <c r="T109" s="67">
        <f>IF(G109="","",ABS(P109-Components!$D$5)/Components!$E$5)</f>
        <v/>
      </c>
      <c r="U109" s="67">
        <f>IF(G109="","",ABS(P109-Components!$D$6)/Components!$E$6)</f>
        <v/>
      </c>
      <c r="V109" s="67">
        <f>IF(G109="","",ABS(P109-Components!$D$7)/Components!$E$7)</f>
        <v/>
      </c>
      <c r="W109" s="61">
        <f>IF(G109="","",IF(N109="OK","NONE",INDEX({"S1","S2","W1","W2","N1","N2"},MATCH(MIN(Q109:V109),Q109:V109,0))))</f>
        <v/>
      </c>
      <c r="X109" s="69">
        <f>IF(G109="","",IF(W109=E109,1,0))</f>
        <v/>
      </c>
      <c r="Y109" s="70" t="n"/>
    </row>
    <row r="110">
      <c r="A110" s="61" t="n">
        <v>19</v>
      </c>
      <c r="B110" s="62" t="n">
        <v>47</v>
      </c>
      <c r="C110" s="61" t="inlineStr">
        <is>
          <t>R3</t>
        </is>
      </c>
      <c r="D110" s="74" t="inlineStr">
        <is>
          <t>NG</t>
        </is>
      </c>
      <c r="E110" s="61" t="inlineStr">
        <is>
          <t>N2</t>
        </is>
      </c>
      <c r="F110" s="61" t="inlineStr">
        <is>
          <t>K019</t>
        </is>
      </c>
      <c r="G110" s="64" t="n">
        <v>8.59</v>
      </c>
      <c r="H110" s="65" t="n"/>
      <c r="I110" s="66" t="n"/>
      <c r="J110" s="67">
        <f>VLOOKUP(C110,Recipes!$A$2:$N$4,10,FALSE())</f>
        <v/>
      </c>
      <c r="K110" s="68">
        <f>VLOOKUP(C110,Recipes!$A$2:$N$4,12,FALSE())</f>
        <v/>
      </c>
      <c r="L110" s="67">
        <f>J110-6*K110</f>
        <v/>
      </c>
      <c r="M110" s="67">
        <f>J110+6*K110</f>
        <v/>
      </c>
      <c r="N110" s="61">
        <f>IF(G110="","",IF(AND(G110&gt;=L110,G110&lt;=M110),"OK","NG"))</f>
        <v/>
      </c>
      <c r="O110" s="69">
        <f>IF(N110="","",IF(N110=D110,1,0))</f>
        <v/>
      </c>
      <c r="P110" s="67">
        <f>IF(G110="","",J110-G110)</f>
        <v/>
      </c>
      <c r="Q110" s="67">
        <f>IF(G110="","",ABS(P110-Components!$D$2)/Components!$E$2)</f>
        <v/>
      </c>
      <c r="R110" s="67">
        <f>IF(G110="","",ABS(P110-Components!$D$3)/Components!$E$3)</f>
        <v/>
      </c>
      <c r="S110" s="67">
        <f>IF(G110="","",ABS(P110-Components!$D$4)/Components!$E$4)</f>
        <v/>
      </c>
      <c r="T110" s="67">
        <f>IF(G110="","",ABS(P110-Components!$D$5)/Components!$E$5)</f>
        <v/>
      </c>
      <c r="U110" s="67">
        <f>IF(G110="","",ABS(P110-Components!$D$6)/Components!$E$6)</f>
        <v/>
      </c>
      <c r="V110" s="67">
        <f>IF(G110="","",ABS(P110-Components!$D$7)/Components!$E$7)</f>
        <v/>
      </c>
      <c r="W110" s="61">
        <f>IF(G110="","",IF(N110="OK","NONE",INDEX({"S1","S2","W1","W2","N1","N2"},MATCH(MIN(Q110:V110),Q110:V110,0))))</f>
        <v/>
      </c>
      <c r="X110" s="69">
        <f>IF(G110="","",IF(W110=E110,1,0))</f>
        <v/>
      </c>
      <c r="Y110" s="70" t="n"/>
    </row>
    <row r="111">
      <c r="A111" s="61" t="n">
        <v>19</v>
      </c>
      <c r="B111" s="62" t="n">
        <v>47</v>
      </c>
      <c r="C111" s="61" t="inlineStr">
        <is>
          <t>R3</t>
        </is>
      </c>
      <c r="D111" s="74" t="inlineStr">
        <is>
          <t>NG</t>
        </is>
      </c>
      <c r="E111" s="61" t="inlineStr">
        <is>
          <t>N2</t>
        </is>
      </c>
      <c r="F111" s="61" t="inlineStr">
        <is>
          <t>K019</t>
        </is>
      </c>
      <c r="G111" s="64" t="n">
        <v>8.5</v>
      </c>
      <c r="H111" s="65" t="n"/>
      <c r="I111" s="66" t="n"/>
      <c r="J111" s="67">
        <f>VLOOKUP(C111,Recipes!$A$2:$N$4,10,FALSE())</f>
        <v/>
      </c>
      <c r="K111" s="68">
        <f>VLOOKUP(C111,Recipes!$A$2:$N$4,12,FALSE())</f>
        <v/>
      </c>
      <c r="L111" s="67">
        <f>J111-6*K111</f>
        <v/>
      </c>
      <c r="M111" s="67">
        <f>J111+6*K111</f>
        <v/>
      </c>
      <c r="N111" s="61">
        <f>IF(G111="","",IF(AND(G111&gt;=L111,G111&lt;=M111),"OK","NG"))</f>
        <v/>
      </c>
      <c r="O111" s="69">
        <f>IF(N111="","",IF(N111=D111,1,0))</f>
        <v/>
      </c>
      <c r="P111" s="67">
        <f>IF(G111="","",J111-G111)</f>
        <v/>
      </c>
      <c r="Q111" s="67">
        <f>IF(G111="","",ABS(P111-Components!$D$2)/Components!$E$2)</f>
        <v/>
      </c>
      <c r="R111" s="67">
        <f>IF(G111="","",ABS(P111-Components!$D$3)/Components!$E$3)</f>
        <v/>
      </c>
      <c r="S111" s="67">
        <f>IF(G111="","",ABS(P111-Components!$D$4)/Components!$E$4)</f>
        <v/>
      </c>
      <c r="T111" s="67">
        <f>IF(G111="","",ABS(P111-Components!$D$5)/Components!$E$5)</f>
        <v/>
      </c>
      <c r="U111" s="67">
        <f>IF(G111="","",ABS(P111-Components!$D$6)/Components!$E$6)</f>
        <v/>
      </c>
      <c r="V111" s="67">
        <f>IF(G111="","",ABS(P111-Components!$D$7)/Components!$E$7)</f>
        <v/>
      </c>
      <c r="W111" s="61">
        <f>IF(G111="","",IF(N111="OK","NONE",INDEX({"S1","S2","W1","W2","N1","N2"},MATCH(MIN(Q111:V111),Q111:V111,0))))</f>
        <v/>
      </c>
      <c r="X111" s="69">
        <f>IF(G111="","",IF(W111=E111,1,0))</f>
        <v/>
      </c>
      <c r="Y111" s="70" t="n"/>
    </row>
    <row r="112">
      <c r="A112" s="61" t="n">
        <v>19</v>
      </c>
      <c r="B112" s="62" t="n">
        <v>47</v>
      </c>
      <c r="C112" s="61" t="inlineStr">
        <is>
          <t>R3</t>
        </is>
      </c>
      <c r="D112" s="74" t="inlineStr">
        <is>
          <t>NG</t>
        </is>
      </c>
      <c r="E112" s="61" t="inlineStr">
        <is>
          <t>N2</t>
        </is>
      </c>
      <c r="F112" s="61" t="inlineStr">
        <is>
          <t>K019</t>
        </is>
      </c>
      <c r="G112" s="64" t="n">
        <v>8.619999999999999</v>
      </c>
      <c r="H112" s="65" t="n"/>
      <c r="I112" s="66" t="n"/>
      <c r="J112" s="67">
        <f>VLOOKUP(C112,Recipes!$A$2:$N$4,10,FALSE())</f>
        <v/>
      </c>
      <c r="K112" s="68">
        <f>VLOOKUP(C112,Recipes!$A$2:$N$4,12,FALSE())</f>
        <v/>
      </c>
      <c r="L112" s="67">
        <f>J112-6*K112</f>
        <v/>
      </c>
      <c r="M112" s="67">
        <f>J112+6*K112</f>
        <v/>
      </c>
      <c r="N112" s="61">
        <f>IF(G112="","",IF(AND(G112&gt;=L112,G112&lt;=M112),"OK","NG"))</f>
        <v/>
      </c>
      <c r="O112" s="69">
        <f>IF(N112="","",IF(N112=D112,1,0))</f>
        <v/>
      </c>
      <c r="P112" s="67">
        <f>IF(G112="","",J112-G112)</f>
        <v/>
      </c>
      <c r="Q112" s="67">
        <f>IF(G112="","",ABS(P112-Components!$D$2)/Components!$E$2)</f>
        <v/>
      </c>
      <c r="R112" s="67">
        <f>IF(G112="","",ABS(P112-Components!$D$3)/Components!$E$3)</f>
        <v/>
      </c>
      <c r="S112" s="67">
        <f>IF(G112="","",ABS(P112-Components!$D$4)/Components!$E$4)</f>
        <v/>
      </c>
      <c r="T112" s="67">
        <f>IF(G112="","",ABS(P112-Components!$D$5)/Components!$E$5)</f>
        <v/>
      </c>
      <c r="U112" s="67">
        <f>IF(G112="","",ABS(P112-Components!$D$6)/Components!$E$6)</f>
        <v/>
      </c>
      <c r="V112" s="67">
        <f>IF(G112="","",ABS(P112-Components!$D$7)/Components!$E$7)</f>
        <v/>
      </c>
      <c r="W112" s="61">
        <f>IF(G112="","",IF(N112="OK","NONE",INDEX({"S1","S2","W1","W2","N1","N2"},MATCH(MIN(Q112:V112),Q112:V112,0))))</f>
        <v/>
      </c>
      <c r="X112" s="69">
        <f>IF(G112="","",IF(W112=E112,1,0))</f>
        <v/>
      </c>
      <c r="Y112" s="70" t="n"/>
    </row>
    <row r="113">
      <c r="A113" s="61" t="n">
        <v>19</v>
      </c>
      <c r="B113" s="62" t="n">
        <v>47</v>
      </c>
      <c r="C113" s="61" t="inlineStr">
        <is>
          <t>R3</t>
        </is>
      </c>
      <c r="D113" s="74" t="inlineStr">
        <is>
          <t>NG</t>
        </is>
      </c>
      <c r="E113" s="61" t="inlineStr">
        <is>
          <t>N2</t>
        </is>
      </c>
      <c r="F113" s="61" t="inlineStr">
        <is>
          <t>K019</t>
        </is>
      </c>
      <c r="G113" s="64" t="n">
        <v>8.609999999999999</v>
      </c>
      <c r="H113" s="65" t="n"/>
      <c r="I113" s="66" t="n"/>
      <c r="J113" s="67">
        <f>VLOOKUP(C113,Recipes!$A$2:$N$4,10,FALSE())</f>
        <v/>
      </c>
      <c r="K113" s="68">
        <f>VLOOKUP(C113,Recipes!$A$2:$N$4,12,FALSE())</f>
        <v/>
      </c>
      <c r="L113" s="67">
        <f>J113-6*K113</f>
        <v/>
      </c>
      <c r="M113" s="67">
        <f>J113+6*K113</f>
        <v/>
      </c>
      <c r="N113" s="61">
        <f>IF(G113="","",IF(AND(G113&gt;=L113,G113&lt;=M113),"OK","NG"))</f>
        <v/>
      </c>
      <c r="O113" s="69">
        <f>IF(N113="","",IF(N113=D113,1,0))</f>
        <v/>
      </c>
      <c r="P113" s="67">
        <f>IF(G113="","",J113-G113)</f>
        <v/>
      </c>
      <c r="Q113" s="67">
        <f>IF(G113="","",ABS(P113-Components!$D$2)/Components!$E$2)</f>
        <v/>
      </c>
      <c r="R113" s="67">
        <f>IF(G113="","",ABS(P113-Components!$D$3)/Components!$E$3)</f>
        <v/>
      </c>
      <c r="S113" s="67">
        <f>IF(G113="","",ABS(P113-Components!$D$4)/Components!$E$4)</f>
        <v/>
      </c>
      <c r="T113" s="67">
        <f>IF(G113="","",ABS(P113-Components!$D$5)/Components!$E$5)</f>
        <v/>
      </c>
      <c r="U113" s="67">
        <f>IF(G113="","",ABS(P113-Components!$D$6)/Components!$E$6)</f>
        <v/>
      </c>
      <c r="V113" s="67">
        <f>IF(G113="","",ABS(P113-Components!$D$7)/Components!$E$7)</f>
        <v/>
      </c>
      <c r="W113" s="61">
        <f>IF(G113="","",IF(N113="OK","NONE",INDEX({"S1","S2","W1","W2","N1","N2"},MATCH(MIN(Q113:V113),Q113:V113,0))))</f>
        <v/>
      </c>
      <c r="X113" s="69">
        <f>IF(G113="","",IF(W113=E113,1,0))</f>
        <v/>
      </c>
      <c r="Y113" s="70" t="n"/>
    </row>
    <row r="114">
      <c r="A114" s="61" t="n">
        <v>19</v>
      </c>
      <c r="B114" s="62" t="n">
        <v>47</v>
      </c>
      <c r="C114" s="61" t="inlineStr">
        <is>
          <t>R3</t>
        </is>
      </c>
      <c r="D114" s="74" t="inlineStr">
        <is>
          <t>NG</t>
        </is>
      </c>
      <c r="E114" s="61" t="inlineStr">
        <is>
          <t>N2</t>
        </is>
      </c>
      <c r="F114" s="61" t="inlineStr">
        <is>
          <t>K019</t>
        </is>
      </c>
      <c r="G114" s="64" t="n">
        <v>8.58</v>
      </c>
      <c r="H114" s="65" t="n"/>
      <c r="I114" s="66" t="n"/>
      <c r="J114" s="67">
        <f>VLOOKUP(C114,Recipes!$A$2:$N$4,10,FALSE())</f>
        <v/>
      </c>
      <c r="K114" s="68">
        <f>VLOOKUP(C114,Recipes!$A$2:$N$4,12,FALSE())</f>
        <v/>
      </c>
      <c r="L114" s="67">
        <f>J114-6*K114</f>
        <v/>
      </c>
      <c r="M114" s="67">
        <f>J114+6*K114</f>
        <v/>
      </c>
      <c r="N114" s="61">
        <f>IF(G114="","",IF(AND(G114&gt;=L114,G114&lt;=M114),"OK","NG"))</f>
        <v/>
      </c>
      <c r="O114" s="69">
        <f>IF(N114="","",IF(N114=D114,1,0))</f>
        <v/>
      </c>
      <c r="P114" s="67">
        <f>IF(G114="","",J114-G114)</f>
        <v/>
      </c>
      <c r="Q114" s="67">
        <f>IF(G114="","",ABS(P114-Components!$D$2)/Components!$E$2)</f>
        <v/>
      </c>
      <c r="R114" s="67">
        <f>IF(G114="","",ABS(P114-Components!$D$3)/Components!$E$3)</f>
        <v/>
      </c>
      <c r="S114" s="67">
        <f>IF(G114="","",ABS(P114-Components!$D$4)/Components!$E$4)</f>
        <v/>
      </c>
      <c r="T114" s="67">
        <f>IF(G114="","",ABS(P114-Components!$D$5)/Components!$E$5)</f>
        <v/>
      </c>
      <c r="U114" s="67">
        <f>IF(G114="","",ABS(P114-Components!$D$6)/Components!$E$6)</f>
        <v/>
      </c>
      <c r="V114" s="67">
        <f>IF(G114="","",ABS(P114-Components!$D$7)/Components!$E$7)</f>
        <v/>
      </c>
      <c r="W114" s="61">
        <f>IF(G114="","",IF(N114="OK","NONE",INDEX({"S1","S2","W1","W2","N1","N2"},MATCH(MIN(Q114:V114),Q114:V114,0))))</f>
        <v/>
      </c>
      <c r="X114" s="69">
        <f>IF(G114="","",IF(W114=E114,1,0))</f>
        <v/>
      </c>
      <c r="Y114" s="70" t="n"/>
    </row>
    <row r="115">
      <c r="A115" s="61" t="n">
        <v>19</v>
      </c>
      <c r="B115" s="62" t="n">
        <v>47</v>
      </c>
      <c r="C115" s="61" t="inlineStr">
        <is>
          <t>R3</t>
        </is>
      </c>
      <c r="D115" s="74" t="inlineStr">
        <is>
          <t>NG</t>
        </is>
      </c>
      <c r="E115" s="61" t="inlineStr">
        <is>
          <t>N2</t>
        </is>
      </c>
      <c r="F115" s="61" t="inlineStr">
        <is>
          <t>K019</t>
        </is>
      </c>
      <c r="G115" s="64" t="n">
        <v>8.59</v>
      </c>
      <c r="H115" s="65" t="n"/>
      <c r="I115" s="66" t="n"/>
      <c r="J115" s="67">
        <f>VLOOKUP(C115,Recipes!$A$2:$N$4,10,FALSE())</f>
        <v/>
      </c>
      <c r="K115" s="68">
        <f>VLOOKUP(C115,Recipes!$A$2:$N$4,12,FALSE())</f>
        <v/>
      </c>
      <c r="L115" s="67">
        <f>J115-6*K115</f>
        <v/>
      </c>
      <c r="M115" s="67">
        <f>J115+6*K115</f>
        <v/>
      </c>
      <c r="N115" s="61">
        <f>IF(G115="","",IF(AND(G115&gt;=L115,G115&lt;=M115),"OK","NG"))</f>
        <v/>
      </c>
      <c r="O115" s="69">
        <f>IF(N115="","",IF(N115=D115,1,0))</f>
        <v/>
      </c>
      <c r="P115" s="67">
        <f>IF(G115="","",J115-G115)</f>
        <v/>
      </c>
      <c r="Q115" s="67">
        <f>IF(G115="","",ABS(P115-Components!$D$2)/Components!$E$2)</f>
        <v/>
      </c>
      <c r="R115" s="67">
        <f>IF(G115="","",ABS(P115-Components!$D$3)/Components!$E$3)</f>
        <v/>
      </c>
      <c r="S115" s="67">
        <f>IF(G115="","",ABS(P115-Components!$D$4)/Components!$E$4)</f>
        <v/>
      </c>
      <c r="T115" s="67">
        <f>IF(G115="","",ABS(P115-Components!$D$5)/Components!$E$5)</f>
        <v/>
      </c>
      <c r="U115" s="67">
        <f>IF(G115="","",ABS(P115-Components!$D$6)/Components!$E$6)</f>
        <v/>
      </c>
      <c r="V115" s="67">
        <f>IF(G115="","",ABS(P115-Components!$D$7)/Components!$E$7)</f>
        <v/>
      </c>
      <c r="W115" s="61">
        <f>IF(G115="","",IF(N115="OK","NONE",INDEX({"S1","S2","W1","W2","N1","N2"},MATCH(MIN(Q115:V115),Q115:V115,0))))</f>
        <v/>
      </c>
      <c r="X115" s="69">
        <f>IF(G115="","",IF(W115=E115,1,0))</f>
        <v/>
      </c>
      <c r="Y115" s="70" t="n"/>
    </row>
    <row r="116">
      <c r="A116" s="61" t="n">
        <v>19</v>
      </c>
      <c r="B116" s="62" t="n">
        <v>47</v>
      </c>
      <c r="C116" s="61" t="inlineStr">
        <is>
          <t>R3</t>
        </is>
      </c>
      <c r="D116" s="74" t="inlineStr">
        <is>
          <t>NG</t>
        </is>
      </c>
      <c r="E116" s="61" t="inlineStr">
        <is>
          <t>N2</t>
        </is>
      </c>
      <c r="F116" s="61" t="inlineStr">
        <is>
          <t>K019</t>
        </is>
      </c>
      <c r="G116" s="64" t="n">
        <v>8.630000000000001</v>
      </c>
      <c r="H116" s="65" t="n"/>
      <c r="I116" s="66" t="n"/>
      <c r="J116" s="67">
        <f>VLOOKUP(C116,Recipes!$A$2:$N$4,10,FALSE())</f>
        <v/>
      </c>
      <c r="K116" s="68">
        <f>VLOOKUP(C116,Recipes!$A$2:$N$4,12,FALSE())</f>
        <v/>
      </c>
      <c r="L116" s="67">
        <f>J116-6*K116</f>
        <v/>
      </c>
      <c r="M116" s="67">
        <f>J116+6*K116</f>
        <v/>
      </c>
      <c r="N116" s="61">
        <f>IF(G116="","",IF(AND(G116&gt;=L116,G116&lt;=M116),"OK","NG"))</f>
        <v/>
      </c>
      <c r="O116" s="69">
        <f>IF(N116="","",IF(N116=D116,1,0))</f>
        <v/>
      </c>
      <c r="P116" s="67">
        <f>IF(G116="","",J116-G116)</f>
        <v/>
      </c>
      <c r="Q116" s="67">
        <f>IF(G116="","",ABS(P116-Components!$D$2)/Components!$E$2)</f>
        <v/>
      </c>
      <c r="R116" s="67">
        <f>IF(G116="","",ABS(P116-Components!$D$3)/Components!$E$3)</f>
        <v/>
      </c>
      <c r="S116" s="67">
        <f>IF(G116="","",ABS(P116-Components!$D$4)/Components!$E$4)</f>
        <v/>
      </c>
      <c r="T116" s="67">
        <f>IF(G116="","",ABS(P116-Components!$D$5)/Components!$E$5)</f>
        <v/>
      </c>
      <c r="U116" s="67">
        <f>IF(G116="","",ABS(P116-Components!$D$6)/Components!$E$6)</f>
        <v/>
      </c>
      <c r="V116" s="67">
        <f>IF(G116="","",ABS(P116-Components!$D$7)/Components!$E$7)</f>
        <v/>
      </c>
      <c r="W116" s="61">
        <f>IF(G116="","",IF(N116="OK","NONE",INDEX({"S1","S2","W1","W2","N1","N2"},MATCH(MIN(Q116:V116),Q116:V116,0))))</f>
        <v/>
      </c>
      <c r="X116" s="69">
        <f>IF(G116="","",IF(W116=E116,1,0))</f>
        <v/>
      </c>
      <c r="Y116" s="70" t="n"/>
    </row>
    <row r="117">
      <c r="A117" s="61" t="n">
        <v>19</v>
      </c>
      <c r="B117" s="62" t="n">
        <v>47</v>
      </c>
      <c r="C117" s="61" t="inlineStr">
        <is>
          <t>R3</t>
        </is>
      </c>
      <c r="D117" s="74" t="inlineStr">
        <is>
          <t>NG</t>
        </is>
      </c>
      <c r="E117" s="61" t="inlineStr">
        <is>
          <t>N2</t>
        </is>
      </c>
      <c r="F117" s="61" t="inlineStr">
        <is>
          <t>K019</t>
        </is>
      </c>
      <c r="G117" s="64" t="n">
        <v>8.630000000000001</v>
      </c>
      <c r="H117" s="65" t="n"/>
      <c r="I117" s="66" t="n"/>
      <c r="J117" s="67">
        <f>VLOOKUP(C117,Recipes!$A$2:$N$4,10,FALSE())</f>
        <v/>
      </c>
      <c r="K117" s="68">
        <f>VLOOKUP(C117,Recipes!$A$2:$N$4,12,FALSE())</f>
        <v/>
      </c>
      <c r="L117" s="67">
        <f>J117-6*K117</f>
        <v/>
      </c>
      <c r="M117" s="67">
        <f>J117+6*K117</f>
        <v/>
      </c>
      <c r="N117" s="61">
        <f>IF(G117="","",IF(AND(G117&gt;=L117,G117&lt;=M117),"OK","NG"))</f>
        <v/>
      </c>
      <c r="O117" s="69">
        <f>IF(N117="","",IF(N117=D117,1,0))</f>
        <v/>
      </c>
      <c r="P117" s="67">
        <f>IF(G117="","",J117-G117)</f>
        <v/>
      </c>
      <c r="Q117" s="67">
        <f>IF(G117="","",ABS(P117-Components!$D$2)/Components!$E$2)</f>
        <v/>
      </c>
      <c r="R117" s="67">
        <f>IF(G117="","",ABS(P117-Components!$D$3)/Components!$E$3)</f>
        <v/>
      </c>
      <c r="S117" s="67">
        <f>IF(G117="","",ABS(P117-Components!$D$4)/Components!$E$4)</f>
        <v/>
      </c>
      <c r="T117" s="67">
        <f>IF(G117="","",ABS(P117-Components!$D$5)/Components!$E$5)</f>
        <v/>
      </c>
      <c r="U117" s="67">
        <f>IF(G117="","",ABS(P117-Components!$D$6)/Components!$E$6)</f>
        <v/>
      </c>
      <c r="V117" s="67">
        <f>IF(G117="","",ABS(P117-Components!$D$7)/Components!$E$7)</f>
        <v/>
      </c>
      <c r="W117" s="61">
        <f>IF(G117="","",IF(N117="OK","NONE",INDEX({"S1","S2","W1","W2","N1","N2"},MATCH(MIN(Q117:V117),Q117:V117,0))))</f>
        <v/>
      </c>
      <c r="X117" s="69">
        <f>IF(G117="","",IF(W117=E117,1,0))</f>
        <v/>
      </c>
      <c r="Y117" s="70" t="n"/>
    </row>
    <row r="118">
      <c r="A118" s="61" t="n">
        <v>19</v>
      </c>
      <c r="B118" s="62" t="n">
        <v>47</v>
      </c>
      <c r="C118" s="61" t="inlineStr">
        <is>
          <t>R3</t>
        </is>
      </c>
      <c r="D118" s="74" t="inlineStr">
        <is>
          <t>NG</t>
        </is>
      </c>
      <c r="E118" s="61" t="inlineStr">
        <is>
          <t>N2</t>
        </is>
      </c>
      <c r="F118" s="61" t="inlineStr">
        <is>
          <t>K019</t>
        </is>
      </c>
      <c r="G118" s="64" t="n">
        <v>8.59</v>
      </c>
      <c r="H118" s="65" t="n"/>
      <c r="I118" s="66" t="n"/>
      <c r="J118" s="67">
        <f>VLOOKUP(C118,Recipes!$A$2:$N$4,10,FALSE())</f>
        <v/>
      </c>
      <c r="K118" s="68">
        <f>VLOOKUP(C118,Recipes!$A$2:$N$4,12,FALSE())</f>
        <v/>
      </c>
      <c r="L118" s="67">
        <f>J118-6*K118</f>
        <v/>
      </c>
      <c r="M118" s="67">
        <f>J118+6*K118</f>
        <v/>
      </c>
      <c r="N118" s="61">
        <f>IF(G118="","",IF(AND(G118&gt;=L118,G118&lt;=M118),"OK","NG"))</f>
        <v/>
      </c>
      <c r="O118" s="69">
        <f>IF(N118="","",IF(N118=D118,1,0))</f>
        <v/>
      </c>
      <c r="P118" s="67">
        <f>IF(G118="","",J118-G118)</f>
        <v/>
      </c>
      <c r="Q118" s="67">
        <f>IF(G118="","",ABS(P118-Components!$D$2)/Components!$E$2)</f>
        <v/>
      </c>
      <c r="R118" s="67">
        <f>IF(G118="","",ABS(P118-Components!$D$3)/Components!$E$3)</f>
        <v/>
      </c>
      <c r="S118" s="67">
        <f>IF(G118="","",ABS(P118-Components!$D$4)/Components!$E$4)</f>
        <v/>
      </c>
      <c r="T118" s="67">
        <f>IF(G118="","",ABS(P118-Components!$D$5)/Components!$E$5)</f>
        <v/>
      </c>
      <c r="U118" s="67">
        <f>IF(G118="","",ABS(P118-Components!$D$6)/Components!$E$6)</f>
        <v/>
      </c>
      <c r="V118" s="67">
        <f>IF(G118="","",ABS(P118-Components!$D$7)/Components!$E$7)</f>
        <v/>
      </c>
      <c r="W118" s="61">
        <f>IF(G118="","",IF(N118="OK","NONE",INDEX({"S1","S2","W1","W2","N1","N2"},MATCH(MIN(Q118:V118),Q118:V118,0))))</f>
        <v/>
      </c>
      <c r="X118" s="69">
        <f>IF(G118="","",IF(W118=E118,1,0))</f>
        <v/>
      </c>
      <c r="Y118" s="70" t="n"/>
    </row>
    <row r="119">
      <c r="A119" s="61" t="n">
        <v>19</v>
      </c>
      <c r="B119" s="62" t="n">
        <v>47</v>
      </c>
      <c r="C119" s="61" t="inlineStr">
        <is>
          <t>R3</t>
        </is>
      </c>
      <c r="D119" s="74" t="inlineStr">
        <is>
          <t>NG</t>
        </is>
      </c>
      <c r="E119" s="61" t="inlineStr">
        <is>
          <t>N2</t>
        </is>
      </c>
      <c r="F119" s="61" t="inlineStr">
        <is>
          <t>K019</t>
        </is>
      </c>
      <c r="G119" s="64" t="n">
        <v>8.56</v>
      </c>
      <c r="H119" s="65" t="n"/>
      <c r="I119" s="66" t="n"/>
      <c r="J119" s="67">
        <f>VLOOKUP(C119,Recipes!$A$2:$N$4,10,FALSE())</f>
        <v/>
      </c>
      <c r="K119" s="68">
        <f>VLOOKUP(C119,Recipes!$A$2:$N$4,12,FALSE())</f>
        <v/>
      </c>
      <c r="L119" s="67">
        <f>J119-6*K119</f>
        <v/>
      </c>
      <c r="M119" s="67">
        <f>J119+6*K119</f>
        <v/>
      </c>
      <c r="N119" s="61">
        <f>IF(G119="","",IF(AND(G119&gt;=L119,G119&lt;=M119),"OK","NG"))</f>
        <v/>
      </c>
      <c r="O119" s="69">
        <f>IF(N119="","",IF(N119=D119,1,0))</f>
        <v/>
      </c>
      <c r="P119" s="67">
        <f>IF(G119="","",J119-G119)</f>
        <v/>
      </c>
      <c r="Q119" s="67">
        <f>IF(G119="","",ABS(P119-Components!$D$2)/Components!$E$2)</f>
        <v/>
      </c>
      <c r="R119" s="67">
        <f>IF(G119="","",ABS(P119-Components!$D$3)/Components!$E$3)</f>
        <v/>
      </c>
      <c r="S119" s="67">
        <f>IF(G119="","",ABS(P119-Components!$D$4)/Components!$E$4)</f>
        <v/>
      </c>
      <c r="T119" s="67">
        <f>IF(G119="","",ABS(P119-Components!$D$5)/Components!$E$5)</f>
        <v/>
      </c>
      <c r="U119" s="67">
        <f>IF(G119="","",ABS(P119-Components!$D$6)/Components!$E$6)</f>
        <v/>
      </c>
      <c r="V119" s="67">
        <f>IF(G119="","",ABS(P119-Components!$D$7)/Components!$E$7)</f>
        <v/>
      </c>
      <c r="W119" s="61">
        <f>IF(G119="","",IF(N119="OK","NONE",INDEX({"S1","S2","W1","W2","N1","N2"},MATCH(MIN(Q119:V119),Q119:V119,0))))</f>
        <v/>
      </c>
      <c r="X119" s="69">
        <f>IF(G119="","",IF(W119=E119,1,0))</f>
        <v/>
      </c>
      <c r="Y119" s="70" t="n"/>
    </row>
    <row r="120">
      <c r="A120" s="61" t="n">
        <v>19</v>
      </c>
      <c r="B120" s="62" t="n">
        <v>47</v>
      </c>
      <c r="C120" s="61" t="inlineStr">
        <is>
          <t>R3</t>
        </is>
      </c>
      <c r="D120" s="74" t="inlineStr">
        <is>
          <t>NG</t>
        </is>
      </c>
      <c r="E120" s="61" t="inlineStr">
        <is>
          <t>N2</t>
        </is>
      </c>
      <c r="F120" s="61" t="inlineStr">
        <is>
          <t>K019</t>
        </is>
      </c>
      <c r="G120" s="64" t="n">
        <v>8.58</v>
      </c>
      <c r="H120" s="65" t="n"/>
      <c r="I120" s="66" t="n"/>
      <c r="J120" s="67">
        <f>VLOOKUP(C120,Recipes!$A$2:$N$4,10,FALSE())</f>
        <v/>
      </c>
      <c r="K120" s="68">
        <f>VLOOKUP(C120,Recipes!$A$2:$N$4,12,FALSE())</f>
        <v/>
      </c>
      <c r="L120" s="67">
        <f>J120-6*K120</f>
        <v/>
      </c>
      <c r="M120" s="67">
        <f>J120+6*K120</f>
        <v/>
      </c>
      <c r="N120" s="61">
        <f>IF(G120="","",IF(AND(G120&gt;=L120,G120&lt;=M120),"OK","NG"))</f>
        <v/>
      </c>
      <c r="O120" s="69">
        <f>IF(N120="","",IF(N120=D120,1,0))</f>
        <v/>
      </c>
      <c r="P120" s="67">
        <f>IF(G120="","",J120-G120)</f>
        <v/>
      </c>
      <c r="Q120" s="67">
        <f>IF(G120="","",ABS(P120-Components!$D$2)/Components!$E$2)</f>
        <v/>
      </c>
      <c r="R120" s="67">
        <f>IF(G120="","",ABS(P120-Components!$D$3)/Components!$E$3)</f>
        <v/>
      </c>
      <c r="S120" s="67">
        <f>IF(G120="","",ABS(P120-Components!$D$4)/Components!$E$4)</f>
        <v/>
      </c>
      <c r="T120" s="67">
        <f>IF(G120="","",ABS(P120-Components!$D$5)/Components!$E$5)</f>
        <v/>
      </c>
      <c r="U120" s="67">
        <f>IF(G120="","",ABS(P120-Components!$D$6)/Components!$E$6)</f>
        <v/>
      </c>
      <c r="V120" s="67">
        <f>IF(G120="","",ABS(P120-Components!$D$7)/Components!$E$7)</f>
        <v/>
      </c>
      <c r="W120" s="61">
        <f>IF(G120="","",IF(N120="OK","NONE",INDEX({"S1","S2","W1","W2","N1","N2"},MATCH(MIN(Q120:V120),Q120:V120,0))))</f>
        <v/>
      </c>
      <c r="X120" s="69">
        <f>IF(G120="","",IF(W120=E120,1,0))</f>
        <v/>
      </c>
      <c r="Y120" s="70" t="n"/>
    </row>
    <row r="121">
      <c r="A121" s="61" t="n">
        <v>19</v>
      </c>
      <c r="B121" s="62" t="n">
        <v>47</v>
      </c>
      <c r="C121" s="61" t="inlineStr">
        <is>
          <t>R3</t>
        </is>
      </c>
      <c r="D121" s="74" t="inlineStr">
        <is>
          <t>NG</t>
        </is>
      </c>
      <c r="E121" s="61" t="inlineStr">
        <is>
          <t>N2</t>
        </is>
      </c>
      <c r="F121" s="61" t="inlineStr">
        <is>
          <t>K019</t>
        </is>
      </c>
      <c r="G121" s="64" t="n">
        <v>8.630000000000001</v>
      </c>
      <c r="H121" s="65" t="n"/>
      <c r="I121" s="66" t="n"/>
      <c r="J121" s="67">
        <f>VLOOKUP(C121,Recipes!$A$2:$N$4,10,FALSE())</f>
        <v/>
      </c>
      <c r="K121" s="68">
        <f>VLOOKUP(C121,Recipes!$A$2:$N$4,12,FALSE())</f>
        <v/>
      </c>
      <c r="L121" s="67">
        <f>J121-6*K121</f>
        <v/>
      </c>
      <c r="M121" s="67">
        <f>J121+6*K121</f>
        <v/>
      </c>
      <c r="N121" s="61">
        <f>IF(G121="","",IF(AND(G121&gt;=L121,G121&lt;=M121),"OK","NG"))</f>
        <v/>
      </c>
      <c r="O121" s="69">
        <f>IF(N121="","",IF(N121=D121,1,0))</f>
        <v/>
      </c>
      <c r="P121" s="67">
        <f>IF(G121="","",J121-G121)</f>
        <v/>
      </c>
      <c r="Q121" s="67">
        <f>IF(G121="","",ABS(P121-Components!$D$2)/Components!$E$2)</f>
        <v/>
      </c>
      <c r="R121" s="67">
        <f>IF(G121="","",ABS(P121-Components!$D$3)/Components!$E$3)</f>
        <v/>
      </c>
      <c r="S121" s="67">
        <f>IF(G121="","",ABS(P121-Components!$D$4)/Components!$E$4)</f>
        <v/>
      </c>
      <c r="T121" s="67">
        <f>IF(G121="","",ABS(P121-Components!$D$5)/Components!$E$5)</f>
        <v/>
      </c>
      <c r="U121" s="67">
        <f>IF(G121="","",ABS(P121-Components!$D$6)/Components!$E$6)</f>
        <v/>
      </c>
      <c r="V121" s="67">
        <f>IF(G121="","",ABS(P121-Components!$D$7)/Components!$E$7)</f>
        <v/>
      </c>
      <c r="W121" s="61">
        <f>IF(G121="","",IF(N121="OK","NONE",INDEX({"S1","S2","W1","W2","N1","N2"},MATCH(MIN(Q121:V121),Q121:V121,0))))</f>
        <v/>
      </c>
      <c r="X121" s="69">
        <f>IF(G121="","",IF(W121=E121,1,0))</f>
        <v/>
      </c>
      <c r="Y121" s="70" t="n"/>
    </row>
    <row r="122">
      <c r="A122" s="61" t="n">
        <v>19</v>
      </c>
      <c r="B122" s="62" t="n">
        <v>47</v>
      </c>
      <c r="C122" s="61" t="inlineStr">
        <is>
          <t>R3</t>
        </is>
      </c>
      <c r="D122" s="74" t="inlineStr">
        <is>
          <t>NG</t>
        </is>
      </c>
      <c r="E122" s="61" t="inlineStr">
        <is>
          <t>N2</t>
        </is>
      </c>
      <c r="F122" s="61" t="inlineStr">
        <is>
          <t>K019</t>
        </is>
      </c>
      <c r="G122" s="64" t="n">
        <v>8.59</v>
      </c>
      <c r="H122" s="65" t="n"/>
      <c r="I122" s="66" t="n"/>
      <c r="J122" s="67">
        <f>VLOOKUP(C122,Recipes!$A$2:$N$4,10,FALSE())</f>
        <v/>
      </c>
      <c r="K122" s="68">
        <f>VLOOKUP(C122,Recipes!$A$2:$N$4,12,FALSE())</f>
        <v/>
      </c>
      <c r="L122" s="67">
        <f>J122-6*K122</f>
        <v/>
      </c>
      <c r="M122" s="67">
        <f>J122+6*K122</f>
        <v/>
      </c>
      <c r="N122" s="61">
        <f>IF(G122="","",IF(AND(G122&gt;=L122,G122&lt;=M122),"OK","NG"))</f>
        <v/>
      </c>
      <c r="O122" s="69">
        <f>IF(N122="","",IF(N122=D122,1,0))</f>
        <v/>
      </c>
      <c r="P122" s="67">
        <f>IF(G122="","",J122-G122)</f>
        <v/>
      </c>
      <c r="Q122" s="67">
        <f>IF(G122="","",ABS(P122-Components!$D$2)/Components!$E$2)</f>
        <v/>
      </c>
      <c r="R122" s="67">
        <f>IF(G122="","",ABS(P122-Components!$D$3)/Components!$E$3)</f>
        <v/>
      </c>
      <c r="S122" s="67">
        <f>IF(G122="","",ABS(P122-Components!$D$4)/Components!$E$4)</f>
        <v/>
      </c>
      <c r="T122" s="67">
        <f>IF(G122="","",ABS(P122-Components!$D$5)/Components!$E$5)</f>
        <v/>
      </c>
      <c r="U122" s="67">
        <f>IF(G122="","",ABS(P122-Components!$D$6)/Components!$E$6)</f>
        <v/>
      </c>
      <c r="V122" s="67">
        <f>IF(G122="","",ABS(P122-Components!$D$7)/Components!$E$7)</f>
        <v/>
      </c>
      <c r="W122" s="61">
        <f>IF(G122="","",IF(N122="OK","NONE",INDEX({"S1","S2","W1","W2","N1","N2"},MATCH(MIN(Q122:V122),Q122:V122,0))))</f>
        <v/>
      </c>
      <c r="X122" s="69">
        <f>IF(G122="","",IF(W122=E122,1,0))</f>
        <v/>
      </c>
      <c r="Y122" s="70" t="n"/>
    </row>
    <row r="123">
      <c r="A123" s="61" t="n">
        <v>21</v>
      </c>
      <c r="B123" s="62" t="n">
        <v>29</v>
      </c>
      <c r="C123" s="61" t="inlineStr">
        <is>
          <t>R4</t>
        </is>
      </c>
      <c r="D123" s="63" t="inlineStr">
        <is>
          <t>OK</t>
        </is>
      </c>
      <c r="E123" s="61" t="inlineStr">
        <is>
          <t>NONE</t>
        </is>
      </c>
      <c r="F123" s="61" t="inlineStr">
        <is>
          <t>K021</t>
        </is>
      </c>
      <c r="G123" s="64" t="n">
        <v>8.949999999999999</v>
      </c>
      <c r="H123" s="65" t="n"/>
      <c r="I123" s="66" t="n"/>
      <c r="J123" s="67">
        <f>VLOOKUP(C123,Recipes!$A$2:$N$4,10,FALSE())</f>
        <v/>
      </c>
      <c r="K123" s="68">
        <f>VLOOKUP(C123,Recipes!$A$2:$N$4,12,FALSE())</f>
        <v/>
      </c>
      <c r="L123" s="67">
        <f>J123-6*K123</f>
        <v/>
      </c>
      <c r="M123" s="67">
        <f>J123+6*K123</f>
        <v/>
      </c>
      <c r="N123" s="61">
        <f>IF(G123="","",IF(AND(G123&gt;=L123,G123&lt;=M123),"OK","NG"))</f>
        <v/>
      </c>
      <c r="O123" s="69">
        <f>IF(N123="","",IF(N123=D123,1,0))</f>
        <v/>
      </c>
      <c r="P123" s="67">
        <f>IF(G123="","",J123-G123)</f>
        <v/>
      </c>
      <c r="Q123" s="67">
        <f>IF(G123="","",ABS(P123-Components!$D$2)/Components!$E$2)</f>
        <v/>
      </c>
      <c r="R123" s="67">
        <f>IF(G123="","",ABS(P123-Components!$D$3)/Components!$E$3)</f>
        <v/>
      </c>
      <c r="S123" s="67">
        <f>IF(G123="","",ABS(P123-Components!$D$4)/Components!$E$4)</f>
        <v/>
      </c>
      <c r="T123" s="67">
        <f>IF(G123="","",ABS(P123-Components!$D$5)/Components!$E$5)</f>
        <v/>
      </c>
      <c r="U123" s="67">
        <f>IF(G123="","",ABS(P123-Components!$D$6)/Components!$E$6)</f>
        <v/>
      </c>
      <c r="V123" s="67">
        <f>IF(G123="","",ABS(P123-Components!$D$7)/Components!$E$7)</f>
        <v/>
      </c>
      <c r="W123" s="61">
        <f>IF(G123="","",IF(N123="OK","NONE",INDEX({"S1","S2","W1","W2","N1","N2"},MATCH(MIN(Q123:V123),Q123:V123,0))))</f>
        <v/>
      </c>
      <c r="X123" s="69">
        <f>IF(G123="","",IF(W123=E123,1,0))</f>
        <v/>
      </c>
      <c r="Y123" s="70" t="n"/>
    </row>
    <row r="124">
      <c r="A124" s="61" t="n">
        <v>22</v>
      </c>
      <c r="B124" s="62" t="n">
        <v>11</v>
      </c>
      <c r="C124" s="61" t="inlineStr">
        <is>
          <t>R4</t>
        </is>
      </c>
      <c r="D124" s="63" t="inlineStr">
        <is>
          <t>OK</t>
        </is>
      </c>
      <c r="E124" s="61" t="inlineStr">
        <is>
          <t>NONE</t>
        </is>
      </c>
      <c r="F124" s="61" t="inlineStr">
        <is>
          <t>K022</t>
        </is>
      </c>
      <c r="G124" s="64" t="n">
        <v>8.94</v>
      </c>
      <c r="H124" s="65" t="n"/>
      <c r="I124" s="66" t="n"/>
      <c r="J124" s="67">
        <f>VLOOKUP(C124,Recipes!$A$2:$N$4,10,FALSE())</f>
        <v/>
      </c>
      <c r="K124" s="68">
        <f>VLOOKUP(C124,Recipes!$A$2:$N$4,12,FALSE())</f>
        <v/>
      </c>
      <c r="L124" s="67">
        <f>J124-6*K124</f>
        <v/>
      </c>
      <c r="M124" s="67">
        <f>J124+6*K124</f>
        <v/>
      </c>
      <c r="N124" s="61">
        <f>IF(G124="","",IF(AND(G124&gt;=L124,G124&lt;=M124),"OK","NG"))</f>
        <v/>
      </c>
      <c r="O124" s="69">
        <f>IF(N124="","",IF(N124=D124,1,0))</f>
        <v/>
      </c>
      <c r="P124" s="67">
        <f>IF(G124="","",J124-G124)</f>
        <v/>
      </c>
      <c r="Q124" s="67">
        <f>IF(G124="","",ABS(P124-Components!$D$2)/Components!$E$2)</f>
        <v/>
      </c>
      <c r="R124" s="67">
        <f>IF(G124="","",ABS(P124-Components!$D$3)/Components!$E$3)</f>
        <v/>
      </c>
      <c r="S124" s="67">
        <f>IF(G124="","",ABS(P124-Components!$D$4)/Components!$E$4)</f>
        <v/>
      </c>
      <c r="T124" s="67">
        <f>IF(G124="","",ABS(P124-Components!$D$5)/Components!$E$5)</f>
        <v/>
      </c>
      <c r="U124" s="67">
        <f>IF(G124="","",ABS(P124-Components!$D$6)/Components!$E$6)</f>
        <v/>
      </c>
      <c r="V124" s="67">
        <f>IF(G124="","",ABS(P124-Components!$D$7)/Components!$E$7)</f>
        <v/>
      </c>
      <c r="W124" s="61">
        <f>IF(G124="","",IF(N124="OK","NONE",INDEX({"S1","S2","W1","W2","N1","N2"},MATCH(MIN(Q124:V124),Q124:V124,0))))</f>
        <v/>
      </c>
      <c r="X124" s="69">
        <f>IF(G124="","",IF(W124=E124,1,0))</f>
        <v/>
      </c>
      <c r="Y124" s="70" t="n"/>
    </row>
    <row r="125">
      <c r="A125" s="61" t="n">
        <v>23</v>
      </c>
      <c r="B125" s="62" t="n">
        <v>43</v>
      </c>
      <c r="C125" s="61" t="inlineStr">
        <is>
          <t>R4</t>
        </is>
      </c>
      <c r="D125" s="63" t="inlineStr">
        <is>
          <t>OK</t>
        </is>
      </c>
      <c r="E125" s="61" t="inlineStr">
        <is>
          <t>NONE</t>
        </is>
      </c>
      <c r="F125" s="61" t="inlineStr">
        <is>
          <t>K023</t>
        </is>
      </c>
      <c r="G125" s="64" t="n">
        <v>8.94</v>
      </c>
      <c r="H125" s="65" t="n"/>
      <c r="I125" s="66" t="n"/>
      <c r="J125" s="67">
        <f>VLOOKUP(C125,Recipes!$A$2:$N$4,10,FALSE())</f>
        <v/>
      </c>
      <c r="K125" s="68">
        <f>VLOOKUP(C125,Recipes!$A$2:$N$4,12,FALSE())</f>
        <v/>
      </c>
      <c r="L125" s="67">
        <f>J125-6*K125</f>
        <v/>
      </c>
      <c r="M125" s="67">
        <f>J125+6*K125</f>
        <v/>
      </c>
      <c r="N125" s="61">
        <f>IF(G125="","",IF(AND(G125&gt;=L125,G125&lt;=M125),"OK","NG"))</f>
        <v/>
      </c>
      <c r="O125" s="69">
        <f>IF(N125="","",IF(N125=D125,1,0))</f>
        <v/>
      </c>
      <c r="P125" s="67">
        <f>IF(G125="","",J125-G125)</f>
        <v/>
      </c>
      <c r="Q125" s="67">
        <f>IF(G125="","",ABS(P125-Components!$D$2)/Components!$E$2)</f>
        <v/>
      </c>
      <c r="R125" s="67">
        <f>IF(G125="","",ABS(P125-Components!$D$3)/Components!$E$3)</f>
        <v/>
      </c>
      <c r="S125" s="67">
        <f>IF(G125="","",ABS(P125-Components!$D$4)/Components!$E$4)</f>
        <v/>
      </c>
      <c r="T125" s="67">
        <f>IF(G125="","",ABS(P125-Components!$D$5)/Components!$E$5)</f>
        <v/>
      </c>
      <c r="U125" s="67">
        <f>IF(G125="","",ABS(P125-Components!$D$6)/Components!$E$6)</f>
        <v/>
      </c>
      <c r="V125" s="67">
        <f>IF(G125="","",ABS(P125-Components!$D$7)/Components!$E$7)</f>
        <v/>
      </c>
      <c r="W125" s="61">
        <f>IF(G125="","",IF(N125="OK","NONE",INDEX({"S1","S2","W1","W2","N1","N2"},MATCH(MIN(Q125:V125),Q125:V125,0))))</f>
        <v/>
      </c>
      <c r="X125" s="69">
        <f>IF(G125="","",IF(W125=E125,1,0))</f>
        <v/>
      </c>
      <c r="Y125" s="70" t="n"/>
    </row>
    <row r="126">
      <c r="A126" s="61" t="n">
        <v>24</v>
      </c>
      <c r="B126" s="62" t="n">
        <v>23</v>
      </c>
      <c r="C126" s="61" t="inlineStr">
        <is>
          <t>R4</t>
        </is>
      </c>
      <c r="D126" s="63" t="inlineStr">
        <is>
          <t>OK</t>
        </is>
      </c>
      <c r="E126" s="61" t="inlineStr">
        <is>
          <t>NONE</t>
        </is>
      </c>
      <c r="F126" s="61" t="inlineStr">
        <is>
          <t>K024</t>
        </is>
      </c>
      <c r="G126" s="64" t="n">
        <v>8.890000000000001</v>
      </c>
      <c r="H126" s="65" t="n"/>
      <c r="I126" s="66" t="n"/>
      <c r="J126" s="67">
        <f>VLOOKUP(C126,Recipes!$A$2:$N$4,10,FALSE())</f>
        <v/>
      </c>
      <c r="K126" s="68">
        <f>VLOOKUP(C126,Recipes!$A$2:$N$4,12,FALSE())</f>
        <v/>
      </c>
      <c r="L126" s="67">
        <f>J126-6*K126</f>
        <v/>
      </c>
      <c r="M126" s="67">
        <f>J126+6*K126</f>
        <v/>
      </c>
      <c r="N126" s="61">
        <f>IF(G126="","",IF(AND(G126&gt;=L126,G126&lt;=M126),"OK","NG"))</f>
        <v/>
      </c>
      <c r="O126" s="69">
        <f>IF(N126="","",IF(N126=D126,1,0))</f>
        <v/>
      </c>
      <c r="P126" s="67">
        <f>IF(G126="","",J126-G126)</f>
        <v/>
      </c>
      <c r="Q126" s="67">
        <f>IF(G126="","",ABS(P126-Components!$D$2)/Components!$E$2)</f>
        <v/>
      </c>
      <c r="R126" s="67">
        <f>IF(G126="","",ABS(P126-Components!$D$3)/Components!$E$3)</f>
        <v/>
      </c>
      <c r="S126" s="67">
        <f>IF(G126="","",ABS(P126-Components!$D$4)/Components!$E$4)</f>
        <v/>
      </c>
      <c r="T126" s="67">
        <f>IF(G126="","",ABS(P126-Components!$D$5)/Components!$E$5)</f>
        <v/>
      </c>
      <c r="U126" s="67">
        <f>IF(G126="","",ABS(P126-Components!$D$6)/Components!$E$6)</f>
        <v/>
      </c>
      <c r="V126" s="67">
        <f>IF(G126="","",ABS(P126-Components!$D$7)/Components!$E$7)</f>
        <v/>
      </c>
      <c r="W126" s="61">
        <f>IF(G126="","",IF(N126="OK","NONE",INDEX({"S1","S2","W1","W2","N1","N2"},MATCH(MIN(Q126:V126),Q126:V126,0))))</f>
        <v/>
      </c>
      <c r="X126" s="69">
        <f>IF(G126="","",IF(W126=E126,1,0))</f>
        <v/>
      </c>
      <c r="Y126" s="70" t="n"/>
    </row>
    <row r="127">
      <c r="A127" s="61" t="n">
        <v>25</v>
      </c>
      <c r="B127" s="62" t="n">
        <v>39</v>
      </c>
      <c r="C127" s="61" t="inlineStr">
        <is>
          <t>R4</t>
        </is>
      </c>
      <c r="D127" s="63" t="inlineStr">
        <is>
          <t>OK</t>
        </is>
      </c>
      <c r="E127" s="61" t="inlineStr">
        <is>
          <t>NONE</t>
        </is>
      </c>
      <c r="F127" s="61" t="inlineStr">
        <is>
          <t>K025</t>
        </is>
      </c>
      <c r="G127" s="64" t="n">
        <v>8.890000000000001</v>
      </c>
      <c r="H127" s="65" t="n"/>
      <c r="I127" s="66" t="n"/>
      <c r="J127" s="67">
        <f>VLOOKUP(C127,Recipes!$A$2:$N$4,10,FALSE())</f>
        <v/>
      </c>
      <c r="K127" s="68">
        <f>VLOOKUP(C127,Recipes!$A$2:$N$4,12,FALSE())</f>
        <v/>
      </c>
      <c r="L127" s="67">
        <f>J127-6*K127</f>
        <v/>
      </c>
      <c r="M127" s="67">
        <f>J127+6*K127</f>
        <v/>
      </c>
      <c r="N127" s="61">
        <f>IF(G127="","",IF(AND(G127&gt;=L127,G127&lt;=M127),"OK","NG"))</f>
        <v/>
      </c>
      <c r="O127" s="69">
        <f>IF(N127="","",IF(N127=D127,1,0))</f>
        <v/>
      </c>
      <c r="P127" s="67">
        <f>IF(G127="","",J127-G127)</f>
        <v/>
      </c>
      <c r="Q127" s="67">
        <f>IF(G127="","",ABS(P127-Components!$D$2)/Components!$E$2)</f>
        <v/>
      </c>
      <c r="R127" s="67">
        <f>IF(G127="","",ABS(P127-Components!$D$3)/Components!$E$3)</f>
        <v/>
      </c>
      <c r="S127" s="67">
        <f>IF(G127="","",ABS(P127-Components!$D$4)/Components!$E$4)</f>
        <v/>
      </c>
      <c r="T127" s="67">
        <f>IF(G127="","",ABS(P127-Components!$D$5)/Components!$E$5)</f>
        <v/>
      </c>
      <c r="U127" s="67">
        <f>IF(G127="","",ABS(P127-Components!$D$6)/Components!$E$6)</f>
        <v/>
      </c>
      <c r="V127" s="67">
        <f>IF(G127="","",ABS(P127-Components!$D$7)/Components!$E$7)</f>
        <v/>
      </c>
      <c r="W127" s="61">
        <f>IF(G127="","",IF(N127="OK","NONE",INDEX({"S1","S2","W1","W2","N1","N2"},MATCH(MIN(Q127:V127),Q127:V127,0))))</f>
        <v/>
      </c>
      <c r="X127" s="69">
        <f>IF(G127="","",IF(W127=E127,1,0))</f>
        <v/>
      </c>
      <c r="Y127" s="70" t="n"/>
    </row>
    <row r="128">
      <c r="A128" s="61" t="n">
        <v>26</v>
      </c>
      <c r="B128" s="62" t="n">
        <v>31</v>
      </c>
      <c r="C128" s="61" t="inlineStr">
        <is>
          <t>R4</t>
        </is>
      </c>
      <c r="D128" s="63" t="inlineStr">
        <is>
          <t>OK</t>
        </is>
      </c>
      <c r="E128" s="61" t="inlineStr">
        <is>
          <t>NONE</t>
        </is>
      </c>
      <c r="F128" s="61" t="inlineStr">
        <is>
          <t>K026</t>
        </is>
      </c>
      <c r="G128" s="75" t="n">
        <v>8.880000000000001</v>
      </c>
      <c r="H128" s="65" t="n"/>
      <c r="I128" s="66" t="n"/>
      <c r="J128" s="67">
        <f>VLOOKUP(C128,Recipes!$A$2:$N$4,10,FALSE())</f>
        <v/>
      </c>
      <c r="K128" s="68">
        <f>VLOOKUP(C128,Recipes!$A$2:$N$4,12,FALSE())</f>
        <v/>
      </c>
      <c r="L128" s="67">
        <f>J128-6*K128</f>
        <v/>
      </c>
      <c r="M128" s="67">
        <f>J128+6*K128</f>
        <v/>
      </c>
      <c r="N128" s="61">
        <f>IF(G128="","",IF(AND(G128&gt;=L128,G128&lt;=M128),"OK","NG"))</f>
        <v/>
      </c>
      <c r="O128" s="69">
        <f>IF(N128="","",IF(N128=D128,1,0))</f>
        <v/>
      </c>
      <c r="P128" s="67">
        <f>IF(G128="","",J128-G128)</f>
        <v/>
      </c>
      <c r="Q128" s="67">
        <f>IF(G128="","",ABS(P128-Components!$D$2)/Components!$E$2)</f>
        <v/>
      </c>
      <c r="R128" s="67">
        <f>IF(G128="","",ABS(P128-Components!$D$3)/Components!$E$3)</f>
        <v/>
      </c>
      <c r="S128" s="67">
        <f>IF(G128="","",ABS(P128-Components!$D$4)/Components!$E$4)</f>
        <v/>
      </c>
      <c r="T128" s="67">
        <f>IF(G128="","",ABS(P128-Components!$D$5)/Components!$E$5)</f>
        <v/>
      </c>
      <c r="U128" s="67">
        <f>IF(G128="","",ABS(P128-Components!$D$6)/Components!$E$6)</f>
        <v/>
      </c>
      <c r="V128" s="67">
        <f>IF(G128="","",ABS(P128-Components!$D$7)/Components!$E$7)</f>
        <v/>
      </c>
      <c r="W128" s="61">
        <f>IF(G128="","",IF(N128="OK","NONE",INDEX({"S1","S2","W1","W2","N1","N2"},MATCH(MIN(Q128:V128),Q128:V128,0))))</f>
        <v/>
      </c>
      <c r="X128" s="69">
        <f>IF(G128="","",IF(W128=E128,1,0))</f>
        <v/>
      </c>
      <c r="Y128" s="70" t="n"/>
    </row>
    <row r="129">
      <c r="A129" s="61" t="n">
        <v>27</v>
      </c>
      <c r="B129" s="62" t="n">
        <v>29</v>
      </c>
      <c r="C129" s="61" t="inlineStr">
        <is>
          <t>R4</t>
        </is>
      </c>
      <c r="D129" s="63" t="inlineStr">
        <is>
          <t>OK</t>
        </is>
      </c>
      <c r="E129" s="61" t="inlineStr">
        <is>
          <t>NONE</t>
        </is>
      </c>
      <c r="F129" s="61" t="inlineStr">
        <is>
          <t>K027</t>
        </is>
      </c>
      <c r="G129" s="75" t="n">
        <v>8.91</v>
      </c>
      <c r="H129" s="65" t="n"/>
      <c r="I129" s="66" t="n"/>
      <c r="J129" s="67">
        <f>VLOOKUP(C129,Recipes!$A$2:$N$4,10,FALSE())</f>
        <v/>
      </c>
      <c r="K129" s="68">
        <f>VLOOKUP(C129,Recipes!$A$2:$N$4,12,FALSE())</f>
        <v/>
      </c>
      <c r="L129" s="67">
        <f>J129-6*K129</f>
        <v/>
      </c>
      <c r="M129" s="67">
        <f>J129+6*K129</f>
        <v/>
      </c>
      <c r="N129" s="61">
        <f>IF(G129="","",IF(AND(G129&gt;=L129,G129&lt;=M129),"OK","NG"))</f>
        <v/>
      </c>
      <c r="O129" s="69">
        <f>IF(N129="","",IF(N129=D129,1,0))</f>
        <v/>
      </c>
      <c r="P129" s="67">
        <f>IF(G129="","",J129-G129)</f>
        <v/>
      </c>
      <c r="Q129" s="67">
        <f>IF(G129="","",ABS(P129-Components!$D$2)/Components!$E$2)</f>
        <v/>
      </c>
      <c r="R129" s="67">
        <f>IF(G129="","",ABS(P129-Components!$D$3)/Components!$E$3)</f>
        <v/>
      </c>
      <c r="S129" s="67">
        <f>IF(G129="","",ABS(P129-Components!$D$4)/Components!$E$4)</f>
        <v/>
      </c>
      <c r="T129" s="67">
        <f>IF(G129="","",ABS(P129-Components!$D$5)/Components!$E$5)</f>
        <v/>
      </c>
      <c r="U129" s="67">
        <f>IF(G129="","",ABS(P129-Components!$D$6)/Components!$E$6)</f>
        <v/>
      </c>
      <c r="V129" s="67">
        <f>IF(G129="","",ABS(P129-Components!$D$7)/Components!$E$7)</f>
        <v/>
      </c>
      <c r="W129" s="61">
        <f>IF(G129="","",IF(N129="OK","NONE",INDEX({"S1","S2","W1","W2","N1","N2"},MATCH(MIN(Q129:V129),Q129:V129,0))))</f>
        <v/>
      </c>
      <c r="X129" s="69">
        <f>IF(G129="","",IF(W129=E129,1,0))</f>
        <v/>
      </c>
      <c r="Y129" s="70" t="n"/>
    </row>
    <row r="130">
      <c r="A130" s="61" t="n">
        <v>28</v>
      </c>
      <c r="B130" s="62" t="n">
        <v>27</v>
      </c>
      <c r="C130" s="61" t="inlineStr">
        <is>
          <t>R4</t>
        </is>
      </c>
      <c r="D130" s="63" t="inlineStr">
        <is>
          <t>OK</t>
        </is>
      </c>
      <c r="E130" s="61" t="inlineStr">
        <is>
          <t>NONE</t>
        </is>
      </c>
      <c r="F130" s="61" t="inlineStr">
        <is>
          <t>K028</t>
        </is>
      </c>
      <c r="G130" s="75" t="n">
        <v>8.85</v>
      </c>
      <c r="H130" s="65" t="n"/>
      <c r="I130" s="66" t="n"/>
      <c r="J130" s="67">
        <f>VLOOKUP(C130,Recipes!$A$2:$N$4,10,FALSE())</f>
        <v/>
      </c>
      <c r="K130" s="68">
        <f>VLOOKUP(C130,Recipes!$A$2:$N$4,12,FALSE())</f>
        <v/>
      </c>
      <c r="L130" s="67">
        <f>J130-6*K130</f>
        <v/>
      </c>
      <c r="M130" s="67">
        <f>J130+6*K130</f>
        <v/>
      </c>
      <c r="N130" s="61">
        <f>IF(G130="","",IF(AND(G130&gt;=L130,G130&lt;=M130),"OK","NG"))</f>
        <v/>
      </c>
      <c r="O130" s="69">
        <f>IF(N130="","",IF(N130=D130,1,0))</f>
        <v/>
      </c>
      <c r="P130" s="67">
        <f>IF(G130="","",J130-G130)</f>
        <v/>
      </c>
      <c r="Q130" s="67">
        <f>IF(G130="","",ABS(P130-Components!$D$2)/Components!$E$2)</f>
        <v/>
      </c>
      <c r="R130" s="67">
        <f>IF(G130="","",ABS(P130-Components!$D$3)/Components!$E$3)</f>
        <v/>
      </c>
      <c r="S130" s="67">
        <f>IF(G130="","",ABS(P130-Components!$D$4)/Components!$E$4)</f>
        <v/>
      </c>
      <c r="T130" s="67">
        <f>IF(G130="","",ABS(P130-Components!$D$5)/Components!$E$5)</f>
        <v/>
      </c>
      <c r="U130" s="67">
        <f>IF(G130="","",ABS(P130-Components!$D$6)/Components!$E$6)</f>
        <v/>
      </c>
      <c r="V130" s="67">
        <f>IF(G130="","",ABS(P130-Components!$D$7)/Components!$E$7)</f>
        <v/>
      </c>
      <c r="W130" s="61">
        <f>IF(G130="","",IF(N130="OK","NONE",INDEX({"S1","S2","W1","W2","N1","N2"},MATCH(MIN(Q130:V130),Q130:V130,0))))</f>
        <v/>
      </c>
      <c r="X130" s="69">
        <f>IF(G130="","",IF(W130=E130,1,0))</f>
        <v/>
      </c>
      <c r="Y130" s="70" t="n"/>
    </row>
    <row r="131">
      <c r="A131" s="61" t="n">
        <v>29</v>
      </c>
      <c r="B131" s="62" t="n">
        <v>25</v>
      </c>
      <c r="C131" s="61" t="inlineStr">
        <is>
          <t>R4</t>
        </is>
      </c>
      <c r="D131" s="63" t="inlineStr">
        <is>
          <t>OK</t>
        </is>
      </c>
      <c r="E131" s="61" t="inlineStr">
        <is>
          <t>NONE</t>
        </is>
      </c>
      <c r="F131" s="61" t="inlineStr">
        <is>
          <t>K029</t>
        </is>
      </c>
      <c r="G131" s="75" t="n">
        <v>8.880000000000001</v>
      </c>
      <c r="H131" s="65" t="n"/>
      <c r="I131" s="66" t="n"/>
      <c r="J131" s="67">
        <f>VLOOKUP(C131,Recipes!$A$2:$N$4,10,FALSE())</f>
        <v/>
      </c>
      <c r="K131" s="68">
        <f>VLOOKUP(C131,Recipes!$A$2:$N$4,12,FALSE())</f>
        <v/>
      </c>
      <c r="L131" s="67">
        <f>J131-6*K131</f>
        <v/>
      </c>
      <c r="M131" s="67">
        <f>J131+6*K131</f>
        <v/>
      </c>
      <c r="N131" s="61">
        <f>IF(G131="","",IF(AND(G131&gt;=L131,G131&lt;=M131),"OK","NG"))</f>
        <v/>
      </c>
      <c r="O131" s="69">
        <f>IF(N131="","",IF(N131=D131,1,0))</f>
        <v/>
      </c>
      <c r="P131" s="67">
        <f>IF(G131="","",J131-G131)</f>
        <v/>
      </c>
      <c r="Q131" s="67">
        <f>IF(G131="","",ABS(P131-Components!$D$2)/Components!$E$2)</f>
        <v/>
      </c>
      <c r="R131" s="67">
        <f>IF(G131="","",ABS(P131-Components!$D$3)/Components!$E$3)</f>
        <v/>
      </c>
      <c r="S131" s="67">
        <f>IF(G131="","",ABS(P131-Components!$D$4)/Components!$E$4)</f>
        <v/>
      </c>
      <c r="T131" s="67">
        <f>IF(G131="","",ABS(P131-Components!$D$5)/Components!$E$5)</f>
        <v/>
      </c>
      <c r="U131" s="67">
        <f>IF(G131="","",ABS(P131-Components!$D$6)/Components!$E$6)</f>
        <v/>
      </c>
      <c r="V131" s="67">
        <f>IF(G131="","",ABS(P131-Components!$D$7)/Components!$E$7)</f>
        <v/>
      </c>
      <c r="W131" s="61">
        <f>IF(G131="","",IF(N131="OK","NONE",INDEX({"S1","S2","W1","W2","N1","N2"},MATCH(MIN(Q131:V131),Q131:V131,0))))</f>
        <v/>
      </c>
      <c r="X131" s="69">
        <f>IF(G131="","",IF(W131=E131,1,0))</f>
        <v/>
      </c>
      <c r="Y131" s="70" t="n"/>
    </row>
    <row r="132">
      <c r="A132" s="61" t="n">
        <v>30</v>
      </c>
      <c r="B132" s="62" t="n">
        <v>23</v>
      </c>
      <c r="C132" s="61" t="inlineStr">
        <is>
          <t>R4</t>
        </is>
      </c>
      <c r="D132" s="63" t="inlineStr">
        <is>
          <t>OK</t>
        </is>
      </c>
      <c r="E132" s="61" t="inlineStr">
        <is>
          <t>NONE</t>
        </is>
      </c>
      <c r="F132" s="61" t="inlineStr">
        <is>
          <t>K030</t>
        </is>
      </c>
      <c r="G132" s="75" t="n">
        <v>8.869999999999999</v>
      </c>
      <c r="H132" s="65" t="n"/>
      <c r="I132" s="66" t="n"/>
      <c r="J132" s="67">
        <f>VLOOKUP(C132,Recipes!$A$2:$N$4,10,FALSE())</f>
        <v/>
      </c>
      <c r="K132" s="68">
        <f>VLOOKUP(C132,Recipes!$A$2:$N$4,12,FALSE())</f>
        <v/>
      </c>
      <c r="L132" s="67">
        <f>J132-6*K132</f>
        <v/>
      </c>
      <c r="M132" s="67">
        <f>J132+6*K132</f>
        <v/>
      </c>
      <c r="N132" s="61">
        <f>IF(G132="","",IF(AND(G132&gt;=L132,G132&lt;=M132),"OK","NG"))</f>
        <v/>
      </c>
      <c r="O132" s="69">
        <f>IF(N132="","",IF(N132=D132,1,0))</f>
        <v/>
      </c>
      <c r="P132" s="67">
        <f>IF(G132="","",J132-G132)</f>
        <v/>
      </c>
      <c r="Q132" s="67">
        <f>IF(G132="","",ABS(P132-Components!$D$2)/Components!$E$2)</f>
        <v/>
      </c>
      <c r="R132" s="67">
        <f>IF(G132="","",ABS(P132-Components!$D$3)/Components!$E$3)</f>
        <v/>
      </c>
      <c r="S132" s="67">
        <f>IF(G132="","",ABS(P132-Components!$D$4)/Components!$E$4)</f>
        <v/>
      </c>
      <c r="T132" s="67">
        <f>IF(G132="","",ABS(P132-Components!$D$5)/Components!$E$5)</f>
        <v/>
      </c>
      <c r="U132" s="67">
        <f>IF(G132="","",ABS(P132-Components!$D$6)/Components!$E$6)</f>
        <v/>
      </c>
      <c r="V132" s="67">
        <f>IF(G132="","",ABS(P132-Components!$D$7)/Components!$E$7)</f>
        <v/>
      </c>
      <c r="W132" s="61">
        <f>IF(G132="","",IF(N132="OK","NONE",INDEX({"S1","S2","W1","W2","N1","N2"},MATCH(MIN(Q132:V132),Q132:V132,0))))</f>
        <v/>
      </c>
      <c r="X132" s="69">
        <f>IF(G132="","",IF(W132=E132,1,0))</f>
        <v/>
      </c>
      <c r="Y132" s="70" t="n"/>
    </row>
    <row r="133">
      <c r="A133" s="61" t="n">
        <v>31</v>
      </c>
      <c r="B133" s="62" t="n">
        <v>21</v>
      </c>
      <c r="C133" s="61" t="inlineStr">
        <is>
          <t>R4</t>
        </is>
      </c>
      <c r="D133" s="63" t="inlineStr">
        <is>
          <t>OK</t>
        </is>
      </c>
      <c r="E133" s="61" t="inlineStr">
        <is>
          <t>NONE</t>
        </is>
      </c>
      <c r="F133" s="61" t="inlineStr">
        <is>
          <t>K031</t>
        </is>
      </c>
      <c r="G133" s="75" t="n">
        <v>8.890000000000001</v>
      </c>
      <c r="H133" s="65" t="n"/>
      <c r="I133" s="66" t="n"/>
      <c r="J133" s="67">
        <f>VLOOKUP(C133,Recipes!$A$2:$N$4,10,FALSE())</f>
        <v/>
      </c>
      <c r="K133" s="68">
        <f>VLOOKUP(C133,Recipes!$A$2:$N$4,12,FALSE())</f>
        <v/>
      </c>
      <c r="L133" s="67">
        <f>J133-6*K133</f>
        <v/>
      </c>
      <c r="M133" s="67">
        <f>J133+6*K133</f>
        <v/>
      </c>
      <c r="N133" s="61">
        <f>IF(G133="","",IF(AND(G133&gt;=L133,G133&lt;=M133),"OK","NG"))</f>
        <v/>
      </c>
      <c r="O133" s="69">
        <f>IF(N133="","",IF(N133=D133,1,0))</f>
        <v/>
      </c>
      <c r="P133" s="67">
        <f>IF(G133="","",J133-G133)</f>
        <v/>
      </c>
      <c r="Q133" s="67">
        <f>IF(G133="","",ABS(P133-Components!$D$2)/Components!$E$2)</f>
        <v/>
      </c>
      <c r="R133" s="67">
        <f>IF(G133="","",ABS(P133-Components!$D$3)/Components!$E$3)</f>
        <v/>
      </c>
      <c r="S133" s="67">
        <f>IF(G133="","",ABS(P133-Components!$D$4)/Components!$E$4)</f>
        <v/>
      </c>
      <c r="T133" s="67">
        <f>IF(G133="","",ABS(P133-Components!$D$5)/Components!$E$5)</f>
        <v/>
      </c>
      <c r="U133" s="67">
        <f>IF(G133="","",ABS(P133-Components!$D$6)/Components!$E$6)</f>
        <v/>
      </c>
      <c r="V133" s="67">
        <f>IF(G133="","",ABS(P133-Components!$D$7)/Components!$E$7)</f>
        <v/>
      </c>
      <c r="W133" s="61">
        <f>IF(G133="","",IF(N133="OK","NONE",INDEX({"S1","S2","W1","W2","N1","N2"},MATCH(MIN(Q133:V133),Q133:V133,0))))</f>
        <v/>
      </c>
      <c r="X133" s="69">
        <f>IF(G133="","",IF(W133=E133,1,0))</f>
        <v/>
      </c>
      <c r="Y133" s="70" t="n"/>
    </row>
    <row r="134">
      <c r="A134" s="61" t="n">
        <v>32</v>
      </c>
      <c r="B134" s="62" t="n">
        <v>19</v>
      </c>
      <c r="C134" s="61" t="inlineStr">
        <is>
          <t>R4</t>
        </is>
      </c>
      <c r="D134" s="63" t="inlineStr">
        <is>
          <t>OK</t>
        </is>
      </c>
      <c r="E134" s="61" t="inlineStr">
        <is>
          <t>NONE</t>
        </is>
      </c>
      <c r="F134" s="61" t="inlineStr">
        <is>
          <t>K032</t>
        </is>
      </c>
      <c r="G134" s="75" t="n">
        <v>8.869999999999999</v>
      </c>
      <c r="H134" s="65" t="n"/>
      <c r="I134" s="66" t="n"/>
      <c r="J134" s="67">
        <f>VLOOKUP(C134,Recipes!$A$2:$N$4,10,FALSE())</f>
        <v/>
      </c>
      <c r="K134" s="68">
        <f>VLOOKUP(C134,Recipes!$A$2:$N$4,12,FALSE())</f>
        <v/>
      </c>
      <c r="L134" s="67">
        <f>J134-6*K134</f>
        <v/>
      </c>
      <c r="M134" s="67">
        <f>J134+6*K134</f>
        <v/>
      </c>
      <c r="N134" s="61">
        <f>IF(G134="","",IF(AND(G134&gt;=L134,G134&lt;=M134),"OK","NG"))</f>
        <v/>
      </c>
      <c r="O134" s="69">
        <f>IF(N134="","",IF(N134=D134,1,0))</f>
        <v/>
      </c>
      <c r="P134" s="67">
        <f>IF(G134="","",J134-G134)</f>
        <v/>
      </c>
      <c r="Q134" s="67">
        <f>IF(G134="","",ABS(P134-Components!$D$2)/Components!$E$2)</f>
        <v/>
      </c>
      <c r="R134" s="67">
        <f>IF(G134="","",ABS(P134-Components!$D$3)/Components!$E$3)</f>
        <v/>
      </c>
      <c r="S134" s="67">
        <f>IF(G134="","",ABS(P134-Components!$D$4)/Components!$E$4)</f>
        <v/>
      </c>
      <c r="T134" s="67">
        <f>IF(G134="","",ABS(P134-Components!$D$5)/Components!$E$5)</f>
        <v/>
      </c>
      <c r="U134" s="67">
        <f>IF(G134="","",ABS(P134-Components!$D$6)/Components!$E$6)</f>
        <v/>
      </c>
      <c r="V134" s="67">
        <f>IF(G134="","",ABS(P134-Components!$D$7)/Components!$E$7)</f>
        <v/>
      </c>
      <c r="W134" s="61">
        <f>IF(G134="","",IF(N134="OK","NONE",INDEX({"S1","S2","W1","W2","N1","N2"},MATCH(MIN(Q134:V134),Q134:V134,0))))</f>
        <v/>
      </c>
      <c r="X134" s="69">
        <f>IF(G134="","",IF(W134=E134,1,0))</f>
        <v/>
      </c>
      <c r="Y134" s="70" t="n"/>
    </row>
    <row r="135">
      <c r="A135" s="61" t="n">
        <v>33</v>
      </c>
      <c r="B135" s="62" t="n">
        <v>17</v>
      </c>
      <c r="C135" s="61" t="inlineStr">
        <is>
          <t>R4</t>
        </is>
      </c>
      <c r="D135" s="63" t="inlineStr">
        <is>
          <t>OK</t>
        </is>
      </c>
      <c r="E135" s="61" t="inlineStr">
        <is>
          <t>NONE</t>
        </is>
      </c>
      <c r="F135" s="61" t="inlineStr">
        <is>
          <t>K033</t>
        </is>
      </c>
      <c r="G135" s="75" t="n">
        <v>8.970000000000001</v>
      </c>
      <c r="H135" s="65" t="n"/>
      <c r="I135" s="66" t="n"/>
      <c r="J135" s="67">
        <f>VLOOKUP(C135,Recipes!$A$2:$N$4,10,FALSE())</f>
        <v/>
      </c>
      <c r="K135" s="68">
        <f>VLOOKUP(C135,Recipes!$A$2:$N$4,12,FALSE())</f>
        <v/>
      </c>
      <c r="L135" s="67">
        <f>J135-6*K135</f>
        <v/>
      </c>
      <c r="M135" s="67">
        <f>J135+6*K135</f>
        <v/>
      </c>
      <c r="N135" s="61">
        <f>IF(G135="","",IF(AND(G135&gt;=L135,G135&lt;=M135),"OK","NG"))</f>
        <v/>
      </c>
      <c r="O135" s="69">
        <f>IF(N135="","",IF(N135=D135,1,0))</f>
        <v/>
      </c>
      <c r="P135" s="67">
        <f>IF(G135="","",J135-G135)</f>
        <v/>
      </c>
      <c r="Q135" s="67">
        <f>IF(G135="","",ABS(P135-Components!$D$2)/Components!$E$2)</f>
        <v/>
      </c>
      <c r="R135" s="67">
        <f>IF(G135="","",ABS(P135-Components!$D$3)/Components!$E$3)</f>
        <v/>
      </c>
      <c r="S135" s="67">
        <f>IF(G135="","",ABS(P135-Components!$D$4)/Components!$E$4)</f>
        <v/>
      </c>
      <c r="T135" s="67">
        <f>IF(G135="","",ABS(P135-Components!$D$5)/Components!$E$5)</f>
        <v/>
      </c>
      <c r="U135" s="67">
        <f>IF(G135="","",ABS(P135-Components!$D$6)/Components!$E$6)</f>
        <v/>
      </c>
      <c r="V135" s="67">
        <f>IF(G135="","",ABS(P135-Components!$D$7)/Components!$E$7)</f>
        <v/>
      </c>
      <c r="W135" s="61">
        <f>IF(G135="","",IF(N135="OK","NONE",INDEX({"S1","S2","W1","W2","N1","N2"},MATCH(MIN(Q135:V135),Q135:V135,0))))</f>
        <v/>
      </c>
      <c r="X135" s="69">
        <f>IF(G135="","",IF(W135=E135,1,0))</f>
        <v/>
      </c>
      <c r="Y135" s="70" t="n"/>
    </row>
    <row r="136">
      <c r="A136" s="61" t="n">
        <v>34</v>
      </c>
      <c r="B136" s="62" t="n">
        <v>15</v>
      </c>
      <c r="C136" s="61" t="inlineStr">
        <is>
          <t>R4</t>
        </is>
      </c>
      <c r="D136" s="63" t="inlineStr">
        <is>
          <t>OK</t>
        </is>
      </c>
      <c r="E136" s="61" t="inlineStr">
        <is>
          <t>NONE</t>
        </is>
      </c>
      <c r="F136" s="61" t="inlineStr">
        <is>
          <t>K034</t>
        </is>
      </c>
      <c r="G136" s="75" t="n">
        <v>8.94</v>
      </c>
      <c r="H136" s="65" t="n"/>
      <c r="I136" s="66" t="n"/>
      <c r="J136" s="67">
        <f>VLOOKUP(C136,Recipes!$A$2:$N$4,10,FALSE())</f>
        <v/>
      </c>
      <c r="K136" s="68">
        <f>VLOOKUP(C136,Recipes!$A$2:$N$4,12,FALSE())</f>
        <v/>
      </c>
      <c r="L136" s="67">
        <f>J136-6*K136</f>
        <v/>
      </c>
      <c r="M136" s="67">
        <f>J136+6*K136</f>
        <v/>
      </c>
      <c r="N136" s="61">
        <f>IF(G136="","",IF(AND(G136&gt;=L136,G136&lt;=M136),"OK","NG"))</f>
        <v/>
      </c>
      <c r="O136" s="69">
        <f>IF(N136="","",IF(N136=D136,1,0))</f>
        <v/>
      </c>
      <c r="P136" s="67">
        <f>IF(G136="","",J136-G136)</f>
        <v/>
      </c>
      <c r="Q136" s="67">
        <f>IF(G136="","",ABS(P136-Components!$D$2)/Components!$E$2)</f>
        <v/>
      </c>
      <c r="R136" s="67">
        <f>IF(G136="","",ABS(P136-Components!$D$3)/Components!$E$3)</f>
        <v/>
      </c>
      <c r="S136" s="67">
        <f>IF(G136="","",ABS(P136-Components!$D$4)/Components!$E$4)</f>
        <v/>
      </c>
      <c r="T136" s="67">
        <f>IF(G136="","",ABS(P136-Components!$D$5)/Components!$E$5)</f>
        <v/>
      </c>
      <c r="U136" s="67">
        <f>IF(G136="","",ABS(P136-Components!$D$6)/Components!$E$6)</f>
        <v/>
      </c>
      <c r="V136" s="67">
        <f>IF(G136="","",ABS(P136-Components!$D$7)/Components!$E$7)</f>
        <v/>
      </c>
      <c r="W136" s="61">
        <f>IF(G136="","",IF(N136="OK","NONE",INDEX({"S1","S2","W1","W2","N1","N2"},MATCH(MIN(Q136:V136),Q136:V136,0))))</f>
        <v/>
      </c>
      <c r="X136" s="69">
        <f>IF(G136="","",IF(W136=E136,1,0))</f>
        <v/>
      </c>
      <c r="Y136" s="70" t="n"/>
    </row>
    <row r="137">
      <c r="A137" s="61" t="n">
        <v>35</v>
      </c>
      <c r="B137" s="62" t="n">
        <v>13</v>
      </c>
      <c r="C137" s="61" t="inlineStr">
        <is>
          <t>R4</t>
        </is>
      </c>
      <c r="D137" s="63" t="inlineStr">
        <is>
          <t>OK</t>
        </is>
      </c>
      <c r="E137" s="61" t="inlineStr">
        <is>
          <t>NONE</t>
        </is>
      </c>
      <c r="F137" s="61" t="inlineStr">
        <is>
          <t>K035</t>
        </is>
      </c>
      <c r="G137" s="75" t="n">
        <v>8.890000000000001</v>
      </c>
      <c r="H137" s="65" t="n"/>
      <c r="I137" s="66" t="n"/>
      <c r="J137" s="67">
        <f>VLOOKUP(C137,Recipes!$A$2:$N$4,10,FALSE())</f>
        <v/>
      </c>
      <c r="K137" s="68">
        <f>VLOOKUP(C137,Recipes!$A$2:$N$4,12,FALSE())</f>
        <v/>
      </c>
      <c r="L137" s="67">
        <f>J137-6*K137</f>
        <v/>
      </c>
      <c r="M137" s="67">
        <f>J137+6*K137</f>
        <v/>
      </c>
      <c r="N137" s="61">
        <f>IF(G137="","",IF(AND(G137&gt;=L137,G137&lt;=M137),"OK","NG"))</f>
        <v/>
      </c>
      <c r="O137" s="69">
        <f>IF(N137="","",IF(N137=D137,1,0))</f>
        <v/>
      </c>
      <c r="P137" s="67">
        <f>IF(G137="","",J137-G137)</f>
        <v/>
      </c>
      <c r="Q137" s="67">
        <f>IF(G137="","",ABS(P137-Components!$D$2)/Components!$E$2)</f>
        <v/>
      </c>
      <c r="R137" s="67">
        <f>IF(G137="","",ABS(P137-Components!$D$3)/Components!$E$3)</f>
        <v/>
      </c>
      <c r="S137" s="67">
        <f>IF(G137="","",ABS(P137-Components!$D$4)/Components!$E$4)</f>
        <v/>
      </c>
      <c r="T137" s="67">
        <f>IF(G137="","",ABS(P137-Components!$D$5)/Components!$E$5)</f>
        <v/>
      </c>
      <c r="U137" s="67">
        <f>IF(G137="","",ABS(P137-Components!$D$6)/Components!$E$6)</f>
        <v/>
      </c>
      <c r="V137" s="67">
        <f>IF(G137="","",ABS(P137-Components!$D$7)/Components!$E$7)</f>
        <v/>
      </c>
      <c r="W137" s="61">
        <f>IF(G137="","",IF(N137="OK","NONE",INDEX({"S1","S2","W1","W2","N1","N2"},MATCH(MIN(Q137:V137),Q137:V137,0))))</f>
        <v/>
      </c>
      <c r="X137" s="69">
        <f>IF(G137="","",IF(W137=E137,1,0))</f>
        <v/>
      </c>
      <c r="Y137" s="70" t="n"/>
    </row>
    <row r="138">
      <c r="A138" s="61" t="n">
        <v>36</v>
      </c>
      <c r="B138" s="62" t="n">
        <v>11</v>
      </c>
      <c r="C138" s="61" t="inlineStr">
        <is>
          <t>R4</t>
        </is>
      </c>
      <c r="D138" s="63" t="inlineStr">
        <is>
          <t>OK</t>
        </is>
      </c>
      <c r="E138" s="61" t="inlineStr">
        <is>
          <t>NONE</t>
        </is>
      </c>
      <c r="F138" s="61" t="inlineStr">
        <is>
          <t>K036</t>
        </is>
      </c>
      <c r="G138" s="75" t="n">
        <v>8.880000000000001</v>
      </c>
      <c r="H138" s="65" t="n"/>
      <c r="I138" s="66" t="n"/>
      <c r="J138" s="67">
        <f>VLOOKUP(C138,Recipes!$A$2:$N$4,10,FALSE())</f>
        <v/>
      </c>
      <c r="K138" s="68">
        <f>VLOOKUP(C138,Recipes!$A$2:$N$4,12,FALSE())</f>
        <v/>
      </c>
      <c r="L138" s="67">
        <f>J138-6*K138</f>
        <v/>
      </c>
      <c r="M138" s="67">
        <f>J138+6*K138</f>
        <v/>
      </c>
      <c r="N138" s="61">
        <f>IF(G138="","",IF(AND(G138&gt;=L138,G138&lt;=M138),"OK","NG"))</f>
        <v/>
      </c>
      <c r="O138" s="69">
        <f>IF(N138="","",IF(N138=D138,1,0))</f>
        <v/>
      </c>
      <c r="P138" s="67">
        <f>IF(G138="","",J138-G138)</f>
        <v/>
      </c>
      <c r="Q138" s="67">
        <f>IF(G138="","",ABS(P138-Components!$D$2)/Components!$E$2)</f>
        <v/>
      </c>
      <c r="R138" s="67">
        <f>IF(G138="","",ABS(P138-Components!$D$3)/Components!$E$3)</f>
        <v/>
      </c>
      <c r="S138" s="67">
        <f>IF(G138="","",ABS(P138-Components!$D$4)/Components!$E$4)</f>
        <v/>
      </c>
      <c r="T138" s="67">
        <f>IF(G138="","",ABS(P138-Components!$D$5)/Components!$E$5)</f>
        <v/>
      </c>
      <c r="U138" s="67">
        <f>IF(G138="","",ABS(P138-Components!$D$6)/Components!$E$6)</f>
        <v/>
      </c>
      <c r="V138" s="67">
        <f>IF(G138="","",ABS(P138-Components!$D$7)/Components!$E$7)</f>
        <v/>
      </c>
      <c r="W138" s="61">
        <f>IF(G138="","",IF(N138="OK","NONE",INDEX({"S1","S2","W1","W2","N1","N2"},MATCH(MIN(Q138:V138),Q138:V138,0))))</f>
        <v/>
      </c>
      <c r="X138" s="69">
        <f>IF(G138="","",IF(W138=E138,1,0))</f>
        <v/>
      </c>
      <c r="Y138" s="70" t="n"/>
    </row>
    <row r="139">
      <c r="A139" s="61" t="n">
        <v>37</v>
      </c>
      <c r="B139" s="62" t="n">
        <v>9</v>
      </c>
      <c r="C139" s="61" t="inlineStr">
        <is>
          <t>R4</t>
        </is>
      </c>
      <c r="D139" s="63" t="inlineStr">
        <is>
          <t>OK</t>
        </is>
      </c>
      <c r="E139" s="61" t="inlineStr">
        <is>
          <t>NONE</t>
        </is>
      </c>
      <c r="F139" s="61" t="inlineStr">
        <is>
          <t>K037</t>
        </is>
      </c>
      <c r="G139" s="75" t="n">
        <v>8.93</v>
      </c>
      <c r="H139" s="65" t="n"/>
      <c r="I139" s="66" t="n"/>
      <c r="J139" s="67">
        <f>VLOOKUP(C139,Recipes!$A$2:$N$4,10,FALSE())</f>
        <v/>
      </c>
      <c r="K139" s="68">
        <f>VLOOKUP(C139,Recipes!$A$2:$N$4,12,FALSE())</f>
        <v/>
      </c>
      <c r="L139" s="67">
        <f>J139-6*K139</f>
        <v/>
      </c>
      <c r="M139" s="67">
        <f>J139+6*K139</f>
        <v/>
      </c>
      <c r="N139" s="61">
        <f>IF(G139="","",IF(AND(G139&gt;=L139,G139&lt;=M139),"OK","NG"))</f>
        <v/>
      </c>
      <c r="O139" s="69">
        <f>IF(N139="","",IF(N139=D139,1,0))</f>
        <v/>
      </c>
      <c r="P139" s="67">
        <f>IF(G139="","",J139-G139)</f>
        <v/>
      </c>
      <c r="Q139" s="67">
        <f>IF(G139="","",ABS(P139-Components!$D$2)/Components!$E$2)</f>
        <v/>
      </c>
      <c r="R139" s="67">
        <f>IF(G139="","",ABS(P139-Components!$D$3)/Components!$E$3)</f>
        <v/>
      </c>
      <c r="S139" s="67">
        <f>IF(G139="","",ABS(P139-Components!$D$4)/Components!$E$4)</f>
        <v/>
      </c>
      <c r="T139" s="67">
        <f>IF(G139="","",ABS(P139-Components!$D$5)/Components!$E$5)</f>
        <v/>
      </c>
      <c r="U139" s="67">
        <f>IF(G139="","",ABS(P139-Components!$D$6)/Components!$E$6)</f>
        <v/>
      </c>
      <c r="V139" s="67">
        <f>IF(G139="","",ABS(P139-Components!$D$7)/Components!$E$7)</f>
        <v/>
      </c>
      <c r="W139" s="61">
        <f>IF(G139="","",IF(N139="OK","NONE",INDEX({"S1","S2","W1","W2","N1","N2"},MATCH(MIN(Q139:V139),Q139:V139,0))))</f>
        <v/>
      </c>
      <c r="X139" s="69">
        <f>IF(G139="","",IF(W139=E139,1,0))</f>
        <v/>
      </c>
      <c r="Y139" s="70" t="n"/>
    </row>
    <row r="140">
      <c r="A140" s="61" t="n">
        <v>38</v>
      </c>
      <c r="B140" s="62" t="n">
        <v>7</v>
      </c>
      <c r="C140" s="61" t="inlineStr">
        <is>
          <t>R4</t>
        </is>
      </c>
      <c r="D140" s="63" t="inlineStr">
        <is>
          <t>OK</t>
        </is>
      </c>
      <c r="E140" s="61" t="inlineStr">
        <is>
          <t>NONE</t>
        </is>
      </c>
      <c r="F140" s="61" t="inlineStr">
        <is>
          <t>K038</t>
        </is>
      </c>
      <c r="G140" s="75" t="n">
        <v>8.93</v>
      </c>
      <c r="H140" s="65" t="n"/>
      <c r="I140" s="66" t="n"/>
      <c r="J140" s="67">
        <f>VLOOKUP(C140,Recipes!$A$2:$N$4,10,FALSE())</f>
        <v/>
      </c>
      <c r="K140" s="68">
        <f>VLOOKUP(C140,Recipes!$A$2:$N$4,12,FALSE())</f>
        <v/>
      </c>
      <c r="L140" s="67">
        <f>J140-6*K140</f>
        <v/>
      </c>
      <c r="M140" s="67">
        <f>J140+6*K140</f>
        <v/>
      </c>
      <c r="N140" s="61">
        <f>IF(G140="","",IF(AND(G140&gt;=L140,G140&lt;=M140),"OK","NG"))</f>
        <v/>
      </c>
      <c r="O140" s="69">
        <f>IF(N140="","",IF(N140=D140,1,0))</f>
        <v/>
      </c>
      <c r="P140" s="67">
        <f>IF(G140="","",J140-G140)</f>
        <v/>
      </c>
      <c r="Q140" s="67">
        <f>IF(G140="","",ABS(P140-Components!$D$2)/Components!$E$2)</f>
        <v/>
      </c>
      <c r="R140" s="67">
        <f>IF(G140="","",ABS(P140-Components!$D$3)/Components!$E$3)</f>
        <v/>
      </c>
      <c r="S140" s="67">
        <f>IF(G140="","",ABS(P140-Components!$D$4)/Components!$E$4)</f>
        <v/>
      </c>
      <c r="T140" s="67">
        <f>IF(G140="","",ABS(P140-Components!$D$5)/Components!$E$5)</f>
        <v/>
      </c>
      <c r="U140" s="67">
        <f>IF(G140="","",ABS(P140-Components!$D$6)/Components!$E$6)</f>
        <v/>
      </c>
      <c r="V140" s="67">
        <f>IF(G140="","",ABS(P140-Components!$D$7)/Components!$E$7)</f>
        <v/>
      </c>
      <c r="W140" s="61">
        <f>IF(G140="","",IF(N140="OK","NONE",INDEX({"S1","S2","W1","W2","N1","N2"},MATCH(MIN(Q140:V140),Q140:V140,0))))</f>
        <v/>
      </c>
      <c r="X140" s="69">
        <f>IF(G140="","",IF(W140=E140,1,0))</f>
        <v/>
      </c>
      <c r="Y140" s="70" t="n"/>
    </row>
    <row r="141">
      <c r="A141" s="61" t="n">
        <v>39</v>
      </c>
      <c r="B141" s="62" t="n">
        <v>5</v>
      </c>
      <c r="C141" s="61" t="inlineStr">
        <is>
          <t>R4</t>
        </is>
      </c>
      <c r="D141" s="63" t="inlineStr">
        <is>
          <t>OK</t>
        </is>
      </c>
      <c r="E141" s="61" t="inlineStr">
        <is>
          <t>NONE</t>
        </is>
      </c>
      <c r="F141" s="61" t="inlineStr">
        <is>
          <t>K039</t>
        </is>
      </c>
      <c r="G141" s="75" t="n">
        <v>8.92</v>
      </c>
      <c r="H141" s="65" t="n"/>
      <c r="I141" s="66" t="n"/>
      <c r="J141" s="67">
        <f>VLOOKUP(C141,Recipes!$A$2:$N$4,10,FALSE())</f>
        <v/>
      </c>
      <c r="K141" s="68">
        <f>VLOOKUP(C141,Recipes!$A$2:$N$4,12,FALSE())</f>
        <v/>
      </c>
      <c r="L141" s="67">
        <f>J141-6*K141</f>
        <v/>
      </c>
      <c r="M141" s="67">
        <f>J141+6*K141</f>
        <v/>
      </c>
      <c r="N141" s="61">
        <f>IF(G141="","",IF(AND(G141&gt;=L141,G141&lt;=M141),"OK","NG"))</f>
        <v/>
      </c>
      <c r="O141" s="69">
        <f>IF(N141="","",IF(N141=D141,1,0))</f>
        <v/>
      </c>
      <c r="P141" s="67">
        <f>IF(G141="","",J141-G141)</f>
        <v/>
      </c>
      <c r="Q141" s="67">
        <f>IF(G141="","",ABS(P141-Components!$D$2)/Components!$E$2)</f>
        <v/>
      </c>
      <c r="R141" s="67">
        <f>IF(G141="","",ABS(P141-Components!$D$3)/Components!$E$3)</f>
        <v/>
      </c>
      <c r="S141" s="67">
        <f>IF(G141="","",ABS(P141-Components!$D$4)/Components!$E$4)</f>
        <v/>
      </c>
      <c r="T141" s="67">
        <f>IF(G141="","",ABS(P141-Components!$D$5)/Components!$E$5)</f>
        <v/>
      </c>
      <c r="U141" s="67">
        <f>IF(G141="","",ABS(P141-Components!$D$6)/Components!$E$6)</f>
        <v/>
      </c>
      <c r="V141" s="67">
        <f>IF(G141="","",ABS(P141-Components!$D$7)/Components!$E$7)</f>
        <v/>
      </c>
      <c r="W141" s="61">
        <f>IF(G141="","",IF(N141="OK","NONE",INDEX({"S1","S2","W1","W2","N1","N2"},MATCH(MIN(Q141:V141),Q141:V141,0))))</f>
        <v/>
      </c>
      <c r="X141" s="69">
        <f>IF(G141="","",IF(W141=E141,1,0))</f>
        <v/>
      </c>
      <c r="Y141" s="70" t="n"/>
    </row>
    <row r="142">
      <c r="A142" s="61" t="n">
        <v>40</v>
      </c>
      <c r="B142" s="62" t="n">
        <v>3</v>
      </c>
      <c r="C142" s="61" t="inlineStr">
        <is>
          <t>R4</t>
        </is>
      </c>
      <c r="D142" s="63" t="inlineStr">
        <is>
          <t>OK</t>
        </is>
      </c>
      <c r="E142" s="61" t="inlineStr">
        <is>
          <t>NONE</t>
        </is>
      </c>
      <c r="F142" s="61" t="inlineStr">
        <is>
          <t>K040</t>
        </is>
      </c>
      <c r="G142" s="75" t="n">
        <v>8.880000000000001</v>
      </c>
      <c r="H142" s="65" t="n"/>
      <c r="I142" s="66" t="n"/>
      <c r="J142" s="67">
        <f>VLOOKUP(C142,Recipes!$A$2:$N$4,10,FALSE())</f>
        <v/>
      </c>
      <c r="K142" s="68">
        <f>VLOOKUP(C142,Recipes!$A$2:$N$4,12,FALSE())</f>
        <v/>
      </c>
      <c r="L142" s="67">
        <f>J142-6*K142</f>
        <v/>
      </c>
      <c r="M142" s="67">
        <f>J142+6*K142</f>
        <v/>
      </c>
      <c r="N142" s="61">
        <f>IF(G142="","",IF(AND(G142&gt;=L142,G142&lt;=M142),"OK","NG"))</f>
        <v/>
      </c>
      <c r="O142" s="69">
        <f>IF(N142="","",IF(N142=D142,1,0))</f>
        <v/>
      </c>
      <c r="P142" s="67">
        <f>IF(G142="","",J142-G142)</f>
        <v/>
      </c>
      <c r="Q142" s="67">
        <f>IF(G142="","",ABS(P142-Components!$D$2)/Components!$E$2)</f>
        <v/>
      </c>
      <c r="R142" s="67">
        <f>IF(G142="","",ABS(P142-Components!$D$3)/Components!$E$3)</f>
        <v/>
      </c>
      <c r="S142" s="67">
        <f>IF(G142="","",ABS(P142-Components!$D$4)/Components!$E$4)</f>
        <v/>
      </c>
      <c r="T142" s="67">
        <f>IF(G142="","",ABS(P142-Components!$D$5)/Components!$E$5)</f>
        <v/>
      </c>
      <c r="U142" s="67">
        <f>IF(G142="","",ABS(P142-Components!$D$6)/Components!$E$6)</f>
        <v/>
      </c>
      <c r="V142" s="67">
        <f>IF(G142="","",ABS(P142-Components!$D$7)/Components!$E$7)</f>
        <v/>
      </c>
      <c r="W142" s="61">
        <f>IF(G142="","",IF(N142="OK","NONE",INDEX({"S1","S2","W1","W2","N1","N2"},MATCH(MIN(Q142:V142),Q142:V142,0))))</f>
        <v/>
      </c>
      <c r="X142" s="69">
        <f>IF(G142="","",IF(W142=E142,1,0))</f>
        <v/>
      </c>
      <c r="Y142" s="70" t="n"/>
    </row>
    <row r="143">
      <c r="A143" s="61" t="n">
        <v>41</v>
      </c>
      <c r="B143" s="62" t="n">
        <v>1</v>
      </c>
      <c r="C143" s="61" t="inlineStr">
        <is>
          <t>R4</t>
        </is>
      </c>
      <c r="D143" s="63" t="inlineStr">
        <is>
          <t>OK</t>
        </is>
      </c>
      <c r="E143" s="61" t="inlineStr">
        <is>
          <t>NONE</t>
        </is>
      </c>
      <c r="F143" s="61" t="inlineStr">
        <is>
          <t>K041</t>
        </is>
      </c>
      <c r="G143" s="75" t="n">
        <v>8.9</v>
      </c>
      <c r="H143" s="65" t="n"/>
      <c r="I143" s="66" t="n"/>
      <c r="J143" s="67">
        <f>VLOOKUP(C143,Recipes!$A$2:$N$4,10,FALSE())</f>
        <v/>
      </c>
      <c r="K143" s="68">
        <f>VLOOKUP(C143,Recipes!$A$2:$N$4,12,FALSE())</f>
        <v/>
      </c>
      <c r="L143" s="67">
        <f>J143-6*K143</f>
        <v/>
      </c>
      <c r="M143" s="67">
        <f>J143+6*K143</f>
        <v/>
      </c>
      <c r="N143" s="61">
        <f>IF(G143="","",IF(AND(G143&gt;=L143,G143&lt;=M143),"OK","NG"))</f>
        <v/>
      </c>
      <c r="O143" s="69">
        <f>IF(N143="","",IF(N143=D143,1,0))</f>
        <v/>
      </c>
      <c r="P143" s="67">
        <f>IF(G143="","",J143-G143)</f>
        <v/>
      </c>
      <c r="Q143" s="67">
        <f>IF(G143="","",ABS(P143-Components!$D$2)/Components!$E$2)</f>
        <v/>
      </c>
      <c r="R143" s="67">
        <f>IF(G143="","",ABS(P143-Components!$D$3)/Components!$E$3)</f>
        <v/>
      </c>
      <c r="S143" s="67">
        <f>IF(G143="","",ABS(P143-Components!$D$4)/Components!$E$4)</f>
        <v/>
      </c>
      <c r="T143" s="67">
        <f>IF(G143="","",ABS(P143-Components!$D$5)/Components!$E$5)</f>
        <v/>
      </c>
      <c r="U143" s="67">
        <f>IF(G143="","",ABS(P143-Components!$D$6)/Components!$E$6)</f>
        <v/>
      </c>
      <c r="V143" s="67">
        <f>IF(G143="","",ABS(P143-Components!$D$7)/Components!$E$7)</f>
        <v/>
      </c>
      <c r="W143" s="61">
        <f>IF(G143="","",IF(N143="OK","NONE",INDEX({"S1","S2","W1","W2","N1","N2"},MATCH(MIN(Q143:V143),Q143:V143,0))))</f>
        <v/>
      </c>
      <c r="X143" s="69">
        <f>IF(G143="","",IF(W143=E143,1,0))</f>
        <v/>
      </c>
      <c r="Y143" s="70" t="n"/>
    </row>
    <row r="144">
      <c r="A144" s="61" t="n">
        <v>42</v>
      </c>
      <c r="B144" s="62" t="n">
        <v>-1</v>
      </c>
      <c r="C144" s="61" t="inlineStr">
        <is>
          <t>R4</t>
        </is>
      </c>
      <c r="D144" s="63" t="inlineStr">
        <is>
          <t>OK</t>
        </is>
      </c>
      <c r="E144" s="61" t="inlineStr">
        <is>
          <t>NONE</t>
        </is>
      </c>
      <c r="F144" s="61" t="inlineStr">
        <is>
          <t>K042</t>
        </is>
      </c>
      <c r="G144" s="75" t="n">
        <v>8.869999999999999</v>
      </c>
      <c r="H144" s="65" t="n"/>
      <c r="I144" s="66" t="n"/>
      <c r="J144" s="67">
        <f>VLOOKUP(C144,Recipes!$A$2:$N$4,10,FALSE())</f>
        <v/>
      </c>
      <c r="K144" s="68">
        <f>VLOOKUP(C144,Recipes!$A$2:$N$4,12,FALSE())</f>
        <v/>
      </c>
      <c r="L144" s="67">
        <f>J144-6*K144</f>
        <v/>
      </c>
      <c r="M144" s="67">
        <f>J144+6*K144</f>
        <v/>
      </c>
      <c r="N144" s="61">
        <f>IF(G144="","",IF(AND(G144&gt;=L144,G144&lt;=M144),"OK","NG"))</f>
        <v/>
      </c>
      <c r="O144" s="69">
        <f>IF(N144="","",IF(N144=D144,1,0))</f>
        <v/>
      </c>
      <c r="P144" s="67">
        <f>IF(G144="","",J144-G144)</f>
        <v/>
      </c>
      <c r="Q144" s="67">
        <f>IF(G144="","",ABS(P144-Components!$D$2)/Components!$E$2)</f>
        <v/>
      </c>
      <c r="R144" s="67">
        <f>IF(G144="","",ABS(P144-Components!$D$3)/Components!$E$3)</f>
        <v/>
      </c>
      <c r="S144" s="67">
        <f>IF(G144="","",ABS(P144-Components!$D$4)/Components!$E$4)</f>
        <v/>
      </c>
      <c r="T144" s="67">
        <f>IF(G144="","",ABS(P144-Components!$D$5)/Components!$E$5)</f>
        <v/>
      </c>
      <c r="U144" s="67">
        <f>IF(G144="","",ABS(P144-Components!$D$6)/Components!$E$6)</f>
        <v/>
      </c>
      <c r="V144" s="67">
        <f>IF(G144="","",ABS(P144-Components!$D$7)/Components!$E$7)</f>
        <v/>
      </c>
      <c r="W144" s="61">
        <f>IF(G144="","",IF(N144="OK","NONE",INDEX({"S1","S2","W1","W2","N1","N2"},MATCH(MIN(Q144:V144),Q144:V144,0))))</f>
        <v/>
      </c>
      <c r="X144" s="69">
        <f>IF(G144="","",IF(W144=E144,1,0))</f>
        <v/>
      </c>
      <c r="Y144" s="70" t="n"/>
    </row>
    <row r="145">
      <c r="A145" s="61" t="n">
        <v>43</v>
      </c>
      <c r="B145" s="62" t="n">
        <v>-3</v>
      </c>
      <c r="C145" s="61" t="inlineStr">
        <is>
          <t>R4</t>
        </is>
      </c>
      <c r="D145" s="63" t="inlineStr">
        <is>
          <t>OK</t>
        </is>
      </c>
      <c r="E145" s="61" t="inlineStr">
        <is>
          <t>NONE</t>
        </is>
      </c>
      <c r="F145" s="61" t="inlineStr">
        <is>
          <t>K043</t>
        </is>
      </c>
      <c r="G145" s="75" t="n">
        <v>8.93</v>
      </c>
      <c r="H145" s="65" t="n"/>
      <c r="I145" s="66" t="n"/>
      <c r="J145" s="67">
        <f>VLOOKUP(C145,Recipes!$A$2:$N$4,10,FALSE())</f>
        <v/>
      </c>
      <c r="K145" s="68">
        <f>VLOOKUP(C145,Recipes!$A$2:$N$4,12,FALSE())</f>
        <v/>
      </c>
      <c r="L145" s="67">
        <f>J145-6*K145</f>
        <v/>
      </c>
      <c r="M145" s="67">
        <f>J145+6*K145</f>
        <v/>
      </c>
      <c r="N145" s="61">
        <f>IF(G145="","",IF(AND(G145&gt;=L145,G145&lt;=M145),"OK","NG"))</f>
        <v/>
      </c>
      <c r="O145" s="69">
        <f>IF(N145="","",IF(N145=D145,1,0))</f>
        <v/>
      </c>
      <c r="P145" s="67">
        <f>IF(G145="","",J145-G145)</f>
        <v/>
      </c>
      <c r="Q145" s="67">
        <f>IF(G145="","",ABS(P145-Components!$D$2)/Components!$E$2)</f>
        <v/>
      </c>
      <c r="R145" s="67">
        <f>IF(G145="","",ABS(P145-Components!$D$3)/Components!$E$3)</f>
        <v/>
      </c>
      <c r="S145" s="67">
        <f>IF(G145="","",ABS(P145-Components!$D$4)/Components!$E$4)</f>
        <v/>
      </c>
      <c r="T145" s="67">
        <f>IF(G145="","",ABS(P145-Components!$D$5)/Components!$E$5)</f>
        <v/>
      </c>
      <c r="U145" s="67">
        <f>IF(G145="","",ABS(P145-Components!$D$6)/Components!$E$6)</f>
        <v/>
      </c>
      <c r="V145" s="67">
        <f>IF(G145="","",ABS(P145-Components!$D$7)/Components!$E$7)</f>
        <v/>
      </c>
      <c r="W145" s="61">
        <f>IF(G145="","",IF(N145="OK","NONE",INDEX({"S1","S2","W1","W2","N1","N2"},MATCH(MIN(Q145:V145),Q145:V145,0))))</f>
        <v/>
      </c>
      <c r="X145" s="69">
        <f>IF(G145="","",IF(W145=E145,1,0))</f>
        <v/>
      </c>
      <c r="Y145" s="70" t="n"/>
    </row>
    <row r="146">
      <c r="A146" s="61" t="n">
        <v>44</v>
      </c>
      <c r="B146" s="62" t="n">
        <v>-5</v>
      </c>
      <c r="C146" s="61" t="inlineStr">
        <is>
          <t>R4</t>
        </is>
      </c>
      <c r="D146" s="63" t="inlineStr">
        <is>
          <t>OK</t>
        </is>
      </c>
      <c r="E146" s="61" t="inlineStr">
        <is>
          <t>NONE</t>
        </is>
      </c>
      <c r="F146" s="61" t="inlineStr">
        <is>
          <t>K044</t>
        </is>
      </c>
      <c r="G146" s="75" t="n">
        <v>8.94</v>
      </c>
      <c r="H146" s="65" t="n"/>
      <c r="I146" s="66" t="n"/>
      <c r="J146" s="67">
        <f>VLOOKUP(C146,Recipes!$A$2:$N$4,10,FALSE())</f>
        <v/>
      </c>
      <c r="K146" s="68">
        <f>VLOOKUP(C146,Recipes!$A$2:$N$4,12,FALSE())</f>
        <v/>
      </c>
      <c r="L146" s="67">
        <f>J146-6*K146</f>
        <v/>
      </c>
      <c r="M146" s="67">
        <f>J146+6*K146</f>
        <v/>
      </c>
      <c r="N146" s="61">
        <f>IF(G146="","",IF(AND(G146&gt;=L146,G146&lt;=M146),"OK","NG"))</f>
        <v/>
      </c>
      <c r="O146" s="69">
        <f>IF(N146="","",IF(N146=D146,1,0))</f>
        <v/>
      </c>
      <c r="P146" s="67">
        <f>IF(G146="","",J146-G146)</f>
        <v/>
      </c>
      <c r="Q146" s="67">
        <f>IF(G146="","",ABS(P146-Components!$D$2)/Components!$E$2)</f>
        <v/>
      </c>
      <c r="R146" s="67">
        <f>IF(G146="","",ABS(P146-Components!$D$3)/Components!$E$3)</f>
        <v/>
      </c>
      <c r="S146" s="67">
        <f>IF(G146="","",ABS(P146-Components!$D$4)/Components!$E$4)</f>
        <v/>
      </c>
      <c r="T146" s="67">
        <f>IF(G146="","",ABS(P146-Components!$D$5)/Components!$E$5)</f>
        <v/>
      </c>
      <c r="U146" s="67">
        <f>IF(G146="","",ABS(P146-Components!$D$6)/Components!$E$6)</f>
        <v/>
      </c>
      <c r="V146" s="67">
        <f>IF(G146="","",ABS(P146-Components!$D$7)/Components!$E$7)</f>
        <v/>
      </c>
      <c r="W146" s="61">
        <f>IF(G146="","",IF(N146="OK","NONE",INDEX({"S1","S2","W1","W2","N1","N2"},MATCH(MIN(Q146:V146),Q146:V146,0))))</f>
        <v/>
      </c>
      <c r="X146" s="69">
        <f>IF(G146="","",IF(W146=E146,1,0))</f>
        <v/>
      </c>
      <c r="Y146" s="70" t="n"/>
    </row>
    <row r="147">
      <c r="A147" s="61" t="n">
        <v>44</v>
      </c>
      <c r="B147" s="62" t="n">
        <v>-5</v>
      </c>
      <c r="C147" s="61" t="inlineStr">
        <is>
          <t>R4</t>
        </is>
      </c>
      <c r="D147" s="63" t="inlineStr">
        <is>
          <t>OK</t>
        </is>
      </c>
      <c r="E147" s="61" t="inlineStr">
        <is>
          <t>NONE</t>
        </is>
      </c>
      <c r="F147" s="61" t="inlineStr">
        <is>
          <t>K044</t>
        </is>
      </c>
      <c r="G147" s="75" t="n">
        <v>8.880000000000001</v>
      </c>
      <c r="H147" s="65" t="n"/>
      <c r="I147" s="66" t="n"/>
      <c r="J147" s="67">
        <f>VLOOKUP(C147,Recipes!$A$2:$N$4,10,FALSE())</f>
        <v/>
      </c>
      <c r="K147" s="68">
        <f>VLOOKUP(C147,Recipes!$A$2:$N$4,12,FALSE())</f>
        <v/>
      </c>
      <c r="L147" s="67">
        <f>J147-6*K147</f>
        <v/>
      </c>
      <c r="M147" s="67">
        <f>J147+6*K147</f>
        <v/>
      </c>
      <c r="N147" s="61">
        <f>IF(G147="","",IF(AND(G147&gt;=L147,G147&lt;=M147),"OK","NG"))</f>
        <v/>
      </c>
      <c r="O147" s="69">
        <f>IF(N147="","",IF(N147=D147,1,0))</f>
        <v/>
      </c>
      <c r="P147" s="67">
        <f>IF(G147="","",J147-G147)</f>
        <v/>
      </c>
      <c r="Q147" s="67">
        <f>IF(G147="","",ABS(P147-Components!$D$2)/Components!$E$2)</f>
        <v/>
      </c>
      <c r="R147" s="67">
        <f>IF(G147="","",ABS(P147-Components!$D$3)/Components!$E$3)</f>
        <v/>
      </c>
      <c r="S147" s="67">
        <f>IF(G147="","",ABS(P147-Components!$D$4)/Components!$E$4)</f>
        <v/>
      </c>
      <c r="T147" s="67">
        <f>IF(G147="","",ABS(P147-Components!$D$5)/Components!$E$5)</f>
        <v/>
      </c>
      <c r="U147" s="67">
        <f>IF(G147="","",ABS(P147-Components!$D$6)/Components!$E$6)</f>
        <v/>
      </c>
      <c r="V147" s="67">
        <f>IF(G147="","",ABS(P147-Components!$D$7)/Components!$E$7)</f>
        <v/>
      </c>
      <c r="W147" s="61">
        <f>IF(G147="","",IF(N147="OK","NONE",INDEX({"S1","S2","W1","W2","N1","N2"},MATCH(MIN(Q147:V147),Q147:V147,0))))</f>
        <v/>
      </c>
      <c r="X147" s="69">
        <f>IF(G147="","",IF(W147=E147,1,0))</f>
        <v/>
      </c>
      <c r="Y147" s="70" t="n"/>
    </row>
    <row r="148">
      <c r="A148" s="61" t="n">
        <v>44</v>
      </c>
      <c r="B148" s="62" t="n">
        <v>-5</v>
      </c>
      <c r="C148" s="61" t="inlineStr">
        <is>
          <t>R4</t>
        </is>
      </c>
      <c r="D148" s="63" t="inlineStr">
        <is>
          <t>OK</t>
        </is>
      </c>
      <c r="E148" s="61" t="inlineStr">
        <is>
          <t>NONE</t>
        </is>
      </c>
      <c r="F148" s="61" t="inlineStr">
        <is>
          <t>K044</t>
        </is>
      </c>
      <c r="G148" s="75" t="n">
        <v>8.890000000000001</v>
      </c>
      <c r="H148" s="65" t="n"/>
      <c r="I148" s="66" t="n"/>
      <c r="J148" s="67">
        <f>VLOOKUP(C148,Recipes!$A$2:$N$4,10,FALSE())</f>
        <v/>
      </c>
      <c r="K148" s="68">
        <f>VLOOKUP(C148,Recipes!$A$2:$N$4,12,FALSE())</f>
        <v/>
      </c>
      <c r="L148" s="67">
        <f>J148-6*K148</f>
        <v/>
      </c>
      <c r="M148" s="67">
        <f>J148+6*K148</f>
        <v/>
      </c>
      <c r="N148" s="61">
        <f>IF(G148="","",IF(AND(G148&gt;=L148,G148&lt;=M148),"OK","NG"))</f>
        <v/>
      </c>
      <c r="O148" s="69">
        <f>IF(N148="","",IF(N148=D148,1,0))</f>
        <v/>
      </c>
      <c r="P148" s="67">
        <f>IF(G148="","",J148-G148)</f>
        <v/>
      </c>
      <c r="Q148" s="67">
        <f>IF(G148="","",ABS(P148-Components!$D$2)/Components!$E$2)</f>
        <v/>
      </c>
      <c r="R148" s="67">
        <f>IF(G148="","",ABS(P148-Components!$D$3)/Components!$E$3)</f>
        <v/>
      </c>
      <c r="S148" s="67">
        <f>IF(G148="","",ABS(P148-Components!$D$4)/Components!$E$4)</f>
        <v/>
      </c>
      <c r="T148" s="67">
        <f>IF(G148="","",ABS(P148-Components!$D$5)/Components!$E$5)</f>
        <v/>
      </c>
      <c r="U148" s="67">
        <f>IF(G148="","",ABS(P148-Components!$D$6)/Components!$E$6)</f>
        <v/>
      </c>
      <c r="V148" s="67">
        <f>IF(G148="","",ABS(P148-Components!$D$7)/Components!$E$7)</f>
        <v/>
      </c>
      <c r="W148" s="61">
        <f>IF(G148="","",IF(N148="OK","NONE",INDEX({"S1","S2","W1","W2","N1","N2"},MATCH(MIN(Q148:V148),Q148:V148,0))))</f>
        <v/>
      </c>
      <c r="X148" s="69">
        <f>IF(G148="","",IF(W148=E148,1,0))</f>
        <v/>
      </c>
      <c r="Y148" s="70" t="n"/>
    </row>
    <row r="149">
      <c r="A149" s="61" t="n">
        <v>44</v>
      </c>
      <c r="B149" s="62" t="n">
        <v>-5</v>
      </c>
      <c r="C149" s="61" t="inlineStr">
        <is>
          <t>R4</t>
        </is>
      </c>
      <c r="D149" s="63" t="inlineStr">
        <is>
          <t>OK</t>
        </is>
      </c>
      <c r="E149" s="61" t="inlineStr">
        <is>
          <t>NONE</t>
        </is>
      </c>
      <c r="F149" s="61" t="inlineStr">
        <is>
          <t>K044</t>
        </is>
      </c>
      <c r="G149" s="75" t="n">
        <v>8.880000000000001</v>
      </c>
      <c r="H149" s="65" t="n"/>
      <c r="I149" s="66" t="n"/>
      <c r="J149" s="67">
        <f>VLOOKUP(C149,Recipes!$A$2:$N$4,10,FALSE())</f>
        <v/>
      </c>
      <c r="K149" s="68">
        <f>VLOOKUP(C149,Recipes!$A$2:$N$4,12,FALSE())</f>
        <v/>
      </c>
      <c r="L149" s="67">
        <f>J149-6*K149</f>
        <v/>
      </c>
      <c r="M149" s="67">
        <f>J149+6*K149</f>
        <v/>
      </c>
      <c r="N149" s="61">
        <f>IF(G149="","",IF(AND(G149&gt;=L149,G149&lt;=M149),"OK","NG"))</f>
        <v/>
      </c>
      <c r="O149" s="69">
        <f>IF(N149="","",IF(N149=D149,1,0))</f>
        <v/>
      </c>
      <c r="P149" s="67">
        <f>IF(G149="","",J149-G149)</f>
        <v/>
      </c>
      <c r="Q149" s="67">
        <f>IF(G149="","",ABS(P149-Components!$D$2)/Components!$E$2)</f>
        <v/>
      </c>
      <c r="R149" s="67">
        <f>IF(G149="","",ABS(P149-Components!$D$3)/Components!$E$3)</f>
        <v/>
      </c>
      <c r="S149" s="67">
        <f>IF(G149="","",ABS(P149-Components!$D$4)/Components!$E$4)</f>
        <v/>
      </c>
      <c r="T149" s="67">
        <f>IF(G149="","",ABS(P149-Components!$D$5)/Components!$E$5)</f>
        <v/>
      </c>
      <c r="U149" s="67">
        <f>IF(G149="","",ABS(P149-Components!$D$6)/Components!$E$6)</f>
        <v/>
      </c>
      <c r="V149" s="67">
        <f>IF(G149="","",ABS(P149-Components!$D$7)/Components!$E$7)</f>
        <v/>
      </c>
      <c r="W149" s="61">
        <f>IF(G149="","",IF(N149="OK","NONE",INDEX({"S1","S2","W1","W2","N1","N2"},MATCH(MIN(Q149:V149),Q149:V149,0))))</f>
        <v/>
      </c>
      <c r="X149" s="69">
        <f>IF(G149="","",IF(W149=E149,1,0))</f>
        <v/>
      </c>
      <c r="Y149" s="70" t="n"/>
    </row>
    <row r="150">
      <c r="A150" s="61" t="n">
        <v>44</v>
      </c>
      <c r="B150" s="62" t="n">
        <v>-5</v>
      </c>
      <c r="C150" s="61" t="inlineStr">
        <is>
          <t>R4</t>
        </is>
      </c>
      <c r="D150" s="63" t="inlineStr">
        <is>
          <t>OK</t>
        </is>
      </c>
      <c r="E150" s="61" t="inlineStr">
        <is>
          <t>NONE</t>
        </is>
      </c>
      <c r="F150" s="61" t="inlineStr">
        <is>
          <t>K044</t>
        </is>
      </c>
      <c r="G150" s="75" t="n">
        <v>8.710000000000001</v>
      </c>
      <c r="H150" s="65" t="n"/>
      <c r="I150" s="66" t="n"/>
      <c r="J150" s="67">
        <f>VLOOKUP(C150,Recipes!$A$2:$N$4,10,FALSE())</f>
        <v/>
      </c>
      <c r="K150" s="68">
        <f>VLOOKUP(C150,Recipes!$A$2:$N$4,12,FALSE())</f>
        <v/>
      </c>
      <c r="L150" s="67">
        <f>J150-6*K150</f>
        <v/>
      </c>
      <c r="M150" s="67">
        <f>J150+6*K150</f>
        <v/>
      </c>
      <c r="N150" s="61">
        <f>IF(G150="","",IF(AND(G150&gt;=L150,G150&lt;=M150),"OK","NG"))</f>
        <v/>
      </c>
      <c r="O150" s="69">
        <f>IF(N150="","",IF(N150=D150,1,0))</f>
        <v/>
      </c>
      <c r="P150" s="67">
        <f>IF(G150="","",J150-G150)</f>
        <v/>
      </c>
      <c r="Q150" s="67">
        <f>IF(G150="","",ABS(P150-Components!$D$2)/Components!$E$2)</f>
        <v/>
      </c>
      <c r="R150" s="67">
        <f>IF(G150="","",ABS(P150-Components!$D$3)/Components!$E$3)</f>
        <v/>
      </c>
      <c r="S150" s="67">
        <f>IF(G150="","",ABS(P150-Components!$D$4)/Components!$E$4)</f>
        <v/>
      </c>
      <c r="T150" s="67">
        <f>IF(G150="","",ABS(P150-Components!$D$5)/Components!$E$5)</f>
        <v/>
      </c>
      <c r="U150" s="67">
        <f>IF(G150="","",ABS(P150-Components!$D$6)/Components!$E$6)</f>
        <v/>
      </c>
      <c r="V150" s="67">
        <f>IF(G150="","",ABS(P150-Components!$D$7)/Components!$E$7)</f>
        <v/>
      </c>
      <c r="W150" s="61">
        <f>IF(G150="","",IF(N150="OK","NONE",INDEX({"S1","S2","W1","W2","N1","N2"},MATCH(MIN(Q150:V150),Q150:V150,0))))</f>
        <v/>
      </c>
      <c r="X150" s="71">
        <f>IF(G150="","",IF(W150=E150,1,0))</f>
        <v/>
      </c>
      <c r="Y150" s="70" t="n"/>
    </row>
    <row r="151">
      <c r="A151" s="61" t="n">
        <v>44</v>
      </c>
      <c r="B151" s="62" t="n">
        <v>-5</v>
      </c>
      <c r="C151" s="61" t="inlineStr">
        <is>
          <t>R4</t>
        </is>
      </c>
      <c r="D151" s="63" t="inlineStr">
        <is>
          <t>OK</t>
        </is>
      </c>
      <c r="E151" s="61" t="inlineStr">
        <is>
          <t>NONE</t>
        </is>
      </c>
      <c r="F151" s="61" t="inlineStr">
        <is>
          <t>K044</t>
        </is>
      </c>
      <c r="G151" s="75" t="n">
        <v>8.94</v>
      </c>
      <c r="H151" s="65" t="n"/>
      <c r="I151" s="66" t="n"/>
      <c r="J151" s="67">
        <f>VLOOKUP(C151,Recipes!$A$2:$N$4,10,FALSE())</f>
        <v/>
      </c>
      <c r="K151" s="68">
        <f>VLOOKUP(C151,Recipes!$A$2:$N$4,12,FALSE())</f>
        <v/>
      </c>
      <c r="L151" s="67">
        <f>J151-6*K151</f>
        <v/>
      </c>
      <c r="M151" s="67">
        <f>J151+6*K151</f>
        <v/>
      </c>
      <c r="N151" s="61">
        <f>IF(G151="","",IF(AND(G151&gt;=L151,G151&lt;=M151),"OK","NG"))</f>
        <v/>
      </c>
      <c r="O151" s="69">
        <f>IF(N151="","",IF(N151=D151,1,0))</f>
        <v/>
      </c>
      <c r="P151" s="67">
        <f>IF(G151="","",J151-G151)</f>
        <v/>
      </c>
      <c r="Q151" s="67">
        <f>IF(G151="","",ABS(P151-Components!$D$2)/Components!$E$2)</f>
        <v/>
      </c>
      <c r="R151" s="67">
        <f>IF(G151="","",ABS(P151-Components!$D$3)/Components!$E$3)</f>
        <v/>
      </c>
      <c r="S151" s="67">
        <f>IF(G151="","",ABS(P151-Components!$D$4)/Components!$E$4)</f>
        <v/>
      </c>
      <c r="T151" s="67">
        <f>IF(G151="","",ABS(P151-Components!$D$5)/Components!$E$5)</f>
        <v/>
      </c>
      <c r="U151" s="67">
        <f>IF(G151="","",ABS(P151-Components!$D$6)/Components!$E$6)</f>
        <v/>
      </c>
      <c r="V151" s="67">
        <f>IF(G151="","",ABS(P151-Components!$D$7)/Components!$E$7)</f>
        <v/>
      </c>
      <c r="W151" s="61">
        <f>IF(G151="","",IF(N151="OK","NONE",INDEX({"S1","S2","W1","W2","N1","N2"},MATCH(MIN(Q151:V151),Q151:V151,0))))</f>
        <v/>
      </c>
      <c r="X151" s="69">
        <f>IF(G151="","",IF(W151=E151,1,0))</f>
        <v/>
      </c>
      <c r="Y151" s="70" t="n"/>
    </row>
    <row r="152">
      <c r="A152" s="61" t="n">
        <v>45</v>
      </c>
      <c r="B152" s="62" t="n">
        <v>-7</v>
      </c>
      <c r="C152" s="61" t="inlineStr">
        <is>
          <t>R4</t>
        </is>
      </c>
      <c r="D152" s="63" t="inlineStr">
        <is>
          <t>OK</t>
        </is>
      </c>
      <c r="E152" s="61" t="inlineStr">
        <is>
          <t>NONE</t>
        </is>
      </c>
      <c r="F152" s="61" t="inlineStr">
        <is>
          <t>K045</t>
        </is>
      </c>
      <c r="G152" s="75" t="n">
        <v>8.970000000000001</v>
      </c>
      <c r="H152" s="65" t="n"/>
      <c r="I152" s="66" t="n"/>
      <c r="J152" s="67">
        <f>VLOOKUP(C152,Recipes!$A$2:$N$4,10,FALSE())</f>
        <v/>
      </c>
      <c r="K152" s="68">
        <f>VLOOKUP(C152,Recipes!$A$2:$N$4,12,FALSE())</f>
        <v/>
      </c>
      <c r="L152" s="67">
        <f>J152-6*K152</f>
        <v/>
      </c>
      <c r="M152" s="67">
        <f>J152+6*K152</f>
        <v/>
      </c>
      <c r="N152" s="61">
        <f>IF(G152="","",IF(AND(G152&gt;=L152,G152&lt;=M152),"OK","NG"))</f>
        <v/>
      </c>
      <c r="O152" s="69">
        <f>IF(N152="","",IF(N152=D152,1,0))</f>
        <v/>
      </c>
      <c r="P152" s="67">
        <f>IF(G152="","",J152-G152)</f>
        <v/>
      </c>
      <c r="Q152" s="67">
        <f>IF(G152="","",ABS(P152-Components!$D$2)/Components!$E$2)</f>
        <v/>
      </c>
      <c r="R152" s="67">
        <f>IF(G152="","",ABS(P152-Components!$D$3)/Components!$E$3)</f>
        <v/>
      </c>
      <c r="S152" s="67">
        <f>IF(G152="","",ABS(P152-Components!$D$4)/Components!$E$4)</f>
        <v/>
      </c>
      <c r="T152" s="67">
        <f>IF(G152="","",ABS(P152-Components!$D$5)/Components!$E$5)</f>
        <v/>
      </c>
      <c r="U152" s="67">
        <f>IF(G152="","",ABS(P152-Components!$D$6)/Components!$E$6)</f>
        <v/>
      </c>
      <c r="V152" s="67">
        <f>IF(G152="","",ABS(P152-Components!$D$7)/Components!$E$7)</f>
        <v/>
      </c>
      <c r="W152" s="61">
        <f>IF(G152="","",IF(N152="OK","NONE",INDEX({"S1","S2","W1","W2","N1","N2"},MATCH(MIN(Q152:V152),Q152:V152,0))))</f>
        <v/>
      </c>
      <c r="X152" s="69">
        <f>IF(G152="","",IF(W152=E152,1,0))</f>
        <v/>
      </c>
      <c r="Y152" s="70" t="n"/>
    </row>
    <row r="153">
      <c r="A153" s="61" t="n">
        <v>26</v>
      </c>
      <c r="B153" s="62" t="n">
        <v>25</v>
      </c>
      <c r="C153" s="61" t="inlineStr">
        <is>
          <t>R4</t>
        </is>
      </c>
      <c r="D153" s="74" t="inlineStr">
        <is>
          <t>NG</t>
        </is>
      </c>
      <c r="E153" s="61" t="inlineStr">
        <is>
          <t>S1</t>
        </is>
      </c>
      <c r="F153" s="61" t="inlineStr">
        <is>
          <t>K026</t>
        </is>
      </c>
      <c r="G153" s="64" t="n">
        <v>6.18</v>
      </c>
      <c r="H153" s="65" t="n"/>
      <c r="I153" s="66" t="n"/>
      <c r="J153" s="67">
        <f>VLOOKUP(C153,Recipes!$A$2:$N$4,10,FALSE())</f>
        <v/>
      </c>
      <c r="K153" s="68">
        <f>VLOOKUP(C153,Recipes!$A$2:$N$4,12,FALSE())</f>
        <v/>
      </c>
      <c r="L153" s="67">
        <f>J153-6*K153</f>
        <v/>
      </c>
      <c r="M153" s="67">
        <f>J153+6*K153</f>
        <v/>
      </c>
      <c r="N153" s="61">
        <f>IF(G153="","",IF(AND(G153&gt;=L153,G153&lt;=M153),"OK","NG"))</f>
        <v/>
      </c>
      <c r="O153" s="69">
        <f>IF(N153="","",IF(N153=D153,1,0))</f>
        <v/>
      </c>
      <c r="P153" s="67">
        <f>IF(G153="","",J153-G153)</f>
        <v/>
      </c>
      <c r="Q153" s="67">
        <f>IF(G153="","",ABS(P153-Components!$D$2)/Components!$E$2)</f>
        <v/>
      </c>
      <c r="R153" s="67">
        <f>IF(G153="","",ABS(P153-Components!$D$3)/Components!$E$3)</f>
        <v/>
      </c>
      <c r="S153" s="67">
        <f>IF(G153="","",ABS(P153-Components!$D$4)/Components!$E$4)</f>
        <v/>
      </c>
      <c r="T153" s="67">
        <f>IF(G153="","",ABS(P153-Components!$D$5)/Components!$E$5)</f>
        <v/>
      </c>
      <c r="U153" s="67">
        <f>IF(G153="","",ABS(P153-Components!$D$6)/Components!$E$6)</f>
        <v/>
      </c>
      <c r="V153" s="67">
        <f>IF(G153="","",ABS(P153-Components!$D$7)/Components!$E$7)</f>
        <v/>
      </c>
      <c r="W153" s="61">
        <f>IF(G153="","",IF(N153="OK","NONE",INDEX({"S1","S2","W1","W2","N1","N2"},MATCH(MIN(Q153:V153),Q153:V153,0))))</f>
        <v/>
      </c>
      <c r="X153" s="69">
        <f>IF(G153="","",IF(W153=E153,1,0))</f>
        <v/>
      </c>
      <c r="Y153" s="70" t="n"/>
    </row>
    <row r="154">
      <c r="A154" s="61" t="n">
        <v>27</v>
      </c>
      <c r="B154" s="62" t="n">
        <v>1</v>
      </c>
      <c r="C154" s="61" t="inlineStr">
        <is>
          <t>R4</t>
        </is>
      </c>
      <c r="D154" s="74" t="inlineStr">
        <is>
          <t>NG</t>
        </is>
      </c>
      <c r="E154" s="61" t="inlineStr">
        <is>
          <t>S1</t>
        </is>
      </c>
      <c r="F154" s="61" t="inlineStr">
        <is>
          <t>K027</t>
        </is>
      </c>
      <c r="G154" s="64" t="n">
        <v>6.18</v>
      </c>
      <c r="H154" s="65" t="n"/>
      <c r="I154" s="66" t="n"/>
      <c r="J154" s="67">
        <f>VLOOKUP(C154,Recipes!$A$2:$N$4,10,FALSE())</f>
        <v/>
      </c>
      <c r="K154" s="68">
        <f>VLOOKUP(C154,Recipes!$A$2:$N$4,12,FALSE())</f>
        <v/>
      </c>
      <c r="L154" s="67">
        <f>J154-6*K154</f>
        <v/>
      </c>
      <c r="M154" s="67">
        <f>J154+6*K154</f>
        <v/>
      </c>
      <c r="N154" s="61">
        <f>IF(G154="","",IF(AND(G154&gt;=L154,G154&lt;=M154),"OK","NG"))</f>
        <v/>
      </c>
      <c r="O154" s="69">
        <f>IF(N154="","",IF(N154=D154,1,0))</f>
        <v/>
      </c>
      <c r="P154" s="67">
        <f>IF(G154="","",J154-G154)</f>
        <v/>
      </c>
      <c r="Q154" s="67">
        <f>IF(G154="","",ABS(P154-Components!$D$2)/Components!$E$2)</f>
        <v/>
      </c>
      <c r="R154" s="67">
        <f>IF(G154="","",ABS(P154-Components!$D$3)/Components!$E$3)</f>
        <v/>
      </c>
      <c r="S154" s="67">
        <f>IF(G154="","",ABS(P154-Components!$D$4)/Components!$E$4)</f>
        <v/>
      </c>
      <c r="T154" s="67">
        <f>IF(G154="","",ABS(P154-Components!$D$5)/Components!$E$5)</f>
        <v/>
      </c>
      <c r="U154" s="67">
        <f>IF(G154="","",ABS(P154-Components!$D$6)/Components!$E$6)</f>
        <v/>
      </c>
      <c r="V154" s="67">
        <f>IF(G154="","",ABS(P154-Components!$D$7)/Components!$E$7)</f>
        <v/>
      </c>
      <c r="W154" s="61">
        <f>IF(G154="","",IF(N154="OK","NONE",INDEX({"S1","S2","W1","W2","N1","N2"},MATCH(MIN(Q154:V154),Q154:V154,0))))</f>
        <v/>
      </c>
      <c r="X154" s="69">
        <f>IF(G154="","",IF(W154=E154,1,0))</f>
        <v/>
      </c>
      <c r="Y154" s="70" t="n"/>
    </row>
    <row r="155">
      <c r="A155" s="61" t="n">
        <v>28</v>
      </c>
      <c r="B155" s="62" t="n">
        <v>26</v>
      </c>
      <c r="C155" s="61" t="inlineStr">
        <is>
          <t>R4</t>
        </is>
      </c>
      <c r="D155" s="74" t="inlineStr">
        <is>
          <t>NG</t>
        </is>
      </c>
      <c r="E155" s="61" t="inlineStr">
        <is>
          <t>S1</t>
        </is>
      </c>
      <c r="F155" s="61" t="inlineStr">
        <is>
          <t>K028</t>
        </is>
      </c>
      <c r="G155" s="64" t="n">
        <v>6.15</v>
      </c>
      <c r="H155" s="65" t="n"/>
      <c r="I155" s="66" t="n"/>
      <c r="J155" s="67">
        <f>VLOOKUP(C155,Recipes!$A$2:$N$4,10,FALSE())</f>
        <v/>
      </c>
      <c r="K155" s="68">
        <f>VLOOKUP(C155,Recipes!$A$2:$N$4,12,FALSE())</f>
        <v/>
      </c>
      <c r="L155" s="67">
        <f>J155-6*K155</f>
        <v/>
      </c>
      <c r="M155" s="67">
        <f>J155+6*K155</f>
        <v/>
      </c>
      <c r="N155" s="61">
        <f>IF(G155="","",IF(AND(G155&gt;=L155,G155&lt;=M155),"OK","NG"))</f>
        <v/>
      </c>
      <c r="O155" s="69">
        <f>IF(N155="","",IF(N155=D155,1,0))</f>
        <v/>
      </c>
      <c r="P155" s="67">
        <f>IF(G155="","",J155-G155)</f>
        <v/>
      </c>
      <c r="Q155" s="67">
        <f>IF(G155="","",ABS(P155-Components!$D$2)/Components!$E$2)</f>
        <v/>
      </c>
      <c r="R155" s="67">
        <f>IF(G155="","",ABS(P155-Components!$D$3)/Components!$E$3)</f>
        <v/>
      </c>
      <c r="S155" s="67">
        <f>IF(G155="","",ABS(P155-Components!$D$4)/Components!$E$4)</f>
        <v/>
      </c>
      <c r="T155" s="67">
        <f>IF(G155="","",ABS(P155-Components!$D$5)/Components!$E$5)</f>
        <v/>
      </c>
      <c r="U155" s="67">
        <f>IF(G155="","",ABS(P155-Components!$D$6)/Components!$E$6)</f>
        <v/>
      </c>
      <c r="V155" s="67">
        <f>IF(G155="","",ABS(P155-Components!$D$7)/Components!$E$7)</f>
        <v/>
      </c>
      <c r="W155" s="61">
        <f>IF(G155="","",IF(N155="OK","NONE",INDEX({"S1","S2","W1","W2","N1","N2"},MATCH(MIN(Q155:V155),Q155:V155,0))))</f>
        <v/>
      </c>
      <c r="X155" s="69">
        <f>IF(G155="","",IF(W155=E155,1,0))</f>
        <v/>
      </c>
      <c r="Y155" s="70" t="n"/>
    </row>
    <row r="156">
      <c r="A156" s="61" t="n">
        <v>29</v>
      </c>
      <c r="B156" s="62" t="n">
        <v>52</v>
      </c>
      <c r="C156" s="61" t="inlineStr">
        <is>
          <t>R4</t>
        </is>
      </c>
      <c r="D156" s="74" t="inlineStr">
        <is>
          <t>NG</t>
        </is>
      </c>
      <c r="E156" s="61" t="inlineStr">
        <is>
          <t>S1</t>
        </is>
      </c>
      <c r="F156" s="61" t="inlineStr">
        <is>
          <t>K029</t>
        </is>
      </c>
      <c r="G156" s="64" t="n">
        <v>6.12</v>
      </c>
      <c r="H156" s="65" t="n"/>
      <c r="I156" s="66" t="n"/>
      <c r="J156" s="67">
        <f>VLOOKUP(C156,Recipes!$A$2:$N$4,10,FALSE())</f>
        <v/>
      </c>
      <c r="K156" s="68">
        <f>VLOOKUP(C156,Recipes!$A$2:$N$4,12,FALSE())</f>
        <v/>
      </c>
      <c r="L156" s="67">
        <f>J156-6*K156</f>
        <v/>
      </c>
      <c r="M156" s="67">
        <f>J156+6*K156</f>
        <v/>
      </c>
      <c r="N156" s="61">
        <f>IF(G156="","",IF(AND(G156&gt;=L156,G156&lt;=M156),"OK","NG"))</f>
        <v/>
      </c>
      <c r="O156" s="69">
        <f>IF(N156="","",IF(N156=D156,1,0))</f>
        <v/>
      </c>
      <c r="P156" s="67">
        <f>IF(G156="","",J156-G156)</f>
        <v/>
      </c>
      <c r="Q156" s="67">
        <f>IF(G156="","",ABS(P156-Components!$D$2)/Components!$E$2)</f>
        <v/>
      </c>
      <c r="R156" s="67">
        <f>IF(G156="","",ABS(P156-Components!$D$3)/Components!$E$3)</f>
        <v/>
      </c>
      <c r="S156" s="67">
        <f>IF(G156="","",ABS(P156-Components!$D$4)/Components!$E$4)</f>
        <v/>
      </c>
      <c r="T156" s="67">
        <f>IF(G156="","",ABS(P156-Components!$D$5)/Components!$E$5)</f>
        <v/>
      </c>
      <c r="U156" s="67">
        <f>IF(G156="","",ABS(P156-Components!$D$6)/Components!$E$6)</f>
        <v/>
      </c>
      <c r="V156" s="67">
        <f>IF(G156="","",ABS(P156-Components!$D$7)/Components!$E$7)</f>
        <v/>
      </c>
      <c r="W156" s="61">
        <f>IF(G156="","",IF(N156="OK","NONE",INDEX({"S1","S2","W1","W2","N1","N2"},MATCH(MIN(Q156:V156),Q156:V156,0))))</f>
        <v/>
      </c>
      <c r="X156" s="69">
        <f>IF(G156="","",IF(W156=E156,1,0))</f>
        <v/>
      </c>
      <c r="Y156" s="70" t="n"/>
    </row>
    <row r="157">
      <c r="A157" s="76" t="n">
        <v>41</v>
      </c>
      <c r="B157" s="77" t="n">
        <v>7</v>
      </c>
      <c r="C157" s="76" t="inlineStr">
        <is>
          <t>R4</t>
        </is>
      </c>
      <c r="D157" s="78" t="inlineStr">
        <is>
          <t>NG</t>
        </is>
      </c>
      <c r="E157" s="76" t="inlineStr">
        <is>
          <t>S1</t>
        </is>
      </c>
      <c r="F157" s="76" t="inlineStr">
        <is>
          <t>K041</t>
        </is>
      </c>
      <c r="G157" s="75" t="n">
        <v>6.16</v>
      </c>
      <c r="H157" s="65" t="n"/>
      <c r="I157" s="66" t="n"/>
      <c r="J157" s="67">
        <f>VLOOKUP(C155,Recipes!$A$2:$N$4,10,FALSE())</f>
        <v/>
      </c>
      <c r="K157" s="68">
        <f>VLOOKUP(C157,Recipes!$A$2:$N$4,12,FALSE())</f>
        <v/>
      </c>
      <c r="L157" s="67">
        <f>J157-6*K157</f>
        <v/>
      </c>
      <c r="M157" s="67">
        <f>J157+6*K157</f>
        <v/>
      </c>
      <c r="N157" s="61">
        <f>IF(G157="","",IF(AND(G157&gt;=L157,G157&lt;=M157),"OK","NG"))</f>
        <v/>
      </c>
      <c r="O157" s="69">
        <f>IF(N157="","",IF(N157=D157,1,0))</f>
        <v/>
      </c>
      <c r="P157" s="67">
        <f>IF(G157="","",J157-G157)</f>
        <v/>
      </c>
      <c r="Q157" s="67">
        <f>IF(G157="","",ABS(P157-Components!$D$2)/Components!$E$2)</f>
        <v/>
      </c>
      <c r="R157" s="67">
        <f>IF(G157="","",ABS(P157-Components!$D$3)/Components!$E$3)</f>
        <v/>
      </c>
      <c r="S157" s="67">
        <f>IF(G157="","",ABS(P157-Components!$D$4)/Components!$E$4)</f>
        <v/>
      </c>
      <c r="T157" s="67">
        <f>IF(G157="","",ABS(P157-Components!$D$5)/Components!$E$5)</f>
        <v/>
      </c>
      <c r="U157" s="67">
        <f>IF(G157="","",ABS(P157-Components!$D$6)/Components!$E$6)</f>
        <v/>
      </c>
      <c r="V157" s="67">
        <f>IF(G157="","",ABS(P157-Components!$D$7)/Components!$E$7)</f>
        <v/>
      </c>
      <c r="W157" s="61">
        <f>IF(G157="","",IF(N157="OK","NONE",INDEX({"S1","S2","W1","W2","N1","N2"},MATCH(MIN(Q157:V157),Q157:V157,0))))</f>
        <v/>
      </c>
      <c r="X157" s="69">
        <f>IF(G157="","",IF(W157=E157,1,0))</f>
        <v/>
      </c>
      <c r="Y157" s="70" t="n"/>
    </row>
    <row r="158">
      <c r="A158" s="61" t="n">
        <v>39.8</v>
      </c>
      <c r="B158" s="62" t="n">
        <v>26.7</v>
      </c>
      <c r="C158" s="61" t="inlineStr">
        <is>
          <t>R4</t>
        </is>
      </c>
      <c r="D158" s="74" t="inlineStr">
        <is>
          <t>NG</t>
        </is>
      </c>
      <c r="E158" s="61" t="inlineStr">
        <is>
          <t>S1</t>
        </is>
      </c>
      <c r="F158" s="61" t="inlineStr">
        <is>
          <t>K026</t>
        </is>
      </c>
      <c r="G158" s="75" t="n">
        <v>6.19</v>
      </c>
      <c r="H158" s="65" t="n"/>
      <c r="I158" s="66" t="n"/>
      <c r="J158" s="67">
        <f>VLOOKUP(C158,Recipes!$A$2:$N$4,10,FALSE())</f>
        <v/>
      </c>
      <c r="K158" s="68">
        <f>VLOOKUP(C158,Recipes!$A$2:$N$4,12,FALSE())</f>
        <v/>
      </c>
      <c r="L158" s="67">
        <f>J158-6*K158</f>
        <v/>
      </c>
      <c r="M158" s="67">
        <f>J158+6*K158</f>
        <v/>
      </c>
      <c r="N158" s="61">
        <f>IF(G158="","",IF(AND(G158&gt;=L158,G158&lt;=M158),"OK","NG"))</f>
        <v/>
      </c>
      <c r="O158" s="69">
        <f>IF(N158="","",IF(N158=D158,1,0))</f>
        <v/>
      </c>
      <c r="P158" s="67">
        <f>IF(G158="","",J158-G158)</f>
        <v/>
      </c>
      <c r="Q158" s="67">
        <f>IF(G158="","",ABS(P158-Components!$D$2)/Components!$E$2)</f>
        <v/>
      </c>
      <c r="R158" s="67">
        <f>IF(G158="","",ABS(P158-Components!$D$3)/Components!$E$3)</f>
        <v/>
      </c>
      <c r="S158" s="67">
        <f>IF(G158="","",ABS(P158-Components!$D$4)/Components!$E$4)</f>
        <v/>
      </c>
      <c r="T158" s="67">
        <f>IF(G158="","",ABS(P158-Components!$D$5)/Components!$E$5)</f>
        <v/>
      </c>
      <c r="U158" s="67">
        <f>IF(G158="","",ABS(P158-Components!$D$6)/Components!$E$6)</f>
        <v/>
      </c>
      <c r="V158" s="67">
        <f>IF(G158="","",ABS(P158-Components!$D$7)/Components!$E$7)</f>
        <v/>
      </c>
      <c r="W158" s="61">
        <f>IF(G158="","",IF(N158="OK","NONE",INDEX({"S1","S2","W1","W2","N1","N2"},MATCH(MIN(Q158:V158),Q158:V158,0))))</f>
        <v/>
      </c>
      <c r="X158" s="69">
        <f>IF(G158="","",IF(W158=E158,1,0))</f>
        <v/>
      </c>
      <c r="Y158" s="70" t="n"/>
    </row>
    <row r="159">
      <c r="A159" s="61" t="n">
        <v>43</v>
      </c>
      <c r="B159" s="62" t="n">
        <v>28.2</v>
      </c>
      <c r="C159" s="61" t="inlineStr">
        <is>
          <t>R4</t>
        </is>
      </c>
      <c r="D159" s="74" t="inlineStr">
        <is>
          <t>NG</t>
        </is>
      </c>
      <c r="E159" s="61" t="inlineStr">
        <is>
          <t>S1</t>
        </is>
      </c>
      <c r="F159" s="61" t="inlineStr">
        <is>
          <t>K027</t>
        </is>
      </c>
      <c r="G159" s="75" t="n">
        <v>6.18</v>
      </c>
      <c r="H159" s="65" t="n"/>
      <c r="I159" s="66" t="n"/>
      <c r="J159" s="67">
        <f>VLOOKUP(C159,Recipes!$A$2:$N$4,10,FALSE())</f>
        <v/>
      </c>
      <c r="K159" s="68">
        <f>VLOOKUP(C159,Recipes!$A$2:$N$4,12,FALSE())</f>
        <v/>
      </c>
      <c r="L159" s="67">
        <f>J159-6*K159</f>
        <v/>
      </c>
      <c r="M159" s="67">
        <f>J159+6*K159</f>
        <v/>
      </c>
      <c r="N159" s="61">
        <f>IF(G159="","",IF(AND(G159&gt;=L159,G159&lt;=M159),"OK","NG"))</f>
        <v/>
      </c>
      <c r="O159" s="69">
        <f>IF(N159="","",IF(N159=D159,1,0))</f>
        <v/>
      </c>
      <c r="P159" s="67">
        <f>IF(G159="","",J159-G159)</f>
        <v/>
      </c>
      <c r="Q159" s="67">
        <f>IF(G159="","",ABS(P159-Components!$D$2)/Components!$E$2)</f>
        <v/>
      </c>
      <c r="R159" s="67">
        <f>IF(G159="","",ABS(P159-Components!$D$3)/Components!$E$3)</f>
        <v/>
      </c>
      <c r="S159" s="67">
        <f>IF(G159="","",ABS(P159-Components!$D$4)/Components!$E$4)</f>
        <v/>
      </c>
      <c r="T159" s="67">
        <f>IF(G159="","",ABS(P159-Components!$D$5)/Components!$E$5)</f>
        <v/>
      </c>
      <c r="U159" s="67">
        <f>IF(G159="","",ABS(P159-Components!$D$6)/Components!$E$6)</f>
        <v/>
      </c>
      <c r="V159" s="67">
        <f>IF(G159="","",ABS(P159-Components!$D$7)/Components!$E$7)</f>
        <v/>
      </c>
      <c r="W159" s="61">
        <f>IF(G159="","",IF(N159="OK","NONE",INDEX({"S1","S2","W1","W2","N1","N2"},MATCH(MIN(Q159:V159),Q159:V159,0))))</f>
        <v/>
      </c>
      <c r="X159" s="69">
        <f>IF(G159="","",IF(W159=E159,1,0))</f>
        <v/>
      </c>
      <c r="Y159" s="70" t="n"/>
    </row>
    <row r="160">
      <c r="A160" s="61" t="n">
        <v>46.2</v>
      </c>
      <c r="B160" s="62" t="n">
        <v>29.7</v>
      </c>
      <c r="C160" s="61" t="inlineStr">
        <is>
          <t>R4</t>
        </is>
      </c>
      <c r="D160" s="74" t="inlineStr">
        <is>
          <t>NG</t>
        </is>
      </c>
      <c r="E160" s="61" t="inlineStr">
        <is>
          <t>S1</t>
        </is>
      </c>
      <c r="F160" s="61" t="inlineStr">
        <is>
          <t>K028</t>
        </is>
      </c>
      <c r="G160" s="75" t="n">
        <v>6.13</v>
      </c>
      <c r="H160" s="65" t="n"/>
      <c r="I160" s="66" t="n"/>
      <c r="J160" s="67">
        <f>VLOOKUP(C160,Recipes!$A$2:$N$4,10,FALSE())</f>
        <v/>
      </c>
      <c r="K160" s="68">
        <f>VLOOKUP(C160,Recipes!$A$2:$N$4,12,FALSE())</f>
        <v/>
      </c>
      <c r="L160" s="67">
        <f>J160-6*K160</f>
        <v/>
      </c>
      <c r="M160" s="67">
        <f>J160+6*K160</f>
        <v/>
      </c>
      <c r="N160" s="61">
        <f>IF(G160="","",IF(AND(G160&gt;=L160,G160&lt;=M160),"OK","NG"))</f>
        <v/>
      </c>
      <c r="O160" s="69">
        <f>IF(N160="","",IF(N160=D160,1,0))</f>
        <v/>
      </c>
      <c r="P160" s="67">
        <f>IF(G160="","",J160-G160)</f>
        <v/>
      </c>
      <c r="Q160" s="67">
        <f>IF(G160="","",ABS(P160-Components!$D$2)/Components!$E$2)</f>
        <v/>
      </c>
      <c r="R160" s="67">
        <f>IF(G160="","",ABS(P160-Components!$D$3)/Components!$E$3)</f>
        <v/>
      </c>
      <c r="S160" s="67">
        <f>IF(G160="","",ABS(P160-Components!$D$4)/Components!$E$4)</f>
        <v/>
      </c>
      <c r="T160" s="67">
        <f>IF(G160="","",ABS(P160-Components!$D$5)/Components!$E$5)</f>
        <v/>
      </c>
      <c r="U160" s="67">
        <f>IF(G160="","",ABS(P160-Components!$D$6)/Components!$E$6)</f>
        <v/>
      </c>
      <c r="V160" s="67">
        <f>IF(G160="","",ABS(P160-Components!$D$7)/Components!$E$7)</f>
        <v/>
      </c>
      <c r="W160" s="61">
        <f>IF(G160="","",IF(N160="OK","NONE",INDEX({"S1","S2","W1","W2","N1","N2"},MATCH(MIN(Q160:V160),Q160:V160,0))))</f>
        <v/>
      </c>
      <c r="X160" s="69">
        <f>IF(G160="","",IF(W160=E160,1,0))</f>
        <v/>
      </c>
      <c r="Y160" s="70" t="n"/>
    </row>
    <row r="161">
      <c r="A161" s="61" t="n">
        <v>49.4</v>
      </c>
      <c r="B161" s="62" t="n">
        <v>31.2</v>
      </c>
      <c r="C161" s="61" t="inlineStr">
        <is>
          <t>R4</t>
        </is>
      </c>
      <c r="D161" s="74" t="inlineStr">
        <is>
          <t>NG</t>
        </is>
      </c>
      <c r="E161" s="61" t="inlineStr">
        <is>
          <t>S1</t>
        </is>
      </c>
      <c r="F161" s="61" t="inlineStr">
        <is>
          <t>K029</t>
        </is>
      </c>
      <c r="G161" s="75" t="n">
        <v>6.22</v>
      </c>
      <c r="H161" s="65" t="n"/>
      <c r="I161" s="66" t="n"/>
      <c r="J161" s="67">
        <f>VLOOKUP(C161,Recipes!$A$2:$N$4,10,FALSE())</f>
        <v/>
      </c>
      <c r="K161" s="68">
        <f>VLOOKUP(C161,Recipes!$A$2:$N$4,12,FALSE())</f>
        <v/>
      </c>
      <c r="L161" s="67">
        <f>J161-6*K161</f>
        <v/>
      </c>
      <c r="M161" s="67">
        <f>J161+6*K161</f>
        <v/>
      </c>
      <c r="N161" s="61">
        <f>IF(G161="","",IF(AND(G161&gt;=L161,G161&lt;=M161),"OK","NG"))</f>
        <v/>
      </c>
      <c r="O161" s="69">
        <f>IF(N161="","",IF(N161=D161,1,0))</f>
        <v/>
      </c>
      <c r="P161" s="67">
        <f>IF(G161="","",J161-G161)</f>
        <v/>
      </c>
      <c r="Q161" s="67">
        <f>IF(G161="","",ABS(P161-Components!$D$2)/Components!$E$2)</f>
        <v/>
      </c>
      <c r="R161" s="67">
        <f>IF(G161="","",ABS(P161-Components!$D$3)/Components!$E$3)</f>
        <v/>
      </c>
      <c r="S161" s="67">
        <f>IF(G161="","",ABS(P161-Components!$D$4)/Components!$E$4)</f>
        <v/>
      </c>
      <c r="T161" s="67">
        <f>IF(G161="","",ABS(P161-Components!$D$5)/Components!$E$5)</f>
        <v/>
      </c>
      <c r="U161" s="67">
        <f>IF(G161="","",ABS(P161-Components!$D$6)/Components!$E$6)</f>
        <v/>
      </c>
      <c r="V161" s="67">
        <f>IF(G161="","",ABS(P161-Components!$D$7)/Components!$E$7)</f>
        <v/>
      </c>
      <c r="W161" s="61">
        <f>IF(G161="","",IF(N161="OK","NONE",INDEX({"S1","S2","W1","W2","N1","N2"},MATCH(MIN(Q161:V161),Q161:V161,0))))</f>
        <v/>
      </c>
      <c r="X161" s="69">
        <f>IF(G161="","",IF(W161=E161,1,0))</f>
        <v/>
      </c>
      <c r="Y161" s="70" t="n"/>
    </row>
    <row r="162">
      <c r="A162" s="76" t="n">
        <v>52.6</v>
      </c>
      <c r="B162" s="77" t="n">
        <v>32.7</v>
      </c>
      <c r="C162" s="76" t="inlineStr">
        <is>
          <t>R4</t>
        </is>
      </c>
      <c r="D162" s="78" t="inlineStr">
        <is>
          <t>NG</t>
        </is>
      </c>
      <c r="E162" s="76" t="inlineStr">
        <is>
          <t>S1</t>
        </is>
      </c>
      <c r="F162" s="76" t="inlineStr">
        <is>
          <t>K041</t>
        </is>
      </c>
      <c r="G162" s="75" t="n">
        <v>6.17</v>
      </c>
      <c r="H162" s="65" t="n"/>
      <c r="I162" s="66" t="n"/>
      <c r="J162" s="67">
        <f>VLOOKUP(C162,Recipes!$A$2:$N$4,10,FALSE())</f>
        <v/>
      </c>
      <c r="K162" s="68">
        <f>VLOOKUP(C162,Recipes!$A$2:$N$4,12,FALSE())</f>
        <v/>
      </c>
      <c r="L162" s="67">
        <f>J162-6*K162</f>
        <v/>
      </c>
      <c r="M162" s="67">
        <f>J162+6*K162</f>
        <v/>
      </c>
      <c r="N162" s="61">
        <f>IF(G162="","",IF(AND(G162&gt;=L162,G162&lt;=M162),"OK","NG"))</f>
        <v/>
      </c>
      <c r="O162" s="69">
        <f>IF(N162="","",IF(N162=D162,1,0))</f>
        <v/>
      </c>
      <c r="P162" s="67">
        <f>IF(G162="","",J162-G162)</f>
        <v/>
      </c>
      <c r="Q162" s="67">
        <f>IF(G162="","",ABS(P162-Components!$D$2)/Components!$E$2)</f>
        <v/>
      </c>
      <c r="R162" s="67">
        <f>IF(G162="","",ABS(P162-Components!$D$3)/Components!$E$3)</f>
        <v/>
      </c>
      <c r="S162" s="67">
        <f>IF(G162="","",ABS(P162-Components!$D$4)/Components!$E$4)</f>
        <v/>
      </c>
      <c r="T162" s="67">
        <f>IF(G162="","",ABS(P162-Components!$D$5)/Components!$E$5)</f>
        <v/>
      </c>
      <c r="U162" s="67">
        <f>IF(G162="","",ABS(P162-Components!$D$6)/Components!$E$6)</f>
        <v/>
      </c>
      <c r="V162" s="67">
        <f>IF(G162="","",ABS(P162-Components!$D$7)/Components!$E$7)</f>
        <v/>
      </c>
      <c r="W162" s="61">
        <f>IF(G162="","",IF(N162="OK","NONE",INDEX({"S1","S2","W1","W2","N1","N2"},MATCH(MIN(Q162:V162),Q162:V162,0))))</f>
        <v/>
      </c>
      <c r="X162" s="69">
        <f>IF(G162="","",IF(W162=E162,1,0))</f>
        <v/>
      </c>
      <c r="Y162" s="70" t="n"/>
    </row>
    <row r="163">
      <c r="A163" s="61" t="n">
        <v>55.8</v>
      </c>
      <c r="B163" s="62" t="n">
        <v>34.2</v>
      </c>
      <c r="C163" s="61" t="inlineStr">
        <is>
          <t>R4</t>
        </is>
      </c>
      <c r="D163" s="74" t="inlineStr">
        <is>
          <t>NG</t>
        </is>
      </c>
      <c r="E163" s="61" t="inlineStr">
        <is>
          <t>S1</t>
        </is>
      </c>
      <c r="F163" s="61" t="inlineStr">
        <is>
          <t>K026</t>
        </is>
      </c>
      <c r="G163" s="75" t="n">
        <v>6.16</v>
      </c>
      <c r="H163" s="65" t="n"/>
      <c r="I163" s="66" t="n"/>
      <c r="J163" s="67">
        <f>VLOOKUP(C163,Recipes!$A$2:$N$4,10,FALSE())</f>
        <v/>
      </c>
      <c r="K163" s="68">
        <f>VLOOKUP(C163,Recipes!$A$2:$N$4,12,FALSE())</f>
        <v/>
      </c>
      <c r="L163" s="67">
        <f>J163-6*K163</f>
        <v/>
      </c>
      <c r="M163" s="67">
        <f>J163+6*K163</f>
        <v/>
      </c>
      <c r="N163" s="61">
        <f>IF(G163="","",IF(AND(G163&gt;=L163,G163&lt;=M163),"OK","NG"))</f>
        <v/>
      </c>
      <c r="O163" s="69">
        <f>IF(N163="","",IF(N163=D163,1,0))</f>
        <v/>
      </c>
      <c r="P163" s="67">
        <f>IF(G163="","",J163-G163)</f>
        <v/>
      </c>
      <c r="Q163" s="67">
        <f>IF(G163="","",ABS(P163-Components!$D$2)/Components!$E$2)</f>
        <v/>
      </c>
      <c r="R163" s="67">
        <f>IF(G163="","",ABS(P163-Components!$D$3)/Components!$E$3)</f>
        <v/>
      </c>
      <c r="S163" s="67">
        <f>IF(G163="","",ABS(P163-Components!$D$4)/Components!$E$4)</f>
        <v/>
      </c>
      <c r="T163" s="67">
        <f>IF(G163="","",ABS(P163-Components!$D$5)/Components!$E$5)</f>
        <v/>
      </c>
      <c r="U163" s="67">
        <f>IF(G163="","",ABS(P163-Components!$D$6)/Components!$E$6)</f>
        <v/>
      </c>
      <c r="V163" s="67">
        <f>IF(G163="","",ABS(P163-Components!$D$7)/Components!$E$7)</f>
        <v/>
      </c>
      <c r="W163" s="61">
        <f>IF(G163="","",IF(N163="OK","NONE",INDEX({"S1","S2","W1","W2","N1","N2"},MATCH(MIN(Q163:V163),Q163:V163,0))))</f>
        <v/>
      </c>
      <c r="X163" s="69">
        <f>IF(G163="","",IF(W163=E163,1,0))</f>
        <v/>
      </c>
      <c r="Y163" s="70" t="n"/>
    </row>
    <row r="164">
      <c r="A164" s="61" t="n">
        <v>59</v>
      </c>
      <c r="B164" s="62" t="n">
        <v>35.7</v>
      </c>
      <c r="C164" s="61" t="inlineStr">
        <is>
          <t>R4</t>
        </is>
      </c>
      <c r="D164" s="74" t="inlineStr">
        <is>
          <t>NG</t>
        </is>
      </c>
      <c r="E164" s="61" t="inlineStr">
        <is>
          <t>S1</t>
        </is>
      </c>
      <c r="F164" s="61" t="inlineStr">
        <is>
          <t>K027</t>
        </is>
      </c>
      <c r="G164" s="75" t="n">
        <v>6.17</v>
      </c>
      <c r="H164" s="65" t="n"/>
      <c r="I164" s="66" t="n"/>
      <c r="J164" s="67">
        <f>VLOOKUP(C164,Recipes!$A$2:$N$4,10,FALSE())</f>
        <v/>
      </c>
      <c r="K164" s="68">
        <f>VLOOKUP(C164,Recipes!$A$2:$N$4,12,FALSE())</f>
        <v/>
      </c>
      <c r="L164" s="67">
        <f>J164-6*K164</f>
        <v/>
      </c>
      <c r="M164" s="67">
        <f>J164+6*K164</f>
        <v/>
      </c>
      <c r="N164" s="61">
        <f>IF(G164="","",IF(AND(G164&gt;=L164,G164&lt;=M164),"OK","NG"))</f>
        <v/>
      </c>
      <c r="O164" s="69">
        <f>IF(N164="","",IF(N164=D164,1,0))</f>
        <v/>
      </c>
      <c r="P164" s="67">
        <f>IF(G164="","",J164-G164)</f>
        <v/>
      </c>
      <c r="Q164" s="67">
        <f>IF(G164="","",ABS(P164-Components!$D$2)/Components!$E$2)</f>
        <v/>
      </c>
      <c r="R164" s="67">
        <f>IF(G164="","",ABS(P164-Components!$D$3)/Components!$E$3)</f>
        <v/>
      </c>
      <c r="S164" s="67">
        <f>IF(G164="","",ABS(P164-Components!$D$4)/Components!$E$4)</f>
        <v/>
      </c>
      <c r="T164" s="67">
        <f>IF(G164="","",ABS(P164-Components!$D$5)/Components!$E$5)</f>
        <v/>
      </c>
      <c r="U164" s="67">
        <f>IF(G164="","",ABS(P164-Components!$D$6)/Components!$E$6)</f>
        <v/>
      </c>
      <c r="V164" s="67">
        <f>IF(G164="","",ABS(P164-Components!$D$7)/Components!$E$7)</f>
        <v/>
      </c>
      <c r="W164" s="61">
        <f>IF(G164="","",IF(N164="OK","NONE",INDEX({"S1","S2","W1","W2","N1","N2"},MATCH(MIN(Q164:V164),Q164:V164,0))))</f>
        <v/>
      </c>
      <c r="X164" s="69">
        <f>IF(G164="","",IF(W164=E164,1,0))</f>
        <v/>
      </c>
      <c r="Y164" s="70" t="n"/>
    </row>
    <row r="165">
      <c r="A165" s="61" t="n">
        <v>62.2</v>
      </c>
      <c r="B165" s="62" t="n">
        <v>37.2</v>
      </c>
      <c r="C165" s="61" t="inlineStr">
        <is>
          <t>R4</t>
        </is>
      </c>
      <c r="D165" s="74" t="inlineStr">
        <is>
          <t>NG</t>
        </is>
      </c>
      <c r="E165" s="61" t="inlineStr">
        <is>
          <t>S1</t>
        </is>
      </c>
      <c r="F165" s="61" t="inlineStr">
        <is>
          <t>K028</t>
        </is>
      </c>
      <c r="G165" s="75" t="n">
        <v>6.14</v>
      </c>
      <c r="H165" s="65" t="n"/>
      <c r="I165" s="66" t="n"/>
      <c r="J165" s="67">
        <f>VLOOKUP(C165,Recipes!$A$2:$N$4,10,FALSE())</f>
        <v/>
      </c>
      <c r="K165" s="68">
        <f>VLOOKUP(C165,Recipes!$A$2:$N$4,12,FALSE())</f>
        <v/>
      </c>
      <c r="L165" s="67">
        <f>J165-6*K165</f>
        <v/>
      </c>
      <c r="M165" s="67">
        <f>J165+6*K165</f>
        <v/>
      </c>
      <c r="N165" s="61">
        <f>IF(G165="","",IF(AND(G165&gt;=L165,G165&lt;=M165),"OK","NG"))</f>
        <v/>
      </c>
      <c r="O165" s="69">
        <f>IF(N165="","",IF(N165=D165,1,0))</f>
        <v/>
      </c>
      <c r="P165" s="67">
        <f>IF(G165="","",J165-G165)</f>
        <v/>
      </c>
      <c r="Q165" s="67">
        <f>IF(G165="","",ABS(P165-Components!$D$2)/Components!$E$2)</f>
        <v/>
      </c>
      <c r="R165" s="67">
        <f>IF(G165="","",ABS(P165-Components!$D$3)/Components!$E$3)</f>
        <v/>
      </c>
      <c r="S165" s="67">
        <f>IF(G165="","",ABS(P165-Components!$D$4)/Components!$E$4)</f>
        <v/>
      </c>
      <c r="T165" s="67">
        <f>IF(G165="","",ABS(P165-Components!$D$5)/Components!$E$5)</f>
        <v/>
      </c>
      <c r="U165" s="67">
        <f>IF(G165="","",ABS(P165-Components!$D$6)/Components!$E$6)</f>
        <v/>
      </c>
      <c r="V165" s="67">
        <f>IF(G165="","",ABS(P165-Components!$D$7)/Components!$E$7)</f>
        <v/>
      </c>
      <c r="W165" s="61">
        <f>IF(G165="","",IF(N165="OK","NONE",INDEX({"S1","S2","W1","W2","N1","N2"},MATCH(MIN(Q165:V165),Q165:V165,0))))</f>
        <v/>
      </c>
      <c r="X165" s="69">
        <f>IF(G165="","",IF(W165=E165,1,0))</f>
        <v/>
      </c>
      <c r="Y165" s="70" t="n"/>
    </row>
    <row r="166">
      <c r="A166" s="61" t="n">
        <v>65.40000000000001</v>
      </c>
      <c r="B166" s="62" t="n">
        <v>38.7</v>
      </c>
      <c r="C166" s="61" t="inlineStr">
        <is>
          <t>R4</t>
        </is>
      </c>
      <c r="D166" s="74" t="inlineStr">
        <is>
          <t>NG</t>
        </is>
      </c>
      <c r="E166" s="61" t="inlineStr">
        <is>
          <t>S1</t>
        </is>
      </c>
      <c r="F166" s="61" t="inlineStr">
        <is>
          <t>K029</t>
        </is>
      </c>
      <c r="G166" s="75" t="n">
        <v>6.2</v>
      </c>
      <c r="H166" s="65" t="n"/>
      <c r="I166" s="66" t="n"/>
      <c r="J166" s="67">
        <f>VLOOKUP(C166,Recipes!$A$2:$N$4,10,FALSE())</f>
        <v/>
      </c>
      <c r="K166" s="68">
        <f>VLOOKUP(C166,Recipes!$A$2:$N$4,12,FALSE())</f>
        <v/>
      </c>
      <c r="L166" s="67">
        <f>J166-6*K166</f>
        <v/>
      </c>
      <c r="M166" s="67">
        <f>J166+6*K166</f>
        <v/>
      </c>
      <c r="N166" s="61">
        <f>IF(G166="","",IF(AND(G166&gt;=L166,G166&lt;=M166),"OK","NG"))</f>
        <v/>
      </c>
      <c r="O166" s="69">
        <f>IF(N166="","",IF(N166=D166,1,0))</f>
        <v/>
      </c>
      <c r="P166" s="67">
        <f>IF(G166="","",J166-G166)</f>
        <v/>
      </c>
      <c r="Q166" s="67">
        <f>IF(G166="","",ABS(P166-Components!$D$2)/Components!$E$2)</f>
        <v/>
      </c>
      <c r="R166" s="67">
        <f>IF(G166="","",ABS(P166-Components!$D$3)/Components!$E$3)</f>
        <v/>
      </c>
      <c r="S166" s="67">
        <f>IF(G166="","",ABS(P166-Components!$D$4)/Components!$E$4)</f>
        <v/>
      </c>
      <c r="T166" s="67">
        <f>IF(G166="","",ABS(P166-Components!$D$5)/Components!$E$5)</f>
        <v/>
      </c>
      <c r="U166" s="67">
        <f>IF(G166="","",ABS(P166-Components!$D$6)/Components!$E$6)</f>
        <v/>
      </c>
      <c r="V166" s="67">
        <f>IF(G166="","",ABS(P166-Components!$D$7)/Components!$E$7)</f>
        <v/>
      </c>
      <c r="W166" s="61">
        <f>IF(G166="","",IF(N166="OK","NONE",INDEX({"S1","S2","W1","W2","N1","N2"},MATCH(MIN(Q166:V166),Q166:V166,0))))</f>
        <v/>
      </c>
      <c r="X166" s="69">
        <f>IF(G166="","",IF(W166=E166,1,0))</f>
        <v/>
      </c>
      <c r="Y166" s="70" t="n"/>
    </row>
    <row r="167">
      <c r="A167" s="76" t="n">
        <v>68.59999999999999</v>
      </c>
      <c r="B167" s="77" t="n">
        <v>40.2</v>
      </c>
      <c r="C167" s="76" t="inlineStr">
        <is>
          <t>R4</t>
        </is>
      </c>
      <c r="D167" s="78" t="inlineStr">
        <is>
          <t>NG</t>
        </is>
      </c>
      <c r="E167" s="76" t="inlineStr">
        <is>
          <t>S1</t>
        </is>
      </c>
      <c r="F167" s="76" t="inlineStr">
        <is>
          <t>K041</t>
        </is>
      </c>
      <c r="G167" s="75" t="n">
        <v>6.19</v>
      </c>
      <c r="H167" s="65" t="n"/>
      <c r="I167" s="66" t="n"/>
      <c r="J167" s="67">
        <f>VLOOKUP(C167,Recipes!$A$2:$N$4,10,FALSE())</f>
        <v/>
      </c>
      <c r="K167" s="68">
        <f>VLOOKUP(C167,Recipes!$A$2:$N$4,12,FALSE())</f>
        <v/>
      </c>
      <c r="L167" s="67">
        <f>J167-6*K167</f>
        <v/>
      </c>
      <c r="M167" s="67">
        <f>J167+6*K167</f>
        <v/>
      </c>
      <c r="N167" s="61">
        <f>IF(G167="","",IF(AND(G167&gt;=L167,G167&lt;=M167),"OK","NG"))</f>
        <v/>
      </c>
      <c r="O167" s="69">
        <f>IF(N167="","",IF(N167=D167,1,0))</f>
        <v/>
      </c>
      <c r="P167" s="67">
        <f>IF(G167="","",J167-G167)</f>
        <v/>
      </c>
      <c r="Q167" s="67">
        <f>IF(G167="","",ABS(P167-Components!$D$2)/Components!$E$2)</f>
        <v/>
      </c>
      <c r="R167" s="67">
        <f>IF(G167="","",ABS(P167-Components!$D$3)/Components!$E$3)</f>
        <v/>
      </c>
      <c r="S167" s="67">
        <f>IF(G167="","",ABS(P167-Components!$D$4)/Components!$E$4)</f>
        <v/>
      </c>
      <c r="T167" s="67">
        <f>IF(G167="","",ABS(P167-Components!$D$5)/Components!$E$5)</f>
        <v/>
      </c>
      <c r="U167" s="67">
        <f>IF(G167="","",ABS(P167-Components!$D$6)/Components!$E$6)</f>
        <v/>
      </c>
      <c r="V167" s="67">
        <f>IF(G167="","",ABS(P167-Components!$D$7)/Components!$E$7)</f>
        <v/>
      </c>
      <c r="W167" s="61">
        <f>IF(G167="","",IF(N167="OK","NONE",INDEX({"S1","S2","W1","W2","N1","N2"},MATCH(MIN(Q167:V167),Q167:V167,0))))</f>
        <v/>
      </c>
      <c r="X167" s="69">
        <f>IF(G167="","",IF(W167=E167,1,0))</f>
        <v/>
      </c>
      <c r="Y167" s="70" t="n"/>
    </row>
    <row r="168">
      <c r="A168" s="61" t="n">
        <v>71.8</v>
      </c>
      <c r="B168" s="62" t="n">
        <v>41.7</v>
      </c>
      <c r="C168" s="61" t="inlineStr">
        <is>
          <t>R4</t>
        </is>
      </c>
      <c r="D168" s="74" t="inlineStr">
        <is>
          <t>NG</t>
        </is>
      </c>
      <c r="E168" s="61" t="inlineStr">
        <is>
          <t>S1</t>
        </is>
      </c>
      <c r="F168" s="61" t="inlineStr">
        <is>
          <t>K026</t>
        </is>
      </c>
      <c r="G168" s="75" t="n">
        <v>6.19</v>
      </c>
      <c r="H168" s="65" t="n"/>
      <c r="I168" s="66" t="n"/>
      <c r="J168" s="67">
        <f>VLOOKUP(C168,Recipes!$A$2:$N$4,10,FALSE())</f>
        <v/>
      </c>
      <c r="K168" s="68">
        <f>VLOOKUP(C168,Recipes!$A$2:$N$4,12,FALSE())</f>
        <v/>
      </c>
      <c r="L168" s="67">
        <f>J168-6*K168</f>
        <v/>
      </c>
      <c r="M168" s="67">
        <f>J168+6*K168</f>
        <v/>
      </c>
      <c r="N168" s="61">
        <f>IF(G168="","",IF(AND(G168&gt;=L168,G168&lt;=M168),"OK","NG"))</f>
        <v/>
      </c>
      <c r="O168" s="69">
        <f>IF(N168="","",IF(N168=D168,1,0))</f>
        <v/>
      </c>
      <c r="P168" s="67">
        <f>IF(G168="","",J168-G168)</f>
        <v/>
      </c>
      <c r="Q168" s="67">
        <f>IF(G168="","",ABS(P168-Components!$D$2)/Components!$E$2)</f>
        <v/>
      </c>
      <c r="R168" s="67">
        <f>IF(G168="","",ABS(P168-Components!$D$3)/Components!$E$3)</f>
        <v/>
      </c>
      <c r="S168" s="67">
        <f>IF(G168="","",ABS(P168-Components!$D$4)/Components!$E$4)</f>
        <v/>
      </c>
      <c r="T168" s="67">
        <f>IF(G168="","",ABS(P168-Components!$D$5)/Components!$E$5)</f>
        <v/>
      </c>
      <c r="U168" s="67">
        <f>IF(G168="","",ABS(P168-Components!$D$6)/Components!$E$6)</f>
        <v/>
      </c>
      <c r="V168" s="67">
        <f>IF(G168="","",ABS(P168-Components!$D$7)/Components!$E$7)</f>
        <v/>
      </c>
      <c r="W168" s="61">
        <f>IF(G168="","",IF(N168="OK","NONE",INDEX({"S1","S2","W1","W2","N1","N2"},MATCH(MIN(Q168:V168),Q168:V168,0))))</f>
        <v/>
      </c>
      <c r="X168" s="69">
        <f>IF(G168="","",IF(W168=E168,1,0))</f>
        <v/>
      </c>
      <c r="Y168" s="70" t="n"/>
    </row>
    <row r="169">
      <c r="A169" s="61" t="n">
        <v>75</v>
      </c>
      <c r="B169" s="62" t="n">
        <v>43.2</v>
      </c>
      <c r="C169" s="61" t="inlineStr">
        <is>
          <t>R4</t>
        </is>
      </c>
      <c r="D169" s="74" t="inlineStr">
        <is>
          <t>NG</t>
        </is>
      </c>
      <c r="E169" s="61" t="inlineStr">
        <is>
          <t>S1</t>
        </is>
      </c>
      <c r="F169" s="61" t="inlineStr">
        <is>
          <t>K027</t>
        </is>
      </c>
      <c r="G169" s="75" t="n">
        <v>6.13</v>
      </c>
      <c r="H169" s="65" t="n"/>
      <c r="I169" s="66" t="n"/>
      <c r="J169" s="67">
        <f>VLOOKUP(C169,Recipes!$A$2:$N$4,10,FALSE())</f>
        <v/>
      </c>
      <c r="K169" s="68">
        <f>VLOOKUP(C169,Recipes!$A$2:$N$4,12,FALSE())</f>
        <v/>
      </c>
      <c r="L169" s="67">
        <f>J169-6*K169</f>
        <v/>
      </c>
      <c r="M169" s="67">
        <f>J169+6*K169</f>
        <v/>
      </c>
      <c r="N169" s="61">
        <f>IF(G169="","",IF(AND(G169&gt;=L169,G169&lt;=M169),"OK","NG"))</f>
        <v/>
      </c>
      <c r="O169" s="69">
        <f>IF(N169="","",IF(N169=D169,1,0))</f>
        <v/>
      </c>
      <c r="P169" s="67">
        <f>IF(G169="","",J169-G169)</f>
        <v/>
      </c>
      <c r="Q169" s="67">
        <f>IF(G169="","",ABS(P169-Components!$D$2)/Components!$E$2)</f>
        <v/>
      </c>
      <c r="R169" s="67">
        <f>IF(G169="","",ABS(P169-Components!$D$3)/Components!$E$3)</f>
        <v/>
      </c>
      <c r="S169" s="67">
        <f>IF(G169="","",ABS(P169-Components!$D$4)/Components!$E$4)</f>
        <v/>
      </c>
      <c r="T169" s="67">
        <f>IF(G169="","",ABS(P169-Components!$D$5)/Components!$E$5)</f>
        <v/>
      </c>
      <c r="U169" s="67">
        <f>IF(G169="","",ABS(P169-Components!$D$6)/Components!$E$6)</f>
        <v/>
      </c>
      <c r="V169" s="67">
        <f>IF(G169="","",ABS(P169-Components!$D$7)/Components!$E$7)</f>
        <v/>
      </c>
      <c r="W169" s="61">
        <f>IF(G169="","",IF(N169="OK","NONE",INDEX({"S1","S2","W1","W2","N1","N2"},MATCH(MIN(Q169:V169),Q169:V169,0))))</f>
        <v/>
      </c>
      <c r="X169" s="69">
        <f>IF(G169="","",IF(W169=E169,1,0))</f>
        <v/>
      </c>
      <c r="Y169" s="70" t="n"/>
    </row>
    <row r="170">
      <c r="A170" s="61" t="n">
        <v>78.2</v>
      </c>
      <c r="B170" s="62" t="n">
        <v>44.7</v>
      </c>
      <c r="C170" s="61" t="inlineStr">
        <is>
          <t>R4</t>
        </is>
      </c>
      <c r="D170" s="74" t="inlineStr">
        <is>
          <t>NG</t>
        </is>
      </c>
      <c r="E170" s="61" t="inlineStr">
        <is>
          <t>S1</t>
        </is>
      </c>
      <c r="F170" s="61" t="inlineStr">
        <is>
          <t>K028</t>
        </is>
      </c>
      <c r="G170" s="75" t="n">
        <v>6.17</v>
      </c>
      <c r="H170" s="65" t="n"/>
      <c r="I170" s="66" t="n"/>
      <c r="J170" s="67">
        <f>VLOOKUP(C170,Recipes!$A$2:$N$4,10,FALSE())</f>
        <v/>
      </c>
      <c r="K170" s="68">
        <f>VLOOKUP(C170,Recipes!$A$2:$N$4,12,FALSE())</f>
        <v/>
      </c>
      <c r="L170" s="67">
        <f>J170-6*K170</f>
        <v/>
      </c>
      <c r="M170" s="67">
        <f>J170+6*K170</f>
        <v/>
      </c>
      <c r="N170" s="61">
        <f>IF(G170="","",IF(AND(G170&gt;=L170,G170&lt;=M170),"OK","NG"))</f>
        <v/>
      </c>
      <c r="O170" s="69">
        <f>IF(N170="","",IF(N170=D170,1,0))</f>
        <v/>
      </c>
      <c r="P170" s="67">
        <f>IF(G170="","",J170-G170)</f>
        <v/>
      </c>
      <c r="Q170" s="67">
        <f>IF(G170="","",ABS(P170-Components!$D$2)/Components!$E$2)</f>
        <v/>
      </c>
      <c r="R170" s="67">
        <f>IF(G170="","",ABS(P170-Components!$D$3)/Components!$E$3)</f>
        <v/>
      </c>
      <c r="S170" s="67">
        <f>IF(G170="","",ABS(P170-Components!$D$4)/Components!$E$4)</f>
        <v/>
      </c>
      <c r="T170" s="67">
        <f>IF(G170="","",ABS(P170-Components!$D$5)/Components!$E$5)</f>
        <v/>
      </c>
      <c r="U170" s="67">
        <f>IF(G170="","",ABS(P170-Components!$D$6)/Components!$E$6)</f>
        <v/>
      </c>
      <c r="V170" s="67">
        <f>IF(G170="","",ABS(P170-Components!$D$7)/Components!$E$7)</f>
        <v/>
      </c>
      <c r="W170" s="61">
        <f>IF(G170="","",IF(N170="OK","NONE",INDEX({"S1","S2","W1","W2","N1","N2"},MATCH(MIN(Q170:V170),Q170:V170,0))))</f>
        <v/>
      </c>
      <c r="X170" s="69">
        <f>IF(G170="","",IF(W170=E170,1,0))</f>
        <v/>
      </c>
      <c r="Y170" s="70" t="n"/>
    </row>
    <row r="171">
      <c r="A171" s="61" t="n">
        <v>81.40000000000001</v>
      </c>
      <c r="B171" s="62" t="n">
        <v>46.2</v>
      </c>
      <c r="C171" s="61" t="inlineStr">
        <is>
          <t>R4</t>
        </is>
      </c>
      <c r="D171" s="74" t="inlineStr">
        <is>
          <t>NG</t>
        </is>
      </c>
      <c r="E171" s="61" t="inlineStr">
        <is>
          <t>S1</t>
        </is>
      </c>
      <c r="F171" s="61" t="inlineStr">
        <is>
          <t>K029</t>
        </is>
      </c>
      <c r="G171" s="75" t="n">
        <v>6.19</v>
      </c>
      <c r="H171" s="65" t="n"/>
      <c r="I171" s="66" t="n"/>
      <c r="J171" s="67">
        <f>VLOOKUP(C171,Recipes!$A$2:$N$4,10,FALSE())</f>
        <v/>
      </c>
      <c r="K171" s="68">
        <f>VLOOKUP(C171,Recipes!$A$2:$N$4,12,FALSE())</f>
        <v/>
      </c>
      <c r="L171" s="67">
        <f>J171-6*K171</f>
        <v/>
      </c>
      <c r="M171" s="67">
        <f>J171+6*K171</f>
        <v/>
      </c>
      <c r="N171" s="61">
        <f>IF(G171="","",IF(AND(G171&gt;=L171,G171&lt;=M171),"OK","NG"))</f>
        <v/>
      </c>
      <c r="O171" s="69">
        <f>IF(N171="","",IF(N171=D171,1,0))</f>
        <v/>
      </c>
      <c r="P171" s="67">
        <f>IF(G171="","",J171-G171)</f>
        <v/>
      </c>
      <c r="Q171" s="67">
        <f>IF(G171="","",ABS(P171-Components!$D$2)/Components!$E$2)</f>
        <v/>
      </c>
      <c r="R171" s="67">
        <f>IF(G171="","",ABS(P171-Components!$D$3)/Components!$E$3)</f>
        <v/>
      </c>
      <c r="S171" s="67">
        <f>IF(G171="","",ABS(P171-Components!$D$4)/Components!$E$4)</f>
        <v/>
      </c>
      <c r="T171" s="67">
        <f>IF(G171="","",ABS(P171-Components!$D$5)/Components!$E$5)</f>
        <v/>
      </c>
      <c r="U171" s="67">
        <f>IF(G171="","",ABS(P171-Components!$D$6)/Components!$E$6)</f>
        <v/>
      </c>
      <c r="V171" s="67">
        <f>IF(G171="","",ABS(P171-Components!$D$7)/Components!$E$7)</f>
        <v/>
      </c>
      <c r="W171" s="61">
        <f>IF(G171="","",IF(N171="OK","NONE",INDEX({"S1","S2","W1","W2","N1","N2"},MATCH(MIN(Q171:V171),Q171:V171,0))))</f>
        <v/>
      </c>
      <c r="X171" s="69">
        <f>IF(G171="","",IF(W171=E171,1,0))</f>
        <v/>
      </c>
      <c r="Y171" s="70" t="n"/>
    </row>
    <row r="172">
      <c r="A172" s="76" t="n">
        <v>84.59999999999999</v>
      </c>
      <c r="B172" s="77" t="n">
        <v>47.7</v>
      </c>
      <c r="C172" s="76" t="inlineStr">
        <is>
          <t>R4</t>
        </is>
      </c>
      <c r="D172" s="78" t="inlineStr">
        <is>
          <t>NG</t>
        </is>
      </c>
      <c r="E172" s="76" t="inlineStr">
        <is>
          <t>S1</t>
        </is>
      </c>
      <c r="F172" s="76" t="inlineStr">
        <is>
          <t>K041</t>
        </is>
      </c>
      <c r="G172" s="75" t="n">
        <v>6.09</v>
      </c>
      <c r="H172" s="65" t="n"/>
      <c r="I172" s="66" t="n"/>
      <c r="J172" s="67">
        <f>VLOOKUP(C172,Recipes!$A$2:$N$4,10,FALSE())</f>
        <v/>
      </c>
      <c r="K172" s="68">
        <f>VLOOKUP(C172,Recipes!$A$2:$N$4,12,FALSE())</f>
        <v/>
      </c>
      <c r="L172" s="67">
        <f>J172-6*K172</f>
        <v/>
      </c>
      <c r="M172" s="67">
        <f>J172+6*K172</f>
        <v/>
      </c>
      <c r="N172" s="61">
        <f>IF(G172="","",IF(AND(G172&gt;=L172,G172&lt;=M172),"OK","NG"))</f>
        <v/>
      </c>
      <c r="O172" s="69">
        <f>IF(N172="","",IF(N172=D172,1,0))</f>
        <v/>
      </c>
      <c r="P172" s="67">
        <f>IF(G172="","",J172-G172)</f>
        <v/>
      </c>
      <c r="Q172" s="67">
        <f>IF(G172="","",ABS(P172-Components!$D$2)/Components!$E$2)</f>
        <v/>
      </c>
      <c r="R172" s="67">
        <f>IF(G172="","",ABS(P172-Components!$D$3)/Components!$E$3)</f>
        <v/>
      </c>
      <c r="S172" s="67">
        <f>IF(G172="","",ABS(P172-Components!$D$4)/Components!$E$4)</f>
        <v/>
      </c>
      <c r="T172" s="67">
        <f>IF(G172="","",ABS(P172-Components!$D$5)/Components!$E$5)</f>
        <v/>
      </c>
      <c r="U172" s="67">
        <f>IF(G172="","",ABS(P172-Components!$D$6)/Components!$E$6)</f>
        <v/>
      </c>
      <c r="V172" s="67">
        <f>IF(G172="","",ABS(P172-Components!$D$7)/Components!$E$7)</f>
        <v/>
      </c>
      <c r="W172" s="61">
        <f>IF(G172="","",IF(N172="OK","NONE",INDEX({"S1","S2","W1","W2","N1","N2"},MATCH(MIN(Q172:V172),Q172:V172,0))))</f>
        <v/>
      </c>
      <c r="X172" s="69">
        <f>IF(G172="","",IF(W172=E172,1,0))</f>
        <v/>
      </c>
      <c r="Y172" s="70" t="n"/>
    </row>
    <row r="173">
      <c r="A173" s="61" t="n">
        <v>87.8</v>
      </c>
      <c r="B173" s="62" t="n">
        <v>49.2</v>
      </c>
      <c r="C173" s="61" t="inlineStr">
        <is>
          <t>R4</t>
        </is>
      </c>
      <c r="D173" s="74" t="inlineStr">
        <is>
          <t>NG</t>
        </is>
      </c>
      <c r="E173" s="61" t="inlineStr">
        <is>
          <t>S1</t>
        </is>
      </c>
      <c r="F173" s="61" t="inlineStr">
        <is>
          <t>K026</t>
        </is>
      </c>
      <c r="G173" s="75" t="n">
        <v>6.19</v>
      </c>
      <c r="H173" s="65" t="n"/>
      <c r="I173" s="66" t="n"/>
      <c r="J173" s="67">
        <f>VLOOKUP(C173,Recipes!$A$2:$N$4,10,FALSE())</f>
        <v/>
      </c>
      <c r="K173" s="68">
        <f>VLOOKUP(C173,Recipes!$A$2:$N$4,12,FALSE())</f>
        <v/>
      </c>
      <c r="L173" s="67">
        <f>J173-6*K173</f>
        <v/>
      </c>
      <c r="M173" s="67">
        <f>J173+6*K173</f>
        <v/>
      </c>
      <c r="N173" s="61">
        <f>IF(G173="","",IF(AND(G173&gt;=L173,G173&lt;=M173),"OK","NG"))</f>
        <v/>
      </c>
      <c r="O173" s="69">
        <f>IF(N173="","",IF(N173=D173,1,0))</f>
        <v/>
      </c>
      <c r="P173" s="67">
        <f>IF(G173="","",J173-G173)</f>
        <v/>
      </c>
      <c r="Q173" s="67">
        <f>IF(G173="","",ABS(P173-Components!$D$2)/Components!$E$2)</f>
        <v/>
      </c>
      <c r="R173" s="67">
        <f>IF(G173="","",ABS(P173-Components!$D$3)/Components!$E$3)</f>
        <v/>
      </c>
      <c r="S173" s="67">
        <f>IF(G173="","",ABS(P173-Components!$D$4)/Components!$E$4)</f>
        <v/>
      </c>
      <c r="T173" s="67">
        <f>IF(G173="","",ABS(P173-Components!$D$5)/Components!$E$5)</f>
        <v/>
      </c>
      <c r="U173" s="67">
        <f>IF(G173="","",ABS(P173-Components!$D$6)/Components!$E$6)</f>
        <v/>
      </c>
      <c r="V173" s="67">
        <f>IF(G173="","",ABS(P173-Components!$D$7)/Components!$E$7)</f>
        <v/>
      </c>
      <c r="W173" s="61">
        <f>IF(G173="","",IF(N173="OK","NONE",INDEX({"S1","S2","W1","W2","N1","N2"},MATCH(MIN(Q173:V173),Q173:V173,0))))</f>
        <v/>
      </c>
      <c r="X173" s="69">
        <f>IF(G173="","",IF(W173=E173,1,0))</f>
        <v/>
      </c>
      <c r="Y173" s="70" t="n"/>
    </row>
    <row r="174">
      <c r="A174" s="61" t="n">
        <v>91</v>
      </c>
      <c r="B174" s="62" t="n">
        <v>50.7</v>
      </c>
      <c r="C174" s="61" t="inlineStr">
        <is>
          <t>R4</t>
        </is>
      </c>
      <c r="D174" s="74" t="inlineStr">
        <is>
          <t>NG</t>
        </is>
      </c>
      <c r="E174" s="61" t="inlineStr">
        <is>
          <t>S1</t>
        </is>
      </c>
      <c r="F174" s="61" t="inlineStr">
        <is>
          <t>K027</t>
        </is>
      </c>
      <c r="G174" s="75" t="n">
        <v>6.18</v>
      </c>
      <c r="H174" s="65" t="n"/>
      <c r="I174" s="66" t="n"/>
      <c r="J174" s="67">
        <f>VLOOKUP(C174,Recipes!$A$2:$N$4,10,FALSE())</f>
        <v/>
      </c>
      <c r="K174" s="68">
        <f>VLOOKUP(C174,Recipes!$A$2:$N$4,12,FALSE())</f>
        <v/>
      </c>
      <c r="L174" s="67">
        <f>J174-6*K174</f>
        <v/>
      </c>
      <c r="M174" s="67">
        <f>J174+6*K174</f>
        <v/>
      </c>
      <c r="N174" s="61">
        <f>IF(G174="","",IF(AND(G174&gt;=L174,G174&lt;=M174),"OK","NG"))</f>
        <v/>
      </c>
      <c r="O174" s="69">
        <f>IF(N174="","",IF(N174=D174,1,0))</f>
        <v/>
      </c>
      <c r="P174" s="67">
        <f>IF(G174="","",J174-G174)</f>
        <v/>
      </c>
      <c r="Q174" s="67">
        <f>IF(G174="","",ABS(P174-Components!$D$2)/Components!$E$2)</f>
        <v/>
      </c>
      <c r="R174" s="67">
        <f>IF(G174="","",ABS(P174-Components!$D$3)/Components!$E$3)</f>
        <v/>
      </c>
      <c r="S174" s="67">
        <f>IF(G174="","",ABS(P174-Components!$D$4)/Components!$E$4)</f>
        <v/>
      </c>
      <c r="T174" s="67">
        <f>IF(G174="","",ABS(P174-Components!$D$5)/Components!$E$5)</f>
        <v/>
      </c>
      <c r="U174" s="67">
        <f>IF(G174="","",ABS(P174-Components!$D$6)/Components!$E$6)</f>
        <v/>
      </c>
      <c r="V174" s="67">
        <f>IF(G174="","",ABS(P174-Components!$D$7)/Components!$E$7)</f>
        <v/>
      </c>
      <c r="W174" s="61">
        <f>IF(G174="","",IF(N174="OK","NONE",INDEX({"S1","S2","W1","W2","N1","N2"},MATCH(MIN(Q174:V174),Q174:V174,0))))</f>
        <v/>
      </c>
      <c r="X174" s="69">
        <f>IF(G174="","",IF(W174=E174,1,0))</f>
        <v/>
      </c>
      <c r="Y174" s="70" t="n"/>
    </row>
    <row r="175">
      <c r="A175" s="61" t="n">
        <v>94.2</v>
      </c>
      <c r="B175" s="62" t="n">
        <v>52.2</v>
      </c>
      <c r="C175" s="61" t="inlineStr">
        <is>
          <t>R4</t>
        </is>
      </c>
      <c r="D175" s="74" t="inlineStr">
        <is>
          <t>NG</t>
        </is>
      </c>
      <c r="E175" s="61" t="inlineStr">
        <is>
          <t>S1</t>
        </is>
      </c>
      <c r="F175" s="61" t="inlineStr">
        <is>
          <t>K028</t>
        </is>
      </c>
      <c r="G175" s="75" t="n">
        <v>6.19</v>
      </c>
      <c r="H175" s="65" t="n"/>
      <c r="I175" s="66" t="n"/>
      <c r="J175" s="67">
        <f>VLOOKUP(C175,Recipes!$A$2:$N$4,10,FALSE())</f>
        <v/>
      </c>
      <c r="K175" s="68">
        <f>VLOOKUP(C175,Recipes!$A$2:$N$4,12,FALSE())</f>
        <v/>
      </c>
      <c r="L175" s="67">
        <f>J175-6*K175</f>
        <v/>
      </c>
      <c r="M175" s="67">
        <f>J175+6*K175</f>
        <v/>
      </c>
      <c r="N175" s="61">
        <f>IF(G175="","",IF(AND(G175&gt;=L175,G175&lt;=M175),"OK","NG"))</f>
        <v/>
      </c>
      <c r="O175" s="69">
        <f>IF(N175="","",IF(N175=D175,1,0))</f>
        <v/>
      </c>
      <c r="P175" s="67">
        <f>IF(G175="","",J175-G175)</f>
        <v/>
      </c>
      <c r="Q175" s="67">
        <f>IF(G175="","",ABS(P175-Components!$D$2)/Components!$E$2)</f>
        <v/>
      </c>
      <c r="R175" s="67">
        <f>IF(G175="","",ABS(P175-Components!$D$3)/Components!$E$3)</f>
        <v/>
      </c>
      <c r="S175" s="67">
        <f>IF(G175="","",ABS(P175-Components!$D$4)/Components!$E$4)</f>
        <v/>
      </c>
      <c r="T175" s="67">
        <f>IF(G175="","",ABS(P175-Components!$D$5)/Components!$E$5)</f>
        <v/>
      </c>
      <c r="U175" s="67">
        <f>IF(G175="","",ABS(P175-Components!$D$6)/Components!$E$6)</f>
        <v/>
      </c>
      <c r="V175" s="67">
        <f>IF(G175="","",ABS(P175-Components!$D$7)/Components!$E$7)</f>
        <v/>
      </c>
      <c r="W175" s="61">
        <f>IF(G175="","",IF(N175="OK","NONE",INDEX({"S1","S2","W1","W2","N1","N2"},MATCH(MIN(Q175:V175),Q175:V175,0))))</f>
        <v/>
      </c>
      <c r="X175" s="69">
        <f>IF(G175="","",IF(W175=E175,1,0))</f>
        <v/>
      </c>
      <c r="Y175" s="70" t="n"/>
    </row>
    <row r="176">
      <c r="A176" s="61" t="n">
        <v>97.40000000000001</v>
      </c>
      <c r="B176" s="62" t="n">
        <v>53.7</v>
      </c>
      <c r="C176" s="61" t="inlineStr">
        <is>
          <t>R4</t>
        </is>
      </c>
      <c r="D176" s="74" t="inlineStr">
        <is>
          <t>NG</t>
        </is>
      </c>
      <c r="E176" s="61" t="inlineStr">
        <is>
          <t>S1</t>
        </is>
      </c>
      <c r="F176" s="61" t="inlineStr">
        <is>
          <t>K029</t>
        </is>
      </c>
      <c r="G176" s="75" t="n">
        <v>6.15</v>
      </c>
      <c r="H176" s="65" t="n"/>
      <c r="I176" s="66" t="n"/>
      <c r="J176" s="67">
        <f>VLOOKUP(C176,Recipes!$A$2:$N$4,10,FALSE())</f>
        <v/>
      </c>
      <c r="K176" s="68">
        <f>VLOOKUP(C176,Recipes!$A$2:$N$4,12,FALSE())</f>
        <v/>
      </c>
      <c r="L176" s="67">
        <f>J176-6*K176</f>
        <v/>
      </c>
      <c r="M176" s="67">
        <f>J176+6*K176</f>
        <v/>
      </c>
      <c r="N176" s="61">
        <f>IF(G176="","",IF(AND(G176&gt;=L176,G176&lt;=M176),"OK","NG"))</f>
        <v/>
      </c>
      <c r="O176" s="69">
        <f>IF(N176="","",IF(N176=D176,1,0))</f>
        <v/>
      </c>
      <c r="P176" s="67">
        <f>IF(G176="","",J176-G176)</f>
        <v/>
      </c>
      <c r="Q176" s="67">
        <f>IF(G176="","",ABS(P176-Components!$D$2)/Components!$E$2)</f>
        <v/>
      </c>
      <c r="R176" s="67">
        <f>IF(G176="","",ABS(P176-Components!$D$3)/Components!$E$3)</f>
        <v/>
      </c>
      <c r="S176" s="67">
        <f>IF(G176="","",ABS(P176-Components!$D$4)/Components!$E$4)</f>
        <v/>
      </c>
      <c r="T176" s="67">
        <f>IF(G176="","",ABS(P176-Components!$D$5)/Components!$E$5)</f>
        <v/>
      </c>
      <c r="U176" s="67">
        <f>IF(G176="","",ABS(P176-Components!$D$6)/Components!$E$6)</f>
        <v/>
      </c>
      <c r="V176" s="67">
        <f>IF(G176="","",ABS(P176-Components!$D$7)/Components!$E$7)</f>
        <v/>
      </c>
      <c r="W176" s="61">
        <f>IF(G176="","",IF(N176="OK","NONE",INDEX({"S1","S2","W1","W2","N1","N2"},MATCH(MIN(Q176:V176),Q176:V176,0))))</f>
        <v/>
      </c>
      <c r="X176" s="69">
        <f>IF(G176="","",IF(W176=E176,1,0))</f>
        <v/>
      </c>
      <c r="Y176" s="70" t="n"/>
    </row>
    <row r="177">
      <c r="A177" s="76" t="n">
        <v>100.6</v>
      </c>
      <c r="B177" s="77" t="n">
        <v>55.2</v>
      </c>
      <c r="C177" s="76" t="inlineStr">
        <is>
          <t>R4</t>
        </is>
      </c>
      <c r="D177" s="78" t="inlineStr">
        <is>
          <t>NG</t>
        </is>
      </c>
      <c r="E177" s="76" t="inlineStr">
        <is>
          <t>S1</t>
        </is>
      </c>
      <c r="F177" s="76" t="inlineStr">
        <is>
          <t>K041</t>
        </is>
      </c>
      <c r="G177" s="75" t="n">
        <v>6.16</v>
      </c>
      <c r="H177" s="65" t="n"/>
      <c r="I177" s="66" t="n"/>
      <c r="J177" s="67">
        <f>VLOOKUP(C177,Recipes!$A$2:$N$4,10,FALSE())</f>
        <v/>
      </c>
      <c r="K177" s="68">
        <f>VLOOKUP(C177,Recipes!$A$2:$N$4,12,FALSE())</f>
        <v/>
      </c>
      <c r="L177" s="67">
        <f>J177-6*K177</f>
        <v/>
      </c>
      <c r="M177" s="67">
        <f>J177+6*K177</f>
        <v/>
      </c>
      <c r="N177" s="61">
        <f>IF(G177="","",IF(AND(G177&gt;=L177,G177&lt;=M177),"OK","NG"))</f>
        <v/>
      </c>
      <c r="O177" s="69">
        <f>IF(N177="","",IF(N177=D177,1,0))</f>
        <v/>
      </c>
      <c r="P177" s="67">
        <f>IF(G177="","",J177-G177)</f>
        <v/>
      </c>
      <c r="Q177" s="67">
        <f>IF(G177="","",ABS(P177-Components!$D$2)/Components!$E$2)</f>
        <v/>
      </c>
      <c r="R177" s="67">
        <f>IF(G177="","",ABS(P177-Components!$D$3)/Components!$E$3)</f>
        <v/>
      </c>
      <c r="S177" s="67">
        <f>IF(G177="","",ABS(P177-Components!$D$4)/Components!$E$4)</f>
        <v/>
      </c>
      <c r="T177" s="67">
        <f>IF(G177="","",ABS(P177-Components!$D$5)/Components!$E$5)</f>
        <v/>
      </c>
      <c r="U177" s="67">
        <f>IF(G177="","",ABS(P177-Components!$D$6)/Components!$E$6)</f>
        <v/>
      </c>
      <c r="V177" s="67">
        <f>IF(G177="","",ABS(P177-Components!$D$7)/Components!$E$7)</f>
        <v/>
      </c>
      <c r="W177" s="61">
        <f>IF(G177="","",IF(N177="OK","NONE",INDEX({"S1","S2","W1","W2","N1","N2"},MATCH(MIN(Q177:V177),Q177:V177,0))))</f>
        <v/>
      </c>
      <c r="X177" s="69">
        <f>IF(G177="","",IF(W177=E177,1,0))</f>
        <v/>
      </c>
      <c r="Y177" s="70" t="n"/>
    </row>
    <row r="178">
      <c r="A178" s="61" t="n">
        <v>103.8</v>
      </c>
      <c r="B178" s="62" t="n">
        <v>56.7</v>
      </c>
      <c r="C178" s="61" t="inlineStr">
        <is>
          <t>R4</t>
        </is>
      </c>
      <c r="D178" s="74" t="inlineStr">
        <is>
          <t>NG</t>
        </is>
      </c>
      <c r="E178" s="61" t="inlineStr">
        <is>
          <t>S1</t>
        </is>
      </c>
      <c r="F178" s="61" t="inlineStr">
        <is>
          <t>K026</t>
        </is>
      </c>
      <c r="G178" s="75" t="n">
        <v>6.16</v>
      </c>
      <c r="H178" s="65" t="n"/>
      <c r="I178" s="66" t="n"/>
      <c r="J178" s="67">
        <f>VLOOKUP(C178,Recipes!$A$2:$N$4,10,FALSE())</f>
        <v/>
      </c>
      <c r="K178" s="68">
        <f>VLOOKUP(C178,Recipes!$A$2:$N$4,12,FALSE())</f>
        <v/>
      </c>
      <c r="L178" s="67">
        <f>J178-6*K178</f>
        <v/>
      </c>
      <c r="M178" s="67">
        <f>J178+6*K178</f>
        <v/>
      </c>
      <c r="N178" s="61">
        <f>IF(G178="","",IF(AND(G178&gt;=L178,G178&lt;=M178),"OK","NG"))</f>
        <v/>
      </c>
      <c r="O178" s="69">
        <f>IF(N178="","",IF(N178=D178,1,0))</f>
        <v/>
      </c>
      <c r="P178" s="67">
        <f>IF(G178="","",J178-G178)</f>
        <v/>
      </c>
      <c r="Q178" s="67">
        <f>IF(G178="","",ABS(P178-Components!$D$2)/Components!$E$2)</f>
        <v/>
      </c>
      <c r="R178" s="67">
        <f>IF(G178="","",ABS(P178-Components!$D$3)/Components!$E$3)</f>
        <v/>
      </c>
      <c r="S178" s="67">
        <f>IF(G178="","",ABS(P178-Components!$D$4)/Components!$E$4)</f>
        <v/>
      </c>
      <c r="T178" s="67">
        <f>IF(G178="","",ABS(P178-Components!$D$5)/Components!$E$5)</f>
        <v/>
      </c>
      <c r="U178" s="67">
        <f>IF(G178="","",ABS(P178-Components!$D$6)/Components!$E$6)</f>
        <v/>
      </c>
      <c r="V178" s="67">
        <f>IF(G178="","",ABS(P178-Components!$D$7)/Components!$E$7)</f>
        <v/>
      </c>
      <c r="W178" s="61">
        <f>IF(G178="","",IF(N178="OK","NONE",INDEX({"S1","S2","W1","W2","N1","N2"},MATCH(MIN(Q178:V178),Q178:V178,0))))</f>
        <v/>
      </c>
      <c r="X178" s="69">
        <f>IF(G178="","",IF(W178=E178,1,0))</f>
        <v/>
      </c>
      <c r="Y178" s="70" t="n"/>
    </row>
    <row r="179">
      <c r="A179" s="61" t="n">
        <v>107</v>
      </c>
      <c r="B179" s="62" t="n">
        <v>58.2</v>
      </c>
      <c r="C179" s="61" t="inlineStr">
        <is>
          <t>R4</t>
        </is>
      </c>
      <c r="D179" s="74" t="inlineStr">
        <is>
          <t>NG</t>
        </is>
      </c>
      <c r="E179" s="61" t="inlineStr">
        <is>
          <t>S1</t>
        </is>
      </c>
      <c r="F179" s="61" t="inlineStr">
        <is>
          <t>K027</t>
        </is>
      </c>
      <c r="G179" s="75" t="n">
        <v>6.15</v>
      </c>
      <c r="H179" s="65" t="n"/>
      <c r="I179" s="66" t="n"/>
      <c r="J179" s="67">
        <f>VLOOKUP(C179,Recipes!$A$2:$N$4,10,FALSE())</f>
        <v/>
      </c>
      <c r="K179" s="68">
        <f>VLOOKUP(C179,Recipes!$A$2:$N$4,12,FALSE())</f>
        <v/>
      </c>
      <c r="L179" s="67">
        <f>J179-6*K179</f>
        <v/>
      </c>
      <c r="M179" s="67">
        <f>J179+6*K179</f>
        <v/>
      </c>
      <c r="N179" s="61">
        <f>IF(G179="","",IF(AND(G179&gt;=L179,G179&lt;=M179),"OK","NG"))</f>
        <v/>
      </c>
      <c r="O179" s="69">
        <f>IF(N179="","",IF(N179=D179,1,0))</f>
        <v/>
      </c>
      <c r="P179" s="67">
        <f>IF(G179="","",J179-G179)</f>
        <v/>
      </c>
      <c r="Q179" s="67">
        <f>IF(G179="","",ABS(P179-Components!$D$2)/Components!$E$2)</f>
        <v/>
      </c>
      <c r="R179" s="67">
        <f>IF(G179="","",ABS(P179-Components!$D$3)/Components!$E$3)</f>
        <v/>
      </c>
      <c r="S179" s="67">
        <f>IF(G179="","",ABS(P179-Components!$D$4)/Components!$E$4)</f>
        <v/>
      </c>
      <c r="T179" s="67">
        <f>IF(G179="","",ABS(P179-Components!$D$5)/Components!$E$5)</f>
        <v/>
      </c>
      <c r="U179" s="67">
        <f>IF(G179="","",ABS(P179-Components!$D$6)/Components!$E$6)</f>
        <v/>
      </c>
      <c r="V179" s="67">
        <f>IF(G179="","",ABS(P179-Components!$D$7)/Components!$E$7)</f>
        <v/>
      </c>
      <c r="W179" s="61">
        <f>IF(G179="","",IF(N179="OK","NONE",INDEX({"S1","S2","W1","W2","N1","N2"},MATCH(MIN(Q179:V179),Q179:V179,0))))</f>
        <v/>
      </c>
      <c r="X179" s="69">
        <f>IF(G179="","",IF(W179=E179,1,0))</f>
        <v/>
      </c>
      <c r="Y179" s="70" t="n"/>
    </row>
    <row r="180">
      <c r="A180" s="61" t="n">
        <v>110.2</v>
      </c>
      <c r="B180" s="62" t="n">
        <v>59.7</v>
      </c>
      <c r="C180" s="61" t="inlineStr">
        <is>
          <t>R4</t>
        </is>
      </c>
      <c r="D180" s="74" t="inlineStr">
        <is>
          <t>NG</t>
        </is>
      </c>
      <c r="E180" s="61" t="inlineStr">
        <is>
          <t>S1</t>
        </is>
      </c>
      <c r="F180" s="61" t="inlineStr">
        <is>
          <t>K028</t>
        </is>
      </c>
      <c r="G180" s="75" t="n">
        <v>6.17</v>
      </c>
      <c r="H180" s="65" t="n"/>
      <c r="I180" s="66" t="n"/>
      <c r="J180" s="67">
        <f>VLOOKUP(C180,Recipes!$A$2:$N$4,10,FALSE())</f>
        <v/>
      </c>
      <c r="K180" s="68">
        <f>VLOOKUP(C180,Recipes!$A$2:$N$4,12,FALSE())</f>
        <v/>
      </c>
      <c r="L180" s="67">
        <f>J180-6*K180</f>
        <v/>
      </c>
      <c r="M180" s="67">
        <f>J180+6*K180</f>
        <v/>
      </c>
      <c r="N180" s="61">
        <f>IF(G180="","",IF(AND(G180&gt;=L180,G180&lt;=M180),"OK","NG"))</f>
        <v/>
      </c>
      <c r="O180" s="69">
        <f>IF(N180="","",IF(N180=D180,1,0))</f>
        <v/>
      </c>
      <c r="P180" s="67">
        <f>IF(G180="","",J180-G180)</f>
        <v/>
      </c>
      <c r="Q180" s="67">
        <f>IF(G180="","",ABS(P180-Components!$D$2)/Components!$E$2)</f>
        <v/>
      </c>
      <c r="R180" s="67">
        <f>IF(G180="","",ABS(P180-Components!$D$3)/Components!$E$3)</f>
        <v/>
      </c>
      <c r="S180" s="67">
        <f>IF(G180="","",ABS(P180-Components!$D$4)/Components!$E$4)</f>
        <v/>
      </c>
      <c r="T180" s="67">
        <f>IF(G180="","",ABS(P180-Components!$D$5)/Components!$E$5)</f>
        <v/>
      </c>
      <c r="U180" s="67">
        <f>IF(G180="","",ABS(P180-Components!$D$6)/Components!$E$6)</f>
        <v/>
      </c>
      <c r="V180" s="67">
        <f>IF(G180="","",ABS(P180-Components!$D$7)/Components!$E$7)</f>
        <v/>
      </c>
      <c r="W180" s="61">
        <f>IF(G180="","",IF(N180="OK","NONE",INDEX({"S1","S2","W1","W2","N1","N2"},MATCH(MIN(Q180:V180),Q180:V180,0))))</f>
        <v/>
      </c>
      <c r="X180" s="69">
        <f>IF(G180="","",IF(W180=E180,1,0))</f>
        <v/>
      </c>
      <c r="Y180" s="70" t="n"/>
    </row>
    <row r="181">
      <c r="A181" s="61" t="n">
        <v>113.4</v>
      </c>
      <c r="B181" s="62" t="n">
        <v>61.2</v>
      </c>
      <c r="C181" s="61" t="inlineStr">
        <is>
          <t>R4</t>
        </is>
      </c>
      <c r="D181" s="74" t="inlineStr">
        <is>
          <t>NG</t>
        </is>
      </c>
      <c r="E181" s="61" t="inlineStr">
        <is>
          <t>S1</t>
        </is>
      </c>
      <c r="F181" s="61" t="inlineStr">
        <is>
          <t>K029</t>
        </is>
      </c>
      <c r="G181" s="75" t="n">
        <v>6.2</v>
      </c>
      <c r="H181" s="65" t="n"/>
      <c r="I181" s="66" t="n"/>
      <c r="J181" s="67">
        <f>VLOOKUP(C181,Recipes!$A$2:$N$4,10,FALSE())</f>
        <v/>
      </c>
      <c r="K181" s="68">
        <f>VLOOKUP(C181,Recipes!$A$2:$N$4,12,FALSE())</f>
        <v/>
      </c>
      <c r="L181" s="67">
        <f>J181-6*K181</f>
        <v/>
      </c>
      <c r="M181" s="67">
        <f>J181+6*K181</f>
        <v/>
      </c>
      <c r="N181" s="61">
        <f>IF(G181="","",IF(AND(G181&gt;=L181,G181&lt;=M181),"OK","NG"))</f>
        <v/>
      </c>
      <c r="O181" s="69">
        <f>IF(N181="","",IF(N181=D181,1,0))</f>
        <v/>
      </c>
      <c r="P181" s="67">
        <f>IF(G181="","",J181-G181)</f>
        <v/>
      </c>
      <c r="Q181" s="67">
        <f>IF(G181="","",ABS(P181-Components!$D$2)/Components!$E$2)</f>
        <v/>
      </c>
      <c r="R181" s="67">
        <f>IF(G181="","",ABS(P181-Components!$D$3)/Components!$E$3)</f>
        <v/>
      </c>
      <c r="S181" s="67">
        <f>IF(G181="","",ABS(P181-Components!$D$4)/Components!$E$4)</f>
        <v/>
      </c>
      <c r="T181" s="67">
        <f>IF(G181="","",ABS(P181-Components!$D$5)/Components!$E$5)</f>
        <v/>
      </c>
      <c r="U181" s="67">
        <f>IF(G181="","",ABS(P181-Components!$D$6)/Components!$E$6)</f>
        <v/>
      </c>
      <c r="V181" s="67">
        <f>IF(G181="","",ABS(P181-Components!$D$7)/Components!$E$7)</f>
        <v/>
      </c>
      <c r="W181" s="61">
        <f>IF(G181="","",IF(N181="OK","NONE",INDEX({"S1","S2","W1","W2","N1","N2"},MATCH(MIN(Q181:V181),Q181:V181,0))))</f>
        <v/>
      </c>
      <c r="X181" s="69">
        <f>IF(G181="","",IF(W181=E181,1,0))</f>
        <v/>
      </c>
      <c r="Y181" s="70" t="n"/>
    </row>
    <row r="182">
      <c r="A182" s="76" t="n">
        <v>116.6</v>
      </c>
      <c r="B182" s="77" t="n">
        <v>62.7</v>
      </c>
      <c r="C182" s="76" t="inlineStr">
        <is>
          <t>R4</t>
        </is>
      </c>
      <c r="D182" s="78" t="inlineStr">
        <is>
          <t>NG</t>
        </is>
      </c>
      <c r="E182" s="76" t="inlineStr">
        <is>
          <t>S1</t>
        </is>
      </c>
      <c r="F182" s="76" t="inlineStr">
        <is>
          <t>K041</t>
        </is>
      </c>
      <c r="G182" s="75" t="n">
        <v>6.14</v>
      </c>
      <c r="H182" s="65" t="n"/>
      <c r="I182" s="66" t="n"/>
      <c r="J182" s="67">
        <f>VLOOKUP(C182,Recipes!$A$2:$N$4,10,FALSE())</f>
        <v/>
      </c>
      <c r="K182" s="68">
        <f>VLOOKUP(C182,Recipes!$A$2:$N$4,12,FALSE())</f>
        <v/>
      </c>
      <c r="L182" s="67">
        <f>J182-6*K182</f>
        <v/>
      </c>
      <c r="M182" s="67">
        <f>J182+6*K182</f>
        <v/>
      </c>
      <c r="N182" s="61">
        <f>IF(G182="","",IF(AND(G182&gt;=L182,G182&lt;=M182),"OK","NG"))</f>
        <v/>
      </c>
      <c r="O182" s="69">
        <f>IF(N182="","",IF(N182=D182,1,0))</f>
        <v/>
      </c>
      <c r="P182" s="67">
        <f>IF(G182="","",J182-G182)</f>
        <v/>
      </c>
      <c r="Q182" s="67">
        <f>IF(G182="","",ABS(P182-Components!$D$2)/Components!$E$2)</f>
        <v/>
      </c>
      <c r="R182" s="67">
        <f>IF(G182="","",ABS(P182-Components!$D$3)/Components!$E$3)</f>
        <v/>
      </c>
      <c r="S182" s="67">
        <f>IF(G182="","",ABS(P182-Components!$D$4)/Components!$E$4)</f>
        <v/>
      </c>
      <c r="T182" s="67">
        <f>IF(G182="","",ABS(P182-Components!$D$5)/Components!$E$5)</f>
        <v/>
      </c>
      <c r="U182" s="67">
        <f>IF(G182="","",ABS(P182-Components!$D$6)/Components!$E$6)</f>
        <v/>
      </c>
      <c r="V182" s="67">
        <f>IF(G182="","",ABS(P182-Components!$D$7)/Components!$E$7)</f>
        <v/>
      </c>
      <c r="W182" s="61">
        <f>IF(G182="","",IF(N182="OK","NONE",INDEX({"S1","S2","W1","W2","N1","N2"},MATCH(MIN(Q182:V182),Q182:V182,0))))</f>
        <v/>
      </c>
      <c r="X182" s="69">
        <f>IF(G182="","",IF(W182=E182,1,0))</f>
        <v/>
      </c>
      <c r="Y182" s="70" t="n"/>
    </row>
    <row r="183">
      <c r="A183" s="61" t="n">
        <v>30</v>
      </c>
      <c r="B183" s="62" t="n">
        <v>19</v>
      </c>
      <c r="C183" s="61" t="inlineStr">
        <is>
          <t>R4</t>
        </is>
      </c>
      <c r="D183" s="74" t="inlineStr">
        <is>
          <t>NG</t>
        </is>
      </c>
      <c r="E183" s="61" t="inlineStr">
        <is>
          <t>W1</t>
        </is>
      </c>
      <c r="F183" s="61" t="inlineStr">
        <is>
          <t>K030</t>
        </is>
      </c>
      <c r="G183" s="64" t="n">
        <v>7.99</v>
      </c>
      <c r="H183" s="65" t="n"/>
      <c r="I183" s="66" t="n"/>
      <c r="J183" s="67">
        <f>VLOOKUP(C183,Recipes!$A$2:$N$4,10,FALSE())</f>
        <v/>
      </c>
      <c r="K183" s="68">
        <f>VLOOKUP(C183,Recipes!$A$2:$N$4,12,FALSE())</f>
        <v/>
      </c>
      <c r="L183" s="67">
        <f>J183-6*K183</f>
        <v/>
      </c>
      <c r="M183" s="67">
        <f>J183+6*K183</f>
        <v/>
      </c>
      <c r="N183" s="61">
        <f>IF(G183="","",IF(AND(G183&gt;=L183,G183&lt;=M183),"OK","NG"))</f>
        <v/>
      </c>
      <c r="O183" s="69">
        <f>IF(N183="","",IF(N183=D183,1,0))</f>
        <v/>
      </c>
      <c r="P183" s="67">
        <f>IF(G183="","",J183-G183)</f>
        <v/>
      </c>
      <c r="Q183" s="67">
        <f>IF(G183="","",ABS(P183-Components!$D$2)/Components!$E$2)</f>
        <v/>
      </c>
      <c r="R183" s="67">
        <f>IF(G183="","",ABS(P183-Components!$D$3)/Components!$E$3)</f>
        <v/>
      </c>
      <c r="S183" s="67">
        <f>IF(G183="","",ABS(P183-Components!$D$4)/Components!$E$4)</f>
        <v/>
      </c>
      <c r="T183" s="67">
        <f>IF(G183="","",ABS(P183-Components!$D$5)/Components!$E$5)</f>
        <v/>
      </c>
      <c r="U183" s="67">
        <f>IF(G183="","",ABS(P183-Components!$D$6)/Components!$E$6)</f>
        <v/>
      </c>
      <c r="V183" s="67">
        <f>IF(G183="","",ABS(P183-Components!$D$7)/Components!$E$7)</f>
        <v/>
      </c>
      <c r="W183" s="61">
        <f>IF(G183="","",IF(N183="OK","NONE",INDEX({"S1","S2","W1","W2","N1","N2"},MATCH(MIN(Q183:V183),Q183:V183,0))))</f>
        <v/>
      </c>
      <c r="X183" s="69">
        <f>IF(G183="","",IF(W183=E183,1,0))</f>
        <v/>
      </c>
      <c r="Y183" s="70" t="n"/>
    </row>
    <row r="184">
      <c r="A184" s="61" t="n">
        <v>31</v>
      </c>
      <c r="B184" s="62" t="n">
        <v>32</v>
      </c>
      <c r="C184" s="61" t="inlineStr">
        <is>
          <t>R4</t>
        </is>
      </c>
      <c r="D184" s="74" t="inlineStr">
        <is>
          <t>NG</t>
        </is>
      </c>
      <c r="E184" s="61" t="inlineStr">
        <is>
          <t>W1</t>
        </is>
      </c>
      <c r="F184" s="61" t="inlineStr">
        <is>
          <t>K031</t>
        </is>
      </c>
      <c r="G184" s="64" t="n">
        <v>7.97</v>
      </c>
      <c r="H184" s="65" t="n"/>
      <c r="I184" s="66" t="n"/>
      <c r="J184" s="67">
        <f>VLOOKUP(C184,Recipes!$A$2:$N$4,10,FALSE())</f>
        <v/>
      </c>
      <c r="K184" s="68">
        <f>VLOOKUP(C184,Recipes!$A$2:$N$4,12,FALSE())</f>
        <v/>
      </c>
      <c r="L184" s="67">
        <f>J184-6*K184</f>
        <v/>
      </c>
      <c r="M184" s="67">
        <f>J184+6*K184</f>
        <v/>
      </c>
      <c r="N184" s="61">
        <f>IF(G184="","",IF(AND(G184&gt;=L184,G184&lt;=M184),"OK","NG"))</f>
        <v/>
      </c>
      <c r="O184" s="69">
        <f>IF(N184="","",IF(N184=D184,1,0))</f>
        <v/>
      </c>
      <c r="P184" s="67">
        <f>IF(G184="","",J184-G184)</f>
        <v/>
      </c>
      <c r="Q184" s="67">
        <f>IF(G184="","",ABS(P184-Components!$D$2)/Components!$E$2)</f>
        <v/>
      </c>
      <c r="R184" s="67">
        <f>IF(G184="","",ABS(P184-Components!$D$3)/Components!$E$3)</f>
        <v/>
      </c>
      <c r="S184" s="67">
        <f>IF(G184="","",ABS(P184-Components!$D$4)/Components!$E$4)</f>
        <v/>
      </c>
      <c r="T184" s="67">
        <f>IF(G184="","",ABS(P184-Components!$D$5)/Components!$E$5)</f>
        <v/>
      </c>
      <c r="U184" s="67">
        <f>IF(G184="","",ABS(P184-Components!$D$6)/Components!$E$6)</f>
        <v/>
      </c>
      <c r="V184" s="67">
        <f>IF(G184="","",ABS(P184-Components!$D$7)/Components!$E$7)</f>
        <v/>
      </c>
      <c r="W184" s="61">
        <f>IF(G184="","",IF(N184="OK","NONE",INDEX({"S1","S2","W1","W2","N1","N2"},MATCH(MIN(Q184:V184),Q184:V184,0))))</f>
        <v/>
      </c>
      <c r="X184" s="69">
        <f>IF(G184="","",IF(W184=E184,1,0))</f>
        <v/>
      </c>
      <c r="Y184" s="70" t="n"/>
    </row>
    <row r="185">
      <c r="A185" s="61" t="n">
        <v>32</v>
      </c>
      <c r="B185" s="62" t="n">
        <v>37</v>
      </c>
      <c r="C185" s="61" t="inlineStr">
        <is>
          <t>R4</t>
        </is>
      </c>
      <c r="D185" s="74" t="inlineStr">
        <is>
          <t>NG</t>
        </is>
      </c>
      <c r="E185" s="61" t="inlineStr">
        <is>
          <t>W1</t>
        </is>
      </c>
      <c r="F185" s="61" t="inlineStr">
        <is>
          <t>K032</t>
        </is>
      </c>
      <c r="G185" s="64" t="n">
        <v>7.97</v>
      </c>
      <c r="H185" s="65" t="n"/>
      <c r="I185" s="66" t="n"/>
      <c r="J185" s="67">
        <f>VLOOKUP(C185,Recipes!$A$2:$N$4,10,FALSE())</f>
        <v/>
      </c>
      <c r="K185" s="68">
        <f>VLOOKUP(C185,Recipes!$A$2:$N$4,12,FALSE())</f>
        <v/>
      </c>
      <c r="L185" s="67">
        <f>J185-6*K185</f>
        <v/>
      </c>
      <c r="M185" s="67">
        <f>J185+6*K185</f>
        <v/>
      </c>
      <c r="N185" s="61">
        <f>IF(G185="","",IF(AND(G185&gt;=L185,G185&lt;=M185),"OK","NG"))</f>
        <v/>
      </c>
      <c r="O185" s="69">
        <f>IF(N185="","",IF(N185=D185,1,0))</f>
        <v/>
      </c>
      <c r="P185" s="67">
        <f>IF(G185="","",J185-G185)</f>
        <v/>
      </c>
      <c r="Q185" s="67">
        <f>IF(G185="","",ABS(P185-Components!$D$2)/Components!$E$2)</f>
        <v/>
      </c>
      <c r="R185" s="67">
        <f>IF(G185="","",ABS(P185-Components!$D$3)/Components!$E$3)</f>
        <v/>
      </c>
      <c r="S185" s="67">
        <f>IF(G185="","",ABS(P185-Components!$D$4)/Components!$E$4)</f>
        <v/>
      </c>
      <c r="T185" s="67">
        <f>IF(G185="","",ABS(P185-Components!$D$5)/Components!$E$5)</f>
        <v/>
      </c>
      <c r="U185" s="67">
        <f>IF(G185="","",ABS(P185-Components!$D$6)/Components!$E$6)</f>
        <v/>
      </c>
      <c r="V185" s="67">
        <f>IF(G185="","",ABS(P185-Components!$D$7)/Components!$E$7)</f>
        <v/>
      </c>
      <c r="W185" s="61">
        <f>IF(G185="","",IF(N185="OK","NONE",INDEX({"S1","S2","W1","W2","N1","N2"},MATCH(MIN(Q185:V185),Q185:V185,0))))</f>
        <v/>
      </c>
      <c r="X185" s="69">
        <f>IF(G185="","",IF(W185=E185,1,0))</f>
        <v/>
      </c>
      <c r="Y185" s="70" t="n"/>
    </row>
    <row r="186">
      <c r="A186" s="61" t="n">
        <v>33</v>
      </c>
      <c r="B186" s="62" t="n">
        <v>27</v>
      </c>
      <c r="C186" s="61" t="inlineStr">
        <is>
          <t>R4</t>
        </is>
      </c>
      <c r="D186" s="74" t="inlineStr">
        <is>
          <t>NG</t>
        </is>
      </c>
      <c r="E186" s="61" t="inlineStr">
        <is>
          <t>W1</t>
        </is>
      </c>
      <c r="F186" s="61" t="inlineStr">
        <is>
          <t>K033</t>
        </is>
      </c>
      <c r="G186" s="64" t="n">
        <v>7.94</v>
      </c>
      <c r="H186" s="65" t="n"/>
      <c r="I186" s="66" t="n"/>
      <c r="J186" s="67">
        <f>VLOOKUP(C186,Recipes!$A$2:$N$4,10,FALSE())</f>
        <v/>
      </c>
      <c r="K186" s="68">
        <f>VLOOKUP(C186,Recipes!$A$2:$N$4,12,FALSE())</f>
        <v/>
      </c>
      <c r="L186" s="67">
        <f>J186-6*K186</f>
        <v/>
      </c>
      <c r="M186" s="67">
        <f>J186+6*K186</f>
        <v/>
      </c>
      <c r="N186" s="61">
        <f>IF(G186="","",IF(AND(G186&gt;=L186,G186&lt;=M186),"OK","NG"))</f>
        <v/>
      </c>
      <c r="O186" s="69">
        <f>IF(N186="","",IF(N186=D186,1,0))</f>
        <v/>
      </c>
      <c r="P186" s="67">
        <f>IF(G186="","",J186-G186)</f>
        <v/>
      </c>
      <c r="Q186" s="67">
        <f>IF(G186="","",ABS(P186-Components!$D$2)/Components!$E$2)</f>
        <v/>
      </c>
      <c r="R186" s="67">
        <f>IF(G186="","",ABS(P186-Components!$D$3)/Components!$E$3)</f>
        <v/>
      </c>
      <c r="S186" s="67">
        <f>IF(G186="","",ABS(P186-Components!$D$4)/Components!$E$4)</f>
        <v/>
      </c>
      <c r="T186" s="67">
        <f>IF(G186="","",ABS(P186-Components!$D$5)/Components!$E$5)</f>
        <v/>
      </c>
      <c r="U186" s="67">
        <f>IF(G186="","",ABS(P186-Components!$D$6)/Components!$E$6)</f>
        <v/>
      </c>
      <c r="V186" s="67">
        <f>IF(G186="","",ABS(P186-Components!$D$7)/Components!$E$7)</f>
        <v/>
      </c>
      <c r="W186" s="61">
        <f>IF(G186="","",IF(N186="OK","NONE",INDEX({"S1","S2","W1","W2","N1","N2"},MATCH(MIN(Q186:V186),Q186:V186,0))))</f>
        <v/>
      </c>
      <c r="X186" s="69">
        <f>IF(G186="","",IF(W186=E186,1,0))</f>
        <v/>
      </c>
      <c r="Y186" s="70" t="n"/>
    </row>
    <row r="187">
      <c r="A187" s="76" t="n">
        <v>42</v>
      </c>
      <c r="B187" s="77" t="n">
        <v>48</v>
      </c>
      <c r="C187" s="76" t="inlineStr">
        <is>
          <t>R4</t>
        </is>
      </c>
      <c r="D187" s="78" t="inlineStr">
        <is>
          <t>NG</t>
        </is>
      </c>
      <c r="E187" s="76" t="inlineStr">
        <is>
          <t>W1</t>
        </is>
      </c>
      <c r="F187" s="76" t="inlineStr">
        <is>
          <t>K042</t>
        </is>
      </c>
      <c r="G187" s="75" t="n">
        <v>7.96</v>
      </c>
      <c r="H187" s="65" t="n"/>
      <c r="I187" s="66" t="n"/>
      <c r="J187" s="67">
        <f>VLOOKUP(C187,Recipes!$A$2:$N$4,10,FALSE())</f>
        <v/>
      </c>
      <c r="K187" s="68">
        <f>VLOOKUP(C187,Recipes!$A$2:$N$4,12,FALSE())</f>
        <v/>
      </c>
      <c r="L187" s="67">
        <f>J187-6*K187</f>
        <v/>
      </c>
      <c r="M187" s="67">
        <f>J187+6*K187</f>
        <v/>
      </c>
      <c r="N187" s="61">
        <f>IF(G187="","",IF(AND(G187&gt;=L187,G187&lt;=M187),"OK","NG"))</f>
        <v/>
      </c>
      <c r="O187" s="69">
        <f>IF(N187="","",IF(N187=D187,1,0))</f>
        <v/>
      </c>
      <c r="P187" s="67">
        <f>IF(G187="","",J187-G187)</f>
        <v/>
      </c>
      <c r="Q187" s="67">
        <f>IF(G187="","",ABS(P187-Components!$D$2)/Components!$E$2)</f>
        <v/>
      </c>
      <c r="R187" s="67">
        <f>IF(G187="","",ABS(P187-Components!$D$3)/Components!$E$3)</f>
        <v/>
      </c>
      <c r="S187" s="67">
        <f>IF(G187="","",ABS(P187-Components!$D$4)/Components!$E$4)</f>
        <v/>
      </c>
      <c r="T187" s="67">
        <f>IF(G187="","",ABS(P187-Components!$D$5)/Components!$E$5)</f>
        <v/>
      </c>
      <c r="U187" s="67">
        <f>IF(G187="","",ABS(P187-Components!$D$6)/Components!$E$6)</f>
        <v/>
      </c>
      <c r="V187" s="67">
        <f>IF(G187="","",ABS(P187-Components!$D$7)/Components!$E$7)</f>
        <v/>
      </c>
      <c r="W187" s="61">
        <f>IF(G187="","",IF(N187="OK","NONE",INDEX({"S1","S2","W1","W2","N1","N2"},MATCH(MIN(Q187:V187),Q187:V187,0))))</f>
        <v/>
      </c>
      <c r="X187" s="69">
        <f>IF(G187="","",IF(W187=E187,1,0))</f>
        <v/>
      </c>
      <c r="Y187" s="70" t="n"/>
    </row>
    <row r="188">
      <c r="A188" s="61" t="n">
        <v>41.4</v>
      </c>
      <c r="B188" s="62" t="n">
        <v>48.5</v>
      </c>
      <c r="C188" s="61" t="inlineStr">
        <is>
          <t>R4</t>
        </is>
      </c>
      <c r="D188" s="74" t="inlineStr">
        <is>
          <t>NG</t>
        </is>
      </c>
      <c r="E188" s="61" t="inlineStr">
        <is>
          <t>W1</t>
        </is>
      </c>
      <c r="F188" s="61" t="inlineStr">
        <is>
          <t>K030</t>
        </is>
      </c>
      <c r="G188" s="75" t="n">
        <v>8.02</v>
      </c>
      <c r="H188" s="65" t="n"/>
      <c r="I188" s="66" t="n"/>
      <c r="J188" s="67">
        <f>VLOOKUP(C188,Recipes!$A$2:$N$4,10,FALSE())</f>
        <v/>
      </c>
      <c r="K188" s="68">
        <f>VLOOKUP(C188,Recipes!$A$2:$N$4,12,FALSE())</f>
        <v/>
      </c>
      <c r="L188" s="67">
        <f>J188-6*K188</f>
        <v/>
      </c>
      <c r="M188" s="67">
        <f>J188+6*K188</f>
        <v/>
      </c>
      <c r="N188" s="61">
        <f>IF(G188="","",IF(AND(G188&gt;=L188,G188&lt;=M188),"OK","NG"))</f>
        <v/>
      </c>
      <c r="O188" s="69">
        <f>IF(N188="","",IF(N188=D188,1,0))</f>
        <v/>
      </c>
      <c r="P188" s="67">
        <f>IF(G188="","",J188-G188)</f>
        <v/>
      </c>
      <c r="Q188" s="67">
        <f>IF(G188="","",ABS(P188-Components!$D$2)/Components!$E$2)</f>
        <v/>
      </c>
      <c r="R188" s="67">
        <f>IF(G188="","",ABS(P188-Components!$D$3)/Components!$E$3)</f>
        <v/>
      </c>
      <c r="S188" s="67">
        <f>IF(G188="","",ABS(P188-Components!$D$4)/Components!$E$4)</f>
        <v/>
      </c>
      <c r="T188" s="67">
        <f>IF(G188="","",ABS(P188-Components!$D$5)/Components!$E$5)</f>
        <v/>
      </c>
      <c r="U188" s="67">
        <f>IF(G188="","",ABS(P188-Components!$D$6)/Components!$E$6)</f>
        <v/>
      </c>
      <c r="V188" s="67">
        <f>IF(G188="","",ABS(P188-Components!$D$7)/Components!$E$7)</f>
        <v/>
      </c>
      <c r="W188" s="61">
        <f>IF(G188="","",IF(N188="OK","NONE",INDEX({"S1","S2","W1","W2","N1","N2"},MATCH(MIN(Q188:V188),Q188:V188,0))))</f>
        <v/>
      </c>
      <c r="X188" s="69">
        <f>IF(G188="","",IF(W188=E188,1,0))</f>
        <v/>
      </c>
      <c r="Y188" s="70" t="n"/>
    </row>
    <row r="189">
      <c r="A189" s="61" t="n">
        <v>44</v>
      </c>
      <c r="B189" s="62" t="n">
        <v>53.8</v>
      </c>
      <c r="C189" s="61" t="inlineStr">
        <is>
          <t>R4</t>
        </is>
      </c>
      <c r="D189" s="74" t="inlineStr">
        <is>
          <t>NG</t>
        </is>
      </c>
      <c r="E189" s="61" t="inlineStr">
        <is>
          <t>W1</t>
        </is>
      </c>
      <c r="F189" s="61" t="inlineStr">
        <is>
          <t>K031</t>
        </is>
      </c>
      <c r="G189" s="75" t="n">
        <v>8.07</v>
      </c>
      <c r="H189" s="65" t="n"/>
      <c r="I189" s="66" t="n"/>
      <c r="J189" s="67">
        <f>VLOOKUP(C189,Recipes!$A$2:$N$4,10,FALSE())</f>
        <v/>
      </c>
      <c r="K189" s="68">
        <f>VLOOKUP(C189,Recipes!$A$2:$N$4,12,FALSE())</f>
        <v/>
      </c>
      <c r="L189" s="67">
        <f>J189-6*K189</f>
        <v/>
      </c>
      <c r="M189" s="67">
        <f>J189+6*K189</f>
        <v/>
      </c>
      <c r="N189" s="61">
        <f>IF(G189="","",IF(AND(G189&gt;=L189,G189&lt;=M189),"OK","NG"))</f>
        <v/>
      </c>
      <c r="O189" s="69">
        <f>IF(N189="","",IF(N189=D189,1,0))</f>
        <v/>
      </c>
      <c r="P189" s="67">
        <f>IF(G189="","",J189-G189)</f>
        <v/>
      </c>
      <c r="Q189" s="67">
        <f>IF(G189="","",ABS(P189-Components!$D$2)/Components!$E$2)</f>
        <v/>
      </c>
      <c r="R189" s="67">
        <f>IF(G189="","",ABS(P189-Components!$D$3)/Components!$E$3)</f>
        <v/>
      </c>
      <c r="S189" s="67">
        <f>IF(G189="","",ABS(P189-Components!$D$4)/Components!$E$4)</f>
        <v/>
      </c>
      <c r="T189" s="67">
        <f>IF(G189="","",ABS(P189-Components!$D$5)/Components!$E$5)</f>
        <v/>
      </c>
      <c r="U189" s="67">
        <f>IF(G189="","",ABS(P189-Components!$D$6)/Components!$E$6)</f>
        <v/>
      </c>
      <c r="V189" s="67">
        <f>IF(G189="","",ABS(P189-Components!$D$7)/Components!$E$7)</f>
        <v/>
      </c>
      <c r="W189" s="61">
        <f>IF(G189="","",IF(N189="OK","NONE",INDEX({"S1","S2","W1","W2","N1","N2"},MATCH(MIN(Q189:V189),Q189:V189,0))))</f>
        <v/>
      </c>
      <c r="X189" s="69">
        <f>IF(G189="","",IF(W189=E189,1,0))</f>
        <v/>
      </c>
      <c r="Y189" s="70" t="n"/>
    </row>
    <row r="190">
      <c r="A190" s="61" t="n">
        <v>46.6</v>
      </c>
      <c r="B190" s="62" t="n">
        <v>59.1</v>
      </c>
      <c r="C190" s="61" t="inlineStr">
        <is>
          <t>R4</t>
        </is>
      </c>
      <c r="D190" s="74" t="inlineStr">
        <is>
          <t>NG</t>
        </is>
      </c>
      <c r="E190" s="61" t="inlineStr">
        <is>
          <t>W1</t>
        </is>
      </c>
      <c r="F190" s="61" t="inlineStr">
        <is>
          <t>K032</t>
        </is>
      </c>
      <c r="G190" s="75" t="n">
        <v>7.89</v>
      </c>
      <c r="H190" s="65" t="n"/>
      <c r="I190" s="66" t="n"/>
      <c r="J190" s="67">
        <f>VLOOKUP(C190,Recipes!$A$2:$N$4,10,FALSE())</f>
        <v/>
      </c>
      <c r="K190" s="68">
        <f>VLOOKUP(C190,Recipes!$A$2:$N$4,12,FALSE())</f>
        <v/>
      </c>
      <c r="L190" s="67">
        <f>J190-6*K190</f>
        <v/>
      </c>
      <c r="M190" s="67">
        <f>J190+6*K190</f>
        <v/>
      </c>
      <c r="N190" s="61">
        <f>IF(G190="","",IF(AND(G190&gt;=L190,G190&lt;=M190),"OK","NG"))</f>
        <v/>
      </c>
      <c r="O190" s="69">
        <f>IF(N190="","",IF(N190=D190,1,0))</f>
        <v/>
      </c>
      <c r="P190" s="67">
        <f>IF(G190="","",J190-G190)</f>
        <v/>
      </c>
      <c r="Q190" s="67">
        <f>IF(G190="","",ABS(P190-Components!$D$2)/Components!$E$2)</f>
        <v/>
      </c>
      <c r="R190" s="67">
        <f>IF(G190="","",ABS(P190-Components!$D$3)/Components!$E$3)</f>
        <v/>
      </c>
      <c r="S190" s="67">
        <f>IF(G190="","",ABS(P190-Components!$D$4)/Components!$E$4)</f>
        <v/>
      </c>
      <c r="T190" s="67">
        <f>IF(G190="","",ABS(P190-Components!$D$5)/Components!$E$5)</f>
        <v/>
      </c>
      <c r="U190" s="67">
        <f>IF(G190="","",ABS(P190-Components!$D$6)/Components!$E$6)</f>
        <v/>
      </c>
      <c r="V190" s="67">
        <f>IF(G190="","",ABS(P190-Components!$D$7)/Components!$E$7)</f>
        <v/>
      </c>
      <c r="W190" s="61">
        <f>IF(G190="","",IF(N190="OK","NONE",INDEX({"S1","S2","W1","W2","N1","N2"},MATCH(MIN(Q190:V190),Q190:V190,0))))</f>
        <v/>
      </c>
      <c r="X190" s="71">
        <f>IF(G190="","",IF(W190=E190,1,0))</f>
        <v/>
      </c>
      <c r="Y190" s="70" t="n"/>
    </row>
    <row r="191">
      <c r="A191" s="61" t="n">
        <v>49.2</v>
      </c>
      <c r="B191" s="62" t="n">
        <v>64.40000000000001</v>
      </c>
      <c r="C191" s="61" t="inlineStr">
        <is>
          <t>R4</t>
        </is>
      </c>
      <c r="D191" s="74" t="inlineStr">
        <is>
          <t>NG</t>
        </is>
      </c>
      <c r="E191" s="61" t="inlineStr">
        <is>
          <t>W1</t>
        </is>
      </c>
      <c r="F191" s="61" t="inlineStr">
        <is>
          <t>K033</t>
        </is>
      </c>
      <c r="G191" s="75" t="n">
        <v>7.91</v>
      </c>
      <c r="H191" s="65" t="n"/>
      <c r="I191" s="66" t="n"/>
      <c r="J191" s="67">
        <f>VLOOKUP(C191,Recipes!$A$2:$N$4,10,FALSE())</f>
        <v/>
      </c>
      <c r="K191" s="68">
        <f>VLOOKUP(C191,Recipes!$A$2:$N$4,12,FALSE())</f>
        <v/>
      </c>
      <c r="L191" s="67">
        <f>J191-6*K191</f>
        <v/>
      </c>
      <c r="M191" s="67">
        <f>J191+6*K191</f>
        <v/>
      </c>
      <c r="N191" s="61">
        <f>IF(G191="","",IF(AND(G191&gt;=L191,G191&lt;=M191),"OK","NG"))</f>
        <v/>
      </c>
      <c r="O191" s="69">
        <f>IF(N191="","",IF(N191=D191,1,0))</f>
        <v/>
      </c>
      <c r="P191" s="67">
        <f>IF(G191="","",J191-G191)</f>
        <v/>
      </c>
      <c r="Q191" s="67">
        <f>IF(G191="","",ABS(P191-Components!$D$2)/Components!$E$2)</f>
        <v/>
      </c>
      <c r="R191" s="67">
        <f>IF(G191="","",ABS(P191-Components!$D$3)/Components!$E$3)</f>
        <v/>
      </c>
      <c r="S191" s="67">
        <f>IF(G191="","",ABS(P191-Components!$D$4)/Components!$E$4)</f>
        <v/>
      </c>
      <c r="T191" s="67">
        <f>IF(G191="","",ABS(P191-Components!$D$5)/Components!$E$5)</f>
        <v/>
      </c>
      <c r="U191" s="67">
        <f>IF(G191="","",ABS(P191-Components!$D$6)/Components!$E$6)</f>
        <v/>
      </c>
      <c r="V191" s="67">
        <f>IF(G191="","",ABS(P191-Components!$D$7)/Components!$E$7)</f>
        <v/>
      </c>
      <c r="W191" s="61">
        <f>IF(G191="","",IF(N191="OK","NONE",INDEX({"S1","S2","W1","W2","N1","N2"},MATCH(MIN(Q191:V191),Q191:V191,0))))</f>
        <v/>
      </c>
      <c r="X191" s="69">
        <f>IF(G191="","",IF(W191=E191,1,0))</f>
        <v/>
      </c>
      <c r="Y191" s="70" t="n"/>
    </row>
    <row r="192">
      <c r="A192" s="76" t="n">
        <v>51.8</v>
      </c>
      <c r="B192" s="77" t="n">
        <v>69.7</v>
      </c>
      <c r="C192" s="76" t="inlineStr">
        <is>
          <t>R4</t>
        </is>
      </c>
      <c r="D192" s="78" t="inlineStr">
        <is>
          <t>NG</t>
        </is>
      </c>
      <c r="E192" s="76" t="inlineStr">
        <is>
          <t>W1</t>
        </is>
      </c>
      <c r="F192" s="76" t="inlineStr">
        <is>
          <t>K042</t>
        </is>
      </c>
      <c r="G192" s="75" t="n">
        <v>7.95</v>
      </c>
      <c r="H192" s="65" t="n"/>
      <c r="I192" s="66" t="n"/>
      <c r="J192" s="67">
        <f>VLOOKUP(C192,Recipes!$A$2:$N$4,10,FALSE())</f>
        <v/>
      </c>
      <c r="K192" s="68">
        <f>VLOOKUP(C192,Recipes!$A$2:$N$4,12,FALSE())</f>
        <v/>
      </c>
      <c r="L192" s="67">
        <f>J192-6*K192</f>
        <v/>
      </c>
      <c r="M192" s="67">
        <f>J192+6*K192</f>
        <v/>
      </c>
      <c r="N192" s="61">
        <f>IF(G192="","",IF(AND(G192&gt;=L192,G192&lt;=M192),"OK","NG"))</f>
        <v/>
      </c>
      <c r="O192" s="69">
        <f>IF(N192="","",IF(N192=D192,1,0))</f>
        <v/>
      </c>
      <c r="P192" s="67">
        <f>IF(G192="","",J192-G192)</f>
        <v/>
      </c>
      <c r="Q192" s="67">
        <f>IF(G192="","",ABS(P192-Components!$D$2)/Components!$E$2)</f>
        <v/>
      </c>
      <c r="R192" s="67">
        <f>IF(G192="","",ABS(P192-Components!$D$3)/Components!$E$3)</f>
        <v/>
      </c>
      <c r="S192" s="67">
        <f>IF(G192="","",ABS(P192-Components!$D$4)/Components!$E$4)</f>
        <v/>
      </c>
      <c r="T192" s="67">
        <f>IF(G192="","",ABS(P192-Components!$D$5)/Components!$E$5)</f>
        <v/>
      </c>
      <c r="U192" s="67">
        <f>IF(G192="","",ABS(P192-Components!$D$6)/Components!$E$6)</f>
        <v/>
      </c>
      <c r="V192" s="67">
        <f>IF(G192="","",ABS(P192-Components!$D$7)/Components!$E$7)</f>
        <v/>
      </c>
      <c r="W192" s="61">
        <f>IF(G192="","",IF(N192="OK","NONE",INDEX({"S1","S2","W1","W2","N1","N2"},MATCH(MIN(Q192:V192),Q192:V192,0))))</f>
        <v/>
      </c>
      <c r="X192" s="69">
        <f>IF(G192="","",IF(W192=E192,1,0))</f>
        <v/>
      </c>
      <c r="Y192" s="70" t="n"/>
    </row>
    <row r="193">
      <c r="A193" s="61" t="n">
        <v>54.4</v>
      </c>
      <c r="B193" s="62" t="n">
        <v>75</v>
      </c>
      <c r="C193" s="61" t="inlineStr">
        <is>
          <t>R4</t>
        </is>
      </c>
      <c r="D193" s="74" t="inlineStr">
        <is>
          <t>NG</t>
        </is>
      </c>
      <c r="E193" s="61" t="inlineStr">
        <is>
          <t>W1</t>
        </is>
      </c>
      <c r="F193" s="61" t="inlineStr">
        <is>
          <t>K030</t>
        </is>
      </c>
      <c r="G193" s="75" t="n">
        <v>7.95</v>
      </c>
      <c r="H193" s="65" t="n"/>
      <c r="I193" s="66" t="n"/>
      <c r="J193" s="67">
        <f>VLOOKUP(C193,Recipes!$A$2:$N$4,10,FALSE())</f>
        <v/>
      </c>
      <c r="K193" s="68">
        <f>VLOOKUP(C193,Recipes!$A$2:$N$4,12,FALSE())</f>
        <v/>
      </c>
      <c r="L193" s="67">
        <f>J193-6*K193</f>
        <v/>
      </c>
      <c r="M193" s="67">
        <f>J193+6*K193</f>
        <v/>
      </c>
      <c r="N193" s="61">
        <f>IF(G193="","",IF(AND(G193&gt;=L193,G193&lt;=M193),"OK","NG"))</f>
        <v/>
      </c>
      <c r="O193" s="69">
        <f>IF(N193="","",IF(N193=D193,1,0))</f>
        <v/>
      </c>
      <c r="P193" s="67">
        <f>IF(G193="","",J193-G193)</f>
        <v/>
      </c>
      <c r="Q193" s="67">
        <f>IF(G193="","",ABS(P193-Components!$D$2)/Components!$E$2)</f>
        <v/>
      </c>
      <c r="R193" s="67">
        <f>IF(G193="","",ABS(P193-Components!$D$3)/Components!$E$3)</f>
        <v/>
      </c>
      <c r="S193" s="67">
        <f>IF(G193="","",ABS(P193-Components!$D$4)/Components!$E$4)</f>
        <v/>
      </c>
      <c r="T193" s="67">
        <f>IF(G193="","",ABS(P193-Components!$D$5)/Components!$E$5)</f>
        <v/>
      </c>
      <c r="U193" s="67">
        <f>IF(G193="","",ABS(P193-Components!$D$6)/Components!$E$6)</f>
        <v/>
      </c>
      <c r="V193" s="67">
        <f>IF(G193="","",ABS(P193-Components!$D$7)/Components!$E$7)</f>
        <v/>
      </c>
      <c r="W193" s="61">
        <f>IF(G193="","",IF(N193="OK","NONE",INDEX({"S1","S2","W1","W2","N1","N2"},MATCH(MIN(Q193:V193),Q193:V193,0))))</f>
        <v/>
      </c>
      <c r="X193" s="69">
        <f>IF(G193="","",IF(W193=E193,1,0))</f>
        <v/>
      </c>
      <c r="Y193" s="70" t="n"/>
    </row>
    <row r="194">
      <c r="A194" s="61" t="n">
        <v>57</v>
      </c>
      <c r="B194" s="62" t="n">
        <v>80.3</v>
      </c>
      <c r="C194" s="61" t="inlineStr">
        <is>
          <t>R4</t>
        </is>
      </c>
      <c r="D194" s="74" t="inlineStr">
        <is>
          <t>NG</t>
        </is>
      </c>
      <c r="E194" s="61" t="inlineStr">
        <is>
          <t>W1</t>
        </is>
      </c>
      <c r="F194" s="61" t="inlineStr">
        <is>
          <t>K031</t>
        </is>
      </c>
      <c r="G194" s="75" t="n">
        <v>7.9</v>
      </c>
      <c r="H194" s="65" t="n"/>
      <c r="I194" s="66" t="n"/>
      <c r="J194" s="67">
        <f>VLOOKUP(C194,Recipes!$A$2:$N$4,10,FALSE())</f>
        <v/>
      </c>
      <c r="K194" s="68">
        <f>VLOOKUP(C194,Recipes!$A$2:$N$4,12,FALSE())</f>
        <v/>
      </c>
      <c r="L194" s="67">
        <f>J194-6*K194</f>
        <v/>
      </c>
      <c r="M194" s="67">
        <f>J194+6*K194</f>
        <v/>
      </c>
      <c r="N194" s="61">
        <f>IF(G194="","",IF(AND(G194&gt;=L194,G194&lt;=M194),"OK","NG"))</f>
        <v/>
      </c>
      <c r="O194" s="69">
        <f>IF(N194="","",IF(N194=D194,1,0))</f>
        <v/>
      </c>
      <c r="P194" s="67">
        <f>IF(G194="","",J194-G194)</f>
        <v/>
      </c>
      <c r="Q194" s="67">
        <f>IF(G194="","",ABS(P194-Components!$D$2)/Components!$E$2)</f>
        <v/>
      </c>
      <c r="R194" s="67">
        <f>IF(G194="","",ABS(P194-Components!$D$3)/Components!$E$3)</f>
        <v/>
      </c>
      <c r="S194" s="67">
        <f>IF(G194="","",ABS(P194-Components!$D$4)/Components!$E$4)</f>
        <v/>
      </c>
      <c r="T194" s="67">
        <f>IF(G194="","",ABS(P194-Components!$D$5)/Components!$E$5)</f>
        <v/>
      </c>
      <c r="U194" s="67">
        <f>IF(G194="","",ABS(P194-Components!$D$6)/Components!$E$6)</f>
        <v/>
      </c>
      <c r="V194" s="67">
        <f>IF(G194="","",ABS(P194-Components!$D$7)/Components!$E$7)</f>
        <v/>
      </c>
      <c r="W194" s="61">
        <f>IF(G194="","",IF(N194="OK","NONE",INDEX({"S1","S2","W1","W2","N1","N2"},MATCH(MIN(Q194:V194),Q194:V194,0))))</f>
        <v/>
      </c>
      <c r="X194" s="69">
        <f>IF(G194="","",IF(W194=E194,1,0))</f>
        <v/>
      </c>
      <c r="Y194" s="70" t="n"/>
    </row>
    <row r="195">
      <c r="A195" s="61" t="n">
        <v>59.6</v>
      </c>
      <c r="B195" s="62" t="n">
        <v>85.59999999999999</v>
      </c>
      <c r="C195" s="61" t="inlineStr">
        <is>
          <t>R4</t>
        </is>
      </c>
      <c r="D195" s="74" t="inlineStr">
        <is>
          <t>NG</t>
        </is>
      </c>
      <c r="E195" s="61" t="inlineStr">
        <is>
          <t>W1</t>
        </is>
      </c>
      <c r="F195" s="61" t="inlineStr">
        <is>
          <t>K032</t>
        </is>
      </c>
      <c r="G195" s="75" t="n">
        <v>7.91</v>
      </c>
      <c r="H195" s="65" t="n"/>
      <c r="I195" s="66" t="n"/>
      <c r="J195" s="67">
        <f>VLOOKUP(C195,Recipes!$A$2:$N$4,10,FALSE())</f>
        <v/>
      </c>
      <c r="K195" s="68">
        <f>VLOOKUP(C195,Recipes!$A$2:$N$4,12,FALSE())</f>
        <v/>
      </c>
      <c r="L195" s="67">
        <f>J195-6*K195</f>
        <v/>
      </c>
      <c r="M195" s="67">
        <f>J195+6*K195</f>
        <v/>
      </c>
      <c r="N195" s="61">
        <f>IF(G195="","",IF(AND(G195&gt;=L195,G195&lt;=M195),"OK","NG"))</f>
        <v/>
      </c>
      <c r="O195" s="69">
        <f>IF(N195="","",IF(N195=D195,1,0))</f>
        <v/>
      </c>
      <c r="P195" s="67">
        <f>IF(G195="","",J195-G195)</f>
        <v/>
      </c>
      <c r="Q195" s="67">
        <f>IF(G195="","",ABS(P195-Components!$D$2)/Components!$E$2)</f>
        <v/>
      </c>
      <c r="R195" s="67">
        <f>IF(G195="","",ABS(P195-Components!$D$3)/Components!$E$3)</f>
        <v/>
      </c>
      <c r="S195" s="67">
        <f>IF(G195="","",ABS(P195-Components!$D$4)/Components!$E$4)</f>
        <v/>
      </c>
      <c r="T195" s="67">
        <f>IF(G195="","",ABS(P195-Components!$D$5)/Components!$E$5)</f>
        <v/>
      </c>
      <c r="U195" s="67">
        <f>IF(G195="","",ABS(P195-Components!$D$6)/Components!$E$6)</f>
        <v/>
      </c>
      <c r="V195" s="67">
        <f>IF(G195="","",ABS(P195-Components!$D$7)/Components!$E$7)</f>
        <v/>
      </c>
      <c r="W195" s="61">
        <f>IF(G195="","",IF(N195="OK","NONE",INDEX({"S1","S2","W1","W2","N1","N2"},MATCH(MIN(Q195:V195),Q195:V195,0))))</f>
        <v/>
      </c>
      <c r="X195" s="69">
        <f>IF(G195="","",IF(W195=E195,1,0))</f>
        <v/>
      </c>
      <c r="Y195" s="70" t="n"/>
    </row>
    <row r="196">
      <c r="A196" s="61" t="n">
        <v>62.2</v>
      </c>
      <c r="B196" s="62" t="n">
        <v>90.90000000000001</v>
      </c>
      <c r="C196" s="61" t="inlineStr">
        <is>
          <t>R4</t>
        </is>
      </c>
      <c r="D196" s="74" t="inlineStr">
        <is>
          <t>NG</t>
        </is>
      </c>
      <c r="E196" s="61" t="inlineStr">
        <is>
          <t>W1</t>
        </is>
      </c>
      <c r="F196" s="61" t="inlineStr">
        <is>
          <t>K033</t>
        </is>
      </c>
      <c r="G196" s="75" t="n">
        <v>7.98</v>
      </c>
      <c r="H196" s="65" t="n"/>
      <c r="I196" s="66" t="n"/>
      <c r="J196" s="67">
        <f>VLOOKUP(C196,Recipes!$A$2:$N$4,10,FALSE())</f>
        <v/>
      </c>
      <c r="K196" s="68">
        <f>VLOOKUP(C196,Recipes!$A$2:$N$4,12,FALSE())</f>
        <v/>
      </c>
      <c r="L196" s="67">
        <f>J196-6*K196</f>
        <v/>
      </c>
      <c r="M196" s="67">
        <f>J196+6*K196</f>
        <v/>
      </c>
      <c r="N196" s="61">
        <f>IF(G196="","",IF(AND(G196&gt;=L196,G196&lt;=M196),"OK","NG"))</f>
        <v/>
      </c>
      <c r="O196" s="69">
        <f>IF(N196="","",IF(N196=D196,1,0))</f>
        <v/>
      </c>
      <c r="P196" s="67">
        <f>IF(G196="","",J196-G196)</f>
        <v/>
      </c>
      <c r="Q196" s="67">
        <f>IF(G196="","",ABS(P196-Components!$D$2)/Components!$E$2)</f>
        <v/>
      </c>
      <c r="R196" s="67">
        <f>IF(G196="","",ABS(P196-Components!$D$3)/Components!$E$3)</f>
        <v/>
      </c>
      <c r="S196" s="67">
        <f>IF(G196="","",ABS(P196-Components!$D$4)/Components!$E$4)</f>
        <v/>
      </c>
      <c r="T196" s="67">
        <f>IF(G196="","",ABS(P196-Components!$D$5)/Components!$E$5)</f>
        <v/>
      </c>
      <c r="U196" s="67">
        <f>IF(G196="","",ABS(P196-Components!$D$6)/Components!$E$6)</f>
        <v/>
      </c>
      <c r="V196" s="67">
        <f>IF(G196="","",ABS(P196-Components!$D$7)/Components!$E$7)</f>
        <v/>
      </c>
      <c r="W196" s="61">
        <f>IF(G196="","",IF(N196="OK","NONE",INDEX({"S1","S2","W1","W2","N1","N2"},MATCH(MIN(Q196:V196),Q196:V196,0))))</f>
        <v/>
      </c>
      <c r="X196" s="69">
        <f>IF(G196="","",IF(W196=E196,1,0))</f>
        <v/>
      </c>
      <c r="Y196" s="70" t="n"/>
    </row>
    <row r="197">
      <c r="A197" s="76" t="n">
        <v>64.8</v>
      </c>
      <c r="B197" s="77" t="n">
        <v>96.2</v>
      </c>
      <c r="C197" s="76" t="inlineStr">
        <is>
          <t>R4</t>
        </is>
      </c>
      <c r="D197" s="78" t="inlineStr">
        <is>
          <t>NG</t>
        </is>
      </c>
      <c r="E197" s="76" t="inlineStr">
        <is>
          <t>W1</t>
        </is>
      </c>
      <c r="F197" s="76" t="inlineStr">
        <is>
          <t>K042</t>
        </is>
      </c>
      <c r="G197" s="75" t="n">
        <v>7.95</v>
      </c>
      <c r="H197" s="65" t="n"/>
      <c r="I197" s="66" t="n"/>
      <c r="J197" s="67">
        <f>VLOOKUP(C197,Recipes!$A$2:$N$4,10,FALSE())</f>
        <v/>
      </c>
      <c r="K197" s="68">
        <f>VLOOKUP(C197,Recipes!$A$2:$N$4,12,FALSE())</f>
        <v/>
      </c>
      <c r="L197" s="67">
        <f>J197-6*K197</f>
        <v/>
      </c>
      <c r="M197" s="67">
        <f>J197+6*K197</f>
        <v/>
      </c>
      <c r="N197" s="61">
        <f>IF(G197="","",IF(AND(G197&gt;=L197,G197&lt;=M197),"OK","NG"))</f>
        <v/>
      </c>
      <c r="O197" s="69">
        <f>IF(N197="","",IF(N197=D197,1,0))</f>
        <v/>
      </c>
      <c r="P197" s="67">
        <f>IF(G197="","",J197-G197)</f>
        <v/>
      </c>
      <c r="Q197" s="67">
        <f>IF(G197="","",ABS(P197-Components!$D$2)/Components!$E$2)</f>
        <v/>
      </c>
      <c r="R197" s="67">
        <f>IF(G197="","",ABS(P197-Components!$D$3)/Components!$E$3)</f>
        <v/>
      </c>
      <c r="S197" s="67">
        <f>IF(G197="","",ABS(P197-Components!$D$4)/Components!$E$4)</f>
        <v/>
      </c>
      <c r="T197" s="67">
        <f>IF(G197="","",ABS(P197-Components!$D$5)/Components!$E$5)</f>
        <v/>
      </c>
      <c r="U197" s="67">
        <f>IF(G197="","",ABS(P197-Components!$D$6)/Components!$E$6)</f>
        <v/>
      </c>
      <c r="V197" s="67">
        <f>IF(G197="","",ABS(P197-Components!$D$7)/Components!$E$7)</f>
        <v/>
      </c>
      <c r="W197" s="61">
        <f>IF(G197="","",IF(N197="OK","NONE",INDEX({"S1","S2","W1","W2","N1","N2"},MATCH(MIN(Q197:V197),Q197:V197,0))))</f>
        <v/>
      </c>
      <c r="X197" s="69">
        <f>IF(G197="","",IF(W197=E197,1,0))</f>
        <v/>
      </c>
      <c r="Y197" s="70" t="n"/>
    </row>
    <row r="198">
      <c r="A198" s="61" t="n">
        <v>67.40000000000001</v>
      </c>
      <c r="B198" s="62" t="n">
        <v>101.5</v>
      </c>
      <c r="C198" s="61" t="inlineStr">
        <is>
          <t>R4</t>
        </is>
      </c>
      <c r="D198" s="74" t="inlineStr">
        <is>
          <t>NG</t>
        </is>
      </c>
      <c r="E198" s="61" t="inlineStr">
        <is>
          <t>W1</t>
        </is>
      </c>
      <c r="F198" s="61" t="inlineStr">
        <is>
          <t>K030</t>
        </is>
      </c>
      <c r="G198" s="75" t="n">
        <v>7.964</v>
      </c>
      <c r="H198" s="65" t="n"/>
      <c r="I198" s="66" t="n"/>
      <c r="J198" s="67">
        <f>VLOOKUP(C198,Recipes!$A$2:$N$4,10,FALSE())</f>
        <v/>
      </c>
      <c r="K198" s="68">
        <f>VLOOKUP(C198,Recipes!$A$2:$N$4,12,FALSE())</f>
        <v/>
      </c>
      <c r="L198" s="67">
        <f>J198-6*K198</f>
        <v/>
      </c>
      <c r="M198" s="67">
        <f>J198+6*K198</f>
        <v/>
      </c>
      <c r="N198" s="61">
        <f>IF(G198="","",IF(AND(G198&gt;=L198,G198&lt;=M198),"OK","NG"))</f>
        <v/>
      </c>
      <c r="O198" s="69">
        <f>IF(N198="","",IF(N198=D198,1,0))</f>
        <v/>
      </c>
      <c r="P198" s="67">
        <f>IF(G198="","",J198-G198)</f>
        <v/>
      </c>
      <c r="Q198" s="67">
        <f>IF(G198="","",ABS(P198-Components!$D$2)/Components!$E$2)</f>
        <v/>
      </c>
      <c r="R198" s="67">
        <f>IF(G198="","",ABS(P198-Components!$D$3)/Components!$E$3)</f>
        <v/>
      </c>
      <c r="S198" s="67">
        <f>IF(G198="","",ABS(P198-Components!$D$4)/Components!$E$4)</f>
        <v/>
      </c>
      <c r="T198" s="67">
        <f>IF(G198="","",ABS(P198-Components!$D$5)/Components!$E$5)</f>
        <v/>
      </c>
      <c r="U198" s="67">
        <f>IF(G198="","",ABS(P198-Components!$D$6)/Components!$E$6)</f>
        <v/>
      </c>
      <c r="V198" s="67">
        <f>IF(G198="","",ABS(P198-Components!$D$7)/Components!$E$7)</f>
        <v/>
      </c>
      <c r="W198" s="61">
        <f>IF(G198="","",IF(N198="OK","NONE",INDEX({"S1","S2","W1","W2","N1","N2"},MATCH(MIN(Q198:V198),Q198:V198,0))))</f>
        <v/>
      </c>
      <c r="X198" s="69">
        <f>IF(G198="","",IF(W198=E198,1,0))</f>
        <v/>
      </c>
      <c r="Y198" s="70" t="n"/>
    </row>
    <row r="199">
      <c r="A199" s="61" t="n">
        <v>70</v>
      </c>
      <c r="B199" s="62" t="n">
        <v>106.8</v>
      </c>
      <c r="C199" s="61" t="inlineStr">
        <is>
          <t>R4</t>
        </is>
      </c>
      <c r="D199" s="74" t="inlineStr">
        <is>
          <t>NG</t>
        </is>
      </c>
      <c r="E199" s="61" t="inlineStr">
        <is>
          <t>W1</t>
        </is>
      </c>
      <c r="F199" s="61" t="inlineStr">
        <is>
          <t>K031</t>
        </is>
      </c>
      <c r="G199" s="75" t="n">
        <v>7.97</v>
      </c>
      <c r="H199" s="65" t="n"/>
      <c r="I199" s="66" t="n"/>
      <c r="J199" s="67">
        <f>VLOOKUP(C199,Recipes!$A$2:$N$4,10,FALSE())</f>
        <v/>
      </c>
      <c r="K199" s="68">
        <f>VLOOKUP(C199,Recipes!$A$2:$N$4,12,FALSE())</f>
        <v/>
      </c>
      <c r="L199" s="67">
        <f>J199-6*K199</f>
        <v/>
      </c>
      <c r="M199" s="67">
        <f>J199+6*K199</f>
        <v/>
      </c>
      <c r="N199" s="61">
        <f>IF(G199="","",IF(AND(G199&gt;=L199,G199&lt;=M199),"OK","NG"))</f>
        <v/>
      </c>
      <c r="O199" s="69">
        <f>IF(N199="","",IF(N199=D199,1,0))</f>
        <v/>
      </c>
      <c r="P199" s="67">
        <f>IF(G199="","",J199-G199)</f>
        <v/>
      </c>
      <c r="Q199" s="67">
        <f>IF(G199="","",ABS(P199-Components!$D$2)/Components!$E$2)</f>
        <v/>
      </c>
      <c r="R199" s="67">
        <f>IF(G199="","",ABS(P199-Components!$D$3)/Components!$E$3)</f>
        <v/>
      </c>
      <c r="S199" s="67">
        <f>IF(G199="","",ABS(P199-Components!$D$4)/Components!$E$4)</f>
        <v/>
      </c>
      <c r="T199" s="67">
        <f>IF(G199="","",ABS(P199-Components!$D$5)/Components!$E$5)</f>
        <v/>
      </c>
      <c r="U199" s="67">
        <f>IF(G199="","",ABS(P199-Components!$D$6)/Components!$E$6)</f>
        <v/>
      </c>
      <c r="V199" s="67">
        <f>IF(G199="","",ABS(P199-Components!$D$7)/Components!$E$7)</f>
        <v/>
      </c>
      <c r="W199" s="61">
        <f>IF(G199="","",IF(N199="OK","NONE",INDEX({"S1","S2","W1","W2","N1","N2"},MATCH(MIN(Q199:V199),Q199:V199,0))))</f>
        <v/>
      </c>
      <c r="X199" s="69">
        <f>IF(G199="","",IF(W199=E199,1,0))</f>
        <v/>
      </c>
      <c r="Y199" s="70" t="n"/>
    </row>
    <row r="200">
      <c r="A200" s="61" t="n">
        <v>72.59999999999999</v>
      </c>
      <c r="B200" s="62" t="n">
        <v>112.1</v>
      </c>
      <c r="C200" s="61" t="inlineStr">
        <is>
          <t>R4</t>
        </is>
      </c>
      <c r="D200" s="74" t="inlineStr">
        <is>
          <t>NG</t>
        </is>
      </c>
      <c r="E200" s="61" t="inlineStr">
        <is>
          <t>W1</t>
        </is>
      </c>
      <c r="F200" s="61" t="inlineStr">
        <is>
          <t>K032</t>
        </is>
      </c>
      <c r="G200" s="75" t="n">
        <v>7.91</v>
      </c>
      <c r="H200" s="65" t="n"/>
      <c r="I200" s="66" t="n"/>
      <c r="J200" s="67">
        <f>VLOOKUP(C200,Recipes!$A$2:$N$4,10,FALSE())</f>
        <v/>
      </c>
      <c r="K200" s="68">
        <f>VLOOKUP(C200,Recipes!$A$2:$N$4,12,FALSE())</f>
        <v/>
      </c>
      <c r="L200" s="67">
        <f>J200-6*K200</f>
        <v/>
      </c>
      <c r="M200" s="67">
        <f>J200+6*K200</f>
        <v/>
      </c>
      <c r="N200" s="61">
        <f>IF(G200="","",IF(AND(G200&gt;=L200,G200&lt;=M200),"OK","NG"))</f>
        <v/>
      </c>
      <c r="O200" s="69">
        <f>IF(N200="","",IF(N200=D200,1,0))</f>
        <v/>
      </c>
      <c r="P200" s="67">
        <f>IF(G200="","",J200-G200)</f>
        <v/>
      </c>
      <c r="Q200" s="67">
        <f>IF(G200="","",ABS(P200-Components!$D$2)/Components!$E$2)</f>
        <v/>
      </c>
      <c r="R200" s="67">
        <f>IF(G200="","",ABS(P200-Components!$D$3)/Components!$E$3)</f>
        <v/>
      </c>
      <c r="S200" s="67">
        <f>IF(G200="","",ABS(P200-Components!$D$4)/Components!$E$4)</f>
        <v/>
      </c>
      <c r="T200" s="67">
        <f>IF(G200="","",ABS(P200-Components!$D$5)/Components!$E$5)</f>
        <v/>
      </c>
      <c r="U200" s="67">
        <f>IF(G200="","",ABS(P200-Components!$D$6)/Components!$E$6)</f>
        <v/>
      </c>
      <c r="V200" s="67">
        <f>IF(G200="","",ABS(P200-Components!$D$7)/Components!$E$7)</f>
        <v/>
      </c>
      <c r="W200" s="61">
        <f>IF(G200="","",IF(N200="OK","NONE",INDEX({"S1","S2","W1","W2","N1","N2"},MATCH(MIN(Q200:V200),Q200:V200,0))))</f>
        <v/>
      </c>
      <c r="X200" s="69">
        <f>IF(G200="","",IF(W200=E200,1,0))</f>
        <v/>
      </c>
      <c r="Y200" s="70" t="n"/>
    </row>
    <row r="201">
      <c r="A201" s="61" t="n">
        <v>75.2</v>
      </c>
      <c r="B201" s="62" t="n">
        <v>117.4</v>
      </c>
      <c r="C201" s="61" t="inlineStr">
        <is>
          <t>R4</t>
        </is>
      </c>
      <c r="D201" s="74" t="inlineStr">
        <is>
          <t>NG</t>
        </is>
      </c>
      <c r="E201" s="61" t="inlineStr">
        <is>
          <t>W1</t>
        </is>
      </c>
      <c r="F201" s="61" t="inlineStr">
        <is>
          <t>K033</t>
        </is>
      </c>
      <c r="G201" s="75" t="n">
        <v>7.93</v>
      </c>
      <c r="H201" s="65" t="n"/>
      <c r="I201" s="66" t="n"/>
      <c r="J201" s="67">
        <f>VLOOKUP(C201,Recipes!$A$2:$N$4,10,FALSE())</f>
        <v/>
      </c>
      <c r="K201" s="68">
        <f>VLOOKUP(C201,Recipes!$A$2:$N$4,12,FALSE())</f>
        <v/>
      </c>
      <c r="L201" s="67">
        <f>J201-6*K201</f>
        <v/>
      </c>
      <c r="M201" s="67">
        <f>J201+6*K201</f>
        <v/>
      </c>
      <c r="N201" s="61">
        <f>IF(G201="","",IF(AND(G201&gt;=L201,G201&lt;=M201),"OK","NG"))</f>
        <v/>
      </c>
      <c r="O201" s="69">
        <f>IF(N201="","",IF(N201=D201,1,0))</f>
        <v/>
      </c>
      <c r="P201" s="67">
        <f>IF(G201="","",J201-G201)</f>
        <v/>
      </c>
      <c r="Q201" s="67">
        <f>IF(G201="","",ABS(P201-Components!$D$2)/Components!$E$2)</f>
        <v/>
      </c>
      <c r="R201" s="67">
        <f>IF(G201="","",ABS(P201-Components!$D$3)/Components!$E$3)</f>
        <v/>
      </c>
      <c r="S201" s="67">
        <f>IF(G201="","",ABS(P201-Components!$D$4)/Components!$E$4)</f>
        <v/>
      </c>
      <c r="T201" s="67">
        <f>IF(G201="","",ABS(P201-Components!$D$5)/Components!$E$5)</f>
        <v/>
      </c>
      <c r="U201" s="67">
        <f>IF(G201="","",ABS(P201-Components!$D$6)/Components!$E$6)</f>
        <v/>
      </c>
      <c r="V201" s="67">
        <f>IF(G201="","",ABS(P201-Components!$D$7)/Components!$E$7)</f>
        <v/>
      </c>
      <c r="W201" s="61">
        <f>IF(G201="","",IF(N201="OK","NONE",INDEX({"S1","S2","W1","W2","N1","N2"},MATCH(MIN(Q201:V201),Q201:V201,0))))</f>
        <v/>
      </c>
      <c r="X201" s="69">
        <f>IF(G201="","",IF(W201=E201,1,0))</f>
        <v/>
      </c>
      <c r="Y201" s="70" t="n"/>
    </row>
    <row r="202">
      <c r="A202" s="76" t="n">
        <v>77.8</v>
      </c>
      <c r="B202" s="77" t="n">
        <v>122.7</v>
      </c>
      <c r="C202" s="76" t="inlineStr">
        <is>
          <t>R4</t>
        </is>
      </c>
      <c r="D202" s="78" t="inlineStr">
        <is>
          <t>NG</t>
        </is>
      </c>
      <c r="E202" s="76" t="inlineStr">
        <is>
          <t>W1</t>
        </is>
      </c>
      <c r="F202" s="76" t="inlineStr">
        <is>
          <t>K042</t>
        </is>
      </c>
      <c r="G202" s="75" t="n">
        <v>7.94</v>
      </c>
      <c r="H202" s="65" t="n"/>
      <c r="I202" s="66" t="n"/>
      <c r="J202" s="67">
        <f>VLOOKUP(C202,Recipes!$A$2:$N$4,10,FALSE())</f>
        <v/>
      </c>
      <c r="K202" s="68">
        <f>VLOOKUP(C202,Recipes!$A$2:$N$4,12,FALSE())</f>
        <v/>
      </c>
      <c r="L202" s="67">
        <f>J202-6*K202</f>
        <v/>
      </c>
      <c r="M202" s="67">
        <f>J202+6*K202</f>
        <v/>
      </c>
      <c r="N202" s="61">
        <f>IF(G202="","",IF(AND(G202&gt;=L202,G202&lt;=M202),"OK","NG"))</f>
        <v/>
      </c>
      <c r="O202" s="69">
        <f>IF(N202="","",IF(N202=D202,1,0))</f>
        <v/>
      </c>
      <c r="P202" s="67">
        <f>IF(G202="","",J202-G202)</f>
        <v/>
      </c>
      <c r="Q202" s="67">
        <f>IF(G202="","",ABS(P202-Components!$D$2)/Components!$E$2)</f>
        <v/>
      </c>
      <c r="R202" s="67">
        <f>IF(G202="","",ABS(P202-Components!$D$3)/Components!$E$3)</f>
        <v/>
      </c>
      <c r="S202" s="67">
        <f>IF(G202="","",ABS(P202-Components!$D$4)/Components!$E$4)</f>
        <v/>
      </c>
      <c r="T202" s="67">
        <f>IF(G202="","",ABS(P202-Components!$D$5)/Components!$E$5)</f>
        <v/>
      </c>
      <c r="U202" s="67">
        <f>IF(G202="","",ABS(P202-Components!$D$6)/Components!$E$6)</f>
        <v/>
      </c>
      <c r="V202" s="67">
        <f>IF(G202="","",ABS(P202-Components!$D$7)/Components!$E$7)</f>
        <v/>
      </c>
      <c r="W202" s="61">
        <f>IF(G202="","",IF(N202="OK","NONE",INDEX({"S1","S2","W1","W2","N1","N2"},MATCH(MIN(Q202:V202),Q202:V202,0))))</f>
        <v/>
      </c>
      <c r="X202" s="69">
        <f>IF(G202="","",IF(W202=E202,1,0))</f>
        <v/>
      </c>
      <c r="Y202" s="70" t="n"/>
    </row>
    <row r="203">
      <c r="A203" s="61" t="n">
        <v>80.40000000000001</v>
      </c>
      <c r="B203" s="62" t="n">
        <v>128</v>
      </c>
      <c r="C203" s="61" t="inlineStr">
        <is>
          <t>R4</t>
        </is>
      </c>
      <c r="D203" s="74" t="inlineStr">
        <is>
          <t>NG</t>
        </is>
      </c>
      <c r="E203" s="61" t="inlineStr">
        <is>
          <t>W1</t>
        </is>
      </c>
      <c r="F203" s="61" t="inlineStr">
        <is>
          <t>K030</t>
        </is>
      </c>
      <c r="G203" s="75" t="n">
        <v>7.89</v>
      </c>
      <c r="H203" s="65" t="n"/>
      <c r="I203" s="66" t="n"/>
      <c r="J203" s="67">
        <f>VLOOKUP(C203,Recipes!$A$2:$N$4,10,FALSE())</f>
        <v/>
      </c>
      <c r="K203" s="68">
        <f>VLOOKUP(C203,Recipes!$A$2:$N$4,12,FALSE())</f>
        <v/>
      </c>
      <c r="L203" s="67">
        <f>J203-6*K203</f>
        <v/>
      </c>
      <c r="M203" s="67">
        <f>J203+6*K203</f>
        <v/>
      </c>
      <c r="N203" s="61">
        <f>IF(G203="","",IF(AND(G203&gt;=L203,G203&lt;=M203),"OK","NG"))</f>
        <v/>
      </c>
      <c r="O203" s="69">
        <f>IF(N203="","",IF(N203=D203,1,0))</f>
        <v/>
      </c>
      <c r="P203" s="67">
        <f>IF(G203="","",J203-G203)</f>
        <v/>
      </c>
      <c r="Q203" s="67">
        <f>IF(G203="","",ABS(P203-Components!$D$2)/Components!$E$2)</f>
        <v/>
      </c>
      <c r="R203" s="67">
        <f>IF(G203="","",ABS(P203-Components!$D$3)/Components!$E$3)</f>
        <v/>
      </c>
      <c r="S203" s="67">
        <f>IF(G203="","",ABS(P203-Components!$D$4)/Components!$E$4)</f>
        <v/>
      </c>
      <c r="T203" s="67">
        <f>IF(G203="","",ABS(P203-Components!$D$5)/Components!$E$5)</f>
        <v/>
      </c>
      <c r="U203" s="67">
        <f>IF(G203="","",ABS(P203-Components!$D$6)/Components!$E$6)</f>
        <v/>
      </c>
      <c r="V203" s="67">
        <f>IF(G203="","",ABS(P203-Components!$D$7)/Components!$E$7)</f>
        <v/>
      </c>
      <c r="W203" s="61">
        <f>IF(G203="","",IF(N203="OK","NONE",INDEX({"S1","S2","W1","W2","N1","N2"},MATCH(MIN(Q203:V203),Q203:V203,0))))</f>
        <v/>
      </c>
      <c r="X203" s="71">
        <f>IF(G203="","",IF(W203=E203,1,0))</f>
        <v/>
      </c>
      <c r="Y203" s="70" t="n"/>
    </row>
    <row r="204">
      <c r="A204" s="61" t="n">
        <v>83</v>
      </c>
      <c r="B204" s="62" t="n">
        <v>133.3</v>
      </c>
      <c r="C204" s="61" t="inlineStr">
        <is>
          <t>R4</t>
        </is>
      </c>
      <c r="D204" s="74" t="inlineStr">
        <is>
          <t>NG</t>
        </is>
      </c>
      <c r="E204" s="61" t="inlineStr">
        <is>
          <t>W1</t>
        </is>
      </c>
      <c r="F204" s="61" t="inlineStr">
        <is>
          <t>K031</t>
        </is>
      </c>
      <c r="G204" s="75" t="n">
        <v>7.95</v>
      </c>
      <c r="H204" s="65" t="n"/>
      <c r="I204" s="66" t="n"/>
      <c r="J204" s="67">
        <f>VLOOKUP(C204,Recipes!$A$2:$N$4,10,FALSE())</f>
        <v/>
      </c>
      <c r="K204" s="68">
        <f>VLOOKUP(C204,Recipes!$A$2:$N$4,12,FALSE())</f>
        <v/>
      </c>
      <c r="L204" s="67">
        <f>J204-6*K204</f>
        <v/>
      </c>
      <c r="M204" s="67">
        <f>J204+6*K204</f>
        <v/>
      </c>
      <c r="N204" s="61">
        <f>IF(G204="","",IF(AND(G204&gt;=L204,G204&lt;=M204),"OK","NG"))</f>
        <v/>
      </c>
      <c r="O204" s="69">
        <f>IF(N204="","",IF(N204=D204,1,0))</f>
        <v/>
      </c>
      <c r="P204" s="67">
        <f>IF(G204="","",J204-G204)</f>
        <v/>
      </c>
      <c r="Q204" s="67">
        <f>IF(G204="","",ABS(P204-Components!$D$2)/Components!$E$2)</f>
        <v/>
      </c>
      <c r="R204" s="67">
        <f>IF(G204="","",ABS(P204-Components!$D$3)/Components!$E$3)</f>
        <v/>
      </c>
      <c r="S204" s="67">
        <f>IF(G204="","",ABS(P204-Components!$D$4)/Components!$E$4)</f>
        <v/>
      </c>
      <c r="T204" s="67">
        <f>IF(G204="","",ABS(P204-Components!$D$5)/Components!$E$5)</f>
        <v/>
      </c>
      <c r="U204" s="67">
        <f>IF(G204="","",ABS(P204-Components!$D$6)/Components!$E$6)</f>
        <v/>
      </c>
      <c r="V204" s="67">
        <f>IF(G204="","",ABS(P204-Components!$D$7)/Components!$E$7)</f>
        <v/>
      </c>
      <c r="W204" s="61">
        <f>IF(G204="","",IF(N204="OK","NONE",INDEX({"S1","S2","W1","W2","N1","N2"},MATCH(MIN(Q204:V204),Q204:V204,0))))</f>
        <v/>
      </c>
      <c r="X204" s="69">
        <f>IF(G204="","",IF(W204=E204,1,0))</f>
        <v/>
      </c>
      <c r="Y204" s="70" t="n"/>
    </row>
    <row r="205">
      <c r="A205" s="61" t="n">
        <v>85.59999999999999</v>
      </c>
      <c r="B205" s="62" t="n">
        <v>138.6</v>
      </c>
      <c r="C205" s="61" t="inlineStr">
        <is>
          <t>R4</t>
        </is>
      </c>
      <c r="D205" s="74" t="inlineStr">
        <is>
          <t>NG</t>
        </is>
      </c>
      <c r="E205" s="61" t="inlineStr">
        <is>
          <t>W1</t>
        </is>
      </c>
      <c r="F205" s="61" t="inlineStr">
        <is>
          <t>K032</t>
        </is>
      </c>
      <c r="G205" s="75" t="n">
        <v>7.9</v>
      </c>
      <c r="H205" s="65" t="n"/>
      <c r="I205" s="66" t="n"/>
      <c r="J205" s="67">
        <f>VLOOKUP(C205,Recipes!$A$2:$N$4,10,FALSE())</f>
        <v/>
      </c>
      <c r="K205" s="68">
        <f>VLOOKUP(C205,Recipes!$A$2:$N$4,12,FALSE())</f>
        <v/>
      </c>
      <c r="L205" s="67">
        <f>J205-6*K205</f>
        <v/>
      </c>
      <c r="M205" s="67">
        <f>J205+6*K205</f>
        <v/>
      </c>
      <c r="N205" s="61">
        <f>IF(G205="","",IF(AND(G205&gt;=L205,G205&lt;=M205),"OK","NG"))</f>
        <v/>
      </c>
      <c r="O205" s="69">
        <f>IF(N205="","",IF(N205=D205,1,0))</f>
        <v/>
      </c>
      <c r="P205" s="67">
        <f>IF(G205="","",J205-G205)</f>
        <v/>
      </c>
      <c r="Q205" s="67">
        <f>IF(G205="","",ABS(P205-Components!$D$2)/Components!$E$2)</f>
        <v/>
      </c>
      <c r="R205" s="67">
        <f>IF(G205="","",ABS(P205-Components!$D$3)/Components!$E$3)</f>
        <v/>
      </c>
      <c r="S205" s="67">
        <f>IF(G205="","",ABS(P205-Components!$D$4)/Components!$E$4)</f>
        <v/>
      </c>
      <c r="T205" s="67">
        <f>IF(G205="","",ABS(P205-Components!$D$5)/Components!$E$5)</f>
        <v/>
      </c>
      <c r="U205" s="67">
        <f>IF(G205="","",ABS(P205-Components!$D$6)/Components!$E$6)</f>
        <v/>
      </c>
      <c r="V205" s="67">
        <f>IF(G205="","",ABS(P205-Components!$D$7)/Components!$E$7)</f>
        <v/>
      </c>
      <c r="W205" s="61">
        <f>IF(G205="","",IF(N205="OK","NONE",INDEX({"S1","S2","W1","W2","N1","N2"},MATCH(MIN(Q205:V205),Q205:V205,0))))</f>
        <v/>
      </c>
      <c r="X205" s="69">
        <f>IF(G205="","",IF(W205=E205,1,0))</f>
        <v/>
      </c>
      <c r="Y205" s="70" t="n"/>
    </row>
    <row r="206">
      <c r="A206" s="61" t="n">
        <v>88.2</v>
      </c>
      <c r="B206" s="62" t="n">
        <v>143.9</v>
      </c>
      <c r="C206" s="61" t="inlineStr">
        <is>
          <t>R4</t>
        </is>
      </c>
      <c r="D206" s="74" t="inlineStr">
        <is>
          <t>NG</t>
        </is>
      </c>
      <c r="E206" s="61" t="inlineStr">
        <is>
          <t>W1</t>
        </is>
      </c>
      <c r="F206" s="61" t="inlineStr">
        <is>
          <t>K033</t>
        </is>
      </c>
      <c r="G206" s="75" t="n">
        <v>7.99</v>
      </c>
      <c r="H206" s="65" t="n"/>
      <c r="I206" s="66" t="n"/>
      <c r="J206" s="67">
        <f>VLOOKUP(C206,Recipes!$A$2:$N$4,10,FALSE())</f>
        <v/>
      </c>
      <c r="K206" s="68">
        <f>VLOOKUP(C206,Recipes!$A$2:$N$4,12,FALSE())</f>
        <v/>
      </c>
      <c r="L206" s="67">
        <f>J206-6*K206</f>
        <v/>
      </c>
      <c r="M206" s="67">
        <f>J206+6*K206</f>
        <v/>
      </c>
      <c r="N206" s="61">
        <f>IF(G206="","",IF(AND(G206&gt;=L206,G206&lt;=M206),"OK","NG"))</f>
        <v/>
      </c>
      <c r="O206" s="69">
        <f>IF(N206="","",IF(N206=D206,1,0))</f>
        <v/>
      </c>
      <c r="P206" s="67">
        <f>IF(G206="","",J206-G206)</f>
        <v/>
      </c>
      <c r="Q206" s="67">
        <f>IF(G206="","",ABS(P206-Components!$D$2)/Components!$E$2)</f>
        <v/>
      </c>
      <c r="R206" s="67">
        <f>IF(G206="","",ABS(P206-Components!$D$3)/Components!$E$3)</f>
        <v/>
      </c>
      <c r="S206" s="67">
        <f>IF(G206="","",ABS(P206-Components!$D$4)/Components!$E$4)</f>
        <v/>
      </c>
      <c r="T206" s="67">
        <f>IF(G206="","",ABS(P206-Components!$D$5)/Components!$E$5)</f>
        <v/>
      </c>
      <c r="U206" s="67">
        <f>IF(G206="","",ABS(P206-Components!$D$6)/Components!$E$6)</f>
        <v/>
      </c>
      <c r="V206" s="67">
        <f>IF(G206="","",ABS(P206-Components!$D$7)/Components!$E$7)</f>
        <v/>
      </c>
      <c r="W206" s="61">
        <f>IF(G206="","",IF(N206="OK","NONE",INDEX({"S1","S2","W1","W2","N1","N2"},MATCH(MIN(Q206:V206),Q206:V206,0))))</f>
        <v/>
      </c>
      <c r="X206" s="69">
        <f>IF(G206="","",IF(W206=E206,1,0))</f>
        <v/>
      </c>
      <c r="Y206" s="70" t="n"/>
    </row>
    <row r="207">
      <c r="A207" s="76" t="n">
        <v>90.8</v>
      </c>
      <c r="B207" s="77" t="n">
        <v>149.2</v>
      </c>
      <c r="C207" s="76" t="inlineStr">
        <is>
          <t>R4</t>
        </is>
      </c>
      <c r="D207" s="78" t="inlineStr">
        <is>
          <t>NG</t>
        </is>
      </c>
      <c r="E207" s="76" t="inlineStr">
        <is>
          <t>W1</t>
        </is>
      </c>
      <c r="F207" s="76" t="inlineStr">
        <is>
          <t>K042</t>
        </is>
      </c>
      <c r="G207" s="75" t="n">
        <v>7.97</v>
      </c>
      <c r="H207" s="65" t="n"/>
      <c r="I207" s="66" t="n"/>
      <c r="J207" s="67">
        <f>VLOOKUP(C207,Recipes!$A$2:$N$4,10,FALSE())</f>
        <v/>
      </c>
      <c r="K207" s="68">
        <f>VLOOKUP(C207,Recipes!$A$2:$N$4,12,FALSE())</f>
        <v/>
      </c>
      <c r="L207" s="67">
        <f>J207-6*K207</f>
        <v/>
      </c>
      <c r="M207" s="67">
        <f>J207+6*K207</f>
        <v/>
      </c>
      <c r="N207" s="61">
        <f>IF(G207="","",IF(AND(G207&gt;=L207,G207&lt;=M207),"OK","NG"))</f>
        <v/>
      </c>
      <c r="O207" s="69">
        <f>IF(N207="","",IF(N207=D207,1,0))</f>
        <v/>
      </c>
      <c r="P207" s="67">
        <f>IF(G207="","",J207-G207)</f>
        <v/>
      </c>
      <c r="Q207" s="67">
        <f>IF(G207="","",ABS(P207-Components!$D$2)/Components!$E$2)</f>
        <v/>
      </c>
      <c r="R207" s="67">
        <f>IF(G207="","",ABS(P207-Components!$D$3)/Components!$E$3)</f>
        <v/>
      </c>
      <c r="S207" s="67">
        <f>IF(G207="","",ABS(P207-Components!$D$4)/Components!$E$4)</f>
        <v/>
      </c>
      <c r="T207" s="67">
        <f>IF(G207="","",ABS(P207-Components!$D$5)/Components!$E$5)</f>
        <v/>
      </c>
      <c r="U207" s="67">
        <f>IF(G207="","",ABS(P207-Components!$D$6)/Components!$E$6)</f>
        <v/>
      </c>
      <c r="V207" s="67">
        <f>IF(G207="","",ABS(P207-Components!$D$7)/Components!$E$7)</f>
        <v/>
      </c>
      <c r="W207" s="61">
        <f>IF(G207="","",IF(N207="OK","NONE",INDEX({"S1","S2","W1","W2","N1","N2"},MATCH(MIN(Q207:V207),Q207:V207,0))))</f>
        <v/>
      </c>
      <c r="X207" s="69">
        <f>IF(G207="","",IF(W207=E207,1,0))</f>
        <v/>
      </c>
      <c r="Y207" s="70" t="n"/>
    </row>
    <row r="208">
      <c r="A208" s="61" t="n">
        <v>93.40000000000001</v>
      </c>
      <c r="B208" s="62" t="n">
        <v>154.5</v>
      </c>
      <c r="C208" s="61" t="inlineStr">
        <is>
          <t>R4</t>
        </is>
      </c>
      <c r="D208" s="74" t="inlineStr">
        <is>
          <t>NG</t>
        </is>
      </c>
      <c r="E208" s="61" t="inlineStr">
        <is>
          <t>W1</t>
        </is>
      </c>
      <c r="F208" s="61" t="inlineStr">
        <is>
          <t>K030</t>
        </is>
      </c>
      <c r="G208" s="75" t="n">
        <v>7.96</v>
      </c>
      <c r="H208" s="65" t="n"/>
      <c r="I208" s="66" t="n"/>
      <c r="J208" s="67">
        <f>VLOOKUP(C208,Recipes!$A$2:$N$4,10,FALSE())</f>
        <v/>
      </c>
      <c r="K208" s="68">
        <f>VLOOKUP(C208,Recipes!$A$2:$N$4,12,FALSE())</f>
        <v/>
      </c>
      <c r="L208" s="67">
        <f>J208-6*K208</f>
        <v/>
      </c>
      <c r="M208" s="67">
        <f>J208+6*K208</f>
        <v/>
      </c>
      <c r="N208" s="61">
        <f>IF(G208="","",IF(AND(G208&gt;=L208,G208&lt;=M208),"OK","NG"))</f>
        <v/>
      </c>
      <c r="O208" s="69">
        <f>IF(N208="","",IF(N208=D208,1,0))</f>
        <v/>
      </c>
      <c r="P208" s="67">
        <f>IF(G208="","",J208-G208)</f>
        <v/>
      </c>
      <c r="Q208" s="67">
        <f>IF(G208="","",ABS(P208-Components!$D$2)/Components!$E$2)</f>
        <v/>
      </c>
      <c r="R208" s="67">
        <f>IF(G208="","",ABS(P208-Components!$D$3)/Components!$E$3)</f>
        <v/>
      </c>
      <c r="S208" s="67">
        <f>IF(G208="","",ABS(P208-Components!$D$4)/Components!$E$4)</f>
        <v/>
      </c>
      <c r="T208" s="67">
        <f>IF(G208="","",ABS(P208-Components!$D$5)/Components!$E$5)</f>
        <v/>
      </c>
      <c r="U208" s="67">
        <f>IF(G208="","",ABS(P208-Components!$D$6)/Components!$E$6)</f>
        <v/>
      </c>
      <c r="V208" s="67">
        <f>IF(G208="","",ABS(P208-Components!$D$7)/Components!$E$7)</f>
        <v/>
      </c>
      <c r="W208" s="61">
        <f>IF(G208="","",IF(N208="OK","NONE",INDEX({"S1","S2","W1","W2","N1","N2"},MATCH(MIN(Q208:V208),Q208:V208,0))))</f>
        <v/>
      </c>
      <c r="X208" s="69">
        <f>IF(G208="","",IF(W208=E208,1,0))</f>
        <v/>
      </c>
      <c r="Y208" s="70" t="n"/>
    </row>
    <row r="209">
      <c r="A209" s="61" t="n">
        <v>96</v>
      </c>
      <c r="B209" s="62" t="n">
        <v>159.8</v>
      </c>
      <c r="C209" s="61" t="inlineStr">
        <is>
          <t>R4</t>
        </is>
      </c>
      <c r="D209" s="74" t="inlineStr">
        <is>
          <t>NG</t>
        </is>
      </c>
      <c r="E209" s="61" t="inlineStr">
        <is>
          <t>W1</t>
        </is>
      </c>
      <c r="F209" s="61" t="inlineStr">
        <is>
          <t>K031</t>
        </is>
      </c>
      <c r="G209" s="75" t="n">
        <v>7.99</v>
      </c>
      <c r="H209" s="65" t="n"/>
      <c r="I209" s="66" t="n"/>
      <c r="J209" s="67">
        <f>VLOOKUP(C209,Recipes!$A$2:$N$4,10,FALSE())</f>
        <v/>
      </c>
      <c r="K209" s="68">
        <f>VLOOKUP(C209,Recipes!$A$2:$N$4,12,FALSE())</f>
        <v/>
      </c>
      <c r="L209" s="67">
        <f>J209-6*K209</f>
        <v/>
      </c>
      <c r="M209" s="67">
        <f>J209+6*K209</f>
        <v/>
      </c>
      <c r="N209" s="61">
        <f>IF(G209="","",IF(AND(G209&gt;=L209,G209&lt;=M209),"OK","NG"))</f>
        <v/>
      </c>
      <c r="O209" s="69">
        <f>IF(N209="","",IF(N209=D209,1,0))</f>
        <v/>
      </c>
      <c r="P209" s="67">
        <f>IF(G209="","",J209-G209)</f>
        <v/>
      </c>
      <c r="Q209" s="67">
        <f>IF(G209="","",ABS(P209-Components!$D$2)/Components!$E$2)</f>
        <v/>
      </c>
      <c r="R209" s="67">
        <f>IF(G209="","",ABS(P209-Components!$D$3)/Components!$E$3)</f>
        <v/>
      </c>
      <c r="S209" s="67">
        <f>IF(G209="","",ABS(P209-Components!$D$4)/Components!$E$4)</f>
        <v/>
      </c>
      <c r="T209" s="67">
        <f>IF(G209="","",ABS(P209-Components!$D$5)/Components!$E$5)</f>
        <v/>
      </c>
      <c r="U209" s="67">
        <f>IF(G209="","",ABS(P209-Components!$D$6)/Components!$E$6)</f>
        <v/>
      </c>
      <c r="V209" s="67">
        <f>IF(G209="","",ABS(P209-Components!$D$7)/Components!$E$7)</f>
        <v/>
      </c>
      <c r="W209" s="61">
        <f>IF(G209="","",IF(N209="OK","NONE",INDEX({"S1","S2","W1","W2","N1","N2"},MATCH(MIN(Q209:V209),Q209:V209,0))))</f>
        <v/>
      </c>
      <c r="X209" s="69">
        <f>IF(G209="","",IF(W209=E209,1,0))</f>
        <v/>
      </c>
      <c r="Y209" s="70" t="n"/>
    </row>
    <row r="210">
      <c r="A210" s="61" t="n">
        <v>98.59999999999999</v>
      </c>
      <c r="B210" s="62" t="n">
        <v>165.1</v>
      </c>
      <c r="C210" s="61" t="inlineStr">
        <is>
          <t>R4</t>
        </is>
      </c>
      <c r="D210" s="74" t="inlineStr">
        <is>
          <t>NG</t>
        </is>
      </c>
      <c r="E210" s="61" t="inlineStr">
        <is>
          <t>W1</t>
        </is>
      </c>
      <c r="F210" s="61" t="inlineStr">
        <is>
          <t>K032</t>
        </is>
      </c>
      <c r="G210" s="75" t="n">
        <v>7.87</v>
      </c>
      <c r="H210" s="65" t="n"/>
      <c r="I210" s="66" t="n"/>
      <c r="J210" s="67">
        <f>VLOOKUP(C210,Recipes!$A$2:$N$4,10,FALSE())</f>
        <v/>
      </c>
      <c r="K210" s="68">
        <f>VLOOKUP(C210,Recipes!$A$2:$N$4,12,FALSE())</f>
        <v/>
      </c>
      <c r="L210" s="67">
        <f>J210-6*K210</f>
        <v/>
      </c>
      <c r="M210" s="67">
        <f>J210+6*K210</f>
        <v/>
      </c>
      <c r="N210" s="61">
        <f>IF(G210="","",IF(AND(G210&gt;=L210,G210&lt;=M210),"OK","NG"))</f>
        <v/>
      </c>
      <c r="O210" s="69">
        <f>IF(N210="","",IF(N210=D210,1,0))</f>
        <v/>
      </c>
      <c r="P210" s="67">
        <f>IF(G210="","",J210-G210)</f>
        <v/>
      </c>
      <c r="Q210" s="67">
        <f>IF(G210="","",ABS(P210-Components!$D$2)/Components!$E$2)</f>
        <v/>
      </c>
      <c r="R210" s="67">
        <f>IF(G210="","",ABS(P210-Components!$D$3)/Components!$E$3)</f>
        <v/>
      </c>
      <c r="S210" s="67">
        <f>IF(G210="","",ABS(P210-Components!$D$4)/Components!$E$4)</f>
        <v/>
      </c>
      <c r="T210" s="67">
        <f>IF(G210="","",ABS(P210-Components!$D$5)/Components!$E$5)</f>
        <v/>
      </c>
      <c r="U210" s="67">
        <f>IF(G210="","",ABS(P210-Components!$D$6)/Components!$E$6)</f>
        <v/>
      </c>
      <c r="V210" s="67">
        <f>IF(G210="","",ABS(P210-Components!$D$7)/Components!$E$7)</f>
        <v/>
      </c>
      <c r="W210" s="61">
        <f>IF(G210="","",IF(N210="OK","NONE",INDEX({"S1","S2","W1","W2","N1","N2"},MATCH(MIN(Q210:V210),Q210:V210,0))))</f>
        <v/>
      </c>
      <c r="X210" s="71">
        <f>IF(G210="","",IF(W210=E210,1,0))</f>
        <v/>
      </c>
      <c r="Y210" s="70" t="n"/>
    </row>
    <row r="211">
      <c r="A211" s="61" t="n">
        <v>101.2</v>
      </c>
      <c r="B211" s="62" t="n">
        <v>170.4</v>
      </c>
      <c r="C211" s="61" t="inlineStr">
        <is>
          <t>R4</t>
        </is>
      </c>
      <c r="D211" s="74" t="inlineStr">
        <is>
          <t>NG</t>
        </is>
      </c>
      <c r="E211" s="61" t="inlineStr">
        <is>
          <t>W1</t>
        </is>
      </c>
      <c r="F211" s="61" t="inlineStr">
        <is>
          <t>K033</t>
        </is>
      </c>
      <c r="G211" s="75" t="n">
        <v>7.72</v>
      </c>
      <c r="H211" s="65" t="n"/>
      <c r="I211" s="66" t="n"/>
      <c r="J211" s="67">
        <f>VLOOKUP(C211,Recipes!$A$2:$N$4,10,FALSE())</f>
        <v/>
      </c>
      <c r="K211" s="68">
        <f>VLOOKUP(C211,Recipes!$A$2:$N$4,12,FALSE())</f>
        <v/>
      </c>
      <c r="L211" s="67">
        <f>J211-6*K211</f>
        <v/>
      </c>
      <c r="M211" s="67">
        <f>J211+6*K211</f>
        <v/>
      </c>
      <c r="N211" s="61">
        <f>IF(G211="","",IF(AND(G211&gt;=L211,G211&lt;=M211),"OK","NG"))</f>
        <v/>
      </c>
      <c r="O211" s="69">
        <f>IF(N211="","",IF(N211=D211,1,0))</f>
        <v/>
      </c>
      <c r="P211" s="67">
        <f>IF(G211="","",J211-G211)</f>
        <v/>
      </c>
      <c r="Q211" s="67">
        <f>IF(G211="","",ABS(P211-Components!$D$2)/Components!$E$2)</f>
        <v/>
      </c>
      <c r="R211" s="67">
        <f>IF(G211="","",ABS(P211-Components!$D$3)/Components!$E$3)</f>
        <v/>
      </c>
      <c r="S211" s="67">
        <f>IF(G211="","",ABS(P211-Components!$D$4)/Components!$E$4)</f>
        <v/>
      </c>
      <c r="T211" s="67">
        <f>IF(G211="","",ABS(P211-Components!$D$5)/Components!$E$5)</f>
        <v/>
      </c>
      <c r="U211" s="67">
        <f>IF(G211="","",ABS(P211-Components!$D$6)/Components!$E$6)</f>
        <v/>
      </c>
      <c r="V211" s="67">
        <f>IF(G211="","",ABS(P211-Components!$D$7)/Components!$E$7)</f>
        <v/>
      </c>
      <c r="W211" s="61">
        <f>IF(G211="","",IF(N211="OK","NONE",INDEX({"S1","S2","W1","W2","N1","N2"},MATCH(MIN(Q211:V211),Q211:V211,0))))</f>
        <v/>
      </c>
      <c r="X211" s="71">
        <f>IF(G211="","",IF(W211=E211,1,0))</f>
        <v/>
      </c>
      <c r="Y211" s="70" t="n"/>
    </row>
    <row r="212">
      <c r="A212" s="76" t="n">
        <v>103.8</v>
      </c>
      <c r="B212" s="77" t="n">
        <v>175.7</v>
      </c>
      <c r="C212" s="76" t="inlineStr">
        <is>
          <t>R4</t>
        </is>
      </c>
      <c r="D212" s="78" t="inlineStr">
        <is>
          <t>NG</t>
        </is>
      </c>
      <c r="E212" s="76" t="inlineStr">
        <is>
          <t>W1</t>
        </is>
      </c>
      <c r="F212" s="76" t="inlineStr">
        <is>
          <t>K042</t>
        </is>
      </c>
      <c r="G212" s="75" t="n">
        <v>7.95</v>
      </c>
      <c r="H212" s="65" t="n"/>
      <c r="I212" s="66" t="n"/>
      <c r="J212" s="67">
        <f>VLOOKUP(C212,Recipes!$A$2:$N$4,10,FALSE())</f>
        <v/>
      </c>
      <c r="K212" s="68">
        <f>VLOOKUP(C212,Recipes!$A$2:$N$4,12,FALSE())</f>
        <v/>
      </c>
      <c r="L212" s="67">
        <f>J212-6*K212</f>
        <v/>
      </c>
      <c r="M212" s="67">
        <f>J212+6*K212</f>
        <v/>
      </c>
      <c r="N212" s="61">
        <f>IF(G212="","",IF(AND(G212&gt;=L212,G212&lt;=M212),"OK","NG"))</f>
        <v/>
      </c>
      <c r="O212" s="69">
        <f>IF(N212="","",IF(N212=D212,1,0))</f>
        <v/>
      </c>
      <c r="P212" s="67">
        <f>IF(G212="","",J212-G212)</f>
        <v/>
      </c>
      <c r="Q212" s="67">
        <f>IF(G212="","",ABS(P212-Components!$D$2)/Components!$E$2)</f>
        <v/>
      </c>
      <c r="R212" s="67">
        <f>IF(G212="","",ABS(P212-Components!$D$3)/Components!$E$3)</f>
        <v/>
      </c>
      <c r="S212" s="67">
        <f>IF(G212="","",ABS(P212-Components!$D$4)/Components!$E$4)</f>
        <v/>
      </c>
      <c r="T212" s="67">
        <f>IF(G212="","",ABS(P212-Components!$D$5)/Components!$E$5)</f>
        <v/>
      </c>
      <c r="U212" s="67">
        <f>IF(G212="","",ABS(P212-Components!$D$6)/Components!$E$6)</f>
        <v/>
      </c>
      <c r="V212" s="67">
        <f>IF(G212="","",ABS(P212-Components!$D$7)/Components!$E$7)</f>
        <v/>
      </c>
      <c r="W212" s="61">
        <f>IF(G212="","",IF(N212="OK","NONE",INDEX({"S1","S2","W1","W2","N1","N2"},MATCH(MIN(Q212:V212),Q212:V212,0))))</f>
        <v/>
      </c>
      <c r="X212" s="69">
        <f>IF(G212="","",IF(W212=E212,1,0))</f>
        <v/>
      </c>
      <c r="Y212" s="70" t="n"/>
    </row>
    <row r="213">
      <c r="A213" s="61" t="n">
        <v>-17</v>
      </c>
      <c r="B213" s="62" t="n">
        <v>62.4999999999999</v>
      </c>
      <c r="C213" s="61" t="inlineStr">
        <is>
          <t>R4</t>
        </is>
      </c>
      <c r="D213" s="74" t="inlineStr">
        <is>
          <t>NG</t>
        </is>
      </c>
      <c r="E213" s="61" t="inlineStr">
        <is>
          <t>N1</t>
        </is>
      </c>
      <c r="F213" s="61" t="inlineStr">
        <is>
          <t>K034</t>
        </is>
      </c>
      <c r="G213" s="75" t="n">
        <v>7.72</v>
      </c>
      <c r="H213" s="65" t="n"/>
      <c r="I213" s="66" t="n"/>
      <c r="J213" s="67">
        <f>VLOOKUP(C213,Recipes!$A$2:$N$4,10,FALSE())</f>
        <v/>
      </c>
      <c r="K213" s="68">
        <f>VLOOKUP(C213,Recipes!$A$2:$N$4,12,FALSE())</f>
        <v/>
      </c>
      <c r="L213" s="67">
        <f>J213-6*K213</f>
        <v/>
      </c>
      <c r="M213" s="67">
        <f>J213+6*K213</f>
        <v/>
      </c>
      <c r="N213" s="61">
        <f>IF(G213="","",IF(AND(G213&gt;=L213,G213&lt;=M213),"OK","NG"))</f>
        <v/>
      </c>
      <c r="O213" s="69">
        <f>IF(N213="","",IF(N213=D213,1,0))</f>
        <v/>
      </c>
      <c r="P213" s="67">
        <f>IF(G213="","",J213-G213)</f>
        <v/>
      </c>
      <c r="Q213" s="67">
        <f>IF(G213="","",ABS(P213-Components!$D$2)/Components!$E$2)</f>
        <v/>
      </c>
      <c r="R213" s="67">
        <f>IF(G213="","",ABS(P213-Components!$D$3)/Components!$E$3)</f>
        <v/>
      </c>
      <c r="S213" s="67">
        <f>IF(G213="","",ABS(P213-Components!$D$4)/Components!$E$4)</f>
        <v/>
      </c>
      <c r="T213" s="67">
        <f>IF(G213="","",ABS(P213-Components!$D$5)/Components!$E$5)</f>
        <v/>
      </c>
      <c r="U213" s="67">
        <f>IF(G213="","",ABS(P213-Components!$D$6)/Components!$E$6)</f>
        <v/>
      </c>
      <c r="V213" s="67">
        <f>IF(G213="","",ABS(P213-Components!$D$7)/Components!$E$7)</f>
        <v/>
      </c>
      <c r="W213" s="61">
        <f>IF(G213="","",IF(N213="OK","NONE",INDEX({"S1","S2","W1","W2","N1","N2"},MATCH(MIN(Q213:V213),Q213:V213,0))))</f>
        <v/>
      </c>
      <c r="X213" s="69">
        <f>IF(G213="","",IF(W213=E213,1,0))</f>
        <v/>
      </c>
      <c r="Y213" s="70" t="n"/>
    </row>
    <row r="214">
      <c r="A214" s="61" t="n">
        <v>-15</v>
      </c>
      <c r="B214" s="62" t="n">
        <v>61.1999999999999</v>
      </c>
      <c r="C214" s="61" t="inlineStr">
        <is>
          <t>R4</t>
        </is>
      </c>
      <c r="D214" s="74" t="inlineStr">
        <is>
          <t>NG</t>
        </is>
      </c>
      <c r="E214" s="61" t="inlineStr">
        <is>
          <t>N1</t>
        </is>
      </c>
      <c r="F214" s="61" t="inlineStr">
        <is>
          <t>K035</t>
        </is>
      </c>
      <c r="G214" s="75" t="n">
        <v>7.75</v>
      </c>
      <c r="H214" s="65" t="n"/>
      <c r="I214" s="66" t="n"/>
      <c r="J214" s="67">
        <f>VLOOKUP(C214,Recipes!$A$2:$N$4,10,FALSE())</f>
        <v/>
      </c>
      <c r="K214" s="68">
        <f>VLOOKUP(C214,Recipes!$A$2:$N$4,12,FALSE())</f>
        <v/>
      </c>
      <c r="L214" s="67">
        <f>J214-6*K214</f>
        <v/>
      </c>
      <c r="M214" s="67">
        <f>J214+6*K214</f>
        <v/>
      </c>
      <c r="N214" s="61">
        <f>IF(G214="","",IF(AND(G214&gt;=L214,G214&lt;=M214),"OK","NG"))</f>
        <v/>
      </c>
      <c r="O214" s="69">
        <f>IF(N214="","",IF(N214=D214,1,0))</f>
        <v/>
      </c>
      <c r="P214" s="67">
        <f>IF(G214="","",J214-G214)</f>
        <v/>
      </c>
      <c r="Q214" s="67">
        <f>IF(G214="","",ABS(P214-Components!$D$2)/Components!$E$2)</f>
        <v/>
      </c>
      <c r="R214" s="67">
        <f>IF(G214="","",ABS(P214-Components!$D$3)/Components!$E$3)</f>
        <v/>
      </c>
      <c r="S214" s="67">
        <f>IF(G214="","",ABS(P214-Components!$D$4)/Components!$E$4)</f>
        <v/>
      </c>
      <c r="T214" s="67">
        <f>IF(G214="","",ABS(P214-Components!$D$5)/Components!$E$5)</f>
        <v/>
      </c>
      <c r="U214" s="67">
        <f>IF(G214="","",ABS(P214-Components!$D$6)/Components!$E$6)</f>
        <v/>
      </c>
      <c r="V214" s="67">
        <f>IF(G214="","",ABS(P214-Components!$D$7)/Components!$E$7)</f>
        <v/>
      </c>
      <c r="W214" s="61">
        <f>IF(G214="","",IF(N214="OK","NONE",INDEX({"S1","S2","W1","W2","N1","N2"},MATCH(MIN(Q214:V214),Q214:V214,0))))</f>
        <v/>
      </c>
      <c r="X214" s="69">
        <f>IF(G214="","",IF(W214=E214,1,0))</f>
        <v/>
      </c>
      <c r="Y214" s="70" t="n"/>
    </row>
    <row r="215">
      <c r="A215" s="61" t="n">
        <v>-13</v>
      </c>
      <c r="B215" s="62" t="n">
        <v>59.8999999999999</v>
      </c>
      <c r="C215" s="61" t="inlineStr">
        <is>
          <t>R4</t>
        </is>
      </c>
      <c r="D215" s="74" t="inlineStr">
        <is>
          <t>NG</t>
        </is>
      </c>
      <c r="E215" s="61" t="inlineStr">
        <is>
          <t>N1</t>
        </is>
      </c>
      <c r="F215" s="61" t="inlineStr">
        <is>
          <t>K036</t>
        </is>
      </c>
      <c r="G215" s="75" t="n">
        <v>7.8</v>
      </c>
      <c r="H215" s="65" t="n"/>
      <c r="I215" s="66" t="n"/>
      <c r="J215" s="67">
        <f>VLOOKUP(C215,Recipes!$A$2:$N$4,10,FALSE())</f>
        <v/>
      </c>
      <c r="K215" s="68">
        <f>VLOOKUP(C215,Recipes!$A$2:$N$4,12,FALSE())</f>
        <v/>
      </c>
      <c r="L215" s="67">
        <f>J215-6*K215</f>
        <v/>
      </c>
      <c r="M215" s="67">
        <f>J215+6*K215</f>
        <v/>
      </c>
      <c r="N215" s="61">
        <f>IF(G215="","",IF(AND(G215&gt;=L215,G215&lt;=M215),"OK","NG"))</f>
        <v/>
      </c>
      <c r="O215" s="69">
        <f>IF(N215="","",IF(N215=D215,1,0))</f>
        <v/>
      </c>
      <c r="P215" s="67">
        <f>IF(G215="","",J215-G215)</f>
        <v/>
      </c>
      <c r="Q215" s="67">
        <f>IF(G215="","",ABS(P215-Components!$D$2)/Components!$E$2)</f>
        <v/>
      </c>
      <c r="R215" s="67">
        <f>IF(G215="","",ABS(P215-Components!$D$3)/Components!$E$3)</f>
        <v/>
      </c>
      <c r="S215" s="67">
        <f>IF(G215="","",ABS(P215-Components!$D$4)/Components!$E$4)</f>
        <v/>
      </c>
      <c r="T215" s="67">
        <f>IF(G215="","",ABS(P215-Components!$D$5)/Components!$E$5)</f>
        <v/>
      </c>
      <c r="U215" s="67">
        <f>IF(G215="","",ABS(P215-Components!$D$6)/Components!$E$6)</f>
        <v/>
      </c>
      <c r="V215" s="67">
        <f>IF(G215="","",ABS(P215-Components!$D$7)/Components!$E$7)</f>
        <v/>
      </c>
      <c r="W215" s="61">
        <f>IF(G215="","",IF(N215="OK","NONE",INDEX({"S1","S2","W1","W2","N1","N2"},MATCH(MIN(Q215:V215),Q215:V215,0))))</f>
        <v/>
      </c>
      <c r="X215" s="69">
        <f>IF(G215="","",IF(W215=E215,1,0))</f>
        <v/>
      </c>
      <c r="Y215" s="70" t="n"/>
    </row>
    <row r="216">
      <c r="A216" s="61" t="n">
        <v>-11</v>
      </c>
      <c r="B216" s="62" t="n">
        <v>58.5999999999999</v>
      </c>
      <c r="C216" s="61" t="inlineStr">
        <is>
          <t>R4</t>
        </is>
      </c>
      <c r="D216" s="74" t="inlineStr">
        <is>
          <t>NG</t>
        </is>
      </c>
      <c r="E216" s="61" t="inlineStr">
        <is>
          <t>N1</t>
        </is>
      </c>
      <c r="F216" s="61" t="inlineStr">
        <is>
          <t>K037</t>
        </is>
      </c>
      <c r="G216" s="75" t="n">
        <v>7.77</v>
      </c>
      <c r="H216" s="65" t="n"/>
      <c r="I216" s="66" t="n"/>
      <c r="J216" s="67">
        <f>VLOOKUP(C216,Recipes!$A$2:$N$4,10,FALSE())</f>
        <v/>
      </c>
      <c r="K216" s="68">
        <f>VLOOKUP(C216,Recipes!$A$2:$N$4,12,FALSE())</f>
        <v/>
      </c>
      <c r="L216" s="67">
        <f>J216-6*K216</f>
        <v/>
      </c>
      <c r="M216" s="67">
        <f>J216+6*K216</f>
        <v/>
      </c>
      <c r="N216" s="61">
        <f>IF(G216="","",IF(AND(G216&gt;=L216,G216&lt;=M216),"OK","NG"))</f>
        <v/>
      </c>
      <c r="O216" s="69">
        <f>IF(N216="","",IF(N216=D216,1,0))</f>
        <v/>
      </c>
      <c r="P216" s="67">
        <f>IF(G216="","",J216-G216)</f>
        <v/>
      </c>
      <c r="Q216" s="67">
        <f>IF(G216="","",ABS(P216-Components!$D$2)/Components!$E$2)</f>
        <v/>
      </c>
      <c r="R216" s="67">
        <f>IF(G216="","",ABS(P216-Components!$D$3)/Components!$E$3)</f>
        <v/>
      </c>
      <c r="S216" s="67">
        <f>IF(G216="","",ABS(P216-Components!$D$4)/Components!$E$4)</f>
        <v/>
      </c>
      <c r="T216" s="67">
        <f>IF(G216="","",ABS(P216-Components!$D$5)/Components!$E$5)</f>
        <v/>
      </c>
      <c r="U216" s="67">
        <f>IF(G216="","",ABS(P216-Components!$D$6)/Components!$E$6)</f>
        <v/>
      </c>
      <c r="V216" s="67">
        <f>IF(G216="","",ABS(P216-Components!$D$7)/Components!$E$7)</f>
        <v/>
      </c>
      <c r="W216" s="61">
        <f>IF(G216="","",IF(N216="OK","NONE",INDEX({"S1","S2","W1","W2","N1","N2"},MATCH(MIN(Q216:V216),Q216:V216,0))))</f>
        <v/>
      </c>
      <c r="X216" s="69">
        <f>IF(G216="","",IF(W216=E216,1,0))</f>
        <v/>
      </c>
      <c r="Y216" s="70" t="n"/>
    </row>
    <row r="217">
      <c r="A217" s="76" t="n">
        <v>-9</v>
      </c>
      <c r="B217" s="77" t="n">
        <v>57.3</v>
      </c>
      <c r="C217" s="76" t="inlineStr">
        <is>
          <t>R4</t>
        </is>
      </c>
      <c r="D217" s="78" t="inlineStr">
        <is>
          <t>NG</t>
        </is>
      </c>
      <c r="E217" s="76" t="inlineStr">
        <is>
          <t>N1</t>
        </is>
      </c>
      <c r="F217" s="76" t="inlineStr">
        <is>
          <t>K043</t>
        </is>
      </c>
      <c r="G217" s="75" t="n">
        <v>7.78</v>
      </c>
      <c r="H217" s="65" t="n"/>
      <c r="I217" s="66" t="n"/>
      <c r="J217" s="67">
        <f>VLOOKUP(C217,Recipes!$A$2:$N$4,10,FALSE())</f>
        <v/>
      </c>
      <c r="K217" s="68">
        <f>VLOOKUP(C217,Recipes!$A$2:$N$4,12,FALSE())</f>
        <v/>
      </c>
      <c r="L217" s="67">
        <f>J217-6*K217</f>
        <v/>
      </c>
      <c r="M217" s="67">
        <f>J217+6*K217</f>
        <v/>
      </c>
      <c r="N217" s="61">
        <f>IF(G217="","",IF(AND(G217&gt;=L217,G217&lt;=M217),"OK","NG"))</f>
        <v/>
      </c>
      <c r="O217" s="69">
        <f>IF(N217="","",IF(N217=D217,1,0))</f>
        <v/>
      </c>
      <c r="P217" s="67">
        <f>IF(G217="","",J217-G217)</f>
        <v/>
      </c>
      <c r="Q217" s="67">
        <f>IF(G217="","",ABS(P217-Components!$D$2)/Components!$E$2)</f>
        <v/>
      </c>
      <c r="R217" s="67">
        <f>IF(G217="","",ABS(P217-Components!$D$3)/Components!$E$3)</f>
        <v/>
      </c>
      <c r="S217" s="67">
        <f>IF(G217="","",ABS(P217-Components!$D$4)/Components!$E$4)</f>
        <v/>
      </c>
      <c r="T217" s="67">
        <f>IF(G217="","",ABS(P217-Components!$D$5)/Components!$E$5)</f>
        <v/>
      </c>
      <c r="U217" s="67">
        <f>IF(G217="","",ABS(P217-Components!$D$6)/Components!$E$6)</f>
        <v/>
      </c>
      <c r="V217" s="67">
        <f>IF(G217="","",ABS(P217-Components!$D$7)/Components!$E$7)</f>
        <v/>
      </c>
      <c r="W217" s="61">
        <f>IF(G217="","",IF(N217="OK","NONE",INDEX({"S1","S2","W1","W2","N1","N2"},MATCH(MIN(Q217:V217),Q217:V217,0))))</f>
        <v/>
      </c>
      <c r="X217" s="69">
        <f>IF(G217="","",IF(W217=E217,1,0))</f>
        <v/>
      </c>
      <c r="Y217" s="70" t="n"/>
    </row>
    <row r="218">
      <c r="A218" s="61" t="n">
        <v>-7</v>
      </c>
      <c r="B218" s="62" t="n">
        <v>56</v>
      </c>
      <c r="C218" s="61" t="inlineStr">
        <is>
          <t>R4</t>
        </is>
      </c>
      <c r="D218" s="74" t="inlineStr">
        <is>
          <t>NG</t>
        </is>
      </c>
      <c r="E218" s="61" t="inlineStr">
        <is>
          <t>N1</t>
        </is>
      </c>
      <c r="F218" s="61" t="inlineStr">
        <is>
          <t>K034</t>
        </is>
      </c>
      <c r="G218" s="75" t="n">
        <v>7.82</v>
      </c>
      <c r="H218" s="65" t="n"/>
      <c r="I218" s="66" t="n"/>
      <c r="J218" s="67">
        <f>VLOOKUP(C218,Recipes!$A$2:$N$4,10,FALSE())</f>
        <v/>
      </c>
      <c r="K218" s="68">
        <f>VLOOKUP(C218,Recipes!$A$2:$N$4,12,FALSE())</f>
        <v/>
      </c>
      <c r="L218" s="67">
        <f>J218-6*K218</f>
        <v/>
      </c>
      <c r="M218" s="67">
        <f>J218+6*K218</f>
        <v/>
      </c>
      <c r="N218" s="61">
        <f>IF(G218="","",IF(AND(G218&gt;=L218,G218&lt;=M218),"OK","NG"))</f>
        <v/>
      </c>
      <c r="O218" s="69">
        <f>IF(N218="","",IF(N218=D218,1,0))</f>
        <v/>
      </c>
      <c r="P218" s="67">
        <f>IF(G218="","",J218-G218)</f>
        <v/>
      </c>
      <c r="Q218" s="67">
        <f>IF(G218="","",ABS(P218-Components!$D$2)/Components!$E$2)</f>
        <v/>
      </c>
      <c r="R218" s="67">
        <f>IF(G218="","",ABS(P218-Components!$D$3)/Components!$E$3)</f>
        <v/>
      </c>
      <c r="S218" s="67">
        <f>IF(G218="","",ABS(P218-Components!$D$4)/Components!$E$4)</f>
        <v/>
      </c>
      <c r="T218" s="67">
        <f>IF(G218="","",ABS(P218-Components!$D$5)/Components!$E$5)</f>
        <v/>
      </c>
      <c r="U218" s="67">
        <f>IF(G218="","",ABS(P218-Components!$D$6)/Components!$E$6)</f>
        <v/>
      </c>
      <c r="V218" s="67">
        <f>IF(G218="","",ABS(P218-Components!$D$7)/Components!$E$7)</f>
        <v/>
      </c>
      <c r="W218" s="61">
        <f>IF(G218="","",IF(N218="OK","NONE",INDEX({"S1","S2","W1","W2","N1","N2"},MATCH(MIN(Q218:V218),Q218:V218,0))))</f>
        <v/>
      </c>
      <c r="X218" s="69">
        <f>IF(G218="","",IF(W218=E218,1,0))</f>
        <v/>
      </c>
      <c r="Y218" s="70" t="n"/>
    </row>
    <row r="219">
      <c r="A219" s="61" t="n">
        <v>-5</v>
      </c>
      <c r="B219" s="62" t="n">
        <v>54.7</v>
      </c>
      <c r="C219" s="61" t="inlineStr">
        <is>
          <t>R4</t>
        </is>
      </c>
      <c r="D219" s="74" t="inlineStr">
        <is>
          <t>NG</t>
        </is>
      </c>
      <c r="E219" s="61" t="inlineStr">
        <is>
          <t>N1</t>
        </is>
      </c>
      <c r="F219" s="61" t="inlineStr">
        <is>
          <t>K035</t>
        </is>
      </c>
      <c r="G219" s="75" t="n">
        <v>7.78</v>
      </c>
      <c r="H219" s="65" t="n"/>
      <c r="I219" s="66" t="n"/>
      <c r="J219" s="67">
        <f>VLOOKUP(C219,Recipes!$A$2:$N$4,10,FALSE())</f>
        <v/>
      </c>
      <c r="K219" s="68">
        <f>VLOOKUP(C219,Recipes!$A$2:$N$4,12,FALSE())</f>
        <v/>
      </c>
      <c r="L219" s="67">
        <f>J219-6*K219</f>
        <v/>
      </c>
      <c r="M219" s="67">
        <f>J219+6*K219</f>
        <v/>
      </c>
      <c r="N219" s="61">
        <f>IF(G219="","",IF(AND(G219&gt;=L219,G219&lt;=M219),"OK","NG"))</f>
        <v/>
      </c>
      <c r="O219" s="69">
        <f>IF(N219="","",IF(N219=D219,1,0))</f>
        <v/>
      </c>
      <c r="P219" s="67">
        <f>IF(G219="","",J219-G219)</f>
        <v/>
      </c>
      <c r="Q219" s="67">
        <f>IF(G219="","",ABS(P219-Components!$D$2)/Components!$E$2)</f>
        <v/>
      </c>
      <c r="R219" s="67">
        <f>IF(G219="","",ABS(P219-Components!$D$3)/Components!$E$3)</f>
        <v/>
      </c>
      <c r="S219" s="67">
        <f>IF(G219="","",ABS(P219-Components!$D$4)/Components!$E$4)</f>
        <v/>
      </c>
      <c r="T219" s="67">
        <f>IF(G219="","",ABS(P219-Components!$D$5)/Components!$E$5)</f>
        <v/>
      </c>
      <c r="U219" s="67">
        <f>IF(G219="","",ABS(P219-Components!$D$6)/Components!$E$6)</f>
        <v/>
      </c>
      <c r="V219" s="67">
        <f>IF(G219="","",ABS(P219-Components!$D$7)/Components!$E$7)</f>
        <v/>
      </c>
      <c r="W219" s="61">
        <f>IF(G219="","",IF(N219="OK","NONE",INDEX({"S1","S2","W1","W2","N1","N2"},MATCH(MIN(Q219:V219),Q219:V219,0))))</f>
        <v/>
      </c>
      <c r="X219" s="69">
        <f>IF(G219="","",IF(W219=E219,1,0))</f>
        <v/>
      </c>
      <c r="Y219" s="70" t="n"/>
    </row>
    <row r="220">
      <c r="A220" s="61" t="n">
        <v>-3</v>
      </c>
      <c r="B220" s="62" t="n">
        <v>53.4</v>
      </c>
      <c r="C220" s="61" t="inlineStr">
        <is>
          <t>R4</t>
        </is>
      </c>
      <c r="D220" s="74" t="inlineStr">
        <is>
          <t>NG</t>
        </is>
      </c>
      <c r="E220" s="61" t="inlineStr">
        <is>
          <t>N1</t>
        </is>
      </c>
      <c r="F220" s="61" t="inlineStr">
        <is>
          <t>K036</t>
        </is>
      </c>
      <c r="G220" s="75" t="n">
        <v>7.52</v>
      </c>
      <c r="H220" s="65" t="n"/>
      <c r="I220" s="66" t="n"/>
      <c r="J220" s="67">
        <f>VLOOKUP(C220,Recipes!$A$2:$N$4,10,FALSE())</f>
        <v/>
      </c>
      <c r="K220" s="68">
        <f>VLOOKUP(C220,Recipes!$A$2:$N$4,12,FALSE())</f>
        <v/>
      </c>
      <c r="L220" s="67">
        <f>J220-6*K220</f>
        <v/>
      </c>
      <c r="M220" s="67">
        <f>J220+6*K220</f>
        <v/>
      </c>
      <c r="N220" s="61">
        <f>IF(G220="","",IF(AND(G220&gt;=L220,G220&lt;=M220),"OK","NG"))</f>
        <v/>
      </c>
      <c r="O220" s="69">
        <f>IF(N220="","",IF(N220=D220,1,0))</f>
        <v/>
      </c>
      <c r="P220" s="67">
        <f>IF(G220="","",J220-G220)</f>
        <v/>
      </c>
      <c r="Q220" s="67">
        <f>IF(G220="","",ABS(P220-Components!$D$2)/Components!$E$2)</f>
        <v/>
      </c>
      <c r="R220" s="67">
        <f>IF(G220="","",ABS(P220-Components!$D$3)/Components!$E$3)</f>
        <v/>
      </c>
      <c r="S220" s="67">
        <f>IF(G220="","",ABS(P220-Components!$D$4)/Components!$E$4)</f>
        <v/>
      </c>
      <c r="T220" s="67">
        <f>IF(G220="","",ABS(P220-Components!$D$5)/Components!$E$5)</f>
        <v/>
      </c>
      <c r="U220" s="67">
        <f>IF(G220="","",ABS(P220-Components!$D$6)/Components!$E$6)</f>
        <v/>
      </c>
      <c r="V220" s="67">
        <f>IF(G220="","",ABS(P220-Components!$D$7)/Components!$E$7)</f>
        <v/>
      </c>
      <c r="W220" s="61">
        <f>IF(G220="","",IF(N220="OK","NONE",INDEX({"S1","S2","W1","W2","N1","N2"},MATCH(MIN(Q220:V220),Q220:V220,0))))</f>
        <v/>
      </c>
      <c r="X220" s="71">
        <f>IF(G220="","",IF(W220=E220,1,0))</f>
        <v/>
      </c>
      <c r="Y220" s="70" t="n"/>
    </row>
    <row r="221">
      <c r="A221" s="61" t="n">
        <v>-1</v>
      </c>
      <c r="B221" s="62" t="n">
        <v>52.1</v>
      </c>
      <c r="C221" s="61" t="inlineStr">
        <is>
          <t>R4</t>
        </is>
      </c>
      <c r="D221" s="74" t="inlineStr">
        <is>
          <t>NG</t>
        </is>
      </c>
      <c r="E221" s="61" t="inlineStr">
        <is>
          <t>N1</t>
        </is>
      </c>
      <c r="F221" s="61" t="inlineStr">
        <is>
          <t>K037</t>
        </is>
      </c>
      <c r="G221" s="75" t="n">
        <v>7.75</v>
      </c>
      <c r="H221" s="65" t="n"/>
      <c r="I221" s="66" t="n"/>
      <c r="J221" s="67">
        <f>VLOOKUP(C221,Recipes!$A$2:$N$4,10,FALSE())</f>
        <v/>
      </c>
      <c r="K221" s="68">
        <f>VLOOKUP(C221,Recipes!$A$2:$N$4,12,FALSE())</f>
        <v/>
      </c>
      <c r="L221" s="67">
        <f>J221-6*K221</f>
        <v/>
      </c>
      <c r="M221" s="67">
        <f>J221+6*K221</f>
        <v/>
      </c>
      <c r="N221" s="61">
        <f>IF(G221="","",IF(AND(G221&gt;=L221,G221&lt;=M221),"OK","NG"))</f>
        <v/>
      </c>
      <c r="O221" s="69">
        <f>IF(N221="","",IF(N221=D221,1,0))</f>
        <v/>
      </c>
      <c r="P221" s="67">
        <f>IF(G221="","",J221-G221)</f>
        <v/>
      </c>
      <c r="Q221" s="67">
        <f>IF(G221="","",ABS(P221-Components!$D$2)/Components!$E$2)</f>
        <v/>
      </c>
      <c r="R221" s="67">
        <f>IF(G221="","",ABS(P221-Components!$D$3)/Components!$E$3)</f>
        <v/>
      </c>
      <c r="S221" s="67">
        <f>IF(G221="","",ABS(P221-Components!$D$4)/Components!$E$4)</f>
        <v/>
      </c>
      <c r="T221" s="67">
        <f>IF(G221="","",ABS(P221-Components!$D$5)/Components!$E$5)</f>
        <v/>
      </c>
      <c r="U221" s="67">
        <f>IF(G221="","",ABS(P221-Components!$D$6)/Components!$E$6)</f>
        <v/>
      </c>
      <c r="V221" s="67">
        <f>IF(G221="","",ABS(P221-Components!$D$7)/Components!$E$7)</f>
        <v/>
      </c>
      <c r="W221" s="61">
        <f>IF(G221="","",IF(N221="OK","NONE",INDEX({"S1","S2","W1","W2","N1","N2"},MATCH(MIN(Q221:V221),Q221:V221,0))))</f>
        <v/>
      </c>
      <c r="X221" s="69">
        <f>IF(G221="","",IF(W221=E221,1,0))</f>
        <v/>
      </c>
      <c r="Y221" s="70" t="n"/>
    </row>
    <row r="222">
      <c r="A222" s="76" t="n">
        <v>1</v>
      </c>
      <c r="B222" s="77" t="n">
        <v>50.8</v>
      </c>
      <c r="C222" s="76" t="inlineStr">
        <is>
          <t>R4</t>
        </is>
      </c>
      <c r="D222" s="78" t="inlineStr">
        <is>
          <t>NG</t>
        </is>
      </c>
      <c r="E222" s="76" t="inlineStr">
        <is>
          <t>N1</t>
        </is>
      </c>
      <c r="F222" s="76" t="inlineStr">
        <is>
          <t>K043</t>
        </is>
      </c>
      <c r="G222" s="75" t="n">
        <v>7.76</v>
      </c>
      <c r="H222" s="65" t="n"/>
      <c r="I222" s="66" t="n"/>
      <c r="J222" s="67">
        <f>VLOOKUP(C222,Recipes!$A$2:$N$4,10,FALSE())</f>
        <v/>
      </c>
      <c r="K222" s="68">
        <f>VLOOKUP(C222,Recipes!$A$2:$N$4,12,FALSE())</f>
        <v/>
      </c>
      <c r="L222" s="67">
        <f>J222-6*K222</f>
        <v/>
      </c>
      <c r="M222" s="67">
        <f>J222+6*K222</f>
        <v/>
      </c>
      <c r="N222" s="61">
        <f>IF(G222="","",IF(AND(G222&gt;=L222,G222&lt;=M222),"OK","NG"))</f>
        <v/>
      </c>
      <c r="O222" s="69">
        <f>IF(N222="","",IF(N222=D222,1,0))</f>
        <v/>
      </c>
      <c r="P222" s="67">
        <f>IF(G222="","",J222-G222)</f>
        <v/>
      </c>
      <c r="Q222" s="67">
        <f>IF(G222="","",ABS(P222-Components!$D$2)/Components!$E$2)</f>
        <v/>
      </c>
      <c r="R222" s="67">
        <f>IF(G222="","",ABS(P222-Components!$D$3)/Components!$E$3)</f>
        <v/>
      </c>
      <c r="S222" s="67">
        <f>IF(G222="","",ABS(P222-Components!$D$4)/Components!$E$4)</f>
        <v/>
      </c>
      <c r="T222" s="67">
        <f>IF(G222="","",ABS(P222-Components!$D$5)/Components!$E$5)</f>
        <v/>
      </c>
      <c r="U222" s="67">
        <f>IF(G222="","",ABS(P222-Components!$D$6)/Components!$E$6)</f>
        <v/>
      </c>
      <c r="V222" s="67">
        <f>IF(G222="","",ABS(P222-Components!$D$7)/Components!$E$7)</f>
        <v/>
      </c>
      <c r="W222" s="61">
        <f>IF(G222="","",IF(N222="OK","NONE",INDEX({"S1","S2","W1","W2","N1","N2"},MATCH(MIN(Q222:V222),Q222:V222,0))))</f>
        <v/>
      </c>
      <c r="X222" s="69">
        <f>IF(G222="","",IF(W222=E222,1,0))</f>
        <v/>
      </c>
      <c r="Y222" s="70" t="n"/>
    </row>
    <row r="223">
      <c r="A223" s="61" t="n">
        <v>3</v>
      </c>
      <c r="B223" s="62" t="n">
        <v>49.5</v>
      </c>
      <c r="C223" s="61" t="inlineStr">
        <is>
          <t>R4</t>
        </is>
      </c>
      <c r="D223" s="74" t="inlineStr">
        <is>
          <t>NG</t>
        </is>
      </c>
      <c r="E223" s="61" t="inlineStr">
        <is>
          <t>N1</t>
        </is>
      </c>
      <c r="F223" s="61" t="inlineStr">
        <is>
          <t>K034</t>
        </is>
      </c>
      <c r="G223" s="75" t="n">
        <v>7.78</v>
      </c>
      <c r="H223" s="65" t="n"/>
      <c r="I223" s="66" t="n"/>
      <c r="J223" s="67">
        <f>VLOOKUP(C223,Recipes!$A$2:$N$4,10,FALSE())</f>
        <v/>
      </c>
      <c r="K223" s="68">
        <f>VLOOKUP(C223,Recipes!$A$2:$N$4,12,FALSE())</f>
        <v/>
      </c>
      <c r="L223" s="67">
        <f>J223-6*K223</f>
        <v/>
      </c>
      <c r="M223" s="67">
        <f>J223+6*K223</f>
        <v/>
      </c>
      <c r="N223" s="61">
        <f>IF(G223="","",IF(AND(G223&gt;=L223,G223&lt;=M223),"OK","NG"))</f>
        <v/>
      </c>
      <c r="O223" s="69">
        <f>IF(N223="","",IF(N223=D223,1,0))</f>
        <v/>
      </c>
      <c r="P223" s="67">
        <f>IF(G223="","",J223-G223)</f>
        <v/>
      </c>
      <c r="Q223" s="67">
        <f>IF(G223="","",ABS(P223-Components!$D$2)/Components!$E$2)</f>
        <v/>
      </c>
      <c r="R223" s="67">
        <f>IF(G223="","",ABS(P223-Components!$D$3)/Components!$E$3)</f>
        <v/>
      </c>
      <c r="S223" s="67">
        <f>IF(G223="","",ABS(P223-Components!$D$4)/Components!$E$4)</f>
        <v/>
      </c>
      <c r="T223" s="67">
        <f>IF(G223="","",ABS(P223-Components!$D$5)/Components!$E$5)</f>
        <v/>
      </c>
      <c r="U223" s="67">
        <f>IF(G223="","",ABS(P223-Components!$D$6)/Components!$E$6)</f>
        <v/>
      </c>
      <c r="V223" s="67">
        <f>IF(G223="","",ABS(P223-Components!$D$7)/Components!$E$7)</f>
        <v/>
      </c>
      <c r="W223" s="61">
        <f>IF(G223="","",IF(N223="OK","NONE",INDEX({"S1","S2","W1","W2","N1","N2"},MATCH(MIN(Q223:V223),Q223:V223,0))))</f>
        <v/>
      </c>
      <c r="X223" s="69">
        <f>IF(G223="","",IF(W223=E223,1,0))</f>
        <v/>
      </c>
      <c r="Y223" s="70" t="n"/>
    </row>
    <row r="224">
      <c r="A224" s="61" t="n">
        <v>5</v>
      </c>
      <c r="B224" s="62" t="n">
        <v>48.2</v>
      </c>
      <c r="C224" s="61" t="inlineStr">
        <is>
          <t>R4</t>
        </is>
      </c>
      <c r="D224" s="74" t="inlineStr">
        <is>
          <t>NG</t>
        </is>
      </c>
      <c r="E224" s="61" t="inlineStr">
        <is>
          <t>N1</t>
        </is>
      </c>
      <c r="F224" s="61" t="inlineStr">
        <is>
          <t>K035</t>
        </is>
      </c>
      <c r="G224" s="75" t="n">
        <v>7.82</v>
      </c>
      <c r="H224" s="65" t="n"/>
      <c r="I224" s="66" t="n"/>
      <c r="J224" s="67">
        <f>VLOOKUP(C224,Recipes!$A$2:$N$4,10,FALSE())</f>
        <v/>
      </c>
      <c r="K224" s="68">
        <f>VLOOKUP(C224,Recipes!$A$2:$N$4,12,FALSE())</f>
        <v/>
      </c>
      <c r="L224" s="67">
        <f>J224-6*K224</f>
        <v/>
      </c>
      <c r="M224" s="67">
        <f>J224+6*K224</f>
        <v/>
      </c>
      <c r="N224" s="61">
        <f>IF(G224="","",IF(AND(G224&gt;=L224,G224&lt;=M224),"OK","NG"))</f>
        <v/>
      </c>
      <c r="O224" s="69">
        <f>IF(N224="","",IF(N224=D224,1,0))</f>
        <v/>
      </c>
      <c r="P224" s="67">
        <f>IF(G224="","",J224-G224)</f>
        <v/>
      </c>
      <c r="Q224" s="67">
        <f>IF(G224="","",ABS(P224-Components!$D$2)/Components!$E$2)</f>
        <v/>
      </c>
      <c r="R224" s="67">
        <f>IF(G224="","",ABS(P224-Components!$D$3)/Components!$E$3)</f>
        <v/>
      </c>
      <c r="S224" s="67">
        <f>IF(G224="","",ABS(P224-Components!$D$4)/Components!$E$4)</f>
        <v/>
      </c>
      <c r="T224" s="67">
        <f>IF(G224="","",ABS(P224-Components!$D$5)/Components!$E$5)</f>
        <v/>
      </c>
      <c r="U224" s="67">
        <f>IF(G224="","",ABS(P224-Components!$D$6)/Components!$E$6)</f>
        <v/>
      </c>
      <c r="V224" s="67">
        <f>IF(G224="","",ABS(P224-Components!$D$7)/Components!$E$7)</f>
        <v/>
      </c>
      <c r="W224" s="61">
        <f>IF(G224="","",IF(N224="OK","NONE",INDEX({"S1","S2","W1","W2","N1","N2"},MATCH(MIN(Q224:V224),Q224:V224,0))))</f>
        <v/>
      </c>
      <c r="X224" s="69">
        <f>IF(G224="","",IF(W224=E224,1,0))</f>
        <v/>
      </c>
      <c r="Y224" s="70" t="n"/>
    </row>
    <row r="225">
      <c r="A225" s="61" t="n">
        <v>7</v>
      </c>
      <c r="B225" s="62" t="n">
        <v>46.9</v>
      </c>
      <c r="C225" s="61" t="inlineStr">
        <is>
          <t>R4</t>
        </is>
      </c>
      <c r="D225" s="74" t="inlineStr">
        <is>
          <t>NG</t>
        </is>
      </c>
      <c r="E225" s="61" t="inlineStr">
        <is>
          <t>N1</t>
        </is>
      </c>
      <c r="F225" s="61" t="inlineStr">
        <is>
          <t>K036</t>
        </is>
      </c>
      <c r="G225" s="75" t="n">
        <v>7.8</v>
      </c>
      <c r="H225" s="65" t="n"/>
      <c r="I225" s="66" t="n"/>
      <c r="J225" s="67">
        <f>VLOOKUP(C225,Recipes!$A$2:$N$4,10,FALSE())</f>
        <v/>
      </c>
      <c r="K225" s="68">
        <f>VLOOKUP(C225,Recipes!$A$2:$N$4,12,FALSE())</f>
        <v/>
      </c>
      <c r="L225" s="67">
        <f>J225-6*K225</f>
        <v/>
      </c>
      <c r="M225" s="67">
        <f>J225+6*K225</f>
        <v/>
      </c>
      <c r="N225" s="61">
        <f>IF(G225="","",IF(AND(G225&gt;=L225,G225&lt;=M225),"OK","NG"))</f>
        <v/>
      </c>
      <c r="O225" s="69">
        <f>IF(N225="","",IF(N225=D225,1,0))</f>
        <v/>
      </c>
      <c r="P225" s="67">
        <f>IF(G225="","",J225-G225)</f>
        <v/>
      </c>
      <c r="Q225" s="67">
        <f>IF(G225="","",ABS(P225-Components!$D$2)/Components!$E$2)</f>
        <v/>
      </c>
      <c r="R225" s="67">
        <f>IF(G225="","",ABS(P225-Components!$D$3)/Components!$E$3)</f>
        <v/>
      </c>
      <c r="S225" s="67">
        <f>IF(G225="","",ABS(P225-Components!$D$4)/Components!$E$4)</f>
        <v/>
      </c>
      <c r="T225" s="67">
        <f>IF(G225="","",ABS(P225-Components!$D$5)/Components!$E$5)</f>
        <v/>
      </c>
      <c r="U225" s="67">
        <f>IF(G225="","",ABS(P225-Components!$D$6)/Components!$E$6)</f>
        <v/>
      </c>
      <c r="V225" s="67">
        <f>IF(G225="","",ABS(P225-Components!$D$7)/Components!$E$7)</f>
        <v/>
      </c>
      <c r="W225" s="61">
        <f>IF(G225="","",IF(N225="OK","NONE",INDEX({"S1","S2","W1","W2","N1","N2"},MATCH(MIN(Q225:V225),Q225:V225,0))))</f>
        <v/>
      </c>
      <c r="X225" s="69">
        <f>IF(G225="","",IF(W225=E225,1,0))</f>
        <v/>
      </c>
      <c r="Y225" s="70" t="n"/>
    </row>
    <row r="226">
      <c r="A226" s="61" t="n">
        <v>9</v>
      </c>
      <c r="B226" s="62" t="n">
        <v>45.6</v>
      </c>
      <c r="C226" s="61" t="inlineStr">
        <is>
          <t>R4</t>
        </is>
      </c>
      <c r="D226" s="74" t="inlineStr">
        <is>
          <t>NG</t>
        </is>
      </c>
      <c r="E226" s="61" t="inlineStr">
        <is>
          <t>N1</t>
        </is>
      </c>
      <c r="F226" s="61" t="inlineStr">
        <is>
          <t>K037</t>
        </is>
      </c>
      <c r="G226" s="75" t="n">
        <v>7.75</v>
      </c>
      <c r="H226" s="65" t="n"/>
      <c r="I226" s="66" t="n"/>
      <c r="J226" s="67">
        <f>VLOOKUP(C226,Recipes!$A$2:$N$4,10,FALSE())</f>
        <v/>
      </c>
      <c r="K226" s="68">
        <f>VLOOKUP(C226,Recipes!$A$2:$N$4,12,FALSE())</f>
        <v/>
      </c>
      <c r="L226" s="67">
        <f>J226-6*K226</f>
        <v/>
      </c>
      <c r="M226" s="67">
        <f>J226+6*K226</f>
        <v/>
      </c>
      <c r="N226" s="61">
        <f>IF(G226="","",IF(AND(G226&gt;=L226,G226&lt;=M226),"OK","NG"))</f>
        <v/>
      </c>
      <c r="O226" s="69">
        <f>IF(N226="","",IF(N226=D226,1,0))</f>
        <v/>
      </c>
      <c r="P226" s="67">
        <f>IF(G226="","",J226-G226)</f>
        <v/>
      </c>
      <c r="Q226" s="67">
        <f>IF(G226="","",ABS(P226-Components!$D$2)/Components!$E$2)</f>
        <v/>
      </c>
      <c r="R226" s="67">
        <f>IF(G226="","",ABS(P226-Components!$D$3)/Components!$E$3)</f>
        <v/>
      </c>
      <c r="S226" s="67">
        <f>IF(G226="","",ABS(P226-Components!$D$4)/Components!$E$4)</f>
        <v/>
      </c>
      <c r="T226" s="67">
        <f>IF(G226="","",ABS(P226-Components!$D$5)/Components!$E$5)</f>
        <v/>
      </c>
      <c r="U226" s="67">
        <f>IF(G226="","",ABS(P226-Components!$D$6)/Components!$E$6)</f>
        <v/>
      </c>
      <c r="V226" s="67">
        <f>IF(G226="","",ABS(P226-Components!$D$7)/Components!$E$7)</f>
        <v/>
      </c>
      <c r="W226" s="61">
        <f>IF(G226="","",IF(N226="OK","NONE",INDEX({"S1","S2","W1","W2","N1","N2"},MATCH(MIN(Q226:V226),Q226:V226,0))))</f>
        <v/>
      </c>
      <c r="X226" s="69">
        <f>IF(G226="","",IF(W226=E226,1,0))</f>
        <v/>
      </c>
      <c r="Y226" s="70" t="n"/>
    </row>
    <row r="227">
      <c r="A227" s="76" t="n">
        <v>11</v>
      </c>
      <c r="B227" s="77" t="n">
        <v>44.3</v>
      </c>
      <c r="C227" s="76" t="inlineStr">
        <is>
          <t>R4</t>
        </is>
      </c>
      <c r="D227" s="78" t="inlineStr">
        <is>
          <t>NG</t>
        </is>
      </c>
      <c r="E227" s="76" t="inlineStr">
        <is>
          <t>N1</t>
        </is>
      </c>
      <c r="F227" s="76" t="inlineStr">
        <is>
          <t>K043</t>
        </is>
      </c>
      <c r="G227" s="75" t="n">
        <v>7.72</v>
      </c>
      <c r="H227" s="65" t="n"/>
      <c r="I227" s="66" t="n"/>
      <c r="J227" s="67">
        <f>VLOOKUP(C227,Recipes!$A$2:$N$4,10,FALSE())</f>
        <v/>
      </c>
      <c r="K227" s="68">
        <f>VLOOKUP(C227,Recipes!$A$2:$N$4,12,FALSE())</f>
        <v/>
      </c>
      <c r="L227" s="67">
        <f>J227-6*K227</f>
        <v/>
      </c>
      <c r="M227" s="67">
        <f>J227+6*K227</f>
        <v/>
      </c>
      <c r="N227" s="61">
        <f>IF(G227="","",IF(AND(G227&gt;=L227,G227&lt;=M227),"OK","NG"))</f>
        <v/>
      </c>
      <c r="O227" s="69">
        <f>IF(N227="","",IF(N227=D227,1,0))</f>
        <v/>
      </c>
      <c r="P227" s="67">
        <f>IF(G227="","",J227-G227)</f>
        <v/>
      </c>
      <c r="Q227" s="67">
        <f>IF(G227="","",ABS(P227-Components!$D$2)/Components!$E$2)</f>
        <v/>
      </c>
      <c r="R227" s="67">
        <f>IF(G227="","",ABS(P227-Components!$D$3)/Components!$E$3)</f>
        <v/>
      </c>
      <c r="S227" s="67">
        <f>IF(G227="","",ABS(P227-Components!$D$4)/Components!$E$4)</f>
        <v/>
      </c>
      <c r="T227" s="67">
        <f>IF(G227="","",ABS(P227-Components!$D$5)/Components!$E$5)</f>
        <v/>
      </c>
      <c r="U227" s="67">
        <f>IF(G227="","",ABS(P227-Components!$D$6)/Components!$E$6)</f>
        <v/>
      </c>
      <c r="V227" s="67">
        <f>IF(G227="","",ABS(P227-Components!$D$7)/Components!$E$7)</f>
        <v/>
      </c>
      <c r="W227" s="61">
        <f>IF(G227="","",IF(N227="OK","NONE",INDEX({"S1","S2","W1","W2","N1","N2"},MATCH(MIN(Q227:V227),Q227:V227,0))))</f>
        <v/>
      </c>
      <c r="X227" s="69">
        <f>IF(G227="","",IF(W227=E227,1,0))</f>
        <v/>
      </c>
      <c r="Y227" s="70" t="n"/>
    </row>
    <row r="228">
      <c r="A228" s="61" t="n">
        <v>13</v>
      </c>
      <c r="B228" s="62" t="n">
        <v>43</v>
      </c>
      <c r="C228" s="61" t="inlineStr">
        <is>
          <t>R4</t>
        </is>
      </c>
      <c r="D228" s="74" t="inlineStr">
        <is>
          <t>NG</t>
        </is>
      </c>
      <c r="E228" s="61" t="inlineStr">
        <is>
          <t>N1</t>
        </is>
      </c>
      <c r="F228" s="61" t="inlineStr">
        <is>
          <t>K034</t>
        </is>
      </c>
      <c r="G228" s="75" t="n">
        <v>7.78</v>
      </c>
      <c r="H228" s="65" t="n"/>
      <c r="I228" s="66" t="n"/>
      <c r="J228" s="67">
        <f>VLOOKUP(C228,Recipes!$A$2:$N$4,10,FALSE())</f>
        <v/>
      </c>
      <c r="K228" s="68">
        <f>VLOOKUP(C228,Recipes!$A$2:$N$4,12,FALSE())</f>
        <v/>
      </c>
      <c r="L228" s="67">
        <f>J228-6*K228</f>
        <v/>
      </c>
      <c r="M228" s="67">
        <f>J228+6*K228</f>
        <v/>
      </c>
      <c r="N228" s="61">
        <f>IF(G228="","",IF(AND(G228&gt;=L228,G228&lt;=M228),"OK","NG"))</f>
        <v/>
      </c>
      <c r="O228" s="69">
        <f>IF(N228="","",IF(N228=D228,1,0))</f>
        <v/>
      </c>
      <c r="P228" s="67">
        <f>IF(G228="","",J228-G228)</f>
        <v/>
      </c>
      <c r="Q228" s="67">
        <f>IF(G228="","",ABS(P228-Components!$D$2)/Components!$E$2)</f>
        <v/>
      </c>
      <c r="R228" s="67">
        <f>IF(G228="","",ABS(P228-Components!$D$3)/Components!$E$3)</f>
        <v/>
      </c>
      <c r="S228" s="67">
        <f>IF(G228="","",ABS(P228-Components!$D$4)/Components!$E$4)</f>
        <v/>
      </c>
      <c r="T228" s="67">
        <f>IF(G228="","",ABS(P228-Components!$D$5)/Components!$E$5)</f>
        <v/>
      </c>
      <c r="U228" s="67">
        <f>IF(G228="","",ABS(P228-Components!$D$6)/Components!$E$6)</f>
        <v/>
      </c>
      <c r="V228" s="67">
        <f>IF(G228="","",ABS(P228-Components!$D$7)/Components!$E$7)</f>
        <v/>
      </c>
      <c r="W228" s="61">
        <f>IF(G228="","",IF(N228="OK","NONE",INDEX({"S1","S2","W1","W2","N1","N2"},MATCH(MIN(Q228:V228),Q228:V228,0))))</f>
        <v/>
      </c>
      <c r="X228" s="69">
        <f>IF(G228="","",IF(W228=E228,1,0))</f>
        <v/>
      </c>
      <c r="Y228" s="70" t="n"/>
    </row>
    <row r="229">
      <c r="A229" s="61" t="n">
        <v>15</v>
      </c>
      <c r="B229" s="62" t="n">
        <v>41.7</v>
      </c>
      <c r="C229" s="61" t="inlineStr">
        <is>
          <t>R4</t>
        </is>
      </c>
      <c r="D229" s="74" t="inlineStr">
        <is>
          <t>NG</t>
        </is>
      </c>
      <c r="E229" s="61" t="inlineStr">
        <is>
          <t>N1</t>
        </is>
      </c>
      <c r="F229" s="61" t="inlineStr">
        <is>
          <t>K035</t>
        </is>
      </c>
      <c r="G229" s="75" t="n">
        <v>7.75</v>
      </c>
      <c r="H229" s="65" t="n"/>
      <c r="I229" s="66" t="n"/>
      <c r="J229" s="67">
        <f>VLOOKUP(C229,Recipes!$A$2:$N$4,10,FALSE())</f>
        <v/>
      </c>
      <c r="K229" s="68">
        <f>VLOOKUP(C229,Recipes!$A$2:$N$4,12,FALSE())</f>
        <v/>
      </c>
      <c r="L229" s="67">
        <f>J229-6*K229</f>
        <v/>
      </c>
      <c r="M229" s="67">
        <f>J229+6*K229</f>
        <v/>
      </c>
      <c r="N229" s="61">
        <f>IF(G229="","",IF(AND(G229&gt;=L229,G229&lt;=M229),"OK","NG"))</f>
        <v/>
      </c>
      <c r="O229" s="69">
        <f>IF(N229="","",IF(N229=D229,1,0))</f>
        <v/>
      </c>
      <c r="P229" s="67">
        <f>IF(G229="","",J229-G229)</f>
        <v/>
      </c>
      <c r="Q229" s="67">
        <f>IF(G229="","",ABS(P229-Components!$D$2)/Components!$E$2)</f>
        <v/>
      </c>
      <c r="R229" s="67">
        <f>IF(G229="","",ABS(P229-Components!$D$3)/Components!$E$3)</f>
        <v/>
      </c>
      <c r="S229" s="67">
        <f>IF(G229="","",ABS(P229-Components!$D$4)/Components!$E$4)</f>
        <v/>
      </c>
      <c r="T229" s="67">
        <f>IF(G229="","",ABS(P229-Components!$D$5)/Components!$E$5)</f>
        <v/>
      </c>
      <c r="U229" s="67">
        <f>IF(G229="","",ABS(P229-Components!$D$6)/Components!$E$6)</f>
        <v/>
      </c>
      <c r="V229" s="67">
        <f>IF(G229="","",ABS(P229-Components!$D$7)/Components!$E$7)</f>
        <v/>
      </c>
      <c r="W229" s="61">
        <f>IF(G229="","",IF(N229="OK","NONE",INDEX({"S1","S2","W1","W2","N1","N2"},MATCH(MIN(Q229:V229),Q229:V229,0))))</f>
        <v/>
      </c>
      <c r="X229" s="69">
        <f>IF(G229="","",IF(W229=E229,1,0))</f>
        <v/>
      </c>
      <c r="Y229" s="70" t="n"/>
    </row>
    <row r="230">
      <c r="A230" s="61" t="n">
        <v>17</v>
      </c>
      <c r="B230" s="62" t="n">
        <v>40.4</v>
      </c>
      <c r="C230" s="61" t="inlineStr">
        <is>
          <t>R4</t>
        </is>
      </c>
      <c r="D230" s="74" t="inlineStr">
        <is>
          <t>NG</t>
        </is>
      </c>
      <c r="E230" s="61" t="inlineStr">
        <is>
          <t>N1</t>
        </is>
      </c>
      <c r="F230" s="61" t="inlineStr">
        <is>
          <t>K036</t>
        </is>
      </c>
      <c r="G230" s="75" t="n">
        <v>7.77</v>
      </c>
      <c r="H230" s="65" t="n"/>
      <c r="I230" s="66" t="n"/>
      <c r="J230" s="67">
        <f>VLOOKUP(C230,Recipes!$A$2:$N$4,10,FALSE())</f>
        <v/>
      </c>
      <c r="K230" s="68">
        <f>VLOOKUP(C230,Recipes!$A$2:$N$4,12,FALSE())</f>
        <v/>
      </c>
      <c r="L230" s="67">
        <f>J230-6*K230</f>
        <v/>
      </c>
      <c r="M230" s="67">
        <f>J230+6*K230</f>
        <v/>
      </c>
      <c r="N230" s="61">
        <f>IF(G230="","",IF(AND(G230&gt;=L230,G230&lt;=M230),"OK","NG"))</f>
        <v/>
      </c>
      <c r="O230" s="69">
        <f>IF(N230="","",IF(N230=D230,1,0))</f>
        <v/>
      </c>
      <c r="P230" s="67">
        <f>IF(G230="","",J230-G230)</f>
        <v/>
      </c>
      <c r="Q230" s="67">
        <f>IF(G230="","",ABS(P230-Components!$D$2)/Components!$E$2)</f>
        <v/>
      </c>
      <c r="R230" s="67">
        <f>IF(G230="","",ABS(P230-Components!$D$3)/Components!$E$3)</f>
        <v/>
      </c>
      <c r="S230" s="67">
        <f>IF(G230="","",ABS(P230-Components!$D$4)/Components!$E$4)</f>
        <v/>
      </c>
      <c r="T230" s="67">
        <f>IF(G230="","",ABS(P230-Components!$D$5)/Components!$E$5)</f>
        <v/>
      </c>
      <c r="U230" s="67">
        <f>IF(G230="","",ABS(P230-Components!$D$6)/Components!$E$6)</f>
        <v/>
      </c>
      <c r="V230" s="67">
        <f>IF(G230="","",ABS(P230-Components!$D$7)/Components!$E$7)</f>
        <v/>
      </c>
      <c r="W230" s="61">
        <f>IF(G230="","",IF(N230="OK","NONE",INDEX({"S1","S2","W1","W2","N1","N2"},MATCH(MIN(Q230:V230),Q230:V230,0))))</f>
        <v/>
      </c>
      <c r="X230" s="69">
        <f>IF(G230="","",IF(W230=E230,1,0))</f>
        <v/>
      </c>
      <c r="Y230" s="70" t="n"/>
    </row>
    <row r="231">
      <c r="A231" s="61" t="n">
        <v>19</v>
      </c>
      <c r="B231" s="62" t="n">
        <v>39.1</v>
      </c>
      <c r="C231" s="61" t="inlineStr">
        <is>
          <t>R4</t>
        </is>
      </c>
      <c r="D231" s="74" t="inlineStr">
        <is>
          <t>NG</t>
        </is>
      </c>
      <c r="E231" s="61" t="inlineStr">
        <is>
          <t>N1</t>
        </is>
      </c>
      <c r="F231" s="61" t="inlineStr">
        <is>
          <t>K037</t>
        </is>
      </c>
      <c r="G231" s="75" t="n">
        <v>7.69</v>
      </c>
      <c r="H231" s="65" t="n"/>
      <c r="I231" s="66" t="n"/>
      <c r="J231" s="67">
        <f>VLOOKUP(C231,Recipes!$A$2:$N$4,10,FALSE())</f>
        <v/>
      </c>
      <c r="K231" s="68">
        <f>VLOOKUP(C231,Recipes!$A$2:$N$4,12,FALSE())</f>
        <v/>
      </c>
      <c r="L231" s="67">
        <f>J231-6*K231</f>
        <v/>
      </c>
      <c r="M231" s="67">
        <f>J231+6*K231</f>
        <v/>
      </c>
      <c r="N231" s="61">
        <f>IF(G231="","",IF(AND(G231&gt;=L231,G231&lt;=M231),"OK","NG"))</f>
        <v/>
      </c>
      <c r="O231" s="69">
        <f>IF(N231="","",IF(N231=D231,1,0))</f>
        <v/>
      </c>
      <c r="P231" s="67">
        <f>IF(G231="","",J231-G231)</f>
        <v/>
      </c>
      <c r="Q231" s="67">
        <f>IF(G231="","",ABS(P231-Components!$D$2)/Components!$E$2)</f>
        <v/>
      </c>
      <c r="R231" s="67">
        <f>IF(G231="","",ABS(P231-Components!$D$3)/Components!$E$3)</f>
        <v/>
      </c>
      <c r="S231" s="67">
        <f>IF(G231="","",ABS(P231-Components!$D$4)/Components!$E$4)</f>
        <v/>
      </c>
      <c r="T231" s="67">
        <f>IF(G231="","",ABS(P231-Components!$D$5)/Components!$E$5)</f>
        <v/>
      </c>
      <c r="U231" s="67">
        <f>IF(G231="","",ABS(P231-Components!$D$6)/Components!$E$6)</f>
        <v/>
      </c>
      <c r="V231" s="67">
        <f>IF(G231="","",ABS(P231-Components!$D$7)/Components!$E$7)</f>
        <v/>
      </c>
      <c r="W231" s="61">
        <f>IF(G231="","",IF(N231="OK","NONE",INDEX({"S1","S2","W1","W2","N1","N2"},MATCH(MIN(Q231:V231),Q231:V231,0))))</f>
        <v/>
      </c>
      <c r="X231" s="69">
        <f>IF(G231="","",IF(W231=E231,1,0))</f>
        <v/>
      </c>
      <c r="Y231" s="70" t="n"/>
    </row>
    <row r="232">
      <c r="A232" s="76" t="n">
        <v>21</v>
      </c>
      <c r="B232" s="77" t="n">
        <v>37.8</v>
      </c>
      <c r="C232" s="76" t="inlineStr">
        <is>
          <t>R4</t>
        </is>
      </c>
      <c r="D232" s="78" t="inlineStr">
        <is>
          <t>NG</t>
        </is>
      </c>
      <c r="E232" s="76" t="inlineStr">
        <is>
          <t>N1</t>
        </is>
      </c>
      <c r="F232" s="76" t="inlineStr">
        <is>
          <t>K043</t>
        </is>
      </c>
      <c r="G232" s="75" t="n">
        <v>7.77</v>
      </c>
      <c r="H232" s="65" t="n"/>
      <c r="I232" s="66" t="n"/>
      <c r="J232" s="67">
        <f>VLOOKUP(C232,Recipes!$A$2:$N$4,10,FALSE())</f>
        <v/>
      </c>
      <c r="K232" s="68">
        <f>VLOOKUP(C232,Recipes!$A$2:$N$4,12,FALSE())</f>
        <v/>
      </c>
      <c r="L232" s="67">
        <f>J232-6*K232</f>
        <v/>
      </c>
      <c r="M232" s="67">
        <f>J232+6*K232</f>
        <v/>
      </c>
      <c r="N232" s="61">
        <f>IF(G232="","",IF(AND(G232&gt;=L232,G232&lt;=M232),"OK","NG"))</f>
        <v/>
      </c>
      <c r="O232" s="69">
        <f>IF(N232="","",IF(N232=D232,1,0))</f>
        <v/>
      </c>
      <c r="P232" s="67">
        <f>IF(G232="","",J232-G232)</f>
        <v/>
      </c>
      <c r="Q232" s="67">
        <f>IF(G232="","",ABS(P232-Components!$D$2)/Components!$E$2)</f>
        <v/>
      </c>
      <c r="R232" s="67">
        <f>IF(G232="","",ABS(P232-Components!$D$3)/Components!$E$3)</f>
        <v/>
      </c>
      <c r="S232" s="67">
        <f>IF(G232="","",ABS(P232-Components!$D$4)/Components!$E$4)</f>
        <v/>
      </c>
      <c r="T232" s="67">
        <f>IF(G232="","",ABS(P232-Components!$D$5)/Components!$E$5)</f>
        <v/>
      </c>
      <c r="U232" s="67">
        <f>IF(G232="","",ABS(P232-Components!$D$6)/Components!$E$6)</f>
        <v/>
      </c>
      <c r="V232" s="67">
        <f>IF(G232="","",ABS(P232-Components!$D$7)/Components!$E$7)</f>
        <v/>
      </c>
      <c r="W232" s="61">
        <f>IF(G232="","",IF(N232="OK","NONE",INDEX({"S1","S2","W1","W2","N1","N2"},MATCH(MIN(Q232:V232),Q232:V232,0))))</f>
        <v/>
      </c>
      <c r="X232" s="69">
        <f>IF(G232="","",IF(W232=E232,1,0))</f>
        <v/>
      </c>
      <c r="Y232" s="70" t="n"/>
    </row>
    <row r="233">
      <c r="A233" s="61" t="n">
        <v>23</v>
      </c>
      <c r="B233" s="62" t="n">
        <v>36.5</v>
      </c>
      <c r="C233" s="61" t="inlineStr">
        <is>
          <t>R4</t>
        </is>
      </c>
      <c r="D233" s="74" t="inlineStr">
        <is>
          <t>NG</t>
        </is>
      </c>
      <c r="E233" s="61" t="inlineStr">
        <is>
          <t>N1</t>
        </is>
      </c>
      <c r="F233" s="61" t="inlineStr">
        <is>
          <t>K034</t>
        </is>
      </c>
      <c r="G233" s="75" t="n">
        <v>7.77</v>
      </c>
      <c r="H233" s="65" t="n"/>
      <c r="I233" s="66" t="n"/>
      <c r="J233" s="67">
        <f>VLOOKUP(C233,Recipes!$A$2:$N$4,10,FALSE())</f>
        <v/>
      </c>
      <c r="K233" s="68">
        <f>VLOOKUP(C233,Recipes!$A$2:$N$4,12,FALSE())</f>
        <v/>
      </c>
      <c r="L233" s="67">
        <f>J233-6*K233</f>
        <v/>
      </c>
      <c r="M233" s="67">
        <f>J233+6*K233</f>
        <v/>
      </c>
      <c r="N233" s="61">
        <f>IF(G233="","",IF(AND(G233&gt;=L233,G233&lt;=M233),"OK","NG"))</f>
        <v/>
      </c>
      <c r="O233" s="69">
        <f>IF(N233="","",IF(N233=D233,1,0))</f>
        <v/>
      </c>
      <c r="P233" s="67">
        <f>IF(G233="","",J233-G233)</f>
        <v/>
      </c>
      <c r="Q233" s="67">
        <f>IF(G233="","",ABS(P233-Components!$D$2)/Components!$E$2)</f>
        <v/>
      </c>
      <c r="R233" s="67">
        <f>IF(G233="","",ABS(P233-Components!$D$3)/Components!$E$3)</f>
        <v/>
      </c>
      <c r="S233" s="67">
        <f>IF(G233="","",ABS(P233-Components!$D$4)/Components!$E$4)</f>
        <v/>
      </c>
      <c r="T233" s="67">
        <f>IF(G233="","",ABS(P233-Components!$D$5)/Components!$E$5)</f>
        <v/>
      </c>
      <c r="U233" s="67">
        <f>IF(G233="","",ABS(P233-Components!$D$6)/Components!$E$6)</f>
        <v/>
      </c>
      <c r="V233" s="67">
        <f>IF(G233="","",ABS(P233-Components!$D$7)/Components!$E$7)</f>
        <v/>
      </c>
      <c r="W233" s="61">
        <f>IF(G233="","",IF(N233="OK","NONE",INDEX({"S1","S2","W1","W2","N1","N2"},MATCH(MIN(Q233:V233),Q233:V233,0))))</f>
        <v/>
      </c>
      <c r="X233" s="69">
        <f>IF(G233="","",IF(W233=E233,1,0))</f>
        <v/>
      </c>
      <c r="Y233" s="70" t="n"/>
    </row>
    <row r="234">
      <c r="A234" s="61" t="n">
        <v>25</v>
      </c>
      <c r="B234" s="62" t="n">
        <v>35.2</v>
      </c>
      <c r="C234" s="61" t="inlineStr">
        <is>
          <t>R4</t>
        </is>
      </c>
      <c r="D234" s="74" t="inlineStr">
        <is>
          <t>NG</t>
        </is>
      </c>
      <c r="E234" s="61" t="inlineStr">
        <is>
          <t>N1</t>
        </is>
      </c>
      <c r="F234" s="61" t="inlineStr">
        <is>
          <t>K035</t>
        </is>
      </c>
      <c r="G234" s="75" t="n">
        <v>7.78</v>
      </c>
      <c r="H234" s="65" t="n"/>
      <c r="I234" s="66" t="n"/>
      <c r="J234" s="67">
        <f>VLOOKUP(C234,Recipes!$A$2:$N$4,10,FALSE())</f>
        <v/>
      </c>
      <c r="K234" s="68">
        <f>VLOOKUP(C234,Recipes!$A$2:$N$4,12,FALSE())</f>
        <v/>
      </c>
      <c r="L234" s="67">
        <f>J234-6*K234</f>
        <v/>
      </c>
      <c r="M234" s="67">
        <f>J234+6*K234</f>
        <v/>
      </c>
      <c r="N234" s="61">
        <f>IF(G234="","",IF(AND(G234&gt;=L234,G234&lt;=M234),"OK","NG"))</f>
        <v/>
      </c>
      <c r="O234" s="69">
        <f>IF(N234="","",IF(N234=D234,1,0))</f>
        <v/>
      </c>
      <c r="P234" s="67">
        <f>IF(G234="","",J234-G234)</f>
        <v/>
      </c>
      <c r="Q234" s="67">
        <f>IF(G234="","",ABS(P234-Components!$D$2)/Components!$E$2)</f>
        <v/>
      </c>
      <c r="R234" s="67">
        <f>IF(G234="","",ABS(P234-Components!$D$3)/Components!$E$3)</f>
        <v/>
      </c>
      <c r="S234" s="67">
        <f>IF(G234="","",ABS(P234-Components!$D$4)/Components!$E$4)</f>
        <v/>
      </c>
      <c r="T234" s="67">
        <f>IF(G234="","",ABS(P234-Components!$D$5)/Components!$E$5)</f>
        <v/>
      </c>
      <c r="U234" s="67">
        <f>IF(G234="","",ABS(P234-Components!$D$6)/Components!$E$6)</f>
        <v/>
      </c>
      <c r="V234" s="67">
        <f>IF(G234="","",ABS(P234-Components!$D$7)/Components!$E$7)</f>
        <v/>
      </c>
      <c r="W234" s="61">
        <f>IF(G234="","",IF(N234="OK","NONE",INDEX({"S1","S2","W1","W2","N1","N2"},MATCH(MIN(Q234:V234),Q234:V234,0))))</f>
        <v/>
      </c>
      <c r="X234" s="69">
        <f>IF(G234="","",IF(W234=E234,1,0))</f>
        <v/>
      </c>
      <c r="Y234" s="70" t="n"/>
    </row>
    <row r="235">
      <c r="A235" s="61" t="n">
        <v>27</v>
      </c>
      <c r="B235" s="62" t="n">
        <v>33.9</v>
      </c>
      <c r="C235" s="61" t="inlineStr">
        <is>
          <t>R4</t>
        </is>
      </c>
      <c r="D235" s="74" t="inlineStr">
        <is>
          <t>NG</t>
        </is>
      </c>
      <c r="E235" s="61" t="inlineStr">
        <is>
          <t>N1</t>
        </is>
      </c>
      <c r="F235" s="61" t="inlineStr">
        <is>
          <t>K036</t>
        </is>
      </c>
      <c r="G235" s="75" t="n">
        <v>7.76</v>
      </c>
      <c r="H235" s="65" t="n"/>
      <c r="I235" s="66" t="n"/>
      <c r="J235" s="67">
        <f>VLOOKUP(C235,Recipes!$A$2:$N$4,10,FALSE())</f>
        <v/>
      </c>
      <c r="K235" s="68">
        <f>VLOOKUP(C235,Recipes!$A$2:$N$4,12,FALSE())</f>
        <v/>
      </c>
      <c r="L235" s="67">
        <f>J235-6*K235</f>
        <v/>
      </c>
      <c r="M235" s="67">
        <f>J235+6*K235</f>
        <v/>
      </c>
      <c r="N235" s="61">
        <f>IF(G235="","",IF(AND(G235&gt;=L235,G235&lt;=M235),"OK","NG"))</f>
        <v/>
      </c>
      <c r="O235" s="69">
        <f>IF(N235="","",IF(N235=D235,1,0))</f>
        <v/>
      </c>
      <c r="P235" s="67">
        <f>IF(G235="","",J235-G235)</f>
        <v/>
      </c>
      <c r="Q235" s="67">
        <f>IF(G235="","",ABS(P235-Components!$D$2)/Components!$E$2)</f>
        <v/>
      </c>
      <c r="R235" s="67">
        <f>IF(G235="","",ABS(P235-Components!$D$3)/Components!$E$3)</f>
        <v/>
      </c>
      <c r="S235" s="67">
        <f>IF(G235="","",ABS(P235-Components!$D$4)/Components!$E$4)</f>
        <v/>
      </c>
      <c r="T235" s="67">
        <f>IF(G235="","",ABS(P235-Components!$D$5)/Components!$E$5)</f>
        <v/>
      </c>
      <c r="U235" s="67">
        <f>IF(G235="","",ABS(P235-Components!$D$6)/Components!$E$6)</f>
        <v/>
      </c>
      <c r="V235" s="67">
        <f>IF(G235="","",ABS(P235-Components!$D$7)/Components!$E$7)</f>
        <v/>
      </c>
      <c r="W235" s="61">
        <f>IF(G235="","",IF(N235="OK","NONE",INDEX({"S1","S2","W1","W2","N1","N2"},MATCH(MIN(Q235:V235),Q235:V235,0))))</f>
        <v/>
      </c>
      <c r="X235" s="69">
        <f>IF(G235="","",IF(W235=E235,1,0))</f>
        <v/>
      </c>
      <c r="Y235" s="70" t="n"/>
    </row>
    <row r="236">
      <c r="A236" s="61" t="n">
        <v>29</v>
      </c>
      <c r="B236" s="62" t="n">
        <v>32.6</v>
      </c>
      <c r="C236" s="61" t="inlineStr">
        <is>
          <t>R4</t>
        </is>
      </c>
      <c r="D236" s="74" t="inlineStr">
        <is>
          <t>NG</t>
        </is>
      </c>
      <c r="E236" s="61" t="inlineStr">
        <is>
          <t>N1</t>
        </is>
      </c>
      <c r="F236" s="61" t="inlineStr">
        <is>
          <t>K037</t>
        </is>
      </c>
      <c r="G236" s="75" t="n">
        <v>7.77</v>
      </c>
      <c r="H236" s="65" t="n"/>
      <c r="I236" s="66" t="n"/>
      <c r="J236" s="67">
        <f>VLOOKUP(C236,Recipes!$A$2:$N$4,10,FALSE())</f>
        <v/>
      </c>
      <c r="K236" s="68">
        <f>VLOOKUP(C236,Recipes!$A$2:$N$4,12,FALSE())</f>
        <v/>
      </c>
      <c r="L236" s="67">
        <f>J236-6*K236</f>
        <v/>
      </c>
      <c r="M236" s="67">
        <f>J236+6*K236</f>
        <v/>
      </c>
      <c r="N236" s="61">
        <f>IF(G236="","",IF(AND(G236&gt;=L236,G236&lt;=M236),"OK","NG"))</f>
        <v/>
      </c>
      <c r="O236" s="69">
        <f>IF(N236="","",IF(N236=D236,1,0))</f>
        <v/>
      </c>
      <c r="P236" s="67">
        <f>IF(G236="","",J236-G236)</f>
        <v/>
      </c>
      <c r="Q236" s="67">
        <f>IF(G236="","",ABS(P236-Components!$D$2)/Components!$E$2)</f>
        <v/>
      </c>
      <c r="R236" s="67">
        <f>IF(G236="","",ABS(P236-Components!$D$3)/Components!$E$3)</f>
        <v/>
      </c>
      <c r="S236" s="67">
        <f>IF(G236="","",ABS(P236-Components!$D$4)/Components!$E$4)</f>
        <v/>
      </c>
      <c r="T236" s="67">
        <f>IF(G236="","",ABS(P236-Components!$D$5)/Components!$E$5)</f>
        <v/>
      </c>
      <c r="U236" s="67">
        <f>IF(G236="","",ABS(P236-Components!$D$6)/Components!$E$6)</f>
        <v/>
      </c>
      <c r="V236" s="67">
        <f>IF(G236="","",ABS(P236-Components!$D$7)/Components!$E$7)</f>
        <v/>
      </c>
      <c r="W236" s="61">
        <f>IF(G236="","",IF(N236="OK","NONE",INDEX({"S1","S2","W1","W2","N1","N2"},MATCH(MIN(Q236:V236),Q236:V236,0))))</f>
        <v/>
      </c>
      <c r="X236" s="69">
        <f>IF(G236="","",IF(W236=E236,1,0))</f>
        <v/>
      </c>
      <c r="Y236" s="70" t="n"/>
    </row>
    <row r="237">
      <c r="A237" s="76" t="n">
        <v>31</v>
      </c>
      <c r="B237" s="77" t="n">
        <v>31.3</v>
      </c>
      <c r="C237" s="76" t="inlineStr">
        <is>
          <t>R4</t>
        </is>
      </c>
      <c r="D237" s="78" t="inlineStr">
        <is>
          <t>NG</t>
        </is>
      </c>
      <c r="E237" s="76" t="inlineStr">
        <is>
          <t>N1</t>
        </is>
      </c>
      <c r="F237" s="76" t="inlineStr">
        <is>
          <t>K043</t>
        </is>
      </c>
      <c r="G237" s="75" t="n">
        <v>7.71</v>
      </c>
      <c r="H237" s="65" t="n"/>
      <c r="I237" s="66" t="n"/>
      <c r="J237" s="67">
        <f>VLOOKUP(C237,Recipes!$A$2:$N$4,10,FALSE())</f>
        <v/>
      </c>
      <c r="K237" s="68">
        <f>VLOOKUP(C237,Recipes!$A$2:$N$4,12,FALSE())</f>
        <v/>
      </c>
      <c r="L237" s="67">
        <f>J237-6*K237</f>
        <v/>
      </c>
      <c r="M237" s="67">
        <f>J237+6*K237</f>
        <v/>
      </c>
      <c r="N237" s="61">
        <f>IF(G237="","",IF(AND(G237&gt;=L237,G237&lt;=M237),"OK","NG"))</f>
        <v/>
      </c>
      <c r="O237" s="69">
        <f>IF(N237="","",IF(N237=D237,1,0))</f>
        <v/>
      </c>
      <c r="P237" s="67">
        <f>IF(G237="","",J237-G237)</f>
        <v/>
      </c>
      <c r="Q237" s="67">
        <f>IF(G237="","",ABS(P237-Components!$D$2)/Components!$E$2)</f>
        <v/>
      </c>
      <c r="R237" s="67">
        <f>IF(G237="","",ABS(P237-Components!$D$3)/Components!$E$3)</f>
        <v/>
      </c>
      <c r="S237" s="67">
        <f>IF(G237="","",ABS(P237-Components!$D$4)/Components!$E$4)</f>
        <v/>
      </c>
      <c r="T237" s="67">
        <f>IF(G237="","",ABS(P237-Components!$D$5)/Components!$E$5)</f>
        <v/>
      </c>
      <c r="U237" s="67">
        <f>IF(G237="","",ABS(P237-Components!$D$6)/Components!$E$6)</f>
        <v/>
      </c>
      <c r="V237" s="67">
        <f>IF(G237="","",ABS(P237-Components!$D$7)/Components!$E$7)</f>
        <v/>
      </c>
      <c r="W237" s="61">
        <f>IF(G237="","",IF(N237="OK","NONE",INDEX({"S1","S2","W1","W2","N1","N2"},MATCH(MIN(Q237:V237),Q237:V237,0))))</f>
        <v/>
      </c>
      <c r="X237" s="69">
        <f>IF(G237="","",IF(W237=E237,1,0))</f>
        <v/>
      </c>
      <c r="Y237" s="70" t="n"/>
    </row>
    <row r="238">
      <c r="A238" s="61" t="n">
        <v>34</v>
      </c>
      <c r="B238" s="62" t="n">
        <v>13</v>
      </c>
      <c r="C238" s="61" t="inlineStr">
        <is>
          <t>R4</t>
        </is>
      </c>
      <c r="D238" s="74" t="inlineStr">
        <is>
          <t>NG</t>
        </is>
      </c>
      <c r="E238" s="61" t="inlineStr">
        <is>
          <t>N1</t>
        </is>
      </c>
      <c r="F238" s="61" t="inlineStr">
        <is>
          <t>K034</t>
        </is>
      </c>
      <c r="G238" s="64" t="n">
        <v>7.78</v>
      </c>
      <c r="H238" s="65" t="n"/>
      <c r="I238" s="66" t="n"/>
      <c r="J238" s="67">
        <f>VLOOKUP(C238,Recipes!$A$2:$N$4,10,FALSE())</f>
        <v/>
      </c>
      <c r="K238" s="68">
        <f>VLOOKUP(C238,Recipes!$A$2:$N$4,12,FALSE())</f>
        <v/>
      </c>
      <c r="L238" s="67">
        <f>J238-6*K238</f>
        <v/>
      </c>
      <c r="M238" s="67">
        <f>J238+6*K238</f>
        <v/>
      </c>
      <c r="N238" s="61">
        <f>IF(G238="","",IF(AND(G238&gt;=L238,G238&lt;=M238),"OK","NG"))</f>
        <v/>
      </c>
      <c r="O238" s="69">
        <f>IF(N238="","",IF(N238=D238,1,0))</f>
        <v/>
      </c>
      <c r="P238" s="67">
        <f>IF(G238="","",J238-G238)</f>
        <v/>
      </c>
      <c r="Q238" s="67">
        <f>IF(G238="","",ABS(P238-Components!$D$2)/Components!$E$2)</f>
        <v/>
      </c>
      <c r="R238" s="67">
        <f>IF(G238="","",ABS(P238-Components!$D$3)/Components!$E$3)</f>
        <v/>
      </c>
      <c r="S238" s="67">
        <f>IF(G238="","",ABS(P238-Components!$D$4)/Components!$E$4)</f>
        <v/>
      </c>
      <c r="T238" s="67">
        <f>IF(G238="","",ABS(P238-Components!$D$5)/Components!$E$5)</f>
        <v/>
      </c>
      <c r="U238" s="67">
        <f>IF(G238="","",ABS(P238-Components!$D$6)/Components!$E$6)</f>
        <v/>
      </c>
      <c r="V238" s="67">
        <f>IF(G238="","",ABS(P238-Components!$D$7)/Components!$E$7)</f>
        <v/>
      </c>
      <c r="W238" s="61">
        <f>IF(G238="","",IF(N238="OK","NONE",INDEX({"S1","S2","W1","W2","N1","N2"},MATCH(MIN(Q238:V238),Q238:V238,0))))</f>
        <v/>
      </c>
      <c r="X238" s="69">
        <f>IF(G238="","",IF(W238=E238,1,0))</f>
        <v/>
      </c>
      <c r="Y238" s="70" t="n"/>
    </row>
    <row r="239">
      <c r="A239" s="61" t="n">
        <v>35</v>
      </c>
      <c r="B239" s="62" t="n">
        <v>40</v>
      </c>
      <c r="C239" s="61" t="inlineStr">
        <is>
          <t>R4</t>
        </is>
      </c>
      <c r="D239" s="74" t="inlineStr">
        <is>
          <t>NG</t>
        </is>
      </c>
      <c r="E239" s="61" t="inlineStr">
        <is>
          <t>N1</t>
        </is>
      </c>
      <c r="F239" s="61" t="inlineStr">
        <is>
          <t>K035</t>
        </is>
      </c>
      <c r="G239" s="64" t="n">
        <v>7.79</v>
      </c>
      <c r="H239" s="65" t="n"/>
      <c r="I239" s="66" t="n"/>
      <c r="J239" s="67">
        <f>VLOOKUP(C239,Recipes!$A$2:$N$4,10,FALSE())</f>
        <v/>
      </c>
      <c r="K239" s="68">
        <f>VLOOKUP(C239,Recipes!$A$2:$N$4,12,FALSE())</f>
        <v/>
      </c>
      <c r="L239" s="67">
        <f>J239-6*K239</f>
        <v/>
      </c>
      <c r="M239" s="67">
        <f>J239+6*K239</f>
        <v/>
      </c>
      <c r="N239" s="61">
        <f>IF(G239="","",IF(AND(G239&gt;=L239,G239&lt;=M239),"OK","NG"))</f>
        <v/>
      </c>
      <c r="O239" s="69">
        <f>IF(N239="","",IF(N239=D239,1,0))</f>
        <v/>
      </c>
      <c r="P239" s="67">
        <f>IF(G239="","",J239-G239)</f>
        <v/>
      </c>
      <c r="Q239" s="67">
        <f>IF(G239="","",ABS(P239-Components!$D$2)/Components!$E$2)</f>
        <v/>
      </c>
      <c r="R239" s="67">
        <f>IF(G239="","",ABS(P239-Components!$D$3)/Components!$E$3)</f>
        <v/>
      </c>
      <c r="S239" s="67">
        <f>IF(G239="","",ABS(P239-Components!$D$4)/Components!$E$4)</f>
        <v/>
      </c>
      <c r="T239" s="67">
        <f>IF(G239="","",ABS(P239-Components!$D$5)/Components!$E$5)</f>
        <v/>
      </c>
      <c r="U239" s="67">
        <f>IF(G239="","",ABS(P239-Components!$D$6)/Components!$E$6)</f>
        <v/>
      </c>
      <c r="V239" s="67">
        <f>IF(G239="","",ABS(P239-Components!$D$7)/Components!$E$7)</f>
        <v/>
      </c>
      <c r="W239" s="61">
        <f>IF(G239="","",IF(N239="OK","NONE",INDEX({"S1","S2","W1","W2","N1","N2"},MATCH(MIN(Q239:V239),Q239:V239,0))))</f>
        <v/>
      </c>
      <c r="X239" s="69">
        <f>IF(G239="","",IF(W239=E239,1,0))</f>
        <v/>
      </c>
      <c r="Y239" s="70" t="n"/>
    </row>
    <row r="240">
      <c r="A240" s="61" t="n">
        <v>36</v>
      </c>
      <c r="B240" s="62" t="n">
        <v>33</v>
      </c>
      <c r="C240" s="61" t="inlineStr">
        <is>
          <t>R4</t>
        </is>
      </c>
      <c r="D240" s="74" t="inlineStr">
        <is>
          <t>NG</t>
        </is>
      </c>
      <c r="E240" s="61" t="inlineStr">
        <is>
          <t>N1</t>
        </is>
      </c>
      <c r="F240" s="61" t="inlineStr">
        <is>
          <t>K036</t>
        </is>
      </c>
      <c r="G240" s="64" t="n">
        <v>7.78</v>
      </c>
      <c r="H240" s="65" t="n"/>
      <c r="I240" s="66" t="n"/>
      <c r="J240" s="67">
        <f>VLOOKUP(C240,Recipes!$A$2:$N$4,10,FALSE())</f>
        <v/>
      </c>
      <c r="K240" s="68">
        <f>VLOOKUP(C240,Recipes!$A$2:$N$4,12,FALSE())</f>
        <v/>
      </c>
      <c r="L240" s="67">
        <f>J240-6*K240</f>
        <v/>
      </c>
      <c r="M240" s="67">
        <f>J240+6*K240</f>
        <v/>
      </c>
      <c r="N240" s="61">
        <f>IF(G240="","",IF(AND(G240&gt;=L240,G240&lt;=M240),"OK","NG"))</f>
        <v/>
      </c>
      <c r="O240" s="69">
        <f>IF(N240="","",IF(N240=D240,1,0))</f>
        <v/>
      </c>
      <c r="P240" s="67">
        <f>IF(G240="","",J240-G240)</f>
        <v/>
      </c>
      <c r="Q240" s="67">
        <f>IF(G240="","",ABS(P240-Components!$D$2)/Components!$E$2)</f>
        <v/>
      </c>
      <c r="R240" s="67">
        <f>IF(G240="","",ABS(P240-Components!$D$3)/Components!$E$3)</f>
        <v/>
      </c>
      <c r="S240" s="67">
        <f>IF(G240="","",ABS(P240-Components!$D$4)/Components!$E$4)</f>
        <v/>
      </c>
      <c r="T240" s="67">
        <f>IF(G240="","",ABS(P240-Components!$D$5)/Components!$E$5)</f>
        <v/>
      </c>
      <c r="U240" s="67">
        <f>IF(G240="","",ABS(P240-Components!$D$6)/Components!$E$6)</f>
        <v/>
      </c>
      <c r="V240" s="67">
        <f>IF(G240="","",ABS(P240-Components!$D$7)/Components!$E$7)</f>
        <v/>
      </c>
      <c r="W240" s="61">
        <f>IF(G240="","",IF(N240="OK","NONE",INDEX({"S1","S2","W1","W2","N1","N2"},MATCH(MIN(Q240:V240),Q240:V240,0))))</f>
        <v/>
      </c>
      <c r="X240" s="69">
        <f>IF(G240="","",IF(W240=E240,1,0))</f>
        <v/>
      </c>
      <c r="Y240" s="70" t="n"/>
    </row>
    <row r="241">
      <c r="A241" s="61" t="n">
        <v>37</v>
      </c>
      <c r="B241" s="62" t="n">
        <v>49</v>
      </c>
      <c r="C241" s="61" t="inlineStr">
        <is>
          <t>R4</t>
        </is>
      </c>
      <c r="D241" s="74" t="inlineStr">
        <is>
          <t>NG</t>
        </is>
      </c>
      <c r="E241" s="61" t="inlineStr">
        <is>
          <t>N1</t>
        </is>
      </c>
      <c r="F241" s="61" t="inlineStr">
        <is>
          <t>K037</t>
        </is>
      </c>
      <c r="G241" s="64" t="n">
        <v>7.78</v>
      </c>
      <c r="H241" s="65" t="n"/>
      <c r="I241" s="66" t="n"/>
      <c r="J241" s="67">
        <f>VLOOKUP(C241,Recipes!$A$2:$N$4,10,FALSE())</f>
        <v/>
      </c>
      <c r="K241" s="68">
        <f>VLOOKUP(C241,Recipes!$A$2:$N$4,12,FALSE())</f>
        <v/>
      </c>
      <c r="L241" s="67">
        <f>J241-6*K241</f>
        <v/>
      </c>
      <c r="M241" s="67">
        <f>J241+6*K241</f>
        <v/>
      </c>
      <c r="N241" s="61">
        <f>IF(G241="","",IF(AND(G241&gt;=L241,G241&lt;=M241),"OK","NG"))</f>
        <v/>
      </c>
      <c r="O241" s="69">
        <f>IF(N241="","",IF(N241=D241,1,0))</f>
        <v/>
      </c>
      <c r="P241" s="67">
        <f>IF(G241="","",J241-G241)</f>
        <v/>
      </c>
      <c r="Q241" s="67">
        <f>IF(G241="","",ABS(P241-Components!$D$2)/Components!$E$2)</f>
        <v/>
      </c>
      <c r="R241" s="67">
        <f>IF(G241="","",ABS(P241-Components!$D$3)/Components!$E$3)</f>
        <v/>
      </c>
      <c r="S241" s="67">
        <f>IF(G241="","",ABS(P241-Components!$D$4)/Components!$E$4)</f>
        <v/>
      </c>
      <c r="T241" s="67">
        <f>IF(G241="","",ABS(P241-Components!$D$5)/Components!$E$5)</f>
        <v/>
      </c>
      <c r="U241" s="67">
        <f>IF(G241="","",ABS(P241-Components!$D$6)/Components!$E$6)</f>
        <v/>
      </c>
      <c r="V241" s="67">
        <f>IF(G241="","",ABS(P241-Components!$D$7)/Components!$E$7)</f>
        <v/>
      </c>
      <c r="W241" s="61">
        <f>IF(G241="","",IF(N241="OK","NONE",INDEX({"S1","S2","W1","W2","N1","N2"},MATCH(MIN(Q241:V241),Q241:V241,0))))</f>
        <v/>
      </c>
      <c r="X241" s="69">
        <f>IF(G241="","",IF(W241=E241,1,0))</f>
        <v/>
      </c>
      <c r="Y241" s="70" t="n"/>
    </row>
    <row r="242">
      <c r="A242" s="76" t="n">
        <v>43</v>
      </c>
      <c r="B242" s="77" t="n">
        <v>2</v>
      </c>
      <c r="C242" s="76" t="inlineStr">
        <is>
          <t>R4</t>
        </is>
      </c>
      <c r="D242" s="78" t="inlineStr">
        <is>
          <t>NG</t>
        </is>
      </c>
      <c r="E242" s="76" t="inlineStr">
        <is>
          <t>N1</t>
        </is>
      </c>
      <c r="F242" s="76" t="inlineStr">
        <is>
          <t>K043</t>
        </is>
      </c>
      <c r="G242" s="64" t="n">
        <v>7.79</v>
      </c>
      <c r="H242" s="65" t="n"/>
      <c r="I242" s="66" t="n"/>
      <c r="J242" s="67">
        <f>VLOOKUP(C242,Recipes!$A$2:$N$4,10,FALSE())</f>
        <v/>
      </c>
      <c r="K242" s="68">
        <f>VLOOKUP(C242,Recipes!$A$2:$N$4,12,FALSE())</f>
        <v/>
      </c>
      <c r="L242" s="67">
        <f>J242-6*K242</f>
        <v/>
      </c>
      <c r="M242" s="67">
        <f>J242+6*K242</f>
        <v/>
      </c>
      <c r="N242" s="61">
        <f>IF(G242="","",IF(AND(G242&gt;=L242,G242&lt;=M242),"OK","NG"))</f>
        <v/>
      </c>
      <c r="O242" s="69">
        <f>IF(N242="","",IF(N242=D242,1,0))</f>
        <v/>
      </c>
      <c r="P242" s="67">
        <f>IF(G242="","",J242-G242)</f>
        <v/>
      </c>
      <c r="Q242" s="67">
        <f>IF(G242="","",ABS(P242-Components!$D$2)/Components!$E$2)</f>
        <v/>
      </c>
      <c r="R242" s="67">
        <f>IF(G242="","",ABS(P242-Components!$D$3)/Components!$E$3)</f>
        <v/>
      </c>
      <c r="S242" s="67">
        <f>IF(G242="","",ABS(P242-Components!$D$4)/Components!$E$4)</f>
        <v/>
      </c>
      <c r="T242" s="67">
        <f>IF(G242="","",ABS(P242-Components!$D$5)/Components!$E$5)</f>
        <v/>
      </c>
      <c r="U242" s="67">
        <f>IF(G242="","",ABS(P242-Components!$D$6)/Components!$E$6)</f>
        <v/>
      </c>
      <c r="V242" s="67">
        <f>IF(G242="","",ABS(P242-Components!$D$7)/Components!$E$7)</f>
        <v/>
      </c>
      <c r="W242" s="61">
        <f>IF(G242="","",IF(N242="OK","NONE",INDEX({"S1","S2","W1","W2","N1","N2"},MATCH(MIN(Q242:V242),Q242:V242,0))))</f>
        <v/>
      </c>
      <c r="X242" s="69">
        <f>IF(G242="","",IF(W242=E242,1,0))</f>
        <v/>
      </c>
      <c r="Y242" s="70" t="n"/>
    </row>
    <row r="243">
      <c r="A243" s="61" t="n">
        <v>-10.1</v>
      </c>
      <c r="B243" s="62" t="n">
        <v>61.9</v>
      </c>
      <c r="C243" s="61" t="inlineStr">
        <is>
          <t>R4</t>
        </is>
      </c>
      <c r="D243" s="74" t="inlineStr">
        <is>
          <t>NG</t>
        </is>
      </c>
      <c r="E243" s="61" t="inlineStr">
        <is>
          <t>S2</t>
        </is>
      </c>
      <c r="F243" s="61" t="inlineStr">
        <is>
          <t>K038</t>
        </is>
      </c>
      <c r="G243" s="75" t="n">
        <v>4.94</v>
      </c>
      <c r="H243" s="65" t="n"/>
      <c r="I243" s="66" t="n"/>
      <c r="J243" s="67">
        <f>VLOOKUP(C243,Recipes!$A$2:$N$4,10,FALSE())</f>
        <v/>
      </c>
      <c r="K243" s="68">
        <f>VLOOKUP(C243,Recipes!$A$2:$N$4,12,FALSE())</f>
        <v/>
      </c>
      <c r="L243" s="67">
        <f>J243-6*K243</f>
        <v/>
      </c>
      <c r="M243" s="67">
        <f>J243+6*K243</f>
        <v/>
      </c>
      <c r="N243" s="61">
        <f>IF(G243="","",IF(AND(G243&gt;=L243,G243&lt;=M243),"OK","NG"))</f>
        <v/>
      </c>
      <c r="O243" s="69">
        <f>IF(N243="","",IF(N243=D243,1,0))</f>
        <v/>
      </c>
      <c r="P243" s="67">
        <f>IF(G243="","",J243-G243)</f>
        <v/>
      </c>
      <c r="Q243" s="67">
        <f>IF(G243="","",ABS(P243-Components!$D$2)/Components!$E$2)</f>
        <v/>
      </c>
      <c r="R243" s="67">
        <f>IF(G243="","",ABS(P243-Components!$D$3)/Components!$E$3)</f>
        <v/>
      </c>
      <c r="S243" s="67">
        <f>IF(G243="","",ABS(P243-Components!$D$4)/Components!$E$4)</f>
        <v/>
      </c>
      <c r="T243" s="67">
        <f>IF(G243="","",ABS(P243-Components!$D$5)/Components!$E$5)</f>
        <v/>
      </c>
      <c r="U243" s="67">
        <f>IF(G243="","",ABS(P243-Components!$D$6)/Components!$E$6)</f>
        <v/>
      </c>
      <c r="V243" s="67">
        <f>IF(G243="","",ABS(P243-Components!$D$7)/Components!$E$7)</f>
        <v/>
      </c>
      <c r="W243" s="61">
        <f>IF(G243="","",IF(N243="OK","NONE",INDEX({"S1","S2","W1","W2","N1","N2"},MATCH(MIN(Q243:V243),Q243:V243,0))))</f>
        <v/>
      </c>
      <c r="X243" s="69">
        <f>IF(G243="","",IF(W243=E243,1,0))</f>
        <v/>
      </c>
      <c r="Y243" s="70" t="n"/>
    </row>
    <row r="244">
      <c r="A244" s="61" t="n">
        <v>-8.199999999999999</v>
      </c>
      <c r="B244" s="62" t="n">
        <v>60.8</v>
      </c>
      <c r="C244" s="61" t="inlineStr">
        <is>
          <t>R4</t>
        </is>
      </c>
      <c r="D244" s="74" t="inlineStr">
        <is>
          <t>NG</t>
        </is>
      </c>
      <c r="E244" s="61" t="inlineStr">
        <is>
          <t>S2</t>
        </is>
      </c>
      <c r="F244" s="61" t="inlineStr">
        <is>
          <t>K039</t>
        </is>
      </c>
      <c r="G244" s="75" t="n">
        <v>4.91</v>
      </c>
      <c r="H244" s="65" t="n"/>
      <c r="I244" s="66" t="n"/>
      <c r="J244" s="67">
        <f>VLOOKUP(C244,Recipes!$A$2:$N$4,10,FALSE())</f>
        <v/>
      </c>
      <c r="K244" s="68">
        <f>VLOOKUP(C244,Recipes!$A$2:$N$4,12,FALSE())</f>
        <v/>
      </c>
      <c r="L244" s="67">
        <f>J244-6*K244</f>
        <v/>
      </c>
      <c r="M244" s="67">
        <f>J244+6*K244</f>
        <v/>
      </c>
      <c r="N244" s="61">
        <f>IF(G244="","",IF(AND(G244&gt;=L244,G244&lt;=M244),"OK","NG"))</f>
        <v/>
      </c>
      <c r="O244" s="69">
        <f>IF(N244="","",IF(N244=D244,1,0))</f>
        <v/>
      </c>
      <c r="P244" s="67">
        <f>IF(G244="","",J244-G244)</f>
        <v/>
      </c>
      <c r="Q244" s="67">
        <f>IF(G244="","",ABS(P244-Components!$D$2)/Components!$E$2)</f>
        <v/>
      </c>
      <c r="R244" s="67">
        <f>IF(G244="","",ABS(P244-Components!$D$3)/Components!$E$3)</f>
        <v/>
      </c>
      <c r="S244" s="67">
        <f>IF(G244="","",ABS(P244-Components!$D$4)/Components!$E$4)</f>
        <v/>
      </c>
      <c r="T244" s="67">
        <f>IF(G244="","",ABS(P244-Components!$D$5)/Components!$E$5)</f>
        <v/>
      </c>
      <c r="U244" s="67">
        <f>IF(G244="","",ABS(P244-Components!$D$6)/Components!$E$6)</f>
        <v/>
      </c>
      <c r="V244" s="67">
        <f>IF(G244="","",ABS(P244-Components!$D$7)/Components!$E$7)</f>
        <v/>
      </c>
      <c r="W244" s="61">
        <f>IF(G244="","",IF(N244="OK","NONE",INDEX({"S1","S2","W1","W2","N1","N2"},MATCH(MIN(Q244:V244),Q244:V244,0))))</f>
        <v/>
      </c>
      <c r="X244" s="69">
        <f>IF(G244="","",IF(W244=E244,1,0))</f>
        <v/>
      </c>
      <c r="Y244" s="70" t="n"/>
    </row>
    <row r="245">
      <c r="A245" s="61" t="n">
        <v>-6.3</v>
      </c>
      <c r="B245" s="62" t="n">
        <v>59.7</v>
      </c>
      <c r="C245" s="61" t="inlineStr">
        <is>
          <t>R4</t>
        </is>
      </c>
      <c r="D245" s="74" t="inlineStr">
        <is>
          <t>NG</t>
        </is>
      </c>
      <c r="E245" s="61" t="inlineStr">
        <is>
          <t>S2</t>
        </is>
      </c>
      <c r="F245" s="61" t="inlineStr">
        <is>
          <t>K040</t>
        </is>
      </c>
      <c r="G245" s="75" t="n">
        <v>4.81</v>
      </c>
      <c r="H245" s="65" t="n"/>
      <c r="I245" s="66" t="n"/>
      <c r="J245" s="67">
        <f>VLOOKUP(C245,Recipes!$A$2:$N$4,10,FALSE())</f>
        <v/>
      </c>
      <c r="K245" s="68">
        <f>VLOOKUP(C245,Recipes!$A$2:$N$4,12,FALSE())</f>
        <v/>
      </c>
      <c r="L245" s="67">
        <f>J245-6*K245</f>
        <v/>
      </c>
      <c r="M245" s="67">
        <f>J245+6*K245</f>
        <v/>
      </c>
      <c r="N245" s="61">
        <f>IF(G245="","",IF(AND(G245&gt;=L245,G245&lt;=M245),"OK","NG"))</f>
        <v/>
      </c>
      <c r="O245" s="69">
        <f>IF(N245="","",IF(N245=D245,1,0))</f>
        <v/>
      </c>
      <c r="P245" s="67">
        <f>IF(G245="","",J245-G245)</f>
        <v/>
      </c>
      <c r="Q245" s="67">
        <f>IF(G245="","",ABS(P245-Components!$D$2)/Components!$E$2)</f>
        <v/>
      </c>
      <c r="R245" s="67">
        <f>IF(G245="","",ABS(P245-Components!$D$3)/Components!$E$3)</f>
        <v/>
      </c>
      <c r="S245" s="67">
        <f>IF(G245="","",ABS(P245-Components!$D$4)/Components!$E$4)</f>
        <v/>
      </c>
      <c r="T245" s="67">
        <f>IF(G245="","",ABS(P245-Components!$D$5)/Components!$E$5)</f>
        <v/>
      </c>
      <c r="U245" s="67">
        <f>IF(G245="","",ABS(P245-Components!$D$6)/Components!$E$6)</f>
        <v/>
      </c>
      <c r="V245" s="67">
        <f>IF(G245="","",ABS(P245-Components!$D$7)/Components!$E$7)</f>
        <v/>
      </c>
      <c r="W245" s="61">
        <f>IF(G245="","",IF(N245="OK","NONE",INDEX({"S1","S2","W1","W2","N1","N2"},MATCH(MIN(Q245:V245),Q245:V245,0))))</f>
        <v/>
      </c>
      <c r="X245" s="69">
        <f>IF(G245="","",IF(W245=E245,1,0))</f>
        <v/>
      </c>
      <c r="Y245" s="70" t="n"/>
    </row>
    <row r="246">
      <c r="A246" s="76" t="n">
        <v>-4.4</v>
      </c>
      <c r="B246" s="77" t="n">
        <v>58.6</v>
      </c>
      <c r="C246" s="76" t="inlineStr">
        <is>
          <t>R4</t>
        </is>
      </c>
      <c r="D246" s="78" t="inlineStr">
        <is>
          <t>NG</t>
        </is>
      </c>
      <c r="E246" s="76" t="inlineStr">
        <is>
          <t>S2</t>
        </is>
      </c>
      <c r="F246" s="76" t="inlineStr">
        <is>
          <t>K044</t>
        </is>
      </c>
      <c r="G246" s="75" t="n">
        <v>4.92</v>
      </c>
      <c r="H246" s="65" t="n"/>
      <c r="I246" s="66" t="n"/>
      <c r="J246" s="67">
        <f>VLOOKUP(C246,Recipes!$A$2:$N$4,10,FALSE())</f>
        <v/>
      </c>
      <c r="K246" s="68">
        <f>VLOOKUP(C246,Recipes!$A$2:$N$4,12,FALSE())</f>
        <v/>
      </c>
      <c r="L246" s="67">
        <f>J246-6*K246</f>
        <v/>
      </c>
      <c r="M246" s="67">
        <f>J246+6*K246</f>
        <v/>
      </c>
      <c r="N246" s="61">
        <f>IF(G246="","",IF(AND(G246&gt;=L246,G246&lt;=M246),"OK","NG"))</f>
        <v/>
      </c>
      <c r="O246" s="69">
        <f>IF(N246="","",IF(N246=D246,1,0))</f>
        <v/>
      </c>
      <c r="P246" s="67">
        <f>IF(G246="","",J246-G246)</f>
        <v/>
      </c>
      <c r="Q246" s="67">
        <f>IF(G246="","",ABS(P246-Components!$D$2)/Components!$E$2)</f>
        <v/>
      </c>
      <c r="R246" s="67">
        <f>IF(G246="","",ABS(P246-Components!$D$3)/Components!$E$3)</f>
        <v/>
      </c>
      <c r="S246" s="67">
        <f>IF(G246="","",ABS(P246-Components!$D$4)/Components!$E$4)</f>
        <v/>
      </c>
      <c r="T246" s="67">
        <f>IF(G246="","",ABS(P246-Components!$D$5)/Components!$E$5)</f>
        <v/>
      </c>
      <c r="U246" s="67">
        <f>IF(G246="","",ABS(P246-Components!$D$6)/Components!$E$6)</f>
        <v/>
      </c>
      <c r="V246" s="67">
        <f>IF(G246="","",ABS(P246-Components!$D$7)/Components!$E$7)</f>
        <v/>
      </c>
      <c r="W246" s="61">
        <f>IF(G246="","",IF(N246="OK","NONE",INDEX({"S1","S2","W1","W2","N1","N2"},MATCH(MIN(Q246:V246),Q246:V246,0))))</f>
        <v/>
      </c>
      <c r="X246" s="69">
        <f>IF(G246="","",IF(W246=E246,1,0))</f>
        <v/>
      </c>
      <c r="Y246" s="70" t="n"/>
    </row>
    <row r="247">
      <c r="A247" s="76" t="n">
        <v>-2.5</v>
      </c>
      <c r="B247" s="77" t="n">
        <v>57.5</v>
      </c>
      <c r="C247" s="76" t="inlineStr">
        <is>
          <t>R4</t>
        </is>
      </c>
      <c r="D247" s="78" t="inlineStr">
        <is>
          <t>NG</t>
        </is>
      </c>
      <c r="E247" s="76" t="inlineStr">
        <is>
          <t>S2</t>
        </is>
      </c>
      <c r="F247" s="76" t="inlineStr">
        <is>
          <t>K045</t>
        </is>
      </c>
      <c r="G247" s="75" t="n">
        <v>4.87</v>
      </c>
      <c r="H247" s="65" t="n"/>
      <c r="I247" s="66" t="n"/>
      <c r="J247" s="67">
        <f>VLOOKUP(C247,Recipes!$A$2:$N$4,10,FALSE())</f>
        <v/>
      </c>
      <c r="K247" s="68">
        <f>VLOOKUP(C247,Recipes!$A$2:$N$4,12,FALSE())</f>
        <v/>
      </c>
      <c r="L247" s="67">
        <f>J247-6*K247</f>
        <v/>
      </c>
      <c r="M247" s="67">
        <f>J247+6*K247</f>
        <v/>
      </c>
      <c r="N247" s="61">
        <f>IF(G247="","",IF(AND(G247&gt;=L247,G247&lt;=M247),"OK","NG"))</f>
        <v/>
      </c>
      <c r="O247" s="69">
        <f>IF(N247="","",IF(N247=D247,1,0))</f>
        <v/>
      </c>
      <c r="P247" s="67">
        <f>IF(G247="","",J247-G247)</f>
        <v/>
      </c>
      <c r="Q247" s="67">
        <f>IF(G247="","",ABS(P247-Components!$D$2)/Components!$E$2)</f>
        <v/>
      </c>
      <c r="R247" s="67">
        <f>IF(G247="","",ABS(P247-Components!$D$3)/Components!$E$3)</f>
        <v/>
      </c>
      <c r="S247" s="67">
        <f>IF(G247="","",ABS(P247-Components!$D$4)/Components!$E$4)</f>
        <v/>
      </c>
      <c r="T247" s="67">
        <f>IF(G247="","",ABS(P247-Components!$D$5)/Components!$E$5)</f>
        <v/>
      </c>
      <c r="U247" s="67">
        <f>IF(G247="","",ABS(P247-Components!$D$6)/Components!$E$6)</f>
        <v/>
      </c>
      <c r="V247" s="67">
        <f>IF(G247="","",ABS(P247-Components!$D$7)/Components!$E$7)</f>
        <v/>
      </c>
      <c r="W247" s="61">
        <f>IF(G247="","",IF(N247="OK","NONE",INDEX({"S1","S2","W1","W2","N1","N2"},MATCH(MIN(Q247:V247),Q247:V247,0))))</f>
        <v/>
      </c>
      <c r="X247" s="69">
        <f>IF(G247="","",IF(W247=E247,1,0))</f>
        <v/>
      </c>
      <c r="Y247" s="70" t="n"/>
    </row>
    <row r="248">
      <c r="A248" s="61" t="n">
        <v>-0.600000000000001</v>
      </c>
      <c r="B248" s="62" t="n">
        <v>56.4</v>
      </c>
      <c r="C248" s="61" t="inlineStr">
        <is>
          <t>R4</t>
        </is>
      </c>
      <c r="D248" s="74" t="inlineStr">
        <is>
          <t>NG</t>
        </is>
      </c>
      <c r="E248" s="61" t="inlineStr">
        <is>
          <t>S2</t>
        </is>
      </c>
      <c r="F248" s="61" t="inlineStr">
        <is>
          <t>K038</t>
        </is>
      </c>
      <c r="G248" s="75" t="n">
        <v>4.94</v>
      </c>
      <c r="H248" s="65" t="n"/>
      <c r="I248" s="66" t="n"/>
      <c r="J248" s="67">
        <f>VLOOKUP(C248,Recipes!$A$2:$N$4,10,FALSE())</f>
        <v/>
      </c>
      <c r="K248" s="68">
        <f>VLOOKUP(C248,Recipes!$A$2:$N$4,12,FALSE())</f>
        <v/>
      </c>
      <c r="L248" s="67">
        <f>J248-6*K248</f>
        <v/>
      </c>
      <c r="M248" s="67">
        <f>J248+6*K248</f>
        <v/>
      </c>
      <c r="N248" s="61">
        <f>IF(G248="","",IF(AND(G248&gt;=L248,G248&lt;=M248),"OK","NG"))</f>
        <v/>
      </c>
      <c r="O248" s="69">
        <f>IF(N248="","",IF(N248=D248,1,0))</f>
        <v/>
      </c>
      <c r="P248" s="67">
        <f>IF(G248="","",J248-G248)</f>
        <v/>
      </c>
      <c r="Q248" s="67">
        <f>IF(G248="","",ABS(P248-Components!$D$2)/Components!$E$2)</f>
        <v/>
      </c>
      <c r="R248" s="67">
        <f>IF(G248="","",ABS(P248-Components!$D$3)/Components!$E$3)</f>
        <v/>
      </c>
      <c r="S248" s="67">
        <f>IF(G248="","",ABS(P248-Components!$D$4)/Components!$E$4)</f>
        <v/>
      </c>
      <c r="T248" s="67">
        <f>IF(G248="","",ABS(P248-Components!$D$5)/Components!$E$5)</f>
        <v/>
      </c>
      <c r="U248" s="67">
        <f>IF(G248="","",ABS(P248-Components!$D$6)/Components!$E$6)</f>
        <v/>
      </c>
      <c r="V248" s="67">
        <f>IF(G248="","",ABS(P248-Components!$D$7)/Components!$E$7)</f>
        <v/>
      </c>
      <c r="W248" s="61">
        <f>IF(G248="","",IF(N248="OK","NONE",INDEX({"S1","S2","W1","W2","N1","N2"},MATCH(MIN(Q248:V248),Q248:V248,0))))</f>
        <v/>
      </c>
      <c r="X248" s="69">
        <f>IF(G248="","",IF(W248=E248,1,0))</f>
        <v/>
      </c>
      <c r="Y248" s="70" t="n"/>
    </row>
    <row r="249">
      <c r="A249" s="61" t="n">
        <v>1.3</v>
      </c>
      <c r="B249" s="62" t="n">
        <v>55.3</v>
      </c>
      <c r="C249" s="61" t="inlineStr">
        <is>
          <t>R4</t>
        </is>
      </c>
      <c r="D249" s="74" t="inlineStr">
        <is>
          <t>NG</t>
        </is>
      </c>
      <c r="E249" s="61" t="inlineStr">
        <is>
          <t>S2</t>
        </is>
      </c>
      <c r="F249" s="61" t="inlineStr">
        <is>
          <t>K039</t>
        </is>
      </c>
      <c r="G249" s="75" t="n">
        <v>4.89</v>
      </c>
      <c r="H249" s="65" t="n"/>
      <c r="I249" s="66" t="n"/>
      <c r="J249" s="67">
        <f>VLOOKUP(C249,Recipes!$A$2:$N$4,10,FALSE())</f>
        <v/>
      </c>
      <c r="K249" s="68">
        <f>VLOOKUP(C249,Recipes!$A$2:$N$4,12,FALSE())</f>
        <v/>
      </c>
      <c r="L249" s="67">
        <f>J249-6*K249</f>
        <v/>
      </c>
      <c r="M249" s="67">
        <f>J249+6*K249</f>
        <v/>
      </c>
      <c r="N249" s="61">
        <f>IF(G249="","",IF(AND(G249&gt;=L249,G249&lt;=M249),"OK","NG"))</f>
        <v/>
      </c>
      <c r="O249" s="69">
        <f>IF(N249="","",IF(N249=D249,1,0))</f>
        <v/>
      </c>
      <c r="P249" s="67">
        <f>IF(G249="","",J249-G249)</f>
        <v/>
      </c>
      <c r="Q249" s="67">
        <f>IF(G249="","",ABS(P249-Components!$D$2)/Components!$E$2)</f>
        <v/>
      </c>
      <c r="R249" s="67">
        <f>IF(G249="","",ABS(P249-Components!$D$3)/Components!$E$3)</f>
        <v/>
      </c>
      <c r="S249" s="67">
        <f>IF(G249="","",ABS(P249-Components!$D$4)/Components!$E$4)</f>
        <v/>
      </c>
      <c r="T249" s="67">
        <f>IF(G249="","",ABS(P249-Components!$D$5)/Components!$E$5)</f>
        <v/>
      </c>
      <c r="U249" s="67">
        <f>IF(G249="","",ABS(P249-Components!$D$6)/Components!$E$6)</f>
        <v/>
      </c>
      <c r="V249" s="67">
        <f>IF(G249="","",ABS(P249-Components!$D$7)/Components!$E$7)</f>
        <v/>
      </c>
      <c r="W249" s="61">
        <f>IF(G249="","",IF(N249="OK","NONE",INDEX({"S1","S2","W1","W2","N1","N2"},MATCH(MIN(Q249:V249),Q249:V249,0))))</f>
        <v/>
      </c>
      <c r="X249" s="69">
        <f>IF(G249="","",IF(W249=E249,1,0))</f>
        <v/>
      </c>
      <c r="Y249" s="70" t="n"/>
    </row>
    <row r="250">
      <c r="A250" s="61" t="n">
        <v>3.2</v>
      </c>
      <c r="B250" s="62" t="n">
        <v>54.2</v>
      </c>
      <c r="C250" s="61" t="inlineStr">
        <is>
          <t>R4</t>
        </is>
      </c>
      <c r="D250" s="74" t="inlineStr">
        <is>
          <t>NG</t>
        </is>
      </c>
      <c r="E250" s="61" t="inlineStr">
        <is>
          <t>S2</t>
        </is>
      </c>
      <c r="F250" s="61" t="inlineStr">
        <is>
          <t>K040</t>
        </is>
      </c>
      <c r="G250" s="75" t="n">
        <v>4.86</v>
      </c>
      <c r="H250" s="65" t="n"/>
      <c r="I250" s="66" t="n"/>
      <c r="J250" s="67">
        <f>VLOOKUP(C250,Recipes!$A$2:$N$4,10,FALSE())</f>
        <v/>
      </c>
      <c r="K250" s="68">
        <f>VLOOKUP(C250,Recipes!$A$2:$N$4,12,FALSE())</f>
        <v/>
      </c>
      <c r="L250" s="67">
        <f>J250-6*K250</f>
        <v/>
      </c>
      <c r="M250" s="67">
        <f>J250+6*K250</f>
        <v/>
      </c>
      <c r="N250" s="61">
        <f>IF(G250="","",IF(AND(G250&gt;=L250,G250&lt;=M250),"OK","NG"))</f>
        <v/>
      </c>
      <c r="O250" s="69">
        <f>IF(N250="","",IF(N250=D250,1,0))</f>
        <v/>
      </c>
      <c r="P250" s="67">
        <f>IF(G250="","",J250-G250)</f>
        <v/>
      </c>
      <c r="Q250" s="67">
        <f>IF(G250="","",ABS(P250-Components!$D$2)/Components!$E$2)</f>
        <v/>
      </c>
      <c r="R250" s="67">
        <f>IF(G250="","",ABS(P250-Components!$D$3)/Components!$E$3)</f>
        <v/>
      </c>
      <c r="S250" s="67">
        <f>IF(G250="","",ABS(P250-Components!$D$4)/Components!$E$4)</f>
        <v/>
      </c>
      <c r="T250" s="67">
        <f>IF(G250="","",ABS(P250-Components!$D$5)/Components!$E$5)</f>
        <v/>
      </c>
      <c r="U250" s="67">
        <f>IF(G250="","",ABS(P250-Components!$D$6)/Components!$E$6)</f>
        <v/>
      </c>
      <c r="V250" s="67">
        <f>IF(G250="","",ABS(P250-Components!$D$7)/Components!$E$7)</f>
        <v/>
      </c>
      <c r="W250" s="61">
        <f>IF(G250="","",IF(N250="OK","NONE",INDEX({"S1","S2","W1","W2","N1","N2"},MATCH(MIN(Q250:V250),Q250:V250,0))))</f>
        <v/>
      </c>
      <c r="X250" s="69">
        <f>IF(G250="","",IF(W250=E250,1,0))</f>
        <v/>
      </c>
      <c r="Y250" s="70" t="n"/>
    </row>
    <row r="251">
      <c r="A251" s="76" t="n">
        <v>5.1</v>
      </c>
      <c r="B251" s="77" t="n">
        <v>53.1</v>
      </c>
      <c r="C251" s="76" t="inlineStr">
        <is>
          <t>R4</t>
        </is>
      </c>
      <c r="D251" s="78" t="inlineStr">
        <is>
          <t>NG</t>
        </is>
      </c>
      <c r="E251" s="76" t="inlineStr">
        <is>
          <t>S2</t>
        </is>
      </c>
      <c r="F251" s="76" t="inlineStr">
        <is>
          <t>K044</t>
        </is>
      </c>
      <c r="G251" s="75" t="n">
        <v>4.97</v>
      </c>
      <c r="H251" s="65" t="n"/>
      <c r="I251" s="66" t="n"/>
      <c r="J251" s="67">
        <f>VLOOKUP(C251,Recipes!$A$2:$N$4,10,FALSE())</f>
        <v/>
      </c>
      <c r="K251" s="68">
        <f>VLOOKUP(C251,Recipes!$A$2:$N$4,12,FALSE())</f>
        <v/>
      </c>
      <c r="L251" s="67">
        <f>J251-6*K251</f>
        <v/>
      </c>
      <c r="M251" s="67">
        <f>J251+6*K251</f>
        <v/>
      </c>
      <c r="N251" s="61">
        <f>IF(G251="","",IF(AND(G251&gt;=L251,G251&lt;=M251),"OK","NG"))</f>
        <v/>
      </c>
      <c r="O251" s="69">
        <f>IF(N251="","",IF(N251=D251,1,0))</f>
        <v/>
      </c>
      <c r="P251" s="67">
        <f>IF(G251="","",J251-G251)</f>
        <v/>
      </c>
      <c r="Q251" s="67">
        <f>IF(G251="","",ABS(P251-Components!$D$2)/Components!$E$2)</f>
        <v/>
      </c>
      <c r="R251" s="67">
        <f>IF(G251="","",ABS(P251-Components!$D$3)/Components!$E$3)</f>
        <v/>
      </c>
      <c r="S251" s="67">
        <f>IF(G251="","",ABS(P251-Components!$D$4)/Components!$E$4)</f>
        <v/>
      </c>
      <c r="T251" s="67">
        <f>IF(G251="","",ABS(P251-Components!$D$5)/Components!$E$5)</f>
        <v/>
      </c>
      <c r="U251" s="67">
        <f>IF(G251="","",ABS(P251-Components!$D$6)/Components!$E$6)</f>
        <v/>
      </c>
      <c r="V251" s="67">
        <f>IF(G251="","",ABS(P251-Components!$D$7)/Components!$E$7)</f>
        <v/>
      </c>
      <c r="W251" s="61">
        <f>IF(G251="","",IF(N251="OK","NONE",INDEX({"S1","S2","W1","W2","N1","N2"},MATCH(MIN(Q251:V251),Q251:V251,0))))</f>
        <v/>
      </c>
      <c r="X251" s="69">
        <f>IF(G251="","",IF(W251=E251,1,0))</f>
        <v/>
      </c>
      <c r="Y251" s="70" t="n"/>
    </row>
    <row r="252">
      <c r="A252" s="76" t="n">
        <v>7</v>
      </c>
      <c r="B252" s="77" t="n">
        <v>52</v>
      </c>
      <c r="C252" s="76" t="inlineStr">
        <is>
          <t>R4</t>
        </is>
      </c>
      <c r="D252" s="78" t="inlineStr">
        <is>
          <t>NG</t>
        </is>
      </c>
      <c r="E252" s="76" t="inlineStr">
        <is>
          <t>S2</t>
        </is>
      </c>
      <c r="F252" s="76" t="inlineStr">
        <is>
          <t>K045</t>
        </is>
      </c>
      <c r="G252" s="75" t="n">
        <v>4.88</v>
      </c>
      <c r="H252" s="65" t="n"/>
      <c r="I252" s="66" t="n"/>
      <c r="J252" s="67">
        <f>VLOOKUP(C252,Recipes!$A$2:$N$4,10,FALSE())</f>
        <v/>
      </c>
      <c r="K252" s="68">
        <f>VLOOKUP(C252,Recipes!$A$2:$N$4,12,FALSE())</f>
        <v/>
      </c>
      <c r="L252" s="67">
        <f>J252-6*K252</f>
        <v/>
      </c>
      <c r="M252" s="67">
        <f>J252+6*K252</f>
        <v/>
      </c>
      <c r="N252" s="61">
        <f>IF(G252="","",IF(AND(G252&gt;=L252,G252&lt;=M252),"OK","NG"))</f>
        <v/>
      </c>
      <c r="O252" s="69">
        <f>IF(N252="","",IF(N252=D252,1,0))</f>
        <v/>
      </c>
      <c r="P252" s="67">
        <f>IF(G252="","",J252-G252)</f>
        <v/>
      </c>
      <c r="Q252" s="67">
        <f>IF(G252="","",ABS(P252-Components!$D$2)/Components!$E$2)</f>
        <v/>
      </c>
      <c r="R252" s="67">
        <f>IF(G252="","",ABS(P252-Components!$D$3)/Components!$E$3)</f>
        <v/>
      </c>
      <c r="S252" s="67">
        <f>IF(G252="","",ABS(P252-Components!$D$4)/Components!$E$4)</f>
        <v/>
      </c>
      <c r="T252" s="67">
        <f>IF(G252="","",ABS(P252-Components!$D$5)/Components!$E$5)</f>
        <v/>
      </c>
      <c r="U252" s="67">
        <f>IF(G252="","",ABS(P252-Components!$D$6)/Components!$E$6)</f>
        <v/>
      </c>
      <c r="V252" s="67">
        <f>IF(G252="","",ABS(P252-Components!$D$7)/Components!$E$7)</f>
        <v/>
      </c>
      <c r="W252" s="61">
        <f>IF(G252="","",IF(N252="OK","NONE",INDEX({"S1","S2","W1","W2","N1","N2"},MATCH(MIN(Q252:V252),Q252:V252,0))))</f>
        <v/>
      </c>
      <c r="X252" s="69">
        <f>IF(G252="","",IF(W252=E252,1,0))</f>
        <v/>
      </c>
      <c r="Y252" s="70" t="n"/>
    </row>
    <row r="253">
      <c r="A253" s="61" t="n">
        <v>8.9</v>
      </c>
      <c r="B253" s="62" t="n">
        <v>50.9</v>
      </c>
      <c r="C253" s="61" t="inlineStr">
        <is>
          <t>R4</t>
        </is>
      </c>
      <c r="D253" s="74" t="inlineStr">
        <is>
          <t>NG</t>
        </is>
      </c>
      <c r="E253" s="61" t="inlineStr">
        <is>
          <t>S2</t>
        </is>
      </c>
      <c r="F253" s="61" t="inlineStr">
        <is>
          <t>K038</t>
        </is>
      </c>
      <c r="G253" s="75" t="n">
        <v>4.83</v>
      </c>
      <c r="H253" s="65" t="n"/>
      <c r="I253" s="66" t="n"/>
      <c r="J253" s="67">
        <f>VLOOKUP(C253,Recipes!$A$2:$N$4,10,FALSE())</f>
        <v/>
      </c>
      <c r="K253" s="68">
        <f>VLOOKUP(C253,Recipes!$A$2:$N$4,12,FALSE())</f>
        <v/>
      </c>
      <c r="L253" s="67">
        <f>J253-6*K253</f>
        <v/>
      </c>
      <c r="M253" s="67">
        <f>J253+6*K253</f>
        <v/>
      </c>
      <c r="N253" s="61">
        <f>IF(G253="","",IF(AND(G253&gt;=L253,G253&lt;=M253),"OK","NG"))</f>
        <v/>
      </c>
      <c r="O253" s="69">
        <f>IF(N253="","",IF(N253=D253,1,0))</f>
        <v/>
      </c>
      <c r="P253" s="67">
        <f>IF(G253="","",J253-G253)</f>
        <v/>
      </c>
      <c r="Q253" s="67">
        <f>IF(G253="","",ABS(P253-Components!$D$2)/Components!$E$2)</f>
        <v/>
      </c>
      <c r="R253" s="67">
        <f>IF(G253="","",ABS(P253-Components!$D$3)/Components!$E$3)</f>
        <v/>
      </c>
      <c r="S253" s="67">
        <f>IF(G253="","",ABS(P253-Components!$D$4)/Components!$E$4)</f>
        <v/>
      </c>
      <c r="T253" s="67">
        <f>IF(G253="","",ABS(P253-Components!$D$5)/Components!$E$5)</f>
        <v/>
      </c>
      <c r="U253" s="67">
        <f>IF(G253="","",ABS(P253-Components!$D$6)/Components!$E$6)</f>
        <v/>
      </c>
      <c r="V253" s="67">
        <f>IF(G253="","",ABS(P253-Components!$D$7)/Components!$E$7)</f>
        <v/>
      </c>
      <c r="W253" s="61">
        <f>IF(G253="","",IF(N253="OK","NONE",INDEX({"S1","S2","W1","W2","N1","N2"},MATCH(MIN(Q253:V253),Q253:V253,0))))</f>
        <v/>
      </c>
      <c r="X253" s="69">
        <f>IF(G253="","",IF(W253=E253,1,0))</f>
        <v/>
      </c>
      <c r="Y253" s="70" t="n"/>
    </row>
    <row r="254">
      <c r="A254" s="61" t="n">
        <v>10.8</v>
      </c>
      <c r="B254" s="62" t="n">
        <v>49.8</v>
      </c>
      <c r="C254" s="61" t="inlineStr">
        <is>
          <t>R4</t>
        </is>
      </c>
      <c r="D254" s="74" t="inlineStr">
        <is>
          <t>NG</t>
        </is>
      </c>
      <c r="E254" s="61" t="inlineStr">
        <is>
          <t>S2</t>
        </is>
      </c>
      <c r="F254" s="61" t="inlineStr">
        <is>
          <t>K039</t>
        </is>
      </c>
      <c r="G254" s="75" t="n">
        <v>4.87</v>
      </c>
      <c r="H254" s="65" t="n"/>
      <c r="I254" s="66" t="n"/>
      <c r="J254" s="67">
        <f>VLOOKUP(C254,Recipes!$A$2:$N$4,10,FALSE())</f>
        <v/>
      </c>
      <c r="K254" s="68">
        <f>VLOOKUP(C254,Recipes!$A$2:$N$4,12,FALSE())</f>
        <v/>
      </c>
      <c r="L254" s="67">
        <f>J254-6*K254</f>
        <v/>
      </c>
      <c r="M254" s="67">
        <f>J254+6*K254</f>
        <v/>
      </c>
      <c r="N254" s="61">
        <f>IF(G254="","",IF(AND(G254&gt;=L254,G254&lt;=M254),"OK","NG"))</f>
        <v/>
      </c>
      <c r="O254" s="69">
        <f>IF(N254="","",IF(N254=D254,1,0))</f>
        <v/>
      </c>
      <c r="P254" s="67">
        <f>IF(G254="","",J254-G254)</f>
        <v/>
      </c>
      <c r="Q254" s="67">
        <f>IF(G254="","",ABS(P254-Components!$D$2)/Components!$E$2)</f>
        <v/>
      </c>
      <c r="R254" s="67">
        <f>IF(G254="","",ABS(P254-Components!$D$3)/Components!$E$3)</f>
        <v/>
      </c>
      <c r="S254" s="67">
        <f>IF(G254="","",ABS(P254-Components!$D$4)/Components!$E$4)</f>
        <v/>
      </c>
      <c r="T254" s="67">
        <f>IF(G254="","",ABS(P254-Components!$D$5)/Components!$E$5)</f>
        <v/>
      </c>
      <c r="U254" s="67">
        <f>IF(G254="","",ABS(P254-Components!$D$6)/Components!$E$6)</f>
        <v/>
      </c>
      <c r="V254" s="67">
        <f>IF(G254="","",ABS(P254-Components!$D$7)/Components!$E$7)</f>
        <v/>
      </c>
      <c r="W254" s="61">
        <f>IF(G254="","",IF(N254="OK","NONE",INDEX({"S1","S2","W1","W2","N1","N2"},MATCH(MIN(Q254:V254),Q254:V254,0))))</f>
        <v/>
      </c>
      <c r="X254" s="69">
        <f>IF(G254="","",IF(W254=E254,1,0))</f>
        <v/>
      </c>
      <c r="Y254" s="70" t="n"/>
    </row>
    <row r="255">
      <c r="A255" s="61" t="n">
        <v>12.7</v>
      </c>
      <c r="B255" s="62" t="n">
        <v>48.7</v>
      </c>
      <c r="C255" s="61" t="inlineStr">
        <is>
          <t>R4</t>
        </is>
      </c>
      <c r="D255" s="74" t="inlineStr">
        <is>
          <t>NG</t>
        </is>
      </c>
      <c r="E255" s="61" t="inlineStr">
        <is>
          <t>S2</t>
        </is>
      </c>
      <c r="F255" s="61" t="inlineStr">
        <is>
          <t>K040</t>
        </is>
      </c>
      <c r="G255" s="75" t="n">
        <v>4.93</v>
      </c>
      <c r="H255" s="65" t="n"/>
      <c r="I255" s="66" t="n"/>
      <c r="J255" s="67">
        <f>VLOOKUP(C255,Recipes!$A$2:$N$4,10,FALSE())</f>
        <v/>
      </c>
      <c r="K255" s="68">
        <f>VLOOKUP(C255,Recipes!$A$2:$N$4,12,FALSE())</f>
        <v/>
      </c>
      <c r="L255" s="67">
        <f>J255-6*K255</f>
        <v/>
      </c>
      <c r="M255" s="67">
        <f>J255+6*K255</f>
        <v/>
      </c>
      <c r="N255" s="61">
        <f>IF(G255="","",IF(AND(G255&gt;=L255,G255&lt;=M255),"OK","NG"))</f>
        <v/>
      </c>
      <c r="O255" s="69">
        <f>IF(N255="","",IF(N255=D255,1,0))</f>
        <v/>
      </c>
      <c r="P255" s="67">
        <f>IF(G255="","",J255-G255)</f>
        <v/>
      </c>
      <c r="Q255" s="67">
        <f>IF(G255="","",ABS(P255-Components!$D$2)/Components!$E$2)</f>
        <v/>
      </c>
      <c r="R255" s="67">
        <f>IF(G255="","",ABS(P255-Components!$D$3)/Components!$E$3)</f>
        <v/>
      </c>
      <c r="S255" s="67">
        <f>IF(G255="","",ABS(P255-Components!$D$4)/Components!$E$4)</f>
        <v/>
      </c>
      <c r="T255" s="67">
        <f>IF(G255="","",ABS(P255-Components!$D$5)/Components!$E$5)</f>
        <v/>
      </c>
      <c r="U255" s="67">
        <f>IF(G255="","",ABS(P255-Components!$D$6)/Components!$E$6)</f>
        <v/>
      </c>
      <c r="V255" s="67">
        <f>IF(G255="","",ABS(P255-Components!$D$7)/Components!$E$7)</f>
        <v/>
      </c>
      <c r="W255" s="61">
        <f>IF(G255="","",IF(N255="OK","NONE",INDEX({"S1","S2","W1","W2","N1","N2"},MATCH(MIN(Q255:V255),Q255:V255,0))))</f>
        <v/>
      </c>
      <c r="X255" s="69">
        <f>IF(G255="","",IF(W255=E255,1,0))</f>
        <v/>
      </c>
      <c r="Y255" s="70" t="n"/>
    </row>
    <row r="256">
      <c r="A256" s="76" t="n">
        <v>14.6</v>
      </c>
      <c r="B256" s="77" t="n">
        <v>47.6</v>
      </c>
      <c r="C256" s="76" t="inlineStr">
        <is>
          <t>R4</t>
        </is>
      </c>
      <c r="D256" s="78" t="inlineStr">
        <is>
          <t>NG</t>
        </is>
      </c>
      <c r="E256" s="76" t="inlineStr">
        <is>
          <t>S2</t>
        </is>
      </c>
      <c r="F256" s="76" t="inlineStr">
        <is>
          <t>K044</t>
        </is>
      </c>
      <c r="G256" s="75" t="n">
        <v>4.91</v>
      </c>
      <c r="H256" s="65" t="n"/>
      <c r="I256" s="66" t="n"/>
      <c r="J256" s="67">
        <f>VLOOKUP(C256,Recipes!$A$2:$N$4,10,FALSE())</f>
        <v/>
      </c>
      <c r="K256" s="68">
        <f>VLOOKUP(C256,Recipes!$A$2:$N$4,12,FALSE())</f>
        <v/>
      </c>
      <c r="L256" s="67">
        <f>J256-6*K256</f>
        <v/>
      </c>
      <c r="M256" s="67">
        <f>J256+6*K256</f>
        <v/>
      </c>
      <c r="N256" s="61">
        <f>IF(G256="","",IF(AND(G256&gt;=L256,G256&lt;=M256),"OK","NG"))</f>
        <v/>
      </c>
      <c r="O256" s="69">
        <f>IF(N256="","",IF(N256=D256,1,0))</f>
        <v/>
      </c>
      <c r="P256" s="67">
        <f>IF(G256="","",J256-G256)</f>
        <v/>
      </c>
      <c r="Q256" s="67">
        <f>IF(G256="","",ABS(P256-Components!$D$2)/Components!$E$2)</f>
        <v/>
      </c>
      <c r="R256" s="67">
        <f>IF(G256="","",ABS(P256-Components!$D$3)/Components!$E$3)</f>
        <v/>
      </c>
      <c r="S256" s="67">
        <f>IF(G256="","",ABS(P256-Components!$D$4)/Components!$E$4)</f>
        <v/>
      </c>
      <c r="T256" s="67">
        <f>IF(G256="","",ABS(P256-Components!$D$5)/Components!$E$5)</f>
        <v/>
      </c>
      <c r="U256" s="67">
        <f>IF(G256="","",ABS(P256-Components!$D$6)/Components!$E$6)</f>
        <v/>
      </c>
      <c r="V256" s="67">
        <f>IF(G256="","",ABS(P256-Components!$D$7)/Components!$E$7)</f>
        <v/>
      </c>
      <c r="W256" s="61">
        <f>IF(G256="","",IF(N256="OK","NONE",INDEX({"S1","S2","W1","W2","N1","N2"},MATCH(MIN(Q256:V256),Q256:V256,0))))</f>
        <v/>
      </c>
      <c r="X256" s="69">
        <f>IF(G256="","",IF(W256=E256,1,0))</f>
        <v/>
      </c>
      <c r="Y256" s="70" t="n"/>
    </row>
    <row r="257">
      <c r="A257" s="76" t="n">
        <v>16.5</v>
      </c>
      <c r="B257" s="77" t="n">
        <v>46.5</v>
      </c>
      <c r="C257" s="76" t="inlineStr">
        <is>
          <t>R4</t>
        </is>
      </c>
      <c r="D257" s="78" t="inlineStr">
        <is>
          <t>NG</t>
        </is>
      </c>
      <c r="E257" s="76" t="inlineStr">
        <is>
          <t>S2</t>
        </is>
      </c>
      <c r="F257" s="76" t="inlineStr">
        <is>
          <t>K045</t>
        </is>
      </c>
      <c r="G257" s="75" t="n">
        <v>4.88</v>
      </c>
      <c r="H257" s="65" t="n"/>
      <c r="I257" s="66" t="n"/>
      <c r="J257" s="67">
        <f>VLOOKUP(C257,Recipes!$A$2:$N$4,10,FALSE())</f>
        <v/>
      </c>
      <c r="K257" s="68">
        <f>VLOOKUP(C257,Recipes!$A$2:$N$4,12,FALSE())</f>
        <v/>
      </c>
      <c r="L257" s="67">
        <f>J257-6*K257</f>
        <v/>
      </c>
      <c r="M257" s="67">
        <f>J257+6*K257</f>
        <v/>
      </c>
      <c r="N257" s="61">
        <f>IF(G257="","",IF(AND(G257&gt;=L257,G257&lt;=M257),"OK","NG"))</f>
        <v/>
      </c>
      <c r="O257" s="69">
        <f>IF(N257="","",IF(N257=D257,1,0))</f>
        <v/>
      </c>
      <c r="P257" s="67">
        <f>IF(G257="","",J257-G257)</f>
        <v/>
      </c>
      <c r="Q257" s="67">
        <f>IF(G257="","",ABS(P257-Components!$D$2)/Components!$E$2)</f>
        <v/>
      </c>
      <c r="R257" s="67">
        <f>IF(G257="","",ABS(P257-Components!$D$3)/Components!$E$3)</f>
        <v/>
      </c>
      <c r="S257" s="67">
        <f>IF(G257="","",ABS(P257-Components!$D$4)/Components!$E$4)</f>
        <v/>
      </c>
      <c r="T257" s="67">
        <f>IF(G257="","",ABS(P257-Components!$D$5)/Components!$E$5)</f>
        <v/>
      </c>
      <c r="U257" s="67">
        <f>IF(G257="","",ABS(P257-Components!$D$6)/Components!$E$6)</f>
        <v/>
      </c>
      <c r="V257" s="67">
        <f>IF(G257="","",ABS(P257-Components!$D$7)/Components!$E$7)</f>
        <v/>
      </c>
      <c r="W257" s="61">
        <f>IF(G257="","",IF(N257="OK","NONE",INDEX({"S1","S2","W1","W2","N1","N2"},MATCH(MIN(Q257:V257),Q257:V257,0))))</f>
        <v/>
      </c>
      <c r="X257" s="69">
        <f>IF(G257="","",IF(W257=E257,1,0))</f>
        <v/>
      </c>
      <c r="Y257" s="70" t="n"/>
    </row>
    <row r="258">
      <c r="A258" s="61" t="n">
        <v>18.4</v>
      </c>
      <c r="B258" s="62" t="n">
        <v>45.4</v>
      </c>
      <c r="C258" s="61" t="inlineStr">
        <is>
          <t>R4</t>
        </is>
      </c>
      <c r="D258" s="74" t="inlineStr">
        <is>
          <t>NG</t>
        </is>
      </c>
      <c r="E258" s="61" t="inlineStr">
        <is>
          <t>S2</t>
        </is>
      </c>
      <c r="F258" s="61" t="inlineStr">
        <is>
          <t>K038</t>
        </is>
      </c>
      <c r="G258" s="75" t="n">
        <v>4.87</v>
      </c>
      <c r="H258" s="65" t="n"/>
      <c r="I258" s="66" t="n"/>
      <c r="J258" s="67">
        <f>VLOOKUP(C258,Recipes!$A$2:$N$4,10,FALSE())</f>
        <v/>
      </c>
      <c r="K258" s="68">
        <f>VLOOKUP(C258,Recipes!$A$2:$N$4,12,FALSE())</f>
        <v/>
      </c>
      <c r="L258" s="67">
        <f>J258-6*K258</f>
        <v/>
      </c>
      <c r="M258" s="67">
        <f>J258+6*K258</f>
        <v/>
      </c>
      <c r="N258" s="61">
        <f>IF(G258="","",IF(AND(G258&gt;=L258,G258&lt;=M258),"OK","NG"))</f>
        <v/>
      </c>
      <c r="O258" s="69">
        <f>IF(N258="","",IF(N258=D258,1,0))</f>
        <v/>
      </c>
      <c r="P258" s="67">
        <f>IF(G258="","",J258-G258)</f>
        <v/>
      </c>
      <c r="Q258" s="67">
        <f>IF(G258="","",ABS(P258-Components!$D$2)/Components!$E$2)</f>
        <v/>
      </c>
      <c r="R258" s="67">
        <f>IF(G258="","",ABS(P258-Components!$D$3)/Components!$E$3)</f>
        <v/>
      </c>
      <c r="S258" s="67">
        <f>IF(G258="","",ABS(P258-Components!$D$4)/Components!$E$4)</f>
        <v/>
      </c>
      <c r="T258" s="67">
        <f>IF(G258="","",ABS(P258-Components!$D$5)/Components!$E$5)</f>
        <v/>
      </c>
      <c r="U258" s="67">
        <f>IF(G258="","",ABS(P258-Components!$D$6)/Components!$E$6)</f>
        <v/>
      </c>
      <c r="V258" s="67">
        <f>IF(G258="","",ABS(P258-Components!$D$7)/Components!$E$7)</f>
        <v/>
      </c>
      <c r="W258" s="61">
        <f>IF(G258="","",IF(N258="OK","NONE",INDEX({"S1","S2","W1","W2","N1","N2"},MATCH(MIN(Q258:V258),Q258:V258,0))))</f>
        <v/>
      </c>
      <c r="X258" s="69">
        <f>IF(G258="","",IF(W258=E258,1,0))</f>
        <v/>
      </c>
      <c r="Y258" s="70" t="n"/>
    </row>
    <row r="259">
      <c r="A259" s="61" t="n">
        <v>20.3</v>
      </c>
      <c r="B259" s="62" t="n">
        <v>44.3</v>
      </c>
      <c r="C259" s="61" t="inlineStr">
        <is>
          <t>R4</t>
        </is>
      </c>
      <c r="D259" s="74" t="inlineStr">
        <is>
          <t>NG</t>
        </is>
      </c>
      <c r="E259" s="61" t="inlineStr">
        <is>
          <t>S2</t>
        </is>
      </c>
      <c r="F259" s="61" t="inlineStr">
        <is>
          <t>K039</t>
        </is>
      </c>
      <c r="G259" s="75" t="n">
        <v>4.91</v>
      </c>
      <c r="H259" s="65" t="n"/>
      <c r="I259" s="66" t="n"/>
      <c r="J259" s="67">
        <f>VLOOKUP(C259,Recipes!$A$2:$N$4,10,FALSE())</f>
        <v/>
      </c>
      <c r="K259" s="68">
        <f>VLOOKUP(C259,Recipes!$A$2:$N$4,12,FALSE())</f>
        <v/>
      </c>
      <c r="L259" s="67">
        <f>J259-6*K259</f>
        <v/>
      </c>
      <c r="M259" s="67">
        <f>J259+6*K259</f>
        <v/>
      </c>
      <c r="N259" s="61">
        <f>IF(G259="","",IF(AND(G259&gt;=L259,G259&lt;=M259),"OK","NG"))</f>
        <v/>
      </c>
      <c r="O259" s="69">
        <f>IF(N259="","",IF(N259=D259,1,0))</f>
        <v/>
      </c>
      <c r="P259" s="67">
        <f>IF(G259="","",J259-G259)</f>
        <v/>
      </c>
      <c r="Q259" s="67">
        <f>IF(G259="","",ABS(P259-Components!$D$2)/Components!$E$2)</f>
        <v/>
      </c>
      <c r="R259" s="67">
        <f>IF(G259="","",ABS(P259-Components!$D$3)/Components!$E$3)</f>
        <v/>
      </c>
      <c r="S259" s="67">
        <f>IF(G259="","",ABS(P259-Components!$D$4)/Components!$E$4)</f>
        <v/>
      </c>
      <c r="T259" s="67">
        <f>IF(G259="","",ABS(P259-Components!$D$5)/Components!$E$5)</f>
        <v/>
      </c>
      <c r="U259" s="67">
        <f>IF(G259="","",ABS(P259-Components!$D$6)/Components!$E$6)</f>
        <v/>
      </c>
      <c r="V259" s="67">
        <f>IF(G259="","",ABS(P259-Components!$D$7)/Components!$E$7)</f>
        <v/>
      </c>
      <c r="W259" s="61">
        <f>IF(G259="","",IF(N259="OK","NONE",INDEX({"S1","S2","W1","W2","N1","N2"},MATCH(MIN(Q259:V259),Q259:V259,0))))</f>
        <v/>
      </c>
      <c r="X259" s="69">
        <f>IF(G259="","",IF(W259=E259,1,0))</f>
        <v/>
      </c>
      <c r="Y259" s="70" t="n"/>
    </row>
    <row r="260">
      <c r="A260" s="61" t="n">
        <v>22.2</v>
      </c>
      <c r="B260" s="62" t="n">
        <v>43.2</v>
      </c>
      <c r="C260" s="61" t="inlineStr">
        <is>
          <t>R4</t>
        </is>
      </c>
      <c r="D260" s="74" t="inlineStr">
        <is>
          <t>NG</t>
        </is>
      </c>
      <c r="E260" s="61" t="inlineStr">
        <is>
          <t>S2</t>
        </is>
      </c>
      <c r="F260" s="61" t="inlineStr">
        <is>
          <t>K040</t>
        </is>
      </c>
      <c r="G260" s="75" t="n">
        <v>4.67</v>
      </c>
      <c r="H260" s="65" t="n"/>
      <c r="I260" s="66" t="n"/>
      <c r="J260" s="67">
        <f>VLOOKUP(C260,Recipes!$A$2:$N$4,10,FALSE())</f>
        <v/>
      </c>
      <c r="K260" s="68">
        <f>VLOOKUP(C260,Recipes!$A$2:$N$4,12,FALSE())</f>
        <v/>
      </c>
      <c r="L260" s="67">
        <f>J260-6*K260</f>
        <v/>
      </c>
      <c r="M260" s="67">
        <f>J260+6*K260</f>
        <v/>
      </c>
      <c r="N260" s="61">
        <f>IF(G260="","",IF(AND(G260&gt;=L260,G260&lt;=M260),"OK","NG"))</f>
        <v/>
      </c>
      <c r="O260" s="69">
        <f>IF(N260="","",IF(N260=D260,1,0))</f>
        <v/>
      </c>
      <c r="P260" s="67">
        <f>IF(G260="","",J260-G260)</f>
        <v/>
      </c>
      <c r="Q260" s="67">
        <f>IF(G260="","",ABS(P260-Components!$D$2)/Components!$E$2)</f>
        <v/>
      </c>
      <c r="R260" s="67">
        <f>IF(G260="","",ABS(P260-Components!$D$3)/Components!$E$3)</f>
        <v/>
      </c>
      <c r="S260" s="67">
        <f>IF(G260="","",ABS(P260-Components!$D$4)/Components!$E$4)</f>
        <v/>
      </c>
      <c r="T260" s="67">
        <f>IF(G260="","",ABS(P260-Components!$D$5)/Components!$E$5)</f>
        <v/>
      </c>
      <c r="U260" s="67">
        <f>IF(G260="","",ABS(P260-Components!$D$6)/Components!$E$6)</f>
        <v/>
      </c>
      <c r="V260" s="67">
        <f>IF(G260="","",ABS(P260-Components!$D$7)/Components!$E$7)</f>
        <v/>
      </c>
      <c r="W260" s="61">
        <f>IF(G260="","",IF(N260="OK","NONE",INDEX({"S1","S2","W1","W2","N1","N2"},MATCH(MIN(Q260:V260),Q260:V260,0))))</f>
        <v/>
      </c>
      <c r="X260" s="71">
        <f>IF(G260="","",IF(W260=E260,1,0))</f>
        <v/>
      </c>
      <c r="Y260" s="70" t="n"/>
    </row>
    <row r="261">
      <c r="A261" s="76" t="n">
        <v>24.1</v>
      </c>
      <c r="B261" s="77" t="n">
        <v>42.1</v>
      </c>
      <c r="C261" s="76" t="inlineStr">
        <is>
          <t>R4</t>
        </is>
      </c>
      <c r="D261" s="78" t="inlineStr">
        <is>
          <t>NG</t>
        </is>
      </c>
      <c r="E261" s="76" t="inlineStr">
        <is>
          <t>S2</t>
        </is>
      </c>
      <c r="F261" s="76" t="inlineStr">
        <is>
          <t>K044</t>
        </is>
      </c>
      <c r="G261" s="75" t="n">
        <v>4.86</v>
      </c>
      <c r="H261" s="65" t="n"/>
      <c r="I261" s="66" t="n"/>
      <c r="J261" s="67">
        <f>VLOOKUP(C261,Recipes!$A$2:$N$4,10,FALSE())</f>
        <v/>
      </c>
      <c r="K261" s="68">
        <f>VLOOKUP(C261,Recipes!$A$2:$N$4,12,FALSE())</f>
        <v/>
      </c>
      <c r="L261" s="67">
        <f>J261-6*K261</f>
        <v/>
      </c>
      <c r="M261" s="67">
        <f>J261+6*K261</f>
        <v/>
      </c>
      <c r="N261" s="61">
        <f>IF(G261="","",IF(AND(G261&gt;=L261,G261&lt;=M261),"OK","NG"))</f>
        <v/>
      </c>
      <c r="O261" s="69">
        <f>IF(N261="","",IF(N261=D261,1,0))</f>
        <v/>
      </c>
      <c r="P261" s="67">
        <f>IF(G261="","",J261-G261)</f>
        <v/>
      </c>
      <c r="Q261" s="67">
        <f>IF(G261="","",ABS(P261-Components!$D$2)/Components!$E$2)</f>
        <v/>
      </c>
      <c r="R261" s="67">
        <f>IF(G261="","",ABS(P261-Components!$D$3)/Components!$E$3)</f>
        <v/>
      </c>
      <c r="S261" s="67">
        <f>IF(G261="","",ABS(P261-Components!$D$4)/Components!$E$4)</f>
        <v/>
      </c>
      <c r="T261" s="67">
        <f>IF(G261="","",ABS(P261-Components!$D$5)/Components!$E$5)</f>
        <v/>
      </c>
      <c r="U261" s="67">
        <f>IF(G261="","",ABS(P261-Components!$D$6)/Components!$E$6)</f>
        <v/>
      </c>
      <c r="V261" s="67">
        <f>IF(G261="","",ABS(P261-Components!$D$7)/Components!$E$7)</f>
        <v/>
      </c>
      <c r="W261" s="61">
        <f>IF(G261="","",IF(N261="OK","NONE",INDEX({"S1","S2","W1","W2","N1","N2"},MATCH(MIN(Q261:V261),Q261:V261,0))))</f>
        <v/>
      </c>
      <c r="X261" s="69">
        <f>IF(G261="","",IF(W261=E261,1,0))</f>
        <v/>
      </c>
      <c r="Y261" s="70" t="n"/>
    </row>
    <row r="262">
      <c r="A262" s="76" t="n">
        <v>26</v>
      </c>
      <c r="B262" s="77" t="n">
        <v>41</v>
      </c>
      <c r="C262" s="76" t="inlineStr">
        <is>
          <t>R4</t>
        </is>
      </c>
      <c r="D262" s="78" t="inlineStr">
        <is>
          <t>NG</t>
        </is>
      </c>
      <c r="E262" s="76" t="inlineStr">
        <is>
          <t>S2</t>
        </is>
      </c>
      <c r="F262" s="76" t="inlineStr">
        <is>
          <t>K045</t>
        </is>
      </c>
      <c r="G262" s="75" t="n">
        <v>4.75</v>
      </c>
      <c r="H262" s="65" t="n"/>
      <c r="I262" s="66" t="n"/>
      <c r="J262" s="67">
        <f>VLOOKUP(C262,Recipes!$A$2:$N$4,10,FALSE())</f>
        <v/>
      </c>
      <c r="K262" s="68">
        <f>VLOOKUP(C262,Recipes!$A$2:$N$4,12,FALSE())</f>
        <v/>
      </c>
      <c r="L262" s="67">
        <f>J262-6*K262</f>
        <v/>
      </c>
      <c r="M262" s="67">
        <f>J262+6*K262</f>
        <v/>
      </c>
      <c r="N262" s="61">
        <f>IF(G262="","",IF(AND(G262&gt;=L262,G262&lt;=M262),"OK","NG"))</f>
        <v/>
      </c>
      <c r="O262" s="69">
        <f>IF(N262="","",IF(N262=D262,1,0))</f>
        <v/>
      </c>
      <c r="P262" s="67">
        <f>IF(G262="","",J262-G262)</f>
        <v/>
      </c>
      <c r="Q262" s="67">
        <f>IF(G262="","",ABS(P262-Components!$D$2)/Components!$E$2)</f>
        <v/>
      </c>
      <c r="R262" s="67">
        <f>IF(G262="","",ABS(P262-Components!$D$3)/Components!$E$3)</f>
        <v/>
      </c>
      <c r="S262" s="67">
        <f>IF(G262="","",ABS(P262-Components!$D$4)/Components!$E$4)</f>
        <v/>
      </c>
      <c r="T262" s="67">
        <f>IF(G262="","",ABS(P262-Components!$D$5)/Components!$E$5)</f>
        <v/>
      </c>
      <c r="U262" s="67">
        <f>IF(G262="","",ABS(P262-Components!$D$6)/Components!$E$6)</f>
        <v/>
      </c>
      <c r="V262" s="67">
        <f>IF(G262="","",ABS(P262-Components!$D$7)/Components!$E$7)</f>
        <v/>
      </c>
      <c r="W262" s="61">
        <f>IF(G262="","",IF(N262="OK","NONE",INDEX({"S1","S2","W1","W2","N1","N2"},MATCH(MIN(Q262:V262),Q262:V262,0))))</f>
        <v/>
      </c>
      <c r="X262" s="69">
        <f>IF(G262="","",IF(W262=E262,1,0))</f>
        <v/>
      </c>
      <c r="Y262" s="70" t="n"/>
    </row>
    <row r="263">
      <c r="A263" s="61" t="n">
        <v>27.9</v>
      </c>
      <c r="B263" s="62" t="n">
        <v>39.9</v>
      </c>
      <c r="C263" s="61" t="inlineStr">
        <is>
          <t>R4</t>
        </is>
      </c>
      <c r="D263" s="74" t="inlineStr">
        <is>
          <t>NG</t>
        </is>
      </c>
      <c r="E263" s="61" t="inlineStr">
        <is>
          <t>S2</t>
        </is>
      </c>
      <c r="F263" s="61" t="inlineStr">
        <is>
          <t>K038</t>
        </is>
      </c>
      <c r="G263" s="75" t="n">
        <v>4.91</v>
      </c>
      <c r="H263" s="65" t="n"/>
      <c r="I263" s="66" t="n"/>
      <c r="J263" s="67">
        <f>VLOOKUP(C263,Recipes!$A$2:$N$4,10,FALSE())</f>
        <v/>
      </c>
      <c r="K263" s="68">
        <f>VLOOKUP(C263,Recipes!$A$2:$N$4,12,FALSE())</f>
        <v/>
      </c>
      <c r="L263" s="67">
        <f>J263-6*K263</f>
        <v/>
      </c>
      <c r="M263" s="67">
        <f>J263+6*K263</f>
        <v/>
      </c>
      <c r="N263" s="61">
        <f>IF(G263="","",IF(AND(G263&gt;=L263,G263&lt;=M263),"OK","NG"))</f>
        <v/>
      </c>
      <c r="O263" s="69">
        <f>IF(N263="","",IF(N263=D263,1,0))</f>
        <v/>
      </c>
      <c r="P263" s="67">
        <f>IF(G263="","",J263-G263)</f>
        <v/>
      </c>
      <c r="Q263" s="67">
        <f>IF(G263="","",ABS(P263-Components!$D$2)/Components!$E$2)</f>
        <v/>
      </c>
      <c r="R263" s="67">
        <f>IF(G263="","",ABS(P263-Components!$D$3)/Components!$E$3)</f>
        <v/>
      </c>
      <c r="S263" s="67">
        <f>IF(G263="","",ABS(P263-Components!$D$4)/Components!$E$4)</f>
        <v/>
      </c>
      <c r="T263" s="67">
        <f>IF(G263="","",ABS(P263-Components!$D$5)/Components!$E$5)</f>
        <v/>
      </c>
      <c r="U263" s="67">
        <f>IF(G263="","",ABS(P263-Components!$D$6)/Components!$E$6)</f>
        <v/>
      </c>
      <c r="V263" s="67">
        <f>IF(G263="","",ABS(P263-Components!$D$7)/Components!$E$7)</f>
        <v/>
      </c>
      <c r="W263" s="61">
        <f>IF(G263="","",IF(N263="OK","NONE",INDEX({"S1","S2","W1","W2","N1","N2"},MATCH(MIN(Q263:V263),Q263:V263,0))))</f>
        <v/>
      </c>
      <c r="X263" s="69">
        <f>IF(G263="","",IF(W263=E263,1,0))</f>
        <v/>
      </c>
      <c r="Y263" s="70" t="n"/>
    </row>
    <row r="264">
      <c r="A264" s="61" t="n">
        <v>29.8</v>
      </c>
      <c r="B264" s="62" t="n">
        <v>38.8</v>
      </c>
      <c r="C264" s="61" t="inlineStr">
        <is>
          <t>R4</t>
        </is>
      </c>
      <c r="D264" s="74" t="inlineStr">
        <is>
          <t>NG</t>
        </is>
      </c>
      <c r="E264" s="61" t="inlineStr">
        <is>
          <t>S2</t>
        </is>
      </c>
      <c r="F264" s="61" t="inlineStr">
        <is>
          <t>K039</t>
        </is>
      </c>
      <c r="G264" s="75" t="n">
        <v>4.82</v>
      </c>
      <c r="H264" s="65" t="n"/>
      <c r="I264" s="66" t="n"/>
      <c r="J264" s="67">
        <f>VLOOKUP(C264,Recipes!$A$2:$N$4,10,FALSE())</f>
        <v/>
      </c>
      <c r="K264" s="68">
        <f>VLOOKUP(C264,Recipes!$A$2:$N$4,12,FALSE())</f>
        <v/>
      </c>
      <c r="L264" s="67">
        <f>J264-6*K264</f>
        <v/>
      </c>
      <c r="M264" s="67">
        <f>J264+6*K264</f>
        <v/>
      </c>
      <c r="N264" s="61">
        <f>IF(G264="","",IF(AND(G264&gt;=L264,G264&lt;=M264),"OK","NG"))</f>
        <v/>
      </c>
      <c r="O264" s="69">
        <f>IF(N264="","",IF(N264=D264,1,0))</f>
        <v/>
      </c>
      <c r="P264" s="67">
        <f>IF(G264="","",J264-G264)</f>
        <v/>
      </c>
      <c r="Q264" s="67">
        <f>IF(G264="","",ABS(P264-Components!$D$2)/Components!$E$2)</f>
        <v/>
      </c>
      <c r="R264" s="67">
        <f>IF(G264="","",ABS(P264-Components!$D$3)/Components!$E$3)</f>
        <v/>
      </c>
      <c r="S264" s="67">
        <f>IF(G264="","",ABS(P264-Components!$D$4)/Components!$E$4)</f>
        <v/>
      </c>
      <c r="T264" s="67">
        <f>IF(G264="","",ABS(P264-Components!$D$5)/Components!$E$5)</f>
        <v/>
      </c>
      <c r="U264" s="67">
        <f>IF(G264="","",ABS(P264-Components!$D$6)/Components!$E$6)</f>
        <v/>
      </c>
      <c r="V264" s="67">
        <f>IF(G264="","",ABS(P264-Components!$D$7)/Components!$E$7)</f>
        <v/>
      </c>
      <c r="W264" s="61">
        <f>IF(G264="","",IF(N264="OK","NONE",INDEX({"S1","S2","W1","W2","N1","N2"},MATCH(MIN(Q264:V264),Q264:V264,0))))</f>
        <v/>
      </c>
      <c r="X264" s="69">
        <f>IF(G264="","",IF(W264=E264,1,0))</f>
        <v/>
      </c>
      <c r="Y264" s="70" t="n"/>
    </row>
    <row r="265">
      <c r="A265" s="61" t="n">
        <v>31.7</v>
      </c>
      <c r="B265" s="62" t="n">
        <v>37.7</v>
      </c>
      <c r="C265" s="61" t="inlineStr">
        <is>
          <t>R4</t>
        </is>
      </c>
      <c r="D265" s="74" t="inlineStr">
        <is>
          <t>NG</t>
        </is>
      </c>
      <c r="E265" s="61" t="inlineStr">
        <is>
          <t>S2</t>
        </is>
      </c>
      <c r="F265" s="61" t="inlineStr">
        <is>
          <t>K040</t>
        </is>
      </c>
      <c r="G265" s="75" t="n">
        <v>4.83</v>
      </c>
      <c r="H265" s="65" t="n"/>
      <c r="I265" s="66" t="n"/>
      <c r="J265" s="67">
        <f>VLOOKUP(C265,Recipes!$A$2:$N$4,10,FALSE())</f>
        <v/>
      </c>
      <c r="K265" s="68">
        <f>VLOOKUP(C265,Recipes!$A$2:$N$4,12,FALSE())</f>
        <v/>
      </c>
      <c r="L265" s="67">
        <f>J265-6*K265</f>
        <v/>
      </c>
      <c r="M265" s="67">
        <f>J265+6*K265</f>
        <v/>
      </c>
      <c r="N265" s="61">
        <f>IF(G265="","",IF(AND(G265&gt;=L265,G265&lt;=M265),"OK","NG"))</f>
        <v/>
      </c>
      <c r="O265" s="69">
        <f>IF(N265="","",IF(N265=D265,1,0))</f>
        <v/>
      </c>
      <c r="P265" s="67">
        <f>IF(G265="","",J265-G265)</f>
        <v/>
      </c>
      <c r="Q265" s="67">
        <f>IF(G265="","",ABS(P265-Components!$D$2)/Components!$E$2)</f>
        <v/>
      </c>
      <c r="R265" s="67">
        <f>IF(G265="","",ABS(P265-Components!$D$3)/Components!$E$3)</f>
        <v/>
      </c>
      <c r="S265" s="67">
        <f>IF(G265="","",ABS(P265-Components!$D$4)/Components!$E$4)</f>
        <v/>
      </c>
      <c r="T265" s="67">
        <f>IF(G265="","",ABS(P265-Components!$D$5)/Components!$E$5)</f>
        <v/>
      </c>
      <c r="U265" s="67">
        <f>IF(G265="","",ABS(P265-Components!$D$6)/Components!$E$6)</f>
        <v/>
      </c>
      <c r="V265" s="67">
        <f>IF(G265="","",ABS(P265-Components!$D$7)/Components!$E$7)</f>
        <v/>
      </c>
      <c r="W265" s="61">
        <f>IF(G265="","",IF(N265="OK","NONE",INDEX({"S1","S2","W1","W2","N1","N2"},MATCH(MIN(Q265:V265),Q265:V265,0))))</f>
        <v/>
      </c>
      <c r="X265" s="69">
        <f>IF(G265="","",IF(W265=E265,1,0))</f>
        <v/>
      </c>
      <c r="Y265" s="70" t="n"/>
    </row>
    <row r="266">
      <c r="A266" s="76" t="n">
        <v>33.6</v>
      </c>
      <c r="B266" s="77" t="n">
        <v>36.6</v>
      </c>
      <c r="C266" s="76" t="inlineStr">
        <is>
          <t>R4</t>
        </is>
      </c>
      <c r="D266" s="78" t="inlineStr">
        <is>
          <t>NG</t>
        </is>
      </c>
      <c r="E266" s="76" t="inlineStr">
        <is>
          <t>S2</t>
        </is>
      </c>
      <c r="F266" s="76" t="inlineStr">
        <is>
          <t>K044</t>
        </is>
      </c>
      <c r="G266" s="75" t="n">
        <v>4.78</v>
      </c>
      <c r="H266" s="65" t="n"/>
      <c r="I266" s="66" t="n"/>
      <c r="J266" s="67">
        <f>VLOOKUP(C266,Recipes!$A$2:$N$4,10,FALSE())</f>
        <v/>
      </c>
      <c r="K266" s="68">
        <f>VLOOKUP(C266,Recipes!$A$2:$N$4,12,FALSE())</f>
        <v/>
      </c>
      <c r="L266" s="67">
        <f>J266-6*K266</f>
        <v/>
      </c>
      <c r="M266" s="67">
        <f>J266+6*K266</f>
        <v/>
      </c>
      <c r="N266" s="61">
        <f>IF(G266="","",IF(AND(G266&gt;=L266,G266&lt;=M266),"OK","NG"))</f>
        <v/>
      </c>
      <c r="O266" s="69">
        <f>IF(N266="","",IF(N266=D266,1,0))</f>
        <v/>
      </c>
      <c r="P266" s="67">
        <f>IF(G266="","",J266-G266)</f>
        <v/>
      </c>
      <c r="Q266" s="67">
        <f>IF(G266="","",ABS(P266-Components!$D$2)/Components!$E$2)</f>
        <v/>
      </c>
      <c r="R266" s="67">
        <f>IF(G266="","",ABS(P266-Components!$D$3)/Components!$E$3)</f>
        <v/>
      </c>
      <c r="S266" s="67">
        <f>IF(G266="","",ABS(P266-Components!$D$4)/Components!$E$4)</f>
        <v/>
      </c>
      <c r="T266" s="67">
        <f>IF(G266="","",ABS(P266-Components!$D$5)/Components!$E$5)</f>
        <v/>
      </c>
      <c r="U266" s="67">
        <f>IF(G266="","",ABS(P266-Components!$D$6)/Components!$E$6)</f>
        <v/>
      </c>
      <c r="V266" s="67">
        <f>IF(G266="","",ABS(P266-Components!$D$7)/Components!$E$7)</f>
        <v/>
      </c>
      <c r="W266" s="61">
        <f>IF(G266="","",IF(N266="OK","NONE",INDEX({"S1","S2","W1","W2","N1","N2"},MATCH(MIN(Q266:V266),Q266:V266,0))))</f>
        <v/>
      </c>
      <c r="X266" s="69">
        <f>IF(G266="","",IF(W266=E266,1,0))</f>
        <v/>
      </c>
      <c r="Y266" s="70" t="n"/>
    </row>
    <row r="267">
      <c r="A267" s="76" t="n">
        <v>35.5</v>
      </c>
      <c r="B267" s="77" t="n">
        <v>35.5</v>
      </c>
      <c r="C267" s="76" t="inlineStr">
        <is>
          <t>R4</t>
        </is>
      </c>
      <c r="D267" s="78" t="inlineStr">
        <is>
          <t>NG</t>
        </is>
      </c>
      <c r="E267" s="76" t="inlineStr">
        <is>
          <t>S2</t>
        </is>
      </c>
      <c r="F267" s="76" t="inlineStr">
        <is>
          <t>K045</t>
        </is>
      </c>
      <c r="G267" s="75" t="n">
        <v>4.88</v>
      </c>
      <c r="H267" s="65" t="n"/>
      <c r="I267" s="66" t="n"/>
      <c r="J267" s="67">
        <f>VLOOKUP(C267,Recipes!$A$2:$N$4,10,FALSE())</f>
        <v/>
      </c>
      <c r="K267" s="68">
        <f>VLOOKUP(C267,Recipes!$A$2:$N$4,12,FALSE())</f>
        <v/>
      </c>
      <c r="L267" s="67">
        <f>J267-6*K267</f>
        <v/>
      </c>
      <c r="M267" s="67">
        <f>J267+6*K267</f>
        <v/>
      </c>
      <c r="N267" s="61">
        <f>IF(G267="","",IF(AND(G267&gt;=L267,G267&lt;=M267),"OK","NG"))</f>
        <v/>
      </c>
      <c r="O267" s="69">
        <f>IF(N267="","",IF(N267=D267,1,0))</f>
        <v/>
      </c>
      <c r="P267" s="67">
        <f>IF(G267="","",J267-G267)</f>
        <v/>
      </c>
      <c r="Q267" s="67">
        <f>IF(G267="","",ABS(P267-Components!$D$2)/Components!$E$2)</f>
        <v/>
      </c>
      <c r="R267" s="67">
        <f>IF(G267="","",ABS(P267-Components!$D$3)/Components!$E$3)</f>
        <v/>
      </c>
      <c r="S267" s="67">
        <f>IF(G267="","",ABS(P267-Components!$D$4)/Components!$E$4)</f>
        <v/>
      </c>
      <c r="T267" s="67">
        <f>IF(G267="","",ABS(P267-Components!$D$5)/Components!$E$5)</f>
        <v/>
      </c>
      <c r="U267" s="67">
        <f>IF(G267="","",ABS(P267-Components!$D$6)/Components!$E$6)</f>
        <v/>
      </c>
      <c r="V267" s="67">
        <f>IF(G267="","",ABS(P267-Components!$D$7)/Components!$E$7)</f>
        <v/>
      </c>
      <c r="W267" s="61">
        <f>IF(G267="","",IF(N267="OK","NONE",INDEX({"S1","S2","W1","W2","N1","N2"},MATCH(MIN(Q267:V267),Q267:V267,0))))</f>
        <v/>
      </c>
      <c r="X267" s="69">
        <f>IF(G267="","",IF(W267=E267,1,0))</f>
        <v/>
      </c>
      <c r="Y267" s="70" t="n"/>
    </row>
    <row r="268">
      <c r="A268" s="61" t="n">
        <v>38</v>
      </c>
      <c r="B268" s="62" t="n">
        <v>14</v>
      </c>
      <c r="C268" s="61" t="inlineStr">
        <is>
          <t>R4</t>
        </is>
      </c>
      <c r="D268" s="74" t="inlineStr">
        <is>
          <t>NG</t>
        </is>
      </c>
      <c r="E268" s="61" t="inlineStr">
        <is>
          <t>S2</t>
        </is>
      </c>
      <c r="F268" s="61" t="inlineStr">
        <is>
          <t>K038</t>
        </is>
      </c>
      <c r="G268" s="64" t="n">
        <v>4.91</v>
      </c>
      <c r="H268" s="65" t="n"/>
      <c r="I268" s="66" t="n"/>
      <c r="J268" s="67">
        <f>VLOOKUP(C268,Recipes!$A$2:$N$4,10,FALSE())</f>
        <v/>
      </c>
      <c r="K268" s="68">
        <f>VLOOKUP(C268,Recipes!$A$2:$N$4,12,FALSE())</f>
        <v/>
      </c>
      <c r="L268" s="67">
        <f>J268-6*K268</f>
        <v/>
      </c>
      <c r="M268" s="67">
        <f>J268+6*K268</f>
        <v/>
      </c>
      <c r="N268" s="61">
        <f>IF(G268="","",IF(AND(G268&gt;=L268,G268&lt;=M268),"OK","NG"))</f>
        <v/>
      </c>
      <c r="O268" s="69">
        <f>IF(N268="","",IF(N268=D268,1,0))</f>
        <v/>
      </c>
      <c r="P268" s="67">
        <f>IF(G268="","",J268-G268)</f>
        <v/>
      </c>
      <c r="Q268" s="67">
        <f>IF(G268="","",ABS(P268-Components!$D$2)/Components!$E$2)</f>
        <v/>
      </c>
      <c r="R268" s="67">
        <f>IF(G268="","",ABS(P268-Components!$D$3)/Components!$E$3)</f>
        <v/>
      </c>
      <c r="S268" s="67">
        <f>IF(G268="","",ABS(P268-Components!$D$4)/Components!$E$4)</f>
        <v/>
      </c>
      <c r="T268" s="67">
        <f>IF(G268="","",ABS(P268-Components!$D$5)/Components!$E$5)</f>
        <v/>
      </c>
      <c r="U268" s="67">
        <f>IF(G268="","",ABS(P268-Components!$D$6)/Components!$E$6)</f>
        <v/>
      </c>
      <c r="V268" s="67">
        <f>IF(G268="","",ABS(P268-Components!$D$7)/Components!$E$7)</f>
        <v/>
      </c>
      <c r="W268" s="61">
        <f>IF(G268="","",IF(N268="OK","NONE",INDEX({"S1","S2","W1","W2","N1","N2"},MATCH(MIN(Q268:V268),Q268:V268,0))))</f>
        <v/>
      </c>
      <c r="X268" s="69">
        <f>IF(G268="","",IF(W268=E268,1,0))</f>
        <v/>
      </c>
      <c r="Y268" s="70" t="n"/>
    </row>
    <row r="269">
      <c r="A269" s="61" t="n">
        <v>39</v>
      </c>
      <c r="B269" s="62" t="n">
        <v>46</v>
      </c>
      <c r="C269" s="61" t="inlineStr">
        <is>
          <t>R4</t>
        </is>
      </c>
      <c r="D269" s="74" t="inlineStr">
        <is>
          <t>NG</t>
        </is>
      </c>
      <c r="E269" s="61" t="inlineStr">
        <is>
          <t>S2</t>
        </is>
      </c>
      <c r="F269" s="61" t="inlineStr">
        <is>
          <t>K039</t>
        </is>
      </c>
      <c r="G269" s="64" t="n">
        <v>4.89</v>
      </c>
      <c r="H269" s="65" t="n"/>
      <c r="I269" s="66" t="n"/>
      <c r="J269" s="67">
        <f>VLOOKUP(C269,Recipes!$A$2:$N$4,10,FALSE())</f>
        <v/>
      </c>
      <c r="K269" s="68">
        <f>VLOOKUP(C269,Recipes!$A$2:$N$4,12,FALSE())</f>
        <v/>
      </c>
      <c r="L269" s="67">
        <f>J269-6*K269</f>
        <v/>
      </c>
      <c r="M269" s="67">
        <f>J269+6*K269</f>
        <v/>
      </c>
      <c r="N269" s="61">
        <f>IF(G269="","",IF(AND(G269&gt;=L269,G269&lt;=M269),"OK","NG"))</f>
        <v/>
      </c>
      <c r="O269" s="69">
        <f>IF(N269="","",IF(N269=D269,1,0))</f>
        <v/>
      </c>
      <c r="P269" s="67">
        <f>IF(G269="","",J269-G269)</f>
        <v/>
      </c>
      <c r="Q269" s="67">
        <f>IF(G269="","",ABS(P269-Components!$D$2)/Components!$E$2)</f>
        <v/>
      </c>
      <c r="R269" s="67">
        <f>IF(G269="","",ABS(P269-Components!$D$3)/Components!$E$3)</f>
        <v/>
      </c>
      <c r="S269" s="67">
        <f>IF(G269="","",ABS(P269-Components!$D$4)/Components!$E$4)</f>
        <v/>
      </c>
      <c r="T269" s="67">
        <f>IF(G269="","",ABS(P269-Components!$D$5)/Components!$E$5)</f>
        <v/>
      </c>
      <c r="U269" s="67">
        <f>IF(G269="","",ABS(P269-Components!$D$6)/Components!$E$6)</f>
        <v/>
      </c>
      <c r="V269" s="67">
        <f>IF(G269="","",ABS(P269-Components!$D$7)/Components!$E$7)</f>
        <v/>
      </c>
      <c r="W269" s="61">
        <f>IF(G269="","",IF(N269="OK","NONE",INDEX({"S1","S2","W1","W2","N1","N2"},MATCH(MIN(Q269:V269),Q269:V269,0))))</f>
        <v/>
      </c>
      <c r="X269" s="69">
        <f>IF(G269="","",IF(W269=E269,1,0))</f>
        <v/>
      </c>
      <c r="Y269" s="70" t="n"/>
    </row>
    <row r="270">
      <c r="A270" s="61" t="n">
        <v>40</v>
      </c>
      <c r="B270" s="62" t="n">
        <v>53</v>
      </c>
      <c r="C270" s="61" t="inlineStr">
        <is>
          <t>R4</t>
        </is>
      </c>
      <c r="D270" s="74" t="inlineStr">
        <is>
          <t>NG</t>
        </is>
      </c>
      <c r="E270" s="61" t="inlineStr">
        <is>
          <t>S2</t>
        </is>
      </c>
      <c r="F270" s="61" t="inlineStr">
        <is>
          <t>K040</t>
        </is>
      </c>
      <c r="G270" s="64" t="n">
        <v>4.89</v>
      </c>
      <c r="H270" s="65" t="n"/>
      <c r="I270" s="66" t="n"/>
      <c r="J270" s="67">
        <f>VLOOKUP(C270,Recipes!$A$2:$N$4,10,FALSE())</f>
        <v/>
      </c>
      <c r="K270" s="68">
        <f>VLOOKUP(C270,Recipes!$A$2:$N$4,12,FALSE())</f>
        <v/>
      </c>
      <c r="L270" s="67">
        <f>J270-6*K270</f>
        <v/>
      </c>
      <c r="M270" s="67">
        <f>J270+6*K270</f>
        <v/>
      </c>
      <c r="N270" s="61">
        <f>IF(G270="","",IF(AND(G270&gt;=L270,G270&lt;=M270),"OK","NG"))</f>
        <v/>
      </c>
      <c r="O270" s="69">
        <f>IF(N270="","",IF(N270=D270,1,0))</f>
        <v/>
      </c>
      <c r="P270" s="67">
        <f>IF(G270="","",J270-G270)</f>
        <v/>
      </c>
      <c r="Q270" s="67">
        <f>IF(G270="","",ABS(P270-Components!$D$2)/Components!$E$2)</f>
        <v/>
      </c>
      <c r="R270" s="67">
        <f>IF(G270="","",ABS(P270-Components!$D$3)/Components!$E$3)</f>
        <v/>
      </c>
      <c r="S270" s="67">
        <f>IF(G270="","",ABS(P270-Components!$D$4)/Components!$E$4)</f>
        <v/>
      </c>
      <c r="T270" s="67">
        <f>IF(G270="","",ABS(P270-Components!$D$5)/Components!$E$5)</f>
        <v/>
      </c>
      <c r="U270" s="67">
        <f>IF(G270="","",ABS(P270-Components!$D$6)/Components!$E$6)</f>
        <v/>
      </c>
      <c r="V270" s="67">
        <f>IF(G270="","",ABS(P270-Components!$D$7)/Components!$E$7)</f>
        <v/>
      </c>
      <c r="W270" s="61">
        <f>IF(G270="","",IF(N270="OK","NONE",INDEX({"S1","S2","W1","W2","N1","N2"},MATCH(MIN(Q270:V270),Q270:V270,0))))</f>
        <v/>
      </c>
      <c r="X270" s="69">
        <f>IF(G270="","",IF(W270=E270,1,0))</f>
        <v/>
      </c>
      <c r="Y270" s="70" t="n"/>
    </row>
    <row r="271">
      <c r="A271" s="76" t="n">
        <v>44</v>
      </c>
      <c r="B271" s="77" t="n">
        <v>33</v>
      </c>
      <c r="C271" s="76" t="inlineStr">
        <is>
          <t>R4</t>
        </is>
      </c>
      <c r="D271" s="78" t="inlineStr">
        <is>
          <t>NG</t>
        </is>
      </c>
      <c r="E271" s="76" t="inlineStr">
        <is>
          <t>S2</t>
        </is>
      </c>
      <c r="F271" s="76" t="inlineStr">
        <is>
          <t>K044</t>
        </is>
      </c>
      <c r="G271" s="75" t="n">
        <v>4.9</v>
      </c>
      <c r="H271" s="65" t="n"/>
      <c r="I271" s="66" t="n"/>
      <c r="J271" s="67">
        <f>VLOOKUP(C271,Recipes!$A$2:$N$4,10,FALSE())</f>
        <v/>
      </c>
      <c r="K271" s="68">
        <f>VLOOKUP(C271,Recipes!$A$2:$N$4,12,FALSE())</f>
        <v/>
      </c>
      <c r="L271" s="67">
        <f>J271-6*K271</f>
        <v/>
      </c>
      <c r="M271" s="67">
        <f>J271+6*K271</f>
        <v/>
      </c>
      <c r="N271" s="61">
        <f>IF(G271="","",IF(AND(G271&gt;=L271,G271&lt;=M271),"OK","NG"))</f>
        <v/>
      </c>
      <c r="O271" s="69">
        <f>IF(N271="","",IF(N271=D271,1,0))</f>
        <v/>
      </c>
      <c r="P271" s="67">
        <f>IF(G271="","",J271-G271)</f>
        <v/>
      </c>
      <c r="Q271" s="67">
        <f>IF(G271="","",ABS(P271-Components!$D$2)/Components!$E$2)</f>
        <v/>
      </c>
      <c r="R271" s="67">
        <f>IF(G271="","",ABS(P271-Components!$D$3)/Components!$E$3)</f>
        <v/>
      </c>
      <c r="S271" s="67">
        <f>IF(G271="","",ABS(P271-Components!$D$4)/Components!$E$4)</f>
        <v/>
      </c>
      <c r="T271" s="67">
        <f>IF(G271="","",ABS(P271-Components!$D$5)/Components!$E$5)</f>
        <v/>
      </c>
      <c r="U271" s="67">
        <f>IF(G271="","",ABS(P271-Components!$D$6)/Components!$E$6)</f>
        <v/>
      </c>
      <c r="V271" s="67">
        <f>IF(G271="","",ABS(P271-Components!$D$7)/Components!$E$7)</f>
        <v/>
      </c>
      <c r="W271" s="61">
        <f>IF(G271="","",IF(N271="OK","NONE",INDEX({"S1","S2","W1","W2","N1","N2"},MATCH(MIN(Q271:V271),Q271:V271,0))))</f>
        <v/>
      </c>
      <c r="X271" s="69">
        <f>IF(G271="","",IF(W271=E271,1,0))</f>
        <v/>
      </c>
      <c r="Y271" s="70" t="n"/>
    </row>
    <row r="272">
      <c r="A272" s="76" t="n">
        <v>45</v>
      </c>
      <c r="B272" s="77" t="n">
        <v>15</v>
      </c>
      <c r="C272" s="76" t="inlineStr">
        <is>
          <t>R4</t>
        </is>
      </c>
      <c r="D272" s="78" t="inlineStr">
        <is>
          <t>NG</t>
        </is>
      </c>
      <c r="E272" s="76" t="inlineStr">
        <is>
          <t>S2</t>
        </is>
      </c>
      <c r="F272" s="76" t="inlineStr">
        <is>
          <t>K045</t>
        </is>
      </c>
      <c r="G272" s="75" t="n">
        <v>4.91</v>
      </c>
      <c r="H272" s="65" t="n"/>
      <c r="I272" s="66" t="n"/>
      <c r="J272" s="67">
        <f>VLOOKUP(C272,Recipes!$A$2:$N$4,10,FALSE())</f>
        <v/>
      </c>
      <c r="K272" s="68">
        <f>VLOOKUP(C272,Recipes!$A$2:$N$4,12,FALSE())</f>
        <v/>
      </c>
      <c r="L272" s="67">
        <f>J272-6*K272</f>
        <v/>
      </c>
      <c r="M272" s="67">
        <f>J272+6*K272</f>
        <v/>
      </c>
      <c r="N272" s="61">
        <f>IF(G272="","",IF(AND(G272&gt;=L272,G272&lt;=M272),"OK","NG"))</f>
        <v/>
      </c>
      <c r="O272" s="69">
        <f>IF(N272="","",IF(N272=D272,1,0))</f>
        <v/>
      </c>
      <c r="P272" s="67">
        <f>IF(G272="","",J272-G272)</f>
        <v/>
      </c>
      <c r="Q272" s="67">
        <f>IF(G272="","",ABS(P272-Components!$D$2)/Components!$E$2)</f>
        <v/>
      </c>
      <c r="R272" s="67">
        <f>IF(G272="","",ABS(P272-Components!$D$3)/Components!$E$3)</f>
        <v/>
      </c>
      <c r="S272" s="67">
        <f>IF(G272="","",ABS(P272-Components!$D$4)/Components!$E$4)</f>
        <v/>
      </c>
      <c r="T272" s="67">
        <f>IF(G272="","",ABS(P272-Components!$D$5)/Components!$E$5)</f>
        <v/>
      </c>
      <c r="U272" s="67">
        <f>IF(G272="","",ABS(P272-Components!$D$6)/Components!$E$6)</f>
        <v/>
      </c>
      <c r="V272" s="67">
        <f>IF(G272="","",ABS(P272-Components!$D$7)/Components!$E$7)</f>
        <v/>
      </c>
      <c r="W272" s="61">
        <f>IF(G272="","",IF(N272="OK","NONE",INDEX({"S1","S2","W1","W2","N1","N2"},MATCH(MIN(Q272:V272),Q272:V272,0))))</f>
        <v/>
      </c>
      <c r="X272" s="69">
        <f>IF(G272="","",IF(W272=E272,1,0))</f>
        <v/>
      </c>
      <c r="Y272" s="70" t="n"/>
    </row>
    <row r="273">
      <c r="A273" s="61" t="n">
        <v>41</v>
      </c>
      <c r="B273" s="62" t="n">
        <v>3</v>
      </c>
      <c r="C273" s="61" t="inlineStr">
        <is>
          <t>R6</t>
        </is>
      </c>
      <c r="D273" s="63" t="inlineStr">
        <is>
          <t>OK</t>
        </is>
      </c>
      <c r="E273" s="61" t="inlineStr">
        <is>
          <t>NONE</t>
        </is>
      </c>
      <c r="F273" s="61" t="inlineStr">
        <is>
          <t>K041</t>
        </is>
      </c>
      <c r="G273" s="64" t="n">
        <v>8.65</v>
      </c>
      <c r="H273" s="65" t="n"/>
      <c r="I273" s="66" t="n"/>
      <c r="J273" s="67">
        <f>VLOOKUP(C273,Recipes!$A$2:$N$4,10,FALSE())</f>
        <v/>
      </c>
      <c r="K273" s="68">
        <f>VLOOKUP(C273,Recipes!$A$2:$N$4,12,FALSE())</f>
        <v/>
      </c>
      <c r="L273" s="67">
        <f>J273-6*K273</f>
        <v/>
      </c>
      <c r="M273" s="67">
        <f>J273+6*K273</f>
        <v/>
      </c>
      <c r="N273" s="61">
        <f>IF(G273="","",IF(AND(G273&gt;=L273,G273&lt;=M273),"OK","NG"))</f>
        <v/>
      </c>
      <c r="O273" s="69">
        <f>IF(N273="","",IF(N273=D273,1,0))</f>
        <v/>
      </c>
      <c r="P273" s="67">
        <f>IF(G273="","",J273-G273)</f>
        <v/>
      </c>
      <c r="Q273" s="67">
        <f>IF(G273="","",ABS(P273-Components!$D$2)/Components!$E$2)</f>
        <v/>
      </c>
      <c r="R273" s="67">
        <f>IF(G273="","",ABS(P273-Components!$D$3)/Components!$E$3)</f>
        <v/>
      </c>
      <c r="S273" s="67">
        <f>IF(G273="","",ABS(P273-Components!$D$4)/Components!$E$4)</f>
        <v/>
      </c>
      <c r="T273" s="67">
        <f>IF(G273="","",ABS(P273-Components!$D$5)/Components!$E$5)</f>
        <v/>
      </c>
      <c r="U273" s="67">
        <f>IF(G273="","",ABS(P273-Components!$D$6)/Components!$E$6)</f>
        <v/>
      </c>
      <c r="V273" s="67">
        <f>IF(G273="","",ABS(P273-Components!$D$7)/Components!$E$7)</f>
        <v/>
      </c>
      <c r="W273" s="61">
        <f>IF(G273="","",IF(N273="OK","NONE",INDEX({"S1","S2","W1","W2","N1","N2"},MATCH(MIN(Q273:V273),Q273:V273,0))))</f>
        <v/>
      </c>
      <c r="X273" s="69">
        <f>IF(G273="","",IF(W273=E273,1,0))</f>
        <v/>
      </c>
      <c r="Y273" s="70" t="n"/>
    </row>
    <row r="274">
      <c r="A274" s="61" t="n">
        <v>41</v>
      </c>
      <c r="B274" s="62" t="n">
        <v>3</v>
      </c>
      <c r="C274" s="61" t="inlineStr">
        <is>
          <t>R6</t>
        </is>
      </c>
      <c r="D274" s="63" t="inlineStr">
        <is>
          <t>OK</t>
        </is>
      </c>
      <c r="E274" s="61" t="inlineStr">
        <is>
          <t>NONE</t>
        </is>
      </c>
      <c r="F274" s="61" t="inlineStr">
        <is>
          <t>K041</t>
        </is>
      </c>
      <c r="G274" s="64" t="n">
        <v>8.529999999999999</v>
      </c>
      <c r="H274" s="65" t="n"/>
      <c r="I274" s="66" t="n"/>
      <c r="J274" s="67">
        <f>VLOOKUP(C274,Recipes!$A$2:$N$4,10,FALSE())</f>
        <v/>
      </c>
      <c r="K274" s="68">
        <f>VLOOKUP(C274,Recipes!$A$2:$N$4,12,FALSE())</f>
        <v/>
      </c>
      <c r="L274" s="67">
        <f>J274-6*K274</f>
        <v/>
      </c>
      <c r="M274" s="67">
        <f>J274+6*K274</f>
        <v/>
      </c>
      <c r="N274" s="61">
        <f>IF(G274="","",IF(AND(G274&gt;=L274,G274&lt;=M274),"OK","NG"))</f>
        <v/>
      </c>
      <c r="O274" s="69">
        <f>IF(N274="","",IF(N274=D274,1,0))</f>
        <v/>
      </c>
      <c r="P274" s="67">
        <f>IF(G274="","",J274-G274)</f>
        <v/>
      </c>
      <c r="Q274" s="67">
        <f>IF(G274="","",ABS(P274-Components!$D$2)/Components!$E$2)</f>
        <v/>
      </c>
      <c r="R274" s="67">
        <f>IF(G274="","",ABS(P274-Components!$D$3)/Components!$E$3)</f>
        <v/>
      </c>
      <c r="S274" s="67">
        <f>IF(G274="","",ABS(P274-Components!$D$4)/Components!$E$4)</f>
        <v/>
      </c>
      <c r="T274" s="67">
        <f>IF(G274="","",ABS(P274-Components!$D$5)/Components!$E$5)</f>
        <v/>
      </c>
      <c r="U274" s="67">
        <f>IF(G274="","",ABS(P274-Components!$D$6)/Components!$E$6)</f>
        <v/>
      </c>
      <c r="V274" s="67">
        <f>IF(G274="","",ABS(P274-Components!$D$7)/Components!$E$7)</f>
        <v/>
      </c>
      <c r="W274" s="61">
        <f>IF(G274="","",IF(N274="OK","NONE",INDEX({"S1","S2","W1","W2","N1","N2"},MATCH(MIN(Q274:V274),Q274:V274,0))))</f>
        <v/>
      </c>
      <c r="X274" s="69">
        <f>IF(G274="","",IF(W274=E274,1,0))</f>
        <v/>
      </c>
      <c r="Y274" s="70" t="n"/>
    </row>
    <row r="275">
      <c r="A275" s="61" t="n">
        <v>41</v>
      </c>
      <c r="B275" s="62" t="n">
        <v>3</v>
      </c>
      <c r="C275" s="61" t="inlineStr">
        <is>
          <t>R6</t>
        </is>
      </c>
      <c r="D275" s="63" t="inlineStr">
        <is>
          <t>OK</t>
        </is>
      </c>
      <c r="E275" s="61" t="inlineStr">
        <is>
          <t>NONE</t>
        </is>
      </c>
      <c r="F275" s="61" t="inlineStr">
        <is>
          <t>K041</t>
        </is>
      </c>
      <c r="G275" s="75" t="n">
        <v>8.58</v>
      </c>
      <c r="H275" s="65" t="n"/>
      <c r="I275" s="66" t="n"/>
      <c r="J275" s="67">
        <f>VLOOKUP(C275,Recipes!$A$2:$N$4,10,FALSE())</f>
        <v/>
      </c>
      <c r="K275" s="68">
        <f>VLOOKUP(C275,Recipes!$A$2:$N$4,12,FALSE())</f>
        <v/>
      </c>
      <c r="L275" s="67">
        <f>J275-6*K275</f>
        <v/>
      </c>
      <c r="M275" s="67">
        <f>J275+6*K275</f>
        <v/>
      </c>
      <c r="N275" s="61">
        <f>IF(G275="","",IF(AND(G275&gt;=L275,G275&lt;=M275),"OK","NG"))</f>
        <v/>
      </c>
      <c r="O275" s="69">
        <f>IF(N275="","",IF(N275=D275,1,0))</f>
        <v/>
      </c>
      <c r="P275" s="67">
        <f>IF(G275="","",J275-G275)</f>
        <v/>
      </c>
      <c r="Q275" s="67">
        <f>IF(G275="","",ABS(P275-Components!$D$2)/Components!$E$2)</f>
        <v/>
      </c>
      <c r="R275" s="67">
        <f>IF(G275="","",ABS(P275-Components!$D$3)/Components!$E$3)</f>
        <v/>
      </c>
      <c r="S275" s="67">
        <f>IF(G275="","",ABS(P275-Components!$D$4)/Components!$E$4)</f>
        <v/>
      </c>
      <c r="T275" s="67">
        <f>IF(G275="","",ABS(P275-Components!$D$5)/Components!$E$5)</f>
        <v/>
      </c>
      <c r="U275" s="67">
        <f>IF(G275="","",ABS(P275-Components!$D$6)/Components!$E$6)</f>
        <v/>
      </c>
      <c r="V275" s="67">
        <f>IF(G275="","",ABS(P275-Components!$D$7)/Components!$E$7)</f>
        <v/>
      </c>
      <c r="W275" s="61">
        <f>IF(G275="","",IF(N275="OK","NONE",INDEX({"S1","S2","W1","W2","N1","N2"},MATCH(MIN(Q275:V275),Q275:V275,0))))</f>
        <v/>
      </c>
      <c r="X275" s="69">
        <f>IF(G275="","",IF(W275=E275,1,0))</f>
        <v/>
      </c>
      <c r="Y275" s="70" t="n"/>
    </row>
    <row r="276">
      <c r="A276" s="61" t="n">
        <v>41</v>
      </c>
      <c r="B276" s="62" t="n">
        <v>3</v>
      </c>
      <c r="C276" s="61" t="inlineStr">
        <is>
          <t>R6</t>
        </is>
      </c>
      <c r="D276" s="63" t="inlineStr">
        <is>
          <t>OK</t>
        </is>
      </c>
      <c r="E276" s="61" t="inlineStr">
        <is>
          <t>NONE</t>
        </is>
      </c>
      <c r="F276" s="61" t="inlineStr">
        <is>
          <t>K041</t>
        </is>
      </c>
      <c r="G276" s="75" t="n">
        <v>8.66</v>
      </c>
      <c r="H276" s="65" t="n"/>
      <c r="I276" s="66" t="n"/>
      <c r="J276" s="67">
        <f>VLOOKUP(C276,Recipes!$A$2:$N$4,10,FALSE())</f>
        <v/>
      </c>
      <c r="K276" s="68">
        <f>VLOOKUP(C276,Recipes!$A$2:$N$4,12,FALSE())</f>
        <v/>
      </c>
      <c r="L276" s="67">
        <f>J276-6*K276</f>
        <v/>
      </c>
      <c r="M276" s="67">
        <f>J276+6*K276</f>
        <v/>
      </c>
      <c r="N276" s="61">
        <f>IF(G276="","",IF(AND(G276&gt;=L276,G276&lt;=M276),"OK","NG"))</f>
        <v/>
      </c>
      <c r="O276" s="69">
        <f>IF(N276="","",IF(N276=D276,1,0))</f>
        <v/>
      </c>
      <c r="P276" s="67">
        <f>IF(G276="","",J276-G276)</f>
        <v/>
      </c>
      <c r="Q276" s="67">
        <f>IF(G276="","",ABS(P276-Components!$D$2)/Components!$E$2)</f>
        <v/>
      </c>
      <c r="R276" s="67">
        <f>IF(G276="","",ABS(P276-Components!$D$3)/Components!$E$3)</f>
        <v/>
      </c>
      <c r="S276" s="67">
        <f>IF(G276="","",ABS(P276-Components!$D$4)/Components!$E$4)</f>
        <v/>
      </c>
      <c r="T276" s="67">
        <f>IF(G276="","",ABS(P276-Components!$D$5)/Components!$E$5)</f>
        <v/>
      </c>
      <c r="U276" s="67">
        <f>IF(G276="","",ABS(P276-Components!$D$6)/Components!$E$6)</f>
        <v/>
      </c>
      <c r="V276" s="67">
        <f>IF(G276="","",ABS(P276-Components!$D$7)/Components!$E$7)</f>
        <v/>
      </c>
      <c r="W276" s="61">
        <f>IF(G276="","",IF(N276="OK","NONE",INDEX({"S1","S2","W1","W2","N1","N2"},MATCH(MIN(Q276:V276),Q276:V276,0))))</f>
        <v/>
      </c>
      <c r="X276" s="69">
        <f>IF(G276="","",IF(W276=E276,1,0))</f>
        <v/>
      </c>
      <c r="Y276" s="70" t="n"/>
    </row>
    <row r="277">
      <c r="A277" s="61" t="n">
        <v>41</v>
      </c>
      <c r="B277" s="62" t="n">
        <v>3</v>
      </c>
      <c r="C277" s="61" t="inlineStr">
        <is>
          <t>R6</t>
        </is>
      </c>
      <c r="D277" s="63" t="inlineStr">
        <is>
          <t>OK</t>
        </is>
      </c>
      <c r="E277" s="61" t="inlineStr">
        <is>
          <t>NONE</t>
        </is>
      </c>
      <c r="F277" s="61" t="inlineStr">
        <is>
          <t>K041</t>
        </is>
      </c>
      <c r="G277" s="75" t="n">
        <v>8.57</v>
      </c>
      <c r="H277" s="65" t="n"/>
      <c r="I277" s="66" t="n"/>
      <c r="J277" s="67">
        <f>VLOOKUP(C277,Recipes!$A$2:$N$4,10,FALSE())</f>
        <v/>
      </c>
      <c r="K277" s="68">
        <f>VLOOKUP(C277,Recipes!$A$2:$N$4,12,FALSE())</f>
        <v/>
      </c>
      <c r="L277" s="67">
        <f>J277-6*K277</f>
        <v/>
      </c>
      <c r="M277" s="67">
        <f>J277+6*K277</f>
        <v/>
      </c>
      <c r="N277" s="61">
        <f>IF(G277="","",IF(AND(G277&gt;=L277,G277&lt;=M277),"OK","NG"))</f>
        <v/>
      </c>
      <c r="O277" s="69">
        <f>IF(N277="","",IF(N277=D277,1,0))</f>
        <v/>
      </c>
      <c r="P277" s="67">
        <f>IF(G277="","",J277-G277)</f>
        <v/>
      </c>
      <c r="Q277" s="67">
        <f>IF(G277="","",ABS(P277-Components!$D$2)/Components!$E$2)</f>
        <v/>
      </c>
      <c r="R277" s="67">
        <f>IF(G277="","",ABS(P277-Components!$D$3)/Components!$E$3)</f>
        <v/>
      </c>
      <c r="S277" s="67">
        <f>IF(G277="","",ABS(P277-Components!$D$4)/Components!$E$4)</f>
        <v/>
      </c>
      <c r="T277" s="67">
        <f>IF(G277="","",ABS(P277-Components!$D$5)/Components!$E$5)</f>
        <v/>
      </c>
      <c r="U277" s="67">
        <f>IF(G277="","",ABS(P277-Components!$D$6)/Components!$E$6)</f>
        <v/>
      </c>
      <c r="V277" s="67">
        <f>IF(G277="","",ABS(P277-Components!$D$7)/Components!$E$7)</f>
        <v/>
      </c>
      <c r="W277" s="61">
        <f>IF(G277="","",IF(N277="OK","NONE",INDEX({"S1","S2","W1","W2","N1","N2"},MATCH(MIN(Q277:V277),Q277:V277,0))))</f>
        <v/>
      </c>
      <c r="X277" s="69">
        <f>IF(G277="","",IF(W277=E277,1,0))</f>
        <v/>
      </c>
      <c r="Y277" s="70" t="n"/>
    </row>
    <row r="278">
      <c r="A278" s="61" t="n">
        <v>41</v>
      </c>
      <c r="B278" s="62" t="n">
        <v>3</v>
      </c>
      <c r="C278" s="61" t="inlineStr">
        <is>
          <t>R6</t>
        </is>
      </c>
      <c r="D278" s="63" t="inlineStr">
        <is>
          <t>OK</t>
        </is>
      </c>
      <c r="E278" s="61" t="inlineStr">
        <is>
          <t>NONE</t>
        </is>
      </c>
      <c r="F278" s="61" t="inlineStr">
        <is>
          <t>K041</t>
        </is>
      </c>
      <c r="G278" s="75" t="n">
        <v>8.6</v>
      </c>
      <c r="H278" s="65" t="n"/>
      <c r="I278" s="66" t="n"/>
      <c r="J278" s="67">
        <f>VLOOKUP(C278,Recipes!$A$2:$N$4,10,FALSE())</f>
        <v/>
      </c>
      <c r="K278" s="68">
        <f>VLOOKUP(C278,Recipes!$A$2:$N$4,12,FALSE())</f>
        <v/>
      </c>
      <c r="L278" s="67">
        <f>J278-6*K278</f>
        <v/>
      </c>
      <c r="M278" s="67">
        <f>J278+6*K278</f>
        <v/>
      </c>
      <c r="N278" s="61">
        <f>IF(G278="","",IF(AND(G278&gt;=L278,G278&lt;=M278),"OK","NG"))</f>
        <v/>
      </c>
      <c r="O278" s="69">
        <f>IF(N278="","",IF(N278=D278,1,0))</f>
        <v/>
      </c>
      <c r="P278" s="67">
        <f>IF(G278="","",J278-G278)</f>
        <v/>
      </c>
      <c r="Q278" s="67">
        <f>IF(G278="","",ABS(P278-Components!$D$2)/Components!$E$2)</f>
        <v/>
      </c>
      <c r="R278" s="67">
        <f>IF(G278="","",ABS(P278-Components!$D$3)/Components!$E$3)</f>
        <v/>
      </c>
      <c r="S278" s="67">
        <f>IF(G278="","",ABS(P278-Components!$D$4)/Components!$E$4)</f>
        <v/>
      </c>
      <c r="T278" s="67">
        <f>IF(G278="","",ABS(P278-Components!$D$5)/Components!$E$5)</f>
        <v/>
      </c>
      <c r="U278" s="67">
        <f>IF(G278="","",ABS(P278-Components!$D$6)/Components!$E$6)</f>
        <v/>
      </c>
      <c r="V278" s="67">
        <f>IF(G278="","",ABS(P278-Components!$D$7)/Components!$E$7)</f>
        <v/>
      </c>
      <c r="W278" s="61">
        <f>IF(G278="","",IF(N278="OK","NONE",INDEX({"S1","S2","W1","W2","N1","N2"},MATCH(MIN(Q278:V278),Q278:V278,0))))</f>
        <v/>
      </c>
      <c r="X278" s="69">
        <f>IF(G278="","",IF(W278=E278,1,0))</f>
        <v/>
      </c>
      <c r="Y278" s="70" t="n"/>
    </row>
    <row r="279">
      <c r="A279" s="61" t="n">
        <v>41</v>
      </c>
      <c r="B279" s="62" t="n">
        <v>3</v>
      </c>
      <c r="C279" s="61" t="inlineStr">
        <is>
          <t>R6</t>
        </is>
      </c>
      <c r="D279" s="63" t="inlineStr">
        <is>
          <t>OK</t>
        </is>
      </c>
      <c r="E279" s="61" t="inlineStr">
        <is>
          <t>NONE</t>
        </is>
      </c>
      <c r="F279" s="61" t="inlineStr">
        <is>
          <t>K041</t>
        </is>
      </c>
      <c r="G279" s="75" t="n">
        <v>8.65</v>
      </c>
      <c r="H279" s="65" t="n"/>
      <c r="I279" s="66" t="n"/>
      <c r="J279" s="67">
        <f>VLOOKUP(C279,Recipes!$A$2:$N$4,10,FALSE())</f>
        <v/>
      </c>
      <c r="K279" s="68">
        <f>VLOOKUP(C279,Recipes!$A$2:$N$4,12,FALSE())</f>
        <v/>
      </c>
      <c r="L279" s="67">
        <f>J279-6*K279</f>
        <v/>
      </c>
      <c r="M279" s="67">
        <f>J279+6*K279</f>
        <v/>
      </c>
      <c r="N279" s="61">
        <f>IF(G279="","",IF(AND(G279&gt;=L279,G279&lt;=M279),"OK","NG"))</f>
        <v/>
      </c>
      <c r="O279" s="69">
        <f>IF(N279="","",IF(N279=D279,1,0))</f>
        <v/>
      </c>
      <c r="P279" s="67">
        <f>IF(G279="","",J279-G279)</f>
        <v/>
      </c>
      <c r="Q279" s="67">
        <f>IF(G279="","",ABS(P279-Components!$D$2)/Components!$E$2)</f>
        <v/>
      </c>
      <c r="R279" s="67">
        <f>IF(G279="","",ABS(P279-Components!$D$3)/Components!$E$3)</f>
        <v/>
      </c>
      <c r="S279" s="67">
        <f>IF(G279="","",ABS(P279-Components!$D$4)/Components!$E$4)</f>
        <v/>
      </c>
      <c r="T279" s="67">
        <f>IF(G279="","",ABS(P279-Components!$D$5)/Components!$E$5)</f>
        <v/>
      </c>
      <c r="U279" s="67">
        <f>IF(G279="","",ABS(P279-Components!$D$6)/Components!$E$6)</f>
        <v/>
      </c>
      <c r="V279" s="67">
        <f>IF(G279="","",ABS(P279-Components!$D$7)/Components!$E$7)</f>
        <v/>
      </c>
      <c r="W279" s="61">
        <f>IF(G279="","",IF(N279="OK","NONE",INDEX({"S1","S2","W1","W2","N1","N2"},MATCH(MIN(Q279:V279),Q279:V279,0))))</f>
        <v/>
      </c>
      <c r="X279" s="69">
        <f>IF(G279="","",IF(W279=E279,1,0))</f>
        <v/>
      </c>
      <c r="Y279" s="70" t="n"/>
    </row>
    <row r="280">
      <c r="A280" s="61" t="n">
        <v>41</v>
      </c>
      <c r="B280" s="62" t="n">
        <v>3</v>
      </c>
      <c r="C280" s="61" t="inlineStr">
        <is>
          <t>R6</t>
        </is>
      </c>
      <c r="D280" s="63" t="inlineStr">
        <is>
          <t>OK</t>
        </is>
      </c>
      <c r="E280" s="61" t="inlineStr">
        <is>
          <t>NONE</t>
        </is>
      </c>
      <c r="F280" s="61" t="inlineStr">
        <is>
          <t>K041</t>
        </is>
      </c>
      <c r="G280" s="75" t="n">
        <v>8.58</v>
      </c>
      <c r="H280" s="65" t="n"/>
      <c r="I280" s="66" t="n"/>
      <c r="J280" s="67">
        <f>VLOOKUP(C280,Recipes!$A$2:$N$4,10,FALSE())</f>
        <v/>
      </c>
      <c r="K280" s="68">
        <f>VLOOKUP(C280,Recipes!$A$2:$N$4,12,FALSE())</f>
        <v/>
      </c>
      <c r="L280" s="67">
        <f>J280-6*K280</f>
        <v/>
      </c>
      <c r="M280" s="67">
        <f>J280+6*K280</f>
        <v/>
      </c>
      <c r="N280" s="61">
        <f>IF(G280="","",IF(AND(G280&gt;=L280,G280&lt;=M280),"OK","NG"))</f>
        <v/>
      </c>
      <c r="O280" s="69">
        <f>IF(N280="","",IF(N280=D280,1,0))</f>
        <v/>
      </c>
      <c r="P280" s="67">
        <f>IF(G280="","",J280-G280)</f>
        <v/>
      </c>
      <c r="Q280" s="67">
        <f>IF(G280="","",ABS(P280-Components!$D$2)/Components!$E$2)</f>
        <v/>
      </c>
      <c r="R280" s="67">
        <f>IF(G280="","",ABS(P280-Components!$D$3)/Components!$E$3)</f>
        <v/>
      </c>
      <c r="S280" s="67">
        <f>IF(G280="","",ABS(P280-Components!$D$4)/Components!$E$4)</f>
        <v/>
      </c>
      <c r="T280" s="67">
        <f>IF(G280="","",ABS(P280-Components!$D$5)/Components!$E$5)</f>
        <v/>
      </c>
      <c r="U280" s="67">
        <f>IF(G280="","",ABS(P280-Components!$D$6)/Components!$E$6)</f>
        <v/>
      </c>
      <c r="V280" s="67">
        <f>IF(G280="","",ABS(P280-Components!$D$7)/Components!$E$7)</f>
        <v/>
      </c>
      <c r="W280" s="61">
        <f>IF(G280="","",IF(N280="OK","NONE",INDEX({"S1","S2","W1","W2","N1","N2"},MATCH(MIN(Q280:V280),Q280:V280,0))))</f>
        <v/>
      </c>
      <c r="X280" s="69">
        <f>IF(G280="","",IF(W280=E280,1,0))</f>
        <v/>
      </c>
      <c r="Y280" s="70" t="n"/>
    </row>
    <row r="281">
      <c r="A281" s="61" t="n">
        <v>41</v>
      </c>
      <c r="B281" s="62" t="n">
        <v>3</v>
      </c>
      <c r="C281" s="61" t="inlineStr">
        <is>
          <t>R6</t>
        </is>
      </c>
      <c r="D281" s="63" t="inlineStr">
        <is>
          <t>OK</t>
        </is>
      </c>
      <c r="E281" s="61" t="inlineStr">
        <is>
          <t>NONE</t>
        </is>
      </c>
      <c r="F281" s="61" t="inlineStr">
        <is>
          <t>K041</t>
        </is>
      </c>
      <c r="G281" s="75" t="n">
        <v>8.58</v>
      </c>
      <c r="H281" s="65" t="n"/>
      <c r="I281" s="66" t="n"/>
      <c r="J281" s="67">
        <f>VLOOKUP(C281,Recipes!$A$2:$N$4,10,FALSE())</f>
        <v/>
      </c>
      <c r="K281" s="68">
        <f>VLOOKUP(C281,Recipes!$A$2:$N$4,12,FALSE())</f>
        <v/>
      </c>
      <c r="L281" s="67">
        <f>J281-6*K281</f>
        <v/>
      </c>
      <c r="M281" s="67">
        <f>J281+6*K281</f>
        <v/>
      </c>
      <c r="N281" s="61">
        <f>IF(G281="","",IF(AND(G281&gt;=L281,G281&lt;=M281),"OK","NG"))</f>
        <v/>
      </c>
      <c r="O281" s="69">
        <f>IF(N281="","",IF(N281=D281,1,0))</f>
        <v/>
      </c>
      <c r="P281" s="67">
        <f>IF(G281="","",J281-G281)</f>
        <v/>
      </c>
      <c r="Q281" s="67">
        <f>IF(G281="","",ABS(P281-Components!$D$2)/Components!$E$2)</f>
        <v/>
      </c>
      <c r="R281" s="67">
        <f>IF(G281="","",ABS(P281-Components!$D$3)/Components!$E$3)</f>
        <v/>
      </c>
      <c r="S281" s="67">
        <f>IF(G281="","",ABS(P281-Components!$D$4)/Components!$E$4)</f>
        <v/>
      </c>
      <c r="T281" s="67">
        <f>IF(G281="","",ABS(P281-Components!$D$5)/Components!$E$5)</f>
        <v/>
      </c>
      <c r="U281" s="67">
        <f>IF(G281="","",ABS(P281-Components!$D$6)/Components!$E$6)</f>
        <v/>
      </c>
      <c r="V281" s="67">
        <f>IF(G281="","",ABS(P281-Components!$D$7)/Components!$E$7)</f>
        <v/>
      </c>
      <c r="W281" s="61">
        <f>IF(G281="","",IF(N281="OK","NONE",INDEX({"S1","S2","W1","W2","N1","N2"},MATCH(MIN(Q281:V281),Q281:V281,0))))</f>
        <v/>
      </c>
      <c r="X281" s="69">
        <f>IF(G281="","",IF(W281=E281,1,0))</f>
        <v/>
      </c>
      <c r="Y281" s="70" t="n"/>
    </row>
    <row r="282">
      <c r="A282" s="61" t="n">
        <v>41</v>
      </c>
      <c r="B282" s="62" t="n">
        <v>3</v>
      </c>
      <c r="C282" s="61" t="inlineStr">
        <is>
          <t>R6</t>
        </is>
      </c>
      <c r="D282" s="63" t="inlineStr">
        <is>
          <t>OK</t>
        </is>
      </c>
      <c r="E282" s="61" t="inlineStr">
        <is>
          <t>NONE</t>
        </is>
      </c>
      <c r="F282" s="61" t="inlineStr">
        <is>
          <t>K041</t>
        </is>
      </c>
      <c r="G282" s="75" t="n">
        <v>8.57</v>
      </c>
      <c r="H282" s="65" t="n"/>
      <c r="I282" s="66" t="n"/>
      <c r="J282" s="67">
        <f>VLOOKUP(C282,Recipes!$A$2:$N$4,10,FALSE())</f>
        <v/>
      </c>
      <c r="K282" s="68">
        <f>VLOOKUP(C282,Recipes!$A$2:$N$4,12,FALSE())</f>
        <v/>
      </c>
      <c r="L282" s="67">
        <f>J282-6*K282</f>
        <v/>
      </c>
      <c r="M282" s="67">
        <f>J282+6*K282</f>
        <v/>
      </c>
      <c r="N282" s="61">
        <f>IF(G282="","",IF(AND(G282&gt;=L282,G282&lt;=M282),"OK","NG"))</f>
        <v/>
      </c>
      <c r="O282" s="69">
        <f>IF(N282="","",IF(N282=D282,1,0))</f>
        <v/>
      </c>
      <c r="P282" s="67">
        <f>IF(G282="","",J282-G282)</f>
        <v/>
      </c>
      <c r="Q282" s="67">
        <f>IF(G282="","",ABS(P282-Components!$D$2)/Components!$E$2)</f>
        <v/>
      </c>
      <c r="R282" s="67">
        <f>IF(G282="","",ABS(P282-Components!$D$3)/Components!$E$3)</f>
        <v/>
      </c>
      <c r="S282" s="67">
        <f>IF(G282="","",ABS(P282-Components!$D$4)/Components!$E$4)</f>
        <v/>
      </c>
      <c r="T282" s="67">
        <f>IF(G282="","",ABS(P282-Components!$D$5)/Components!$E$5)</f>
        <v/>
      </c>
      <c r="U282" s="67">
        <f>IF(G282="","",ABS(P282-Components!$D$6)/Components!$E$6)</f>
        <v/>
      </c>
      <c r="V282" s="67">
        <f>IF(G282="","",ABS(P282-Components!$D$7)/Components!$E$7)</f>
        <v/>
      </c>
      <c r="W282" s="61">
        <f>IF(G282="","",IF(N282="OK","NONE",INDEX({"S1","S2","W1","W2","N1","N2"},MATCH(MIN(Q282:V282),Q282:V282,0))))</f>
        <v/>
      </c>
      <c r="X282" s="69">
        <f>IF(G282="","",IF(W282=E282,1,0))</f>
        <v/>
      </c>
      <c r="Y282" s="70" t="n"/>
    </row>
    <row r="283">
      <c r="A283" s="61" t="n">
        <v>41</v>
      </c>
      <c r="B283" s="62" t="n">
        <v>3</v>
      </c>
      <c r="C283" s="61" t="inlineStr">
        <is>
          <t>R6</t>
        </is>
      </c>
      <c r="D283" s="63" t="inlineStr">
        <is>
          <t>OK</t>
        </is>
      </c>
      <c r="E283" s="61" t="inlineStr">
        <is>
          <t>NONE</t>
        </is>
      </c>
      <c r="F283" s="61" t="inlineStr">
        <is>
          <t>K041</t>
        </is>
      </c>
      <c r="G283" s="75" t="n">
        <v>8.529999999999999</v>
      </c>
      <c r="H283" s="65" t="n"/>
      <c r="I283" s="66" t="n"/>
      <c r="J283" s="67">
        <f>VLOOKUP(C283,Recipes!$A$2:$N$4,10,FALSE())</f>
        <v/>
      </c>
      <c r="K283" s="68">
        <f>VLOOKUP(C283,Recipes!$A$2:$N$4,12,FALSE())</f>
        <v/>
      </c>
      <c r="L283" s="67">
        <f>J283-6*K283</f>
        <v/>
      </c>
      <c r="M283" s="67">
        <f>J283+6*K283</f>
        <v/>
      </c>
      <c r="N283" s="61">
        <f>IF(G283="","",IF(AND(G283&gt;=L283,G283&lt;=M283),"OK","NG"))</f>
        <v/>
      </c>
      <c r="O283" s="69">
        <f>IF(N283="","",IF(N283=D283,1,0))</f>
        <v/>
      </c>
      <c r="P283" s="67">
        <f>IF(G283="","",J283-G283)</f>
        <v/>
      </c>
      <c r="Q283" s="67">
        <f>IF(G283="","",ABS(P283-Components!$D$2)/Components!$E$2)</f>
        <v/>
      </c>
      <c r="R283" s="67">
        <f>IF(G283="","",ABS(P283-Components!$D$3)/Components!$E$3)</f>
        <v/>
      </c>
      <c r="S283" s="67">
        <f>IF(G283="","",ABS(P283-Components!$D$4)/Components!$E$4)</f>
        <v/>
      </c>
      <c r="T283" s="67">
        <f>IF(G283="","",ABS(P283-Components!$D$5)/Components!$E$5)</f>
        <v/>
      </c>
      <c r="U283" s="67">
        <f>IF(G283="","",ABS(P283-Components!$D$6)/Components!$E$6)</f>
        <v/>
      </c>
      <c r="V283" s="67">
        <f>IF(G283="","",ABS(P283-Components!$D$7)/Components!$E$7)</f>
        <v/>
      </c>
      <c r="W283" s="61">
        <f>IF(G283="","",IF(N283="OK","NONE",INDEX({"S1","S2","W1","W2","N1","N2"},MATCH(MIN(Q283:V283),Q283:V283,0))))</f>
        <v/>
      </c>
      <c r="X283" s="69">
        <f>IF(G283="","",IF(W283=E283,1,0))</f>
        <v/>
      </c>
      <c r="Y283" s="70" t="n"/>
    </row>
    <row r="284">
      <c r="A284" s="61" t="n">
        <v>41</v>
      </c>
      <c r="B284" s="62" t="n">
        <v>3</v>
      </c>
      <c r="C284" s="61" t="inlineStr">
        <is>
          <t>R6</t>
        </is>
      </c>
      <c r="D284" s="63" t="inlineStr">
        <is>
          <t>OK</t>
        </is>
      </c>
      <c r="E284" s="61" t="inlineStr">
        <is>
          <t>NONE</t>
        </is>
      </c>
      <c r="F284" s="61" t="inlineStr">
        <is>
          <t>K041</t>
        </is>
      </c>
      <c r="G284" s="75" t="n">
        <v>8.640000000000001</v>
      </c>
      <c r="H284" s="65" t="n"/>
      <c r="I284" s="66" t="n"/>
      <c r="J284" s="67">
        <f>VLOOKUP(C284,Recipes!$A$2:$N$4,10,FALSE())</f>
        <v/>
      </c>
      <c r="K284" s="68">
        <f>VLOOKUP(C284,Recipes!$A$2:$N$4,12,FALSE())</f>
        <v/>
      </c>
      <c r="L284" s="67">
        <f>J284-6*K284</f>
        <v/>
      </c>
      <c r="M284" s="67">
        <f>J284+6*K284</f>
        <v/>
      </c>
      <c r="N284" s="61">
        <f>IF(G284="","",IF(AND(G284&gt;=L284,G284&lt;=M284),"OK","NG"))</f>
        <v/>
      </c>
      <c r="O284" s="69">
        <f>IF(N284="","",IF(N284=D284,1,0))</f>
        <v/>
      </c>
      <c r="P284" s="67">
        <f>IF(G284="","",J284-G284)</f>
        <v/>
      </c>
      <c r="Q284" s="67">
        <f>IF(G284="","",ABS(P284-Components!$D$2)/Components!$E$2)</f>
        <v/>
      </c>
      <c r="R284" s="67">
        <f>IF(G284="","",ABS(P284-Components!$D$3)/Components!$E$3)</f>
        <v/>
      </c>
      <c r="S284" s="67">
        <f>IF(G284="","",ABS(P284-Components!$D$4)/Components!$E$4)</f>
        <v/>
      </c>
      <c r="T284" s="67">
        <f>IF(G284="","",ABS(P284-Components!$D$5)/Components!$E$5)</f>
        <v/>
      </c>
      <c r="U284" s="67">
        <f>IF(G284="","",ABS(P284-Components!$D$6)/Components!$E$6)</f>
        <v/>
      </c>
      <c r="V284" s="67">
        <f>IF(G284="","",ABS(P284-Components!$D$7)/Components!$E$7)</f>
        <v/>
      </c>
      <c r="W284" s="61">
        <f>IF(G284="","",IF(N284="OK","NONE",INDEX({"S1","S2","W1","W2","N1","N2"},MATCH(MIN(Q284:V284),Q284:V284,0))))</f>
        <v/>
      </c>
      <c r="X284" s="69">
        <f>IF(G284="","",IF(W284=E284,1,0))</f>
        <v/>
      </c>
      <c r="Y284" s="70" t="n"/>
    </row>
    <row r="285">
      <c r="A285" s="61" t="n">
        <v>41</v>
      </c>
      <c r="B285" s="62" t="n">
        <v>3</v>
      </c>
      <c r="C285" s="61" t="inlineStr">
        <is>
          <t>R6</t>
        </is>
      </c>
      <c r="D285" s="63" t="inlineStr">
        <is>
          <t>OK</t>
        </is>
      </c>
      <c r="E285" s="61" t="inlineStr">
        <is>
          <t>NONE</t>
        </is>
      </c>
      <c r="F285" s="61" t="inlineStr">
        <is>
          <t>K041</t>
        </is>
      </c>
      <c r="G285" s="75" t="n">
        <v>8.57</v>
      </c>
      <c r="H285" s="65" t="n"/>
      <c r="I285" s="66" t="n"/>
      <c r="J285" s="67">
        <f>VLOOKUP(C285,Recipes!$A$2:$N$4,10,FALSE())</f>
        <v/>
      </c>
      <c r="K285" s="68">
        <f>VLOOKUP(C285,Recipes!$A$2:$N$4,12,FALSE())</f>
        <v/>
      </c>
      <c r="L285" s="67">
        <f>J285-6*K285</f>
        <v/>
      </c>
      <c r="M285" s="67">
        <f>J285+6*K285</f>
        <v/>
      </c>
      <c r="N285" s="61">
        <f>IF(G285="","",IF(AND(G285&gt;=L285,G285&lt;=M285),"OK","NG"))</f>
        <v/>
      </c>
      <c r="O285" s="69">
        <f>IF(N285="","",IF(N285=D285,1,0))</f>
        <v/>
      </c>
      <c r="P285" s="67">
        <f>IF(G285="","",J285-G285)</f>
        <v/>
      </c>
      <c r="Q285" s="67">
        <f>IF(G285="","",ABS(P285-Components!$D$2)/Components!$E$2)</f>
        <v/>
      </c>
      <c r="R285" s="67">
        <f>IF(G285="","",ABS(P285-Components!$D$3)/Components!$E$3)</f>
        <v/>
      </c>
      <c r="S285" s="67">
        <f>IF(G285="","",ABS(P285-Components!$D$4)/Components!$E$4)</f>
        <v/>
      </c>
      <c r="T285" s="67">
        <f>IF(G285="","",ABS(P285-Components!$D$5)/Components!$E$5)</f>
        <v/>
      </c>
      <c r="U285" s="67">
        <f>IF(G285="","",ABS(P285-Components!$D$6)/Components!$E$6)</f>
        <v/>
      </c>
      <c r="V285" s="67">
        <f>IF(G285="","",ABS(P285-Components!$D$7)/Components!$E$7)</f>
        <v/>
      </c>
      <c r="W285" s="61">
        <f>IF(G285="","",IF(N285="OK","NONE",INDEX({"S1","S2","W1","W2","N1","N2"},MATCH(MIN(Q285:V285),Q285:V285,0))))</f>
        <v/>
      </c>
      <c r="X285" s="69">
        <f>IF(G285="","",IF(W285=E285,1,0))</f>
        <v/>
      </c>
      <c r="Y285" s="70" t="n"/>
    </row>
    <row r="286">
      <c r="A286" s="61" t="n">
        <v>41</v>
      </c>
      <c r="B286" s="62" t="n">
        <v>3</v>
      </c>
      <c r="C286" s="61" t="inlineStr">
        <is>
          <t>R6</t>
        </is>
      </c>
      <c r="D286" s="63" t="inlineStr">
        <is>
          <t>OK</t>
        </is>
      </c>
      <c r="E286" s="61" t="inlineStr">
        <is>
          <t>NONE</t>
        </is>
      </c>
      <c r="F286" s="61" t="inlineStr">
        <is>
          <t>K041</t>
        </is>
      </c>
      <c r="G286" s="75" t="n">
        <v>8.58</v>
      </c>
      <c r="H286" s="65" t="n"/>
      <c r="I286" s="66" t="n"/>
      <c r="J286" s="67">
        <f>VLOOKUP(C286,Recipes!$A$2:$N$4,10,FALSE())</f>
        <v/>
      </c>
      <c r="K286" s="68">
        <f>VLOOKUP(C286,Recipes!$A$2:$N$4,12,FALSE())</f>
        <v/>
      </c>
      <c r="L286" s="67">
        <f>J286-6*K286</f>
        <v/>
      </c>
      <c r="M286" s="67">
        <f>J286+6*K286</f>
        <v/>
      </c>
      <c r="N286" s="61">
        <f>IF(G286="","",IF(AND(G286&gt;=L286,G286&lt;=M286),"OK","NG"))</f>
        <v/>
      </c>
      <c r="O286" s="69">
        <f>IF(N286="","",IF(N286=D286,1,0))</f>
        <v/>
      </c>
      <c r="P286" s="67">
        <f>IF(G286="","",J286-G286)</f>
        <v/>
      </c>
      <c r="Q286" s="67">
        <f>IF(G286="","",ABS(P286-Components!$D$2)/Components!$E$2)</f>
        <v/>
      </c>
      <c r="R286" s="67">
        <f>IF(G286="","",ABS(P286-Components!$D$3)/Components!$E$3)</f>
        <v/>
      </c>
      <c r="S286" s="67">
        <f>IF(G286="","",ABS(P286-Components!$D$4)/Components!$E$4)</f>
        <v/>
      </c>
      <c r="T286" s="67">
        <f>IF(G286="","",ABS(P286-Components!$D$5)/Components!$E$5)</f>
        <v/>
      </c>
      <c r="U286" s="67">
        <f>IF(G286="","",ABS(P286-Components!$D$6)/Components!$E$6)</f>
        <v/>
      </c>
      <c r="V286" s="67">
        <f>IF(G286="","",ABS(P286-Components!$D$7)/Components!$E$7)</f>
        <v/>
      </c>
      <c r="W286" s="61">
        <f>IF(G286="","",IF(N286="OK","NONE",INDEX({"S1","S2","W1","W2","N1","N2"},MATCH(MIN(Q286:V286),Q286:V286,0))))</f>
        <v/>
      </c>
      <c r="X286" s="69">
        <f>IF(G286="","",IF(W286=E286,1,0))</f>
        <v/>
      </c>
      <c r="Y286" s="70" t="n"/>
    </row>
    <row r="287">
      <c r="A287" s="61" t="n">
        <v>41</v>
      </c>
      <c r="B287" s="62" t="n">
        <v>3</v>
      </c>
      <c r="C287" s="61" t="inlineStr">
        <is>
          <t>R6</t>
        </is>
      </c>
      <c r="D287" s="63" t="inlineStr">
        <is>
          <t>OK</t>
        </is>
      </c>
      <c r="E287" s="61" t="inlineStr">
        <is>
          <t>NONE</t>
        </is>
      </c>
      <c r="F287" s="61" t="inlineStr">
        <is>
          <t>K041</t>
        </is>
      </c>
      <c r="G287" s="75" t="n">
        <v>8.630000000000001</v>
      </c>
      <c r="H287" s="65" t="n"/>
      <c r="I287" s="66" t="n"/>
      <c r="J287" s="67">
        <f>VLOOKUP(C287,Recipes!$A$2:$N$4,10,FALSE())</f>
        <v/>
      </c>
      <c r="K287" s="68">
        <f>VLOOKUP(C287,Recipes!$A$2:$N$4,12,FALSE())</f>
        <v/>
      </c>
      <c r="L287" s="67">
        <f>J287-6*K287</f>
        <v/>
      </c>
      <c r="M287" s="67">
        <f>J287+6*K287</f>
        <v/>
      </c>
      <c r="N287" s="61">
        <f>IF(G287="","",IF(AND(G287&gt;=L287,G287&lt;=M287),"OK","NG"))</f>
        <v/>
      </c>
      <c r="O287" s="69">
        <f>IF(N287="","",IF(N287=D287,1,0))</f>
        <v/>
      </c>
      <c r="P287" s="67">
        <f>IF(G287="","",J287-G287)</f>
        <v/>
      </c>
      <c r="Q287" s="67">
        <f>IF(G287="","",ABS(P287-Components!$D$2)/Components!$E$2)</f>
        <v/>
      </c>
      <c r="R287" s="67">
        <f>IF(G287="","",ABS(P287-Components!$D$3)/Components!$E$3)</f>
        <v/>
      </c>
      <c r="S287" s="67">
        <f>IF(G287="","",ABS(P287-Components!$D$4)/Components!$E$4)</f>
        <v/>
      </c>
      <c r="T287" s="67">
        <f>IF(G287="","",ABS(P287-Components!$D$5)/Components!$E$5)</f>
        <v/>
      </c>
      <c r="U287" s="67">
        <f>IF(G287="","",ABS(P287-Components!$D$6)/Components!$E$6)</f>
        <v/>
      </c>
      <c r="V287" s="67">
        <f>IF(G287="","",ABS(P287-Components!$D$7)/Components!$E$7)</f>
        <v/>
      </c>
      <c r="W287" s="61">
        <f>IF(G287="","",IF(N287="OK","NONE",INDEX({"S1","S2","W1","W2","N1","N2"},MATCH(MIN(Q287:V287),Q287:V287,0))))</f>
        <v/>
      </c>
      <c r="X287" s="69">
        <f>IF(G287="","",IF(W287=E287,1,0))</f>
        <v/>
      </c>
      <c r="Y287" s="70" t="n"/>
    </row>
    <row r="288">
      <c r="A288" s="61" t="n">
        <v>41</v>
      </c>
      <c r="B288" s="62" t="n">
        <v>3</v>
      </c>
      <c r="C288" s="61" t="inlineStr">
        <is>
          <t>R6</t>
        </is>
      </c>
      <c r="D288" s="63" t="inlineStr">
        <is>
          <t>OK</t>
        </is>
      </c>
      <c r="E288" s="61" t="inlineStr">
        <is>
          <t>NONE</t>
        </is>
      </c>
      <c r="F288" s="61" t="inlineStr">
        <is>
          <t>K041</t>
        </is>
      </c>
      <c r="G288" s="75" t="n">
        <v>8.6</v>
      </c>
      <c r="H288" s="65" t="n"/>
      <c r="I288" s="66" t="n"/>
      <c r="J288" s="67">
        <f>VLOOKUP(C288,Recipes!$A$2:$N$4,10,FALSE())</f>
        <v/>
      </c>
      <c r="K288" s="68">
        <f>VLOOKUP(C288,Recipes!$A$2:$N$4,12,FALSE())</f>
        <v/>
      </c>
      <c r="L288" s="67">
        <f>J288-6*K288</f>
        <v/>
      </c>
      <c r="M288" s="67">
        <f>J288+6*K288</f>
        <v/>
      </c>
      <c r="N288" s="61">
        <f>IF(G288="","",IF(AND(G288&gt;=L288,G288&lt;=M288),"OK","NG"))</f>
        <v/>
      </c>
      <c r="O288" s="69">
        <f>IF(N288="","",IF(N288=D288,1,0))</f>
        <v/>
      </c>
      <c r="P288" s="67">
        <f>IF(G288="","",J288-G288)</f>
        <v/>
      </c>
      <c r="Q288" s="67">
        <f>IF(G288="","",ABS(P288-Components!$D$2)/Components!$E$2)</f>
        <v/>
      </c>
      <c r="R288" s="67">
        <f>IF(G288="","",ABS(P288-Components!$D$3)/Components!$E$3)</f>
        <v/>
      </c>
      <c r="S288" s="67">
        <f>IF(G288="","",ABS(P288-Components!$D$4)/Components!$E$4)</f>
        <v/>
      </c>
      <c r="T288" s="67">
        <f>IF(G288="","",ABS(P288-Components!$D$5)/Components!$E$5)</f>
        <v/>
      </c>
      <c r="U288" s="67">
        <f>IF(G288="","",ABS(P288-Components!$D$6)/Components!$E$6)</f>
        <v/>
      </c>
      <c r="V288" s="67">
        <f>IF(G288="","",ABS(P288-Components!$D$7)/Components!$E$7)</f>
        <v/>
      </c>
      <c r="W288" s="61">
        <f>IF(G288="","",IF(N288="OK","NONE",INDEX({"S1","S2","W1","W2","N1","N2"},MATCH(MIN(Q288:V288),Q288:V288,0))))</f>
        <v/>
      </c>
      <c r="X288" s="69">
        <f>IF(G288="","",IF(W288=E288,1,0))</f>
        <v/>
      </c>
      <c r="Y288" s="70" t="n"/>
    </row>
    <row r="289">
      <c r="A289" s="61" t="n">
        <v>41</v>
      </c>
      <c r="B289" s="62" t="n">
        <v>3</v>
      </c>
      <c r="C289" s="61" t="inlineStr">
        <is>
          <t>R6</t>
        </is>
      </c>
      <c r="D289" s="63" t="inlineStr">
        <is>
          <t>OK</t>
        </is>
      </c>
      <c r="E289" s="61" t="inlineStr">
        <is>
          <t>NONE</t>
        </is>
      </c>
      <c r="F289" s="61" t="inlineStr">
        <is>
          <t>K041</t>
        </is>
      </c>
      <c r="G289" s="75" t="n">
        <v>8.619999999999999</v>
      </c>
      <c r="H289" s="65" t="n"/>
      <c r="I289" s="66" t="n"/>
      <c r="J289" s="67">
        <f>VLOOKUP(C289,Recipes!$A$2:$N$4,10,FALSE())</f>
        <v/>
      </c>
      <c r="K289" s="68">
        <f>VLOOKUP(C289,Recipes!$A$2:$N$4,12,FALSE())</f>
        <v/>
      </c>
      <c r="L289" s="67">
        <f>J289-6*K289</f>
        <v/>
      </c>
      <c r="M289" s="67">
        <f>J289+6*K289</f>
        <v/>
      </c>
      <c r="N289" s="61">
        <f>IF(G289="","",IF(AND(G289&gt;=L289,G289&lt;=M289),"OK","NG"))</f>
        <v/>
      </c>
      <c r="O289" s="69">
        <f>IF(N289="","",IF(N289=D289,1,0))</f>
        <v/>
      </c>
      <c r="P289" s="67">
        <f>IF(G289="","",J289-G289)</f>
        <v/>
      </c>
      <c r="Q289" s="67">
        <f>IF(G289="","",ABS(P289-Components!$D$2)/Components!$E$2)</f>
        <v/>
      </c>
      <c r="R289" s="67">
        <f>IF(G289="","",ABS(P289-Components!$D$3)/Components!$E$3)</f>
        <v/>
      </c>
      <c r="S289" s="67">
        <f>IF(G289="","",ABS(P289-Components!$D$4)/Components!$E$4)</f>
        <v/>
      </c>
      <c r="T289" s="67">
        <f>IF(G289="","",ABS(P289-Components!$D$5)/Components!$E$5)</f>
        <v/>
      </c>
      <c r="U289" s="67">
        <f>IF(G289="","",ABS(P289-Components!$D$6)/Components!$E$6)</f>
        <v/>
      </c>
      <c r="V289" s="67">
        <f>IF(G289="","",ABS(P289-Components!$D$7)/Components!$E$7)</f>
        <v/>
      </c>
      <c r="W289" s="61">
        <f>IF(G289="","",IF(N289="OK","NONE",INDEX({"S1","S2","W1","W2","N1","N2"},MATCH(MIN(Q289:V289),Q289:V289,0))))</f>
        <v/>
      </c>
      <c r="X289" s="69">
        <f>IF(G289="","",IF(W289=E289,1,0))</f>
        <v/>
      </c>
      <c r="Y289" s="70" t="n"/>
    </row>
    <row r="290">
      <c r="A290" s="61" t="n">
        <v>41</v>
      </c>
      <c r="B290" s="62" t="n">
        <v>3</v>
      </c>
      <c r="C290" s="61" t="inlineStr">
        <is>
          <t>R6</t>
        </is>
      </c>
      <c r="D290" s="63" t="inlineStr">
        <is>
          <t>OK</t>
        </is>
      </c>
      <c r="E290" s="61" t="inlineStr">
        <is>
          <t>NONE</t>
        </is>
      </c>
      <c r="F290" s="61" t="inlineStr">
        <is>
          <t>K041</t>
        </is>
      </c>
      <c r="G290" s="75" t="n">
        <v>8.41</v>
      </c>
      <c r="H290" s="65" t="n"/>
      <c r="I290" s="66" t="n"/>
      <c r="J290" s="67">
        <f>VLOOKUP(C290,Recipes!$A$2:$N$4,10,FALSE())</f>
        <v/>
      </c>
      <c r="K290" s="68">
        <f>VLOOKUP(C290,Recipes!$A$2:$N$4,12,FALSE())</f>
        <v/>
      </c>
      <c r="L290" s="67">
        <f>J290-6*K290</f>
        <v/>
      </c>
      <c r="M290" s="67">
        <f>J290+6*K290</f>
        <v/>
      </c>
      <c r="N290" s="61">
        <f>IF(G290="","",IF(AND(G290&gt;=L290,G290&lt;=M290),"OK","NG"))</f>
        <v/>
      </c>
      <c r="O290" s="69">
        <f>IF(N290="","",IF(N290=D290,1,0))</f>
        <v/>
      </c>
      <c r="P290" s="67">
        <f>IF(G290="","",J290-G290)</f>
        <v/>
      </c>
      <c r="Q290" s="67">
        <f>IF(G290="","",ABS(P290-Components!$D$2)/Components!$E$2)</f>
        <v/>
      </c>
      <c r="R290" s="67">
        <f>IF(G290="","",ABS(P290-Components!$D$3)/Components!$E$3)</f>
        <v/>
      </c>
      <c r="S290" s="67">
        <f>IF(G290="","",ABS(P290-Components!$D$4)/Components!$E$4)</f>
        <v/>
      </c>
      <c r="T290" s="67">
        <f>IF(G290="","",ABS(P290-Components!$D$5)/Components!$E$5)</f>
        <v/>
      </c>
      <c r="U290" s="67">
        <f>IF(G290="","",ABS(P290-Components!$D$6)/Components!$E$6)</f>
        <v/>
      </c>
      <c r="V290" s="67">
        <f>IF(G290="","",ABS(P290-Components!$D$7)/Components!$E$7)</f>
        <v/>
      </c>
      <c r="W290" s="61">
        <f>IF(G290="","",IF(N290="OK","NONE",INDEX({"S1","S2","W1","W2","N1","N2"},MATCH(MIN(Q290:V290),Q290:V290,0))))</f>
        <v/>
      </c>
      <c r="X290" s="69">
        <f>IF(G290="","",IF(W290=E290,1,0))</f>
        <v/>
      </c>
      <c r="Y290" s="70" t="n"/>
    </row>
    <row r="291">
      <c r="A291" s="61" t="n">
        <v>41</v>
      </c>
      <c r="B291" s="62" t="n">
        <v>3</v>
      </c>
      <c r="C291" s="61" t="inlineStr">
        <is>
          <t>R6</t>
        </is>
      </c>
      <c r="D291" s="63" t="inlineStr">
        <is>
          <t>OK</t>
        </is>
      </c>
      <c r="E291" s="61" t="inlineStr">
        <is>
          <t>NONE</t>
        </is>
      </c>
      <c r="F291" s="61" t="inlineStr">
        <is>
          <t>K041</t>
        </is>
      </c>
      <c r="G291" s="75" t="n">
        <v>8.609999999999999</v>
      </c>
      <c r="H291" s="65" t="n"/>
      <c r="I291" s="66" t="n"/>
      <c r="J291" s="67">
        <f>VLOOKUP(C291,Recipes!$A$2:$N$4,10,FALSE())</f>
        <v/>
      </c>
      <c r="K291" s="68">
        <f>VLOOKUP(C291,Recipes!$A$2:$N$4,12,FALSE())</f>
        <v/>
      </c>
      <c r="L291" s="67">
        <f>J291-6*K291</f>
        <v/>
      </c>
      <c r="M291" s="67">
        <f>J291+6*K291</f>
        <v/>
      </c>
      <c r="N291" s="61">
        <f>IF(G291="","",IF(AND(G291&gt;=L291,G291&lt;=M291),"OK","NG"))</f>
        <v/>
      </c>
      <c r="O291" s="69">
        <f>IF(N291="","",IF(N291=D291,1,0))</f>
        <v/>
      </c>
      <c r="P291" s="67">
        <f>IF(G291="","",J291-G291)</f>
        <v/>
      </c>
      <c r="Q291" s="67">
        <f>IF(G291="","",ABS(P291-Components!$D$2)/Components!$E$2)</f>
        <v/>
      </c>
      <c r="R291" s="67">
        <f>IF(G291="","",ABS(P291-Components!$D$3)/Components!$E$3)</f>
        <v/>
      </c>
      <c r="S291" s="67">
        <f>IF(G291="","",ABS(P291-Components!$D$4)/Components!$E$4)</f>
        <v/>
      </c>
      <c r="T291" s="67">
        <f>IF(G291="","",ABS(P291-Components!$D$5)/Components!$E$5)</f>
        <v/>
      </c>
      <c r="U291" s="67">
        <f>IF(G291="","",ABS(P291-Components!$D$6)/Components!$E$6)</f>
        <v/>
      </c>
      <c r="V291" s="67">
        <f>IF(G291="","",ABS(P291-Components!$D$7)/Components!$E$7)</f>
        <v/>
      </c>
      <c r="W291" s="61">
        <f>IF(G291="","",IF(N291="OK","NONE",INDEX({"S1","S2","W1","W2","N1","N2"},MATCH(MIN(Q291:V291),Q291:V291,0))))</f>
        <v/>
      </c>
      <c r="X291" s="69">
        <f>IF(G291="","",IF(W291=E291,1,0))</f>
        <v/>
      </c>
      <c r="Y291" s="70" t="n"/>
    </row>
    <row r="292">
      <c r="A292" s="61" t="n">
        <v>41</v>
      </c>
      <c r="B292" s="62" t="n">
        <v>3</v>
      </c>
      <c r="C292" s="61" t="inlineStr">
        <is>
          <t>R6</t>
        </is>
      </c>
      <c r="D292" s="63" t="inlineStr">
        <is>
          <t>OK</t>
        </is>
      </c>
      <c r="E292" s="61" t="inlineStr">
        <is>
          <t>NONE</t>
        </is>
      </c>
      <c r="F292" s="61" t="inlineStr">
        <is>
          <t>K041</t>
        </is>
      </c>
      <c r="G292" s="75" t="n">
        <v>8.609999999999999</v>
      </c>
      <c r="H292" s="65" t="n"/>
      <c r="I292" s="66" t="n"/>
      <c r="J292" s="67">
        <f>VLOOKUP(C292,Recipes!$A$2:$N$4,10,FALSE())</f>
        <v/>
      </c>
      <c r="K292" s="68">
        <f>VLOOKUP(C292,Recipes!$A$2:$N$4,12,FALSE())</f>
        <v/>
      </c>
      <c r="L292" s="67">
        <f>J292-6*K292</f>
        <v/>
      </c>
      <c r="M292" s="67">
        <f>J292+6*K292</f>
        <v/>
      </c>
      <c r="N292" s="61">
        <f>IF(G292="","",IF(AND(G292&gt;=L292,G292&lt;=M292),"OK","NG"))</f>
        <v/>
      </c>
      <c r="O292" s="69">
        <f>IF(N292="","",IF(N292=D292,1,0))</f>
        <v/>
      </c>
      <c r="P292" s="67">
        <f>IF(G292="","",J292-G292)</f>
        <v/>
      </c>
      <c r="Q292" s="67">
        <f>IF(G292="","",ABS(P292-Components!$D$2)/Components!$E$2)</f>
        <v/>
      </c>
      <c r="R292" s="67">
        <f>IF(G292="","",ABS(P292-Components!$D$3)/Components!$E$3)</f>
        <v/>
      </c>
      <c r="S292" s="67">
        <f>IF(G292="","",ABS(P292-Components!$D$4)/Components!$E$4)</f>
        <v/>
      </c>
      <c r="T292" s="67">
        <f>IF(G292="","",ABS(P292-Components!$D$5)/Components!$E$5)</f>
        <v/>
      </c>
      <c r="U292" s="67">
        <f>IF(G292="","",ABS(P292-Components!$D$6)/Components!$E$6)</f>
        <v/>
      </c>
      <c r="V292" s="67">
        <f>IF(G292="","",ABS(P292-Components!$D$7)/Components!$E$7)</f>
        <v/>
      </c>
      <c r="W292" s="61">
        <f>IF(G292="","",IF(N292="OK","NONE",INDEX({"S1","S2","W1","W2","N1","N2"},MATCH(MIN(Q292:V292),Q292:V292,0))))</f>
        <v/>
      </c>
      <c r="X292" s="69">
        <f>IF(G292="","",IF(W292=E292,1,0))</f>
        <v/>
      </c>
      <c r="Y292" s="70" t="n"/>
    </row>
    <row r="293">
      <c r="A293" s="61" t="n">
        <v>41</v>
      </c>
      <c r="B293" s="62" t="n">
        <v>3</v>
      </c>
      <c r="C293" s="61" t="inlineStr">
        <is>
          <t>R6</t>
        </is>
      </c>
      <c r="D293" s="63" t="inlineStr">
        <is>
          <t>OK</t>
        </is>
      </c>
      <c r="E293" s="61" t="inlineStr">
        <is>
          <t>NONE</t>
        </is>
      </c>
      <c r="F293" s="61" t="inlineStr">
        <is>
          <t>K041</t>
        </is>
      </c>
      <c r="G293" s="75" t="n">
        <v>8.539999999999999</v>
      </c>
      <c r="H293" s="65" t="n"/>
      <c r="I293" s="66" t="n"/>
      <c r="J293" s="67">
        <f>VLOOKUP(C293,Recipes!$A$2:$N$4,10,FALSE())</f>
        <v/>
      </c>
      <c r="K293" s="68">
        <f>VLOOKUP(C293,Recipes!$A$2:$N$4,12,FALSE())</f>
        <v/>
      </c>
      <c r="L293" s="67">
        <f>J293-6*K293</f>
        <v/>
      </c>
      <c r="M293" s="67">
        <f>J293+6*K293</f>
        <v/>
      </c>
      <c r="N293" s="61">
        <f>IF(G293="","",IF(AND(G293&gt;=L293,G293&lt;=M293),"OK","NG"))</f>
        <v/>
      </c>
      <c r="O293" s="69">
        <f>IF(N293="","",IF(N293=D293,1,0))</f>
        <v/>
      </c>
      <c r="P293" s="67">
        <f>IF(G293="","",J293-G293)</f>
        <v/>
      </c>
      <c r="Q293" s="67">
        <f>IF(G293="","",ABS(P293-Components!$D$2)/Components!$E$2)</f>
        <v/>
      </c>
      <c r="R293" s="67">
        <f>IF(G293="","",ABS(P293-Components!$D$3)/Components!$E$3)</f>
        <v/>
      </c>
      <c r="S293" s="67">
        <f>IF(G293="","",ABS(P293-Components!$D$4)/Components!$E$4)</f>
        <v/>
      </c>
      <c r="T293" s="67">
        <f>IF(G293="","",ABS(P293-Components!$D$5)/Components!$E$5)</f>
        <v/>
      </c>
      <c r="U293" s="67">
        <f>IF(G293="","",ABS(P293-Components!$D$6)/Components!$E$6)</f>
        <v/>
      </c>
      <c r="V293" s="67">
        <f>IF(G293="","",ABS(P293-Components!$D$7)/Components!$E$7)</f>
        <v/>
      </c>
      <c r="W293" s="61">
        <f>IF(G293="","",IF(N293="OK","NONE",INDEX({"S1","S2","W1","W2","N1","N2"},MATCH(MIN(Q293:V293),Q293:V293,0))))</f>
        <v/>
      </c>
      <c r="X293" s="69">
        <f>IF(G293="","",IF(W293=E293,1,0))</f>
        <v/>
      </c>
      <c r="Y293" s="70" t="n"/>
    </row>
    <row r="294">
      <c r="A294" s="61" t="n">
        <v>41</v>
      </c>
      <c r="B294" s="62" t="n">
        <v>3</v>
      </c>
      <c r="C294" s="61" t="inlineStr">
        <is>
          <t>R6</t>
        </is>
      </c>
      <c r="D294" s="63" t="inlineStr">
        <is>
          <t>OK</t>
        </is>
      </c>
      <c r="E294" s="61" t="inlineStr">
        <is>
          <t>NONE</t>
        </is>
      </c>
      <c r="F294" s="61" t="inlineStr">
        <is>
          <t>K041</t>
        </is>
      </c>
      <c r="G294" s="75" t="n">
        <v>8.59</v>
      </c>
      <c r="H294" s="65" t="n"/>
      <c r="I294" s="66" t="n"/>
      <c r="J294" s="67">
        <f>VLOOKUP(C294,Recipes!$A$2:$N$4,10,FALSE())</f>
        <v/>
      </c>
      <c r="K294" s="68">
        <f>VLOOKUP(C294,Recipes!$A$2:$N$4,12,FALSE())</f>
        <v/>
      </c>
      <c r="L294" s="67">
        <f>J294-6*K294</f>
        <v/>
      </c>
      <c r="M294" s="67">
        <f>J294+6*K294</f>
        <v/>
      </c>
      <c r="N294" s="61">
        <f>IF(G294="","",IF(AND(G294&gt;=L294,G294&lt;=M294),"OK","NG"))</f>
        <v/>
      </c>
      <c r="O294" s="69">
        <f>IF(N294="","",IF(N294=D294,1,0))</f>
        <v/>
      </c>
      <c r="P294" s="67">
        <f>IF(G294="","",J294-G294)</f>
        <v/>
      </c>
      <c r="Q294" s="67">
        <f>IF(G294="","",ABS(P294-Components!$D$2)/Components!$E$2)</f>
        <v/>
      </c>
      <c r="R294" s="67">
        <f>IF(G294="","",ABS(P294-Components!$D$3)/Components!$E$3)</f>
        <v/>
      </c>
      <c r="S294" s="67">
        <f>IF(G294="","",ABS(P294-Components!$D$4)/Components!$E$4)</f>
        <v/>
      </c>
      <c r="T294" s="67">
        <f>IF(G294="","",ABS(P294-Components!$D$5)/Components!$E$5)</f>
        <v/>
      </c>
      <c r="U294" s="67">
        <f>IF(G294="","",ABS(P294-Components!$D$6)/Components!$E$6)</f>
        <v/>
      </c>
      <c r="V294" s="67">
        <f>IF(G294="","",ABS(P294-Components!$D$7)/Components!$E$7)</f>
        <v/>
      </c>
      <c r="W294" s="61">
        <f>IF(G294="","",IF(N294="OK","NONE",INDEX({"S1","S2","W1","W2","N1","N2"},MATCH(MIN(Q294:V294),Q294:V294,0))))</f>
        <v/>
      </c>
      <c r="X294" s="69">
        <f>IF(G294="","",IF(W294=E294,1,0))</f>
        <v/>
      </c>
      <c r="Y294" s="70" t="n"/>
    </row>
    <row r="295">
      <c r="A295" s="61" t="n">
        <v>41</v>
      </c>
      <c r="B295" s="62" t="n">
        <v>3</v>
      </c>
      <c r="C295" s="61" t="inlineStr">
        <is>
          <t>R6</t>
        </is>
      </c>
      <c r="D295" s="63" t="inlineStr">
        <is>
          <t>OK</t>
        </is>
      </c>
      <c r="E295" s="61" t="inlineStr">
        <is>
          <t>NONE</t>
        </is>
      </c>
      <c r="F295" s="61" t="inlineStr">
        <is>
          <t>K041</t>
        </is>
      </c>
      <c r="G295" s="75" t="n">
        <v>8.640000000000001</v>
      </c>
      <c r="H295" s="65" t="n"/>
      <c r="I295" s="66" t="n"/>
      <c r="J295" s="67">
        <f>VLOOKUP(C295,Recipes!$A$2:$N$4,10,FALSE())</f>
        <v/>
      </c>
      <c r="K295" s="68">
        <f>VLOOKUP(C295,Recipes!$A$2:$N$4,12,FALSE())</f>
        <v/>
      </c>
      <c r="L295" s="67">
        <f>J295-6*K295</f>
        <v/>
      </c>
      <c r="M295" s="67">
        <f>J295+6*K295</f>
        <v/>
      </c>
      <c r="N295" s="61">
        <f>IF(G295="","",IF(AND(G295&gt;=L295,G295&lt;=M295),"OK","NG"))</f>
        <v/>
      </c>
      <c r="O295" s="69">
        <f>IF(N295="","",IF(N295=D295,1,0))</f>
        <v/>
      </c>
      <c r="P295" s="67">
        <f>IF(G295="","",J295-G295)</f>
        <v/>
      </c>
      <c r="Q295" s="67">
        <f>IF(G295="","",ABS(P295-Components!$D$2)/Components!$E$2)</f>
        <v/>
      </c>
      <c r="R295" s="67">
        <f>IF(G295="","",ABS(P295-Components!$D$3)/Components!$E$3)</f>
        <v/>
      </c>
      <c r="S295" s="67">
        <f>IF(G295="","",ABS(P295-Components!$D$4)/Components!$E$4)</f>
        <v/>
      </c>
      <c r="T295" s="67">
        <f>IF(G295="","",ABS(P295-Components!$D$5)/Components!$E$5)</f>
        <v/>
      </c>
      <c r="U295" s="67">
        <f>IF(G295="","",ABS(P295-Components!$D$6)/Components!$E$6)</f>
        <v/>
      </c>
      <c r="V295" s="67">
        <f>IF(G295="","",ABS(P295-Components!$D$7)/Components!$E$7)</f>
        <v/>
      </c>
      <c r="W295" s="61">
        <f>IF(G295="","",IF(N295="OK","NONE",INDEX({"S1","S2","W1","W2","N1","N2"},MATCH(MIN(Q295:V295),Q295:V295,0))))</f>
        <v/>
      </c>
      <c r="X295" s="69">
        <f>IF(G295="","",IF(W295=E295,1,0))</f>
        <v/>
      </c>
      <c r="Y295" s="70" t="n"/>
    </row>
    <row r="296">
      <c r="A296" s="61" t="n">
        <v>41</v>
      </c>
      <c r="B296" s="62" t="n">
        <v>3</v>
      </c>
      <c r="C296" s="61" t="inlineStr">
        <is>
          <t>R6</t>
        </is>
      </c>
      <c r="D296" s="63" t="inlineStr">
        <is>
          <t>OK</t>
        </is>
      </c>
      <c r="E296" s="61" t="inlineStr">
        <is>
          <t>NONE</t>
        </is>
      </c>
      <c r="F296" s="61" t="inlineStr">
        <is>
          <t>K041</t>
        </is>
      </c>
      <c r="G296" s="75" t="n">
        <v>8.640000000000001</v>
      </c>
      <c r="H296" s="65" t="n"/>
      <c r="I296" s="66" t="n"/>
      <c r="J296" s="67">
        <f>VLOOKUP(C296,Recipes!$A$2:$N$4,10,FALSE())</f>
        <v/>
      </c>
      <c r="K296" s="68">
        <f>VLOOKUP(C296,Recipes!$A$2:$N$4,12,FALSE())</f>
        <v/>
      </c>
      <c r="L296" s="67">
        <f>J296-6*K296</f>
        <v/>
      </c>
      <c r="M296" s="67">
        <f>J296+6*K296</f>
        <v/>
      </c>
      <c r="N296" s="61">
        <f>IF(G296="","",IF(AND(G296&gt;=L296,G296&lt;=M296),"OK","NG"))</f>
        <v/>
      </c>
      <c r="O296" s="69">
        <f>IF(N296="","",IF(N296=D296,1,0))</f>
        <v/>
      </c>
      <c r="P296" s="67">
        <f>IF(G296="","",J296-G296)</f>
        <v/>
      </c>
      <c r="Q296" s="67">
        <f>IF(G296="","",ABS(P296-Components!$D$2)/Components!$E$2)</f>
        <v/>
      </c>
      <c r="R296" s="67">
        <f>IF(G296="","",ABS(P296-Components!$D$3)/Components!$E$3)</f>
        <v/>
      </c>
      <c r="S296" s="67">
        <f>IF(G296="","",ABS(P296-Components!$D$4)/Components!$E$4)</f>
        <v/>
      </c>
      <c r="T296" s="67">
        <f>IF(G296="","",ABS(P296-Components!$D$5)/Components!$E$5)</f>
        <v/>
      </c>
      <c r="U296" s="67">
        <f>IF(G296="","",ABS(P296-Components!$D$6)/Components!$E$6)</f>
        <v/>
      </c>
      <c r="V296" s="67">
        <f>IF(G296="","",ABS(P296-Components!$D$7)/Components!$E$7)</f>
        <v/>
      </c>
      <c r="W296" s="61">
        <f>IF(G296="","",IF(N296="OK","NONE",INDEX({"S1","S2","W1","W2","N1","N2"},MATCH(MIN(Q296:V296),Q296:V296,0))))</f>
        <v/>
      </c>
      <c r="X296" s="69">
        <f>IF(G296="","",IF(W296=E296,1,0))</f>
        <v/>
      </c>
      <c r="Y296" s="70" t="n"/>
    </row>
    <row r="297">
      <c r="A297" s="61" t="n">
        <v>41</v>
      </c>
      <c r="B297" s="62" t="n">
        <v>3</v>
      </c>
      <c r="C297" s="61" t="inlineStr">
        <is>
          <t>R6</t>
        </is>
      </c>
      <c r="D297" s="63" t="inlineStr">
        <is>
          <t>OK</t>
        </is>
      </c>
      <c r="E297" s="61" t="inlineStr">
        <is>
          <t>NONE</t>
        </is>
      </c>
      <c r="F297" s="61" t="inlineStr">
        <is>
          <t>K041</t>
        </is>
      </c>
      <c r="G297" s="75" t="n">
        <v>8.68</v>
      </c>
      <c r="H297" s="65" t="n"/>
      <c r="I297" s="66" t="n"/>
      <c r="J297" s="67">
        <f>VLOOKUP(C297,Recipes!$A$2:$N$4,10,FALSE())</f>
        <v/>
      </c>
      <c r="K297" s="68">
        <f>VLOOKUP(C297,Recipes!$A$2:$N$4,12,FALSE())</f>
        <v/>
      </c>
      <c r="L297" s="67">
        <f>J297-6*K297</f>
        <v/>
      </c>
      <c r="M297" s="67">
        <f>J297+6*K297</f>
        <v/>
      </c>
      <c r="N297" s="61">
        <f>IF(G297="","",IF(AND(G297&gt;=L297,G297&lt;=M297),"OK","NG"))</f>
        <v/>
      </c>
      <c r="O297" s="69">
        <f>IF(N297="","",IF(N297=D297,1,0))</f>
        <v/>
      </c>
      <c r="P297" s="67">
        <f>IF(G297="","",J297-G297)</f>
        <v/>
      </c>
      <c r="Q297" s="67">
        <f>IF(G297="","",ABS(P297-Components!$D$2)/Components!$E$2)</f>
        <v/>
      </c>
      <c r="R297" s="67">
        <f>IF(G297="","",ABS(P297-Components!$D$3)/Components!$E$3)</f>
        <v/>
      </c>
      <c r="S297" s="67">
        <f>IF(G297="","",ABS(P297-Components!$D$4)/Components!$E$4)</f>
        <v/>
      </c>
      <c r="T297" s="67">
        <f>IF(G297="","",ABS(P297-Components!$D$5)/Components!$E$5)</f>
        <v/>
      </c>
      <c r="U297" s="67">
        <f>IF(G297="","",ABS(P297-Components!$D$6)/Components!$E$6)</f>
        <v/>
      </c>
      <c r="V297" s="67">
        <f>IF(G297="","",ABS(P297-Components!$D$7)/Components!$E$7)</f>
        <v/>
      </c>
      <c r="W297" s="61">
        <f>IF(G297="","",IF(N297="OK","NONE",INDEX({"S1","S2","W1","W2","N1","N2"},MATCH(MIN(Q297:V297),Q297:V297,0))))</f>
        <v/>
      </c>
      <c r="X297" s="69">
        <f>IF(G297="","",IF(W297=E297,1,0))</f>
        <v/>
      </c>
      <c r="Y297" s="70" t="n"/>
    </row>
    <row r="298">
      <c r="A298" s="61" t="n">
        <v>41</v>
      </c>
      <c r="B298" s="62" t="n">
        <v>3</v>
      </c>
      <c r="C298" s="61" t="inlineStr">
        <is>
          <t>R6</t>
        </is>
      </c>
      <c r="D298" s="63" t="inlineStr">
        <is>
          <t>OK</t>
        </is>
      </c>
      <c r="E298" s="61" t="inlineStr">
        <is>
          <t>NONE</t>
        </is>
      </c>
      <c r="F298" s="61" t="inlineStr">
        <is>
          <t>K041</t>
        </is>
      </c>
      <c r="G298" s="75" t="n">
        <v>8.66</v>
      </c>
      <c r="H298" s="65" t="n"/>
      <c r="I298" s="66" t="n"/>
      <c r="J298" s="67">
        <f>VLOOKUP(C298,Recipes!$A$2:$N$4,10,FALSE())</f>
        <v/>
      </c>
      <c r="K298" s="68">
        <f>VLOOKUP(C298,Recipes!$A$2:$N$4,12,FALSE())</f>
        <v/>
      </c>
      <c r="L298" s="67">
        <f>J298-6*K298</f>
        <v/>
      </c>
      <c r="M298" s="67">
        <f>J298+6*K298</f>
        <v/>
      </c>
      <c r="N298" s="61">
        <f>IF(G298="","",IF(AND(G298&gt;=L298,G298&lt;=M298),"OK","NG"))</f>
        <v/>
      </c>
      <c r="O298" s="69">
        <f>IF(N298="","",IF(N298=D298,1,0))</f>
        <v/>
      </c>
      <c r="P298" s="67">
        <f>IF(G298="","",J298-G298)</f>
        <v/>
      </c>
      <c r="Q298" s="67">
        <f>IF(G298="","",ABS(P298-Components!$D$2)/Components!$E$2)</f>
        <v/>
      </c>
      <c r="R298" s="67">
        <f>IF(G298="","",ABS(P298-Components!$D$3)/Components!$E$3)</f>
        <v/>
      </c>
      <c r="S298" s="67">
        <f>IF(G298="","",ABS(P298-Components!$D$4)/Components!$E$4)</f>
        <v/>
      </c>
      <c r="T298" s="67">
        <f>IF(G298="","",ABS(P298-Components!$D$5)/Components!$E$5)</f>
        <v/>
      </c>
      <c r="U298" s="67">
        <f>IF(G298="","",ABS(P298-Components!$D$6)/Components!$E$6)</f>
        <v/>
      </c>
      <c r="V298" s="67">
        <f>IF(G298="","",ABS(P298-Components!$D$7)/Components!$E$7)</f>
        <v/>
      </c>
      <c r="W298" s="61">
        <f>IF(G298="","",IF(N298="OK","NONE",INDEX({"S1","S2","W1","W2","N1","N2"},MATCH(MIN(Q298:V298),Q298:V298,0))))</f>
        <v/>
      </c>
      <c r="X298" s="69">
        <f>IF(G298="","",IF(W298=E298,1,0))</f>
        <v/>
      </c>
      <c r="Y298" s="70" t="n"/>
    </row>
    <row r="299">
      <c r="A299" s="61" t="n">
        <v>41</v>
      </c>
      <c r="B299" s="62" t="n">
        <v>3</v>
      </c>
      <c r="C299" s="61" t="inlineStr">
        <is>
          <t>R6</t>
        </is>
      </c>
      <c r="D299" s="63" t="inlineStr">
        <is>
          <t>OK</t>
        </is>
      </c>
      <c r="E299" s="61" t="inlineStr">
        <is>
          <t>NONE</t>
        </is>
      </c>
      <c r="F299" s="61" t="inlineStr">
        <is>
          <t>K041</t>
        </is>
      </c>
      <c r="G299" s="75" t="n">
        <v>8.58</v>
      </c>
      <c r="H299" s="65" t="n"/>
      <c r="I299" s="66" t="n"/>
      <c r="J299" s="67">
        <f>VLOOKUP(C299,Recipes!$A$2:$N$4,10,FALSE())</f>
        <v/>
      </c>
      <c r="K299" s="68">
        <f>VLOOKUP(C299,Recipes!$A$2:$N$4,12,FALSE())</f>
        <v/>
      </c>
      <c r="L299" s="67">
        <f>J299-6*K299</f>
        <v/>
      </c>
      <c r="M299" s="67">
        <f>J299+6*K299</f>
        <v/>
      </c>
      <c r="N299" s="61">
        <f>IF(G299="","",IF(AND(G299&gt;=L299,G299&lt;=M299),"OK","NG"))</f>
        <v/>
      </c>
      <c r="O299" s="69">
        <f>IF(N299="","",IF(N299=D299,1,0))</f>
        <v/>
      </c>
      <c r="P299" s="67">
        <f>IF(G299="","",J299-G299)</f>
        <v/>
      </c>
      <c r="Q299" s="67">
        <f>IF(G299="","",ABS(P299-Components!$D$2)/Components!$E$2)</f>
        <v/>
      </c>
      <c r="R299" s="67">
        <f>IF(G299="","",ABS(P299-Components!$D$3)/Components!$E$3)</f>
        <v/>
      </c>
      <c r="S299" s="67">
        <f>IF(G299="","",ABS(P299-Components!$D$4)/Components!$E$4)</f>
        <v/>
      </c>
      <c r="T299" s="67">
        <f>IF(G299="","",ABS(P299-Components!$D$5)/Components!$E$5)</f>
        <v/>
      </c>
      <c r="U299" s="67">
        <f>IF(G299="","",ABS(P299-Components!$D$6)/Components!$E$6)</f>
        <v/>
      </c>
      <c r="V299" s="67">
        <f>IF(G299="","",ABS(P299-Components!$D$7)/Components!$E$7)</f>
        <v/>
      </c>
      <c r="W299" s="61">
        <f>IF(G299="","",IF(N299="OK","NONE",INDEX({"S1","S2","W1","W2","N1","N2"},MATCH(MIN(Q299:V299),Q299:V299,0))))</f>
        <v/>
      </c>
      <c r="X299" s="69">
        <f>IF(G299="","",IF(W299=E299,1,0))</f>
        <v/>
      </c>
      <c r="Y299" s="70" t="n"/>
    </row>
    <row r="300">
      <c r="A300" s="61" t="n">
        <v>43</v>
      </c>
      <c r="B300" s="62" t="n">
        <v>38</v>
      </c>
      <c r="C300" s="61" t="inlineStr">
        <is>
          <t>R6</t>
        </is>
      </c>
      <c r="D300" s="63" t="inlineStr">
        <is>
          <t>OK</t>
        </is>
      </c>
      <c r="E300" s="61" t="inlineStr">
        <is>
          <t>NONE</t>
        </is>
      </c>
      <c r="F300" s="61" t="inlineStr">
        <is>
          <t>K043</t>
        </is>
      </c>
      <c r="G300" s="64" t="n">
        <v>8.630000000000001</v>
      </c>
      <c r="H300" s="65" t="n"/>
      <c r="I300" s="66" t="n"/>
      <c r="J300" s="67">
        <f>VLOOKUP(C300,Recipes!$A$2:$N$4,10,FALSE())</f>
        <v/>
      </c>
      <c r="K300" s="68">
        <f>VLOOKUP(C300,Recipes!$A$2:$N$4,12,FALSE())</f>
        <v/>
      </c>
      <c r="L300" s="67">
        <f>J300-6*K300</f>
        <v/>
      </c>
      <c r="M300" s="67">
        <f>J300+6*K300</f>
        <v/>
      </c>
      <c r="N300" s="61">
        <f>IF(G300="","",IF(AND(G300&gt;=L300,G300&lt;=M300),"OK","NG"))</f>
        <v/>
      </c>
      <c r="O300" s="69">
        <f>IF(N300="","",IF(N300=D300,1,0))</f>
        <v/>
      </c>
      <c r="P300" s="67">
        <f>IF(G300="","",J300-G300)</f>
        <v/>
      </c>
      <c r="Q300" s="67">
        <f>IF(G300="","",ABS(P300-Components!$D$2)/Components!$E$2)</f>
        <v/>
      </c>
      <c r="R300" s="67">
        <f>IF(G300="","",ABS(P300-Components!$D$3)/Components!$E$3)</f>
        <v/>
      </c>
      <c r="S300" s="67">
        <f>IF(G300="","",ABS(P300-Components!$D$4)/Components!$E$4)</f>
        <v/>
      </c>
      <c r="T300" s="67">
        <f>IF(G300="","",ABS(P300-Components!$D$5)/Components!$E$5)</f>
        <v/>
      </c>
      <c r="U300" s="67">
        <f>IF(G300="","",ABS(P300-Components!$D$6)/Components!$E$6)</f>
        <v/>
      </c>
      <c r="V300" s="67">
        <f>IF(G300="","",ABS(P300-Components!$D$7)/Components!$E$7)</f>
        <v/>
      </c>
      <c r="W300" s="61">
        <f>IF(G300="","",IF(N300="OK","NONE",INDEX({"S1","S2","W1","W2","N1","N2"},MATCH(MIN(Q300:V300),Q300:V300,0))))</f>
        <v/>
      </c>
      <c r="X300" s="69">
        <f>IF(G300="","",IF(W300=E300,1,0))</f>
        <v/>
      </c>
      <c r="Y300" s="70" t="n"/>
    </row>
    <row r="301">
      <c r="A301" s="79" t="n"/>
      <c r="B301" s="80" t="n"/>
      <c r="C301" s="76" t="inlineStr">
        <is>
          <t>R6</t>
        </is>
      </c>
      <c r="D301" s="77" t="inlineStr">
        <is>
          <t>OK</t>
        </is>
      </c>
      <c r="E301" s="76" t="inlineStr">
        <is>
          <t>NONE</t>
        </is>
      </c>
      <c r="F301" s="81" t="n"/>
      <c r="G301" s="75" t="n">
        <v>8.619999999999999</v>
      </c>
      <c r="H301" s="65" t="n"/>
      <c r="I301" s="66" t="n"/>
      <c r="J301" s="67">
        <f>VLOOKUP(C301,Recipes!$A$2:$N$4,10,FALSE())</f>
        <v/>
      </c>
      <c r="K301" s="68">
        <f>VLOOKUP(C301,Recipes!$A$2:$N$4,12,FALSE())</f>
        <v/>
      </c>
      <c r="L301" s="67">
        <f>J301-6*K301</f>
        <v/>
      </c>
      <c r="M301" s="67">
        <f>J301+6*K301</f>
        <v/>
      </c>
      <c r="N301" s="61">
        <f>IF(G301="","",IF(AND(G301&gt;=L301,G301&lt;=M301),"OK","NG"))</f>
        <v/>
      </c>
      <c r="O301" s="69">
        <f>IF(N301="","",IF(N301=D301,1,0))</f>
        <v/>
      </c>
      <c r="P301" s="67">
        <f>IF(G301="","",J301-G301)</f>
        <v/>
      </c>
      <c r="Q301" s="67">
        <f>IF(G301="","",ABS(P301-Components!$D$2)/Components!$E$2)</f>
        <v/>
      </c>
      <c r="R301" s="67">
        <f>IF(G301="","",ABS(P301-Components!$D$3)/Components!$E$3)</f>
        <v/>
      </c>
      <c r="S301" s="67">
        <f>IF(G301="","",ABS(P301-Components!$D$4)/Components!$E$4)</f>
        <v/>
      </c>
      <c r="T301" s="67">
        <f>IF(G301="","",ABS(P301-Components!$D$5)/Components!$E$5)</f>
        <v/>
      </c>
      <c r="U301" s="67">
        <f>IF(G301="","",ABS(P301-Components!$D$6)/Components!$E$6)</f>
        <v/>
      </c>
      <c r="V301" s="67">
        <f>IF(G301="","",ABS(P301-Components!$D$7)/Components!$E$7)</f>
        <v/>
      </c>
      <c r="W301" s="61">
        <f>IF(G301="","",IF(N301="OK","NONE",INDEX({"S1","S2","W1","W2","N1","N2"},MATCH(MIN(Q301:V301),Q301:V301,0))))</f>
        <v/>
      </c>
      <c r="X301" s="69">
        <f>IF(G301="","",IF(W301=E301,1,0))</f>
        <v/>
      </c>
      <c r="Y301" s="70" t="n"/>
    </row>
    <row r="302">
      <c r="A302" s="79" t="n"/>
      <c r="B302" s="80" t="n"/>
      <c r="C302" s="76" t="inlineStr">
        <is>
          <t>R6</t>
        </is>
      </c>
      <c r="D302" s="77" t="inlineStr">
        <is>
          <t>OK</t>
        </is>
      </c>
      <c r="E302" s="76" t="inlineStr">
        <is>
          <t>NONE</t>
        </is>
      </c>
      <c r="F302" s="81" t="n"/>
      <c r="G302" s="75" t="n">
        <v>8.58</v>
      </c>
      <c r="H302" s="65" t="n"/>
      <c r="I302" s="66" t="n"/>
      <c r="J302" s="67">
        <f>VLOOKUP(C302,Recipes!$A$2:$N$4,10,FALSE())</f>
        <v/>
      </c>
      <c r="K302" s="68">
        <f>VLOOKUP(C302,Recipes!$A$2:$N$4,12,FALSE())</f>
        <v/>
      </c>
      <c r="L302" s="67">
        <f>J302-6*K302</f>
        <v/>
      </c>
      <c r="M302" s="67">
        <f>J302+6*K302</f>
        <v/>
      </c>
      <c r="N302" s="61">
        <f>IF(G302="","",IF(AND(G302&gt;=L302,G302&lt;=M302),"OK","NG"))</f>
        <v/>
      </c>
      <c r="O302" s="69">
        <f>IF(N302="","",IF(N302=D302,1,0))</f>
        <v/>
      </c>
      <c r="P302" s="67">
        <f>IF(G302="","",J302-G302)</f>
        <v/>
      </c>
      <c r="Q302" s="67">
        <f>IF(G302="","",ABS(P302-Components!$D$2)/Components!$E$2)</f>
        <v/>
      </c>
      <c r="R302" s="67">
        <f>IF(G302="","",ABS(P302-Components!$D$3)/Components!$E$3)</f>
        <v/>
      </c>
      <c r="S302" s="67">
        <f>IF(G302="","",ABS(P302-Components!$D$4)/Components!$E$4)</f>
        <v/>
      </c>
      <c r="T302" s="67">
        <f>IF(G302="","",ABS(P302-Components!$D$5)/Components!$E$5)</f>
        <v/>
      </c>
      <c r="U302" s="67">
        <f>IF(G302="","",ABS(P302-Components!$D$6)/Components!$E$6)</f>
        <v/>
      </c>
      <c r="V302" s="67">
        <f>IF(G302="","",ABS(P302-Components!$D$7)/Components!$E$7)</f>
        <v/>
      </c>
      <c r="W302" s="61">
        <f>IF(G302="","",IF(N302="OK","NONE",INDEX({"S1","S2","W1","W2","N1","N2"},MATCH(MIN(Q302:V302),Q302:V302,0))))</f>
        <v/>
      </c>
      <c r="X302" s="69">
        <f>IF(G302="","",IF(W302=E302,1,0))</f>
        <v/>
      </c>
      <c r="Y302" s="70" t="n"/>
    </row>
    <row r="303">
      <c r="A303" s="61" t="n">
        <v>44</v>
      </c>
      <c r="B303" s="62" t="n">
        <v>6</v>
      </c>
      <c r="C303" s="61" t="inlineStr">
        <is>
          <t>R6</t>
        </is>
      </c>
      <c r="D303" s="74" t="inlineStr">
        <is>
          <t>NG</t>
        </is>
      </c>
      <c r="E303" s="61" t="inlineStr">
        <is>
          <t>S1</t>
        </is>
      </c>
      <c r="F303" s="61" t="inlineStr">
        <is>
          <t>K044</t>
        </is>
      </c>
      <c r="G303" s="64" t="n">
        <v>5.89</v>
      </c>
      <c r="H303" s="65" t="n"/>
      <c r="I303" s="66" t="n"/>
      <c r="J303" s="67">
        <f>VLOOKUP(C303,Recipes!$A$2:$N$4,10,FALSE())</f>
        <v/>
      </c>
      <c r="K303" s="68">
        <f>VLOOKUP(C303,Recipes!$A$2:$N$4,12,FALSE())</f>
        <v/>
      </c>
      <c r="L303" s="67">
        <f>J303-6*K303</f>
        <v/>
      </c>
      <c r="M303" s="67">
        <f>J303+6*K303</f>
        <v/>
      </c>
      <c r="N303" s="61">
        <f>IF(G303="","",IF(AND(G303&gt;=L303,G303&lt;=M303),"OK","NG"))</f>
        <v/>
      </c>
      <c r="O303" s="69">
        <f>IF(N303="","",IF(N303=D303,1,0))</f>
        <v/>
      </c>
      <c r="P303" s="67">
        <f>IF(G303="","",J303-G303)</f>
        <v/>
      </c>
      <c r="Q303" s="67">
        <f>IF(G303="","",ABS(P303-Components!$D$2)/Components!$E$2)</f>
        <v/>
      </c>
      <c r="R303" s="67">
        <f>IF(G303="","",ABS(P303-Components!$D$3)/Components!$E$3)</f>
        <v/>
      </c>
      <c r="S303" s="67">
        <f>IF(G303="","",ABS(P303-Components!$D$4)/Components!$E$4)</f>
        <v/>
      </c>
      <c r="T303" s="67">
        <f>IF(G303="","",ABS(P303-Components!$D$5)/Components!$E$5)</f>
        <v/>
      </c>
      <c r="U303" s="67">
        <f>IF(G303="","",ABS(P303-Components!$D$6)/Components!$E$6)</f>
        <v/>
      </c>
      <c r="V303" s="67">
        <f>IF(G303="","",ABS(P303-Components!$D$7)/Components!$E$7)</f>
        <v/>
      </c>
      <c r="W303" s="61">
        <f>IF(G303="","",IF(N303="OK","NONE",INDEX({"S1","S2","W1","W2","N1","N2"},MATCH(MIN(Q303:V303),Q303:V303,0))))</f>
        <v/>
      </c>
      <c r="X303" s="69">
        <f>IF(G303="","",IF(W303=E303,1,0))</f>
        <v/>
      </c>
      <c r="Y303" s="70" t="n"/>
    </row>
    <row r="304">
      <c r="A304" s="61" t="n">
        <v>44</v>
      </c>
      <c r="B304" s="62" t="n">
        <v>6</v>
      </c>
      <c r="C304" s="61" t="inlineStr">
        <is>
          <t>R6</t>
        </is>
      </c>
      <c r="D304" s="74" t="inlineStr">
        <is>
          <t>NG</t>
        </is>
      </c>
      <c r="E304" s="61" t="inlineStr">
        <is>
          <t>S1</t>
        </is>
      </c>
      <c r="F304" s="61" t="inlineStr">
        <is>
          <t>K044</t>
        </is>
      </c>
      <c r="G304" s="64" t="n">
        <v>5.89</v>
      </c>
      <c r="H304" s="65" t="n"/>
      <c r="I304" s="66" t="n"/>
      <c r="J304" s="67">
        <f>VLOOKUP(C304,Recipes!$A$2:$N$4,10,FALSE())</f>
        <v/>
      </c>
      <c r="K304" s="68">
        <f>VLOOKUP(C304,Recipes!$A$2:$N$4,12,FALSE())</f>
        <v/>
      </c>
      <c r="L304" s="67">
        <f>J304-6*K304</f>
        <v/>
      </c>
      <c r="M304" s="67">
        <f>J304+6*K304</f>
        <v/>
      </c>
      <c r="N304" s="61">
        <f>IF(G304="","",IF(AND(G304&gt;=L304,G304&lt;=M304),"OK","NG"))</f>
        <v/>
      </c>
      <c r="O304" s="69">
        <f>IF(N304="","",IF(N304=D304,1,0))</f>
        <v/>
      </c>
      <c r="P304" s="67">
        <f>IF(G304="","",J304-G304)</f>
        <v/>
      </c>
      <c r="Q304" s="67">
        <f>IF(G304="","",ABS(P304-Components!$D$2)/Components!$E$2)</f>
        <v/>
      </c>
      <c r="R304" s="67">
        <f>IF(G304="","",ABS(P304-Components!$D$3)/Components!$E$3)</f>
        <v/>
      </c>
      <c r="S304" s="67">
        <f>IF(G304="","",ABS(P304-Components!$D$4)/Components!$E$4)</f>
        <v/>
      </c>
      <c r="T304" s="67">
        <f>IF(G304="","",ABS(P304-Components!$D$5)/Components!$E$5)</f>
        <v/>
      </c>
      <c r="U304" s="67">
        <f>IF(G304="","",ABS(P304-Components!$D$6)/Components!$E$6)</f>
        <v/>
      </c>
      <c r="V304" s="67">
        <f>IF(G304="","",ABS(P304-Components!$D$7)/Components!$E$7)</f>
        <v/>
      </c>
      <c r="W304" s="61">
        <f>IF(G304="","",IF(N304="OK","NONE",INDEX({"S1","S2","W1","W2","N1","N2"},MATCH(MIN(Q304:V304),Q304:V304,0))))</f>
        <v/>
      </c>
      <c r="X304" s="69">
        <f>IF(G304="","",IF(W304=E304,1,0))</f>
        <v/>
      </c>
      <c r="Y304" s="70" t="n"/>
    </row>
    <row r="305">
      <c r="A305" s="61" t="n">
        <v>44</v>
      </c>
      <c r="B305" s="62" t="n">
        <v>6</v>
      </c>
      <c r="C305" s="61" t="inlineStr">
        <is>
          <t>R6</t>
        </is>
      </c>
      <c r="D305" s="74" t="inlineStr">
        <is>
          <t>NG</t>
        </is>
      </c>
      <c r="E305" s="61" t="inlineStr">
        <is>
          <t>S1</t>
        </is>
      </c>
      <c r="F305" s="61" t="inlineStr">
        <is>
          <t>K044</t>
        </is>
      </c>
      <c r="G305" s="75" t="n">
        <v>5.9</v>
      </c>
      <c r="H305" s="65" t="n"/>
      <c r="I305" s="66" t="n"/>
      <c r="J305" s="67">
        <f>VLOOKUP(C305,Recipes!$A$2:$N$4,10,FALSE())</f>
        <v/>
      </c>
      <c r="K305" s="68">
        <f>VLOOKUP(C305,Recipes!$A$2:$N$4,12,FALSE())</f>
        <v/>
      </c>
      <c r="L305" s="67">
        <f>J305-6*K305</f>
        <v/>
      </c>
      <c r="M305" s="67">
        <f>J305+6*K305</f>
        <v/>
      </c>
      <c r="N305" s="61">
        <f>IF(G305="","",IF(AND(G305&gt;=L305,G305&lt;=M305),"OK","NG"))</f>
        <v/>
      </c>
      <c r="O305" s="69">
        <f>IF(N305="","",IF(N305=D305,1,0))</f>
        <v/>
      </c>
      <c r="P305" s="67">
        <f>IF(G305="","",J305-G305)</f>
        <v/>
      </c>
      <c r="Q305" s="67">
        <f>IF(G305="","",ABS(P305-Components!$D$2)/Components!$E$2)</f>
        <v/>
      </c>
      <c r="R305" s="67">
        <f>IF(G305="","",ABS(P305-Components!$D$3)/Components!$E$3)</f>
        <v/>
      </c>
      <c r="S305" s="67">
        <f>IF(G305="","",ABS(P305-Components!$D$4)/Components!$E$4)</f>
        <v/>
      </c>
      <c r="T305" s="67">
        <f>IF(G305="","",ABS(P305-Components!$D$5)/Components!$E$5)</f>
        <v/>
      </c>
      <c r="U305" s="67">
        <f>IF(G305="","",ABS(P305-Components!$D$6)/Components!$E$6)</f>
        <v/>
      </c>
      <c r="V305" s="67">
        <f>IF(G305="","",ABS(P305-Components!$D$7)/Components!$E$7)</f>
        <v/>
      </c>
      <c r="W305" s="61">
        <f>IF(G305="","",IF(N305="OK","NONE",INDEX({"S1","S2","W1","W2","N1","N2"},MATCH(MIN(Q305:V305),Q305:V305,0))))</f>
        <v/>
      </c>
      <c r="X305" s="69">
        <f>IF(G305="","",IF(W305=E305,1,0))</f>
        <v/>
      </c>
      <c r="Y305" s="70" t="n"/>
    </row>
    <row r="306">
      <c r="A306" s="61" t="n">
        <v>44</v>
      </c>
      <c r="B306" s="62" t="n">
        <v>6</v>
      </c>
      <c r="C306" s="61" t="inlineStr">
        <is>
          <t>R6</t>
        </is>
      </c>
      <c r="D306" s="74" t="inlineStr">
        <is>
          <t>NG</t>
        </is>
      </c>
      <c r="E306" s="61" t="inlineStr">
        <is>
          <t>S1</t>
        </is>
      </c>
      <c r="F306" s="61" t="inlineStr">
        <is>
          <t>K044</t>
        </is>
      </c>
      <c r="G306" s="75" t="n">
        <v>5.88</v>
      </c>
      <c r="H306" s="65" t="n"/>
      <c r="I306" s="66" t="n"/>
      <c r="J306" s="67">
        <f>VLOOKUP(C306,Recipes!$A$2:$N$4,10,FALSE())</f>
        <v/>
      </c>
      <c r="K306" s="68">
        <f>VLOOKUP(C306,Recipes!$A$2:$N$4,12,FALSE())</f>
        <v/>
      </c>
      <c r="L306" s="67">
        <f>J306-6*K306</f>
        <v/>
      </c>
      <c r="M306" s="67">
        <f>J306+6*K306</f>
        <v/>
      </c>
      <c r="N306" s="61">
        <f>IF(G306="","",IF(AND(G306&gt;=L306,G306&lt;=M306),"OK","NG"))</f>
        <v/>
      </c>
      <c r="O306" s="69">
        <f>IF(N306="","",IF(N306=D306,1,0))</f>
        <v/>
      </c>
      <c r="P306" s="67">
        <f>IF(G306="","",J306-G306)</f>
        <v/>
      </c>
      <c r="Q306" s="67">
        <f>IF(G306="","",ABS(P306-Components!$D$2)/Components!$E$2)</f>
        <v/>
      </c>
      <c r="R306" s="67">
        <f>IF(G306="","",ABS(P306-Components!$D$3)/Components!$E$3)</f>
        <v/>
      </c>
      <c r="S306" s="67">
        <f>IF(G306="","",ABS(P306-Components!$D$4)/Components!$E$4)</f>
        <v/>
      </c>
      <c r="T306" s="67">
        <f>IF(G306="","",ABS(P306-Components!$D$5)/Components!$E$5)</f>
        <v/>
      </c>
      <c r="U306" s="67">
        <f>IF(G306="","",ABS(P306-Components!$D$6)/Components!$E$6)</f>
        <v/>
      </c>
      <c r="V306" s="67">
        <f>IF(G306="","",ABS(P306-Components!$D$7)/Components!$E$7)</f>
        <v/>
      </c>
      <c r="W306" s="61">
        <f>IF(G306="","",IF(N306="OK","NONE",INDEX({"S1","S2","W1","W2","N1","N2"},MATCH(MIN(Q306:V306),Q306:V306,0))))</f>
        <v/>
      </c>
      <c r="X306" s="69">
        <f>IF(G306="","",IF(W306=E306,1,0))</f>
        <v/>
      </c>
      <c r="Y306" s="70" t="n"/>
    </row>
    <row r="307">
      <c r="A307" s="61" t="n">
        <v>44</v>
      </c>
      <c r="B307" s="62" t="n">
        <v>6</v>
      </c>
      <c r="C307" s="61" t="inlineStr">
        <is>
          <t>R6</t>
        </is>
      </c>
      <c r="D307" s="74" t="inlineStr">
        <is>
          <t>NG</t>
        </is>
      </c>
      <c r="E307" s="61" t="inlineStr">
        <is>
          <t>S1</t>
        </is>
      </c>
      <c r="F307" s="61" t="inlineStr">
        <is>
          <t>K044</t>
        </is>
      </c>
      <c r="G307" s="75" t="n">
        <v>5.91</v>
      </c>
      <c r="H307" s="65" t="n"/>
      <c r="I307" s="66" t="n"/>
      <c r="J307" s="67">
        <f>VLOOKUP(C307,Recipes!$A$2:$N$4,10,FALSE())</f>
        <v/>
      </c>
      <c r="K307" s="68">
        <f>VLOOKUP(C307,Recipes!$A$2:$N$4,12,FALSE())</f>
        <v/>
      </c>
      <c r="L307" s="67">
        <f>J307-6*K307</f>
        <v/>
      </c>
      <c r="M307" s="67">
        <f>J307+6*K307</f>
        <v/>
      </c>
      <c r="N307" s="61">
        <f>IF(G307="","",IF(AND(G307&gt;=L307,G307&lt;=M307),"OK","NG"))</f>
        <v/>
      </c>
      <c r="O307" s="69">
        <f>IF(N307="","",IF(N307=D307,1,0))</f>
        <v/>
      </c>
      <c r="P307" s="67">
        <f>IF(G307="","",J307-G307)</f>
        <v/>
      </c>
      <c r="Q307" s="67">
        <f>IF(G307="","",ABS(P307-Components!$D$2)/Components!$E$2)</f>
        <v/>
      </c>
      <c r="R307" s="67">
        <f>IF(G307="","",ABS(P307-Components!$D$3)/Components!$E$3)</f>
        <v/>
      </c>
      <c r="S307" s="67">
        <f>IF(G307="","",ABS(P307-Components!$D$4)/Components!$E$4)</f>
        <v/>
      </c>
      <c r="T307" s="67">
        <f>IF(G307="","",ABS(P307-Components!$D$5)/Components!$E$5)</f>
        <v/>
      </c>
      <c r="U307" s="67">
        <f>IF(G307="","",ABS(P307-Components!$D$6)/Components!$E$6)</f>
        <v/>
      </c>
      <c r="V307" s="67">
        <f>IF(G307="","",ABS(P307-Components!$D$7)/Components!$E$7)</f>
        <v/>
      </c>
      <c r="W307" s="61">
        <f>IF(G307="","",IF(N307="OK","NONE",INDEX({"S1","S2","W1","W2","N1","N2"},MATCH(MIN(Q307:V307),Q307:V307,0))))</f>
        <v/>
      </c>
      <c r="X307" s="69">
        <f>IF(G307="","",IF(W307=E307,1,0))</f>
        <v/>
      </c>
      <c r="Y307" s="70" t="n"/>
    </row>
    <row r="308">
      <c r="A308" s="61" t="n">
        <v>44</v>
      </c>
      <c r="B308" s="62" t="n">
        <v>6</v>
      </c>
      <c r="C308" s="61" t="inlineStr">
        <is>
          <t>R6</t>
        </is>
      </c>
      <c r="D308" s="74" t="inlineStr">
        <is>
          <t>NG</t>
        </is>
      </c>
      <c r="E308" s="61" t="inlineStr">
        <is>
          <t>S1</t>
        </is>
      </c>
      <c r="F308" s="61" t="inlineStr">
        <is>
          <t>K044</t>
        </is>
      </c>
      <c r="G308" s="75" t="n">
        <v>5.86</v>
      </c>
      <c r="H308" s="65" t="n"/>
      <c r="I308" s="66" t="n"/>
      <c r="J308" s="67">
        <f>VLOOKUP(C308,Recipes!$A$2:$N$4,10,FALSE())</f>
        <v/>
      </c>
      <c r="K308" s="68">
        <f>VLOOKUP(C308,Recipes!$A$2:$N$4,12,FALSE())</f>
        <v/>
      </c>
      <c r="L308" s="67">
        <f>J308-6*K308</f>
        <v/>
      </c>
      <c r="M308" s="67">
        <f>J308+6*K308</f>
        <v/>
      </c>
      <c r="N308" s="61">
        <f>IF(G308="","",IF(AND(G308&gt;=L308,G308&lt;=M308),"OK","NG"))</f>
        <v/>
      </c>
      <c r="O308" s="69">
        <f>IF(N308="","",IF(N308=D308,1,0))</f>
        <v/>
      </c>
      <c r="P308" s="67">
        <f>IF(G308="","",J308-G308)</f>
        <v/>
      </c>
      <c r="Q308" s="67">
        <f>IF(G308="","",ABS(P308-Components!$D$2)/Components!$E$2)</f>
        <v/>
      </c>
      <c r="R308" s="67">
        <f>IF(G308="","",ABS(P308-Components!$D$3)/Components!$E$3)</f>
        <v/>
      </c>
      <c r="S308" s="67">
        <f>IF(G308="","",ABS(P308-Components!$D$4)/Components!$E$4)</f>
        <v/>
      </c>
      <c r="T308" s="67">
        <f>IF(G308="","",ABS(P308-Components!$D$5)/Components!$E$5)</f>
        <v/>
      </c>
      <c r="U308" s="67">
        <f>IF(G308="","",ABS(P308-Components!$D$6)/Components!$E$6)</f>
        <v/>
      </c>
      <c r="V308" s="67">
        <f>IF(G308="","",ABS(P308-Components!$D$7)/Components!$E$7)</f>
        <v/>
      </c>
      <c r="W308" s="61">
        <f>IF(G308="","",IF(N308="OK","NONE",INDEX({"S1","S2","W1","W2","N1","N2"},MATCH(MIN(Q308:V308),Q308:V308,0))))</f>
        <v/>
      </c>
      <c r="X308" s="69">
        <f>IF(G308="","",IF(W308=E308,1,0))</f>
        <v/>
      </c>
      <c r="Y308" s="70" t="n"/>
    </row>
    <row r="309">
      <c r="A309" s="61" t="n">
        <v>44</v>
      </c>
      <c r="B309" s="62" t="n">
        <v>6</v>
      </c>
      <c r="C309" s="61" t="inlineStr">
        <is>
          <t>R6</t>
        </is>
      </c>
      <c r="D309" s="74" t="inlineStr">
        <is>
          <t>NG</t>
        </is>
      </c>
      <c r="E309" s="61" t="inlineStr">
        <is>
          <t>S1</t>
        </is>
      </c>
      <c r="F309" s="61" t="inlineStr">
        <is>
          <t>K044</t>
        </is>
      </c>
      <c r="G309" s="75" t="n">
        <v>5.9</v>
      </c>
      <c r="H309" s="65" t="n"/>
      <c r="I309" s="66" t="n"/>
      <c r="J309" s="67">
        <f>VLOOKUP(C309,Recipes!$A$2:$N$4,10,FALSE())</f>
        <v/>
      </c>
      <c r="K309" s="68">
        <f>VLOOKUP(C309,Recipes!$A$2:$N$4,12,FALSE())</f>
        <v/>
      </c>
      <c r="L309" s="67">
        <f>J309-6*K309</f>
        <v/>
      </c>
      <c r="M309" s="67">
        <f>J309+6*K309</f>
        <v/>
      </c>
      <c r="N309" s="61">
        <f>IF(G309="","",IF(AND(G309&gt;=L309,G309&lt;=M309),"OK","NG"))</f>
        <v/>
      </c>
      <c r="O309" s="69">
        <f>IF(N309="","",IF(N309=D309,1,0))</f>
        <v/>
      </c>
      <c r="P309" s="67">
        <f>IF(G309="","",J309-G309)</f>
        <v/>
      </c>
      <c r="Q309" s="67">
        <f>IF(G309="","",ABS(P309-Components!$D$2)/Components!$E$2)</f>
        <v/>
      </c>
      <c r="R309" s="67">
        <f>IF(G309="","",ABS(P309-Components!$D$3)/Components!$E$3)</f>
        <v/>
      </c>
      <c r="S309" s="67">
        <f>IF(G309="","",ABS(P309-Components!$D$4)/Components!$E$4)</f>
        <v/>
      </c>
      <c r="T309" s="67">
        <f>IF(G309="","",ABS(P309-Components!$D$5)/Components!$E$5)</f>
        <v/>
      </c>
      <c r="U309" s="67">
        <f>IF(G309="","",ABS(P309-Components!$D$6)/Components!$E$6)</f>
        <v/>
      </c>
      <c r="V309" s="67">
        <f>IF(G309="","",ABS(P309-Components!$D$7)/Components!$E$7)</f>
        <v/>
      </c>
      <c r="W309" s="61">
        <f>IF(G309="","",IF(N309="OK","NONE",INDEX({"S1","S2","W1","W2","N1","N2"},MATCH(MIN(Q309:V309),Q309:V309,0))))</f>
        <v/>
      </c>
      <c r="X309" s="69">
        <f>IF(G309="","",IF(W309=E309,1,0))</f>
        <v/>
      </c>
      <c r="Y309" s="70" t="n"/>
    </row>
    <row r="310">
      <c r="A310" s="61" t="n">
        <v>44</v>
      </c>
      <c r="B310" s="62" t="n">
        <v>6</v>
      </c>
      <c r="C310" s="61" t="inlineStr">
        <is>
          <t>R6</t>
        </is>
      </c>
      <c r="D310" s="74" t="inlineStr">
        <is>
          <t>NG</t>
        </is>
      </c>
      <c r="E310" s="61" t="inlineStr">
        <is>
          <t>S1</t>
        </is>
      </c>
      <c r="F310" s="61" t="inlineStr">
        <is>
          <t>K044</t>
        </is>
      </c>
      <c r="G310" s="75" t="n">
        <v>5.8</v>
      </c>
      <c r="H310" s="65" t="n"/>
      <c r="I310" s="66" t="n"/>
      <c r="J310" s="67">
        <f>VLOOKUP(C310,Recipes!$A$2:$N$4,10,FALSE())</f>
        <v/>
      </c>
      <c r="K310" s="68">
        <f>VLOOKUP(C310,Recipes!$A$2:$N$4,12,FALSE())</f>
        <v/>
      </c>
      <c r="L310" s="67">
        <f>J310-6*K310</f>
        <v/>
      </c>
      <c r="M310" s="67">
        <f>J310+6*K310</f>
        <v/>
      </c>
      <c r="N310" s="61">
        <f>IF(G310="","",IF(AND(G310&gt;=L310,G310&lt;=M310),"OK","NG"))</f>
        <v/>
      </c>
      <c r="O310" s="69">
        <f>IF(N310="","",IF(N310=D310,1,0))</f>
        <v/>
      </c>
      <c r="P310" s="67">
        <f>IF(G310="","",J310-G310)</f>
        <v/>
      </c>
      <c r="Q310" s="67">
        <f>IF(G310="","",ABS(P310-Components!$D$2)/Components!$E$2)</f>
        <v/>
      </c>
      <c r="R310" s="67">
        <f>IF(G310="","",ABS(P310-Components!$D$3)/Components!$E$3)</f>
        <v/>
      </c>
      <c r="S310" s="67">
        <f>IF(G310="","",ABS(P310-Components!$D$4)/Components!$E$4)</f>
        <v/>
      </c>
      <c r="T310" s="67">
        <f>IF(G310="","",ABS(P310-Components!$D$5)/Components!$E$5)</f>
        <v/>
      </c>
      <c r="U310" s="67">
        <f>IF(G310="","",ABS(P310-Components!$D$6)/Components!$E$6)</f>
        <v/>
      </c>
      <c r="V310" s="67">
        <f>IF(G310="","",ABS(P310-Components!$D$7)/Components!$E$7)</f>
        <v/>
      </c>
      <c r="W310" s="61">
        <f>IF(G310="","",IF(N310="OK","NONE",INDEX({"S1","S2","W1","W2","N1","N2"},MATCH(MIN(Q310:V310),Q310:V310,0))))</f>
        <v/>
      </c>
      <c r="X310" s="69">
        <f>IF(G310="","",IF(W310=E310,1,0))</f>
        <v/>
      </c>
      <c r="Y310" s="70" t="n"/>
    </row>
    <row r="311">
      <c r="A311" s="61" t="n">
        <v>44</v>
      </c>
      <c r="B311" s="62" t="n">
        <v>6</v>
      </c>
      <c r="C311" s="61" t="inlineStr">
        <is>
          <t>R6</t>
        </is>
      </c>
      <c r="D311" s="74" t="inlineStr">
        <is>
          <t>NG</t>
        </is>
      </c>
      <c r="E311" s="61" t="inlineStr">
        <is>
          <t>S1</t>
        </is>
      </c>
      <c r="F311" s="61" t="inlineStr">
        <is>
          <t>K044</t>
        </is>
      </c>
      <c r="G311" s="75" t="n">
        <v>5.94</v>
      </c>
      <c r="H311" s="65" t="n"/>
      <c r="I311" s="66" t="n"/>
      <c r="J311" s="67">
        <f>VLOOKUP(C311,Recipes!$A$2:$N$4,10,FALSE())</f>
        <v/>
      </c>
      <c r="K311" s="68">
        <f>VLOOKUP(C311,Recipes!$A$2:$N$4,12,FALSE())</f>
        <v/>
      </c>
      <c r="L311" s="67">
        <f>J311-6*K311</f>
        <v/>
      </c>
      <c r="M311" s="67">
        <f>J311+6*K311</f>
        <v/>
      </c>
      <c r="N311" s="61">
        <f>IF(G311="","",IF(AND(G311&gt;=L311,G311&lt;=M311),"OK","NG"))</f>
        <v/>
      </c>
      <c r="O311" s="69">
        <f>IF(N311="","",IF(N311=D311,1,0))</f>
        <v/>
      </c>
      <c r="P311" s="67">
        <f>IF(G311="","",J311-G311)</f>
        <v/>
      </c>
      <c r="Q311" s="67">
        <f>IF(G311="","",ABS(P311-Components!$D$2)/Components!$E$2)</f>
        <v/>
      </c>
      <c r="R311" s="67">
        <f>IF(G311="","",ABS(P311-Components!$D$3)/Components!$E$3)</f>
        <v/>
      </c>
      <c r="S311" s="67">
        <f>IF(G311="","",ABS(P311-Components!$D$4)/Components!$E$4)</f>
        <v/>
      </c>
      <c r="T311" s="67">
        <f>IF(G311="","",ABS(P311-Components!$D$5)/Components!$E$5)</f>
        <v/>
      </c>
      <c r="U311" s="67">
        <f>IF(G311="","",ABS(P311-Components!$D$6)/Components!$E$6)</f>
        <v/>
      </c>
      <c r="V311" s="67">
        <f>IF(G311="","",ABS(P311-Components!$D$7)/Components!$E$7)</f>
        <v/>
      </c>
      <c r="W311" s="61">
        <f>IF(G311="","",IF(N311="OK","NONE",INDEX({"S1","S2","W1","W2","N1","N2"},MATCH(MIN(Q311:V311),Q311:V311,0))))</f>
        <v/>
      </c>
      <c r="X311" s="69">
        <f>IF(G311="","",IF(W311=E311,1,0))</f>
        <v/>
      </c>
      <c r="Y311" s="70" t="n"/>
    </row>
    <row r="312">
      <c r="A312" s="61" t="n">
        <v>44</v>
      </c>
      <c r="B312" s="62" t="n">
        <v>6</v>
      </c>
      <c r="C312" s="61" t="inlineStr">
        <is>
          <t>R6</t>
        </is>
      </c>
      <c r="D312" s="74" t="inlineStr">
        <is>
          <t>NG</t>
        </is>
      </c>
      <c r="E312" s="61" t="inlineStr">
        <is>
          <t>S1</t>
        </is>
      </c>
      <c r="F312" s="61" t="inlineStr">
        <is>
          <t>K044</t>
        </is>
      </c>
      <c r="G312" s="75" t="n">
        <v>5.94</v>
      </c>
      <c r="H312" s="65" t="n"/>
      <c r="I312" s="66" t="n"/>
      <c r="J312" s="67">
        <f>VLOOKUP(C312,Recipes!$A$2:$N$4,10,FALSE())</f>
        <v/>
      </c>
      <c r="K312" s="68">
        <f>VLOOKUP(C312,Recipes!$A$2:$N$4,12,FALSE())</f>
        <v/>
      </c>
      <c r="L312" s="67">
        <f>J312-6*K312</f>
        <v/>
      </c>
      <c r="M312" s="67">
        <f>J312+6*K312</f>
        <v/>
      </c>
      <c r="N312" s="61">
        <f>IF(G312="","",IF(AND(G312&gt;=L312,G312&lt;=M312),"OK","NG"))</f>
        <v/>
      </c>
      <c r="O312" s="69">
        <f>IF(N312="","",IF(N312=D312,1,0))</f>
        <v/>
      </c>
      <c r="P312" s="67">
        <f>IF(G312="","",J312-G312)</f>
        <v/>
      </c>
      <c r="Q312" s="67">
        <f>IF(G312="","",ABS(P312-Components!$D$2)/Components!$E$2)</f>
        <v/>
      </c>
      <c r="R312" s="67">
        <f>IF(G312="","",ABS(P312-Components!$D$3)/Components!$E$3)</f>
        <v/>
      </c>
      <c r="S312" s="67">
        <f>IF(G312="","",ABS(P312-Components!$D$4)/Components!$E$4)</f>
        <v/>
      </c>
      <c r="T312" s="67">
        <f>IF(G312="","",ABS(P312-Components!$D$5)/Components!$E$5)</f>
        <v/>
      </c>
      <c r="U312" s="67">
        <f>IF(G312="","",ABS(P312-Components!$D$6)/Components!$E$6)</f>
        <v/>
      </c>
      <c r="V312" s="67">
        <f>IF(G312="","",ABS(P312-Components!$D$7)/Components!$E$7)</f>
        <v/>
      </c>
      <c r="W312" s="61">
        <f>IF(G312="","",IF(N312="OK","NONE",INDEX({"S1","S2","W1","W2","N1","N2"},MATCH(MIN(Q312:V312),Q312:V312,0))))</f>
        <v/>
      </c>
      <c r="X312" s="69">
        <f>IF(G312="","",IF(W312=E312,1,0))</f>
        <v/>
      </c>
      <c r="Y312" s="70" t="n"/>
    </row>
    <row r="313">
      <c r="A313" s="61" t="n">
        <v>44</v>
      </c>
      <c r="B313" s="62" t="n">
        <v>6</v>
      </c>
      <c r="C313" s="61" t="inlineStr">
        <is>
          <t>R6</t>
        </is>
      </c>
      <c r="D313" s="74" t="inlineStr">
        <is>
          <t>NG</t>
        </is>
      </c>
      <c r="E313" s="61" t="inlineStr">
        <is>
          <t>S1</t>
        </is>
      </c>
      <c r="F313" s="61" t="inlineStr">
        <is>
          <t>K044</t>
        </is>
      </c>
      <c r="G313" s="75" t="n">
        <v>5.87</v>
      </c>
      <c r="H313" s="65" t="n"/>
      <c r="I313" s="66" t="n"/>
      <c r="J313" s="67">
        <f>VLOOKUP(C313,Recipes!$A$2:$N$4,10,FALSE())</f>
        <v/>
      </c>
      <c r="K313" s="68">
        <f>VLOOKUP(C313,Recipes!$A$2:$N$4,12,FALSE())</f>
        <v/>
      </c>
      <c r="L313" s="67">
        <f>J313-6*K313</f>
        <v/>
      </c>
      <c r="M313" s="67">
        <f>J313+6*K313</f>
        <v/>
      </c>
      <c r="N313" s="61">
        <f>IF(G313="","",IF(AND(G313&gt;=L313,G313&lt;=M313),"OK","NG"))</f>
        <v/>
      </c>
      <c r="O313" s="69">
        <f>IF(N313="","",IF(N313=D313,1,0))</f>
        <v/>
      </c>
      <c r="P313" s="67">
        <f>IF(G313="","",J313-G313)</f>
        <v/>
      </c>
      <c r="Q313" s="67">
        <f>IF(G313="","",ABS(P313-Components!$D$2)/Components!$E$2)</f>
        <v/>
      </c>
      <c r="R313" s="67">
        <f>IF(G313="","",ABS(P313-Components!$D$3)/Components!$E$3)</f>
        <v/>
      </c>
      <c r="S313" s="67">
        <f>IF(G313="","",ABS(P313-Components!$D$4)/Components!$E$4)</f>
        <v/>
      </c>
      <c r="T313" s="67">
        <f>IF(G313="","",ABS(P313-Components!$D$5)/Components!$E$5)</f>
        <v/>
      </c>
      <c r="U313" s="67">
        <f>IF(G313="","",ABS(P313-Components!$D$6)/Components!$E$6)</f>
        <v/>
      </c>
      <c r="V313" s="67">
        <f>IF(G313="","",ABS(P313-Components!$D$7)/Components!$E$7)</f>
        <v/>
      </c>
      <c r="W313" s="61">
        <f>IF(G313="","",IF(N313="OK","NONE",INDEX({"S1","S2","W1","W2","N1","N2"},MATCH(MIN(Q313:V313),Q313:V313,0))))</f>
        <v/>
      </c>
      <c r="X313" s="69">
        <f>IF(G313="","",IF(W313=E313,1,0))</f>
        <v/>
      </c>
      <c r="Y313" s="70" t="n"/>
    </row>
    <row r="314">
      <c r="A314" s="61" t="n">
        <v>44</v>
      </c>
      <c r="B314" s="62" t="n">
        <v>6</v>
      </c>
      <c r="C314" s="61" t="inlineStr">
        <is>
          <t>R6</t>
        </is>
      </c>
      <c r="D314" s="74" t="inlineStr">
        <is>
          <t>NG</t>
        </is>
      </c>
      <c r="E314" s="61" t="inlineStr">
        <is>
          <t>S1</t>
        </is>
      </c>
      <c r="F314" s="61" t="inlineStr">
        <is>
          <t>K044</t>
        </is>
      </c>
      <c r="G314" s="75" t="n">
        <v>5.88</v>
      </c>
      <c r="H314" s="65" t="n"/>
      <c r="I314" s="66" t="n"/>
      <c r="J314" s="67">
        <f>VLOOKUP(C314,Recipes!$A$2:$N$4,10,FALSE())</f>
        <v/>
      </c>
      <c r="K314" s="68">
        <f>VLOOKUP(C314,Recipes!$A$2:$N$4,12,FALSE())</f>
        <v/>
      </c>
      <c r="L314" s="67">
        <f>J314-6*K314</f>
        <v/>
      </c>
      <c r="M314" s="67">
        <f>J314+6*K314</f>
        <v/>
      </c>
      <c r="N314" s="61">
        <f>IF(G314="","",IF(AND(G314&gt;=L314,G314&lt;=M314),"OK","NG"))</f>
        <v/>
      </c>
      <c r="O314" s="69">
        <f>IF(N314="","",IF(N314=D314,1,0))</f>
        <v/>
      </c>
      <c r="P314" s="67">
        <f>IF(G314="","",J314-G314)</f>
        <v/>
      </c>
      <c r="Q314" s="67">
        <f>IF(G314="","",ABS(P314-Components!$D$2)/Components!$E$2)</f>
        <v/>
      </c>
      <c r="R314" s="67">
        <f>IF(G314="","",ABS(P314-Components!$D$3)/Components!$E$3)</f>
        <v/>
      </c>
      <c r="S314" s="67">
        <f>IF(G314="","",ABS(P314-Components!$D$4)/Components!$E$4)</f>
        <v/>
      </c>
      <c r="T314" s="67">
        <f>IF(G314="","",ABS(P314-Components!$D$5)/Components!$E$5)</f>
        <v/>
      </c>
      <c r="U314" s="67">
        <f>IF(G314="","",ABS(P314-Components!$D$6)/Components!$E$6)</f>
        <v/>
      </c>
      <c r="V314" s="67">
        <f>IF(G314="","",ABS(P314-Components!$D$7)/Components!$E$7)</f>
        <v/>
      </c>
      <c r="W314" s="61">
        <f>IF(G314="","",IF(N314="OK","NONE",INDEX({"S1","S2","W1","W2","N1","N2"},MATCH(MIN(Q314:V314),Q314:V314,0))))</f>
        <v/>
      </c>
      <c r="X314" s="69">
        <f>IF(G314="","",IF(W314=E314,1,0))</f>
        <v/>
      </c>
      <c r="Y314" s="70" t="n"/>
    </row>
    <row r="315">
      <c r="A315" s="61" t="n">
        <v>44</v>
      </c>
      <c r="B315" s="62" t="n">
        <v>6</v>
      </c>
      <c r="C315" s="61" t="inlineStr">
        <is>
          <t>R6</t>
        </is>
      </c>
      <c r="D315" s="74" t="inlineStr">
        <is>
          <t>NG</t>
        </is>
      </c>
      <c r="E315" s="61" t="inlineStr">
        <is>
          <t>S1</t>
        </is>
      </c>
      <c r="F315" s="61" t="inlineStr">
        <is>
          <t>K044</t>
        </is>
      </c>
      <c r="G315" s="75" t="n">
        <v>5.87</v>
      </c>
      <c r="H315" s="65" t="n"/>
      <c r="I315" s="66" t="n"/>
      <c r="J315" s="67">
        <f>VLOOKUP(C315,Recipes!$A$2:$N$4,10,FALSE())</f>
        <v/>
      </c>
      <c r="K315" s="68">
        <f>VLOOKUP(C315,Recipes!$A$2:$N$4,12,FALSE())</f>
        <v/>
      </c>
      <c r="L315" s="67">
        <f>J315-6*K315</f>
        <v/>
      </c>
      <c r="M315" s="67">
        <f>J315+6*K315</f>
        <v/>
      </c>
      <c r="N315" s="61">
        <f>IF(G315="","",IF(AND(G315&gt;=L315,G315&lt;=M315),"OK","NG"))</f>
        <v/>
      </c>
      <c r="O315" s="69">
        <f>IF(N315="","",IF(N315=D315,1,0))</f>
        <v/>
      </c>
      <c r="P315" s="67">
        <f>IF(G315="","",J315-G315)</f>
        <v/>
      </c>
      <c r="Q315" s="67">
        <f>IF(G315="","",ABS(P315-Components!$D$2)/Components!$E$2)</f>
        <v/>
      </c>
      <c r="R315" s="67">
        <f>IF(G315="","",ABS(P315-Components!$D$3)/Components!$E$3)</f>
        <v/>
      </c>
      <c r="S315" s="67">
        <f>IF(G315="","",ABS(P315-Components!$D$4)/Components!$E$4)</f>
        <v/>
      </c>
      <c r="T315" s="67">
        <f>IF(G315="","",ABS(P315-Components!$D$5)/Components!$E$5)</f>
        <v/>
      </c>
      <c r="U315" s="67">
        <f>IF(G315="","",ABS(P315-Components!$D$6)/Components!$E$6)</f>
        <v/>
      </c>
      <c r="V315" s="67">
        <f>IF(G315="","",ABS(P315-Components!$D$7)/Components!$E$7)</f>
        <v/>
      </c>
      <c r="W315" s="61">
        <f>IF(G315="","",IF(N315="OK","NONE",INDEX({"S1","S2","W1","W2","N1","N2"},MATCH(MIN(Q315:V315),Q315:V315,0))))</f>
        <v/>
      </c>
      <c r="X315" s="69">
        <f>IF(G315="","",IF(W315=E315,1,0))</f>
        <v/>
      </c>
      <c r="Y315" s="70" t="n"/>
    </row>
    <row r="316">
      <c r="A316" s="61" t="n">
        <v>44</v>
      </c>
      <c r="B316" s="62" t="n">
        <v>6</v>
      </c>
      <c r="C316" s="61" t="inlineStr">
        <is>
          <t>R6</t>
        </is>
      </c>
      <c r="D316" s="74" t="inlineStr">
        <is>
          <t>NG</t>
        </is>
      </c>
      <c r="E316" s="61" t="inlineStr">
        <is>
          <t>S1</t>
        </is>
      </c>
      <c r="F316" s="61" t="inlineStr">
        <is>
          <t>K044</t>
        </is>
      </c>
      <c r="G316" s="75" t="n">
        <v>5.87</v>
      </c>
      <c r="H316" s="65" t="n"/>
      <c r="I316" s="66" t="n"/>
      <c r="J316" s="67">
        <f>VLOOKUP(C316,Recipes!$A$2:$N$4,10,FALSE())</f>
        <v/>
      </c>
      <c r="K316" s="68">
        <f>VLOOKUP(C316,Recipes!$A$2:$N$4,12,FALSE())</f>
        <v/>
      </c>
      <c r="L316" s="67">
        <f>J316-6*K316</f>
        <v/>
      </c>
      <c r="M316" s="67">
        <f>J316+6*K316</f>
        <v/>
      </c>
      <c r="N316" s="61">
        <f>IF(G316="","",IF(AND(G316&gt;=L316,G316&lt;=M316),"OK","NG"))</f>
        <v/>
      </c>
      <c r="O316" s="69">
        <f>IF(N316="","",IF(N316=D316,1,0))</f>
        <v/>
      </c>
      <c r="P316" s="67">
        <f>IF(G316="","",J316-G316)</f>
        <v/>
      </c>
      <c r="Q316" s="67">
        <f>IF(G316="","",ABS(P316-Components!$D$2)/Components!$E$2)</f>
        <v/>
      </c>
      <c r="R316" s="67">
        <f>IF(G316="","",ABS(P316-Components!$D$3)/Components!$E$3)</f>
        <v/>
      </c>
      <c r="S316" s="67">
        <f>IF(G316="","",ABS(P316-Components!$D$4)/Components!$E$4)</f>
        <v/>
      </c>
      <c r="T316" s="67">
        <f>IF(G316="","",ABS(P316-Components!$D$5)/Components!$E$5)</f>
        <v/>
      </c>
      <c r="U316" s="67">
        <f>IF(G316="","",ABS(P316-Components!$D$6)/Components!$E$6)</f>
        <v/>
      </c>
      <c r="V316" s="67">
        <f>IF(G316="","",ABS(P316-Components!$D$7)/Components!$E$7)</f>
        <v/>
      </c>
      <c r="W316" s="61">
        <f>IF(G316="","",IF(N316="OK","NONE",INDEX({"S1","S2","W1","W2","N1","N2"},MATCH(MIN(Q316:V316),Q316:V316,0))))</f>
        <v/>
      </c>
      <c r="X316" s="69">
        <f>IF(G316="","",IF(W316=E316,1,0))</f>
        <v/>
      </c>
      <c r="Y316" s="70" t="n"/>
    </row>
    <row r="317">
      <c r="A317" s="61" t="n">
        <v>44</v>
      </c>
      <c r="B317" s="62" t="n">
        <v>6</v>
      </c>
      <c r="C317" s="61" t="inlineStr">
        <is>
          <t>R6</t>
        </is>
      </c>
      <c r="D317" s="74" t="inlineStr">
        <is>
          <t>NG</t>
        </is>
      </c>
      <c r="E317" s="61" t="inlineStr">
        <is>
          <t>S1</t>
        </is>
      </c>
      <c r="F317" s="61" t="inlineStr">
        <is>
          <t>K044</t>
        </is>
      </c>
      <c r="G317" s="75" t="n">
        <v>5.82</v>
      </c>
      <c r="H317" s="65" t="n"/>
      <c r="I317" s="66" t="n"/>
      <c r="J317" s="67">
        <f>VLOOKUP(C317,Recipes!$A$2:$N$4,10,FALSE())</f>
        <v/>
      </c>
      <c r="K317" s="68">
        <f>VLOOKUP(C317,Recipes!$A$2:$N$4,12,FALSE())</f>
        <v/>
      </c>
      <c r="L317" s="67">
        <f>J317-6*K317</f>
        <v/>
      </c>
      <c r="M317" s="67">
        <f>J317+6*K317</f>
        <v/>
      </c>
      <c r="N317" s="61">
        <f>IF(G317="","",IF(AND(G317&gt;=L317,G317&lt;=M317),"OK","NG"))</f>
        <v/>
      </c>
      <c r="O317" s="69">
        <f>IF(N317="","",IF(N317=D317,1,0))</f>
        <v/>
      </c>
      <c r="P317" s="67">
        <f>IF(G317="","",J317-G317)</f>
        <v/>
      </c>
      <c r="Q317" s="67">
        <f>IF(G317="","",ABS(P317-Components!$D$2)/Components!$E$2)</f>
        <v/>
      </c>
      <c r="R317" s="67">
        <f>IF(G317="","",ABS(P317-Components!$D$3)/Components!$E$3)</f>
        <v/>
      </c>
      <c r="S317" s="67">
        <f>IF(G317="","",ABS(P317-Components!$D$4)/Components!$E$4)</f>
        <v/>
      </c>
      <c r="T317" s="67">
        <f>IF(G317="","",ABS(P317-Components!$D$5)/Components!$E$5)</f>
        <v/>
      </c>
      <c r="U317" s="67">
        <f>IF(G317="","",ABS(P317-Components!$D$6)/Components!$E$6)</f>
        <v/>
      </c>
      <c r="V317" s="67">
        <f>IF(G317="","",ABS(P317-Components!$D$7)/Components!$E$7)</f>
        <v/>
      </c>
      <c r="W317" s="61">
        <f>IF(G317="","",IF(N317="OK","NONE",INDEX({"S1","S2","W1","W2","N1","N2"},MATCH(MIN(Q317:V317),Q317:V317,0))))</f>
        <v/>
      </c>
      <c r="X317" s="69">
        <f>IF(G317="","",IF(W317=E317,1,0))</f>
        <v/>
      </c>
      <c r="Y317" s="70" t="n"/>
    </row>
    <row r="318">
      <c r="A318" s="61" t="n">
        <v>44</v>
      </c>
      <c r="B318" s="62" t="n">
        <v>6</v>
      </c>
      <c r="C318" s="61" t="inlineStr">
        <is>
          <t>R6</t>
        </is>
      </c>
      <c r="D318" s="74" t="inlineStr">
        <is>
          <t>NG</t>
        </is>
      </c>
      <c r="E318" s="61" t="inlineStr">
        <is>
          <t>S1</t>
        </is>
      </c>
      <c r="F318" s="61" t="inlineStr">
        <is>
          <t>K044</t>
        </is>
      </c>
      <c r="G318" s="75" t="n">
        <v>5.92</v>
      </c>
      <c r="H318" s="65" t="n"/>
      <c r="I318" s="66" t="n"/>
      <c r="J318" s="67">
        <f>VLOOKUP(C318,Recipes!$A$2:$N$4,10,FALSE())</f>
        <v/>
      </c>
      <c r="K318" s="68">
        <f>VLOOKUP(C318,Recipes!$A$2:$N$4,12,FALSE())</f>
        <v/>
      </c>
      <c r="L318" s="67">
        <f>J318-6*K318</f>
        <v/>
      </c>
      <c r="M318" s="67">
        <f>J318+6*K318</f>
        <v/>
      </c>
      <c r="N318" s="61">
        <f>IF(G318="","",IF(AND(G318&gt;=L318,G318&lt;=M318),"OK","NG"))</f>
        <v/>
      </c>
      <c r="O318" s="69">
        <f>IF(N318="","",IF(N318=D318,1,0))</f>
        <v/>
      </c>
      <c r="P318" s="67">
        <f>IF(G318="","",J318-G318)</f>
        <v/>
      </c>
      <c r="Q318" s="67">
        <f>IF(G318="","",ABS(P318-Components!$D$2)/Components!$E$2)</f>
        <v/>
      </c>
      <c r="R318" s="67">
        <f>IF(G318="","",ABS(P318-Components!$D$3)/Components!$E$3)</f>
        <v/>
      </c>
      <c r="S318" s="67">
        <f>IF(G318="","",ABS(P318-Components!$D$4)/Components!$E$4)</f>
        <v/>
      </c>
      <c r="T318" s="67">
        <f>IF(G318="","",ABS(P318-Components!$D$5)/Components!$E$5)</f>
        <v/>
      </c>
      <c r="U318" s="67">
        <f>IF(G318="","",ABS(P318-Components!$D$6)/Components!$E$6)</f>
        <v/>
      </c>
      <c r="V318" s="67">
        <f>IF(G318="","",ABS(P318-Components!$D$7)/Components!$E$7)</f>
        <v/>
      </c>
      <c r="W318" s="61">
        <f>IF(G318="","",IF(N318="OK","NONE",INDEX({"S1","S2","W1","W2","N1","N2"},MATCH(MIN(Q318:V318),Q318:V318,0))))</f>
        <v/>
      </c>
      <c r="X318" s="69">
        <f>IF(G318="","",IF(W318=E318,1,0))</f>
        <v/>
      </c>
      <c r="Y318" s="70" t="n"/>
    </row>
    <row r="319">
      <c r="A319" s="61" t="n">
        <v>44</v>
      </c>
      <c r="B319" s="62" t="n">
        <v>6</v>
      </c>
      <c r="C319" s="61" t="inlineStr">
        <is>
          <t>R6</t>
        </is>
      </c>
      <c r="D319" s="74" t="inlineStr">
        <is>
          <t>NG</t>
        </is>
      </c>
      <c r="E319" s="61" t="inlineStr">
        <is>
          <t>S1</t>
        </is>
      </c>
      <c r="F319" s="61" t="inlineStr">
        <is>
          <t>K044</t>
        </is>
      </c>
      <c r="G319" s="75" t="n">
        <v>5.84</v>
      </c>
      <c r="H319" s="65" t="n"/>
      <c r="I319" s="66" t="n"/>
      <c r="J319" s="67">
        <f>VLOOKUP(C319,Recipes!$A$2:$N$4,10,FALSE())</f>
        <v/>
      </c>
      <c r="K319" s="68">
        <f>VLOOKUP(C319,Recipes!$A$2:$N$4,12,FALSE())</f>
        <v/>
      </c>
      <c r="L319" s="67">
        <f>J319-6*K319</f>
        <v/>
      </c>
      <c r="M319" s="67">
        <f>J319+6*K319</f>
        <v/>
      </c>
      <c r="N319" s="61">
        <f>IF(G319="","",IF(AND(G319&gt;=L319,G319&lt;=M319),"OK","NG"))</f>
        <v/>
      </c>
      <c r="O319" s="69">
        <f>IF(N319="","",IF(N319=D319,1,0))</f>
        <v/>
      </c>
      <c r="P319" s="67">
        <f>IF(G319="","",J319-G319)</f>
        <v/>
      </c>
      <c r="Q319" s="67">
        <f>IF(G319="","",ABS(P319-Components!$D$2)/Components!$E$2)</f>
        <v/>
      </c>
      <c r="R319" s="67">
        <f>IF(G319="","",ABS(P319-Components!$D$3)/Components!$E$3)</f>
        <v/>
      </c>
      <c r="S319" s="67">
        <f>IF(G319="","",ABS(P319-Components!$D$4)/Components!$E$4)</f>
        <v/>
      </c>
      <c r="T319" s="67">
        <f>IF(G319="","",ABS(P319-Components!$D$5)/Components!$E$5)</f>
        <v/>
      </c>
      <c r="U319" s="67">
        <f>IF(G319="","",ABS(P319-Components!$D$6)/Components!$E$6)</f>
        <v/>
      </c>
      <c r="V319" s="67">
        <f>IF(G319="","",ABS(P319-Components!$D$7)/Components!$E$7)</f>
        <v/>
      </c>
      <c r="W319" s="61">
        <f>IF(G319="","",IF(N319="OK","NONE",INDEX({"S1","S2","W1","W2","N1","N2"},MATCH(MIN(Q319:V319),Q319:V319,0))))</f>
        <v/>
      </c>
      <c r="X319" s="69">
        <f>IF(G319="","",IF(W319=E319,1,0))</f>
        <v/>
      </c>
      <c r="Y319" s="70" t="n"/>
    </row>
    <row r="320">
      <c r="A320" s="61" t="n">
        <v>44</v>
      </c>
      <c r="B320" s="62" t="n">
        <v>6</v>
      </c>
      <c r="C320" s="61" t="inlineStr">
        <is>
          <t>R6</t>
        </is>
      </c>
      <c r="D320" s="74" t="inlineStr">
        <is>
          <t>NG</t>
        </is>
      </c>
      <c r="E320" s="61" t="inlineStr">
        <is>
          <t>S1</t>
        </is>
      </c>
      <c r="F320" s="61" t="inlineStr">
        <is>
          <t>K044</t>
        </is>
      </c>
      <c r="G320" s="75" t="n">
        <v>5.92</v>
      </c>
      <c r="H320" s="65" t="n"/>
      <c r="I320" s="66" t="n"/>
      <c r="J320" s="67">
        <f>VLOOKUP(C320,Recipes!$A$2:$N$4,10,FALSE())</f>
        <v/>
      </c>
      <c r="K320" s="68">
        <f>VLOOKUP(C320,Recipes!$A$2:$N$4,12,FALSE())</f>
        <v/>
      </c>
      <c r="L320" s="67">
        <f>J320-6*K320</f>
        <v/>
      </c>
      <c r="M320" s="67">
        <f>J320+6*K320</f>
        <v/>
      </c>
      <c r="N320" s="61">
        <f>IF(G320="","",IF(AND(G320&gt;=L320,G320&lt;=M320),"OK","NG"))</f>
        <v/>
      </c>
      <c r="O320" s="69">
        <f>IF(N320="","",IF(N320=D320,1,0))</f>
        <v/>
      </c>
      <c r="P320" s="67">
        <f>IF(G320="","",J320-G320)</f>
        <v/>
      </c>
      <c r="Q320" s="67">
        <f>IF(G320="","",ABS(P320-Components!$D$2)/Components!$E$2)</f>
        <v/>
      </c>
      <c r="R320" s="67">
        <f>IF(G320="","",ABS(P320-Components!$D$3)/Components!$E$3)</f>
        <v/>
      </c>
      <c r="S320" s="67">
        <f>IF(G320="","",ABS(P320-Components!$D$4)/Components!$E$4)</f>
        <v/>
      </c>
      <c r="T320" s="67">
        <f>IF(G320="","",ABS(P320-Components!$D$5)/Components!$E$5)</f>
        <v/>
      </c>
      <c r="U320" s="67">
        <f>IF(G320="","",ABS(P320-Components!$D$6)/Components!$E$6)</f>
        <v/>
      </c>
      <c r="V320" s="67">
        <f>IF(G320="","",ABS(P320-Components!$D$7)/Components!$E$7)</f>
        <v/>
      </c>
      <c r="W320" s="61">
        <f>IF(G320="","",IF(N320="OK","NONE",INDEX({"S1","S2","W1","W2","N1","N2"},MATCH(MIN(Q320:V320),Q320:V320,0))))</f>
        <v/>
      </c>
      <c r="X320" s="69">
        <f>IF(G320="","",IF(W320=E320,1,0))</f>
        <v/>
      </c>
      <c r="Y320" s="70" t="n"/>
    </row>
    <row r="321">
      <c r="A321" s="61" t="n">
        <v>44</v>
      </c>
      <c r="B321" s="62" t="n">
        <v>6</v>
      </c>
      <c r="C321" s="61" t="inlineStr">
        <is>
          <t>R6</t>
        </is>
      </c>
      <c r="D321" s="74" t="inlineStr">
        <is>
          <t>NG</t>
        </is>
      </c>
      <c r="E321" s="61" t="inlineStr">
        <is>
          <t>S1</t>
        </is>
      </c>
      <c r="F321" s="61" t="inlineStr">
        <is>
          <t>K044</t>
        </is>
      </c>
      <c r="G321" s="75" t="n">
        <v>5.87</v>
      </c>
      <c r="H321" s="65" t="n"/>
      <c r="I321" s="66" t="n"/>
      <c r="J321" s="67">
        <f>VLOOKUP(C321,Recipes!$A$2:$N$4,10,FALSE())</f>
        <v/>
      </c>
      <c r="K321" s="68">
        <f>VLOOKUP(C321,Recipes!$A$2:$N$4,12,FALSE())</f>
        <v/>
      </c>
      <c r="L321" s="67">
        <f>J321-6*K321</f>
        <v/>
      </c>
      <c r="M321" s="67">
        <f>J321+6*K321</f>
        <v/>
      </c>
      <c r="N321" s="61">
        <f>IF(G321="","",IF(AND(G321&gt;=L321,G321&lt;=M321),"OK","NG"))</f>
        <v/>
      </c>
      <c r="O321" s="69">
        <f>IF(N321="","",IF(N321=D321,1,0))</f>
        <v/>
      </c>
      <c r="P321" s="67">
        <f>IF(G321="","",J321-G321)</f>
        <v/>
      </c>
      <c r="Q321" s="67">
        <f>IF(G321="","",ABS(P321-Components!$D$2)/Components!$E$2)</f>
        <v/>
      </c>
      <c r="R321" s="67">
        <f>IF(G321="","",ABS(P321-Components!$D$3)/Components!$E$3)</f>
        <v/>
      </c>
      <c r="S321" s="67">
        <f>IF(G321="","",ABS(P321-Components!$D$4)/Components!$E$4)</f>
        <v/>
      </c>
      <c r="T321" s="67">
        <f>IF(G321="","",ABS(P321-Components!$D$5)/Components!$E$5)</f>
        <v/>
      </c>
      <c r="U321" s="67">
        <f>IF(G321="","",ABS(P321-Components!$D$6)/Components!$E$6)</f>
        <v/>
      </c>
      <c r="V321" s="67">
        <f>IF(G321="","",ABS(P321-Components!$D$7)/Components!$E$7)</f>
        <v/>
      </c>
      <c r="W321" s="61">
        <f>IF(G321="","",IF(N321="OK","NONE",INDEX({"S1","S2","W1","W2","N1","N2"},MATCH(MIN(Q321:V321),Q321:V321,0))))</f>
        <v/>
      </c>
      <c r="X321" s="69">
        <f>IF(G321="","",IF(W321=E321,1,0))</f>
        <v/>
      </c>
      <c r="Y321" s="70" t="n"/>
    </row>
    <row r="322">
      <c r="A322" s="61" t="n">
        <v>44</v>
      </c>
      <c r="B322" s="62" t="n">
        <v>6</v>
      </c>
      <c r="C322" s="61" t="inlineStr">
        <is>
          <t>R6</t>
        </is>
      </c>
      <c r="D322" s="74" t="inlineStr">
        <is>
          <t>NG</t>
        </is>
      </c>
      <c r="E322" s="61" t="inlineStr">
        <is>
          <t>S1</t>
        </is>
      </c>
      <c r="F322" s="61" t="inlineStr">
        <is>
          <t>K044</t>
        </is>
      </c>
      <c r="G322" s="75" t="n">
        <v>5.82</v>
      </c>
      <c r="H322" s="65" t="n"/>
      <c r="I322" s="66" t="n"/>
      <c r="J322" s="67">
        <f>VLOOKUP(C322,Recipes!$A$2:$N$4,10,FALSE())</f>
        <v/>
      </c>
      <c r="K322" s="68">
        <f>VLOOKUP(C322,Recipes!$A$2:$N$4,12,FALSE())</f>
        <v/>
      </c>
      <c r="L322" s="67">
        <f>J322-6*K322</f>
        <v/>
      </c>
      <c r="M322" s="67">
        <f>J322+6*K322</f>
        <v/>
      </c>
      <c r="N322" s="61">
        <f>IF(G322="","",IF(AND(G322&gt;=L322,G322&lt;=M322),"OK","NG"))</f>
        <v/>
      </c>
      <c r="O322" s="69">
        <f>IF(N322="","",IF(N322=D322,1,0))</f>
        <v/>
      </c>
      <c r="P322" s="67">
        <f>IF(G322="","",J322-G322)</f>
        <v/>
      </c>
      <c r="Q322" s="67">
        <f>IF(G322="","",ABS(P322-Components!$D$2)/Components!$E$2)</f>
        <v/>
      </c>
      <c r="R322" s="67">
        <f>IF(G322="","",ABS(P322-Components!$D$3)/Components!$E$3)</f>
        <v/>
      </c>
      <c r="S322" s="67">
        <f>IF(G322="","",ABS(P322-Components!$D$4)/Components!$E$4)</f>
        <v/>
      </c>
      <c r="T322" s="67">
        <f>IF(G322="","",ABS(P322-Components!$D$5)/Components!$E$5)</f>
        <v/>
      </c>
      <c r="U322" s="67">
        <f>IF(G322="","",ABS(P322-Components!$D$6)/Components!$E$6)</f>
        <v/>
      </c>
      <c r="V322" s="67">
        <f>IF(G322="","",ABS(P322-Components!$D$7)/Components!$E$7)</f>
        <v/>
      </c>
      <c r="W322" s="61">
        <f>IF(G322="","",IF(N322="OK","NONE",INDEX({"S1","S2","W1","W2","N1","N2"},MATCH(MIN(Q322:V322),Q322:V322,0))))</f>
        <v/>
      </c>
      <c r="X322" s="69">
        <f>IF(G322="","",IF(W322=E322,1,0))</f>
        <v/>
      </c>
      <c r="Y322" s="70" t="n"/>
    </row>
    <row r="323">
      <c r="A323" s="61" t="n">
        <v>44</v>
      </c>
      <c r="B323" s="62" t="n">
        <v>6</v>
      </c>
      <c r="C323" s="61" t="inlineStr">
        <is>
          <t>R6</t>
        </is>
      </c>
      <c r="D323" s="74" t="inlineStr">
        <is>
          <t>NG</t>
        </is>
      </c>
      <c r="E323" s="61" t="inlineStr">
        <is>
          <t>S1</t>
        </is>
      </c>
      <c r="F323" s="61" t="inlineStr">
        <is>
          <t>K044</t>
        </is>
      </c>
      <c r="G323" s="75" t="n">
        <v>5.77</v>
      </c>
      <c r="H323" s="65" t="n"/>
      <c r="I323" s="66" t="n"/>
      <c r="J323" s="67">
        <f>VLOOKUP(C323,Recipes!$A$2:$N$4,10,FALSE())</f>
        <v/>
      </c>
      <c r="K323" s="68">
        <f>VLOOKUP(C323,Recipes!$A$2:$N$4,12,FALSE())</f>
        <v/>
      </c>
      <c r="L323" s="67">
        <f>J323-6*K323</f>
        <v/>
      </c>
      <c r="M323" s="67">
        <f>J323+6*K323</f>
        <v/>
      </c>
      <c r="N323" s="61">
        <f>IF(G323="","",IF(AND(G323&gt;=L323,G323&lt;=M323),"OK","NG"))</f>
        <v/>
      </c>
      <c r="O323" s="69">
        <f>IF(N323="","",IF(N323=D323,1,0))</f>
        <v/>
      </c>
      <c r="P323" s="67">
        <f>IF(G323="","",J323-G323)</f>
        <v/>
      </c>
      <c r="Q323" s="67">
        <f>IF(G323="","",ABS(P323-Components!$D$2)/Components!$E$2)</f>
        <v/>
      </c>
      <c r="R323" s="67">
        <f>IF(G323="","",ABS(P323-Components!$D$3)/Components!$E$3)</f>
        <v/>
      </c>
      <c r="S323" s="67">
        <f>IF(G323="","",ABS(P323-Components!$D$4)/Components!$E$4)</f>
        <v/>
      </c>
      <c r="T323" s="67">
        <f>IF(G323="","",ABS(P323-Components!$D$5)/Components!$E$5)</f>
        <v/>
      </c>
      <c r="U323" s="67">
        <f>IF(G323="","",ABS(P323-Components!$D$6)/Components!$E$6)</f>
        <v/>
      </c>
      <c r="V323" s="67">
        <f>IF(G323="","",ABS(P323-Components!$D$7)/Components!$E$7)</f>
        <v/>
      </c>
      <c r="W323" s="61">
        <f>IF(G323="","",IF(N323="OK","NONE",INDEX({"S1","S2","W1","W2","N1","N2"},MATCH(MIN(Q323:V323),Q323:V323,0))))</f>
        <v/>
      </c>
      <c r="X323" s="69">
        <f>IF(G323="","",IF(W323=E323,1,0))</f>
        <v/>
      </c>
      <c r="Y323" s="70" t="n"/>
    </row>
    <row r="324">
      <c r="A324" s="61" t="n">
        <v>44</v>
      </c>
      <c r="B324" s="62" t="n">
        <v>6</v>
      </c>
      <c r="C324" s="61" t="inlineStr">
        <is>
          <t>R6</t>
        </is>
      </c>
      <c r="D324" s="74" t="inlineStr">
        <is>
          <t>NG</t>
        </is>
      </c>
      <c r="E324" s="61" t="inlineStr">
        <is>
          <t>S1</t>
        </is>
      </c>
      <c r="F324" s="61" t="inlineStr">
        <is>
          <t>K044</t>
        </is>
      </c>
      <c r="G324" s="75" t="n">
        <v>5.83</v>
      </c>
      <c r="H324" s="65" t="n"/>
      <c r="I324" s="66" t="n"/>
      <c r="J324" s="67">
        <f>VLOOKUP(C324,Recipes!$A$2:$N$4,10,FALSE())</f>
        <v/>
      </c>
      <c r="K324" s="68">
        <f>VLOOKUP(C324,Recipes!$A$2:$N$4,12,FALSE())</f>
        <v/>
      </c>
      <c r="L324" s="67">
        <f>J324-6*K324</f>
        <v/>
      </c>
      <c r="M324" s="67">
        <f>J324+6*K324</f>
        <v/>
      </c>
      <c r="N324" s="61">
        <f>IF(G324="","",IF(AND(G324&gt;=L324,G324&lt;=M324),"OK","NG"))</f>
        <v/>
      </c>
      <c r="O324" s="69">
        <f>IF(N324="","",IF(N324=D324,1,0))</f>
        <v/>
      </c>
      <c r="P324" s="67">
        <f>IF(G324="","",J324-G324)</f>
        <v/>
      </c>
      <c r="Q324" s="67">
        <f>IF(G324="","",ABS(P324-Components!$D$2)/Components!$E$2)</f>
        <v/>
      </c>
      <c r="R324" s="67">
        <f>IF(G324="","",ABS(P324-Components!$D$3)/Components!$E$3)</f>
        <v/>
      </c>
      <c r="S324" s="67">
        <f>IF(G324="","",ABS(P324-Components!$D$4)/Components!$E$4)</f>
        <v/>
      </c>
      <c r="T324" s="67">
        <f>IF(G324="","",ABS(P324-Components!$D$5)/Components!$E$5)</f>
        <v/>
      </c>
      <c r="U324" s="67">
        <f>IF(G324="","",ABS(P324-Components!$D$6)/Components!$E$6)</f>
        <v/>
      </c>
      <c r="V324" s="67">
        <f>IF(G324="","",ABS(P324-Components!$D$7)/Components!$E$7)</f>
        <v/>
      </c>
      <c r="W324" s="61">
        <f>IF(G324="","",IF(N324="OK","NONE",INDEX({"S1","S2","W1","W2","N1","N2"},MATCH(MIN(Q324:V324),Q324:V324,0))))</f>
        <v/>
      </c>
      <c r="X324" s="69">
        <f>IF(G324="","",IF(W324=E324,1,0))</f>
        <v/>
      </c>
      <c r="Y324" s="70" t="n"/>
    </row>
    <row r="325">
      <c r="A325" s="61" t="n">
        <v>44</v>
      </c>
      <c r="B325" s="62" t="n">
        <v>6</v>
      </c>
      <c r="C325" s="61" t="inlineStr">
        <is>
          <t>R6</t>
        </is>
      </c>
      <c r="D325" s="74" t="inlineStr">
        <is>
          <t>NG</t>
        </is>
      </c>
      <c r="E325" s="61" t="inlineStr">
        <is>
          <t>S1</t>
        </is>
      </c>
      <c r="F325" s="61" t="inlineStr">
        <is>
          <t>K044</t>
        </is>
      </c>
      <c r="G325" s="75" t="n">
        <v>5.85</v>
      </c>
      <c r="H325" s="65" t="n"/>
      <c r="I325" s="66" t="n"/>
      <c r="J325" s="67">
        <f>VLOOKUP(C325,Recipes!$A$2:$N$4,10,FALSE())</f>
        <v/>
      </c>
      <c r="K325" s="68">
        <f>VLOOKUP(C325,Recipes!$A$2:$N$4,12,FALSE())</f>
        <v/>
      </c>
      <c r="L325" s="67">
        <f>J325-6*K325</f>
        <v/>
      </c>
      <c r="M325" s="67">
        <f>J325+6*K325</f>
        <v/>
      </c>
      <c r="N325" s="61">
        <f>IF(G325="","",IF(AND(G325&gt;=L325,G325&lt;=M325),"OK","NG"))</f>
        <v/>
      </c>
      <c r="O325" s="69">
        <f>IF(N325="","",IF(N325=D325,1,0))</f>
        <v/>
      </c>
      <c r="P325" s="67">
        <f>IF(G325="","",J325-G325)</f>
        <v/>
      </c>
      <c r="Q325" s="67">
        <f>IF(G325="","",ABS(P325-Components!$D$2)/Components!$E$2)</f>
        <v/>
      </c>
      <c r="R325" s="67">
        <f>IF(G325="","",ABS(P325-Components!$D$3)/Components!$E$3)</f>
        <v/>
      </c>
      <c r="S325" s="67">
        <f>IF(G325="","",ABS(P325-Components!$D$4)/Components!$E$4)</f>
        <v/>
      </c>
      <c r="T325" s="67">
        <f>IF(G325="","",ABS(P325-Components!$D$5)/Components!$E$5)</f>
        <v/>
      </c>
      <c r="U325" s="67">
        <f>IF(G325="","",ABS(P325-Components!$D$6)/Components!$E$6)</f>
        <v/>
      </c>
      <c r="V325" s="67">
        <f>IF(G325="","",ABS(P325-Components!$D$7)/Components!$E$7)</f>
        <v/>
      </c>
      <c r="W325" s="61">
        <f>IF(G325="","",IF(N325="OK","NONE",INDEX({"S1","S2","W1","W2","N1","N2"},MATCH(MIN(Q325:V325),Q325:V325,0))))</f>
        <v/>
      </c>
      <c r="X325" s="69">
        <f>IF(G325="","",IF(W325=E325,1,0))</f>
        <v/>
      </c>
      <c r="Y325" s="70" t="n"/>
    </row>
    <row r="326">
      <c r="A326" s="61" t="n">
        <v>44</v>
      </c>
      <c r="B326" s="62" t="n">
        <v>6</v>
      </c>
      <c r="C326" s="61" t="inlineStr">
        <is>
          <t>R6</t>
        </is>
      </c>
      <c r="D326" s="74" t="inlineStr">
        <is>
          <t>NG</t>
        </is>
      </c>
      <c r="E326" s="61" t="inlineStr">
        <is>
          <t>S1</t>
        </is>
      </c>
      <c r="F326" s="61" t="inlineStr">
        <is>
          <t>K044</t>
        </is>
      </c>
      <c r="G326" s="75" t="n">
        <v>5.86</v>
      </c>
      <c r="H326" s="65" t="n"/>
      <c r="I326" s="66" t="n"/>
      <c r="J326" s="67">
        <f>VLOOKUP(C326,Recipes!$A$2:$N$4,10,FALSE())</f>
        <v/>
      </c>
      <c r="K326" s="68">
        <f>VLOOKUP(C326,Recipes!$A$2:$N$4,12,FALSE())</f>
        <v/>
      </c>
      <c r="L326" s="67">
        <f>J326-6*K326</f>
        <v/>
      </c>
      <c r="M326" s="67">
        <f>J326+6*K326</f>
        <v/>
      </c>
      <c r="N326" s="61">
        <f>IF(G326="","",IF(AND(G326&gt;=L326,G326&lt;=M326),"OK","NG"))</f>
        <v/>
      </c>
      <c r="O326" s="69">
        <f>IF(N326="","",IF(N326=D326,1,0))</f>
        <v/>
      </c>
      <c r="P326" s="67">
        <f>IF(G326="","",J326-G326)</f>
        <v/>
      </c>
      <c r="Q326" s="67">
        <f>IF(G326="","",ABS(P326-Components!$D$2)/Components!$E$2)</f>
        <v/>
      </c>
      <c r="R326" s="67">
        <f>IF(G326="","",ABS(P326-Components!$D$3)/Components!$E$3)</f>
        <v/>
      </c>
      <c r="S326" s="67">
        <f>IF(G326="","",ABS(P326-Components!$D$4)/Components!$E$4)</f>
        <v/>
      </c>
      <c r="T326" s="67">
        <f>IF(G326="","",ABS(P326-Components!$D$5)/Components!$E$5)</f>
        <v/>
      </c>
      <c r="U326" s="67">
        <f>IF(G326="","",ABS(P326-Components!$D$6)/Components!$E$6)</f>
        <v/>
      </c>
      <c r="V326" s="67">
        <f>IF(G326="","",ABS(P326-Components!$D$7)/Components!$E$7)</f>
        <v/>
      </c>
      <c r="W326" s="61">
        <f>IF(G326="","",IF(N326="OK","NONE",INDEX({"S1","S2","W1","W2","N1","N2"},MATCH(MIN(Q326:V326),Q326:V326,0))))</f>
        <v/>
      </c>
      <c r="X326" s="69">
        <f>IF(G326="","",IF(W326=E326,1,0))</f>
        <v/>
      </c>
      <c r="Y326" s="70" t="n"/>
    </row>
    <row r="327">
      <c r="A327" s="61" t="n">
        <v>44</v>
      </c>
      <c r="B327" s="62" t="n">
        <v>6</v>
      </c>
      <c r="C327" s="61" t="inlineStr">
        <is>
          <t>R6</t>
        </is>
      </c>
      <c r="D327" s="74" t="inlineStr">
        <is>
          <t>NG</t>
        </is>
      </c>
      <c r="E327" s="61" t="inlineStr">
        <is>
          <t>S1</t>
        </is>
      </c>
      <c r="F327" s="61" t="inlineStr">
        <is>
          <t>K044</t>
        </is>
      </c>
      <c r="G327" s="75" t="n">
        <v>5.87</v>
      </c>
      <c r="H327" s="65" t="n"/>
      <c r="I327" s="66" t="n"/>
      <c r="J327" s="67">
        <f>VLOOKUP(C327,Recipes!$A$2:$N$4,10,FALSE())</f>
        <v/>
      </c>
      <c r="K327" s="68">
        <f>VLOOKUP(C327,Recipes!$A$2:$N$4,12,FALSE())</f>
        <v/>
      </c>
      <c r="L327" s="67">
        <f>J327-6*K327</f>
        <v/>
      </c>
      <c r="M327" s="67">
        <f>J327+6*K327</f>
        <v/>
      </c>
      <c r="N327" s="61">
        <f>IF(G327="","",IF(AND(G327&gt;=L327,G327&lt;=M327),"OK","NG"))</f>
        <v/>
      </c>
      <c r="O327" s="69">
        <f>IF(N327="","",IF(N327=D327,1,0))</f>
        <v/>
      </c>
      <c r="P327" s="67">
        <f>IF(G327="","",J327-G327)</f>
        <v/>
      </c>
      <c r="Q327" s="67">
        <f>IF(G327="","",ABS(P327-Components!$D$2)/Components!$E$2)</f>
        <v/>
      </c>
      <c r="R327" s="67">
        <f>IF(G327="","",ABS(P327-Components!$D$3)/Components!$E$3)</f>
        <v/>
      </c>
      <c r="S327" s="67">
        <f>IF(G327="","",ABS(P327-Components!$D$4)/Components!$E$4)</f>
        <v/>
      </c>
      <c r="T327" s="67">
        <f>IF(G327="","",ABS(P327-Components!$D$5)/Components!$E$5)</f>
        <v/>
      </c>
      <c r="U327" s="67">
        <f>IF(G327="","",ABS(P327-Components!$D$6)/Components!$E$6)</f>
        <v/>
      </c>
      <c r="V327" s="67">
        <f>IF(G327="","",ABS(P327-Components!$D$7)/Components!$E$7)</f>
        <v/>
      </c>
      <c r="W327" s="61">
        <f>IF(G327="","",IF(N327="OK","NONE",INDEX({"S1","S2","W1","W2","N1","N2"},MATCH(MIN(Q327:V327),Q327:V327,0))))</f>
        <v/>
      </c>
      <c r="X327" s="69">
        <f>IF(G327="","",IF(W327=E327,1,0))</f>
        <v/>
      </c>
      <c r="Y327" s="70" t="n"/>
    </row>
    <row r="328">
      <c r="A328" s="61" t="n">
        <v>44</v>
      </c>
      <c r="B328" s="62" t="n">
        <v>6</v>
      </c>
      <c r="C328" s="61" t="inlineStr">
        <is>
          <t>R6</t>
        </is>
      </c>
      <c r="D328" s="74" t="inlineStr">
        <is>
          <t>NG</t>
        </is>
      </c>
      <c r="E328" s="61" t="inlineStr">
        <is>
          <t>S1</t>
        </is>
      </c>
      <c r="F328" s="61" t="inlineStr">
        <is>
          <t>K044</t>
        </is>
      </c>
      <c r="G328" s="75" t="n">
        <v>5.81</v>
      </c>
      <c r="H328" s="65" t="n"/>
      <c r="I328" s="66" t="n"/>
      <c r="J328" s="67">
        <f>VLOOKUP(C328,Recipes!$A$2:$N$4,10,FALSE())</f>
        <v/>
      </c>
      <c r="K328" s="68">
        <f>VLOOKUP(C328,Recipes!$A$2:$N$4,12,FALSE())</f>
        <v/>
      </c>
      <c r="L328" s="67">
        <f>J328-6*K328</f>
        <v/>
      </c>
      <c r="M328" s="67">
        <f>J328+6*K328</f>
        <v/>
      </c>
      <c r="N328" s="61">
        <f>IF(G328="","",IF(AND(G328&gt;=L328,G328&lt;=M328),"OK","NG"))</f>
        <v/>
      </c>
      <c r="O328" s="69">
        <f>IF(N328="","",IF(N328=D328,1,0))</f>
        <v/>
      </c>
      <c r="P328" s="67">
        <f>IF(G328="","",J328-G328)</f>
        <v/>
      </c>
      <c r="Q328" s="67">
        <f>IF(G328="","",ABS(P328-Components!$D$2)/Components!$E$2)</f>
        <v/>
      </c>
      <c r="R328" s="67">
        <f>IF(G328="","",ABS(P328-Components!$D$3)/Components!$E$3)</f>
        <v/>
      </c>
      <c r="S328" s="67">
        <f>IF(G328="","",ABS(P328-Components!$D$4)/Components!$E$4)</f>
        <v/>
      </c>
      <c r="T328" s="67">
        <f>IF(G328="","",ABS(P328-Components!$D$5)/Components!$E$5)</f>
        <v/>
      </c>
      <c r="U328" s="67">
        <f>IF(G328="","",ABS(P328-Components!$D$6)/Components!$E$6)</f>
        <v/>
      </c>
      <c r="V328" s="67">
        <f>IF(G328="","",ABS(P328-Components!$D$7)/Components!$E$7)</f>
        <v/>
      </c>
      <c r="W328" s="61">
        <f>IF(G328="","",IF(N328="OK","NONE",INDEX({"S1","S2","W1","W2","N1","N2"},MATCH(MIN(Q328:V328),Q328:V328,0))))</f>
        <v/>
      </c>
      <c r="X328" s="69">
        <f>IF(G328="","",IF(W328=E328,1,0))</f>
        <v/>
      </c>
      <c r="Y328" s="70" t="n"/>
    </row>
    <row r="329">
      <c r="A329" s="61" t="n">
        <v>44</v>
      </c>
      <c r="B329" s="62" t="n">
        <v>6</v>
      </c>
      <c r="C329" s="61" t="inlineStr">
        <is>
          <t>R6</t>
        </is>
      </c>
      <c r="D329" s="74" t="inlineStr">
        <is>
          <t>NG</t>
        </is>
      </c>
      <c r="E329" s="61" t="inlineStr">
        <is>
          <t>S1</t>
        </is>
      </c>
      <c r="F329" s="61" t="inlineStr">
        <is>
          <t>K044</t>
        </is>
      </c>
      <c r="G329" s="75" t="n">
        <v>5.83</v>
      </c>
      <c r="H329" s="65" t="n"/>
      <c r="I329" s="66" t="n"/>
      <c r="J329" s="67">
        <f>VLOOKUP(C329,Recipes!$A$2:$N$4,10,FALSE())</f>
        <v/>
      </c>
      <c r="K329" s="68">
        <f>VLOOKUP(C329,Recipes!$A$2:$N$4,12,FALSE())</f>
        <v/>
      </c>
      <c r="L329" s="67">
        <f>J329-6*K329</f>
        <v/>
      </c>
      <c r="M329" s="67">
        <f>J329+6*K329</f>
        <v/>
      </c>
      <c r="N329" s="61">
        <f>IF(G329="","",IF(AND(G329&gt;=L329,G329&lt;=M329),"OK","NG"))</f>
        <v/>
      </c>
      <c r="O329" s="69">
        <f>IF(N329="","",IF(N329=D329,1,0))</f>
        <v/>
      </c>
      <c r="P329" s="67">
        <f>IF(G329="","",J329-G329)</f>
        <v/>
      </c>
      <c r="Q329" s="67">
        <f>IF(G329="","",ABS(P329-Components!$D$2)/Components!$E$2)</f>
        <v/>
      </c>
      <c r="R329" s="67">
        <f>IF(G329="","",ABS(P329-Components!$D$3)/Components!$E$3)</f>
        <v/>
      </c>
      <c r="S329" s="67">
        <f>IF(G329="","",ABS(P329-Components!$D$4)/Components!$E$4)</f>
        <v/>
      </c>
      <c r="T329" s="67">
        <f>IF(G329="","",ABS(P329-Components!$D$5)/Components!$E$5)</f>
        <v/>
      </c>
      <c r="U329" s="67">
        <f>IF(G329="","",ABS(P329-Components!$D$6)/Components!$E$6)</f>
        <v/>
      </c>
      <c r="V329" s="67">
        <f>IF(G329="","",ABS(P329-Components!$D$7)/Components!$E$7)</f>
        <v/>
      </c>
      <c r="W329" s="61">
        <f>IF(G329="","",IF(N329="OK","NONE",INDEX({"S1","S2","W1","W2","N1","N2"},MATCH(MIN(Q329:V329),Q329:V329,0))))</f>
        <v/>
      </c>
      <c r="X329" s="69">
        <f>IF(G329="","",IF(W329=E329,1,0))</f>
        <v/>
      </c>
      <c r="Y329" s="70" t="n"/>
    </row>
    <row r="330">
      <c r="A330" s="61" t="n">
        <v>44</v>
      </c>
      <c r="B330" s="62" t="n">
        <v>6</v>
      </c>
      <c r="C330" s="61" t="inlineStr">
        <is>
          <t>R6</t>
        </is>
      </c>
      <c r="D330" s="74" t="inlineStr">
        <is>
          <t>NG</t>
        </is>
      </c>
      <c r="E330" s="61" t="inlineStr">
        <is>
          <t>S1</t>
        </is>
      </c>
      <c r="F330" s="61" t="inlineStr">
        <is>
          <t>K044</t>
        </is>
      </c>
      <c r="G330" s="75" t="n">
        <v>5.87</v>
      </c>
      <c r="H330" s="65" t="n"/>
      <c r="I330" s="66" t="n"/>
      <c r="J330" s="67">
        <f>VLOOKUP(C330,Recipes!$A$2:$N$4,10,FALSE())</f>
        <v/>
      </c>
      <c r="K330" s="68">
        <f>VLOOKUP(C330,Recipes!$A$2:$N$4,12,FALSE())</f>
        <v/>
      </c>
      <c r="L330" s="67">
        <f>J330-6*K330</f>
        <v/>
      </c>
      <c r="M330" s="67">
        <f>J330+6*K330</f>
        <v/>
      </c>
      <c r="N330" s="61">
        <f>IF(G330="","",IF(AND(G330&gt;=L330,G330&lt;=M330),"OK","NG"))</f>
        <v/>
      </c>
      <c r="O330" s="69">
        <f>IF(N330="","",IF(N330=D330,1,0))</f>
        <v/>
      </c>
      <c r="P330" s="67">
        <f>IF(G330="","",J330-G330)</f>
        <v/>
      </c>
      <c r="Q330" s="67">
        <f>IF(G330="","",ABS(P330-Components!$D$2)/Components!$E$2)</f>
        <v/>
      </c>
      <c r="R330" s="67">
        <f>IF(G330="","",ABS(P330-Components!$D$3)/Components!$E$3)</f>
        <v/>
      </c>
      <c r="S330" s="67">
        <f>IF(G330="","",ABS(P330-Components!$D$4)/Components!$E$4)</f>
        <v/>
      </c>
      <c r="T330" s="67">
        <f>IF(G330="","",ABS(P330-Components!$D$5)/Components!$E$5)</f>
        <v/>
      </c>
      <c r="U330" s="67">
        <f>IF(G330="","",ABS(P330-Components!$D$6)/Components!$E$6)</f>
        <v/>
      </c>
      <c r="V330" s="67">
        <f>IF(G330="","",ABS(P330-Components!$D$7)/Components!$E$7)</f>
        <v/>
      </c>
      <c r="W330" s="61">
        <f>IF(G330="","",IF(N330="OK","NONE",INDEX({"S1","S2","W1","W2","N1","N2"},MATCH(MIN(Q330:V330),Q330:V330,0))))</f>
        <v/>
      </c>
      <c r="X330" s="69">
        <f>IF(G330="","",IF(W330=E330,1,0))</f>
        <v/>
      </c>
      <c r="Y330" s="70" t="n"/>
    </row>
    <row r="331">
      <c r="A331" s="61" t="n">
        <v>44</v>
      </c>
      <c r="B331" s="62" t="n">
        <v>6</v>
      </c>
      <c r="C331" s="61" t="inlineStr">
        <is>
          <t>R6</t>
        </is>
      </c>
      <c r="D331" s="74" t="inlineStr">
        <is>
          <t>NG</t>
        </is>
      </c>
      <c r="E331" s="61" t="inlineStr">
        <is>
          <t>S1</t>
        </is>
      </c>
      <c r="F331" s="61" t="inlineStr">
        <is>
          <t>K044</t>
        </is>
      </c>
      <c r="G331" s="75" t="n">
        <v>5.8</v>
      </c>
      <c r="H331" s="65" t="n"/>
      <c r="I331" s="66" t="n"/>
      <c r="J331" s="67">
        <f>VLOOKUP(C331,Recipes!$A$2:$N$4,10,FALSE())</f>
        <v/>
      </c>
      <c r="K331" s="68">
        <f>VLOOKUP(C331,Recipes!$A$2:$N$4,12,FALSE())</f>
        <v/>
      </c>
      <c r="L331" s="67">
        <f>J331-6*K331</f>
        <v/>
      </c>
      <c r="M331" s="67">
        <f>J331+6*K331</f>
        <v/>
      </c>
      <c r="N331" s="61">
        <f>IF(G331="","",IF(AND(G331&gt;=L331,G331&lt;=M331),"OK","NG"))</f>
        <v/>
      </c>
      <c r="O331" s="69">
        <f>IF(N331="","",IF(N331=D331,1,0))</f>
        <v/>
      </c>
      <c r="P331" s="67">
        <f>IF(G331="","",J331-G331)</f>
        <v/>
      </c>
      <c r="Q331" s="67">
        <f>IF(G331="","",ABS(P331-Components!$D$2)/Components!$E$2)</f>
        <v/>
      </c>
      <c r="R331" s="67">
        <f>IF(G331="","",ABS(P331-Components!$D$3)/Components!$E$3)</f>
        <v/>
      </c>
      <c r="S331" s="67">
        <f>IF(G331="","",ABS(P331-Components!$D$4)/Components!$E$4)</f>
        <v/>
      </c>
      <c r="T331" s="67">
        <f>IF(G331="","",ABS(P331-Components!$D$5)/Components!$E$5)</f>
        <v/>
      </c>
      <c r="U331" s="67">
        <f>IF(G331="","",ABS(P331-Components!$D$6)/Components!$E$6)</f>
        <v/>
      </c>
      <c r="V331" s="67">
        <f>IF(G331="","",ABS(P331-Components!$D$7)/Components!$E$7)</f>
        <v/>
      </c>
      <c r="W331" s="61">
        <f>IF(G331="","",IF(N331="OK","NONE",INDEX({"S1","S2","W1","W2","N1","N2"},MATCH(MIN(Q331:V331),Q331:V331,0))))</f>
        <v/>
      </c>
      <c r="X331" s="69">
        <f>IF(G331="","",IF(W331=E331,1,0))</f>
        <v/>
      </c>
      <c r="Y331" s="70" t="n"/>
    </row>
    <row r="332">
      <c r="A332" s="61" t="n">
        <v>44</v>
      </c>
      <c r="B332" s="62" t="n">
        <v>6</v>
      </c>
      <c r="C332" s="61" t="inlineStr">
        <is>
          <t>R6</t>
        </is>
      </c>
      <c r="D332" s="74" t="inlineStr">
        <is>
          <t>NG</t>
        </is>
      </c>
      <c r="E332" s="61" t="inlineStr">
        <is>
          <t>S1</t>
        </is>
      </c>
      <c r="F332" s="61" t="inlineStr">
        <is>
          <t>K044</t>
        </is>
      </c>
      <c r="G332" s="75" t="n">
        <v>5.86</v>
      </c>
      <c r="H332" s="65" t="n"/>
      <c r="I332" s="66" t="n"/>
      <c r="J332" s="67">
        <f>VLOOKUP(C332,Recipes!$A$2:$N$4,10,FALSE())</f>
        <v/>
      </c>
      <c r="K332" s="68">
        <f>VLOOKUP(C332,Recipes!$A$2:$N$4,12,FALSE())</f>
        <v/>
      </c>
      <c r="L332" s="67">
        <f>J332-6*K332</f>
        <v/>
      </c>
      <c r="M332" s="67">
        <f>J332+6*K332</f>
        <v/>
      </c>
      <c r="N332" s="61">
        <f>IF(G332="","",IF(AND(G332&gt;=L332,G332&lt;=M332),"OK","NG"))</f>
        <v/>
      </c>
      <c r="O332" s="69">
        <f>IF(N332="","",IF(N332=D332,1,0))</f>
        <v/>
      </c>
      <c r="P332" s="67">
        <f>IF(G332="","",J332-G332)</f>
        <v/>
      </c>
      <c r="Q332" s="67">
        <f>IF(G332="","",ABS(P332-Components!$D$2)/Components!$E$2)</f>
        <v/>
      </c>
      <c r="R332" s="67">
        <f>IF(G332="","",ABS(P332-Components!$D$3)/Components!$E$3)</f>
        <v/>
      </c>
      <c r="S332" s="67">
        <f>IF(G332="","",ABS(P332-Components!$D$4)/Components!$E$4)</f>
        <v/>
      </c>
      <c r="T332" s="67">
        <f>IF(G332="","",ABS(P332-Components!$D$5)/Components!$E$5)</f>
        <v/>
      </c>
      <c r="U332" s="67">
        <f>IF(G332="","",ABS(P332-Components!$D$6)/Components!$E$6)</f>
        <v/>
      </c>
      <c r="V332" s="67">
        <f>IF(G332="","",ABS(P332-Components!$D$7)/Components!$E$7)</f>
        <v/>
      </c>
      <c r="W332" s="61">
        <f>IF(G332="","",IF(N332="OK","NONE",INDEX({"S1","S2","W1","W2","N1","N2"},MATCH(MIN(Q332:V332),Q332:V332,0))))</f>
        <v/>
      </c>
      <c r="X332" s="69">
        <f>IF(G332="","",IF(W332=E332,1,0))</f>
        <v/>
      </c>
      <c r="Y332" s="70" t="n"/>
    </row>
    <row r="333">
      <c r="A333" s="61" t="n">
        <v>46</v>
      </c>
      <c r="B333" s="62" t="n">
        <v>44</v>
      </c>
      <c r="C333" s="61" t="inlineStr">
        <is>
          <t>R6</t>
        </is>
      </c>
      <c r="D333" s="74" t="inlineStr">
        <is>
          <t>NG</t>
        </is>
      </c>
      <c r="E333" s="61" t="inlineStr">
        <is>
          <t>W1</t>
        </is>
      </c>
      <c r="F333" s="61" t="inlineStr">
        <is>
          <t>K046</t>
        </is>
      </c>
      <c r="G333" s="75" t="n">
        <v>7.6</v>
      </c>
      <c r="H333" s="65" t="n"/>
      <c r="I333" s="66" t="n"/>
      <c r="J333" s="67">
        <f>VLOOKUP(C333,Recipes!$A$2:$N$4,10,FALSE())</f>
        <v/>
      </c>
      <c r="K333" s="68">
        <f>VLOOKUP(C333,Recipes!$A$2:$N$4,12,FALSE())</f>
        <v/>
      </c>
      <c r="L333" s="67">
        <f>J333-6*K333</f>
        <v/>
      </c>
      <c r="M333" s="67">
        <f>J333+6*K333</f>
        <v/>
      </c>
      <c r="N333" s="61">
        <f>IF(G333="","",IF(AND(G333&gt;=L333,G333&lt;=M333),"OK","NG"))</f>
        <v/>
      </c>
      <c r="O333" s="69">
        <f>IF(N333="","",IF(N333=D333,1,0))</f>
        <v/>
      </c>
      <c r="P333" s="67">
        <f>IF(G333="","",J333-G333)</f>
        <v/>
      </c>
      <c r="Q333" s="67">
        <f>IF(G333="","",ABS(P333-Components!$D$2)/Components!$E$2)</f>
        <v/>
      </c>
      <c r="R333" s="67">
        <f>IF(G333="","",ABS(P333-Components!$D$3)/Components!$E$3)</f>
        <v/>
      </c>
      <c r="S333" s="67">
        <f>IF(G333="","",ABS(P333-Components!$D$4)/Components!$E$4)</f>
        <v/>
      </c>
      <c r="T333" s="67">
        <f>IF(G333="","",ABS(P333-Components!$D$5)/Components!$E$5)</f>
        <v/>
      </c>
      <c r="U333" s="67">
        <f>IF(G333="","",ABS(P333-Components!$D$6)/Components!$E$6)</f>
        <v/>
      </c>
      <c r="V333" s="67">
        <f>IF(G333="","",ABS(P333-Components!$D$7)/Components!$E$7)</f>
        <v/>
      </c>
      <c r="W333" s="61">
        <f>IF(G333="","",IF(N333="OK","NONE",INDEX({"S1","S2","W1","W2","N1","N2"},MATCH(MIN(Q333:V333),Q333:V333,0))))</f>
        <v/>
      </c>
      <c r="X333" s="69">
        <f>IF(G333="","",IF(W333=E333,1,0))</f>
        <v/>
      </c>
      <c r="Y333" s="70" t="n"/>
    </row>
    <row r="334">
      <c r="A334" s="61" t="n">
        <v>46</v>
      </c>
      <c r="B334" s="62" t="n">
        <v>44</v>
      </c>
      <c r="C334" s="61" t="inlineStr">
        <is>
          <t>R6</t>
        </is>
      </c>
      <c r="D334" s="74" t="inlineStr">
        <is>
          <t>NG</t>
        </is>
      </c>
      <c r="E334" s="61" t="inlineStr">
        <is>
          <t>W1</t>
        </is>
      </c>
      <c r="F334" s="61" t="inlineStr">
        <is>
          <t>K046</t>
        </is>
      </c>
      <c r="G334" s="75" t="n">
        <v>7.68</v>
      </c>
      <c r="H334" s="65" t="n"/>
      <c r="I334" s="66" t="n"/>
      <c r="J334" s="67">
        <f>VLOOKUP(C334,Recipes!$A$2:$N$4,10,FALSE())</f>
        <v/>
      </c>
      <c r="K334" s="68">
        <f>VLOOKUP(C334,Recipes!$A$2:$N$4,12,FALSE())</f>
        <v/>
      </c>
      <c r="L334" s="67">
        <f>J334-6*K334</f>
        <v/>
      </c>
      <c r="M334" s="67">
        <f>J334+6*K334</f>
        <v/>
      </c>
      <c r="N334" s="61">
        <f>IF(G334="","",IF(AND(G334&gt;=L334,G334&lt;=M334),"OK","NG"))</f>
        <v/>
      </c>
      <c r="O334" s="69">
        <f>IF(N334="","",IF(N334=D334,1,0))</f>
        <v/>
      </c>
      <c r="P334" s="67">
        <f>IF(G334="","",J334-G334)</f>
        <v/>
      </c>
      <c r="Q334" s="67">
        <f>IF(G334="","",ABS(P334-Components!$D$2)/Components!$E$2)</f>
        <v/>
      </c>
      <c r="R334" s="67">
        <f>IF(G334="","",ABS(P334-Components!$D$3)/Components!$E$3)</f>
        <v/>
      </c>
      <c r="S334" s="67">
        <f>IF(G334="","",ABS(P334-Components!$D$4)/Components!$E$4)</f>
        <v/>
      </c>
      <c r="T334" s="67">
        <f>IF(G334="","",ABS(P334-Components!$D$5)/Components!$E$5)</f>
        <v/>
      </c>
      <c r="U334" s="67">
        <f>IF(G334="","",ABS(P334-Components!$D$6)/Components!$E$6)</f>
        <v/>
      </c>
      <c r="V334" s="67">
        <f>IF(G334="","",ABS(P334-Components!$D$7)/Components!$E$7)</f>
        <v/>
      </c>
      <c r="W334" s="61">
        <f>IF(G334="","",IF(N334="OK","NONE",INDEX({"S1","S2","W1","W2","N1","N2"},MATCH(MIN(Q334:V334),Q334:V334,0))))</f>
        <v/>
      </c>
      <c r="X334" s="69">
        <f>IF(G334="","",IF(W334=E334,1,0))</f>
        <v/>
      </c>
      <c r="Y334" s="70" t="n"/>
    </row>
    <row r="335">
      <c r="A335" s="61" t="n">
        <v>46</v>
      </c>
      <c r="B335" s="62" t="n">
        <v>44</v>
      </c>
      <c r="C335" s="61" t="inlineStr">
        <is>
          <t>R6</t>
        </is>
      </c>
      <c r="D335" s="74" t="inlineStr">
        <is>
          <t>NG</t>
        </is>
      </c>
      <c r="E335" s="61" t="inlineStr">
        <is>
          <t>W1</t>
        </is>
      </c>
      <c r="F335" s="61" t="inlineStr">
        <is>
          <t>K046</t>
        </is>
      </c>
      <c r="G335" s="75" t="n">
        <v>7.4</v>
      </c>
      <c r="H335" s="65" t="n"/>
      <c r="I335" s="66" t="n"/>
      <c r="J335" s="67">
        <f>VLOOKUP(C335,Recipes!$A$2:$N$4,10,FALSE())</f>
        <v/>
      </c>
      <c r="K335" s="68">
        <f>VLOOKUP(C335,Recipes!$A$2:$N$4,12,FALSE())</f>
        <v/>
      </c>
      <c r="L335" s="67">
        <f>J335-6*K335</f>
        <v/>
      </c>
      <c r="M335" s="67">
        <f>J335+6*K335</f>
        <v/>
      </c>
      <c r="N335" s="61">
        <f>IF(G335="","",IF(AND(G335&gt;=L335,G335&lt;=M335),"OK","NG"))</f>
        <v/>
      </c>
      <c r="O335" s="69">
        <f>IF(N335="","",IF(N335=D335,1,0))</f>
        <v/>
      </c>
      <c r="P335" s="67">
        <f>IF(G335="","",J335-G335)</f>
        <v/>
      </c>
      <c r="Q335" s="67">
        <f>IF(G335="","",ABS(P335-Components!$D$2)/Components!$E$2)</f>
        <v/>
      </c>
      <c r="R335" s="67">
        <f>IF(G335="","",ABS(P335-Components!$D$3)/Components!$E$3)</f>
        <v/>
      </c>
      <c r="S335" s="67">
        <f>IF(G335="","",ABS(P335-Components!$D$4)/Components!$E$4)</f>
        <v/>
      </c>
      <c r="T335" s="67">
        <f>IF(G335="","",ABS(P335-Components!$D$5)/Components!$E$5)</f>
        <v/>
      </c>
      <c r="U335" s="67">
        <f>IF(G335="","",ABS(P335-Components!$D$6)/Components!$E$6)</f>
        <v/>
      </c>
      <c r="V335" s="67">
        <f>IF(G335="","",ABS(P335-Components!$D$7)/Components!$E$7)</f>
        <v/>
      </c>
      <c r="W335" s="61">
        <f>IF(G335="","",IF(N335="OK","NONE",INDEX({"S1","S2","W1","W2","N1","N2"},MATCH(MIN(Q335:V335),Q335:V335,0))))</f>
        <v/>
      </c>
      <c r="X335" s="71">
        <f>IF(G335="","",IF(W335=E335,1,0))</f>
        <v/>
      </c>
      <c r="Y335" s="70" t="n"/>
    </row>
    <row r="336">
      <c r="A336" s="61" t="n">
        <v>46</v>
      </c>
      <c r="B336" s="62" t="n">
        <v>44</v>
      </c>
      <c r="C336" s="61" t="inlineStr">
        <is>
          <t>R6</t>
        </is>
      </c>
      <c r="D336" s="74" t="inlineStr">
        <is>
          <t>NG</t>
        </is>
      </c>
      <c r="E336" s="61" t="inlineStr">
        <is>
          <t>W1</t>
        </is>
      </c>
      <c r="F336" s="61" t="inlineStr">
        <is>
          <t>K046</t>
        </is>
      </c>
      <c r="G336" s="75" t="n">
        <v>7.59</v>
      </c>
      <c r="H336" s="65" t="n"/>
      <c r="I336" s="66" t="n"/>
      <c r="J336" s="67">
        <f>VLOOKUP(C336,Recipes!$A$2:$N$4,10,FALSE())</f>
        <v/>
      </c>
      <c r="K336" s="68">
        <f>VLOOKUP(C336,Recipes!$A$2:$N$4,12,FALSE())</f>
        <v/>
      </c>
      <c r="L336" s="67">
        <f>J336-6*K336</f>
        <v/>
      </c>
      <c r="M336" s="67">
        <f>J336+6*K336</f>
        <v/>
      </c>
      <c r="N336" s="61">
        <f>IF(G336="","",IF(AND(G336&gt;=L336,G336&lt;=M336),"OK","NG"))</f>
        <v/>
      </c>
      <c r="O336" s="69">
        <f>IF(N336="","",IF(N336=D336,1,0))</f>
        <v/>
      </c>
      <c r="P336" s="67">
        <f>IF(G336="","",J336-G336)</f>
        <v/>
      </c>
      <c r="Q336" s="67">
        <f>IF(G336="","",ABS(P336-Components!$D$2)/Components!$E$2)</f>
        <v/>
      </c>
      <c r="R336" s="67">
        <f>IF(G336="","",ABS(P336-Components!$D$3)/Components!$E$3)</f>
        <v/>
      </c>
      <c r="S336" s="67">
        <f>IF(G336="","",ABS(P336-Components!$D$4)/Components!$E$4)</f>
        <v/>
      </c>
      <c r="T336" s="67">
        <f>IF(G336="","",ABS(P336-Components!$D$5)/Components!$E$5)</f>
        <v/>
      </c>
      <c r="U336" s="67">
        <f>IF(G336="","",ABS(P336-Components!$D$6)/Components!$E$6)</f>
        <v/>
      </c>
      <c r="V336" s="67">
        <f>IF(G336="","",ABS(P336-Components!$D$7)/Components!$E$7)</f>
        <v/>
      </c>
      <c r="W336" s="61">
        <f>IF(G336="","",IF(N336="OK","NONE",INDEX({"S1","S2","W1","W2","N1","N2"},MATCH(MIN(Q336:V336),Q336:V336,0))))</f>
        <v/>
      </c>
      <c r="X336" s="71">
        <f>IF(G336="","",IF(W336=E336,1,0))</f>
        <v/>
      </c>
      <c r="Y336" s="70" t="n"/>
    </row>
    <row r="337">
      <c r="A337" s="61" t="n">
        <v>46</v>
      </c>
      <c r="B337" s="62" t="n">
        <v>44</v>
      </c>
      <c r="C337" s="61" t="inlineStr">
        <is>
          <t>R6</t>
        </is>
      </c>
      <c r="D337" s="74" t="inlineStr">
        <is>
          <t>NG</t>
        </is>
      </c>
      <c r="E337" s="61" t="inlineStr">
        <is>
          <t>W1</t>
        </is>
      </c>
      <c r="F337" s="61" t="inlineStr">
        <is>
          <t>K046</t>
        </is>
      </c>
      <c r="G337" s="75" t="n">
        <v>7.53</v>
      </c>
      <c r="H337" s="65" t="n"/>
      <c r="I337" s="66" t="n"/>
      <c r="J337" s="67">
        <f>VLOOKUP(C337,Recipes!$A$2:$N$4,10,FALSE())</f>
        <v/>
      </c>
      <c r="K337" s="68">
        <f>VLOOKUP(C337,Recipes!$A$2:$N$4,12,FALSE())</f>
        <v/>
      </c>
      <c r="L337" s="67">
        <f>J337-6*K337</f>
        <v/>
      </c>
      <c r="M337" s="67">
        <f>J337+6*K337</f>
        <v/>
      </c>
      <c r="N337" s="61">
        <f>IF(G337="","",IF(AND(G337&gt;=L337,G337&lt;=M337),"OK","NG"))</f>
        <v/>
      </c>
      <c r="O337" s="69">
        <f>IF(N337="","",IF(N337=D337,1,0))</f>
        <v/>
      </c>
      <c r="P337" s="67">
        <f>IF(G337="","",J337-G337)</f>
        <v/>
      </c>
      <c r="Q337" s="67">
        <f>IF(G337="","",ABS(P337-Components!$D$2)/Components!$E$2)</f>
        <v/>
      </c>
      <c r="R337" s="67">
        <f>IF(G337="","",ABS(P337-Components!$D$3)/Components!$E$3)</f>
        <v/>
      </c>
      <c r="S337" s="67">
        <f>IF(G337="","",ABS(P337-Components!$D$4)/Components!$E$4)</f>
        <v/>
      </c>
      <c r="T337" s="67">
        <f>IF(G337="","",ABS(P337-Components!$D$5)/Components!$E$5)</f>
        <v/>
      </c>
      <c r="U337" s="67">
        <f>IF(G337="","",ABS(P337-Components!$D$6)/Components!$E$6)</f>
        <v/>
      </c>
      <c r="V337" s="67">
        <f>IF(G337="","",ABS(P337-Components!$D$7)/Components!$E$7)</f>
        <v/>
      </c>
      <c r="W337" s="61">
        <f>IF(G337="","",IF(N337="OK","NONE",INDEX({"S1","S2","W1","W2","N1","N2"},MATCH(MIN(Q337:V337),Q337:V337,0))))</f>
        <v/>
      </c>
      <c r="X337" s="71">
        <f>IF(G337="","",IF(W337=E337,1,0))</f>
        <v/>
      </c>
      <c r="Y337" s="70" t="n"/>
    </row>
    <row r="338">
      <c r="A338" s="61" t="n">
        <v>46</v>
      </c>
      <c r="B338" s="62" t="n">
        <v>44</v>
      </c>
      <c r="C338" s="61" t="inlineStr">
        <is>
          <t>R6</t>
        </is>
      </c>
      <c r="D338" s="74" t="inlineStr">
        <is>
          <t>NG</t>
        </is>
      </c>
      <c r="E338" s="61" t="inlineStr">
        <is>
          <t>W1</t>
        </is>
      </c>
      <c r="F338" s="61" t="inlineStr">
        <is>
          <t>K046</t>
        </is>
      </c>
      <c r="G338" s="75" t="n">
        <v>7.53</v>
      </c>
      <c r="H338" s="65" t="n"/>
      <c r="I338" s="66" t="n"/>
      <c r="J338" s="67">
        <f>VLOOKUP(C338,Recipes!$A$2:$N$4,10,FALSE())</f>
        <v/>
      </c>
      <c r="K338" s="68">
        <f>VLOOKUP(C338,Recipes!$A$2:$N$4,12,FALSE())</f>
        <v/>
      </c>
      <c r="L338" s="67">
        <f>J338-6*K338</f>
        <v/>
      </c>
      <c r="M338" s="67">
        <f>J338+6*K338</f>
        <v/>
      </c>
      <c r="N338" s="61">
        <f>IF(G338="","",IF(AND(G338&gt;=L338,G338&lt;=M338),"OK","NG"))</f>
        <v/>
      </c>
      <c r="O338" s="69">
        <f>IF(N338="","",IF(N338=D338,1,0))</f>
        <v/>
      </c>
      <c r="P338" s="67">
        <f>IF(G338="","",J338-G338)</f>
        <v/>
      </c>
      <c r="Q338" s="67">
        <f>IF(G338="","",ABS(P338-Components!$D$2)/Components!$E$2)</f>
        <v/>
      </c>
      <c r="R338" s="67">
        <f>IF(G338="","",ABS(P338-Components!$D$3)/Components!$E$3)</f>
        <v/>
      </c>
      <c r="S338" s="67">
        <f>IF(G338="","",ABS(P338-Components!$D$4)/Components!$E$4)</f>
        <v/>
      </c>
      <c r="T338" s="67">
        <f>IF(G338="","",ABS(P338-Components!$D$5)/Components!$E$5)</f>
        <v/>
      </c>
      <c r="U338" s="67">
        <f>IF(G338="","",ABS(P338-Components!$D$6)/Components!$E$6)</f>
        <v/>
      </c>
      <c r="V338" s="67">
        <f>IF(G338="","",ABS(P338-Components!$D$7)/Components!$E$7)</f>
        <v/>
      </c>
      <c r="W338" s="61">
        <f>IF(G338="","",IF(N338="OK","NONE",INDEX({"S1","S2","W1","W2","N1","N2"},MATCH(MIN(Q338:V338),Q338:V338,0))))</f>
        <v/>
      </c>
      <c r="X338" s="71">
        <f>IF(G338="","",IF(W338=E338,1,0))</f>
        <v/>
      </c>
      <c r="Y338" s="70" t="n"/>
    </row>
    <row r="339">
      <c r="A339" s="61" t="n">
        <v>46</v>
      </c>
      <c r="B339" s="62" t="n">
        <v>44</v>
      </c>
      <c r="C339" s="61" t="inlineStr">
        <is>
          <t>R6</t>
        </is>
      </c>
      <c r="D339" s="74" t="inlineStr">
        <is>
          <t>NG</t>
        </is>
      </c>
      <c r="E339" s="61" t="inlineStr">
        <is>
          <t>W1</t>
        </is>
      </c>
      <c r="F339" s="61" t="inlineStr">
        <is>
          <t>K046</t>
        </is>
      </c>
      <c r="G339" s="75" t="n">
        <v>7.63</v>
      </c>
      <c r="H339" s="65" t="n"/>
      <c r="I339" s="66" t="n"/>
      <c r="J339" s="67">
        <f>VLOOKUP(C339,Recipes!$A$2:$N$4,10,FALSE())</f>
        <v/>
      </c>
      <c r="K339" s="68">
        <f>VLOOKUP(C339,Recipes!$A$2:$N$4,12,FALSE())</f>
        <v/>
      </c>
      <c r="L339" s="67">
        <f>J339-6*K339</f>
        <v/>
      </c>
      <c r="M339" s="67">
        <f>J339+6*K339</f>
        <v/>
      </c>
      <c r="N339" s="61">
        <f>IF(G339="","",IF(AND(G339&gt;=L339,G339&lt;=M339),"OK","NG"))</f>
        <v/>
      </c>
      <c r="O339" s="69">
        <f>IF(N339="","",IF(N339=D339,1,0))</f>
        <v/>
      </c>
      <c r="P339" s="67">
        <f>IF(G339="","",J339-G339)</f>
        <v/>
      </c>
      <c r="Q339" s="67">
        <f>IF(G339="","",ABS(P339-Components!$D$2)/Components!$E$2)</f>
        <v/>
      </c>
      <c r="R339" s="67">
        <f>IF(G339="","",ABS(P339-Components!$D$3)/Components!$E$3)</f>
        <v/>
      </c>
      <c r="S339" s="67">
        <f>IF(G339="","",ABS(P339-Components!$D$4)/Components!$E$4)</f>
        <v/>
      </c>
      <c r="T339" s="67">
        <f>IF(G339="","",ABS(P339-Components!$D$5)/Components!$E$5)</f>
        <v/>
      </c>
      <c r="U339" s="67">
        <f>IF(G339="","",ABS(P339-Components!$D$6)/Components!$E$6)</f>
        <v/>
      </c>
      <c r="V339" s="67">
        <f>IF(G339="","",ABS(P339-Components!$D$7)/Components!$E$7)</f>
        <v/>
      </c>
      <c r="W339" s="61">
        <f>IF(G339="","",IF(N339="OK","NONE",INDEX({"S1","S2","W1","W2","N1","N2"},MATCH(MIN(Q339:V339),Q339:V339,0))))</f>
        <v/>
      </c>
      <c r="X339" s="69">
        <f>IF(G339="","",IF(W339=E339,1,0))</f>
        <v/>
      </c>
      <c r="Y339" s="70" t="n"/>
    </row>
    <row r="340">
      <c r="A340" s="61" t="n">
        <v>46</v>
      </c>
      <c r="B340" s="62" t="n">
        <v>44</v>
      </c>
      <c r="C340" s="61" t="inlineStr">
        <is>
          <t>R6</t>
        </is>
      </c>
      <c r="D340" s="74" t="inlineStr">
        <is>
          <t>NG</t>
        </is>
      </c>
      <c r="E340" s="61" t="inlineStr">
        <is>
          <t>W1</t>
        </is>
      </c>
      <c r="F340" s="61" t="inlineStr">
        <is>
          <t>K046</t>
        </is>
      </c>
      <c r="G340" s="75" t="n">
        <v>7.62</v>
      </c>
      <c r="H340" s="65" t="n"/>
      <c r="I340" s="66" t="n"/>
      <c r="J340" s="67">
        <f>VLOOKUP(C340,Recipes!$A$2:$N$4,10,FALSE())</f>
        <v/>
      </c>
      <c r="K340" s="68">
        <f>VLOOKUP(C340,Recipes!$A$2:$N$4,12,FALSE())</f>
        <v/>
      </c>
      <c r="L340" s="67">
        <f>J340-6*K340</f>
        <v/>
      </c>
      <c r="M340" s="67">
        <f>J340+6*K340</f>
        <v/>
      </c>
      <c r="N340" s="61">
        <f>IF(G340="","",IF(AND(G340&gt;=L340,G340&lt;=M340),"OK","NG"))</f>
        <v/>
      </c>
      <c r="O340" s="69">
        <f>IF(N340="","",IF(N340=D340,1,0))</f>
        <v/>
      </c>
      <c r="P340" s="67">
        <f>IF(G340="","",J340-G340)</f>
        <v/>
      </c>
      <c r="Q340" s="67">
        <f>IF(G340="","",ABS(P340-Components!$D$2)/Components!$E$2)</f>
        <v/>
      </c>
      <c r="R340" s="67">
        <f>IF(G340="","",ABS(P340-Components!$D$3)/Components!$E$3)</f>
        <v/>
      </c>
      <c r="S340" s="67">
        <f>IF(G340="","",ABS(P340-Components!$D$4)/Components!$E$4)</f>
        <v/>
      </c>
      <c r="T340" s="67">
        <f>IF(G340="","",ABS(P340-Components!$D$5)/Components!$E$5)</f>
        <v/>
      </c>
      <c r="U340" s="67">
        <f>IF(G340="","",ABS(P340-Components!$D$6)/Components!$E$6)</f>
        <v/>
      </c>
      <c r="V340" s="67">
        <f>IF(G340="","",ABS(P340-Components!$D$7)/Components!$E$7)</f>
        <v/>
      </c>
      <c r="W340" s="61">
        <f>IF(G340="","",IF(N340="OK","NONE",INDEX({"S1","S2","W1","W2","N1","N2"},MATCH(MIN(Q340:V340),Q340:V340,0))))</f>
        <v/>
      </c>
      <c r="X340" s="69">
        <f>IF(G340="","",IF(W340=E340,1,0))</f>
        <v/>
      </c>
      <c r="Y340" s="70" t="n"/>
    </row>
    <row r="341">
      <c r="A341" s="61" t="n">
        <v>46</v>
      </c>
      <c r="B341" s="62" t="n">
        <v>44</v>
      </c>
      <c r="C341" s="61" t="inlineStr">
        <is>
          <t>R6</t>
        </is>
      </c>
      <c r="D341" s="74" t="inlineStr">
        <is>
          <t>NG</t>
        </is>
      </c>
      <c r="E341" s="61" t="inlineStr">
        <is>
          <t>W1</t>
        </is>
      </c>
      <c r="F341" s="61" t="inlineStr">
        <is>
          <t>K046</t>
        </is>
      </c>
      <c r="G341" s="75" t="n">
        <v>7.59</v>
      </c>
      <c r="H341" s="65" t="n"/>
      <c r="I341" s="66" t="n"/>
      <c r="J341" s="67">
        <f>VLOOKUP(C341,Recipes!$A$2:$N$4,10,FALSE())</f>
        <v/>
      </c>
      <c r="K341" s="68">
        <f>VLOOKUP(C341,Recipes!$A$2:$N$4,12,FALSE())</f>
        <v/>
      </c>
      <c r="L341" s="67">
        <f>J341-6*K341</f>
        <v/>
      </c>
      <c r="M341" s="67">
        <f>J341+6*K341</f>
        <v/>
      </c>
      <c r="N341" s="61">
        <f>IF(G341="","",IF(AND(G341&gt;=L341,G341&lt;=M341),"OK","NG"))</f>
        <v/>
      </c>
      <c r="O341" s="69">
        <f>IF(N341="","",IF(N341=D341,1,0))</f>
        <v/>
      </c>
      <c r="P341" s="67">
        <f>IF(G341="","",J341-G341)</f>
        <v/>
      </c>
      <c r="Q341" s="67">
        <f>IF(G341="","",ABS(P341-Components!$D$2)/Components!$E$2)</f>
        <v/>
      </c>
      <c r="R341" s="67">
        <f>IF(G341="","",ABS(P341-Components!$D$3)/Components!$E$3)</f>
        <v/>
      </c>
      <c r="S341" s="67">
        <f>IF(G341="","",ABS(P341-Components!$D$4)/Components!$E$4)</f>
        <v/>
      </c>
      <c r="T341" s="67">
        <f>IF(G341="","",ABS(P341-Components!$D$5)/Components!$E$5)</f>
        <v/>
      </c>
      <c r="U341" s="67">
        <f>IF(G341="","",ABS(P341-Components!$D$6)/Components!$E$6)</f>
        <v/>
      </c>
      <c r="V341" s="67">
        <f>IF(G341="","",ABS(P341-Components!$D$7)/Components!$E$7)</f>
        <v/>
      </c>
      <c r="W341" s="61">
        <f>IF(G341="","",IF(N341="OK","NONE",INDEX({"S1","S2","W1","W2","N1","N2"},MATCH(MIN(Q341:V341),Q341:V341,0))))</f>
        <v/>
      </c>
      <c r="X341" s="71">
        <f>IF(G341="","",IF(W341=E341,1,0))</f>
        <v/>
      </c>
      <c r="Y341" s="70" t="n"/>
    </row>
    <row r="342">
      <c r="A342" s="61" t="n">
        <v>46</v>
      </c>
      <c r="B342" s="62" t="n">
        <v>44</v>
      </c>
      <c r="C342" s="61" t="inlineStr">
        <is>
          <t>R6</t>
        </is>
      </c>
      <c r="D342" s="74" t="inlineStr">
        <is>
          <t>NG</t>
        </is>
      </c>
      <c r="E342" s="61" t="inlineStr">
        <is>
          <t>W1</t>
        </is>
      </c>
      <c r="F342" s="61" t="inlineStr">
        <is>
          <t>K046</t>
        </is>
      </c>
      <c r="G342" s="75" t="n">
        <v>7.64</v>
      </c>
      <c r="H342" s="65" t="n"/>
      <c r="I342" s="66" t="n"/>
      <c r="J342" s="67">
        <f>VLOOKUP(C342,Recipes!$A$2:$N$4,10,FALSE())</f>
        <v/>
      </c>
      <c r="K342" s="68">
        <f>VLOOKUP(C342,Recipes!$A$2:$N$4,12,FALSE())</f>
        <v/>
      </c>
      <c r="L342" s="67">
        <f>J342-6*K342</f>
        <v/>
      </c>
      <c r="M342" s="67">
        <f>J342+6*K342</f>
        <v/>
      </c>
      <c r="N342" s="61">
        <f>IF(G342="","",IF(AND(G342&gt;=L342,G342&lt;=M342),"OK","NG"))</f>
        <v/>
      </c>
      <c r="O342" s="69">
        <f>IF(N342="","",IF(N342=D342,1,0))</f>
        <v/>
      </c>
      <c r="P342" s="67">
        <f>IF(G342="","",J342-G342)</f>
        <v/>
      </c>
      <c r="Q342" s="67">
        <f>IF(G342="","",ABS(P342-Components!$D$2)/Components!$E$2)</f>
        <v/>
      </c>
      <c r="R342" s="67">
        <f>IF(G342="","",ABS(P342-Components!$D$3)/Components!$E$3)</f>
        <v/>
      </c>
      <c r="S342" s="67">
        <f>IF(G342="","",ABS(P342-Components!$D$4)/Components!$E$4)</f>
        <v/>
      </c>
      <c r="T342" s="67">
        <f>IF(G342="","",ABS(P342-Components!$D$5)/Components!$E$5)</f>
        <v/>
      </c>
      <c r="U342" s="67">
        <f>IF(G342="","",ABS(P342-Components!$D$6)/Components!$E$6)</f>
        <v/>
      </c>
      <c r="V342" s="67">
        <f>IF(G342="","",ABS(P342-Components!$D$7)/Components!$E$7)</f>
        <v/>
      </c>
      <c r="W342" s="61">
        <f>IF(G342="","",IF(N342="OK","NONE",INDEX({"S1","S2","W1","W2","N1","N2"},MATCH(MIN(Q342:V342),Q342:V342,0))))</f>
        <v/>
      </c>
      <c r="X342" s="69">
        <f>IF(G342="","",IF(W342=E342,1,0))</f>
        <v/>
      </c>
      <c r="Y342" s="70" t="n"/>
    </row>
    <row r="343">
      <c r="A343" s="61" t="n">
        <v>46</v>
      </c>
      <c r="B343" s="62" t="n">
        <v>44</v>
      </c>
      <c r="C343" s="61" t="inlineStr">
        <is>
          <t>R6</t>
        </is>
      </c>
      <c r="D343" s="74" t="inlineStr">
        <is>
          <t>NG</t>
        </is>
      </c>
      <c r="E343" s="61" t="inlineStr">
        <is>
          <t>W1</t>
        </is>
      </c>
      <c r="F343" s="61" t="inlineStr">
        <is>
          <t>K046</t>
        </is>
      </c>
      <c r="G343" s="75" t="n">
        <v>7.65</v>
      </c>
      <c r="H343" s="65" t="n"/>
      <c r="I343" s="66" t="n"/>
      <c r="J343" s="67">
        <f>VLOOKUP(C343,Recipes!$A$2:$N$4,10,FALSE())</f>
        <v/>
      </c>
      <c r="K343" s="68">
        <f>VLOOKUP(C343,Recipes!$A$2:$N$4,12,FALSE())</f>
        <v/>
      </c>
      <c r="L343" s="67">
        <f>J343-6*K343</f>
        <v/>
      </c>
      <c r="M343" s="67">
        <f>J343+6*K343</f>
        <v/>
      </c>
      <c r="N343" s="61">
        <f>IF(G343="","",IF(AND(G343&gt;=L343,G343&lt;=M343),"OK","NG"))</f>
        <v/>
      </c>
      <c r="O343" s="69">
        <f>IF(N343="","",IF(N343=D343,1,0))</f>
        <v/>
      </c>
      <c r="P343" s="67">
        <f>IF(G343="","",J343-G343)</f>
        <v/>
      </c>
      <c r="Q343" s="67">
        <f>IF(G343="","",ABS(P343-Components!$D$2)/Components!$E$2)</f>
        <v/>
      </c>
      <c r="R343" s="67">
        <f>IF(G343="","",ABS(P343-Components!$D$3)/Components!$E$3)</f>
        <v/>
      </c>
      <c r="S343" s="67">
        <f>IF(G343="","",ABS(P343-Components!$D$4)/Components!$E$4)</f>
        <v/>
      </c>
      <c r="T343" s="67">
        <f>IF(G343="","",ABS(P343-Components!$D$5)/Components!$E$5)</f>
        <v/>
      </c>
      <c r="U343" s="67">
        <f>IF(G343="","",ABS(P343-Components!$D$6)/Components!$E$6)</f>
        <v/>
      </c>
      <c r="V343" s="67">
        <f>IF(G343="","",ABS(P343-Components!$D$7)/Components!$E$7)</f>
        <v/>
      </c>
      <c r="W343" s="61">
        <f>IF(G343="","",IF(N343="OK","NONE",INDEX({"S1","S2","W1","W2","N1","N2"},MATCH(MIN(Q343:V343),Q343:V343,0))))</f>
        <v/>
      </c>
      <c r="X343" s="69">
        <f>IF(G343="","",IF(W343=E343,1,0))</f>
        <v/>
      </c>
      <c r="Y343" s="70" t="n"/>
    </row>
    <row r="344">
      <c r="A344" s="61" t="n">
        <v>46</v>
      </c>
      <c r="B344" s="62" t="n">
        <v>44</v>
      </c>
      <c r="C344" s="61" t="inlineStr">
        <is>
          <t>R6</t>
        </is>
      </c>
      <c r="D344" s="74" t="inlineStr">
        <is>
          <t>NG</t>
        </is>
      </c>
      <c r="E344" s="61" t="inlineStr">
        <is>
          <t>W1</t>
        </is>
      </c>
      <c r="F344" s="61" t="inlineStr">
        <is>
          <t>K046</t>
        </is>
      </c>
      <c r="G344" s="75" t="n">
        <v>7.6</v>
      </c>
      <c r="H344" s="65" t="n"/>
      <c r="I344" s="66" t="n"/>
      <c r="J344" s="67">
        <f>VLOOKUP(C344,Recipes!$A$2:$N$4,10,FALSE())</f>
        <v/>
      </c>
      <c r="K344" s="68">
        <f>VLOOKUP(C344,Recipes!$A$2:$N$4,12,FALSE())</f>
        <v/>
      </c>
      <c r="L344" s="67">
        <f>J344-6*K344</f>
        <v/>
      </c>
      <c r="M344" s="67">
        <f>J344+6*K344</f>
        <v/>
      </c>
      <c r="N344" s="61">
        <f>IF(G344="","",IF(AND(G344&gt;=L344,G344&lt;=M344),"OK","NG"))</f>
        <v/>
      </c>
      <c r="O344" s="69">
        <f>IF(N344="","",IF(N344=D344,1,0))</f>
        <v/>
      </c>
      <c r="P344" s="67">
        <f>IF(G344="","",J344-G344)</f>
        <v/>
      </c>
      <c r="Q344" s="67">
        <f>IF(G344="","",ABS(P344-Components!$D$2)/Components!$E$2)</f>
        <v/>
      </c>
      <c r="R344" s="67">
        <f>IF(G344="","",ABS(P344-Components!$D$3)/Components!$E$3)</f>
        <v/>
      </c>
      <c r="S344" s="67">
        <f>IF(G344="","",ABS(P344-Components!$D$4)/Components!$E$4)</f>
        <v/>
      </c>
      <c r="T344" s="67">
        <f>IF(G344="","",ABS(P344-Components!$D$5)/Components!$E$5)</f>
        <v/>
      </c>
      <c r="U344" s="67">
        <f>IF(G344="","",ABS(P344-Components!$D$6)/Components!$E$6)</f>
        <v/>
      </c>
      <c r="V344" s="67">
        <f>IF(G344="","",ABS(P344-Components!$D$7)/Components!$E$7)</f>
        <v/>
      </c>
      <c r="W344" s="61">
        <f>IF(G344="","",IF(N344="OK","NONE",INDEX({"S1","S2","W1","W2","N1","N2"},MATCH(MIN(Q344:V344),Q344:V344,0))))</f>
        <v/>
      </c>
      <c r="X344" s="69">
        <f>IF(G344="","",IF(W344=E344,1,0))</f>
        <v/>
      </c>
      <c r="Y344" s="70" t="n"/>
    </row>
    <row r="345">
      <c r="A345" s="61" t="n">
        <v>46</v>
      </c>
      <c r="B345" s="62" t="n">
        <v>44</v>
      </c>
      <c r="C345" s="61" t="inlineStr">
        <is>
          <t>R6</t>
        </is>
      </c>
      <c r="D345" s="74" t="inlineStr">
        <is>
          <t>NG</t>
        </is>
      </c>
      <c r="E345" s="61" t="inlineStr">
        <is>
          <t>W1</t>
        </is>
      </c>
      <c r="F345" s="61" t="inlineStr">
        <is>
          <t>K046</t>
        </is>
      </c>
      <c r="G345" s="75" t="n">
        <v>7.6</v>
      </c>
      <c r="H345" s="65" t="n"/>
      <c r="I345" s="66" t="n"/>
      <c r="J345" s="67">
        <f>VLOOKUP(C345,Recipes!$A$2:$N$4,10,FALSE())</f>
        <v/>
      </c>
      <c r="K345" s="68">
        <f>VLOOKUP(C345,Recipes!$A$2:$N$4,12,FALSE())</f>
        <v/>
      </c>
      <c r="L345" s="67">
        <f>J345-6*K345</f>
        <v/>
      </c>
      <c r="M345" s="67">
        <f>J345+6*K345</f>
        <v/>
      </c>
      <c r="N345" s="61">
        <f>IF(G345="","",IF(AND(G345&gt;=L345,G345&lt;=M345),"OK","NG"))</f>
        <v/>
      </c>
      <c r="O345" s="69">
        <f>IF(N345="","",IF(N345=D345,1,0))</f>
        <v/>
      </c>
      <c r="P345" s="67">
        <f>IF(G345="","",J345-G345)</f>
        <v/>
      </c>
      <c r="Q345" s="67">
        <f>IF(G345="","",ABS(P345-Components!$D$2)/Components!$E$2)</f>
        <v/>
      </c>
      <c r="R345" s="67">
        <f>IF(G345="","",ABS(P345-Components!$D$3)/Components!$E$3)</f>
        <v/>
      </c>
      <c r="S345" s="67">
        <f>IF(G345="","",ABS(P345-Components!$D$4)/Components!$E$4)</f>
        <v/>
      </c>
      <c r="T345" s="67">
        <f>IF(G345="","",ABS(P345-Components!$D$5)/Components!$E$5)</f>
        <v/>
      </c>
      <c r="U345" s="67">
        <f>IF(G345="","",ABS(P345-Components!$D$6)/Components!$E$6)</f>
        <v/>
      </c>
      <c r="V345" s="67">
        <f>IF(G345="","",ABS(P345-Components!$D$7)/Components!$E$7)</f>
        <v/>
      </c>
      <c r="W345" s="61">
        <f>IF(G345="","",IF(N345="OK","NONE",INDEX({"S1","S2","W1","W2","N1","N2"},MATCH(MIN(Q345:V345),Q345:V345,0))))</f>
        <v/>
      </c>
      <c r="X345" s="69">
        <f>IF(G345="","",IF(W345=E345,1,0))</f>
        <v/>
      </c>
      <c r="Y345" s="70" t="n"/>
    </row>
    <row r="346">
      <c r="A346" s="61" t="n">
        <v>46</v>
      </c>
      <c r="B346" s="62" t="n">
        <v>44</v>
      </c>
      <c r="C346" s="61" t="inlineStr">
        <is>
          <t>R6</t>
        </is>
      </c>
      <c r="D346" s="74" t="inlineStr">
        <is>
          <t>NG</t>
        </is>
      </c>
      <c r="E346" s="61" t="inlineStr">
        <is>
          <t>W1</t>
        </is>
      </c>
      <c r="F346" s="61" t="inlineStr">
        <is>
          <t>K046</t>
        </is>
      </c>
      <c r="G346" s="75" t="n">
        <v>7.59</v>
      </c>
      <c r="H346" s="65" t="n"/>
      <c r="I346" s="66" t="n"/>
      <c r="J346" s="67">
        <f>VLOOKUP(C346,Recipes!$A$2:$N$4,10,FALSE())</f>
        <v/>
      </c>
      <c r="K346" s="68">
        <f>VLOOKUP(C346,Recipes!$A$2:$N$4,12,FALSE())</f>
        <v/>
      </c>
      <c r="L346" s="67">
        <f>J346-6*K346</f>
        <v/>
      </c>
      <c r="M346" s="67">
        <f>J346+6*K346</f>
        <v/>
      </c>
      <c r="N346" s="61">
        <f>IF(G346="","",IF(AND(G346&gt;=L346,G346&lt;=M346),"OK","NG"))</f>
        <v/>
      </c>
      <c r="O346" s="69">
        <f>IF(N346="","",IF(N346=D346,1,0))</f>
        <v/>
      </c>
      <c r="P346" s="67">
        <f>IF(G346="","",J346-G346)</f>
        <v/>
      </c>
      <c r="Q346" s="67">
        <f>IF(G346="","",ABS(P346-Components!$D$2)/Components!$E$2)</f>
        <v/>
      </c>
      <c r="R346" s="67">
        <f>IF(G346="","",ABS(P346-Components!$D$3)/Components!$E$3)</f>
        <v/>
      </c>
      <c r="S346" s="67">
        <f>IF(G346="","",ABS(P346-Components!$D$4)/Components!$E$4)</f>
        <v/>
      </c>
      <c r="T346" s="67">
        <f>IF(G346="","",ABS(P346-Components!$D$5)/Components!$E$5)</f>
        <v/>
      </c>
      <c r="U346" s="67">
        <f>IF(G346="","",ABS(P346-Components!$D$6)/Components!$E$6)</f>
        <v/>
      </c>
      <c r="V346" s="67">
        <f>IF(G346="","",ABS(P346-Components!$D$7)/Components!$E$7)</f>
        <v/>
      </c>
      <c r="W346" s="61">
        <f>IF(G346="","",IF(N346="OK","NONE",INDEX({"S1","S2","W1","W2","N1","N2"},MATCH(MIN(Q346:V346),Q346:V346,0))))</f>
        <v/>
      </c>
      <c r="X346" s="71">
        <f>IF(G346="","",IF(W346=E346,1,0))</f>
        <v/>
      </c>
      <c r="Y346" s="70" t="n"/>
    </row>
    <row r="347">
      <c r="A347" s="61" t="n">
        <v>46</v>
      </c>
      <c r="B347" s="62" t="n">
        <v>44</v>
      </c>
      <c r="C347" s="61" t="inlineStr">
        <is>
          <t>R6</t>
        </is>
      </c>
      <c r="D347" s="74" t="inlineStr">
        <is>
          <t>NG</t>
        </is>
      </c>
      <c r="E347" s="61" t="inlineStr">
        <is>
          <t>W1</t>
        </is>
      </c>
      <c r="F347" s="61" t="inlineStr">
        <is>
          <t>K046</t>
        </is>
      </c>
      <c r="G347" s="75" t="n">
        <v>7.63</v>
      </c>
      <c r="H347" s="65" t="n"/>
      <c r="I347" s="66" t="n"/>
      <c r="J347" s="67">
        <f>VLOOKUP(C347,Recipes!$A$2:$N$4,10,FALSE())</f>
        <v/>
      </c>
      <c r="K347" s="68">
        <f>VLOOKUP(C347,Recipes!$A$2:$N$4,12,FALSE())</f>
        <v/>
      </c>
      <c r="L347" s="67">
        <f>J347-6*K347</f>
        <v/>
      </c>
      <c r="M347" s="67">
        <f>J347+6*K347</f>
        <v/>
      </c>
      <c r="N347" s="61">
        <f>IF(G347="","",IF(AND(G347&gt;=L347,G347&lt;=M347),"OK","NG"))</f>
        <v/>
      </c>
      <c r="O347" s="69">
        <f>IF(N347="","",IF(N347=D347,1,0))</f>
        <v/>
      </c>
      <c r="P347" s="67">
        <f>IF(G347="","",J347-G347)</f>
        <v/>
      </c>
      <c r="Q347" s="67">
        <f>IF(G347="","",ABS(P347-Components!$D$2)/Components!$E$2)</f>
        <v/>
      </c>
      <c r="R347" s="67">
        <f>IF(G347="","",ABS(P347-Components!$D$3)/Components!$E$3)</f>
        <v/>
      </c>
      <c r="S347" s="67">
        <f>IF(G347="","",ABS(P347-Components!$D$4)/Components!$E$4)</f>
        <v/>
      </c>
      <c r="T347" s="67">
        <f>IF(G347="","",ABS(P347-Components!$D$5)/Components!$E$5)</f>
        <v/>
      </c>
      <c r="U347" s="67">
        <f>IF(G347="","",ABS(P347-Components!$D$6)/Components!$E$6)</f>
        <v/>
      </c>
      <c r="V347" s="67">
        <f>IF(G347="","",ABS(P347-Components!$D$7)/Components!$E$7)</f>
        <v/>
      </c>
      <c r="W347" s="61">
        <f>IF(G347="","",IF(N347="OK","NONE",INDEX({"S1","S2","W1","W2","N1","N2"},MATCH(MIN(Q347:V347),Q347:V347,0))))</f>
        <v/>
      </c>
      <c r="X347" s="69">
        <f>IF(G347="","",IF(W347=E347,1,0))</f>
        <v/>
      </c>
      <c r="Y347" s="70" t="n"/>
    </row>
    <row r="348">
      <c r="A348" s="61" t="n">
        <v>46</v>
      </c>
      <c r="B348" s="62" t="n">
        <v>44</v>
      </c>
      <c r="C348" s="61" t="inlineStr">
        <is>
          <t>R6</t>
        </is>
      </c>
      <c r="D348" s="74" t="inlineStr">
        <is>
          <t>NG</t>
        </is>
      </c>
      <c r="E348" s="61" t="inlineStr">
        <is>
          <t>W1</t>
        </is>
      </c>
      <c r="F348" s="61" t="inlineStr">
        <is>
          <t>K046</t>
        </is>
      </c>
      <c r="G348" s="75" t="n">
        <v>7.6</v>
      </c>
      <c r="H348" s="65" t="n"/>
      <c r="I348" s="66" t="n"/>
      <c r="J348" s="67">
        <f>VLOOKUP(C348,Recipes!$A$2:$N$4,10,FALSE())</f>
        <v/>
      </c>
      <c r="K348" s="68">
        <f>VLOOKUP(C348,Recipes!$A$2:$N$4,12,FALSE())</f>
        <v/>
      </c>
      <c r="L348" s="67">
        <f>J348-6*K348</f>
        <v/>
      </c>
      <c r="M348" s="67">
        <f>J348+6*K348</f>
        <v/>
      </c>
      <c r="N348" s="61">
        <f>IF(G348="","",IF(AND(G348&gt;=L348,G348&lt;=M348),"OK","NG"))</f>
        <v/>
      </c>
      <c r="O348" s="69">
        <f>IF(N348="","",IF(N348=D348,1,0))</f>
        <v/>
      </c>
      <c r="P348" s="67">
        <f>IF(G348="","",J348-G348)</f>
        <v/>
      </c>
      <c r="Q348" s="67">
        <f>IF(G348="","",ABS(P348-Components!$D$2)/Components!$E$2)</f>
        <v/>
      </c>
      <c r="R348" s="67">
        <f>IF(G348="","",ABS(P348-Components!$D$3)/Components!$E$3)</f>
        <v/>
      </c>
      <c r="S348" s="67">
        <f>IF(G348="","",ABS(P348-Components!$D$4)/Components!$E$4)</f>
        <v/>
      </c>
      <c r="T348" s="67">
        <f>IF(G348="","",ABS(P348-Components!$D$5)/Components!$E$5)</f>
        <v/>
      </c>
      <c r="U348" s="67">
        <f>IF(G348="","",ABS(P348-Components!$D$6)/Components!$E$6)</f>
        <v/>
      </c>
      <c r="V348" s="67">
        <f>IF(G348="","",ABS(P348-Components!$D$7)/Components!$E$7)</f>
        <v/>
      </c>
      <c r="W348" s="61">
        <f>IF(G348="","",IF(N348="OK","NONE",INDEX({"S1","S2","W1","W2","N1","N2"},MATCH(MIN(Q348:V348),Q348:V348,0))))</f>
        <v/>
      </c>
      <c r="X348" s="69">
        <f>IF(G348="","",IF(W348=E348,1,0))</f>
        <v/>
      </c>
      <c r="Y348" s="70" t="n"/>
    </row>
    <row r="349">
      <c r="A349" s="61" t="n">
        <v>46</v>
      </c>
      <c r="B349" s="62" t="n">
        <v>44</v>
      </c>
      <c r="C349" s="61" t="inlineStr">
        <is>
          <t>R6</t>
        </is>
      </c>
      <c r="D349" s="74" t="inlineStr">
        <is>
          <t>NG</t>
        </is>
      </c>
      <c r="E349" s="61" t="inlineStr">
        <is>
          <t>W1</t>
        </is>
      </c>
      <c r="F349" s="61" t="inlineStr">
        <is>
          <t>K046</t>
        </is>
      </c>
      <c r="G349" s="75" t="n">
        <v>7.56</v>
      </c>
      <c r="H349" s="65" t="n"/>
      <c r="I349" s="66" t="n"/>
      <c r="J349" s="67">
        <f>VLOOKUP(C349,Recipes!$A$2:$N$4,10,FALSE())</f>
        <v/>
      </c>
      <c r="K349" s="68">
        <f>VLOOKUP(C349,Recipes!$A$2:$N$4,12,FALSE())</f>
        <v/>
      </c>
      <c r="L349" s="67">
        <f>J349-6*K349</f>
        <v/>
      </c>
      <c r="M349" s="67">
        <f>J349+6*K349</f>
        <v/>
      </c>
      <c r="N349" s="61">
        <f>IF(G349="","",IF(AND(G349&gt;=L349,G349&lt;=M349),"OK","NG"))</f>
        <v/>
      </c>
      <c r="O349" s="69">
        <f>IF(N349="","",IF(N349=D349,1,0))</f>
        <v/>
      </c>
      <c r="P349" s="67">
        <f>IF(G349="","",J349-G349)</f>
        <v/>
      </c>
      <c r="Q349" s="67">
        <f>IF(G349="","",ABS(P349-Components!$D$2)/Components!$E$2)</f>
        <v/>
      </c>
      <c r="R349" s="67">
        <f>IF(G349="","",ABS(P349-Components!$D$3)/Components!$E$3)</f>
        <v/>
      </c>
      <c r="S349" s="67">
        <f>IF(G349="","",ABS(P349-Components!$D$4)/Components!$E$4)</f>
        <v/>
      </c>
      <c r="T349" s="67">
        <f>IF(G349="","",ABS(P349-Components!$D$5)/Components!$E$5)</f>
        <v/>
      </c>
      <c r="U349" s="67">
        <f>IF(G349="","",ABS(P349-Components!$D$6)/Components!$E$6)</f>
        <v/>
      </c>
      <c r="V349" s="67">
        <f>IF(G349="","",ABS(P349-Components!$D$7)/Components!$E$7)</f>
        <v/>
      </c>
      <c r="W349" s="61">
        <f>IF(G349="","",IF(N349="OK","NONE",INDEX({"S1","S2","W1","W2","N1","N2"},MATCH(MIN(Q349:V349),Q349:V349,0))))</f>
        <v/>
      </c>
      <c r="X349" s="71">
        <f>IF(G349="","",IF(W349=E349,1,0))</f>
        <v/>
      </c>
      <c r="Y349" s="70" t="n"/>
    </row>
    <row r="350">
      <c r="A350" s="61" t="n">
        <v>46</v>
      </c>
      <c r="B350" s="62" t="n">
        <v>44</v>
      </c>
      <c r="C350" s="61" t="inlineStr">
        <is>
          <t>R6</t>
        </is>
      </c>
      <c r="D350" s="74" t="inlineStr">
        <is>
          <t>NG</t>
        </is>
      </c>
      <c r="E350" s="61" t="inlineStr">
        <is>
          <t>W1</t>
        </is>
      </c>
      <c r="F350" s="61" t="inlineStr">
        <is>
          <t>K046</t>
        </is>
      </c>
      <c r="G350" s="75" t="n">
        <v>7.63</v>
      </c>
      <c r="H350" s="65" t="n"/>
      <c r="I350" s="66" t="n"/>
      <c r="J350" s="67">
        <f>VLOOKUP(C350,Recipes!$A$2:$N$4,10,FALSE())</f>
        <v/>
      </c>
      <c r="K350" s="68">
        <f>VLOOKUP(C350,Recipes!$A$2:$N$4,12,FALSE())</f>
        <v/>
      </c>
      <c r="L350" s="67">
        <f>J350-6*K350</f>
        <v/>
      </c>
      <c r="M350" s="67">
        <f>J350+6*K350</f>
        <v/>
      </c>
      <c r="N350" s="61">
        <f>IF(G350="","",IF(AND(G350&gt;=L350,G350&lt;=M350),"OK","NG"))</f>
        <v/>
      </c>
      <c r="O350" s="69">
        <f>IF(N350="","",IF(N350=D350,1,0))</f>
        <v/>
      </c>
      <c r="P350" s="67">
        <f>IF(G350="","",J350-G350)</f>
        <v/>
      </c>
      <c r="Q350" s="67">
        <f>IF(G350="","",ABS(P350-Components!$D$2)/Components!$E$2)</f>
        <v/>
      </c>
      <c r="R350" s="67">
        <f>IF(G350="","",ABS(P350-Components!$D$3)/Components!$E$3)</f>
        <v/>
      </c>
      <c r="S350" s="67">
        <f>IF(G350="","",ABS(P350-Components!$D$4)/Components!$E$4)</f>
        <v/>
      </c>
      <c r="T350" s="67">
        <f>IF(G350="","",ABS(P350-Components!$D$5)/Components!$E$5)</f>
        <v/>
      </c>
      <c r="U350" s="67">
        <f>IF(G350="","",ABS(P350-Components!$D$6)/Components!$E$6)</f>
        <v/>
      </c>
      <c r="V350" s="67">
        <f>IF(G350="","",ABS(P350-Components!$D$7)/Components!$E$7)</f>
        <v/>
      </c>
      <c r="W350" s="61">
        <f>IF(G350="","",IF(N350="OK","NONE",INDEX({"S1","S2","W1","W2","N1","N2"},MATCH(MIN(Q350:V350),Q350:V350,0))))</f>
        <v/>
      </c>
      <c r="X350" s="69">
        <f>IF(G350="","",IF(W350=E350,1,0))</f>
        <v/>
      </c>
      <c r="Y350" s="70" t="n"/>
    </row>
    <row r="351">
      <c r="A351" s="61" t="n">
        <v>46</v>
      </c>
      <c r="B351" s="62" t="n">
        <v>44</v>
      </c>
      <c r="C351" s="61" t="inlineStr">
        <is>
          <t>R6</t>
        </is>
      </c>
      <c r="D351" s="74" t="inlineStr">
        <is>
          <t>NG</t>
        </is>
      </c>
      <c r="E351" s="61" t="inlineStr">
        <is>
          <t>W1</t>
        </is>
      </c>
      <c r="F351" s="61" t="inlineStr">
        <is>
          <t>K046</t>
        </is>
      </c>
      <c r="G351" s="75" t="n">
        <v>7.6</v>
      </c>
      <c r="H351" s="65" t="n"/>
      <c r="I351" s="66" t="n"/>
      <c r="J351" s="67">
        <f>VLOOKUP(C351,Recipes!$A$2:$N$4,10,FALSE())</f>
        <v/>
      </c>
      <c r="K351" s="68">
        <f>VLOOKUP(C351,Recipes!$A$2:$N$4,12,FALSE())</f>
        <v/>
      </c>
      <c r="L351" s="67">
        <f>J351-6*K351</f>
        <v/>
      </c>
      <c r="M351" s="67">
        <f>J351+6*K351</f>
        <v/>
      </c>
      <c r="N351" s="61">
        <f>IF(G351="","",IF(AND(G351&gt;=L351,G351&lt;=M351),"OK","NG"))</f>
        <v/>
      </c>
      <c r="O351" s="69">
        <f>IF(N351="","",IF(N351=D351,1,0))</f>
        <v/>
      </c>
      <c r="P351" s="67">
        <f>IF(G351="","",J351-G351)</f>
        <v/>
      </c>
      <c r="Q351" s="67">
        <f>IF(G351="","",ABS(P351-Components!$D$2)/Components!$E$2)</f>
        <v/>
      </c>
      <c r="R351" s="67">
        <f>IF(G351="","",ABS(P351-Components!$D$3)/Components!$E$3)</f>
        <v/>
      </c>
      <c r="S351" s="67">
        <f>IF(G351="","",ABS(P351-Components!$D$4)/Components!$E$4)</f>
        <v/>
      </c>
      <c r="T351" s="67">
        <f>IF(G351="","",ABS(P351-Components!$D$5)/Components!$E$5)</f>
        <v/>
      </c>
      <c r="U351" s="67">
        <f>IF(G351="","",ABS(P351-Components!$D$6)/Components!$E$6)</f>
        <v/>
      </c>
      <c r="V351" s="67">
        <f>IF(G351="","",ABS(P351-Components!$D$7)/Components!$E$7)</f>
        <v/>
      </c>
      <c r="W351" s="61">
        <f>IF(G351="","",IF(N351="OK","NONE",INDEX({"S1","S2","W1","W2","N1","N2"},MATCH(MIN(Q351:V351),Q351:V351,0))))</f>
        <v/>
      </c>
      <c r="X351" s="69">
        <f>IF(G351="","",IF(W351=E351,1,0))</f>
        <v/>
      </c>
      <c r="Y351" s="70" t="n"/>
    </row>
    <row r="352">
      <c r="A352" s="61" t="n">
        <v>46</v>
      </c>
      <c r="B352" s="62" t="n">
        <v>44</v>
      </c>
      <c r="C352" s="61" t="inlineStr">
        <is>
          <t>R6</t>
        </is>
      </c>
      <c r="D352" s="74" t="inlineStr">
        <is>
          <t>NG</t>
        </is>
      </c>
      <c r="E352" s="61" t="inlineStr">
        <is>
          <t>W1</t>
        </is>
      </c>
      <c r="F352" s="61" t="inlineStr">
        <is>
          <t>K046</t>
        </is>
      </c>
      <c r="G352" s="75" t="n">
        <v>7.58</v>
      </c>
      <c r="H352" s="65" t="n"/>
      <c r="I352" s="66" t="n"/>
      <c r="J352" s="67">
        <f>VLOOKUP(C352,Recipes!$A$2:$N$4,10,FALSE())</f>
        <v/>
      </c>
      <c r="K352" s="68">
        <f>VLOOKUP(C352,Recipes!$A$2:$N$4,12,FALSE())</f>
        <v/>
      </c>
      <c r="L352" s="67">
        <f>J352-6*K352</f>
        <v/>
      </c>
      <c r="M352" s="67">
        <f>J352+6*K352</f>
        <v/>
      </c>
      <c r="N352" s="61">
        <f>IF(G352="","",IF(AND(G352&gt;=L352,G352&lt;=M352),"OK","NG"))</f>
        <v/>
      </c>
      <c r="O352" s="69">
        <f>IF(N352="","",IF(N352=D352,1,0))</f>
        <v/>
      </c>
      <c r="P352" s="67">
        <f>IF(G352="","",J352-G352)</f>
        <v/>
      </c>
      <c r="Q352" s="67">
        <f>IF(G352="","",ABS(P352-Components!$D$2)/Components!$E$2)</f>
        <v/>
      </c>
      <c r="R352" s="67">
        <f>IF(G352="","",ABS(P352-Components!$D$3)/Components!$E$3)</f>
        <v/>
      </c>
      <c r="S352" s="67">
        <f>IF(G352="","",ABS(P352-Components!$D$4)/Components!$E$4)</f>
        <v/>
      </c>
      <c r="T352" s="67">
        <f>IF(G352="","",ABS(P352-Components!$D$5)/Components!$E$5)</f>
        <v/>
      </c>
      <c r="U352" s="67">
        <f>IF(G352="","",ABS(P352-Components!$D$6)/Components!$E$6)</f>
        <v/>
      </c>
      <c r="V352" s="67">
        <f>IF(G352="","",ABS(P352-Components!$D$7)/Components!$E$7)</f>
        <v/>
      </c>
      <c r="W352" s="61">
        <f>IF(G352="","",IF(N352="OK","NONE",INDEX({"S1","S2","W1","W2","N1","N2"},MATCH(MIN(Q352:V352),Q352:V352,0))))</f>
        <v/>
      </c>
      <c r="X352" s="71">
        <f>IF(G352="","",IF(W352=E352,1,0))</f>
        <v/>
      </c>
      <c r="Y352" s="70" t="n"/>
    </row>
    <row r="353">
      <c r="A353" s="61" t="n">
        <v>46</v>
      </c>
      <c r="B353" s="62" t="n">
        <v>44</v>
      </c>
      <c r="C353" s="61" t="inlineStr">
        <is>
          <t>R6</t>
        </is>
      </c>
      <c r="D353" s="74" t="inlineStr">
        <is>
          <t>NG</t>
        </is>
      </c>
      <c r="E353" s="61" t="inlineStr">
        <is>
          <t>W1</t>
        </is>
      </c>
      <c r="F353" s="61" t="inlineStr">
        <is>
          <t>K046</t>
        </is>
      </c>
      <c r="G353" s="75" t="n">
        <v>7.61</v>
      </c>
      <c r="H353" s="65" t="n"/>
      <c r="I353" s="66" t="n"/>
      <c r="J353" s="67">
        <f>VLOOKUP(C353,Recipes!$A$2:$N$4,10,FALSE())</f>
        <v/>
      </c>
      <c r="K353" s="68">
        <f>VLOOKUP(C353,Recipes!$A$2:$N$4,12,FALSE())</f>
        <v/>
      </c>
      <c r="L353" s="67">
        <f>J353-6*K353</f>
        <v/>
      </c>
      <c r="M353" s="67">
        <f>J353+6*K353</f>
        <v/>
      </c>
      <c r="N353" s="61">
        <f>IF(G353="","",IF(AND(G353&gt;=L353,G353&lt;=M353),"OK","NG"))</f>
        <v/>
      </c>
      <c r="O353" s="69">
        <f>IF(N353="","",IF(N353=D353,1,0))</f>
        <v/>
      </c>
      <c r="P353" s="67">
        <f>IF(G353="","",J353-G353)</f>
        <v/>
      </c>
      <c r="Q353" s="67">
        <f>IF(G353="","",ABS(P353-Components!$D$2)/Components!$E$2)</f>
        <v/>
      </c>
      <c r="R353" s="67">
        <f>IF(G353="","",ABS(P353-Components!$D$3)/Components!$E$3)</f>
        <v/>
      </c>
      <c r="S353" s="67">
        <f>IF(G353="","",ABS(P353-Components!$D$4)/Components!$E$4)</f>
        <v/>
      </c>
      <c r="T353" s="67">
        <f>IF(G353="","",ABS(P353-Components!$D$5)/Components!$E$5)</f>
        <v/>
      </c>
      <c r="U353" s="67">
        <f>IF(G353="","",ABS(P353-Components!$D$6)/Components!$E$6)</f>
        <v/>
      </c>
      <c r="V353" s="67">
        <f>IF(G353="","",ABS(P353-Components!$D$7)/Components!$E$7)</f>
        <v/>
      </c>
      <c r="W353" s="61">
        <f>IF(G353="","",IF(N353="OK","NONE",INDEX({"S1","S2","W1","W2","N1","N2"},MATCH(MIN(Q353:V353),Q353:V353,0))))</f>
        <v/>
      </c>
      <c r="X353" s="69">
        <f>IF(G353="","",IF(W353=E353,1,0))</f>
        <v/>
      </c>
      <c r="Y353" s="70" t="n"/>
    </row>
    <row r="354">
      <c r="A354" s="61" t="n">
        <v>46</v>
      </c>
      <c r="B354" s="62" t="n">
        <v>44</v>
      </c>
      <c r="C354" s="61" t="inlineStr">
        <is>
          <t>R6</t>
        </is>
      </c>
      <c r="D354" s="74" t="inlineStr">
        <is>
          <t>NG</t>
        </is>
      </c>
      <c r="E354" s="61" t="inlineStr">
        <is>
          <t>W1</t>
        </is>
      </c>
      <c r="F354" s="61" t="inlineStr">
        <is>
          <t>K046</t>
        </is>
      </c>
      <c r="G354" s="75" t="n">
        <v>7.67</v>
      </c>
      <c r="H354" s="65" t="n"/>
      <c r="I354" s="66" t="n"/>
      <c r="J354" s="67">
        <f>VLOOKUP(C354,Recipes!$A$2:$N$4,10,FALSE())</f>
        <v/>
      </c>
      <c r="K354" s="68">
        <f>VLOOKUP(C354,Recipes!$A$2:$N$4,12,FALSE())</f>
        <v/>
      </c>
      <c r="L354" s="67">
        <f>J354-6*K354</f>
        <v/>
      </c>
      <c r="M354" s="67">
        <f>J354+6*K354</f>
        <v/>
      </c>
      <c r="N354" s="61">
        <f>IF(G354="","",IF(AND(G354&gt;=L354,G354&lt;=M354),"OK","NG"))</f>
        <v/>
      </c>
      <c r="O354" s="69">
        <f>IF(N354="","",IF(N354=D354,1,0))</f>
        <v/>
      </c>
      <c r="P354" s="67">
        <f>IF(G354="","",J354-G354)</f>
        <v/>
      </c>
      <c r="Q354" s="67">
        <f>IF(G354="","",ABS(P354-Components!$D$2)/Components!$E$2)</f>
        <v/>
      </c>
      <c r="R354" s="67">
        <f>IF(G354="","",ABS(P354-Components!$D$3)/Components!$E$3)</f>
        <v/>
      </c>
      <c r="S354" s="67">
        <f>IF(G354="","",ABS(P354-Components!$D$4)/Components!$E$4)</f>
        <v/>
      </c>
      <c r="T354" s="67">
        <f>IF(G354="","",ABS(P354-Components!$D$5)/Components!$E$5)</f>
        <v/>
      </c>
      <c r="U354" s="67">
        <f>IF(G354="","",ABS(P354-Components!$D$6)/Components!$E$6)</f>
        <v/>
      </c>
      <c r="V354" s="67">
        <f>IF(G354="","",ABS(P354-Components!$D$7)/Components!$E$7)</f>
        <v/>
      </c>
      <c r="W354" s="61">
        <f>IF(G354="","",IF(N354="OK","NONE",INDEX({"S1","S2","W1","W2","N1","N2"},MATCH(MIN(Q354:V354),Q354:V354,0))))</f>
        <v/>
      </c>
      <c r="X354" s="69">
        <f>IF(G354="","",IF(W354=E354,1,0))</f>
        <v/>
      </c>
      <c r="Y354" s="70" t="n"/>
    </row>
    <row r="355">
      <c r="A355" s="61" t="n">
        <v>46</v>
      </c>
      <c r="B355" s="62" t="n">
        <v>44</v>
      </c>
      <c r="C355" s="61" t="inlineStr">
        <is>
          <t>R6</t>
        </is>
      </c>
      <c r="D355" s="74" t="inlineStr">
        <is>
          <t>NG</t>
        </is>
      </c>
      <c r="E355" s="61" t="inlineStr">
        <is>
          <t>W1</t>
        </is>
      </c>
      <c r="F355" s="61" t="inlineStr">
        <is>
          <t>K046</t>
        </is>
      </c>
      <c r="G355" s="75" t="n">
        <v>7.42</v>
      </c>
      <c r="H355" s="65" t="n"/>
      <c r="I355" s="66" t="n"/>
      <c r="J355" s="67">
        <f>VLOOKUP(C355,Recipes!$A$2:$N$4,10,FALSE())</f>
        <v/>
      </c>
      <c r="K355" s="68">
        <f>VLOOKUP(C355,Recipes!$A$2:$N$4,12,FALSE())</f>
        <v/>
      </c>
      <c r="L355" s="67">
        <f>J355-6*K355</f>
        <v/>
      </c>
      <c r="M355" s="67">
        <f>J355+6*K355</f>
        <v/>
      </c>
      <c r="N355" s="61">
        <f>IF(G355="","",IF(AND(G355&gt;=L355,G355&lt;=M355),"OK","NG"))</f>
        <v/>
      </c>
      <c r="O355" s="69">
        <f>IF(N355="","",IF(N355=D355,1,0))</f>
        <v/>
      </c>
      <c r="P355" s="67">
        <f>IF(G355="","",J355-G355)</f>
        <v/>
      </c>
      <c r="Q355" s="67">
        <f>IF(G355="","",ABS(P355-Components!$D$2)/Components!$E$2)</f>
        <v/>
      </c>
      <c r="R355" s="67">
        <f>IF(G355="","",ABS(P355-Components!$D$3)/Components!$E$3)</f>
        <v/>
      </c>
      <c r="S355" s="67">
        <f>IF(G355="","",ABS(P355-Components!$D$4)/Components!$E$4)</f>
        <v/>
      </c>
      <c r="T355" s="67">
        <f>IF(G355="","",ABS(P355-Components!$D$5)/Components!$E$5)</f>
        <v/>
      </c>
      <c r="U355" s="67">
        <f>IF(G355="","",ABS(P355-Components!$D$6)/Components!$E$6)</f>
        <v/>
      </c>
      <c r="V355" s="67">
        <f>IF(G355="","",ABS(P355-Components!$D$7)/Components!$E$7)</f>
        <v/>
      </c>
      <c r="W355" s="61">
        <f>IF(G355="","",IF(N355="OK","NONE",INDEX({"S1","S2","W1","W2","N1","N2"},MATCH(MIN(Q355:V355),Q355:V355,0))))</f>
        <v/>
      </c>
      <c r="X355" s="71">
        <f>IF(G355="","",IF(W355=E355,1,0))</f>
        <v/>
      </c>
      <c r="Y355" s="70" t="n"/>
    </row>
    <row r="356">
      <c r="A356" s="61" t="n">
        <v>46</v>
      </c>
      <c r="B356" s="62" t="n">
        <v>44</v>
      </c>
      <c r="C356" s="61" t="inlineStr">
        <is>
          <t>R6</t>
        </is>
      </c>
      <c r="D356" s="74" t="inlineStr">
        <is>
          <t>NG</t>
        </is>
      </c>
      <c r="E356" s="61" t="inlineStr">
        <is>
          <t>W1</t>
        </is>
      </c>
      <c r="F356" s="61" t="inlineStr">
        <is>
          <t>K046</t>
        </is>
      </c>
      <c r="G356" s="75" t="n">
        <v>7.69</v>
      </c>
      <c r="H356" s="65" t="n"/>
      <c r="I356" s="66" t="n"/>
      <c r="J356" s="67">
        <f>VLOOKUP(C356,Recipes!$A$2:$N$4,10,FALSE())</f>
        <v/>
      </c>
      <c r="K356" s="68">
        <f>VLOOKUP(C356,Recipes!$A$2:$N$4,12,FALSE())</f>
        <v/>
      </c>
      <c r="L356" s="67">
        <f>J356-6*K356</f>
        <v/>
      </c>
      <c r="M356" s="67">
        <f>J356+6*K356</f>
        <v/>
      </c>
      <c r="N356" s="61">
        <f>IF(G356="","",IF(AND(G356&gt;=L356,G356&lt;=M356),"OK","NG"))</f>
        <v/>
      </c>
      <c r="O356" s="69">
        <f>IF(N356="","",IF(N356=D356,1,0))</f>
        <v/>
      </c>
      <c r="P356" s="67">
        <f>IF(G356="","",J356-G356)</f>
        <v/>
      </c>
      <c r="Q356" s="67">
        <f>IF(G356="","",ABS(P356-Components!$D$2)/Components!$E$2)</f>
        <v/>
      </c>
      <c r="R356" s="67">
        <f>IF(G356="","",ABS(P356-Components!$D$3)/Components!$E$3)</f>
        <v/>
      </c>
      <c r="S356" s="67">
        <f>IF(G356="","",ABS(P356-Components!$D$4)/Components!$E$4)</f>
        <v/>
      </c>
      <c r="T356" s="67">
        <f>IF(G356="","",ABS(P356-Components!$D$5)/Components!$E$5)</f>
        <v/>
      </c>
      <c r="U356" s="67">
        <f>IF(G356="","",ABS(P356-Components!$D$6)/Components!$E$6)</f>
        <v/>
      </c>
      <c r="V356" s="67">
        <f>IF(G356="","",ABS(P356-Components!$D$7)/Components!$E$7)</f>
        <v/>
      </c>
      <c r="W356" s="61">
        <f>IF(G356="","",IF(N356="OK","NONE",INDEX({"S1","S2","W1","W2","N1","N2"},MATCH(MIN(Q356:V356),Q356:V356,0))))</f>
        <v/>
      </c>
      <c r="X356" s="69">
        <f>IF(G356="","",IF(W356=E356,1,0))</f>
        <v/>
      </c>
      <c r="Y356" s="70" t="n"/>
    </row>
    <row r="357">
      <c r="A357" s="61" t="n">
        <v>46</v>
      </c>
      <c r="B357" s="62" t="n">
        <v>44</v>
      </c>
      <c r="C357" s="61" t="inlineStr">
        <is>
          <t>R6</t>
        </is>
      </c>
      <c r="D357" s="74" t="inlineStr">
        <is>
          <t>NG</t>
        </is>
      </c>
      <c r="E357" s="61" t="inlineStr">
        <is>
          <t>W1</t>
        </is>
      </c>
      <c r="F357" s="61" t="inlineStr">
        <is>
          <t>K046</t>
        </is>
      </c>
      <c r="G357" s="75" t="n">
        <v>7.63</v>
      </c>
      <c r="H357" s="65" t="n"/>
      <c r="I357" s="66" t="n"/>
      <c r="J357" s="67">
        <f>VLOOKUP(C357,Recipes!$A$2:$N$4,10,FALSE())</f>
        <v/>
      </c>
      <c r="K357" s="68">
        <f>VLOOKUP(C357,Recipes!$A$2:$N$4,12,FALSE())</f>
        <v/>
      </c>
      <c r="L357" s="67">
        <f>J357-6*K357</f>
        <v/>
      </c>
      <c r="M357" s="67">
        <f>J357+6*K357</f>
        <v/>
      </c>
      <c r="N357" s="61">
        <f>IF(G357="","",IF(AND(G357&gt;=L357,G357&lt;=M357),"OK","NG"))</f>
        <v/>
      </c>
      <c r="O357" s="69">
        <f>IF(N357="","",IF(N357=D357,1,0))</f>
        <v/>
      </c>
      <c r="P357" s="67">
        <f>IF(G357="","",J357-G357)</f>
        <v/>
      </c>
      <c r="Q357" s="67">
        <f>IF(G357="","",ABS(P357-Components!$D$2)/Components!$E$2)</f>
        <v/>
      </c>
      <c r="R357" s="67">
        <f>IF(G357="","",ABS(P357-Components!$D$3)/Components!$E$3)</f>
        <v/>
      </c>
      <c r="S357" s="67">
        <f>IF(G357="","",ABS(P357-Components!$D$4)/Components!$E$4)</f>
        <v/>
      </c>
      <c r="T357" s="67">
        <f>IF(G357="","",ABS(P357-Components!$D$5)/Components!$E$5)</f>
        <v/>
      </c>
      <c r="U357" s="67">
        <f>IF(G357="","",ABS(P357-Components!$D$6)/Components!$E$6)</f>
        <v/>
      </c>
      <c r="V357" s="67">
        <f>IF(G357="","",ABS(P357-Components!$D$7)/Components!$E$7)</f>
        <v/>
      </c>
      <c r="W357" s="61">
        <f>IF(G357="","",IF(N357="OK","NONE",INDEX({"S1","S2","W1","W2","N1","N2"},MATCH(MIN(Q357:V357),Q357:V357,0))))</f>
        <v/>
      </c>
      <c r="X357" s="69">
        <f>IF(G357="","",IF(W357=E357,1,0))</f>
        <v/>
      </c>
      <c r="Y357" s="70" t="n"/>
    </row>
    <row r="358">
      <c r="A358" s="61" t="n">
        <v>46</v>
      </c>
      <c r="B358" s="62" t="n">
        <v>44</v>
      </c>
      <c r="C358" s="61" t="inlineStr">
        <is>
          <t>R6</t>
        </is>
      </c>
      <c r="D358" s="74" t="inlineStr">
        <is>
          <t>NG</t>
        </is>
      </c>
      <c r="E358" s="61" t="inlineStr">
        <is>
          <t>W1</t>
        </is>
      </c>
      <c r="F358" s="61" t="inlineStr">
        <is>
          <t>K046</t>
        </is>
      </c>
      <c r="G358" s="64" t="n">
        <v>7.38</v>
      </c>
      <c r="H358" s="65" t="n"/>
      <c r="I358" s="66" t="n"/>
      <c r="J358" s="67">
        <f>VLOOKUP(C358,Recipes!$A$2:$N$4,10,FALSE())</f>
        <v/>
      </c>
      <c r="K358" s="68">
        <f>VLOOKUP(C358,Recipes!$A$2:$N$4,12,FALSE())</f>
        <v/>
      </c>
      <c r="L358" s="67">
        <f>J358-6*K358</f>
        <v/>
      </c>
      <c r="M358" s="67">
        <f>J358+6*K358</f>
        <v/>
      </c>
      <c r="N358" s="61">
        <f>IF(G358="","",IF(AND(G358&gt;=L358,G358&lt;=M358),"OK","NG"))</f>
        <v/>
      </c>
      <c r="O358" s="69">
        <f>IF(N358="","",IF(N358=D358,1,0))</f>
        <v/>
      </c>
      <c r="P358" s="67">
        <f>IF(G358="","",J358-G358)</f>
        <v/>
      </c>
      <c r="Q358" s="67">
        <f>IF(G358="","",ABS(P358-Components!$D$2)/Components!$E$2)</f>
        <v/>
      </c>
      <c r="R358" s="67">
        <f>IF(G358="","",ABS(P358-Components!$D$3)/Components!$E$3)</f>
        <v/>
      </c>
      <c r="S358" s="67">
        <f>IF(G358="","",ABS(P358-Components!$D$4)/Components!$E$4)</f>
        <v/>
      </c>
      <c r="T358" s="67">
        <f>IF(G358="","",ABS(P358-Components!$D$5)/Components!$E$5)</f>
        <v/>
      </c>
      <c r="U358" s="67">
        <f>IF(G358="","",ABS(P358-Components!$D$6)/Components!$E$6)</f>
        <v/>
      </c>
      <c r="V358" s="67">
        <f>IF(G358="","",ABS(P358-Components!$D$7)/Components!$E$7)</f>
        <v/>
      </c>
      <c r="W358" s="61">
        <f>IF(G358="","",IF(N358="OK","NONE",INDEX({"S1","S2","W1","W2","N1","N2"},MATCH(MIN(Q358:V358),Q358:V358,0))))</f>
        <v/>
      </c>
      <c r="X358" s="71">
        <f>IF(G358="","",IF(W358=E358,1,0))</f>
        <v/>
      </c>
      <c r="Y358" s="70" t="n"/>
    </row>
    <row r="359">
      <c r="A359" s="61" t="n">
        <v>47</v>
      </c>
      <c r="B359" s="62" t="n">
        <v>7</v>
      </c>
      <c r="C359" s="61" t="inlineStr">
        <is>
          <t>R6</t>
        </is>
      </c>
      <c r="D359" s="74" t="inlineStr">
        <is>
          <t>NG</t>
        </is>
      </c>
      <c r="E359" s="61" t="inlineStr">
        <is>
          <t>W1</t>
        </is>
      </c>
      <c r="F359" s="61" t="inlineStr">
        <is>
          <t>K047</t>
        </is>
      </c>
      <c r="G359" s="64" t="n">
        <v>7.54</v>
      </c>
      <c r="H359" s="65" t="n"/>
      <c r="I359" s="66" t="n"/>
      <c r="J359" s="67">
        <f>VLOOKUP(C359,Recipes!$A$2:$N$4,10,FALSE())</f>
        <v/>
      </c>
      <c r="K359" s="68">
        <f>VLOOKUP(C359,Recipes!$A$2:$N$4,12,FALSE())</f>
        <v/>
      </c>
      <c r="L359" s="67">
        <f>J359-6*K359</f>
        <v/>
      </c>
      <c r="M359" s="67">
        <f>J359+6*K359</f>
        <v/>
      </c>
      <c r="N359" s="61">
        <f>IF(G359="","",IF(AND(G359&gt;=L359,G359&lt;=M359),"OK","NG"))</f>
        <v/>
      </c>
      <c r="O359" s="69">
        <f>IF(N359="","",IF(N359=D359,1,0))</f>
        <v/>
      </c>
      <c r="P359" s="67">
        <f>IF(G359="","",J359-G359)</f>
        <v/>
      </c>
      <c r="Q359" s="67">
        <f>IF(G359="","",ABS(P359-Components!$D$2)/Components!$E$2)</f>
        <v/>
      </c>
      <c r="R359" s="67">
        <f>IF(G359="","",ABS(P359-Components!$D$3)/Components!$E$3)</f>
        <v/>
      </c>
      <c r="S359" s="67">
        <f>IF(G359="","",ABS(P359-Components!$D$4)/Components!$E$4)</f>
        <v/>
      </c>
      <c r="T359" s="67">
        <f>IF(G359="","",ABS(P359-Components!$D$5)/Components!$E$5)</f>
        <v/>
      </c>
      <c r="U359" s="67">
        <f>IF(G359="","",ABS(P359-Components!$D$6)/Components!$E$6)</f>
        <v/>
      </c>
      <c r="V359" s="67">
        <f>IF(G359="","",ABS(P359-Components!$D$7)/Components!$E$7)</f>
        <v/>
      </c>
      <c r="W359" s="61">
        <f>IF(G359="","",IF(N359="OK","NONE",INDEX({"S1","S2","W1","W2","N1","N2"},MATCH(MIN(Q359:V359),Q359:V359,0))))</f>
        <v/>
      </c>
      <c r="X359" s="71">
        <f>IF(G359="","",IF(W359=E359,1,0))</f>
        <v/>
      </c>
      <c r="Y359" s="70" t="n"/>
    </row>
    <row r="360">
      <c r="A360" s="61" t="n">
        <v>48</v>
      </c>
      <c r="B360" s="62" t="n">
        <v>9</v>
      </c>
      <c r="C360" s="61" t="inlineStr">
        <is>
          <t>R6</t>
        </is>
      </c>
      <c r="D360" s="74" t="inlineStr">
        <is>
          <t>NG</t>
        </is>
      </c>
      <c r="E360" s="61" t="inlineStr">
        <is>
          <t>W1</t>
        </is>
      </c>
      <c r="F360" s="61" t="inlineStr">
        <is>
          <t>K048</t>
        </is>
      </c>
      <c r="G360" s="64" t="n">
        <v>7.65</v>
      </c>
      <c r="H360" s="65" t="n"/>
      <c r="I360" s="66" t="n"/>
      <c r="J360" s="67">
        <f>VLOOKUP(C360,Recipes!$A$2:$N$4,10,FALSE())</f>
        <v/>
      </c>
      <c r="K360" s="68">
        <f>VLOOKUP(C360,Recipes!$A$2:$N$4,12,FALSE())</f>
        <v/>
      </c>
      <c r="L360" s="67">
        <f>J360-6*K360</f>
        <v/>
      </c>
      <c r="M360" s="67">
        <f>J360+6*K360</f>
        <v/>
      </c>
      <c r="N360" s="61">
        <f>IF(G360="","",IF(AND(G360&gt;=L360,G360&lt;=M360),"OK","NG"))</f>
        <v/>
      </c>
      <c r="O360" s="69">
        <f>IF(N360="","",IF(N360=D360,1,0))</f>
        <v/>
      </c>
      <c r="P360" s="67">
        <f>IF(G360="","",J360-G360)</f>
        <v/>
      </c>
      <c r="Q360" s="67">
        <f>IF(G360="","",ABS(P360-Components!$D$2)/Components!$E$2)</f>
        <v/>
      </c>
      <c r="R360" s="67">
        <f>IF(G360="","",ABS(P360-Components!$D$3)/Components!$E$3)</f>
        <v/>
      </c>
      <c r="S360" s="67">
        <f>IF(G360="","",ABS(P360-Components!$D$4)/Components!$E$4)</f>
        <v/>
      </c>
      <c r="T360" s="67">
        <f>IF(G360="","",ABS(P360-Components!$D$5)/Components!$E$5)</f>
        <v/>
      </c>
      <c r="U360" s="67">
        <f>IF(G360="","",ABS(P360-Components!$D$6)/Components!$E$6)</f>
        <v/>
      </c>
      <c r="V360" s="67">
        <f>IF(G360="","",ABS(P360-Components!$D$7)/Components!$E$7)</f>
        <v/>
      </c>
      <c r="W360" s="61">
        <f>IF(G360="","",IF(N360="OK","NONE",INDEX({"S1","S2","W1","W2","N1","N2"},MATCH(MIN(Q360:V360),Q360:V360,0))))</f>
        <v/>
      </c>
      <c r="X360" s="69">
        <f>IF(G360="","",IF(W360=E360,1,0))</f>
        <v/>
      </c>
      <c r="Y360" s="70" t="n"/>
    </row>
    <row r="361">
      <c r="A361" s="61" t="n">
        <v>49</v>
      </c>
      <c r="B361" s="62" t="n">
        <v>8</v>
      </c>
      <c r="C361" s="61" t="inlineStr">
        <is>
          <t>R6</t>
        </is>
      </c>
      <c r="D361" s="74" t="inlineStr">
        <is>
          <t>NG</t>
        </is>
      </c>
      <c r="E361" s="61" t="inlineStr">
        <is>
          <t>W1</t>
        </is>
      </c>
      <c r="F361" s="61" t="inlineStr">
        <is>
          <t>K054</t>
        </is>
      </c>
      <c r="G361" s="64" t="n">
        <v>7.34</v>
      </c>
      <c r="H361" s="65" t="n"/>
      <c r="I361" s="66" t="n"/>
      <c r="J361" s="67">
        <f>VLOOKUP(C361,Recipes!$A$2:$N$4,10,FALSE())</f>
        <v/>
      </c>
      <c r="K361" s="68">
        <f>VLOOKUP(C361,Recipes!$A$2:$N$4,12,FALSE())</f>
        <v/>
      </c>
      <c r="L361" s="67">
        <f>J361-6*K361</f>
        <v/>
      </c>
      <c r="M361" s="67">
        <f>J361+6*K361</f>
        <v/>
      </c>
      <c r="N361" s="61">
        <f>IF(G361="","",IF(AND(G361&gt;=L361,G361&lt;=M361),"OK","NG"))</f>
        <v/>
      </c>
      <c r="O361" s="69">
        <f>IF(N361="","",IF(N361=D361,1,0))</f>
        <v/>
      </c>
      <c r="P361" s="67">
        <f>IF(G361="","",J361-G361)</f>
        <v/>
      </c>
      <c r="Q361" s="67">
        <f>IF(G361="","",ABS(P361-Components!$D$2)/Components!$E$2)</f>
        <v/>
      </c>
      <c r="R361" s="67">
        <f>IF(G361="","",ABS(P361-Components!$D$3)/Components!$E$3)</f>
        <v/>
      </c>
      <c r="S361" s="67">
        <f>IF(G361="","",ABS(P361-Components!$D$4)/Components!$E$4)</f>
        <v/>
      </c>
      <c r="T361" s="67">
        <f>IF(G361="","",ABS(P361-Components!$D$5)/Components!$E$5)</f>
        <v/>
      </c>
      <c r="U361" s="67">
        <f>IF(G361="","",ABS(P361-Components!$D$6)/Components!$E$6)</f>
        <v/>
      </c>
      <c r="V361" s="67">
        <f>IF(G361="","",ABS(P361-Components!$D$7)/Components!$E$7)</f>
        <v/>
      </c>
      <c r="W361" s="61">
        <f>IF(G361="","",IF(N361="OK","NONE",INDEX({"S1","S2","W1","W2","N1","N2"},MATCH(MIN(Q361:V361),Q361:V361,0))))</f>
        <v/>
      </c>
      <c r="X361" s="71">
        <f>IF(G361="","",IF(W361=E361,1,0))</f>
        <v/>
      </c>
      <c r="Y361" s="70" t="n"/>
    </row>
    <row r="362">
      <c r="A362" s="61" t="n">
        <v>50</v>
      </c>
      <c r="B362" s="62" t="n">
        <v>41</v>
      </c>
      <c r="C362" s="61" t="inlineStr">
        <is>
          <t>R6</t>
        </is>
      </c>
      <c r="D362" s="74" t="inlineStr">
        <is>
          <t>NG</t>
        </is>
      </c>
      <c r="E362" s="61" t="inlineStr">
        <is>
          <t>W1</t>
        </is>
      </c>
      <c r="F362" s="61" t="inlineStr">
        <is>
          <t>K055</t>
        </is>
      </c>
      <c r="G362" s="64" t="n">
        <v>7.68</v>
      </c>
      <c r="H362" s="65" t="n"/>
      <c r="I362" s="66" t="n"/>
      <c r="J362" s="67">
        <f>VLOOKUP(C362,Recipes!$A$2:$N$4,10,FALSE())</f>
        <v/>
      </c>
      <c r="K362" s="68">
        <f>VLOOKUP(C362,Recipes!$A$2:$N$4,12,FALSE())</f>
        <v/>
      </c>
      <c r="L362" s="67">
        <f>J362-6*K362</f>
        <v/>
      </c>
      <c r="M362" s="67">
        <f>J362+6*K362</f>
        <v/>
      </c>
      <c r="N362" s="61">
        <f>IF(G362="","",IF(AND(G362&gt;=L362,G362&lt;=M362),"OK","NG"))</f>
        <v/>
      </c>
      <c r="O362" s="69">
        <f>IF(N362="","",IF(N362=D362,1,0))</f>
        <v/>
      </c>
      <c r="P362" s="67">
        <f>IF(G362="","",J362-G362)</f>
        <v/>
      </c>
      <c r="Q362" s="67">
        <f>IF(G362="","",ABS(P362-Components!$D$2)/Components!$E$2)</f>
        <v/>
      </c>
      <c r="R362" s="67">
        <f>IF(G362="","",ABS(P362-Components!$D$3)/Components!$E$3)</f>
        <v/>
      </c>
      <c r="S362" s="67">
        <f>IF(G362="","",ABS(P362-Components!$D$4)/Components!$E$4)</f>
        <v/>
      </c>
      <c r="T362" s="67">
        <f>IF(G362="","",ABS(P362-Components!$D$5)/Components!$E$5)</f>
        <v/>
      </c>
      <c r="U362" s="67">
        <f>IF(G362="","",ABS(P362-Components!$D$6)/Components!$E$6)</f>
        <v/>
      </c>
      <c r="V362" s="67">
        <f>IF(G362="","",ABS(P362-Components!$D$7)/Components!$E$7)</f>
        <v/>
      </c>
      <c r="W362" s="61">
        <f>IF(G362="","",IF(N362="OK","NONE",INDEX({"S1","S2","W1","W2","N1","N2"},MATCH(MIN(Q362:V362),Q362:V362,0))))</f>
        <v/>
      </c>
      <c r="X362" s="69">
        <f>IF(G362="","",IF(W362=E362,1,0))</f>
        <v/>
      </c>
      <c r="Y362" s="70" t="n"/>
    </row>
    <row r="363">
      <c r="A363" s="61" t="n">
        <v>51</v>
      </c>
      <c r="B363" s="62" t="n">
        <v>15</v>
      </c>
      <c r="C363" s="61" t="inlineStr">
        <is>
          <t>R6</t>
        </is>
      </c>
      <c r="D363" s="74" t="inlineStr">
        <is>
          <t>NG</t>
        </is>
      </c>
      <c r="E363" s="61" t="inlineStr">
        <is>
          <t>N2</t>
        </is>
      </c>
      <c r="F363" s="61" t="inlineStr">
        <is>
          <t>K049</t>
        </is>
      </c>
      <c r="G363" s="75" t="n">
        <v>7.21</v>
      </c>
      <c r="H363" s="65" t="n"/>
      <c r="I363" s="66" t="n"/>
      <c r="J363" s="67">
        <f>VLOOKUP(C363,Recipes!$A$2:$N$4,10,FALSE())</f>
        <v/>
      </c>
      <c r="K363" s="68">
        <f>VLOOKUP(C363,Recipes!$A$2:$N$4,12,FALSE())</f>
        <v/>
      </c>
      <c r="L363" s="67">
        <f>J363-6*K363</f>
        <v/>
      </c>
      <c r="M363" s="67">
        <f>J363+6*K363</f>
        <v/>
      </c>
      <c r="N363" s="61">
        <f>IF(G363="","",IF(AND(G363&gt;=L363,G363&lt;=M363),"OK","NG"))</f>
        <v/>
      </c>
      <c r="O363" s="69">
        <f>IF(N363="","",IF(N363=D363,1,0))</f>
        <v/>
      </c>
      <c r="P363" s="67">
        <f>IF(G363="","",J363-G363)</f>
        <v/>
      </c>
      <c r="Q363" s="67">
        <f>IF(G363="","",ABS(P363-Components!$D$2)/Components!$E$2)</f>
        <v/>
      </c>
      <c r="R363" s="67">
        <f>IF(G363="","",ABS(P363-Components!$D$3)/Components!$E$3)</f>
        <v/>
      </c>
      <c r="S363" s="67">
        <f>IF(G363="","",ABS(P363-Components!$D$4)/Components!$E$4)</f>
        <v/>
      </c>
      <c r="T363" s="67">
        <f>IF(G363="","",ABS(P363-Components!$D$5)/Components!$E$5)</f>
        <v/>
      </c>
      <c r="U363" s="67">
        <f>IF(G363="","",ABS(P363-Components!$D$6)/Components!$E$6)</f>
        <v/>
      </c>
      <c r="V363" s="67">
        <f>IF(G363="","",ABS(P363-Components!$D$7)/Components!$E$7)</f>
        <v/>
      </c>
      <c r="W363" s="61">
        <f>IF(G363="","",IF(N363="OK","NONE",INDEX({"S1","S2","W1","W2","N1","N2"},MATCH(MIN(Q363:V363),Q363:V363,0))))</f>
        <v/>
      </c>
      <c r="X363" s="69">
        <f>IF(G363="","",IF(W363=E363,1,0))</f>
        <v/>
      </c>
      <c r="Y363" s="70" t="n"/>
    </row>
    <row r="364">
      <c r="A364" s="61" t="n">
        <v>51</v>
      </c>
      <c r="B364" s="62" t="n">
        <v>15</v>
      </c>
      <c r="C364" s="61" t="inlineStr">
        <is>
          <t>R6</t>
        </is>
      </c>
      <c r="D364" s="74" t="inlineStr">
        <is>
          <t>NG</t>
        </is>
      </c>
      <c r="E364" s="61" t="inlineStr">
        <is>
          <t>N2</t>
        </is>
      </c>
      <c r="F364" s="61" t="inlineStr">
        <is>
          <t>K049</t>
        </is>
      </c>
      <c r="G364" s="75" t="n">
        <v>7.27</v>
      </c>
      <c r="H364" s="65" t="n"/>
      <c r="I364" s="66" t="n"/>
      <c r="J364" s="67">
        <f>VLOOKUP(C364,Recipes!$A$2:$N$4,10,FALSE())</f>
        <v/>
      </c>
      <c r="K364" s="68">
        <f>VLOOKUP(C364,Recipes!$A$2:$N$4,12,FALSE())</f>
        <v/>
      </c>
      <c r="L364" s="67">
        <f>J364-6*K364</f>
        <v/>
      </c>
      <c r="M364" s="67">
        <f>J364+6*K364</f>
        <v/>
      </c>
      <c r="N364" s="61">
        <f>IF(G364="","",IF(AND(G364&gt;=L364,G364&lt;=M364),"OK","NG"))</f>
        <v/>
      </c>
      <c r="O364" s="69">
        <f>IF(N364="","",IF(N364=D364,1,0))</f>
        <v/>
      </c>
      <c r="P364" s="67">
        <f>IF(G364="","",J364-G364)</f>
        <v/>
      </c>
      <c r="Q364" s="67">
        <f>IF(G364="","",ABS(P364-Components!$D$2)/Components!$E$2)</f>
        <v/>
      </c>
      <c r="R364" s="67">
        <f>IF(G364="","",ABS(P364-Components!$D$3)/Components!$E$3)</f>
        <v/>
      </c>
      <c r="S364" s="67">
        <f>IF(G364="","",ABS(P364-Components!$D$4)/Components!$E$4)</f>
        <v/>
      </c>
      <c r="T364" s="67">
        <f>IF(G364="","",ABS(P364-Components!$D$5)/Components!$E$5)</f>
        <v/>
      </c>
      <c r="U364" s="67">
        <f>IF(G364="","",ABS(P364-Components!$D$6)/Components!$E$6)</f>
        <v/>
      </c>
      <c r="V364" s="67">
        <f>IF(G364="","",ABS(P364-Components!$D$7)/Components!$E$7)</f>
        <v/>
      </c>
      <c r="W364" s="61">
        <f>IF(G364="","",IF(N364="OK","NONE",INDEX({"S1","S2","W1","W2","N1","N2"},MATCH(MIN(Q364:V364),Q364:V364,0))))</f>
        <v/>
      </c>
      <c r="X364" s="69">
        <f>IF(G364="","",IF(W364=E364,1,0))</f>
        <v/>
      </c>
      <c r="Y364" s="70" t="n"/>
    </row>
    <row r="365">
      <c r="A365" s="61" t="n">
        <v>51</v>
      </c>
      <c r="B365" s="62" t="n">
        <v>15</v>
      </c>
      <c r="C365" s="61" t="inlineStr">
        <is>
          <t>R6</t>
        </is>
      </c>
      <c r="D365" s="74" t="inlineStr">
        <is>
          <t>NG</t>
        </is>
      </c>
      <c r="E365" s="61" t="inlineStr">
        <is>
          <t>N2</t>
        </is>
      </c>
      <c r="F365" s="61" t="inlineStr">
        <is>
          <t>K049</t>
        </is>
      </c>
      <c r="G365" s="75" t="n">
        <v>7.3</v>
      </c>
      <c r="H365" s="65" t="n"/>
      <c r="I365" s="66" t="n"/>
      <c r="J365" s="67">
        <f>VLOOKUP(C365,Recipes!$A$2:$N$4,10,FALSE())</f>
        <v/>
      </c>
      <c r="K365" s="68">
        <f>VLOOKUP(C365,Recipes!$A$2:$N$4,12,FALSE())</f>
        <v/>
      </c>
      <c r="L365" s="67">
        <f>J365-6*K365</f>
        <v/>
      </c>
      <c r="M365" s="67">
        <f>J365+6*K365</f>
        <v/>
      </c>
      <c r="N365" s="61">
        <f>IF(G365="","",IF(AND(G365&gt;=L365,G365&lt;=M365),"OK","NG"))</f>
        <v/>
      </c>
      <c r="O365" s="69">
        <f>IF(N365="","",IF(N365=D365,1,0))</f>
        <v/>
      </c>
      <c r="P365" s="67">
        <f>IF(G365="","",J365-G365)</f>
        <v/>
      </c>
      <c r="Q365" s="67">
        <f>IF(G365="","",ABS(P365-Components!$D$2)/Components!$E$2)</f>
        <v/>
      </c>
      <c r="R365" s="67">
        <f>IF(G365="","",ABS(P365-Components!$D$3)/Components!$E$3)</f>
        <v/>
      </c>
      <c r="S365" s="67">
        <f>IF(G365="","",ABS(P365-Components!$D$4)/Components!$E$4)</f>
        <v/>
      </c>
      <c r="T365" s="67">
        <f>IF(G365="","",ABS(P365-Components!$D$5)/Components!$E$5)</f>
        <v/>
      </c>
      <c r="U365" s="67">
        <f>IF(G365="","",ABS(P365-Components!$D$6)/Components!$E$6)</f>
        <v/>
      </c>
      <c r="V365" s="67">
        <f>IF(G365="","",ABS(P365-Components!$D$7)/Components!$E$7)</f>
        <v/>
      </c>
      <c r="W365" s="61">
        <f>IF(G365="","",IF(N365="OK","NONE",INDEX({"S1","S2","W1","W2","N1","N2"},MATCH(MIN(Q365:V365),Q365:V365,0))))</f>
        <v/>
      </c>
      <c r="X365" s="69">
        <f>IF(G365="","",IF(W365=E365,1,0))</f>
        <v/>
      </c>
      <c r="Y365" s="70" t="n"/>
    </row>
    <row r="366">
      <c r="A366" s="61" t="n">
        <v>51</v>
      </c>
      <c r="B366" s="62" t="n">
        <v>15</v>
      </c>
      <c r="C366" s="61" t="inlineStr">
        <is>
          <t>R6</t>
        </is>
      </c>
      <c r="D366" s="74" t="inlineStr">
        <is>
          <t>NG</t>
        </is>
      </c>
      <c r="E366" s="61" t="inlineStr">
        <is>
          <t>N2</t>
        </is>
      </c>
      <c r="F366" s="61" t="inlineStr">
        <is>
          <t>K049</t>
        </is>
      </c>
      <c r="G366" s="75" t="n">
        <v>7.31</v>
      </c>
      <c r="H366" s="65" t="n"/>
      <c r="I366" s="66" t="n"/>
      <c r="J366" s="67">
        <f>VLOOKUP(C366,Recipes!$A$2:$N$4,10,FALSE())</f>
        <v/>
      </c>
      <c r="K366" s="68">
        <f>VLOOKUP(C366,Recipes!$A$2:$N$4,12,FALSE())</f>
        <v/>
      </c>
      <c r="L366" s="67">
        <f>J366-6*K366</f>
        <v/>
      </c>
      <c r="M366" s="67">
        <f>J366+6*K366</f>
        <v/>
      </c>
      <c r="N366" s="61">
        <f>IF(G366="","",IF(AND(G366&gt;=L366,G366&lt;=M366),"OK","NG"))</f>
        <v/>
      </c>
      <c r="O366" s="69">
        <f>IF(N366="","",IF(N366=D366,1,0))</f>
        <v/>
      </c>
      <c r="P366" s="67">
        <f>IF(G366="","",J366-G366)</f>
        <v/>
      </c>
      <c r="Q366" s="67">
        <f>IF(G366="","",ABS(P366-Components!$D$2)/Components!$E$2)</f>
        <v/>
      </c>
      <c r="R366" s="67">
        <f>IF(G366="","",ABS(P366-Components!$D$3)/Components!$E$3)</f>
        <v/>
      </c>
      <c r="S366" s="67">
        <f>IF(G366="","",ABS(P366-Components!$D$4)/Components!$E$4)</f>
        <v/>
      </c>
      <c r="T366" s="67">
        <f>IF(G366="","",ABS(P366-Components!$D$5)/Components!$E$5)</f>
        <v/>
      </c>
      <c r="U366" s="67">
        <f>IF(G366="","",ABS(P366-Components!$D$6)/Components!$E$6)</f>
        <v/>
      </c>
      <c r="V366" s="67">
        <f>IF(G366="","",ABS(P366-Components!$D$7)/Components!$E$7)</f>
        <v/>
      </c>
      <c r="W366" s="61">
        <f>IF(G366="","",IF(N366="OK","NONE",INDEX({"S1","S2","W1","W2","N1","N2"},MATCH(MIN(Q366:V366),Q366:V366,0))))</f>
        <v/>
      </c>
      <c r="X366" s="69">
        <f>IF(G366="","",IF(W366=E366,1,0))</f>
        <v/>
      </c>
      <c r="Y366" s="70" t="n"/>
    </row>
    <row r="367">
      <c r="A367" s="61" t="n">
        <v>51</v>
      </c>
      <c r="B367" s="62" t="n">
        <v>15</v>
      </c>
      <c r="C367" s="61" t="inlineStr">
        <is>
          <t>R6</t>
        </is>
      </c>
      <c r="D367" s="74" t="inlineStr">
        <is>
          <t>NG</t>
        </is>
      </c>
      <c r="E367" s="61" t="inlineStr">
        <is>
          <t>N2</t>
        </is>
      </c>
      <c r="F367" s="61" t="inlineStr">
        <is>
          <t>K049</t>
        </is>
      </c>
      <c r="G367" s="75" t="n">
        <v>7.17</v>
      </c>
      <c r="H367" s="65" t="n"/>
      <c r="I367" s="66" t="n"/>
      <c r="J367" s="67">
        <f>VLOOKUP(C367,Recipes!$A$2:$N$4,10,FALSE())</f>
        <v/>
      </c>
      <c r="K367" s="68">
        <f>VLOOKUP(C367,Recipes!$A$2:$N$4,12,FALSE())</f>
        <v/>
      </c>
      <c r="L367" s="67">
        <f>J367-6*K367</f>
        <v/>
      </c>
      <c r="M367" s="67">
        <f>J367+6*K367</f>
        <v/>
      </c>
      <c r="N367" s="61">
        <f>IF(G367="","",IF(AND(G367&gt;=L367,G367&lt;=M367),"OK","NG"))</f>
        <v/>
      </c>
      <c r="O367" s="69">
        <f>IF(N367="","",IF(N367=D367,1,0))</f>
        <v/>
      </c>
      <c r="P367" s="67">
        <f>IF(G367="","",J367-G367)</f>
        <v/>
      </c>
      <c r="Q367" s="67">
        <f>IF(G367="","",ABS(P367-Components!$D$2)/Components!$E$2)</f>
        <v/>
      </c>
      <c r="R367" s="67">
        <f>IF(G367="","",ABS(P367-Components!$D$3)/Components!$E$3)</f>
        <v/>
      </c>
      <c r="S367" s="67">
        <f>IF(G367="","",ABS(P367-Components!$D$4)/Components!$E$4)</f>
        <v/>
      </c>
      <c r="T367" s="67">
        <f>IF(G367="","",ABS(P367-Components!$D$5)/Components!$E$5)</f>
        <v/>
      </c>
      <c r="U367" s="67">
        <f>IF(G367="","",ABS(P367-Components!$D$6)/Components!$E$6)</f>
        <v/>
      </c>
      <c r="V367" s="67">
        <f>IF(G367="","",ABS(P367-Components!$D$7)/Components!$E$7)</f>
        <v/>
      </c>
      <c r="W367" s="61">
        <f>IF(G367="","",IF(N367="OK","NONE",INDEX({"S1","S2","W1","W2","N1","N2"},MATCH(MIN(Q367:V367),Q367:V367,0))))</f>
        <v/>
      </c>
      <c r="X367" s="69">
        <f>IF(G367="","",IF(W367=E367,1,0))</f>
        <v/>
      </c>
      <c r="Y367" s="70" t="n"/>
    </row>
    <row r="368">
      <c r="A368" s="61" t="n">
        <v>51</v>
      </c>
      <c r="B368" s="62" t="n">
        <v>15</v>
      </c>
      <c r="C368" s="61" t="inlineStr">
        <is>
          <t>R6</t>
        </is>
      </c>
      <c r="D368" s="74" t="inlineStr">
        <is>
          <t>NG</t>
        </is>
      </c>
      <c r="E368" s="61" t="inlineStr">
        <is>
          <t>N2</t>
        </is>
      </c>
      <c r="F368" s="61" t="inlineStr">
        <is>
          <t>K049</t>
        </is>
      </c>
      <c r="G368" s="75" t="n">
        <v>7.23</v>
      </c>
      <c r="H368" s="65" t="n"/>
      <c r="I368" s="66" t="n"/>
      <c r="J368" s="67">
        <f>VLOOKUP(C368,Recipes!$A$2:$N$4,10,FALSE())</f>
        <v/>
      </c>
      <c r="K368" s="68">
        <f>VLOOKUP(C368,Recipes!$A$2:$N$4,12,FALSE())</f>
        <v/>
      </c>
      <c r="L368" s="67">
        <f>J368-6*K368</f>
        <v/>
      </c>
      <c r="M368" s="67">
        <f>J368+6*K368</f>
        <v/>
      </c>
      <c r="N368" s="61">
        <f>IF(G368="","",IF(AND(G368&gt;=L368,G368&lt;=M368),"OK","NG"))</f>
        <v/>
      </c>
      <c r="O368" s="69">
        <f>IF(N368="","",IF(N368=D368,1,0))</f>
        <v/>
      </c>
      <c r="P368" s="67">
        <f>IF(G368="","",J368-G368)</f>
        <v/>
      </c>
      <c r="Q368" s="67">
        <f>IF(G368="","",ABS(P368-Components!$D$2)/Components!$E$2)</f>
        <v/>
      </c>
      <c r="R368" s="67">
        <f>IF(G368="","",ABS(P368-Components!$D$3)/Components!$E$3)</f>
        <v/>
      </c>
      <c r="S368" s="67">
        <f>IF(G368="","",ABS(P368-Components!$D$4)/Components!$E$4)</f>
        <v/>
      </c>
      <c r="T368" s="67">
        <f>IF(G368="","",ABS(P368-Components!$D$5)/Components!$E$5)</f>
        <v/>
      </c>
      <c r="U368" s="67">
        <f>IF(G368="","",ABS(P368-Components!$D$6)/Components!$E$6)</f>
        <v/>
      </c>
      <c r="V368" s="67">
        <f>IF(G368="","",ABS(P368-Components!$D$7)/Components!$E$7)</f>
        <v/>
      </c>
      <c r="W368" s="61">
        <f>IF(G368="","",IF(N368="OK","NONE",INDEX({"S1","S2","W1","W2","N1","N2"},MATCH(MIN(Q368:V368),Q368:V368,0))))</f>
        <v/>
      </c>
      <c r="X368" s="69">
        <f>IF(G368="","",IF(W368=E368,1,0))</f>
        <v/>
      </c>
      <c r="Y368" s="70" t="n"/>
    </row>
    <row r="369">
      <c r="A369" s="61" t="n">
        <v>51</v>
      </c>
      <c r="B369" s="62" t="n">
        <v>15</v>
      </c>
      <c r="C369" s="61" t="inlineStr">
        <is>
          <t>R6</t>
        </is>
      </c>
      <c r="D369" s="74" t="inlineStr">
        <is>
          <t>NG</t>
        </is>
      </c>
      <c r="E369" s="61" t="inlineStr">
        <is>
          <t>N2</t>
        </is>
      </c>
      <c r="F369" s="61" t="inlineStr">
        <is>
          <t>K049</t>
        </is>
      </c>
      <c r="G369" s="75" t="n">
        <v>7.23</v>
      </c>
      <c r="H369" s="65" t="n"/>
      <c r="I369" s="66" t="n"/>
      <c r="J369" s="67">
        <f>VLOOKUP(C369,Recipes!$A$2:$N$4,10,FALSE())</f>
        <v/>
      </c>
      <c r="K369" s="68">
        <f>VLOOKUP(C369,Recipes!$A$2:$N$4,12,FALSE())</f>
        <v/>
      </c>
      <c r="L369" s="67">
        <f>J369-6*K369</f>
        <v/>
      </c>
      <c r="M369" s="67">
        <f>J369+6*K369</f>
        <v/>
      </c>
      <c r="N369" s="61">
        <f>IF(G369="","",IF(AND(G369&gt;=L369,G369&lt;=M369),"OK","NG"))</f>
        <v/>
      </c>
      <c r="O369" s="69">
        <f>IF(N369="","",IF(N369=D369,1,0))</f>
        <v/>
      </c>
      <c r="P369" s="67">
        <f>IF(G369="","",J369-G369)</f>
        <v/>
      </c>
      <c r="Q369" s="67">
        <f>IF(G369="","",ABS(P369-Components!$D$2)/Components!$E$2)</f>
        <v/>
      </c>
      <c r="R369" s="67">
        <f>IF(G369="","",ABS(P369-Components!$D$3)/Components!$E$3)</f>
        <v/>
      </c>
      <c r="S369" s="67">
        <f>IF(G369="","",ABS(P369-Components!$D$4)/Components!$E$4)</f>
        <v/>
      </c>
      <c r="T369" s="67">
        <f>IF(G369="","",ABS(P369-Components!$D$5)/Components!$E$5)</f>
        <v/>
      </c>
      <c r="U369" s="67">
        <f>IF(G369="","",ABS(P369-Components!$D$6)/Components!$E$6)</f>
        <v/>
      </c>
      <c r="V369" s="67">
        <f>IF(G369="","",ABS(P369-Components!$D$7)/Components!$E$7)</f>
        <v/>
      </c>
      <c r="W369" s="61">
        <f>IF(G369="","",IF(N369="OK","NONE",INDEX({"S1","S2","W1","W2","N1","N2"},MATCH(MIN(Q369:V369),Q369:V369,0))))</f>
        <v/>
      </c>
      <c r="X369" s="69">
        <f>IF(G369="","",IF(W369=E369,1,0))</f>
        <v/>
      </c>
      <c r="Y369" s="70" t="n"/>
    </row>
    <row r="370">
      <c r="A370" s="61" t="n">
        <v>51</v>
      </c>
      <c r="B370" s="62" t="n">
        <v>15</v>
      </c>
      <c r="C370" s="61" t="inlineStr">
        <is>
          <t>R6</t>
        </is>
      </c>
      <c r="D370" s="74" t="inlineStr">
        <is>
          <t>NG</t>
        </is>
      </c>
      <c r="E370" s="61" t="inlineStr">
        <is>
          <t>N2</t>
        </is>
      </c>
      <c r="F370" s="61" t="inlineStr">
        <is>
          <t>K049</t>
        </is>
      </c>
      <c r="G370" s="75" t="n">
        <v>7.3</v>
      </c>
      <c r="H370" s="65" t="n"/>
      <c r="I370" s="66" t="n"/>
      <c r="J370" s="67">
        <f>VLOOKUP(C370,Recipes!$A$2:$N$4,10,FALSE())</f>
        <v/>
      </c>
      <c r="K370" s="68">
        <f>VLOOKUP(C370,Recipes!$A$2:$N$4,12,FALSE())</f>
        <v/>
      </c>
      <c r="L370" s="67">
        <f>J370-6*K370</f>
        <v/>
      </c>
      <c r="M370" s="67">
        <f>J370+6*K370</f>
        <v/>
      </c>
      <c r="N370" s="61">
        <f>IF(G370="","",IF(AND(G370&gt;=L370,G370&lt;=M370),"OK","NG"))</f>
        <v/>
      </c>
      <c r="O370" s="69">
        <f>IF(N370="","",IF(N370=D370,1,0))</f>
        <v/>
      </c>
      <c r="P370" s="67">
        <f>IF(G370="","",J370-G370)</f>
        <v/>
      </c>
      <c r="Q370" s="67">
        <f>IF(G370="","",ABS(P370-Components!$D$2)/Components!$E$2)</f>
        <v/>
      </c>
      <c r="R370" s="67">
        <f>IF(G370="","",ABS(P370-Components!$D$3)/Components!$E$3)</f>
        <v/>
      </c>
      <c r="S370" s="67">
        <f>IF(G370="","",ABS(P370-Components!$D$4)/Components!$E$4)</f>
        <v/>
      </c>
      <c r="T370" s="67">
        <f>IF(G370="","",ABS(P370-Components!$D$5)/Components!$E$5)</f>
        <v/>
      </c>
      <c r="U370" s="67">
        <f>IF(G370="","",ABS(P370-Components!$D$6)/Components!$E$6)</f>
        <v/>
      </c>
      <c r="V370" s="67">
        <f>IF(G370="","",ABS(P370-Components!$D$7)/Components!$E$7)</f>
        <v/>
      </c>
      <c r="W370" s="61">
        <f>IF(G370="","",IF(N370="OK","NONE",INDEX({"S1","S2","W1","W2","N1","N2"},MATCH(MIN(Q370:V370),Q370:V370,0))))</f>
        <v/>
      </c>
      <c r="X370" s="69">
        <f>IF(G370="","",IF(W370=E370,1,0))</f>
        <v/>
      </c>
      <c r="Y370" s="70" t="n"/>
    </row>
    <row r="371">
      <c r="A371" s="61" t="n">
        <v>51</v>
      </c>
      <c r="B371" s="62" t="n">
        <v>15</v>
      </c>
      <c r="C371" s="61" t="inlineStr">
        <is>
          <t>R6</t>
        </is>
      </c>
      <c r="D371" s="74" t="inlineStr">
        <is>
          <t>NG</t>
        </is>
      </c>
      <c r="E371" s="61" t="inlineStr">
        <is>
          <t>N2</t>
        </is>
      </c>
      <c r="F371" s="61" t="inlineStr">
        <is>
          <t>K049</t>
        </is>
      </c>
      <c r="G371" s="75" t="n">
        <v>7.25</v>
      </c>
      <c r="H371" s="65" t="n"/>
      <c r="I371" s="66" t="n"/>
      <c r="J371" s="67">
        <f>VLOOKUP(C371,Recipes!$A$2:$N$4,10,FALSE())</f>
        <v/>
      </c>
      <c r="K371" s="68">
        <f>VLOOKUP(C371,Recipes!$A$2:$N$4,12,FALSE())</f>
        <v/>
      </c>
      <c r="L371" s="67">
        <f>J371-6*K371</f>
        <v/>
      </c>
      <c r="M371" s="67">
        <f>J371+6*K371</f>
        <v/>
      </c>
      <c r="N371" s="61">
        <f>IF(G371="","",IF(AND(G371&gt;=L371,G371&lt;=M371),"OK","NG"))</f>
        <v/>
      </c>
      <c r="O371" s="69">
        <f>IF(N371="","",IF(N371=D371,1,0))</f>
        <v/>
      </c>
      <c r="P371" s="67">
        <f>IF(G371="","",J371-G371)</f>
        <v/>
      </c>
      <c r="Q371" s="67">
        <f>IF(G371="","",ABS(P371-Components!$D$2)/Components!$E$2)</f>
        <v/>
      </c>
      <c r="R371" s="67">
        <f>IF(G371="","",ABS(P371-Components!$D$3)/Components!$E$3)</f>
        <v/>
      </c>
      <c r="S371" s="67">
        <f>IF(G371="","",ABS(P371-Components!$D$4)/Components!$E$4)</f>
        <v/>
      </c>
      <c r="T371" s="67">
        <f>IF(G371="","",ABS(P371-Components!$D$5)/Components!$E$5)</f>
        <v/>
      </c>
      <c r="U371" s="67">
        <f>IF(G371="","",ABS(P371-Components!$D$6)/Components!$E$6)</f>
        <v/>
      </c>
      <c r="V371" s="67">
        <f>IF(G371="","",ABS(P371-Components!$D$7)/Components!$E$7)</f>
        <v/>
      </c>
      <c r="W371" s="61">
        <f>IF(G371="","",IF(N371="OK","NONE",INDEX({"S1","S2","W1","W2","N1","N2"},MATCH(MIN(Q371:V371),Q371:V371,0))))</f>
        <v/>
      </c>
      <c r="X371" s="69">
        <f>IF(G371="","",IF(W371=E371,1,0))</f>
        <v/>
      </c>
      <c r="Y371" s="70" t="n"/>
    </row>
    <row r="372">
      <c r="A372" s="61" t="n">
        <v>51</v>
      </c>
      <c r="B372" s="62" t="n">
        <v>15</v>
      </c>
      <c r="C372" s="61" t="inlineStr">
        <is>
          <t>R6</t>
        </is>
      </c>
      <c r="D372" s="74" t="inlineStr">
        <is>
          <t>NG</t>
        </is>
      </c>
      <c r="E372" s="61" t="inlineStr">
        <is>
          <t>N2</t>
        </is>
      </c>
      <c r="F372" s="61" t="inlineStr">
        <is>
          <t>K049</t>
        </is>
      </c>
      <c r="G372" s="75" t="n">
        <v>7.25</v>
      </c>
      <c r="H372" s="65" t="n"/>
      <c r="I372" s="66" t="n"/>
      <c r="J372" s="67">
        <f>VLOOKUP(C372,Recipes!$A$2:$N$4,10,FALSE())</f>
        <v/>
      </c>
      <c r="K372" s="68">
        <f>VLOOKUP(C372,Recipes!$A$2:$N$4,12,FALSE())</f>
        <v/>
      </c>
      <c r="L372" s="67">
        <f>J372-6*K372</f>
        <v/>
      </c>
      <c r="M372" s="67">
        <f>J372+6*K372</f>
        <v/>
      </c>
      <c r="N372" s="61">
        <f>IF(G372="","",IF(AND(G372&gt;=L372,G372&lt;=M372),"OK","NG"))</f>
        <v/>
      </c>
      <c r="O372" s="69">
        <f>IF(N372="","",IF(N372=D372,1,0))</f>
        <v/>
      </c>
      <c r="P372" s="67">
        <f>IF(G372="","",J372-G372)</f>
        <v/>
      </c>
      <c r="Q372" s="67">
        <f>IF(G372="","",ABS(P372-Components!$D$2)/Components!$E$2)</f>
        <v/>
      </c>
      <c r="R372" s="67">
        <f>IF(G372="","",ABS(P372-Components!$D$3)/Components!$E$3)</f>
        <v/>
      </c>
      <c r="S372" s="67">
        <f>IF(G372="","",ABS(P372-Components!$D$4)/Components!$E$4)</f>
        <v/>
      </c>
      <c r="T372" s="67">
        <f>IF(G372="","",ABS(P372-Components!$D$5)/Components!$E$5)</f>
        <v/>
      </c>
      <c r="U372" s="67">
        <f>IF(G372="","",ABS(P372-Components!$D$6)/Components!$E$6)</f>
        <v/>
      </c>
      <c r="V372" s="67">
        <f>IF(G372="","",ABS(P372-Components!$D$7)/Components!$E$7)</f>
        <v/>
      </c>
      <c r="W372" s="61">
        <f>IF(G372="","",IF(N372="OK","NONE",INDEX({"S1","S2","W1","W2","N1","N2"},MATCH(MIN(Q372:V372),Q372:V372,0))))</f>
        <v/>
      </c>
      <c r="X372" s="69">
        <f>IF(G372="","",IF(W372=E372,1,0))</f>
        <v/>
      </c>
      <c r="Y372" s="70" t="n"/>
    </row>
    <row r="373">
      <c r="A373" s="61" t="n">
        <v>51</v>
      </c>
      <c r="B373" s="62" t="n">
        <v>15</v>
      </c>
      <c r="C373" s="61" t="inlineStr">
        <is>
          <t>R6</t>
        </is>
      </c>
      <c r="D373" s="74" t="inlineStr">
        <is>
          <t>NG</t>
        </is>
      </c>
      <c r="E373" s="61" t="inlineStr">
        <is>
          <t>N2</t>
        </is>
      </c>
      <c r="F373" s="61" t="inlineStr">
        <is>
          <t>K049</t>
        </is>
      </c>
      <c r="G373" s="75" t="n">
        <v>7.19</v>
      </c>
      <c r="H373" s="65" t="n"/>
      <c r="I373" s="66" t="n"/>
      <c r="J373" s="67">
        <f>VLOOKUP(C373,Recipes!$A$2:$N$4,10,FALSE())</f>
        <v/>
      </c>
      <c r="K373" s="68">
        <f>VLOOKUP(C373,Recipes!$A$2:$N$4,12,FALSE())</f>
        <v/>
      </c>
      <c r="L373" s="67">
        <f>J373-6*K373</f>
        <v/>
      </c>
      <c r="M373" s="67">
        <f>J373+6*K373</f>
        <v/>
      </c>
      <c r="N373" s="61">
        <f>IF(G373="","",IF(AND(G373&gt;=L373,G373&lt;=M373),"OK","NG"))</f>
        <v/>
      </c>
      <c r="O373" s="69">
        <f>IF(N373="","",IF(N373=D373,1,0))</f>
        <v/>
      </c>
      <c r="P373" s="67">
        <f>IF(G373="","",J373-G373)</f>
        <v/>
      </c>
      <c r="Q373" s="67">
        <f>IF(G373="","",ABS(P373-Components!$D$2)/Components!$E$2)</f>
        <v/>
      </c>
      <c r="R373" s="67">
        <f>IF(G373="","",ABS(P373-Components!$D$3)/Components!$E$3)</f>
        <v/>
      </c>
      <c r="S373" s="67">
        <f>IF(G373="","",ABS(P373-Components!$D$4)/Components!$E$4)</f>
        <v/>
      </c>
      <c r="T373" s="67">
        <f>IF(G373="","",ABS(P373-Components!$D$5)/Components!$E$5)</f>
        <v/>
      </c>
      <c r="U373" s="67">
        <f>IF(G373="","",ABS(P373-Components!$D$6)/Components!$E$6)</f>
        <v/>
      </c>
      <c r="V373" s="67">
        <f>IF(G373="","",ABS(P373-Components!$D$7)/Components!$E$7)</f>
        <v/>
      </c>
      <c r="W373" s="61">
        <f>IF(G373="","",IF(N373="OK","NONE",INDEX({"S1","S2","W1","W2","N1","N2"},MATCH(MIN(Q373:V373),Q373:V373,0))))</f>
        <v/>
      </c>
      <c r="X373" s="69">
        <f>IF(G373="","",IF(W373=E373,1,0))</f>
        <v/>
      </c>
      <c r="Y373" s="70" t="n"/>
    </row>
    <row r="374">
      <c r="A374" s="61" t="n">
        <v>51</v>
      </c>
      <c r="B374" s="62" t="n">
        <v>15</v>
      </c>
      <c r="C374" s="61" t="inlineStr">
        <is>
          <t>R6</t>
        </is>
      </c>
      <c r="D374" s="74" t="inlineStr">
        <is>
          <t>NG</t>
        </is>
      </c>
      <c r="E374" s="61" t="inlineStr">
        <is>
          <t>N2</t>
        </is>
      </c>
      <c r="F374" s="61" t="inlineStr">
        <is>
          <t>K049</t>
        </is>
      </c>
      <c r="G374" s="75" t="n">
        <v>7.26</v>
      </c>
      <c r="H374" s="65" t="n"/>
      <c r="I374" s="66" t="n"/>
      <c r="J374" s="67">
        <f>VLOOKUP(C374,Recipes!$A$2:$N$4,10,FALSE())</f>
        <v/>
      </c>
      <c r="K374" s="68">
        <f>VLOOKUP(C374,Recipes!$A$2:$N$4,12,FALSE())</f>
        <v/>
      </c>
      <c r="L374" s="67">
        <f>J374-6*K374</f>
        <v/>
      </c>
      <c r="M374" s="67">
        <f>J374+6*K374</f>
        <v/>
      </c>
      <c r="N374" s="61">
        <f>IF(G374="","",IF(AND(G374&gt;=L374,G374&lt;=M374),"OK","NG"))</f>
        <v/>
      </c>
      <c r="O374" s="69">
        <f>IF(N374="","",IF(N374=D374,1,0))</f>
        <v/>
      </c>
      <c r="P374" s="67">
        <f>IF(G374="","",J374-G374)</f>
        <v/>
      </c>
      <c r="Q374" s="67">
        <f>IF(G374="","",ABS(P374-Components!$D$2)/Components!$E$2)</f>
        <v/>
      </c>
      <c r="R374" s="67">
        <f>IF(G374="","",ABS(P374-Components!$D$3)/Components!$E$3)</f>
        <v/>
      </c>
      <c r="S374" s="67">
        <f>IF(G374="","",ABS(P374-Components!$D$4)/Components!$E$4)</f>
        <v/>
      </c>
      <c r="T374" s="67">
        <f>IF(G374="","",ABS(P374-Components!$D$5)/Components!$E$5)</f>
        <v/>
      </c>
      <c r="U374" s="67">
        <f>IF(G374="","",ABS(P374-Components!$D$6)/Components!$E$6)</f>
        <v/>
      </c>
      <c r="V374" s="67">
        <f>IF(G374="","",ABS(P374-Components!$D$7)/Components!$E$7)</f>
        <v/>
      </c>
      <c r="W374" s="61">
        <f>IF(G374="","",IF(N374="OK","NONE",INDEX({"S1","S2","W1","W2","N1","N2"},MATCH(MIN(Q374:V374),Q374:V374,0))))</f>
        <v/>
      </c>
      <c r="X374" s="69">
        <f>IF(G374="","",IF(W374=E374,1,0))</f>
        <v/>
      </c>
      <c r="Y374" s="70" t="n"/>
    </row>
    <row r="375">
      <c r="A375" s="61" t="n">
        <v>51</v>
      </c>
      <c r="B375" s="62" t="n">
        <v>15</v>
      </c>
      <c r="C375" s="61" t="inlineStr">
        <is>
          <t>R6</t>
        </is>
      </c>
      <c r="D375" s="74" t="inlineStr">
        <is>
          <t>NG</t>
        </is>
      </c>
      <c r="E375" s="61" t="inlineStr">
        <is>
          <t>N2</t>
        </is>
      </c>
      <c r="F375" s="61" t="inlineStr">
        <is>
          <t>K049</t>
        </is>
      </c>
      <c r="G375" s="75" t="n">
        <v>7.23</v>
      </c>
      <c r="H375" s="65" t="n"/>
      <c r="I375" s="66" t="n"/>
      <c r="J375" s="67">
        <f>VLOOKUP(C375,Recipes!$A$2:$N$4,10,FALSE())</f>
        <v/>
      </c>
      <c r="K375" s="68">
        <f>VLOOKUP(C375,Recipes!$A$2:$N$4,12,FALSE())</f>
        <v/>
      </c>
      <c r="L375" s="67">
        <f>J375-6*K375</f>
        <v/>
      </c>
      <c r="M375" s="67">
        <f>J375+6*K375</f>
        <v/>
      </c>
      <c r="N375" s="61">
        <f>IF(G375="","",IF(AND(G375&gt;=L375,G375&lt;=M375),"OK","NG"))</f>
        <v/>
      </c>
      <c r="O375" s="69">
        <f>IF(N375="","",IF(N375=D375,1,0))</f>
        <v/>
      </c>
      <c r="P375" s="67">
        <f>IF(G375="","",J375-G375)</f>
        <v/>
      </c>
      <c r="Q375" s="67">
        <f>IF(G375="","",ABS(P375-Components!$D$2)/Components!$E$2)</f>
        <v/>
      </c>
      <c r="R375" s="67">
        <f>IF(G375="","",ABS(P375-Components!$D$3)/Components!$E$3)</f>
        <v/>
      </c>
      <c r="S375" s="67">
        <f>IF(G375="","",ABS(P375-Components!$D$4)/Components!$E$4)</f>
        <v/>
      </c>
      <c r="T375" s="67">
        <f>IF(G375="","",ABS(P375-Components!$D$5)/Components!$E$5)</f>
        <v/>
      </c>
      <c r="U375" s="67">
        <f>IF(G375="","",ABS(P375-Components!$D$6)/Components!$E$6)</f>
        <v/>
      </c>
      <c r="V375" s="67">
        <f>IF(G375="","",ABS(P375-Components!$D$7)/Components!$E$7)</f>
        <v/>
      </c>
      <c r="W375" s="61">
        <f>IF(G375="","",IF(N375="OK","NONE",INDEX({"S1","S2","W1","W2","N1","N2"},MATCH(MIN(Q375:V375),Q375:V375,0))))</f>
        <v/>
      </c>
      <c r="X375" s="69">
        <f>IF(G375="","",IF(W375=E375,1,0))</f>
        <v/>
      </c>
      <c r="Y375" s="70" t="n"/>
    </row>
    <row r="376">
      <c r="A376" s="61" t="n">
        <v>51</v>
      </c>
      <c r="B376" s="62" t="n">
        <v>15</v>
      </c>
      <c r="C376" s="61" t="inlineStr">
        <is>
          <t>R6</t>
        </is>
      </c>
      <c r="D376" s="74" t="inlineStr">
        <is>
          <t>NG</t>
        </is>
      </c>
      <c r="E376" s="61" t="inlineStr">
        <is>
          <t>N2</t>
        </is>
      </c>
      <c r="F376" s="61" t="inlineStr">
        <is>
          <t>K049</t>
        </is>
      </c>
      <c r="G376" s="75" t="n">
        <v>7.06</v>
      </c>
      <c r="H376" s="65" t="n"/>
      <c r="I376" s="66" t="n"/>
      <c r="J376" s="67">
        <f>VLOOKUP(C376,Recipes!$A$2:$N$4,10,FALSE())</f>
        <v/>
      </c>
      <c r="K376" s="68">
        <f>VLOOKUP(C376,Recipes!$A$2:$N$4,12,FALSE())</f>
        <v/>
      </c>
      <c r="L376" s="67">
        <f>J376-6*K376</f>
        <v/>
      </c>
      <c r="M376" s="67">
        <f>J376+6*K376</f>
        <v/>
      </c>
      <c r="N376" s="61">
        <f>IF(G376="","",IF(AND(G376&gt;=L376,G376&lt;=M376),"OK","NG"))</f>
        <v/>
      </c>
      <c r="O376" s="69">
        <f>IF(N376="","",IF(N376=D376,1,0))</f>
        <v/>
      </c>
      <c r="P376" s="67">
        <f>IF(G376="","",J376-G376)</f>
        <v/>
      </c>
      <c r="Q376" s="67">
        <f>IF(G376="","",ABS(P376-Components!$D$2)/Components!$E$2)</f>
        <v/>
      </c>
      <c r="R376" s="67">
        <f>IF(G376="","",ABS(P376-Components!$D$3)/Components!$E$3)</f>
        <v/>
      </c>
      <c r="S376" s="67">
        <f>IF(G376="","",ABS(P376-Components!$D$4)/Components!$E$4)</f>
        <v/>
      </c>
      <c r="T376" s="67">
        <f>IF(G376="","",ABS(P376-Components!$D$5)/Components!$E$5)</f>
        <v/>
      </c>
      <c r="U376" s="67">
        <f>IF(G376="","",ABS(P376-Components!$D$6)/Components!$E$6)</f>
        <v/>
      </c>
      <c r="V376" s="67">
        <f>IF(G376="","",ABS(P376-Components!$D$7)/Components!$E$7)</f>
        <v/>
      </c>
      <c r="W376" s="61">
        <f>IF(G376="","",IF(N376="OK","NONE",INDEX({"S1","S2","W1","W2","N1","N2"},MATCH(MIN(Q376:V376),Q376:V376,0))))</f>
        <v/>
      </c>
      <c r="X376" s="69">
        <f>IF(G376="","",IF(W376=E376,1,0))</f>
        <v/>
      </c>
      <c r="Y376" s="70" t="n"/>
    </row>
    <row r="377">
      <c r="A377" s="61" t="n">
        <v>51</v>
      </c>
      <c r="B377" s="62" t="n">
        <v>15</v>
      </c>
      <c r="C377" s="61" t="inlineStr">
        <is>
          <t>R6</t>
        </is>
      </c>
      <c r="D377" s="74" t="inlineStr">
        <is>
          <t>NG</t>
        </is>
      </c>
      <c r="E377" s="61" t="inlineStr">
        <is>
          <t>N2</t>
        </is>
      </c>
      <c r="F377" s="61" t="inlineStr">
        <is>
          <t>K049</t>
        </is>
      </c>
      <c r="G377" s="75" t="n">
        <v>7.2</v>
      </c>
      <c r="H377" s="65" t="n"/>
      <c r="I377" s="66" t="n"/>
      <c r="J377" s="67">
        <f>VLOOKUP(C377,Recipes!$A$2:$N$4,10,FALSE())</f>
        <v/>
      </c>
      <c r="K377" s="68">
        <f>VLOOKUP(C377,Recipes!$A$2:$N$4,12,FALSE())</f>
        <v/>
      </c>
      <c r="L377" s="67">
        <f>J377-6*K377</f>
        <v/>
      </c>
      <c r="M377" s="67">
        <f>J377+6*K377</f>
        <v/>
      </c>
      <c r="N377" s="61">
        <f>IF(G377="","",IF(AND(G377&gt;=L377,G377&lt;=M377),"OK","NG"))</f>
        <v/>
      </c>
      <c r="O377" s="69">
        <f>IF(N377="","",IF(N377=D377,1,0))</f>
        <v/>
      </c>
      <c r="P377" s="67">
        <f>IF(G377="","",J377-G377)</f>
        <v/>
      </c>
      <c r="Q377" s="67">
        <f>IF(G377="","",ABS(P377-Components!$D$2)/Components!$E$2)</f>
        <v/>
      </c>
      <c r="R377" s="67">
        <f>IF(G377="","",ABS(P377-Components!$D$3)/Components!$E$3)</f>
        <v/>
      </c>
      <c r="S377" s="67">
        <f>IF(G377="","",ABS(P377-Components!$D$4)/Components!$E$4)</f>
        <v/>
      </c>
      <c r="T377" s="67">
        <f>IF(G377="","",ABS(P377-Components!$D$5)/Components!$E$5)</f>
        <v/>
      </c>
      <c r="U377" s="67">
        <f>IF(G377="","",ABS(P377-Components!$D$6)/Components!$E$6)</f>
        <v/>
      </c>
      <c r="V377" s="67">
        <f>IF(G377="","",ABS(P377-Components!$D$7)/Components!$E$7)</f>
        <v/>
      </c>
      <c r="W377" s="61">
        <f>IF(G377="","",IF(N377="OK","NONE",INDEX({"S1","S2","W1","W2","N1","N2"},MATCH(MIN(Q377:V377),Q377:V377,0))))</f>
        <v/>
      </c>
      <c r="X377" s="69">
        <f>IF(G377="","",IF(W377=E377,1,0))</f>
        <v/>
      </c>
      <c r="Y377" s="70" t="n"/>
    </row>
    <row r="378">
      <c r="A378" s="61" t="n">
        <v>51</v>
      </c>
      <c r="B378" s="62" t="n">
        <v>15</v>
      </c>
      <c r="C378" s="61" t="inlineStr">
        <is>
          <t>R6</t>
        </is>
      </c>
      <c r="D378" s="74" t="inlineStr">
        <is>
          <t>NG</t>
        </is>
      </c>
      <c r="E378" s="61" t="inlineStr">
        <is>
          <t>N2</t>
        </is>
      </c>
      <c r="F378" s="61" t="inlineStr">
        <is>
          <t>K049</t>
        </is>
      </c>
      <c r="G378" s="75" t="n">
        <v>7.21</v>
      </c>
      <c r="H378" s="65" t="n"/>
      <c r="I378" s="66" t="n"/>
      <c r="J378" s="67">
        <f>VLOOKUP(C378,Recipes!$A$2:$N$4,10,FALSE())</f>
        <v/>
      </c>
      <c r="K378" s="68">
        <f>VLOOKUP(C378,Recipes!$A$2:$N$4,12,FALSE())</f>
        <v/>
      </c>
      <c r="L378" s="67">
        <f>J378-6*K378</f>
        <v/>
      </c>
      <c r="M378" s="67">
        <f>J378+6*K378</f>
        <v/>
      </c>
      <c r="N378" s="61">
        <f>IF(G378="","",IF(AND(G378&gt;=L378,G378&lt;=M378),"OK","NG"))</f>
        <v/>
      </c>
      <c r="O378" s="69">
        <f>IF(N378="","",IF(N378=D378,1,0))</f>
        <v/>
      </c>
      <c r="P378" s="67">
        <f>IF(G378="","",J378-G378)</f>
        <v/>
      </c>
      <c r="Q378" s="67">
        <f>IF(G378="","",ABS(P378-Components!$D$2)/Components!$E$2)</f>
        <v/>
      </c>
      <c r="R378" s="67">
        <f>IF(G378="","",ABS(P378-Components!$D$3)/Components!$E$3)</f>
        <v/>
      </c>
      <c r="S378" s="67">
        <f>IF(G378="","",ABS(P378-Components!$D$4)/Components!$E$4)</f>
        <v/>
      </c>
      <c r="T378" s="67">
        <f>IF(G378="","",ABS(P378-Components!$D$5)/Components!$E$5)</f>
        <v/>
      </c>
      <c r="U378" s="67">
        <f>IF(G378="","",ABS(P378-Components!$D$6)/Components!$E$6)</f>
        <v/>
      </c>
      <c r="V378" s="67">
        <f>IF(G378="","",ABS(P378-Components!$D$7)/Components!$E$7)</f>
        <v/>
      </c>
      <c r="W378" s="61">
        <f>IF(G378="","",IF(N378="OK","NONE",INDEX({"S1","S2","W1","W2","N1","N2"},MATCH(MIN(Q378:V378),Q378:V378,0))))</f>
        <v/>
      </c>
      <c r="X378" s="69">
        <f>IF(G378="","",IF(W378=E378,1,0))</f>
        <v/>
      </c>
      <c r="Y378" s="70" t="n"/>
    </row>
    <row r="379">
      <c r="A379" s="61" t="n">
        <v>51</v>
      </c>
      <c r="B379" s="62" t="n">
        <v>15</v>
      </c>
      <c r="C379" s="61" t="inlineStr">
        <is>
          <t>R6</t>
        </is>
      </c>
      <c r="D379" s="74" t="inlineStr">
        <is>
          <t>NG</t>
        </is>
      </c>
      <c r="E379" s="61" t="inlineStr">
        <is>
          <t>N2</t>
        </is>
      </c>
      <c r="F379" s="61" t="inlineStr">
        <is>
          <t>K049</t>
        </is>
      </c>
      <c r="G379" s="75" t="n">
        <v>7.22</v>
      </c>
      <c r="H379" s="65" t="n"/>
      <c r="I379" s="66" t="n"/>
      <c r="J379" s="67">
        <f>VLOOKUP(C379,Recipes!$A$2:$N$4,10,FALSE())</f>
        <v/>
      </c>
      <c r="K379" s="68">
        <f>VLOOKUP(C379,Recipes!$A$2:$N$4,12,FALSE())</f>
        <v/>
      </c>
      <c r="L379" s="67">
        <f>J379-6*K379</f>
        <v/>
      </c>
      <c r="M379" s="67">
        <f>J379+6*K379</f>
        <v/>
      </c>
      <c r="N379" s="61">
        <f>IF(G379="","",IF(AND(G379&gt;=L379,G379&lt;=M379),"OK","NG"))</f>
        <v/>
      </c>
      <c r="O379" s="69">
        <f>IF(N379="","",IF(N379=D379,1,0))</f>
        <v/>
      </c>
      <c r="P379" s="67">
        <f>IF(G379="","",J379-G379)</f>
        <v/>
      </c>
      <c r="Q379" s="67">
        <f>IF(G379="","",ABS(P379-Components!$D$2)/Components!$E$2)</f>
        <v/>
      </c>
      <c r="R379" s="67">
        <f>IF(G379="","",ABS(P379-Components!$D$3)/Components!$E$3)</f>
        <v/>
      </c>
      <c r="S379" s="67">
        <f>IF(G379="","",ABS(P379-Components!$D$4)/Components!$E$4)</f>
        <v/>
      </c>
      <c r="T379" s="67">
        <f>IF(G379="","",ABS(P379-Components!$D$5)/Components!$E$5)</f>
        <v/>
      </c>
      <c r="U379" s="67">
        <f>IF(G379="","",ABS(P379-Components!$D$6)/Components!$E$6)</f>
        <v/>
      </c>
      <c r="V379" s="67">
        <f>IF(G379="","",ABS(P379-Components!$D$7)/Components!$E$7)</f>
        <v/>
      </c>
      <c r="W379" s="61">
        <f>IF(G379="","",IF(N379="OK","NONE",INDEX({"S1","S2","W1","W2","N1","N2"},MATCH(MIN(Q379:V379),Q379:V379,0))))</f>
        <v/>
      </c>
      <c r="X379" s="69">
        <f>IF(G379="","",IF(W379=E379,1,0))</f>
        <v/>
      </c>
      <c r="Y379" s="70" t="n"/>
    </row>
    <row r="380">
      <c r="A380" s="61" t="n">
        <v>51</v>
      </c>
      <c r="B380" s="62" t="n">
        <v>15</v>
      </c>
      <c r="C380" s="61" t="inlineStr">
        <is>
          <t>R6</t>
        </is>
      </c>
      <c r="D380" s="74" t="inlineStr">
        <is>
          <t>NG</t>
        </is>
      </c>
      <c r="E380" s="61" t="inlineStr">
        <is>
          <t>N2</t>
        </is>
      </c>
      <c r="F380" s="61" t="inlineStr">
        <is>
          <t>K049</t>
        </is>
      </c>
      <c r="G380" s="75" t="n">
        <v>7.15</v>
      </c>
      <c r="H380" s="65" t="n"/>
      <c r="I380" s="66" t="n"/>
      <c r="J380" s="67">
        <f>VLOOKUP(C380,Recipes!$A$2:$N$4,10,FALSE())</f>
        <v/>
      </c>
      <c r="K380" s="68">
        <f>VLOOKUP(C380,Recipes!$A$2:$N$4,12,FALSE())</f>
        <v/>
      </c>
      <c r="L380" s="67">
        <f>J380-6*K380</f>
        <v/>
      </c>
      <c r="M380" s="67">
        <f>J380+6*K380</f>
        <v/>
      </c>
      <c r="N380" s="61">
        <f>IF(G380="","",IF(AND(G380&gt;=L380,G380&lt;=M380),"OK","NG"))</f>
        <v/>
      </c>
      <c r="O380" s="69">
        <f>IF(N380="","",IF(N380=D380,1,0))</f>
        <v/>
      </c>
      <c r="P380" s="67">
        <f>IF(G380="","",J380-G380)</f>
        <v/>
      </c>
      <c r="Q380" s="67">
        <f>IF(G380="","",ABS(P380-Components!$D$2)/Components!$E$2)</f>
        <v/>
      </c>
      <c r="R380" s="67">
        <f>IF(G380="","",ABS(P380-Components!$D$3)/Components!$E$3)</f>
        <v/>
      </c>
      <c r="S380" s="67">
        <f>IF(G380="","",ABS(P380-Components!$D$4)/Components!$E$4)</f>
        <v/>
      </c>
      <c r="T380" s="67">
        <f>IF(G380="","",ABS(P380-Components!$D$5)/Components!$E$5)</f>
        <v/>
      </c>
      <c r="U380" s="67">
        <f>IF(G380="","",ABS(P380-Components!$D$6)/Components!$E$6)</f>
        <v/>
      </c>
      <c r="V380" s="67">
        <f>IF(G380="","",ABS(P380-Components!$D$7)/Components!$E$7)</f>
        <v/>
      </c>
      <c r="W380" s="61">
        <f>IF(G380="","",IF(N380="OK","NONE",INDEX({"S1","S2","W1","W2","N1","N2"},MATCH(MIN(Q380:V380),Q380:V380,0))))</f>
        <v/>
      </c>
      <c r="X380" s="69">
        <f>IF(G380="","",IF(W380=E380,1,0))</f>
        <v/>
      </c>
      <c r="Y380" s="70" t="n"/>
    </row>
    <row r="381">
      <c r="A381" s="61" t="n">
        <v>51</v>
      </c>
      <c r="B381" s="62" t="n">
        <v>15</v>
      </c>
      <c r="C381" s="61" t="inlineStr">
        <is>
          <t>R6</t>
        </is>
      </c>
      <c r="D381" s="74" t="inlineStr">
        <is>
          <t>NG</t>
        </is>
      </c>
      <c r="E381" s="61" t="inlineStr">
        <is>
          <t>N2</t>
        </is>
      </c>
      <c r="F381" s="61" t="inlineStr">
        <is>
          <t>K049</t>
        </is>
      </c>
      <c r="G381" s="75" t="n">
        <v>7.28</v>
      </c>
      <c r="H381" s="65" t="n"/>
      <c r="I381" s="66" t="n"/>
      <c r="J381" s="67">
        <f>VLOOKUP(C381,Recipes!$A$2:$N$4,10,FALSE())</f>
        <v/>
      </c>
      <c r="K381" s="68">
        <f>VLOOKUP(C381,Recipes!$A$2:$N$4,12,FALSE())</f>
        <v/>
      </c>
      <c r="L381" s="67">
        <f>J381-6*K381</f>
        <v/>
      </c>
      <c r="M381" s="67">
        <f>J381+6*K381</f>
        <v/>
      </c>
      <c r="N381" s="61">
        <f>IF(G381="","",IF(AND(G381&gt;=L381,G381&lt;=M381),"OK","NG"))</f>
        <v/>
      </c>
      <c r="O381" s="69">
        <f>IF(N381="","",IF(N381=D381,1,0))</f>
        <v/>
      </c>
      <c r="P381" s="67">
        <f>IF(G381="","",J381-G381)</f>
        <v/>
      </c>
      <c r="Q381" s="67">
        <f>IF(G381="","",ABS(P381-Components!$D$2)/Components!$E$2)</f>
        <v/>
      </c>
      <c r="R381" s="67">
        <f>IF(G381="","",ABS(P381-Components!$D$3)/Components!$E$3)</f>
        <v/>
      </c>
      <c r="S381" s="67">
        <f>IF(G381="","",ABS(P381-Components!$D$4)/Components!$E$4)</f>
        <v/>
      </c>
      <c r="T381" s="67">
        <f>IF(G381="","",ABS(P381-Components!$D$5)/Components!$E$5)</f>
        <v/>
      </c>
      <c r="U381" s="67">
        <f>IF(G381="","",ABS(P381-Components!$D$6)/Components!$E$6)</f>
        <v/>
      </c>
      <c r="V381" s="67">
        <f>IF(G381="","",ABS(P381-Components!$D$7)/Components!$E$7)</f>
        <v/>
      </c>
      <c r="W381" s="61">
        <f>IF(G381="","",IF(N381="OK","NONE",INDEX({"S1","S2","W1","W2","N1","N2"},MATCH(MIN(Q381:V381),Q381:V381,0))))</f>
        <v/>
      </c>
      <c r="X381" s="69">
        <f>IF(G381="","",IF(W381=E381,1,0))</f>
        <v/>
      </c>
      <c r="Y381" s="70" t="n"/>
    </row>
    <row r="382">
      <c r="A382" s="61" t="n">
        <v>51</v>
      </c>
      <c r="B382" s="62" t="n">
        <v>15</v>
      </c>
      <c r="C382" s="61" t="inlineStr">
        <is>
          <t>R6</t>
        </is>
      </c>
      <c r="D382" s="74" t="inlineStr">
        <is>
          <t>NG</t>
        </is>
      </c>
      <c r="E382" s="61" t="inlineStr">
        <is>
          <t>N2</t>
        </is>
      </c>
      <c r="F382" s="61" t="inlineStr">
        <is>
          <t>K049</t>
        </is>
      </c>
      <c r="G382" s="75" t="n">
        <v>7.23</v>
      </c>
      <c r="H382" s="65" t="n"/>
      <c r="I382" s="66" t="n"/>
      <c r="J382" s="67">
        <f>VLOOKUP(C382,Recipes!$A$2:$N$4,10,FALSE())</f>
        <v/>
      </c>
      <c r="K382" s="68">
        <f>VLOOKUP(C382,Recipes!$A$2:$N$4,12,FALSE())</f>
        <v/>
      </c>
      <c r="L382" s="67">
        <f>J382-6*K382</f>
        <v/>
      </c>
      <c r="M382" s="67">
        <f>J382+6*K382</f>
        <v/>
      </c>
      <c r="N382" s="61">
        <f>IF(G382="","",IF(AND(G382&gt;=L382,G382&lt;=M382),"OK","NG"))</f>
        <v/>
      </c>
      <c r="O382" s="69">
        <f>IF(N382="","",IF(N382=D382,1,0))</f>
        <v/>
      </c>
      <c r="P382" s="67">
        <f>IF(G382="","",J382-G382)</f>
        <v/>
      </c>
      <c r="Q382" s="67">
        <f>IF(G382="","",ABS(P382-Components!$D$2)/Components!$E$2)</f>
        <v/>
      </c>
      <c r="R382" s="67">
        <f>IF(G382="","",ABS(P382-Components!$D$3)/Components!$E$3)</f>
        <v/>
      </c>
      <c r="S382" s="67">
        <f>IF(G382="","",ABS(P382-Components!$D$4)/Components!$E$4)</f>
        <v/>
      </c>
      <c r="T382" s="67">
        <f>IF(G382="","",ABS(P382-Components!$D$5)/Components!$E$5)</f>
        <v/>
      </c>
      <c r="U382" s="67">
        <f>IF(G382="","",ABS(P382-Components!$D$6)/Components!$E$6)</f>
        <v/>
      </c>
      <c r="V382" s="67">
        <f>IF(G382="","",ABS(P382-Components!$D$7)/Components!$E$7)</f>
        <v/>
      </c>
      <c r="W382" s="61">
        <f>IF(G382="","",IF(N382="OK","NONE",INDEX({"S1","S2","W1","W2","N1","N2"},MATCH(MIN(Q382:V382),Q382:V382,0))))</f>
        <v/>
      </c>
      <c r="X382" s="69">
        <f>IF(G382="","",IF(W382=E382,1,0))</f>
        <v/>
      </c>
      <c r="Y382" s="70" t="n"/>
    </row>
    <row r="383">
      <c r="A383" s="61" t="n">
        <v>51</v>
      </c>
      <c r="B383" s="62" t="n">
        <v>15</v>
      </c>
      <c r="C383" s="61" t="inlineStr">
        <is>
          <t>R6</t>
        </is>
      </c>
      <c r="D383" s="74" t="inlineStr">
        <is>
          <t>NG</t>
        </is>
      </c>
      <c r="E383" s="61" t="inlineStr">
        <is>
          <t>N2</t>
        </is>
      </c>
      <c r="F383" s="61" t="inlineStr">
        <is>
          <t>K049</t>
        </is>
      </c>
      <c r="G383" s="75" t="n">
        <v>7.26</v>
      </c>
      <c r="H383" s="65" t="n"/>
      <c r="I383" s="66" t="n"/>
      <c r="J383" s="67">
        <f>VLOOKUP(C383,Recipes!$A$2:$N$4,10,FALSE())</f>
        <v/>
      </c>
      <c r="K383" s="68">
        <f>VLOOKUP(C383,Recipes!$A$2:$N$4,12,FALSE())</f>
        <v/>
      </c>
      <c r="L383" s="67">
        <f>J383-6*K383</f>
        <v/>
      </c>
      <c r="M383" s="67">
        <f>J383+6*K383</f>
        <v/>
      </c>
      <c r="N383" s="61">
        <f>IF(G383="","",IF(AND(G383&gt;=L383,G383&lt;=M383),"OK","NG"))</f>
        <v/>
      </c>
      <c r="O383" s="69">
        <f>IF(N383="","",IF(N383=D383,1,0))</f>
        <v/>
      </c>
      <c r="P383" s="67">
        <f>IF(G383="","",J383-G383)</f>
        <v/>
      </c>
      <c r="Q383" s="67">
        <f>IF(G383="","",ABS(P383-Components!$D$2)/Components!$E$2)</f>
        <v/>
      </c>
      <c r="R383" s="67">
        <f>IF(G383="","",ABS(P383-Components!$D$3)/Components!$E$3)</f>
        <v/>
      </c>
      <c r="S383" s="67">
        <f>IF(G383="","",ABS(P383-Components!$D$4)/Components!$E$4)</f>
        <v/>
      </c>
      <c r="T383" s="67">
        <f>IF(G383="","",ABS(P383-Components!$D$5)/Components!$E$5)</f>
        <v/>
      </c>
      <c r="U383" s="67">
        <f>IF(G383="","",ABS(P383-Components!$D$6)/Components!$E$6)</f>
        <v/>
      </c>
      <c r="V383" s="67">
        <f>IF(G383="","",ABS(P383-Components!$D$7)/Components!$E$7)</f>
        <v/>
      </c>
      <c r="W383" s="61">
        <f>IF(G383="","",IF(N383="OK","NONE",INDEX({"S1","S2","W1","W2","N1","N2"},MATCH(MIN(Q383:V383),Q383:V383,0))))</f>
        <v/>
      </c>
      <c r="X383" s="69">
        <f>IF(G383="","",IF(W383=E383,1,0))</f>
        <v/>
      </c>
      <c r="Y383" s="70" t="n"/>
    </row>
    <row r="384">
      <c r="A384" s="61" t="n">
        <v>51</v>
      </c>
      <c r="B384" s="62" t="n">
        <v>15</v>
      </c>
      <c r="C384" s="61" t="inlineStr">
        <is>
          <t>R6</t>
        </is>
      </c>
      <c r="D384" s="74" t="inlineStr">
        <is>
          <t>NG</t>
        </is>
      </c>
      <c r="E384" s="61" t="inlineStr">
        <is>
          <t>N2</t>
        </is>
      </c>
      <c r="F384" s="61" t="inlineStr">
        <is>
          <t>K049</t>
        </is>
      </c>
      <c r="G384" s="75" t="n">
        <v>7.26</v>
      </c>
      <c r="H384" s="65" t="n"/>
      <c r="I384" s="66" t="n"/>
      <c r="J384" s="67">
        <f>VLOOKUP(C384,Recipes!$A$2:$N$4,10,FALSE())</f>
        <v/>
      </c>
      <c r="K384" s="68">
        <f>VLOOKUP(C384,Recipes!$A$2:$N$4,12,FALSE())</f>
        <v/>
      </c>
      <c r="L384" s="67">
        <f>J384-6*K384</f>
        <v/>
      </c>
      <c r="M384" s="67">
        <f>J384+6*K384</f>
        <v/>
      </c>
      <c r="N384" s="61">
        <f>IF(G384="","",IF(AND(G384&gt;=L384,G384&lt;=M384),"OK","NG"))</f>
        <v/>
      </c>
      <c r="O384" s="69">
        <f>IF(N384="","",IF(N384=D384,1,0))</f>
        <v/>
      </c>
      <c r="P384" s="67">
        <f>IF(G384="","",J384-G384)</f>
        <v/>
      </c>
      <c r="Q384" s="67">
        <f>IF(G384="","",ABS(P384-Components!$D$2)/Components!$E$2)</f>
        <v/>
      </c>
      <c r="R384" s="67">
        <f>IF(G384="","",ABS(P384-Components!$D$3)/Components!$E$3)</f>
        <v/>
      </c>
      <c r="S384" s="67">
        <f>IF(G384="","",ABS(P384-Components!$D$4)/Components!$E$4)</f>
        <v/>
      </c>
      <c r="T384" s="67">
        <f>IF(G384="","",ABS(P384-Components!$D$5)/Components!$E$5)</f>
        <v/>
      </c>
      <c r="U384" s="67">
        <f>IF(G384="","",ABS(P384-Components!$D$6)/Components!$E$6)</f>
        <v/>
      </c>
      <c r="V384" s="67">
        <f>IF(G384="","",ABS(P384-Components!$D$7)/Components!$E$7)</f>
        <v/>
      </c>
      <c r="W384" s="61">
        <f>IF(G384="","",IF(N384="OK","NONE",INDEX({"S1","S2","W1","W2","N1","N2"},MATCH(MIN(Q384:V384),Q384:V384,0))))</f>
        <v/>
      </c>
      <c r="X384" s="69">
        <f>IF(G384="","",IF(W384=E384,1,0))</f>
        <v/>
      </c>
      <c r="Y384" s="70" t="n"/>
    </row>
    <row r="385">
      <c r="A385" s="61" t="n">
        <v>51</v>
      </c>
      <c r="B385" s="62" t="n">
        <v>15</v>
      </c>
      <c r="C385" s="61" t="inlineStr">
        <is>
          <t>R6</t>
        </is>
      </c>
      <c r="D385" s="74" t="inlineStr">
        <is>
          <t>NG</t>
        </is>
      </c>
      <c r="E385" s="61" t="inlineStr">
        <is>
          <t>N2</t>
        </is>
      </c>
      <c r="F385" s="61" t="inlineStr">
        <is>
          <t>K049</t>
        </is>
      </c>
      <c r="G385" s="75" t="n">
        <v>7.27</v>
      </c>
      <c r="H385" s="65" t="n"/>
      <c r="I385" s="66" t="n"/>
      <c r="J385" s="67">
        <f>VLOOKUP(C385,Recipes!$A$2:$N$4,10,FALSE())</f>
        <v/>
      </c>
      <c r="K385" s="68">
        <f>VLOOKUP(C385,Recipes!$A$2:$N$4,12,FALSE())</f>
        <v/>
      </c>
      <c r="L385" s="67">
        <f>J385-6*K385</f>
        <v/>
      </c>
      <c r="M385" s="67">
        <f>J385+6*K385</f>
        <v/>
      </c>
      <c r="N385" s="61">
        <f>IF(G385="","",IF(AND(G385&gt;=L385,G385&lt;=M385),"OK","NG"))</f>
        <v/>
      </c>
      <c r="O385" s="69">
        <f>IF(N385="","",IF(N385=D385,1,0))</f>
        <v/>
      </c>
      <c r="P385" s="67">
        <f>IF(G385="","",J385-G385)</f>
        <v/>
      </c>
      <c r="Q385" s="67">
        <f>IF(G385="","",ABS(P385-Components!$D$2)/Components!$E$2)</f>
        <v/>
      </c>
      <c r="R385" s="67">
        <f>IF(G385="","",ABS(P385-Components!$D$3)/Components!$E$3)</f>
        <v/>
      </c>
      <c r="S385" s="67">
        <f>IF(G385="","",ABS(P385-Components!$D$4)/Components!$E$4)</f>
        <v/>
      </c>
      <c r="T385" s="67">
        <f>IF(G385="","",ABS(P385-Components!$D$5)/Components!$E$5)</f>
        <v/>
      </c>
      <c r="U385" s="67">
        <f>IF(G385="","",ABS(P385-Components!$D$6)/Components!$E$6)</f>
        <v/>
      </c>
      <c r="V385" s="67">
        <f>IF(G385="","",ABS(P385-Components!$D$7)/Components!$E$7)</f>
        <v/>
      </c>
      <c r="W385" s="61">
        <f>IF(G385="","",IF(N385="OK","NONE",INDEX({"S1","S2","W1","W2","N1","N2"},MATCH(MIN(Q385:V385),Q385:V385,0))))</f>
        <v/>
      </c>
      <c r="X385" s="69">
        <f>IF(G385="","",IF(W385=E385,1,0))</f>
        <v/>
      </c>
      <c r="Y385" s="70" t="n"/>
    </row>
    <row r="386">
      <c r="A386" s="61" t="n">
        <v>51</v>
      </c>
      <c r="B386" s="62" t="n">
        <v>15</v>
      </c>
      <c r="C386" s="61" t="inlineStr">
        <is>
          <t>R6</t>
        </is>
      </c>
      <c r="D386" s="74" t="inlineStr">
        <is>
          <t>NG</t>
        </is>
      </c>
      <c r="E386" s="61" t="inlineStr">
        <is>
          <t>N2</t>
        </is>
      </c>
      <c r="F386" s="61" t="inlineStr">
        <is>
          <t>K049</t>
        </is>
      </c>
      <c r="G386" s="75" t="n">
        <v>7.14</v>
      </c>
      <c r="H386" s="65" t="n"/>
      <c r="I386" s="66" t="n"/>
      <c r="J386" s="67">
        <f>VLOOKUP(C386,Recipes!$A$2:$N$4,10,FALSE())</f>
        <v/>
      </c>
      <c r="K386" s="68">
        <f>VLOOKUP(C386,Recipes!$A$2:$N$4,12,FALSE())</f>
        <v/>
      </c>
      <c r="L386" s="67">
        <f>J386-6*K386</f>
        <v/>
      </c>
      <c r="M386" s="67">
        <f>J386+6*K386</f>
        <v/>
      </c>
      <c r="N386" s="61">
        <f>IF(G386="","",IF(AND(G386&gt;=L386,G386&lt;=M386),"OK","NG"))</f>
        <v/>
      </c>
      <c r="O386" s="69">
        <f>IF(N386="","",IF(N386=D386,1,0))</f>
        <v/>
      </c>
      <c r="P386" s="67">
        <f>IF(G386="","",J386-G386)</f>
        <v/>
      </c>
      <c r="Q386" s="67">
        <f>IF(G386="","",ABS(P386-Components!$D$2)/Components!$E$2)</f>
        <v/>
      </c>
      <c r="R386" s="67">
        <f>IF(G386="","",ABS(P386-Components!$D$3)/Components!$E$3)</f>
        <v/>
      </c>
      <c r="S386" s="67">
        <f>IF(G386="","",ABS(P386-Components!$D$4)/Components!$E$4)</f>
        <v/>
      </c>
      <c r="T386" s="67">
        <f>IF(G386="","",ABS(P386-Components!$D$5)/Components!$E$5)</f>
        <v/>
      </c>
      <c r="U386" s="67">
        <f>IF(G386="","",ABS(P386-Components!$D$6)/Components!$E$6)</f>
        <v/>
      </c>
      <c r="V386" s="67">
        <f>IF(G386="","",ABS(P386-Components!$D$7)/Components!$E$7)</f>
        <v/>
      </c>
      <c r="W386" s="61">
        <f>IF(G386="","",IF(N386="OK","NONE",INDEX({"S1","S2","W1","W2","N1","N2"},MATCH(MIN(Q386:V386),Q386:V386,0))))</f>
        <v/>
      </c>
      <c r="X386" s="69">
        <f>IF(G386="","",IF(W386=E386,1,0))</f>
        <v/>
      </c>
      <c r="Y386" s="70" t="n"/>
    </row>
    <row r="387">
      <c r="A387" s="61" t="n">
        <v>51</v>
      </c>
      <c r="B387" s="62" t="n">
        <v>15</v>
      </c>
      <c r="C387" s="61" t="inlineStr">
        <is>
          <t>R6</t>
        </is>
      </c>
      <c r="D387" s="74" t="inlineStr">
        <is>
          <t>NG</t>
        </is>
      </c>
      <c r="E387" s="61" t="inlineStr">
        <is>
          <t>N2</t>
        </is>
      </c>
      <c r="F387" s="61" t="inlineStr">
        <is>
          <t>K049</t>
        </is>
      </c>
      <c r="G387" s="75" t="n">
        <v>6.97</v>
      </c>
      <c r="H387" s="65" t="n"/>
      <c r="I387" s="66" t="n"/>
      <c r="J387" s="67">
        <f>VLOOKUP(C387,Recipes!$A$2:$N$4,10,FALSE())</f>
        <v/>
      </c>
      <c r="K387" s="68">
        <f>VLOOKUP(C387,Recipes!$A$2:$N$4,12,FALSE())</f>
        <v/>
      </c>
      <c r="L387" s="67">
        <f>J387-6*K387</f>
        <v/>
      </c>
      <c r="M387" s="67">
        <f>J387+6*K387</f>
        <v/>
      </c>
      <c r="N387" s="61">
        <f>IF(G387="","",IF(AND(G387&gt;=L387,G387&lt;=M387),"OK","NG"))</f>
        <v/>
      </c>
      <c r="O387" s="69">
        <f>IF(N387="","",IF(N387=D387,1,0))</f>
        <v/>
      </c>
      <c r="P387" s="67">
        <f>IF(G387="","",J387-G387)</f>
        <v/>
      </c>
      <c r="Q387" s="67">
        <f>IF(G387="","",ABS(P387-Components!$D$2)/Components!$E$2)</f>
        <v/>
      </c>
      <c r="R387" s="67">
        <f>IF(G387="","",ABS(P387-Components!$D$3)/Components!$E$3)</f>
        <v/>
      </c>
      <c r="S387" s="67">
        <f>IF(G387="","",ABS(P387-Components!$D$4)/Components!$E$4)</f>
        <v/>
      </c>
      <c r="T387" s="67">
        <f>IF(G387="","",ABS(P387-Components!$D$5)/Components!$E$5)</f>
        <v/>
      </c>
      <c r="U387" s="67">
        <f>IF(G387="","",ABS(P387-Components!$D$6)/Components!$E$6)</f>
        <v/>
      </c>
      <c r="V387" s="67">
        <f>IF(G387="","",ABS(P387-Components!$D$7)/Components!$E$7)</f>
        <v/>
      </c>
      <c r="W387" s="61">
        <f>IF(G387="","",IF(N387="OK","NONE",INDEX({"S1","S2","W1","W2","N1","N2"},MATCH(MIN(Q387:V387),Q387:V387,0))))</f>
        <v/>
      </c>
      <c r="X387" s="69">
        <f>IF(G387="","",IF(W387=E387,1,0))</f>
        <v/>
      </c>
      <c r="Y387" s="70" t="n"/>
    </row>
    <row r="388">
      <c r="A388" s="61" t="n">
        <v>51</v>
      </c>
      <c r="B388" s="62" t="n">
        <v>15</v>
      </c>
      <c r="C388" s="61" t="inlineStr">
        <is>
          <t>R6</t>
        </is>
      </c>
      <c r="D388" s="74" t="inlineStr">
        <is>
          <t>NG</t>
        </is>
      </c>
      <c r="E388" s="61" t="inlineStr">
        <is>
          <t>N2</t>
        </is>
      </c>
      <c r="F388" s="61" t="inlineStr">
        <is>
          <t>K049</t>
        </is>
      </c>
      <c r="G388" s="64" t="n">
        <v>7.29</v>
      </c>
      <c r="H388" s="65" t="n"/>
      <c r="I388" s="66" t="n"/>
      <c r="J388" s="67">
        <f>VLOOKUP(C388,Recipes!$A$2:$N$4,10,FALSE())</f>
        <v/>
      </c>
      <c r="K388" s="68">
        <f>VLOOKUP(C388,Recipes!$A$2:$N$4,12,FALSE())</f>
        <v/>
      </c>
      <c r="L388" s="67">
        <f>J388-6*K388</f>
        <v/>
      </c>
      <c r="M388" s="67">
        <f>J388+6*K388</f>
        <v/>
      </c>
      <c r="N388" s="61">
        <f>IF(G388="","",IF(AND(G388&gt;=L388,G388&lt;=M388),"OK","NG"))</f>
        <v/>
      </c>
      <c r="O388" s="69">
        <f>IF(N388="","",IF(N388=D388,1,0))</f>
        <v/>
      </c>
      <c r="P388" s="67">
        <f>IF(G388="","",J388-G388)</f>
        <v/>
      </c>
      <c r="Q388" s="67">
        <f>IF(G388="","",ABS(P388-Components!$D$2)/Components!$E$2)</f>
        <v/>
      </c>
      <c r="R388" s="67">
        <f>IF(G388="","",ABS(P388-Components!$D$3)/Components!$E$3)</f>
        <v/>
      </c>
      <c r="S388" s="67">
        <f>IF(G388="","",ABS(P388-Components!$D$4)/Components!$E$4)</f>
        <v/>
      </c>
      <c r="T388" s="67">
        <f>IF(G388="","",ABS(P388-Components!$D$5)/Components!$E$5)</f>
        <v/>
      </c>
      <c r="U388" s="67">
        <f>IF(G388="","",ABS(P388-Components!$D$6)/Components!$E$6)</f>
        <v/>
      </c>
      <c r="V388" s="67">
        <f>IF(G388="","",ABS(P388-Components!$D$7)/Components!$E$7)</f>
        <v/>
      </c>
      <c r="W388" s="61">
        <f>IF(G388="","",IF(N388="OK","NONE",INDEX({"S1","S2","W1","W2","N1","N2"},MATCH(MIN(Q388:V388),Q388:V388,0))))</f>
        <v/>
      </c>
      <c r="X388" s="69">
        <f>IF(G388="","",IF(W388=E388,1,0))</f>
        <v/>
      </c>
      <c r="Y388" s="70" t="n"/>
    </row>
    <row r="389">
      <c r="A389" s="61" t="n">
        <v>52</v>
      </c>
      <c r="B389" s="62" t="n">
        <v>16</v>
      </c>
      <c r="C389" s="61" t="inlineStr">
        <is>
          <t>R6</t>
        </is>
      </c>
      <c r="D389" s="74" t="inlineStr">
        <is>
          <t>NG</t>
        </is>
      </c>
      <c r="E389" s="61" t="inlineStr">
        <is>
          <t>N2</t>
        </is>
      </c>
      <c r="F389" s="61" t="inlineStr">
        <is>
          <t>K050</t>
        </is>
      </c>
      <c r="G389" s="64" t="n">
        <v>7.16</v>
      </c>
      <c r="H389" s="65" t="n"/>
      <c r="I389" s="66" t="n"/>
      <c r="J389" s="67">
        <f>VLOOKUP(C389,Recipes!$A$2:$N$4,10,FALSE())</f>
        <v/>
      </c>
      <c r="K389" s="68">
        <f>VLOOKUP(C389,Recipes!$A$2:$N$4,12,FALSE())</f>
        <v/>
      </c>
      <c r="L389" s="67">
        <f>J389-6*K389</f>
        <v/>
      </c>
      <c r="M389" s="67">
        <f>J389+6*K389</f>
        <v/>
      </c>
      <c r="N389" s="61">
        <f>IF(G389="","",IF(AND(G389&gt;=L389,G389&lt;=M389),"OK","NG"))</f>
        <v/>
      </c>
      <c r="O389" s="69">
        <f>IF(N389="","",IF(N389=D389,1,0))</f>
        <v/>
      </c>
      <c r="P389" s="67">
        <f>IF(G389="","",J389-G389)</f>
        <v/>
      </c>
      <c r="Q389" s="67">
        <f>IF(G389="","",ABS(P389-Components!$D$2)/Components!$E$2)</f>
        <v/>
      </c>
      <c r="R389" s="67">
        <f>IF(G389="","",ABS(P389-Components!$D$3)/Components!$E$3)</f>
        <v/>
      </c>
      <c r="S389" s="67">
        <f>IF(G389="","",ABS(P389-Components!$D$4)/Components!$E$4)</f>
        <v/>
      </c>
      <c r="T389" s="67">
        <f>IF(G389="","",ABS(P389-Components!$D$5)/Components!$E$5)</f>
        <v/>
      </c>
      <c r="U389" s="67">
        <f>IF(G389="","",ABS(P389-Components!$D$6)/Components!$E$6)</f>
        <v/>
      </c>
      <c r="V389" s="67">
        <f>IF(G389="","",ABS(P389-Components!$D$7)/Components!$E$7)</f>
        <v/>
      </c>
      <c r="W389" s="61">
        <f>IF(G389="","",IF(N389="OK","NONE",INDEX({"S1","S2","W1","W2","N1","N2"},MATCH(MIN(Q389:V389),Q389:V389,0))))</f>
        <v/>
      </c>
      <c r="X389" s="69">
        <f>IF(G389="","",IF(W389=E389,1,0))</f>
        <v/>
      </c>
      <c r="Y389" s="70" t="n"/>
    </row>
    <row r="390">
      <c r="A390" s="61" t="n">
        <v>53</v>
      </c>
      <c r="B390" s="62" t="n">
        <v>18</v>
      </c>
      <c r="C390" s="61" t="inlineStr">
        <is>
          <t>R6</t>
        </is>
      </c>
      <c r="D390" s="74" t="inlineStr">
        <is>
          <t>NG</t>
        </is>
      </c>
      <c r="E390" s="61" t="inlineStr">
        <is>
          <t>N2</t>
        </is>
      </c>
      <c r="F390" s="61" t="inlineStr">
        <is>
          <t>K051</t>
        </is>
      </c>
      <c r="G390" s="64" t="n">
        <v>7.23</v>
      </c>
      <c r="H390" s="65" t="n"/>
      <c r="I390" s="66" t="n"/>
      <c r="J390" s="67">
        <f>VLOOKUP(C390,Recipes!$A$2:$N$4,10,FALSE())</f>
        <v/>
      </c>
      <c r="K390" s="68">
        <f>VLOOKUP(C390,Recipes!$A$2:$N$4,12,FALSE())</f>
        <v/>
      </c>
      <c r="L390" s="67">
        <f>J390-6*K390</f>
        <v/>
      </c>
      <c r="M390" s="67">
        <f>J390+6*K390</f>
        <v/>
      </c>
      <c r="N390" s="61">
        <f>IF(G390="","",IF(AND(G390&gt;=L390,G390&lt;=M390),"OK","NG"))</f>
        <v/>
      </c>
      <c r="O390" s="69">
        <f>IF(N390="","",IF(N390=D390,1,0))</f>
        <v/>
      </c>
      <c r="P390" s="67">
        <f>IF(G390="","",J390-G390)</f>
        <v/>
      </c>
      <c r="Q390" s="67">
        <f>IF(G390="","",ABS(P390-Components!$D$2)/Components!$E$2)</f>
        <v/>
      </c>
      <c r="R390" s="67">
        <f>IF(G390="","",ABS(P390-Components!$D$3)/Components!$E$3)</f>
        <v/>
      </c>
      <c r="S390" s="67">
        <f>IF(G390="","",ABS(P390-Components!$D$4)/Components!$E$4)</f>
        <v/>
      </c>
      <c r="T390" s="67">
        <f>IF(G390="","",ABS(P390-Components!$D$5)/Components!$E$5)</f>
        <v/>
      </c>
      <c r="U390" s="67">
        <f>IF(G390="","",ABS(P390-Components!$D$6)/Components!$E$6)</f>
        <v/>
      </c>
      <c r="V390" s="67">
        <f>IF(G390="","",ABS(P390-Components!$D$7)/Components!$E$7)</f>
        <v/>
      </c>
      <c r="W390" s="61">
        <f>IF(G390="","",IF(N390="OK","NONE",INDEX({"S1","S2","W1","W2","N1","N2"},MATCH(MIN(Q390:V390),Q390:V390,0))))</f>
        <v/>
      </c>
      <c r="X390" s="69">
        <f>IF(G390="","",IF(W390=E390,1,0))</f>
        <v/>
      </c>
      <c r="Y390" s="70" t="n"/>
    </row>
    <row r="391">
      <c r="A391" s="76" t="n">
        <v>54</v>
      </c>
      <c r="B391" s="80" t="n"/>
      <c r="C391" s="76" t="inlineStr">
        <is>
          <t>R6</t>
        </is>
      </c>
      <c r="D391" s="78" t="inlineStr">
        <is>
          <t>NG</t>
        </is>
      </c>
      <c r="E391" s="76" t="inlineStr">
        <is>
          <t>N2</t>
        </is>
      </c>
      <c r="F391" s="81" t="n"/>
      <c r="G391" s="75" t="n">
        <v>7.25</v>
      </c>
      <c r="H391" s="65" t="n"/>
      <c r="I391" s="66" t="n"/>
      <c r="J391" s="67">
        <f>VLOOKUP(C391,Recipes!$A$2:$N$4,10,FALSE())</f>
        <v/>
      </c>
      <c r="K391" s="68">
        <f>VLOOKUP(C391,Recipes!$A$2:$N$4,12,FALSE())</f>
        <v/>
      </c>
      <c r="L391" s="67">
        <f>J391-6*K391</f>
        <v/>
      </c>
      <c r="M391" s="67">
        <f>J391+6*K391</f>
        <v/>
      </c>
      <c r="N391" s="61">
        <f>IF(G391="","",IF(AND(G391&gt;=L391,G391&lt;=M391),"OK","NG"))</f>
        <v/>
      </c>
      <c r="O391" s="69">
        <f>IF(N391="","",IF(N391=D391,1,0))</f>
        <v/>
      </c>
      <c r="P391" s="67">
        <f>IF(G391="","",J391-G391)</f>
        <v/>
      </c>
      <c r="Q391" s="67">
        <f>IF(G391="","",ABS(P391-Components!$D$2)/Components!$E$2)</f>
        <v/>
      </c>
      <c r="R391" s="67">
        <f>IF(G391="","",ABS(P391-Components!$D$3)/Components!$E$3)</f>
        <v/>
      </c>
      <c r="S391" s="67">
        <f>IF(G391="","",ABS(P391-Components!$D$4)/Components!$E$4)</f>
        <v/>
      </c>
      <c r="T391" s="67">
        <f>IF(G391="","",ABS(P391-Components!$D$5)/Components!$E$5)</f>
        <v/>
      </c>
      <c r="U391" s="67">
        <f>IF(G391="","",ABS(P391-Components!$D$6)/Components!$E$6)</f>
        <v/>
      </c>
      <c r="V391" s="67">
        <f>IF(G391="","",ABS(P391-Components!$D$7)/Components!$E$7)</f>
        <v/>
      </c>
      <c r="W391" s="61">
        <f>IF(G391="","",IF(N391="OK","NONE",INDEX({"S1","S2","W1","W2","N1","N2"},MATCH(MIN(Q391:V391),Q391:V391,0))))</f>
        <v/>
      </c>
      <c r="X391" s="69">
        <f>IF(G391="","",IF(W391=E391,1,0))</f>
        <v/>
      </c>
      <c r="Y391" s="70" t="n"/>
    </row>
    <row r="392">
      <c r="A392" s="79" t="n"/>
      <c r="B392" s="80" t="n"/>
      <c r="C392" s="76" t="inlineStr">
        <is>
          <t>R6</t>
        </is>
      </c>
      <c r="D392" s="78" t="inlineStr">
        <is>
          <t>NG</t>
        </is>
      </c>
      <c r="E392" s="76" t="inlineStr">
        <is>
          <t>N2</t>
        </is>
      </c>
      <c r="F392" s="81" t="n"/>
      <c r="G392" s="75" t="n">
        <v>7.2</v>
      </c>
      <c r="H392" s="65" t="n"/>
      <c r="I392" s="66" t="n"/>
      <c r="J392" s="67">
        <f>VLOOKUP(C392,Recipes!$A$2:$N$4,10,FALSE())</f>
        <v/>
      </c>
      <c r="K392" s="68">
        <f>VLOOKUP(C392,Recipes!$A$2:$N$4,12,FALSE())</f>
        <v/>
      </c>
      <c r="L392" s="67">
        <f>J392-6*K392</f>
        <v/>
      </c>
      <c r="M392" s="67">
        <f>J392+6*K392</f>
        <v/>
      </c>
      <c r="N392" s="61">
        <f>IF(G392="","",IF(AND(G392&gt;=L392,G392&lt;=M392),"OK","NG"))</f>
        <v/>
      </c>
      <c r="O392" s="69">
        <f>IF(N392="","",IF(N392=D392,1,0))</f>
        <v/>
      </c>
      <c r="P392" s="67">
        <f>IF(G392="","",J392-G392)</f>
        <v/>
      </c>
      <c r="Q392" s="67">
        <f>IF(G392="","",ABS(P392-Components!$D$2)/Components!$E$2)</f>
        <v/>
      </c>
      <c r="R392" s="67">
        <f>IF(G392="","",ABS(P392-Components!$D$3)/Components!$E$3)</f>
        <v/>
      </c>
      <c r="S392" s="67">
        <f>IF(G392="","",ABS(P392-Components!$D$4)/Components!$E$4)</f>
        <v/>
      </c>
      <c r="T392" s="67">
        <f>IF(G392="","",ABS(P392-Components!$D$5)/Components!$E$5)</f>
        <v/>
      </c>
      <c r="U392" s="67">
        <f>IF(G392="","",ABS(P392-Components!$D$6)/Components!$E$6)</f>
        <v/>
      </c>
      <c r="V392" s="67">
        <f>IF(G392="","",ABS(P392-Components!$D$7)/Components!$E$7)</f>
        <v/>
      </c>
      <c r="W392" s="61">
        <f>IF(G392="","",IF(N392="OK","NONE",INDEX({"S1","S2","W1","W2","N1","N2"},MATCH(MIN(Q392:V392),Q392:V392,0))))</f>
        <v/>
      </c>
      <c r="X392" s="69">
        <f>IF(G392="","",IF(W392=E392,1,0))</f>
        <v/>
      </c>
      <c r="Y392" s="70" t="n"/>
    </row>
    <row r="393">
      <c r="A393" s="61" t="n">
        <v>52</v>
      </c>
      <c r="B393" s="62" t="n">
        <v>48</v>
      </c>
      <c r="C393" s="61" t="inlineStr">
        <is>
          <t>R6</t>
        </is>
      </c>
      <c r="D393" s="74" t="inlineStr">
        <is>
          <t>NG</t>
        </is>
      </c>
      <c r="E393" s="61" t="inlineStr">
        <is>
          <t>N1</t>
        </is>
      </c>
      <c r="F393" s="61" t="inlineStr">
        <is>
          <t>K052</t>
        </is>
      </c>
      <c r="G393" s="75" t="n">
        <v>7.39</v>
      </c>
      <c r="H393" s="65" t="n"/>
      <c r="I393" s="66" t="n"/>
      <c r="J393" s="67">
        <f>VLOOKUP(C393,Recipes!$A$2:$N$4,10,FALSE())</f>
        <v/>
      </c>
      <c r="K393" s="68">
        <f>VLOOKUP(C393,Recipes!$A$2:$N$4,12,FALSE())</f>
        <v/>
      </c>
      <c r="L393" s="67">
        <f>J393-6*K393</f>
        <v/>
      </c>
      <c r="M393" s="67">
        <f>J393+6*K393</f>
        <v/>
      </c>
      <c r="N393" s="61">
        <f>IF(G393="","",IF(AND(G393&gt;=L393,G393&lt;=M393),"OK","NG"))</f>
        <v/>
      </c>
      <c r="O393" s="69">
        <f>IF(N393="","",IF(N393=D393,1,0))</f>
        <v/>
      </c>
      <c r="P393" s="67">
        <f>IF(G393="","",J393-G393)</f>
        <v/>
      </c>
      <c r="Q393" s="67">
        <f>IF(G393="","",ABS(P393-Components!$D$2)/Components!$E$2)</f>
        <v/>
      </c>
      <c r="R393" s="67">
        <f>IF(G393="","",ABS(P393-Components!$D$3)/Components!$E$3)</f>
        <v/>
      </c>
      <c r="S393" s="67">
        <f>IF(G393="","",ABS(P393-Components!$D$4)/Components!$E$4)</f>
        <v/>
      </c>
      <c r="T393" s="67">
        <f>IF(G393="","",ABS(P393-Components!$D$5)/Components!$E$5)</f>
        <v/>
      </c>
      <c r="U393" s="67">
        <f>IF(G393="","",ABS(P393-Components!$D$6)/Components!$E$6)</f>
        <v/>
      </c>
      <c r="V393" s="67">
        <f>IF(G393="","",ABS(P393-Components!$D$7)/Components!$E$7)</f>
        <v/>
      </c>
      <c r="W393" s="61">
        <f>IF(G393="","",IF(N393="OK","NONE",INDEX({"S1","S2","W1","W2","N1","N2"},MATCH(MIN(Q393:V393),Q393:V393,0))))</f>
        <v/>
      </c>
      <c r="X393" s="69">
        <f>IF(G393="","",IF(W393=E393,1,0))</f>
        <v/>
      </c>
      <c r="Y393" s="70" t="n"/>
    </row>
    <row r="394">
      <c r="A394" s="61" t="n">
        <v>52</v>
      </c>
      <c r="B394" s="62" t="n">
        <v>48</v>
      </c>
      <c r="C394" s="61" t="inlineStr">
        <is>
          <t>R6</t>
        </is>
      </c>
      <c r="D394" s="74" t="inlineStr">
        <is>
          <t>NG</t>
        </is>
      </c>
      <c r="E394" s="61" t="inlineStr">
        <is>
          <t>N1</t>
        </is>
      </c>
      <c r="F394" s="61" t="inlineStr">
        <is>
          <t>K052</t>
        </is>
      </c>
      <c r="G394" s="75" t="n">
        <v>7.49</v>
      </c>
      <c r="H394" s="65" t="n"/>
      <c r="I394" s="66" t="n"/>
      <c r="J394" s="67">
        <f>VLOOKUP(C394,Recipes!$A$2:$N$4,10,FALSE())</f>
        <v/>
      </c>
      <c r="K394" s="68">
        <f>VLOOKUP(C394,Recipes!$A$2:$N$4,12,FALSE())</f>
        <v/>
      </c>
      <c r="L394" s="67">
        <f>J394-6*K394</f>
        <v/>
      </c>
      <c r="M394" s="67">
        <f>J394+6*K394</f>
        <v/>
      </c>
      <c r="N394" s="61">
        <f>IF(G394="","",IF(AND(G394&gt;=L394,G394&lt;=M394),"OK","NG"))</f>
        <v/>
      </c>
      <c r="O394" s="69">
        <f>IF(N394="","",IF(N394=D394,1,0))</f>
        <v/>
      </c>
      <c r="P394" s="67">
        <f>IF(G394="","",J394-G394)</f>
        <v/>
      </c>
      <c r="Q394" s="67">
        <f>IF(G394="","",ABS(P394-Components!$D$2)/Components!$E$2)</f>
        <v/>
      </c>
      <c r="R394" s="67">
        <f>IF(G394="","",ABS(P394-Components!$D$3)/Components!$E$3)</f>
        <v/>
      </c>
      <c r="S394" s="67">
        <f>IF(G394="","",ABS(P394-Components!$D$4)/Components!$E$4)</f>
        <v/>
      </c>
      <c r="T394" s="67">
        <f>IF(G394="","",ABS(P394-Components!$D$5)/Components!$E$5)</f>
        <v/>
      </c>
      <c r="U394" s="67">
        <f>IF(G394="","",ABS(P394-Components!$D$6)/Components!$E$6)</f>
        <v/>
      </c>
      <c r="V394" s="67">
        <f>IF(G394="","",ABS(P394-Components!$D$7)/Components!$E$7)</f>
        <v/>
      </c>
      <c r="W394" s="61">
        <f>IF(G394="","",IF(N394="OK","NONE",INDEX({"S1","S2","W1","W2","N1","N2"},MATCH(MIN(Q394:V394),Q394:V394,0))))</f>
        <v/>
      </c>
      <c r="X394" s="69">
        <f>IF(G394="","",IF(W394=E394,1,0))</f>
        <v/>
      </c>
      <c r="Y394" s="70" t="n"/>
    </row>
    <row r="395">
      <c r="A395" s="61" t="n">
        <v>52</v>
      </c>
      <c r="B395" s="62" t="n">
        <v>48</v>
      </c>
      <c r="C395" s="61" t="inlineStr">
        <is>
          <t>R6</t>
        </is>
      </c>
      <c r="D395" s="74" t="inlineStr">
        <is>
          <t>NG</t>
        </is>
      </c>
      <c r="E395" s="61" t="inlineStr">
        <is>
          <t>N1</t>
        </is>
      </c>
      <c r="F395" s="61" t="inlineStr">
        <is>
          <t>K052</t>
        </is>
      </c>
      <c r="G395" s="75" t="n">
        <v>7.43</v>
      </c>
      <c r="H395" s="65" t="n"/>
      <c r="I395" s="66" t="n"/>
      <c r="J395" s="67">
        <f>VLOOKUP(C395,Recipes!$A$2:$N$4,10,FALSE())</f>
        <v/>
      </c>
      <c r="K395" s="68">
        <f>VLOOKUP(C395,Recipes!$A$2:$N$4,12,FALSE())</f>
        <v/>
      </c>
      <c r="L395" s="67">
        <f>J395-6*K395</f>
        <v/>
      </c>
      <c r="M395" s="67">
        <f>J395+6*K395</f>
        <v/>
      </c>
      <c r="N395" s="61">
        <f>IF(G395="","",IF(AND(G395&gt;=L395,G395&lt;=M395),"OK","NG"))</f>
        <v/>
      </c>
      <c r="O395" s="69">
        <f>IF(N395="","",IF(N395=D395,1,0))</f>
        <v/>
      </c>
      <c r="P395" s="67">
        <f>IF(G395="","",J395-G395)</f>
        <v/>
      </c>
      <c r="Q395" s="67">
        <f>IF(G395="","",ABS(P395-Components!$D$2)/Components!$E$2)</f>
        <v/>
      </c>
      <c r="R395" s="67">
        <f>IF(G395="","",ABS(P395-Components!$D$3)/Components!$E$3)</f>
        <v/>
      </c>
      <c r="S395" s="67">
        <f>IF(G395="","",ABS(P395-Components!$D$4)/Components!$E$4)</f>
        <v/>
      </c>
      <c r="T395" s="67">
        <f>IF(G395="","",ABS(P395-Components!$D$5)/Components!$E$5)</f>
        <v/>
      </c>
      <c r="U395" s="67">
        <f>IF(G395="","",ABS(P395-Components!$D$6)/Components!$E$6)</f>
        <v/>
      </c>
      <c r="V395" s="67">
        <f>IF(G395="","",ABS(P395-Components!$D$7)/Components!$E$7)</f>
        <v/>
      </c>
      <c r="W395" s="61">
        <f>IF(G395="","",IF(N395="OK","NONE",INDEX({"S1","S2","W1","W2","N1","N2"},MATCH(MIN(Q395:V395),Q395:V395,0))))</f>
        <v/>
      </c>
      <c r="X395" s="69">
        <f>IF(G395="","",IF(W395=E395,1,0))</f>
        <v/>
      </c>
      <c r="Y395" s="70" t="n"/>
    </row>
    <row r="396">
      <c r="A396" s="61" t="n">
        <v>52</v>
      </c>
      <c r="B396" s="62" t="n">
        <v>48</v>
      </c>
      <c r="C396" s="61" t="inlineStr">
        <is>
          <t>R6</t>
        </is>
      </c>
      <c r="D396" s="74" t="inlineStr">
        <is>
          <t>NG</t>
        </is>
      </c>
      <c r="E396" s="61" t="inlineStr">
        <is>
          <t>N1</t>
        </is>
      </c>
      <c r="F396" s="61" t="inlineStr">
        <is>
          <t>K052</t>
        </is>
      </c>
      <c r="G396" s="75" t="n">
        <v>7.39</v>
      </c>
      <c r="H396" s="65" t="n"/>
      <c r="I396" s="66" t="n"/>
      <c r="J396" s="67">
        <f>VLOOKUP(C396,Recipes!$A$2:$N$4,10,FALSE())</f>
        <v/>
      </c>
      <c r="K396" s="68">
        <f>VLOOKUP(C396,Recipes!$A$2:$N$4,12,FALSE())</f>
        <v/>
      </c>
      <c r="L396" s="67">
        <f>J396-6*K396</f>
        <v/>
      </c>
      <c r="M396" s="67">
        <f>J396+6*K396</f>
        <v/>
      </c>
      <c r="N396" s="61">
        <f>IF(G396="","",IF(AND(G396&gt;=L396,G396&lt;=M396),"OK","NG"))</f>
        <v/>
      </c>
      <c r="O396" s="69">
        <f>IF(N396="","",IF(N396=D396,1,0))</f>
        <v/>
      </c>
      <c r="P396" s="67">
        <f>IF(G396="","",J396-G396)</f>
        <v/>
      </c>
      <c r="Q396" s="67">
        <f>IF(G396="","",ABS(P396-Components!$D$2)/Components!$E$2)</f>
        <v/>
      </c>
      <c r="R396" s="67">
        <f>IF(G396="","",ABS(P396-Components!$D$3)/Components!$E$3)</f>
        <v/>
      </c>
      <c r="S396" s="67">
        <f>IF(G396="","",ABS(P396-Components!$D$4)/Components!$E$4)</f>
        <v/>
      </c>
      <c r="T396" s="67">
        <f>IF(G396="","",ABS(P396-Components!$D$5)/Components!$E$5)</f>
        <v/>
      </c>
      <c r="U396" s="67">
        <f>IF(G396="","",ABS(P396-Components!$D$6)/Components!$E$6)</f>
        <v/>
      </c>
      <c r="V396" s="67">
        <f>IF(G396="","",ABS(P396-Components!$D$7)/Components!$E$7)</f>
        <v/>
      </c>
      <c r="W396" s="61">
        <f>IF(G396="","",IF(N396="OK","NONE",INDEX({"S1","S2","W1","W2","N1","N2"},MATCH(MIN(Q396:V396),Q396:V396,0))))</f>
        <v/>
      </c>
      <c r="X396" s="69">
        <f>IF(G396="","",IF(W396=E396,1,0))</f>
        <v/>
      </c>
      <c r="Y396" s="70" t="n"/>
    </row>
    <row r="397">
      <c r="A397" s="61" t="n">
        <v>52</v>
      </c>
      <c r="B397" s="62" t="n">
        <v>48</v>
      </c>
      <c r="C397" s="61" t="inlineStr">
        <is>
          <t>R6</t>
        </is>
      </c>
      <c r="D397" s="74" t="inlineStr">
        <is>
          <t>NG</t>
        </is>
      </c>
      <c r="E397" s="61" t="inlineStr">
        <is>
          <t>N1</t>
        </is>
      </c>
      <c r="F397" s="61" t="inlineStr">
        <is>
          <t>K052</t>
        </is>
      </c>
      <c r="G397" s="75" t="n">
        <v>7.49</v>
      </c>
      <c r="H397" s="65" t="n"/>
      <c r="I397" s="66" t="n"/>
      <c r="J397" s="67">
        <f>VLOOKUP(C397,Recipes!$A$2:$N$4,10,FALSE())</f>
        <v/>
      </c>
      <c r="K397" s="68">
        <f>VLOOKUP(C397,Recipes!$A$2:$N$4,12,FALSE())</f>
        <v/>
      </c>
      <c r="L397" s="67">
        <f>J397-6*K397</f>
        <v/>
      </c>
      <c r="M397" s="67">
        <f>J397+6*K397</f>
        <v/>
      </c>
      <c r="N397" s="61">
        <f>IF(G397="","",IF(AND(G397&gt;=L397,G397&lt;=M397),"OK","NG"))</f>
        <v/>
      </c>
      <c r="O397" s="69">
        <f>IF(N397="","",IF(N397=D397,1,0))</f>
        <v/>
      </c>
      <c r="P397" s="67">
        <f>IF(G397="","",J397-G397)</f>
        <v/>
      </c>
      <c r="Q397" s="67">
        <f>IF(G397="","",ABS(P397-Components!$D$2)/Components!$E$2)</f>
        <v/>
      </c>
      <c r="R397" s="67">
        <f>IF(G397="","",ABS(P397-Components!$D$3)/Components!$E$3)</f>
        <v/>
      </c>
      <c r="S397" s="67">
        <f>IF(G397="","",ABS(P397-Components!$D$4)/Components!$E$4)</f>
        <v/>
      </c>
      <c r="T397" s="67">
        <f>IF(G397="","",ABS(P397-Components!$D$5)/Components!$E$5)</f>
        <v/>
      </c>
      <c r="U397" s="67">
        <f>IF(G397="","",ABS(P397-Components!$D$6)/Components!$E$6)</f>
        <v/>
      </c>
      <c r="V397" s="67">
        <f>IF(G397="","",ABS(P397-Components!$D$7)/Components!$E$7)</f>
        <v/>
      </c>
      <c r="W397" s="61">
        <f>IF(G397="","",IF(N397="OK","NONE",INDEX({"S1","S2","W1","W2","N1","N2"},MATCH(MIN(Q397:V397),Q397:V397,0))))</f>
        <v/>
      </c>
      <c r="X397" s="69">
        <f>IF(G397="","",IF(W397=E397,1,0))</f>
        <v/>
      </c>
      <c r="Y397" s="70" t="n"/>
    </row>
    <row r="398">
      <c r="A398" s="61" t="n">
        <v>52</v>
      </c>
      <c r="B398" s="62" t="n">
        <v>48</v>
      </c>
      <c r="C398" s="61" t="inlineStr">
        <is>
          <t>R6</t>
        </is>
      </c>
      <c r="D398" s="74" t="inlineStr">
        <is>
          <t>NG</t>
        </is>
      </c>
      <c r="E398" s="61" t="inlineStr">
        <is>
          <t>N1</t>
        </is>
      </c>
      <c r="F398" s="61" t="inlineStr">
        <is>
          <t>K052</t>
        </is>
      </c>
      <c r="G398" s="75" t="n">
        <v>7.48</v>
      </c>
      <c r="H398" s="65" t="n"/>
      <c r="I398" s="66" t="n"/>
      <c r="J398" s="67">
        <f>VLOOKUP(C398,Recipes!$A$2:$N$4,10,FALSE())</f>
        <v/>
      </c>
      <c r="K398" s="68">
        <f>VLOOKUP(C398,Recipes!$A$2:$N$4,12,FALSE())</f>
        <v/>
      </c>
      <c r="L398" s="67">
        <f>J398-6*K398</f>
        <v/>
      </c>
      <c r="M398" s="67">
        <f>J398+6*K398</f>
        <v/>
      </c>
      <c r="N398" s="61">
        <f>IF(G398="","",IF(AND(G398&gt;=L398,G398&lt;=M398),"OK","NG"))</f>
        <v/>
      </c>
      <c r="O398" s="69">
        <f>IF(N398="","",IF(N398=D398,1,0))</f>
        <v/>
      </c>
      <c r="P398" s="67">
        <f>IF(G398="","",J398-G398)</f>
        <v/>
      </c>
      <c r="Q398" s="67">
        <f>IF(G398="","",ABS(P398-Components!$D$2)/Components!$E$2)</f>
        <v/>
      </c>
      <c r="R398" s="67">
        <f>IF(G398="","",ABS(P398-Components!$D$3)/Components!$E$3)</f>
        <v/>
      </c>
      <c r="S398" s="67">
        <f>IF(G398="","",ABS(P398-Components!$D$4)/Components!$E$4)</f>
        <v/>
      </c>
      <c r="T398" s="67">
        <f>IF(G398="","",ABS(P398-Components!$D$5)/Components!$E$5)</f>
        <v/>
      </c>
      <c r="U398" s="67">
        <f>IF(G398="","",ABS(P398-Components!$D$6)/Components!$E$6)</f>
        <v/>
      </c>
      <c r="V398" s="67">
        <f>IF(G398="","",ABS(P398-Components!$D$7)/Components!$E$7)</f>
        <v/>
      </c>
      <c r="W398" s="61">
        <f>IF(G398="","",IF(N398="OK","NONE",INDEX({"S1","S2","W1","W2","N1","N2"},MATCH(MIN(Q398:V398),Q398:V398,0))))</f>
        <v/>
      </c>
      <c r="X398" s="69">
        <f>IF(G398="","",IF(W398=E398,1,0))</f>
        <v/>
      </c>
      <c r="Y398" s="70" t="n"/>
    </row>
    <row r="399">
      <c r="A399" s="61" t="n">
        <v>52</v>
      </c>
      <c r="B399" s="62" t="n">
        <v>48</v>
      </c>
      <c r="C399" s="61" t="inlineStr">
        <is>
          <t>R6</t>
        </is>
      </c>
      <c r="D399" s="74" t="inlineStr">
        <is>
          <t>NG</t>
        </is>
      </c>
      <c r="E399" s="61" t="inlineStr">
        <is>
          <t>N1</t>
        </is>
      </c>
      <c r="F399" s="61" t="inlineStr">
        <is>
          <t>K052</t>
        </is>
      </c>
      <c r="G399" s="75" t="n">
        <v>7.46</v>
      </c>
      <c r="H399" s="65" t="n"/>
      <c r="I399" s="66" t="n"/>
      <c r="J399" s="67">
        <f>VLOOKUP(C399,Recipes!$A$2:$N$4,10,FALSE())</f>
        <v/>
      </c>
      <c r="K399" s="68">
        <f>VLOOKUP(C399,Recipes!$A$2:$N$4,12,FALSE())</f>
        <v/>
      </c>
      <c r="L399" s="67">
        <f>J399-6*K399</f>
        <v/>
      </c>
      <c r="M399" s="67">
        <f>J399+6*K399</f>
        <v/>
      </c>
      <c r="N399" s="61">
        <f>IF(G399="","",IF(AND(G399&gt;=L399,G399&lt;=M399),"OK","NG"))</f>
        <v/>
      </c>
      <c r="O399" s="69">
        <f>IF(N399="","",IF(N399=D399,1,0))</f>
        <v/>
      </c>
      <c r="P399" s="67">
        <f>IF(G399="","",J399-G399)</f>
        <v/>
      </c>
      <c r="Q399" s="67">
        <f>IF(G399="","",ABS(P399-Components!$D$2)/Components!$E$2)</f>
        <v/>
      </c>
      <c r="R399" s="67">
        <f>IF(G399="","",ABS(P399-Components!$D$3)/Components!$E$3)</f>
        <v/>
      </c>
      <c r="S399" s="67">
        <f>IF(G399="","",ABS(P399-Components!$D$4)/Components!$E$4)</f>
        <v/>
      </c>
      <c r="T399" s="67">
        <f>IF(G399="","",ABS(P399-Components!$D$5)/Components!$E$5)</f>
        <v/>
      </c>
      <c r="U399" s="67">
        <f>IF(G399="","",ABS(P399-Components!$D$6)/Components!$E$6)</f>
        <v/>
      </c>
      <c r="V399" s="67">
        <f>IF(G399="","",ABS(P399-Components!$D$7)/Components!$E$7)</f>
        <v/>
      </c>
      <c r="W399" s="61">
        <f>IF(G399="","",IF(N399="OK","NONE",INDEX({"S1","S2","W1","W2","N1","N2"},MATCH(MIN(Q399:V399),Q399:V399,0))))</f>
        <v/>
      </c>
      <c r="X399" s="69">
        <f>IF(G399="","",IF(W399=E399,1,0))</f>
        <v/>
      </c>
      <c r="Y399" s="70" t="n"/>
    </row>
    <row r="400">
      <c r="A400" s="61" t="n">
        <v>52</v>
      </c>
      <c r="B400" s="62" t="n">
        <v>48</v>
      </c>
      <c r="C400" s="61" t="inlineStr">
        <is>
          <t>R6</t>
        </is>
      </c>
      <c r="D400" s="74" t="inlineStr">
        <is>
          <t>NG</t>
        </is>
      </c>
      <c r="E400" s="61" t="inlineStr">
        <is>
          <t>N1</t>
        </is>
      </c>
      <c r="F400" s="61" t="inlineStr">
        <is>
          <t>K052</t>
        </is>
      </c>
      <c r="G400" s="75" t="n">
        <v>7.48</v>
      </c>
      <c r="H400" s="65" t="n"/>
      <c r="I400" s="66" t="n"/>
      <c r="J400" s="67">
        <f>VLOOKUP(C400,Recipes!$A$2:$N$4,10,FALSE())</f>
        <v/>
      </c>
      <c r="K400" s="68">
        <f>VLOOKUP(C400,Recipes!$A$2:$N$4,12,FALSE())</f>
        <v/>
      </c>
      <c r="L400" s="67">
        <f>J400-6*K400</f>
        <v/>
      </c>
      <c r="M400" s="67">
        <f>J400+6*K400</f>
        <v/>
      </c>
      <c r="N400" s="61">
        <f>IF(G400="","",IF(AND(G400&gt;=L400,G400&lt;=M400),"OK","NG"))</f>
        <v/>
      </c>
      <c r="O400" s="69">
        <f>IF(N400="","",IF(N400=D400,1,0))</f>
        <v/>
      </c>
      <c r="P400" s="67">
        <f>IF(G400="","",J400-G400)</f>
        <v/>
      </c>
      <c r="Q400" s="67">
        <f>IF(G400="","",ABS(P400-Components!$D$2)/Components!$E$2)</f>
        <v/>
      </c>
      <c r="R400" s="67">
        <f>IF(G400="","",ABS(P400-Components!$D$3)/Components!$E$3)</f>
        <v/>
      </c>
      <c r="S400" s="67">
        <f>IF(G400="","",ABS(P400-Components!$D$4)/Components!$E$4)</f>
        <v/>
      </c>
      <c r="T400" s="67">
        <f>IF(G400="","",ABS(P400-Components!$D$5)/Components!$E$5)</f>
        <v/>
      </c>
      <c r="U400" s="67">
        <f>IF(G400="","",ABS(P400-Components!$D$6)/Components!$E$6)</f>
        <v/>
      </c>
      <c r="V400" s="67">
        <f>IF(G400="","",ABS(P400-Components!$D$7)/Components!$E$7)</f>
        <v/>
      </c>
      <c r="W400" s="61">
        <f>IF(G400="","",IF(N400="OK","NONE",INDEX({"S1","S2","W1","W2","N1","N2"},MATCH(MIN(Q400:V400),Q400:V400,0))))</f>
        <v/>
      </c>
      <c r="X400" s="69">
        <f>IF(G400="","",IF(W400=E400,1,0))</f>
        <v/>
      </c>
      <c r="Y400" s="70" t="n"/>
    </row>
    <row r="401">
      <c r="A401" s="61" t="n">
        <v>52</v>
      </c>
      <c r="B401" s="62" t="n">
        <v>48</v>
      </c>
      <c r="C401" s="61" t="inlineStr">
        <is>
          <t>R6</t>
        </is>
      </c>
      <c r="D401" s="74" t="inlineStr">
        <is>
          <t>NG</t>
        </is>
      </c>
      <c r="E401" s="61" t="inlineStr">
        <is>
          <t>N1</t>
        </is>
      </c>
      <c r="F401" s="61" t="inlineStr">
        <is>
          <t>K052</t>
        </is>
      </c>
      <c r="G401" s="75" t="n">
        <v>7.45</v>
      </c>
      <c r="H401" s="65" t="n"/>
      <c r="I401" s="66" t="n"/>
      <c r="J401" s="67">
        <f>VLOOKUP(C401,Recipes!$A$2:$N$4,10,FALSE())</f>
        <v/>
      </c>
      <c r="K401" s="68">
        <f>VLOOKUP(C401,Recipes!$A$2:$N$4,12,FALSE())</f>
        <v/>
      </c>
      <c r="L401" s="67">
        <f>J401-6*K401</f>
        <v/>
      </c>
      <c r="M401" s="67">
        <f>J401+6*K401</f>
        <v/>
      </c>
      <c r="N401" s="61">
        <f>IF(G401="","",IF(AND(G401&gt;=L401,G401&lt;=M401),"OK","NG"))</f>
        <v/>
      </c>
      <c r="O401" s="69">
        <f>IF(N401="","",IF(N401=D401,1,0))</f>
        <v/>
      </c>
      <c r="P401" s="67">
        <f>IF(G401="","",J401-G401)</f>
        <v/>
      </c>
      <c r="Q401" s="67">
        <f>IF(G401="","",ABS(P401-Components!$D$2)/Components!$E$2)</f>
        <v/>
      </c>
      <c r="R401" s="67">
        <f>IF(G401="","",ABS(P401-Components!$D$3)/Components!$E$3)</f>
        <v/>
      </c>
      <c r="S401" s="67">
        <f>IF(G401="","",ABS(P401-Components!$D$4)/Components!$E$4)</f>
        <v/>
      </c>
      <c r="T401" s="67">
        <f>IF(G401="","",ABS(P401-Components!$D$5)/Components!$E$5)</f>
        <v/>
      </c>
      <c r="U401" s="67">
        <f>IF(G401="","",ABS(P401-Components!$D$6)/Components!$E$6)</f>
        <v/>
      </c>
      <c r="V401" s="67">
        <f>IF(G401="","",ABS(P401-Components!$D$7)/Components!$E$7)</f>
        <v/>
      </c>
      <c r="W401" s="61">
        <f>IF(G401="","",IF(N401="OK","NONE",INDEX({"S1","S2","W1","W2","N1","N2"},MATCH(MIN(Q401:V401),Q401:V401,0))))</f>
        <v/>
      </c>
      <c r="X401" s="69">
        <f>IF(G401="","",IF(W401=E401,1,0))</f>
        <v/>
      </c>
      <c r="Y401" s="70" t="n"/>
    </row>
    <row r="402">
      <c r="A402" s="61" t="n">
        <v>52</v>
      </c>
      <c r="B402" s="62" t="n">
        <v>48</v>
      </c>
      <c r="C402" s="61" t="inlineStr">
        <is>
          <t>R6</t>
        </is>
      </c>
      <c r="D402" s="74" t="inlineStr">
        <is>
          <t>NG</t>
        </is>
      </c>
      <c r="E402" s="61" t="inlineStr">
        <is>
          <t>N1</t>
        </is>
      </c>
      <c r="F402" s="61" t="inlineStr">
        <is>
          <t>K052</t>
        </is>
      </c>
      <c r="G402" s="75" t="n">
        <v>7.43</v>
      </c>
      <c r="H402" s="65" t="n"/>
      <c r="I402" s="66" t="n"/>
      <c r="J402" s="67">
        <f>VLOOKUP(C402,Recipes!$A$2:$N$4,10,FALSE())</f>
        <v/>
      </c>
      <c r="K402" s="68">
        <f>VLOOKUP(C402,Recipes!$A$2:$N$4,12,FALSE())</f>
        <v/>
      </c>
      <c r="L402" s="67">
        <f>J402-6*K402</f>
        <v/>
      </c>
      <c r="M402" s="67">
        <f>J402+6*K402</f>
        <v/>
      </c>
      <c r="N402" s="61">
        <f>IF(G402="","",IF(AND(G402&gt;=L402,G402&lt;=M402),"OK","NG"))</f>
        <v/>
      </c>
      <c r="O402" s="69">
        <f>IF(N402="","",IF(N402=D402,1,0))</f>
        <v/>
      </c>
      <c r="P402" s="67">
        <f>IF(G402="","",J402-G402)</f>
        <v/>
      </c>
      <c r="Q402" s="67">
        <f>IF(G402="","",ABS(P402-Components!$D$2)/Components!$E$2)</f>
        <v/>
      </c>
      <c r="R402" s="67">
        <f>IF(G402="","",ABS(P402-Components!$D$3)/Components!$E$3)</f>
        <v/>
      </c>
      <c r="S402" s="67">
        <f>IF(G402="","",ABS(P402-Components!$D$4)/Components!$E$4)</f>
        <v/>
      </c>
      <c r="T402" s="67">
        <f>IF(G402="","",ABS(P402-Components!$D$5)/Components!$E$5)</f>
        <v/>
      </c>
      <c r="U402" s="67">
        <f>IF(G402="","",ABS(P402-Components!$D$6)/Components!$E$6)</f>
        <v/>
      </c>
      <c r="V402" s="67">
        <f>IF(G402="","",ABS(P402-Components!$D$7)/Components!$E$7)</f>
        <v/>
      </c>
      <c r="W402" s="61">
        <f>IF(G402="","",IF(N402="OK","NONE",INDEX({"S1","S2","W1","W2","N1","N2"},MATCH(MIN(Q402:V402),Q402:V402,0))))</f>
        <v/>
      </c>
      <c r="X402" s="69">
        <f>IF(G402="","",IF(W402=E402,1,0))</f>
        <v/>
      </c>
      <c r="Y402" s="70" t="n"/>
    </row>
    <row r="403">
      <c r="A403" s="61" t="n">
        <v>52</v>
      </c>
      <c r="B403" s="62" t="n">
        <v>48</v>
      </c>
      <c r="C403" s="61" t="inlineStr">
        <is>
          <t>R6</t>
        </is>
      </c>
      <c r="D403" s="74" t="inlineStr">
        <is>
          <t>NG</t>
        </is>
      </c>
      <c r="E403" s="61" t="inlineStr">
        <is>
          <t>N1</t>
        </is>
      </c>
      <c r="F403" s="61" t="inlineStr">
        <is>
          <t>K052</t>
        </is>
      </c>
      <c r="G403" s="75" t="n">
        <v>7.48</v>
      </c>
      <c r="H403" s="65" t="n"/>
      <c r="I403" s="66" t="n"/>
      <c r="J403" s="67">
        <f>VLOOKUP(C403,Recipes!$A$2:$N$4,10,FALSE())</f>
        <v/>
      </c>
      <c r="K403" s="68">
        <f>VLOOKUP(C403,Recipes!$A$2:$N$4,12,FALSE())</f>
        <v/>
      </c>
      <c r="L403" s="67">
        <f>J403-6*K403</f>
        <v/>
      </c>
      <c r="M403" s="67">
        <f>J403+6*K403</f>
        <v/>
      </c>
      <c r="N403" s="61">
        <f>IF(G403="","",IF(AND(G403&gt;=L403,G403&lt;=M403),"OK","NG"))</f>
        <v/>
      </c>
      <c r="O403" s="69">
        <f>IF(N403="","",IF(N403=D403,1,0))</f>
        <v/>
      </c>
      <c r="P403" s="67">
        <f>IF(G403="","",J403-G403)</f>
        <v/>
      </c>
      <c r="Q403" s="67">
        <f>IF(G403="","",ABS(P403-Components!$D$2)/Components!$E$2)</f>
        <v/>
      </c>
      <c r="R403" s="67">
        <f>IF(G403="","",ABS(P403-Components!$D$3)/Components!$E$3)</f>
        <v/>
      </c>
      <c r="S403" s="67">
        <f>IF(G403="","",ABS(P403-Components!$D$4)/Components!$E$4)</f>
        <v/>
      </c>
      <c r="T403" s="67">
        <f>IF(G403="","",ABS(P403-Components!$D$5)/Components!$E$5)</f>
        <v/>
      </c>
      <c r="U403" s="67">
        <f>IF(G403="","",ABS(P403-Components!$D$6)/Components!$E$6)</f>
        <v/>
      </c>
      <c r="V403" s="67">
        <f>IF(G403="","",ABS(P403-Components!$D$7)/Components!$E$7)</f>
        <v/>
      </c>
      <c r="W403" s="61">
        <f>IF(G403="","",IF(N403="OK","NONE",INDEX({"S1","S2","W1","W2","N1","N2"},MATCH(MIN(Q403:V403),Q403:V403,0))))</f>
        <v/>
      </c>
      <c r="X403" s="69">
        <f>IF(G403="","",IF(W403=E403,1,0))</f>
        <v/>
      </c>
      <c r="Y403" s="70" t="n"/>
    </row>
    <row r="404">
      <c r="A404" s="61" t="n">
        <v>52</v>
      </c>
      <c r="B404" s="62" t="n">
        <v>48</v>
      </c>
      <c r="C404" s="61" t="inlineStr">
        <is>
          <t>R6</t>
        </is>
      </c>
      <c r="D404" s="74" t="inlineStr">
        <is>
          <t>NG</t>
        </is>
      </c>
      <c r="E404" s="61" t="inlineStr">
        <is>
          <t>N1</t>
        </is>
      </c>
      <c r="F404" s="61" t="inlineStr">
        <is>
          <t>K052</t>
        </is>
      </c>
      <c r="G404" s="75" t="n">
        <v>7.46</v>
      </c>
      <c r="H404" s="65" t="n"/>
      <c r="I404" s="66" t="n"/>
      <c r="J404" s="67">
        <f>VLOOKUP(C404,Recipes!$A$2:$N$4,10,FALSE())</f>
        <v/>
      </c>
      <c r="K404" s="68">
        <f>VLOOKUP(C404,Recipes!$A$2:$N$4,12,FALSE())</f>
        <v/>
      </c>
      <c r="L404" s="67">
        <f>J404-6*K404</f>
        <v/>
      </c>
      <c r="M404" s="67">
        <f>J404+6*K404</f>
        <v/>
      </c>
      <c r="N404" s="61">
        <f>IF(G404="","",IF(AND(G404&gt;=L404,G404&lt;=M404),"OK","NG"))</f>
        <v/>
      </c>
      <c r="O404" s="69">
        <f>IF(N404="","",IF(N404=D404,1,0))</f>
        <v/>
      </c>
      <c r="P404" s="67">
        <f>IF(G404="","",J404-G404)</f>
        <v/>
      </c>
      <c r="Q404" s="67">
        <f>IF(G404="","",ABS(P404-Components!$D$2)/Components!$E$2)</f>
        <v/>
      </c>
      <c r="R404" s="67">
        <f>IF(G404="","",ABS(P404-Components!$D$3)/Components!$E$3)</f>
        <v/>
      </c>
      <c r="S404" s="67">
        <f>IF(G404="","",ABS(P404-Components!$D$4)/Components!$E$4)</f>
        <v/>
      </c>
      <c r="T404" s="67">
        <f>IF(G404="","",ABS(P404-Components!$D$5)/Components!$E$5)</f>
        <v/>
      </c>
      <c r="U404" s="67">
        <f>IF(G404="","",ABS(P404-Components!$D$6)/Components!$E$6)</f>
        <v/>
      </c>
      <c r="V404" s="67">
        <f>IF(G404="","",ABS(P404-Components!$D$7)/Components!$E$7)</f>
        <v/>
      </c>
      <c r="W404" s="61">
        <f>IF(G404="","",IF(N404="OK","NONE",INDEX({"S1","S2","W1","W2","N1","N2"},MATCH(MIN(Q404:V404),Q404:V404,0))))</f>
        <v/>
      </c>
      <c r="X404" s="69">
        <f>IF(G404="","",IF(W404=E404,1,0))</f>
        <v/>
      </c>
      <c r="Y404" s="70" t="n"/>
    </row>
    <row r="405">
      <c r="A405" s="61" t="n">
        <v>52</v>
      </c>
      <c r="B405" s="62" t="n">
        <v>48</v>
      </c>
      <c r="C405" s="61" t="inlineStr">
        <is>
          <t>R6</t>
        </is>
      </c>
      <c r="D405" s="74" t="inlineStr">
        <is>
          <t>NG</t>
        </is>
      </c>
      <c r="E405" s="61" t="inlineStr">
        <is>
          <t>N1</t>
        </is>
      </c>
      <c r="F405" s="61" t="inlineStr">
        <is>
          <t>K052</t>
        </is>
      </c>
      <c r="G405" s="75" t="n">
        <v>7.47</v>
      </c>
      <c r="H405" s="65" t="n"/>
      <c r="I405" s="66" t="n"/>
      <c r="J405" s="67">
        <f>VLOOKUP(C405,Recipes!$A$2:$N$4,10,FALSE())</f>
        <v/>
      </c>
      <c r="K405" s="68">
        <f>VLOOKUP(C405,Recipes!$A$2:$N$4,12,FALSE())</f>
        <v/>
      </c>
      <c r="L405" s="67">
        <f>J405-6*K405</f>
        <v/>
      </c>
      <c r="M405" s="67">
        <f>J405+6*K405</f>
        <v/>
      </c>
      <c r="N405" s="61">
        <f>IF(G405="","",IF(AND(G405&gt;=L405,G405&lt;=M405),"OK","NG"))</f>
        <v/>
      </c>
      <c r="O405" s="69">
        <f>IF(N405="","",IF(N405=D405,1,0))</f>
        <v/>
      </c>
      <c r="P405" s="67">
        <f>IF(G405="","",J405-G405)</f>
        <v/>
      </c>
      <c r="Q405" s="67">
        <f>IF(G405="","",ABS(P405-Components!$D$2)/Components!$E$2)</f>
        <v/>
      </c>
      <c r="R405" s="67">
        <f>IF(G405="","",ABS(P405-Components!$D$3)/Components!$E$3)</f>
        <v/>
      </c>
      <c r="S405" s="67">
        <f>IF(G405="","",ABS(P405-Components!$D$4)/Components!$E$4)</f>
        <v/>
      </c>
      <c r="T405" s="67">
        <f>IF(G405="","",ABS(P405-Components!$D$5)/Components!$E$5)</f>
        <v/>
      </c>
      <c r="U405" s="67">
        <f>IF(G405="","",ABS(P405-Components!$D$6)/Components!$E$6)</f>
        <v/>
      </c>
      <c r="V405" s="67">
        <f>IF(G405="","",ABS(P405-Components!$D$7)/Components!$E$7)</f>
        <v/>
      </c>
      <c r="W405" s="61">
        <f>IF(G405="","",IF(N405="OK","NONE",INDEX({"S1","S2","W1","W2","N1","N2"},MATCH(MIN(Q405:V405),Q405:V405,0))))</f>
        <v/>
      </c>
      <c r="X405" s="69">
        <f>IF(G405="","",IF(W405=E405,1,0))</f>
        <v/>
      </c>
      <c r="Y405" s="70" t="n"/>
    </row>
    <row r="406">
      <c r="A406" s="61" t="n">
        <v>52</v>
      </c>
      <c r="B406" s="62" t="n">
        <v>48</v>
      </c>
      <c r="C406" s="61" t="inlineStr">
        <is>
          <t>R6</t>
        </is>
      </c>
      <c r="D406" s="74" t="inlineStr">
        <is>
          <t>NG</t>
        </is>
      </c>
      <c r="E406" s="61" t="inlineStr">
        <is>
          <t>N1</t>
        </is>
      </c>
      <c r="F406" s="61" t="inlineStr">
        <is>
          <t>K052</t>
        </is>
      </c>
      <c r="G406" s="75" t="n">
        <v>7.3</v>
      </c>
      <c r="H406" s="65" t="n"/>
      <c r="I406" s="66" t="n"/>
      <c r="J406" s="67">
        <f>VLOOKUP(C406,Recipes!$A$2:$N$4,10,FALSE())</f>
        <v/>
      </c>
      <c r="K406" s="68">
        <f>VLOOKUP(C406,Recipes!$A$2:$N$4,12,FALSE())</f>
        <v/>
      </c>
      <c r="L406" s="67">
        <f>J406-6*K406</f>
        <v/>
      </c>
      <c r="M406" s="67">
        <f>J406+6*K406</f>
        <v/>
      </c>
      <c r="N406" s="61">
        <f>IF(G406="","",IF(AND(G406&gt;=L406,G406&lt;=M406),"OK","NG"))</f>
        <v/>
      </c>
      <c r="O406" s="69">
        <f>IF(N406="","",IF(N406=D406,1,0))</f>
        <v/>
      </c>
      <c r="P406" s="67">
        <f>IF(G406="","",J406-G406)</f>
        <v/>
      </c>
      <c r="Q406" s="67">
        <f>IF(G406="","",ABS(P406-Components!$D$2)/Components!$E$2)</f>
        <v/>
      </c>
      <c r="R406" s="67">
        <f>IF(G406="","",ABS(P406-Components!$D$3)/Components!$E$3)</f>
        <v/>
      </c>
      <c r="S406" s="67">
        <f>IF(G406="","",ABS(P406-Components!$D$4)/Components!$E$4)</f>
        <v/>
      </c>
      <c r="T406" s="67">
        <f>IF(G406="","",ABS(P406-Components!$D$5)/Components!$E$5)</f>
        <v/>
      </c>
      <c r="U406" s="67">
        <f>IF(G406="","",ABS(P406-Components!$D$6)/Components!$E$6)</f>
        <v/>
      </c>
      <c r="V406" s="67">
        <f>IF(G406="","",ABS(P406-Components!$D$7)/Components!$E$7)</f>
        <v/>
      </c>
      <c r="W406" s="61">
        <f>IF(G406="","",IF(N406="OK","NONE",INDEX({"S1","S2","W1","W2","N1","N2"},MATCH(MIN(Q406:V406),Q406:V406,0))))</f>
        <v/>
      </c>
      <c r="X406" s="71">
        <f>IF(G406="","",IF(W406=E406,1,0))</f>
        <v/>
      </c>
      <c r="Y406" s="70" t="n"/>
    </row>
    <row r="407">
      <c r="A407" s="61" t="n">
        <v>52</v>
      </c>
      <c r="B407" s="62" t="n">
        <v>48</v>
      </c>
      <c r="C407" s="61" t="inlineStr">
        <is>
          <t>R6</t>
        </is>
      </c>
      <c r="D407" s="74" t="inlineStr">
        <is>
          <t>NG</t>
        </is>
      </c>
      <c r="E407" s="61" t="inlineStr">
        <is>
          <t>N1</t>
        </is>
      </c>
      <c r="F407" s="61" t="inlineStr">
        <is>
          <t>K052</t>
        </is>
      </c>
      <c r="G407" s="75" t="n">
        <v>7.44</v>
      </c>
      <c r="H407" s="65" t="n"/>
      <c r="I407" s="66" t="n"/>
      <c r="J407" s="67">
        <f>VLOOKUP(C407,Recipes!$A$2:$N$4,10,FALSE())</f>
        <v/>
      </c>
      <c r="K407" s="68">
        <f>VLOOKUP(C407,Recipes!$A$2:$N$4,12,FALSE())</f>
        <v/>
      </c>
      <c r="L407" s="67">
        <f>J407-6*K407</f>
        <v/>
      </c>
      <c r="M407" s="67">
        <f>J407+6*K407</f>
        <v/>
      </c>
      <c r="N407" s="61">
        <f>IF(G407="","",IF(AND(G407&gt;=L407,G407&lt;=M407),"OK","NG"))</f>
        <v/>
      </c>
      <c r="O407" s="69">
        <f>IF(N407="","",IF(N407=D407,1,0))</f>
        <v/>
      </c>
      <c r="P407" s="67">
        <f>IF(G407="","",J407-G407)</f>
        <v/>
      </c>
      <c r="Q407" s="67">
        <f>IF(G407="","",ABS(P407-Components!$D$2)/Components!$E$2)</f>
        <v/>
      </c>
      <c r="R407" s="67">
        <f>IF(G407="","",ABS(P407-Components!$D$3)/Components!$E$3)</f>
        <v/>
      </c>
      <c r="S407" s="67">
        <f>IF(G407="","",ABS(P407-Components!$D$4)/Components!$E$4)</f>
        <v/>
      </c>
      <c r="T407" s="67">
        <f>IF(G407="","",ABS(P407-Components!$D$5)/Components!$E$5)</f>
        <v/>
      </c>
      <c r="U407" s="67">
        <f>IF(G407="","",ABS(P407-Components!$D$6)/Components!$E$6)</f>
        <v/>
      </c>
      <c r="V407" s="67">
        <f>IF(G407="","",ABS(P407-Components!$D$7)/Components!$E$7)</f>
        <v/>
      </c>
      <c r="W407" s="61">
        <f>IF(G407="","",IF(N407="OK","NONE",INDEX({"S1","S2","W1","W2","N1","N2"},MATCH(MIN(Q407:V407),Q407:V407,0))))</f>
        <v/>
      </c>
      <c r="X407" s="69">
        <f>IF(G407="","",IF(W407=E407,1,0))</f>
        <v/>
      </c>
      <c r="Y407" s="70" t="n"/>
    </row>
    <row r="408">
      <c r="A408" s="61" t="n">
        <v>52</v>
      </c>
      <c r="B408" s="62" t="n">
        <v>48</v>
      </c>
      <c r="C408" s="61" t="inlineStr">
        <is>
          <t>R6</t>
        </is>
      </c>
      <c r="D408" s="74" t="inlineStr">
        <is>
          <t>NG</t>
        </is>
      </c>
      <c r="E408" s="61" t="inlineStr">
        <is>
          <t>N1</t>
        </is>
      </c>
      <c r="F408" s="61" t="inlineStr">
        <is>
          <t>K052</t>
        </is>
      </c>
      <c r="G408" s="75" t="n">
        <v>7.45</v>
      </c>
      <c r="H408" s="65" t="n"/>
      <c r="I408" s="66" t="n"/>
      <c r="J408" s="67">
        <f>VLOOKUP(C408,Recipes!$A$2:$N$4,10,FALSE())</f>
        <v/>
      </c>
      <c r="K408" s="68">
        <f>VLOOKUP(C408,Recipes!$A$2:$N$4,12,FALSE())</f>
        <v/>
      </c>
      <c r="L408" s="67">
        <f>J408-6*K408</f>
        <v/>
      </c>
      <c r="M408" s="67">
        <f>J408+6*K408</f>
        <v/>
      </c>
      <c r="N408" s="61">
        <f>IF(G408="","",IF(AND(G408&gt;=L408,G408&lt;=M408),"OK","NG"))</f>
        <v/>
      </c>
      <c r="O408" s="69">
        <f>IF(N408="","",IF(N408=D408,1,0))</f>
        <v/>
      </c>
      <c r="P408" s="67">
        <f>IF(G408="","",J408-G408)</f>
        <v/>
      </c>
      <c r="Q408" s="67">
        <f>IF(G408="","",ABS(P408-Components!$D$2)/Components!$E$2)</f>
        <v/>
      </c>
      <c r="R408" s="67">
        <f>IF(G408="","",ABS(P408-Components!$D$3)/Components!$E$3)</f>
        <v/>
      </c>
      <c r="S408" s="67">
        <f>IF(G408="","",ABS(P408-Components!$D$4)/Components!$E$4)</f>
        <v/>
      </c>
      <c r="T408" s="67">
        <f>IF(G408="","",ABS(P408-Components!$D$5)/Components!$E$5)</f>
        <v/>
      </c>
      <c r="U408" s="67">
        <f>IF(G408="","",ABS(P408-Components!$D$6)/Components!$E$6)</f>
        <v/>
      </c>
      <c r="V408" s="67">
        <f>IF(G408="","",ABS(P408-Components!$D$7)/Components!$E$7)</f>
        <v/>
      </c>
      <c r="W408" s="61">
        <f>IF(G408="","",IF(N408="OK","NONE",INDEX({"S1","S2","W1","W2","N1","N2"},MATCH(MIN(Q408:V408),Q408:V408,0))))</f>
        <v/>
      </c>
      <c r="X408" s="69">
        <f>IF(G408="","",IF(W408=E408,1,0))</f>
        <v/>
      </c>
      <c r="Y408" s="70" t="n"/>
    </row>
    <row r="409">
      <c r="A409" s="61" t="n">
        <v>52</v>
      </c>
      <c r="B409" s="62" t="n">
        <v>48</v>
      </c>
      <c r="C409" s="61" t="inlineStr">
        <is>
          <t>R6</t>
        </is>
      </c>
      <c r="D409" s="74" t="inlineStr">
        <is>
          <t>NG</t>
        </is>
      </c>
      <c r="E409" s="61" t="inlineStr">
        <is>
          <t>N1</t>
        </is>
      </c>
      <c r="F409" s="61" t="inlineStr">
        <is>
          <t>K052</t>
        </is>
      </c>
      <c r="G409" s="75" t="n">
        <v>7.45</v>
      </c>
      <c r="H409" s="65" t="n"/>
      <c r="I409" s="66" t="n"/>
      <c r="J409" s="67">
        <f>VLOOKUP(C409,Recipes!$A$2:$N$4,10,FALSE())</f>
        <v/>
      </c>
      <c r="K409" s="68">
        <f>VLOOKUP(C409,Recipes!$A$2:$N$4,12,FALSE())</f>
        <v/>
      </c>
      <c r="L409" s="67">
        <f>J409-6*K409</f>
        <v/>
      </c>
      <c r="M409" s="67">
        <f>J409+6*K409</f>
        <v/>
      </c>
      <c r="N409" s="61">
        <f>IF(G409="","",IF(AND(G409&gt;=L409,G409&lt;=M409),"OK","NG"))</f>
        <v/>
      </c>
      <c r="O409" s="69">
        <f>IF(N409="","",IF(N409=D409,1,0))</f>
        <v/>
      </c>
      <c r="P409" s="67">
        <f>IF(G409="","",J409-G409)</f>
        <v/>
      </c>
      <c r="Q409" s="67">
        <f>IF(G409="","",ABS(P409-Components!$D$2)/Components!$E$2)</f>
        <v/>
      </c>
      <c r="R409" s="67">
        <f>IF(G409="","",ABS(P409-Components!$D$3)/Components!$E$3)</f>
        <v/>
      </c>
      <c r="S409" s="67">
        <f>IF(G409="","",ABS(P409-Components!$D$4)/Components!$E$4)</f>
        <v/>
      </c>
      <c r="T409" s="67">
        <f>IF(G409="","",ABS(P409-Components!$D$5)/Components!$E$5)</f>
        <v/>
      </c>
      <c r="U409" s="67">
        <f>IF(G409="","",ABS(P409-Components!$D$6)/Components!$E$6)</f>
        <v/>
      </c>
      <c r="V409" s="67">
        <f>IF(G409="","",ABS(P409-Components!$D$7)/Components!$E$7)</f>
        <v/>
      </c>
      <c r="W409" s="61">
        <f>IF(G409="","",IF(N409="OK","NONE",INDEX({"S1","S2","W1","W2","N1","N2"},MATCH(MIN(Q409:V409),Q409:V409,0))))</f>
        <v/>
      </c>
      <c r="X409" s="69">
        <f>IF(G409="","",IF(W409=E409,1,0))</f>
        <v/>
      </c>
      <c r="Y409" s="70" t="n"/>
    </row>
    <row r="410">
      <c r="A410" s="61" t="n">
        <v>52</v>
      </c>
      <c r="B410" s="62" t="n">
        <v>48</v>
      </c>
      <c r="C410" s="61" t="inlineStr">
        <is>
          <t>R6</t>
        </is>
      </c>
      <c r="D410" s="74" t="inlineStr">
        <is>
          <t>NG</t>
        </is>
      </c>
      <c r="E410" s="61" t="inlineStr">
        <is>
          <t>N1</t>
        </is>
      </c>
      <c r="F410" s="61" t="inlineStr">
        <is>
          <t>K052</t>
        </is>
      </c>
      <c r="G410" s="75" t="n">
        <v>7.44</v>
      </c>
      <c r="H410" s="65" t="n"/>
      <c r="I410" s="66" t="n"/>
      <c r="J410" s="67">
        <f>VLOOKUP(C410,Recipes!$A$2:$N$4,10,FALSE())</f>
        <v/>
      </c>
      <c r="K410" s="68">
        <f>VLOOKUP(C410,Recipes!$A$2:$N$4,12,FALSE())</f>
        <v/>
      </c>
      <c r="L410" s="67">
        <f>J410-6*K410</f>
        <v/>
      </c>
      <c r="M410" s="67">
        <f>J410+6*K410</f>
        <v/>
      </c>
      <c r="N410" s="61">
        <f>IF(G410="","",IF(AND(G410&gt;=L410,G410&lt;=M410),"OK","NG"))</f>
        <v/>
      </c>
      <c r="O410" s="69">
        <f>IF(N410="","",IF(N410=D410,1,0))</f>
        <v/>
      </c>
      <c r="P410" s="67">
        <f>IF(G410="","",J410-G410)</f>
        <v/>
      </c>
      <c r="Q410" s="67">
        <f>IF(G410="","",ABS(P410-Components!$D$2)/Components!$E$2)</f>
        <v/>
      </c>
      <c r="R410" s="67">
        <f>IF(G410="","",ABS(P410-Components!$D$3)/Components!$E$3)</f>
        <v/>
      </c>
      <c r="S410" s="67">
        <f>IF(G410="","",ABS(P410-Components!$D$4)/Components!$E$4)</f>
        <v/>
      </c>
      <c r="T410" s="67">
        <f>IF(G410="","",ABS(P410-Components!$D$5)/Components!$E$5)</f>
        <v/>
      </c>
      <c r="U410" s="67">
        <f>IF(G410="","",ABS(P410-Components!$D$6)/Components!$E$6)</f>
        <v/>
      </c>
      <c r="V410" s="67">
        <f>IF(G410="","",ABS(P410-Components!$D$7)/Components!$E$7)</f>
        <v/>
      </c>
      <c r="W410" s="61">
        <f>IF(G410="","",IF(N410="OK","NONE",INDEX({"S1","S2","W1","W2","N1","N2"},MATCH(MIN(Q410:V410),Q410:V410,0))))</f>
        <v/>
      </c>
      <c r="X410" s="69">
        <f>IF(G410="","",IF(W410=E410,1,0))</f>
        <v/>
      </c>
      <c r="Y410" s="70" t="n"/>
    </row>
    <row r="411">
      <c r="A411" s="61" t="n">
        <v>52</v>
      </c>
      <c r="B411" s="62" t="n">
        <v>48</v>
      </c>
      <c r="C411" s="61" t="inlineStr">
        <is>
          <t>R6</t>
        </is>
      </c>
      <c r="D411" s="74" t="inlineStr">
        <is>
          <t>NG</t>
        </is>
      </c>
      <c r="E411" s="61" t="inlineStr">
        <is>
          <t>N1</t>
        </is>
      </c>
      <c r="F411" s="61" t="inlineStr">
        <is>
          <t>K052</t>
        </is>
      </c>
      <c r="G411" s="75" t="n">
        <v>7.47</v>
      </c>
      <c r="H411" s="65" t="n"/>
      <c r="I411" s="66" t="n"/>
      <c r="J411" s="67">
        <f>VLOOKUP(C411,Recipes!$A$2:$N$4,10,FALSE())</f>
        <v/>
      </c>
      <c r="K411" s="68">
        <f>VLOOKUP(C411,Recipes!$A$2:$N$4,12,FALSE())</f>
        <v/>
      </c>
      <c r="L411" s="67">
        <f>J411-6*K411</f>
        <v/>
      </c>
      <c r="M411" s="67">
        <f>J411+6*K411</f>
        <v/>
      </c>
      <c r="N411" s="61">
        <f>IF(G411="","",IF(AND(G411&gt;=L411,G411&lt;=M411),"OK","NG"))</f>
        <v/>
      </c>
      <c r="O411" s="69">
        <f>IF(N411="","",IF(N411=D411,1,0))</f>
        <v/>
      </c>
      <c r="P411" s="67">
        <f>IF(G411="","",J411-G411)</f>
        <v/>
      </c>
      <c r="Q411" s="67">
        <f>IF(G411="","",ABS(P411-Components!$D$2)/Components!$E$2)</f>
        <v/>
      </c>
      <c r="R411" s="67">
        <f>IF(G411="","",ABS(P411-Components!$D$3)/Components!$E$3)</f>
        <v/>
      </c>
      <c r="S411" s="67">
        <f>IF(G411="","",ABS(P411-Components!$D$4)/Components!$E$4)</f>
        <v/>
      </c>
      <c r="T411" s="67">
        <f>IF(G411="","",ABS(P411-Components!$D$5)/Components!$E$5)</f>
        <v/>
      </c>
      <c r="U411" s="67">
        <f>IF(G411="","",ABS(P411-Components!$D$6)/Components!$E$6)</f>
        <v/>
      </c>
      <c r="V411" s="67">
        <f>IF(G411="","",ABS(P411-Components!$D$7)/Components!$E$7)</f>
        <v/>
      </c>
      <c r="W411" s="61">
        <f>IF(G411="","",IF(N411="OK","NONE",INDEX({"S1","S2","W1","W2","N1","N2"},MATCH(MIN(Q411:V411),Q411:V411,0))))</f>
        <v/>
      </c>
      <c r="X411" s="69">
        <f>IF(G411="","",IF(W411=E411,1,0))</f>
        <v/>
      </c>
      <c r="Y411" s="70" t="n"/>
    </row>
    <row r="412">
      <c r="A412" s="61" t="n">
        <v>52</v>
      </c>
      <c r="B412" s="62" t="n">
        <v>48</v>
      </c>
      <c r="C412" s="61" t="inlineStr">
        <is>
          <t>R6</t>
        </is>
      </c>
      <c r="D412" s="74" t="inlineStr">
        <is>
          <t>NG</t>
        </is>
      </c>
      <c r="E412" s="61" t="inlineStr">
        <is>
          <t>N1</t>
        </is>
      </c>
      <c r="F412" s="61" t="inlineStr">
        <is>
          <t>K052</t>
        </is>
      </c>
      <c r="G412" s="75" t="n">
        <v>7.38</v>
      </c>
      <c r="H412" s="65" t="n"/>
      <c r="I412" s="66" t="n"/>
      <c r="J412" s="67">
        <f>VLOOKUP(C412,Recipes!$A$2:$N$4,10,FALSE())</f>
        <v/>
      </c>
      <c r="K412" s="68">
        <f>VLOOKUP(C412,Recipes!$A$2:$N$4,12,FALSE())</f>
        <v/>
      </c>
      <c r="L412" s="67">
        <f>J412-6*K412</f>
        <v/>
      </c>
      <c r="M412" s="67">
        <f>J412+6*K412</f>
        <v/>
      </c>
      <c r="N412" s="61">
        <f>IF(G412="","",IF(AND(G412&gt;=L412,G412&lt;=M412),"OK","NG"))</f>
        <v/>
      </c>
      <c r="O412" s="69">
        <f>IF(N412="","",IF(N412=D412,1,0))</f>
        <v/>
      </c>
      <c r="P412" s="67">
        <f>IF(G412="","",J412-G412)</f>
        <v/>
      </c>
      <c r="Q412" s="67">
        <f>IF(G412="","",ABS(P412-Components!$D$2)/Components!$E$2)</f>
        <v/>
      </c>
      <c r="R412" s="67">
        <f>IF(G412="","",ABS(P412-Components!$D$3)/Components!$E$3)</f>
        <v/>
      </c>
      <c r="S412" s="67">
        <f>IF(G412="","",ABS(P412-Components!$D$4)/Components!$E$4)</f>
        <v/>
      </c>
      <c r="T412" s="67">
        <f>IF(G412="","",ABS(P412-Components!$D$5)/Components!$E$5)</f>
        <v/>
      </c>
      <c r="U412" s="67">
        <f>IF(G412="","",ABS(P412-Components!$D$6)/Components!$E$6)</f>
        <v/>
      </c>
      <c r="V412" s="67">
        <f>IF(G412="","",ABS(P412-Components!$D$7)/Components!$E$7)</f>
        <v/>
      </c>
      <c r="W412" s="61">
        <f>IF(G412="","",IF(N412="OK","NONE",INDEX({"S1","S2","W1","W2","N1","N2"},MATCH(MIN(Q412:V412),Q412:V412,0))))</f>
        <v/>
      </c>
      <c r="X412" s="69">
        <f>IF(G412="","",IF(W412=E412,1,0))</f>
        <v/>
      </c>
      <c r="Y412" s="70" t="n"/>
    </row>
    <row r="413">
      <c r="A413" s="61" t="n">
        <v>52</v>
      </c>
      <c r="B413" s="62" t="n">
        <v>48</v>
      </c>
      <c r="C413" s="61" t="inlineStr">
        <is>
          <t>R6</t>
        </is>
      </c>
      <c r="D413" s="74" t="inlineStr">
        <is>
          <t>NG</t>
        </is>
      </c>
      <c r="E413" s="61" t="inlineStr">
        <is>
          <t>N1</t>
        </is>
      </c>
      <c r="F413" s="61" t="inlineStr">
        <is>
          <t>K052</t>
        </is>
      </c>
      <c r="G413" s="75" t="n">
        <v>7.45</v>
      </c>
      <c r="H413" s="65" t="n"/>
      <c r="I413" s="66" t="n"/>
      <c r="J413" s="67">
        <f>VLOOKUP(C413,Recipes!$A$2:$N$4,10,FALSE())</f>
        <v/>
      </c>
      <c r="K413" s="68">
        <f>VLOOKUP(C413,Recipes!$A$2:$N$4,12,FALSE())</f>
        <v/>
      </c>
      <c r="L413" s="67">
        <f>J413-6*K413</f>
        <v/>
      </c>
      <c r="M413" s="67">
        <f>J413+6*K413</f>
        <v/>
      </c>
      <c r="N413" s="61">
        <f>IF(G413="","",IF(AND(G413&gt;=L413,G413&lt;=M413),"OK","NG"))</f>
        <v/>
      </c>
      <c r="O413" s="69">
        <f>IF(N413="","",IF(N413=D413,1,0))</f>
        <v/>
      </c>
      <c r="P413" s="67">
        <f>IF(G413="","",J413-G413)</f>
        <v/>
      </c>
      <c r="Q413" s="67">
        <f>IF(G413="","",ABS(P413-Components!$D$2)/Components!$E$2)</f>
        <v/>
      </c>
      <c r="R413" s="67">
        <f>IF(G413="","",ABS(P413-Components!$D$3)/Components!$E$3)</f>
        <v/>
      </c>
      <c r="S413" s="67">
        <f>IF(G413="","",ABS(P413-Components!$D$4)/Components!$E$4)</f>
        <v/>
      </c>
      <c r="T413" s="67">
        <f>IF(G413="","",ABS(P413-Components!$D$5)/Components!$E$5)</f>
        <v/>
      </c>
      <c r="U413" s="67">
        <f>IF(G413="","",ABS(P413-Components!$D$6)/Components!$E$6)</f>
        <v/>
      </c>
      <c r="V413" s="67">
        <f>IF(G413="","",ABS(P413-Components!$D$7)/Components!$E$7)</f>
        <v/>
      </c>
      <c r="W413" s="61">
        <f>IF(G413="","",IF(N413="OK","NONE",INDEX({"S1","S2","W1","W2","N1","N2"},MATCH(MIN(Q413:V413),Q413:V413,0))))</f>
        <v/>
      </c>
      <c r="X413" s="69">
        <f>IF(G413="","",IF(W413=E413,1,0))</f>
        <v/>
      </c>
      <c r="Y413" s="70" t="n"/>
    </row>
    <row r="414">
      <c r="A414" s="61" t="n">
        <v>52</v>
      </c>
      <c r="B414" s="62" t="n">
        <v>48</v>
      </c>
      <c r="C414" s="61" t="inlineStr">
        <is>
          <t>R6</t>
        </is>
      </c>
      <c r="D414" s="74" t="inlineStr">
        <is>
          <t>NG</t>
        </is>
      </c>
      <c r="E414" s="61" t="inlineStr">
        <is>
          <t>N1</t>
        </is>
      </c>
      <c r="F414" s="61" t="inlineStr">
        <is>
          <t>K052</t>
        </is>
      </c>
      <c r="G414" s="75" t="n">
        <v>7.45</v>
      </c>
      <c r="H414" s="65" t="n"/>
      <c r="I414" s="66" t="n"/>
      <c r="J414" s="67">
        <f>VLOOKUP(C414,Recipes!$A$2:$N$4,10,FALSE())</f>
        <v/>
      </c>
      <c r="K414" s="68">
        <f>VLOOKUP(C414,Recipes!$A$2:$N$4,12,FALSE())</f>
        <v/>
      </c>
      <c r="L414" s="67">
        <f>J414-6*K414</f>
        <v/>
      </c>
      <c r="M414" s="67">
        <f>J414+6*K414</f>
        <v/>
      </c>
      <c r="N414" s="61">
        <f>IF(G414="","",IF(AND(G414&gt;=L414,G414&lt;=M414),"OK","NG"))</f>
        <v/>
      </c>
      <c r="O414" s="69">
        <f>IF(N414="","",IF(N414=D414,1,0))</f>
        <v/>
      </c>
      <c r="P414" s="67">
        <f>IF(G414="","",J414-G414)</f>
        <v/>
      </c>
      <c r="Q414" s="67">
        <f>IF(G414="","",ABS(P414-Components!$D$2)/Components!$E$2)</f>
        <v/>
      </c>
      <c r="R414" s="67">
        <f>IF(G414="","",ABS(P414-Components!$D$3)/Components!$E$3)</f>
        <v/>
      </c>
      <c r="S414" s="67">
        <f>IF(G414="","",ABS(P414-Components!$D$4)/Components!$E$4)</f>
        <v/>
      </c>
      <c r="T414" s="67">
        <f>IF(G414="","",ABS(P414-Components!$D$5)/Components!$E$5)</f>
        <v/>
      </c>
      <c r="U414" s="67">
        <f>IF(G414="","",ABS(P414-Components!$D$6)/Components!$E$6)</f>
        <v/>
      </c>
      <c r="V414" s="67">
        <f>IF(G414="","",ABS(P414-Components!$D$7)/Components!$E$7)</f>
        <v/>
      </c>
      <c r="W414" s="61">
        <f>IF(G414="","",IF(N414="OK","NONE",INDEX({"S1","S2","W1","W2","N1","N2"},MATCH(MIN(Q414:V414),Q414:V414,0))))</f>
        <v/>
      </c>
      <c r="X414" s="69">
        <f>IF(G414="","",IF(W414=E414,1,0))</f>
        <v/>
      </c>
      <c r="Y414" s="70" t="n"/>
    </row>
    <row r="415">
      <c r="A415" s="61" t="n">
        <v>52</v>
      </c>
      <c r="B415" s="62" t="n">
        <v>48</v>
      </c>
      <c r="C415" s="61" t="inlineStr">
        <is>
          <t>R6</t>
        </is>
      </c>
      <c r="D415" s="74" t="inlineStr">
        <is>
          <t>NG</t>
        </is>
      </c>
      <c r="E415" s="61" t="inlineStr">
        <is>
          <t>N1</t>
        </is>
      </c>
      <c r="F415" s="61" t="inlineStr">
        <is>
          <t>K052</t>
        </is>
      </c>
      <c r="G415" s="75" t="n">
        <v>7.45</v>
      </c>
      <c r="H415" s="65" t="n"/>
      <c r="I415" s="66" t="n"/>
      <c r="J415" s="67">
        <f>VLOOKUP(C415,Recipes!$A$2:$N$4,10,FALSE())</f>
        <v/>
      </c>
      <c r="K415" s="68">
        <f>VLOOKUP(C415,Recipes!$A$2:$N$4,12,FALSE())</f>
        <v/>
      </c>
      <c r="L415" s="67">
        <f>J415-6*K415</f>
        <v/>
      </c>
      <c r="M415" s="67">
        <f>J415+6*K415</f>
        <v/>
      </c>
      <c r="N415" s="61">
        <f>IF(G415="","",IF(AND(G415&gt;=L415,G415&lt;=M415),"OK","NG"))</f>
        <v/>
      </c>
      <c r="O415" s="69">
        <f>IF(N415="","",IF(N415=D415,1,0))</f>
        <v/>
      </c>
      <c r="P415" s="67">
        <f>IF(G415="","",J415-G415)</f>
        <v/>
      </c>
      <c r="Q415" s="67">
        <f>IF(G415="","",ABS(P415-Components!$D$2)/Components!$E$2)</f>
        <v/>
      </c>
      <c r="R415" s="67">
        <f>IF(G415="","",ABS(P415-Components!$D$3)/Components!$E$3)</f>
        <v/>
      </c>
      <c r="S415" s="67">
        <f>IF(G415="","",ABS(P415-Components!$D$4)/Components!$E$4)</f>
        <v/>
      </c>
      <c r="T415" s="67">
        <f>IF(G415="","",ABS(P415-Components!$D$5)/Components!$E$5)</f>
        <v/>
      </c>
      <c r="U415" s="67">
        <f>IF(G415="","",ABS(P415-Components!$D$6)/Components!$E$6)</f>
        <v/>
      </c>
      <c r="V415" s="67">
        <f>IF(G415="","",ABS(P415-Components!$D$7)/Components!$E$7)</f>
        <v/>
      </c>
      <c r="W415" s="61">
        <f>IF(G415="","",IF(N415="OK","NONE",INDEX({"S1","S2","W1","W2","N1","N2"},MATCH(MIN(Q415:V415),Q415:V415,0))))</f>
        <v/>
      </c>
      <c r="X415" s="69">
        <f>IF(G415="","",IF(W415=E415,1,0))</f>
        <v/>
      </c>
      <c r="Y415" s="70" t="n"/>
    </row>
    <row r="416">
      <c r="A416" s="61" t="n">
        <v>52</v>
      </c>
      <c r="B416" s="62" t="n">
        <v>48</v>
      </c>
      <c r="C416" s="61" t="inlineStr">
        <is>
          <t>R6</t>
        </is>
      </c>
      <c r="D416" s="74" t="inlineStr">
        <is>
          <t>NG</t>
        </is>
      </c>
      <c r="E416" s="61" t="inlineStr">
        <is>
          <t>N1</t>
        </is>
      </c>
      <c r="F416" s="61" t="inlineStr">
        <is>
          <t>K052</t>
        </is>
      </c>
      <c r="G416" s="75" t="n">
        <v>7.44</v>
      </c>
      <c r="H416" s="65" t="n"/>
      <c r="I416" s="66" t="n"/>
      <c r="J416" s="67">
        <f>VLOOKUP(C416,Recipes!$A$2:$N$4,10,FALSE())</f>
        <v/>
      </c>
      <c r="K416" s="68">
        <f>VLOOKUP(C416,Recipes!$A$2:$N$4,12,FALSE())</f>
        <v/>
      </c>
      <c r="L416" s="67">
        <f>J416-6*K416</f>
        <v/>
      </c>
      <c r="M416" s="67">
        <f>J416+6*K416</f>
        <v/>
      </c>
      <c r="N416" s="61">
        <f>IF(G416="","",IF(AND(G416&gt;=L416,G416&lt;=M416),"OK","NG"))</f>
        <v/>
      </c>
      <c r="O416" s="69">
        <f>IF(N416="","",IF(N416=D416,1,0))</f>
        <v/>
      </c>
      <c r="P416" s="67">
        <f>IF(G416="","",J416-G416)</f>
        <v/>
      </c>
      <c r="Q416" s="67">
        <f>IF(G416="","",ABS(P416-Components!$D$2)/Components!$E$2)</f>
        <v/>
      </c>
      <c r="R416" s="67">
        <f>IF(G416="","",ABS(P416-Components!$D$3)/Components!$E$3)</f>
        <v/>
      </c>
      <c r="S416" s="67">
        <f>IF(G416="","",ABS(P416-Components!$D$4)/Components!$E$4)</f>
        <v/>
      </c>
      <c r="T416" s="67">
        <f>IF(G416="","",ABS(P416-Components!$D$5)/Components!$E$5)</f>
        <v/>
      </c>
      <c r="U416" s="67">
        <f>IF(G416="","",ABS(P416-Components!$D$6)/Components!$E$6)</f>
        <v/>
      </c>
      <c r="V416" s="67">
        <f>IF(G416="","",ABS(P416-Components!$D$7)/Components!$E$7)</f>
        <v/>
      </c>
      <c r="W416" s="61">
        <f>IF(G416="","",IF(N416="OK","NONE",INDEX({"S1","S2","W1","W2","N1","N2"},MATCH(MIN(Q416:V416),Q416:V416,0))))</f>
        <v/>
      </c>
      <c r="X416" s="69">
        <f>IF(G416="","",IF(W416=E416,1,0))</f>
        <v/>
      </c>
      <c r="Y416" s="70" t="n"/>
    </row>
    <row r="417">
      <c r="A417" s="61" t="n">
        <v>52</v>
      </c>
      <c r="B417" s="62" t="n">
        <v>48</v>
      </c>
      <c r="C417" s="61" t="inlineStr">
        <is>
          <t>R6</t>
        </is>
      </c>
      <c r="D417" s="74" t="inlineStr">
        <is>
          <t>NG</t>
        </is>
      </c>
      <c r="E417" s="61" t="inlineStr">
        <is>
          <t>N1</t>
        </is>
      </c>
      <c r="F417" s="61" t="inlineStr">
        <is>
          <t>K052</t>
        </is>
      </c>
      <c r="G417" s="64" t="n">
        <v>7.45</v>
      </c>
      <c r="H417" s="65" t="n"/>
      <c r="I417" s="66" t="n"/>
      <c r="J417" s="67">
        <f>VLOOKUP(C417,Recipes!$A$2:$N$4,10,FALSE())</f>
        <v/>
      </c>
      <c r="K417" s="68">
        <f>VLOOKUP(C417,Recipes!$A$2:$N$4,12,FALSE())</f>
        <v/>
      </c>
      <c r="L417" s="67">
        <f>J417-6*K417</f>
        <v/>
      </c>
      <c r="M417" s="67">
        <f>J417+6*K417</f>
        <v/>
      </c>
      <c r="N417" s="61">
        <f>IF(G417="","",IF(AND(G417&gt;=L417,G417&lt;=M417),"OK","NG"))</f>
        <v/>
      </c>
      <c r="O417" s="69">
        <f>IF(N417="","",IF(N417=D417,1,0))</f>
        <v/>
      </c>
      <c r="P417" s="67">
        <f>IF(G417="","",J417-G417)</f>
        <v/>
      </c>
      <c r="Q417" s="67">
        <f>IF(G417="","",ABS(P417-Components!$D$2)/Components!$E$2)</f>
        <v/>
      </c>
      <c r="R417" s="67">
        <f>IF(G417="","",ABS(P417-Components!$D$3)/Components!$E$3)</f>
        <v/>
      </c>
      <c r="S417" s="67">
        <f>IF(G417="","",ABS(P417-Components!$D$4)/Components!$E$4)</f>
        <v/>
      </c>
      <c r="T417" s="67">
        <f>IF(G417="","",ABS(P417-Components!$D$5)/Components!$E$5)</f>
        <v/>
      </c>
      <c r="U417" s="67">
        <f>IF(G417="","",ABS(P417-Components!$D$6)/Components!$E$6)</f>
        <v/>
      </c>
      <c r="V417" s="67">
        <f>IF(G417="","",ABS(P417-Components!$D$7)/Components!$E$7)</f>
        <v/>
      </c>
      <c r="W417" s="61">
        <f>IF(G417="","",IF(N417="OK","NONE",INDEX({"S1","S2","W1","W2","N1","N2"},MATCH(MIN(Q417:V417),Q417:V417,0))))</f>
        <v/>
      </c>
      <c r="X417" s="69">
        <f>IF(G417="","",IF(W417=E417,1,0))</f>
        <v/>
      </c>
      <c r="Y417" s="70" t="n"/>
    </row>
    <row r="418">
      <c r="A418" s="61" t="n">
        <v>53</v>
      </c>
      <c r="B418" s="62" t="n">
        <v>2</v>
      </c>
      <c r="C418" s="61" t="inlineStr">
        <is>
          <t>R6</t>
        </is>
      </c>
      <c r="D418" s="74" t="inlineStr">
        <is>
          <t>NG</t>
        </is>
      </c>
      <c r="E418" s="61" t="inlineStr">
        <is>
          <t>N1</t>
        </is>
      </c>
      <c r="F418" s="61" t="inlineStr">
        <is>
          <t>K053</t>
        </is>
      </c>
      <c r="G418" s="64" t="n">
        <v>7.45</v>
      </c>
      <c r="H418" s="65" t="n"/>
      <c r="I418" s="66" t="n"/>
      <c r="J418" s="67">
        <f>VLOOKUP(C418,Recipes!$A$2:$N$4,10,FALSE())</f>
        <v/>
      </c>
      <c r="K418" s="68">
        <f>VLOOKUP(C418,Recipes!$A$2:$N$4,12,FALSE())</f>
        <v/>
      </c>
      <c r="L418" s="67">
        <f>J418-6*K418</f>
        <v/>
      </c>
      <c r="M418" s="67">
        <f>J418+6*K418</f>
        <v/>
      </c>
      <c r="N418" s="61">
        <f>IF(G418="","",IF(AND(G418&gt;=L418,G418&lt;=M418),"OK","NG"))</f>
        <v/>
      </c>
      <c r="O418" s="69">
        <f>IF(N418="","",IF(N418=D418,1,0))</f>
        <v/>
      </c>
      <c r="P418" s="67">
        <f>IF(G418="","",J418-G418)</f>
        <v/>
      </c>
      <c r="Q418" s="67">
        <f>IF(G418="","",ABS(P418-Components!$D$2)/Components!$E$2)</f>
        <v/>
      </c>
      <c r="R418" s="67">
        <f>IF(G418="","",ABS(P418-Components!$D$3)/Components!$E$3)</f>
        <v/>
      </c>
      <c r="S418" s="67">
        <f>IF(G418="","",ABS(P418-Components!$D$4)/Components!$E$4)</f>
        <v/>
      </c>
      <c r="T418" s="67">
        <f>IF(G418="","",ABS(P418-Components!$D$5)/Components!$E$5)</f>
        <v/>
      </c>
      <c r="U418" s="67">
        <f>IF(G418="","",ABS(P418-Components!$D$6)/Components!$E$6)</f>
        <v/>
      </c>
      <c r="V418" s="67">
        <f>IF(G418="","",ABS(P418-Components!$D$7)/Components!$E$7)</f>
        <v/>
      </c>
      <c r="W418" s="61">
        <f>IF(G418="","",IF(N418="OK","NONE",INDEX({"S1","S2","W1","W2","N1","N2"},MATCH(MIN(Q418:V418),Q418:V418,0))))</f>
        <v/>
      </c>
      <c r="X418" s="69">
        <f>IF(G418="","",IF(W418=E418,1,0))</f>
        <v/>
      </c>
      <c r="Y418" s="70" t="n"/>
    </row>
    <row r="419">
      <c r="A419" s="79" t="n"/>
      <c r="B419" s="80" t="n"/>
      <c r="C419" s="76" t="inlineStr">
        <is>
          <t>R6</t>
        </is>
      </c>
      <c r="D419" s="78" t="inlineStr">
        <is>
          <t>NG</t>
        </is>
      </c>
      <c r="E419" s="76" t="inlineStr">
        <is>
          <t>N1</t>
        </is>
      </c>
      <c r="F419" s="81" t="n"/>
      <c r="G419" s="75" t="n">
        <v>7.44</v>
      </c>
      <c r="H419" s="65" t="n"/>
      <c r="I419" s="66" t="n"/>
      <c r="J419" s="67">
        <f>VLOOKUP(C419,Recipes!$A$2:$N$4,10,FALSE())</f>
        <v/>
      </c>
      <c r="K419" s="68">
        <f>VLOOKUP(C419,Recipes!$A$2:$N$4,12,FALSE())</f>
        <v/>
      </c>
      <c r="L419" s="67">
        <f>J419-6*K419</f>
        <v/>
      </c>
      <c r="M419" s="67">
        <f>J419+6*K419</f>
        <v/>
      </c>
      <c r="N419" s="61">
        <f>IF(G419="","",IF(AND(G419&gt;=L419,G419&lt;=M419),"OK","NG"))</f>
        <v/>
      </c>
      <c r="O419" s="69">
        <f>IF(N419="","",IF(N419=D419,1,0))</f>
        <v/>
      </c>
      <c r="P419" s="67">
        <f>IF(G419="","",J419-G419)</f>
        <v/>
      </c>
      <c r="Q419" s="67">
        <f>IF(G419="","",ABS(P419-Components!$D$2)/Components!$E$2)</f>
        <v/>
      </c>
      <c r="R419" s="67">
        <f>IF(G419="","",ABS(P419-Components!$D$3)/Components!$E$3)</f>
        <v/>
      </c>
      <c r="S419" s="67">
        <f>IF(G419="","",ABS(P419-Components!$D$4)/Components!$E$4)</f>
        <v/>
      </c>
      <c r="T419" s="67">
        <f>IF(G419="","",ABS(P419-Components!$D$5)/Components!$E$5)</f>
        <v/>
      </c>
      <c r="U419" s="67">
        <f>IF(G419="","",ABS(P419-Components!$D$6)/Components!$E$6)</f>
        <v/>
      </c>
      <c r="V419" s="67">
        <f>IF(G419="","",ABS(P419-Components!$D$7)/Components!$E$7)</f>
        <v/>
      </c>
      <c r="W419" s="61">
        <f>IF(G419="","",IF(N419="OK","NONE",INDEX({"S1","S2","W1","W2","N1","N2"},MATCH(MIN(Q419:V419),Q419:V419,0))))</f>
        <v/>
      </c>
      <c r="X419" s="69">
        <f>IF(G419="","",IF(W419=E419,1,0))</f>
        <v/>
      </c>
      <c r="Y419" s="70" t="n"/>
    </row>
    <row r="420">
      <c r="A420" s="79" t="n"/>
      <c r="B420" s="80" t="n"/>
      <c r="C420" s="76" t="inlineStr">
        <is>
          <t>R6</t>
        </is>
      </c>
      <c r="D420" s="78" t="inlineStr">
        <is>
          <t>NG</t>
        </is>
      </c>
      <c r="E420" s="76" t="inlineStr">
        <is>
          <t>N1</t>
        </is>
      </c>
      <c r="F420" s="81" t="n"/>
      <c r="G420" s="75" t="n">
        <v>7.46</v>
      </c>
      <c r="H420" s="65" t="n"/>
      <c r="I420" s="66" t="n"/>
      <c r="J420" s="67">
        <f>VLOOKUP(C420,Recipes!$A$2:$N$4,10,FALSE())</f>
        <v/>
      </c>
      <c r="K420" s="68">
        <f>VLOOKUP(C420,Recipes!$A$2:$N$4,12,FALSE())</f>
        <v/>
      </c>
      <c r="L420" s="67">
        <f>J420-6*K420</f>
        <v/>
      </c>
      <c r="M420" s="67">
        <f>J420+6*K420</f>
        <v/>
      </c>
      <c r="N420" s="61">
        <f>IF(G420="","",IF(AND(G420&gt;=L420,G420&lt;=M420),"OK","NG"))</f>
        <v/>
      </c>
      <c r="O420" s="69">
        <f>IF(N420="","",IF(N420=D420,1,0))</f>
        <v/>
      </c>
      <c r="P420" s="67">
        <f>IF(G420="","",J420-G420)</f>
        <v/>
      </c>
      <c r="Q420" s="67">
        <f>IF(G420="","",ABS(P420-Components!$D$2)/Components!$E$2)</f>
        <v/>
      </c>
      <c r="R420" s="67">
        <f>IF(G420="","",ABS(P420-Components!$D$3)/Components!$E$3)</f>
        <v/>
      </c>
      <c r="S420" s="67">
        <f>IF(G420="","",ABS(P420-Components!$D$4)/Components!$E$4)</f>
        <v/>
      </c>
      <c r="T420" s="67">
        <f>IF(G420="","",ABS(P420-Components!$D$5)/Components!$E$5)</f>
        <v/>
      </c>
      <c r="U420" s="67">
        <f>IF(G420="","",ABS(P420-Components!$D$6)/Components!$E$6)</f>
        <v/>
      </c>
      <c r="V420" s="67">
        <f>IF(G420="","",ABS(P420-Components!$D$7)/Components!$E$7)</f>
        <v/>
      </c>
      <c r="W420" s="61">
        <f>IF(G420="","",IF(N420="OK","NONE",INDEX({"S1","S2","W1","W2","N1","N2"},MATCH(MIN(Q420:V420),Q420:V420,0))))</f>
        <v/>
      </c>
      <c r="X420" s="69">
        <f>IF(G420="","",IF(W420=E420,1,0))</f>
        <v/>
      </c>
      <c r="Y420" s="70" t="n"/>
    </row>
    <row r="421">
      <c r="A421" s="61" t="n">
        <v>52</v>
      </c>
      <c r="B421" s="62" t="n">
        <v>48</v>
      </c>
      <c r="C421" s="61" t="inlineStr">
        <is>
          <t>R6</t>
        </is>
      </c>
      <c r="D421" s="74" t="inlineStr">
        <is>
          <t>NG</t>
        </is>
      </c>
      <c r="E421" s="61" t="inlineStr">
        <is>
          <t>N1</t>
        </is>
      </c>
      <c r="F421" s="61" t="inlineStr">
        <is>
          <t>K052</t>
        </is>
      </c>
      <c r="G421" s="75" t="n">
        <v>7.25</v>
      </c>
      <c r="H421" s="65" t="n"/>
      <c r="I421" s="66" t="n"/>
      <c r="J421" s="67">
        <f>VLOOKUP(C421,Recipes!$A$2:$N$4,10,FALSE())</f>
        <v/>
      </c>
      <c r="K421" s="68">
        <f>VLOOKUP(C421,Recipes!$A$2:$N$4,12,FALSE())</f>
        <v/>
      </c>
      <c r="L421" s="67">
        <f>J421-6*K421</f>
        <v/>
      </c>
      <c r="M421" s="67">
        <f>J421+6*K421</f>
        <v/>
      </c>
      <c r="N421" s="61">
        <f>IF(G421="","",IF(AND(G421&gt;=L421,G421&lt;=M421),"OK","NG"))</f>
        <v/>
      </c>
      <c r="O421" s="69">
        <f>IF(N421="","",IF(N421=D421,1,0))</f>
        <v/>
      </c>
      <c r="P421" s="67">
        <f>IF(G421="","",J421-G421)</f>
        <v/>
      </c>
      <c r="Q421" s="67">
        <f>IF(G421="","",ABS(P421-Components!$D$2)/Components!$E$2)</f>
        <v/>
      </c>
      <c r="R421" s="67">
        <f>IF(G421="","",ABS(P421-Components!$D$3)/Components!$E$3)</f>
        <v/>
      </c>
      <c r="S421" s="67">
        <f>IF(G421="","",ABS(P421-Components!$D$4)/Components!$E$4)</f>
        <v/>
      </c>
      <c r="T421" s="67">
        <f>IF(G421="","",ABS(P421-Components!$D$5)/Components!$E$5)</f>
        <v/>
      </c>
      <c r="U421" s="67">
        <f>IF(G421="","",ABS(P421-Components!$D$6)/Components!$E$6)</f>
        <v/>
      </c>
      <c r="V421" s="67">
        <f>IF(G421="","",ABS(P421-Components!$D$7)/Components!$E$7)</f>
        <v/>
      </c>
      <c r="W421" s="61">
        <f>IF(G421="","",IF(N421="OK","NONE",INDEX({"S1","S2","W1","W2","N1","N2"},MATCH(MIN(Q421:V421),Q421:V421,0))))</f>
        <v/>
      </c>
      <c r="X421" s="71">
        <f>IF(G421="","",IF(W421=E421,1,0))</f>
        <v/>
      </c>
      <c r="Y421" s="70" t="n"/>
    </row>
    <row r="422">
      <c r="A422" s="82" t="n"/>
      <c r="B422" s="83" t="n"/>
      <c r="C422" s="76" t="inlineStr">
        <is>
          <t>R6</t>
        </is>
      </c>
      <c r="D422" s="78" t="inlineStr">
        <is>
          <t>NG</t>
        </is>
      </c>
      <c r="E422" s="76" t="inlineStr">
        <is>
          <t>N1</t>
        </is>
      </c>
      <c r="F422" s="84" t="n"/>
      <c r="G422" s="75" t="n">
        <v>7.47</v>
      </c>
      <c r="H422" s="85" t="n"/>
      <c r="I422" s="86" t="n"/>
      <c r="J422" s="67">
        <f>VLOOKUP(C422,Recipes!$A$2:$N$4,10,FALSE())</f>
        <v/>
      </c>
      <c r="K422" s="68">
        <f>VLOOKUP(C422,Recipes!$A$2:$N$4,12,FALSE())</f>
        <v/>
      </c>
      <c r="L422" s="67">
        <f>J422-6*K422</f>
        <v/>
      </c>
      <c r="M422" s="67">
        <f>J422+6*K422</f>
        <v/>
      </c>
      <c r="N422" s="61">
        <f>IF(G422="","",IF(AND(G422&gt;=L422,G422&lt;=M422),"OK","NG"))</f>
        <v/>
      </c>
      <c r="O422" s="69">
        <f>IF(N422="","",IF(N422=D422,1,0))</f>
        <v/>
      </c>
      <c r="P422" s="67">
        <f>IF(G422="","",J422-G422)</f>
        <v/>
      </c>
      <c r="Q422" s="67">
        <f>IF(G422="","",ABS(P422-Components!$D$2)/Components!$E$2)</f>
        <v/>
      </c>
      <c r="R422" s="67">
        <f>IF(G422="","",ABS(P422-Components!$D$3)/Components!$E$3)</f>
        <v/>
      </c>
      <c r="S422" s="67">
        <f>IF(G422="","",ABS(P422-Components!$D$4)/Components!$E$4)</f>
        <v/>
      </c>
      <c r="T422" s="67">
        <f>IF(G422="","",ABS(P422-Components!$D$5)/Components!$E$5)</f>
        <v/>
      </c>
      <c r="U422" s="67">
        <f>IF(G422="","",ABS(P422-Components!$D$6)/Components!$E$6)</f>
        <v/>
      </c>
      <c r="V422" s="67">
        <f>IF(G422="","",ABS(P422-Components!$D$7)/Components!$E$7)</f>
        <v/>
      </c>
      <c r="W422" s="61">
        <f>IF(G422="","",IF(N422="OK","NONE",INDEX({"S1","S2","W1","W2","N1","N2"},MATCH(MIN(Q422:V422),Q422:V422,0))))</f>
        <v/>
      </c>
      <c r="X422" s="69">
        <f>IF(G422="","",IF(W422=E422,1,0))</f>
        <v/>
      </c>
      <c r="Y422" s="70" t="n"/>
    </row>
    <row r="423">
      <c r="A423" s="5" t="n"/>
      <c r="B423" s="16" t="n"/>
      <c r="C423" s="5" t="n"/>
      <c r="D423" s="5" t="n"/>
      <c r="E423" s="5" t="n"/>
      <c r="F423" s="5" t="n"/>
      <c r="G423" s="17" t="n"/>
      <c r="H423" s="18" t="n"/>
      <c r="I423" s="19" t="n"/>
      <c r="J423" s="13" t="n"/>
      <c r="K423" s="13" t="n"/>
      <c r="L423" s="7" t="n"/>
      <c r="M423" s="7" t="n"/>
      <c r="N423" s="5" t="n"/>
      <c r="O423" s="5" t="n"/>
      <c r="P423" s="7" t="n"/>
      <c r="Q423" s="6" t="n"/>
      <c r="R423" s="6" t="n"/>
      <c r="S423" s="6" t="n"/>
      <c r="T423" s="6" t="n"/>
      <c r="U423" s="6" t="n"/>
      <c r="V423" s="6" t="n"/>
      <c r="W423" s="5" t="n"/>
      <c r="X423" s="5" t="n"/>
    </row>
    <row r="424">
      <c r="A424" s="5" t="n"/>
      <c r="B424" s="16" t="n"/>
      <c r="C424" s="5" t="n"/>
      <c r="D424" s="5" t="n"/>
      <c r="E424" s="5" t="n"/>
      <c r="F424" s="5" t="n"/>
      <c r="G424" s="17" t="n"/>
      <c r="H424" s="18" t="n"/>
      <c r="I424" s="19" t="n"/>
      <c r="J424" s="13" t="n"/>
      <c r="K424" s="13" t="n"/>
      <c r="L424" s="7" t="n"/>
      <c r="M424" s="7" t="n"/>
      <c r="N424" s="5" t="n"/>
      <c r="O424" s="5" t="n"/>
      <c r="P424" s="7" t="n"/>
      <c r="Q424" s="6" t="n"/>
      <c r="R424" s="6" t="n"/>
      <c r="S424" s="6" t="n"/>
      <c r="T424" s="6" t="n"/>
      <c r="U424" s="6" t="n"/>
      <c r="V424" s="6" t="n"/>
      <c r="W424" s="5" t="n"/>
      <c r="X424" s="5" t="n"/>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2:X174"/>
  <sheetViews>
    <sheetView zoomScale="128" zoomScaleNormal="85" workbookViewId="0">
      <pane ySplit="2" topLeftCell="A3" activePane="bottomLeft" state="frozen"/>
      <selection pane="bottomLeft" activeCell="A2" sqref="A2"/>
    </sheetView>
  </sheetViews>
  <sheetFormatPr baseColWidth="8" defaultColWidth="8.7109375" defaultRowHeight="15"/>
  <cols>
    <col width="8" customWidth="1" style="180" min="1" max="1"/>
    <col width="17" customWidth="1" style="180" min="2" max="2"/>
    <col width="8" customWidth="1" style="180" min="3" max="3"/>
    <col width="11" customWidth="1" style="180" min="4" max="4"/>
    <col width="19" customWidth="1" style="180" min="5" max="5"/>
    <col width="8" customWidth="1" style="180" min="6" max="6"/>
    <col width="19" customWidth="1" style="180" min="7" max="7"/>
    <col width="11" customWidth="1" style="180" min="8" max="8"/>
    <col width="8" customWidth="1" style="180" min="9" max="9"/>
    <col width="17" customWidth="1" style="180" min="10" max="10"/>
    <col width="14" customWidth="1" style="180" min="11" max="11"/>
    <col width="13" customWidth="1" style="180" min="12" max="13"/>
    <col width="17" customWidth="1" style="180" min="14" max="14"/>
    <col width="12" customWidth="1" style="180" min="15" max="15"/>
    <col width="19" customWidth="1" style="180" min="16" max="16"/>
    <col width="10" customWidth="1" style="180" min="17" max="22"/>
    <col width="19" customWidth="1" style="180" min="23" max="23"/>
    <col width="12" customWidth="1" style="180" min="24" max="24"/>
  </cols>
  <sheetData>
    <row r="2" ht="30" customHeight="1" s="180">
      <c r="A2" s="60" t="inlineStr">
        <is>
          <t>run_id</t>
        </is>
      </c>
      <c r="B2" s="60" t="inlineStr">
        <is>
          <t>execution_order</t>
        </is>
      </c>
      <c r="C2" s="60" t="inlineStr">
        <is>
          <t>recipe</t>
        </is>
      </c>
      <c r="D2" s="60" t="inlineStr">
        <is>
          <t>condition</t>
        </is>
      </c>
      <c r="E2" s="60" t="inlineStr">
        <is>
          <t>missing_component</t>
        </is>
      </c>
      <c r="F2" s="60" t="inlineStr">
        <is>
          <t>kit_id</t>
        </is>
      </c>
      <c r="G2" s="60" t="inlineStr">
        <is>
          <t>measured_weight_g</t>
        </is>
      </c>
      <c r="H2" s="60" t="inlineStr">
        <is>
          <t>timestamp</t>
        </is>
      </c>
      <c r="I2" s="60" t="inlineStr">
        <is>
          <t>notes</t>
        </is>
      </c>
      <c r="J2" s="60" t="inlineStr">
        <is>
          <t>expected_weight</t>
        </is>
      </c>
      <c r="K2" s="60" t="inlineStr">
        <is>
          <t>expected_std</t>
        </is>
      </c>
      <c r="L2" s="60" t="inlineStr">
        <is>
          <t>lower_bound</t>
        </is>
      </c>
      <c r="M2" s="60" t="inlineStr">
        <is>
          <t>upper_bound</t>
        </is>
      </c>
      <c r="N2" s="60" t="inlineStr">
        <is>
          <t>predicted_OK_NG</t>
        </is>
      </c>
      <c r="O2" s="60" t="inlineStr">
        <is>
          <t>L1_correct</t>
        </is>
      </c>
      <c r="P2" s="60" t="inlineStr">
        <is>
          <t>deficit</t>
        </is>
      </c>
      <c r="Q2" s="60" t="inlineStr">
        <is>
          <t>match_S1</t>
        </is>
      </c>
      <c r="R2" s="60" t="inlineStr">
        <is>
          <t>match_S2</t>
        </is>
      </c>
      <c r="S2" s="60" t="inlineStr">
        <is>
          <t>match_W1</t>
        </is>
      </c>
      <c r="T2" s="60" t="inlineStr">
        <is>
          <t>match_W2</t>
        </is>
      </c>
      <c r="U2" s="60" t="inlineStr">
        <is>
          <t>match_N1</t>
        </is>
      </c>
      <c r="V2" s="60" t="inlineStr">
        <is>
          <t>match_N2</t>
        </is>
      </c>
      <c r="W2" s="60" t="inlineStr">
        <is>
          <t>predicted_missing</t>
        </is>
      </c>
      <c r="X2" s="60" t="inlineStr">
        <is>
          <t>L2_correct</t>
        </is>
      </c>
    </row>
    <row r="3">
      <c r="A3" s="61" t="n">
        <v>1</v>
      </c>
      <c r="B3" s="62" t="n">
        <v>31</v>
      </c>
      <c r="C3" s="61" t="inlineStr">
        <is>
          <t>R3</t>
        </is>
      </c>
      <c r="D3" s="63" t="inlineStr">
        <is>
          <t>OK</t>
        </is>
      </c>
      <c r="E3" s="61" t="inlineStr">
        <is>
          <t>NONE</t>
        </is>
      </c>
      <c r="F3" s="61" t="inlineStr">
        <is>
          <t>K001</t>
        </is>
      </c>
      <c r="G3" s="64" t="n">
        <v>9.91</v>
      </c>
      <c r="H3" s="65" t="n"/>
      <c r="I3" s="66" t="n"/>
      <c r="J3" s="67">
        <f>VLOOKUP(C3,Recipes!$A$2:$N$4,10,FALSE())</f>
        <v/>
      </c>
      <c r="K3" s="68">
        <f>VLOOKUP(C3,Recipes!$A$2:$N$4,12,FALSE())</f>
        <v/>
      </c>
      <c r="L3" s="67">
        <f>J3-3*K3</f>
        <v/>
      </c>
      <c r="M3" s="67">
        <f>J3+3*K3</f>
        <v/>
      </c>
      <c r="N3" s="61">
        <f>IF(G3="","",IF(AND(G3&gt;=L3,G3&lt;=M3),"OK","NG"))</f>
        <v/>
      </c>
      <c r="O3" s="69">
        <f>IF(N3="","",IF(N3=D3,1,0))</f>
        <v/>
      </c>
      <c r="P3" s="67">
        <f>IF(G3="","",J3-G3)</f>
        <v/>
      </c>
      <c r="Q3" s="67">
        <f>IF(G3="","",ABS(P3-Components!$D$2))</f>
        <v/>
      </c>
      <c r="R3" s="67">
        <f>IF(G3="","",ABS(P3-Components!$D$3))</f>
        <v/>
      </c>
      <c r="S3" s="67">
        <f>IF(G3="","",ABS(P3-Components!$D$4))</f>
        <v/>
      </c>
      <c r="T3" s="67">
        <f>IF(G3="","",ABS(P3-Components!$D$5))</f>
        <v/>
      </c>
      <c r="U3" s="67">
        <f>IF(G3="","",ABS(P3-Components!$D$6))</f>
        <v/>
      </c>
      <c r="V3" s="67">
        <f>IF(G3="","",ABS(P3-Components!$D$7))</f>
        <v/>
      </c>
      <c r="W3" s="61">
        <f>IF(G3="","",IF(N3="OK","NONE",INDEX({"S1","S2","W1","W2","N1","N2"},MATCH(MIN(Q3:V3),Q3:V3,0))))</f>
        <v/>
      </c>
      <c r="X3" s="69">
        <f>IF(G3="","",IF(W3=E3,1,0))</f>
        <v/>
      </c>
    </row>
    <row r="4">
      <c r="A4" s="61" t="n">
        <v>2</v>
      </c>
      <c r="B4" s="62" t="n">
        <v>24</v>
      </c>
      <c r="C4" s="61" t="inlineStr">
        <is>
          <t>R3</t>
        </is>
      </c>
      <c r="D4" s="63" t="inlineStr">
        <is>
          <t>OK</t>
        </is>
      </c>
      <c r="E4" s="61" t="inlineStr">
        <is>
          <t>NONE</t>
        </is>
      </c>
      <c r="F4" s="61" t="inlineStr">
        <is>
          <t>K002</t>
        </is>
      </c>
      <c r="G4" s="64" t="n">
        <v>10</v>
      </c>
      <c r="H4" s="65" t="n"/>
      <c r="I4" s="66" t="n"/>
      <c r="J4" s="67">
        <f>VLOOKUP(C4,Recipes!$A$2:$N$4,10,FALSE())</f>
        <v/>
      </c>
      <c r="K4" s="68">
        <f>VLOOKUP(C4,Recipes!$A$2:$N$4,12,FALSE())</f>
        <v/>
      </c>
      <c r="L4" s="67">
        <f>J4-3*K4</f>
        <v/>
      </c>
      <c r="M4" s="67">
        <f>J4+3*K4</f>
        <v/>
      </c>
      <c r="N4" s="61">
        <f>IF(G4="","",IF(AND(G4&gt;=L4,G4&lt;=M4),"OK","NG"))</f>
        <v/>
      </c>
      <c r="O4" s="69">
        <f>IF(N4="","",IF(N4=D4,1,0))</f>
        <v/>
      </c>
      <c r="P4" s="67">
        <f>IF(G4="","",J4-G4)</f>
        <v/>
      </c>
      <c r="Q4" s="67">
        <f>IF(G4="","",ABS(P4-Components!$D$2))</f>
        <v/>
      </c>
      <c r="R4" s="67">
        <f>IF(G4="","",ABS(P4-Components!$D$3))</f>
        <v/>
      </c>
      <c r="S4" s="67">
        <f>IF(G4="","",ABS(P4-Components!$D$4))</f>
        <v/>
      </c>
      <c r="T4" s="67">
        <f>IF(G4="","",ABS(P4-Components!$D$5))</f>
        <v/>
      </c>
      <c r="U4" s="67">
        <f>IF(G4="","",ABS(P4-Components!$D$6))</f>
        <v/>
      </c>
      <c r="V4" s="67">
        <f>IF(G4="","",ABS(P4-Components!$D$7))</f>
        <v/>
      </c>
      <c r="W4" s="61">
        <f>IF(G4="","",IF(N4="OK","NONE",INDEX({"S1","S2","W1","W2","N1","N2"},MATCH(MIN(Q4:V4),Q4:V4,0))))</f>
        <v/>
      </c>
      <c r="X4" s="69">
        <f>IF(G4="","",IF(W4=E4,1,0))</f>
        <v/>
      </c>
    </row>
    <row r="5">
      <c r="A5" s="61" t="n">
        <v>3</v>
      </c>
      <c r="B5" s="62" t="n">
        <v>50</v>
      </c>
      <c r="C5" s="61" t="inlineStr">
        <is>
          <t>R3</t>
        </is>
      </c>
      <c r="D5" s="63" t="inlineStr">
        <is>
          <t>OK</t>
        </is>
      </c>
      <c r="E5" s="61" t="inlineStr">
        <is>
          <t>NONE</t>
        </is>
      </c>
      <c r="F5" s="61" t="inlineStr">
        <is>
          <t>K003</t>
        </is>
      </c>
      <c r="G5" s="64" t="n">
        <v>10</v>
      </c>
      <c r="H5" s="65" t="n"/>
      <c r="I5" s="66" t="n"/>
      <c r="J5" s="67">
        <f>VLOOKUP(C5,Recipes!$A$2:$N$4,10,FALSE())</f>
        <v/>
      </c>
      <c r="K5" s="68">
        <f>VLOOKUP(C5,Recipes!$A$2:$N$4,12,FALSE())</f>
        <v/>
      </c>
      <c r="L5" s="67">
        <f>J5-3*K5</f>
        <v/>
      </c>
      <c r="M5" s="67">
        <f>J5+3*K5</f>
        <v/>
      </c>
      <c r="N5" s="61">
        <f>IF(G5="","",IF(AND(G5&gt;=L5,G5&lt;=M5),"OK","NG"))</f>
        <v/>
      </c>
      <c r="O5" s="69">
        <f>IF(N5="","",IF(N5=D5,1,0))</f>
        <v/>
      </c>
      <c r="P5" s="67">
        <f>IF(G5="","",J5-G5)</f>
        <v/>
      </c>
      <c r="Q5" s="67">
        <f>IF(G5="","",ABS(P5-Components!$D$2))</f>
        <v/>
      </c>
      <c r="R5" s="67">
        <f>IF(G5="","",ABS(P5-Components!$D$3))</f>
        <v/>
      </c>
      <c r="S5" s="67">
        <f>IF(G5="","",ABS(P5-Components!$D$4))</f>
        <v/>
      </c>
      <c r="T5" s="67">
        <f>IF(G5="","",ABS(P5-Components!$D$5))</f>
        <v/>
      </c>
      <c r="U5" s="67">
        <f>IF(G5="","",ABS(P5-Components!$D$6))</f>
        <v/>
      </c>
      <c r="V5" s="67">
        <f>IF(G5="","",ABS(P5-Components!$D$7))</f>
        <v/>
      </c>
      <c r="W5" s="61">
        <f>IF(G5="","",IF(N5="OK","NONE",INDEX({"S1","S2","W1","W2","N1","N2"},MATCH(MIN(Q5:V5),Q5:V5,0))))</f>
        <v/>
      </c>
      <c r="X5" s="69">
        <f>IF(G5="","",IF(W5=E5,1,0))</f>
        <v/>
      </c>
    </row>
    <row r="6">
      <c r="A6" s="61" t="n">
        <v>4</v>
      </c>
      <c r="B6" s="62" t="n">
        <v>12</v>
      </c>
      <c r="C6" s="61" t="inlineStr">
        <is>
          <t>R3</t>
        </is>
      </c>
      <c r="D6" s="63" t="inlineStr">
        <is>
          <t>OK</t>
        </is>
      </c>
      <c r="E6" s="61" t="inlineStr">
        <is>
          <t>NONE</t>
        </is>
      </c>
      <c r="F6" s="61" t="inlineStr">
        <is>
          <t>K004</t>
        </is>
      </c>
      <c r="G6" s="64" t="n">
        <v>9.91</v>
      </c>
      <c r="H6" s="65" t="n"/>
      <c r="I6" s="66" t="n"/>
      <c r="J6" s="67">
        <f>VLOOKUP(C6,Recipes!$A$2:$N$4,10,FALSE())</f>
        <v/>
      </c>
      <c r="K6" s="68">
        <f>VLOOKUP(C6,Recipes!$A$2:$N$4,12,FALSE())</f>
        <v/>
      </c>
      <c r="L6" s="67">
        <f>J6-3*K6</f>
        <v/>
      </c>
      <c r="M6" s="67">
        <f>J6+3*K6</f>
        <v/>
      </c>
      <c r="N6" s="61">
        <f>IF(G6="","",IF(AND(G6&gt;=L6,G6&lt;=M6),"OK","NG"))</f>
        <v/>
      </c>
      <c r="O6" s="69">
        <f>IF(N6="","",IF(N6=D6,1,0))</f>
        <v/>
      </c>
      <c r="P6" s="67">
        <f>IF(G6="","",J6-G6)</f>
        <v/>
      </c>
      <c r="Q6" s="67">
        <f>IF(G6="","",ABS(P6-Components!$D$2))</f>
        <v/>
      </c>
      <c r="R6" s="67">
        <f>IF(G6="","",ABS(P6-Components!$D$3))</f>
        <v/>
      </c>
      <c r="S6" s="67">
        <f>IF(G6="","",ABS(P6-Components!$D$4))</f>
        <v/>
      </c>
      <c r="T6" s="67">
        <f>IF(G6="","",ABS(P6-Components!$D$5))</f>
        <v/>
      </c>
      <c r="U6" s="67">
        <f>IF(G6="","",ABS(P6-Components!$D$6))</f>
        <v/>
      </c>
      <c r="V6" s="67">
        <f>IF(G6="","",ABS(P6-Components!$D$7))</f>
        <v/>
      </c>
      <c r="W6" s="61">
        <f>IF(G6="","",IF(N6="OK","NONE",INDEX({"S1","S2","W1","W2","N1","N2"},MATCH(MIN(Q6:V6),Q6:V6,0))))</f>
        <v/>
      </c>
      <c r="X6" s="69">
        <f>IF(G6="","",IF(W6=E6,1,0))</f>
        <v/>
      </c>
    </row>
    <row r="7">
      <c r="A7" s="61" t="n">
        <v>5</v>
      </c>
      <c r="B7" s="62" t="n">
        <v>17</v>
      </c>
      <c r="C7" s="61" t="inlineStr">
        <is>
          <t>R3</t>
        </is>
      </c>
      <c r="D7" s="63" t="inlineStr">
        <is>
          <t>OK</t>
        </is>
      </c>
      <c r="E7" s="61" t="inlineStr">
        <is>
          <t>NONE</t>
        </is>
      </c>
      <c r="F7" s="61" t="inlineStr">
        <is>
          <t>K005</t>
        </is>
      </c>
      <c r="G7" s="64" t="n">
        <v>10.04</v>
      </c>
      <c r="H7" s="65" t="n"/>
      <c r="I7" s="66" t="n"/>
      <c r="J7" s="67">
        <f>VLOOKUP(C7,Recipes!$A$2:$N$4,10,FALSE())</f>
        <v/>
      </c>
      <c r="K7" s="68">
        <f>VLOOKUP(C7,Recipes!$A$2:$N$4,12,FALSE())</f>
        <v/>
      </c>
      <c r="L7" s="67">
        <f>J7-3*K7</f>
        <v/>
      </c>
      <c r="M7" s="67">
        <f>J7+3*K7</f>
        <v/>
      </c>
      <c r="N7" s="61">
        <f>IF(G7="","",IF(AND(G7&gt;=L7,G7&lt;=M7),"OK","NG"))</f>
        <v/>
      </c>
      <c r="O7" s="69">
        <f>IF(N7="","",IF(N7=D7,1,0))</f>
        <v/>
      </c>
      <c r="P7" s="67">
        <f>IF(G7="","",J7-G7)</f>
        <v/>
      </c>
      <c r="Q7" s="67">
        <f>IF(G7="","",ABS(P7-Components!$D$2))</f>
        <v/>
      </c>
      <c r="R7" s="67">
        <f>IF(G7="","",ABS(P7-Components!$D$3))</f>
        <v/>
      </c>
      <c r="S7" s="67">
        <f>IF(G7="","",ABS(P7-Components!$D$4))</f>
        <v/>
      </c>
      <c r="T7" s="67">
        <f>IF(G7="","",ABS(P7-Components!$D$5))</f>
        <v/>
      </c>
      <c r="U7" s="67">
        <f>IF(G7="","",ABS(P7-Components!$D$6))</f>
        <v/>
      </c>
      <c r="V7" s="67">
        <f>IF(G7="","",ABS(P7-Components!$D$7))</f>
        <v/>
      </c>
      <c r="W7" s="61">
        <f>IF(G7="","",IF(N7="OK","NONE",INDEX({"S1","S2","W1","W2","N1","N2"},MATCH(MIN(Q7:V7),Q7:V7,0))))</f>
        <v/>
      </c>
      <c r="X7" s="69">
        <f>IF(G7="","",IF(W7=E7,1,0))</f>
        <v/>
      </c>
    </row>
    <row r="8">
      <c r="A8" s="61" t="n">
        <v>5</v>
      </c>
      <c r="B8" s="62" t="n">
        <v>17</v>
      </c>
      <c r="C8" s="61" t="inlineStr">
        <is>
          <t>R3</t>
        </is>
      </c>
      <c r="D8" s="63" t="inlineStr">
        <is>
          <t>OK</t>
        </is>
      </c>
      <c r="E8" s="61" t="inlineStr">
        <is>
          <t>NONE</t>
        </is>
      </c>
      <c r="F8" s="61" t="inlineStr">
        <is>
          <t>K005</t>
        </is>
      </c>
      <c r="G8" s="64" t="n">
        <v>9.84</v>
      </c>
      <c r="H8" s="65" t="n"/>
      <c r="I8" s="66" t="n"/>
      <c r="J8" s="67">
        <f>VLOOKUP(C8,Recipes!$A$2:$N$4,10,FALSE())</f>
        <v/>
      </c>
      <c r="K8" s="68">
        <f>VLOOKUP(C8,Recipes!$A$2:$N$4,12,FALSE())</f>
        <v/>
      </c>
      <c r="L8" s="67">
        <f>J8-3*K8</f>
        <v/>
      </c>
      <c r="M8" s="67">
        <f>J8+3*K8</f>
        <v/>
      </c>
      <c r="N8" s="61">
        <f>IF(G8="","",IF(AND(G8&gt;=L8,G8&lt;=M8),"OK","NG"))</f>
        <v/>
      </c>
      <c r="O8" s="69">
        <f>IF(N8="","",IF(N8=D8,1,0))</f>
        <v/>
      </c>
      <c r="P8" s="67">
        <f>IF(G8="","",J8-G8)</f>
        <v/>
      </c>
      <c r="Q8" s="67">
        <f>IF(G8="","",ABS(P8-Components!$D$2))</f>
        <v/>
      </c>
      <c r="R8" s="67">
        <f>IF(G8="","",ABS(P8-Components!$D$3))</f>
        <v/>
      </c>
      <c r="S8" s="67">
        <f>IF(G8="","",ABS(P8-Components!$D$4))</f>
        <v/>
      </c>
      <c r="T8" s="67">
        <f>IF(G8="","",ABS(P8-Components!$D$5))</f>
        <v/>
      </c>
      <c r="U8" s="67">
        <f>IF(G8="","",ABS(P8-Components!$D$6))</f>
        <v/>
      </c>
      <c r="V8" s="67">
        <f>IF(G8="","",ABS(P8-Components!$D$7))</f>
        <v/>
      </c>
      <c r="W8" s="61">
        <f>IF(G8="","",IF(N8="OK","NONE",INDEX({"S1","S2","W1","W2","N1","N2"},MATCH(MIN(Q8:V8),Q8:V8,0))))</f>
        <v/>
      </c>
      <c r="X8" s="71">
        <f>IF(G8="","",IF(W8=E8,1,0))</f>
        <v/>
      </c>
    </row>
    <row r="9">
      <c r="A9" s="61" t="n">
        <v>5</v>
      </c>
      <c r="B9" s="62" t="n">
        <v>17</v>
      </c>
      <c r="C9" s="61" t="inlineStr">
        <is>
          <t>R3</t>
        </is>
      </c>
      <c r="D9" s="63" t="inlineStr">
        <is>
          <t>OK</t>
        </is>
      </c>
      <c r="E9" s="61" t="inlineStr">
        <is>
          <t>NONE</t>
        </is>
      </c>
      <c r="F9" s="61" t="inlineStr">
        <is>
          <t>K005</t>
        </is>
      </c>
      <c r="G9" s="64" t="n">
        <v>9.9</v>
      </c>
      <c r="H9" s="65" t="n"/>
      <c r="I9" s="66" t="n"/>
      <c r="J9" s="67">
        <f>VLOOKUP(C9,Recipes!$A$2:$N$4,10,FALSE())</f>
        <v/>
      </c>
      <c r="K9" s="68">
        <f>VLOOKUP(C9,Recipes!$A$2:$N$4,12,FALSE())</f>
        <v/>
      </c>
      <c r="L9" s="67">
        <f>J9-3*K9</f>
        <v/>
      </c>
      <c r="M9" s="67">
        <f>J9+3*K9</f>
        <v/>
      </c>
      <c r="N9" s="61">
        <f>IF(G9="","",IF(AND(G9&gt;=L9,G9&lt;=M9),"OK","NG"))</f>
        <v/>
      </c>
      <c r="O9" s="69">
        <f>IF(N9="","",IF(N9=D9,1,0))</f>
        <v/>
      </c>
      <c r="P9" s="67">
        <f>IF(G9="","",J9-G9)</f>
        <v/>
      </c>
      <c r="Q9" s="67">
        <f>IF(G9="","",ABS(P9-Components!$D$2))</f>
        <v/>
      </c>
      <c r="R9" s="67">
        <f>IF(G9="","",ABS(P9-Components!$D$3))</f>
        <v/>
      </c>
      <c r="S9" s="67">
        <f>IF(G9="","",ABS(P9-Components!$D$4))</f>
        <v/>
      </c>
      <c r="T9" s="67">
        <f>IF(G9="","",ABS(P9-Components!$D$5))</f>
        <v/>
      </c>
      <c r="U9" s="67">
        <f>IF(G9="","",ABS(P9-Components!$D$6))</f>
        <v/>
      </c>
      <c r="V9" s="67">
        <f>IF(G9="","",ABS(P9-Components!$D$7))</f>
        <v/>
      </c>
      <c r="W9" s="61">
        <f>IF(G9="","",IF(N9="OK","NONE",INDEX({"S1","S2","W1","W2","N1","N2"},MATCH(MIN(Q9:V9),Q9:V9,0))))</f>
        <v/>
      </c>
      <c r="X9" s="69">
        <f>IF(G9="","",IF(W9=E9,1,0))</f>
        <v/>
      </c>
    </row>
    <row r="10">
      <c r="A10" s="61" t="n">
        <v>5</v>
      </c>
      <c r="B10" s="62" t="n">
        <v>17</v>
      </c>
      <c r="C10" s="61" t="inlineStr">
        <is>
          <t>R3</t>
        </is>
      </c>
      <c r="D10" s="63" t="inlineStr">
        <is>
          <t>OK</t>
        </is>
      </c>
      <c r="E10" s="61" t="inlineStr">
        <is>
          <t>NONE</t>
        </is>
      </c>
      <c r="F10" s="61" t="inlineStr">
        <is>
          <t>K005</t>
        </is>
      </c>
      <c r="G10" s="64" t="n">
        <v>9.92</v>
      </c>
      <c r="H10" s="65" t="n"/>
      <c r="I10" s="66" t="n"/>
      <c r="J10" s="67">
        <f>VLOOKUP(C10,Recipes!$A$2:$N$4,10,FALSE())</f>
        <v/>
      </c>
      <c r="K10" s="68">
        <f>VLOOKUP(C10,Recipes!$A$2:$N$4,12,FALSE())</f>
        <v/>
      </c>
      <c r="L10" s="72">
        <f>J10-3*K10</f>
        <v/>
      </c>
      <c r="M10" s="72">
        <f>J10+3*K10</f>
        <v/>
      </c>
      <c r="N10" s="61">
        <f>IF(G10="","",IF(AND(G10&gt;=L10,G10&lt;=M10),"OK","NG"))</f>
        <v/>
      </c>
      <c r="O10" s="69">
        <f>IF(N10="","",IF(N10=D10,1,0))</f>
        <v/>
      </c>
      <c r="P10" s="67">
        <f>IF(G10="","",J10-G10)</f>
        <v/>
      </c>
      <c r="Q10" s="67">
        <f>IF(G10="","",ABS(P10-Components!$D$2))</f>
        <v/>
      </c>
      <c r="R10" s="67">
        <f>IF(G10="","",ABS(P10-Components!$D$3))</f>
        <v/>
      </c>
      <c r="S10" s="67">
        <f>IF(G10="","",ABS(P10-Components!$D$4))</f>
        <v/>
      </c>
      <c r="T10" s="67">
        <f>IF(G10="","",ABS(P10-Components!$D$5))</f>
        <v/>
      </c>
      <c r="U10" s="67">
        <f>IF(G10="","",ABS(P10-Components!$D$6))</f>
        <v/>
      </c>
      <c r="V10" s="67">
        <f>IF(G10="","",ABS(P10-Components!$D$7))</f>
        <v/>
      </c>
      <c r="W10" s="61">
        <f>IF(G10="","",IF(N10="OK","NONE",INDEX({"S1","S2","W1","W2","N1","N2"},MATCH(MIN(Q10:V10),Q10:V10,0))))</f>
        <v/>
      </c>
      <c r="X10" s="69">
        <f>IF(G10="","",IF(W10=E10,1,0))</f>
        <v/>
      </c>
    </row>
    <row r="11">
      <c r="A11" s="61" t="n">
        <v>5</v>
      </c>
      <c r="B11" s="62" t="n">
        <v>17</v>
      </c>
      <c r="C11" s="61" t="inlineStr">
        <is>
          <t>R3</t>
        </is>
      </c>
      <c r="D11" s="63" t="inlineStr">
        <is>
          <t>OK</t>
        </is>
      </c>
      <c r="E11" s="61" t="inlineStr">
        <is>
          <t>NONE</t>
        </is>
      </c>
      <c r="F11" s="61" t="inlineStr">
        <is>
          <t>K005</t>
        </is>
      </c>
      <c r="G11" s="64" t="n">
        <v>9.949999999999999</v>
      </c>
      <c r="H11" s="65" t="n"/>
      <c r="I11" s="66" t="n"/>
      <c r="J11" s="67">
        <f>VLOOKUP(C11,Recipes!$A$2:$N$4,10,FALSE())</f>
        <v/>
      </c>
      <c r="K11" s="68">
        <f>VLOOKUP(C11,Recipes!$A$2:$N$4,12,FALSE())</f>
        <v/>
      </c>
      <c r="L11" s="67">
        <f>J11-3*K11</f>
        <v/>
      </c>
      <c r="M11" s="67">
        <f>J11+3*K11</f>
        <v/>
      </c>
      <c r="N11" s="61">
        <f>IF(G11="","",IF(AND(G11&gt;=L11,G11&lt;=M11),"OK","NG"))</f>
        <v/>
      </c>
      <c r="O11" s="69">
        <f>IF(N11="","",IF(N11=D11,1,0))</f>
        <v/>
      </c>
      <c r="P11" s="67">
        <f>IF(G11="","",J11-G11)</f>
        <v/>
      </c>
      <c r="Q11" s="67">
        <f>IF(G11="","",ABS(P11-Components!$D$2))</f>
        <v/>
      </c>
      <c r="R11" s="67">
        <f>IF(G11="","",ABS(P11-Components!$D$3))</f>
        <v/>
      </c>
      <c r="S11" s="67">
        <f>IF(G11="","",ABS(P11-Components!$D$4))</f>
        <v/>
      </c>
      <c r="T11" s="67">
        <f>IF(G11="","",ABS(P11-Components!$D$5))</f>
        <v/>
      </c>
      <c r="U11" s="67">
        <f>IF(G11="","",ABS(P11-Components!$D$6))</f>
        <v/>
      </c>
      <c r="V11" s="67">
        <f>IF(G11="","",ABS(P11-Components!$D$7))</f>
        <v/>
      </c>
      <c r="W11" s="61">
        <f>IF(G11="","",IF(N11="OK","NONE",INDEX({"S1","S2","W1","W2","N1","N2"},MATCH(MIN(Q11:V11),Q11:V11,0))))</f>
        <v/>
      </c>
      <c r="X11" s="69">
        <f>IF(G11="","",IF(W11=E11,1,0))</f>
        <v/>
      </c>
    </row>
    <row r="12">
      <c r="A12" s="61" t="n">
        <v>5</v>
      </c>
      <c r="B12" s="62" t="n">
        <v>17</v>
      </c>
      <c r="C12" s="61" t="inlineStr">
        <is>
          <t>R3</t>
        </is>
      </c>
      <c r="D12" s="63" t="inlineStr">
        <is>
          <t>OK</t>
        </is>
      </c>
      <c r="E12" s="61" t="inlineStr">
        <is>
          <t>NONE</t>
        </is>
      </c>
      <c r="F12" s="61" t="inlineStr">
        <is>
          <t>K005</t>
        </is>
      </c>
      <c r="G12" s="64" t="n">
        <v>9.869999999999999</v>
      </c>
      <c r="H12" s="65" t="n"/>
      <c r="I12" s="66" t="n"/>
      <c r="J12" s="67">
        <f>VLOOKUP(C12,Recipes!$A$2:$N$4,10,FALSE())</f>
        <v/>
      </c>
      <c r="K12" s="68">
        <f>VLOOKUP(C12,Recipes!$A$2:$N$4,12,FALSE())</f>
        <v/>
      </c>
      <c r="L12" s="67">
        <f>J12-3*K12</f>
        <v/>
      </c>
      <c r="M12" s="67">
        <f>J12+3*K12</f>
        <v/>
      </c>
      <c r="N12" s="61">
        <f>IF(G12="","",IF(AND(G12&gt;=L12,G12&lt;=M12),"OK","NG"))</f>
        <v/>
      </c>
      <c r="O12" s="69">
        <f>IF(N12="","",IF(N12=D12,1,0))</f>
        <v/>
      </c>
      <c r="P12" s="67">
        <f>IF(G12="","",J12-G12)</f>
        <v/>
      </c>
      <c r="Q12" s="67">
        <f>IF(G12="","",ABS(P12-Components!$D$2))</f>
        <v/>
      </c>
      <c r="R12" s="67">
        <f>IF(G12="","",ABS(P12-Components!$D$3))</f>
        <v/>
      </c>
      <c r="S12" s="67">
        <f>IF(G12="","",ABS(P12-Components!$D$4))</f>
        <v/>
      </c>
      <c r="T12" s="67">
        <f>IF(G12="","",ABS(P12-Components!$D$5))</f>
        <v/>
      </c>
      <c r="U12" s="67">
        <f>IF(G12="","",ABS(P12-Components!$D$6))</f>
        <v/>
      </c>
      <c r="V12" s="67">
        <f>IF(G12="","",ABS(P12-Components!$D$7))</f>
        <v/>
      </c>
      <c r="W12" s="61">
        <f>IF(G12="","",IF(N12="OK","NONE",INDEX({"S1","S2","W1","W2","N1","N2"},MATCH(MIN(Q12:V12),Q12:V12,0))))</f>
        <v/>
      </c>
      <c r="X12" s="69">
        <f>IF(G12="","",IF(W12=E12,1,0))</f>
        <v/>
      </c>
    </row>
    <row r="13">
      <c r="A13" s="61" t="n">
        <v>5</v>
      </c>
      <c r="B13" s="62" t="n">
        <v>17</v>
      </c>
      <c r="C13" s="61" t="inlineStr">
        <is>
          <t>R3</t>
        </is>
      </c>
      <c r="D13" s="63" t="inlineStr">
        <is>
          <t>OK</t>
        </is>
      </c>
      <c r="E13" s="61" t="inlineStr">
        <is>
          <t>NONE</t>
        </is>
      </c>
      <c r="F13" s="61" t="inlineStr">
        <is>
          <t>K005</t>
        </is>
      </c>
      <c r="G13" s="64" t="n">
        <v>9.880000000000001</v>
      </c>
      <c r="H13" s="65" t="n"/>
      <c r="I13" s="66" t="n"/>
      <c r="J13" s="67">
        <f>VLOOKUP(C13,Recipes!$A$2:$N$4,10,FALSE())</f>
        <v/>
      </c>
      <c r="K13" s="68">
        <f>VLOOKUP(C13,Recipes!$A$2:$N$4,12,FALSE())</f>
        <v/>
      </c>
      <c r="L13" s="67">
        <f>J13-3*K13</f>
        <v/>
      </c>
      <c r="M13" s="67">
        <f>J13+3*K13</f>
        <v/>
      </c>
      <c r="N13" s="61">
        <f>IF(G13="","",IF(AND(G13&gt;=L13,G13&lt;=M13),"OK","NG"))</f>
        <v/>
      </c>
      <c r="O13" s="69">
        <f>IF(N13="","",IF(N13=D13,1,0))</f>
        <v/>
      </c>
      <c r="P13" s="67">
        <f>IF(G13="","",J13-G13)</f>
        <v/>
      </c>
      <c r="Q13" s="67">
        <f>IF(G13="","",ABS(P13-Components!$D$2))</f>
        <v/>
      </c>
      <c r="R13" s="67">
        <f>IF(G13="","",ABS(P13-Components!$D$3))</f>
        <v/>
      </c>
      <c r="S13" s="67">
        <f>IF(G13="","",ABS(P13-Components!$D$4))</f>
        <v/>
      </c>
      <c r="T13" s="67">
        <f>IF(G13="","",ABS(P13-Components!$D$5))</f>
        <v/>
      </c>
      <c r="U13" s="67">
        <f>IF(G13="","",ABS(P13-Components!$D$6))</f>
        <v/>
      </c>
      <c r="V13" s="67">
        <f>IF(G13="","",ABS(P13-Components!$D$7))</f>
        <v/>
      </c>
      <c r="W13" s="61">
        <f>IF(G13="","",IF(N13="OK","NONE",INDEX({"S1","S2","W1","W2","N1","N2"},MATCH(MIN(Q13:V13),Q13:V13,0))))</f>
        <v/>
      </c>
      <c r="X13" s="69">
        <f>IF(G13="","",IF(W13=E13,1,0))</f>
        <v/>
      </c>
    </row>
    <row r="14">
      <c r="A14" s="61" t="n">
        <v>5</v>
      </c>
      <c r="B14" s="62" t="n">
        <v>17</v>
      </c>
      <c r="C14" s="61" t="inlineStr">
        <is>
          <t>R3</t>
        </is>
      </c>
      <c r="D14" s="63" t="inlineStr">
        <is>
          <t>OK</t>
        </is>
      </c>
      <c r="E14" s="61" t="inlineStr">
        <is>
          <t>NONE</t>
        </is>
      </c>
      <c r="F14" s="61" t="inlineStr">
        <is>
          <t>K005</t>
        </is>
      </c>
      <c r="G14" s="64" t="n">
        <v>9.91</v>
      </c>
      <c r="H14" s="65" t="n"/>
      <c r="I14" s="66" t="n"/>
      <c r="J14" s="67">
        <f>VLOOKUP(C14,Recipes!$A$2:$N$4,10,FALSE())</f>
        <v/>
      </c>
      <c r="K14" s="68">
        <f>VLOOKUP(C14,Recipes!$A$2:$N$4,12,FALSE())</f>
        <v/>
      </c>
      <c r="L14" s="67">
        <f>J14-3*K14</f>
        <v/>
      </c>
      <c r="M14" s="67">
        <f>J14+3*K14</f>
        <v/>
      </c>
      <c r="N14" s="61">
        <f>IF(G14="","",IF(AND(G14&gt;=L14,G14&lt;=M14),"OK","NG"))</f>
        <v/>
      </c>
      <c r="O14" s="69">
        <f>IF(N14="","",IF(N14=D14,1,0))</f>
        <v/>
      </c>
      <c r="P14" s="67">
        <f>IF(G14="","",J14-G14)</f>
        <v/>
      </c>
      <c r="Q14" s="67">
        <f>IF(G14="","",ABS(P14-Components!$D$2))</f>
        <v/>
      </c>
      <c r="R14" s="67">
        <f>IF(G14="","",ABS(P14-Components!$D$3))</f>
        <v/>
      </c>
      <c r="S14" s="67">
        <f>IF(G14="","",ABS(P14-Components!$D$4))</f>
        <v/>
      </c>
      <c r="T14" s="67">
        <f>IF(G14="","",ABS(P14-Components!$D$5))</f>
        <v/>
      </c>
      <c r="U14" s="67">
        <f>IF(G14="","",ABS(P14-Components!$D$6))</f>
        <v/>
      </c>
      <c r="V14" s="67">
        <f>IF(G14="","",ABS(P14-Components!$D$7))</f>
        <v/>
      </c>
      <c r="W14" s="61">
        <f>IF(G14="","",IF(N14="OK","NONE",INDEX({"S1","S2","W1","W2","N1","N2"},MATCH(MIN(Q14:V14),Q14:V14,0))))</f>
        <v/>
      </c>
      <c r="X14" s="69">
        <f>IF(G14="","",IF(W14=E14,1,0))</f>
        <v/>
      </c>
    </row>
    <row r="15">
      <c r="A15" s="61" t="n">
        <v>5</v>
      </c>
      <c r="B15" s="62" t="n">
        <v>17</v>
      </c>
      <c r="C15" s="61" t="inlineStr">
        <is>
          <t>R3</t>
        </is>
      </c>
      <c r="D15" s="63" t="inlineStr">
        <is>
          <t>OK</t>
        </is>
      </c>
      <c r="E15" s="61" t="inlineStr">
        <is>
          <t>NONE</t>
        </is>
      </c>
      <c r="F15" s="61" t="inlineStr">
        <is>
          <t>K005</t>
        </is>
      </c>
      <c r="G15" s="64" t="n">
        <v>9.9</v>
      </c>
      <c r="H15" s="65" t="n"/>
      <c r="I15" s="66" t="n"/>
      <c r="J15" s="67">
        <f>VLOOKUP(C15,Recipes!$A$2:$N$4,10,FALSE())</f>
        <v/>
      </c>
      <c r="K15" s="68">
        <f>VLOOKUP(C15,Recipes!$A$2:$N$4,12,FALSE())</f>
        <v/>
      </c>
      <c r="L15" s="67">
        <f>J15-3*K15</f>
        <v/>
      </c>
      <c r="M15" s="67">
        <f>J15+3*K15</f>
        <v/>
      </c>
      <c r="N15" s="61">
        <f>IF(G15="","",IF(AND(G15&gt;=L15,G15&lt;=M15),"OK","NG"))</f>
        <v/>
      </c>
      <c r="O15" s="69">
        <f>IF(N15="","",IF(N15=D15,1,0))</f>
        <v/>
      </c>
      <c r="P15" s="67">
        <f>IF(G15="","",J15-G15)</f>
        <v/>
      </c>
      <c r="Q15" s="67">
        <f>IF(G15="","",ABS(P15-Components!$D$2))</f>
        <v/>
      </c>
      <c r="R15" s="67">
        <f>IF(G15="","",ABS(P15-Components!$D$3))</f>
        <v/>
      </c>
      <c r="S15" s="67">
        <f>IF(G15="","",ABS(P15-Components!$D$4))</f>
        <v/>
      </c>
      <c r="T15" s="67">
        <f>IF(G15="","",ABS(P15-Components!$D$5))</f>
        <v/>
      </c>
      <c r="U15" s="67">
        <f>IF(G15="","",ABS(P15-Components!$D$6))</f>
        <v/>
      </c>
      <c r="V15" s="67">
        <f>IF(G15="","",ABS(P15-Components!$D$7))</f>
        <v/>
      </c>
      <c r="W15" s="61">
        <f>IF(G15="","",IF(N15="OK","NONE",INDEX({"S1","S2","W1","W2","N1","N2"},MATCH(MIN(Q15:V15),Q15:V15,0))))</f>
        <v/>
      </c>
      <c r="X15" s="69">
        <f>IF(G15="","",IF(W15=E15,1,0))</f>
        <v/>
      </c>
    </row>
    <row r="16">
      <c r="A16" s="61" t="n">
        <v>5</v>
      </c>
      <c r="B16" s="62" t="n">
        <v>17</v>
      </c>
      <c r="C16" s="61" t="inlineStr">
        <is>
          <t>R3</t>
        </is>
      </c>
      <c r="D16" s="63" t="inlineStr">
        <is>
          <t>OK</t>
        </is>
      </c>
      <c r="E16" s="61" t="inlineStr">
        <is>
          <t>NONE</t>
        </is>
      </c>
      <c r="F16" s="61" t="inlineStr">
        <is>
          <t>K005</t>
        </is>
      </c>
      <c r="G16" s="64" t="n">
        <v>9.92</v>
      </c>
      <c r="H16" s="65" t="n"/>
      <c r="I16" s="66" t="n"/>
      <c r="J16" s="67">
        <f>VLOOKUP(C16,Recipes!$A$2:$N$4,10,FALSE())</f>
        <v/>
      </c>
      <c r="K16" s="68">
        <f>VLOOKUP(C16,Recipes!$A$2:$N$4,12,FALSE())</f>
        <v/>
      </c>
      <c r="L16" s="67">
        <f>J16-3*K16</f>
        <v/>
      </c>
      <c r="M16" s="67">
        <f>J16+3*K16</f>
        <v/>
      </c>
      <c r="N16" s="61">
        <f>IF(G16="","",IF(AND(G16&gt;=L16,G16&lt;=M16),"OK","NG"))</f>
        <v/>
      </c>
      <c r="O16" s="69">
        <f>IF(N16="","",IF(N16=D16,1,0))</f>
        <v/>
      </c>
      <c r="P16" s="67">
        <f>IF(G16="","",J16-G16)</f>
        <v/>
      </c>
      <c r="Q16" s="67">
        <f>IF(G16="","",ABS(P16-Components!$D$2))</f>
        <v/>
      </c>
      <c r="R16" s="67">
        <f>IF(G16="","",ABS(P16-Components!$D$3))</f>
        <v/>
      </c>
      <c r="S16" s="67">
        <f>IF(G16="","",ABS(P16-Components!$D$4))</f>
        <v/>
      </c>
      <c r="T16" s="67">
        <f>IF(G16="","",ABS(P16-Components!$D$5))</f>
        <v/>
      </c>
      <c r="U16" s="67">
        <f>IF(G16="","",ABS(P16-Components!$D$6))</f>
        <v/>
      </c>
      <c r="V16" s="67">
        <f>IF(G16="","",ABS(P16-Components!$D$7))</f>
        <v/>
      </c>
      <c r="W16" s="61">
        <f>IF(G16="","",IF(N16="OK","NONE",INDEX({"S1","S2","W1","W2","N1","N2"},MATCH(MIN(Q16:V16),Q16:V16,0))))</f>
        <v/>
      </c>
      <c r="X16" s="69">
        <f>IF(G16="","",IF(W16=E16,1,0))</f>
        <v/>
      </c>
    </row>
    <row r="17">
      <c r="A17" s="61" t="n">
        <v>5</v>
      </c>
      <c r="B17" s="62" t="n">
        <v>17</v>
      </c>
      <c r="C17" s="61" t="inlineStr">
        <is>
          <t>R3</t>
        </is>
      </c>
      <c r="D17" s="63" t="inlineStr">
        <is>
          <t>OK</t>
        </is>
      </c>
      <c r="E17" s="61" t="inlineStr">
        <is>
          <t>NONE</t>
        </is>
      </c>
      <c r="F17" s="61" t="inlineStr">
        <is>
          <t>K005</t>
        </is>
      </c>
      <c r="G17" s="64" t="n">
        <v>9.94</v>
      </c>
      <c r="H17" s="65" t="n"/>
      <c r="I17" s="66" t="n"/>
      <c r="J17" s="67">
        <f>VLOOKUP(C17,Recipes!$A$2:$N$4,10,FALSE())</f>
        <v/>
      </c>
      <c r="K17" s="68">
        <f>VLOOKUP(C17,Recipes!$A$2:$N$4,12,FALSE())</f>
        <v/>
      </c>
      <c r="L17" s="67">
        <f>J17-3*K17</f>
        <v/>
      </c>
      <c r="M17" s="67">
        <f>J17+3*K17</f>
        <v/>
      </c>
      <c r="N17" s="61">
        <f>IF(G17="","",IF(AND(G17&gt;=L17,G17&lt;=M17),"OK","NG"))</f>
        <v/>
      </c>
      <c r="O17" s="69">
        <f>IF(N17="","",IF(N17=D17,1,0))</f>
        <v/>
      </c>
      <c r="P17" s="67">
        <f>IF(G17="","",J17-G17)</f>
        <v/>
      </c>
      <c r="Q17" s="67">
        <f>IF(G17="","",ABS(P17-Components!$D$2))</f>
        <v/>
      </c>
      <c r="R17" s="67">
        <f>IF(G17="","",ABS(P17-Components!$D$3))</f>
        <v/>
      </c>
      <c r="S17" s="67">
        <f>IF(G17="","",ABS(P17-Components!$D$4))</f>
        <v/>
      </c>
      <c r="T17" s="67">
        <f>IF(G17="","",ABS(P17-Components!$D$5))</f>
        <v/>
      </c>
      <c r="U17" s="67">
        <f>IF(G17="","",ABS(P17-Components!$D$6))</f>
        <v/>
      </c>
      <c r="V17" s="67">
        <f>IF(G17="","",ABS(P17-Components!$D$7))</f>
        <v/>
      </c>
      <c r="W17" s="61">
        <f>IF(G17="","",IF(N17="OK","NONE",INDEX({"S1","S2","W1","W2","N1","N2"},MATCH(MIN(Q17:V17),Q17:V17,0))))</f>
        <v/>
      </c>
      <c r="X17" s="69">
        <f>IF(G17="","",IF(W17=E17,1,0))</f>
        <v/>
      </c>
    </row>
    <row r="18">
      <c r="A18" s="61" t="n">
        <v>5</v>
      </c>
      <c r="B18" s="62" t="n">
        <v>17</v>
      </c>
      <c r="C18" s="61" t="inlineStr">
        <is>
          <t>R3</t>
        </is>
      </c>
      <c r="D18" s="63" t="inlineStr">
        <is>
          <t>OK</t>
        </is>
      </c>
      <c r="E18" s="61" t="inlineStr">
        <is>
          <t>NONE</t>
        </is>
      </c>
      <c r="F18" s="61" t="inlineStr">
        <is>
          <t>K005</t>
        </is>
      </c>
      <c r="G18" s="64" t="n">
        <v>9.92</v>
      </c>
      <c r="H18" s="65" t="n"/>
      <c r="I18" s="66" t="n"/>
      <c r="J18" s="67">
        <f>VLOOKUP(C18,Recipes!$A$2:$N$4,10,FALSE())</f>
        <v/>
      </c>
      <c r="K18" s="68">
        <f>VLOOKUP(C18,Recipes!$A$2:$N$4,12,FALSE())</f>
        <v/>
      </c>
      <c r="L18" s="67">
        <f>J18-3*K18</f>
        <v/>
      </c>
      <c r="M18" s="67">
        <f>J18+3*K18</f>
        <v/>
      </c>
      <c r="N18" s="61">
        <f>IF(G18="","",IF(AND(G18&gt;=L18,G18&lt;=M18),"OK","NG"))</f>
        <v/>
      </c>
      <c r="O18" s="69">
        <f>IF(N18="","",IF(N18=D18,1,0))</f>
        <v/>
      </c>
      <c r="P18" s="67">
        <f>IF(G18="","",J18-G18)</f>
        <v/>
      </c>
      <c r="Q18" s="67">
        <f>IF(G18="","",ABS(P18-Components!$D$2))</f>
        <v/>
      </c>
      <c r="R18" s="67">
        <f>IF(G18="","",ABS(P18-Components!$D$3))</f>
        <v/>
      </c>
      <c r="S18" s="67">
        <f>IF(G18="","",ABS(P18-Components!$D$4))</f>
        <v/>
      </c>
      <c r="T18" s="67">
        <f>IF(G18="","",ABS(P18-Components!$D$5))</f>
        <v/>
      </c>
      <c r="U18" s="67">
        <f>IF(G18="","",ABS(P18-Components!$D$6))</f>
        <v/>
      </c>
      <c r="V18" s="67">
        <f>IF(G18="","",ABS(P18-Components!$D$7))</f>
        <v/>
      </c>
      <c r="W18" s="61">
        <f>IF(G18="","",IF(N18="OK","NONE",INDEX({"S1","S2","W1","W2","N1","N2"},MATCH(MIN(Q18:V18),Q18:V18,0))))</f>
        <v/>
      </c>
      <c r="X18" s="69">
        <f>IF(G18="","",IF(W18=E18,1,0))</f>
        <v/>
      </c>
    </row>
    <row r="19">
      <c r="A19" s="61" t="n">
        <v>5</v>
      </c>
      <c r="B19" s="62" t="n">
        <v>17</v>
      </c>
      <c r="C19" s="61" t="inlineStr">
        <is>
          <t>R3</t>
        </is>
      </c>
      <c r="D19" s="63" t="inlineStr">
        <is>
          <t>OK</t>
        </is>
      </c>
      <c r="E19" s="61" t="inlineStr">
        <is>
          <t>NONE</t>
        </is>
      </c>
      <c r="F19" s="61" t="inlineStr">
        <is>
          <t>K005</t>
        </is>
      </c>
      <c r="G19" s="64" t="n">
        <v>9.890000000000001</v>
      </c>
      <c r="H19" s="65" t="n"/>
      <c r="I19" s="66" t="n"/>
      <c r="J19" s="67">
        <f>VLOOKUP(C19,Recipes!$A$2:$N$4,10,FALSE())</f>
        <v/>
      </c>
      <c r="K19" s="68">
        <f>VLOOKUP(C19,Recipes!$A$2:$N$4,12,FALSE())</f>
        <v/>
      </c>
      <c r="L19" s="67">
        <f>J19-3*K19</f>
        <v/>
      </c>
      <c r="M19" s="67">
        <f>J19+3*K19</f>
        <v/>
      </c>
      <c r="N19" s="61">
        <f>IF(G19="","",IF(AND(G19&gt;=L19,G19&lt;=M19),"OK","NG"))</f>
        <v/>
      </c>
      <c r="O19" s="69">
        <f>IF(N19="","",IF(N19=D19,1,0))</f>
        <v/>
      </c>
      <c r="P19" s="67">
        <f>IF(G19="","",J19-G19)</f>
        <v/>
      </c>
      <c r="Q19" s="67">
        <f>IF(G19="","",ABS(P19-Components!$D$2))</f>
        <v/>
      </c>
      <c r="R19" s="67">
        <f>IF(G19="","",ABS(P19-Components!$D$3))</f>
        <v/>
      </c>
      <c r="S19" s="67">
        <f>IF(G19="","",ABS(P19-Components!$D$4))</f>
        <v/>
      </c>
      <c r="T19" s="67">
        <f>IF(G19="","",ABS(P19-Components!$D$5))</f>
        <v/>
      </c>
      <c r="U19" s="67">
        <f>IF(G19="","",ABS(P19-Components!$D$6))</f>
        <v/>
      </c>
      <c r="V19" s="67">
        <f>IF(G19="","",ABS(P19-Components!$D$7))</f>
        <v/>
      </c>
      <c r="W19" s="61">
        <f>IF(G19="","",IF(N19="OK","NONE",INDEX({"S1","S2","W1","W2","N1","N2"},MATCH(MIN(Q19:V19),Q19:V19,0))))</f>
        <v/>
      </c>
      <c r="X19" s="69">
        <f>IF(G19="","",IF(W19=E19,1,0))</f>
        <v/>
      </c>
    </row>
    <row r="20">
      <c r="A20" s="61" t="n">
        <v>5</v>
      </c>
      <c r="B20" s="62" t="n">
        <v>17</v>
      </c>
      <c r="C20" s="61" t="inlineStr">
        <is>
          <t>R3</t>
        </is>
      </c>
      <c r="D20" s="63" t="inlineStr">
        <is>
          <t>OK</t>
        </is>
      </c>
      <c r="E20" s="61" t="inlineStr">
        <is>
          <t>NONE</t>
        </is>
      </c>
      <c r="F20" s="61" t="inlineStr">
        <is>
          <t>K005</t>
        </is>
      </c>
      <c r="G20" s="64" t="n">
        <v>9.92</v>
      </c>
      <c r="H20" s="65" t="n"/>
      <c r="I20" s="66" t="n"/>
      <c r="J20" s="67">
        <f>VLOOKUP(C20,Recipes!$A$2:$N$4,10,FALSE())</f>
        <v/>
      </c>
      <c r="K20" s="68">
        <f>VLOOKUP(C20,Recipes!$A$2:$N$4,12,FALSE())</f>
        <v/>
      </c>
      <c r="L20" s="67">
        <f>J20-3*K20</f>
        <v/>
      </c>
      <c r="M20" s="67">
        <f>J20+3*K20</f>
        <v/>
      </c>
      <c r="N20" s="61">
        <f>IF(G20="","",IF(AND(G20&gt;=L20,G20&lt;=M20),"OK","NG"))</f>
        <v/>
      </c>
      <c r="O20" s="69">
        <f>IF(N20="","",IF(N20=D20,1,0))</f>
        <v/>
      </c>
      <c r="P20" s="67">
        <f>IF(G20="","",J20-G20)</f>
        <v/>
      </c>
      <c r="Q20" s="67">
        <f>IF(G20="","",ABS(P20-Components!$D$2))</f>
        <v/>
      </c>
      <c r="R20" s="67">
        <f>IF(G20="","",ABS(P20-Components!$D$3))</f>
        <v/>
      </c>
      <c r="S20" s="67">
        <f>IF(G20="","",ABS(P20-Components!$D$4))</f>
        <v/>
      </c>
      <c r="T20" s="67">
        <f>IF(G20="","",ABS(P20-Components!$D$5))</f>
        <v/>
      </c>
      <c r="U20" s="67">
        <f>IF(G20="","",ABS(P20-Components!$D$6))</f>
        <v/>
      </c>
      <c r="V20" s="67">
        <f>IF(G20="","",ABS(P20-Components!$D$7))</f>
        <v/>
      </c>
      <c r="W20" s="61">
        <f>IF(G20="","",IF(N20="OK","NONE",INDEX({"S1","S2","W1","W2","N1","N2"},MATCH(MIN(Q20:V20),Q20:V20,0))))</f>
        <v/>
      </c>
      <c r="X20" s="69">
        <f>IF(G20="","",IF(W20=E20,1,0))</f>
        <v/>
      </c>
    </row>
    <row r="21">
      <c r="A21" s="61" t="n">
        <v>5</v>
      </c>
      <c r="B21" s="62" t="n">
        <v>17</v>
      </c>
      <c r="C21" s="61" t="inlineStr">
        <is>
          <t>R3</t>
        </is>
      </c>
      <c r="D21" s="63" t="inlineStr">
        <is>
          <t>OK</t>
        </is>
      </c>
      <c r="E21" s="61" t="inlineStr">
        <is>
          <t>NONE</t>
        </is>
      </c>
      <c r="F21" s="61" t="inlineStr">
        <is>
          <t>K005</t>
        </is>
      </c>
      <c r="G21" s="64" t="n">
        <v>9.949999999999999</v>
      </c>
      <c r="H21" s="65" t="n"/>
      <c r="I21" s="66" t="n"/>
      <c r="J21" s="67">
        <f>VLOOKUP(C21,Recipes!$A$2:$N$4,10,FALSE())</f>
        <v/>
      </c>
      <c r="K21" s="68">
        <f>VLOOKUP(C21,Recipes!$A$2:$N$4,12,FALSE())</f>
        <v/>
      </c>
      <c r="L21" s="67">
        <f>J21-3*K21</f>
        <v/>
      </c>
      <c r="M21" s="67">
        <f>J21+3*K21</f>
        <v/>
      </c>
      <c r="N21" s="61">
        <f>IF(G21="","",IF(AND(G21&gt;=L21,G21&lt;=M21),"OK","NG"))</f>
        <v/>
      </c>
      <c r="O21" s="69">
        <f>IF(N21="","",IF(N21=D21,1,0))</f>
        <v/>
      </c>
      <c r="P21" s="67">
        <f>IF(G21="","",J21-G21)</f>
        <v/>
      </c>
      <c r="Q21" s="67">
        <f>IF(G21="","",ABS(P21-Components!$D$2))</f>
        <v/>
      </c>
      <c r="R21" s="67">
        <f>IF(G21="","",ABS(P21-Components!$D$3))</f>
        <v/>
      </c>
      <c r="S21" s="67">
        <f>IF(G21="","",ABS(P21-Components!$D$4))</f>
        <v/>
      </c>
      <c r="T21" s="67">
        <f>IF(G21="","",ABS(P21-Components!$D$5))</f>
        <v/>
      </c>
      <c r="U21" s="67">
        <f>IF(G21="","",ABS(P21-Components!$D$6))</f>
        <v/>
      </c>
      <c r="V21" s="67">
        <f>IF(G21="","",ABS(P21-Components!$D$7))</f>
        <v/>
      </c>
      <c r="W21" s="61">
        <f>IF(G21="","",IF(N21="OK","NONE",INDEX({"S1","S2","W1","W2","N1","N2"},MATCH(MIN(Q21:V21),Q21:V21,0))))</f>
        <v/>
      </c>
      <c r="X21" s="69">
        <f>IF(G21="","",IF(W21=E21,1,0))</f>
        <v/>
      </c>
    </row>
    <row r="22">
      <c r="A22" s="61" t="n">
        <v>5</v>
      </c>
      <c r="B22" s="62" t="n">
        <v>17</v>
      </c>
      <c r="C22" s="61" t="inlineStr">
        <is>
          <t>R3</t>
        </is>
      </c>
      <c r="D22" s="63" t="inlineStr">
        <is>
          <t>OK</t>
        </is>
      </c>
      <c r="E22" s="61" t="inlineStr">
        <is>
          <t>NONE</t>
        </is>
      </c>
      <c r="F22" s="61" t="inlineStr">
        <is>
          <t>K005</t>
        </is>
      </c>
      <c r="G22" s="64" t="n">
        <v>9.98</v>
      </c>
      <c r="H22" s="65" t="n"/>
      <c r="I22" s="66" t="n"/>
      <c r="J22" s="67">
        <f>VLOOKUP(C22,Recipes!$A$2:$N$4,10,FALSE())</f>
        <v/>
      </c>
      <c r="K22" s="68">
        <f>VLOOKUP(C22,Recipes!$A$2:$N$4,12,FALSE())</f>
        <v/>
      </c>
      <c r="L22" s="67">
        <f>J22-3*K22</f>
        <v/>
      </c>
      <c r="M22" s="67">
        <f>J22+3*K22</f>
        <v/>
      </c>
      <c r="N22" s="61">
        <f>IF(G22="","",IF(AND(G22&gt;=L22,G22&lt;=M22),"OK","NG"))</f>
        <v/>
      </c>
      <c r="O22" s="69">
        <f>IF(N22="","",IF(N22=D22,1,0))</f>
        <v/>
      </c>
      <c r="P22" s="67">
        <f>IF(G22="","",J22-G22)</f>
        <v/>
      </c>
      <c r="Q22" s="67">
        <f>IF(G22="","",ABS(P22-Components!$D$2))</f>
        <v/>
      </c>
      <c r="R22" s="67">
        <f>IF(G22="","",ABS(P22-Components!$D$3))</f>
        <v/>
      </c>
      <c r="S22" s="67">
        <f>IF(G22="","",ABS(P22-Components!$D$4))</f>
        <v/>
      </c>
      <c r="T22" s="67">
        <f>IF(G22="","",ABS(P22-Components!$D$5))</f>
        <v/>
      </c>
      <c r="U22" s="67">
        <f>IF(G22="","",ABS(P22-Components!$D$6))</f>
        <v/>
      </c>
      <c r="V22" s="67">
        <f>IF(G22="","",ABS(P22-Components!$D$7))</f>
        <v/>
      </c>
      <c r="W22" s="61">
        <f>IF(G22="","",IF(N22="OK","NONE",INDEX({"S1","S2","W1","W2","N1","N2"},MATCH(MIN(Q22:V22),Q22:V22,0))))</f>
        <v/>
      </c>
      <c r="X22" s="69">
        <f>IF(G22="","",IF(W22=E22,1,0))</f>
        <v/>
      </c>
    </row>
    <row r="23">
      <c r="A23" s="61" t="n">
        <v>5</v>
      </c>
      <c r="B23" s="62" t="n">
        <v>17</v>
      </c>
      <c r="C23" s="61" t="inlineStr">
        <is>
          <t>R3</t>
        </is>
      </c>
      <c r="D23" s="63" t="inlineStr">
        <is>
          <t>OK</t>
        </is>
      </c>
      <c r="E23" s="61" t="inlineStr">
        <is>
          <t>NONE</t>
        </is>
      </c>
      <c r="F23" s="61" t="inlineStr">
        <is>
          <t>K005</t>
        </is>
      </c>
      <c r="G23" s="64" t="n">
        <v>9.99</v>
      </c>
      <c r="H23" s="65" t="n"/>
      <c r="I23" s="66" t="n"/>
      <c r="J23" s="67">
        <f>VLOOKUP(C23,Recipes!$A$2:$N$4,10,FALSE())</f>
        <v/>
      </c>
      <c r="K23" s="68">
        <f>VLOOKUP(C23,Recipes!$A$2:$N$4,12,FALSE())</f>
        <v/>
      </c>
      <c r="L23" s="67">
        <f>J23-3*K23</f>
        <v/>
      </c>
      <c r="M23" s="67">
        <f>J23+3*K23</f>
        <v/>
      </c>
      <c r="N23" s="61">
        <f>IF(G23="","",IF(AND(G23&gt;=L23,G23&lt;=M23),"OK","NG"))</f>
        <v/>
      </c>
      <c r="O23" s="69">
        <f>IF(N23="","",IF(N23=D23,1,0))</f>
        <v/>
      </c>
      <c r="P23" s="67">
        <f>IF(G23="","",J23-G23)</f>
        <v/>
      </c>
      <c r="Q23" s="67">
        <f>IF(G23="","",ABS(P23-Components!$D$2))</f>
        <v/>
      </c>
      <c r="R23" s="67">
        <f>IF(G23="","",ABS(P23-Components!$D$3))</f>
        <v/>
      </c>
      <c r="S23" s="67">
        <f>IF(G23="","",ABS(P23-Components!$D$4))</f>
        <v/>
      </c>
      <c r="T23" s="67">
        <f>IF(G23="","",ABS(P23-Components!$D$5))</f>
        <v/>
      </c>
      <c r="U23" s="67">
        <f>IF(G23="","",ABS(P23-Components!$D$6))</f>
        <v/>
      </c>
      <c r="V23" s="67">
        <f>IF(G23="","",ABS(P23-Components!$D$7))</f>
        <v/>
      </c>
      <c r="W23" s="61">
        <f>IF(G23="","",IF(N23="OK","NONE",INDEX({"S1","S2","W1","W2","N1","N2"},MATCH(MIN(Q23:V23),Q23:V23,0))))</f>
        <v/>
      </c>
      <c r="X23" s="69">
        <f>IF(G23="","",IF(W23=E23,1,0))</f>
        <v/>
      </c>
    </row>
    <row r="24">
      <c r="A24" s="61" t="n">
        <v>5</v>
      </c>
      <c r="B24" s="62" t="n">
        <v>17</v>
      </c>
      <c r="C24" s="61" t="inlineStr">
        <is>
          <t>R3</t>
        </is>
      </c>
      <c r="D24" s="63" t="inlineStr">
        <is>
          <t>OK</t>
        </is>
      </c>
      <c r="E24" s="61" t="inlineStr">
        <is>
          <t>NONE</t>
        </is>
      </c>
      <c r="F24" s="61" t="inlineStr">
        <is>
          <t>K005</t>
        </is>
      </c>
      <c r="G24" s="64" t="n">
        <v>9.9</v>
      </c>
      <c r="H24" s="65" t="n"/>
      <c r="I24" s="66" t="n"/>
      <c r="J24" s="67">
        <f>VLOOKUP(C24,Recipes!$A$2:$N$4,10,FALSE())</f>
        <v/>
      </c>
      <c r="K24" s="68">
        <f>VLOOKUP(C24,Recipes!$A$2:$N$4,12,FALSE())</f>
        <v/>
      </c>
      <c r="L24" s="67">
        <f>J24-3*K24</f>
        <v/>
      </c>
      <c r="M24" s="67">
        <f>J24+3*K24</f>
        <v/>
      </c>
      <c r="N24" s="61">
        <f>IF(G24="","",IF(AND(G24&gt;=L24,G24&lt;=M24),"OK","NG"))</f>
        <v/>
      </c>
      <c r="O24" s="69">
        <f>IF(N24="","",IF(N24=D24,1,0))</f>
        <v/>
      </c>
      <c r="P24" s="67">
        <f>IF(G24="","",J24-G24)</f>
        <v/>
      </c>
      <c r="Q24" s="67">
        <f>IF(G24="","",ABS(P24-Components!$D$2))</f>
        <v/>
      </c>
      <c r="R24" s="67">
        <f>IF(G24="","",ABS(P24-Components!$D$3))</f>
        <v/>
      </c>
      <c r="S24" s="67">
        <f>IF(G24="","",ABS(P24-Components!$D$4))</f>
        <v/>
      </c>
      <c r="T24" s="67">
        <f>IF(G24="","",ABS(P24-Components!$D$5))</f>
        <v/>
      </c>
      <c r="U24" s="67">
        <f>IF(G24="","",ABS(P24-Components!$D$6))</f>
        <v/>
      </c>
      <c r="V24" s="67">
        <f>IF(G24="","",ABS(P24-Components!$D$7))</f>
        <v/>
      </c>
      <c r="W24" s="61">
        <f>IF(G24="","",IF(N24="OK","NONE",INDEX({"S1","S2","W1","W2","N1","N2"},MATCH(MIN(Q24:V24),Q24:V24,0))))</f>
        <v/>
      </c>
      <c r="X24" s="69">
        <f>IF(G24="","",IF(W24=E24,1,0))</f>
        <v/>
      </c>
    </row>
    <row r="25">
      <c r="A25" s="61" t="n">
        <v>5</v>
      </c>
      <c r="B25" s="62" t="n">
        <v>17</v>
      </c>
      <c r="C25" s="61" t="inlineStr">
        <is>
          <t>R3</t>
        </is>
      </c>
      <c r="D25" s="63" t="inlineStr">
        <is>
          <t>OK</t>
        </is>
      </c>
      <c r="E25" s="61" t="inlineStr">
        <is>
          <t>NONE</t>
        </is>
      </c>
      <c r="F25" s="61" t="inlineStr">
        <is>
          <t>K005</t>
        </is>
      </c>
      <c r="G25" s="64" t="n">
        <v>9.970000000000001</v>
      </c>
      <c r="H25" s="65" t="n"/>
      <c r="I25" s="66" t="n"/>
      <c r="J25" s="67">
        <f>VLOOKUP(C25,Recipes!$A$2:$N$4,10,FALSE())</f>
        <v/>
      </c>
      <c r="K25" s="68">
        <f>VLOOKUP(C25,Recipes!$A$2:$N$4,12,FALSE())</f>
        <v/>
      </c>
      <c r="L25" s="67">
        <f>J25-3*K25</f>
        <v/>
      </c>
      <c r="M25" s="67">
        <f>J25+3*K25</f>
        <v/>
      </c>
      <c r="N25" s="61">
        <f>IF(G25="","",IF(AND(G25&gt;=L25,G25&lt;=M25),"OK","NG"))</f>
        <v/>
      </c>
      <c r="O25" s="69">
        <f>IF(N25="","",IF(N25=D25,1,0))</f>
        <v/>
      </c>
      <c r="P25" s="67">
        <f>IF(G25="","",J25-G25)</f>
        <v/>
      </c>
      <c r="Q25" s="67">
        <f>IF(G25="","",ABS(P25-Components!$D$2))</f>
        <v/>
      </c>
      <c r="R25" s="67">
        <f>IF(G25="","",ABS(P25-Components!$D$3))</f>
        <v/>
      </c>
      <c r="S25" s="67">
        <f>IF(G25="","",ABS(P25-Components!$D$4))</f>
        <v/>
      </c>
      <c r="T25" s="67">
        <f>IF(G25="","",ABS(P25-Components!$D$5))</f>
        <v/>
      </c>
      <c r="U25" s="67">
        <f>IF(G25="","",ABS(P25-Components!$D$6))</f>
        <v/>
      </c>
      <c r="V25" s="67">
        <f>IF(G25="","",ABS(P25-Components!$D$7))</f>
        <v/>
      </c>
      <c r="W25" s="61">
        <f>IF(G25="","",IF(N25="OK","NONE",INDEX({"S1","S2","W1","W2","N1","N2"},MATCH(MIN(Q25:V25),Q25:V25,0))))</f>
        <v/>
      </c>
      <c r="X25" s="69">
        <f>IF(G25="","",IF(W25=E25,1,0))</f>
        <v/>
      </c>
    </row>
    <row r="26">
      <c r="A26" s="61" t="n">
        <v>5</v>
      </c>
      <c r="B26" s="62" t="n">
        <v>17</v>
      </c>
      <c r="C26" s="61" t="inlineStr">
        <is>
          <t>R3</t>
        </is>
      </c>
      <c r="D26" s="63" t="inlineStr">
        <is>
          <t>OK</t>
        </is>
      </c>
      <c r="E26" s="61" t="inlineStr">
        <is>
          <t>NONE</t>
        </is>
      </c>
      <c r="F26" s="61" t="inlineStr">
        <is>
          <t>K005</t>
        </is>
      </c>
      <c r="G26" s="64" t="n">
        <v>10.02</v>
      </c>
      <c r="H26" s="65" t="n"/>
      <c r="I26" s="66" t="n"/>
      <c r="J26" s="67">
        <f>VLOOKUP(C26,Recipes!$A$2:$N$4,10,FALSE())</f>
        <v/>
      </c>
      <c r="K26" s="68">
        <f>VLOOKUP(C26,Recipes!$A$2:$N$4,12,FALSE())</f>
        <v/>
      </c>
      <c r="L26" s="67">
        <f>J26-3*K26</f>
        <v/>
      </c>
      <c r="M26" s="67">
        <f>J26+3*K26</f>
        <v/>
      </c>
      <c r="N26" s="61">
        <f>IF(G26="","",IF(AND(G26&gt;=L26,G26&lt;=M26),"OK","NG"))</f>
        <v/>
      </c>
      <c r="O26" s="69">
        <f>IF(N26="","",IF(N26=D26,1,0))</f>
        <v/>
      </c>
      <c r="P26" s="67">
        <f>IF(G26="","",J26-G26)</f>
        <v/>
      </c>
      <c r="Q26" s="67">
        <f>IF(G26="","",ABS(P26-Components!$D$2))</f>
        <v/>
      </c>
      <c r="R26" s="67">
        <f>IF(G26="","",ABS(P26-Components!$D$3))</f>
        <v/>
      </c>
      <c r="S26" s="67">
        <f>IF(G26="","",ABS(P26-Components!$D$4))</f>
        <v/>
      </c>
      <c r="T26" s="67">
        <f>IF(G26="","",ABS(P26-Components!$D$5))</f>
        <v/>
      </c>
      <c r="U26" s="67">
        <f>IF(G26="","",ABS(P26-Components!$D$6))</f>
        <v/>
      </c>
      <c r="V26" s="67">
        <f>IF(G26="","",ABS(P26-Components!$D$7))</f>
        <v/>
      </c>
      <c r="W26" s="61">
        <f>IF(G26="","",IF(N26="OK","NONE",INDEX({"S1","S2","W1","W2","N1","N2"},MATCH(MIN(Q26:V26),Q26:V26,0))))</f>
        <v/>
      </c>
      <c r="X26" s="69">
        <f>IF(G26="","",IF(W26=E26,1,0))</f>
        <v/>
      </c>
    </row>
    <row r="27">
      <c r="A27" s="61" t="n">
        <v>5</v>
      </c>
      <c r="B27" s="62" t="n">
        <v>17</v>
      </c>
      <c r="C27" s="61" t="inlineStr">
        <is>
          <t>R3</t>
        </is>
      </c>
      <c r="D27" s="63" t="inlineStr">
        <is>
          <t>OK</t>
        </is>
      </c>
      <c r="E27" s="61" t="inlineStr">
        <is>
          <t>NONE</t>
        </is>
      </c>
      <c r="F27" s="61" t="inlineStr">
        <is>
          <t>K005</t>
        </is>
      </c>
      <c r="G27" s="64" t="n">
        <v>10</v>
      </c>
      <c r="H27" s="65" t="n"/>
      <c r="I27" s="66" t="n"/>
      <c r="J27" s="67">
        <f>VLOOKUP(C27,Recipes!$A$2:$N$4,10,FALSE())</f>
        <v/>
      </c>
      <c r="K27" s="68">
        <f>VLOOKUP(C27,Recipes!$A$2:$N$4,12,FALSE())</f>
        <v/>
      </c>
      <c r="L27" s="67">
        <f>J27-3*K27</f>
        <v/>
      </c>
      <c r="M27" s="67">
        <f>J27+3*K27</f>
        <v/>
      </c>
      <c r="N27" s="61">
        <f>IF(G27="","",IF(AND(G27&gt;=L27,G27&lt;=M27),"OK","NG"))</f>
        <v/>
      </c>
      <c r="O27" s="69">
        <f>IF(N27="","",IF(N27=D27,1,0))</f>
        <v/>
      </c>
      <c r="P27" s="67">
        <f>IF(G27="","",J27-G27)</f>
        <v/>
      </c>
      <c r="Q27" s="67">
        <f>IF(G27="","",ABS(P27-Components!$D$2))</f>
        <v/>
      </c>
      <c r="R27" s="67">
        <f>IF(G27="","",ABS(P27-Components!$D$3))</f>
        <v/>
      </c>
      <c r="S27" s="67">
        <f>IF(G27="","",ABS(P27-Components!$D$4))</f>
        <v/>
      </c>
      <c r="T27" s="67">
        <f>IF(G27="","",ABS(P27-Components!$D$5))</f>
        <v/>
      </c>
      <c r="U27" s="67">
        <f>IF(G27="","",ABS(P27-Components!$D$6))</f>
        <v/>
      </c>
      <c r="V27" s="67">
        <f>IF(G27="","",ABS(P27-Components!$D$7))</f>
        <v/>
      </c>
      <c r="W27" s="61">
        <f>IF(G27="","",IF(N27="OK","NONE",INDEX({"S1","S2","W1","W2","N1","N2"},MATCH(MIN(Q27:V27),Q27:V27,0))))</f>
        <v/>
      </c>
      <c r="X27" s="69">
        <f>IF(G27="","",IF(W27=E27,1,0))</f>
        <v/>
      </c>
    </row>
    <row r="28">
      <c r="A28" s="61" t="n">
        <v>5</v>
      </c>
      <c r="B28" s="62" t="n">
        <v>17</v>
      </c>
      <c r="C28" s="61" t="inlineStr">
        <is>
          <t>R3</t>
        </is>
      </c>
      <c r="D28" s="63" t="inlineStr">
        <is>
          <t>OK</t>
        </is>
      </c>
      <c r="E28" s="61" t="inlineStr">
        <is>
          <t>NONE</t>
        </is>
      </c>
      <c r="F28" s="61" t="inlineStr">
        <is>
          <t>K005</t>
        </is>
      </c>
      <c r="G28" s="64" t="n">
        <v>9.93</v>
      </c>
      <c r="H28" s="65" t="n"/>
      <c r="I28" s="66" t="n"/>
      <c r="J28" s="67">
        <f>VLOOKUP(C28,Recipes!$A$2:$N$4,10,FALSE())</f>
        <v/>
      </c>
      <c r="K28" s="68">
        <f>VLOOKUP(C28,Recipes!$A$2:$N$4,12,FALSE())</f>
        <v/>
      </c>
      <c r="L28" s="67">
        <f>J28-3*K28</f>
        <v/>
      </c>
      <c r="M28" s="67">
        <f>J28+3*K28</f>
        <v/>
      </c>
      <c r="N28" s="61">
        <f>IF(G28="","",IF(AND(G28&gt;=L28,G28&lt;=M28),"OK","NG"))</f>
        <v/>
      </c>
      <c r="O28" s="69">
        <f>IF(N28="","",IF(N28=D28,1,0))</f>
        <v/>
      </c>
      <c r="P28" s="67">
        <f>IF(G28="","",J28-G28)</f>
        <v/>
      </c>
      <c r="Q28" s="67">
        <f>IF(G28="","",ABS(P28-Components!$D$2))</f>
        <v/>
      </c>
      <c r="R28" s="67">
        <f>IF(G28="","",ABS(P28-Components!$D$3))</f>
        <v/>
      </c>
      <c r="S28" s="67">
        <f>IF(G28="","",ABS(P28-Components!$D$4))</f>
        <v/>
      </c>
      <c r="T28" s="67">
        <f>IF(G28="","",ABS(P28-Components!$D$5))</f>
        <v/>
      </c>
      <c r="U28" s="67">
        <f>IF(G28="","",ABS(P28-Components!$D$6))</f>
        <v/>
      </c>
      <c r="V28" s="67">
        <f>IF(G28="","",ABS(P28-Components!$D$7))</f>
        <v/>
      </c>
      <c r="W28" s="61">
        <f>IF(G28="","",IF(N28="OK","NONE",INDEX({"S1","S2","W1","W2","N1","N2"},MATCH(MIN(Q28:V28),Q28:V28,0))))</f>
        <v/>
      </c>
      <c r="X28" s="69">
        <f>IF(G28="","",IF(W28=E28,1,0))</f>
        <v/>
      </c>
    </row>
    <row r="29">
      <c r="A29" s="61" t="n">
        <v>5</v>
      </c>
      <c r="B29" s="62" t="n">
        <v>17</v>
      </c>
      <c r="C29" s="61" t="inlineStr">
        <is>
          <t>R3</t>
        </is>
      </c>
      <c r="D29" s="63" t="inlineStr">
        <is>
          <t>OK</t>
        </is>
      </c>
      <c r="E29" s="61" t="inlineStr">
        <is>
          <t>NONE</t>
        </is>
      </c>
      <c r="F29" s="61" t="inlineStr">
        <is>
          <t>K005</t>
        </is>
      </c>
      <c r="G29" s="64" t="n">
        <v>9.970000000000001</v>
      </c>
      <c r="H29" s="65" t="n"/>
      <c r="I29" s="66" t="n"/>
      <c r="J29" s="67">
        <f>VLOOKUP(C29,Recipes!$A$2:$N$4,10,FALSE())</f>
        <v/>
      </c>
      <c r="K29" s="68">
        <f>VLOOKUP(C29,Recipes!$A$2:$N$4,12,FALSE())</f>
        <v/>
      </c>
      <c r="L29" s="67">
        <f>J29-3*K29</f>
        <v/>
      </c>
      <c r="M29" s="67">
        <f>J29+3*K29</f>
        <v/>
      </c>
      <c r="N29" s="61">
        <f>IF(G29="","",IF(AND(G29&gt;=L29,G29&lt;=M29),"OK","NG"))</f>
        <v/>
      </c>
      <c r="O29" s="69">
        <f>IF(N29="","",IF(N29=D29,1,0))</f>
        <v/>
      </c>
      <c r="P29" s="67">
        <f>IF(G29="","",J29-G29)</f>
        <v/>
      </c>
      <c r="Q29" s="67">
        <f>IF(G29="","",ABS(P29-Components!$D$2))</f>
        <v/>
      </c>
      <c r="R29" s="67">
        <f>IF(G29="","",ABS(P29-Components!$D$3))</f>
        <v/>
      </c>
      <c r="S29" s="67">
        <f>IF(G29="","",ABS(P29-Components!$D$4))</f>
        <v/>
      </c>
      <c r="T29" s="67">
        <f>IF(G29="","",ABS(P29-Components!$D$5))</f>
        <v/>
      </c>
      <c r="U29" s="67">
        <f>IF(G29="","",ABS(P29-Components!$D$6))</f>
        <v/>
      </c>
      <c r="V29" s="67">
        <f>IF(G29="","",ABS(P29-Components!$D$7))</f>
        <v/>
      </c>
      <c r="W29" s="61">
        <f>IF(G29="","",IF(N29="OK","NONE",INDEX({"S1","S2","W1","W2","N1","N2"},MATCH(MIN(Q29:V29),Q29:V29,0))))</f>
        <v/>
      </c>
      <c r="X29" s="69">
        <f>IF(G29="","",IF(W29=E29,1,0))</f>
        <v/>
      </c>
    </row>
    <row r="30">
      <c r="A30" s="61" t="n">
        <v>5</v>
      </c>
      <c r="B30" s="62" t="n">
        <v>17</v>
      </c>
      <c r="C30" s="61" t="inlineStr">
        <is>
          <t>R3</t>
        </is>
      </c>
      <c r="D30" s="63" t="inlineStr">
        <is>
          <t>OK</t>
        </is>
      </c>
      <c r="E30" s="61" t="inlineStr">
        <is>
          <t>NONE</t>
        </is>
      </c>
      <c r="F30" s="61" t="inlineStr">
        <is>
          <t>K005</t>
        </is>
      </c>
      <c r="G30" s="64" t="n">
        <v>9.94</v>
      </c>
      <c r="H30" s="65" t="n"/>
      <c r="I30" s="66" t="n"/>
      <c r="J30" s="67">
        <f>VLOOKUP(C30,Recipes!$A$2:$N$4,10,FALSE())</f>
        <v/>
      </c>
      <c r="K30" s="68">
        <f>VLOOKUP(C30,Recipes!$A$2:$N$4,12,FALSE())</f>
        <v/>
      </c>
      <c r="L30" s="67">
        <f>J30-3*K30</f>
        <v/>
      </c>
      <c r="M30" s="67">
        <f>J30+3*K30</f>
        <v/>
      </c>
      <c r="N30" s="61">
        <f>IF(G30="","",IF(AND(G30&gt;=L30,G30&lt;=M30),"OK","NG"))</f>
        <v/>
      </c>
      <c r="O30" s="69">
        <f>IF(N30="","",IF(N30=D30,1,0))</f>
        <v/>
      </c>
      <c r="P30" s="67">
        <f>IF(G30="","",J30-G30)</f>
        <v/>
      </c>
      <c r="Q30" s="67">
        <f>IF(G30="","",ABS(P30-Components!$D$2))</f>
        <v/>
      </c>
      <c r="R30" s="67">
        <f>IF(G30="","",ABS(P30-Components!$D$3))</f>
        <v/>
      </c>
      <c r="S30" s="67">
        <f>IF(G30="","",ABS(P30-Components!$D$4))</f>
        <v/>
      </c>
      <c r="T30" s="67">
        <f>IF(G30="","",ABS(P30-Components!$D$5))</f>
        <v/>
      </c>
      <c r="U30" s="67">
        <f>IF(G30="","",ABS(P30-Components!$D$6))</f>
        <v/>
      </c>
      <c r="V30" s="67">
        <f>IF(G30="","",ABS(P30-Components!$D$7))</f>
        <v/>
      </c>
      <c r="W30" s="61">
        <f>IF(G30="","",IF(N30="OK","NONE",INDEX({"S1","S2","W1","W2","N1","N2"},MATCH(MIN(Q30:V30),Q30:V30,0))))</f>
        <v/>
      </c>
      <c r="X30" s="69">
        <f>IF(G30="","",IF(W30=E30,1,0))</f>
        <v/>
      </c>
    </row>
    <row r="31">
      <c r="A31" s="61" t="n">
        <v>5</v>
      </c>
      <c r="B31" s="62" t="n">
        <v>17</v>
      </c>
      <c r="C31" s="61" t="inlineStr">
        <is>
          <t>R3</t>
        </is>
      </c>
      <c r="D31" s="63" t="inlineStr">
        <is>
          <t>OK</t>
        </is>
      </c>
      <c r="E31" s="61" t="inlineStr">
        <is>
          <t>NONE</t>
        </is>
      </c>
      <c r="F31" s="61" t="inlineStr">
        <is>
          <t>K005</t>
        </is>
      </c>
      <c r="G31" s="64" t="n">
        <v>9.99</v>
      </c>
      <c r="H31" s="65" t="n"/>
      <c r="I31" s="66" t="n"/>
      <c r="J31" s="67">
        <f>VLOOKUP(C31,Recipes!$A$2:$N$4,10,FALSE())</f>
        <v/>
      </c>
      <c r="K31" s="68">
        <f>VLOOKUP(C31,Recipes!$A$2:$N$4,12,FALSE())</f>
        <v/>
      </c>
      <c r="L31" s="67">
        <f>J31-3*K31</f>
        <v/>
      </c>
      <c r="M31" s="67">
        <f>J31+3*K31</f>
        <v/>
      </c>
      <c r="N31" s="61">
        <f>IF(G31="","",IF(AND(G31&gt;=L31,G31&lt;=M31),"OK","NG"))</f>
        <v/>
      </c>
      <c r="O31" s="69">
        <f>IF(N31="","",IF(N31=D31,1,0))</f>
        <v/>
      </c>
      <c r="P31" s="67">
        <f>IF(G31="","",J31-G31)</f>
        <v/>
      </c>
      <c r="Q31" s="67">
        <f>IF(G31="","",ABS(P31-Components!$D$2))</f>
        <v/>
      </c>
      <c r="R31" s="67">
        <f>IF(G31="","",ABS(P31-Components!$D$3))</f>
        <v/>
      </c>
      <c r="S31" s="67">
        <f>IF(G31="","",ABS(P31-Components!$D$4))</f>
        <v/>
      </c>
      <c r="T31" s="67">
        <f>IF(G31="","",ABS(P31-Components!$D$5))</f>
        <v/>
      </c>
      <c r="U31" s="67">
        <f>IF(G31="","",ABS(P31-Components!$D$6))</f>
        <v/>
      </c>
      <c r="V31" s="67">
        <f>IF(G31="","",ABS(P31-Components!$D$7))</f>
        <v/>
      </c>
      <c r="W31" s="61">
        <f>IF(G31="","",IF(N31="OK","NONE",INDEX({"S1","S2","W1","W2","N1","N2"},MATCH(MIN(Q31:V31),Q31:V31,0))))</f>
        <v/>
      </c>
      <c r="X31" s="69">
        <f>IF(G31="","",IF(W31=E31,1,0))</f>
        <v/>
      </c>
    </row>
    <row r="32">
      <c r="A32" s="61" t="n">
        <v>5</v>
      </c>
      <c r="B32" s="62" t="n">
        <v>17</v>
      </c>
      <c r="C32" s="61" t="inlineStr">
        <is>
          <t>R3</t>
        </is>
      </c>
      <c r="D32" s="63" t="inlineStr">
        <is>
          <t>OK</t>
        </is>
      </c>
      <c r="E32" s="61" t="inlineStr">
        <is>
          <t>NONE</t>
        </is>
      </c>
      <c r="F32" s="61" t="inlineStr">
        <is>
          <t>K005</t>
        </is>
      </c>
      <c r="G32" s="73" t="n">
        <v>9.48</v>
      </c>
      <c r="H32" s="65" t="n"/>
      <c r="I32" s="66" t="n"/>
      <c r="J32" s="67">
        <f>VLOOKUP(C32,Recipes!$A$2:$N$4,10,FALSE())</f>
        <v/>
      </c>
      <c r="K32" s="68">
        <f>VLOOKUP(C32,Recipes!$A$2:$N$4,12,FALSE())</f>
        <v/>
      </c>
      <c r="L32" s="67">
        <f>J32-3*K32</f>
        <v/>
      </c>
      <c r="M32" s="67">
        <f>J32+3*K32</f>
        <v/>
      </c>
      <c r="N32" s="61">
        <f>IF(G32="","",IF(AND(G32&gt;=L32,G32&lt;=M32),"OK","NG"))</f>
        <v/>
      </c>
      <c r="O32" s="69">
        <f>IF(N32="","",IF(N32=D32,1,0))</f>
        <v/>
      </c>
      <c r="P32" s="67">
        <f>IF(G32="","",J32-G32)</f>
        <v/>
      </c>
      <c r="Q32" s="67">
        <f>IF(G32="","",ABS(P32-Components!$D$2))</f>
        <v/>
      </c>
      <c r="R32" s="67">
        <f>IF(G32="","",ABS(P32-Components!$D$3))</f>
        <v/>
      </c>
      <c r="S32" s="67">
        <f>IF(G32="","",ABS(P32-Components!$D$4))</f>
        <v/>
      </c>
      <c r="T32" s="67">
        <f>IF(G32="","",ABS(P32-Components!$D$5))</f>
        <v/>
      </c>
      <c r="U32" s="67">
        <f>IF(G32="","",ABS(P32-Components!$D$6))</f>
        <v/>
      </c>
      <c r="V32" s="67">
        <f>IF(G32="","",ABS(P32-Components!$D$7))</f>
        <v/>
      </c>
      <c r="W32" s="61">
        <f>IF(G32="","",IF(N32="OK","NONE",INDEX({"S1","S2","W1","W2","N1","N2"},MATCH(MIN(Q32:V32),Q32:V32,0))))</f>
        <v/>
      </c>
      <c r="X32" s="71">
        <f>IF(G32="","",IF(W32=E32,1,0))</f>
        <v/>
      </c>
    </row>
    <row r="33">
      <c r="A33" s="61" t="n">
        <v>6</v>
      </c>
      <c r="B33" s="62" t="n">
        <v>21</v>
      </c>
      <c r="C33" s="61" t="inlineStr">
        <is>
          <t>R3</t>
        </is>
      </c>
      <c r="D33" s="74" t="inlineStr">
        <is>
          <t>NG</t>
        </is>
      </c>
      <c r="E33" s="61" t="inlineStr">
        <is>
          <t>S2</t>
        </is>
      </c>
      <c r="F33" s="61" t="inlineStr">
        <is>
          <t>K006</t>
        </is>
      </c>
      <c r="G33" s="64" t="n">
        <v>5.91</v>
      </c>
      <c r="H33" s="65" t="n"/>
      <c r="I33" s="66" t="n"/>
      <c r="J33" s="67">
        <f>VLOOKUP(C33,Recipes!$A$2:$N$4,10,FALSE())</f>
        <v/>
      </c>
      <c r="K33" s="68">
        <f>VLOOKUP(C33,Recipes!$A$2:$N$4,12,FALSE())</f>
        <v/>
      </c>
      <c r="L33" s="67">
        <f>J33-3*K33</f>
        <v/>
      </c>
      <c r="M33" s="67">
        <f>J33+3*K33</f>
        <v/>
      </c>
      <c r="N33" s="61">
        <f>IF(G33="","",IF(AND(G33&gt;=L33,G33&lt;=M33),"OK","NG"))</f>
        <v/>
      </c>
      <c r="O33" s="69">
        <f>IF(N33="","",IF(N33=D33,1,0))</f>
        <v/>
      </c>
      <c r="P33" s="67">
        <f>IF(G33="","",J33-G33)</f>
        <v/>
      </c>
      <c r="Q33" s="67">
        <f>IF(G33="","",ABS(P33-Components!$D$2))</f>
        <v/>
      </c>
      <c r="R33" s="67">
        <f>IF(G33="","",ABS(P33-Components!$D$3))</f>
        <v/>
      </c>
      <c r="S33" s="67">
        <f>IF(G33="","",ABS(P33-Components!$D$4))</f>
        <v/>
      </c>
      <c r="T33" s="67">
        <f>IF(G33="","",ABS(P33-Components!$D$5))</f>
        <v/>
      </c>
      <c r="U33" s="67">
        <f>IF(G33="","",ABS(P33-Components!$D$6))</f>
        <v/>
      </c>
      <c r="V33" s="67">
        <f>IF(G33="","",ABS(P33-Components!$D$7))</f>
        <v/>
      </c>
      <c r="W33" s="61">
        <f>IF(G33="","",IF(N33="OK","NONE",INDEX({"S1","S2","W1","W2","N1","N2"},MATCH(MIN(Q33:V33),Q33:V33,0))))</f>
        <v/>
      </c>
      <c r="X33" s="69">
        <f>IF(G33="","",IF(W33=E33,1,0))</f>
        <v/>
      </c>
    </row>
    <row r="34">
      <c r="A34" s="61" t="n">
        <v>7</v>
      </c>
      <c r="B34" s="62" t="n">
        <v>51</v>
      </c>
      <c r="C34" s="61" t="inlineStr">
        <is>
          <t>R3</t>
        </is>
      </c>
      <c r="D34" s="74" t="inlineStr">
        <is>
          <t>NG</t>
        </is>
      </c>
      <c r="E34" s="61" t="inlineStr">
        <is>
          <t>S2</t>
        </is>
      </c>
      <c r="F34" s="61" t="inlineStr">
        <is>
          <t>K007</t>
        </is>
      </c>
      <c r="G34" s="64" t="n">
        <v>5.93</v>
      </c>
      <c r="H34" s="65" t="n"/>
      <c r="I34" s="66" t="n"/>
      <c r="J34" s="67">
        <f>VLOOKUP(C34,Recipes!$A$2:$N$4,10,FALSE())</f>
        <v/>
      </c>
      <c r="K34" s="68">
        <f>VLOOKUP(C34,Recipes!$A$2:$N$4,12,FALSE())</f>
        <v/>
      </c>
      <c r="L34" s="67">
        <f>J34-3*K34</f>
        <v/>
      </c>
      <c r="M34" s="67">
        <f>J34+3*K34</f>
        <v/>
      </c>
      <c r="N34" s="61">
        <f>IF(G34="","",IF(AND(G34&gt;=L34,G34&lt;=M34),"OK","NG"))</f>
        <v/>
      </c>
      <c r="O34" s="69">
        <f>IF(N34="","",IF(N34=D34,1,0))</f>
        <v/>
      </c>
      <c r="P34" s="67">
        <f>IF(G34="","",J34-G34)</f>
        <v/>
      </c>
      <c r="Q34" s="67">
        <f>IF(G34="","",ABS(P34-Components!$D$2))</f>
        <v/>
      </c>
      <c r="R34" s="67">
        <f>IF(G34="","",ABS(P34-Components!$D$3))</f>
        <v/>
      </c>
      <c r="S34" s="67">
        <f>IF(G34="","",ABS(P34-Components!$D$4))</f>
        <v/>
      </c>
      <c r="T34" s="67">
        <f>IF(G34="","",ABS(P34-Components!$D$5))</f>
        <v/>
      </c>
      <c r="U34" s="67">
        <f>IF(G34="","",ABS(P34-Components!$D$6))</f>
        <v/>
      </c>
      <c r="V34" s="67">
        <f>IF(G34="","",ABS(P34-Components!$D$7))</f>
        <v/>
      </c>
      <c r="W34" s="61">
        <f>IF(G34="","",IF(N34="OK","NONE",INDEX({"S1","S2","W1","W2","N1","N2"},MATCH(MIN(Q34:V34),Q34:V34,0))))</f>
        <v/>
      </c>
      <c r="X34" s="69">
        <f>IF(G34="","",IF(W34=E34,1,0))</f>
        <v/>
      </c>
    </row>
    <row r="35">
      <c r="A35" s="61" t="n">
        <v>8</v>
      </c>
      <c r="B35" s="62" t="n">
        <v>54</v>
      </c>
      <c r="C35" s="61" t="inlineStr">
        <is>
          <t>R3</t>
        </is>
      </c>
      <c r="D35" s="74" t="inlineStr">
        <is>
          <t>NG</t>
        </is>
      </c>
      <c r="E35" s="61" t="inlineStr">
        <is>
          <t>S2</t>
        </is>
      </c>
      <c r="F35" s="61" t="inlineStr">
        <is>
          <t>K008</t>
        </is>
      </c>
      <c r="G35" s="64" t="n">
        <v>5.86</v>
      </c>
      <c r="H35" s="65" t="n"/>
      <c r="I35" s="66" t="n"/>
      <c r="J35" s="67">
        <f>VLOOKUP(C35,Recipes!$A$2:$N$4,10,FALSE())</f>
        <v/>
      </c>
      <c r="K35" s="68">
        <f>VLOOKUP(C35,Recipes!$A$2:$N$4,12,FALSE())</f>
        <v/>
      </c>
      <c r="L35" s="67">
        <f>J35-3*K35</f>
        <v/>
      </c>
      <c r="M35" s="67">
        <f>J35+3*K35</f>
        <v/>
      </c>
      <c r="N35" s="61">
        <f>IF(G35="","",IF(AND(G35&gt;=L35,G35&lt;=M35),"OK","NG"))</f>
        <v/>
      </c>
      <c r="O35" s="69">
        <f>IF(N35="","",IF(N35=D35,1,0))</f>
        <v/>
      </c>
      <c r="P35" s="67">
        <f>IF(G35="","",J35-G35)</f>
        <v/>
      </c>
      <c r="Q35" s="67">
        <f>IF(G35="","",ABS(P35-Components!$D$2))</f>
        <v/>
      </c>
      <c r="R35" s="67">
        <f>IF(G35="","",ABS(P35-Components!$D$3))</f>
        <v/>
      </c>
      <c r="S35" s="67">
        <f>IF(G35="","",ABS(P35-Components!$D$4))</f>
        <v/>
      </c>
      <c r="T35" s="67">
        <f>IF(G35="","",ABS(P35-Components!$D$5))</f>
        <v/>
      </c>
      <c r="U35" s="67">
        <f>IF(G35="","",ABS(P35-Components!$D$6))</f>
        <v/>
      </c>
      <c r="V35" s="67">
        <f>IF(G35="","",ABS(P35-Components!$D$7))</f>
        <v/>
      </c>
      <c r="W35" s="61">
        <f>IF(G35="","",IF(N35="OK","NONE",INDEX({"S1","S2","W1","W2","N1","N2"},MATCH(MIN(Q35:V35),Q35:V35,0))))</f>
        <v/>
      </c>
      <c r="X35" s="69">
        <f>IF(G35="","",IF(W35=E35,1,0))</f>
        <v/>
      </c>
    </row>
    <row r="36">
      <c r="A36" s="61" t="n">
        <v>9</v>
      </c>
      <c r="B36" s="62" t="n">
        <v>36</v>
      </c>
      <c r="C36" s="61" t="inlineStr">
        <is>
          <t>R3</t>
        </is>
      </c>
      <c r="D36" s="74" t="inlineStr">
        <is>
          <t>NG</t>
        </is>
      </c>
      <c r="E36" s="61" t="inlineStr">
        <is>
          <t>S2</t>
        </is>
      </c>
      <c r="F36" s="61" t="inlineStr">
        <is>
          <t>K009</t>
        </is>
      </c>
      <c r="G36" s="64" t="n">
        <v>5.94</v>
      </c>
      <c r="H36" s="65" t="n"/>
      <c r="I36" s="66" t="n"/>
      <c r="J36" s="67">
        <f>VLOOKUP(C36,Recipes!$A$2:$N$4,10,FALSE())</f>
        <v/>
      </c>
      <c r="K36" s="68">
        <f>VLOOKUP(C36,Recipes!$A$2:$N$4,12,FALSE())</f>
        <v/>
      </c>
      <c r="L36" s="67">
        <f>J36-3*K36</f>
        <v/>
      </c>
      <c r="M36" s="67">
        <f>J36+3*K36</f>
        <v/>
      </c>
      <c r="N36" s="61">
        <f>IF(G36="","",IF(AND(G36&gt;=L36,G36&lt;=M36),"OK","NG"))</f>
        <v/>
      </c>
      <c r="O36" s="69">
        <f>IF(N36="","",IF(N36=D36,1,0))</f>
        <v/>
      </c>
      <c r="P36" s="67">
        <f>IF(G36="","",J36-G36)</f>
        <v/>
      </c>
      <c r="Q36" s="67">
        <f>IF(G36="","",ABS(P36-Components!$D$2))</f>
        <v/>
      </c>
      <c r="R36" s="67">
        <f>IF(G36="","",ABS(P36-Components!$D$3))</f>
        <v/>
      </c>
      <c r="S36" s="67">
        <f>IF(G36="","",ABS(P36-Components!$D$4))</f>
        <v/>
      </c>
      <c r="T36" s="67">
        <f>IF(G36="","",ABS(P36-Components!$D$5))</f>
        <v/>
      </c>
      <c r="U36" s="67">
        <f>IF(G36="","",ABS(P36-Components!$D$6))</f>
        <v/>
      </c>
      <c r="V36" s="67">
        <f>IF(G36="","",ABS(P36-Components!$D$7))</f>
        <v/>
      </c>
      <c r="W36" s="61">
        <f>IF(G36="","",IF(N36="OK","NONE",INDEX({"S1","S2","W1","W2","N1","N2"},MATCH(MIN(Q36:V36),Q36:V36,0))))</f>
        <v/>
      </c>
      <c r="X36" s="69">
        <f>IF(G36="","",IF(W36=E36,1,0))</f>
        <v/>
      </c>
    </row>
    <row r="37">
      <c r="A37" s="61" t="n">
        <v>9</v>
      </c>
      <c r="B37" s="62" t="n">
        <v>36</v>
      </c>
      <c r="C37" s="61" t="inlineStr">
        <is>
          <t>R3</t>
        </is>
      </c>
      <c r="D37" s="74" t="inlineStr">
        <is>
          <t>NG</t>
        </is>
      </c>
      <c r="E37" s="61" t="inlineStr">
        <is>
          <t>S2</t>
        </is>
      </c>
      <c r="F37" s="61" t="inlineStr">
        <is>
          <t>K009</t>
        </is>
      </c>
      <c r="G37" s="64" t="n">
        <v>5.9</v>
      </c>
      <c r="H37" s="65" t="n"/>
      <c r="I37" s="66" t="n"/>
      <c r="J37" s="67">
        <f>VLOOKUP(C37,Recipes!$A$2:$N$4,10,FALSE())</f>
        <v/>
      </c>
      <c r="K37" s="68">
        <f>VLOOKUP(C37,Recipes!$A$2:$N$4,12,FALSE())</f>
        <v/>
      </c>
      <c r="L37" s="67">
        <f>J37-3*K37</f>
        <v/>
      </c>
      <c r="M37" s="67">
        <f>J37+3*K37</f>
        <v/>
      </c>
      <c r="N37" s="61">
        <f>IF(G37="","",IF(AND(G37&gt;=L37,G37&lt;=M37),"OK","NG"))</f>
        <v/>
      </c>
      <c r="O37" s="69">
        <f>IF(N37="","",IF(N37=D37,1,0))</f>
        <v/>
      </c>
      <c r="P37" s="67">
        <f>IF(G37="","",J37-G37)</f>
        <v/>
      </c>
      <c r="Q37" s="67">
        <f>IF(G37="","",ABS(P37-Components!$D$2))</f>
        <v/>
      </c>
      <c r="R37" s="67">
        <f>IF(G37="","",ABS(P37-Components!$D$3))</f>
        <v/>
      </c>
      <c r="S37" s="67">
        <f>IF(G37="","",ABS(P37-Components!$D$4))</f>
        <v/>
      </c>
      <c r="T37" s="67">
        <f>IF(G37="","",ABS(P37-Components!$D$5))</f>
        <v/>
      </c>
      <c r="U37" s="67">
        <f>IF(G37="","",ABS(P37-Components!$D$6))</f>
        <v/>
      </c>
      <c r="V37" s="67">
        <f>IF(G37="","",ABS(P37-Components!$D$7))</f>
        <v/>
      </c>
      <c r="W37" s="61">
        <f>IF(G37="","",IF(N37="OK","NONE",INDEX({"S1","S2","W1","W2","N1","N2"},MATCH(MIN(Q37:V37),Q37:V37,0))))</f>
        <v/>
      </c>
      <c r="X37" s="69">
        <f>IF(G37="","",IF(W37=E37,1,0))</f>
        <v/>
      </c>
    </row>
    <row r="38">
      <c r="A38" s="61" t="n">
        <v>9</v>
      </c>
      <c r="B38" s="62" t="n">
        <v>36</v>
      </c>
      <c r="C38" s="61" t="inlineStr">
        <is>
          <t>R3</t>
        </is>
      </c>
      <c r="D38" s="74" t="inlineStr">
        <is>
          <t>NG</t>
        </is>
      </c>
      <c r="E38" s="61" t="inlineStr">
        <is>
          <t>S2</t>
        </is>
      </c>
      <c r="F38" s="61" t="inlineStr">
        <is>
          <t>K009</t>
        </is>
      </c>
      <c r="G38" s="64" t="n">
        <v>5.82</v>
      </c>
      <c r="H38" s="65" t="n"/>
      <c r="I38" s="66" t="n"/>
      <c r="J38" s="67">
        <f>VLOOKUP(C38,Recipes!$A$2:$N$4,10,FALSE())</f>
        <v/>
      </c>
      <c r="K38" s="68">
        <f>VLOOKUP(C38,Recipes!$A$2:$N$4,12,FALSE())</f>
        <v/>
      </c>
      <c r="L38" s="67">
        <f>J38-3*K38</f>
        <v/>
      </c>
      <c r="M38" s="67">
        <f>J38+3*K38</f>
        <v/>
      </c>
      <c r="N38" s="61">
        <f>IF(G38="","",IF(AND(G38&gt;=L38,G38&lt;=M38),"OK","NG"))</f>
        <v/>
      </c>
      <c r="O38" s="69">
        <f>IF(N38="","",IF(N38=D38,1,0))</f>
        <v/>
      </c>
      <c r="P38" s="67">
        <f>IF(G38="","",J38-G38)</f>
        <v/>
      </c>
      <c r="Q38" s="67">
        <f>IF(G38="","",ABS(P38-Components!$D$2))</f>
        <v/>
      </c>
      <c r="R38" s="67">
        <f>IF(G38="","",ABS(P38-Components!$D$3))</f>
        <v/>
      </c>
      <c r="S38" s="67">
        <f>IF(G38="","",ABS(P38-Components!$D$4))</f>
        <v/>
      </c>
      <c r="T38" s="67">
        <f>IF(G38="","",ABS(P38-Components!$D$5))</f>
        <v/>
      </c>
      <c r="U38" s="67">
        <f>IF(G38="","",ABS(P38-Components!$D$6))</f>
        <v/>
      </c>
      <c r="V38" s="67">
        <f>IF(G38="","",ABS(P38-Components!$D$7))</f>
        <v/>
      </c>
      <c r="W38" s="61">
        <f>IF(G38="","",IF(N38="OK","NONE",INDEX({"S1","S2","W1","W2","N1","N2"},MATCH(MIN(Q38:V38),Q38:V38,0))))</f>
        <v/>
      </c>
      <c r="X38" s="69">
        <f>IF(G38="","",IF(W38=E38,1,0))</f>
        <v/>
      </c>
    </row>
    <row r="39">
      <c r="A39" s="61" t="n">
        <v>9</v>
      </c>
      <c r="B39" s="62" t="n">
        <v>36</v>
      </c>
      <c r="C39" s="61" t="inlineStr">
        <is>
          <t>R3</t>
        </is>
      </c>
      <c r="D39" s="74" t="inlineStr">
        <is>
          <t>NG</t>
        </is>
      </c>
      <c r="E39" s="61" t="inlineStr">
        <is>
          <t>S2</t>
        </is>
      </c>
      <c r="F39" s="61" t="inlineStr">
        <is>
          <t>K009</t>
        </is>
      </c>
      <c r="G39" s="64" t="n">
        <v>5.87</v>
      </c>
      <c r="H39" s="65" t="n"/>
      <c r="I39" s="66" t="n"/>
      <c r="J39" s="67">
        <f>VLOOKUP(C39,Recipes!$A$2:$N$4,10,FALSE())</f>
        <v/>
      </c>
      <c r="K39" s="68">
        <f>VLOOKUP(C39,Recipes!$A$2:$N$4,12,FALSE())</f>
        <v/>
      </c>
      <c r="L39" s="67">
        <f>J39-3*K39</f>
        <v/>
      </c>
      <c r="M39" s="67">
        <f>J39+3*K39</f>
        <v/>
      </c>
      <c r="N39" s="61">
        <f>IF(G39="","",IF(AND(G39&gt;=L39,G39&lt;=M39),"OK","NG"))</f>
        <v/>
      </c>
      <c r="O39" s="69">
        <f>IF(N39="","",IF(N39=D39,1,0))</f>
        <v/>
      </c>
      <c r="P39" s="67">
        <f>IF(G39="","",J39-G39)</f>
        <v/>
      </c>
      <c r="Q39" s="67">
        <f>IF(G39="","",ABS(P39-Components!$D$2))</f>
        <v/>
      </c>
      <c r="R39" s="67">
        <f>IF(G39="","",ABS(P39-Components!$D$3))</f>
        <v/>
      </c>
      <c r="S39" s="67">
        <f>IF(G39="","",ABS(P39-Components!$D$4))</f>
        <v/>
      </c>
      <c r="T39" s="67">
        <f>IF(G39="","",ABS(P39-Components!$D$5))</f>
        <v/>
      </c>
      <c r="U39" s="67">
        <f>IF(G39="","",ABS(P39-Components!$D$6))</f>
        <v/>
      </c>
      <c r="V39" s="67">
        <f>IF(G39="","",ABS(P39-Components!$D$7))</f>
        <v/>
      </c>
      <c r="W39" s="61">
        <f>IF(G39="","",IF(N39="OK","NONE",INDEX({"S1","S2","W1","W2","N1","N2"},MATCH(MIN(Q39:V39),Q39:V39,0))))</f>
        <v/>
      </c>
      <c r="X39" s="69">
        <f>IF(G39="","",IF(W39=E39,1,0))</f>
        <v/>
      </c>
    </row>
    <row r="40">
      <c r="A40" s="61" t="n">
        <v>9</v>
      </c>
      <c r="B40" s="62" t="n">
        <v>36</v>
      </c>
      <c r="C40" s="61" t="inlineStr">
        <is>
          <t>R3</t>
        </is>
      </c>
      <c r="D40" s="74" t="inlineStr">
        <is>
          <t>NG</t>
        </is>
      </c>
      <c r="E40" s="61" t="inlineStr">
        <is>
          <t>S2</t>
        </is>
      </c>
      <c r="F40" s="61" t="inlineStr">
        <is>
          <t>K009</t>
        </is>
      </c>
      <c r="G40" s="64" t="n">
        <v>5.89</v>
      </c>
      <c r="H40" s="65" t="n"/>
      <c r="I40" s="66" t="n"/>
      <c r="J40" s="67">
        <f>VLOOKUP(C40,Recipes!$A$2:$N$4,10,FALSE())</f>
        <v/>
      </c>
      <c r="K40" s="68">
        <f>VLOOKUP(C40,Recipes!$A$2:$N$4,12,FALSE())</f>
        <v/>
      </c>
      <c r="L40" s="67">
        <f>J40-3*K40</f>
        <v/>
      </c>
      <c r="M40" s="67">
        <f>J40+3*K40</f>
        <v/>
      </c>
      <c r="N40" s="61">
        <f>IF(G40="","",IF(AND(G40&gt;=L40,G40&lt;=M40),"OK","NG"))</f>
        <v/>
      </c>
      <c r="O40" s="69">
        <f>IF(N40="","",IF(N40=D40,1,0))</f>
        <v/>
      </c>
      <c r="P40" s="67">
        <f>IF(G40="","",J40-G40)</f>
        <v/>
      </c>
      <c r="Q40" s="67">
        <f>IF(G40="","",ABS(P40-Components!$D$2))</f>
        <v/>
      </c>
      <c r="R40" s="67">
        <f>IF(G40="","",ABS(P40-Components!$D$3))</f>
        <v/>
      </c>
      <c r="S40" s="67">
        <f>IF(G40="","",ABS(P40-Components!$D$4))</f>
        <v/>
      </c>
      <c r="T40" s="67">
        <f>IF(G40="","",ABS(P40-Components!$D$5))</f>
        <v/>
      </c>
      <c r="U40" s="67">
        <f>IF(G40="","",ABS(P40-Components!$D$6))</f>
        <v/>
      </c>
      <c r="V40" s="67">
        <f>IF(G40="","",ABS(P40-Components!$D$7))</f>
        <v/>
      </c>
      <c r="W40" s="61">
        <f>IF(G40="","",IF(N40="OK","NONE",INDEX({"S1","S2","W1","W2","N1","N2"},MATCH(MIN(Q40:V40),Q40:V40,0))))</f>
        <v/>
      </c>
      <c r="X40" s="69">
        <f>IF(G40="","",IF(W40=E40,1,0))</f>
        <v/>
      </c>
    </row>
    <row r="41">
      <c r="A41" s="61" t="n">
        <v>9</v>
      </c>
      <c r="B41" s="62" t="n">
        <v>36</v>
      </c>
      <c r="C41" s="61" t="inlineStr">
        <is>
          <t>R3</t>
        </is>
      </c>
      <c r="D41" s="74" t="inlineStr">
        <is>
          <t>NG</t>
        </is>
      </c>
      <c r="E41" s="61" t="inlineStr">
        <is>
          <t>S2</t>
        </is>
      </c>
      <c r="F41" s="61" t="inlineStr">
        <is>
          <t>K009</t>
        </is>
      </c>
      <c r="G41" s="64" t="n">
        <v>5.91</v>
      </c>
      <c r="H41" s="65" t="n"/>
      <c r="I41" s="66" t="n"/>
      <c r="J41" s="67">
        <f>VLOOKUP(C41,Recipes!$A$2:$N$4,10,FALSE())</f>
        <v/>
      </c>
      <c r="K41" s="68">
        <f>VLOOKUP(C41,Recipes!$A$2:$N$4,12,FALSE())</f>
        <v/>
      </c>
      <c r="L41" s="67">
        <f>J41-3*K41</f>
        <v/>
      </c>
      <c r="M41" s="67">
        <f>J41+3*K41</f>
        <v/>
      </c>
      <c r="N41" s="61">
        <f>IF(G41="","",IF(AND(G41&gt;=L41,G41&lt;=M41),"OK","NG"))</f>
        <v/>
      </c>
      <c r="O41" s="69">
        <f>IF(N41="","",IF(N41=D41,1,0))</f>
        <v/>
      </c>
      <c r="P41" s="67">
        <f>IF(G41="","",J41-G41)</f>
        <v/>
      </c>
      <c r="Q41" s="67">
        <f>IF(G41="","",ABS(P41-Components!$D$2))</f>
        <v/>
      </c>
      <c r="R41" s="67">
        <f>IF(G41="","",ABS(P41-Components!$D$3))</f>
        <v/>
      </c>
      <c r="S41" s="67">
        <f>IF(G41="","",ABS(P41-Components!$D$4))</f>
        <v/>
      </c>
      <c r="T41" s="67">
        <f>IF(G41="","",ABS(P41-Components!$D$5))</f>
        <v/>
      </c>
      <c r="U41" s="67">
        <f>IF(G41="","",ABS(P41-Components!$D$6))</f>
        <v/>
      </c>
      <c r="V41" s="67">
        <f>IF(G41="","",ABS(P41-Components!$D$7))</f>
        <v/>
      </c>
      <c r="W41" s="61">
        <f>IF(G41="","",IF(N41="OK","NONE",INDEX({"S1","S2","W1","W2","N1","N2"},MATCH(MIN(Q41:V41),Q41:V41,0))))</f>
        <v/>
      </c>
      <c r="X41" s="69">
        <f>IF(G41="","",IF(W41=E41,1,0))</f>
        <v/>
      </c>
    </row>
    <row r="42">
      <c r="A42" s="61" t="n">
        <v>9</v>
      </c>
      <c r="B42" s="62" t="n">
        <v>36</v>
      </c>
      <c r="C42" s="61" t="inlineStr">
        <is>
          <t>R3</t>
        </is>
      </c>
      <c r="D42" s="74" t="inlineStr">
        <is>
          <t>NG</t>
        </is>
      </c>
      <c r="E42" s="61" t="inlineStr">
        <is>
          <t>S2</t>
        </is>
      </c>
      <c r="F42" s="61" t="inlineStr">
        <is>
          <t>K009</t>
        </is>
      </c>
      <c r="G42" s="64" t="n">
        <v>5.94</v>
      </c>
      <c r="H42" s="65" t="n"/>
      <c r="I42" s="66" t="n"/>
      <c r="J42" s="67">
        <f>VLOOKUP(C42,Recipes!$A$2:$N$4,10,FALSE())</f>
        <v/>
      </c>
      <c r="K42" s="68">
        <f>VLOOKUP(C42,Recipes!$A$2:$N$4,12,FALSE())</f>
        <v/>
      </c>
      <c r="L42" s="67">
        <f>J42-3*K42</f>
        <v/>
      </c>
      <c r="M42" s="67">
        <f>J42+3*K42</f>
        <v/>
      </c>
      <c r="N42" s="61">
        <f>IF(G42="","",IF(AND(G42&gt;=L42,G42&lt;=M42),"OK","NG"))</f>
        <v/>
      </c>
      <c r="O42" s="69">
        <f>IF(N42="","",IF(N42=D42,1,0))</f>
        <v/>
      </c>
      <c r="P42" s="67">
        <f>IF(G42="","",J42-G42)</f>
        <v/>
      </c>
      <c r="Q42" s="67">
        <f>IF(G42="","",ABS(P42-Components!$D$2))</f>
        <v/>
      </c>
      <c r="R42" s="67">
        <f>IF(G42="","",ABS(P42-Components!$D$3))</f>
        <v/>
      </c>
      <c r="S42" s="67">
        <f>IF(G42="","",ABS(P42-Components!$D$4))</f>
        <v/>
      </c>
      <c r="T42" s="67">
        <f>IF(G42="","",ABS(P42-Components!$D$5))</f>
        <v/>
      </c>
      <c r="U42" s="67">
        <f>IF(G42="","",ABS(P42-Components!$D$6))</f>
        <v/>
      </c>
      <c r="V42" s="67">
        <f>IF(G42="","",ABS(P42-Components!$D$7))</f>
        <v/>
      </c>
      <c r="W42" s="61">
        <f>IF(G42="","",IF(N42="OK","NONE",INDEX({"S1","S2","W1","W2","N1","N2"},MATCH(MIN(Q42:V42),Q42:V42,0))))</f>
        <v/>
      </c>
      <c r="X42" s="69">
        <f>IF(G42="","",IF(W42=E42,1,0))</f>
        <v/>
      </c>
    </row>
    <row r="43">
      <c r="A43" s="61" t="n">
        <v>9</v>
      </c>
      <c r="B43" s="62" t="n">
        <v>36</v>
      </c>
      <c r="C43" s="61" t="inlineStr">
        <is>
          <t>R3</t>
        </is>
      </c>
      <c r="D43" s="74" t="inlineStr">
        <is>
          <t>NG</t>
        </is>
      </c>
      <c r="E43" s="61" t="inlineStr">
        <is>
          <t>S2</t>
        </is>
      </c>
      <c r="F43" s="61" t="inlineStr">
        <is>
          <t>K009</t>
        </is>
      </c>
      <c r="G43" s="64" t="n">
        <v>5.91</v>
      </c>
      <c r="H43" s="65" t="n"/>
      <c r="I43" s="66" t="n"/>
      <c r="J43" s="67">
        <f>VLOOKUP(C43,Recipes!$A$2:$N$4,10,FALSE())</f>
        <v/>
      </c>
      <c r="K43" s="68">
        <f>VLOOKUP(C43,Recipes!$A$2:$N$4,12,FALSE())</f>
        <v/>
      </c>
      <c r="L43" s="67">
        <f>J43-3*K43</f>
        <v/>
      </c>
      <c r="M43" s="67">
        <f>J43+3*K43</f>
        <v/>
      </c>
      <c r="N43" s="61">
        <f>IF(G43="","",IF(AND(G43&gt;=L43,G43&lt;=M43),"OK","NG"))</f>
        <v/>
      </c>
      <c r="O43" s="69">
        <f>IF(N43="","",IF(N43=D43,1,0))</f>
        <v/>
      </c>
      <c r="P43" s="67">
        <f>IF(G43="","",J43-G43)</f>
        <v/>
      </c>
      <c r="Q43" s="67">
        <f>IF(G43="","",ABS(P43-Components!$D$2))</f>
        <v/>
      </c>
      <c r="R43" s="67">
        <f>IF(G43="","",ABS(P43-Components!$D$3))</f>
        <v/>
      </c>
      <c r="S43" s="67">
        <f>IF(G43="","",ABS(P43-Components!$D$4))</f>
        <v/>
      </c>
      <c r="T43" s="67">
        <f>IF(G43="","",ABS(P43-Components!$D$5))</f>
        <v/>
      </c>
      <c r="U43" s="67">
        <f>IF(G43="","",ABS(P43-Components!$D$6))</f>
        <v/>
      </c>
      <c r="V43" s="67">
        <f>IF(G43="","",ABS(P43-Components!$D$7))</f>
        <v/>
      </c>
      <c r="W43" s="61">
        <f>IF(G43="","",IF(N43="OK","NONE",INDEX({"S1","S2","W1","W2","N1","N2"},MATCH(MIN(Q43:V43),Q43:V43,0))))</f>
        <v/>
      </c>
      <c r="X43" s="69">
        <f>IF(G43="","",IF(W43=E43,1,0))</f>
        <v/>
      </c>
    </row>
    <row r="44">
      <c r="A44" s="61" t="n">
        <v>9</v>
      </c>
      <c r="B44" s="62" t="n">
        <v>36</v>
      </c>
      <c r="C44" s="61" t="inlineStr">
        <is>
          <t>R3</t>
        </is>
      </c>
      <c r="D44" s="74" t="inlineStr">
        <is>
          <t>NG</t>
        </is>
      </c>
      <c r="E44" s="61" t="inlineStr">
        <is>
          <t>S2</t>
        </is>
      </c>
      <c r="F44" s="61" t="inlineStr">
        <is>
          <t>K009</t>
        </is>
      </c>
      <c r="G44" s="64" t="n">
        <v>5.96</v>
      </c>
      <c r="H44" s="65" t="n"/>
      <c r="I44" s="66" t="n"/>
      <c r="J44" s="67">
        <f>VLOOKUP(C44,Recipes!$A$2:$N$4,10,FALSE())</f>
        <v/>
      </c>
      <c r="K44" s="68">
        <f>VLOOKUP(C44,Recipes!$A$2:$N$4,12,FALSE())</f>
        <v/>
      </c>
      <c r="L44" s="67">
        <f>J44-3*K44</f>
        <v/>
      </c>
      <c r="M44" s="67">
        <f>J44+3*K44</f>
        <v/>
      </c>
      <c r="N44" s="61">
        <f>IF(G44="","",IF(AND(G44&gt;=L44,G44&lt;=M44),"OK","NG"))</f>
        <v/>
      </c>
      <c r="O44" s="69">
        <f>IF(N44="","",IF(N44=D44,1,0))</f>
        <v/>
      </c>
      <c r="P44" s="67">
        <f>IF(G44="","",J44-G44)</f>
        <v/>
      </c>
      <c r="Q44" s="67">
        <f>IF(G44="","",ABS(P44-Components!$D$2))</f>
        <v/>
      </c>
      <c r="R44" s="67">
        <f>IF(G44="","",ABS(P44-Components!$D$3))</f>
        <v/>
      </c>
      <c r="S44" s="67">
        <f>IF(G44="","",ABS(P44-Components!$D$4))</f>
        <v/>
      </c>
      <c r="T44" s="67">
        <f>IF(G44="","",ABS(P44-Components!$D$5))</f>
        <v/>
      </c>
      <c r="U44" s="67">
        <f>IF(G44="","",ABS(P44-Components!$D$6))</f>
        <v/>
      </c>
      <c r="V44" s="67">
        <f>IF(G44="","",ABS(P44-Components!$D$7))</f>
        <v/>
      </c>
      <c r="W44" s="61">
        <f>IF(G44="","",IF(N44="OK","NONE",INDEX({"S1","S2","W1","W2","N1","N2"},MATCH(MIN(Q44:V44),Q44:V44,0))))</f>
        <v/>
      </c>
      <c r="X44" s="69">
        <f>IF(G44="","",IF(W44=E44,1,0))</f>
        <v/>
      </c>
    </row>
    <row r="45">
      <c r="A45" s="61" t="n">
        <v>9</v>
      </c>
      <c r="B45" s="62" t="n">
        <v>36</v>
      </c>
      <c r="C45" s="61" t="inlineStr">
        <is>
          <t>R3</t>
        </is>
      </c>
      <c r="D45" s="74" t="inlineStr">
        <is>
          <t>NG</t>
        </is>
      </c>
      <c r="E45" s="61" t="inlineStr">
        <is>
          <t>S2</t>
        </is>
      </c>
      <c r="F45" s="61" t="inlineStr">
        <is>
          <t>K009</t>
        </is>
      </c>
      <c r="G45" s="64" t="n">
        <v>5.98</v>
      </c>
      <c r="H45" s="65" t="n"/>
      <c r="I45" s="66" t="n"/>
      <c r="J45" s="67">
        <f>VLOOKUP(C45,Recipes!$A$2:$N$4,10,FALSE())</f>
        <v/>
      </c>
      <c r="K45" s="68">
        <f>VLOOKUP(C45,Recipes!$A$2:$N$4,12,FALSE())</f>
        <v/>
      </c>
      <c r="L45" s="67">
        <f>J45-3*K45</f>
        <v/>
      </c>
      <c r="M45" s="67">
        <f>J45+3*K45</f>
        <v/>
      </c>
      <c r="N45" s="61">
        <f>IF(G45="","",IF(AND(G45&gt;=L45,G45&lt;=M45),"OK","NG"))</f>
        <v/>
      </c>
      <c r="O45" s="69">
        <f>IF(N45="","",IF(N45=D45,1,0))</f>
        <v/>
      </c>
      <c r="P45" s="67">
        <f>IF(G45="","",J45-G45)</f>
        <v/>
      </c>
      <c r="Q45" s="67">
        <f>IF(G45="","",ABS(P45-Components!$D$2))</f>
        <v/>
      </c>
      <c r="R45" s="67">
        <f>IF(G45="","",ABS(P45-Components!$D$3))</f>
        <v/>
      </c>
      <c r="S45" s="67">
        <f>IF(G45="","",ABS(P45-Components!$D$4))</f>
        <v/>
      </c>
      <c r="T45" s="67">
        <f>IF(G45="","",ABS(P45-Components!$D$5))</f>
        <v/>
      </c>
      <c r="U45" s="67">
        <f>IF(G45="","",ABS(P45-Components!$D$6))</f>
        <v/>
      </c>
      <c r="V45" s="67">
        <f>IF(G45="","",ABS(P45-Components!$D$7))</f>
        <v/>
      </c>
      <c r="W45" s="61">
        <f>IF(G45="","",IF(N45="OK","NONE",INDEX({"S1","S2","W1","W2","N1","N2"},MATCH(MIN(Q45:V45),Q45:V45,0))))</f>
        <v/>
      </c>
      <c r="X45" s="69">
        <f>IF(G45="","",IF(W45=E45,1,0))</f>
        <v/>
      </c>
    </row>
    <row r="46">
      <c r="A46" s="61" t="n">
        <v>9</v>
      </c>
      <c r="B46" s="62" t="n">
        <v>36</v>
      </c>
      <c r="C46" s="61" t="inlineStr">
        <is>
          <t>R3</t>
        </is>
      </c>
      <c r="D46" s="74" t="inlineStr">
        <is>
          <t>NG</t>
        </is>
      </c>
      <c r="E46" s="61" t="inlineStr">
        <is>
          <t>S2</t>
        </is>
      </c>
      <c r="F46" s="61" t="inlineStr">
        <is>
          <t>K009</t>
        </is>
      </c>
      <c r="G46" s="64" t="n">
        <v>5.94</v>
      </c>
      <c r="H46" s="65" t="n"/>
      <c r="I46" s="66" t="n"/>
      <c r="J46" s="67">
        <f>VLOOKUP(C46,Recipes!$A$2:$N$4,10,FALSE())</f>
        <v/>
      </c>
      <c r="K46" s="68">
        <f>VLOOKUP(C46,Recipes!$A$2:$N$4,12,FALSE())</f>
        <v/>
      </c>
      <c r="L46" s="67">
        <f>J46-3*K46</f>
        <v/>
      </c>
      <c r="M46" s="67">
        <f>J46+3*K46</f>
        <v/>
      </c>
      <c r="N46" s="61">
        <f>IF(G46="","",IF(AND(G46&gt;=L46,G46&lt;=M46),"OK","NG"))</f>
        <v/>
      </c>
      <c r="O46" s="69">
        <f>IF(N46="","",IF(N46=D46,1,0))</f>
        <v/>
      </c>
      <c r="P46" s="67">
        <f>IF(G46="","",J46-G46)</f>
        <v/>
      </c>
      <c r="Q46" s="67">
        <f>IF(G46="","",ABS(P46-Components!$D$2))</f>
        <v/>
      </c>
      <c r="R46" s="67">
        <f>IF(G46="","",ABS(P46-Components!$D$3))</f>
        <v/>
      </c>
      <c r="S46" s="67">
        <f>IF(G46="","",ABS(P46-Components!$D$4))</f>
        <v/>
      </c>
      <c r="T46" s="67">
        <f>IF(G46="","",ABS(P46-Components!$D$5))</f>
        <v/>
      </c>
      <c r="U46" s="67">
        <f>IF(G46="","",ABS(P46-Components!$D$6))</f>
        <v/>
      </c>
      <c r="V46" s="67">
        <f>IF(G46="","",ABS(P46-Components!$D$7))</f>
        <v/>
      </c>
      <c r="W46" s="61">
        <f>IF(G46="","",IF(N46="OK","NONE",INDEX({"S1","S2","W1","W2","N1","N2"},MATCH(MIN(Q46:V46),Q46:V46,0))))</f>
        <v/>
      </c>
      <c r="X46" s="69">
        <f>IF(G46="","",IF(W46=E46,1,0))</f>
        <v/>
      </c>
    </row>
    <row r="47">
      <c r="A47" s="61" t="n">
        <v>9</v>
      </c>
      <c r="B47" s="62" t="n">
        <v>36</v>
      </c>
      <c r="C47" s="61" t="inlineStr">
        <is>
          <t>R3</t>
        </is>
      </c>
      <c r="D47" s="74" t="inlineStr">
        <is>
          <t>NG</t>
        </is>
      </c>
      <c r="E47" s="61" t="inlineStr">
        <is>
          <t>S2</t>
        </is>
      </c>
      <c r="F47" s="61" t="inlineStr">
        <is>
          <t>K009</t>
        </is>
      </c>
      <c r="G47" s="64" t="n">
        <v>5.87</v>
      </c>
      <c r="H47" s="65" t="n"/>
      <c r="I47" s="66" t="n"/>
      <c r="J47" s="67">
        <f>VLOOKUP(C47,Recipes!$A$2:$N$4,10,FALSE())</f>
        <v/>
      </c>
      <c r="K47" s="68">
        <f>VLOOKUP(C47,Recipes!$A$2:$N$4,12,FALSE())</f>
        <v/>
      </c>
      <c r="L47" s="67">
        <f>J47-3*K47</f>
        <v/>
      </c>
      <c r="M47" s="67">
        <f>J47+3*K47</f>
        <v/>
      </c>
      <c r="N47" s="61">
        <f>IF(G47="","",IF(AND(G47&gt;=L47,G47&lt;=M47),"OK","NG"))</f>
        <v/>
      </c>
      <c r="O47" s="69">
        <f>IF(N47="","",IF(N47=D47,1,0))</f>
        <v/>
      </c>
      <c r="P47" s="67">
        <f>IF(G47="","",J47-G47)</f>
        <v/>
      </c>
      <c r="Q47" s="67">
        <f>IF(G47="","",ABS(P47-Components!$D$2))</f>
        <v/>
      </c>
      <c r="R47" s="67">
        <f>IF(G47="","",ABS(P47-Components!$D$3))</f>
        <v/>
      </c>
      <c r="S47" s="67">
        <f>IF(G47="","",ABS(P47-Components!$D$4))</f>
        <v/>
      </c>
      <c r="T47" s="67">
        <f>IF(G47="","",ABS(P47-Components!$D$5))</f>
        <v/>
      </c>
      <c r="U47" s="67">
        <f>IF(G47="","",ABS(P47-Components!$D$6))</f>
        <v/>
      </c>
      <c r="V47" s="67">
        <f>IF(G47="","",ABS(P47-Components!$D$7))</f>
        <v/>
      </c>
      <c r="W47" s="61">
        <f>IF(G47="","",IF(N47="OK","NONE",INDEX({"S1","S2","W1","W2","N1","N2"},MATCH(MIN(Q47:V47),Q47:V47,0))))</f>
        <v/>
      </c>
      <c r="X47" s="69">
        <f>IF(G47="","",IF(W47=E47,1,0))</f>
        <v/>
      </c>
    </row>
    <row r="48">
      <c r="A48" s="61" t="n">
        <v>9</v>
      </c>
      <c r="B48" s="62" t="n">
        <v>36</v>
      </c>
      <c r="C48" s="61" t="inlineStr">
        <is>
          <t>R3</t>
        </is>
      </c>
      <c r="D48" s="74" t="inlineStr">
        <is>
          <t>NG</t>
        </is>
      </c>
      <c r="E48" s="61" t="inlineStr">
        <is>
          <t>S2</t>
        </is>
      </c>
      <c r="F48" s="61" t="inlineStr">
        <is>
          <t>K009</t>
        </is>
      </c>
      <c r="G48" s="64" t="n">
        <v>5.95</v>
      </c>
      <c r="H48" s="65" t="n"/>
      <c r="I48" s="66" t="n"/>
      <c r="J48" s="67">
        <f>VLOOKUP(C48,Recipes!$A$2:$N$4,10,FALSE())</f>
        <v/>
      </c>
      <c r="K48" s="68">
        <f>VLOOKUP(C48,Recipes!$A$2:$N$4,12,FALSE())</f>
        <v/>
      </c>
      <c r="L48" s="67">
        <f>J48-3*K48</f>
        <v/>
      </c>
      <c r="M48" s="67">
        <f>J48+3*K48</f>
        <v/>
      </c>
      <c r="N48" s="61">
        <f>IF(G48="","",IF(AND(G48&gt;=L48,G48&lt;=M48),"OK","NG"))</f>
        <v/>
      </c>
      <c r="O48" s="69">
        <f>IF(N48="","",IF(N48=D48,1,0))</f>
        <v/>
      </c>
      <c r="P48" s="67">
        <f>IF(G48="","",J48-G48)</f>
        <v/>
      </c>
      <c r="Q48" s="67">
        <f>IF(G48="","",ABS(P48-Components!$D$2))</f>
        <v/>
      </c>
      <c r="R48" s="67">
        <f>IF(G48="","",ABS(P48-Components!$D$3))</f>
        <v/>
      </c>
      <c r="S48" s="67">
        <f>IF(G48="","",ABS(P48-Components!$D$4))</f>
        <v/>
      </c>
      <c r="T48" s="67">
        <f>IF(G48="","",ABS(P48-Components!$D$5))</f>
        <v/>
      </c>
      <c r="U48" s="67">
        <f>IF(G48="","",ABS(P48-Components!$D$6))</f>
        <v/>
      </c>
      <c r="V48" s="67">
        <f>IF(G48="","",ABS(P48-Components!$D$7))</f>
        <v/>
      </c>
      <c r="W48" s="61">
        <f>IF(G48="","",IF(N48="OK","NONE",INDEX({"S1","S2","W1","W2","N1","N2"},MATCH(MIN(Q48:V48),Q48:V48,0))))</f>
        <v/>
      </c>
      <c r="X48" s="69">
        <f>IF(G48="","",IF(W48=E48,1,0))</f>
        <v/>
      </c>
    </row>
    <row r="49">
      <c r="A49" s="61" t="n">
        <v>9</v>
      </c>
      <c r="B49" s="62" t="n">
        <v>36</v>
      </c>
      <c r="C49" s="61" t="inlineStr">
        <is>
          <t>R3</t>
        </is>
      </c>
      <c r="D49" s="74" t="inlineStr">
        <is>
          <t>NG</t>
        </is>
      </c>
      <c r="E49" s="61" t="inlineStr">
        <is>
          <t>S2</t>
        </is>
      </c>
      <c r="F49" s="61" t="inlineStr">
        <is>
          <t>K009</t>
        </is>
      </c>
      <c r="G49" s="64" t="n">
        <v>5.89</v>
      </c>
      <c r="H49" s="65" t="n"/>
      <c r="I49" s="66" t="n"/>
      <c r="J49" s="67">
        <f>VLOOKUP(C49,Recipes!$A$2:$N$4,10,FALSE())</f>
        <v/>
      </c>
      <c r="K49" s="68">
        <f>VLOOKUP(C49,Recipes!$A$2:$N$4,12,FALSE())</f>
        <v/>
      </c>
      <c r="L49" s="67">
        <f>J49-3*K49</f>
        <v/>
      </c>
      <c r="M49" s="67">
        <f>J49+3*K49</f>
        <v/>
      </c>
      <c r="N49" s="61">
        <f>IF(G49="","",IF(AND(G49&gt;=L49,G49&lt;=M49),"OK","NG"))</f>
        <v/>
      </c>
      <c r="O49" s="69">
        <f>IF(N49="","",IF(N49=D49,1,0))</f>
        <v/>
      </c>
      <c r="P49" s="67">
        <f>IF(G49="","",J49-G49)</f>
        <v/>
      </c>
      <c r="Q49" s="67">
        <f>IF(G49="","",ABS(P49-Components!$D$2))</f>
        <v/>
      </c>
      <c r="R49" s="67">
        <f>IF(G49="","",ABS(P49-Components!$D$3))</f>
        <v/>
      </c>
      <c r="S49" s="67">
        <f>IF(G49="","",ABS(P49-Components!$D$4))</f>
        <v/>
      </c>
      <c r="T49" s="67">
        <f>IF(G49="","",ABS(P49-Components!$D$5))</f>
        <v/>
      </c>
      <c r="U49" s="67">
        <f>IF(G49="","",ABS(P49-Components!$D$6))</f>
        <v/>
      </c>
      <c r="V49" s="67">
        <f>IF(G49="","",ABS(P49-Components!$D$7))</f>
        <v/>
      </c>
      <c r="W49" s="61">
        <f>IF(G49="","",IF(N49="OK","NONE",INDEX({"S1","S2","W1","W2","N1","N2"},MATCH(MIN(Q49:V49),Q49:V49,0))))</f>
        <v/>
      </c>
      <c r="X49" s="69">
        <f>IF(G49="","",IF(W49=E49,1,0))</f>
        <v/>
      </c>
    </row>
    <row r="50">
      <c r="A50" s="61" t="n">
        <v>9</v>
      </c>
      <c r="B50" s="62" t="n">
        <v>36</v>
      </c>
      <c r="C50" s="61" t="inlineStr">
        <is>
          <t>R3</t>
        </is>
      </c>
      <c r="D50" s="74" t="inlineStr">
        <is>
          <t>NG</t>
        </is>
      </c>
      <c r="E50" s="61" t="inlineStr">
        <is>
          <t>S2</t>
        </is>
      </c>
      <c r="F50" s="61" t="inlineStr">
        <is>
          <t>K009</t>
        </is>
      </c>
      <c r="G50" s="64" t="n">
        <v>5.88</v>
      </c>
      <c r="H50" s="65" t="n"/>
      <c r="I50" s="66" t="n"/>
      <c r="J50" s="67">
        <f>VLOOKUP(C50,Recipes!$A$2:$N$4,10,FALSE())</f>
        <v/>
      </c>
      <c r="K50" s="68">
        <f>VLOOKUP(C50,Recipes!$A$2:$N$4,12,FALSE())</f>
        <v/>
      </c>
      <c r="L50" s="67">
        <f>J50-3*K50</f>
        <v/>
      </c>
      <c r="M50" s="67">
        <f>J50+3*K50</f>
        <v/>
      </c>
      <c r="N50" s="61">
        <f>IF(G50="","",IF(AND(G50&gt;=L50,G50&lt;=M50),"OK","NG"))</f>
        <v/>
      </c>
      <c r="O50" s="69">
        <f>IF(N50="","",IF(N50=D50,1,0))</f>
        <v/>
      </c>
      <c r="P50" s="67">
        <f>IF(G50="","",J50-G50)</f>
        <v/>
      </c>
      <c r="Q50" s="67">
        <f>IF(G50="","",ABS(P50-Components!$D$2))</f>
        <v/>
      </c>
      <c r="R50" s="67">
        <f>IF(G50="","",ABS(P50-Components!$D$3))</f>
        <v/>
      </c>
      <c r="S50" s="67">
        <f>IF(G50="","",ABS(P50-Components!$D$4))</f>
        <v/>
      </c>
      <c r="T50" s="67">
        <f>IF(G50="","",ABS(P50-Components!$D$5))</f>
        <v/>
      </c>
      <c r="U50" s="67">
        <f>IF(G50="","",ABS(P50-Components!$D$6))</f>
        <v/>
      </c>
      <c r="V50" s="67">
        <f>IF(G50="","",ABS(P50-Components!$D$7))</f>
        <v/>
      </c>
      <c r="W50" s="61">
        <f>IF(G50="","",IF(N50="OK","NONE",INDEX({"S1","S2","W1","W2","N1","N2"},MATCH(MIN(Q50:V50),Q50:V50,0))))</f>
        <v/>
      </c>
      <c r="X50" s="69">
        <f>IF(G50="","",IF(W50=E50,1,0))</f>
        <v/>
      </c>
    </row>
    <row r="51">
      <c r="A51" s="61" t="n">
        <v>9</v>
      </c>
      <c r="B51" s="62" t="n">
        <v>36</v>
      </c>
      <c r="C51" s="61" t="inlineStr">
        <is>
          <t>R3</t>
        </is>
      </c>
      <c r="D51" s="74" t="inlineStr">
        <is>
          <t>NG</t>
        </is>
      </c>
      <c r="E51" s="61" t="inlineStr">
        <is>
          <t>S2</t>
        </is>
      </c>
      <c r="F51" s="61" t="inlineStr">
        <is>
          <t>K009</t>
        </is>
      </c>
      <c r="G51" s="64" t="n">
        <v>5.94</v>
      </c>
      <c r="H51" s="65" t="n"/>
      <c r="I51" s="66" t="n"/>
      <c r="J51" s="67">
        <f>VLOOKUP(C51,Recipes!$A$2:$N$4,10,FALSE())</f>
        <v/>
      </c>
      <c r="K51" s="68">
        <f>VLOOKUP(C51,Recipes!$A$2:$N$4,12,FALSE())</f>
        <v/>
      </c>
      <c r="L51" s="67">
        <f>J51-3*K51</f>
        <v/>
      </c>
      <c r="M51" s="67">
        <f>J51+3*K51</f>
        <v/>
      </c>
      <c r="N51" s="61">
        <f>IF(G51="","",IF(AND(G51&gt;=L51,G51&lt;=M51),"OK","NG"))</f>
        <v/>
      </c>
      <c r="O51" s="69">
        <f>IF(N51="","",IF(N51=D51,1,0))</f>
        <v/>
      </c>
      <c r="P51" s="67">
        <f>IF(G51="","",J51-G51)</f>
        <v/>
      </c>
      <c r="Q51" s="67">
        <f>IF(G51="","",ABS(P51-Components!$D$2))</f>
        <v/>
      </c>
      <c r="R51" s="67">
        <f>IF(G51="","",ABS(P51-Components!$D$3))</f>
        <v/>
      </c>
      <c r="S51" s="67">
        <f>IF(G51="","",ABS(P51-Components!$D$4))</f>
        <v/>
      </c>
      <c r="T51" s="67">
        <f>IF(G51="","",ABS(P51-Components!$D$5))</f>
        <v/>
      </c>
      <c r="U51" s="67">
        <f>IF(G51="","",ABS(P51-Components!$D$6))</f>
        <v/>
      </c>
      <c r="V51" s="67">
        <f>IF(G51="","",ABS(P51-Components!$D$7))</f>
        <v/>
      </c>
      <c r="W51" s="61">
        <f>IF(G51="","",IF(N51="OK","NONE",INDEX({"S1","S2","W1","W2","N1","N2"},MATCH(MIN(Q51:V51),Q51:V51,0))))</f>
        <v/>
      </c>
      <c r="X51" s="69">
        <f>IF(G51="","",IF(W51=E51,1,0))</f>
        <v/>
      </c>
    </row>
    <row r="52">
      <c r="A52" s="61" t="n">
        <v>9</v>
      </c>
      <c r="B52" s="62" t="n">
        <v>36</v>
      </c>
      <c r="C52" s="61" t="inlineStr">
        <is>
          <t>R3</t>
        </is>
      </c>
      <c r="D52" s="74" t="inlineStr">
        <is>
          <t>NG</t>
        </is>
      </c>
      <c r="E52" s="61" t="inlineStr">
        <is>
          <t>S2</t>
        </is>
      </c>
      <c r="F52" s="61" t="inlineStr">
        <is>
          <t>K009</t>
        </is>
      </c>
      <c r="G52" s="64" t="n">
        <v>5.93</v>
      </c>
      <c r="H52" s="65" t="n"/>
      <c r="I52" s="66" t="n"/>
      <c r="J52" s="67">
        <f>VLOOKUP(C52,Recipes!$A$2:$N$4,10,FALSE())</f>
        <v/>
      </c>
      <c r="K52" s="68">
        <f>VLOOKUP(C52,Recipes!$A$2:$N$4,12,FALSE())</f>
        <v/>
      </c>
      <c r="L52" s="67">
        <f>J52-3*K52</f>
        <v/>
      </c>
      <c r="M52" s="67">
        <f>J52+3*K52</f>
        <v/>
      </c>
      <c r="N52" s="61">
        <f>IF(G52="","",IF(AND(G52&gt;=L52,G52&lt;=M52),"OK","NG"))</f>
        <v/>
      </c>
      <c r="O52" s="69">
        <f>IF(N52="","",IF(N52=D52,1,0))</f>
        <v/>
      </c>
      <c r="P52" s="67">
        <f>IF(G52="","",J52-G52)</f>
        <v/>
      </c>
      <c r="Q52" s="67">
        <f>IF(G52="","",ABS(P52-Components!$D$2))</f>
        <v/>
      </c>
      <c r="R52" s="67">
        <f>IF(G52="","",ABS(P52-Components!$D$3))</f>
        <v/>
      </c>
      <c r="S52" s="67">
        <f>IF(G52="","",ABS(P52-Components!$D$4))</f>
        <v/>
      </c>
      <c r="T52" s="67">
        <f>IF(G52="","",ABS(P52-Components!$D$5))</f>
        <v/>
      </c>
      <c r="U52" s="67">
        <f>IF(G52="","",ABS(P52-Components!$D$6))</f>
        <v/>
      </c>
      <c r="V52" s="67">
        <f>IF(G52="","",ABS(P52-Components!$D$7))</f>
        <v/>
      </c>
      <c r="W52" s="61">
        <f>IF(G52="","",IF(N52="OK","NONE",INDEX({"S1","S2","W1","W2","N1","N2"},MATCH(MIN(Q52:V52),Q52:V52,0))))</f>
        <v/>
      </c>
      <c r="X52" s="69">
        <f>IF(G52="","",IF(W52=E52,1,0))</f>
        <v/>
      </c>
    </row>
    <row r="53">
      <c r="A53" s="61" t="n">
        <v>9</v>
      </c>
      <c r="B53" s="62" t="n">
        <v>36</v>
      </c>
      <c r="C53" s="61" t="inlineStr">
        <is>
          <t>R3</t>
        </is>
      </c>
      <c r="D53" s="74" t="inlineStr">
        <is>
          <t>NG</t>
        </is>
      </c>
      <c r="E53" s="61" t="inlineStr">
        <is>
          <t>S2</t>
        </is>
      </c>
      <c r="F53" s="61" t="inlineStr">
        <is>
          <t>K009</t>
        </is>
      </c>
      <c r="G53" s="64" t="n">
        <v>5.99</v>
      </c>
      <c r="H53" s="65" t="n"/>
      <c r="I53" s="66" t="n"/>
      <c r="J53" s="67">
        <f>VLOOKUP(C53,Recipes!$A$2:$N$4,10,FALSE())</f>
        <v/>
      </c>
      <c r="K53" s="68">
        <f>VLOOKUP(C53,Recipes!$A$2:$N$4,12,FALSE())</f>
        <v/>
      </c>
      <c r="L53" s="67">
        <f>J53-3*K53</f>
        <v/>
      </c>
      <c r="M53" s="67">
        <f>J53+3*K53</f>
        <v/>
      </c>
      <c r="N53" s="61">
        <f>IF(G53="","",IF(AND(G53&gt;=L53,G53&lt;=M53),"OK","NG"))</f>
        <v/>
      </c>
      <c r="O53" s="69">
        <f>IF(N53="","",IF(N53=D53,1,0))</f>
        <v/>
      </c>
      <c r="P53" s="67">
        <f>IF(G53="","",J53-G53)</f>
        <v/>
      </c>
      <c r="Q53" s="67">
        <f>IF(G53="","",ABS(P53-Components!$D$2))</f>
        <v/>
      </c>
      <c r="R53" s="67">
        <f>IF(G53="","",ABS(P53-Components!$D$3))</f>
        <v/>
      </c>
      <c r="S53" s="67">
        <f>IF(G53="","",ABS(P53-Components!$D$4))</f>
        <v/>
      </c>
      <c r="T53" s="67">
        <f>IF(G53="","",ABS(P53-Components!$D$5))</f>
        <v/>
      </c>
      <c r="U53" s="67">
        <f>IF(G53="","",ABS(P53-Components!$D$6))</f>
        <v/>
      </c>
      <c r="V53" s="67">
        <f>IF(G53="","",ABS(P53-Components!$D$7))</f>
        <v/>
      </c>
      <c r="W53" s="61">
        <f>IF(G53="","",IF(N53="OK","NONE",INDEX({"S1","S2","W1","W2","N1","N2"},MATCH(MIN(Q53:V53),Q53:V53,0))))</f>
        <v/>
      </c>
      <c r="X53" s="69">
        <f>IF(G53="","",IF(W53=E53,1,0))</f>
        <v/>
      </c>
    </row>
    <row r="54">
      <c r="A54" s="61" t="n">
        <v>9</v>
      </c>
      <c r="B54" s="62" t="n">
        <v>36</v>
      </c>
      <c r="C54" s="61" t="inlineStr">
        <is>
          <t>R3</t>
        </is>
      </c>
      <c r="D54" s="74" t="inlineStr">
        <is>
          <t>NG</t>
        </is>
      </c>
      <c r="E54" s="61" t="inlineStr">
        <is>
          <t>S2</t>
        </is>
      </c>
      <c r="F54" s="61" t="inlineStr">
        <is>
          <t>K009</t>
        </is>
      </c>
      <c r="G54" s="64" t="n">
        <v>5.92</v>
      </c>
      <c r="H54" s="65" t="n"/>
      <c r="I54" s="66" t="n"/>
      <c r="J54" s="67">
        <f>VLOOKUP(C54,Recipes!$A$2:$N$4,10,FALSE())</f>
        <v/>
      </c>
      <c r="K54" s="68">
        <f>VLOOKUP(C54,Recipes!$A$2:$N$4,12,FALSE())</f>
        <v/>
      </c>
      <c r="L54" s="67">
        <f>J54-3*K54</f>
        <v/>
      </c>
      <c r="M54" s="67">
        <f>J54+3*K54</f>
        <v/>
      </c>
      <c r="N54" s="61">
        <f>IF(G54="","",IF(AND(G54&gt;=L54,G54&lt;=M54),"OK","NG"))</f>
        <v/>
      </c>
      <c r="O54" s="69">
        <f>IF(N54="","",IF(N54=D54,1,0))</f>
        <v/>
      </c>
      <c r="P54" s="67">
        <f>IF(G54="","",J54-G54)</f>
        <v/>
      </c>
      <c r="Q54" s="67">
        <f>IF(G54="","",ABS(P54-Components!$D$2))</f>
        <v/>
      </c>
      <c r="R54" s="67">
        <f>IF(G54="","",ABS(P54-Components!$D$3))</f>
        <v/>
      </c>
      <c r="S54" s="67">
        <f>IF(G54="","",ABS(P54-Components!$D$4))</f>
        <v/>
      </c>
      <c r="T54" s="67">
        <f>IF(G54="","",ABS(P54-Components!$D$5))</f>
        <v/>
      </c>
      <c r="U54" s="67">
        <f>IF(G54="","",ABS(P54-Components!$D$6))</f>
        <v/>
      </c>
      <c r="V54" s="67">
        <f>IF(G54="","",ABS(P54-Components!$D$7))</f>
        <v/>
      </c>
      <c r="W54" s="61">
        <f>IF(G54="","",IF(N54="OK","NONE",INDEX({"S1","S2","W1","W2","N1","N2"},MATCH(MIN(Q54:V54),Q54:V54,0))))</f>
        <v/>
      </c>
      <c r="X54" s="69">
        <f>IF(G54="","",IF(W54=E54,1,0))</f>
        <v/>
      </c>
    </row>
    <row r="55">
      <c r="A55" s="61" t="n">
        <v>9</v>
      </c>
      <c r="B55" s="62" t="n">
        <v>36</v>
      </c>
      <c r="C55" s="61" t="inlineStr">
        <is>
          <t>R3</t>
        </is>
      </c>
      <c r="D55" s="74" t="inlineStr">
        <is>
          <t>NG</t>
        </is>
      </c>
      <c r="E55" s="61" t="inlineStr">
        <is>
          <t>S2</t>
        </is>
      </c>
      <c r="F55" s="61" t="inlineStr">
        <is>
          <t>K009</t>
        </is>
      </c>
      <c r="G55" s="64" t="n">
        <v>5.78</v>
      </c>
      <c r="H55" s="65" t="n"/>
      <c r="I55" s="66" t="n"/>
      <c r="J55" s="67">
        <f>VLOOKUP(C55,Recipes!$A$2:$N$4,10,FALSE())</f>
        <v/>
      </c>
      <c r="K55" s="68">
        <f>VLOOKUP(C55,Recipes!$A$2:$N$4,12,FALSE())</f>
        <v/>
      </c>
      <c r="L55" s="67">
        <f>J55-3*K55</f>
        <v/>
      </c>
      <c r="M55" s="67">
        <f>J55+3*K55</f>
        <v/>
      </c>
      <c r="N55" s="61">
        <f>IF(G55="","",IF(AND(G55&gt;=L55,G55&lt;=M55),"OK","NG"))</f>
        <v/>
      </c>
      <c r="O55" s="69">
        <f>IF(N55="","",IF(N55=D55,1,0))</f>
        <v/>
      </c>
      <c r="P55" s="67">
        <f>IF(G55="","",J55-G55)</f>
        <v/>
      </c>
      <c r="Q55" s="67">
        <f>IF(G55="","",ABS(P55-Components!$D$2))</f>
        <v/>
      </c>
      <c r="R55" s="67">
        <f>IF(G55="","",ABS(P55-Components!$D$3))</f>
        <v/>
      </c>
      <c r="S55" s="67">
        <f>IF(G55="","",ABS(P55-Components!$D$4))</f>
        <v/>
      </c>
      <c r="T55" s="67">
        <f>IF(G55="","",ABS(P55-Components!$D$5))</f>
        <v/>
      </c>
      <c r="U55" s="67">
        <f>IF(G55="","",ABS(P55-Components!$D$6))</f>
        <v/>
      </c>
      <c r="V55" s="67">
        <f>IF(G55="","",ABS(P55-Components!$D$7))</f>
        <v/>
      </c>
      <c r="W55" s="61">
        <f>IF(G55="","",IF(N55="OK","NONE",INDEX({"S1","S2","W1","W2","N1","N2"},MATCH(MIN(Q55:V55),Q55:V55,0))))</f>
        <v/>
      </c>
      <c r="X55" s="69">
        <f>IF(G55="","",IF(W55=E55,1,0))</f>
        <v/>
      </c>
    </row>
    <row r="56">
      <c r="A56" s="61" t="n">
        <v>9</v>
      </c>
      <c r="B56" s="62" t="n">
        <v>36</v>
      </c>
      <c r="C56" s="61" t="inlineStr">
        <is>
          <t>R3</t>
        </is>
      </c>
      <c r="D56" s="74" t="inlineStr">
        <is>
          <t>NG</t>
        </is>
      </c>
      <c r="E56" s="61" t="inlineStr">
        <is>
          <t>S2</t>
        </is>
      </c>
      <c r="F56" s="61" t="inlineStr">
        <is>
          <t>K009</t>
        </is>
      </c>
      <c r="G56" s="64" t="n">
        <v>5.95</v>
      </c>
      <c r="H56" s="65" t="n"/>
      <c r="I56" s="66" t="n"/>
      <c r="J56" s="67">
        <f>VLOOKUP(C56,Recipes!$A$2:$N$4,10,FALSE())</f>
        <v/>
      </c>
      <c r="K56" s="68">
        <f>VLOOKUP(C56,Recipes!$A$2:$N$4,12,FALSE())</f>
        <v/>
      </c>
      <c r="L56" s="67">
        <f>J56-3*K56</f>
        <v/>
      </c>
      <c r="M56" s="67">
        <f>J56+3*K56</f>
        <v/>
      </c>
      <c r="N56" s="61">
        <f>IF(G56="","",IF(AND(G56&gt;=L56,G56&lt;=M56),"OK","NG"))</f>
        <v/>
      </c>
      <c r="O56" s="69">
        <f>IF(N56="","",IF(N56=D56,1,0))</f>
        <v/>
      </c>
      <c r="P56" s="67">
        <f>IF(G56="","",J56-G56)</f>
        <v/>
      </c>
      <c r="Q56" s="67">
        <f>IF(G56="","",ABS(P56-Components!$D$2))</f>
        <v/>
      </c>
      <c r="R56" s="67">
        <f>IF(G56="","",ABS(P56-Components!$D$3))</f>
        <v/>
      </c>
      <c r="S56" s="67">
        <f>IF(G56="","",ABS(P56-Components!$D$4))</f>
        <v/>
      </c>
      <c r="T56" s="67">
        <f>IF(G56="","",ABS(P56-Components!$D$5))</f>
        <v/>
      </c>
      <c r="U56" s="67">
        <f>IF(G56="","",ABS(P56-Components!$D$6))</f>
        <v/>
      </c>
      <c r="V56" s="67">
        <f>IF(G56="","",ABS(P56-Components!$D$7))</f>
        <v/>
      </c>
      <c r="W56" s="61">
        <f>IF(G56="","",IF(N56="OK","NONE",INDEX({"S1","S2","W1","W2","N1","N2"},MATCH(MIN(Q56:V56),Q56:V56,0))))</f>
        <v/>
      </c>
      <c r="X56" s="69">
        <f>IF(G56="","",IF(W56=E56,1,0))</f>
        <v/>
      </c>
    </row>
    <row r="57">
      <c r="A57" s="61" t="n">
        <v>9</v>
      </c>
      <c r="B57" s="62" t="n">
        <v>36</v>
      </c>
      <c r="C57" s="61" t="inlineStr">
        <is>
          <t>R3</t>
        </is>
      </c>
      <c r="D57" s="74" t="inlineStr">
        <is>
          <t>NG</t>
        </is>
      </c>
      <c r="E57" s="61" t="inlineStr">
        <is>
          <t>S2</t>
        </is>
      </c>
      <c r="F57" s="61" t="inlineStr">
        <is>
          <t>K009</t>
        </is>
      </c>
      <c r="G57" s="64" t="n">
        <v>5.92</v>
      </c>
      <c r="H57" s="65" t="n"/>
      <c r="I57" s="66" t="n"/>
      <c r="J57" s="67">
        <f>VLOOKUP(C57,Recipes!$A$2:$N$4,10,FALSE())</f>
        <v/>
      </c>
      <c r="K57" s="68">
        <f>VLOOKUP(C57,Recipes!$A$2:$N$4,12,FALSE())</f>
        <v/>
      </c>
      <c r="L57" s="67">
        <f>J57-3*K57</f>
        <v/>
      </c>
      <c r="M57" s="67">
        <f>J57+3*K57</f>
        <v/>
      </c>
      <c r="N57" s="61">
        <f>IF(G57="","",IF(AND(G57&gt;=L57,G57&lt;=M57),"OK","NG"))</f>
        <v/>
      </c>
      <c r="O57" s="69">
        <f>IF(N57="","",IF(N57=D57,1,0))</f>
        <v/>
      </c>
      <c r="P57" s="67">
        <f>IF(G57="","",J57-G57)</f>
        <v/>
      </c>
      <c r="Q57" s="67">
        <f>IF(G57="","",ABS(P57-Components!$D$2))</f>
        <v/>
      </c>
      <c r="R57" s="67">
        <f>IF(G57="","",ABS(P57-Components!$D$3))</f>
        <v/>
      </c>
      <c r="S57" s="67">
        <f>IF(G57="","",ABS(P57-Components!$D$4))</f>
        <v/>
      </c>
      <c r="T57" s="67">
        <f>IF(G57="","",ABS(P57-Components!$D$5))</f>
        <v/>
      </c>
      <c r="U57" s="67">
        <f>IF(G57="","",ABS(P57-Components!$D$6))</f>
        <v/>
      </c>
      <c r="V57" s="67">
        <f>IF(G57="","",ABS(P57-Components!$D$7))</f>
        <v/>
      </c>
      <c r="W57" s="61">
        <f>IF(G57="","",IF(N57="OK","NONE",INDEX({"S1","S2","W1","W2","N1","N2"},MATCH(MIN(Q57:V57),Q57:V57,0))))</f>
        <v/>
      </c>
      <c r="X57" s="69">
        <f>IF(G57="","",IF(W57=E57,1,0))</f>
        <v/>
      </c>
    </row>
    <row r="58">
      <c r="A58" s="61" t="n">
        <v>9</v>
      </c>
      <c r="B58" s="62" t="n">
        <v>36</v>
      </c>
      <c r="C58" s="61" t="inlineStr">
        <is>
          <t>R3</t>
        </is>
      </c>
      <c r="D58" s="74" t="inlineStr">
        <is>
          <t>NG</t>
        </is>
      </c>
      <c r="E58" s="61" t="inlineStr">
        <is>
          <t>S2</t>
        </is>
      </c>
      <c r="F58" s="61" t="inlineStr">
        <is>
          <t>K009</t>
        </is>
      </c>
      <c r="G58" s="64" t="n">
        <v>5.94</v>
      </c>
      <c r="H58" s="65" t="n"/>
      <c r="I58" s="66" t="n"/>
      <c r="J58" s="67">
        <f>VLOOKUP(C58,Recipes!$A$2:$N$4,10,FALSE())</f>
        <v/>
      </c>
      <c r="K58" s="68">
        <f>VLOOKUP(C58,Recipes!$A$2:$N$4,12,FALSE())</f>
        <v/>
      </c>
      <c r="L58" s="67">
        <f>J58-3*K58</f>
        <v/>
      </c>
      <c r="M58" s="67">
        <f>J58+3*K58</f>
        <v/>
      </c>
      <c r="N58" s="61">
        <f>IF(G58="","",IF(AND(G58&gt;=L58,G58&lt;=M58),"OK","NG"))</f>
        <v/>
      </c>
      <c r="O58" s="69">
        <f>IF(N58="","",IF(N58=D58,1,0))</f>
        <v/>
      </c>
      <c r="P58" s="67">
        <f>IF(G58="","",J58-G58)</f>
        <v/>
      </c>
      <c r="Q58" s="67">
        <f>IF(G58="","",ABS(P58-Components!$D$2))</f>
        <v/>
      </c>
      <c r="R58" s="67">
        <f>IF(G58="","",ABS(P58-Components!$D$3))</f>
        <v/>
      </c>
      <c r="S58" s="67">
        <f>IF(G58="","",ABS(P58-Components!$D$4))</f>
        <v/>
      </c>
      <c r="T58" s="67">
        <f>IF(G58="","",ABS(P58-Components!$D$5))</f>
        <v/>
      </c>
      <c r="U58" s="67">
        <f>IF(G58="","",ABS(P58-Components!$D$6))</f>
        <v/>
      </c>
      <c r="V58" s="67">
        <f>IF(G58="","",ABS(P58-Components!$D$7))</f>
        <v/>
      </c>
      <c r="W58" s="61">
        <f>IF(G58="","",IF(N58="OK","NONE",INDEX({"S1","S2","W1","W2","N1","N2"},MATCH(MIN(Q58:V58),Q58:V58,0))))</f>
        <v/>
      </c>
      <c r="X58" s="69">
        <f>IF(G58="","",IF(W58=E58,1,0))</f>
        <v/>
      </c>
    </row>
    <row r="59">
      <c r="A59" s="61" t="n">
        <v>9</v>
      </c>
      <c r="B59" s="62" t="n">
        <v>36</v>
      </c>
      <c r="C59" s="61" t="inlineStr">
        <is>
          <t>R3</t>
        </is>
      </c>
      <c r="D59" s="74" t="inlineStr">
        <is>
          <t>NG</t>
        </is>
      </c>
      <c r="E59" s="61" t="inlineStr">
        <is>
          <t>S2</t>
        </is>
      </c>
      <c r="F59" s="61" t="inlineStr">
        <is>
          <t>K009</t>
        </is>
      </c>
      <c r="G59" s="64" t="n">
        <v>5.9</v>
      </c>
      <c r="H59" s="65" t="n"/>
      <c r="I59" s="66" t="n"/>
      <c r="J59" s="67">
        <f>VLOOKUP(C59,Recipes!$A$2:$N$4,10,FALSE())</f>
        <v/>
      </c>
      <c r="K59" s="68">
        <f>VLOOKUP(C59,Recipes!$A$2:$N$4,12,FALSE())</f>
        <v/>
      </c>
      <c r="L59" s="67">
        <f>J59-3*K59</f>
        <v/>
      </c>
      <c r="M59" s="67">
        <f>J59+3*K59</f>
        <v/>
      </c>
      <c r="N59" s="61">
        <f>IF(G59="","",IF(AND(G59&gt;=L59,G59&lt;=M59),"OK","NG"))</f>
        <v/>
      </c>
      <c r="O59" s="69">
        <f>IF(N59="","",IF(N59=D59,1,0))</f>
        <v/>
      </c>
      <c r="P59" s="67">
        <f>IF(G59="","",J59-G59)</f>
        <v/>
      </c>
      <c r="Q59" s="67">
        <f>IF(G59="","",ABS(P59-Components!$D$2))</f>
        <v/>
      </c>
      <c r="R59" s="67">
        <f>IF(G59="","",ABS(P59-Components!$D$3))</f>
        <v/>
      </c>
      <c r="S59" s="67">
        <f>IF(G59="","",ABS(P59-Components!$D$4))</f>
        <v/>
      </c>
      <c r="T59" s="67">
        <f>IF(G59="","",ABS(P59-Components!$D$5))</f>
        <v/>
      </c>
      <c r="U59" s="67">
        <f>IF(G59="","",ABS(P59-Components!$D$6))</f>
        <v/>
      </c>
      <c r="V59" s="67">
        <f>IF(G59="","",ABS(P59-Components!$D$7))</f>
        <v/>
      </c>
      <c r="W59" s="61">
        <f>IF(G59="","",IF(N59="OK","NONE",INDEX({"S1","S2","W1","W2","N1","N2"},MATCH(MIN(Q59:V59),Q59:V59,0))))</f>
        <v/>
      </c>
      <c r="X59" s="69">
        <f>IF(G59="","",IF(W59=E59,1,0))</f>
        <v/>
      </c>
    </row>
    <row r="60">
      <c r="A60" s="61" t="n">
        <v>9</v>
      </c>
      <c r="B60" s="62" t="n">
        <v>36</v>
      </c>
      <c r="C60" s="61" t="inlineStr">
        <is>
          <t>R3</t>
        </is>
      </c>
      <c r="D60" s="74" t="inlineStr">
        <is>
          <t>NG</t>
        </is>
      </c>
      <c r="E60" s="61" t="inlineStr">
        <is>
          <t>S2</t>
        </is>
      </c>
      <c r="F60" s="61" t="inlineStr">
        <is>
          <t>K009</t>
        </is>
      </c>
      <c r="G60" s="64" t="n">
        <v>5.92</v>
      </c>
      <c r="H60" s="65" t="n"/>
      <c r="I60" s="66" t="n"/>
      <c r="J60" s="67">
        <f>VLOOKUP(C60,Recipes!$A$2:$N$4,10,FALSE())</f>
        <v/>
      </c>
      <c r="K60" s="68">
        <f>VLOOKUP(C60,Recipes!$A$2:$N$4,12,FALSE())</f>
        <v/>
      </c>
      <c r="L60" s="67">
        <f>J60-3*K60</f>
        <v/>
      </c>
      <c r="M60" s="67">
        <f>J60+3*K60</f>
        <v/>
      </c>
      <c r="N60" s="61">
        <f>IF(G60="","",IF(AND(G60&gt;=L60,G60&lt;=M60),"OK","NG"))</f>
        <v/>
      </c>
      <c r="O60" s="69">
        <f>IF(N60="","",IF(N60=D60,1,0))</f>
        <v/>
      </c>
      <c r="P60" s="67">
        <f>IF(G60="","",J60-G60)</f>
        <v/>
      </c>
      <c r="Q60" s="67">
        <f>IF(G60="","",ABS(P60-Components!$D$2))</f>
        <v/>
      </c>
      <c r="R60" s="67">
        <f>IF(G60="","",ABS(P60-Components!$D$3))</f>
        <v/>
      </c>
      <c r="S60" s="67">
        <f>IF(G60="","",ABS(P60-Components!$D$4))</f>
        <v/>
      </c>
      <c r="T60" s="67">
        <f>IF(G60="","",ABS(P60-Components!$D$5))</f>
        <v/>
      </c>
      <c r="U60" s="67">
        <f>IF(G60="","",ABS(P60-Components!$D$6))</f>
        <v/>
      </c>
      <c r="V60" s="67">
        <f>IF(G60="","",ABS(P60-Components!$D$7))</f>
        <v/>
      </c>
      <c r="W60" s="61">
        <f>IF(G60="","",IF(N60="OK","NONE",INDEX({"S1","S2","W1","W2","N1","N2"},MATCH(MIN(Q60:V60),Q60:V60,0))))</f>
        <v/>
      </c>
      <c r="X60" s="69">
        <f>IF(G60="","",IF(W60=E60,1,0))</f>
        <v/>
      </c>
    </row>
    <row r="61">
      <c r="A61" s="61" t="n">
        <v>9</v>
      </c>
      <c r="B61" s="62" t="n">
        <v>36</v>
      </c>
      <c r="C61" s="61" t="inlineStr">
        <is>
          <t>R3</t>
        </is>
      </c>
      <c r="D61" s="74" t="inlineStr">
        <is>
          <t>NG</t>
        </is>
      </c>
      <c r="E61" s="61" t="inlineStr">
        <is>
          <t>S2</t>
        </is>
      </c>
      <c r="F61" s="61" t="inlineStr">
        <is>
          <t>K009</t>
        </is>
      </c>
      <c r="G61" s="64" t="n">
        <v>5.4</v>
      </c>
      <c r="H61" s="65" t="n"/>
      <c r="I61" s="66" t="n"/>
      <c r="J61" s="67">
        <f>VLOOKUP(C61,Recipes!$A$2:$N$4,10,FALSE())</f>
        <v/>
      </c>
      <c r="K61" s="68">
        <f>VLOOKUP(C61,Recipes!$A$2:$N$4,12,FALSE())</f>
        <v/>
      </c>
      <c r="L61" s="67">
        <f>J61-3*K61</f>
        <v/>
      </c>
      <c r="M61" s="67">
        <f>J61+3*K61</f>
        <v/>
      </c>
      <c r="N61" s="61">
        <f>IF(G61="","",IF(AND(G61&gt;=L61,G61&lt;=M61),"OK","NG"))</f>
        <v/>
      </c>
      <c r="O61" s="69">
        <f>IF(N61="","",IF(N61=D61,1,0))</f>
        <v/>
      </c>
      <c r="P61" s="67">
        <f>IF(G61="","",J61-G61)</f>
        <v/>
      </c>
      <c r="Q61" s="67">
        <f>IF(G61="","",ABS(P61-Components!$D$2))</f>
        <v/>
      </c>
      <c r="R61" s="72">
        <f>IF(G61="","",ABS(P61-Components!$D$3))</f>
        <v/>
      </c>
      <c r="S61" s="67">
        <f>IF(G61="","",ABS(P61-Components!$D$4))</f>
        <v/>
      </c>
      <c r="T61" s="72">
        <f>IF(G61="","",ABS(P61-Components!$D$5))</f>
        <v/>
      </c>
      <c r="U61" s="67">
        <f>IF(G61="","",ABS(P61-Components!$D$6))</f>
        <v/>
      </c>
      <c r="V61" s="67">
        <f>IF(G61="","",ABS(P61-Components!$D$7))</f>
        <v/>
      </c>
      <c r="W61" s="61">
        <f>IF(G61="","",IF(N61="OK","NONE",INDEX({"S1","S2","W1","W2","N1","N2"},MATCH(MIN(Q61:V61),Q61:V61,0))))</f>
        <v/>
      </c>
      <c r="X61" s="71">
        <f>IF(G61="","",IF(W61=E61,1,0))</f>
        <v/>
      </c>
    </row>
    <row r="62">
      <c r="A62" s="61" t="n">
        <v>9</v>
      </c>
      <c r="B62" s="62" t="n">
        <v>36</v>
      </c>
      <c r="C62" s="61" t="inlineStr">
        <is>
          <t>R3</t>
        </is>
      </c>
      <c r="D62" s="74" t="inlineStr">
        <is>
          <t>NG</t>
        </is>
      </c>
      <c r="E62" s="61" t="inlineStr">
        <is>
          <t>S2</t>
        </is>
      </c>
      <c r="F62" s="61" t="inlineStr">
        <is>
          <t>K009</t>
        </is>
      </c>
      <c r="G62" s="64" t="n">
        <v>5.8</v>
      </c>
      <c r="H62" s="65" t="n"/>
      <c r="I62" s="66" t="n"/>
      <c r="J62" s="67">
        <f>VLOOKUP(C62,Recipes!$A$2:$N$4,10,FALSE())</f>
        <v/>
      </c>
      <c r="K62" s="68">
        <f>VLOOKUP(C62,Recipes!$A$2:$N$4,12,FALSE())</f>
        <v/>
      </c>
      <c r="L62" s="67">
        <f>J62-3*K62</f>
        <v/>
      </c>
      <c r="M62" s="67">
        <f>J62+3*K62</f>
        <v/>
      </c>
      <c r="N62" s="61">
        <f>IF(G62="","",IF(AND(G62&gt;=L62,G62&lt;=M62),"OK","NG"))</f>
        <v/>
      </c>
      <c r="O62" s="69">
        <f>IF(N62="","",IF(N62=D62,1,0))</f>
        <v/>
      </c>
      <c r="P62" s="67">
        <f>IF(G62="","",J62-G62)</f>
        <v/>
      </c>
      <c r="Q62" s="67">
        <f>IF(G62="","",ABS(P62-Components!$D$2))</f>
        <v/>
      </c>
      <c r="R62" s="67">
        <f>IF(G62="","",ABS(P62-Components!$D$3))</f>
        <v/>
      </c>
      <c r="S62" s="67">
        <f>IF(G62="","",ABS(P62-Components!$D$4))</f>
        <v/>
      </c>
      <c r="T62" s="67">
        <f>IF(G62="","",ABS(P62-Components!$D$5))</f>
        <v/>
      </c>
      <c r="U62" s="67">
        <f>IF(G62="","",ABS(P62-Components!$D$6))</f>
        <v/>
      </c>
      <c r="V62" s="67">
        <f>IF(G62="","",ABS(P62-Components!$D$7))</f>
        <v/>
      </c>
      <c r="W62" s="61">
        <f>IF(G62="","",IF(N62="OK","NONE",INDEX({"S1","S2","W1","W2","N1","N2"},MATCH(MIN(Q62:V62),Q62:V62,0))))</f>
        <v/>
      </c>
      <c r="X62" s="69">
        <f>IF(G62="","",IF(W62=E62,1,0))</f>
        <v/>
      </c>
    </row>
    <row r="63">
      <c r="A63" s="61" t="n">
        <v>11</v>
      </c>
      <c r="B63" s="62" t="n">
        <v>10</v>
      </c>
      <c r="C63" s="61" t="inlineStr">
        <is>
          <t>R3</t>
        </is>
      </c>
      <c r="D63" s="74" t="inlineStr">
        <is>
          <t>NG</t>
        </is>
      </c>
      <c r="E63" s="61" t="inlineStr">
        <is>
          <t>W2</t>
        </is>
      </c>
      <c r="F63" s="61" t="inlineStr">
        <is>
          <t>K011</t>
        </is>
      </c>
      <c r="G63" s="64" t="n">
        <v>5.4</v>
      </c>
      <c r="H63" s="65" t="n"/>
      <c r="I63" s="66" t="n"/>
      <c r="J63" s="67">
        <f>VLOOKUP(C63,Recipes!$A$2:$N$4,10,FALSE())</f>
        <v/>
      </c>
      <c r="K63" s="68">
        <f>VLOOKUP(C63,Recipes!$A$2:$N$4,12,FALSE())</f>
        <v/>
      </c>
      <c r="L63" s="67">
        <f>J63-3*K63</f>
        <v/>
      </c>
      <c r="M63" s="67">
        <f>J63+3*K63</f>
        <v/>
      </c>
      <c r="N63" s="61">
        <f>IF(G63="","",IF(AND(G63&gt;=L63,G63&lt;=M63),"OK","NG"))</f>
        <v/>
      </c>
      <c r="O63" s="69">
        <f>IF(N63="","",IF(N63=D63,1,0))</f>
        <v/>
      </c>
      <c r="P63" s="67">
        <f>IF(G63="","",J63-G63)</f>
        <v/>
      </c>
      <c r="Q63" s="67">
        <f>IF(G63="","",ABS(P63-Components!$D$2))</f>
        <v/>
      </c>
      <c r="R63" s="67">
        <f>IF(G63="","",ABS(P63-Components!$D$3))</f>
        <v/>
      </c>
      <c r="S63" s="67">
        <f>IF(G63="","",ABS(P63-Components!$D$4))</f>
        <v/>
      </c>
      <c r="T63" s="67">
        <f>IF(G63="","",ABS(P63-Components!$D$5))</f>
        <v/>
      </c>
      <c r="U63" s="67">
        <f>IF(G63="","",ABS(P63-Components!$D$6))</f>
        <v/>
      </c>
      <c r="V63" s="67">
        <f>IF(G63="","",ABS(P63-Components!$D$7))</f>
        <v/>
      </c>
      <c r="W63" s="61">
        <f>IF(G63="","",IF(N63="OK","NONE",INDEX({"S1","S2","W1","W2","N1","N2"},MATCH(MIN(Q63:V63),Q63:V63,0))))</f>
        <v/>
      </c>
      <c r="X63" s="69">
        <f>IF(G63="","",IF(W63=E63,1,0))</f>
        <v/>
      </c>
    </row>
    <row r="64">
      <c r="A64" s="61" t="n">
        <v>12</v>
      </c>
      <c r="B64" s="62" t="n">
        <v>34</v>
      </c>
      <c r="C64" s="61" t="inlineStr">
        <is>
          <t>R3</t>
        </is>
      </c>
      <c r="D64" s="74" t="inlineStr">
        <is>
          <t>NG</t>
        </is>
      </c>
      <c r="E64" s="61" t="inlineStr">
        <is>
          <t>W2</t>
        </is>
      </c>
      <c r="F64" s="61" t="inlineStr">
        <is>
          <t>K012</t>
        </is>
      </c>
      <c r="G64" s="64" t="n">
        <v>5.45</v>
      </c>
      <c r="H64" s="65" t="n"/>
      <c r="I64" s="66" t="n"/>
      <c r="J64" s="67">
        <f>VLOOKUP(C64,Recipes!$A$2:$N$4,10,FALSE())</f>
        <v/>
      </c>
      <c r="K64" s="68">
        <f>VLOOKUP(C64,Recipes!$A$2:$N$4,12,FALSE())</f>
        <v/>
      </c>
      <c r="L64" s="67">
        <f>J64-3*K64</f>
        <v/>
      </c>
      <c r="M64" s="67">
        <f>J64+3*K64</f>
        <v/>
      </c>
      <c r="N64" s="61">
        <f>IF(G64="","",IF(AND(G64&gt;=L64,G64&lt;=M64),"OK","NG"))</f>
        <v/>
      </c>
      <c r="O64" s="69">
        <f>IF(N64="","",IF(N64=D64,1,0))</f>
        <v/>
      </c>
      <c r="P64" s="67">
        <f>IF(G64="","",J64-G64)</f>
        <v/>
      </c>
      <c r="Q64" s="67">
        <f>IF(G64="","",ABS(P64-Components!$D$2))</f>
        <v/>
      </c>
      <c r="R64" s="67">
        <f>IF(G64="","",ABS(P64-Components!$D$3))</f>
        <v/>
      </c>
      <c r="S64" s="67">
        <f>IF(G64="","",ABS(P64-Components!$D$4))</f>
        <v/>
      </c>
      <c r="T64" s="67">
        <f>IF(G64="","",ABS(P64-Components!$D$5))</f>
        <v/>
      </c>
      <c r="U64" s="67">
        <f>IF(G64="","",ABS(P64-Components!$D$6))</f>
        <v/>
      </c>
      <c r="V64" s="67">
        <f>IF(G64="","",ABS(P64-Components!$D$7))</f>
        <v/>
      </c>
      <c r="W64" s="61">
        <f>IF(G64="","",IF(N64="OK","NONE",INDEX({"S1","S2","W1","W2","N1","N2"},MATCH(MIN(Q64:V64),Q64:V64,0))))</f>
        <v/>
      </c>
      <c r="X64" s="69">
        <f>IF(G64="","",IF(W64=E64,1,0))</f>
        <v/>
      </c>
    </row>
    <row r="65">
      <c r="A65" s="61" t="n">
        <v>13</v>
      </c>
      <c r="B65" s="62" t="n">
        <v>42</v>
      </c>
      <c r="C65" s="61" t="inlineStr">
        <is>
          <t>R3</t>
        </is>
      </c>
      <c r="D65" s="74" t="inlineStr">
        <is>
          <t>NG</t>
        </is>
      </c>
      <c r="E65" s="61" t="inlineStr">
        <is>
          <t>W2</t>
        </is>
      </c>
      <c r="F65" s="61" t="inlineStr">
        <is>
          <t>K013</t>
        </is>
      </c>
      <c r="G65" s="64" t="n">
        <v>5.42</v>
      </c>
      <c r="H65" s="65" t="n"/>
      <c r="I65" s="66" t="n"/>
      <c r="J65" s="67">
        <f>VLOOKUP(C65,Recipes!$A$2:$N$4,10,FALSE())</f>
        <v/>
      </c>
      <c r="K65" s="68">
        <f>VLOOKUP(C65,Recipes!$A$2:$N$4,12,FALSE())</f>
        <v/>
      </c>
      <c r="L65" s="67">
        <f>J65-3*K65</f>
        <v/>
      </c>
      <c r="M65" s="67">
        <f>J65+3*K65</f>
        <v/>
      </c>
      <c r="N65" s="61">
        <f>IF(G65="","",IF(AND(G65&gt;=L65,G65&lt;=M65),"OK","NG"))</f>
        <v/>
      </c>
      <c r="O65" s="69">
        <f>IF(N65="","",IF(N65=D65,1,0))</f>
        <v/>
      </c>
      <c r="P65" s="67">
        <f>IF(G65="","",J65-G65)</f>
        <v/>
      </c>
      <c r="Q65" s="67">
        <f>IF(G65="","",ABS(P65-Components!$D$2))</f>
        <v/>
      </c>
      <c r="R65" s="67">
        <f>IF(G65="","",ABS(P65-Components!$D$3))</f>
        <v/>
      </c>
      <c r="S65" s="67">
        <f>IF(G65="","",ABS(P65-Components!$D$4))</f>
        <v/>
      </c>
      <c r="T65" s="67">
        <f>IF(G65="","",ABS(P65-Components!$D$5))</f>
        <v/>
      </c>
      <c r="U65" s="67">
        <f>IF(G65="","",ABS(P65-Components!$D$6))</f>
        <v/>
      </c>
      <c r="V65" s="67">
        <f>IF(G65="","",ABS(P65-Components!$D$7))</f>
        <v/>
      </c>
      <c r="W65" s="61">
        <f>IF(G65="","",IF(N65="OK","NONE",INDEX({"S1","S2","W1","W2","N1","N2"},MATCH(MIN(Q65:V65),Q65:V65,0))))</f>
        <v/>
      </c>
      <c r="X65" s="69">
        <f>IF(G65="","",IF(W65=E65,1,0))</f>
        <v/>
      </c>
    </row>
    <row r="66">
      <c r="A66" s="61" t="n">
        <v>14</v>
      </c>
      <c r="B66" s="62" t="n">
        <v>45</v>
      </c>
      <c r="C66" s="61" t="inlineStr">
        <is>
          <t>R3</t>
        </is>
      </c>
      <c r="D66" s="74" t="inlineStr">
        <is>
          <t>NG</t>
        </is>
      </c>
      <c r="E66" s="61" t="inlineStr">
        <is>
          <t>W2</t>
        </is>
      </c>
      <c r="F66" s="61" t="inlineStr">
        <is>
          <t>K014</t>
        </is>
      </c>
      <c r="G66" s="64" t="n">
        <v>5.42</v>
      </c>
      <c r="H66" s="65" t="n"/>
      <c r="I66" s="66" t="n"/>
      <c r="J66" s="67">
        <f>VLOOKUP(C66,Recipes!$A$2:$N$4,10,FALSE())</f>
        <v/>
      </c>
      <c r="K66" s="68">
        <f>VLOOKUP(C66,Recipes!$A$2:$N$4,12,FALSE())</f>
        <v/>
      </c>
      <c r="L66" s="67">
        <f>J66-3*K66</f>
        <v/>
      </c>
      <c r="M66" s="67">
        <f>J66+3*K66</f>
        <v/>
      </c>
      <c r="N66" s="61">
        <f>IF(G66="","",IF(AND(G66&gt;=L66,G66&lt;=M66),"OK","NG"))</f>
        <v/>
      </c>
      <c r="O66" s="69">
        <f>IF(N66="","",IF(N66=D66,1,0))</f>
        <v/>
      </c>
      <c r="P66" s="67">
        <f>IF(G66="","",J66-G66)</f>
        <v/>
      </c>
      <c r="Q66" s="67">
        <f>IF(G66="","",ABS(P66-Components!$D$2))</f>
        <v/>
      </c>
      <c r="R66" s="67">
        <f>IF(G66="","",ABS(P66-Components!$D$3))</f>
        <v/>
      </c>
      <c r="S66" s="67">
        <f>IF(G66="","",ABS(P66-Components!$D$4))</f>
        <v/>
      </c>
      <c r="T66" s="67">
        <f>IF(G66="","",ABS(P66-Components!$D$5))</f>
        <v/>
      </c>
      <c r="U66" s="67">
        <f>IF(G66="","",ABS(P66-Components!$D$6))</f>
        <v/>
      </c>
      <c r="V66" s="67">
        <f>IF(G66="","",ABS(P66-Components!$D$7))</f>
        <v/>
      </c>
      <c r="W66" s="61">
        <f>IF(G66="","",IF(N66="OK","NONE",INDEX({"S1","S2","W1","W2","N1","N2"},MATCH(MIN(Q66:V66),Q66:V66,0))))</f>
        <v/>
      </c>
      <c r="X66" s="69">
        <f>IF(G66="","",IF(W66=E66,1,0))</f>
        <v/>
      </c>
    </row>
    <row r="67">
      <c r="A67" s="61" t="n">
        <v>14</v>
      </c>
      <c r="B67" s="62" t="n">
        <v>45</v>
      </c>
      <c r="C67" s="61" t="inlineStr">
        <is>
          <t>R3</t>
        </is>
      </c>
      <c r="D67" s="74" t="inlineStr">
        <is>
          <t>NG</t>
        </is>
      </c>
      <c r="E67" s="61" t="inlineStr">
        <is>
          <t>W2</t>
        </is>
      </c>
      <c r="F67" s="61" t="inlineStr">
        <is>
          <t>K014</t>
        </is>
      </c>
      <c r="G67" s="64" t="n">
        <v>5.42</v>
      </c>
      <c r="H67" s="65" t="n"/>
      <c r="I67" s="66" t="n"/>
      <c r="J67" s="67">
        <f>VLOOKUP(C67,Recipes!$A$2:$N$4,10,FALSE())</f>
        <v/>
      </c>
      <c r="K67" s="68">
        <f>VLOOKUP(C67,Recipes!$A$2:$N$4,12,FALSE())</f>
        <v/>
      </c>
      <c r="L67" s="67">
        <f>J67-3*K67</f>
        <v/>
      </c>
      <c r="M67" s="67">
        <f>J67+3*K67</f>
        <v/>
      </c>
      <c r="N67" s="61">
        <f>IF(G67="","",IF(AND(G67&gt;=L67,G67&lt;=M67),"OK","NG"))</f>
        <v/>
      </c>
      <c r="O67" s="69">
        <f>IF(N67="","",IF(N67=D67,1,0))</f>
        <v/>
      </c>
      <c r="P67" s="67">
        <f>IF(G67="","",J67-G67)</f>
        <v/>
      </c>
      <c r="Q67" s="67">
        <f>IF(G67="","",ABS(P67-Components!$D$2))</f>
        <v/>
      </c>
      <c r="R67" s="67">
        <f>IF(G67="","",ABS(P67-Components!$D$3))</f>
        <v/>
      </c>
      <c r="S67" s="67">
        <f>IF(G67="","",ABS(P67-Components!$D$4))</f>
        <v/>
      </c>
      <c r="T67" s="67">
        <f>IF(G67="","",ABS(P67-Components!$D$5))</f>
        <v/>
      </c>
      <c r="U67" s="67">
        <f>IF(G67="","",ABS(P67-Components!$D$6))</f>
        <v/>
      </c>
      <c r="V67" s="67">
        <f>IF(G67="","",ABS(P67-Components!$D$7))</f>
        <v/>
      </c>
      <c r="W67" s="61">
        <f>IF(G67="","",IF(N67="OK","NONE",INDEX({"S1","S2","W1","W2","N1","N2"},MATCH(MIN(Q67:V67),Q67:V67,0))))</f>
        <v/>
      </c>
      <c r="X67" s="69">
        <f>IF(G67="","",IF(W67=E67,1,0))</f>
        <v/>
      </c>
    </row>
    <row r="68">
      <c r="A68" s="61" t="n">
        <v>14</v>
      </c>
      <c r="B68" s="62" t="n">
        <v>45</v>
      </c>
      <c r="C68" s="61" t="inlineStr">
        <is>
          <t>R3</t>
        </is>
      </c>
      <c r="D68" s="74" t="inlineStr">
        <is>
          <t>NG</t>
        </is>
      </c>
      <c r="E68" s="61" t="inlineStr">
        <is>
          <t>W2</t>
        </is>
      </c>
      <c r="F68" s="61" t="inlineStr">
        <is>
          <t>K014</t>
        </is>
      </c>
      <c r="G68" s="64" t="n">
        <v>5.42</v>
      </c>
      <c r="H68" s="65" t="n"/>
      <c r="I68" s="66" t="n"/>
      <c r="J68" s="67">
        <f>VLOOKUP(C68,Recipes!$A$2:$N$4,10,FALSE())</f>
        <v/>
      </c>
      <c r="K68" s="68">
        <f>VLOOKUP(C68,Recipes!$A$2:$N$4,12,FALSE())</f>
        <v/>
      </c>
      <c r="L68" s="67">
        <f>J68-3*K68</f>
        <v/>
      </c>
      <c r="M68" s="67">
        <f>J68+3*K68</f>
        <v/>
      </c>
      <c r="N68" s="61">
        <f>IF(G68="","",IF(AND(G68&gt;=L68,G68&lt;=M68),"OK","NG"))</f>
        <v/>
      </c>
      <c r="O68" s="69">
        <f>IF(N68="","",IF(N68=D68,1,0))</f>
        <v/>
      </c>
      <c r="P68" s="67">
        <f>IF(G68="","",J68-G68)</f>
        <v/>
      </c>
      <c r="Q68" s="67">
        <f>IF(G68="","",ABS(P68-Components!$D$2))</f>
        <v/>
      </c>
      <c r="R68" s="67">
        <f>IF(G68="","",ABS(P68-Components!$D$3))</f>
        <v/>
      </c>
      <c r="S68" s="67">
        <f>IF(G68="","",ABS(P68-Components!$D$4))</f>
        <v/>
      </c>
      <c r="T68" s="67">
        <f>IF(G68="","",ABS(P68-Components!$D$5))</f>
        <v/>
      </c>
      <c r="U68" s="67">
        <f>IF(G68="","",ABS(P68-Components!$D$6))</f>
        <v/>
      </c>
      <c r="V68" s="67">
        <f>IF(G68="","",ABS(P68-Components!$D$7))</f>
        <v/>
      </c>
      <c r="W68" s="61">
        <f>IF(G68="","",IF(N68="OK","NONE",INDEX({"S1","S2","W1","W2","N1","N2"},MATCH(MIN(Q68:V68),Q68:V68,0))))</f>
        <v/>
      </c>
      <c r="X68" s="69">
        <f>IF(G68="","",IF(W68=E68,1,0))</f>
        <v/>
      </c>
    </row>
    <row r="69">
      <c r="A69" s="61" t="n">
        <v>14</v>
      </c>
      <c r="B69" s="62" t="n">
        <v>45</v>
      </c>
      <c r="C69" s="61" t="inlineStr">
        <is>
          <t>R3</t>
        </is>
      </c>
      <c r="D69" s="74" t="inlineStr">
        <is>
          <t>NG</t>
        </is>
      </c>
      <c r="E69" s="61" t="inlineStr">
        <is>
          <t>W2</t>
        </is>
      </c>
      <c r="F69" s="61" t="inlineStr">
        <is>
          <t>K014</t>
        </is>
      </c>
      <c r="G69" s="64" t="n">
        <v>5.45</v>
      </c>
      <c r="H69" s="65" t="n"/>
      <c r="I69" s="66" t="n"/>
      <c r="J69" s="67">
        <f>VLOOKUP(C69,Recipes!$A$2:$N$4,10,FALSE())</f>
        <v/>
      </c>
      <c r="K69" s="68">
        <f>VLOOKUP(C69,Recipes!$A$2:$N$4,12,FALSE())</f>
        <v/>
      </c>
      <c r="L69" s="67">
        <f>J69-3*K69</f>
        <v/>
      </c>
      <c r="M69" s="67">
        <f>J69+3*K69</f>
        <v/>
      </c>
      <c r="N69" s="61">
        <f>IF(G69="","",IF(AND(G69&gt;=L69,G69&lt;=M69),"OK","NG"))</f>
        <v/>
      </c>
      <c r="O69" s="69">
        <f>IF(N69="","",IF(N69=D69,1,0))</f>
        <v/>
      </c>
      <c r="P69" s="67">
        <f>IF(G69="","",J69-G69)</f>
        <v/>
      </c>
      <c r="Q69" s="67">
        <f>IF(G69="","",ABS(P69-Components!$D$2))</f>
        <v/>
      </c>
      <c r="R69" s="67">
        <f>IF(G69="","",ABS(P69-Components!$D$3))</f>
        <v/>
      </c>
      <c r="S69" s="67">
        <f>IF(G69="","",ABS(P69-Components!$D$4))</f>
        <v/>
      </c>
      <c r="T69" s="67">
        <f>IF(G69="","",ABS(P69-Components!$D$5))</f>
        <v/>
      </c>
      <c r="U69" s="67">
        <f>IF(G69="","",ABS(P69-Components!$D$6))</f>
        <v/>
      </c>
      <c r="V69" s="67">
        <f>IF(G69="","",ABS(P69-Components!$D$7))</f>
        <v/>
      </c>
      <c r="W69" s="61">
        <f>IF(G69="","",IF(N69="OK","NONE",INDEX({"S1","S2","W1","W2","N1","N2"},MATCH(MIN(Q69:V69),Q69:V69,0))))</f>
        <v/>
      </c>
      <c r="X69" s="69">
        <f>IF(G69="","",IF(W69=E69,1,0))</f>
        <v/>
      </c>
    </row>
    <row r="70">
      <c r="A70" s="61" t="n">
        <v>14</v>
      </c>
      <c r="B70" s="62" t="n">
        <v>45</v>
      </c>
      <c r="C70" s="61" t="inlineStr">
        <is>
          <t>R3</t>
        </is>
      </c>
      <c r="D70" s="74" t="inlineStr">
        <is>
          <t>NG</t>
        </is>
      </c>
      <c r="E70" s="61" t="inlineStr">
        <is>
          <t>W2</t>
        </is>
      </c>
      <c r="F70" s="61" t="inlineStr">
        <is>
          <t>K014</t>
        </is>
      </c>
      <c r="G70" s="64" t="n">
        <v>5.41</v>
      </c>
      <c r="H70" s="65" t="n"/>
      <c r="I70" s="66" t="n"/>
      <c r="J70" s="67">
        <f>VLOOKUP(C70,Recipes!$A$2:$N$4,10,FALSE())</f>
        <v/>
      </c>
      <c r="K70" s="68">
        <f>VLOOKUP(C70,Recipes!$A$2:$N$4,12,FALSE())</f>
        <v/>
      </c>
      <c r="L70" s="67">
        <f>J70-3*K70</f>
        <v/>
      </c>
      <c r="M70" s="67">
        <f>J70+3*K70</f>
        <v/>
      </c>
      <c r="N70" s="61">
        <f>IF(G70="","",IF(AND(G70&gt;=L70,G70&lt;=M70),"OK","NG"))</f>
        <v/>
      </c>
      <c r="O70" s="69">
        <f>IF(N70="","",IF(N70=D70,1,0))</f>
        <v/>
      </c>
      <c r="P70" s="67">
        <f>IF(G70="","",J70-G70)</f>
        <v/>
      </c>
      <c r="Q70" s="67">
        <f>IF(G70="","",ABS(P70-Components!$D$2))</f>
        <v/>
      </c>
      <c r="R70" s="67">
        <f>IF(G70="","",ABS(P70-Components!$D$3))</f>
        <v/>
      </c>
      <c r="S70" s="67">
        <f>IF(G70="","",ABS(P70-Components!$D$4))</f>
        <v/>
      </c>
      <c r="T70" s="67">
        <f>IF(G70="","",ABS(P70-Components!$D$5))</f>
        <v/>
      </c>
      <c r="U70" s="67">
        <f>IF(G70="","",ABS(P70-Components!$D$6))</f>
        <v/>
      </c>
      <c r="V70" s="67">
        <f>IF(G70="","",ABS(P70-Components!$D$7))</f>
        <v/>
      </c>
      <c r="W70" s="61">
        <f>IF(G70="","",IF(N70="OK","NONE",INDEX({"S1","S2","W1","W2","N1","N2"},MATCH(MIN(Q70:V70),Q70:V70,0))))</f>
        <v/>
      </c>
      <c r="X70" s="69">
        <f>IF(G70="","",IF(W70=E70,1,0))</f>
        <v/>
      </c>
    </row>
    <row r="71">
      <c r="A71" s="61" t="n">
        <v>14</v>
      </c>
      <c r="B71" s="62" t="n">
        <v>45</v>
      </c>
      <c r="C71" s="61" t="inlineStr">
        <is>
          <t>R3</t>
        </is>
      </c>
      <c r="D71" s="74" t="inlineStr">
        <is>
          <t>NG</t>
        </is>
      </c>
      <c r="E71" s="61" t="inlineStr">
        <is>
          <t>W2</t>
        </is>
      </c>
      <c r="F71" s="61" t="inlineStr">
        <is>
          <t>K014</t>
        </is>
      </c>
      <c r="G71" s="64" t="n">
        <v>5.38</v>
      </c>
      <c r="H71" s="65" t="n"/>
      <c r="I71" s="66" t="n"/>
      <c r="J71" s="67">
        <f>VLOOKUP(C71,Recipes!$A$2:$N$4,10,FALSE())</f>
        <v/>
      </c>
      <c r="K71" s="68">
        <f>VLOOKUP(C71,Recipes!$A$2:$N$4,12,FALSE())</f>
        <v/>
      </c>
      <c r="L71" s="67">
        <f>J71-3*K71</f>
        <v/>
      </c>
      <c r="M71" s="67">
        <f>J71+3*K71</f>
        <v/>
      </c>
      <c r="N71" s="61">
        <f>IF(G71="","",IF(AND(G71&gt;=L71,G71&lt;=M71),"OK","NG"))</f>
        <v/>
      </c>
      <c r="O71" s="69">
        <f>IF(N71="","",IF(N71=D71,1,0))</f>
        <v/>
      </c>
      <c r="P71" s="67">
        <f>IF(G71="","",J71-G71)</f>
        <v/>
      </c>
      <c r="Q71" s="67">
        <f>IF(G71="","",ABS(P71-Components!$D$2))</f>
        <v/>
      </c>
      <c r="R71" s="67">
        <f>IF(G71="","",ABS(P71-Components!$D$3))</f>
        <v/>
      </c>
      <c r="S71" s="67">
        <f>IF(G71="","",ABS(P71-Components!$D$4))</f>
        <v/>
      </c>
      <c r="T71" s="67">
        <f>IF(G71="","",ABS(P71-Components!$D$5))</f>
        <v/>
      </c>
      <c r="U71" s="67">
        <f>IF(G71="","",ABS(P71-Components!$D$6))</f>
        <v/>
      </c>
      <c r="V71" s="67">
        <f>IF(G71="","",ABS(P71-Components!$D$7))</f>
        <v/>
      </c>
      <c r="W71" s="61">
        <f>IF(G71="","",IF(N71="OK","NONE",INDEX({"S1","S2","W1","W2","N1","N2"},MATCH(MIN(Q71:V71),Q71:V71,0))))</f>
        <v/>
      </c>
      <c r="X71" s="69">
        <f>IF(G71="","",IF(W71=E71,1,0))</f>
        <v/>
      </c>
    </row>
    <row r="72">
      <c r="A72" s="61" t="n">
        <v>14</v>
      </c>
      <c r="B72" s="62" t="n">
        <v>45</v>
      </c>
      <c r="C72" s="61" t="inlineStr">
        <is>
          <t>R3</t>
        </is>
      </c>
      <c r="D72" s="74" t="inlineStr">
        <is>
          <t>NG</t>
        </is>
      </c>
      <c r="E72" s="61" t="inlineStr">
        <is>
          <t>W2</t>
        </is>
      </c>
      <c r="F72" s="61" t="inlineStr">
        <is>
          <t>K014</t>
        </is>
      </c>
      <c r="G72" s="64" t="n">
        <v>5.37</v>
      </c>
      <c r="H72" s="65" t="n"/>
      <c r="I72" s="66" t="n"/>
      <c r="J72" s="67">
        <f>VLOOKUP(C72,Recipes!$A$2:$N$4,10,FALSE())</f>
        <v/>
      </c>
      <c r="K72" s="68">
        <f>VLOOKUP(C72,Recipes!$A$2:$N$4,12,FALSE())</f>
        <v/>
      </c>
      <c r="L72" s="67">
        <f>J72-3*K72</f>
        <v/>
      </c>
      <c r="M72" s="67">
        <f>J72+3*K72</f>
        <v/>
      </c>
      <c r="N72" s="61">
        <f>IF(G72="","",IF(AND(G72&gt;=L72,G72&lt;=M72),"OK","NG"))</f>
        <v/>
      </c>
      <c r="O72" s="69">
        <f>IF(N72="","",IF(N72=D72,1,0))</f>
        <v/>
      </c>
      <c r="P72" s="67">
        <f>IF(G72="","",J72-G72)</f>
        <v/>
      </c>
      <c r="Q72" s="67">
        <f>IF(G72="","",ABS(P72-Components!$D$2))</f>
        <v/>
      </c>
      <c r="R72" s="67">
        <f>IF(G72="","",ABS(P72-Components!$D$3))</f>
        <v/>
      </c>
      <c r="S72" s="67">
        <f>IF(G72="","",ABS(P72-Components!$D$4))</f>
        <v/>
      </c>
      <c r="T72" s="67">
        <f>IF(G72="","",ABS(P72-Components!$D$5))</f>
        <v/>
      </c>
      <c r="U72" s="67">
        <f>IF(G72="","",ABS(P72-Components!$D$6))</f>
        <v/>
      </c>
      <c r="V72" s="67">
        <f>IF(G72="","",ABS(P72-Components!$D$7))</f>
        <v/>
      </c>
      <c r="W72" s="61">
        <f>IF(G72="","",IF(N72="OK","NONE",INDEX({"S1","S2","W1","W2","N1","N2"},MATCH(MIN(Q72:V72),Q72:V72,0))))</f>
        <v/>
      </c>
      <c r="X72" s="69">
        <f>IF(G72="","",IF(W72=E72,1,0))</f>
        <v/>
      </c>
    </row>
    <row r="73">
      <c r="A73" s="61" t="n">
        <v>14</v>
      </c>
      <c r="B73" s="62" t="n">
        <v>45</v>
      </c>
      <c r="C73" s="61" t="inlineStr">
        <is>
          <t>R3</t>
        </is>
      </c>
      <c r="D73" s="74" t="inlineStr">
        <is>
          <t>NG</t>
        </is>
      </c>
      <c r="E73" s="61" t="inlineStr">
        <is>
          <t>W2</t>
        </is>
      </c>
      <c r="F73" s="61" t="inlineStr">
        <is>
          <t>K014</t>
        </is>
      </c>
      <c r="G73" s="64" t="n">
        <v>5.36</v>
      </c>
      <c r="H73" s="65" t="n"/>
      <c r="I73" s="66" t="n"/>
      <c r="J73" s="67">
        <f>VLOOKUP(C73,Recipes!$A$2:$N$4,10,FALSE())</f>
        <v/>
      </c>
      <c r="K73" s="68">
        <f>VLOOKUP(C73,Recipes!$A$2:$N$4,12,FALSE())</f>
        <v/>
      </c>
      <c r="L73" s="67">
        <f>J73-3*K73</f>
        <v/>
      </c>
      <c r="M73" s="67">
        <f>J73+3*K73</f>
        <v/>
      </c>
      <c r="N73" s="61">
        <f>IF(G73="","",IF(AND(G73&gt;=L73,G73&lt;=M73),"OK","NG"))</f>
        <v/>
      </c>
      <c r="O73" s="69">
        <f>IF(N73="","",IF(N73=D73,1,0))</f>
        <v/>
      </c>
      <c r="P73" s="67">
        <f>IF(G73="","",J73-G73)</f>
        <v/>
      </c>
      <c r="Q73" s="67">
        <f>IF(G73="","",ABS(P73-Components!$D$2))</f>
        <v/>
      </c>
      <c r="R73" s="67">
        <f>IF(G73="","",ABS(P73-Components!$D$3))</f>
        <v/>
      </c>
      <c r="S73" s="67">
        <f>IF(G73="","",ABS(P73-Components!$D$4))</f>
        <v/>
      </c>
      <c r="T73" s="67">
        <f>IF(G73="","",ABS(P73-Components!$D$5))</f>
        <v/>
      </c>
      <c r="U73" s="67">
        <f>IF(G73="","",ABS(P73-Components!$D$6))</f>
        <v/>
      </c>
      <c r="V73" s="67">
        <f>IF(G73="","",ABS(P73-Components!$D$7))</f>
        <v/>
      </c>
      <c r="W73" s="61">
        <f>IF(G73="","",IF(N73="OK","NONE",INDEX({"S1","S2","W1","W2","N1","N2"},MATCH(MIN(Q73:V73),Q73:V73,0))))</f>
        <v/>
      </c>
      <c r="X73" s="69">
        <f>IF(G73="","",IF(W73=E73,1,0))</f>
        <v/>
      </c>
    </row>
    <row r="74">
      <c r="A74" s="61" t="n">
        <v>14</v>
      </c>
      <c r="B74" s="62" t="n">
        <v>45</v>
      </c>
      <c r="C74" s="61" t="inlineStr">
        <is>
          <t>R3</t>
        </is>
      </c>
      <c r="D74" s="74" t="inlineStr">
        <is>
          <t>NG</t>
        </is>
      </c>
      <c r="E74" s="61" t="inlineStr">
        <is>
          <t>W2</t>
        </is>
      </c>
      <c r="F74" s="61" t="inlineStr">
        <is>
          <t>K014</t>
        </is>
      </c>
      <c r="G74" s="64" t="n">
        <v>5.41</v>
      </c>
      <c r="H74" s="65" t="n"/>
      <c r="I74" s="66" t="n"/>
      <c r="J74" s="67">
        <f>VLOOKUP(C74,Recipes!$A$2:$N$4,10,FALSE())</f>
        <v/>
      </c>
      <c r="K74" s="68">
        <f>VLOOKUP(C74,Recipes!$A$2:$N$4,12,FALSE())</f>
        <v/>
      </c>
      <c r="L74" s="67">
        <f>J74-3*K74</f>
        <v/>
      </c>
      <c r="M74" s="67">
        <f>J74+3*K74</f>
        <v/>
      </c>
      <c r="N74" s="61">
        <f>IF(G74="","",IF(AND(G74&gt;=L74,G74&lt;=M74),"OK","NG"))</f>
        <v/>
      </c>
      <c r="O74" s="69">
        <f>IF(N74="","",IF(N74=D74,1,0))</f>
        <v/>
      </c>
      <c r="P74" s="67">
        <f>IF(G74="","",J74-G74)</f>
        <v/>
      </c>
      <c r="Q74" s="67">
        <f>IF(G74="","",ABS(P74-Components!$D$2))</f>
        <v/>
      </c>
      <c r="R74" s="67">
        <f>IF(G74="","",ABS(P74-Components!$D$3))</f>
        <v/>
      </c>
      <c r="S74" s="67">
        <f>IF(G74="","",ABS(P74-Components!$D$4))</f>
        <v/>
      </c>
      <c r="T74" s="67">
        <f>IF(G74="","",ABS(P74-Components!$D$5))</f>
        <v/>
      </c>
      <c r="U74" s="67">
        <f>IF(G74="","",ABS(P74-Components!$D$6))</f>
        <v/>
      </c>
      <c r="V74" s="67">
        <f>IF(G74="","",ABS(P74-Components!$D$7))</f>
        <v/>
      </c>
      <c r="W74" s="61">
        <f>IF(G74="","",IF(N74="OK","NONE",INDEX({"S1","S2","W1","W2","N1","N2"},MATCH(MIN(Q74:V74),Q74:V74,0))))</f>
        <v/>
      </c>
      <c r="X74" s="69">
        <f>IF(G74="","",IF(W74=E74,1,0))</f>
        <v/>
      </c>
    </row>
    <row r="75">
      <c r="A75" s="61" t="n">
        <v>14</v>
      </c>
      <c r="B75" s="62" t="n">
        <v>45</v>
      </c>
      <c r="C75" s="61" t="inlineStr">
        <is>
          <t>R3</t>
        </is>
      </c>
      <c r="D75" s="74" t="inlineStr">
        <is>
          <t>NG</t>
        </is>
      </c>
      <c r="E75" s="61" t="inlineStr">
        <is>
          <t>W2</t>
        </is>
      </c>
      <c r="F75" s="61" t="inlineStr">
        <is>
          <t>K014</t>
        </is>
      </c>
      <c r="G75" s="64" t="n">
        <v>5.37</v>
      </c>
      <c r="H75" s="65" t="n"/>
      <c r="I75" s="66" t="n"/>
      <c r="J75" s="67">
        <f>VLOOKUP(C75,Recipes!$A$2:$N$4,10,FALSE())</f>
        <v/>
      </c>
      <c r="K75" s="68">
        <f>VLOOKUP(C75,Recipes!$A$2:$N$4,12,FALSE())</f>
        <v/>
      </c>
      <c r="L75" s="67">
        <f>J75-3*K75</f>
        <v/>
      </c>
      <c r="M75" s="67">
        <f>J75+3*K75</f>
        <v/>
      </c>
      <c r="N75" s="61">
        <f>IF(G75="","",IF(AND(G75&gt;=L75,G75&lt;=M75),"OK","NG"))</f>
        <v/>
      </c>
      <c r="O75" s="69">
        <f>IF(N75="","",IF(N75=D75,1,0))</f>
        <v/>
      </c>
      <c r="P75" s="67">
        <f>IF(G75="","",J75-G75)</f>
        <v/>
      </c>
      <c r="Q75" s="67">
        <f>IF(G75="","",ABS(P75-Components!$D$2))</f>
        <v/>
      </c>
      <c r="R75" s="67">
        <f>IF(G75="","",ABS(P75-Components!$D$3))</f>
        <v/>
      </c>
      <c r="S75" s="67">
        <f>IF(G75="","",ABS(P75-Components!$D$4))</f>
        <v/>
      </c>
      <c r="T75" s="67">
        <f>IF(G75="","",ABS(P75-Components!$D$5))</f>
        <v/>
      </c>
      <c r="U75" s="67">
        <f>IF(G75="","",ABS(P75-Components!$D$6))</f>
        <v/>
      </c>
      <c r="V75" s="67">
        <f>IF(G75="","",ABS(P75-Components!$D$7))</f>
        <v/>
      </c>
      <c r="W75" s="61">
        <f>IF(G75="","",IF(N75="OK","NONE",INDEX({"S1","S2","W1","W2","N1","N2"},MATCH(MIN(Q75:V75),Q75:V75,0))))</f>
        <v/>
      </c>
      <c r="X75" s="69">
        <f>IF(G75="","",IF(W75=E75,1,0))</f>
        <v/>
      </c>
    </row>
    <row r="76">
      <c r="A76" s="61" t="n">
        <v>14</v>
      </c>
      <c r="B76" s="62" t="n">
        <v>45</v>
      </c>
      <c r="C76" s="61" t="inlineStr">
        <is>
          <t>R3</t>
        </is>
      </c>
      <c r="D76" s="74" t="inlineStr">
        <is>
          <t>NG</t>
        </is>
      </c>
      <c r="E76" s="61" t="inlineStr">
        <is>
          <t>W2</t>
        </is>
      </c>
      <c r="F76" s="61" t="inlineStr">
        <is>
          <t>K014</t>
        </is>
      </c>
      <c r="G76" s="64" t="n">
        <v>5.36</v>
      </c>
      <c r="H76" s="65" t="n"/>
      <c r="I76" s="66" t="n"/>
      <c r="J76" s="67">
        <f>VLOOKUP(C76,Recipes!$A$2:$N$4,10,FALSE())</f>
        <v/>
      </c>
      <c r="K76" s="68">
        <f>VLOOKUP(C76,Recipes!$A$2:$N$4,12,FALSE())</f>
        <v/>
      </c>
      <c r="L76" s="67">
        <f>J76-3*K76</f>
        <v/>
      </c>
      <c r="M76" s="67">
        <f>J76+3*K76</f>
        <v/>
      </c>
      <c r="N76" s="61">
        <f>IF(G76="","",IF(AND(G76&gt;=L76,G76&lt;=M76),"OK","NG"))</f>
        <v/>
      </c>
      <c r="O76" s="69">
        <f>IF(N76="","",IF(N76=D76,1,0))</f>
        <v/>
      </c>
      <c r="P76" s="67">
        <f>IF(G76="","",J76-G76)</f>
        <v/>
      </c>
      <c r="Q76" s="67">
        <f>IF(G76="","",ABS(P76-Components!$D$2))</f>
        <v/>
      </c>
      <c r="R76" s="67">
        <f>IF(G76="","",ABS(P76-Components!$D$3))</f>
        <v/>
      </c>
      <c r="S76" s="67">
        <f>IF(G76="","",ABS(P76-Components!$D$4))</f>
        <v/>
      </c>
      <c r="T76" s="67">
        <f>IF(G76="","",ABS(P76-Components!$D$5))</f>
        <v/>
      </c>
      <c r="U76" s="67">
        <f>IF(G76="","",ABS(P76-Components!$D$6))</f>
        <v/>
      </c>
      <c r="V76" s="67">
        <f>IF(G76="","",ABS(P76-Components!$D$7))</f>
        <v/>
      </c>
      <c r="W76" s="61">
        <f>IF(G76="","",IF(N76="OK","NONE",INDEX({"S1","S2","W1","W2","N1","N2"},MATCH(MIN(Q76:V76),Q76:V76,0))))</f>
        <v/>
      </c>
      <c r="X76" s="69">
        <f>IF(G76="","",IF(W76=E76,1,0))</f>
        <v/>
      </c>
    </row>
    <row r="77">
      <c r="A77" s="61" t="n">
        <v>14</v>
      </c>
      <c r="B77" s="62" t="n">
        <v>45</v>
      </c>
      <c r="C77" s="61" t="inlineStr">
        <is>
          <t>R3</t>
        </is>
      </c>
      <c r="D77" s="74" t="inlineStr">
        <is>
          <t>NG</t>
        </is>
      </c>
      <c r="E77" s="61" t="inlineStr">
        <is>
          <t>W2</t>
        </is>
      </c>
      <c r="F77" s="61" t="inlineStr">
        <is>
          <t>K014</t>
        </is>
      </c>
      <c r="G77" s="64" t="n">
        <v>5.38</v>
      </c>
      <c r="H77" s="65" t="n"/>
      <c r="I77" s="66" t="n"/>
      <c r="J77" s="67">
        <f>VLOOKUP(C77,Recipes!$A$2:$N$4,10,FALSE())</f>
        <v/>
      </c>
      <c r="K77" s="68">
        <f>VLOOKUP(C77,Recipes!$A$2:$N$4,12,FALSE())</f>
        <v/>
      </c>
      <c r="L77" s="67">
        <f>J77-3*K77</f>
        <v/>
      </c>
      <c r="M77" s="67">
        <f>J77+3*K77</f>
        <v/>
      </c>
      <c r="N77" s="61">
        <f>IF(G77="","",IF(AND(G77&gt;=L77,G77&lt;=M77),"OK","NG"))</f>
        <v/>
      </c>
      <c r="O77" s="69">
        <f>IF(N77="","",IF(N77=D77,1,0))</f>
        <v/>
      </c>
      <c r="P77" s="67">
        <f>IF(G77="","",J77-G77)</f>
        <v/>
      </c>
      <c r="Q77" s="67">
        <f>IF(G77="","",ABS(P77-Components!$D$2))</f>
        <v/>
      </c>
      <c r="R77" s="67">
        <f>IF(G77="","",ABS(P77-Components!$D$3))</f>
        <v/>
      </c>
      <c r="S77" s="67">
        <f>IF(G77="","",ABS(P77-Components!$D$4))</f>
        <v/>
      </c>
      <c r="T77" s="67">
        <f>IF(G77="","",ABS(P77-Components!$D$5))</f>
        <v/>
      </c>
      <c r="U77" s="67">
        <f>IF(G77="","",ABS(P77-Components!$D$6))</f>
        <v/>
      </c>
      <c r="V77" s="67">
        <f>IF(G77="","",ABS(P77-Components!$D$7))</f>
        <v/>
      </c>
      <c r="W77" s="61">
        <f>IF(G77="","",IF(N77="OK","NONE",INDEX({"S1","S2","W1","W2","N1","N2"},MATCH(MIN(Q77:V77),Q77:V77,0))))</f>
        <v/>
      </c>
      <c r="X77" s="69">
        <f>IF(G77="","",IF(W77=E77,1,0))</f>
        <v/>
      </c>
    </row>
    <row r="78">
      <c r="A78" s="61" t="n">
        <v>14</v>
      </c>
      <c r="B78" s="62" t="n">
        <v>45</v>
      </c>
      <c r="C78" s="61" t="inlineStr">
        <is>
          <t>R3</t>
        </is>
      </c>
      <c r="D78" s="74" t="inlineStr">
        <is>
          <t>NG</t>
        </is>
      </c>
      <c r="E78" s="61" t="inlineStr">
        <is>
          <t>W2</t>
        </is>
      </c>
      <c r="F78" s="61" t="inlineStr">
        <is>
          <t>K014</t>
        </is>
      </c>
      <c r="G78" s="64" t="n">
        <v>5.38</v>
      </c>
      <c r="H78" s="65" t="n"/>
      <c r="I78" s="66" t="n"/>
      <c r="J78" s="67">
        <f>VLOOKUP(C78,Recipes!$A$2:$N$4,10,FALSE())</f>
        <v/>
      </c>
      <c r="K78" s="68">
        <f>VLOOKUP(C78,Recipes!$A$2:$N$4,12,FALSE())</f>
        <v/>
      </c>
      <c r="L78" s="67">
        <f>J78-3*K78</f>
        <v/>
      </c>
      <c r="M78" s="67">
        <f>J78+3*K78</f>
        <v/>
      </c>
      <c r="N78" s="61">
        <f>IF(G78="","",IF(AND(G78&gt;=L78,G78&lt;=M78),"OK","NG"))</f>
        <v/>
      </c>
      <c r="O78" s="69">
        <f>IF(N78="","",IF(N78=D78,1,0))</f>
        <v/>
      </c>
      <c r="P78" s="67">
        <f>IF(G78="","",J78-G78)</f>
        <v/>
      </c>
      <c r="Q78" s="67">
        <f>IF(G78="","",ABS(P78-Components!$D$2))</f>
        <v/>
      </c>
      <c r="R78" s="67">
        <f>IF(G78="","",ABS(P78-Components!$D$3))</f>
        <v/>
      </c>
      <c r="S78" s="67">
        <f>IF(G78="","",ABS(P78-Components!$D$4))</f>
        <v/>
      </c>
      <c r="T78" s="67">
        <f>IF(G78="","",ABS(P78-Components!$D$5))</f>
        <v/>
      </c>
      <c r="U78" s="67">
        <f>IF(G78="","",ABS(P78-Components!$D$6))</f>
        <v/>
      </c>
      <c r="V78" s="67">
        <f>IF(G78="","",ABS(P78-Components!$D$7))</f>
        <v/>
      </c>
      <c r="W78" s="61">
        <f>IF(G78="","",IF(N78="OK","NONE",INDEX({"S1","S2","W1","W2","N1","N2"},MATCH(MIN(Q78:V78),Q78:V78,0))))</f>
        <v/>
      </c>
      <c r="X78" s="69">
        <f>IF(G78="","",IF(W78=E78,1,0))</f>
        <v/>
      </c>
    </row>
    <row r="79">
      <c r="A79" s="61" t="n">
        <v>14</v>
      </c>
      <c r="B79" s="62" t="n">
        <v>45</v>
      </c>
      <c r="C79" s="61" t="inlineStr">
        <is>
          <t>R3</t>
        </is>
      </c>
      <c r="D79" s="74" t="inlineStr">
        <is>
          <t>NG</t>
        </is>
      </c>
      <c r="E79" s="61" t="inlineStr">
        <is>
          <t>W2</t>
        </is>
      </c>
      <c r="F79" s="61" t="inlineStr">
        <is>
          <t>K014</t>
        </is>
      </c>
      <c r="G79" s="64" t="n">
        <v>5.42</v>
      </c>
      <c r="H79" s="65" t="n"/>
      <c r="I79" s="66" t="n"/>
      <c r="J79" s="67">
        <f>VLOOKUP(C79,Recipes!$A$2:$N$4,10,FALSE())</f>
        <v/>
      </c>
      <c r="K79" s="68">
        <f>VLOOKUP(C79,Recipes!$A$2:$N$4,12,FALSE())</f>
        <v/>
      </c>
      <c r="L79" s="67">
        <f>J79-3*K79</f>
        <v/>
      </c>
      <c r="M79" s="67">
        <f>J79+3*K79</f>
        <v/>
      </c>
      <c r="N79" s="61">
        <f>IF(G79="","",IF(AND(G79&gt;=L79,G79&lt;=M79),"OK","NG"))</f>
        <v/>
      </c>
      <c r="O79" s="69">
        <f>IF(N79="","",IF(N79=D79,1,0))</f>
        <v/>
      </c>
      <c r="P79" s="67">
        <f>IF(G79="","",J79-G79)</f>
        <v/>
      </c>
      <c r="Q79" s="67">
        <f>IF(G79="","",ABS(P79-Components!$D$2))</f>
        <v/>
      </c>
      <c r="R79" s="67">
        <f>IF(G79="","",ABS(P79-Components!$D$3))</f>
        <v/>
      </c>
      <c r="S79" s="67">
        <f>IF(G79="","",ABS(P79-Components!$D$4))</f>
        <v/>
      </c>
      <c r="T79" s="67">
        <f>IF(G79="","",ABS(P79-Components!$D$5))</f>
        <v/>
      </c>
      <c r="U79" s="67">
        <f>IF(G79="","",ABS(P79-Components!$D$6))</f>
        <v/>
      </c>
      <c r="V79" s="67">
        <f>IF(G79="","",ABS(P79-Components!$D$7))</f>
        <v/>
      </c>
      <c r="W79" s="61">
        <f>IF(G79="","",IF(N79="OK","NONE",INDEX({"S1","S2","W1","W2","N1","N2"},MATCH(MIN(Q79:V79),Q79:V79,0))))</f>
        <v/>
      </c>
      <c r="X79" s="69">
        <f>IF(G79="","",IF(W79=E79,1,0))</f>
        <v/>
      </c>
    </row>
    <row r="80">
      <c r="A80" s="61" t="n">
        <v>14</v>
      </c>
      <c r="B80" s="62" t="n">
        <v>45</v>
      </c>
      <c r="C80" s="61" t="inlineStr">
        <is>
          <t>R3</t>
        </is>
      </c>
      <c r="D80" s="74" t="inlineStr">
        <is>
          <t>NG</t>
        </is>
      </c>
      <c r="E80" s="61" t="inlineStr">
        <is>
          <t>W2</t>
        </is>
      </c>
      <c r="F80" s="61" t="inlineStr">
        <is>
          <t>K014</t>
        </is>
      </c>
      <c r="G80" s="64" t="n">
        <v>5.39</v>
      </c>
      <c r="H80" s="65" t="n"/>
      <c r="I80" s="66" t="n"/>
      <c r="J80" s="67">
        <f>VLOOKUP(C80,Recipes!$A$2:$N$4,10,FALSE())</f>
        <v/>
      </c>
      <c r="K80" s="68">
        <f>VLOOKUP(C80,Recipes!$A$2:$N$4,12,FALSE())</f>
        <v/>
      </c>
      <c r="L80" s="67">
        <f>J80-3*K80</f>
        <v/>
      </c>
      <c r="M80" s="67">
        <f>J80+3*K80</f>
        <v/>
      </c>
      <c r="N80" s="61">
        <f>IF(G80="","",IF(AND(G80&gt;=L80,G80&lt;=M80),"OK","NG"))</f>
        <v/>
      </c>
      <c r="O80" s="69">
        <f>IF(N80="","",IF(N80=D80,1,0))</f>
        <v/>
      </c>
      <c r="P80" s="67">
        <f>IF(G80="","",J80-G80)</f>
        <v/>
      </c>
      <c r="Q80" s="67">
        <f>IF(G80="","",ABS(P80-Components!$D$2))</f>
        <v/>
      </c>
      <c r="R80" s="67">
        <f>IF(G80="","",ABS(P80-Components!$D$3))</f>
        <v/>
      </c>
      <c r="S80" s="67">
        <f>IF(G80="","",ABS(P80-Components!$D$4))</f>
        <v/>
      </c>
      <c r="T80" s="67">
        <f>IF(G80="","",ABS(P80-Components!$D$5))</f>
        <v/>
      </c>
      <c r="U80" s="67">
        <f>IF(G80="","",ABS(P80-Components!$D$6))</f>
        <v/>
      </c>
      <c r="V80" s="67">
        <f>IF(G80="","",ABS(P80-Components!$D$7))</f>
        <v/>
      </c>
      <c r="W80" s="61">
        <f>IF(G80="","",IF(N80="OK","NONE",INDEX({"S1","S2","W1","W2","N1","N2"},MATCH(MIN(Q80:V80),Q80:V80,0))))</f>
        <v/>
      </c>
      <c r="X80" s="69">
        <f>IF(G80="","",IF(W80=E80,1,0))</f>
        <v/>
      </c>
    </row>
    <row r="81">
      <c r="A81" s="61" t="n">
        <v>14</v>
      </c>
      <c r="B81" s="62" t="n">
        <v>45</v>
      </c>
      <c r="C81" s="61" t="inlineStr">
        <is>
          <t>R3</t>
        </is>
      </c>
      <c r="D81" s="74" t="inlineStr">
        <is>
          <t>NG</t>
        </is>
      </c>
      <c r="E81" s="61" t="inlineStr">
        <is>
          <t>W2</t>
        </is>
      </c>
      <c r="F81" s="61" t="inlineStr">
        <is>
          <t>K014</t>
        </is>
      </c>
      <c r="G81" s="64" t="n">
        <v>5.41</v>
      </c>
      <c r="H81" s="65" t="n"/>
      <c r="I81" s="66" t="n"/>
      <c r="J81" s="67">
        <f>VLOOKUP(C81,Recipes!$A$2:$N$4,10,FALSE())</f>
        <v/>
      </c>
      <c r="K81" s="68">
        <f>VLOOKUP(C81,Recipes!$A$2:$N$4,12,FALSE())</f>
        <v/>
      </c>
      <c r="L81" s="67">
        <f>J81-3*K81</f>
        <v/>
      </c>
      <c r="M81" s="67">
        <f>J81+3*K81</f>
        <v/>
      </c>
      <c r="N81" s="61">
        <f>IF(G81="","",IF(AND(G81&gt;=L81,G81&lt;=M81),"OK","NG"))</f>
        <v/>
      </c>
      <c r="O81" s="69">
        <f>IF(N81="","",IF(N81=D81,1,0))</f>
        <v/>
      </c>
      <c r="P81" s="67">
        <f>IF(G81="","",J81-G81)</f>
        <v/>
      </c>
      <c r="Q81" s="67">
        <f>IF(G81="","",ABS(P81-Components!$D$2))</f>
        <v/>
      </c>
      <c r="R81" s="67">
        <f>IF(G81="","",ABS(P81-Components!$D$3))</f>
        <v/>
      </c>
      <c r="S81" s="67">
        <f>IF(G81="","",ABS(P81-Components!$D$4))</f>
        <v/>
      </c>
      <c r="T81" s="67">
        <f>IF(G81="","",ABS(P81-Components!$D$5))</f>
        <v/>
      </c>
      <c r="U81" s="67">
        <f>IF(G81="","",ABS(P81-Components!$D$6))</f>
        <v/>
      </c>
      <c r="V81" s="67">
        <f>IF(G81="","",ABS(P81-Components!$D$7))</f>
        <v/>
      </c>
      <c r="W81" s="61">
        <f>IF(G81="","",IF(N81="OK","NONE",INDEX({"S1","S2","W1","W2","N1","N2"},MATCH(MIN(Q81:V81),Q81:V81,0))))</f>
        <v/>
      </c>
      <c r="X81" s="69">
        <f>IF(G81="","",IF(W81=E81,1,0))</f>
        <v/>
      </c>
    </row>
    <row r="82">
      <c r="A82" s="61" t="n">
        <v>14</v>
      </c>
      <c r="B82" s="62" t="n">
        <v>45</v>
      </c>
      <c r="C82" s="61" t="inlineStr">
        <is>
          <t>R3</t>
        </is>
      </c>
      <c r="D82" s="74" t="inlineStr">
        <is>
          <t>NG</t>
        </is>
      </c>
      <c r="E82" s="61" t="inlineStr">
        <is>
          <t>W2</t>
        </is>
      </c>
      <c r="F82" s="61" t="inlineStr">
        <is>
          <t>K014</t>
        </is>
      </c>
      <c r="G82" s="64" t="n">
        <v>5.32</v>
      </c>
      <c r="H82" s="65" t="n"/>
      <c r="I82" s="66" t="n"/>
      <c r="J82" s="67">
        <f>VLOOKUP(C82,Recipes!$A$2:$N$4,10,FALSE())</f>
        <v/>
      </c>
      <c r="K82" s="68">
        <f>VLOOKUP(C82,Recipes!$A$2:$N$4,12,FALSE())</f>
        <v/>
      </c>
      <c r="L82" s="67">
        <f>J82-3*K82</f>
        <v/>
      </c>
      <c r="M82" s="67">
        <f>J82+3*K82</f>
        <v/>
      </c>
      <c r="N82" s="61">
        <f>IF(G82="","",IF(AND(G82&gt;=L82,G82&lt;=M82),"OK","NG"))</f>
        <v/>
      </c>
      <c r="O82" s="69">
        <f>IF(N82="","",IF(N82=D82,1,0))</f>
        <v/>
      </c>
      <c r="P82" s="67">
        <f>IF(G82="","",J82-G82)</f>
        <v/>
      </c>
      <c r="Q82" s="67">
        <f>IF(G82="","",ABS(P82-Components!$D$2))</f>
        <v/>
      </c>
      <c r="R82" s="67">
        <f>IF(G82="","",ABS(P82-Components!$D$3))</f>
        <v/>
      </c>
      <c r="S82" s="67">
        <f>IF(G82="","",ABS(P82-Components!$D$4))</f>
        <v/>
      </c>
      <c r="T82" s="67">
        <f>IF(G82="","",ABS(P82-Components!$D$5))</f>
        <v/>
      </c>
      <c r="U82" s="67">
        <f>IF(G82="","",ABS(P82-Components!$D$6))</f>
        <v/>
      </c>
      <c r="V82" s="67">
        <f>IF(G82="","",ABS(P82-Components!$D$7))</f>
        <v/>
      </c>
      <c r="W82" s="61">
        <f>IF(G82="","",IF(N82="OK","NONE",INDEX({"S1","S2","W1","W2","N1","N2"},MATCH(MIN(Q82:V82),Q82:V82,0))))</f>
        <v/>
      </c>
      <c r="X82" s="69">
        <f>IF(G82="","",IF(W82=E82,1,0))</f>
        <v/>
      </c>
    </row>
    <row r="83">
      <c r="A83" s="61" t="n">
        <v>14</v>
      </c>
      <c r="B83" s="62" t="n">
        <v>45</v>
      </c>
      <c r="C83" s="61" t="inlineStr">
        <is>
          <t>R3</t>
        </is>
      </c>
      <c r="D83" s="74" t="inlineStr">
        <is>
          <t>NG</t>
        </is>
      </c>
      <c r="E83" s="61" t="inlineStr">
        <is>
          <t>W2</t>
        </is>
      </c>
      <c r="F83" s="61" t="inlineStr">
        <is>
          <t>K014</t>
        </is>
      </c>
      <c r="G83" s="64" t="n">
        <v>5.36</v>
      </c>
      <c r="H83" s="65" t="n"/>
      <c r="I83" s="66" t="n"/>
      <c r="J83" s="67">
        <f>VLOOKUP(C83,Recipes!$A$2:$N$4,10,FALSE())</f>
        <v/>
      </c>
      <c r="K83" s="68">
        <f>VLOOKUP(C83,Recipes!$A$2:$N$4,12,FALSE())</f>
        <v/>
      </c>
      <c r="L83" s="67">
        <f>J83-3*K83</f>
        <v/>
      </c>
      <c r="M83" s="67">
        <f>J83+3*K83</f>
        <v/>
      </c>
      <c r="N83" s="61">
        <f>IF(G83="","",IF(AND(G83&gt;=L83,G83&lt;=M83),"OK","NG"))</f>
        <v/>
      </c>
      <c r="O83" s="69">
        <f>IF(N83="","",IF(N83=D83,1,0))</f>
        <v/>
      </c>
      <c r="P83" s="67">
        <f>IF(G83="","",J83-G83)</f>
        <v/>
      </c>
      <c r="Q83" s="67">
        <f>IF(G83="","",ABS(P83-Components!$D$2))</f>
        <v/>
      </c>
      <c r="R83" s="67">
        <f>IF(G83="","",ABS(P83-Components!$D$3))</f>
        <v/>
      </c>
      <c r="S83" s="67">
        <f>IF(G83="","",ABS(P83-Components!$D$4))</f>
        <v/>
      </c>
      <c r="T83" s="67">
        <f>IF(G83="","",ABS(P83-Components!$D$5))</f>
        <v/>
      </c>
      <c r="U83" s="67">
        <f>IF(G83="","",ABS(P83-Components!$D$6))</f>
        <v/>
      </c>
      <c r="V83" s="67">
        <f>IF(G83="","",ABS(P83-Components!$D$7))</f>
        <v/>
      </c>
      <c r="W83" s="61">
        <f>IF(G83="","",IF(N83="OK","NONE",INDEX({"S1","S2","W1","W2","N1","N2"},MATCH(MIN(Q83:V83),Q83:V83,0))))</f>
        <v/>
      </c>
      <c r="X83" s="69">
        <f>IF(G83="","",IF(W83=E83,1,0))</f>
        <v/>
      </c>
    </row>
    <row r="84">
      <c r="A84" s="61" t="n">
        <v>14</v>
      </c>
      <c r="B84" s="62" t="n">
        <v>45</v>
      </c>
      <c r="C84" s="61" t="inlineStr">
        <is>
          <t>R3</t>
        </is>
      </c>
      <c r="D84" s="74" t="inlineStr">
        <is>
          <t>NG</t>
        </is>
      </c>
      <c r="E84" s="61" t="inlineStr">
        <is>
          <t>W2</t>
        </is>
      </c>
      <c r="F84" s="61" t="inlineStr">
        <is>
          <t>K014</t>
        </is>
      </c>
      <c r="G84" s="64" t="n">
        <v>5.42</v>
      </c>
      <c r="H84" s="65" t="n"/>
      <c r="I84" s="66" t="n"/>
      <c r="J84" s="67">
        <f>VLOOKUP(C84,Recipes!$A$2:$N$4,10,FALSE())</f>
        <v/>
      </c>
      <c r="K84" s="68">
        <f>VLOOKUP(C84,Recipes!$A$2:$N$4,12,FALSE())</f>
        <v/>
      </c>
      <c r="L84" s="67">
        <f>J84-3*K84</f>
        <v/>
      </c>
      <c r="M84" s="67">
        <f>J84+3*K84</f>
        <v/>
      </c>
      <c r="N84" s="61">
        <f>IF(G84="","",IF(AND(G84&gt;=L84,G84&lt;=M84),"OK","NG"))</f>
        <v/>
      </c>
      <c r="O84" s="69">
        <f>IF(N84="","",IF(N84=D84,1,0))</f>
        <v/>
      </c>
      <c r="P84" s="67">
        <f>IF(G84="","",J84-G84)</f>
        <v/>
      </c>
      <c r="Q84" s="67">
        <f>IF(G84="","",ABS(P84-Components!$D$2))</f>
        <v/>
      </c>
      <c r="R84" s="67">
        <f>IF(G84="","",ABS(P84-Components!$D$3))</f>
        <v/>
      </c>
      <c r="S84" s="67">
        <f>IF(G84="","",ABS(P84-Components!$D$4))</f>
        <v/>
      </c>
      <c r="T84" s="67">
        <f>IF(G84="","",ABS(P84-Components!$D$5))</f>
        <v/>
      </c>
      <c r="U84" s="67">
        <f>IF(G84="","",ABS(P84-Components!$D$6))</f>
        <v/>
      </c>
      <c r="V84" s="67">
        <f>IF(G84="","",ABS(P84-Components!$D$7))</f>
        <v/>
      </c>
      <c r="W84" s="61">
        <f>IF(G84="","",IF(N84="OK","NONE",INDEX({"S1","S2","W1","W2","N1","N2"},MATCH(MIN(Q84:V84),Q84:V84,0))))</f>
        <v/>
      </c>
      <c r="X84" s="69">
        <f>IF(G84="","",IF(W84=E84,1,0))</f>
        <v/>
      </c>
    </row>
    <row r="85">
      <c r="A85" s="61" t="n">
        <v>14</v>
      </c>
      <c r="B85" s="62" t="n">
        <v>45</v>
      </c>
      <c r="C85" s="61" t="inlineStr">
        <is>
          <t>R3</t>
        </is>
      </c>
      <c r="D85" s="74" t="inlineStr">
        <is>
          <t>NG</t>
        </is>
      </c>
      <c r="E85" s="61" t="inlineStr">
        <is>
          <t>W2</t>
        </is>
      </c>
      <c r="F85" s="61" t="inlineStr">
        <is>
          <t>K014</t>
        </is>
      </c>
      <c r="G85" s="64" t="n">
        <v>5.37</v>
      </c>
      <c r="H85" s="65" t="n"/>
      <c r="I85" s="66" t="n"/>
      <c r="J85" s="67">
        <f>VLOOKUP(C85,Recipes!$A$2:$N$4,10,FALSE())</f>
        <v/>
      </c>
      <c r="K85" s="68">
        <f>VLOOKUP(C85,Recipes!$A$2:$N$4,12,FALSE())</f>
        <v/>
      </c>
      <c r="L85" s="67">
        <f>J85-3*K85</f>
        <v/>
      </c>
      <c r="M85" s="67">
        <f>J85+3*K85</f>
        <v/>
      </c>
      <c r="N85" s="61">
        <f>IF(G85="","",IF(AND(G85&gt;=L85,G85&lt;=M85),"OK","NG"))</f>
        <v/>
      </c>
      <c r="O85" s="69">
        <f>IF(N85="","",IF(N85=D85,1,0))</f>
        <v/>
      </c>
      <c r="P85" s="67">
        <f>IF(G85="","",J85-G85)</f>
        <v/>
      </c>
      <c r="Q85" s="67">
        <f>IF(G85="","",ABS(P85-Components!$D$2))</f>
        <v/>
      </c>
      <c r="R85" s="67">
        <f>IF(G85="","",ABS(P85-Components!$D$3))</f>
        <v/>
      </c>
      <c r="S85" s="67">
        <f>IF(G85="","",ABS(P85-Components!$D$4))</f>
        <v/>
      </c>
      <c r="T85" s="67">
        <f>IF(G85="","",ABS(P85-Components!$D$5))</f>
        <v/>
      </c>
      <c r="U85" s="67">
        <f>IF(G85="","",ABS(P85-Components!$D$6))</f>
        <v/>
      </c>
      <c r="V85" s="67">
        <f>IF(G85="","",ABS(P85-Components!$D$7))</f>
        <v/>
      </c>
      <c r="W85" s="61">
        <f>IF(G85="","",IF(N85="OK","NONE",INDEX({"S1","S2","W1","W2","N1","N2"},MATCH(MIN(Q85:V85),Q85:V85,0))))</f>
        <v/>
      </c>
      <c r="X85" s="69">
        <f>IF(G85="","",IF(W85=E85,1,0))</f>
        <v/>
      </c>
    </row>
    <row r="86">
      <c r="A86" s="61" t="n">
        <v>14</v>
      </c>
      <c r="B86" s="62" t="n">
        <v>45</v>
      </c>
      <c r="C86" s="61" t="inlineStr">
        <is>
          <t>R3</t>
        </is>
      </c>
      <c r="D86" s="74" t="inlineStr">
        <is>
          <t>NG</t>
        </is>
      </c>
      <c r="E86" s="61" t="inlineStr">
        <is>
          <t>W2</t>
        </is>
      </c>
      <c r="F86" s="61" t="inlineStr">
        <is>
          <t>K014</t>
        </is>
      </c>
      <c r="G86" s="64" t="n">
        <v>5.4</v>
      </c>
      <c r="H86" s="65" t="n"/>
      <c r="I86" s="66" t="n"/>
      <c r="J86" s="67">
        <f>VLOOKUP(C86,Recipes!$A$2:$N$4,10,FALSE())</f>
        <v/>
      </c>
      <c r="K86" s="68">
        <f>VLOOKUP(C86,Recipes!$A$2:$N$4,12,FALSE())</f>
        <v/>
      </c>
      <c r="L86" s="67">
        <f>J86-3*K86</f>
        <v/>
      </c>
      <c r="M86" s="67">
        <f>J86+3*K86</f>
        <v/>
      </c>
      <c r="N86" s="61">
        <f>IF(G86="","",IF(AND(G86&gt;=L86,G86&lt;=M86),"OK","NG"))</f>
        <v/>
      </c>
      <c r="O86" s="69">
        <f>IF(N86="","",IF(N86=D86,1,0))</f>
        <v/>
      </c>
      <c r="P86" s="67">
        <f>IF(G86="","",J86-G86)</f>
        <v/>
      </c>
      <c r="Q86" s="67">
        <f>IF(G86="","",ABS(P86-Components!$D$2))</f>
        <v/>
      </c>
      <c r="R86" s="67">
        <f>IF(G86="","",ABS(P86-Components!$D$3))</f>
        <v/>
      </c>
      <c r="S86" s="67">
        <f>IF(G86="","",ABS(P86-Components!$D$4))</f>
        <v/>
      </c>
      <c r="T86" s="67">
        <f>IF(G86="","",ABS(P86-Components!$D$5))</f>
        <v/>
      </c>
      <c r="U86" s="67">
        <f>IF(G86="","",ABS(P86-Components!$D$6))</f>
        <v/>
      </c>
      <c r="V86" s="67">
        <f>IF(G86="","",ABS(P86-Components!$D$7))</f>
        <v/>
      </c>
      <c r="W86" s="61">
        <f>IF(G86="","",IF(N86="OK","NONE",INDEX({"S1","S2","W1","W2","N1","N2"},MATCH(MIN(Q86:V86),Q86:V86,0))))</f>
        <v/>
      </c>
      <c r="X86" s="69">
        <f>IF(G86="","",IF(W86=E86,1,0))</f>
        <v/>
      </c>
    </row>
    <row r="87">
      <c r="A87" s="61" t="n">
        <v>14</v>
      </c>
      <c r="B87" s="62" t="n">
        <v>45</v>
      </c>
      <c r="C87" s="61" t="inlineStr">
        <is>
          <t>R3</t>
        </is>
      </c>
      <c r="D87" s="74" t="inlineStr">
        <is>
          <t>NG</t>
        </is>
      </c>
      <c r="E87" s="61" t="inlineStr">
        <is>
          <t>W2</t>
        </is>
      </c>
      <c r="F87" s="61" t="inlineStr">
        <is>
          <t>K014</t>
        </is>
      </c>
      <c r="G87" s="64" t="n">
        <v>5.35</v>
      </c>
      <c r="H87" s="65" t="n"/>
      <c r="I87" s="66" t="n"/>
      <c r="J87" s="67">
        <f>VLOOKUP(C87,Recipes!$A$2:$N$4,10,FALSE())</f>
        <v/>
      </c>
      <c r="K87" s="68">
        <f>VLOOKUP(C87,Recipes!$A$2:$N$4,12,FALSE())</f>
        <v/>
      </c>
      <c r="L87" s="67">
        <f>J87-3*K87</f>
        <v/>
      </c>
      <c r="M87" s="67">
        <f>J87+3*K87</f>
        <v/>
      </c>
      <c r="N87" s="61">
        <f>IF(G87="","",IF(AND(G87&gt;=L87,G87&lt;=M87),"OK","NG"))</f>
        <v/>
      </c>
      <c r="O87" s="69">
        <f>IF(N87="","",IF(N87=D87,1,0))</f>
        <v/>
      </c>
      <c r="P87" s="67">
        <f>IF(G87="","",J87-G87)</f>
        <v/>
      </c>
      <c r="Q87" s="67">
        <f>IF(G87="","",ABS(P87-Components!$D$2))</f>
        <v/>
      </c>
      <c r="R87" s="67">
        <f>IF(G87="","",ABS(P87-Components!$D$3))</f>
        <v/>
      </c>
      <c r="S87" s="67">
        <f>IF(G87="","",ABS(P87-Components!$D$4))</f>
        <v/>
      </c>
      <c r="T87" s="67">
        <f>IF(G87="","",ABS(P87-Components!$D$5))</f>
        <v/>
      </c>
      <c r="U87" s="67">
        <f>IF(G87="","",ABS(P87-Components!$D$6))</f>
        <v/>
      </c>
      <c r="V87" s="67">
        <f>IF(G87="","",ABS(P87-Components!$D$7))</f>
        <v/>
      </c>
      <c r="W87" s="61">
        <f>IF(G87="","",IF(N87="OK","NONE",INDEX({"S1","S2","W1","W2","N1","N2"},MATCH(MIN(Q87:V87),Q87:V87,0))))</f>
        <v/>
      </c>
      <c r="X87" s="69">
        <f>IF(G87="","",IF(W87=E87,1,0))</f>
        <v/>
      </c>
    </row>
    <row r="88">
      <c r="A88" s="61" t="n">
        <v>14</v>
      </c>
      <c r="B88" s="62" t="n">
        <v>45</v>
      </c>
      <c r="C88" s="61" t="inlineStr">
        <is>
          <t>R3</t>
        </is>
      </c>
      <c r="D88" s="74" t="inlineStr">
        <is>
          <t>NG</t>
        </is>
      </c>
      <c r="E88" s="61" t="inlineStr">
        <is>
          <t>W2</t>
        </is>
      </c>
      <c r="F88" s="61" t="inlineStr">
        <is>
          <t>K014</t>
        </is>
      </c>
      <c r="G88" s="64" t="n">
        <v>5.38</v>
      </c>
      <c r="H88" s="65" t="n"/>
      <c r="I88" s="66" t="n"/>
      <c r="J88" s="67">
        <f>VLOOKUP(C88,Recipes!$A$2:$N$4,10,FALSE())</f>
        <v/>
      </c>
      <c r="K88" s="68">
        <f>VLOOKUP(C88,Recipes!$A$2:$N$4,12,FALSE())</f>
        <v/>
      </c>
      <c r="L88" s="67">
        <f>J88-3*K88</f>
        <v/>
      </c>
      <c r="M88" s="67">
        <f>J88+3*K88</f>
        <v/>
      </c>
      <c r="N88" s="61">
        <f>IF(G88="","",IF(AND(G88&gt;=L88,G88&lt;=M88),"OK","NG"))</f>
        <v/>
      </c>
      <c r="O88" s="69">
        <f>IF(N88="","",IF(N88=D88,1,0))</f>
        <v/>
      </c>
      <c r="P88" s="67">
        <f>IF(G88="","",J88-G88)</f>
        <v/>
      </c>
      <c r="Q88" s="67">
        <f>IF(G88="","",ABS(P88-Components!$D$2))</f>
        <v/>
      </c>
      <c r="R88" s="67">
        <f>IF(G88="","",ABS(P88-Components!$D$3))</f>
        <v/>
      </c>
      <c r="S88" s="67">
        <f>IF(G88="","",ABS(P88-Components!$D$4))</f>
        <v/>
      </c>
      <c r="T88" s="67">
        <f>IF(G88="","",ABS(P88-Components!$D$5))</f>
        <v/>
      </c>
      <c r="U88" s="67">
        <f>IF(G88="","",ABS(P88-Components!$D$6))</f>
        <v/>
      </c>
      <c r="V88" s="67">
        <f>IF(G88="","",ABS(P88-Components!$D$7))</f>
        <v/>
      </c>
      <c r="W88" s="61">
        <f>IF(G88="","",IF(N88="OK","NONE",INDEX({"S1","S2","W1","W2","N1","N2"},MATCH(MIN(Q88:V88),Q88:V88,0))))</f>
        <v/>
      </c>
      <c r="X88" s="69">
        <f>IF(G88="","",IF(W88=E88,1,0))</f>
        <v/>
      </c>
    </row>
    <row r="89">
      <c r="A89" s="61" t="n">
        <v>14</v>
      </c>
      <c r="B89" s="62" t="n">
        <v>45</v>
      </c>
      <c r="C89" s="61" t="inlineStr">
        <is>
          <t>R3</t>
        </is>
      </c>
      <c r="D89" s="74" t="inlineStr">
        <is>
          <t>NG</t>
        </is>
      </c>
      <c r="E89" s="61" t="inlineStr">
        <is>
          <t>W2</t>
        </is>
      </c>
      <c r="F89" s="61" t="inlineStr">
        <is>
          <t>K014</t>
        </is>
      </c>
      <c r="G89" s="64" t="n">
        <v>5.34</v>
      </c>
      <c r="H89" s="65" t="n"/>
      <c r="I89" s="66" t="n"/>
      <c r="J89" s="67">
        <f>VLOOKUP(C89,Recipes!$A$2:$N$4,10,FALSE())</f>
        <v/>
      </c>
      <c r="K89" s="68">
        <f>VLOOKUP(C89,Recipes!$A$2:$N$4,12,FALSE())</f>
        <v/>
      </c>
      <c r="L89" s="67">
        <f>J89-3*K89</f>
        <v/>
      </c>
      <c r="M89" s="67">
        <f>J89+3*K89</f>
        <v/>
      </c>
      <c r="N89" s="61">
        <f>IF(G89="","",IF(AND(G89&gt;=L89,G89&lt;=M89),"OK","NG"))</f>
        <v/>
      </c>
      <c r="O89" s="69">
        <f>IF(N89="","",IF(N89=D89,1,0))</f>
        <v/>
      </c>
      <c r="P89" s="67">
        <f>IF(G89="","",J89-G89)</f>
        <v/>
      </c>
      <c r="Q89" s="67">
        <f>IF(G89="","",ABS(P89-Components!$D$2))</f>
        <v/>
      </c>
      <c r="R89" s="67">
        <f>IF(G89="","",ABS(P89-Components!$D$3))</f>
        <v/>
      </c>
      <c r="S89" s="67">
        <f>IF(G89="","",ABS(P89-Components!$D$4))</f>
        <v/>
      </c>
      <c r="T89" s="67">
        <f>IF(G89="","",ABS(P89-Components!$D$5))</f>
        <v/>
      </c>
      <c r="U89" s="67">
        <f>IF(G89="","",ABS(P89-Components!$D$6))</f>
        <v/>
      </c>
      <c r="V89" s="67">
        <f>IF(G89="","",ABS(P89-Components!$D$7))</f>
        <v/>
      </c>
      <c r="W89" s="61">
        <f>IF(G89="","",IF(N89="OK","NONE",INDEX({"S1","S2","W1","W2","N1","N2"},MATCH(MIN(Q89:V89),Q89:V89,0))))</f>
        <v/>
      </c>
      <c r="X89" s="69">
        <f>IF(G89="","",IF(W89=E89,1,0))</f>
        <v/>
      </c>
    </row>
    <row r="90">
      <c r="A90" s="61" t="n">
        <v>14</v>
      </c>
      <c r="B90" s="62" t="n">
        <v>45</v>
      </c>
      <c r="C90" s="61" t="inlineStr">
        <is>
          <t>R3</t>
        </is>
      </c>
      <c r="D90" s="74" t="inlineStr">
        <is>
          <t>NG</t>
        </is>
      </c>
      <c r="E90" s="61" t="inlineStr">
        <is>
          <t>W2</t>
        </is>
      </c>
      <c r="F90" s="61" t="inlineStr">
        <is>
          <t>K014</t>
        </is>
      </c>
      <c r="G90" s="64" t="n">
        <v>5.42</v>
      </c>
      <c r="H90" s="65" t="n"/>
      <c r="I90" s="66" t="n"/>
      <c r="J90" s="67">
        <f>VLOOKUP(C90,Recipes!$A$2:$N$4,10,FALSE())</f>
        <v/>
      </c>
      <c r="K90" s="68">
        <f>VLOOKUP(C90,Recipes!$A$2:$N$4,12,FALSE())</f>
        <v/>
      </c>
      <c r="L90" s="67">
        <f>J90-3*K90</f>
        <v/>
      </c>
      <c r="M90" s="67">
        <f>J90+3*K90</f>
        <v/>
      </c>
      <c r="N90" s="61">
        <f>IF(G90="","",IF(AND(G90&gt;=L90,G90&lt;=M90),"OK","NG"))</f>
        <v/>
      </c>
      <c r="O90" s="69">
        <f>IF(N90="","",IF(N90=D90,1,0))</f>
        <v/>
      </c>
      <c r="P90" s="67">
        <f>IF(G90="","",J90-G90)</f>
        <v/>
      </c>
      <c r="Q90" s="67">
        <f>IF(G90="","",ABS(P90-Components!$D$2))</f>
        <v/>
      </c>
      <c r="R90" s="67">
        <f>IF(G90="","",ABS(P90-Components!$D$3))</f>
        <v/>
      </c>
      <c r="S90" s="67">
        <f>IF(G90="","",ABS(P90-Components!$D$4))</f>
        <v/>
      </c>
      <c r="T90" s="67">
        <f>IF(G90="","",ABS(P90-Components!$D$5))</f>
        <v/>
      </c>
      <c r="U90" s="67">
        <f>IF(G90="","",ABS(P90-Components!$D$6))</f>
        <v/>
      </c>
      <c r="V90" s="67">
        <f>IF(G90="","",ABS(P90-Components!$D$7))</f>
        <v/>
      </c>
      <c r="W90" s="61">
        <f>IF(G90="","",IF(N90="OK","NONE",INDEX({"S1","S2","W1","W2","N1","N2"},MATCH(MIN(Q90:V90),Q90:V90,0))))</f>
        <v/>
      </c>
      <c r="X90" s="69">
        <f>IF(G90="","",IF(W90=E90,1,0))</f>
        <v/>
      </c>
    </row>
    <row r="91">
      <c r="A91" s="61" t="n">
        <v>14</v>
      </c>
      <c r="B91" s="62" t="n">
        <v>45</v>
      </c>
      <c r="C91" s="61" t="inlineStr">
        <is>
          <t>R3</t>
        </is>
      </c>
      <c r="D91" s="74" t="inlineStr">
        <is>
          <t>NG</t>
        </is>
      </c>
      <c r="E91" s="61" t="inlineStr">
        <is>
          <t>W2</t>
        </is>
      </c>
      <c r="F91" s="61" t="inlineStr">
        <is>
          <t>K014</t>
        </is>
      </c>
      <c r="G91" s="64" t="n">
        <v>5.4</v>
      </c>
      <c r="H91" s="65" t="n"/>
      <c r="I91" s="66" t="n"/>
      <c r="J91" s="67">
        <f>VLOOKUP(C91,Recipes!$A$2:$N$4,10,FALSE())</f>
        <v/>
      </c>
      <c r="K91" s="68">
        <f>VLOOKUP(C91,Recipes!$A$2:$N$4,12,FALSE())</f>
        <v/>
      </c>
      <c r="L91" s="67">
        <f>J91-3*K91</f>
        <v/>
      </c>
      <c r="M91" s="67">
        <f>J91+3*K91</f>
        <v/>
      </c>
      <c r="N91" s="61">
        <f>IF(G91="","",IF(AND(G91&gt;=L91,G91&lt;=M91),"OK","NG"))</f>
        <v/>
      </c>
      <c r="O91" s="69">
        <f>IF(N91="","",IF(N91=D91,1,0))</f>
        <v/>
      </c>
      <c r="P91" s="67">
        <f>IF(G91="","",J91-G91)</f>
        <v/>
      </c>
      <c r="Q91" s="67">
        <f>IF(G91="","",ABS(P91-Components!$D$2))</f>
        <v/>
      </c>
      <c r="R91" s="67">
        <f>IF(G91="","",ABS(P91-Components!$D$3))</f>
        <v/>
      </c>
      <c r="S91" s="67">
        <f>IF(G91="","",ABS(P91-Components!$D$4))</f>
        <v/>
      </c>
      <c r="T91" s="67">
        <f>IF(G91="","",ABS(P91-Components!$D$5))</f>
        <v/>
      </c>
      <c r="U91" s="67">
        <f>IF(G91="","",ABS(P91-Components!$D$6))</f>
        <v/>
      </c>
      <c r="V91" s="67">
        <f>IF(G91="","",ABS(P91-Components!$D$7))</f>
        <v/>
      </c>
      <c r="W91" s="61">
        <f>IF(G91="","",IF(N91="OK","NONE",INDEX({"S1","S2","W1","W2","N1","N2"},MATCH(MIN(Q91:V91),Q91:V91,0))))</f>
        <v/>
      </c>
      <c r="X91" s="69">
        <f>IF(G91="","",IF(W91=E91,1,0))</f>
        <v/>
      </c>
    </row>
    <row r="92">
      <c r="A92" s="61" t="n">
        <v>15</v>
      </c>
      <c r="B92" s="62" t="n">
        <v>30</v>
      </c>
      <c r="C92" s="61" t="inlineStr">
        <is>
          <t>R3</t>
        </is>
      </c>
      <c r="D92" s="74" t="inlineStr">
        <is>
          <t>NG</t>
        </is>
      </c>
      <c r="E92" s="61" t="inlineStr">
        <is>
          <t>W2</t>
        </is>
      </c>
      <c r="F92" s="61" t="inlineStr">
        <is>
          <t>K015</t>
        </is>
      </c>
      <c r="G92" s="64" t="n">
        <v>5.42</v>
      </c>
      <c r="H92" s="65" t="n"/>
      <c r="I92" s="66" t="n"/>
      <c r="J92" s="67">
        <f>VLOOKUP(C92,Recipes!$A$2:$N$4,10,FALSE())</f>
        <v/>
      </c>
      <c r="K92" s="68">
        <f>VLOOKUP(C92,Recipes!$A$2:$N$4,12,FALSE())</f>
        <v/>
      </c>
      <c r="L92" s="67">
        <f>J92-3*K92</f>
        <v/>
      </c>
      <c r="M92" s="67">
        <f>J92+3*K92</f>
        <v/>
      </c>
      <c r="N92" s="61">
        <f>IF(G92="","",IF(AND(G92&gt;=L92,G92&lt;=M92),"OK","NG"))</f>
        <v/>
      </c>
      <c r="O92" s="69">
        <f>IF(N92="","",IF(N92=D92,1,0))</f>
        <v/>
      </c>
      <c r="P92" s="67">
        <f>IF(G92="","",J92-G92)</f>
        <v/>
      </c>
      <c r="Q92" s="67">
        <f>IF(G92="","",ABS(P92-Components!$D$2))</f>
        <v/>
      </c>
      <c r="R92" s="67">
        <f>IF(G92="","",ABS(P92-Components!$D$3))</f>
        <v/>
      </c>
      <c r="S92" s="67">
        <f>IF(G92="","",ABS(P92-Components!$D$4))</f>
        <v/>
      </c>
      <c r="T92" s="67">
        <f>IF(G92="","",ABS(P92-Components!$D$5))</f>
        <v/>
      </c>
      <c r="U92" s="67">
        <f>IF(G92="","",ABS(P92-Components!$D$6))</f>
        <v/>
      </c>
      <c r="V92" s="67">
        <f>IF(G92="","",ABS(P92-Components!$D$7))</f>
        <v/>
      </c>
      <c r="W92" s="61">
        <f>IF(G92="","",IF(N92="OK","NONE",INDEX({"S1","S2","W1","W2","N1","N2"},MATCH(MIN(Q92:V92),Q92:V92,0))))</f>
        <v/>
      </c>
      <c r="X92" s="69">
        <f>IF(G92="","",IF(W92=E92,1,0))</f>
        <v/>
      </c>
    </row>
    <row r="93">
      <c r="A93" s="61" t="n">
        <v>16</v>
      </c>
      <c r="B93" s="62" t="n">
        <v>55</v>
      </c>
      <c r="C93" s="61" t="inlineStr">
        <is>
          <t>R3</t>
        </is>
      </c>
      <c r="D93" s="74" t="inlineStr">
        <is>
          <t>NG</t>
        </is>
      </c>
      <c r="E93" s="61" t="inlineStr">
        <is>
          <t>N2</t>
        </is>
      </c>
      <c r="F93" s="61" t="inlineStr">
        <is>
          <t>K016</t>
        </is>
      </c>
      <c r="G93" s="64" t="n">
        <v>8.609999999999999</v>
      </c>
      <c r="H93" s="65" t="n"/>
      <c r="I93" s="66" t="n"/>
      <c r="J93" s="67">
        <f>VLOOKUP(C93,Recipes!$A$2:$N$4,10,FALSE())</f>
        <v/>
      </c>
      <c r="K93" s="68">
        <f>VLOOKUP(C93,Recipes!$A$2:$N$4,12,FALSE())</f>
        <v/>
      </c>
      <c r="L93" s="67">
        <f>J93-3*K93</f>
        <v/>
      </c>
      <c r="M93" s="67">
        <f>J93+3*K93</f>
        <v/>
      </c>
      <c r="N93" s="61">
        <f>IF(G93="","",IF(AND(G93&gt;=L93,G93&lt;=M93),"OK","NG"))</f>
        <v/>
      </c>
      <c r="O93" s="69">
        <f>IF(N93="","",IF(N93=D93,1,0))</f>
        <v/>
      </c>
      <c r="P93" s="67">
        <f>IF(G93="","",J93-G93)</f>
        <v/>
      </c>
      <c r="Q93" s="67">
        <f>IF(G93="","",ABS(P93-Components!$D$2))</f>
        <v/>
      </c>
      <c r="R93" s="67">
        <f>IF(G93="","",ABS(P93-Components!$D$3))</f>
        <v/>
      </c>
      <c r="S93" s="67">
        <f>IF(G93="","",ABS(P93-Components!$D$4))</f>
        <v/>
      </c>
      <c r="T93" s="67">
        <f>IF(G93="","",ABS(P93-Components!$D$5))</f>
        <v/>
      </c>
      <c r="U93" s="67">
        <f>IF(G93="","",ABS(P93-Components!$D$6))</f>
        <v/>
      </c>
      <c r="V93" s="67">
        <f>IF(G93="","",ABS(P93-Components!$D$7))</f>
        <v/>
      </c>
      <c r="W93" s="61">
        <f>IF(G93="","",IF(N93="OK","NONE",INDEX({"S1","S2","W1","W2","N1","N2"},MATCH(MIN(Q93:V93),Q93:V93,0))))</f>
        <v/>
      </c>
      <c r="X93" s="69">
        <f>IF(G93="","",IF(W93=E93,1,0))</f>
        <v/>
      </c>
    </row>
    <row r="94">
      <c r="A94" s="61" t="n">
        <v>17</v>
      </c>
      <c r="B94" s="62" t="n">
        <v>4</v>
      </c>
      <c r="C94" s="61" t="inlineStr">
        <is>
          <t>R3</t>
        </is>
      </c>
      <c r="D94" s="74" t="inlineStr">
        <is>
          <t>NG</t>
        </is>
      </c>
      <c r="E94" s="61" t="inlineStr">
        <is>
          <t>N2</t>
        </is>
      </c>
      <c r="F94" s="61" t="inlineStr">
        <is>
          <t>K017</t>
        </is>
      </c>
      <c r="G94" s="64" t="n">
        <v>8.619999999999999</v>
      </c>
      <c r="H94" s="65" t="n"/>
      <c r="I94" s="66" t="n"/>
      <c r="J94" s="67">
        <f>VLOOKUP(C94,Recipes!$A$2:$N$4,10,FALSE())</f>
        <v/>
      </c>
      <c r="K94" s="68">
        <f>VLOOKUP(C94,Recipes!$A$2:$N$4,12,FALSE())</f>
        <v/>
      </c>
      <c r="L94" s="67">
        <f>J94-3*K94</f>
        <v/>
      </c>
      <c r="M94" s="67">
        <f>J94+3*K94</f>
        <v/>
      </c>
      <c r="N94" s="61">
        <f>IF(G94="","",IF(AND(G94&gt;=L94,G94&lt;=M94),"OK","NG"))</f>
        <v/>
      </c>
      <c r="O94" s="69">
        <f>IF(N94="","",IF(N94=D94,1,0))</f>
        <v/>
      </c>
      <c r="P94" s="67">
        <f>IF(G94="","",J94-G94)</f>
        <v/>
      </c>
      <c r="Q94" s="67">
        <f>IF(G94="","",ABS(P94-Components!$D$2))</f>
        <v/>
      </c>
      <c r="R94" s="67">
        <f>IF(G94="","",ABS(P94-Components!$D$3))</f>
        <v/>
      </c>
      <c r="S94" s="67">
        <f>IF(G94="","",ABS(P94-Components!$D$4))</f>
        <v/>
      </c>
      <c r="T94" s="67">
        <f>IF(G94="","",ABS(P94-Components!$D$5))</f>
        <v/>
      </c>
      <c r="U94" s="67">
        <f>IF(G94="","",ABS(P94-Components!$D$6))</f>
        <v/>
      </c>
      <c r="V94" s="67">
        <f>IF(G94="","",ABS(P94-Components!$D$7))</f>
        <v/>
      </c>
      <c r="W94" s="61">
        <f>IF(G94="","",IF(N94="OK","NONE",INDEX({"S1","S2","W1","W2","N1","N2"},MATCH(MIN(Q94:V94),Q94:V94,0))))</f>
        <v/>
      </c>
      <c r="X94" s="69">
        <f>IF(G94="","",IF(W94=E94,1,0))</f>
        <v/>
      </c>
    </row>
    <row r="95">
      <c r="A95" s="61" t="n">
        <v>18</v>
      </c>
      <c r="B95" s="62" t="n">
        <v>22</v>
      </c>
      <c r="C95" s="61" t="inlineStr">
        <is>
          <t>R3</t>
        </is>
      </c>
      <c r="D95" s="74" t="inlineStr">
        <is>
          <t>NG</t>
        </is>
      </c>
      <c r="E95" s="61" t="inlineStr">
        <is>
          <t>N2</t>
        </is>
      </c>
      <c r="F95" s="61" t="inlineStr">
        <is>
          <t>K018</t>
        </is>
      </c>
      <c r="G95" s="64" t="n">
        <v>8.630000000000001</v>
      </c>
      <c r="H95" s="65" t="n"/>
      <c r="I95" s="66" t="n"/>
      <c r="J95" s="67">
        <f>VLOOKUP(C95,Recipes!$A$2:$N$4,10,FALSE())</f>
        <v/>
      </c>
      <c r="K95" s="68">
        <f>VLOOKUP(C95,Recipes!$A$2:$N$4,12,FALSE())</f>
        <v/>
      </c>
      <c r="L95" s="67">
        <f>J95-3*K95</f>
        <v/>
      </c>
      <c r="M95" s="67">
        <f>J95+3*K95</f>
        <v/>
      </c>
      <c r="N95" s="61">
        <f>IF(G95="","",IF(AND(G95&gt;=L95,G95&lt;=M95),"OK","NG"))</f>
        <v/>
      </c>
      <c r="O95" s="69">
        <f>IF(N95="","",IF(N95=D95,1,0))</f>
        <v/>
      </c>
      <c r="P95" s="67">
        <f>IF(G95="","",J95-G95)</f>
        <v/>
      </c>
      <c r="Q95" s="67">
        <f>IF(G95="","",ABS(P95-Components!$D$2))</f>
        <v/>
      </c>
      <c r="R95" s="67">
        <f>IF(G95="","",ABS(P95-Components!$D$3))</f>
        <v/>
      </c>
      <c r="S95" s="67">
        <f>IF(G95="","",ABS(P95-Components!$D$4))</f>
        <v/>
      </c>
      <c r="T95" s="67">
        <f>IF(G95="","",ABS(P95-Components!$D$5))</f>
        <v/>
      </c>
      <c r="U95" s="67">
        <f>IF(G95="","",ABS(P95-Components!$D$6))</f>
        <v/>
      </c>
      <c r="V95" s="67">
        <f>IF(G95="","",ABS(P95-Components!$D$7))</f>
        <v/>
      </c>
      <c r="W95" s="61">
        <f>IF(G95="","",IF(N95="OK","NONE",INDEX({"S1","S2","W1","W2","N1","N2"},MATCH(MIN(Q95:V95),Q95:V95,0))))</f>
        <v/>
      </c>
      <c r="X95" s="69">
        <f>IF(G95="","",IF(W95=E95,1,0))</f>
        <v/>
      </c>
    </row>
    <row r="96">
      <c r="A96" s="61" t="n">
        <v>19</v>
      </c>
      <c r="B96" s="62" t="n">
        <v>47</v>
      </c>
      <c r="C96" s="61" t="inlineStr">
        <is>
          <t>R3</t>
        </is>
      </c>
      <c r="D96" s="74" t="inlineStr">
        <is>
          <t>NG</t>
        </is>
      </c>
      <c r="E96" s="61" t="inlineStr">
        <is>
          <t>N2</t>
        </is>
      </c>
      <c r="F96" s="61" t="inlineStr">
        <is>
          <t>K019</t>
        </is>
      </c>
      <c r="G96" s="64" t="n">
        <v>8.619999999999999</v>
      </c>
      <c r="H96" s="65" t="n"/>
      <c r="I96" s="66" t="n"/>
      <c r="J96" s="67">
        <f>VLOOKUP(C96,Recipes!$A$2:$N$4,10,FALSE())</f>
        <v/>
      </c>
      <c r="K96" s="68">
        <f>VLOOKUP(C96,Recipes!$A$2:$N$4,12,FALSE())</f>
        <v/>
      </c>
      <c r="L96" s="67">
        <f>J96-3*K96</f>
        <v/>
      </c>
      <c r="M96" s="67">
        <f>J96+3*K96</f>
        <v/>
      </c>
      <c r="N96" s="61">
        <f>IF(G96="","",IF(AND(G96&gt;=L96,G96&lt;=M96),"OK","NG"))</f>
        <v/>
      </c>
      <c r="O96" s="69">
        <f>IF(N96="","",IF(N96=D96,1,0))</f>
        <v/>
      </c>
      <c r="P96" s="67">
        <f>IF(G96="","",J96-G96)</f>
        <v/>
      </c>
      <c r="Q96" s="67">
        <f>IF(G96="","",ABS(P96-Components!$D$2))</f>
        <v/>
      </c>
      <c r="R96" s="67">
        <f>IF(G96="","",ABS(P96-Components!$D$3))</f>
        <v/>
      </c>
      <c r="S96" s="67">
        <f>IF(G96="","",ABS(P96-Components!$D$4))</f>
        <v/>
      </c>
      <c r="T96" s="67">
        <f>IF(G96="","",ABS(P96-Components!$D$5))</f>
        <v/>
      </c>
      <c r="U96" s="67">
        <f>IF(G96="","",ABS(P96-Components!$D$6))</f>
        <v/>
      </c>
      <c r="V96" s="67">
        <f>IF(G96="","",ABS(P96-Components!$D$7))</f>
        <v/>
      </c>
      <c r="W96" s="61">
        <f>IF(G96="","",IF(N96="OK","NONE",INDEX({"S1","S2","W1","W2","N1","N2"},MATCH(MIN(Q96:V96),Q96:V96,0))))</f>
        <v/>
      </c>
      <c r="X96" s="69">
        <f>IF(G96="","",IF(W96=E96,1,0))</f>
        <v/>
      </c>
    </row>
    <row r="97">
      <c r="A97" s="61" t="n">
        <v>19</v>
      </c>
      <c r="B97" s="62" t="n">
        <v>47</v>
      </c>
      <c r="C97" s="61" t="inlineStr">
        <is>
          <t>R3</t>
        </is>
      </c>
      <c r="D97" s="74" t="inlineStr">
        <is>
          <t>NG</t>
        </is>
      </c>
      <c r="E97" s="61" t="inlineStr">
        <is>
          <t>N2</t>
        </is>
      </c>
      <c r="F97" s="61" t="inlineStr">
        <is>
          <t>K019</t>
        </is>
      </c>
      <c r="G97" s="64" t="n">
        <v>8.539999999999999</v>
      </c>
      <c r="H97" s="65" t="n"/>
      <c r="I97" s="66" t="n"/>
      <c r="J97" s="67">
        <f>VLOOKUP(C97,Recipes!$A$2:$N$4,10,FALSE())</f>
        <v/>
      </c>
      <c r="K97" s="68">
        <f>VLOOKUP(C97,Recipes!$A$2:$N$4,12,FALSE())</f>
        <v/>
      </c>
      <c r="L97" s="67">
        <f>J97-3*K97</f>
        <v/>
      </c>
      <c r="M97" s="67">
        <f>J97+3*K97</f>
        <v/>
      </c>
      <c r="N97" s="61">
        <f>IF(G97="","",IF(AND(G97&gt;=L97,G97&lt;=M97),"OK","NG"))</f>
        <v/>
      </c>
      <c r="O97" s="69">
        <f>IF(N97="","",IF(N97=D97,1,0))</f>
        <v/>
      </c>
      <c r="P97" s="67">
        <f>IF(G97="","",J97-G97)</f>
        <v/>
      </c>
      <c r="Q97" s="67">
        <f>IF(G97="","",ABS(P97-Components!$D$2))</f>
        <v/>
      </c>
      <c r="R97" s="67">
        <f>IF(G97="","",ABS(P97-Components!$D$3))</f>
        <v/>
      </c>
      <c r="S97" s="67">
        <f>IF(G97="","",ABS(P97-Components!$D$4))</f>
        <v/>
      </c>
      <c r="T97" s="67">
        <f>IF(G97="","",ABS(P97-Components!$D$5))</f>
        <v/>
      </c>
      <c r="U97" s="67">
        <f>IF(G97="","",ABS(P97-Components!$D$6))</f>
        <v/>
      </c>
      <c r="V97" s="67">
        <f>IF(G97="","",ABS(P97-Components!$D$7))</f>
        <v/>
      </c>
      <c r="W97" s="61">
        <f>IF(G97="","",IF(N97="OK","NONE",INDEX({"S1","S2","W1","W2","N1","N2"},MATCH(MIN(Q97:V97),Q97:V97,0))))</f>
        <v/>
      </c>
      <c r="X97" s="69">
        <f>IF(G97="","",IF(W97=E97,1,0))</f>
        <v/>
      </c>
    </row>
    <row r="98">
      <c r="A98" s="61" t="n">
        <v>19</v>
      </c>
      <c r="B98" s="62" t="n">
        <v>47</v>
      </c>
      <c r="C98" s="61" t="inlineStr">
        <is>
          <t>R3</t>
        </is>
      </c>
      <c r="D98" s="74" t="inlineStr">
        <is>
          <t>NG</t>
        </is>
      </c>
      <c r="E98" s="61" t="inlineStr">
        <is>
          <t>N2</t>
        </is>
      </c>
      <c r="F98" s="61" t="inlineStr">
        <is>
          <t>K019</t>
        </is>
      </c>
      <c r="G98" s="64" t="n">
        <v>8.48</v>
      </c>
      <c r="H98" s="65" t="n"/>
      <c r="I98" s="66" t="n"/>
      <c r="J98" s="67">
        <f>VLOOKUP(C98,Recipes!$A$2:$N$4,10,FALSE())</f>
        <v/>
      </c>
      <c r="K98" s="68">
        <f>VLOOKUP(C98,Recipes!$A$2:$N$4,12,FALSE())</f>
        <v/>
      </c>
      <c r="L98" s="67">
        <f>J98-3*K98</f>
        <v/>
      </c>
      <c r="M98" s="67">
        <f>J98+3*K98</f>
        <v/>
      </c>
      <c r="N98" s="61">
        <f>IF(G98="","",IF(AND(G98&gt;=L98,G98&lt;=M98),"OK","NG"))</f>
        <v/>
      </c>
      <c r="O98" s="69">
        <f>IF(N98="","",IF(N98=D98,1,0))</f>
        <v/>
      </c>
      <c r="P98" s="67">
        <f>IF(G98="","",J98-G98)</f>
        <v/>
      </c>
      <c r="Q98" s="67">
        <f>IF(G98="","",ABS(P98-Components!$D$2))</f>
        <v/>
      </c>
      <c r="R98" s="67">
        <f>IF(G98="","",ABS(P98-Components!$D$3))</f>
        <v/>
      </c>
      <c r="S98" s="67">
        <f>IF(G98="","",ABS(P98-Components!$D$4))</f>
        <v/>
      </c>
      <c r="T98" s="67">
        <f>IF(G98="","",ABS(P98-Components!$D$5))</f>
        <v/>
      </c>
      <c r="U98" s="67">
        <f>IF(G98="","",ABS(P98-Components!$D$6))</f>
        <v/>
      </c>
      <c r="V98" s="67">
        <f>IF(G98="","",ABS(P98-Components!$D$7))</f>
        <v/>
      </c>
      <c r="W98" s="61">
        <f>IF(G98="","",IF(N98="OK","NONE",INDEX({"S1","S2","W1","W2","N1","N2"},MATCH(MIN(Q98:V98),Q98:V98,0))))</f>
        <v/>
      </c>
      <c r="X98" s="69">
        <f>IF(G98="","",IF(W98=E98,1,0))</f>
        <v/>
      </c>
    </row>
    <row r="99">
      <c r="A99" s="61" t="n">
        <v>19</v>
      </c>
      <c r="B99" s="62" t="n">
        <v>47</v>
      </c>
      <c r="C99" s="61" t="inlineStr">
        <is>
          <t>R3</t>
        </is>
      </c>
      <c r="D99" s="74" t="inlineStr">
        <is>
          <t>NG</t>
        </is>
      </c>
      <c r="E99" s="61" t="inlineStr">
        <is>
          <t>N2</t>
        </is>
      </c>
      <c r="F99" s="61" t="inlineStr">
        <is>
          <t>K019</t>
        </is>
      </c>
      <c r="G99" s="64" t="n">
        <v>8.6</v>
      </c>
      <c r="H99" s="65" t="n"/>
      <c r="I99" s="66" t="n"/>
      <c r="J99" s="67">
        <f>VLOOKUP(C99,Recipes!$A$2:$N$4,10,FALSE())</f>
        <v/>
      </c>
      <c r="K99" s="68">
        <f>VLOOKUP(C99,Recipes!$A$2:$N$4,12,FALSE())</f>
        <v/>
      </c>
      <c r="L99" s="67">
        <f>J99-3*K99</f>
        <v/>
      </c>
      <c r="M99" s="67">
        <f>J99+3*K99</f>
        <v/>
      </c>
      <c r="N99" s="61">
        <f>IF(G99="","",IF(AND(G99&gt;=L99,G99&lt;=M99),"OK","NG"))</f>
        <v/>
      </c>
      <c r="O99" s="69">
        <f>IF(N99="","",IF(N99=D99,1,0))</f>
        <v/>
      </c>
      <c r="P99" s="67">
        <f>IF(G99="","",J99-G99)</f>
        <v/>
      </c>
      <c r="Q99" s="67">
        <f>IF(G99="","",ABS(P99-Components!$D$2))</f>
        <v/>
      </c>
      <c r="R99" s="67">
        <f>IF(G99="","",ABS(P99-Components!$D$3))</f>
        <v/>
      </c>
      <c r="S99" s="67">
        <f>IF(G99="","",ABS(P99-Components!$D$4))</f>
        <v/>
      </c>
      <c r="T99" s="67">
        <f>IF(G99="","",ABS(P99-Components!$D$5))</f>
        <v/>
      </c>
      <c r="U99" s="67">
        <f>IF(G99="","",ABS(P99-Components!$D$6))</f>
        <v/>
      </c>
      <c r="V99" s="67">
        <f>IF(G99="","",ABS(P99-Components!$D$7))</f>
        <v/>
      </c>
      <c r="W99" s="61">
        <f>IF(G99="","",IF(N99="OK","NONE",INDEX({"S1","S2","W1","W2","N1","N2"},MATCH(MIN(Q99:V99),Q99:V99,0))))</f>
        <v/>
      </c>
      <c r="X99" s="69">
        <f>IF(G99="","",IF(W99=E99,1,0))</f>
        <v/>
      </c>
    </row>
    <row r="100">
      <c r="A100" s="61" t="n">
        <v>19</v>
      </c>
      <c r="B100" s="62" t="n">
        <v>47</v>
      </c>
      <c r="C100" s="61" t="inlineStr">
        <is>
          <t>R3</t>
        </is>
      </c>
      <c r="D100" s="74" t="inlineStr">
        <is>
          <t>NG</t>
        </is>
      </c>
      <c r="E100" s="61" t="inlineStr">
        <is>
          <t>N2</t>
        </is>
      </c>
      <c r="F100" s="61" t="inlineStr">
        <is>
          <t>K019</t>
        </is>
      </c>
      <c r="G100" s="64" t="n">
        <v>8.630000000000001</v>
      </c>
      <c r="H100" s="65" t="n"/>
      <c r="I100" s="66" t="n"/>
      <c r="J100" s="67">
        <f>VLOOKUP(C100,Recipes!$A$2:$N$4,10,FALSE())</f>
        <v/>
      </c>
      <c r="K100" s="68">
        <f>VLOOKUP(C100,Recipes!$A$2:$N$4,12,FALSE())</f>
        <v/>
      </c>
      <c r="L100" s="67">
        <f>J100-3*K100</f>
        <v/>
      </c>
      <c r="M100" s="67">
        <f>J100+3*K100</f>
        <v/>
      </c>
      <c r="N100" s="61">
        <f>IF(G100="","",IF(AND(G100&gt;=L100,G100&lt;=M100),"OK","NG"))</f>
        <v/>
      </c>
      <c r="O100" s="69">
        <f>IF(N100="","",IF(N100=D100,1,0))</f>
        <v/>
      </c>
      <c r="P100" s="67">
        <f>IF(G100="","",J100-G100)</f>
        <v/>
      </c>
      <c r="Q100" s="67">
        <f>IF(G100="","",ABS(P100-Components!$D$2))</f>
        <v/>
      </c>
      <c r="R100" s="67">
        <f>IF(G100="","",ABS(P100-Components!$D$3))</f>
        <v/>
      </c>
      <c r="S100" s="67">
        <f>IF(G100="","",ABS(P100-Components!$D$4))</f>
        <v/>
      </c>
      <c r="T100" s="67">
        <f>IF(G100="","",ABS(P100-Components!$D$5))</f>
        <v/>
      </c>
      <c r="U100" s="67">
        <f>IF(G100="","",ABS(P100-Components!$D$6))</f>
        <v/>
      </c>
      <c r="V100" s="67">
        <f>IF(G100="","",ABS(P100-Components!$D$7))</f>
        <v/>
      </c>
      <c r="W100" s="61">
        <f>IF(G100="","",IF(N100="OK","NONE",INDEX({"S1","S2","W1","W2","N1","N2"},MATCH(MIN(Q100:V100),Q100:V100,0))))</f>
        <v/>
      </c>
      <c r="X100" s="69">
        <f>IF(G100="","",IF(W100=E100,1,0))</f>
        <v/>
      </c>
    </row>
    <row r="101">
      <c r="A101" s="61" t="n">
        <v>19</v>
      </c>
      <c r="B101" s="62" t="n">
        <v>47</v>
      </c>
      <c r="C101" s="61" t="inlineStr">
        <is>
          <t>R3</t>
        </is>
      </c>
      <c r="D101" s="74" t="inlineStr">
        <is>
          <t>NG</t>
        </is>
      </c>
      <c r="E101" s="61" t="inlineStr">
        <is>
          <t>N2</t>
        </is>
      </c>
      <c r="F101" s="61" t="inlineStr">
        <is>
          <t>K019</t>
        </is>
      </c>
      <c r="G101" s="64" t="n">
        <v>8.6</v>
      </c>
      <c r="H101" s="65" t="n"/>
      <c r="I101" s="66" t="n"/>
      <c r="J101" s="67">
        <f>VLOOKUP(C101,Recipes!$A$2:$N$4,10,FALSE())</f>
        <v/>
      </c>
      <c r="K101" s="68">
        <f>VLOOKUP(C101,Recipes!$A$2:$N$4,12,FALSE())</f>
        <v/>
      </c>
      <c r="L101" s="67">
        <f>J101-3*K101</f>
        <v/>
      </c>
      <c r="M101" s="67">
        <f>J101+3*K101</f>
        <v/>
      </c>
      <c r="N101" s="61">
        <f>IF(G101="","",IF(AND(G101&gt;=L101,G101&lt;=M101),"OK","NG"))</f>
        <v/>
      </c>
      <c r="O101" s="69">
        <f>IF(N101="","",IF(N101=D101,1,0))</f>
        <v/>
      </c>
      <c r="P101" s="67">
        <f>IF(G101="","",J101-G101)</f>
        <v/>
      </c>
      <c r="Q101" s="67">
        <f>IF(G101="","",ABS(P101-Components!$D$2))</f>
        <v/>
      </c>
      <c r="R101" s="67">
        <f>IF(G101="","",ABS(P101-Components!$D$3))</f>
        <v/>
      </c>
      <c r="S101" s="67">
        <f>IF(G101="","",ABS(P101-Components!$D$4))</f>
        <v/>
      </c>
      <c r="T101" s="67">
        <f>IF(G101="","",ABS(P101-Components!$D$5))</f>
        <v/>
      </c>
      <c r="U101" s="67">
        <f>IF(G101="","",ABS(P101-Components!$D$6))</f>
        <v/>
      </c>
      <c r="V101" s="67">
        <f>IF(G101="","",ABS(P101-Components!$D$7))</f>
        <v/>
      </c>
      <c r="W101" s="61">
        <f>IF(G101="","",IF(N101="OK","NONE",INDEX({"S1","S2","W1","W2","N1","N2"},MATCH(MIN(Q101:V101),Q101:V101,0))))</f>
        <v/>
      </c>
      <c r="X101" s="69">
        <f>IF(G101="","",IF(W101=E101,1,0))</f>
        <v/>
      </c>
    </row>
    <row r="102">
      <c r="A102" s="61" t="n">
        <v>19</v>
      </c>
      <c r="B102" s="62" t="n">
        <v>47</v>
      </c>
      <c r="C102" s="61" t="inlineStr">
        <is>
          <t>R3</t>
        </is>
      </c>
      <c r="D102" s="74" t="inlineStr">
        <is>
          <t>NG</t>
        </is>
      </c>
      <c r="E102" s="61" t="inlineStr">
        <is>
          <t>N2</t>
        </is>
      </c>
      <c r="F102" s="61" t="inlineStr">
        <is>
          <t>K019</t>
        </is>
      </c>
      <c r="G102" s="64" t="n">
        <v>8.619999999999999</v>
      </c>
      <c r="H102" s="65" t="n"/>
      <c r="I102" s="66" t="n"/>
      <c r="J102" s="67">
        <f>VLOOKUP(C102,Recipes!$A$2:$N$4,10,FALSE())</f>
        <v/>
      </c>
      <c r="K102" s="68">
        <f>VLOOKUP(C102,Recipes!$A$2:$N$4,12,FALSE())</f>
        <v/>
      </c>
      <c r="L102" s="67">
        <f>J102-3*K102</f>
        <v/>
      </c>
      <c r="M102" s="67">
        <f>J102+3*K102</f>
        <v/>
      </c>
      <c r="N102" s="61">
        <f>IF(G102="","",IF(AND(G102&gt;=L102,G102&lt;=M102),"OK","NG"))</f>
        <v/>
      </c>
      <c r="O102" s="69">
        <f>IF(N102="","",IF(N102=D102,1,0))</f>
        <v/>
      </c>
      <c r="P102" s="67">
        <f>IF(G102="","",J102-G102)</f>
        <v/>
      </c>
      <c r="Q102" s="67">
        <f>IF(G102="","",ABS(P102-Components!$D$2))</f>
        <v/>
      </c>
      <c r="R102" s="67">
        <f>IF(G102="","",ABS(P102-Components!$D$3))</f>
        <v/>
      </c>
      <c r="S102" s="67">
        <f>IF(G102="","",ABS(P102-Components!$D$4))</f>
        <v/>
      </c>
      <c r="T102" s="67">
        <f>IF(G102="","",ABS(P102-Components!$D$5))</f>
        <v/>
      </c>
      <c r="U102" s="67">
        <f>IF(G102="","",ABS(P102-Components!$D$6))</f>
        <v/>
      </c>
      <c r="V102" s="67">
        <f>IF(G102="","",ABS(P102-Components!$D$7))</f>
        <v/>
      </c>
      <c r="W102" s="61">
        <f>IF(G102="","",IF(N102="OK","NONE",INDEX({"S1","S2","W1","W2","N1","N2"},MATCH(MIN(Q102:V102),Q102:V102,0))))</f>
        <v/>
      </c>
      <c r="X102" s="69">
        <f>IF(G102="","",IF(W102=E102,1,0))</f>
        <v/>
      </c>
    </row>
    <row r="103">
      <c r="A103" s="61" t="n">
        <v>19</v>
      </c>
      <c r="B103" s="62" t="n">
        <v>47</v>
      </c>
      <c r="C103" s="61" t="inlineStr">
        <is>
          <t>R3</t>
        </is>
      </c>
      <c r="D103" s="74" t="inlineStr">
        <is>
          <t>NG</t>
        </is>
      </c>
      <c r="E103" s="61" t="inlineStr">
        <is>
          <t>N2</t>
        </is>
      </c>
      <c r="F103" s="61" t="inlineStr">
        <is>
          <t>K019</t>
        </is>
      </c>
      <c r="G103" s="64" t="n">
        <v>8.6</v>
      </c>
      <c r="H103" s="65" t="n"/>
      <c r="I103" s="66" t="n"/>
      <c r="J103" s="67">
        <f>VLOOKUP(C103,Recipes!$A$2:$N$4,10,FALSE())</f>
        <v/>
      </c>
      <c r="K103" s="68">
        <f>VLOOKUP(C103,Recipes!$A$2:$N$4,12,FALSE())</f>
        <v/>
      </c>
      <c r="L103" s="67">
        <f>J103-3*K103</f>
        <v/>
      </c>
      <c r="M103" s="67">
        <f>J103+3*K103</f>
        <v/>
      </c>
      <c r="N103" s="61">
        <f>IF(G103="","",IF(AND(G103&gt;=L103,G103&lt;=M103),"OK","NG"))</f>
        <v/>
      </c>
      <c r="O103" s="69">
        <f>IF(N103="","",IF(N103=D103,1,0))</f>
        <v/>
      </c>
      <c r="P103" s="67">
        <f>IF(G103="","",J103-G103)</f>
        <v/>
      </c>
      <c r="Q103" s="67">
        <f>IF(G103="","",ABS(P103-Components!$D$2))</f>
        <v/>
      </c>
      <c r="R103" s="67">
        <f>IF(G103="","",ABS(P103-Components!$D$3))</f>
        <v/>
      </c>
      <c r="S103" s="67">
        <f>IF(G103="","",ABS(P103-Components!$D$4))</f>
        <v/>
      </c>
      <c r="T103" s="67">
        <f>IF(G103="","",ABS(P103-Components!$D$5))</f>
        <v/>
      </c>
      <c r="U103" s="67">
        <f>IF(G103="","",ABS(P103-Components!$D$6))</f>
        <v/>
      </c>
      <c r="V103" s="67">
        <f>IF(G103="","",ABS(P103-Components!$D$7))</f>
        <v/>
      </c>
      <c r="W103" s="61">
        <f>IF(G103="","",IF(N103="OK","NONE",INDEX({"S1","S2","W1","W2","N1","N2"},MATCH(MIN(Q103:V103),Q103:V103,0))))</f>
        <v/>
      </c>
      <c r="X103" s="69">
        <f>IF(G103="","",IF(W103=E103,1,0))</f>
        <v/>
      </c>
    </row>
    <row r="104">
      <c r="A104" s="61" t="n">
        <v>19</v>
      </c>
      <c r="B104" s="62" t="n">
        <v>47</v>
      </c>
      <c r="C104" s="61" t="inlineStr">
        <is>
          <t>R3</t>
        </is>
      </c>
      <c r="D104" s="74" t="inlineStr">
        <is>
          <t>NG</t>
        </is>
      </c>
      <c r="E104" s="61" t="inlineStr">
        <is>
          <t>N2</t>
        </is>
      </c>
      <c r="F104" s="61" t="inlineStr">
        <is>
          <t>K019</t>
        </is>
      </c>
      <c r="G104" s="64" t="n">
        <v>8.539999999999999</v>
      </c>
      <c r="H104" s="65" t="n"/>
      <c r="I104" s="66" t="n"/>
      <c r="J104" s="67">
        <f>VLOOKUP(C104,Recipes!$A$2:$N$4,10,FALSE())</f>
        <v/>
      </c>
      <c r="K104" s="68">
        <f>VLOOKUP(C104,Recipes!$A$2:$N$4,12,FALSE())</f>
        <v/>
      </c>
      <c r="L104" s="67">
        <f>J104-3*K104</f>
        <v/>
      </c>
      <c r="M104" s="67">
        <f>J104+3*K104</f>
        <v/>
      </c>
      <c r="N104" s="61">
        <f>IF(G104="","",IF(AND(G104&gt;=L104,G104&lt;=M104),"OK","NG"))</f>
        <v/>
      </c>
      <c r="O104" s="69">
        <f>IF(N104="","",IF(N104=D104,1,0))</f>
        <v/>
      </c>
      <c r="P104" s="67">
        <f>IF(G104="","",J104-G104)</f>
        <v/>
      </c>
      <c r="Q104" s="67">
        <f>IF(G104="","",ABS(P104-Components!$D$2))</f>
        <v/>
      </c>
      <c r="R104" s="67">
        <f>IF(G104="","",ABS(P104-Components!$D$3))</f>
        <v/>
      </c>
      <c r="S104" s="67">
        <f>IF(G104="","",ABS(P104-Components!$D$4))</f>
        <v/>
      </c>
      <c r="T104" s="67">
        <f>IF(G104="","",ABS(P104-Components!$D$5))</f>
        <v/>
      </c>
      <c r="U104" s="67">
        <f>IF(G104="","",ABS(P104-Components!$D$6))</f>
        <v/>
      </c>
      <c r="V104" s="67">
        <f>IF(G104="","",ABS(P104-Components!$D$7))</f>
        <v/>
      </c>
      <c r="W104" s="61">
        <f>IF(G104="","",IF(N104="OK","NONE",INDEX({"S1","S2","W1","W2","N1","N2"},MATCH(MIN(Q104:V104),Q104:V104,0))))</f>
        <v/>
      </c>
      <c r="X104" s="69">
        <f>IF(G104="","",IF(W104=E104,1,0))</f>
        <v/>
      </c>
    </row>
    <row r="105">
      <c r="A105" s="61" t="n">
        <v>19</v>
      </c>
      <c r="B105" s="62" t="n">
        <v>47</v>
      </c>
      <c r="C105" s="61" t="inlineStr">
        <is>
          <t>R3</t>
        </is>
      </c>
      <c r="D105" s="74" t="inlineStr">
        <is>
          <t>NG</t>
        </is>
      </c>
      <c r="E105" s="61" t="inlineStr">
        <is>
          <t>N2</t>
        </is>
      </c>
      <c r="F105" s="61" t="inlineStr">
        <is>
          <t>K019</t>
        </is>
      </c>
      <c r="G105" s="64" t="n">
        <v>8.640000000000001</v>
      </c>
      <c r="H105" s="65" t="n"/>
      <c r="I105" s="66" t="n"/>
      <c r="J105" s="67">
        <f>VLOOKUP(C105,Recipes!$A$2:$N$4,10,FALSE())</f>
        <v/>
      </c>
      <c r="K105" s="68">
        <f>VLOOKUP(C105,Recipes!$A$2:$N$4,12,FALSE())</f>
        <v/>
      </c>
      <c r="L105" s="67">
        <f>J105-3*K105</f>
        <v/>
      </c>
      <c r="M105" s="67">
        <f>J105+3*K105</f>
        <v/>
      </c>
      <c r="N105" s="61">
        <f>IF(G105="","",IF(AND(G105&gt;=L105,G105&lt;=M105),"OK","NG"))</f>
        <v/>
      </c>
      <c r="O105" s="69">
        <f>IF(N105="","",IF(N105=D105,1,0))</f>
        <v/>
      </c>
      <c r="P105" s="67">
        <f>IF(G105="","",J105-G105)</f>
        <v/>
      </c>
      <c r="Q105" s="67">
        <f>IF(G105="","",ABS(P105-Components!$D$2))</f>
        <v/>
      </c>
      <c r="R105" s="67">
        <f>IF(G105="","",ABS(P105-Components!$D$3))</f>
        <v/>
      </c>
      <c r="S105" s="67">
        <f>IF(G105="","",ABS(P105-Components!$D$4))</f>
        <v/>
      </c>
      <c r="T105" s="67">
        <f>IF(G105="","",ABS(P105-Components!$D$5))</f>
        <v/>
      </c>
      <c r="U105" s="67">
        <f>IF(G105="","",ABS(P105-Components!$D$6))</f>
        <v/>
      </c>
      <c r="V105" s="67">
        <f>IF(G105="","",ABS(P105-Components!$D$7))</f>
        <v/>
      </c>
      <c r="W105" s="61">
        <f>IF(G105="","",IF(N105="OK","NONE",INDEX({"S1","S2","W1","W2","N1","N2"},MATCH(MIN(Q105:V105),Q105:V105,0))))</f>
        <v/>
      </c>
      <c r="X105" s="69">
        <f>IF(G105="","",IF(W105=E105,1,0))</f>
        <v/>
      </c>
    </row>
    <row r="106">
      <c r="A106" s="61" t="n">
        <v>19</v>
      </c>
      <c r="B106" s="62" t="n">
        <v>47</v>
      </c>
      <c r="C106" s="61" t="inlineStr">
        <is>
          <t>R3</t>
        </is>
      </c>
      <c r="D106" s="74" t="inlineStr">
        <is>
          <t>NG</t>
        </is>
      </c>
      <c r="E106" s="61" t="inlineStr">
        <is>
          <t>N2</t>
        </is>
      </c>
      <c r="F106" s="61" t="inlineStr">
        <is>
          <t>K019</t>
        </is>
      </c>
      <c r="G106" s="64" t="n">
        <v>8.6</v>
      </c>
      <c r="H106" s="65" t="n"/>
      <c r="I106" s="66" t="n"/>
      <c r="J106" s="67">
        <f>VLOOKUP(C106,Recipes!$A$2:$N$4,10,FALSE())</f>
        <v/>
      </c>
      <c r="K106" s="68">
        <f>VLOOKUP(C106,Recipes!$A$2:$N$4,12,FALSE())</f>
        <v/>
      </c>
      <c r="L106" s="67">
        <f>J106-3*K106</f>
        <v/>
      </c>
      <c r="M106" s="67">
        <f>J106+3*K106</f>
        <v/>
      </c>
      <c r="N106" s="61">
        <f>IF(G106="","",IF(AND(G106&gt;=L106,G106&lt;=M106),"OK","NG"))</f>
        <v/>
      </c>
      <c r="O106" s="69">
        <f>IF(N106="","",IF(N106=D106,1,0))</f>
        <v/>
      </c>
      <c r="P106" s="67">
        <f>IF(G106="","",J106-G106)</f>
        <v/>
      </c>
      <c r="Q106" s="67">
        <f>IF(G106="","",ABS(P106-Components!$D$2))</f>
        <v/>
      </c>
      <c r="R106" s="67">
        <f>IF(G106="","",ABS(P106-Components!$D$3))</f>
        <v/>
      </c>
      <c r="S106" s="67">
        <f>IF(G106="","",ABS(P106-Components!$D$4))</f>
        <v/>
      </c>
      <c r="T106" s="67">
        <f>IF(G106="","",ABS(P106-Components!$D$5))</f>
        <v/>
      </c>
      <c r="U106" s="67">
        <f>IF(G106="","",ABS(P106-Components!$D$6))</f>
        <v/>
      </c>
      <c r="V106" s="67">
        <f>IF(G106="","",ABS(P106-Components!$D$7))</f>
        <v/>
      </c>
      <c r="W106" s="61">
        <f>IF(G106="","",IF(N106="OK","NONE",INDEX({"S1","S2","W1","W2","N1","N2"},MATCH(MIN(Q106:V106),Q106:V106,0))))</f>
        <v/>
      </c>
      <c r="X106" s="69">
        <f>IF(G106="","",IF(W106=E106,1,0))</f>
        <v/>
      </c>
    </row>
    <row r="107">
      <c r="A107" s="61" t="n">
        <v>19</v>
      </c>
      <c r="B107" s="62" t="n">
        <v>47</v>
      </c>
      <c r="C107" s="61" t="inlineStr">
        <is>
          <t>R3</t>
        </is>
      </c>
      <c r="D107" s="74" t="inlineStr">
        <is>
          <t>NG</t>
        </is>
      </c>
      <c r="E107" s="61" t="inlineStr">
        <is>
          <t>N2</t>
        </is>
      </c>
      <c r="F107" s="61" t="inlineStr">
        <is>
          <t>K019</t>
        </is>
      </c>
      <c r="G107" s="64" t="n">
        <v>8.59</v>
      </c>
      <c r="H107" s="65" t="n"/>
      <c r="I107" s="66" t="n"/>
      <c r="J107" s="67">
        <f>VLOOKUP(C107,Recipes!$A$2:$N$4,10,FALSE())</f>
        <v/>
      </c>
      <c r="K107" s="68">
        <f>VLOOKUP(C107,Recipes!$A$2:$N$4,12,FALSE())</f>
        <v/>
      </c>
      <c r="L107" s="67">
        <f>J107-3*K107</f>
        <v/>
      </c>
      <c r="M107" s="67">
        <f>J107+3*K107</f>
        <v/>
      </c>
      <c r="N107" s="61">
        <f>IF(G107="","",IF(AND(G107&gt;=L107,G107&lt;=M107),"OK","NG"))</f>
        <v/>
      </c>
      <c r="O107" s="69">
        <f>IF(N107="","",IF(N107=D107,1,0))</f>
        <v/>
      </c>
      <c r="P107" s="67">
        <f>IF(G107="","",J107-G107)</f>
        <v/>
      </c>
      <c r="Q107" s="67">
        <f>IF(G107="","",ABS(P107-Components!$D$2))</f>
        <v/>
      </c>
      <c r="R107" s="67">
        <f>IF(G107="","",ABS(P107-Components!$D$3))</f>
        <v/>
      </c>
      <c r="S107" s="67">
        <f>IF(G107="","",ABS(P107-Components!$D$4))</f>
        <v/>
      </c>
      <c r="T107" s="67">
        <f>IF(G107="","",ABS(P107-Components!$D$5))</f>
        <v/>
      </c>
      <c r="U107" s="67">
        <f>IF(G107="","",ABS(P107-Components!$D$6))</f>
        <v/>
      </c>
      <c r="V107" s="67">
        <f>IF(G107="","",ABS(P107-Components!$D$7))</f>
        <v/>
      </c>
      <c r="W107" s="61">
        <f>IF(G107="","",IF(N107="OK","NONE",INDEX({"S1","S2","W1","W2","N1","N2"},MATCH(MIN(Q107:V107),Q107:V107,0))))</f>
        <v/>
      </c>
      <c r="X107" s="69">
        <f>IF(G107="","",IF(W107=E107,1,0))</f>
        <v/>
      </c>
    </row>
    <row r="108">
      <c r="A108" s="61" t="n">
        <v>19</v>
      </c>
      <c r="B108" s="62" t="n">
        <v>47</v>
      </c>
      <c r="C108" s="61" t="inlineStr">
        <is>
          <t>R3</t>
        </is>
      </c>
      <c r="D108" s="74" t="inlineStr">
        <is>
          <t>NG</t>
        </is>
      </c>
      <c r="E108" s="61" t="inlineStr">
        <is>
          <t>N2</t>
        </is>
      </c>
      <c r="F108" s="61" t="inlineStr">
        <is>
          <t>K019</t>
        </is>
      </c>
      <c r="G108" s="64" t="n">
        <v>8.57</v>
      </c>
      <c r="H108" s="65" t="n"/>
      <c r="I108" s="66" t="n"/>
      <c r="J108" s="67">
        <f>VLOOKUP(C108,Recipes!$A$2:$N$4,10,FALSE())</f>
        <v/>
      </c>
      <c r="K108" s="68">
        <f>VLOOKUP(C108,Recipes!$A$2:$N$4,12,FALSE())</f>
        <v/>
      </c>
      <c r="L108" s="67">
        <f>J108-3*K108</f>
        <v/>
      </c>
      <c r="M108" s="67">
        <f>J108+3*K108</f>
        <v/>
      </c>
      <c r="N108" s="61">
        <f>IF(G108="","",IF(AND(G108&gt;=L108,G108&lt;=M108),"OK","NG"))</f>
        <v/>
      </c>
      <c r="O108" s="69">
        <f>IF(N108="","",IF(N108=D108,1,0))</f>
        <v/>
      </c>
      <c r="P108" s="67">
        <f>IF(G108="","",J108-G108)</f>
        <v/>
      </c>
      <c r="Q108" s="67">
        <f>IF(G108="","",ABS(P108-Components!$D$2))</f>
        <v/>
      </c>
      <c r="R108" s="67">
        <f>IF(G108="","",ABS(P108-Components!$D$3))</f>
        <v/>
      </c>
      <c r="S108" s="67">
        <f>IF(G108="","",ABS(P108-Components!$D$4))</f>
        <v/>
      </c>
      <c r="T108" s="67">
        <f>IF(G108="","",ABS(P108-Components!$D$5))</f>
        <v/>
      </c>
      <c r="U108" s="67">
        <f>IF(G108="","",ABS(P108-Components!$D$6))</f>
        <v/>
      </c>
      <c r="V108" s="67">
        <f>IF(G108="","",ABS(P108-Components!$D$7))</f>
        <v/>
      </c>
      <c r="W108" s="61">
        <f>IF(G108="","",IF(N108="OK","NONE",INDEX({"S1","S2","W1","W2","N1","N2"},MATCH(MIN(Q108:V108),Q108:V108,0))))</f>
        <v/>
      </c>
      <c r="X108" s="69">
        <f>IF(G108="","",IF(W108=E108,1,0))</f>
        <v/>
      </c>
    </row>
    <row r="109">
      <c r="A109" s="61" t="n">
        <v>19</v>
      </c>
      <c r="B109" s="62" t="n">
        <v>47</v>
      </c>
      <c r="C109" s="61" t="inlineStr">
        <is>
          <t>R3</t>
        </is>
      </c>
      <c r="D109" s="74" t="inlineStr">
        <is>
          <t>NG</t>
        </is>
      </c>
      <c r="E109" s="61" t="inlineStr">
        <is>
          <t>N2</t>
        </is>
      </c>
      <c r="F109" s="61" t="inlineStr">
        <is>
          <t>K019</t>
        </is>
      </c>
      <c r="G109" s="64" t="n">
        <v>8.609999999999999</v>
      </c>
      <c r="H109" s="65" t="n"/>
      <c r="I109" s="66" t="n"/>
      <c r="J109" s="67">
        <f>VLOOKUP(C109,Recipes!$A$2:$N$4,10,FALSE())</f>
        <v/>
      </c>
      <c r="K109" s="68">
        <f>VLOOKUP(C109,Recipes!$A$2:$N$4,12,FALSE())</f>
        <v/>
      </c>
      <c r="L109" s="67">
        <f>J109-3*K109</f>
        <v/>
      </c>
      <c r="M109" s="67">
        <f>J109+3*K109</f>
        <v/>
      </c>
      <c r="N109" s="61">
        <f>IF(G109="","",IF(AND(G109&gt;=L109,G109&lt;=M109),"OK","NG"))</f>
        <v/>
      </c>
      <c r="O109" s="69">
        <f>IF(N109="","",IF(N109=D109,1,0))</f>
        <v/>
      </c>
      <c r="P109" s="67">
        <f>IF(G109="","",J109-G109)</f>
        <v/>
      </c>
      <c r="Q109" s="67">
        <f>IF(G109="","",ABS(P109-Components!$D$2))</f>
        <v/>
      </c>
      <c r="R109" s="67">
        <f>IF(G109="","",ABS(P109-Components!$D$3))</f>
        <v/>
      </c>
      <c r="S109" s="67">
        <f>IF(G109="","",ABS(P109-Components!$D$4))</f>
        <v/>
      </c>
      <c r="T109" s="67">
        <f>IF(G109="","",ABS(P109-Components!$D$5))</f>
        <v/>
      </c>
      <c r="U109" s="67">
        <f>IF(G109="","",ABS(P109-Components!$D$6))</f>
        <v/>
      </c>
      <c r="V109" s="67">
        <f>IF(G109="","",ABS(P109-Components!$D$7))</f>
        <v/>
      </c>
      <c r="W109" s="61">
        <f>IF(G109="","",IF(N109="OK","NONE",INDEX({"S1","S2","W1","W2","N1","N2"},MATCH(MIN(Q109:V109),Q109:V109,0))))</f>
        <v/>
      </c>
      <c r="X109" s="69">
        <f>IF(G109="","",IF(W109=E109,1,0))</f>
        <v/>
      </c>
    </row>
    <row r="110">
      <c r="A110" s="61" t="n">
        <v>19</v>
      </c>
      <c r="B110" s="62" t="n">
        <v>47</v>
      </c>
      <c r="C110" s="61" t="inlineStr">
        <is>
          <t>R3</t>
        </is>
      </c>
      <c r="D110" s="74" t="inlineStr">
        <is>
          <t>NG</t>
        </is>
      </c>
      <c r="E110" s="61" t="inlineStr">
        <is>
          <t>N2</t>
        </is>
      </c>
      <c r="F110" s="61" t="inlineStr">
        <is>
          <t>K019</t>
        </is>
      </c>
      <c r="G110" s="64" t="n">
        <v>8.59</v>
      </c>
      <c r="H110" s="65" t="n"/>
      <c r="I110" s="66" t="n"/>
      <c r="J110" s="67">
        <f>VLOOKUP(C110,Recipes!$A$2:$N$4,10,FALSE())</f>
        <v/>
      </c>
      <c r="K110" s="68">
        <f>VLOOKUP(C110,Recipes!$A$2:$N$4,12,FALSE())</f>
        <v/>
      </c>
      <c r="L110" s="67">
        <f>J110-3*K110</f>
        <v/>
      </c>
      <c r="M110" s="67">
        <f>J110+3*K110</f>
        <v/>
      </c>
      <c r="N110" s="61">
        <f>IF(G110="","",IF(AND(G110&gt;=L110,G110&lt;=M110),"OK","NG"))</f>
        <v/>
      </c>
      <c r="O110" s="69">
        <f>IF(N110="","",IF(N110=D110,1,0))</f>
        <v/>
      </c>
      <c r="P110" s="67">
        <f>IF(G110="","",J110-G110)</f>
        <v/>
      </c>
      <c r="Q110" s="67">
        <f>IF(G110="","",ABS(P110-Components!$D$2))</f>
        <v/>
      </c>
      <c r="R110" s="67">
        <f>IF(G110="","",ABS(P110-Components!$D$3))</f>
        <v/>
      </c>
      <c r="S110" s="67">
        <f>IF(G110="","",ABS(P110-Components!$D$4))</f>
        <v/>
      </c>
      <c r="T110" s="67">
        <f>IF(G110="","",ABS(P110-Components!$D$5))</f>
        <v/>
      </c>
      <c r="U110" s="67">
        <f>IF(G110="","",ABS(P110-Components!$D$6))</f>
        <v/>
      </c>
      <c r="V110" s="67">
        <f>IF(G110="","",ABS(P110-Components!$D$7))</f>
        <v/>
      </c>
      <c r="W110" s="61">
        <f>IF(G110="","",IF(N110="OK","NONE",INDEX({"S1","S2","W1","W2","N1","N2"},MATCH(MIN(Q110:V110),Q110:V110,0))))</f>
        <v/>
      </c>
      <c r="X110" s="69">
        <f>IF(G110="","",IF(W110=E110,1,0))</f>
        <v/>
      </c>
    </row>
    <row r="111">
      <c r="A111" s="61" t="n">
        <v>19</v>
      </c>
      <c r="B111" s="62" t="n">
        <v>47</v>
      </c>
      <c r="C111" s="61" t="inlineStr">
        <is>
          <t>R3</t>
        </is>
      </c>
      <c r="D111" s="74" t="inlineStr">
        <is>
          <t>NG</t>
        </is>
      </c>
      <c r="E111" s="61" t="inlineStr">
        <is>
          <t>N2</t>
        </is>
      </c>
      <c r="F111" s="61" t="inlineStr">
        <is>
          <t>K019</t>
        </is>
      </c>
      <c r="G111" s="64" t="n">
        <v>8.5</v>
      </c>
      <c r="H111" s="65" t="n"/>
      <c r="I111" s="66" t="n"/>
      <c r="J111" s="67">
        <f>VLOOKUP(C111,Recipes!$A$2:$N$4,10,FALSE())</f>
        <v/>
      </c>
      <c r="K111" s="68">
        <f>VLOOKUP(C111,Recipes!$A$2:$N$4,12,FALSE())</f>
        <v/>
      </c>
      <c r="L111" s="67">
        <f>J111-3*K111</f>
        <v/>
      </c>
      <c r="M111" s="67">
        <f>J111+3*K111</f>
        <v/>
      </c>
      <c r="N111" s="61">
        <f>IF(G111="","",IF(AND(G111&gt;=L111,G111&lt;=M111),"OK","NG"))</f>
        <v/>
      </c>
      <c r="O111" s="69">
        <f>IF(N111="","",IF(N111=D111,1,0))</f>
        <v/>
      </c>
      <c r="P111" s="67">
        <f>IF(G111="","",J111-G111)</f>
        <v/>
      </c>
      <c r="Q111" s="67">
        <f>IF(G111="","",ABS(P111-Components!$D$2))</f>
        <v/>
      </c>
      <c r="R111" s="67">
        <f>IF(G111="","",ABS(P111-Components!$D$3))</f>
        <v/>
      </c>
      <c r="S111" s="67">
        <f>IF(G111="","",ABS(P111-Components!$D$4))</f>
        <v/>
      </c>
      <c r="T111" s="67">
        <f>IF(G111="","",ABS(P111-Components!$D$5))</f>
        <v/>
      </c>
      <c r="U111" s="67">
        <f>IF(G111="","",ABS(P111-Components!$D$6))</f>
        <v/>
      </c>
      <c r="V111" s="67">
        <f>IF(G111="","",ABS(P111-Components!$D$7))</f>
        <v/>
      </c>
      <c r="W111" s="61">
        <f>IF(G111="","",IF(N111="OK","NONE",INDEX({"S1","S2","W1","W2","N1","N2"},MATCH(MIN(Q111:V111),Q111:V111,0))))</f>
        <v/>
      </c>
      <c r="X111" s="69">
        <f>IF(G111="","",IF(W111=E111,1,0))</f>
        <v/>
      </c>
    </row>
    <row r="112">
      <c r="A112" s="61" t="n">
        <v>19</v>
      </c>
      <c r="B112" s="62" t="n">
        <v>47</v>
      </c>
      <c r="C112" s="61" t="inlineStr">
        <is>
          <t>R3</t>
        </is>
      </c>
      <c r="D112" s="74" t="inlineStr">
        <is>
          <t>NG</t>
        </is>
      </c>
      <c r="E112" s="61" t="inlineStr">
        <is>
          <t>N2</t>
        </is>
      </c>
      <c r="F112" s="61" t="inlineStr">
        <is>
          <t>K019</t>
        </is>
      </c>
      <c r="G112" s="64" t="n">
        <v>8.619999999999999</v>
      </c>
      <c r="H112" s="65" t="n"/>
      <c r="I112" s="66" t="n"/>
      <c r="J112" s="67">
        <f>VLOOKUP(C112,Recipes!$A$2:$N$4,10,FALSE())</f>
        <v/>
      </c>
      <c r="K112" s="68">
        <f>VLOOKUP(C112,Recipes!$A$2:$N$4,12,FALSE())</f>
        <v/>
      </c>
      <c r="L112" s="67">
        <f>J112-3*K112</f>
        <v/>
      </c>
      <c r="M112" s="67">
        <f>J112+3*K112</f>
        <v/>
      </c>
      <c r="N112" s="61">
        <f>IF(G112="","",IF(AND(G112&gt;=L112,G112&lt;=M112),"OK","NG"))</f>
        <v/>
      </c>
      <c r="O112" s="69">
        <f>IF(N112="","",IF(N112=D112,1,0))</f>
        <v/>
      </c>
      <c r="P112" s="67">
        <f>IF(G112="","",J112-G112)</f>
        <v/>
      </c>
      <c r="Q112" s="67">
        <f>IF(G112="","",ABS(P112-Components!$D$2))</f>
        <v/>
      </c>
      <c r="R112" s="67">
        <f>IF(G112="","",ABS(P112-Components!$D$3))</f>
        <v/>
      </c>
      <c r="S112" s="67">
        <f>IF(G112="","",ABS(P112-Components!$D$4))</f>
        <v/>
      </c>
      <c r="T112" s="67">
        <f>IF(G112="","",ABS(P112-Components!$D$5))</f>
        <v/>
      </c>
      <c r="U112" s="67">
        <f>IF(G112="","",ABS(P112-Components!$D$6))</f>
        <v/>
      </c>
      <c r="V112" s="67">
        <f>IF(G112="","",ABS(P112-Components!$D$7))</f>
        <v/>
      </c>
      <c r="W112" s="61">
        <f>IF(G112="","",IF(N112="OK","NONE",INDEX({"S1","S2","W1","W2","N1","N2"},MATCH(MIN(Q112:V112),Q112:V112,0))))</f>
        <v/>
      </c>
      <c r="X112" s="69">
        <f>IF(G112="","",IF(W112=E112,1,0))</f>
        <v/>
      </c>
    </row>
    <row r="113">
      <c r="A113" s="61" t="n">
        <v>19</v>
      </c>
      <c r="B113" s="62" t="n">
        <v>47</v>
      </c>
      <c r="C113" s="61" t="inlineStr">
        <is>
          <t>R3</t>
        </is>
      </c>
      <c r="D113" s="74" t="inlineStr">
        <is>
          <t>NG</t>
        </is>
      </c>
      <c r="E113" s="61" t="inlineStr">
        <is>
          <t>N2</t>
        </is>
      </c>
      <c r="F113" s="61" t="inlineStr">
        <is>
          <t>K019</t>
        </is>
      </c>
      <c r="G113" s="64" t="n">
        <v>8.609999999999999</v>
      </c>
      <c r="H113" s="65" t="n"/>
      <c r="I113" s="66" t="n"/>
      <c r="J113" s="67">
        <f>VLOOKUP(C113,Recipes!$A$2:$N$4,10,FALSE())</f>
        <v/>
      </c>
      <c r="K113" s="68">
        <f>VLOOKUP(C113,Recipes!$A$2:$N$4,12,FALSE())</f>
        <v/>
      </c>
      <c r="L113" s="67">
        <f>J113-3*K113</f>
        <v/>
      </c>
      <c r="M113" s="67">
        <f>J113+3*K113</f>
        <v/>
      </c>
      <c r="N113" s="61">
        <f>IF(G113="","",IF(AND(G113&gt;=L113,G113&lt;=M113),"OK","NG"))</f>
        <v/>
      </c>
      <c r="O113" s="69">
        <f>IF(N113="","",IF(N113=D113,1,0))</f>
        <v/>
      </c>
      <c r="P113" s="67">
        <f>IF(G113="","",J113-G113)</f>
        <v/>
      </c>
      <c r="Q113" s="67">
        <f>IF(G113="","",ABS(P113-Components!$D$2))</f>
        <v/>
      </c>
      <c r="R113" s="67">
        <f>IF(G113="","",ABS(P113-Components!$D$3))</f>
        <v/>
      </c>
      <c r="S113" s="67">
        <f>IF(G113="","",ABS(P113-Components!$D$4))</f>
        <v/>
      </c>
      <c r="T113" s="67">
        <f>IF(G113="","",ABS(P113-Components!$D$5))</f>
        <v/>
      </c>
      <c r="U113" s="67">
        <f>IF(G113="","",ABS(P113-Components!$D$6))</f>
        <v/>
      </c>
      <c r="V113" s="67">
        <f>IF(G113="","",ABS(P113-Components!$D$7))</f>
        <v/>
      </c>
      <c r="W113" s="61">
        <f>IF(G113="","",IF(N113="OK","NONE",INDEX({"S1","S2","W1","W2","N1","N2"},MATCH(MIN(Q113:V113),Q113:V113,0))))</f>
        <v/>
      </c>
      <c r="X113" s="69">
        <f>IF(G113="","",IF(W113=E113,1,0))</f>
        <v/>
      </c>
    </row>
    <row r="114">
      <c r="A114" s="61" t="n">
        <v>19</v>
      </c>
      <c r="B114" s="62" t="n">
        <v>47</v>
      </c>
      <c r="C114" s="61" t="inlineStr">
        <is>
          <t>R3</t>
        </is>
      </c>
      <c r="D114" s="74" t="inlineStr">
        <is>
          <t>NG</t>
        </is>
      </c>
      <c r="E114" s="61" t="inlineStr">
        <is>
          <t>N2</t>
        </is>
      </c>
      <c r="F114" s="61" t="inlineStr">
        <is>
          <t>K019</t>
        </is>
      </c>
      <c r="G114" s="64" t="n">
        <v>8.58</v>
      </c>
      <c r="H114" s="65" t="n"/>
      <c r="I114" s="66" t="n"/>
      <c r="J114" s="67">
        <f>VLOOKUP(C114,Recipes!$A$2:$N$4,10,FALSE())</f>
        <v/>
      </c>
      <c r="K114" s="68">
        <f>VLOOKUP(C114,Recipes!$A$2:$N$4,12,FALSE())</f>
        <v/>
      </c>
      <c r="L114" s="67">
        <f>J114-3*K114</f>
        <v/>
      </c>
      <c r="M114" s="67">
        <f>J114+3*K114</f>
        <v/>
      </c>
      <c r="N114" s="61">
        <f>IF(G114="","",IF(AND(G114&gt;=L114,G114&lt;=M114),"OK","NG"))</f>
        <v/>
      </c>
      <c r="O114" s="69">
        <f>IF(N114="","",IF(N114=D114,1,0))</f>
        <v/>
      </c>
      <c r="P114" s="67">
        <f>IF(G114="","",J114-G114)</f>
        <v/>
      </c>
      <c r="Q114" s="67">
        <f>IF(G114="","",ABS(P114-Components!$D$2))</f>
        <v/>
      </c>
      <c r="R114" s="67">
        <f>IF(G114="","",ABS(P114-Components!$D$3))</f>
        <v/>
      </c>
      <c r="S114" s="67">
        <f>IF(G114="","",ABS(P114-Components!$D$4))</f>
        <v/>
      </c>
      <c r="T114" s="67">
        <f>IF(G114="","",ABS(P114-Components!$D$5))</f>
        <v/>
      </c>
      <c r="U114" s="67">
        <f>IF(G114="","",ABS(P114-Components!$D$6))</f>
        <v/>
      </c>
      <c r="V114" s="67">
        <f>IF(G114="","",ABS(P114-Components!$D$7))</f>
        <v/>
      </c>
      <c r="W114" s="61">
        <f>IF(G114="","",IF(N114="OK","NONE",INDEX({"S1","S2","W1","W2","N1","N2"},MATCH(MIN(Q114:V114),Q114:V114,0))))</f>
        <v/>
      </c>
      <c r="X114" s="69">
        <f>IF(G114="","",IF(W114=E114,1,0))</f>
        <v/>
      </c>
    </row>
    <row r="115">
      <c r="A115" s="61" t="n">
        <v>19</v>
      </c>
      <c r="B115" s="62" t="n">
        <v>47</v>
      </c>
      <c r="C115" s="61" t="inlineStr">
        <is>
          <t>R3</t>
        </is>
      </c>
      <c r="D115" s="74" t="inlineStr">
        <is>
          <t>NG</t>
        </is>
      </c>
      <c r="E115" s="61" t="inlineStr">
        <is>
          <t>N2</t>
        </is>
      </c>
      <c r="F115" s="61" t="inlineStr">
        <is>
          <t>K019</t>
        </is>
      </c>
      <c r="G115" s="64" t="n">
        <v>8.59</v>
      </c>
      <c r="H115" s="65" t="n"/>
      <c r="I115" s="66" t="n"/>
      <c r="J115" s="67">
        <f>VLOOKUP(C115,Recipes!$A$2:$N$4,10,FALSE())</f>
        <v/>
      </c>
      <c r="K115" s="68">
        <f>VLOOKUP(C115,Recipes!$A$2:$N$4,12,FALSE())</f>
        <v/>
      </c>
      <c r="L115" s="67">
        <f>J115-3*K115</f>
        <v/>
      </c>
      <c r="M115" s="67">
        <f>J115+3*K115</f>
        <v/>
      </c>
      <c r="N115" s="61">
        <f>IF(G115="","",IF(AND(G115&gt;=L115,G115&lt;=M115),"OK","NG"))</f>
        <v/>
      </c>
      <c r="O115" s="69">
        <f>IF(N115="","",IF(N115=D115,1,0))</f>
        <v/>
      </c>
      <c r="P115" s="67">
        <f>IF(G115="","",J115-G115)</f>
        <v/>
      </c>
      <c r="Q115" s="67">
        <f>IF(G115="","",ABS(P115-Components!$D$2))</f>
        <v/>
      </c>
      <c r="R115" s="67">
        <f>IF(G115="","",ABS(P115-Components!$D$3))</f>
        <v/>
      </c>
      <c r="S115" s="67">
        <f>IF(G115="","",ABS(P115-Components!$D$4))</f>
        <v/>
      </c>
      <c r="T115" s="67">
        <f>IF(G115="","",ABS(P115-Components!$D$5))</f>
        <v/>
      </c>
      <c r="U115" s="67">
        <f>IF(G115="","",ABS(P115-Components!$D$6))</f>
        <v/>
      </c>
      <c r="V115" s="67">
        <f>IF(G115="","",ABS(P115-Components!$D$7))</f>
        <v/>
      </c>
      <c r="W115" s="61">
        <f>IF(G115="","",IF(N115="OK","NONE",INDEX({"S1","S2","W1","W2","N1","N2"},MATCH(MIN(Q115:V115),Q115:V115,0))))</f>
        <v/>
      </c>
      <c r="X115" s="69">
        <f>IF(G115="","",IF(W115=E115,1,0))</f>
        <v/>
      </c>
    </row>
    <row r="116">
      <c r="A116" s="61" t="n">
        <v>19</v>
      </c>
      <c r="B116" s="62" t="n">
        <v>47</v>
      </c>
      <c r="C116" s="61" t="inlineStr">
        <is>
          <t>R3</t>
        </is>
      </c>
      <c r="D116" s="74" t="inlineStr">
        <is>
          <t>NG</t>
        </is>
      </c>
      <c r="E116" s="61" t="inlineStr">
        <is>
          <t>N2</t>
        </is>
      </c>
      <c r="F116" s="61" t="inlineStr">
        <is>
          <t>K019</t>
        </is>
      </c>
      <c r="G116" s="87" t="n"/>
      <c r="H116" s="65" t="n"/>
      <c r="I116" s="66" t="n"/>
      <c r="J116" s="67">
        <f>VLOOKUP(C116,Recipes!$A$2:$N$4,10,FALSE())</f>
        <v/>
      </c>
      <c r="K116" s="68">
        <f>VLOOKUP(C116,Recipes!$A$2:$N$4,12,FALSE())</f>
        <v/>
      </c>
      <c r="L116" s="67">
        <f>J116-3*K116</f>
        <v/>
      </c>
      <c r="M116" s="67">
        <f>J116+3*K116</f>
        <v/>
      </c>
      <c r="N116" s="61">
        <f>IF(G116="","",IF(AND(G116&gt;=L116,G116&lt;=M116),"OK","NG"))</f>
        <v/>
      </c>
      <c r="O116" s="69">
        <f>IF(N116="","",IF(N116=D116,1,0))</f>
        <v/>
      </c>
      <c r="P116" s="67">
        <f>IF(G116="","",J116-G116)</f>
        <v/>
      </c>
      <c r="Q116" s="67">
        <f>IF(G116="","",ABS(P116-Components!$D$2))</f>
        <v/>
      </c>
      <c r="R116" s="67">
        <f>IF(G116="","",ABS(P116-Components!$D$3))</f>
        <v/>
      </c>
      <c r="S116" s="67">
        <f>IF(G116="","",ABS(P116-Components!$D$4))</f>
        <v/>
      </c>
      <c r="T116" s="67">
        <f>IF(G116="","",ABS(P116-Components!$D$5))</f>
        <v/>
      </c>
      <c r="U116" s="67">
        <f>IF(G116="","",ABS(P116-Components!$D$6))</f>
        <v/>
      </c>
      <c r="V116" s="67">
        <f>IF(G116="","",ABS(P116-Components!$D$7))</f>
        <v/>
      </c>
      <c r="W116" s="61">
        <f>IF(G116="","",IF(N116="OK","NONE",INDEX({"S1","S2","W1","W2","N1","N2"},MATCH(MIN(Q116:V116),Q116:V116,0))))</f>
        <v/>
      </c>
      <c r="X116" s="69">
        <f>IF(G116="","",IF(W116=E116,1,0))</f>
        <v/>
      </c>
    </row>
    <row r="117">
      <c r="A117" s="61" t="n">
        <v>19</v>
      </c>
      <c r="B117" s="62" t="n">
        <v>47</v>
      </c>
      <c r="C117" s="61" t="inlineStr">
        <is>
          <t>R3</t>
        </is>
      </c>
      <c r="D117" s="74" t="inlineStr">
        <is>
          <t>NG</t>
        </is>
      </c>
      <c r="E117" s="61" t="inlineStr">
        <is>
          <t>N2</t>
        </is>
      </c>
      <c r="F117" s="61" t="inlineStr">
        <is>
          <t>K019</t>
        </is>
      </c>
      <c r="G117" s="87" t="n"/>
      <c r="H117" s="65" t="n"/>
      <c r="I117" s="66" t="n"/>
      <c r="J117" s="67">
        <f>VLOOKUP(C117,Recipes!$A$2:$N$4,10,FALSE())</f>
        <v/>
      </c>
      <c r="K117" s="68">
        <f>VLOOKUP(C117,Recipes!$A$2:$N$4,12,FALSE())</f>
        <v/>
      </c>
      <c r="L117" s="67">
        <f>J117-3*K117</f>
        <v/>
      </c>
      <c r="M117" s="67">
        <f>J117+3*K117</f>
        <v/>
      </c>
      <c r="N117" s="61">
        <f>IF(G117="","",IF(AND(G117&gt;=L117,G117&lt;=M117),"OK","NG"))</f>
        <v/>
      </c>
      <c r="O117" s="69">
        <f>IF(N117="","",IF(N117=D117,1,0))</f>
        <v/>
      </c>
      <c r="P117" s="67">
        <f>IF(G117="","",J117-G117)</f>
        <v/>
      </c>
      <c r="Q117" s="67">
        <f>IF(G117="","",ABS(P117-Components!$D$2))</f>
        <v/>
      </c>
      <c r="R117" s="67">
        <f>IF(G117="","",ABS(P117-Components!$D$3))</f>
        <v/>
      </c>
      <c r="S117" s="67">
        <f>IF(G117="","",ABS(P117-Components!$D$4))</f>
        <v/>
      </c>
      <c r="T117" s="67">
        <f>IF(G117="","",ABS(P117-Components!$D$5))</f>
        <v/>
      </c>
      <c r="U117" s="67">
        <f>IF(G117="","",ABS(P117-Components!$D$6))</f>
        <v/>
      </c>
      <c r="V117" s="67">
        <f>IF(G117="","",ABS(P117-Components!$D$7))</f>
        <v/>
      </c>
      <c r="W117" s="61">
        <f>IF(G117="","",IF(N117="OK","NONE",INDEX({"S1","S2","W1","W2","N1","N2"},MATCH(MIN(Q117:V117),Q117:V117,0))))</f>
        <v/>
      </c>
      <c r="X117" s="69">
        <f>IF(G117="","",IF(W117=E117,1,0))</f>
        <v/>
      </c>
    </row>
    <row r="118">
      <c r="A118" s="61" t="n">
        <v>19</v>
      </c>
      <c r="B118" s="62" t="n">
        <v>47</v>
      </c>
      <c r="C118" s="61" t="inlineStr">
        <is>
          <t>R3</t>
        </is>
      </c>
      <c r="D118" s="74" t="inlineStr">
        <is>
          <t>NG</t>
        </is>
      </c>
      <c r="E118" s="61" t="inlineStr">
        <is>
          <t>N2</t>
        </is>
      </c>
      <c r="F118" s="61" t="inlineStr">
        <is>
          <t>K019</t>
        </is>
      </c>
      <c r="G118" s="87" t="n"/>
      <c r="H118" s="65" t="n"/>
      <c r="I118" s="66" t="n"/>
      <c r="J118" s="67">
        <f>VLOOKUP(C118,Recipes!$A$2:$N$4,10,FALSE())</f>
        <v/>
      </c>
      <c r="K118" s="68">
        <f>VLOOKUP(C118,Recipes!$A$2:$N$4,12,FALSE())</f>
        <v/>
      </c>
      <c r="L118" s="67">
        <f>J118-3*K118</f>
        <v/>
      </c>
      <c r="M118" s="67">
        <f>J118+3*K118</f>
        <v/>
      </c>
      <c r="N118" s="61">
        <f>IF(G118="","",IF(AND(G118&gt;=L118,G118&lt;=M118),"OK","NG"))</f>
        <v/>
      </c>
      <c r="O118" s="69">
        <f>IF(N118="","",IF(N118=D118,1,0))</f>
        <v/>
      </c>
      <c r="P118" s="67">
        <f>IF(G118="","",J118-G118)</f>
        <v/>
      </c>
      <c r="Q118" s="67">
        <f>IF(G118="","",ABS(P118-Components!$D$2))</f>
        <v/>
      </c>
      <c r="R118" s="67">
        <f>IF(G118="","",ABS(P118-Components!$D$3))</f>
        <v/>
      </c>
      <c r="S118" s="67">
        <f>IF(G118="","",ABS(P118-Components!$D$4))</f>
        <v/>
      </c>
      <c r="T118" s="67">
        <f>IF(G118="","",ABS(P118-Components!$D$5))</f>
        <v/>
      </c>
      <c r="U118" s="67">
        <f>IF(G118="","",ABS(P118-Components!$D$6))</f>
        <v/>
      </c>
      <c r="V118" s="67">
        <f>IF(G118="","",ABS(P118-Components!$D$7))</f>
        <v/>
      </c>
      <c r="W118" s="61">
        <f>IF(G118="","",IF(N118="OK","NONE",INDEX({"S1","S2","W1","W2","N1","N2"},MATCH(MIN(Q118:V118),Q118:V118,0))))</f>
        <v/>
      </c>
      <c r="X118" s="69">
        <f>IF(G118="","",IF(W118=E118,1,0))</f>
        <v/>
      </c>
    </row>
    <row r="119">
      <c r="A119" s="61" t="n">
        <v>19</v>
      </c>
      <c r="B119" s="62" t="n">
        <v>47</v>
      </c>
      <c r="C119" s="61" t="inlineStr">
        <is>
          <t>R3</t>
        </is>
      </c>
      <c r="D119" s="74" t="inlineStr">
        <is>
          <t>NG</t>
        </is>
      </c>
      <c r="E119" s="61" t="inlineStr">
        <is>
          <t>N2</t>
        </is>
      </c>
      <c r="F119" s="61" t="inlineStr">
        <is>
          <t>K019</t>
        </is>
      </c>
      <c r="G119" s="87" t="n"/>
      <c r="H119" s="65" t="n"/>
      <c r="I119" s="66" t="n"/>
      <c r="J119" s="67">
        <f>VLOOKUP(C119,Recipes!$A$2:$N$4,10,FALSE())</f>
        <v/>
      </c>
      <c r="K119" s="68">
        <f>VLOOKUP(C119,Recipes!$A$2:$N$4,12,FALSE())</f>
        <v/>
      </c>
      <c r="L119" s="67">
        <f>J119-3*K119</f>
        <v/>
      </c>
      <c r="M119" s="67">
        <f>J119+3*K119</f>
        <v/>
      </c>
      <c r="N119" s="61">
        <f>IF(G119="","",IF(AND(G119&gt;=L119,G119&lt;=M119),"OK","NG"))</f>
        <v/>
      </c>
      <c r="O119" s="69">
        <f>IF(N119="","",IF(N119=D119,1,0))</f>
        <v/>
      </c>
      <c r="P119" s="67">
        <f>IF(G119="","",J119-G119)</f>
        <v/>
      </c>
      <c r="Q119" s="67">
        <f>IF(G119="","",ABS(P119-Components!$D$2))</f>
        <v/>
      </c>
      <c r="R119" s="67">
        <f>IF(G119="","",ABS(P119-Components!$D$3))</f>
        <v/>
      </c>
      <c r="S119" s="67">
        <f>IF(G119="","",ABS(P119-Components!$D$4))</f>
        <v/>
      </c>
      <c r="T119" s="67">
        <f>IF(G119="","",ABS(P119-Components!$D$5))</f>
        <v/>
      </c>
      <c r="U119" s="67">
        <f>IF(G119="","",ABS(P119-Components!$D$6))</f>
        <v/>
      </c>
      <c r="V119" s="67">
        <f>IF(G119="","",ABS(P119-Components!$D$7))</f>
        <v/>
      </c>
      <c r="W119" s="61">
        <f>IF(G119="","",IF(N119="OK","NONE",INDEX({"S1","S2","W1","W2","N1","N2"},MATCH(MIN(Q119:V119),Q119:V119,0))))</f>
        <v/>
      </c>
      <c r="X119" s="69">
        <f>IF(G119="","",IF(W119=E119,1,0))</f>
        <v/>
      </c>
    </row>
    <row r="120">
      <c r="A120" s="61" t="n">
        <v>19</v>
      </c>
      <c r="B120" s="62" t="n">
        <v>47</v>
      </c>
      <c r="C120" s="61" t="inlineStr">
        <is>
          <t>R3</t>
        </is>
      </c>
      <c r="D120" s="74" t="inlineStr">
        <is>
          <t>NG</t>
        </is>
      </c>
      <c r="E120" s="61" t="inlineStr">
        <is>
          <t>N2</t>
        </is>
      </c>
      <c r="F120" s="61" t="inlineStr">
        <is>
          <t>K019</t>
        </is>
      </c>
      <c r="G120" s="87" t="n"/>
      <c r="H120" s="65" t="n"/>
      <c r="I120" s="66" t="n"/>
      <c r="J120" s="67">
        <f>VLOOKUP(C120,Recipes!$A$2:$N$4,10,FALSE())</f>
        <v/>
      </c>
      <c r="K120" s="68">
        <f>VLOOKUP(C120,Recipes!$A$2:$N$4,12,FALSE())</f>
        <v/>
      </c>
      <c r="L120" s="67">
        <f>J120-3*K120</f>
        <v/>
      </c>
      <c r="M120" s="67">
        <f>J120+3*K120</f>
        <v/>
      </c>
      <c r="N120" s="61">
        <f>IF(G120="","",IF(AND(G120&gt;=L120,G120&lt;=M120),"OK","NG"))</f>
        <v/>
      </c>
      <c r="O120" s="69">
        <f>IF(N120="","",IF(N120=D120,1,0))</f>
        <v/>
      </c>
      <c r="P120" s="67">
        <f>IF(G120="","",J120-G120)</f>
        <v/>
      </c>
      <c r="Q120" s="67">
        <f>IF(G120="","",ABS(P120-Components!$D$2))</f>
        <v/>
      </c>
      <c r="R120" s="67">
        <f>IF(G120="","",ABS(P120-Components!$D$3))</f>
        <v/>
      </c>
      <c r="S120" s="67">
        <f>IF(G120="","",ABS(P120-Components!$D$4))</f>
        <v/>
      </c>
      <c r="T120" s="67">
        <f>IF(G120="","",ABS(P120-Components!$D$5))</f>
        <v/>
      </c>
      <c r="U120" s="67">
        <f>IF(G120="","",ABS(P120-Components!$D$6))</f>
        <v/>
      </c>
      <c r="V120" s="67">
        <f>IF(G120="","",ABS(P120-Components!$D$7))</f>
        <v/>
      </c>
      <c r="W120" s="61">
        <f>IF(G120="","",IF(N120="OK","NONE",INDEX({"S1","S2","W1","W2","N1","N2"},MATCH(MIN(Q120:V120),Q120:V120,0))))</f>
        <v/>
      </c>
      <c r="X120" s="69">
        <f>IF(G120="","",IF(W120=E120,1,0))</f>
        <v/>
      </c>
    </row>
    <row r="121">
      <c r="A121" s="61" t="n">
        <v>19</v>
      </c>
      <c r="B121" s="62" t="n">
        <v>47</v>
      </c>
      <c r="C121" s="61" t="inlineStr">
        <is>
          <t>R3</t>
        </is>
      </c>
      <c r="D121" s="74" t="inlineStr">
        <is>
          <t>NG</t>
        </is>
      </c>
      <c r="E121" s="61" t="inlineStr">
        <is>
          <t>N2</t>
        </is>
      </c>
      <c r="F121" s="61" t="inlineStr">
        <is>
          <t>K019</t>
        </is>
      </c>
      <c r="G121" s="87" t="n"/>
      <c r="H121" s="65" t="n"/>
      <c r="I121" s="66" t="n"/>
      <c r="J121" s="67">
        <f>VLOOKUP(C121,Recipes!$A$2:$N$4,10,FALSE())</f>
        <v/>
      </c>
      <c r="K121" s="68">
        <f>VLOOKUP(C121,Recipes!$A$2:$N$4,12,FALSE())</f>
        <v/>
      </c>
      <c r="L121" s="67">
        <f>J121-3*K121</f>
        <v/>
      </c>
      <c r="M121" s="67">
        <f>J121+3*K121</f>
        <v/>
      </c>
      <c r="N121" s="61">
        <f>IF(G121="","",IF(AND(G121&gt;=L121,G121&lt;=M121),"OK","NG"))</f>
        <v/>
      </c>
      <c r="O121" s="69">
        <f>IF(N121="","",IF(N121=D121,1,0))</f>
        <v/>
      </c>
      <c r="P121" s="67">
        <f>IF(G121="","",J121-G121)</f>
        <v/>
      </c>
      <c r="Q121" s="67">
        <f>IF(G121="","",ABS(P121-Components!$D$2))</f>
        <v/>
      </c>
      <c r="R121" s="67">
        <f>IF(G121="","",ABS(P121-Components!$D$3))</f>
        <v/>
      </c>
      <c r="S121" s="67">
        <f>IF(G121="","",ABS(P121-Components!$D$4))</f>
        <v/>
      </c>
      <c r="T121" s="67">
        <f>IF(G121="","",ABS(P121-Components!$D$5))</f>
        <v/>
      </c>
      <c r="U121" s="67">
        <f>IF(G121="","",ABS(P121-Components!$D$6))</f>
        <v/>
      </c>
      <c r="V121" s="67">
        <f>IF(G121="","",ABS(P121-Components!$D$7))</f>
        <v/>
      </c>
      <c r="W121" s="61">
        <f>IF(G121="","",IF(N121="OK","NONE",INDEX({"S1","S2","W1","W2","N1","N2"},MATCH(MIN(Q121:V121),Q121:V121,0))))</f>
        <v/>
      </c>
      <c r="X121" s="69">
        <f>IF(G121="","",IF(W121=E121,1,0))</f>
        <v/>
      </c>
    </row>
    <row r="122">
      <c r="A122" s="61" t="n">
        <v>19</v>
      </c>
      <c r="B122" s="62" t="n">
        <v>47</v>
      </c>
      <c r="C122" s="61" t="inlineStr">
        <is>
          <t>R3</t>
        </is>
      </c>
      <c r="D122" s="74" t="inlineStr">
        <is>
          <t>NG</t>
        </is>
      </c>
      <c r="E122" s="61" t="inlineStr">
        <is>
          <t>N2</t>
        </is>
      </c>
      <c r="F122" s="61" t="inlineStr">
        <is>
          <t>K019</t>
        </is>
      </c>
      <c r="G122" s="64" t="n">
        <v>8.56</v>
      </c>
      <c r="H122" s="65" t="n"/>
      <c r="I122" s="66" t="n"/>
      <c r="J122" s="67">
        <f>VLOOKUP(C122,Recipes!$A$2:$N$4,10,FALSE())</f>
        <v/>
      </c>
      <c r="K122" s="68">
        <f>VLOOKUP(C122,Recipes!$A$2:$N$4,12,FALSE())</f>
        <v/>
      </c>
      <c r="L122" s="67">
        <f>J122-3*K122</f>
        <v/>
      </c>
      <c r="M122" s="67">
        <f>J122+3*K122</f>
        <v/>
      </c>
      <c r="N122" s="61">
        <f>IF(G122="","",IF(AND(G122&gt;=L122,G122&lt;=M122),"OK","NG"))</f>
        <v/>
      </c>
      <c r="O122" s="69">
        <f>IF(N122="","",IF(N122=D122,1,0))</f>
        <v/>
      </c>
      <c r="P122" s="67">
        <f>IF(G122="","",J122-G122)</f>
        <v/>
      </c>
      <c r="Q122" s="67">
        <f>IF(G122="","",ABS(P122-Components!$D$2))</f>
        <v/>
      </c>
      <c r="R122" s="67">
        <f>IF(G122="","",ABS(P122-Components!$D$3))</f>
        <v/>
      </c>
      <c r="S122" s="67">
        <f>IF(G122="","",ABS(P122-Components!$D$4))</f>
        <v/>
      </c>
      <c r="T122" s="67">
        <f>IF(G122="","",ABS(P122-Components!$D$5))</f>
        <v/>
      </c>
      <c r="U122" s="67">
        <f>IF(G122="","",ABS(P122-Components!$D$6))</f>
        <v/>
      </c>
      <c r="V122" s="67">
        <f>IF(G122="","",ABS(P122-Components!$D$7))</f>
        <v/>
      </c>
      <c r="W122" s="61">
        <f>IF(G122="","",IF(N122="OK","NONE",INDEX({"S1","S2","W1","W2","N1","N2"},MATCH(MIN(Q122:V122),Q122:V122,0))))</f>
        <v/>
      </c>
      <c r="X122" s="69">
        <f>IF(G122="","",IF(W122=E122,1,0))</f>
        <v/>
      </c>
    </row>
    <row r="123">
      <c r="A123" s="61" t="n">
        <v>21</v>
      </c>
      <c r="B123" s="62" t="n">
        <v>29</v>
      </c>
      <c r="C123" s="61" t="inlineStr">
        <is>
          <t>R4</t>
        </is>
      </c>
      <c r="D123" s="63" t="inlineStr">
        <is>
          <t>OK</t>
        </is>
      </c>
      <c r="E123" s="61" t="inlineStr">
        <is>
          <t>NONE</t>
        </is>
      </c>
      <c r="F123" s="61" t="inlineStr">
        <is>
          <t>K021</t>
        </is>
      </c>
      <c r="G123" s="64" t="n">
        <v>8.949999999999999</v>
      </c>
      <c r="H123" s="65" t="n"/>
      <c r="I123" s="66" t="n"/>
      <c r="J123" s="67">
        <f>VLOOKUP(C123,Recipes!$A$2:$N$4,10,FALSE())</f>
        <v/>
      </c>
      <c r="K123" s="68">
        <f>VLOOKUP(C123,Recipes!$A$2:$N$4,12,FALSE())</f>
        <v/>
      </c>
      <c r="L123" s="67">
        <f>J123-3*K123</f>
        <v/>
      </c>
      <c r="M123" s="67">
        <f>J123+3*K123</f>
        <v/>
      </c>
      <c r="N123" s="61">
        <f>IF(G123="","",IF(AND(G123&gt;=L123,G123&lt;=M123),"OK","NG"))</f>
        <v/>
      </c>
      <c r="O123" s="69">
        <f>IF(N123="","",IF(N123=D123,1,0))</f>
        <v/>
      </c>
      <c r="P123" s="67">
        <f>IF(G123="","",J123-G123)</f>
        <v/>
      </c>
      <c r="Q123" s="67">
        <f>IF(G123="","",ABS(P123-Components!$D$2))</f>
        <v/>
      </c>
      <c r="R123" s="67">
        <f>IF(G123="","",ABS(P123-Components!$D$3))</f>
        <v/>
      </c>
      <c r="S123" s="67">
        <f>IF(G123="","",ABS(P123-Components!$D$4))</f>
        <v/>
      </c>
      <c r="T123" s="67">
        <f>IF(G123="","",ABS(P123-Components!$D$5))</f>
        <v/>
      </c>
      <c r="U123" s="67">
        <f>IF(G123="","",ABS(P123-Components!$D$6))</f>
        <v/>
      </c>
      <c r="V123" s="67">
        <f>IF(G123="","",ABS(P123-Components!$D$7))</f>
        <v/>
      </c>
      <c r="W123" s="61">
        <f>IF(G123="","",IF(N123="OK","NONE",INDEX({"S1","S2","W1","W2","N1","N2"},MATCH(MIN(Q123:V123),Q123:V123,0))))</f>
        <v/>
      </c>
      <c r="X123" s="69">
        <f>IF(G123="","",IF(W123=E123,1,0))</f>
        <v/>
      </c>
    </row>
    <row r="124">
      <c r="A124" s="61" t="n">
        <v>22</v>
      </c>
      <c r="B124" s="62" t="n">
        <v>11</v>
      </c>
      <c r="C124" s="61" t="inlineStr">
        <is>
          <t>R4</t>
        </is>
      </c>
      <c r="D124" s="63" t="inlineStr">
        <is>
          <t>OK</t>
        </is>
      </c>
      <c r="E124" s="61" t="inlineStr">
        <is>
          <t>NONE</t>
        </is>
      </c>
      <c r="F124" s="61" t="inlineStr">
        <is>
          <t>K022</t>
        </is>
      </c>
      <c r="G124" s="64" t="n">
        <v>8.94</v>
      </c>
      <c r="H124" s="65" t="n"/>
      <c r="I124" s="66" t="n"/>
      <c r="J124" s="67">
        <f>VLOOKUP(C124,Recipes!$A$2:$N$4,10,FALSE())</f>
        <v/>
      </c>
      <c r="K124" s="68">
        <f>VLOOKUP(C124,Recipes!$A$2:$N$4,12,FALSE())</f>
        <v/>
      </c>
      <c r="L124" s="67">
        <f>J124-3*K124</f>
        <v/>
      </c>
      <c r="M124" s="67">
        <f>J124+3*K124</f>
        <v/>
      </c>
      <c r="N124" s="61">
        <f>IF(G124="","",IF(AND(G124&gt;=L124,G124&lt;=M124),"OK","NG"))</f>
        <v/>
      </c>
      <c r="O124" s="69">
        <f>IF(N124="","",IF(N124=D124,1,0))</f>
        <v/>
      </c>
      <c r="P124" s="67">
        <f>IF(G124="","",J124-G124)</f>
        <v/>
      </c>
      <c r="Q124" s="67">
        <f>IF(G124="","",ABS(P124-Components!$D$2))</f>
        <v/>
      </c>
      <c r="R124" s="67">
        <f>IF(G124="","",ABS(P124-Components!$D$3))</f>
        <v/>
      </c>
      <c r="S124" s="67">
        <f>IF(G124="","",ABS(P124-Components!$D$4))</f>
        <v/>
      </c>
      <c r="T124" s="67">
        <f>IF(G124="","",ABS(P124-Components!$D$5))</f>
        <v/>
      </c>
      <c r="U124" s="67">
        <f>IF(G124="","",ABS(P124-Components!$D$6))</f>
        <v/>
      </c>
      <c r="V124" s="67">
        <f>IF(G124="","",ABS(P124-Components!$D$7))</f>
        <v/>
      </c>
      <c r="W124" s="61">
        <f>IF(G124="","",IF(N124="OK","NONE",INDEX({"S1","S2","W1","W2","N1","N2"},MATCH(MIN(Q124:V124),Q124:V124,0))))</f>
        <v/>
      </c>
      <c r="X124" s="69">
        <f>IF(G124="","",IF(W124=E124,1,0))</f>
        <v/>
      </c>
    </row>
    <row r="125">
      <c r="A125" s="61" t="n">
        <v>23</v>
      </c>
      <c r="B125" s="62" t="n">
        <v>43</v>
      </c>
      <c r="C125" s="61" t="inlineStr">
        <is>
          <t>R4</t>
        </is>
      </c>
      <c r="D125" s="63" t="inlineStr">
        <is>
          <t>OK</t>
        </is>
      </c>
      <c r="E125" s="61" t="inlineStr">
        <is>
          <t>NONE</t>
        </is>
      </c>
      <c r="F125" s="61" t="inlineStr">
        <is>
          <t>K023</t>
        </is>
      </c>
      <c r="G125" s="64" t="n">
        <v>8.94</v>
      </c>
      <c r="H125" s="65" t="n"/>
      <c r="I125" s="66" t="n"/>
      <c r="J125" s="67">
        <f>VLOOKUP(C125,Recipes!$A$2:$N$4,10,FALSE())</f>
        <v/>
      </c>
      <c r="K125" s="68">
        <f>VLOOKUP(C125,Recipes!$A$2:$N$4,12,FALSE())</f>
        <v/>
      </c>
      <c r="L125" s="67">
        <f>J125-3*K125</f>
        <v/>
      </c>
      <c r="M125" s="67">
        <f>J125+3*K125</f>
        <v/>
      </c>
      <c r="N125" s="61">
        <f>IF(G125="","",IF(AND(G125&gt;=L125,G125&lt;=M125),"OK","NG"))</f>
        <v/>
      </c>
      <c r="O125" s="69">
        <f>IF(N125="","",IF(N125=D125,1,0))</f>
        <v/>
      </c>
      <c r="P125" s="67">
        <f>IF(G125="","",J125-G125)</f>
        <v/>
      </c>
      <c r="Q125" s="67">
        <f>IF(G125="","",ABS(P125-Components!$D$2))</f>
        <v/>
      </c>
      <c r="R125" s="67">
        <f>IF(G125="","",ABS(P125-Components!$D$3))</f>
        <v/>
      </c>
      <c r="S125" s="67">
        <f>IF(G125="","",ABS(P125-Components!$D$4))</f>
        <v/>
      </c>
      <c r="T125" s="67">
        <f>IF(G125="","",ABS(P125-Components!$D$5))</f>
        <v/>
      </c>
      <c r="U125" s="67">
        <f>IF(G125="","",ABS(P125-Components!$D$6))</f>
        <v/>
      </c>
      <c r="V125" s="67">
        <f>IF(G125="","",ABS(P125-Components!$D$7))</f>
        <v/>
      </c>
      <c r="W125" s="61">
        <f>IF(G125="","",IF(N125="OK","NONE",INDEX({"S1","S2","W1","W2","N1","N2"},MATCH(MIN(Q125:V125),Q125:V125,0))))</f>
        <v/>
      </c>
      <c r="X125" s="69">
        <f>IF(G125="","",IF(W125=E125,1,0))</f>
        <v/>
      </c>
    </row>
    <row r="126">
      <c r="A126" s="61" t="n">
        <v>24</v>
      </c>
      <c r="B126" s="62" t="n">
        <v>23</v>
      </c>
      <c r="C126" s="61" t="inlineStr">
        <is>
          <t>R4</t>
        </is>
      </c>
      <c r="D126" s="63" t="inlineStr">
        <is>
          <t>OK</t>
        </is>
      </c>
      <c r="E126" s="61" t="inlineStr">
        <is>
          <t>NONE</t>
        </is>
      </c>
      <c r="F126" s="61" t="inlineStr">
        <is>
          <t>K024</t>
        </is>
      </c>
      <c r="G126" s="64" t="n">
        <v>8.890000000000001</v>
      </c>
      <c r="H126" s="65" t="n"/>
      <c r="I126" s="66" t="n"/>
      <c r="J126" s="67">
        <f>VLOOKUP(C126,Recipes!$A$2:$N$4,10,FALSE())</f>
        <v/>
      </c>
      <c r="K126" s="68">
        <f>VLOOKUP(C126,Recipes!$A$2:$N$4,12,FALSE())</f>
        <v/>
      </c>
      <c r="L126" s="67">
        <f>J126-3*K126</f>
        <v/>
      </c>
      <c r="M126" s="67">
        <f>J126+3*K126</f>
        <v/>
      </c>
      <c r="N126" s="61">
        <f>IF(G126="","",IF(AND(G126&gt;=L126,G126&lt;=M126),"OK","NG"))</f>
        <v/>
      </c>
      <c r="O126" s="69">
        <f>IF(N126="","",IF(N126=D126,1,0))</f>
        <v/>
      </c>
      <c r="P126" s="67">
        <f>IF(G126="","",J126-G126)</f>
        <v/>
      </c>
      <c r="Q126" s="67">
        <f>IF(G126="","",ABS(P126-Components!$D$2))</f>
        <v/>
      </c>
      <c r="R126" s="67">
        <f>IF(G126="","",ABS(P126-Components!$D$3))</f>
        <v/>
      </c>
      <c r="S126" s="67">
        <f>IF(G126="","",ABS(P126-Components!$D$4))</f>
        <v/>
      </c>
      <c r="T126" s="67">
        <f>IF(G126="","",ABS(P126-Components!$D$5))</f>
        <v/>
      </c>
      <c r="U126" s="67">
        <f>IF(G126="","",ABS(P126-Components!$D$6))</f>
        <v/>
      </c>
      <c r="V126" s="67">
        <f>IF(G126="","",ABS(P126-Components!$D$7))</f>
        <v/>
      </c>
      <c r="W126" s="61">
        <f>IF(G126="","",IF(N126="OK","NONE",INDEX({"S1","S2","W1","W2","N1","N2"},MATCH(MIN(Q126:V126),Q126:V126,0))))</f>
        <v/>
      </c>
      <c r="X126" s="69">
        <f>IF(G126="","",IF(W126=E126,1,0))</f>
        <v/>
      </c>
    </row>
    <row r="127">
      <c r="A127" s="61" t="n">
        <v>25</v>
      </c>
      <c r="B127" s="62" t="n">
        <v>39</v>
      </c>
      <c r="C127" s="61" t="inlineStr">
        <is>
          <t>R4</t>
        </is>
      </c>
      <c r="D127" s="63" t="inlineStr">
        <is>
          <t>OK</t>
        </is>
      </c>
      <c r="E127" s="61" t="inlineStr">
        <is>
          <t>NONE</t>
        </is>
      </c>
      <c r="F127" s="61" t="inlineStr">
        <is>
          <t>K025</t>
        </is>
      </c>
      <c r="G127" s="64" t="n">
        <v>8.890000000000001</v>
      </c>
      <c r="H127" s="65" t="n"/>
      <c r="I127" s="66" t="n"/>
      <c r="J127" s="67">
        <f>VLOOKUP(C127,Recipes!$A$2:$N$4,10,FALSE())</f>
        <v/>
      </c>
      <c r="K127" s="68">
        <f>VLOOKUP(C127,Recipes!$A$2:$N$4,12,FALSE())</f>
        <v/>
      </c>
      <c r="L127" s="67">
        <f>J127-3*K127</f>
        <v/>
      </c>
      <c r="M127" s="67">
        <f>J127+3*K127</f>
        <v/>
      </c>
      <c r="N127" s="61">
        <f>IF(G127="","",IF(AND(G127&gt;=L127,G127&lt;=M127),"OK","NG"))</f>
        <v/>
      </c>
      <c r="O127" s="69">
        <f>IF(N127="","",IF(N127=D127,1,0))</f>
        <v/>
      </c>
      <c r="P127" s="67">
        <f>IF(G127="","",J127-G127)</f>
        <v/>
      </c>
      <c r="Q127" s="67">
        <f>IF(G127="","",ABS(P127-Components!$D$2))</f>
        <v/>
      </c>
      <c r="R127" s="67">
        <f>IF(G127="","",ABS(P127-Components!$D$3))</f>
        <v/>
      </c>
      <c r="S127" s="67">
        <f>IF(G127="","",ABS(P127-Components!$D$4))</f>
        <v/>
      </c>
      <c r="T127" s="67">
        <f>IF(G127="","",ABS(P127-Components!$D$5))</f>
        <v/>
      </c>
      <c r="U127" s="67">
        <f>IF(G127="","",ABS(P127-Components!$D$6))</f>
        <v/>
      </c>
      <c r="V127" s="67">
        <f>IF(G127="","",ABS(P127-Components!$D$7))</f>
        <v/>
      </c>
      <c r="W127" s="61">
        <f>IF(G127="","",IF(N127="OK","NONE",INDEX({"S1","S2","W1","W2","N1","N2"},MATCH(MIN(Q127:V127),Q127:V127,0))))</f>
        <v/>
      </c>
      <c r="X127" s="69">
        <f>IF(G127="","",IF(W127=E127,1,0))</f>
        <v/>
      </c>
    </row>
    <row r="128">
      <c r="A128" s="61" t="n">
        <v>26</v>
      </c>
      <c r="B128" s="62" t="n">
        <v>25</v>
      </c>
      <c r="C128" s="61" t="inlineStr">
        <is>
          <t>R4</t>
        </is>
      </c>
      <c r="D128" s="74" t="inlineStr">
        <is>
          <t>NG</t>
        </is>
      </c>
      <c r="E128" s="61" t="inlineStr">
        <is>
          <t>S1</t>
        </is>
      </c>
      <c r="F128" s="61" t="inlineStr">
        <is>
          <t>K026</t>
        </is>
      </c>
      <c r="G128" s="64" t="n">
        <v>6.18</v>
      </c>
      <c r="H128" s="65" t="n"/>
      <c r="I128" s="66" t="n"/>
      <c r="J128" s="67">
        <f>VLOOKUP(C128,Recipes!$A$2:$N$4,10,FALSE())</f>
        <v/>
      </c>
      <c r="K128" s="68">
        <f>VLOOKUP(C128,Recipes!$A$2:$N$4,12,FALSE())</f>
        <v/>
      </c>
      <c r="L128" s="67">
        <f>J128-3*K128</f>
        <v/>
      </c>
      <c r="M128" s="67">
        <f>J128+3*K128</f>
        <v/>
      </c>
      <c r="N128" s="61">
        <f>IF(G128="","",IF(AND(G128&gt;=L128,G128&lt;=M128),"OK","NG"))</f>
        <v/>
      </c>
      <c r="O128" s="69">
        <f>IF(N128="","",IF(N128=D128,1,0))</f>
        <v/>
      </c>
      <c r="P128" s="67">
        <f>IF(G128="","",J128-G128)</f>
        <v/>
      </c>
      <c r="Q128" s="67">
        <f>IF(G128="","",ABS(P128-Components!$D$2))</f>
        <v/>
      </c>
      <c r="R128" s="67">
        <f>IF(G128="","",ABS(P128-Components!$D$3))</f>
        <v/>
      </c>
      <c r="S128" s="67">
        <f>IF(G128="","",ABS(P128-Components!$D$4))</f>
        <v/>
      </c>
      <c r="T128" s="67">
        <f>IF(G128="","",ABS(P128-Components!$D$5))</f>
        <v/>
      </c>
      <c r="U128" s="67">
        <f>IF(G128="","",ABS(P128-Components!$D$6))</f>
        <v/>
      </c>
      <c r="V128" s="67">
        <f>IF(G128="","",ABS(P128-Components!$D$7))</f>
        <v/>
      </c>
      <c r="W128" s="61">
        <f>IF(G128="","",IF(N128="OK","NONE",INDEX({"S1","S2","W1","W2","N1","N2"},MATCH(MIN(Q128:V128),Q128:V128,0))))</f>
        <v/>
      </c>
      <c r="X128" s="69">
        <f>IF(G128="","",IF(W128=E128,1,0))</f>
        <v/>
      </c>
    </row>
    <row r="129">
      <c r="A129" s="61" t="n">
        <v>27</v>
      </c>
      <c r="B129" s="62" t="n">
        <v>1</v>
      </c>
      <c r="C129" s="61" t="inlineStr">
        <is>
          <t>R4</t>
        </is>
      </c>
      <c r="D129" s="74" t="inlineStr">
        <is>
          <t>NG</t>
        </is>
      </c>
      <c r="E129" s="61" t="inlineStr">
        <is>
          <t>S1</t>
        </is>
      </c>
      <c r="F129" s="61" t="inlineStr">
        <is>
          <t>K027</t>
        </is>
      </c>
      <c r="G129" s="64" t="n">
        <v>6.18</v>
      </c>
      <c r="H129" s="65" t="n"/>
      <c r="I129" s="66" t="n"/>
      <c r="J129" s="67">
        <f>VLOOKUP(C129,Recipes!$A$2:$N$4,10,FALSE())</f>
        <v/>
      </c>
      <c r="K129" s="68">
        <f>VLOOKUP(C129,Recipes!$A$2:$N$4,12,FALSE())</f>
        <v/>
      </c>
      <c r="L129" s="67">
        <f>J129-3*K129</f>
        <v/>
      </c>
      <c r="M129" s="67">
        <f>J129+3*K129</f>
        <v/>
      </c>
      <c r="N129" s="61">
        <f>IF(G129="","",IF(AND(G129&gt;=L129,G129&lt;=M129),"OK","NG"))</f>
        <v/>
      </c>
      <c r="O129" s="69">
        <f>IF(N129="","",IF(N129=D129,1,0))</f>
        <v/>
      </c>
      <c r="P129" s="67">
        <f>IF(G129="","",J129-G129)</f>
        <v/>
      </c>
      <c r="Q129" s="67">
        <f>IF(G129="","",ABS(P129-Components!$D$2))</f>
        <v/>
      </c>
      <c r="R129" s="67">
        <f>IF(G129="","",ABS(P129-Components!$D$3))</f>
        <v/>
      </c>
      <c r="S129" s="67">
        <f>IF(G129="","",ABS(P129-Components!$D$4))</f>
        <v/>
      </c>
      <c r="T129" s="67">
        <f>IF(G129="","",ABS(P129-Components!$D$5))</f>
        <v/>
      </c>
      <c r="U129" s="67">
        <f>IF(G129="","",ABS(P129-Components!$D$6))</f>
        <v/>
      </c>
      <c r="V129" s="67">
        <f>IF(G129="","",ABS(P129-Components!$D$7))</f>
        <v/>
      </c>
      <c r="W129" s="61">
        <f>IF(G129="","",IF(N129="OK","NONE",INDEX({"S1","S2","W1","W2","N1","N2"},MATCH(MIN(Q129:V129),Q129:V129,0))))</f>
        <v/>
      </c>
      <c r="X129" s="69">
        <f>IF(G129="","",IF(W129=E129,1,0))</f>
        <v/>
      </c>
    </row>
    <row r="130">
      <c r="A130" s="61" t="n">
        <v>28</v>
      </c>
      <c r="B130" s="62" t="n">
        <v>26</v>
      </c>
      <c r="C130" s="61" t="inlineStr">
        <is>
          <t>R4</t>
        </is>
      </c>
      <c r="D130" s="74" t="inlineStr">
        <is>
          <t>NG</t>
        </is>
      </c>
      <c r="E130" s="61" t="inlineStr">
        <is>
          <t>S1</t>
        </is>
      </c>
      <c r="F130" s="61" t="inlineStr">
        <is>
          <t>K028</t>
        </is>
      </c>
      <c r="G130" s="64" t="n">
        <v>6.15</v>
      </c>
      <c r="H130" s="65" t="n"/>
      <c r="I130" s="66" t="n"/>
      <c r="J130" s="67">
        <f>VLOOKUP(C130,Recipes!$A$2:$N$4,10,FALSE())</f>
        <v/>
      </c>
      <c r="K130" s="68">
        <f>VLOOKUP(C130,Recipes!$A$2:$N$4,12,FALSE())</f>
        <v/>
      </c>
      <c r="L130" s="67">
        <f>J130-3*K130</f>
        <v/>
      </c>
      <c r="M130" s="67">
        <f>J130+3*K130</f>
        <v/>
      </c>
      <c r="N130" s="61">
        <f>IF(G130="","",IF(AND(G130&gt;=L130,G130&lt;=M130),"OK","NG"))</f>
        <v/>
      </c>
      <c r="O130" s="69">
        <f>IF(N130="","",IF(N130=D130,1,0))</f>
        <v/>
      </c>
      <c r="P130" s="67">
        <f>IF(G130="","",J130-G130)</f>
        <v/>
      </c>
      <c r="Q130" s="67">
        <f>IF(G130="","",ABS(P130-Components!$D$2))</f>
        <v/>
      </c>
      <c r="R130" s="67">
        <f>IF(G130="","",ABS(P130-Components!$D$3))</f>
        <v/>
      </c>
      <c r="S130" s="67">
        <f>IF(G130="","",ABS(P130-Components!$D$4))</f>
        <v/>
      </c>
      <c r="T130" s="67">
        <f>IF(G130="","",ABS(P130-Components!$D$5))</f>
        <v/>
      </c>
      <c r="U130" s="67">
        <f>IF(G130="","",ABS(P130-Components!$D$6))</f>
        <v/>
      </c>
      <c r="V130" s="67">
        <f>IF(G130="","",ABS(P130-Components!$D$7))</f>
        <v/>
      </c>
      <c r="W130" s="61">
        <f>IF(G130="","",IF(N130="OK","NONE",INDEX({"S1","S2","W1","W2","N1","N2"},MATCH(MIN(Q130:V130),Q130:V130,0))))</f>
        <v/>
      </c>
      <c r="X130" s="69">
        <f>IF(G130="","",IF(W130=E130,1,0))</f>
        <v/>
      </c>
    </row>
    <row r="131">
      <c r="A131" s="61" t="n">
        <v>29</v>
      </c>
      <c r="B131" s="62" t="n">
        <v>52</v>
      </c>
      <c r="C131" s="61" t="inlineStr">
        <is>
          <t>R4</t>
        </is>
      </c>
      <c r="D131" s="74" t="inlineStr">
        <is>
          <t>NG</t>
        </is>
      </c>
      <c r="E131" s="61" t="inlineStr">
        <is>
          <t>S1</t>
        </is>
      </c>
      <c r="F131" s="61" t="inlineStr">
        <is>
          <t>K029</t>
        </is>
      </c>
      <c r="G131" s="64" t="n">
        <v>6.12</v>
      </c>
      <c r="H131" s="65" t="n"/>
      <c r="I131" s="66" t="n"/>
      <c r="J131" s="67">
        <f>VLOOKUP(C131,Recipes!$A$2:$N$4,10,FALSE())</f>
        <v/>
      </c>
      <c r="K131" s="68">
        <f>VLOOKUP(C131,Recipes!$A$2:$N$4,12,FALSE())</f>
        <v/>
      </c>
      <c r="L131" s="67">
        <f>J131-3*K131</f>
        <v/>
      </c>
      <c r="M131" s="67">
        <f>J131+3*K131</f>
        <v/>
      </c>
      <c r="N131" s="61">
        <f>IF(G131="","",IF(AND(G131&gt;=L131,G131&lt;=M131),"OK","NG"))</f>
        <v/>
      </c>
      <c r="O131" s="69">
        <f>IF(N131="","",IF(N131=D131,1,0))</f>
        <v/>
      </c>
      <c r="P131" s="67">
        <f>IF(G131="","",J131-G131)</f>
        <v/>
      </c>
      <c r="Q131" s="67">
        <f>IF(G131="","",ABS(P131-Components!$D$2))</f>
        <v/>
      </c>
      <c r="R131" s="67">
        <f>IF(G131="","",ABS(P131-Components!$D$3))</f>
        <v/>
      </c>
      <c r="S131" s="67">
        <f>IF(G131="","",ABS(P131-Components!$D$4))</f>
        <v/>
      </c>
      <c r="T131" s="67">
        <f>IF(G131="","",ABS(P131-Components!$D$5))</f>
        <v/>
      </c>
      <c r="U131" s="67">
        <f>IF(G131="","",ABS(P131-Components!$D$6))</f>
        <v/>
      </c>
      <c r="V131" s="67">
        <f>IF(G131="","",ABS(P131-Components!$D$7))</f>
        <v/>
      </c>
      <c r="W131" s="61">
        <f>IF(G131="","",IF(N131="OK","NONE",INDEX({"S1","S2","W1","W2","N1","N2"},MATCH(MIN(Q131:V131),Q131:V131,0))))</f>
        <v/>
      </c>
      <c r="X131" s="69">
        <f>IF(G131="","",IF(W131=E131,1,0))</f>
        <v/>
      </c>
    </row>
    <row r="132">
      <c r="A132" s="76" t="n">
        <v>41</v>
      </c>
      <c r="B132" s="77" t="n">
        <v>7</v>
      </c>
      <c r="C132" s="76" t="inlineStr">
        <is>
          <t>R4</t>
        </is>
      </c>
      <c r="D132" s="78" t="inlineStr">
        <is>
          <t>NG</t>
        </is>
      </c>
      <c r="E132" s="76" t="inlineStr">
        <is>
          <t>S1</t>
        </is>
      </c>
      <c r="F132" s="76" t="inlineStr">
        <is>
          <t>K041</t>
        </is>
      </c>
      <c r="G132" s="75" t="n">
        <v>6.16</v>
      </c>
      <c r="H132" s="65" t="n"/>
      <c r="I132" s="66" t="n"/>
      <c r="J132" s="67">
        <f>VLOOKUP(C130,Recipes!$A$2:$N$4,10,FALSE())</f>
        <v/>
      </c>
      <c r="K132" s="68">
        <f>VLOOKUP(C132,Recipes!$A$2:$N$4,12,FALSE())</f>
        <v/>
      </c>
      <c r="L132" s="67">
        <f>J132-3*K132</f>
        <v/>
      </c>
      <c r="M132" s="67">
        <f>J132+3*K132</f>
        <v/>
      </c>
      <c r="N132" s="61">
        <f>IF(G132="","",IF(AND(G132&gt;=L132,G132&lt;=M132),"OK","NG"))</f>
        <v/>
      </c>
      <c r="O132" s="69">
        <f>IF(N132="","",IF(N132=D132,1,0))</f>
        <v/>
      </c>
      <c r="P132" s="67">
        <f>IF(G132="","",J132-G132)</f>
        <v/>
      </c>
      <c r="Q132" s="67">
        <f>IF(G132="","",ABS(P132-Components!$D$2))</f>
        <v/>
      </c>
      <c r="R132" s="67">
        <f>IF(G132="","",ABS(P132-Components!$D$3))</f>
        <v/>
      </c>
      <c r="S132" s="67">
        <f>IF(G132="","",ABS(P132-Components!$D$3))</f>
        <v/>
      </c>
      <c r="T132" s="67">
        <f>IF(G132="","",ABS(P132-Components!$D$5))</f>
        <v/>
      </c>
      <c r="U132" s="67">
        <f>IF(G132="","",ABS(P132-Components!$D$6))</f>
        <v/>
      </c>
      <c r="V132" s="67">
        <f>IF(G132="","",ABS(P132-Components!$D$7))</f>
        <v/>
      </c>
      <c r="W132" s="61">
        <f>IF(G132="","",IF(N132="OK","NONE",INDEX({"S1","S2","W1","W2","N1","N2"},MATCH(MIN(Q132:V132),Q132:V132,0))))</f>
        <v/>
      </c>
      <c r="X132" s="69">
        <f>IF(G132="","",IF(W132=E132,1,0))</f>
        <v/>
      </c>
    </row>
    <row r="133">
      <c r="A133" s="61" t="n">
        <v>30</v>
      </c>
      <c r="B133" s="62" t="n">
        <v>19</v>
      </c>
      <c r="C133" s="61" t="inlineStr">
        <is>
          <t>R4</t>
        </is>
      </c>
      <c r="D133" s="74" t="inlineStr">
        <is>
          <t>NG</t>
        </is>
      </c>
      <c r="E133" s="61" t="inlineStr">
        <is>
          <t>W1</t>
        </is>
      </c>
      <c r="F133" s="61" t="inlineStr">
        <is>
          <t>K030</t>
        </is>
      </c>
      <c r="G133" s="64" t="n">
        <v>7.99</v>
      </c>
      <c r="H133" s="65" t="n"/>
      <c r="I133" s="66" t="n"/>
      <c r="J133" s="67">
        <f>VLOOKUP(C133,Recipes!$A$2:$N$4,10,FALSE())</f>
        <v/>
      </c>
      <c r="K133" s="68">
        <f>VLOOKUP(C133,Recipes!$A$2:$N$4,12,FALSE())</f>
        <v/>
      </c>
      <c r="L133" s="67">
        <f>J133-3*K133</f>
        <v/>
      </c>
      <c r="M133" s="67">
        <f>J133+3*K133</f>
        <v/>
      </c>
      <c r="N133" s="61">
        <f>IF(G133="","",IF(AND(G133&gt;=L133,G133&lt;=M133),"OK","NG"))</f>
        <v/>
      </c>
      <c r="O133" s="69">
        <f>IF(N133="","",IF(N133=D133,1,0))</f>
        <v/>
      </c>
      <c r="P133" s="67">
        <f>IF(G133="","",J133-G133)</f>
        <v/>
      </c>
      <c r="Q133" s="67">
        <f>IF(G133="","",ABS(P133-Components!$D$2))</f>
        <v/>
      </c>
      <c r="R133" s="67">
        <f>IF(G133="","",ABS(P133-Components!$D$3))</f>
        <v/>
      </c>
      <c r="S133" s="67">
        <f>IF(G133="","",ABS(P133-Components!$D$4))</f>
        <v/>
      </c>
      <c r="T133" s="67">
        <f>IF(G133="","",ABS(P133-Components!$D$5))</f>
        <v/>
      </c>
      <c r="U133" s="67">
        <f>IF(G133="","",ABS(P133-Components!$D$6))</f>
        <v/>
      </c>
      <c r="V133" s="67">
        <f>IF(G133="","",ABS(P133-Components!$D$7))</f>
        <v/>
      </c>
      <c r="W133" s="61">
        <f>IF(G133="","",IF(N133="OK","NONE",INDEX({"S1","S2","W1","W2","N1","N2"},MATCH(MIN(Q133:V133),Q133:V133,0))))</f>
        <v/>
      </c>
      <c r="X133" s="69">
        <f>IF(G133="","",IF(W133=E133,1,0))</f>
        <v/>
      </c>
    </row>
    <row r="134">
      <c r="A134" s="61" t="n">
        <v>31</v>
      </c>
      <c r="B134" s="62" t="n">
        <v>32</v>
      </c>
      <c r="C134" s="61" t="inlineStr">
        <is>
          <t>R4</t>
        </is>
      </c>
      <c r="D134" s="74" t="inlineStr">
        <is>
          <t>NG</t>
        </is>
      </c>
      <c r="E134" s="61" t="inlineStr">
        <is>
          <t>W1</t>
        </is>
      </c>
      <c r="F134" s="61" t="inlineStr">
        <is>
          <t>K031</t>
        </is>
      </c>
      <c r="G134" s="64" t="n">
        <v>7.97</v>
      </c>
      <c r="H134" s="65" t="n"/>
      <c r="I134" s="66" t="n"/>
      <c r="J134" s="67">
        <f>VLOOKUP(C134,Recipes!$A$2:$N$4,10,FALSE())</f>
        <v/>
      </c>
      <c r="K134" s="68">
        <f>VLOOKUP(C134,Recipes!$A$2:$N$4,12,FALSE())</f>
        <v/>
      </c>
      <c r="L134" s="67">
        <f>J134-3*K134</f>
        <v/>
      </c>
      <c r="M134" s="67">
        <f>J134+3*K134</f>
        <v/>
      </c>
      <c r="N134" s="61">
        <f>IF(G134="","",IF(AND(G134&gt;=L134,G134&lt;=M134),"OK","NG"))</f>
        <v/>
      </c>
      <c r="O134" s="69">
        <f>IF(N134="","",IF(N134=D134,1,0))</f>
        <v/>
      </c>
      <c r="P134" s="67">
        <f>IF(G134="","",J134-G134)</f>
        <v/>
      </c>
      <c r="Q134" s="67">
        <f>IF(G134="","",ABS(P134-Components!$D$2))</f>
        <v/>
      </c>
      <c r="R134" s="67">
        <f>IF(G134="","",ABS(P134-Components!$D$3))</f>
        <v/>
      </c>
      <c r="S134" s="67">
        <f>IF(G134="","",ABS(P134-Components!$D$4))</f>
        <v/>
      </c>
      <c r="T134" s="67">
        <f>IF(G134="","",ABS(P134-Components!$D$5))</f>
        <v/>
      </c>
      <c r="U134" s="67">
        <f>IF(G134="","",ABS(P134-Components!$D$6))</f>
        <v/>
      </c>
      <c r="V134" s="67">
        <f>IF(G134="","",ABS(P134-Components!$D$7))</f>
        <v/>
      </c>
      <c r="W134" s="61">
        <f>IF(G134="","",IF(N134="OK","NONE",INDEX({"S1","S2","W1","W2","N1","N2"},MATCH(MIN(Q134:V134),Q134:V134,0))))</f>
        <v/>
      </c>
      <c r="X134" s="69">
        <f>IF(G134="","",IF(W134=E134,1,0))</f>
        <v/>
      </c>
    </row>
    <row r="135">
      <c r="A135" s="61" t="n">
        <v>32</v>
      </c>
      <c r="B135" s="62" t="n">
        <v>37</v>
      </c>
      <c r="C135" s="61" t="inlineStr">
        <is>
          <t>R4</t>
        </is>
      </c>
      <c r="D135" s="74" t="inlineStr">
        <is>
          <t>NG</t>
        </is>
      </c>
      <c r="E135" s="61" t="inlineStr">
        <is>
          <t>W1</t>
        </is>
      </c>
      <c r="F135" s="61" t="inlineStr">
        <is>
          <t>K032</t>
        </is>
      </c>
      <c r="G135" s="64" t="n">
        <v>7.97</v>
      </c>
      <c r="H135" s="65" t="n"/>
      <c r="I135" s="66" t="n"/>
      <c r="J135" s="67">
        <f>VLOOKUP(C135,Recipes!$A$2:$N$4,10,FALSE())</f>
        <v/>
      </c>
      <c r="K135" s="68">
        <f>VLOOKUP(C135,Recipes!$A$2:$N$4,12,FALSE())</f>
        <v/>
      </c>
      <c r="L135" s="67">
        <f>J135-3*K135</f>
        <v/>
      </c>
      <c r="M135" s="67">
        <f>J135+3*K135</f>
        <v/>
      </c>
      <c r="N135" s="61">
        <f>IF(G135="","",IF(AND(G135&gt;=L135,G135&lt;=M135),"OK","NG"))</f>
        <v/>
      </c>
      <c r="O135" s="69">
        <f>IF(N135="","",IF(N135=D135,1,0))</f>
        <v/>
      </c>
      <c r="P135" s="67">
        <f>IF(G135="","",J135-G135)</f>
        <v/>
      </c>
      <c r="Q135" s="67">
        <f>IF(G135="","",ABS(P135-Components!$D$2))</f>
        <v/>
      </c>
      <c r="R135" s="67">
        <f>IF(G135="","",ABS(P135-Components!$D$3))</f>
        <v/>
      </c>
      <c r="S135" s="67">
        <f>IF(G135="","",ABS(P135-Components!$D$4))</f>
        <v/>
      </c>
      <c r="T135" s="67">
        <f>IF(G135="","",ABS(P135-Components!$D$5))</f>
        <v/>
      </c>
      <c r="U135" s="67">
        <f>IF(G135="","",ABS(P135-Components!$D$6))</f>
        <v/>
      </c>
      <c r="V135" s="67">
        <f>IF(G135="","",ABS(P135-Components!$D$7))</f>
        <v/>
      </c>
      <c r="W135" s="61">
        <f>IF(G135="","",IF(N135="OK","NONE",INDEX({"S1","S2","W1","W2","N1","N2"},MATCH(MIN(Q135:V135),Q135:V135,0))))</f>
        <v/>
      </c>
      <c r="X135" s="69">
        <f>IF(G135="","",IF(W135=E135,1,0))</f>
        <v/>
      </c>
    </row>
    <row r="136">
      <c r="A136" s="61" t="n">
        <v>33</v>
      </c>
      <c r="B136" s="62" t="n">
        <v>27</v>
      </c>
      <c r="C136" s="61" t="inlineStr">
        <is>
          <t>R4</t>
        </is>
      </c>
      <c r="D136" s="74" t="inlineStr">
        <is>
          <t>NG</t>
        </is>
      </c>
      <c r="E136" s="61" t="inlineStr">
        <is>
          <t>W1</t>
        </is>
      </c>
      <c r="F136" s="61" t="inlineStr">
        <is>
          <t>K033</t>
        </is>
      </c>
      <c r="G136" s="64" t="n">
        <v>7.94</v>
      </c>
      <c r="H136" s="65" t="n"/>
      <c r="I136" s="66" t="n"/>
      <c r="J136" s="67">
        <f>VLOOKUP(C136,Recipes!$A$2:$N$4,10,FALSE())</f>
        <v/>
      </c>
      <c r="K136" s="68">
        <f>VLOOKUP(C136,Recipes!$A$2:$N$4,12,FALSE())</f>
        <v/>
      </c>
      <c r="L136" s="67">
        <f>J136-3*K136</f>
        <v/>
      </c>
      <c r="M136" s="67">
        <f>J136+3*K136</f>
        <v/>
      </c>
      <c r="N136" s="61">
        <f>IF(G136="","",IF(AND(G136&gt;=L136,G136&lt;=M136),"OK","NG"))</f>
        <v/>
      </c>
      <c r="O136" s="69">
        <f>IF(N136="","",IF(N136=D136,1,0))</f>
        <v/>
      </c>
      <c r="P136" s="67">
        <f>IF(G136="","",J136-G136)</f>
        <v/>
      </c>
      <c r="Q136" s="67">
        <f>IF(G136="","",ABS(P136-Components!$D$2))</f>
        <v/>
      </c>
      <c r="R136" s="67">
        <f>IF(G136="","",ABS(P136-Components!$D$3))</f>
        <v/>
      </c>
      <c r="S136" s="67">
        <f>IF(G136="","",ABS(P136-Components!$D$4))</f>
        <v/>
      </c>
      <c r="T136" s="67">
        <f>IF(G136="","",ABS(P136-Components!$D$5))</f>
        <v/>
      </c>
      <c r="U136" s="67">
        <f>IF(G136="","",ABS(P136-Components!$D$6))</f>
        <v/>
      </c>
      <c r="V136" s="67">
        <f>IF(G136="","",ABS(P136-Components!$D$7))</f>
        <v/>
      </c>
      <c r="W136" s="61">
        <f>IF(G136="","",IF(N136="OK","NONE",INDEX({"S1","S2","W1","W2","N1","N2"},MATCH(MIN(Q136:V136),Q136:V136,0))))</f>
        <v/>
      </c>
      <c r="X136" s="69">
        <f>IF(G136="","",IF(W136=E136,1,0))</f>
        <v/>
      </c>
    </row>
    <row r="137">
      <c r="A137" s="76" t="n">
        <v>42</v>
      </c>
      <c r="B137" s="77" t="n">
        <v>48</v>
      </c>
      <c r="C137" s="76" t="inlineStr">
        <is>
          <t>R4</t>
        </is>
      </c>
      <c r="D137" s="78" t="inlineStr">
        <is>
          <t>NG</t>
        </is>
      </c>
      <c r="E137" s="76" t="inlineStr">
        <is>
          <t>W1</t>
        </is>
      </c>
      <c r="F137" s="76" t="inlineStr">
        <is>
          <t>K042</t>
        </is>
      </c>
      <c r="G137" s="75" t="n">
        <v>7.96</v>
      </c>
      <c r="H137" s="65" t="n"/>
      <c r="I137" s="66" t="n"/>
      <c r="J137" s="67">
        <f>VLOOKUP(C137,Recipes!$A$2:$N$4,10,FALSE())</f>
        <v/>
      </c>
      <c r="K137" s="68">
        <f>VLOOKUP(C137,Recipes!$A$2:$N$4,12,FALSE())</f>
        <v/>
      </c>
      <c r="L137" s="67">
        <f>J137-3*K137</f>
        <v/>
      </c>
      <c r="M137" s="67">
        <f>J137+3*K137</f>
        <v/>
      </c>
      <c r="N137" s="61">
        <f>IF(G137="","",IF(AND(G137&gt;=L137,G137&lt;=M137),"OK","NG"))</f>
        <v/>
      </c>
      <c r="O137" s="69">
        <f>IF(N137="","",IF(N137=D137,1,0))</f>
        <v/>
      </c>
      <c r="P137" s="67">
        <f>IF(G137="","",J137-G137)</f>
        <v/>
      </c>
      <c r="Q137" s="67">
        <f>IF(G137="","",ABS(P137-Components!$D$2))</f>
        <v/>
      </c>
      <c r="R137" s="67">
        <f>IF(G137="","",ABS(P137-Components!$D$3))</f>
        <v/>
      </c>
      <c r="S137" s="67">
        <f>IF(G137="","",ABS(P137-Components!$D$4))</f>
        <v/>
      </c>
      <c r="T137" s="67">
        <f>IF(G137="","",ABS(P137-Components!$D$5))</f>
        <v/>
      </c>
      <c r="U137" s="67">
        <f>IF(G137="","",ABS(P137-Components!$D$6))</f>
        <v/>
      </c>
      <c r="V137" s="67">
        <f>IF(G137="","",ABS(P137-Components!$D$7))</f>
        <v/>
      </c>
      <c r="W137" s="61">
        <f>IF(G137="","",IF(N137="OK","NONE",INDEX({"S1","S2","W1","W2","N1","N2"},MATCH(MIN(Q137:V137),Q137:V137,0))))</f>
        <v/>
      </c>
      <c r="X137" s="69">
        <f>IF(G137="","",IF(W137=E137,1,0))</f>
        <v/>
      </c>
    </row>
    <row r="138">
      <c r="A138" s="61" t="n">
        <v>34</v>
      </c>
      <c r="B138" s="62" t="n">
        <v>13</v>
      </c>
      <c r="C138" s="61" t="inlineStr">
        <is>
          <t>R4</t>
        </is>
      </c>
      <c r="D138" s="74" t="inlineStr">
        <is>
          <t>NG</t>
        </is>
      </c>
      <c r="E138" s="61" t="inlineStr">
        <is>
          <t>N1</t>
        </is>
      </c>
      <c r="F138" s="61" t="inlineStr">
        <is>
          <t>K034</t>
        </is>
      </c>
      <c r="G138" s="64" t="n">
        <v>7.78</v>
      </c>
      <c r="H138" s="65" t="n"/>
      <c r="I138" s="66" t="n"/>
      <c r="J138" s="67">
        <f>VLOOKUP(C138,Recipes!$A$2:$N$4,10,FALSE())</f>
        <v/>
      </c>
      <c r="K138" s="68">
        <f>VLOOKUP(C138,Recipes!$A$2:$N$4,12,FALSE())</f>
        <v/>
      </c>
      <c r="L138" s="67">
        <f>J138-3*K138</f>
        <v/>
      </c>
      <c r="M138" s="67">
        <f>J138+3*K138</f>
        <v/>
      </c>
      <c r="N138" s="61">
        <f>IF(G138="","",IF(AND(G138&gt;=L138,G138&lt;=M138),"OK","NG"))</f>
        <v/>
      </c>
      <c r="O138" s="69">
        <f>IF(N138="","",IF(N138=D138,1,0))</f>
        <v/>
      </c>
      <c r="P138" s="67">
        <f>IF(G138="","",J138-G138)</f>
        <v/>
      </c>
      <c r="Q138" s="67">
        <f>IF(G138="","",ABS(P138-Components!$D$2))</f>
        <v/>
      </c>
      <c r="R138" s="67">
        <f>IF(G138="","",ABS(P138-Components!$D$3))</f>
        <v/>
      </c>
      <c r="S138" s="67">
        <f>IF(G138="","",ABS(P138-Components!$D$4))</f>
        <v/>
      </c>
      <c r="T138" s="67">
        <f>IF(G138="","",ABS(P138-Components!$D$5))</f>
        <v/>
      </c>
      <c r="U138" s="67">
        <f>IF(G138="","",ABS(P138-Components!$D$6))</f>
        <v/>
      </c>
      <c r="V138" s="67">
        <f>IF(G138="","",ABS(P138-Components!$D$7))</f>
        <v/>
      </c>
      <c r="W138" s="61">
        <f>IF(G138="","",IF(N138="OK","NONE",INDEX({"S1","S2","W1","W2","N1","N2"},MATCH(MIN(Q138:V138),Q138:V138,0))))</f>
        <v/>
      </c>
      <c r="X138" s="69">
        <f>IF(G138="","",IF(W138=E138,1,0))</f>
        <v/>
      </c>
    </row>
    <row r="139">
      <c r="A139" s="61" t="n">
        <v>35</v>
      </c>
      <c r="B139" s="62" t="n">
        <v>40</v>
      </c>
      <c r="C139" s="61" t="inlineStr">
        <is>
          <t>R4</t>
        </is>
      </c>
      <c r="D139" s="74" t="inlineStr">
        <is>
          <t>NG</t>
        </is>
      </c>
      <c r="E139" s="61" t="inlineStr">
        <is>
          <t>N1</t>
        </is>
      </c>
      <c r="F139" s="61" t="inlineStr">
        <is>
          <t>K035</t>
        </is>
      </c>
      <c r="G139" s="64" t="n">
        <v>7.79</v>
      </c>
      <c r="H139" s="65" t="n"/>
      <c r="I139" s="66" t="n"/>
      <c r="J139" s="67">
        <f>VLOOKUP(C139,Recipes!$A$2:$N$4,10,FALSE())</f>
        <v/>
      </c>
      <c r="K139" s="68">
        <f>VLOOKUP(C139,Recipes!$A$2:$N$4,12,FALSE())</f>
        <v/>
      </c>
      <c r="L139" s="67">
        <f>J139-3*K139</f>
        <v/>
      </c>
      <c r="M139" s="67">
        <f>J139+3*K139</f>
        <v/>
      </c>
      <c r="N139" s="61">
        <f>IF(G139="","",IF(AND(G139&gt;=L139,G139&lt;=M139),"OK","NG"))</f>
        <v/>
      </c>
      <c r="O139" s="69">
        <f>IF(N139="","",IF(N139=D139,1,0))</f>
        <v/>
      </c>
      <c r="P139" s="67">
        <f>IF(G139="","",J139-G139)</f>
        <v/>
      </c>
      <c r="Q139" s="67">
        <f>IF(G139="","",ABS(P139-Components!$D$2))</f>
        <v/>
      </c>
      <c r="R139" s="67">
        <f>IF(G139="","",ABS(P139-Components!$D$3))</f>
        <v/>
      </c>
      <c r="S139" s="67">
        <f>IF(G139="","",ABS(P139-Components!$D$4))</f>
        <v/>
      </c>
      <c r="T139" s="67">
        <f>IF(G139="","",ABS(P139-Components!$D$5))</f>
        <v/>
      </c>
      <c r="U139" s="67">
        <f>IF(G139="","",ABS(P139-Components!$D$6))</f>
        <v/>
      </c>
      <c r="V139" s="67">
        <f>IF(G139="","",ABS(P139-Components!$D$7))</f>
        <v/>
      </c>
      <c r="W139" s="61">
        <f>IF(G139="","",IF(N139="OK","NONE",INDEX({"S1","S2","W1","W2","N1","N2"},MATCH(MIN(Q139:V139),Q139:V139,0))))</f>
        <v/>
      </c>
      <c r="X139" s="69">
        <f>IF(G139="","",IF(W139=E139,1,0))</f>
        <v/>
      </c>
    </row>
    <row r="140">
      <c r="A140" s="61" t="n">
        <v>36</v>
      </c>
      <c r="B140" s="62" t="n">
        <v>33</v>
      </c>
      <c r="C140" s="61" t="inlineStr">
        <is>
          <t>R4</t>
        </is>
      </c>
      <c r="D140" s="74" t="inlineStr">
        <is>
          <t>NG</t>
        </is>
      </c>
      <c r="E140" s="61" t="inlineStr">
        <is>
          <t>N1</t>
        </is>
      </c>
      <c r="F140" s="61" t="inlineStr">
        <is>
          <t>K036</t>
        </is>
      </c>
      <c r="G140" s="64" t="n">
        <v>7.78</v>
      </c>
      <c r="H140" s="65" t="n"/>
      <c r="I140" s="66" t="n"/>
      <c r="J140" s="67">
        <f>VLOOKUP(C140,Recipes!$A$2:$N$4,10,FALSE())</f>
        <v/>
      </c>
      <c r="K140" s="68">
        <f>VLOOKUP(C140,Recipes!$A$2:$N$4,12,FALSE())</f>
        <v/>
      </c>
      <c r="L140" s="67">
        <f>J140-3*K140</f>
        <v/>
      </c>
      <c r="M140" s="67">
        <f>J140+3*K140</f>
        <v/>
      </c>
      <c r="N140" s="61">
        <f>IF(G140="","",IF(AND(G140&gt;=L140,G140&lt;=M140),"OK","NG"))</f>
        <v/>
      </c>
      <c r="O140" s="69">
        <f>IF(N140="","",IF(N140=D140,1,0))</f>
        <v/>
      </c>
      <c r="P140" s="67">
        <f>IF(G140="","",J140-G140)</f>
        <v/>
      </c>
      <c r="Q140" s="67">
        <f>IF(G140="","",ABS(P140-Components!$D$2))</f>
        <v/>
      </c>
      <c r="R140" s="67">
        <f>IF(G140="","",ABS(P140-Components!$D$3))</f>
        <v/>
      </c>
      <c r="S140" s="67">
        <f>IF(G140="","",ABS(P140-Components!$D$4))</f>
        <v/>
      </c>
      <c r="T140" s="67">
        <f>IF(G140="","",ABS(P140-Components!$D$5))</f>
        <v/>
      </c>
      <c r="U140" s="67">
        <f>IF(G140="","",ABS(P140-Components!$D$6))</f>
        <v/>
      </c>
      <c r="V140" s="67">
        <f>IF(G140="","",ABS(P140-Components!$D$7))</f>
        <v/>
      </c>
      <c r="W140" s="61">
        <f>IF(G140="","",IF(N140="OK","NONE",INDEX({"S1","S2","W1","W2","N1","N2"},MATCH(MIN(Q140:V140),Q140:V140,0))))</f>
        <v/>
      </c>
      <c r="X140" s="69">
        <f>IF(G140="","",IF(W140=E140,1,0))</f>
        <v/>
      </c>
    </row>
    <row r="141">
      <c r="A141" s="61" t="n">
        <v>37</v>
      </c>
      <c r="B141" s="62" t="n">
        <v>49</v>
      </c>
      <c r="C141" s="61" t="inlineStr">
        <is>
          <t>R4</t>
        </is>
      </c>
      <c r="D141" s="74" t="inlineStr">
        <is>
          <t>NG</t>
        </is>
      </c>
      <c r="E141" s="61" t="inlineStr">
        <is>
          <t>N1</t>
        </is>
      </c>
      <c r="F141" s="61" t="inlineStr">
        <is>
          <t>K037</t>
        </is>
      </c>
      <c r="G141" s="64" t="n">
        <v>7.78</v>
      </c>
      <c r="H141" s="65" t="n"/>
      <c r="I141" s="66" t="n"/>
      <c r="J141" s="67">
        <f>VLOOKUP(C141,Recipes!$A$2:$N$4,10,FALSE())</f>
        <v/>
      </c>
      <c r="K141" s="68">
        <f>VLOOKUP(C141,Recipes!$A$2:$N$4,12,FALSE())</f>
        <v/>
      </c>
      <c r="L141" s="67">
        <f>J141-3*K141</f>
        <v/>
      </c>
      <c r="M141" s="67">
        <f>J141+3*K141</f>
        <v/>
      </c>
      <c r="N141" s="61">
        <f>IF(G141="","",IF(AND(G141&gt;=L141,G141&lt;=M141),"OK","NG"))</f>
        <v/>
      </c>
      <c r="O141" s="69">
        <f>IF(N141="","",IF(N141=D141,1,0))</f>
        <v/>
      </c>
      <c r="P141" s="67">
        <f>IF(G141="","",J141-G141)</f>
        <v/>
      </c>
      <c r="Q141" s="67">
        <f>IF(G141="","",ABS(P141-Components!$D$2))</f>
        <v/>
      </c>
      <c r="R141" s="67">
        <f>IF(G141="","",ABS(P141-Components!$D$3))</f>
        <v/>
      </c>
      <c r="S141" s="67">
        <f>IF(G141="","",ABS(P141-Components!$D$4))</f>
        <v/>
      </c>
      <c r="T141" s="67">
        <f>IF(G141="","",ABS(P141-Components!$D$5))</f>
        <v/>
      </c>
      <c r="U141" s="67">
        <f>IF(G141="","",ABS(P141-Components!$D$6))</f>
        <v/>
      </c>
      <c r="V141" s="67">
        <f>IF(G141="","",ABS(P141-Components!$D$7))</f>
        <v/>
      </c>
      <c r="W141" s="61">
        <f>IF(G141="","",IF(N141="OK","NONE",INDEX({"S1","S2","W1","W2","N1","N2"},MATCH(MIN(Q141:V141),Q141:V141,0))))</f>
        <v/>
      </c>
      <c r="X141" s="69">
        <f>IF(G141="","",IF(W141=E141,1,0))</f>
        <v/>
      </c>
    </row>
    <row r="142">
      <c r="A142" s="76" t="n">
        <v>43</v>
      </c>
      <c r="B142" s="77" t="n">
        <v>2</v>
      </c>
      <c r="C142" s="76" t="inlineStr">
        <is>
          <t>R4</t>
        </is>
      </c>
      <c r="D142" s="78" t="inlineStr">
        <is>
          <t>NG</t>
        </is>
      </c>
      <c r="E142" s="76" t="inlineStr">
        <is>
          <t>N1</t>
        </is>
      </c>
      <c r="F142" s="76" t="inlineStr">
        <is>
          <t>K043</t>
        </is>
      </c>
      <c r="G142" s="64" t="n">
        <v>7.79</v>
      </c>
      <c r="H142" s="65" t="n"/>
      <c r="I142" s="66" t="n"/>
      <c r="J142" s="67">
        <f>VLOOKUP(C142,Recipes!$A$2:$N$4,10,FALSE())</f>
        <v/>
      </c>
      <c r="K142" s="68">
        <f>VLOOKUP(C142,Recipes!$A$2:$N$4,12,FALSE())</f>
        <v/>
      </c>
      <c r="L142" s="67">
        <f>J142-3*K142</f>
        <v/>
      </c>
      <c r="M142" s="67">
        <f>J142+3*K142</f>
        <v/>
      </c>
      <c r="N142" s="61">
        <f>IF(G142="","",IF(AND(G142&gt;=L142,G142&lt;=M142),"OK","NG"))</f>
        <v/>
      </c>
      <c r="O142" s="69">
        <f>IF(N142="","",IF(N142=D142,1,0))</f>
        <v/>
      </c>
      <c r="P142" s="67">
        <f>IF(G142="","",J142-G142)</f>
        <v/>
      </c>
      <c r="Q142" s="67">
        <f>IF(G142="","",ABS(P142-Components!$D$2))</f>
        <v/>
      </c>
      <c r="R142" s="67">
        <f>IF(G142="","",ABS(P142-Components!$D$3))</f>
        <v/>
      </c>
      <c r="S142" s="67">
        <f>IF(G142="","",ABS(P142-Components!$D$4))</f>
        <v/>
      </c>
      <c r="T142" s="67">
        <f>IF(G142="","",ABS(P142-Components!$D$5))</f>
        <v/>
      </c>
      <c r="U142" s="67">
        <f>IF(G142="","",ABS(P142-Components!$D$6))</f>
        <v/>
      </c>
      <c r="V142" s="67">
        <f>IF(G142="","",ABS(P142-Components!$D$7))</f>
        <v/>
      </c>
      <c r="W142" s="61">
        <f>IF(G142="","",IF(N142="OK","NONE",INDEX({"S1","S2","W1","W2","N1","N2"},MATCH(MIN(Q142:V142),Q142:V142,0))))</f>
        <v/>
      </c>
      <c r="X142" s="69">
        <f>IF(G142="","",IF(W142=E142,1,0))</f>
        <v/>
      </c>
    </row>
    <row r="143">
      <c r="A143" s="61" t="n">
        <v>38</v>
      </c>
      <c r="B143" s="62" t="n">
        <v>14</v>
      </c>
      <c r="C143" s="61" t="inlineStr">
        <is>
          <t>R4</t>
        </is>
      </c>
      <c r="D143" s="74" t="inlineStr">
        <is>
          <t>NG</t>
        </is>
      </c>
      <c r="E143" s="61" t="inlineStr">
        <is>
          <t>S2</t>
        </is>
      </c>
      <c r="F143" s="61" t="inlineStr">
        <is>
          <t>K038</t>
        </is>
      </c>
      <c r="G143" s="64" t="n">
        <v>4.91</v>
      </c>
      <c r="H143" s="65" t="n"/>
      <c r="I143" s="66" t="n"/>
      <c r="J143" s="67">
        <f>VLOOKUP(C143,Recipes!$A$2:$N$4,10,FALSE())</f>
        <v/>
      </c>
      <c r="K143" s="68">
        <f>VLOOKUP(C143,Recipes!$A$2:$N$4,12,FALSE())</f>
        <v/>
      </c>
      <c r="L143" s="67">
        <f>J143-3*K143</f>
        <v/>
      </c>
      <c r="M143" s="67">
        <f>J143+3*K143</f>
        <v/>
      </c>
      <c r="N143" s="61">
        <f>IF(G143="","",IF(AND(G143&gt;=L143,G143&lt;=M143),"OK","NG"))</f>
        <v/>
      </c>
      <c r="O143" s="69">
        <f>IF(N143="","",IF(N143=D143,1,0))</f>
        <v/>
      </c>
      <c r="P143" s="67">
        <f>IF(G143="","",J143-G143)</f>
        <v/>
      </c>
      <c r="Q143" s="67">
        <f>IF(G143="","",ABS(P143-Components!$D$2))</f>
        <v/>
      </c>
      <c r="R143" s="67">
        <f>IF(G143="","",ABS(P143-Components!$D$3))</f>
        <v/>
      </c>
      <c r="S143" s="67">
        <f>IF(G143="","",ABS(P143-Components!$D$4))</f>
        <v/>
      </c>
      <c r="T143" s="67">
        <f>IF(G143="","",ABS(P143-Components!$D$5))</f>
        <v/>
      </c>
      <c r="U143" s="67">
        <f>IF(G143="","",ABS(P143-Components!$D$6))</f>
        <v/>
      </c>
      <c r="V143" s="67">
        <f>IF(G143="","",ABS(P143-Components!$D$7))</f>
        <v/>
      </c>
      <c r="W143" s="61">
        <f>IF(G143="","",IF(N143="OK","NONE",INDEX({"S1","S2","W1","W2","N1","N2"},MATCH(MIN(Q143:V143),Q143:V143,0))))</f>
        <v/>
      </c>
      <c r="X143" s="69">
        <f>IF(G143="","",IF(W143=E143,1,0))</f>
        <v/>
      </c>
    </row>
    <row r="144">
      <c r="A144" s="61" t="n">
        <v>39</v>
      </c>
      <c r="B144" s="62" t="n">
        <v>46</v>
      </c>
      <c r="C144" s="61" t="inlineStr">
        <is>
          <t>R4</t>
        </is>
      </c>
      <c r="D144" s="74" t="inlineStr">
        <is>
          <t>NG</t>
        </is>
      </c>
      <c r="E144" s="61" t="inlineStr">
        <is>
          <t>S2</t>
        </is>
      </c>
      <c r="F144" s="61" t="inlineStr">
        <is>
          <t>K039</t>
        </is>
      </c>
      <c r="G144" s="64" t="n">
        <v>4.89</v>
      </c>
      <c r="H144" s="65" t="n"/>
      <c r="I144" s="66" t="n"/>
      <c r="J144" s="67">
        <f>VLOOKUP(C144,Recipes!$A$2:$N$4,10,FALSE())</f>
        <v/>
      </c>
      <c r="K144" s="68">
        <f>VLOOKUP(C144,Recipes!$A$2:$N$4,12,FALSE())</f>
        <v/>
      </c>
      <c r="L144" s="67">
        <f>J144-3*K144</f>
        <v/>
      </c>
      <c r="M144" s="67">
        <f>J144+3*K144</f>
        <v/>
      </c>
      <c r="N144" s="61">
        <f>IF(G144="","",IF(AND(G144&gt;=L144,G144&lt;=M144),"OK","NG"))</f>
        <v/>
      </c>
      <c r="O144" s="69">
        <f>IF(N144="","",IF(N144=D144,1,0))</f>
        <v/>
      </c>
      <c r="P144" s="67">
        <f>IF(G144="","",J144-G144)</f>
        <v/>
      </c>
      <c r="Q144" s="67">
        <f>IF(G144="","",ABS(P144-Components!$D$2))</f>
        <v/>
      </c>
      <c r="R144" s="67">
        <f>IF(G144="","",ABS(P144-Components!$D$3))</f>
        <v/>
      </c>
      <c r="S144" s="67">
        <f>IF(G144="","",ABS(P144-Components!$D$4))</f>
        <v/>
      </c>
      <c r="T144" s="67">
        <f>IF(G144="","",ABS(P144-Components!$D$5))</f>
        <v/>
      </c>
      <c r="U144" s="67">
        <f>IF(G144="","",ABS(P144-Components!$D$6))</f>
        <v/>
      </c>
      <c r="V144" s="67">
        <f>IF(G144="","",ABS(P144-Components!$D$7))</f>
        <v/>
      </c>
      <c r="W144" s="61">
        <f>IF(G144="","",IF(N144="OK","NONE",INDEX({"S1","S2","W1","W2","N1","N2"},MATCH(MIN(Q144:V144),Q144:V144,0))))</f>
        <v/>
      </c>
      <c r="X144" s="69">
        <f>IF(G144="","",IF(W144=E144,1,0))</f>
        <v/>
      </c>
    </row>
    <row r="145">
      <c r="A145" s="61" t="n">
        <v>40</v>
      </c>
      <c r="B145" s="62" t="n">
        <v>53</v>
      </c>
      <c r="C145" s="61" t="inlineStr">
        <is>
          <t>R4</t>
        </is>
      </c>
      <c r="D145" s="74" t="inlineStr">
        <is>
          <t>NG</t>
        </is>
      </c>
      <c r="E145" s="61" t="inlineStr">
        <is>
          <t>S2</t>
        </is>
      </c>
      <c r="F145" s="61" t="inlineStr">
        <is>
          <t>K040</t>
        </is>
      </c>
      <c r="G145" s="64" t="n">
        <v>4.89</v>
      </c>
      <c r="H145" s="65" t="n"/>
      <c r="I145" s="66" t="n"/>
      <c r="J145" s="67">
        <f>VLOOKUP(C145,Recipes!$A$2:$N$4,10,FALSE())</f>
        <v/>
      </c>
      <c r="K145" s="68">
        <f>VLOOKUP(C145,Recipes!$A$2:$N$4,12,FALSE())</f>
        <v/>
      </c>
      <c r="L145" s="67">
        <f>J145-3*K145</f>
        <v/>
      </c>
      <c r="M145" s="67">
        <f>J145+3*K145</f>
        <v/>
      </c>
      <c r="N145" s="61">
        <f>IF(G145="","",IF(AND(G145&gt;=L145,G145&lt;=M145),"OK","NG"))</f>
        <v/>
      </c>
      <c r="O145" s="69">
        <f>IF(N145="","",IF(N145=D145,1,0))</f>
        <v/>
      </c>
      <c r="P145" s="67">
        <f>IF(G145="","",J145-G145)</f>
        <v/>
      </c>
      <c r="Q145" s="67">
        <f>IF(G145="","",ABS(P145-Components!$D$2))</f>
        <v/>
      </c>
      <c r="R145" s="67">
        <f>IF(G145="","",ABS(P145-Components!$D$3))</f>
        <v/>
      </c>
      <c r="S145" s="67">
        <f>IF(G145="","",ABS(P145-Components!$D$4))</f>
        <v/>
      </c>
      <c r="T145" s="67">
        <f>IF(G145="","",ABS(P145-Components!$D$5))</f>
        <v/>
      </c>
      <c r="U145" s="67">
        <f>IF(G145="","",ABS(P145-Components!$D$6))</f>
        <v/>
      </c>
      <c r="V145" s="67">
        <f>IF(G145="","",ABS(P145-Components!$D$7))</f>
        <v/>
      </c>
      <c r="W145" s="61">
        <f>IF(G145="","",IF(N145="OK","NONE",INDEX({"S1","S2","W1","W2","N1","N2"},MATCH(MIN(Q145:V145),Q145:V145,0))))</f>
        <v/>
      </c>
      <c r="X145" s="69">
        <f>IF(G145="","",IF(W145=E145,1,0))</f>
        <v/>
      </c>
    </row>
    <row r="146">
      <c r="A146" s="76" t="n">
        <v>44</v>
      </c>
      <c r="B146" s="77" t="n">
        <v>33</v>
      </c>
      <c r="C146" s="76" t="inlineStr">
        <is>
          <t>R4</t>
        </is>
      </c>
      <c r="D146" s="78" t="inlineStr">
        <is>
          <t>NG</t>
        </is>
      </c>
      <c r="E146" s="76" t="inlineStr">
        <is>
          <t>S2</t>
        </is>
      </c>
      <c r="F146" s="76" t="inlineStr">
        <is>
          <t>K044</t>
        </is>
      </c>
      <c r="G146" s="75" t="n">
        <v>4.9</v>
      </c>
      <c r="H146" s="65" t="n"/>
      <c r="I146" s="66" t="n"/>
      <c r="J146" s="67">
        <f>VLOOKUP(C146,Recipes!$A$2:$N$4,10,FALSE())</f>
        <v/>
      </c>
      <c r="K146" s="68">
        <f>VLOOKUP(C146,Recipes!$A$2:$N$4,12,FALSE())</f>
        <v/>
      </c>
      <c r="L146" s="67">
        <f>J146-3*K146</f>
        <v/>
      </c>
      <c r="M146" s="67">
        <f>J146+3*K146</f>
        <v/>
      </c>
      <c r="N146" s="61">
        <f>IF(G146="","",IF(AND(G146&gt;=L146,G146&lt;=M146),"OK","NG"))</f>
        <v/>
      </c>
      <c r="O146" s="69">
        <f>IF(N146="","",IF(N146=D146,1,0))</f>
        <v/>
      </c>
      <c r="P146" s="67">
        <f>IF(G146="","",J146-G146)</f>
        <v/>
      </c>
      <c r="Q146" s="67">
        <f>IF(G146="","",ABS(P146-Components!$D$2))</f>
        <v/>
      </c>
      <c r="R146" s="67">
        <f>IF(G146="","",ABS(P146-Components!$D$3))</f>
        <v/>
      </c>
      <c r="S146" s="67">
        <f>IF(G146="","",ABS(P146-Components!$D$4))</f>
        <v/>
      </c>
      <c r="T146" s="67">
        <f>IF(G146="","",ABS(P146-Components!$D$5))</f>
        <v/>
      </c>
      <c r="U146" s="67">
        <f>IF(G146="","",ABS(P146-Components!$D$6))</f>
        <v/>
      </c>
      <c r="V146" s="67">
        <f>IF(G146="","",ABS(P146-Components!$D$7))</f>
        <v/>
      </c>
      <c r="W146" s="61">
        <f>IF(G146="","",IF(N146="OK","NONE",INDEX({"S1","S2","W1","W2","N1","N2"},MATCH(MIN(Q146:V146),Q146:V146,0))))</f>
        <v/>
      </c>
      <c r="X146" s="69">
        <f>IF(G146="","",IF(W146=E146,1,0))</f>
        <v/>
      </c>
    </row>
    <row r="147">
      <c r="A147" s="76" t="n">
        <v>45</v>
      </c>
      <c r="B147" s="77" t="n">
        <v>15</v>
      </c>
      <c r="C147" s="76" t="inlineStr">
        <is>
          <t>R4</t>
        </is>
      </c>
      <c r="D147" s="78" t="inlineStr">
        <is>
          <t>NG</t>
        </is>
      </c>
      <c r="E147" s="76" t="inlineStr">
        <is>
          <t>S2</t>
        </is>
      </c>
      <c r="F147" s="76" t="inlineStr">
        <is>
          <t>K045</t>
        </is>
      </c>
      <c r="G147" s="75" t="n">
        <v>4.91</v>
      </c>
      <c r="H147" s="65" t="n"/>
      <c r="I147" s="66" t="n"/>
      <c r="J147" s="67">
        <f>VLOOKUP(C147,Recipes!$A$2:$N$4,10,FALSE())</f>
        <v/>
      </c>
      <c r="K147" s="68">
        <f>VLOOKUP(C147,Recipes!$A$2:$N$4,12,FALSE())</f>
        <v/>
      </c>
      <c r="L147" s="67">
        <f>J147-3*K147</f>
        <v/>
      </c>
      <c r="M147" s="67">
        <f>J147+3*K147</f>
        <v/>
      </c>
      <c r="N147" s="61">
        <f>IF(G147="","",IF(AND(G147&gt;=L147,G147&lt;=M147),"OK","NG"))</f>
        <v/>
      </c>
      <c r="O147" s="69">
        <f>IF(N147="","",IF(N147=D147,1,0))</f>
        <v/>
      </c>
      <c r="P147" s="67">
        <f>IF(G147="","",J147-G147)</f>
        <v/>
      </c>
      <c r="Q147" s="67">
        <f>IF(G147="","",ABS(P147-Components!$D$2))</f>
        <v/>
      </c>
      <c r="R147" s="67">
        <f>IF(G147="","",ABS(P147-Components!$D$3))</f>
        <v/>
      </c>
      <c r="S147" s="67">
        <f>IF(G147="","",ABS(P147-Components!$D$4))</f>
        <v/>
      </c>
      <c r="T147" s="67">
        <f>IF(G147="","",ABS(P147-Components!$D$5))</f>
        <v/>
      </c>
      <c r="U147" s="67">
        <f>IF(G147="","",ABS(P147-Components!$D$6))</f>
        <v/>
      </c>
      <c r="V147" s="67">
        <f>IF(G147="","",ABS(P147-Components!$D$7))</f>
        <v/>
      </c>
      <c r="W147" s="61">
        <f>IF(G147="","",IF(N147="OK","NONE",INDEX({"S1","S2","W1","W2","N1","N2"},MATCH(MIN(Q147:V147),Q147:V147,0))))</f>
        <v/>
      </c>
      <c r="X147" s="69">
        <f>IF(G147="","",IF(W147=E147,1,0))</f>
        <v/>
      </c>
    </row>
    <row r="148">
      <c r="A148" s="61" t="n">
        <v>41</v>
      </c>
      <c r="B148" s="62" t="n">
        <v>3</v>
      </c>
      <c r="C148" s="61" t="inlineStr">
        <is>
          <t>R6</t>
        </is>
      </c>
      <c r="D148" s="63" t="inlineStr">
        <is>
          <t>OK</t>
        </is>
      </c>
      <c r="E148" s="61" t="inlineStr">
        <is>
          <t>NONE</t>
        </is>
      </c>
      <c r="F148" s="61" t="inlineStr">
        <is>
          <t>K041</t>
        </is>
      </c>
      <c r="G148" s="64" t="n">
        <v>8.65</v>
      </c>
      <c r="H148" s="65" t="n"/>
      <c r="I148" s="66" t="n"/>
      <c r="J148" s="67">
        <f>VLOOKUP(C148,Recipes!$A$2:$N$4,10,FALSE())</f>
        <v/>
      </c>
      <c r="K148" s="68">
        <f>VLOOKUP(C148,Recipes!$A$2:$N$4,12,FALSE())</f>
        <v/>
      </c>
      <c r="L148" s="67">
        <f>J148-3*K148</f>
        <v/>
      </c>
      <c r="M148" s="67">
        <f>J148+3*K148</f>
        <v/>
      </c>
      <c r="N148" s="61">
        <f>IF(G148="","",IF(AND(G148&gt;=L148,G148&lt;=M148),"OK","NG"))</f>
        <v/>
      </c>
      <c r="O148" s="69">
        <f>IF(N148="","",IF(N148=D148,1,0))</f>
        <v/>
      </c>
      <c r="P148" s="67">
        <f>IF(G148="","",J148-G148)</f>
        <v/>
      </c>
      <c r="Q148" s="67">
        <f>IF(G148="","",ABS(P148-Components!$D$2))</f>
        <v/>
      </c>
      <c r="R148" s="67">
        <f>IF(G148="","",ABS(P148-Components!$D$3))</f>
        <v/>
      </c>
      <c r="S148" s="67">
        <f>IF(G148="","",ABS(P148-Components!$D$4))</f>
        <v/>
      </c>
      <c r="T148" s="67">
        <f>IF(G148="","",ABS(P148-Components!$D$5))</f>
        <v/>
      </c>
      <c r="U148" s="67">
        <f>IF(G148="","",ABS(P148-Components!$D$6))</f>
        <v/>
      </c>
      <c r="V148" s="67">
        <f>IF(G148="","",ABS(P148-Components!$D$7))</f>
        <v/>
      </c>
      <c r="W148" s="61">
        <f>IF(G148="","",IF(N148="OK","NONE",INDEX({"S1","S2","W1","W2","N1","N2"},MATCH(MIN(Q148:V148),Q148:V148,0))))</f>
        <v/>
      </c>
      <c r="X148" s="69">
        <f>IF(G148="","",IF(W148=E148,1,0))</f>
        <v/>
      </c>
    </row>
    <row r="149">
      <c r="A149" s="61" t="n">
        <v>42</v>
      </c>
      <c r="B149" s="62" t="n">
        <v>28</v>
      </c>
      <c r="C149" s="61" t="inlineStr">
        <is>
          <t>R6</t>
        </is>
      </c>
      <c r="D149" s="63" t="inlineStr">
        <is>
          <t>OK</t>
        </is>
      </c>
      <c r="E149" s="61" t="inlineStr">
        <is>
          <t>NONE</t>
        </is>
      </c>
      <c r="F149" s="61" t="inlineStr">
        <is>
          <t>K042</t>
        </is>
      </c>
      <c r="G149" s="64" t="n">
        <v>8.529999999999999</v>
      </c>
      <c r="H149" s="65" t="n"/>
      <c r="I149" s="66" t="n"/>
      <c r="J149" s="67">
        <f>VLOOKUP(C149,Recipes!$A$2:$N$4,10,FALSE())</f>
        <v/>
      </c>
      <c r="K149" s="68">
        <f>VLOOKUP(C149,Recipes!$A$2:$N$4,12,FALSE())</f>
        <v/>
      </c>
      <c r="L149" s="67">
        <f>J149-3*K149</f>
        <v/>
      </c>
      <c r="M149" s="67">
        <f>J149+3*K149</f>
        <v/>
      </c>
      <c r="N149" s="61">
        <f>IF(G149="","",IF(AND(G149&gt;=L149,G149&lt;=M149),"OK","NG"))</f>
        <v/>
      </c>
      <c r="O149" s="69">
        <f>IF(N149="","",IF(N149=D149,1,0))</f>
        <v/>
      </c>
      <c r="P149" s="67">
        <f>IF(G149="","",J149-G149)</f>
        <v/>
      </c>
      <c r="Q149" s="67">
        <f>IF(G149="","",ABS(P149-Components!$D$2))</f>
        <v/>
      </c>
      <c r="R149" s="67">
        <f>IF(G149="","",ABS(P149-Components!$D$3))</f>
        <v/>
      </c>
      <c r="S149" s="67">
        <f>IF(G149="","",ABS(P149-Components!$D$4))</f>
        <v/>
      </c>
      <c r="T149" s="67">
        <f>IF(G149="","",ABS(P149-Components!$D$5))</f>
        <v/>
      </c>
      <c r="U149" s="67">
        <f>IF(G149="","",ABS(P149-Components!$D$6))</f>
        <v/>
      </c>
      <c r="V149" s="67">
        <f>IF(G149="","",ABS(P149-Components!$D$7))</f>
        <v/>
      </c>
      <c r="W149" s="61">
        <f>IF(G149="","",IF(N149="OK","NONE",INDEX({"S1","S2","W1","W2","N1","N2"},MATCH(MIN(Q149:V149),Q149:V149,0))))</f>
        <v/>
      </c>
      <c r="X149" s="69">
        <f>IF(G149="","",IF(W149=E149,1,0))</f>
        <v/>
      </c>
    </row>
    <row r="150">
      <c r="A150" s="61" t="n">
        <v>43</v>
      </c>
      <c r="B150" s="62" t="n">
        <v>38</v>
      </c>
      <c r="C150" s="61" t="inlineStr">
        <is>
          <t>R6</t>
        </is>
      </c>
      <c r="D150" s="63" t="inlineStr">
        <is>
          <t>OK</t>
        </is>
      </c>
      <c r="E150" s="61" t="inlineStr">
        <is>
          <t>NONE</t>
        </is>
      </c>
      <c r="F150" s="61" t="inlineStr">
        <is>
          <t>K043</t>
        </is>
      </c>
      <c r="G150" s="64" t="n">
        <v>8.630000000000001</v>
      </c>
      <c r="H150" s="65" t="n"/>
      <c r="I150" s="66" t="n"/>
      <c r="J150" s="67">
        <f>VLOOKUP(C150,Recipes!$A$2:$N$4,10,FALSE())</f>
        <v/>
      </c>
      <c r="K150" s="68">
        <f>VLOOKUP(C150,Recipes!$A$2:$N$4,12,FALSE())</f>
        <v/>
      </c>
      <c r="L150" s="67">
        <f>J150-3*K150</f>
        <v/>
      </c>
      <c r="M150" s="67">
        <f>J150+3*K150</f>
        <v/>
      </c>
      <c r="N150" s="61">
        <f>IF(G150="","",IF(AND(G150&gt;=L150,G150&lt;=M150),"OK","NG"))</f>
        <v/>
      </c>
      <c r="O150" s="69">
        <f>IF(N150="","",IF(N150=D150,1,0))</f>
        <v/>
      </c>
      <c r="P150" s="67">
        <f>IF(G150="","",J150-G150)</f>
        <v/>
      </c>
      <c r="Q150" s="67">
        <f>IF(G150="","",ABS(P150-Components!$D$2))</f>
        <v/>
      </c>
      <c r="R150" s="67">
        <f>IF(G150="","",ABS(P150-Components!$D$3))</f>
        <v/>
      </c>
      <c r="S150" s="67">
        <f>IF(G150="","",ABS(P150-Components!$D$4))</f>
        <v/>
      </c>
      <c r="T150" s="67">
        <f>IF(G150="","",ABS(P150-Components!$D$5))</f>
        <v/>
      </c>
      <c r="U150" s="67">
        <f>IF(G150="","",ABS(P150-Components!$D$6))</f>
        <v/>
      </c>
      <c r="V150" s="67">
        <f>IF(G150="","",ABS(P150-Components!$D$7))</f>
        <v/>
      </c>
      <c r="W150" s="61">
        <f>IF(G150="","",IF(N150="OK","NONE",INDEX({"S1","S2","W1","W2","N1","N2"},MATCH(MIN(Q150:V150),Q150:V150,0))))</f>
        <v/>
      </c>
      <c r="X150" s="69">
        <f>IF(G150="","",IF(W150=E150,1,0))</f>
        <v/>
      </c>
    </row>
    <row r="151">
      <c r="A151" s="79" t="n"/>
      <c r="B151" s="80" t="n"/>
      <c r="C151" s="76" t="inlineStr">
        <is>
          <t>R6</t>
        </is>
      </c>
      <c r="D151" s="77" t="inlineStr">
        <is>
          <t>OK</t>
        </is>
      </c>
      <c r="E151" s="76" t="inlineStr">
        <is>
          <t>NONE</t>
        </is>
      </c>
      <c r="F151" s="81" t="n"/>
      <c r="G151" s="75" t="n">
        <v>8.619999999999999</v>
      </c>
      <c r="H151" s="65" t="n"/>
      <c r="I151" s="66" t="n"/>
      <c r="J151" s="67">
        <f>VLOOKUP(C151,Recipes!$A$2:$N$4,10,FALSE())</f>
        <v/>
      </c>
      <c r="K151" s="68">
        <f>VLOOKUP(C151,Recipes!$A$2:$N$4,12,FALSE())</f>
        <v/>
      </c>
      <c r="L151" s="67">
        <f>J151-3*K151</f>
        <v/>
      </c>
      <c r="M151" s="67">
        <f>J151+3*K151</f>
        <v/>
      </c>
      <c r="N151" s="61">
        <f>IF(G151="","",IF(AND(G151&gt;=L151,G151&lt;=M151),"OK","NG"))</f>
        <v/>
      </c>
      <c r="O151" s="69">
        <f>IF(N151="","",IF(N151=D151,1,0))</f>
        <v/>
      </c>
      <c r="P151" s="67">
        <f>IF(G151="","",J151-G151)</f>
        <v/>
      </c>
      <c r="Q151" s="67">
        <f>IF(G151="","",ABS(P151-Components!$D$2))</f>
        <v/>
      </c>
      <c r="R151" s="67">
        <f>IF(G151="","",ABS(P151-Components!$D$3))</f>
        <v/>
      </c>
      <c r="S151" s="67">
        <f>IF(G151="","",ABS(P151-Components!$D$4))</f>
        <v/>
      </c>
      <c r="T151" s="67">
        <f>IF(G151="","",ABS(P151-Components!$D$5))</f>
        <v/>
      </c>
      <c r="U151" s="67">
        <f>IF(G151="","",ABS(P151-Components!$D$6))</f>
        <v/>
      </c>
      <c r="V151" s="67">
        <f>IF(G151="","",ABS(P151-Components!$D$7))</f>
        <v/>
      </c>
      <c r="W151" s="61">
        <f>IF(G151="","",IF(N151="OK","NONE",INDEX({"S1","S2","W1","W2","N1","N2"},MATCH(MIN(Q151:V151),Q151:V151,0))))</f>
        <v/>
      </c>
      <c r="X151" s="69">
        <f>IF(G151="","",IF(W151=E151,1,0))</f>
        <v/>
      </c>
    </row>
    <row r="152">
      <c r="A152" s="79" t="n"/>
      <c r="B152" s="80" t="n"/>
      <c r="C152" s="76" t="inlineStr">
        <is>
          <t>R6</t>
        </is>
      </c>
      <c r="D152" s="77" t="inlineStr">
        <is>
          <t>OK</t>
        </is>
      </c>
      <c r="E152" s="76" t="inlineStr">
        <is>
          <t>NONE</t>
        </is>
      </c>
      <c r="F152" s="81" t="n"/>
      <c r="G152" s="75" t="n">
        <v>8.58</v>
      </c>
      <c r="H152" s="65" t="n"/>
      <c r="I152" s="66" t="n"/>
      <c r="J152" s="67">
        <f>VLOOKUP(C152,Recipes!$A$2:$N$4,10,FALSE())</f>
        <v/>
      </c>
      <c r="K152" s="68">
        <f>VLOOKUP(C152,Recipes!$A$2:$N$4,12,FALSE())</f>
        <v/>
      </c>
      <c r="L152" s="67">
        <f>J152-3*K152</f>
        <v/>
      </c>
      <c r="M152" s="67">
        <f>J152+3*K152</f>
        <v/>
      </c>
      <c r="N152" s="61">
        <f>IF(G152="","",IF(AND(G152&gt;=L152,G152&lt;=M152),"OK","NG"))</f>
        <v/>
      </c>
      <c r="O152" s="69">
        <f>IF(N152="","",IF(N152=D152,1,0))</f>
        <v/>
      </c>
      <c r="P152" s="67">
        <f>IF(G152="","",J152-G152)</f>
        <v/>
      </c>
      <c r="Q152" s="67">
        <f>IF(G152="","",ABS(P152-Components!$D$2))</f>
        <v/>
      </c>
      <c r="R152" s="67">
        <f>IF(G152="","",ABS(P152-Components!$D$3))</f>
        <v/>
      </c>
      <c r="S152" s="67">
        <f>IF(G152="","",ABS(P152-Components!$D$4))</f>
        <v/>
      </c>
      <c r="T152" s="67">
        <f>IF(G152="","",ABS(P152-Components!$D$5))</f>
        <v/>
      </c>
      <c r="U152" s="67">
        <f>IF(G152="","",ABS(P152-Components!$D$6))</f>
        <v/>
      </c>
      <c r="V152" s="67">
        <f>IF(G152="","",ABS(P152-Components!$D$7))</f>
        <v/>
      </c>
      <c r="W152" s="61">
        <f>IF(G152="","",IF(N152="OK","NONE",INDEX({"S1","S2","W1","W2","N1","N2"},MATCH(MIN(Q152:V152),Q152:V152,0))))</f>
        <v/>
      </c>
      <c r="X152" s="69">
        <f>IF(G152="","",IF(W152=E152,1,0))</f>
        <v/>
      </c>
    </row>
    <row r="153">
      <c r="A153" s="61" t="n">
        <v>44</v>
      </c>
      <c r="B153" s="62" t="n">
        <v>6</v>
      </c>
      <c r="C153" s="61" t="inlineStr">
        <is>
          <t>R6</t>
        </is>
      </c>
      <c r="D153" s="74" t="inlineStr">
        <is>
          <t>NG</t>
        </is>
      </c>
      <c r="E153" s="61" t="inlineStr">
        <is>
          <t>S1</t>
        </is>
      </c>
      <c r="F153" s="61" t="inlineStr">
        <is>
          <t>K044</t>
        </is>
      </c>
      <c r="G153" s="64" t="n">
        <v>5.89</v>
      </c>
      <c r="H153" s="65" t="n"/>
      <c r="I153" s="66" t="n"/>
      <c r="J153" s="67">
        <f>VLOOKUP(C153,Recipes!$A$2:$N$4,10,FALSE())</f>
        <v/>
      </c>
      <c r="K153" s="68">
        <f>VLOOKUP(C153,Recipes!$A$2:$N$4,12,FALSE())</f>
        <v/>
      </c>
      <c r="L153" s="67">
        <f>J153-3*K153</f>
        <v/>
      </c>
      <c r="M153" s="67">
        <f>J153+3*K153</f>
        <v/>
      </c>
      <c r="N153" s="61">
        <f>IF(G153="","",IF(AND(G153&gt;=L153,G153&lt;=M153),"OK","NG"))</f>
        <v/>
      </c>
      <c r="O153" s="69">
        <f>IF(N153="","",IF(N153=D153,1,0))</f>
        <v/>
      </c>
      <c r="P153" s="67">
        <f>IF(G153="","",J153-G153)</f>
        <v/>
      </c>
      <c r="Q153" s="67">
        <f>IF(G153="","",ABS(P153-Components!$D$2))</f>
        <v/>
      </c>
      <c r="R153" s="67">
        <f>IF(G153="","",ABS(P153-Components!$D$3))</f>
        <v/>
      </c>
      <c r="S153" s="67">
        <f>IF(G153="","",ABS(P153-Components!$D$4))</f>
        <v/>
      </c>
      <c r="T153" s="67">
        <f>IF(G153="","",ABS(P153-Components!$D$5))</f>
        <v/>
      </c>
      <c r="U153" s="67">
        <f>IF(G153="","",ABS(P153-Components!$D$6))</f>
        <v/>
      </c>
      <c r="V153" s="67">
        <f>IF(G153="","",ABS(P153-Components!$D$7))</f>
        <v/>
      </c>
      <c r="W153" s="61">
        <f>IF(G153="","",IF(N153="OK","NONE",INDEX({"S1","S2","W1","W2","N1","N2"},MATCH(MIN(Q153:V153),Q153:V153,0))))</f>
        <v/>
      </c>
      <c r="X153" s="69">
        <f>IF(G153="","",IF(W153=E153,1,0))</f>
        <v/>
      </c>
    </row>
    <row r="154">
      <c r="A154" s="61" t="n">
        <v>45</v>
      </c>
      <c r="B154" s="62" t="n">
        <v>35</v>
      </c>
      <c r="C154" s="61" t="inlineStr">
        <is>
          <t>R6</t>
        </is>
      </c>
      <c r="D154" s="74" t="inlineStr">
        <is>
          <t>NG</t>
        </is>
      </c>
      <c r="E154" s="61" t="inlineStr">
        <is>
          <t>S1</t>
        </is>
      </c>
      <c r="F154" s="61" t="inlineStr">
        <is>
          <t>K045</t>
        </is>
      </c>
      <c r="G154" s="64" t="n">
        <v>5.89</v>
      </c>
      <c r="H154" s="65" t="n"/>
      <c r="I154" s="66" t="n"/>
      <c r="J154" s="67">
        <f>VLOOKUP(C154,Recipes!$A$2:$N$4,10,FALSE())</f>
        <v/>
      </c>
      <c r="K154" s="68">
        <f>VLOOKUP(C154,Recipes!$A$2:$N$4,12,FALSE())</f>
        <v/>
      </c>
      <c r="L154" s="67">
        <f>J154-3*K154</f>
        <v/>
      </c>
      <c r="M154" s="67">
        <f>J154+3*K154</f>
        <v/>
      </c>
      <c r="N154" s="61">
        <f>IF(G154="","",IF(AND(G154&gt;=L154,G154&lt;=M154),"OK","NG"))</f>
        <v/>
      </c>
      <c r="O154" s="69">
        <f>IF(N154="","",IF(N154=D154,1,0))</f>
        <v/>
      </c>
      <c r="P154" s="67">
        <f>IF(G154="","",J154-G154)</f>
        <v/>
      </c>
      <c r="Q154" s="67">
        <f>IF(G154="","",ABS(P154-Components!$D$2))</f>
        <v/>
      </c>
      <c r="R154" s="67">
        <f>IF(G154="","",ABS(P154-Components!$D$3))</f>
        <v/>
      </c>
      <c r="S154" s="67">
        <f>IF(G154="","",ABS(P154-Components!$D$4))</f>
        <v/>
      </c>
      <c r="T154" s="67">
        <f>IF(G154="","",ABS(P154-Components!$D$5))</f>
        <v/>
      </c>
      <c r="U154" s="67">
        <f>IF(G154="","",ABS(P154-Components!$D$6))</f>
        <v/>
      </c>
      <c r="V154" s="67">
        <f>IF(G154="","",ABS(P154-Components!$D$7))</f>
        <v/>
      </c>
      <c r="W154" s="61">
        <f>IF(G154="","",IF(N154="OK","NONE",INDEX({"S1","S2","W1","W2","N1","N2"},MATCH(MIN(Q154:V154),Q154:V154,0))))</f>
        <v/>
      </c>
      <c r="X154" s="69">
        <f>IF(G154="","",IF(W154=E154,1,0))</f>
        <v/>
      </c>
    </row>
    <row r="155">
      <c r="A155" s="79" t="n"/>
      <c r="B155" s="80" t="n"/>
      <c r="C155" s="76" t="inlineStr">
        <is>
          <t>R6</t>
        </is>
      </c>
      <c r="D155" s="78" t="inlineStr">
        <is>
          <t>NG</t>
        </is>
      </c>
      <c r="E155" s="76" t="inlineStr">
        <is>
          <t>S1</t>
        </is>
      </c>
      <c r="F155" s="81" t="n"/>
      <c r="G155" s="75" t="n">
        <v>5.9</v>
      </c>
      <c r="H155" s="65" t="n"/>
      <c r="I155" s="66" t="n"/>
      <c r="J155" s="67">
        <f>VLOOKUP(C155,Recipes!$A$2:$N$4,10,FALSE())</f>
        <v/>
      </c>
      <c r="K155" s="68">
        <f>VLOOKUP(C155,Recipes!$A$2:$N$4,12,FALSE())</f>
        <v/>
      </c>
      <c r="L155" s="67">
        <f>J155-3*K155</f>
        <v/>
      </c>
      <c r="M155" s="67">
        <f>J155+3*K155</f>
        <v/>
      </c>
      <c r="N155" s="61">
        <f>IF(G155="","",IF(AND(G155&gt;=L155,G155&lt;=M155),"OK","NG"))</f>
        <v/>
      </c>
      <c r="O155" s="69">
        <f>IF(N155="","",IF(N155=D155,1,0))</f>
        <v/>
      </c>
      <c r="P155" s="67">
        <f>IF(G155="","",J155-G155)</f>
        <v/>
      </c>
      <c r="Q155" s="67">
        <f>IF(G155="","",ABS(P155-Components!$D$2))</f>
        <v/>
      </c>
      <c r="R155" s="67">
        <f>IF(G155="","",ABS(P155-Components!$D$3))</f>
        <v/>
      </c>
      <c r="S155" s="67">
        <f>IF(G155="","",ABS(P155-Components!$D$4))</f>
        <v/>
      </c>
      <c r="T155" s="67">
        <f>IF(G155="","",ABS(P155-Components!$D$5))</f>
        <v/>
      </c>
      <c r="U155" s="67">
        <f>IF(G155="","",ABS(P155-Components!$D$6))</f>
        <v/>
      </c>
      <c r="V155" s="67">
        <f>IF(G155="","",ABS(P155-Components!$D$7))</f>
        <v/>
      </c>
      <c r="W155" s="61">
        <f>IF(G155="","",IF(N155="OK","NONE",INDEX({"S1","S2","W1","W2","N1","N2"},MATCH(MIN(Q155:V155),Q155:V155,0))))</f>
        <v/>
      </c>
      <c r="X155" s="69">
        <f>IF(G155="","",IF(W155=E155,1,0))</f>
        <v/>
      </c>
    </row>
    <row r="156">
      <c r="A156" s="79" t="n"/>
      <c r="B156" s="80" t="n"/>
      <c r="C156" s="76" t="inlineStr">
        <is>
          <t>R6</t>
        </is>
      </c>
      <c r="D156" s="78" t="inlineStr">
        <is>
          <t>NG</t>
        </is>
      </c>
      <c r="E156" s="76" t="inlineStr">
        <is>
          <t>S1</t>
        </is>
      </c>
      <c r="F156" s="81" t="n"/>
      <c r="G156" s="75" t="n">
        <v>5.88</v>
      </c>
      <c r="H156" s="65" t="n"/>
      <c r="I156" s="66" t="n"/>
      <c r="J156" s="67">
        <f>VLOOKUP(C156,Recipes!$A$2:$N$4,10,FALSE())</f>
        <v/>
      </c>
      <c r="K156" s="68">
        <f>VLOOKUP(C156,Recipes!$A$2:$N$4,12,FALSE())</f>
        <v/>
      </c>
      <c r="L156" s="67">
        <f>J156-3*K156</f>
        <v/>
      </c>
      <c r="M156" s="67">
        <f>J156+3*K156</f>
        <v/>
      </c>
      <c r="N156" s="61">
        <f>IF(G156="","",IF(AND(G156&gt;=L156,G156&lt;=M156),"OK","NG"))</f>
        <v/>
      </c>
      <c r="O156" s="69">
        <f>IF(N156="","",IF(N156=D156,1,0))</f>
        <v/>
      </c>
      <c r="P156" s="67">
        <f>IF(G156="","",J156-G156)</f>
        <v/>
      </c>
      <c r="Q156" s="67">
        <f>IF(G156="","",ABS(P156-Components!$D$2))</f>
        <v/>
      </c>
      <c r="R156" s="67">
        <f>IF(G156="","",ABS(P156-Components!$D$3))</f>
        <v/>
      </c>
      <c r="S156" s="67">
        <f>IF(G156="","",ABS(P156-Components!$D$4))</f>
        <v/>
      </c>
      <c r="T156" s="67">
        <f>IF(G156="","",ABS(P156-Components!$D$5))</f>
        <v/>
      </c>
      <c r="U156" s="67">
        <f>IF(G156="","",ABS(P156-Components!$D$6))</f>
        <v/>
      </c>
      <c r="V156" s="67">
        <f>IF(G156="","",ABS(P156-Components!$D$7))</f>
        <v/>
      </c>
      <c r="W156" s="61">
        <f>IF(G156="","",IF(N156="OK","NONE",INDEX({"S1","S2","W1","W2","N1","N2"},MATCH(MIN(Q156:V156),Q156:V156,0))))</f>
        <v/>
      </c>
      <c r="X156" s="69">
        <f>IF(G156="","",IF(W156=E156,1,0))</f>
        <v/>
      </c>
    </row>
    <row r="157">
      <c r="A157" s="79" t="n"/>
      <c r="B157" s="80" t="n"/>
      <c r="C157" s="76" t="inlineStr">
        <is>
          <t>R6</t>
        </is>
      </c>
      <c r="D157" s="78" t="inlineStr">
        <is>
          <t>NG</t>
        </is>
      </c>
      <c r="E157" s="76" t="inlineStr">
        <is>
          <t>S1</t>
        </is>
      </c>
      <c r="F157" s="81" t="n"/>
      <c r="G157" s="75" t="n">
        <v>5.91</v>
      </c>
      <c r="H157" s="65" t="n"/>
      <c r="I157" s="66" t="n"/>
      <c r="J157" s="67">
        <f>VLOOKUP(C157,Recipes!$A$2:$N$4,10,FALSE())</f>
        <v/>
      </c>
      <c r="K157" s="68">
        <f>VLOOKUP(C157,Recipes!$A$2:$N$4,12,FALSE())</f>
        <v/>
      </c>
      <c r="L157" s="67">
        <f>J157-3*K157</f>
        <v/>
      </c>
      <c r="M157" s="67">
        <f>J157+3*K157</f>
        <v/>
      </c>
      <c r="N157" s="61">
        <f>IF(G157="","",IF(AND(G157&gt;=L157,G157&lt;=M157),"OK","NG"))</f>
        <v/>
      </c>
      <c r="O157" s="69">
        <f>IF(N157="","",IF(N157=D157,1,0))</f>
        <v/>
      </c>
      <c r="P157" s="67">
        <f>IF(G157="","",J157-G157)</f>
        <v/>
      </c>
      <c r="Q157" s="67">
        <f>IF(G157="","",ABS(P157-Components!$D$2))</f>
        <v/>
      </c>
      <c r="R157" s="67">
        <f>IF(G157="","",ABS(P157-Components!$D$3))</f>
        <v/>
      </c>
      <c r="S157" s="67">
        <f>IF(G157="","",ABS(P157-Components!$D$4))</f>
        <v/>
      </c>
      <c r="T157" s="67">
        <f>IF(G157="","",ABS(P157-Components!$D$5))</f>
        <v/>
      </c>
      <c r="U157" s="67">
        <f>IF(G157="","",ABS(P157-Components!$D$6))</f>
        <v/>
      </c>
      <c r="V157" s="67">
        <f>IF(G157="","",ABS(P157-Components!$D$7))</f>
        <v/>
      </c>
      <c r="W157" s="61">
        <f>IF(G157="","",IF(N157="OK","NONE",INDEX({"S1","S2","W1","W2","N1","N2"},MATCH(MIN(Q157:V157),Q157:V157,0))))</f>
        <v/>
      </c>
      <c r="X157" s="69">
        <f>IF(G157="","",IF(W157=E157,1,0))</f>
        <v/>
      </c>
    </row>
    <row r="158">
      <c r="A158" s="61" t="n">
        <v>46</v>
      </c>
      <c r="B158" s="62" t="n">
        <v>44</v>
      </c>
      <c r="C158" s="61" t="inlineStr">
        <is>
          <t>R6</t>
        </is>
      </c>
      <c r="D158" s="74" t="inlineStr">
        <is>
          <t>NG</t>
        </is>
      </c>
      <c r="E158" s="61" t="inlineStr">
        <is>
          <t>W1</t>
        </is>
      </c>
      <c r="F158" s="61" t="inlineStr">
        <is>
          <t>K046</t>
        </is>
      </c>
      <c r="G158" s="64" t="n">
        <v>7.38</v>
      </c>
      <c r="H158" s="65" t="n"/>
      <c r="I158" s="66" t="n"/>
      <c r="J158" s="67">
        <f>VLOOKUP(C158,Recipes!$A$2:$N$4,10,FALSE())</f>
        <v/>
      </c>
      <c r="K158" s="68">
        <f>VLOOKUP(C158,Recipes!$A$2:$N$4,12,FALSE())</f>
        <v/>
      </c>
      <c r="L158" s="67">
        <f>J158-3*K158</f>
        <v/>
      </c>
      <c r="M158" s="67">
        <f>J158+3*K158</f>
        <v/>
      </c>
      <c r="N158" s="61">
        <f>IF(G158="","",IF(AND(G158&gt;=L158,G158&lt;=M158),"OK","NG"))</f>
        <v/>
      </c>
      <c r="O158" s="69">
        <f>IF(N158="","",IF(N158=D158,1,0))</f>
        <v/>
      </c>
      <c r="P158" s="67">
        <f>IF(G158="","",J158-G158)</f>
        <v/>
      </c>
      <c r="Q158" s="67">
        <f>IF(G158="","",ABS(P158-Components!$D$2))</f>
        <v/>
      </c>
      <c r="R158" s="67">
        <f>IF(G158="","",ABS(P158-Components!$D$3))</f>
        <v/>
      </c>
      <c r="S158" s="67">
        <f>IF(G158="","",ABS(P158-Components!$D$4))</f>
        <v/>
      </c>
      <c r="T158" s="67">
        <f>IF(G158="","",ABS(P158-Components!$D$5))</f>
        <v/>
      </c>
      <c r="U158" s="67">
        <f>IF(G158="","",ABS(P158-Components!$D$6))</f>
        <v/>
      </c>
      <c r="V158" s="67">
        <f>IF(G158="","",ABS(P158-Components!$D$7))</f>
        <v/>
      </c>
      <c r="W158" s="61">
        <f>IF(G158="","",IF(N158="OK","NONE",INDEX({"S1","S2","W1","W2","N1","N2"},MATCH(MIN(Q158:V158),Q158:V158,0))))</f>
        <v/>
      </c>
      <c r="X158" s="69">
        <f>IF(G158="","",IF(W158=E158,1,0))</f>
        <v/>
      </c>
    </row>
    <row r="159">
      <c r="A159" s="61" t="n">
        <v>47</v>
      </c>
      <c r="B159" s="62" t="n">
        <v>7</v>
      </c>
      <c r="C159" s="61" t="inlineStr">
        <is>
          <t>R6</t>
        </is>
      </c>
      <c r="D159" s="74" t="inlineStr">
        <is>
          <t>NG</t>
        </is>
      </c>
      <c r="E159" s="61" t="inlineStr">
        <is>
          <t>W1</t>
        </is>
      </c>
      <c r="F159" s="61" t="inlineStr">
        <is>
          <t>K047</t>
        </is>
      </c>
      <c r="G159" s="64" t="n">
        <v>7.54</v>
      </c>
      <c r="H159" s="65" t="n"/>
      <c r="I159" s="66" t="n"/>
      <c r="J159" s="67">
        <f>VLOOKUP(C159,Recipes!$A$2:$N$4,10,FALSE())</f>
        <v/>
      </c>
      <c r="K159" s="68">
        <f>VLOOKUP(C159,Recipes!$A$2:$N$4,12,FALSE())</f>
        <v/>
      </c>
      <c r="L159" s="67">
        <f>J159-3*K159</f>
        <v/>
      </c>
      <c r="M159" s="67">
        <f>J159+3*K159</f>
        <v/>
      </c>
      <c r="N159" s="61">
        <f>IF(G159="","",IF(AND(G159&gt;=L159,G159&lt;=M159),"OK","NG"))</f>
        <v/>
      </c>
      <c r="O159" s="69">
        <f>IF(N159="","",IF(N159=D159,1,0))</f>
        <v/>
      </c>
      <c r="P159" s="67">
        <f>IF(G159="","",J159-G159)</f>
        <v/>
      </c>
      <c r="Q159" s="67">
        <f>IF(G159="","",ABS(P159-Components!$D$2))</f>
        <v/>
      </c>
      <c r="R159" s="67">
        <f>IF(G159="","",ABS(P159-Components!$D$3))</f>
        <v/>
      </c>
      <c r="S159" s="67">
        <f>IF(G159="","",ABS(P159-Components!$D$4))</f>
        <v/>
      </c>
      <c r="T159" s="67">
        <f>IF(G159="","",ABS(P159-Components!$D$5))</f>
        <v/>
      </c>
      <c r="U159" s="67">
        <f>IF(G159="","",ABS(P159-Components!$D$6))</f>
        <v/>
      </c>
      <c r="V159" s="67">
        <f>IF(G159="","",ABS(P159-Components!$D$7))</f>
        <v/>
      </c>
      <c r="W159" s="61">
        <f>IF(G159="","",IF(N159="OK","NONE",INDEX({"S1","S2","W1","W2","N1","N2"},MATCH(MIN(Q159:V159),Q159:V159,0))))</f>
        <v/>
      </c>
      <c r="X159" s="69">
        <f>IF(G159="","",IF(W159=E159,1,0))</f>
        <v/>
      </c>
    </row>
    <row r="160">
      <c r="A160" s="61" t="n">
        <v>48</v>
      </c>
      <c r="B160" s="62" t="n">
        <v>9</v>
      </c>
      <c r="C160" s="61" t="inlineStr">
        <is>
          <t>R6</t>
        </is>
      </c>
      <c r="D160" s="74" t="inlineStr">
        <is>
          <t>NG</t>
        </is>
      </c>
      <c r="E160" s="61" t="inlineStr">
        <is>
          <t>W1</t>
        </is>
      </c>
      <c r="F160" s="61" t="inlineStr">
        <is>
          <t>K048</t>
        </is>
      </c>
      <c r="G160" s="64" t="n">
        <v>7.65</v>
      </c>
      <c r="H160" s="65" t="n"/>
      <c r="I160" s="66" t="n"/>
      <c r="J160" s="67">
        <f>VLOOKUP(C160,Recipes!$A$2:$N$4,10,FALSE())</f>
        <v/>
      </c>
      <c r="K160" s="68">
        <f>VLOOKUP(C160,Recipes!$A$2:$N$4,12,FALSE())</f>
        <v/>
      </c>
      <c r="L160" s="67">
        <f>J160-3*K160</f>
        <v/>
      </c>
      <c r="M160" s="67">
        <f>J160+3*K160</f>
        <v/>
      </c>
      <c r="N160" s="61">
        <f>IF(G160="","",IF(AND(G160&gt;=L160,G160&lt;=M160),"OK","NG"))</f>
        <v/>
      </c>
      <c r="O160" s="69">
        <f>IF(N160="","",IF(N160=D160,1,0))</f>
        <v/>
      </c>
      <c r="P160" s="67">
        <f>IF(G160="","",J160-G160)</f>
        <v/>
      </c>
      <c r="Q160" s="67">
        <f>IF(G160="","",ABS(P160-Components!$D$2))</f>
        <v/>
      </c>
      <c r="R160" s="67">
        <f>IF(G160="","",ABS(P160-Components!$D$3))</f>
        <v/>
      </c>
      <c r="S160" s="67">
        <f>IF(G160="","",ABS(P160-Components!$D$4))</f>
        <v/>
      </c>
      <c r="T160" s="67">
        <f>IF(G160="","",ABS(P160-Components!$D$5))</f>
        <v/>
      </c>
      <c r="U160" s="67">
        <f>IF(G160="","",ABS(P160-Components!$D$6))</f>
        <v/>
      </c>
      <c r="V160" s="67">
        <f>IF(G160="","",ABS(P160-Components!$D$7))</f>
        <v/>
      </c>
      <c r="W160" s="61">
        <f>IF(G160="","",IF(N160="OK","NONE",INDEX({"S1","S2","W1","W2","N1","N2"},MATCH(MIN(Q160:V160),Q160:V160,0))))</f>
        <v/>
      </c>
      <c r="X160" s="69">
        <f>IF(G160="","",IF(W160=E160,1,0))</f>
        <v/>
      </c>
    </row>
    <row r="161">
      <c r="A161" s="61" t="n">
        <v>49</v>
      </c>
      <c r="B161" s="62" t="n">
        <v>8</v>
      </c>
      <c r="C161" s="61" t="inlineStr">
        <is>
          <t>R6</t>
        </is>
      </c>
      <c r="D161" s="74" t="inlineStr">
        <is>
          <t>NG</t>
        </is>
      </c>
      <c r="E161" s="61" t="inlineStr">
        <is>
          <t>W1</t>
        </is>
      </c>
      <c r="F161" s="61" t="inlineStr">
        <is>
          <t>K054</t>
        </is>
      </c>
      <c r="G161" s="64" t="n">
        <v>7.34</v>
      </c>
      <c r="H161" s="65" t="n"/>
      <c r="I161" s="66" t="n"/>
      <c r="J161" s="67">
        <f>VLOOKUP(C161,Recipes!$A$2:$N$4,10,FALSE())</f>
        <v/>
      </c>
      <c r="K161" s="68">
        <f>VLOOKUP(C161,Recipes!$A$2:$N$4,12,FALSE())</f>
        <v/>
      </c>
      <c r="L161" s="67">
        <f>J161-3*K161</f>
        <v/>
      </c>
      <c r="M161" s="67">
        <f>J161+3*K161</f>
        <v/>
      </c>
      <c r="N161" s="61">
        <f>IF(G161="","",IF(AND(G161&gt;=L161,G161&lt;=M161),"OK","NG"))</f>
        <v/>
      </c>
      <c r="O161" s="69">
        <f>IF(N161="","",IF(N161=D161,1,0))</f>
        <v/>
      </c>
      <c r="P161" s="67">
        <f>IF(G161="","",J161-G161)</f>
        <v/>
      </c>
      <c r="Q161" s="67">
        <f>IF(G161="","",ABS(P161-Components!$D$2))</f>
        <v/>
      </c>
      <c r="R161" s="67">
        <f>IF(G161="","",ABS(P161-Components!$D$3))</f>
        <v/>
      </c>
      <c r="S161" s="67">
        <f>IF(G161="","",ABS(P161-Components!$D$4))</f>
        <v/>
      </c>
      <c r="T161" s="67">
        <f>IF(G161="","",ABS(P161-Components!$D$5))</f>
        <v/>
      </c>
      <c r="U161" s="67">
        <f>IF(G161="","",ABS(P161-Components!$D$6))</f>
        <v/>
      </c>
      <c r="V161" s="67">
        <f>IF(G161="","",ABS(P161-Components!$D$7))</f>
        <v/>
      </c>
      <c r="W161" s="61">
        <f>IF(G161="","",IF(N161="OK","NONE",INDEX({"S1","S2","W1","W2","N1","N2"},MATCH(MIN(Q161:V161),Q161:V161,0))))</f>
        <v/>
      </c>
      <c r="X161" s="69">
        <f>IF(G161="","",IF(W161=E161,1,0))</f>
        <v/>
      </c>
    </row>
    <row r="162">
      <c r="A162" s="61" t="n">
        <v>50</v>
      </c>
      <c r="B162" s="62" t="n">
        <v>41</v>
      </c>
      <c r="C162" s="61" t="inlineStr">
        <is>
          <t>R6</t>
        </is>
      </c>
      <c r="D162" s="74" t="inlineStr">
        <is>
          <t>NG</t>
        </is>
      </c>
      <c r="E162" s="61" t="inlineStr">
        <is>
          <t>W1</t>
        </is>
      </c>
      <c r="F162" s="61" t="inlineStr">
        <is>
          <t>K055</t>
        </is>
      </c>
      <c r="G162" s="64" t="n">
        <v>7.68</v>
      </c>
      <c r="H162" s="65" t="n"/>
      <c r="I162" s="66" t="n"/>
      <c r="J162" s="67">
        <f>VLOOKUP(C162,Recipes!$A$2:$N$4,10,FALSE())</f>
        <v/>
      </c>
      <c r="K162" s="68">
        <f>VLOOKUP(C162,Recipes!$A$2:$N$4,12,FALSE())</f>
        <v/>
      </c>
      <c r="L162" s="67">
        <f>J162-3*K162</f>
        <v/>
      </c>
      <c r="M162" s="67">
        <f>J162+3*K162</f>
        <v/>
      </c>
      <c r="N162" s="61">
        <f>IF(G162="","",IF(AND(G162&gt;=L162,G162&lt;=M162),"OK","NG"))</f>
        <v/>
      </c>
      <c r="O162" s="69">
        <f>IF(N162="","",IF(N162=D162,1,0))</f>
        <v/>
      </c>
      <c r="P162" s="67">
        <f>IF(G162="","",J162-G162)</f>
        <v/>
      </c>
      <c r="Q162" s="67">
        <f>IF(G162="","",ABS(P162-Components!$D$2))</f>
        <v/>
      </c>
      <c r="R162" s="67">
        <f>IF(G162="","",ABS(P162-Components!$D$3))</f>
        <v/>
      </c>
      <c r="S162" s="67">
        <f>IF(G162="","",ABS(P162-Components!$D$4))</f>
        <v/>
      </c>
      <c r="T162" s="67">
        <f>IF(G162="","",ABS(P162-Components!$D$5))</f>
        <v/>
      </c>
      <c r="U162" s="67">
        <f>IF(G162="","",ABS(P162-Components!$D$6))</f>
        <v/>
      </c>
      <c r="V162" s="67">
        <f>IF(G162="","",ABS(P162-Components!$D$7))</f>
        <v/>
      </c>
      <c r="W162" s="61">
        <f>IF(G162="","",IF(N162="OK","NONE",INDEX({"S1","S2","W1","W2","N1","N2"},MATCH(MIN(Q162:V162),Q162:V162,0))))</f>
        <v/>
      </c>
      <c r="X162" s="69">
        <f>IF(G162="","",IF(W162=E162,1,0))</f>
        <v/>
      </c>
    </row>
    <row r="163">
      <c r="A163" s="61" t="n">
        <v>51</v>
      </c>
      <c r="B163" s="62" t="n">
        <v>15</v>
      </c>
      <c r="C163" s="61" t="inlineStr">
        <is>
          <t>R6</t>
        </is>
      </c>
      <c r="D163" s="74" t="inlineStr">
        <is>
          <t>NG</t>
        </is>
      </c>
      <c r="E163" s="61" t="inlineStr">
        <is>
          <t>N2</t>
        </is>
      </c>
      <c r="F163" s="61" t="inlineStr">
        <is>
          <t>K049</t>
        </is>
      </c>
      <c r="G163" s="64" t="n">
        <v>7.29</v>
      </c>
      <c r="H163" s="65" t="n"/>
      <c r="I163" s="66" t="n"/>
      <c r="J163" s="67">
        <f>VLOOKUP(C163,Recipes!$A$2:$N$4,10,FALSE())</f>
        <v/>
      </c>
      <c r="K163" s="68">
        <f>VLOOKUP(C163,Recipes!$A$2:$N$4,12,FALSE())</f>
        <v/>
      </c>
      <c r="L163" s="67">
        <f>J163-3*K163</f>
        <v/>
      </c>
      <c r="M163" s="67">
        <f>J163+3*K163</f>
        <v/>
      </c>
      <c r="N163" s="61">
        <f>IF(G163="","",IF(AND(G163&gt;=L163,G163&lt;=M163),"OK","NG"))</f>
        <v/>
      </c>
      <c r="O163" s="69">
        <f>IF(N163="","",IF(N163=D163,1,0))</f>
        <v/>
      </c>
      <c r="P163" s="67">
        <f>IF(G163="","",J163-G163)</f>
        <v/>
      </c>
      <c r="Q163" s="67">
        <f>IF(G163="","",ABS(P163-Components!$D$2))</f>
        <v/>
      </c>
      <c r="R163" s="67">
        <f>IF(G163="","",ABS(P163-Components!$D$3))</f>
        <v/>
      </c>
      <c r="S163" s="67">
        <f>IF(G163="","",ABS(P163-Components!$D$4))</f>
        <v/>
      </c>
      <c r="T163" s="67">
        <f>IF(G163="","",ABS(P163-Components!$D$5))</f>
        <v/>
      </c>
      <c r="U163" s="67">
        <f>IF(G163="","",ABS(P163-Components!$D$6))</f>
        <v/>
      </c>
      <c r="V163" s="67">
        <f>IF(G163="","",ABS(P163-Components!$D$7))</f>
        <v/>
      </c>
      <c r="W163" s="61">
        <f>IF(G163="","",IF(N163="OK","NONE",INDEX({"S1","S2","W1","W2","N1","N2"},MATCH(MIN(Q163:V163),Q163:V163,0))))</f>
        <v/>
      </c>
      <c r="X163" s="69">
        <f>IF(G163="","",IF(W163=E163,1,0))</f>
        <v/>
      </c>
    </row>
    <row r="164">
      <c r="A164" s="61" t="n">
        <v>52</v>
      </c>
      <c r="B164" s="62" t="n">
        <v>16</v>
      </c>
      <c r="C164" s="61" t="inlineStr">
        <is>
          <t>R6</t>
        </is>
      </c>
      <c r="D164" s="74" t="inlineStr">
        <is>
          <t>NG</t>
        </is>
      </c>
      <c r="E164" s="61" t="inlineStr">
        <is>
          <t>N2</t>
        </is>
      </c>
      <c r="F164" s="61" t="inlineStr">
        <is>
          <t>K050</t>
        </is>
      </c>
      <c r="G164" s="64" t="n">
        <v>7.16</v>
      </c>
      <c r="H164" s="65" t="n"/>
      <c r="I164" s="66" t="n"/>
      <c r="J164" s="67">
        <f>VLOOKUP(C164,Recipes!$A$2:$N$4,10,FALSE())</f>
        <v/>
      </c>
      <c r="K164" s="68">
        <f>VLOOKUP(C164,Recipes!$A$2:$N$4,12,FALSE())</f>
        <v/>
      </c>
      <c r="L164" s="67">
        <f>J164-3*K164</f>
        <v/>
      </c>
      <c r="M164" s="67">
        <f>J164+3*K164</f>
        <v/>
      </c>
      <c r="N164" s="61">
        <f>IF(G164="","",IF(AND(G164&gt;=L164,G164&lt;=M164),"OK","NG"))</f>
        <v/>
      </c>
      <c r="O164" s="69">
        <f>IF(N164="","",IF(N164=D164,1,0))</f>
        <v/>
      </c>
      <c r="P164" s="67">
        <f>IF(G164="","",J164-G164)</f>
        <v/>
      </c>
      <c r="Q164" s="67">
        <f>IF(G164="","",ABS(P164-Components!$D$2))</f>
        <v/>
      </c>
      <c r="R164" s="67">
        <f>IF(G164="","",ABS(P164-Components!$D$3))</f>
        <v/>
      </c>
      <c r="S164" s="67">
        <f>IF(G164="","",ABS(P164-Components!$D$4))</f>
        <v/>
      </c>
      <c r="T164" s="67">
        <f>IF(G164="","",ABS(P164-Components!$D$5))</f>
        <v/>
      </c>
      <c r="U164" s="67">
        <f>IF(G164="","",ABS(P164-Components!$D$6))</f>
        <v/>
      </c>
      <c r="V164" s="67">
        <f>IF(G164="","",ABS(P164-Components!$D$7))</f>
        <v/>
      </c>
      <c r="W164" s="61">
        <f>IF(G164="","",IF(N164="OK","NONE",INDEX({"S1","S2","W1","W2","N1","N2"},MATCH(MIN(Q164:V164),Q164:V164,0))))</f>
        <v/>
      </c>
      <c r="X164" s="69">
        <f>IF(G164="","",IF(W164=E164,1,0))</f>
        <v/>
      </c>
    </row>
    <row r="165">
      <c r="A165" s="61" t="n">
        <v>53</v>
      </c>
      <c r="B165" s="62" t="n">
        <v>18</v>
      </c>
      <c r="C165" s="61" t="inlineStr">
        <is>
          <t>R6</t>
        </is>
      </c>
      <c r="D165" s="74" t="inlineStr">
        <is>
          <t>NG</t>
        </is>
      </c>
      <c r="E165" s="61" t="inlineStr">
        <is>
          <t>N2</t>
        </is>
      </c>
      <c r="F165" s="61" t="inlineStr">
        <is>
          <t>K051</t>
        </is>
      </c>
      <c r="G165" s="64" t="n">
        <v>7.23</v>
      </c>
      <c r="H165" s="65" t="n"/>
      <c r="I165" s="66" t="n"/>
      <c r="J165" s="67">
        <f>VLOOKUP(C165,Recipes!$A$2:$N$4,10,FALSE())</f>
        <v/>
      </c>
      <c r="K165" s="68">
        <f>VLOOKUP(C165,Recipes!$A$2:$N$4,12,FALSE())</f>
        <v/>
      </c>
      <c r="L165" s="67">
        <f>J165-3*K165</f>
        <v/>
      </c>
      <c r="M165" s="67">
        <f>J165+3*K165</f>
        <v/>
      </c>
      <c r="N165" s="61">
        <f>IF(G165="","",IF(AND(G165&gt;=L165,G165&lt;=M165),"OK","NG"))</f>
        <v/>
      </c>
      <c r="O165" s="69">
        <f>IF(N165="","",IF(N165=D165,1,0))</f>
        <v/>
      </c>
      <c r="P165" s="67">
        <f>IF(G165="","",J165-G165)</f>
        <v/>
      </c>
      <c r="Q165" s="67">
        <f>IF(G165="","",ABS(P165-Components!$D$2))</f>
        <v/>
      </c>
      <c r="R165" s="67">
        <f>IF(G165="","",ABS(P165-Components!$D$3))</f>
        <v/>
      </c>
      <c r="S165" s="67">
        <f>IF(G165="","",ABS(P165-Components!$D$4))</f>
        <v/>
      </c>
      <c r="T165" s="67">
        <f>IF(G165="","",ABS(P165-Components!$D$5))</f>
        <v/>
      </c>
      <c r="U165" s="67">
        <f>IF(G165="","",ABS(P165-Components!$D$6))</f>
        <v/>
      </c>
      <c r="V165" s="67">
        <f>IF(G165="","",ABS(P165-Components!$D$7))</f>
        <v/>
      </c>
      <c r="W165" s="61">
        <f>IF(G165="","",IF(N165="OK","NONE",INDEX({"S1","S2","W1","W2","N1","N2"},MATCH(MIN(Q165:V165),Q165:V165,0))))</f>
        <v/>
      </c>
      <c r="X165" s="69">
        <f>IF(G165="","",IF(W165=E165,1,0))</f>
        <v/>
      </c>
    </row>
    <row r="166">
      <c r="A166" s="76" t="n">
        <v>54</v>
      </c>
      <c r="B166" s="80" t="n"/>
      <c r="C166" s="76" t="inlineStr">
        <is>
          <t>R6</t>
        </is>
      </c>
      <c r="D166" s="78" t="inlineStr">
        <is>
          <t>NG</t>
        </is>
      </c>
      <c r="E166" s="76" t="inlineStr">
        <is>
          <t>N2</t>
        </is>
      </c>
      <c r="F166" s="81" t="n"/>
      <c r="G166" s="75" t="n">
        <v>7.25</v>
      </c>
      <c r="H166" s="65" t="n"/>
      <c r="I166" s="66" t="n"/>
      <c r="J166" s="67">
        <f>VLOOKUP(C166,Recipes!$A$2:$N$4,10,FALSE())</f>
        <v/>
      </c>
      <c r="K166" s="68">
        <f>VLOOKUP(C166,Recipes!$A$2:$N$4,12,FALSE())</f>
        <v/>
      </c>
      <c r="L166" s="67">
        <f>J166-3*K166</f>
        <v/>
      </c>
      <c r="M166" s="67">
        <f>J166+3*K166</f>
        <v/>
      </c>
      <c r="N166" s="61">
        <f>IF(G166="","",IF(AND(G166&gt;=L166,G166&lt;=M166),"OK","NG"))</f>
        <v/>
      </c>
      <c r="O166" s="69">
        <f>IF(N166="","",IF(N166=D166,1,0))</f>
        <v/>
      </c>
      <c r="P166" s="67">
        <f>IF(G166="","",J166-G166)</f>
        <v/>
      </c>
      <c r="Q166" s="67">
        <f>IF(G166="","",ABS(P166-Components!$D$2))</f>
        <v/>
      </c>
      <c r="R166" s="67">
        <f>IF(G166="","",ABS(P166-Components!$D$3))</f>
        <v/>
      </c>
      <c r="S166" s="67">
        <f>IF(G166="","",ABS(P166-Components!$D$4))</f>
        <v/>
      </c>
      <c r="T166" s="67">
        <f>IF(G166="","",ABS(P166-Components!$D$5))</f>
        <v/>
      </c>
      <c r="U166" s="67">
        <f>IF(G166="","",ABS(P166-Components!$D$6))</f>
        <v/>
      </c>
      <c r="V166" s="67">
        <f>IF(G166="","",ABS(P166-Components!$D$7))</f>
        <v/>
      </c>
      <c r="W166" s="61">
        <f>IF(G166="","",IF(N166="OK","NONE",INDEX({"S1","S2","W1","W2","N1","N2"},MATCH(MIN(Q166:V166),Q166:V166,0))))</f>
        <v/>
      </c>
      <c r="X166" s="69">
        <f>IF(G166="","",IF(W166=E166,1,0))</f>
        <v/>
      </c>
    </row>
    <row r="167">
      <c r="A167" s="79" t="n"/>
      <c r="B167" s="80" t="n"/>
      <c r="C167" s="76" t="inlineStr">
        <is>
          <t>R6</t>
        </is>
      </c>
      <c r="D167" s="78" t="inlineStr">
        <is>
          <t>NG</t>
        </is>
      </c>
      <c r="E167" s="76" t="inlineStr">
        <is>
          <t>N2</t>
        </is>
      </c>
      <c r="F167" s="81" t="n"/>
      <c r="G167" s="75" t="n">
        <v>7.2</v>
      </c>
      <c r="H167" s="65" t="n"/>
      <c r="I167" s="66" t="n"/>
      <c r="J167" s="67">
        <f>VLOOKUP(C167,Recipes!$A$2:$N$4,10,FALSE())</f>
        <v/>
      </c>
      <c r="K167" s="68">
        <f>VLOOKUP(C167,Recipes!$A$2:$N$4,12,FALSE())</f>
        <v/>
      </c>
      <c r="L167" s="67">
        <f>J167-3*K167</f>
        <v/>
      </c>
      <c r="M167" s="67">
        <f>J167+3*K167</f>
        <v/>
      </c>
      <c r="N167" s="61">
        <f>IF(G167="","",IF(AND(G167&gt;=L167,G167&lt;=M167),"OK","NG"))</f>
        <v/>
      </c>
      <c r="O167" s="69">
        <f>IF(N167="","",IF(N167=D167,1,0))</f>
        <v/>
      </c>
      <c r="P167" s="67">
        <f>IF(G167="","",J167-G167)</f>
        <v/>
      </c>
      <c r="Q167" s="67">
        <f>IF(G167="","",ABS(P167-Components!$D$2))</f>
        <v/>
      </c>
      <c r="R167" s="67">
        <f>IF(G167="","",ABS(P167-Components!$D$3))</f>
        <v/>
      </c>
      <c r="S167" s="67">
        <f>IF(G167="","",ABS(P167-Components!$D$4))</f>
        <v/>
      </c>
      <c r="T167" s="67">
        <f>IF(G167="","",ABS(P167-Components!$D$5))</f>
        <v/>
      </c>
      <c r="U167" s="67">
        <f>IF(G167="","",ABS(P167-Components!$D$6))</f>
        <v/>
      </c>
      <c r="V167" s="67">
        <f>IF(G167="","",ABS(P167-Components!$D$7))</f>
        <v/>
      </c>
      <c r="W167" s="61">
        <f>IF(G167="","",IF(N167="OK","NONE",INDEX({"S1","S2","W1","W2","N1","N2"},MATCH(MIN(Q167:V167),Q167:V167,0))))</f>
        <v/>
      </c>
      <c r="X167" s="69">
        <f>IF(G167="","",IF(W167=E167,1,0))</f>
        <v/>
      </c>
    </row>
    <row r="168">
      <c r="A168" s="61" t="n">
        <v>52</v>
      </c>
      <c r="B168" s="62" t="n">
        <v>48</v>
      </c>
      <c r="C168" s="61" t="inlineStr">
        <is>
          <t>R6</t>
        </is>
      </c>
      <c r="D168" s="74" t="inlineStr">
        <is>
          <t>NG</t>
        </is>
      </c>
      <c r="E168" s="61" t="inlineStr">
        <is>
          <t>N1</t>
        </is>
      </c>
      <c r="F168" s="61" t="inlineStr">
        <is>
          <t>K052</t>
        </is>
      </c>
      <c r="G168" s="64" t="n">
        <v>7.45</v>
      </c>
      <c r="H168" s="65" t="n"/>
      <c r="I168" s="66" t="n"/>
      <c r="J168" s="67">
        <f>VLOOKUP(C168,Recipes!$A$2:$N$4,10,FALSE())</f>
        <v/>
      </c>
      <c r="K168" s="68">
        <f>VLOOKUP(C168,Recipes!$A$2:$N$4,12,FALSE())</f>
        <v/>
      </c>
      <c r="L168" s="67">
        <f>J168-3*K168</f>
        <v/>
      </c>
      <c r="M168" s="67">
        <f>J168+3*K168</f>
        <v/>
      </c>
      <c r="N168" s="61">
        <f>IF(G168="","",IF(AND(G168&gt;=L168,G168&lt;=M168),"OK","NG"))</f>
        <v/>
      </c>
      <c r="O168" s="69">
        <f>IF(N168="","",IF(N168=D168,1,0))</f>
        <v/>
      </c>
      <c r="P168" s="67">
        <f>IF(G168="","",J168-G168)</f>
        <v/>
      </c>
      <c r="Q168" s="67">
        <f>IF(G168="","",ABS(P168-Components!$D$2))</f>
        <v/>
      </c>
      <c r="R168" s="67">
        <f>IF(G168="","",ABS(P168-Components!$D$3))</f>
        <v/>
      </c>
      <c r="S168" s="67">
        <f>IF(G168="","",ABS(P168-Components!$D$4))</f>
        <v/>
      </c>
      <c r="T168" s="67">
        <f>IF(G168="","",ABS(P168-Components!$D$5))</f>
        <v/>
      </c>
      <c r="U168" s="67">
        <f>IF(G168="","",ABS(P168-Components!$D$6))</f>
        <v/>
      </c>
      <c r="V168" s="67">
        <f>IF(G168="","",ABS(P168-Components!$D$7))</f>
        <v/>
      </c>
      <c r="W168" s="61">
        <f>IF(G168="","",IF(N168="OK","NONE",INDEX({"S1","S2","W1","W2","N1","N2"},MATCH(MIN(Q168:V168),Q168:V168,0))))</f>
        <v/>
      </c>
      <c r="X168" s="69">
        <f>IF(G168="","",IF(W168=E168,1,0))</f>
        <v/>
      </c>
    </row>
    <row r="169">
      <c r="A169" s="61" t="n">
        <v>53</v>
      </c>
      <c r="B169" s="62" t="n">
        <v>2</v>
      </c>
      <c r="C169" s="61" t="inlineStr">
        <is>
          <t>R6</t>
        </is>
      </c>
      <c r="D169" s="74" t="inlineStr">
        <is>
          <t>NG</t>
        </is>
      </c>
      <c r="E169" s="61" t="inlineStr">
        <is>
          <t>N1</t>
        </is>
      </c>
      <c r="F169" s="61" t="inlineStr">
        <is>
          <t>K053</t>
        </is>
      </c>
      <c r="G169" s="64" t="n">
        <v>7.45</v>
      </c>
      <c r="H169" s="65" t="n"/>
      <c r="I169" s="66" t="n"/>
      <c r="J169" s="67">
        <f>VLOOKUP(C169,Recipes!$A$2:$N$4,10,FALSE())</f>
        <v/>
      </c>
      <c r="K169" s="68">
        <f>VLOOKUP(C169,Recipes!$A$2:$N$4,12,FALSE())</f>
        <v/>
      </c>
      <c r="L169" s="67">
        <f>J169-3*K169</f>
        <v/>
      </c>
      <c r="M169" s="67">
        <f>J169+3*K169</f>
        <v/>
      </c>
      <c r="N169" s="61">
        <f>IF(G169="","",IF(AND(G169&gt;=L169,G169&lt;=M169),"OK","NG"))</f>
        <v/>
      </c>
      <c r="O169" s="69">
        <f>IF(N169="","",IF(N169=D169,1,0))</f>
        <v/>
      </c>
      <c r="P169" s="67">
        <f>IF(G169="","",J169-G169)</f>
        <v/>
      </c>
      <c r="Q169" s="67">
        <f>IF(G169="","",ABS(P169-Components!$D$2))</f>
        <v/>
      </c>
      <c r="R169" s="67">
        <f>IF(G169="","",ABS(P169-Components!$D$3))</f>
        <v/>
      </c>
      <c r="S169" s="67">
        <f>IF(G169="","",ABS(P169-Components!$D$4))</f>
        <v/>
      </c>
      <c r="T169" s="67">
        <f>IF(G169="","",ABS(P169-Components!$D$5))</f>
        <v/>
      </c>
      <c r="U169" s="67">
        <f>IF(G169="","",ABS(P169-Components!$D$6))</f>
        <v/>
      </c>
      <c r="V169" s="67">
        <f>IF(G169="","",ABS(P169-Components!$D$7))</f>
        <v/>
      </c>
      <c r="W169" s="61">
        <f>IF(G169="","",IF(N169="OK","NONE",INDEX({"S1","S2","W1","W2","N1","N2"},MATCH(MIN(Q169:V169),Q169:V169,0))))</f>
        <v/>
      </c>
      <c r="X169" s="69">
        <f>IF(G169="","",IF(W169=E169,1,0))</f>
        <v/>
      </c>
    </row>
    <row r="170">
      <c r="A170" s="79" t="n"/>
      <c r="B170" s="80" t="n"/>
      <c r="C170" s="76" t="inlineStr">
        <is>
          <t>R6</t>
        </is>
      </c>
      <c r="D170" s="78" t="inlineStr">
        <is>
          <t>NG</t>
        </is>
      </c>
      <c r="E170" s="76" t="inlineStr">
        <is>
          <t>N1</t>
        </is>
      </c>
      <c r="F170" s="81" t="n"/>
      <c r="G170" s="75" t="n">
        <v>7.44</v>
      </c>
      <c r="H170" s="65" t="n"/>
      <c r="I170" s="66" t="n"/>
      <c r="J170" s="67">
        <f>VLOOKUP(C170,Recipes!$A$2:$N$4,10,FALSE())</f>
        <v/>
      </c>
      <c r="K170" s="68">
        <f>VLOOKUP(C170,Recipes!$A$2:$N$4,12,FALSE())</f>
        <v/>
      </c>
      <c r="L170" s="67">
        <f>J170-3*K170</f>
        <v/>
      </c>
      <c r="M170" s="67">
        <f>J170+3*K170</f>
        <v/>
      </c>
      <c r="N170" s="61">
        <f>IF(G170="","",IF(AND(G170&gt;=L170,G170&lt;=M170),"OK","NG"))</f>
        <v/>
      </c>
      <c r="O170" s="69">
        <f>IF(N170="","",IF(N170=D170,1,0))</f>
        <v/>
      </c>
      <c r="P170" s="67">
        <f>IF(G170="","",J170-G170)</f>
        <v/>
      </c>
      <c r="Q170" s="67">
        <f>IF(G170="","",ABS(P170-Components!$D$2))</f>
        <v/>
      </c>
      <c r="R170" s="67">
        <f>IF(G170="","",ABS(P170-Components!$D$3))</f>
        <v/>
      </c>
      <c r="S170" s="67">
        <f>IF(G170="","",ABS(P170-Components!$D$4))</f>
        <v/>
      </c>
      <c r="T170" s="67">
        <f>IF(G170="","",ABS(P170-Components!$D$5))</f>
        <v/>
      </c>
      <c r="U170" s="67">
        <f>IF(G170="","",ABS(P170-Components!$D$6))</f>
        <v/>
      </c>
      <c r="V170" s="67">
        <f>IF(G170="","",ABS(P170-Components!$D$7))</f>
        <v/>
      </c>
      <c r="W170" s="61">
        <f>IF(G170="","",IF(N170="OK","NONE",INDEX({"S1","S2","W1","W2","N1","N2"},MATCH(MIN(Q170:V170),Q170:V170,0))))</f>
        <v/>
      </c>
      <c r="X170" s="69">
        <f>IF(G170="","",IF(W170=E170,1,0))</f>
        <v/>
      </c>
    </row>
    <row r="171">
      <c r="A171" s="79" t="n"/>
      <c r="B171" s="80" t="n"/>
      <c r="C171" s="76" t="inlineStr">
        <is>
          <t>R6</t>
        </is>
      </c>
      <c r="D171" s="78" t="inlineStr">
        <is>
          <t>NG</t>
        </is>
      </c>
      <c r="E171" s="76" t="inlineStr">
        <is>
          <t>N1</t>
        </is>
      </c>
      <c r="F171" s="81" t="n"/>
      <c r="G171" s="75" t="n">
        <v>7.46</v>
      </c>
      <c r="H171" s="65" t="n"/>
      <c r="I171" s="66" t="n"/>
      <c r="J171" s="67">
        <f>VLOOKUP(C171,Recipes!$A$2:$N$4,10,FALSE())</f>
        <v/>
      </c>
      <c r="K171" s="68">
        <f>VLOOKUP(C171,Recipes!$A$2:$N$4,12,FALSE())</f>
        <v/>
      </c>
      <c r="L171" s="67">
        <f>J171-3*K171</f>
        <v/>
      </c>
      <c r="M171" s="67">
        <f>J171+3*K171</f>
        <v/>
      </c>
      <c r="N171" s="61">
        <f>IF(G171="","",IF(AND(G171&gt;=L171,G171&lt;=M171),"OK","NG"))</f>
        <v/>
      </c>
      <c r="O171" s="69">
        <f>IF(N171="","",IF(N171=D171,1,0))</f>
        <v/>
      </c>
      <c r="P171" s="67">
        <f>IF(G171="","",J171-G171)</f>
        <v/>
      </c>
      <c r="Q171" s="67">
        <f>IF(G171="","",ABS(P171-Components!$D$2))</f>
        <v/>
      </c>
      <c r="R171" s="67">
        <f>IF(G171="","",ABS(P171-Components!$D$3))</f>
        <v/>
      </c>
      <c r="S171" s="67">
        <f>IF(G171="","",ABS(P171-Components!$D$4))</f>
        <v/>
      </c>
      <c r="T171" s="67">
        <f>IF(G171="","",ABS(P171-Components!$D$5))</f>
        <v/>
      </c>
      <c r="U171" s="67">
        <f>IF(G171="","",ABS(P171-Components!$D$6))</f>
        <v/>
      </c>
      <c r="V171" s="67">
        <f>IF(G171="","",ABS(P171-Components!$D$7))</f>
        <v/>
      </c>
      <c r="W171" s="61">
        <f>IF(G171="","",IF(N171="OK","NONE",INDEX({"S1","S2","W1","W2","N1","N2"},MATCH(MIN(Q171:V171),Q171:V171,0))))</f>
        <v/>
      </c>
      <c r="X171" s="69">
        <f>IF(G171="","",IF(W171=E171,1,0))</f>
        <v/>
      </c>
    </row>
    <row r="172">
      <c r="A172" s="82" t="n"/>
      <c r="B172" s="83" t="n"/>
      <c r="C172" s="76" t="inlineStr">
        <is>
          <t>R6</t>
        </is>
      </c>
      <c r="D172" s="78" t="inlineStr">
        <is>
          <t>NG</t>
        </is>
      </c>
      <c r="E172" s="76" t="inlineStr">
        <is>
          <t>N1</t>
        </is>
      </c>
      <c r="F172" s="84" t="n"/>
      <c r="G172" s="75" t="n">
        <v>7.47</v>
      </c>
      <c r="H172" s="85" t="n"/>
      <c r="I172" s="86" t="n"/>
      <c r="J172" s="67">
        <f>VLOOKUP(C172,Recipes!$A$2:$N$4,10,FALSE())</f>
        <v/>
      </c>
      <c r="K172" s="68">
        <f>VLOOKUP(C172,Recipes!$A$2:$N$4,12,FALSE())</f>
        <v/>
      </c>
      <c r="L172" s="67">
        <f>J172-3*K172</f>
        <v/>
      </c>
      <c r="M172" s="67">
        <f>J172+3*K172</f>
        <v/>
      </c>
      <c r="N172" s="61">
        <f>IF(G172="","",IF(AND(G172&gt;=L172,G172&lt;=M172),"OK","NG"))</f>
        <v/>
      </c>
      <c r="O172" s="69">
        <f>IF(N172="","",IF(N172=D172,1,0))</f>
        <v/>
      </c>
      <c r="P172" s="67">
        <f>IF(G172="","",J172-G172)</f>
        <v/>
      </c>
      <c r="Q172" s="67">
        <f>IF(G172="","",ABS(P172-Components!$D$2))</f>
        <v/>
      </c>
      <c r="R172" s="67">
        <f>IF(G172="","",ABS(P172-Components!$D$3))</f>
        <v/>
      </c>
      <c r="S172" s="67">
        <f>IF(G172="","",ABS(P172-Components!$D$4))</f>
        <v/>
      </c>
      <c r="T172" s="67">
        <f>IF(G172="","",ABS(P172-Components!$D$5))</f>
        <v/>
      </c>
      <c r="U172" s="67">
        <f>IF(G172="","",ABS(P172-Components!$D$6))</f>
        <v/>
      </c>
      <c r="V172" s="67">
        <f>IF(G172="","",ABS(P172-Components!$D$7))</f>
        <v/>
      </c>
      <c r="W172" s="61">
        <f>IF(G172="","",IF(N172="OK","NONE",INDEX({"S1","S2","W1","W2","N1","N2"},MATCH(MIN(Q172:V172),Q172:V172,0))))</f>
        <v/>
      </c>
      <c r="X172" s="69">
        <f>IF(G172="","",IF(W172=E172,1,0))</f>
        <v/>
      </c>
    </row>
    <row r="173">
      <c r="A173" s="88" t="n"/>
      <c r="B173" s="88" t="n"/>
      <c r="C173" s="88" t="n"/>
      <c r="D173" s="88" t="n"/>
      <c r="E173" s="88" t="n"/>
      <c r="F173" s="88" t="n"/>
      <c r="G173" s="89" t="n"/>
      <c r="H173" s="90" t="n"/>
      <c r="I173" s="91" t="n"/>
      <c r="J173" s="92" t="n"/>
      <c r="K173" s="93" t="n"/>
      <c r="L173" s="92" t="n"/>
      <c r="M173" s="92" t="n"/>
      <c r="N173" s="88" t="n"/>
      <c r="O173" s="94" t="n"/>
      <c r="P173" s="92" t="n"/>
      <c r="Q173" s="92" t="n"/>
      <c r="R173" s="92" t="n"/>
      <c r="S173" s="92" t="n"/>
      <c r="T173" s="92" t="n"/>
      <c r="U173" s="92" t="n"/>
      <c r="V173" s="92" t="n"/>
      <c r="W173" s="88" t="n"/>
      <c r="X173" s="94" t="n"/>
    </row>
    <row r="174">
      <c r="A174" s="27" t="n"/>
      <c r="B174" s="30" t="n"/>
      <c r="C174" s="27" t="n"/>
      <c r="D174" s="27" t="n"/>
      <c r="E174" s="27" t="n"/>
      <c r="F174" s="27" t="n"/>
      <c r="G174" s="31" t="n"/>
      <c r="H174" s="32" t="n"/>
      <c r="I174" s="33" t="n"/>
      <c r="J174" s="28" t="n"/>
      <c r="K174" s="28" t="n"/>
      <c r="L174" s="29" t="n"/>
      <c r="M174" s="29" t="n"/>
      <c r="N174" s="27" t="n"/>
      <c r="O174" s="27" t="n"/>
      <c r="P174" s="29" t="n"/>
      <c r="Q174" s="26" t="n"/>
      <c r="R174" s="26" t="n"/>
      <c r="S174" s="26" t="n"/>
      <c r="T174" s="26" t="n"/>
      <c r="U174" s="26" t="n"/>
      <c r="V174" s="26" t="n"/>
      <c r="W174" s="27" t="n"/>
      <c r="X174" s="27" t="n"/>
    </row>
  </sheetData>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W463"/>
  <sheetViews>
    <sheetView workbookViewId="0">
      <pane ySplit="14" topLeftCell="A199" activePane="bottomLeft" state="frozen"/>
      <selection pane="bottomLeft" activeCell="F12" sqref="F12"/>
    </sheetView>
  </sheetViews>
  <sheetFormatPr baseColWidth="8" defaultRowHeight="15"/>
  <cols>
    <col width="29.28515625" bestFit="1" customWidth="1" style="180" min="1" max="1"/>
    <col width="18" customWidth="1" style="180" min="2" max="4"/>
    <col width="19" customWidth="1" style="180" min="5" max="5"/>
    <col width="18" customWidth="1" style="180" min="6" max="6"/>
    <col width="19" customWidth="1" style="180" min="7" max="7"/>
    <col width="17" customWidth="1" style="180" min="8" max="8"/>
    <col width="14" customWidth="1" style="180" min="9" max="9"/>
    <col width="9.7109375" customWidth="1" style="180" min="10" max="10"/>
    <col width="14" customWidth="1" style="180" min="11" max="11"/>
    <col width="13" customWidth="1" style="180" min="12" max="12"/>
    <col width="17.140625" customWidth="1" style="180" min="13" max="13"/>
    <col width="12" customWidth="1" style="180" min="14" max="14"/>
    <col width="9" customWidth="1" style="180" min="15" max="15"/>
    <col width="10.7109375" customWidth="1" style="180" min="16" max="17"/>
    <col width="11.5703125" customWidth="1" style="180" min="18" max="19"/>
    <col width="11.140625" customWidth="1" style="180" min="20" max="21"/>
    <col width="19" customWidth="1" style="180" min="22" max="22"/>
    <col width="12" customWidth="1" style="180" min="23" max="23"/>
  </cols>
  <sheetData>
    <row r="1" ht="18.75" customHeight="1" s="180">
      <c r="A1" s="164" t="inlineStr">
        <is>
          <t>MAHALANOBIS L1 + L2 — Smart Packaging Line</t>
        </is>
      </c>
    </row>
    <row r="2">
      <c r="A2" s="163" t="inlineStr">
        <is>
          <t>Mahalanobis, P.C. (1936). 'On the Generalised Distance in Statistics'. Proc. Natl. Inst. Sci. India, 2(1), 49-55.</t>
        </is>
      </c>
    </row>
    <row r="4">
      <c r="A4" s="165" t="inlineStr">
        <is>
          <t>PARÁMETROS DEL CLASIFICADOR</t>
        </is>
      </c>
    </row>
    <row r="5">
      <c r="A5" s="55" t="inlineStr">
        <is>
          <t>Parámetro</t>
        </is>
      </c>
      <c r="B5" s="55" t="inlineStr">
        <is>
          <t>Valor</t>
        </is>
      </c>
      <c r="C5" s="55" t="inlineStr">
        <is>
          <t>Descripción</t>
        </is>
      </c>
    </row>
    <row r="6">
      <c r="A6" t="inlineStr">
        <is>
          <t>n (calibración por componente)</t>
        </is>
      </c>
      <c r="B6" s="57" t="n">
        <v>30</v>
      </c>
      <c r="C6" t="inlineStr">
        <is>
          <t>De Components sheet (n_samples = 30)</t>
        </is>
      </c>
    </row>
    <row r="7">
      <c r="A7" t="inlineStr">
        <is>
          <t>P (variables)</t>
        </is>
      </c>
      <c r="B7" s="57" t="n">
        <v>1</v>
      </c>
      <c r="C7" t="inlineStr">
        <is>
          <t>Una sola variable: peso total del kit</t>
        </is>
      </c>
    </row>
    <row r="8">
      <c r="A8" t="inlineStr">
        <is>
          <t>α (significancia)</t>
        </is>
      </c>
      <c r="B8" s="57" t="n">
        <v>0.0027</v>
      </c>
      <c r="C8" t="inlineStr">
        <is>
          <t>Equivalente al 3-sigma del z-score original</t>
        </is>
      </c>
    </row>
    <row r="9">
      <c r="A9" t="inlineStr">
        <is>
          <t>Umbral F crítico (Hotelling)</t>
        </is>
      </c>
      <c r="B9" s="57">
        <f>_xlfn.F.INV(1-B8, B7, B6-B7-1)</f>
        <v/>
      </c>
      <c r="C9" t="inlineStr">
        <is>
          <t>Eq. 4.31 del paper: distribución exacta de D</t>
        </is>
      </c>
    </row>
    <row r="10">
      <c r="A10" t="inlineStr">
        <is>
          <t>Umbral D² (con corrección)</t>
        </is>
      </c>
      <c r="B10" s="57">
        <f>B7*(B6+1)/(B6-B7-1)*B9</f>
        <v/>
      </c>
      <c r="C10" t="inlineStr">
        <is>
          <t>T² Hotelling -&gt; D² crítico (P=1, n=30)</t>
        </is>
      </c>
    </row>
    <row r="11">
      <c r="A11" t="inlineStr">
        <is>
          <t>Umbral D (raíz cuadrada de B10)</t>
        </is>
      </c>
      <c r="B11" s="57">
        <f>SQRT(B10)</f>
        <v/>
      </c>
      <c r="C11" t="inlineStr">
        <is>
          <t>Comparable directamente con |z|</t>
        </is>
      </c>
    </row>
    <row r="12">
      <c r="A12" t="inlineStr">
        <is>
          <t>Sesgo (2P/n)</t>
        </is>
      </c>
      <c r="B12" s="57">
        <f>2*B7/B6</f>
        <v/>
      </c>
      <c r="C12" t="inlineStr">
        <is>
          <t>Eq. 4.11: E(D1²) = Δ² + 2P/n</t>
        </is>
      </c>
    </row>
    <row r="14" ht="30" customHeight="1" s="180" thickBot="1">
      <c r="A14" s="105" t="inlineStr">
        <is>
          <t>run_id</t>
        </is>
      </c>
      <c r="B14" s="106" t="inlineStr">
        <is>
          <t>execution_order</t>
        </is>
      </c>
      <c r="C14" s="106" t="inlineStr">
        <is>
          <t>recipe</t>
        </is>
      </c>
      <c r="D14" s="106" t="inlineStr">
        <is>
          <t>condition</t>
        </is>
      </c>
      <c r="E14" s="106" t="inlineStr">
        <is>
          <t>missing_component</t>
        </is>
      </c>
      <c r="F14" s="106" t="inlineStr">
        <is>
          <t>kit_id</t>
        </is>
      </c>
      <c r="G14" s="106" t="inlineStr">
        <is>
          <t>measured_weight_g</t>
        </is>
      </c>
      <c r="H14" s="106" t="inlineStr">
        <is>
          <t>expected_weight</t>
        </is>
      </c>
      <c r="I14" s="106" t="inlineStr">
        <is>
          <t>expected_std</t>
        </is>
      </c>
      <c r="J14" s="106" t="inlineStr">
        <is>
          <t>D1²_raw</t>
        </is>
      </c>
      <c r="K14" s="106" t="inlineStr">
        <is>
          <t>D²_corregido</t>
        </is>
      </c>
      <c r="L14" s="106" t="inlineStr">
        <is>
          <t>D_corregido</t>
        </is>
      </c>
      <c r="M14" s="106" t="inlineStr">
        <is>
          <t>predicted_OK_NG</t>
        </is>
      </c>
      <c r="N14" s="106" t="inlineStr">
        <is>
          <t>L1_correct</t>
        </is>
      </c>
      <c r="O14" s="106" t="inlineStr">
        <is>
          <t>deficit</t>
        </is>
      </c>
      <c r="P14" s="106" t="inlineStr">
        <is>
          <t>match_S1</t>
        </is>
      </c>
      <c r="Q14" s="106" t="inlineStr">
        <is>
          <t>match_S2</t>
        </is>
      </c>
      <c r="R14" s="106" t="inlineStr">
        <is>
          <t>match_W1</t>
        </is>
      </c>
      <c r="S14" s="106" t="inlineStr">
        <is>
          <t>match_W2</t>
        </is>
      </c>
      <c r="T14" s="106" t="inlineStr">
        <is>
          <t>match_N1</t>
        </is>
      </c>
      <c r="U14" s="106" t="inlineStr">
        <is>
          <t>match_N2</t>
        </is>
      </c>
      <c r="V14" s="106" t="inlineStr">
        <is>
          <t>predicted_missing</t>
        </is>
      </c>
      <c r="W14" s="107" t="inlineStr">
        <is>
          <t>L2_correct</t>
        </is>
      </c>
    </row>
    <row r="15">
      <c r="A15" s="102">
        <f>'Runs Z score'!A3</f>
        <v/>
      </c>
      <c r="B15" s="98">
        <f>'Runs Z score'!B3</f>
        <v/>
      </c>
      <c r="C15" s="98">
        <f>'Runs Z score'!C3</f>
        <v/>
      </c>
      <c r="D15" s="98">
        <f>'Runs Z score'!D3</f>
        <v/>
      </c>
      <c r="E15" s="98">
        <f>'Runs Z score'!E3</f>
        <v/>
      </c>
      <c r="F15" s="98">
        <f>'Runs Z score'!F3</f>
        <v/>
      </c>
      <c r="G15" s="99">
        <f>'Runs Z score'!G3</f>
        <v/>
      </c>
      <c r="H15" s="100">
        <f>VLOOKUP(C15,Recipes!$A$2:$N$4,10,FALSE())</f>
        <v/>
      </c>
      <c r="I15" s="101">
        <f>VLOOKUP(C15,Recipes!$A$2:$N$4,12,FALSE())</f>
        <v/>
      </c>
      <c r="J15" s="101">
        <f>IF(G15="","",((G15-H15)/I15)^2)</f>
        <v/>
      </c>
      <c r="K15" s="101">
        <f>IF(G15="","",MAX(0, J15-$B$12))</f>
        <v/>
      </c>
      <c r="L15" s="100">
        <f>IF(G15="","",SQRT(K15))</f>
        <v/>
      </c>
      <c r="M15" s="98">
        <f>IF(G15="","",IF(K15&lt;=$B$10,"OK","NG"))</f>
        <v/>
      </c>
      <c r="N15" s="69">
        <f>IF(M15="","",IF(M15=D15,1,0))</f>
        <v/>
      </c>
      <c r="O15" s="100">
        <f>IF(G15="","",H15-G15)</f>
        <v/>
      </c>
      <c r="P15" s="100">
        <f>IF(G15="","",ABS(O15-Components!$D$2))</f>
        <v/>
      </c>
      <c r="Q15" s="100">
        <f>IF(G15="","",ABS(O15-Components!$D$3))</f>
        <v/>
      </c>
      <c r="R15" s="100">
        <f>IF(G15="","",ABS(O15-Components!$D$4))</f>
        <v/>
      </c>
      <c r="S15" s="100">
        <f>IF(G15="","",ABS(O15-Components!$D$5))</f>
        <v/>
      </c>
      <c r="T15" s="100">
        <f>IF(G15="","",ABS(O15-Components!$D$6))</f>
        <v/>
      </c>
      <c r="U15" s="100">
        <f>IF(G15="","",ABS(O15-Components!$D$7))</f>
        <v/>
      </c>
      <c r="V15" s="98">
        <f>IF(G15="","",IF(M15="OK","NONE",INDEX({"S1","S2","W1","W2","N1","N2"},MATCH(MIN(P15:U15),P15:U15,0))))</f>
        <v/>
      </c>
      <c r="W15" s="103">
        <f>IF(G15="","",IF(V15=E15,1,0))</f>
        <v/>
      </c>
    </row>
    <row r="16">
      <c r="A16" s="102">
        <f>'Runs Z score'!A4</f>
        <v/>
      </c>
      <c r="B16" s="98">
        <f>'Runs Z score'!B4</f>
        <v/>
      </c>
      <c r="C16" s="98">
        <f>'Runs Z score'!C4</f>
        <v/>
      </c>
      <c r="D16" s="98">
        <f>'Runs Z score'!D4</f>
        <v/>
      </c>
      <c r="E16" s="98">
        <f>'Runs Z score'!E4</f>
        <v/>
      </c>
      <c r="F16" s="98">
        <f>'Runs Z score'!F4</f>
        <v/>
      </c>
      <c r="G16" s="99">
        <f>'Runs Z score'!G4</f>
        <v/>
      </c>
      <c r="H16" s="100">
        <f>VLOOKUP(C16,Recipes!$A$2:$N$4,10,FALSE())</f>
        <v/>
      </c>
      <c r="I16" s="101">
        <f>VLOOKUP(C16,Recipes!$A$2:$N$4,12,FALSE())</f>
        <v/>
      </c>
      <c r="J16" s="101">
        <f>IF(G16="","",((G16-H16)/I16)^2)</f>
        <v/>
      </c>
      <c r="K16" s="101">
        <f>IF(G16="","",MAX(0, J16-$B$12))</f>
        <v/>
      </c>
      <c r="L16" s="100">
        <f>IF(G16="","",SQRT(K16))</f>
        <v/>
      </c>
      <c r="M16" s="98">
        <f>IF(G16="","",IF(K16&lt;=$B$10,"OK","NG"))</f>
        <v/>
      </c>
      <c r="N16" s="69">
        <f>IF(M16="","",IF(M16=D16,1,0))</f>
        <v/>
      </c>
      <c r="O16" s="100">
        <f>IF(G16="","",H16-G16)</f>
        <v/>
      </c>
      <c r="P16" s="100">
        <f>IF(G16="","",ABS(O16-Components!$D$2))</f>
        <v/>
      </c>
      <c r="Q16" s="100">
        <f>IF(G16="","",ABS(O16-Components!$D$3))</f>
        <v/>
      </c>
      <c r="R16" s="100">
        <f>IF(G16="","",ABS(O16-Components!$D$4))</f>
        <v/>
      </c>
      <c r="S16" s="100">
        <f>IF(G16="","",ABS(O16-Components!$D$5))</f>
        <v/>
      </c>
      <c r="T16" s="100">
        <f>IF(G16="","",ABS(O16-Components!$D$6))</f>
        <v/>
      </c>
      <c r="U16" s="100">
        <f>IF(G16="","",ABS(O16-Components!$D$7))</f>
        <v/>
      </c>
      <c r="V16" s="98">
        <f>IF(G16="","",IF(M16="OK","NONE",INDEX({"S1","S2","W1","W2","N1","N2"},MATCH(MIN(P16:U16),P16:U16,0))))</f>
        <v/>
      </c>
      <c r="W16" s="103">
        <f>IF(G16="","",IF(V16=E16,1,0))</f>
        <v/>
      </c>
    </row>
    <row r="17">
      <c r="A17" s="102">
        <f>'Runs Z score'!A5</f>
        <v/>
      </c>
      <c r="B17" s="98">
        <f>'Runs Z score'!B5</f>
        <v/>
      </c>
      <c r="C17" s="98">
        <f>'Runs Z score'!C5</f>
        <v/>
      </c>
      <c r="D17" s="98">
        <f>'Runs Z score'!D5</f>
        <v/>
      </c>
      <c r="E17" s="98">
        <f>'Runs Z score'!E5</f>
        <v/>
      </c>
      <c r="F17" s="98">
        <f>'Runs Z score'!F5</f>
        <v/>
      </c>
      <c r="G17" s="99">
        <f>'Runs Z score'!G5</f>
        <v/>
      </c>
      <c r="H17" s="100">
        <f>VLOOKUP(C17,Recipes!$A$2:$N$4,10,FALSE())</f>
        <v/>
      </c>
      <c r="I17" s="101">
        <f>VLOOKUP(C17,Recipes!$A$2:$N$4,12,FALSE())</f>
        <v/>
      </c>
      <c r="J17" s="101">
        <f>IF(G17="","",((G17-H17)/I17)^2)</f>
        <v/>
      </c>
      <c r="K17" s="101">
        <f>IF(G17="","",MAX(0, J17-$B$12))</f>
        <v/>
      </c>
      <c r="L17" s="100">
        <f>IF(G17="","",SQRT(K17))</f>
        <v/>
      </c>
      <c r="M17" s="98">
        <f>IF(G17="","",IF(K17&lt;=$B$10,"OK","NG"))</f>
        <v/>
      </c>
      <c r="N17" s="69">
        <f>IF(M17="","",IF(M17=D17,1,0))</f>
        <v/>
      </c>
      <c r="O17" s="100">
        <f>IF(G17="","",H17-G17)</f>
        <v/>
      </c>
      <c r="P17" s="100">
        <f>IF(G17="","",ABS(O17-Components!$D$2))</f>
        <v/>
      </c>
      <c r="Q17" s="100">
        <f>IF(G17="","",ABS(O17-Components!$D$3))</f>
        <v/>
      </c>
      <c r="R17" s="100">
        <f>IF(G17="","",ABS(O17-Components!$D$4))</f>
        <v/>
      </c>
      <c r="S17" s="100">
        <f>IF(G17="","",ABS(O17-Components!$D$5))</f>
        <v/>
      </c>
      <c r="T17" s="100">
        <f>IF(G17="","",ABS(O17-Components!$D$6))</f>
        <v/>
      </c>
      <c r="U17" s="100">
        <f>IF(G17="","",ABS(O17-Components!$D$7))</f>
        <v/>
      </c>
      <c r="V17" s="98">
        <f>IF(G17="","",IF(M17="OK","NONE",INDEX({"S1","S2","W1","W2","N1","N2"},MATCH(MIN(P17:U17),P17:U17,0))))</f>
        <v/>
      </c>
      <c r="W17" s="103">
        <f>IF(G17="","",IF(V17=E17,1,0))</f>
        <v/>
      </c>
    </row>
    <row r="18">
      <c r="A18" s="102">
        <f>'Runs Z score'!A6</f>
        <v/>
      </c>
      <c r="B18" s="98">
        <f>'Runs Z score'!B6</f>
        <v/>
      </c>
      <c r="C18" s="98">
        <f>'Runs Z score'!C6</f>
        <v/>
      </c>
      <c r="D18" s="98">
        <f>'Runs Z score'!D6</f>
        <v/>
      </c>
      <c r="E18" s="98">
        <f>'Runs Z score'!E6</f>
        <v/>
      </c>
      <c r="F18" s="98">
        <f>'Runs Z score'!F6</f>
        <v/>
      </c>
      <c r="G18" s="99">
        <f>'Runs Z score'!G6</f>
        <v/>
      </c>
      <c r="H18" s="100">
        <f>VLOOKUP(C18,Recipes!$A$2:$N$4,10,FALSE())</f>
        <v/>
      </c>
      <c r="I18" s="101">
        <f>VLOOKUP(C18,Recipes!$A$2:$N$4,12,FALSE())</f>
        <v/>
      </c>
      <c r="J18" s="101">
        <f>IF(G18="","",((G18-H18)/I18)^2)</f>
        <v/>
      </c>
      <c r="K18" s="101">
        <f>IF(G18="","",MAX(0, J18-$B$12))</f>
        <v/>
      </c>
      <c r="L18" s="100">
        <f>IF(G18="","",SQRT(K18))</f>
        <v/>
      </c>
      <c r="M18" s="98">
        <f>IF(G18="","",IF(K18&lt;=$B$10,"OK","NG"))</f>
        <v/>
      </c>
      <c r="N18" s="69">
        <f>IF(M18="","",IF(M18=D18,1,0))</f>
        <v/>
      </c>
      <c r="O18" s="100">
        <f>IF(G18="","",H18-G18)</f>
        <v/>
      </c>
      <c r="P18" s="100">
        <f>IF(G18="","",ABS(O18-Components!$D$2))</f>
        <v/>
      </c>
      <c r="Q18" s="100">
        <f>IF(G18="","",ABS(O18-Components!$D$3))</f>
        <v/>
      </c>
      <c r="R18" s="100">
        <f>IF(G18="","",ABS(O18-Components!$D$4))</f>
        <v/>
      </c>
      <c r="S18" s="100">
        <f>IF(G18="","",ABS(O18-Components!$D$5))</f>
        <v/>
      </c>
      <c r="T18" s="100">
        <f>IF(G18="","",ABS(O18-Components!$D$6))</f>
        <v/>
      </c>
      <c r="U18" s="100">
        <f>IF(G18="","",ABS(O18-Components!$D$7))</f>
        <v/>
      </c>
      <c r="V18" s="98">
        <f>IF(G18="","",IF(M18="OK","NONE",INDEX({"S1","S2","W1","W2","N1","N2"},MATCH(MIN(P18:U18),P18:U18,0))))</f>
        <v/>
      </c>
      <c r="W18" s="103">
        <f>IF(G18="","",IF(V18=E18,1,0))</f>
        <v/>
      </c>
    </row>
    <row r="19">
      <c r="A19" s="102">
        <f>'Runs Z score'!A7</f>
        <v/>
      </c>
      <c r="B19" s="98">
        <f>'Runs Z score'!B7</f>
        <v/>
      </c>
      <c r="C19" s="98">
        <f>'Runs Z score'!C7</f>
        <v/>
      </c>
      <c r="D19" s="98">
        <f>'Runs Z score'!D7</f>
        <v/>
      </c>
      <c r="E19" s="98">
        <f>'Runs Z score'!E7</f>
        <v/>
      </c>
      <c r="F19" s="98">
        <f>'Runs Z score'!F7</f>
        <v/>
      </c>
      <c r="G19" s="99">
        <f>'Runs Z score'!G7</f>
        <v/>
      </c>
      <c r="H19" s="100">
        <f>VLOOKUP(C19,Recipes!$A$2:$N$4,10,FALSE())</f>
        <v/>
      </c>
      <c r="I19" s="101">
        <f>VLOOKUP(C19,Recipes!$A$2:$N$4,12,FALSE())</f>
        <v/>
      </c>
      <c r="J19" s="101">
        <f>IF(G19="","",((G19-H19)/I19)^2)</f>
        <v/>
      </c>
      <c r="K19" s="101">
        <f>IF(G19="","",MAX(0, J19-$B$12))</f>
        <v/>
      </c>
      <c r="L19" s="100">
        <f>IF(G19="","",SQRT(K19))</f>
        <v/>
      </c>
      <c r="M19" s="98">
        <f>IF(G19="","",IF(K19&lt;=$B$10,"OK","NG"))</f>
        <v/>
      </c>
      <c r="N19" s="69">
        <f>IF(M19="","",IF(M19=D19,1,0))</f>
        <v/>
      </c>
      <c r="O19" s="100">
        <f>IF(G19="","",H19-G19)</f>
        <v/>
      </c>
      <c r="P19" s="100">
        <f>IF(G19="","",ABS(O19-Components!$D$2))</f>
        <v/>
      </c>
      <c r="Q19" s="100">
        <f>IF(G19="","",ABS(O19-Components!$D$3))</f>
        <v/>
      </c>
      <c r="R19" s="100">
        <f>IF(G19="","",ABS(O19-Components!$D$4))</f>
        <v/>
      </c>
      <c r="S19" s="100">
        <f>IF(G19="","",ABS(O19-Components!$D$5))</f>
        <v/>
      </c>
      <c r="T19" s="100">
        <f>IF(G19="","",ABS(O19-Components!$D$6))</f>
        <v/>
      </c>
      <c r="U19" s="100">
        <f>IF(G19="","",ABS(O19-Components!$D$7))</f>
        <v/>
      </c>
      <c r="V19" s="98">
        <f>IF(G19="","",IF(M19="OK","NONE",INDEX({"S1","S2","W1","W2","N1","N2"},MATCH(MIN(P19:U19),P19:U19,0))))</f>
        <v/>
      </c>
      <c r="W19" s="103">
        <f>IF(G19="","",IF(V19=E19,1,0))</f>
        <v/>
      </c>
    </row>
    <row r="20">
      <c r="A20" s="102">
        <f>'Runs Z score'!A8</f>
        <v/>
      </c>
      <c r="B20" s="98">
        <f>'Runs Z score'!B8</f>
        <v/>
      </c>
      <c r="C20" s="98">
        <f>'Runs Z score'!C8</f>
        <v/>
      </c>
      <c r="D20" s="98">
        <f>'Runs Z score'!D8</f>
        <v/>
      </c>
      <c r="E20" s="98">
        <f>'Runs Z score'!E8</f>
        <v/>
      </c>
      <c r="F20" s="98">
        <f>'Runs Z score'!F8</f>
        <v/>
      </c>
      <c r="G20" s="99">
        <f>'Runs Z score'!G8</f>
        <v/>
      </c>
      <c r="H20" s="100">
        <f>VLOOKUP(C20,Recipes!$A$2:$N$4,10,FALSE())</f>
        <v/>
      </c>
      <c r="I20" s="101">
        <f>VLOOKUP(C20,Recipes!$A$2:$N$4,12,FALSE())</f>
        <v/>
      </c>
      <c r="J20" s="101">
        <f>IF(G20="","",((G20-H20)/I20)^2)</f>
        <v/>
      </c>
      <c r="K20" s="101">
        <f>IF(G20="","",MAX(0, J20-$B$12))</f>
        <v/>
      </c>
      <c r="L20" s="100">
        <f>IF(G20="","",SQRT(K20))</f>
        <v/>
      </c>
      <c r="M20" s="98">
        <f>IF(G20="","",IF(K20&lt;=$B$10,"OK","NG"))</f>
        <v/>
      </c>
      <c r="N20" s="69">
        <f>IF(M20="","",IF(M20=D20,1,0))</f>
        <v/>
      </c>
      <c r="O20" s="100">
        <f>IF(G20="","",H20-G20)</f>
        <v/>
      </c>
      <c r="P20" s="100">
        <f>IF(G20="","",ABS(O20-Components!$D$2))</f>
        <v/>
      </c>
      <c r="Q20" s="100">
        <f>IF(G20="","",ABS(O20-Components!$D$3))</f>
        <v/>
      </c>
      <c r="R20" s="100">
        <f>IF(G20="","",ABS(O20-Components!$D$4))</f>
        <v/>
      </c>
      <c r="S20" s="100">
        <f>IF(G20="","",ABS(O20-Components!$D$5))</f>
        <v/>
      </c>
      <c r="T20" s="100">
        <f>IF(G20="","",ABS(O20-Components!$D$6))</f>
        <v/>
      </c>
      <c r="U20" s="100">
        <f>IF(G20="","",ABS(O20-Components!$D$7))</f>
        <v/>
      </c>
      <c r="V20" s="98">
        <f>IF(G20="","",IF(M20="OK","NONE",INDEX({"S1","S2","W1","W2","N1","N2"},MATCH(MIN(P20:U20),P20:U20,0))))</f>
        <v/>
      </c>
      <c r="W20" s="103">
        <f>IF(G20="","",IF(V20=E20,1,0))</f>
        <v/>
      </c>
    </row>
    <row r="21">
      <c r="A21" s="102">
        <f>'Runs Z score'!A9</f>
        <v/>
      </c>
      <c r="B21" s="98">
        <f>'Runs Z score'!B9</f>
        <v/>
      </c>
      <c r="C21" s="98">
        <f>'Runs Z score'!C9</f>
        <v/>
      </c>
      <c r="D21" s="98">
        <f>'Runs Z score'!D9</f>
        <v/>
      </c>
      <c r="E21" s="98">
        <f>'Runs Z score'!E9</f>
        <v/>
      </c>
      <c r="F21" s="98">
        <f>'Runs Z score'!F9</f>
        <v/>
      </c>
      <c r="G21" s="99">
        <f>'Runs Z score'!G9</f>
        <v/>
      </c>
      <c r="H21" s="100">
        <f>VLOOKUP(C21,Recipes!$A$2:$N$4,10,FALSE())</f>
        <v/>
      </c>
      <c r="I21" s="101">
        <f>VLOOKUP(C21,Recipes!$A$2:$N$4,12,FALSE())</f>
        <v/>
      </c>
      <c r="J21" s="101">
        <f>IF(G21="","",((G21-H21)/I21)^2)</f>
        <v/>
      </c>
      <c r="K21" s="101">
        <f>IF(G21="","",MAX(0, J21-$B$12))</f>
        <v/>
      </c>
      <c r="L21" s="100">
        <f>IF(G21="","",SQRT(K21))</f>
        <v/>
      </c>
      <c r="M21" s="98">
        <f>IF(G21="","",IF(K21&lt;=$B$10,"OK","NG"))</f>
        <v/>
      </c>
      <c r="N21" s="69">
        <f>IF(M21="","",IF(M21=D21,1,0))</f>
        <v/>
      </c>
      <c r="O21" s="100">
        <f>IF(G21="","",H21-G21)</f>
        <v/>
      </c>
      <c r="P21" s="100">
        <f>IF(G21="","",ABS(O21-Components!$D$2))</f>
        <v/>
      </c>
      <c r="Q21" s="100">
        <f>IF(G21="","",ABS(O21-Components!$D$3))</f>
        <v/>
      </c>
      <c r="R21" s="100">
        <f>IF(G21="","",ABS(O21-Components!$D$4))</f>
        <v/>
      </c>
      <c r="S21" s="100">
        <f>IF(G21="","",ABS(O21-Components!$D$5))</f>
        <v/>
      </c>
      <c r="T21" s="100">
        <f>IF(G21="","",ABS(O21-Components!$D$6))</f>
        <v/>
      </c>
      <c r="U21" s="100">
        <f>IF(G21="","",ABS(O21-Components!$D$7))</f>
        <v/>
      </c>
      <c r="V21" s="98">
        <f>IF(G21="","",IF(M21="OK","NONE",INDEX({"S1","S2","W1","W2","N1","N2"},MATCH(MIN(P21:U21),P21:U21,0))))</f>
        <v/>
      </c>
      <c r="W21" s="103">
        <f>IF(G21="","",IF(V21=E21,1,0))</f>
        <v/>
      </c>
    </row>
    <row r="22">
      <c r="A22" s="102">
        <f>'Runs Z score'!A10</f>
        <v/>
      </c>
      <c r="B22" s="98">
        <f>'Runs Z score'!B10</f>
        <v/>
      </c>
      <c r="C22" s="98">
        <f>'Runs Z score'!C10</f>
        <v/>
      </c>
      <c r="D22" s="98">
        <f>'Runs Z score'!D10</f>
        <v/>
      </c>
      <c r="E22" s="98">
        <f>'Runs Z score'!E10</f>
        <v/>
      </c>
      <c r="F22" s="98">
        <f>'Runs Z score'!F10</f>
        <v/>
      </c>
      <c r="G22" s="99">
        <f>'Runs Z score'!G10</f>
        <v/>
      </c>
      <c r="H22" s="100">
        <f>VLOOKUP(C22,Recipes!$A$2:$N$4,10,FALSE())</f>
        <v/>
      </c>
      <c r="I22" s="101">
        <f>VLOOKUP(C22,Recipes!$A$2:$N$4,12,FALSE())</f>
        <v/>
      </c>
      <c r="J22" s="101">
        <f>IF(G22="","",((G22-H22)/I22)^2)</f>
        <v/>
      </c>
      <c r="K22" s="101">
        <f>IF(G22="","",MAX(0, J22-$B$12))</f>
        <v/>
      </c>
      <c r="L22" s="100">
        <f>IF(G22="","",SQRT(K22))</f>
        <v/>
      </c>
      <c r="M22" s="98">
        <f>IF(G22="","",IF(K22&lt;=$B$10,"OK","NG"))</f>
        <v/>
      </c>
      <c r="N22" s="69">
        <f>IF(M22="","",IF(M22=D22,1,0))</f>
        <v/>
      </c>
      <c r="O22" s="100">
        <f>IF(G22="","",H22-G22)</f>
        <v/>
      </c>
      <c r="P22" s="100">
        <f>IF(G22="","",ABS(O22-Components!$D$2))</f>
        <v/>
      </c>
      <c r="Q22" s="100">
        <f>IF(G22="","",ABS(O22-Components!$D$3))</f>
        <v/>
      </c>
      <c r="R22" s="100">
        <f>IF(G22="","",ABS(O22-Components!$D$4))</f>
        <v/>
      </c>
      <c r="S22" s="100">
        <f>IF(G22="","",ABS(O22-Components!$D$5))</f>
        <v/>
      </c>
      <c r="T22" s="100">
        <f>IF(G22="","",ABS(O22-Components!$D$6))</f>
        <v/>
      </c>
      <c r="U22" s="100">
        <f>IF(G22="","",ABS(O22-Components!$D$7))</f>
        <v/>
      </c>
      <c r="V22" s="98">
        <f>IF(G22="","",IF(M22="OK","NONE",INDEX({"S1","S2","W1","W2","N1","N2"},MATCH(MIN(P22:U22),P22:U22,0))))</f>
        <v/>
      </c>
      <c r="W22" s="103">
        <f>IF(G22="","",IF(V22=E22,1,0))</f>
        <v/>
      </c>
    </row>
    <row r="23">
      <c r="A23" s="102">
        <f>'Runs Z score'!A11</f>
        <v/>
      </c>
      <c r="B23" s="98">
        <f>'Runs Z score'!B11</f>
        <v/>
      </c>
      <c r="C23" s="98">
        <f>'Runs Z score'!C11</f>
        <v/>
      </c>
      <c r="D23" s="98">
        <f>'Runs Z score'!D11</f>
        <v/>
      </c>
      <c r="E23" s="98">
        <f>'Runs Z score'!E11</f>
        <v/>
      </c>
      <c r="F23" s="98">
        <f>'Runs Z score'!F11</f>
        <v/>
      </c>
      <c r="G23" s="99">
        <f>'Runs Z score'!G11</f>
        <v/>
      </c>
      <c r="H23" s="100">
        <f>VLOOKUP(C23,Recipes!$A$2:$N$4,10,FALSE())</f>
        <v/>
      </c>
      <c r="I23" s="101">
        <f>VLOOKUP(C23,Recipes!$A$2:$N$4,12,FALSE())</f>
        <v/>
      </c>
      <c r="J23" s="101">
        <f>IF(G23="","",((G23-H23)/I23)^2)</f>
        <v/>
      </c>
      <c r="K23" s="101">
        <f>IF(G23="","",MAX(0, J23-$B$12))</f>
        <v/>
      </c>
      <c r="L23" s="100">
        <f>IF(G23="","",SQRT(K23))</f>
        <v/>
      </c>
      <c r="M23" s="98">
        <f>IF(G23="","",IF(K23&lt;=$B$10,"OK","NG"))</f>
        <v/>
      </c>
      <c r="N23" s="69">
        <f>IF(M23="","",IF(M23=D23,1,0))</f>
        <v/>
      </c>
      <c r="O23" s="100">
        <f>IF(G23="","",H23-G23)</f>
        <v/>
      </c>
      <c r="P23" s="100">
        <f>IF(G23="","",ABS(O23-Components!$D$2))</f>
        <v/>
      </c>
      <c r="Q23" s="100">
        <f>IF(G23="","",ABS(O23-Components!$D$3))</f>
        <v/>
      </c>
      <c r="R23" s="100">
        <f>IF(G23="","",ABS(O23-Components!$D$4))</f>
        <v/>
      </c>
      <c r="S23" s="100">
        <f>IF(G23="","",ABS(O23-Components!$D$5))</f>
        <v/>
      </c>
      <c r="T23" s="100">
        <f>IF(G23="","",ABS(O23-Components!$D$6))</f>
        <v/>
      </c>
      <c r="U23" s="100">
        <f>IF(G23="","",ABS(O23-Components!$D$7))</f>
        <v/>
      </c>
      <c r="V23" s="98">
        <f>IF(G23="","",IF(M23="OK","NONE",INDEX({"S1","S2","W1","W2","N1","N2"},MATCH(MIN(P23:U23),P23:U23,0))))</f>
        <v/>
      </c>
      <c r="W23" s="103">
        <f>IF(G23="","",IF(V23=E23,1,0))</f>
        <v/>
      </c>
    </row>
    <row r="24">
      <c r="A24" s="102">
        <f>'Runs Z score'!A12</f>
        <v/>
      </c>
      <c r="B24" s="98">
        <f>'Runs Z score'!B12</f>
        <v/>
      </c>
      <c r="C24" s="98">
        <f>'Runs Z score'!C12</f>
        <v/>
      </c>
      <c r="D24" s="98">
        <f>'Runs Z score'!D12</f>
        <v/>
      </c>
      <c r="E24" s="98">
        <f>'Runs Z score'!E12</f>
        <v/>
      </c>
      <c r="F24" s="98">
        <f>'Runs Z score'!F12</f>
        <v/>
      </c>
      <c r="G24" s="99">
        <f>'Runs Z score'!G12</f>
        <v/>
      </c>
      <c r="H24" s="100">
        <f>VLOOKUP(C24,Recipes!$A$2:$N$4,10,FALSE())</f>
        <v/>
      </c>
      <c r="I24" s="101">
        <f>VLOOKUP(C24,Recipes!$A$2:$N$4,12,FALSE())</f>
        <v/>
      </c>
      <c r="J24" s="101">
        <f>IF(G24="","",((G24-H24)/I24)^2)</f>
        <v/>
      </c>
      <c r="K24" s="101">
        <f>IF(G24="","",MAX(0, J24-$B$12))</f>
        <v/>
      </c>
      <c r="L24" s="100">
        <f>IF(G24="","",SQRT(K24))</f>
        <v/>
      </c>
      <c r="M24" s="98">
        <f>IF(G24="","",IF(K24&lt;=$B$10,"OK","NG"))</f>
        <v/>
      </c>
      <c r="N24" s="69">
        <f>IF(M24="","",IF(M24=D24,1,0))</f>
        <v/>
      </c>
      <c r="O24" s="100">
        <f>IF(G24="","",H24-G24)</f>
        <v/>
      </c>
      <c r="P24" s="100">
        <f>IF(G24="","",ABS(O24-Components!$D$2))</f>
        <v/>
      </c>
      <c r="Q24" s="100">
        <f>IF(G24="","",ABS(O24-Components!$D$3))</f>
        <v/>
      </c>
      <c r="R24" s="100">
        <f>IF(G24="","",ABS(O24-Components!$D$4))</f>
        <v/>
      </c>
      <c r="S24" s="100">
        <f>IF(G24="","",ABS(O24-Components!$D$5))</f>
        <v/>
      </c>
      <c r="T24" s="100">
        <f>IF(G24="","",ABS(O24-Components!$D$6))</f>
        <v/>
      </c>
      <c r="U24" s="100">
        <f>IF(G24="","",ABS(O24-Components!$D$7))</f>
        <v/>
      </c>
      <c r="V24" s="98">
        <f>IF(G24="","",IF(M24="OK","NONE",INDEX({"S1","S2","W1","W2","N1","N2"},MATCH(MIN(P24:U24),P24:U24,0))))</f>
        <v/>
      </c>
      <c r="W24" s="103">
        <f>IF(G24="","",IF(V24=E24,1,0))</f>
        <v/>
      </c>
    </row>
    <row r="25">
      <c r="A25" s="102">
        <f>'Runs Z score'!A13</f>
        <v/>
      </c>
      <c r="B25" s="98">
        <f>'Runs Z score'!B13</f>
        <v/>
      </c>
      <c r="C25" s="98">
        <f>'Runs Z score'!C13</f>
        <v/>
      </c>
      <c r="D25" s="98">
        <f>'Runs Z score'!D13</f>
        <v/>
      </c>
      <c r="E25" s="98">
        <f>'Runs Z score'!E13</f>
        <v/>
      </c>
      <c r="F25" s="98">
        <f>'Runs Z score'!F13</f>
        <v/>
      </c>
      <c r="G25" s="99">
        <f>'Runs Z score'!G13</f>
        <v/>
      </c>
      <c r="H25" s="100">
        <f>VLOOKUP(C25,Recipes!$A$2:$N$4,10,FALSE())</f>
        <v/>
      </c>
      <c r="I25" s="101">
        <f>VLOOKUP(C25,Recipes!$A$2:$N$4,12,FALSE())</f>
        <v/>
      </c>
      <c r="J25" s="101">
        <f>IF(G25="","",((G25-H25)/I25)^2)</f>
        <v/>
      </c>
      <c r="K25" s="101">
        <f>IF(G25="","",MAX(0, J25-$B$12))</f>
        <v/>
      </c>
      <c r="L25" s="100">
        <f>IF(G25="","",SQRT(K25))</f>
        <v/>
      </c>
      <c r="M25" s="98">
        <f>IF(G25="","",IF(K25&lt;=$B$10,"OK","NG"))</f>
        <v/>
      </c>
      <c r="N25" s="69">
        <f>IF(M25="","",IF(M25=D25,1,0))</f>
        <v/>
      </c>
      <c r="O25" s="100">
        <f>IF(G25="","",H25-G25)</f>
        <v/>
      </c>
      <c r="P25" s="100">
        <f>IF(G25="","",ABS(O25-Components!$D$2))</f>
        <v/>
      </c>
      <c r="Q25" s="100">
        <f>IF(G25="","",ABS(O25-Components!$D$3))</f>
        <v/>
      </c>
      <c r="R25" s="100">
        <f>IF(G25="","",ABS(O25-Components!$D$4))</f>
        <v/>
      </c>
      <c r="S25" s="100">
        <f>IF(G25="","",ABS(O25-Components!$D$5))</f>
        <v/>
      </c>
      <c r="T25" s="100">
        <f>IF(G25="","",ABS(O25-Components!$D$6))</f>
        <v/>
      </c>
      <c r="U25" s="100">
        <f>IF(G25="","",ABS(O25-Components!$D$7))</f>
        <v/>
      </c>
      <c r="V25" s="98">
        <f>IF(G25="","",IF(M25="OK","NONE",INDEX({"S1","S2","W1","W2","N1","N2"},MATCH(MIN(P25:U25),P25:U25,0))))</f>
        <v/>
      </c>
      <c r="W25" s="103">
        <f>IF(G25="","",IF(V25=E25,1,0))</f>
        <v/>
      </c>
    </row>
    <row r="26">
      <c r="A26" s="102">
        <f>'Runs Z score'!A14</f>
        <v/>
      </c>
      <c r="B26" s="98">
        <f>'Runs Z score'!B14</f>
        <v/>
      </c>
      <c r="C26" s="98">
        <f>'Runs Z score'!C14</f>
        <v/>
      </c>
      <c r="D26" s="98">
        <f>'Runs Z score'!D14</f>
        <v/>
      </c>
      <c r="E26" s="98">
        <f>'Runs Z score'!E14</f>
        <v/>
      </c>
      <c r="F26" s="98">
        <f>'Runs Z score'!F14</f>
        <v/>
      </c>
      <c r="G26" s="99">
        <f>'Runs Z score'!G14</f>
        <v/>
      </c>
      <c r="H26" s="100">
        <f>VLOOKUP(C26,Recipes!$A$2:$N$4,10,FALSE())</f>
        <v/>
      </c>
      <c r="I26" s="101">
        <f>VLOOKUP(C26,Recipes!$A$2:$N$4,12,FALSE())</f>
        <v/>
      </c>
      <c r="J26" s="101">
        <f>IF(G26="","",((G26-H26)/I26)^2)</f>
        <v/>
      </c>
      <c r="K26" s="101">
        <f>IF(G26="","",MAX(0, J26-$B$12))</f>
        <v/>
      </c>
      <c r="L26" s="100">
        <f>IF(G26="","",SQRT(K26))</f>
        <v/>
      </c>
      <c r="M26" s="98">
        <f>IF(G26="","",IF(K26&lt;=$B$10,"OK","NG"))</f>
        <v/>
      </c>
      <c r="N26" s="69">
        <f>IF(M26="","",IF(M26=D26,1,0))</f>
        <v/>
      </c>
      <c r="O26" s="100">
        <f>IF(G26="","",H26-G26)</f>
        <v/>
      </c>
      <c r="P26" s="100">
        <f>IF(G26="","",ABS(O26-Components!$D$2))</f>
        <v/>
      </c>
      <c r="Q26" s="100">
        <f>IF(G26="","",ABS(O26-Components!$D$3))</f>
        <v/>
      </c>
      <c r="R26" s="100">
        <f>IF(G26="","",ABS(O26-Components!$D$4))</f>
        <v/>
      </c>
      <c r="S26" s="100">
        <f>IF(G26="","",ABS(O26-Components!$D$5))</f>
        <v/>
      </c>
      <c r="T26" s="100">
        <f>IF(G26="","",ABS(O26-Components!$D$6))</f>
        <v/>
      </c>
      <c r="U26" s="100">
        <f>IF(G26="","",ABS(O26-Components!$D$7))</f>
        <v/>
      </c>
      <c r="V26" s="98">
        <f>IF(G26="","",IF(M26="OK","NONE",INDEX({"S1","S2","W1","W2","N1","N2"},MATCH(MIN(P26:U26),P26:U26,0))))</f>
        <v/>
      </c>
      <c r="W26" s="103">
        <f>IF(G26="","",IF(V26=E26,1,0))</f>
        <v/>
      </c>
    </row>
    <row r="27">
      <c r="A27" s="102">
        <f>'Runs Z score'!A15</f>
        <v/>
      </c>
      <c r="B27" s="98">
        <f>'Runs Z score'!B15</f>
        <v/>
      </c>
      <c r="C27" s="98">
        <f>'Runs Z score'!C15</f>
        <v/>
      </c>
      <c r="D27" s="98">
        <f>'Runs Z score'!D15</f>
        <v/>
      </c>
      <c r="E27" s="98">
        <f>'Runs Z score'!E15</f>
        <v/>
      </c>
      <c r="F27" s="98">
        <f>'Runs Z score'!F15</f>
        <v/>
      </c>
      <c r="G27" s="99">
        <f>'Runs Z score'!G15</f>
        <v/>
      </c>
      <c r="H27" s="100">
        <f>VLOOKUP(C27,Recipes!$A$2:$N$4,10,FALSE())</f>
        <v/>
      </c>
      <c r="I27" s="101">
        <f>VLOOKUP(C27,Recipes!$A$2:$N$4,12,FALSE())</f>
        <v/>
      </c>
      <c r="J27" s="101">
        <f>IF(G27="","",((G27-H27)/I27)^2)</f>
        <v/>
      </c>
      <c r="K27" s="101">
        <f>IF(G27="","",MAX(0, J27-$B$12))</f>
        <v/>
      </c>
      <c r="L27" s="100">
        <f>IF(G27="","",SQRT(K27))</f>
        <v/>
      </c>
      <c r="M27" s="98">
        <f>IF(G27="","",IF(K27&lt;=$B$10,"OK","NG"))</f>
        <v/>
      </c>
      <c r="N27" s="69">
        <f>IF(M27="","",IF(M27=D27,1,0))</f>
        <v/>
      </c>
      <c r="O27" s="100">
        <f>IF(G27="","",H27-G27)</f>
        <v/>
      </c>
      <c r="P27" s="100">
        <f>IF(G27="","",ABS(O27-Components!$D$2))</f>
        <v/>
      </c>
      <c r="Q27" s="100">
        <f>IF(G27="","",ABS(O27-Components!$D$3))</f>
        <v/>
      </c>
      <c r="R27" s="100">
        <f>IF(G27="","",ABS(O27-Components!$D$4))</f>
        <v/>
      </c>
      <c r="S27" s="100">
        <f>IF(G27="","",ABS(O27-Components!$D$5))</f>
        <v/>
      </c>
      <c r="T27" s="100">
        <f>IF(G27="","",ABS(O27-Components!$D$6))</f>
        <v/>
      </c>
      <c r="U27" s="100">
        <f>IF(G27="","",ABS(O27-Components!$D$7))</f>
        <v/>
      </c>
      <c r="V27" s="98">
        <f>IF(G27="","",IF(M27="OK","NONE",INDEX({"S1","S2","W1","W2","N1","N2"},MATCH(MIN(P27:U27),P27:U27,0))))</f>
        <v/>
      </c>
      <c r="W27" s="103">
        <f>IF(G27="","",IF(V27=E27,1,0))</f>
        <v/>
      </c>
    </row>
    <row r="28">
      <c r="A28" s="102">
        <f>'Runs Z score'!A16</f>
        <v/>
      </c>
      <c r="B28" s="98">
        <f>'Runs Z score'!B16</f>
        <v/>
      </c>
      <c r="C28" s="98">
        <f>'Runs Z score'!C16</f>
        <v/>
      </c>
      <c r="D28" s="98">
        <f>'Runs Z score'!D16</f>
        <v/>
      </c>
      <c r="E28" s="98">
        <f>'Runs Z score'!E16</f>
        <v/>
      </c>
      <c r="F28" s="98">
        <f>'Runs Z score'!F16</f>
        <v/>
      </c>
      <c r="G28" s="99">
        <f>'Runs Z score'!G16</f>
        <v/>
      </c>
      <c r="H28" s="100">
        <f>VLOOKUP(C28,Recipes!$A$2:$N$4,10,FALSE())</f>
        <v/>
      </c>
      <c r="I28" s="101">
        <f>VLOOKUP(C28,Recipes!$A$2:$N$4,12,FALSE())</f>
        <v/>
      </c>
      <c r="J28" s="101">
        <f>IF(G28="","",((G28-H28)/I28)^2)</f>
        <v/>
      </c>
      <c r="K28" s="101">
        <f>IF(G28="","",MAX(0, J28-$B$12))</f>
        <v/>
      </c>
      <c r="L28" s="100">
        <f>IF(G28="","",SQRT(K28))</f>
        <v/>
      </c>
      <c r="M28" s="98">
        <f>IF(G28="","",IF(K28&lt;=$B$10,"OK","NG"))</f>
        <v/>
      </c>
      <c r="N28" s="69">
        <f>IF(M28="","",IF(M28=D28,1,0))</f>
        <v/>
      </c>
      <c r="O28" s="100">
        <f>IF(G28="","",H28-G28)</f>
        <v/>
      </c>
      <c r="P28" s="100">
        <f>IF(G28="","",ABS(O28-Components!$D$2))</f>
        <v/>
      </c>
      <c r="Q28" s="100">
        <f>IF(G28="","",ABS(O28-Components!$D$3))</f>
        <v/>
      </c>
      <c r="R28" s="100">
        <f>IF(G28="","",ABS(O28-Components!$D$4))</f>
        <v/>
      </c>
      <c r="S28" s="100">
        <f>IF(G28="","",ABS(O28-Components!$D$5))</f>
        <v/>
      </c>
      <c r="T28" s="100">
        <f>IF(G28="","",ABS(O28-Components!$D$6))</f>
        <v/>
      </c>
      <c r="U28" s="100">
        <f>IF(G28="","",ABS(O28-Components!$D$7))</f>
        <v/>
      </c>
      <c r="V28" s="98">
        <f>IF(G28="","",IF(M28="OK","NONE",INDEX({"S1","S2","W1","W2","N1","N2"},MATCH(MIN(P28:U28),P28:U28,0))))</f>
        <v/>
      </c>
      <c r="W28" s="103">
        <f>IF(G28="","",IF(V28=E28,1,0))</f>
        <v/>
      </c>
    </row>
    <row r="29">
      <c r="A29" s="102">
        <f>'Runs Z score'!A17</f>
        <v/>
      </c>
      <c r="B29" s="98">
        <f>'Runs Z score'!B17</f>
        <v/>
      </c>
      <c r="C29" s="98">
        <f>'Runs Z score'!C17</f>
        <v/>
      </c>
      <c r="D29" s="98">
        <f>'Runs Z score'!D17</f>
        <v/>
      </c>
      <c r="E29" s="98">
        <f>'Runs Z score'!E17</f>
        <v/>
      </c>
      <c r="F29" s="98">
        <f>'Runs Z score'!F17</f>
        <v/>
      </c>
      <c r="G29" s="99">
        <f>'Runs Z score'!G17</f>
        <v/>
      </c>
      <c r="H29" s="100">
        <f>VLOOKUP(C29,Recipes!$A$2:$N$4,10,FALSE())</f>
        <v/>
      </c>
      <c r="I29" s="101">
        <f>VLOOKUP(C29,Recipes!$A$2:$N$4,12,FALSE())</f>
        <v/>
      </c>
      <c r="J29" s="101">
        <f>IF(G29="","",((G29-H29)/I29)^2)</f>
        <v/>
      </c>
      <c r="K29" s="101">
        <f>IF(G29="","",MAX(0, J29-$B$12))</f>
        <v/>
      </c>
      <c r="L29" s="100">
        <f>IF(G29="","",SQRT(K29))</f>
        <v/>
      </c>
      <c r="M29" s="98">
        <f>IF(G29="","",IF(K29&lt;=$B$10,"OK","NG"))</f>
        <v/>
      </c>
      <c r="N29" s="69">
        <f>IF(M29="","",IF(M29=D29,1,0))</f>
        <v/>
      </c>
      <c r="O29" s="100">
        <f>IF(G29="","",H29-G29)</f>
        <v/>
      </c>
      <c r="P29" s="100">
        <f>IF(G29="","",ABS(O29-Components!$D$2))</f>
        <v/>
      </c>
      <c r="Q29" s="100">
        <f>IF(G29="","",ABS(O29-Components!$D$3))</f>
        <v/>
      </c>
      <c r="R29" s="100">
        <f>IF(G29="","",ABS(O29-Components!$D$4))</f>
        <v/>
      </c>
      <c r="S29" s="100">
        <f>IF(G29="","",ABS(O29-Components!$D$5))</f>
        <v/>
      </c>
      <c r="T29" s="100">
        <f>IF(G29="","",ABS(O29-Components!$D$6))</f>
        <v/>
      </c>
      <c r="U29" s="100">
        <f>IF(G29="","",ABS(O29-Components!$D$7))</f>
        <v/>
      </c>
      <c r="V29" s="98">
        <f>IF(G29="","",IF(M29="OK","NONE",INDEX({"S1","S2","W1","W2","N1","N2"},MATCH(MIN(P29:U29),P29:U29,0))))</f>
        <v/>
      </c>
      <c r="W29" s="103">
        <f>IF(G29="","",IF(V29=E29,1,0))</f>
        <v/>
      </c>
    </row>
    <row r="30">
      <c r="A30" s="102">
        <f>'Runs Z score'!A18</f>
        <v/>
      </c>
      <c r="B30" s="98">
        <f>'Runs Z score'!B18</f>
        <v/>
      </c>
      <c r="C30" s="98">
        <f>'Runs Z score'!C18</f>
        <v/>
      </c>
      <c r="D30" s="98">
        <f>'Runs Z score'!D18</f>
        <v/>
      </c>
      <c r="E30" s="98">
        <f>'Runs Z score'!E18</f>
        <v/>
      </c>
      <c r="F30" s="98">
        <f>'Runs Z score'!F18</f>
        <v/>
      </c>
      <c r="G30" s="99">
        <f>'Runs Z score'!G18</f>
        <v/>
      </c>
      <c r="H30" s="100">
        <f>VLOOKUP(C30,Recipes!$A$2:$N$4,10,FALSE())</f>
        <v/>
      </c>
      <c r="I30" s="101">
        <f>VLOOKUP(C30,Recipes!$A$2:$N$4,12,FALSE())</f>
        <v/>
      </c>
      <c r="J30" s="101">
        <f>IF(G30="","",((G30-H30)/I30)^2)</f>
        <v/>
      </c>
      <c r="K30" s="101">
        <f>IF(G30="","",MAX(0, J30-$B$12))</f>
        <v/>
      </c>
      <c r="L30" s="100">
        <f>IF(G30="","",SQRT(K30))</f>
        <v/>
      </c>
      <c r="M30" s="98">
        <f>IF(G30="","",IF(K30&lt;=$B$10,"OK","NG"))</f>
        <v/>
      </c>
      <c r="N30" s="69">
        <f>IF(M30="","",IF(M30=D30,1,0))</f>
        <v/>
      </c>
      <c r="O30" s="100">
        <f>IF(G30="","",H30-G30)</f>
        <v/>
      </c>
      <c r="P30" s="100">
        <f>IF(G30="","",ABS(O30-Components!$D$2))</f>
        <v/>
      </c>
      <c r="Q30" s="100">
        <f>IF(G30="","",ABS(O30-Components!$D$3))</f>
        <v/>
      </c>
      <c r="R30" s="100">
        <f>IF(G30="","",ABS(O30-Components!$D$4))</f>
        <v/>
      </c>
      <c r="S30" s="100">
        <f>IF(G30="","",ABS(O30-Components!$D$5))</f>
        <v/>
      </c>
      <c r="T30" s="100">
        <f>IF(G30="","",ABS(O30-Components!$D$6))</f>
        <v/>
      </c>
      <c r="U30" s="100">
        <f>IF(G30="","",ABS(O30-Components!$D$7))</f>
        <v/>
      </c>
      <c r="V30" s="98">
        <f>IF(G30="","",IF(M30="OK","NONE",INDEX({"S1","S2","W1","W2","N1","N2"},MATCH(MIN(P30:U30),P30:U30,0))))</f>
        <v/>
      </c>
      <c r="W30" s="103">
        <f>IF(G30="","",IF(V30=E30,1,0))</f>
        <v/>
      </c>
    </row>
    <row r="31">
      <c r="A31" s="102">
        <f>'Runs Z score'!A19</f>
        <v/>
      </c>
      <c r="B31" s="98">
        <f>'Runs Z score'!B19</f>
        <v/>
      </c>
      <c r="C31" s="98">
        <f>'Runs Z score'!C19</f>
        <v/>
      </c>
      <c r="D31" s="98">
        <f>'Runs Z score'!D19</f>
        <v/>
      </c>
      <c r="E31" s="98">
        <f>'Runs Z score'!E19</f>
        <v/>
      </c>
      <c r="F31" s="98">
        <f>'Runs Z score'!F19</f>
        <v/>
      </c>
      <c r="G31" s="99">
        <f>'Runs Z score'!G19</f>
        <v/>
      </c>
      <c r="H31" s="100">
        <f>VLOOKUP(C31,Recipes!$A$2:$N$4,10,FALSE())</f>
        <v/>
      </c>
      <c r="I31" s="101">
        <f>VLOOKUP(C31,Recipes!$A$2:$N$4,12,FALSE())</f>
        <v/>
      </c>
      <c r="J31" s="101">
        <f>IF(G31="","",((G31-H31)/I31)^2)</f>
        <v/>
      </c>
      <c r="K31" s="101">
        <f>IF(G31="","",MAX(0, J31-$B$12))</f>
        <v/>
      </c>
      <c r="L31" s="100">
        <f>IF(G31="","",SQRT(K31))</f>
        <v/>
      </c>
      <c r="M31" s="98">
        <f>IF(G31="","",IF(K31&lt;=$B$10,"OK","NG"))</f>
        <v/>
      </c>
      <c r="N31" s="69">
        <f>IF(M31="","",IF(M31=D31,1,0))</f>
        <v/>
      </c>
      <c r="O31" s="100">
        <f>IF(G31="","",H31-G31)</f>
        <v/>
      </c>
      <c r="P31" s="100">
        <f>IF(G31="","",ABS(O31-Components!$D$2))</f>
        <v/>
      </c>
      <c r="Q31" s="100">
        <f>IF(G31="","",ABS(O31-Components!$D$3))</f>
        <v/>
      </c>
      <c r="R31" s="100">
        <f>IF(G31="","",ABS(O31-Components!$D$4))</f>
        <v/>
      </c>
      <c r="S31" s="100">
        <f>IF(G31="","",ABS(O31-Components!$D$5))</f>
        <v/>
      </c>
      <c r="T31" s="100">
        <f>IF(G31="","",ABS(O31-Components!$D$6))</f>
        <v/>
      </c>
      <c r="U31" s="100">
        <f>IF(G31="","",ABS(O31-Components!$D$7))</f>
        <v/>
      </c>
      <c r="V31" s="98">
        <f>IF(G31="","",IF(M31="OK","NONE",INDEX({"S1","S2","W1","W2","N1","N2"},MATCH(MIN(P31:U31),P31:U31,0))))</f>
        <v/>
      </c>
      <c r="W31" s="103">
        <f>IF(G31="","",IF(V31=E31,1,0))</f>
        <v/>
      </c>
    </row>
    <row r="32">
      <c r="A32" s="102">
        <f>'Runs Z score'!A20</f>
        <v/>
      </c>
      <c r="B32" s="98">
        <f>'Runs Z score'!B20</f>
        <v/>
      </c>
      <c r="C32" s="98">
        <f>'Runs Z score'!C20</f>
        <v/>
      </c>
      <c r="D32" s="98">
        <f>'Runs Z score'!D20</f>
        <v/>
      </c>
      <c r="E32" s="98">
        <f>'Runs Z score'!E20</f>
        <v/>
      </c>
      <c r="F32" s="98">
        <f>'Runs Z score'!F20</f>
        <v/>
      </c>
      <c r="G32" s="99">
        <f>'Runs Z score'!G20</f>
        <v/>
      </c>
      <c r="H32" s="100">
        <f>VLOOKUP(C32,Recipes!$A$2:$N$4,10,FALSE())</f>
        <v/>
      </c>
      <c r="I32" s="101">
        <f>VLOOKUP(C32,Recipes!$A$2:$N$4,12,FALSE())</f>
        <v/>
      </c>
      <c r="J32" s="101">
        <f>IF(G32="","",((G32-H32)/I32)^2)</f>
        <v/>
      </c>
      <c r="K32" s="101">
        <f>IF(G32="","",MAX(0, J32-$B$12))</f>
        <v/>
      </c>
      <c r="L32" s="100">
        <f>IF(G32="","",SQRT(K32))</f>
        <v/>
      </c>
      <c r="M32" s="98">
        <f>IF(G32="","",IF(K32&lt;=$B$10,"OK","NG"))</f>
        <v/>
      </c>
      <c r="N32" s="69">
        <f>IF(M32="","",IF(M32=D32,1,0))</f>
        <v/>
      </c>
      <c r="O32" s="100">
        <f>IF(G32="","",H32-G32)</f>
        <v/>
      </c>
      <c r="P32" s="100">
        <f>IF(G32="","",ABS(O32-Components!$D$2))</f>
        <v/>
      </c>
      <c r="Q32" s="100">
        <f>IF(G32="","",ABS(O32-Components!$D$3))</f>
        <v/>
      </c>
      <c r="R32" s="100">
        <f>IF(G32="","",ABS(O32-Components!$D$4))</f>
        <v/>
      </c>
      <c r="S32" s="100">
        <f>IF(G32="","",ABS(O32-Components!$D$5))</f>
        <v/>
      </c>
      <c r="T32" s="100">
        <f>IF(G32="","",ABS(O32-Components!$D$6))</f>
        <v/>
      </c>
      <c r="U32" s="100">
        <f>IF(G32="","",ABS(O32-Components!$D$7))</f>
        <v/>
      </c>
      <c r="V32" s="98">
        <f>IF(G32="","",IF(M32="OK","NONE",INDEX({"S1","S2","W1","W2","N1","N2"},MATCH(MIN(P32:U32),P32:U32,0))))</f>
        <v/>
      </c>
      <c r="W32" s="103">
        <f>IF(G32="","",IF(V32=E32,1,0))</f>
        <v/>
      </c>
    </row>
    <row r="33">
      <c r="A33" s="102">
        <f>'Runs Z score'!A21</f>
        <v/>
      </c>
      <c r="B33" s="98">
        <f>'Runs Z score'!B21</f>
        <v/>
      </c>
      <c r="C33" s="98">
        <f>'Runs Z score'!C21</f>
        <v/>
      </c>
      <c r="D33" s="98">
        <f>'Runs Z score'!D21</f>
        <v/>
      </c>
      <c r="E33" s="98">
        <f>'Runs Z score'!E21</f>
        <v/>
      </c>
      <c r="F33" s="98">
        <f>'Runs Z score'!F21</f>
        <v/>
      </c>
      <c r="G33" s="99">
        <f>'Runs Z score'!G21</f>
        <v/>
      </c>
      <c r="H33" s="100">
        <f>VLOOKUP(C33,Recipes!$A$2:$N$4,10,FALSE())</f>
        <v/>
      </c>
      <c r="I33" s="101">
        <f>VLOOKUP(C33,Recipes!$A$2:$N$4,12,FALSE())</f>
        <v/>
      </c>
      <c r="J33" s="101">
        <f>IF(G33="","",((G33-H33)/I33)^2)</f>
        <v/>
      </c>
      <c r="K33" s="101">
        <f>IF(G33="","",MAX(0, J33-$B$12))</f>
        <v/>
      </c>
      <c r="L33" s="100">
        <f>IF(G33="","",SQRT(K33))</f>
        <v/>
      </c>
      <c r="M33" s="98">
        <f>IF(G33="","",IF(K33&lt;=$B$10,"OK","NG"))</f>
        <v/>
      </c>
      <c r="N33" s="69">
        <f>IF(M33="","",IF(M33=D33,1,0))</f>
        <v/>
      </c>
      <c r="O33" s="100">
        <f>IF(G33="","",H33-G33)</f>
        <v/>
      </c>
      <c r="P33" s="100">
        <f>IF(G33="","",ABS(O33-Components!$D$2))</f>
        <v/>
      </c>
      <c r="Q33" s="100">
        <f>IF(G33="","",ABS(O33-Components!$D$3))</f>
        <v/>
      </c>
      <c r="R33" s="100">
        <f>IF(G33="","",ABS(O33-Components!$D$4))</f>
        <v/>
      </c>
      <c r="S33" s="100">
        <f>IF(G33="","",ABS(O33-Components!$D$5))</f>
        <v/>
      </c>
      <c r="T33" s="100">
        <f>IF(G33="","",ABS(O33-Components!$D$6))</f>
        <v/>
      </c>
      <c r="U33" s="100">
        <f>IF(G33="","",ABS(O33-Components!$D$7))</f>
        <v/>
      </c>
      <c r="V33" s="98">
        <f>IF(G33="","",IF(M33="OK","NONE",INDEX({"S1","S2","W1","W2","N1","N2"},MATCH(MIN(P33:U33),P33:U33,0))))</f>
        <v/>
      </c>
      <c r="W33" s="103">
        <f>IF(G33="","",IF(V33=E33,1,0))</f>
        <v/>
      </c>
    </row>
    <row r="34">
      <c r="A34" s="102">
        <f>'Runs Z score'!A22</f>
        <v/>
      </c>
      <c r="B34" s="98">
        <f>'Runs Z score'!B22</f>
        <v/>
      </c>
      <c r="C34" s="98">
        <f>'Runs Z score'!C22</f>
        <v/>
      </c>
      <c r="D34" s="98">
        <f>'Runs Z score'!D22</f>
        <v/>
      </c>
      <c r="E34" s="98">
        <f>'Runs Z score'!E22</f>
        <v/>
      </c>
      <c r="F34" s="98">
        <f>'Runs Z score'!F22</f>
        <v/>
      </c>
      <c r="G34" s="99">
        <f>'Runs Z score'!G22</f>
        <v/>
      </c>
      <c r="H34" s="100">
        <f>VLOOKUP(C34,Recipes!$A$2:$N$4,10,FALSE())</f>
        <v/>
      </c>
      <c r="I34" s="101">
        <f>VLOOKUP(C34,Recipes!$A$2:$N$4,12,FALSE())</f>
        <v/>
      </c>
      <c r="J34" s="101">
        <f>IF(G34="","",((G34-H34)/I34)^2)</f>
        <v/>
      </c>
      <c r="K34" s="101">
        <f>IF(G34="","",MAX(0, J34-$B$12))</f>
        <v/>
      </c>
      <c r="L34" s="100">
        <f>IF(G34="","",SQRT(K34))</f>
        <v/>
      </c>
      <c r="M34" s="98">
        <f>IF(G34="","",IF(K34&lt;=$B$10,"OK","NG"))</f>
        <v/>
      </c>
      <c r="N34" s="69">
        <f>IF(M34="","",IF(M34=D34,1,0))</f>
        <v/>
      </c>
      <c r="O34" s="100">
        <f>IF(G34="","",H34-G34)</f>
        <v/>
      </c>
      <c r="P34" s="100">
        <f>IF(G34="","",ABS(O34-Components!$D$2))</f>
        <v/>
      </c>
      <c r="Q34" s="100">
        <f>IF(G34="","",ABS(O34-Components!$D$3))</f>
        <v/>
      </c>
      <c r="R34" s="100">
        <f>IF(G34="","",ABS(O34-Components!$D$4))</f>
        <v/>
      </c>
      <c r="S34" s="100">
        <f>IF(G34="","",ABS(O34-Components!$D$5))</f>
        <v/>
      </c>
      <c r="T34" s="100">
        <f>IF(G34="","",ABS(O34-Components!$D$6))</f>
        <v/>
      </c>
      <c r="U34" s="100">
        <f>IF(G34="","",ABS(O34-Components!$D$7))</f>
        <v/>
      </c>
      <c r="V34" s="98">
        <f>IF(G34="","",IF(M34="OK","NONE",INDEX({"S1","S2","W1","W2","N1","N2"},MATCH(MIN(P34:U34),P34:U34,0))))</f>
        <v/>
      </c>
      <c r="W34" s="103">
        <f>IF(G34="","",IF(V34=E34,1,0))</f>
        <v/>
      </c>
    </row>
    <row r="35">
      <c r="A35" s="102">
        <f>'Runs Z score'!A23</f>
        <v/>
      </c>
      <c r="B35" s="98">
        <f>'Runs Z score'!B23</f>
        <v/>
      </c>
      <c r="C35" s="98">
        <f>'Runs Z score'!C23</f>
        <v/>
      </c>
      <c r="D35" s="98">
        <f>'Runs Z score'!D23</f>
        <v/>
      </c>
      <c r="E35" s="98">
        <f>'Runs Z score'!E23</f>
        <v/>
      </c>
      <c r="F35" s="98">
        <f>'Runs Z score'!F23</f>
        <v/>
      </c>
      <c r="G35" s="99">
        <f>'Runs Z score'!G23</f>
        <v/>
      </c>
      <c r="H35" s="100">
        <f>VLOOKUP(C35,Recipes!$A$2:$N$4,10,FALSE())</f>
        <v/>
      </c>
      <c r="I35" s="101">
        <f>VLOOKUP(C35,Recipes!$A$2:$N$4,12,FALSE())</f>
        <v/>
      </c>
      <c r="J35" s="101">
        <f>IF(G35="","",((G35-H35)/I35)^2)</f>
        <v/>
      </c>
      <c r="K35" s="101">
        <f>IF(G35="","",MAX(0, J35-$B$12))</f>
        <v/>
      </c>
      <c r="L35" s="100">
        <f>IF(G35="","",SQRT(K35))</f>
        <v/>
      </c>
      <c r="M35" s="98">
        <f>IF(G35="","",IF(K35&lt;=$B$10,"OK","NG"))</f>
        <v/>
      </c>
      <c r="N35" s="69">
        <f>IF(M35="","",IF(M35=D35,1,0))</f>
        <v/>
      </c>
      <c r="O35" s="100">
        <f>IF(G35="","",H35-G35)</f>
        <v/>
      </c>
      <c r="P35" s="100">
        <f>IF(G35="","",ABS(O35-Components!$D$2))</f>
        <v/>
      </c>
      <c r="Q35" s="100">
        <f>IF(G35="","",ABS(O35-Components!$D$3))</f>
        <v/>
      </c>
      <c r="R35" s="100">
        <f>IF(G35="","",ABS(O35-Components!$D$4))</f>
        <v/>
      </c>
      <c r="S35" s="100">
        <f>IF(G35="","",ABS(O35-Components!$D$5))</f>
        <v/>
      </c>
      <c r="T35" s="100">
        <f>IF(G35="","",ABS(O35-Components!$D$6))</f>
        <v/>
      </c>
      <c r="U35" s="100">
        <f>IF(G35="","",ABS(O35-Components!$D$7))</f>
        <v/>
      </c>
      <c r="V35" s="98">
        <f>IF(G35="","",IF(M35="OK","NONE",INDEX({"S1","S2","W1","W2","N1","N2"},MATCH(MIN(P35:U35),P35:U35,0))))</f>
        <v/>
      </c>
      <c r="W35" s="103">
        <f>IF(G35="","",IF(V35=E35,1,0))</f>
        <v/>
      </c>
    </row>
    <row r="36">
      <c r="A36" s="102">
        <f>'Runs Z score'!A24</f>
        <v/>
      </c>
      <c r="B36" s="98">
        <f>'Runs Z score'!B24</f>
        <v/>
      </c>
      <c r="C36" s="98">
        <f>'Runs Z score'!C24</f>
        <v/>
      </c>
      <c r="D36" s="98">
        <f>'Runs Z score'!D24</f>
        <v/>
      </c>
      <c r="E36" s="98">
        <f>'Runs Z score'!E24</f>
        <v/>
      </c>
      <c r="F36" s="98">
        <f>'Runs Z score'!F24</f>
        <v/>
      </c>
      <c r="G36" s="99">
        <f>'Runs Z score'!G24</f>
        <v/>
      </c>
      <c r="H36" s="100">
        <f>VLOOKUP(C36,Recipes!$A$2:$N$4,10,FALSE())</f>
        <v/>
      </c>
      <c r="I36" s="101">
        <f>VLOOKUP(C36,Recipes!$A$2:$N$4,12,FALSE())</f>
        <v/>
      </c>
      <c r="J36" s="101">
        <f>IF(G36="","",((G36-H36)/I36)^2)</f>
        <v/>
      </c>
      <c r="K36" s="101">
        <f>IF(G36="","",MAX(0, J36-$B$12))</f>
        <v/>
      </c>
      <c r="L36" s="100">
        <f>IF(G36="","",SQRT(K36))</f>
        <v/>
      </c>
      <c r="M36" s="98">
        <f>IF(G36="","",IF(K36&lt;=$B$10,"OK","NG"))</f>
        <v/>
      </c>
      <c r="N36" s="69">
        <f>IF(M36="","",IF(M36=D36,1,0))</f>
        <v/>
      </c>
      <c r="O36" s="100">
        <f>IF(G36="","",H36-G36)</f>
        <v/>
      </c>
      <c r="P36" s="100">
        <f>IF(G36="","",ABS(O36-Components!$D$2))</f>
        <v/>
      </c>
      <c r="Q36" s="100">
        <f>IF(G36="","",ABS(O36-Components!$D$3))</f>
        <v/>
      </c>
      <c r="R36" s="100">
        <f>IF(G36="","",ABS(O36-Components!$D$4))</f>
        <v/>
      </c>
      <c r="S36" s="100">
        <f>IF(G36="","",ABS(O36-Components!$D$5))</f>
        <v/>
      </c>
      <c r="T36" s="100">
        <f>IF(G36="","",ABS(O36-Components!$D$6))</f>
        <v/>
      </c>
      <c r="U36" s="100">
        <f>IF(G36="","",ABS(O36-Components!$D$7))</f>
        <v/>
      </c>
      <c r="V36" s="98">
        <f>IF(G36="","",IF(M36="OK","NONE",INDEX({"S1","S2","W1","W2","N1","N2"},MATCH(MIN(P36:U36),P36:U36,0))))</f>
        <v/>
      </c>
      <c r="W36" s="103">
        <f>IF(G36="","",IF(V36=E36,1,0))</f>
        <v/>
      </c>
    </row>
    <row r="37">
      <c r="A37" s="102">
        <f>'Runs Z score'!A25</f>
        <v/>
      </c>
      <c r="B37" s="98">
        <f>'Runs Z score'!B25</f>
        <v/>
      </c>
      <c r="C37" s="98">
        <f>'Runs Z score'!C25</f>
        <v/>
      </c>
      <c r="D37" s="98">
        <f>'Runs Z score'!D25</f>
        <v/>
      </c>
      <c r="E37" s="98">
        <f>'Runs Z score'!E25</f>
        <v/>
      </c>
      <c r="F37" s="98">
        <f>'Runs Z score'!F25</f>
        <v/>
      </c>
      <c r="G37" s="99">
        <f>'Runs Z score'!G25</f>
        <v/>
      </c>
      <c r="H37" s="100">
        <f>VLOOKUP(C37,Recipes!$A$2:$N$4,10,FALSE())</f>
        <v/>
      </c>
      <c r="I37" s="101">
        <f>VLOOKUP(C37,Recipes!$A$2:$N$4,12,FALSE())</f>
        <v/>
      </c>
      <c r="J37" s="101">
        <f>IF(G37="","",((G37-H37)/I37)^2)</f>
        <v/>
      </c>
      <c r="K37" s="101">
        <f>IF(G37="","",MAX(0, J37-$B$12))</f>
        <v/>
      </c>
      <c r="L37" s="100">
        <f>IF(G37="","",SQRT(K37))</f>
        <v/>
      </c>
      <c r="M37" s="98">
        <f>IF(G37="","",IF(K37&lt;=$B$10,"OK","NG"))</f>
        <v/>
      </c>
      <c r="N37" s="69">
        <f>IF(M37="","",IF(M37=D37,1,0))</f>
        <v/>
      </c>
      <c r="O37" s="100">
        <f>IF(G37="","",H37-G37)</f>
        <v/>
      </c>
      <c r="P37" s="100">
        <f>IF(G37="","",ABS(O37-Components!$D$2))</f>
        <v/>
      </c>
      <c r="Q37" s="100">
        <f>IF(G37="","",ABS(O37-Components!$D$3))</f>
        <v/>
      </c>
      <c r="R37" s="100">
        <f>IF(G37="","",ABS(O37-Components!$D$4))</f>
        <v/>
      </c>
      <c r="S37" s="100">
        <f>IF(G37="","",ABS(O37-Components!$D$5))</f>
        <v/>
      </c>
      <c r="T37" s="100">
        <f>IF(G37="","",ABS(O37-Components!$D$6))</f>
        <v/>
      </c>
      <c r="U37" s="100">
        <f>IF(G37="","",ABS(O37-Components!$D$7))</f>
        <v/>
      </c>
      <c r="V37" s="98">
        <f>IF(G37="","",IF(M37="OK","NONE",INDEX({"S1","S2","W1","W2","N1","N2"},MATCH(MIN(P37:U37),P37:U37,0))))</f>
        <v/>
      </c>
      <c r="W37" s="103">
        <f>IF(G37="","",IF(V37=E37,1,0))</f>
        <v/>
      </c>
    </row>
    <row r="38">
      <c r="A38" s="102">
        <f>'Runs Z score'!A26</f>
        <v/>
      </c>
      <c r="B38" s="98">
        <f>'Runs Z score'!B26</f>
        <v/>
      </c>
      <c r="C38" s="98">
        <f>'Runs Z score'!C26</f>
        <v/>
      </c>
      <c r="D38" s="98">
        <f>'Runs Z score'!D26</f>
        <v/>
      </c>
      <c r="E38" s="98">
        <f>'Runs Z score'!E26</f>
        <v/>
      </c>
      <c r="F38" s="98">
        <f>'Runs Z score'!F26</f>
        <v/>
      </c>
      <c r="G38" s="99">
        <f>'Runs Z score'!G26</f>
        <v/>
      </c>
      <c r="H38" s="100">
        <f>VLOOKUP(C38,Recipes!$A$2:$N$4,10,FALSE())</f>
        <v/>
      </c>
      <c r="I38" s="101">
        <f>VLOOKUP(C38,Recipes!$A$2:$N$4,12,FALSE())</f>
        <v/>
      </c>
      <c r="J38" s="101">
        <f>IF(G38="","",((G38-H38)/I38)^2)</f>
        <v/>
      </c>
      <c r="K38" s="101">
        <f>IF(G38="","",MAX(0, J38-$B$12))</f>
        <v/>
      </c>
      <c r="L38" s="100">
        <f>IF(G38="","",SQRT(K38))</f>
        <v/>
      </c>
      <c r="M38" s="98">
        <f>IF(G38="","",IF(K38&lt;=$B$10,"OK","NG"))</f>
        <v/>
      </c>
      <c r="N38" s="69">
        <f>IF(M38="","",IF(M38=D38,1,0))</f>
        <v/>
      </c>
      <c r="O38" s="100">
        <f>IF(G38="","",H38-G38)</f>
        <v/>
      </c>
      <c r="P38" s="100">
        <f>IF(G38="","",ABS(O38-Components!$D$2))</f>
        <v/>
      </c>
      <c r="Q38" s="100">
        <f>IF(G38="","",ABS(O38-Components!$D$3))</f>
        <v/>
      </c>
      <c r="R38" s="100">
        <f>IF(G38="","",ABS(O38-Components!$D$4))</f>
        <v/>
      </c>
      <c r="S38" s="100">
        <f>IF(G38="","",ABS(O38-Components!$D$5))</f>
        <v/>
      </c>
      <c r="T38" s="100">
        <f>IF(G38="","",ABS(O38-Components!$D$6))</f>
        <v/>
      </c>
      <c r="U38" s="100">
        <f>IF(G38="","",ABS(O38-Components!$D$7))</f>
        <v/>
      </c>
      <c r="V38" s="98">
        <f>IF(G38="","",IF(M38="OK","NONE",INDEX({"S1","S2","W1","W2","N1","N2"},MATCH(MIN(P38:U38),P38:U38,0))))</f>
        <v/>
      </c>
      <c r="W38" s="103">
        <f>IF(G38="","",IF(V38=E38,1,0))</f>
        <v/>
      </c>
    </row>
    <row r="39">
      <c r="A39" s="102">
        <f>'Runs Z score'!A27</f>
        <v/>
      </c>
      <c r="B39" s="98">
        <f>'Runs Z score'!B27</f>
        <v/>
      </c>
      <c r="C39" s="98">
        <f>'Runs Z score'!C27</f>
        <v/>
      </c>
      <c r="D39" s="98">
        <f>'Runs Z score'!D27</f>
        <v/>
      </c>
      <c r="E39" s="98">
        <f>'Runs Z score'!E27</f>
        <v/>
      </c>
      <c r="F39" s="98">
        <f>'Runs Z score'!F27</f>
        <v/>
      </c>
      <c r="G39" s="99">
        <f>'Runs Z score'!G27</f>
        <v/>
      </c>
      <c r="H39" s="100">
        <f>VLOOKUP(C39,Recipes!$A$2:$N$4,10,FALSE())</f>
        <v/>
      </c>
      <c r="I39" s="101">
        <f>VLOOKUP(C39,Recipes!$A$2:$N$4,12,FALSE())</f>
        <v/>
      </c>
      <c r="J39" s="101">
        <f>IF(G39="","",((G39-H39)/I39)^2)</f>
        <v/>
      </c>
      <c r="K39" s="101">
        <f>IF(G39="","",MAX(0, J39-$B$12))</f>
        <v/>
      </c>
      <c r="L39" s="100">
        <f>IF(G39="","",SQRT(K39))</f>
        <v/>
      </c>
      <c r="M39" s="98">
        <f>IF(G39="","",IF(K39&lt;=$B$10,"OK","NG"))</f>
        <v/>
      </c>
      <c r="N39" s="69">
        <f>IF(M39="","",IF(M39=D39,1,0))</f>
        <v/>
      </c>
      <c r="O39" s="100">
        <f>IF(G39="","",H39-G39)</f>
        <v/>
      </c>
      <c r="P39" s="100">
        <f>IF(G39="","",ABS(O39-Components!$D$2))</f>
        <v/>
      </c>
      <c r="Q39" s="100">
        <f>IF(G39="","",ABS(O39-Components!$D$3))</f>
        <v/>
      </c>
      <c r="R39" s="100">
        <f>IF(G39="","",ABS(O39-Components!$D$4))</f>
        <v/>
      </c>
      <c r="S39" s="100">
        <f>IF(G39="","",ABS(O39-Components!$D$5))</f>
        <v/>
      </c>
      <c r="T39" s="100">
        <f>IF(G39="","",ABS(O39-Components!$D$6))</f>
        <v/>
      </c>
      <c r="U39" s="100">
        <f>IF(G39="","",ABS(O39-Components!$D$7))</f>
        <v/>
      </c>
      <c r="V39" s="98">
        <f>IF(G39="","",IF(M39="OK","NONE",INDEX({"S1","S2","W1","W2","N1","N2"},MATCH(MIN(P39:U39),P39:U39,0))))</f>
        <v/>
      </c>
      <c r="W39" s="103">
        <f>IF(G39="","",IF(V39=E39,1,0))</f>
        <v/>
      </c>
    </row>
    <row r="40">
      <c r="A40" s="102">
        <f>'Runs Z score'!A28</f>
        <v/>
      </c>
      <c r="B40" s="98">
        <f>'Runs Z score'!B28</f>
        <v/>
      </c>
      <c r="C40" s="98">
        <f>'Runs Z score'!C28</f>
        <v/>
      </c>
      <c r="D40" s="98">
        <f>'Runs Z score'!D28</f>
        <v/>
      </c>
      <c r="E40" s="98">
        <f>'Runs Z score'!E28</f>
        <v/>
      </c>
      <c r="F40" s="98">
        <f>'Runs Z score'!F28</f>
        <v/>
      </c>
      <c r="G40" s="99">
        <f>'Runs Z score'!G28</f>
        <v/>
      </c>
      <c r="H40" s="100">
        <f>VLOOKUP(C40,Recipes!$A$2:$N$4,10,FALSE())</f>
        <v/>
      </c>
      <c r="I40" s="101">
        <f>VLOOKUP(C40,Recipes!$A$2:$N$4,12,FALSE())</f>
        <v/>
      </c>
      <c r="J40" s="101">
        <f>IF(G40="","",((G40-H40)/I40)^2)</f>
        <v/>
      </c>
      <c r="K40" s="101">
        <f>IF(G40="","",MAX(0, J40-$B$12))</f>
        <v/>
      </c>
      <c r="L40" s="100">
        <f>IF(G40="","",SQRT(K40))</f>
        <v/>
      </c>
      <c r="M40" s="98">
        <f>IF(G40="","",IF(K40&lt;=$B$10,"OK","NG"))</f>
        <v/>
      </c>
      <c r="N40" s="69">
        <f>IF(M40="","",IF(M40=D40,1,0))</f>
        <v/>
      </c>
      <c r="O40" s="100">
        <f>IF(G40="","",H40-G40)</f>
        <v/>
      </c>
      <c r="P40" s="100">
        <f>IF(G40="","",ABS(O40-Components!$D$2))</f>
        <v/>
      </c>
      <c r="Q40" s="100">
        <f>IF(G40="","",ABS(O40-Components!$D$3))</f>
        <v/>
      </c>
      <c r="R40" s="100">
        <f>IF(G40="","",ABS(O40-Components!$D$4))</f>
        <v/>
      </c>
      <c r="S40" s="100">
        <f>IF(G40="","",ABS(O40-Components!$D$5))</f>
        <v/>
      </c>
      <c r="T40" s="100">
        <f>IF(G40="","",ABS(O40-Components!$D$6))</f>
        <v/>
      </c>
      <c r="U40" s="100">
        <f>IF(G40="","",ABS(O40-Components!$D$7))</f>
        <v/>
      </c>
      <c r="V40" s="98">
        <f>IF(G40="","",IF(M40="OK","NONE",INDEX({"S1","S2","W1","W2","N1","N2"},MATCH(MIN(P40:U40),P40:U40,0))))</f>
        <v/>
      </c>
      <c r="W40" s="103">
        <f>IF(G40="","",IF(V40=E40,1,0))</f>
        <v/>
      </c>
    </row>
    <row r="41">
      <c r="A41" s="102">
        <f>'Runs Z score'!A29</f>
        <v/>
      </c>
      <c r="B41" s="98">
        <f>'Runs Z score'!B29</f>
        <v/>
      </c>
      <c r="C41" s="98">
        <f>'Runs Z score'!C29</f>
        <v/>
      </c>
      <c r="D41" s="98">
        <f>'Runs Z score'!D29</f>
        <v/>
      </c>
      <c r="E41" s="98">
        <f>'Runs Z score'!E29</f>
        <v/>
      </c>
      <c r="F41" s="98">
        <f>'Runs Z score'!F29</f>
        <v/>
      </c>
      <c r="G41" s="99">
        <f>'Runs Z score'!G29</f>
        <v/>
      </c>
      <c r="H41" s="100">
        <f>VLOOKUP(C41,Recipes!$A$2:$N$4,10,FALSE())</f>
        <v/>
      </c>
      <c r="I41" s="101">
        <f>VLOOKUP(C41,Recipes!$A$2:$N$4,12,FALSE())</f>
        <v/>
      </c>
      <c r="J41" s="101">
        <f>IF(G41="","",((G41-H41)/I41)^2)</f>
        <v/>
      </c>
      <c r="K41" s="101">
        <f>IF(G41="","",MAX(0, J41-$B$12))</f>
        <v/>
      </c>
      <c r="L41" s="100">
        <f>IF(G41="","",SQRT(K41))</f>
        <v/>
      </c>
      <c r="M41" s="98">
        <f>IF(G41="","",IF(K41&lt;=$B$10,"OK","NG"))</f>
        <v/>
      </c>
      <c r="N41" s="69">
        <f>IF(M41="","",IF(M41=D41,1,0))</f>
        <v/>
      </c>
      <c r="O41" s="100">
        <f>IF(G41="","",H41-G41)</f>
        <v/>
      </c>
      <c r="P41" s="100">
        <f>IF(G41="","",ABS(O41-Components!$D$2))</f>
        <v/>
      </c>
      <c r="Q41" s="100">
        <f>IF(G41="","",ABS(O41-Components!$D$3))</f>
        <v/>
      </c>
      <c r="R41" s="100">
        <f>IF(G41="","",ABS(O41-Components!$D$4))</f>
        <v/>
      </c>
      <c r="S41" s="100">
        <f>IF(G41="","",ABS(O41-Components!$D$5))</f>
        <v/>
      </c>
      <c r="T41" s="100">
        <f>IF(G41="","",ABS(O41-Components!$D$6))</f>
        <v/>
      </c>
      <c r="U41" s="100">
        <f>IF(G41="","",ABS(O41-Components!$D$7))</f>
        <v/>
      </c>
      <c r="V41" s="98">
        <f>IF(G41="","",IF(M41="OK","NONE",INDEX({"S1","S2","W1","W2","N1","N2"},MATCH(MIN(P41:U41),P41:U41,0))))</f>
        <v/>
      </c>
      <c r="W41" s="103">
        <f>IF(G41="","",IF(V41=E41,1,0))</f>
        <v/>
      </c>
    </row>
    <row r="42">
      <c r="A42" s="102">
        <f>'Runs Z score'!A30</f>
        <v/>
      </c>
      <c r="B42" s="98">
        <f>'Runs Z score'!B30</f>
        <v/>
      </c>
      <c r="C42" s="98">
        <f>'Runs Z score'!C30</f>
        <v/>
      </c>
      <c r="D42" s="98">
        <f>'Runs Z score'!D30</f>
        <v/>
      </c>
      <c r="E42" s="98">
        <f>'Runs Z score'!E30</f>
        <v/>
      </c>
      <c r="F42" s="98">
        <f>'Runs Z score'!F30</f>
        <v/>
      </c>
      <c r="G42" s="99">
        <f>'Runs Z score'!G30</f>
        <v/>
      </c>
      <c r="H42" s="100">
        <f>VLOOKUP(C42,Recipes!$A$2:$N$4,10,FALSE())</f>
        <v/>
      </c>
      <c r="I42" s="101">
        <f>VLOOKUP(C42,Recipes!$A$2:$N$4,12,FALSE())</f>
        <v/>
      </c>
      <c r="J42" s="101">
        <f>IF(G42="","",((G42-H42)/I42)^2)</f>
        <v/>
      </c>
      <c r="K42" s="101">
        <f>IF(G42="","",MAX(0, J42-$B$12))</f>
        <v/>
      </c>
      <c r="L42" s="100">
        <f>IF(G42="","",SQRT(K42))</f>
        <v/>
      </c>
      <c r="M42" s="98">
        <f>IF(G42="","",IF(K42&lt;=$B$10,"OK","NG"))</f>
        <v/>
      </c>
      <c r="N42" s="69">
        <f>IF(M42="","",IF(M42=D42,1,0))</f>
        <v/>
      </c>
      <c r="O42" s="100">
        <f>IF(G42="","",H42-G42)</f>
        <v/>
      </c>
      <c r="P42" s="100">
        <f>IF(G42="","",ABS(O42-Components!$D$2))</f>
        <v/>
      </c>
      <c r="Q42" s="100">
        <f>IF(G42="","",ABS(O42-Components!$D$3))</f>
        <v/>
      </c>
      <c r="R42" s="100">
        <f>IF(G42="","",ABS(O42-Components!$D$4))</f>
        <v/>
      </c>
      <c r="S42" s="100">
        <f>IF(G42="","",ABS(O42-Components!$D$5))</f>
        <v/>
      </c>
      <c r="T42" s="100">
        <f>IF(G42="","",ABS(O42-Components!$D$6))</f>
        <v/>
      </c>
      <c r="U42" s="100">
        <f>IF(G42="","",ABS(O42-Components!$D$7))</f>
        <v/>
      </c>
      <c r="V42" s="98">
        <f>IF(G42="","",IF(M42="OK","NONE",INDEX({"S1","S2","W1","W2","N1","N2"},MATCH(MIN(P42:U42),P42:U42,0))))</f>
        <v/>
      </c>
      <c r="W42" s="103">
        <f>IF(G42="","",IF(V42=E42,1,0))</f>
        <v/>
      </c>
    </row>
    <row r="43">
      <c r="A43" s="102">
        <f>'Runs Z score'!A31</f>
        <v/>
      </c>
      <c r="B43" s="98">
        <f>'Runs Z score'!B31</f>
        <v/>
      </c>
      <c r="C43" s="98">
        <f>'Runs Z score'!C31</f>
        <v/>
      </c>
      <c r="D43" s="98">
        <f>'Runs Z score'!D31</f>
        <v/>
      </c>
      <c r="E43" s="98">
        <f>'Runs Z score'!E31</f>
        <v/>
      </c>
      <c r="F43" s="98">
        <f>'Runs Z score'!F31</f>
        <v/>
      </c>
      <c r="G43" s="99">
        <f>'Runs Z score'!G31</f>
        <v/>
      </c>
      <c r="H43" s="100">
        <f>VLOOKUP(C43,Recipes!$A$2:$N$4,10,FALSE())</f>
        <v/>
      </c>
      <c r="I43" s="101">
        <f>VLOOKUP(C43,Recipes!$A$2:$N$4,12,FALSE())</f>
        <v/>
      </c>
      <c r="J43" s="101">
        <f>IF(G43="","",((G43-H43)/I43)^2)</f>
        <v/>
      </c>
      <c r="K43" s="101">
        <f>IF(G43="","",MAX(0, J43-$B$12))</f>
        <v/>
      </c>
      <c r="L43" s="100">
        <f>IF(G43="","",SQRT(K43))</f>
        <v/>
      </c>
      <c r="M43" s="98">
        <f>IF(G43="","",IF(K43&lt;=$B$10,"OK","NG"))</f>
        <v/>
      </c>
      <c r="N43" s="69">
        <f>IF(M43="","",IF(M43=D43,1,0))</f>
        <v/>
      </c>
      <c r="O43" s="100">
        <f>IF(G43="","",H43-G43)</f>
        <v/>
      </c>
      <c r="P43" s="100">
        <f>IF(G43="","",ABS(O43-Components!$D$2))</f>
        <v/>
      </c>
      <c r="Q43" s="100">
        <f>IF(G43="","",ABS(O43-Components!$D$3))</f>
        <v/>
      </c>
      <c r="R43" s="100">
        <f>IF(G43="","",ABS(O43-Components!$D$4))</f>
        <v/>
      </c>
      <c r="S43" s="100">
        <f>IF(G43="","",ABS(O43-Components!$D$5))</f>
        <v/>
      </c>
      <c r="T43" s="100">
        <f>IF(G43="","",ABS(O43-Components!$D$6))</f>
        <v/>
      </c>
      <c r="U43" s="100">
        <f>IF(G43="","",ABS(O43-Components!$D$7))</f>
        <v/>
      </c>
      <c r="V43" s="98">
        <f>IF(G43="","",IF(M43="OK","NONE",INDEX({"S1","S2","W1","W2","N1","N2"},MATCH(MIN(P43:U43),P43:U43,0))))</f>
        <v/>
      </c>
      <c r="W43" s="103">
        <f>IF(G43="","",IF(V43=E43,1,0))</f>
        <v/>
      </c>
    </row>
    <row r="44">
      <c r="A44" s="102">
        <f>'Runs Z score'!A32</f>
        <v/>
      </c>
      <c r="B44" s="98">
        <f>'Runs Z score'!B32</f>
        <v/>
      </c>
      <c r="C44" s="98">
        <f>'Runs Z score'!C32</f>
        <v/>
      </c>
      <c r="D44" s="98">
        <f>'Runs Z score'!D32</f>
        <v/>
      </c>
      <c r="E44" s="98">
        <f>'Runs Z score'!E32</f>
        <v/>
      </c>
      <c r="F44" s="98">
        <f>'Runs Z score'!F32</f>
        <v/>
      </c>
      <c r="G44" s="99">
        <f>'Runs Z score'!G32</f>
        <v/>
      </c>
      <c r="H44" s="100">
        <f>VLOOKUP(C44,Recipes!$A$2:$N$4,10,FALSE())</f>
        <v/>
      </c>
      <c r="I44" s="101">
        <f>VLOOKUP(C44,Recipes!$A$2:$N$4,12,FALSE())</f>
        <v/>
      </c>
      <c r="J44" s="101">
        <f>IF(G44="","",((G44-H44)/I44)^2)</f>
        <v/>
      </c>
      <c r="K44" s="101">
        <f>IF(G44="","",MAX(0, J44-$B$12))</f>
        <v/>
      </c>
      <c r="L44" s="100">
        <f>IF(G44="","",SQRT(K44))</f>
        <v/>
      </c>
      <c r="M44" s="98">
        <f>IF(G44="","",IF(K44&lt;=$B$10,"OK","NG"))</f>
        <v/>
      </c>
      <c r="N44" s="69">
        <f>IF(M44="","",IF(M44=D44,1,0))</f>
        <v/>
      </c>
      <c r="O44" s="100">
        <f>IF(G44="","",H44-G44)</f>
        <v/>
      </c>
      <c r="P44" s="100">
        <f>IF(G44="","",ABS(O44-Components!$D$2))</f>
        <v/>
      </c>
      <c r="Q44" s="100">
        <f>IF(G44="","",ABS(O44-Components!$D$3))</f>
        <v/>
      </c>
      <c r="R44" s="100">
        <f>IF(G44="","",ABS(O44-Components!$D$4))</f>
        <v/>
      </c>
      <c r="S44" s="100">
        <f>IF(G44="","",ABS(O44-Components!$D$5))</f>
        <v/>
      </c>
      <c r="T44" s="100">
        <f>IF(G44="","",ABS(O44-Components!$D$6))</f>
        <v/>
      </c>
      <c r="U44" s="100">
        <f>IF(G44="","",ABS(O44-Components!$D$7))</f>
        <v/>
      </c>
      <c r="V44" s="98">
        <f>IF(G44="","",IF(M44="OK","NONE",INDEX({"S1","S2","W1","W2","N1","N2"},MATCH(MIN(P44:U44),P44:U44,0))))</f>
        <v/>
      </c>
      <c r="W44" s="103">
        <f>IF(G44="","",IF(V44=E44,1,0))</f>
        <v/>
      </c>
    </row>
    <row r="45">
      <c r="A45" s="102">
        <f>'Runs Z score'!A33</f>
        <v/>
      </c>
      <c r="B45" s="98">
        <f>'Runs Z score'!B33</f>
        <v/>
      </c>
      <c r="C45" s="98">
        <f>'Runs Z score'!C33</f>
        <v/>
      </c>
      <c r="D45" s="98">
        <f>'Runs Z score'!D33</f>
        <v/>
      </c>
      <c r="E45" s="98">
        <f>'Runs Z score'!E33</f>
        <v/>
      </c>
      <c r="F45" s="98">
        <f>'Runs Z score'!F33</f>
        <v/>
      </c>
      <c r="G45" s="99">
        <f>'Runs Z score'!G33</f>
        <v/>
      </c>
      <c r="H45" s="100">
        <f>VLOOKUP(C45,Recipes!$A$2:$N$4,10,FALSE())</f>
        <v/>
      </c>
      <c r="I45" s="101">
        <f>VLOOKUP(C45,Recipes!$A$2:$N$4,12,FALSE())</f>
        <v/>
      </c>
      <c r="J45" s="101">
        <f>IF(G45="","",((G45-H45)/I45)^2)</f>
        <v/>
      </c>
      <c r="K45" s="101">
        <f>IF(G45="","",MAX(0, J45-$B$12))</f>
        <v/>
      </c>
      <c r="L45" s="100">
        <f>IF(G45="","",SQRT(K45))</f>
        <v/>
      </c>
      <c r="M45" s="98">
        <f>IF(G45="","",IF(K45&lt;=$B$10,"OK","NG"))</f>
        <v/>
      </c>
      <c r="N45" s="69">
        <f>IF(M45="","",IF(M45=D45,1,0))</f>
        <v/>
      </c>
      <c r="O45" s="100">
        <f>IF(G45="","",H45-G45)</f>
        <v/>
      </c>
      <c r="P45" s="100">
        <f>IF(G45="","",ABS(O45-Components!$D$2))</f>
        <v/>
      </c>
      <c r="Q45" s="100">
        <f>IF(G45="","",ABS(O45-Components!$D$3))</f>
        <v/>
      </c>
      <c r="R45" s="100">
        <f>IF(G45="","",ABS(O45-Components!$D$4))</f>
        <v/>
      </c>
      <c r="S45" s="100">
        <f>IF(G45="","",ABS(O45-Components!$D$5))</f>
        <v/>
      </c>
      <c r="T45" s="100">
        <f>IF(G45="","",ABS(O45-Components!$D$6))</f>
        <v/>
      </c>
      <c r="U45" s="100">
        <f>IF(G45="","",ABS(O45-Components!$D$7))</f>
        <v/>
      </c>
      <c r="V45" s="98">
        <f>IF(G45="","",IF(M45="OK","NONE",INDEX({"S1","S2","W1","W2","N1","N2"},MATCH(MIN(P45:U45),P45:U45,0))))</f>
        <v/>
      </c>
      <c r="W45" s="103">
        <f>IF(G45="","",IF(V45=E45,1,0))</f>
        <v/>
      </c>
    </row>
    <row r="46">
      <c r="A46" s="102">
        <f>'Runs Z score'!A34</f>
        <v/>
      </c>
      <c r="B46" s="98">
        <f>'Runs Z score'!B34</f>
        <v/>
      </c>
      <c r="C46" s="98">
        <f>'Runs Z score'!C34</f>
        <v/>
      </c>
      <c r="D46" s="98">
        <f>'Runs Z score'!D34</f>
        <v/>
      </c>
      <c r="E46" s="98">
        <f>'Runs Z score'!E34</f>
        <v/>
      </c>
      <c r="F46" s="98">
        <f>'Runs Z score'!F34</f>
        <v/>
      </c>
      <c r="G46" s="99">
        <f>'Runs Z score'!G34</f>
        <v/>
      </c>
      <c r="H46" s="100">
        <f>VLOOKUP(C46,Recipes!$A$2:$N$4,10,FALSE())</f>
        <v/>
      </c>
      <c r="I46" s="101">
        <f>VLOOKUP(C46,Recipes!$A$2:$N$4,12,FALSE())</f>
        <v/>
      </c>
      <c r="J46" s="101">
        <f>IF(G46="","",((G46-H46)/I46)^2)</f>
        <v/>
      </c>
      <c r="K46" s="101">
        <f>IF(G46="","",MAX(0, J46-$B$12))</f>
        <v/>
      </c>
      <c r="L46" s="100">
        <f>IF(G46="","",SQRT(K46))</f>
        <v/>
      </c>
      <c r="M46" s="98">
        <f>IF(G46="","",IF(K46&lt;=$B$10,"OK","NG"))</f>
        <v/>
      </c>
      <c r="N46" s="69">
        <f>IF(M46="","",IF(M46=D46,1,0))</f>
        <v/>
      </c>
      <c r="O46" s="100">
        <f>IF(G46="","",H46-G46)</f>
        <v/>
      </c>
      <c r="P46" s="100">
        <f>IF(G46="","",ABS(O46-Components!$D$2))</f>
        <v/>
      </c>
      <c r="Q46" s="100">
        <f>IF(G46="","",ABS(O46-Components!$D$3))</f>
        <v/>
      </c>
      <c r="R46" s="100">
        <f>IF(G46="","",ABS(O46-Components!$D$4))</f>
        <v/>
      </c>
      <c r="S46" s="100">
        <f>IF(G46="","",ABS(O46-Components!$D$5))</f>
        <v/>
      </c>
      <c r="T46" s="100">
        <f>IF(G46="","",ABS(O46-Components!$D$6))</f>
        <v/>
      </c>
      <c r="U46" s="100">
        <f>IF(G46="","",ABS(O46-Components!$D$7))</f>
        <v/>
      </c>
      <c r="V46" s="98">
        <f>IF(G46="","",IF(M46="OK","NONE",INDEX({"S1","S2","W1","W2","N1","N2"},MATCH(MIN(P46:U46),P46:U46,0))))</f>
        <v/>
      </c>
      <c r="W46" s="103">
        <f>IF(G46="","",IF(V46=E46,1,0))</f>
        <v/>
      </c>
    </row>
    <row r="47">
      <c r="A47" s="102">
        <f>'Runs Z score'!A35</f>
        <v/>
      </c>
      <c r="B47" s="98">
        <f>'Runs Z score'!B35</f>
        <v/>
      </c>
      <c r="C47" s="98">
        <f>'Runs Z score'!C35</f>
        <v/>
      </c>
      <c r="D47" s="98">
        <f>'Runs Z score'!D35</f>
        <v/>
      </c>
      <c r="E47" s="98">
        <f>'Runs Z score'!E35</f>
        <v/>
      </c>
      <c r="F47" s="98">
        <f>'Runs Z score'!F35</f>
        <v/>
      </c>
      <c r="G47" s="99">
        <f>'Runs Z score'!G35</f>
        <v/>
      </c>
      <c r="H47" s="100">
        <f>VLOOKUP(C47,Recipes!$A$2:$N$4,10,FALSE())</f>
        <v/>
      </c>
      <c r="I47" s="101">
        <f>VLOOKUP(C47,Recipes!$A$2:$N$4,12,FALSE())</f>
        <v/>
      </c>
      <c r="J47" s="101">
        <f>IF(G47="","",((G47-H47)/I47)^2)</f>
        <v/>
      </c>
      <c r="K47" s="101">
        <f>IF(G47="","",MAX(0, J47-$B$12))</f>
        <v/>
      </c>
      <c r="L47" s="100">
        <f>IF(G47="","",SQRT(K47))</f>
        <v/>
      </c>
      <c r="M47" s="98">
        <f>IF(G47="","",IF(K47&lt;=$B$10,"OK","NG"))</f>
        <v/>
      </c>
      <c r="N47" s="69">
        <f>IF(M47="","",IF(M47=D47,1,0))</f>
        <v/>
      </c>
      <c r="O47" s="100">
        <f>IF(G47="","",H47-G47)</f>
        <v/>
      </c>
      <c r="P47" s="100">
        <f>IF(G47="","",ABS(O47-Components!$D$2))</f>
        <v/>
      </c>
      <c r="Q47" s="100">
        <f>IF(G47="","",ABS(O47-Components!$D$3))</f>
        <v/>
      </c>
      <c r="R47" s="100">
        <f>IF(G47="","",ABS(O47-Components!$D$4))</f>
        <v/>
      </c>
      <c r="S47" s="100">
        <f>IF(G47="","",ABS(O47-Components!$D$5))</f>
        <v/>
      </c>
      <c r="T47" s="100">
        <f>IF(G47="","",ABS(O47-Components!$D$6))</f>
        <v/>
      </c>
      <c r="U47" s="100">
        <f>IF(G47="","",ABS(O47-Components!$D$7))</f>
        <v/>
      </c>
      <c r="V47" s="98">
        <f>IF(G47="","",IF(M47="OK","NONE",INDEX({"S1","S2","W1","W2","N1","N2"},MATCH(MIN(P47:U47),P47:U47,0))))</f>
        <v/>
      </c>
      <c r="W47" s="103">
        <f>IF(G47="","",IF(V47=E47,1,0))</f>
        <v/>
      </c>
    </row>
    <row r="48">
      <c r="A48" s="102">
        <f>'Runs Z score'!A36</f>
        <v/>
      </c>
      <c r="B48" s="98">
        <f>'Runs Z score'!B36</f>
        <v/>
      </c>
      <c r="C48" s="98">
        <f>'Runs Z score'!C36</f>
        <v/>
      </c>
      <c r="D48" s="98">
        <f>'Runs Z score'!D36</f>
        <v/>
      </c>
      <c r="E48" s="98">
        <f>'Runs Z score'!E36</f>
        <v/>
      </c>
      <c r="F48" s="98">
        <f>'Runs Z score'!F36</f>
        <v/>
      </c>
      <c r="G48" s="99">
        <f>'Runs Z score'!G36</f>
        <v/>
      </c>
      <c r="H48" s="100">
        <f>VLOOKUP(C48,Recipes!$A$2:$N$4,10,FALSE())</f>
        <v/>
      </c>
      <c r="I48" s="101">
        <f>VLOOKUP(C48,Recipes!$A$2:$N$4,12,FALSE())</f>
        <v/>
      </c>
      <c r="J48" s="101">
        <f>IF(G48="","",((G48-H48)/I48)^2)</f>
        <v/>
      </c>
      <c r="K48" s="101">
        <f>IF(G48="","",MAX(0, J48-$B$12))</f>
        <v/>
      </c>
      <c r="L48" s="100">
        <f>IF(G48="","",SQRT(K48))</f>
        <v/>
      </c>
      <c r="M48" s="98">
        <f>IF(G48="","",IF(K48&lt;=$B$10,"OK","NG"))</f>
        <v/>
      </c>
      <c r="N48" s="69">
        <f>IF(M48="","",IF(M48=D48,1,0))</f>
        <v/>
      </c>
      <c r="O48" s="100">
        <f>IF(G48="","",H48-G48)</f>
        <v/>
      </c>
      <c r="P48" s="100">
        <f>IF(G48="","",ABS(O48-Components!$D$2))</f>
        <v/>
      </c>
      <c r="Q48" s="100">
        <f>IF(G48="","",ABS(O48-Components!$D$3))</f>
        <v/>
      </c>
      <c r="R48" s="100">
        <f>IF(G48="","",ABS(O48-Components!$D$4))</f>
        <v/>
      </c>
      <c r="S48" s="100">
        <f>IF(G48="","",ABS(O48-Components!$D$5))</f>
        <v/>
      </c>
      <c r="T48" s="100">
        <f>IF(G48="","",ABS(O48-Components!$D$6))</f>
        <v/>
      </c>
      <c r="U48" s="100">
        <f>IF(G48="","",ABS(O48-Components!$D$7))</f>
        <v/>
      </c>
      <c r="V48" s="98">
        <f>IF(G48="","",IF(M48="OK","NONE",INDEX({"S1","S2","W1","W2","N1","N2"},MATCH(MIN(P48:U48),P48:U48,0))))</f>
        <v/>
      </c>
      <c r="W48" s="103">
        <f>IF(G48="","",IF(V48=E48,1,0))</f>
        <v/>
      </c>
    </row>
    <row r="49">
      <c r="A49" s="102">
        <f>'Runs Z score'!A37</f>
        <v/>
      </c>
      <c r="B49" s="98">
        <f>'Runs Z score'!B37</f>
        <v/>
      </c>
      <c r="C49" s="98">
        <f>'Runs Z score'!C37</f>
        <v/>
      </c>
      <c r="D49" s="98">
        <f>'Runs Z score'!D37</f>
        <v/>
      </c>
      <c r="E49" s="98">
        <f>'Runs Z score'!E37</f>
        <v/>
      </c>
      <c r="F49" s="98">
        <f>'Runs Z score'!F37</f>
        <v/>
      </c>
      <c r="G49" s="99">
        <f>'Runs Z score'!G37</f>
        <v/>
      </c>
      <c r="H49" s="100">
        <f>VLOOKUP(C49,Recipes!$A$2:$N$4,10,FALSE())</f>
        <v/>
      </c>
      <c r="I49" s="101">
        <f>VLOOKUP(C49,Recipes!$A$2:$N$4,12,FALSE())</f>
        <v/>
      </c>
      <c r="J49" s="101">
        <f>IF(G49="","",((G49-H49)/I49)^2)</f>
        <v/>
      </c>
      <c r="K49" s="101">
        <f>IF(G49="","",MAX(0, J49-$B$12))</f>
        <v/>
      </c>
      <c r="L49" s="100">
        <f>IF(G49="","",SQRT(K49))</f>
        <v/>
      </c>
      <c r="M49" s="98">
        <f>IF(G49="","",IF(K49&lt;=$B$10,"OK","NG"))</f>
        <v/>
      </c>
      <c r="N49" s="69">
        <f>IF(M49="","",IF(M49=D49,1,0))</f>
        <v/>
      </c>
      <c r="O49" s="100">
        <f>IF(G49="","",H49-G49)</f>
        <v/>
      </c>
      <c r="P49" s="100">
        <f>IF(G49="","",ABS(O49-Components!$D$2))</f>
        <v/>
      </c>
      <c r="Q49" s="100">
        <f>IF(G49="","",ABS(O49-Components!$D$3))</f>
        <v/>
      </c>
      <c r="R49" s="100">
        <f>IF(G49="","",ABS(O49-Components!$D$4))</f>
        <v/>
      </c>
      <c r="S49" s="100">
        <f>IF(G49="","",ABS(O49-Components!$D$5))</f>
        <v/>
      </c>
      <c r="T49" s="100">
        <f>IF(G49="","",ABS(O49-Components!$D$6))</f>
        <v/>
      </c>
      <c r="U49" s="100">
        <f>IF(G49="","",ABS(O49-Components!$D$7))</f>
        <v/>
      </c>
      <c r="V49" s="98">
        <f>IF(G49="","",IF(M49="OK","NONE",INDEX({"S1","S2","W1","W2","N1","N2"},MATCH(MIN(P49:U49),P49:U49,0))))</f>
        <v/>
      </c>
      <c r="W49" s="103">
        <f>IF(G49="","",IF(V49=E49,1,0))</f>
        <v/>
      </c>
    </row>
    <row r="50">
      <c r="A50" s="102">
        <f>'Runs Z score'!A38</f>
        <v/>
      </c>
      <c r="B50" s="98">
        <f>'Runs Z score'!B38</f>
        <v/>
      </c>
      <c r="C50" s="98">
        <f>'Runs Z score'!C38</f>
        <v/>
      </c>
      <c r="D50" s="98">
        <f>'Runs Z score'!D38</f>
        <v/>
      </c>
      <c r="E50" s="98">
        <f>'Runs Z score'!E38</f>
        <v/>
      </c>
      <c r="F50" s="98">
        <f>'Runs Z score'!F38</f>
        <v/>
      </c>
      <c r="G50" s="99">
        <f>'Runs Z score'!G38</f>
        <v/>
      </c>
      <c r="H50" s="100">
        <f>VLOOKUP(C50,Recipes!$A$2:$N$4,10,FALSE())</f>
        <v/>
      </c>
      <c r="I50" s="101">
        <f>VLOOKUP(C50,Recipes!$A$2:$N$4,12,FALSE())</f>
        <v/>
      </c>
      <c r="J50" s="101">
        <f>IF(G50="","",((G50-H50)/I50)^2)</f>
        <v/>
      </c>
      <c r="K50" s="101">
        <f>IF(G50="","",MAX(0, J50-$B$12))</f>
        <v/>
      </c>
      <c r="L50" s="100">
        <f>IF(G50="","",SQRT(K50))</f>
        <v/>
      </c>
      <c r="M50" s="98">
        <f>IF(G50="","",IF(K50&lt;=$B$10,"OK","NG"))</f>
        <v/>
      </c>
      <c r="N50" s="69">
        <f>IF(M50="","",IF(M50=D50,1,0))</f>
        <v/>
      </c>
      <c r="O50" s="100">
        <f>IF(G50="","",H50-G50)</f>
        <v/>
      </c>
      <c r="P50" s="100">
        <f>IF(G50="","",ABS(O50-Components!$D$2))</f>
        <v/>
      </c>
      <c r="Q50" s="100">
        <f>IF(G50="","",ABS(O50-Components!$D$3))</f>
        <v/>
      </c>
      <c r="R50" s="100">
        <f>IF(G50="","",ABS(O50-Components!$D$4))</f>
        <v/>
      </c>
      <c r="S50" s="100">
        <f>IF(G50="","",ABS(O50-Components!$D$5))</f>
        <v/>
      </c>
      <c r="T50" s="100">
        <f>IF(G50="","",ABS(O50-Components!$D$6))</f>
        <v/>
      </c>
      <c r="U50" s="100">
        <f>IF(G50="","",ABS(O50-Components!$D$7))</f>
        <v/>
      </c>
      <c r="V50" s="98">
        <f>IF(G50="","",IF(M50="OK","NONE",INDEX({"S1","S2","W1","W2","N1","N2"},MATCH(MIN(P50:U50),P50:U50,0))))</f>
        <v/>
      </c>
      <c r="W50" s="103">
        <f>IF(G50="","",IF(V50=E50,1,0))</f>
        <v/>
      </c>
    </row>
    <row r="51">
      <c r="A51" s="102">
        <f>'Runs Z score'!A39</f>
        <v/>
      </c>
      <c r="B51" s="98">
        <f>'Runs Z score'!B39</f>
        <v/>
      </c>
      <c r="C51" s="98">
        <f>'Runs Z score'!C39</f>
        <v/>
      </c>
      <c r="D51" s="98">
        <f>'Runs Z score'!D39</f>
        <v/>
      </c>
      <c r="E51" s="98">
        <f>'Runs Z score'!E39</f>
        <v/>
      </c>
      <c r="F51" s="98">
        <f>'Runs Z score'!F39</f>
        <v/>
      </c>
      <c r="G51" s="99">
        <f>'Runs Z score'!G39</f>
        <v/>
      </c>
      <c r="H51" s="100">
        <f>VLOOKUP(C51,Recipes!$A$2:$N$4,10,FALSE())</f>
        <v/>
      </c>
      <c r="I51" s="101">
        <f>VLOOKUP(C51,Recipes!$A$2:$N$4,12,FALSE())</f>
        <v/>
      </c>
      <c r="J51" s="101">
        <f>IF(G51="","",((G51-H51)/I51)^2)</f>
        <v/>
      </c>
      <c r="K51" s="101">
        <f>IF(G51="","",MAX(0, J51-$B$12))</f>
        <v/>
      </c>
      <c r="L51" s="100">
        <f>IF(G51="","",SQRT(K51))</f>
        <v/>
      </c>
      <c r="M51" s="98">
        <f>IF(G51="","",IF(K51&lt;=$B$10,"OK","NG"))</f>
        <v/>
      </c>
      <c r="N51" s="69">
        <f>IF(M51="","",IF(M51=D51,1,0))</f>
        <v/>
      </c>
      <c r="O51" s="100">
        <f>IF(G51="","",H51-G51)</f>
        <v/>
      </c>
      <c r="P51" s="100">
        <f>IF(G51="","",ABS(O51-Components!$D$2))</f>
        <v/>
      </c>
      <c r="Q51" s="100">
        <f>IF(G51="","",ABS(O51-Components!$D$3))</f>
        <v/>
      </c>
      <c r="R51" s="100">
        <f>IF(G51="","",ABS(O51-Components!$D$4))</f>
        <v/>
      </c>
      <c r="S51" s="100">
        <f>IF(G51="","",ABS(O51-Components!$D$5))</f>
        <v/>
      </c>
      <c r="T51" s="100">
        <f>IF(G51="","",ABS(O51-Components!$D$6))</f>
        <v/>
      </c>
      <c r="U51" s="100">
        <f>IF(G51="","",ABS(O51-Components!$D$7))</f>
        <v/>
      </c>
      <c r="V51" s="98">
        <f>IF(G51="","",IF(M51="OK","NONE",INDEX({"S1","S2","W1","W2","N1","N2"},MATCH(MIN(P51:U51),P51:U51,0))))</f>
        <v/>
      </c>
      <c r="W51" s="103">
        <f>IF(G51="","",IF(V51=E51,1,0))</f>
        <v/>
      </c>
    </row>
    <row r="52">
      <c r="A52" s="102">
        <f>'Runs Z score'!A40</f>
        <v/>
      </c>
      <c r="B52" s="98">
        <f>'Runs Z score'!B40</f>
        <v/>
      </c>
      <c r="C52" s="98">
        <f>'Runs Z score'!C40</f>
        <v/>
      </c>
      <c r="D52" s="98">
        <f>'Runs Z score'!D40</f>
        <v/>
      </c>
      <c r="E52" s="98">
        <f>'Runs Z score'!E40</f>
        <v/>
      </c>
      <c r="F52" s="98">
        <f>'Runs Z score'!F40</f>
        <v/>
      </c>
      <c r="G52" s="99">
        <f>'Runs Z score'!G40</f>
        <v/>
      </c>
      <c r="H52" s="100">
        <f>VLOOKUP(C52,Recipes!$A$2:$N$4,10,FALSE())</f>
        <v/>
      </c>
      <c r="I52" s="101">
        <f>VLOOKUP(C52,Recipes!$A$2:$N$4,12,FALSE())</f>
        <v/>
      </c>
      <c r="J52" s="101">
        <f>IF(G52="","",((G52-H52)/I52)^2)</f>
        <v/>
      </c>
      <c r="K52" s="101">
        <f>IF(G52="","",MAX(0, J52-$B$12))</f>
        <v/>
      </c>
      <c r="L52" s="100">
        <f>IF(G52="","",SQRT(K52))</f>
        <v/>
      </c>
      <c r="M52" s="98">
        <f>IF(G52="","",IF(K52&lt;=$B$10,"OK","NG"))</f>
        <v/>
      </c>
      <c r="N52" s="69">
        <f>IF(M52="","",IF(M52=D52,1,0))</f>
        <v/>
      </c>
      <c r="O52" s="100">
        <f>IF(G52="","",H52-G52)</f>
        <v/>
      </c>
      <c r="P52" s="100">
        <f>IF(G52="","",ABS(O52-Components!$D$2))</f>
        <v/>
      </c>
      <c r="Q52" s="100">
        <f>IF(G52="","",ABS(O52-Components!$D$3))</f>
        <v/>
      </c>
      <c r="R52" s="100">
        <f>IF(G52="","",ABS(O52-Components!$D$4))</f>
        <v/>
      </c>
      <c r="S52" s="100">
        <f>IF(G52="","",ABS(O52-Components!$D$5))</f>
        <v/>
      </c>
      <c r="T52" s="100">
        <f>IF(G52="","",ABS(O52-Components!$D$6))</f>
        <v/>
      </c>
      <c r="U52" s="100">
        <f>IF(G52="","",ABS(O52-Components!$D$7))</f>
        <v/>
      </c>
      <c r="V52" s="98">
        <f>IF(G52="","",IF(M52="OK","NONE",INDEX({"S1","S2","W1","W2","N1","N2"},MATCH(MIN(P52:U52),P52:U52,0))))</f>
        <v/>
      </c>
      <c r="W52" s="103">
        <f>IF(G52="","",IF(V52=E52,1,0))</f>
        <v/>
      </c>
    </row>
    <row r="53">
      <c r="A53" s="102">
        <f>'Runs Z score'!A41</f>
        <v/>
      </c>
      <c r="B53" s="98">
        <f>'Runs Z score'!B41</f>
        <v/>
      </c>
      <c r="C53" s="98">
        <f>'Runs Z score'!C41</f>
        <v/>
      </c>
      <c r="D53" s="98">
        <f>'Runs Z score'!D41</f>
        <v/>
      </c>
      <c r="E53" s="98">
        <f>'Runs Z score'!E41</f>
        <v/>
      </c>
      <c r="F53" s="98">
        <f>'Runs Z score'!F41</f>
        <v/>
      </c>
      <c r="G53" s="99">
        <f>'Runs Z score'!G41</f>
        <v/>
      </c>
      <c r="H53" s="100">
        <f>VLOOKUP(C53,Recipes!$A$2:$N$4,10,FALSE())</f>
        <v/>
      </c>
      <c r="I53" s="101">
        <f>VLOOKUP(C53,Recipes!$A$2:$N$4,12,FALSE())</f>
        <v/>
      </c>
      <c r="J53" s="101">
        <f>IF(G53="","",((G53-H53)/I53)^2)</f>
        <v/>
      </c>
      <c r="K53" s="101">
        <f>IF(G53="","",MAX(0, J53-$B$12))</f>
        <v/>
      </c>
      <c r="L53" s="100">
        <f>IF(G53="","",SQRT(K53))</f>
        <v/>
      </c>
      <c r="M53" s="98">
        <f>IF(G53="","",IF(K53&lt;=$B$10,"OK","NG"))</f>
        <v/>
      </c>
      <c r="N53" s="69">
        <f>IF(M53="","",IF(M53=D53,1,0))</f>
        <v/>
      </c>
      <c r="O53" s="100">
        <f>IF(G53="","",H53-G53)</f>
        <v/>
      </c>
      <c r="P53" s="100">
        <f>IF(G53="","",ABS(O53-Components!$D$2))</f>
        <v/>
      </c>
      <c r="Q53" s="100">
        <f>IF(G53="","",ABS(O53-Components!$D$3))</f>
        <v/>
      </c>
      <c r="R53" s="100">
        <f>IF(G53="","",ABS(O53-Components!$D$4))</f>
        <v/>
      </c>
      <c r="S53" s="100">
        <f>IF(G53="","",ABS(O53-Components!$D$5))</f>
        <v/>
      </c>
      <c r="T53" s="100">
        <f>IF(G53="","",ABS(O53-Components!$D$6))</f>
        <v/>
      </c>
      <c r="U53" s="100">
        <f>IF(G53="","",ABS(O53-Components!$D$7))</f>
        <v/>
      </c>
      <c r="V53" s="98">
        <f>IF(G53="","",IF(M53="OK","NONE",INDEX({"S1","S2","W1","W2","N1","N2"},MATCH(MIN(P53:U53),P53:U53,0))))</f>
        <v/>
      </c>
      <c r="W53" s="103">
        <f>IF(G53="","",IF(V53=E53,1,0))</f>
        <v/>
      </c>
    </row>
    <row r="54">
      <c r="A54" s="102">
        <f>'Runs Z score'!A42</f>
        <v/>
      </c>
      <c r="B54" s="98">
        <f>'Runs Z score'!B42</f>
        <v/>
      </c>
      <c r="C54" s="98">
        <f>'Runs Z score'!C42</f>
        <v/>
      </c>
      <c r="D54" s="98">
        <f>'Runs Z score'!D42</f>
        <v/>
      </c>
      <c r="E54" s="98">
        <f>'Runs Z score'!E42</f>
        <v/>
      </c>
      <c r="F54" s="98">
        <f>'Runs Z score'!F42</f>
        <v/>
      </c>
      <c r="G54" s="99">
        <f>'Runs Z score'!G42</f>
        <v/>
      </c>
      <c r="H54" s="100">
        <f>VLOOKUP(C54,Recipes!$A$2:$N$4,10,FALSE())</f>
        <v/>
      </c>
      <c r="I54" s="101">
        <f>VLOOKUP(C54,Recipes!$A$2:$N$4,12,FALSE())</f>
        <v/>
      </c>
      <c r="J54" s="101">
        <f>IF(G54="","",((G54-H54)/I54)^2)</f>
        <v/>
      </c>
      <c r="K54" s="101">
        <f>IF(G54="","",MAX(0, J54-$B$12))</f>
        <v/>
      </c>
      <c r="L54" s="100">
        <f>IF(G54="","",SQRT(K54))</f>
        <v/>
      </c>
      <c r="M54" s="98">
        <f>IF(G54="","",IF(K54&lt;=$B$10,"OK","NG"))</f>
        <v/>
      </c>
      <c r="N54" s="69">
        <f>IF(M54="","",IF(M54=D54,1,0))</f>
        <v/>
      </c>
      <c r="O54" s="100">
        <f>IF(G54="","",H54-G54)</f>
        <v/>
      </c>
      <c r="P54" s="100">
        <f>IF(G54="","",ABS(O54-Components!$D$2))</f>
        <v/>
      </c>
      <c r="Q54" s="100">
        <f>IF(G54="","",ABS(O54-Components!$D$3))</f>
        <v/>
      </c>
      <c r="R54" s="100">
        <f>IF(G54="","",ABS(O54-Components!$D$4))</f>
        <v/>
      </c>
      <c r="S54" s="100">
        <f>IF(G54="","",ABS(O54-Components!$D$5))</f>
        <v/>
      </c>
      <c r="T54" s="100">
        <f>IF(G54="","",ABS(O54-Components!$D$6))</f>
        <v/>
      </c>
      <c r="U54" s="100">
        <f>IF(G54="","",ABS(O54-Components!$D$7))</f>
        <v/>
      </c>
      <c r="V54" s="98">
        <f>IF(G54="","",IF(M54="OK","NONE",INDEX({"S1","S2","W1","W2","N1","N2"},MATCH(MIN(P54:U54),P54:U54,0))))</f>
        <v/>
      </c>
      <c r="W54" s="103">
        <f>IF(G54="","",IF(V54=E54,1,0))</f>
        <v/>
      </c>
    </row>
    <row r="55">
      <c r="A55" s="102">
        <f>'Runs Z score'!A43</f>
        <v/>
      </c>
      <c r="B55" s="98">
        <f>'Runs Z score'!B43</f>
        <v/>
      </c>
      <c r="C55" s="98">
        <f>'Runs Z score'!C43</f>
        <v/>
      </c>
      <c r="D55" s="98">
        <f>'Runs Z score'!D43</f>
        <v/>
      </c>
      <c r="E55" s="98">
        <f>'Runs Z score'!E43</f>
        <v/>
      </c>
      <c r="F55" s="98">
        <f>'Runs Z score'!F43</f>
        <v/>
      </c>
      <c r="G55" s="99">
        <f>'Runs Z score'!G43</f>
        <v/>
      </c>
      <c r="H55" s="100">
        <f>VLOOKUP(C55,Recipes!$A$2:$N$4,10,FALSE())</f>
        <v/>
      </c>
      <c r="I55" s="101">
        <f>VLOOKUP(C55,Recipes!$A$2:$N$4,12,FALSE())</f>
        <v/>
      </c>
      <c r="J55" s="101">
        <f>IF(G55="","",((G55-H55)/I55)^2)</f>
        <v/>
      </c>
      <c r="K55" s="101">
        <f>IF(G55="","",MAX(0, J55-$B$12))</f>
        <v/>
      </c>
      <c r="L55" s="100">
        <f>IF(G55="","",SQRT(K55))</f>
        <v/>
      </c>
      <c r="M55" s="98">
        <f>IF(G55="","",IF(K55&lt;=$B$10,"OK","NG"))</f>
        <v/>
      </c>
      <c r="N55" s="69">
        <f>IF(M55="","",IF(M55=D55,1,0))</f>
        <v/>
      </c>
      <c r="O55" s="100">
        <f>IF(G55="","",H55-G55)</f>
        <v/>
      </c>
      <c r="P55" s="100">
        <f>IF(G55="","",ABS(O55-Components!$D$2))</f>
        <v/>
      </c>
      <c r="Q55" s="100">
        <f>IF(G55="","",ABS(O55-Components!$D$3))</f>
        <v/>
      </c>
      <c r="R55" s="100">
        <f>IF(G55="","",ABS(O55-Components!$D$4))</f>
        <v/>
      </c>
      <c r="S55" s="100">
        <f>IF(G55="","",ABS(O55-Components!$D$5))</f>
        <v/>
      </c>
      <c r="T55" s="100">
        <f>IF(G55="","",ABS(O55-Components!$D$6))</f>
        <v/>
      </c>
      <c r="U55" s="100">
        <f>IF(G55="","",ABS(O55-Components!$D$7))</f>
        <v/>
      </c>
      <c r="V55" s="98">
        <f>IF(G55="","",IF(M55="OK","NONE",INDEX({"S1","S2","W1","W2","N1","N2"},MATCH(MIN(P55:U55),P55:U55,0))))</f>
        <v/>
      </c>
      <c r="W55" s="103">
        <f>IF(G55="","",IF(V55=E55,1,0))</f>
        <v/>
      </c>
    </row>
    <row r="56">
      <c r="A56" s="102">
        <f>'Runs Z score'!A44</f>
        <v/>
      </c>
      <c r="B56" s="98">
        <f>'Runs Z score'!B44</f>
        <v/>
      </c>
      <c r="C56" s="98">
        <f>'Runs Z score'!C44</f>
        <v/>
      </c>
      <c r="D56" s="98">
        <f>'Runs Z score'!D44</f>
        <v/>
      </c>
      <c r="E56" s="98">
        <f>'Runs Z score'!E44</f>
        <v/>
      </c>
      <c r="F56" s="98">
        <f>'Runs Z score'!F44</f>
        <v/>
      </c>
      <c r="G56" s="99">
        <f>'Runs Z score'!G44</f>
        <v/>
      </c>
      <c r="H56" s="100">
        <f>VLOOKUP(C56,Recipes!$A$2:$N$4,10,FALSE())</f>
        <v/>
      </c>
      <c r="I56" s="101">
        <f>VLOOKUP(C56,Recipes!$A$2:$N$4,12,FALSE())</f>
        <v/>
      </c>
      <c r="J56" s="101">
        <f>IF(G56="","",((G56-H56)/I56)^2)</f>
        <v/>
      </c>
      <c r="K56" s="101">
        <f>IF(G56="","",MAX(0, J56-$B$12))</f>
        <v/>
      </c>
      <c r="L56" s="100">
        <f>IF(G56="","",SQRT(K56))</f>
        <v/>
      </c>
      <c r="M56" s="98">
        <f>IF(G56="","",IF(K56&lt;=$B$10,"OK","NG"))</f>
        <v/>
      </c>
      <c r="N56" s="69">
        <f>IF(M56="","",IF(M56=D56,1,0))</f>
        <v/>
      </c>
      <c r="O56" s="100">
        <f>IF(G56="","",H56-G56)</f>
        <v/>
      </c>
      <c r="P56" s="100">
        <f>IF(G56="","",ABS(O56-Components!$D$2))</f>
        <v/>
      </c>
      <c r="Q56" s="100">
        <f>IF(G56="","",ABS(O56-Components!$D$3))</f>
        <v/>
      </c>
      <c r="R56" s="100">
        <f>IF(G56="","",ABS(O56-Components!$D$4))</f>
        <v/>
      </c>
      <c r="S56" s="100">
        <f>IF(G56="","",ABS(O56-Components!$D$5))</f>
        <v/>
      </c>
      <c r="T56" s="100">
        <f>IF(G56="","",ABS(O56-Components!$D$6))</f>
        <v/>
      </c>
      <c r="U56" s="100">
        <f>IF(G56="","",ABS(O56-Components!$D$7))</f>
        <v/>
      </c>
      <c r="V56" s="98">
        <f>IF(G56="","",IF(M56="OK","NONE",INDEX({"S1","S2","W1","W2","N1","N2"},MATCH(MIN(P56:U56),P56:U56,0))))</f>
        <v/>
      </c>
      <c r="W56" s="103">
        <f>IF(G56="","",IF(V56=E56,1,0))</f>
        <v/>
      </c>
    </row>
    <row r="57">
      <c r="A57" s="102">
        <f>'Runs Z score'!A45</f>
        <v/>
      </c>
      <c r="B57" s="98">
        <f>'Runs Z score'!B45</f>
        <v/>
      </c>
      <c r="C57" s="98">
        <f>'Runs Z score'!C45</f>
        <v/>
      </c>
      <c r="D57" s="98">
        <f>'Runs Z score'!D45</f>
        <v/>
      </c>
      <c r="E57" s="98">
        <f>'Runs Z score'!E45</f>
        <v/>
      </c>
      <c r="F57" s="98">
        <f>'Runs Z score'!F45</f>
        <v/>
      </c>
      <c r="G57" s="99">
        <f>'Runs Z score'!G45</f>
        <v/>
      </c>
      <c r="H57" s="100">
        <f>VLOOKUP(C57,Recipes!$A$2:$N$4,10,FALSE())</f>
        <v/>
      </c>
      <c r="I57" s="101">
        <f>VLOOKUP(C57,Recipes!$A$2:$N$4,12,FALSE())</f>
        <v/>
      </c>
      <c r="J57" s="101">
        <f>IF(G57="","",((G57-H57)/I57)^2)</f>
        <v/>
      </c>
      <c r="K57" s="101">
        <f>IF(G57="","",MAX(0, J57-$B$12))</f>
        <v/>
      </c>
      <c r="L57" s="100">
        <f>IF(G57="","",SQRT(K57))</f>
        <v/>
      </c>
      <c r="M57" s="98">
        <f>IF(G57="","",IF(K57&lt;=$B$10,"OK","NG"))</f>
        <v/>
      </c>
      <c r="N57" s="69">
        <f>IF(M57="","",IF(M57=D57,1,0))</f>
        <v/>
      </c>
      <c r="O57" s="100">
        <f>IF(G57="","",H57-G57)</f>
        <v/>
      </c>
      <c r="P57" s="100">
        <f>IF(G57="","",ABS(O57-Components!$D$2))</f>
        <v/>
      </c>
      <c r="Q57" s="100">
        <f>IF(G57="","",ABS(O57-Components!$D$3))</f>
        <v/>
      </c>
      <c r="R57" s="100">
        <f>IF(G57="","",ABS(O57-Components!$D$4))</f>
        <v/>
      </c>
      <c r="S57" s="100">
        <f>IF(G57="","",ABS(O57-Components!$D$5))</f>
        <v/>
      </c>
      <c r="T57" s="100">
        <f>IF(G57="","",ABS(O57-Components!$D$6))</f>
        <v/>
      </c>
      <c r="U57" s="100">
        <f>IF(G57="","",ABS(O57-Components!$D$7))</f>
        <v/>
      </c>
      <c r="V57" s="98">
        <f>IF(G57="","",IF(M57="OK","NONE",INDEX({"S1","S2","W1","W2","N1","N2"},MATCH(MIN(P57:U57),P57:U57,0))))</f>
        <v/>
      </c>
      <c r="W57" s="103">
        <f>IF(G57="","",IF(V57=E57,1,0))</f>
        <v/>
      </c>
    </row>
    <row r="58">
      <c r="A58" s="102">
        <f>'Runs Z score'!A46</f>
        <v/>
      </c>
      <c r="B58" s="98">
        <f>'Runs Z score'!B46</f>
        <v/>
      </c>
      <c r="C58" s="98">
        <f>'Runs Z score'!C46</f>
        <v/>
      </c>
      <c r="D58" s="98">
        <f>'Runs Z score'!D46</f>
        <v/>
      </c>
      <c r="E58" s="98">
        <f>'Runs Z score'!E46</f>
        <v/>
      </c>
      <c r="F58" s="98">
        <f>'Runs Z score'!F46</f>
        <v/>
      </c>
      <c r="G58" s="99">
        <f>'Runs Z score'!G46</f>
        <v/>
      </c>
      <c r="H58" s="100">
        <f>VLOOKUP(C58,Recipes!$A$2:$N$4,10,FALSE())</f>
        <v/>
      </c>
      <c r="I58" s="101">
        <f>VLOOKUP(C58,Recipes!$A$2:$N$4,12,FALSE())</f>
        <v/>
      </c>
      <c r="J58" s="101">
        <f>IF(G58="","",((G58-H58)/I58)^2)</f>
        <v/>
      </c>
      <c r="K58" s="101">
        <f>IF(G58="","",MAX(0, J58-$B$12))</f>
        <v/>
      </c>
      <c r="L58" s="100">
        <f>IF(G58="","",SQRT(K58))</f>
        <v/>
      </c>
      <c r="M58" s="98">
        <f>IF(G58="","",IF(K58&lt;=$B$10,"OK","NG"))</f>
        <v/>
      </c>
      <c r="N58" s="69">
        <f>IF(M58="","",IF(M58=D58,1,0))</f>
        <v/>
      </c>
      <c r="O58" s="100">
        <f>IF(G58="","",H58-G58)</f>
        <v/>
      </c>
      <c r="P58" s="100">
        <f>IF(G58="","",ABS(O58-Components!$D$2))</f>
        <v/>
      </c>
      <c r="Q58" s="100">
        <f>IF(G58="","",ABS(O58-Components!$D$3))</f>
        <v/>
      </c>
      <c r="R58" s="100">
        <f>IF(G58="","",ABS(O58-Components!$D$4))</f>
        <v/>
      </c>
      <c r="S58" s="100">
        <f>IF(G58="","",ABS(O58-Components!$D$5))</f>
        <v/>
      </c>
      <c r="T58" s="100">
        <f>IF(G58="","",ABS(O58-Components!$D$6))</f>
        <v/>
      </c>
      <c r="U58" s="100">
        <f>IF(G58="","",ABS(O58-Components!$D$7))</f>
        <v/>
      </c>
      <c r="V58" s="98">
        <f>IF(G58="","",IF(M58="OK","NONE",INDEX({"S1","S2","W1","W2","N1","N2"},MATCH(MIN(P58:U58),P58:U58,0))))</f>
        <v/>
      </c>
      <c r="W58" s="103">
        <f>IF(G58="","",IF(V58=E58,1,0))</f>
        <v/>
      </c>
    </row>
    <row r="59">
      <c r="A59" s="102">
        <f>'Runs Z score'!A47</f>
        <v/>
      </c>
      <c r="B59" s="98">
        <f>'Runs Z score'!B47</f>
        <v/>
      </c>
      <c r="C59" s="98">
        <f>'Runs Z score'!C47</f>
        <v/>
      </c>
      <c r="D59" s="98">
        <f>'Runs Z score'!D47</f>
        <v/>
      </c>
      <c r="E59" s="98">
        <f>'Runs Z score'!E47</f>
        <v/>
      </c>
      <c r="F59" s="98">
        <f>'Runs Z score'!F47</f>
        <v/>
      </c>
      <c r="G59" s="99">
        <f>'Runs Z score'!G47</f>
        <v/>
      </c>
      <c r="H59" s="100">
        <f>VLOOKUP(C59,Recipes!$A$2:$N$4,10,FALSE())</f>
        <v/>
      </c>
      <c r="I59" s="101">
        <f>VLOOKUP(C59,Recipes!$A$2:$N$4,12,FALSE())</f>
        <v/>
      </c>
      <c r="J59" s="101">
        <f>IF(G59="","",((G59-H59)/I59)^2)</f>
        <v/>
      </c>
      <c r="K59" s="101">
        <f>IF(G59="","",MAX(0, J59-$B$12))</f>
        <v/>
      </c>
      <c r="L59" s="100">
        <f>IF(G59="","",SQRT(K59))</f>
        <v/>
      </c>
      <c r="M59" s="98">
        <f>IF(G59="","",IF(K59&lt;=$B$10,"OK","NG"))</f>
        <v/>
      </c>
      <c r="N59" s="69">
        <f>IF(M59="","",IF(M59=D59,1,0))</f>
        <v/>
      </c>
      <c r="O59" s="100">
        <f>IF(G59="","",H59-G59)</f>
        <v/>
      </c>
      <c r="P59" s="100">
        <f>IF(G59="","",ABS(O59-Components!$D$2))</f>
        <v/>
      </c>
      <c r="Q59" s="100">
        <f>IF(G59="","",ABS(O59-Components!$D$3))</f>
        <v/>
      </c>
      <c r="R59" s="100">
        <f>IF(G59="","",ABS(O59-Components!$D$4))</f>
        <v/>
      </c>
      <c r="S59" s="100">
        <f>IF(G59="","",ABS(O59-Components!$D$5))</f>
        <v/>
      </c>
      <c r="T59" s="100">
        <f>IF(G59="","",ABS(O59-Components!$D$6))</f>
        <v/>
      </c>
      <c r="U59" s="100">
        <f>IF(G59="","",ABS(O59-Components!$D$7))</f>
        <v/>
      </c>
      <c r="V59" s="98">
        <f>IF(G59="","",IF(M59="OK","NONE",INDEX({"S1","S2","W1","W2","N1","N2"},MATCH(MIN(P59:U59),P59:U59,0))))</f>
        <v/>
      </c>
      <c r="W59" s="103">
        <f>IF(G59="","",IF(V59=E59,1,0))</f>
        <v/>
      </c>
    </row>
    <row r="60">
      <c r="A60" s="102">
        <f>'Runs Z score'!A48</f>
        <v/>
      </c>
      <c r="B60" s="98">
        <f>'Runs Z score'!B48</f>
        <v/>
      </c>
      <c r="C60" s="98">
        <f>'Runs Z score'!C48</f>
        <v/>
      </c>
      <c r="D60" s="98">
        <f>'Runs Z score'!D48</f>
        <v/>
      </c>
      <c r="E60" s="98">
        <f>'Runs Z score'!E48</f>
        <v/>
      </c>
      <c r="F60" s="98">
        <f>'Runs Z score'!F48</f>
        <v/>
      </c>
      <c r="G60" s="99">
        <f>'Runs Z score'!G48</f>
        <v/>
      </c>
      <c r="H60" s="100">
        <f>VLOOKUP(C60,Recipes!$A$2:$N$4,10,FALSE())</f>
        <v/>
      </c>
      <c r="I60" s="101">
        <f>VLOOKUP(C60,Recipes!$A$2:$N$4,12,FALSE())</f>
        <v/>
      </c>
      <c r="J60" s="101">
        <f>IF(G60="","",((G60-H60)/I60)^2)</f>
        <v/>
      </c>
      <c r="K60" s="101">
        <f>IF(G60="","",MAX(0, J60-$B$12))</f>
        <v/>
      </c>
      <c r="L60" s="100">
        <f>IF(G60="","",SQRT(K60))</f>
        <v/>
      </c>
      <c r="M60" s="98">
        <f>IF(G60="","",IF(K60&lt;=$B$10,"OK","NG"))</f>
        <v/>
      </c>
      <c r="N60" s="69">
        <f>IF(M60="","",IF(M60=D60,1,0))</f>
        <v/>
      </c>
      <c r="O60" s="100">
        <f>IF(G60="","",H60-G60)</f>
        <v/>
      </c>
      <c r="P60" s="100">
        <f>IF(G60="","",ABS(O60-Components!$D$2))</f>
        <v/>
      </c>
      <c r="Q60" s="100">
        <f>IF(G60="","",ABS(O60-Components!$D$3))</f>
        <v/>
      </c>
      <c r="R60" s="100">
        <f>IF(G60="","",ABS(O60-Components!$D$4))</f>
        <v/>
      </c>
      <c r="S60" s="100">
        <f>IF(G60="","",ABS(O60-Components!$D$5))</f>
        <v/>
      </c>
      <c r="T60" s="100">
        <f>IF(G60="","",ABS(O60-Components!$D$6))</f>
        <v/>
      </c>
      <c r="U60" s="100">
        <f>IF(G60="","",ABS(O60-Components!$D$7))</f>
        <v/>
      </c>
      <c r="V60" s="98">
        <f>IF(G60="","",IF(M60="OK","NONE",INDEX({"S1","S2","W1","W2","N1","N2"},MATCH(MIN(P60:U60),P60:U60,0))))</f>
        <v/>
      </c>
      <c r="W60" s="103">
        <f>IF(G60="","",IF(V60=E60,1,0))</f>
        <v/>
      </c>
    </row>
    <row r="61">
      <c r="A61" s="102">
        <f>'Runs Z score'!A49</f>
        <v/>
      </c>
      <c r="B61" s="98">
        <f>'Runs Z score'!B49</f>
        <v/>
      </c>
      <c r="C61" s="98">
        <f>'Runs Z score'!C49</f>
        <v/>
      </c>
      <c r="D61" s="98">
        <f>'Runs Z score'!D49</f>
        <v/>
      </c>
      <c r="E61" s="98">
        <f>'Runs Z score'!E49</f>
        <v/>
      </c>
      <c r="F61" s="98">
        <f>'Runs Z score'!F49</f>
        <v/>
      </c>
      <c r="G61" s="99">
        <f>'Runs Z score'!G49</f>
        <v/>
      </c>
      <c r="H61" s="100">
        <f>VLOOKUP(C61,Recipes!$A$2:$N$4,10,FALSE())</f>
        <v/>
      </c>
      <c r="I61" s="101">
        <f>VLOOKUP(C61,Recipes!$A$2:$N$4,12,FALSE())</f>
        <v/>
      </c>
      <c r="J61" s="101">
        <f>IF(G61="","",((G61-H61)/I61)^2)</f>
        <v/>
      </c>
      <c r="K61" s="101">
        <f>IF(G61="","",MAX(0, J61-$B$12))</f>
        <v/>
      </c>
      <c r="L61" s="100">
        <f>IF(G61="","",SQRT(K61))</f>
        <v/>
      </c>
      <c r="M61" s="98">
        <f>IF(G61="","",IF(K61&lt;=$B$10,"OK","NG"))</f>
        <v/>
      </c>
      <c r="N61" s="69">
        <f>IF(M61="","",IF(M61=D61,1,0))</f>
        <v/>
      </c>
      <c r="O61" s="100">
        <f>IF(G61="","",H61-G61)</f>
        <v/>
      </c>
      <c r="P61" s="100">
        <f>IF(G61="","",ABS(O61-Components!$D$2))</f>
        <v/>
      </c>
      <c r="Q61" s="100">
        <f>IF(G61="","",ABS(O61-Components!$D$3))</f>
        <v/>
      </c>
      <c r="R61" s="100">
        <f>IF(G61="","",ABS(O61-Components!$D$4))</f>
        <v/>
      </c>
      <c r="S61" s="100">
        <f>IF(G61="","",ABS(O61-Components!$D$5))</f>
        <v/>
      </c>
      <c r="T61" s="100">
        <f>IF(G61="","",ABS(O61-Components!$D$6))</f>
        <v/>
      </c>
      <c r="U61" s="100">
        <f>IF(G61="","",ABS(O61-Components!$D$7))</f>
        <v/>
      </c>
      <c r="V61" s="98">
        <f>IF(G61="","",IF(M61="OK","NONE",INDEX({"S1","S2","W1","W2","N1","N2"},MATCH(MIN(P61:U61),P61:U61,0))))</f>
        <v/>
      </c>
      <c r="W61" s="103">
        <f>IF(G61="","",IF(V61=E61,1,0))</f>
        <v/>
      </c>
    </row>
    <row r="62">
      <c r="A62" s="102">
        <f>'Runs Z score'!A50</f>
        <v/>
      </c>
      <c r="B62" s="98">
        <f>'Runs Z score'!B50</f>
        <v/>
      </c>
      <c r="C62" s="98">
        <f>'Runs Z score'!C50</f>
        <v/>
      </c>
      <c r="D62" s="98">
        <f>'Runs Z score'!D50</f>
        <v/>
      </c>
      <c r="E62" s="98">
        <f>'Runs Z score'!E50</f>
        <v/>
      </c>
      <c r="F62" s="98">
        <f>'Runs Z score'!F50</f>
        <v/>
      </c>
      <c r="G62" s="99">
        <f>'Runs Z score'!G50</f>
        <v/>
      </c>
      <c r="H62" s="100">
        <f>VLOOKUP(C62,Recipes!$A$2:$N$4,10,FALSE())</f>
        <v/>
      </c>
      <c r="I62" s="101">
        <f>VLOOKUP(C62,Recipes!$A$2:$N$4,12,FALSE())</f>
        <v/>
      </c>
      <c r="J62" s="101">
        <f>IF(G62="","",((G62-H62)/I62)^2)</f>
        <v/>
      </c>
      <c r="K62" s="101">
        <f>IF(G62="","",MAX(0, J62-$B$12))</f>
        <v/>
      </c>
      <c r="L62" s="100">
        <f>IF(G62="","",SQRT(K62))</f>
        <v/>
      </c>
      <c r="M62" s="98">
        <f>IF(G62="","",IF(K62&lt;=$B$10,"OK","NG"))</f>
        <v/>
      </c>
      <c r="N62" s="69">
        <f>IF(M62="","",IF(M62=D62,1,0))</f>
        <v/>
      </c>
      <c r="O62" s="100">
        <f>IF(G62="","",H62-G62)</f>
        <v/>
      </c>
      <c r="P62" s="100">
        <f>IF(G62="","",ABS(O62-Components!$D$2))</f>
        <v/>
      </c>
      <c r="Q62" s="100">
        <f>IF(G62="","",ABS(O62-Components!$D$3))</f>
        <v/>
      </c>
      <c r="R62" s="100">
        <f>IF(G62="","",ABS(O62-Components!$D$4))</f>
        <v/>
      </c>
      <c r="S62" s="100">
        <f>IF(G62="","",ABS(O62-Components!$D$5))</f>
        <v/>
      </c>
      <c r="T62" s="100">
        <f>IF(G62="","",ABS(O62-Components!$D$6))</f>
        <v/>
      </c>
      <c r="U62" s="100">
        <f>IF(G62="","",ABS(O62-Components!$D$7))</f>
        <v/>
      </c>
      <c r="V62" s="98">
        <f>IF(G62="","",IF(M62="OK","NONE",INDEX({"S1","S2","W1","W2","N1","N2"},MATCH(MIN(P62:U62),P62:U62,0))))</f>
        <v/>
      </c>
      <c r="W62" s="103">
        <f>IF(G62="","",IF(V62=E62,1,0))</f>
        <v/>
      </c>
    </row>
    <row r="63">
      <c r="A63" s="102">
        <f>'Runs Z score'!A51</f>
        <v/>
      </c>
      <c r="B63" s="98">
        <f>'Runs Z score'!B51</f>
        <v/>
      </c>
      <c r="C63" s="98">
        <f>'Runs Z score'!C51</f>
        <v/>
      </c>
      <c r="D63" s="98">
        <f>'Runs Z score'!D51</f>
        <v/>
      </c>
      <c r="E63" s="98">
        <f>'Runs Z score'!E51</f>
        <v/>
      </c>
      <c r="F63" s="98">
        <f>'Runs Z score'!F51</f>
        <v/>
      </c>
      <c r="G63" s="99">
        <f>'Runs Z score'!G51</f>
        <v/>
      </c>
      <c r="H63" s="100">
        <f>VLOOKUP(C63,Recipes!$A$2:$N$4,10,FALSE())</f>
        <v/>
      </c>
      <c r="I63" s="101">
        <f>VLOOKUP(C63,Recipes!$A$2:$N$4,12,FALSE())</f>
        <v/>
      </c>
      <c r="J63" s="101">
        <f>IF(G63="","",((G63-H63)/I63)^2)</f>
        <v/>
      </c>
      <c r="K63" s="101">
        <f>IF(G63="","",MAX(0, J63-$B$12))</f>
        <v/>
      </c>
      <c r="L63" s="100">
        <f>IF(G63="","",SQRT(K63))</f>
        <v/>
      </c>
      <c r="M63" s="98">
        <f>IF(G63="","",IF(K63&lt;=$B$10,"OK","NG"))</f>
        <v/>
      </c>
      <c r="N63" s="69">
        <f>IF(M63="","",IF(M63=D63,1,0))</f>
        <v/>
      </c>
      <c r="O63" s="100">
        <f>IF(G63="","",H63-G63)</f>
        <v/>
      </c>
      <c r="P63" s="100">
        <f>IF(G63="","",ABS(O63-Components!$D$2))</f>
        <v/>
      </c>
      <c r="Q63" s="100">
        <f>IF(G63="","",ABS(O63-Components!$D$3))</f>
        <v/>
      </c>
      <c r="R63" s="100">
        <f>IF(G63="","",ABS(O63-Components!$D$4))</f>
        <v/>
      </c>
      <c r="S63" s="100">
        <f>IF(G63="","",ABS(O63-Components!$D$5))</f>
        <v/>
      </c>
      <c r="T63" s="100">
        <f>IF(G63="","",ABS(O63-Components!$D$6))</f>
        <v/>
      </c>
      <c r="U63" s="100">
        <f>IF(G63="","",ABS(O63-Components!$D$7))</f>
        <v/>
      </c>
      <c r="V63" s="98">
        <f>IF(G63="","",IF(M63="OK","NONE",INDEX({"S1","S2","W1","W2","N1","N2"},MATCH(MIN(P63:U63),P63:U63,0))))</f>
        <v/>
      </c>
      <c r="W63" s="103">
        <f>IF(G63="","",IF(V63=E63,1,0))</f>
        <v/>
      </c>
    </row>
    <row r="64">
      <c r="A64" s="102">
        <f>'Runs Z score'!A52</f>
        <v/>
      </c>
      <c r="B64" s="98">
        <f>'Runs Z score'!B52</f>
        <v/>
      </c>
      <c r="C64" s="98">
        <f>'Runs Z score'!C52</f>
        <v/>
      </c>
      <c r="D64" s="98">
        <f>'Runs Z score'!D52</f>
        <v/>
      </c>
      <c r="E64" s="98">
        <f>'Runs Z score'!E52</f>
        <v/>
      </c>
      <c r="F64" s="98">
        <f>'Runs Z score'!F52</f>
        <v/>
      </c>
      <c r="G64" s="99">
        <f>'Runs Z score'!G52</f>
        <v/>
      </c>
      <c r="H64" s="100">
        <f>VLOOKUP(C64,Recipes!$A$2:$N$4,10,FALSE())</f>
        <v/>
      </c>
      <c r="I64" s="101">
        <f>VLOOKUP(C64,Recipes!$A$2:$N$4,12,FALSE())</f>
        <v/>
      </c>
      <c r="J64" s="101">
        <f>IF(G64="","",((G64-H64)/I64)^2)</f>
        <v/>
      </c>
      <c r="K64" s="101">
        <f>IF(G64="","",MAX(0, J64-$B$12))</f>
        <v/>
      </c>
      <c r="L64" s="100">
        <f>IF(G64="","",SQRT(K64))</f>
        <v/>
      </c>
      <c r="M64" s="98">
        <f>IF(G64="","",IF(K64&lt;=$B$10,"OK","NG"))</f>
        <v/>
      </c>
      <c r="N64" s="69">
        <f>IF(M64="","",IF(M64=D64,1,0))</f>
        <v/>
      </c>
      <c r="O64" s="100">
        <f>IF(G64="","",H64-G64)</f>
        <v/>
      </c>
      <c r="P64" s="100">
        <f>IF(G64="","",ABS(O64-Components!$D$2))</f>
        <v/>
      </c>
      <c r="Q64" s="100">
        <f>IF(G64="","",ABS(O64-Components!$D$3))</f>
        <v/>
      </c>
      <c r="R64" s="100">
        <f>IF(G64="","",ABS(O64-Components!$D$4))</f>
        <v/>
      </c>
      <c r="S64" s="100">
        <f>IF(G64="","",ABS(O64-Components!$D$5))</f>
        <v/>
      </c>
      <c r="T64" s="100">
        <f>IF(G64="","",ABS(O64-Components!$D$6))</f>
        <v/>
      </c>
      <c r="U64" s="100">
        <f>IF(G64="","",ABS(O64-Components!$D$7))</f>
        <v/>
      </c>
      <c r="V64" s="98">
        <f>IF(G64="","",IF(M64="OK","NONE",INDEX({"S1","S2","W1","W2","N1","N2"},MATCH(MIN(P64:U64),P64:U64,0))))</f>
        <v/>
      </c>
      <c r="W64" s="103">
        <f>IF(G64="","",IF(V64=E64,1,0))</f>
        <v/>
      </c>
    </row>
    <row r="65">
      <c r="A65" s="102">
        <f>'Runs Z score'!A53</f>
        <v/>
      </c>
      <c r="B65" s="98">
        <f>'Runs Z score'!B53</f>
        <v/>
      </c>
      <c r="C65" s="98">
        <f>'Runs Z score'!C53</f>
        <v/>
      </c>
      <c r="D65" s="98">
        <f>'Runs Z score'!D53</f>
        <v/>
      </c>
      <c r="E65" s="98">
        <f>'Runs Z score'!E53</f>
        <v/>
      </c>
      <c r="F65" s="98">
        <f>'Runs Z score'!F53</f>
        <v/>
      </c>
      <c r="G65" s="99">
        <f>'Runs Z score'!G53</f>
        <v/>
      </c>
      <c r="H65" s="100">
        <f>VLOOKUP(C65,Recipes!$A$2:$N$4,10,FALSE())</f>
        <v/>
      </c>
      <c r="I65" s="101">
        <f>VLOOKUP(C65,Recipes!$A$2:$N$4,12,FALSE())</f>
        <v/>
      </c>
      <c r="J65" s="101">
        <f>IF(G65="","",((G65-H65)/I65)^2)</f>
        <v/>
      </c>
      <c r="K65" s="101">
        <f>IF(G65="","",MAX(0, J65-$B$12))</f>
        <v/>
      </c>
      <c r="L65" s="100">
        <f>IF(G65="","",SQRT(K65))</f>
        <v/>
      </c>
      <c r="M65" s="98">
        <f>IF(G65="","",IF(K65&lt;=$B$10,"OK","NG"))</f>
        <v/>
      </c>
      <c r="N65" s="69">
        <f>IF(M65="","",IF(M65=D65,1,0))</f>
        <v/>
      </c>
      <c r="O65" s="100">
        <f>IF(G65="","",H65-G65)</f>
        <v/>
      </c>
      <c r="P65" s="100">
        <f>IF(G65="","",ABS(O65-Components!$D$2))</f>
        <v/>
      </c>
      <c r="Q65" s="100">
        <f>IF(G65="","",ABS(O65-Components!$D$3))</f>
        <v/>
      </c>
      <c r="R65" s="100">
        <f>IF(G65="","",ABS(O65-Components!$D$4))</f>
        <v/>
      </c>
      <c r="S65" s="100">
        <f>IF(G65="","",ABS(O65-Components!$D$5))</f>
        <v/>
      </c>
      <c r="T65" s="100">
        <f>IF(G65="","",ABS(O65-Components!$D$6))</f>
        <v/>
      </c>
      <c r="U65" s="100">
        <f>IF(G65="","",ABS(O65-Components!$D$7))</f>
        <v/>
      </c>
      <c r="V65" s="98">
        <f>IF(G65="","",IF(M65="OK","NONE",INDEX({"S1","S2","W1","W2","N1","N2"},MATCH(MIN(P65:U65),P65:U65,0))))</f>
        <v/>
      </c>
      <c r="W65" s="103">
        <f>IF(G65="","",IF(V65=E65,1,0))</f>
        <v/>
      </c>
    </row>
    <row r="66">
      <c r="A66" s="102">
        <f>'Runs Z score'!A54</f>
        <v/>
      </c>
      <c r="B66" s="98">
        <f>'Runs Z score'!B54</f>
        <v/>
      </c>
      <c r="C66" s="98">
        <f>'Runs Z score'!C54</f>
        <v/>
      </c>
      <c r="D66" s="98">
        <f>'Runs Z score'!D54</f>
        <v/>
      </c>
      <c r="E66" s="98">
        <f>'Runs Z score'!E54</f>
        <v/>
      </c>
      <c r="F66" s="98">
        <f>'Runs Z score'!F54</f>
        <v/>
      </c>
      <c r="G66" s="99">
        <f>'Runs Z score'!G54</f>
        <v/>
      </c>
      <c r="H66" s="100">
        <f>VLOOKUP(C66,Recipes!$A$2:$N$4,10,FALSE())</f>
        <v/>
      </c>
      <c r="I66" s="101">
        <f>VLOOKUP(C66,Recipes!$A$2:$N$4,12,FALSE())</f>
        <v/>
      </c>
      <c r="J66" s="101">
        <f>IF(G66="","",((G66-H66)/I66)^2)</f>
        <v/>
      </c>
      <c r="K66" s="101">
        <f>IF(G66="","",MAX(0, J66-$B$12))</f>
        <v/>
      </c>
      <c r="L66" s="100">
        <f>IF(G66="","",SQRT(K66))</f>
        <v/>
      </c>
      <c r="M66" s="98">
        <f>IF(G66="","",IF(K66&lt;=$B$10,"OK","NG"))</f>
        <v/>
      </c>
      <c r="N66" s="69">
        <f>IF(M66="","",IF(M66=D66,1,0))</f>
        <v/>
      </c>
      <c r="O66" s="100">
        <f>IF(G66="","",H66-G66)</f>
        <v/>
      </c>
      <c r="P66" s="100">
        <f>IF(G66="","",ABS(O66-Components!$D$2))</f>
        <v/>
      </c>
      <c r="Q66" s="100">
        <f>IF(G66="","",ABS(O66-Components!$D$3))</f>
        <v/>
      </c>
      <c r="R66" s="100">
        <f>IF(G66="","",ABS(O66-Components!$D$4))</f>
        <v/>
      </c>
      <c r="S66" s="100">
        <f>IF(G66="","",ABS(O66-Components!$D$5))</f>
        <v/>
      </c>
      <c r="T66" s="100">
        <f>IF(G66="","",ABS(O66-Components!$D$6))</f>
        <v/>
      </c>
      <c r="U66" s="100">
        <f>IF(G66="","",ABS(O66-Components!$D$7))</f>
        <v/>
      </c>
      <c r="V66" s="98">
        <f>IF(G66="","",IF(M66="OK","NONE",INDEX({"S1","S2","W1","W2","N1","N2"},MATCH(MIN(P66:U66),P66:U66,0))))</f>
        <v/>
      </c>
      <c r="W66" s="103">
        <f>IF(G66="","",IF(V66=E66,1,0))</f>
        <v/>
      </c>
    </row>
    <row r="67">
      <c r="A67" s="102">
        <f>'Runs Z score'!A55</f>
        <v/>
      </c>
      <c r="B67" s="98">
        <f>'Runs Z score'!B55</f>
        <v/>
      </c>
      <c r="C67" s="98">
        <f>'Runs Z score'!C55</f>
        <v/>
      </c>
      <c r="D67" s="98">
        <f>'Runs Z score'!D55</f>
        <v/>
      </c>
      <c r="E67" s="98">
        <f>'Runs Z score'!E55</f>
        <v/>
      </c>
      <c r="F67" s="98">
        <f>'Runs Z score'!F55</f>
        <v/>
      </c>
      <c r="G67" s="99">
        <f>'Runs Z score'!G55</f>
        <v/>
      </c>
      <c r="H67" s="100">
        <f>VLOOKUP(C67,Recipes!$A$2:$N$4,10,FALSE())</f>
        <v/>
      </c>
      <c r="I67" s="101">
        <f>VLOOKUP(C67,Recipes!$A$2:$N$4,12,FALSE())</f>
        <v/>
      </c>
      <c r="J67" s="101">
        <f>IF(G67="","",((G67-H67)/I67)^2)</f>
        <v/>
      </c>
      <c r="K67" s="101">
        <f>IF(G67="","",MAX(0, J67-$B$12))</f>
        <v/>
      </c>
      <c r="L67" s="100">
        <f>IF(G67="","",SQRT(K67))</f>
        <v/>
      </c>
      <c r="M67" s="98">
        <f>IF(G67="","",IF(K67&lt;=$B$10,"OK","NG"))</f>
        <v/>
      </c>
      <c r="N67" s="69">
        <f>IF(M67="","",IF(M67=D67,1,0))</f>
        <v/>
      </c>
      <c r="O67" s="100">
        <f>IF(G67="","",H67-G67)</f>
        <v/>
      </c>
      <c r="P67" s="100">
        <f>IF(G67="","",ABS(O67-Components!$D$2))</f>
        <v/>
      </c>
      <c r="Q67" s="100">
        <f>IF(G67="","",ABS(O67-Components!$D$3))</f>
        <v/>
      </c>
      <c r="R67" s="100">
        <f>IF(G67="","",ABS(O67-Components!$D$4))</f>
        <v/>
      </c>
      <c r="S67" s="100">
        <f>IF(G67="","",ABS(O67-Components!$D$5))</f>
        <v/>
      </c>
      <c r="T67" s="100">
        <f>IF(G67="","",ABS(O67-Components!$D$6))</f>
        <v/>
      </c>
      <c r="U67" s="100">
        <f>IF(G67="","",ABS(O67-Components!$D$7))</f>
        <v/>
      </c>
      <c r="V67" s="98">
        <f>IF(G67="","",IF(M67="OK","NONE",INDEX({"S1","S2","W1","W2","N1","N2"},MATCH(MIN(P67:U67),P67:U67,0))))</f>
        <v/>
      </c>
      <c r="W67" s="103">
        <f>IF(G67="","",IF(V67=E67,1,0))</f>
        <v/>
      </c>
    </row>
    <row r="68">
      <c r="A68" s="102">
        <f>'Runs Z score'!A56</f>
        <v/>
      </c>
      <c r="B68" s="98">
        <f>'Runs Z score'!B56</f>
        <v/>
      </c>
      <c r="C68" s="98">
        <f>'Runs Z score'!C56</f>
        <v/>
      </c>
      <c r="D68" s="98">
        <f>'Runs Z score'!D56</f>
        <v/>
      </c>
      <c r="E68" s="98">
        <f>'Runs Z score'!E56</f>
        <v/>
      </c>
      <c r="F68" s="98">
        <f>'Runs Z score'!F56</f>
        <v/>
      </c>
      <c r="G68" s="99">
        <f>'Runs Z score'!G56</f>
        <v/>
      </c>
      <c r="H68" s="100">
        <f>VLOOKUP(C68,Recipes!$A$2:$N$4,10,FALSE())</f>
        <v/>
      </c>
      <c r="I68" s="101">
        <f>VLOOKUP(C68,Recipes!$A$2:$N$4,12,FALSE())</f>
        <v/>
      </c>
      <c r="J68" s="101">
        <f>IF(G68="","",((G68-H68)/I68)^2)</f>
        <v/>
      </c>
      <c r="K68" s="101">
        <f>IF(G68="","",MAX(0, J68-$B$12))</f>
        <v/>
      </c>
      <c r="L68" s="100">
        <f>IF(G68="","",SQRT(K68))</f>
        <v/>
      </c>
      <c r="M68" s="98">
        <f>IF(G68="","",IF(K68&lt;=$B$10,"OK","NG"))</f>
        <v/>
      </c>
      <c r="N68" s="69">
        <f>IF(M68="","",IF(M68=D68,1,0))</f>
        <v/>
      </c>
      <c r="O68" s="100">
        <f>IF(G68="","",H68-G68)</f>
        <v/>
      </c>
      <c r="P68" s="100">
        <f>IF(G68="","",ABS(O68-Components!$D$2))</f>
        <v/>
      </c>
      <c r="Q68" s="100">
        <f>IF(G68="","",ABS(O68-Components!$D$3))</f>
        <v/>
      </c>
      <c r="R68" s="100">
        <f>IF(G68="","",ABS(O68-Components!$D$4))</f>
        <v/>
      </c>
      <c r="S68" s="100">
        <f>IF(G68="","",ABS(O68-Components!$D$5))</f>
        <v/>
      </c>
      <c r="T68" s="100">
        <f>IF(G68="","",ABS(O68-Components!$D$6))</f>
        <v/>
      </c>
      <c r="U68" s="100">
        <f>IF(G68="","",ABS(O68-Components!$D$7))</f>
        <v/>
      </c>
      <c r="V68" s="98">
        <f>IF(G68="","",IF(M68="OK","NONE",INDEX({"S1","S2","W1","W2","N1","N2"},MATCH(MIN(P68:U68),P68:U68,0))))</f>
        <v/>
      </c>
      <c r="W68" s="103">
        <f>IF(G68="","",IF(V68=E68,1,0))</f>
        <v/>
      </c>
    </row>
    <row r="69">
      <c r="A69" s="102">
        <f>'Runs Z score'!A57</f>
        <v/>
      </c>
      <c r="B69" s="98">
        <f>'Runs Z score'!B57</f>
        <v/>
      </c>
      <c r="C69" s="98">
        <f>'Runs Z score'!C57</f>
        <v/>
      </c>
      <c r="D69" s="98">
        <f>'Runs Z score'!D57</f>
        <v/>
      </c>
      <c r="E69" s="98">
        <f>'Runs Z score'!E57</f>
        <v/>
      </c>
      <c r="F69" s="98">
        <f>'Runs Z score'!F57</f>
        <v/>
      </c>
      <c r="G69" s="99">
        <f>'Runs Z score'!G57</f>
        <v/>
      </c>
      <c r="H69" s="100">
        <f>VLOOKUP(C69,Recipes!$A$2:$N$4,10,FALSE())</f>
        <v/>
      </c>
      <c r="I69" s="101">
        <f>VLOOKUP(C69,Recipes!$A$2:$N$4,12,FALSE())</f>
        <v/>
      </c>
      <c r="J69" s="101">
        <f>IF(G69="","",((G69-H69)/I69)^2)</f>
        <v/>
      </c>
      <c r="K69" s="101">
        <f>IF(G69="","",MAX(0, J69-$B$12))</f>
        <v/>
      </c>
      <c r="L69" s="100">
        <f>IF(G69="","",SQRT(K69))</f>
        <v/>
      </c>
      <c r="M69" s="98">
        <f>IF(G69="","",IF(K69&lt;=$B$10,"OK","NG"))</f>
        <v/>
      </c>
      <c r="N69" s="69">
        <f>IF(M69="","",IF(M69=D69,1,0))</f>
        <v/>
      </c>
      <c r="O69" s="100">
        <f>IF(G69="","",H69-G69)</f>
        <v/>
      </c>
      <c r="P69" s="100">
        <f>IF(G69="","",ABS(O69-Components!$D$2))</f>
        <v/>
      </c>
      <c r="Q69" s="100">
        <f>IF(G69="","",ABS(O69-Components!$D$3))</f>
        <v/>
      </c>
      <c r="R69" s="100">
        <f>IF(G69="","",ABS(O69-Components!$D$4))</f>
        <v/>
      </c>
      <c r="S69" s="100">
        <f>IF(G69="","",ABS(O69-Components!$D$5))</f>
        <v/>
      </c>
      <c r="T69" s="100">
        <f>IF(G69="","",ABS(O69-Components!$D$6))</f>
        <v/>
      </c>
      <c r="U69" s="100">
        <f>IF(G69="","",ABS(O69-Components!$D$7))</f>
        <v/>
      </c>
      <c r="V69" s="98">
        <f>IF(G69="","",IF(M69="OK","NONE",INDEX({"S1","S2","W1","W2","N1","N2"},MATCH(MIN(P69:U69),P69:U69,0))))</f>
        <v/>
      </c>
      <c r="W69" s="103">
        <f>IF(G69="","",IF(V69=E69,1,0))</f>
        <v/>
      </c>
    </row>
    <row r="70">
      <c r="A70" s="102">
        <f>'Runs Z score'!A58</f>
        <v/>
      </c>
      <c r="B70" s="98">
        <f>'Runs Z score'!B58</f>
        <v/>
      </c>
      <c r="C70" s="98">
        <f>'Runs Z score'!C58</f>
        <v/>
      </c>
      <c r="D70" s="98">
        <f>'Runs Z score'!D58</f>
        <v/>
      </c>
      <c r="E70" s="98">
        <f>'Runs Z score'!E58</f>
        <v/>
      </c>
      <c r="F70" s="98">
        <f>'Runs Z score'!F58</f>
        <v/>
      </c>
      <c r="G70" s="99">
        <f>'Runs Z score'!G58</f>
        <v/>
      </c>
      <c r="H70" s="100">
        <f>VLOOKUP(C70,Recipes!$A$2:$N$4,10,FALSE())</f>
        <v/>
      </c>
      <c r="I70" s="101">
        <f>VLOOKUP(C70,Recipes!$A$2:$N$4,12,FALSE())</f>
        <v/>
      </c>
      <c r="J70" s="101">
        <f>IF(G70="","",((G70-H70)/I70)^2)</f>
        <v/>
      </c>
      <c r="K70" s="101">
        <f>IF(G70="","",MAX(0, J70-$B$12))</f>
        <v/>
      </c>
      <c r="L70" s="100">
        <f>IF(G70="","",SQRT(K70))</f>
        <v/>
      </c>
      <c r="M70" s="98">
        <f>IF(G70="","",IF(K70&lt;=$B$10,"OK","NG"))</f>
        <v/>
      </c>
      <c r="N70" s="69">
        <f>IF(M70="","",IF(M70=D70,1,0))</f>
        <v/>
      </c>
      <c r="O70" s="100">
        <f>IF(G70="","",H70-G70)</f>
        <v/>
      </c>
      <c r="P70" s="100">
        <f>IF(G70="","",ABS(O70-Components!$D$2))</f>
        <v/>
      </c>
      <c r="Q70" s="100">
        <f>IF(G70="","",ABS(O70-Components!$D$3))</f>
        <v/>
      </c>
      <c r="R70" s="100">
        <f>IF(G70="","",ABS(O70-Components!$D$4))</f>
        <v/>
      </c>
      <c r="S70" s="100">
        <f>IF(G70="","",ABS(O70-Components!$D$5))</f>
        <v/>
      </c>
      <c r="T70" s="100">
        <f>IF(G70="","",ABS(O70-Components!$D$6))</f>
        <v/>
      </c>
      <c r="U70" s="100">
        <f>IF(G70="","",ABS(O70-Components!$D$7))</f>
        <v/>
      </c>
      <c r="V70" s="98">
        <f>IF(G70="","",IF(M70="OK","NONE",INDEX({"S1","S2","W1","W2","N1","N2"},MATCH(MIN(P70:U70),P70:U70,0))))</f>
        <v/>
      </c>
      <c r="W70" s="103">
        <f>IF(G70="","",IF(V70=E70,1,0))</f>
        <v/>
      </c>
    </row>
    <row r="71">
      <c r="A71" s="102">
        <f>'Runs Z score'!A59</f>
        <v/>
      </c>
      <c r="B71" s="98">
        <f>'Runs Z score'!B59</f>
        <v/>
      </c>
      <c r="C71" s="98">
        <f>'Runs Z score'!C59</f>
        <v/>
      </c>
      <c r="D71" s="98">
        <f>'Runs Z score'!D59</f>
        <v/>
      </c>
      <c r="E71" s="98">
        <f>'Runs Z score'!E59</f>
        <v/>
      </c>
      <c r="F71" s="98">
        <f>'Runs Z score'!F59</f>
        <v/>
      </c>
      <c r="G71" s="99">
        <f>'Runs Z score'!G59</f>
        <v/>
      </c>
      <c r="H71" s="100">
        <f>VLOOKUP(C71,Recipes!$A$2:$N$4,10,FALSE())</f>
        <v/>
      </c>
      <c r="I71" s="101">
        <f>VLOOKUP(C71,Recipes!$A$2:$N$4,12,FALSE())</f>
        <v/>
      </c>
      <c r="J71" s="101">
        <f>IF(G71="","",((G71-H71)/I71)^2)</f>
        <v/>
      </c>
      <c r="K71" s="101">
        <f>IF(G71="","",MAX(0, J71-$B$12))</f>
        <v/>
      </c>
      <c r="L71" s="100">
        <f>IF(G71="","",SQRT(K71))</f>
        <v/>
      </c>
      <c r="M71" s="98">
        <f>IF(G71="","",IF(K71&lt;=$B$10,"OK","NG"))</f>
        <v/>
      </c>
      <c r="N71" s="69">
        <f>IF(M71="","",IF(M71=D71,1,0))</f>
        <v/>
      </c>
      <c r="O71" s="100">
        <f>IF(G71="","",H71-G71)</f>
        <v/>
      </c>
      <c r="P71" s="100">
        <f>IF(G71="","",ABS(O71-Components!$D$2))</f>
        <v/>
      </c>
      <c r="Q71" s="100">
        <f>IF(G71="","",ABS(O71-Components!$D$3))</f>
        <v/>
      </c>
      <c r="R71" s="100">
        <f>IF(G71="","",ABS(O71-Components!$D$4))</f>
        <v/>
      </c>
      <c r="S71" s="100">
        <f>IF(G71="","",ABS(O71-Components!$D$5))</f>
        <v/>
      </c>
      <c r="T71" s="100">
        <f>IF(G71="","",ABS(O71-Components!$D$6))</f>
        <v/>
      </c>
      <c r="U71" s="100">
        <f>IF(G71="","",ABS(O71-Components!$D$7))</f>
        <v/>
      </c>
      <c r="V71" s="98">
        <f>IF(G71="","",IF(M71="OK","NONE",INDEX({"S1","S2","W1","W2","N1","N2"},MATCH(MIN(P71:U71),P71:U71,0))))</f>
        <v/>
      </c>
      <c r="W71" s="103">
        <f>IF(G71="","",IF(V71=E71,1,0))</f>
        <v/>
      </c>
    </row>
    <row r="72">
      <c r="A72" s="102">
        <f>'Runs Z score'!A60</f>
        <v/>
      </c>
      <c r="B72" s="98">
        <f>'Runs Z score'!B60</f>
        <v/>
      </c>
      <c r="C72" s="98">
        <f>'Runs Z score'!C60</f>
        <v/>
      </c>
      <c r="D72" s="98">
        <f>'Runs Z score'!D60</f>
        <v/>
      </c>
      <c r="E72" s="98">
        <f>'Runs Z score'!E60</f>
        <v/>
      </c>
      <c r="F72" s="98">
        <f>'Runs Z score'!F60</f>
        <v/>
      </c>
      <c r="G72" s="99">
        <f>'Runs Z score'!G60</f>
        <v/>
      </c>
      <c r="H72" s="100">
        <f>VLOOKUP(C72,Recipes!$A$2:$N$4,10,FALSE())</f>
        <v/>
      </c>
      <c r="I72" s="101">
        <f>VLOOKUP(C72,Recipes!$A$2:$N$4,12,FALSE())</f>
        <v/>
      </c>
      <c r="J72" s="101">
        <f>IF(G72="","",((G72-H72)/I72)^2)</f>
        <v/>
      </c>
      <c r="K72" s="101">
        <f>IF(G72="","",MAX(0, J72-$B$12))</f>
        <v/>
      </c>
      <c r="L72" s="100">
        <f>IF(G72="","",SQRT(K72))</f>
        <v/>
      </c>
      <c r="M72" s="98">
        <f>IF(G72="","",IF(K72&lt;=$B$10,"OK","NG"))</f>
        <v/>
      </c>
      <c r="N72" s="69">
        <f>IF(M72="","",IF(M72=D72,1,0))</f>
        <v/>
      </c>
      <c r="O72" s="100">
        <f>IF(G72="","",H72-G72)</f>
        <v/>
      </c>
      <c r="P72" s="100">
        <f>IF(G72="","",ABS(O72-Components!$D$2))</f>
        <v/>
      </c>
      <c r="Q72" s="100">
        <f>IF(G72="","",ABS(O72-Components!$D$3))</f>
        <v/>
      </c>
      <c r="R72" s="100">
        <f>IF(G72="","",ABS(O72-Components!$D$4))</f>
        <v/>
      </c>
      <c r="S72" s="100">
        <f>IF(G72="","",ABS(O72-Components!$D$5))</f>
        <v/>
      </c>
      <c r="T72" s="100">
        <f>IF(G72="","",ABS(O72-Components!$D$6))</f>
        <v/>
      </c>
      <c r="U72" s="100">
        <f>IF(G72="","",ABS(O72-Components!$D$7))</f>
        <v/>
      </c>
      <c r="V72" s="98">
        <f>IF(G72="","",IF(M72="OK","NONE",INDEX({"S1","S2","W1","W2","N1","N2"},MATCH(MIN(P72:U72),P72:U72,0))))</f>
        <v/>
      </c>
      <c r="W72" s="103">
        <f>IF(G72="","",IF(V72=E72,1,0))</f>
        <v/>
      </c>
    </row>
    <row r="73">
      <c r="A73" s="102">
        <f>'Runs Z score'!A61</f>
        <v/>
      </c>
      <c r="B73" s="98">
        <f>'Runs Z score'!B61</f>
        <v/>
      </c>
      <c r="C73" s="98">
        <f>'Runs Z score'!C61</f>
        <v/>
      </c>
      <c r="D73" s="98">
        <f>'Runs Z score'!D61</f>
        <v/>
      </c>
      <c r="E73" s="98">
        <f>'Runs Z score'!E61</f>
        <v/>
      </c>
      <c r="F73" s="98">
        <f>'Runs Z score'!F61</f>
        <v/>
      </c>
      <c r="G73" s="99">
        <f>'Runs Z score'!G61</f>
        <v/>
      </c>
      <c r="H73" s="100">
        <f>VLOOKUP(C73,Recipes!$A$2:$N$4,10,FALSE())</f>
        <v/>
      </c>
      <c r="I73" s="101">
        <f>VLOOKUP(C73,Recipes!$A$2:$N$4,12,FALSE())</f>
        <v/>
      </c>
      <c r="J73" s="101">
        <f>IF(G73="","",((G73-H73)/I73)^2)</f>
        <v/>
      </c>
      <c r="K73" s="101">
        <f>IF(G73="","",MAX(0, J73-$B$12))</f>
        <v/>
      </c>
      <c r="L73" s="100">
        <f>IF(G73="","",SQRT(K73))</f>
        <v/>
      </c>
      <c r="M73" s="98">
        <f>IF(G73="","",IF(K73&lt;=$B$10,"OK","NG"))</f>
        <v/>
      </c>
      <c r="N73" s="69">
        <f>IF(M73="","",IF(M73=D73,1,0))</f>
        <v/>
      </c>
      <c r="O73" s="100">
        <f>IF(G73="","",H73-G73)</f>
        <v/>
      </c>
      <c r="P73" s="100">
        <f>IF(G73="","",ABS(O73-Components!$D$2))</f>
        <v/>
      </c>
      <c r="Q73" s="100">
        <f>IF(G73="","",ABS(O73-Components!$D$3))</f>
        <v/>
      </c>
      <c r="R73" s="100">
        <f>IF(G73="","",ABS(O73-Components!$D$4))</f>
        <v/>
      </c>
      <c r="S73" s="100">
        <f>IF(G73="","",ABS(O73-Components!$D$5))</f>
        <v/>
      </c>
      <c r="T73" s="100">
        <f>IF(G73="","",ABS(O73-Components!$D$6))</f>
        <v/>
      </c>
      <c r="U73" s="100">
        <f>IF(G73="","",ABS(O73-Components!$D$7))</f>
        <v/>
      </c>
      <c r="V73" s="98">
        <f>IF(G73="","",IF(M73="OK","NONE",INDEX({"S1","S2","W1","W2","N1","N2"},MATCH(MIN(P73:U73),P73:U73,0))))</f>
        <v/>
      </c>
      <c r="W73" s="103">
        <f>IF(G73="","",IF(V73=E73,1,0))</f>
        <v/>
      </c>
    </row>
    <row r="74">
      <c r="A74" s="102">
        <f>'Runs Z score'!A62</f>
        <v/>
      </c>
      <c r="B74" s="98">
        <f>'Runs Z score'!B62</f>
        <v/>
      </c>
      <c r="C74" s="98">
        <f>'Runs Z score'!C62</f>
        <v/>
      </c>
      <c r="D74" s="98">
        <f>'Runs Z score'!D62</f>
        <v/>
      </c>
      <c r="E74" s="98">
        <f>'Runs Z score'!E62</f>
        <v/>
      </c>
      <c r="F74" s="98">
        <f>'Runs Z score'!F62</f>
        <v/>
      </c>
      <c r="G74" s="99">
        <f>'Runs Z score'!G62</f>
        <v/>
      </c>
      <c r="H74" s="100">
        <f>VLOOKUP(C74,Recipes!$A$2:$N$4,10,FALSE())</f>
        <v/>
      </c>
      <c r="I74" s="101">
        <f>VLOOKUP(C74,Recipes!$A$2:$N$4,12,FALSE())</f>
        <v/>
      </c>
      <c r="J74" s="101">
        <f>IF(G74="","",((G74-H74)/I74)^2)</f>
        <v/>
      </c>
      <c r="K74" s="101">
        <f>IF(G74="","",MAX(0, J74-$B$12))</f>
        <v/>
      </c>
      <c r="L74" s="100">
        <f>IF(G74="","",SQRT(K74))</f>
        <v/>
      </c>
      <c r="M74" s="98">
        <f>IF(G74="","",IF(K74&lt;=$B$10,"OK","NG"))</f>
        <v/>
      </c>
      <c r="N74" s="69">
        <f>IF(M74="","",IF(M74=D74,1,0))</f>
        <v/>
      </c>
      <c r="O74" s="100">
        <f>IF(G74="","",H74-G74)</f>
        <v/>
      </c>
      <c r="P74" s="100">
        <f>IF(G74="","",ABS(O74-Components!$D$2))</f>
        <v/>
      </c>
      <c r="Q74" s="100">
        <f>IF(G74="","",ABS(O74-Components!$D$3))</f>
        <v/>
      </c>
      <c r="R74" s="100">
        <f>IF(G74="","",ABS(O74-Components!$D$4))</f>
        <v/>
      </c>
      <c r="S74" s="100">
        <f>IF(G74="","",ABS(O74-Components!$D$5))</f>
        <v/>
      </c>
      <c r="T74" s="100">
        <f>IF(G74="","",ABS(O74-Components!$D$6))</f>
        <v/>
      </c>
      <c r="U74" s="100">
        <f>IF(G74="","",ABS(O74-Components!$D$7))</f>
        <v/>
      </c>
      <c r="V74" s="98">
        <f>IF(G74="","",IF(M74="OK","NONE",INDEX({"S1","S2","W1","W2","N1","N2"},MATCH(MIN(P74:U74),P74:U74,0))))</f>
        <v/>
      </c>
      <c r="W74" s="103">
        <f>IF(G74="","",IF(V74=E74,1,0))</f>
        <v/>
      </c>
    </row>
    <row r="75">
      <c r="A75" s="102">
        <f>'Runs Z score'!A63</f>
        <v/>
      </c>
      <c r="B75" s="98">
        <f>'Runs Z score'!B63</f>
        <v/>
      </c>
      <c r="C75" s="98">
        <f>'Runs Z score'!C63</f>
        <v/>
      </c>
      <c r="D75" s="98">
        <f>'Runs Z score'!D63</f>
        <v/>
      </c>
      <c r="E75" s="98">
        <f>'Runs Z score'!E63</f>
        <v/>
      </c>
      <c r="F75" s="98">
        <f>'Runs Z score'!F63</f>
        <v/>
      </c>
      <c r="G75" s="99">
        <f>'Runs Z score'!G63</f>
        <v/>
      </c>
      <c r="H75" s="100">
        <f>VLOOKUP(C75,Recipes!$A$2:$N$4,10,FALSE())</f>
        <v/>
      </c>
      <c r="I75" s="101">
        <f>VLOOKUP(C75,Recipes!$A$2:$N$4,12,FALSE())</f>
        <v/>
      </c>
      <c r="J75" s="101">
        <f>IF(G75="","",((G75-H75)/I75)^2)</f>
        <v/>
      </c>
      <c r="K75" s="101">
        <f>IF(G75="","",MAX(0, J75-$B$12))</f>
        <v/>
      </c>
      <c r="L75" s="100">
        <f>IF(G75="","",SQRT(K75))</f>
        <v/>
      </c>
      <c r="M75" s="98">
        <f>IF(G75="","",IF(K75&lt;=$B$10,"OK","NG"))</f>
        <v/>
      </c>
      <c r="N75" s="69">
        <f>IF(M75="","",IF(M75=D75,1,0))</f>
        <v/>
      </c>
      <c r="O75" s="100">
        <f>IF(G75="","",H75-G75)</f>
        <v/>
      </c>
      <c r="P75" s="100">
        <f>IF(G75="","",ABS(O75-Components!$D$2))</f>
        <v/>
      </c>
      <c r="Q75" s="100">
        <f>IF(G75="","",ABS(O75-Components!$D$3))</f>
        <v/>
      </c>
      <c r="R75" s="100">
        <f>IF(G75="","",ABS(O75-Components!$D$4))</f>
        <v/>
      </c>
      <c r="S75" s="100">
        <f>IF(G75="","",ABS(O75-Components!$D$5))</f>
        <v/>
      </c>
      <c r="T75" s="100">
        <f>IF(G75="","",ABS(O75-Components!$D$6))</f>
        <v/>
      </c>
      <c r="U75" s="100">
        <f>IF(G75="","",ABS(O75-Components!$D$7))</f>
        <v/>
      </c>
      <c r="V75" s="98">
        <f>IF(G75="","",IF(M75="OK","NONE",INDEX({"S1","S2","W1","W2","N1","N2"},MATCH(MIN(P75:U75),P75:U75,0))))</f>
        <v/>
      </c>
      <c r="W75" s="103">
        <f>IF(G75="","",IF(V75=E75,1,0))</f>
        <v/>
      </c>
    </row>
    <row r="76">
      <c r="A76" s="102">
        <f>'Runs Z score'!A64</f>
        <v/>
      </c>
      <c r="B76" s="98">
        <f>'Runs Z score'!B64</f>
        <v/>
      </c>
      <c r="C76" s="98">
        <f>'Runs Z score'!C64</f>
        <v/>
      </c>
      <c r="D76" s="98">
        <f>'Runs Z score'!D64</f>
        <v/>
      </c>
      <c r="E76" s="98">
        <f>'Runs Z score'!E64</f>
        <v/>
      </c>
      <c r="F76" s="98">
        <f>'Runs Z score'!F64</f>
        <v/>
      </c>
      <c r="G76" s="99">
        <f>'Runs Z score'!G64</f>
        <v/>
      </c>
      <c r="H76" s="100">
        <f>VLOOKUP(C76,Recipes!$A$2:$N$4,10,FALSE())</f>
        <v/>
      </c>
      <c r="I76" s="101">
        <f>VLOOKUP(C76,Recipes!$A$2:$N$4,12,FALSE())</f>
        <v/>
      </c>
      <c r="J76" s="101">
        <f>IF(G76="","",((G76-H76)/I76)^2)</f>
        <v/>
      </c>
      <c r="K76" s="101">
        <f>IF(G76="","",MAX(0, J76-$B$12))</f>
        <v/>
      </c>
      <c r="L76" s="100">
        <f>IF(G76="","",SQRT(K76))</f>
        <v/>
      </c>
      <c r="M76" s="98">
        <f>IF(G76="","",IF(K76&lt;=$B$10,"OK","NG"))</f>
        <v/>
      </c>
      <c r="N76" s="69">
        <f>IF(M76="","",IF(M76=D76,1,0))</f>
        <v/>
      </c>
      <c r="O76" s="100">
        <f>IF(G76="","",H76-G76)</f>
        <v/>
      </c>
      <c r="P76" s="100">
        <f>IF(G76="","",ABS(O76-Components!$D$2))</f>
        <v/>
      </c>
      <c r="Q76" s="100">
        <f>IF(G76="","",ABS(O76-Components!$D$3))</f>
        <v/>
      </c>
      <c r="R76" s="100">
        <f>IF(G76="","",ABS(O76-Components!$D$4))</f>
        <v/>
      </c>
      <c r="S76" s="100">
        <f>IF(G76="","",ABS(O76-Components!$D$5))</f>
        <v/>
      </c>
      <c r="T76" s="100">
        <f>IF(G76="","",ABS(O76-Components!$D$6))</f>
        <v/>
      </c>
      <c r="U76" s="100">
        <f>IF(G76="","",ABS(O76-Components!$D$7))</f>
        <v/>
      </c>
      <c r="V76" s="98">
        <f>IF(G76="","",IF(M76="OK","NONE",INDEX({"S1","S2","W1","W2","N1","N2"},MATCH(MIN(P76:U76),P76:U76,0))))</f>
        <v/>
      </c>
      <c r="W76" s="103">
        <f>IF(G76="","",IF(V76=E76,1,0))</f>
        <v/>
      </c>
    </row>
    <row r="77">
      <c r="A77" s="102">
        <f>'Runs Z score'!A65</f>
        <v/>
      </c>
      <c r="B77" s="98">
        <f>'Runs Z score'!B65</f>
        <v/>
      </c>
      <c r="C77" s="98">
        <f>'Runs Z score'!C65</f>
        <v/>
      </c>
      <c r="D77" s="98">
        <f>'Runs Z score'!D65</f>
        <v/>
      </c>
      <c r="E77" s="98">
        <f>'Runs Z score'!E65</f>
        <v/>
      </c>
      <c r="F77" s="98">
        <f>'Runs Z score'!F65</f>
        <v/>
      </c>
      <c r="G77" s="99">
        <f>'Runs Z score'!G65</f>
        <v/>
      </c>
      <c r="H77" s="100">
        <f>VLOOKUP(C77,Recipes!$A$2:$N$4,10,FALSE())</f>
        <v/>
      </c>
      <c r="I77" s="101">
        <f>VLOOKUP(C77,Recipes!$A$2:$N$4,12,FALSE())</f>
        <v/>
      </c>
      <c r="J77" s="101">
        <f>IF(G77="","",((G77-H77)/I77)^2)</f>
        <v/>
      </c>
      <c r="K77" s="101">
        <f>IF(G77="","",MAX(0, J77-$B$12))</f>
        <v/>
      </c>
      <c r="L77" s="100">
        <f>IF(G77="","",SQRT(K77))</f>
        <v/>
      </c>
      <c r="M77" s="98">
        <f>IF(G77="","",IF(K77&lt;=$B$10,"OK","NG"))</f>
        <v/>
      </c>
      <c r="N77" s="69">
        <f>IF(M77="","",IF(M77=D77,1,0))</f>
        <v/>
      </c>
      <c r="O77" s="100">
        <f>IF(G77="","",H77-G77)</f>
        <v/>
      </c>
      <c r="P77" s="100">
        <f>IF(G77="","",ABS(O77-Components!$D$2))</f>
        <v/>
      </c>
      <c r="Q77" s="100">
        <f>IF(G77="","",ABS(O77-Components!$D$3))</f>
        <v/>
      </c>
      <c r="R77" s="100">
        <f>IF(G77="","",ABS(O77-Components!$D$4))</f>
        <v/>
      </c>
      <c r="S77" s="100">
        <f>IF(G77="","",ABS(O77-Components!$D$5))</f>
        <v/>
      </c>
      <c r="T77" s="100">
        <f>IF(G77="","",ABS(O77-Components!$D$6))</f>
        <v/>
      </c>
      <c r="U77" s="100">
        <f>IF(G77="","",ABS(O77-Components!$D$7))</f>
        <v/>
      </c>
      <c r="V77" s="98">
        <f>IF(G77="","",IF(M77="OK","NONE",INDEX({"S1","S2","W1","W2","N1","N2"},MATCH(MIN(P77:U77),P77:U77,0))))</f>
        <v/>
      </c>
      <c r="W77" s="103">
        <f>IF(G77="","",IF(V77=E77,1,0))</f>
        <v/>
      </c>
    </row>
    <row r="78">
      <c r="A78" s="102">
        <f>'Runs Z score'!A66</f>
        <v/>
      </c>
      <c r="B78" s="98">
        <f>'Runs Z score'!B66</f>
        <v/>
      </c>
      <c r="C78" s="98">
        <f>'Runs Z score'!C66</f>
        <v/>
      </c>
      <c r="D78" s="98">
        <f>'Runs Z score'!D66</f>
        <v/>
      </c>
      <c r="E78" s="98">
        <f>'Runs Z score'!E66</f>
        <v/>
      </c>
      <c r="F78" s="98">
        <f>'Runs Z score'!F66</f>
        <v/>
      </c>
      <c r="G78" s="99">
        <f>'Runs Z score'!G66</f>
        <v/>
      </c>
      <c r="H78" s="100">
        <f>VLOOKUP(C78,Recipes!$A$2:$N$4,10,FALSE())</f>
        <v/>
      </c>
      <c r="I78" s="101">
        <f>VLOOKUP(C78,Recipes!$A$2:$N$4,12,FALSE())</f>
        <v/>
      </c>
      <c r="J78" s="101">
        <f>IF(G78="","",((G78-H78)/I78)^2)</f>
        <v/>
      </c>
      <c r="K78" s="101">
        <f>IF(G78="","",MAX(0, J78-$B$12))</f>
        <v/>
      </c>
      <c r="L78" s="100">
        <f>IF(G78="","",SQRT(K78))</f>
        <v/>
      </c>
      <c r="M78" s="98">
        <f>IF(G78="","",IF(K78&lt;=$B$10,"OK","NG"))</f>
        <v/>
      </c>
      <c r="N78" s="69">
        <f>IF(M78="","",IF(M78=D78,1,0))</f>
        <v/>
      </c>
      <c r="O78" s="100">
        <f>IF(G78="","",H78-G78)</f>
        <v/>
      </c>
      <c r="P78" s="100">
        <f>IF(G78="","",ABS(O78-Components!$D$2))</f>
        <v/>
      </c>
      <c r="Q78" s="100">
        <f>IF(G78="","",ABS(O78-Components!$D$3))</f>
        <v/>
      </c>
      <c r="R78" s="100">
        <f>IF(G78="","",ABS(O78-Components!$D$4))</f>
        <v/>
      </c>
      <c r="S78" s="100">
        <f>IF(G78="","",ABS(O78-Components!$D$5))</f>
        <v/>
      </c>
      <c r="T78" s="100">
        <f>IF(G78="","",ABS(O78-Components!$D$6))</f>
        <v/>
      </c>
      <c r="U78" s="100">
        <f>IF(G78="","",ABS(O78-Components!$D$7))</f>
        <v/>
      </c>
      <c r="V78" s="98">
        <f>IF(G78="","",IF(M78="OK","NONE",INDEX({"S1","S2","W1","W2","N1","N2"},MATCH(MIN(P78:U78),P78:U78,0))))</f>
        <v/>
      </c>
      <c r="W78" s="103">
        <f>IF(G78="","",IF(V78=E78,1,0))</f>
        <v/>
      </c>
    </row>
    <row r="79">
      <c r="A79" s="102">
        <f>'Runs Z score'!A67</f>
        <v/>
      </c>
      <c r="B79" s="98">
        <f>'Runs Z score'!B67</f>
        <v/>
      </c>
      <c r="C79" s="98">
        <f>'Runs Z score'!C67</f>
        <v/>
      </c>
      <c r="D79" s="98">
        <f>'Runs Z score'!D67</f>
        <v/>
      </c>
      <c r="E79" s="98">
        <f>'Runs Z score'!E67</f>
        <v/>
      </c>
      <c r="F79" s="98">
        <f>'Runs Z score'!F67</f>
        <v/>
      </c>
      <c r="G79" s="99">
        <f>'Runs Z score'!G67</f>
        <v/>
      </c>
      <c r="H79" s="100">
        <f>VLOOKUP(C79,Recipes!$A$2:$N$4,10,FALSE())</f>
        <v/>
      </c>
      <c r="I79" s="101">
        <f>VLOOKUP(C79,Recipes!$A$2:$N$4,12,FALSE())</f>
        <v/>
      </c>
      <c r="J79" s="101">
        <f>IF(G79="","",((G79-H79)/I79)^2)</f>
        <v/>
      </c>
      <c r="K79" s="101">
        <f>IF(G79="","",MAX(0, J79-$B$12))</f>
        <v/>
      </c>
      <c r="L79" s="100">
        <f>IF(G79="","",SQRT(K79))</f>
        <v/>
      </c>
      <c r="M79" s="98">
        <f>IF(G79="","",IF(K79&lt;=$B$10,"OK","NG"))</f>
        <v/>
      </c>
      <c r="N79" s="69">
        <f>IF(M79="","",IF(M79=D79,1,0))</f>
        <v/>
      </c>
      <c r="O79" s="100">
        <f>IF(G79="","",H79-G79)</f>
        <v/>
      </c>
      <c r="P79" s="100">
        <f>IF(G79="","",ABS(O79-Components!$D$2))</f>
        <v/>
      </c>
      <c r="Q79" s="100">
        <f>IF(G79="","",ABS(O79-Components!$D$3))</f>
        <v/>
      </c>
      <c r="R79" s="100">
        <f>IF(G79="","",ABS(O79-Components!$D$4))</f>
        <v/>
      </c>
      <c r="S79" s="100">
        <f>IF(G79="","",ABS(O79-Components!$D$5))</f>
        <v/>
      </c>
      <c r="T79" s="100">
        <f>IF(G79="","",ABS(O79-Components!$D$6))</f>
        <v/>
      </c>
      <c r="U79" s="100">
        <f>IF(G79="","",ABS(O79-Components!$D$7))</f>
        <v/>
      </c>
      <c r="V79" s="98">
        <f>IF(G79="","",IF(M79="OK","NONE",INDEX({"S1","S2","W1","W2","N1","N2"},MATCH(MIN(P79:U79),P79:U79,0))))</f>
        <v/>
      </c>
      <c r="W79" s="103">
        <f>IF(G79="","",IF(V79=E79,1,0))</f>
        <v/>
      </c>
    </row>
    <row r="80">
      <c r="A80" s="102">
        <f>'Runs Z score'!A68</f>
        <v/>
      </c>
      <c r="B80" s="98">
        <f>'Runs Z score'!B68</f>
        <v/>
      </c>
      <c r="C80" s="98">
        <f>'Runs Z score'!C68</f>
        <v/>
      </c>
      <c r="D80" s="98">
        <f>'Runs Z score'!D68</f>
        <v/>
      </c>
      <c r="E80" s="98">
        <f>'Runs Z score'!E68</f>
        <v/>
      </c>
      <c r="F80" s="98">
        <f>'Runs Z score'!F68</f>
        <v/>
      </c>
      <c r="G80" s="99">
        <f>'Runs Z score'!G68</f>
        <v/>
      </c>
      <c r="H80" s="100">
        <f>VLOOKUP(C80,Recipes!$A$2:$N$4,10,FALSE())</f>
        <v/>
      </c>
      <c r="I80" s="101">
        <f>VLOOKUP(C80,Recipes!$A$2:$N$4,12,FALSE())</f>
        <v/>
      </c>
      <c r="J80" s="101">
        <f>IF(G80="","",((G80-H80)/I80)^2)</f>
        <v/>
      </c>
      <c r="K80" s="101">
        <f>IF(G80="","",MAX(0, J80-$B$12))</f>
        <v/>
      </c>
      <c r="L80" s="100">
        <f>IF(G80="","",SQRT(K80))</f>
        <v/>
      </c>
      <c r="M80" s="98">
        <f>IF(G80="","",IF(K80&lt;=$B$10,"OK","NG"))</f>
        <v/>
      </c>
      <c r="N80" s="69">
        <f>IF(M80="","",IF(M80=D80,1,0))</f>
        <v/>
      </c>
      <c r="O80" s="100">
        <f>IF(G80="","",H80-G80)</f>
        <v/>
      </c>
      <c r="P80" s="100">
        <f>IF(G80="","",ABS(O80-Components!$D$2))</f>
        <v/>
      </c>
      <c r="Q80" s="100">
        <f>IF(G80="","",ABS(O80-Components!$D$3))</f>
        <v/>
      </c>
      <c r="R80" s="100">
        <f>IF(G80="","",ABS(O80-Components!$D$4))</f>
        <v/>
      </c>
      <c r="S80" s="100">
        <f>IF(G80="","",ABS(O80-Components!$D$5))</f>
        <v/>
      </c>
      <c r="T80" s="100">
        <f>IF(G80="","",ABS(O80-Components!$D$6))</f>
        <v/>
      </c>
      <c r="U80" s="100">
        <f>IF(G80="","",ABS(O80-Components!$D$7))</f>
        <v/>
      </c>
      <c r="V80" s="98">
        <f>IF(G80="","",IF(M80="OK","NONE",INDEX({"S1","S2","W1","W2","N1","N2"},MATCH(MIN(P80:U80),P80:U80,0))))</f>
        <v/>
      </c>
      <c r="W80" s="103">
        <f>IF(G80="","",IF(V80=E80,1,0))</f>
        <v/>
      </c>
    </row>
    <row r="81">
      <c r="A81" s="102">
        <f>'Runs Z score'!A69</f>
        <v/>
      </c>
      <c r="B81" s="98">
        <f>'Runs Z score'!B69</f>
        <v/>
      </c>
      <c r="C81" s="98">
        <f>'Runs Z score'!C69</f>
        <v/>
      </c>
      <c r="D81" s="98">
        <f>'Runs Z score'!D69</f>
        <v/>
      </c>
      <c r="E81" s="98">
        <f>'Runs Z score'!E69</f>
        <v/>
      </c>
      <c r="F81" s="98">
        <f>'Runs Z score'!F69</f>
        <v/>
      </c>
      <c r="G81" s="99">
        <f>'Runs Z score'!G69</f>
        <v/>
      </c>
      <c r="H81" s="100">
        <f>VLOOKUP(C81,Recipes!$A$2:$N$4,10,FALSE())</f>
        <v/>
      </c>
      <c r="I81" s="101">
        <f>VLOOKUP(C81,Recipes!$A$2:$N$4,12,FALSE())</f>
        <v/>
      </c>
      <c r="J81" s="101">
        <f>IF(G81="","",((G81-H81)/I81)^2)</f>
        <v/>
      </c>
      <c r="K81" s="101">
        <f>IF(G81="","",MAX(0, J81-$B$12))</f>
        <v/>
      </c>
      <c r="L81" s="100">
        <f>IF(G81="","",SQRT(K81))</f>
        <v/>
      </c>
      <c r="M81" s="98">
        <f>IF(G81="","",IF(K81&lt;=$B$10,"OK","NG"))</f>
        <v/>
      </c>
      <c r="N81" s="69">
        <f>IF(M81="","",IF(M81=D81,1,0))</f>
        <v/>
      </c>
      <c r="O81" s="100">
        <f>IF(G81="","",H81-G81)</f>
        <v/>
      </c>
      <c r="P81" s="100">
        <f>IF(G81="","",ABS(O81-Components!$D$2))</f>
        <v/>
      </c>
      <c r="Q81" s="100">
        <f>IF(G81="","",ABS(O81-Components!$D$3))</f>
        <v/>
      </c>
      <c r="R81" s="100">
        <f>IF(G81="","",ABS(O81-Components!$D$4))</f>
        <v/>
      </c>
      <c r="S81" s="100">
        <f>IF(G81="","",ABS(O81-Components!$D$5))</f>
        <v/>
      </c>
      <c r="T81" s="100">
        <f>IF(G81="","",ABS(O81-Components!$D$6))</f>
        <v/>
      </c>
      <c r="U81" s="100">
        <f>IF(G81="","",ABS(O81-Components!$D$7))</f>
        <v/>
      </c>
      <c r="V81" s="98">
        <f>IF(G81="","",IF(M81="OK","NONE",INDEX({"S1","S2","W1","W2","N1","N2"},MATCH(MIN(P81:U81),P81:U81,0))))</f>
        <v/>
      </c>
      <c r="W81" s="103">
        <f>IF(G81="","",IF(V81=E81,1,0))</f>
        <v/>
      </c>
    </row>
    <row r="82">
      <c r="A82" s="102">
        <f>'Runs Z score'!A70</f>
        <v/>
      </c>
      <c r="B82" s="98">
        <f>'Runs Z score'!B70</f>
        <v/>
      </c>
      <c r="C82" s="98">
        <f>'Runs Z score'!C70</f>
        <v/>
      </c>
      <c r="D82" s="98">
        <f>'Runs Z score'!D70</f>
        <v/>
      </c>
      <c r="E82" s="98">
        <f>'Runs Z score'!E70</f>
        <v/>
      </c>
      <c r="F82" s="98">
        <f>'Runs Z score'!F70</f>
        <v/>
      </c>
      <c r="G82" s="99">
        <f>'Runs Z score'!G70</f>
        <v/>
      </c>
      <c r="H82" s="100">
        <f>VLOOKUP(C82,Recipes!$A$2:$N$4,10,FALSE())</f>
        <v/>
      </c>
      <c r="I82" s="101">
        <f>VLOOKUP(C82,Recipes!$A$2:$N$4,12,FALSE())</f>
        <v/>
      </c>
      <c r="J82" s="101">
        <f>IF(G82="","",((G82-H82)/I82)^2)</f>
        <v/>
      </c>
      <c r="K82" s="101">
        <f>IF(G82="","",MAX(0, J82-$B$12))</f>
        <v/>
      </c>
      <c r="L82" s="100">
        <f>IF(G82="","",SQRT(K82))</f>
        <v/>
      </c>
      <c r="M82" s="98">
        <f>IF(G82="","",IF(K82&lt;=$B$10,"OK","NG"))</f>
        <v/>
      </c>
      <c r="N82" s="69">
        <f>IF(M82="","",IF(M82=D82,1,0))</f>
        <v/>
      </c>
      <c r="O82" s="100">
        <f>IF(G82="","",H82-G82)</f>
        <v/>
      </c>
      <c r="P82" s="100">
        <f>IF(G82="","",ABS(O82-Components!$D$2))</f>
        <v/>
      </c>
      <c r="Q82" s="100">
        <f>IF(G82="","",ABS(O82-Components!$D$3))</f>
        <v/>
      </c>
      <c r="R82" s="100">
        <f>IF(G82="","",ABS(O82-Components!$D$4))</f>
        <v/>
      </c>
      <c r="S82" s="100">
        <f>IF(G82="","",ABS(O82-Components!$D$5))</f>
        <v/>
      </c>
      <c r="T82" s="100">
        <f>IF(G82="","",ABS(O82-Components!$D$6))</f>
        <v/>
      </c>
      <c r="U82" s="100">
        <f>IF(G82="","",ABS(O82-Components!$D$7))</f>
        <v/>
      </c>
      <c r="V82" s="98">
        <f>IF(G82="","",IF(M82="OK","NONE",INDEX({"S1","S2","W1","W2","N1","N2"},MATCH(MIN(P82:U82),P82:U82,0))))</f>
        <v/>
      </c>
      <c r="W82" s="103">
        <f>IF(G82="","",IF(V82=E82,1,0))</f>
        <v/>
      </c>
    </row>
    <row r="83">
      <c r="A83" s="102">
        <f>'Runs Z score'!A71</f>
        <v/>
      </c>
      <c r="B83" s="98">
        <f>'Runs Z score'!B71</f>
        <v/>
      </c>
      <c r="C83" s="98">
        <f>'Runs Z score'!C71</f>
        <v/>
      </c>
      <c r="D83" s="98">
        <f>'Runs Z score'!D71</f>
        <v/>
      </c>
      <c r="E83" s="98">
        <f>'Runs Z score'!E71</f>
        <v/>
      </c>
      <c r="F83" s="98">
        <f>'Runs Z score'!F71</f>
        <v/>
      </c>
      <c r="G83" s="99">
        <f>'Runs Z score'!G71</f>
        <v/>
      </c>
      <c r="H83" s="100">
        <f>VLOOKUP(C83,Recipes!$A$2:$N$4,10,FALSE())</f>
        <v/>
      </c>
      <c r="I83" s="101">
        <f>VLOOKUP(C83,Recipes!$A$2:$N$4,12,FALSE())</f>
        <v/>
      </c>
      <c r="J83" s="101">
        <f>IF(G83="","",((G83-H83)/I83)^2)</f>
        <v/>
      </c>
      <c r="K83" s="101">
        <f>IF(G83="","",MAX(0, J83-$B$12))</f>
        <v/>
      </c>
      <c r="L83" s="100">
        <f>IF(G83="","",SQRT(K83))</f>
        <v/>
      </c>
      <c r="M83" s="98">
        <f>IF(G83="","",IF(K83&lt;=$B$10,"OK","NG"))</f>
        <v/>
      </c>
      <c r="N83" s="69">
        <f>IF(M83="","",IF(M83=D83,1,0))</f>
        <v/>
      </c>
      <c r="O83" s="100">
        <f>IF(G83="","",H83-G83)</f>
        <v/>
      </c>
      <c r="P83" s="100">
        <f>IF(G83="","",ABS(O83-Components!$D$2))</f>
        <v/>
      </c>
      <c r="Q83" s="100">
        <f>IF(G83="","",ABS(O83-Components!$D$3))</f>
        <v/>
      </c>
      <c r="R83" s="100">
        <f>IF(G83="","",ABS(O83-Components!$D$4))</f>
        <v/>
      </c>
      <c r="S83" s="100">
        <f>IF(G83="","",ABS(O83-Components!$D$5))</f>
        <v/>
      </c>
      <c r="T83" s="100">
        <f>IF(G83="","",ABS(O83-Components!$D$6))</f>
        <v/>
      </c>
      <c r="U83" s="100">
        <f>IF(G83="","",ABS(O83-Components!$D$7))</f>
        <v/>
      </c>
      <c r="V83" s="98">
        <f>IF(G83="","",IF(M83="OK","NONE",INDEX({"S1","S2","W1","W2","N1","N2"},MATCH(MIN(P83:U83),P83:U83,0))))</f>
        <v/>
      </c>
      <c r="W83" s="103">
        <f>IF(G83="","",IF(V83=E83,1,0))</f>
        <v/>
      </c>
    </row>
    <row r="84">
      <c r="A84" s="102">
        <f>'Runs Z score'!A72</f>
        <v/>
      </c>
      <c r="B84" s="98">
        <f>'Runs Z score'!B72</f>
        <v/>
      </c>
      <c r="C84" s="98">
        <f>'Runs Z score'!C72</f>
        <v/>
      </c>
      <c r="D84" s="98">
        <f>'Runs Z score'!D72</f>
        <v/>
      </c>
      <c r="E84" s="98">
        <f>'Runs Z score'!E72</f>
        <v/>
      </c>
      <c r="F84" s="98">
        <f>'Runs Z score'!F72</f>
        <v/>
      </c>
      <c r="G84" s="99">
        <f>'Runs Z score'!G72</f>
        <v/>
      </c>
      <c r="H84" s="100">
        <f>VLOOKUP(C84,Recipes!$A$2:$N$4,10,FALSE())</f>
        <v/>
      </c>
      <c r="I84" s="101">
        <f>VLOOKUP(C84,Recipes!$A$2:$N$4,12,FALSE())</f>
        <v/>
      </c>
      <c r="J84" s="101">
        <f>IF(G84="","",((G84-H84)/I84)^2)</f>
        <v/>
      </c>
      <c r="K84" s="101">
        <f>IF(G84="","",MAX(0, J84-$B$12))</f>
        <v/>
      </c>
      <c r="L84" s="100">
        <f>IF(G84="","",SQRT(K84))</f>
        <v/>
      </c>
      <c r="M84" s="98">
        <f>IF(G84="","",IF(K84&lt;=$B$10,"OK","NG"))</f>
        <v/>
      </c>
      <c r="N84" s="69">
        <f>IF(M84="","",IF(M84=D84,1,0))</f>
        <v/>
      </c>
      <c r="O84" s="100">
        <f>IF(G84="","",H84-G84)</f>
        <v/>
      </c>
      <c r="P84" s="100">
        <f>IF(G84="","",ABS(O84-Components!$D$2))</f>
        <v/>
      </c>
      <c r="Q84" s="100">
        <f>IF(G84="","",ABS(O84-Components!$D$3))</f>
        <v/>
      </c>
      <c r="R84" s="100">
        <f>IF(G84="","",ABS(O84-Components!$D$4))</f>
        <v/>
      </c>
      <c r="S84" s="100">
        <f>IF(G84="","",ABS(O84-Components!$D$5))</f>
        <v/>
      </c>
      <c r="T84" s="100">
        <f>IF(G84="","",ABS(O84-Components!$D$6))</f>
        <v/>
      </c>
      <c r="U84" s="100">
        <f>IF(G84="","",ABS(O84-Components!$D$7))</f>
        <v/>
      </c>
      <c r="V84" s="98">
        <f>IF(G84="","",IF(M84="OK","NONE",INDEX({"S1","S2","W1","W2","N1","N2"},MATCH(MIN(P84:U84),P84:U84,0))))</f>
        <v/>
      </c>
      <c r="W84" s="103">
        <f>IF(G84="","",IF(V84=E84,1,0))</f>
        <v/>
      </c>
    </row>
    <row r="85">
      <c r="A85" s="102">
        <f>'Runs Z score'!A73</f>
        <v/>
      </c>
      <c r="B85" s="98">
        <f>'Runs Z score'!B73</f>
        <v/>
      </c>
      <c r="C85" s="98">
        <f>'Runs Z score'!C73</f>
        <v/>
      </c>
      <c r="D85" s="98">
        <f>'Runs Z score'!D73</f>
        <v/>
      </c>
      <c r="E85" s="98">
        <f>'Runs Z score'!E73</f>
        <v/>
      </c>
      <c r="F85" s="98">
        <f>'Runs Z score'!F73</f>
        <v/>
      </c>
      <c r="G85" s="99">
        <f>'Runs Z score'!G73</f>
        <v/>
      </c>
      <c r="H85" s="100">
        <f>VLOOKUP(C85,Recipes!$A$2:$N$4,10,FALSE())</f>
        <v/>
      </c>
      <c r="I85" s="101">
        <f>VLOOKUP(C85,Recipes!$A$2:$N$4,12,FALSE())</f>
        <v/>
      </c>
      <c r="J85" s="101">
        <f>IF(G85="","",((G85-H85)/I85)^2)</f>
        <v/>
      </c>
      <c r="K85" s="101">
        <f>IF(G85="","",MAX(0, J85-$B$12))</f>
        <v/>
      </c>
      <c r="L85" s="100">
        <f>IF(G85="","",SQRT(K85))</f>
        <v/>
      </c>
      <c r="M85" s="98">
        <f>IF(G85="","",IF(K85&lt;=$B$10,"OK","NG"))</f>
        <v/>
      </c>
      <c r="N85" s="69">
        <f>IF(M85="","",IF(M85=D85,1,0))</f>
        <v/>
      </c>
      <c r="O85" s="100">
        <f>IF(G85="","",H85-G85)</f>
        <v/>
      </c>
      <c r="P85" s="100">
        <f>IF(G85="","",ABS(O85-Components!$D$2))</f>
        <v/>
      </c>
      <c r="Q85" s="100">
        <f>IF(G85="","",ABS(O85-Components!$D$3))</f>
        <v/>
      </c>
      <c r="R85" s="100">
        <f>IF(G85="","",ABS(O85-Components!$D$4))</f>
        <v/>
      </c>
      <c r="S85" s="100">
        <f>IF(G85="","",ABS(O85-Components!$D$5))</f>
        <v/>
      </c>
      <c r="T85" s="100">
        <f>IF(G85="","",ABS(O85-Components!$D$6))</f>
        <v/>
      </c>
      <c r="U85" s="100">
        <f>IF(G85="","",ABS(O85-Components!$D$7))</f>
        <v/>
      </c>
      <c r="V85" s="98">
        <f>IF(G85="","",IF(M85="OK","NONE",INDEX({"S1","S2","W1","W2","N1","N2"},MATCH(MIN(P85:U85),P85:U85,0))))</f>
        <v/>
      </c>
      <c r="W85" s="103">
        <f>IF(G85="","",IF(V85=E85,1,0))</f>
        <v/>
      </c>
    </row>
    <row r="86">
      <c r="A86" s="102">
        <f>'Runs Z score'!A74</f>
        <v/>
      </c>
      <c r="B86" s="98">
        <f>'Runs Z score'!B74</f>
        <v/>
      </c>
      <c r="C86" s="98">
        <f>'Runs Z score'!C74</f>
        <v/>
      </c>
      <c r="D86" s="98">
        <f>'Runs Z score'!D74</f>
        <v/>
      </c>
      <c r="E86" s="98">
        <f>'Runs Z score'!E74</f>
        <v/>
      </c>
      <c r="F86" s="98">
        <f>'Runs Z score'!F74</f>
        <v/>
      </c>
      <c r="G86" s="99">
        <f>'Runs Z score'!G74</f>
        <v/>
      </c>
      <c r="H86" s="100">
        <f>VLOOKUP(C86,Recipes!$A$2:$N$4,10,FALSE())</f>
        <v/>
      </c>
      <c r="I86" s="101">
        <f>VLOOKUP(C86,Recipes!$A$2:$N$4,12,FALSE())</f>
        <v/>
      </c>
      <c r="J86" s="101">
        <f>IF(G86="","",((G86-H86)/I86)^2)</f>
        <v/>
      </c>
      <c r="K86" s="101">
        <f>IF(G86="","",MAX(0, J86-$B$12))</f>
        <v/>
      </c>
      <c r="L86" s="100">
        <f>IF(G86="","",SQRT(K86))</f>
        <v/>
      </c>
      <c r="M86" s="98">
        <f>IF(G86="","",IF(K86&lt;=$B$10,"OK","NG"))</f>
        <v/>
      </c>
      <c r="N86" s="69">
        <f>IF(M86="","",IF(M86=D86,1,0))</f>
        <v/>
      </c>
      <c r="O86" s="100">
        <f>IF(G86="","",H86-G86)</f>
        <v/>
      </c>
      <c r="P86" s="100">
        <f>IF(G86="","",ABS(O86-Components!$D$2))</f>
        <v/>
      </c>
      <c r="Q86" s="100">
        <f>IF(G86="","",ABS(O86-Components!$D$3))</f>
        <v/>
      </c>
      <c r="R86" s="100">
        <f>IF(G86="","",ABS(O86-Components!$D$4))</f>
        <v/>
      </c>
      <c r="S86" s="100">
        <f>IF(G86="","",ABS(O86-Components!$D$5))</f>
        <v/>
      </c>
      <c r="T86" s="100">
        <f>IF(G86="","",ABS(O86-Components!$D$6))</f>
        <v/>
      </c>
      <c r="U86" s="100">
        <f>IF(G86="","",ABS(O86-Components!$D$7))</f>
        <v/>
      </c>
      <c r="V86" s="98">
        <f>IF(G86="","",IF(M86="OK","NONE",INDEX({"S1","S2","W1","W2","N1","N2"},MATCH(MIN(P86:U86),P86:U86,0))))</f>
        <v/>
      </c>
      <c r="W86" s="103">
        <f>IF(G86="","",IF(V86=E86,1,0))</f>
        <v/>
      </c>
    </row>
    <row r="87">
      <c r="A87" s="102">
        <f>'Runs Z score'!A75</f>
        <v/>
      </c>
      <c r="B87" s="98">
        <f>'Runs Z score'!B75</f>
        <v/>
      </c>
      <c r="C87" s="98">
        <f>'Runs Z score'!C75</f>
        <v/>
      </c>
      <c r="D87" s="98">
        <f>'Runs Z score'!D75</f>
        <v/>
      </c>
      <c r="E87" s="98">
        <f>'Runs Z score'!E75</f>
        <v/>
      </c>
      <c r="F87" s="98">
        <f>'Runs Z score'!F75</f>
        <v/>
      </c>
      <c r="G87" s="99">
        <f>'Runs Z score'!G75</f>
        <v/>
      </c>
      <c r="H87" s="100">
        <f>VLOOKUP(C87,Recipes!$A$2:$N$4,10,FALSE())</f>
        <v/>
      </c>
      <c r="I87" s="101">
        <f>VLOOKUP(C87,Recipes!$A$2:$N$4,12,FALSE())</f>
        <v/>
      </c>
      <c r="J87" s="101">
        <f>IF(G87="","",((G87-H87)/I87)^2)</f>
        <v/>
      </c>
      <c r="K87" s="101">
        <f>IF(G87="","",MAX(0, J87-$B$12))</f>
        <v/>
      </c>
      <c r="L87" s="100">
        <f>IF(G87="","",SQRT(K87))</f>
        <v/>
      </c>
      <c r="M87" s="98">
        <f>IF(G87="","",IF(K87&lt;=$B$10,"OK","NG"))</f>
        <v/>
      </c>
      <c r="N87" s="69">
        <f>IF(M87="","",IF(M87=D87,1,0))</f>
        <v/>
      </c>
      <c r="O87" s="100">
        <f>IF(G87="","",H87-G87)</f>
        <v/>
      </c>
      <c r="P87" s="100">
        <f>IF(G87="","",ABS(O87-Components!$D$2))</f>
        <v/>
      </c>
      <c r="Q87" s="100">
        <f>IF(G87="","",ABS(O87-Components!$D$3))</f>
        <v/>
      </c>
      <c r="R87" s="100">
        <f>IF(G87="","",ABS(O87-Components!$D$4))</f>
        <v/>
      </c>
      <c r="S87" s="100">
        <f>IF(G87="","",ABS(O87-Components!$D$5))</f>
        <v/>
      </c>
      <c r="T87" s="100">
        <f>IF(G87="","",ABS(O87-Components!$D$6))</f>
        <v/>
      </c>
      <c r="U87" s="100">
        <f>IF(G87="","",ABS(O87-Components!$D$7))</f>
        <v/>
      </c>
      <c r="V87" s="98">
        <f>IF(G87="","",IF(M87="OK","NONE",INDEX({"S1","S2","W1","W2","N1","N2"},MATCH(MIN(P87:U87),P87:U87,0))))</f>
        <v/>
      </c>
      <c r="W87" s="103">
        <f>IF(G87="","",IF(V87=E87,1,0))</f>
        <v/>
      </c>
    </row>
    <row r="88">
      <c r="A88" s="102">
        <f>'Runs Z score'!A76</f>
        <v/>
      </c>
      <c r="B88" s="98">
        <f>'Runs Z score'!B76</f>
        <v/>
      </c>
      <c r="C88" s="98">
        <f>'Runs Z score'!C76</f>
        <v/>
      </c>
      <c r="D88" s="98">
        <f>'Runs Z score'!D76</f>
        <v/>
      </c>
      <c r="E88" s="98">
        <f>'Runs Z score'!E76</f>
        <v/>
      </c>
      <c r="F88" s="98">
        <f>'Runs Z score'!F76</f>
        <v/>
      </c>
      <c r="G88" s="99">
        <f>'Runs Z score'!G76</f>
        <v/>
      </c>
      <c r="H88" s="100">
        <f>VLOOKUP(C88,Recipes!$A$2:$N$4,10,FALSE())</f>
        <v/>
      </c>
      <c r="I88" s="101">
        <f>VLOOKUP(C88,Recipes!$A$2:$N$4,12,FALSE())</f>
        <v/>
      </c>
      <c r="J88" s="101">
        <f>IF(G88="","",((G88-H88)/I88)^2)</f>
        <v/>
      </c>
      <c r="K88" s="101">
        <f>IF(G88="","",MAX(0, J88-$B$12))</f>
        <v/>
      </c>
      <c r="L88" s="100">
        <f>IF(G88="","",SQRT(K88))</f>
        <v/>
      </c>
      <c r="M88" s="98">
        <f>IF(G88="","",IF(K88&lt;=$B$10,"OK","NG"))</f>
        <v/>
      </c>
      <c r="N88" s="69">
        <f>IF(M88="","",IF(M88=D88,1,0))</f>
        <v/>
      </c>
      <c r="O88" s="100">
        <f>IF(G88="","",H88-G88)</f>
        <v/>
      </c>
      <c r="P88" s="100">
        <f>IF(G88="","",ABS(O88-Components!$D$2))</f>
        <v/>
      </c>
      <c r="Q88" s="100">
        <f>IF(G88="","",ABS(O88-Components!$D$3))</f>
        <v/>
      </c>
      <c r="R88" s="100">
        <f>IF(G88="","",ABS(O88-Components!$D$4))</f>
        <v/>
      </c>
      <c r="S88" s="100">
        <f>IF(G88="","",ABS(O88-Components!$D$5))</f>
        <v/>
      </c>
      <c r="T88" s="100">
        <f>IF(G88="","",ABS(O88-Components!$D$6))</f>
        <v/>
      </c>
      <c r="U88" s="100">
        <f>IF(G88="","",ABS(O88-Components!$D$7))</f>
        <v/>
      </c>
      <c r="V88" s="98">
        <f>IF(G88="","",IF(M88="OK","NONE",INDEX({"S1","S2","W1","W2","N1","N2"},MATCH(MIN(P88:U88),P88:U88,0))))</f>
        <v/>
      </c>
      <c r="W88" s="103">
        <f>IF(G88="","",IF(V88=E88,1,0))</f>
        <v/>
      </c>
    </row>
    <row r="89">
      <c r="A89" s="102">
        <f>'Runs Z score'!A77</f>
        <v/>
      </c>
      <c r="B89" s="98">
        <f>'Runs Z score'!B77</f>
        <v/>
      </c>
      <c r="C89" s="98">
        <f>'Runs Z score'!C77</f>
        <v/>
      </c>
      <c r="D89" s="98">
        <f>'Runs Z score'!D77</f>
        <v/>
      </c>
      <c r="E89" s="98">
        <f>'Runs Z score'!E77</f>
        <v/>
      </c>
      <c r="F89" s="98">
        <f>'Runs Z score'!F77</f>
        <v/>
      </c>
      <c r="G89" s="99">
        <f>'Runs Z score'!G77</f>
        <v/>
      </c>
      <c r="H89" s="100">
        <f>VLOOKUP(C89,Recipes!$A$2:$N$4,10,FALSE())</f>
        <v/>
      </c>
      <c r="I89" s="101">
        <f>VLOOKUP(C89,Recipes!$A$2:$N$4,12,FALSE())</f>
        <v/>
      </c>
      <c r="J89" s="101">
        <f>IF(G89="","",((G89-H89)/I89)^2)</f>
        <v/>
      </c>
      <c r="K89" s="101">
        <f>IF(G89="","",MAX(0, J89-$B$12))</f>
        <v/>
      </c>
      <c r="L89" s="100">
        <f>IF(G89="","",SQRT(K89))</f>
        <v/>
      </c>
      <c r="M89" s="98">
        <f>IF(G89="","",IF(K89&lt;=$B$10,"OK","NG"))</f>
        <v/>
      </c>
      <c r="N89" s="69">
        <f>IF(M89="","",IF(M89=D89,1,0))</f>
        <v/>
      </c>
      <c r="O89" s="100">
        <f>IF(G89="","",H89-G89)</f>
        <v/>
      </c>
      <c r="P89" s="100">
        <f>IF(G89="","",ABS(O89-Components!$D$2))</f>
        <v/>
      </c>
      <c r="Q89" s="100">
        <f>IF(G89="","",ABS(O89-Components!$D$3))</f>
        <v/>
      </c>
      <c r="R89" s="100">
        <f>IF(G89="","",ABS(O89-Components!$D$4))</f>
        <v/>
      </c>
      <c r="S89" s="100">
        <f>IF(G89="","",ABS(O89-Components!$D$5))</f>
        <v/>
      </c>
      <c r="T89" s="100">
        <f>IF(G89="","",ABS(O89-Components!$D$6))</f>
        <v/>
      </c>
      <c r="U89" s="100">
        <f>IF(G89="","",ABS(O89-Components!$D$7))</f>
        <v/>
      </c>
      <c r="V89" s="98">
        <f>IF(G89="","",IF(M89="OK","NONE",INDEX({"S1","S2","W1","W2","N1","N2"},MATCH(MIN(P89:U89),P89:U89,0))))</f>
        <v/>
      </c>
      <c r="W89" s="103">
        <f>IF(G89="","",IF(V89=E89,1,0))</f>
        <v/>
      </c>
    </row>
    <row r="90">
      <c r="A90" s="102">
        <f>'Runs Z score'!A78</f>
        <v/>
      </c>
      <c r="B90" s="98">
        <f>'Runs Z score'!B78</f>
        <v/>
      </c>
      <c r="C90" s="98">
        <f>'Runs Z score'!C78</f>
        <v/>
      </c>
      <c r="D90" s="98">
        <f>'Runs Z score'!D78</f>
        <v/>
      </c>
      <c r="E90" s="98">
        <f>'Runs Z score'!E78</f>
        <v/>
      </c>
      <c r="F90" s="98">
        <f>'Runs Z score'!F78</f>
        <v/>
      </c>
      <c r="G90" s="99">
        <f>'Runs Z score'!G78</f>
        <v/>
      </c>
      <c r="H90" s="100">
        <f>VLOOKUP(C90,Recipes!$A$2:$N$4,10,FALSE())</f>
        <v/>
      </c>
      <c r="I90" s="101">
        <f>VLOOKUP(C90,Recipes!$A$2:$N$4,12,FALSE())</f>
        <v/>
      </c>
      <c r="J90" s="101">
        <f>IF(G90="","",((G90-H90)/I90)^2)</f>
        <v/>
      </c>
      <c r="K90" s="101">
        <f>IF(G90="","",MAX(0, J90-$B$12))</f>
        <v/>
      </c>
      <c r="L90" s="100">
        <f>IF(G90="","",SQRT(K90))</f>
        <v/>
      </c>
      <c r="M90" s="98">
        <f>IF(G90="","",IF(K90&lt;=$B$10,"OK","NG"))</f>
        <v/>
      </c>
      <c r="N90" s="69">
        <f>IF(M90="","",IF(M90=D90,1,0))</f>
        <v/>
      </c>
      <c r="O90" s="100">
        <f>IF(G90="","",H90-G90)</f>
        <v/>
      </c>
      <c r="P90" s="100">
        <f>IF(G90="","",ABS(O90-Components!$D$2))</f>
        <v/>
      </c>
      <c r="Q90" s="100">
        <f>IF(G90="","",ABS(O90-Components!$D$3))</f>
        <v/>
      </c>
      <c r="R90" s="100">
        <f>IF(G90="","",ABS(O90-Components!$D$4))</f>
        <v/>
      </c>
      <c r="S90" s="100">
        <f>IF(G90="","",ABS(O90-Components!$D$5))</f>
        <v/>
      </c>
      <c r="T90" s="100">
        <f>IF(G90="","",ABS(O90-Components!$D$6))</f>
        <v/>
      </c>
      <c r="U90" s="100">
        <f>IF(G90="","",ABS(O90-Components!$D$7))</f>
        <v/>
      </c>
      <c r="V90" s="98">
        <f>IF(G90="","",IF(M90="OK","NONE",INDEX({"S1","S2","W1","W2","N1","N2"},MATCH(MIN(P90:U90),P90:U90,0))))</f>
        <v/>
      </c>
      <c r="W90" s="103">
        <f>IF(G90="","",IF(V90=E90,1,0))</f>
        <v/>
      </c>
    </row>
    <row r="91">
      <c r="A91" s="102">
        <f>'Runs Z score'!A79</f>
        <v/>
      </c>
      <c r="B91" s="98">
        <f>'Runs Z score'!B79</f>
        <v/>
      </c>
      <c r="C91" s="98">
        <f>'Runs Z score'!C79</f>
        <v/>
      </c>
      <c r="D91" s="98">
        <f>'Runs Z score'!D79</f>
        <v/>
      </c>
      <c r="E91" s="98">
        <f>'Runs Z score'!E79</f>
        <v/>
      </c>
      <c r="F91" s="98">
        <f>'Runs Z score'!F79</f>
        <v/>
      </c>
      <c r="G91" s="99">
        <f>'Runs Z score'!G79</f>
        <v/>
      </c>
      <c r="H91" s="100">
        <f>VLOOKUP(C91,Recipes!$A$2:$N$4,10,FALSE())</f>
        <v/>
      </c>
      <c r="I91" s="101">
        <f>VLOOKUP(C91,Recipes!$A$2:$N$4,12,FALSE())</f>
        <v/>
      </c>
      <c r="J91" s="101">
        <f>IF(G91="","",((G91-H91)/I91)^2)</f>
        <v/>
      </c>
      <c r="K91" s="101">
        <f>IF(G91="","",MAX(0, J91-$B$12))</f>
        <v/>
      </c>
      <c r="L91" s="100">
        <f>IF(G91="","",SQRT(K91))</f>
        <v/>
      </c>
      <c r="M91" s="98">
        <f>IF(G91="","",IF(K91&lt;=$B$10,"OK","NG"))</f>
        <v/>
      </c>
      <c r="N91" s="69">
        <f>IF(M91="","",IF(M91=D91,1,0))</f>
        <v/>
      </c>
      <c r="O91" s="100">
        <f>IF(G91="","",H91-G91)</f>
        <v/>
      </c>
      <c r="P91" s="100">
        <f>IF(G91="","",ABS(O91-Components!$D$2))</f>
        <v/>
      </c>
      <c r="Q91" s="100">
        <f>IF(G91="","",ABS(O91-Components!$D$3))</f>
        <v/>
      </c>
      <c r="R91" s="100">
        <f>IF(G91="","",ABS(O91-Components!$D$4))</f>
        <v/>
      </c>
      <c r="S91" s="100">
        <f>IF(G91="","",ABS(O91-Components!$D$5))</f>
        <v/>
      </c>
      <c r="T91" s="100">
        <f>IF(G91="","",ABS(O91-Components!$D$6))</f>
        <v/>
      </c>
      <c r="U91" s="100">
        <f>IF(G91="","",ABS(O91-Components!$D$7))</f>
        <v/>
      </c>
      <c r="V91" s="98">
        <f>IF(G91="","",IF(M91="OK","NONE",INDEX({"S1","S2","W1","W2","N1","N2"},MATCH(MIN(P91:U91),P91:U91,0))))</f>
        <v/>
      </c>
      <c r="W91" s="103">
        <f>IF(G91="","",IF(V91=E91,1,0))</f>
        <v/>
      </c>
    </row>
    <row r="92">
      <c r="A92" s="102">
        <f>'Runs Z score'!A80</f>
        <v/>
      </c>
      <c r="B92" s="98">
        <f>'Runs Z score'!B80</f>
        <v/>
      </c>
      <c r="C92" s="98">
        <f>'Runs Z score'!C80</f>
        <v/>
      </c>
      <c r="D92" s="98">
        <f>'Runs Z score'!D80</f>
        <v/>
      </c>
      <c r="E92" s="98">
        <f>'Runs Z score'!E80</f>
        <v/>
      </c>
      <c r="F92" s="98">
        <f>'Runs Z score'!F80</f>
        <v/>
      </c>
      <c r="G92" s="99">
        <f>'Runs Z score'!G80</f>
        <v/>
      </c>
      <c r="H92" s="100">
        <f>VLOOKUP(C92,Recipes!$A$2:$N$4,10,FALSE())</f>
        <v/>
      </c>
      <c r="I92" s="101">
        <f>VLOOKUP(C92,Recipes!$A$2:$N$4,12,FALSE())</f>
        <v/>
      </c>
      <c r="J92" s="101">
        <f>IF(G92="","",((G92-H92)/I92)^2)</f>
        <v/>
      </c>
      <c r="K92" s="101">
        <f>IF(G92="","",MAX(0, J92-$B$12))</f>
        <v/>
      </c>
      <c r="L92" s="100">
        <f>IF(G92="","",SQRT(K92))</f>
        <v/>
      </c>
      <c r="M92" s="98">
        <f>IF(G92="","",IF(K92&lt;=$B$10,"OK","NG"))</f>
        <v/>
      </c>
      <c r="N92" s="69">
        <f>IF(M92="","",IF(M92=D92,1,0))</f>
        <v/>
      </c>
      <c r="O92" s="100">
        <f>IF(G92="","",H92-G92)</f>
        <v/>
      </c>
      <c r="P92" s="100">
        <f>IF(G92="","",ABS(O92-Components!$D$2))</f>
        <v/>
      </c>
      <c r="Q92" s="100">
        <f>IF(G92="","",ABS(O92-Components!$D$3))</f>
        <v/>
      </c>
      <c r="R92" s="100">
        <f>IF(G92="","",ABS(O92-Components!$D$4))</f>
        <v/>
      </c>
      <c r="S92" s="100">
        <f>IF(G92="","",ABS(O92-Components!$D$5))</f>
        <v/>
      </c>
      <c r="T92" s="100">
        <f>IF(G92="","",ABS(O92-Components!$D$6))</f>
        <v/>
      </c>
      <c r="U92" s="100">
        <f>IF(G92="","",ABS(O92-Components!$D$7))</f>
        <v/>
      </c>
      <c r="V92" s="98">
        <f>IF(G92="","",IF(M92="OK","NONE",INDEX({"S1","S2","W1","W2","N1","N2"},MATCH(MIN(P92:U92),P92:U92,0))))</f>
        <v/>
      </c>
      <c r="W92" s="103">
        <f>IF(G92="","",IF(V92=E92,1,0))</f>
        <v/>
      </c>
    </row>
    <row r="93">
      <c r="A93" s="102">
        <f>'Runs Z score'!A81</f>
        <v/>
      </c>
      <c r="B93" s="98">
        <f>'Runs Z score'!B81</f>
        <v/>
      </c>
      <c r="C93" s="98">
        <f>'Runs Z score'!C81</f>
        <v/>
      </c>
      <c r="D93" s="98">
        <f>'Runs Z score'!D81</f>
        <v/>
      </c>
      <c r="E93" s="98">
        <f>'Runs Z score'!E81</f>
        <v/>
      </c>
      <c r="F93" s="98">
        <f>'Runs Z score'!F81</f>
        <v/>
      </c>
      <c r="G93" s="99">
        <f>'Runs Z score'!G81</f>
        <v/>
      </c>
      <c r="H93" s="100">
        <f>VLOOKUP(C93,Recipes!$A$2:$N$4,10,FALSE())</f>
        <v/>
      </c>
      <c r="I93" s="101">
        <f>VLOOKUP(C93,Recipes!$A$2:$N$4,12,FALSE())</f>
        <v/>
      </c>
      <c r="J93" s="101">
        <f>IF(G93="","",((G93-H93)/I93)^2)</f>
        <v/>
      </c>
      <c r="K93" s="101">
        <f>IF(G93="","",MAX(0, J93-$B$12))</f>
        <v/>
      </c>
      <c r="L93" s="100">
        <f>IF(G93="","",SQRT(K93))</f>
        <v/>
      </c>
      <c r="M93" s="98">
        <f>IF(G93="","",IF(K93&lt;=$B$10,"OK","NG"))</f>
        <v/>
      </c>
      <c r="N93" s="69">
        <f>IF(M93="","",IF(M93=D93,1,0))</f>
        <v/>
      </c>
      <c r="O93" s="100">
        <f>IF(G93="","",H93-G93)</f>
        <v/>
      </c>
      <c r="P93" s="100">
        <f>IF(G93="","",ABS(O93-Components!$D$2))</f>
        <v/>
      </c>
      <c r="Q93" s="100">
        <f>IF(G93="","",ABS(O93-Components!$D$3))</f>
        <v/>
      </c>
      <c r="R93" s="100">
        <f>IF(G93="","",ABS(O93-Components!$D$4))</f>
        <v/>
      </c>
      <c r="S93" s="100">
        <f>IF(G93="","",ABS(O93-Components!$D$5))</f>
        <v/>
      </c>
      <c r="T93" s="100">
        <f>IF(G93="","",ABS(O93-Components!$D$6))</f>
        <v/>
      </c>
      <c r="U93" s="100">
        <f>IF(G93="","",ABS(O93-Components!$D$7))</f>
        <v/>
      </c>
      <c r="V93" s="98">
        <f>IF(G93="","",IF(M93="OK","NONE",INDEX({"S1","S2","W1","W2","N1","N2"},MATCH(MIN(P93:U93),P93:U93,0))))</f>
        <v/>
      </c>
      <c r="W93" s="103">
        <f>IF(G93="","",IF(V93=E93,1,0))</f>
        <v/>
      </c>
    </row>
    <row r="94">
      <c r="A94" s="102">
        <f>'Runs Z score'!A82</f>
        <v/>
      </c>
      <c r="B94" s="98">
        <f>'Runs Z score'!B82</f>
        <v/>
      </c>
      <c r="C94" s="98">
        <f>'Runs Z score'!C82</f>
        <v/>
      </c>
      <c r="D94" s="98">
        <f>'Runs Z score'!D82</f>
        <v/>
      </c>
      <c r="E94" s="98">
        <f>'Runs Z score'!E82</f>
        <v/>
      </c>
      <c r="F94" s="98">
        <f>'Runs Z score'!F82</f>
        <v/>
      </c>
      <c r="G94" s="99">
        <f>'Runs Z score'!G82</f>
        <v/>
      </c>
      <c r="H94" s="100">
        <f>VLOOKUP(C94,Recipes!$A$2:$N$4,10,FALSE())</f>
        <v/>
      </c>
      <c r="I94" s="101">
        <f>VLOOKUP(C94,Recipes!$A$2:$N$4,12,FALSE())</f>
        <v/>
      </c>
      <c r="J94" s="101">
        <f>IF(G94="","",((G94-H94)/I94)^2)</f>
        <v/>
      </c>
      <c r="K94" s="101">
        <f>IF(G94="","",MAX(0, J94-$B$12))</f>
        <v/>
      </c>
      <c r="L94" s="100">
        <f>IF(G94="","",SQRT(K94))</f>
        <v/>
      </c>
      <c r="M94" s="98">
        <f>IF(G94="","",IF(K94&lt;=$B$10,"OK","NG"))</f>
        <v/>
      </c>
      <c r="N94" s="69">
        <f>IF(M94="","",IF(M94=D94,1,0))</f>
        <v/>
      </c>
      <c r="O94" s="100">
        <f>IF(G94="","",H94-G94)</f>
        <v/>
      </c>
      <c r="P94" s="100">
        <f>IF(G94="","",ABS(O94-Components!$D$2))</f>
        <v/>
      </c>
      <c r="Q94" s="100">
        <f>IF(G94="","",ABS(O94-Components!$D$3))</f>
        <v/>
      </c>
      <c r="R94" s="100">
        <f>IF(G94="","",ABS(O94-Components!$D$4))</f>
        <v/>
      </c>
      <c r="S94" s="100">
        <f>IF(G94="","",ABS(O94-Components!$D$5))</f>
        <v/>
      </c>
      <c r="T94" s="100">
        <f>IF(G94="","",ABS(O94-Components!$D$6))</f>
        <v/>
      </c>
      <c r="U94" s="100">
        <f>IF(G94="","",ABS(O94-Components!$D$7))</f>
        <v/>
      </c>
      <c r="V94" s="98">
        <f>IF(G94="","",IF(M94="OK","NONE",INDEX({"S1","S2","W1","W2","N1","N2"},MATCH(MIN(P94:U94),P94:U94,0))))</f>
        <v/>
      </c>
      <c r="W94" s="103">
        <f>IF(G94="","",IF(V94=E94,1,0))</f>
        <v/>
      </c>
    </row>
    <row r="95">
      <c r="A95" s="102">
        <f>'Runs Z score'!A83</f>
        <v/>
      </c>
      <c r="B95" s="98">
        <f>'Runs Z score'!B83</f>
        <v/>
      </c>
      <c r="C95" s="98">
        <f>'Runs Z score'!C83</f>
        <v/>
      </c>
      <c r="D95" s="98">
        <f>'Runs Z score'!D83</f>
        <v/>
      </c>
      <c r="E95" s="98">
        <f>'Runs Z score'!E83</f>
        <v/>
      </c>
      <c r="F95" s="98">
        <f>'Runs Z score'!F83</f>
        <v/>
      </c>
      <c r="G95" s="99">
        <f>'Runs Z score'!G83</f>
        <v/>
      </c>
      <c r="H95" s="100">
        <f>VLOOKUP(C95,Recipes!$A$2:$N$4,10,FALSE())</f>
        <v/>
      </c>
      <c r="I95" s="101">
        <f>VLOOKUP(C95,Recipes!$A$2:$N$4,12,FALSE())</f>
        <v/>
      </c>
      <c r="J95" s="101">
        <f>IF(G95="","",((G95-H95)/I95)^2)</f>
        <v/>
      </c>
      <c r="K95" s="101">
        <f>IF(G95="","",MAX(0, J95-$B$12))</f>
        <v/>
      </c>
      <c r="L95" s="100">
        <f>IF(G95="","",SQRT(K95))</f>
        <v/>
      </c>
      <c r="M95" s="98">
        <f>IF(G95="","",IF(K95&lt;=$B$10,"OK","NG"))</f>
        <v/>
      </c>
      <c r="N95" s="69">
        <f>IF(M95="","",IF(M95=D95,1,0))</f>
        <v/>
      </c>
      <c r="O95" s="100">
        <f>IF(G95="","",H95-G95)</f>
        <v/>
      </c>
      <c r="P95" s="100">
        <f>IF(G95="","",ABS(O95-Components!$D$2))</f>
        <v/>
      </c>
      <c r="Q95" s="100">
        <f>IF(G95="","",ABS(O95-Components!$D$3))</f>
        <v/>
      </c>
      <c r="R95" s="100">
        <f>IF(G95="","",ABS(O95-Components!$D$4))</f>
        <v/>
      </c>
      <c r="S95" s="100">
        <f>IF(G95="","",ABS(O95-Components!$D$5))</f>
        <v/>
      </c>
      <c r="T95" s="100">
        <f>IF(G95="","",ABS(O95-Components!$D$6))</f>
        <v/>
      </c>
      <c r="U95" s="100">
        <f>IF(G95="","",ABS(O95-Components!$D$7))</f>
        <v/>
      </c>
      <c r="V95" s="98">
        <f>IF(G95="","",IF(M95="OK","NONE",INDEX({"S1","S2","W1","W2","N1","N2"},MATCH(MIN(P95:U95),P95:U95,0))))</f>
        <v/>
      </c>
      <c r="W95" s="103">
        <f>IF(G95="","",IF(V95=E95,1,0))</f>
        <v/>
      </c>
    </row>
    <row r="96">
      <c r="A96" s="102">
        <f>'Runs Z score'!A84</f>
        <v/>
      </c>
      <c r="B96" s="98">
        <f>'Runs Z score'!B84</f>
        <v/>
      </c>
      <c r="C96" s="98">
        <f>'Runs Z score'!C84</f>
        <v/>
      </c>
      <c r="D96" s="98">
        <f>'Runs Z score'!D84</f>
        <v/>
      </c>
      <c r="E96" s="98">
        <f>'Runs Z score'!E84</f>
        <v/>
      </c>
      <c r="F96" s="98">
        <f>'Runs Z score'!F84</f>
        <v/>
      </c>
      <c r="G96" s="99">
        <f>'Runs Z score'!G84</f>
        <v/>
      </c>
      <c r="H96" s="100">
        <f>VLOOKUP(C96,Recipes!$A$2:$N$4,10,FALSE())</f>
        <v/>
      </c>
      <c r="I96" s="101">
        <f>VLOOKUP(C96,Recipes!$A$2:$N$4,12,FALSE())</f>
        <v/>
      </c>
      <c r="J96" s="101">
        <f>IF(G96="","",((G96-H96)/I96)^2)</f>
        <v/>
      </c>
      <c r="K96" s="101">
        <f>IF(G96="","",MAX(0, J96-$B$12))</f>
        <v/>
      </c>
      <c r="L96" s="100">
        <f>IF(G96="","",SQRT(K96))</f>
        <v/>
      </c>
      <c r="M96" s="98">
        <f>IF(G96="","",IF(K96&lt;=$B$10,"OK","NG"))</f>
        <v/>
      </c>
      <c r="N96" s="69">
        <f>IF(M96="","",IF(M96=D96,1,0))</f>
        <v/>
      </c>
      <c r="O96" s="100">
        <f>IF(G96="","",H96-G96)</f>
        <v/>
      </c>
      <c r="P96" s="100">
        <f>IF(G96="","",ABS(O96-Components!$D$2))</f>
        <v/>
      </c>
      <c r="Q96" s="100">
        <f>IF(G96="","",ABS(O96-Components!$D$3))</f>
        <v/>
      </c>
      <c r="R96" s="100">
        <f>IF(G96="","",ABS(O96-Components!$D$4))</f>
        <v/>
      </c>
      <c r="S96" s="100">
        <f>IF(G96="","",ABS(O96-Components!$D$5))</f>
        <v/>
      </c>
      <c r="T96" s="100">
        <f>IF(G96="","",ABS(O96-Components!$D$6))</f>
        <v/>
      </c>
      <c r="U96" s="100">
        <f>IF(G96="","",ABS(O96-Components!$D$7))</f>
        <v/>
      </c>
      <c r="V96" s="98">
        <f>IF(G96="","",IF(M96="OK","NONE",INDEX({"S1","S2","W1","W2","N1","N2"},MATCH(MIN(P96:U96),P96:U96,0))))</f>
        <v/>
      </c>
      <c r="W96" s="103">
        <f>IF(G96="","",IF(V96=E96,1,0))</f>
        <v/>
      </c>
    </row>
    <row r="97">
      <c r="A97" s="102">
        <f>'Runs Z score'!A85</f>
        <v/>
      </c>
      <c r="B97" s="98">
        <f>'Runs Z score'!B85</f>
        <v/>
      </c>
      <c r="C97" s="98">
        <f>'Runs Z score'!C85</f>
        <v/>
      </c>
      <c r="D97" s="98">
        <f>'Runs Z score'!D85</f>
        <v/>
      </c>
      <c r="E97" s="98">
        <f>'Runs Z score'!E85</f>
        <v/>
      </c>
      <c r="F97" s="98">
        <f>'Runs Z score'!F85</f>
        <v/>
      </c>
      <c r="G97" s="99">
        <f>'Runs Z score'!G85</f>
        <v/>
      </c>
      <c r="H97" s="100">
        <f>VLOOKUP(C97,Recipes!$A$2:$N$4,10,FALSE())</f>
        <v/>
      </c>
      <c r="I97" s="101">
        <f>VLOOKUP(C97,Recipes!$A$2:$N$4,12,FALSE())</f>
        <v/>
      </c>
      <c r="J97" s="101">
        <f>IF(G97="","",((G97-H97)/I97)^2)</f>
        <v/>
      </c>
      <c r="K97" s="101">
        <f>IF(G97="","",MAX(0, J97-$B$12))</f>
        <v/>
      </c>
      <c r="L97" s="100">
        <f>IF(G97="","",SQRT(K97))</f>
        <v/>
      </c>
      <c r="M97" s="98">
        <f>IF(G97="","",IF(K97&lt;=$B$10,"OK","NG"))</f>
        <v/>
      </c>
      <c r="N97" s="69">
        <f>IF(M97="","",IF(M97=D97,1,0))</f>
        <v/>
      </c>
      <c r="O97" s="100">
        <f>IF(G97="","",H97-G97)</f>
        <v/>
      </c>
      <c r="P97" s="100">
        <f>IF(G97="","",ABS(O97-Components!$D$2))</f>
        <v/>
      </c>
      <c r="Q97" s="100">
        <f>IF(G97="","",ABS(O97-Components!$D$3))</f>
        <v/>
      </c>
      <c r="R97" s="100">
        <f>IF(G97="","",ABS(O97-Components!$D$4))</f>
        <v/>
      </c>
      <c r="S97" s="100">
        <f>IF(G97="","",ABS(O97-Components!$D$5))</f>
        <v/>
      </c>
      <c r="T97" s="100">
        <f>IF(G97="","",ABS(O97-Components!$D$6))</f>
        <v/>
      </c>
      <c r="U97" s="100">
        <f>IF(G97="","",ABS(O97-Components!$D$7))</f>
        <v/>
      </c>
      <c r="V97" s="98">
        <f>IF(G97="","",IF(M97="OK","NONE",INDEX({"S1","S2","W1","W2","N1","N2"},MATCH(MIN(P97:U97),P97:U97,0))))</f>
        <v/>
      </c>
      <c r="W97" s="103">
        <f>IF(G97="","",IF(V97=E97,1,0))</f>
        <v/>
      </c>
    </row>
    <row r="98">
      <c r="A98" s="102">
        <f>'Runs Z score'!A86</f>
        <v/>
      </c>
      <c r="B98" s="98">
        <f>'Runs Z score'!B86</f>
        <v/>
      </c>
      <c r="C98" s="98">
        <f>'Runs Z score'!C86</f>
        <v/>
      </c>
      <c r="D98" s="98">
        <f>'Runs Z score'!D86</f>
        <v/>
      </c>
      <c r="E98" s="98">
        <f>'Runs Z score'!E86</f>
        <v/>
      </c>
      <c r="F98" s="98">
        <f>'Runs Z score'!F86</f>
        <v/>
      </c>
      <c r="G98" s="99">
        <f>'Runs Z score'!G86</f>
        <v/>
      </c>
      <c r="H98" s="100">
        <f>VLOOKUP(C98,Recipes!$A$2:$N$4,10,FALSE())</f>
        <v/>
      </c>
      <c r="I98" s="101">
        <f>VLOOKUP(C98,Recipes!$A$2:$N$4,12,FALSE())</f>
        <v/>
      </c>
      <c r="J98" s="101">
        <f>IF(G98="","",((G98-H98)/I98)^2)</f>
        <v/>
      </c>
      <c r="K98" s="101">
        <f>IF(G98="","",MAX(0, J98-$B$12))</f>
        <v/>
      </c>
      <c r="L98" s="100">
        <f>IF(G98="","",SQRT(K98))</f>
        <v/>
      </c>
      <c r="M98" s="98">
        <f>IF(G98="","",IF(K98&lt;=$B$10,"OK","NG"))</f>
        <v/>
      </c>
      <c r="N98" s="69">
        <f>IF(M98="","",IF(M98=D98,1,0))</f>
        <v/>
      </c>
      <c r="O98" s="100">
        <f>IF(G98="","",H98-G98)</f>
        <v/>
      </c>
      <c r="P98" s="100">
        <f>IF(G98="","",ABS(O98-Components!$D$2))</f>
        <v/>
      </c>
      <c r="Q98" s="100">
        <f>IF(G98="","",ABS(O98-Components!$D$3))</f>
        <v/>
      </c>
      <c r="R98" s="100">
        <f>IF(G98="","",ABS(O98-Components!$D$4))</f>
        <v/>
      </c>
      <c r="S98" s="100">
        <f>IF(G98="","",ABS(O98-Components!$D$5))</f>
        <v/>
      </c>
      <c r="T98" s="100">
        <f>IF(G98="","",ABS(O98-Components!$D$6))</f>
        <v/>
      </c>
      <c r="U98" s="100">
        <f>IF(G98="","",ABS(O98-Components!$D$7))</f>
        <v/>
      </c>
      <c r="V98" s="98">
        <f>IF(G98="","",IF(M98="OK","NONE",INDEX({"S1","S2","W1","W2","N1","N2"},MATCH(MIN(P98:U98),P98:U98,0))))</f>
        <v/>
      </c>
      <c r="W98" s="103">
        <f>IF(G98="","",IF(V98=E98,1,0))</f>
        <v/>
      </c>
    </row>
    <row r="99">
      <c r="A99" s="102">
        <f>'Runs Z score'!A87</f>
        <v/>
      </c>
      <c r="B99" s="98">
        <f>'Runs Z score'!B87</f>
        <v/>
      </c>
      <c r="C99" s="98">
        <f>'Runs Z score'!C87</f>
        <v/>
      </c>
      <c r="D99" s="98">
        <f>'Runs Z score'!D87</f>
        <v/>
      </c>
      <c r="E99" s="98">
        <f>'Runs Z score'!E87</f>
        <v/>
      </c>
      <c r="F99" s="98">
        <f>'Runs Z score'!F87</f>
        <v/>
      </c>
      <c r="G99" s="99">
        <f>'Runs Z score'!G87</f>
        <v/>
      </c>
      <c r="H99" s="100">
        <f>VLOOKUP(C99,Recipes!$A$2:$N$4,10,FALSE())</f>
        <v/>
      </c>
      <c r="I99" s="101">
        <f>VLOOKUP(C99,Recipes!$A$2:$N$4,12,FALSE())</f>
        <v/>
      </c>
      <c r="J99" s="101">
        <f>IF(G99="","",((G99-H99)/I99)^2)</f>
        <v/>
      </c>
      <c r="K99" s="101">
        <f>IF(G99="","",MAX(0, J99-$B$12))</f>
        <v/>
      </c>
      <c r="L99" s="100">
        <f>IF(G99="","",SQRT(K99))</f>
        <v/>
      </c>
      <c r="M99" s="98">
        <f>IF(G99="","",IF(K99&lt;=$B$10,"OK","NG"))</f>
        <v/>
      </c>
      <c r="N99" s="69">
        <f>IF(M99="","",IF(M99=D99,1,0))</f>
        <v/>
      </c>
      <c r="O99" s="100">
        <f>IF(G99="","",H99-G99)</f>
        <v/>
      </c>
      <c r="P99" s="100">
        <f>IF(G99="","",ABS(O99-Components!$D$2))</f>
        <v/>
      </c>
      <c r="Q99" s="100">
        <f>IF(G99="","",ABS(O99-Components!$D$3))</f>
        <v/>
      </c>
      <c r="R99" s="100">
        <f>IF(G99="","",ABS(O99-Components!$D$4))</f>
        <v/>
      </c>
      <c r="S99" s="100">
        <f>IF(G99="","",ABS(O99-Components!$D$5))</f>
        <v/>
      </c>
      <c r="T99" s="100">
        <f>IF(G99="","",ABS(O99-Components!$D$6))</f>
        <v/>
      </c>
      <c r="U99" s="100">
        <f>IF(G99="","",ABS(O99-Components!$D$7))</f>
        <v/>
      </c>
      <c r="V99" s="98">
        <f>IF(G99="","",IF(M99="OK","NONE",INDEX({"S1","S2","W1","W2","N1","N2"},MATCH(MIN(P99:U99),P99:U99,0))))</f>
        <v/>
      </c>
      <c r="W99" s="103">
        <f>IF(G99="","",IF(V99=E99,1,0))</f>
        <v/>
      </c>
    </row>
    <row r="100">
      <c r="A100" s="102">
        <f>'Runs Z score'!A88</f>
        <v/>
      </c>
      <c r="B100" s="98">
        <f>'Runs Z score'!B88</f>
        <v/>
      </c>
      <c r="C100" s="98">
        <f>'Runs Z score'!C88</f>
        <v/>
      </c>
      <c r="D100" s="98">
        <f>'Runs Z score'!D88</f>
        <v/>
      </c>
      <c r="E100" s="98">
        <f>'Runs Z score'!E88</f>
        <v/>
      </c>
      <c r="F100" s="98">
        <f>'Runs Z score'!F88</f>
        <v/>
      </c>
      <c r="G100" s="99">
        <f>'Runs Z score'!G88</f>
        <v/>
      </c>
      <c r="H100" s="100">
        <f>VLOOKUP(C100,Recipes!$A$2:$N$4,10,FALSE())</f>
        <v/>
      </c>
      <c r="I100" s="101">
        <f>VLOOKUP(C100,Recipes!$A$2:$N$4,12,FALSE())</f>
        <v/>
      </c>
      <c r="J100" s="101">
        <f>IF(G100="","",((G100-H100)/I100)^2)</f>
        <v/>
      </c>
      <c r="K100" s="101">
        <f>IF(G100="","",MAX(0, J100-$B$12))</f>
        <v/>
      </c>
      <c r="L100" s="100">
        <f>IF(G100="","",SQRT(K100))</f>
        <v/>
      </c>
      <c r="M100" s="98">
        <f>IF(G100="","",IF(K100&lt;=$B$10,"OK","NG"))</f>
        <v/>
      </c>
      <c r="N100" s="69">
        <f>IF(M100="","",IF(M100=D100,1,0))</f>
        <v/>
      </c>
      <c r="O100" s="100">
        <f>IF(G100="","",H100-G100)</f>
        <v/>
      </c>
      <c r="P100" s="100">
        <f>IF(G100="","",ABS(O100-Components!$D$2))</f>
        <v/>
      </c>
      <c r="Q100" s="100">
        <f>IF(G100="","",ABS(O100-Components!$D$3))</f>
        <v/>
      </c>
      <c r="R100" s="100">
        <f>IF(G100="","",ABS(O100-Components!$D$4))</f>
        <v/>
      </c>
      <c r="S100" s="100">
        <f>IF(G100="","",ABS(O100-Components!$D$5))</f>
        <v/>
      </c>
      <c r="T100" s="100">
        <f>IF(G100="","",ABS(O100-Components!$D$6))</f>
        <v/>
      </c>
      <c r="U100" s="100">
        <f>IF(G100="","",ABS(O100-Components!$D$7))</f>
        <v/>
      </c>
      <c r="V100" s="98">
        <f>IF(G100="","",IF(M100="OK","NONE",INDEX({"S1","S2","W1","W2","N1","N2"},MATCH(MIN(P100:U100),P100:U100,0))))</f>
        <v/>
      </c>
      <c r="W100" s="103">
        <f>IF(G100="","",IF(V100=E100,1,0))</f>
        <v/>
      </c>
    </row>
    <row r="101">
      <c r="A101" s="102">
        <f>'Runs Z score'!A89</f>
        <v/>
      </c>
      <c r="B101" s="98">
        <f>'Runs Z score'!B89</f>
        <v/>
      </c>
      <c r="C101" s="98">
        <f>'Runs Z score'!C89</f>
        <v/>
      </c>
      <c r="D101" s="98">
        <f>'Runs Z score'!D89</f>
        <v/>
      </c>
      <c r="E101" s="98">
        <f>'Runs Z score'!E89</f>
        <v/>
      </c>
      <c r="F101" s="98">
        <f>'Runs Z score'!F89</f>
        <v/>
      </c>
      <c r="G101" s="99">
        <f>'Runs Z score'!G89</f>
        <v/>
      </c>
      <c r="H101" s="100">
        <f>VLOOKUP(C101,Recipes!$A$2:$N$4,10,FALSE())</f>
        <v/>
      </c>
      <c r="I101" s="101">
        <f>VLOOKUP(C101,Recipes!$A$2:$N$4,12,FALSE())</f>
        <v/>
      </c>
      <c r="J101" s="101">
        <f>IF(G101="","",((G101-H101)/I101)^2)</f>
        <v/>
      </c>
      <c r="K101" s="101">
        <f>IF(G101="","",MAX(0, J101-$B$12))</f>
        <v/>
      </c>
      <c r="L101" s="100">
        <f>IF(G101="","",SQRT(K101))</f>
        <v/>
      </c>
      <c r="M101" s="98">
        <f>IF(G101="","",IF(K101&lt;=$B$10,"OK","NG"))</f>
        <v/>
      </c>
      <c r="N101" s="69">
        <f>IF(M101="","",IF(M101=D101,1,0))</f>
        <v/>
      </c>
      <c r="O101" s="100">
        <f>IF(G101="","",H101-G101)</f>
        <v/>
      </c>
      <c r="P101" s="100">
        <f>IF(G101="","",ABS(O101-Components!$D$2))</f>
        <v/>
      </c>
      <c r="Q101" s="100">
        <f>IF(G101="","",ABS(O101-Components!$D$3))</f>
        <v/>
      </c>
      <c r="R101" s="100">
        <f>IF(G101="","",ABS(O101-Components!$D$4))</f>
        <v/>
      </c>
      <c r="S101" s="100">
        <f>IF(G101="","",ABS(O101-Components!$D$5))</f>
        <v/>
      </c>
      <c r="T101" s="100">
        <f>IF(G101="","",ABS(O101-Components!$D$6))</f>
        <v/>
      </c>
      <c r="U101" s="100">
        <f>IF(G101="","",ABS(O101-Components!$D$7))</f>
        <v/>
      </c>
      <c r="V101" s="98">
        <f>IF(G101="","",IF(M101="OK","NONE",INDEX({"S1","S2","W1","W2","N1","N2"},MATCH(MIN(P101:U101),P101:U101,0))))</f>
        <v/>
      </c>
      <c r="W101" s="103">
        <f>IF(G101="","",IF(V101=E101,1,0))</f>
        <v/>
      </c>
    </row>
    <row r="102">
      <c r="A102" s="102">
        <f>'Runs Z score'!A90</f>
        <v/>
      </c>
      <c r="B102" s="98">
        <f>'Runs Z score'!B90</f>
        <v/>
      </c>
      <c r="C102" s="98">
        <f>'Runs Z score'!C90</f>
        <v/>
      </c>
      <c r="D102" s="98">
        <f>'Runs Z score'!D90</f>
        <v/>
      </c>
      <c r="E102" s="98">
        <f>'Runs Z score'!E90</f>
        <v/>
      </c>
      <c r="F102" s="98">
        <f>'Runs Z score'!F90</f>
        <v/>
      </c>
      <c r="G102" s="99">
        <f>'Runs Z score'!G90</f>
        <v/>
      </c>
      <c r="H102" s="100">
        <f>VLOOKUP(C102,Recipes!$A$2:$N$4,10,FALSE())</f>
        <v/>
      </c>
      <c r="I102" s="101">
        <f>VLOOKUP(C102,Recipes!$A$2:$N$4,12,FALSE())</f>
        <v/>
      </c>
      <c r="J102" s="101">
        <f>IF(G102="","",((G102-H102)/I102)^2)</f>
        <v/>
      </c>
      <c r="K102" s="101">
        <f>IF(G102="","",MAX(0, J102-$B$12))</f>
        <v/>
      </c>
      <c r="L102" s="100">
        <f>IF(G102="","",SQRT(K102))</f>
        <v/>
      </c>
      <c r="M102" s="98">
        <f>IF(G102="","",IF(K102&lt;=$B$10,"OK","NG"))</f>
        <v/>
      </c>
      <c r="N102" s="69">
        <f>IF(M102="","",IF(M102=D102,1,0))</f>
        <v/>
      </c>
      <c r="O102" s="100">
        <f>IF(G102="","",H102-G102)</f>
        <v/>
      </c>
      <c r="P102" s="100">
        <f>IF(G102="","",ABS(O102-Components!$D$2))</f>
        <v/>
      </c>
      <c r="Q102" s="100">
        <f>IF(G102="","",ABS(O102-Components!$D$3))</f>
        <v/>
      </c>
      <c r="R102" s="100">
        <f>IF(G102="","",ABS(O102-Components!$D$4))</f>
        <v/>
      </c>
      <c r="S102" s="100">
        <f>IF(G102="","",ABS(O102-Components!$D$5))</f>
        <v/>
      </c>
      <c r="T102" s="100">
        <f>IF(G102="","",ABS(O102-Components!$D$6))</f>
        <v/>
      </c>
      <c r="U102" s="100">
        <f>IF(G102="","",ABS(O102-Components!$D$7))</f>
        <v/>
      </c>
      <c r="V102" s="98">
        <f>IF(G102="","",IF(M102="OK","NONE",INDEX({"S1","S2","W1","W2","N1","N2"},MATCH(MIN(P102:U102),P102:U102,0))))</f>
        <v/>
      </c>
      <c r="W102" s="103">
        <f>IF(G102="","",IF(V102=E102,1,0))</f>
        <v/>
      </c>
    </row>
    <row r="103">
      <c r="A103" s="102">
        <f>'Runs Z score'!A91</f>
        <v/>
      </c>
      <c r="B103" s="98">
        <f>'Runs Z score'!B91</f>
        <v/>
      </c>
      <c r="C103" s="98">
        <f>'Runs Z score'!C91</f>
        <v/>
      </c>
      <c r="D103" s="98">
        <f>'Runs Z score'!D91</f>
        <v/>
      </c>
      <c r="E103" s="98">
        <f>'Runs Z score'!E91</f>
        <v/>
      </c>
      <c r="F103" s="98">
        <f>'Runs Z score'!F91</f>
        <v/>
      </c>
      <c r="G103" s="99">
        <f>'Runs Z score'!G91</f>
        <v/>
      </c>
      <c r="H103" s="100">
        <f>VLOOKUP(C103,Recipes!$A$2:$N$4,10,FALSE())</f>
        <v/>
      </c>
      <c r="I103" s="101">
        <f>VLOOKUP(C103,Recipes!$A$2:$N$4,12,FALSE())</f>
        <v/>
      </c>
      <c r="J103" s="101">
        <f>IF(G103="","",((G103-H103)/I103)^2)</f>
        <v/>
      </c>
      <c r="K103" s="101">
        <f>IF(G103="","",MAX(0, J103-$B$12))</f>
        <v/>
      </c>
      <c r="L103" s="100">
        <f>IF(G103="","",SQRT(K103))</f>
        <v/>
      </c>
      <c r="M103" s="98">
        <f>IF(G103="","",IF(K103&lt;=$B$10,"OK","NG"))</f>
        <v/>
      </c>
      <c r="N103" s="69">
        <f>IF(M103="","",IF(M103=D103,1,0))</f>
        <v/>
      </c>
      <c r="O103" s="100">
        <f>IF(G103="","",H103-G103)</f>
        <v/>
      </c>
      <c r="P103" s="100">
        <f>IF(G103="","",ABS(O103-Components!$D$2))</f>
        <v/>
      </c>
      <c r="Q103" s="100">
        <f>IF(G103="","",ABS(O103-Components!$D$3))</f>
        <v/>
      </c>
      <c r="R103" s="100">
        <f>IF(G103="","",ABS(O103-Components!$D$4))</f>
        <v/>
      </c>
      <c r="S103" s="100">
        <f>IF(G103="","",ABS(O103-Components!$D$5))</f>
        <v/>
      </c>
      <c r="T103" s="100">
        <f>IF(G103="","",ABS(O103-Components!$D$6))</f>
        <v/>
      </c>
      <c r="U103" s="100">
        <f>IF(G103="","",ABS(O103-Components!$D$7))</f>
        <v/>
      </c>
      <c r="V103" s="98">
        <f>IF(G103="","",IF(M103="OK","NONE",INDEX({"S1","S2","W1","W2","N1","N2"},MATCH(MIN(P103:U103),P103:U103,0))))</f>
        <v/>
      </c>
      <c r="W103" s="103">
        <f>IF(G103="","",IF(V103=E103,1,0))</f>
        <v/>
      </c>
    </row>
    <row r="104">
      <c r="A104" s="102">
        <f>'Runs Z score'!A92</f>
        <v/>
      </c>
      <c r="B104" s="98">
        <f>'Runs Z score'!B92</f>
        <v/>
      </c>
      <c r="C104" s="98">
        <f>'Runs Z score'!C92</f>
        <v/>
      </c>
      <c r="D104" s="98">
        <f>'Runs Z score'!D92</f>
        <v/>
      </c>
      <c r="E104" s="98">
        <f>'Runs Z score'!E92</f>
        <v/>
      </c>
      <c r="F104" s="98">
        <f>'Runs Z score'!F92</f>
        <v/>
      </c>
      <c r="G104" s="99">
        <f>'Runs Z score'!G92</f>
        <v/>
      </c>
      <c r="H104" s="100">
        <f>VLOOKUP(C104,Recipes!$A$2:$N$4,10,FALSE())</f>
        <v/>
      </c>
      <c r="I104" s="101">
        <f>VLOOKUP(C104,Recipes!$A$2:$N$4,12,FALSE())</f>
        <v/>
      </c>
      <c r="J104" s="101">
        <f>IF(G104="","",((G104-H104)/I104)^2)</f>
        <v/>
      </c>
      <c r="K104" s="101">
        <f>IF(G104="","",MAX(0, J104-$B$12))</f>
        <v/>
      </c>
      <c r="L104" s="100">
        <f>IF(G104="","",SQRT(K104))</f>
        <v/>
      </c>
      <c r="M104" s="98">
        <f>IF(G104="","",IF(K104&lt;=$B$10,"OK","NG"))</f>
        <v/>
      </c>
      <c r="N104" s="69">
        <f>IF(M104="","",IF(M104=D104,1,0))</f>
        <v/>
      </c>
      <c r="O104" s="100">
        <f>IF(G104="","",H104-G104)</f>
        <v/>
      </c>
      <c r="P104" s="100">
        <f>IF(G104="","",ABS(O104-Components!$D$2))</f>
        <v/>
      </c>
      <c r="Q104" s="100">
        <f>IF(G104="","",ABS(O104-Components!$D$3))</f>
        <v/>
      </c>
      <c r="R104" s="100">
        <f>IF(G104="","",ABS(O104-Components!$D$4))</f>
        <v/>
      </c>
      <c r="S104" s="100">
        <f>IF(G104="","",ABS(O104-Components!$D$5))</f>
        <v/>
      </c>
      <c r="T104" s="100">
        <f>IF(G104="","",ABS(O104-Components!$D$6))</f>
        <v/>
      </c>
      <c r="U104" s="100">
        <f>IF(G104="","",ABS(O104-Components!$D$7))</f>
        <v/>
      </c>
      <c r="V104" s="98">
        <f>IF(G104="","",IF(M104="OK","NONE",INDEX({"S1","S2","W1","W2","N1","N2"},MATCH(MIN(P104:U104),P104:U104,0))))</f>
        <v/>
      </c>
      <c r="W104" s="103">
        <f>IF(G104="","",IF(V104=E104,1,0))</f>
        <v/>
      </c>
    </row>
    <row r="105">
      <c r="A105" s="102">
        <f>'Runs Z score'!A93</f>
        <v/>
      </c>
      <c r="B105" s="98">
        <f>'Runs Z score'!B93</f>
        <v/>
      </c>
      <c r="C105" s="98">
        <f>'Runs Z score'!C93</f>
        <v/>
      </c>
      <c r="D105" s="98">
        <f>'Runs Z score'!D93</f>
        <v/>
      </c>
      <c r="E105" s="98">
        <f>'Runs Z score'!E93</f>
        <v/>
      </c>
      <c r="F105" s="98">
        <f>'Runs Z score'!F93</f>
        <v/>
      </c>
      <c r="G105" s="99">
        <f>'Runs Z score'!G93</f>
        <v/>
      </c>
      <c r="H105" s="100">
        <f>VLOOKUP(C105,Recipes!$A$2:$N$4,10,FALSE())</f>
        <v/>
      </c>
      <c r="I105" s="101">
        <f>VLOOKUP(C105,Recipes!$A$2:$N$4,12,FALSE())</f>
        <v/>
      </c>
      <c r="J105" s="101">
        <f>IF(G105="","",((G105-H105)/I105)^2)</f>
        <v/>
      </c>
      <c r="K105" s="101">
        <f>IF(G105="","",MAX(0, J105-$B$12))</f>
        <v/>
      </c>
      <c r="L105" s="100">
        <f>IF(G105="","",SQRT(K105))</f>
        <v/>
      </c>
      <c r="M105" s="98">
        <f>IF(G105="","",IF(K105&lt;=$B$10,"OK","NG"))</f>
        <v/>
      </c>
      <c r="N105" s="69">
        <f>IF(M105="","",IF(M105=D105,1,0))</f>
        <v/>
      </c>
      <c r="O105" s="100">
        <f>IF(G105="","",H105-G105)</f>
        <v/>
      </c>
      <c r="P105" s="100">
        <f>IF(G105="","",ABS(O105-Components!$D$2))</f>
        <v/>
      </c>
      <c r="Q105" s="100">
        <f>IF(G105="","",ABS(O105-Components!$D$3))</f>
        <v/>
      </c>
      <c r="R105" s="100">
        <f>IF(G105="","",ABS(O105-Components!$D$4))</f>
        <v/>
      </c>
      <c r="S105" s="100">
        <f>IF(G105="","",ABS(O105-Components!$D$5))</f>
        <v/>
      </c>
      <c r="T105" s="100">
        <f>IF(G105="","",ABS(O105-Components!$D$6))</f>
        <v/>
      </c>
      <c r="U105" s="100">
        <f>IF(G105="","",ABS(O105-Components!$D$7))</f>
        <v/>
      </c>
      <c r="V105" s="98">
        <f>IF(G105="","",IF(M105="OK","NONE",INDEX({"S1","S2","W1","W2","N1","N2"},MATCH(MIN(P105:U105),P105:U105,0))))</f>
        <v/>
      </c>
      <c r="W105" s="103">
        <f>IF(G105="","",IF(V105=E105,1,0))</f>
        <v/>
      </c>
    </row>
    <row r="106">
      <c r="A106" s="102">
        <f>'Runs Z score'!A94</f>
        <v/>
      </c>
      <c r="B106" s="98">
        <f>'Runs Z score'!B94</f>
        <v/>
      </c>
      <c r="C106" s="98">
        <f>'Runs Z score'!C94</f>
        <v/>
      </c>
      <c r="D106" s="98">
        <f>'Runs Z score'!D94</f>
        <v/>
      </c>
      <c r="E106" s="98">
        <f>'Runs Z score'!E94</f>
        <v/>
      </c>
      <c r="F106" s="98">
        <f>'Runs Z score'!F94</f>
        <v/>
      </c>
      <c r="G106" s="99">
        <f>'Runs Z score'!G94</f>
        <v/>
      </c>
      <c r="H106" s="100">
        <f>VLOOKUP(C106,Recipes!$A$2:$N$4,10,FALSE())</f>
        <v/>
      </c>
      <c r="I106" s="101">
        <f>VLOOKUP(C106,Recipes!$A$2:$N$4,12,FALSE())</f>
        <v/>
      </c>
      <c r="J106" s="101">
        <f>IF(G106="","",((G106-H106)/I106)^2)</f>
        <v/>
      </c>
      <c r="K106" s="101">
        <f>IF(G106="","",MAX(0, J106-$B$12))</f>
        <v/>
      </c>
      <c r="L106" s="100">
        <f>IF(G106="","",SQRT(K106))</f>
        <v/>
      </c>
      <c r="M106" s="98">
        <f>IF(G106="","",IF(K106&lt;=$B$10,"OK","NG"))</f>
        <v/>
      </c>
      <c r="N106" s="69">
        <f>IF(M106="","",IF(M106=D106,1,0))</f>
        <v/>
      </c>
      <c r="O106" s="100">
        <f>IF(G106="","",H106-G106)</f>
        <v/>
      </c>
      <c r="P106" s="100">
        <f>IF(G106="","",ABS(O106-Components!$D$2))</f>
        <v/>
      </c>
      <c r="Q106" s="100">
        <f>IF(G106="","",ABS(O106-Components!$D$3))</f>
        <v/>
      </c>
      <c r="R106" s="100">
        <f>IF(G106="","",ABS(O106-Components!$D$4))</f>
        <v/>
      </c>
      <c r="S106" s="100">
        <f>IF(G106="","",ABS(O106-Components!$D$5))</f>
        <v/>
      </c>
      <c r="T106" s="100">
        <f>IF(G106="","",ABS(O106-Components!$D$6))</f>
        <v/>
      </c>
      <c r="U106" s="100">
        <f>IF(G106="","",ABS(O106-Components!$D$7))</f>
        <v/>
      </c>
      <c r="V106" s="98">
        <f>IF(G106="","",IF(M106="OK","NONE",INDEX({"S1","S2","W1","W2","N1","N2"},MATCH(MIN(P106:U106),P106:U106,0))))</f>
        <v/>
      </c>
      <c r="W106" s="103">
        <f>IF(G106="","",IF(V106=E106,1,0))</f>
        <v/>
      </c>
    </row>
    <row r="107">
      <c r="A107" s="102">
        <f>'Runs Z score'!A95</f>
        <v/>
      </c>
      <c r="B107" s="98">
        <f>'Runs Z score'!B95</f>
        <v/>
      </c>
      <c r="C107" s="98">
        <f>'Runs Z score'!C95</f>
        <v/>
      </c>
      <c r="D107" s="98">
        <f>'Runs Z score'!D95</f>
        <v/>
      </c>
      <c r="E107" s="98">
        <f>'Runs Z score'!E95</f>
        <v/>
      </c>
      <c r="F107" s="98">
        <f>'Runs Z score'!F95</f>
        <v/>
      </c>
      <c r="G107" s="99">
        <f>'Runs Z score'!G95</f>
        <v/>
      </c>
      <c r="H107" s="100">
        <f>VLOOKUP(C107,Recipes!$A$2:$N$4,10,FALSE())</f>
        <v/>
      </c>
      <c r="I107" s="101">
        <f>VLOOKUP(C107,Recipes!$A$2:$N$4,12,FALSE())</f>
        <v/>
      </c>
      <c r="J107" s="101">
        <f>IF(G107="","",((G107-H107)/I107)^2)</f>
        <v/>
      </c>
      <c r="K107" s="101">
        <f>IF(G107="","",MAX(0, J107-$B$12))</f>
        <v/>
      </c>
      <c r="L107" s="100">
        <f>IF(G107="","",SQRT(K107))</f>
        <v/>
      </c>
      <c r="M107" s="98">
        <f>IF(G107="","",IF(K107&lt;=$B$10,"OK","NG"))</f>
        <v/>
      </c>
      <c r="N107" s="69">
        <f>IF(M107="","",IF(M107=D107,1,0))</f>
        <v/>
      </c>
      <c r="O107" s="100">
        <f>IF(G107="","",H107-G107)</f>
        <v/>
      </c>
      <c r="P107" s="100">
        <f>IF(G107="","",ABS(O107-Components!$D$2))</f>
        <v/>
      </c>
      <c r="Q107" s="100">
        <f>IF(G107="","",ABS(O107-Components!$D$3))</f>
        <v/>
      </c>
      <c r="R107" s="100">
        <f>IF(G107="","",ABS(O107-Components!$D$4))</f>
        <v/>
      </c>
      <c r="S107" s="100">
        <f>IF(G107="","",ABS(O107-Components!$D$5))</f>
        <v/>
      </c>
      <c r="T107" s="100">
        <f>IF(G107="","",ABS(O107-Components!$D$6))</f>
        <v/>
      </c>
      <c r="U107" s="100">
        <f>IF(G107="","",ABS(O107-Components!$D$7))</f>
        <v/>
      </c>
      <c r="V107" s="98">
        <f>IF(G107="","",IF(M107="OK","NONE",INDEX({"S1","S2","W1","W2","N1","N2"},MATCH(MIN(P107:U107),P107:U107,0))))</f>
        <v/>
      </c>
      <c r="W107" s="103">
        <f>IF(G107="","",IF(V107=E107,1,0))</f>
        <v/>
      </c>
    </row>
    <row r="108">
      <c r="A108" s="102">
        <f>'Runs Z score'!A96</f>
        <v/>
      </c>
      <c r="B108" s="98">
        <f>'Runs Z score'!B96</f>
        <v/>
      </c>
      <c r="C108" s="98">
        <f>'Runs Z score'!C96</f>
        <v/>
      </c>
      <c r="D108" s="98">
        <f>'Runs Z score'!D96</f>
        <v/>
      </c>
      <c r="E108" s="98">
        <f>'Runs Z score'!E96</f>
        <v/>
      </c>
      <c r="F108" s="98">
        <f>'Runs Z score'!F96</f>
        <v/>
      </c>
      <c r="G108" s="99">
        <f>'Runs Z score'!G96</f>
        <v/>
      </c>
      <c r="H108" s="100">
        <f>VLOOKUP(C108,Recipes!$A$2:$N$4,10,FALSE())</f>
        <v/>
      </c>
      <c r="I108" s="101">
        <f>VLOOKUP(C108,Recipes!$A$2:$N$4,12,FALSE())</f>
        <v/>
      </c>
      <c r="J108" s="101">
        <f>IF(G108="","",((G108-H108)/I108)^2)</f>
        <v/>
      </c>
      <c r="K108" s="101">
        <f>IF(G108="","",MAX(0, J108-$B$12))</f>
        <v/>
      </c>
      <c r="L108" s="100">
        <f>IF(G108="","",SQRT(K108))</f>
        <v/>
      </c>
      <c r="M108" s="98">
        <f>IF(G108="","",IF(K108&lt;=$B$10,"OK","NG"))</f>
        <v/>
      </c>
      <c r="N108" s="69">
        <f>IF(M108="","",IF(M108=D108,1,0))</f>
        <v/>
      </c>
      <c r="O108" s="100">
        <f>IF(G108="","",H108-G108)</f>
        <v/>
      </c>
      <c r="P108" s="100">
        <f>IF(G108="","",ABS(O108-Components!$D$2))</f>
        <v/>
      </c>
      <c r="Q108" s="100">
        <f>IF(G108="","",ABS(O108-Components!$D$3))</f>
        <v/>
      </c>
      <c r="R108" s="100">
        <f>IF(G108="","",ABS(O108-Components!$D$4))</f>
        <v/>
      </c>
      <c r="S108" s="100">
        <f>IF(G108="","",ABS(O108-Components!$D$5))</f>
        <v/>
      </c>
      <c r="T108" s="100">
        <f>IF(G108="","",ABS(O108-Components!$D$6))</f>
        <v/>
      </c>
      <c r="U108" s="100">
        <f>IF(G108="","",ABS(O108-Components!$D$7))</f>
        <v/>
      </c>
      <c r="V108" s="98">
        <f>IF(G108="","",IF(M108="OK","NONE",INDEX({"S1","S2","W1","W2","N1","N2"},MATCH(MIN(P108:U108),P108:U108,0))))</f>
        <v/>
      </c>
      <c r="W108" s="103">
        <f>IF(G108="","",IF(V108=E108,1,0))</f>
        <v/>
      </c>
    </row>
    <row r="109">
      <c r="A109" s="102">
        <f>'Runs Z score'!A97</f>
        <v/>
      </c>
      <c r="B109" s="98">
        <f>'Runs Z score'!B97</f>
        <v/>
      </c>
      <c r="C109" s="98">
        <f>'Runs Z score'!C97</f>
        <v/>
      </c>
      <c r="D109" s="98">
        <f>'Runs Z score'!D97</f>
        <v/>
      </c>
      <c r="E109" s="98">
        <f>'Runs Z score'!E97</f>
        <v/>
      </c>
      <c r="F109" s="98">
        <f>'Runs Z score'!F97</f>
        <v/>
      </c>
      <c r="G109" s="99">
        <f>'Runs Z score'!G97</f>
        <v/>
      </c>
      <c r="H109" s="100">
        <f>VLOOKUP(C109,Recipes!$A$2:$N$4,10,FALSE())</f>
        <v/>
      </c>
      <c r="I109" s="101">
        <f>VLOOKUP(C109,Recipes!$A$2:$N$4,12,FALSE())</f>
        <v/>
      </c>
      <c r="J109" s="101">
        <f>IF(G109="","",((G109-H109)/I109)^2)</f>
        <v/>
      </c>
      <c r="K109" s="101">
        <f>IF(G109="","",MAX(0, J109-$B$12))</f>
        <v/>
      </c>
      <c r="L109" s="100">
        <f>IF(G109="","",SQRT(K109))</f>
        <v/>
      </c>
      <c r="M109" s="98">
        <f>IF(G109="","",IF(K109&lt;=$B$10,"OK","NG"))</f>
        <v/>
      </c>
      <c r="N109" s="69">
        <f>IF(M109="","",IF(M109=D109,1,0))</f>
        <v/>
      </c>
      <c r="O109" s="100">
        <f>IF(G109="","",H109-G109)</f>
        <v/>
      </c>
      <c r="P109" s="100">
        <f>IF(G109="","",ABS(O109-Components!$D$2))</f>
        <v/>
      </c>
      <c r="Q109" s="100">
        <f>IF(G109="","",ABS(O109-Components!$D$3))</f>
        <v/>
      </c>
      <c r="R109" s="100">
        <f>IF(G109="","",ABS(O109-Components!$D$4))</f>
        <v/>
      </c>
      <c r="S109" s="100">
        <f>IF(G109="","",ABS(O109-Components!$D$5))</f>
        <v/>
      </c>
      <c r="T109" s="100">
        <f>IF(G109="","",ABS(O109-Components!$D$6))</f>
        <v/>
      </c>
      <c r="U109" s="100">
        <f>IF(G109="","",ABS(O109-Components!$D$7))</f>
        <v/>
      </c>
      <c r="V109" s="98">
        <f>IF(G109="","",IF(M109="OK","NONE",INDEX({"S1","S2","W1","W2","N1","N2"},MATCH(MIN(P109:U109),P109:U109,0))))</f>
        <v/>
      </c>
      <c r="W109" s="103">
        <f>IF(G109="","",IF(V109=E109,1,0))</f>
        <v/>
      </c>
    </row>
    <row r="110">
      <c r="A110" s="102">
        <f>'Runs Z score'!A98</f>
        <v/>
      </c>
      <c r="B110" s="98">
        <f>'Runs Z score'!B98</f>
        <v/>
      </c>
      <c r="C110" s="98">
        <f>'Runs Z score'!C98</f>
        <v/>
      </c>
      <c r="D110" s="98">
        <f>'Runs Z score'!D98</f>
        <v/>
      </c>
      <c r="E110" s="98">
        <f>'Runs Z score'!E98</f>
        <v/>
      </c>
      <c r="F110" s="98">
        <f>'Runs Z score'!F98</f>
        <v/>
      </c>
      <c r="G110" s="99">
        <f>'Runs Z score'!G98</f>
        <v/>
      </c>
      <c r="H110" s="100">
        <f>VLOOKUP(C110,Recipes!$A$2:$N$4,10,FALSE())</f>
        <v/>
      </c>
      <c r="I110" s="101">
        <f>VLOOKUP(C110,Recipes!$A$2:$N$4,12,FALSE())</f>
        <v/>
      </c>
      <c r="J110" s="101">
        <f>IF(G110="","",((G110-H110)/I110)^2)</f>
        <v/>
      </c>
      <c r="K110" s="101">
        <f>IF(G110="","",MAX(0, J110-$B$12))</f>
        <v/>
      </c>
      <c r="L110" s="100">
        <f>IF(G110="","",SQRT(K110))</f>
        <v/>
      </c>
      <c r="M110" s="98">
        <f>IF(G110="","",IF(K110&lt;=$B$10,"OK","NG"))</f>
        <v/>
      </c>
      <c r="N110" s="69">
        <f>IF(M110="","",IF(M110=D110,1,0))</f>
        <v/>
      </c>
      <c r="O110" s="100">
        <f>IF(G110="","",H110-G110)</f>
        <v/>
      </c>
      <c r="P110" s="100">
        <f>IF(G110="","",ABS(O110-Components!$D$2))</f>
        <v/>
      </c>
      <c r="Q110" s="100">
        <f>IF(G110="","",ABS(O110-Components!$D$3))</f>
        <v/>
      </c>
      <c r="R110" s="100">
        <f>IF(G110="","",ABS(O110-Components!$D$4))</f>
        <v/>
      </c>
      <c r="S110" s="100">
        <f>IF(G110="","",ABS(O110-Components!$D$5))</f>
        <v/>
      </c>
      <c r="T110" s="100">
        <f>IF(G110="","",ABS(O110-Components!$D$6))</f>
        <v/>
      </c>
      <c r="U110" s="100">
        <f>IF(G110="","",ABS(O110-Components!$D$7))</f>
        <v/>
      </c>
      <c r="V110" s="98">
        <f>IF(G110="","",IF(M110="OK","NONE",INDEX({"S1","S2","W1","W2","N1","N2"},MATCH(MIN(P110:U110),P110:U110,0))))</f>
        <v/>
      </c>
      <c r="W110" s="103">
        <f>IF(G110="","",IF(V110=E110,1,0))</f>
        <v/>
      </c>
    </row>
    <row r="111">
      <c r="A111" s="102">
        <f>'Runs Z score'!A99</f>
        <v/>
      </c>
      <c r="B111" s="98">
        <f>'Runs Z score'!B99</f>
        <v/>
      </c>
      <c r="C111" s="98">
        <f>'Runs Z score'!C99</f>
        <v/>
      </c>
      <c r="D111" s="98">
        <f>'Runs Z score'!D99</f>
        <v/>
      </c>
      <c r="E111" s="98">
        <f>'Runs Z score'!E99</f>
        <v/>
      </c>
      <c r="F111" s="98">
        <f>'Runs Z score'!F99</f>
        <v/>
      </c>
      <c r="G111" s="99">
        <f>'Runs Z score'!G99</f>
        <v/>
      </c>
      <c r="H111" s="100">
        <f>VLOOKUP(C111,Recipes!$A$2:$N$4,10,FALSE())</f>
        <v/>
      </c>
      <c r="I111" s="101">
        <f>VLOOKUP(C111,Recipes!$A$2:$N$4,12,FALSE())</f>
        <v/>
      </c>
      <c r="J111" s="101">
        <f>IF(G111="","",((G111-H111)/I111)^2)</f>
        <v/>
      </c>
      <c r="K111" s="101">
        <f>IF(G111="","",MAX(0, J111-$B$12))</f>
        <v/>
      </c>
      <c r="L111" s="100">
        <f>IF(G111="","",SQRT(K111))</f>
        <v/>
      </c>
      <c r="M111" s="98">
        <f>IF(G111="","",IF(K111&lt;=$B$10,"OK","NG"))</f>
        <v/>
      </c>
      <c r="N111" s="69">
        <f>IF(M111="","",IF(M111=D111,1,0))</f>
        <v/>
      </c>
      <c r="O111" s="100">
        <f>IF(G111="","",H111-G111)</f>
        <v/>
      </c>
      <c r="P111" s="100">
        <f>IF(G111="","",ABS(O111-Components!$D$2))</f>
        <v/>
      </c>
      <c r="Q111" s="100">
        <f>IF(G111="","",ABS(O111-Components!$D$3))</f>
        <v/>
      </c>
      <c r="R111" s="100">
        <f>IF(G111="","",ABS(O111-Components!$D$4))</f>
        <v/>
      </c>
      <c r="S111" s="100">
        <f>IF(G111="","",ABS(O111-Components!$D$5))</f>
        <v/>
      </c>
      <c r="T111" s="100">
        <f>IF(G111="","",ABS(O111-Components!$D$6))</f>
        <v/>
      </c>
      <c r="U111" s="100">
        <f>IF(G111="","",ABS(O111-Components!$D$7))</f>
        <v/>
      </c>
      <c r="V111" s="98">
        <f>IF(G111="","",IF(M111="OK","NONE",INDEX({"S1","S2","W1","W2","N1","N2"},MATCH(MIN(P111:U111),P111:U111,0))))</f>
        <v/>
      </c>
      <c r="W111" s="103">
        <f>IF(G111="","",IF(V111=E111,1,0))</f>
        <v/>
      </c>
    </row>
    <row r="112">
      <c r="A112" s="102">
        <f>'Runs Z score'!A100</f>
        <v/>
      </c>
      <c r="B112" s="98">
        <f>'Runs Z score'!B100</f>
        <v/>
      </c>
      <c r="C112" s="98">
        <f>'Runs Z score'!C100</f>
        <v/>
      </c>
      <c r="D112" s="98">
        <f>'Runs Z score'!D100</f>
        <v/>
      </c>
      <c r="E112" s="98">
        <f>'Runs Z score'!E100</f>
        <v/>
      </c>
      <c r="F112" s="98">
        <f>'Runs Z score'!F100</f>
        <v/>
      </c>
      <c r="G112" s="99">
        <f>'Runs Z score'!G100</f>
        <v/>
      </c>
      <c r="H112" s="100">
        <f>VLOOKUP(C112,Recipes!$A$2:$N$4,10,FALSE())</f>
        <v/>
      </c>
      <c r="I112" s="101">
        <f>VLOOKUP(C112,Recipes!$A$2:$N$4,12,FALSE())</f>
        <v/>
      </c>
      <c r="J112" s="101">
        <f>IF(G112="","",((G112-H112)/I112)^2)</f>
        <v/>
      </c>
      <c r="K112" s="101">
        <f>IF(G112="","",MAX(0, J112-$B$12))</f>
        <v/>
      </c>
      <c r="L112" s="100">
        <f>IF(G112="","",SQRT(K112))</f>
        <v/>
      </c>
      <c r="M112" s="98">
        <f>IF(G112="","",IF(K112&lt;=$B$10,"OK","NG"))</f>
        <v/>
      </c>
      <c r="N112" s="69">
        <f>IF(M112="","",IF(M112=D112,1,0))</f>
        <v/>
      </c>
      <c r="O112" s="100">
        <f>IF(G112="","",H112-G112)</f>
        <v/>
      </c>
      <c r="P112" s="100">
        <f>IF(G112="","",ABS(O112-Components!$D$2))</f>
        <v/>
      </c>
      <c r="Q112" s="100">
        <f>IF(G112="","",ABS(O112-Components!$D$3))</f>
        <v/>
      </c>
      <c r="R112" s="100">
        <f>IF(G112="","",ABS(O112-Components!$D$4))</f>
        <v/>
      </c>
      <c r="S112" s="100">
        <f>IF(G112="","",ABS(O112-Components!$D$5))</f>
        <v/>
      </c>
      <c r="T112" s="100">
        <f>IF(G112="","",ABS(O112-Components!$D$6))</f>
        <v/>
      </c>
      <c r="U112" s="100">
        <f>IF(G112="","",ABS(O112-Components!$D$7))</f>
        <v/>
      </c>
      <c r="V112" s="98">
        <f>IF(G112="","",IF(M112="OK","NONE",INDEX({"S1","S2","W1","W2","N1","N2"},MATCH(MIN(P112:U112),P112:U112,0))))</f>
        <v/>
      </c>
      <c r="W112" s="103">
        <f>IF(G112="","",IF(V112=E112,1,0))</f>
        <v/>
      </c>
    </row>
    <row r="113">
      <c r="A113" s="102">
        <f>'Runs Z score'!A101</f>
        <v/>
      </c>
      <c r="B113" s="98">
        <f>'Runs Z score'!B101</f>
        <v/>
      </c>
      <c r="C113" s="98">
        <f>'Runs Z score'!C101</f>
        <v/>
      </c>
      <c r="D113" s="98">
        <f>'Runs Z score'!D101</f>
        <v/>
      </c>
      <c r="E113" s="98">
        <f>'Runs Z score'!E101</f>
        <v/>
      </c>
      <c r="F113" s="98">
        <f>'Runs Z score'!F101</f>
        <v/>
      </c>
      <c r="G113" s="99">
        <f>'Runs Z score'!G101</f>
        <v/>
      </c>
      <c r="H113" s="100">
        <f>VLOOKUP(C113,Recipes!$A$2:$N$4,10,FALSE())</f>
        <v/>
      </c>
      <c r="I113" s="101">
        <f>VLOOKUP(C113,Recipes!$A$2:$N$4,12,FALSE())</f>
        <v/>
      </c>
      <c r="J113" s="101">
        <f>IF(G113="","",((G113-H113)/I113)^2)</f>
        <v/>
      </c>
      <c r="K113" s="101">
        <f>IF(G113="","",MAX(0, J113-$B$12))</f>
        <v/>
      </c>
      <c r="L113" s="100">
        <f>IF(G113="","",SQRT(K113))</f>
        <v/>
      </c>
      <c r="M113" s="98">
        <f>IF(G113="","",IF(K113&lt;=$B$10,"OK","NG"))</f>
        <v/>
      </c>
      <c r="N113" s="69">
        <f>IF(M113="","",IF(M113=D113,1,0))</f>
        <v/>
      </c>
      <c r="O113" s="100">
        <f>IF(G113="","",H113-G113)</f>
        <v/>
      </c>
      <c r="P113" s="100">
        <f>IF(G113="","",ABS(O113-Components!$D$2))</f>
        <v/>
      </c>
      <c r="Q113" s="100">
        <f>IF(G113="","",ABS(O113-Components!$D$3))</f>
        <v/>
      </c>
      <c r="R113" s="100">
        <f>IF(G113="","",ABS(O113-Components!$D$4))</f>
        <v/>
      </c>
      <c r="S113" s="100">
        <f>IF(G113="","",ABS(O113-Components!$D$5))</f>
        <v/>
      </c>
      <c r="T113" s="100">
        <f>IF(G113="","",ABS(O113-Components!$D$6))</f>
        <v/>
      </c>
      <c r="U113" s="100">
        <f>IF(G113="","",ABS(O113-Components!$D$7))</f>
        <v/>
      </c>
      <c r="V113" s="98">
        <f>IF(G113="","",IF(M113="OK","NONE",INDEX({"S1","S2","W1","W2","N1","N2"},MATCH(MIN(P113:U113),P113:U113,0))))</f>
        <v/>
      </c>
      <c r="W113" s="103">
        <f>IF(G113="","",IF(V113=E113,1,0))</f>
        <v/>
      </c>
    </row>
    <row r="114">
      <c r="A114" s="102">
        <f>'Runs Z score'!A102</f>
        <v/>
      </c>
      <c r="B114" s="98">
        <f>'Runs Z score'!B102</f>
        <v/>
      </c>
      <c r="C114" s="98">
        <f>'Runs Z score'!C102</f>
        <v/>
      </c>
      <c r="D114" s="98">
        <f>'Runs Z score'!D102</f>
        <v/>
      </c>
      <c r="E114" s="98">
        <f>'Runs Z score'!E102</f>
        <v/>
      </c>
      <c r="F114" s="98">
        <f>'Runs Z score'!F102</f>
        <v/>
      </c>
      <c r="G114" s="99">
        <f>'Runs Z score'!G102</f>
        <v/>
      </c>
      <c r="H114" s="100">
        <f>VLOOKUP(C114,Recipes!$A$2:$N$4,10,FALSE())</f>
        <v/>
      </c>
      <c r="I114" s="101">
        <f>VLOOKUP(C114,Recipes!$A$2:$N$4,12,FALSE())</f>
        <v/>
      </c>
      <c r="J114" s="101">
        <f>IF(G114="","",((G114-H114)/I114)^2)</f>
        <v/>
      </c>
      <c r="K114" s="101">
        <f>IF(G114="","",MAX(0, J114-$B$12))</f>
        <v/>
      </c>
      <c r="L114" s="100">
        <f>IF(G114="","",SQRT(K114))</f>
        <v/>
      </c>
      <c r="M114" s="98">
        <f>IF(G114="","",IF(K114&lt;=$B$10,"OK","NG"))</f>
        <v/>
      </c>
      <c r="N114" s="69">
        <f>IF(M114="","",IF(M114=D114,1,0))</f>
        <v/>
      </c>
      <c r="O114" s="100">
        <f>IF(G114="","",H114-G114)</f>
        <v/>
      </c>
      <c r="P114" s="100">
        <f>IF(G114="","",ABS(O114-Components!$D$2))</f>
        <v/>
      </c>
      <c r="Q114" s="100">
        <f>IF(G114="","",ABS(O114-Components!$D$3))</f>
        <v/>
      </c>
      <c r="R114" s="100">
        <f>IF(G114="","",ABS(O114-Components!$D$4))</f>
        <v/>
      </c>
      <c r="S114" s="100">
        <f>IF(G114="","",ABS(O114-Components!$D$5))</f>
        <v/>
      </c>
      <c r="T114" s="100">
        <f>IF(G114="","",ABS(O114-Components!$D$6))</f>
        <v/>
      </c>
      <c r="U114" s="100">
        <f>IF(G114="","",ABS(O114-Components!$D$7))</f>
        <v/>
      </c>
      <c r="V114" s="98">
        <f>IF(G114="","",IF(M114="OK","NONE",INDEX({"S1","S2","W1","W2","N1","N2"},MATCH(MIN(P114:U114),P114:U114,0))))</f>
        <v/>
      </c>
      <c r="W114" s="103">
        <f>IF(G114="","",IF(V114=E114,1,0))</f>
        <v/>
      </c>
    </row>
    <row r="115">
      <c r="A115" s="102">
        <f>'Runs Z score'!A103</f>
        <v/>
      </c>
      <c r="B115" s="98">
        <f>'Runs Z score'!B103</f>
        <v/>
      </c>
      <c r="C115" s="98">
        <f>'Runs Z score'!C103</f>
        <v/>
      </c>
      <c r="D115" s="98">
        <f>'Runs Z score'!D103</f>
        <v/>
      </c>
      <c r="E115" s="98">
        <f>'Runs Z score'!E103</f>
        <v/>
      </c>
      <c r="F115" s="98">
        <f>'Runs Z score'!F103</f>
        <v/>
      </c>
      <c r="G115" s="99">
        <f>'Runs Z score'!G103</f>
        <v/>
      </c>
      <c r="H115" s="100">
        <f>VLOOKUP(C115,Recipes!$A$2:$N$4,10,FALSE())</f>
        <v/>
      </c>
      <c r="I115" s="101">
        <f>VLOOKUP(C115,Recipes!$A$2:$N$4,12,FALSE())</f>
        <v/>
      </c>
      <c r="J115" s="101">
        <f>IF(G115="","",((G115-H115)/I115)^2)</f>
        <v/>
      </c>
      <c r="K115" s="101">
        <f>IF(G115="","",MAX(0, J115-$B$12))</f>
        <v/>
      </c>
      <c r="L115" s="100">
        <f>IF(G115="","",SQRT(K115))</f>
        <v/>
      </c>
      <c r="M115" s="98">
        <f>IF(G115="","",IF(K115&lt;=$B$10,"OK","NG"))</f>
        <v/>
      </c>
      <c r="N115" s="69">
        <f>IF(M115="","",IF(M115=D115,1,0))</f>
        <v/>
      </c>
      <c r="O115" s="100">
        <f>IF(G115="","",H115-G115)</f>
        <v/>
      </c>
      <c r="P115" s="100">
        <f>IF(G115="","",ABS(O115-Components!$D$2))</f>
        <v/>
      </c>
      <c r="Q115" s="100">
        <f>IF(G115="","",ABS(O115-Components!$D$3))</f>
        <v/>
      </c>
      <c r="R115" s="100">
        <f>IF(G115="","",ABS(O115-Components!$D$4))</f>
        <v/>
      </c>
      <c r="S115" s="100">
        <f>IF(G115="","",ABS(O115-Components!$D$5))</f>
        <v/>
      </c>
      <c r="T115" s="100">
        <f>IF(G115="","",ABS(O115-Components!$D$6))</f>
        <v/>
      </c>
      <c r="U115" s="100">
        <f>IF(G115="","",ABS(O115-Components!$D$7))</f>
        <v/>
      </c>
      <c r="V115" s="98">
        <f>IF(G115="","",IF(M115="OK","NONE",INDEX({"S1","S2","W1","W2","N1","N2"},MATCH(MIN(P115:U115),P115:U115,0))))</f>
        <v/>
      </c>
      <c r="W115" s="103">
        <f>IF(G115="","",IF(V115=E115,1,0))</f>
        <v/>
      </c>
    </row>
    <row r="116">
      <c r="A116" s="102">
        <f>'Runs Z score'!A104</f>
        <v/>
      </c>
      <c r="B116" s="98">
        <f>'Runs Z score'!B104</f>
        <v/>
      </c>
      <c r="C116" s="98">
        <f>'Runs Z score'!C104</f>
        <v/>
      </c>
      <c r="D116" s="98">
        <f>'Runs Z score'!D104</f>
        <v/>
      </c>
      <c r="E116" s="98">
        <f>'Runs Z score'!E104</f>
        <v/>
      </c>
      <c r="F116" s="98">
        <f>'Runs Z score'!F104</f>
        <v/>
      </c>
      <c r="G116" s="99">
        <f>'Runs Z score'!G104</f>
        <v/>
      </c>
      <c r="H116" s="100">
        <f>VLOOKUP(C116,Recipes!$A$2:$N$4,10,FALSE())</f>
        <v/>
      </c>
      <c r="I116" s="101">
        <f>VLOOKUP(C116,Recipes!$A$2:$N$4,12,FALSE())</f>
        <v/>
      </c>
      <c r="J116" s="101">
        <f>IF(G116="","",((G116-H116)/I116)^2)</f>
        <v/>
      </c>
      <c r="K116" s="101">
        <f>IF(G116="","",MAX(0, J116-$B$12))</f>
        <v/>
      </c>
      <c r="L116" s="100">
        <f>IF(G116="","",SQRT(K116))</f>
        <v/>
      </c>
      <c r="M116" s="98">
        <f>IF(G116="","",IF(K116&lt;=$B$10,"OK","NG"))</f>
        <v/>
      </c>
      <c r="N116" s="69">
        <f>IF(M116="","",IF(M116=D116,1,0))</f>
        <v/>
      </c>
      <c r="O116" s="100">
        <f>IF(G116="","",H116-G116)</f>
        <v/>
      </c>
      <c r="P116" s="100">
        <f>IF(G116="","",ABS(O116-Components!$D$2))</f>
        <v/>
      </c>
      <c r="Q116" s="100">
        <f>IF(G116="","",ABS(O116-Components!$D$3))</f>
        <v/>
      </c>
      <c r="R116" s="100">
        <f>IF(G116="","",ABS(O116-Components!$D$4))</f>
        <v/>
      </c>
      <c r="S116" s="100">
        <f>IF(G116="","",ABS(O116-Components!$D$5))</f>
        <v/>
      </c>
      <c r="T116" s="100">
        <f>IF(G116="","",ABS(O116-Components!$D$6))</f>
        <v/>
      </c>
      <c r="U116" s="100">
        <f>IF(G116="","",ABS(O116-Components!$D$7))</f>
        <v/>
      </c>
      <c r="V116" s="98">
        <f>IF(G116="","",IF(M116="OK","NONE",INDEX({"S1","S2","W1","W2","N1","N2"},MATCH(MIN(P116:U116),P116:U116,0))))</f>
        <v/>
      </c>
      <c r="W116" s="103">
        <f>IF(G116="","",IF(V116=E116,1,0))</f>
        <v/>
      </c>
    </row>
    <row r="117">
      <c r="A117" s="102">
        <f>'Runs Z score'!A105</f>
        <v/>
      </c>
      <c r="B117" s="98">
        <f>'Runs Z score'!B105</f>
        <v/>
      </c>
      <c r="C117" s="98">
        <f>'Runs Z score'!C105</f>
        <v/>
      </c>
      <c r="D117" s="98">
        <f>'Runs Z score'!D105</f>
        <v/>
      </c>
      <c r="E117" s="98">
        <f>'Runs Z score'!E105</f>
        <v/>
      </c>
      <c r="F117" s="98">
        <f>'Runs Z score'!F105</f>
        <v/>
      </c>
      <c r="G117" s="99">
        <f>'Runs Z score'!G105</f>
        <v/>
      </c>
      <c r="H117" s="100">
        <f>VLOOKUP(C117,Recipes!$A$2:$N$4,10,FALSE())</f>
        <v/>
      </c>
      <c r="I117" s="101">
        <f>VLOOKUP(C117,Recipes!$A$2:$N$4,12,FALSE())</f>
        <v/>
      </c>
      <c r="J117" s="101">
        <f>IF(G117="","",((G117-H117)/I117)^2)</f>
        <v/>
      </c>
      <c r="K117" s="101">
        <f>IF(G117="","",MAX(0, J117-$B$12))</f>
        <v/>
      </c>
      <c r="L117" s="100">
        <f>IF(G117="","",SQRT(K117))</f>
        <v/>
      </c>
      <c r="M117" s="98">
        <f>IF(G117="","",IF(K117&lt;=$B$10,"OK","NG"))</f>
        <v/>
      </c>
      <c r="N117" s="69">
        <f>IF(M117="","",IF(M117=D117,1,0))</f>
        <v/>
      </c>
      <c r="O117" s="100">
        <f>IF(G117="","",H117-G117)</f>
        <v/>
      </c>
      <c r="P117" s="100">
        <f>IF(G117="","",ABS(O117-Components!$D$2))</f>
        <v/>
      </c>
      <c r="Q117" s="100">
        <f>IF(G117="","",ABS(O117-Components!$D$3))</f>
        <v/>
      </c>
      <c r="R117" s="100">
        <f>IF(G117="","",ABS(O117-Components!$D$4))</f>
        <v/>
      </c>
      <c r="S117" s="100">
        <f>IF(G117="","",ABS(O117-Components!$D$5))</f>
        <v/>
      </c>
      <c r="T117" s="100">
        <f>IF(G117="","",ABS(O117-Components!$D$6))</f>
        <v/>
      </c>
      <c r="U117" s="100">
        <f>IF(G117="","",ABS(O117-Components!$D$7))</f>
        <v/>
      </c>
      <c r="V117" s="98">
        <f>IF(G117="","",IF(M117="OK","NONE",INDEX({"S1","S2","W1","W2","N1","N2"},MATCH(MIN(P117:U117),P117:U117,0))))</f>
        <v/>
      </c>
      <c r="W117" s="103">
        <f>IF(G117="","",IF(V117=E117,1,0))</f>
        <v/>
      </c>
    </row>
    <row r="118">
      <c r="A118" s="102">
        <f>'Runs Z score'!A106</f>
        <v/>
      </c>
      <c r="B118" s="98">
        <f>'Runs Z score'!B106</f>
        <v/>
      </c>
      <c r="C118" s="98">
        <f>'Runs Z score'!C106</f>
        <v/>
      </c>
      <c r="D118" s="98">
        <f>'Runs Z score'!D106</f>
        <v/>
      </c>
      <c r="E118" s="98">
        <f>'Runs Z score'!E106</f>
        <v/>
      </c>
      <c r="F118" s="98">
        <f>'Runs Z score'!F106</f>
        <v/>
      </c>
      <c r="G118" s="99">
        <f>'Runs Z score'!G106</f>
        <v/>
      </c>
      <c r="H118" s="100">
        <f>VLOOKUP(C118,Recipes!$A$2:$N$4,10,FALSE())</f>
        <v/>
      </c>
      <c r="I118" s="101">
        <f>VLOOKUP(C118,Recipes!$A$2:$N$4,12,FALSE())</f>
        <v/>
      </c>
      <c r="J118" s="101">
        <f>IF(G118="","",((G118-H118)/I118)^2)</f>
        <v/>
      </c>
      <c r="K118" s="101">
        <f>IF(G118="","",MAX(0, J118-$B$12))</f>
        <v/>
      </c>
      <c r="L118" s="100">
        <f>IF(G118="","",SQRT(K118))</f>
        <v/>
      </c>
      <c r="M118" s="98">
        <f>IF(G118="","",IF(K118&lt;=$B$10,"OK","NG"))</f>
        <v/>
      </c>
      <c r="N118" s="69">
        <f>IF(M118="","",IF(M118=D118,1,0))</f>
        <v/>
      </c>
      <c r="O118" s="100">
        <f>IF(G118="","",H118-G118)</f>
        <v/>
      </c>
      <c r="P118" s="100">
        <f>IF(G118="","",ABS(O118-Components!$D$2))</f>
        <v/>
      </c>
      <c r="Q118" s="100">
        <f>IF(G118="","",ABS(O118-Components!$D$3))</f>
        <v/>
      </c>
      <c r="R118" s="100">
        <f>IF(G118="","",ABS(O118-Components!$D$4))</f>
        <v/>
      </c>
      <c r="S118" s="100">
        <f>IF(G118="","",ABS(O118-Components!$D$5))</f>
        <v/>
      </c>
      <c r="T118" s="100">
        <f>IF(G118="","",ABS(O118-Components!$D$6))</f>
        <v/>
      </c>
      <c r="U118" s="100">
        <f>IF(G118="","",ABS(O118-Components!$D$7))</f>
        <v/>
      </c>
      <c r="V118" s="98">
        <f>IF(G118="","",IF(M118="OK","NONE",INDEX({"S1","S2","W1","W2","N1","N2"},MATCH(MIN(P118:U118),P118:U118,0))))</f>
        <v/>
      </c>
      <c r="W118" s="103">
        <f>IF(G118="","",IF(V118=E118,1,0))</f>
        <v/>
      </c>
    </row>
    <row r="119">
      <c r="A119" s="102">
        <f>'Runs Z score'!A107</f>
        <v/>
      </c>
      <c r="B119" s="98">
        <f>'Runs Z score'!B107</f>
        <v/>
      </c>
      <c r="C119" s="98">
        <f>'Runs Z score'!C107</f>
        <v/>
      </c>
      <c r="D119" s="98">
        <f>'Runs Z score'!D107</f>
        <v/>
      </c>
      <c r="E119" s="98">
        <f>'Runs Z score'!E107</f>
        <v/>
      </c>
      <c r="F119" s="98">
        <f>'Runs Z score'!F107</f>
        <v/>
      </c>
      <c r="G119" s="99">
        <f>'Runs Z score'!G107</f>
        <v/>
      </c>
      <c r="H119" s="100">
        <f>VLOOKUP(C119,Recipes!$A$2:$N$4,10,FALSE())</f>
        <v/>
      </c>
      <c r="I119" s="101">
        <f>VLOOKUP(C119,Recipes!$A$2:$N$4,12,FALSE())</f>
        <v/>
      </c>
      <c r="J119" s="101">
        <f>IF(G119="","",((G119-H119)/I119)^2)</f>
        <v/>
      </c>
      <c r="K119" s="101">
        <f>IF(G119="","",MAX(0, J119-$B$12))</f>
        <v/>
      </c>
      <c r="L119" s="100">
        <f>IF(G119="","",SQRT(K119))</f>
        <v/>
      </c>
      <c r="M119" s="98">
        <f>IF(G119="","",IF(K119&lt;=$B$10,"OK","NG"))</f>
        <v/>
      </c>
      <c r="N119" s="69">
        <f>IF(M119="","",IF(M119=D119,1,0))</f>
        <v/>
      </c>
      <c r="O119" s="100">
        <f>IF(G119="","",H119-G119)</f>
        <v/>
      </c>
      <c r="P119" s="100">
        <f>IF(G119="","",ABS(O119-Components!$D$2))</f>
        <v/>
      </c>
      <c r="Q119" s="100">
        <f>IF(G119="","",ABS(O119-Components!$D$3))</f>
        <v/>
      </c>
      <c r="R119" s="100">
        <f>IF(G119="","",ABS(O119-Components!$D$4))</f>
        <v/>
      </c>
      <c r="S119" s="100">
        <f>IF(G119="","",ABS(O119-Components!$D$5))</f>
        <v/>
      </c>
      <c r="T119" s="100">
        <f>IF(G119="","",ABS(O119-Components!$D$6))</f>
        <v/>
      </c>
      <c r="U119" s="100">
        <f>IF(G119="","",ABS(O119-Components!$D$7))</f>
        <v/>
      </c>
      <c r="V119" s="98">
        <f>IF(G119="","",IF(M119="OK","NONE",INDEX({"S1","S2","W1","W2","N1","N2"},MATCH(MIN(P119:U119),P119:U119,0))))</f>
        <v/>
      </c>
      <c r="W119" s="103">
        <f>IF(G119="","",IF(V119=E119,1,0))</f>
        <v/>
      </c>
    </row>
    <row r="120">
      <c r="A120" s="102">
        <f>'Runs Z score'!A108</f>
        <v/>
      </c>
      <c r="B120" s="98">
        <f>'Runs Z score'!B108</f>
        <v/>
      </c>
      <c r="C120" s="98">
        <f>'Runs Z score'!C108</f>
        <v/>
      </c>
      <c r="D120" s="98">
        <f>'Runs Z score'!D108</f>
        <v/>
      </c>
      <c r="E120" s="98">
        <f>'Runs Z score'!E108</f>
        <v/>
      </c>
      <c r="F120" s="98">
        <f>'Runs Z score'!F108</f>
        <v/>
      </c>
      <c r="G120" s="99">
        <f>'Runs Z score'!G108</f>
        <v/>
      </c>
      <c r="H120" s="100">
        <f>VLOOKUP(C120,Recipes!$A$2:$N$4,10,FALSE())</f>
        <v/>
      </c>
      <c r="I120" s="101">
        <f>VLOOKUP(C120,Recipes!$A$2:$N$4,12,FALSE())</f>
        <v/>
      </c>
      <c r="J120" s="101">
        <f>IF(G120="","",((G120-H120)/I120)^2)</f>
        <v/>
      </c>
      <c r="K120" s="101">
        <f>IF(G120="","",MAX(0, J120-$B$12))</f>
        <v/>
      </c>
      <c r="L120" s="100">
        <f>IF(G120="","",SQRT(K120))</f>
        <v/>
      </c>
      <c r="M120" s="98">
        <f>IF(G120="","",IF(K120&lt;=$B$10,"OK","NG"))</f>
        <v/>
      </c>
      <c r="N120" s="69">
        <f>IF(M120="","",IF(M120=D120,1,0))</f>
        <v/>
      </c>
      <c r="O120" s="100">
        <f>IF(G120="","",H120-G120)</f>
        <v/>
      </c>
      <c r="P120" s="100">
        <f>IF(G120="","",ABS(O120-Components!$D$2))</f>
        <v/>
      </c>
      <c r="Q120" s="100">
        <f>IF(G120="","",ABS(O120-Components!$D$3))</f>
        <v/>
      </c>
      <c r="R120" s="100">
        <f>IF(G120="","",ABS(O120-Components!$D$4))</f>
        <v/>
      </c>
      <c r="S120" s="100">
        <f>IF(G120="","",ABS(O120-Components!$D$5))</f>
        <v/>
      </c>
      <c r="T120" s="100">
        <f>IF(G120="","",ABS(O120-Components!$D$6))</f>
        <v/>
      </c>
      <c r="U120" s="100">
        <f>IF(G120="","",ABS(O120-Components!$D$7))</f>
        <v/>
      </c>
      <c r="V120" s="98">
        <f>IF(G120="","",IF(M120="OK","NONE",INDEX({"S1","S2","W1","W2","N1","N2"},MATCH(MIN(P120:U120),P120:U120,0))))</f>
        <v/>
      </c>
      <c r="W120" s="103">
        <f>IF(G120="","",IF(V120=E120,1,0))</f>
        <v/>
      </c>
    </row>
    <row r="121">
      <c r="A121" s="102">
        <f>'Runs Z score'!A109</f>
        <v/>
      </c>
      <c r="B121" s="98">
        <f>'Runs Z score'!B109</f>
        <v/>
      </c>
      <c r="C121" s="98">
        <f>'Runs Z score'!C109</f>
        <v/>
      </c>
      <c r="D121" s="98">
        <f>'Runs Z score'!D109</f>
        <v/>
      </c>
      <c r="E121" s="98">
        <f>'Runs Z score'!E109</f>
        <v/>
      </c>
      <c r="F121" s="98">
        <f>'Runs Z score'!F109</f>
        <v/>
      </c>
      <c r="G121" s="99">
        <f>'Runs Z score'!G109</f>
        <v/>
      </c>
      <c r="H121" s="100">
        <f>VLOOKUP(C121,Recipes!$A$2:$N$4,10,FALSE())</f>
        <v/>
      </c>
      <c r="I121" s="101">
        <f>VLOOKUP(C121,Recipes!$A$2:$N$4,12,FALSE())</f>
        <v/>
      </c>
      <c r="J121" s="101">
        <f>IF(G121="","",((G121-H121)/I121)^2)</f>
        <v/>
      </c>
      <c r="K121" s="101">
        <f>IF(G121="","",MAX(0, J121-$B$12))</f>
        <v/>
      </c>
      <c r="L121" s="100">
        <f>IF(G121="","",SQRT(K121))</f>
        <v/>
      </c>
      <c r="M121" s="98">
        <f>IF(G121="","",IF(K121&lt;=$B$10,"OK","NG"))</f>
        <v/>
      </c>
      <c r="N121" s="69">
        <f>IF(M121="","",IF(M121=D121,1,0))</f>
        <v/>
      </c>
      <c r="O121" s="100">
        <f>IF(G121="","",H121-G121)</f>
        <v/>
      </c>
      <c r="P121" s="100">
        <f>IF(G121="","",ABS(O121-Components!$D$2))</f>
        <v/>
      </c>
      <c r="Q121" s="100">
        <f>IF(G121="","",ABS(O121-Components!$D$3))</f>
        <v/>
      </c>
      <c r="R121" s="100">
        <f>IF(G121="","",ABS(O121-Components!$D$4))</f>
        <v/>
      </c>
      <c r="S121" s="100">
        <f>IF(G121="","",ABS(O121-Components!$D$5))</f>
        <v/>
      </c>
      <c r="T121" s="100">
        <f>IF(G121="","",ABS(O121-Components!$D$6))</f>
        <v/>
      </c>
      <c r="U121" s="100">
        <f>IF(G121="","",ABS(O121-Components!$D$7))</f>
        <v/>
      </c>
      <c r="V121" s="98">
        <f>IF(G121="","",IF(M121="OK","NONE",INDEX({"S1","S2","W1","W2","N1","N2"},MATCH(MIN(P121:U121),P121:U121,0))))</f>
        <v/>
      </c>
      <c r="W121" s="103">
        <f>IF(G121="","",IF(V121=E121,1,0))</f>
        <v/>
      </c>
    </row>
    <row r="122">
      <c r="A122" s="102">
        <f>'Runs Z score'!A110</f>
        <v/>
      </c>
      <c r="B122" s="98">
        <f>'Runs Z score'!B110</f>
        <v/>
      </c>
      <c r="C122" s="98">
        <f>'Runs Z score'!C110</f>
        <v/>
      </c>
      <c r="D122" s="98">
        <f>'Runs Z score'!D110</f>
        <v/>
      </c>
      <c r="E122" s="98">
        <f>'Runs Z score'!E110</f>
        <v/>
      </c>
      <c r="F122" s="98">
        <f>'Runs Z score'!F110</f>
        <v/>
      </c>
      <c r="G122" s="99">
        <f>'Runs Z score'!G110</f>
        <v/>
      </c>
      <c r="H122" s="100">
        <f>VLOOKUP(C122,Recipes!$A$2:$N$4,10,FALSE())</f>
        <v/>
      </c>
      <c r="I122" s="101">
        <f>VLOOKUP(C122,Recipes!$A$2:$N$4,12,FALSE())</f>
        <v/>
      </c>
      <c r="J122" s="101">
        <f>IF(G122="","",((G122-H122)/I122)^2)</f>
        <v/>
      </c>
      <c r="K122" s="101">
        <f>IF(G122="","",MAX(0, J122-$B$12))</f>
        <v/>
      </c>
      <c r="L122" s="100">
        <f>IF(G122="","",SQRT(K122))</f>
        <v/>
      </c>
      <c r="M122" s="98">
        <f>IF(G122="","",IF(K122&lt;=$B$10,"OK","NG"))</f>
        <v/>
      </c>
      <c r="N122" s="69">
        <f>IF(M122="","",IF(M122=D122,1,0))</f>
        <v/>
      </c>
      <c r="O122" s="100">
        <f>IF(G122="","",H122-G122)</f>
        <v/>
      </c>
      <c r="P122" s="100">
        <f>IF(G122="","",ABS(O122-Components!$D$2))</f>
        <v/>
      </c>
      <c r="Q122" s="100">
        <f>IF(G122="","",ABS(O122-Components!$D$3))</f>
        <v/>
      </c>
      <c r="R122" s="100">
        <f>IF(G122="","",ABS(O122-Components!$D$4))</f>
        <v/>
      </c>
      <c r="S122" s="100">
        <f>IF(G122="","",ABS(O122-Components!$D$5))</f>
        <v/>
      </c>
      <c r="T122" s="100">
        <f>IF(G122="","",ABS(O122-Components!$D$6))</f>
        <v/>
      </c>
      <c r="U122" s="100">
        <f>IF(G122="","",ABS(O122-Components!$D$7))</f>
        <v/>
      </c>
      <c r="V122" s="98">
        <f>IF(G122="","",IF(M122="OK","NONE",INDEX({"S1","S2","W1","W2","N1","N2"},MATCH(MIN(P122:U122),P122:U122,0))))</f>
        <v/>
      </c>
      <c r="W122" s="103">
        <f>IF(G122="","",IF(V122=E122,1,0))</f>
        <v/>
      </c>
    </row>
    <row r="123">
      <c r="A123" s="102">
        <f>'Runs Z score'!A111</f>
        <v/>
      </c>
      <c r="B123" s="98">
        <f>'Runs Z score'!B111</f>
        <v/>
      </c>
      <c r="C123" s="98">
        <f>'Runs Z score'!C111</f>
        <v/>
      </c>
      <c r="D123" s="98">
        <f>'Runs Z score'!D111</f>
        <v/>
      </c>
      <c r="E123" s="98">
        <f>'Runs Z score'!E111</f>
        <v/>
      </c>
      <c r="F123" s="98">
        <f>'Runs Z score'!F111</f>
        <v/>
      </c>
      <c r="G123" s="99">
        <f>'Runs Z score'!G111</f>
        <v/>
      </c>
      <c r="H123" s="100">
        <f>VLOOKUP(C123,Recipes!$A$2:$N$4,10,FALSE())</f>
        <v/>
      </c>
      <c r="I123" s="101">
        <f>VLOOKUP(C123,Recipes!$A$2:$N$4,12,FALSE())</f>
        <v/>
      </c>
      <c r="J123" s="101">
        <f>IF(G123="","",((G123-H123)/I123)^2)</f>
        <v/>
      </c>
      <c r="K123" s="101">
        <f>IF(G123="","",MAX(0, J123-$B$12))</f>
        <v/>
      </c>
      <c r="L123" s="100">
        <f>IF(G123="","",SQRT(K123))</f>
        <v/>
      </c>
      <c r="M123" s="98">
        <f>IF(G123="","",IF(K123&lt;=$B$10,"OK","NG"))</f>
        <v/>
      </c>
      <c r="N123" s="69">
        <f>IF(M123="","",IF(M123=D123,1,0))</f>
        <v/>
      </c>
      <c r="O123" s="100">
        <f>IF(G123="","",H123-G123)</f>
        <v/>
      </c>
      <c r="P123" s="100">
        <f>IF(G123="","",ABS(O123-Components!$D$2))</f>
        <v/>
      </c>
      <c r="Q123" s="100">
        <f>IF(G123="","",ABS(O123-Components!$D$3))</f>
        <v/>
      </c>
      <c r="R123" s="100">
        <f>IF(G123="","",ABS(O123-Components!$D$4))</f>
        <v/>
      </c>
      <c r="S123" s="100">
        <f>IF(G123="","",ABS(O123-Components!$D$5))</f>
        <v/>
      </c>
      <c r="T123" s="100">
        <f>IF(G123="","",ABS(O123-Components!$D$6))</f>
        <v/>
      </c>
      <c r="U123" s="100">
        <f>IF(G123="","",ABS(O123-Components!$D$7))</f>
        <v/>
      </c>
      <c r="V123" s="98">
        <f>IF(G123="","",IF(M123="OK","NONE",INDEX({"S1","S2","W1","W2","N1","N2"},MATCH(MIN(P123:U123),P123:U123,0))))</f>
        <v/>
      </c>
      <c r="W123" s="103">
        <f>IF(G123="","",IF(V123=E123,1,0))</f>
        <v/>
      </c>
    </row>
    <row r="124">
      <c r="A124" s="102">
        <f>'Runs Z score'!A112</f>
        <v/>
      </c>
      <c r="B124" s="98">
        <f>'Runs Z score'!B112</f>
        <v/>
      </c>
      <c r="C124" s="98">
        <f>'Runs Z score'!C112</f>
        <v/>
      </c>
      <c r="D124" s="98">
        <f>'Runs Z score'!D112</f>
        <v/>
      </c>
      <c r="E124" s="98">
        <f>'Runs Z score'!E112</f>
        <v/>
      </c>
      <c r="F124" s="98">
        <f>'Runs Z score'!F112</f>
        <v/>
      </c>
      <c r="G124" s="99">
        <f>'Runs Z score'!G112</f>
        <v/>
      </c>
      <c r="H124" s="100">
        <f>VLOOKUP(C124,Recipes!$A$2:$N$4,10,FALSE())</f>
        <v/>
      </c>
      <c r="I124" s="101">
        <f>VLOOKUP(C124,Recipes!$A$2:$N$4,12,FALSE())</f>
        <v/>
      </c>
      <c r="J124" s="101">
        <f>IF(G124="","",((G124-H124)/I124)^2)</f>
        <v/>
      </c>
      <c r="K124" s="101">
        <f>IF(G124="","",MAX(0, J124-$B$12))</f>
        <v/>
      </c>
      <c r="L124" s="100">
        <f>IF(G124="","",SQRT(K124))</f>
        <v/>
      </c>
      <c r="M124" s="98">
        <f>IF(G124="","",IF(K124&lt;=$B$10,"OK","NG"))</f>
        <v/>
      </c>
      <c r="N124" s="69">
        <f>IF(M124="","",IF(M124=D124,1,0))</f>
        <v/>
      </c>
      <c r="O124" s="100">
        <f>IF(G124="","",H124-G124)</f>
        <v/>
      </c>
      <c r="P124" s="100">
        <f>IF(G124="","",ABS(O124-Components!$D$2))</f>
        <v/>
      </c>
      <c r="Q124" s="100">
        <f>IF(G124="","",ABS(O124-Components!$D$3))</f>
        <v/>
      </c>
      <c r="R124" s="100">
        <f>IF(G124="","",ABS(O124-Components!$D$4))</f>
        <v/>
      </c>
      <c r="S124" s="100">
        <f>IF(G124="","",ABS(O124-Components!$D$5))</f>
        <v/>
      </c>
      <c r="T124" s="100">
        <f>IF(G124="","",ABS(O124-Components!$D$6))</f>
        <v/>
      </c>
      <c r="U124" s="100">
        <f>IF(G124="","",ABS(O124-Components!$D$7))</f>
        <v/>
      </c>
      <c r="V124" s="98">
        <f>IF(G124="","",IF(M124="OK","NONE",INDEX({"S1","S2","W1","W2","N1","N2"},MATCH(MIN(P124:U124),P124:U124,0))))</f>
        <v/>
      </c>
      <c r="W124" s="103">
        <f>IF(G124="","",IF(V124=E124,1,0))</f>
        <v/>
      </c>
    </row>
    <row r="125">
      <c r="A125" s="102">
        <f>'Runs Z score'!A113</f>
        <v/>
      </c>
      <c r="B125" s="98">
        <f>'Runs Z score'!B113</f>
        <v/>
      </c>
      <c r="C125" s="98">
        <f>'Runs Z score'!C113</f>
        <v/>
      </c>
      <c r="D125" s="98">
        <f>'Runs Z score'!D113</f>
        <v/>
      </c>
      <c r="E125" s="98">
        <f>'Runs Z score'!E113</f>
        <v/>
      </c>
      <c r="F125" s="98">
        <f>'Runs Z score'!F113</f>
        <v/>
      </c>
      <c r="G125" s="99">
        <f>'Runs Z score'!G113</f>
        <v/>
      </c>
      <c r="H125" s="100">
        <f>VLOOKUP(C125,Recipes!$A$2:$N$4,10,FALSE())</f>
        <v/>
      </c>
      <c r="I125" s="101">
        <f>VLOOKUP(C125,Recipes!$A$2:$N$4,12,FALSE())</f>
        <v/>
      </c>
      <c r="J125" s="101">
        <f>IF(G125="","",((G125-H125)/I125)^2)</f>
        <v/>
      </c>
      <c r="K125" s="101">
        <f>IF(G125="","",MAX(0, J125-$B$12))</f>
        <v/>
      </c>
      <c r="L125" s="100">
        <f>IF(G125="","",SQRT(K125))</f>
        <v/>
      </c>
      <c r="M125" s="98">
        <f>IF(G125="","",IF(K125&lt;=$B$10,"OK","NG"))</f>
        <v/>
      </c>
      <c r="N125" s="69">
        <f>IF(M125="","",IF(M125=D125,1,0))</f>
        <v/>
      </c>
      <c r="O125" s="100">
        <f>IF(G125="","",H125-G125)</f>
        <v/>
      </c>
      <c r="P125" s="100">
        <f>IF(G125="","",ABS(O125-Components!$D$2))</f>
        <v/>
      </c>
      <c r="Q125" s="100">
        <f>IF(G125="","",ABS(O125-Components!$D$3))</f>
        <v/>
      </c>
      <c r="R125" s="100">
        <f>IF(G125="","",ABS(O125-Components!$D$4))</f>
        <v/>
      </c>
      <c r="S125" s="100">
        <f>IF(G125="","",ABS(O125-Components!$D$5))</f>
        <v/>
      </c>
      <c r="T125" s="100">
        <f>IF(G125="","",ABS(O125-Components!$D$6))</f>
        <v/>
      </c>
      <c r="U125" s="100">
        <f>IF(G125="","",ABS(O125-Components!$D$7))</f>
        <v/>
      </c>
      <c r="V125" s="98">
        <f>IF(G125="","",IF(M125="OK","NONE",INDEX({"S1","S2","W1","W2","N1","N2"},MATCH(MIN(P125:U125),P125:U125,0))))</f>
        <v/>
      </c>
      <c r="W125" s="103">
        <f>IF(G125="","",IF(V125=E125,1,0))</f>
        <v/>
      </c>
    </row>
    <row r="126">
      <c r="A126" s="102">
        <f>'Runs Z score'!A114</f>
        <v/>
      </c>
      <c r="B126" s="98">
        <f>'Runs Z score'!B114</f>
        <v/>
      </c>
      <c r="C126" s="98">
        <f>'Runs Z score'!C114</f>
        <v/>
      </c>
      <c r="D126" s="98">
        <f>'Runs Z score'!D114</f>
        <v/>
      </c>
      <c r="E126" s="98">
        <f>'Runs Z score'!E114</f>
        <v/>
      </c>
      <c r="F126" s="98">
        <f>'Runs Z score'!F114</f>
        <v/>
      </c>
      <c r="G126" s="99">
        <f>'Runs Z score'!G114</f>
        <v/>
      </c>
      <c r="H126" s="100">
        <f>VLOOKUP(C126,Recipes!$A$2:$N$4,10,FALSE())</f>
        <v/>
      </c>
      <c r="I126" s="101">
        <f>VLOOKUP(C126,Recipes!$A$2:$N$4,12,FALSE())</f>
        <v/>
      </c>
      <c r="J126" s="101">
        <f>IF(G126="","",((G126-H126)/I126)^2)</f>
        <v/>
      </c>
      <c r="K126" s="101">
        <f>IF(G126="","",MAX(0, J126-$B$12))</f>
        <v/>
      </c>
      <c r="L126" s="100">
        <f>IF(G126="","",SQRT(K126))</f>
        <v/>
      </c>
      <c r="M126" s="98">
        <f>IF(G126="","",IF(K126&lt;=$B$10,"OK","NG"))</f>
        <v/>
      </c>
      <c r="N126" s="69">
        <f>IF(M126="","",IF(M126=D126,1,0))</f>
        <v/>
      </c>
      <c r="O126" s="100">
        <f>IF(G126="","",H126-G126)</f>
        <v/>
      </c>
      <c r="P126" s="100">
        <f>IF(G126="","",ABS(O126-Components!$D$2))</f>
        <v/>
      </c>
      <c r="Q126" s="100">
        <f>IF(G126="","",ABS(O126-Components!$D$3))</f>
        <v/>
      </c>
      <c r="R126" s="100">
        <f>IF(G126="","",ABS(O126-Components!$D$4))</f>
        <v/>
      </c>
      <c r="S126" s="100">
        <f>IF(G126="","",ABS(O126-Components!$D$5))</f>
        <v/>
      </c>
      <c r="T126" s="100">
        <f>IF(G126="","",ABS(O126-Components!$D$6))</f>
        <v/>
      </c>
      <c r="U126" s="100">
        <f>IF(G126="","",ABS(O126-Components!$D$7))</f>
        <v/>
      </c>
      <c r="V126" s="98">
        <f>IF(G126="","",IF(M126="OK","NONE",INDEX({"S1","S2","W1","W2","N1","N2"},MATCH(MIN(P126:U126),P126:U126,0))))</f>
        <v/>
      </c>
      <c r="W126" s="103">
        <f>IF(G126="","",IF(V126=E126,1,0))</f>
        <v/>
      </c>
    </row>
    <row r="127">
      <c r="A127" s="102">
        <f>'Runs Z score'!A115</f>
        <v/>
      </c>
      <c r="B127" s="98">
        <f>'Runs Z score'!B115</f>
        <v/>
      </c>
      <c r="C127" s="98">
        <f>'Runs Z score'!C115</f>
        <v/>
      </c>
      <c r="D127" s="98">
        <f>'Runs Z score'!D115</f>
        <v/>
      </c>
      <c r="E127" s="98">
        <f>'Runs Z score'!E115</f>
        <v/>
      </c>
      <c r="F127" s="98">
        <f>'Runs Z score'!F115</f>
        <v/>
      </c>
      <c r="G127" s="99">
        <f>'Runs Z score'!G115</f>
        <v/>
      </c>
      <c r="H127" s="100">
        <f>VLOOKUP(C127,Recipes!$A$2:$N$4,10,FALSE())</f>
        <v/>
      </c>
      <c r="I127" s="101">
        <f>VLOOKUP(C127,Recipes!$A$2:$N$4,12,FALSE())</f>
        <v/>
      </c>
      <c r="J127" s="101">
        <f>IF(G127="","",((G127-H127)/I127)^2)</f>
        <v/>
      </c>
      <c r="K127" s="101">
        <f>IF(G127="","",MAX(0, J127-$B$12))</f>
        <v/>
      </c>
      <c r="L127" s="100">
        <f>IF(G127="","",SQRT(K127))</f>
        <v/>
      </c>
      <c r="M127" s="98">
        <f>IF(G127="","",IF(K127&lt;=$B$10,"OK","NG"))</f>
        <v/>
      </c>
      <c r="N127" s="69">
        <f>IF(M127="","",IF(M127=D127,1,0))</f>
        <v/>
      </c>
      <c r="O127" s="100">
        <f>IF(G127="","",H127-G127)</f>
        <v/>
      </c>
      <c r="P127" s="100">
        <f>IF(G127="","",ABS(O127-Components!$D$2))</f>
        <v/>
      </c>
      <c r="Q127" s="100">
        <f>IF(G127="","",ABS(O127-Components!$D$3))</f>
        <v/>
      </c>
      <c r="R127" s="100">
        <f>IF(G127="","",ABS(O127-Components!$D$4))</f>
        <v/>
      </c>
      <c r="S127" s="100">
        <f>IF(G127="","",ABS(O127-Components!$D$5))</f>
        <v/>
      </c>
      <c r="T127" s="100">
        <f>IF(G127="","",ABS(O127-Components!$D$6))</f>
        <v/>
      </c>
      <c r="U127" s="100">
        <f>IF(G127="","",ABS(O127-Components!$D$7))</f>
        <v/>
      </c>
      <c r="V127" s="98">
        <f>IF(G127="","",IF(M127="OK","NONE",INDEX({"S1","S2","W1","W2","N1","N2"},MATCH(MIN(P127:U127),P127:U127,0))))</f>
        <v/>
      </c>
      <c r="W127" s="103">
        <f>IF(G127="","",IF(V127=E127,1,0))</f>
        <v/>
      </c>
    </row>
    <row r="128">
      <c r="A128" s="102">
        <f>'Runs Z score'!A116</f>
        <v/>
      </c>
      <c r="B128" s="98">
        <f>'Runs Z score'!B116</f>
        <v/>
      </c>
      <c r="C128" s="98">
        <f>'Runs Z score'!C116</f>
        <v/>
      </c>
      <c r="D128" s="98">
        <f>'Runs Z score'!D116</f>
        <v/>
      </c>
      <c r="E128" s="98">
        <f>'Runs Z score'!E116</f>
        <v/>
      </c>
      <c r="F128" s="98">
        <f>'Runs Z score'!F116</f>
        <v/>
      </c>
      <c r="G128" s="99">
        <f>'Runs Z score'!G116</f>
        <v/>
      </c>
      <c r="H128" s="100">
        <f>VLOOKUP(C128,Recipes!$A$2:$N$4,10,FALSE())</f>
        <v/>
      </c>
      <c r="I128" s="101">
        <f>VLOOKUP(C128,Recipes!$A$2:$N$4,12,FALSE())</f>
        <v/>
      </c>
      <c r="J128" s="101">
        <f>IF(G128="","",((G128-H128)/I128)^2)</f>
        <v/>
      </c>
      <c r="K128" s="101">
        <f>IF(G128="","",MAX(0, J128-$B$12))</f>
        <v/>
      </c>
      <c r="L128" s="100">
        <f>IF(G128="","",SQRT(K128))</f>
        <v/>
      </c>
      <c r="M128" s="98">
        <f>IF(G128="","",IF(K128&lt;=$B$10,"OK","NG"))</f>
        <v/>
      </c>
      <c r="N128" s="69">
        <f>IF(M128="","",IF(M128=D128,1,0))</f>
        <v/>
      </c>
      <c r="O128" s="100">
        <f>IF(G128="","",H128-G128)</f>
        <v/>
      </c>
      <c r="P128" s="100">
        <f>IF(G128="","",ABS(O128-Components!$D$2))</f>
        <v/>
      </c>
      <c r="Q128" s="100">
        <f>IF(G128="","",ABS(O128-Components!$D$3))</f>
        <v/>
      </c>
      <c r="R128" s="100">
        <f>IF(G128="","",ABS(O128-Components!$D$4))</f>
        <v/>
      </c>
      <c r="S128" s="100">
        <f>IF(G128="","",ABS(O128-Components!$D$5))</f>
        <v/>
      </c>
      <c r="T128" s="100">
        <f>IF(G128="","",ABS(O128-Components!$D$6))</f>
        <v/>
      </c>
      <c r="U128" s="100">
        <f>IF(G128="","",ABS(O128-Components!$D$7))</f>
        <v/>
      </c>
      <c r="V128" s="98">
        <f>IF(G128="","",IF(M128="OK","NONE",INDEX({"S1","S2","W1","W2","N1","N2"},MATCH(MIN(P128:U128),P128:U128,0))))</f>
        <v/>
      </c>
      <c r="W128" s="103">
        <f>IF(G128="","",IF(V128=E128,1,0))</f>
        <v/>
      </c>
    </row>
    <row r="129">
      <c r="A129" s="102">
        <f>'Runs Z score'!A117</f>
        <v/>
      </c>
      <c r="B129" s="98">
        <f>'Runs Z score'!B117</f>
        <v/>
      </c>
      <c r="C129" s="98">
        <f>'Runs Z score'!C117</f>
        <v/>
      </c>
      <c r="D129" s="98">
        <f>'Runs Z score'!D117</f>
        <v/>
      </c>
      <c r="E129" s="98">
        <f>'Runs Z score'!E117</f>
        <v/>
      </c>
      <c r="F129" s="98">
        <f>'Runs Z score'!F117</f>
        <v/>
      </c>
      <c r="G129" s="99">
        <f>'Runs Z score'!G117</f>
        <v/>
      </c>
      <c r="H129" s="100">
        <f>VLOOKUP(C129,Recipes!$A$2:$N$4,10,FALSE())</f>
        <v/>
      </c>
      <c r="I129" s="101">
        <f>VLOOKUP(C129,Recipes!$A$2:$N$4,12,FALSE())</f>
        <v/>
      </c>
      <c r="J129" s="101">
        <f>IF(G129="","",((G129-H129)/I129)^2)</f>
        <v/>
      </c>
      <c r="K129" s="101">
        <f>IF(G129="","",MAX(0, J129-$B$12))</f>
        <v/>
      </c>
      <c r="L129" s="100">
        <f>IF(G129="","",SQRT(K129))</f>
        <v/>
      </c>
      <c r="M129" s="98">
        <f>IF(G129="","",IF(K129&lt;=$B$10,"OK","NG"))</f>
        <v/>
      </c>
      <c r="N129" s="69">
        <f>IF(M129="","",IF(M129=D129,1,0))</f>
        <v/>
      </c>
      <c r="O129" s="100">
        <f>IF(G129="","",H129-G129)</f>
        <v/>
      </c>
      <c r="P129" s="100">
        <f>IF(G129="","",ABS(O129-Components!$D$2))</f>
        <v/>
      </c>
      <c r="Q129" s="100">
        <f>IF(G129="","",ABS(O129-Components!$D$3))</f>
        <v/>
      </c>
      <c r="R129" s="100">
        <f>IF(G129="","",ABS(O129-Components!$D$4))</f>
        <v/>
      </c>
      <c r="S129" s="100">
        <f>IF(G129="","",ABS(O129-Components!$D$5))</f>
        <v/>
      </c>
      <c r="T129" s="100">
        <f>IF(G129="","",ABS(O129-Components!$D$6))</f>
        <v/>
      </c>
      <c r="U129" s="100">
        <f>IF(G129="","",ABS(O129-Components!$D$7))</f>
        <v/>
      </c>
      <c r="V129" s="98">
        <f>IF(G129="","",IF(M129="OK","NONE",INDEX({"S1","S2","W1","W2","N1","N2"},MATCH(MIN(P129:U129),P129:U129,0))))</f>
        <v/>
      </c>
      <c r="W129" s="103">
        <f>IF(G129="","",IF(V129=E129,1,0))</f>
        <v/>
      </c>
    </row>
    <row r="130">
      <c r="A130" s="102">
        <f>'Runs Z score'!A118</f>
        <v/>
      </c>
      <c r="B130" s="98">
        <f>'Runs Z score'!B118</f>
        <v/>
      </c>
      <c r="C130" s="98">
        <f>'Runs Z score'!C118</f>
        <v/>
      </c>
      <c r="D130" s="98">
        <f>'Runs Z score'!D118</f>
        <v/>
      </c>
      <c r="E130" s="98">
        <f>'Runs Z score'!E118</f>
        <v/>
      </c>
      <c r="F130" s="98">
        <f>'Runs Z score'!F118</f>
        <v/>
      </c>
      <c r="G130" s="99">
        <f>'Runs Z score'!G118</f>
        <v/>
      </c>
      <c r="H130" s="100">
        <f>VLOOKUP(C130,Recipes!$A$2:$N$4,10,FALSE())</f>
        <v/>
      </c>
      <c r="I130" s="101">
        <f>VLOOKUP(C130,Recipes!$A$2:$N$4,12,FALSE())</f>
        <v/>
      </c>
      <c r="J130" s="101">
        <f>IF(G130="","",((G130-H130)/I130)^2)</f>
        <v/>
      </c>
      <c r="K130" s="101">
        <f>IF(G130="","",MAX(0, J130-$B$12))</f>
        <v/>
      </c>
      <c r="L130" s="100">
        <f>IF(G130="","",SQRT(K130))</f>
        <v/>
      </c>
      <c r="M130" s="98">
        <f>IF(G130="","",IF(K130&lt;=$B$10,"OK","NG"))</f>
        <v/>
      </c>
      <c r="N130" s="69">
        <f>IF(M130="","",IF(M130=D130,1,0))</f>
        <v/>
      </c>
      <c r="O130" s="100">
        <f>IF(G130="","",H130-G130)</f>
        <v/>
      </c>
      <c r="P130" s="100">
        <f>IF(G130="","",ABS(O130-Components!$D$2))</f>
        <v/>
      </c>
      <c r="Q130" s="100">
        <f>IF(G130="","",ABS(O130-Components!$D$3))</f>
        <v/>
      </c>
      <c r="R130" s="100">
        <f>IF(G130="","",ABS(O130-Components!$D$4))</f>
        <v/>
      </c>
      <c r="S130" s="100">
        <f>IF(G130="","",ABS(O130-Components!$D$5))</f>
        <v/>
      </c>
      <c r="T130" s="100">
        <f>IF(G130="","",ABS(O130-Components!$D$6))</f>
        <v/>
      </c>
      <c r="U130" s="100">
        <f>IF(G130="","",ABS(O130-Components!$D$7))</f>
        <v/>
      </c>
      <c r="V130" s="98">
        <f>IF(G130="","",IF(M130="OK","NONE",INDEX({"S1","S2","W1","W2","N1","N2"},MATCH(MIN(P130:U130),P130:U130,0))))</f>
        <v/>
      </c>
      <c r="W130" s="103">
        <f>IF(G130="","",IF(V130=E130,1,0))</f>
        <v/>
      </c>
    </row>
    <row r="131">
      <c r="A131" s="102">
        <f>'Runs Z score'!A119</f>
        <v/>
      </c>
      <c r="B131" s="98">
        <f>'Runs Z score'!B119</f>
        <v/>
      </c>
      <c r="C131" s="98">
        <f>'Runs Z score'!C119</f>
        <v/>
      </c>
      <c r="D131" s="98">
        <f>'Runs Z score'!D119</f>
        <v/>
      </c>
      <c r="E131" s="98">
        <f>'Runs Z score'!E119</f>
        <v/>
      </c>
      <c r="F131" s="98">
        <f>'Runs Z score'!F119</f>
        <v/>
      </c>
      <c r="G131" s="99">
        <f>'Runs Z score'!G119</f>
        <v/>
      </c>
      <c r="H131" s="100">
        <f>VLOOKUP(C131,Recipes!$A$2:$N$4,10,FALSE())</f>
        <v/>
      </c>
      <c r="I131" s="101">
        <f>VLOOKUP(C131,Recipes!$A$2:$N$4,12,FALSE())</f>
        <v/>
      </c>
      <c r="J131" s="101">
        <f>IF(G131="","",((G131-H131)/I131)^2)</f>
        <v/>
      </c>
      <c r="K131" s="101">
        <f>IF(G131="","",MAX(0, J131-$B$12))</f>
        <v/>
      </c>
      <c r="L131" s="100">
        <f>IF(G131="","",SQRT(K131))</f>
        <v/>
      </c>
      <c r="M131" s="98">
        <f>IF(G131="","",IF(K131&lt;=$B$10,"OK","NG"))</f>
        <v/>
      </c>
      <c r="N131" s="69">
        <f>IF(M131="","",IF(M131=D131,1,0))</f>
        <v/>
      </c>
      <c r="O131" s="100">
        <f>IF(G131="","",H131-G131)</f>
        <v/>
      </c>
      <c r="P131" s="100">
        <f>IF(G131="","",ABS(O131-Components!$D$2))</f>
        <v/>
      </c>
      <c r="Q131" s="100">
        <f>IF(G131="","",ABS(O131-Components!$D$3))</f>
        <v/>
      </c>
      <c r="R131" s="100">
        <f>IF(G131="","",ABS(O131-Components!$D$4))</f>
        <v/>
      </c>
      <c r="S131" s="100">
        <f>IF(G131="","",ABS(O131-Components!$D$5))</f>
        <v/>
      </c>
      <c r="T131" s="100">
        <f>IF(G131="","",ABS(O131-Components!$D$6))</f>
        <v/>
      </c>
      <c r="U131" s="100">
        <f>IF(G131="","",ABS(O131-Components!$D$7))</f>
        <v/>
      </c>
      <c r="V131" s="98">
        <f>IF(G131="","",IF(M131="OK","NONE",INDEX({"S1","S2","W1","W2","N1","N2"},MATCH(MIN(P131:U131),P131:U131,0))))</f>
        <v/>
      </c>
      <c r="W131" s="103">
        <f>IF(G131="","",IF(V131=E131,1,0))</f>
        <v/>
      </c>
    </row>
    <row r="132">
      <c r="A132" s="102">
        <f>'Runs Z score'!A120</f>
        <v/>
      </c>
      <c r="B132" s="98">
        <f>'Runs Z score'!B120</f>
        <v/>
      </c>
      <c r="C132" s="98">
        <f>'Runs Z score'!C120</f>
        <v/>
      </c>
      <c r="D132" s="98">
        <f>'Runs Z score'!D120</f>
        <v/>
      </c>
      <c r="E132" s="98">
        <f>'Runs Z score'!E120</f>
        <v/>
      </c>
      <c r="F132" s="98">
        <f>'Runs Z score'!F120</f>
        <v/>
      </c>
      <c r="G132" s="99">
        <f>'Runs Z score'!G120</f>
        <v/>
      </c>
      <c r="H132" s="100">
        <f>VLOOKUP(C132,Recipes!$A$2:$N$4,10,FALSE())</f>
        <v/>
      </c>
      <c r="I132" s="101">
        <f>VLOOKUP(C132,Recipes!$A$2:$N$4,12,FALSE())</f>
        <v/>
      </c>
      <c r="J132" s="101">
        <f>IF(G132="","",((G132-H132)/I132)^2)</f>
        <v/>
      </c>
      <c r="K132" s="101">
        <f>IF(G132="","",MAX(0, J132-$B$12))</f>
        <v/>
      </c>
      <c r="L132" s="100">
        <f>IF(G132="","",SQRT(K132))</f>
        <v/>
      </c>
      <c r="M132" s="98">
        <f>IF(G132="","",IF(K132&lt;=$B$10,"OK","NG"))</f>
        <v/>
      </c>
      <c r="N132" s="69">
        <f>IF(M132="","",IF(M132=D132,1,0))</f>
        <v/>
      </c>
      <c r="O132" s="100">
        <f>IF(G132="","",H132-G132)</f>
        <v/>
      </c>
      <c r="P132" s="100">
        <f>IF(G132="","",ABS(O132-Components!$D$2))</f>
        <v/>
      </c>
      <c r="Q132" s="100">
        <f>IF(G132="","",ABS(O132-Components!$D$3))</f>
        <v/>
      </c>
      <c r="R132" s="100">
        <f>IF(G132="","",ABS(O132-Components!$D$4))</f>
        <v/>
      </c>
      <c r="S132" s="100">
        <f>IF(G132="","",ABS(O132-Components!$D$5))</f>
        <v/>
      </c>
      <c r="T132" s="100">
        <f>IF(G132="","",ABS(O132-Components!$D$6))</f>
        <v/>
      </c>
      <c r="U132" s="100">
        <f>IF(G132="","",ABS(O132-Components!$D$7))</f>
        <v/>
      </c>
      <c r="V132" s="98">
        <f>IF(G132="","",IF(M132="OK","NONE",INDEX({"S1","S2","W1","W2","N1","N2"},MATCH(MIN(P132:U132),P132:U132,0))))</f>
        <v/>
      </c>
      <c r="W132" s="103">
        <f>IF(G132="","",IF(V132=E132,1,0))</f>
        <v/>
      </c>
    </row>
    <row r="133">
      <c r="A133" s="102">
        <f>'Runs Z score'!A121</f>
        <v/>
      </c>
      <c r="B133" s="98">
        <f>'Runs Z score'!B121</f>
        <v/>
      </c>
      <c r="C133" s="98">
        <f>'Runs Z score'!C121</f>
        <v/>
      </c>
      <c r="D133" s="98">
        <f>'Runs Z score'!D121</f>
        <v/>
      </c>
      <c r="E133" s="98">
        <f>'Runs Z score'!E121</f>
        <v/>
      </c>
      <c r="F133" s="98">
        <f>'Runs Z score'!F121</f>
        <v/>
      </c>
      <c r="G133" s="99">
        <f>'Runs Z score'!G121</f>
        <v/>
      </c>
      <c r="H133" s="100">
        <f>VLOOKUP(C133,Recipes!$A$2:$N$4,10,FALSE())</f>
        <v/>
      </c>
      <c r="I133" s="101">
        <f>VLOOKUP(C133,Recipes!$A$2:$N$4,12,FALSE())</f>
        <v/>
      </c>
      <c r="J133" s="101">
        <f>IF(G133="","",((G133-H133)/I133)^2)</f>
        <v/>
      </c>
      <c r="K133" s="101">
        <f>IF(G133="","",MAX(0, J133-$B$12))</f>
        <v/>
      </c>
      <c r="L133" s="100">
        <f>IF(G133="","",SQRT(K133))</f>
        <v/>
      </c>
      <c r="M133" s="98">
        <f>IF(G133="","",IF(K133&lt;=$B$10,"OK","NG"))</f>
        <v/>
      </c>
      <c r="N133" s="69">
        <f>IF(M133="","",IF(M133=D133,1,0))</f>
        <v/>
      </c>
      <c r="O133" s="100">
        <f>IF(G133="","",H133-G133)</f>
        <v/>
      </c>
      <c r="P133" s="100">
        <f>IF(G133="","",ABS(O133-Components!$D$2))</f>
        <v/>
      </c>
      <c r="Q133" s="100">
        <f>IF(G133="","",ABS(O133-Components!$D$3))</f>
        <v/>
      </c>
      <c r="R133" s="100">
        <f>IF(G133="","",ABS(O133-Components!$D$4))</f>
        <v/>
      </c>
      <c r="S133" s="100">
        <f>IF(G133="","",ABS(O133-Components!$D$5))</f>
        <v/>
      </c>
      <c r="T133" s="100">
        <f>IF(G133="","",ABS(O133-Components!$D$6))</f>
        <v/>
      </c>
      <c r="U133" s="100">
        <f>IF(G133="","",ABS(O133-Components!$D$7))</f>
        <v/>
      </c>
      <c r="V133" s="98">
        <f>IF(G133="","",IF(M133="OK","NONE",INDEX({"S1","S2","W1","W2","N1","N2"},MATCH(MIN(P133:U133),P133:U133,0))))</f>
        <v/>
      </c>
      <c r="W133" s="103">
        <f>IF(G133="","",IF(V133=E133,1,0))</f>
        <v/>
      </c>
    </row>
    <row r="134">
      <c r="A134" s="102">
        <f>'Runs Z score'!A122</f>
        <v/>
      </c>
      <c r="B134" s="98">
        <f>'Runs Z score'!B122</f>
        <v/>
      </c>
      <c r="C134" s="98">
        <f>'Runs Z score'!C122</f>
        <v/>
      </c>
      <c r="D134" s="98">
        <f>'Runs Z score'!D122</f>
        <v/>
      </c>
      <c r="E134" s="98">
        <f>'Runs Z score'!E122</f>
        <v/>
      </c>
      <c r="F134" s="98">
        <f>'Runs Z score'!F122</f>
        <v/>
      </c>
      <c r="G134" s="99">
        <f>'Runs Z score'!G122</f>
        <v/>
      </c>
      <c r="H134" s="100">
        <f>VLOOKUP(C134,Recipes!$A$2:$N$4,10,FALSE())</f>
        <v/>
      </c>
      <c r="I134" s="101">
        <f>VLOOKUP(C134,Recipes!$A$2:$N$4,12,FALSE())</f>
        <v/>
      </c>
      <c r="J134" s="101">
        <f>IF(G134="","",((G134-H134)/I134)^2)</f>
        <v/>
      </c>
      <c r="K134" s="101">
        <f>IF(G134="","",MAX(0, J134-$B$12))</f>
        <v/>
      </c>
      <c r="L134" s="100">
        <f>IF(G134="","",SQRT(K134))</f>
        <v/>
      </c>
      <c r="M134" s="98">
        <f>IF(G134="","",IF(K134&lt;=$B$10,"OK","NG"))</f>
        <v/>
      </c>
      <c r="N134" s="69">
        <f>IF(M134="","",IF(M134=D134,1,0))</f>
        <v/>
      </c>
      <c r="O134" s="100">
        <f>IF(G134="","",H134-G134)</f>
        <v/>
      </c>
      <c r="P134" s="100">
        <f>IF(G134="","",ABS(O134-Components!$D$2))</f>
        <v/>
      </c>
      <c r="Q134" s="100">
        <f>IF(G134="","",ABS(O134-Components!$D$3))</f>
        <v/>
      </c>
      <c r="R134" s="100">
        <f>IF(G134="","",ABS(O134-Components!$D$4))</f>
        <v/>
      </c>
      <c r="S134" s="100">
        <f>IF(G134="","",ABS(O134-Components!$D$5))</f>
        <v/>
      </c>
      <c r="T134" s="100">
        <f>IF(G134="","",ABS(O134-Components!$D$6))</f>
        <v/>
      </c>
      <c r="U134" s="100">
        <f>IF(G134="","",ABS(O134-Components!$D$7))</f>
        <v/>
      </c>
      <c r="V134" s="98">
        <f>IF(G134="","",IF(M134="OK","NONE",INDEX({"S1","S2","W1","W2","N1","N2"},MATCH(MIN(P134:U134),P134:U134,0))))</f>
        <v/>
      </c>
      <c r="W134" s="103">
        <f>IF(G134="","",IF(V134=E134,1,0))</f>
        <v/>
      </c>
    </row>
    <row r="135">
      <c r="A135" s="102">
        <f>'Runs Z score'!A123</f>
        <v/>
      </c>
      <c r="B135" s="98">
        <f>'Runs Z score'!B123</f>
        <v/>
      </c>
      <c r="C135" s="98">
        <f>'Runs Z score'!C123</f>
        <v/>
      </c>
      <c r="D135" s="98">
        <f>'Runs Z score'!D123</f>
        <v/>
      </c>
      <c r="E135" s="98">
        <f>'Runs Z score'!E123</f>
        <v/>
      </c>
      <c r="F135" s="98">
        <f>'Runs Z score'!F123</f>
        <v/>
      </c>
      <c r="G135" s="99">
        <f>'Runs Z score'!G123</f>
        <v/>
      </c>
      <c r="H135" s="100">
        <f>VLOOKUP(C135,Recipes!$A$2:$N$4,10,FALSE())</f>
        <v/>
      </c>
      <c r="I135" s="101">
        <f>VLOOKUP(C135,Recipes!$A$2:$N$4,12,FALSE())</f>
        <v/>
      </c>
      <c r="J135" s="101">
        <f>IF(G135="","",((G135-H135)/I135)^2)</f>
        <v/>
      </c>
      <c r="K135" s="101">
        <f>IF(G135="","",MAX(0, J135-$B$12))</f>
        <v/>
      </c>
      <c r="L135" s="100">
        <f>IF(G135="","",SQRT(K135))</f>
        <v/>
      </c>
      <c r="M135" s="98">
        <f>IF(G135="","",IF(K135&lt;=$B$10,"OK","NG"))</f>
        <v/>
      </c>
      <c r="N135" s="69">
        <f>IF(M135="","",IF(M135=D135,1,0))</f>
        <v/>
      </c>
      <c r="O135" s="100">
        <f>IF(G135="","",H135-G135)</f>
        <v/>
      </c>
      <c r="P135" s="100">
        <f>IF(G135="","",ABS(O135-Components!$D$2))</f>
        <v/>
      </c>
      <c r="Q135" s="100">
        <f>IF(G135="","",ABS(O135-Components!$D$3))</f>
        <v/>
      </c>
      <c r="R135" s="100">
        <f>IF(G135="","",ABS(O135-Components!$D$4))</f>
        <v/>
      </c>
      <c r="S135" s="100">
        <f>IF(G135="","",ABS(O135-Components!$D$5))</f>
        <v/>
      </c>
      <c r="T135" s="100">
        <f>IF(G135="","",ABS(O135-Components!$D$6))</f>
        <v/>
      </c>
      <c r="U135" s="100">
        <f>IF(G135="","",ABS(O135-Components!$D$7))</f>
        <v/>
      </c>
      <c r="V135" s="98">
        <f>IF(G135="","",IF(M135="OK","NONE",INDEX({"S1","S2","W1","W2","N1","N2"},MATCH(MIN(P135:U135),P135:U135,0))))</f>
        <v/>
      </c>
      <c r="W135" s="103">
        <f>IF(G135="","",IF(V135=E135,1,0))</f>
        <v/>
      </c>
    </row>
    <row r="136">
      <c r="A136" s="102">
        <f>'Runs Z score'!A124</f>
        <v/>
      </c>
      <c r="B136" s="98">
        <f>'Runs Z score'!B124</f>
        <v/>
      </c>
      <c r="C136" s="98">
        <f>'Runs Z score'!C124</f>
        <v/>
      </c>
      <c r="D136" s="98">
        <f>'Runs Z score'!D124</f>
        <v/>
      </c>
      <c r="E136" s="98">
        <f>'Runs Z score'!E124</f>
        <v/>
      </c>
      <c r="F136" s="98">
        <f>'Runs Z score'!F124</f>
        <v/>
      </c>
      <c r="G136" s="99">
        <f>'Runs Z score'!G124</f>
        <v/>
      </c>
      <c r="H136" s="100">
        <f>VLOOKUP(C136,Recipes!$A$2:$N$4,10,FALSE())</f>
        <v/>
      </c>
      <c r="I136" s="101">
        <f>VLOOKUP(C136,Recipes!$A$2:$N$4,12,FALSE())</f>
        <v/>
      </c>
      <c r="J136" s="101">
        <f>IF(G136="","",((G136-H136)/I136)^2)</f>
        <v/>
      </c>
      <c r="K136" s="101">
        <f>IF(G136="","",MAX(0, J136-$B$12))</f>
        <v/>
      </c>
      <c r="L136" s="100">
        <f>IF(G136="","",SQRT(K136))</f>
        <v/>
      </c>
      <c r="M136" s="98">
        <f>IF(G136="","",IF(K136&lt;=$B$10,"OK","NG"))</f>
        <v/>
      </c>
      <c r="N136" s="69">
        <f>IF(M136="","",IF(M136=D136,1,0))</f>
        <v/>
      </c>
      <c r="O136" s="100">
        <f>IF(G136="","",H136-G136)</f>
        <v/>
      </c>
      <c r="P136" s="100">
        <f>IF(G136="","",ABS(O136-Components!$D$2))</f>
        <v/>
      </c>
      <c r="Q136" s="100">
        <f>IF(G136="","",ABS(O136-Components!$D$3))</f>
        <v/>
      </c>
      <c r="R136" s="100">
        <f>IF(G136="","",ABS(O136-Components!$D$4))</f>
        <v/>
      </c>
      <c r="S136" s="100">
        <f>IF(G136="","",ABS(O136-Components!$D$5))</f>
        <v/>
      </c>
      <c r="T136" s="100">
        <f>IF(G136="","",ABS(O136-Components!$D$6))</f>
        <v/>
      </c>
      <c r="U136" s="100">
        <f>IF(G136="","",ABS(O136-Components!$D$7))</f>
        <v/>
      </c>
      <c r="V136" s="98">
        <f>IF(G136="","",IF(M136="OK","NONE",INDEX({"S1","S2","W1","W2","N1","N2"},MATCH(MIN(P136:U136),P136:U136,0))))</f>
        <v/>
      </c>
      <c r="W136" s="103">
        <f>IF(G136="","",IF(V136=E136,1,0))</f>
        <v/>
      </c>
    </row>
    <row r="137">
      <c r="A137" s="102">
        <f>'Runs Z score'!A125</f>
        <v/>
      </c>
      <c r="B137" s="98">
        <f>'Runs Z score'!B125</f>
        <v/>
      </c>
      <c r="C137" s="98">
        <f>'Runs Z score'!C125</f>
        <v/>
      </c>
      <c r="D137" s="98">
        <f>'Runs Z score'!D125</f>
        <v/>
      </c>
      <c r="E137" s="98">
        <f>'Runs Z score'!E125</f>
        <v/>
      </c>
      <c r="F137" s="98">
        <f>'Runs Z score'!F125</f>
        <v/>
      </c>
      <c r="G137" s="99">
        <f>'Runs Z score'!G125</f>
        <v/>
      </c>
      <c r="H137" s="100">
        <f>VLOOKUP(C137,Recipes!$A$2:$N$4,10,FALSE())</f>
        <v/>
      </c>
      <c r="I137" s="101">
        <f>VLOOKUP(C137,Recipes!$A$2:$N$4,12,FALSE())</f>
        <v/>
      </c>
      <c r="J137" s="101">
        <f>IF(G137="","",((G137-H137)/I137)^2)</f>
        <v/>
      </c>
      <c r="K137" s="101">
        <f>IF(G137="","",MAX(0, J137-$B$12))</f>
        <v/>
      </c>
      <c r="L137" s="100">
        <f>IF(G137="","",SQRT(K137))</f>
        <v/>
      </c>
      <c r="M137" s="98">
        <f>IF(G137="","",IF(K137&lt;=$B$10,"OK","NG"))</f>
        <v/>
      </c>
      <c r="N137" s="69">
        <f>IF(M137="","",IF(M137=D137,1,0))</f>
        <v/>
      </c>
      <c r="O137" s="100">
        <f>IF(G137="","",H137-G137)</f>
        <v/>
      </c>
      <c r="P137" s="100">
        <f>IF(G137="","",ABS(O137-Components!$D$2))</f>
        <v/>
      </c>
      <c r="Q137" s="100">
        <f>IF(G137="","",ABS(O137-Components!$D$3))</f>
        <v/>
      </c>
      <c r="R137" s="100">
        <f>IF(G137="","",ABS(O137-Components!$D$4))</f>
        <v/>
      </c>
      <c r="S137" s="100">
        <f>IF(G137="","",ABS(O137-Components!$D$5))</f>
        <v/>
      </c>
      <c r="T137" s="100">
        <f>IF(G137="","",ABS(O137-Components!$D$6))</f>
        <v/>
      </c>
      <c r="U137" s="100">
        <f>IF(G137="","",ABS(O137-Components!$D$7))</f>
        <v/>
      </c>
      <c r="V137" s="98">
        <f>IF(G137="","",IF(M137="OK","NONE",INDEX({"S1","S2","W1","W2","N1","N2"},MATCH(MIN(P137:U137),P137:U137,0))))</f>
        <v/>
      </c>
      <c r="W137" s="103">
        <f>IF(G137="","",IF(V137=E137,1,0))</f>
        <v/>
      </c>
    </row>
    <row r="138">
      <c r="A138" s="102">
        <f>'Runs Z score'!A126</f>
        <v/>
      </c>
      <c r="B138" s="98">
        <f>'Runs Z score'!B126</f>
        <v/>
      </c>
      <c r="C138" s="98">
        <f>'Runs Z score'!C126</f>
        <v/>
      </c>
      <c r="D138" s="98">
        <f>'Runs Z score'!D126</f>
        <v/>
      </c>
      <c r="E138" s="98">
        <f>'Runs Z score'!E126</f>
        <v/>
      </c>
      <c r="F138" s="98">
        <f>'Runs Z score'!F126</f>
        <v/>
      </c>
      <c r="G138" s="99">
        <f>'Runs Z score'!G126</f>
        <v/>
      </c>
      <c r="H138" s="100">
        <f>VLOOKUP(C138,Recipes!$A$2:$N$4,10,FALSE())</f>
        <v/>
      </c>
      <c r="I138" s="101">
        <f>VLOOKUP(C138,Recipes!$A$2:$N$4,12,FALSE())</f>
        <v/>
      </c>
      <c r="J138" s="101">
        <f>IF(G138="","",((G138-H138)/I138)^2)</f>
        <v/>
      </c>
      <c r="K138" s="101">
        <f>IF(G138="","",MAX(0, J138-$B$12))</f>
        <v/>
      </c>
      <c r="L138" s="100">
        <f>IF(G138="","",SQRT(K138))</f>
        <v/>
      </c>
      <c r="M138" s="98">
        <f>IF(G138="","",IF(K138&lt;=$B$10,"OK","NG"))</f>
        <v/>
      </c>
      <c r="N138" s="69">
        <f>IF(M138="","",IF(M138=D138,1,0))</f>
        <v/>
      </c>
      <c r="O138" s="100">
        <f>IF(G138="","",H138-G138)</f>
        <v/>
      </c>
      <c r="P138" s="100">
        <f>IF(G138="","",ABS(O138-Components!$D$2))</f>
        <v/>
      </c>
      <c r="Q138" s="100">
        <f>IF(G138="","",ABS(O138-Components!$D$3))</f>
        <v/>
      </c>
      <c r="R138" s="100">
        <f>IF(G138="","",ABS(O138-Components!$D$4))</f>
        <v/>
      </c>
      <c r="S138" s="100">
        <f>IF(G138="","",ABS(O138-Components!$D$5))</f>
        <v/>
      </c>
      <c r="T138" s="100">
        <f>IF(G138="","",ABS(O138-Components!$D$6))</f>
        <v/>
      </c>
      <c r="U138" s="100">
        <f>IF(G138="","",ABS(O138-Components!$D$7))</f>
        <v/>
      </c>
      <c r="V138" s="98">
        <f>IF(G138="","",IF(M138="OK","NONE",INDEX({"S1","S2","W1","W2","N1","N2"},MATCH(MIN(P138:U138),P138:U138,0))))</f>
        <v/>
      </c>
      <c r="W138" s="103">
        <f>IF(G138="","",IF(V138=E138,1,0))</f>
        <v/>
      </c>
    </row>
    <row r="139">
      <c r="A139" s="102">
        <f>'Runs Z score'!A127</f>
        <v/>
      </c>
      <c r="B139" s="98">
        <f>'Runs Z score'!B127</f>
        <v/>
      </c>
      <c r="C139" s="98">
        <f>'Runs Z score'!C127</f>
        <v/>
      </c>
      <c r="D139" s="98">
        <f>'Runs Z score'!D127</f>
        <v/>
      </c>
      <c r="E139" s="98">
        <f>'Runs Z score'!E127</f>
        <v/>
      </c>
      <c r="F139" s="98">
        <f>'Runs Z score'!F127</f>
        <v/>
      </c>
      <c r="G139" s="99">
        <f>'Runs Z score'!G127</f>
        <v/>
      </c>
      <c r="H139" s="100">
        <f>VLOOKUP(C139,Recipes!$A$2:$N$4,10,FALSE())</f>
        <v/>
      </c>
      <c r="I139" s="101">
        <f>VLOOKUP(C139,Recipes!$A$2:$N$4,12,FALSE())</f>
        <v/>
      </c>
      <c r="J139" s="101">
        <f>IF(G139="","",((G139-H139)/I139)^2)</f>
        <v/>
      </c>
      <c r="K139" s="101">
        <f>IF(G139="","",MAX(0, J139-$B$12))</f>
        <v/>
      </c>
      <c r="L139" s="100">
        <f>IF(G139="","",SQRT(K139))</f>
        <v/>
      </c>
      <c r="M139" s="98">
        <f>IF(G139="","",IF(K139&lt;=$B$10,"OK","NG"))</f>
        <v/>
      </c>
      <c r="N139" s="69">
        <f>IF(M139="","",IF(M139=D139,1,0))</f>
        <v/>
      </c>
      <c r="O139" s="100">
        <f>IF(G139="","",H139-G139)</f>
        <v/>
      </c>
      <c r="P139" s="100">
        <f>IF(G139="","",ABS(O139-Components!$D$2))</f>
        <v/>
      </c>
      <c r="Q139" s="100">
        <f>IF(G139="","",ABS(O139-Components!$D$3))</f>
        <v/>
      </c>
      <c r="R139" s="100">
        <f>IF(G139="","",ABS(O139-Components!$D$4))</f>
        <v/>
      </c>
      <c r="S139" s="100">
        <f>IF(G139="","",ABS(O139-Components!$D$5))</f>
        <v/>
      </c>
      <c r="T139" s="100">
        <f>IF(G139="","",ABS(O139-Components!$D$6))</f>
        <v/>
      </c>
      <c r="U139" s="100">
        <f>IF(G139="","",ABS(O139-Components!$D$7))</f>
        <v/>
      </c>
      <c r="V139" s="98">
        <f>IF(G139="","",IF(M139="OK","NONE",INDEX({"S1","S2","W1","W2","N1","N2"},MATCH(MIN(P139:U139),P139:U139,0))))</f>
        <v/>
      </c>
      <c r="W139" s="103">
        <f>IF(G139="","",IF(V139=E139,1,0))</f>
        <v/>
      </c>
    </row>
    <row r="140">
      <c r="A140" s="102">
        <f>'Runs Z score'!A128</f>
        <v/>
      </c>
      <c r="B140" s="98">
        <f>'Runs Z score'!B128</f>
        <v/>
      </c>
      <c r="C140" s="98">
        <f>'Runs Z score'!C128</f>
        <v/>
      </c>
      <c r="D140" s="98">
        <f>'Runs Z score'!D128</f>
        <v/>
      </c>
      <c r="E140" s="98">
        <f>'Runs Z score'!E128</f>
        <v/>
      </c>
      <c r="F140" s="98">
        <f>'Runs Z score'!F128</f>
        <v/>
      </c>
      <c r="G140" s="99">
        <f>'Runs Z score'!G128</f>
        <v/>
      </c>
      <c r="H140" s="100">
        <f>VLOOKUP(C140,Recipes!$A$2:$N$4,10,FALSE())</f>
        <v/>
      </c>
      <c r="I140" s="101">
        <f>VLOOKUP(C140,Recipes!$A$2:$N$4,12,FALSE())</f>
        <v/>
      </c>
      <c r="J140" s="101">
        <f>IF(G140="","",((G140-H140)/I140)^2)</f>
        <v/>
      </c>
      <c r="K140" s="101">
        <f>IF(G140="","",MAX(0, J140-$B$12))</f>
        <v/>
      </c>
      <c r="L140" s="100">
        <f>IF(G140="","",SQRT(K140))</f>
        <v/>
      </c>
      <c r="M140" s="98">
        <f>IF(G140="","",IF(K140&lt;=$B$10,"OK","NG"))</f>
        <v/>
      </c>
      <c r="N140" s="69">
        <f>IF(M140="","",IF(M140=D140,1,0))</f>
        <v/>
      </c>
      <c r="O140" s="100">
        <f>IF(G140="","",H140-G140)</f>
        <v/>
      </c>
      <c r="P140" s="100">
        <f>IF(G140="","",ABS(O140-Components!$D$2))</f>
        <v/>
      </c>
      <c r="Q140" s="100">
        <f>IF(G140="","",ABS(O140-Components!$D$3))</f>
        <v/>
      </c>
      <c r="R140" s="100">
        <f>IF(G140="","",ABS(O140-Components!$D$4))</f>
        <v/>
      </c>
      <c r="S140" s="100">
        <f>IF(G140="","",ABS(O140-Components!$D$5))</f>
        <v/>
      </c>
      <c r="T140" s="100">
        <f>IF(G140="","",ABS(O140-Components!$D$6))</f>
        <v/>
      </c>
      <c r="U140" s="100">
        <f>IF(G140="","",ABS(O140-Components!$D$7))</f>
        <v/>
      </c>
      <c r="V140" s="98">
        <f>IF(G140="","",IF(M140="OK","NONE",INDEX({"S1","S2","W1","W2","N1","N2"},MATCH(MIN(P140:U140),P140:U140,0))))</f>
        <v/>
      </c>
      <c r="W140" s="103">
        <f>IF(G140="","",IF(V140=E140,1,0))</f>
        <v/>
      </c>
    </row>
    <row r="141">
      <c r="A141" s="102">
        <f>'Runs Z score'!A129</f>
        <v/>
      </c>
      <c r="B141" s="98">
        <f>'Runs Z score'!B129</f>
        <v/>
      </c>
      <c r="C141" s="98">
        <f>'Runs Z score'!C129</f>
        <v/>
      </c>
      <c r="D141" s="98">
        <f>'Runs Z score'!D129</f>
        <v/>
      </c>
      <c r="E141" s="98">
        <f>'Runs Z score'!E129</f>
        <v/>
      </c>
      <c r="F141" s="98">
        <f>'Runs Z score'!F129</f>
        <v/>
      </c>
      <c r="G141" s="99">
        <f>'Runs Z score'!G129</f>
        <v/>
      </c>
      <c r="H141" s="100">
        <f>VLOOKUP(C141,Recipes!$A$2:$N$4,10,FALSE())</f>
        <v/>
      </c>
      <c r="I141" s="101">
        <f>VLOOKUP(C141,Recipes!$A$2:$N$4,12,FALSE())</f>
        <v/>
      </c>
      <c r="J141" s="101">
        <f>IF(G141="","",((G141-H141)/I141)^2)</f>
        <v/>
      </c>
      <c r="K141" s="101">
        <f>IF(G141="","",MAX(0, J141-$B$12))</f>
        <v/>
      </c>
      <c r="L141" s="100">
        <f>IF(G141="","",SQRT(K141))</f>
        <v/>
      </c>
      <c r="M141" s="98">
        <f>IF(G141="","",IF(K141&lt;=$B$10,"OK","NG"))</f>
        <v/>
      </c>
      <c r="N141" s="69">
        <f>IF(M141="","",IF(M141=D141,1,0))</f>
        <v/>
      </c>
      <c r="O141" s="100">
        <f>IF(G141="","",H141-G141)</f>
        <v/>
      </c>
      <c r="P141" s="100">
        <f>IF(G141="","",ABS(O141-Components!$D$2))</f>
        <v/>
      </c>
      <c r="Q141" s="100">
        <f>IF(G141="","",ABS(O141-Components!$D$3))</f>
        <v/>
      </c>
      <c r="R141" s="100">
        <f>IF(G141="","",ABS(O141-Components!$D$4))</f>
        <v/>
      </c>
      <c r="S141" s="100">
        <f>IF(G141="","",ABS(O141-Components!$D$5))</f>
        <v/>
      </c>
      <c r="T141" s="100">
        <f>IF(G141="","",ABS(O141-Components!$D$6))</f>
        <v/>
      </c>
      <c r="U141" s="100">
        <f>IF(G141="","",ABS(O141-Components!$D$7))</f>
        <v/>
      </c>
      <c r="V141" s="98">
        <f>IF(G141="","",IF(M141="OK","NONE",INDEX({"S1","S2","W1","W2","N1","N2"},MATCH(MIN(P141:U141),P141:U141,0))))</f>
        <v/>
      </c>
      <c r="W141" s="103">
        <f>IF(G141="","",IF(V141=E141,1,0))</f>
        <v/>
      </c>
    </row>
    <row r="142">
      <c r="A142" s="102">
        <f>'Runs Z score'!A130</f>
        <v/>
      </c>
      <c r="B142" s="98">
        <f>'Runs Z score'!B130</f>
        <v/>
      </c>
      <c r="C142" s="98">
        <f>'Runs Z score'!C130</f>
        <v/>
      </c>
      <c r="D142" s="98">
        <f>'Runs Z score'!D130</f>
        <v/>
      </c>
      <c r="E142" s="98">
        <f>'Runs Z score'!E130</f>
        <v/>
      </c>
      <c r="F142" s="98">
        <f>'Runs Z score'!F130</f>
        <v/>
      </c>
      <c r="G142" s="99">
        <f>'Runs Z score'!G130</f>
        <v/>
      </c>
      <c r="H142" s="100">
        <f>VLOOKUP(C142,Recipes!$A$2:$N$4,10,FALSE())</f>
        <v/>
      </c>
      <c r="I142" s="101">
        <f>VLOOKUP(C142,Recipes!$A$2:$N$4,12,FALSE())</f>
        <v/>
      </c>
      <c r="J142" s="101">
        <f>IF(G142="","",((G142-H142)/I142)^2)</f>
        <v/>
      </c>
      <c r="K142" s="101">
        <f>IF(G142="","",MAX(0, J142-$B$12))</f>
        <v/>
      </c>
      <c r="L142" s="100">
        <f>IF(G142="","",SQRT(K142))</f>
        <v/>
      </c>
      <c r="M142" s="98">
        <f>IF(G142="","",IF(K142&lt;=$B$10,"OK","NG"))</f>
        <v/>
      </c>
      <c r="N142" s="69">
        <f>IF(M142="","",IF(M142=D142,1,0))</f>
        <v/>
      </c>
      <c r="O142" s="100">
        <f>IF(G142="","",H142-G142)</f>
        <v/>
      </c>
      <c r="P142" s="100">
        <f>IF(G142="","",ABS(O142-Components!$D$2))</f>
        <v/>
      </c>
      <c r="Q142" s="100">
        <f>IF(G142="","",ABS(O142-Components!$D$3))</f>
        <v/>
      </c>
      <c r="R142" s="100">
        <f>IF(G142="","",ABS(O142-Components!$D$4))</f>
        <v/>
      </c>
      <c r="S142" s="100">
        <f>IF(G142="","",ABS(O142-Components!$D$5))</f>
        <v/>
      </c>
      <c r="T142" s="100">
        <f>IF(G142="","",ABS(O142-Components!$D$6))</f>
        <v/>
      </c>
      <c r="U142" s="100">
        <f>IF(G142="","",ABS(O142-Components!$D$7))</f>
        <v/>
      </c>
      <c r="V142" s="98">
        <f>IF(G142="","",IF(M142="OK","NONE",INDEX({"S1","S2","W1","W2","N1","N2"},MATCH(MIN(P142:U142),P142:U142,0))))</f>
        <v/>
      </c>
      <c r="W142" s="103">
        <f>IF(G142="","",IF(V142=E142,1,0))</f>
        <v/>
      </c>
    </row>
    <row r="143">
      <c r="A143" s="102">
        <f>'Runs Z score'!A131</f>
        <v/>
      </c>
      <c r="B143" s="98">
        <f>'Runs Z score'!B131</f>
        <v/>
      </c>
      <c r="C143" s="98">
        <f>'Runs Z score'!C131</f>
        <v/>
      </c>
      <c r="D143" s="98">
        <f>'Runs Z score'!D131</f>
        <v/>
      </c>
      <c r="E143" s="98">
        <f>'Runs Z score'!E131</f>
        <v/>
      </c>
      <c r="F143" s="98">
        <f>'Runs Z score'!F131</f>
        <v/>
      </c>
      <c r="G143" s="99">
        <f>'Runs Z score'!G131</f>
        <v/>
      </c>
      <c r="H143" s="100">
        <f>VLOOKUP(C143,Recipes!$A$2:$N$4,10,FALSE())</f>
        <v/>
      </c>
      <c r="I143" s="101">
        <f>VLOOKUP(C143,Recipes!$A$2:$N$4,12,FALSE())</f>
        <v/>
      </c>
      <c r="J143" s="101">
        <f>IF(G143="","",((G143-H143)/I143)^2)</f>
        <v/>
      </c>
      <c r="K143" s="101">
        <f>IF(G143="","",MAX(0, J143-$B$12))</f>
        <v/>
      </c>
      <c r="L143" s="100">
        <f>IF(G143="","",SQRT(K143))</f>
        <v/>
      </c>
      <c r="M143" s="98">
        <f>IF(G143="","",IF(K143&lt;=$B$10,"OK","NG"))</f>
        <v/>
      </c>
      <c r="N143" s="69">
        <f>IF(M143="","",IF(M143=D143,1,0))</f>
        <v/>
      </c>
      <c r="O143" s="100">
        <f>IF(G143="","",H143-G143)</f>
        <v/>
      </c>
      <c r="P143" s="100">
        <f>IF(G143="","",ABS(O143-Components!$D$2))</f>
        <v/>
      </c>
      <c r="Q143" s="100">
        <f>IF(G143="","",ABS(O143-Components!$D$3))</f>
        <v/>
      </c>
      <c r="R143" s="100">
        <f>IF(G143="","",ABS(O143-Components!$D$4))</f>
        <v/>
      </c>
      <c r="S143" s="100">
        <f>IF(G143="","",ABS(O143-Components!$D$5))</f>
        <v/>
      </c>
      <c r="T143" s="100">
        <f>IF(G143="","",ABS(O143-Components!$D$6))</f>
        <v/>
      </c>
      <c r="U143" s="100">
        <f>IF(G143="","",ABS(O143-Components!$D$7))</f>
        <v/>
      </c>
      <c r="V143" s="98">
        <f>IF(G143="","",IF(M143="OK","NONE",INDEX({"S1","S2","W1","W2","N1","N2"},MATCH(MIN(P143:U143),P143:U143,0))))</f>
        <v/>
      </c>
      <c r="W143" s="103">
        <f>IF(G143="","",IF(V143=E143,1,0))</f>
        <v/>
      </c>
    </row>
    <row r="144">
      <c r="A144" s="102">
        <f>'Runs Z score'!A132</f>
        <v/>
      </c>
      <c r="B144" s="98">
        <f>'Runs Z score'!B132</f>
        <v/>
      </c>
      <c r="C144" s="98">
        <f>'Runs Z score'!C132</f>
        <v/>
      </c>
      <c r="D144" s="98">
        <f>'Runs Z score'!D132</f>
        <v/>
      </c>
      <c r="E144" s="98">
        <f>'Runs Z score'!E132</f>
        <v/>
      </c>
      <c r="F144" s="98">
        <f>'Runs Z score'!F132</f>
        <v/>
      </c>
      <c r="G144" s="99">
        <f>'Runs Z score'!G132</f>
        <v/>
      </c>
      <c r="H144" s="100">
        <f>VLOOKUP(C144,Recipes!$A$2:$N$4,10,FALSE())</f>
        <v/>
      </c>
      <c r="I144" s="101">
        <f>VLOOKUP(C144,Recipes!$A$2:$N$4,12,FALSE())</f>
        <v/>
      </c>
      <c r="J144" s="101">
        <f>IF(G144="","",((G144-H144)/I144)^2)</f>
        <v/>
      </c>
      <c r="K144" s="101">
        <f>IF(G144="","",MAX(0, J144-$B$12))</f>
        <v/>
      </c>
      <c r="L144" s="100">
        <f>IF(G144="","",SQRT(K144))</f>
        <v/>
      </c>
      <c r="M144" s="98">
        <f>IF(G144="","",IF(K144&lt;=$B$10,"OK","NG"))</f>
        <v/>
      </c>
      <c r="N144" s="69">
        <f>IF(M144="","",IF(M144=D144,1,0))</f>
        <v/>
      </c>
      <c r="O144" s="100">
        <f>IF(G144="","",H144-G144)</f>
        <v/>
      </c>
      <c r="P144" s="100">
        <f>IF(G144="","",ABS(O144-Components!$D$2))</f>
        <v/>
      </c>
      <c r="Q144" s="100">
        <f>IF(G144="","",ABS(O144-Components!$D$3))</f>
        <v/>
      </c>
      <c r="R144" s="100">
        <f>IF(G144="","",ABS(O144-Components!$D$4))</f>
        <v/>
      </c>
      <c r="S144" s="100">
        <f>IF(G144="","",ABS(O144-Components!$D$5))</f>
        <v/>
      </c>
      <c r="T144" s="100">
        <f>IF(G144="","",ABS(O144-Components!$D$6))</f>
        <v/>
      </c>
      <c r="U144" s="100">
        <f>IF(G144="","",ABS(O144-Components!$D$7))</f>
        <v/>
      </c>
      <c r="V144" s="98">
        <f>IF(G144="","",IF(M144="OK","NONE",INDEX({"S1","S2","W1","W2","N1","N2"},MATCH(MIN(P144:U144),P144:U144,0))))</f>
        <v/>
      </c>
      <c r="W144" s="103">
        <f>IF(G144="","",IF(V144=E144,1,0))</f>
        <v/>
      </c>
    </row>
    <row r="145">
      <c r="A145" s="102">
        <f>'Runs Z score'!A133</f>
        <v/>
      </c>
      <c r="B145" s="98">
        <f>'Runs Z score'!B133</f>
        <v/>
      </c>
      <c r="C145" s="98">
        <f>'Runs Z score'!C133</f>
        <v/>
      </c>
      <c r="D145" s="98">
        <f>'Runs Z score'!D133</f>
        <v/>
      </c>
      <c r="E145" s="98">
        <f>'Runs Z score'!E133</f>
        <v/>
      </c>
      <c r="F145" s="98">
        <f>'Runs Z score'!F133</f>
        <v/>
      </c>
      <c r="G145" s="99">
        <f>'Runs Z score'!G133</f>
        <v/>
      </c>
      <c r="H145" s="100">
        <f>VLOOKUP(C145,Recipes!$A$2:$N$4,10,FALSE())</f>
        <v/>
      </c>
      <c r="I145" s="101">
        <f>VLOOKUP(C145,Recipes!$A$2:$N$4,12,FALSE())</f>
        <v/>
      </c>
      <c r="J145" s="101">
        <f>IF(G145="","",((G145-H145)/I145)^2)</f>
        <v/>
      </c>
      <c r="K145" s="101">
        <f>IF(G145="","",MAX(0, J145-$B$12))</f>
        <v/>
      </c>
      <c r="L145" s="100">
        <f>IF(G145="","",SQRT(K145))</f>
        <v/>
      </c>
      <c r="M145" s="98">
        <f>IF(G145="","",IF(K145&lt;=$B$10,"OK","NG"))</f>
        <v/>
      </c>
      <c r="N145" s="69">
        <f>IF(M145="","",IF(M145=D145,1,0))</f>
        <v/>
      </c>
      <c r="O145" s="100">
        <f>IF(G145="","",H145-G145)</f>
        <v/>
      </c>
      <c r="P145" s="100">
        <f>IF(G145="","",ABS(O145-Components!$D$2))</f>
        <v/>
      </c>
      <c r="Q145" s="100">
        <f>IF(G145="","",ABS(O145-Components!$D$3))</f>
        <v/>
      </c>
      <c r="R145" s="100">
        <f>IF(G145="","",ABS(O145-Components!$D$4))</f>
        <v/>
      </c>
      <c r="S145" s="100">
        <f>IF(G145="","",ABS(O145-Components!$D$5))</f>
        <v/>
      </c>
      <c r="T145" s="100">
        <f>IF(G145="","",ABS(O145-Components!$D$6))</f>
        <v/>
      </c>
      <c r="U145" s="100">
        <f>IF(G145="","",ABS(O145-Components!$D$7))</f>
        <v/>
      </c>
      <c r="V145" s="98">
        <f>IF(G145="","",IF(M145="OK","NONE",INDEX({"S1","S2","W1","W2","N1","N2"},MATCH(MIN(P145:U145),P145:U145,0))))</f>
        <v/>
      </c>
      <c r="W145" s="103">
        <f>IF(G145="","",IF(V145=E145,1,0))</f>
        <v/>
      </c>
    </row>
    <row r="146">
      <c r="A146" s="102">
        <f>'Runs Z score'!A134</f>
        <v/>
      </c>
      <c r="B146" s="98">
        <f>'Runs Z score'!B134</f>
        <v/>
      </c>
      <c r="C146" s="98">
        <f>'Runs Z score'!C134</f>
        <v/>
      </c>
      <c r="D146" s="98">
        <f>'Runs Z score'!D134</f>
        <v/>
      </c>
      <c r="E146" s="98">
        <f>'Runs Z score'!E134</f>
        <v/>
      </c>
      <c r="F146" s="98">
        <f>'Runs Z score'!F134</f>
        <v/>
      </c>
      <c r="G146" s="99">
        <f>'Runs Z score'!G134</f>
        <v/>
      </c>
      <c r="H146" s="100">
        <f>VLOOKUP(C146,Recipes!$A$2:$N$4,10,FALSE())</f>
        <v/>
      </c>
      <c r="I146" s="101">
        <f>VLOOKUP(C146,Recipes!$A$2:$N$4,12,FALSE())</f>
        <v/>
      </c>
      <c r="J146" s="101">
        <f>IF(G146="","",((G146-H146)/I146)^2)</f>
        <v/>
      </c>
      <c r="K146" s="101">
        <f>IF(G146="","",MAX(0, J146-$B$12))</f>
        <v/>
      </c>
      <c r="L146" s="100">
        <f>IF(G146="","",SQRT(K146))</f>
        <v/>
      </c>
      <c r="M146" s="98">
        <f>IF(G146="","",IF(K146&lt;=$B$10,"OK","NG"))</f>
        <v/>
      </c>
      <c r="N146" s="69">
        <f>IF(M146="","",IF(M146=D146,1,0))</f>
        <v/>
      </c>
      <c r="O146" s="100">
        <f>IF(G146="","",H146-G146)</f>
        <v/>
      </c>
      <c r="P146" s="100">
        <f>IF(G146="","",ABS(O146-Components!$D$2))</f>
        <v/>
      </c>
      <c r="Q146" s="100">
        <f>IF(G146="","",ABS(O146-Components!$D$3))</f>
        <v/>
      </c>
      <c r="R146" s="100">
        <f>IF(G146="","",ABS(O146-Components!$D$4))</f>
        <v/>
      </c>
      <c r="S146" s="100">
        <f>IF(G146="","",ABS(O146-Components!$D$5))</f>
        <v/>
      </c>
      <c r="T146" s="100">
        <f>IF(G146="","",ABS(O146-Components!$D$6))</f>
        <v/>
      </c>
      <c r="U146" s="100">
        <f>IF(G146="","",ABS(O146-Components!$D$7))</f>
        <v/>
      </c>
      <c r="V146" s="98">
        <f>IF(G146="","",IF(M146="OK","NONE",INDEX({"S1","S2","W1","W2","N1","N2"},MATCH(MIN(P146:U146),P146:U146,0))))</f>
        <v/>
      </c>
      <c r="W146" s="103">
        <f>IF(G146="","",IF(V146=E146,1,0))</f>
        <v/>
      </c>
    </row>
    <row r="147">
      <c r="A147" s="102">
        <f>'Runs Z score'!A135</f>
        <v/>
      </c>
      <c r="B147" s="98">
        <f>'Runs Z score'!B135</f>
        <v/>
      </c>
      <c r="C147" s="98">
        <f>'Runs Z score'!C135</f>
        <v/>
      </c>
      <c r="D147" s="98">
        <f>'Runs Z score'!D135</f>
        <v/>
      </c>
      <c r="E147" s="98">
        <f>'Runs Z score'!E135</f>
        <v/>
      </c>
      <c r="F147" s="98">
        <f>'Runs Z score'!F135</f>
        <v/>
      </c>
      <c r="G147" s="99">
        <f>'Runs Z score'!G135</f>
        <v/>
      </c>
      <c r="H147" s="100">
        <f>VLOOKUP(C147,Recipes!$A$2:$N$4,10,FALSE())</f>
        <v/>
      </c>
      <c r="I147" s="101">
        <f>VLOOKUP(C147,Recipes!$A$2:$N$4,12,FALSE())</f>
        <v/>
      </c>
      <c r="J147" s="101">
        <f>IF(G147="","",((G147-H147)/I147)^2)</f>
        <v/>
      </c>
      <c r="K147" s="101">
        <f>IF(G147="","",MAX(0, J147-$B$12))</f>
        <v/>
      </c>
      <c r="L147" s="100">
        <f>IF(G147="","",SQRT(K147))</f>
        <v/>
      </c>
      <c r="M147" s="98">
        <f>IF(G147="","",IF(K147&lt;=$B$10,"OK","NG"))</f>
        <v/>
      </c>
      <c r="N147" s="69">
        <f>IF(M147="","",IF(M147=D147,1,0))</f>
        <v/>
      </c>
      <c r="O147" s="100">
        <f>IF(G147="","",H147-G147)</f>
        <v/>
      </c>
      <c r="P147" s="100">
        <f>IF(G147="","",ABS(O147-Components!$D$2))</f>
        <v/>
      </c>
      <c r="Q147" s="100">
        <f>IF(G147="","",ABS(O147-Components!$D$3))</f>
        <v/>
      </c>
      <c r="R147" s="100">
        <f>IF(G147="","",ABS(O147-Components!$D$4))</f>
        <v/>
      </c>
      <c r="S147" s="100">
        <f>IF(G147="","",ABS(O147-Components!$D$5))</f>
        <v/>
      </c>
      <c r="T147" s="100">
        <f>IF(G147="","",ABS(O147-Components!$D$6))</f>
        <v/>
      </c>
      <c r="U147" s="100">
        <f>IF(G147="","",ABS(O147-Components!$D$7))</f>
        <v/>
      </c>
      <c r="V147" s="98">
        <f>IF(G147="","",IF(M147="OK","NONE",INDEX({"S1","S2","W1","W2","N1","N2"},MATCH(MIN(P147:U147),P147:U147,0))))</f>
        <v/>
      </c>
      <c r="W147" s="103">
        <f>IF(G147="","",IF(V147=E147,1,0))</f>
        <v/>
      </c>
    </row>
    <row r="148">
      <c r="A148" s="102">
        <f>'Runs Z score'!A136</f>
        <v/>
      </c>
      <c r="B148" s="98">
        <f>'Runs Z score'!B136</f>
        <v/>
      </c>
      <c r="C148" s="98">
        <f>'Runs Z score'!C136</f>
        <v/>
      </c>
      <c r="D148" s="98">
        <f>'Runs Z score'!D136</f>
        <v/>
      </c>
      <c r="E148" s="98">
        <f>'Runs Z score'!E136</f>
        <v/>
      </c>
      <c r="F148" s="98">
        <f>'Runs Z score'!F136</f>
        <v/>
      </c>
      <c r="G148" s="99">
        <f>'Runs Z score'!G136</f>
        <v/>
      </c>
      <c r="H148" s="100">
        <f>VLOOKUP(C148,Recipes!$A$2:$N$4,10,FALSE())</f>
        <v/>
      </c>
      <c r="I148" s="101">
        <f>VLOOKUP(C148,Recipes!$A$2:$N$4,12,FALSE())</f>
        <v/>
      </c>
      <c r="J148" s="101">
        <f>IF(G148="","",((G148-H148)/I148)^2)</f>
        <v/>
      </c>
      <c r="K148" s="101">
        <f>IF(G148="","",MAX(0, J148-$B$12))</f>
        <v/>
      </c>
      <c r="L148" s="100">
        <f>IF(G148="","",SQRT(K148))</f>
        <v/>
      </c>
      <c r="M148" s="98">
        <f>IF(G148="","",IF(K148&lt;=$B$10,"OK","NG"))</f>
        <v/>
      </c>
      <c r="N148" s="69">
        <f>IF(M148="","",IF(M148=D148,1,0))</f>
        <v/>
      </c>
      <c r="O148" s="100">
        <f>IF(G148="","",H148-G148)</f>
        <v/>
      </c>
      <c r="P148" s="100">
        <f>IF(G148="","",ABS(O148-Components!$D$2))</f>
        <v/>
      </c>
      <c r="Q148" s="100">
        <f>IF(G148="","",ABS(O148-Components!$D$3))</f>
        <v/>
      </c>
      <c r="R148" s="100">
        <f>IF(G148="","",ABS(O148-Components!$D$4))</f>
        <v/>
      </c>
      <c r="S148" s="100">
        <f>IF(G148="","",ABS(O148-Components!$D$5))</f>
        <v/>
      </c>
      <c r="T148" s="100">
        <f>IF(G148="","",ABS(O148-Components!$D$6))</f>
        <v/>
      </c>
      <c r="U148" s="100">
        <f>IF(G148="","",ABS(O148-Components!$D$7))</f>
        <v/>
      </c>
      <c r="V148" s="98">
        <f>IF(G148="","",IF(M148="OK","NONE",INDEX({"S1","S2","W1","W2","N1","N2"},MATCH(MIN(P148:U148),P148:U148,0))))</f>
        <v/>
      </c>
      <c r="W148" s="103">
        <f>IF(G148="","",IF(V148=E148,1,0))</f>
        <v/>
      </c>
    </row>
    <row r="149">
      <c r="A149" s="102">
        <f>'Runs Z score'!A137</f>
        <v/>
      </c>
      <c r="B149" s="98">
        <f>'Runs Z score'!B137</f>
        <v/>
      </c>
      <c r="C149" s="98">
        <f>'Runs Z score'!C137</f>
        <v/>
      </c>
      <c r="D149" s="98">
        <f>'Runs Z score'!D137</f>
        <v/>
      </c>
      <c r="E149" s="98">
        <f>'Runs Z score'!E137</f>
        <v/>
      </c>
      <c r="F149" s="98">
        <f>'Runs Z score'!F137</f>
        <v/>
      </c>
      <c r="G149" s="99">
        <f>'Runs Z score'!G137</f>
        <v/>
      </c>
      <c r="H149" s="100">
        <f>VLOOKUP(C149,Recipes!$A$2:$N$4,10,FALSE())</f>
        <v/>
      </c>
      <c r="I149" s="101">
        <f>VLOOKUP(C149,Recipes!$A$2:$N$4,12,FALSE())</f>
        <v/>
      </c>
      <c r="J149" s="101">
        <f>IF(G149="","",((G149-H149)/I149)^2)</f>
        <v/>
      </c>
      <c r="K149" s="101">
        <f>IF(G149="","",MAX(0, J149-$B$12))</f>
        <v/>
      </c>
      <c r="L149" s="100">
        <f>IF(G149="","",SQRT(K149))</f>
        <v/>
      </c>
      <c r="M149" s="98">
        <f>IF(G149="","",IF(K149&lt;=$B$10,"OK","NG"))</f>
        <v/>
      </c>
      <c r="N149" s="69">
        <f>IF(M149="","",IF(M149=D149,1,0))</f>
        <v/>
      </c>
      <c r="O149" s="100">
        <f>IF(G149="","",H149-G149)</f>
        <v/>
      </c>
      <c r="P149" s="100">
        <f>IF(G149="","",ABS(O149-Components!$D$2))</f>
        <v/>
      </c>
      <c r="Q149" s="100">
        <f>IF(G149="","",ABS(O149-Components!$D$3))</f>
        <v/>
      </c>
      <c r="R149" s="100">
        <f>IF(G149="","",ABS(O149-Components!$D$4))</f>
        <v/>
      </c>
      <c r="S149" s="100">
        <f>IF(G149="","",ABS(O149-Components!$D$5))</f>
        <v/>
      </c>
      <c r="T149" s="100">
        <f>IF(G149="","",ABS(O149-Components!$D$6))</f>
        <v/>
      </c>
      <c r="U149" s="100">
        <f>IF(G149="","",ABS(O149-Components!$D$7))</f>
        <v/>
      </c>
      <c r="V149" s="98">
        <f>IF(G149="","",IF(M149="OK","NONE",INDEX({"S1","S2","W1","W2","N1","N2"},MATCH(MIN(P149:U149),P149:U149,0))))</f>
        <v/>
      </c>
      <c r="W149" s="103">
        <f>IF(G149="","",IF(V149=E149,1,0))</f>
        <v/>
      </c>
    </row>
    <row r="150">
      <c r="A150" s="102">
        <f>'Runs Z score'!A138</f>
        <v/>
      </c>
      <c r="B150" s="98">
        <f>'Runs Z score'!B138</f>
        <v/>
      </c>
      <c r="C150" s="98">
        <f>'Runs Z score'!C138</f>
        <v/>
      </c>
      <c r="D150" s="98">
        <f>'Runs Z score'!D138</f>
        <v/>
      </c>
      <c r="E150" s="98">
        <f>'Runs Z score'!E138</f>
        <v/>
      </c>
      <c r="F150" s="98">
        <f>'Runs Z score'!F138</f>
        <v/>
      </c>
      <c r="G150" s="99">
        <f>'Runs Z score'!G138</f>
        <v/>
      </c>
      <c r="H150" s="100">
        <f>VLOOKUP(C150,Recipes!$A$2:$N$4,10,FALSE())</f>
        <v/>
      </c>
      <c r="I150" s="101">
        <f>VLOOKUP(C150,Recipes!$A$2:$N$4,12,FALSE())</f>
        <v/>
      </c>
      <c r="J150" s="101">
        <f>IF(G150="","",((G150-H150)/I150)^2)</f>
        <v/>
      </c>
      <c r="K150" s="101">
        <f>IF(G150="","",MAX(0, J150-$B$12))</f>
        <v/>
      </c>
      <c r="L150" s="100">
        <f>IF(G150="","",SQRT(K150))</f>
        <v/>
      </c>
      <c r="M150" s="98">
        <f>IF(G150="","",IF(K150&lt;=$B$10,"OK","NG"))</f>
        <v/>
      </c>
      <c r="N150" s="69">
        <f>IF(M150="","",IF(M150=D150,1,0))</f>
        <v/>
      </c>
      <c r="O150" s="100">
        <f>IF(G150="","",H150-G150)</f>
        <v/>
      </c>
      <c r="P150" s="100">
        <f>IF(G150="","",ABS(O150-Components!$D$2))</f>
        <v/>
      </c>
      <c r="Q150" s="100">
        <f>IF(G150="","",ABS(O150-Components!$D$3))</f>
        <v/>
      </c>
      <c r="R150" s="100">
        <f>IF(G150="","",ABS(O150-Components!$D$4))</f>
        <v/>
      </c>
      <c r="S150" s="100">
        <f>IF(G150="","",ABS(O150-Components!$D$5))</f>
        <v/>
      </c>
      <c r="T150" s="100">
        <f>IF(G150="","",ABS(O150-Components!$D$6))</f>
        <v/>
      </c>
      <c r="U150" s="100">
        <f>IF(G150="","",ABS(O150-Components!$D$7))</f>
        <v/>
      </c>
      <c r="V150" s="98">
        <f>IF(G150="","",IF(M150="OK","NONE",INDEX({"S1","S2","W1","W2","N1","N2"},MATCH(MIN(P150:U150),P150:U150,0))))</f>
        <v/>
      </c>
      <c r="W150" s="103">
        <f>IF(G150="","",IF(V150=E150,1,0))</f>
        <v/>
      </c>
    </row>
    <row r="151">
      <c r="A151" s="102">
        <f>'Runs Z score'!A139</f>
        <v/>
      </c>
      <c r="B151" s="98">
        <f>'Runs Z score'!B139</f>
        <v/>
      </c>
      <c r="C151" s="98">
        <f>'Runs Z score'!C139</f>
        <v/>
      </c>
      <c r="D151" s="98">
        <f>'Runs Z score'!D139</f>
        <v/>
      </c>
      <c r="E151" s="98">
        <f>'Runs Z score'!E139</f>
        <v/>
      </c>
      <c r="F151" s="98">
        <f>'Runs Z score'!F139</f>
        <v/>
      </c>
      <c r="G151" s="99">
        <f>'Runs Z score'!G139</f>
        <v/>
      </c>
      <c r="H151" s="100">
        <f>VLOOKUP(C151,Recipes!$A$2:$N$4,10,FALSE())</f>
        <v/>
      </c>
      <c r="I151" s="101">
        <f>VLOOKUP(C151,Recipes!$A$2:$N$4,12,FALSE())</f>
        <v/>
      </c>
      <c r="J151" s="101">
        <f>IF(G151="","",((G151-H151)/I151)^2)</f>
        <v/>
      </c>
      <c r="K151" s="101">
        <f>IF(G151="","",MAX(0, J151-$B$12))</f>
        <v/>
      </c>
      <c r="L151" s="100">
        <f>IF(G151="","",SQRT(K151))</f>
        <v/>
      </c>
      <c r="M151" s="98">
        <f>IF(G151="","",IF(K151&lt;=$B$10,"OK","NG"))</f>
        <v/>
      </c>
      <c r="N151" s="69">
        <f>IF(M151="","",IF(M151=D151,1,0))</f>
        <v/>
      </c>
      <c r="O151" s="100">
        <f>IF(G151="","",H151-G151)</f>
        <v/>
      </c>
      <c r="P151" s="100">
        <f>IF(G151="","",ABS(O151-Components!$D$2))</f>
        <v/>
      </c>
      <c r="Q151" s="100">
        <f>IF(G151="","",ABS(O151-Components!$D$3))</f>
        <v/>
      </c>
      <c r="R151" s="100">
        <f>IF(G151="","",ABS(O151-Components!$D$4))</f>
        <v/>
      </c>
      <c r="S151" s="100">
        <f>IF(G151="","",ABS(O151-Components!$D$5))</f>
        <v/>
      </c>
      <c r="T151" s="100">
        <f>IF(G151="","",ABS(O151-Components!$D$6))</f>
        <v/>
      </c>
      <c r="U151" s="100">
        <f>IF(G151="","",ABS(O151-Components!$D$7))</f>
        <v/>
      </c>
      <c r="V151" s="98">
        <f>IF(G151="","",IF(M151="OK","NONE",INDEX({"S1","S2","W1","W2","N1","N2"},MATCH(MIN(P151:U151),P151:U151,0))))</f>
        <v/>
      </c>
      <c r="W151" s="103">
        <f>IF(G151="","",IF(V151=E151,1,0))</f>
        <v/>
      </c>
    </row>
    <row r="152">
      <c r="A152" s="102">
        <f>'Runs Z score'!A140</f>
        <v/>
      </c>
      <c r="B152" s="98">
        <f>'Runs Z score'!B140</f>
        <v/>
      </c>
      <c r="C152" s="98">
        <f>'Runs Z score'!C140</f>
        <v/>
      </c>
      <c r="D152" s="98">
        <f>'Runs Z score'!D140</f>
        <v/>
      </c>
      <c r="E152" s="98">
        <f>'Runs Z score'!E140</f>
        <v/>
      </c>
      <c r="F152" s="98">
        <f>'Runs Z score'!F140</f>
        <v/>
      </c>
      <c r="G152" s="99">
        <f>'Runs Z score'!G140</f>
        <v/>
      </c>
      <c r="H152" s="100">
        <f>VLOOKUP(C152,Recipes!$A$2:$N$4,10,FALSE())</f>
        <v/>
      </c>
      <c r="I152" s="101">
        <f>VLOOKUP(C152,Recipes!$A$2:$N$4,12,FALSE())</f>
        <v/>
      </c>
      <c r="J152" s="101">
        <f>IF(G152="","",((G152-H152)/I152)^2)</f>
        <v/>
      </c>
      <c r="K152" s="101">
        <f>IF(G152="","",MAX(0, J152-$B$12))</f>
        <v/>
      </c>
      <c r="L152" s="100">
        <f>IF(G152="","",SQRT(K152))</f>
        <v/>
      </c>
      <c r="M152" s="98">
        <f>IF(G152="","",IF(K152&lt;=$B$10,"OK","NG"))</f>
        <v/>
      </c>
      <c r="N152" s="69">
        <f>IF(M152="","",IF(M152=D152,1,0))</f>
        <v/>
      </c>
      <c r="O152" s="100">
        <f>IF(G152="","",H152-G152)</f>
        <v/>
      </c>
      <c r="P152" s="100">
        <f>IF(G152="","",ABS(O152-Components!$D$2))</f>
        <v/>
      </c>
      <c r="Q152" s="100">
        <f>IF(G152="","",ABS(O152-Components!$D$3))</f>
        <v/>
      </c>
      <c r="R152" s="100">
        <f>IF(G152="","",ABS(O152-Components!$D$4))</f>
        <v/>
      </c>
      <c r="S152" s="100">
        <f>IF(G152="","",ABS(O152-Components!$D$5))</f>
        <v/>
      </c>
      <c r="T152" s="100">
        <f>IF(G152="","",ABS(O152-Components!$D$6))</f>
        <v/>
      </c>
      <c r="U152" s="100">
        <f>IF(G152="","",ABS(O152-Components!$D$7))</f>
        <v/>
      </c>
      <c r="V152" s="98">
        <f>IF(G152="","",IF(M152="OK","NONE",INDEX({"S1","S2","W1","W2","N1","N2"},MATCH(MIN(P152:U152),P152:U152,0))))</f>
        <v/>
      </c>
      <c r="W152" s="103">
        <f>IF(G152="","",IF(V152=E152,1,0))</f>
        <v/>
      </c>
    </row>
    <row r="153">
      <c r="A153" s="102">
        <f>'Runs Z score'!A141</f>
        <v/>
      </c>
      <c r="B153" s="98">
        <f>'Runs Z score'!B141</f>
        <v/>
      </c>
      <c r="C153" s="98">
        <f>'Runs Z score'!C141</f>
        <v/>
      </c>
      <c r="D153" s="98">
        <f>'Runs Z score'!D141</f>
        <v/>
      </c>
      <c r="E153" s="98">
        <f>'Runs Z score'!E141</f>
        <v/>
      </c>
      <c r="F153" s="98">
        <f>'Runs Z score'!F141</f>
        <v/>
      </c>
      <c r="G153" s="99">
        <f>'Runs Z score'!G141</f>
        <v/>
      </c>
      <c r="H153" s="100">
        <f>VLOOKUP(C153,Recipes!$A$2:$N$4,10,FALSE())</f>
        <v/>
      </c>
      <c r="I153" s="101">
        <f>VLOOKUP(C153,Recipes!$A$2:$N$4,12,FALSE())</f>
        <v/>
      </c>
      <c r="J153" s="101">
        <f>IF(G153="","",((G153-H153)/I153)^2)</f>
        <v/>
      </c>
      <c r="K153" s="101">
        <f>IF(G153="","",MAX(0, J153-$B$12))</f>
        <v/>
      </c>
      <c r="L153" s="100">
        <f>IF(G153="","",SQRT(K153))</f>
        <v/>
      </c>
      <c r="M153" s="98">
        <f>IF(G153="","",IF(K153&lt;=$B$10,"OK","NG"))</f>
        <v/>
      </c>
      <c r="N153" s="69">
        <f>IF(M153="","",IF(M153=D153,1,0))</f>
        <v/>
      </c>
      <c r="O153" s="100">
        <f>IF(G153="","",H153-G153)</f>
        <v/>
      </c>
      <c r="P153" s="100">
        <f>IF(G153="","",ABS(O153-Components!$D$2))</f>
        <v/>
      </c>
      <c r="Q153" s="100">
        <f>IF(G153="","",ABS(O153-Components!$D$3))</f>
        <v/>
      </c>
      <c r="R153" s="100">
        <f>IF(G153="","",ABS(O153-Components!$D$4))</f>
        <v/>
      </c>
      <c r="S153" s="100">
        <f>IF(G153="","",ABS(O153-Components!$D$5))</f>
        <v/>
      </c>
      <c r="T153" s="100">
        <f>IF(G153="","",ABS(O153-Components!$D$6))</f>
        <v/>
      </c>
      <c r="U153" s="100">
        <f>IF(G153="","",ABS(O153-Components!$D$7))</f>
        <v/>
      </c>
      <c r="V153" s="98">
        <f>IF(G153="","",IF(M153="OK","NONE",INDEX({"S1","S2","W1","W2","N1","N2"},MATCH(MIN(P153:U153),P153:U153,0))))</f>
        <v/>
      </c>
      <c r="W153" s="103">
        <f>IF(G153="","",IF(V153=E153,1,0))</f>
        <v/>
      </c>
    </row>
    <row r="154">
      <c r="A154" s="102">
        <f>'Runs Z score'!A142</f>
        <v/>
      </c>
      <c r="B154" s="98">
        <f>'Runs Z score'!B142</f>
        <v/>
      </c>
      <c r="C154" s="98">
        <f>'Runs Z score'!C142</f>
        <v/>
      </c>
      <c r="D154" s="98">
        <f>'Runs Z score'!D142</f>
        <v/>
      </c>
      <c r="E154" s="98">
        <f>'Runs Z score'!E142</f>
        <v/>
      </c>
      <c r="F154" s="98">
        <f>'Runs Z score'!F142</f>
        <v/>
      </c>
      <c r="G154" s="99">
        <f>'Runs Z score'!G142</f>
        <v/>
      </c>
      <c r="H154" s="100">
        <f>VLOOKUP(C154,Recipes!$A$2:$N$4,10,FALSE())</f>
        <v/>
      </c>
      <c r="I154" s="101">
        <f>VLOOKUP(C154,Recipes!$A$2:$N$4,12,FALSE())</f>
        <v/>
      </c>
      <c r="J154" s="101">
        <f>IF(G154="","",((G154-H154)/I154)^2)</f>
        <v/>
      </c>
      <c r="K154" s="101">
        <f>IF(G154="","",MAX(0, J154-$B$12))</f>
        <v/>
      </c>
      <c r="L154" s="100">
        <f>IF(G154="","",SQRT(K154))</f>
        <v/>
      </c>
      <c r="M154" s="98">
        <f>IF(G154="","",IF(K154&lt;=$B$10,"OK","NG"))</f>
        <v/>
      </c>
      <c r="N154" s="69">
        <f>IF(M154="","",IF(M154=D154,1,0))</f>
        <v/>
      </c>
      <c r="O154" s="100">
        <f>IF(G154="","",H154-G154)</f>
        <v/>
      </c>
      <c r="P154" s="100">
        <f>IF(G154="","",ABS(O154-Components!$D$2))</f>
        <v/>
      </c>
      <c r="Q154" s="100">
        <f>IF(G154="","",ABS(O154-Components!$D$3))</f>
        <v/>
      </c>
      <c r="R154" s="100">
        <f>IF(G154="","",ABS(O154-Components!$D$4))</f>
        <v/>
      </c>
      <c r="S154" s="100">
        <f>IF(G154="","",ABS(O154-Components!$D$5))</f>
        <v/>
      </c>
      <c r="T154" s="100">
        <f>IF(G154="","",ABS(O154-Components!$D$6))</f>
        <v/>
      </c>
      <c r="U154" s="100">
        <f>IF(G154="","",ABS(O154-Components!$D$7))</f>
        <v/>
      </c>
      <c r="V154" s="98">
        <f>IF(G154="","",IF(M154="OK","NONE",INDEX({"S1","S2","W1","W2","N1","N2"},MATCH(MIN(P154:U154),P154:U154,0))))</f>
        <v/>
      </c>
      <c r="W154" s="103">
        <f>IF(G154="","",IF(V154=E154,1,0))</f>
        <v/>
      </c>
    </row>
    <row r="155">
      <c r="A155" s="102">
        <f>'Runs Z score'!A143</f>
        <v/>
      </c>
      <c r="B155" s="98">
        <f>'Runs Z score'!B143</f>
        <v/>
      </c>
      <c r="C155" s="98">
        <f>'Runs Z score'!C143</f>
        <v/>
      </c>
      <c r="D155" s="98">
        <f>'Runs Z score'!D143</f>
        <v/>
      </c>
      <c r="E155" s="98">
        <f>'Runs Z score'!E143</f>
        <v/>
      </c>
      <c r="F155" s="98">
        <f>'Runs Z score'!F143</f>
        <v/>
      </c>
      <c r="G155" s="99">
        <f>'Runs Z score'!G143</f>
        <v/>
      </c>
      <c r="H155" s="100">
        <f>VLOOKUP(C155,Recipes!$A$2:$N$4,10,FALSE())</f>
        <v/>
      </c>
      <c r="I155" s="101">
        <f>VLOOKUP(C155,Recipes!$A$2:$N$4,12,FALSE())</f>
        <v/>
      </c>
      <c r="J155" s="101">
        <f>IF(G155="","",((G155-H155)/I155)^2)</f>
        <v/>
      </c>
      <c r="K155" s="101">
        <f>IF(G155="","",MAX(0, J155-$B$12))</f>
        <v/>
      </c>
      <c r="L155" s="100">
        <f>IF(G155="","",SQRT(K155))</f>
        <v/>
      </c>
      <c r="M155" s="98">
        <f>IF(G155="","",IF(K155&lt;=$B$10,"OK","NG"))</f>
        <v/>
      </c>
      <c r="N155" s="69">
        <f>IF(M155="","",IF(M155=D155,1,0))</f>
        <v/>
      </c>
      <c r="O155" s="100">
        <f>IF(G155="","",H155-G155)</f>
        <v/>
      </c>
      <c r="P155" s="100">
        <f>IF(G155="","",ABS(O155-Components!$D$2))</f>
        <v/>
      </c>
      <c r="Q155" s="100">
        <f>IF(G155="","",ABS(O155-Components!$D$3))</f>
        <v/>
      </c>
      <c r="R155" s="100">
        <f>IF(G155="","",ABS(O155-Components!$D$4))</f>
        <v/>
      </c>
      <c r="S155" s="100">
        <f>IF(G155="","",ABS(O155-Components!$D$5))</f>
        <v/>
      </c>
      <c r="T155" s="100">
        <f>IF(G155="","",ABS(O155-Components!$D$6))</f>
        <v/>
      </c>
      <c r="U155" s="100">
        <f>IF(G155="","",ABS(O155-Components!$D$7))</f>
        <v/>
      </c>
      <c r="V155" s="98">
        <f>IF(G155="","",IF(M155="OK","NONE",INDEX({"S1","S2","W1","W2","N1","N2"},MATCH(MIN(P155:U155),P155:U155,0))))</f>
        <v/>
      </c>
      <c r="W155" s="103">
        <f>IF(G155="","",IF(V155=E155,1,0))</f>
        <v/>
      </c>
    </row>
    <row r="156">
      <c r="A156" s="102">
        <f>'Runs Z score'!A144</f>
        <v/>
      </c>
      <c r="B156" s="98">
        <f>'Runs Z score'!B144</f>
        <v/>
      </c>
      <c r="C156" s="98">
        <f>'Runs Z score'!C144</f>
        <v/>
      </c>
      <c r="D156" s="98">
        <f>'Runs Z score'!D144</f>
        <v/>
      </c>
      <c r="E156" s="98">
        <f>'Runs Z score'!E144</f>
        <v/>
      </c>
      <c r="F156" s="98">
        <f>'Runs Z score'!F144</f>
        <v/>
      </c>
      <c r="G156" s="99">
        <f>'Runs Z score'!G144</f>
        <v/>
      </c>
      <c r="H156" s="100">
        <f>VLOOKUP(C156,Recipes!$A$2:$N$4,10,FALSE())</f>
        <v/>
      </c>
      <c r="I156" s="101">
        <f>VLOOKUP(C156,Recipes!$A$2:$N$4,12,FALSE())</f>
        <v/>
      </c>
      <c r="J156" s="101">
        <f>IF(G156="","",((G156-H156)/I156)^2)</f>
        <v/>
      </c>
      <c r="K156" s="101">
        <f>IF(G156="","",MAX(0, J156-$B$12))</f>
        <v/>
      </c>
      <c r="L156" s="100">
        <f>IF(G156="","",SQRT(K156))</f>
        <v/>
      </c>
      <c r="M156" s="98">
        <f>IF(G156="","",IF(K156&lt;=$B$10,"OK","NG"))</f>
        <v/>
      </c>
      <c r="N156" s="69">
        <f>IF(M156="","",IF(M156=D156,1,0))</f>
        <v/>
      </c>
      <c r="O156" s="100">
        <f>IF(G156="","",H156-G156)</f>
        <v/>
      </c>
      <c r="P156" s="100">
        <f>IF(G156="","",ABS(O156-Components!$D$2))</f>
        <v/>
      </c>
      <c r="Q156" s="100">
        <f>IF(G156="","",ABS(O156-Components!$D$3))</f>
        <v/>
      </c>
      <c r="R156" s="100">
        <f>IF(G156="","",ABS(O156-Components!$D$4))</f>
        <v/>
      </c>
      <c r="S156" s="100">
        <f>IF(G156="","",ABS(O156-Components!$D$5))</f>
        <v/>
      </c>
      <c r="T156" s="100">
        <f>IF(G156="","",ABS(O156-Components!$D$6))</f>
        <v/>
      </c>
      <c r="U156" s="100">
        <f>IF(G156="","",ABS(O156-Components!$D$7))</f>
        <v/>
      </c>
      <c r="V156" s="98">
        <f>IF(G156="","",IF(M156="OK","NONE",INDEX({"S1","S2","W1","W2","N1","N2"},MATCH(MIN(P156:U156),P156:U156,0))))</f>
        <v/>
      </c>
      <c r="W156" s="103">
        <f>IF(G156="","",IF(V156=E156,1,0))</f>
        <v/>
      </c>
    </row>
    <row r="157">
      <c r="A157" s="102">
        <f>'Runs Z score'!A145</f>
        <v/>
      </c>
      <c r="B157" s="98">
        <f>'Runs Z score'!B145</f>
        <v/>
      </c>
      <c r="C157" s="98">
        <f>'Runs Z score'!C145</f>
        <v/>
      </c>
      <c r="D157" s="98">
        <f>'Runs Z score'!D145</f>
        <v/>
      </c>
      <c r="E157" s="98">
        <f>'Runs Z score'!E145</f>
        <v/>
      </c>
      <c r="F157" s="98">
        <f>'Runs Z score'!F145</f>
        <v/>
      </c>
      <c r="G157" s="99">
        <f>'Runs Z score'!G145</f>
        <v/>
      </c>
      <c r="H157" s="100">
        <f>VLOOKUP(C157,Recipes!$A$2:$N$4,10,FALSE())</f>
        <v/>
      </c>
      <c r="I157" s="101">
        <f>VLOOKUP(C157,Recipes!$A$2:$N$4,12,FALSE())</f>
        <v/>
      </c>
      <c r="J157" s="101">
        <f>IF(G157="","",((G157-H157)/I157)^2)</f>
        <v/>
      </c>
      <c r="K157" s="101">
        <f>IF(G157="","",MAX(0, J157-$B$12))</f>
        <v/>
      </c>
      <c r="L157" s="100">
        <f>IF(G157="","",SQRT(K157))</f>
        <v/>
      </c>
      <c r="M157" s="98">
        <f>IF(G157="","",IF(K157&lt;=$B$10,"OK","NG"))</f>
        <v/>
      </c>
      <c r="N157" s="69">
        <f>IF(M157="","",IF(M157=D157,1,0))</f>
        <v/>
      </c>
      <c r="O157" s="100">
        <f>IF(G157="","",H157-G157)</f>
        <v/>
      </c>
      <c r="P157" s="100">
        <f>IF(G157="","",ABS(O157-Components!$D$2))</f>
        <v/>
      </c>
      <c r="Q157" s="100">
        <f>IF(G157="","",ABS(O157-Components!$D$3))</f>
        <v/>
      </c>
      <c r="R157" s="100">
        <f>IF(G157="","",ABS(O157-Components!$D$4))</f>
        <v/>
      </c>
      <c r="S157" s="100">
        <f>IF(G157="","",ABS(O157-Components!$D$5))</f>
        <v/>
      </c>
      <c r="T157" s="100">
        <f>IF(G157="","",ABS(O157-Components!$D$6))</f>
        <v/>
      </c>
      <c r="U157" s="100">
        <f>IF(G157="","",ABS(O157-Components!$D$7))</f>
        <v/>
      </c>
      <c r="V157" s="98">
        <f>IF(G157="","",IF(M157="OK","NONE",INDEX({"S1","S2","W1","W2","N1","N2"},MATCH(MIN(P157:U157),P157:U157,0))))</f>
        <v/>
      </c>
      <c r="W157" s="103">
        <f>IF(G157="","",IF(V157=E157,1,0))</f>
        <v/>
      </c>
    </row>
    <row r="158">
      <c r="A158" s="102">
        <f>'Runs Z score'!A146</f>
        <v/>
      </c>
      <c r="B158" s="98">
        <f>'Runs Z score'!B146</f>
        <v/>
      </c>
      <c r="C158" s="98">
        <f>'Runs Z score'!C146</f>
        <v/>
      </c>
      <c r="D158" s="98">
        <f>'Runs Z score'!D146</f>
        <v/>
      </c>
      <c r="E158" s="98">
        <f>'Runs Z score'!E146</f>
        <v/>
      </c>
      <c r="F158" s="98">
        <f>'Runs Z score'!F146</f>
        <v/>
      </c>
      <c r="G158" s="99">
        <f>'Runs Z score'!G146</f>
        <v/>
      </c>
      <c r="H158" s="100">
        <f>VLOOKUP(C158,Recipes!$A$2:$N$4,10,FALSE())</f>
        <v/>
      </c>
      <c r="I158" s="101">
        <f>VLOOKUP(C158,Recipes!$A$2:$N$4,12,FALSE())</f>
        <v/>
      </c>
      <c r="J158" s="101">
        <f>IF(G158="","",((G158-H158)/I158)^2)</f>
        <v/>
      </c>
      <c r="K158" s="101">
        <f>IF(G158="","",MAX(0, J158-$B$12))</f>
        <v/>
      </c>
      <c r="L158" s="100">
        <f>IF(G158="","",SQRT(K158))</f>
        <v/>
      </c>
      <c r="M158" s="98">
        <f>IF(G158="","",IF(K158&lt;=$B$10,"OK","NG"))</f>
        <v/>
      </c>
      <c r="N158" s="69">
        <f>IF(M158="","",IF(M158=D158,1,0))</f>
        <v/>
      </c>
      <c r="O158" s="100">
        <f>IF(G158="","",H158-G158)</f>
        <v/>
      </c>
      <c r="P158" s="100">
        <f>IF(G158="","",ABS(O158-Components!$D$2))</f>
        <v/>
      </c>
      <c r="Q158" s="100">
        <f>IF(G158="","",ABS(O158-Components!$D$3))</f>
        <v/>
      </c>
      <c r="R158" s="100">
        <f>IF(G158="","",ABS(O158-Components!$D$4))</f>
        <v/>
      </c>
      <c r="S158" s="100">
        <f>IF(G158="","",ABS(O158-Components!$D$5))</f>
        <v/>
      </c>
      <c r="T158" s="100">
        <f>IF(G158="","",ABS(O158-Components!$D$6))</f>
        <v/>
      </c>
      <c r="U158" s="100">
        <f>IF(G158="","",ABS(O158-Components!$D$7))</f>
        <v/>
      </c>
      <c r="V158" s="98">
        <f>IF(G158="","",IF(M158="OK","NONE",INDEX({"S1","S2","W1","W2","N1","N2"},MATCH(MIN(P158:U158),P158:U158,0))))</f>
        <v/>
      </c>
      <c r="W158" s="103">
        <f>IF(G158="","",IF(V158=E158,1,0))</f>
        <v/>
      </c>
    </row>
    <row r="159">
      <c r="A159" s="102">
        <f>'Runs Z score'!A147</f>
        <v/>
      </c>
      <c r="B159" s="98">
        <f>'Runs Z score'!B147</f>
        <v/>
      </c>
      <c r="C159" s="98">
        <f>'Runs Z score'!C147</f>
        <v/>
      </c>
      <c r="D159" s="98">
        <f>'Runs Z score'!D147</f>
        <v/>
      </c>
      <c r="E159" s="98">
        <f>'Runs Z score'!E147</f>
        <v/>
      </c>
      <c r="F159" s="98">
        <f>'Runs Z score'!F147</f>
        <v/>
      </c>
      <c r="G159" s="99">
        <f>'Runs Z score'!G147</f>
        <v/>
      </c>
      <c r="H159" s="100">
        <f>VLOOKUP(C159,Recipes!$A$2:$N$4,10,FALSE())</f>
        <v/>
      </c>
      <c r="I159" s="101">
        <f>VLOOKUP(C159,Recipes!$A$2:$N$4,12,FALSE())</f>
        <v/>
      </c>
      <c r="J159" s="101">
        <f>IF(G159="","",((G159-H159)/I159)^2)</f>
        <v/>
      </c>
      <c r="K159" s="101">
        <f>IF(G159="","",MAX(0, J159-$B$12))</f>
        <v/>
      </c>
      <c r="L159" s="100">
        <f>IF(G159="","",SQRT(K159))</f>
        <v/>
      </c>
      <c r="M159" s="98">
        <f>IF(G159="","",IF(K159&lt;=$B$10,"OK","NG"))</f>
        <v/>
      </c>
      <c r="N159" s="69">
        <f>IF(M159="","",IF(M159=D159,1,0))</f>
        <v/>
      </c>
      <c r="O159" s="100">
        <f>IF(G159="","",H159-G159)</f>
        <v/>
      </c>
      <c r="P159" s="100">
        <f>IF(G159="","",ABS(O159-Components!$D$2))</f>
        <v/>
      </c>
      <c r="Q159" s="100">
        <f>IF(G159="","",ABS(O159-Components!$D$3))</f>
        <v/>
      </c>
      <c r="R159" s="100">
        <f>IF(G159="","",ABS(O159-Components!$D$4))</f>
        <v/>
      </c>
      <c r="S159" s="100">
        <f>IF(G159="","",ABS(O159-Components!$D$5))</f>
        <v/>
      </c>
      <c r="T159" s="100">
        <f>IF(G159="","",ABS(O159-Components!$D$6))</f>
        <v/>
      </c>
      <c r="U159" s="100">
        <f>IF(G159="","",ABS(O159-Components!$D$7))</f>
        <v/>
      </c>
      <c r="V159" s="98">
        <f>IF(G159="","",IF(M159="OK","NONE",INDEX({"S1","S2","W1","W2","N1","N2"},MATCH(MIN(P159:U159),P159:U159,0))))</f>
        <v/>
      </c>
      <c r="W159" s="103">
        <f>IF(G159="","",IF(V159=E159,1,0))</f>
        <v/>
      </c>
    </row>
    <row r="160">
      <c r="A160" s="102">
        <f>'Runs Z score'!A148</f>
        <v/>
      </c>
      <c r="B160" s="98">
        <f>'Runs Z score'!B148</f>
        <v/>
      </c>
      <c r="C160" s="98">
        <f>'Runs Z score'!C148</f>
        <v/>
      </c>
      <c r="D160" s="98">
        <f>'Runs Z score'!D148</f>
        <v/>
      </c>
      <c r="E160" s="98">
        <f>'Runs Z score'!E148</f>
        <v/>
      </c>
      <c r="F160" s="98">
        <f>'Runs Z score'!F148</f>
        <v/>
      </c>
      <c r="G160" s="99">
        <f>'Runs Z score'!G148</f>
        <v/>
      </c>
      <c r="H160" s="100">
        <f>VLOOKUP(C160,Recipes!$A$2:$N$4,10,FALSE())</f>
        <v/>
      </c>
      <c r="I160" s="101">
        <f>VLOOKUP(C160,Recipes!$A$2:$N$4,12,FALSE())</f>
        <v/>
      </c>
      <c r="J160" s="101">
        <f>IF(G160="","",((G160-H160)/I160)^2)</f>
        <v/>
      </c>
      <c r="K160" s="101">
        <f>IF(G160="","",MAX(0, J160-$B$12))</f>
        <v/>
      </c>
      <c r="L160" s="100">
        <f>IF(G160="","",SQRT(K160))</f>
        <v/>
      </c>
      <c r="M160" s="98">
        <f>IF(G160="","",IF(K160&lt;=$B$10,"OK","NG"))</f>
        <v/>
      </c>
      <c r="N160" s="69">
        <f>IF(M160="","",IF(M160=D160,1,0))</f>
        <v/>
      </c>
      <c r="O160" s="100">
        <f>IF(G160="","",H160-G160)</f>
        <v/>
      </c>
      <c r="P160" s="100">
        <f>IF(G160="","",ABS(O160-Components!$D$2))</f>
        <v/>
      </c>
      <c r="Q160" s="100">
        <f>IF(G160="","",ABS(O160-Components!$D$3))</f>
        <v/>
      </c>
      <c r="R160" s="100">
        <f>IF(G160="","",ABS(O160-Components!$D$4))</f>
        <v/>
      </c>
      <c r="S160" s="100">
        <f>IF(G160="","",ABS(O160-Components!$D$5))</f>
        <v/>
      </c>
      <c r="T160" s="100">
        <f>IF(G160="","",ABS(O160-Components!$D$6))</f>
        <v/>
      </c>
      <c r="U160" s="100">
        <f>IF(G160="","",ABS(O160-Components!$D$7))</f>
        <v/>
      </c>
      <c r="V160" s="98">
        <f>IF(G160="","",IF(M160="OK","NONE",INDEX({"S1","S2","W1","W2","N1","N2"},MATCH(MIN(P160:U160),P160:U160,0))))</f>
        <v/>
      </c>
      <c r="W160" s="103">
        <f>IF(G160="","",IF(V160=E160,1,0))</f>
        <v/>
      </c>
    </row>
    <row r="161">
      <c r="A161" s="102">
        <f>'Runs Z score'!A149</f>
        <v/>
      </c>
      <c r="B161" s="98">
        <f>'Runs Z score'!B149</f>
        <v/>
      </c>
      <c r="C161" s="98">
        <f>'Runs Z score'!C149</f>
        <v/>
      </c>
      <c r="D161" s="98">
        <f>'Runs Z score'!D149</f>
        <v/>
      </c>
      <c r="E161" s="98">
        <f>'Runs Z score'!E149</f>
        <v/>
      </c>
      <c r="F161" s="98">
        <f>'Runs Z score'!F149</f>
        <v/>
      </c>
      <c r="G161" s="99">
        <f>'Runs Z score'!G149</f>
        <v/>
      </c>
      <c r="H161" s="100">
        <f>VLOOKUP(C161,Recipes!$A$2:$N$4,10,FALSE())</f>
        <v/>
      </c>
      <c r="I161" s="101">
        <f>VLOOKUP(C161,Recipes!$A$2:$N$4,12,FALSE())</f>
        <v/>
      </c>
      <c r="J161" s="101">
        <f>IF(G161="","",((G161-H161)/I161)^2)</f>
        <v/>
      </c>
      <c r="K161" s="101">
        <f>IF(G161="","",MAX(0, J161-$B$12))</f>
        <v/>
      </c>
      <c r="L161" s="100">
        <f>IF(G161="","",SQRT(K161))</f>
        <v/>
      </c>
      <c r="M161" s="98">
        <f>IF(G161="","",IF(K161&lt;=$B$10,"OK","NG"))</f>
        <v/>
      </c>
      <c r="N161" s="69">
        <f>IF(M161="","",IF(M161=D161,1,0))</f>
        <v/>
      </c>
      <c r="O161" s="100">
        <f>IF(G161="","",H161-G161)</f>
        <v/>
      </c>
      <c r="P161" s="100">
        <f>IF(G161="","",ABS(O161-Components!$D$2))</f>
        <v/>
      </c>
      <c r="Q161" s="100">
        <f>IF(G161="","",ABS(O161-Components!$D$3))</f>
        <v/>
      </c>
      <c r="R161" s="100">
        <f>IF(G161="","",ABS(O161-Components!$D$4))</f>
        <v/>
      </c>
      <c r="S161" s="100">
        <f>IF(G161="","",ABS(O161-Components!$D$5))</f>
        <v/>
      </c>
      <c r="T161" s="100">
        <f>IF(G161="","",ABS(O161-Components!$D$6))</f>
        <v/>
      </c>
      <c r="U161" s="100">
        <f>IF(G161="","",ABS(O161-Components!$D$7))</f>
        <v/>
      </c>
      <c r="V161" s="98">
        <f>IF(G161="","",IF(M161="OK","NONE",INDEX({"S1","S2","W1","W2","N1","N2"},MATCH(MIN(P161:U161),P161:U161,0))))</f>
        <v/>
      </c>
      <c r="W161" s="103">
        <f>IF(G161="","",IF(V161=E161,1,0))</f>
        <v/>
      </c>
    </row>
    <row r="162">
      <c r="A162" s="102">
        <f>'Runs Z score'!A150</f>
        <v/>
      </c>
      <c r="B162" s="98">
        <f>'Runs Z score'!B150</f>
        <v/>
      </c>
      <c r="C162" s="98">
        <f>'Runs Z score'!C150</f>
        <v/>
      </c>
      <c r="D162" s="98">
        <f>'Runs Z score'!D150</f>
        <v/>
      </c>
      <c r="E162" s="98">
        <f>'Runs Z score'!E150</f>
        <v/>
      </c>
      <c r="F162" s="98">
        <f>'Runs Z score'!F150</f>
        <v/>
      </c>
      <c r="G162" s="99">
        <f>'Runs Z score'!G150</f>
        <v/>
      </c>
      <c r="H162" s="100">
        <f>VLOOKUP(C162,Recipes!$A$2:$N$4,10,FALSE())</f>
        <v/>
      </c>
      <c r="I162" s="101">
        <f>VLOOKUP(C162,Recipes!$A$2:$N$4,12,FALSE())</f>
        <v/>
      </c>
      <c r="J162" s="101">
        <f>IF(G162="","",((G162-H162)/I162)^2)</f>
        <v/>
      </c>
      <c r="K162" s="101">
        <f>IF(G162="","",MAX(0, J162-$B$12))</f>
        <v/>
      </c>
      <c r="L162" s="100">
        <f>IF(G162="","",SQRT(K162))</f>
        <v/>
      </c>
      <c r="M162" s="98">
        <f>IF(G162="","",IF(K162&lt;=$B$10,"OK","NG"))</f>
        <v/>
      </c>
      <c r="N162" s="69">
        <f>IF(M162="","",IF(M162=D162,1,0))</f>
        <v/>
      </c>
      <c r="O162" s="100">
        <f>IF(G162="","",H162-G162)</f>
        <v/>
      </c>
      <c r="P162" s="100">
        <f>IF(G162="","",ABS(O162-Components!$D$2))</f>
        <v/>
      </c>
      <c r="Q162" s="100">
        <f>IF(G162="","",ABS(O162-Components!$D$3))</f>
        <v/>
      </c>
      <c r="R162" s="100">
        <f>IF(G162="","",ABS(O162-Components!$D$4))</f>
        <v/>
      </c>
      <c r="S162" s="100">
        <f>IF(G162="","",ABS(O162-Components!$D$5))</f>
        <v/>
      </c>
      <c r="T162" s="100">
        <f>IF(G162="","",ABS(O162-Components!$D$6))</f>
        <v/>
      </c>
      <c r="U162" s="100">
        <f>IF(G162="","",ABS(O162-Components!$D$7))</f>
        <v/>
      </c>
      <c r="V162" s="98">
        <f>IF(G162="","",IF(M162="OK","NONE",INDEX({"S1","S2","W1","W2","N1","N2"},MATCH(MIN(P162:U162),P162:U162,0))))</f>
        <v/>
      </c>
      <c r="W162" s="103">
        <f>IF(G162="","",IF(V162=E162,1,0))</f>
        <v/>
      </c>
    </row>
    <row r="163">
      <c r="A163" s="102">
        <f>'Runs Z score'!A151</f>
        <v/>
      </c>
      <c r="B163" s="98">
        <f>'Runs Z score'!B151</f>
        <v/>
      </c>
      <c r="C163" s="98">
        <f>'Runs Z score'!C151</f>
        <v/>
      </c>
      <c r="D163" s="98">
        <f>'Runs Z score'!D151</f>
        <v/>
      </c>
      <c r="E163" s="98">
        <f>'Runs Z score'!E151</f>
        <v/>
      </c>
      <c r="F163" s="98">
        <f>'Runs Z score'!F151</f>
        <v/>
      </c>
      <c r="G163" s="99">
        <f>'Runs Z score'!G151</f>
        <v/>
      </c>
      <c r="H163" s="100">
        <f>VLOOKUP(C163,Recipes!$A$2:$N$4,10,FALSE())</f>
        <v/>
      </c>
      <c r="I163" s="101">
        <f>VLOOKUP(C163,Recipes!$A$2:$N$4,12,FALSE())</f>
        <v/>
      </c>
      <c r="J163" s="101">
        <f>IF(G163="","",((G163-H163)/I163)^2)</f>
        <v/>
      </c>
      <c r="K163" s="101">
        <f>IF(G163="","",MAX(0, J163-$B$12))</f>
        <v/>
      </c>
      <c r="L163" s="100">
        <f>IF(G163="","",SQRT(K163))</f>
        <v/>
      </c>
      <c r="M163" s="98">
        <f>IF(G163="","",IF(K163&lt;=$B$10,"OK","NG"))</f>
        <v/>
      </c>
      <c r="N163" s="69">
        <f>IF(M163="","",IF(M163=D163,1,0))</f>
        <v/>
      </c>
      <c r="O163" s="100">
        <f>IF(G163="","",H163-G163)</f>
        <v/>
      </c>
      <c r="P163" s="100">
        <f>IF(G163="","",ABS(O163-Components!$D$2))</f>
        <v/>
      </c>
      <c r="Q163" s="100">
        <f>IF(G163="","",ABS(O163-Components!$D$3))</f>
        <v/>
      </c>
      <c r="R163" s="100">
        <f>IF(G163="","",ABS(O163-Components!$D$4))</f>
        <v/>
      </c>
      <c r="S163" s="100">
        <f>IF(G163="","",ABS(O163-Components!$D$5))</f>
        <v/>
      </c>
      <c r="T163" s="100">
        <f>IF(G163="","",ABS(O163-Components!$D$6))</f>
        <v/>
      </c>
      <c r="U163" s="100">
        <f>IF(G163="","",ABS(O163-Components!$D$7))</f>
        <v/>
      </c>
      <c r="V163" s="98">
        <f>IF(G163="","",IF(M163="OK","NONE",INDEX({"S1","S2","W1","W2","N1","N2"},MATCH(MIN(P163:U163),P163:U163,0))))</f>
        <v/>
      </c>
      <c r="W163" s="103">
        <f>IF(G163="","",IF(V163=E163,1,0))</f>
        <v/>
      </c>
    </row>
    <row r="164">
      <c r="A164" s="102">
        <f>'Runs Z score'!A152</f>
        <v/>
      </c>
      <c r="B164" s="98">
        <f>'Runs Z score'!B152</f>
        <v/>
      </c>
      <c r="C164" s="98">
        <f>'Runs Z score'!C152</f>
        <v/>
      </c>
      <c r="D164" s="98">
        <f>'Runs Z score'!D152</f>
        <v/>
      </c>
      <c r="E164" s="98">
        <f>'Runs Z score'!E152</f>
        <v/>
      </c>
      <c r="F164" s="98">
        <f>'Runs Z score'!F152</f>
        <v/>
      </c>
      <c r="G164" s="99">
        <f>'Runs Z score'!G152</f>
        <v/>
      </c>
      <c r="H164" s="100">
        <f>VLOOKUP(C164,Recipes!$A$2:$N$4,10,FALSE())</f>
        <v/>
      </c>
      <c r="I164" s="101">
        <f>VLOOKUP(C164,Recipes!$A$2:$N$4,12,FALSE())</f>
        <v/>
      </c>
      <c r="J164" s="101">
        <f>IF(G164="","",((G164-H164)/I164)^2)</f>
        <v/>
      </c>
      <c r="K164" s="101">
        <f>IF(G164="","",MAX(0, J164-$B$12))</f>
        <v/>
      </c>
      <c r="L164" s="100">
        <f>IF(G164="","",SQRT(K164))</f>
        <v/>
      </c>
      <c r="M164" s="98">
        <f>IF(G164="","",IF(K164&lt;=$B$10,"OK","NG"))</f>
        <v/>
      </c>
      <c r="N164" s="69">
        <f>IF(M164="","",IF(M164=D164,1,0))</f>
        <v/>
      </c>
      <c r="O164" s="100">
        <f>IF(G164="","",H164-G164)</f>
        <v/>
      </c>
      <c r="P164" s="100">
        <f>IF(G164="","",ABS(O164-Components!$D$2))</f>
        <v/>
      </c>
      <c r="Q164" s="100">
        <f>IF(G164="","",ABS(O164-Components!$D$3))</f>
        <v/>
      </c>
      <c r="R164" s="100">
        <f>IF(G164="","",ABS(O164-Components!$D$4))</f>
        <v/>
      </c>
      <c r="S164" s="100">
        <f>IF(G164="","",ABS(O164-Components!$D$5))</f>
        <v/>
      </c>
      <c r="T164" s="100">
        <f>IF(G164="","",ABS(O164-Components!$D$6))</f>
        <v/>
      </c>
      <c r="U164" s="100">
        <f>IF(G164="","",ABS(O164-Components!$D$7))</f>
        <v/>
      </c>
      <c r="V164" s="98">
        <f>IF(G164="","",IF(M164="OK","NONE",INDEX({"S1","S2","W1","W2","N1","N2"},MATCH(MIN(P164:U164),P164:U164,0))))</f>
        <v/>
      </c>
      <c r="W164" s="103">
        <f>IF(G164="","",IF(V164=E164,1,0))</f>
        <v/>
      </c>
    </row>
    <row r="165">
      <c r="A165" s="102">
        <f>'Runs Z score'!A153</f>
        <v/>
      </c>
      <c r="B165" s="98">
        <f>'Runs Z score'!B153</f>
        <v/>
      </c>
      <c r="C165" s="98">
        <f>'Runs Z score'!C153</f>
        <v/>
      </c>
      <c r="D165" s="98">
        <f>'Runs Z score'!D153</f>
        <v/>
      </c>
      <c r="E165" s="98">
        <f>'Runs Z score'!E153</f>
        <v/>
      </c>
      <c r="F165" s="98">
        <f>'Runs Z score'!F153</f>
        <v/>
      </c>
      <c r="G165" s="99">
        <f>'Runs Z score'!G153</f>
        <v/>
      </c>
      <c r="H165" s="100">
        <f>VLOOKUP(C165,Recipes!$A$2:$N$4,10,FALSE())</f>
        <v/>
      </c>
      <c r="I165" s="101">
        <f>VLOOKUP(C165,Recipes!$A$2:$N$4,12,FALSE())</f>
        <v/>
      </c>
      <c r="J165" s="101">
        <f>IF(G165="","",((G165-H165)/I165)^2)</f>
        <v/>
      </c>
      <c r="K165" s="101">
        <f>IF(G165="","",MAX(0, J165-$B$12))</f>
        <v/>
      </c>
      <c r="L165" s="100">
        <f>IF(G165="","",SQRT(K165))</f>
        <v/>
      </c>
      <c r="M165" s="98">
        <f>IF(G165="","",IF(K165&lt;=$B$10,"OK","NG"))</f>
        <v/>
      </c>
      <c r="N165" s="69">
        <f>IF(M165="","",IF(M165=D165,1,0))</f>
        <v/>
      </c>
      <c r="O165" s="100">
        <f>IF(G165="","",H165-G165)</f>
        <v/>
      </c>
      <c r="P165" s="100">
        <f>IF(G165="","",ABS(O165-Components!$D$2))</f>
        <v/>
      </c>
      <c r="Q165" s="100">
        <f>IF(G165="","",ABS(O165-Components!$D$3))</f>
        <v/>
      </c>
      <c r="R165" s="100">
        <f>IF(G165="","",ABS(O165-Components!$D$4))</f>
        <v/>
      </c>
      <c r="S165" s="100">
        <f>IF(G165="","",ABS(O165-Components!$D$5))</f>
        <v/>
      </c>
      <c r="T165" s="100">
        <f>IF(G165="","",ABS(O165-Components!$D$6))</f>
        <v/>
      </c>
      <c r="U165" s="100">
        <f>IF(G165="","",ABS(O165-Components!$D$7))</f>
        <v/>
      </c>
      <c r="V165" s="98">
        <f>IF(G165="","",IF(M165="OK","NONE",INDEX({"S1","S2","W1","W2","N1","N2"},MATCH(MIN(P165:U165),P165:U165,0))))</f>
        <v/>
      </c>
      <c r="W165" s="103">
        <f>IF(G165="","",IF(V165=E165,1,0))</f>
        <v/>
      </c>
    </row>
    <row r="166">
      <c r="A166" s="102">
        <f>'Runs Z score'!A154</f>
        <v/>
      </c>
      <c r="B166" s="98">
        <f>'Runs Z score'!B154</f>
        <v/>
      </c>
      <c r="C166" s="98">
        <f>'Runs Z score'!C154</f>
        <v/>
      </c>
      <c r="D166" s="98">
        <f>'Runs Z score'!D154</f>
        <v/>
      </c>
      <c r="E166" s="98">
        <f>'Runs Z score'!E154</f>
        <v/>
      </c>
      <c r="F166" s="98">
        <f>'Runs Z score'!F154</f>
        <v/>
      </c>
      <c r="G166" s="99">
        <f>'Runs Z score'!G154</f>
        <v/>
      </c>
      <c r="H166" s="100">
        <f>VLOOKUP(C166,Recipes!$A$2:$N$4,10,FALSE())</f>
        <v/>
      </c>
      <c r="I166" s="101">
        <f>VLOOKUP(C166,Recipes!$A$2:$N$4,12,FALSE())</f>
        <v/>
      </c>
      <c r="J166" s="101">
        <f>IF(G166="","",((G166-H166)/I166)^2)</f>
        <v/>
      </c>
      <c r="K166" s="101">
        <f>IF(G166="","",MAX(0, J166-$B$12))</f>
        <v/>
      </c>
      <c r="L166" s="100">
        <f>IF(G166="","",SQRT(K166))</f>
        <v/>
      </c>
      <c r="M166" s="98">
        <f>IF(G166="","",IF(K166&lt;=$B$10,"OK","NG"))</f>
        <v/>
      </c>
      <c r="N166" s="69">
        <f>IF(M166="","",IF(M166=D166,1,0))</f>
        <v/>
      </c>
      <c r="O166" s="100">
        <f>IF(G166="","",H166-G166)</f>
        <v/>
      </c>
      <c r="P166" s="100">
        <f>IF(G166="","",ABS(O166-Components!$D$2))</f>
        <v/>
      </c>
      <c r="Q166" s="100">
        <f>IF(G166="","",ABS(O166-Components!$D$3))</f>
        <v/>
      </c>
      <c r="R166" s="100">
        <f>IF(G166="","",ABS(O166-Components!$D$4))</f>
        <v/>
      </c>
      <c r="S166" s="100">
        <f>IF(G166="","",ABS(O166-Components!$D$5))</f>
        <v/>
      </c>
      <c r="T166" s="100">
        <f>IF(G166="","",ABS(O166-Components!$D$6))</f>
        <v/>
      </c>
      <c r="U166" s="100">
        <f>IF(G166="","",ABS(O166-Components!$D$7))</f>
        <v/>
      </c>
      <c r="V166" s="98">
        <f>IF(G166="","",IF(M166="OK","NONE",INDEX({"S1","S2","W1","W2","N1","N2"},MATCH(MIN(P166:U166),P166:U166,0))))</f>
        <v/>
      </c>
      <c r="W166" s="103">
        <f>IF(G166="","",IF(V166=E166,1,0))</f>
        <v/>
      </c>
    </row>
    <row r="167">
      <c r="A167" s="102">
        <f>'Runs Z score'!A155</f>
        <v/>
      </c>
      <c r="B167" s="98">
        <f>'Runs Z score'!B155</f>
        <v/>
      </c>
      <c r="C167" s="98">
        <f>'Runs Z score'!C155</f>
        <v/>
      </c>
      <c r="D167" s="98">
        <f>'Runs Z score'!D155</f>
        <v/>
      </c>
      <c r="E167" s="98">
        <f>'Runs Z score'!E155</f>
        <v/>
      </c>
      <c r="F167" s="98">
        <f>'Runs Z score'!F155</f>
        <v/>
      </c>
      <c r="G167" s="99">
        <f>'Runs Z score'!G155</f>
        <v/>
      </c>
      <c r="H167" s="100">
        <f>VLOOKUP(C167,Recipes!$A$2:$N$4,10,FALSE())</f>
        <v/>
      </c>
      <c r="I167" s="101">
        <f>VLOOKUP(C167,Recipes!$A$2:$N$4,12,FALSE())</f>
        <v/>
      </c>
      <c r="J167" s="101">
        <f>IF(G167="","",((G167-H167)/I167)^2)</f>
        <v/>
      </c>
      <c r="K167" s="101">
        <f>IF(G167="","",MAX(0, J167-$B$12))</f>
        <v/>
      </c>
      <c r="L167" s="100">
        <f>IF(G167="","",SQRT(K167))</f>
        <v/>
      </c>
      <c r="M167" s="98">
        <f>IF(G167="","",IF(K167&lt;=$B$10,"OK","NG"))</f>
        <v/>
      </c>
      <c r="N167" s="69">
        <f>IF(M167="","",IF(M167=D167,1,0))</f>
        <v/>
      </c>
      <c r="O167" s="100">
        <f>IF(G167="","",H167-G167)</f>
        <v/>
      </c>
      <c r="P167" s="100">
        <f>IF(G167="","",ABS(O167-Components!$D$2))</f>
        <v/>
      </c>
      <c r="Q167" s="100">
        <f>IF(G167="","",ABS(O167-Components!$D$3))</f>
        <v/>
      </c>
      <c r="R167" s="100">
        <f>IF(G167="","",ABS(O167-Components!$D$4))</f>
        <v/>
      </c>
      <c r="S167" s="100">
        <f>IF(G167="","",ABS(O167-Components!$D$5))</f>
        <v/>
      </c>
      <c r="T167" s="100">
        <f>IF(G167="","",ABS(O167-Components!$D$6))</f>
        <v/>
      </c>
      <c r="U167" s="100">
        <f>IF(G167="","",ABS(O167-Components!$D$7))</f>
        <v/>
      </c>
      <c r="V167" s="98">
        <f>IF(G167="","",IF(M167="OK","NONE",INDEX({"S1","S2","W1","W2","N1","N2"},MATCH(MIN(P167:U167),P167:U167,0))))</f>
        <v/>
      </c>
      <c r="W167" s="103">
        <f>IF(G167="","",IF(V167=E167,1,0))</f>
        <v/>
      </c>
    </row>
    <row r="168">
      <c r="A168" s="102">
        <f>'Runs Z score'!A156</f>
        <v/>
      </c>
      <c r="B168" s="98">
        <f>'Runs Z score'!B156</f>
        <v/>
      </c>
      <c r="C168" s="98">
        <f>'Runs Z score'!C156</f>
        <v/>
      </c>
      <c r="D168" s="98">
        <f>'Runs Z score'!D156</f>
        <v/>
      </c>
      <c r="E168" s="98">
        <f>'Runs Z score'!E156</f>
        <v/>
      </c>
      <c r="F168" s="98">
        <f>'Runs Z score'!F156</f>
        <v/>
      </c>
      <c r="G168" s="99">
        <f>'Runs Z score'!G156</f>
        <v/>
      </c>
      <c r="H168" s="100">
        <f>VLOOKUP(C168,Recipes!$A$2:$N$4,10,FALSE())</f>
        <v/>
      </c>
      <c r="I168" s="101">
        <f>VLOOKUP(C168,Recipes!$A$2:$N$4,12,FALSE())</f>
        <v/>
      </c>
      <c r="J168" s="101">
        <f>IF(G168="","",((G168-H168)/I168)^2)</f>
        <v/>
      </c>
      <c r="K168" s="101">
        <f>IF(G168="","",MAX(0, J168-$B$12))</f>
        <v/>
      </c>
      <c r="L168" s="100">
        <f>IF(G168="","",SQRT(K168))</f>
        <v/>
      </c>
      <c r="M168" s="98">
        <f>IF(G168="","",IF(K168&lt;=$B$10,"OK","NG"))</f>
        <v/>
      </c>
      <c r="N168" s="69">
        <f>IF(M168="","",IF(M168=D168,1,0))</f>
        <v/>
      </c>
      <c r="O168" s="100">
        <f>IF(G168="","",H168-G168)</f>
        <v/>
      </c>
      <c r="P168" s="100">
        <f>IF(G168="","",ABS(O168-Components!$D$2))</f>
        <v/>
      </c>
      <c r="Q168" s="100">
        <f>IF(G168="","",ABS(O168-Components!$D$3))</f>
        <v/>
      </c>
      <c r="R168" s="100">
        <f>IF(G168="","",ABS(O168-Components!$D$4))</f>
        <v/>
      </c>
      <c r="S168" s="100">
        <f>IF(G168="","",ABS(O168-Components!$D$5))</f>
        <v/>
      </c>
      <c r="T168" s="100">
        <f>IF(G168="","",ABS(O168-Components!$D$6))</f>
        <v/>
      </c>
      <c r="U168" s="100">
        <f>IF(G168="","",ABS(O168-Components!$D$7))</f>
        <v/>
      </c>
      <c r="V168" s="98">
        <f>IF(G168="","",IF(M168="OK","NONE",INDEX({"S1","S2","W1","W2","N1","N2"},MATCH(MIN(P168:U168),P168:U168,0))))</f>
        <v/>
      </c>
      <c r="W168" s="103">
        <f>IF(G168="","",IF(V168=E168,1,0))</f>
        <v/>
      </c>
    </row>
    <row r="169">
      <c r="A169" s="102">
        <f>'Runs Z score'!A157</f>
        <v/>
      </c>
      <c r="B169" s="98">
        <f>'Runs Z score'!B157</f>
        <v/>
      </c>
      <c r="C169" s="98">
        <f>'Runs Z score'!C157</f>
        <v/>
      </c>
      <c r="D169" s="98">
        <f>'Runs Z score'!D157</f>
        <v/>
      </c>
      <c r="E169" s="98">
        <f>'Runs Z score'!E157</f>
        <v/>
      </c>
      <c r="F169" s="98">
        <f>'Runs Z score'!F157</f>
        <v/>
      </c>
      <c r="G169" s="99">
        <f>'Runs Z score'!G157</f>
        <v/>
      </c>
      <c r="H169" s="100">
        <f>VLOOKUP(C169,Recipes!$A$2:$N$4,10,FALSE())</f>
        <v/>
      </c>
      <c r="I169" s="101">
        <f>VLOOKUP(C169,Recipes!$A$2:$N$4,12,FALSE())</f>
        <v/>
      </c>
      <c r="J169" s="101">
        <f>IF(G169="","",((G169-H169)/I169)^2)</f>
        <v/>
      </c>
      <c r="K169" s="101">
        <f>IF(G169="","",MAX(0, J169-$B$12))</f>
        <v/>
      </c>
      <c r="L169" s="100">
        <f>IF(G169="","",SQRT(K169))</f>
        <v/>
      </c>
      <c r="M169" s="98">
        <f>IF(G169="","",IF(K169&lt;=$B$10,"OK","NG"))</f>
        <v/>
      </c>
      <c r="N169" s="69">
        <f>IF(M169="","",IF(M169=D169,1,0))</f>
        <v/>
      </c>
      <c r="O169" s="100">
        <f>IF(G169="","",H169-G169)</f>
        <v/>
      </c>
      <c r="P169" s="100">
        <f>IF(G169="","",ABS(O169-Components!$D$2))</f>
        <v/>
      </c>
      <c r="Q169" s="100">
        <f>IF(G169="","",ABS(O169-Components!$D$3))</f>
        <v/>
      </c>
      <c r="R169" s="100">
        <f>IF(G169="","",ABS(O169-Components!$D$4))</f>
        <v/>
      </c>
      <c r="S169" s="100">
        <f>IF(G169="","",ABS(O169-Components!$D$5))</f>
        <v/>
      </c>
      <c r="T169" s="100">
        <f>IF(G169="","",ABS(O169-Components!$D$6))</f>
        <v/>
      </c>
      <c r="U169" s="100">
        <f>IF(G169="","",ABS(O169-Components!$D$7))</f>
        <v/>
      </c>
      <c r="V169" s="98">
        <f>IF(G169="","",IF(M169="OK","NONE",INDEX({"S1","S2","W1","W2","N1","N2"},MATCH(MIN(P169:U169),P169:U169,0))))</f>
        <v/>
      </c>
      <c r="W169" s="103">
        <f>IF(G169="","",IF(V169=E169,1,0))</f>
        <v/>
      </c>
    </row>
    <row r="170">
      <c r="A170" s="102">
        <f>'Runs Z score'!A158</f>
        <v/>
      </c>
      <c r="B170" s="98">
        <f>'Runs Z score'!B158</f>
        <v/>
      </c>
      <c r="C170" s="98">
        <f>'Runs Z score'!C158</f>
        <v/>
      </c>
      <c r="D170" s="98">
        <f>'Runs Z score'!D158</f>
        <v/>
      </c>
      <c r="E170" s="98">
        <f>'Runs Z score'!E158</f>
        <v/>
      </c>
      <c r="F170" s="98">
        <f>'Runs Z score'!F158</f>
        <v/>
      </c>
      <c r="G170" s="99">
        <f>'Runs Z score'!G158</f>
        <v/>
      </c>
      <c r="H170" s="100">
        <f>VLOOKUP(C170,Recipes!$A$2:$N$4,10,FALSE())</f>
        <v/>
      </c>
      <c r="I170" s="101">
        <f>VLOOKUP(C170,Recipes!$A$2:$N$4,12,FALSE())</f>
        <v/>
      </c>
      <c r="J170" s="101">
        <f>IF(G170="","",((G170-H170)/I170)^2)</f>
        <v/>
      </c>
      <c r="K170" s="101">
        <f>IF(G170="","",MAX(0, J170-$B$12))</f>
        <v/>
      </c>
      <c r="L170" s="100">
        <f>IF(G170="","",SQRT(K170))</f>
        <v/>
      </c>
      <c r="M170" s="98">
        <f>IF(G170="","",IF(K170&lt;=$B$10,"OK","NG"))</f>
        <v/>
      </c>
      <c r="N170" s="69">
        <f>IF(M170="","",IF(M170=D170,1,0))</f>
        <v/>
      </c>
      <c r="O170" s="100">
        <f>IF(G170="","",H170-G170)</f>
        <v/>
      </c>
      <c r="P170" s="100">
        <f>IF(G170="","",ABS(O170-Components!$D$2))</f>
        <v/>
      </c>
      <c r="Q170" s="100">
        <f>IF(G170="","",ABS(O170-Components!$D$3))</f>
        <v/>
      </c>
      <c r="R170" s="100">
        <f>IF(G170="","",ABS(O170-Components!$D$4))</f>
        <v/>
      </c>
      <c r="S170" s="100">
        <f>IF(G170="","",ABS(O170-Components!$D$5))</f>
        <v/>
      </c>
      <c r="T170" s="100">
        <f>IF(G170="","",ABS(O170-Components!$D$6))</f>
        <v/>
      </c>
      <c r="U170" s="100">
        <f>IF(G170="","",ABS(O170-Components!$D$7))</f>
        <v/>
      </c>
      <c r="V170" s="98">
        <f>IF(G170="","",IF(M170="OK","NONE",INDEX({"S1","S2","W1","W2","N1","N2"},MATCH(MIN(P170:U170),P170:U170,0))))</f>
        <v/>
      </c>
      <c r="W170" s="103">
        <f>IF(G170="","",IF(V170=E170,1,0))</f>
        <v/>
      </c>
    </row>
    <row r="171">
      <c r="A171" s="102">
        <f>'Runs Z score'!A159</f>
        <v/>
      </c>
      <c r="B171" s="98">
        <f>'Runs Z score'!B159</f>
        <v/>
      </c>
      <c r="C171" s="98">
        <f>'Runs Z score'!C159</f>
        <v/>
      </c>
      <c r="D171" s="98">
        <f>'Runs Z score'!D159</f>
        <v/>
      </c>
      <c r="E171" s="98">
        <f>'Runs Z score'!E159</f>
        <v/>
      </c>
      <c r="F171" s="98">
        <f>'Runs Z score'!F159</f>
        <v/>
      </c>
      <c r="G171" s="99">
        <f>'Runs Z score'!G159</f>
        <v/>
      </c>
      <c r="H171" s="100">
        <f>VLOOKUP(C171,Recipes!$A$2:$N$4,10,FALSE())</f>
        <v/>
      </c>
      <c r="I171" s="101">
        <f>VLOOKUP(C171,Recipes!$A$2:$N$4,12,FALSE())</f>
        <v/>
      </c>
      <c r="J171" s="101">
        <f>IF(G171="","",((G171-H171)/I171)^2)</f>
        <v/>
      </c>
      <c r="K171" s="101">
        <f>IF(G171="","",MAX(0, J171-$B$12))</f>
        <v/>
      </c>
      <c r="L171" s="100">
        <f>IF(G171="","",SQRT(K171))</f>
        <v/>
      </c>
      <c r="M171" s="98">
        <f>IF(G171="","",IF(K171&lt;=$B$10,"OK","NG"))</f>
        <v/>
      </c>
      <c r="N171" s="69">
        <f>IF(M171="","",IF(M171=D171,1,0))</f>
        <v/>
      </c>
      <c r="O171" s="100">
        <f>IF(G171="","",H171-G171)</f>
        <v/>
      </c>
      <c r="P171" s="100">
        <f>IF(G171="","",ABS(O171-Components!$D$2))</f>
        <v/>
      </c>
      <c r="Q171" s="100">
        <f>IF(G171="","",ABS(O171-Components!$D$3))</f>
        <v/>
      </c>
      <c r="R171" s="100">
        <f>IF(G171="","",ABS(O171-Components!$D$4))</f>
        <v/>
      </c>
      <c r="S171" s="100">
        <f>IF(G171="","",ABS(O171-Components!$D$5))</f>
        <v/>
      </c>
      <c r="T171" s="100">
        <f>IF(G171="","",ABS(O171-Components!$D$6))</f>
        <v/>
      </c>
      <c r="U171" s="100">
        <f>IF(G171="","",ABS(O171-Components!$D$7))</f>
        <v/>
      </c>
      <c r="V171" s="98">
        <f>IF(G171="","",IF(M171="OK","NONE",INDEX({"S1","S2","W1","W2","N1","N2"},MATCH(MIN(P171:U171),P171:U171,0))))</f>
        <v/>
      </c>
      <c r="W171" s="103">
        <f>IF(G171="","",IF(V171=E171,1,0))</f>
        <v/>
      </c>
    </row>
    <row r="172">
      <c r="A172" s="102">
        <f>'Runs Z score'!A160</f>
        <v/>
      </c>
      <c r="B172" s="98">
        <f>'Runs Z score'!B160</f>
        <v/>
      </c>
      <c r="C172" s="98">
        <f>'Runs Z score'!C160</f>
        <v/>
      </c>
      <c r="D172" s="98">
        <f>'Runs Z score'!D160</f>
        <v/>
      </c>
      <c r="E172" s="98">
        <f>'Runs Z score'!E160</f>
        <v/>
      </c>
      <c r="F172" s="98">
        <f>'Runs Z score'!F160</f>
        <v/>
      </c>
      <c r="G172" s="99">
        <f>'Runs Z score'!G160</f>
        <v/>
      </c>
      <c r="H172" s="100">
        <f>VLOOKUP(C172,Recipes!$A$2:$N$4,10,FALSE())</f>
        <v/>
      </c>
      <c r="I172" s="101">
        <f>VLOOKUP(C172,Recipes!$A$2:$N$4,12,FALSE())</f>
        <v/>
      </c>
      <c r="J172" s="101">
        <f>IF(G172="","",((G172-H172)/I172)^2)</f>
        <v/>
      </c>
      <c r="K172" s="101">
        <f>IF(G172="","",MAX(0, J172-$B$12))</f>
        <v/>
      </c>
      <c r="L172" s="100">
        <f>IF(G172="","",SQRT(K172))</f>
        <v/>
      </c>
      <c r="M172" s="98">
        <f>IF(G172="","",IF(K172&lt;=$B$10,"OK","NG"))</f>
        <v/>
      </c>
      <c r="N172" s="69">
        <f>IF(M172="","",IF(M172=D172,1,0))</f>
        <v/>
      </c>
      <c r="O172" s="100">
        <f>IF(G172="","",H172-G172)</f>
        <v/>
      </c>
      <c r="P172" s="100">
        <f>IF(G172="","",ABS(O172-Components!$D$2))</f>
        <v/>
      </c>
      <c r="Q172" s="100">
        <f>IF(G172="","",ABS(O172-Components!$D$3))</f>
        <v/>
      </c>
      <c r="R172" s="100">
        <f>IF(G172="","",ABS(O172-Components!$D$4))</f>
        <v/>
      </c>
      <c r="S172" s="100">
        <f>IF(G172="","",ABS(O172-Components!$D$5))</f>
        <v/>
      </c>
      <c r="T172" s="100">
        <f>IF(G172="","",ABS(O172-Components!$D$6))</f>
        <v/>
      </c>
      <c r="U172" s="100">
        <f>IF(G172="","",ABS(O172-Components!$D$7))</f>
        <v/>
      </c>
      <c r="V172" s="98">
        <f>IF(G172="","",IF(M172="OK","NONE",INDEX({"S1","S2","W1","W2","N1","N2"},MATCH(MIN(P172:U172),P172:U172,0))))</f>
        <v/>
      </c>
      <c r="W172" s="103">
        <f>IF(G172="","",IF(V172=E172,1,0))</f>
        <v/>
      </c>
    </row>
    <row r="173">
      <c r="A173" s="102">
        <f>'Runs Z score'!A161</f>
        <v/>
      </c>
      <c r="B173" s="98">
        <f>'Runs Z score'!B161</f>
        <v/>
      </c>
      <c r="C173" s="98">
        <f>'Runs Z score'!C161</f>
        <v/>
      </c>
      <c r="D173" s="98">
        <f>'Runs Z score'!D161</f>
        <v/>
      </c>
      <c r="E173" s="98">
        <f>'Runs Z score'!E161</f>
        <v/>
      </c>
      <c r="F173" s="98">
        <f>'Runs Z score'!F161</f>
        <v/>
      </c>
      <c r="G173" s="99">
        <f>'Runs Z score'!G161</f>
        <v/>
      </c>
      <c r="H173" s="100">
        <f>VLOOKUP(C173,Recipes!$A$2:$N$4,10,FALSE())</f>
        <v/>
      </c>
      <c r="I173" s="101">
        <f>VLOOKUP(C173,Recipes!$A$2:$N$4,12,FALSE())</f>
        <v/>
      </c>
      <c r="J173" s="101">
        <f>IF(G173="","",((G173-H173)/I173)^2)</f>
        <v/>
      </c>
      <c r="K173" s="101">
        <f>IF(G173="","",MAX(0, J173-$B$12))</f>
        <v/>
      </c>
      <c r="L173" s="100">
        <f>IF(G173="","",SQRT(K173))</f>
        <v/>
      </c>
      <c r="M173" s="98">
        <f>IF(G173="","",IF(K173&lt;=$B$10,"OK","NG"))</f>
        <v/>
      </c>
      <c r="N173" s="69">
        <f>IF(M173="","",IF(M173=D173,1,0))</f>
        <v/>
      </c>
      <c r="O173" s="100">
        <f>IF(G173="","",H173-G173)</f>
        <v/>
      </c>
      <c r="P173" s="100">
        <f>IF(G173="","",ABS(O173-Components!$D$2))</f>
        <v/>
      </c>
      <c r="Q173" s="100">
        <f>IF(G173="","",ABS(O173-Components!$D$3))</f>
        <v/>
      </c>
      <c r="R173" s="100">
        <f>IF(G173="","",ABS(O173-Components!$D$4))</f>
        <v/>
      </c>
      <c r="S173" s="100">
        <f>IF(G173="","",ABS(O173-Components!$D$5))</f>
        <v/>
      </c>
      <c r="T173" s="100">
        <f>IF(G173="","",ABS(O173-Components!$D$6))</f>
        <v/>
      </c>
      <c r="U173" s="100">
        <f>IF(G173="","",ABS(O173-Components!$D$7))</f>
        <v/>
      </c>
      <c r="V173" s="98">
        <f>IF(G173="","",IF(M173="OK","NONE",INDEX({"S1","S2","W1","W2","N1","N2"},MATCH(MIN(P173:U173),P173:U173,0))))</f>
        <v/>
      </c>
      <c r="W173" s="103">
        <f>IF(G173="","",IF(V173=E173,1,0))</f>
        <v/>
      </c>
    </row>
    <row r="174">
      <c r="A174" s="102">
        <f>'Runs Z score'!A162</f>
        <v/>
      </c>
      <c r="B174" s="98">
        <f>'Runs Z score'!B162</f>
        <v/>
      </c>
      <c r="C174" s="98">
        <f>'Runs Z score'!C162</f>
        <v/>
      </c>
      <c r="D174" s="98">
        <f>'Runs Z score'!D162</f>
        <v/>
      </c>
      <c r="E174" s="98">
        <f>'Runs Z score'!E162</f>
        <v/>
      </c>
      <c r="F174" s="98">
        <f>'Runs Z score'!F162</f>
        <v/>
      </c>
      <c r="G174" s="99">
        <f>'Runs Z score'!G162</f>
        <v/>
      </c>
      <c r="H174" s="100">
        <f>VLOOKUP(C174,Recipes!$A$2:$N$4,10,FALSE())</f>
        <v/>
      </c>
      <c r="I174" s="101">
        <f>VLOOKUP(C174,Recipes!$A$2:$N$4,12,FALSE())</f>
        <v/>
      </c>
      <c r="J174" s="101">
        <f>IF(G174="","",((G174-H174)/I174)^2)</f>
        <v/>
      </c>
      <c r="K174" s="101">
        <f>IF(G174="","",MAX(0, J174-$B$12))</f>
        <v/>
      </c>
      <c r="L174" s="100">
        <f>IF(G174="","",SQRT(K174))</f>
        <v/>
      </c>
      <c r="M174" s="98">
        <f>IF(G174="","",IF(K174&lt;=$B$10,"OK","NG"))</f>
        <v/>
      </c>
      <c r="N174" s="69">
        <f>IF(M174="","",IF(M174=D174,1,0))</f>
        <v/>
      </c>
      <c r="O174" s="100">
        <f>IF(G174="","",H174-G174)</f>
        <v/>
      </c>
      <c r="P174" s="100">
        <f>IF(G174="","",ABS(O174-Components!$D$2))</f>
        <v/>
      </c>
      <c r="Q174" s="100">
        <f>IF(G174="","",ABS(O174-Components!$D$3))</f>
        <v/>
      </c>
      <c r="R174" s="100">
        <f>IF(G174="","",ABS(O174-Components!$D$4))</f>
        <v/>
      </c>
      <c r="S174" s="100">
        <f>IF(G174="","",ABS(O174-Components!$D$5))</f>
        <v/>
      </c>
      <c r="T174" s="100">
        <f>IF(G174="","",ABS(O174-Components!$D$6))</f>
        <v/>
      </c>
      <c r="U174" s="100">
        <f>IF(G174="","",ABS(O174-Components!$D$7))</f>
        <v/>
      </c>
      <c r="V174" s="98">
        <f>IF(G174="","",IF(M174="OK","NONE",INDEX({"S1","S2","W1","W2","N1","N2"},MATCH(MIN(P174:U174),P174:U174,0))))</f>
        <v/>
      </c>
      <c r="W174" s="103">
        <f>IF(G174="","",IF(V174=E174,1,0))</f>
        <v/>
      </c>
    </row>
    <row r="175">
      <c r="A175" s="102">
        <f>'Runs Z score'!A163</f>
        <v/>
      </c>
      <c r="B175" s="98">
        <f>'Runs Z score'!B163</f>
        <v/>
      </c>
      <c r="C175" s="98">
        <f>'Runs Z score'!C163</f>
        <v/>
      </c>
      <c r="D175" s="98">
        <f>'Runs Z score'!D163</f>
        <v/>
      </c>
      <c r="E175" s="98">
        <f>'Runs Z score'!E163</f>
        <v/>
      </c>
      <c r="F175" s="98">
        <f>'Runs Z score'!F163</f>
        <v/>
      </c>
      <c r="G175" s="99">
        <f>'Runs Z score'!G163</f>
        <v/>
      </c>
      <c r="H175" s="100">
        <f>VLOOKUP(C175,Recipes!$A$2:$N$4,10,FALSE())</f>
        <v/>
      </c>
      <c r="I175" s="101">
        <f>VLOOKUP(C175,Recipes!$A$2:$N$4,12,FALSE())</f>
        <v/>
      </c>
      <c r="J175" s="101">
        <f>IF(G175="","",((G175-H175)/I175)^2)</f>
        <v/>
      </c>
      <c r="K175" s="101">
        <f>IF(G175="","",MAX(0, J175-$B$12))</f>
        <v/>
      </c>
      <c r="L175" s="100">
        <f>IF(G175="","",SQRT(K175))</f>
        <v/>
      </c>
      <c r="M175" s="98">
        <f>IF(G175="","",IF(K175&lt;=$B$10,"OK","NG"))</f>
        <v/>
      </c>
      <c r="N175" s="69">
        <f>IF(M175="","",IF(M175=D175,1,0))</f>
        <v/>
      </c>
      <c r="O175" s="100">
        <f>IF(G175="","",H175-G175)</f>
        <v/>
      </c>
      <c r="P175" s="100">
        <f>IF(G175="","",ABS(O175-Components!$D$2))</f>
        <v/>
      </c>
      <c r="Q175" s="100">
        <f>IF(G175="","",ABS(O175-Components!$D$3))</f>
        <v/>
      </c>
      <c r="R175" s="100">
        <f>IF(G175="","",ABS(O175-Components!$D$4))</f>
        <v/>
      </c>
      <c r="S175" s="100">
        <f>IF(G175="","",ABS(O175-Components!$D$5))</f>
        <v/>
      </c>
      <c r="T175" s="100">
        <f>IF(G175="","",ABS(O175-Components!$D$6))</f>
        <v/>
      </c>
      <c r="U175" s="100">
        <f>IF(G175="","",ABS(O175-Components!$D$7))</f>
        <v/>
      </c>
      <c r="V175" s="98">
        <f>IF(G175="","",IF(M175="OK","NONE",INDEX({"S1","S2","W1","W2","N1","N2"},MATCH(MIN(P175:U175),P175:U175,0))))</f>
        <v/>
      </c>
      <c r="W175" s="103">
        <f>IF(G175="","",IF(V175=E175,1,0))</f>
        <v/>
      </c>
    </row>
    <row r="176">
      <c r="A176" s="102">
        <f>'Runs Z score'!A164</f>
        <v/>
      </c>
      <c r="B176" s="98">
        <f>'Runs Z score'!B164</f>
        <v/>
      </c>
      <c r="C176" s="98">
        <f>'Runs Z score'!C164</f>
        <v/>
      </c>
      <c r="D176" s="98">
        <f>'Runs Z score'!D164</f>
        <v/>
      </c>
      <c r="E176" s="98">
        <f>'Runs Z score'!E164</f>
        <v/>
      </c>
      <c r="F176" s="98">
        <f>'Runs Z score'!F164</f>
        <v/>
      </c>
      <c r="G176" s="99">
        <f>'Runs Z score'!G164</f>
        <v/>
      </c>
      <c r="H176" s="100">
        <f>VLOOKUP(C176,Recipes!$A$2:$N$4,10,FALSE())</f>
        <v/>
      </c>
      <c r="I176" s="101">
        <f>VLOOKUP(C176,Recipes!$A$2:$N$4,12,FALSE())</f>
        <v/>
      </c>
      <c r="J176" s="101">
        <f>IF(G176="","",((G176-H176)/I176)^2)</f>
        <v/>
      </c>
      <c r="K176" s="101">
        <f>IF(G176="","",MAX(0, J176-$B$12))</f>
        <v/>
      </c>
      <c r="L176" s="100">
        <f>IF(G176="","",SQRT(K176))</f>
        <v/>
      </c>
      <c r="M176" s="98">
        <f>IF(G176="","",IF(K176&lt;=$B$10,"OK","NG"))</f>
        <v/>
      </c>
      <c r="N176" s="69">
        <f>IF(M176="","",IF(M176=D176,1,0))</f>
        <v/>
      </c>
      <c r="O176" s="100">
        <f>IF(G176="","",H176-G176)</f>
        <v/>
      </c>
      <c r="P176" s="100">
        <f>IF(G176="","",ABS(O176-Components!$D$2))</f>
        <v/>
      </c>
      <c r="Q176" s="100">
        <f>IF(G176="","",ABS(O176-Components!$D$3))</f>
        <v/>
      </c>
      <c r="R176" s="100">
        <f>IF(G176="","",ABS(O176-Components!$D$4))</f>
        <v/>
      </c>
      <c r="S176" s="100">
        <f>IF(G176="","",ABS(O176-Components!$D$5))</f>
        <v/>
      </c>
      <c r="T176" s="100">
        <f>IF(G176="","",ABS(O176-Components!$D$6))</f>
        <v/>
      </c>
      <c r="U176" s="100">
        <f>IF(G176="","",ABS(O176-Components!$D$7))</f>
        <v/>
      </c>
      <c r="V176" s="98">
        <f>IF(G176="","",IF(M176="OK","NONE",INDEX({"S1","S2","W1","W2","N1","N2"},MATCH(MIN(P176:U176),P176:U176,0))))</f>
        <v/>
      </c>
      <c r="W176" s="103">
        <f>IF(G176="","",IF(V176=E176,1,0))</f>
        <v/>
      </c>
    </row>
    <row r="177">
      <c r="A177" s="102">
        <f>'Runs Z score'!A165</f>
        <v/>
      </c>
      <c r="B177" s="98">
        <f>'Runs Z score'!B165</f>
        <v/>
      </c>
      <c r="C177" s="98">
        <f>'Runs Z score'!C165</f>
        <v/>
      </c>
      <c r="D177" s="98">
        <f>'Runs Z score'!D165</f>
        <v/>
      </c>
      <c r="E177" s="98">
        <f>'Runs Z score'!E165</f>
        <v/>
      </c>
      <c r="F177" s="98">
        <f>'Runs Z score'!F165</f>
        <v/>
      </c>
      <c r="G177" s="99">
        <f>'Runs Z score'!G165</f>
        <v/>
      </c>
      <c r="H177" s="100">
        <f>VLOOKUP(C177,Recipes!$A$2:$N$4,10,FALSE())</f>
        <v/>
      </c>
      <c r="I177" s="101">
        <f>VLOOKUP(C177,Recipes!$A$2:$N$4,12,FALSE())</f>
        <v/>
      </c>
      <c r="J177" s="101">
        <f>IF(G177="","",((G177-H177)/I177)^2)</f>
        <v/>
      </c>
      <c r="K177" s="101">
        <f>IF(G177="","",MAX(0, J177-$B$12))</f>
        <v/>
      </c>
      <c r="L177" s="100">
        <f>IF(G177="","",SQRT(K177))</f>
        <v/>
      </c>
      <c r="M177" s="98">
        <f>IF(G177="","",IF(K177&lt;=$B$10,"OK","NG"))</f>
        <v/>
      </c>
      <c r="N177" s="69">
        <f>IF(M177="","",IF(M177=D177,1,0))</f>
        <v/>
      </c>
      <c r="O177" s="100">
        <f>IF(G177="","",H177-G177)</f>
        <v/>
      </c>
      <c r="P177" s="100">
        <f>IF(G177="","",ABS(O177-Components!$D$2))</f>
        <v/>
      </c>
      <c r="Q177" s="100">
        <f>IF(G177="","",ABS(O177-Components!$D$3))</f>
        <v/>
      </c>
      <c r="R177" s="100">
        <f>IF(G177="","",ABS(O177-Components!$D$4))</f>
        <v/>
      </c>
      <c r="S177" s="100">
        <f>IF(G177="","",ABS(O177-Components!$D$5))</f>
        <v/>
      </c>
      <c r="T177" s="100">
        <f>IF(G177="","",ABS(O177-Components!$D$6))</f>
        <v/>
      </c>
      <c r="U177" s="100">
        <f>IF(G177="","",ABS(O177-Components!$D$7))</f>
        <v/>
      </c>
      <c r="V177" s="98">
        <f>IF(G177="","",IF(M177="OK","NONE",INDEX({"S1","S2","W1","W2","N1","N2"},MATCH(MIN(P177:U177),P177:U177,0))))</f>
        <v/>
      </c>
      <c r="W177" s="103">
        <f>IF(G177="","",IF(V177=E177,1,0))</f>
        <v/>
      </c>
    </row>
    <row r="178">
      <c r="A178" s="102">
        <f>'Runs Z score'!A166</f>
        <v/>
      </c>
      <c r="B178" s="98">
        <f>'Runs Z score'!B166</f>
        <v/>
      </c>
      <c r="C178" s="98">
        <f>'Runs Z score'!C166</f>
        <v/>
      </c>
      <c r="D178" s="98">
        <f>'Runs Z score'!D166</f>
        <v/>
      </c>
      <c r="E178" s="98">
        <f>'Runs Z score'!E166</f>
        <v/>
      </c>
      <c r="F178" s="98">
        <f>'Runs Z score'!F166</f>
        <v/>
      </c>
      <c r="G178" s="99">
        <f>'Runs Z score'!G166</f>
        <v/>
      </c>
      <c r="H178" s="100">
        <f>VLOOKUP(C178,Recipes!$A$2:$N$4,10,FALSE())</f>
        <v/>
      </c>
      <c r="I178" s="101">
        <f>VLOOKUP(C178,Recipes!$A$2:$N$4,12,FALSE())</f>
        <v/>
      </c>
      <c r="J178" s="101">
        <f>IF(G178="","",((G178-H178)/I178)^2)</f>
        <v/>
      </c>
      <c r="K178" s="101">
        <f>IF(G178="","",MAX(0, J178-$B$12))</f>
        <v/>
      </c>
      <c r="L178" s="100">
        <f>IF(G178="","",SQRT(K178))</f>
        <v/>
      </c>
      <c r="M178" s="98">
        <f>IF(G178="","",IF(K178&lt;=$B$10,"OK","NG"))</f>
        <v/>
      </c>
      <c r="N178" s="69">
        <f>IF(M178="","",IF(M178=D178,1,0))</f>
        <v/>
      </c>
      <c r="O178" s="100">
        <f>IF(G178="","",H178-G178)</f>
        <v/>
      </c>
      <c r="P178" s="100">
        <f>IF(G178="","",ABS(O178-Components!$D$2))</f>
        <v/>
      </c>
      <c r="Q178" s="100">
        <f>IF(G178="","",ABS(O178-Components!$D$3))</f>
        <v/>
      </c>
      <c r="R178" s="100">
        <f>IF(G178="","",ABS(O178-Components!$D$4))</f>
        <v/>
      </c>
      <c r="S178" s="100">
        <f>IF(G178="","",ABS(O178-Components!$D$5))</f>
        <v/>
      </c>
      <c r="T178" s="100">
        <f>IF(G178="","",ABS(O178-Components!$D$6))</f>
        <v/>
      </c>
      <c r="U178" s="100">
        <f>IF(G178="","",ABS(O178-Components!$D$7))</f>
        <v/>
      </c>
      <c r="V178" s="98">
        <f>IF(G178="","",IF(M178="OK","NONE",INDEX({"S1","S2","W1","W2","N1","N2"},MATCH(MIN(P178:U178),P178:U178,0))))</f>
        <v/>
      </c>
      <c r="W178" s="103">
        <f>IF(G178="","",IF(V178=E178,1,0))</f>
        <v/>
      </c>
    </row>
    <row r="179">
      <c r="A179" s="102">
        <f>'Runs Z score'!A167</f>
        <v/>
      </c>
      <c r="B179" s="98">
        <f>'Runs Z score'!B167</f>
        <v/>
      </c>
      <c r="C179" s="98">
        <f>'Runs Z score'!C167</f>
        <v/>
      </c>
      <c r="D179" s="98">
        <f>'Runs Z score'!D167</f>
        <v/>
      </c>
      <c r="E179" s="98">
        <f>'Runs Z score'!E167</f>
        <v/>
      </c>
      <c r="F179" s="98">
        <f>'Runs Z score'!F167</f>
        <v/>
      </c>
      <c r="G179" s="99">
        <f>'Runs Z score'!G167</f>
        <v/>
      </c>
      <c r="H179" s="100">
        <f>VLOOKUP(C179,Recipes!$A$2:$N$4,10,FALSE())</f>
        <v/>
      </c>
      <c r="I179" s="101">
        <f>VLOOKUP(C179,Recipes!$A$2:$N$4,12,FALSE())</f>
        <v/>
      </c>
      <c r="J179" s="101">
        <f>IF(G179="","",((G179-H179)/I179)^2)</f>
        <v/>
      </c>
      <c r="K179" s="101">
        <f>IF(G179="","",MAX(0, J179-$B$12))</f>
        <v/>
      </c>
      <c r="L179" s="100">
        <f>IF(G179="","",SQRT(K179))</f>
        <v/>
      </c>
      <c r="M179" s="98">
        <f>IF(G179="","",IF(K179&lt;=$B$10,"OK","NG"))</f>
        <v/>
      </c>
      <c r="N179" s="69">
        <f>IF(M179="","",IF(M179=D179,1,0))</f>
        <v/>
      </c>
      <c r="O179" s="100">
        <f>IF(G179="","",H179-G179)</f>
        <v/>
      </c>
      <c r="P179" s="100">
        <f>IF(G179="","",ABS(O179-Components!$D$2))</f>
        <v/>
      </c>
      <c r="Q179" s="100">
        <f>IF(G179="","",ABS(O179-Components!$D$3))</f>
        <v/>
      </c>
      <c r="R179" s="100">
        <f>IF(G179="","",ABS(O179-Components!$D$4))</f>
        <v/>
      </c>
      <c r="S179" s="100">
        <f>IF(G179="","",ABS(O179-Components!$D$5))</f>
        <v/>
      </c>
      <c r="T179" s="100">
        <f>IF(G179="","",ABS(O179-Components!$D$6))</f>
        <v/>
      </c>
      <c r="U179" s="100">
        <f>IF(G179="","",ABS(O179-Components!$D$7))</f>
        <v/>
      </c>
      <c r="V179" s="98">
        <f>IF(G179="","",IF(M179="OK","NONE",INDEX({"S1","S2","W1","W2","N1","N2"},MATCH(MIN(P179:U179),P179:U179,0))))</f>
        <v/>
      </c>
      <c r="W179" s="103">
        <f>IF(G179="","",IF(V179=E179,1,0))</f>
        <v/>
      </c>
    </row>
    <row r="180">
      <c r="A180" s="102">
        <f>'Runs Z score'!A168</f>
        <v/>
      </c>
      <c r="B180" s="98">
        <f>'Runs Z score'!B168</f>
        <v/>
      </c>
      <c r="C180" s="98">
        <f>'Runs Z score'!C168</f>
        <v/>
      </c>
      <c r="D180" s="98">
        <f>'Runs Z score'!D168</f>
        <v/>
      </c>
      <c r="E180" s="98">
        <f>'Runs Z score'!E168</f>
        <v/>
      </c>
      <c r="F180" s="98">
        <f>'Runs Z score'!F168</f>
        <v/>
      </c>
      <c r="G180" s="99">
        <f>'Runs Z score'!G168</f>
        <v/>
      </c>
      <c r="H180" s="100">
        <f>VLOOKUP(C180,Recipes!$A$2:$N$4,10,FALSE())</f>
        <v/>
      </c>
      <c r="I180" s="101">
        <f>VLOOKUP(C180,Recipes!$A$2:$N$4,12,FALSE())</f>
        <v/>
      </c>
      <c r="J180" s="101">
        <f>IF(G180="","",((G180-H180)/I180)^2)</f>
        <v/>
      </c>
      <c r="K180" s="101">
        <f>IF(G180="","",MAX(0, J180-$B$12))</f>
        <v/>
      </c>
      <c r="L180" s="100">
        <f>IF(G180="","",SQRT(K180))</f>
        <v/>
      </c>
      <c r="M180" s="98">
        <f>IF(G180="","",IF(K180&lt;=$B$10,"OK","NG"))</f>
        <v/>
      </c>
      <c r="N180" s="69">
        <f>IF(M180="","",IF(M180=D180,1,0))</f>
        <v/>
      </c>
      <c r="O180" s="100">
        <f>IF(G180="","",H180-G180)</f>
        <v/>
      </c>
      <c r="P180" s="100">
        <f>IF(G180="","",ABS(O180-Components!$D$2))</f>
        <v/>
      </c>
      <c r="Q180" s="100">
        <f>IF(G180="","",ABS(O180-Components!$D$3))</f>
        <v/>
      </c>
      <c r="R180" s="100">
        <f>IF(G180="","",ABS(O180-Components!$D$4))</f>
        <v/>
      </c>
      <c r="S180" s="100">
        <f>IF(G180="","",ABS(O180-Components!$D$5))</f>
        <v/>
      </c>
      <c r="T180" s="100">
        <f>IF(G180="","",ABS(O180-Components!$D$6))</f>
        <v/>
      </c>
      <c r="U180" s="100">
        <f>IF(G180="","",ABS(O180-Components!$D$7))</f>
        <v/>
      </c>
      <c r="V180" s="98">
        <f>IF(G180="","",IF(M180="OK","NONE",INDEX({"S1","S2","W1","W2","N1","N2"},MATCH(MIN(P180:U180),P180:U180,0))))</f>
        <v/>
      </c>
      <c r="W180" s="103">
        <f>IF(G180="","",IF(V180=E180,1,0))</f>
        <v/>
      </c>
    </row>
    <row r="181">
      <c r="A181" s="102">
        <f>'Runs Z score'!A169</f>
        <v/>
      </c>
      <c r="B181" s="98">
        <f>'Runs Z score'!B169</f>
        <v/>
      </c>
      <c r="C181" s="98">
        <f>'Runs Z score'!C169</f>
        <v/>
      </c>
      <c r="D181" s="98">
        <f>'Runs Z score'!D169</f>
        <v/>
      </c>
      <c r="E181" s="98">
        <f>'Runs Z score'!E169</f>
        <v/>
      </c>
      <c r="F181" s="98">
        <f>'Runs Z score'!F169</f>
        <v/>
      </c>
      <c r="G181" s="99">
        <f>'Runs Z score'!G169</f>
        <v/>
      </c>
      <c r="H181" s="100">
        <f>VLOOKUP(C181,Recipes!$A$2:$N$4,10,FALSE())</f>
        <v/>
      </c>
      <c r="I181" s="101">
        <f>VLOOKUP(C181,Recipes!$A$2:$N$4,12,FALSE())</f>
        <v/>
      </c>
      <c r="J181" s="101">
        <f>IF(G181="","",((G181-H181)/I181)^2)</f>
        <v/>
      </c>
      <c r="K181" s="101">
        <f>IF(G181="","",MAX(0, J181-$B$12))</f>
        <v/>
      </c>
      <c r="L181" s="100">
        <f>IF(G181="","",SQRT(K181))</f>
        <v/>
      </c>
      <c r="M181" s="98">
        <f>IF(G181="","",IF(K181&lt;=$B$10,"OK","NG"))</f>
        <v/>
      </c>
      <c r="N181" s="69">
        <f>IF(M181="","",IF(M181=D181,1,0))</f>
        <v/>
      </c>
      <c r="O181" s="100">
        <f>IF(G181="","",H181-G181)</f>
        <v/>
      </c>
      <c r="P181" s="100">
        <f>IF(G181="","",ABS(O181-Components!$D$2))</f>
        <v/>
      </c>
      <c r="Q181" s="100">
        <f>IF(G181="","",ABS(O181-Components!$D$3))</f>
        <v/>
      </c>
      <c r="R181" s="100">
        <f>IF(G181="","",ABS(O181-Components!$D$4))</f>
        <v/>
      </c>
      <c r="S181" s="100">
        <f>IF(G181="","",ABS(O181-Components!$D$5))</f>
        <v/>
      </c>
      <c r="T181" s="100">
        <f>IF(G181="","",ABS(O181-Components!$D$6))</f>
        <v/>
      </c>
      <c r="U181" s="100">
        <f>IF(G181="","",ABS(O181-Components!$D$7))</f>
        <v/>
      </c>
      <c r="V181" s="98">
        <f>IF(G181="","",IF(M181="OK","NONE",INDEX({"S1","S2","W1","W2","N1","N2"},MATCH(MIN(P181:U181),P181:U181,0))))</f>
        <v/>
      </c>
      <c r="W181" s="103">
        <f>IF(G181="","",IF(V181=E181,1,0))</f>
        <v/>
      </c>
    </row>
    <row r="182">
      <c r="A182" s="102">
        <f>'Runs Z score'!A170</f>
        <v/>
      </c>
      <c r="B182" s="98">
        <f>'Runs Z score'!B170</f>
        <v/>
      </c>
      <c r="C182" s="98">
        <f>'Runs Z score'!C170</f>
        <v/>
      </c>
      <c r="D182" s="98">
        <f>'Runs Z score'!D170</f>
        <v/>
      </c>
      <c r="E182" s="98">
        <f>'Runs Z score'!E170</f>
        <v/>
      </c>
      <c r="F182" s="98">
        <f>'Runs Z score'!F170</f>
        <v/>
      </c>
      <c r="G182" s="99">
        <f>'Runs Z score'!G170</f>
        <v/>
      </c>
      <c r="H182" s="100">
        <f>VLOOKUP(C182,Recipes!$A$2:$N$4,10,FALSE())</f>
        <v/>
      </c>
      <c r="I182" s="101">
        <f>VLOOKUP(C182,Recipes!$A$2:$N$4,12,FALSE())</f>
        <v/>
      </c>
      <c r="J182" s="101">
        <f>IF(G182="","",((G182-H182)/I182)^2)</f>
        <v/>
      </c>
      <c r="K182" s="101">
        <f>IF(G182="","",MAX(0, J182-$B$12))</f>
        <v/>
      </c>
      <c r="L182" s="100">
        <f>IF(G182="","",SQRT(K182))</f>
        <v/>
      </c>
      <c r="M182" s="98">
        <f>IF(G182="","",IF(K182&lt;=$B$10,"OK","NG"))</f>
        <v/>
      </c>
      <c r="N182" s="69">
        <f>IF(M182="","",IF(M182=D182,1,0))</f>
        <v/>
      </c>
      <c r="O182" s="100">
        <f>IF(G182="","",H182-G182)</f>
        <v/>
      </c>
      <c r="P182" s="100">
        <f>IF(G182="","",ABS(O182-Components!$D$2))</f>
        <v/>
      </c>
      <c r="Q182" s="100">
        <f>IF(G182="","",ABS(O182-Components!$D$3))</f>
        <v/>
      </c>
      <c r="R182" s="100">
        <f>IF(G182="","",ABS(O182-Components!$D$4))</f>
        <v/>
      </c>
      <c r="S182" s="100">
        <f>IF(G182="","",ABS(O182-Components!$D$5))</f>
        <v/>
      </c>
      <c r="T182" s="100">
        <f>IF(G182="","",ABS(O182-Components!$D$6))</f>
        <v/>
      </c>
      <c r="U182" s="100">
        <f>IF(G182="","",ABS(O182-Components!$D$7))</f>
        <v/>
      </c>
      <c r="V182" s="98">
        <f>IF(G182="","",IF(M182="OK","NONE",INDEX({"S1","S2","W1","W2","N1","N2"},MATCH(MIN(P182:U182),P182:U182,0))))</f>
        <v/>
      </c>
      <c r="W182" s="103">
        <f>IF(G182="","",IF(V182=E182,1,0))</f>
        <v/>
      </c>
    </row>
    <row r="183">
      <c r="A183" s="102">
        <f>'Runs Z score'!A171</f>
        <v/>
      </c>
      <c r="B183" s="98">
        <f>'Runs Z score'!B171</f>
        <v/>
      </c>
      <c r="C183" s="98">
        <f>'Runs Z score'!C171</f>
        <v/>
      </c>
      <c r="D183" s="98">
        <f>'Runs Z score'!D171</f>
        <v/>
      </c>
      <c r="E183" s="98">
        <f>'Runs Z score'!E171</f>
        <v/>
      </c>
      <c r="F183" s="98">
        <f>'Runs Z score'!F171</f>
        <v/>
      </c>
      <c r="G183" s="99">
        <f>'Runs Z score'!G171</f>
        <v/>
      </c>
      <c r="H183" s="100">
        <f>VLOOKUP(C183,Recipes!$A$2:$N$4,10,FALSE())</f>
        <v/>
      </c>
      <c r="I183" s="101">
        <f>VLOOKUP(C183,Recipes!$A$2:$N$4,12,FALSE())</f>
        <v/>
      </c>
      <c r="J183" s="101">
        <f>IF(G183="","",((G183-H183)/I183)^2)</f>
        <v/>
      </c>
      <c r="K183" s="101">
        <f>IF(G183="","",MAX(0, J183-$B$12))</f>
        <v/>
      </c>
      <c r="L183" s="100">
        <f>IF(G183="","",SQRT(K183))</f>
        <v/>
      </c>
      <c r="M183" s="98">
        <f>IF(G183="","",IF(K183&lt;=$B$10,"OK","NG"))</f>
        <v/>
      </c>
      <c r="N183" s="69">
        <f>IF(M183="","",IF(M183=D183,1,0))</f>
        <v/>
      </c>
      <c r="O183" s="100">
        <f>IF(G183="","",H183-G183)</f>
        <v/>
      </c>
      <c r="P183" s="100">
        <f>IF(G183="","",ABS(O183-Components!$D$2))</f>
        <v/>
      </c>
      <c r="Q183" s="100">
        <f>IF(G183="","",ABS(O183-Components!$D$3))</f>
        <v/>
      </c>
      <c r="R183" s="100">
        <f>IF(G183="","",ABS(O183-Components!$D$4))</f>
        <v/>
      </c>
      <c r="S183" s="100">
        <f>IF(G183="","",ABS(O183-Components!$D$5))</f>
        <v/>
      </c>
      <c r="T183" s="100">
        <f>IF(G183="","",ABS(O183-Components!$D$6))</f>
        <v/>
      </c>
      <c r="U183" s="100">
        <f>IF(G183="","",ABS(O183-Components!$D$7))</f>
        <v/>
      </c>
      <c r="V183" s="98">
        <f>IF(G183="","",IF(M183="OK","NONE",INDEX({"S1","S2","W1","W2","N1","N2"},MATCH(MIN(P183:U183),P183:U183,0))))</f>
        <v/>
      </c>
      <c r="W183" s="103">
        <f>IF(G183="","",IF(V183=E183,1,0))</f>
        <v/>
      </c>
    </row>
    <row r="184">
      <c r="A184" s="102">
        <f>'Runs Z score'!A172</f>
        <v/>
      </c>
      <c r="B184" s="98">
        <f>'Runs Z score'!B172</f>
        <v/>
      </c>
      <c r="C184" s="98">
        <f>'Runs Z score'!C172</f>
        <v/>
      </c>
      <c r="D184" s="98">
        <f>'Runs Z score'!D172</f>
        <v/>
      </c>
      <c r="E184" s="98">
        <f>'Runs Z score'!E172</f>
        <v/>
      </c>
      <c r="F184" s="98">
        <f>'Runs Z score'!F172</f>
        <v/>
      </c>
      <c r="G184" s="99">
        <f>'Runs Z score'!G172</f>
        <v/>
      </c>
      <c r="H184" s="100">
        <f>VLOOKUP(C184,Recipes!$A$2:$N$4,10,FALSE())</f>
        <v/>
      </c>
      <c r="I184" s="101">
        <f>VLOOKUP(C184,Recipes!$A$2:$N$4,12,FALSE())</f>
        <v/>
      </c>
      <c r="J184" s="101">
        <f>IF(G184="","",((G184-H184)/I184)^2)</f>
        <v/>
      </c>
      <c r="K184" s="101">
        <f>IF(G184="","",MAX(0, J184-$B$12))</f>
        <v/>
      </c>
      <c r="L184" s="100">
        <f>IF(G184="","",SQRT(K184))</f>
        <v/>
      </c>
      <c r="M184" s="98">
        <f>IF(G184="","",IF(K184&lt;=$B$10,"OK","NG"))</f>
        <v/>
      </c>
      <c r="N184" s="69">
        <f>IF(M184="","",IF(M184=D184,1,0))</f>
        <v/>
      </c>
      <c r="O184" s="100">
        <f>IF(G184="","",H184-G184)</f>
        <v/>
      </c>
      <c r="P184" s="100">
        <f>IF(G184="","",ABS(O184-Components!$D$2))</f>
        <v/>
      </c>
      <c r="Q184" s="100">
        <f>IF(G184="","",ABS(O184-Components!$D$3))</f>
        <v/>
      </c>
      <c r="R184" s="100">
        <f>IF(G184="","",ABS(O184-Components!$D$4))</f>
        <v/>
      </c>
      <c r="S184" s="100">
        <f>IF(G184="","",ABS(O184-Components!$D$5))</f>
        <v/>
      </c>
      <c r="T184" s="100">
        <f>IF(G184="","",ABS(O184-Components!$D$6))</f>
        <v/>
      </c>
      <c r="U184" s="100">
        <f>IF(G184="","",ABS(O184-Components!$D$7))</f>
        <v/>
      </c>
      <c r="V184" s="98">
        <f>IF(G184="","",IF(M184="OK","NONE",INDEX({"S1","S2","W1","W2","N1","N2"},MATCH(MIN(P184:U184),P184:U184,0))))</f>
        <v/>
      </c>
      <c r="W184" s="103">
        <f>IF(G184="","",IF(V184=E184,1,0))</f>
        <v/>
      </c>
    </row>
    <row r="185">
      <c r="A185" s="102">
        <f>'Runs Z score'!A173</f>
        <v/>
      </c>
      <c r="B185" s="98">
        <f>'Runs Z score'!B173</f>
        <v/>
      </c>
      <c r="C185" s="98">
        <f>'Runs Z score'!C173</f>
        <v/>
      </c>
      <c r="D185" s="98">
        <f>'Runs Z score'!D173</f>
        <v/>
      </c>
      <c r="E185" s="98">
        <f>'Runs Z score'!E173</f>
        <v/>
      </c>
      <c r="F185" s="98">
        <f>'Runs Z score'!F173</f>
        <v/>
      </c>
      <c r="G185" s="99">
        <f>'Runs Z score'!G173</f>
        <v/>
      </c>
      <c r="H185" s="100">
        <f>VLOOKUP(C185,Recipes!$A$2:$N$4,10,FALSE())</f>
        <v/>
      </c>
      <c r="I185" s="101">
        <f>VLOOKUP(C185,Recipes!$A$2:$N$4,12,FALSE())</f>
        <v/>
      </c>
      <c r="J185" s="101">
        <f>IF(G185="","",((G185-H185)/I185)^2)</f>
        <v/>
      </c>
      <c r="K185" s="101">
        <f>IF(G185="","",MAX(0, J185-$B$12))</f>
        <v/>
      </c>
      <c r="L185" s="100">
        <f>IF(G185="","",SQRT(K185))</f>
        <v/>
      </c>
      <c r="M185" s="98">
        <f>IF(G185="","",IF(K185&lt;=$B$10,"OK","NG"))</f>
        <v/>
      </c>
      <c r="N185" s="69">
        <f>IF(M185="","",IF(M185=D185,1,0))</f>
        <v/>
      </c>
      <c r="O185" s="100">
        <f>IF(G185="","",H185-G185)</f>
        <v/>
      </c>
      <c r="P185" s="100">
        <f>IF(G185="","",ABS(O185-Components!$D$2))</f>
        <v/>
      </c>
      <c r="Q185" s="100">
        <f>IF(G185="","",ABS(O185-Components!$D$3))</f>
        <v/>
      </c>
      <c r="R185" s="100">
        <f>IF(G185="","",ABS(O185-Components!$D$4))</f>
        <v/>
      </c>
      <c r="S185" s="100">
        <f>IF(G185="","",ABS(O185-Components!$D$5))</f>
        <v/>
      </c>
      <c r="T185" s="100">
        <f>IF(G185="","",ABS(O185-Components!$D$6))</f>
        <v/>
      </c>
      <c r="U185" s="100">
        <f>IF(G185="","",ABS(O185-Components!$D$7))</f>
        <v/>
      </c>
      <c r="V185" s="98">
        <f>IF(G185="","",IF(M185="OK","NONE",INDEX({"S1","S2","W1","W2","N1","N2"},MATCH(MIN(P185:U185),P185:U185,0))))</f>
        <v/>
      </c>
      <c r="W185" s="103">
        <f>IF(G185="","",IF(V185=E185,1,0))</f>
        <v/>
      </c>
    </row>
    <row r="186">
      <c r="A186" s="102">
        <f>'Runs Z score'!A174</f>
        <v/>
      </c>
      <c r="B186" s="98">
        <f>'Runs Z score'!B174</f>
        <v/>
      </c>
      <c r="C186" s="98">
        <f>'Runs Z score'!C174</f>
        <v/>
      </c>
      <c r="D186" s="98">
        <f>'Runs Z score'!D174</f>
        <v/>
      </c>
      <c r="E186" s="98">
        <f>'Runs Z score'!E174</f>
        <v/>
      </c>
      <c r="F186" s="98">
        <f>'Runs Z score'!F174</f>
        <v/>
      </c>
      <c r="G186" s="99">
        <f>'Runs Z score'!G174</f>
        <v/>
      </c>
      <c r="H186" s="100">
        <f>VLOOKUP(C186,Recipes!$A$2:$N$4,10,FALSE())</f>
        <v/>
      </c>
      <c r="I186" s="101">
        <f>VLOOKUP(C186,Recipes!$A$2:$N$4,12,FALSE())</f>
        <v/>
      </c>
      <c r="J186" s="101">
        <f>IF(G186="","",((G186-H186)/I186)^2)</f>
        <v/>
      </c>
      <c r="K186" s="101">
        <f>IF(G186="","",MAX(0, J186-$B$12))</f>
        <v/>
      </c>
      <c r="L186" s="100">
        <f>IF(G186="","",SQRT(K186))</f>
        <v/>
      </c>
      <c r="M186" s="98">
        <f>IF(G186="","",IF(K186&lt;=$B$10,"OK","NG"))</f>
        <v/>
      </c>
      <c r="N186" s="69">
        <f>IF(M186="","",IF(M186=D186,1,0))</f>
        <v/>
      </c>
      <c r="O186" s="100">
        <f>IF(G186="","",H186-G186)</f>
        <v/>
      </c>
      <c r="P186" s="100">
        <f>IF(G186="","",ABS(O186-Components!$D$2))</f>
        <v/>
      </c>
      <c r="Q186" s="100">
        <f>IF(G186="","",ABS(O186-Components!$D$3))</f>
        <v/>
      </c>
      <c r="R186" s="100">
        <f>IF(G186="","",ABS(O186-Components!$D$4))</f>
        <v/>
      </c>
      <c r="S186" s="100">
        <f>IF(G186="","",ABS(O186-Components!$D$5))</f>
        <v/>
      </c>
      <c r="T186" s="100">
        <f>IF(G186="","",ABS(O186-Components!$D$6))</f>
        <v/>
      </c>
      <c r="U186" s="100">
        <f>IF(G186="","",ABS(O186-Components!$D$7))</f>
        <v/>
      </c>
      <c r="V186" s="98">
        <f>IF(G186="","",IF(M186="OK","NONE",INDEX({"S1","S2","W1","W2","N1","N2"},MATCH(MIN(P186:U186),P186:U186,0))))</f>
        <v/>
      </c>
      <c r="W186" s="103">
        <f>IF(G186="","",IF(V186=E186,1,0))</f>
        <v/>
      </c>
    </row>
    <row r="187">
      <c r="A187" s="102">
        <f>'Runs Z score'!A175</f>
        <v/>
      </c>
      <c r="B187" s="98">
        <f>'Runs Z score'!B175</f>
        <v/>
      </c>
      <c r="C187" s="98">
        <f>'Runs Z score'!C175</f>
        <v/>
      </c>
      <c r="D187" s="98">
        <f>'Runs Z score'!D175</f>
        <v/>
      </c>
      <c r="E187" s="98">
        <f>'Runs Z score'!E175</f>
        <v/>
      </c>
      <c r="F187" s="98">
        <f>'Runs Z score'!F175</f>
        <v/>
      </c>
      <c r="G187" s="99">
        <f>'Runs Z score'!G175</f>
        <v/>
      </c>
      <c r="H187" s="100">
        <f>VLOOKUP(C187,Recipes!$A$2:$N$4,10,FALSE())</f>
        <v/>
      </c>
      <c r="I187" s="101">
        <f>VLOOKUP(C187,Recipes!$A$2:$N$4,12,FALSE())</f>
        <v/>
      </c>
      <c r="J187" s="101">
        <f>IF(G187="","",((G187-H187)/I187)^2)</f>
        <v/>
      </c>
      <c r="K187" s="101">
        <f>IF(G187="","",MAX(0, J187-$B$12))</f>
        <v/>
      </c>
      <c r="L187" s="100">
        <f>IF(G187="","",SQRT(K187))</f>
        <v/>
      </c>
      <c r="M187" s="98">
        <f>IF(G187="","",IF(K187&lt;=$B$10,"OK","NG"))</f>
        <v/>
      </c>
      <c r="N187" s="69">
        <f>IF(M187="","",IF(M187=D187,1,0))</f>
        <v/>
      </c>
      <c r="O187" s="100">
        <f>IF(G187="","",H187-G187)</f>
        <v/>
      </c>
      <c r="P187" s="100">
        <f>IF(G187="","",ABS(O187-Components!$D$2))</f>
        <v/>
      </c>
      <c r="Q187" s="100">
        <f>IF(G187="","",ABS(O187-Components!$D$3))</f>
        <v/>
      </c>
      <c r="R187" s="100">
        <f>IF(G187="","",ABS(O187-Components!$D$4))</f>
        <v/>
      </c>
      <c r="S187" s="100">
        <f>IF(G187="","",ABS(O187-Components!$D$5))</f>
        <v/>
      </c>
      <c r="T187" s="100">
        <f>IF(G187="","",ABS(O187-Components!$D$6))</f>
        <v/>
      </c>
      <c r="U187" s="100">
        <f>IF(G187="","",ABS(O187-Components!$D$7))</f>
        <v/>
      </c>
      <c r="V187" s="98">
        <f>IF(G187="","",IF(M187="OK","NONE",INDEX({"S1","S2","W1","W2","N1","N2"},MATCH(MIN(P187:U187),P187:U187,0))))</f>
        <v/>
      </c>
      <c r="W187" s="103">
        <f>IF(G187="","",IF(V187=E187,1,0))</f>
        <v/>
      </c>
    </row>
    <row r="188">
      <c r="A188" s="102">
        <f>'Runs Z score'!A176</f>
        <v/>
      </c>
      <c r="B188" s="98">
        <f>'Runs Z score'!B176</f>
        <v/>
      </c>
      <c r="C188" s="98">
        <f>'Runs Z score'!C176</f>
        <v/>
      </c>
      <c r="D188" s="98">
        <f>'Runs Z score'!D176</f>
        <v/>
      </c>
      <c r="E188" s="98">
        <f>'Runs Z score'!E176</f>
        <v/>
      </c>
      <c r="F188" s="98">
        <f>'Runs Z score'!F176</f>
        <v/>
      </c>
      <c r="G188" s="99">
        <f>'Runs Z score'!G176</f>
        <v/>
      </c>
      <c r="H188" s="100">
        <f>VLOOKUP(C188,Recipes!$A$2:$N$4,10,FALSE())</f>
        <v/>
      </c>
      <c r="I188" s="101">
        <f>VLOOKUP(C188,Recipes!$A$2:$N$4,12,FALSE())</f>
        <v/>
      </c>
      <c r="J188" s="101">
        <f>IF(G188="","",((G188-H188)/I188)^2)</f>
        <v/>
      </c>
      <c r="K188" s="101">
        <f>IF(G188="","",MAX(0, J188-$B$12))</f>
        <v/>
      </c>
      <c r="L188" s="100">
        <f>IF(G188="","",SQRT(K188))</f>
        <v/>
      </c>
      <c r="M188" s="98">
        <f>IF(G188="","",IF(K188&lt;=$B$10,"OK","NG"))</f>
        <v/>
      </c>
      <c r="N188" s="69">
        <f>IF(M188="","",IF(M188=D188,1,0))</f>
        <v/>
      </c>
      <c r="O188" s="100">
        <f>IF(G188="","",H188-G188)</f>
        <v/>
      </c>
      <c r="P188" s="100">
        <f>IF(G188="","",ABS(O188-Components!$D$2))</f>
        <v/>
      </c>
      <c r="Q188" s="100">
        <f>IF(G188="","",ABS(O188-Components!$D$3))</f>
        <v/>
      </c>
      <c r="R188" s="100">
        <f>IF(G188="","",ABS(O188-Components!$D$4))</f>
        <v/>
      </c>
      <c r="S188" s="100">
        <f>IF(G188="","",ABS(O188-Components!$D$5))</f>
        <v/>
      </c>
      <c r="T188" s="100">
        <f>IF(G188="","",ABS(O188-Components!$D$6))</f>
        <v/>
      </c>
      <c r="U188" s="100">
        <f>IF(G188="","",ABS(O188-Components!$D$7))</f>
        <v/>
      </c>
      <c r="V188" s="98">
        <f>IF(G188="","",IF(M188="OK","NONE",INDEX({"S1","S2","W1","W2","N1","N2"},MATCH(MIN(P188:U188),P188:U188,0))))</f>
        <v/>
      </c>
      <c r="W188" s="103">
        <f>IF(G188="","",IF(V188=E188,1,0))</f>
        <v/>
      </c>
    </row>
    <row r="189">
      <c r="A189" s="102">
        <f>'Runs Z score'!A177</f>
        <v/>
      </c>
      <c r="B189" s="98">
        <f>'Runs Z score'!B177</f>
        <v/>
      </c>
      <c r="C189" s="98">
        <f>'Runs Z score'!C177</f>
        <v/>
      </c>
      <c r="D189" s="98">
        <f>'Runs Z score'!D177</f>
        <v/>
      </c>
      <c r="E189" s="98">
        <f>'Runs Z score'!E177</f>
        <v/>
      </c>
      <c r="F189" s="98">
        <f>'Runs Z score'!F177</f>
        <v/>
      </c>
      <c r="G189" s="99">
        <f>'Runs Z score'!G177</f>
        <v/>
      </c>
      <c r="H189" s="100">
        <f>VLOOKUP(C189,Recipes!$A$2:$N$4,10,FALSE())</f>
        <v/>
      </c>
      <c r="I189" s="101">
        <f>VLOOKUP(C189,Recipes!$A$2:$N$4,12,FALSE())</f>
        <v/>
      </c>
      <c r="J189" s="101">
        <f>IF(G189="","",((G189-H189)/I189)^2)</f>
        <v/>
      </c>
      <c r="K189" s="101">
        <f>IF(G189="","",MAX(0, J189-$B$12))</f>
        <v/>
      </c>
      <c r="L189" s="100">
        <f>IF(G189="","",SQRT(K189))</f>
        <v/>
      </c>
      <c r="M189" s="98">
        <f>IF(G189="","",IF(K189&lt;=$B$10,"OK","NG"))</f>
        <v/>
      </c>
      <c r="N189" s="69">
        <f>IF(M189="","",IF(M189=D189,1,0))</f>
        <v/>
      </c>
      <c r="O189" s="100">
        <f>IF(G189="","",H189-G189)</f>
        <v/>
      </c>
      <c r="P189" s="100">
        <f>IF(G189="","",ABS(O189-Components!$D$2))</f>
        <v/>
      </c>
      <c r="Q189" s="100">
        <f>IF(G189="","",ABS(O189-Components!$D$3))</f>
        <v/>
      </c>
      <c r="R189" s="100">
        <f>IF(G189="","",ABS(O189-Components!$D$4))</f>
        <v/>
      </c>
      <c r="S189" s="100">
        <f>IF(G189="","",ABS(O189-Components!$D$5))</f>
        <v/>
      </c>
      <c r="T189" s="100">
        <f>IF(G189="","",ABS(O189-Components!$D$6))</f>
        <v/>
      </c>
      <c r="U189" s="100">
        <f>IF(G189="","",ABS(O189-Components!$D$7))</f>
        <v/>
      </c>
      <c r="V189" s="98">
        <f>IF(G189="","",IF(M189="OK","NONE",INDEX({"S1","S2","W1","W2","N1","N2"},MATCH(MIN(P189:U189),P189:U189,0))))</f>
        <v/>
      </c>
      <c r="W189" s="103">
        <f>IF(G189="","",IF(V189=E189,1,0))</f>
        <v/>
      </c>
    </row>
    <row r="190">
      <c r="A190" s="102">
        <f>'Runs Z score'!A178</f>
        <v/>
      </c>
      <c r="B190" s="98">
        <f>'Runs Z score'!B178</f>
        <v/>
      </c>
      <c r="C190" s="98">
        <f>'Runs Z score'!C178</f>
        <v/>
      </c>
      <c r="D190" s="98">
        <f>'Runs Z score'!D178</f>
        <v/>
      </c>
      <c r="E190" s="98">
        <f>'Runs Z score'!E178</f>
        <v/>
      </c>
      <c r="F190" s="98">
        <f>'Runs Z score'!F178</f>
        <v/>
      </c>
      <c r="G190" s="99">
        <f>'Runs Z score'!G178</f>
        <v/>
      </c>
      <c r="H190" s="100">
        <f>VLOOKUP(C190,Recipes!$A$2:$N$4,10,FALSE())</f>
        <v/>
      </c>
      <c r="I190" s="101">
        <f>VLOOKUP(C190,Recipes!$A$2:$N$4,12,FALSE())</f>
        <v/>
      </c>
      <c r="J190" s="101">
        <f>IF(G190="","",((G190-H190)/I190)^2)</f>
        <v/>
      </c>
      <c r="K190" s="101">
        <f>IF(G190="","",MAX(0, J190-$B$12))</f>
        <v/>
      </c>
      <c r="L190" s="100">
        <f>IF(G190="","",SQRT(K190))</f>
        <v/>
      </c>
      <c r="M190" s="98">
        <f>IF(G190="","",IF(K190&lt;=$B$10,"OK","NG"))</f>
        <v/>
      </c>
      <c r="N190" s="69">
        <f>IF(M190="","",IF(M190=D190,1,0))</f>
        <v/>
      </c>
      <c r="O190" s="100">
        <f>IF(G190="","",H190-G190)</f>
        <v/>
      </c>
      <c r="P190" s="100">
        <f>IF(G190="","",ABS(O190-Components!$D$2))</f>
        <v/>
      </c>
      <c r="Q190" s="100">
        <f>IF(G190="","",ABS(O190-Components!$D$3))</f>
        <v/>
      </c>
      <c r="R190" s="100">
        <f>IF(G190="","",ABS(O190-Components!$D$4))</f>
        <v/>
      </c>
      <c r="S190" s="100">
        <f>IF(G190="","",ABS(O190-Components!$D$5))</f>
        <v/>
      </c>
      <c r="T190" s="100">
        <f>IF(G190="","",ABS(O190-Components!$D$6))</f>
        <v/>
      </c>
      <c r="U190" s="100">
        <f>IF(G190="","",ABS(O190-Components!$D$7))</f>
        <v/>
      </c>
      <c r="V190" s="98">
        <f>IF(G190="","",IF(M190="OK","NONE",INDEX({"S1","S2","W1","W2","N1","N2"},MATCH(MIN(P190:U190),P190:U190,0))))</f>
        <v/>
      </c>
      <c r="W190" s="103">
        <f>IF(G190="","",IF(V190=E190,1,0))</f>
        <v/>
      </c>
    </row>
    <row r="191">
      <c r="A191" s="102">
        <f>'Runs Z score'!A179</f>
        <v/>
      </c>
      <c r="B191" s="98">
        <f>'Runs Z score'!B179</f>
        <v/>
      </c>
      <c r="C191" s="98">
        <f>'Runs Z score'!C179</f>
        <v/>
      </c>
      <c r="D191" s="98">
        <f>'Runs Z score'!D179</f>
        <v/>
      </c>
      <c r="E191" s="98">
        <f>'Runs Z score'!E179</f>
        <v/>
      </c>
      <c r="F191" s="98">
        <f>'Runs Z score'!F179</f>
        <v/>
      </c>
      <c r="G191" s="99">
        <f>'Runs Z score'!G179</f>
        <v/>
      </c>
      <c r="H191" s="100">
        <f>VLOOKUP(C191,Recipes!$A$2:$N$4,10,FALSE())</f>
        <v/>
      </c>
      <c r="I191" s="101">
        <f>VLOOKUP(C191,Recipes!$A$2:$N$4,12,FALSE())</f>
        <v/>
      </c>
      <c r="J191" s="101">
        <f>IF(G191="","",((G191-H191)/I191)^2)</f>
        <v/>
      </c>
      <c r="K191" s="101">
        <f>IF(G191="","",MAX(0, J191-$B$12))</f>
        <v/>
      </c>
      <c r="L191" s="100">
        <f>IF(G191="","",SQRT(K191))</f>
        <v/>
      </c>
      <c r="M191" s="98">
        <f>IF(G191="","",IF(K191&lt;=$B$10,"OK","NG"))</f>
        <v/>
      </c>
      <c r="N191" s="69">
        <f>IF(M191="","",IF(M191=D191,1,0))</f>
        <v/>
      </c>
      <c r="O191" s="100">
        <f>IF(G191="","",H191-G191)</f>
        <v/>
      </c>
      <c r="P191" s="100">
        <f>IF(G191="","",ABS(O191-Components!$D$2))</f>
        <v/>
      </c>
      <c r="Q191" s="100">
        <f>IF(G191="","",ABS(O191-Components!$D$3))</f>
        <v/>
      </c>
      <c r="R191" s="100">
        <f>IF(G191="","",ABS(O191-Components!$D$4))</f>
        <v/>
      </c>
      <c r="S191" s="100">
        <f>IF(G191="","",ABS(O191-Components!$D$5))</f>
        <v/>
      </c>
      <c r="T191" s="100">
        <f>IF(G191="","",ABS(O191-Components!$D$6))</f>
        <v/>
      </c>
      <c r="U191" s="100">
        <f>IF(G191="","",ABS(O191-Components!$D$7))</f>
        <v/>
      </c>
      <c r="V191" s="98">
        <f>IF(G191="","",IF(M191="OK","NONE",INDEX({"S1","S2","W1","W2","N1","N2"},MATCH(MIN(P191:U191),P191:U191,0))))</f>
        <v/>
      </c>
      <c r="W191" s="103">
        <f>IF(G191="","",IF(V191=E191,1,0))</f>
        <v/>
      </c>
    </row>
    <row r="192">
      <c r="A192" s="102">
        <f>'Runs Z score'!A180</f>
        <v/>
      </c>
      <c r="B192" s="98">
        <f>'Runs Z score'!B180</f>
        <v/>
      </c>
      <c r="C192" s="98">
        <f>'Runs Z score'!C180</f>
        <v/>
      </c>
      <c r="D192" s="98">
        <f>'Runs Z score'!D180</f>
        <v/>
      </c>
      <c r="E192" s="98">
        <f>'Runs Z score'!E180</f>
        <v/>
      </c>
      <c r="F192" s="98">
        <f>'Runs Z score'!F180</f>
        <v/>
      </c>
      <c r="G192" s="99">
        <f>'Runs Z score'!G180</f>
        <v/>
      </c>
      <c r="H192" s="100">
        <f>VLOOKUP(C192,Recipes!$A$2:$N$4,10,FALSE())</f>
        <v/>
      </c>
      <c r="I192" s="101">
        <f>VLOOKUP(C192,Recipes!$A$2:$N$4,12,FALSE())</f>
        <v/>
      </c>
      <c r="J192" s="101">
        <f>IF(G192="","",((G192-H192)/I192)^2)</f>
        <v/>
      </c>
      <c r="K192" s="101">
        <f>IF(G192="","",MAX(0, J192-$B$12))</f>
        <v/>
      </c>
      <c r="L192" s="100">
        <f>IF(G192="","",SQRT(K192))</f>
        <v/>
      </c>
      <c r="M192" s="98">
        <f>IF(G192="","",IF(K192&lt;=$B$10,"OK","NG"))</f>
        <v/>
      </c>
      <c r="N192" s="69">
        <f>IF(M192="","",IF(M192=D192,1,0))</f>
        <v/>
      </c>
      <c r="O192" s="100">
        <f>IF(G192="","",H192-G192)</f>
        <v/>
      </c>
      <c r="P192" s="100">
        <f>IF(G192="","",ABS(O192-Components!$D$2))</f>
        <v/>
      </c>
      <c r="Q192" s="100">
        <f>IF(G192="","",ABS(O192-Components!$D$3))</f>
        <v/>
      </c>
      <c r="R192" s="100">
        <f>IF(G192="","",ABS(O192-Components!$D$4))</f>
        <v/>
      </c>
      <c r="S192" s="100">
        <f>IF(G192="","",ABS(O192-Components!$D$5))</f>
        <v/>
      </c>
      <c r="T192" s="100">
        <f>IF(G192="","",ABS(O192-Components!$D$6))</f>
        <v/>
      </c>
      <c r="U192" s="100">
        <f>IF(G192="","",ABS(O192-Components!$D$7))</f>
        <v/>
      </c>
      <c r="V192" s="98">
        <f>IF(G192="","",IF(M192="OK","NONE",INDEX({"S1","S2","W1","W2","N1","N2"},MATCH(MIN(P192:U192),P192:U192,0))))</f>
        <v/>
      </c>
      <c r="W192" s="103">
        <f>IF(G192="","",IF(V192=E192,1,0))</f>
        <v/>
      </c>
    </row>
    <row r="193">
      <c r="A193" s="102">
        <f>'Runs Z score'!A181</f>
        <v/>
      </c>
      <c r="B193" s="98">
        <f>'Runs Z score'!B181</f>
        <v/>
      </c>
      <c r="C193" s="98">
        <f>'Runs Z score'!C181</f>
        <v/>
      </c>
      <c r="D193" s="98">
        <f>'Runs Z score'!D181</f>
        <v/>
      </c>
      <c r="E193" s="98">
        <f>'Runs Z score'!E181</f>
        <v/>
      </c>
      <c r="F193" s="98">
        <f>'Runs Z score'!F181</f>
        <v/>
      </c>
      <c r="G193" s="99">
        <f>'Runs Z score'!G181</f>
        <v/>
      </c>
      <c r="H193" s="100">
        <f>VLOOKUP(C193,Recipes!$A$2:$N$4,10,FALSE())</f>
        <v/>
      </c>
      <c r="I193" s="101">
        <f>VLOOKUP(C193,Recipes!$A$2:$N$4,12,FALSE())</f>
        <v/>
      </c>
      <c r="J193" s="101">
        <f>IF(G193="","",((G193-H193)/I193)^2)</f>
        <v/>
      </c>
      <c r="K193" s="101">
        <f>IF(G193="","",MAX(0, J193-$B$12))</f>
        <v/>
      </c>
      <c r="L193" s="100">
        <f>IF(G193="","",SQRT(K193))</f>
        <v/>
      </c>
      <c r="M193" s="98">
        <f>IF(G193="","",IF(K193&lt;=$B$10,"OK","NG"))</f>
        <v/>
      </c>
      <c r="N193" s="69">
        <f>IF(M193="","",IF(M193=D193,1,0))</f>
        <v/>
      </c>
      <c r="O193" s="100">
        <f>IF(G193="","",H193-G193)</f>
        <v/>
      </c>
      <c r="P193" s="100">
        <f>IF(G193="","",ABS(O193-Components!$D$2))</f>
        <v/>
      </c>
      <c r="Q193" s="100">
        <f>IF(G193="","",ABS(O193-Components!$D$3))</f>
        <v/>
      </c>
      <c r="R193" s="100">
        <f>IF(G193="","",ABS(O193-Components!$D$4))</f>
        <v/>
      </c>
      <c r="S193" s="100">
        <f>IF(G193="","",ABS(O193-Components!$D$5))</f>
        <v/>
      </c>
      <c r="T193" s="100">
        <f>IF(G193="","",ABS(O193-Components!$D$6))</f>
        <v/>
      </c>
      <c r="U193" s="100">
        <f>IF(G193="","",ABS(O193-Components!$D$7))</f>
        <v/>
      </c>
      <c r="V193" s="98">
        <f>IF(G193="","",IF(M193="OK","NONE",INDEX({"S1","S2","W1","W2","N1","N2"},MATCH(MIN(P193:U193),P193:U193,0))))</f>
        <v/>
      </c>
      <c r="W193" s="103">
        <f>IF(G193="","",IF(V193=E193,1,0))</f>
        <v/>
      </c>
    </row>
    <row r="194">
      <c r="A194" s="102">
        <f>'Runs Z score'!A182</f>
        <v/>
      </c>
      <c r="B194" s="98">
        <f>'Runs Z score'!B182</f>
        <v/>
      </c>
      <c r="C194" s="98">
        <f>'Runs Z score'!C182</f>
        <v/>
      </c>
      <c r="D194" s="98">
        <f>'Runs Z score'!D182</f>
        <v/>
      </c>
      <c r="E194" s="98">
        <f>'Runs Z score'!E182</f>
        <v/>
      </c>
      <c r="F194" s="98">
        <f>'Runs Z score'!F182</f>
        <v/>
      </c>
      <c r="G194" s="99">
        <f>'Runs Z score'!G182</f>
        <v/>
      </c>
      <c r="H194" s="100">
        <f>VLOOKUP(C194,Recipes!$A$2:$N$4,10,FALSE())</f>
        <v/>
      </c>
      <c r="I194" s="101">
        <f>VLOOKUP(C194,Recipes!$A$2:$N$4,12,FALSE())</f>
        <v/>
      </c>
      <c r="J194" s="101">
        <f>IF(G194="","",((G194-H194)/I194)^2)</f>
        <v/>
      </c>
      <c r="K194" s="101">
        <f>IF(G194="","",MAX(0, J194-$B$12))</f>
        <v/>
      </c>
      <c r="L194" s="100">
        <f>IF(G194="","",SQRT(K194))</f>
        <v/>
      </c>
      <c r="M194" s="98">
        <f>IF(G194="","",IF(K194&lt;=$B$10,"OK","NG"))</f>
        <v/>
      </c>
      <c r="N194" s="69">
        <f>IF(M194="","",IF(M194=D194,1,0))</f>
        <v/>
      </c>
      <c r="O194" s="100">
        <f>IF(G194="","",H194-G194)</f>
        <v/>
      </c>
      <c r="P194" s="100">
        <f>IF(G194="","",ABS(O194-Components!$D$2))</f>
        <v/>
      </c>
      <c r="Q194" s="100">
        <f>IF(G194="","",ABS(O194-Components!$D$3))</f>
        <v/>
      </c>
      <c r="R194" s="100">
        <f>IF(G194="","",ABS(O194-Components!$D$4))</f>
        <v/>
      </c>
      <c r="S194" s="100">
        <f>IF(G194="","",ABS(O194-Components!$D$5))</f>
        <v/>
      </c>
      <c r="T194" s="100">
        <f>IF(G194="","",ABS(O194-Components!$D$6))</f>
        <v/>
      </c>
      <c r="U194" s="100">
        <f>IF(G194="","",ABS(O194-Components!$D$7))</f>
        <v/>
      </c>
      <c r="V194" s="98">
        <f>IF(G194="","",IF(M194="OK","NONE",INDEX({"S1","S2","W1","W2","N1","N2"},MATCH(MIN(P194:U194),P194:U194,0))))</f>
        <v/>
      </c>
      <c r="W194" s="103">
        <f>IF(G194="","",IF(V194=E194,1,0))</f>
        <v/>
      </c>
    </row>
    <row r="195">
      <c r="A195" s="102">
        <f>'Runs Z score'!A183</f>
        <v/>
      </c>
      <c r="B195" s="98">
        <f>'Runs Z score'!B183</f>
        <v/>
      </c>
      <c r="C195" s="98">
        <f>'Runs Z score'!C183</f>
        <v/>
      </c>
      <c r="D195" s="98">
        <f>'Runs Z score'!D183</f>
        <v/>
      </c>
      <c r="E195" s="98">
        <f>'Runs Z score'!E183</f>
        <v/>
      </c>
      <c r="F195" s="98">
        <f>'Runs Z score'!F183</f>
        <v/>
      </c>
      <c r="G195" s="99">
        <f>'Runs Z score'!G183</f>
        <v/>
      </c>
      <c r="H195" s="100">
        <f>VLOOKUP(C195,Recipes!$A$2:$N$4,10,FALSE())</f>
        <v/>
      </c>
      <c r="I195" s="101">
        <f>VLOOKUP(C195,Recipes!$A$2:$N$4,12,FALSE())</f>
        <v/>
      </c>
      <c r="J195" s="101">
        <f>IF(G195="","",((G195-H195)/I195)^2)</f>
        <v/>
      </c>
      <c r="K195" s="101">
        <f>IF(G195="","",MAX(0, J195-$B$12))</f>
        <v/>
      </c>
      <c r="L195" s="100">
        <f>IF(G195="","",SQRT(K195))</f>
        <v/>
      </c>
      <c r="M195" s="98">
        <f>IF(G195="","",IF(K195&lt;=$B$10,"OK","NG"))</f>
        <v/>
      </c>
      <c r="N195" s="69">
        <f>IF(M195="","",IF(M195=D195,1,0))</f>
        <v/>
      </c>
      <c r="O195" s="100">
        <f>IF(G195="","",H195-G195)</f>
        <v/>
      </c>
      <c r="P195" s="100">
        <f>IF(G195="","",ABS(O195-Components!$D$2))</f>
        <v/>
      </c>
      <c r="Q195" s="100">
        <f>IF(G195="","",ABS(O195-Components!$D$3))</f>
        <v/>
      </c>
      <c r="R195" s="100">
        <f>IF(G195="","",ABS(O195-Components!$D$4))</f>
        <v/>
      </c>
      <c r="S195" s="100">
        <f>IF(G195="","",ABS(O195-Components!$D$5))</f>
        <v/>
      </c>
      <c r="T195" s="100">
        <f>IF(G195="","",ABS(O195-Components!$D$6))</f>
        <v/>
      </c>
      <c r="U195" s="100">
        <f>IF(G195="","",ABS(O195-Components!$D$7))</f>
        <v/>
      </c>
      <c r="V195" s="98">
        <f>IF(G195="","",IF(M195="OK","NONE",INDEX({"S1","S2","W1","W2","N1","N2"},MATCH(MIN(P195:U195),P195:U195,0))))</f>
        <v/>
      </c>
      <c r="W195" s="103">
        <f>IF(G195="","",IF(V195=E195,1,0))</f>
        <v/>
      </c>
    </row>
    <row r="196">
      <c r="A196" s="102">
        <f>'Runs Z score'!A184</f>
        <v/>
      </c>
      <c r="B196" s="98">
        <f>'Runs Z score'!B184</f>
        <v/>
      </c>
      <c r="C196" s="98">
        <f>'Runs Z score'!C184</f>
        <v/>
      </c>
      <c r="D196" s="98">
        <f>'Runs Z score'!D184</f>
        <v/>
      </c>
      <c r="E196" s="98">
        <f>'Runs Z score'!E184</f>
        <v/>
      </c>
      <c r="F196" s="98">
        <f>'Runs Z score'!F184</f>
        <v/>
      </c>
      <c r="G196" s="99">
        <f>'Runs Z score'!G184</f>
        <v/>
      </c>
      <c r="H196" s="100">
        <f>VLOOKUP(C196,Recipes!$A$2:$N$4,10,FALSE())</f>
        <v/>
      </c>
      <c r="I196" s="101">
        <f>VLOOKUP(C196,Recipes!$A$2:$N$4,12,FALSE())</f>
        <v/>
      </c>
      <c r="J196" s="101">
        <f>IF(G196="","",((G196-H196)/I196)^2)</f>
        <v/>
      </c>
      <c r="K196" s="101">
        <f>IF(G196="","",MAX(0, J196-$B$12))</f>
        <v/>
      </c>
      <c r="L196" s="100">
        <f>IF(G196="","",SQRT(K196))</f>
        <v/>
      </c>
      <c r="M196" s="98">
        <f>IF(G196="","",IF(K196&lt;=$B$10,"OK","NG"))</f>
        <v/>
      </c>
      <c r="N196" s="69">
        <f>IF(M196="","",IF(M196=D196,1,0))</f>
        <v/>
      </c>
      <c r="O196" s="100">
        <f>IF(G196="","",H196-G196)</f>
        <v/>
      </c>
      <c r="P196" s="100">
        <f>IF(G196="","",ABS(O196-Components!$D$2))</f>
        <v/>
      </c>
      <c r="Q196" s="100">
        <f>IF(G196="","",ABS(O196-Components!$D$3))</f>
        <v/>
      </c>
      <c r="R196" s="100">
        <f>IF(G196="","",ABS(O196-Components!$D$4))</f>
        <v/>
      </c>
      <c r="S196" s="100">
        <f>IF(G196="","",ABS(O196-Components!$D$5))</f>
        <v/>
      </c>
      <c r="T196" s="100">
        <f>IF(G196="","",ABS(O196-Components!$D$6))</f>
        <v/>
      </c>
      <c r="U196" s="100">
        <f>IF(G196="","",ABS(O196-Components!$D$7))</f>
        <v/>
      </c>
      <c r="V196" s="98">
        <f>IF(G196="","",IF(M196="OK","NONE",INDEX({"S1","S2","W1","W2","N1","N2"},MATCH(MIN(P196:U196),P196:U196,0))))</f>
        <v/>
      </c>
      <c r="W196" s="103">
        <f>IF(G196="","",IF(V196=E196,1,0))</f>
        <v/>
      </c>
    </row>
    <row r="197">
      <c r="A197" s="102">
        <f>'Runs Z score'!A185</f>
        <v/>
      </c>
      <c r="B197" s="98">
        <f>'Runs Z score'!B185</f>
        <v/>
      </c>
      <c r="C197" s="98">
        <f>'Runs Z score'!C185</f>
        <v/>
      </c>
      <c r="D197" s="98">
        <f>'Runs Z score'!D185</f>
        <v/>
      </c>
      <c r="E197" s="98">
        <f>'Runs Z score'!E185</f>
        <v/>
      </c>
      <c r="F197" s="98">
        <f>'Runs Z score'!F185</f>
        <v/>
      </c>
      <c r="G197" s="99">
        <f>'Runs Z score'!G185</f>
        <v/>
      </c>
      <c r="H197" s="100">
        <f>VLOOKUP(C197,Recipes!$A$2:$N$4,10,FALSE())</f>
        <v/>
      </c>
      <c r="I197" s="101">
        <f>VLOOKUP(C197,Recipes!$A$2:$N$4,12,FALSE())</f>
        <v/>
      </c>
      <c r="J197" s="101">
        <f>IF(G197="","",((G197-H197)/I197)^2)</f>
        <v/>
      </c>
      <c r="K197" s="101">
        <f>IF(G197="","",MAX(0, J197-$B$12))</f>
        <v/>
      </c>
      <c r="L197" s="100">
        <f>IF(G197="","",SQRT(K197))</f>
        <v/>
      </c>
      <c r="M197" s="98">
        <f>IF(G197="","",IF(K197&lt;=$B$10,"OK","NG"))</f>
        <v/>
      </c>
      <c r="N197" s="69">
        <f>IF(M197="","",IF(M197=D197,1,0))</f>
        <v/>
      </c>
      <c r="O197" s="100">
        <f>IF(G197="","",H197-G197)</f>
        <v/>
      </c>
      <c r="P197" s="100">
        <f>IF(G197="","",ABS(O197-Components!$D$2))</f>
        <v/>
      </c>
      <c r="Q197" s="100">
        <f>IF(G197="","",ABS(O197-Components!$D$3))</f>
        <v/>
      </c>
      <c r="R197" s="100">
        <f>IF(G197="","",ABS(O197-Components!$D$4))</f>
        <v/>
      </c>
      <c r="S197" s="100">
        <f>IF(G197="","",ABS(O197-Components!$D$5))</f>
        <v/>
      </c>
      <c r="T197" s="100">
        <f>IF(G197="","",ABS(O197-Components!$D$6))</f>
        <v/>
      </c>
      <c r="U197" s="100">
        <f>IF(G197="","",ABS(O197-Components!$D$7))</f>
        <v/>
      </c>
      <c r="V197" s="98">
        <f>IF(G197="","",IF(M197="OK","NONE",INDEX({"S1","S2","W1","W2","N1","N2"},MATCH(MIN(P197:U197),P197:U197,0))))</f>
        <v/>
      </c>
      <c r="W197" s="103">
        <f>IF(G197="","",IF(V197=E197,1,0))</f>
        <v/>
      </c>
    </row>
    <row r="198">
      <c r="A198" s="102">
        <f>'Runs Z score'!A186</f>
        <v/>
      </c>
      <c r="B198" s="98">
        <f>'Runs Z score'!B186</f>
        <v/>
      </c>
      <c r="C198" s="98">
        <f>'Runs Z score'!C186</f>
        <v/>
      </c>
      <c r="D198" s="98">
        <f>'Runs Z score'!D186</f>
        <v/>
      </c>
      <c r="E198" s="98">
        <f>'Runs Z score'!E186</f>
        <v/>
      </c>
      <c r="F198" s="98">
        <f>'Runs Z score'!F186</f>
        <v/>
      </c>
      <c r="G198" s="99">
        <f>'Runs Z score'!G186</f>
        <v/>
      </c>
      <c r="H198" s="100">
        <f>VLOOKUP(C198,Recipes!$A$2:$N$4,10,FALSE())</f>
        <v/>
      </c>
      <c r="I198" s="101">
        <f>VLOOKUP(C198,Recipes!$A$2:$N$4,12,FALSE())</f>
        <v/>
      </c>
      <c r="J198" s="101">
        <f>IF(G198="","",((G198-H198)/I198)^2)</f>
        <v/>
      </c>
      <c r="K198" s="101">
        <f>IF(G198="","",MAX(0, J198-$B$12))</f>
        <v/>
      </c>
      <c r="L198" s="100">
        <f>IF(G198="","",SQRT(K198))</f>
        <v/>
      </c>
      <c r="M198" s="98">
        <f>IF(G198="","",IF(K198&lt;=$B$10,"OK","NG"))</f>
        <v/>
      </c>
      <c r="N198" s="69">
        <f>IF(M198="","",IF(M198=D198,1,0))</f>
        <v/>
      </c>
      <c r="O198" s="100">
        <f>IF(G198="","",H198-G198)</f>
        <v/>
      </c>
      <c r="P198" s="100">
        <f>IF(G198="","",ABS(O198-Components!$D$2))</f>
        <v/>
      </c>
      <c r="Q198" s="100">
        <f>IF(G198="","",ABS(O198-Components!$D$3))</f>
        <v/>
      </c>
      <c r="R198" s="100">
        <f>IF(G198="","",ABS(O198-Components!$D$4))</f>
        <v/>
      </c>
      <c r="S198" s="100">
        <f>IF(G198="","",ABS(O198-Components!$D$5))</f>
        <v/>
      </c>
      <c r="T198" s="100">
        <f>IF(G198="","",ABS(O198-Components!$D$6))</f>
        <v/>
      </c>
      <c r="U198" s="100">
        <f>IF(G198="","",ABS(O198-Components!$D$7))</f>
        <v/>
      </c>
      <c r="V198" s="98">
        <f>IF(G198="","",IF(M198="OK","NONE",INDEX({"S1","S2","W1","W2","N1","N2"},MATCH(MIN(P198:U198),P198:U198,0))))</f>
        <v/>
      </c>
      <c r="W198" s="103">
        <f>IF(G198="","",IF(V198=E198,1,0))</f>
        <v/>
      </c>
    </row>
    <row r="199">
      <c r="A199" s="102">
        <f>'Runs Z score'!A187</f>
        <v/>
      </c>
      <c r="B199" s="98">
        <f>'Runs Z score'!B187</f>
        <v/>
      </c>
      <c r="C199" s="98">
        <f>'Runs Z score'!C187</f>
        <v/>
      </c>
      <c r="D199" s="98">
        <f>'Runs Z score'!D187</f>
        <v/>
      </c>
      <c r="E199" s="98">
        <f>'Runs Z score'!E187</f>
        <v/>
      </c>
      <c r="F199" s="98">
        <f>'Runs Z score'!F187</f>
        <v/>
      </c>
      <c r="G199" s="99">
        <f>'Runs Z score'!G187</f>
        <v/>
      </c>
      <c r="H199" s="100">
        <f>VLOOKUP(C199,Recipes!$A$2:$N$4,10,FALSE())</f>
        <v/>
      </c>
      <c r="I199" s="101">
        <f>VLOOKUP(C199,Recipes!$A$2:$N$4,12,FALSE())</f>
        <v/>
      </c>
      <c r="J199" s="101">
        <f>IF(G199="","",((G199-H199)/I199)^2)</f>
        <v/>
      </c>
      <c r="K199" s="101">
        <f>IF(G199="","",MAX(0, J199-$B$12))</f>
        <v/>
      </c>
      <c r="L199" s="100">
        <f>IF(G199="","",SQRT(K199))</f>
        <v/>
      </c>
      <c r="M199" s="98">
        <f>IF(G199="","",IF(K199&lt;=$B$10,"OK","NG"))</f>
        <v/>
      </c>
      <c r="N199" s="69">
        <f>IF(M199="","",IF(M199=D199,1,0))</f>
        <v/>
      </c>
      <c r="O199" s="100">
        <f>IF(G199="","",H199-G199)</f>
        <v/>
      </c>
      <c r="P199" s="100">
        <f>IF(G199="","",ABS(O199-Components!$D$2))</f>
        <v/>
      </c>
      <c r="Q199" s="100">
        <f>IF(G199="","",ABS(O199-Components!$D$3))</f>
        <v/>
      </c>
      <c r="R199" s="100">
        <f>IF(G199="","",ABS(O199-Components!$D$4))</f>
        <v/>
      </c>
      <c r="S199" s="100">
        <f>IF(G199="","",ABS(O199-Components!$D$5))</f>
        <v/>
      </c>
      <c r="T199" s="100">
        <f>IF(G199="","",ABS(O199-Components!$D$6))</f>
        <v/>
      </c>
      <c r="U199" s="100">
        <f>IF(G199="","",ABS(O199-Components!$D$7))</f>
        <v/>
      </c>
      <c r="V199" s="98">
        <f>IF(G199="","",IF(M199="OK","NONE",INDEX({"S1","S2","W1","W2","N1","N2"},MATCH(MIN(P199:U199),P199:U199,0))))</f>
        <v/>
      </c>
      <c r="W199" s="103">
        <f>IF(G199="","",IF(V199=E199,1,0))</f>
        <v/>
      </c>
    </row>
    <row r="200">
      <c r="A200" s="102">
        <f>'Runs Z score'!A188</f>
        <v/>
      </c>
      <c r="B200" s="98">
        <f>'Runs Z score'!B188</f>
        <v/>
      </c>
      <c r="C200" s="98">
        <f>'Runs Z score'!C188</f>
        <v/>
      </c>
      <c r="D200" s="98">
        <f>'Runs Z score'!D188</f>
        <v/>
      </c>
      <c r="E200" s="98">
        <f>'Runs Z score'!E188</f>
        <v/>
      </c>
      <c r="F200" s="98">
        <f>'Runs Z score'!F188</f>
        <v/>
      </c>
      <c r="G200" s="99">
        <f>'Runs Z score'!G188</f>
        <v/>
      </c>
      <c r="H200" s="100">
        <f>VLOOKUP(C200,Recipes!$A$2:$N$4,10,FALSE())</f>
        <v/>
      </c>
      <c r="I200" s="101">
        <f>VLOOKUP(C200,Recipes!$A$2:$N$4,12,FALSE())</f>
        <v/>
      </c>
      <c r="J200" s="101">
        <f>IF(G200="","",((G200-H200)/I200)^2)</f>
        <v/>
      </c>
      <c r="K200" s="101">
        <f>IF(G200="","",MAX(0, J200-$B$12))</f>
        <v/>
      </c>
      <c r="L200" s="100">
        <f>IF(G200="","",SQRT(K200))</f>
        <v/>
      </c>
      <c r="M200" s="98">
        <f>IF(G200="","",IF(K200&lt;=$B$10,"OK","NG"))</f>
        <v/>
      </c>
      <c r="N200" s="69">
        <f>IF(M200="","",IF(M200=D200,1,0))</f>
        <v/>
      </c>
      <c r="O200" s="100">
        <f>IF(G200="","",H200-G200)</f>
        <v/>
      </c>
      <c r="P200" s="100">
        <f>IF(G200="","",ABS(O200-Components!$D$2))</f>
        <v/>
      </c>
      <c r="Q200" s="100">
        <f>IF(G200="","",ABS(O200-Components!$D$3))</f>
        <v/>
      </c>
      <c r="R200" s="100">
        <f>IF(G200="","",ABS(O200-Components!$D$4))</f>
        <v/>
      </c>
      <c r="S200" s="100">
        <f>IF(G200="","",ABS(O200-Components!$D$5))</f>
        <v/>
      </c>
      <c r="T200" s="100">
        <f>IF(G200="","",ABS(O200-Components!$D$6))</f>
        <v/>
      </c>
      <c r="U200" s="100">
        <f>IF(G200="","",ABS(O200-Components!$D$7))</f>
        <v/>
      </c>
      <c r="V200" s="98">
        <f>IF(G200="","",IF(M200="OK","NONE",INDEX({"S1","S2","W1","W2","N1","N2"},MATCH(MIN(P200:U200),P200:U200,0))))</f>
        <v/>
      </c>
      <c r="W200" s="103">
        <f>IF(G200="","",IF(V200=E200,1,0))</f>
        <v/>
      </c>
    </row>
    <row r="201">
      <c r="A201" s="102">
        <f>'Runs Z score'!A189</f>
        <v/>
      </c>
      <c r="B201" s="98">
        <f>'Runs Z score'!B189</f>
        <v/>
      </c>
      <c r="C201" s="98">
        <f>'Runs Z score'!C189</f>
        <v/>
      </c>
      <c r="D201" s="98">
        <f>'Runs Z score'!D189</f>
        <v/>
      </c>
      <c r="E201" s="98">
        <f>'Runs Z score'!E189</f>
        <v/>
      </c>
      <c r="F201" s="98">
        <f>'Runs Z score'!F189</f>
        <v/>
      </c>
      <c r="G201" s="99">
        <f>'Runs Z score'!G189</f>
        <v/>
      </c>
      <c r="H201" s="100">
        <f>VLOOKUP(C201,Recipes!$A$2:$N$4,10,FALSE())</f>
        <v/>
      </c>
      <c r="I201" s="101">
        <f>VLOOKUP(C201,Recipes!$A$2:$N$4,12,FALSE())</f>
        <v/>
      </c>
      <c r="J201" s="101">
        <f>IF(G201="","",((G201-H201)/I201)^2)</f>
        <v/>
      </c>
      <c r="K201" s="101">
        <f>IF(G201="","",MAX(0, J201-$B$12))</f>
        <v/>
      </c>
      <c r="L201" s="100">
        <f>IF(G201="","",SQRT(K201))</f>
        <v/>
      </c>
      <c r="M201" s="98">
        <f>IF(G201="","",IF(K201&lt;=$B$10,"OK","NG"))</f>
        <v/>
      </c>
      <c r="N201" s="69">
        <f>IF(M201="","",IF(M201=D201,1,0))</f>
        <v/>
      </c>
      <c r="O201" s="100">
        <f>IF(G201="","",H201-G201)</f>
        <v/>
      </c>
      <c r="P201" s="100">
        <f>IF(G201="","",ABS(O201-Components!$D$2))</f>
        <v/>
      </c>
      <c r="Q201" s="100">
        <f>IF(G201="","",ABS(O201-Components!$D$3))</f>
        <v/>
      </c>
      <c r="R201" s="100">
        <f>IF(G201="","",ABS(O201-Components!$D$4))</f>
        <v/>
      </c>
      <c r="S201" s="100">
        <f>IF(G201="","",ABS(O201-Components!$D$5))</f>
        <v/>
      </c>
      <c r="T201" s="100">
        <f>IF(G201="","",ABS(O201-Components!$D$6))</f>
        <v/>
      </c>
      <c r="U201" s="100">
        <f>IF(G201="","",ABS(O201-Components!$D$7))</f>
        <v/>
      </c>
      <c r="V201" s="98">
        <f>IF(G201="","",IF(M201="OK","NONE",INDEX({"S1","S2","W1","W2","N1","N2"},MATCH(MIN(P201:U201),P201:U201,0))))</f>
        <v/>
      </c>
      <c r="W201" s="103">
        <f>IF(G201="","",IF(V201=E201,1,0))</f>
        <v/>
      </c>
    </row>
    <row r="202">
      <c r="A202" s="102">
        <f>'Runs Z score'!A190</f>
        <v/>
      </c>
      <c r="B202" s="98">
        <f>'Runs Z score'!B190</f>
        <v/>
      </c>
      <c r="C202" s="98">
        <f>'Runs Z score'!C190</f>
        <v/>
      </c>
      <c r="D202" s="98">
        <f>'Runs Z score'!D190</f>
        <v/>
      </c>
      <c r="E202" s="98">
        <f>'Runs Z score'!E190</f>
        <v/>
      </c>
      <c r="F202" s="98">
        <f>'Runs Z score'!F190</f>
        <v/>
      </c>
      <c r="G202" s="99">
        <f>'Runs Z score'!G190</f>
        <v/>
      </c>
      <c r="H202" s="100">
        <f>VLOOKUP(C202,Recipes!$A$2:$N$4,10,FALSE())</f>
        <v/>
      </c>
      <c r="I202" s="101">
        <f>VLOOKUP(C202,Recipes!$A$2:$N$4,12,FALSE())</f>
        <v/>
      </c>
      <c r="J202" s="101">
        <f>IF(G202="","",((G202-H202)/I202)^2)</f>
        <v/>
      </c>
      <c r="K202" s="101">
        <f>IF(G202="","",MAX(0, J202-$B$12))</f>
        <v/>
      </c>
      <c r="L202" s="100">
        <f>IF(G202="","",SQRT(K202))</f>
        <v/>
      </c>
      <c r="M202" s="98">
        <f>IF(G202="","",IF(K202&lt;=$B$10,"OK","NG"))</f>
        <v/>
      </c>
      <c r="N202" s="69">
        <f>IF(M202="","",IF(M202=D202,1,0))</f>
        <v/>
      </c>
      <c r="O202" s="100">
        <f>IF(G202="","",H202-G202)</f>
        <v/>
      </c>
      <c r="P202" s="100">
        <f>IF(G202="","",ABS(O202-Components!$D$2))</f>
        <v/>
      </c>
      <c r="Q202" s="100">
        <f>IF(G202="","",ABS(O202-Components!$D$3))</f>
        <v/>
      </c>
      <c r="R202" s="100">
        <f>IF(G202="","",ABS(O202-Components!$D$4))</f>
        <v/>
      </c>
      <c r="S202" s="100">
        <f>IF(G202="","",ABS(O202-Components!$D$5))</f>
        <v/>
      </c>
      <c r="T202" s="100">
        <f>IF(G202="","",ABS(O202-Components!$D$6))</f>
        <v/>
      </c>
      <c r="U202" s="100">
        <f>IF(G202="","",ABS(O202-Components!$D$7))</f>
        <v/>
      </c>
      <c r="V202" s="98">
        <f>IF(G202="","",IF(M202="OK","NONE",INDEX({"S1","S2","W1","W2","N1","N2"},MATCH(MIN(P202:U202),P202:U202,0))))</f>
        <v/>
      </c>
      <c r="W202" s="103">
        <f>IF(G202="","",IF(V202=E202,1,0))</f>
        <v/>
      </c>
    </row>
    <row r="203">
      <c r="A203" s="102">
        <f>'Runs Z score'!A191</f>
        <v/>
      </c>
      <c r="B203" s="98">
        <f>'Runs Z score'!B191</f>
        <v/>
      </c>
      <c r="C203" s="98">
        <f>'Runs Z score'!C191</f>
        <v/>
      </c>
      <c r="D203" s="98">
        <f>'Runs Z score'!D191</f>
        <v/>
      </c>
      <c r="E203" s="98">
        <f>'Runs Z score'!E191</f>
        <v/>
      </c>
      <c r="F203" s="98">
        <f>'Runs Z score'!F191</f>
        <v/>
      </c>
      <c r="G203" s="99">
        <f>'Runs Z score'!G191</f>
        <v/>
      </c>
      <c r="H203" s="100">
        <f>VLOOKUP(C203,Recipes!$A$2:$N$4,10,FALSE())</f>
        <v/>
      </c>
      <c r="I203" s="101">
        <f>VLOOKUP(C203,Recipes!$A$2:$N$4,12,FALSE())</f>
        <v/>
      </c>
      <c r="J203" s="101">
        <f>IF(G203="","",((G203-H203)/I203)^2)</f>
        <v/>
      </c>
      <c r="K203" s="101">
        <f>IF(G203="","",MAX(0, J203-$B$12))</f>
        <v/>
      </c>
      <c r="L203" s="100">
        <f>IF(G203="","",SQRT(K203))</f>
        <v/>
      </c>
      <c r="M203" s="98">
        <f>IF(G203="","",IF(K203&lt;=$B$10,"OK","NG"))</f>
        <v/>
      </c>
      <c r="N203" s="69">
        <f>IF(M203="","",IF(M203=D203,1,0))</f>
        <v/>
      </c>
      <c r="O203" s="100">
        <f>IF(G203="","",H203-G203)</f>
        <v/>
      </c>
      <c r="P203" s="100">
        <f>IF(G203="","",ABS(O203-Components!$D$2))</f>
        <v/>
      </c>
      <c r="Q203" s="100">
        <f>IF(G203="","",ABS(O203-Components!$D$3))</f>
        <v/>
      </c>
      <c r="R203" s="100">
        <f>IF(G203="","",ABS(O203-Components!$D$4))</f>
        <v/>
      </c>
      <c r="S203" s="100">
        <f>IF(G203="","",ABS(O203-Components!$D$5))</f>
        <v/>
      </c>
      <c r="T203" s="100">
        <f>IF(G203="","",ABS(O203-Components!$D$6))</f>
        <v/>
      </c>
      <c r="U203" s="100">
        <f>IF(G203="","",ABS(O203-Components!$D$7))</f>
        <v/>
      </c>
      <c r="V203" s="98">
        <f>IF(G203="","",IF(M203="OK","NONE",INDEX({"S1","S2","W1","W2","N1","N2"},MATCH(MIN(P203:U203),P203:U203,0))))</f>
        <v/>
      </c>
      <c r="W203" s="103">
        <f>IF(G203="","",IF(V203=E203,1,0))</f>
        <v/>
      </c>
    </row>
    <row r="204">
      <c r="A204" s="102">
        <f>'Runs Z score'!A192</f>
        <v/>
      </c>
      <c r="B204" s="98">
        <f>'Runs Z score'!B192</f>
        <v/>
      </c>
      <c r="C204" s="98">
        <f>'Runs Z score'!C192</f>
        <v/>
      </c>
      <c r="D204" s="98">
        <f>'Runs Z score'!D192</f>
        <v/>
      </c>
      <c r="E204" s="98">
        <f>'Runs Z score'!E192</f>
        <v/>
      </c>
      <c r="F204" s="98">
        <f>'Runs Z score'!F192</f>
        <v/>
      </c>
      <c r="G204" s="99">
        <f>'Runs Z score'!G192</f>
        <v/>
      </c>
      <c r="H204" s="100">
        <f>VLOOKUP(C204,Recipes!$A$2:$N$4,10,FALSE())</f>
        <v/>
      </c>
      <c r="I204" s="101">
        <f>VLOOKUP(C204,Recipes!$A$2:$N$4,12,FALSE())</f>
        <v/>
      </c>
      <c r="J204" s="101">
        <f>IF(G204="","",((G204-H204)/I204)^2)</f>
        <v/>
      </c>
      <c r="K204" s="101">
        <f>IF(G204="","",MAX(0, J204-$B$12))</f>
        <v/>
      </c>
      <c r="L204" s="100">
        <f>IF(G204="","",SQRT(K204))</f>
        <v/>
      </c>
      <c r="M204" s="98">
        <f>IF(G204="","",IF(K204&lt;=$B$10,"OK","NG"))</f>
        <v/>
      </c>
      <c r="N204" s="69">
        <f>IF(M204="","",IF(M204=D204,1,0))</f>
        <v/>
      </c>
      <c r="O204" s="100">
        <f>IF(G204="","",H204-G204)</f>
        <v/>
      </c>
      <c r="P204" s="100">
        <f>IF(G204="","",ABS(O204-Components!$D$2))</f>
        <v/>
      </c>
      <c r="Q204" s="100">
        <f>IF(G204="","",ABS(O204-Components!$D$3))</f>
        <v/>
      </c>
      <c r="R204" s="100">
        <f>IF(G204="","",ABS(O204-Components!$D$4))</f>
        <v/>
      </c>
      <c r="S204" s="100">
        <f>IF(G204="","",ABS(O204-Components!$D$5))</f>
        <v/>
      </c>
      <c r="T204" s="100">
        <f>IF(G204="","",ABS(O204-Components!$D$6))</f>
        <v/>
      </c>
      <c r="U204" s="100">
        <f>IF(G204="","",ABS(O204-Components!$D$7))</f>
        <v/>
      </c>
      <c r="V204" s="98">
        <f>IF(G204="","",IF(M204="OK","NONE",INDEX({"S1","S2","W1","W2","N1","N2"},MATCH(MIN(P204:U204),P204:U204,0))))</f>
        <v/>
      </c>
      <c r="W204" s="103">
        <f>IF(G204="","",IF(V204=E204,1,0))</f>
        <v/>
      </c>
    </row>
    <row r="205">
      <c r="A205" s="102">
        <f>'Runs Z score'!A193</f>
        <v/>
      </c>
      <c r="B205" s="98">
        <f>'Runs Z score'!B193</f>
        <v/>
      </c>
      <c r="C205" s="98">
        <f>'Runs Z score'!C193</f>
        <v/>
      </c>
      <c r="D205" s="98">
        <f>'Runs Z score'!D193</f>
        <v/>
      </c>
      <c r="E205" s="98">
        <f>'Runs Z score'!E193</f>
        <v/>
      </c>
      <c r="F205" s="98">
        <f>'Runs Z score'!F193</f>
        <v/>
      </c>
      <c r="G205" s="99">
        <f>'Runs Z score'!G193</f>
        <v/>
      </c>
      <c r="H205" s="100">
        <f>VLOOKUP(C205,Recipes!$A$2:$N$4,10,FALSE())</f>
        <v/>
      </c>
      <c r="I205" s="101">
        <f>VLOOKUP(C205,Recipes!$A$2:$N$4,12,FALSE())</f>
        <v/>
      </c>
      <c r="J205" s="101">
        <f>IF(G205="","",((G205-H205)/I205)^2)</f>
        <v/>
      </c>
      <c r="K205" s="101">
        <f>IF(G205="","",MAX(0, J205-$B$12))</f>
        <v/>
      </c>
      <c r="L205" s="100">
        <f>IF(G205="","",SQRT(K205))</f>
        <v/>
      </c>
      <c r="M205" s="98">
        <f>IF(G205="","",IF(K205&lt;=$B$10,"OK","NG"))</f>
        <v/>
      </c>
      <c r="N205" s="69">
        <f>IF(M205="","",IF(M205=D205,1,0))</f>
        <v/>
      </c>
      <c r="O205" s="100">
        <f>IF(G205="","",H205-G205)</f>
        <v/>
      </c>
      <c r="P205" s="100">
        <f>IF(G205="","",ABS(O205-Components!$D$2))</f>
        <v/>
      </c>
      <c r="Q205" s="100">
        <f>IF(G205="","",ABS(O205-Components!$D$3))</f>
        <v/>
      </c>
      <c r="R205" s="100">
        <f>IF(G205="","",ABS(O205-Components!$D$4))</f>
        <v/>
      </c>
      <c r="S205" s="100">
        <f>IF(G205="","",ABS(O205-Components!$D$5))</f>
        <v/>
      </c>
      <c r="T205" s="100">
        <f>IF(G205="","",ABS(O205-Components!$D$6))</f>
        <v/>
      </c>
      <c r="U205" s="100">
        <f>IF(G205="","",ABS(O205-Components!$D$7))</f>
        <v/>
      </c>
      <c r="V205" s="98">
        <f>IF(G205="","",IF(M205="OK","NONE",INDEX({"S1","S2","W1","W2","N1","N2"},MATCH(MIN(P205:U205),P205:U205,0))))</f>
        <v/>
      </c>
      <c r="W205" s="103">
        <f>IF(G205="","",IF(V205=E205,1,0))</f>
        <v/>
      </c>
    </row>
    <row r="206">
      <c r="A206" s="102">
        <f>'Runs Z score'!A194</f>
        <v/>
      </c>
      <c r="B206" s="98">
        <f>'Runs Z score'!B194</f>
        <v/>
      </c>
      <c r="C206" s="98">
        <f>'Runs Z score'!C194</f>
        <v/>
      </c>
      <c r="D206" s="98">
        <f>'Runs Z score'!D194</f>
        <v/>
      </c>
      <c r="E206" s="98">
        <f>'Runs Z score'!E194</f>
        <v/>
      </c>
      <c r="F206" s="98">
        <f>'Runs Z score'!F194</f>
        <v/>
      </c>
      <c r="G206" s="99">
        <f>'Runs Z score'!G194</f>
        <v/>
      </c>
      <c r="H206" s="100">
        <f>VLOOKUP(C206,Recipes!$A$2:$N$4,10,FALSE())</f>
        <v/>
      </c>
      <c r="I206" s="101">
        <f>VLOOKUP(C206,Recipes!$A$2:$N$4,12,FALSE())</f>
        <v/>
      </c>
      <c r="J206" s="101">
        <f>IF(G206="","",((G206-H206)/I206)^2)</f>
        <v/>
      </c>
      <c r="K206" s="101">
        <f>IF(G206="","",MAX(0, J206-$B$12))</f>
        <v/>
      </c>
      <c r="L206" s="100">
        <f>IF(G206="","",SQRT(K206))</f>
        <v/>
      </c>
      <c r="M206" s="98">
        <f>IF(G206="","",IF(K206&lt;=$B$10,"OK","NG"))</f>
        <v/>
      </c>
      <c r="N206" s="69">
        <f>IF(M206="","",IF(M206=D206,1,0))</f>
        <v/>
      </c>
      <c r="O206" s="100">
        <f>IF(G206="","",H206-G206)</f>
        <v/>
      </c>
      <c r="P206" s="100">
        <f>IF(G206="","",ABS(O206-Components!$D$2))</f>
        <v/>
      </c>
      <c r="Q206" s="100">
        <f>IF(G206="","",ABS(O206-Components!$D$3))</f>
        <v/>
      </c>
      <c r="R206" s="100">
        <f>IF(G206="","",ABS(O206-Components!$D$4))</f>
        <v/>
      </c>
      <c r="S206" s="100">
        <f>IF(G206="","",ABS(O206-Components!$D$5))</f>
        <v/>
      </c>
      <c r="T206" s="100">
        <f>IF(G206="","",ABS(O206-Components!$D$6))</f>
        <v/>
      </c>
      <c r="U206" s="100">
        <f>IF(G206="","",ABS(O206-Components!$D$7))</f>
        <v/>
      </c>
      <c r="V206" s="98">
        <f>IF(G206="","",IF(M206="OK","NONE",INDEX({"S1","S2","W1","W2","N1","N2"},MATCH(MIN(P206:U206),P206:U206,0))))</f>
        <v/>
      </c>
      <c r="W206" s="103">
        <f>IF(G206="","",IF(V206=E206,1,0))</f>
        <v/>
      </c>
    </row>
    <row r="207">
      <c r="A207" s="102">
        <f>'Runs Z score'!A195</f>
        <v/>
      </c>
      <c r="B207" s="98">
        <f>'Runs Z score'!B195</f>
        <v/>
      </c>
      <c r="C207" s="98">
        <f>'Runs Z score'!C195</f>
        <v/>
      </c>
      <c r="D207" s="98">
        <f>'Runs Z score'!D195</f>
        <v/>
      </c>
      <c r="E207" s="98">
        <f>'Runs Z score'!E195</f>
        <v/>
      </c>
      <c r="F207" s="98">
        <f>'Runs Z score'!F195</f>
        <v/>
      </c>
      <c r="G207" s="99">
        <f>'Runs Z score'!G195</f>
        <v/>
      </c>
      <c r="H207" s="100">
        <f>VLOOKUP(C207,Recipes!$A$2:$N$4,10,FALSE())</f>
        <v/>
      </c>
      <c r="I207" s="101">
        <f>VLOOKUP(C207,Recipes!$A$2:$N$4,12,FALSE())</f>
        <v/>
      </c>
      <c r="J207" s="101">
        <f>IF(G207="","",((G207-H207)/I207)^2)</f>
        <v/>
      </c>
      <c r="K207" s="101">
        <f>IF(G207="","",MAX(0, J207-$B$12))</f>
        <v/>
      </c>
      <c r="L207" s="100">
        <f>IF(G207="","",SQRT(K207))</f>
        <v/>
      </c>
      <c r="M207" s="98">
        <f>IF(G207="","",IF(K207&lt;=$B$10,"OK","NG"))</f>
        <v/>
      </c>
      <c r="N207" s="69">
        <f>IF(M207="","",IF(M207=D207,1,0))</f>
        <v/>
      </c>
      <c r="O207" s="100">
        <f>IF(G207="","",H207-G207)</f>
        <v/>
      </c>
      <c r="P207" s="100">
        <f>IF(G207="","",ABS(O207-Components!$D$2))</f>
        <v/>
      </c>
      <c r="Q207" s="100">
        <f>IF(G207="","",ABS(O207-Components!$D$3))</f>
        <v/>
      </c>
      <c r="R207" s="100">
        <f>IF(G207="","",ABS(O207-Components!$D$4))</f>
        <v/>
      </c>
      <c r="S207" s="100">
        <f>IF(G207="","",ABS(O207-Components!$D$5))</f>
        <v/>
      </c>
      <c r="T207" s="100">
        <f>IF(G207="","",ABS(O207-Components!$D$6))</f>
        <v/>
      </c>
      <c r="U207" s="100">
        <f>IF(G207="","",ABS(O207-Components!$D$7))</f>
        <v/>
      </c>
      <c r="V207" s="98">
        <f>IF(G207="","",IF(M207="OK","NONE",INDEX({"S1","S2","W1","W2","N1","N2"},MATCH(MIN(P207:U207),P207:U207,0))))</f>
        <v/>
      </c>
      <c r="W207" s="103">
        <f>IF(G207="","",IF(V207=E207,1,0))</f>
        <v/>
      </c>
    </row>
    <row r="208">
      <c r="A208" s="102">
        <f>'Runs Z score'!A196</f>
        <v/>
      </c>
      <c r="B208" s="98">
        <f>'Runs Z score'!B196</f>
        <v/>
      </c>
      <c r="C208" s="98">
        <f>'Runs Z score'!C196</f>
        <v/>
      </c>
      <c r="D208" s="98">
        <f>'Runs Z score'!D196</f>
        <v/>
      </c>
      <c r="E208" s="98">
        <f>'Runs Z score'!E196</f>
        <v/>
      </c>
      <c r="F208" s="98">
        <f>'Runs Z score'!F196</f>
        <v/>
      </c>
      <c r="G208" s="99">
        <f>'Runs Z score'!G196</f>
        <v/>
      </c>
      <c r="H208" s="100">
        <f>VLOOKUP(C208,Recipes!$A$2:$N$4,10,FALSE())</f>
        <v/>
      </c>
      <c r="I208" s="101">
        <f>VLOOKUP(C208,Recipes!$A$2:$N$4,12,FALSE())</f>
        <v/>
      </c>
      <c r="J208" s="101">
        <f>IF(G208="","",((G208-H208)/I208)^2)</f>
        <v/>
      </c>
      <c r="K208" s="101">
        <f>IF(G208="","",MAX(0, J208-$B$12))</f>
        <v/>
      </c>
      <c r="L208" s="100">
        <f>IF(G208="","",SQRT(K208))</f>
        <v/>
      </c>
      <c r="M208" s="98">
        <f>IF(G208="","",IF(K208&lt;=$B$10,"OK","NG"))</f>
        <v/>
      </c>
      <c r="N208" s="69">
        <f>IF(M208="","",IF(M208=D208,1,0))</f>
        <v/>
      </c>
      <c r="O208" s="100">
        <f>IF(G208="","",H208-G208)</f>
        <v/>
      </c>
      <c r="P208" s="100">
        <f>IF(G208="","",ABS(O208-Components!$D$2))</f>
        <v/>
      </c>
      <c r="Q208" s="100">
        <f>IF(G208="","",ABS(O208-Components!$D$3))</f>
        <v/>
      </c>
      <c r="R208" s="100">
        <f>IF(G208="","",ABS(O208-Components!$D$4))</f>
        <v/>
      </c>
      <c r="S208" s="100">
        <f>IF(G208="","",ABS(O208-Components!$D$5))</f>
        <v/>
      </c>
      <c r="T208" s="100">
        <f>IF(G208="","",ABS(O208-Components!$D$6))</f>
        <v/>
      </c>
      <c r="U208" s="100">
        <f>IF(G208="","",ABS(O208-Components!$D$7))</f>
        <v/>
      </c>
      <c r="V208" s="98">
        <f>IF(G208="","",IF(M208="OK","NONE",INDEX({"S1","S2","W1","W2","N1","N2"},MATCH(MIN(P208:U208),P208:U208,0))))</f>
        <v/>
      </c>
      <c r="W208" s="103">
        <f>IF(G208="","",IF(V208=E208,1,0))</f>
        <v/>
      </c>
    </row>
    <row r="209">
      <c r="A209" s="102">
        <f>'Runs Z score'!A197</f>
        <v/>
      </c>
      <c r="B209" s="98">
        <f>'Runs Z score'!B197</f>
        <v/>
      </c>
      <c r="C209" s="98">
        <f>'Runs Z score'!C197</f>
        <v/>
      </c>
      <c r="D209" s="98">
        <f>'Runs Z score'!D197</f>
        <v/>
      </c>
      <c r="E209" s="98">
        <f>'Runs Z score'!E197</f>
        <v/>
      </c>
      <c r="F209" s="98">
        <f>'Runs Z score'!F197</f>
        <v/>
      </c>
      <c r="G209" s="99">
        <f>'Runs Z score'!G197</f>
        <v/>
      </c>
      <c r="H209" s="100">
        <f>VLOOKUP(C209,Recipes!$A$2:$N$4,10,FALSE())</f>
        <v/>
      </c>
      <c r="I209" s="101">
        <f>VLOOKUP(C209,Recipes!$A$2:$N$4,12,FALSE())</f>
        <v/>
      </c>
      <c r="J209" s="101">
        <f>IF(G209="","",((G209-H209)/I209)^2)</f>
        <v/>
      </c>
      <c r="K209" s="101">
        <f>IF(G209="","",MAX(0, J209-$B$12))</f>
        <v/>
      </c>
      <c r="L209" s="100">
        <f>IF(G209="","",SQRT(K209))</f>
        <v/>
      </c>
      <c r="M209" s="98">
        <f>IF(G209="","",IF(K209&lt;=$B$10,"OK","NG"))</f>
        <v/>
      </c>
      <c r="N209" s="69">
        <f>IF(M209="","",IF(M209=D209,1,0))</f>
        <v/>
      </c>
      <c r="O209" s="100">
        <f>IF(G209="","",H209-G209)</f>
        <v/>
      </c>
      <c r="P209" s="100">
        <f>IF(G209="","",ABS(O209-Components!$D$2))</f>
        <v/>
      </c>
      <c r="Q209" s="100">
        <f>IF(G209="","",ABS(O209-Components!$D$3))</f>
        <v/>
      </c>
      <c r="R209" s="100">
        <f>IF(G209="","",ABS(O209-Components!$D$4))</f>
        <v/>
      </c>
      <c r="S209" s="100">
        <f>IF(G209="","",ABS(O209-Components!$D$5))</f>
        <v/>
      </c>
      <c r="T209" s="100">
        <f>IF(G209="","",ABS(O209-Components!$D$6))</f>
        <v/>
      </c>
      <c r="U209" s="100">
        <f>IF(G209="","",ABS(O209-Components!$D$7))</f>
        <v/>
      </c>
      <c r="V209" s="98">
        <f>IF(G209="","",IF(M209="OK","NONE",INDEX({"S1","S2","W1","W2","N1","N2"},MATCH(MIN(P209:U209),P209:U209,0))))</f>
        <v/>
      </c>
      <c r="W209" s="103">
        <f>IF(G209="","",IF(V209=E209,1,0))</f>
        <v/>
      </c>
    </row>
    <row r="210">
      <c r="A210" s="102">
        <f>'Runs Z score'!A198</f>
        <v/>
      </c>
      <c r="B210" s="98">
        <f>'Runs Z score'!B198</f>
        <v/>
      </c>
      <c r="C210" s="98">
        <f>'Runs Z score'!C198</f>
        <v/>
      </c>
      <c r="D210" s="98">
        <f>'Runs Z score'!D198</f>
        <v/>
      </c>
      <c r="E210" s="98">
        <f>'Runs Z score'!E198</f>
        <v/>
      </c>
      <c r="F210" s="98">
        <f>'Runs Z score'!F198</f>
        <v/>
      </c>
      <c r="G210" s="99">
        <f>'Runs Z score'!G198</f>
        <v/>
      </c>
      <c r="H210" s="100">
        <f>VLOOKUP(C210,Recipes!$A$2:$N$4,10,FALSE())</f>
        <v/>
      </c>
      <c r="I210" s="101">
        <f>VLOOKUP(C210,Recipes!$A$2:$N$4,12,FALSE())</f>
        <v/>
      </c>
      <c r="J210" s="101">
        <f>IF(G210="","",((G210-H210)/I210)^2)</f>
        <v/>
      </c>
      <c r="K210" s="101">
        <f>IF(G210="","",MAX(0, J210-$B$12))</f>
        <v/>
      </c>
      <c r="L210" s="100">
        <f>IF(G210="","",SQRT(K210))</f>
        <v/>
      </c>
      <c r="M210" s="98">
        <f>IF(G210="","",IF(K210&lt;=$B$10,"OK","NG"))</f>
        <v/>
      </c>
      <c r="N210" s="69">
        <f>IF(M210="","",IF(M210=D210,1,0))</f>
        <v/>
      </c>
      <c r="O210" s="100">
        <f>IF(G210="","",H210-G210)</f>
        <v/>
      </c>
      <c r="P210" s="100">
        <f>IF(G210="","",ABS(O210-Components!$D$2))</f>
        <v/>
      </c>
      <c r="Q210" s="100">
        <f>IF(G210="","",ABS(O210-Components!$D$3))</f>
        <v/>
      </c>
      <c r="R210" s="100">
        <f>IF(G210="","",ABS(O210-Components!$D$4))</f>
        <v/>
      </c>
      <c r="S210" s="100">
        <f>IF(G210="","",ABS(O210-Components!$D$5))</f>
        <v/>
      </c>
      <c r="T210" s="100">
        <f>IF(G210="","",ABS(O210-Components!$D$6))</f>
        <v/>
      </c>
      <c r="U210" s="100">
        <f>IF(G210="","",ABS(O210-Components!$D$7))</f>
        <v/>
      </c>
      <c r="V210" s="98">
        <f>IF(G210="","",IF(M210="OK","NONE",INDEX({"S1","S2","W1","W2","N1","N2"},MATCH(MIN(P210:U210),P210:U210,0))))</f>
        <v/>
      </c>
      <c r="W210" s="103">
        <f>IF(G210="","",IF(V210=E210,1,0))</f>
        <v/>
      </c>
    </row>
    <row r="211">
      <c r="A211" s="102">
        <f>'Runs Z score'!A199</f>
        <v/>
      </c>
      <c r="B211" s="98">
        <f>'Runs Z score'!B199</f>
        <v/>
      </c>
      <c r="C211" s="98">
        <f>'Runs Z score'!C199</f>
        <v/>
      </c>
      <c r="D211" s="98">
        <f>'Runs Z score'!D199</f>
        <v/>
      </c>
      <c r="E211" s="98">
        <f>'Runs Z score'!E199</f>
        <v/>
      </c>
      <c r="F211" s="98">
        <f>'Runs Z score'!F199</f>
        <v/>
      </c>
      <c r="G211" s="99">
        <f>'Runs Z score'!G199</f>
        <v/>
      </c>
      <c r="H211" s="100">
        <f>VLOOKUP(C211,Recipes!$A$2:$N$4,10,FALSE())</f>
        <v/>
      </c>
      <c r="I211" s="101">
        <f>VLOOKUP(C211,Recipes!$A$2:$N$4,12,FALSE())</f>
        <v/>
      </c>
      <c r="J211" s="101">
        <f>IF(G211="","",((G211-H211)/I211)^2)</f>
        <v/>
      </c>
      <c r="K211" s="101">
        <f>IF(G211="","",MAX(0, J211-$B$12))</f>
        <v/>
      </c>
      <c r="L211" s="100">
        <f>IF(G211="","",SQRT(K211))</f>
        <v/>
      </c>
      <c r="M211" s="98">
        <f>IF(G211="","",IF(K211&lt;=$B$10,"OK","NG"))</f>
        <v/>
      </c>
      <c r="N211" s="69">
        <f>IF(M211="","",IF(M211=D211,1,0))</f>
        <v/>
      </c>
      <c r="O211" s="100">
        <f>IF(G211="","",H211-G211)</f>
        <v/>
      </c>
      <c r="P211" s="100">
        <f>IF(G211="","",ABS(O211-Components!$D$2))</f>
        <v/>
      </c>
      <c r="Q211" s="100">
        <f>IF(G211="","",ABS(O211-Components!$D$3))</f>
        <v/>
      </c>
      <c r="R211" s="100">
        <f>IF(G211="","",ABS(O211-Components!$D$4))</f>
        <v/>
      </c>
      <c r="S211" s="100">
        <f>IF(G211="","",ABS(O211-Components!$D$5))</f>
        <v/>
      </c>
      <c r="T211" s="100">
        <f>IF(G211="","",ABS(O211-Components!$D$6))</f>
        <v/>
      </c>
      <c r="U211" s="100">
        <f>IF(G211="","",ABS(O211-Components!$D$7))</f>
        <v/>
      </c>
      <c r="V211" s="98">
        <f>IF(G211="","",IF(M211="OK","NONE",INDEX({"S1","S2","W1","W2","N1","N2"},MATCH(MIN(P211:U211),P211:U211,0))))</f>
        <v/>
      </c>
      <c r="W211" s="103">
        <f>IF(G211="","",IF(V211=E211,1,0))</f>
        <v/>
      </c>
    </row>
    <row r="212">
      <c r="A212" s="102">
        <f>'Runs Z score'!A200</f>
        <v/>
      </c>
      <c r="B212" s="98">
        <f>'Runs Z score'!B200</f>
        <v/>
      </c>
      <c r="C212" s="98">
        <f>'Runs Z score'!C200</f>
        <v/>
      </c>
      <c r="D212" s="98">
        <f>'Runs Z score'!D200</f>
        <v/>
      </c>
      <c r="E212" s="98">
        <f>'Runs Z score'!E200</f>
        <v/>
      </c>
      <c r="F212" s="98">
        <f>'Runs Z score'!F200</f>
        <v/>
      </c>
      <c r="G212" s="99">
        <f>'Runs Z score'!G200</f>
        <v/>
      </c>
      <c r="H212" s="100">
        <f>VLOOKUP(C212,Recipes!$A$2:$N$4,10,FALSE())</f>
        <v/>
      </c>
      <c r="I212" s="101">
        <f>VLOOKUP(C212,Recipes!$A$2:$N$4,12,FALSE())</f>
        <v/>
      </c>
      <c r="J212" s="101">
        <f>IF(G212="","",((G212-H212)/I212)^2)</f>
        <v/>
      </c>
      <c r="K212" s="101">
        <f>IF(G212="","",MAX(0, J212-$B$12))</f>
        <v/>
      </c>
      <c r="L212" s="100">
        <f>IF(G212="","",SQRT(K212))</f>
        <v/>
      </c>
      <c r="M212" s="98">
        <f>IF(G212="","",IF(K212&lt;=$B$10,"OK","NG"))</f>
        <v/>
      </c>
      <c r="N212" s="69">
        <f>IF(M212="","",IF(M212=D212,1,0))</f>
        <v/>
      </c>
      <c r="O212" s="100">
        <f>IF(G212="","",H212-G212)</f>
        <v/>
      </c>
      <c r="P212" s="100">
        <f>IF(G212="","",ABS(O212-Components!$D$2))</f>
        <v/>
      </c>
      <c r="Q212" s="100">
        <f>IF(G212="","",ABS(O212-Components!$D$3))</f>
        <v/>
      </c>
      <c r="R212" s="100">
        <f>IF(G212="","",ABS(O212-Components!$D$4))</f>
        <v/>
      </c>
      <c r="S212" s="100">
        <f>IF(G212="","",ABS(O212-Components!$D$5))</f>
        <v/>
      </c>
      <c r="T212" s="100">
        <f>IF(G212="","",ABS(O212-Components!$D$6))</f>
        <v/>
      </c>
      <c r="U212" s="100">
        <f>IF(G212="","",ABS(O212-Components!$D$7))</f>
        <v/>
      </c>
      <c r="V212" s="98">
        <f>IF(G212="","",IF(M212="OK","NONE",INDEX({"S1","S2","W1","W2","N1","N2"},MATCH(MIN(P212:U212),P212:U212,0))))</f>
        <v/>
      </c>
      <c r="W212" s="103">
        <f>IF(G212="","",IF(V212=E212,1,0))</f>
        <v/>
      </c>
    </row>
    <row r="213">
      <c r="A213" s="102">
        <f>'Runs Z score'!A201</f>
        <v/>
      </c>
      <c r="B213" s="98">
        <f>'Runs Z score'!B201</f>
        <v/>
      </c>
      <c r="C213" s="98">
        <f>'Runs Z score'!C201</f>
        <v/>
      </c>
      <c r="D213" s="98">
        <f>'Runs Z score'!D201</f>
        <v/>
      </c>
      <c r="E213" s="98">
        <f>'Runs Z score'!E201</f>
        <v/>
      </c>
      <c r="F213" s="98">
        <f>'Runs Z score'!F201</f>
        <v/>
      </c>
      <c r="G213" s="99">
        <f>'Runs Z score'!G201</f>
        <v/>
      </c>
      <c r="H213" s="100">
        <f>VLOOKUP(C213,Recipes!$A$2:$N$4,10,FALSE())</f>
        <v/>
      </c>
      <c r="I213" s="101">
        <f>VLOOKUP(C213,Recipes!$A$2:$N$4,12,FALSE())</f>
        <v/>
      </c>
      <c r="J213" s="101">
        <f>IF(G213="","",((G213-H213)/I213)^2)</f>
        <v/>
      </c>
      <c r="K213" s="101">
        <f>IF(G213="","",MAX(0, J213-$B$12))</f>
        <v/>
      </c>
      <c r="L213" s="100">
        <f>IF(G213="","",SQRT(K213))</f>
        <v/>
      </c>
      <c r="M213" s="98">
        <f>IF(G213="","",IF(K213&lt;=$B$10,"OK","NG"))</f>
        <v/>
      </c>
      <c r="N213" s="69">
        <f>IF(M213="","",IF(M213=D213,1,0))</f>
        <v/>
      </c>
      <c r="O213" s="100">
        <f>IF(G213="","",H213-G213)</f>
        <v/>
      </c>
      <c r="P213" s="100">
        <f>IF(G213="","",ABS(O213-Components!$D$2))</f>
        <v/>
      </c>
      <c r="Q213" s="100">
        <f>IF(G213="","",ABS(O213-Components!$D$3))</f>
        <v/>
      </c>
      <c r="R213" s="100">
        <f>IF(G213="","",ABS(O213-Components!$D$4))</f>
        <v/>
      </c>
      <c r="S213" s="100">
        <f>IF(G213="","",ABS(O213-Components!$D$5))</f>
        <v/>
      </c>
      <c r="T213" s="100">
        <f>IF(G213="","",ABS(O213-Components!$D$6))</f>
        <v/>
      </c>
      <c r="U213" s="100">
        <f>IF(G213="","",ABS(O213-Components!$D$7))</f>
        <v/>
      </c>
      <c r="V213" s="98">
        <f>IF(G213="","",IF(M213="OK","NONE",INDEX({"S1","S2","W1","W2","N1","N2"},MATCH(MIN(P213:U213),P213:U213,0))))</f>
        <v/>
      </c>
      <c r="W213" s="103">
        <f>IF(G213="","",IF(V213=E213,1,0))</f>
        <v/>
      </c>
    </row>
    <row r="214">
      <c r="A214" s="102">
        <f>'Runs Z score'!A202</f>
        <v/>
      </c>
      <c r="B214" s="98">
        <f>'Runs Z score'!B202</f>
        <v/>
      </c>
      <c r="C214" s="98">
        <f>'Runs Z score'!C202</f>
        <v/>
      </c>
      <c r="D214" s="98">
        <f>'Runs Z score'!D202</f>
        <v/>
      </c>
      <c r="E214" s="98">
        <f>'Runs Z score'!E202</f>
        <v/>
      </c>
      <c r="F214" s="98">
        <f>'Runs Z score'!F202</f>
        <v/>
      </c>
      <c r="G214" s="99">
        <f>'Runs Z score'!G202</f>
        <v/>
      </c>
      <c r="H214" s="100">
        <f>VLOOKUP(C214,Recipes!$A$2:$N$4,10,FALSE())</f>
        <v/>
      </c>
      <c r="I214" s="101">
        <f>VLOOKUP(C214,Recipes!$A$2:$N$4,12,FALSE())</f>
        <v/>
      </c>
      <c r="J214" s="101">
        <f>IF(G214="","",((G214-H214)/I214)^2)</f>
        <v/>
      </c>
      <c r="K214" s="101">
        <f>IF(G214="","",MAX(0, J214-$B$12))</f>
        <v/>
      </c>
      <c r="L214" s="100">
        <f>IF(G214="","",SQRT(K214))</f>
        <v/>
      </c>
      <c r="M214" s="98">
        <f>IF(G214="","",IF(K214&lt;=$B$10,"OK","NG"))</f>
        <v/>
      </c>
      <c r="N214" s="69">
        <f>IF(M214="","",IF(M214=D214,1,0))</f>
        <v/>
      </c>
      <c r="O214" s="100">
        <f>IF(G214="","",H214-G214)</f>
        <v/>
      </c>
      <c r="P214" s="100">
        <f>IF(G214="","",ABS(O214-Components!$D$2))</f>
        <v/>
      </c>
      <c r="Q214" s="100">
        <f>IF(G214="","",ABS(O214-Components!$D$3))</f>
        <v/>
      </c>
      <c r="R214" s="100">
        <f>IF(G214="","",ABS(O214-Components!$D$4))</f>
        <v/>
      </c>
      <c r="S214" s="100">
        <f>IF(G214="","",ABS(O214-Components!$D$5))</f>
        <v/>
      </c>
      <c r="T214" s="100">
        <f>IF(G214="","",ABS(O214-Components!$D$6))</f>
        <v/>
      </c>
      <c r="U214" s="100">
        <f>IF(G214="","",ABS(O214-Components!$D$7))</f>
        <v/>
      </c>
      <c r="V214" s="98">
        <f>IF(G214="","",IF(M214="OK","NONE",INDEX({"S1","S2","W1","W2","N1","N2"},MATCH(MIN(P214:U214),P214:U214,0))))</f>
        <v/>
      </c>
      <c r="W214" s="103">
        <f>IF(G214="","",IF(V214=E214,1,0))</f>
        <v/>
      </c>
    </row>
    <row r="215">
      <c r="A215" s="102">
        <f>'Runs Z score'!A203</f>
        <v/>
      </c>
      <c r="B215" s="98">
        <f>'Runs Z score'!B203</f>
        <v/>
      </c>
      <c r="C215" s="98">
        <f>'Runs Z score'!C203</f>
        <v/>
      </c>
      <c r="D215" s="98">
        <f>'Runs Z score'!D203</f>
        <v/>
      </c>
      <c r="E215" s="98">
        <f>'Runs Z score'!E203</f>
        <v/>
      </c>
      <c r="F215" s="98">
        <f>'Runs Z score'!F203</f>
        <v/>
      </c>
      <c r="G215" s="99">
        <f>'Runs Z score'!G203</f>
        <v/>
      </c>
      <c r="H215" s="100">
        <f>VLOOKUP(C215,Recipes!$A$2:$N$4,10,FALSE())</f>
        <v/>
      </c>
      <c r="I215" s="101">
        <f>VLOOKUP(C215,Recipes!$A$2:$N$4,12,FALSE())</f>
        <v/>
      </c>
      <c r="J215" s="101">
        <f>IF(G215="","",((G215-H215)/I215)^2)</f>
        <v/>
      </c>
      <c r="K215" s="101">
        <f>IF(G215="","",MAX(0, J215-$B$12))</f>
        <v/>
      </c>
      <c r="L215" s="100">
        <f>IF(G215="","",SQRT(K215))</f>
        <v/>
      </c>
      <c r="M215" s="98">
        <f>IF(G215="","",IF(K215&lt;=$B$10,"OK","NG"))</f>
        <v/>
      </c>
      <c r="N215" s="69">
        <f>IF(M215="","",IF(M215=D215,1,0))</f>
        <v/>
      </c>
      <c r="O215" s="100">
        <f>IF(G215="","",H215-G215)</f>
        <v/>
      </c>
      <c r="P215" s="100">
        <f>IF(G215="","",ABS(O215-Components!$D$2))</f>
        <v/>
      </c>
      <c r="Q215" s="100">
        <f>IF(G215="","",ABS(O215-Components!$D$3))</f>
        <v/>
      </c>
      <c r="R215" s="100">
        <f>IF(G215="","",ABS(O215-Components!$D$4))</f>
        <v/>
      </c>
      <c r="S215" s="100">
        <f>IF(G215="","",ABS(O215-Components!$D$5))</f>
        <v/>
      </c>
      <c r="T215" s="100">
        <f>IF(G215="","",ABS(O215-Components!$D$6))</f>
        <v/>
      </c>
      <c r="U215" s="100">
        <f>IF(G215="","",ABS(O215-Components!$D$7))</f>
        <v/>
      </c>
      <c r="V215" s="98">
        <f>IF(G215="","",IF(M215="OK","NONE",INDEX({"S1","S2","W1","W2","N1","N2"},MATCH(MIN(P215:U215),P215:U215,0))))</f>
        <v/>
      </c>
      <c r="W215" s="103">
        <f>IF(G215="","",IF(V215=E215,1,0))</f>
        <v/>
      </c>
    </row>
    <row r="216">
      <c r="A216" s="102">
        <f>'Runs Z score'!A204</f>
        <v/>
      </c>
      <c r="B216" s="98">
        <f>'Runs Z score'!B204</f>
        <v/>
      </c>
      <c r="C216" s="98">
        <f>'Runs Z score'!C204</f>
        <v/>
      </c>
      <c r="D216" s="98">
        <f>'Runs Z score'!D204</f>
        <v/>
      </c>
      <c r="E216" s="98">
        <f>'Runs Z score'!E204</f>
        <v/>
      </c>
      <c r="F216" s="98">
        <f>'Runs Z score'!F204</f>
        <v/>
      </c>
      <c r="G216" s="99">
        <f>'Runs Z score'!G204</f>
        <v/>
      </c>
      <c r="H216" s="100">
        <f>VLOOKUP(C216,Recipes!$A$2:$N$4,10,FALSE())</f>
        <v/>
      </c>
      <c r="I216" s="101">
        <f>VLOOKUP(C216,Recipes!$A$2:$N$4,12,FALSE())</f>
        <v/>
      </c>
      <c r="J216" s="101">
        <f>IF(G216="","",((G216-H216)/I216)^2)</f>
        <v/>
      </c>
      <c r="K216" s="101">
        <f>IF(G216="","",MAX(0, J216-$B$12))</f>
        <v/>
      </c>
      <c r="L216" s="100">
        <f>IF(G216="","",SQRT(K216))</f>
        <v/>
      </c>
      <c r="M216" s="98">
        <f>IF(G216="","",IF(K216&lt;=$B$10,"OK","NG"))</f>
        <v/>
      </c>
      <c r="N216" s="69">
        <f>IF(M216="","",IF(M216=D216,1,0))</f>
        <v/>
      </c>
      <c r="O216" s="100">
        <f>IF(G216="","",H216-G216)</f>
        <v/>
      </c>
      <c r="P216" s="100">
        <f>IF(G216="","",ABS(O216-Components!$D$2))</f>
        <v/>
      </c>
      <c r="Q216" s="100">
        <f>IF(G216="","",ABS(O216-Components!$D$3))</f>
        <v/>
      </c>
      <c r="R216" s="100">
        <f>IF(G216="","",ABS(O216-Components!$D$4))</f>
        <v/>
      </c>
      <c r="S216" s="100">
        <f>IF(G216="","",ABS(O216-Components!$D$5))</f>
        <v/>
      </c>
      <c r="T216" s="100">
        <f>IF(G216="","",ABS(O216-Components!$D$6))</f>
        <v/>
      </c>
      <c r="U216" s="100">
        <f>IF(G216="","",ABS(O216-Components!$D$7))</f>
        <v/>
      </c>
      <c r="V216" s="98">
        <f>IF(G216="","",IF(M216="OK","NONE",INDEX({"S1","S2","W1","W2","N1","N2"},MATCH(MIN(P216:U216),P216:U216,0))))</f>
        <v/>
      </c>
      <c r="W216" s="103">
        <f>IF(G216="","",IF(V216=E216,1,0))</f>
        <v/>
      </c>
    </row>
    <row r="217">
      <c r="A217" s="102">
        <f>'Runs Z score'!A205</f>
        <v/>
      </c>
      <c r="B217" s="98">
        <f>'Runs Z score'!B205</f>
        <v/>
      </c>
      <c r="C217" s="98">
        <f>'Runs Z score'!C205</f>
        <v/>
      </c>
      <c r="D217" s="98">
        <f>'Runs Z score'!D205</f>
        <v/>
      </c>
      <c r="E217" s="98">
        <f>'Runs Z score'!E205</f>
        <v/>
      </c>
      <c r="F217" s="98">
        <f>'Runs Z score'!F205</f>
        <v/>
      </c>
      <c r="G217" s="99">
        <f>'Runs Z score'!G205</f>
        <v/>
      </c>
      <c r="H217" s="100">
        <f>VLOOKUP(C217,Recipes!$A$2:$N$4,10,FALSE())</f>
        <v/>
      </c>
      <c r="I217" s="101">
        <f>VLOOKUP(C217,Recipes!$A$2:$N$4,12,FALSE())</f>
        <v/>
      </c>
      <c r="J217" s="101">
        <f>IF(G217="","",((G217-H217)/I217)^2)</f>
        <v/>
      </c>
      <c r="K217" s="101">
        <f>IF(G217="","",MAX(0, J217-$B$12))</f>
        <v/>
      </c>
      <c r="L217" s="100">
        <f>IF(G217="","",SQRT(K217))</f>
        <v/>
      </c>
      <c r="M217" s="98">
        <f>IF(G217="","",IF(K217&lt;=$B$10,"OK","NG"))</f>
        <v/>
      </c>
      <c r="N217" s="69">
        <f>IF(M217="","",IF(M217=D217,1,0))</f>
        <v/>
      </c>
      <c r="O217" s="100">
        <f>IF(G217="","",H217-G217)</f>
        <v/>
      </c>
      <c r="P217" s="100">
        <f>IF(G217="","",ABS(O217-Components!$D$2))</f>
        <v/>
      </c>
      <c r="Q217" s="100">
        <f>IF(G217="","",ABS(O217-Components!$D$3))</f>
        <v/>
      </c>
      <c r="R217" s="100">
        <f>IF(G217="","",ABS(O217-Components!$D$4))</f>
        <v/>
      </c>
      <c r="S217" s="100">
        <f>IF(G217="","",ABS(O217-Components!$D$5))</f>
        <v/>
      </c>
      <c r="T217" s="100">
        <f>IF(G217="","",ABS(O217-Components!$D$6))</f>
        <v/>
      </c>
      <c r="U217" s="100">
        <f>IF(G217="","",ABS(O217-Components!$D$7))</f>
        <v/>
      </c>
      <c r="V217" s="98">
        <f>IF(G217="","",IF(M217="OK","NONE",INDEX({"S1","S2","W1","W2","N1","N2"},MATCH(MIN(P217:U217),P217:U217,0))))</f>
        <v/>
      </c>
      <c r="W217" s="103">
        <f>IF(G217="","",IF(V217=E217,1,0))</f>
        <v/>
      </c>
    </row>
    <row r="218">
      <c r="A218" s="102">
        <f>'Runs Z score'!A206</f>
        <v/>
      </c>
      <c r="B218" s="98">
        <f>'Runs Z score'!B206</f>
        <v/>
      </c>
      <c r="C218" s="98">
        <f>'Runs Z score'!C206</f>
        <v/>
      </c>
      <c r="D218" s="98">
        <f>'Runs Z score'!D206</f>
        <v/>
      </c>
      <c r="E218" s="98">
        <f>'Runs Z score'!E206</f>
        <v/>
      </c>
      <c r="F218" s="98">
        <f>'Runs Z score'!F206</f>
        <v/>
      </c>
      <c r="G218" s="99">
        <f>'Runs Z score'!G206</f>
        <v/>
      </c>
      <c r="H218" s="100">
        <f>VLOOKUP(C218,Recipes!$A$2:$N$4,10,FALSE())</f>
        <v/>
      </c>
      <c r="I218" s="101">
        <f>VLOOKUP(C218,Recipes!$A$2:$N$4,12,FALSE())</f>
        <v/>
      </c>
      <c r="J218" s="101">
        <f>IF(G218="","",((G218-H218)/I218)^2)</f>
        <v/>
      </c>
      <c r="K218" s="101">
        <f>IF(G218="","",MAX(0, J218-$B$12))</f>
        <v/>
      </c>
      <c r="L218" s="100">
        <f>IF(G218="","",SQRT(K218))</f>
        <v/>
      </c>
      <c r="M218" s="98">
        <f>IF(G218="","",IF(K218&lt;=$B$10,"OK","NG"))</f>
        <v/>
      </c>
      <c r="N218" s="69">
        <f>IF(M218="","",IF(M218=D218,1,0))</f>
        <v/>
      </c>
      <c r="O218" s="100">
        <f>IF(G218="","",H218-G218)</f>
        <v/>
      </c>
      <c r="P218" s="100">
        <f>IF(G218="","",ABS(O218-Components!$D$2))</f>
        <v/>
      </c>
      <c r="Q218" s="100">
        <f>IF(G218="","",ABS(O218-Components!$D$3))</f>
        <v/>
      </c>
      <c r="R218" s="100">
        <f>IF(G218="","",ABS(O218-Components!$D$4))</f>
        <v/>
      </c>
      <c r="S218" s="100">
        <f>IF(G218="","",ABS(O218-Components!$D$5))</f>
        <v/>
      </c>
      <c r="T218" s="100">
        <f>IF(G218="","",ABS(O218-Components!$D$6))</f>
        <v/>
      </c>
      <c r="U218" s="100">
        <f>IF(G218="","",ABS(O218-Components!$D$7))</f>
        <v/>
      </c>
      <c r="V218" s="98">
        <f>IF(G218="","",IF(M218="OK","NONE",INDEX({"S1","S2","W1","W2","N1","N2"},MATCH(MIN(P218:U218),P218:U218,0))))</f>
        <v/>
      </c>
      <c r="W218" s="103">
        <f>IF(G218="","",IF(V218=E218,1,0))</f>
        <v/>
      </c>
    </row>
    <row r="219">
      <c r="A219" s="102">
        <f>'Runs Z score'!A207</f>
        <v/>
      </c>
      <c r="B219" s="98">
        <f>'Runs Z score'!B207</f>
        <v/>
      </c>
      <c r="C219" s="98">
        <f>'Runs Z score'!C207</f>
        <v/>
      </c>
      <c r="D219" s="98">
        <f>'Runs Z score'!D207</f>
        <v/>
      </c>
      <c r="E219" s="98">
        <f>'Runs Z score'!E207</f>
        <v/>
      </c>
      <c r="F219" s="98">
        <f>'Runs Z score'!F207</f>
        <v/>
      </c>
      <c r="G219" s="99">
        <f>'Runs Z score'!G207</f>
        <v/>
      </c>
      <c r="H219" s="100">
        <f>VLOOKUP(C219,Recipes!$A$2:$N$4,10,FALSE())</f>
        <v/>
      </c>
      <c r="I219" s="101">
        <f>VLOOKUP(C219,Recipes!$A$2:$N$4,12,FALSE())</f>
        <v/>
      </c>
      <c r="J219" s="101">
        <f>IF(G219="","",((G219-H219)/I219)^2)</f>
        <v/>
      </c>
      <c r="K219" s="101">
        <f>IF(G219="","",MAX(0, J219-$B$12))</f>
        <v/>
      </c>
      <c r="L219" s="100">
        <f>IF(G219="","",SQRT(K219))</f>
        <v/>
      </c>
      <c r="M219" s="98">
        <f>IF(G219="","",IF(K219&lt;=$B$10,"OK","NG"))</f>
        <v/>
      </c>
      <c r="N219" s="69">
        <f>IF(M219="","",IF(M219=D219,1,0))</f>
        <v/>
      </c>
      <c r="O219" s="100">
        <f>IF(G219="","",H219-G219)</f>
        <v/>
      </c>
      <c r="P219" s="100">
        <f>IF(G219="","",ABS(O219-Components!$D$2))</f>
        <v/>
      </c>
      <c r="Q219" s="100">
        <f>IF(G219="","",ABS(O219-Components!$D$3))</f>
        <v/>
      </c>
      <c r="R219" s="100">
        <f>IF(G219="","",ABS(O219-Components!$D$4))</f>
        <v/>
      </c>
      <c r="S219" s="100">
        <f>IF(G219="","",ABS(O219-Components!$D$5))</f>
        <v/>
      </c>
      <c r="T219" s="100">
        <f>IF(G219="","",ABS(O219-Components!$D$6))</f>
        <v/>
      </c>
      <c r="U219" s="100">
        <f>IF(G219="","",ABS(O219-Components!$D$7))</f>
        <v/>
      </c>
      <c r="V219" s="98">
        <f>IF(G219="","",IF(M219="OK","NONE",INDEX({"S1","S2","W1","W2","N1","N2"},MATCH(MIN(P219:U219),P219:U219,0))))</f>
        <v/>
      </c>
      <c r="W219" s="103">
        <f>IF(G219="","",IF(V219=E219,1,0))</f>
        <v/>
      </c>
    </row>
    <row r="220">
      <c r="A220" s="102">
        <f>'Runs Z score'!A208</f>
        <v/>
      </c>
      <c r="B220" s="98">
        <f>'Runs Z score'!B208</f>
        <v/>
      </c>
      <c r="C220" s="98">
        <f>'Runs Z score'!C208</f>
        <v/>
      </c>
      <c r="D220" s="98">
        <f>'Runs Z score'!D208</f>
        <v/>
      </c>
      <c r="E220" s="98">
        <f>'Runs Z score'!E208</f>
        <v/>
      </c>
      <c r="F220" s="98">
        <f>'Runs Z score'!F208</f>
        <v/>
      </c>
      <c r="G220" s="99">
        <f>'Runs Z score'!G208</f>
        <v/>
      </c>
      <c r="H220" s="100">
        <f>VLOOKUP(C220,Recipes!$A$2:$N$4,10,FALSE())</f>
        <v/>
      </c>
      <c r="I220" s="101">
        <f>VLOOKUP(C220,Recipes!$A$2:$N$4,12,FALSE())</f>
        <v/>
      </c>
      <c r="J220" s="101">
        <f>IF(G220="","",((G220-H220)/I220)^2)</f>
        <v/>
      </c>
      <c r="K220" s="101">
        <f>IF(G220="","",MAX(0, J220-$B$12))</f>
        <v/>
      </c>
      <c r="L220" s="100">
        <f>IF(G220="","",SQRT(K220))</f>
        <v/>
      </c>
      <c r="M220" s="98">
        <f>IF(G220="","",IF(K220&lt;=$B$10,"OK","NG"))</f>
        <v/>
      </c>
      <c r="N220" s="69">
        <f>IF(M220="","",IF(M220=D220,1,0))</f>
        <v/>
      </c>
      <c r="O220" s="100">
        <f>IF(G220="","",H220-G220)</f>
        <v/>
      </c>
      <c r="P220" s="100">
        <f>IF(G220="","",ABS(O220-Components!$D$2))</f>
        <v/>
      </c>
      <c r="Q220" s="100">
        <f>IF(G220="","",ABS(O220-Components!$D$3))</f>
        <v/>
      </c>
      <c r="R220" s="100">
        <f>IF(G220="","",ABS(O220-Components!$D$4))</f>
        <v/>
      </c>
      <c r="S220" s="100">
        <f>IF(G220="","",ABS(O220-Components!$D$5))</f>
        <v/>
      </c>
      <c r="T220" s="100">
        <f>IF(G220="","",ABS(O220-Components!$D$6))</f>
        <v/>
      </c>
      <c r="U220" s="100">
        <f>IF(G220="","",ABS(O220-Components!$D$7))</f>
        <v/>
      </c>
      <c r="V220" s="98">
        <f>IF(G220="","",IF(M220="OK","NONE",INDEX({"S1","S2","W1","W2","N1","N2"},MATCH(MIN(P220:U220),P220:U220,0))))</f>
        <v/>
      </c>
      <c r="W220" s="103">
        <f>IF(G220="","",IF(V220=E220,1,0))</f>
        <v/>
      </c>
    </row>
    <row r="221">
      <c r="A221" s="102">
        <f>'Runs Z score'!A209</f>
        <v/>
      </c>
      <c r="B221" s="98">
        <f>'Runs Z score'!B209</f>
        <v/>
      </c>
      <c r="C221" s="98">
        <f>'Runs Z score'!C209</f>
        <v/>
      </c>
      <c r="D221" s="98">
        <f>'Runs Z score'!D209</f>
        <v/>
      </c>
      <c r="E221" s="98">
        <f>'Runs Z score'!E209</f>
        <v/>
      </c>
      <c r="F221" s="98">
        <f>'Runs Z score'!F209</f>
        <v/>
      </c>
      <c r="G221" s="99">
        <f>'Runs Z score'!G209</f>
        <v/>
      </c>
      <c r="H221" s="100">
        <f>VLOOKUP(C221,Recipes!$A$2:$N$4,10,FALSE())</f>
        <v/>
      </c>
      <c r="I221" s="101">
        <f>VLOOKUP(C221,Recipes!$A$2:$N$4,12,FALSE())</f>
        <v/>
      </c>
      <c r="J221" s="101">
        <f>IF(G221="","",((G221-H221)/I221)^2)</f>
        <v/>
      </c>
      <c r="K221" s="101">
        <f>IF(G221="","",MAX(0, J221-$B$12))</f>
        <v/>
      </c>
      <c r="L221" s="100">
        <f>IF(G221="","",SQRT(K221))</f>
        <v/>
      </c>
      <c r="M221" s="98">
        <f>IF(G221="","",IF(K221&lt;=$B$10,"OK","NG"))</f>
        <v/>
      </c>
      <c r="N221" s="69">
        <f>IF(M221="","",IF(M221=D221,1,0))</f>
        <v/>
      </c>
      <c r="O221" s="100">
        <f>IF(G221="","",H221-G221)</f>
        <v/>
      </c>
      <c r="P221" s="100">
        <f>IF(G221="","",ABS(O221-Components!$D$2))</f>
        <v/>
      </c>
      <c r="Q221" s="100">
        <f>IF(G221="","",ABS(O221-Components!$D$3))</f>
        <v/>
      </c>
      <c r="R221" s="100">
        <f>IF(G221="","",ABS(O221-Components!$D$4))</f>
        <v/>
      </c>
      <c r="S221" s="100">
        <f>IF(G221="","",ABS(O221-Components!$D$5))</f>
        <v/>
      </c>
      <c r="T221" s="100">
        <f>IF(G221="","",ABS(O221-Components!$D$6))</f>
        <v/>
      </c>
      <c r="U221" s="100">
        <f>IF(G221="","",ABS(O221-Components!$D$7))</f>
        <v/>
      </c>
      <c r="V221" s="98">
        <f>IF(G221="","",IF(M221="OK","NONE",INDEX({"S1","S2","W1","W2","N1","N2"},MATCH(MIN(P221:U221),P221:U221,0))))</f>
        <v/>
      </c>
      <c r="W221" s="103">
        <f>IF(G221="","",IF(V221=E221,1,0))</f>
        <v/>
      </c>
    </row>
    <row r="222">
      <c r="A222" s="102">
        <f>'Runs Z score'!A210</f>
        <v/>
      </c>
      <c r="B222" s="98">
        <f>'Runs Z score'!B210</f>
        <v/>
      </c>
      <c r="C222" s="98">
        <f>'Runs Z score'!C210</f>
        <v/>
      </c>
      <c r="D222" s="98">
        <f>'Runs Z score'!D210</f>
        <v/>
      </c>
      <c r="E222" s="98">
        <f>'Runs Z score'!E210</f>
        <v/>
      </c>
      <c r="F222" s="98">
        <f>'Runs Z score'!F210</f>
        <v/>
      </c>
      <c r="G222" s="99">
        <f>'Runs Z score'!G210</f>
        <v/>
      </c>
      <c r="H222" s="100">
        <f>VLOOKUP(C222,Recipes!$A$2:$N$4,10,FALSE())</f>
        <v/>
      </c>
      <c r="I222" s="101">
        <f>VLOOKUP(C222,Recipes!$A$2:$N$4,12,FALSE())</f>
        <v/>
      </c>
      <c r="J222" s="101">
        <f>IF(G222="","",((G222-H222)/I222)^2)</f>
        <v/>
      </c>
      <c r="K222" s="101">
        <f>IF(G222="","",MAX(0, J222-$B$12))</f>
        <v/>
      </c>
      <c r="L222" s="100">
        <f>IF(G222="","",SQRT(K222))</f>
        <v/>
      </c>
      <c r="M222" s="98">
        <f>IF(G222="","",IF(K222&lt;=$B$10,"OK","NG"))</f>
        <v/>
      </c>
      <c r="N222" s="69">
        <f>IF(M222="","",IF(M222=D222,1,0))</f>
        <v/>
      </c>
      <c r="O222" s="100">
        <f>IF(G222="","",H222-G222)</f>
        <v/>
      </c>
      <c r="P222" s="100">
        <f>IF(G222="","",ABS(O222-Components!$D$2))</f>
        <v/>
      </c>
      <c r="Q222" s="100">
        <f>IF(G222="","",ABS(O222-Components!$D$3))</f>
        <v/>
      </c>
      <c r="R222" s="100">
        <f>IF(G222="","",ABS(O222-Components!$D$4))</f>
        <v/>
      </c>
      <c r="S222" s="100">
        <f>IF(G222="","",ABS(O222-Components!$D$5))</f>
        <v/>
      </c>
      <c r="T222" s="100">
        <f>IF(G222="","",ABS(O222-Components!$D$6))</f>
        <v/>
      </c>
      <c r="U222" s="100">
        <f>IF(G222="","",ABS(O222-Components!$D$7))</f>
        <v/>
      </c>
      <c r="V222" s="98">
        <f>IF(G222="","",IF(M222="OK","NONE",INDEX({"S1","S2","W1","W2","N1","N2"},MATCH(MIN(P222:U222),P222:U222,0))))</f>
        <v/>
      </c>
      <c r="W222" s="103">
        <f>IF(G222="","",IF(V222=E222,1,0))</f>
        <v/>
      </c>
    </row>
    <row r="223">
      <c r="A223" s="102">
        <f>'Runs Z score'!A211</f>
        <v/>
      </c>
      <c r="B223" s="98">
        <f>'Runs Z score'!B211</f>
        <v/>
      </c>
      <c r="C223" s="98">
        <f>'Runs Z score'!C211</f>
        <v/>
      </c>
      <c r="D223" s="98">
        <f>'Runs Z score'!D211</f>
        <v/>
      </c>
      <c r="E223" s="98">
        <f>'Runs Z score'!E211</f>
        <v/>
      </c>
      <c r="F223" s="98">
        <f>'Runs Z score'!F211</f>
        <v/>
      </c>
      <c r="G223" s="99">
        <f>'Runs Z score'!G211</f>
        <v/>
      </c>
      <c r="H223" s="100">
        <f>VLOOKUP(C223,Recipes!$A$2:$N$4,10,FALSE())</f>
        <v/>
      </c>
      <c r="I223" s="101">
        <f>VLOOKUP(C223,Recipes!$A$2:$N$4,12,FALSE())</f>
        <v/>
      </c>
      <c r="J223" s="101">
        <f>IF(G223="","",((G223-H223)/I223)^2)</f>
        <v/>
      </c>
      <c r="K223" s="101">
        <f>IF(G223="","",MAX(0, J223-$B$12))</f>
        <v/>
      </c>
      <c r="L223" s="100">
        <f>IF(G223="","",SQRT(K223))</f>
        <v/>
      </c>
      <c r="M223" s="98">
        <f>IF(G223="","",IF(K223&lt;=$B$10,"OK","NG"))</f>
        <v/>
      </c>
      <c r="N223" s="69">
        <f>IF(M223="","",IF(M223=D223,1,0))</f>
        <v/>
      </c>
      <c r="O223" s="100">
        <f>IF(G223="","",H223-G223)</f>
        <v/>
      </c>
      <c r="P223" s="100">
        <f>IF(G223="","",ABS(O223-Components!$D$2))</f>
        <v/>
      </c>
      <c r="Q223" s="100">
        <f>IF(G223="","",ABS(O223-Components!$D$3))</f>
        <v/>
      </c>
      <c r="R223" s="100">
        <f>IF(G223="","",ABS(O223-Components!$D$4))</f>
        <v/>
      </c>
      <c r="S223" s="100">
        <f>IF(G223="","",ABS(O223-Components!$D$5))</f>
        <v/>
      </c>
      <c r="T223" s="100">
        <f>IF(G223="","",ABS(O223-Components!$D$6))</f>
        <v/>
      </c>
      <c r="U223" s="100">
        <f>IF(G223="","",ABS(O223-Components!$D$7))</f>
        <v/>
      </c>
      <c r="V223" s="98">
        <f>IF(G223="","",IF(M223="OK","NONE",INDEX({"S1","S2","W1","W2","N1","N2"},MATCH(MIN(P223:U223),P223:U223,0))))</f>
        <v/>
      </c>
      <c r="W223" s="103">
        <f>IF(G223="","",IF(V223=E223,1,0))</f>
        <v/>
      </c>
    </row>
    <row r="224">
      <c r="A224" s="102">
        <f>'Runs Z score'!A212</f>
        <v/>
      </c>
      <c r="B224" s="98">
        <f>'Runs Z score'!B212</f>
        <v/>
      </c>
      <c r="C224" s="98">
        <f>'Runs Z score'!C212</f>
        <v/>
      </c>
      <c r="D224" s="98">
        <f>'Runs Z score'!D212</f>
        <v/>
      </c>
      <c r="E224" s="98">
        <f>'Runs Z score'!E212</f>
        <v/>
      </c>
      <c r="F224" s="98">
        <f>'Runs Z score'!F212</f>
        <v/>
      </c>
      <c r="G224" s="99">
        <f>'Runs Z score'!G212</f>
        <v/>
      </c>
      <c r="H224" s="100">
        <f>VLOOKUP(C224,Recipes!$A$2:$N$4,10,FALSE())</f>
        <v/>
      </c>
      <c r="I224" s="101">
        <f>VLOOKUP(C224,Recipes!$A$2:$N$4,12,FALSE())</f>
        <v/>
      </c>
      <c r="J224" s="101">
        <f>IF(G224="","",((G224-H224)/I224)^2)</f>
        <v/>
      </c>
      <c r="K224" s="101">
        <f>IF(G224="","",MAX(0, J224-$B$12))</f>
        <v/>
      </c>
      <c r="L224" s="100">
        <f>IF(G224="","",SQRT(K224))</f>
        <v/>
      </c>
      <c r="M224" s="98">
        <f>IF(G224="","",IF(K224&lt;=$B$10,"OK","NG"))</f>
        <v/>
      </c>
      <c r="N224" s="69">
        <f>IF(M224="","",IF(M224=D224,1,0))</f>
        <v/>
      </c>
      <c r="O224" s="100">
        <f>IF(G224="","",H224-G224)</f>
        <v/>
      </c>
      <c r="P224" s="100">
        <f>IF(G224="","",ABS(O224-Components!$D$2))</f>
        <v/>
      </c>
      <c r="Q224" s="100">
        <f>IF(G224="","",ABS(O224-Components!$D$3))</f>
        <v/>
      </c>
      <c r="R224" s="100">
        <f>IF(G224="","",ABS(O224-Components!$D$4))</f>
        <v/>
      </c>
      <c r="S224" s="100">
        <f>IF(G224="","",ABS(O224-Components!$D$5))</f>
        <v/>
      </c>
      <c r="T224" s="100">
        <f>IF(G224="","",ABS(O224-Components!$D$6))</f>
        <v/>
      </c>
      <c r="U224" s="100">
        <f>IF(G224="","",ABS(O224-Components!$D$7))</f>
        <v/>
      </c>
      <c r="V224" s="98">
        <f>IF(G224="","",IF(M224="OK","NONE",INDEX({"S1","S2","W1","W2","N1","N2"},MATCH(MIN(P224:U224),P224:U224,0))))</f>
        <v/>
      </c>
      <c r="W224" s="103">
        <f>IF(G224="","",IF(V224=E224,1,0))</f>
        <v/>
      </c>
    </row>
    <row r="225">
      <c r="A225" s="102">
        <f>'Runs Z score'!A213</f>
        <v/>
      </c>
      <c r="B225" s="98">
        <f>'Runs Z score'!B213</f>
        <v/>
      </c>
      <c r="C225" s="98">
        <f>'Runs Z score'!C213</f>
        <v/>
      </c>
      <c r="D225" s="98">
        <f>'Runs Z score'!D213</f>
        <v/>
      </c>
      <c r="E225" s="98">
        <f>'Runs Z score'!E213</f>
        <v/>
      </c>
      <c r="F225" s="98">
        <f>'Runs Z score'!F213</f>
        <v/>
      </c>
      <c r="G225" s="99">
        <f>'Runs Z score'!G213</f>
        <v/>
      </c>
      <c r="H225" s="100">
        <f>VLOOKUP(C225,Recipes!$A$2:$N$4,10,FALSE())</f>
        <v/>
      </c>
      <c r="I225" s="101">
        <f>VLOOKUP(C225,Recipes!$A$2:$N$4,12,FALSE())</f>
        <v/>
      </c>
      <c r="J225" s="101">
        <f>IF(G225="","",((G225-H225)/I225)^2)</f>
        <v/>
      </c>
      <c r="K225" s="101">
        <f>IF(G225="","",MAX(0, J225-$B$12))</f>
        <v/>
      </c>
      <c r="L225" s="100">
        <f>IF(G225="","",SQRT(K225))</f>
        <v/>
      </c>
      <c r="M225" s="98">
        <f>IF(G225="","",IF(K225&lt;=$B$10,"OK","NG"))</f>
        <v/>
      </c>
      <c r="N225" s="69">
        <f>IF(M225="","",IF(M225=D225,1,0))</f>
        <v/>
      </c>
      <c r="O225" s="100">
        <f>IF(G225="","",H225-G225)</f>
        <v/>
      </c>
      <c r="P225" s="100">
        <f>IF(G225="","",ABS(O225-Components!$D$2))</f>
        <v/>
      </c>
      <c r="Q225" s="100">
        <f>IF(G225="","",ABS(O225-Components!$D$3))</f>
        <v/>
      </c>
      <c r="R225" s="100">
        <f>IF(G225="","",ABS(O225-Components!$D$4))</f>
        <v/>
      </c>
      <c r="S225" s="100">
        <f>IF(G225="","",ABS(O225-Components!$D$5))</f>
        <v/>
      </c>
      <c r="T225" s="100">
        <f>IF(G225="","",ABS(O225-Components!$D$6))</f>
        <v/>
      </c>
      <c r="U225" s="100">
        <f>IF(G225="","",ABS(O225-Components!$D$7))</f>
        <v/>
      </c>
      <c r="V225" s="98">
        <f>IF(G225="","",IF(M225="OK","NONE",INDEX({"S1","S2","W1","W2","N1","N2"},MATCH(MIN(P225:U225),P225:U225,0))))</f>
        <v/>
      </c>
      <c r="W225" s="103">
        <f>IF(G225="","",IF(V225=E225,1,0))</f>
        <v/>
      </c>
    </row>
    <row r="226">
      <c r="A226" s="102">
        <f>'Runs Z score'!A214</f>
        <v/>
      </c>
      <c r="B226" s="98">
        <f>'Runs Z score'!B214</f>
        <v/>
      </c>
      <c r="C226" s="98">
        <f>'Runs Z score'!C214</f>
        <v/>
      </c>
      <c r="D226" s="98">
        <f>'Runs Z score'!D214</f>
        <v/>
      </c>
      <c r="E226" s="98">
        <f>'Runs Z score'!E214</f>
        <v/>
      </c>
      <c r="F226" s="98">
        <f>'Runs Z score'!F214</f>
        <v/>
      </c>
      <c r="G226" s="99">
        <f>'Runs Z score'!G214</f>
        <v/>
      </c>
      <c r="H226" s="100">
        <f>VLOOKUP(C226,Recipes!$A$2:$N$4,10,FALSE())</f>
        <v/>
      </c>
      <c r="I226" s="101">
        <f>VLOOKUP(C226,Recipes!$A$2:$N$4,12,FALSE())</f>
        <v/>
      </c>
      <c r="J226" s="101">
        <f>IF(G226="","",((G226-H226)/I226)^2)</f>
        <v/>
      </c>
      <c r="K226" s="101">
        <f>IF(G226="","",MAX(0, J226-$B$12))</f>
        <v/>
      </c>
      <c r="L226" s="100">
        <f>IF(G226="","",SQRT(K226))</f>
        <v/>
      </c>
      <c r="M226" s="98">
        <f>IF(G226="","",IF(K226&lt;=$B$10,"OK","NG"))</f>
        <v/>
      </c>
      <c r="N226" s="69">
        <f>IF(M226="","",IF(M226=D226,1,0))</f>
        <v/>
      </c>
      <c r="O226" s="100">
        <f>IF(G226="","",H226-G226)</f>
        <v/>
      </c>
      <c r="P226" s="100">
        <f>IF(G226="","",ABS(O226-Components!$D$2))</f>
        <v/>
      </c>
      <c r="Q226" s="100">
        <f>IF(G226="","",ABS(O226-Components!$D$3))</f>
        <v/>
      </c>
      <c r="R226" s="100">
        <f>IF(G226="","",ABS(O226-Components!$D$4))</f>
        <v/>
      </c>
      <c r="S226" s="100">
        <f>IF(G226="","",ABS(O226-Components!$D$5))</f>
        <v/>
      </c>
      <c r="T226" s="100">
        <f>IF(G226="","",ABS(O226-Components!$D$6))</f>
        <v/>
      </c>
      <c r="U226" s="100">
        <f>IF(G226="","",ABS(O226-Components!$D$7))</f>
        <v/>
      </c>
      <c r="V226" s="98">
        <f>IF(G226="","",IF(M226="OK","NONE",INDEX({"S1","S2","W1","W2","N1","N2"},MATCH(MIN(P226:U226),P226:U226,0))))</f>
        <v/>
      </c>
      <c r="W226" s="103">
        <f>IF(G226="","",IF(V226=E226,1,0))</f>
        <v/>
      </c>
    </row>
    <row r="227">
      <c r="A227" s="102">
        <f>'Runs Z score'!A215</f>
        <v/>
      </c>
      <c r="B227" s="98">
        <f>'Runs Z score'!B215</f>
        <v/>
      </c>
      <c r="C227" s="98">
        <f>'Runs Z score'!C215</f>
        <v/>
      </c>
      <c r="D227" s="98">
        <f>'Runs Z score'!D215</f>
        <v/>
      </c>
      <c r="E227" s="98">
        <f>'Runs Z score'!E215</f>
        <v/>
      </c>
      <c r="F227" s="98">
        <f>'Runs Z score'!F215</f>
        <v/>
      </c>
      <c r="G227" s="99">
        <f>'Runs Z score'!G215</f>
        <v/>
      </c>
      <c r="H227" s="100">
        <f>VLOOKUP(C227,Recipes!$A$2:$N$4,10,FALSE())</f>
        <v/>
      </c>
      <c r="I227" s="101">
        <f>VLOOKUP(C227,Recipes!$A$2:$N$4,12,FALSE())</f>
        <v/>
      </c>
      <c r="J227" s="101">
        <f>IF(G227="","",((G227-H227)/I227)^2)</f>
        <v/>
      </c>
      <c r="K227" s="101">
        <f>IF(G227="","",MAX(0, J227-$B$12))</f>
        <v/>
      </c>
      <c r="L227" s="100">
        <f>IF(G227="","",SQRT(K227))</f>
        <v/>
      </c>
      <c r="M227" s="98">
        <f>IF(G227="","",IF(K227&lt;=$B$10,"OK","NG"))</f>
        <v/>
      </c>
      <c r="N227" s="69">
        <f>IF(M227="","",IF(M227=D227,1,0))</f>
        <v/>
      </c>
      <c r="O227" s="100">
        <f>IF(G227="","",H227-G227)</f>
        <v/>
      </c>
      <c r="P227" s="100">
        <f>IF(G227="","",ABS(O227-Components!$D$2))</f>
        <v/>
      </c>
      <c r="Q227" s="100">
        <f>IF(G227="","",ABS(O227-Components!$D$3))</f>
        <v/>
      </c>
      <c r="R227" s="100">
        <f>IF(G227="","",ABS(O227-Components!$D$4))</f>
        <v/>
      </c>
      <c r="S227" s="100">
        <f>IF(G227="","",ABS(O227-Components!$D$5))</f>
        <v/>
      </c>
      <c r="T227" s="100">
        <f>IF(G227="","",ABS(O227-Components!$D$6))</f>
        <v/>
      </c>
      <c r="U227" s="100">
        <f>IF(G227="","",ABS(O227-Components!$D$7))</f>
        <v/>
      </c>
      <c r="V227" s="98">
        <f>IF(G227="","",IF(M227="OK","NONE",INDEX({"S1","S2","W1","W2","N1","N2"},MATCH(MIN(P227:U227),P227:U227,0))))</f>
        <v/>
      </c>
      <c r="W227" s="103">
        <f>IF(G227="","",IF(V227=E227,1,0))</f>
        <v/>
      </c>
    </row>
    <row r="228">
      <c r="A228" s="102">
        <f>'Runs Z score'!A216</f>
        <v/>
      </c>
      <c r="B228" s="98">
        <f>'Runs Z score'!B216</f>
        <v/>
      </c>
      <c r="C228" s="98">
        <f>'Runs Z score'!C216</f>
        <v/>
      </c>
      <c r="D228" s="98">
        <f>'Runs Z score'!D216</f>
        <v/>
      </c>
      <c r="E228" s="98">
        <f>'Runs Z score'!E216</f>
        <v/>
      </c>
      <c r="F228" s="98">
        <f>'Runs Z score'!F216</f>
        <v/>
      </c>
      <c r="G228" s="99">
        <f>'Runs Z score'!G216</f>
        <v/>
      </c>
      <c r="H228" s="100">
        <f>VLOOKUP(C228,Recipes!$A$2:$N$4,10,FALSE())</f>
        <v/>
      </c>
      <c r="I228" s="101">
        <f>VLOOKUP(C228,Recipes!$A$2:$N$4,12,FALSE())</f>
        <v/>
      </c>
      <c r="J228" s="101">
        <f>IF(G228="","",((G228-H228)/I228)^2)</f>
        <v/>
      </c>
      <c r="K228" s="101">
        <f>IF(G228="","",MAX(0, J228-$B$12))</f>
        <v/>
      </c>
      <c r="L228" s="100">
        <f>IF(G228="","",SQRT(K228))</f>
        <v/>
      </c>
      <c r="M228" s="98">
        <f>IF(G228="","",IF(K228&lt;=$B$10,"OK","NG"))</f>
        <v/>
      </c>
      <c r="N228" s="69">
        <f>IF(M228="","",IF(M228=D228,1,0))</f>
        <v/>
      </c>
      <c r="O228" s="100">
        <f>IF(G228="","",H228-G228)</f>
        <v/>
      </c>
      <c r="P228" s="100">
        <f>IF(G228="","",ABS(O228-Components!$D$2))</f>
        <v/>
      </c>
      <c r="Q228" s="100">
        <f>IF(G228="","",ABS(O228-Components!$D$3))</f>
        <v/>
      </c>
      <c r="R228" s="100">
        <f>IF(G228="","",ABS(O228-Components!$D$4))</f>
        <v/>
      </c>
      <c r="S228" s="100">
        <f>IF(G228="","",ABS(O228-Components!$D$5))</f>
        <v/>
      </c>
      <c r="T228" s="100">
        <f>IF(G228="","",ABS(O228-Components!$D$6))</f>
        <v/>
      </c>
      <c r="U228" s="100">
        <f>IF(G228="","",ABS(O228-Components!$D$7))</f>
        <v/>
      </c>
      <c r="V228" s="98">
        <f>IF(G228="","",IF(M228="OK","NONE",INDEX({"S1","S2","W1","W2","N1","N2"},MATCH(MIN(P228:U228),P228:U228,0))))</f>
        <v/>
      </c>
      <c r="W228" s="103">
        <f>IF(G228="","",IF(V228=E228,1,0))</f>
        <v/>
      </c>
    </row>
    <row r="229">
      <c r="A229" s="102">
        <f>'Runs Z score'!A217</f>
        <v/>
      </c>
      <c r="B229" s="98">
        <f>'Runs Z score'!B217</f>
        <v/>
      </c>
      <c r="C229" s="98">
        <f>'Runs Z score'!C217</f>
        <v/>
      </c>
      <c r="D229" s="98">
        <f>'Runs Z score'!D217</f>
        <v/>
      </c>
      <c r="E229" s="98">
        <f>'Runs Z score'!E217</f>
        <v/>
      </c>
      <c r="F229" s="98">
        <f>'Runs Z score'!F217</f>
        <v/>
      </c>
      <c r="G229" s="99">
        <f>'Runs Z score'!G217</f>
        <v/>
      </c>
      <c r="H229" s="100">
        <f>VLOOKUP(C229,Recipes!$A$2:$N$4,10,FALSE())</f>
        <v/>
      </c>
      <c r="I229" s="101">
        <f>VLOOKUP(C229,Recipes!$A$2:$N$4,12,FALSE())</f>
        <v/>
      </c>
      <c r="J229" s="101">
        <f>IF(G229="","",((G229-H229)/I229)^2)</f>
        <v/>
      </c>
      <c r="K229" s="101">
        <f>IF(G229="","",MAX(0, J229-$B$12))</f>
        <v/>
      </c>
      <c r="L229" s="100">
        <f>IF(G229="","",SQRT(K229))</f>
        <v/>
      </c>
      <c r="M229" s="98">
        <f>IF(G229="","",IF(K229&lt;=$B$10,"OK","NG"))</f>
        <v/>
      </c>
      <c r="N229" s="69">
        <f>IF(M229="","",IF(M229=D229,1,0))</f>
        <v/>
      </c>
      <c r="O229" s="100">
        <f>IF(G229="","",H229-G229)</f>
        <v/>
      </c>
      <c r="P229" s="100">
        <f>IF(G229="","",ABS(O229-Components!$D$2))</f>
        <v/>
      </c>
      <c r="Q229" s="100">
        <f>IF(G229="","",ABS(O229-Components!$D$3))</f>
        <v/>
      </c>
      <c r="R229" s="100">
        <f>IF(G229="","",ABS(O229-Components!$D$4))</f>
        <v/>
      </c>
      <c r="S229" s="100">
        <f>IF(G229="","",ABS(O229-Components!$D$5))</f>
        <v/>
      </c>
      <c r="T229" s="100">
        <f>IF(G229="","",ABS(O229-Components!$D$6))</f>
        <v/>
      </c>
      <c r="U229" s="100">
        <f>IF(G229="","",ABS(O229-Components!$D$7))</f>
        <v/>
      </c>
      <c r="V229" s="98">
        <f>IF(G229="","",IF(M229="OK","NONE",INDEX({"S1","S2","W1","W2","N1","N2"},MATCH(MIN(P229:U229),P229:U229,0))))</f>
        <v/>
      </c>
      <c r="W229" s="103">
        <f>IF(G229="","",IF(V229=E229,1,0))</f>
        <v/>
      </c>
    </row>
    <row r="230">
      <c r="A230" s="102">
        <f>'Runs Z score'!A218</f>
        <v/>
      </c>
      <c r="B230" s="98">
        <f>'Runs Z score'!B218</f>
        <v/>
      </c>
      <c r="C230" s="98">
        <f>'Runs Z score'!C218</f>
        <v/>
      </c>
      <c r="D230" s="98">
        <f>'Runs Z score'!D218</f>
        <v/>
      </c>
      <c r="E230" s="98">
        <f>'Runs Z score'!E218</f>
        <v/>
      </c>
      <c r="F230" s="98">
        <f>'Runs Z score'!F218</f>
        <v/>
      </c>
      <c r="G230" s="99">
        <f>'Runs Z score'!G218</f>
        <v/>
      </c>
      <c r="H230" s="100">
        <f>VLOOKUP(C230,Recipes!$A$2:$N$4,10,FALSE())</f>
        <v/>
      </c>
      <c r="I230" s="101">
        <f>VLOOKUP(C230,Recipes!$A$2:$N$4,12,FALSE())</f>
        <v/>
      </c>
      <c r="J230" s="101">
        <f>IF(G230="","",((G230-H230)/I230)^2)</f>
        <v/>
      </c>
      <c r="K230" s="101">
        <f>IF(G230="","",MAX(0, J230-$B$12))</f>
        <v/>
      </c>
      <c r="L230" s="100">
        <f>IF(G230="","",SQRT(K230))</f>
        <v/>
      </c>
      <c r="M230" s="98">
        <f>IF(G230="","",IF(K230&lt;=$B$10,"OK","NG"))</f>
        <v/>
      </c>
      <c r="N230" s="69">
        <f>IF(M230="","",IF(M230=D230,1,0))</f>
        <v/>
      </c>
      <c r="O230" s="100">
        <f>IF(G230="","",H230-G230)</f>
        <v/>
      </c>
      <c r="P230" s="100">
        <f>IF(G230="","",ABS(O230-Components!$D$2))</f>
        <v/>
      </c>
      <c r="Q230" s="100">
        <f>IF(G230="","",ABS(O230-Components!$D$3))</f>
        <v/>
      </c>
      <c r="R230" s="100">
        <f>IF(G230="","",ABS(O230-Components!$D$4))</f>
        <v/>
      </c>
      <c r="S230" s="100">
        <f>IF(G230="","",ABS(O230-Components!$D$5))</f>
        <v/>
      </c>
      <c r="T230" s="100">
        <f>IF(G230="","",ABS(O230-Components!$D$6))</f>
        <v/>
      </c>
      <c r="U230" s="100">
        <f>IF(G230="","",ABS(O230-Components!$D$7))</f>
        <v/>
      </c>
      <c r="V230" s="98">
        <f>IF(G230="","",IF(M230="OK","NONE",INDEX({"S1","S2","W1","W2","N1","N2"},MATCH(MIN(P230:U230),P230:U230,0))))</f>
        <v/>
      </c>
      <c r="W230" s="103">
        <f>IF(G230="","",IF(V230=E230,1,0))</f>
        <v/>
      </c>
    </row>
    <row r="231">
      <c r="A231" s="102">
        <f>'Runs Z score'!A219</f>
        <v/>
      </c>
      <c r="B231" s="98">
        <f>'Runs Z score'!B219</f>
        <v/>
      </c>
      <c r="C231" s="98">
        <f>'Runs Z score'!C219</f>
        <v/>
      </c>
      <c r="D231" s="98">
        <f>'Runs Z score'!D219</f>
        <v/>
      </c>
      <c r="E231" s="98">
        <f>'Runs Z score'!E219</f>
        <v/>
      </c>
      <c r="F231" s="98">
        <f>'Runs Z score'!F219</f>
        <v/>
      </c>
      <c r="G231" s="99">
        <f>'Runs Z score'!G219</f>
        <v/>
      </c>
      <c r="H231" s="100">
        <f>VLOOKUP(C231,Recipes!$A$2:$N$4,10,FALSE())</f>
        <v/>
      </c>
      <c r="I231" s="101">
        <f>VLOOKUP(C231,Recipes!$A$2:$N$4,12,FALSE())</f>
        <v/>
      </c>
      <c r="J231" s="101">
        <f>IF(G231="","",((G231-H231)/I231)^2)</f>
        <v/>
      </c>
      <c r="K231" s="101">
        <f>IF(G231="","",MAX(0, J231-$B$12))</f>
        <v/>
      </c>
      <c r="L231" s="100">
        <f>IF(G231="","",SQRT(K231))</f>
        <v/>
      </c>
      <c r="M231" s="98">
        <f>IF(G231="","",IF(K231&lt;=$B$10,"OK","NG"))</f>
        <v/>
      </c>
      <c r="N231" s="69">
        <f>IF(M231="","",IF(M231=D231,1,0))</f>
        <v/>
      </c>
      <c r="O231" s="100">
        <f>IF(G231="","",H231-G231)</f>
        <v/>
      </c>
      <c r="P231" s="100">
        <f>IF(G231="","",ABS(O231-Components!$D$2))</f>
        <v/>
      </c>
      <c r="Q231" s="100">
        <f>IF(G231="","",ABS(O231-Components!$D$3))</f>
        <v/>
      </c>
      <c r="R231" s="100">
        <f>IF(G231="","",ABS(O231-Components!$D$4))</f>
        <v/>
      </c>
      <c r="S231" s="100">
        <f>IF(G231="","",ABS(O231-Components!$D$5))</f>
        <v/>
      </c>
      <c r="T231" s="100">
        <f>IF(G231="","",ABS(O231-Components!$D$6))</f>
        <v/>
      </c>
      <c r="U231" s="100">
        <f>IF(G231="","",ABS(O231-Components!$D$7))</f>
        <v/>
      </c>
      <c r="V231" s="98">
        <f>IF(G231="","",IF(M231="OK","NONE",INDEX({"S1","S2","W1","W2","N1","N2"},MATCH(MIN(P231:U231),P231:U231,0))))</f>
        <v/>
      </c>
      <c r="W231" s="103">
        <f>IF(G231="","",IF(V231=E231,1,0))</f>
        <v/>
      </c>
    </row>
    <row r="232">
      <c r="A232" s="102">
        <f>'Runs Z score'!A220</f>
        <v/>
      </c>
      <c r="B232" s="98">
        <f>'Runs Z score'!B220</f>
        <v/>
      </c>
      <c r="C232" s="98">
        <f>'Runs Z score'!C220</f>
        <v/>
      </c>
      <c r="D232" s="98">
        <f>'Runs Z score'!D220</f>
        <v/>
      </c>
      <c r="E232" s="98">
        <f>'Runs Z score'!E220</f>
        <v/>
      </c>
      <c r="F232" s="98">
        <f>'Runs Z score'!F220</f>
        <v/>
      </c>
      <c r="G232" s="99">
        <f>'Runs Z score'!G220</f>
        <v/>
      </c>
      <c r="H232" s="100">
        <f>VLOOKUP(C232,Recipes!$A$2:$N$4,10,FALSE())</f>
        <v/>
      </c>
      <c r="I232" s="101">
        <f>VLOOKUP(C232,Recipes!$A$2:$N$4,12,FALSE())</f>
        <v/>
      </c>
      <c r="J232" s="101">
        <f>IF(G232="","",((G232-H232)/I232)^2)</f>
        <v/>
      </c>
      <c r="K232" s="101">
        <f>IF(G232="","",MAX(0, J232-$B$12))</f>
        <v/>
      </c>
      <c r="L232" s="100">
        <f>IF(G232="","",SQRT(K232))</f>
        <v/>
      </c>
      <c r="M232" s="98">
        <f>IF(G232="","",IF(K232&lt;=$B$10,"OK","NG"))</f>
        <v/>
      </c>
      <c r="N232" s="69">
        <f>IF(M232="","",IF(M232=D232,1,0))</f>
        <v/>
      </c>
      <c r="O232" s="100">
        <f>IF(G232="","",H232-G232)</f>
        <v/>
      </c>
      <c r="P232" s="100">
        <f>IF(G232="","",ABS(O232-Components!$D$2))</f>
        <v/>
      </c>
      <c r="Q232" s="100">
        <f>IF(G232="","",ABS(O232-Components!$D$3))</f>
        <v/>
      </c>
      <c r="R232" s="100">
        <f>IF(G232="","",ABS(O232-Components!$D$4))</f>
        <v/>
      </c>
      <c r="S232" s="100">
        <f>IF(G232="","",ABS(O232-Components!$D$5))</f>
        <v/>
      </c>
      <c r="T232" s="100">
        <f>IF(G232="","",ABS(O232-Components!$D$6))</f>
        <v/>
      </c>
      <c r="U232" s="100">
        <f>IF(G232="","",ABS(O232-Components!$D$7))</f>
        <v/>
      </c>
      <c r="V232" s="98">
        <f>IF(G232="","",IF(M232="OK","NONE",INDEX({"S1","S2","W1","W2","N1","N2"},MATCH(MIN(P232:U232),P232:U232,0))))</f>
        <v/>
      </c>
      <c r="W232" s="103">
        <f>IF(G232="","",IF(V232=E232,1,0))</f>
        <v/>
      </c>
    </row>
    <row r="233">
      <c r="A233" s="102">
        <f>'Runs Z score'!A221</f>
        <v/>
      </c>
      <c r="B233" s="98">
        <f>'Runs Z score'!B221</f>
        <v/>
      </c>
      <c r="C233" s="98">
        <f>'Runs Z score'!C221</f>
        <v/>
      </c>
      <c r="D233" s="98">
        <f>'Runs Z score'!D221</f>
        <v/>
      </c>
      <c r="E233" s="98">
        <f>'Runs Z score'!E221</f>
        <v/>
      </c>
      <c r="F233" s="98">
        <f>'Runs Z score'!F221</f>
        <v/>
      </c>
      <c r="G233" s="99">
        <f>'Runs Z score'!G221</f>
        <v/>
      </c>
      <c r="H233" s="100">
        <f>VLOOKUP(C233,Recipes!$A$2:$N$4,10,FALSE())</f>
        <v/>
      </c>
      <c r="I233" s="101">
        <f>VLOOKUP(C233,Recipes!$A$2:$N$4,12,FALSE())</f>
        <v/>
      </c>
      <c r="J233" s="101">
        <f>IF(G233="","",((G233-H233)/I233)^2)</f>
        <v/>
      </c>
      <c r="K233" s="101">
        <f>IF(G233="","",MAX(0, J233-$B$12))</f>
        <v/>
      </c>
      <c r="L233" s="100">
        <f>IF(G233="","",SQRT(K233))</f>
        <v/>
      </c>
      <c r="M233" s="98">
        <f>IF(G233="","",IF(K233&lt;=$B$10,"OK","NG"))</f>
        <v/>
      </c>
      <c r="N233" s="69">
        <f>IF(M233="","",IF(M233=D233,1,0))</f>
        <v/>
      </c>
      <c r="O233" s="100">
        <f>IF(G233="","",H233-G233)</f>
        <v/>
      </c>
      <c r="P233" s="100">
        <f>IF(G233="","",ABS(O233-Components!$D$2))</f>
        <v/>
      </c>
      <c r="Q233" s="100">
        <f>IF(G233="","",ABS(O233-Components!$D$3))</f>
        <v/>
      </c>
      <c r="R233" s="100">
        <f>IF(G233="","",ABS(O233-Components!$D$4))</f>
        <v/>
      </c>
      <c r="S233" s="100">
        <f>IF(G233="","",ABS(O233-Components!$D$5))</f>
        <v/>
      </c>
      <c r="T233" s="100">
        <f>IF(G233="","",ABS(O233-Components!$D$6))</f>
        <v/>
      </c>
      <c r="U233" s="100">
        <f>IF(G233="","",ABS(O233-Components!$D$7))</f>
        <v/>
      </c>
      <c r="V233" s="98">
        <f>IF(G233="","",IF(M233="OK","NONE",INDEX({"S1","S2","W1","W2","N1","N2"},MATCH(MIN(P233:U233),P233:U233,0))))</f>
        <v/>
      </c>
      <c r="W233" s="103">
        <f>IF(G233="","",IF(V233=E233,1,0))</f>
        <v/>
      </c>
    </row>
    <row r="234">
      <c r="A234" s="102">
        <f>'Runs Z score'!A222</f>
        <v/>
      </c>
      <c r="B234" s="98">
        <f>'Runs Z score'!B222</f>
        <v/>
      </c>
      <c r="C234" s="98">
        <f>'Runs Z score'!C222</f>
        <v/>
      </c>
      <c r="D234" s="98">
        <f>'Runs Z score'!D222</f>
        <v/>
      </c>
      <c r="E234" s="98">
        <f>'Runs Z score'!E222</f>
        <v/>
      </c>
      <c r="F234" s="98">
        <f>'Runs Z score'!F222</f>
        <v/>
      </c>
      <c r="G234" s="99">
        <f>'Runs Z score'!G222</f>
        <v/>
      </c>
      <c r="H234" s="100">
        <f>VLOOKUP(C234,Recipes!$A$2:$N$4,10,FALSE())</f>
        <v/>
      </c>
      <c r="I234" s="101">
        <f>VLOOKUP(C234,Recipes!$A$2:$N$4,12,FALSE())</f>
        <v/>
      </c>
      <c r="J234" s="101">
        <f>IF(G234="","",((G234-H234)/I234)^2)</f>
        <v/>
      </c>
      <c r="K234" s="101">
        <f>IF(G234="","",MAX(0, J234-$B$12))</f>
        <v/>
      </c>
      <c r="L234" s="100">
        <f>IF(G234="","",SQRT(K234))</f>
        <v/>
      </c>
      <c r="M234" s="98">
        <f>IF(G234="","",IF(K234&lt;=$B$10,"OK","NG"))</f>
        <v/>
      </c>
      <c r="N234" s="69">
        <f>IF(M234="","",IF(M234=D234,1,0))</f>
        <v/>
      </c>
      <c r="O234" s="100">
        <f>IF(G234="","",H234-G234)</f>
        <v/>
      </c>
      <c r="P234" s="100">
        <f>IF(G234="","",ABS(O234-Components!$D$2))</f>
        <v/>
      </c>
      <c r="Q234" s="100">
        <f>IF(G234="","",ABS(O234-Components!$D$3))</f>
        <v/>
      </c>
      <c r="R234" s="100">
        <f>IF(G234="","",ABS(O234-Components!$D$4))</f>
        <v/>
      </c>
      <c r="S234" s="100">
        <f>IF(G234="","",ABS(O234-Components!$D$5))</f>
        <v/>
      </c>
      <c r="T234" s="100">
        <f>IF(G234="","",ABS(O234-Components!$D$6))</f>
        <v/>
      </c>
      <c r="U234" s="100">
        <f>IF(G234="","",ABS(O234-Components!$D$7))</f>
        <v/>
      </c>
      <c r="V234" s="98">
        <f>IF(G234="","",IF(M234="OK","NONE",INDEX({"S1","S2","W1","W2","N1","N2"},MATCH(MIN(P234:U234),P234:U234,0))))</f>
        <v/>
      </c>
      <c r="W234" s="103">
        <f>IF(G234="","",IF(V234=E234,1,0))</f>
        <v/>
      </c>
    </row>
    <row r="235">
      <c r="A235" s="102">
        <f>'Runs Z score'!A223</f>
        <v/>
      </c>
      <c r="B235" s="98">
        <f>'Runs Z score'!B223</f>
        <v/>
      </c>
      <c r="C235" s="98">
        <f>'Runs Z score'!C223</f>
        <v/>
      </c>
      <c r="D235" s="98">
        <f>'Runs Z score'!D223</f>
        <v/>
      </c>
      <c r="E235" s="98">
        <f>'Runs Z score'!E223</f>
        <v/>
      </c>
      <c r="F235" s="98">
        <f>'Runs Z score'!F223</f>
        <v/>
      </c>
      <c r="G235" s="99">
        <f>'Runs Z score'!G223</f>
        <v/>
      </c>
      <c r="H235" s="100">
        <f>VLOOKUP(C235,Recipes!$A$2:$N$4,10,FALSE())</f>
        <v/>
      </c>
      <c r="I235" s="101">
        <f>VLOOKUP(C235,Recipes!$A$2:$N$4,12,FALSE())</f>
        <v/>
      </c>
      <c r="J235" s="101">
        <f>IF(G235="","",((G235-H235)/I235)^2)</f>
        <v/>
      </c>
      <c r="K235" s="101">
        <f>IF(G235="","",MAX(0, J235-$B$12))</f>
        <v/>
      </c>
      <c r="L235" s="100">
        <f>IF(G235="","",SQRT(K235))</f>
        <v/>
      </c>
      <c r="M235" s="98">
        <f>IF(G235="","",IF(K235&lt;=$B$10,"OK","NG"))</f>
        <v/>
      </c>
      <c r="N235" s="69">
        <f>IF(M235="","",IF(M235=D235,1,0))</f>
        <v/>
      </c>
      <c r="O235" s="100">
        <f>IF(G235="","",H235-G235)</f>
        <v/>
      </c>
      <c r="P235" s="100">
        <f>IF(G235="","",ABS(O235-Components!$D$2))</f>
        <v/>
      </c>
      <c r="Q235" s="100">
        <f>IF(G235="","",ABS(O235-Components!$D$3))</f>
        <v/>
      </c>
      <c r="R235" s="100">
        <f>IF(G235="","",ABS(O235-Components!$D$4))</f>
        <v/>
      </c>
      <c r="S235" s="100">
        <f>IF(G235="","",ABS(O235-Components!$D$5))</f>
        <v/>
      </c>
      <c r="T235" s="100">
        <f>IF(G235="","",ABS(O235-Components!$D$6))</f>
        <v/>
      </c>
      <c r="U235" s="100">
        <f>IF(G235="","",ABS(O235-Components!$D$7))</f>
        <v/>
      </c>
      <c r="V235" s="98">
        <f>IF(G235="","",IF(M235="OK","NONE",INDEX({"S1","S2","W1","W2","N1","N2"},MATCH(MIN(P235:U235),P235:U235,0))))</f>
        <v/>
      </c>
      <c r="W235" s="103">
        <f>IF(G235="","",IF(V235=E235,1,0))</f>
        <v/>
      </c>
    </row>
    <row r="236">
      <c r="A236" s="102">
        <f>'Runs Z score'!A224</f>
        <v/>
      </c>
      <c r="B236" s="98">
        <f>'Runs Z score'!B224</f>
        <v/>
      </c>
      <c r="C236" s="98">
        <f>'Runs Z score'!C224</f>
        <v/>
      </c>
      <c r="D236" s="98">
        <f>'Runs Z score'!D224</f>
        <v/>
      </c>
      <c r="E236" s="98">
        <f>'Runs Z score'!E224</f>
        <v/>
      </c>
      <c r="F236" s="98">
        <f>'Runs Z score'!F224</f>
        <v/>
      </c>
      <c r="G236" s="99">
        <f>'Runs Z score'!G224</f>
        <v/>
      </c>
      <c r="H236" s="100">
        <f>VLOOKUP(C236,Recipes!$A$2:$N$4,10,FALSE())</f>
        <v/>
      </c>
      <c r="I236" s="101">
        <f>VLOOKUP(C236,Recipes!$A$2:$N$4,12,FALSE())</f>
        <v/>
      </c>
      <c r="J236" s="101">
        <f>IF(G236="","",((G236-H236)/I236)^2)</f>
        <v/>
      </c>
      <c r="K236" s="101">
        <f>IF(G236="","",MAX(0, J236-$B$12))</f>
        <v/>
      </c>
      <c r="L236" s="100">
        <f>IF(G236="","",SQRT(K236))</f>
        <v/>
      </c>
      <c r="M236" s="98">
        <f>IF(G236="","",IF(K236&lt;=$B$10,"OK","NG"))</f>
        <v/>
      </c>
      <c r="N236" s="69">
        <f>IF(M236="","",IF(M236=D236,1,0))</f>
        <v/>
      </c>
      <c r="O236" s="100">
        <f>IF(G236="","",H236-G236)</f>
        <v/>
      </c>
      <c r="P236" s="100">
        <f>IF(G236="","",ABS(O236-Components!$D$2))</f>
        <v/>
      </c>
      <c r="Q236" s="100">
        <f>IF(G236="","",ABS(O236-Components!$D$3))</f>
        <v/>
      </c>
      <c r="R236" s="100">
        <f>IF(G236="","",ABS(O236-Components!$D$4))</f>
        <v/>
      </c>
      <c r="S236" s="100">
        <f>IF(G236="","",ABS(O236-Components!$D$5))</f>
        <v/>
      </c>
      <c r="T236" s="100">
        <f>IF(G236="","",ABS(O236-Components!$D$6))</f>
        <v/>
      </c>
      <c r="U236" s="100">
        <f>IF(G236="","",ABS(O236-Components!$D$7))</f>
        <v/>
      </c>
      <c r="V236" s="98">
        <f>IF(G236="","",IF(M236="OK","NONE",INDEX({"S1","S2","W1","W2","N1","N2"},MATCH(MIN(P236:U236),P236:U236,0))))</f>
        <v/>
      </c>
      <c r="W236" s="103">
        <f>IF(G236="","",IF(V236=E236,1,0))</f>
        <v/>
      </c>
    </row>
    <row r="237">
      <c r="A237" s="102">
        <f>'Runs Z score'!A225</f>
        <v/>
      </c>
      <c r="B237" s="98">
        <f>'Runs Z score'!B225</f>
        <v/>
      </c>
      <c r="C237" s="98">
        <f>'Runs Z score'!C225</f>
        <v/>
      </c>
      <c r="D237" s="98">
        <f>'Runs Z score'!D225</f>
        <v/>
      </c>
      <c r="E237" s="98">
        <f>'Runs Z score'!E225</f>
        <v/>
      </c>
      <c r="F237" s="98">
        <f>'Runs Z score'!F225</f>
        <v/>
      </c>
      <c r="G237" s="99">
        <f>'Runs Z score'!G225</f>
        <v/>
      </c>
      <c r="H237" s="100">
        <f>VLOOKUP(C237,Recipes!$A$2:$N$4,10,FALSE())</f>
        <v/>
      </c>
      <c r="I237" s="101">
        <f>VLOOKUP(C237,Recipes!$A$2:$N$4,12,FALSE())</f>
        <v/>
      </c>
      <c r="J237" s="101">
        <f>IF(G237="","",((G237-H237)/I237)^2)</f>
        <v/>
      </c>
      <c r="K237" s="101">
        <f>IF(G237="","",MAX(0, J237-$B$12))</f>
        <v/>
      </c>
      <c r="L237" s="100">
        <f>IF(G237="","",SQRT(K237))</f>
        <v/>
      </c>
      <c r="M237" s="98">
        <f>IF(G237="","",IF(K237&lt;=$B$10,"OK","NG"))</f>
        <v/>
      </c>
      <c r="N237" s="69">
        <f>IF(M237="","",IF(M237=D237,1,0))</f>
        <v/>
      </c>
      <c r="O237" s="100">
        <f>IF(G237="","",H237-G237)</f>
        <v/>
      </c>
      <c r="P237" s="100">
        <f>IF(G237="","",ABS(O237-Components!$D$2))</f>
        <v/>
      </c>
      <c r="Q237" s="100">
        <f>IF(G237="","",ABS(O237-Components!$D$3))</f>
        <v/>
      </c>
      <c r="R237" s="100">
        <f>IF(G237="","",ABS(O237-Components!$D$4))</f>
        <v/>
      </c>
      <c r="S237" s="100">
        <f>IF(G237="","",ABS(O237-Components!$D$5))</f>
        <v/>
      </c>
      <c r="T237" s="100">
        <f>IF(G237="","",ABS(O237-Components!$D$6))</f>
        <v/>
      </c>
      <c r="U237" s="100">
        <f>IF(G237="","",ABS(O237-Components!$D$7))</f>
        <v/>
      </c>
      <c r="V237" s="98">
        <f>IF(G237="","",IF(M237="OK","NONE",INDEX({"S1","S2","W1","W2","N1","N2"},MATCH(MIN(P237:U237),P237:U237,0))))</f>
        <v/>
      </c>
      <c r="W237" s="103">
        <f>IF(G237="","",IF(V237=E237,1,0))</f>
        <v/>
      </c>
    </row>
    <row r="238">
      <c r="A238" s="102">
        <f>'Runs Z score'!A226</f>
        <v/>
      </c>
      <c r="B238" s="98">
        <f>'Runs Z score'!B226</f>
        <v/>
      </c>
      <c r="C238" s="98">
        <f>'Runs Z score'!C226</f>
        <v/>
      </c>
      <c r="D238" s="98">
        <f>'Runs Z score'!D226</f>
        <v/>
      </c>
      <c r="E238" s="98">
        <f>'Runs Z score'!E226</f>
        <v/>
      </c>
      <c r="F238" s="98">
        <f>'Runs Z score'!F226</f>
        <v/>
      </c>
      <c r="G238" s="99">
        <f>'Runs Z score'!G226</f>
        <v/>
      </c>
      <c r="H238" s="100">
        <f>VLOOKUP(C238,Recipes!$A$2:$N$4,10,FALSE())</f>
        <v/>
      </c>
      <c r="I238" s="101">
        <f>VLOOKUP(C238,Recipes!$A$2:$N$4,12,FALSE())</f>
        <v/>
      </c>
      <c r="J238" s="101">
        <f>IF(G238="","",((G238-H238)/I238)^2)</f>
        <v/>
      </c>
      <c r="K238" s="101">
        <f>IF(G238="","",MAX(0, J238-$B$12))</f>
        <v/>
      </c>
      <c r="L238" s="100">
        <f>IF(G238="","",SQRT(K238))</f>
        <v/>
      </c>
      <c r="M238" s="98">
        <f>IF(G238="","",IF(K238&lt;=$B$10,"OK","NG"))</f>
        <v/>
      </c>
      <c r="N238" s="69">
        <f>IF(M238="","",IF(M238=D238,1,0))</f>
        <v/>
      </c>
      <c r="O238" s="100">
        <f>IF(G238="","",H238-G238)</f>
        <v/>
      </c>
      <c r="P238" s="100">
        <f>IF(G238="","",ABS(O238-Components!$D$2))</f>
        <v/>
      </c>
      <c r="Q238" s="100">
        <f>IF(G238="","",ABS(O238-Components!$D$3))</f>
        <v/>
      </c>
      <c r="R238" s="100">
        <f>IF(G238="","",ABS(O238-Components!$D$4))</f>
        <v/>
      </c>
      <c r="S238" s="100">
        <f>IF(G238="","",ABS(O238-Components!$D$5))</f>
        <v/>
      </c>
      <c r="T238" s="100">
        <f>IF(G238="","",ABS(O238-Components!$D$6))</f>
        <v/>
      </c>
      <c r="U238" s="100">
        <f>IF(G238="","",ABS(O238-Components!$D$7))</f>
        <v/>
      </c>
      <c r="V238" s="98">
        <f>IF(G238="","",IF(M238="OK","NONE",INDEX({"S1","S2","W1","W2","N1","N2"},MATCH(MIN(P238:U238),P238:U238,0))))</f>
        <v/>
      </c>
      <c r="W238" s="103">
        <f>IF(G238="","",IF(V238=E238,1,0))</f>
        <v/>
      </c>
    </row>
    <row r="239">
      <c r="A239" s="102">
        <f>'Runs Z score'!A227</f>
        <v/>
      </c>
      <c r="B239" s="98">
        <f>'Runs Z score'!B227</f>
        <v/>
      </c>
      <c r="C239" s="98">
        <f>'Runs Z score'!C227</f>
        <v/>
      </c>
      <c r="D239" s="98">
        <f>'Runs Z score'!D227</f>
        <v/>
      </c>
      <c r="E239" s="98">
        <f>'Runs Z score'!E227</f>
        <v/>
      </c>
      <c r="F239" s="98">
        <f>'Runs Z score'!F227</f>
        <v/>
      </c>
      <c r="G239" s="99">
        <f>'Runs Z score'!G227</f>
        <v/>
      </c>
      <c r="H239" s="100">
        <f>VLOOKUP(C239,Recipes!$A$2:$N$4,10,FALSE())</f>
        <v/>
      </c>
      <c r="I239" s="101">
        <f>VLOOKUP(C239,Recipes!$A$2:$N$4,12,FALSE())</f>
        <v/>
      </c>
      <c r="J239" s="101">
        <f>IF(G239="","",((G239-H239)/I239)^2)</f>
        <v/>
      </c>
      <c r="K239" s="101">
        <f>IF(G239="","",MAX(0, J239-$B$12))</f>
        <v/>
      </c>
      <c r="L239" s="100">
        <f>IF(G239="","",SQRT(K239))</f>
        <v/>
      </c>
      <c r="M239" s="98">
        <f>IF(G239="","",IF(K239&lt;=$B$10,"OK","NG"))</f>
        <v/>
      </c>
      <c r="N239" s="69">
        <f>IF(M239="","",IF(M239=D239,1,0))</f>
        <v/>
      </c>
      <c r="O239" s="100">
        <f>IF(G239="","",H239-G239)</f>
        <v/>
      </c>
      <c r="P239" s="100">
        <f>IF(G239="","",ABS(O239-Components!$D$2))</f>
        <v/>
      </c>
      <c r="Q239" s="100">
        <f>IF(G239="","",ABS(O239-Components!$D$3))</f>
        <v/>
      </c>
      <c r="R239" s="100">
        <f>IF(G239="","",ABS(O239-Components!$D$4))</f>
        <v/>
      </c>
      <c r="S239" s="100">
        <f>IF(G239="","",ABS(O239-Components!$D$5))</f>
        <v/>
      </c>
      <c r="T239" s="100">
        <f>IF(G239="","",ABS(O239-Components!$D$6))</f>
        <v/>
      </c>
      <c r="U239" s="100">
        <f>IF(G239="","",ABS(O239-Components!$D$7))</f>
        <v/>
      </c>
      <c r="V239" s="98">
        <f>IF(G239="","",IF(M239="OK","NONE",INDEX({"S1","S2","W1","W2","N1","N2"},MATCH(MIN(P239:U239),P239:U239,0))))</f>
        <v/>
      </c>
      <c r="W239" s="103">
        <f>IF(G239="","",IF(V239=E239,1,0))</f>
        <v/>
      </c>
    </row>
    <row r="240">
      <c r="A240" s="102">
        <f>'Runs Z score'!A228</f>
        <v/>
      </c>
      <c r="B240" s="98">
        <f>'Runs Z score'!B228</f>
        <v/>
      </c>
      <c r="C240" s="98">
        <f>'Runs Z score'!C228</f>
        <v/>
      </c>
      <c r="D240" s="98">
        <f>'Runs Z score'!D228</f>
        <v/>
      </c>
      <c r="E240" s="98">
        <f>'Runs Z score'!E228</f>
        <v/>
      </c>
      <c r="F240" s="98">
        <f>'Runs Z score'!F228</f>
        <v/>
      </c>
      <c r="G240" s="99">
        <f>'Runs Z score'!G228</f>
        <v/>
      </c>
      <c r="H240" s="100">
        <f>VLOOKUP(C240,Recipes!$A$2:$N$4,10,FALSE())</f>
        <v/>
      </c>
      <c r="I240" s="101">
        <f>VLOOKUP(C240,Recipes!$A$2:$N$4,12,FALSE())</f>
        <v/>
      </c>
      <c r="J240" s="101">
        <f>IF(G240="","",((G240-H240)/I240)^2)</f>
        <v/>
      </c>
      <c r="K240" s="101">
        <f>IF(G240="","",MAX(0, J240-$B$12))</f>
        <v/>
      </c>
      <c r="L240" s="100">
        <f>IF(G240="","",SQRT(K240))</f>
        <v/>
      </c>
      <c r="M240" s="98">
        <f>IF(G240="","",IF(K240&lt;=$B$10,"OK","NG"))</f>
        <v/>
      </c>
      <c r="N240" s="69">
        <f>IF(M240="","",IF(M240=D240,1,0))</f>
        <v/>
      </c>
      <c r="O240" s="100">
        <f>IF(G240="","",H240-G240)</f>
        <v/>
      </c>
      <c r="P240" s="100">
        <f>IF(G240="","",ABS(O240-Components!$D$2))</f>
        <v/>
      </c>
      <c r="Q240" s="100">
        <f>IF(G240="","",ABS(O240-Components!$D$3))</f>
        <v/>
      </c>
      <c r="R240" s="100">
        <f>IF(G240="","",ABS(O240-Components!$D$4))</f>
        <v/>
      </c>
      <c r="S240" s="100">
        <f>IF(G240="","",ABS(O240-Components!$D$5))</f>
        <v/>
      </c>
      <c r="T240" s="100">
        <f>IF(G240="","",ABS(O240-Components!$D$6))</f>
        <v/>
      </c>
      <c r="U240" s="100">
        <f>IF(G240="","",ABS(O240-Components!$D$7))</f>
        <v/>
      </c>
      <c r="V240" s="98">
        <f>IF(G240="","",IF(M240="OK","NONE",INDEX({"S1","S2","W1","W2","N1","N2"},MATCH(MIN(P240:U240),P240:U240,0))))</f>
        <v/>
      </c>
      <c r="W240" s="103">
        <f>IF(G240="","",IF(V240=E240,1,0))</f>
        <v/>
      </c>
    </row>
    <row r="241">
      <c r="A241" s="102">
        <f>'Runs Z score'!A229</f>
        <v/>
      </c>
      <c r="B241" s="98">
        <f>'Runs Z score'!B229</f>
        <v/>
      </c>
      <c r="C241" s="98">
        <f>'Runs Z score'!C229</f>
        <v/>
      </c>
      <c r="D241" s="98">
        <f>'Runs Z score'!D229</f>
        <v/>
      </c>
      <c r="E241" s="98">
        <f>'Runs Z score'!E229</f>
        <v/>
      </c>
      <c r="F241" s="98">
        <f>'Runs Z score'!F229</f>
        <v/>
      </c>
      <c r="G241" s="99">
        <f>'Runs Z score'!G229</f>
        <v/>
      </c>
      <c r="H241" s="100">
        <f>VLOOKUP(C241,Recipes!$A$2:$N$4,10,FALSE())</f>
        <v/>
      </c>
      <c r="I241" s="101">
        <f>VLOOKUP(C241,Recipes!$A$2:$N$4,12,FALSE())</f>
        <v/>
      </c>
      <c r="J241" s="101">
        <f>IF(G241="","",((G241-H241)/I241)^2)</f>
        <v/>
      </c>
      <c r="K241" s="101">
        <f>IF(G241="","",MAX(0, J241-$B$12))</f>
        <v/>
      </c>
      <c r="L241" s="100">
        <f>IF(G241="","",SQRT(K241))</f>
        <v/>
      </c>
      <c r="M241" s="98">
        <f>IF(G241="","",IF(K241&lt;=$B$10,"OK","NG"))</f>
        <v/>
      </c>
      <c r="N241" s="69">
        <f>IF(M241="","",IF(M241=D241,1,0))</f>
        <v/>
      </c>
      <c r="O241" s="100">
        <f>IF(G241="","",H241-G241)</f>
        <v/>
      </c>
      <c r="P241" s="100">
        <f>IF(G241="","",ABS(O241-Components!$D$2))</f>
        <v/>
      </c>
      <c r="Q241" s="100">
        <f>IF(G241="","",ABS(O241-Components!$D$3))</f>
        <v/>
      </c>
      <c r="R241" s="100">
        <f>IF(G241="","",ABS(O241-Components!$D$4))</f>
        <v/>
      </c>
      <c r="S241" s="100">
        <f>IF(G241="","",ABS(O241-Components!$D$5))</f>
        <v/>
      </c>
      <c r="T241" s="100">
        <f>IF(G241="","",ABS(O241-Components!$D$6))</f>
        <v/>
      </c>
      <c r="U241" s="100">
        <f>IF(G241="","",ABS(O241-Components!$D$7))</f>
        <v/>
      </c>
      <c r="V241" s="98">
        <f>IF(G241="","",IF(M241="OK","NONE",INDEX({"S1","S2","W1","W2","N1","N2"},MATCH(MIN(P241:U241),P241:U241,0))))</f>
        <v/>
      </c>
      <c r="W241" s="103">
        <f>IF(G241="","",IF(V241=E241,1,0))</f>
        <v/>
      </c>
    </row>
    <row r="242">
      <c r="A242" s="102">
        <f>'Runs Z score'!A230</f>
        <v/>
      </c>
      <c r="B242" s="98">
        <f>'Runs Z score'!B230</f>
        <v/>
      </c>
      <c r="C242" s="98">
        <f>'Runs Z score'!C230</f>
        <v/>
      </c>
      <c r="D242" s="98">
        <f>'Runs Z score'!D230</f>
        <v/>
      </c>
      <c r="E242" s="98">
        <f>'Runs Z score'!E230</f>
        <v/>
      </c>
      <c r="F242" s="98">
        <f>'Runs Z score'!F230</f>
        <v/>
      </c>
      <c r="G242" s="99">
        <f>'Runs Z score'!G230</f>
        <v/>
      </c>
      <c r="H242" s="100">
        <f>VLOOKUP(C242,Recipes!$A$2:$N$4,10,FALSE())</f>
        <v/>
      </c>
      <c r="I242" s="101">
        <f>VLOOKUP(C242,Recipes!$A$2:$N$4,12,FALSE())</f>
        <v/>
      </c>
      <c r="J242" s="101">
        <f>IF(G242="","",((G242-H242)/I242)^2)</f>
        <v/>
      </c>
      <c r="K242" s="101">
        <f>IF(G242="","",MAX(0, J242-$B$12))</f>
        <v/>
      </c>
      <c r="L242" s="100">
        <f>IF(G242="","",SQRT(K242))</f>
        <v/>
      </c>
      <c r="M242" s="98">
        <f>IF(G242="","",IF(K242&lt;=$B$10,"OK","NG"))</f>
        <v/>
      </c>
      <c r="N242" s="69">
        <f>IF(M242="","",IF(M242=D242,1,0))</f>
        <v/>
      </c>
      <c r="O242" s="100">
        <f>IF(G242="","",H242-G242)</f>
        <v/>
      </c>
      <c r="P242" s="100">
        <f>IF(G242="","",ABS(O242-Components!$D$2))</f>
        <v/>
      </c>
      <c r="Q242" s="100">
        <f>IF(G242="","",ABS(O242-Components!$D$3))</f>
        <v/>
      </c>
      <c r="R242" s="100">
        <f>IF(G242="","",ABS(O242-Components!$D$4))</f>
        <v/>
      </c>
      <c r="S242" s="100">
        <f>IF(G242="","",ABS(O242-Components!$D$5))</f>
        <v/>
      </c>
      <c r="T242" s="100">
        <f>IF(G242="","",ABS(O242-Components!$D$6))</f>
        <v/>
      </c>
      <c r="U242" s="100">
        <f>IF(G242="","",ABS(O242-Components!$D$7))</f>
        <v/>
      </c>
      <c r="V242" s="98">
        <f>IF(G242="","",IF(M242="OK","NONE",INDEX({"S1","S2","W1","W2","N1","N2"},MATCH(MIN(P242:U242),P242:U242,0))))</f>
        <v/>
      </c>
      <c r="W242" s="103">
        <f>IF(G242="","",IF(V242=E242,1,0))</f>
        <v/>
      </c>
    </row>
    <row r="243">
      <c r="A243" s="102">
        <f>'Runs Z score'!A231</f>
        <v/>
      </c>
      <c r="B243" s="98">
        <f>'Runs Z score'!B231</f>
        <v/>
      </c>
      <c r="C243" s="98">
        <f>'Runs Z score'!C231</f>
        <v/>
      </c>
      <c r="D243" s="98">
        <f>'Runs Z score'!D231</f>
        <v/>
      </c>
      <c r="E243" s="98">
        <f>'Runs Z score'!E231</f>
        <v/>
      </c>
      <c r="F243" s="98">
        <f>'Runs Z score'!F231</f>
        <v/>
      </c>
      <c r="G243" s="99">
        <f>'Runs Z score'!G231</f>
        <v/>
      </c>
      <c r="H243" s="100">
        <f>VLOOKUP(C243,Recipes!$A$2:$N$4,10,FALSE())</f>
        <v/>
      </c>
      <c r="I243" s="101">
        <f>VLOOKUP(C243,Recipes!$A$2:$N$4,12,FALSE())</f>
        <v/>
      </c>
      <c r="J243" s="101">
        <f>IF(G243="","",((G243-H243)/I243)^2)</f>
        <v/>
      </c>
      <c r="K243" s="101">
        <f>IF(G243="","",MAX(0, J243-$B$12))</f>
        <v/>
      </c>
      <c r="L243" s="100">
        <f>IF(G243="","",SQRT(K243))</f>
        <v/>
      </c>
      <c r="M243" s="98">
        <f>IF(G243="","",IF(K243&lt;=$B$10,"OK","NG"))</f>
        <v/>
      </c>
      <c r="N243" s="69">
        <f>IF(M243="","",IF(M243=D243,1,0))</f>
        <v/>
      </c>
      <c r="O243" s="100">
        <f>IF(G243="","",H243-G243)</f>
        <v/>
      </c>
      <c r="P243" s="100">
        <f>IF(G243="","",ABS(O243-Components!$D$2))</f>
        <v/>
      </c>
      <c r="Q243" s="100">
        <f>IF(G243="","",ABS(O243-Components!$D$3))</f>
        <v/>
      </c>
      <c r="R243" s="100">
        <f>IF(G243="","",ABS(O243-Components!$D$4))</f>
        <v/>
      </c>
      <c r="S243" s="100">
        <f>IF(G243="","",ABS(O243-Components!$D$5))</f>
        <v/>
      </c>
      <c r="T243" s="100">
        <f>IF(G243="","",ABS(O243-Components!$D$6))</f>
        <v/>
      </c>
      <c r="U243" s="100">
        <f>IF(G243="","",ABS(O243-Components!$D$7))</f>
        <v/>
      </c>
      <c r="V243" s="98">
        <f>IF(G243="","",IF(M243="OK","NONE",INDEX({"S1","S2","W1","W2","N1","N2"},MATCH(MIN(P243:U243),P243:U243,0))))</f>
        <v/>
      </c>
      <c r="W243" s="103">
        <f>IF(G243="","",IF(V243=E243,1,0))</f>
        <v/>
      </c>
    </row>
    <row r="244">
      <c r="A244" s="102">
        <f>'Runs Z score'!A232</f>
        <v/>
      </c>
      <c r="B244" s="98">
        <f>'Runs Z score'!B232</f>
        <v/>
      </c>
      <c r="C244" s="98">
        <f>'Runs Z score'!C232</f>
        <v/>
      </c>
      <c r="D244" s="98">
        <f>'Runs Z score'!D232</f>
        <v/>
      </c>
      <c r="E244" s="98">
        <f>'Runs Z score'!E232</f>
        <v/>
      </c>
      <c r="F244" s="98">
        <f>'Runs Z score'!F232</f>
        <v/>
      </c>
      <c r="G244" s="99">
        <f>'Runs Z score'!G232</f>
        <v/>
      </c>
      <c r="H244" s="100">
        <f>VLOOKUP(C244,Recipes!$A$2:$N$4,10,FALSE())</f>
        <v/>
      </c>
      <c r="I244" s="101">
        <f>VLOOKUP(C244,Recipes!$A$2:$N$4,12,FALSE())</f>
        <v/>
      </c>
      <c r="J244" s="101">
        <f>IF(G244="","",((G244-H244)/I244)^2)</f>
        <v/>
      </c>
      <c r="K244" s="101">
        <f>IF(G244="","",MAX(0, J244-$B$12))</f>
        <v/>
      </c>
      <c r="L244" s="100">
        <f>IF(G244="","",SQRT(K244))</f>
        <v/>
      </c>
      <c r="M244" s="98">
        <f>IF(G244="","",IF(K244&lt;=$B$10,"OK","NG"))</f>
        <v/>
      </c>
      <c r="N244" s="69">
        <f>IF(M244="","",IF(M244=D244,1,0))</f>
        <v/>
      </c>
      <c r="O244" s="100">
        <f>IF(G244="","",H244-G244)</f>
        <v/>
      </c>
      <c r="P244" s="100">
        <f>IF(G244="","",ABS(O244-Components!$D$2))</f>
        <v/>
      </c>
      <c r="Q244" s="100">
        <f>IF(G244="","",ABS(O244-Components!$D$3))</f>
        <v/>
      </c>
      <c r="R244" s="100">
        <f>IF(G244="","",ABS(O244-Components!$D$4))</f>
        <v/>
      </c>
      <c r="S244" s="100">
        <f>IF(G244="","",ABS(O244-Components!$D$5))</f>
        <v/>
      </c>
      <c r="T244" s="100">
        <f>IF(G244="","",ABS(O244-Components!$D$6))</f>
        <v/>
      </c>
      <c r="U244" s="100">
        <f>IF(G244="","",ABS(O244-Components!$D$7))</f>
        <v/>
      </c>
      <c r="V244" s="98">
        <f>IF(G244="","",IF(M244="OK","NONE",INDEX({"S1","S2","W1","W2","N1","N2"},MATCH(MIN(P244:U244),P244:U244,0))))</f>
        <v/>
      </c>
      <c r="W244" s="103">
        <f>IF(G244="","",IF(V244=E244,1,0))</f>
        <v/>
      </c>
    </row>
    <row r="245">
      <c r="A245" s="102">
        <f>'Runs Z score'!A233</f>
        <v/>
      </c>
      <c r="B245" s="98">
        <f>'Runs Z score'!B233</f>
        <v/>
      </c>
      <c r="C245" s="98">
        <f>'Runs Z score'!C233</f>
        <v/>
      </c>
      <c r="D245" s="98">
        <f>'Runs Z score'!D233</f>
        <v/>
      </c>
      <c r="E245" s="98">
        <f>'Runs Z score'!E233</f>
        <v/>
      </c>
      <c r="F245" s="98">
        <f>'Runs Z score'!F233</f>
        <v/>
      </c>
      <c r="G245" s="99">
        <f>'Runs Z score'!G233</f>
        <v/>
      </c>
      <c r="H245" s="100">
        <f>VLOOKUP(C245,Recipes!$A$2:$N$4,10,FALSE())</f>
        <v/>
      </c>
      <c r="I245" s="101">
        <f>VLOOKUP(C245,Recipes!$A$2:$N$4,12,FALSE())</f>
        <v/>
      </c>
      <c r="J245" s="101">
        <f>IF(G245="","",((G245-H245)/I245)^2)</f>
        <v/>
      </c>
      <c r="K245" s="101">
        <f>IF(G245="","",MAX(0, J245-$B$12))</f>
        <v/>
      </c>
      <c r="L245" s="100">
        <f>IF(G245="","",SQRT(K245))</f>
        <v/>
      </c>
      <c r="M245" s="98">
        <f>IF(G245="","",IF(K245&lt;=$B$10,"OK","NG"))</f>
        <v/>
      </c>
      <c r="N245" s="69">
        <f>IF(M245="","",IF(M245=D245,1,0))</f>
        <v/>
      </c>
      <c r="O245" s="100">
        <f>IF(G245="","",H245-G245)</f>
        <v/>
      </c>
      <c r="P245" s="100">
        <f>IF(G245="","",ABS(O245-Components!$D$2))</f>
        <v/>
      </c>
      <c r="Q245" s="100">
        <f>IF(G245="","",ABS(O245-Components!$D$3))</f>
        <v/>
      </c>
      <c r="R245" s="100">
        <f>IF(G245="","",ABS(O245-Components!$D$4))</f>
        <v/>
      </c>
      <c r="S245" s="100">
        <f>IF(G245="","",ABS(O245-Components!$D$5))</f>
        <v/>
      </c>
      <c r="T245" s="100">
        <f>IF(G245="","",ABS(O245-Components!$D$6))</f>
        <v/>
      </c>
      <c r="U245" s="100">
        <f>IF(G245="","",ABS(O245-Components!$D$7))</f>
        <v/>
      </c>
      <c r="V245" s="98">
        <f>IF(G245="","",IF(M245="OK","NONE",INDEX({"S1","S2","W1","W2","N1","N2"},MATCH(MIN(P245:U245),P245:U245,0))))</f>
        <v/>
      </c>
      <c r="W245" s="103">
        <f>IF(G245="","",IF(V245=E245,1,0))</f>
        <v/>
      </c>
    </row>
    <row r="246">
      <c r="A246" s="102">
        <f>'Runs Z score'!A234</f>
        <v/>
      </c>
      <c r="B246" s="98">
        <f>'Runs Z score'!B234</f>
        <v/>
      </c>
      <c r="C246" s="98">
        <f>'Runs Z score'!C234</f>
        <v/>
      </c>
      <c r="D246" s="98">
        <f>'Runs Z score'!D234</f>
        <v/>
      </c>
      <c r="E246" s="98">
        <f>'Runs Z score'!E234</f>
        <v/>
      </c>
      <c r="F246" s="98">
        <f>'Runs Z score'!F234</f>
        <v/>
      </c>
      <c r="G246" s="99">
        <f>'Runs Z score'!G234</f>
        <v/>
      </c>
      <c r="H246" s="100">
        <f>VLOOKUP(C246,Recipes!$A$2:$N$4,10,FALSE())</f>
        <v/>
      </c>
      <c r="I246" s="101">
        <f>VLOOKUP(C246,Recipes!$A$2:$N$4,12,FALSE())</f>
        <v/>
      </c>
      <c r="J246" s="101">
        <f>IF(G246="","",((G246-H246)/I246)^2)</f>
        <v/>
      </c>
      <c r="K246" s="101">
        <f>IF(G246="","",MAX(0, J246-$B$12))</f>
        <v/>
      </c>
      <c r="L246" s="100">
        <f>IF(G246="","",SQRT(K246))</f>
        <v/>
      </c>
      <c r="M246" s="98">
        <f>IF(G246="","",IF(K246&lt;=$B$10,"OK","NG"))</f>
        <v/>
      </c>
      <c r="N246" s="69">
        <f>IF(M246="","",IF(M246=D246,1,0))</f>
        <v/>
      </c>
      <c r="O246" s="100">
        <f>IF(G246="","",H246-G246)</f>
        <v/>
      </c>
      <c r="P246" s="100">
        <f>IF(G246="","",ABS(O246-Components!$D$2))</f>
        <v/>
      </c>
      <c r="Q246" s="100">
        <f>IF(G246="","",ABS(O246-Components!$D$3))</f>
        <v/>
      </c>
      <c r="R246" s="100">
        <f>IF(G246="","",ABS(O246-Components!$D$4))</f>
        <v/>
      </c>
      <c r="S246" s="100">
        <f>IF(G246="","",ABS(O246-Components!$D$5))</f>
        <v/>
      </c>
      <c r="T246" s="100">
        <f>IF(G246="","",ABS(O246-Components!$D$6))</f>
        <v/>
      </c>
      <c r="U246" s="100">
        <f>IF(G246="","",ABS(O246-Components!$D$7))</f>
        <v/>
      </c>
      <c r="V246" s="98">
        <f>IF(G246="","",IF(M246="OK","NONE",INDEX({"S1","S2","W1","W2","N1","N2"},MATCH(MIN(P246:U246),P246:U246,0))))</f>
        <v/>
      </c>
      <c r="W246" s="103">
        <f>IF(G246="","",IF(V246=E246,1,0))</f>
        <v/>
      </c>
    </row>
    <row r="247">
      <c r="A247" s="102">
        <f>'Runs Z score'!A235</f>
        <v/>
      </c>
      <c r="B247" s="98">
        <f>'Runs Z score'!B235</f>
        <v/>
      </c>
      <c r="C247" s="98">
        <f>'Runs Z score'!C235</f>
        <v/>
      </c>
      <c r="D247" s="98">
        <f>'Runs Z score'!D235</f>
        <v/>
      </c>
      <c r="E247" s="98">
        <f>'Runs Z score'!E235</f>
        <v/>
      </c>
      <c r="F247" s="98">
        <f>'Runs Z score'!F235</f>
        <v/>
      </c>
      <c r="G247" s="99">
        <f>'Runs Z score'!G235</f>
        <v/>
      </c>
      <c r="H247" s="100">
        <f>VLOOKUP(C247,Recipes!$A$2:$N$4,10,FALSE())</f>
        <v/>
      </c>
      <c r="I247" s="101">
        <f>VLOOKUP(C247,Recipes!$A$2:$N$4,12,FALSE())</f>
        <v/>
      </c>
      <c r="J247" s="101">
        <f>IF(G247="","",((G247-H247)/I247)^2)</f>
        <v/>
      </c>
      <c r="K247" s="101">
        <f>IF(G247="","",MAX(0, J247-$B$12))</f>
        <v/>
      </c>
      <c r="L247" s="100">
        <f>IF(G247="","",SQRT(K247))</f>
        <v/>
      </c>
      <c r="M247" s="98">
        <f>IF(G247="","",IF(K247&lt;=$B$10,"OK","NG"))</f>
        <v/>
      </c>
      <c r="N247" s="69">
        <f>IF(M247="","",IF(M247=D247,1,0))</f>
        <v/>
      </c>
      <c r="O247" s="100">
        <f>IF(G247="","",H247-G247)</f>
        <v/>
      </c>
      <c r="P247" s="100">
        <f>IF(G247="","",ABS(O247-Components!$D$2))</f>
        <v/>
      </c>
      <c r="Q247" s="100">
        <f>IF(G247="","",ABS(O247-Components!$D$3))</f>
        <v/>
      </c>
      <c r="R247" s="100">
        <f>IF(G247="","",ABS(O247-Components!$D$4))</f>
        <v/>
      </c>
      <c r="S247" s="100">
        <f>IF(G247="","",ABS(O247-Components!$D$5))</f>
        <v/>
      </c>
      <c r="T247" s="100">
        <f>IF(G247="","",ABS(O247-Components!$D$6))</f>
        <v/>
      </c>
      <c r="U247" s="100">
        <f>IF(G247="","",ABS(O247-Components!$D$7))</f>
        <v/>
      </c>
      <c r="V247" s="98">
        <f>IF(G247="","",IF(M247="OK","NONE",INDEX({"S1","S2","W1","W2","N1","N2"},MATCH(MIN(P247:U247),P247:U247,0))))</f>
        <v/>
      </c>
      <c r="W247" s="103">
        <f>IF(G247="","",IF(V247=E247,1,0))</f>
        <v/>
      </c>
    </row>
    <row r="248">
      <c r="A248" s="102">
        <f>'Runs Z score'!A236</f>
        <v/>
      </c>
      <c r="B248" s="98">
        <f>'Runs Z score'!B236</f>
        <v/>
      </c>
      <c r="C248" s="98">
        <f>'Runs Z score'!C236</f>
        <v/>
      </c>
      <c r="D248" s="98">
        <f>'Runs Z score'!D236</f>
        <v/>
      </c>
      <c r="E248" s="98">
        <f>'Runs Z score'!E236</f>
        <v/>
      </c>
      <c r="F248" s="98">
        <f>'Runs Z score'!F236</f>
        <v/>
      </c>
      <c r="G248" s="99">
        <f>'Runs Z score'!G236</f>
        <v/>
      </c>
      <c r="H248" s="100">
        <f>VLOOKUP(C248,Recipes!$A$2:$N$4,10,FALSE())</f>
        <v/>
      </c>
      <c r="I248" s="101">
        <f>VLOOKUP(C248,Recipes!$A$2:$N$4,12,FALSE())</f>
        <v/>
      </c>
      <c r="J248" s="101">
        <f>IF(G248="","",((G248-H248)/I248)^2)</f>
        <v/>
      </c>
      <c r="K248" s="101">
        <f>IF(G248="","",MAX(0, J248-$B$12))</f>
        <v/>
      </c>
      <c r="L248" s="100">
        <f>IF(G248="","",SQRT(K248))</f>
        <v/>
      </c>
      <c r="M248" s="98">
        <f>IF(G248="","",IF(K248&lt;=$B$10,"OK","NG"))</f>
        <v/>
      </c>
      <c r="N248" s="69">
        <f>IF(M248="","",IF(M248=D248,1,0))</f>
        <v/>
      </c>
      <c r="O248" s="100">
        <f>IF(G248="","",H248-G248)</f>
        <v/>
      </c>
      <c r="P248" s="100">
        <f>IF(G248="","",ABS(O248-Components!$D$2))</f>
        <v/>
      </c>
      <c r="Q248" s="100">
        <f>IF(G248="","",ABS(O248-Components!$D$3))</f>
        <v/>
      </c>
      <c r="R248" s="100">
        <f>IF(G248="","",ABS(O248-Components!$D$4))</f>
        <v/>
      </c>
      <c r="S248" s="100">
        <f>IF(G248="","",ABS(O248-Components!$D$5))</f>
        <v/>
      </c>
      <c r="T248" s="100">
        <f>IF(G248="","",ABS(O248-Components!$D$6))</f>
        <v/>
      </c>
      <c r="U248" s="100">
        <f>IF(G248="","",ABS(O248-Components!$D$7))</f>
        <v/>
      </c>
      <c r="V248" s="98">
        <f>IF(G248="","",IF(M248="OK","NONE",INDEX({"S1","S2","W1","W2","N1","N2"},MATCH(MIN(P248:U248),P248:U248,0))))</f>
        <v/>
      </c>
      <c r="W248" s="103">
        <f>IF(G248="","",IF(V248=E248,1,0))</f>
        <v/>
      </c>
    </row>
    <row r="249">
      <c r="A249" s="102">
        <f>'Runs Z score'!A237</f>
        <v/>
      </c>
      <c r="B249" s="98">
        <f>'Runs Z score'!B237</f>
        <v/>
      </c>
      <c r="C249" s="98">
        <f>'Runs Z score'!C237</f>
        <v/>
      </c>
      <c r="D249" s="98">
        <f>'Runs Z score'!D237</f>
        <v/>
      </c>
      <c r="E249" s="98">
        <f>'Runs Z score'!E237</f>
        <v/>
      </c>
      <c r="F249" s="98">
        <f>'Runs Z score'!F237</f>
        <v/>
      </c>
      <c r="G249" s="99">
        <f>'Runs Z score'!G237</f>
        <v/>
      </c>
      <c r="H249" s="100">
        <f>VLOOKUP(C249,Recipes!$A$2:$N$4,10,FALSE())</f>
        <v/>
      </c>
      <c r="I249" s="101">
        <f>VLOOKUP(C249,Recipes!$A$2:$N$4,12,FALSE())</f>
        <v/>
      </c>
      <c r="J249" s="101">
        <f>IF(G249="","",((G249-H249)/I249)^2)</f>
        <v/>
      </c>
      <c r="K249" s="101">
        <f>IF(G249="","",MAX(0, J249-$B$12))</f>
        <v/>
      </c>
      <c r="L249" s="100">
        <f>IF(G249="","",SQRT(K249))</f>
        <v/>
      </c>
      <c r="M249" s="98">
        <f>IF(G249="","",IF(K249&lt;=$B$10,"OK","NG"))</f>
        <v/>
      </c>
      <c r="N249" s="69">
        <f>IF(M249="","",IF(M249=D249,1,0))</f>
        <v/>
      </c>
      <c r="O249" s="100">
        <f>IF(G249="","",H249-G249)</f>
        <v/>
      </c>
      <c r="P249" s="100">
        <f>IF(G249="","",ABS(O249-Components!$D$2))</f>
        <v/>
      </c>
      <c r="Q249" s="100">
        <f>IF(G249="","",ABS(O249-Components!$D$3))</f>
        <v/>
      </c>
      <c r="R249" s="100">
        <f>IF(G249="","",ABS(O249-Components!$D$4))</f>
        <v/>
      </c>
      <c r="S249" s="100">
        <f>IF(G249="","",ABS(O249-Components!$D$5))</f>
        <v/>
      </c>
      <c r="T249" s="100">
        <f>IF(G249="","",ABS(O249-Components!$D$6))</f>
        <v/>
      </c>
      <c r="U249" s="100">
        <f>IF(G249="","",ABS(O249-Components!$D$7))</f>
        <v/>
      </c>
      <c r="V249" s="98">
        <f>IF(G249="","",IF(M249="OK","NONE",INDEX({"S1","S2","W1","W2","N1","N2"},MATCH(MIN(P249:U249),P249:U249,0))))</f>
        <v/>
      </c>
      <c r="W249" s="103">
        <f>IF(G249="","",IF(V249=E249,1,0))</f>
        <v/>
      </c>
    </row>
    <row r="250">
      <c r="A250" s="102">
        <f>'Runs Z score'!A238</f>
        <v/>
      </c>
      <c r="B250" s="98">
        <f>'Runs Z score'!B238</f>
        <v/>
      </c>
      <c r="C250" s="98">
        <f>'Runs Z score'!C238</f>
        <v/>
      </c>
      <c r="D250" s="98">
        <f>'Runs Z score'!D238</f>
        <v/>
      </c>
      <c r="E250" s="98">
        <f>'Runs Z score'!E238</f>
        <v/>
      </c>
      <c r="F250" s="98">
        <f>'Runs Z score'!F238</f>
        <v/>
      </c>
      <c r="G250" s="99">
        <f>'Runs Z score'!G238</f>
        <v/>
      </c>
      <c r="H250" s="100">
        <f>VLOOKUP(C250,Recipes!$A$2:$N$4,10,FALSE())</f>
        <v/>
      </c>
      <c r="I250" s="101">
        <f>VLOOKUP(C250,Recipes!$A$2:$N$4,12,FALSE())</f>
        <v/>
      </c>
      <c r="J250" s="101">
        <f>IF(G250="","",((G250-H250)/I250)^2)</f>
        <v/>
      </c>
      <c r="K250" s="101">
        <f>IF(G250="","",MAX(0, J250-$B$12))</f>
        <v/>
      </c>
      <c r="L250" s="100">
        <f>IF(G250="","",SQRT(K250))</f>
        <v/>
      </c>
      <c r="M250" s="98">
        <f>IF(G250="","",IF(K250&lt;=$B$10,"OK","NG"))</f>
        <v/>
      </c>
      <c r="N250" s="69">
        <f>IF(M250="","",IF(M250=D250,1,0))</f>
        <v/>
      </c>
      <c r="O250" s="100">
        <f>IF(G250="","",H250-G250)</f>
        <v/>
      </c>
      <c r="P250" s="100">
        <f>IF(G250="","",ABS(O250-Components!$D$2))</f>
        <v/>
      </c>
      <c r="Q250" s="100">
        <f>IF(G250="","",ABS(O250-Components!$D$3))</f>
        <v/>
      </c>
      <c r="R250" s="100">
        <f>IF(G250="","",ABS(O250-Components!$D$4))</f>
        <v/>
      </c>
      <c r="S250" s="100">
        <f>IF(G250="","",ABS(O250-Components!$D$5))</f>
        <v/>
      </c>
      <c r="T250" s="100">
        <f>IF(G250="","",ABS(O250-Components!$D$6))</f>
        <v/>
      </c>
      <c r="U250" s="100">
        <f>IF(G250="","",ABS(O250-Components!$D$7))</f>
        <v/>
      </c>
      <c r="V250" s="98">
        <f>IF(G250="","",IF(M250="OK","NONE",INDEX({"S1","S2","W1","W2","N1","N2"},MATCH(MIN(P250:U250),P250:U250,0))))</f>
        <v/>
      </c>
      <c r="W250" s="103">
        <f>IF(G250="","",IF(V250=E250,1,0))</f>
        <v/>
      </c>
    </row>
    <row r="251">
      <c r="A251" s="102">
        <f>'Runs Z score'!A239</f>
        <v/>
      </c>
      <c r="B251" s="98">
        <f>'Runs Z score'!B239</f>
        <v/>
      </c>
      <c r="C251" s="98">
        <f>'Runs Z score'!C239</f>
        <v/>
      </c>
      <c r="D251" s="98">
        <f>'Runs Z score'!D239</f>
        <v/>
      </c>
      <c r="E251" s="98">
        <f>'Runs Z score'!E239</f>
        <v/>
      </c>
      <c r="F251" s="98">
        <f>'Runs Z score'!F239</f>
        <v/>
      </c>
      <c r="G251" s="99">
        <f>'Runs Z score'!G239</f>
        <v/>
      </c>
      <c r="H251" s="100">
        <f>VLOOKUP(C251,Recipes!$A$2:$N$4,10,FALSE())</f>
        <v/>
      </c>
      <c r="I251" s="101">
        <f>VLOOKUP(C251,Recipes!$A$2:$N$4,12,FALSE())</f>
        <v/>
      </c>
      <c r="J251" s="101">
        <f>IF(G251="","",((G251-H251)/I251)^2)</f>
        <v/>
      </c>
      <c r="K251" s="101">
        <f>IF(G251="","",MAX(0, J251-$B$12))</f>
        <v/>
      </c>
      <c r="L251" s="100">
        <f>IF(G251="","",SQRT(K251))</f>
        <v/>
      </c>
      <c r="M251" s="98">
        <f>IF(G251="","",IF(K251&lt;=$B$10,"OK","NG"))</f>
        <v/>
      </c>
      <c r="N251" s="69">
        <f>IF(M251="","",IF(M251=D251,1,0))</f>
        <v/>
      </c>
      <c r="O251" s="100">
        <f>IF(G251="","",H251-G251)</f>
        <v/>
      </c>
      <c r="P251" s="100">
        <f>IF(G251="","",ABS(O251-Components!$D$2))</f>
        <v/>
      </c>
      <c r="Q251" s="100">
        <f>IF(G251="","",ABS(O251-Components!$D$3))</f>
        <v/>
      </c>
      <c r="R251" s="100">
        <f>IF(G251="","",ABS(O251-Components!$D$4))</f>
        <v/>
      </c>
      <c r="S251" s="100">
        <f>IF(G251="","",ABS(O251-Components!$D$5))</f>
        <v/>
      </c>
      <c r="T251" s="100">
        <f>IF(G251="","",ABS(O251-Components!$D$6))</f>
        <v/>
      </c>
      <c r="U251" s="100">
        <f>IF(G251="","",ABS(O251-Components!$D$7))</f>
        <v/>
      </c>
      <c r="V251" s="98">
        <f>IF(G251="","",IF(M251="OK","NONE",INDEX({"S1","S2","W1","W2","N1","N2"},MATCH(MIN(P251:U251),P251:U251,0))))</f>
        <v/>
      </c>
      <c r="W251" s="103">
        <f>IF(G251="","",IF(V251=E251,1,0))</f>
        <v/>
      </c>
    </row>
    <row r="252">
      <c r="A252" s="102">
        <f>'Runs Z score'!A240</f>
        <v/>
      </c>
      <c r="B252" s="98">
        <f>'Runs Z score'!B240</f>
        <v/>
      </c>
      <c r="C252" s="98">
        <f>'Runs Z score'!C240</f>
        <v/>
      </c>
      <c r="D252" s="98">
        <f>'Runs Z score'!D240</f>
        <v/>
      </c>
      <c r="E252" s="98">
        <f>'Runs Z score'!E240</f>
        <v/>
      </c>
      <c r="F252" s="98">
        <f>'Runs Z score'!F240</f>
        <v/>
      </c>
      <c r="G252" s="99">
        <f>'Runs Z score'!G240</f>
        <v/>
      </c>
      <c r="H252" s="100">
        <f>VLOOKUP(C252,Recipes!$A$2:$N$4,10,FALSE())</f>
        <v/>
      </c>
      <c r="I252" s="101">
        <f>VLOOKUP(C252,Recipes!$A$2:$N$4,12,FALSE())</f>
        <v/>
      </c>
      <c r="J252" s="101">
        <f>IF(G252="","",((G252-H252)/I252)^2)</f>
        <v/>
      </c>
      <c r="K252" s="101">
        <f>IF(G252="","",MAX(0, J252-$B$12))</f>
        <v/>
      </c>
      <c r="L252" s="100">
        <f>IF(G252="","",SQRT(K252))</f>
        <v/>
      </c>
      <c r="M252" s="98">
        <f>IF(G252="","",IF(K252&lt;=$B$10,"OK","NG"))</f>
        <v/>
      </c>
      <c r="N252" s="69">
        <f>IF(M252="","",IF(M252=D252,1,0))</f>
        <v/>
      </c>
      <c r="O252" s="100">
        <f>IF(G252="","",H252-G252)</f>
        <v/>
      </c>
      <c r="P252" s="100">
        <f>IF(G252="","",ABS(O252-Components!$D$2))</f>
        <v/>
      </c>
      <c r="Q252" s="100">
        <f>IF(G252="","",ABS(O252-Components!$D$3))</f>
        <v/>
      </c>
      <c r="R252" s="100">
        <f>IF(G252="","",ABS(O252-Components!$D$4))</f>
        <v/>
      </c>
      <c r="S252" s="100">
        <f>IF(G252="","",ABS(O252-Components!$D$5))</f>
        <v/>
      </c>
      <c r="T252" s="100">
        <f>IF(G252="","",ABS(O252-Components!$D$6))</f>
        <v/>
      </c>
      <c r="U252" s="100">
        <f>IF(G252="","",ABS(O252-Components!$D$7))</f>
        <v/>
      </c>
      <c r="V252" s="98">
        <f>IF(G252="","",IF(M252="OK","NONE",INDEX({"S1","S2","W1","W2","N1","N2"},MATCH(MIN(P252:U252),P252:U252,0))))</f>
        <v/>
      </c>
      <c r="W252" s="103">
        <f>IF(G252="","",IF(V252=E252,1,0))</f>
        <v/>
      </c>
    </row>
    <row r="253">
      <c r="A253" s="102">
        <f>'Runs Z score'!A241</f>
        <v/>
      </c>
      <c r="B253" s="98">
        <f>'Runs Z score'!B241</f>
        <v/>
      </c>
      <c r="C253" s="98">
        <f>'Runs Z score'!C241</f>
        <v/>
      </c>
      <c r="D253" s="98">
        <f>'Runs Z score'!D241</f>
        <v/>
      </c>
      <c r="E253" s="98">
        <f>'Runs Z score'!E241</f>
        <v/>
      </c>
      <c r="F253" s="98">
        <f>'Runs Z score'!F241</f>
        <v/>
      </c>
      <c r="G253" s="99">
        <f>'Runs Z score'!G241</f>
        <v/>
      </c>
      <c r="H253" s="100">
        <f>VLOOKUP(C253,Recipes!$A$2:$N$4,10,FALSE())</f>
        <v/>
      </c>
      <c r="I253" s="101">
        <f>VLOOKUP(C253,Recipes!$A$2:$N$4,12,FALSE())</f>
        <v/>
      </c>
      <c r="J253" s="101">
        <f>IF(G253="","",((G253-H253)/I253)^2)</f>
        <v/>
      </c>
      <c r="K253" s="101">
        <f>IF(G253="","",MAX(0, J253-$B$12))</f>
        <v/>
      </c>
      <c r="L253" s="100">
        <f>IF(G253="","",SQRT(K253))</f>
        <v/>
      </c>
      <c r="M253" s="98">
        <f>IF(G253="","",IF(K253&lt;=$B$10,"OK","NG"))</f>
        <v/>
      </c>
      <c r="N253" s="69">
        <f>IF(M253="","",IF(M253=D253,1,0))</f>
        <v/>
      </c>
      <c r="O253" s="100">
        <f>IF(G253="","",H253-G253)</f>
        <v/>
      </c>
      <c r="P253" s="100">
        <f>IF(G253="","",ABS(O253-Components!$D$2))</f>
        <v/>
      </c>
      <c r="Q253" s="100">
        <f>IF(G253="","",ABS(O253-Components!$D$3))</f>
        <v/>
      </c>
      <c r="R253" s="100">
        <f>IF(G253="","",ABS(O253-Components!$D$4))</f>
        <v/>
      </c>
      <c r="S253" s="100">
        <f>IF(G253="","",ABS(O253-Components!$D$5))</f>
        <v/>
      </c>
      <c r="T253" s="100">
        <f>IF(G253="","",ABS(O253-Components!$D$6))</f>
        <v/>
      </c>
      <c r="U253" s="100">
        <f>IF(G253="","",ABS(O253-Components!$D$7))</f>
        <v/>
      </c>
      <c r="V253" s="98">
        <f>IF(G253="","",IF(M253="OK","NONE",INDEX({"S1","S2","W1","W2","N1","N2"},MATCH(MIN(P253:U253),P253:U253,0))))</f>
        <v/>
      </c>
      <c r="W253" s="103">
        <f>IF(G253="","",IF(V253=E253,1,0))</f>
        <v/>
      </c>
    </row>
    <row r="254">
      <c r="A254" s="102">
        <f>'Runs Z score'!A242</f>
        <v/>
      </c>
      <c r="B254" s="98">
        <f>'Runs Z score'!B242</f>
        <v/>
      </c>
      <c r="C254" s="98">
        <f>'Runs Z score'!C242</f>
        <v/>
      </c>
      <c r="D254" s="98">
        <f>'Runs Z score'!D242</f>
        <v/>
      </c>
      <c r="E254" s="98">
        <f>'Runs Z score'!E242</f>
        <v/>
      </c>
      <c r="F254" s="98">
        <f>'Runs Z score'!F242</f>
        <v/>
      </c>
      <c r="G254" s="99">
        <f>'Runs Z score'!G242</f>
        <v/>
      </c>
      <c r="H254" s="100">
        <f>VLOOKUP(C254,Recipes!$A$2:$N$4,10,FALSE())</f>
        <v/>
      </c>
      <c r="I254" s="101">
        <f>VLOOKUP(C254,Recipes!$A$2:$N$4,12,FALSE())</f>
        <v/>
      </c>
      <c r="J254" s="101">
        <f>IF(G254="","",((G254-H254)/I254)^2)</f>
        <v/>
      </c>
      <c r="K254" s="101">
        <f>IF(G254="","",MAX(0, J254-$B$12))</f>
        <v/>
      </c>
      <c r="L254" s="100">
        <f>IF(G254="","",SQRT(K254))</f>
        <v/>
      </c>
      <c r="M254" s="98">
        <f>IF(G254="","",IF(K254&lt;=$B$10,"OK","NG"))</f>
        <v/>
      </c>
      <c r="N254" s="69">
        <f>IF(M254="","",IF(M254=D254,1,0))</f>
        <v/>
      </c>
      <c r="O254" s="100">
        <f>IF(G254="","",H254-G254)</f>
        <v/>
      </c>
      <c r="P254" s="100">
        <f>IF(G254="","",ABS(O254-Components!$D$2))</f>
        <v/>
      </c>
      <c r="Q254" s="100">
        <f>IF(G254="","",ABS(O254-Components!$D$3))</f>
        <v/>
      </c>
      <c r="R254" s="100">
        <f>IF(G254="","",ABS(O254-Components!$D$4))</f>
        <v/>
      </c>
      <c r="S254" s="100">
        <f>IF(G254="","",ABS(O254-Components!$D$5))</f>
        <v/>
      </c>
      <c r="T254" s="100">
        <f>IF(G254="","",ABS(O254-Components!$D$6))</f>
        <v/>
      </c>
      <c r="U254" s="100">
        <f>IF(G254="","",ABS(O254-Components!$D$7))</f>
        <v/>
      </c>
      <c r="V254" s="98">
        <f>IF(G254="","",IF(M254="OK","NONE",INDEX({"S1","S2","W1","W2","N1","N2"},MATCH(MIN(P254:U254),P254:U254,0))))</f>
        <v/>
      </c>
      <c r="W254" s="103">
        <f>IF(G254="","",IF(V254=E254,1,0))</f>
        <v/>
      </c>
    </row>
    <row r="255">
      <c r="A255" s="102">
        <f>'Runs Z score'!A243</f>
        <v/>
      </c>
      <c r="B255" s="98">
        <f>'Runs Z score'!B243</f>
        <v/>
      </c>
      <c r="C255" s="98">
        <f>'Runs Z score'!C243</f>
        <v/>
      </c>
      <c r="D255" s="98">
        <f>'Runs Z score'!D243</f>
        <v/>
      </c>
      <c r="E255" s="98">
        <f>'Runs Z score'!E243</f>
        <v/>
      </c>
      <c r="F255" s="98">
        <f>'Runs Z score'!F243</f>
        <v/>
      </c>
      <c r="G255" s="99">
        <f>'Runs Z score'!G243</f>
        <v/>
      </c>
      <c r="H255" s="100">
        <f>VLOOKUP(C255,Recipes!$A$2:$N$4,10,FALSE())</f>
        <v/>
      </c>
      <c r="I255" s="101">
        <f>VLOOKUP(C255,Recipes!$A$2:$N$4,12,FALSE())</f>
        <v/>
      </c>
      <c r="J255" s="101">
        <f>IF(G255="","",((G255-H255)/I255)^2)</f>
        <v/>
      </c>
      <c r="K255" s="101">
        <f>IF(G255="","",MAX(0, J255-$B$12))</f>
        <v/>
      </c>
      <c r="L255" s="100">
        <f>IF(G255="","",SQRT(K255))</f>
        <v/>
      </c>
      <c r="M255" s="98">
        <f>IF(G255="","",IF(K255&lt;=$B$10,"OK","NG"))</f>
        <v/>
      </c>
      <c r="N255" s="69">
        <f>IF(M255="","",IF(M255=D255,1,0))</f>
        <v/>
      </c>
      <c r="O255" s="100">
        <f>IF(G255="","",H255-G255)</f>
        <v/>
      </c>
      <c r="P255" s="100">
        <f>IF(G255="","",ABS(O255-Components!$D$2))</f>
        <v/>
      </c>
      <c r="Q255" s="100">
        <f>IF(G255="","",ABS(O255-Components!$D$3))</f>
        <v/>
      </c>
      <c r="R255" s="100">
        <f>IF(G255="","",ABS(O255-Components!$D$4))</f>
        <v/>
      </c>
      <c r="S255" s="100">
        <f>IF(G255="","",ABS(O255-Components!$D$5))</f>
        <v/>
      </c>
      <c r="T255" s="100">
        <f>IF(G255="","",ABS(O255-Components!$D$6))</f>
        <v/>
      </c>
      <c r="U255" s="100">
        <f>IF(G255="","",ABS(O255-Components!$D$7))</f>
        <v/>
      </c>
      <c r="V255" s="98">
        <f>IF(G255="","",IF(M255="OK","NONE",INDEX({"S1","S2","W1","W2","N1","N2"},MATCH(MIN(P255:U255),P255:U255,0))))</f>
        <v/>
      </c>
      <c r="W255" s="103">
        <f>IF(G255="","",IF(V255=E255,1,0))</f>
        <v/>
      </c>
    </row>
    <row r="256">
      <c r="A256" s="102">
        <f>'Runs Z score'!A244</f>
        <v/>
      </c>
      <c r="B256" s="98">
        <f>'Runs Z score'!B244</f>
        <v/>
      </c>
      <c r="C256" s="98">
        <f>'Runs Z score'!C244</f>
        <v/>
      </c>
      <c r="D256" s="98">
        <f>'Runs Z score'!D244</f>
        <v/>
      </c>
      <c r="E256" s="98">
        <f>'Runs Z score'!E244</f>
        <v/>
      </c>
      <c r="F256" s="98">
        <f>'Runs Z score'!F244</f>
        <v/>
      </c>
      <c r="G256" s="99">
        <f>'Runs Z score'!G244</f>
        <v/>
      </c>
      <c r="H256" s="100">
        <f>VLOOKUP(C256,Recipes!$A$2:$N$4,10,FALSE())</f>
        <v/>
      </c>
      <c r="I256" s="101">
        <f>VLOOKUP(C256,Recipes!$A$2:$N$4,12,FALSE())</f>
        <v/>
      </c>
      <c r="J256" s="101">
        <f>IF(G256="","",((G256-H256)/I256)^2)</f>
        <v/>
      </c>
      <c r="K256" s="101">
        <f>IF(G256="","",MAX(0, J256-$B$12))</f>
        <v/>
      </c>
      <c r="L256" s="100">
        <f>IF(G256="","",SQRT(K256))</f>
        <v/>
      </c>
      <c r="M256" s="98">
        <f>IF(G256="","",IF(K256&lt;=$B$10,"OK","NG"))</f>
        <v/>
      </c>
      <c r="N256" s="69">
        <f>IF(M256="","",IF(M256=D256,1,0))</f>
        <v/>
      </c>
      <c r="O256" s="100">
        <f>IF(G256="","",H256-G256)</f>
        <v/>
      </c>
      <c r="P256" s="100">
        <f>IF(G256="","",ABS(O256-Components!$D$2))</f>
        <v/>
      </c>
      <c r="Q256" s="100">
        <f>IF(G256="","",ABS(O256-Components!$D$3))</f>
        <v/>
      </c>
      <c r="R256" s="100">
        <f>IF(G256="","",ABS(O256-Components!$D$4))</f>
        <v/>
      </c>
      <c r="S256" s="100">
        <f>IF(G256="","",ABS(O256-Components!$D$5))</f>
        <v/>
      </c>
      <c r="T256" s="100">
        <f>IF(G256="","",ABS(O256-Components!$D$6))</f>
        <v/>
      </c>
      <c r="U256" s="100">
        <f>IF(G256="","",ABS(O256-Components!$D$7))</f>
        <v/>
      </c>
      <c r="V256" s="98">
        <f>IF(G256="","",IF(M256="OK","NONE",INDEX({"S1","S2","W1","W2","N1","N2"},MATCH(MIN(P256:U256),P256:U256,0))))</f>
        <v/>
      </c>
      <c r="W256" s="103">
        <f>IF(G256="","",IF(V256=E256,1,0))</f>
        <v/>
      </c>
    </row>
    <row r="257">
      <c r="A257" s="102">
        <f>'Runs Z score'!A245</f>
        <v/>
      </c>
      <c r="B257" s="98">
        <f>'Runs Z score'!B245</f>
        <v/>
      </c>
      <c r="C257" s="98">
        <f>'Runs Z score'!C245</f>
        <v/>
      </c>
      <c r="D257" s="98">
        <f>'Runs Z score'!D245</f>
        <v/>
      </c>
      <c r="E257" s="98">
        <f>'Runs Z score'!E245</f>
        <v/>
      </c>
      <c r="F257" s="98">
        <f>'Runs Z score'!F245</f>
        <v/>
      </c>
      <c r="G257" s="99">
        <f>'Runs Z score'!G245</f>
        <v/>
      </c>
      <c r="H257" s="100">
        <f>VLOOKUP(C257,Recipes!$A$2:$N$4,10,FALSE())</f>
        <v/>
      </c>
      <c r="I257" s="101">
        <f>VLOOKUP(C257,Recipes!$A$2:$N$4,12,FALSE())</f>
        <v/>
      </c>
      <c r="J257" s="101">
        <f>IF(G257="","",((G257-H257)/I257)^2)</f>
        <v/>
      </c>
      <c r="K257" s="101">
        <f>IF(G257="","",MAX(0, J257-$B$12))</f>
        <v/>
      </c>
      <c r="L257" s="100">
        <f>IF(G257="","",SQRT(K257))</f>
        <v/>
      </c>
      <c r="M257" s="98">
        <f>IF(G257="","",IF(K257&lt;=$B$10,"OK","NG"))</f>
        <v/>
      </c>
      <c r="N257" s="69">
        <f>IF(M257="","",IF(M257=D257,1,0))</f>
        <v/>
      </c>
      <c r="O257" s="100">
        <f>IF(G257="","",H257-G257)</f>
        <v/>
      </c>
      <c r="P257" s="100">
        <f>IF(G257="","",ABS(O257-Components!$D$2))</f>
        <v/>
      </c>
      <c r="Q257" s="100">
        <f>IF(G257="","",ABS(O257-Components!$D$3))</f>
        <v/>
      </c>
      <c r="R257" s="100">
        <f>IF(G257="","",ABS(O257-Components!$D$4))</f>
        <v/>
      </c>
      <c r="S257" s="100">
        <f>IF(G257="","",ABS(O257-Components!$D$5))</f>
        <v/>
      </c>
      <c r="T257" s="100">
        <f>IF(G257="","",ABS(O257-Components!$D$6))</f>
        <v/>
      </c>
      <c r="U257" s="100">
        <f>IF(G257="","",ABS(O257-Components!$D$7))</f>
        <v/>
      </c>
      <c r="V257" s="98">
        <f>IF(G257="","",IF(M257="OK","NONE",INDEX({"S1","S2","W1","W2","N1","N2"},MATCH(MIN(P257:U257),P257:U257,0))))</f>
        <v/>
      </c>
      <c r="W257" s="103">
        <f>IF(G257="","",IF(V257=E257,1,0))</f>
        <v/>
      </c>
    </row>
    <row r="258">
      <c r="A258" s="102">
        <f>'Runs Z score'!A246</f>
        <v/>
      </c>
      <c r="B258" s="98">
        <f>'Runs Z score'!B246</f>
        <v/>
      </c>
      <c r="C258" s="98">
        <f>'Runs Z score'!C246</f>
        <v/>
      </c>
      <c r="D258" s="98">
        <f>'Runs Z score'!D246</f>
        <v/>
      </c>
      <c r="E258" s="98">
        <f>'Runs Z score'!E246</f>
        <v/>
      </c>
      <c r="F258" s="98">
        <f>'Runs Z score'!F246</f>
        <v/>
      </c>
      <c r="G258" s="99">
        <f>'Runs Z score'!G246</f>
        <v/>
      </c>
      <c r="H258" s="100">
        <f>VLOOKUP(C258,Recipes!$A$2:$N$4,10,FALSE())</f>
        <v/>
      </c>
      <c r="I258" s="101">
        <f>VLOOKUP(C258,Recipes!$A$2:$N$4,12,FALSE())</f>
        <v/>
      </c>
      <c r="J258" s="101">
        <f>IF(G258="","",((G258-H258)/I258)^2)</f>
        <v/>
      </c>
      <c r="K258" s="101">
        <f>IF(G258="","",MAX(0, J258-$B$12))</f>
        <v/>
      </c>
      <c r="L258" s="100">
        <f>IF(G258="","",SQRT(K258))</f>
        <v/>
      </c>
      <c r="M258" s="98">
        <f>IF(G258="","",IF(K258&lt;=$B$10,"OK","NG"))</f>
        <v/>
      </c>
      <c r="N258" s="69">
        <f>IF(M258="","",IF(M258=D258,1,0))</f>
        <v/>
      </c>
      <c r="O258" s="100">
        <f>IF(G258="","",H258-G258)</f>
        <v/>
      </c>
      <c r="P258" s="100">
        <f>IF(G258="","",ABS(O258-Components!$D$2))</f>
        <v/>
      </c>
      <c r="Q258" s="100">
        <f>IF(G258="","",ABS(O258-Components!$D$3))</f>
        <v/>
      </c>
      <c r="R258" s="100">
        <f>IF(G258="","",ABS(O258-Components!$D$4))</f>
        <v/>
      </c>
      <c r="S258" s="100">
        <f>IF(G258="","",ABS(O258-Components!$D$5))</f>
        <v/>
      </c>
      <c r="T258" s="100">
        <f>IF(G258="","",ABS(O258-Components!$D$6))</f>
        <v/>
      </c>
      <c r="U258" s="100">
        <f>IF(G258="","",ABS(O258-Components!$D$7))</f>
        <v/>
      </c>
      <c r="V258" s="98">
        <f>IF(G258="","",IF(M258="OK","NONE",INDEX({"S1","S2","W1","W2","N1","N2"},MATCH(MIN(P258:U258),P258:U258,0))))</f>
        <v/>
      </c>
      <c r="W258" s="103">
        <f>IF(G258="","",IF(V258=E258,1,0))</f>
        <v/>
      </c>
    </row>
    <row r="259">
      <c r="A259" s="102">
        <f>'Runs Z score'!A247</f>
        <v/>
      </c>
      <c r="B259" s="98">
        <f>'Runs Z score'!B247</f>
        <v/>
      </c>
      <c r="C259" s="98">
        <f>'Runs Z score'!C247</f>
        <v/>
      </c>
      <c r="D259" s="98">
        <f>'Runs Z score'!D247</f>
        <v/>
      </c>
      <c r="E259" s="98">
        <f>'Runs Z score'!E247</f>
        <v/>
      </c>
      <c r="F259" s="98">
        <f>'Runs Z score'!F247</f>
        <v/>
      </c>
      <c r="G259" s="99">
        <f>'Runs Z score'!G247</f>
        <v/>
      </c>
      <c r="H259" s="100">
        <f>VLOOKUP(C259,Recipes!$A$2:$N$4,10,FALSE())</f>
        <v/>
      </c>
      <c r="I259" s="101">
        <f>VLOOKUP(C259,Recipes!$A$2:$N$4,12,FALSE())</f>
        <v/>
      </c>
      <c r="J259" s="101">
        <f>IF(G259="","",((G259-H259)/I259)^2)</f>
        <v/>
      </c>
      <c r="K259" s="101">
        <f>IF(G259="","",MAX(0, J259-$B$12))</f>
        <v/>
      </c>
      <c r="L259" s="100">
        <f>IF(G259="","",SQRT(K259))</f>
        <v/>
      </c>
      <c r="M259" s="98">
        <f>IF(G259="","",IF(K259&lt;=$B$10,"OK","NG"))</f>
        <v/>
      </c>
      <c r="N259" s="69">
        <f>IF(M259="","",IF(M259=D259,1,0))</f>
        <v/>
      </c>
      <c r="O259" s="100">
        <f>IF(G259="","",H259-G259)</f>
        <v/>
      </c>
      <c r="P259" s="100">
        <f>IF(G259="","",ABS(O259-Components!$D$2))</f>
        <v/>
      </c>
      <c r="Q259" s="100">
        <f>IF(G259="","",ABS(O259-Components!$D$3))</f>
        <v/>
      </c>
      <c r="R259" s="100">
        <f>IF(G259="","",ABS(O259-Components!$D$4))</f>
        <v/>
      </c>
      <c r="S259" s="100">
        <f>IF(G259="","",ABS(O259-Components!$D$5))</f>
        <v/>
      </c>
      <c r="T259" s="100">
        <f>IF(G259="","",ABS(O259-Components!$D$6))</f>
        <v/>
      </c>
      <c r="U259" s="100">
        <f>IF(G259="","",ABS(O259-Components!$D$7))</f>
        <v/>
      </c>
      <c r="V259" s="98">
        <f>IF(G259="","",IF(M259="OK","NONE",INDEX({"S1","S2","W1","W2","N1","N2"},MATCH(MIN(P259:U259),P259:U259,0))))</f>
        <v/>
      </c>
      <c r="W259" s="103">
        <f>IF(G259="","",IF(V259=E259,1,0))</f>
        <v/>
      </c>
    </row>
    <row r="260">
      <c r="A260" s="102">
        <f>'Runs Z score'!A248</f>
        <v/>
      </c>
      <c r="B260" s="98">
        <f>'Runs Z score'!B248</f>
        <v/>
      </c>
      <c r="C260" s="98">
        <f>'Runs Z score'!C248</f>
        <v/>
      </c>
      <c r="D260" s="98">
        <f>'Runs Z score'!D248</f>
        <v/>
      </c>
      <c r="E260" s="98">
        <f>'Runs Z score'!E248</f>
        <v/>
      </c>
      <c r="F260" s="98">
        <f>'Runs Z score'!F248</f>
        <v/>
      </c>
      <c r="G260" s="99">
        <f>'Runs Z score'!G248</f>
        <v/>
      </c>
      <c r="H260" s="100">
        <f>VLOOKUP(C260,Recipes!$A$2:$N$4,10,FALSE())</f>
        <v/>
      </c>
      <c r="I260" s="101">
        <f>VLOOKUP(C260,Recipes!$A$2:$N$4,12,FALSE())</f>
        <v/>
      </c>
      <c r="J260" s="101">
        <f>IF(G260="","",((G260-H260)/I260)^2)</f>
        <v/>
      </c>
      <c r="K260" s="101">
        <f>IF(G260="","",MAX(0, J260-$B$12))</f>
        <v/>
      </c>
      <c r="L260" s="100">
        <f>IF(G260="","",SQRT(K260))</f>
        <v/>
      </c>
      <c r="M260" s="98">
        <f>IF(G260="","",IF(K260&lt;=$B$10,"OK","NG"))</f>
        <v/>
      </c>
      <c r="N260" s="69">
        <f>IF(M260="","",IF(M260=D260,1,0))</f>
        <v/>
      </c>
      <c r="O260" s="100">
        <f>IF(G260="","",H260-G260)</f>
        <v/>
      </c>
      <c r="P260" s="100">
        <f>IF(G260="","",ABS(O260-Components!$D$2))</f>
        <v/>
      </c>
      <c r="Q260" s="100">
        <f>IF(G260="","",ABS(O260-Components!$D$3))</f>
        <v/>
      </c>
      <c r="R260" s="100">
        <f>IF(G260="","",ABS(O260-Components!$D$4))</f>
        <v/>
      </c>
      <c r="S260" s="100">
        <f>IF(G260="","",ABS(O260-Components!$D$5))</f>
        <v/>
      </c>
      <c r="T260" s="100">
        <f>IF(G260="","",ABS(O260-Components!$D$6))</f>
        <v/>
      </c>
      <c r="U260" s="100">
        <f>IF(G260="","",ABS(O260-Components!$D$7))</f>
        <v/>
      </c>
      <c r="V260" s="98">
        <f>IF(G260="","",IF(M260="OK","NONE",INDEX({"S1","S2","W1","W2","N1","N2"},MATCH(MIN(P260:U260),P260:U260,0))))</f>
        <v/>
      </c>
      <c r="W260" s="103">
        <f>IF(G260="","",IF(V260=E260,1,0))</f>
        <v/>
      </c>
    </row>
    <row r="261">
      <c r="A261" s="102">
        <f>'Runs Z score'!A249</f>
        <v/>
      </c>
      <c r="B261" s="98">
        <f>'Runs Z score'!B249</f>
        <v/>
      </c>
      <c r="C261" s="98">
        <f>'Runs Z score'!C249</f>
        <v/>
      </c>
      <c r="D261" s="98">
        <f>'Runs Z score'!D249</f>
        <v/>
      </c>
      <c r="E261" s="98">
        <f>'Runs Z score'!E249</f>
        <v/>
      </c>
      <c r="F261" s="98">
        <f>'Runs Z score'!F249</f>
        <v/>
      </c>
      <c r="G261" s="99">
        <f>'Runs Z score'!G249</f>
        <v/>
      </c>
      <c r="H261" s="100">
        <f>VLOOKUP(C261,Recipes!$A$2:$N$4,10,FALSE())</f>
        <v/>
      </c>
      <c r="I261" s="101">
        <f>VLOOKUP(C261,Recipes!$A$2:$N$4,12,FALSE())</f>
        <v/>
      </c>
      <c r="J261" s="101">
        <f>IF(G261="","",((G261-H261)/I261)^2)</f>
        <v/>
      </c>
      <c r="K261" s="101">
        <f>IF(G261="","",MAX(0, J261-$B$12))</f>
        <v/>
      </c>
      <c r="L261" s="100">
        <f>IF(G261="","",SQRT(K261))</f>
        <v/>
      </c>
      <c r="M261" s="98">
        <f>IF(G261="","",IF(K261&lt;=$B$10,"OK","NG"))</f>
        <v/>
      </c>
      <c r="N261" s="69">
        <f>IF(M261="","",IF(M261=D261,1,0))</f>
        <v/>
      </c>
      <c r="O261" s="100">
        <f>IF(G261="","",H261-G261)</f>
        <v/>
      </c>
      <c r="P261" s="100">
        <f>IF(G261="","",ABS(O261-Components!$D$2))</f>
        <v/>
      </c>
      <c r="Q261" s="100">
        <f>IF(G261="","",ABS(O261-Components!$D$3))</f>
        <v/>
      </c>
      <c r="R261" s="100">
        <f>IF(G261="","",ABS(O261-Components!$D$4))</f>
        <v/>
      </c>
      <c r="S261" s="100">
        <f>IF(G261="","",ABS(O261-Components!$D$5))</f>
        <v/>
      </c>
      <c r="T261" s="100">
        <f>IF(G261="","",ABS(O261-Components!$D$6))</f>
        <v/>
      </c>
      <c r="U261" s="100">
        <f>IF(G261="","",ABS(O261-Components!$D$7))</f>
        <v/>
      </c>
      <c r="V261" s="98">
        <f>IF(G261="","",IF(M261="OK","NONE",INDEX({"S1","S2","W1","W2","N1","N2"},MATCH(MIN(P261:U261),P261:U261,0))))</f>
        <v/>
      </c>
      <c r="W261" s="103">
        <f>IF(G261="","",IF(V261=E261,1,0))</f>
        <v/>
      </c>
    </row>
    <row r="262">
      <c r="A262" s="102">
        <f>'Runs Z score'!A250</f>
        <v/>
      </c>
      <c r="B262" s="98">
        <f>'Runs Z score'!B250</f>
        <v/>
      </c>
      <c r="C262" s="98">
        <f>'Runs Z score'!C250</f>
        <v/>
      </c>
      <c r="D262" s="98">
        <f>'Runs Z score'!D250</f>
        <v/>
      </c>
      <c r="E262" s="98">
        <f>'Runs Z score'!E250</f>
        <v/>
      </c>
      <c r="F262" s="98">
        <f>'Runs Z score'!F250</f>
        <v/>
      </c>
      <c r="G262" s="99">
        <f>'Runs Z score'!G250</f>
        <v/>
      </c>
      <c r="H262" s="100">
        <f>VLOOKUP(C262,Recipes!$A$2:$N$4,10,FALSE())</f>
        <v/>
      </c>
      <c r="I262" s="101">
        <f>VLOOKUP(C262,Recipes!$A$2:$N$4,12,FALSE())</f>
        <v/>
      </c>
      <c r="J262" s="101">
        <f>IF(G262="","",((G262-H262)/I262)^2)</f>
        <v/>
      </c>
      <c r="K262" s="101">
        <f>IF(G262="","",MAX(0, J262-$B$12))</f>
        <v/>
      </c>
      <c r="L262" s="100">
        <f>IF(G262="","",SQRT(K262))</f>
        <v/>
      </c>
      <c r="M262" s="98">
        <f>IF(G262="","",IF(K262&lt;=$B$10,"OK","NG"))</f>
        <v/>
      </c>
      <c r="N262" s="69">
        <f>IF(M262="","",IF(M262=D262,1,0))</f>
        <v/>
      </c>
      <c r="O262" s="100">
        <f>IF(G262="","",H262-G262)</f>
        <v/>
      </c>
      <c r="P262" s="100">
        <f>IF(G262="","",ABS(O262-Components!$D$2))</f>
        <v/>
      </c>
      <c r="Q262" s="100">
        <f>IF(G262="","",ABS(O262-Components!$D$3))</f>
        <v/>
      </c>
      <c r="R262" s="100">
        <f>IF(G262="","",ABS(O262-Components!$D$4))</f>
        <v/>
      </c>
      <c r="S262" s="100">
        <f>IF(G262="","",ABS(O262-Components!$D$5))</f>
        <v/>
      </c>
      <c r="T262" s="100">
        <f>IF(G262="","",ABS(O262-Components!$D$6))</f>
        <v/>
      </c>
      <c r="U262" s="100">
        <f>IF(G262="","",ABS(O262-Components!$D$7))</f>
        <v/>
      </c>
      <c r="V262" s="98">
        <f>IF(G262="","",IF(M262="OK","NONE",INDEX({"S1","S2","W1","W2","N1","N2"},MATCH(MIN(P262:U262),P262:U262,0))))</f>
        <v/>
      </c>
      <c r="W262" s="103">
        <f>IF(G262="","",IF(V262=E262,1,0))</f>
        <v/>
      </c>
    </row>
    <row r="263">
      <c r="A263" s="102">
        <f>'Runs Z score'!A251</f>
        <v/>
      </c>
      <c r="B263" s="98">
        <f>'Runs Z score'!B251</f>
        <v/>
      </c>
      <c r="C263" s="98">
        <f>'Runs Z score'!C251</f>
        <v/>
      </c>
      <c r="D263" s="98">
        <f>'Runs Z score'!D251</f>
        <v/>
      </c>
      <c r="E263" s="98">
        <f>'Runs Z score'!E251</f>
        <v/>
      </c>
      <c r="F263" s="98">
        <f>'Runs Z score'!F251</f>
        <v/>
      </c>
      <c r="G263" s="99">
        <f>'Runs Z score'!G251</f>
        <v/>
      </c>
      <c r="H263" s="100">
        <f>VLOOKUP(C263,Recipes!$A$2:$N$4,10,FALSE())</f>
        <v/>
      </c>
      <c r="I263" s="101">
        <f>VLOOKUP(C263,Recipes!$A$2:$N$4,12,FALSE())</f>
        <v/>
      </c>
      <c r="J263" s="101">
        <f>IF(G263="","",((G263-H263)/I263)^2)</f>
        <v/>
      </c>
      <c r="K263" s="101">
        <f>IF(G263="","",MAX(0, J263-$B$12))</f>
        <v/>
      </c>
      <c r="L263" s="100">
        <f>IF(G263="","",SQRT(K263))</f>
        <v/>
      </c>
      <c r="M263" s="98">
        <f>IF(G263="","",IF(K263&lt;=$B$10,"OK","NG"))</f>
        <v/>
      </c>
      <c r="N263" s="69">
        <f>IF(M263="","",IF(M263=D263,1,0))</f>
        <v/>
      </c>
      <c r="O263" s="100">
        <f>IF(G263="","",H263-G263)</f>
        <v/>
      </c>
      <c r="P263" s="100">
        <f>IF(G263="","",ABS(O263-Components!$D$2))</f>
        <v/>
      </c>
      <c r="Q263" s="100">
        <f>IF(G263="","",ABS(O263-Components!$D$3))</f>
        <v/>
      </c>
      <c r="R263" s="100">
        <f>IF(G263="","",ABS(O263-Components!$D$4))</f>
        <v/>
      </c>
      <c r="S263" s="100">
        <f>IF(G263="","",ABS(O263-Components!$D$5))</f>
        <v/>
      </c>
      <c r="T263" s="100">
        <f>IF(G263="","",ABS(O263-Components!$D$6))</f>
        <v/>
      </c>
      <c r="U263" s="100">
        <f>IF(G263="","",ABS(O263-Components!$D$7))</f>
        <v/>
      </c>
      <c r="V263" s="98">
        <f>IF(G263="","",IF(M263="OK","NONE",INDEX({"S1","S2","W1","W2","N1","N2"},MATCH(MIN(P263:U263),P263:U263,0))))</f>
        <v/>
      </c>
      <c r="W263" s="103">
        <f>IF(G263="","",IF(V263=E263,1,0))</f>
        <v/>
      </c>
    </row>
    <row r="264">
      <c r="A264" s="102">
        <f>'Runs Z score'!A252</f>
        <v/>
      </c>
      <c r="B264" s="98">
        <f>'Runs Z score'!B252</f>
        <v/>
      </c>
      <c r="C264" s="98">
        <f>'Runs Z score'!C252</f>
        <v/>
      </c>
      <c r="D264" s="98">
        <f>'Runs Z score'!D252</f>
        <v/>
      </c>
      <c r="E264" s="98">
        <f>'Runs Z score'!E252</f>
        <v/>
      </c>
      <c r="F264" s="98">
        <f>'Runs Z score'!F252</f>
        <v/>
      </c>
      <c r="G264" s="99">
        <f>'Runs Z score'!G252</f>
        <v/>
      </c>
      <c r="H264" s="100">
        <f>VLOOKUP(C264,Recipes!$A$2:$N$4,10,FALSE())</f>
        <v/>
      </c>
      <c r="I264" s="101">
        <f>VLOOKUP(C264,Recipes!$A$2:$N$4,12,FALSE())</f>
        <v/>
      </c>
      <c r="J264" s="101">
        <f>IF(G264="","",((G264-H264)/I264)^2)</f>
        <v/>
      </c>
      <c r="K264" s="101">
        <f>IF(G264="","",MAX(0, J264-$B$12))</f>
        <v/>
      </c>
      <c r="L264" s="100">
        <f>IF(G264="","",SQRT(K264))</f>
        <v/>
      </c>
      <c r="M264" s="98">
        <f>IF(G264="","",IF(K264&lt;=$B$10,"OK","NG"))</f>
        <v/>
      </c>
      <c r="N264" s="69">
        <f>IF(M264="","",IF(M264=D264,1,0))</f>
        <v/>
      </c>
      <c r="O264" s="100">
        <f>IF(G264="","",H264-G264)</f>
        <v/>
      </c>
      <c r="P264" s="100">
        <f>IF(G264="","",ABS(O264-Components!$D$2))</f>
        <v/>
      </c>
      <c r="Q264" s="100">
        <f>IF(G264="","",ABS(O264-Components!$D$3))</f>
        <v/>
      </c>
      <c r="R264" s="100">
        <f>IF(G264="","",ABS(O264-Components!$D$4))</f>
        <v/>
      </c>
      <c r="S264" s="100">
        <f>IF(G264="","",ABS(O264-Components!$D$5))</f>
        <v/>
      </c>
      <c r="T264" s="100">
        <f>IF(G264="","",ABS(O264-Components!$D$6))</f>
        <v/>
      </c>
      <c r="U264" s="100">
        <f>IF(G264="","",ABS(O264-Components!$D$7))</f>
        <v/>
      </c>
      <c r="V264" s="98">
        <f>IF(G264="","",IF(M264="OK","NONE",INDEX({"S1","S2","W1","W2","N1","N2"},MATCH(MIN(P264:U264),P264:U264,0))))</f>
        <v/>
      </c>
      <c r="W264" s="103">
        <f>IF(G264="","",IF(V264=E264,1,0))</f>
        <v/>
      </c>
    </row>
    <row r="265">
      <c r="A265" s="102">
        <f>'Runs Z score'!A253</f>
        <v/>
      </c>
      <c r="B265" s="98">
        <f>'Runs Z score'!B253</f>
        <v/>
      </c>
      <c r="C265" s="98">
        <f>'Runs Z score'!C253</f>
        <v/>
      </c>
      <c r="D265" s="98">
        <f>'Runs Z score'!D253</f>
        <v/>
      </c>
      <c r="E265" s="98">
        <f>'Runs Z score'!E253</f>
        <v/>
      </c>
      <c r="F265" s="98">
        <f>'Runs Z score'!F253</f>
        <v/>
      </c>
      <c r="G265" s="99">
        <f>'Runs Z score'!G253</f>
        <v/>
      </c>
      <c r="H265" s="100">
        <f>VLOOKUP(C265,Recipes!$A$2:$N$4,10,FALSE())</f>
        <v/>
      </c>
      <c r="I265" s="101">
        <f>VLOOKUP(C265,Recipes!$A$2:$N$4,12,FALSE())</f>
        <v/>
      </c>
      <c r="J265" s="101">
        <f>IF(G265="","",((G265-H265)/I265)^2)</f>
        <v/>
      </c>
      <c r="K265" s="101">
        <f>IF(G265="","",MAX(0, J265-$B$12))</f>
        <v/>
      </c>
      <c r="L265" s="100">
        <f>IF(G265="","",SQRT(K265))</f>
        <v/>
      </c>
      <c r="M265" s="98">
        <f>IF(G265="","",IF(K265&lt;=$B$10,"OK","NG"))</f>
        <v/>
      </c>
      <c r="N265" s="69">
        <f>IF(M265="","",IF(M265=D265,1,0))</f>
        <v/>
      </c>
      <c r="O265" s="100">
        <f>IF(G265="","",H265-G265)</f>
        <v/>
      </c>
      <c r="P265" s="100">
        <f>IF(G265="","",ABS(O265-Components!$D$2))</f>
        <v/>
      </c>
      <c r="Q265" s="100">
        <f>IF(G265="","",ABS(O265-Components!$D$3))</f>
        <v/>
      </c>
      <c r="R265" s="100">
        <f>IF(G265="","",ABS(O265-Components!$D$4))</f>
        <v/>
      </c>
      <c r="S265" s="100">
        <f>IF(G265="","",ABS(O265-Components!$D$5))</f>
        <v/>
      </c>
      <c r="T265" s="100">
        <f>IF(G265="","",ABS(O265-Components!$D$6))</f>
        <v/>
      </c>
      <c r="U265" s="100">
        <f>IF(G265="","",ABS(O265-Components!$D$7))</f>
        <v/>
      </c>
      <c r="V265" s="98">
        <f>IF(G265="","",IF(M265="OK","NONE",INDEX({"S1","S2","W1","W2","N1","N2"},MATCH(MIN(P265:U265),P265:U265,0))))</f>
        <v/>
      </c>
      <c r="W265" s="103">
        <f>IF(G265="","",IF(V265=E265,1,0))</f>
        <v/>
      </c>
    </row>
    <row r="266">
      <c r="A266" s="102">
        <f>'Runs Z score'!A254</f>
        <v/>
      </c>
      <c r="B266" s="98">
        <f>'Runs Z score'!B254</f>
        <v/>
      </c>
      <c r="C266" s="98">
        <f>'Runs Z score'!C254</f>
        <v/>
      </c>
      <c r="D266" s="98">
        <f>'Runs Z score'!D254</f>
        <v/>
      </c>
      <c r="E266" s="98">
        <f>'Runs Z score'!E254</f>
        <v/>
      </c>
      <c r="F266" s="98">
        <f>'Runs Z score'!F254</f>
        <v/>
      </c>
      <c r="G266" s="99">
        <f>'Runs Z score'!G254</f>
        <v/>
      </c>
      <c r="H266" s="100">
        <f>VLOOKUP(C266,Recipes!$A$2:$N$4,10,FALSE())</f>
        <v/>
      </c>
      <c r="I266" s="101">
        <f>VLOOKUP(C266,Recipes!$A$2:$N$4,12,FALSE())</f>
        <v/>
      </c>
      <c r="J266" s="101">
        <f>IF(G266="","",((G266-H266)/I266)^2)</f>
        <v/>
      </c>
      <c r="K266" s="101">
        <f>IF(G266="","",MAX(0, J266-$B$12))</f>
        <v/>
      </c>
      <c r="L266" s="100">
        <f>IF(G266="","",SQRT(K266))</f>
        <v/>
      </c>
      <c r="M266" s="98">
        <f>IF(G266="","",IF(K266&lt;=$B$10,"OK","NG"))</f>
        <v/>
      </c>
      <c r="N266" s="69">
        <f>IF(M266="","",IF(M266=D266,1,0))</f>
        <v/>
      </c>
      <c r="O266" s="100">
        <f>IF(G266="","",H266-G266)</f>
        <v/>
      </c>
      <c r="P266" s="100">
        <f>IF(G266="","",ABS(O266-Components!$D$2))</f>
        <v/>
      </c>
      <c r="Q266" s="100">
        <f>IF(G266="","",ABS(O266-Components!$D$3))</f>
        <v/>
      </c>
      <c r="R266" s="100">
        <f>IF(G266="","",ABS(O266-Components!$D$4))</f>
        <v/>
      </c>
      <c r="S266" s="100">
        <f>IF(G266="","",ABS(O266-Components!$D$5))</f>
        <v/>
      </c>
      <c r="T266" s="100">
        <f>IF(G266="","",ABS(O266-Components!$D$6))</f>
        <v/>
      </c>
      <c r="U266" s="100">
        <f>IF(G266="","",ABS(O266-Components!$D$7))</f>
        <v/>
      </c>
      <c r="V266" s="98">
        <f>IF(G266="","",IF(M266="OK","NONE",INDEX({"S1","S2","W1","W2","N1","N2"},MATCH(MIN(P266:U266),P266:U266,0))))</f>
        <v/>
      </c>
      <c r="W266" s="103">
        <f>IF(G266="","",IF(V266=E266,1,0))</f>
        <v/>
      </c>
    </row>
    <row r="267">
      <c r="A267" s="102">
        <f>'Runs Z score'!A255</f>
        <v/>
      </c>
      <c r="B267" s="98">
        <f>'Runs Z score'!B255</f>
        <v/>
      </c>
      <c r="C267" s="98">
        <f>'Runs Z score'!C255</f>
        <v/>
      </c>
      <c r="D267" s="98">
        <f>'Runs Z score'!D255</f>
        <v/>
      </c>
      <c r="E267" s="98">
        <f>'Runs Z score'!E255</f>
        <v/>
      </c>
      <c r="F267" s="98">
        <f>'Runs Z score'!F255</f>
        <v/>
      </c>
      <c r="G267" s="99">
        <f>'Runs Z score'!G255</f>
        <v/>
      </c>
      <c r="H267" s="100">
        <f>VLOOKUP(C267,Recipes!$A$2:$N$4,10,FALSE())</f>
        <v/>
      </c>
      <c r="I267" s="101">
        <f>VLOOKUP(C267,Recipes!$A$2:$N$4,12,FALSE())</f>
        <v/>
      </c>
      <c r="J267" s="101">
        <f>IF(G267="","",((G267-H267)/I267)^2)</f>
        <v/>
      </c>
      <c r="K267" s="101">
        <f>IF(G267="","",MAX(0, J267-$B$12))</f>
        <v/>
      </c>
      <c r="L267" s="100">
        <f>IF(G267="","",SQRT(K267))</f>
        <v/>
      </c>
      <c r="M267" s="98">
        <f>IF(G267="","",IF(K267&lt;=$B$10,"OK","NG"))</f>
        <v/>
      </c>
      <c r="N267" s="69">
        <f>IF(M267="","",IF(M267=D267,1,0))</f>
        <v/>
      </c>
      <c r="O267" s="100">
        <f>IF(G267="","",H267-G267)</f>
        <v/>
      </c>
      <c r="P267" s="100">
        <f>IF(G267="","",ABS(O267-Components!$D$2))</f>
        <v/>
      </c>
      <c r="Q267" s="100">
        <f>IF(G267="","",ABS(O267-Components!$D$3))</f>
        <v/>
      </c>
      <c r="R267" s="100">
        <f>IF(G267="","",ABS(O267-Components!$D$4))</f>
        <v/>
      </c>
      <c r="S267" s="100">
        <f>IF(G267="","",ABS(O267-Components!$D$5))</f>
        <v/>
      </c>
      <c r="T267" s="100">
        <f>IF(G267="","",ABS(O267-Components!$D$6))</f>
        <v/>
      </c>
      <c r="U267" s="100">
        <f>IF(G267="","",ABS(O267-Components!$D$7))</f>
        <v/>
      </c>
      <c r="V267" s="98">
        <f>IF(G267="","",IF(M267="OK","NONE",INDEX({"S1","S2","W1","W2","N1","N2"},MATCH(MIN(P267:U267),P267:U267,0))))</f>
        <v/>
      </c>
      <c r="W267" s="103">
        <f>IF(G267="","",IF(V267=E267,1,0))</f>
        <v/>
      </c>
    </row>
    <row r="268">
      <c r="A268" s="102">
        <f>'Runs Z score'!A256</f>
        <v/>
      </c>
      <c r="B268" s="98">
        <f>'Runs Z score'!B256</f>
        <v/>
      </c>
      <c r="C268" s="98">
        <f>'Runs Z score'!C256</f>
        <v/>
      </c>
      <c r="D268" s="98">
        <f>'Runs Z score'!D256</f>
        <v/>
      </c>
      <c r="E268" s="98">
        <f>'Runs Z score'!E256</f>
        <v/>
      </c>
      <c r="F268" s="98">
        <f>'Runs Z score'!F256</f>
        <v/>
      </c>
      <c r="G268" s="99">
        <f>'Runs Z score'!G256</f>
        <v/>
      </c>
      <c r="H268" s="100">
        <f>VLOOKUP(C268,Recipes!$A$2:$N$4,10,FALSE())</f>
        <v/>
      </c>
      <c r="I268" s="101">
        <f>VLOOKUP(C268,Recipes!$A$2:$N$4,12,FALSE())</f>
        <v/>
      </c>
      <c r="J268" s="101">
        <f>IF(G268="","",((G268-H268)/I268)^2)</f>
        <v/>
      </c>
      <c r="K268" s="101">
        <f>IF(G268="","",MAX(0, J268-$B$12))</f>
        <v/>
      </c>
      <c r="L268" s="100">
        <f>IF(G268="","",SQRT(K268))</f>
        <v/>
      </c>
      <c r="M268" s="98">
        <f>IF(G268="","",IF(K268&lt;=$B$10,"OK","NG"))</f>
        <v/>
      </c>
      <c r="N268" s="69">
        <f>IF(M268="","",IF(M268=D268,1,0))</f>
        <v/>
      </c>
      <c r="O268" s="100">
        <f>IF(G268="","",H268-G268)</f>
        <v/>
      </c>
      <c r="P268" s="100">
        <f>IF(G268="","",ABS(O268-Components!$D$2))</f>
        <v/>
      </c>
      <c r="Q268" s="100">
        <f>IF(G268="","",ABS(O268-Components!$D$3))</f>
        <v/>
      </c>
      <c r="R268" s="100">
        <f>IF(G268="","",ABS(O268-Components!$D$4))</f>
        <v/>
      </c>
      <c r="S268" s="100">
        <f>IF(G268="","",ABS(O268-Components!$D$5))</f>
        <v/>
      </c>
      <c r="T268" s="100">
        <f>IF(G268="","",ABS(O268-Components!$D$6))</f>
        <v/>
      </c>
      <c r="U268" s="100">
        <f>IF(G268="","",ABS(O268-Components!$D$7))</f>
        <v/>
      </c>
      <c r="V268" s="98">
        <f>IF(G268="","",IF(M268="OK","NONE",INDEX({"S1","S2","W1","W2","N1","N2"},MATCH(MIN(P268:U268),P268:U268,0))))</f>
        <v/>
      </c>
      <c r="W268" s="103">
        <f>IF(G268="","",IF(V268=E268,1,0))</f>
        <v/>
      </c>
    </row>
    <row r="269">
      <c r="A269" s="102">
        <f>'Runs Z score'!A257</f>
        <v/>
      </c>
      <c r="B269" s="98">
        <f>'Runs Z score'!B257</f>
        <v/>
      </c>
      <c r="C269" s="98">
        <f>'Runs Z score'!C257</f>
        <v/>
      </c>
      <c r="D269" s="98">
        <f>'Runs Z score'!D257</f>
        <v/>
      </c>
      <c r="E269" s="98">
        <f>'Runs Z score'!E257</f>
        <v/>
      </c>
      <c r="F269" s="98">
        <f>'Runs Z score'!F257</f>
        <v/>
      </c>
      <c r="G269" s="99">
        <f>'Runs Z score'!G257</f>
        <v/>
      </c>
      <c r="H269" s="100">
        <f>VLOOKUP(C269,Recipes!$A$2:$N$4,10,FALSE())</f>
        <v/>
      </c>
      <c r="I269" s="101">
        <f>VLOOKUP(C269,Recipes!$A$2:$N$4,12,FALSE())</f>
        <v/>
      </c>
      <c r="J269" s="101">
        <f>IF(G269="","",((G269-H269)/I269)^2)</f>
        <v/>
      </c>
      <c r="K269" s="101">
        <f>IF(G269="","",MAX(0, J269-$B$12))</f>
        <v/>
      </c>
      <c r="L269" s="100">
        <f>IF(G269="","",SQRT(K269))</f>
        <v/>
      </c>
      <c r="M269" s="98">
        <f>IF(G269="","",IF(K269&lt;=$B$10,"OK","NG"))</f>
        <v/>
      </c>
      <c r="N269" s="69">
        <f>IF(M269="","",IF(M269=D269,1,0))</f>
        <v/>
      </c>
      <c r="O269" s="100">
        <f>IF(G269="","",H269-G269)</f>
        <v/>
      </c>
      <c r="P269" s="100">
        <f>IF(G269="","",ABS(O269-Components!$D$2))</f>
        <v/>
      </c>
      <c r="Q269" s="100">
        <f>IF(G269="","",ABS(O269-Components!$D$3))</f>
        <v/>
      </c>
      <c r="R269" s="100">
        <f>IF(G269="","",ABS(O269-Components!$D$4))</f>
        <v/>
      </c>
      <c r="S269" s="100">
        <f>IF(G269="","",ABS(O269-Components!$D$5))</f>
        <v/>
      </c>
      <c r="T269" s="100">
        <f>IF(G269="","",ABS(O269-Components!$D$6))</f>
        <v/>
      </c>
      <c r="U269" s="100">
        <f>IF(G269="","",ABS(O269-Components!$D$7))</f>
        <v/>
      </c>
      <c r="V269" s="98">
        <f>IF(G269="","",IF(M269="OK","NONE",INDEX({"S1","S2","W1","W2","N1","N2"},MATCH(MIN(P269:U269),P269:U269,0))))</f>
        <v/>
      </c>
      <c r="W269" s="103">
        <f>IF(G269="","",IF(V269=E269,1,0))</f>
        <v/>
      </c>
    </row>
    <row r="270">
      <c r="A270" s="102">
        <f>'Runs Z score'!A258</f>
        <v/>
      </c>
      <c r="B270" s="98">
        <f>'Runs Z score'!B258</f>
        <v/>
      </c>
      <c r="C270" s="98">
        <f>'Runs Z score'!C258</f>
        <v/>
      </c>
      <c r="D270" s="98">
        <f>'Runs Z score'!D258</f>
        <v/>
      </c>
      <c r="E270" s="98">
        <f>'Runs Z score'!E258</f>
        <v/>
      </c>
      <c r="F270" s="98">
        <f>'Runs Z score'!F258</f>
        <v/>
      </c>
      <c r="G270" s="99">
        <f>'Runs Z score'!G258</f>
        <v/>
      </c>
      <c r="H270" s="100">
        <f>VLOOKUP(C270,Recipes!$A$2:$N$4,10,FALSE())</f>
        <v/>
      </c>
      <c r="I270" s="101">
        <f>VLOOKUP(C270,Recipes!$A$2:$N$4,12,FALSE())</f>
        <v/>
      </c>
      <c r="J270" s="101">
        <f>IF(G270="","",((G270-H270)/I270)^2)</f>
        <v/>
      </c>
      <c r="K270" s="101">
        <f>IF(G270="","",MAX(0, J270-$B$12))</f>
        <v/>
      </c>
      <c r="L270" s="100">
        <f>IF(G270="","",SQRT(K270))</f>
        <v/>
      </c>
      <c r="M270" s="98">
        <f>IF(G270="","",IF(K270&lt;=$B$10,"OK","NG"))</f>
        <v/>
      </c>
      <c r="N270" s="69">
        <f>IF(M270="","",IF(M270=D270,1,0))</f>
        <v/>
      </c>
      <c r="O270" s="100">
        <f>IF(G270="","",H270-G270)</f>
        <v/>
      </c>
      <c r="P270" s="100">
        <f>IF(G270="","",ABS(O270-Components!$D$2))</f>
        <v/>
      </c>
      <c r="Q270" s="100">
        <f>IF(G270="","",ABS(O270-Components!$D$3))</f>
        <v/>
      </c>
      <c r="R270" s="100">
        <f>IF(G270="","",ABS(O270-Components!$D$4))</f>
        <v/>
      </c>
      <c r="S270" s="100">
        <f>IF(G270="","",ABS(O270-Components!$D$5))</f>
        <v/>
      </c>
      <c r="T270" s="100">
        <f>IF(G270="","",ABS(O270-Components!$D$6))</f>
        <v/>
      </c>
      <c r="U270" s="100">
        <f>IF(G270="","",ABS(O270-Components!$D$7))</f>
        <v/>
      </c>
      <c r="V270" s="98">
        <f>IF(G270="","",IF(M270="OK","NONE",INDEX({"S1","S2","W1","W2","N1","N2"},MATCH(MIN(P270:U270),P270:U270,0))))</f>
        <v/>
      </c>
      <c r="W270" s="103">
        <f>IF(G270="","",IF(V270=E270,1,0))</f>
        <v/>
      </c>
    </row>
    <row r="271">
      <c r="A271" s="102">
        <f>'Runs Z score'!A259</f>
        <v/>
      </c>
      <c r="B271" s="98">
        <f>'Runs Z score'!B259</f>
        <v/>
      </c>
      <c r="C271" s="98">
        <f>'Runs Z score'!C259</f>
        <v/>
      </c>
      <c r="D271" s="98">
        <f>'Runs Z score'!D259</f>
        <v/>
      </c>
      <c r="E271" s="98">
        <f>'Runs Z score'!E259</f>
        <v/>
      </c>
      <c r="F271" s="98">
        <f>'Runs Z score'!F259</f>
        <v/>
      </c>
      <c r="G271" s="99">
        <f>'Runs Z score'!G259</f>
        <v/>
      </c>
      <c r="H271" s="100">
        <f>VLOOKUP(C271,Recipes!$A$2:$N$4,10,FALSE())</f>
        <v/>
      </c>
      <c r="I271" s="101">
        <f>VLOOKUP(C271,Recipes!$A$2:$N$4,12,FALSE())</f>
        <v/>
      </c>
      <c r="J271" s="101">
        <f>IF(G271="","",((G271-H271)/I271)^2)</f>
        <v/>
      </c>
      <c r="K271" s="101">
        <f>IF(G271="","",MAX(0, J271-$B$12))</f>
        <v/>
      </c>
      <c r="L271" s="100">
        <f>IF(G271="","",SQRT(K271))</f>
        <v/>
      </c>
      <c r="M271" s="98">
        <f>IF(G271="","",IF(K271&lt;=$B$10,"OK","NG"))</f>
        <v/>
      </c>
      <c r="N271" s="69">
        <f>IF(M271="","",IF(M271=D271,1,0))</f>
        <v/>
      </c>
      <c r="O271" s="100">
        <f>IF(G271="","",H271-G271)</f>
        <v/>
      </c>
      <c r="P271" s="100">
        <f>IF(G271="","",ABS(O271-Components!$D$2))</f>
        <v/>
      </c>
      <c r="Q271" s="100">
        <f>IF(G271="","",ABS(O271-Components!$D$3))</f>
        <v/>
      </c>
      <c r="R271" s="100">
        <f>IF(G271="","",ABS(O271-Components!$D$4))</f>
        <v/>
      </c>
      <c r="S271" s="100">
        <f>IF(G271="","",ABS(O271-Components!$D$5))</f>
        <v/>
      </c>
      <c r="T271" s="100">
        <f>IF(G271="","",ABS(O271-Components!$D$6))</f>
        <v/>
      </c>
      <c r="U271" s="100">
        <f>IF(G271="","",ABS(O271-Components!$D$7))</f>
        <v/>
      </c>
      <c r="V271" s="98">
        <f>IF(G271="","",IF(M271="OK","NONE",INDEX({"S1","S2","W1","W2","N1","N2"},MATCH(MIN(P271:U271),P271:U271,0))))</f>
        <v/>
      </c>
      <c r="W271" s="103">
        <f>IF(G271="","",IF(V271=E271,1,0))</f>
        <v/>
      </c>
    </row>
    <row r="272">
      <c r="A272" s="102">
        <f>'Runs Z score'!A260</f>
        <v/>
      </c>
      <c r="B272" s="98">
        <f>'Runs Z score'!B260</f>
        <v/>
      </c>
      <c r="C272" s="98">
        <f>'Runs Z score'!C260</f>
        <v/>
      </c>
      <c r="D272" s="98">
        <f>'Runs Z score'!D260</f>
        <v/>
      </c>
      <c r="E272" s="98">
        <f>'Runs Z score'!E260</f>
        <v/>
      </c>
      <c r="F272" s="98">
        <f>'Runs Z score'!F260</f>
        <v/>
      </c>
      <c r="G272" s="99">
        <f>'Runs Z score'!G260</f>
        <v/>
      </c>
      <c r="H272" s="100">
        <f>VLOOKUP(C272,Recipes!$A$2:$N$4,10,FALSE())</f>
        <v/>
      </c>
      <c r="I272" s="101">
        <f>VLOOKUP(C272,Recipes!$A$2:$N$4,12,FALSE())</f>
        <v/>
      </c>
      <c r="J272" s="101">
        <f>IF(G272="","",((G272-H272)/I272)^2)</f>
        <v/>
      </c>
      <c r="K272" s="101">
        <f>IF(G272="","",MAX(0, J272-$B$12))</f>
        <v/>
      </c>
      <c r="L272" s="100">
        <f>IF(G272="","",SQRT(K272))</f>
        <v/>
      </c>
      <c r="M272" s="98">
        <f>IF(G272="","",IF(K272&lt;=$B$10,"OK","NG"))</f>
        <v/>
      </c>
      <c r="N272" s="69">
        <f>IF(M272="","",IF(M272=D272,1,0))</f>
        <v/>
      </c>
      <c r="O272" s="100">
        <f>IF(G272="","",H272-G272)</f>
        <v/>
      </c>
      <c r="P272" s="100">
        <f>IF(G272="","",ABS(O272-Components!$D$2))</f>
        <v/>
      </c>
      <c r="Q272" s="100">
        <f>IF(G272="","",ABS(O272-Components!$D$3))</f>
        <v/>
      </c>
      <c r="R272" s="100">
        <f>IF(G272="","",ABS(O272-Components!$D$4))</f>
        <v/>
      </c>
      <c r="S272" s="100">
        <f>IF(G272="","",ABS(O272-Components!$D$5))</f>
        <v/>
      </c>
      <c r="T272" s="100">
        <f>IF(G272="","",ABS(O272-Components!$D$6))</f>
        <v/>
      </c>
      <c r="U272" s="100">
        <f>IF(G272="","",ABS(O272-Components!$D$7))</f>
        <v/>
      </c>
      <c r="V272" s="98">
        <f>IF(G272="","",IF(M272="OK","NONE",INDEX({"S1","S2","W1","W2","N1","N2"},MATCH(MIN(P272:U272),P272:U272,0))))</f>
        <v/>
      </c>
      <c r="W272" s="103">
        <f>IF(G272="","",IF(V272=E272,1,0))</f>
        <v/>
      </c>
    </row>
    <row r="273">
      <c r="A273" s="102">
        <f>'Runs Z score'!A261</f>
        <v/>
      </c>
      <c r="B273" s="98">
        <f>'Runs Z score'!B261</f>
        <v/>
      </c>
      <c r="C273" s="98">
        <f>'Runs Z score'!C261</f>
        <v/>
      </c>
      <c r="D273" s="98">
        <f>'Runs Z score'!D261</f>
        <v/>
      </c>
      <c r="E273" s="98">
        <f>'Runs Z score'!E261</f>
        <v/>
      </c>
      <c r="F273" s="98">
        <f>'Runs Z score'!F261</f>
        <v/>
      </c>
      <c r="G273" s="99">
        <f>'Runs Z score'!G261</f>
        <v/>
      </c>
      <c r="H273" s="100">
        <f>VLOOKUP(C273,Recipes!$A$2:$N$4,10,FALSE())</f>
        <v/>
      </c>
      <c r="I273" s="101">
        <f>VLOOKUP(C273,Recipes!$A$2:$N$4,12,FALSE())</f>
        <v/>
      </c>
      <c r="J273" s="101">
        <f>IF(G273="","",((G273-H273)/I273)^2)</f>
        <v/>
      </c>
      <c r="K273" s="101">
        <f>IF(G273="","",MAX(0, J273-$B$12))</f>
        <v/>
      </c>
      <c r="L273" s="100">
        <f>IF(G273="","",SQRT(K273))</f>
        <v/>
      </c>
      <c r="M273" s="98">
        <f>IF(G273="","",IF(K273&lt;=$B$10,"OK","NG"))</f>
        <v/>
      </c>
      <c r="N273" s="69">
        <f>IF(M273="","",IF(M273=D273,1,0))</f>
        <v/>
      </c>
      <c r="O273" s="100">
        <f>IF(G273="","",H273-G273)</f>
        <v/>
      </c>
      <c r="P273" s="100">
        <f>IF(G273="","",ABS(O273-Components!$D$2))</f>
        <v/>
      </c>
      <c r="Q273" s="100">
        <f>IF(G273="","",ABS(O273-Components!$D$3))</f>
        <v/>
      </c>
      <c r="R273" s="100">
        <f>IF(G273="","",ABS(O273-Components!$D$4))</f>
        <v/>
      </c>
      <c r="S273" s="100">
        <f>IF(G273="","",ABS(O273-Components!$D$5))</f>
        <v/>
      </c>
      <c r="T273" s="100">
        <f>IF(G273="","",ABS(O273-Components!$D$6))</f>
        <v/>
      </c>
      <c r="U273" s="100">
        <f>IF(G273="","",ABS(O273-Components!$D$7))</f>
        <v/>
      </c>
      <c r="V273" s="98">
        <f>IF(G273="","",IF(M273="OK","NONE",INDEX({"S1","S2","W1","W2","N1","N2"},MATCH(MIN(P273:U273),P273:U273,0))))</f>
        <v/>
      </c>
      <c r="W273" s="103">
        <f>IF(G273="","",IF(V273=E273,1,0))</f>
        <v/>
      </c>
    </row>
    <row r="274">
      <c r="A274" s="102">
        <f>'Runs Z score'!A262</f>
        <v/>
      </c>
      <c r="B274" s="98">
        <f>'Runs Z score'!B262</f>
        <v/>
      </c>
      <c r="C274" s="98">
        <f>'Runs Z score'!C262</f>
        <v/>
      </c>
      <c r="D274" s="98">
        <f>'Runs Z score'!D262</f>
        <v/>
      </c>
      <c r="E274" s="98">
        <f>'Runs Z score'!E262</f>
        <v/>
      </c>
      <c r="F274" s="98">
        <f>'Runs Z score'!F262</f>
        <v/>
      </c>
      <c r="G274" s="99">
        <f>'Runs Z score'!G262</f>
        <v/>
      </c>
      <c r="H274" s="100">
        <f>VLOOKUP(C274,Recipes!$A$2:$N$4,10,FALSE())</f>
        <v/>
      </c>
      <c r="I274" s="101">
        <f>VLOOKUP(C274,Recipes!$A$2:$N$4,12,FALSE())</f>
        <v/>
      </c>
      <c r="J274" s="101">
        <f>IF(G274="","",((G274-H274)/I274)^2)</f>
        <v/>
      </c>
      <c r="K274" s="101">
        <f>IF(G274="","",MAX(0, J274-$B$12))</f>
        <v/>
      </c>
      <c r="L274" s="100">
        <f>IF(G274="","",SQRT(K274))</f>
        <v/>
      </c>
      <c r="M274" s="98">
        <f>IF(G274="","",IF(K274&lt;=$B$10,"OK","NG"))</f>
        <v/>
      </c>
      <c r="N274" s="69">
        <f>IF(M274="","",IF(M274=D274,1,0))</f>
        <v/>
      </c>
      <c r="O274" s="100">
        <f>IF(G274="","",H274-G274)</f>
        <v/>
      </c>
      <c r="P274" s="100">
        <f>IF(G274="","",ABS(O274-Components!$D$2))</f>
        <v/>
      </c>
      <c r="Q274" s="100">
        <f>IF(G274="","",ABS(O274-Components!$D$3))</f>
        <v/>
      </c>
      <c r="R274" s="100">
        <f>IF(G274="","",ABS(O274-Components!$D$4))</f>
        <v/>
      </c>
      <c r="S274" s="100">
        <f>IF(G274="","",ABS(O274-Components!$D$5))</f>
        <v/>
      </c>
      <c r="T274" s="100">
        <f>IF(G274="","",ABS(O274-Components!$D$6))</f>
        <v/>
      </c>
      <c r="U274" s="100">
        <f>IF(G274="","",ABS(O274-Components!$D$7))</f>
        <v/>
      </c>
      <c r="V274" s="98">
        <f>IF(G274="","",IF(M274="OK","NONE",INDEX({"S1","S2","W1","W2","N1","N2"},MATCH(MIN(P274:U274),P274:U274,0))))</f>
        <v/>
      </c>
      <c r="W274" s="103">
        <f>IF(G274="","",IF(V274=E274,1,0))</f>
        <v/>
      </c>
    </row>
    <row r="275">
      <c r="A275" s="102">
        <f>'Runs Z score'!A263</f>
        <v/>
      </c>
      <c r="B275" s="98">
        <f>'Runs Z score'!B263</f>
        <v/>
      </c>
      <c r="C275" s="98">
        <f>'Runs Z score'!C263</f>
        <v/>
      </c>
      <c r="D275" s="98">
        <f>'Runs Z score'!D263</f>
        <v/>
      </c>
      <c r="E275" s="98">
        <f>'Runs Z score'!E263</f>
        <v/>
      </c>
      <c r="F275" s="98">
        <f>'Runs Z score'!F263</f>
        <v/>
      </c>
      <c r="G275" s="99">
        <f>'Runs Z score'!G263</f>
        <v/>
      </c>
      <c r="H275" s="100">
        <f>VLOOKUP(C275,Recipes!$A$2:$N$4,10,FALSE())</f>
        <v/>
      </c>
      <c r="I275" s="101">
        <f>VLOOKUP(C275,Recipes!$A$2:$N$4,12,FALSE())</f>
        <v/>
      </c>
      <c r="J275" s="101">
        <f>IF(G275="","",((G275-H275)/I275)^2)</f>
        <v/>
      </c>
      <c r="K275" s="101">
        <f>IF(G275="","",MAX(0, J275-$B$12))</f>
        <v/>
      </c>
      <c r="L275" s="100">
        <f>IF(G275="","",SQRT(K275))</f>
        <v/>
      </c>
      <c r="M275" s="98">
        <f>IF(G275="","",IF(K275&lt;=$B$10,"OK","NG"))</f>
        <v/>
      </c>
      <c r="N275" s="69">
        <f>IF(M275="","",IF(M275=D275,1,0))</f>
        <v/>
      </c>
      <c r="O275" s="100">
        <f>IF(G275="","",H275-G275)</f>
        <v/>
      </c>
      <c r="P275" s="100">
        <f>IF(G275="","",ABS(O275-Components!$D$2))</f>
        <v/>
      </c>
      <c r="Q275" s="100">
        <f>IF(G275="","",ABS(O275-Components!$D$3))</f>
        <v/>
      </c>
      <c r="R275" s="100">
        <f>IF(G275="","",ABS(O275-Components!$D$4))</f>
        <v/>
      </c>
      <c r="S275" s="100">
        <f>IF(G275="","",ABS(O275-Components!$D$5))</f>
        <v/>
      </c>
      <c r="T275" s="100">
        <f>IF(G275="","",ABS(O275-Components!$D$6))</f>
        <v/>
      </c>
      <c r="U275" s="100">
        <f>IF(G275="","",ABS(O275-Components!$D$7))</f>
        <v/>
      </c>
      <c r="V275" s="98">
        <f>IF(G275="","",IF(M275="OK","NONE",INDEX({"S1","S2","W1","W2","N1","N2"},MATCH(MIN(P275:U275),P275:U275,0))))</f>
        <v/>
      </c>
      <c r="W275" s="103">
        <f>IF(G275="","",IF(V275=E275,1,0))</f>
        <v/>
      </c>
    </row>
    <row r="276">
      <c r="A276" s="102">
        <f>'Runs Z score'!A264</f>
        <v/>
      </c>
      <c r="B276" s="98">
        <f>'Runs Z score'!B264</f>
        <v/>
      </c>
      <c r="C276" s="98">
        <f>'Runs Z score'!C264</f>
        <v/>
      </c>
      <c r="D276" s="98">
        <f>'Runs Z score'!D264</f>
        <v/>
      </c>
      <c r="E276" s="98">
        <f>'Runs Z score'!E264</f>
        <v/>
      </c>
      <c r="F276" s="98">
        <f>'Runs Z score'!F264</f>
        <v/>
      </c>
      <c r="G276" s="99">
        <f>'Runs Z score'!G264</f>
        <v/>
      </c>
      <c r="H276" s="100">
        <f>VLOOKUP(C276,Recipes!$A$2:$N$4,10,FALSE())</f>
        <v/>
      </c>
      <c r="I276" s="101">
        <f>VLOOKUP(C276,Recipes!$A$2:$N$4,12,FALSE())</f>
        <v/>
      </c>
      <c r="J276" s="101">
        <f>IF(G276="","",((G276-H276)/I276)^2)</f>
        <v/>
      </c>
      <c r="K276" s="101">
        <f>IF(G276="","",MAX(0, J276-$B$12))</f>
        <v/>
      </c>
      <c r="L276" s="100">
        <f>IF(G276="","",SQRT(K276))</f>
        <v/>
      </c>
      <c r="M276" s="98">
        <f>IF(G276="","",IF(K276&lt;=$B$10,"OK","NG"))</f>
        <v/>
      </c>
      <c r="N276" s="69">
        <f>IF(M276="","",IF(M276=D276,1,0))</f>
        <v/>
      </c>
      <c r="O276" s="100">
        <f>IF(G276="","",H276-G276)</f>
        <v/>
      </c>
      <c r="P276" s="100">
        <f>IF(G276="","",ABS(O276-Components!$D$2))</f>
        <v/>
      </c>
      <c r="Q276" s="100">
        <f>IF(G276="","",ABS(O276-Components!$D$3))</f>
        <v/>
      </c>
      <c r="R276" s="100">
        <f>IF(G276="","",ABS(O276-Components!$D$4))</f>
        <v/>
      </c>
      <c r="S276" s="100">
        <f>IF(G276="","",ABS(O276-Components!$D$5))</f>
        <v/>
      </c>
      <c r="T276" s="100">
        <f>IF(G276="","",ABS(O276-Components!$D$6))</f>
        <v/>
      </c>
      <c r="U276" s="100">
        <f>IF(G276="","",ABS(O276-Components!$D$7))</f>
        <v/>
      </c>
      <c r="V276" s="98">
        <f>IF(G276="","",IF(M276="OK","NONE",INDEX({"S1","S2","W1","W2","N1","N2"},MATCH(MIN(P276:U276),P276:U276,0))))</f>
        <v/>
      </c>
      <c r="W276" s="103">
        <f>IF(G276="","",IF(V276=E276,1,0))</f>
        <v/>
      </c>
    </row>
    <row r="277">
      <c r="A277" s="102">
        <f>'Runs Z score'!A265</f>
        <v/>
      </c>
      <c r="B277" s="98">
        <f>'Runs Z score'!B265</f>
        <v/>
      </c>
      <c r="C277" s="98">
        <f>'Runs Z score'!C265</f>
        <v/>
      </c>
      <c r="D277" s="98">
        <f>'Runs Z score'!D265</f>
        <v/>
      </c>
      <c r="E277" s="98">
        <f>'Runs Z score'!E265</f>
        <v/>
      </c>
      <c r="F277" s="98">
        <f>'Runs Z score'!F265</f>
        <v/>
      </c>
      <c r="G277" s="99">
        <f>'Runs Z score'!G265</f>
        <v/>
      </c>
      <c r="H277" s="100">
        <f>VLOOKUP(C277,Recipes!$A$2:$N$4,10,FALSE())</f>
        <v/>
      </c>
      <c r="I277" s="101">
        <f>VLOOKUP(C277,Recipes!$A$2:$N$4,12,FALSE())</f>
        <v/>
      </c>
      <c r="J277" s="101">
        <f>IF(G277="","",((G277-H277)/I277)^2)</f>
        <v/>
      </c>
      <c r="K277" s="101">
        <f>IF(G277="","",MAX(0, J277-$B$12))</f>
        <v/>
      </c>
      <c r="L277" s="100">
        <f>IF(G277="","",SQRT(K277))</f>
        <v/>
      </c>
      <c r="M277" s="98">
        <f>IF(G277="","",IF(K277&lt;=$B$10,"OK","NG"))</f>
        <v/>
      </c>
      <c r="N277" s="69">
        <f>IF(M277="","",IF(M277=D277,1,0))</f>
        <v/>
      </c>
      <c r="O277" s="100">
        <f>IF(G277="","",H277-G277)</f>
        <v/>
      </c>
      <c r="P277" s="100">
        <f>IF(G277="","",ABS(O277-Components!$D$2))</f>
        <v/>
      </c>
      <c r="Q277" s="100">
        <f>IF(G277="","",ABS(O277-Components!$D$3))</f>
        <v/>
      </c>
      <c r="R277" s="100">
        <f>IF(G277="","",ABS(O277-Components!$D$4))</f>
        <v/>
      </c>
      <c r="S277" s="100">
        <f>IF(G277="","",ABS(O277-Components!$D$5))</f>
        <v/>
      </c>
      <c r="T277" s="100">
        <f>IF(G277="","",ABS(O277-Components!$D$6))</f>
        <v/>
      </c>
      <c r="U277" s="100">
        <f>IF(G277="","",ABS(O277-Components!$D$7))</f>
        <v/>
      </c>
      <c r="V277" s="98">
        <f>IF(G277="","",IF(M277="OK","NONE",INDEX({"S1","S2","W1","W2","N1","N2"},MATCH(MIN(P277:U277),P277:U277,0))))</f>
        <v/>
      </c>
      <c r="W277" s="103">
        <f>IF(G277="","",IF(V277=E277,1,0))</f>
        <v/>
      </c>
    </row>
    <row r="278">
      <c r="A278" s="102">
        <f>'Runs Z score'!A266</f>
        <v/>
      </c>
      <c r="B278" s="98">
        <f>'Runs Z score'!B266</f>
        <v/>
      </c>
      <c r="C278" s="98">
        <f>'Runs Z score'!C266</f>
        <v/>
      </c>
      <c r="D278" s="98">
        <f>'Runs Z score'!D266</f>
        <v/>
      </c>
      <c r="E278" s="98">
        <f>'Runs Z score'!E266</f>
        <v/>
      </c>
      <c r="F278" s="98">
        <f>'Runs Z score'!F266</f>
        <v/>
      </c>
      <c r="G278" s="99">
        <f>'Runs Z score'!G266</f>
        <v/>
      </c>
      <c r="H278" s="100">
        <f>VLOOKUP(C278,Recipes!$A$2:$N$4,10,FALSE())</f>
        <v/>
      </c>
      <c r="I278" s="101">
        <f>VLOOKUP(C278,Recipes!$A$2:$N$4,12,FALSE())</f>
        <v/>
      </c>
      <c r="J278" s="101">
        <f>IF(G278="","",((G278-H278)/I278)^2)</f>
        <v/>
      </c>
      <c r="K278" s="101">
        <f>IF(G278="","",MAX(0, J278-$B$12))</f>
        <v/>
      </c>
      <c r="L278" s="100">
        <f>IF(G278="","",SQRT(K278))</f>
        <v/>
      </c>
      <c r="M278" s="98">
        <f>IF(G278="","",IF(K278&lt;=$B$10,"OK","NG"))</f>
        <v/>
      </c>
      <c r="N278" s="69">
        <f>IF(M278="","",IF(M278=D278,1,0))</f>
        <v/>
      </c>
      <c r="O278" s="100">
        <f>IF(G278="","",H278-G278)</f>
        <v/>
      </c>
      <c r="P278" s="100">
        <f>IF(G278="","",ABS(O278-Components!$D$2))</f>
        <v/>
      </c>
      <c r="Q278" s="100">
        <f>IF(G278="","",ABS(O278-Components!$D$3))</f>
        <v/>
      </c>
      <c r="R278" s="100">
        <f>IF(G278="","",ABS(O278-Components!$D$4))</f>
        <v/>
      </c>
      <c r="S278" s="100">
        <f>IF(G278="","",ABS(O278-Components!$D$5))</f>
        <v/>
      </c>
      <c r="T278" s="100">
        <f>IF(G278="","",ABS(O278-Components!$D$6))</f>
        <v/>
      </c>
      <c r="U278" s="100">
        <f>IF(G278="","",ABS(O278-Components!$D$7))</f>
        <v/>
      </c>
      <c r="V278" s="98">
        <f>IF(G278="","",IF(M278="OK","NONE",INDEX({"S1","S2","W1","W2","N1","N2"},MATCH(MIN(P278:U278),P278:U278,0))))</f>
        <v/>
      </c>
      <c r="W278" s="103">
        <f>IF(G278="","",IF(V278=E278,1,0))</f>
        <v/>
      </c>
    </row>
    <row r="279">
      <c r="A279" s="102">
        <f>'Runs Z score'!A267</f>
        <v/>
      </c>
      <c r="B279" s="98">
        <f>'Runs Z score'!B267</f>
        <v/>
      </c>
      <c r="C279" s="98">
        <f>'Runs Z score'!C267</f>
        <v/>
      </c>
      <c r="D279" s="98">
        <f>'Runs Z score'!D267</f>
        <v/>
      </c>
      <c r="E279" s="98">
        <f>'Runs Z score'!E267</f>
        <v/>
      </c>
      <c r="F279" s="98">
        <f>'Runs Z score'!F267</f>
        <v/>
      </c>
      <c r="G279" s="99">
        <f>'Runs Z score'!G267</f>
        <v/>
      </c>
      <c r="H279" s="100">
        <f>VLOOKUP(C279,Recipes!$A$2:$N$4,10,FALSE())</f>
        <v/>
      </c>
      <c r="I279" s="101">
        <f>VLOOKUP(C279,Recipes!$A$2:$N$4,12,FALSE())</f>
        <v/>
      </c>
      <c r="J279" s="101">
        <f>IF(G279="","",((G279-H279)/I279)^2)</f>
        <v/>
      </c>
      <c r="K279" s="101">
        <f>IF(G279="","",MAX(0, J279-$B$12))</f>
        <v/>
      </c>
      <c r="L279" s="100">
        <f>IF(G279="","",SQRT(K279))</f>
        <v/>
      </c>
      <c r="M279" s="98">
        <f>IF(G279="","",IF(K279&lt;=$B$10,"OK","NG"))</f>
        <v/>
      </c>
      <c r="N279" s="69">
        <f>IF(M279="","",IF(M279=D279,1,0))</f>
        <v/>
      </c>
      <c r="O279" s="100">
        <f>IF(G279="","",H279-G279)</f>
        <v/>
      </c>
      <c r="P279" s="100">
        <f>IF(G279="","",ABS(O279-Components!$D$2))</f>
        <v/>
      </c>
      <c r="Q279" s="100">
        <f>IF(G279="","",ABS(O279-Components!$D$3))</f>
        <v/>
      </c>
      <c r="R279" s="100">
        <f>IF(G279="","",ABS(O279-Components!$D$4))</f>
        <v/>
      </c>
      <c r="S279" s="100">
        <f>IF(G279="","",ABS(O279-Components!$D$5))</f>
        <v/>
      </c>
      <c r="T279" s="100">
        <f>IF(G279="","",ABS(O279-Components!$D$6))</f>
        <v/>
      </c>
      <c r="U279" s="100">
        <f>IF(G279="","",ABS(O279-Components!$D$7))</f>
        <v/>
      </c>
      <c r="V279" s="98">
        <f>IF(G279="","",IF(M279="OK","NONE",INDEX({"S1","S2","W1","W2","N1","N2"},MATCH(MIN(P279:U279),P279:U279,0))))</f>
        <v/>
      </c>
      <c r="W279" s="103">
        <f>IF(G279="","",IF(V279=E279,1,0))</f>
        <v/>
      </c>
    </row>
    <row r="280">
      <c r="A280" s="102">
        <f>'Runs Z score'!A268</f>
        <v/>
      </c>
      <c r="B280" s="98">
        <f>'Runs Z score'!B268</f>
        <v/>
      </c>
      <c r="C280" s="98">
        <f>'Runs Z score'!C268</f>
        <v/>
      </c>
      <c r="D280" s="98">
        <f>'Runs Z score'!D268</f>
        <v/>
      </c>
      <c r="E280" s="98">
        <f>'Runs Z score'!E268</f>
        <v/>
      </c>
      <c r="F280" s="98">
        <f>'Runs Z score'!F268</f>
        <v/>
      </c>
      <c r="G280" s="99">
        <f>'Runs Z score'!G268</f>
        <v/>
      </c>
      <c r="H280" s="100">
        <f>VLOOKUP(C280,Recipes!$A$2:$N$4,10,FALSE())</f>
        <v/>
      </c>
      <c r="I280" s="101">
        <f>VLOOKUP(C280,Recipes!$A$2:$N$4,12,FALSE())</f>
        <v/>
      </c>
      <c r="J280" s="101">
        <f>IF(G280="","",((G280-H280)/I280)^2)</f>
        <v/>
      </c>
      <c r="K280" s="101">
        <f>IF(G280="","",MAX(0, J280-$B$12))</f>
        <v/>
      </c>
      <c r="L280" s="100">
        <f>IF(G280="","",SQRT(K280))</f>
        <v/>
      </c>
      <c r="M280" s="98">
        <f>IF(G280="","",IF(K280&lt;=$B$10,"OK","NG"))</f>
        <v/>
      </c>
      <c r="N280" s="69">
        <f>IF(M280="","",IF(M280=D280,1,0))</f>
        <v/>
      </c>
      <c r="O280" s="100">
        <f>IF(G280="","",H280-G280)</f>
        <v/>
      </c>
      <c r="P280" s="100">
        <f>IF(G280="","",ABS(O280-Components!$D$2))</f>
        <v/>
      </c>
      <c r="Q280" s="100">
        <f>IF(G280="","",ABS(O280-Components!$D$3))</f>
        <v/>
      </c>
      <c r="R280" s="100">
        <f>IF(G280="","",ABS(O280-Components!$D$4))</f>
        <v/>
      </c>
      <c r="S280" s="100">
        <f>IF(G280="","",ABS(O280-Components!$D$5))</f>
        <v/>
      </c>
      <c r="T280" s="100">
        <f>IF(G280="","",ABS(O280-Components!$D$6))</f>
        <v/>
      </c>
      <c r="U280" s="100">
        <f>IF(G280="","",ABS(O280-Components!$D$7))</f>
        <v/>
      </c>
      <c r="V280" s="98">
        <f>IF(G280="","",IF(M280="OK","NONE",INDEX({"S1","S2","W1","W2","N1","N2"},MATCH(MIN(P280:U280),P280:U280,0))))</f>
        <v/>
      </c>
      <c r="W280" s="103">
        <f>IF(G280="","",IF(V280=E280,1,0))</f>
        <v/>
      </c>
    </row>
    <row r="281">
      <c r="A281" s="102">
        <f>'Runs Z score'!A269</f>
        <v/>
      </c>
      <c r="B281" s="98">
        <f>'Runs Z score'!B269</f>
        <v/>
      </c>
      <c r="C281" s="98">
        <f>'Runs Z score'!C269</f>
        <v/>
      </c>
      <c r="D281" s="98">
        <f>'Runs Z score'!D269</f>
        <v/>
      </c>
      <c r="E281" s="98">
        <f>'Runs Z score'!E269</f>
        <v/>
      </c>
      <c r="F281" s="98">
        <f>'Runs Z score'!F269</f>
        <v/>
      </c>
      <c r="G281" s="99">
        <f>'Runs Z score'!G269</f>
        <v/>
      </c>
      <c r="H281" s="100">
        <f>VLOOKUP(C281,Recipes!$A$2:$N$4,10,FALSE())</f>
        <v/>
      </c>
      <c r="I281" s="101">
        <f>VLOOKUP(C281,Recipes!$A$2:$N$4,12,FALSE())</f>
        <v/>
      </c>
      <c r="J281" s="101">
        <f>IF(G281="","",((G281-H281)/I281)^2)</f>
        <v/>
      </c>
      <c r="K281" s="101">
        <f>IF(G281="","",MAX(0, J281-$B$12))</f>
        <v/>
      </c>
      <c r="L281" s="100">
        <f>IF(G281="","",SQRT(K281))</f>
        <v/>
      </c>
      <c r="M281" s="98">
        <f>IF(G281="","",IF(K281&lt;=$B$10,"OK","NG"))</f>
        <v/>
      </c>
      <c r="N281" s="69">
        <f>IF(M281="","",IF(M281=D281,1,0))</f>
        <v/>
      </c>
      <c r="O281" s="100">
        <f>IF(G281="","",H281-G281)</f>
        <v/>
      </c>
      <c r="P281" s="100">
        <f>IF(G281="","",ABS(O281-Components!$D$2))</f>
        <v/>
      </c>
      <c r="Q281" s="100">
        <f>IF(G281="","",ABS(O281-Components!$D$3))</f>
        <v/>
      </c>
      <c r="R281" s="100">
        <f>IF(G281="","",ABS(O281-Components!$D$4))</f>
        <v/>
      </c>
      <c r="S281" s="100">
        <f>IF(G281="","",ABS(O281-Components!$D$5))</f>
        <v/>
      </c>
      <c r="T281" s="100">
        <f>IF(G281="","",ABS(O281-Components!$D$6))</f>
        <v/>
      </c>
      <c r="U281" s="100">
        <f>IF(G281="","",ABS(O281-Components!$D$7))</f>
        <v/>
      </c>
      <c r="V281" s="98">
        <f>IF(G281="","",IF(M281="OK","NONE",INDEX({"S1","S2","W1","W2","N1","N2"},MATCH(MIN(P281:U281),P281:U281,0))))</f>
        <v/>
      </c>
      <c r="W281" s="103">
        <f>IF(G281="","",IF(V281=E281,1,0))</f>
        <v/>
      </c>
    </row>
    <row r="282">
      <c r="A282" s="102">
        <f>'Runs Z score'!A270</f>
        <v/>
      </c>
      <c r="B282" s="98">
        <f>'Runs Z score'!B270</f>
        <v/>
      </c>
      <c r="C282" s="98">
        <f>'Runs Z score'!C270</f>
        <v/>
      </c>
      <c r="D282" s="98">
        <f>'Runs Z score'!D270</f>
        <v/>
      </c>
      <c r="E282" s="98">
        <f>'Runs Z score'!E270</f>
        <v/>
      </c>
      <c r="F282" s="98">
        <f>'Runs Z score'!F270</f>
        <v/>
      </c>
      <c r="G282" s="99">
        <f>'Runs Z score'!G270</f>
        <v/>
      </c>
      <c r="H282" s="100">
        <f>VLOOKUP(C282,Recipes!$A$2:$N$4,10,FALSE())</f>
        <v/>
      </c>
      <c r="I282" s="101">
        <f>VLOOKUP(C282,Recipes!$A$2:$N$4,12,FALSE())</f>
        <v/>
      </c>
      <c r="J282" s="101">
        <f>IF(G282="","",((G282-H282)/I282)^2)</f>
        <v/>
      </c>
      <c r="K282" s="101">
        <f>IF(G282="","",MAX(0, J282-$B$12))</f>
        <v/>
      </c>
      <c r="L282" s="100">
        <f>IF(G282="","",SQRT(K282))</f>
        <v/>
      </c>
      <c r="M282" s="98">
        <f>IF(G282="","",IF(K282&lt;=$B$10,"OK","NG"))</f>
        <v/>
      </c>
      <c r="N282" s="69">
        <f>IF(M282="","",IF(M282=D282,1,0))</f>
        <v/>
      </c>
      <c r="O282" s="100">
        <f>IF(G282="","",H282-G282)</f>
        <v/>
      </c>
      <c r="P282" s="100">
        <f>IF(G282="","",ABS(O282-Components!$D$2))</f>
        <v/>
      </c>
      <c r="Q282" s="100">
        <f>IF(G282="","",ABS(O282-Components!$D$3))</f>
        <v/>
      </c>
      <c r="R282" s="100">
        <f>IF(G282="","",ABS(O282-Components!$D$4))</f>
        <v/>
      </c>
      <c r="S282" s="100">
        <f>IF(G282="","",ABS(O282-Components!$D$5))</f>
        <v/>
      </c>
      <c r="T282" s="100">
        <f>IF(G282="","",ABS(O282-Components!$D$6))</f>
        <v/>
      </c>
      <c r="U282" s="100">
        <f>IF(G282="","",ABS(O282-Components!$D$7))</f>
        <v/>
      </c>
      <c r="V282" s="98">
        <f>IF(G282="","",IF(M282="OK","NONE",INDEX({"S1","S2","W1","W2","N1","N2"},MATCH(MIN(P282:U282),P282:U282,0))))</f>
        <v/>
      </c>
      <c r="W282" s="103">
        <f>IF(G282="","",IF(V282=E282,1,0))</f>
        <v/>
      </c>
    </row>
    <row r="283">
      <c r="A283" s="102">
        <f>'Runs Z score'!A271</f>
        <v/>
      </c>
      <c r="B283" s="98">
        <f>'Runs Z score'!B271</f>
        <v/>
      </c>
      <c r="C283" s="98">
        <f>'Runs Z score'!C271</f>
        <v/>
      </c>
      <c r="D283" s="98">
        <f>'Runs Z score'!D271</f>
        <v/>
      </c>
      <c r="E283" s="98">
        <f>'Runs Z score'!E271</f>
        <v/>
      </c>
      <c r="F283" s="98">
        <f>'Runs Z score'!F271</f>
        <v/>
      </c>
      <c r="G283" s="99">
        <f>'Runs Z score'!G271</f>
        <v/>
      </c>
      <c r="H283" s="100">
        <f>VLOOKUP(C283,Recipes!$A$2:$N$4,10,FALSE())</f>
        <v/>
      </c>
      <c r="I283" s="101">
        <f>VLOOKUP(C283,Recipes!$A$2:$N$4,12,FALSE())</f>
        <v/>
      </c>
      <c r="J283" s="101">
        <f>IF(G283="","",((G283-H283)/I283)^2)</f>
        <v/>
      </c>
      <c r="K283" s="101">
        <f>IF(G283="","",MAX(0, J283-$B$12))</f>
        <v/>
      </c>
      <c r="L283" s="100">
        <f>IF(G283="","",SQRT(K283))</f>
        <v/>
      </c>
      <c r="M283" s="98">
        <f>IF(G283="","",IF(K283&lt;=$B$10,"OK","NG"))</f>
        <v/>
      </c>
      <c r="N283" s="69">
        <f>IF(M283="","",IF(M283=D283,1,0))</f>
        <v/>
      </c>
      <c r="O283" s="100">
        <f>IF(G283="","",H283-G283)</f>
        <v/>
      </c>
      <c r="P283" s="100">
        <f>IF(G283="","",ABS(O283-Components!$D$2))</f>
        <v/>
      </c>
      <c r="Q283" s="100">
        <f>IF(G283="","",ABS(O283-Components!$D$3))</f>
        <v/>
      </c>
      <c r="R283" s="100">
        <f>IF(G283="","",ABS(O283-Components!$D$4))</f>
        <v/>
      </c>
      <c r="S283" s="100">
        <f>IF(G283="","",ABS(O283-Components!$D$5))</f>
        <v/>
      </c>
      <c r="T283" s="100">
        <f>IF(G283="","",ABS(O283-Components!$D$6))</f>
        <v/>
      </c>
      <c r="U283" s="100">
        <f>IF(G283="","",ABS(O283-Components!$D$7))</f>
        <v/>
      </c>
      <c r="V283" s="98">
        <f>IF(G283="","",IF(M283="OK","NONE",INDEX({"S1","S2","W1","W2","N1","N2"},MATCH(MIN(P283:U283),P283:U283,0))))</f>
        <v/>
      </c>
      <c r="W283" s="103">
        <f>IF(G283="","",IF(V283=E283,1,0))</f>
        <v/>
      </c>
    </row>
    <row r="284">
      <c r="A284" s="102">
        <f>'Runs Z score'!A272</f>
        <v/>
      </c>
      <c r="B284" s="98">
        <f>'Runs Z score'!B272</f>
        <v/>
      </c>
      <c r="C284" s="98">
        <f>'Runs Z score'!C272</f>
        <v/>
      </c>
      <c r="D284" s="98">
        <f>'Runs Z score'!D272</f>
        <v/>
      </c>
      <c r="E284" s="98">
        <f>'Runs Z score'!E272</f>
        <v/>
      </c>
      <c r="F284" s="98">
        <f>'Runs Z score'!F272</f>
        <v/>
      </c>
      <c r="G284" s="99">
        <f>'Runs Z score'!G272</f>
        <v/>
      </c>
      <c r="H284" s="100">
        <f>VLOOKUP(C284,Recipes!$A$2:$N$4,10,FALSE())</f>
        <v/>
      </c>
      <c r="I284" s="101">
        <f>VLOOKUP(C284,Recipes!$A$2:$N$4,12,FALSE())</f>
        <v/>
      </c>
      <c r="J284" s="101">
        <f>IF(G284="","",((G284-H284)/I284)^2)</f>
        <v/>
      </c>
      <c r="K284" s="101">
        <f>IF(G284="","",MAX(0, J284-$B$12))</f>
        <v/>
      </c>
      <c r="L284" s="100">
        <f>IF(G284="","",SQRT(K284))</f>
        <v/>
      </c>
      <c r="M284" s="98">
        <f>IF(G284="","",IF(K284&lt;=$B$10,"OK","NG"))</f>
        <v/>
      </c>
      <c r="N284" s="69">
        <f>IF(M284="","",IF(M284=D284,1,0))</f>
        <v/>
      </c>
      <c r="O284" s="100">
        <f>IF(G284="","",H284-G284)</f>
        <v/>
      </c>
      <c r="P284" s="100">
        <f>IF(G284="","",ABS(O284-Components!$D$2))</f>
        <v/>
      </c>
      <c r="Q284" s="100">
        <f>IF(G284="","",ABS(O284-Components!$D$3))</f>
        <v/>
      </c>
      <c r="R284" s="100">
        <f>IF(G284="","",ABS(O284-Components!$D$4))</f>
        <v/>
      </c>
      <c r="S284" s="100">
        <f>IF(G284="","",ABS(O284-Components!$D$5))</f>
        <v/>
      </c>
      <c r="T284" s="100">
        <f>IF(G284="","",ABS(O284-Components!$D$6))</f>
        <v/>
      </c>
      <c r="U284" s="100">
        <f>IF(G284="","",ABS(O284-Components!$D$7))</f>
        <v/>
      </c>
      <c r="V284" s="98">
        <f>IF(G284="","",IF(M284="OK","NONE",INDEX({"S1","S2","W1","W2","N1","N2"},MATCH(MIN(P284:U284),P284:U284,0))))</f>
        <v/>
      </c>
      <c r="W284" s="103">
        <f>IF(G284="","",IF(V284=E284,1,0))</f>
        <v/>
      </c>
    </row>
    <row r="285">
      <c r="A285" s="102">
        <f>'Runs Z score'!A273</f>
        <v/>
      </c>
      <c r="B285" s="98">
        <f>'Runs Z score'!B273</f>
        <v/>
      </c>
      <c r="C285" s="98">
        <f>'Runs Z score'!C273</f>
        <v/>
      </c>
      <c r="D285" s="98">
        <f>'Runs Z score'!D273</f>
        <v/>
      </c>
      <c r="E285" s="98">
        <f>'Runs Z score'!E273</f>
        <v/>
      </c>
      <c r="F285" s="98">
        <f>'Runs Z score'!F273</f>
        <v/>
      </c>
      <c r="G285" s="99">
        <f>'Runs Z score'!G273</f>
        <v/>
      </c>
      <c r="H285" s="100">
        <f>VLOOKUP(C285,Recipes!$A$2:$N$4,10,FALSE())</f>
        <v/>
      </c>
      <c r="I285" s="101">
        <f>VLOOKUP(C285,Recipes!$A$2:$N$4,12,FALSE())</f>
        <v/>
      </c>
      <c r="J285" s="101">
        <f>IF(G285="","",((G285-H285)/I285)^2)</f>
        <v/>
      </c>
      <c r="K285" s="101">
        <f>IF(G285="","",MAX(0, J285-$B$12))</f>
        <v/>
      </c>
      <c r="L285" s="100">
        <f>IF(G285="","",SQRT(K285))</f>
        <v/>
      </c>
      <c r="M285" s="98">
        <f>IF(G285="","",IF(K285&lt;=$B$10,"OK","NG"))</f>
        <v/>
      </c>
      <c r="N285" s="69">
        <f>IF(M285="","",IF(M285=D285,1,0))</f>
        <v/>
      </c>
      <c r="O285" s="100">
        <f>IF(G285="","",H285-G285)</f>
        <v/>
      </c>
      <c r="P285" s="100">
        <f>IF(G285="","",ABS(O285-Components!$D$2))</f>
        <v/>
      </c>
      <c r="Q285" s="100">
        <f>IF(G285="","",ABS(O285-Components!$D$3))</f>
        <v/>
      </c>
      <c r="R285" s="100">
        <f>IF(G285="","",ABS(O285-Components!$D$4))</f>
        <v/>
      </c>
      <c r="S285" s="100">
        <f>IF(G285="","",ABS(O285-Components!$D$5))</f>
        <v/>
      </c>
      <c r="T285" s="100">
        <f>IF(G285="","",ABS(O285-Components!$D$6))</f>
        <v/>
      </c>
      <c r="U285" s="100">
        <f>IF(G285="","",ABS(O285-Components!$D$7))</f>
        <v/>
      </c>
      <c r="V285" s="98">
        <f>IF(G285="","",IF(M285="OK","NONE",INDEX({"S1","S2","W1","W2","N1","N2"},MATCH(MIN(P285:U285),P285:U285,0))))</f>
        <v/>
      </c>
      <c r="W285" s="103">
        <f>IF(G285="","",IF(V285=E285,1,0))</f>
        <v/>
      </c>
    </row>
    <row r="286">
      <c r="A286" s="102">
        <f>'Runs Z score'!A274</f>
        <v/>
      </c>
      <c r="B286" s="98">
        <f>'Runs Z score'!B274</f>
        <v/>
      </c>
      <c r="C286" s="98">
        <f>'Runs Z score'!C274</f>
        <v/>
      </c>
      <c r="D286" s="98">
        <f>'Runs Z score'!D274</f>
        <v/>
      </c>
      <c r="E286" s="98">
        <f>'Runs Z score'!E274</f>
        <v/>
      </c>
      <c r="F286" s="98">
        <f>'Runs Z score'!F274</f>
        <v/>
      </c>
      <c r="G286" s="99">
        <f>'Runs Z score'!G274</f>
        <v/>
      </c>
      <c r="H286" s="100">
        <f>VLOOKUP(C286,Recipes!$A$2:$N$4,10,FALSE())</f>
        <v/>
      </c>
      <c r="I286" s="101">
        <f>VLOOKUP(C286,Recipes!$A$2:$N$4,12,FALSE())</f>
        <v/>
      </c>
      <c r="J286" s="101">
        <f>IF(G286="","",((G286-H286)/I286)^2)</f>
        <v/>
      </c>
      <c r="K286" s="101">
        <f>IF(G286="","",MAX(0, J286-$B$12))</f>
        <v/>
      </c>
      <c r="L286" s="100">
        <f>IF(G286="","",SQRT(K286))</f>
        <v/>
      </c>
      <c r="M286" s="98">
        <f>IF(G286="","",IF(K286&lt;=$B$10,"OK","NG"))</f>
        <v/>
      </c>
      <c r="N286" s="69">
        <f>IF(M286="","",IF(M286=D286,1,0))</f>
        <v/>
      </c>
      <c r="O286" s="100">
        <f>IF(G286="","",H286-G286)</f>
        <v/>
      </c>
      <c r="P286" s="100">
        <f>IF(G286="","",ABS(O286-Components!$D$2))</f>
        <v/>
      </c>
      <c r="Q286" s="100">
        <f>IF(G286="","",ABS(O286-Components!$D$3))</f>
        <v/>
      </c>
      <c r="R286" s="100">
        <f>IF(G286="","",ABS(O286-Components!$D$4))</f>
        <v/>
      </c>
      <c r="S286" s="100">
        <f>IF(G286="","",ABS(O286-Components!$D$5))</f>
        <v/>
      </c>
      <c r="T286" s="100">
        <f>IF(G286="","",ABS(O286-Components!$D$6))</f>
        <v/>
      </c>
      <c r="U286" s="100">
        <f>IF(G286="","",ABS(O286-Components!$D$7))</f>
        <v/>
      </c>
      <c r="V286" s="98">
        <f>IF(G286="","",IF(M286="OK","NONE",INDEX({"S1","S2","W1","W2","N1","N2"},MATCH(MIN(P286:U286),P286:U286,0))))</f>
        <v/>
      </c>
      <c r="W286" s="103">
        <f>IF(G286="","",IF(V286=E286,1,0))</f>
        <v/>
      </c>
    </row>
    <row r="287">
      <c r="A287" s="102">
        <f>'Runs Z score'!A275</f>
        <v/>
      </c>
      <c r="B287" s="98">
        <f>'Runs Z score'!B275</f>
        <v/>
      </c>
      <c r="C287" s="98">
        <f>'Runs Z score'!C275</f>
        <v/>
      </c>
      <c r="D287" s="98">
        <f>'Runs Z score'!D275</f>
        <v/>
      </c>
      <c r="E287" s="98">
        <f>'Runs Z score'!E275</f>
        <v/>
      </c>
      <c r="F287" s="98">
        <f>'Runs Z score'!F275</f>
        <v/>
      </c>
      <c r="G287" s="99">
        <f>'Runs Z score'!G275</f>
        <v/>
      </c>
      <c r="H287" s="100">
        <f>VLOOKUP(C287,Recipes!$A$2:$N$4,10,FALSE())</f>
        <v/>
      </c>
      <c r="I287" s="101">
        <f>VLOOKUP(C287,Recipes!$A$2:$N$4,12,FALSE())</f>
        <v/>
      </c>
      <c r="J287" s="101">
        <f>IF(G287="","",((G287-H287)/I287)^2)</f>
        <v/>
      </c>
      <c r="K287" s="101">
        <f>IF(G287="","",MAX(0, J287-$B$12))</f>
        <v/>
      </c>
      <c r="L287" s="100">
        <f>IF(G287="","",SQRT(K287))</f>
        <v/>
      </c>
      <c r="M287" s="98">
        <f>IF(G287="","",IF(K287&lt;=$B$10,"OK","NG"))</f>
        <v/>
      </c>
      <c r="N287" s="69">
        <f>IF(M287="","",IF(M287=D287,1,0))</f>
        <v/>
      </c>
      <c r="O287" s="100">
        <f>IF(G287="","",H287-G287)</f>
        <v/>
      </c>
      <c r="P287" s="100">
        <f>IF(G287="","",ABS(O287-Components!$D$2))</f>
        <v/>
      </c>
      <c r="Q287" s="100">
        <f>IF(G287="","",ABS(O287-Components!$D$3))</f>
        <v/>
      </c>
      <c r="R287" s="100">
        <f>IF(G287="","",ABS(O287-Components!$D$4))</f>
        <v/>
      </c>
      <c r="S287" s="100">
        <f>IF(G287="","",ABS(O287-Components!$D$5))</f>
        <v/>
      </c>
      <c r="T287" s="100">
        <f>IF(G287="","",ABS(O287-Components!$D$6))</f>
        <v/>
      </c>
      <c r="U287" s="100">
        <f>IF(G287="","",ABS(O287-Components!$D$7))</f>
        <v/>
      </c>
      <c r="V287" s="98">
        <f>IF(G287="","",IF(M287="OK","NONE",INDEX({"S1","S2","W1","W2","N1","N2"},MATCH(MIN(P287:U287),P287:U287,0))))</f>
        <v/>
      </c>
      <c r="W287" s="103">
        <f>IF(G287="","",IF(V287=E287,1,0))</f>
        <v/>
      </c>
    </row>
    <row r="288">
      <c r="A288" s="102">
        <f>'Runs Z score'!A276</f>
        <v/>
      </c>
      <c r="B288" s="98">
        <f>'Runs Z score'!B276</f>
        <v/>
      </c>
      <c r="C288" s="98">
        <f>'Runs Z score'!C276</f>
        <v/>
      </c>
      <c r="D288" s="98">
        <f>'Runs Z score'!D276</f>
        <v/>
      </c>
      <c r="E288" s="98">
        <f>'Runs Z score'!E276</f>
        <v/>
      </c>
      <c r="F288" s="98">
        <f>'Runs Z score'!F276</f>
        <v/>
      </c>
      <c r="G288" s="99">
        <f>'Runs Z score'!G276</f>
        <v/>
      </c>
      <c r="H288" s="100">
        <f>VLOOKUP(C288,Recipes!$A$2:$N$4,10,FALSE())</f>
        <v/>
      </c>
      <c r="I288" s="101">
        <f>VLOOKUP(C288,Recipes!$A$2:$N$4,12,FALSE())</f>
        <v/>
      </c>
      <c r="J288" s="101">
        <f>IF(G288="","",((G288-H288)/I288)^2)</f>
        <v/>
      </c>
      <c r="K288" s="101">
        <f>IF(G288="","",MAX(0, J288-$B$12))</f>
        <v/>
      </c>
      <c r="L288" s="100">
        <f>IF(G288="","",SQRT(K288))</f>
        <v/>
      </c>
      <c r="M288" s="98">
        <f>IF(G288="","",IF(K288&lt;=$B$10,"OK","NG"))</f>
        <v/>
      </c>
      <c r="N288" s="69">
        <f>IF(M288="","",IF(M288=D288,1,0))</f>
        <v/>
      </c>
      <c r="O288" s="100">
        <f>IF(G288="","",H288-G288)</f>
        <v/>
      </c>
      <c r="P288" s="100">
        <f>IF(G288="","",ABS(O288-Components!$D$2))</f>
        <v/>
      </c>
      <c r="Q288" s="100">
        <f>IF(G288="","",ABS(O288-Components!$D$3))</f>
        <v/>
      </c>
      <c r="R288" s="100">
        <f>IF(G288="","",ABS(O288-Components!$D$4))</f>
        <v/>
      </c>
      <c r="S288" s="100">
        <f>IF(G288="","",ABS(O288-Components!$D$5))</f>
        <v/>
      </c>
      <c r="T288" s="100">
        <f>IF(G288="","",ABS(O288-Components!$D$6))</f>
        <v/>
      </c>
      <c r="U288" s="100">
        <f>IF(G288="","",ABS(O288-Components!$D$7))</f>
        <v/>
      </c>
      <c r="V288" s="98">
        <f>IF(G288="","",IF(M288="OK","NONE",INDEX({"S1","S2","W1","W2","N1","N2"},MATCH(MIN(P288:U288),P288:U288,0))))</f>
        <v/>
      </c>
      <c r="W288" s="103">
        <f>IF(G288="","",IF(V288=E288,1,0))</f>
        <v/>
      </c>
    </row>
    <row r="289">
      <c r="A289" s="102">
        <f>'Runs Z score'!A277</f>
        <v/>
      </c>
      <c r="B289" s="98">
        <f>'Runs Z score'!B277</f>
        <v/>
      </c>
      <c r="C289" s="98">
        <f>'Runs Z score'!C277</f>
        <v/>
      </c>
      <c r="D289" s="98">
        <f>'Runs Z score'!D277</f>
        <v/>
      </c>
      <c r="E289" s="98">
        <f>'Runs Z score'!E277</f>
        <v/>
      </c>
      <c r="F289" s="98">
        <f>'Runs Z score'!F277</f>
        <v/>
      </c>
      <c r="G289" s="99">
        <f>'Runs Z score'!G277</f>
        <v/>
      </c>
      <c r="H289" s="100">
        <f>VLOOKUP(C289,Recipes!$A$2:$N$4,10,FALSE())</f>
        <v/>
      </c>
      <c r="I289" s="101">
        <f>VLOOKUP(C289,Recipes!$A$2:$N$4,12,FALSE())</f>
        <v/>
      </c>
      <c r="J289" s="101">
        <f>IF(G289="","",((G289-H289)/I289)^2)</f>
        <v/>
      </c>
      <c r="K289" s="101">
        <f>IF(G289="","",MAX(0, J289-$B$12))</f>
        <v/>
      </c>
      <c r="L289" s="100">
        <f>IF(G289="","",SQRT(K289))</f>
        <v/>
      </c>
      <c r="M289" s="98">
        <f>IF(G289="","",IF(K289&lt;=$B$10,"OK","NG"))</f>
        <v/>
      </c>
      <c r="N289" s="69">
        <f>IF(M289="","",IF(M289=D289,1,0))</f>
        <v/>
      </c>
      <c r="O289" s="100">
        <f>IF(G289="","",H289-G289)</f>
        <v/>
      </c>
      <c r="P289" s="100">
        <f>IF(G289="","",ABS(O289-Components!$D$2))</f>
        <v/>
      </c>
      <c r="Q289" s="100">
        <f>IF(G289="","",ABS(O289-Components!$D$3))</f>
        <v/>
      </c>
      <c r="R289" s="100">
        <f>IF(G289="","",ABS(O289-Components!$D$4))</f>
        <v/>
      </c>
      <c r="S289" s="100">
        <f>IF(G289="","",ABS(O289-Components!$D$5))</f>
        <v/>
      </c>
      <c r="T289" s="100">
        <f>IF(G289="","",ABS(O289-Components!$D$6))</f>
        <v/>
      </c>
      <c r="U289" s="100">
        <f>IF(G289="","",ABS(O289-Components!$D$7))</f>
        <v/>
      </c>
      <c r="V289" s="98">
        <f>IF(G289="","",IF(M289="OK","NONE",INDEX({"S1","S2","W1","W2","N1","N2"},MATCH(MIN(P289:U289),P289:U289,0))))</f>
        <v/>
      </c>
      <c r="W289" s="103">
        <f>IF(G289="","",IF(V289=E289,1,0))</f>
        <v/>
      </c>
    </row>
    <row r="290">
      <c r="A290" s="102">
        <f>'Runs Z score'!A278</f>
        <v/>
      </c>
      <c r="B290" s="98">
        <f>'Runs Z score'!B278</f>
        <v/>
      </c>
      <c r="C290" s="98">
        <f>'Runs Z score'!C278</f>
        <v/>
      </c>
      <c r="D290" s="98">
        <f>'Runs Z score'!D278</f>
        <v/>
      </c>
      <c r="E290" s="98">
        <f>'Runs Z score'!E278</f>
        <v/>
      </c>
      <c r="F290" s="98">
        <f>'Runs Z score'!F278</f>
        <v/>
      </c>
      <c r="G290" s="99">
        <f>'Runs Z score'!G278</f>
        <v/>
      </c>
      <c r="H290" s="100">
        <f>VLOOKUP(C290,Recipes!$A$2:$N$4,10,FALSE())</f>
        <v/>
      </c>
      <c r="I290" s="101">
        <f>VLOOKUP(C290,Recipes!$A$2:$N$4,12,FALSE())</f>
        <v/>
      </c>
      <c r="J290" s="101">
        <f>IF(G290="","",((G290-H290)/I290)^2)</f>
        <v/>
      </c>
      <c r="K290" s="101">
        <f>IF(G290="","",MAX(0, J290-$B$12))</f>
        <v/>
      </c>
      <c r="L290" s="100">
        <f>IF(G290="","",SQRT(K290))</f>
        <v/>
      </c>
      <c r="M290" s="98">
        <f>IF(G290="","",IF(K290&lt;=$B$10,"OK","NG"))</f>
        <v/>
      </c>
      <c r="N290" s="69">
        <f>IF(M290="","",IF(M290=D290,1,0))</f>
        <v/>
      </c>
      <c r="O290" s="100">
        <f>IF(G290="","",H290-G290)</f>
        <v/>
      </c>
      <c r="P290" s="100">
        <f>IF(G290="","",ABS(O290-Components!$D$2))</f>
        <v/>
      </c>
      <c r="Q290" s="100">
        <f>IF(G290="","",ABS(O290-Components!$D$3))</f>
        <v/>
      </c>
      <c r="R290" s="100">
        <f>IF(G290="","",ABS(O290-Components!$D$4))</f>
        <v/>
      </c>
      <c r="S290" s="100">
        <f>IF(G290="","",ABS(O290-Components!$D$5))</f>
        <v/>
      </c>
      <c r="T290" s="100">
        <f>IF(G290="","",ABS(O290-Components!$D$6))</f>
        <v/>
      </c>
      <c r="U290" s="100">
        <f>IF(G290="","",ABS(O290-Components!$D$7))</f>
        <v/>
      </c>
      <c r="V290" s="98">
        <f>IF(G290="","",IF(M290="OK","NONE",INDEX({"S1","S2","W1","W2","N1","N2"},MATCH(MIN(P290:U290),P290:U290,0))))</f>
        <v/>
      </c>
      <c r="W290" s="103">
        <f>IF(G290="","",IF(V290=E290,1,0))</f>
        <v/>
      </c>
    </row>
    <row r="291">
      <c r="A291" s="102">
        <f>'Runs Z score'!A279</f>
        <v/>
      </c>
      <c r="B291" s="98">
        <f>'Runs Z score'!B279</f>
        <v/>
      </c>
      <c r="C291" s="98">
        <f>'Runs Z score'!C279</f>
        <v/>
      </c>
      <c r="D291" s="98">
        <f>'Runs Z score'!D279</f>
        <v/>
      </c>
      <c r="E291" s="98">
        <f>'Runs Z score'!E279</f>
        <v/>
      </c>
      <c r="F291" s="98">
        <f>'Runs Z score'!F279</f>
        <v/>
      </c>
      <c r="G291" s="99">
        <f>'Runs Z score'!G279</f>
        <v/>
      </c>
      <c r="H291" s="100">
        <f>VLOOKUP(C291,Recipes!$A$2:$N$4,10,FALSE())</f>
        <v/>
      </c>
      <c r="I291" s="101">
        <f>VLOOKUP(C291,Recipes!$A$2:$N$4,12,FALSE())</f>
        <v/>
      </c>
      <c r="J291" s="101">
        <f>IF(G291="","",((G291-H291)/I291)^2)</f>
        <v/>
      </c>
      <c r="K291" s="101">
        <f>IF(G291="","",MAX(0, J291-$B$12))</f>
        <v/>
      </c>
      <c r="L291" s="100">
        <f>IF(G291="","",SQRT(K291))</f>
        <v/>
      </c>
      <c r="M291" s="98">
        <f>IF(G291="","",IF(K291&lt;=$B$10,"OK","NG"))</f>
        <v/>
      </c>
      <c r="N291" s="69">
        <f>IF(M291="","",IF(M291=D291,1,0))</f>
        <v/>
      </c>
      <c r="O291" s="100">
        <f>IF(G291="","",H291-G291)</f>
        <v/>
      </c>
      <c r="P291" s="100">
        <f>IF(G291="","",ABS(O291-Components!$D$2))</f>
        <v/>
      </c>
      <c r="Q291" s="100">
        <f>IF(G291="","",ABS(O291-Components!$D$3))</f>
        <v/>
      </c>
      <c r="R291" s="100">
        <f>IF(G291="","",ABS(O291-Components!$D$4))</f>
        <v/>
      </c>
      <c r="S291" s="100">
        <f>IF(G291="","",ABS(O291-Components!$D$5))</f>
        <v/>
      </c>
      <c r="T291" s="100">
        <f>IF(G291="","",ABS(O291-Components!$D$6))</f>
        <v/>
      </c>
      <c r="U291" s="100">
        <f>IF(G291="","",ABS(O291-Components!$D$7))</f>
        <v/>
      </c>
      <c r="V291" s="98">
        <f>IF(G291="","",IF(M291="OK","NONE",INDEX({"S1","S2","W1","W2","N1","N2"},MATCH(MIN(P291:U291),P291:U291,0))))</f>
        <v/>
      </c>
      <c r="W291" s="103">
        <f>IF(G291="","",IF(V291=E291,1,0))</f>
        <v/>
      </c>
    </row>
    <row r="292">
      <c r="A292" s="102">
        <f>'Runs Z score'!A280</f>
        <v/>
      </c>
      <c r="B292" s="98">
        <f>'Runs Z score'!B280</f>
        <v/>
      </c>
      <c r="C292" s="98">
        <f>'Runs Z score'!C280</f>
        <v/>
      </c>
      <c r="D292" s="98">
        <f>'Runs Z score'!D280</f>
        <v/>
      </c>
      <c r="E292" s="98">
        <f>'Runs Z score'!E280</f>
        <v/>
      </c>
      <c r="F292" s="98">
        <f>'Runs Z score'!F280</f>
        <v/>
      </c>
      <c r="G292" s="99">
        <f>'Runs Z score'!G280</f>
        <v/>
      </c>
      <c r="H292" s="100">
        <f>VLOOKUP(C292,Recipes!$A$2:$N$4,10,FALSE())</f>
        <v/>
      </c>
      <c r="I292" s="101">
        <f>VLOOKUP(C292,Recipes!$A$2:$N$4,12,FALSE())</f>
        <v/>
      </c>
      <c r="J292" s="101">
        <f>IF(G292="","",((G292-H292)/I292)^2)</f>
        <v/>
      </c>
      <c r="K292" s="101">
        <f>IF(G292="","",MAX(0, J292-$B$12))</f>
        <v/>
      </c>
      <c r="L292" s="100">
        <f>IF(G292="","",SQRT(K292))</f>
        <v/>
      </c>
      <c r="M292" s="98">
        <f>IF(G292="","",IF(K292&lt;=$B$10,"OK","NG"))</f>
        <v/>
      </c>
      <c r="N292" s="69">
        <f>IF(M292="","",IF(M292=D292,1,0))</f>
        <v/>
      </c>
      <c r="O292" s="100">
        <f>IF(G292="","",H292-G292)</f>
        <v/>
      </c>
      <c r="P292" s="100">
        <f>IF(G292="","",ABS(O292-Components!$D$2))</f>
        <v/>
      </c>
      <c r="Q292" s="100">
        <f>IF(G292="","",ABS(O292-Components!$D$3))</f>
        <v/>
      </c>
      <c r="R292" s="100">
        <f>IF(G292="","",ABS(O292-Components!$D$4))</f>
        <v/>
      </c>
      <c r="S292" s="100">
        <f>IF(G292="","",ABS(O292-Components!$D$5))</f>
        <v/>
      </c>
      <c r="T292" s="100">
        <f>IF(G292="","",ABS(O292-Components!$D$6))</f>
        <v/>
      </c>
      <c r="U292" s="100">
        <f>IF(G292="","",ABS(O292-Components!$D$7))</f>
        <v/>
      </c>
      <c r="V292" s="98">
        <f>IF(G292="","",IF(M292="OK","NONE",INDEX({"S1","S2","W1","W2","N1","N2"},MATCH(MIN(P292:U292),P292:U292,0))))</f>
        <v/>
      </c>
      <c r="W292" s="103">
        <f>IF(G292="","",IF(V292=E292,1,0))</f>
        <v/>
      </c>
    </row>
    <row r="293">
      <c r="A293" s="102">
        <f>'Runs Z score'!A281</f>
        <v/>
      </c>
      <c r="B293" s="98">
        <f>'Runs Z score'!B281</f>
        <v/>
      </c>
      <c r="C293" s="98">
        <f>'Runs Z score'!C281</f>
        <v/>
      </c>
      <c r="D293" s="98">
        <f>'Runs Z score'!D281</f>
        <v/>
      </c>
      <c r="E293" s="98">
        <f>'Runs Z score'!E281</f>
        <v/>
      </c>
      <c r="F293" s="98">
        <f>'Runs Z score'!F281</f>
        <v/>
      </c>
      <c r="G293" s="99">
        <f>'Runs Z score'!G281</f>
        <v/>
      </c>
      <c r="H293" s="100">
        <f>VLOOKUP(C293,Recipes!$A$2:$N$4,10,FALSE())</f>
        <v/>
      </c>
      <c r="I293" s="101">
        <f>VLOOKUP(C293,Recipes!$A$2:$N$4,12,FALSE())</f>
        <v/>
      </c>
      <c r="J293" s="101">
        <f>IF(G293="","",((G293-H293)/I293)^2)</f>
        <v/>
      </c>
      <c r="K293" s="101">
        <f>IF(G293="","",MAX(0, J293-$B$12))</f>
        <v/>
      </c>
      <c r="L293" s="100">
        <f>IF(G293="","",SQRT(K293))</f>
        <v/>
      </c>
      <c r="M293" s="98">
        <f>IF(G293="","",IF(K293&lt;=$B$10,"OK","NG"))</f>
        <v/>
      </c>
      <c r="N293" s="69">
        <f>IF(M293="","",IF(M293=D293,1,0))</f>
        <v/>
      </c>
      <c r="O293" s="100">
        <f>IF(G293="","",H293-G293)</f>
        <v/>
      </c>
      <c r="P293" s="100">
        <f>IF(G293="","",ABS(O293-Components!$D$2))</f>
        <v/>
      </c>
      <c r="Q293" s="100">
        <f>IF(G293="","",ABS(O293-Components!$D$3))</f>
        <v/>
      </c>
      <c r="R293" s="100">
        <f>IF(G293="","",ABS(O293-Components!$D$4))</f>
        <v/>
      </c>
      <c r="S293" s="100">
        <f>IF(G293="","",ABS(O293-Components!$D$5))</f>
        <v/>
      </c>
      <c r="T293" s="100">
        <f>IF(G293="","",ABS(O293-Components!$D$6))</f>
        <v/>
      </c>
      <c r="U293" s="100">
        <f>IF(G293="","",ABS(O293-Components!$D$7))</f>
        <v/>
      </c>
      <c r="V293" s="98">
        <f>IF(G293="","",IF(M293="OK","NONE",INDEX({"S1","S2","W1","W2","N1","N2"},MATCH(MIN(P293:U293),P293:U293,0))))</f>
        <v/>
      </c>
      <c r="W293" s="103">
        <f>IF(G293="","",IF(V293=E293,1,0))</f>
        <v/>
      </c>
    </row>
    <row r="294">
      <c r="A294" s="102">
        <f>'Runs Z score'!A282</f>
        <v/>
      </c>
      <c r="B294" s="98">
        <f>'Runs Z score'!B282</f>
        <v/>
      </c>
      <c r="C294" s="98">
        <f>'Runs Z score'!C282</f>
        <v/>
      </c>
      <c r="D294" s="98">
        <f>'Runs Z score'!D282</f>
        <v/>
      </c>
      <c r="E294" s="98">
        <f>'Runs Z score'!E282</f>
        <v/>
      </c>
      <c r="F294" s="98">
        <f>'Runs Z score'!F282</f>
        <v/>
      </c>
      <c r="G294" s="99">
        <f>'Runs Z score'!G282</f>
        <v/>
      </c>
      <c r="H294" s="100">
        <f>VLOOKUP(C294,Recipes!$A$2:$N$4,10,FALSE())</f>
        <v/>
      </c>
      <c r="I294" s="101">
        <f>VLOOKUP(C294,Recipes!$A$2:$N$4,12,FALSE())</f>
        <v/>
      </c>
      <c r="J294" s="101">
        <f>IF(G294="","",((G294-H294)/I294)^2)</f>
        <v/>
      </c>
      <c r="K294" s="101">
        <f>IF(G294="","",MAX(0, J294-$B$12))</f>
        <v/>
      </c>
      <c r="L294" s="100">
        <f>IF(G294="","",SQRT(K294))</f>
        <v/>
      </c>
      <c r="M294" s="98">
        <f>IF(G294="","",IF(K294&lt;=$B$10,"OK","NG"))</f>
        <v/>
      </c>
      <c r="N294" s="69">
        <f>IF(M294="","",IF(M294=D294,1,0))</f>
        <v/>
      </c>
      <c r="O294" s="100">
        <f>IF(G294="","",H294-G294)</f>
        <v/>
      </c>
      <c r="P294" s="100">
        <f>IF(G294="","",ABS(O294-Components!$D$2))</f>
        <v/>
      </c>
      <c r="Q294" s="100">
        <f>IF(G294="","",ABS(O294-Components!$D$3))</f>
        <v/>
      </c>
      <c r="R294" s="100">
        <f>IF(G294="","",ABS(O294-Components!$D$4))</f>
        <v/>
      </c>
      <c r="S294" s="100">
        <f>IF(G294="","",ABS(O294-Components!$D$5))</f>
        <v/>
      </c>
      <c r="T294" s="100">
        <f>IF(G294="","",ABS(O294-Components!$D$6))</f>
        <v/>
      </c>
      <c r="U294" s="100">
        <f>IF(G294="","",ABS(O294-Components!$D$7))</f>
        <v/>
      </c>
      <c r="V294" s="98">
        <f>IF(G294="","",IF(M294="OK","NONE",INDEX({"S1","S2","W1","W2","N1","N2"},MATCH(MIN(P294:U294),P294:U294,0))))</f>
        <v/>
      </c>
      <c r="W294" s="103">
        <f>IF(G294="","",IF(V294=E294,1,0))</f>
        <v/>
      </c>
    </row>
    <row r="295">
      <c r="A295" s="102">
        <f>'Runs Z score'!A283</f>
        <v/>
      </c>
      <c r="B295" s="98">
        <f>'Runs Z score'!B283</f>
        <v/>
      </c>
      <c r="C295" s="98">
        <f>'Runs Z score'!C283</f>
        <v/>
      </c>
      <c r="D295" s="98">
        <f>'Runs Z score'!D283</f>
        <v/>
      </c>
      <c r="E295" s="98">
        <f>'Runs Z score'!E283</f>
        <v/>
      </c>
      <c r="F295" s="98">
        <f>'Runs Z score'!F283</f>
        <v/>
      </c>
      <c r="G295" s="99">
        <f>'Runs Z score'!G283</f>
        <v/>
      </c>
      <c r="H295" s="100">
        <f>VLOOKUP(C295,Recipes!$A$2:$N$4,10,FALSE())</f>
        <v/>
      </c>
      <c r="I295" s="101">
        <f>VLOOKUP(C295,Recipes!$A$2:$N$4,12,FALSE())</f>
        <v/>
      </c>
      <c r="J295" s="101">
        <f>IF(G295="","",((G295-H295)/I295)^2)</f>
        <v/>
      </c>
      <c r="K295" s="101">
        <f>IF(G295="","",MAX(0, J295-$B$12))</f>
        <v/>
      </c>
      <c r="L295" s="100">
        <f>IF(G295="","",SQRT(K295))</f>
        <v/>
      </c>
      <c r="M295" s="98">
        <f>IF(G295="","",IF(K295&lt;=$B$10,"OK","NG"))</f>
        <v/>
      </c>
      <c r="N295" s="69">
        <f>IF(M295="","",IF(M295=D295,1,0))</f>
        <v/>
      </c>
      <c r="O295" s="100">
        <f>IF(G295="","",H295-G295)</f>
        <v/>
      </c>
      <c r="P295" s="100">
        <f>IF(G295="","",ABS(O295-Components!$D$2))</f>
        <v/>
      </c>
      <c r="Q295" s="100">
        <f>IF(G295="","",ABS(O295-Components!$D$3))</f>
        <v/>
      </c>
      <c r="R295" s="100">
        <f>IF(G295="","",ABS(O295-Components!$D$4))</f>
        <v/>
      </c>
      <c r="S295" s="100">
        <f>IF(G295="","",ABS(O295-Components!$D$5))</f>
        <v/>
      </c>
      <c r="T295" s="100">
        <f>IF(G295="","",ABS(O295-Components!$D$6))</f>
        <v/>
      </c>
      <c r="U295" s="100">
        <f>IF(G295="","",ABS(O295-Components!$D$7))</f>
        <v/>
      </c>
      <c r="V295" s="98">
        <f>IF(G295="","",IF(M295="OK","NONE",INDEX({"S1","S2","W1","W2","N1","N2"},MATCH(MIN(P295:U295),P295:U295,0))))</f>
        <v/>
      </c>
      <c r="W295" s="103">
        <f>IF(G295="","",IF(V295=E295,1,0))</f>
        <v/>
      </c>
    </row>
    <row r="296">
      <c r="A296" s="102">
        <f>'Runs Z score'!A284</f>
        <v/>
      </c>
      <c r="B296" s="98">
        <f>'Runs Z score'!B284</f>
        <v/>
      </c>
      <c r="C296" s="98">
        <f>'Runs Z score'!C284</f>
        <v/>
      </c>
      <c r="D296" s="98">
        <f>'Runs Z score'!D284</f>
        <v/>
      </c>
      <c r="E296" s="98">
        <f>'Runs Z score'!E284</f>
        <v/>
      </c>
      <c r="F296" s="98">
        <f>'Runs Z score'!F284</f>
        <v/>
      </c>
      <c r="G296" s="99">
        <f>'Runs Z score'!G284</f>
        <v/>
      </c>
      <c r="H296" s="100">
        <f>VLOOKUP(C296,Recipes!$A$2:$N$4,10,FALSE())</f>
        <v/>
      </c>
      <c r="I296" s="101">
        <f>VLOOKUP(C296,Recipes!$A$2:$N$4,12,FALSE())</f>
        <v/>
      </c>
      <c r="J296" s="101">
        <f>IF(G296="","",((G296-H296)/I296)^2)</f>
        <v/>
      </c>
      <c r="K296" s="101">
        <f>IF(G296="","",MAX(0, J296-$B$12))</f>
        <v/>
      </c>
      <c r="L296" s="100">
        <f>IF(G296="","",SQRT(K296))</f>
        <v/>
      </c>
      <c r="M296" s="98">
        <f>IF(G296="","",IF(K296&lt;=$B$10,"OK","NG"))</f>
        <v/>
      </c>
      <c r="N296" s="69">
        <f>IF(M296="","",IF(M296=D296,1,0))</f>
        <v/>
      </c>
      <c r="O296" s="100">
        <f>IF(G296="","",H296-G296)</f>
        <v/>
      </c>
      <c r="P296" s="100">
        <f>IF(G296="","",ABS(O296-Components!$D$2))</f>
        <v/>
      </c>
      <c r="Q296" s="100">
        <f>IF(G296="","",ABS(O296-Components!$D$3))</f>
        <v/>
      </c>
      <c r="R296" s="100">
        <f>IF(G296="","",ABS(O296-Components!$D$4))</f>
        <v/>
      </c>
      <c r="S296" s="100">
        <f>IF(G296="","",ABS(O296-Components!$D$5))</f>
        <v/>
      </c>
      <c r="T296" s="100">
        <f>IF(G296="","",ABS(O296-Components!$D$6))</f>
        <v/>
      </c>
      <c r="U296" s="100">
        <f>IF(G296="","",ABS(O296-Components!$D$7))</f>
        <v/>
      </c>
      <c r="V296" s="98">
        <f>IF(G296="","",IF(M296="OK","NONE",INDEX({"S1","S2","W1","W2","N1","N2"},MATCH(MIN(P296:U296),P296:U296,0))))</f>
        <v/>
      </c>
      <c r="W296" s="103">
        <f>IF(G296="","",IF(V296=E296,1,0))</f>
        <v/>
      </c>
    </row>
    <row r="297">
      <c r="A297" s="102">
        <f>'Runs Z score'!A285</f>
        <v/>
      </c>
      <c r="B297" s="98">
        <f>'Runs Z score'!B285</f>
        <v/>
      </c>
      <c r="C297" s="98">
        <f>'Runs Z score'!C285</f>
        <v/>
      </c>
      <c r="D297" s="98">
        <f>'Runs Z score'!D285</f>
        <v/>
      </c>
      <c r="E297" s="98">
        <f>'Runs Z score'!E285</f>
        <v/>
      </c>
      <c r="F297" s="98">
        <f>'Runs Z score'!F285</f>
        <v/>
      </c>
      <c r="G297" s="99">
        <f>'Runs Z score'!G285</f>
        <v/>
      </c>
      <c r="H297" s="100">
        <f>VLOOKUP(C297,Recipes!$A$2:$N$4,10,FALSE())</f>
        <v/>
      </c>
      <c r="I297" s="101">
        <f>VLOOKUP(C297,Recipes!$A$2:$N$4,12,FALSE())</f>
        <v/>
      </c>
      <c r="J297" s="101">
        <f>IF(G297="","",((G297-H297)/I297)^2)</f>
        <v/>
      </c>
      <c r="K297" s="101">
        <f>IF(G297="","",MAX(0, J297-$B$12))</f>
        <v/>
      </c>
      <c r="L297" s="100">
        <f>IF(G297="","",SQRT(K297))</f>
        <v/>
      </c>
      <c r="M297" s="98">
        <f>IF(G297="","",IF(K297&lt;=$B$10,"OK","NG"))</f>
        <v/>
      </c>
      <c r="N297" s="69">
        <f>IF(M297="","",IF(M297=D297,1,0))</f>
        <v/>
      </c>
      <c r="O297" s="100">
        <f>IF(G297="","",H297-G297)</f>
        <v/>
      </c>
      <c r="P297" s="100">
        <f>IF(G297="","",ABS(O297-Components!$D$2))</f>
        <v/>
      </c>
      <c r="Q297" s="100">
        <f>IF(G297="","",ABS(O297-Components!$D$3))</f>
        <v/>
      </c>
      <c r="R297" s="100">
        <f>IF(G297="","",ABS(O297-Components!$D$4))</f>
        <v/>
      </c>
      <c r="S297" s="100">
        <f>IF(G297="","",ABS(O297-Components!$D$5))</f>
        <v/>
      </c>
      <c r="T297" s="100">
        <f>IF(G297="","",ABS(O297-Components!$D$6))</f>
        <v/>
      </c>
      <c r="U297" s="100">
        <f>IF(G297="","",ABS(O297-Components!$D$7))</f>
        <v/>
      </c>
      <c r="V297" s="98">
        <f>IF(G297="","",IF(M297="OK","NONE",INDEX({"S1","S2","W1","W2","N1","N2"},MATCH(MIN(P297:U297),P297:U297,0))))</f>
        <v/>
      </c>
      <c r="W297" s="103">
        <f>IF(G297="","",IF(V297=E297,1,0))</f>
        <v/>
      </c>
    </row>
    <row r="298">
      <c r="A298" s="102">
        <f>'Runs Z score'!A286</f>
        <v/>
      </c>
      <c r="B298" s="98">
        <f>'Runs Z score'!B286</f>
        <v/>
      </c>
      <c r="C298" s="98">
        <f>'Runs Z score'!C286</f>
        <v/>
      </c>
      <c r="D298" s="98">
        <f>'Runs Z score'!D286</f>
        <v/>
      </c>
      <c r="E298" s="98">
        <f>'Runs Z score'!E286</f>
        <v/>
      </c>
      <c r="F298" s="98">
        <f>'Runs Z score'!F286</f>
        <v/>
      </c>
      <c r="G298" s="99">
        <f>'Runs Z score'!G286</f>
        <v/>
      </c>
      <c r="H298" s="100">
        <f>VLOOKUP(C298,Recipes!$A$2:$N$4,10,FALSE())</f>
        <v/>
      </c>
      <c r="I298" s="101">
        <f>VLOOKUP(C298,Recipes!$A$2:$N$4,12,FALSE())</f>
        <v/>
      </c>
      <c r="J298" s="101">
        <f>IF(G298="","",((G298-H298)/I298)^2)</f>
        <v/>
      </c>
      <c r="K298" s="101">
        <f>IF(G298="","",MAX(0, J298-$B$12))</f>
        <v/>
      </c>
      <c r="L298" s="100">
        <f>IF(G298="","",SQRT(K298))</f>
        <v/>
      </c>
      <c r="M298" s="98">
        <f>IF(G298="","",IF(K298&lt;=$B$10,"OK","NG"))</f>
        <v/>
      </c>
      <c r="N298" s="69">
        <f>IF(M298="","",IF(M298=D298,1,0))</f>
        <v/>
      </c>
      <c r="O298" s="100">
        <f>IF(G298="","",H298-G298)</f>
        <v/>
      </c>
      <c r="P298" s="100">
        <f>IF(G298="","",ABS(O298-Components!$D$2))</f>
        <v/>
      </c>
      <c r="Q298" s="100">
        <f>IF(G298="","",ABS(O298-Components!$D$3))</f>
        <v/>
      </c>
      <c r="R298" s="100">
        <f>IF(G298="","",ABS(O298-Components!$D$4))</f>
        <v/>
      </c>
      <c r="S298" s="100">
        <f>IF(G298="","",ABS(O298-Components!$D$5))</f>
        <v/>
      </c>
      <c r="T298" s="100">
        <f>IF(G298="","",ABS(O298-Components!$D$6))</f>
        <v/>
      </c>
      <c r="U298" s="100">
        <f>IF(G298="","",ABS(O298-Components!$D$7))</f>
        <v/>
      </c>
      <c r="V298" s="98">
        <f>IF(G298="","",IF(M298="OK","NONE",INDEX({"S1","S2","W1","W2","N1","N2"},MATCH(MIN(P298:U298),P298:U298,0))))</f>
        <v/>
      </c>
      <c r="W298" s="103">
        <f>IF(G298="","",IF(V298=E298,1,0))</f>
        <v/>
      </c>
    </row>
    <row r="299">
      <c r="A299" s="102">
        <f>'Runs Z score'!A287</f>
        <v/>
      </c>
      <c r="B299" s="98">
        <f>'Runs Z score'!B287</f>
        <v/>
      </c>
      <c r="C299" s="98">
        <f>'Runs Z score'!C287</f>
        <v/>
      </c>
      <c r="D299" s="98">
        <f>'Runs Z score'!D287</f>
        <v/>
      </c>
      <c r="E299" s="98">
        <f>'Runs Z score'!E287</f>
        <v/>
      </c>
      <c r="F299" s="98">
        <f>'Runs Z score'!F287</f>
        <v/>
      </c>
      <c r="G299" s="99">
        <f>'Runs Z score'!G287</f>
        <v/>
      </c>
      <c r="H299" s="100">
        <f>VLOOKUP(C299,Recipes!$A$2:$N$4,10,FALSE())</f>
        <v/>
      </c>
      <c r="I299" s="101">
        <f>VLOOKUP(C299,Recipes!$A$2:$N$4,12,FALSE())</f>
        <v/>
      </c>
      <c r="J299" s="101">
        <f>IF(G299="","",((G299-H299)/I299)^2)</f>
        <v/>
      </c>
      <c r="K299" s="101">
        <f>IF(G299="","",MAX(0, J299-$B$12))</f>
        <v/>
      </c>
      <c r="L299" s="100">
        <f>IF(G299="","",SQRT(K299))</f>
        <v/>
      </c>
      <c r="M299" s="98">
        <f>IF(G299="","",IF(K299&lt;=$B$10,"OK","NG"))</f>
        <v/>
      </c>
      <c r="N299" s="69">
        <f>IF(M299="","",IF(M299=D299,1,0))</f>
        <v/>
      </c>
      <c r="O299" s="100">
        <f>IF(G299="","",H299-G299)</f>
        <v/>
      </c>
      <c r="P299" s="100">
        <f>IF(G299="","",ABS(O299-Components!$D$2))</f>
        <v/>
      </c>
      <c r="Q299" s="100">
        <f>IF(G299="","",ABS(O299-Components!$D$3))</f>
        <v/>
      </c>
      <c r="R299" s="100">
        <f>IF(G299="","",ABS(O299-Components!$D$4))</f>
        <v/>
      </c>
      <c r="S299" s="100">
        <f>IF(G299="","",ABS(O299-Components!$D$5))</f>
        <v/>
      </c>
      <c r="T299" s="100">
        <f>IF(G299="","",ABS(O299-Components!$D$6))</f>
        <v/>
      </c>
      <c r="U299" s="100">
        <f>IF(G299="","",ABS(O299-Components!$D$7))</f>
        <v/>
      </c>
      <c r="V299" s="98">
        <f>IF(G299="","",IF(M299="OK","NONE",INDEX({"S1","S2","W1","W2","N1","N2"},MATCH(MIN(P299:U299),P299:U299,0))))</f>
        <v/>
      </c>
      <c r="W299" s="103">
        <f>IF(G299="","",IF(V299=E299,1,0))</f>
        <v/>
      </c>
    </row>
    <row r="300">
      <c r="A300" s="102">
        <f>'Runs Z score'!A288</f>
        <v/>
      </c>
      <c r="B300" s="98">
        <f>'Runs Z score'!B288</f>
        <v/>
      </c>
      <c r="C300" s="98">
        <f>'Runs Z score'!C288</f>
        <v/>
      </c>
      <c r="D300" s="98">
        <f>'Runs Z score'!D288</f>
        <v/>
      </c>
      <c r="E300" s="98">
        <f>'Runs Z score'!E288</f>
        <v/>
      </c>
      <c r="F300" s="98">
        <f>'Runs Z score'!F288</f>
        <v/>
      </c>
      <c r="G300" s="99">
        <f>'Runs Z score'!G288</f>
        <v/>
      </c>
      <c r="H300" s="100">
        <f>VLOOKUP(C300,Recipes!$A$2:$N$4,10,FALSE())</f>
        <v/>
      </c>
      <c r="I300" s="101">
        <f>VLOOKUP(C300,Recipes!$A$2:$N$4,12,FALSE())</f>
        <v/>
      </c>
      <c r="J300" s="101">
        <f>IF(G300="","",((G300-H300)/I300)^2)</f>
        <v/>
      </c>
      <c r="K300" s="101">
        <f>IF(G300="","",MAX(0, J300-$B$12))</f>
        <v/>
      </c>
      <c r="L300" s="100">
        <f>IF(G300="","",SQRT(K300))</f>
        <v/>
      </c>
      <c r="M300" s="98">
        <f>IF(G300="","",IF(K300&lt;=$B$10,"OK","NG"))</f>
        <v/>
      </c>
      <c r="N300" s="69">
        <f>IF(M300="","",IF(M300=D300,1,0))</f>
        <v/>
      </c>
      <c r="O300" s="100">
        <f>IF(G300="","",H300-G300)</f>
        <v/>
      </c>
      <c r="P300" s="100">
        <f>IF(G300="","",ABS(O300-Components!$D$2))</f>
        <v/>
      </c>
      <c r="Q300" s="100">
        <f>IF(G300="","",ABS(O300-Components!$D$3))</f>
        <v/>
      </c>
      <c r="R300" s="100">
        <f>IF(G300="","",ABS(O300-Components!$D$4))</f>
        <v/>
      </c>
      <c r="S300" s="100">
        <f>IF(G300="","",ABS(O300-Components!$D$5))</f>
        <v/>
      </c>
      <c r="T300" s="100">
        <f>IF(G300="","",ABS(O300-Components!$D$6))</f>
        <v/>
      </c>
      <c r="U300" s="100">
        <f>IF(G300="","",ABS(O300-Components!$D$7))</f>
        <v/>
      </c>
      <c r="V300" s="98">
        <f>IF(G300="","",IF(M300="OK","NONE",INDEX({"S1","S2","W1","W2","N1","N2"},MATCH(MIN(P300:U300),P300:U300,0))))</f>
        <v/>
      </c>
      <c r="W300" s="103">
        <f>IF(G300="","",IF(V300=E300,1,0))</f>
        <v/>
      </c>
    </row>
    <row r="301">
      <c r="A301" s="102">
        <f>'Runs Z score'!A289</f>
        <v/>
      </c>
      <c r="B301" s="98">
        <f>'Runs Z score'!B289</f>
        <v/>
      </c>
      <c r="C301" s="98">
        <f>'Runs Z score'!C289</f>
        <v/>
      </c>
      <c r="D301" s="98">
        <f>'Runs Z score'!D289</f>
        <v/>
      </c>
      <c r="E301" s="98">
        <f>'Runs Z score'!E289</f>
        <v/>
      </c>
      <c r="F301" s="98">
        <f>'Runs Z score'!F289</f>
        <v/>
      </c>
      <c r="G301" s="99">
        <f>'Runs Z score'!G289</f>
        <v/>
      </c>
      <c r="H301" s="100">
        <f>VLOOKUP(C301,Recipes!$A$2:$N$4,10,FALSE())</f>
        <v/>
      </c>
      <c r="I301" s="101">
        <f>VLOOKUP(C301,Recipes!$A$2:$N$4,12,FALSE())</f>
        <v/>
      </c>
      <c r="J301" s="101">
        <f>IF(G301="","",((G301-H301)/I301)^2)</f>
        <v/>
      </c>
      <c r="K301" s="101">
        <f>IF(G301="","",MAX(0, J301-$B$12))</f>
        <v/>
      </c>
      <c r="L301" s="100">
        <f>IF(G301="","",SQRT(K301))</f>
        <v/>
      </c>
      <c r="M301" s="98">
        <f>IF(G301="","",IF(K301&lt;=$B$10,"OK","NG"))</f>
        <v/>
      </c>
      <c r="N301" s="69">
        <f>IF(M301="","",IF(M301=D301,1,0))</f>
        <v/>
      </c>
      <c r="O301" s="100">
        <f>IF(G301="","",H301-G301)</f>
        <v/>
      </c>
      <c r="P301" s="100">
        <f>IF(G301="","",ABS(O301-Components!$D$2))</f>
        <v/>
      </c>
      <c r="Q301" s="100">
        <f>IF(G301="","",ABS(O301-Components!$D$3))</f>
        <v/>
      </c>
      <c r="R301" s="100">
        <f>IF(G301="","",ABS(O301-Components!$D$4))</f>
        <v/>
      </c>
      <c r="S301" s="100">
        <f>IF(G301="","",ABS(O301-Components!$D$5))</f>
        <v/>
      </c>
      <c r="T301" s="100">
        <f>IF(G301="","",ABS(O301-Components!$D$6))</f>
        <v/>
      </c>
      <c r="U301" s="100">
        <f>IF(G301="","",ABS(O301-Components!$D$7))</f>
        <v/>
      </c>
      <c r="V301" s="98">
        <f>IF(G301="","",IF(M301="OK","NONE",INDEX({"S1","S2","W1","W2","N1","N2"},MATCH(MIN(P301:U301),P301:U301,0))))</f>
        <v/>
      </c>
      <c r="W301" s="103">
        <f>IF(G301="","",IF(V301=E301,1,0))</f>
        <v/>
      </c>
    </row>
    <row r="302">
      <c r="A302" s="102">
        <f>'Runs Z score'!A290</f>
        <v/>
      </c>
      <c r="B302" s="98">
        <f>'Runs Z score'!B290</f>
        <v/>
      </c>
      <c r="C302" s="98">
        <f>'Runs Z score'!C290</f>
        <v/>
      </c>
      <c r="D302" s="98">
        <f>'Runs Z score'!D290</f>
        <v/>
      </c>
      <c r="E302" s="98">
        <f>'Runs Z score'!E290</f>
        <v/>
      </c>
      <c r="F302" s="98">
        <f>'Runs Z score'!F290</f>
        <v/>
      </c>
      <c r="G302" s="99">
        <f>'Runs Z score'!G290</f>
        <v/>
      </c>
      <c r="H302" s="100">
        <f>VLOOKUP(C302,Recipes!$A$2:$N$4,10,FALSE())</f>
        <v/>
      </c>
      <c r="I302" s="101">
        <f>VLOOKUP(C302,Recipes!$A$2:$N$4,12,FALSE())</f>
        <v/>
      </c>
      <c r="J302" s="101">
        <f>IF(G302="","",((G302-H302)/I302)^2)</f>
        <v/>
      </c>
      <c r="K302" s="101">
        <f>IF(G302="","",MAX(0, J302-$B$12))</f>
        <v/>
      </c>
      <c r="L302" s="100">
        <f>IF(G302="","",SQRT(K302))</f>
        <v/>
      </c>
      <c r="M302" s="98">
        <f>IF(G302="","",IF(K302&lt;=$B$10,"OK","NG"))</f>
        <v/>
      </c>
      <c r="N302" s="69">
        <f>IF(M302="","",IF(M302=D302,1,0))</f>
        <v/>
      </c>
      <c r="O302" s="100">
        <f>IF(G302="","",H302-G302)</f>
        <v/>
      </c>
      <c r="P302" s="100">
        <f>IF(G302="","",ABS(O302-Components!$D$2))</f>
        <v/>
      </c>
      <c r="Q302" s="100">
        <f>IF(G302="","",ABS(O302-Components!$D$3))</f>
        <v/>
      </c>
      <c r="R302" s="100">
        <f>IF(G302="","",ABS(O302-Components!$D$4))</f>
        <v/>
      </c>
      <c r="S302" s="100">
        <f>IF(G302="","",ABS(O302-Components!$D$5))</f>
        <v/>
      </c>
      <c r="T302" s="100">
        <f>IF(G302="","",ABS(O302-Components!$D$6))</f>
        <v/>
      </c>
      <c r="U302" s="100">
        <f>IF(G302="","",ABS(O302-Components!$D$7))</f>
        <v/>
      </c>
      <c r="V302" s="98">
        <f>IF(G302="","",IF(M302="OK","NONE",INDEX({"S1","S2","W1","W2","N1","N2"},MATCH(MIN(P302:U302),P302:U302,0))))</f>
        <v/>
      </c>
      <c r="W302" s="103">
        <f>IF(G302="","",IF(V302=E302,1,0))</f>
        <v/>
      </c>
    </row>
    <row r="303">
      <c r="A303" s="102">
        <f>'Runs Z score'!A291</f>
        <v/>
      </c>
      <c r="B303" s="98">
        <f>'Runs Z score'!B291</f>
        <v/>
      </c>
      <c r="C303" s="98">
        <f>'Runs Z score'!C291</f>
        <v/>
      </c>
      <c r="D303" s="98">
        <f>'Runs Z score'!D291</f>
        <v/>
      </c>
      <c r="E303" s="98">
        <f>'Runs Z score'!E291</f>
        <v/>
      </c>
      <c r="F303" s="98">
        <f>'Runs Z score'!F291</f>
        <v/>
      </c>
      <c r="G303" s="99">
        <f>'Runs Z score'!G291</f>
        <v/>
      </c>
      <c r="H303" s="100">
        <f>VLOOKUP(C303,Recipes!$A$2:$N$4,10,FALSE())</f>
        <v/>
      </c>
      <c r="I303" s="101">
        <f>VLOOKUP(C303,Recipes!$A$2:$N$4,12,FALSE())</f>
        <v/>
      </c>
      <c r="J303" s="101">
        <f>IF(G303="","",((G303-H303)/I303)^2)</f>
        <v/>
      </c>
      <c r="K303" s="101">
        <f>IF(G303="","",MAX(0, J303-$B$12))</f>
        <v/>
      </c>
      <c r="L303" s="100">
        <f>IF(G303="","",SQRT(K303))</f>
        <v/>
      </c>
      <c r="M303" s="98">
        <f>IF(G303="","",IF(K303&lt;=$B$10,"OK","NG"))</f>
        <v/>
      </c>
      <c r="N303" s="69">
        <f>IF(M303="","",IF(M303=D303,1,0))</f>
        <v/>
      </c>
      <c r="O303" s="100">
        <f>IF(G303="","",H303-G303)</f>
        <v/>
      </c>
      <c r="P303" s="100">
        <f>IF(G303="","",ABS(O303-Components!$D$2))</f>
        <v/>
      </c>
      <c r="Q303" s="100">
        <f>IF(G303="","",ABS(O303-Components!$D$3))</f>
        <v/>
      </c>
      <c r="R303" s="100">
        <f>IF(G303="","",ABS(O303-Components!$D$4))</f>
        <v/>
      </c>
      <c r="S303" s="100">
        <f>IF(G303="","",ABS(O303-Components!$D$5))</f>
        <v/>
      </c>
      <c r="T303" s="100">
        <f>IF(G303="","",ABS(O303-Components!$D$6))</f>
        <v/>
      </c>
      <c r="U303" s="100">
        <f>IF(G303="","",ABS(O303-Components!$D$7))</f>
        <v/>
      </c>
      <c r="V303" s="98">
        <f>IF(G303="","",IF(M303="OK","NONE",INDEX({"S1","S2","W1","W2","N1","N2"},MATCH(MIN(P303:U303),P303:U303,0))))</f>
        <v/>
      </c>
      <c r="W303" s="103">
        <f>IF(G303="","",IF(V303=E303,1,0))</f>
        <v/>
      </c>
    </row>
    <row r="304">
      <c r="A304" s="102">
        <f>'Runs Z score'!A292</f>
        <v/>
      </c>
      <c r="B304" s="98">
        <f>'Runs Z score'!B292</f>
        <v/>
      </c>
      <c r="C304" s="98">
        <f>'Runs Z score'!C292</f>
        <v/>
      </c>
      <c r="D304" s="98">
        <f>'Runs Z score'!D292</f>
        <v/>
      </c>
      <c r="E304" s="98">
        <f>'Runs Z score'!E292</f>
        <v/>
      </c>
      <c r="F304" s="98">
        <f>'Runs Z score'!F292</f>
        <v/>
      </c>
      <c r="G304" s="99">
        <f>'Runs Z score'!G292</f>
        <v/>
      </c>
      <c r="H304" s="100">
        <f>VLOOKUP(C304,Recipes!$A$2:$N$4,10,FALSE())</f>
        <v/>
      </c>
      <c r="I304" s="101">
        <f>VLOOKUP(C304,Recipes!$A$2:$N$4,12,FALSE())</f>
        <v/>
      </c>
      <c r="J304" s="101">
        <f>IF(G304="","",((G304-H304)/I304)^2)</f>
        <v/>
      </c>
      <c r="K304" s="101">
        <f>IF(G304="","",MAX(0, J304-$B$12))</f>
        <v/>
      </c>
      <c r="L304" s="100">
        <f>IF(G304="","",SQRT(K304))</f>
        <v/>
      </c>
      <c r="M304" s="98">
        <f>IF(G304="","",IF(K304&lt;=$B$10,"OK","NG"))</f>
        <v/>
      </c>
      <c r="N304" s="69">
        <f>IF(M304="","",IF(M304=D304,1,0))</f>
        <v/>
      </c>
      <c r="O304" s="100">
        <f>IF(G304="","",H304-G304)</f>
        <v/>
      </c>
      <c r="P304" s="100">
        <f>IF(G304="","",ABS(O304-Components!$D$2))</f>
        <v/>
      </c>
      <c r="Q304" s="100">
        <f>IF(G304="","",ABS(O304-Components!$D$3))</f>
        <v/>
      </c>
      <c r="R304" s="100">
        <f>IF(G304="","",ABS(O304-Components!$D$4))</f>
        <v/>
      </c>
      <c r="S304" s="100">
        <f>IF(G304="","",ABS(O304-Components!$D$5))</f>
        <v/>
      </c>
      <c r="T304" s="100">
        <f>IF(G304="","",ABS(O304-Components!$D$6))</f>
        <v/>
      </c>
      <c r="U304" s="100">
        <f>IF(G304="","",ABS(O304-Components!$D$7))</f>
        <v/>
      </c>
      <c r="V304" s="98">
        <f>IF(G304="","",IF(M304="OK","NONE",INDEX({"S1","S2","W1","W2","N1","N2"},MATCH(MIN(P304:U304),P304:U304,0))))</f>
        <v/>
      </c>
      <c r="W304" s="103">
        <f>IF(G304="","",IF(V304=E304,1,0))</f>
        <v/>
      </c>
    </row>
    <row r="305">
      <c r="A305" s="102">
        <f>'Runs Z score'!A293</f>
        <v/>
      </c>
      <c r="B305" s="98">
        <f>'Runs Z score'!B293</f>
        <v/>
      </c>
      <c r="C305" s="98">
        <f>'Runs Z score'!C293</f>
        <v/>
      </c>
      <c r="D305" s="98">
        <f>'Runs Z score'!D293</f>
        <v/>
      </c>
      <c r="E305" s="98">
        <f>'Runs Z score'!E293</f>
        <v/>
      </c>
      <c r="F305" s="98">
        <f>'Runs Z score'!F293</f>
        <v/>
      </c>
      <c r="G305" s="99">
        <f>'Runs Z score'!G293</f>
        <v/>
      </c>
      <c r="H305" s="100">
        <f>VLOOKUP(C305,Recipes!$A$2:$N$4,10,FALSE())</f>
        <v/>
      </c>
      <c r="I305" s="101">
        <f>VLOOKUP(C305,Recipes!$A$2:$N$4,12,FALSE())</f>
        <v/>
      </c>
      <c r="J305" s="101">
        <f>IF(G305="","",((G305-H305)/I305)^2)</f>
        <v/>
      </c>
      <c r="K305" s="101">
        <f>IF(G305="","",MAX(0, J305-$B$12))</f>
        <v/>
      </c>
      <c r="L305" s="100">
        <f>IF(G305="","",SQRT(K305))</f>
        <v/>
      </c>
      <c r="M305" s="98">
        <f>IF(G305="","",IF(K305&lt;=$B$10,"OK","NG"))</f>
        <v/>
      </c>
      <c r="N305" s="69">
        <f>IF(M305="","",IF(M305=D305,1,0))</f>
        <v/>
      </c>
      <c r="O305" s="100">
        <f>IF(G305="","",H305-G305)</f>
        <v/>
      </c>
      <c r="P305" s="100">
        <f>IF(G305="","",ABS(O305-Components!$D$2))</f>
        <v/>
      </c>
      <c r="Q305" s="100">
        <f>IF(G305="","",ABS(O305-Components!$D$3))</f>
        <v/>
      </c>
      <c r="R305" s="100">
        <f>IF(G305="","",ABS(O305-Components!$D$4))</f>
        <v/>
      </c>
      <c r="S305" s="100">
        <f>IF(G305="","",ABS(O305-Components!$D$5))</f>
        <v/>
      </c>
      <c r="T305" s="100">
        <f>IF(G305="","",ABS(O305-Components!$D$6))</f>
        <v/>
      </c>
      <c r="U305" s="100">
        <f>IF(G305="","",ABS(O305-Components!$D$7))</f>
        <v/>
      </c>
      <c r="V305" s="98">
        <f>IF(G305="","",IF(M305="OK","NONE",INDEX({"S1","S2","W1","W2","N1","N2"},MATCH(MIN(P305:U305),P305:U305,0))))</f>
        <v/>
      </c>
      <c r="W305" s="103">
        <f>IF(G305="","",IF(V305=E305,1,0))</f>
        <v/>
      </c>
    </row>
    <row r="306">
      <c r="A306" s="102">
        <f>'Runs Z score'!A294</f>
        <v/>
      </c>
      <c r="B306" s="98">
        <f>'Runs Z score'!B294</f>
        <v/>
      </c>
      <c r="C306" s="98">
        <f>'Runs Z score'!C294</f>
        <v/>
      </c>
      <c r="D306" s="98">
        <f>'Runs Z score'!D294</f>
        <v/>
      </c>
      <c r="E306" s="98">
        <f>'Runs Z score'!E294</f>
        <v/>
      </c>
      <c r="F306" s="98">
        <f>'Runs Z score'!F294</f>
        <v/>
      </c>
      <c r="G306" s="99">
        <f>'Runs Z score'!G294</f>
        <v/>
      </c>
      <c r="H306" s="100">
        <f>VLOOKUP(C306,Recipes!$A$2:$N$4,10,FALSE())</f>
        <v/>
      </c>
      <c r="I306" s="101">
        <f>VLOOKUP(C306,Recipes!$A$2:$N$4,12,FALSE())</f>
        <v/>
      </c>
      <c r="J306" s="101">
        <f>IF(G306="","",((G306-H306)/I306)^2)</f>
        <v/>
      </c>
      <c r="K306" s="101">
        <f>IF(G306="","",MAX(0, J306-$B$12))</f>
        <v/>
      </c>
      <c r="L306" s="100">
        <f>IF(G306="","",SQRT(K306))</f>
        <v/>
      </c>
      <c r="M306" s="98">
        <f>IF(G306="","",IF(K306&lt;=$B$10,"OK","NG"))</f>
        <v/>
      </c>
      <c r="N306" s="69">
        <f>IF(M306="","",IF(M306=D306,1,0))</f>
        <v/>
      </c>
      <c r="O306" s="100">
        <f>IF(G306="","",H306-G306)</f>
        <v/>
      </c>
      <c r="P306" s="100">
        <f>IF(G306="","",ABS(O306-Components!$D$2))</f>
        <v/>
      </c>
      <c r="Q306" s="100">
        <f>IF(G306="","",ABS(O306-Components!$D$3))</f>
        <v/>
      </c>
      <c r="R306" s="100">
        <f>IF(G306="","",ABS(O306-Components!$D$4))</f>
        <v/>
      </c>
      <c r="S306" s="100">
        <f>IF(G306="","",ABS(O306-Components!$D$5))</f>
        <v/>
      </c>
      <c r="T306" s="100">
        <f>IF(G306="","",ABS(O306-Components!$D$6))</f>
        <v/>
      </c>
      <c r="U306" s="100">
        <f>IF(G306="","",ABS(O306-Components!$D$7))</f>
        <v/>
      </c>
      <c r="V306" s="98">
        <f>IF(G306="","",IF(M306="OK","NONE",INDEX({"S1","S2","W1","W2","N1","N2"},MATCH(MIN(P306:U306),P306:U306,0))))</f>
        <v/>
      </c>
      <c r="W306" s="103">
        <f>IF(G306="","",IF(V306=E306,1,0))</f>
        <v/>
      </c>
    </row>
    <row r="307">
      <c r="A307" s="102">
        <f>'Runs Z score'!A295</f>
        <v/>
      </c>
      <c r="B307" s="98">
        <f>'Runs Z score'!B295</f>
        <v/>
      </c>
      <c r="C307" s="98">
        <f>'Runs Z score'!C295</f>
        <v/>
      </c>
      <c r="D307" s="98">
        <f>'Runs Z score'!D295</f>
        <v/>
      </c>
      <c r="E307" s="98">
        <f>'Runs Z score'!E295</f>
        <v/>
      </c>
      <c r="F307" s="98">
        <f>'Runs Z score'!F295</f>
        <v/>
      </c>
      <c r="G307" s="99">
        <f>'Runs Z score'!G295</f>
        <v/>
      </c>
      <c r="H307" s="100">
        <f>VLOOKUP(C307,Recipes!$A$2:$N$4,10,FALSE())</f>
        <v/>
      </c>
      <c r="I307" s="101">
        <f>VLOOKUP(C307,Recipes!$A$2:$N$4,12,FALSE())</f>
        <v/>
      </c>
      <c r="J307" s="101">
        <f>IF(G307="","",((G307-H307)/I307)^2)</f>
        <v/>
      </c>
      <c r="K307" s="101">
        <f>IF(G307="","",MAX(0, J307-$B$12))</f>
        <v/>
      </c>
      <c r="L307" s="100">
        <f>IF(G307="","",SQRT(K307))</f>
        <v/>
      </c>
      <c r="M307" s="98">
        <f>IF(G307="","",IF(K307&lt;=$B$10,"OK","NG"))</f>
        <v/>
      </c>
      <c r="N307" s="69">
        <f>IF(M307="","",IF(M307=D307,1,0))</f>
        <v/>
      </c>
      <c r="O307" s="100">
        <f>IF(G307="","",H307-G307)</f>
        <v/>
      </c>
      <c r="P307" s="100">
        <f>IF(G307="","",ABS(O307-Components!$D$2))</f>
        <v/>
      </c>
      <c r="Q307" s="100">
        <f>IF(G307="","",ABS(O307-Components!$D$3))</f>
        <v/>
      </c>
      <c r="R307" s="100">
        <f>IF(G307="","",ABS(O307-Components!$D$4))</f>
        <v/>
      </c>
      <c r="S307" s="100">
        <f>IF(G307="","",ABS(O307-Components!$D$5))</f>
        <v/>
      </c>
      <c r="T307" s="100">
        <f>IF(G307="","",ABS(O307-Components!$D$6))</f>
        <v/>
      </c>
      <c r="U307" s="100">
        <f>IF(G307="","",ABS(O307-Components!$D$7))</f>
        <v/>
      </c>
      <c r="V307" s="98">
        <f>IF(G307="","",IF(M307="OK","NONE",INDEX({"S1","S2","W1","W2","N1","N2"},MATCH(MIN(P307:U307),P307:U307,0))))</f>
        <v/>
      </c>
      <c r="W307" s="103">
        <f>IF(G307="","",IF(V307=E307,1,0))</f>
        <v/>
      </c>
    </row>
    <row r="308">
      <c r="A308" s="102">
        <f>'Runs Z score'!A296</f>
        <v/>
      </c>
      <c r="B308" s="98">
        <f>'Runs Z score'!B296</f>
        <v/>
      </c>
      <c r="C308" s="98">
        <f>'Runs Z score'!C296</f>
        <v/>
      </c>
      <c r="D308" s="98">
        <f>'Runs Z score'!D296</f>
        <v/>
      </c>
      <c r="E308" s="98">
        <f>'Runs Z score'!E296</f>
        <v/>
      </c>
      <c r="F308" s="98">
        <f>'Runs Z score'!F296</f>
        <v/>
      </c>
      <c r="G308" s="99">
        <f>'Runs Z score'!G296</f>
        <v/>
      </c>
      <c r="H308" s="100">
        <f>VLOOKUP(C308,Recipes!$A$2:$N$4,10,FALSE())</f>
        <v/>
      </c>
      <c r="I308" s="101">
        <f>VLOOKUP(C308,Recipes!$A$2:$N$4,12,FALSE())</f>
        <v/>
      </c>
      <c r="J308" s="101">
        <f>IF(G308="","",((G308-H308)/I308)^2)</f>
        <v/>
      </c>
      <c r="K308" s="101">
        <f>IF(G308="","",MAX(0, J308-$B$12))</f>
        <v/>
      </c>
      <c r="L308" s="100">
        <f>IF(G308="","",SQRT(K308))</f>
        <v/>
      </c>
      <c r="M308" s="98">
        <f>IF(G308="","",IF(K308&lt;=$B$10,"OK","NG"))</f>
        <v/>
      </c>
      <c r="N308" s="69">
        <f>IF(M308="","",IF(M308=D308,1,0))</f>
        <v/>
      </c>
      <c r="O308" s="100">
        <f>IF(G308="","",H308-G308)</f>
        <v/>
      </c>
      <c r="P308" s="100">
        <f>IF(G308="","",ABS(O308-Components!$D$2))</f>
        <v/>
      </c>
      <c r="Q308" s="100">
        <f>IF(G308="","",ABS(O308-Components!$D$3))</f>
        <v/>
      </c>
      <c r="R308" s="100">
        <f>IF(G308="","",ABS(O308-Components!$D$4))</f>
        <v/>
      </c>
      <c r="S308" s="100">
        <f>IF(G308="","",ABS(O308-Components!$D$5))</f>
        <v/>
      </c>
      <c r="T308" s="100">
        <f>IF(G308="","",ABS(O308-Components!$D$6))</f>
        <v/>
      </c>
      <c r="U308" s="100">
        <f>IF(G308="","",ABS(O308-Components!$D$7))</f>
        <v/>
      </c>
      <c r="V308" s="98">
        <f>IF(G308="","",IF(M308="OK","NONE",INDEX({"S1","S2","W1","W2","N1","N2"},MATCH(MIN(P308:U308),P308:U308,0))))</f>
        <v/>
      </c>
      <c r="W308" s="103">
        <f>IF(G308="","",IF(V308=E308,1,0))</f>
        <v/>
      </c>
    </row>
    <row r="309">
      <c r="A309" s="102">
        <f>'Runs Z score'!A297</f>
        <v/>
      </c>
      <c r="B309" s="98">
        <f>'Runs Z score'!B297</f>
        <v/>
      </c>
      <c r="C309" s="98">
        <f>'Runs Z score'!C297</f>
        <v/>
      </c>
      <c r="D309" s="98">
        <f>'Runs Z score'!D297</f>
        <v/>
      </c>
      <c r="E309" s="98">
        <f>'Runs Z score'!E297</f>
        <v/>
      </c>
      <c r="F309" s="98">
        <f>'Runs Z score'!F297</f>
        <v/>
      </c>
      <c r="G309" s="99">
        <f>'Runs Z score'!G297</f>
        <v/>
      </c>
      <c r="H309" s="100">
        <f>VLOOKUP(C309,Recipes!$A$2:$N$4,10,FALSE())</f>
        <v/>
      </c>
      <c r="I309" s="101">
        <f>VLOOKUP(C309,Recipes!$A$2:$N$4,12,FALSE())</f>
        <v/>
      </c>
      <c r="J309" s="101">
        <f>IF(G309="","",((G309-H309)/I309)^2)</f>
        <v/>
      </c>
      <c r="K309" s="101">
        <f>IF(G309="","",MAX(0, J309-$B$12))</f>
        <v/>
      </c>
      <c r="L309" s="100">
        <f>IF(G309="","",SQRT(K309))</f>
        <v/>
      </c>
      <c r="M309" s="98">
        <f>IF(G309="","",IF(K309&lt;=$B$10,"OK","NG"))</f>
        <v/>
      </c>
      <c r="N309" s="69">
        <f>IF(M309="","",IF(M309=D309,1,0))</f>
        <v/>
      </c>
      <c r="O309" s="100">
        <f>IF(G309="","",H309-G309)</f>
        <v/>
      </c>
      <c r="P309" s="100">
        <f>IF(G309="","",ABS(O309-Components!$D$2))</f>
        <v/>
      </c>
      <c r="Q309" s="100">
        <f>IF(G309="","",ABS(O309-Components!$D$3))</f>
        <v/>
      </c>
      <c r="R309" s="100">
        <f>IF(G309="","",ABS(O309-Components!$D$4))</f>
        <v/>
      </c>
      <c r="S309" s="100">
        <f>IF(G309="","",ABS(O309-Components!$D$5))</f>
        <v/>
      </c>
      <c r="T309" s="100">
        <f>IF(G309="","",ABS(O309-Components!$D$6))</f>
        <v/>
      </c>
      <c r="U309" s="100">
        <f>IF(G309="","",ABS(O309-Components!$D$7))</f>
        <v/>
      </c>
      <c r="V309" s="98">
        <f>IF(G309="","",IF(M309="OK","NONE",INDEX({"S1","S2","W1","W2","N1","N2"},MATCH(MIN(P309:U309),P309:U309,0))))</f>
        <v/>
      </c>
      <c r="W309" s="103">
        <f>IF(G309="","",IF(V309=E309,1,0))</f>
        <v/>
      </c>
    </row>
    <row r="310">
      <c r="A310" s="102">
        <f>'Runs Z score'!A298</f>
        <v/>
      </c>
      <c r="B310" s="98">
        <f>'Runs Z score'!B298</f>
        <v/>
      </c>
      <c r="C310" s="98">
        <f>'Runs Z score'!C298</f>
        <v/>
      </c>
      <c r="D310" s="98">
        <f>'Runs Z score'!D298</f>
        <v/>
      </c>
      <c r="E310" s="98">
        <f>'Runs Z score'!E298</f>
        <v/>
      </c>
      <c r="F310" s="98">
        <f>'Runs Z score'!F298</f>
        <v/>
      </c>
      <c r="G310" s="99">
        <f>'Runs Z score'!G298</f>
        <v/>
      </c>
      <c r="H310" s="100">
        <f>VLOOKUP(C310,Recipes!$A$2:$N$4,10,FALSE())</f>
        <v/>
      </c>
      <c r="I310" s="101">
        <f>VLOOKUP(C310,Recipes!$A$2:$N$4,12,FALSE())</f>
        <v/>
      </c>
      <c r="J310" s="101">
        <f>IF(G310="","",((G310-H310)/I310)^2)</f>
        <v/>
      </c>
      <c r="K310" s="101">
        <f>IF(G310="","",MAX(0, J310-$B$12))</f>
        <v/>
      </c>
      <c r="L310" s="100">
        <f>IF(G310="","",SQRT(K310))</f>
        <v/>
      </c>
      <c r="M310" s="98">
        <f>IF(G310="","",IF(K310&lt;=$B$10,"OK","NG"))</f>
        <v/>
      </c>
      <c r="N310" s="69">
        <f>IF(M310="","",IF(M310=D310,1,0))</f>
        <v/>
      </c>
      <c r="O310" s="100">
        <f>IF(G310="","",H310-G310)</f>
        <v/>
      </c>
      <c r="P310" s="100">
        <f>IF(G310="","",ABS(O310-Components!$D$2))</f>
        <v/>
      </c>
      <c r="Q310" s="100">
        <f>IF(G310="","",ABS(O310-Components!$D$3))</f>
        <v/>
      </c>
      <c r="R310" s="100">
        <f>IF(G310="","",ABS(O310-Components!$D$4))</f>
        <v/>
      </c>
      <c r="S310" s="100">
        <f>IF(G310="","",ABS(O310-Components!$D$5))</f>
        <v/>
      </c>
      <c r="T310" s="100">
        <f>IF(G310="","",ABS(O310-Components!$D$6))</f>
        <v/>
      </c>
      <c r="U310" s="100">
        <f>IF(G310="","",ABS(O310-Components!$D$7))</f>
        <v/>
      </c>
      <c r="V310" s="98">
        <f>IF(G310="","",IF(M310="OK","NONE",INDEX({"S1","S2","W1","W2","N1","N2"},MATCH(MIN(P310:U310),P310:U310,0))))</f>
        <v/>
      </c>
      <c r="W310" s="103">
        <f>IF(G310="","",IF(V310=E310,1,0))</f>
        <v/>
      </c>
    </row>
    <row r="311">
      <c r="A311" s="102">
        <f>'Runs Z score'!A299</f>
        <v/>
      </c>
      <c r="B311" s="98">
        <f>'Runs Z score'!B299</f>
        <v/>
      </c>
      <c r="C311" s="98">
        <f>'Runs Z score'!C299</f>
        <v/>
      </c>
      <c r="D311" s="98">
        <f>'Runs Z score'!D299</f>
        <v/>
      </c>
      <c r="E311" s="98">
        <f>'Runs Z score'!E299</f>
        <v/>
      </c>
      <c r="F311" s="98">
        <f>'Runs Z score'!F299</f>
        <v/>
      </c>
      <c r="G311" s="99">
        <f>'Runs Z score'!G299</f>
        <v/>
      </c>
      <c r="H311" s="100">
        <f>VLOOKUP(C311,Recipes!$A$2:$N$4,10,FALSE())</f>
        <v/>
      </c>
      <c r="I311" s="101">
        <f>VLOOKUP(C311,Recipes!$A$2:$N$4,12,FALSE())</f>
        <v/>
      </c>
      <c r="J311" s="101">
        <f>IF(G311="","",((G311-H311)/I311)^2)</f>
        <v/>
      </c>
      <c r="K311" s="101">
        <f>IF(G311="","",MAX(0, J311-$B$12))</f>
        <v/>
      </c>
      <c r="L311" s="100">
        <f>IF(G311="","",SQRT(K311))</f>
        <v/>
      </c>
      <c r="M311" s="98">
        <f>IF(G311="","",IF(K311&lt;=$B$10,"OK","NG"))</f>
        <v/>
      </c>
      <c r="N311" s="69">
        <f>IF(M311="","",IF(M311=D311,1,0))</f>
        <v/>
      </c>
      <c r="O311" s="100">
        <f>IF(G311="","",H311-G311)</f>
        <v/>
      </c>
      <c r="P311" s="100">
        <f>IF(G311="","",ABS(O311-Components!$D$2))</f>
        <v/>
      </c>
      <c r="Q311" s="100">
        <f>IF(G311="","",ABS(O311-Components!$D$3))</f>
        <v/>
      </c>
      <c r="R311" s="100">
        <f>IF(G311="","",ABS(O311-Components!$D$4))</f>
        <v/>
      </c>
      <c r="S311" s="100">
        <f>IF(G311="","",ABS(O311-Components!$D$5))</f>
        <v/>
      </c>
      <c r="T311" s="100">
        <f>IF(G311="","",ABS(O311-Components!$D$6))</f>
        <v/>
      </c>
      <c r="U311" s="100">
        <f>IF(G311="","",ABS(O311-Components!$D$7))</f>
        <v/>
      </c>
      <c r="V311" s="98">
        <f>IF(G311="","",IF(M311="OK","NONE",INDEX({"S1","S2","W1","W2","N1","N2"},MATCH(MIN(P311:U311),P311:U311,0))))</f>
        <v/>
      </c>
      <c r="W311" s="103">
        <f>IF(G311="","",IF(V311=E311,1,0))</f>
        <v/>
      </c>
    </row>
    <row r="312">
      <c r="A312" s="102">
        <f>'Runs Z score'!A300</f>
        <v/>
      </c>
      <c r="B312" s="98">
        <f>'Runs Z score'!B300</f>
        <v/>
      </c>
      <c r="C312" s="98">
        <f>'Runs Z score'!C300</f>
        <v/>
      </c>
      <c r="D312" s="98">
        <f>'Runs Z score'!D300</f>
        <v/>
      </c>
      <c r="E312" s="98">
        <f>'Runs Z score'!E300</f>
        <v/>
      </c>
      <c r="F312" s="98">
        <f>'Runs Z score'!F300</f>
        <v/>
      </c>
      <c r="G312" s="99">
        <f>'Runs Z score'!G300</f>
        <v/>
      </c>
      <c r="H312" s="100">
        <f>VLOOKUP(C312,Recipes!$A$2:$N$4,10,FALSE())</f>
        <v/>
      </c>
      <c r="I312" s="101">
        <f>VLOOKUP(C312,Recipes!$A$2:$N$4,12,FALSE())</f>
        <v/>
      </c>
      <c r="J312" s="101">
        <f>IF(G312="","",((G312-H312)/I312)^2)</f>
        <v/>
      </c>
      <c r="K312" s="101">
        <f>IF(G312="","",MAX(0, J312-$B$12))</f>
        <v/>
      </c>
      <c r="L312" s="100">
        <f>IF(G312="","",SQRT(K312))</f>
        <v/>
      </c>
      <c r="M312" s="98">
        <f>IF(G312="","",IF(K312&lt;=$B$10,"OK","NG"))</f>
        <v/>
      </c>
      <c r="N312" s="69">
        <f>IF(M312="","",IF(M312=D312,1,0))</f>
        <v/>
      </c>
      <c r="O312" s="100">
        <f>IF(G312="","",H312-G312)</f>
        <v/>
      </c>
      <c r="P312" s="100">
        <f>IF(G312="","",ABS(O312-Components!$D$2))</f>
        <v/>
      </c>
      <c r="Q312" s="100">
        <f>IF(G312="","",ABS(O312-Components!$D$3))</f>
        <v/>
      </c>
      <c r="R312" s="100">
        <f>IF(G312="","",ABS(O312-Components!$D$4))</f>
        <v/>
      </c>
      <c r="S312" s="100">
        <f>IF(G312="","",ABS(O312-Components!$D$5))</f>
        <v/>
      </c>
      <c r="T312" s="100">
        <f>IF(G312="","",ABS(O312-Components!$D$6))</f>
        <v/>
      </c>
      <c r="U312" s="100">
        <f>IF(G312="","",ABS(O312-Components!$D$7))</f>
        <v/>
      </c>
      <c r="V312" s="98">
        <f>IF(G312="","",IF(M312="OK","NONE",INDEX({"S1","S2","W1","W2","N1","N2"},MATCH(MIN(P312:U312),P312:U312,0))))</f>
        <v/>
      </c>
      <c r="W312" s="103">
        <f>IF(G312="","",IF(V312=E312,1,0))</f>
        <v/>
      </c>
    </row>
    <row r="313">
      <c r="A313" s="102">
        <f>'Runs Z score'!A301</f>
        <v/>
      </c>
      <c r="B313" s="98">
        <f>'Runs Z score'!B301</f>
        <v/>
      </c>
      <c r="C313" s="98">
        <f>'Runs Z score'!C301</f>
        <v/>
      </c>
      <c r="D313" s="98">
        <f>'Runs Z score'!D301</f>
        <v/>
      </c>
      <c r="E313" s="98">
        <f>'Runs Z score'!E301</f>
        <v/>
      </c>
      <c r="F313" s="98">
        <f>'Runs Z score'!F301</f>
        <v/>
      </c>
      <c r="G313" s="99">
        <f>'Runs Z score'!G301</f>
        <v/>
      </c>
      <c r="H313" s="100">
        <f>VLOOKUP(C313,Recipes!$A$2:$N$4,10,FALSE())</f>
        <v/>
      </c>
      <c r="I313" s="101">
        <f>VLOOKUP(C313,Recipes!$A$2:$N$4,12,FALSE())</f>
        <v/>
      </c>
      <c r="J313" s="101">
        <f>IF(G313="","",((G313-H313)/I313)^2)</f>
        <v/>
      </c>
      <c r="K313" s="101">
        <f>IF(G313="","",MAX(0, J313-$B$12))</f>
        <v/>
      </c>
      <c r="L313" s="100">
        <f>IF(G313="","",SQRT(K313))</f>
        <v/>
      </c>
      <c r="M313" s="98">
        <f>IF(G313="","",IF(K313&lt;=$B$10,"OK","NG"))</f>
        <v/>
      </c>
      <c r="N313" s="69">
        <f>IF(M313="","",IF(M313=D313,1,0))</f>
        <v/>
      </c>
      <c r="O313" s="100">
        <f>IF(G313="","",H313-G313)</f>
        <v/>
      </c>
      <c r="P313" s="100">
        <f>IF(G313="","",ABS(O313-Components!$D$2))</f>
        <v/>
      </c>
      <c r="Q313" s="100">
        <f>IF(G313="","",ABS(O313-Components!$D$3))</f>
        <v/>
      </c>
      <c r="R313" s="100">
        <f>IF(G313="","",ABS(O313-Components!$D$4))</f>
        <v/>
      </c>
      <c r="S313" s="100">
        <f>IF(G313="","",ABS(O313-Components!$D$5))</f>
        <v/>
      </c>
      <c r="T313" s="100">
        <f>IF(G313="","",ABS(O313-Components!$D$6))</f>
        <v/>
      </c>
      <c r="U313" s="100">
        <f>IF(G313="","",ABS(O313-Components!$D$7))</f>
        <v/>
      </c>
      <c r="V313" s="98">
        <f>IF(G313="","",IF(M313="OK","NONE",INDEX({"S1","S2","W1","W2","N1","N2"},MATCH(MIN(P313:U313),P313:U313,0))))</f>
        <v/>
      </c>
      <c r="W313" s="103">
        <f>IF(G313="","",IF(V313=E313,1,0))</f>
        <v/>
      </c>
    </row>
    <row r="314">
      <c r="A314" s="102">
        <f>'Runs Z score'!A302</f>
        <v/>
      </c>
      <c r="B314" s="98">
        <f>'Runs Z score'!B302</f>
        <v/>
      </c>
      <c r="C314" s="98">
        <f>'Runs Z score'!C302</f>
        <v/>
      </c>
      <c r="D314" s="98">
        <f>'Runs Z score'!D302</f>
        <v/>
      </c>
      <c r="E314" s="98">
        <f>'Runs Z score'!E302</f>
        <v/>
      </c>
      <c r="F314" s="98">
        <f>'Runs Z score'!F302</f>
        <v/>
      </c>
      <c r="G314" s="99">
        <f>'Runs Z score'!G302</f>
        <v/>
      </c>
      <c r="H314" s="100">
        <f>VLOOKUP(C314,Recipes!$A$2:$N$4,10,FALSE())</f>
        <v/>
      </c>
      <c r="I314" s="101">
        <f>VLOOKUP(C314,Recipes!$A$2:$N$4,12,FALSE())</f>
        <v/>
      </c>
      <c r="J314" s="101">
        <f>IF(G314="","",((G314-H314)/I314)^2)</f>
        <v/>
      </c>
      <c r="K314" s="101">
        <f>IF(G314="","",MAX(0, J314-$B$12))</f>
        <v/>
      </c>
      <c r="L314" s="100">
        <f>IF(G314="","",SQRT(K314))</f>
        <v/>
      </c>
      <c r="M314" s="98">
        <f>IF(G314="","",IF(K314&lt;=$B$10,"OK","NG"))</f>
        <v/>
      </c>
      <c r="N314" s="69">
        <f>IF(M314="","",IF(M314=D314,1,0))</f>
        <v/>
      </c>
      <c r="O314" s="100">
        <f>IF(G314="","",H314-G314)</f>
        <v/>
      </c>
      <c r="P314" s="100">
        <f>IF(G314="","",ABS(O314-Components!$D$2))</f>
        <v/>
      </c>
      <c r="Q314" s="100">
        <f>IF(G314="","",ABS(O314-Components!$D$3))</f>
        <v/>
      </c>
      <c r="R314" s="100">
        <f>IF(G314="","",ABS(O314-Components!$D$4))</f>
        <v/>
      </c>
      <c r="S314" s="100">
        <f>IF(G314="","",ABS(O314-Components!$D$5))</f>
        <v/>
      </c>
      <c r="T314" s="100">
        <f>IF(G314="","",ABS(O314-Components!$D$6))</f>
        <v/>
      </c>
      <c r="U314" s="100">
        <f>IF(G314="","",ABS(O314-Components!$D$7))</f>
        <v/>
      </c>
      <c r="V314" s="98">
        <f>IF(G314="","",IF(M314="OK","NONE",INDEX({"S1","S2","W1","W2","N1","N2"},MATCH(MIN(P314:U314),P314:U314,0))))</f>
        <v/>
      </c>
      <c r="W314" s="103">
        <f>IF(G314="","",IF(V314=E314,1,0))</f>
        <v/>
      </c>
    </row>
    <row r="315">
      <c r="A315" s="102">
        <f>'Runs Z score'!A303</f>
        <v/>
      </c>
      <c r="B315" s="98">
        <f>'Runs Z score'!B303</f>
        <v/>
      </c>
      <c r="C315" s="98">
        <f>'Runs Z score'!C303</f>
        <v/>
      </c>
      <c r="D315" s="98">
        <f>'Runs Z score'!D303</f>
        <v/>
      </c>
      <c r="E315" s="98">
        <f>'Runs Z score'!E303</f>
        <v/>
      </c>
      <c r="F315" s="98">
        <f>'Runs Z score'!F303</f>
        <v/>
      </c>
      <c r="G315" s="99">
        <f>'Runs Z score'!G303</f>
        <v/>
      </c>
      <c r="H315" s="100">
        <f>VLOOKUP(C315,Recipes!$A$2:$N$4,10,FALSE())</f>
        <v/>
      </c>
      <c r="I315" s="101">
        <f>VLOOKUP(C315,Recipes!$A$2:$N$4,12,FALSE())</f>
        <v/>
      </c>
      <c r="J315" s="101">
        <f>IF(G315="","",((G315-H315)/I315)^2)</f>
        <v/>
      </c>
      <c r="K315" s="101">
        <f>IF(G315="","",MAX(0, J315-$B$12))</f>
        <v/>
      </c>
      <c r="L315" s="100">
        <f>IF(G315="","",SQRT(K315))</f>
        <v/>
      </c>
      <c r="M315" s="98">
        <f>IF(G315="","",IF(K315&lt;=$B$10,"OK","NG"))</f>
        <v/>
      </c>
      <c r="N315" s="69">
        <f>IF(M315="","",IF(M315=D315,1,0))</f>
        <v/>
      </c>
      <c r="O315" s="100">
        <f>IF(G315="","",H315-G315)</f>
        <v/>
      </c>
      <c r="P315" s="100">
        <f>IF(G315="","",ABS(O315-Components!$D$2))</f>
        <v/>
      </c>
      <c r="Q315" s="100">
        <f>IF(G315="","",ABS(O315-Components!$D$3))</f>
        <v/>
      </c>
      <c r="R315" s="100">
        <f>IF(G315="","",ABS(O315-Components!$D$4))</f>
        <v/>
      </c>
      <c r="S315" s="100">
        <f>IF(G315="","",ABS(O315-Components!$D$5))</f>
        <v/>
      </c>
      <c r="T315" s="100">
        <f>IF(G315="","",ABS(O315-Components!$D$6))</f>
        <v/>
      </c>
      <c r="U315" s="100">
        <f>IF(G315="","",ABS(O315-Components!$D$7))</f>
        <v/>
      </c>
      <c r="V315" s="98">
        <f>IF(G315="","",IF(M315="OK","NONE",INDEX({"S1","S2","W1","W2","N1","N2"},MATCH(MIN(P315:U315),P315:U315,0))))</f>
        <v/>
      </c>
      <c r="W315" s="103">
        <f>IF(G315="","",IF(V315=E315,1,0))</f>
        <v/>
      </c>
    </row>
    <row r="316">
      <c r="A316" s="102">
        <f>'Runs Z score'!A304</f>
        <v/>
      </c>
      <c r="B316" s="98">
        <f>'Runs Z score'!B304</f>
        <v/>
      </c>
      <c r="C316" s="98">
        <f>'Runs Z score'!C304</f>
        <v/>
      </c>
      <c r="D316" s="98">
        <f>'Runs Z score'!D304</f>
        <v/>
      </c>
      <c r="E316" s="98">
        <f>'Runs Z score'!E304</f>
        <v/>
      </c>
      <c r="F316" s="98">
        <f>'Runs Z score'!F304</f>
        <v/>
      </c>
      <c r="G316" s="99">
        <f>'Runs Z score'!G304</f>
        <v/>
      </c>
      <c r="H316" s="100">
        <f>VLOOKUP(C316,Recipes!$A$2:$N$4,10,FALSE())</f>
        <v/>
      </c>
      <c r="I316" s="101">
        <f>VLOOKUP(C316,Recipes!$A$2:$N$4,12,FALSE())</f>
        <v/>
      </c>
      <c r="J316" s="101">
        <f>IF(G316="","",((G316-H316)/I316)^2)</f>
        <v/>
      </c>
      <c r="K316" s="101">
        <f>IF(G316="","",MAX(0, J316-$B$12))</f>
        <v/>
      </c>
      <c r="L316" s="100">
        <f>IF(G316="","",SQRT(K316))</f>
        <v/>
      </c>
      <c r="M316" s="98">
        <f>IF(G316="","",IF(K316&lt;=$B$10,"OK","NG"))</f>
        <v/>
      </c>
      <c r="N316" s="69">
        <f>IF(M316="","",IF(M316=D316,1,0))</f>
        <v/>
      </c>
      <c r="O316" s="100">
        <f>IF(G316="","",H316-G316)</f>
        <v/>
      </c>
      <c r="P316" s="100">
        <f>IF(G316="","",ABS(O316-Components!$D$2))</f>
        <v/>
      </c>
      <c r="Q316" s="100">
        <f>IF(G316="","",ABS(O316-Components!$D$3))</f>
        <v/>
      </c>
      <c r="R316" s="100">
        <f>IF(G316="","",ABS(O316-Components!$D$4))</f>
        <v/>
      </c>
      <c r="S316" s="100">
        <f>IF(G316="","",ABS(O316-Components!$D$5))</f>
        <v/>
      </c>
      <c r="T316" s="100">
        <f>IF(G316="","",ABS(O316-Components!$D$6))</f>
        <v/>
      </c>
      <c r="U316" s="100">
        <f>IF(G316="","",ABS(O316-Components!$D$7))</f>
        <v/>
      </c>
      <c r="V316" s="98">
        <f>IF(G316="","",IF(M316="OK","NONE",INDEX({"S1","S2","W1","W2","N1","N2"},MATCH(MIN(P316:U316),P316:U316,0))))</f>
        <v/>
      </c>
      <c r="W316" s="103">
        <f>IF(G316="","",IF(V316=E316,1,0))</f>
        <v/>
      </c>
    </row>
    <row r="317">
      <c r="A317" s="102">
        <f>'Runs Z score'!A305</f>
        <v/>
      </c>
      <c r="B317" s="98">
        <f>'Runs Z score'!B305</f>
        <v/>
      </c>
      <c r="C317" s="98">
        <f>'Runs Z score'!C305</f>
        <v/>
      </c>
      <c r="D317" s="98">
        <f>'Runs Z score'!D305</f>
        <v/>
      </c>
      <c r="E317" s="98">
        <f>'Runs Z score'!E305</f>
        <v/>
      </c>
      <c r="F317" s="98">
        <f>'Runs Z score'!F305</f>
        <v/>
      </c>
      <c r="G317" s="99">
        <f>'Runs Z score'!G305</f>
        <v/>
      </c>
      <c r="H317" s="100">
        <f>VLOOKUP(C317,Recipes!$A$2:$N$4,10,FALSE())</f>
        <v/>
      </c>
      <c r="I317" s="101">
        <f>VLOOKUP(C317,Recipes!$A$2:$N$4,12,FALSE())</f>
        <v/>
      </c>
      <c r="J317" s="101">
        <f>IF(G317="","",((G317-H317)/I317)^2)</f>
        <v/>
      </c>
      <c r="K317" s="101">
        <f>IF(G317="","",MAX(0, J317-$B$12))</f>
        <v/>
      </c>
      <c r="L317" s="100">
        <f>IF(G317="","",SQRT(K317))</f>
        <v/>
      </c>
      <c r="M317" s="98">
        <f>IF(G317="","",IF(K317&lt;=$B$10,"OK","NG"))</f>
        <v/>
      </c>
      <c r="N317" s="69">
        <f>IF(M317="","",IF(M317=D317,1,0))</f>
        <v/>
      </c>
      <c r="O317" s="100">
        <f>IF(G317="","",H317-G317)</f>
        <v/>
      </c>
      <c r="P317" s="100">
        <f>IF(G317="","",ABS(O317-Components!$D$2))</f>
        <v/>
      </c>
      <c r="Q317" s="100">
        <f>IF(G317="","",ABS(O317-Components!$D$3))</f>
        <v/>
      </c>
      <c r="R317" s="100">
        <f>IF(G317="","",ABS(O317-Components!$D$4))</f>
        <v/>
      </c>
      <c r="S317" s="100">
        <f>IF(G317="","",ABS(O317-Components!$D$5))</f>
        <v/>
      </c>
      <c r="T317" s="100">
        <f>IF(G317="","",ABS(O317-Components!$D$6))</f>
        <v/>
      </c>
      <c r="U317" s="100">
        <f>IF(G317="","",ABS(O317-Components!$D$7))</f>
        <v/>
      </c>
      <c r="V317" s="98">
        <f>IF(G317="","",IF(M317="OK","NONE",INDEX({"S1","S2","W1","W2","N1","N2"},MATCH(MIN(P317:U317),P317:U317,0))))</f>
        <v/>
      </c>
      <c r="W317" s="103">
        <f>IF(G317="","",IF(V317=E317,1,0))</f>
        <v/>
      </c>
    </row>
    <row r="318">
      <c r="A318" s="102">
        <f>'Runs Z score'!A306</f>
        <v/>
      </c>
      <c r="B318" s="98">
        <f>'Runs Z score'!B306</f>
        <v/>
      </c>
      <c r="C318" s="98">
        <f>'Runs Z score'!C306</f>
        <v/>
      </c>
      <c r="D318" s="98">
        <f>'Runs Z score'!D306</f>
        <v/>
      </c>
      <c r="E318" s="98">
        <f>'Runs Z score'!E306</f>
        <v/>
      </c>
      <c r="F318" s="98">
        <f>'Runs Z score'!F306</f>
        <v/>
      </c>
      <c r="G318" s="99">
        <f>'Runs Z score'!G306</f>
        <v/>
      </c>
      <c r="H318" s="100">
        <f>VLOOKUP(C318,Recipes!$A$2:$N$4,10,FALSE())</f>
        <v/>
      </c>
      <c r="I318" s="101">
        <f>VLOOKUP(C318,Recipes!$A$2:$N$4,12,FALSE())</f>
        <v/>
      </c>
      <c r="J318" s="101">
        <f>IF(G318="","",((G318-H318)/I318)^2)</f>
        <v/>
      </c>
      <c r="K318" s="101">
        <f>IF(G318="","",MAX(0, J318-$B$12))</f>
        <v/>
      </c>
      <c r="L318" s="100">
        <f>IF(G318="","",SQRT(K318))</f>
        <v/>
      </c>
      <c r="M318" s="98">
        <f>IF(G318="","",IF(K318&lt;=$B$10,"OK","NG"))</f>
        <v/>
      </c>
      <c r="N318" s="69">
        <f>IF(M318="","",IF(M318=D318,1,0))</f>
        <v/>
      </c>
      <c r="O318" s="100">
        <f>IF(G318="","",H318-G318)</f>
        <v/>
      </c>
      <c r="P318" s="100">
        <f>IF(G318="","",ABS(O318-Components!$D$2))</f>
        <v/>
      </c>
      <c r="Q318" s="100">
        <f>IF(G318="","",ABS(O318-Components!$D$3))</f>
        <v/>
      </c>
      <c r="R318" s="100">
        <f>IF(G318="","",ABS(O318-Components!$D$4))</f>
        <v/>
      </c>
      <c r="S318" s="100">
        <f>IF(G318="","",ABS(O318-Components!$D$5))</f>
        <v/>
      </c>
      <c r="T318" s="100">
        <f>IF(G318="","",ABS(O318-Components!$D$6))</f>
        <v/>
      </c>
      <c r="U318" s="100">
        <f>IF(G318="","",ABS(O318-Components!$D$7))</f>
        <v/>
      </c>
      <c r="V318" s="98">
        <f>IF(G318="","",IF(M318="OK","NONE",INDEX({"S1","S2","W1","W2","N1","N2"},MATCH(MIN(P318:U318),P318:U318,0))))</f>
        <v/>
      </c>
      <c r="W318" s="103">
        <f>IF(G318="","",IF(V318=E318,1,0))</f>
        <v/>
      </c>
    </row>
    <row r="319">
      <c r="A319" s="102">
        <f>'Runs Z score'!A307</f>
        <v/>
      </c>
      <c r="B319" s="98">
        <f>'Runs Z score'!B307</f>
        <v/>
      </c>
      <c r="C319" s="98">
        <f>'Runs Z score'!C307</f>
        <v/>
      </c>
      <c r="D319" s="98">
        <f>'Runs Z score'!D307</f>
        <v/>
      </c>
      <c r="E319" s="98">
        <f>'Runs Z score'!E307</f>
        <v/>
      </c>
      <c r="F319" s="98">
        <f>'Runs Z score'!F307</f>
        <v/>
      </c>
      <c r="G319" s="99">
        <f>'Runs Z score'!G307</f>
        <v/>
      </c>
      <c r="H319" s="100">
        <f>VLOOKUP(C319,Recipes!$A$2:$N$4,10,FALSE())</f>
        <v/>
      </c>
      <c r="I319" s="101">
        <f>VLOOKUP(C319,Recipes!$A$2:$N$4,12,FALSE())</f>
        <v/>
      </c>
      <c r="J319" s="101">
        <f>IF(G319="","",((G319-H319)/I319)^2)</f>
        <v/>
      </c>
      <c r="K319" s="101">
        <f>IF(G319="","",MAX(0, J319-$B$12))</f>
        <v/>
      </c>
      <c r="L319" s="100">
        <f>IF(G319="","",SQRT(K319))</f>
        <v/>
      </c>
      <c r="M319" s="98">
        <f>IF(G319="","",IF(K319&lt;=$B$10,"OK","NG"))</f>
        <v/>
      </c>
      <c r="N319" s="69">
        <f>IF(M319="","",IF(M319=D319,1,0))</f>
        <v/>
      </c>
      <c r="O319" s="100">
        <f>IF(G319="","",H319-G319)</f>
        <v/>
      </c>
      <c r="P319" s="100">
        <f>IF(G319="","",ABS(O319-Components!$D$2))</f>
        <v/>
      </c>
      <c r="Q319" s="100">
        <f>IF(G319="","",ABS(O319-Components!$D$3))</f>
        <v/>
      </c>
      <c r="R319" s="100">
        <f>IF(G319="","",ABS(O319-Components!$D$4))</f>
        <v/>
      </c>
      <c r="S319" s="100">
        <f>IF(G319="","",ABS(O319-Components!$D$5))</f>
        <v/>
      </c>
      <c r="T319" s="100">
        <f>IF(G319="","",ABS(O319-Components!$D$6))</f>
        <v/>
      </c>
      <c r="U319" s="100">
        <f>IF(G319="","",ABS(O319-Components!$D$7))</f>
        <v/>
      </c>
      <c r="V319" s="98">
        <f>IF(G319="","",IF(M319="OK","NONE",INDEX({"S1","S2","W1","W2","N1","N2"},MATCH(MIN(P319:U319),P319:U319,0))))</f>
        <v/>
      </c>
      <c r="W319" s="103">
        <f>IF(G319="","",IF(V319=E319,1,0))</f>
        <v/>
      </c>
    </row>
    <row r="320">
      <c r="A320" s="102">
        <f>'Runs Z score'!A308</f>
        <v/>
      </c>
      <c r="B320" s="98">
        <f>'Runs Z score'!B308</f>
        <v/>
      </c>
      <c r="C320" s="98">
        <f>'Runs Z score'!C308</f>
        <v/>
      </c>
      <c r="D320" s="98">
        <f>'Runs Z score'!D308</f>
        <v/>
      </c>
      <c r="E320" s="98">
        <f>'Runs Z score'!E308</f>
        <v/>
      </c>
      <c r="F320" s="98">
        <f>'Runs Z score'!F308</f>
        <v/>
      </c>
      <c r="G320" s="99">
        <f>'Runs Z score'!G308</f>
        <v/>
      </c>
      <c r="H320" s="100">
        <f>VLOOKUP(C320,Recipes!$A$2:$N$4,10,FALSE())</f>
        <v/>
      </c>
      <c r="I320" s="101">
        <f>VLOOKUP(C320,Recipes!$A$2:$N$4,12,FALSE())</f>
        <v/>
      </c>
      <c r="J320" s="101">
        <f>IF(G320="","",((G320-H320)/I320)^2)</f>
        <v/>
      </c>
      <c r="K320" s="101">
        <f>IF(G320="","",MAX(0, J320-$B$12))</f>
        <v/>
      </c>
      <c r="L320" s="100">
        <f>IF(G320="","",SQRT(K320))</f>
        <v/>
      </c>
      <c r="M320" s="98">
        <f>IF(G320="","",IF(K320&lt;=$B$10,"OK","NG"))</f>
        <v/>
      </c>
      <c r="N320" s="69">
        <f>IF(M320="","",IF(M320=D320,1,0))</f>
        <v/>
      </c>
      <c r="O320" s="100">
        <f>IF(G320="","",H320-G320)</f>
        <v/>
      </c>
      <c r="P320" s="100">
        <f>IF(G320="","",ABS(O320-Components!$D$2))</f>
        <v/>
      </c>
      <c r="Q320" s="100">
        <f>IF(G320="","",ABS(O320-Components!$D$3))</f>
        <v/>
      </c>
      <c r="R320" s="100">
        <f>IF(G320="","",ABS(O320-Components!$D$4))</f>
        <v/>
      </c>
      <c r="S320" s="100">
        <f>IF(G320="","",ABS(O320-Components!$D$5))</f>
        <v/>
      </c>
      <c r="T320" s="100">
        <f>IF(G320="","",ABS(O320-Components!$D$6))</f>
        <v/>
      </c>
      <c r="U320" s="100">
        <f>IF(G320="","",ABS(O320-Components!$D$7))</f>
        <v/>
      </c>
      <c r="V320" s="98">
        <f>IF(G320="","",IF(M320="OK","NONE",INDEX({"S1","S2","W1","W2","N1","N2"},MATCH(MIN(P320:U320),P320:U320,0))))</f>
        <v/>
      </c>
      <c r="W320" s="103">
        <f>IF(G320="","",IF(V320=E320,1,0))</f>
        <v/>
      </c>
    </row>
    <row r="321">
      <c r="A321" s="102">
        <f>'Runs Z score'!A309</f>
        <v/>
      </c>
      <c r="B321" s="98">
        <f>'Runs Z score'!B309</f>
        <v/>
      </c>
      <c r="C321" s="98">
        <f>'Runs Z score'!C309</f>
        <v/>
      </c>
      <c r="D321" s="98">
        <f>'Runs Z score'!D309</f>
        <v/>
      </c>
      <c r="E321" s="98">
        <f>'Runs Z score'!E309</f>
        <v/>
      </c>
      <c r="F321" s="98">
        <f>'Runs Z score'!F309</f>
        <v/>
      </c>
      <c r="G321" s="99">
        <f>'Runs Z score'!G309</f>
        <v/>
      </c>
      <c r="H321" s="100">
        <f>VLOOKUP(C321,Recipes!$A$2:$N$4,10,FALSE())</f>
        <v/>
      </c>
      <c r="I321" s="101">
        <f>VLOOKUP(C321,Recipes!$A$2:$N$4,12,FALSE())</f>
        <v/>
      </c>
      <c r="J321" s="101">
        <f>IF(G321="","",((G321-H321)/I321)^2)</f>
        <v/>
      </c>
      <c r="K321" s="101">
        <f>IF(G321="","",MAX(0, J321-$B$12))</f>
        <v/>
      </c>
      <c r="L321" s="100">
        <f>IF(G321="","",SQRT(K321))</f>
        <v/>
      </c>
      <c r="M321" s="98">
        <f>IF(G321="","",IF(K321&lt;=$B$10,"OK","NG"))</f>
        <v/>
      </c>
      <c r="N321" s="69">
        <f>IF(M321="","",IF(M321=D321,1,0))</f>
        <v/>
      </c>
      <c r="O321" s="100">
        <f>IF(G321="","",H321-G321)</f>
        <v/>
      </c>
      <c r="P321" s="100">
        <f>IF(G321="","",ABS(O321-Components!$D$2))</f>
        <v/>
      </c>
      <c r="Q321" s="100">
        <f>IF(G321="","",ABS(O321-Components!$D$3))</f>
        <v/>
      </c>
      <c r="R321" s="100">
        <f>IF(G321="","",ABS(O321-Components!$D$4))</f>
        <v/>
      </c>
      <c r="S321" s="100">
        <f>IF(G321="","",ABS(O321-Components!$D$5))</f>
        <v/>
      </c>
      <c r="T321" s="100">
        <f>IF(G321="","",ABS(O321-Components!$D$6))</f>
        <v/>
      </c>
      <c r="U321" s="100">
        <f>IF(G321="","",ABS(O321-Components!$D$7))</f>
        <v/>
      </c>
      <c r="V321" s="98">
        <f>IF(G321="","",IF(M321="OK","NONE",INDEX({"S1","S2","W1","W2","N1","N2"},MATCH(MIN(P321:U321),P321:U321,0))))</f>
        <v/>
      </c>
      <c r="W321" s="103">
        <f>IF(G321="","",IF(V321=E321,1,0))</f>
        <v/>
      </c>
    </row>
    <row r="322">
      <c r="A322" s="102">
        <f>'Runs Z score'!A310</f>
        <v/>
      </c>
      <c r="B322" s="98">
        <f>'Runs Z score'!B310</f>
        <v/>
      </c>
      <c r="C322" s="98">
        <f>'Runs Z score'!C310</f>
        <v/>
      </c>
      <c r="D322" s="98">
        <f>'Runs Z score'!D310</f>
        <v/>
      </c>
      <c r="E322" s="98">
        <f>'Runs Z score'!E310</f>
        <v/>
      </c>
      <c r="F322" s="98">
        <f>'Runs Z score'!F310</f>
        <v/>
      </c>
      <c r="G322" s="99">
        <f>'Runs Z score'!G310</f>
        <v/>
      </c>
      <c r="H322" s="100">
        <f>VLOOKUP(C322,Recipes!$A$2:$N$4,10,FALSE())</f>
        <v/>
      </c>
      <c r="I322" s="101">
        <f>VLOOKUP(C322,Recipes!$A$2:$N$4,12,FALSE())</f>
        <v/>
      </c>
      <c r="J322" s="101">
        <f>IF(G322="","",((G322-H322)/I322)^2)</f>
        <v/>
      </c>
      <c r="K322" s="101">
        <f>IF(G322="","",MAX(0, J322-$B$12))</f>
        <v/>
      </c>
      <c r="L322" s="100">
        <f>IF(G322="","",SQRT(K322))</f>
        <v/>
      </c>
      <c r="M322" s="98">
        <f>IF(G322="","",IF(K322&lt;=$B$10,"OK","NG"))</f>
        <v/>
      </c>
      <c r="N322" s="69">
        <f>IF(M322="","",IF(M322=D322,1,0))</f>
        <v/>
      </c>
      <c r="O322" s="100">
        <f>IF(G322="","",H322-G322)</f>
        <v/>
      </c>
      <c r="P322" s="100">
        <f>IF(G322="","",ABS(O322-Components!$D$2))</f>
        <v/>
      </c>
      <c r="Q322" s="100">
        <f>IF(G322="","",ABS(O322-Components!$D$3))</f>
        <v/>
      </c>
      <c r="R322" s="100">
        <f>IF(G322="","",ABS(O322-Components!$D$4))</f>
        <v/>
      </c>
      <c r="S322" s="100">
        <f>IF(G322="","",ABS(O322-Components!$D$5))</f>
        <v/>
      </c>
      <c r="T322" s="100">
        <f>IF(G322="","",ABS(O322-Components!$D$6))</f>
        <v/>
      </c>
      <c r="U322" s="100">
        <f>IF(G322="","",ABS(O322-Components!$D$7))</f>
        <v/>
      </c>
      <c r="V322" s="98">
        <f>IF(G322="","",IF(M322="OK","NONE",INDEX({"S1","S2","W1","W2","N1","N2"},MATCH(MIN(P322:U322),P322:U322,0))))</f>
        <v/>
      </c>
      <c r="W322" s="103">
        <f>IF(G322="","",IF(V322=E322,1,0))</f>
        <v/>
      </c>
    </row>
    <row r="323">
      <c r="A323" s="102">
        <f>'Runs Z score'!A311</f>
        <v/>
      </c>
      <c r="B323" s="98">
        <f>'Runs Z score'!B311</f>
        <v/>
      </c>
      <c r="C323" s="98">
        <f>'Runs Z score'!C311</f>
        <v/>
      </c>
      <c r="D323" s="98">
        <f>'Runs Z score'!D311</f>
        <v/>
      </c>
      <c r="E323" s="98">
        <f>'Runs Z score'!E311</f>
        <v/>
      </c>
      <c r="F323" s="98">
        <f>'Runs Z score'!F311</f>
        <v/>
      </c>
      <c r="G323" s="99">
        <f>'Runs Z score'!G311</f>
        <v/>
      </c>
      <c r="H323" s="100">
        <f>VLOOKUP(C323,Recipes!$A$2:$N$4,10,FALSE())</f>
        <v/>
      </c>
      <c r="I323" s="101">
        <f>VLOOKUP(C323,Recipes!$A$2:$N$4,12,FALSE())</f>
        <v/>
      </c>
      <c r="J323" s="101">
        <f>IF(G323="","",((G323-H323)/I323)^2)</f>
        <v/>
      </c>
      <c r="K323" s="101">
        <f>IF(G323="","",MAX(0, J323-$B$12))</f>
        <v/>
      </c>
      <c r="L323" s="100">
        <f>IF(G323="","",SQRT(K323))</f>
        <v/>
      </c>
      <c r="M323" s="98">
        <f>IF(G323="","",IF(K323&lt;=$B$10,"OK","NG"))</f>
        <v/>
      </c>
      <c r="N323" s="69">
        <f>IF(M323="","",IF(M323=D323,1,0))</f>
        <v/>
      </c>
      <c r="O323" s="100">
        <f>IF(G323="","",H323-G323)</f>
        <v/>
      </c>
      <c r="P323" s="100">
        <f>IF(G323="","",ABS(O323-Components!$D$2))</f>
        <v/>
      </c>
      <c r="Q323" s="100">
        <f>IF(G323="","",ABS(O323-Components!$D$3))</f>
        <v/>
      </c>
      <c r="R323" s="100">
        <f>IF(G323="","",ABS(O323-Components!$D$4))</f>
        <v/>
      </c>
      <c r="S323" s="100">
        <f>IF(G323="","",ABS(O323-Components!$D$5))</f>
        <v/>
      </c>
      <c r="T323" s="100">
        <f>IF(G323="","",ABS(O323-Components!$D$6))</f>
        <v/>
      </c>
      <c r="U323" s="100">
        <f>IF(G323="","",ABS(O323-Components!$D$7))</f>
        <v/>
      </c>
      <c r="V323" s="98">
        <f>IF(G323="","",IF(M323="OK","NONE",INDEX({"S1","S2","W1","W2","N1","N2"},MATCH(MIN(P323:U323),P323:U323,0))))</f>
        <v/>
      </c>
      <c r="W323" s="103">
        <f>IF(G323="","",IF(V323=E323,1,0))</f>
        <v/>
      </c>
    </row>
    <row r="324">
      <c r="A324" s="102">
        <f>'Runs Z score'!A312</f>
        <v/>
      </c>
      <c r="B324" s="98">
        <f>'Runs Z score'!B312</f>
        <v/>
      </c>
      <c r="C324" s="98">
        <f>'Runs Z score'!C312</f>
        <v/>
      </c>
      <c r="D324" s="98">
        <f>'Runs Z score'!D312</f>
        <v/>
      </c>
      <c r="E324" s="98">
        <f>'Runs Z score'!E312</f>
        <v/>
      </c>
      <c r="F324" s="98">
        <f>'Runs Z score'!F312</f>
        <v/>
      </c>
      <c r="G324" s="99">
        <f>'Runs Z score'!G312</f>
        <v/>
      </c>
      <c r="H324" s="100">
        <f>VLOOKUP(C324,Recipes!$A$2:$N$4,10,FALSE())</f>
        <v/>
      </c>
      <c r="I324" s="101">
        <f>VLOOKUP(C324,Recipes!$A$2:$N$4,12,FALSE())</f>
        <v/>
      </c>
      <c r="J324" s="101">
        <f>IF(G324="","",((G324-H324)/I324)^2)</f>
        <v/>
      </c>
      <c r="K324" s="101">
        <f>IF(G324="","",MAX(0, J324-$B$12))</f>
        <v/>
      </c>
      <c r="L324" s="100">
        <f>IF(G324="","",SQRT(K324))</f>
        <v/>
      </c>
      <c r="M324" s="98">
        <f>IF(G324="","",IF(K324&lt;=$B$10,"OK","NG"))</f>
        <v/>
      </c>
      <c r="N324" s="69">
        <f>IF(M324="","",IF(M324=D324,1,0))</f>
        <v/>
      </c>
      <c r="O324" s="100">
        <f>IF(G324="","",H324-G324)</f>
        <v/>
      </c>
      <c r="P324" s="100">
        <f>IF(G324="","",ABS(O324-Components!$D$2))</f>
        <v/>
      </c>
      <c r="Q324" s="100">
        <f>IF(G324="","",ABS(O324-Components!$D$3))</f>
        <v/>
      </c>
      <c r="R324" s="100">
        <f>IF(G324="","",ABS(O324-Components!$D$4))</f>
        <v/>
      </c>
      <c r="S324" s="100">
        <f>IF(G324="","",ABS(O324-Components!$D$5))</f>
        <v/>
      </c>
      <c r="T324" s="100">
        <f>IF(G324="","",ABS(O324-Components!$D$6))</f>
        <v/>
      </c>
      <c r="U324" s="100">
        <f>IF(G324="","",ABS(O324-Components!$D$7))</f>
        <v/>
      </c>
      <c r="V324" s="98">
        <f>IF(G324="","",IF(M324="OK","NONE",INDEX({"S1","S2","W1","W2","N1","N2"},MATCH(MIN(P324:U324),P324:U324,0))))</f>
        <v/>
      </c>
      <c r="W324" s="103">
        <f>IF(G324="","",IF(V324=E324,1,0))</f>
        <v/>
      </c>
    </row>
    <row r="325">
      <c r="A325" s="102">
        <f>'Runs Z score'!A313</f>
        <v/>
      </c>
      <c r="B325" s="98">
        <f>'Runs Z score'!B313</f>
        <v/>
      </c>
      <c r="C325" s="98">
        <f>'Runs Z score'!C313</f>
        <v/>
      </c>
      <c r="D325" s="98">
        <f>'Runs Z score'!D313</f>
        <v/>
      </c>
      <c r="E325" s="98">
        <f>'Runs Z score'!E313</f>
        <v/>
      </c>
      <c r="F325" s="98">
        <f>'Runs Z score'!F313</f>
        <v/>
      </c>
      <c r="G325" s="99">
        <f>'Runs Z score'!G313</f>
        <v/>
      </c>
      <c r="H325" s="100">
        <f>VLOOKUP(C325,Recipes!$A$2:$N$4,10,FALSE())</f>
        <v/>
      </c>
      <c r="I325" s="101">
        <f>VLOOKUP(C325,Recipes!$A$2:$N$4,12,FALSE())</f>
        <v/>
      </c>
      <c r="J325" s="101">
        <f>IF(G325="","",((G325-H325)/I325)^2)</f>
        <v/>
      </c>
      <c r="K325" s="101">
        <f>IF(G325="","",MAX(0, J325-$B$12))</f>
        <v/>
      </c>
      <c r="L325" s="100">
        <f>IF(G325="","",SQRT(K325))</f>
        <v/>
      </c>
      <c r="M325" s="98">
        <f>IF(G325="","",IF(K325&lt;=$B$10,"OK","NG"))</f>
        <v/>
      </c>
      <c r="N325" s="69">
        <f>IF(M325="","",IF(M325=D325,1,0))</f>
        <v/>
      </c>
      <c r="O325" s="100">
        <f>IF(G325="","",H325-G325)</f>
        <v/>
      </c>
      <c r="P325" s="100">
        <f>IF(G325="","",ABS(O325-Components!$D$2))</f>
        <v/>
      </c>
      <c r="Q325" s="100">
        <f>IF(G325="","",ABS(O325-Components!$D$3))</f>
        <v/>
      </c>
      <c r="R325" s="100">
        <f>IF(G325="","",ABS(O325-Components!$D$4))</f>
        <v/>
      </c>
      <c r="S325" s="100">
        <f>IF(G325="","",ABS(O325-Components!$D$5))</f>
        <v/>
      </c>
      <c r="T325" s="100">
        <f>IF(G325="","",ABS(O325-Components!$D$6))</f>
        <v/>
      </c>
      <c r="U325" s="100">
        <f>IF(G325="","",ABS(O325-Components!$D$7))</f>
        <v/>
      </c>
      <c r="V325" s="98">
        <f>IF(G325="","",IF(M325="OK","NONE",INDEX({"S1","S2","W1","W2","N1","N2"},MATCH(MIN(P325:U325),P325:U325,0))))</f>
        <v/>
      </c>
      <c r="W325" s="103">
        <f>IF(G325="","",IF(V325=E325,1,0))</f>
        <v/>
      </c>
    </row>
    <row r="326">
      <c r="A326" s="102">
        <f>'Runs Z score'!A314</f>
        <v/>
      </c>
      <c r="B326" s="98">
        <f>'Runs Z score'!B314</f>
        <v/>
      </c>
      <c r="C326" s="98">
        <f>'Runs Z score'!C314</f>
        <v/>
      </c>
      <c r="D326" s="98">
        <f>'Runs Z score'!D314</f>
        <v/>
      </c>
      <c r="E326" s="98">
        <f>'Runs Z score'!E314</f>
        <v/>
      </c>
      <c r="F326" s="98">
        <f>'Runs Z score'!F314</f>
        <v/>
      </c>
      <c r="G326" s="99">
        <f>'Runs Z score'!G314</f>
        <v/>
      </c>
      <c r="H326" s="100">
        <f>VLOOKUP(C326,Recipes!$A$2:$N$4,10,FALSE())</f>
        <v/>
      </c>
      <c r="I326" s="101">
        <f>VLOOKUP(C326,Recipes!$A$2:$N$4,12,FALSE())</f>
        <v/>
      </c>
      <c r="J326" s="101">
        <f>IF(G326="","",((G326-H326)/I326)^2)</f>
        <v/>
      </c>
      <c r="K326" s="101">
        <f>IF(G326="","",MAX(0, J326-$B$12))</f>
        <v/>
      </c>
      <c r="L326" s="100">
        <f>IF(G326="","",SQRT(K326))</f>
        <v/>
      </c>
      <c r="M326" s="98">
        <f>IF(G326="","",IF(K326&lt;=$B$10,"OK","NG"))</f>
        <v/>
      </c>
      <c r="N326" s="69">
        <f>IF(M326="","",IF(M326=D326,1,0))</f>
        <v/>
      </c>
      <c r="O326" s="100">
        <f>IF(G326="","",H326-G326)</f>
        <v/>
      </c>
      <c r="P326" s="100">
        <f>IF(G326="","",ABS(O326-Components!$D$2))</f>
        <v/>
      </c>
      <c r="Q326" s="100">
        <f>IF(G326="","",ABS(O326-Components!$D$3))</f>
        <v/>
      </c>
      <c r="R326" s="100">
        <f>IF(G326="","",ABS(O326-Components!$D$4))</f>
        <v/>
      </c>
      <c r="S326" s="100">
        <f>IF(G326="","",ABS(O326-Components!$D$5))</f>
        <v/>
      </c>
      <c r="T326" s="100">
        <f>IF(G326="","",ABS(O326-Components!$D$6))</f>
        <v/>
      </c>
      <c r="U326" s="100">
        <f>IF(G326="","",ABS(O326-Components!$D$7))</f>
        <v/>
      </c>
      <c r="V326" s="98">
        <f>IF(G326="","",IF(M326="OK","NONE",INDEX({"S1","S2","W1","W2","N1","N2"},MATCH(MIN(P326:U326),P326:U326,0))))</f>
        <v/>
      </c>
      <c r="W326" s="103">
        <f>IF(G326="","",IF(V326=E326,1,0))</f>
        <v/>
      </c>
    </row>
    <row r="327">
      <c r="A327" s="102">
        <f>'Runs Z score'!A315</f>
        <v/>
      </c>
      <c r="B327" s="98">
        <f>'Runs Z score'!B315</f>
        <v/>
      </c>
      <c r="C327" s="98">
        <f>'Runs Z score'!C315</f>
        <v/>
      </c>
      <c r="D327" s="98">
        <f>'Runs Z score'!D315</f>
        <v/>
      </c>
      <c r="E327" s="98">
        <f>'Runs Z score'!E315</f>
        <v/>
      </c>
      <c r="F327" s="98">
        <f>'Runs Z score'!F315</f>
        <v/>
      </c>
      <c r="G327" s="99">
        <f>'Runs Z score'!G315</f>
        <v/>
      </c>
      <c r="H327" s="100">
        <f>VLOOKUP(C327,Recipes!$A$2:$N$4,10,FALSE())</f>
        <v/>
      </c>
      <c r="I327" s="101">
        <f>VLOOKUP(C327,Recipes!$A$2:$N$4,12,FALSE())</f>
        <v/>
      </c>
      <c r="J327" s="101">
        <f>IF(G327="","",((G327-H327)/I327)^2)</f>
        <v/>
      </c>
      <c r="K327" s="101">
        <f>IF(G327="","",MAX(0, J327-$B$12))</f>
        <v/>
      </c>
      <c r="L327" s="100">
        <f>IF(G327="","",SQRT(K327))</f>
        <v/>
      </c>
      <c r="M327" s="98">
        <f>IF(G327="","",IF(K327&lt;=$B$10,"OK","NG"))</f>
        <v/>
      </c>
      <c r="N327" s="69">
        <f>IF(M327="","",IF(M327=D327,1,0))</f>
        <v/>
      </c>
      <c r="O327" s="100">
        <f>IF(G327="","",H327-G327)</f>
        <v/>
      </c>
      <c r="P327" s="100">
        <f>IF(G327="","",ABS(O327-Components!$D$2))</f>
        <v/>
      </c>
      <c r="Q327" s="100">
        <f>IF(G327="","",ABS(O327-Components!$D$3))</f>
        <v/>
      </c>
      <c r="R327" s="100">
        <f>IF(G327="","",ABS(O327-Components!$D$4))</f>
        <v/>
      </c>
      <c r="S327" s="100">
        <f>IF(G327="","",ABS(O327-Components!$D$5))</f>
        <v/>
      </c>
      <c r="T327" s="100">
        <f>IF(G327="","",ABS(O327-Components!$D$6))</f>
        <v/>
      </c>
      <c r="U327" s="100">
        <f>IF(G327="","",ABS(O327-Components!$D$7))</f>
        <v/>
      </c>
      <c r="V327" s="98">
        <f>IF(G327="","",IF(M327="OK","NONE",INDEX({"S1","S2","W1","W2","N1","N2"},MATCH(MIN(P327:U327),P327:U327,0))))</f>
        <v/>
      </c>
      <c r="W327" s="103">
        <f>IF(G327="","",IF(V327=E327,1,0))</f>
        <v/>
      </c>
    </row>
    <row r="328">
      <c r="A328" s="102">
        <f>'Runs Z score'!A316</f>
        <v/>
      </c>
      <c r="B328" s="98">
        <f>'Runs Z score'!B316</f>
        <v/>
      </c>
      <c r="C328" s="98">
        <f>'Runs Z score'!C316</f>
        <v/>
      </c>
      <c r="D328" s="98">
        <f>'Runs Z score'!D316</f>
        <v/>
      </c>
      <c r="E328" s="98">
        <f>'Runs Z score'!E316</f>
        <v/>
      </c>
      <c r="F328" s="98">
        <f>'Runs Z score'!F316</f>
        <v/>
      </c>
      <c r="G328" s="99">
        <f>'Runs Z score'!G316</f>
        <v/>
      </c>
      <c r="H328" s="100">
        <f>VLOOKUP(C328,Recipes!$A$2:$N$4,10,FALSE())</f>
        <v/>
      </c>
      <c r="I328" s="101">
        <f>VLOOKUP(C328,Recipes!$A$2:$N$4,12,FALSE())</f>
        <v/>
      </c>
      <c r="J328" s="101">
        <f>IF(G328="","",((G328-H328)/I328)^2)</f>
        <v/>
      </c>
      <c r="K328" s="101">
        <f>IF(G328="","",MAX(0, J328-$B$12))</f>
        <v/>
      </c>
      <c r="L328" s="100">
        <f>IF(G328="","",SQRT(K328))</f>
        <v/>
      </c>
      <c r="M328" s="98">
        <f>IF(G328="","",IF(K328&lt;=$B$10,"OK","NG"))</f>
        <v/>
      </c>
      <c r="N328" s="69">
        <f>IF(M328="","",IF(M328=D328,1,0))</f>
        <v/>
      </c>
      <c r="O328" s="100">
        <f>IF(G328="","",H328-G328)</f>
        <v/>
      </c>
      <c r="P328" s="100">
        <f>IF(G328="","",ABS(O328-Components!$D$2))</f>
        <v/>
      </c>
      <c r="Q328" s="100">
        <f>IF(G328="","",ABS(O328-Components!$D$3))</f>
        <v/>
      </c>
      <c r="R328" s="100">
        <f>IF(G328="","",ABS(O328-Components!$D$4))</f>
        <v/>
      </c>
      <c r="S328" s="100">
        <f>IF(G328="","",ABS(O328-Components!$D$5))</f>
        <v/>
      </c>
      <c r="T328" s="100">
        <f>IF(G328="","",ABS(O328-Components!$D$6))</f>
        <v/>
      </c>
      <c r="U328" s="100">
        <f>IF(G328="","",ABS(O328-Components!$D$7))</f>
        <v/>
      </c>
      <c r="V328" s="98">
        <f>IF(G328="","",IF(M328="OK","NONE",INDEX({"S1","S2","W1","W2","N1","N2"},MATCH(MIN(P328:U328),P328:U328,0))))</f>
        <v/>
      </c>
      <c r="W328" s="103">
        <f>IF(G328="","",IF(V328=E328,1,0))</f>
        <v/>
      </c>
    </row>
    <row r="329">
      <c r="A329" s="102">
        <f>'Runs Z score'!A317</f>
        <v/>
      </c>
      <c r="B329" s="98">
        <f>'Runs Z score'!B317</f>
        <v/>
      </c>
      <c r="C329" s="98">
        <f>'Runs Z score'!C317</f>
        <v/>
      </c>
      <c r="D329" s="98">
        <f>'Runs Z score'!D317</f>
        <v/>
      </c>
      <c r="E329" s="98">
        <f>'Runs Z score'!E317</f>
        <v/>
      </c>
      <c r="F329" s="98">
        <f>'Runs Z score'!F317</f>
        <v/>
      </c>
      <c r="G329" s="99">
        <f>'Runs Z score'!G317</f>
        <v/>
      </c>
      <c r="H329" s="100">
        <f>VLOOKUP(C329,Recipes!$A$2:$N$4,10,FALSE())</f>
        <v/>
      </c>
      <c r="I329" s="101">
        <f>VLOOKUP(C329,Recipes!$A$2:$N$4,12,FALSE())</f>
        <v/>
      </c>
      <c r="J329" s="101">
        <f>IF(G329="","",((G329-H329)/I329)^2)</f>
        <v/>
      </c>
      <c r="K329" s="101">
        <f>IF(G329="","",MAX(0, J329-$B$12))</f>
        <v/>
      </c>
      <c r="L329" s="100">
        <f>IF(G329="","",SQRT(K329))</f>
        <v/>
      </c>
      <c r="M329" s="98">
        <f>IF(G329="","",IF(K329&lt;=$B$10,"OK","NG"))</f>
        <v/>
      </c>
      <c r="N329" s="69">
        <f>IF(M329="","",IF(M329=D329,1,0))</f>
        <v/>
      </c>
      <c r="O329" s="100">
        <f>IF(G329="","",H329-G329)</f>
        <v/>
      </c>
      <c r="P329" s="100">
        <f>IF(G329="","",ABS(O329-Components!$D$2))</f>
        <v/>
      </c>
      <c r="Q329" s="100">
        <f>IF(G329="","",ABS(O329-Components!$D$3))</f>
        <v/>
      </c>
      <c r="R329" s="100">
        <f>IF(G329="","",ABS(O329-Components!$D$4))</f>
        <v/>
      </c>
      <c r="S329" s="100">
        <f>IF(G329="","",ABS(O329-Components!$D$5))</f>
        <v/>
      </c>
      <c r="T329" s="100">
        <f>IF(G329="","",ABS(O329-Components!$D$6))</f>
        <v/>
      </c>
      <c r="U329" s="100">
        <f>IF(G329="","",ABS(O329-Components!$D$7))</f>
        <v/>
      </c>
      <c r="V329" s="98">
        <f>IF(G329="","",IF(M329="OK","NONE",INDEX({"S1","S2","W1","W2","N1","N2"},MATCH(MIN(P329:U329),P329:U329,0))))</f>
        <v/>
      </c>
      <c r="W329" s="103">
        <f>IF(G329="","",IF(V329=E329,1,0))</f>
        <v/>
      </c>
    </row>
    <row r="330">
      <c r="A330" s="102">
        <f>'Runs Z score'!A318</f>
        <v/>
      </c>
      <c r="B330" s="98">
        <f>'Runs Z score'!B318</f>
        <v/>
      </c>
      <c r="C330" s="98">
        <f>'Runs Z score'!C318</f>
        <v/>
      </c>
      <c r="D330" s="98">
        <f>'Runs Z score'!D318</f>
        <v/>
      </c>
      <c r="E330" s="98">
        <f>'Runs Z score'!E318</f>
        <v/>
      </c>
      <c r="F330" s="98">
        <f>'Runs Z score'!F318</f>
        <v/>
      </c>
      <c r="G330" s="99">
        <f>'Runs Z score'!G318</f>
        <v/>
      </c>
      <c r="H330" s="100">
        <f>VLOOKUP(C330,Recipes!$A$2:$N$4,10,FALSE())</f>
        <v/>
      </c>
      <c r="I330" s="101">
        <f>VLOOKUP(C330,Recipes!$A$2:$N$4,12,FALSE())</f>
        <v/>
      </c>
      <c r="J330" s="101">
        <f>IF(G330="","",((G330-H330)/I330)^2)</f>
        <v/>
      </c>
      <c r="K330" s="101">
        <f>IF(G330="","",MAX(0, J330-$B$12))</f>
        <v/>
      </c>
      <c r="L330" s="100">
        <f>IF(G330="","",SQRT(K330))</f>
        <v/>
      </c>
      <c r="M330" s="98">
        <f>IF(G330="","",IF(K330&lt;=$B$10,"OK","NG"))</f>
        <v/>
      </c>
      <c r="N330" s="69">
        <f>IF(M330="","",IF(M330=D330,1,0))</f>
        <v/>
      </c>
      <c r="O330" s="100">
        <f>IF(G330="","",H330-G330)</f>
        <v/>
      </c>
      <c r="P330" s="100">
        <f>IF(G330="","",ABS(O330-Components!$D$2))</f>
        <v/>
      </c>
      <c r="Q330" s="100">
        <f>IF(G330="","",ABS(O330-Components!$D$3))</f>
        <v/>
      </c>
      <c r="R330" s="100">
        <f>IF(G330="","",ABS(O330-Components!$D$4))</f>
        <v/>
      </c>
      <c r="S330" s="100">
        <f>IF(G330="","",ABS(O330-Components!$D$5))</f>
        <v/>
      </c>
      <c r="T330" s="100">
        <f>IF(G330="","",ABS(O330-Components!$D$6))</f>
        <v/>
      </c>
      <c r="U330" s="100">
        <f>IF(G330="","",ABS(O330-Components!$D$7))</f>
        <v/>
      </c>
      <c r="V330" s="98">
        <f>IF(G330="","",IF(M330="OK","NONE",INDEX({"S1","S2","W1","W2","N1","N2"},MATCH(MIN(P330:U330),P330:U330,0))))</f>
        <v/>
      </c>
      <c r="W330" s="103">
        <f>IF(G330="","",IF(V330=E330,1,0))</f>
        <v/>
      </c>
    </row>
    <row r="331">
      <c r="A331" s="102">
        <f>'Runs Z score'!A319</f>
        <v/>
      </c>
      <c r="B331" s="98">
        <f>'Runs Z score'!B319</f>
        <v/>
      </c>
      <c r="C331" s="98">
        <f>'Runs Z score'!C319</f>
        <v/>
      </c>
      <c r="D331" s="98">
        <f>'Runs Z score'!D319</f>
        <v/>
      </c>
      <c r="E331" s="98">
        <f>'Runs Z score'!E319</f>
        <v/>
      </c>
      <c r="F331" s="98">
        <f>'Runs Z score'!F319</f>
        <v/>
      </c>
      <c r="G331" s="99">
        <f>'Runs Z score'!G319</f>
        <v/>
      </c>
      <c r="H331" s="100">
        <f>VLOOKUP(C331,Recipes!$A$2:$N$4,10,FALSE())</f>
        <v/>
      </c>
      <c r="I331" s="101">
        <f>VLOOKUP(C331,Recipes!$A$2:$N$4,12,FALSE())</f>
        <v/>
      </c>
      <c r="J331" s="101">
        <f>IF(G331="","",((G331-H331)/I331)^2)</f>
        <v/>
      </c>
      <c r="K331" s="101">
        <f>IF(G331="","",MAX(0, J331-$B$12))</f>
        <v/>
      </c>
      <c r="L331" s="100">
        <f>IF(G331="","",SQRT(K331))</f>
        <v/>
      </c>
      <c r="M331" s="98">
        <f>IF(G331="","",IF(K331&lt;=$B$10,"OK","NG"))</f>
        <v/>
      </c>
      <c r="N331" s="69">
        <f>IF(M331="","",IF(M331=D331,1,0))</f>
        <v/>
      </c>
      <c r="O331" s="100">
        <f>IF(G331="","",H331-G331)</f>
        <v/>
      </c>
      <c r="P331" s="100">
        <f>IF(G331="","",ABS(O331-Components!$D$2))</f>
        <v/>
      </c>
      <c r="Q331" s="100">
        <f>IF(G331="","",ABS(O331-Components!$D$3))</f>
        <v/>
      </c>
      <c r="R331" s="100">
        <f>IF(G331="","",ABS(O331-Components!$D$4))</f>
        <v/>
      </c>
      <c r="S331" s="100">
        <f>IF(G331="","",ABS(O331-Components!$D$5))</f>
        <v/>
      </c>
      <c r="T331" s="100">
        <f>IF(G331="","",ABS(O331-Components!$D$6))</f>
        <v/>
      </c>
      <c r="U331" s="100">
        <f>IF(G331="","",ABS(O331-Components!$D$7))</f>
        <v/>
      </c>
      <c r="V331" s="98">
        <f>IF(G331="","",IF(M331="OK","NONE",INDEX({"S1","S2","W1","W2","N1","N2"},MATCH(MIN(P331:U331),P331:U331,0))))</f>
        <v/>
      </c>
      <c r="W331" s="103">
        <f>IF(G331="","",IF(V331=E331,1,0))</f>
        <v/>
      </c>
    </row>
    <row r="332">
      <c r="A332" s="102">
        <f>'Runs Z score'!A320</f>
        <v/>
      </c>
      <c r="B332" s="98">
        <f>'Runs Z score'!B320</f>
        <v/>
      </c>
      <c r="C332" s="98">
        <f>'Runs Z score'!C320</f>
        <v/>
      </c>
      <c r="D332" s="98">
        <f>'Runs Z score'!D320</f>
        <v/>
      </c>
      <c r="E332" s="98">
        <f>'Runs Z score'!E320</f>
        <v/>
      </c>
      <c r="F332" s="98">
        <f>'Runs Z score'!F320</f>
        <v/>
      </c>
      <c r="G332" s="99">
        <f>'Runs Z score'!G320</f>
        <v/>
      </c>
      <c r="H332" s="100">
        <f>VLOOKUP(C332,Recipes!$A$2:$N$4,10,FALSE())</f>
        <v/>
      </c>
      <c r="I332" s="101">
        <f>VLOOKUP(C332,Recipes!$A$2:$N$4,12,FALSE())</f>
        <v/>
      </c>
      <c r="J332" s="101">
        <f>IF(G332="","",((G332-H332)/I332)^2)</f>
        <v/>
      </c>
      <c r="K332" s="101">
        <f>IF(G332="","",MAX(0, J332-$B$12))</f>
        <v/>
      </c>
      <c r="L332" s="100">
        <f>IF(G332="","",SQRT(K332))</f>
        <v/>
      </c>
      <c r="M332" s="98">
        <f>IF(G332="","",IF(K332&lt;=$B$10,"OK","NG"))</f>
        <v/>
      </c>
      <c r="N332" s="69">
        <f>IF(M332="","",IF(M332=D332,1,0))</f>
        <v/>
      </c>
      <c r="O332" s="100">
        <f>IF(G332="","",H332-G332)</f>
        <v/>
      </c>
      <c r="P332" s="100">
        <f>IF(G332="","",ABS(O332-Components!$D$2))</f>
        <v/>
      </c>
      <c r="Q332" s="100">
        <f>IF(G332="","",ABS(O332-Components!$D$3))</f>
        <v/>
      </c>
      <c r="R332" s="100">
        <f>IF(G332="","",ABS(O332-Components!$D$4))</f>
        <v/>
      </c>
      <c r="S332" s="100">
        <f>IF(G332="","",ABS(O332-Components!$D$5))</f>
        <v/>
      </c>
      <c r="T332" s="100">
        <f>IF(G332="","",ABS(O332-Components!$D$6))</f>
        <v/>
      </c>
      <c r="U332" s="100">
        <f>IF(G332="","",ABS(O332-Components!$D$7))</f>
        <v/>
      </c>
      <c r="V332" s="98">
        <f>IF(G332="","",IF(M332="OK","NONE",INDEX({"S1","S2","W1","W2","N1","N2"},MATCH(MIN(P332:U332),P332:U332,0))))</f>
        <v/>
      </c>
      <c r="W332" s="103">
        <f>IF(G332="","",IF(V332=E332,1,0))</f>
        <v/>
      </c>
    </row>
    <row r="333">
      <c r="A333" s="102">
        <f>'Runs Z score'!A321</f>
        <v/>
      </c>
      <c r="B333" s="98">
        <f>'Runs Z score'!B321</f>
        <v/>
      </c>
      <c r="C333" s="98">
        <f>'Runs Z score'!C321</f>
        <v/>
      </c>
      <c r="D333" s="98">
        <f>'Runs Z score'!D321</f>
        <v/>
      </c>
      <c r="E333" s="98">
        <f>'Runs Z score'!E321</f>
        <v/>
      </c>
      <c r="F333" s="98">
        <f>'Runs Z score'!F321</f>
        <v/>
      </c>
      <c r="G333" s="99">
        <f>'Runs Z score'!G321</f>
        <v/>
      </c>
      <c r="H333" s="100">
        <f>VLOOKUP(C333,Recipes!$A$2:$N$4,10,FALSE())</f>
        <v/>
      </c>
      <c r="I333" s="101">
        <f>VLOOKUP(C333,Recipes!$A$2:$N$4,12,FALSE())</f>
        <v/>
      </c>
      <c r="J333" s="101">
        <f>IF(G333="","",((G333-H333)/I333)^2)</f>
        <v/>
      </c>
      <c r="K333" s="101">
        <f>IF(G333="","",MAX(0, J333-$B$12))</f>
        <v/>
      </c>
      <c r="L333" s="100">
        <f>IF(G333="","",SQRT(K333))</f>
        <v/>
      </c>
      <c r="M333" s="98">
        <f>IF(G333="","",IF(K333&lt;=$B$10,"OK","NG"))</f>
        <v/>
      </c>
      <c r="N333" s="69">
        <f>IF(M333="","",IF(M333=D333,1,0))</f>
        <v/>
      </c>
      <c r="O333" s="100">
        <f>IF(G333="","",H333-G333)</f>
        <v/>
      </c>
      <c r="P333" s="100">
        <f>IF(G333="","",ABS(O333-Components!$D$2))</f>
        <v/>
      </c>
      <c r="Q333" s="100">
        <f>IF(G333="","",ABS(O333-Components!$D$3))</f>
        <v/>
      </c>
      <c r="R333" s="100">
        <f>IF(G333="","",ABS(O333-Components!$D$4))</f>
        <v/>
      </c>
      <c r="S333" s="100">
        <f>IF(G333="","",ABS(O333-Components!$D$5))</f>
        <v/>
      </c>
      <c r="T333" s="100">
        <f>IF(G333="","",ABS(O333-Components!$D$6))</f>
        <v/>
      </c>
      <c r="U333" s="100">
        <f>IF(G333="","",ABS(O333-Components!$D$7))</f>
        <v/>
      </c>
      <c r="V333" s="98">
        <f>IF(G333="","",IF(M333="OK","NONE",INDEX({"S1","S2","W1","W2","N1","N2"},MATCH(MIN(P333:U333),P333:U333,0))))</f>
        <v/>
      </c>
      <c r="W333" s="103">
        <f>IF(G333="","",IF(V333=E333,1,0))</f>
        <v/>
      </c>
    </row>
    <row r="334">
      <c r="A334" s="102">
        <f>'Runs Z score'!A322</f>
        <v/>
      </c>
      <c r="B334" s="98">
        <f>'Runs Z score'!B322</f>
        <v/>
      </c>
      <c r="C334" s="98">
        <f>'Runs Z score'!C322</f>
        <v/>
      </c>
      <c r="D334" s="98">
        <f>'Runs Z score'!D322</f>
        <v/>
      </c>
      <c r="E334" s="98">
        <f>'Runs Z score'!E322</f>
        <v/>
      </c>
      <c r="F334" s="98">
        <f>'Runs Z score'!F322</f>
        <v/>
      </c>
      <c r="G334" s="99">
        <f>'Runs Z score'!G322</f>
        <v/>
      </c>
      <c r="H334" s="100">
        <f>VLOOKUP(C334,Recipes!$A$2:$N$4,10,FALSE())</f>
        <v/>
      </c>
      <c r="I334" s="101">
        <f>VLOOKUP(C334,Recipes!$A$2:$N$4,12,FALSE())</f>
        <v/>
      </c>
      <c r="J334" s="101">
        <f>IF(G334="","",((G334-H334)/I334)^2)</f>
        <v/>
      </c>
      <c r="K334" s="101">
        <f>IF(G334="","",MAX(0, J334-$B$12))</f>
        <v/>
      </c>
      <c r="L334" s="100">
        <f>IF(G334="","",SQRT(K334))</f>
        <v/>
      </c>
      <c r="M334" s="98">
        <f>IF(G334="","",IF(K334&lt;=$B$10,"OK","NG"))</f>
        <v/>
      </c>
      <c r="N334" s="69">
        <f>IF(M334="","",IF(M334=D334,1,0))</f>
        <v/>
      </c>
      <c r="O334" s="100">
        <f>IF(G334="","",H334-G334)</f>
        <v/>
      </c>
      <c r="P334" s="100">
        <f>IF(G334="","",ABS(O334-Components!$D$2))</f>
        <v/>
      </c>
      <c r="Q334" s="100">
        <f>IF(G334="","",ABS(O334-Components!$D$3))</f>
        <v/>
      </c>
      <c r="R334" s="100">
        <f>IF(G334="","",ABS(O334-Components!$D$4))</f>
        <v/>
      </c>
      <c r="S334" s="100">
        <f>IF(G334="","",ABS(O334-Components!$D$5))</f>
        <v/>
      </c>
      <c r="T334" s="100">
        <f>IF(G334="","",ABS(O334-Components!$D$6))</f>
        <v/>
      </c>
      <c r="U334" s="100">
        <f>IF(G334="","",ABS(O334-Components!$D$7))</f>
        <v/>
      </c>
      <c r="V334" s="98">
        <f>IF(G334="","",IF(M334="OK","NONE",INDEX({"S1","S2","W1","W2","N1","N2"},MATCH(MIN(P334:U334),P334:U334,0))))</f>
        <v/>
      </c>
      <c r="W334" s="103">
        <f>IF(G334="","",IF(V334=E334,1,0))</f>
        <v/>
      </c>
    </row>
    <row r="335">
      <c r="A335" s="102">
        <f>'Runs Z score'!A323</f>
        <v/>
      </c>
      <c r="B335" s="98">
        <f>'Runs Z score'!B323</f>
        <v/>
      </c>
      <c r="C335" s="98">
        <f>'Runs Z score'!C323</f>
        <v/>
      </c>
      <c r="D335" s="98">
        <f>'Runs Z score'!D323</f>
        <v/>
      </c>
      <c r="E335" s="98">
        <f>'Runs Z score'!E323</f>
        <v/>
      </c>
      <c r="F335" s="98">
        <f>'Runs Z score'!F323</f>
        <v/>
      </c>
      <c r="G335" s="99">
        <f>'Runs Z score'!G323</f>
        <v/>
      </c>
      <c r="H335" s="100">
        <f>VLOOKUP(C335,Recipes!$A$2:$N$4,10,FALSE())</f>
        <v/>
      </c>
      <c r="I335" s="101">
        <f>VLOOKUP(C335,Recipes!$A$2:$N$4,12,FALSE())</f>
        <v/>
      </c>
      <c r="J335" s="101">
        <f>IF(G335="","",((G335-H335)/I335)^2)</f>
        <v/>
      </c>
      <c r="K335" s="101">
        <f>IF(G335="","",MAX(0, J335-$B$12))</f>
        <v/>
      </c>
      <c r="L335" s="100">
        <f>IF(G335="","",SQRT(K335))</f>
        <v/>
      </c>
      <c r="M335" s="98">
        <f>IF(G335="","",IF(K335&lt;=$B$10,"OK","NG"))</f>
        <v/>
      </c>
      <c r="N335" s="69">
        <f>IF(M335="","",IF(M335=D335,1,0))</f>
        <v/>
      </c>
      <c r="O335" s="100">
        <f>IF(G335="","",H335-G335)</f>
        <v/>
      </c>
      <c r="P335" s="100">
        <f>IF(G335="","",ABS(O335-Components!$D$2))</f>
        <v/>
      </c>
      <c r="Q335" s="100">
        <f>IF(G335="","",ABS(O335-Components!$D$3))</f>
        <v/>
      </c>
      <c r="R335" s="100">
        <f>IF(G335="","",ABS(O335-Components!$D$4))</f>
        <v/>
      </c>
      <c r="S335" s="100">
        <f>IF(G335="","",ABS(O335-Components!$D$5))</f>
        <v/>
      </c>
      <c r="T335" s="100">
        <f>IF(G335="","",ABS(O335-Components!$D$6))</f>
        <v/>
      </c>
      <c r="U335" s="100">
        <f>IF(G335="","",ABS(O335-Components!$D$7))</f>
        <v/>
      </c>
      <c r="V335" s="98">
        <f>IF(G335="","",IF(M335="OK","NONE",INDEX({"S1","S2","W1","W2","N1","N2"},MATCH(MIN(P335:U335),P335:U335,0))))</f>
        <v/>
      </c>
      <c r="W335" s="103">
        <f>IF(G335="","",IF(V335=E335,1,0))</f>
        <v/>
      </c>
    </row>
    <row r="336">
      <c r="A336" s="102">
        <f>'Runs Z score'!A324</f>
        <v/>
      </c>
      <c r="B336" s="98">
        <f>'Runs Z score'!B324</f>
        <v/>
      </c>
      <c r="C336" s="98">
        <f>'Runs Z score'!C324</f>
        <v/>
      </c>
      <c r="D336" s="98">
        <f>'Runs Z score'!D324</f>
        <v/>
      </c>
      <c r="E336" s="98">
        <f>'Runs Z score'!E324</f>
        <v/>
      </c>
      <c r="F336" s="98">
        <f>'Runs Z score'!F324</f>
        <v/>
      </c>
      <c r="G336" s="99">
        <f>'Runs Z score'!G324</f>
        <v/>
      </c>
      <c r="H336" s="100">
        <f>VLOOKUP(C336,Recipes!$A$2:$N$4,10,FALSE())</f>
        <v/>
      </c>
      <c r="I336" s="101">
        <f>VLOOKUP(C336,Recipes!$A$2:$N$4,12,FALSE())</f>
        <v/>
      </c>
      <c r="J336" s="101">
        <f>IF(G336="","",((G336-H336)/I336)^2)</f>
        <v/>
      </c>
      <c r="K336" s="101">
        <f>IF(G336="","",MAX(0, J336-$B$12))</f>
        <v/>
      </c>
      <c r="L336" s="100">
        <f>IF(G336="","",SQRT(K336))</f>
        <v/>
      </c>
      <c r="M336" s="98">
        <f>IF(G336="","",IF(K336&lt;=$B$10,"OK","NG"))</f>
        <v/>
      </c>
      <c r="N336" s="69">
        <f>IF(M336="","",IF(M336=D336,1,0))</f>
        <v/>
      </c>
      <c r="O336" s="100">
        <f>IF(G336="","",H336-G336)</f>
        <v/>
      </c>
      <c r="P336" s="100">
        <f>IF(G336="","",ABS(O336-Components!$D$2))</f>
        <v/>
      </c>
      <c r="Q336" s="100">
        <f>IF(G336="","",ABS(O336-Components!$D$3))</f>
        <v/>
      </c>
      <c r="R336" s="100">
        <f>IF(G336="","",ABS(O336-Components!$D$4))</f>
        <v/>
      </c>
      <c r="S336" s="100">
        <f>IF(G336="","",ABS(O336-Components!$D$5))</f>
        <v/>
      </c>
      <c r="T336" s="100">
        <f>IF(G336="","",ABS(O336-Components!$D$6))</f>
        <v/>
      </c>
      <c r="U336" s="100">
        <f>IF(G336="","",ABS(O336-Components!$D$7))</f>
        <v/>
      </c>
      <c r="V336" s="98">
        <f>IF(G336="","",IF(M336="OK","NONE",INDEX({"S1","S2","W1","W2","N1","N2"},MATCH(MIN(P336:U336),P336:U336,0))))</f>
        <v/>
      </c>
      <c r="W336" s="103">
        <f>IF(G336="","",IF(V336=E336,1,0))</f>
        <v/>
      </c>
    </row>
    <row r="337">
      <c r="A337" s="102">
        <f>'Runs Z score'!A325</f>
        <v/>
      </c>
      <c r="B337" s="98">
        <f>'Runs Z score'!B325</f>
        <v/>
      </c>
      <c r="C337" s="98">
        <f>'Runs Z score'!C325</f>
        <v/>
      </c>
      <c r="D337" s="98">
        <f>'Runs Z score'!D325</f>
        <v/>
      </c>
      <c r="E337" s="98">
        <f>'Runs Z score'!E325</f>
        <v/>
      </c>
      <c r="F337" s="98">
        <f>'Runs Z score'!F325</f>
        <v/>
      </c>
      <c r="G337" s="99">
        <f>'Runs Z score'!G325</f>
        <v/>
      </c>
      <c r="H337" s="100">
        <f>VLOOKUP(C337,Recipes!$A$2:$N$4,10,FALSE())</f>
        <v/>
      </c>
      <c r="I337" s="101">
        <f>VLOOKUP(C337,Recipes!$A$2:$N$4,12,FALSE())</f>
        <v/>
      </c>
      <c r="J337" s="101">
        <f>IF(G337="","",((G337-H337)/I337)^2)</f>
        <v/>
      </c>
      <c r="K337" s="101">
        <f>IF(G337="","",MAX(0, J337-$B$12))</f>
        <v/>
      </c>
      <c r="L337" s="100">
        <f>IF(G337="","",SQRT(K337))</f>
        <v/>
      </c>
      <c r="M337" s="98">
        <f>IF(G337="","",IF(K337&lt;=$B$10,"OK","NG"))</f>
        <v/>
      </c>
      <c r="N337" s="69">
        <f>IF(M337="","",IF(M337=D337,1,0))</f>
        <v/>
      </c>
      <c r="O337" s="100">
        <f>IF(G337="","",H337-G337)</f>
        <v/>
      </c>
      <c r="P337" s="100">
        <f>IF(G337="","",ABS(O337-Components!$D$2))</f>
        <v/>
      </c>
      <c r="Q337" s="100">
        <f>IF(G337="","",ABS(O337-Components!$D$3))</f>
        <v/>
      </c>
      <c r="R337" s="100">
        <f>IF(G337="","",ABS(O337-Components!$D$4))</f>
        <v/>
      </c>
      <c r="S337" s="100">
        <f>IF(G337="","",ABS(O337-Components!$D$5))</f>
        <v/>
      </c>
      <c r="T337" s="100">
        <f>IF(G337="","",ABS(O337-Components!$D$6))</f>
        <v/>
      </c>
      <c r="U337" s="100">
        <f>IF(G337="","",ABS(O337-Components!$D$7))</f>
        <v/>
      </c>
      <c r="V337" s="98">
        <f>IF(G337="","",IF(M337="OK","NONE",INDEX({"S1","S2","W1","W2","N1","N2"},MATCH(MIN(P337:U337),P337:U337,0))))</f>
        <v/>
      </c>
      <c r="W337" s="103">
        <f>IF(G337="","",IF(V337=E337,1,0))</f>
        <v/>
      </c>
    </row>
    <row r="338">
      <c r="A338" s="102">
        <f>'Runs Z score'!A326</f>
        <v/>
      </c>
      <c r="B338" s="98">
        <f>'Runs Z score'!B326</f>
        <v/>
      </c>
      <c r="C338" s="98">
        <f>'Runs Z score'!C326</f>
        <v/>
      </c>
      <c r="D338" s="98">
        <f>'Runs Z score'!D326</f>
        <v/>
      </c>
      <c r="E338" s="98">
        <f>'Runs Z score'!E326</f>
        <v/>
      </c>
      <c r="F338" s="98">
        <f>'Runs Z score'!F326</f>
        <v/>
      </c>
      <c r="G338" s="99">
        <f>'Runs Z score'!G326</f>
        <v/>
      </c>
      <c r="H338" s="100">
        <f>VLOOKUP(C338,Recipes!$A$2:$N$4,10,FALSE())</f>
        <v/>
      </c>
      <c r="I338" s="101">
        <f>VLOOKUP(C338,Recipes!$A$2:$N$4,12,FALSE())</f>
        <v/>
      </c>
      <c r="J338" s="101">
        <f>IF(G338="","",((G338-H338)/I338)^2)</f>
        <v/>
      </c>
      <c r="K338" s="101">
        <f>IF(G338="","",MAX(0, J338-$B$12))</f>
        <v/>
      </c>
      <c r="L338" s="100">
        <f>IF(G338="","",SQRT(K338))</f>
        <v/>
      </c>
      <c r="M338" s="98">
        <f>IF(G338="","",IF(K338&lt;=$B$10,"OK","NG"))</f>
        <v/>
      </c>
      <c r="N338" s="69">
        <f>IF(M338="","",IF(M338=D338,1,0))</f>
        <v/>
      </c>
      <c r="O338" s="100">
        <f>IF(G338="","",H338-G338)</f>
        <v/>
      </c>
      <c r="P338" s="100">
        <f>IF(G338="","",ABS(O338-Components!$D$2))</f>
        <v/>
      </c>
      <c r="Q338" s="100">
        <f>IF(G338="","",ABS(O338-Components!$D$3))</f>
        <v/>
      </c>
      <c r="R338" s="100">
        <f>IF(G338="","",ABS(O338-Components!$D$4))</f>
        <v/>
      </c>
      <c r="S338" s="100">
        <f>IF(G338="","",ABS(O338-Components!$D$5))</f>
        <v/>
      </c>
      <c r="T338" s="100">
        <f>IF(G338="","",ABS(O338-Components!$D$6))</f>
        <v/>
      </c>
      <c r="U338" s="100">
        <f>IF(G338="","",ABS(O338-Components!$D$7))</f>
        <v/>
      </c>
      <c r="V338" s="98">
        <f>IF(G338="","",IF(M338="OK","NONE",INDEX({"S1","S2","W1","W2","N1","N2"},MATCH(MIN(P338:U338),P338:U338,0))))</f>
        <v/>
      </c>
      <c r="W338" s="103">
        <f>IF(G338="","",IF(V338=E338,1,0))</f>
        <v/>
      </c>
    </row>
    <row r="339">
      <c r="A339" s="102">
        <f>'Runs Z score'!A327</f>
        <v/>
      </c>
      <c r="B339" s="98">
        <f>'Runs Z score'!B327</f>
        <v/>
      </c>
      <c r="C339" s="98">
        <f>'Runs Z score'!C327</f>
        <v/>
      </c>
      <c r="D339" s="98">
        <f>'Runs Z score'!D327</f>
        <v/>
      </c>
      <c r="E339" s="98">
        <f>'Runs Z score'!E327</f>
        <v/>
      </c>
      <c r="F339" s="98">
        <f>'Runs Z score'!F327</f>
        <v/>
      </c>
      <c r="G339" s="99">
        <f>'Runs Z score'!G327</f>
        <v/>
      </c>
      <c r="H339" s="100">
        <f>VLOOKUP(C339,Recipes!$A$2:$N$4,10,FALSE())</f>
        <v/>
      </c>
      <c r="I339" s="101">
        <f>VLOOKUP(C339,Recipes!$A$2:$N$4,12,FALSE())</f>
        <v/>
      </c>
      <c r="J339" s="101">
        <f>IF(G339="","",((G339-H339)/I339)^2)</f>
        <v/>
      </c>
      <c r="K339" s="101">
        <f>IF(G339="","",MAX(0, J339-$B$12))</f>
        <v/>
      </c>
      <c r="L339" s="100">
        <f>IF(G339="","",SQRT(K339))</f>
        <v/>
      </c>
      <c r="M339" s="98">
        <f>IF(G339="","",IF(K339&lt;=$B$10,"OK","NG"))</f>
        <v/>
      </c>
      <c r="N339" s="69">
        <f>IF(M339="","",IF(M339=D339,1,0))</f>
        <v/>
      </c>
      <c r="O339" s="100">
        <f>IF(G339="","",H339-G339)</f>
        <v/>
      </c>
      <c r="P339" s="100">
        <f>IF(G339="","",ABS(O339-Components!$D$2))</f>
        <v/>
      </c>
      <c r="Q339" s="100">
        <f>IF(G339="","",ABS(O339-Components!$D$3))</f>
        <v/>
      </c>
      <c r="R339" s="100">
        <f>IF(G339="","",ABS(O339-Components!$D$4))</f>
        <v/>
      </c>
      <c r="S339" s="100">
        <f>IF(G339="","",ABS(O339-Components!$D$5))</f>
        <v/>
      </c>
      <c r="T339" s="100">
        <f>IF(G339="","",ABS(O339-Components!$D$6))</f>
        <v/>
      </c>
      <c r="U339" s="100">
        <f>IF(G339="","",ABS(O339-Components!$D$7))</f>
        <v/>
      </c>
      <c r="V339" s="98">
        <f>IF(G339="","",IF(M339="OK","NONE",INDEX({"S1","S2","W1","W2","N1","N2"},MATCH(MIN(P339:U339),P339:U339,0))))</f>
        <v/>
      </c>
      <c r="W339" s="103">
        <f>IF(G339="","",IF(V339=E339,1,0))</f>
        <v/>
      </c>
    </row>
    <row r="340">
      <c r="A340" s="102">
        <f>'Runs Z score'!A328</f>
        <v/>
      </c>
      <c r="B340" s="98">
        <f>'Runs Z score'!B328</f>
        <v/>
      </c>
      <c r="C340" s="98">
        <f>'Runs Z score'!C328</f>
        <v/>
      </c>
      <c r="D340" s="98">
        <f>'Runs Z score'!D328</f>
        <v/>
      </c>
      <c r="E340" s="98">
        <f>'Runs Z score'!E328</f>
        <v/>
      </c>
      <c r="F340" s="98">
        <f>'Runs Z score'!F328</f>
        <v/>
      </c>
      <c r="G340" s="99">
        <f>'Runs Z score'!G328</f>
        <v/>
      </c>
      <c r="H340" s="100">
        <f>VLOOKUP(C340,Recipes!$A$2:$N$4,10,FALSE())</f>
        <v/>
      </c>
      <c r="I340" s="101">
        <f>VLOOKUP(C340,Recipes!$A$2:$N$4,12,FALSE())</f>
        <v/>
      </c>
      <c r="J340" s="101">
        <f>IF(G340="","",((G340-H340)/I340)^2)</f>
        <v/>
      </c>
      <c r="K340" s="101">
        <f>IF(G340="","",MAX(0, J340-$B$12))</f>
        <v/>
      </c>
      <c r="L340" s="100">
        <f>IF(G340="","",SQRT(K340))</f>
        <v/>
      </c>
      <c r="M340" s="98">
        <f>IF(G340="","",IF(K340&lt;=$B$10,"OK","NG"))</f>
        <v/>
      </c>
      <c r="N340" s="69">
        <f>IF(M340="","",IF(M340=D340,1,0))</f>
        <v/>
      </c>
      <c r="O340" s="100">
        <f>IF(G340="","",H340-G340)</f>
        <v/>
      </c>
      <c r="P340" s="100">
        <f>IF(G340="","",ABS(O340-Components!$D$2))</f>
        <v/>
      </c>
      <c r="Q340" s="100">
        <f>IF(G340="","",ABS(O340-Components!$D$3))</f>
        <v/>
      </c>
      <c r="R340" s="100">
        <f>IF(G340="","",ABS(O340-Components!$D$4))</f>
        <v/>
      </c>
      <c r="S340" s="100">
        <f>IF(G340="","",ABS(O340-Components!$D$5))</f>
        <v/>
      </c>
      <c r="T340" s="100">
        <f>IF(G340="","",ABS(O340-Components!$D$6))</f>
        <v/>
      </c>
      <c r="U340" s="100">
        <f>IF(G340="","",ABS(O340-Components!$D$7))</f>
        <v/>
      </c>
      <c r="V340" s="98">
        <f>IF(G340="","",IF(M340="OK","NONE",INDEX({"S1","S2","W1","W2","N1","N2"},MATCH(MIN(P340:U340),P340:U340,0))))</f>
        <v/>
      </c>
      <c r="W340" s="103">
        <f>IF(G340="","",IF(V340=E340,1,0))</f>
        <v/>
      </c>
    </row>
    <row r="341">
      <c r="A341" s="102">
        <f>'Runs Z score'!A329</f>
        <v/>
      </c>
      <c r="B341" s="98">
        <f>'Runs Z score'!B329</f>
        <v/>
      </c>
      <c r="C341" s="98">
        <f>'Runs Z score'!C329</f>
        <v/>
      </c>
      <c r="D341" s="98">
        <f>'Runs Z score'!D329</f>
        <v/>
      </c>
      <c r="E341" s="98">
        <f>'Runs Z score'!E329</f>
        <v/>
      </c>
      <c r="F341" s="98">
        <f>'Runs Z score'!F329</f>
        <v/>
      </c>
      <c r="G341" s="99">
        <f>'Runs Z score'!G329</f>
        <v/>
      </c>
      <c r="H341" s="100">
        <f>VLOOKUP(C341,Recipes!$A$2:$N$4,10,FALSE())</f>
        <v/>
      </c>
      <c r="I341" s="101">
        <f>VLOOKUP(C341,Recipes!$A$2:$N$4,12,FALSE())</f>
        <v/>
      </c>
      <c r="J341" s="101">
        <f>IF(G341="","",((G341-H341)/I341)^2)</f>
        <v/>
      </c>
      <c r="K341" s="101">
        <f>IF(G341="","",MAX(0, J341-$B$12))</f>
        <v/>
      </c>
      <c r="L341" s="100">
        <f>IF(G341="","",SQRT(K341))</f>
        <v/>
      </c>
      <c r="M341" s="98">
        <f>IF(G341="","",IF(K341&lt;=$B$10,"OK","NG"))</f>
        <v/>
      </c>
      <c r="N341" s="69">
        <f>IF(M341="","",IF(M341=D341,1,0))</f>
        <v/>
      </c>
      <c r="O341" s="100">
        <f>IF(G341="","",H341-G341)</f>
        <v/>
      </c>
      <c r="P341" s="100">
        <f>IF(G341="","",ABS(O341-Components!$D$2))</f>
        <v/>
      </c>
      <c r="Q341" s="100">
        <f>IF(G341="","",ABS(O341-Components!$D$3))</f>
        <v/>
      </c>
      <c r="R341" s="100">
        <f>IF(G341="","",ABS(O341-Components!$D$4))</f>
        <v/>
      </c>
      <c r="S341" s="100">
        <f>IF(G341="","",ABS(O341-Components!$D$5))</f>
        <v/>
      </c>
      <c r="T341" s="100">
        <f>IF(G341="","",ABS(O341-Components!$D$6))</f>
        <v/>
      </c>
      <c r="U341" s="100">
        <f>IF(G341="","",ABS(O341-Components!$D$7))</f>
        <v/>
      </c>
      <c r="V341" s="98">
        <f>IF(G341="","",IF(M341="OK","NONE",INDEX({"S1","S2","W1","W2","N1","N2"},MATCH(MIN(P341:U341),P341:U341,0))))</f>
        <v/>
      </c>
      <c r="W341" s="103">
        <f>IF(G341="","",IF(V341=E341,1,0))</f>
        <v/>
      </c>
    </row>
    <row r="342">
      <c r="A342" s="102">
        <f>'Runs Z score'!A330</f>
        <v/>
      </c>
      <c r="B342" s="98">
        <f>'Runs Z score'!B330</f>
        <v/>
      </c>
      <c r="C342" s="98">
        <f>'Runs Z score'!C330</f>
        <v/>
      </c>
      <c r="D342" s="98">
        <f>'Runs Z score'!D330</f>
        <v/>
      </c>
      <c r="E342" s="98">
        <f>'Runs Z score'!E330</f>
        <v/>
      </c>
      <c r="F342" s="98">
        <f>'Runs Z score'!F330</f>
        <v/>
      </c>
      <c r="G342" s="99">
        <f>'Runs Z score'!G330</f>
        <v/>
      </c>
      <c r="H342" s="100">
        <f>VLOOKUP(C342,Recipes!$A$2:$N$4,10,FALSE())</f>
        <v/>
      </c>
      <c r="I342" s="101">
        <f>VLOOKUP(C342,Recipes!$A$2:$N$4,12,FALSE())</f>
        <v/>
      </c>
      <c r="J342" s="101">
        <f>IF(G342="","",((G342-H342)/I342)^2)</f>
        <v/>
      </c>
      <c r="K342" s="101">
        <f>IF(G342="","",MAX(0, J342-$B$12))</f>
        <v/>
      </c>
      <c r="L342" s="100">
        <f>IF(G342="","",SQRT(K342))</f>
        <v/>
      </c>
      <c r="M342" s="98">
        <f>IF(G342="","",IF(K342&lt;=$B$10,"OK","NG"))</f>
        <v/>
      </c>
      <c r="N342" s="69">
        <f>IF(M342="","",IF(M342=D342,1,0))</f>
        <v/>
      </c>
      <c r="O342" s="100">
        <f>IF(G342="","",H342-G342)</f>
        <v/>
      </c>
      <c r="P342" s="100">
        <f>IF(G342="","",ABS(O342-Components!$D$2))</f>
        <v/>
      </c>
      <c r="Q342" s="100">
        <f>IF(G342="","",ABS(O342-Components!$D$3))</f>
        <v/>
      </c>
      <c r="R342" s="100">
        <f>IF(G342="","",ABS(O342-Components!$D$4))</f>
        <v/>
      </c>
      <c r="S342" s="100">
        <f>IF(G342="","",ABS(O342-Components!$D$5))</f>
        <v/>
      </c>
      <c r="T342" s="100">
        <f>IF(G342="","",ABS(O342-Components!$D$6))</f>
        <v/>
      </c>
      <c r="U342" s="100">
        <f>IF(G342="","",ABS(O342-Components!$D$7))</f>
        <v/>
      </c>
      <c r="V342" s="98">
        <f>IF(G342="","",IF(M342="OK","NONE",INDEX({"S1","S2","W1","W2","N1","N2"},MATCH(MIN(P342:U342),P342:U342,0))))</f>
        <v/>
      </c>
      <c r="W342" s="103">
        <f>IF(G342="","",IF(V342=E342,1,0))</f>
        <v/>
      </c>
    </row>
    <row r="343">
      <c r="A343" s="102">
        <f>'Runs Z score'!A331</f>
        <v/>
      </c>
      <c r="B343" s="98">
        <f>'Runs Z score'!B331</f>
        <v/>
      </c>
      <c r="C343" s="98">
        <f>'Runs Z score'!C331</f>
        <v/>
      </c>
      <c r="D343" s="98">
        <f>'Runs Z score'!D331</f>
        <v/>
      </c>
      <c r="E343" s="98">
        <f>'Runs Z score'!E331</f>
        <v/>
      </c>
      <c r="F343" s="98">
        <f>'Runs Z score'!F331</f>
        <v/>
      </c>
      <c r="G343" s="99">
        <f>'Runs Z score'!G331</f>
        <v/>
      </c>
      <c r="H343" s="100">
        <f>VLOOKUP(C343,Recipes!$A$2:$N$4,10,FALSE())</f>
        <v/>
      </c>
      <c r="I343" s="101">
        <f>VLOOKUP(C343,Recipes!$A$2:$N$4,12,FALSE())</f>
        <v/>
      </c>
      <c r="J343" s="101">
        <f>IF(G343="","",((G343-H343)/I343)^2)</f>
        <v/>
      </c>
      <c r="K343" s="101">
        <f>IF(G343="","",MAX(0, J343-$B$12))</f>
        <v/>
      </c>
      <c r="L343" s="100">
        <f>IF(G343="","",SQRT(K343))</f>
        <v/>
      </c>
      <c r="M343" s="98">
        <f>IF(G343="","",IF(K343&lt;=$B$10,"OK","NG"))</f>
        <v/>
      </c>
      <c r="N343" s="69">
        <f>IF(M343="","",IF(M343=D343,1,0))</f>
        <v/>
      </c>
      <c r="O343" s="100">
        <f>IF(G343="","",H343-G343)</f>
        <v/>
      </c>
      <c r="P343" s="100">
        <f>IF(G343="","",ABS(O343-Components!$D$2))</f>
        <v/>
      </c>
      <c r="Q343" s="100">
        <f>IF(G343="","",ABS(O343-Components!$D$3))</f>
        <v/>
      </c>
      <c r="R343" s="100">
        <f>IF(G343="","",ABS(O343-Components!$D$4))</f>
        <v/>
      </c>
      <c r="S343" s="100">
        <f>IF(G343="","",ABS(O343-Components!$D$5))</f>
        <v/>
      </c>
      <c r="T343" s="100">
        <f>IF(G343="","",ABS(O343-Components!$D$6))</f>
        <v/>
      </c>
      <c r="U343" s="100">
        <f>IF(G343="","",ABS(O343-Components!$D$7))</f>
        <v/>
      </c>
      <c r="V343" s="98">
        <f>IF(G343="","",IF(M343="OK","NONE",INDEX({"S1","S2","W1","W2","N1","N2"},MATCH(MIN(P343:U343),P343:U343,0))))</f>
        <v/>
      </c>
      <c r="W343" s="103">
        <f>IF(G343="","",IF(V343=E343,1,0))</f>
        <v/>
      </c>
    </row>
    <row r="344">
      <c r="A344" s="102">
        <f>'Runs Z score'!A332</f>
        <v/>
      </c>
      <c r="B344" s="98">
        <f>'Runs Z score'!B332</f>
        <v/>
      </c>
      <c r="C344" s="98">
        <f>'Runs Z score'!C332</f>
        <v/>
      </c>
      <c r="D344" s="98">
        <f>'Runs Z score'!D332</f>
        <v/>
      </c>
      <c r="E344" s="98">
        <f>'Runs Z score'!E332</f>
        <v/>
      </c>
      <c r="F344" s="98">
        <f>'Runs Z score'!F332</f>
        <v/>
      </c>
      <c r="G344" s="99">
        <f>'Runs Z score'!G332</f>
        <v/>
      </c>
      <c r="H344" s="100">
        <f>VLOOKUP(C344,Recipes!$A$2:$N$4,10,FALSE())</f>
        <v/>
      </c>
      <c r="I344" s="101">
        <f>VLOOKUP(C344,Recipes!$A$2:$N$4,12,FALSE())</f>
        <v/>
      </c>
      <c r="J344" s="101">
        <f>IF(G344="","",((G344-H344)/I344)^2)</f>
        <v/>
      </c>
      <c r="K344" s="101">
        <f>IF(G344="","",MAX(0, J344-$B$12))</f>
        <v/>
      </c>
      <c r="L344" s="100">
        <f>IF(G344="","",SQRT(K344))</f>
        <v/>
      </c>
      <c r="M344" s="98">
        <f>IF(G344="","",IF(K344&lt;=$B$10,"OK","NG"))</f>
        <v/>
      </c>
      <c r="N344" s="69">
        <f>IF(M344="","",IF(M344=D344,1,0))</f>
        <v/>
      </c>
      <c r="O344" s="100">
        <f>IF(G344="","",H344-G344)</f>
        <v/>
      </c>
      <c r="P344" s="100">
        <f>IF(G344="","",ABS(O344-Components!$D$2))</f>
        <v/>
      </c>
      <c r="Q344" s="100">
        <f>IF(G344="","",ABS(O344-Components!$D$3))</f>
        <v/>
      </c>
      <c r="R344" s="100">
        <f>IF(G344="","",ABS(O344-Components!$D$4))</f>
        <v/>
      </c>
      <c r="S344" s="100">
        <f>IF(G344="","",ABS(O344-Components!$D$5))</f>
        <v/>
      </c>
      <c r="T344" s="100">
        <f>IF(G344="","",ABS(O344-Components!$D$6))</f>
        <v/>
      </c>
      <c r="U344" s="100">
        <f>IF(G344="","",ABS(O344-Components!$D$7))</f>
        <v/>
      </c>
      <c r="V344" s="98">
        <f>IF(G344="","",IF(M344="OK","NONE",INDEX({"S1","S2","W1","W2","N1","N2"},MATCH(MIN(P344:U344),P344:U344,0))))</f>
        <v/>
      </c>
      <c r="W344" s="103">
        <f>IF(G344="","",IF(V344=E344,1,0))</f>
        <v/>
      </c>
    </row>
    <row r="345">
      <c r="A345" s="102">
        <f>'Runs Z score'!A333</f>
        <v/>
      </c>
      <c r="B345" s="98">
        <f>'Runs Z score'!B333</f>
        <v/>
      </c>
      <c r="C345" s="98">
        <f>'Runs Z score'!C333</f>
        <v/>
      </c>
      <c r="D345" s="98">
        <f>'Runs Z score'!D333</f>
        <v/>
      </c>
      <c r="E345" s="98">
        <f>'Runs Z score'!E333</f>
        <v/>
      </c>
      <c r="F345" s="98">
        <f>'Runs Z score'!F333</f>
        <v/>
      </c>
      <c r="G345" s="99">
        <f>'Runs Z score'!G333</f>
        <v/>
      </c>
      <c r="H345" s="100">
        <f>VLOOKUP(C345,Recipes!$A$2:$N$4,10,FALSE())</f>
        <v/>
      </c>
      <c r="I345" s="101">
        <f>VLOOKUP(C345,Recipes!$A$2:$N$4,12,FALSE())</f>
        <v/>
      </c>
      <c r="J345" s="101">
        <f>IF(G345="","",((G345-H345)/I345)^2)</f>
        <v/>
      </c>
      <c r="K345" s="101">
        <f>IF(G345="","",MAX(0, J345-$B$12))</f>
        <v/>
      </c>
      <c r="L345" s="100">
        <f>IF(G345="","",SQRT(K345))</f>
        <v/>
      </c>
      <c r="M345" s="98">
        <f>IF(G345="","",IF(K345&lt;=$B$10,"OK","NG"))</f>
        <v/>
      </c>
      <c r="N345" s="69">
        <f>IF(M345="","",IF(M345=D345,1,0))</f>
        <v/>
      </c>
      <c r="O345" s="100">
        <f>IF(G345="","",H345-G345)</f>
        <v/>
      </c>
      <c r="P345" s="100">
        <f>IF(G345="","",ABS(O345-Components!$D$2))</f>
        <v/>
      </c>
      <c r="Q345" s="100">
        <f>IF(G345="","",ABS(O345-Components!$D$3))</f>
        <v/>
      </c>
      <c r="R345" s="100">
        <f>IF(G345="","",ABS(O345-Components!$D$4))</f>
        <v/>
      </c>
      <c r="S345" s="100">
        <f>IF(G345="","",ABS(O345-Components!$D$5))</f>
        <v/>
      </c>
      <c r="T345" s="100">
        <f>IF(G345="","",ABS(O345-Components!$D$6))</f>
        <v/>
      </c>
      <c r="U345" s="100">
        <f>IF(G345="","",ABS(O345-Components!$D$7))</f>
        <v/>
      </c>
      <c r="V345" s="98">
        <f>IF(G345="","",IF(M345="OK","NONE",INDEX({"S1","S2","W1","W2","N1","N2"},MATCH(MIN(P345:U345),P345:U345,0))))</f>
        <v/>
      </c>
      <c r="W345" s="103">
        <f>IF(G345="","",IF(V345=E345,1,0))</f>
        <v/>
      </c>
    </row>
    <row r="346">
      <c r="A346" s="102">
        <f>'Runs Z score'!A334</f>
        <v/>
      </c>
      <c r="B346" s="98">
        <f>'Runs Z score'!B334</f>
        <v/>
      </c>
      <c r="C346" s="98">
        <f>'Runs Z score'!C334</f>
        <v/>
      </c>
      <c r="D346" s="98">
        <f>'Runs Z score'!D334</f>
        <v/>
      </c>
      <c r="E346" s="98">
        <f>'Runs Z score'!E334</f>
        <v/>
      </c>
      <c r="F346" s="98">
        <f>'Runs Z score'!F334</f>
        <v/>
      </c>
      <c r="G346" s="99">
        <f>'Runs Z score'!G334</f>
        <v/>
      </c>
      <c r="H346" s="100">
        <f>VLOOKUP(C346,Recipes!$A$2:$N$4,10,FALSE())</f>
        <v/>
      </c>
      <c r="I346" s="101">
        <f>VLOOKUP(C346,Recipes!$A$2:$N$4,12,FALSE())</f>
        <v/>
      </c>
      <c r="J346" s="101">
        <f>IF(G346="","",((G346-H346)/I346)^2)</f>
        <v/>
      </c>
      <c r="K346" s="101">
        <f>IF(G346="","",MAX(0, J346-$B$12))</f>
        <v/>
      </c>
      <c r="L346" s="100">
        <f>IF(G346="","",SQRT(K346))</f>
        <v/>
      </c>
      <c r="M346" s="98">
        <f>IF(G346="","",IF(K346&lt;=$B$10,"OK","NG"))</f>
        <v/>
      </c>
      <c r="N346" s="69">
        <f>IF(M346="","",IF(M346=D346,1,0))</f>
        <v/>
      </c>
      <c r="O346" s="100">
        <f>IF(G346="","",H346-G346)</f>
        <v/>
      </c>
      <c r="P346" s="100">
        <f>IF(G346="","",ABS(O346-Components!$D$2))</f>
        <v/>
      </c>
      <c r="Q346" s="100">
        <f>IF(G346="","",ABS(O346-Components!$D$3))</f>
        <v/>
      </c>
      <c r="R346" s="100">
        <f>IF(G346="","",ABS(O346-Components!$D$4))</f>
        <v/>
      </c>
      <c r="S346" s="100">
        <f>IF(G346="","",ABS(O346-Components!$D$5))</f>
        <v/>
      </c>
      <c r="T346" s="100">
        <f>IF(G346="","",ABS(O346-Components!$D$6))</f>
        <v/>
      </c>
      <c r="U346" s="100">
        <f>IF(G346="","",ABS(O346-Components!$D$7))</f>
        <v/>
      </c>
      <c r="V346" s="98">
        <f>IF(G346="","",IF(M346="OK","NONE",INDEX({"S1","S2","W1","W2","N1","N2"},MATCH(MIN(P346:U346),P346:U346,0))))</f>
        <v/>
      </c>
      <c r="W346" s="103">
        <f>IF(G346="","",IF(V346=E346,1,0))</f>
        <v/>
      </c>
    </row>
    <row r="347">
      <c r="A347" s="102">
        <f>'Runs Z score'!A335</f>
        <v/>
      </c>
      <c r="B347" s="98">
        <f>'Runs Z score'!B335</f>
        <v/>
      </c>
      <c r="C347" s="98">
        <f>'Runs Z score'!C335</f>
        <v/>
      </c>
      <c r="D347" s="98">
        <f>'Runs Z score'!D335</f>
        <v/>
      </c>
      <c r="E347" s="98">
        <f>'Runs Z score'!E335</f>
        <v/>
      </c>
      <c r="F347" s="98">
        <f>'Runs Z score'!F335</f>
        <v/>
      </c>
      <c r="G347" s="99">
        <f>'Runs Z score'!G335</f>
        <v/>
      </c>
      <c r="H347" s="100">
        <f>VLOOKUP(C347,Recipes!$A$2:$N$4,10,FALSE())</f>
        <v/>
      </c>
      <c r="I347" s="101">
        <f>VLOOKUP(C347,Recipes!$A$2:$N$4,12,FALSE())</f>
        <v/>
      </c>
      <c r="J347" s="101">
        <f>IF(G347="","",((G347-H347)/I347)^2)</f>
        <v/>
      </c>
      <c r="K347" s="101">
        <f>IF(G347="","",MAX(0, J347-$B$12))</f>
        <v/>
      </c>
      <c r="L347" s="100">
        <f>IF(G347="","",SQRT(K347))</f>
        <v/>
      </c>
      <c r="M347" s="98">
        <f>IF(G347="","",IF(K347&lt;=$B$10,"OK","NG"))</f>
        <v/>
      </c>
      <c r="N347" s="69">
        <f>IF(M347="","",IF(M347=D347,1,0))</f>
        <v/>
      </c>
      <c r="O347" s="100">
        <f>IF(G347="","",H347-G347)</f>
        <v/>
      </c>
      <c r="P347" s="100">
        <f>IF(G347="","",ABS(O347-Components!$D$2))</f>
        <v/>
      </c>
      <c r="Q347" s="100">
        <f>IF(G347="","",ABS(O347-Components!$D$3))</f>
        <v/>
      </c>
      <c r="R347" s="100">
        <f>IF(G347="","",ABS(O347-Components!$D$4))</f>
        <v/>
      </c>
      <c r="S347" s="100">
        <f>IF(G347="","",ABS(O347-Components!$D$5))</f>
        <v/>
      </c>
      <c r="T347" s="100">
        <f>IF(G347="","",ABS(O347-Components!$D$6))</f>
        <v/>
      </c>
      <c r="U347" s="100">
        <f>IF(G347="","",ABS(O347-Components!$D$7))</f>
        <v/>
      </c>
      <c r="V347" s="98">
        <f>IF(G347="","",IF(M347="OK","NONE",INDEX({"S1","S2","W1","W2","N1","N2"},MATCH(MIN(P347:U347),P347:U347,0))))</f>
        <v/>
      </c>
      <c r="W347" s="103">
        <f>IF(G347="","",IF(V347=E347,1,0))</f>
        <v/>
      </c>
    </row>
    <row r="348">
      <c r="A348" s="102">
        <f>'Runs Z score'!A336</f>
        <v/>
      </c>
      <c r="B348" s="98">
        <f>'Runs Z score'!B336</f>
        <v/>
      </c>
      <c r="C348" s="98">
        <f>'Runs Z score'!C336</f>
        <v/>
      </c>
      <c r="D348" s="98">
        <f>'Runs Z score'!D336</f>
        <v/>
      </c>
      <c r="E348" s="98">
        <f>'Runs Z score'!E336</f>
        <v/>
      </c>
      <c r="F348" s="98">
        <f>'Runs Z score'!F336</f>
        <v/>
      </c>
      <c r="G348" s="99">
        <f>'Runs Z score'!G336</f>
        <v/>
      </c>
      <c r="H348" s="100">
        <f>VLOOKUP(C348,Recipes!$A$2:$N$4,10,FALSE())</f>
        <v/>
      </c>
      <c r="I348" s="101">
        <f>VLOOKUP(C348,Recipes!$A$2:$N$4,12,FALSE())</f>
        <v/>
      </c>
      <c r="J348" s="101">
        <f>IF(G348="","",((G348-H348)/I348)^2)</f>
        <v/>
      </c>
      <c r="K348" s="101">
        <f>IF(G348="","",MAX(0, J348-$B$12))</f>
        <v/>
      </c>
      <c r="L348" s="100">
        <f>IF(G348="","",SQRT(K348))</f>
        <v/>
      </c>
      <c r="M348" s="98">
        <f>IF(G348="","",IF(K348&lt;=$B$10,"OK","NG"))</f>
        <v/>
      </c>
      <c r="N348" s="69">
        <f>IF(M348="","",IF(M348=D348,1,0))</f>
        <v/>
      </c>
      <c r="O348" s="100">
        <f>IF(G348="","",H348-G348)</f>
        <v/>
      </c>
      <c r="P348" s="100">
        <f>IF(G348="","",ABS(O348-Components!$D$2))</f>
        <v/>
      </c>
      <c r="Q348" s="100">
        <f>IF(G348="","",ABS(O348-Components!$D$3))</f>
        <v/>
      </c>
      <c r="R348" s="100">
        <f>IF(G348="","",ABS(O348-Components!$D$4))</f>
        <v/>
      </c>
      <c r="S348" s="100">
        <f>IF(G348="","",ABS(O348-Components!$D$5))</f>
        <v/>
      </c>
      <c r="T348" s="100">
        <f>IF(G348="","",ABS(O348-Components!$D$6))</f>
        <v/>
      </c>
      <c r="U348" s="100">
        <f>IF(G348="","",ABS(O348-Components!$D$7))</f>
        <v/>
      </c>
      <c r="V348" s="98">
        <f>IF(G348="","",IF(M348="OK","NONE",INDEX({"S1","S2","W1","W2","N1","N2"},MATCH(MIN(P348:U348),P348:U348,0))))</f>
        <v/>
      </c>
      <c r="W348" s="103">
        <f>IF(G348="","",IF(V348=E348,1,0))</f>
        <v/>
      </c>
    </row>
    <row r="349">
      <c r="A349" s="102">
        <f>'Runs Z score'!A337</f>
        <v/>
      </c>
      <c r="B349" s="98">
        <f>'Runs Z score'!B337</f>
        <v/>
      </c>
      <c r="C349" s="98">
        <f>'Runs Z score'!C337</f>
        <v/>
      </c>
      <c r="D349" s="98">
        <f>'Runs Z score'!D337</f>
        <v/>
      </c>
      <c r="E349" s="98">
        <f>'Runs Z score'!E337</f>
        <v/>
      </c>
      <c r="F349" s="98">
        <f>'Runs Z score'!F337</f>
        <v/>
      </c>
      <c r="G349" s="99">
        <f>'Runs Z score'!G337</f>
        <v/>
      </c>
      <c r="H349" s="100">
        <f>VLOOKUP(C349,Recipes!$A$2:$N$4,10,FALSE())</f>
        <v/>
      </c>
      <c r="I349" s="101">
        <f>VLOOKUP(C349,Recipes!$A$2:$N$4,12,FALSE())</f>
        <v/>
      </c>
      <c r="J349" s="101">
        <f>IF(G349="","",((G349-H349)/I349)^2)</f>
        <v/>
      </c>
      <c r="K349" s="101">
        <f>IF(G349="","",MAX(0, J349-$B$12))</f>
        <v/>
      </c>
      <c r="L349" s="100">
        <f>IF(G349="","",SQRT(K349))</f>
        <v/>
      </c>
      <c r="M349" s="98">
        <f>IF(G349="","",IF(K349&lt;=$B$10,"OK","NG"))</f>
        <v/>
      </c>
      <c r="N349" s="69">
        <f>IF(M349="","",IF(M349=D349,1,0))</f>
        <v/>
      </c>
      <c r="O349" s="100">
        <f>IF(G349="","",H349-G349)</f>
        <v/>
      </c>
      <c r="P349" s="100">
        <f>IF(G349="","",ABS(O349-Components!$D$2))</f>
        <v/>
      </c>
      <c r="Q349" s="100">
        <f>IF(G349="","",ABS(O349-Components!$D$3))</f>
        <v/>
      </c>
      <c r="R349" s="100">
        <f>IF(G349="","",ABS(O349-Components!$D$4))</f>
        <v/>
      </c>
      <c r="S349" s="100">
        <f>IF(G349="","",ABS(O349-Components!$D$5))</f>
        <v/>
      </c>
      <c r="T349" s="100">
        <f>IF(G349="","",ABS(O349-Components!$D$6))</f>
        <v/>
      </c>
      <c r="U349" s="100">
        <f>IF(G349="","",ABS(O349-Components!$D$7))</f>
        <v/>
      </c>
      <c r="V349" s="98">
        <f>IF(G349="","",IF(M349="OK","NONE",INDEX({"S1","S2","W1","W2","N1","N2"},MATCH(MIN(P349:U349),P349:U349,0))))</f>
        <v/>
      </c>
      <c r="W349" s="103">
        <f>IF(G349="","",IF(V349=E349,1,0))</f>
        <v/>
      </c>
    </row>
    <row r="350">
      <c r="A350" s="102">
        <f>'Runs Z score'!A338</f>
        <v/>
      </c>
      <c r="B350" s="98">
        <f>'Runs Z score'!B338</f>
        <v/>
      </c>
      <c r="C350" s="98">
        <f>'Runs Z score'!C338</f>
        <v/>
      </c>
      <c r="D350" s="98">
        <f>'Runs Z score'!D338</f>
        <v/>
      </c>
      <c r="E350" s="98">
        <f>'Runs Z score'!E338</f>
        <v/>
      </c>
      <c r="F350" s="98">
        <f>'Runs Z score'!F338</f>
        <v/>
      </c>
      <c r="G350" s="99">
        <f>'Runs Z score'!G338</f>
        <v/>
      </c>
      <c r="H350" s="100">
        <f>VLOOKUP(C350,Recipes!$A$2:$N$4,10,FALSE())</f>
        <v/>
      </c>
      <c r="I350" s="101">
        <f>VLOOKUP(C350,Recipes!$A$2:$N$4,12,FALSE())</f>
        <v/>
      </c>
      <c r="J350" s="101">
        <f>IF(G350="","",((G350-H350)/I350)^2)</f>
        <v/>
      </c>
      <c r="K350" s="101">
        <f>IF(G350="","",MAX(0, J350-$B$12))</f>
        <v/>
      </c>
      <c r="L350" s="100">
        <f>IF(G350="","",SQRT(K350))</f>
        <v/>
      </c>
      <c r="M350" s="98">
        <f>IF(G350="","",IF(K350&lt;=$B$10,"OK","NG"))</f>
        <v/>
      </c>
      <c r="N350" s="69">
        <f>IF(M350="","",IF(M350=D350,1,0))</f>
        <v/>
      </c>
      <c r="O350" s="100">
        <f>IF(G350="","",H350-G350)</f>
        <v/>
      </c>
      <c r="P350" s="100">
        <f>IF(G350="","",ABS(O350-Components!$D$2))</f>
        <v/>
      </c>
      <c r="Q350" s="100">
        <f>IF(G350="","",ABS(O350-Components!$D$3))</f>
        <v/>
      </c>
      <c r="R350" s="100">
        <f>IF(G350="","",ABS(O350-Components!$D$4))</f>
        <v/>
      </c>
      <c r="S350" s="100">
        <f>IF(G350="","",ABS(O350-Components!$D$5))</f>
        <v/>
      </c>
      <c r="T350" s="100">
        <f>IF(G350="","",ABS(O350-Components!$D$6))</f>
        <v/>
      </c>
      <c r="U350" s="100">
        <f>IF(G350="","",ABS(O350-Components!$D$7))</f>
        <v/>
      </c>
      <c r="V350" s="98">
        <f>IF(G350="","",IF(M350="OK","NONE",INDEX({"S1","S2","W1","W2","N1","N2"},MATCH(MIN(P350:U350),P350:U350,0))))</f>
        <v/>
      </c>
      <c r="W350" s="103">
        <f>IF(G350="","",IF(V350=E350,1,0))</f>
        <v/>
      </c>
    </row>
    <row r="351">
      <c r="A351" s="102">
        <f>'Runs Z score'!A339</f>
        <v/>
      </c>
      <c r="B351" s="98">
        <f>'Runs Z score'!B339</f>
        <v/>
      </c>
      <c r="C351" s="98">
        <f>'Runs Z score'!C339</f>
        <v/>
      </c>
      <c r="D351" s="98">
        <f>'Runs Z score'!D339</f>
        <v/>
      </c>
      <c r="E351" s="98">
        <f>'Runs Z score'!E339</f>
        <v/>
      </c>
      <c r="F351" s="98">
        <f>'Runs Z score'!F339</f>
        <v/>
      </c>
      <c r="G351" s="99">
        <f>'Runs Z score'!G339</f>
        <v/>
      </c>
      <c r="H351" s="100">
        <f>VLOOKUP(C351,Recipes!$A$2:$N$4,10,FALSE())</f>
        <v/>
      </c>
      <c r="I351" s="101">
        <f>VLOOKUP(C351,Recipes!$A$2:$N$4,12,FALSE())</f>
        <v/>
      </c>
      <c r="J351" s="101">
        <f>IF(G351="","",((G351-H351)/I351)^2)</f>
        <v/>
      </c>
      <c r="K351" s="101">
        <f>IF(G351="","",MAX(0, J351-$B$12))</f>
        <v/>
      </c>
      <c r="L351" s="100">
        <f>IF(G351="","",SQRT(K351))</f>
        <v/>
      </c>
      <c r="M351" s="98">
        <f>IF(G351="","",IF(K351&lt;=$B$10,"OK","NG"))</f>
        <v/>
      </c>
      <c r="N351" s="69">
        <f>IF(M351="","",IF(M351=D351,1,0))</f>
        <v/>
      </c>
      <c r="O351" s="100">
        <f>IF(G351="","",H351-G351)</f>
        <v/>
      </c>
      <c r="P351" s="100">
        <f>IF(G351="","",ABS(O351-Components!$D$2))</f>
        <v/>
      </c>
      <c r="Q351" s="100">
        <f>IF(G351="","",ABS(O351-Components!$D$3))</f>
        <v/>
      </c>
      <c r="R351" s="100">
        <f>IF(G351="","",ABS(O351-Components!$D$4))</f>
        <v/>
      </c>
      <c r="S351" s="100">
        <f>IF(G351="","",ABS(O351-Components!$D$5))</f>
        <v/>
      </c>
      <c r="T351" s="100">
        <f>IF(G351="","",ABS(O351-Components!$D$6))</f>
        <v/>
      </c>
      <c r="U351" s="100">
        <f>IF(G351="","",ABS(O351-Components!$D$7))</f>
        <v/>
      </c>
      <c r="V351" s="98">
        <f>IF(G351="","",IF(M351="OK","NONE",INDEX({"S1","S2","W1","W2","N1","N2"},MATCH(MIN(P351:U351),P351:U351,0))))</f>
        <v/>
      </c>
      <c r="W351" s="103">
        <f>IF(G351="","",IF(V351=E351,1,0))</f>
        <v/>
      </c>
    </row>
    <row r="352">
      <c r="A352" s="102">
        <f>'Runs Z score'!A340</f>
        <v/>
      </c>
      <c r="B352" s="98">
        <f>'Runs Z score'!B340</f>
        <v/>
      </c>
      <c r="C352" s="98">
        <f>'Runs Z score'!C340</f>
        <v/>
      </c>
      <c r="D352" s="98">
        <f>'Runs Z score'!D340</f>
        <v/>
      </c>
      <c r="E352" s="98">
        <f>'Runs Z score'!E340</f>
        <v/>
      </c>
      <c r="F352" s="98">
        <f>'Runs Z score'!F340</f>
        <v/>
      </c>
      <c r="G352" s="99">
        <f>'Runs Z score'!G340</f>
        <v/>
      </c>
      <c r="H352" s="100">
        <f>VLOOKUP(C352,Recipes!$A$2:$N$4,10,FALSE())</f>
        <v/>
      </c>
      <c r="I352" s="101">
        <f>VLOOKUP(C352,Recipes!$A$2:$N$4,12,FALSE())</f>
        <v/>
      </c>
      <c r="J352" s="101">
        <f>IF(G352="","",((G352-H352)/I352)^2)</f>
        <v/>
      </c>
      <c r="K352" s="101">
        <f>IF(G352="","",MAX(0, J352-$B$12))</f>
        <v/>
      </c>
      <c r="L352" s="100">
        <f>IF(G352="","",SQRT(K352))</f>
        <v/>
      </c>
      <c r="M352" s="98">
        <f>IF(G352="","",IF(K352&lt;=$B$10,"OK","NG"))</f>
        <v/>
      </c>
      <c r="N352" s="69">
        <f>IF(M352="","",IF(M352=D352,1,0))</f>
        <v/>
      </c>
      <c r="O352" s="100">
        <f>IF(G352="","",H352-G352)</f>
        <v/>
      </c>
      <c r="P352" s="100">
        <f>IF(G352="","",ABS(O352-Components!$D$2))</f>
        <v/>
      </c>
      <c r="Q352" s="100">
        <f>IF(G352="","",ABS(O352-Components!$D$3))</f>
        <v/>
      </c>
      <c r="R352" s="100">
        <f>IF(G352="","",ABS(O352-Components!$D$4))</f>
        <v/>
      </c>
      <c r="S352" s="100">
        <f>IF(G352="","",ABS(O352-Components!$D$5))</f>
        <v/>
      </c>
      <c r="T352" s="100">
        <f>IF(G352="","",ABS(O352-Components!$D$6))</f>
        <v/>
      </c>
      <c r="U352" s="100">
        <f>IF(G352="","",ABS(O352-Components!$D$7))</f>
        <v/>
      </c>
      <c r="V352" s="98">
        <f>IF(G352="","",IF(M352="OK","NONE",INDEX({"S1","S2","W1","W2","N1","N2"},MATCH(MIN(P352:U352),P352:U352,0))))</f>
        <v/>
      </c>
      <c r="W352" s="103">
        <f>IF(G352="","",IF(V352=E352,1,0))</f>
        <v/>
      </c>
    </row>
    <row r="353">
      <c r="A353" s="102">
        <f>'Runs Z score'!A341</f>
        <v/>
      </c>
      <c r="B353" s="98">
        <f>'Runs Z score'!B341</f>
        <v/>
      </c>
      <c r="C353" s="98">
        <f>'Runs Z score'!C341</f>
        <v/>
      </c>
      <c r="D353" s="98">
        <f>'Runs Z score'!D341</f>
        <v/>
      </c>
      <c r="E353" s="98">
        <f>'Runs Z score'!E341</f>
        <v/>
      </c>
      <c r="F353" s="98">
        <f>'Runs Z score'!F341</f>
        <v/>
      </c>
      <c r="G353" s="99">
        <f>'Runs Z score'!G341</f>
        <v/>
      </c>
      <c r="H353" s="100">
        <f>VLOOKUP(C353,Recipes!$A$2:$N$4,10,FALSE())</f>
        <v/>
      </c>
      <c r="I353" s="101">
        <f>VLOOKUP(C353,Recipes!$A$2:$N$4,12,FALSE())</f>
        <v/>
      </c>
      <c r="J353" s="101">
        <f>IF(G353="","",((G353-H353)/I353)^2)</f>
        <v/>
      </c>
      <c r="K353" s="101">
        <f>IF(G353="","",MAX(0, J353-$B$12))</f>
        <v/>
      </c>
      <c r="L353" s="100">
        <f>IF(G353="","",SQRT(K353))</f>
        <v/>
      </c>
      <c r="M353" s="98">
        <f>IF(G353="","",IF(K353&lt;=$B$10,"OK","NG"))</f>
        <v/>
      </c>
      <c r="N353" s="69">
        <f>IF(M353="","",IF(M353=D353,1,0))</f>
        <v/>
      </c>
      <c r="O353" s="100">
        <f>IF(G353="","",H353-G353)</f>
        <v/>
      </c>
      <c r="P353" s="100">
        <f>IF(G353="","",ABS(O353-Components!$D$2))</f>
        <v/>
      </c>
      <c r="Q353" s="100">
        <f>IF(G353="","",ABS(O353-Components!$D$3))</f>
        <v/>
      </c>
      <c r="R353" s="100">
        <f>IF(G353="","",ABS(O353-Components!$D$4))</f>
        <v/>
      </c>
      <c r="S353" s="100">
        <f>IF(G353="","",ABS(O353-Components!$D$5))</f>
        <v/>
      </c>
      <c r="T353" s="100">
        <f>IF(G353="","",ABS(O353-Components!$D$6))</f>
        <v/>
      </c>
      <c r="U353" s="100">
        <f>IF(G353="","",ABS(O353-Components!$D$7))</f>
        <v/>
      </c>
      <c r="V353" s="98">
        <f>IF(G353="","",IF(M353="OK","NONE",INDEX({"S1","S2","W1","W2","N1","N2"},MATCH(MIN(P353:U353),P353:U353,0))))</f>
        <v/>
      </c>
      <c r="W353" s="103">
        <f>IF(G353="","",IF(V353=E353,1,0))</f>
        <v/>
      </c>
    </row>
    <row r="354">
      <c r="A354" s="102">
        <f>'Runs Z score'!A342</f>
        <v/>
      </c>
      <c r="B354" s="98">
        <f>'Runs Z score'!B342</f>
        <v/>
      </c>
      <c r="C354" s="98">
        <f>'Runs Z score'!C342</f>
        <v/>
      </c>
      <c r="D354" s="98">
        <f>'Runs Z score'!D342</f>
        <v/>
      </c>
      <c r="E354" s="98">
        <f>'Runs Z score'!E342</f>
        <v/>
      </c>
      <c r="F354" s="98">
        <f>'Runs Z score'!F342</f>
        <v/>
      </c>
      <c r="G354" s="99">
        <f>'Runs Z score'!G342</f>
        <v/>
      </c>
      <c r="H354" s="100">
        <f>VLOOKUP(C354,Recipes!$A$2:$N$4,10,FALSE())</f>
        <v/>
      </c>
      <c r="I354" s="101">
        <f>VLOOKUP(C354,Recipes!$A$2:$N$4,12,FALSE())</f>
        <v/>
      </c>
      <c r="J354" s="101">
        <f>IF(G354="","",((G354-H354)/I354)^2)</f>
        <v/>
      </c>
      <c r="K354" s="101">
        <f>IF(G354="","",MAX(0, J354-$B$12))</f>
        <v/>
      </c>
      <c r="L354" s="100">
        <f>IF(G354="","",SQRT(K354))</f>
        <v/>
      </c>
      <c r="M354" s="98">
        <f>IF(G354="","",IF(K354&lt;=$B$10,"OK","NG"))</f>
        <v/>
      </c>
      <c r="N354" s="69">
        <f>IF(M354="","",IF(M354=D354,1,0))</f>
        <v/>
      </c>
      <c r="O354" s="100">
        <f>IF(G354="","",H354-G354)</f>
        <v/>
      </c>
      <c r="P354" s="100">
        <f>IF(G354="","",ABS(O354-Components!$D$2))</f>
        <v/>
      </c>
      <c r="Q354" s="100">
        <f>IF(G354="","",ABS(O354-Components!$D$3))</f>
        <v/>
      </c>
      <c r="R354" s="100">
        <f>IF(G354="","",ABS(O354-Components!$D$4))</f>
        <v/>
      </c>
      <c r="S354" s="100">
        <f>IF(G354="","",ABS(O354-Components!$D$5))</f>
        <v/>
      </c>
      <c r="T354" s="100">
        <f>IF(G354="","",ABS(O354-Components!$D$6))</f>
        <v/>
      </c>
      <c r="U354" s="100">
        <f>IF(G354="","",ABS(O354-Components!$D$7))</f>
        <v/>
      </c>
      <c r="V354" s="98">
        <f>IF(G354="","",IF(M354="OK","NONE",INDEX({"S1","S2","W1","W2","N1","N2"},MATCH(MIN(P354:U354),P354:U354,0))))</f>
        <v/>
      </c>
      <c r="W354" s="103">
        <f>IF(G354="","",IF(V354=E354,1,0))</f>
        <v/>
      </c>
    </row>
    <row r="355">
      <c r="A355" s="102">
        <f>'Runs Z score'!A343</f>
        <v/>
      </c>
      <c r="B355" s="98">
        <f>'Runs Z score'!B343</f>
        <v/>
      </c>
      <c r="C355" s="98">
        <f>'Runs Z score'!C343</f>
        <v/>
      </c>
      <c r="D355" s="98">
        <f>'Runs Z score'!D343</f>
        <v/>
      </c>
      <c r="E355" s="98">
        <f>'Runs Z score'!E343</f>
        <v/>
      </c>
      <c r="F355" s="98">
        <f>'Runs Z score'!F343</f>
        <v/>
      </c>
      <c r="G355" s="99">
        <f>'Runs Z score'!G343</f>
        <v/>
      </c>
      <c r="H355" s="100">
        <f>VLOOKUP(C355,Recipes!$A$2:$N$4,10,FALSE())</f>
        <v/>
      </c>
      <c r="I355" s="101">
        <f>VLOOKUP(C355,Recipes!$A$2:$N$4,12,FALSE())</f>
        <v/>
      </c>
      <c r="J355" s="101">
        <f>IF(G355="","",((G355-H355)/I355)^2)</f>
        <v/>
      </c>
      <c r="K355" s="101">
        <f>IF(G355="","",MAX(0, J355-$B$12))</f>
        <v/>
      </c>
      <c r="L355" s="100">
        <f>IF(G355="","",SQRT(K355))</f>
        <v/>
      </c>
      <c r="M355" s="98">
        <f>IF(G355="","",IF(K355&lt;=$B$10,"OK","NG"))</f>
        <v/>
      </c>
      <c r="N355" s="69">
        <f>IF(M355="","",IF(M355=D355,1,0))</f>
        <v/>
      </c>
      <c r="O355" s="100">
        <f>IF(G355="","",H355-G355)</f>
        <v/>
      </c>
      <c r="P355" s="100">
        <f>IF(G355="","",ABS(O355-Components!$D$2))</f>
        <v/>
      </c>
      <c r="Q355" s="100">
        <f>IF(G355="","",ABS(O355-Components!$D$3))</f>
        <v/>
      </c>
      <c r="R355" s="100">
        <f>IF(G355="","",ABS(O355-Components!$D$4))</f>
        <v/>
      </c>
      <c r="S355" s="100">
        <f>IF(G355="","",ABS(O355-Components!$D$5))</f>
        <v/>
      </c>
      <c r="T355" s="100">
        <f>IF(G355="","",ABS(O355-Components!$D$6))</f>
        <v/>
      </c>
      <c r="U355" s="100">
        <f>IF(G355="","",ABS(O355-Components!$D$7))</f>
        <v/>
      </c>
      <c r="V355" s="98">
        <f>IF(G355="","",IF(M355="OK","NONE",INDEX({"S1","S2","W1","W2","N1","N2"},MATCH(MIN(P355:U355),P355:U355,0))))</f>
        <v/>
      </c>
      <c r="W355" s="103">
        <f>IF(G355="","",IF(V355=E355,1,0))</f>
        <v/>
      </c>
    </row>
    <row r="356">
      <c r="A356" s="102">
        <f>'Runs Z score'!A344</f>
        <v/>
      </c>
      <c r="B356" s="98">
        <f>'Runs Z score'!B344</f>
        <v/>
      </c>
      <c r="C356" s="98">
        <f>'Runs Z score'!C344</f>
        <v/>
      </c>
      <c r="D356" s="98">
        <f>'Runs Z score'!D344</f>
        <v/>
      </c>
      <c r="E356" s="98">
        <f>'Runs Z score'!E344</f>
        <v/>
      </c>
      <c r="F356" s="98">
        <f>'Runs Z score'!F344</f>
        <v/>
      </c>
      <c r="G356" s="99">
        <f>'Runs Z score'!G344</f>
        <v/>
      </c>
      <c r="H356" s="100">
        <f>VLOOKUP(C356,Recipes!$A$2:$N$4,10,FALSE())</f>
        <v/>
      </c>
      <c r="I356" s="101">
        <f>VLOOKUP(C356,Recipes!$A$2:$N$4,12,FALSE())</f>
        <v/>
      </c>
      <c r="J356" s="101">
        <f>IF(G356="","",((G356-H356)/I356)^2)</f>
        <v/>
      </c>
      <c r="K356" s="101">
        <f>IF(G356="","",MAX(0, J356-$B$12))</f>
        <v/>
      </c>
      <c r="L356" s="100">
        <f>IF(G356="","",SQRT(K356))</f>
        <v/>
      </c>
      <c r="M356" s="98">
        <f>IF(G356="","",IF(K356&lt;=$B$10,"OK","NG"))</f>
        <v/>
      </c>
      <c r="N356" s="69">
        <f>IF(M356="","",IF(M356=D356,1,0))</f>
        <v/>
      </c>
      <c r="O356" s="100">
        <f>IF(G356="","",H356-G356)</f>
        <v/>
      </c>
      <c r="P356" s="100">
        <f>IF(G356="","",ABS(O356-Components!$D$2))</f>
        <v/>
      </c>
      <c r="Q356" s="100">
        <f>IF(G356="","",ABS(O356-Components!$D$3))</f>
        <v/>
      </c>
      <c r="R356" s="100">
        <f>IF(G356="","",ABS(O356-Components!$D$4))</f>
        <v/>
      </c>
      <c r="S356" s="100">
        <f>IF(G356="","",ABS(O356-Components!$D$5))</f>
        <v/>
      </c>
      <c r="T356" s="100">
        <f>IF(G356="","",ABS(O356-Components!$D$6))</f>
        <v/>
      </c>
      <c r="U356" s="100">
        <f>IF(G356="","",ABS(O356-Components!$D$7))</f>
        <v/>
      </c>
      <c r="V356" s="98">
        <f>IF(G356="","",IF(M356="OK","NONE",INDEX({"S1","S2","W1","W2","N1","N2"},MATCH(MIN(P356:U356),P356:U356,0))))</f>
        <v/>
      </c>
      <c r="W356" s="103">
        <f>IF(G356="","",IF(V356=E356,1,0))</f>
        <v/>
      </c>
    </row>
    <row r="357">
      <c r="A357" s="102">
        <f>'Runs Z score'!A345</f>
        <v/>
      </c>
      <c r="B357" s="98">
        <f>'Runs Z score'!B345</f>
        <v/>
      </c>
      <c r="C357" s="98">
        <f>'Runs Z score'!C345</f>
        <v/>
      </c>
      <c r="D357" s="98">
        <f>'Runs Z score'!D345</f>
        <v/>
      </c>
      <c r="E357" s="98">
        <f>'Runs Z score'!E345</f>
        <v/>
      </c>
      <c r="F357" s="98">
        <f>'Runs Z score'!F345</f>
        <v/>
      </c>
      <c r="G357" s="99">
        <f>'Runs Z score'!G345</f>
        <v/>
      </c>
      <c r="H357" s="100">
        <f>VLOOKUP(C357,Recipes!$A$2:$N$4,10,FALSE())</f>
        <v/>
      </c>
      <c r="I357" s="101">
        <f>VLOOKUP(C357,Recipes!$A$2:$N$4,12,FALSE())</f>
        <v/>
      </c>
      <c r="J357" s="101">
        <f>IF(G357="","",((G357-H357)/I357)^2)</f>
        <v/>
      </c>
      <c r="K357" s="101">
        <f>IF(G357="","",MAX(0, J357-$B$12))</f>
        <v/>
      </c>
      <c r="L357" s="100">
        <f>IF(G357="","",SQRT(K357))</f>
        <v/>
      </c>
      <c r="M357" s="98">
        <f>IF(G357="","",IF(K357&lt;=$B$10,"OK","NG"))</f>
        <v/>
      </c>
      <c r="N357" s="69">
        <f>IF(M357="","",IF(M357=D357,1,0))</f>
        <v/>
      </c>
      <c r="O357" s="100">
        <f>IF(G357="","",H357-G357)</f>
        <v/>
      </c>
      <c r="P357" s="100">
        <f>IF(G357="","",ABS(O357-Components!$D$2))</f>
        <v/>
      </c>
      <c r="Q357" s="100">
        <f>IF(G357="","",ABS(O357-Components!$D$3))</f>
        <v/>
      </c>
      <c r="R357" s="100">
        <f>IF(G357="","",ABS(O357-Components!$D$4))</f>
        <v/>
      </c>
      <c r="S357" s="100">
        <f>IF(G357="","",ABS(O357-Components!$D$5))</f>
        <v/>
      </c>
      <c r="T357" s="100">
        <f>IF(G357="","",ABS(O357-Components!$D$6))</f>
        <v/>
      </c>
      <c r="U357" s="100">
        <f>IF(G357="","",ABS(O357-Components!$D$7))</f>
        <v/>
      </c>
      <c r="V357" s="98">
        <f>IF(G357="","",IF(M357="OK","NONE",INDEX({"S1","S2","W1","W2","N1","N2"},MATCH(MIN(P357:U357),P357:U357,0))))</f>
        <v/>
      </c>
      <c r="W357" s="103">
        <f>IF(G357="","",IF(V357=E357,1,0))</f>
        <v/>
      </c>
    </row>
    <row r="358">
      <c r="A358" s="102">
        <f>'Runs Z score'!A346</f>
        <v/>
      </c>
      <c r="B358" s="98">
        <f>'Runs Z score'!B346</f>
        <v/>
      </c>
      <c r="C358" s="98">
        <f>'Runs Z score'!C346</f>
        <v/>
      </c>
      <c r="D358" s="98">
        <f>'Runs Z score'!D346</f>
        <v/>
      </c>
      <c r="E358" s="98">
        <f>'Runs Z score'!E346</f>
        <v/>
      </c>
      <c r="F358" s="98">
        <f>'Runs Z score'!F346</f>
        <v/>
      </c>
      <c r="G358" s="99">
        <f>'Runs Z score'!G346</f>
        <v/>
      </c>
      <c r="H358" s="100">
        <f>VLOOKUP(C358,Recipes!$A$2:$N$4,10,FALSE())</f>
        <v/>
      </c>
      <c r="I358" s="101">
        <f>VLOOKUP(C358,Recipes!$A$2:$N$4,12,FALSE())</f>
        <v/>
      </c>
      <c r="J358" s="101">
        <f>IF(G358="","",((G358-H358)/I358)^2)</f>
        <v/>
      </c>
      <c r="K358" s="101">
        <f>IF(G358="","",MAX(0, J358-$B$12))</f>
        <v/>
      </c>
      <c r="L358" s="100">
        <f>IF(G358="","",SQRT(K358))</f>
        <v/>
      </c>
      <c r="M358" s="98">
        <f>IF(G358="","",IF(K358&lt;=$B$10,"OK","NG"))</f>
        <v/>
      </c>
      <c r="N358" s="69">
        <f>IF(M358="","",IF(M358=D358,1,0))</f>
        <v/>
      </c>
      <c r="O358" s="100">
        <f>IF(G358="","",H358-G358)</f>
        <v/>
      </c>
      <c r="P358" s="100">
        <f>IF(G358="","",ABS(O358-Components!$D$2))</f>
        <v/>
      </c>
      <c r="Q358" s="100">
        <f>IF(G358="","",ABS(O358-Components!$D$3))</f>
        <v/>
      </c>
      <c r="R358" s="100">
        <f>IF(G358="","",ABS(O358-Components!$D$4))</f>
        <v/>
      </c>
      <c r="S358" s="100">
        <f>IF(G358="","",ABS(O358-Components!$D$5))</f>
        <v/>
      </c>
      <c r="T358" s="100">
        <f>IF(G358="","",ABS(O358-Components!$D$6))</f>
        <v/>
      </c>
      <c r="U358" s="100">
        <f>IF(G358="","",ABS(O358-Components!$D$7))</f>
        <v/>
      </c>
      <c r="V358" s="98">
        <f>IF(G358="","",IF(M358="OK","NONE",INDEX({"S1","S2","W1","W2","N1","N2"},MATCH(MIN(P358:U358),P358:U358,0))))</f>
        <v/>
      </c>
      <c r="W358" s="103">
        <f>IF(G358="","",IF(V358=E358,1,0))</f>
        <v/>
      </c>
    </row>
    <row r="359">
      <c r="A359" s="102">
        <f>'Runs Z score'!A347</f>
        <v/>
      </c>
      <c r="B359" s="98">
        <f>'Runs Z score'!B347</f>
        <v/>
      </c>
      <c r="C359" s="98">
        <f>'Runs Z score'!C347</f>
        <v/>
      </c>
      <c r="D359" s="98">
        <f>'Runs Z score'!D347</f>
        <v/>
      </c>
      <c r="E359" s="98">
        <f>'Runs Z score'!E347</f>
        <v/>
      </c>
      <c r="F359" s="98">
        <f>'Runs Z score'!F347</f>
        <v/>
      </c>
      <c r="G359" s="99">
        <f>'Runs Z score'!G347</f>
        <v/>
      </c>
      <c r="H359" s="100">
        <f>VLOOKUP(C359,Recipes!$A$2:$N$4,10,FALSE())</f>
        <v/>
      </c>
      <c r="I359" s="101">
        <f>VLOOKUP(C359,Recipes!$A$2:$N$4,12,FALSE())</f>
        <v/>
      </c>
      <c r="J359" s="101">
        <f>IF(G359="","",((G359-H359)/I359)^2)</f>
        <v/>
      </c>
      <c r="K359" s="101">
        <f>IF(G359="","",MAX(0, J359-$B$12))</f>
        <v/>
      </c>
      <c r="L359" s="100">
        <f>IF(G359="","",SQRT(K359))</f>
        <v/>
      </c>
      <c r="M359" s="98">
        <f>IF(G359="","",IF(K359&lt;=$B$10,"OK","NG"))</f>
        <v/>
      </c>
      <c r="N359" s="69">
        <f>IF(M359="","",IF(M359=D359,1,0))</f>
        <v/>
      </c>
      <c r="O359" s="100">
        <f>IF(G359="","",H359-G359)</f>
        <v/>
      </c>
      <c r="P359" s="100">
        <f>IF(G359="","",ABS(O359-Components!$D$2))</f>
        <v/>
      </c>
      <c r="Q359" s="100">
        <f>IF(G359="","",ABS(O359-Components!$D$3))</f>
        <v/>
      </c>
      <c r="R359" s="100">
        <f>IF(G359="","",ABS(O359-Components!$D$4))</f>
        <v/>
      </c>
      <c r="S359" s="100">
        <f>IF(G359="","",ABS(O359-Components!$D$5))</f>
        <v/>
      </c>
      <c r="T359" s="100">
        <f>IF(G359="","",ABS(O359-Components!$D$6))</f>
        <v/>
      </c>
      <c r="U359" s="100">
        <f>IF(G359="","",ABS(O359-Components!$D$7))</f>
        <v/>
      </c>
      <c r="V359" s="98">
        <f>IF(G359="","",IF(M359="OK","NONE",INDEX({"S1","S2","W1","W2","N1","N2"},MATCH(MIN(P359:U359),P359:U359,0))))</f>
        <v/>
      </c>
      <c r="W359" s="103">
        <f>IF(G359="","",IF(V359=E359,1,0))</f>
        <v/>
      </c>
    </row>
    <row r="360">
      <c r="A360" s="102">
        <f>'Runs Z score'!A348</f>
        <v/>
      </c>
      <c r="B360" s="98">
        <f>'Runs Z score'!B348</f>
        <v/>
      </c>
      <c r="C360" s="98">
        <f>'Runs Z score'!C348</f>
        <v/>
      </c>
      <c r="D360" s="98">
        <f>'Runs Z score'!D348</f>
        <v/>
      </c>
      <c r="E360" s="98">
        <f>'Runs Z score'!E348</f>
        <v/>
      </c>
      <c r="F360" s="98">
        <f>'Runs Z score'!F348</f>
        <v/>
      </c>
      <c r="G360" s="99">
        <f>'Runs Z score'!G348</f>
        <v/>
      </c>
      <c r="H360" s="100">
        <f>VLOOKUP(C360,Recipes!$A$2:$N$4,10,FALSE())</f>
        <v/>
      </c>
      <c r="I360" s="101">
        <f>VLOOKUP(C360,Recipes!$A$2:$N$4,12,FALSE())</f>
        <v/>
      </c>
      <c r="J360" s="101">
        <f>IF(G360="","",((G360-H360)/I360)^2)</f>
        <v/>
      </c>
      <c r="K360" s="101">
        <f>IF(G360="","",MAX(0, J360-$B$12))</f>
        <v/>
      </c>
      <c r="L360" s="100">
        <f>IF(G360="","",SQRT(K360))</f>
        <v/>
      </c>
      <c r="M360" s="98">
        <f>IF(G360="","",IF(K360&lt;=$B$10,"OK","NG"))</f>
        <v/>
      </c>
      <c r="N360" s="69">
        <f>IF(M360="","",IF(M360=D360,1,0))</f>
        <v/>
      </c>
      <c r="O360" s="100">
        <f>IF(G360="","",H360-G360)</f>
        <v/>
      </c>
      <c r="P360" s="100">
        <f>IF(G360="","",ABS(O360-Components!$D$2))</f>
        <v/>
      </c>
      <c r="Q360" s="100">
        <f>IF(G360="","",ABS(O360-Components!$D$3))</f>
        <v/>
      </c>
      <c r="R360" s="100">
        <f>IF(G360="","",ABS(O360-Components!$D$4))</f>
        <v/>
      </c>
      <c r="S360" s="100">
        <f>IF(G360="","",ABS(O360-Components!$D$5))</f>
        <v/>
      </c>
      <c r="T360" s="100">
        <f>IF(G360="","",ABS(O360-Components!$D$6))</f>
        <v/>
      </c>
      <c r="U360" s="100">
        <f>IF(G360="","",ABS(O360-Components!$D$7))</f>
        <v/>
      </c>
      <c r="V360" s="98">
        <f>IF(G360="","",IF(M360="OK","NONE",INDEX({"S1","S2","W1","W2","N1","N2"},MATCH(MIN(P360:U360),P360:U360,0))))</f>
        <v/>
      </c>
      <c r="W360" s="103">
        <f>IF(G360="","",IF(V360=E360,1,0))</f>
        <v/>
      </c>
    </row>
    <row r="361">
      <c r="A361" s="102">
        <f>'Runs Z score'!A349</f>
        <v/>
      </c>
      <c r="B361" s="98">
        <f>'Runs Z score'!B349</f>
        <v/>
      </c>
      <c r="C361" s="98">
        <f>'Runs Z score'!C349</f>
        <v/>
      </c>
      <c r="D361" s="98">
        <f>'Runs Z score'!D349</f>
        <v/>
      </c>
      <c r="E361" s="98">
        <f>'Runs Z score'!E349</f>
        <v/>
      </c>
      <c r="F361" s="98">
        <f>'Runs Z score'!F349</f>
        <v/>
      </c>
      <c r="G361" s="99">
        <f>'Runs Z score'!G349</f>
        <v/>
      </c>
      <c r="H361" s="100">
        <f>VLOOKUP(C361,Recipes!$A$2:$N$4,10,FALSE())</f>
        <v/>
      </c>
      <c r="I361" s="101">
        <f>VLOOKUP(C361,Recipes!$A$2:$N$4,12,FALSE())</f>
        <v/>
      </c>
      <c r="J361" s="101">
        <f>IF(G361="","",((G361-H361)/I361)^2)</f>
        <v/>
      </c>
      <c r="K361" s="101">
        <f>IF(G361="","",MAX(0, J361-$B$12))</f>
        <v/>
      </c>
      <c r="L361" s="100">
        <f>IF(G361="","",SQRT(K361))</f>
        <v/>
      </c>
      <c r="M361" s="98">
        <f>IF(G361="","",IF(K361&lt;=$B$10,"OK","NG"))</f>
        <v/>
      </c>
      <c r="N361" s="69">
        <f>IF(M361="","",IF(M361=D361,1,0))</f>
        <v/>
      </c>
      <c r="O361" s="100">
        <f>IF(G361="","",H361-G361)</f>
        <v/>
      </c>
      <c r="P361" s="100">
        <f>IF(G361="","",ABS(O361-Components!$D$2))</f>
        <v/>
      </c>
      <c r="Q361" s="100">
        <f>IF(G361="","",ABS(O361-Components!$D$3))</f>
        <v/>
      </c>
      <c r="R361" s="100">
        <f>IF(G361="","",ABS(O361-Components!$D$4))</f>
        <v/>
      </c>
      <c r="S361" s="100">
        <f>IF(G361="","",ABS(O361-Components!$D$5))</f>
        <v/>
      </c>
      <c r="T361" s="100">
        <f>IF(G361="","",ABS(O361-Components!$D$6))</f>
        <v/>
      </c>
      <c r="U361" s="100">
        <f>IF(G361="","",ABS(O361-Components!$D$7))</f>
        <v/>
      </c>
      <c r="V361" s="98">
        <f>IF(G361="","",IF(M361="OK","NONE",INDEX({"S1","S2","W1","W2","N1","N2"},MATCH(MIN(P361:U361),P361:U361,0))))</f>
        <v/>
      </c>
      <c r="W361" s="103">
        <f>IF(G361="","",IF(V361=E361,1,0))</f>
        <v/>
      </c>
    </row>
    <row r="362">
      <c r="A362" s="102">
        <f>'Runs Z score'!A350</f>
        <v/>
      </c>
      <c r="B362" s="98">
        <f>'Runs Z score'!B350</f>
        <v/>
      </c>
      <c r="C362" s="98">
        <f>'Runs Z score'!C350</f>
        <v/>
      </c>
      <c r="D362" s="98">
        <f>'Runs Z score'!D350</f>
        <v/>
      </c>
      <c r="E362" s="98">
        <f>'Runs Z score'!E350</f>
        <v/>
      </c>
      <c r="F362" s="98">
        <f>'Runs Z score'!F350</f>
        <v/>
      </c>
      <c r="G362" s="99">
        <f>'Runs Z score'!G350</f>
        <v/>
      </c>
      <c r="H362" s="100">
        <f>VLOOKUP(C362,Recipes!$A$2:$N$4,10,FALSE())</f>
        <v/>
      </c>
      <c r="I362" s="101">
        <f>VLOOKUP(C362,Recipes!$A$2:$N$4,12,FALSE())</f>
        <v/>
      </c>
      <c r="J362" s="101">
        <f>IF(G362="","",((G362-H362)/I362)^2)</f>
        <v/>
      </c>
      <c r="K362" s="101">
        <f>IF(G362="","",MAX(0, J362-$B$12))</f>
        <v/>
      </c>
      <c r="L362" s="100">
        <f>IF(G362="","",SQRT(K362))</f>
        <v/>
      </c>
      <c r="M362" s="98">
        <f>IF(G362="","",IF(K362&lt;=$B$10,"OK","NG"))</f>
        <v/>
      </c>
      <c r="N362" s="69">
        <f>IF(M362="","",IF(M362=D362,1,0))</f>
        <v/>
      </c>
      <c r="O362" s="100">
        <f>IF(G362="","",H362-G362)</f>
        <v/>
      </c>
      <c r="P362" s="100">
        <f>IF(G362="","",ABS(O362-Components!$D$2))</f>
        <v/>
      </c>
      <c r="Q362" s="100">
        <f>IF(G362="","",ABS(O362-Components!$D$3))</f>
        <v/>
      </c>
      <c r="R362" s="100">
        <f>IF(G362="","",ABS(O362-Components!$D$4))</f>
        <v/>
      </c>
      <c r="S362" s="100">
        <f>IF(G362="","",ABS(O362-Components!$D$5))</f>
        <v/>
      </c>
      <c r="T362" s="100">
        <f>IF(G362="","",ABS(O362-Components!$D$6))</f>
        <v/>
      </c>
      <c r="U362" s="100">
        <f>IF(G362="","",ABS(O362-Components!$D$7))</f>
        <v/>
      </c>
      <c r="V362" s="98">
        <f>IF(G362="","",IF(M362="OK","NONE",INDEX({"S1","S2","W1","W2","N1","N2"},MATCH(MIN(P362:U362),P362:U362,0))))</f>
        <v/>
      </c>
      <c r="W362" s="103">
        <f>IF(G362="","",IF(V362=E362,1,0))</f>
        <v/>
      </c>
    </row>
    <row r="363">
      <c r="A363" s="102">
        <f>'Runs Z score'!A351</f>
        <v/>
      </c>
      <c r="B363" s="98">
        <f>'Runs Z score'!B351</f>
        <v/>
      </c>
      <c r="C363" s="98">
        <f>'Runs Z score'!C351</f>
        <v/>
      </c>
      <c r="D363" s="98">
        <f>'Runs Z score'!D351</f>
        <v/>
      </c>
      <c r="E363" s="98">
        <f>'Runs Z score'!E351</f>
        <v/>
      </c>
      <c r="F363" s="98">
        <f>'Runs Z score'!F351</f>
        <v/>
      </c>
      <c r="G363" s="99">
        <f>'Runs Z score'!G351</f>
        <v/>
      </c>
      <c r="H363" s="100">
        <f>VLOOKUP(C363,Recipes!$A$2:$N$4,10,FALSE())</f>
        <v/>
      </c>
      <c r="I363" s="101">
        <f>VLOOKUP(C363,Recipes!$A$2:$N$4,12,FALSE())</f>
        <v/>
      </c>
      <c r="J363" s="101">
        <f>IF(G363="","",((G363-H363)/I363)^2)</f>
        <v/>
      </c>
      <c r="K363" s="101">
        <f>IF(G363="","",MAX(0, J363-$B$12))</f>
        <v/>
      </c>
      <c r="L363" s="100">
        <f>IF(G363="","",SQRT(K363))</f>
        <v/>
      </c>
      <c r="M363" s="98">
        <f>IF(G363="","",IF(K363&lt;=$B$10,"OK","NG"))</f>
        <v/>
      </c>
      <c r="N363" s="69">
        <f>IF(M363="","",IF(M363=D363,1,0))</f>
        <v/>
      </c>
      <c r="O363" s="100">
        <f>IF(G363="","",H363-G363)</f>
        <v/>
      </c>
      <c r="P363" s="100">
        <f>IF(G363="","",ABS(O363-Components!$D$2))</f>
        <v/>
      </c>
      <c r="Q363" s="100">
        <f>IF(G363="","",ABS(O363-Components!$D$3))</f>
        <v/>
      </c>
      <c r="R363" s="100">
        <f>IF(G363="","",ABS(O363-Components!$D$4))</f>
        <v/>
      </c>
      <c r="S363" s="100">
        <f>IF(G363="","",ABS(O363-Components!$D$5))</f>
        <v/>
      </c>
      <c r="T363" s="100">
        <f>IF(G363="","",ABS(O363-Components!$D$6))</f>
        <v/>
      </c>
      <c r="U363" s="100">
        <f>IF(G363="","",ABS(O363-Components!$D$7))</f>
        <v/>
      </c>
      <c r="V363" s="98">
        <f>IF(G363="","",IF(M363="OK","NONE",INDEX({"S1","S2","W1","W2","N1","N2"},MATCH(MIN(P363:U363),P363:U363,0))))</f>
        <v/>
      </c>
      <c r="W363" s="103">
        <f>IF(G363="","",IF(V363=E363,1,0))</f>
        <v/>
      </c>
    </row>
    <row r="364">
      <c r="A364" s="102">
        <f>'Runs Z score'!A352</f>
        <v/>
      </c>
      <c r="B364" s="98">
        <f>'Runs Z score'!B352</f>
        <v/>
      </c>
      <c r="C364" s="98">
        <f>'Runs Z score'!C352</f>
        <v/>
      </c>
      <c r="D364" s="98">
        <f>'Runs Z score'!D352</f>
        <v/>
      </c>
      <c r="E364" s="98">
        <f>'Runs Z score'!E352</f>
        <v/>
      </c>
      <c r="F364" s="98">
        <f>'Runs Z score'!F352</f>
        <v/>
      </c>
      <c r="G364" s="99">
        <f>'Runs Z score'!G352</f>
        <v/>
      </c>
      <c r="H364" s="100">
        <f>VLOOKUP(C364,Recipes!$A$2:$N$4,10,FALSE())</f>
        <v/>
      </c>
      <c r="I364" s="101">
        <f>VLOOKUP(C364,Recipes!$A$2:$N$4,12,FALSE())</f>
        <v/>
      </c>
      <c r="J364" s="101">
        <f>IF(G364="","",((G364-H364)/I364)^2)</f>
        <v/>
      </c>
      <c r="K364" s="101">
        <f>IF(G364="","",MAX(0, J364-$B$12))</f>
        <v/>
      </c>
      <c r="L364" s="100">
        <f>IF(G364="","",SQRT(K364))</f>
        <v/>
      </c>
      <c r="M364" s="98">
        <f>IF(G364="","",IF(K364&lt;=$B$10,"OK","NG"))</f>
        <v/>
      </c>
      <c r="N364" s="69">
        <f>IF(M364="","",IF(M364=D364,1,0))</f>
        <v/>
      </c>
      <c r="O364" s="100">
        <f>IF(G364="","",H364-G364)</f>
        <v/>
      </c>
      <c r="P364" s="100">
        <f>IF(G364="","",ABS(O364-Components!$D$2))</f>
        <v/>
      </c>
      <c r="Q364" s="100">
        <f>IF(G364="","",ABS(O364-Components!$D$3))</f>
        <v/>
      </c>
      <c r="R364" s="100">
        <f>IF(G364="","",ABS(O364-Components!$D$4))</f>
        <v/>
      </c>
      <c r="S364" s="100">
        <f>IF(G364="","",ABS(O364-Components!$D$5))</f>
        <v/>
      </c>
      <c r="T364" s="100">
        <f>IF(G364="","",ABS(O364-Components!$D$6))</f>
        <v/>
      </c>
      <c r="U364" s="100">
        <f>IF(G364="","",ABS(O364-Components!$D$7))</f>
        <v/>
      </c>
      <c r="V364" s="98">
        <f>IF(G364="","",IF(M364="OK","NONE",INDEX({"S1","S2","W1","W2","N1","N2"},MATCH(MIN(P364:U364),P364:U364,0))))</f>
        <v/>
      </c>
      <c r="W364" s="103">
        <f>IF(G364="","",IF(V364=E364,1,0))</f>
        <v/>
      </c>
    </row>
    <row r="365">
      <c r="A365" s="102">
        <f>'Runs Z score'!A353</f>
        <v/>
      </c>
      <c r="B365" s="98">
        <f>'Runs Z score'!B353</f>
        <v/>
      </c>
      <c r="C365" s="98">
        <f>'Runs Z score'!C353</f>
        <v/>
      </c>
      <c r="D365" s="98">
        <f>'Runs Z score'!D353</f>
        <v/>
      </c>
      <c r="E365" s="98">
        <f>'Runs Z score'!E353</f>
        <v/>
      </c>
      <c r="F365" s="98">
        <f>'Runs Z score'!F353</f>
        <v/>
      </c>
      <c r="G365" s="99">
        <f>'Runs Z score'!G353</f>
        <v/>
      </c>
      <c r="H365" s="100">
        <f>VLOOKUP(C365,Recipes!$A$2:$N$4,10,FALSE())</f>
        <v/>
      </c>
      <c r="I365" s="101">
        <f>VLOOKUP(C365,Recipes!$A$2:$N$4,12,FALSE())</f>
        <v/>
      </c>
      <c r="J365" s="101">
        <f>IF(G365="","",((G365-H365)/I365)^2)</f>
        <v/>
      </c>
      <c r="K365" s="101">
        <f>IF(G365="","",MAX(0, J365-$B$12))</f>
        <v/>
      </c>
      <c r="L365" s="100">
        <f>IF(G365="","",SQRT(K365))</f>
        <v/>
      </c>
      <c r="M365" s="98">
        <f>IF(G365="","",IF(K365&lt;=$B$10,"OK","NG"))</f>
        <v/>
      </c>
      <c r="N365" s="69">
        <f>IF(M365="","",IF(M365=D365,1,0))</f>
        <v/>
      </c>
      <c r="O365" s="100">
        <f>IF(G365="","",H365-G365)</f>
        <v/>
      </c>
      <c r="P365" s="100">
        <f>IF(G365="","",ABS(O365-Components!$D$2))</f>
        <v/>
      </c>
      <c r="Q365" s="100">
        <f>IF(G365="","",ABS(O365-Components!$D$3))</f>
        <v/>
      </c>
      <c r="R365" s="100">
        <f>IF(G365="","",ABS(O365-Components!$D$4))</f>
        <v/>
      </c>
      <c r="S365" s="100">
        <f>IF(G365="","",ABS(O365-Components!$D$5))</f>
        <v/>
      </c>
      <c r="T365" s="100">
        <f>IF(G365="","",ABS(O365-Components!$D$6))</f>
        <v/>
      </c>
      <c r="U365" s="100">
        <f>IF(G365="","",ABS(O365-Components!$D$7))</f>
        <v/>
      </c>
      <c r="V365" s="98">
        <f>IF(G365="","",IF(M365="OK","NONE",INDEX({"S1","S2","W1","W2","N1","N2"},MATCH(MIN(P365:U365),P365:U365,0))))</f>
        <v/>
      </c>
      <c r="W365" s="103">
        <f>IF(G365="","",IF(V365=E365,1,0))</f>
        <v/>
      </c>
    </row>
    <row r="366">
      <c r="A366" s="102">
        <f>'Runs Z score'!A354</f>
        <v/>
      </c>
      <c r="B366" s="98">
        <f>'Runs Z score'!B354</f>
        <v/>
      </c>
      <c r="C366" s="98">
        <f>'Runs Z score'!C354</f>
        <v/>
      </c>
      <c r="D366" s="98">
        <f>'Runs Z score'!D354</f>
        <v/>
      </c>
      <c r="E366" s="98">
        <f>'Runs Z score'!E354</f>
        <v/>
      </c>
      <c r="F366" s="98">
        <f>'Runs Z score'!F354</f>
        <v/>
      </c>
      <c r="G366" s="99">
        <f>'Runs Z score'!G354</f>
        <v/>
      </c>
      <c r="H366" s="100">
        <f>VLOOKUP(C366,Recipes!$A$2:$N$4,10,FALSE())</f>
        <v/>
      </c>
      <c r="I366" s="101">
        <f>VLOOKUP(C366,Recipes!$A$2:$N$4,12,FALSE())</f>
        <v/>
      </c>
      <c r="J366" s="101">
        <f>IF(G366="","",((G366-H366)/I366)^2)</f>
        <v/>
      </c>
      <c r="K366" s="101">
        <f>IF(G366="","",MAX(0, J366-$B$12))</f>
        <v/>
      </c>
      <c r="L366" s="100">
        <f>IF(G366="","",SQRT(K366))</f>
        <v/>
      </c>
      <c r="M366" s="98">
        <f>IF(G366="","",IF(K366&lt;=$B$10,"OK","NG"))</f>
        <v/>
      </c>
      <c r="N366" s="69">
        <f>IF(M366="","",IF(M366=D366,1,0))</f>
        <v/>
      </c>
      <c r="O366" s="100">
        <f>IF(G366="","",H366-G366)</f>
        <v/>
      </c>
      <c r="P366" s="100">
        <f>IF(G366="","",ABS(O366-Components!$D$2))</f>
        <v/>
      </c>
      <c r="Q366" s="100">
        <f>IF(G366="","",ABS(O366-Components!$D$3))</f>
        <v/>
      </c>
      <c r="R366" s="100">
        <f>IF(G366="","",ABS(O366-Components!$D$4))</f>
        <v/>
      </c>
      <c r="S366" s="100">
        <f>IF(G366="","",ABS(O366-Components!$D$5))</f>
        <v/>
      </c>
      <c r="T366" s="100">
        <f>IF(G366="","",ABS(O366-Components!$D$6))</f>
        <v/>
      </c>
      <c r="U366" s="100">
        <f>IF(G366="","",ABS(O366-Components!$D$7))</f>
        <v/>
      </c>
      <c r="V366" s="98">
        <f>IF(G366="","",IF(M366="OK","NONE",INDEX({"S1","S2","W1","W2","N1","N2"},MATCH(MIN(P366:U366),P366:U366,0))))</f>
        <v/>
      </c>
      <c r="W366" s="103">
        <f>IF(G366="","",IF(V366=E366,1,0))</f>
        <v/>
      </c>
    </row>
    <row r="367">
      <c r="A367" s="102">
        <f>'Runs Z score'!A355</f>
        <v/>
      </c>
      <c r="B367" s="98">
        <f>'Runs Z score'!B355</f>
        <v/>
      </c>
      <c r="C367" s="98">
        <f>'Runs Z score'!C355</f>
        <v/>
      </c>
      <c r="D367" s="98">
        <f>'Runs Z score'!D355</f>
        <v/>
      </c>
      <c r="E367" s="98">
        <f>'Runs Z score'!E355</f>
        <v/>
      </c>
      <c r="F367" s="98">
        <f>'Runs Z score'!F355</f>
        <v/>
      </c>
      <c r="G367" s="99">
        <f>'Runs Z score'!G355</f>
        <v/>
      </c>
      <c r="H367" s="100">
        <f>VLOOKUP(C367,Recipes!$A$2:$N$4,10,FALSE())</f>
        <v/>
      </c>
      <c r="I367" s="101">
        <f>VLOOKUP(C367,Recipes!$A$2:$N$4,12,FALSE())</f>
        <v/>
      </c>
      <c r="J367" s="101">
        <f>IF(G367="","",((G367-H367)/I367)^2)</f>
        <v/>
      </c>
      <c r="K367" s="101">
        <f>IF(G367="","",MAX(0, J367-$B$12))</f>
        <v/>
      </c>
      <c r="L367" s="100">
        <f>IF(G367="","",SQRT(K367))</f>
        <v/>
      </c>
      <c r="M367" s="98">
        <f>IF(G367="","",IF(K367&lt;=$B$10,"OK","NG"))</f>
        <v/>
      </c>
      <c r="N367" s="69">
        <f>IF(M367="","",IF(M367=D367,1,0))</f>
        <v/>
      </c>
      <c r="O367" s="100">
        <f>IF(G367="","",H367-G367)</f>
        <v/>
      </c>
      <c r="P367" s="100">
        <f>IF(G367="","",ABS(O367-Components!$D$2))</f>
        <v/>
      </c>
      <c r="Q367" s="100">
        <f>IF(G367="","",ABS(O367-Components!$D$3))</f>
        <v/>
      </c>
      <c r="R367" s="100">
        <f>IF(G367="","",ABS(O367-Components!$D$4))</f>
        <v/>
      </c>
      <c r="S367" s="100">
        <f>IF(G367="","",ABS(O367-Components!$D$5))</f>
        <v/>
      </c>
      <c r="T367" s="100">
        <f>IF(G367="","",ABS(O367-Components!$D$6))</f>
        <v/>
      </c>
      <c r="U367" s="100">
        <f>IF(G367="","",ABS(O367-Components!$D$7))</f>
        <v/>
      </c>
      <c r="V367" s="98">
        <f>IF(G367="","",IF(M367="OK","NONE",INDEX({"S1","S2","W1","W2","N1","N2"},MATCH(MIN(P367:U367),P367:U367,0))))</f>
        <v/>
      </c>
      <c r="W367" s="104">
        <f>IF(G367="","",IF(V367=E367,1,0))</f>
        <v/>
      </c>
    </row>
    <row r="368">
      <c r="A368" s="102">
        <f>'Runs Z score'!A356</f>
        <v/>
      </c>
      <c r="B368" s="98">
        <f>'Runs Z score'!B356</f>
        <v/>
      </c>
      <c r="C368" s="98">
        <f>'Runs Z score'!C356</f>
        <v/>
      </c>
      <c r="D368" s="98">
        <f>'Runs Z score'!D356</f>
        <v/>
      </c>
      <c r="E368" s="98">
        <f>'Runs Z score'!E356</f>
        <v/>
      </c>
      <c r="F368" s="98">
        <f>'Runs Z score'!F356</f>
        <v/>
      </c>
      <c r="G368" s="99">
        <f>'Runs Z score'!G356</f>
        <v/>
      </c>
      <c r="H368" s="100">
        <f>VLOOKUP(C368,Recipes!$A$2:$N$4,10,FALSE())</f>
        <v/>
      </c>
      <c r="I368" s="101">
        <f>VLOOKUP(C368,Recipes!$A$2:$N$4,12,FALSE())</f>
        <v/>
      </c>
      <c r="J368" s="101">
        <f>IF(G368="","",((G368-H368)/I368)^2)</f>
        <v/>
      </c>
      <c r="K368" s="101">
        <f>IF(G368="","",MAX(0, J368-$B$12))</f>
        <v/>
      </c>
      <c r="L368" s="100">
        <f>IF(G368="","",SQRT(K368))</f>
        <v/>
      </c>
      <c r="M368" s="98">
        <f>IF(G368="","",IF(K368&lt;=$B$10,"OK","NG"))</f>
        <v/>
      </c>
      <c r="N368" s="69">
        <f>IF(M368="","",IF(M368=D368,1,0))</f>
        <v/>
      </c>
      <c r="O368" s="100">
        <f>IF(G368="","",H368-G368)</f>
        <v/>
      </c>
      <c r="P368" s="100">
        <f>IF(G368="","",ABS(O368-Components!$D$2))</f>
        <v/>
      </c>
      <c r="Q368" s="100">
        <f>IF(G368="","",ABS(O368-Components!$D$3))</f>
        <v/>
      </c>
      <c r="R368" s="100">
        <f>IF(G368="","",ABS(O368-Components!$D$4))</f>
        <v/>
      </c>
      <c r="S368" s="100">
        <f>IF(G368="","",ABS(O368-Components!$D$5))</f>
        <v/>
      </c>
      <c r="T368" s="100">
        <f>IF(G368="","",ABS(O368-Components!$D$6))</f>
        <v/>
      </c>
      <c r="U368" s="100">
        <f>IF(G368="","",ABS(O368-Components!$D$7))</f>
        <v/>
      </c>
      <c r="V368" s="98">
        <f>IF(G368="","",IF(M368="OK","NONE",INDEX({"S1","S2","W1","W2","N1","N2"},MATCH(MIN(P368:U368),P368:U368,0))))</f>
        <v/>
      </c>
      <c r="W368" s="103">
        <f>IF(G368="","",IF(V368=E368,1,0))</f>
        <v/>
      </c>
    </row>
    <row r="369">
      <c r="A369" s="102">
        <f>'Runs Z score'!A357</f>
        <v/>
      </c>
      <c r="B369" s="98">
        <f>'Runs Z score'!B357</f>
        <v/>
      </c>
      <c r="C369" s="98">
        <f>'Runs Z score'!C357</f>
        <v/>
      </c>
      <c r="D369" s="98">
        <f>'Runs Z score'!D357</f>
        <v/>
      </c>
      <c r="E369" s="98">
        <f>'Runs Z score'!E357</f>
        <v/>
      </c>
      <c r="F369" s="98">
        <f>'Runs Z score'!F357</f>
        <v/>
      </c>
      <c r="G369" s="99">
        <f>'Runs Z score'!G357</f>
        <v/>
      </c>
      <c r="H369" s="100">
        <f>VLOOKUP(C369,Recipes!$A$2:$N$4,10,FALSE())</f>
        <v/>
      </c>
      <c r="I369" s="101">
        <f>VLOOKUP(C369,Recipes!$A$2:$N$4,12,FALSE())</f>
        <v/>
      </c>
      <c r="J369" s="101">
        <f>IF(G369="","",((G369-H369)/I369)^2)</f>
        <v/>
      </c>
      <c r="K369" s="101">
        <f>IF(G369="","",MAX(0, J369-$B$12))</f>
        <v/>
      </c>
      <c r="L369" s="100">
        <f>IF(G369="","",SQRT(K369))</f>
        <v/>
      </c>
      <c r="M369" s="98">
        <f>IF(G369="","",IF(K369&lt;=$B$10,"OK","NG"))</f>
        <v/>
      </c>
      <c r="N369" s="69">
        <f>IF(M369="","",IF(M369=D369,1,0))</f>
        <v/>
      </c>
      <c r="O369" s="100">
        <f>IF(G369="","",H369-G369)</f>
        <v/>
      </c>
      <c r="P369" s="100">
        <f>IF(G369="","",ABS(O369-Components!$D$2))</f>
        <v/>
      </c>
      <c r="Q369" s="100">
        <f>IF(G369="","",ABS(O369-Components!$D$3))</f>
        <v/>
      </c>
      <c r="R369" s="100">
        <f>IF(G369="","",ABS(O369-Components!$D$4))</f>
        <v/>
      </c>
      <c r="S369" s="100">
        <f>IF(G369="","",ABS(O369-Components!$D$5))</f>
        <v/>
      </c>
      <c r="T369" s="100">
        <f>IF(G369="","",ABS(O369-Components!$D$6))</f>
        <v/>
      </c>
      <c r="U369" s="100">
        <f>IF(G369="","",ABS(O369-Components!$D$7))</f>
        <v/>
      </c>
      <c r="V369" s="98">
        <f>IF(G369="","",IF(M369="OK","NONE",INDEX({"S1","S2","W1","W2","N1","N2"},MATCH(MIN(P369:U369),P369:U369,0))))</f>
        <v/>
      </c>
      <c r="W369" s="103">
        <f>IF(G369="","",IF(V369=E369,1,0))</f>
        <v/>
      </c>
    </row>
    <row r="370">
      <c r="A370" s="102">
        <f>'Runs Z score'!A358</f>
        <v/>
      </c>
      <c r="B370" s="98">
        <f>'Runs Z score'!B358</f>
        <v/>
      </c>
      <c r="C370" s="98">
        <f>'Runs Z score'!C358</f>
        <v/>
      </c>
      <c r="D370" s="98">
        <f>'Runs Z score'!D358</f>
        <v/>
      </c>
      <c r="E370" s="98">
        <f>'Runs Z score'!E358</f>
        <v/>
      </c>
      <c r="F370" s="98">
        <f>'Runs Z score'!F358</f>
        <v/>
      </c>
      <c r="G370" s="99">
        <f>'Runs Z score'!G358</f>
        <v/>
      </c>
      <c r="H370" s="100">
        <f>VLOOKUP(C370,Recipes!$A$2:$N$4,10,FALSE())</f>
        <v/>
      </c>
      <c r="I370" s="101">
        <f>VLOOKUP(C370,Recipes!$A$2:$N$4,12,FALSE())</f>
        <v/>
      </c>
      <c r="J370" s="101">
        <f>IF(G370="","",((G370-H370)/I370)^2)</f>
        <v/>
      </c>
      <c r="K370" s="101">
        <f>IF(G370="","",MAX(0, J370-$B$12))</f>
        <v/>
      </c>
      <c r="L370" s="100">
        <f>IF(G370="","",SQRT(K370))</f>
        <v/>
      </c>
      <c r="M370" s="98">
        <f>IF(G370="","",IF(K370&lt;=$B$10,"OK","NG"))</f>
        <v/>
      </c>
      <c r="N370" s="69">
        <f>IF(M370="","",IF(M370=D370,1,0))</f>
        <v/>
      </c>
      <c r="O370" s="100">
        <f>IF(G370="","",H370-G370)</f>
        <v/>
      </c>
      <c r="P370" s="100">
        <f>IF(G370="","",ABS(O370-Components!$D$2))</f>
        <v/>
      </c>
      <c r="Q370" s="100">
        <f>IF(G370="","",ABS(O370-Components!$D$3))</f>
        <v/>
      </c>
      <c r="R370" s="100">
        <f>IF(G370="","",ABS(O370-Components!$D$4))</f>
        <v/>
      </c>
      <c r="S370" s="100">
        <f>IF(G370="","",ABS(O370-Components!$D$5))</f>
        <v/>
      </c>
      <c r="T370" s="100">
        <f>IF(G370="","",ABS(O370-Components!$D$6))</f>
        <v/>
      </c>
      <c r="U370" s="100">
        <f>IF(G370="","",ABS(O370-Components!$D$7))</f>
        <v/>
      </c>
      <c r="V370" s="98">
        <f>IF(G370="","",IF(M370="OK","NONE",INDEX({"S1","S2","W1","W2","N1","N2"},MATCH(MIN(P370:U370),P370:U370,0))))</f>
        <v/>
      </c>
      <c r="W370" s="104">
        <f>IF(G370="","",IF(V370=E370,1,0))</f>
        <v/>
      </c>
    </row>
    <row r="371">
      <c r="A371" s="102">
        <f>'Runs Z score'!A359</f>
        <v/>
      </c>
      <c r="B371" s="98">
        <f>'Runs Z score'!B359</f>
        <v/>
      </c>
      <c r="C371" s="98">
        <f>'Runs Z score'!C359</f>
        <v/>
      </c>
      <c r="D371" s="98">
        <f>'Runs Z score'!D359</f>
        <v/>
      </c>
      <c r="E371" s="98">
        <f>'Runs Z score'!E359</f>
        <v/>
      </c>
      <c r="F371" s="98">
        <f>'Runs Z score'!F359</f>
        <v/>
      </c>
      <c r="G371" s="99">
        <f>'Runs Z score'!G359</f>
        <v/>
      </c>
      <c r="H371" s="100">
        <f>VLOOKUP(C371,Recipes!$A$2:$N$4,10,FALSE())</f>
        <v/>
      </c>
      <c r="I371" s="101">
        <f>VLOOKUP(C371,Recipes!$A$2:$N$4,12,FALSE())</f>
        <v/>
      </c>
      <c r="J371" s="101">
        <f>IF(G371="","",((G371-H371)/I371)^2)</f>
        <v/>
      </c>
      <c r="K371" s="101">
        <f>IF(G371="","",MAX(0, J371-$B$12))</f>
        <v/>
      </c>
      <c r="L371" s="100">
        <f>IF(G371="","",SQRT(K371))</f>
        <v/>
      </c>
      <c r="M371" s="98">
        <f>IF(G371="","",IF(K371&lt;=$B$10,"OK","NG"))</f>
        <v/>
      </c>
      <c r="N371" s="69">
        <f>IF(M371="","",IF(M371=D371,1,0))</f>
        <v/>
      </c>
      <c r="O371" s="100">
        <f>IF(G371="","",H371-G371)</f>
        <v/>
      </c>
      <c r="P371" s="100">
        <f>IF(G371="","",ABS(O371-Components!$D$2))</f>
        <v/>
      </c>
      <c r="Q371" s="100">
        <f>IF(G371="","",ABS(O371-Components!$D$3))</f>
        <v/>
      </c>
      <c r="R371" s="100">
        <f>IF(G371="","",ABS(O371-Components!$D$4))</f>
        <v/>
      </c>
      <c r="S371" s="100">
        <f>IF(G371="","",ABS(O371-Components!$D$5))</f>
        <v/>
      </c>
      <c r="T371" s="100">
        <f>IF(G371="","",ABS(O371-Components!$D$6))</f>
        <v/>
      </c>
      <c r="U371" s="100">
        <f>IF(G371="","",ABS(O371-Components!$D$7))</f>
        <v/>
      </c>
      <c r="V371" s="98">
        <f>IF(G371="","",IF(M371="OK","NONE",INDEX({"S1","S2","W1","W2","N1","N2"},MATCH(MIN(P371:U371),P371:U371,0))))</f>
        <v/>
      </c>
      <c r="W371" s="103">
        <f>IF(G371="","",IF(V371=E371,1,0))</f>
        <v/>
      </c>
    </row>
    <row r="372">
      <c r="A372" s="102">
        <f>'Runs Z score'!A360</f>
        <v/>
      </c>
      <c r="B372" s="98">
        <f>'Runs Z score'!B360</f>
        <v/>
      </c>
      <c r="C372" s="98">
        <f>'Runs Z score'!C360</f>
        <v/>
      </c>
      <c r="D372" s="98">
        <f>'Runs Z score'!D360</f>
        <v/>
      </c>
      <c r="E372" s="98">
        <f>'Runs Z score'!E360</f>
        <v/>
      </c>
      <c r="F372" s="98">
        <f>'Runs Z score'!F360</f>
        <v/>
      </c>
      <c r="G372" s="99">
        <f>'Runs Z score'!G360</f>
        <v/>
      </c>
      <c r="H372" s="100">
        <f>VLOOKUP(C372,Recipes!$A$2:$N$4,10,FALSE())</f>
        <v/>
      </c>
      <c r="I372" s="101">
        <f>VLOOKUP(C372,Recipes!$A$2:$N$4,12,FALSE())</f>
        <v/>
      </c>
      <c r="J372" s="101">
        <f>IF(G372="","",((G372-H372)/I372)^2)</f>
        <v/>
      </c>
      <c r="K372" s="101">
        <f>IF(G372="","",MAX(0, J372-$B$12))</f>
        <v/>
      </c>
      <c r="L372" s="100">
        <f>IF(G372="","",SQRT(K372))</f>
        <v/>
      </c>
      <c r="M372" s="98">
        <f>IF(G372="","",IF(K372&lt;=$B$10,"OK","NG"))</f>
        <v/>
      </c>
      <c r="N372" s="69">
        <f>IF(M372="","",IF(M372=D372,1,0))</f>
        <v/>
      </c>
      <c r="O372" s="100">
        <f>IF(G372="","",H372-G372)</f>
        <v/>
      </c>
      <c r="P372" s="100">
        <f>IF(G372="","",ABS(O372-Components!$D$2))</f>
        <v/>
      </c>
      <c r="Q372" s="100">
        <f>IF(G372="","",ABS(O372-Components!$D$3))</f>
        <v/>
      </c>
      <c r="R372" s="100">
        <f>IF(G372="","",ABS(O372-Components!$D$4))</f>
        <v/>
      </c>
      <c r="S372" s="100">
        <f>IF(G372="","",ABS(O372-Components!$D$5))</f>
        <v/>
      </c>
      <c r="T372" s="100">
        <f>IF(G372="","",ABS(O372-Components!$D$6))</f>
        <v/>
      </c>
      <c r="U372" s="100">
        <f>IF(G372="","",ABS(O372-Components!$D$7))</f>
        <v/>
      </c>
      <c r="V372" s="98">
        <f>IF(G372="","",IF(M372="OK","NONE",INDEX({"S1","S2","W1","W2","N1","N2"},MATCH(MIN(P372:U372),P372:U372,0))))</f>
        <v/>
      </c>
      <c r="W372" s="103">
        <f>IF(G372="","",IF(V372=E372,1,0))</f>
        <v/>
      </c>
    </row>
    <row r="373">
      <c r="A373" s="102">
        <f>'Runs Z score'!A361</f>
        <v/>
      </c>
      <c r="B373" s="98">
        <f>'Runs Z score'!B361</f>
        <v/>
      </c>
      <c r="C373" s="98">
        <f>'Runs Z score'!C361</f>
        <v/>
      </c>
      <c r="D373" s="98">
        <f>'Runs Z score'!D361</f>
        <v/>
      </c>
      <c r="E373" s="98">
        <f>'Runs Z score'!E361</f>
        <v/>
      </c>
      <c r="F373" s="98">
        <f>'Runs Z score'!F361</f>
        <v/>
      </c>
      <c r="G373" s="99">
        <f>'Runs Z score'!G361</f>
        <v/>
      </c>
      <c r="H373" s="100">
        <f>VLOOKUP(C373,Recipes!$A$2:$N$4,10,FALSE())</f>
        <v/>
      </c>
      <c r="I373" s="101">
        <f>VLOOKUP(C373,Recipes!$A$2:$N$4,12,FALSE())</f>
        <v/>
      </c>
      <c r="J373" s="101">
        <f>IF(G373="","",((G373-H373)/I373)^2)</f>
        <v/>
      </c>
      <c r="K373" s="101">
        <f>IF(G373="","",MAX(0, J373-$B$12))</f>
        <v/>
      </c>
      <c r="L373" s="100">
        <f>IF(G373="","",SQRT(K373))</f>
        <v/>
      </c>
      <c r="M373" s="98">
        <f>IF(G373="","",IF(K373&lt;=$B$10,"OK","NG"))</f>
        <v/>
      </c>
      <c r="N373" s="69">
        <f>IF(M373="","",IF(M373=D373,1,0))</f>
        <v/>
      </c>
      <c r="O373" s="100">
        <f>IF(G373="","",H373-G373)</f>
        <v/>
      </c>
      <c r="P373" s="100">
        <f>IF(G373="","",ABS(O373-Components!$D$2))</f>
        <v/>
      </c>
      <c r="Q373" s="100">
        <f>IF(G373="","",ABS(O373-Components!$D$3))</f>
        <v/>
      </c>
      <c r="R373" s="100">
        <f>IF(G373="","",ABS(O373-Components!$D$4))</f>
        <v/>
      </c>
      <c r="S373" s="100">
        <f>IF(G373="","",ABS(O373-Components!$D$5))</f>
        <v/>
      </c>
      <c r="T373" s="100">
        <f>IF(G373="","",ABS(O373-Components!$D$6))</f>
        <v/>
      </c>
      <c r="U373" s="100">
        <f>IF(G373="","",ABS(O373-Components!$D$7))</f>
        <v/>
      </c>
      <c r="V373" s="98">
        <f>IF(G373="","",IF(M373="OK","NONE",INDEX({"S1","S2","W1","W2","N1","N2"},MATCH(MIN(P373:U373),P373:U373,0))))</f>
        <v/>
      </c>
      <c r="W373" s="104">
        <f>IF(G373="","",IF(V373=E373,1,0))</f>
        <v/>
      </c>
    </row>
    <row r="374">
      <c r="A374" s="102">
        <f>'Runs Z score'!A362</f>
        <v/>
      </c>
      <c r="B374" s="98">
        <f>'Runs Z score'!B362</f>
        <v/>
      </c>
      <c r="C374" s="98">
        <f>'Runs Z score'!C362</f>
        <v/>
      </c>
      <c r="D374" s="98">
        <f>'Runs Z score'!D362</f>
        <v/>
      </c>
      <c r="E374" s="98">
        <f>'Runs Z score'!E362</f>
        <v/>
      </c>
      <c r="F374" s="98">
        <f>'Runs Z score'!F362</f>
        <v/>
      </c>
      <c r="G374" s="99">
        <f>'Runs Z score'!G362</f>
        <v/>
      </c>
      <c r="H374" s="100">
        <f>VLOOKUP(C374,Recipes!$A$2:$N$4,10,FALSE())</f>
        <v/>
      </c>
      <c r="I374" s="101">
        <f>VLOOKUP(C374,Recipes!$A$2:$N$4,12,FALSE())</f>
        <v/>
      </c>
      <c r="J374" s="101">
        <f>IF(G374="","",((G374-H374)/I374)^2)</f>
        <v/>
      </c>
      <c r="K374" s="101">
        <f>IF(G374="","",MAX(0, J374-$B$12))</f>
        <v/>
      </c>
      <c r="L374" s="100">
        <f>IF(G374="","",SQRT(K374))</f>
        <v/>
      </c>
      <c r="M374" s="98">
        <f>IF(G374="","",IF(K374&lt;=$B$10,"OK","NG"))</f>
        <v/>
      </c>
      <c r="N374" s="69">
        <f>IF(M374="","",IF(M374=D374,1,0))</f>
        <v/>
      </c>
      <c r="O374" s="100">
        <f>IF(G374="","",H374-G374)</f>
        <v/>
      </c>
      <c r="P374" s="100">
        <f>IF(G374="","",ABS(O374-Components!$D$2))</f>
        <v/>
      </c>
      <c r="Q374" s="100">
        <f>IF(G374="","",ABS(O374-Components!$D$3))</f>
        <v/>
      </c>
      <c r="R374" s="100">
        <f>IF(G374="","",ABS(O374-Components!$D$4))</f>
        <v/>
      </c>
      <c r="S374" s="100">
        <f>IF(G374="","",ABS(O374-Components!$D$5))</f>
        <v/>
      </c>
      <c r="T374" s="100">
        <f>IF(G374="","",ABS(O374-Components!$D$6))</f>
        <v/>
      </c>
      <c r="U374" s="100">
        <f>IF(G374="","",ABS(O374-Components!$D$7))</f>
        <v/>
      </c>
      <c r="V374" s="98">
        <f>IF(G374="","",IF(M374="OK","NONE",INDEX({"S1","S2","W1","W2","N1","N2"},MATCH(MIN(P374:U374),P374:U374,0))))</f>
        <v/>
      </c>
      <c r="W374" s="103">
        <f>IF(G374="","",IF(V374=E374,1,0))</f>
        <v/>
      </c>
    </row>
    <row r="375">
      <c r="A375" s="102">
        <f>'Runs Z score'!A363</f>
        <v/>
      </c>
      <c r="B375" s="98">
        <f>'Runs Z score'!B363</f>
        <v/>
      </c>
      <c r="C375" s="98">
        <f>'Runs Z score'!C363</f>
        <v/>
      </c>
      <c r="D375" s="98">
        <f>'Runs Z score'!D363</f>
        <v/>
      </c>
      <c r="E375" s="98">
        <f>'Runs Z score'!E363</f>
        <v/>
      </c>
      <c r="F375" s="98">
        <f>'Runs Z score'!F363</f>
        <v/>
      </c>
      <c r="G375" s="99">
        <f>'Runs Z score'!G363</f>
        <v/>
      </c>
      <c r="H375" s="100">
        <f>VLOOKUP(C375,Recipes!$A$2:$N$4,10,FALSE())</f>
        <v/>
      </c>
      <c r="I375" s="101">
        <f>VLOOKUP(C375,Recipes!$A$2:$N$4,12,FALSE())</f>
        <v/>
      </c>
      <c r="J375" s="101">
        <f>IF(G375="","",((G375-H375)/I375)^2)</f>
        <v/>
      </c>
      <c r="K375" s="101">
        <f>IF(G375="","",MAX(0, J375-$B$12))</f>
        <v/>
      </c>
      <c r="L375" s="100">
        <f>IF(G375="","",SQRT(K375))</f>
        <v/>
      </c>
      <c r="M375" s="98">
        <f>IF(G375="","",IF(K375&lt;=$B$10,"OK","NG"))</f>
        <v/>
      </c>
      <c r="N375" s="69">
        <f>IF(M375="","",IF(M375=D375,1,0))</f>
        <v/>
      </c>
      <c r="O375" s="100">
        <f>IF(G375="","",H375-G375)</f>
        <v/>
      </c>
      <c r="P375" s="100">
        <f>IF(G375="","",ABS(O375-Components!$D$2))</f>
        <v/>
      </c>
      <c r="Q375" s="100">
        <f>IF(G375="","",ABS(O375-Components!$D$3))</f>
        <v/>
      </c>
      <c r="R375" s="100">
        <f>IF(G375="","",ABS(O375-Components!$D$4))</f>
        <v/>
      </c>
      <c r="S375" s="100">
        <f>IF(G375="","",ABS(O375-Components!$D$5))</f>
        <v/>
      </c>
      <c r="T375" s="100">
        <f>IF(G375="","",ABS(O375-Components!$D$6))</f>
        <v/>
      </c>
      <c r="U375" s="100">
        <f>IF(G375="","",ABS(O375-Components!$D$7))</f>
        <v/>
      </c>
      <c r="V375" s="98">
        <f>IF(G375="","",IF(M375="OK","NONE",INDEX({"S1","S2","W1","W2","N1","N2"},MATCH(MIN(P375:U375),P375:U375,0))))</f>
        <v/>
      </c>
      <c r="W375" s="103">
        <f>IF(G375="","",IF(V375=E375,1,0))</f>
        <v/>
      </c>
    </row>
    <row r="376">
      <c r="A376" s="102">
        <f>'Runs Z score'!A364</f>
        <v/>
      </c>
      <c r="B376" s="98">
        <f>'Runs Z score'!B364</f>
        <v/>
      </c>
      <c r="C376" s="98">
        <f>'Runs Z score'!C364</f>
        <v/>
      </c>
      <c r="D376" s="98">
        <f>'Runs Z score'!D364</f>
        <v/>
      </c>
      <c r="E376" s="98">
        <f>'Runs Z score'!E364</f>
        <v/>
      </c>
      <c r="F376" s="98">
        <f>'Runs Z score'!F364</f>
        <v/>
      </c>
      <c r="G376" s="99">
        <f>'Runs Z score'!G364</f>
        <v/>
      </c>
      <c r="H376" s="100">
        <f>VLOOKUP(C376,Recipes!$A$2:$N$4,10,FALSE())</f>
        <v/>
      </c>
      <c r="I376" s="101">
        <f>VLOOKUP(C376,Recipes!$A$2:$N$4,12,FALSE())</f>
        <v/>
      </c>
      <c r="J376" s="101">
        <f>IF(G376="","",((G376-H376)/I376)^2)</f>
        <v/>
      </c>
      <c r="K376" s="101">
        <f>IF(G376="","",MAX(0, J376-$B$12))</f>
        <v/>
      </c>
      <c r="L376" s="100">
        <f>IF(G376="","",SQRT(K376))</f>
        <v/>
      </c>
      <c r="M376" s="98">
        <f>IF(G376="","",IF(K376&lt;=$B$10,"OK","NG"))</f>
        <v/>
      </c>
      <c r="N376" s="69">
        <f>IF(M376="","",IF(M376=D376,1,0))</f>
        <v/>
      </c>
      <c r="O376" s="100">
        <f>IF(G376="","",H376-G376)</f>
        <v/>
      </c>
      <c r="P376" s="100">
        <f>IF(G376="","",ABS(O376-Components!$D$2))</f>
        <v/>
      </c>
      <c r="Q376" s="100">
        <f>IF(G376="","",ABS(O376-Components!$D$3))</f>
        <v/>
      </c>
      <c r="R376" s="100">
        <f>IF(G376="","",ABS(O376-Components!$D$4))</f>
        <v/>
      </c>
      <c r="S376" s="100">
        <f>IF(G376="","",ABS(O376-Components!$D$5))</f>
        <v/>
      </c>
      <c r="T376" s="100">
        <f>IF(G376="","",ABS(O376-Components!$D$6))</f>
        <v/>
      </c>
      <c r="U376" s="100">
        <f>IF(G376="","",ABS(O376-Components!$D$7))</f>
        <v/>
      </c>
      <c r="V376" s="98">
        <f>IF(G376="","",IF(M376="OK","NONE",INDEX({"S1","S2","W1","W2","N1","N2"},MATCH(MIN(P376:U376),P376:U376,0))))</f>
        <v/>
      </c>
      <c r="W376" s="103">
        <f>IF(G376="","",IF(V376=E376,1,0))</f>
        <v/>
      </c>
    </row>
    <row r="377">
      <c r="A377" s="102">
        <f>'Runs Z score'!A365</f>
        <v/>
      </c>
      <c r="B377" s="98">
        <f>'Runs Z score'!B365</f>
        <v/>
      </c>
      <c r="C377" s="98">
        <f>'Runs Z score'!C365</f>
        <v/>
      </c>
      <c r="D377" s="98">
        <f>'Runs Z score'!D365</f>
        <v/>
      </c>
      <c r="E377" s="98">
        <f>'Runs Z score'!E365</f>
        <v/>
      </c>
      <c r="F377" s="98">
        <f>'Runs Z score'!F365</f>
        <v/>
      </c>
      <c r="G377" s="99">
        <f>'Runs Z score'!G365</f>
        <v/>
      </c>
      <c r="H377" s="100">
        <f>VLOOKUP(C377,Recipes!$A$2:$N$4,10,FALSE())</f>
        <v/>
      </c>
      <c r="I377" s="101">
        <f>VLOOKUP(C377,Recipes!$A$2:$N$4,12,FALSE())</f>
        <v/>
      </c>
      <c r="J377" s="101">
        <f>IF(G377="","",((G377-H377)/I377)^2)</f>
        <v/>
      </c>
      <c r="K377" s="101">
        <f>IF(G377="","",MAX(0, J377-$B$12))</f>
        <v/>
      </c>
      <c r="L377" s="100">
        <f>IF(G377="","",SQRT(K377))</f>
        <v/>
      </c>
      <c r="M377" s="98">
        <f>IF(G377="","",IF(K377&lt;=$B$10,"OK","NG"))</f>
        <v/>
      </c>
      <c r="N377" s="69">
        <f>IF(M377="","",IF(M377=D377,1,0))</f>
        <v/>
      </c>
      <c r="O377" s="100">
        <f>IF(G377="","",H377-G377)</f>
        <v/>
      </c>
      <c r="P377" s="100">
        <f>IF(G377="","",ABS(O377-Components!$D$2))</f>
        <v/>
      </c>
      <c r="Q377" s="100">
        <f>IF(G377="","",ABS(O377-Components!$D$3))</f>
        <v/>
      </c>
      <c r="R377" s="100">
        <f>IF(G377="","",ABS(O377-Components!$D$4))</f>
        <v/>
      </c>
      <c r="S377" s="100">
        <f>IF(G377="","",ABS(O377-Components!$D$5))</f>
        <v/>
      </c>
      <c r="T377" s="100">
        <f>IF(G377="","",ABS(O377-Components!$D$6))</f>
        <v/>
      </c>
      <c r="U377" s="100">
        <f>IF(G377="","",ABS(O377-Components!$D$7))</f>
        <v/>
      </c>
      <c r="V377" s="98">
        <f>IF(G377="","",IF(M377="OK","NONE",INDEX({"S1","S2","W1","W2","N1","N2"},MATCH(MIN(P377:U377),P377:U377,0))))</f>
        <v/>
      </c>
      <c r="W377" s="103">
        <f>IF(G377="","",IF(V377=E377,1,0))</f>
        <v/>
      </c>
    </row>
    <row r="378">
      <c r="A378" s="102">
        <f>'Runs Z score'!A366</f>
        <v/>
      </c>
      <c r="B378" s="98">
        <f>'Runs Z score'!B366</f>
        <v/>
      </c>
      <c r="C378" s="98">
        <f>'Runs Z score'!C366</f>
        <v/>
      </c>
      <c r="D378" s="98">
        <f>'Runs Z score'!D366</f>
        <v/>
      </c>
      <c r="E378" s="98">
        <f>'Runs Z score'!E366</f>
        <v/>
      </c>
      <c r="F378" s="98">
        <f>'Runs Z score'!F366</f>
        <v/>
      </c>
      <c r="G378" s="99">
        <f>'Runs Z score'!G366</f>
        <v/>
      </c>
      <c r="H378" s="100">
        <f>VLOOKUP(C378,Recipes!$A$2:$N$4,10,FALSE())</f>
        <v/>
      </c>
      <c r="I378" s="101">
        <f>VLOOKUP(C378,Recipes!$A$2:$N$4,12,FALSE())</f>
        <v/>
      </c>
      <c r="J378" s="101">
        <f>IF(G378="","",((G378-H378)/I378)^2)</f>
        <v/>
      </c>
      <c r="K378" s="101">
        <f>IF(G378="","",MAX(0, J378-$B$12))</f>
        <v/>
      </c>
      <c r="L378" s="100">
        <f>IF(G378="","",SQRT(K378))</f>
        <v/>
      </c>
      <c r="M378" s="98">
        <f>IF(G378="","",IF(K378&lt;=$B$10,"OK","NG"))</f>
        <v/>
      </c>
      <c r="N378" s="69">
        <f>IF(M378="","",IF(M378=D378,1,0))</f>
        <v/>
      </c>
      <c r="O378" s="100">
        <f>IF(G378="","",H378-G378)</f>
        <v/>
      </c>
      <c r="P378" s="100">
        <f>IF(G378="","",ABS(O378-Components!$D$2))</f>
        <v/>
      </c>
      <c r="Q378" s="100">
        <f>IF(G378="","",ABS(O378-Components!$D$3))</f>
        <v/>
      </c>
      <c r="R378" s="100">
        <f>IF(G378="","",ABS(O378-Components!$D$4))</f>
        <v/>
      </c>
      <c r="S378" s="100">
        <f>IF(G378="","",ABS(O378-Components!$D$5))</f>
        <v/>
      </c>
      <c r="T378" s="100">
        <f>IF(G378="","",ABS(O378-Components!$D$6))</f>
        <v/>
      </c>
      <c r="U378" s="100">
        <f>IF(G378="","",ABS(O378-Components!$D$7))</f>
        <v/>
      </c>
      <c r="V378" s="98">
        <f>IF(G378="","",IF(M378="OK","NONE",INDEX({"S1","S2","W1","W2","N1","N2"},MATCH(MIN(P378:U378),P378:U378,0))))</f>
        <v/>
      </c>
      <c r="W378" s="103">
        <f>IF(G378="","",IF(V378=E378,1,0))</f>
        <v/>
      </c>
    </row>
    <row r="379">
      <c r="A379" s="102">
        <f>'Runs Z score'!A367</f>
        <v/>
      </c>
      <c r="B379" s="98">
        <f>'Runs Z score'!B367</f>
        <v/>
      </c>
      <c r="C379" s="98">
        <f>'Runs Z score'!C367</f>
        <v/>
      </c>
      <c r="D379" s="98">
        <f>'Runs Z score'!D367</f>
        <v/>
      </c>
      <c r="E379" s="98">
        <f>'Runs Z score'!E367</f>
        <v/>
      </c>
      <c r="F379" s="98">
        <f>'Runs Z score'!F367</f>
        <v/>
      </c>
      <c r="G379" s="99">
        <f>'Runs Z score'!G367</f>
        <v/>
      </c>
      <c r="H379" s="100">
        <f>VLOOKUP(C379,Recipes!$A$2:$N$4,10,FALSE())</f>
        <v/>
      </c>
      <c r="I379" s="101">
        <f>VLOOKUP(C379,Recipes!$A$2:$N$4,12,FALSE())</f>
        <v/>
      </c>
      <c r="J379" s="101">
        <f>IF(G379="","",((G379-H379)/I379)^2)</f>
        <v/>
      </c>
      <c r="K379" s="101">
        <f>IF(G379="","",MAX(0, J379-$B$12))</f>
        <v/>
      </c>
      <c r="L379" s="100">
        <f>IF(G379="","",SQRT(K379))</f>
        <v/>
      </c>
      <c r="M379" s="98">
        <f>IF(G379="","",IF(K379&lt;=$B$10,"OK","NG"))</f>
        <v/>
      </c>
      <c r="N379" s="69">
        <f>IF(M379="","",IF(M379=D379,1,0))</f>
        <v/>
      </c>
      <c r="O379" s="100">
        <f>IF(G379="","",H379-G379)</f>
        <v/>
      </c>
      <c r="P379" s="100">
        <f>IF(G379="","",ABS(O379-Components!$D$2))</f>
        <v/>
      </c>
      <c r="Q379" s="100">
        <f>IF(G379="","",ABS(O379-Components!$D$3))</f>
        <v/>
      </c>
      <c r="R379" s="100">
        <f>IF(G379="","",ABS(O379-Components!$D$4))</f>
        <v/>
      </c>
      <c r="S379" s="100">
        <f>IF(G379="","",ABS(O379-Components!$D$5))</f>
        <v/>
      </c>
      <c r="T379" s="100">
        <f>IF(G379="","",ABS(O379-Components!$D$6))</f>
        <v/>
      </c>
      <c r="U379" s="100">
        <f>IF(G379="","",ABS(O379-Components!$D$7))</f>
        <v/>
      </c>
      <c r="V379" s="98">
        <f>IF(G379="","",IF(M379="OK","NONE",INDEX({"S1","S2","W1","W2","N1","N2"},MATCH(MIN(P379:U379),P379:U379,0))))</f>
        <v/>
      </c>
      <c r="W379" s="103">
        <f>IF(G379="","",IF(V379=E379,1,0))</f>
        <v/>
      </c>
    </row>
    <row r="380">
      <c r="A380" s="102">
        <f>'Runs Z score'!A368</f>
        <v/>
      </c>
      <c r="B380" s="98">
        <f>'Runs Z score'!B368</f>
        <v/>
      </c>
      <c r="C380" s="98">
        <f>'Runs Z score'!C368</f>
        <v/>
      </c>
      <c r="D380" s="98">
        <f>'Runs Z score'!D368</f>
        <v/>
      </c>
      <c r="E380" s="98">
        <f>'Runs Z score'!E368</f>
        <v/>
      </c>
      <c r="F380" s="98">
        <f>'Runs Z score'!F368</f>
        <v/>
      </c>
      <c r="G380" s="99">
        <f>'Runs Z score'!G368</f>
        <v/>
      </c>
      <c r="H380" s="100">
        <f>VLOOKUP(C380,Recipes!$A$2:$N$4,10,FALSE())</f>
        <v/>
      </c>
      <c r="I380" s="101">
        <f>VLOOKUP(C380,Recipes!$A$2:$N$4,12,FALSE())</f>
        <v/>
      </c>
      <c r="J380" s="101">
        <f>IF(G380="","",((G380-H380)/I380)^2)</f>
        <v/>
      </c>
      <c r="K380" s="101">
        <f>IF(G380="","",MAX(0, J380-$B$12))</f>
        <v/>
      </c>
      <c r="L380" s="100">
        <f>IF(G380="","",SQRT(K380))</f>
        <v/>
      </c>
      <c r="M380" s="98">
        <f>IF(G380="","",IF(K380&lt;=$B$10,"OK","NG"))</f>
        <v/>
      </c>
      <c r="N380" s="69">
        <f>IF(M380="","",IF(M380=D380,1,0))</f>
        <v/>
      </c>
      <c r="O380" s="100">
        <f>IF(G380="","",H380-G380)</f>
        <v/>
      </c>
      <c r="P380" s="100">
        <f>IF(G380="","",ABS(O380-Components!$D$2))</f>
        <v/>
      </c>
      <c r="Q380" s="100">
        <f>IF(G380="","",ABS(O380-Components!$D$3))</f>
        <v/>
      </c>
      <c r="R380" s="100">
        <f>IF(G380="","",ABS(O380-Components!$D$4))</f>
        <v/>
      </c>
      <c r="S380" s="100">
        <f>IF(G380="","",ABS(O380-Components!$D$5))</f>
        <v/>
      </c>
      <c r="T380" s="100">
        <f>IF(G380="","",ABS(O380-Components!$D$6))</f>
        <v/>
      </c>
      <c r="U380" s="100">
        <f>IF(G380="","",ABS(O380-Components!$D$7))</f>
        <v/>
      </c>
      <c r="V380" s="98">
        <f>IF(G380="","",IF(M380="OK","NONE",INDEX({"S1","S2","W1","W2","N1","N2"},MATCH(MIN(P380:U380),P380:U380,0))))</f>
        <v/>
      </c>
      <c r="W380" s="103">
        <f>IF(G380="","",IF(V380=E380,1,0))</f>
        <v/>
      </c>
    </row>
    <row r="381">
      <c r="A381" s="102">
        <f>'Runs Z score'!A369</f>
        <v/>
      </c>
      <c r="B381" s="98">
        <f>'Runs Z score'!B369</f>
        <v/>
      </c>
      <c r="C381" s="98">
        <f>'Runs Z score'!C369</f>
        <v/>
      </c>
      <c r="D381" s="98">
        <f>'Runs Z score'!D369</f>
        <v/>
      </c>
      <c r="E381" s="98">
        <f>'Runs Z score'!E369</f>
        <v/>
      </c>
      <c r="F381" s="98">
        <f>'Runs Z score'!F369</f>
        <v/>
      </c>
      <c r="G381" s="99">
        <f>'Runs Z score'!G369</f>
        <v/>
      </c>
      <c r="H381" s="100">
        <f>VLOOKUP(C381,Recipes!$A$2:$N$4,10,FALSE())</f>
        <v/>
      </c>
      <c r="I381" s="101">
        <f>VLOOKUP(C381,Recipes!$A$2:$N$4,12,FALSE())</f>
        <v/>
      </c>
      <c r="J381" s="101">
        <f>IF(G381="","",((G381-H381)/I381)^2)</f>
        <v/>
      </c>
      <c r="K381" s="101">
        <f>IF(G381="","",MAX(0, J381-$B$12))</f>
        <v/>
      </c>
      <c r="L381" s="100">
        <f>IF(G381="","",SQRT(K381))</f>
        <v/>
      </c>
      <c r="M381" s="98">
        <f>IF(G381="","",IF(K381&lt;=$B$10,"OK","NG"))</f>
        <v/>
      </c>
      <c r="N381" s="69">
        <f>IF(M381="","",IF(M381=D381,1,0))</f>
        <v/>
      </c>
      <c r="O381" s="100">
        <f>IF(G381="","",H381-G381)</f>
        <v/>
      </c>
      <c r="P381" s="100">
        <f>IF(G381="","",ABS(O381-Components!$D$2))</f>
        <v/>
      </c>
      <c r="Q381" s="100">
        <f>IF(G381="","",ABS(O381-Components!$D$3))</f>
        <v/>
      </c>
      <c r="R381" s="100">
        <f>IF(G381="","",ABS(O381-Components!$D$4))</f>
        <v/>
      </c>
      <c r="S381" s="100">
        <f>IF(G381="","",ABS(O381-Components!$D$5))</f>
        <v/>
      </c>
      <c r="T381" s="100">
        <f>IF(G381="","",ABS(O381-Components!$D$6))</f>
        <v/>
      </c>
      <c r="U381" s="100">
        <f>IF(G381="","",ABS(O381-Components!$D$7))</f>
        <v/>
      </c>
      <c r="V381" s="98">
        <f>IF(G381="","",IF(M381="OK","NONE",INDEX({"S1","S2","W1","W2","N1","N2"},MATCH(MIN(P381:U381),P381:U381,0))))</f>
        <v/>
      </c>
      <c r="W381" s="103">
        <f>IF(G381="","",IF(V381=E381,1,0))</f>
        <v/>
      </c>
    </row>
    <row r="382">
      <c r="A382" s="102">
        <f>'Runs Z score'!A370</f>
        <v/>
      </c>
      <c r="B382" s="98">
        <f>'Runs Z score'!B370</f>
        <v/>
      </c>
      <c r="C382" s="98">
        <f>'Runs Z score'!C370</f>
        <v/>
      </c>
      <c r="D382" s="98">
        <f>'Runs Z score'!D370</f>
        <v/>
      </c>
      <c r="E382" s="98">
        <f>'Runs Z score'!E370</f>
        <v/>
      </c>
      <c r="F382" s="98">
        <f>'Runs Z score'!F370</f>
        <v/>
      </c>
      <c r="G382" s="99">
        <f>'Runs Z score'!G370</f>
        <v/>
      </c>
      <c r="H382" s="100">
        <f>VLOOKUP(C382,Recipes!$A$2:$N$4,10,FALSE())</f>
        <v/>
      </c>
      <c r="I382" s="101">
        <f>VLOOKUP(C382,Recipes!$A$2:$N$4,12,FALSE())</f>
        <v/>
      </c>
      <c r="J382" s="101">
        <f>IF(G382="","",((G382-H382)/I382)^2)</f>
        <v/>
      </c>
      <c r="K382" s="101">
        <f>IF(G382="","",MAX(0, J382-$B$12))</f>
        <v/>
      </c>
      <c r="L382" s="100">
        <f>IF(G382="","",SQRT(K382))</f>
        <v/>
      </c>
      <c r="M382" s="98">
        <f>IF(G382="","",IF(K382&lt;=$B$10,"OK","NG"))</f>
        <v/>
      </c>
      <c r="N382" s="69">
        <f>IF(M382="","",IF(M382=D382,1,0))</f>
        <v/>
      </c>
      <c r="O382" s="100">
        <f>IF(G382="","",H382-G382)</f>
        <v/>
      </c>
      <c r="P382" s="100">
        <f>IF(G382="","",ABS(O382-Components!$D$2))</f>
        <v/>
      </c>
      <c r="Q382" s="100">
        <f>IF(G382="","",ABS(O382-Components!$D$3))</f>
        <v/>
      </c>
      <c r="R382" s="100">
        <f>IF(G382="","",ABS(O382-Components!$D$4))</f>
        <v/>
      </c>
      <c r="S382" s="100">
        <f>IF(G382="","",ABS(O382-Components!$D$5))</f>
        <v/>
      </c>
      <c r="T382" s="100">
        <f>IF(G382="","",ABS(O382-Components!$D$6))</f>
        <v/>
      </c>
      <c r="U382" s="100">
        <f>IF(G382="","",ABS(O382-Components!$D$7))</f>
        <v/>
      </c>
      <c r="V382" s="98">
        <f>IF(G382="","",IF(M382="OK","NONE",INDEX({"S1","S2","W1","W2","N1","N2"},MATCH(MIN(P382:U382),P382:U382,0))))</f>
        <v/>
      </c>
      <c r="W382" s="103">
        <f>IF(G382="","",IF(V382=E382,1,0))</f>
        <v/>
      </c>
    </row>
    <row r="383">
      <c r="A383" s="102">
        <f>'Runs Z score'!A371</f>
        <v/>
      </c>
      <c r="B383" s="98">
        <f>'Runs Z score'!B371</f>
        <v/>
      </c>
      <c r="C383" s="98">
        <f>'Runs Z score'!C371</f>
        <v/>
      </c>
      <c r="D383" s="98">
        <f>'Runs Z score'!D371</f>
        <v/>
      </c>
      <c r="E383" s="98">
        <f>'Runs Z score'!E371</f>
        <v/>
      </c>
      <c r="F383" s="98">
        <f>'Runs Z score'!F371</f>
        <v/>
      </c>
      <c r="G383" s="99">
        <f>'Runs Z score'!G371</f>
        <v/>
      </c>
      <c r="H383" s="100">
        <f>VLOOKUP(C383,Recipes!$A$2:$N$4,10,FALSE())</f>
        <v/>
      </c>
      <c r="I383" s="101">
        <f>VLOOKUP(C383,Recipes!$A$2:$N$4,12,FALSE())</f>
        <v/>
      </c>
      <c r="J383" s="101">
        <f>IF(G383="","",((G383-H383)/I383)^2)</f>
        <v/>
      </c>
      <c r="K383" s="101">
        <f>IF(G383="","",MAX(0, J383-$B$12))</f>
        <v/>
      </c>
      <c r="L383" s="100">
        <f>IF(G383="","",SQRT(K383))</f>
        <v/>
      </c>
      <c r="M383" s="98">
        <f>IF(G383="","",IF(K383&lt;=$B$10,"OK","NG"))</f>
        <v/>
      </c>
      <c r="N383" s="69">
        <f>IF(M383="","",IF(M383=D383,1,0))</f>
        <v/>
      </c>
      <c r="O383" s="100">
        <f>IF(G383="","",H383-G383)</f>
        <v/>
      </c>
      <c r="P383" s="100">
        <f>IF(G383="","",ABS(O383-Components!$D$2))</f>
        <v/>
      </c>
      <c r="Q383" s="100">
        <f>IF(G383="","",ABS(O383-Components!$D$3))</f>
        <v/>
      </c>
      <c r="R383" s="100">
        <f>IF(G383="","",ABS(O383-Components!$D$4))</f>
        <v/>
      </c>
      <c r="S383" s="100">
        <f>IF(G383="","",ABS(O383-Components!$D$5))</f>
        <v/>
      </c>
      <c r="T383" s="100">
        <f>IF(G383="","",ABS(O383-Components!$D$6))</f>
        <v/>
      </c>
      <c r="U383" s="100">
        <f>IF(G383="","",ABS(O383-Components!$D$7))</f>
        <v/>
      </c>
      <c r="V383" s="98">
        <f>IF(G383="","",IF(M383="OK","NONE",INDEX({"S1","S2","W1","W2","N1","N2"},MATCH(MIN(P383:U383),P383:U383,0))))</f>
        <v/>
      </c>
      <c r="W383" s="103">
        <f>IF(G383="","",IF(V383=E383,1,0))</f>
        <v/>
      </c>
    </row>
    <row r="384">
      <c r="A384" s="102">
        <f>'Runs Z score'!A372</f>
        <v/>
      </c>
      <c r="B384" s="98">
        <f>'Runs Z score'!B372</f>
        <v/>
      </c>
      <c r="C384" s="98">
        <f>'Runs Z score'!C372</f>
        <v/>
      </c>
      <c r="D384" s="98">
        <f>'Runs Z score'!D372</f>
        <v/>
      </c>
      <c r="E384" s="98">
        <f>'Runs Z score'!E372</f>
        <v/>
      </c>
      <c r="F384" s="98">
        <f>'Runs Z score'!F372</f>
        <v/>
      </c>
      <c r="G384" s="99">
        <f>'Runs Z score'!G372</f>
        <v/>
      </c>
      <c r="H384" s="100">
        <f>VLOOKUP(C384,Recipes!$A$2:$N$4,10,FALSE())</f>
        <v/>
      </c>
      <c r="I384" s="101">
        <f>VLOOKUP(C384,Recipes!$A$2:$N$4,12,FALSE())</f>
        <v/>
      </c>
      <c r="J384" s="101">
        <f>IF(G384="","",((G384-H384)/I384)^2)</f>
        <v/>
      </c>
      <c r="K384" s="101">
        <f>IF(G384="","",MAX(0, J384-$B$12))</f>
        <v/>
      </c>
      <c r="L384" s="100">
        <f>IF(G384="","",SQRT(K384))</f>
        <v/>
      </c>
      <c r="M384" s="98">
        <f>IF(G384="","",IF(K384&lt;=$B$10,"OK","NG"))</f>
        <v/>
      </c>
      <c r="N384" s="69">
        <f>IF(M384="","",IF(M384=D384,1,0))</f>
        <v/>
      </c>
      <c r="O384" s="100">
        <f>IF(G384="","",H384-G384)</f>
        <v/>
      </c>
      <c r="P384" s="100">
        <f>IF(G384="","",ABS(O384-Components!$D$2))</f>
        <v/>
      </c>
      <c r="Q384" s="100">
        <f>IF(G384="","",ABS(O384-Components!$D$3))</f>
        <v/>
      </c>
      <c r="R384" s="100">
        <f>IF(G384="","",ABS(O384-Components!$D$4))</f>
        <v/>
      </c>
      <c r="S384" s="100">
        <f>IF(G384="","",ABS(O384-Components!$D$5))</f>
        <v/>
      </c>
      <c r="T384" s="100">
        <f>IF(G384="","",ABS(O384-Components!$D$6))</f>
        <v/>
      </c>
      <c r="U384" s="100">
        <f>IF(G384="","",ABS(O384-Components!$D$7))</f>
        <v/>
      </c>
      <c r="V384" s="98">
        <f>IF(G384="","",IF(M384="OK","NONE",INDEX({"S1","S2","W1","W2","N1","N2"},MATCH(MIN(P384:U384),P384:U384,0))))</f>
        <v/>
      </c>
      <c r="W384" s="103">
        <f>IF(G384="","",IF(V384=E384,1,0))</f>
        <v/>
      </c>
    </row>
    <row r="385">
      <c r="A385" s="102">
        <f>'Runs Z score'!A373</f>
        <v/>
      </c>
      <c r="B385" s="98">
        <f>'Runs Z score'!B373</f>
        <v/>
      </c>
      <c r="C385" s="98">
        <f>'Runs Z score'!C373</f>
        <v/>
      </c>
      <c r="D385" s="98">
        <f>'Runs Z score'!D373</f>
        <v/>
      </c>
      <c r="E385" s="98">
        <f>'Runs Z score'!E373</f>
        <v/>
      </c>
      <c r="F385" s="98">
        <f>'Runs Z score'!F373</f>
        <v/>
      </c>
      <c r="G385" s="99">
        <f>'Runs Z score'!G373</f>
        <v/>
      </c>
      <c r="H385" s="100">
        <f>VLOOKUP(C385,Recipes!$A$2:$N$4,10,FALSE())</f>
        <v/>
      </c>
      <c r="I385" s="101">
        <f>VLOOKUP(C385,Recipes!$A$2:$N$4,12,FALSE())</f>
        <v/>
      </c>
      <c r="J385" s="101">
        <f>IF(G385="","",((G385-H385)/I385)^2)</f>
        <v/>
      </c>
      <c r="K385" s="101">
        <f>IF(G385="","",MAX(0, J385-$B$12))</f>
        <v/>
      </c>
      <c r="L385" s="100">
        <f>IF(G385="","",SQRT(K385))</f>
        <v/>
      </c>
      <c r="M385" s="98">
        <f>IF(G385="","",IF(K385&lt;=$B$10,"OK","NG"))</f>
        <v/>
      </c>
      <c r="N385" s="69">
        <f>IF(M385="","",IF(M385=D385,1,0))</f>
        <v/>
      </c>
      <c r="O385" s="100">
        <f>IF(G385="","",H385-G385)</f>
        <v/>
      </c>
      <c r="P385" s="100">
        <f>IF(G385="","",ABS(O385-Components!$D$2))</f>
        <v/>
      </c>
      <c r="Q385" s="100">
        <f>IF(G385="","",ABS(O385-Components!$D$3))</f>
        <v/>
      </c>
      <c r="R385" s="100">
        <f>IF(G385="","",ABS(O385-Components!$D$4))</f>
        <v/>
      </c>
      <c r="S385" s="100">
        <f>IF(G385="","",ABS(O385-Components!$D$5))</f>
        <v/>
      </c>
      <c r="T385" s="100">
        <f>IF(G385="","",ABS(O385-Components!$D$6))</f>
        <v/>
      </c>
      <c r="U385" s="100">
        <f>IF(G385="","",ABS(O385-Components!$D$7))</f>
        <v/>
      </c>
      <c r="V385" s="98">
        <f>IF(G385="","",IF(M385="OK","NONE",INDEX({"S1","S2","W1","W2","N1","N2"},MATCH(MIN(P385:U385),P385:U385,0))))</f>
        <v/>
      </c>
      <c r="W385" s="103">
        <f>IF(G385="","",IF(V385=E385,1,0))</f>
        <v/>
      </c>
    </row>
    <row r="386">
      <c r="A386" s="102">
        <f>'Runs Z score'!A374</f>
        <v/>
      </c>
      <c r="B386" s="98">
        <f>'Runs Z score'!B374</f>
        <v/>
      </c>
      <c r="C386" s="98">
        <f>'Runs Z score'!C374</f>
        <v/>
      </c>
      <c r="D386" s="98">
        <f>'Runs Z score'!D374</f>
        <v/>
      </c>
      <c r="E386" s="98">
        <f>'Runs Z score'!E374</f>
        <v/>
      </c>
      <c r="F386" s="98">
        <f>'Runs Z score'!F374</f>
        <v/>
      </c>
      <c r="G386" s="99">
        <f>'Runs Z score'!G374</f>
        <v/>
      </c>
      <c r="H386" s="100">
        <f>VLOOKUP(C386,Recipes!$A$2:$N$4,10,FALSE())</f>
        <v/>
      </c>
      <c r="I386" s="101">
        <f>VLOOKUP(C386,Recipes!$A$2:$N$4,12,FALSE())</f>
        <v/>
      </c>
      <c r="J386" s="101">
        <f>IF(G386="","",((G386-H386)/I386)^2)</f>
        <v/>
      </c>
      <c r="K386" s="101">
        <f>IF(G386="","",MAX(0, J386-$B$12))</f>
        <v/>
      </c>
      <c r="L386" s="100">
        <f>IF(G386="","",SQRT(K386))</f>
        <v/>
      </c>
      <c r="M386" s="98">
        <f>IF(G386="","",IF(K386&lt;=$B$10,"OK","NG"))</f>
        <v/>
      </c>
      <c r="N386" s="69">
        <f>IF(M386="","",IF(M386=D386,1,0))</f>
        <v/>
      </c>
      <c r="O386" s="100">
        <f>IF(G386="","",H386-G386)</f>
        <v/>
      </c>
      <c r="P386" s="100">
        <f>IF(G386="","",ABS(O386-Components!$D$2))</f>
        <v/>
      </c>
      <c r="Q386" s="100">
        <f>IF(G386="","",ABS(O386-Components!$D$3))</f>
        <v/>
      </c>
      <c r="R386" s="100">
        <f>IF(G386="","",ABS(O386-Components!$D$4))</f>
        <v/>
      </c>
      <c r="S386" s="100">
        <f>IF(G386="","",ABS(O386-Components!$D$5))</f>
        <v/>
      </c>
      <c r="T386" s="100">
        <f>IF(G386="","",ABS(O386-Components!$D$6))</f>
        <v/>
      </c>
      <c r="U386" s="100">
        <f>IF(G386="","",ABS(O386-Components!$D$7))</f>
        <v/>
      </c>
      <c r="V386" s="98">
        <f>IF(G386="","",IF(M386="OK","NONE",INDEX({"S1","S2","W1","W2","N1","N2"},MATCH(MIN(P386:U386),P386:U386,0))))</f>
        <v/>
      </c>
      <c r="W386" s="103">
        <f>IF(G386="","",IF(V386=E386,1,0))</f>
        <v/>
      </c>
    </row>
    <row r="387">
      <c r="A387" s="102">
        <f>'Runs Z score'!A375</f>
        <v/>
      </c>
      <c r="B387" s="98">
        <f>'Runs Z score'!B375</f>
        <v/>
      </c>
      <c r="C387" s="98">
        <f>'Runs Z score'!C375</f>
        <v/>
      </c>
      <c r="D387" s="98">
        <f>'Runs Z score'!D375</f>
        <v/>
      </c>
      <c r="E387" s="98">
        <f>'Runs Z score'!E375</f>
        <v/>
      </c>
      <c r="F387" s="98">
        <f>'Runs Z score'!F375</f>
        <v/>
      </c>
      <c r="G387" s="99">
        <f>'Runs Z score'!G375</f>
        <v/>
      </c>
      <c r="H387" s="100">
        <f>VLOOKUP(C387,Recipes!$A$2:$N$4,10,FALSE())</f>
        <v/>
      </c>
      <c r="I387" s="101">
        <f>VLOOKUP(C387,Recipes!$A$2:$N$4,12,FALSE())</f>
        <v/>
      </c>
      <c r="J387" s="101">
        <f>IF(G387="","",((G387-H387)/I387)^2)</f>
        <v/>
      </c>
      <c r="K387" s="101">
        <f>IF(G387="","",MAX(0, J387-$B$12))</f>
        <v/>
      </c>
      <c r="L387" s="100">
        <f>IF(G387="","",SQRT(K387))</f>
        <v/>
      </c>
      <c r="M387" s="98">
        <f>IF(G387="","",IF(K387&lt;=$B$10,"OK","NG"))</f>
        <v/>
      </c>
      <c r="N387" s="69">
        <f>IF(M387="","",IF(M387=D387,1,0))</f>
        <v/>
      </c>
      <c r="O387" s="100">
        <f>IF(G387="","",H387-G387)</f>
        <v/>
      </c>
      <c r="P387" s="100">
        <f>IF(G387="","",ABS(O387-Components!$D$2))</f>
        <v/>
      </c>
      <c r="Q387" s="100">
        <f>IF(G387="","",ABS(O387-Components!$D$3))</f>
        <v/>
      </c>
      <c r="R387" s="100">
        <f>IF(G387="","",ABS(O387-Components!$D$4))</f>
        <v/>
      </c>
      <c r="S387" s="100">
        <f>IF(G387="","",ABS(O387-Components!$D$5))</f>
        <v/>
      </c>
      <c r="T387" s="100">
        <f>IF(G387="","",ABS(O387-Components!$D$6))</f>
        <v/>
      </c>
      <c r="U387" s="100">
        <f>IF(G387="","",ABS(O387-Components!$D$7))</f>
        <v/>
      </c>
      <c r="V387" s="98">
        <f>IF(G387="","",IF(M387="OK","NONE",INDEX({"S1","S2","W1","W2","N1","N2"},MATCH(MIN(P387:U387),P387:U387,0))))</f>
        <v/>
      </c>
      <c r="W387" s="103">
        <f>IF(G387="","",IF(V387=E387,1,0))</f>
        <v/>
      </c>
    </row>
    <row r="388">
      <c r="A388" s="102">
        <f>'Runs Z score'!A376</f>
        <v/>
      </c>
      <c r="B388" s="98">
        <f>'Runs Z score'!B376</f>
        <v/>
      </c>
      <c r="C388" s="98">
        <f>'Runs Z score'!C376</f>
        <v/>
      </c>
      <c r="D388" s="98">
        <f>'Runs Z score'!D376</f>
        <v/>
      </c>
      <c r="E388" s="98">
        <f>'Runs Z score'!E376</f>
        <v/>
      </c>
      <c r="F388" s="98">
        <f>'Runs Z score'!F376</f>
        <v/>
      </c>
      <c r="G388" s="99">
        <f>'Runs Z score'!G376</f>
        <v/>
      </c>
      <c r="H388" s="100">
        <f>VLOOKUP(C388,Recipes!$A$2:$N$4,10,FALSE())</f>
        <v/>
      </c>
      <c r="I388" s="101">
        <f>VLOOKUP(C388,Recipes!$A$2:$N$4,12,FALSE())</f>
        <v/>
      </c>
      <c r="J388" s="101">
        <f>IF(G388="","",((G388-H388)/I388)^2)</f>
        <v/>
      </c>
      <c r="K388" s="101">
        <f>IF(G388="","",MAX(0, J388-$B$12))</f>
        <v/>
      </c>
      <c r="L388" s="100">
        <f>IF(G388="","",SQRT(K388))</f>
        <v/>
      </c>
      <c r="M388" s="98">
        <f>IF(G388="","",IF(K388&lt;=$B$10,"OK","NG"))</f>
        <v/>
      </c>
      <c r="N388" s="69">
        <f>IF(M388="","",IF(M388=D388,1,0))</f>
        <v/>
      </c>
      <c r="O388" s="100">
        <f>IF(G388="","",H388-G388)</f>
        <v/>
      </c>
      <c r="P388" s="100">
        <f>IF(G388="","",ABS(O388-Components!$D$2))</f>
        <v/>
      </c>
      <c r="Q388" s="100">
        <f>IF(G388="","",ABS(O388-Components!$D$3))</f>
        <v/>
      </c>
      <c r="R388" s="100">
        <f>IF(G388="","",ABS(O388-Components!$D$4))</f>
        <v/>
      </c>
      <c r="S388" s="100">
        <f>IF(G388="","",ABS(O388-Components!$D$5))</f>
        <v/>
      </c>
      <c r="T388" s="100">
        <f>IF(G388="","",ABS(O388-Components!$D$6))</f>
        <v/>
      </c>
      <c r="U388" s="100">
        <f>IF(G388="","",ABS(O388-Components!$D$7))</f>
        <v/>
      </c>
      <c r="V388" s="98">
        <f>IF(G388="","",IF(M388="OK","NONE",INDEX({"S1","S2","W1","W2","N1","N2"},MATCH(MIN(P388:U388),P388:U388,0))))</f>
        <v/>
      </c>
      <c r="W388" s="103">
        <f>IF(G388="","",IF(V388=E388,1,0))</f>
        <v/>
      </c>
    </row>
    <row r="389">
      <c r="A389" s="102">
        <f>'Runs Z score'!A377</f>
        <v/>
      </c>
      <c r="B389" s="98">
        <f>'Runs Z score'!B377</f>
        <v/>
      </c>
      <c r="C389" s="98">
        <f>'Runs Z score'!C377</f>
        <v/>
      </c>
      <c r="D389" s="98">
        <f>'Runs Z score'!D377</f>
        <v/>
      </c>
      <c r="E389" s="98">
        <f>'Runs Z score'!E377</f>
        <v/>
      </c>
      <c r="F389" s="98">
        <f>'Runs Z score'!F377</f>
        <v/>
      </c>
      <c r="G389" s="99">
        <f>'Runs Z score'!G377</f>
        <v/>
      </c>
      <c r="H389" s="100">
        <f>VLOOKUP(C389,Recipes!$A$2:$N$4,10,FALSE())</f>
        <v/>
      </c>
      <c r="I389" s="101">
        <f>VLOOKUP(C389,Recipes!$A$2:$N$4,12,FALSE())</f>
        <v/>
      </c>
      <c r="J389" s="101">
        <f>IF(G389="","",((G389-H389)/I389)^2)</f>
        <v/>
      </c>
      <c r="K389" s="101">
        <f>IF(G389="","",MAX(0, J389-$B$12))</f>
        <v/>
      </c>
      <c r="L389" s="100">
        <f>IF(G389="","",SQRT(K389))</f>
        <v/>
      </c>
      <c r="M389" s="98">
        <f>IF(G389="","",IF(K389&lt;=$B$10,"OK","NG"))</f>
        <v/>
      </c>
      <c r="N389" s="69">
        <f>IF(M389="","",IF(M389=D389,1,0))</f>
        <v/>
      </c>
      <c r="O389" s="100">
        <f>IF(G389="","",H389-G389)</f>
        <v/>
      </c>
      <c r="P389" s="100">
        <f>IF(G389="","",ABS(O389-Components!$D$2))</f>
        <v/>
      </c>
      <c r="Q389" s="100">
        <f>IF(G389="","",ABS(O389-Components!$D$3))</f>
        <v/>
      </c>
      <c r="R389" s="100">
        <f>IF(G389="","",ABS(O389-Components!$D$4))</f>
        <v/>
      </c>
      <c r="S389" s="100">
        <f>IF(G389="","",ABS(O389-Components!$D$5))</f>
        <v/>
      </c>
      <c r="T389" s="100">
        <f>IF(G389="","",ABS(O389-Components!$D$6))</f>
        <v/>
      </c>
      <c r="U389" s="100">
        <f>IF(G389="","",ABS(O389-Components!$D$7))</f>
        <v/>
      </c>
      <c r="V389" s="98">
        <f>IF(G389="","",IF(M389="OK","NONE",INDEX({"S1","S2","W1","W2","N1","N2"},MATCH(MIN(P389:U389),P389:U389,0))))</f>
        <v/>
      </c>
      <c r="W389" s="103">
        <f>IF(G389="","",IF(V389=E389,1,0))</f>
        <v/>
      </c>
    </row>
    <row r="390">
      <c r="A390" s="102">
        <f>'Runs Z score'!A378</f>
        <v/>
      </c>
      <c r="B390" s="98">
        <f>'Runs Z score'!B378</f>
        <v/>
      </c>
      <c r="C390" s="98">
        <f>'Runs Z score'!C378</f>
        <v/>
      </c>
      <c r="D390" s="98">
        <f>'Runs Z score'!D378</f>
        <v/>
      </c>
      <c r="E390" s="98">
        <f>'Runs Z score'!E378</f>
        <v/>
      </c>
      <c r="F390" s="98">
        <f>'Runs Z score'!F378</f>
        <v/>
      </c>
      <c r="G390" s="99">
        <f>'Runs Z score'!G378</f>
        <v/>
      </c>
      <c r="H390" s="100">
        <f>VLOOKUP(C390,Recipes!$A$2:$N$4,10,FALSE())</f>
        <v/>
      </c>
      <c r="I390" s="101">
        <f>VLOOKUP(C390,Recipes!$A$2:$N$4,12,FALSE())</f>
        <v/>
      </c>
      <c r="J390" s="101">
        <f>IF(G390="","",((G390-H390)/I390)^2)</f>
        <v/>
      </c>
      <c r="K390" s="101">
        <f>IF(G390="","",MAX(0, J390-$B$12))</f>
        <v/>
      </c>
      <c r="L390" s="100">
        <f>IF(G390="","",SQRT(K390))</f>
        <v/>
      </c>
      <c r="M390" s="98">
        <f>IF(G390="","",IF(K390&lt;=$B$10,"OK","NG"))</f>
        <v/>
      </c>
      <c r="N390" s="69">
        <f>IF(M390="","",IF(M390=D390,1,0))</f>
        <v/>
      </c>
      <c r="O390" s="100">
        <f>IF(G390="","",H390-G390)</f>
        <v/>
      </c>
      <c r="P390" s="100">
        <f>IF(G390="","",ABS(O390-Components!$D$2))</f>
        <v/>
      </c>
      <c r="Q390" s="100">
        <f>IF(G390="","",ABS(O390-Components!$D$3))</f>
        <v/>
      </c>
      <c r="R390" s="100">
        <f>IF(G390="","",ABS(O390-Components!$D$4))</f>
        <v/>
      </c>
      <c r="S390" s="100">
        <f>IF(G390="","",ABS(O390-Components!$D$5))</f>
        <v/>
      </c>
      <c r="T390" s="100">
        <f>IF(G390="","",ABS(O390-Components!$D$6))</f>
        <v/>
      </c>
      <c r="U390" s="100">
        <f>IF(G390="","",ABS(O390-Components!$D$7))</f>
        <v/>
      </c>
      <c r="V390" s="98">
        <f>IF(G390="","",IF(M390="OK","NONE",INDEX({"S1","S2","W1","W2","N1","N2"},MATCH(MIN(P390:U390),P390:U390,0))))</f>
        <v/>
      </c>
      <c r="W390" s="103">
        <f>IF(G390="","",IF(V390=E390,1,0))</f>
        <v/>
      </c>
    </row>
    <row r="391">
      <c r="A391" s="102">
        <f>'Runs Z score'!A379</f>
        <v/>
      </c>
      <c r="B391" s="98">
        <f>'Runs Z score'!B379</f>
        <v/>
      </c>
      <c r="C391" s="98">
        <f>'Runs Z score'!C379</f>
        <v/>
      </c>
      <c r="D391" s="98">
        <f>'Runs Z score'!D379</f>
        <v/>
      </c>
      <c r="E391" s="98">
        <f>'Runs Z score'!E379</f>
        <v/>
      </c>
      <c r="F391" s="98">
        <f>'Runs Z score'!F379</f>
        <v/>
      </c>
      <c r="G391" s="99">
        <f>'Runs Z score'!G379</f>
        <v/>
      </c>
      <c r="H391" s="100">
        <f>VLOOKUP(C391,Recipes!$A$2:$N$4,10,FALSE())</f>
        <v/>
      </c>
      <c r="I391" s="101">
        <f>VLOOKUP(C391,Recipes!$A$2:$N$4,12,FALSE())</f>
        <v/>
      </c>
      <c r="J391" s="101">
        <f>IF(G391="","",((G391-H391)/I391)^2)</f>
        <v/>
      </c>
      <c r="K391" s="101">
        <f>IF(G391="","",MAX(0, J391-$B$12))</f>
        <v/>
      </c>
      <c r="L391" s="100">
        <f>IF(G391="","",SQRT(K391))</f>
        <v/>
      </c>
      <c r="M391" s="98">
        <f>IF(G391="","",IF(K391&lt;=$B$10,"OK","NG"))</f>
        <v/>
      </c>
      <c r="N391" s="69">
        <f>IF(M391="","",IF(M391=D391,1,0))</f>
        <v/>
      </c>
      <c r="O391" s="100">
        <f>IF(G391="","",H391-G391)</f>
        <v/>
      </c>
      <c r="P391" s="100">
        <f>IF(G391="","",ABS(O391-Components!$D$2))</f>
        <v/>
      </c>
      <c r="Q391" s="100">
        <f>IF(G391="","",ABS(O391-Components!$D$3))</f>
        <v/>
      </c>
      <c r="R391" s="100">
        <f>IF(G391="","",ABS(O391-Components!$D$4))</f>
        <v/>
      </c>
      <c r="S391" s="100">
        <f>IF(G391="","",ABS(O391-Components!$D$5))</f>
        <v/>
      </c>
      <c r="T391" s="100">
        <f>IF(G391="","",ABS(O391-Components!$D$6))</f>
        <v/>
      </c>
      <c r="U391" s="100">
        <f>IF(G391="","",ABS(O391-Components!$D$7))</f>
        <v/>
      </c>
      <c r="V391" s="98">
        <f>IF(G391="","",IF(M391="OK","NONE",INDEX({"S1","S2","W1","W2","N1","N2"},MATCH(MIN(P391:U391),P391:U391,0))))</f>
        <v/>
      </c>
      <c r="W391" s="103">
        <f>IF(G391="","",IF(V391=E391,1,0))</f>
        <v/>
      </c>
    </row>
    <row r="392">
      <c r="A392" s="102">
        <f>'Runs Z score'!A380</f>
        <v/>
      </c>
      <c r="B392" s="98">
        <f>'Runs Z score'!B380</f>
        <v/>
      </c>
      <c r="C392" s="98">
        <f>'Runs Z score'!C380</f>
        <v/>
      </c>
      <c r="D392" s="98">
        <f>'Runs Z score'!D380</f>
        <v/>
      </c>
      <c r="E392" s="98">
        <f>'Runs Z score'!E380</f>
        <v/>
      </c>
      <c r="F392" s="98">
        <f>'Runs Z score'!F380</f>
        <v/>
      </c>
      <c r="G392" s="99">
        <f>'Runs Z score'!G380</f>
        <v/>
      </c>
      <c r="H392" s="100">
        <f>VLOOKUP(C392,Recipes!$A$2:$N$4,10,FALSE())</f>
        <v/>
      </c>
      <c r="I392" s="101">
        <f>VLOOKUP(C392,Recipes!$A$2:$N$4,12,FALSE())</f>
        <v/>
      </c>
      <c r="J392" s="101">
        <f>IF(G392="","",((G392-H392)/I392)^2)</f>
        <v/>
      </c>
      <c r="K392" s="101">
        <f>IF(G392="","",MAX(0, J392-$B$12))</f>
        <v/>
      </c>
      <c r="L392" s="100">
        <f>IF(G392="","",SQRT(K392))</f>
        <v/>
      </c>
      <c r="M392" s="98">
        <f>IF(G392="","",IF(K392&lt;=$B$10,"OK","NG"))</f>
        <v/>
      </c>
      <c r="N392" s="69">
        <f>IF(M392="","",IF(M392=D392,1,0))</f>
        <v/>
      </c>
      <c r="O392" s="100">
        <f>IF(G392="","",H392-G392)</f>
        <v/>
      </c>
      <c r="P392" s="100">
        <f>IF(G392="","",ABS(O392-Components!$D$2))</f>
        <v/>
      </c>
      <c r="Q392" s="100">
        <f>IF(G392="","",ABS(O392-Components!$D$3))</f>
        <v/>
      </c>
      <c r="R392" s="100">
        <f>IF(G392="","",ABS(O392-Components!$D$4))</f>
        <v/>
      </c>
      <c r="S392" s="100">
        <f>IF(G392="","",ABS(O392-Components!$D$5))</f>
        <v/>
      </c>
      <c r="T392" s="100">
        <f>IF(G392="","",ABS(O392-Components!$D$6))</f>
        <v/>
      </c>
      <c r="U392" s="100">
        <f>IF(G392="","",ABS(O392-Components!$D$7))</f>
        <v/>
      </c>
      <c r="V392" s="98">
        <f>IF(G392="","",IF(M392="OK","NONE",INDEX({"S1","S2","W1","W2","N1","N2"},MATCH(MIN(P392:U392),P392:U392,0))))</f>
        <v/>
      </c>
      <c r="W392" s="103">
        <f>IF(G392="","",IF(V392=E392,1,0))</f>
        <v/>
      </c>
    </row>
    <row r="393">
      <c r="A393" s="102">
        <f>'Runs Z score'!A381</f>
        <v/>
      </c>
      <c r="B393" s="98">
        <f>'Runs Z score'!B381</f>
        <v/>
      </c>
      <c r="C393" s="98">
        <f>'Runs Z score'!C381</f>
        <v/>
      </c>
      <c r="D393" s="98">
        <f>'Runs Z score'!D381</f>
        <v/>
      </c>
      <c r="E393" s="98">
        <f>'Runs Z score'!E381</f>
        <v/>
      </c>
      <c r="F393" s="98">
        <f>'Runs Z score'!F381</f>
        <v/>
      </c>
      <c r="G393" s="99">
        <f>'Runs Z score'!G381</f>
        <v/>
      </c>
      <c r="H393" s="100">
        <f>VLOOKUP(C393,Recipes!$A$2:$N$4,10,FALSE())</f>
        <v/>
      </c>
      <c r="I393" s="101">
        <f>VLOOKUP(C393,Recipes!$A$2:$N$4,12,FALSE())</f>
        <v/>
      </c>
      <c r="J393" s="101">
        <f>IF(G393="","",((G393-H393)/I393)^2)</f>
        <v/>
      </c>
      <c r="K393" s="101">
        <f>IF(G393="","",MAX(0, J393-$B$12))</f>
        <v/>
      </c>
      <c r="L393" s="100">
        <f>IF(G393="","",SQRT(K393))</f>
        <v/>
      </c>
      <c r="M393" s="98">
        <f>IF(G393="","",IF(K393&lt;=$B$10,"OK","NG"))</f>
        <v/>
      </c>
      <c r="N393" s="69">
        <f>IF(M393="","",IF(M393=D393,1,0))</f>
        <v/>
      </c>
      <c r="O393" s="100">
        <f>IF(G393="","",H393-G393)</f>
        <v/>
      </c>
      <c r="P393" s="100">
        <f>IF(G393="","",ABS(O393-Components!$D$2))</f>
        <v/>
      </c>
      <c r="Q393" s="100">
        <f>IF(G393="","",ABS(O393-Components!$D$3))</f>
        <v/>
      </c>
      <c r="R393" s="100">
        <f>IF(G393="","",ABS(O393-Components!$D$4))</f>
        <v/>
      </c>
      <c r="S393" s="100">
        <f>IF(G393="","",ABS(O393-Components!$D$5))</f>
        <v/>
      </c>
      <c r="T393" s="100">
        <f>IF(G393="","",ABS(O393-Components!$D$6))</f>
        <v/>
      </c>
      <c r="U393" s="100">
        <f>IF(G393="","",ABS(O393-Components!$D$7))</f>
        <v/>
      </c>
      <c r="V393" s="98">
        <f>IF(G393="","",IF(M393="OK","NONE",INDEX({"S1","S2","W1","W2","N1","N2"},MATCH(MIN(P393:U393),P393:U393,0))))</f>
        <v/>
      </c>
      <c r="W393" s="103">
        <f>IF(G393="","",IF(V393=E393,1,0))</f>
        <v/>
      </c>
    </row>
    <row r="394">
      <c r="A394" s="102">
        <f>'Runs Z score'!A382</f>
        <v/>
      </c>
      <c r="B394" s="98">
        <f>'Runs Z score'!B382</f>
        <v/>
      </c>
      <c r="C394" s="98">
        <f>'Runs Z score'!C382</f>
        <v/>
      </c>
      <c r="D394" s="98">
        <f>'Runs Z score'!D382</f>
        <v/>
      </c>
      <c r="E394" s="98">
        <f>'Runs Z score'!E382</f>
        <v/>
      </c>
      <c r="F394" s="98">
        <f>'Runs Z score'!F382</f>
        <v/>
      </c>
      <c r="G394" s="99">
        <f>'Runs Z score'!G382</f>
        <v/>
      </c>
      <c r="H394" s="100">
        <f>VLOOKUP(C394,Recipes!$A$2:$N$4,10,FALSE())</f>
        <v/>
      </c>
      <c r="I394" s="101">
        <f>VLOOKUP(C394,Recipes!$A$2:$N$4,12,FALSE())</f>
        <v/>
      </c>
      <c r="J394" s="101">
        <f>IF(G394="","",((G394-H394)/I394)^2)</f>
        <v/>
      </c>
      <c r="K394" s="101">
        <f>IF(G394="","",MAX(0, J394-$B$12))</f>
        <v/>
      </c>
      <c r="L394" s="100">
        <f>IF(G394="","",SQRT(K394))</f>
        <v/>
      </c>
      <c r="M394" s="98">
        <f>IF(G394="","",IF(K394&lt;=$B$10,"OK","NG"))</f>
        <v/>
      </c>
      <c r="N394" s="69">
        <f>IF(M394="","",IF(M394=D394,1,0))</f>
        <v/>
      </c>
      <c r="O394" s="100">
        <f>IF(G394="","",H394-G394)</f>
        <v/>
      </c>
      <c r="P394" s="100">
        <f>IF(G394="","",ABS(O394-Components!$D$2))</f>
        <v/>
      </c>
      <c r="Q394" s="100">
        <f>IF(G394="","",ABS(O394-Components!$D$3))</f>
        <v/>
      </c>
      <c r="R394" s="100">
        <f>IF(G394="","",ABS(O394-Components!$D$4))</f>
        <v/>
      </c>
      <c r="S394" s="100">
        <f>IF(G394="","",ABS(O394-Components!$D$5))</f>
        <v/>
      </c>
      <c r="T394" s="100">
        <f>IF(G394="","",ABS(O394-Components!$D$6))</f>
        <v/>
      </c>
      <c r="U394" s="100">
        <f>IF(G394="","",ABS(O394-Components!$D$7))</f>
        <v/>
      </c>
      <c r="V394" s="98">
        <f>IF(G394="","",IF(M394="OK","NONE",INDEX({"S1","S2","W1","W2","N1","N2"},MATCH(MIN(P394:U394),P394:U394,0))))</f>
        <v/>
      </c>
      <c r="W394" s="103">
        <f>IF(G394="","",IF(V394=E394,1,0))</f>
        <v/>
      </c>
    </row>
    <row r="395">
      <c r="A395" s="102">
        <f>'Runs Z score'!A383</f>
        <v/>
      </c>
      <c r="B395" s="98">
        <f>'Runs Z score'!B383</f>
        <v/>
      </c>
      <c r="C395" s="98">
        <f>'Runs Z score'!C383</f>
        <v/>
      </c>
      <c r="D395" s="98">
        <f>'Runs Z score'!D383</f>
        <v/>
      </c>
      <c r="E395" s="98">
        <f>'Runs Z score'!E383</f>
        <v/>
      </c>
      <c r="F395" s="98">
        <f>'Runs Z score'!F383</f>
        <v/>
      </c>
      <c r="G395" s="99">
        <f>'Runs Z score'!G383</f>
        <v/>
      </c>
      <c r="H395" s="100">
        <f>VLOOKUP(C395,Recipes!$A$2:$N$4,10,FALSE())</f>
        <v/>
      </c>
      <c r="I395" s="101">
        <f>VLOOKUP(C395,Recipes!$A$2:$N$4,12,FALSE())</f>
        <v/>
      </c>
      <c r="J395" s="101">
        <f>IF(G395="","",((G395-H395)/I395)^2)</f>
        <v/>
      </c>
      <c r="K395" s="101">
        <f>IF(G395="","",MAX(0, J395-$B$12))</f>
        <v/>
      </c>
      <c r="L395" s="100">
        <f>IF(G395="","",SQRT(K395))</f>
        <v/>
      </c>
      <c r="M395" s="98">
        <f>IF(G395="","",IF(K395&lt;=$B$10,"OK","NG"))</f>
        <v/>
      </c>
      <c r="N395" s="69">
        <f>IF(M395="","",IF(M395=D395,1,0))</f>
        <v/>
      </c>
      <c r="O395" s="100">
        <f>IF(G395="","",H395-G395)</f>
        <v/>
      </c>
      <c r="P395" s="100">
        <f>IF(G395="","",ABS(O395-Components!$D$2))</f>
        <v/>
      </c>
      <c r="Q395" s="100">
        <f>IF(G395="","",ABS(O395-Components!$D$3))</f>
        <v/>
      </c>
      <c r="R395" s="100">
        <f>IF(G395="","",ABS(O395-Components!$D$4))</f>
        <v/>
      </c>
      <c r="S395" s="100">
        <f>IF(G395="","",ABS(O395-Components!$D$5))</f>
        <v/>
      </c>
      <c r="T395" s="100">
        <f>IF(G395="","",ABS(O395-Components!$D$6))</f>
        <v/>
      </c>
      <c r="U395" s="100">
        <f>IF(G395="","",ABS(O395-Components!$D$7))</f>
        <v/>
      </c>
      <c r="V395" s="98">
        <f>IF(G395="","",IF(M395="OK","NONE",INDEX({"S1","S2","W1","W2","N1","N2"},MATCH(MIN(P395:U395),P395:U395,0))))</f>
        <v/>
      </c>
      <c r="W395" s="103">
        <f>IF(G395="","",IF(V395=E395,1,0))</f>
        <v/>
      </c>
    </row>
    <row r="396">
      <c r="A396" s="102">
        <f>'Runs Z score'!A384</f>
        <v/>
      </c>
      <c r="B396" s="98">
        <f>'Runs Z score'!B384</f>
        <v/>
      </c>
      <c r="C396" s="98">
        <f>'Runs Z score'!C384</f>
        <v/>
      </c>
      <c r="D396" s="98">
        <f>'Runs Z score'!D384</f>
        <v/>
      </c>
      <c r="E396" s="98">
        <f>'Runs Z score'!E384</f>
        <v/>
      </c>
      <c r="F396" s="98">
        <f>'Runs Z score'!F384</f>
        <v/>
      </c>
      <c r="G396" s="99">
        <f>'Runs Z score'!G384</f>
        <v/>
      </c>
      <c r="H396" s="100">
        <f>VLOOKUP(C396,Recipes!$A$2:$N$4,10,FALSE())</f>
        <v/>
      </c>
      <c r="I396" s="101">
        <f>VLOOKUP(C396,Recipes!$A$2:$N$4,12,FALSE())</f>
        <v/>
      </c>
      <c r="J396" s="101">
        <f>IF(G396="","",((G396-H396)/I396)^2)</f>
        <v/>
      </c>
      <c r="K396" s="101">
        <f>IF(G396="","",MAX(0, J396-$B$12))</f>
        <v/>
      </c>
      <c r="L396" s="100">
        <f>IF(G396="","",SQRT(K396))</f>
        <v/>
      </c>
      <c r="M396" s="98">
        <f>IF(G396="","",IF(K396&lt;=$B$10,"OK","NG"))</f>
        <v/>
      </c>
      <c r="N396" s="69">
        <f>IF(M396="","",IF(M396=D396,1,0))</f>
        <v/>
      </c>
      <c r="O396" s="100">
        <f>IF(G396="","",H396-G396)</f>
        <v/>
      </c>
      <c r="P396" s="100">
        <f>IF(G396="","",ABS(O396-Components!$D$2))</f>
        <v/>
      </c>
      <c r="Q396" s="100">
        <f>IF(G396="","",ABS(O396-Components!$D$3))</f>
        <v/>
      </c>
      <c r="R396" s="100">
        <f>IF(G396="","",ABS(O396-Components!$D$4))</f>
        <v/>
      </c>
      <c r="S396" s="100">
        <f>IF(G396="","",ABS(O396-Components!$D$5))</f>
        <v/>
      </c>
      <c r="T396" s="100">
        <f>IF(G396="","",ABS(O396-Components!$D$6))</f>
        <v/>
      </c>
      <c r="U396" s="100">
        <f>IF(G396="","",ABS(O396-Components!$D$7))</f>
        <v/>
      </c>
      <c r="V396" s="98">
        <f>IF(G396="","",IF(M396="OK","NONE",INDEX({"S1","S2","W1","W2","N1","N2"},MATCH(MIN(P396:U396),P396:U396,0))))</f>
        <v/>
      </c>
      <c r="W396" s="103">
        <f>IF(G396="","",IF(V396=E396,1,0))</f>
        <v/>
      </c>
    </row>
    <row r="397">
      <c r="A397" s="102">
        <f>'Runs Z score'!A385</f>
        <v/>
      </c>
      <c r="B397" s="98">
        <f>'Runs Z score'!B385</f>
        <v/>
      </c>
      <c r="C397" s="98">
        <f>'Runs Z score'!C385</f>
        <v/>
      </c>
      <c r="D397" s="98">
        <f>'Runs Z score'!D385</f>
        <v/>
      </c>
      <c r="E397" s="98">
        <f>'Runs Z score'!E385</f>
        <v/>
      </c>
      <c r="F397" s="98">
        <f>'Runs Z score'!F385</f>
        <v/>
      </c>
      <c r="G397" s="99">
        <f>'Runs Z score'!G385</f>
        <v/>
      </c>
      <c r="H397" s="100">
        <f>VLOOKUP(C397,Recipes!$A$2:$N$4,10,FALSE())</f>
        <v/>
      </c>
      <c r="I397" s="101">
        <f>VLOOKUP(C397,Recipes!$A$2:$N$4,12,FALSE())</f>
        <v/>
      </c>
      <c r="J397" s="101">
        <f>IF(G397="","",((G397-H397)/I397)^2)</f>
        <v/>
      </c>
      <c r="K397" s="101">
        <f>IF(G397="","",MAX(0, J397-$B$12))</f>
        <v/>
      </c>
      <c r="L397" s="100">
        <f>IF(G397="","",SQRT(K397))</f>
        <v/>
      </c>
      <c r="M397" s="98">
        <f>IF(G397="","",IF(K397&lt;=$B$10,"OK","NG"))</f>
        <v/>
      </c>
      <c r="N397" s="69">
        <f>IF(M397="","",IF(M397=D397,1,0))</f>
        <v/>
      </c>
      <c r="O397" s="100">
        <f>IF(G397="","",H397-G397)</f>
        <v/>
      </c>
      <c r="P397" s="100">
        <f>IF(G397="","",ABS(O397-Components!$D$2))</f>
        <v/>
      </c>
      <c r="Q397" s="100">
        <f>IF(G397="","",ABS(O397-Components!$D$3))</f>
        <v/>
      </c>
      <c r="R397" s="100">
        <f>IF(G397="","",ABS(O397-Components!$D$4))</f>
        <v/>
      </c>
      <c r="S397" s="100">
        <f>IF(G397="","",ABS(O397-Components!$D$5))</f>
        <v/>
      </c>
      <c r="T397" s="100">
        <f>IF(G397="","",ABS(O397-Components!$D$6))</f>
        <v/>
      </c>
      <c r="U397" s="100">
        <f>IF(G397="","",ABS(O397-Components!$D$7))</f>
        <v/>
      </c>
      <c r="V397" s="98">
        <f>IF(G397="","",IF(M397="OK","NONE",INDEX({"S1","S2","W1","W2","N1","N2"},MATCH(MIN(P397:U397),P397:U397,0))))</f>
        <v/>
      </c>
      <c r="W397" s="103">
        <f>IF(G397="","",IF(V397=E397,1,0))</f>
        <v/>
      </c>
    </row>
    <row r="398">
      <c r="A398" s="102">
        <f>'Runs Z score'!A386</f>
        <v/>
      </c>
      <c r="B398" s="98">
        <f>'Runs Z score'!B386</f>
        <v/>
      </c>
      <c r="C398" s="98">
        <f>'Runs Z score'!C386</f>
        <v/>
      </c>
      <c r="D398" s="98">
        <f>'Runs Z score'!D386</f>
        <v/>
      </c>
      <c r="E398" s="98">
        <f>'Runs Z score'!E386</f>
        <v/>
      </c>
      <c r="F398" s="98">
        <f>'Runs Z score'!F386</f>
        <v/>
      </c>
      <c r="G398" s="99">
        <f>'Runs Z score'!G386</f>
        <v/>
      </c>
      <c r="H398" s="100">
        <f>VLOOKUP(C398,Recipes!$A$2:$N$4,10,FALSE())</f>
        <v/>
      </c>
      <c r="I398" s="101">
        <f>VLOOKUP(C398,Recipes!$A$2:$N$4,12,FALSE())</f>
        <v/>
      </c>
      <c r="J398" s="101">
        <f>IF(G398="","",((G398-H398)/I398)^2)</f>
        <v/>
      </c>
      <c r="K398" s="101">
        <f>IF(G398="","",MAX(0, J398-$B$12))</f>
        <v/>
      </c>
      <c r="L398" s="100">
        <f>IF(G398="","",SQRT(K398))</f>
        <v/>
      </c>
      <c r="M398" s="98">
        <f>IF(G398="","",IF(K398&lt;=$B$10,"OK","NG"))</f>
        <v/>
      </c>
      <c r="N398" s="69">
        <f>IF(M398="","",IF(M398=D398,1,0))</f>
        <v/>
      </c>
      <c r="O398" s="100">
        <f>IF(G398="","",H398-G398)</f>
        <v/>
      </c>
      <c r="P398" s="100">
        <f>IF(G398="","",ABS(O398-Components!$D$2))</f>
        <v/>
      </c>
      <c r="Q398" s="100">
        <f>IF(G398="","",ABS(O398-Components!$D$3))</f>
        <v/>
      </c>
      <c r="R398" s="100">
        <f>IF(G398="","",ABS(O398-Components!$D$4))</f>
        <v/>
      </c>
      <c r="S398" s="100">
        <f>IF(G398="","",ABS(O398-Components!$D$5))</f>
        <v/>
      </c>
      <c r="T398" s="100">
        <f>IF(G398="","",ABS(O398-Components!$D$6))</f>
        <v/>
      </c>
      <c r="U398" s="100">
        <f>IF(G398="","",ABS(O398-Components!$D$7))</f>
        <v/>
      </c>
      <c r="V398" s="98">
        <f>IF(G398="","",IF(M398="OK","NONE",INDEX({"S1","S2","W1","W2","N1","N2"},MATCH(MIN(P398:U398),P398:U398,0))))</f>
        <v/>
      </c>
      <c r="W398" s="103">
        <f>IF(G398="","",IF(V398=E398,1,0))</f>
        <v/>
      </c>
    </row>
    <row r="399">
      <c r="A399" s="102">
        <f>'Runs Z score'!A387</f>
        <v/>
      </c>
      <c r="B399" s="98">
        <f>'Runs Z score'!B387</f>
        <v/>
      </c>
      <c r="C399" s="98">
        <f>'Runs Z score'!C387</f>
        <v/>
      </c>
      <c r="D399" s="98">
        <f>'Runs Z score'!D387</f>
        <v/>
      </c>
      <c r="E399" s="98">
        <f>'Runs Z score'!E387</f>
        <v/>
      </c>
      <c r="F399" s="98">
        <f>'Runs Z score'!F387</f>
        <v/>
      </c>
      <c r="G399" s="99">
        <f>'Runs Z score'!G387</f>
        <v/>
      </c>
      <c r="H399" s="100">
        <f>VLOOKUP(C399,Recipes!$A$2:$N$4,10,FALSE())</f>
        <v/>
      </c>
      <c r="I399" s="101">
        <f>VLOOKUP(C399,Recipes!$A$2:$N$4,12,FALSE())</f>
        <v/>
      </c>
      <c r="J399" s="101">
        <f>IF(G399="","",((G399-H399)/I399)^2)</f>
        <v/>
      </c>
      <c r="K399" s="101">
        <f>IF(G399="","",MAX(0, J399-$B$12))</f>
        <v/>
      </c>
      <c r="L399" s="100">
        <f>IF(G399="","",SQRT(K399))</f>
        <v/>
      </c>
      <c r="M399" s="98">
        <f>IF(G399="","",IF(K399&lt;=$B$10,"OK","NG"))</f>
        <v/>
      </c>
      <c r="N399" s="69">
        <f>IF(M399="","",IF(M399=D399,1,0))</f>
        <v/>
      </c>
      <c r="O399" s="100">
        <f>IF(G399="","",H399-G399)</f>
        <v/>
      </c>
      <c r="P399" s="100">
        <f>IF(G399="","",ABS(O399-Components!$D$2))</f>
        <v/>
      </c>
      <c r="Q399" s="100">
        <f>IF(G399="","",ABS(O399-Components!$D$3))</f>
        <v/>
      </c>
      <c r="R399" s="100">
        <f>IF(G399="","",ABS(O399-Components!$D$4))</f>
        <v/>
      </c>
      <c r="S399" s="100">
        <f>IF(G399="","",ABS(O399-Components!$D$5))</f>
        <v/>
      </c>
      <c r="T399" s="100">
        <f>IF(G399="","",ABS(O399-Components!$D$6))</f>
        <v/>
      </c>
      <c r="U399" s="100">
        <f>IF(G399="","",ABS(O399-Components!$D$7))</f>
        <v/>
      </c>
      <c r="V399" s="98">
        <f>IF(G399="","",IF(M399="OK","NONE",INDEX({"S1","S2","W1","W2","N1","N2"},MATCH(MIN(P399:U399),P399:U399,0))))</f>
        <v/>
      </c>
      <c r="W399" s="103">
        <f>IF(G399="","",IF(V399=E399,1,0))</f>
        <v/>
      </c>
    </row>
    <row r="400">
      <c r="A400" s="102">
        <f>'Runs Z score'!A388</f>
        <v/>
      </c>
      <c r="B400" s="98">
        <f>'Runs Z score'!B388</f>
        <v/>
      </c>
      <c r="C400" s="98">
        <f>'Runs Z score'!C388</f>
        <v/>
      </c>
      <c r="D400" s="98">
        <f>'Runs Z score'!D388</f>
        <v/>
      </c>
      <c r="E400" s="98">
        <f>'Runs Z score'!E388</f>
        <v/>
      </c>
      <c r="F400" s="98">
        <f>'Runs Z score'!F388</f>
        <v/>
      </c>
      <c r="G400" s="99">
        <f>'Runs Z score'!G388</f>
        <v/>
      </c>
      <c r="H400" s="100">
        <f>VLOOKUP(C400,Recipes!$A$2:$N$4,10,FALSE())</f>
        <v/>
      </c>
      <c r="I400" s="101">
        <f>VLOOKUP(C400,Recipes!$A$2:$N$4,12,FALSE())</f>
        <v/>
      </c>
      <c r="J400" s="101">
        <f>IF(G400="","",((G400-H400)/I400)^2)</f>
        <v/>
      </c>
      <c r="K400" s="101">
        <f>IF(G400="","",MAX(0, J400-$B$12))</f>
        <v/>
      </c>
      <c r="L400" s="100">
        <f>IF(G400="","",SQRT(K400))</f>
        <v/>
      </c>
      <c r="M400" s="98">
        <f>IF(G400="","",IF(K400&lt;=$B$10,"OK","NG"))</f>
        <v/>
      </c>
      <c r="N400" s="69">
        <f>IF(M400="","",IF(M400=D400,1,0))</f>
        <v/>
      </c>
      <c r="O400" s="100">
        <f>IF(G400="","",H400-G400)</f>
        <v/>
      </c>
      <c r="P400" s="100">
        <f>IF(G400="","",ABS(O400-Components!$D$2))</f>
        <v/>
      </c>
      <c r="Q400" s="100">
        <f>IF(G400="","",ABS(O400-Components!$D$3))</f>
        <v/>
      </c>
      <c r="R400" s="100">
        <f>IF(G400="","",ABS(O400-Components!$D$4))</f>
        <v/>
      </c>
      <c r="S400" s="100">
        <f>IF(G400="","",ABS(O400-Components!$D$5))</f>
        <v/>
      </c>
      <c r="T400" s="100">
        <f>IF(G400="","",ABS(O400-Components!$D$6))</f>
        <v/>
      </c>
      <c r="U400" s="100">
        <f>IF(G400="","",ABS(O400-Components!$D$7))</f>
        <v/>
      </c>
      <c r="V400" s="98">
        <f>IF(G400="","",IF(M400="OK","NONE",INDEX({"S1","S2","W1","W2","N1","N2"},MATCH(MIN(P400:U400),P400:U400,0))))</f>
        <v/>
      </c>
      <c r="W400" s="103">
        <f>IF(G400="","",IF(V400=E400,1,0))</f>
        <v/>
      </c>
    </row>
    <row r="401">
      <c r="A401" s="102">
        <f>'Runs Z score'!A389</f>
        <v/>
      </c>
      <c r="B401" s="98">
        <f>'Runs Z score'!B389</f>
        <v/>
      </c>
      <c r="C401" s="98">
        <f>'Runs Z score'!C389</f>
        <v/>
      </c>
      <c r="D401" s="98">
        <f>'Runs Z score'!D389</f>
        <v/>
      </c>
      <c r="E401" s="98">
        <f>'Runs Z score'!E389</f>
        <v/>
      </c>
      <c r="F401" s="98">
        <f>'Runs Z score'!F389</f>
        <v/>
      </c>
      <c r="G401" s="99">
        <f>'Runs Z score'!G389</f>
        <v/>
      </c>
      <c r="H401" s="100">
        <f>VLOOKUP(C401,Recipes!$A$2:$N$4,10,FALSE())</f>
        <v/>
      </c>
      <c r="I401" s="101">
        <f>VLOOKUP(C401,Recipes!$A$2:$N$4,12,FALSE())</f>
        <v/>
      </c>
      <c r="J401" s="101">
        <f>IF(G401="","",((G401-H401)/I401)^2)</f>
        <v/>
      </c>
      <c r="K401" s="101">
        <f>IF(G401="","",MAX(0, J401-$B$12))</f>
        <v/>
      </c>
      <c r="L401" s="100">
        <f>IF(G401="","",SQRT(K401))</f>
        <v/>
      </c>
      <c r="M401" s="98">
        <f>IF(G401="","",IF(K401&lt;=$B$10,"OK","NG"))</f>
        <v/>
      </c>
      <c r="N401" s="69">
        <f>IF(M401="","",IF(M401=D401,1,0))</f>
        <v/>
      </c>
      <c r="O401" s="100">
        <f>IF(G401="","",H401-G401)</f>
        <v/>
      </c>
      <c r="P401" s="100">
        <f>IF(G401="","",ABS(O401-Components!$D$2))</f>
        <v/>
      </c>
      <c r="Q401" s="100">
        <f>IF(G401="","",ABS(O401-Components!$D$3))</f>
        <v/>
      </c>
      <c r="R401" s="100">
        <f>IF(G401="","",ABS(O401-Components!$D$4))</f>
        <v/>
      </c>
      <c r="S401" s="100">
        <f>IF(G401="","",ABS(O401-Components!$D$5))</f>
        <v/>
      </c>
      <c r="T401" s="100">
        <f>IF(G401="","",ABS(O401-Components!$D$6))</f>
        <v/>
      </c>
      <c r="U401" s="100">
        <f>IF(G401="","",ABS(O401-Components!$D$7))</f>
        <v/>
      </c>
      <c r="V401" s="98">
        <f>IF(G401="","",IF(M401="OK","NONE",INDEX({"S1","S2","W1","W2","N1","N2"},MATCH(MIN(P401:U401),P401:U401,0))))</f>
        <v/>
      </c>
      <c r="W401" s="103">
        <f>IF(G401="","",IF(V401=E401,1,0))</f>
        <v/>
      </c>
    </row>
    <row r="402">
      <c r="A402" s="102">
        <f>'Runs Z score'!A390</f>
        <v/>
      </c>
      <c r="B402" s="98">
        <f>'Runs Z score'!B390</f>
        <v/>
      </c>
      <c r="C402" s="98">
        <f>'Runs Z score'!C390</f>
        <v/>
      </c>
      <c r="D402" s="98">
        <f>'Runs Z score'!D390</f>
        <v/>
      </c>
      <c r="E402" s="98">
        <f>'Runs Z score'!E390</f>
        <v/>
      </c>
      <c r="F402" s="98">
        <f>'Runs Z score'!F390</f>
        <v/>
      </c>
      <c r="G402" s="99">
        <f>'Runs Z score'!G390</f>
        <v/>
      </c>
      <c r="H402" s="100">
        <f>VLOOKUP(C402,Recipes!$A$2:$N$4,10,FALSE())</f>
        <v/>
      </c>
      <c r="I402" s="101">
        <f>VLOOKUP(C402,Recipes!$A$2:$N$4,12,FALSE())</f>
        <v/>
      </c>
      <c r="J402" s="101">
        <f>IF(G402="","",((G402-H402)/I402)^2)</f>
        <v/>
      </c>
      <c r="K402" s="101">
        <f>IF(G402="","",MAX(0, J402-$B$12))</f>
        <v/>
      </c>
      <c r="L402" s="100">
        <f>IF(G402="","",SQRT(K402))</f>
        <v/>
      </c>
      <c r="M402" s="98">
        <f>IF(G402="","",IF(K402&lt;=$B$10,"OK","NG"))</f>
        <v/>
      </c>
      <c r="N402" s="69">
        <f>IF(M402="","",IF(M402=D402,1,0))</f>
        <v/>
      </c>
      <c r="O402" s="100">
        <f>IF(G402="","",H402-G402)</f>
        <v/>
      </c>
      <c r="P402" s="100">
        <f>IF(G402="","",ABS(O402-Components!$D$2))</f>
        <v/>
      </c>
      <c r="Q402" s="100">
        <f>IF(G402="","",ABS(O402-Components!$D$3))</f>
        <v/>
      </c>
      <c r="R402" s="100">
        <f>IF(G402="","",ABS(O402-Components!$D$4))</f>
        <v/>
      </c>
      <c r="S402" s="100">
        <f>IF(G402="","",ABS(O402-Components!$D$5))</f>
        <v/>
      </c>
      <c r="T402" s="100">
        <f>IF(G402="","",ABS(O402-Components!$D$6))</f>
        <v/>
      </c>
      <c r="U402" s="100">
        <f>IF(G402="","",ABS(O402-Components!$D$7))</f>
        <v/>
      </c>
      <c r="V402" s="98">
        <f>IF(G402="","",IF(M402="OK","NONE",INDEX({"S1","S2","W1","W2","N1","N2"},MATCH(MIN(P402:U402),P402:U402,0))))</f>
        <v/>
      </c>
      <c r="W402" s="103">
        <f>IF(G402="","",IF(V402=E402,1,0))</f>
        <v/>
      </c>
    </row>
    <row r="403">
      <c r="A403" s="102">
        <f>'Runs Z score'!A391</f>
        <v/>
      </c>
      <c r="B403" s="98">
        <f>'Runs Z score'!B391</f>
        <v/>
      </c>
      <c r="C403" s="98">
        <f>'Runs Z score'!C391</f>
        <v/>
      </c>
      <c r="D403" s="98">
        <f>'Runs Z score'!D391</f>
        <v/>
      </c>
      <c r="E403" s="98">
        <f>'Runs Z score'!E391</f>
        <v/>
      </c>
      <c r="F403" s="98">
        <f>'Runs Z score'!F391</f>
        <v/>
      </c>
      <c r="G403" s="99">
        <f>'Runs Z score'!G391</f>
        <v/>
      </c>
      <c r="H403" s="100">
        <f>VLOOKUP(C403,Recipes!$A$2:$N$4,10,FALSE())</f>
        <v/>
      </c>
      <c r="I403" s="101">
        <f>VLOOKUP(C403,Recipes!$A$2:$N$4,12,FALSE())</f>
        <v/>
      </c>
      <c r="J403" s="101">
        <f>IF(G403="","",((G403-H403)/I403)^2)</f>
        <v/>
      </c>
      <c r="K403" s="101">
        <f>IF(G403="","",MAX(0, J403-$B$12))</f>
        <v/>
      </c>
      <c r="L403" s="100">
        <f>IF(G403="","",SQRT(K403))</f>
        <v/>
      </c>
      <c r="M403" s="98">
        <f>IF(G403="","",IF(K403&lt;=$B$10,"OK","NG"))</f>
        <v/>
      </c>
      <c r="N403" s="69">
        <f>IF(M403="","",IF(M403=D403,1,0))</f>
        <v/>
      </c>
      <c r="O403" s="100">
        <f>IF(G403="","",H403-G403)</f>
        <v/>
      </c>
      <c r="P403" s="100">
        <f>IF(G403="","",ABS(O403-Components!$D$2))</f>
        <v/>
      </c>
      <c r="Q403" s="100">
        <f>IF(G403="","",ABS(O403-Components!$D$3))</f>
        <v/>
      </c>
      <c r="R403" s="100">
        <f>IF(G403="","",ABS(O403-Components!$D$4))</f>
        <v/>
      </c>
      <c r="S403" s="100">
        <f>IF(G403="","",ABS(O403-Components!$D$5))</f>
        <v/>
      </c>
      <c r="T403" s="100">
        <f>IF(G403="","",ABS(O403-Components!$D$6))</f>
        <v/>
      </c>
      <c r="U403" s="100">
        <f>IF(G403="","",ABS(O403-Components!$D$7))</f>
        <v/>
      </c>
      <c r="V403" s="98">
        <f>IF(G403="","",IF(M403="OK","NONE",INDEX({"S1","S2","W1","W2","N1","N2"},MATCH(MIN(P403:U403),P403:U403,0))))</f>
        <v/>
      </c>
      <c r="W403" s="103">
        <f>IF(G403="","",IF(V403=E403,1,0))</f>
        <v/>
      </c>
    </row>
    <row r="404">
      <c r="A404" s="102">
        <f>'Runs Z score'!A392</f>
        <v/>
      </c>
      <c r="B404" s="98">
        <f>'Runs Z score'!B392</f>
        <v/>
      </c>
      <c r="C404" s="98">
        <f>'Runs Z score'!C392</f>
        <v/>
      </c>
      <c r="D404" s="98">
        <f>'Runs Z score'!D392</f>
        <v/>
      </c>
      <c r="E404" s="98">
        <f>'Runs Z score'!E392</f>
        <v/>
      </c>
      <c r="F404" s="98">
        <f>'Runs Z score'!F392</f>
        <v/>
      </c>
      <c r="G404" s="99">
        <f>'Runs Z score'!G392</f>
        <v/>
      </c>
      <c r="H404" s="100">
        <f>VLOOKUP(C404,Recipes!$A$2:$N$4,10,FALSE())</f>
        <v/>
      </c>
      <c r="I404" s="101">
        <f>VLOOKUP(C404,Recipes!$A$2:$N$4,12,FALSE())</f>
        <v/>
      </c>
      <c r="J404" s="101">
        <f>IF(G404="","",((G404-H404)/I404)^2)</f>
        <v/>
      </c>
      <c r="K404" s="101">
        <f>IF(G404="","",MAX(0, J404-$B$12))</f>
        <v/>
      </c>
      <c r="L404" s="100">
        <f>IF(G404="","",SQRT(K404))</f>
        <v/>
      </c>
      <c r="M404" s="98">
        <f>IF(G404="","",IF(K404&lt;=$B$10,"OK","NG"))</f>
        <v/>
      </c>
      <c r="N404" s="69">
        <f>IF(M404="","",IF(M404=D404,1,0))</f>
        <v/>
      </c>
      <c r="O404" s="100">
        <f>IF(G404="","",H404-G404)</f>
        <v/>
      </c>
      <c r="P404" s="100">
        <f>IF(G404="","",ABS(O404-Components!$D$2))</f>
        <v/>
      </c>
      <c r="Q404" s="100">
        <f>IF(G404="","",ABS(O404-Components!$D$3))</f>
        <v/>
      </c>
      <c r="R404" s="100">
        <f>IF(G404="","",ABS(O404-Components!$D$4))</f>
        <v/>
      </c>
      <c r="S404" s="100">
        <f>IF(G404="","",ABS(O404-Components!$D$5))</f>
        <v/>
      </c>
      <c r="T404" s="100">
        <f>IF(G404="","",ABS(O404-Components!$D$6))</f>
        <v/>
      </c>
      <c r="U404" s="100">
        <f>IF(G404="","",ABS(O404-Components!$D$7))</f>
        <v/>
      </c>
      <c r="V404" s="98">
        <f>IF(G404="","",IF(M404="OK","NONE",INDEX({"S1","S2","W1","W2","N1","N2"},MATCH(MIN(P404:U404),P404:U404,0))))</f>
        <v/>
      </c>
      <c r="W404" s="103">
        <f>IF(G404="","",IF(V404=E404,1,0))</f>
        <v/>
      </c>
    </row>
    <row r="405">
      <c r="A405" s="102">
        <f>'Runs Z score'!A393</f>
        <v/>
      </c>
      <c r="B405" s="98">
        <f>'Runs Z score'!B393</f>
        <v/>
      </c>
      <c r="C405" s="98">
        <f>'Runs Z score'!C393</f>
        <v/>
      </c>
      <c r="D405" s="98">
        <f>'Runs Z score'!D393</f>
        <v/>
      </c>
      <c r="E405" s="98">
        <f>'Runs Z score'!E393</f>
        <v/>
      </c>
      <c r="F405" s="98">
        <f>'Runs Z score'!F393</f>
        <v/>
      </c>
      <c r="G405" s="99">
        <f>'Runs Z score'!G393</f>
        <v/>
      </c>
      <c r="H405" s="100">
        <f>VLOOKUP(C405,Recipes!$A$2:$N$4,10,FALSE())</f>
        <v/>
      </c>
      <c r="I405" s="101">
        <f>VLOOKUP(C405,Recipes!$A$2:$N$4,12,FALSE())</f>
        <v/>
      </c>
      <c r="J405" s="101">
        <f>IF(G405="","",((G405-H405)/I405)^2)</f>
        <v/>
      </c>
      <c r="K405" s="101">
        <f>IF(G405="","",MAX(0, J405-$B$12))</f>
        <v/>
      </c>
      <c r="L405" s="100">
        <f>IF(G405="","",SQRT(K405))</f>
        <v/>
      </c>
      <c r="M405" s="98">
        <f>IF(G405="","",IF(K405&lt;=$B$10,"OK","NG"))</f>
        <v/>
      </c>
      <c r="N405" s="69">
        <f>IF(M405="","",IF(M405=D405,1,0))</f>
        <v/>
      </c>
      <c r="O405" s="100">
        <f>IF(G405="","",H405-G405)</f>
        <v/>
      </c>
      <c r="P405" s="100">
        <f>IF(G405="","",ABS(O405-Components!$D$2))</f>
        <v/>
      </c>
      <c r="Q405" s="100">
        <f>IF(G405="","",ABS(O405-Components!$D$3))</f>
        <v/>
      </c>
      <c r="R405" s="100">
        <f>IF(G405="","",ABS(O405-Components!$D$4))</f>
        <v/>
      </c>
      <c r="S405" s="100">
        <f>IF(G405="","",ABS(O405-Components!$D$5))</f>
        <v/>
      </c>
      <c r="T405" s="100">
        <f>IF(G405="","",ABS(O405-Components!$D$6))</f>
        <v/>
      </c>
      <c r="U405" s="100">
        <f>IF(G405="","",ABS(O405-Components!$D$7))</f>
        <v/>
      </c>
      <c r="V405" s="98">
        <f>IF(G405="","",IF(M405="OK","NONE",INDEX({"S1","S2","W1","W2","N1","N2"},MATCH(MIN(P405:U405),P405:U405,0))))</f>
        <v/>
      </c>
      <c r="W405" s="103">
        <f>IF(G405="","",IF(V405=E405,1,0))</f>
        <v/>
      </c>
    </row>
    <row r="406">
      <c r="A406" s="102">
        <f>'Runs Z score'!A394</f>
        <v/>
      </c>
      <c r="B406" s="98">
        <f>'Runs Z score'!B394</f>
        <v/>
      </c>
      <c r="C406" s="98">
        <f>'Runs Z score'!C394</f>
        <v/>
      </c>
      <c r="D406" s="98">
        <f>'Runs Z score'!D394</f>
        <v/>
      </c>
      <c r="E406" s="98">
        <f>'Runs Z score'!E394</f>
        <v/>
      </c>
      <c r="F406" s="98">
        <f>'Runs Z score'!F394</f>
        <v/>
      </c>
      <c r="G406" s="99">
        <f>'Runs Z score'!G394</f>
        <v/>
      </c>
      <c r="H406" s="100">
        <f>VLOOKUP(C406,Recipes!$A$2:$N$4,10,FALSE())</f>
        <v/>
      </c>
      <c r="I406" s="101">
        <f>VLOOKUP(C406,Recipes!$A$2:$N$4,12,FALSE())</f>
        <v/>
      </c>
      <c r="J406" s="101">
        <f>IF(G406="","",((G406-H406)/I406)^2)</f>
        <v/>
      </c>
      <c r="K406" s="101">
        <f>IF(G406="","",MAX(0, J406-$B$12))</f>
        <v/>
      </c>
      <c r="L406" s="100">
        <f>IF(G406="","",SQRT(K406))</f>
        <v/>
      </c>
      <c r="M406" s="98">
        <f>IF(G406="","",IF(K406&lt;=$B$10,"OK","NG"))</f>
        <v/>
      </c>
      <c r="N406" s="69">
        <f>IF(M406="","",IF(M406=D406,1,0))</f>
        <v/>
      </c>
      <c r="O406" s="100">
        <f>IF(G406="","",H406-G406)</f>
        <v/>
      </c>
      <c r="P406" s="100">
        <f>IF(G406="","",ABS(O406-Components!$D$2))</f>
        <v/>
      </c>
      <c r="Q406" s="100">
        <f>IF(G406="","",ABS(O406-Components!$D$3))</f>
        <v/>
      </c>
      <c r="R406" s="100">
        <f>IF(G406="","",ABS(O406-Components!$D$4))</f>
        <v/>
      </c>
      <c r="S406" s="100">
        <f>IF(G406="","",ABS(O406-Components!$D$5))</f>
        <v/>
      </c>
      <c r="T406" s="100">
        <f>IF(G406="","",ABS(O406-Components!$D$6))</f>
        <v/>
      </c>
      <c r="U406" s="100">
        <f>IF(G406="","",ABS(O406-Components!$D$7))</f>
        <v/>
      </c>
      <c r="V406" s="98">
        <f>IF(G406="","",IF(M406="OK","NONE",INDEX({"S1","S2","W1","W2","N1","N2"},MATCH(MIN(P406:U406),P406:U406,0))))</f>
        <v/>
      </c>
      <c r="W406" s="103">
        <f>IF(G406="","",IF(V406=E406,1,0))</f>
        <v/>
      </c>
    </row>
    <row r="407">
      <c r="A407" s="102">
        <f>'Runs Z score'!A395</f>
        <v/>
      </c>
      <c r="B407" s="98">
        <f>'Runs Z score'!B395</f>
        <v/>
      </c>
      <c r="C407" s="98">
        <f>'Runs Z score'!C395</f>
        <v/>
      </c>
      <c r="D407" s="98">
        <f>'Runs Z score'!D395</f>
        <v/>
      </c>
      <c r="E407" s="98">
        <f>'Runs Z score'!E395</f>
        <v/>
      </c>
      <c r="F407" s="98">
        <f>'Runs Z score'!F395</f>
        <v/>
      </c>
      <c r="G407" s="99">
        <f>'Runs Z score'!G395</f>
        <v/>
      </c>
      <c r="H407" s="100">
        <f>VLOOKUP(C407,Recipes!$A$2:$N$4,10,FALSE())</f>
        <v/>
      </c>
      <c r="I407" s="101">
        <f>VLOOKUP(C407,Recipes!$A$2:$N$4,12,FALSE())</f>
        <v/>
      </c>
      <c r="J407" s="101">
        <f>IF(G407="","",((G407-H407)/I407)^2)</f>
        <v/>
      </c>
      <c r="K407" s="101">
        <f>IF(G407="","",MAX(0, J407-$B$12))</f>
        <v/>
      </c>
      <c r="L407" s="100">
        <f>IF(G407="","",SQRT(K407))</f>
        <v/>
      </c>
      <c r="M407" s="98">
        <f>IF(G407="","",IF(K407&lt;=$B$10,"OK","NG"))</f>
        <v/>
      </c>
      <c r="N407" s="69">
        <f>IF(M407="","",IF(M407=D407,1,0))</f>
        <v/>
      </c>
      <c r="O407" s="100">
        <f>IF(G407="","",H407-G407)</f>
        <v/>
      </c>
      <c r="P407" s="100">
        <f>IF(G407="","",ABS(O407-Components!$D$2))</f>
        <v/>
      </c>
      <c r="Q407" s="100">
        <f>IF(G407="","",ABS(O407-Components!$D$3))</f>
        <v/>
      </c>
      <c r="R407" s="100">
        <f>IF(G407="","",ABS(O407-Components!$D$4))</f>
        <v/>
      </c>
      <c r="S407" s="100">
        <f>IF(G407="","",ABS(O407-Components!$D$5))</f>
        <v/>
      </c>
      <c r="T407" s="100">
        <f>IF(G407="","",ABS(O407-Components!$D$6))</f>
        <v/>
      </c>
      <c r="U407" s="100">
        <f>IF(G407="","",ABS(O407-Components!$D$7))</f>
        <v/>
      </c>
      <c r="V407" s="98">
        <f>IF(G407="","",IF(M407="OK","NONE",INDEX({"S1","S2","W1","W2","N1","N2"},MATCH(MIN(P407:U407),P407:U407,0))))</f>
        <v/>
      </c>
      <c r="W407" s="103">
        <f>IF(G407="","",IF(V407=E407,1,0))</f>
        <v/>
      </c>
    </row>
    <row r="408">
      <c r="A408" s="102">
        <f>'Runs Z score'!A396</f>
        <v/>
      </c>
      <c r="B408" s="98">
        <f>'Runs Z score'!B396</f>
        <v/>
      </c>
      <c r="C408" s="98">
        <f>'Runs Z score'!C396</f>
        <v/>
      </c>
      <c r="D408" s="98">
        <f>'Runs Z score'!D396</f>
        <v/>
      </c>
      <c r="E408" s="98">
        <f>'Runs Z score'!E396</f>
        <v/>
      </c>
      <c r="F408" s="98">
        <f>'Runs Z score'!F396</f>
        <v/>
      </c>
      <c r="G408" s="99">
        <f>'Runs Z score'!G396</f>
        <v/>
      </c>
      <c r="H408" s="100">
        <f>VLOOKUP(C408,Recipes!$A$2:$N$4,10,FALSE())</f>
        <v/>
      </c>
      <c r="I408" s="101">
        <f>VLOOKUP(C408,Recipes!$A$2:$N$4,12,FALSE())</f>
        <v/>
      </c>
      <c r="J408" s="101">
        <f>IF(G408="","",((G408-H408)/I408)^2)</f>
        <v/>
      </c>
      <c r="K408" s="101">
        <f>IF(G408="","",MAX(0, J408-$B$12))</f>
        <v/>
      </c>
      <c r="L408" s="100">
        <f>IF(G408="","",SQRT(K408))</f>
        <v/>
      </c>
      <c r="M408" s="98">
        <f>IF(G408="","",IF(K408&lt;=$B$10,"OK","NG"))</f>
        <v/>
      </c>
      <c r="N408" s="69">
        <f>IF(M408="","",IF(M408=D408,1,0))</f>
        <v/>
      </c>
      <c r="O408" s="100">
        <f>IF(G408="","",H408-G408)</f>
        <v/>
      </c>
      <c r="P408" s="100">
        <f>IF(G408="","",ABS(O408-Components!$D$2))</f>
        <v/>
      </c>
      <c r="Q408" s="100">
        <f>IF(G408="","",ABS(O408-Components!$D$3))</f>
        <v/>
      </c>
      <c r="R408" s="100">
        <f>IF(G408="","",ABS(O408-Components!$D$4))</f>
        <v/>
      </c>
      <c r="S408" s="100">
        <f>IF(G408="","",ABS(O408-Components!$D$5))</f>
        <v/>
      </c>
      <c r="T408" s="100">
        <f>IF(G408="","",ABS(O408-Components!$D$6))</f>
        <v/>
      </c>
      <c r="U408" s="100">
        <f>IF(G408="","",ABS(O408-Components!$D$7))</f>
        <v/>
      </c>
      <c r="V408" s="98">
        <f>IF(G408="","",IF(M408="OK","NONE",INDEX({"S1","S2","W1","W2","N1","N2"},MATCH(MIN(P408:U408),P408:U408,0))))</f>
        <v/>
      </c>
      <c r="W408" s="103">
        <f>IF(G408="","",IF(V408=E408,1,0))</f>
        <v/>
      </c>
    </row>
    <row r="409">
      <c r="A409" s="102">
        <f>'Runs Z score'!A397</f>
        <v/>
      </c>
      <c r="B409" s="98">
        <f>'Runs Z score'!B397</f>
        <v/>
      </c>
      <c r="C409" s="98">
        <f>'Runs Z score'!C397</f>
        <v/>
      </c>
      <c r="D409" s="98">
        <f>'Runs Z score'!D397</f>
        <v/>
      </c>
      <c r="E409" s="98">
        <f>'Runs Z score'!E397</f>
        <v/>
      </c>
      <c r="F409" s="98">
        <f>'Runs Z score'!F397</f>
        <v/>
      </c>
      <c r="G409" s="99">
        <f>'Runs Z score'!G397</f>
        <v/>
      </c>
      <c r="H409" s="100">
        <f>VLOOKUP(C409,Recipes!$A$2:$N$4,10,FALSE())</f>
        <v/>
      </c>
      <c r="I409" s="101">
        <f>VLOOKUP(C409,Recipes!$A$2:$N$4,12,FALSE())</f>
        <v/>
      </c>
      <c r="J409" s="101">
        <f>IF(G409="","",((G409-H409)/I409)^2)</f>
        <v/>
      </c>
      <c r="K409" s="101">
        <f>IF(G409="","",MAX(0, J409-$B$12))</f>
        <v/>
      </c>
      <c r="L409" s="100">
        <f>IF(G409="","",SQRT(K409))</f>
        <v/>
      </c>
      <c r="M409" s="98">
        <f>IF(G409="","",IF(K409&lt;=$B$10,"OK","NG"))</f>
        <v/>
      </c>
      <c r="N409" s="69">
        <f>IF(M409="","",IF(M409=D409,1,0))</f>
        <v/>
      </c>
      <c r="O409" s="100">
        <f>IF(G409="","",H409-G409)</f>
        <v/>
      </c>
      <c r="P409" s="100">
        <f>IF(G409="","",ABS(O409-Components!$D$2))</f>
        <v/>
      </c>
      <c r="Q409" s="100">
        <f>IF(G409="","",ABS(O409-Components!$D$3))</f>
        <v/>
      </c>
      <c r="R409" s="100">
        <f>IF(G409="","",ABS(O409-Components!$D$4))</f>
        <v/>
      </c>
      <c r="S409" s="100">
        <f>IF(G409="","",ABS(O409-Components!$D$5))</f>
        <v/>
      </c>
      <c r="T409" s="100">
        <f>IF(G409="","",ABS(O409-Components!$D$6))</f>
        <v/>
      </c>
      <c r="U409" s="100">
        <f>IF(G409="","",ABS(O409-Components!$D$7))</f>
        <v/>
      </c>
      <c r="V409" s="98">
        <f>IF(G409="","",IF(M409="OK","NONE",INDEX({"S1","S2","W1","W2","N1","N2"},MATCH(MIN(P409:U409),P409:U409,0))))</f>
        <v/>
      </c>
      <c r="W409" s="103">
        <f>IF(G409="","",IF(V409=E409,1,0))</f>
        <v/>
      </c>
    </row>
    <row r="410">
      <c r="A410" s="102">
        <f>'Runs Z score'!A398</f>
        <v/>
      </c>
      <c r="B410" s="98">
        <f>'Runs Z score'!B398</f>
        <v/>
      </c>
      <c r="C410" s="98">
        <f>'Runs Z score'!C398</f>
        <v/>
      </c>
      <c r="D410" s="98">
        <f>'Runs Z score'!D398</f>
        <v/>
      </c>
      <c r="E410" s="98">
        <f>'Runs Z score'!E398</f>
        <v/>
      </c>
      <c r="F410" s="98">
        <f>'Runs Z score'!F398</f>
        <v/>
      </c>
      <c r="G410" s="99">
        <f>'Runs Z score'!G398</f>
        <v/>
      </c>
      <c r="H410" s="100">
        <f>VLOOKUP(C410,Recipes!$A$2:$N$4,10,FALSE())</f>
        <v/>
      </c>
      <c r="I410" s="101">
        <f>VLOOKUP(C410,Recipes!$A$2:$N$4,12,FALSE())</f>
        <v/>
      </c>
      <c r="J410" s="101">
        <f>IF(G410="","",((G410-H410)/I410)^2)</f>
        <v/>
      </c>
      <c r="K410" s="101">
        <f>IF(G410="","",MAX(0, J410-$B$12))</f>
        <v/>
      </c>
      <c r="L410" s="100">
        <f>IF(G410="","",SQRT(K410))</f>
        <v/>
      </c>
      <c r="M410" s="98">
        <f>IF(G410="","",IF(K410&lt;=$B$10,"OK","NG"))</f>
        <v/>
      </c>
      <c r="N410" s="69">
        <f>IF(M410="","",IF(M410=D410,1,0))</f>
        <v/>
      </c>
      <c r="O410" s="100">
        <f>IF(G410="","",H410-G410)</f>
        <v/>
      </c>
      <c r="P410" s="100">
        <f>IF(G410="","",ABS(O410-Components!$D$2))</f>
        <v/>
      </c>
      <c r="Q410" s="100">
        <f>IF(G410="","",ABS(O410-Components!$D$3))</f>
        <v/>
      </c>
      <c r="R410" s="100">
        <f>IF(G410="","",ABS(O410-Components!$D$4))</f>
        <v/>
      </c>
      <c r="S410" s="100">
        <f>IF(G410="","",ABS(O410-Components!$D$5))</f>
        <v/>
      </c>
      <c r="T410" s="100">
        <f>IF(G410="","",ABS(O410-Components!$D$6))</f>
        <v/>
      </c>
      <c r="U410" s="100">
        <f>IF(G410="","",ABS(O410-Components!$D$7))</f>
        <v/>
      </c>
      <c r="V410" s="98">
        <f>IF(G410="","",IF(M410="OK","NONE",INDEX({"S1","S2","W1","W2","N1","N2"},MATCH(MIN(P410:U410),P410:U410,0))))</f>
        <v/>
      </c>
      <c r="W410" s="103">
        <f>IF(G410="","",IF(V410=E410,1,0))</f>
        <v/>
      </c>
    </row>
    <row r="411">
      <c r="A411" s="102">
        <f>'Runs Z score'!A399</f>
        <v/>
      </c>
      <c r="B411" s="98">
        <f>'Runs Z score'!B399</f>
        <v/>
      </c>
      <c r="C411" s="98">
        <f>'Runs Z score'!C399</f>
        <v/>
      </c>
      <c r="D411" s="98">
        <f>'Runs Z score'!D399</f>
        <v/>
      </c>
      <c r="E411" s="98">
        <f>'Runs Z score'!E399</f>
        <v/>
      </c>
      <c r="F411" s="98">
        <f>'Runs Z score'!F399</f>
        <v/>
      </c>
      <c r="G411" s="99">
        <f>'Runs Z score'!G399</f>
        <v/>
      </c>
      <c r="H411" s="100">
        <f>VLOOKUP(C411,Recipes!$A$2:$N$4,10,FALSE())</f>
        <v/>
      </c>
      <c r="I411" s="101">
        <f>VLOOKUP(C411,Recipes!$A$2:$N$4,12,FALSE())</f>
        <v/>
      </c>
      <c r="J411" s="101">
        <f>IF(G411="","",((G411-H411)/I411)^2)</f>
        <v/>
      </c>
      <c r="K411" s="101">
        <f>IF(G411="","",MAX(0, J411-$B$12))</f>
        <v/>
      </c>
      <c r="L411" s="100">
        <f>IF(G411="","",SQRT(K411))</f>
        <v/>
      </c>
      <c r="M411" s="98">
        <f>IF(G411="","",IF(K411&lt;=$B$10,"OK","NG"))</f>
        <v/>
      </c>
      <c r="N411" s="69">
        <f>IF(M411="","",IF(M411=D411,1,0))</f>
        <v/>
      </c>
      <c r="O411" s="100">
        <f>IF(G411="","",H411-G411)</f>
        <v/>
      </c>
      <c r="P411" s="100">
        <f>IF(G411="","",ABS(O411-Components!$D$2))</f>
        <v/>
      </c>
      <c r="Q411" s="100">
        <f>IF(G411="","",ABS(O411-Components!$D$3))</f>
        <v/>
      </c>
      <c r="R411" s="100">
        <f>IF(G411="","",ABS(O411-Components!$D$4))</f>
        <v/>
      </c>
      <c r="S411" s="100">
        <f>IF(G411="","",ABS(O411-Components!$D$5))</f>
        <v/>
      </c>
      <c r="T411" s="100">
        <f>IF(G411="","",ABS(O411-Components!$D$6))</f>
        <v/>
      </c>
      <c r="U411" s="100">
        <f>IF(G411="","",ABS(O411-Components!$D$7))</f>
        <v/>
      </c>
      <c r="V411" s="98">
        <f>IF(G411="","",IF(M411="OK","NONE",INDEX({"S1","S2","W1","W2","N1","N2"},MATCH(MIN(P411:U411),P411:U411,0))))</f>
        <v/>
      </c>
      <c r="W411" s="103">
        <f>IF(G411="","",IF(V411=E411,1,0))</f>
        <v/>
      </c>
    </row>
    <row r="412">
      <c r="A412" s="102">
        <f>'Runs Z score'!A400</f>
        <v/>
      </c>
      <c r="B412" s="98">
        <f>'Runs Z score'!B400</f>
        <v/>
      </c>
      <c r="C412" s="98">
        <f>'Runs Z score'!C400</f>
        <v/>
      </c>
      <c r="D412" s="98">
        <f>'Runs Z score'!D400</f>
        <v/>
      </c>
      <c r="E412" s="98">
        <f>'Runs Z score'!E400</f>
        <v/>
      </c>
      <c r="F412" s="98">
        <f>'Runs Z score'!F400</f>
        <v/>
      </c>
      <c r="G412" s="99">
        <f>'Runs Z score'!G400</f>
        <v/>
      </c>
      <c r="H412" s="100">
        <f>VLOOKUP(C412,Recipes!$A$2:$N$4,10,FALSE())</f>
        <v/>
      </c>
      <c r="I412" s="101">
        <f>VLOOKUP(C412,Recipes!$A$2:$N$4,12,FALSE())</f>
        <v/>
      </c>
      <c r="J412" s="101">
        <f>IF(G412="","",((G412-H412)/I412)^2)</f>
        <v/>
      </c>
      <c r="K412" s="101">
        <f>IF(G412="","",MAX(0, J412-$B$12))</f>
        <v/>
      </c>
      <c r="L412" s="100">
        <f>IF(G412="","",SQRT(K412))</f>
        <v/>
      </c>
      <c r="M412" s="98">
        <f>IF(G412="","",IF(K412&lt;=$B$10,"OK","NG"))</f>
        <v/>
      </c>
      <c r="N412" s="69">
        <f>IF(M412="","",IF(M412=D412,1,0))</f>
        <v/>
      </c>
      <c r="O412" s="100">
        <f>IF(G412="","",H412-G412)</f>
        <v/>
      </c>
      <c r="P412" s="100">
        <f>IF(G412="","",ABS(O412-Components!$D$2))</f>
        <v/>
      </c>
      <c r="Q412" s="100">
        <f>IF(G412="","",ABS(O412-Components!$D$3))</f>
        <v/>
      </c>
      <c r="R412" s="100">
        <f>IF(G412="","",ABS(O412-Components!$D$4))</f>
        <v/>
      </c>
      <c r="S412" s="100">
        <f>IF(G412="","",ABS(O412-Components!$D$5))</f>
        <v/>
      </c>
      <c r="T412" s="100">
        <f>IF(G412="","",ABS(O412-Components!$D$6))</f>
        <v/>
      </c>
      <c r="U412" s="100">
        <f>IF(G412="","",ABS(O412-Components!$D$7))</f>
        <v/>
      </c>
      <c r="V412" s="98">
        <f>IF(G412="","",IF(M412="OK","NONE",INDEX({"S1","S2","W1","W2","N1","N2"},MATCH(MIN(P412:U412),P412:U412,0))))</f>
        <v/>
      </c>
      <c r="W412" s="103">
        <f>IF(G412="","",IF(V412=E412,1,0))</f>
        <v/>
      </c>
    </row>
    <row r="413">
      <c r="A413" s="102">
        <f>'Runs Z score'!A401</f>
        <v/>
      </c>
      <c r="B413" s="98">
        <f>'Runs Z score'!B401</f>
        <v/>
      </c>
      <c r="C413" s="98">
        <f>'Runs Z score'!C401</f>
        <v/>
      </c>
      <c r="D413" s="98">
        <f>'Runs Z score'!D401</f>
        <v/>
      </c>
      <c r="E413" s="98">
        <f>'Runs Z score'!E401</f>
        <v/>
      </c>
      <c r="F413" s="98">
        <f>'Runs Z score'!F401</f>
        <v/>
      </c>
      <c r="G413" s="99">
        <f>'Runs Z score'!G401</f>
        <v/>
      </c>
      <c r="H413" s="100">
        <f>VLOOKUP(C413,Recipes!$A$2:$N$4,10,FALSE())</f>
        <v/>
      </c>
      <c r="I413" s="101">
        <f>VLOOKUP(C413,Recipes!$A$2:$N$4,12,FALSE())</f>
        <v/>
      </c>
      <c r="J413" s="101">
        <f>IF(G413="","",((G413-H413)/I413)^2)</f>
        <v/>
      </c>
      <c r="K413" s="101">
        <f>IF(G413="","",MAX(0, J413-$B$12))</f>
        <v/>
      </c>
      <c r="L413" s="100">
        <f>IF(G413="","",SQRT(K413))</f>
        <v/>
      </c>
      <c r="M413" s="98">
        <f>IF(G413="","",IF(K413&lt;=$B$10,"OK","NG"))</f>
        <v/>
      </c>
      <c r="N413" s="69">
        <f>IF(M413="","",IF(M413=D413,1,0))</f>
        <v/>
      </c>
      <c r="O413" s="100">
        <f>IF(G413="","",H413-G413)</f>
        <v/>
      </c>
      <c r="P413" s="100">
        <f>IF(G413="","",ABS(O413-Components!$D$2))</f>
        <v/>
      </c>
      <c r="Q413" s="100">
        <f>IF(G413="","",ABS(O413-Components!$D$3))</f>
        <v/>
      </c>
      <c r="R413" s="100">
        <f>IF(G413="","",ABS(O413-Components!$D$4))</f>
        <v/>
      </c>
      <c r="S413" s="100">
        <f>IF(G413="","",ABS(O413-Components!$D$5))</f>
        <v/>
      </c>
      <c r="T413" s="100">
        <f>IF(G413="","",ABS(O413-Components!$D$6))</f>
        <v/>
      </c>
      <c r="U413" s="100">
        <f>IF(G413="","",ABS(O413-Components!$D$7))</f>
        <v/>
      </c>
      <c r="V413" s="98">
        <f>IF(G413="","",IF(M413="OK","NONE",INDEX({"S1","S2","W1","W2","N1","N2"},MATCH(MIN(P413:U413),P413:U413,0))))</f>
        <v/>
      </c>
      <c r="W413" s="103">
        <f>IF(G413="","",IF(V413=E413,1,0))</f>
        <v/>
      </c>
    </row>
    <row r="414">
      <c r="A414" s="102">
        <f>'Runs Z score'!A402</f>
        <v/>
      </c>
      <c r="B414" s="98">
        <f>'Runs Z score'!B402</f>
        <v/>
      </c>
      <c r="C414" s="98">
        <f>'Runs Z score'!C402</f>
        <v/>
      </c>
      <c r="D414" s="98">
        <f>'Runs Z score'!D402</f>
        <v/>
      </c>
      <c r="E414" s="98">
        <f>'Runs Z score'!E402</f>
        <v/>
      </c>
      <c r="F414" s="98">
        <f>'Runs Z score'!F402</f>
        <v/>
      </c>
      <c r="G414" s="99">
        <f>'Runs Z score'!G402</f>
        <v/>
      </c>
      <c r="H414" s="100">
        <f>VLOOKUP(C414,Recipes!$A$2:$N$4,10,FALSE())</f>
        <v/>
      </c>
      <c r="I414" s="101">
        <f>VLOOKUP(C414,Recipes!$A$2:$N$4,12,FALSE())</f>
        <v/>
      </c>
      <c r="J414" s="101">
        <f>IF(G414="","",((G414-H414)/I414)^2)</f>
        <v/>
      </c>
      <c r="K414" s="101">
        <f>IF(G414="","",MAX(0, J414-$B$12))</f>
        <v/>
      </c>
      <c r="L414" s="100">
        <f>IF(G414="","",SQRT(K414))</f>
        <v/>
      </c>
      <c r="M414" s="98">
        <f>IF(G414="","",IF(K414&lt;=$B$10,"OK","NG"))</f>
        <v/>
      </c>
      <c r="N414" s="69">
        <f>IF(M414="","",IF(M414=D414,1,0))</f>
        <v/>
      </c>
      <c r="O414" s="100">
        <f>IF(G414="","",H414-G414)</f>
        <v/>
      </c>
      <c r="P414" s="100">
        <f>IF(G414="","",ABS(O414-Components!$D$2))</f>
        <v/>
      </c>
      <c r="Q414" s="100">
        <f>IF(G414="","",ABS(O414-Components!$D$3))</f>
        <v/>
      </c>
      <c r="R414" s="100">
        <f>IF(G414="","",ABS(O414-Components!$D$4))</f>
        <v/>
      </c>
      <c r="S414" s="100">
        <f>IF(G414="","",ABS(O414-Components!$D$5))</f>
        <v/>
      </c>
      <c r="T414" s="100">
        <f>IF(G414="","",ABS(O414-Components!$D$6))</f>
        <v/>
      </c>
      <c r="U414" s="100">
        <f>IF(G414="","",ABS(O414-Components!$D$7))</f>
        <v/>
      </c>
      <c r="V414" s="98">
        <f>IF(G414="","",IF(M414="OK","NONE",INDEX({"S1","S2","W1","W2","N1","N2"},MATCH(MIN(P414:U414),P414:U414,0))))</f>
        <v/>
      </c>
      <c r="W414" s="103">
        <f>IF(G414="","",IF(V414=E414,1,0))</f>
        <v/>
      </c>
    </row>
    <row r="415">
      <c r="A415" s="102">
        <f>'Runs Z score'!A403</f>
        <v/>
      </c>
      <c r="B415" s="98">
        <f>'Runs Z score'!B403</f>
        <v/>
      </c>
      <c r="C415" s="98">
        <f>'Runs Z score'!C403</f>
        <v/>
      </c>
      <c r="D415" s="98">
        <f>'Runs Z score'!D403</f>
        <v/>
      </c>
      <c r="E415" s="98">
        <f>'Runs Z score'!E403</f>
        <v/>
      </c>
      <c r="F415" s="98">
        <f>'Runs Z score'!F403</f>
        <v/>
      </c>
      <c r="G415" s="99">
        <f>'Runs Z score'!G403</f>
        <v/>
      </c>
      <c r="H415" s="100">
        <f>VLOOKUP(C415,Recipes!$A$2:$N$4,10,FALSE())</f>
        <v/>
      </c>
      <c r="I415" s="101">
        <f>VLOOKUP(C415,Recipes!$A$2:$N$4,12,FALSE())</f>
        <v/>
      </c>
      <c r="J415" s="101">
        <f>IF(G415="","",((G415-H415)/I415)^2)</f>
        <v/>
      </c>
      <c r="K415" s="101">
        <f>IF(G415="","",MAX(0, J415-$B$12))</f>
        <v/>
      </c>
      <c r="L415" s="100">
        <f>IF(G415="","",SQRT(K415))</f>
        <v/>
      </c>
      <c r="M415" s="98">
        <f>IF(G415="","",IF(K415&lt;=$B$10,"OK","NG"))</f>
        <v/>
      </c>
      <c r="N415" s="69">
        <f>IF(M415="","",IF(M415=D415,1,0))</f>
        <v/>
      </c>
      <c r="O415" s="100">
        <f>IF(G415="","",H415-G415)</f>
        <v/>
      </c>
      <c r="P415" s="100">
        <f>IF(G415="","",ABS(O415-Components!$D$2))</f>
        <v/>
      </c>
      <c r="Q415" s="100">
        <f>IF(G415="","",ABS(O415-Components!$D$3))</f>
        <v/>
      </c>
      <c r="R415" s="100">
        <f>IF(G415="","",ABS(O415-Components!$D$4))</f>
        <v/>
      </c>
      <c r="S415" s="100">
        <f>IF(G415="","",ABS(O415-Components!$D$5))</f>
        <v/>
      </c>
      <c r="T415" s="100">
        <f>IF(G415="","",ABS(O415-Components!$D$6))</f>
        <v/>
      </c>
      <c r="U415" s="100">
        <f>IF(G415="","",ABS(O415-Components!$D$7))</f>
        <v/>
      </c>
      <c r="V415" s="98">
        <f>IF(G415="","",IF(M415="OK","NONE",INDEX({"S1","S2","W1","W2","N1","N2"},MATCH(MIN(P415:U415),P415:U415,0))))</f>
        <v/>
      </c>
      <c r="W415" s="103">
        <f>IF(G415="","",IF(V415=E415,1,0))</f>
        <v/>
      </c>
    </row>
    <row r="416">
      <c r="A416" s="102">
        <f>'Runs Z score'!A404</f>
        <v/>
      </c>
      <c r="B416" s="98">
        <f>'Runs Z score'!B404</f>
        <v/>
      </c>
      <c r="C416" s="98">
        <f>'Runs Z score'!C404</f>
        <v/>
      </c>
      <c r="D416" s="98">
        <f>'Runs Z score'!D404</f>
        <v/>
      </c>
      <c r="E416" s="98">
        <f>'Runs Z score'!E404</f>
        <v/>
      </c>
      <c r="F416" s="98">
        <f>'Runs Z score'!F404</f>
        <v/>
      </c>
      <c r="G416" s="99">
        <f>'Runs Z score'!G404</f>
        <v/>
      </c>
      <c r="H416" s="100">
        <f>VLOOKUP(C416,Recipes!$A$2:$N$4,10,FALSE())</f>
        <v/>
      </c>
      <c r="I416" s="101">
        <f>VLOOKUP(C416,Recipes!$A$2:$N$4,12,FALSE())</f>
        <v/>
      </c>
      <c r="J416" s="101">
        <f>IF(G416="","",((G416-H416)/I416)^2)</f>
        <v/>
      </c>
      <c r="K416" s="101">
        <f>IF(G416="","",MAX(0, J416-$B$12))</f>
        <v/>
      </c>
      <c r="L416" s="100">
        <f>IF(G416="","",SQRT(K416))</f>
        <v/>
      </c>
      <c r="M416" s="98">
        <f>IF(G416="","",IF(K416&lt;=$B$10,"OK","NG"))</f>
        <v/>
      </c>
      <c r="N416" s="69">
        <f>IF(M416="","",IF(M416=D416,1,0))</f>
        <v/>
      </c>
      <c r="O416" s="100">
        <f>IF(G416="","",H416-G416)</f>
        <v/>
      </c>
      <c r="P416" s="100">
        <f>IF(G416="","",ABS(O416-Components!$D$2))</f>
        <v/>
      </c>
      <c r="Q416" s="100">
        <f>IF(G416="","",ABS(O416-Components!$D$3))</f>
        <v/>
      </c>
      <c r="R416" s="100">
        <f>IF(G416="","",ABS(O416-Components!$D$4))</f>
        <v/>
      </c>
      <c r="S416" s="100">
        <f>IF(G416="","",ABS(O416-Components!$D$5))</f>
        <v/>
      </c>
      <c r="T416" s="100">
        <f>IF(G416="","",ABS(O416-Components!$D$6))</f>
        <v/>
      </c>
      <c r="U416" s="100">
        <f>IF(G416="","",ABS(O416-Components!$D$7))</f>
        <v/>
      </c>
      <c r="V416" s="98">
        <f>IF(G416="","",IF(M416="OK","NONE",INDEX({"S1","S2","W1","W2","N1","N2"},MATCH(MIN(P416:U416),P416:U416,0))))</f>
        <v/>
      </c>
      <c r="W416" s="103">
        <f>IF(G416="","",IF(V416=E416,1,0))</f>
        <v/>
      </c>
    </row>
    <row r="417">
      <c r="A417" s="102">
        <f>'Runs Z score'!A405</f>
        <v/>
      </c>
      <c r="B417" s="98">
        <f>'Runs Z score'!B405</f>
        <v/>
      </c>
      <c r="C417" s="98">
        <f>'Runs Z score'!C405</f>
        <v/>
      </c>
      <c r="D417" s="98">
        <f>'Runs Z score'!D405</f>
        <v/>
      </c>
      <c r="E417" s="98">
        <f>'Runs Z score'!E405</f>
        <v/>
      </c>
      <c r="F417" s="98">
        <f>'Runs Z score'!F405</f>
        <v/>
      </c>
      <c r="G417" s="99">
        <f>'Runs Z score'!G405</f>
        <v/>
      </c>
      <c r="H417" s="100">
        <f>VLOOKUP(C417,Recipes!$A$2:$N$4,10,FALSE())</f>
        <v/>
      </c>
      <c r="I417" s="101">
        <f>VLOOKUP(C417,Recipes!$A$2:$N$4,12,FALSE())</f>
        <v/>
      </c>
      <c r="J417" s="101">
        <f>IF(G417="","",((G417-H417)/I417)^2)</f>
        <v/>
      </c>
      <c r="K417" s="101">
        <f>IF(G417="","",MAX(0, J417-$B$12))</f>
        <v/>
      </c>
      <c r="L417" s="100">
        <f>IF(G417="","",SQRT(K417))</f>
        <v/>
      </c>
      <c r="M417" s="98">
        <f>IF(G417="","",IF(K417&lt;=$B$10,"OK","NG"))</f>
        <v/>
      </c>
      <c r="N417" s="69">
        <f>IF(M417="","",IF(M417=D417,1,0))</f>
        <v/>
      </c>
      <c r="O417" s="100">
        <f>IF(G417="","",H417-G417)</f>
        <v/>
      </c>
      <c r="P417" s="100">
        <f>IF(G417="","",ABS(O417-Components!$D$2))</f>
        <v/>
      </c>
      <c r="Q417" s="100">
        <f>IF(G417="","",ABS(O417-Components!$D$3))</f>
        <v/>
      </c>
      <c r="R417" s="100">
        <f>IF(G417="","",ABS(O417-Components!$D$4))</f>
        <v/>
      </c>
      <c r="S417" s="100">
        <f>IF(G417="","",ABS(O417-Components!$D$5))</f>
        <v/>
      </c>
      <c r="T417" s="100">
        <f>IF(G417="","",ABS(O417-Components!$D$6))</f>
        <v/>
      </c>
      <c r="U417" s="100">
        <f>IF(G417="","",ABS(O417-Components!$D$7))</f>
        <v/>
      </c>
      <c r="V417" s="98">
        <f>IF(G417="","",IF(M417="OK","NONE",INDEX({"S1","S2","W1","W2","N1","N2"},MATCH(MIN(P417:U417),P417:U417,0))))</f>
        <v/>
      </c>
      <c r="W417" s="103">
        <f>IF(G417="","",IF(V417=E417,1,0))</f>
        <v/>
      </c>
    </row>
    <row r="418">
      <c r="A418" s="102">
        <f>'Runs Z score'!A406</f>
        <v/>
      </c>
      <c r="B418" s="98">
        <f>'Runs Z score'!B406</f>
        <v/>
      </c>
      <c r="C418" s="98">
        <f>'Runs Z score'!C406</f>
        <v/>
      </c>
      <c r="D418" s="98">
        <f>'Runs Z score'!D406</f>
        <v/>
      </c>
      <c r="E418" s="98">
        <f>'Runs Z score'!E406</f>
        <v/>
      </c>
      <c r="F418" s="98">
        <f>'Runs Z score'!F406</f>
        <v/>
      </c>
      <c r="G418" s="99">
        <f>'Runs Z score'!G406</f>
        <v/>
      </c>
      <c r="H418" s="100">
        <f>VLOOKUP(C418,Recipes!$A$2:$N$4,10,FALSE())</f>
        <v/>
      </c>
      <c r="I418" s="101">
        <f>VLOOKUP(C418,Recipes!$A$2:$N$4,12,FALSE())</f>
        <v/>
      </c>
      <c r="J418" s="101">
        <f>IF(G418="","",((G418-H418)/I418)^2)</f>
        <v/>
      </c>
      <c r="K418" s="101">
        <f>IF(G418="","",MAX(0, J418-$B$12))</f>
        <v/>
      </c>
      <c r="L418" s="100">
        <f>IF(G418="","",SQRT(K418))</f>
        <v/>
      </c>
      <c r="M418" s="98">
        <f>IF(G418="","",IF(K418&lt;=$B$10,"OK","NG"))</f>
        <v/>
      </c>
      <c r="N418" s="69">
        <f>IF(M418="","",IF(M418=D418,1,0))</f>
        <v/>
      </c>
      <c r="O418" s="100">
        <f>IF(G418="","",H418-G418)</f>
        <v/>
      </c>
      <c r="P418" s="100">
        <f>IF(G418="","",ABS(O418-Components!$D$2))</f>
        <v/>
      </c>
      <c r="Q418" s="100">
        <f>IF(G418="","",ABS(O418-Components!$D$3))</f>
        <v/>
      </c>
      <c r="R418" s="100">
        <f>IF(G418="","",ABS(O418-Components!$D$4))</f>
        <v/>
      </c>
      <c r="S418" s="100">
        <f>IF(G418="","",ABS(O418-Components!$D$5))</f>
        <v/>
      </c>
      <c r="T418" s="100">
        <f>IF(G418="","",ABS(O418-Components!$D$6))</f>
        <v/>
      </c>
      <c r="U418" s="100">
        <f>IF(G418="","",ABS(O418-Components!$D$7))</f>
        <v/>
      </c>
      <c r="V418" s="98">
        <f>IF(G418="","",IF(M418="OK","NONE",INDEX({"S1","S2","W1","W2","N1","N2"},MATCH(MIN(P418:U418),P418:U418,0))))</f>
        <v/>
      </c>
      <c r="W418" s="104">
        <f>IF(G418="","",IF(V418=E418,1,0))</f>
        <v/>
      </c>
    </row>
    <row r="419">
      <c r="A419" s="102">
        <f>'Runs Z score'!A407</f>
        <v/>
      </c>
      <c r="B419" s="98">
        <f>'Runs Z score'!B407</f>
        <v/>
      </c>
      <c r="C419" s="98">
        <f>'Runs Z score'!C407</f>
        <v/>
      </c>
      <c r="D419" s="98">
        <f>'Runs Z score'!D407</f>
        <v/>
      </c>
      <c r="E419" s="98">
        <f>'Runs Z score'!E407</f>
        <v/>
      </c>
      <c r="F419" s="98">
        <f>'Runs Z score'!F407</f>
        <v/>
      </c>
      <c r="G419" s="99">
        <f>'Runs Z score'!G407</f>
        <v/>
      </c>
      <c r="H419" s="100">
        <f>VLOOKUP(C419,Recipes!$A$2:$N$4,10,FALSE())</f>
        <v/>
      </c>
      <c r="I419" s="101">
        <f>VLOOKUP(C419,Recipes!$A$2:$N$4,12,FALSE())</f>
        <v/>
      </c>
      <c r="J419" s="101">
        <f>IF(G419="","",((G419-H419)/I419)^2)</f>
        <v/>
      </c>
      <c r="K419" s="101">
        <f>IF(G419="","",MAX(0, J419-$B$12))</f>
        <v/>
      </c>
      <c r="L419" s="100">
        <f>IF(G419="","",SQRT(K419))</f>
        <v/>
      </c>
      <c r="M419" s="98">
        <f>IF(G419="","",IF(K419&lt;=$B$10,"OK","NG"))</f>
        <v/>
      </c>
      <c r="N419" s="69">
        <f>IF(M419="","",IF(M419=D419,1,0))</f>
        <v/>
      </c>
      <c r="O419" s="100">
        <f>IF(G419="","",H419-G419)</f>
        <v/>
      </c>
      <c r="P419" s="100">
        <f>IF(G419="","",ABS(O419-Components!$D$2))</f>
        <v/>
      </c>
      <c r="Q419" s="100">
        <f>IF(G419="","",ABS(O419-Components!$D$3))</f>
        <v/>
      </c>
      <c r="R419" s="100">
        <f>IF(G419="","",ABS(O419-Components!$D$4))</f>
        <v/>
      </c>
      <c r="S419" s="100">
        <f>IF(G419="","",ABS(O419-Components!$D$5))</f>
        <v/>
      </c>
      <c r="T419" s="100">
        <f>IF(G419="","",ABS(O419-Components!$D$6))</f>
        <v/>
      </c>
      <c r="U419" s="100">
        <f>IF(G419="","",ABS(O419-Components!$D$7))</f>
        <v/>
      </c>
      <c r="V419" s="98">
        <f>IF(G419="","",IF(M419="OK","NONE",INDEX({"S1","S2","W1","W2","N1","N2"},MATCH(MIN(P419:U419),P419:U419,0))))</f>
        <v/>
      </c>
      <c r="W419" s="103">
        <f>IF(G419="","",IF(V419=E419,1,0))</f>
        <v/>
      </c>
    </row>
    <row r="420">
      <c r="A420" s="102">
        <f>'Runs Z score'!A408</f>
        <v/>
      </c>
      <c r="B420" s="98">
        <f>'Runs Z score'!B408</f>
        <v/>
      </c>
      <c r="C420" s="98">
        <f>'Runs Z score'!C408</f>
        <v/>
      </c>
      <c r="D420" s="98">
        <f>'Runs Z score'!D408</f>
        <v/>
      </c>
      <c r="E420" s="98">
        <f>'Runs Z score'!E408</f>
        <v/>
      </c>
      <c r="F420" s="98">
        <f>'Runs Z score'!F408</f>
        <v/>
      </c>
      <c r="G420" s="99">
        <f>'Runs Z score'!G408</f>
        <v/>
      </c>
      <c r="H420" s="100">
        <f>VLOOKUP(C420,Recipes!$A$2:$N$4,10,FALSE())</f>
        <v/>
      </c>
      <c r="I420" s="101">
        <f>VLOOKUP(C420,Recipes!$A$2:$N$4,12,FALSE())</f>
        <v/>
      </c>
      <c r="J420" s="101">
        <f>IF(G420="","",((G420-H420)/I420)^2)</f>
        <v/>
      </c>
      <c r="K420" s="101">
        <f>IF(G420="","",MAX(0, J420-$B$12))</f>
        <v/>
      </c>
      <c r="L420" s="100">
        <f>IF(G420="","",SQRT(K420))</f>
        <v/>
      </c>
      <c r="M420" s="98">
        <f>IF(G420="","",IF(K420&lt;=$B$10,"OK","NG"))</f>
        <v/>
      </c>
      <c r="N420" s="69">
        <f>IF(M420="","",IF(M420=D420,1,0))</f>
        <v/>
      </c>
      <c r="O420" s="100">
        <f>IF(G420="","",H420-G420)</f>
        <v/>
      </c>
      <c r="P420" s="100">
        <f>IF(G420="","",ABS(O420-Components!$D$2))</f>
        <v/>
      </c>
      <c r="Q420" s="100">
        <f>IF(G420="","",ABS(O420-Components!$D$3))</f>
        <v/>
      </c>
      <c r="R420" s="100">
        <f>IF(G420="","",ABS(O420-Components!$D$4))</f>
        <v/>
      </c>
      <c r="S420" s="100">
        <f>IF(G420="","",ABS(O420-Components!$D$5))</f>
        <v/>
      </c>
      <c r="T420" s="100">
        <f>IF(G420="","",ABS(O420-Components!$D$6))</f>
        <v/>
      </c>
      <c r="U420" s="100">
        <f>IF(G420="","",ABS(O420-Components!$D$7))</f>
        <v/>
      </c>
      <c r="V420" s="98">
        <f>IF(G420="","",IF(M420="OK","NONE",INDEX({"S1","S2","W1","W2","N1","N2"},MATCH(MIN(P420:U420),P420:U420,0))))</f>
        <v/>
      </c>
      <c r="W420" s="103">
        <f>IF(G420="","",IF(V420=E420,1,0))</f>
        <v/>
      </c>
    </row>
    <row r="421">
      <c r="A421" s="102">
        <f>'Runs Z score'!A409</f>
        <v/>
      </c>
      <c r="B421" s="98">
        <f>'Runs Z score'!B409</f>
        <v/>
      </c>
      <c r="C421" s="98">
        <f>'Runs Z score'!C409</f>
        <v/>
      </c>
      <c r="D421" s="98">
        <f>'Runs Z score'!D409</f>
        <v/>
      </c>
      <c r="E421" s="98">
        <f>'Runs Z score'!E409</f>
        <v/>
      </c>
      <c r="F421" s="98">
        <f>'Runs Z score'!F409</f>
        <v/>
      </c>
      <c r="G421" s="99">
        <f>'Runs Z score'!G409</f>
        <v/>
      </c>
      <c r="H421" s="100">
        <f>VLOOKUP(C421,Recipes!$A$2:$N$4,10,FALSE())</f>
        <v/>
      </c>
      <c r="I421" s="101">
        <f>VLOOKUP(C421,Recipes!$A$2:$N$4,12,FALSE())</f>
        <v/>
      </c>
      <c r="J421" s="101">
        <f>IF(G421="","",((G421-H421)/I421)^2)</f>
        <v/>
      </c>
      <c r="K421" s="101">
        <f>IF(G421="","",MAX(0, J421-$B$12))</f>
        <v/>
      </c>
      <c r="L421" s="100">
        <f>IF(G421="","",SQRT(K421))</f>
        <v/>
      </c>
      <c r="M421" s="98">
        <f>IF(G421="","",IF(K421&lt;=$B$10,"OK","NG"))</f>
        <v/>
      </c>
      <c r="N421" s="69">
        <f>IF(M421="","",IF(M421=D421,1,0))</f>
        <v/>
      </c>
      <c r="O421" s="100">
        <f>IF(G421="","",H421-G421)</f>
        <v/>
      </c>
      <c r="P421" s="100">
        <f>IF(G421="","",ABS(O421-Components!$D$2))</f>
        <v/>
      </c>
      <c r="Q421" s="100">
        <f>IF(G421="","",ABS(O421-Components!$D$3))</f>
        <v/>
      </c>
      <c r="R421" s="100">
        <f>IF(G421="","",ABS(O421-Components!$D$4))</f>
        <v/>
      </c>
      <c r="S421" s="100">
        <f>IF(G421="","",ABS(O421-Components!$D$5))</f>
        <v/>
      </c>
      <c r="T421" s="100">
        <f>IF(G421="","",ABS(O421-Components!$D$6))</f>
        <v/>
      </c>
      <c r="U421" s="100">
        <f>IF(G421="","",ABS(O421-Components!$D$7))</f>
        <v/>
      </c>
      <c r="V421" s="98">
        <f>IF(G421="","",IF(M421="OK","NONE",INDEX({"S1","S2","W1","W2","N1","N2"},MATCH(MIN(P421:U421),P421:U421,0))))</f>
        <v/>
      </c>
      <c r="W421" s="103">
        <f>IF(G421="","",IF(V421=E421,1,0))</f>
        <v/>
      </c>
    </row>
    <row r="422">
      <c r="A422" s="102">
        <f>'Runs Z score'!A410</f>
        <v/>
      </c>
      <c r="B422" s="98">
        <f>'Runs Z score'!B410</f>
        <v/>
      </c>
      <c r="C422" s="98">
        <f>'Runs Z score'!C410</f>
        <v/>
      </c>
      <c r="D422" s="98">
        <f>'Runs Z score'!D410</f>
        <v/>
      </c>
      <c r="E422" s="98">
        <f>'Runs Z score'!E410</f>
        <v/>
      </c>
      <c r="F422" s="98">
        <f>'Runs Z score'!F410</f>
        <v/>
      </c>
      <c r="G422" s="99">
        <f>'Runs Z score'!G410</f>
        <v/>
      </c>
      <c r="H422" s="100">
        <f>VLOOKUP(C422,Recipes!$A$2:$N$4,10,FALSE())</f>
        <v/>
      </c>
      <c r="I422" s="101">
        <f>VLOOKUP(C422,Recipes!$A$2:$N$4,12,FALSE())</f>
        <v/>
      </c>
      <c r="J422" s="101">
        <f>IF(G422="","",((G422-H422)/I422)^2)</f>
        <v/>
      </c>
      <c r="K422" s="101">
        <f>IF(G422="","",MAX(0, J422-$B$12))</f>
        <v/>
      </c>
      <c r="L422" s="100">
        <f>IF(G422="","",SQRT(K422))</f>
        <v/>
      </c>
      <c r="M422" s="98">
        <f>IF(G422="","",IF(K422&lt;=$B$10,"OK","NG"))</f>
        <v/>
      </c>
      <c r="N422" s="69">
        <f>IF(M422="","",IF(M422=D422,1,0))</f>
        <v/>
      </c>
      <c r="O422" s="100">
        <f>IF(G422="","",H422-G422)</f>
        <v/>
      </c>
      <c r="P422" s="100">
        <f>IF(G422="","",ABS(O422-Components!$D$2))</f>
        <v/>
      </c>
      <c r="Q422" s="100">
        <f>IF(G422="","",ABS(O422-Components!$D$3))</f>
        <v/>
      </c>
      <c r="R422" s="100">
        <f>IF(G422="","",ABS(O422-Components!$D$4))</f>
        <v/>
      </c>
      <c r="S422" s="100">
        <f>IF(G422="","",ABS(O422-Components!$D$5))</f>
        <v/>
      </c>
      <c r="T422" s="100">
        <f>IF(G422="","",ABS(O422-Components!$D$6))</f>
        <v/>
      </c>
      <c r="U422" s="100">
        <f>IF(G422="","",ABS(O422-Components!$D$7))</f>
        <v/>
      </c>
      <c r="V422" s="98">
        <f>IF(G422="","",IF(M422="OK","NONE",INDEX({"S1","S2","W1","W2","N1","N2"},MATCH(MIN(P422:U422),P422:U422,0))))</f>
        <v/>
      </c>
      <c r="W422" s="103">
        <f>IF(G422="","",IF(V422=E422,1,0))</f>
        <v/>
      </c>
    </row>
    <row r="423">
      <c r="A423" s="102">
        <f>'Runs Z score'!A411</f>
        <v/>
      </c>
      <c r="B423" s="98">
        <f>'Runs Z score'!B411</f>
        <v/>
      </c>
      <c r="C423" s="98">
        <f>'Runs Z score'!C411</f>
        <v/>
      </c>
      <c r="D423" s="98">
        <f>'Runs Z score'!D411</f>
        <v/>
      </c>
      <c r="E423" s="98">
        <f>'Runs Z score'!E411</f>
        <v/>
      </c>
      <c r="F423" s="98">
        <f>'Runs Z score'!F411</f>
        <v/>
      </c>
      <c r="G423" s="99">
        <f>'Runs Z score'!G411</f>
        <v/>
      </c>
      <c r="H423" s="100">
        <f>VLOOKUP(C423,Recipes!$A$2:$N$4,10,FALSE())</f>
        <v/>
      </c>
      <c r="I423" s="101">
        <f>VLOOKUP(C423,Recipes!$A$2:$N$4,12,FALSE())</f>
        <v/>
      </c>
      <c r="J423" s="101">
        <f>IF(G423="","",((G423-H423)/I423)^2)</f>
        <v/>
      </c>
      <c r="K423" s="101">
        <f>IF(G423="","",MAX(0, J423-$B$12))</f>
        <v/>
      </c>
      <c r="L423" s="100">
        <f>IF(G423="","",SQRT(K423))</f>
        <v/>
      </c>
      <c r="M423" s="98">
        <f>IF(G423="","",IF(K423&lt;=$B$10,"OK","NG"))</f>
        <v/>
      </c>
      <c r="N423" s="69">
        <f>IF(M423="","",IF(M423=D423,1,0))</f>
        <v/>
      </c>
      <c r="O423" s="100">
        <f>IF(G423="","",H423-G423)</f>
        <v/>
      </c>
      <c r="P423" s="100">
        <f>IF(G423="","",ABS(O423-Components!$D$2))</f>
        <v/>
      </c>
      <c r="Q423" s="100">
        <f>IF(G423="","",ABS(O423-Components!$D$3))</f>
        <v/>
      </c>
      <c r="R423" s="100">
        <f>IF(G423="","",ABS(O423-Components!$D$4))</f>
        <v/>
      </c>
      <c r="S423" s="100">
        <f>IF(G423="","",ABS(O423-Components!$D$5))</f>
        <v/>
      </c>
      <c r="T423" s="100">
        <f>IF(G423="","",ABS(O423-Components!$D$6))</f>
        <v/>
      </c>
      <c r="U423" s="100">
        <f>IF(G423="","",ABS(O423-Components!$D$7))</f>
        <v/>
      </c>
      <c r="V423" s="98">
        <f>IF(G423="","",IF(M423="OK","NONE",INDEX({"S1","S2","W1","W2","N1","N2"},MATCH(MIN(P423:U423),P423:U423,0))))</f>
        <v/>
      </c>
      <c r="W423" s="103">
        <f>IF(G423="","",IF(V423=E423,1,0))</f>
        <v/>
      </c>
    </row>
    <row r="424">
      <c r="A424" s="102">
        <f>'Runs Z score'!A412</f>
        <v/>
      </c>
      <c r="B424" s="98">
        <f>'Runs Z score'!B412</f>
        <v/>
      </c>
      <c r="C424" s="98">
        <f>'Runs Z score'!C412</f>
        <v/>
      </c>
      <c r="D424" s="98">
        <f>'Runs Z score'!D412</f>
        <v/>
      </c>
      <c r="E424" s="98">
        <f>'Runs Z score'!E412</f>
        <v/>
      </c>
      <c r="F424" s="98">
        <f>'Runs Z score'!F412</f>
        <v/>
      </c>
      <c r="G424" s="99">
        <f>'Runs Z score'!G412</f>
        <v/>
      </c>
      <c r="H424" s="100">
        <f>VLOOKUP(C424,Recipes!$A$2:$N$4,10,FALSE())</f>
        <v/>
      </c>
      <c r="I424" s="101">
        <f>VLOOKUP(C424,Recipes!$A$2:$N$4,12,FALSE())</f>
        <v/>
      </c>
      <c r="J424" s="101">
        <f>IF(G424="","",((G424-H424)/I424)^2)</f>
        <v/>
      </c>
      <c r="K424" s="101">
        <f>IF(G424="","",MAX(0, J424-$B$12))</f>
        <v/>
      </c>
      <c r="L424" s="100">
        <f>IF(G424="","",SQRT(K424))</f>
        <v/>
      </c>
      <c r="M424" s="98">
        <f>IF(G424="","",IF(K424&lt;=$B$10,"OK","NG"))</f>
        <v/>
      </c>
      <c r="N424" s="69">
        <f>IF(M424="","",IF(M424=D424,1,0))</f>
        <v/>
      </c>
      <c r="O424" s="100">
        <f>IF(G424="","",H424-G424)</f>
        <v/>
      </c>
      <c r="P424" s="100">
        <f>IF(G424="","",ABS(O424-Components!$D$2))</f>
        <v/>
      </c>
      <c r="Q424" s="100">
        <f>IF(G424="","",ABS(O424-Components!$D$3))</f>
        <v/>
      </c>
      <c r="R424" s="100">
        <f>IF(G424="","",ABS(O424-Components!$D$4))</f>
        <v/>
      </c>
      <c r="S424" s="100">
        <f>IF(G424="","",ABS(O424-Components!$D$5))</f>
        <v/>
      </c>
      <c r="T424" s="100">
        <f>IF(G424="","",ABS(O424-Components!$D$6))</f>
        <v/>
      </c>
      <c r="U424" s="100">
        <f>IF(G424="","",ABS(O424-Components!$D$7))</f>
        <v/>
      </c>
      <c r="V424" s="98">
        <f>IF(G424="","",IF(M424="OK","NONE",INDEX({"S1","S2","W1","W2","N1","N2"},MATCH(MIN(P424:U424),P424:U424,0))))</f>
        <v/>
      </c>
      <c r="W424" s="103">
        <f>IF(G424="","",IF(V424=E424,1,0))</f>
        <v/>
      </c>
    </row>
    <row r="425">
      <c r="A425" s="102">
        <f>'Runs Z score'!A413</f>
        <v/>
      </c>
      <c r="B425" s="98">
        <f>'Runs Z score'!B413</f>
        <v/>
      </c>
      <c r="C425" s="98">
        <f>'Runs Z score'!C413</f>
        <v/>
      </c>
      <c r="D425" s="98">
        <f>'Runs Z score'!D413</f>
        <v/>
      </c>
      <c r="E425" s="98">
        <f>'Runs Z score'!E413</f>
        <v/>
      </c>
      <c r="F425" s="98">
        <f>'Runs Z score'!F413</f>
        <v/>
      </c>
      <c r="G425" s="99">
        <f>'Runs Z score'!G413</f>
        <v/>
      </c>
      <c r="H425" s="100">
        <f>VLOOKUP(C425,Recipes!$A$2:$N$4,10,FALSE())</f>
        <v/>
      </c>
      <c r="I425" s="101">
        <f>VLOOKUP(C425,Recipes!$A$2:$N$4,12,FALSE())</f>
        <v/>
      </c>
      <c r="J425" s="101">
        <f>IF(G425="","",((G425-H425)/I425)^2)</f>
        <v/>
      </c>
      <c r="K425" s="101">
        <f>IF(G425="","",MAX(0, J425-$B$12))</f>
        <v/>
      </c>
      <c r="L425" s="100">
        <f>IF(G425="","",SQRT(K425))</f>
        <v/>
      </c>
      <c r="M425" s="98">
        <f>IF(G425="","",IF(K425&lt;=$B$10,"OK","NG"))</f>
        <v/>
      </c>
      <c r="N425" s="69">
        <f>IF(M425="","",IF(M425=D425,1,0))</f>
        <v/>
      </c>
      <c r="O425" s="100">
        <f>IF(G425="","",H425-G425)</f>
        <v/>
      </c>
      <c r="P425" s="100">
        <f>IF(G425="","",ABS(O425-Components!$D$2))</f>
        <v/>
      </c>
      <c r="Q425" s="100">
        <f>IF(G425="","",ABS(O425-Components!$D$3))</f>
        <v/>
      </c>
      <c r="R425" s="100">
        <f>IF(G425="","",ABS(O425-Components!$D$4))</f>
        <v/>
      </c>
      <c r="S425" s="100">
        <f>IF(G425="","",ABS(O425-Components!$D$5))</f>
        <v/>
      </c>
      <c r="T425" s="100">
        <f>IF(G425="","",ABS(O425-Components!$D$6))</f>
        <v/>
      </c>
      <c r="U425" s="100">
        <f>IF(G425="","",ABS(O425-Components!$D$7))</f>
        <v/>
      </c>
      <c r="V425" s="98">
        <f>IF(G425="","",IF(M425="OK","NONE",INDEX({"S1","S2","W1","W2","N1","N2"},MATCH(MIN(P425:U425),P425:U425,0))))</f>
        <v/>
      </c>
      <c r="W425" s="103">
        <f>IF(G425="","",IF(V425=E425,1,0))</f>
        <v/>
      </c>
    </row>
    <row r="426">
      <c r="A426" s="102">
        <f>'Runs Z score'!A414</f>
        <v/>
      </c>
      <c r="B426" s="98">
        <f>'Runs Z score'!B414</f>
        <v/>
      </c>
      <c r="C426" s="98">
        <f>'Runs Z score'!C414</f>
        <v/>
      </c>
      <c r="D426" s="98">
        <f>'Runs Z score'!D414</f>
        <v/>
      </c>
      <c r="E426" s="98">
        <f>'Runs Z score'!E414</f>
        <v/>
      </c>
      <c r="F426" s="98">
        <f>'Runs Z score'!F414</f>
        <v/>
      </c>
      <c r="G426" s="99">
        <f>'Runs Z score'!G414</f>
        <v/>
      </c>
      <c r="H426" s="100">
        <f>VLOOKUP(C426,Recipes!$A$2:$N$4,10,FALSE())</f>
        <v/>
      </c>
      <c r="I426" s="101">
        <f>VLOOKUP(C426,Recipes!$A$2:$N$4,12,FALSE())</f>
        <v/>
      </c>
      <c r="J426" s="101">
        <f>IF(G426="","",((G426-H426)/I426)^2)</f>
        <v/>
      </c>
      <c r="K426" s="101">
        <f>IF(G426="","",MAX(0, J426-$B$12))</f>
        <v/>
      </c>
      <c r="L426" s="100">
        <f>IF(G426="","",SQRT(K426))</f>
        <v/>
      </c>
      <c r="M426" s="98">
        <f>IF(G426="","",IF(K426&lt;=$B$10,"OK","NG"))</f>
        <v/>
      </c>
      <c r="N426" s="69">
        <f>IF(M426="","",IF(M426=D426,1,0))</f>
        <v/>
      </c>
      <c r="O426" s="100">
        <f>IF(G426="","",H426-G426)</f>
        <v/>
      </c>
      <c r="P426" s="100">
        <f>IF(G426="","",ABS(O426-Components!$D$2))</f>
        <v/>
      </c>
      <c r="Q426" s="100">
        <f>IF(G426="","",ABS(O426-Components!$D$3))</f>
        <v/>
      </c>
      <c r="R426" s="100">
        <f>IF(G426="","",ABS(O426-Components!$D$4))</f>
        <v/>
      </c>
      <c r="S426" s="100">
        <f>IF(G426="","",ABS(O426-Components!$D$5))</f>
        <v/>
      </c>
      <c r="T426" s="100">
        <f>IF(G426="","",ABS(O426-Components!$D$6))</f>
        <v/>
      </c>
      <c r="U426" s="100">
        <f>IF(G426="","",ABS(O426-Components!$D$7))</f>
        <v/>
      </c>
      <c r="V426" s="98">
        <f>IF(G426="","",IF(M426="OK","NONE",INDEX({"S1","S2","W1","W2","N1","N2"},MATCH(MIN(P426:U426),P426:U426,0))))</f>
        <v/>
      </c>
      <c r="W426" s="103">
        <f>IF(G426="","",IF(V426=E426,1,0))</f>
        <v/>
      </c>
    </row>
    <row r="427">
      <c r="A427" s="102">
        <f>'Runs Z score'!A415</f>
        <v/>
      </c>
      <c r="B427" s="98">
        <f>'Runs Z score'!B415</f>
        <v/>
      </c>
      <c r="C427" s="98">
        <f>'Runs Z score'!C415</f>
        <v/>
      </c>
      <c r="D427" s="98">
        <f>'Runs Z score'!D415</f>
        <v/>
      </c>
      <c r="E427" s="98">
        <f>'Runs Z score'!E415</f>
        <v/>
      </c>
      <c r="F427" s="98">
        <f>'Runs Z score'!F415</f>
        <v/>
      </c>
      <c r="G427" s="99">
        <f>'Runs Z score'!G415</f>
        <v/>
      </c>
      <c r="H427" s="100">
        <f>VLOOKUP(C427,Recipes!$A$2:$N$4,10,FALSE())</f>
        <v/>
      </c>
      <c r="I427" s="101">
        <f>VLOOKUP(C427,Recipes!$A$2:$N$4,12,FALSE())</f>
        <v/>
      </c>
      <c r="J427" s="101">
        <f>IF(G427="","",((G427-H427)/I427)^2)</f>
        <v/>
      </c>
      <c r="K427" s="101">
        <f>IF(G427="","",MAX(0, J427-$B$12))</f>
        <v/>
      </c>
      <c r="L427" s="100">
        <f>IF(G427="","",SQRT(K427))</f>
        <v/>
      </c>
      <c r="M427" s="98">
        <f>IF(G427="","",IF(K427&lt;=$B$10,"OK","NG"))</f>
        <v/>
      </c>
      <c r="N427" s="69">
        <f>IF(M427="","",IF(M427=D427,1,0))</f>
        <v/>
      </c>
      <c r="O427" s="100">
        <f>IF(G427="","",H427-G427)</f>
        <v/>
      </c>
      <c r="P427" s="100">
        <f>IF(G427="","",ABS(O427-Components!$D$2))</f>
        <v/>
      </c>
      <c r="Q427" s="100">
        <f>IF(G427="","",ABS(O427-Components!$D$3))</f>
        <v/>
      </c>
      <c r="R427" s="100">
        <f>IF(G427="","",ABS(O427-Components!$D$4))</f>
        <v/>
      </c>
      <c r="S427" s="100">
        <f>IF(G427="","",ABS(O427-Components!$D$5))</f>
        <v/>
      </c>
      <c r="T427" s="100">
        <f>IF(G427="","",ABS(O427-Components!$D$6))</f>
        <v/>
      </c>
      <c r="U427" s="100">
        <f>IF(G427="","",ABS(O427-Components!$D$7))</f>
        <v/>
      </c>
      <c r="V427" s="98">
        <f>IF(G427="","",IF(M427="OK","NONE",INDEX({"S1","S2","W1","W2","N1","N2"},MATCH(MIN(P427:U427),P427:U427,0))))</f>
        <v/>
      </c>
      <c r="W427" s="103">
        <f>IF(G427="","",IF(V427=E427,1,0))</f>
        <v/>
      </c>
    </row>
    <row r="428">
      <c r="A428" s="102">
        <f>'Runs Z score'!A416</f>
        <v/>
      </c>
      <c r="B428" s="98">
        <f>'Runs Z score'!B416</f>
        <v/>
      </c>
      <c r="C428" s="98">
        <f>'Runs Z score'!C416</f>
        <v/>
      </c>
      <c r="D428" s="98">
        <f>'Runs Z score'!D416</f>
        <v/>
      </c>
      <c r="E428" s="98">
        <f>'Runs Z score'!E416</f>
        <v/>
      </c>
      <c r="F428" s="98">
        <f>'Runs Z score'!F416</f>
        <v/>
      </c>
      <c r="G428" s="99">
        <f>'Runs Z score'!G416</f>
        <v/>
      </c>
      <c r="H428" s="100">
        <f>VLOOKUP(C428,Recipes!$A$2:$N$4,10,FALSE())</f>
        <v/>
      </c>
      <c r="I428" s="101">
        <f>VLOOKUP(C428,Recipes!$A$2:$N$4,12,FALSE())</f>
        <v/>
      </c>
      <c r="J428" s="101">
        <f>IF(G428="","",((G428-H428)/I428)^2)</f>
        <v/>
      </c>
      <c r="K428" s="101">
        <f>IF(G428="","",MAX(0, J428-$B$12))</f>
        <v/>
      </c>
      <c r="L428" s="100">
        <f>IF(G428="","",SQRT(K428))</f>
        <v/>
      </c>
      <c r="M428" s="98">
        <f>IF(G428="","",IF(K428&lt;=$B$10,"OK","NG"))</f>
        <v/>
      </c>
      <c r="N428" s="69">
        <f>IF(M428="","",IF(M428=D428,1,0))</f>
        <v/>
      </c>
      <c r="O428" s="100">
        <f>IF(G428="","",H428-G428)</f>
        <v/>
      </c>
      <c r="P428" s="100">
        <f>IF(G428="","",ABS(O428-Components!$D$2))</f>
        <v/>
      </c>
      <c r="Q428" s="100">
        <f>IF(G428="","",ABS(O428-Components!$D$3))</f>
        <v/>
      </c>
      <c r="R428" s="100">
        <f>IF(G428="","",ABS(O428-Components!$D$4))</f>
        <v/>
      </c>
      <c r="S428" s="100">
        <f>IF(G428="","",ABS(O428-Components!$D$5))</f>
        <v/>
      </c>
      <c r="T428" s="100">
        <f>IF(G428="","",ABS(O428-Components!$D$6))</f>
        <v/>
      </c>
      <c r="U428" s="100">
        <f>IF(G428="","",ABS(O428-Components!$D$7))</f>
        <v/>
      </c>
      <c r="V428" s="98">
        <f>IF(G428="","",IF(M428="OK","NONE",INDEX({"S1","S2","W1","W2","N1","N2"},MATCH(MIN(P428:U428),P428:U428,0))))</f>
        <v/>
      </c>
      <c r="W428" s="103">
        <f>IF(G428="","",IF(V428=E428,1,0))</f>
        <v/>
      </c>
    </row>
    <row r="429">
      <c r="A429" s="102">
        <f>'Runs Z score'!A417</f>
        <v/>
      </c>
      <c r="B429" s="98">
        <f>'Runs Z score'!B417</f>
        <v/>
      </c>
      <c r="C429" s="98">
        <f>'Runs Z score'!C417</f>
        <v/>
      </c>
      <c r="D429" s="98">
        <f>'Runs Z score'!D417</f>
        <v/>
      </c>
      <c r="E429" s="98">
        <f>'Runs Z score'!E417</f>
        <v/>
      </c>
      <c r="F429" s="98">
        <f>'Runs Z score'!F417</f>
        <v/>
      </c>
      <c r="G429" s="99">
        <f>'Runs Z score'!G417</f>
        <v/>
      </c>
      <c r="H429" s="100">
        <f>VLOOKUP(C429,Recipes!$A$2:$N$4,10,FALSE())</f>
        <v/>
      </c>
      <c r="I429" s="101">
        <f>VLOOKUP(C429,Recipes!$A$2:$N$4,12,FALSE())</f>
        <v/>
      </c>
      <c r="J429" s="101">
        <f>IF(G429="","",((G429-H429)/I429)^2)</f>
        <v/>
      </c>
      <c r="K429" s="101">
        <f>IF(G429="","",MAX(0, J429-$B$12))</f>
        <v/>
      </c>
      <c r="L429" s="100">
        <f>IF(G429="","",SQRT(K429))</f>
        <v/>
      </c>
      <c r="M429" s="98">
        <f>IF(G429="","",IF(K429&lt;=$B$10,"OK","NG"))</f>
        <v/>
      </c>
      <c r="N429" s="69">
        <f>IF(M429="","",IF(M429=D429,1,0))</f>
        <v/>
      </c>
      <c r="O429" s="100">
        <f>IF(G429="","",H429-G429)</f>
        <v/>
      </c>
      <c r="P429" s="100">
        <f>IF(G429="","",ABS(O429-Components!$D$2))</f>
        <v/>
      </c>
      <c r="Q429" s="100">
        <f>IF(G429="","",ABS(O429-Components!$D$3))</f>
        <v/>
      </c>
      <c r="R429" s="100">
        <f>IF(G429="","",ABS(O429-Components!$D$4))</f>
        <v/>
      </c>
      <c r="S429" s="100">
        <f>IF(G429="","",ABS(O429-Components!$D$5))</f>
        <v/>
      </c>
      <c r="T429" s="100">
        <f>IF(G429="","",ABS(O429-Components!$D$6))</f>
        <v/>
      </c>
      <c r="U429" s="100">
        <f>IF(G429="","",ABS(O429-Components!$D$7))</f>
        <v/>
      </c>
      <c r="V429" s="98">
        <f>IF(G429="","",IF(M429="OK","NONE",INDEX({"S1","S2","W1","W2","N1","N2"},MATCH(MIN(P429:U429),P429:U429,0))))</f>
        <v/>
      </c>
      <c r="W429" s="103">
        <f>IF(G429="","",IF(V429=E429,1,0))</f>
        <v/>
      </c>
    </row>
    <row r="430">
      <c r="A430" s="102">
        <f>'Runs Z score'!A418</f>
        <v/>
      </c>
      <c r="B430" s="98">
        <f>'Runs Z score'!B418</f>
        <v/>
      </c>
      <c r="C430" s="98">
        <f>'Runs Z score'!C418</f>
        <v/>
      </c>
      <c r="D430" s="98">
        <f>'Runs Z score'!D418</f>
        <v/>
      </c>
      <c r="E430" s="98">
        <f>'Runs Z score'!E418</f>
        <v/>
      </c>
      <c r="F430" s="98">
        <f>'Runs Z score'!F418</f>
        <v/>
      </c>
      <c r="G430" s="99">
        <f>'Runs Z score'!G418</f>
        <v/>
      </c>
      <c r="H430" s="100">
        <f>VLOOKUP(C430,Recipes!$A$2:$N$4,10,FALSE())</f>
        <v/>
      </c>
      <c r="I430" s="101">
        <f>VLOOKUP(C430,Recipes!$A$2:$N$4,12,FALSE())</f>
        <v/>
      </c>
      <c r="J430" s="101">
        <f>IF(G430="","",((G430-H430)/I430)^2)</f>
        <v/>
      </c>
      <c r="K430" s="101">
        <f>IF(G430="","",MAX(0, J430-$B$12))</f>
        <v/>
      </c>
      <c r="L430" s="100">
        <f>IF(G430="","",SQRT(K430))</f>
        <v/>
      </c>
      <c r="M430" s="98">
        <f>IF(G430="","",IF(K430&lt;=$B$10,"OK","NG"))</f>
        <v/>
      </c>
      <c r="N430" s="69">
        <f>IF(M430="","",IF(M430=D430,1,0))</f>
        <v/>
      </c>
      <c r="O430" s="100">
        <f>IF(G430="","",H430-G430)</f>
        <v/>
      </c>
      <c r="P430" s="100">
        <f>IF(G430="","",ABS(O430-Components!$D$2))</f>
        <v/>
      </c>
      <c r="Q430" s="100">
        <f>IF(G430="","",ABS(O430-Components!$D$3))</f>
        <v/>
      </c>
      <c r="R430" s="100">
        <f>IF(G430="","",ABS(O430-Components!$D$4))</f>
        <v/>
      </c>
      <c r="S430" s="100">
        <f>IF(G430="","",ABS(O430-Components!$D$5))</f>
        <v/>
      </c>
      <c r="T430" s="100">
        <f>IF(G430="","",ABS(O430-Components!$D$6))</f>
        <v/>
      </c>
      <c r="U430" s="100">
        <f>IF(G430="","",ABS(O430-Components!$D$7))</f>
        <v/>
      </c>
      <c r="V430" s="98">
        <f>IF(G430="","",IF(M430="OK","NONE",INDEX({"S1","S2","W1","W2","N1","N2"},MATCH(MIN(P430:U430),P430:U430,0))))</f>
        <v/>
      </c>
      <c r="W430" s="103">
        <f>IF(G430="","",IF(V430=E430,1,0))</f>
        <v/>
      </c>
    </row>
    <row r="431">
      <c r="A431" s="102">
        <f>'Runs Z score'!A419</f>
        <v/>
      </c>
      <c r="B431" s="98">
        <f>'Runs Z score'!B419</f>
        <v/>
      </c>
      <c r="C431" s="98">
        <f>'Runs Z score'!C419</f>
        <v/>
      </c>
      <c r="D431" s="98">
        <f>'Runs Z score'!D419</f>
        <v/>
      </c>
      <c r="E431" s="98">
        <f>'Runs Z score'!E419</f>
        <v/>
      </c>
      <c r="F431" s="98">
        <f>'Runs Z score'!F419</f>
        <v/>
      </c>
      <c r="G431" s="99">
        <f>'Runs Z score'!G419</f>
        <v/>
      </c>
      <c r="H431" s="100">
        <f>VLOOKUP(C431,Recipes!$A$2:$N$4,10,FALSE())</f>
        <v/>
      </c>
      <c r="I431" s="101">
        <f>VLOOKUP(C431,Recipes!$A$2:$N$4,12,FALSE())</f>
        <v/>
      </c>
      <c r="J431" s="101">
        <f>IF(G431="","",((G431-H431)/I431)^2)</f>
        <v/>
      </c>
      <c r="K431" s="101">
        <f>IF(G431="","",MAX(0, J431-$B$12))</f>
        <v/>
      </c>
      <c r="L431" s="100">
        <f>IF(G431="","",SQRT(K431))</f>
        <v/>
      </c>
      <c r="M431" s="98">
        <f>IF(G431="","",IF(K431&lt;=$B$10,"OK","NG"))</f>
        <v/>
      </c>
      <c r="N431" s="69">
        <f>IF(M431="","",IF(M431=D431,1,0))</f>
        <v/>
      </c>
      <c r="O431" s="100">
        <f>IF(G431="","",H431-G431)</f>
        <v/>
      </c>
      <c r="P431" s="100">
        <f>IF(G431="","",ABS(O431-Components!$D$2))</f>
        <v/>
      </c>
      <c r="Q431" s="100">
        <f>IF(G431="","",ABS(O431-Components!$D$3))</f>
        <v/>
      </c>
      <c r="R431" s="100">
        <f>IF(G431="","",ABS(O431-Components!$D$4))</f>
        <v/>
      </c>
      <c r="S431" s="100">
        <f>IF(G431="","",ABS(O431-Components!$D$5))</f>
        <v/>
      </c>
      <c r="T431" s="100">
        <f>IF(G431="","",ABS(O431-Components!$D$6))</f>
        <v/>
      </c>
      <c r="U431" s="100">
        <f>IF(G431="","",ABS(O431-Components!$D$7))</f>
        <v/>
      </c>
      <c r="V431" s="98">
        <f>IF(G431="","",IF(M431="OK","NONE",INDEX({"S1","S2","W1","W2","N1","N2"},MATCH(MIN(P431:U431),P431:U431,0))))</f>
        <v/>
      </c>
      <c r="W431" s="103">
        <f>IF(G431="","",IF(V431=E431,1,0))</f>
        <v/>
      </c>
    </row>
    <row r="432">
      <c r="A432" s="102">
        <f>'Runs Z score'!A420</f>
        <v/>
      </c>
      <c r="B432" s="98">
        <f>'Runs Z score'!B420</f>
        <v/>
      </c>
      <c r="C432" s="98">
        <f>'Runs Z score'!C420</f>
        <v/>
      </c>
      <c r="D432" s="98">
        <f>'Runs Z score'!D420</f>
        <v/>
      </c>
      <c r="E432" s="98">
        <f>'Runs Z score'!E420</f>
        <v/>
      </c>
      <c r="F432" s="98">
        <f>'Runs Z score'!F420</f>
        <v/>
      </c>
      <c r="G432" s="99">
        <f>'Runs Z score'!G420</f>
        <v/>
      </c>
      <c r="H432" s="100">
        <f>VLOOKUP(C432,Recipes!$A$2:$N$4,10,FALSE())</f>
        <v/>
      </c>
      <c r="I432" s="101">
        <f>VLOOKUP(C432,Recipes!$A$2:$N$4,12,FALSE())</f>
        <v/>
      </c>
      <c r="J432" s="101">
        <f>IF(G432="","",((G432-H432)/I432)^2)</f>
        <v/>
      </c>
      <c r="K432" s="101">
        <f>IF(G432="","",MAX(0, J432-$B$12))</f>
        <v/>
      </c>
      <c r="L432" s="100">
        <f>IF(G432="","",SQRT(K432))</f>
        <v/>
      </c>
      <c r="M432" s="98">
        <f>IF(G432="","",IF(K432&lt;=$B$10,"OK","NG"))</f>
        <v/>
      </c>
      <c r="N432" s="69">
        <f>IF(M432="","",IF(M432=D432,1,0))</f>
        <v/>
      </c>
      <c r="O432" s="100">
        <f>IF(G432="","",H432-G432)</f>
        <v/>
      </c>
      <c r="P432" s="100">
        <f>IF(G432="","",ABS(O432-Components!$D$2))</f>
        <v/>
      </c>
      <c r="Q432" s="100">
        <f>IF(G432="","",ABS(O432-Components!$D$3))</f>
        <v/>
      </c>
      <c r="R432" s="100">
        <f>IF(G432="","",ABS(O432-Components!$D$4))</f>
        <v/>
      </c>
      <c r="S432" s="100">
        <f>IF(G432="","",ABS(O432-Components!$D$5))</f>
        <v/>
      </c>
      <c r="T432" s="100">
        <f>IF(G432="","",ABS(O432-Components!$D$6))</f>
        <v/>
      </c>
      <c r="U432" s="100">
        <f>IF(G432="","",ABS(O432-Components!$D$7))</f>
        <v/>
      </c>
      <c r="V432" s="98">
        <f>IF(G432="","",IF(M432="OK","NONE",INDEX({"S1","S2","W1","W2","N1","N2"},MATCH(MIN(P432:U432),P432:U432,0))))</f>
        <v/>
      </c>
      <c r="W432" s="103">
        <f>IF(G432="","",IF(V432=E432,1,0))</f>
        <v/>
      </c>
    </row>
    <row r="433">
      <c r="A433" s="102">
        <f>'Runs Z score'!A421</f>
        <v/>
      </c>
      <c r="B433" s="98">
        <f>'Runs Z score'!B421</f>
        <v/>
      </c>
      <c r="C433" s="98">
        <f>'Runs Z score'!C421</f>
        <v/>
      </c>
      <c r="D433" s="98">
        <f>'Runs Z score'!D421</f>
        <v/>
      </c>
      <c r="E433" s="98">
        <f>'Runs Z score'!E421</f>
        <v/>
      </c>
      <c r="F433" s="98">
        <f>'Runs Z score'!F421</f>
        <v/>
      </c>
      <c r="G433" s="99">
        <f>'Runs Z score'!G421</f>
        <v/>
      </c>
      <c r="H433" s="100">
        <f>VLOOKUP(C433,Recipes!$A$2:$N$4,10,FALSE())</f>
        <v/>
      </c>
      <c r="I433" s="101">
        <f>VLOOKUP(C433,Recipes!$A$2:$N$4,12,FALSE())</f>
        <v/>
      </c>
      <c r="J433" s="101">
        <f>IF(G433="","",((G433-H433)/I433)^2)</f>
        <v/>
      </c>
      <c r="K433" s="101">
        <f>IF(G433="","",MAX(0, J433-$B$12))</f>
        <v/>
      </c>
      <c r="L433" s="100">
        <f>IF(G433="","",SQRT(K433))</f>
        <v/>
      </c>
      <c r="M433" s="98">
        <f>IF(G433="","",IF(K433&lt;=$B$10,"OK","NG"))</f>
        <v/>
      </c>
      <c r="N433" s="69">
        <f>IF(M433="","",IF(M433=D433,1,0))</f>
        <v/>
      </c>
      <c r="O433" s="100">
        <f>IF(G433="","",H433-G433)</f>
        <v/>
      </c>
      <c r="P433" s="100">
        <f>IF(G433="","",ABS(O433-Components!$D$2))</f>
        <v/>
      </c>
      <c r="Q433" s="100">
        <f>IF(G433="","",ABS(O433-Components!$D$3))</f>
        <v/>
      </c>
      <c r="R433" s="100">
        <f>IF(G433="","",ABS(O433-Components!$D$4))</f>
        <v/>
      </c>
      <c r="S433" s="100">
        <f>IF(G433="","",ABS(O433-Components!$D$5))</f>
        <v/>
      </c>
      <c r="T433" s="100">
        <f>IF(G433="","",ABS(O433-Components!$D$6))</f>
        <v/>
      </c>
      <c r="U433" s="100">
        <f>IF(G433="","",ABS(O433-Components!$D$7))</f>
        <v/>
      </c>
      <c r="V433" s="98">
        <f>IF(G433="","",IF(M433="OK","NONE",INDEX({"S1","S2","W1","W2","N1","N2"},MATCH(MIN(P433:U433),P433:U433,0))))</f>
        <v/>
      </c>
      <c r="W433" s="104">
        <f>IF(G433="","",IF(V433=E433,1,0))</f>
        <v/>
      </c>
    </row>
    <row r="434">
      <c r="A434" s="108">
        <f>'Runs Z score'!A422</f>
        <v/>
      </c>
      <c r="B434" s="109">
        <f>'Runs Z score'!B422</f>
        <v/>
      </c>
      <c r="C434" s="109">
        <f>'Runs Z score'!C422</f>
        <v/>
      </c>
      <c r="D434" s="109">
        <f>'Runs Z score'!D422</f>
        <v/>
      </c>
      <c r="E434" s="109">
        <f>'Runs Z score'!E422</f>
        <v/>
      </c>
      <c r="F434" s="109">
        <f>'Runs Z score'!F422</f>
        <v/>
      </c>
      <c r="G434" s="110">
        <f>'Runs Z score'!G422</f>
        <v/>
      </c>
      <c r="H434" s="111">
        <f>VLOOKUP(C434,Recipes!$A$2:$N$4,10,FALSE())</f>
        <v/>
      </c>
      <c r="I434" s="112">
        <f>VLOOKUP(C434,Recipes!$A$2:$N$4,12,FALSE())</f>
        <v/>
      </c>
      <c r="J434" s="112">
        <f>IF(G434="","",((G434-H434)/I434)^2)</f>
        <v/>
      </c>
      <c r="K434" s="112">
        <f>IF(G434="","",MAX(0, J434-$B$12))</f>
        <v/>
      </c>
      <c r="L434" s="111">
        <f>IF(G434="","",SQRT(K434))</f>
        <v/>
      </c>
      <c r="M434" s="109">
        <f>IF(G434="","",IF(K434&lt;=$B$10,"OK","NG"))</f>
        <v/>
      </c>
      <c r="N434" s="113">
        <f>IF(M434="","",IF(M434=D434,1,0))</f>
        <v/>
      </c>
      <c r="O434" s="111">
        <f>IF(G434="","",H434-G434)</f>
        <v/>
      </c>
      <c r="P434" s="111">
        <f>IF(G434="","",ABS(O434-Components!$D$2))</f>
        <v/>
      </c>
      <c r="Q434" s="111">
        <f>IF(G434="","",ABS(O434-Components!$D$3))</f>
        <v/>
      </c>
      <c r="R434" s="111">
        <f>IF(G434="","",ABS(O434-Components!$D$4))</f>
        <v/>
      </c>
      <c r="S434" s="111">
        <f>IF(G434="","",ABS(O434-Components!$D$5))</f>
        <v/>
      </c>
      <c r="T434" s="111">
        <f>IF(G434="","",ABS(O434-Components!$D$6))</f>
        <v/>
      </c>
      <c r="U434" s="111">
        <f>IF(G434="","",ABS(O434-Components!$D$7))</f>
        <v/>
      </c>
      <c r="V434" s="109">
        <f>IF(G434="","",IF(M434="OK","NONE",INDEX({"S1","S2","W1","W2","N1","N2"},MATCH(MIN(P434:U434),P434:U434,0))))</f>
        <v/>
      </c>
      <c r="W434" s="114">
        <f>IF(G434="","",IF(V434=E434,1,0))</f>
        <v/>
      </c>
    </row>
    <row r="437">
      <c r="A437" s="165" t="inlineStr">
        <is>
          <t>RESUMEN MAHALANOBIS</t>
        </is>
      </c>
    </row>
    <row r="438">
      <c r="A438" t="inlineStr">
        <is>
          <t>Total runs</t>
        </is>
      </c>
      <c r="B438" s="58">
        <f>COUNTA(G15:G434)</f>
        <v/>
      </c>
    </row>
    <row r="439">
      <c r="A439" t="inlineStr">
        <is>
          <t>L1 Accuracy (global)</t>
        </is>
      </c>
      <c r="B439" s="58">
        <f>IFERROR(AVERAGE(N15:N434),0)</f>
        <v/>
      </c>
    </row>
    <row r="440">
      <c r="A440" t="inlineStr">
        <is>
          <t>L2 Accuracy (NG only)</t>
        </is>
      </c>
      <c r="B440" s="58">
        <f>IFERROR(AVERAGEIFS(W15:W434,D15:D434,"NG"),0)</f>
        <v/>
      </c>
    </row>
    <row r="441">
      <c r="A441" t="inlineStr">
        <is>
          <t>False Positives (OK-&gt;NG)</t>
        </is>
      </c>
      <c r="B441" s="58">
        <f>COUNTIFS(D15:D434,"OK",M15:M434,"NG")</f>
        <v/>
      </c>
    </row>
    <row r="442">
      <c r="A442" t="inlineStr">
        <is>
          <t>False Negatives (NG-&gt;OK)</t>
        </is>
      </c>
      <c r="B442" s="58">
        <f>COUNTIFS(D15:D434,"NG",M15:M434,"OK")</f>
        <v/>
      </c>
    </row>
    <row r="443">
      <c r="A443" t="inlineStr">
        <is>
          <t>True Positives (NG-&gt;NG)</t>
        </is>
      </c>
      <c r="B443" s="58">
        <f>COUNTIFS(D15:D434,"NG",M15:M434,"NG")</f>
        <v/>
      </c>
    </row>
    <row r="444">
      <c r="A444" t="inlineStr">
        <is>
          <t>True Negatives (OK-&gt;OK)</t>
        </is>
      </c>
      <c r="B444" s="58">
        <f>COUNTIFS(D15:D434,"OK",M15:M434,"OK")</f>
        <v/>
      </c>
    </row>
    <row r="447">
      <c r="A447" s="165" t="inlineStr">
        <is>
          <t>POR RECETA</t>
        </is>
      </c>
    </row>
    <row r="448">
      <c r="A448" s="55" t="inlineStr">
        <is>
          <t>Recipe</t>
        </is>
      </c>
      <c r="B448" s="55" t="inlineStr">
        <is>
          <t>L1 Acc</t>
        </is>
      </c>
      <c r="C448" s="55" t="inlineStr">
        <is>
          <t>L2 Acc</t>
        </is>
      </c>
    </row>
    <row r="449">
      <c r="A449" t="inlineStr">
        <is>
          <t>R3</t>
        </is>
      </c>
      <c r="B449">
        <f>IFERROR(AVERAGEIFS(N15:N434,C15:C434,"R3"),0)</f>
        <v/>
      </c>
      <c r="C449">
        <f>IFERROR(AVERAGEIFS(W15:W434,C15:C434,"R3",D15:D434,"NG"),0)</f>
        <v/>
      </c>
    </row>
    <row r="450">
      <c r="A450" t="inlineStr">
        <is>
          <t>R4</t>
        </is>
      </c>
      <c r="B450">
        <f>IFERROR(AVERAGEIFS(N15:N434,C15:C434,"R4"),0)</f>
        <v/>
      </c>
      <c r="C450">
        <f>IFERROR(AVERAGEIFS(W15:W434,C15:C434,"R4",D15:D434,"NG"),0)</f>
        <v/>
      </c>
    </row>
    <row r="451">
      <c r="A451" t="inlineStr">
        <is>
          <t>R6</t>
        </is>
      </c>
      <c r="B451">
        <f>IFERROR(AVERAGEIFS(N15:N434,C15:C434,"R6"),0)</f>
        <v/>
      </c>
      <c r="C451">
        <f>IFERROR(AVERAGEIFS(W15:W434,C15:C434,"R6",D15:D434,"NG"),0)</f>
        <v/>
      </c>
    </row>
    <row r="454">
      <c r="A454" s="59" t="inlineStr">
        <is>
          <t>NOTAS</t>
        </is>
      </c>
    </row>
    <row r="455">
      <c r="A455" s="162" t="inlineStr">
        <is>
          <t>Con P=1 (una sola variable), D = |w−μ|/σ es matemáticamente igual al z-score.</t>
        </is>
      </c>
    </row>
    <row r="456">
      <c r="A456" s="162" t="inlineStr">
        <is>
          <t>La diferencia frente al z-score actual está en DOS puntos del paper:</t>
        </is>
      </c>
    </row>
    <row r="457">
      <c r="A457" s="162" t="inlineStr">
        <is>
          <t xml:space="preserve">  (1) Umbral calibrado con distribución F de Hotelling (eq. 4.31), NO con k=3 fijo.</t>
        </is>
      </c>
    </row>
    <row r="458">
      <c r="A458" s="162" t="inlineStr">
        <is>
          <t xml:space="preserve">  (2) Corrección de sesgo de muestras finitas: D² = D1² − 2P/n (eq. 4.12).</t>
        </is>
      </c>
    </row>
    <row r="459">
      <c r="A459" s="162" t="inlineStr">
        <is>
          <t>Con n=30, el sesgo es 0.067 y el umbral D² es 12.55 (en vez del 9 implícito en z=3).</t>
        </is>
      </c>
    </row>
    <row r="460">
      <c r="A460" s="162" t="inlineStr">
        <is>
          <t>Cuando agregues más variables (temperatura, humedad), Σ⁻¹ capturará correlaciones</t>
        </is>
      </c>
    </row>
    <row r="461">
      <c r="A461" s="162" t="inlineStr">
        <is>
          <t>que dos z-scores separados no pueden capturar.</t>
        </is>
      </c>
    </row>
    <row r="462">
      <c r="A462" s="162" t="inlineStr">
        <is>
          <t>L2 usa el déficit observado contra μ de cada componente (consistente con tu L2 actual),</t>
        </is>
      </c>
    </row>
    <row r="463">
      <c r="A463" s="162" t="inlineStr">
        <is>
          <t>ya que con P=1 no aporta el factor distintivo de Mahalanobis a nivel de identificación.</t>
        </is>
      </c>
    </row>
  </sheetData>
  <mergeCells count="13">
    <mergeCell ref="A456:H456"/>
    <mergeCell ref="A457:H457"/>
    <mergeCell ref="A460:H460"/>
    <mergeCell ref="A458:H458"/>
    <mergeCell ref="A2:H2"/>
    <mergeCell ref="A455:H455"/>
    <mergeCell ref="A462:H462"/>
    <mergeCell ref="A463:H463"/>
    <mergeCell ref="A459:H459"/>
    <mergeCell ref="A461:H461"/>
    <mergeCell ref="A1:H1"/>
    <mergeCell ref="A4:C4"/>
    <mergeCell ref="A437:C437"/>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X457"/>
  <sheetViews>
    <sheetView topLeftCell="C1" workbookViewId="0">
      <pane ySplit="9" topLeftCell="A25" activePane="bottomLeft" state="frozen"/>
      <selection activeCell="A1" sqref="A1:X1"/>
      <selection pane="bottomLeft" activeCell="A1" sqref="A1:X1"/>
    </sheetView>
  </sheetViews>
  <sheetFormatPr baseColWidth="8" defaultRowHeight="15"/>
  <cols>
    <col width="30.7109375" bestFit="1" customWidth="1" style="180" min="1" max="1"/>
    <col width="18" customWidth="1" style="180" min="2" max="4"/>
    <col width="19" customWidth="1" style="180" min="5" max="5"/>
    <col width="18" customWidth="1" style="180" min="6" max="6"/>
    <col width="19" customWidth="1" style="180" min="7" max="7"/>
    <col width="17" customWidth="1" style="180" min="8" max="8"/>
    <col width="14" customWidth="1" style="180" min="9" max="9"/>
    <col width="9" customWidth="1" style="180" min="10" max="10"/>
    <col width="10" bestFit="1" customWidth="1" style="180" min="11" max="14"/>
    <col width="8" customWidth="1" style="180" min="15" max="15"/>
    <col width="9" bestFit="1" customWidth="1" style="180" min="16" max="16"/>
    <col width="8.7109375" customWidth="1" style="180" min="17" max="18"/>
    <col width="9.140625" customWidth="1" style="180" min="19" max="19"/>
    <col width="17.140625" customWidth="1" style="180" min="20" max="20"/>
    <col width="12" customWidth="1" style="180" min="21" max="21"/>
    <col width="19" customWidth="1" style="180" min="22" max="22"/>
    <col width="12" customWidth="1" style="180" min="23" max="23"/>
    <col width="11.5703125" customWidth="1" style="180" min="24" max="24"/>
  </cols>
  <sheetData>
    <row r="1" ht="18.75" customHeight="1" s="180">
      <c r="A1" s="164" t="inlineStr">
        <is>
          <t>GAUSSIAN MIXTURE MODEL (GMM) L1 + L2</t>
        </is>
      </c>
    </row>
    <row r="2">
      <c r="A2" s="163" t="inlineStr">
        <is>
          <t>McLachlan &amp; Peel (2000). 'Finite Mixture Models'. Wiley. ISBN: 978-0471006268</t>
        </is>
      </c>
    </row>
    <row r="4">
      <c r="A4" s="165" t="inlineStr">
        <is>
          <t>PARÁMETROS DEL CLASIFICADOR</t>
        </is>
      </c>
    </row>
    <row r="5">
      <c r="A5" s="55" t="inlineStr">
        <is>
          <t>Parámetro</t>
        </is>
      </c>
      <c r="B5" s="55" t="inlineStr">
        <is>
          <t>Valor</t>
        </is>
      </c>
      <c r="C5" s="55" t="inlineStr">
        <is>
          <t>Descripción</t>
        </is>
      </c>
    </row>
    <row r="6">
      <c r="A6" t="inlineStr">
        <is>
          <t>Umbral L1 (k sigma para OK/NG)</t>
        </is>
      </c>
      <c r="B6" s="57" t="n">
        <v>3</v>
      </c>
      <c r="C6" t="inlineStr">
        <is>
          <t>Mismo umbral que Z-score para comparabilidad</t>
        </is>
      </c>
    </row>
    <row r="7">
      <c r="A7" t="inlineStr">
        <is>
          <t>Margen AMBIGUOUS</t>
        </is>
      </c>
      <c r="B7" s="57" t="n">
        <v>0.15</v>
      </c>
      <c r="C7" t="inlineStr">
        <is>
          <t>Si |P_1ra − P_2da| &lt; 0.15 → flag AMBIGUOUS</t>
        </is>
      </c>
    </row>
    <row r="9" ht="30" customHeight="1" s="180" thickBot="1">
      <c r="A9" s="105" t="inlineStr">
        <is>
          <t>run_id</t>
        </is>
      </c>
      <c r="B9" s="106" t="inlineStr">
        <is>
          <t>execution_order</t>
        </is>
      </c>
      <c r="C9" s="106" t="inlineStr">
        <is>
          <t>recipe</t>
        </is>
      </c>
      <c r="D9" s="106" t="inlineStr">
        <is>
          <t>condition</t>
        </is>
      </c>
      <c r="E9" s="106" t="inlineStr">
        <is>
          <t>missing_component</t>
        </is>
      </c>
      <c r="F9" s="106" t="inlineStr">
        <is>
          <t>kit_id</t>
        </is>
      </c>
      <c r="G9" s="106" t="inlineStr">
        <is>
          <t>measured_weight_g</t>
        </is>
      </c>
      <c r="H9" s="106" t="inlineStr">
        <is>
          <t>expected_weight</t>
        </is>
      </c>
      <c r="I9" s="106" t="inlineStr">
        <is>
          <t>expected_std</t>
        </is>
      </c>
      <c r="J9" s="106" t="inlineStr">
        <is>
          <t>deficit</t>
        </is>
      </c>
      <c r="K9" s="106" t="inlineStr">
        <is>
          <t>L_S1</t>
        </is>
      </c>
      <c r="L9" s="106" t="inlineStr">
        <is>
          <t>L_S2</t>
        </is>
      </c>
      <c r="M9" s="106" t="inlineStr">
        <is>
          <t>L_W1</t>
        </is>
      </c>
      <c r="N9" s="106" t="inlineStr">
        <is>
          <t>L_W2</t>
        </is>
      </c>
      <c r="O9" s="106" t="inlineStr">
        <is>
          <t>L_N1</t>
        </is>
      </c>
      <c r="P9" s="106" t="inlineStr">
        <is>
          <t>L_N2</t>
        </is>
      </c>
      <c r="Q9" s="106" t="inlineStr">
        <is>
          <t>P_top1</t>
        </is>
      </c>
      <c r="R9" s="106" t="inlineStr">
        <is>
          <t>P_top2</t>
        </is>
      </c>
      <c r="S9" s="106" t="inlineStr">
        <is>
          <t>margen</t>
        </is>
      </c>
      <c r="T9" s="106" t="inlineStr">
        <is>
          <t>predicted_OK_NG</t>
        </is>
      </c>
      <c r="U9" s="106" t="inlineStr">
        <is>
          <t>L1_correct</t>
        </is>
      </c>
      <c r="V9" s="106" t="inlineStr">
        <is>
          <t>predicted_missing</t>
        </is>
      </c>
      <c r="W9" s="106" t="inlineStr">
        <is>
          <t>L2_correct</t>
        </is>
      </c>
      <c r="X9" s="107" t="inlineStr">
        <is>
          <t>ambiguous</t>
        </is>
      </c>
    </row>
    <row r="10">
      <c r="A10" s="102">
        <f>'Runs Z score'!A3</f>
        <v/>
      </c>
      <c r="B10" s="98">
        <f>'Runs Z score'!B3</f>
        <v/>
      </c>
      <c r="C10" s="98">
        <f>'Runs Z score'!C3</f>
        <v/>
      </c>
      <c r="D10" s="98">
        <f>'Runs Z score'!D3</f>
        <v/>
      </c>
      <c r="E10" s="98">
        <f>'Runs Z score'!E3</f>
        <v/>
      </c>
      <c r="F10" s="98">
        <f>'Runs Z score'!F3</f>
        <v/>
      </c>
      <c r="G10" s="99">
        <f>'Runs Z score'!G3</f>
        <v/>
      </c>
      <c r="H10" s="100">
        <f>VLOOKUP(C10,Recipes!$A$2:$N$4,10,FALSE())</f>
        <v/>
      </c>
      <c r="I10" s="101">
        <f>VLOOKUP(C10,Recipes!$A$2:$N$4,12,FALSE())</f>
        <v/>
      </c>
      <c r="J10" s="100">
        <f>IF(G10="","",H10-G10)</f>
        <v/>
      </c>
      <c r="K10" s="100">
        <f>IF(G10="","",-0.5*((J10-Components!$D$2)/Components!$E$2)^2)</f>
        <v/>
      </c>
      <c r="L10" s="100">
        <f>IF(G10="","",-0.5*((J10-Components!$D$3)/Components!$E$3)^2)</f>
        <v/>
      </c>
      <c r="M10" s="100">
        <f>IF(G10="","",-0.5*((J10-Components!$D$4)/Components!$E$4)^2)</f>
        <v/>
      </c>
      <c r="N10" s="100">
        <f>IF(G10="","",-0.5*((J10-Components!$D$5)/Components!$E$5)^2)</f>
        <v/>
      </c>
      <c r="O10" s="100">
        <f>IF(G10="","",-0.5*((J10-Components!$D$6)/Components!$E$6)^2)</f>
        <v/>
      </c>
      <c r="P10" s="100">
        <f>IF(G10="","",-0.5*((J10-Components!$D$7)/Components!$E$7)^2)</f>
        <v/>
      </c>
      <c r="Q10" s="100">
        <f>IF(G10="","",EXP(LARGE(K10:P10,1)-MAX(K10:P10))/(EXP(K10-MAX(K10:P10))+EXP(L10-MAX(K10:P10))+EXP(M10-MAX(K10:P10))+EXP(N10-MAX(K10:P10))+EXP(O10-MAX(K10:P10))+EXP(P10-MAX(K10:P10))))</f>
        <v/>
      </c>
      <c r="R10" s="100">
        <f>IF(G10="","",EXP(LARGE(K10:P10,2)-MAX(K10:P10))/(EXP(K10-MAX(K10:P10))+EXP(L10-MAX(K10:P10))+EXP(M10-MAX(K10:P10))+EXP(N10-MAX(K10:P10))+EXP(O10-MAX(K10:P10))+EXP(P10-MAX(K10:P10))))</f>
        <v/>
      </c>
      <c r="S10" s="100">
        <f>IF(G10="","",Q10-R10)</f>
        <v/>
      </c>
      <c r="T10" s="98">
        <f>IF(G10="","",IF(AND(G10&gt;=H10-$B$6*I10,G10&lt;=H10+$B$6*I10),"OK","NG"))</f>
        <v/>
      </c>
      <c r="U10" s="69">
        <f>IF(T10="","",IF(T10=D10,1,0))</f>
        <v/>
      </c>
      <c r="V10" s="98">
        <f>IF(G10="","",IF(T10="OK","NONE",INDEX({"S1","S2","W1","W2","N1","N2"},MATCH(MAX(K10:P10),K10:P10,0))))</f>
        <v/>
      </c>
      <c r="W10" s="69">
        <f>IF(G10="","",IF(V10=E10,1,0))</f>
        <v/>
      </c>
      <c r="X10" s="115">
        <f>IF(G10="","",IF(AND(T10="NG",S10&lt;$B$7),"AMBIGUOUS","CONFIDENT"))</f>
        <v/>
      </c>
    </row>
    <row r="11">
      <c r="A11" s="102">
        <f>'Runs Z score'!A4</f>
        <v/>
      </c>
      <c r="B11" s="98">
        <f>'Runs Z score'!B4</f>
        <v/>
      </c>
      <c r="C11" s="98">
        <f>'Runs Z score'!C4</f>
        <v/>
      </c>
      <c r="D11" s="98">
        <f>'Runs Z score'!D4</f>
        <v/>
      </c>
      <c r="E11" s="98">
        <f>'Runs Z score'!E4</f>
        <v/>
      </c>
      <c r="F11" s="98">
        <f>'Runs Z score'!F4</f>
        <v/>
      </c>
      <c r="G11" s="99">
        <f>'Runs Z score'!G4</f>
        <v/>
      </c>
      <c r="H11" s="100">
        <f>VLOOKUP(C11,Recipes!$A$2:$N$4,10,FALSE())</f>
        <v/>
      </c>
      <c r="I11" s="101">
        <f>VLOOKUP(C11,Recipes!$A$2:$N$4,12,FALSE())</f>
        <v/>
      </c>
      <c r="J11" s="100">
        <f>IF(G11="","",H11-G11)</f>
        <v/>
      </c>
      <c r="K11" s="100">
        <f>IF(G11="","",-0.5*((J11-Components!$D$2)/Components!$E$2)^2)</f>
        <v/>
      </c>
      <c r="L11" s="100">
        <f>IF(G11="","",-0.5*((J11-Components!$D$3)/Components!$E$3)^2)</f>
        <v/>
      </c>
      <c r="M11" s="100">
        <f>IF(G11="","",-0.5*((J11-Components!$D$4)/Components!$E$4)^2)</f>
        <v/>
      </c>
      <c r="N11" s="100">
        <f>IF(G11="","",-0.5*((J11-Components!$D$5)/Components!$E$5)^2)</f>
        <v/>
      </c>
      <c r="O11" s="100">
        <f>IF(G11="","",-0.5*((J11-Components!$D$6)/Components!$E$6)^2)</f>
        <v/>
      </c>
      <c r="P11" s="100">
        <f>IF(G11="","",-0.5*((J11-Components!$D$7)/Components!$E$7)^2)</f>
        <v/>
      </c>
      <c r="Q11" s="100">
        <f>IF(G11="","",EXP(LARGE(K11:P11,1)-MAX(K11:P11))/(EXP(K11-MAX(K11:P11))+EXP(L11-MAX(K11:P11))+EXP(M11-MAX(K11:P11))+EXP(N11-MAX(K11:P11))+EXP(O11-MAX(K11:P11))+EXP(P11-MAX(K11:P11))))</f>
        <v/>
      </c>
      <c r="R11" s="100">
        <f>IF(G11="","",EXP(LARGE(K11:P11,2)-MAX(K11:P11))/(EXP(K11-MAX(K11:P11))+EXP(L11-MAX(K11:P11))+EXP(M11-MAX(K11:P11))+EXP(N11-MAX(K11:P11))+EXP(O11-MAX(K11:P11))+EXP(P11-MAX(K11:P11))))</f>
        <v/>
      </c>
      <c r="S11" s="100">
        <f>IF(G11="","",Q11-R11)</f>
        <v/>
      </c>
      <c r="T11" s="98">
        <f>IF(G11="","",IF(AND(G11&gt;=H11-$B$6*I11,G11&lt;=H11+$B$6*I11),"OK","NG"))</f>
        <v/>
      </c>
      <c r="U11" s="69">
        <f>IF(T11="","",IF(T11=D11,1,0))</f>
        <v/>
      </c>
      <c r="V11" s="98">
        <f>IF(G11="","",IF(T11="OK","NONE",INDEX({"S1","S2","W1","W2","N1","N2"},MATCH(MAX(K11:P11),K11:P11,0))))</f>
        <v/>
      </c>
      <c r="W11" s="69">
        <f>IF(G11="","",IF(V11=E11,1,0))</f>
        <v/>
      </c>
      <c r="X11" s="115">
        <f>IF(G11="","",IF(AND(T11="NG",S11&lt;$B$7),"AMBIGUOUS","CONFIDENT"))</f>
        <v/>
      </c>
    </row>
    <row r="12">
      <c r="A12" s="102">
        <f>'Runs Z score'!A5</f>
        <v/>
      </c>
      <c r="B12" s="98">
        <f>'Runs Z score'!B5</f>
        <v/>
      </c>
      <c r="C12" s="98">
        <f>'Runs Z score'!C5</f>
        <v/>
      </c>
      <c r="D12" s="98">
        <f>'Runs Z score'!D5</f>
        <v/>
      </c>
      <c r="E12" s="98">
        <f>'Runs Z score'!E5</f>
        <v/>
      </c>
      <c r="F12" s="98">
        <f>'Runs Z score'!F5</f>
        <v/>
      </c>
      <c r="G12" s="99">
        <f>'Runs Z score'!G5</f>
        <v/>
      </c>
      <c r="H12" s="100">
        <f>VLOOKUP(C12,Recipes!$A$2:$N$4,10,FALSE())</f>
        <v/>
      </c>
      <c r="I12" s="101">
        <f>VLOOKUP(C12,Recipes!$A$2:$N$4,12,FALSE())</f>
        <v/>
      </c>
      <c r="J12" s="100">
        <f>IF(G12="","",H12-G12)</f>
        <v/>
      </c>
      <c r="K12" s="100">
        <f>IF(G12="","",-0.5*((J12-Components!$D$2)/Components!$E$2)^2)</f>
        <v/>
      </c>
      <c r="L12" s="100">
        <f>IF(G12="","",-0.5*((J12-Components!$D$3)/Components!$E$3)^2)</f>
        <v/>
      </c>
      <c r="M12" s="100">
        <f>IF(G12="","",-0.5*((J12-Components!$D$4)/Components!$E$4)^2)</f>
        <v/>
      </c>
      <c r="N12" s="100">
        <f>IF(G12="","",-0.5*((J12-Components!$D$5)/Components!$E$5)^2)</f>
        <v/>
      </c>
      <c r="O12" s="100">
        <f>IF(G12="","",-0.5*((J12-Components!$D$6)/Components!$E$6)^2)</f>
        <v/>
      </c>
      <c r="P12" s="100">
        <f>IF(G12="","",-0.5*((J12-Components!$D$7)/Components!$E$7)^2)</f>
        <v/>
      </c>
      <c r="Q12" s="100">
        <f>IF(G12="","",EXP(LARGE(K12:P12,1)-MAX(K12:P12))/(EXP(K12-MAX(K12:P12))+EXP(L12-MAX(K12:P12))+EXP(M12-MAX(K12:P12))+EXP(N12-MAX(K12:P12))+EXP(O12-MAX(K12:P12))+EXP(P12-MAX(K12:P12))))</f>
        <v/>
      </c>
      <c r="R12" s="100">
        <f>IF(G12="","",EXP(LARGE(K12:P12,2)-MAX(K12:P12))/(EXP(K12-MAX(K12:P12))+EXP(L12-MAX(K12:P12))+EXP(M12-MAX(K12:P12))+EXP(N12-MAX(K12:P12))+EXP(O12-MAX(K12:P12))+EXP(P12-MAX(K12:P12))))</f>
        <v/>
      </c>
      <c r="S12" s="100">
        <f>IF(G12="","",Q12-R12)</f>
        <v/>
      </c>
      <c r="T12" s="98">
        <f>IF(G12="","",IF(AND(G12&gt;=H12-$B$6*I12,G12&lt;=H12+$B$6*I12),"OK","NG"))</f>
        <v/>
      </c>
      <c r="U12" s="69">
        <f>IF(T12="","",IF(T12=D12,1,0))</f>
        <v/>
      </c>
      <c r="V12" s="98">
        <f>IF(G12="","",IF(T12="OK","NONE",INDEX({"S1","S2","W1","W2","N1","N2"},MATCH(MAX(K12:P12),K12:P12,0))))</f>
        <v/>
      </c>
      <c r="W12" s="69">
        <f>IF(G12="","",IF(V12=E12,1,0))</f>
        <v/>
      </c>
      <c r="X12" s="115">
        <f>IF(G12="","",IF(AND(T12="NG",S12&lt;$B$7),"AMBIGUOUS","CONFIDENT"))</f>
        <v/>
      </c>
    </row>
    <row r="13">
      <c r="A13" s="102">
        <f>'Runs Z score'!A6</f>
        <v/>
      </c>
      <c r="B13" s="98">
        <f>'Runs Z score'!B6</f>
        <v/>
      </c>
      <c r="C13" s="98">
        <f>'Runs Z score'!C6</f>
        <v/>
      </c>
      <c r="D13" s="98">
        <f>'Runs Z score'!D6</f>
        <v/>
      </c>
      <c r="E13" s="98">
        <f>'Runs Z score'!E6</f>
        <v/>
      </c>
      <c r="F13" s="98">
        <f>'Runs Z score'!F6</f>
        <v/>
      </c>
      <c r="G13" s="99">
        <f>'Runs Z score'!G6</f>
        <v/>
      </c>
      <c r="H13" s="100">
        <f>VLOOKUP(C13,Recipes!$A$2:$N$4,10,FALSE())</f>
        <v/>
      </c>
      <c r="I13" s="101">
        <f>VLOOKUP(C13,Recipes!$A$2:$N$4,12,FALSE())</f>
        <v/>
      </c>
      <c r="J13" s="100">
        <f>IF(G13="","",H13-G13)</f>
        <v/>
      </c>
      <c r="K13" s="100">
        <f>IF(G13="","",-0.5*((J13-Components!$D$2)/Components!$E$2)^2)</f>
        <v/>
      </c>
      <c r="L13" s="100">
        <f>IF(G13="","",-0.5*((J13-Components!$D$3)/Components!$E$3)^2)</f>
        <v/>
      </c>
      <c r="M13" s="100">
        <f>IF(G13="","",-0.5*((J13-Components!$D$4)/Components!$E$4)^2)</f>
        <v/>
      </c>
      <c r="N13" s="100">
        <f>IF(G13="","",-0.5*((J13-Components!$D$5)/Components!$E$5)^2)</f>
        <v/>
      </c>
      <c r="O13" s="100">
        <f>IF(G13="","",-0.5*((J13-Components!$D$6)/Components!$E$6)^2)</f>
        <v/>
      </c>
      <c r="P13" s="100">
        <f>IF(G13="","",-0.5*((J13-Components!$D$7)/Components!$E$7)^2)</f>
        <v/>
      </c>
      <c r="Q13" s="100">
        <f>IF(G13="","",EXP(LARGE(K13:P13,1)-MAX(K13:P13))/(EXP(K13-MAX(K13:P13))+EXP(L13-MAX(K13:P13))+EXP(M13-MAX(K13:P13))+EXP(N13-MAX(K13:P13))+EXP(O13-MAX(K13:P13))+EXP(P13-MAX(K13:P13))))</f>
        <v/>
      </c>
      <c r="R13" s="100">
        <f>IF(G13="","",EXP(LARGE(K13:P13,2)-MAX(K13:P13))/(EXP(K13-MAX(K13:P13))+EXP(L13-MAX(K13:P13))+EXP(M13-MAX(K13:P13))+EXP(N13-MAX(K13:P13))+EXP(O13-MAX(K13:P13))+EXP(P13-MAX(K13:P13))))</f>
        <v/>
      </c>
      <c r="S13" s="100">
        <f>IF(G13="","",Q13-R13)</f>
        <v/>
      </c>
      <c r="T13" s="98">
        <f>IF(G13="","",IF(AND(G13&gt;=H13-$B$6*I13,G13&lt;=H13+$B$6*I13),"OK","NG"))</f>
        <v/>
      </c>
      <c r="U13" s="69">
        <f>IF(T13="","",IF(T13=D13,1,0))</f>
        <v/>
      </c>
      <c r="V13" s="98">
        <f>IF(G13="","",IF(T13="OK","NONE",INDEX({"S1","S2","W1","W2","N1","N2"},MATCH(MAX(K13:P13),K13:P13,0))))</f>
        <v/>
      </c>
      <c r="W13" s="69">
        <f>IF(G13="","",IF(V13=E13,1,0))</f>
        <v/>
      </c>
      <c r="X13" s="115">
        <f>IF(G13="","",IF(AND(T13="NG",S13&lt;$B$7),"AMBIGUOUS","CONFIDENT"))</f>
        <v/>
      </c>
    </row>
    <row r="14">
      <c r="A14" s="102">
        <f>'Runs Z score'!A7</f>
        <v/>
      </c>
      <c r="B14" s="98">
        <f>'Runs Z score'!B7</f>
        <v/>
      </c>
      <c r="C14" s="98">
        <f>'Runs Z score'!C7</f>
        <v/>
      </c>
      <c r="D14" s="98">
        <f>'Runs Z score'!D7</f>
        <v/>
      </c>
      <c r="E14" s="98">
        <f>'Runs Z score'!E7</f>
        <v/>
      </c>
      <c r="F14" s="98">
        <f>'Runs Z score'!F7</f>
        <v/>
      </c>
      <c r="G14" s="99">
        <f>'Runs Z score'!G7</f>
        <v/>
      </c>
      <c r="H14" s="100">
        <f>VLOOKUP(C14,Recipes!$A$2:$N$4,10,FALSE())</f>
        <v/>
      </c>
      <c r="I14" s="101">
        <f>VLOOKUP(C14,Recipes!$A$2:$N$4,12,FALSE())</f>
        <v/>
      </c>
      <c r="J14" s="100">
        <f>IF(G14="","",H14-G14)</f>
        <v/>
      </c>
      <c r="K14" s="100">
        <f>IF(G14="","",-0.5*((J14-Components!$D$2)/Components!$E$2)^2)</f>
        <v/>
      </c>
      <c r="L14" s="100">
        <f>IF(G14="","",-0.5*((J14-Components!$D$3)/Components!$E$3)^2)</f>
        <v/>
      </c>
      <c r="M14" s="100">
        <f>IF(G14="","",-0.5*((J14-Components!$D$4)/Components!$E$4)^2)</f>
        <v/>
      </c>
      <c r="N14" s="100">
        <f>IF(G14="","",-0.5*((J14-Components!$D$5)/Components!$E$5)^2)</f>
        <v/>
      </c>
      <c r="O14" s="100">
        <f>IF(G14="","",-0.5*((J14-Components!$D$6)/Components!$E$6)^2)</f>
        <v/>
      </c>
      <c r="P14" s="100">
        <f>IF(G14="","",-0.5*((J14-Components!$D$7)/Components!$E$7)^2)</f>
        <v/>
      </c>
      <c r="Q14" s="100">
        <f>IF(G14="","",EXP(LARGE(K14:P14,1)-MAX(K14:P14))/(EXP(K14-MAX(K14:P14))+EXP(L14-MAX(K14:P14))+EXP(M14-MAX(K14:P14))+EXP(N14-MAX(K14:P14))+EXP(O14-MAX(K14:P14))+EXP(P14-MAX(K14:P14))))</f>
        <v/>
      </c>
      <c r="R14" s="100">
        <f>IF(G14="","",EXP(LARGE(K14:P14,2)-MAX(K14:P14))/(EXP(K14-MAX(K14:P14))+EXP(L14-MAX(K14:P14))+EXP(M14-MAX(K14:P14))+EXP(N14-MAX(K14:P14))+EXP(O14-MAX(K14:P14))+EXP(P14-MAX(K14:P14))))</f>
        <v/>
      </c>
      <c r="S14" s="100">
        <f>IF(G14="","",Q14-R14)</f>
        <v/>
      </c>
      <c r="T14" s="98">
        <f>IF(G14="","",IF(AND(G14&gt;=H14-$B$6*I14,G14&lt;=H14+$B$6*I14),"OK","NG"))</f>
        <v/>
      </c>
      <c r="U14" s="69">
        <f>IF(T14="","",IF(T14=D14,1,0))</f>
        <v/>
      </c>
      <c r="V14" s="98">
        <f>IF(G14="","",IF(T14="OK","NONE",INDEX({"S1","S2","W1","W2","N1","N2"},MATCH(MAX(K14:P14),K14:P14,0))))</f>
        <v/>
      </c>
      <c r="W14" s="69">
        <f>IF(G14="","",IF(V14=E14,1,0))</f>
        <v/>
      </c>
      <c r="X14" s="115">
        <f>IF(G14="","",IF(AND(T14="NG",S14&lt;$B$7),"AMBIGUOUS","CONFIDENT"))</f>
        <v/>
      </c>
    </row>
    <row r="15">
      <c r="A15" s="102">
        <f>'Runs Z score'!A8</f>
        <v/>
      </c>
      <c r="B15" s="98">
        <f>'Runs Z score'!B8</f>
        <v/>
      </c>
      <c r="C15" s="98">
        <f>'Runs Z score'!C8</f>
        <v/>
      </c>
      <c r="D15" s="98">
        <f>'Runs Z score'!D8</f>
        <v/>
      </c>
      <c r="E15" s="98">
        <f>'Runs Z score'!E8</f>
        <v/>
      </c>
      <c r="F15" s="98">
        <f>'Runs Z score'!F8</f>
        <v/>
      </c>
      <c r="G15" s="99">
        <f>'Runs Z score'!G8</f>
        <v/>
      </c>
      <c r="H15" s="100">
        <f>VLOOKUP(C15,Recipes!$A$2:$N$4,10,FALSE())</f>
        <v/>
      </c>
      <c r="I15" s="101">
        <f>VLOOKUP(C15,Recipes!$A$2:$N$4,12,FALSE())</f>
        <v/>
      </c>
      <c r="J15" s="100">
        <f>IF(G15="","",H15-G15)</f>
        <v/>
      </c>
      <c r="K15" s="100">
        <f>IF(G15="","",-0.5*((J15-Components!$D$2)/Components!$E$2)^2)</f>
        <v/>
      </c>
      <c r="L15" s="100">
        <f>IF(G15="","",-0.5*((J15-Components!$D$3)/Components!$E$3)^2)</f>
        <v/>
      </c>
      <c r="M15" s="100">
        <f>IF(G15="","",-0.5*((J15-Components!$D$4)/Components!$E$4)^2)</f>
        <v/>
      </c>
      <c r="N15" s="100">
        <f>IF(G15="","",-0.5*((J15-Components!$D$5)/Components!$E$5)^2)</f>
        <v/>
      </c>
      <c r="O15" s="100">
        <f>IF(G15="","",-0.5*((J15-Components!$D$6)/Components!$E$6)^2)</f>
        <v/>
      </c>
      <c r="P15" s="100">
        <f>IF(G15="","",-0.5*((J15-Components!$D$7)/Components!$E$7)^2)</f>
        <v/>
      </c>
      <c r="Q15" s="100">
        <f>IF(G15="","",EXP(LARGE(K15:P15,1)-MAX(K15:P15))/(EXP(K15-MAX(K15:P15))+EXP(L15-MAX(K15:P15))+EXP(M15-MAX(K15:P15))+EXP(N15-MAX(K15:P15))+EXP(O15-MAX(K15:P15))+EXP(P15-MAX(K15:P15))))</f>
        <v/>
      </c>
      <c r="R15" s="100">
        <f>IF(G15="","",EXP(LARGE(K15:P15,2)-MAX(K15:P15))/(EXP(K15-MAX(K15:P15))+EXP(L15-MAX(K15:P15))+EXP(M15-MAX(K15:P15))+EXP(N15-MAX(K15:P15))+EXP(O15-MAX(K15:P15))+EXP(P15-MAX(K15:P15))))</f>
        <v/>
      </c>
      <c r="S15" s="100">
        <f>IF(G15="","",Q15-R15)</f>
        <v/>
      </c>
      <c r="T15" s="98">
        <f>IF(G15="","",IF(AND(G15&gt;=H15-$B$6*I15,G15&lt;=H15+$B$6*I15),"OK","NG"))</f>
        <v/>
      </c>
      <c r="U15" s="69">
        <f>IF(T15="","",IF(T15=D15,1,0))</f>
        <v/>
      </c>
      <c r="V15" s="98">
        <f>IF(G15="","",IF(T15="OK","NONE",INDEX({"S1","S2","W1","W2","N1","N2"},MATCH(MAX(K15:P15),K15:P15,0))))</f>
        <v/>
      </c>
      <c r="W15" s="71">
        <f>IF(G15="","",IF(V15=E15,1,0))</f>
        <v/>
      </c>
      <c r="X15" s="115">
        <f>IF(G15="","",IF(AND(T15="NG",S15&lt;$B$7),"AMBIGUOUS","CONFIDENT"))</f>
        <v/>
      </c>
    </row>
    <row r="16">
      <c r="A16" s="102">
        <f>'Runs Z score'!A9</f>
        <v/>
      </c>
      <c r="B16" s="98">
        <f>'Runs Z score'!B9</f>
        <v/>
      </c>
      <c r="C16" s="98">
        <f>'Runs Z score'!C9</f>
        <v/>
      </c>
      <c r="D16" s="98">
        <f>'Runs Z score'!D9</f>
        <v/>
      </c>
      <c r="E16" s="98">
        <f>'Runs Z score'!E9</f>
        <v/>
      </c>
      <c r="F16" s="98">
        <f>'Runs Z score'!F9</f>
        <v/>
      </c>
      <c r="G16" s="99">
        <f>'Runs Z score'!G9</f>
        <v/>
      </c>
      <c r="H16" s="100">
        <f>VLOOKUP(C16,Recipes!$A$2:$N$4,10,FALSE())</f>
        <v/>
      </c>
      <c r="I16" s="101">
        <f>VLOOKUP(C16,Recipes!$A$2:$N$4,12,FALSE())</f>
        <v/>
      </c>
      <c r="J16" s="100">
        <f>IF(G16="","",H16-G16)</f>
        <v/>
      </c>
      <c r="K16" s="100">
        <f>IF(G16="","",-0.5*((J16-Components!$D$2)/Components!$E$2)^2)</f>
        <v/>
      </c>
      <c r="L16" s="100">
        <f>IF(G16="","",-0.5*((J16-Components!$D$3)/Components!$E$3)^2)</f>
        <v/>
      </c>
      <c r="M16" s="100">
        <f>IF(G16="","",-0.5*((J16-Components!$D$4)/Components!$E$4)^2)</f>
        <v/>
      </c>
      <c r="N16" s="100">
        <f>IF(G16="","",-0.5*((J16-Components!$D$5)/Components!$E$5)^2)</f>
        <v/>
      </c>
      <c r="O16" s="100">
        <f>IF(G16="","",-0.5*((J16-Components!$D$6)/Components!$E$6)^2)</f>
        <v/>
      </c>
      <c r="P16" s="100">
        <f>IF(G16="","",-0.5*((J16-Components!$D$7)/Components!$E$7)^2)</f>
        <v/>
      </c>
      <c r="Q16" s="100">
        <f>IF(G16="","",EXP(LARGE(K16:P16,1)-MAX(K16:P16))/(EXP(K16-MAX(K16:P16))+EXP(L16-MAX(K16:P16))+EXP(M16-MAX(K16:P16))+EXP(N16-MAX(K16:P16))+EXP(O16-MAX(K16:P16))+EXP(P16-MAX(K16:P16))))</f>
        <v/>
      </c>
      <c r="R16" s="100">
        <f>IF(G16="","",EXP(LARGE(K16:P16,2)-MAX(K16:P16))/(EXP(K16-MAX(K16:P16))+EXP(L16-MAX(K16:P16))+EXP(M16-MAX(K16:P16))+EXP(N16-MAX(K16:P16))+EXP(O16-MAX(K16:P16))+EXP(P16-MAX(K16:P16))))</f>
        <v/>
      </c>
      <c r="S16" s="100">
        <f>IF(G16="","",Q16-R16)</f>
        <v/>
      </c>
      <c r="T16" s="98">
        <f>IF(G16="","",IF(AND(G16&gt;=H16-$B$6*I16,G16&lt;=H16+$B$6*I16),"OK","NG"))</f>
        <v/>
      </c>
      <c r="U16" s="69">
        <f>IF(T16="","",IF(T16=D16,1,0))</f>
        <v/>
      </c>
      <c r="V16" s="98">
        <f>IF(G16="","",IF(T16="OK","NONE",INDEX({"S1","S2","W1","W2","N1","N2"},MATCH(MAX(K16:P16),K16:P16,0))))</f>
        <v/>
      </c>
      <c r="W16" s="69">
        <f>IF(G16="","",IF(V16=E16,1,0))</f>
        <v/>
      </c>
      <c r="X16" s="115">
        <f>IF(G16="","",IF(AND(T16="NG",S16&lt;$B$7),"AMBIGUOUS","CONFIDENT"))</f>
        <v/>
      </c>
    </row>
    <row r="17">
      <c r="A17" s="102">
        <f>'Runs Z score'!A10</f>
        <v/>
      </c>
      <c r="B17" s="98">
        <f>'Runs Z score'!B10</f>
        <v/>
      </c>
      <c r="C17" s="98">
        <f>'Runs Z score'!C10</f>
        <v/>
      </c>
      <c r="D17" s="98">
        <f>'Runs Z score'!D10</f>
        <v/>
      </c>
      <c r="E17" s="98">
        <f>'Runs Z score'!E10</f>
        <v/>
      </c>
      <c r="F17" s="98">
        <f>'Runs Z score'!F10</f>
        <v/>
      </c>
      <c r="G17" s="99">
        <f>'Runs Z score'!G10</f>
        <v/>
      </c>
      <c r="H17" s="100">
        <f>VLOOKUP(C17,Recipes!$A$2:$N$4,10,FALSE())</f>
        <v/>
      </c>
      <c r="I17" s="101">
        <f>VLOOKUP(C17,Recipes!$A$2:$N$4,12,FALSE())</f>
        <v/>
      </c>
      <c r="J17" s="100">
        <f>IF(G17="","",H17-G17)</f>
        <v/>
      </c>
      <c r="K17" s="100">
        <f>IF(G17="","",-0.5*((J17-Components!$D$2)/Components!$E$2)^2)</f>
        <v/>
      </c>
      <c r="L17" s="100">
        <f>IF(G17="","",-0.5*((J17-Components!$D$3)/Components!$E$3)^2)</f>
        <v/>
      </c>
      <c r="M17" s="100">
        <f>IF(G17="","",-0.5*((J17-Components!$D$4)/Components!$E$4)^2)</f>
        <v/>
      </c>
      <c r="N17" s="100">
        <f>IF(G17="","",-0.5*((J17-Components!$D$5)/Components!$E$5)^2)</f>
        <v/>
      </c>
      <c r="O17" s="100">
        <f>IF(G17="","",-0.5*((J17-Components!$D$6)/Components!$E$6)^2)</f>
        <v/>
      </c>
      <c r="P17" s="100">
        <f>IF(G17="","",-0.5*((J17-Components!$D$7)/Components!$E$7)^2)</f>
        <v/>
      </c>
      <c r="Q17" s="100">
        <f>IF(G17="","",EXP(LARGE(K17:P17,1)-MAX(K17:P17))/(EXP(K17-MAX(K17:P17))+EXP(L17-MAX(K17:P17))+EXP(M17-MAX(K17:P17))+EXP(N17-MAX(K17:P17))+EXP(O17-MAX(K17:P17))+EXP(P17-MAX(K17:P17))))</f>
        <v/>
      </c>
      <c r="R17" s="100">
        <f>IF(G17="","",EXP(LARGE(K17:P17,2)-MAX(K17:P17))/(EXP(K17-MAX(K17:P17))+EXP(L17-MAX(K17:P17))+EXP(M17-MAX(K17:P17))+EXP(N17-MAX(K17:P17))+EXP(O17-MAX(K17:P17))+EXP(P17-MAX(K17:P17))))</f>
        <v/>
      </c>
      <c r="S17" s="100">
        <f>IF(G17="","",Q17-R17)</f>
        <v/>
      </c>
      <c r="T17" s="98">
        <f>IF(G17="","",IF(AND(G17&gt;=H17-$B$6*I17,G17&lt;=H17+$B$6*I17),"OK","NG"))</f>
        <v/>
      </c>
      <c r="U17" s="69">
        <f>IF(T17="","",IF(T17=D17,1,0))</f>
        <v/>
      </c>
      <c r="V17" s="98">
        <f>IF(G17="","",IF(T17="OK","NONE",INDEX({"S1","S2","W1","W2","N1","N2"},MATCH(MAX(K17:P17),K17:P17,0))))</f>
        <v/>
      </c>
      <c r="W17" s="69">
        <f>IF(G17="","",IF(V17=E17,1,0))</f>
        <v/>
      </c>
      <c r="X17" s="115">
        <f>IF(G17="","",IF(AND(T17="NG",S17&lt;$B$7),"AMBIGUOUS","CONFIDENT"))</f>
        <v/>
      </c>
    </row>
    <row r="18">
      <c r="A18" s="102">
        <f>'Runs Z score'!A11</f>
        <v/>
      </c>
      <c r="B18" s="98">
        <f>'Runs Z score'!B11</f>
        <v/>
      </c>
      <c r="C18" s="98">
        <f>'Runs Z score'!C11</f>
        <v/>
      </c>
      <c r="D18" s="98">
        <f>'Runs Z score'!D11</f>
        <v/>
      </c>
      <c r="E18" s="98">
        <f>'Runs Z score'!E11</f>
        <v/>
      </c>
      <c r="F18" s="98">
        <f>'Runs Z score'!F11</f>
        <v/>
      </c>
      <c r="G18" s="99">
        <f>'Runs Z score'!G11</f>
        <v/>
      </c>
      <c r="H18" s="100">
        <f>VLOOKUP(C18,Recipes!$A$2:$N$4,10,FALSE())</f>
        <v/>
      </c>
      <c r="I18" s="101">
        <f>VLOOKUP(C18,Recipes!$A$2:$N$4,12,FALSE())</f>
        <v/>
      </c>
      <c r="J18" s="100">
        <f>IF(G18="","",H18-G18)</f>
        <v/>
      </c>
      <c r="K18" s="100">
        <f>IF(G18="","",-0.5*((J18-Components!$D$2)/Components!$E$2)^2)</f>
        <v/>
      </c>
      <c r="L18" s="100">
        <f>IF(G18="","",-0.5*((J18-Components!$D$3)/Components!$E$3)^2)</f>
        <v/>
      </c>
      <c r="M18" s="100">
        <f>IF(G18="","",-0.5*((J18-Components!$D$4)/Components!$E$4)^2)</f>
        <v/>
      </c>
      <c r="N18" s="100">
        <f>IF(G18="","",-0.5*((J18-Components!$D$5)/Components!$E$5)^2)</f>
        <v/>
      </c>
      <c r="O18" s="100">
        <f>IF(G18="","",-0.5*((J18-Components!$D$6)/Components!$E$6)^2)</f>
        <v/>
      </c>
      <c r="P18" s="100">
        <f>IF(G18="","",-0.5*((J18-Components!$D$7)/Components!$E$7)^2)</f>
        <v/>
      </c>
      <c r="Q18" s="100">
        <f>IF(G18="","",EXP(LARGE(K18:P18,1)-MAX(K18:P18))/(EXP(K18-MAX(K18:P18))+EXP(L18-MAX(K18:P18))+EXP(M18-MAX(K18:P18))+EXP(N18-MAX(K18:P18))+EXP(O18-MAX(K18:P18))+EXP(P18-MAX(K18:P18))))</f>
        <v/>
      </c>
      <c r="R18" s="100">
        <f>IF(G18="","",EXP(LARGE(K18:P18,2)-MAX(K18:P18))/(EXP(K18-MAX(K18:P18))+EXP(L18-MAX(K18:P18))+EXP(M18-MAX(K18:P18))+EXP(N18-MAX(K18:P18))+EXP(O18-MAX(K18:P18))+EXP(P18-MAX(K18:P18))))</f>
        <v/>
      </c>
      <c r="S18" s="100">
        <f>IF(G18="","",Q18-R18)</f>
        <v/>
      </c>
      <c r="T18" s="98">
        <f>IF(G18="","",IF(AND(G18&gt;=H18-$B$6*I18,G18&lt;=H18+$B$6*I18),"OK","NG"))</f>
        <v/>
      </c>
      <c r="U18" s="69">
        <f>IF(T18="","",IF(T18=D18,1,0))</f>
        <v/>
      </c>
      <c r="V18" s="98">
        <f>IF(G18="","",IF(T18="OK","NONE",INDEX({"S1","S2","W1","W2","N1","N2"},MATCH(MAX(K18:P18),K18:P18,0))))</f>
        <v/>
      </c>
      <c r="W18" s="69">
        <f>IF(G18="","",IF(V18=E18,1,0))</f>
        <v/>
      </c>
      <c r="X18" s="115">
        <f>IF(G18="","",IF(AND(T18="NG",S18&lt;$B$7),"AMBIGUOUS","CONFIDENT"))</f>
        <v/>
      </c>
    </row>
    <row r="19">
      <c r="A19" s="102">
        <f>'Runs Z score'!A12</f>
        <v/>
      </c>
      <c r="B19" s="98">
        <f>'Runs Z score'!B12</f>
        <v/>
      </c>
      <c r="C19" s="98">
        <f>'Runs Z score'!C12</f>
        <v/>
      </c>
      <c r="D19" s="98">
        <f>'Runs Z score'!D12</f>
        <v/>
      </c>
      <c r="E19" s="98">
        <f>'Runs Z score'!E12</f>
        <v/>
      </c>
      <c r="F19" s="98">
        <f>'Runs Z score'!F12</f>
        <v/>
      </c>
      <c r="G19" s="99">
        <f>'Runs Z score'!G12</f>
        <v/>
      </c>
      <c r="H19" s="100">
        <f>VLOOKUP(C19,Recipes!$A$2:$N$4,10,FALSE())</f>
        <v/>
      </c>
      <c r="I19" s="101">
        <f>VLOOKUP(C19,Recipes!$A$2:$N$4,12,FALSE())</f>
        <v/>
      </c>
      <c r="J19" s="100">
        <f>IF(G19="","",H19-G19)</f>
        <v/>
      </c>
      <c r="K19" s="100">
        <f>IF(G19="","",-0.5*((J19-Components!$D$2)/Components!$E$2)^2)</f>
        <v/>
      </c>
      <c r="L19" s="100">
        <f>IF(G19="","",-0.5*((J19-Components!$D$3)/Components!$E$3)^2)</f>
        <v/>
      </c>
      <c r="M19" s="100">
        <f>IF(G19="","",-0.5*((J19-Components!$D$4)/Components!$E$4)^2)</f>
        <v/>
      </c>
      <c r="N19" s="100">
        <f>IF(G19="","",-0.5*((J19-Components!$D$5)/Components!$E$5)^2)</f>
        <v/>
      </c>
      <c r="O19" s="100">
        <f>IF(G19="","",-0.5*((J19-Components!$D$6)/Components!$E$6)^2)</f>
        <v/>
      </c>
      <c r="P19" s="100">
        <f>IF(G19="","",-0.5*((J19-Components!$D$7)/Components!$E$7)^2)</f>
        <v/>
      </c>
      <c r="Q19" s="100">
        <f>IF(G19="","",EXP(LARGE(K19:P19,1)-MAX(K19:P19))/(EXP(K19-MAX(K19:P19))+EXP(L19-MAX(K19:P19))+EXP(M19-MAX(K19:P19))+EXP(N19-MAX(K19:P19))+EXP(O19-MAX(K19:P19))+EXP(P19-MAX(K19:P19))))</f>
        <v/>
      </c>
      <c r="R19" s="100">
        <f>IF(G19="","",EXP(LARGE(K19:P19,2)-MAX(K19:P19))/(EXP(K19-MAX(K19:P19))+EXP(L19-MAX(K19:P19))+EXP(M19-MAX(K19:P19))+EXP(N19-MAX(K19:P19))+EXP(O19-MAX(K19:P19))+EXP(P19-MAX(K19:P19))))</f>
        <v/>
      </c>
      <c r="S19" s="100">
        <f>IF(G19="","",Q19-R19)</f>
        <v/>
      </c>
      <c r="T19" s="98">
        <f>IF(G19="","",IF(AND(G19&gt;=H19-$B$6*I19,G19&lt;=H19+$B$6*I19),"OK","NG"))</f>
        <v/>
      </c>
      <c r="U19" s="69">
        <f>IF(T19="","",IF(T19=D19,1,0))</f>
        <v/>
      </c>
      <c r="V19" s="98">
        <f>IF(G19="","",IF(T19="OK","NONE",INDEX({"S1","S2","W1","W2","N1","N2"},MATCH(MAX(K19:P19),K19:P19,0))))</f>
        <v/>
      </c>
      <c r="W19" s="69">
        <f>IF(G19="","",IF(V19=E19,1,0))</f>
        <v/>
      </c>
      <c r="X19" s="115">
        <f>IF(G19="","",IF(AND(T19="NG",S19&lt;$B$7),"AMBIGUOUS","CONFIDENT"))</f>
        <v/>
      </c>
    </row>
    <row r="20">
      <c r="A20" s="102">
        <f>'Runs Z score'!A13</f>
        <v/>
      </c>
      <c r="B20" s="98">
        <f>'Runs Z score'!B13</f>
        <v/>
      </c>
      <c r="C20" s="98">
        <f>'Runs Z score'!C13</f>
        <v/>
      </c>
      <c r="D20" s="98">
        <f>'Runs Z score'!D13</f>
        <v/>
      </c>
      <c r="E20" s="98">
        <f>'Runs Z score'!E13</f>
        <v/>
      </c>
      <c r="F20" s="98">
        <f>'Runs Z score'!F13</f>
        <v/>
      </c>
      <c r="G20" s="99">
        <f>'Runs Z score'!G13</f>
        <v/>
      </c>
      <c r="H20" s="100">
        <f>VLOOKUP(C20,Recipes!$A$2:$N$4,10,FALSE())</f>
        <v/>
      </c>
      <c r="I20" s="101">
        <f>VLOOKUP(C20,Recipes!$A$2:$N$4,12,FALSE())</f>
        <v/>
      </c>
      <c r="J20" s="100">
        <f>IF(G20="","",H20-G20)</f>
        <v/>
      </c>
      <c r="K20" s="100">
        <f>IF(G20="","",-0.5*((J20-Components!$D$2)/Components!$E$2)^2)</f>
        <v/>
      </c>
      <c r="L20" s="100">
        <f>IF(G20="","",-0.5*((J20-Components!$D$3)/Components!$E$3)^2)</f>
        <v/>
      </c>
      <c r="M20" s="100">
        <f>IF(G20="","",-0.5*((J20-Components!$D$4)/Components!$E$4)^2)</f>
        <v/>
      </c>
      <c r="N20" s="100">
        <f>IF(G20="","",-0.5*((J20-Components!$D$5)/Components!$E$5)^2)</f>
        <v/>
      </c>
      <c r="O20" s="100">
        <f>IF(G20="","",-0.5*((J20-Components!$D$6)/Components!$E$6)^2)</f>
        <v/>
      </c>
      <c r="P20" s="100">
        <f>IF(G20="","",-0.5*((J20-Components!$D$7)/Components!$E$7)^2)</f>
        <v/>
      </c>
      <c r="Q20" s="100">
        <f>IF(G20="","",EXP(LARGE(K20:P20,1)-MAX(K20:P20))/(EXP(K20-MAX(K20:P20))+EXP(L20-MAX(K20:P20))+EXP(M20-MAX(K20:P20))+EXP(N20-MAX(K20:P20))+EXP(O20-MAX(K20:P20))+EXP(P20-MAX(K20:P20))))</f>
        <v/>
      </c>
      <c r="R20" s="100">
        <f>IF(G20="","",EXP(LARGE(K20:P20,2)-MAX(K20:P20))/(EXP(K20-MAX(K20:P20))+EXP(L20-MAX(K20:P20))+EXP(M20-MAX(K20:P20))+EXP(N20-MAX(K20:P20))+EXP(O20-MAX(K20:P20))+EXP(P20-MAX(K20:P20))))</f>
        <v/>
      </c>
      <c r="S20" s="100">
        <f>IF(G20="","",Q20-R20)</f>
        <v/>
      </c>
      <c r="T20" s="98">
        <f>IF(G20="","",IF(AND(G20&gt;=H20-$B$6*I20,G20&lt;=H20+$B$6*I20),"OK","NG"))</f>
        <v/>
      </c>
      <c r="U20" s="69">
        <f>IF(T20="","",IF(T20=D20,1,0))</f>
        <v/>
      </c>
      <c r="V20" s="98">
        <f>IF(G20="","",IF(T20="OK","NONE",INDEX({"S1","S2","W1","W2","N1","N2"},MATCH(MAX(K20:P20),K20:P20,0))))</f>
        <v/>
      </c>
      <c r="W20" s="69">
        <f>IF(G20="","",IF(V20=E20,1,0))</f>
        <v/>
      </c>
      <c r="X20" s="115">
        <f>IF(G20="","",IF(AND(T20="NG",S20&lt;$B$7),"AMBIGUOUS","CONFIDENT"))</f>
        <v/>
      </c>
    </row>
    <row r="21">
      <c r="A21" s="102">
        <f>'Runs Z score'!A14</f>
        <v/>
      </c>
      <c r="B21" s="98">
        <f>'Runs Z score'!B14</f>
        <v/>
      </c>
      <c r="C21" s="98">
        <f>'Runs Z score'!C14</f>
        <v/>
      </c>
      <c r="D21" s="98">
        <f>'Runs Z score'!D14</f>
        <v/>
      </c>
      <c r="E21" s="98">
        <f>'Runs Z score'!E14</f>
        <v/>
      </c>
      <c r="F21" s="98">
        <f>'Runs Z score'!F14</f>
        <v/>
      </c>
      <c r="G21" s="99">
        <f>'Runs Z score'!G14</f>
        <v/>
      </c>
      <c r="H21" s="100">
        <f>VLOOKUP(C21,Recipes!$A$2:$N$4,10,FALSE())</f>
        <v/>
      </c>
      <c r="I21" s="101">
        <f>VLOOKUP(C21,Recipes!$A$2:$N$4,12,FALSE())</f>
        <v/>
      </c>
      <c r="J21" s="100">
        <f>IF(G21="","",H21-G21)</f>
        <v/>
      </c>
      <c r="K21" s="100">
        <f>IF(G21="","",-0.5*((J21-Components!$D$2)/Components!$E$2)^2)</f>
        <v/>
      </c>
      <c r="L21" s="100">
        <f>IF(G21="","",-0.5*((J21-Components!$D$3)/Components!$E$3)^2)</f>
        <v/>
      </c>
      <c r="M21" s="100">
        <f>IF(G21="","",-0.5*((J21-Components!$D$4)/Components!$E$4)^2)</f>
        <v/>
      </c>
      <c r="N21" s="100">
        <f>IF(G21="","",-0.5*((J21-Components!$D$5)/Components!$E$5)^2)</f>
        <v/>
      </c>
      <c r="O21" s="100">
        <f>IF(G21="","",-0.5*((J21-Components!$D$6)/Components!$E$6)^2)</f>
        <v/>
      </c>
      <c r="P21" s="100">
        <f>IF(G21="","",-0.5*((J21-Components!$D$7)/Components!$E$7)^2)</f>
        <v/>
      </c>
      <c r="Q21" s="100">
        <f>IF(G21="","",EXP(LARGE(K21:P21,1)-MAX(K21:P21))/(EXP(K21-MAX(K21:P21))+EXP(L21-MAX(K21:P21))+EXP(M21-MAX(K21:P21))+EXP(N21-MAX(K21:P21))+EXP(O21-MAX(K21:P21))+EXP(P21-MAX(K21:P21))))</f>
        <v/>
      </c>
      <c r="R21" s="100">
        <f>IF(G21="","",EXP(LARGE(K21:P21,2)-MAX(K21:P21))/(EXP(K21-MAX(K21:P21))+EXP(L21-MAX(K21:P21))+EXP(M21-MAX(K21:P21))+EXP(N21-MAX(K21:P21))+EXP(O21-MAX(K21:P21))+EXP(P21-MAX(K21:P21))))</f>
        <v/>
      </c>
      <c r="S21" s="100">
        <f>IF(G21="","",Q21-R21)</f>
        <v/>
      </c>
      <c r="T21" s="98">
        <f>IF(G21="","",IF(AND(G21&gt;=H21-$B$6*I21,G21&lt;=H21+$B$6*I21),"OK","NG"))</f>
        <v/>
      </c>
      <c r="U21" s="69">
        <f>IF(T21="","",IF(T21=D21,1,0))</f>
        <v/>
      </c>
      <c r="V21" s="98">
        <f>IF(G21="","",IF(T21="OK","NONE",INDEX({"S1","S2","W1","W2","N1","N2"},MATCH(MAX(K21:P21),K21:P21,0))))</f>
        <v/>
      </c>
      <c r="W21" s="69">
        <f>IF(G21="","",IF(V21=E21,1,0))</f>
        <v/>
      </c>
      <c r="X21" s="115">
        <f>IF(G21="","",IF(AND(T21="NG",S21&lt;$B$7),"AMBIGUOUS","CONFIDENT"))</f>
        <v/>
      </c>
    </row>
    <row r="22">
      <c r="A22" s="102">
        <f>'Runs Z score'!A15</f>
        <v/>
      </c>
      <c r="B22" s="98">
        <f>'Runs Z score'!B15</f>
        <v/>
      </c>
      <c r="C22" s="98">
        <f>'Runs Z score'!C15</f>
        <v/>
      </c>
      <c r="D22" s="98">
        <f>'Runs Z score'!D15</f>
        <v/>
      </c>
      <c r="E22" s="98">
        <f>'Runs Z score'!E15</f>
        <v/>
      </c>
      <c r="F22" s="98">
        <f>'Runs Z score'!F15</f>
        <v/>
      </c>
      <c r="G22" s="99">
        <f>'Runs Z score'!G15</f>
        <v/>
      </c>
      <c r="H22" s="100">
        <f>VLOOKUP(C22,Recipes!$A$2:$N$4,10,FALSE())</f>
        <v/>
      </c>
      <c r="I22" s="101">
        <f>VLOOKUP(C22,Recipes!$A$2:$N$4,12,FALSE())</f>
        <v/>
      </c>
      <c r="J22" s="100">
        <f>IF(G22="","",H22-G22)</f>
        <v/>
      </c>
      <c r="K22" s="100">
        <f>IF(G22="","",-0.5*((J22-Components!$D$2)/Components!$E$2)^2)</f>
        <v/>
      </c>
      <c r="L22" s="100">
        <f>IF(G22="","",-0.5*((J22-Components!$D$3)/Components!$E$3)^2)</f>
        <v/>
      </c>
      <c r="M22" s="100">
        <f>IF(G22="","",-0.5*((J22-Components!$D$4)/Components!$E$4)^2)</f>
        <v/>
      </c>
      <c r="N22" s="100">
        <f>IF(G22="","",-0.5*((J22-Components!$D$5)/Components!$E$5)^2)</f>
        <v/>
      </c>
      <c r="O22" s="100">
        <f>IF(G22="","",-0.5*((J22-Components!$D$6)/Components!$E$6)^2)</f>
        <v/>
      </c>
      <c r="P22" s="100">
        <f>IF(G22="","",-0.5*((J22-Components!$D$7)/Components!$E$7)^2)</f>
        <v/>
      </c>
      <c r="Q22" s="100">
        <f>IF(G22="","",EXP(LARGE(K22:P22,1)-MAX(K22:P22))/(EXP(K22-MAX(K22:P22))+EXP(L22-MAX(K22:P22))+EXP(M22-MAX(K22:P22))+EXP(N22-MAX(K22:P22))+EXP(O22-MAX(K22:P22))+EXP(P22-MAX(K22:P22))))</f>
        <v/>
      </c>
      <c r="R22" s="100">
        <f>IF(G22="","",EXP(LARGE(K22:P22,2)-MAX(K22:P22))/(EXP(K22-MAX(K22:P22))+EXP(L22-MAX(K22:P22))+EXP(M22-MAX(K22:P22))+EXP(N22-MAX(K22:P22))+EXP(O22-MAX(K22:P22))+EXP(P22-MAX(K22:P22))))</f>
        <v/>
      </c>
      <c r="S22" s="100">
        <f>IF(G22="","",Q22-R22)</f>
        <v/>
      </c>
      <c r="T22" s="98">
        <f>IF(G22="","",IF(AND(G22&gt;=H22-$B$6*I22,G22&lt;=H22+$B$6*I22),"OK","NG"))</f>
        <v/>
      </c>
      <c r="U22" s="69">
        <f>IF(T22="","",IF(T22=D22,1,0))</f>
        <v/>
      </c>
      <c r="V22" s="98">
        <f>IF(G22="","",IF(T22="OK","NONE",INDEX({"S1","S2","W1","W2","N1","N2"},MATCH(MAX(K22:P22),K22:P22,0))))</f>
        <v/>
      </c>
      <c r="W22" s="69">
        <f>IF(G22="","",IF(V22=E22,1,0))</f>
        <v/>
      </c>
      <c r="X22" s="115">
        <f>IF(G22="","",IF(AND(T22="NG",S22&lt;$B$7),"AMBIGUOUS","CONFIDENT"))</f>
        <v/>
      </c>
    </row>
    <row r="23">
      <c r="A23" s="102">
        <f>'Runs Z score'!A16</f>
        <v/>
      </c>
      <c r="B23" s="98">
        <f>'Runs Z score'!B16</f>
        <v/>
      </c>
      <c r="C23" s="98">
        <f>'Runs Z score'!C16</f>
        <v/>
      </c>
      <c r="D23" s="98">
        <f>'Runs Z score'!D16</f>
        <v/>
      </c>
      <c r="E23" s="98">
        <f>'Runs Z score'!E16</f>
        <v/>
      </c>
      <c r="F23" s="98">
        <f>'Runs Z score'!F16</f>
        <v/>
      </c>
      <c r="G23" s="99">
        <f>'Runs Z score'!G16</f>
        <v/>
      </c>
      <c r="H23" s="100">
        <f>VLOOKUP(C23,Recipes!$A$2:$N$4,10,FALSE())</f>
        <v/>
      </c>
      <c r="I23" s="101">
        <f>VLOOKUP(C23,Recipes!$A$2:$N$4,12,FALSE())</f>
        <v/>
      </c>
      <c r="J23" s="100">
        <f>IF(G23="","",H23-G23)</f>
        <v/>
      </c>
      <c r="K23" s="100">
        <f>IF(G23="","",-0.5*((J23-Components!$D$2)/Components!$E$2)^2)</f>
        <v/>
      </c>
      <c r="L23" s="100">
        <f>IF(G23="","",-0.5*((J23-Components!$D$3)/Components!$E$3)^2)</f>
        <v/>
      </c>
      <c r="M23" s="100">
        <f>IF(G23="","",-0.5*((J23-Components!$D$4)/Components!$E$4)^2)</f>
        <v/>
      </c>
      <c r="N23" s="100">
        <f>IF(G23="","",-0.5*((J23-Components!$D$5)/Components!$E$5)^2)</f>
        <v/>
      </c>
      <c r="O23" s="100">
        <f>IF(G23="","",-0.5*((J23-Components!$D$6)/Components!$E$6)^2)</f>
        <v/>
      </c>
      <c r="P23" s="100">
        <f>IF(G23="","",-0.5*((J23-Components!$D$7)/Components!$E$7)^2)</f>
        <v/>
      </c>
      <c r="Q23" s="100">
        <f>IF(G23="","",EXP(LARGE(K23:P23,1)-MAX(K23:P23))/(EXP(K23-MAX(K23:P23))+EXP(L23-MAX(K23:P23))+EXP(M23-MAX(K23:P23))+EXP(N23-MAX(K23:P23))+EXP(O23-MAX(K23:P23))+EXP(P23-MAX(K23:P23))))</f>
        <v/>
      </c>
      <c r="R23" s="100">
        <f>IF(G23="","",EXP(LARGE(K23:P23,2)-MAX(K23:P23))/(EXP(K23-MAX(K23:P23))+EXP(L23-MAX(K23:P23))+EXP(M23-MAX(K23:P23))+EXP(N23-MAX(K23:P23))+EXP(O23-MAX(K23:P23))+EXP(P23-MAX(K23:P23))))</f>
        <v/>
      </c>
      <c r="S23" s="100">
        <f>IF(G23="","",Q23-R23)</f>
        <v/>
      </c>
      <c r="T23" s="98">
        <f>IF(G23="","",IF(AND(G23&gt;=H23-$B$6*I23,G23&lt;=H23+$B$6*I23),"OK","NG"))</f>
        <v/>
      </c>
      <c r="U23" s="69">
        <f>IF(T23="","",IF(T23=D23,1,0))</f>
        <v/>
      </c>
      <c r="V23" s="98">
        <f>IF(G23="","",IF(T23="OK","NONE",INDEX({"S1","S2","W1","W2","N1","N2"},MATCH(MAX(K23:P23),K23:P23,0))))</f>
        <v/>
      </c>
      <c r="W23" s="69">
        <f>IF(G23="","",IF(V23=E23,1,0))</f>
        <v/>
      </c>
      <c r="X23" s="115">
        <f>IF(G23="","",IF(AND(T23="NG",S23&lt;$B$7),"AMBIGUOUS","CONFIDENT"))</f>
        <v/>
      </c>
    </row>
    <row r="24">
      <c r="A24" s="102">
        <f>'Runs Z score'!A17</f>
        <v/>
      </c>
      <c r="B24" s="98">
        <f>'Runs Z score'!B17</f>
        <v/>
      </c>
      <c r="C24" s="98">
        <f>'Runs Z score'!C17</f>
        <v/>
      </c>
      <c r="D24" s="98">
        <f>'Runs Z score'!D17</f>
        <v/>
      </c>
      <c r="E24" s="98">
        <f>'Runs Z score'!E17</f>
        <v/>
      </c>
      <c r="F24" s="98">
        <f>'Runs Z score'!F17</f>
        <v/>
      </c>
      <c r="G24" s="99">
        <f>'Runs Z score'!G17</f>
        <v/>
      </c>
      <c r="H24" s="100">
        <f>VLOOKUP(C24,Recipes!$A$2:$N$4,10,FALSE())</f>
        <v/>
      </c>
      <c r="I24" s="101">
        <f>VLOOKUP(C24,Recipes!$A$2:$N$4,12,FALSE())</f>
        <v/>
      </c>
      <c r="J24" s="100">
        <f>IF(G24="","",H24-G24)</f>
        <v/>
      </c>
      <c r="K24" s="100">
        <f>IF(G24="","",-0.5*((J24-Components!$D$2)/Components!$E$2)^2)</f>
        <v/>
      </c>
      <c r="L24" s="100">
        <f>IF(G24="","",-0.5*((J24-Components!$D$3)/Components!$E$3)^2)</f>
        <v/>
      </c>
      <c r="M24" s="100">
        <f>IF(G24="","",-0.5*((J24-Components!$D$4)/Components!$E$4)^2)</f>
        <v/>
      </c>
      <c r="N24" s="100">
        <f>IF(G24="","",-0.5*((J24-Components!$D$5)/Components!$E$5)^2)</f>
        <v/>
      </c>
      <c r="O24" s="100">
        <f>IF(G24="","",-0.5*((J24-Components!$D$6)/Components!$E$6)^2)</f>
        <v/>
      </c>
      <c r="P24" s="100">
        <f>IF(G24="","",-0.5*((J24-Components!$D$7)/Components!$E$7)^2)</f>
        <v/>
      </c>
      <c r="Q24" s="100">
        <f>IF(G24="","",EXP(LARGE(K24:P24,1)-MAX(K24:P24))/(EXP(K24-MAX(K24:P24))+EXP(L24-MAX(K24:P24))+EXP(M24-MAX(K24:P24))+EXP(N24-MAX(K24:P24))+EXP(O24-MAX(K24:P24))+EXP(P24-MAX(K24:P24))))</f>
        <v/>
      </c>
      <c r="R24" s="100">
        <f>IF(G24="","",EXP(LARGE(K24:P24,2)-MAX(K24:P24))/(EXP(K24-MAX(K24:P24))+EXP(L24-MAX(K24:P24))+EXP(M24-MAX(K24:P24))+EXP(N24-MAX(K24:P24))+EXP(O24-MAX(K24:P24))+EXP(P24-MAX(K24:P24))))</f>
        <v/>
      </c>
      <c r="S24" s="100">
        <f>IF(G24="","",Q24-R24)</f>
        <v/>
      </c>
      <c r="T24" s="98">
        <f>IF(G24="","",IF(AND(G24&gt;=H24-$B$6*I24,G24&lt;=H24+$B$6*I24),"OK","NG"))</f>
        <v/>
      </c>
      <c r="U24" s="69">
        <f>IF(T24="","",IF(T24=D24,1,0))</f>
        <v/>
      </c>
      <c r="V24" s="98">
        <f>IF(G24="","",IF(T24="OK","NONE",INDEX({"S1","S2","W1","W2","N1","N2"},MATCH(MAX(K24:P24),K24:P24,0))))</f>
        <v/>
      </c>
      <c r="W24" s="69">
        <f>IF(G24="","",IF(V24=E24,1,0))</f>
        <v/>
      </c>
      <c r="X24" s="115">
        <f>IF(G24="","",IF(AND(T24="NG",S24&lt;$B$7),"AMBIGUOUS","CONFIDENT"))</f>
        <v/>
      </c>
    </row>
    <row r="25">
      <c r="A25" s="102">
        <f>'Runs Z score'!A18</f>
        <v/>
      </c>
      <c r="B25" s="98">
        <f>'Runs Z score'!B18</f>
        <v/>
      </c>
      <c r="C25" s="98">
        <f>'Runs Z score'!C18</f>
        <v/>
      </c>
      <c r="D25" s="98">
        <f>'Runs Z score'!D18</f>
        <v/>
      </c>
      <c r="E25" s="98">
        <f>'Runs Z score'!E18</f>
        <v/>
      </c>
      <c r="F25" s="98">
        <f>'Runs Z score'!F18</f>
        <v/>
      </c>
      <c r="G25" s="99">
        <f>'Runs Z score'!G18</f>
        <v/>
      </c>
      <c r="H25" s="100">
        <f>VLOOKUP(C25,Recipes!$A$2:$N$4,10,FALSE())</f>
        <v/>
      </c>
      <c r="I25" s="101">
        <f>VLOOKUP(C25,Recipes!$A$2:$N$4,12,FALSE())</f>
        <v/>
      </c>
      <c r="J25" s="100">
        <f>IF(G25="","",H25-G25)</f>
        <v/>
      </c>
      <c r="K25" s="100">
        <f>IF(G25="","",-0.5*((J25-Components!$D$2)/Components!$E$2)^2)</f>
        <v/>
      </c>
      <c r="L25" s="100">
        <f>IF(G25="","",-0.5*((J25-Components!$D$3)/Components!$E$3)^2)</f>
        <v/>
      </c>
      <c r="M25" s="100">
        <f>IF(G25="","",-0.5*((J25-Components!$D$4)/Components!$E$4)^2)</f>
        <v/>
      </c>
      <c r="N25" s="100">
        <f>IF(G25="","",-0.5*((J25-Components!$D$5)/Components!$E$5)^2)</f>
        <v/>
      </c>
      <c r="O25" s="100">
        <f>IF(G25="","",-0.5*((J25-Components!$D$6)/Components!$E$6)^2)</f>
        <v/>
      </c>
      <c r="P25" s="100">
        <f>IF(G25="","",-0.5*((J25-Components!$D$7)/Components!$E$7)^2)</f>
        <v/>
      </c>
      <c r="Q25" s="100">
        <f>IF(G25="","",EXP(LARGE(K25:P25,1)-MAX(K25:P25))/(EXP(K25-MAX(K25:P25))+EXP(L25-MAX(K25:P25))+EXP(M25-MAX(K25:P25))+EXP(N25-MAX(K25:P25))+EXP(O25-MAX(K25:P25))+EXP(P25-MAX(K25:P25))))</f>
        <v/>
      </c>
      <c r="R25" s="100">
        <f>IF(G25="","",EXP(LARGE(K25:P25,2)-MAX(K25:P25))/(EXP(K25-MAX(K25:P25))+EXP(L25-MAX(K25:P25))+EXP(M25-MAX(K25:P25))+EXP(N25-MAX(K25:P25))+EXP(O25-MAX(K25:P25))+EXP(P25-MAX(K25:P25))))</f>
        <v/>
      </c>
      <c r="S25" s="100">
        <f>IF(G25="","",Q25-R25)</f>
        <v/>
      </c>
      <c r="T25" s="98">
        <f>IF(G25="","",IF(AND(G25&gt;=H25-$B$6*I25,G25&lt;=H25+$B$6*I25),"OK","NG"))</f>
        <v/>
      </c>
      <c r="U25" s="69">
        <f>IF(T25="","",IF(T25=D25,1,0))</f>
        <v/>
      </c>
      <c r="V25" s="98">
        <f>IF(G25="","",IF(T25="OK","NONE",INDEX({"S1","S2","W1","W2","N1","N2"},MATCH(MAX(K25:P25),K25:P25,0))))</f>
        <v/>
      </c>
      <c r="W25" s="69">
        <f>IF(G25="","",IF(V25=E25,1,0))</f>
        <v/>
      </c>
      <c r="X25" s="115">
        <f>IF(G25="","",IF(AND(T25="NG",S25&lt;$B$7),"AMBIGUOUS","CONFIDENT"))</f>
        <v/>
      </c>
    </row>
    <row r="26">
      <c r="A26" s="102">
        <f>'Runs Z score'!A19</f>
        <v/>
      </c>
      <c r="B26" s="98">
        <f>'Runs Z score'!B19</f>
        <v/>
      </c>
      <c r="C26" s="98">
        <f>'Runs Z score'!C19</f>
        <v/>
      </c>
      <c r="D26" s="98">
        <f>'Runs Z score'!D19</f>
        <v/>
      </c>
      <c r="E26" s="98">
        <f>'Runs Z score'!E19</f>
        <v/>
      </c>
      <c r="F26" s="98">
        <f>'Runs Z score'!F19</f>
        <v/>
      </c>
      <c r="G26" s="99">
        <f>'Runs Z score'!G19</f>
        <v/>
      </c>
      <c r="H26" s="100">
        <f>VLOOKUP(C26,Recipes!$A$2:$N$4,10,FALSE())</f>
        <v/>
      </c>
      <c r="I26" s="101">
        <f>VLOOKUP(C26,Recipes!$A$2:$N$4,12,FALSE())</f>
        <v/>
      </c>
      <c r="J26" s="100">
        <f>IF(G26="","",H26-G26)</f>
        <v/>
      </c>
      <c r="K26" s="100">
        <f>IF(G26="","",-0.5*((J26-Components!$D$2)/Components!$E$2)^2)</f>
        <v/>
      </c>
      <c r="L26" s="100">
        <f>IF(G26="","",-0.5*((J26-Components!$D$3)/Components!$E$3)^2)</f>
        <v/>
      </c>
      <c r="M26" s="100">
        <f>IF(G26="","",-0.5*((J26-Components!$D$4)/Components!$E$4)^2)</f>
        <v/>
      </c>
      <c r="N26" s="100">
        <f>IF(G26="","",-0.5*((J26-Components!$D$5)/Components!$E$5)^2)</f>
        <v/>
      </c>
      <c r="O26" s="100">
        <f>IF(G26="","",-0.5*((J26-Components!$D$6)/Components!$E$6)^2)</f>
        <v/>
      </c>
      <c r="P26" s="100">
        <f>IF(G26="","",-0.5*((J26-Components!$D$7)/Components!$E$7)^2)</f>
        <v/>
      </c>
      <c r="Q26" s="100">
        <f>IF(G26="","",EXP(LARGE(K26:P26,1)-MAX(K26:P26))/(EXP(K26-MAX(K26:P26))+EXP(L26-MAX(K26:P26))+EXP(M26-MAX(K26:P26))+EXP(N26-MAX(K26:P26))+EXP(O26-MAX(K26:P26))+EXP(P26-MAX(K26:P26))))</f>
        <v/>
      </c>
      <c r="R26" s="100">
        <f>IF(G26="","",EXP(LARGE(K26:P26,2)-MAX(K26:P26))/(EXP(K26-MAX(K26:P26))+EXP(L26-MAX(K26:P26))+EXP(M26-MAX(K26:P26))+EXP(N26-MAX(K26:P26))+EXP(O26-MAX(K26:P26))+EXP(P26-MAX(K26:P26))))</f>
        <v/>
      </c>
      <c r="S26" s="100">
        <f>IF(G26="","",Q26-R26)</f>
        <v/>
      </c>
      <c r="T26" s="98">
        <f>IF(G26="","",IF(AND(G26&gt;=H26-$B$6*I26,G26&lt;=H26+$B$6*I26),"OK","NG"))</f>
        <v/>
      </c>
      <c r="U26" s="69">
        <f>IF(T26="","",IF(T26=D26,1,0))</f>
        <v/>
      </c>
      <c r="V26" s="98">
        <f>IF(G26="","",IF(T26="OK","NONE",INDEX({"S1","S2","W1","W2","N1","N2"},MATCH(MAX(K26:P26),K26:P26,0))))</f>
        <v/>
      </c>
      <c r="W26" s="69">
        <f>IF(G26="","",IF(V26=E26,1,0))</f>
        <v/>
      </c>
      <c r="X26" s="115">
        <f>IF(G26="","",IF(AND(T26="NG",S26&lt;$B$7),"AMBIGUOUS","CONFIDENT"))</f>
        <v/>
      </c>
    </row>
    <row r="27">
      <c r="A27" s="102">
        <f>'Runs Z score'!A20</f>
        <v/>
      </c>
      <c r="B27" s="98">
        <f>'Runs Z score'!B20</f>
        <v/>
      </c>
      <c r="C27" s="98">
        <f>'Runs Z score'!C20</f>
        <v/>
      </c>
      <c r="D27" s="98">
        <f>'Runs Z score'!D20</f>
        <v/>
      </c>
      <c r="E27" s="98">
        <f>'Runs Z score'!E20</f>
        <v/>
      </c>
      <c r="F27" s="98">
        <f>'Runs Z score'!F20</f>
        <v/>
      </c>
      <c r="G27" s="99">
        <f>'Runs Z score'!G20</f>
        <v/>
      </c>
      <c r="H27" s="100">
        <f>VLOOKUP(C27,Recipes!$A$2:$N$4,10,FALSE())</f>
        <v/>
      </c>
      <c r="I27" s="101">
        <f>VLOOKUP(C27,Recipes!$A$2:$N$4,12,FALSE())</f>
        <v/>
      </c>
      <c r="J27" s="100">
        <f>IF(G27="","",H27-G27)</f>
        <v/>
      </c>
      <c r="K27" s="100">
        <f>IF(G27="","",-0.5*((J27-Components!$D$2)/Components!$E$2)^2)</f>
        <v/>
      </c>
      <c r="L27" s="100">
        <f>IF(G27="","",-0.5*((J27-Components!$D$3)/Components!$E$3)^2)</f>
        <v/>
      </c>
      <c r="M27" s="100">
        <f>IF(G27="","",-0.5*((J27-Components!$D$4)/Components!$E$4)^2)</f>
        <v/>
      </c>
      <c r="N27" s="100">
        <f>IF(G27="","",-0.5*((J27-Components!$D$5)/Components!$E$5)^2)</f>
        <v/>
      </c>
      <c r="O27" s="100">
        <f>IF(G27="","",-0.5*((J27-Components!$D$6)/Components!$E$6)^2)</f>
        <v/>
      </c>
      <c r="P27" s="100">
        <f>IF(G27="","",-0.5*((J27-Components!$D$7)/Components!$E$7)^2)</f>
        <v/>
      </c>
      <c r="Q27" s="100">
        <f>IF(G27="","",EXP(LARGE(K27:P27,1)-MAX(K27:P27))/(EXP(K27-MAX(K27:P27))+EXP(L27-MAX(K27:P27))+EXP(M27-MAX(K27:P27))+EXP(N27-MAX(K27:P27))+EXP(O27-MAX(K27:P27))+EXP(P27-MAX(K27:P27))))</f>
        <v/>
      </c>
      <c r="R27" s="100">
        <f>IF(G27="","",EXP(LARGE(K27:P27,2)-MAX(K27:P27))/(EXP(K27-MAX(K27:P27))+EXP(L27-MAX(K27:P27))+EXP(M27-MAX(K27:P27))+EXP(N27-MAX(K27:P27))+EXP(O27-MAX(K27:P27))+EXP(P27-MAX(K27:P27))))</f>
        <v/>
      </c>
      <c r="S27" s="100">
        <f>IF(G27="","",Q27-R27)</f>
        <v/>
      </c>
      <c r="T27" s="98">
        <f>IF(G27="","",IF(AND(G27&gt;=H27-$B$6*I27,G27&lt;=H27+$B$6*I27),"OK","NG"))</f>
        <v/>
      </c>
      <c r="U27" s="69">
        <f>IF(T27="","",IF(T27=D27,1,0))</f>
        <v/>
      </c>
      <c r="V27" s="98">
        <f>IF(G27="","",IF(T27="OK","NONE",INDEX({"S1","S2","W1","W2","N1","N2"},MATCH(MAX(K27:P27),K27:P27,0))))</f>
        <v/>
      </c>
      <c r="W27" s="69">
        <f>IF(G27="","",IF(V27=E27,1,0))</f>
        <v/>
      </c>
      <c r="X27" s="115">
        <f>IF(G27="","",IF(AND(T27="NG",S27&lt;$B$7),"AMBIGUOUS","CONFIDENT"))</f>
        <v/>
      </c>
    </row>
    <row r="28">
      <c r="A28" s="102">
        <f>'Runs Z score'!A21</f>
        <v/>
      </c>
      <c r="B28" s="98">
        <f>'Runs Z score'!B21</f>
        <v/>
      </c>
      <c r="C28" s="98">
        <f>'Runs Z score'!C21</f>
        <v/>
      </c>
      <c r="D28" s="98">
        <f>'Runs Z score'!D21</f>
        <v/>
      </c>
      <c r="E28" s="98">
        <f>'Runs Z score'!E21</f>
        <v/>
      </c>
      <c r="F28" s="98">
        <f>'Runs Z score'!F21</f>
        <v/>
      </c>
      <c r="G28" s="99">
        <f>'Runs Z score'!G21</f>
        <v/>
      </c>
      <c r="H28" s="100">
        <f>VLOOKUP(C28,Recipes!$A$2:$N$4,10,FALSE())</f>
        <v/>
      </c>
      <c r="I28" s="101">
        <f>VLOOKUP(C28,Recipes!$A$2:$N$4,12,FALSE())</f>
        <v/>
      </c>
      <c r="J28" s="100">
        <f>IF(G28="","",H28-G28)</f>
        <v/>
      </c>
      <c r="K28" s="100">
        <f>IF(G28="","",-0.5*((J28-Components!$D$2)/Components!$E$2)^2)</f>
        <v/>
      </c>
      <c r="L28" s="100">
        <f>IF(G28="","",-0.5*((J28-Components!$D$3)/Components!$E$3)^2)</f>
        <v/>
      </c>
      <c r="M28" s="100">
        <f>IF(G28="","",-0.5*((J28-Components!$D$4)/Components!$E$4)^2)</f>
        <v/>
      </c>
      <c r="N28" s="100">
        <f>IF(G28="","",-0.5*((J28-Components!$D$5)/Components!$E$5)^2)</f>
        <v/>
      </c>
      <c r="O28" s="100">
        <f>IF(G28="","",-0.5*((J28-Components!$D$6)/Components!$E$6)^2)</f>
        <v/>
      </c>
      <c r="P28" s="100">
        <f>IF(G28="","",-0.5*((J28-Components!$D$7)/Components!$E$7)^2)</f>
        <v/>
      </c>
      <c r="Q28" s="100">
        <f>IF(G28="","",EXP(LARGE(K28:P28,1)-MAX(K28:P28))/(EXP(K28-MAX(K28:P28))+EXP(L28-MAX(K28:P28))+EXP(M28-MAX(K28:P28))+EXP(N28-MAX(K28:P28))+EXP(O28-MAX(K28:P28))+EXP(P28-MAX(K28:P28))))</f>
        <v/>
      </c>
      <c r="R28" s="100">
        <f>IF(G28="","",EXP(LARGE(K28:P28,2)-MAX(K28:P28))/(EXP(K28-MAX(K28:P28))+EXP(L28-MAX(K28:P28))+EXP(M28-MAX(K28:P28))+EXP(N28-MAX(K28:P28))+EXP(O28-MAX(K28:P28))+EXP(P28-MAX(K28:P28))))</f>
        <v/>
      </c>
      <c r="S28" s="100">
        <f>IF(G28="","",Q28-R28)</f>
        <v/>
      </c>
      <c r="T28" s="98">
        <f>IF(G28="","",IF(AND(G28&gt;=H28-$B$6*I28,G28&lt;=H28+$B$6*I28),"OK","NG"))</f>
        <v/>
      </c>
      <c r="U28" s="69">
        <f>IF(T28="","",IF(T28=D28,1,0))</f>
        <v/>
      </c>
      <c r="V28" s="98">
        <f>IF(G28="","",IF(T28="OK","NONE",INDEX({"S1","S2","W1","W2","N1","N2"},MATCH(MAX(K28:P28),K28:P28,0))))</f>
        <v/>
      </c>
      <c r="W28" s="69">
        <f>IF(G28="","",IF(V28=E28,1,0))</f>
        <v/>
      </c>
      <c r="X28" s="115">
        <f>IF(G28="","",IF(AND(T28="NG",S28&lt;$B$7),"AMBIGUOUS","CONFIDENT"))</f>
        <v/>
      </c>
    </row>
    <row r="29">
      <c r="A29" s="102">
        <f>'Runs Z score'!A22</f>
        <v/>
      </c>
      <c r="B29" s="98">
        <f>'Runs Z score'!B22</f>
        <v/>
      </c>
      <c r="C29" s="98">
        <f>'Runs Z score'!C22</f>
        <v/>
      </c>
      <c r="D29" s="98">
        <f>'Runs Z score'!D22</f>
        <v/>
      </c>
      <c r="E29" s="98">
        <f>'Runs Z score'!E22</f>
        <v/>
      </c>
      <c r="F29" s="98">
        <f>'Runs Z score'!F22</f>
        <v/>
      </c>
      <c r="G29" s="99">
        <f>'Runs Z score'!G22</f>
        <v/>
      </c>
      <c r="H29" s="100">
        <f>VLOOKUP(C29,Recipes!$A$2:$N$4,10,FALSE())</f>
        <v/>
      </c>
      <c r="I29" s="101">
        <f>VLOOKUP(C29,Recipes!$A$2:$N$4,12,FALSE())</f>
        <v/>
      </c>
      <c r="J29" s="100">
        <f>IF(G29="","",H29-G29)</f>
        <v/>
      </c>
      <c r="K29" s="100">
        <f>IF(G29="","",-0.5*((J29-Components!$D$2)/Components!$E$2)^2)</f>
        <v/>
      </c>
      <c r="L29" s="100">
        <f>IF(G29="","",-0.5*((J29-Components!$D$3)/Components!$E$3)^2)</f>
        <v/>
      </c>
      <c r="M29" s="100">
        <f>IF(G29="","",-0.5*((J29-Components!$D$4)/Components!$E$4)^2)</f>
        <v/>
      </c>
      <c r="N29" s="100">
        <f>IF(G29="","",-0.5*((J29-Components!$D$5)/Components!$E$5)^2)</f>
        <v/>
      </c>
      <c r="O29" s="100">
        <f>IF(G29="","",-0.5*((J29-Components!$D$6)/Components!$E$6)^2)</f>
        <v/>
      </c>
      <c r="P29" s="100">
        <f>IF(G29="","",-0.5*((J29-Components!$D$7)/Components!$E$7)^2)</f>
        <v/>
      </c>
      <c r="Q29" s="100">
        <f>IF(G29="","",EXP(LARGE(K29:P29,1)-MAX(K29:P29))/(EXP(K29-MAX(K29:P29))+EXP(L29-MAX(K29:P29))+EXP(M29-MAX(K29:P29))+EXP(N29-MAX(K29:P29))+EXP(O29-MAX(K29:P29))+EXP(P29-MAX(K29:P29))))</f>
        <v/>
      </c>
      <c r="R29" s="100">
        <f>IF(G29="","",EXP(LARGE(K29:P29,2)-MAX(K29:P29))/(EXP(K29-MAX(K29:P29))+EXP(L29-MAX(K29:P29))+EXP(M29-MAX(K29:P29))+EXP(N29-MAX(K29:P29))+EXP(O29-MAX(K29:P29))+EXP(P29-MAX(K29:P29))))</f>
        <v/>
      </c>
      <c r="S29" s="100">
        <f>IF(G29="","",Q29-R29)</f>
        <v/>
      </c>
      <c r="T29" s="98">
        <f>IF(G29="","",IF(AND(G29&gt;=H29-$B$6*I29,G29&lt;=H29+$B$6*I29),"OK","NG"))</f>
        <v/>
      </c>
      <c r="U29" s="69">
        <f>IF(T29="","",IF(T29=D29,1,0))</f>
        <v/>
      </c>
      <c r="V29" s="98">
        <f>IF(G29="","",IF(T29="OK","NONE",INDEX({"S1","S2","W1","W2","N1","N2"},MATCH(MAX(K29:P29),K29:P29,0))))</f>
        <v/>
      </c>
      <c r="W29" s="69">
        <f>IF(G29="","",IF(V29=E29,1,0))</f>
        <v/>
      </c>
      <c r="X29" s="115">
        <f>IF(G29="","",IF(AND(T29="NG",S29&lt;$B$7),"AMBIGUOUS","CONFIDENT"))</f>
        <v/>
      </c>
    </row>
    <row r="30">
      <c r="A30" s="102">
        <f>'Runs Z score'!A23</f>
        <v/>
      </c>
      <c r="B30" s="98">
        <f>'Runs Z score'!B23</f>
        <v/>
      </c>
      <c r="C30" s="98">
        <f>'Runs Z score'!C23</f>
        <v/>
      </c>
      <c r="D30" s="98">
        <f>'Runs Z score'!D23</f>
        <v/>
      </c>
      <c r="E30" s="98">
        <f>'Runs Z score'!E23</f>
        <v/>
      </c>
      <c r="F30" s="98">
        <f>'Runs Z score'!F23</f>
        <v/>
      </c>
      <c r="G30" s="99">
        <f>'Runs Z score'!G23</f>
        <v/>
      </c>
      <c r="H30" s="100">
        <f>VLOOKUP(C30,Recipes!$A$2:$N$4,10,FALSE())</f>
        <v/>
      </c>
      <c r="I30" s="101">
        <f>VLOOKUP(C30,Recipes!$A$2:$N$4,12,FALSE())</f>
        <v/>
      </c>
      <c r="J30" s="100">
        <f>IF(G30="","",H30-G30)</f>
        <v/>
      </c>
      <c r="K30" s="100">
        <f>IF(G30="","",-0.5*((J30-Components!$D$2)/Components!$E$2)^2)</f>
        <v/>
      </c>
      <c r="L30" s="100">
        <f>IF(G30="","",-0.5*((J30-Components!$D$3)/Components!$E$3)^2)</f>
        <v/>
      </c>
      <c r="M30" s="100">
        <f>IF(G30="","",-0.5*((J30-Components!$D$4)/Components!$E$4)^2)</f>
        <v/>
      </c>
      <c r="N30" s="100">
        <f>IF(G30="","",-0.5*((J30-Components!$D$5)/Components!$E$5)^2)</f>
        <v/>
      </c>
      <c r="O30" s="100">
        <f>IF(G30="","",-0.5*((J30-Components!$D$6)/Components!$E$6)^2)</f>
        <v/>
      </c>
      <c r="P30" s="100">
        <f>IF(G30="","",-0.5*((J30-Components!$D$7)/Components!$E$7)^2)</f>
        <v/>
      </c>
      <c r="Q30" s="100">
        <f>IF(G30="","",EXP(LARGE(K30:P30,1)-MAX(K30:P30))/(EXP(K30-MAX(K30:P30))+EXP(L30-MAX(K30:P30))+EXP(M30-MAX(K30:P30))+EXP(N30-MAX(K30:P30))+EXP(O30-MAX(K30:P30))+EXP(P30-MAX(K30:P30))))</f>
        <v/>
      </c>
      <c r="R30" s="100">
        <f>IF(G30="","",EXP(LARGE(K30:P30,2)-MAX(K30:P30))/(EXP(K30-MAX(K30:P30))+EXP(L30-MAX(K30:P30))+EXP(M30-MAX(K30:P30))+EXP(N30-MAX(K30:P30))+EXP(O30-MAX(K30:P30))+EXP(P30-MAX(K30:P30))))</f>
        <v/>
      </c>
      <c r="S30" s="100">
        <f>IF(G30="","",Q30-R30)</f>
        <v/>
      </c>
      <c r="T30" s="98">
        <f>IF(G30="","",IF(AND(G30&gt;=H30-$B$6*I30,G30&lt;=H30+$B$6*I30),"OK","NG"))</f>
        <v/>
      </c>
      <c r="U30" s="69">
        <f>IF(T30="","",IF(T30=D30,1,0))</f>
        <v/>
      </c>
      <c r="V30" s="98">
        <f>IF(G30="","",IF(T30="OK","NONE",INDEX({"S1","S2","W1","W2","N1","N2"},MATCH(MAX(K30:P30),K30:P30,0))))</f>
        <v/>
      </c>
      <c r="W30" s="69">
        <f>IF(G30="","",IF(V30=E30,1,0))</f>
        <v/>
      </c>
      <c r="X30" s="115">
        <f>IF(G30="","",IF(AND(T30="NG",S30&lt;$B$7),"AMBIGUOUS","CONFIDENT"))</f>
        <v/>
      </c>
    </row>
    <row r="31">
      <c r="A31" s="102">
        <f>'Runs Z score'!A24</f>
        <v/>
      </c>
      <c r="B31" s="98">
        <f>'Runs Z score'!B24</f>
        <v/>
      </c>
      <c r="C31" s="98">
        <f>'Runs Z score'!C24</f>
        <v/>
      </c>
      <c r="D31" s="98">
        <f>'Runs Z score'!D24</f>
        <v/>
      </c>
      <c r="E31" s="98">
        <f>'Runs Z score'!E24</f>
        <v/>
      </c>
      <c r="F31" s="98">
        <f>'Runs Z score'!F24</f>
        <v/>
      </c>
      <c r="G31" s="99">
        <f>'Runs Z score'!G24</f>
        <v/>
      </c>
      <c r="H31" s="100">
        <f>VLOOKUP(C31,Recipes!$A$2:$N$4,10,FALSE())</f>
        <v/>
      </c>
      <c r="I31" s="101">
        <f>VLOOKUP(C31,Recipes!$A$2:$N$4,12,FALSE())</f>
        <v/>
      </c>
      <c r="J31" s="100">
        <f>IF(G31="","",H31-G31)</f>
        <v/>
      </c>
      <c r="K31" s="100">
        <f>IF(G31="","",-0.5*((J31-Components!$D$2)/Components!$E$2)^2)</f>
        <v/>
      </c>
      <c r="L31" s="100">
        <f>IF(G31="","",-0.5*((J31-Components!$D$3)/Components!$E$3)^2)</f>
        <v/>
      </c>
      <c r="M31" s="100">
        <f>IF(G31="","",-0.5*((J31-Components!$D$4)/Components!$E$4)^2)</f>
        <v/>
      </c>
      <c r="N31" s="100">
        <f>IF(G31="","",-0.5*((J31-Components!$D$5)/Components!$E$5)^2)</f>
        <v/>
      </c>
      <c r="O31" s="100">
        <f>IF(G31="","",-0.5*((J31-Components!$D$6)/Components!$E$6)^2)</f>
        <v/>
      </c>
      <c r="P31" s="100">
        <f>IF(G31="","",-0.5*((J31-Components!$D$7)/Components!$E$7)^2)</f>
        <v/>
      </c>
      <c r="Q31" s="100">
        <f>IF(G31="","",EXP(LARGE(K31:P31,1)-MAX(K31:P31))/(EXP(K31-MAX(K31:P31))+EXP(L31-MAX(K31:P31))+EXP(M31-MAX(K31:P31))+EXP(N31-MAX(K31:P31))+EXP(O31-MAX(K31:P31))+EXP(P31-MAX(K31:P31))))</f>
        <v/>
      </c>
      <c r="R31" s="100">
        <f>IF(G31="","",EXP(LARGE(K31:P31,2)-MAX(K31:P31))/(EXP(K31-MAX(K31:P31))+EXP(L31-MAX(K31:P31))+EXP(M31-MAX(K31:P31))+EXP(N31-MAX(K31:P31))+EXP(O31-MAX(K31:P31))+EXP(P31-MAX(K31:P31))))</f>
        <v/>
      </c>
      <c r="S31" s="100">
        <f>IF(G31="","",Q31-R31)</f>
        <v/>
      </c>
      <c r="T31" s="98">
        <f>IF(G31="","",IF(AND(G31&gt;=H31-$B$6*I31,G31&lt;=H31+$B$6*I31),"OK","NG"))</f>
        <v/>
      </c>
      <c r="U31" s="69">
        <f>IF(T31="","",IF(T31=D31,1,0))</f>
        <v/>
      </c>
      <c r="V31" s="98">
        <f>IF(G31="","",IF(T31="OK","NONE",INDEX({"S1","S2","W1","W2","N1","N2"},MATCH(MAX(K31:P31),K31:P31,0))))</f>
        <v/>
      </c>
      <c r="W31" s="69">
        <f>IF(G31="","",IF(V31=E31,1,0))</f>
        <v/>
      </c>
      <c r="X31" s="115">
        <f>IF(G31="","",IF(AND(T31="NG",S31&lt;$B$7),"AMBIGUOUS","CONFIDENT"))</f>
        <v/>
      </c>
    </row>
    <row r="32">
      <c r="A32" s="102">
        <f>'Runs Z score'!A25</f>
        <v/>
      </c>
      <c r="B32" s="98">
        <f>'Runs Z score'!B25</f>
        <v/>
      </c>
      <c r="C32" s="98">
        <f>'Runs Z score'!C25</f>
        <v/>
      </c>
      <c r="D32" s="98">
        <f>'Runs Z score'!D25</f>
        <v/>
      </c>
      <c r="E32" s="98">
        <f>'Runs Z score'!E25</f>
        <v/>
      </c>
      <c r="F32" s="98">
        <f>'Runs Z score'!F25</f>
        <v/>
      </c>
      <c r="G32" s="99">
        <f>'Runs Z score'!G25</f>
        <v/>
      </c>
      <c r="H32" s="100">
        <f>VLOOKUP(C32,Recipes!$A$2:$N$4,10,FALSE())</f>
        <v/>
      </c>
      <c r="I32" s="101">
        <f>VLOOKUP(C32,Recipes!$A$2:$N$4,12,FALSE())</f>
        <v/>
      </c>
      <c r="J32" s="100">
        <f>IF(G32="","",H32-G32)</f>
        <v/>
      </c>
      <c r="K32" s="100">
        <f>IF(G32="","",-0.5*((J32-Components!$D$2)/Components!$E$2)^2)</f>
        <v/>
      </c>
      <c r="L32" s="100">
        <f>IF(G32="","",-0.5*((J32-Components!$D$3)/Components!$E$3)^2)</f>
        <v/>
      </c>
      <c r="M32" s="100">
        <f>IF(G32="","",-0.5*((J32-Components!$D$4)/Components!$E$4)^2)</f>
        <v/>
      </c>
      <c r="N32" s="100">
        <f>IF(G32="","",-0.5*((J32-Components!$D$5)/Components!$E$5)^2)</f>
        <v/>
      </c>
      <c r="O32" s="100">
        <f>IF(G32="","",-0.5*((J32-Components!$D$6)/Components!$E$6)^2)</f>
        <v/>
      </c>
      <c r="P32" s="100">
        <f>IF(G32="","",-0.5*((J32-Components!$D$7)/Components!$E$7)^2)</f>
        <v/>
      </c>
      <c r="Q32" s="100">
        <f>IF(G32="","",EXP(LARGE(K32:P32,1)-MAX(K32:P32))/(EXP(K32-MAX(K32:P32))+EXP(L32-MAX(K32:P32))+EXP(M32-MAX(K32:P32))+EXP(N32-MAX(K32:P32))+EXP(O32-MAX(K32:P32))+EXP(P32-MAX(K32:P32))))</f>
        <v/>
      </c>
      <c r="R32" s="100">
        <f>IF(G32="","",EXP(LARGE(K32:P32,2)-MAX(K32:P32))/(EXP(K32-MAX(K32:P32))+EXP(L32-MAX(K32:P32))+EXP(M32-MAX(K32:P32))+EXP(N32-MAX(K32:P32))+EXP(O32-MAX(K32:P32))+EXP(P32-MAX(K32:P32))))</f>
        <v/>
      </c>
      <c r="S32" s="100">
        <f>IF(G32="","",Q32-R32)</f>
        <v/>
      </c>
      <c r="T32" s="98">
        <f>IF(G32="","",IF(AND(G32&gt;=H32-$B$6*I32,G32&lt;=H32+$B$6*I32),"OK","NG"))</f>
        <v/>
      </c>
      <c r="U32" s="69">
        <f>IF(T32="","",IF(T32=D32,1,0))</f>
        <v/>
      </c>
      <c r="V32" s="98">
        <f>IF(G32="","",IF(T32="OK","NONE",INDEX({"S1","S2","W1","W2","N1","N2"},MATCH(MAX(K32:P32),K32:P32,0))))</f>
        <v/>
      </c>
      <c r="W32" s="69">
        <f>IF(G32="","",IF(V32=E32,1,0))</f>
        <v/>
      </c>
      <c r="X32" s="115">
        <f>IF(G32="","",IF(AND(T32="NG",S32&lt;$B$7),"AMBIGUOUS","CONFIDENT"))</f>
        <v/>
      </c>
    </row>
    <row r="33">
      <c r="A33" s="102">
        <f>'Runs Z score'!A26</f>
        <v/>
      </c>
      <c r="B33" s="98">
        <f>'Runs Z score'!B26</f>
        <v/>
      </c>
      <c r="C33" s="98">
        <f>'Runs Z score'!C26</f>
        <v/>
      </c>
      <c r="D33" s="98">
        <f>'Runs Z score'!D26</f>
        <v/>
      </c>
      <c r="E33" s="98">
        <f>'Runs Z score'!E26</f>
        <v/>
      </c>
      <c r="F33" s="98">
        <f>'Runs Z score'!F26</f>
        <v/>
      </c>
      <c r="G33" s="99">
        <f>'Runs Z score'!G26</f>
        <v/>
      </c>
      <c r="H33" s="100">
        <f>VLOOKUP(C33,Recipes!$A$2:$N$4,10,FALSE())</f>
        <v/>
      </c>
      <c r="I33" s="101">
        <f>VLOOKUP(C33,Recipes!$A$2:$N$4,12,FALSE())</f>
        <v/>
      </c>
      <c r="J33" s="100">
        <f>IF(G33="","",H33-G33)</f>
        <v/>
      </c>
      <c r="K33" s="100">
        <f>IF(G33="","",-0.5*((J33-Components!$D$2)/Components!$E$2)^2)</f>
        <v/>
      </c>
      <c r="L33" s="100">
        <f>IF(G33="","",-0.5*((J33-Components!$D$3)/Components!$E$3)^2)</f>
        <v/>
      </c>
      <c r="M33" s="100">
        <f>IF(G33="","",-0.5*((J33-Components!$D$4)/Components!$E$4)^2)</f>
        <v/>
      </c>
      <c r="N33" s="100">
        <f>IF(G33="","",-0.5*((J33-Components!$D$5)/Components!$E$5)^2)</f>
        <v/>
      </c>
      <c r="O33" s="100">
        <f>IF(G33="","",-0.5*((J33-Components!$D$6)/Components!$E$6)^2)</f>
        <v/>
      </c>
      <c r="P33" s="100">
        <f>IF(G33="","",-0.5*((J33-Components!$D$7)/Components!$E$7)^2)</f>
        <v/>
      </c>
      <c r="Q33" s="100">
        <f>IF(G33="","",EXP(LARGE(K33:P33,1)-MAX(K33:P33))/(EXP(K33-MAX(K33:P33))+EXP(L33-MAX(K33:P33))+EXP(M33-MAX(K33:P33))+EXP(N33-MAX(K33:P33))+EXP(O33-MAX(K33:P33))+EXP(P33-MAX(K33:P33))))</f>
        <v/>
      </c>
      <c r="R33" s="100">
        <f>IF(G33="","",EXP(LARGE(K33:P33,2)-MAX(K33:P33))/(EXP(K33-MAX(K33:P33))+EXP(L33-MAX(K33:P33))+EXP(M33-MAX(K33:P33))+EXP(N33-MAX(K33:P33))+EXP(O33-MAX(K33:P33))+EXP(P33-MAX(K33:P33))))</f>
        <v/>
      </c>
      <c r="S33" s="100">
        <f>IF(G33="","",Q33-R33)</f>
        <v/>
      </c>
      <c r="T33" s="98">
        <f>IF(G33="","",IF(AND(G33&gt;=H33-$B$6*I33,G33&lt;=H33+$B$6*I33),"OK","NG"))</f>
        <v/>
      </c>
      <c r="U33" s="69">
        <f>IF(T33="","",IF(T33=D33,1,0))</f>
        <v/>
      </c>
      <c r="V33" s="98">
        <f>IF(G33="","",IF(T33="OK","NONE",INDEX({"S1","S2","W1","W2","N1","N2"},MATCH(MAX(K33:P33),K33:P33,0))))</f>
        <v/>
      </c>
      <c r="W33" s="69">
        <f>IF(G33="","",IF(V33=E33,1,0))</f>
        <v/>
      </c>
      <c r="X33" s="115">
        <f>IF(G33="","",IF(AND(T33="NG",S33&lt;$B$7),"AMBIGUOUS","CONFIDENT"))</f>
        <v/>
      </c>
    </row>
    <row r="34">
      <c r="A34" s="102">
        <f>'Runs Z score'!A27</f>
        <v/>
      </c>
      <c r="B34" s="98">
        <f>'Runs Z score'!B27</f>
        <v/>
      </c>
      <c r="C34" s="98">
        <f>'Runs Z score'!C27</f>
        <v/>
      </c>
      <c r="D34" s="98">
        <f>'Runs Z score'!D27</f>
        <v/>
      </c>
      <c r="E34" s="98">
        <f>'Runs Z score'!E27</f>
        <v/>
      </c>
      <c r="F34" s="98">
        <f>'Runs Z score'!F27</f>
        <v/>
      </c>
      <c r="G34" s="99">
        <f>'Runs Z score'!G27</f>
        <v/>
      </c>
      <c r="H34" s="100">
        <f>VLOOKUP(C34,Recipes!$A$2:$N$4,10,FALSE())</f>
        <v/>
      </c>
      <c r="I34" s="101">
        <f>VLOOKUP(C34,Recipes!$A$2:$N$4,12,FALSE())</f>
        <v/>
      </c>
      <c r="J34" s="100">
        <f>IF(G34="","",H34-G34)</f>
        <v/>
      </c>
      <c r="K34" s="100">
        <f>IF(G34="","",-0.5*((J34-Components!$D$2)/Components!$E$2)^2)</f>
        <v/>
      </c>
      <c r="L34" s="100">
        <f>IF(G34="","",-0.5*((J34-Components!$D$3)/Components!$E$3)^2)</f>
        <v/>
      </c>
      <c r="M34" s="100">
        <f>IF(G34="","",-0.5*((J34-Components!$D$4)/Components!$E$4)^2)</f>
        <v/>
      </c>
      <c r="N34" s="100">
        <f>IF(G34="","",-0.5*((J34-Components!$D$5)/Components!$E$5)^2)</f>
        <v/>
      </c>
      <c r="O34" s="100">
        <f>IF(G34="","",-0.5*((J34-Components!$D$6)/Components!$E$6)^2)</f>
        <v/>
      </c>
      <c r="P34" s="100">
        <f>IF(G34="","",-0.5*((J34-Components!$D$7)/Components!$E$7)^2)</f>
        <v/>
      </c>
      <c r="Q34" s="100">
        <f>IF(G34="","",EXP(LARGE(K34:P34,1)-MAX(K34:P34))/(EXP(K34-MAX(K34:P34))+EXP(L34-MAX(K34:P34))+EXP(M34-MAX(K34:P34))+EXP(N34-MAX(K34:P34))+EXP(O34-MAX(K34:P34))+EXP(P34-MAX(K34:P34))))</f>
        <v/>
      </c>
      <c r="R34" s="100">
        <f>IF(G34="","",EXP(LARGE(K34:P34,2)-MAX(K34:P34))/(EXP(K34-MAX(K34:P34))+EXP(L34-MAX(K34:P34))+EXP(M34-MAX(K34:P34))+EXP(N34-MAX(K34:P34))+EXP(O34-MAX(K34:P34))+EXP(P34-MAX(K34:P34))))</f>
        <v/>
      </c>
      <c r="S34" s="100">
        <f>IF(G34="","",Q34-R34)</f>
        <v/>
      </c>
      <c r="T34" s="98">
        <f>IF(G34="","",IF(AND(G34&gt;=H34-$B$6*I34,G34&lt;=H34+$B$6*I34),"OK","NG"))</f>
        <v/>
      </c>
      <c r="U34" s="69">
        <f>IF(T34="","",IF(T34=D34,1,0))</f>
        <v/>
      </c>
      <c r="V34" s="98">
        <f>IF(G34="","",IF(T34="OK","NONE",INDEX({"S1","S2","W1","W2","N1","N2"},MATCH(MAX(K34:P34),K34:P34,0))))</f>
        <v/>
      </c>
      <c r="W34" s="69">
        <f>IF(G34="","",IF(V34=E34,1,0))</f>
        <v/>
      </c>
      <c r="X34" s="115">
        <f>IF(G34="","",IF(AND(T34="NG",S34&lt;$B$7),"AMBIGUOUS","CONFIDENT"))</f>
        <v/>
      </c>
    </row>
    <row r="35">
      <c r="A35" s="102">
        <f>'Runs Z score'!A28</f>
        <v/>
      </c>
      <c r="B35" s="98">
        <f>'Runs Z score'!B28</f>
        <v/>
      </c>
      <c r="C35" s="98">
        <f>'Runs Z score'!C28</f>
        <v/>
      </c>
      <c r="D35" s="98">
        <f>'Runs Z score'!D28</f>
        <v/>
      </c>
      <c r="E35" s="98">
        <f>'Runs Z score'!E28</f>
        <v/>
      </c>
      <c r="F35" s="98">
        <f>'Runs Z score'!F28</f>
        <v/>
      </c>
      <c r="G35" s="99">
        <f>'Runs Z score'!G28</f>
        <v/>
      </c>
      <c r="H35" s="100">
        <f>VLOOKUP(C35,Recipes!$A$2:$N$4,10,FALSE())</f>
        <v/>
      </c>
      <c r="I35" s="101">
        <f>VLOOKUP(C35,Recipes!$A$2:$N$4,12,FALSE())</f>
        <v/>
      </c>
      <c r="J35" s="100">
        <f>IF(G35="","",H35-G35)</f>
        <v/>
      </c>
      <c r="K35" s="100">
        <f>IF(G35="","",-0.5*((J35-Components!$D$2)/Components!$E$2)^2)</f>
        <v/>
      </c>
      <c r="L35" s="100">
        <f>IF(G35="","",-0.5*((J35-Components!$D$3)/Components!$E$3)^2)</f>
        <v/>
      </c>
      <c r="M35" s="100">
        <f>IF(G35="","",-0.5*((J35-Components!$D$4)/Components!$E$4)^2)</f>
        <v/>
      </c>
      <c r="N35" s="100">
        <f>IF(G35="","",-0.5*((J35-Components!$D$5)/Components!$E$5)^2)</f>
        <v/>
      </c>
      <c r="O35" s="100">
        <f>IF(G35="","",-0.5*((J35-Components!$D$6)/Components!$E$6)^2)</f>
        <v/>
      </c>
      <c r="P35" s="100">
        <f>IF(G35="","",-0.5*((J35-Components!$D$7)/Components!$E$7)^2)</f>
        <v/>
      </c>
      <c r="Q35" s="100">
        <f>IF(G35="","",EXP(LARGE(K35:P35,1)-MAX(K35:P35))/(EXP(K35-MAX(K35:P35))+EXP(L35-MAX(K35:P35))+EXP(M35-MAX(K35:P35))+EXP(N35-MAX(K35:P35))+EXP(O35-MAX(K35:P35))+EXP(P35-MAX(K35:P35))))</f>
        <v/>
      </c>
      <c r="R35" s="100">
        <f>IF(G35="","",EXP(LARGE(K35:P35,2)-MAX(K35:P35))/(EXP(K35-MAX(K35:P35))+EXP(L35-MAX(K35:P35))+EXP(M35-MAX(K35:P35))+EXP(N35-MAX(K35:P35))+EXP(O35-MAX(K35:P35))+EXP(P35-MAX(K35:P35))))</f>
        <v/>
      </c>
      <c r="S35" s="100">
        <f>IF(G35="","",Q35-R35)</f>
        <v/>
      </c>
      <c r="T35" s="98">
        <f>IF(G35="","",IF(AND(G35&gt;=H35-$B$6*I35,G35&lt;=H35+$B$6*I35),"OK","NG"))</f>
        <v/>
      </c>
      <c r="U35" s="69">
        <f>IF(T35="","",IF(T35=D35,1,0))</f>
        <v/>
      </c>
      <c r="V35" s="98">
        <f>IF(G35="","",IF(T35="OK","NONE",INDEX({"S1","S2","W1","W2","N1","N2"},MATCH(MAX(K35:P35),K35:P35,0))))</f>
        <v/>
      </c>
      <c r="W35" s="69">
        <f>IF(G35="","",IF(V35=E35,1,0))</f>
        <v/>
      </c>
      <c r="X35" s="115">
        <f>IF(G35="","",IF(AND(T35="NG",S35&lt;$B$7),"AMBIGUOUS","CONFIDENT"))</f>
        <v/>
      </c>
    </row>
    <row r="36">
      <c r="A36" s="102">
        <f>'Runs Z score'!A29</f>
        <v/>
      </c>
      <c r="B36" s="98">
        <f>'Runs Z score'!B29</f>
        <v/>
      </c>
      <c r="C36" s="98">
        <f>'Runs Z score'!C29</f>
        <v/>
      </c>
      <c r="D36" s="98">
        <f>'Runs Z score'!D29</f>
        <v/>
      </c>
      <c r="E36" s="98">
        <f>'Runs Z score'!E29</f>
        <v/>
      </c>
      <c r="F36" s="98">
        <f>'Runs Z score'!F29</f>
        <v/>
      </c>
      <c r="G36" s="99">
        <f>'Runs Z score'!G29</f>
        <v/>
      </c>
      <c r="H36" s="100">
        <f>VLOOKUP(C36,Recipes!$A$2:$N$4,10,FALSE())</f>
        <v/>
      </c>
      <c r="I36" s="101">
        <f>VLOOKUP(C36,Recipes!$A$2:$N$4,12,FALSE())</f>
        <v/>
      </c>
      <c r="J36" s="100">
        <f>IF(G36="","",H36-G36)</f>
        <v/>
      </c>
      <c r="K36" s="100">
        <f>IF(G36="","",-0.5*((J36-Components!$D$2)/Components!$E$2)^2)</f>
        <v/>
      </c>
      <c r="L36" s="100">
        <f>IF(G36="","",-0.5*((J36-Components!$D$3)/Components!$E$3)^2)</f>
        <v/>
      </c>
      <c r="M36" s="100">
        <f>IF(G36="","",-0.5*((J36-Components!$D$4)/Components!$E$4)^2)</f>
        <v/>
      </c>
      <c r="N36" s="100">
        <f>IF(G36="","",-0.5*((J36-Components!$D$5)/Components!$E$5)^2)</f>
        <v/>
      </c>
      <c r="O36" s="100">
        <f>IF(G36="","",-0.5*((J36-Components!$D$6)/Components!$E$6)^2)</f>
        <v/>
      </c>
      <c r="P36" s="100">
        <f>IF(G36="","",-0.5*((J36-Components!$D$7)/Components!$E$7)^2)</f>
        <v/>
      </c>
      <c r="Q36" s="100">
        <f>IF(G36="","",EXP(LARGE(K36:P36,1)-MAX(K36:P36))/(EXP(K36-MAX(K36:P36))+EXP(L36-MAX(K36:P36))+EXP(M36-MAX(K36:P36))+EXP(N36-MAX(K36:P36))+EXP(O36-MAX(K36:P36))+EXP(P36-MAX(K36:P36))))</f>
        <v/>
      </c>
      <c r="R36" s="100">
        <f>IF(G36="","",EXP(LARGE(K36:P36,2)-MAX(K36:P36))/(EXP(K36-MAX(K36:P36))+EXP(L36-MAX(K36:P36))+EXP(M36-MAX(K36:P36))+EXP(N36-MAX(K36:P36))+EXP(O36-MAX(K36:P36))+EXP(P36-MAX(K36:P36))))</f>
        <v/>
      </c>
      <c r="S36" s="100">
        <f>IF(G36="","",Q36-R36)</f>
        <v/>
      </c>
      <c r="T36" s="98">
        <f>IF(G36="","",IF(AND(G36&gt;=H36-$B$6*I36,G36&lt;=H36+$B$6*I36),"OK","NG"))</f>
        <v/>
      </c>
      <c r="U36" s="69">
        <f>IF(T36="","",IF(T36=D36,1,0))</f>
        <v/>
      </c>
      <c r="V36" s="98">
        <f>IF(G36="","",IF(T36="OK","NONE",INDEX({"S1","S2","W1","W2","N1","N2"},MATCH(MAX(K36:P36),K36:P36,0))))</f>
        <v/>
      </c>
      <c r="W36" s="69">
        <f>IF(G36="","",IF(V36=E36,1,0))</f>
        <v/>
      </c>
      <c r="X36" s="115">
        <f>IF(G36="","",IF(AND(T36="NG",S36&lt;$B$7),"AMBIGUOUS","CONFIDENT"))</f>
        <v/>
      </c>
    </row>
    <row r="37">
      <c r="A37" s="102">
        <f>'Runs Z score'!A30</f>
        <v/>
      </c>
      <c r="B37" s="98">
        <f>'Runs Z score'!B30</f>
        <v/>
      </c>
      <c r="C37" s="98">
        <f>'Runs Z score'!C30</f>
        <v/>
      </c>
      <c r="D37" s="98">
        <f>'Runs Z score'!D30</f>
        <v/>
      </c>
      <c r="E37" s="98">
        <f>'Runs Z score'!E30</f>
        <v/>
      </c>
      <c r="F37" s="98">
        <f>'Runs Z score'!F30</f>
        <v/>
      </c>
      <c r="G37" s="99">
        <f>'Runs Z score'!G30</f>
        <v/>
      </c>
      <c r="H37" s="100">
        <f>VLOOKUP(C37,Recipes!$A$2:$N$4,10,FALSE())</f>
        <v/>
      </c>
      <c r="I37" s="101">
        <f>VLOOKUP(C37,Recipes!$A$2:$N$4,12,FALSE())</f>
        <v/>
      </c>
      <c r="J37" s="100">
        <f>IF(G37="","",H37-G37)</f>
        <v/>
      </c>
      <c r="K37" s="100">
        <f>IF(G37="","",-0.5*((J37-Components!$D$2)/Components!$E$2)^2)</f>
        <v/>
      </c>
      <c r="L37" s="100">
        <f>IF(G37="","",-0.5*((J37-Components!$D$3)/Components!$E$3)^2)</f>
        <v/>
      </c>
      <c r="M37" s="100">
        <f>IF(G37="","",-0.5*((J37-Components!$D$4)/Components!$E$4)^2)</f>
        <v/>
      </c>
      <c r="N37" s="100">
        <f>IF(G37="","",-0.5*((J37-Components!$D$5)/Components!$E$5)^2)</f>
        <v/>
      </c>
      <c r="O37" s="100">
        <f>IF(G37="","",-0.5*((J37-Components!$D$6)/Components!$E$6)^2)</f>
        <v/>
      </c>
      <c r="P37" s="100">
        <f>IF(G37="","",-0.5*((J37-Components!$D$7)/Components!$E$7)^2)</f>
        <v/>
      </c>
      <c r="Q37" s="100">
        <f>IF(G37="","",EXP(LARGE(K37:P37,1)-MAX(K37:P37))/(EXP(K37-MAX(K37:P37))+EXP(L37-MAX(K37:P37))+EXP(M37-MAX(K37:P37))+EXP(N37-MAX(K37:P37))+EXP(O37-MAX(K37:P37))+EXP(P37-MAX(K37:P37))))</f>
        <v/>
      </c>
      <c r="R37" s="100">
        <f>IF(G37="","",EXP(LARGE(K37:P37,2)-MAX(K37:P37))/(EXP(K37-MAX(K37:P37))+EXP(L37-MAX(K37:P37))+EXP(M37-MAX(K37:P37))+EXP(N37-MAX(K37:P37))+EXP(O37-MAX(K37:P37))+EXP(P37-MAX(K37:P37))))</f>
        <v/>
      </c>
      <c r="S37" s="100">
        <f>IF(G37="","",Q37-R37)</f>
        <v/>
      </c>
      <c r="T37" s="98">
        <f>IF(G37="","",IF(AND(G37&gt;=H37-$B$6*I37,G37&lt;=H37+$B$6*I37),"OK","NG"))</f>
        <v/>
      </c>
      <c r="U37" s="69">
        <f>IF(T37="","",IF(T37=D37,1,0))</f>
        <v/>
      </c>
      <c r="V37" s="98">
        <f>IF(G37="","",IF(T37="OK","NONE",INDEX({"S1","S2","W1","W2","N1","N2"},MATCH(MAX(K37:P37),K37:P37,0))))</f>
        <v/>
      </c>
      <c r="W37" s="69">
        <f>IF(G37="","",IF(V37=E37,1,0))</f>
        <v/>
      </c>
      <c r="X37" s="115">
        <f>IF(G37="","",IF(AND(T37="NG",S37&lt;$B$7),"AMBIGUOUS","CONFIDENT"))</f>
        <v/>
      </c>
    </row>
    <row r="38">
      <c r="A38" s="102">
        <f>'Runs Z score'!A31</f>
        <v/>
      </c>
      <c r="B38" s="98">
        <f>'Runs Z score'!B31</f>
        <v/>
      </c>
      <c r="C38" s="98">
        <f>'Runs Z score'!C31</f>
        <v/>
      </c>
      <c r="D38" s="98">
        <f>'Runs Z score'!D31</f>
        <v/>
      </c>
      <c r="E38" s="98">
        <f>'Runs Z score'!E31</f>
        <v/>
      </c>
      <c r="F38" s="98">
        <f>'Runs Z score'!F31</f>
        <v/>
      </c>
      <c r="G38" s="99">
        <f>'Runs Z score'!G31</f>
        <v/>
      </c>
      <c r="H38" s="100">
        <f>VLOOKUP(C38,Recipes!$A$2:$N$4,10,FALSE())</f>
        <v/>
      </c>
      <c r="I38" s="101">
        <f>VLOOKUP(C38,Recipes!$A$2:$N$4,12,FALSE())</f>
        <v/>
      </c>
      <c r="J38" s="100">
        <f>IF(G38="","",H38-G38)</f>
        <v/>
      </c>
      <c r="K38" s="100">
        <f>IF(G38="","",-0.5*((J38-Components!$D$2)/Components!$E$2)^2)</f>
        <v/>
      </c>
      <c r="L38" s="100">
        <f>IF(G38="","",-0.5*((J38-Components!$D$3)/Components!$E$3)^2)</f>
        <v/>
      </c>
      <c r="M38" s="100">
        <f>IF(G38="","",-0.5*((J38-Components!$D$4)/Components!$E$4)^2)</f>
        <v/>
      </c>
      <c r="N38" s="100">
        <f>IF(G38="","",-0.5*((J38-Components!$D$5)/Components!$E$5)^2)</f>
        <v/>
      </c>
      <c r="O38" s="100">
        <f>IF(G38="","",-0.5*((J38-Components!$D$6)/Components!$E$6)^2)</f>
        <v/>
      </c>
      <c r="P38" s="100">
        <f>IF(G38="","",-0.5*((J38-Components!$D$7)/Components!$E$7)^2)</f>
        <v/>
      </c>
      <c r="Q38" s="100">
        <f>IF(G38="","",EXP(LARGE(K38:P38,1)-MAX(K38:P38))/(EXP(K38-MAX(K38:P38))+EXP(L38-MAX(K38:P38))+EXP(M38-MAX(K38:P38))+EXP(N38-MAX(K38:P38))+EXP(O38-MAX(K38:P38))+EXP(P38-MAX(K38:P38))))</f>
        <v/>
      </c>
      <c r="R38" s="100">
        <f>IF(G38="","",EXP(LARGE(K38:P38,2)-MAX(K38:P38))/(EXP(K38-MAX(K38:P38))+EXP(L38-MAX(K38:P38))+EXP(M38-MAX(K38:P38))+EXP(N38-MAX(K38:P38))+EXP(O38-MAX(K38:P38))+EXP(P38-MAX(K38:P38))))</f>
        <v/>
      </c>
      <c r="S38" s="100">
        <f>IF(G38="","",Q38-R38)</f>
        <v/>
      </c>
      <c r="T38" s="98">
        <f>IF(G38="","",IF(AND(G38&gt;=H38-$B$6*I38,G38&lt;=H38+$B$6*I38),"OK","NG"))</f>
        <v/>
      </c>
      <c r="U38" s="69">
        <f>IF(T38="","",IF(T38=D38,1,0))</f>
        <v/>
      </c>
      <c r="V38" s="98">
        <f>IF(G38="","",IF(T38="OK","NONE",INDEX({"S1","S2","W1","W2","N1","N2"},MATCH(MAX(K38:P38),K38:P38,0))))</f>
        <v/>
      </c>
      <c r="W38" s="69">
        <f>IF(G38="","",IF(V38=E38,1,0))</f>
        <v/>
      </c>
      <c r="X38" s="115">
        <f>IF(G38="","",IF(AND(T38="NG",S38&lt;$B$7),"AMBIGUOUS","CONFIDENT"))</f>
        <v/>
      </c>
    </row>
    <row r="39">
      <c r="A39" s="102">
        <f>'Runs Z score'!A32</f>
        <v/>
      </c>
      <c r="B39" s="98">
        <f>'Runs Z score'!B32</f>
        <v/>
      </c>
      <c r="C39" s="98">
        <f>'Runs Z score'!C32</f>
        <v/>
      </c>
      <c r="D39" s="98">
        <f>'Runs Z score'!D32</f>
        <v/>
      </c>
      <c r="E39" s="98">
        <f>'Runs Z score'!E32</f>
        <v/>
      </c>
      <c r="F39" s="98">
        <f>'Runs Z score'!F32</f>
        <v/>
      </c>
      <c r="G39" s="99">
        <f>'Runs Z score'!G32</f>
        <v/>
      </c>
      <c r="H39" s="100">
        <f>VLOOKUP(C39,Recipes!$A$2:$N$4,10,FALSE())</f>
        <v/>
      </c>
      <c r="I39" s="101">
        <f>VLOOKUP(C39,Recipes!$A$2:$N$4,12,FALSE())</f>
        <v/>
      </c>
      <c r="J39" s="100">
        <f>IF(G39="","",H39-G39)</f>
        <v/>
      </c>
      <c r="K39" s="100">
        <f>IF(G39="","",-0.5*((J39-Components!$D$2)/Components!$E$2)^2)</f>
        <v/>
      </c>
      <c r="L39" s="100">
        <f>IF(G39="","",-0.5*((J39-Components!$D$3)/Components!$E$3)^2)</f>
        <v/>
      </c>
      <c r="M39" s="100">
        <f>IF(G39="","",-0.5*((J39-Components!$D$4)/Components!$E$4)^2)</f>
        <v/>
      </c>
      <c r="N39" s="100">
        <f>IF(G39="","",-0.5*((J39-Components!$D$5)/Components!$E$5)^2)</f>
        <v/>
      </c>
      <c r="O39" s="100">
        <f>IF(G39="","",-0.5*((J39-Components!$D$6)/Components!$E$6)^2)</f>
        <v/>
      </c>
      <c r="P39" s="100">
        <f>IF(G39="","",-0.5*((J39-Components!$D$7)/Components!$E$7)^2)</f>
        <v/>
      </c>
      <c r="Q39" s="100">
        <f>IF(G39="","",EXP(LARGE(K39:P39,1)-MAX(K39:P39))/(EXP(K39-MAX(K39:P39))+EXP(L39-MAX(K39:P39))+EXP(M39-MAX(K39:P39))+EXP(N39-MAX(K39:P39))+EXP(O39-MAX(K39:P39))+EXP(P39-MAX(K39:P39))))</f>
        <v/>
      </c>
      <c r="R39" s="100">
        <f>IF(G39="","",EXP(LARGE(K39:P39,2)-MAX(K39:P39))/(EXP(K39-MAX(K39:P39))+EXP(L39-MAX(K39:P39))+EXP(M39-MAX(K39:P39))+EXP(N39-MAX(K39:P39))+EXP(O39-MAX(K39:P39))+EXP(P39-MAX(K39:P39))))</f>
        <v/>
      </c>
      <c r="S39" s="100">
        <f>IF(G39="","",Q39-R39)</f>
        <v/>
      </c>
      <c r="T39" s="98">
        <f>IF(G39="","",IF(AND(G39&gt;=H39-$B$6*I39,G39&lt;=H39+$B$6*I39),"OK","NG"))</f>
        <v/>
      </c>
      <c r="U39" s="69">
        <f>IF(T39="","",IF(T39=D39,1,0))</f>
        <v/>
      </c>
      <c r="V39" s="98">
        <f>IF(G39="","",IF(T39="OK","NONE",INDEX({"S1","S2","W1","W2","N1","N2"},MATCH(MAX(K39:P39),K39:P39,0))))</f>
        <v/>
      </c>
      <c r="W39" s="71">
        <f>IF(G39="","",IF(V39=E39,1,0))</f>
        <v/>
      </c>
      <c r="X39" s="115">
        <f>IF(G39="","",IF(AND(T39="NG",S39&lt;$B$7),"AMBIGUOUS","CONFIDENT"))</f>
        <v/>
      </c>
    </row>
    <row r="40">
      <c r="A40" s="102">
        <f>'Runs Z score'!A33</f>
        <v/>
      </c>
      <c r="B40" s="98">
        <f>'Runs Z score'!B33</f>
        <v/>
      </c>
      <c r="C40" s="98">
        <f>'Runs Z score'!C33</f>
        <v/>
      </c>
      <c r="D40" s="98">
        <f>'Runs Z score'!D33</f>
        <v/>
      </c>
      <c r="E40" s="98">
        <f>'Runs Z score'!E33</f>
        <v/>
      </c>
      <c r="F40" s="98">
        <f>'Runs Z score'!F33</f>
        <v/>
      </c>
      <c r="G40" s="99">
        <f>'Runs Z score'!G33</f>
        <v/>
      </c>
      <c r="H40" s="100">
        <f>VLOOKUP(C40,Recipes!$A$2:$N$4,10,FALSE())</f>
        <v/>
      </c>
      <c r="I40" s="101">
        <f>VLOOKUP(C40,Recipes!$A$2:$N$4,12,FALSE())</f>
        <v/>
      </c>
      <c r="J40" s="100">
        <f>IF(G40="","",H40-G40)</f>
        <v/>
      </c>
      <c r="K40" s="100">
        <f>IF(G40="","",-0.5*((J40-Components!$D$2)/Components!$E$2)^2)</f>
        <v/>
      </c>
      <c r="L40" s="100">
        <f>IF(G40="","",-0.5*((J40-Components!$D$3)/Components!$E$3)^2)</f>
        <v/>
      </c>
      <c r="M40" s="100">
        <f>IF(G40="","",-0.5*((J40-Components!$D$4)/Components!$E$4)^2)</f>
        <v/>
      </c>
      <c r="N40" s="100">
        <f>IF(G40="","",-0.5*((J40-Components!$D$5)/Components!$E$5)^2)</f>
        <v/>
      </c>
      <c r="O40" s="100">
        <f>IF(G40="","",-0.5*((J40-Components!$D$6)/Components!$E$6)^2)</f>
        <v/>
      </c>
      <c r="P40" s="100">
        <f>IF(G40="","",-0.5*((J40-Components!$D$7)/Components!$E$7)^2)</f>
        <v/>
      </c>
      <c r="Q40" s="100">
        <f>IF(G40="","",EXP(LARGE(K40:P40,1)-MAX(K40:P40))/(EXP(K40-MAX(K40:P40))+EXP(L40-MAX(K40:P40))+EXP(M40-MAX(K40:P40))+EXP(N40-MAX(K40:P40))+EXP(O40-MAX(K40:P40))+EXP(P40-MAX(K40:P40))))</f>
        <v/>
      </c>
      <c r="R40" s="100">
        <f>IF(G40="","",EXP(LARGE(K40:P40,2)-MAX(K40:P40))/(EXP(K40-MAX(K40:P40))+EXP(L40-MAX(K40:P40))+EXP(M40-MAX(K40:P40))+EXP(N40-MAX(K40:P40))+EXP(O40-MAX(K40:P40))+EXP(P40-MAX(K40:P40))))</f>
        <v/>
      </c>
      <c r="S40" s="100">
        <f>IF(G40="","",Q40-R40)</f>
        <v/>
      </c>
      <c r="T40" s="98">
        <f>IF(G40="","",IF(AND(G40&gt;=H40-$B$6*I40,G40&lt;=H40+$B$6*I40),"OK","NG"))</f>
        <v/>
      </c>
      <c r="U40" s="69">
        <f>IF(T40="","",IF(T40=D40,1,0))</f>
        <v/>
      </c>
      <c r="V40" s="98">
        <f>IF(G40="","",IF(T40="OK","NONE",INDEX({"S1","S2","W1","W2","N1","N2"},MATCH(MAX(K40:P40),K40:P40,0))))</f>
        <v/>
      </c>
      <c r="W40" s="69">
        <f>IF(G40="","",IF(V40=E40,1,0))</f>
        <v/>
      </c>
      <c r="X40" s="115">
        <f>IF(G40="","",IF(AND(T40="NG",S40&lt;$B$7),"AMBIGUOUS","CONFIDENT"))</f>
        <v/>
      </c>
    </row>
    <row r="41">
      <c r="A41" s="102">
        <f>'Runs Z score'!A34</f>
        <v/>
      </c>
      <c r="B41" s="98">
        <f>'Runs Z score'!B34</f>
        <v/>
      </c>
      <c r="C41" s="98">
        <f>'Runs Z score'!C34</f>
        <v/>
      </c>
      <c r="D41" s="98">
        <f>'Runs Z score'!D34</f>
        <v/>
      </c>
      <c r="E41" s="98">
        <f>'Runs Z score'!E34</f>
        <v/>
      </c>
      <c r="F41" s="98">
        <f>'Runs Z score'!F34</f>
        <v/>
      </c>
      <c r="G41" s="99">
        <f>'Runs Z score'!G34</f>
        <v/>
      </c>
      <c r="H41" s="100">
        <f>VLOOKUP(C41,Recipes!$A$2:$N$4,10,FALSE())</f>
        <v/>
      </c>
      <c r="I41" s="101">
        <f>VLOOKUP(C41,Recipes!$A$2:$N$4,12,FALSE())</f>
        <v/>
      </c>
      <c r="J41" s="100">
        <f>IF(G41="","",H41-G41)</f>
        <v/>
      </c>
      <c r="K41" s="100">
        <f>IF(G41="","",-0.5*((J41-Components!$D$2)/Components!$E$2)^2)</f>
        <v/>
      </c>
      <c r="L41" s="100">
        <f>IF(G41="","",-0.5*((J41-Components!$D$3)/Components!$E$3)^2)</f>
        <v/>
      </c>
      <c r="M41" s="100">
        <f>IF(G41="","",-0.5*((J41-Components!$D$4)/Components!$E$4)^2)</f>
        <v/>
      </c>
      <c r="N41" s="100">
        <f>IF(G41="","",-0.5*((J41-Components!$D$5)/Components!$E$5)^2)</f>
        <v/>
      </c>
      <c r="O41" s="100">
        <f>IF(G41="","",-0.5*((J41-Components!$D$6)/Components!$E$6)^2)</f>
        <v/>
      </c>
      <c r="P41" s="100">
        <f>IF(G41="","",-0.5*((J41-Components!$D$7)/Components!$E$7)^2)</f>
        <v/>
      </c>
      <c r="Q41" s="100">
        <f>IF(G41="","",EXP(LARGE(K41:P41,1)-MAX(K41:P41))/(EXP(K41-MAX(K41:P41))+EXP(L41-MAX(K41:P41))+EXP(M41-MAX(K41:P41))+EXP(N41-MAX(K41:P41))+EXP(O41-MAX(K41:P41))+EXP(P41-MAX(K41:P41))))</f>
        <v/>
      </c>
      <c r="R41" s="100">
        <f>IF(G41="","",EXP(LARGE(K41:P41,2)-MAX(K41:P41))/(EXP(K41-MAX(K41:P41))+EXP(L41-MAX(K41:P41))+EXP(M41-MAX(K41:P41))+EXP(N41-MAX(K41:P41))+EXP(O41-MAX(K41:P41))+EXP(P41-MAX(K41:P41))))</f>
        <v/>
      </c>
      <c r="S41" s="100">
        <f>IF(G41="","",Q41-R41)</f>
        <v/>
      </c>
      <c r="T41" s="98">
        <f>IF(G41="","",IF(AND(G41&gt;=H41-$B$6*I41,G41&lt;=H41+$B$6*I41),"OK","NG"))</f>
        <v/>
      </c>
      <c r="U41" s="69">
        <f>IF(T41="","",IF(T41=D41,1,0))</f>
        <v/>
      </c>
      <c r="V41" s="98">
        <f>IF(G41="","",IF(T41="OK","NONE",INDEX({"S1","S2","W1","W2","N1","N2"},MATCH(MAX(K41:P41),K41:P41,0))))</f>
        <v/>
      </c>
      <c r="W41" s="69">
        <f>IF(G41="","",IF(V41=E41,1,0))</f>
        <v/>
      </c>
      <c r="X41" s="115">
        <f>IF(G41="","",IF(AND(T41="NG",S41&lt;$B$7),"AMBIGUOUS","CONFIDENT"))</f>
        <v/>
      </c>
    </row>
    <row r="42">
      <c r="A42" s="102">
        <f>'Runs Z score'!A35</f>
        <v/>
      </c>
      <c r="B42" s="98">
        <f>'Runs Z score'!B35</f>
        <v/>
      </c>
      <c r="C42" s="98">
        <f>'Runs Z score'!C35</f>
        <v/>
      </c>
      <c r="D42" s="98">
        <f>'Runs Z score'!D35</f>
        <v/>
      </c>
      <c r="E42" s="98">
        <f>'Runs Z score'!E35</f>
        <v/>
      </c>
      <c r="F42" s="98">
        <f>'Runs Z score'!F35</f>
        <v/>
      </c>
      <c r="G42" s="99">
        <f>'Runs Z score'!G35</f>
        <v/>
      </c>
      <c r="H42" s="100">
        <f>VLOOKUP(C42,Recipes!$A$2:$N$4,10,FALSE())</f>
        <v/>
      </c>
      <c r="I42" s="101">
        <f>VLOOKUP(C42,Recipes!$A$2:$N$4,12,FALSE())</f>
        <v/>
      </c>
      <c r="J42" s="100">
        <f>IF(G42="","",H42-G42)</f>
        <v/>
      </c>
      <c r="K42" s="100">
        <f>IF(G42="","",-0.5*((J42-Components!$D$2)/Components!$E$2)^2)</f>
        <v/>
      </c>
      <c r="L42" s="100">
        <f>IF(G42="","",-0.5*((J42-Components!$D$3)/Components!$E$3)^2)</f>
        <v/>
      </c>
      <c r="M42" s="100">
        <f>IF(G42="","",-0.5*((J42-Components!$D$4)/Components!$E$4)^2)</f>
        <v/>
      </c>
      <c r="N42" s="100">
        <f>IF(G42="","",-0.5*((J42-Components!$D$5)/Components!$E$5)^2)</f>
        <v/>
      </c>
      <c r="O42" s="100">
        <f>IF(G42="","",-0.5*((J42-Components!$D$6)/Components!$E$6)^2)</f>
        <v/>
      </c>
      <c r="P42" s="100">
        <f>IF(G42="","",-0.5*((J42-Components!$D$7)/Components!$E$7)^2)</f>
        <v/>
      </c>
      <c r="Q42" s="100">
        <f>IF(G42="","",EXP(LARGE(K42:P42,1)-MAX(K42:P42))/(EXP(K42-MAX(K42:P42))+EXP(L42-MAX(K42:P42))+EXP(M42-MAX(K42:P42))+EXP(N42-MAX(K42:P42))+EXP(O42-MAX(K42:P42))+EXP(P42-MAX(K42:P42))))</f>
        <v/>
      </c>
      <c r="R42" s="100">
        <f>IF(G42="","",EXP(LARGE(K42:P42,2)-MAX(K42:P42))/(EXP(K42-MAX(K42:P42))+EXP(L42-MAX(K42:P42))+EXP(M42-MAX(K42:P42))+EXP(N42-MAX(K42:P42))+EXP(O42-MAX(K42:P42))+EXP(P42-MAX(K42:P42))))</f>
        <v/>
      </c>
      <c r="S42" s="100">
        <f>IF(G42="","",Q42-R42)</f>
        <v/>
      </c>
      <c r="T42" s="98">
        <f>IF(G42="","",IF(AND(G42&gt;=H42-$B$6*I42,G42&lt;=H42+$B$6*I42),"OK","NG"))</f>
        <v/>
      </c>
      <c r="U42" s="69">
        <f>IF(T42="","",IF(T42=D42,1,0))</f>
        <v/>
      </c>
      <c r="V42" s="98">
        <f>IF(G42="","",IF(T42="OK","NONE",INDEX({"S1","S2","W1","W2","N1","N2"},MATCH(MAX(K42:P42),K42:P42,0))))</f>
        <v/>
      </c>
      <c r="W42" s="69">
        <f>IF(G42="","",IF(V42=E42,1,0))</f>
        <v/>
      </c>
      <c r="X42" s="115">
        <f>IF(G42="","",IF(AND(T42="NG",S42&lt;$B$7),"AMBIGUOUS","CONFIDENT"))</f>
        <v/>
      </c>
    </row>
    <row r="43">
      <c r="A43" s="102">
        <f>'Runs Z score'!A36</f>
        <v/>
      </c>
      <c r="B43" s="98">
        <f>'Runs Z score'!B36</f>
        <v/>
      </c>
      <c r="C43" s="98">
        <f>'Runs Z score'!C36</f>
        <v/>
      </c>
      <c r="D43" s="98">
        <f>'Runs Z score'!D36</f>
        <v/>
      </c>
      <c r="E43" s="98">
        <f>'Runs Z score'!E36</f>
        <v/>
      </c>
      <c r="F43" s="98">
        <f>'Runs Z score'!F36</f>
        <v/>
      </c>
      <c r="G43" s="99">
        <f>'Runs Z score'!G36</f>
        <v/>
      </c>
      <c r="H43" s="100">
        <f>VLOOKUP(C43,Recipes!$A$2:$N$4,10,FALSE())</f>
        <v/>
      </c>
      <c r="I43" s="101">
        <f>VLOOKUP(C43,Recipes!$A$2:$N$4,12,FALSE())</f>
        <v/>
      </c>
      <c r="J43" s="100">
        <f>IF(G43="","",H43-G43)</f>
        <v/>
      </c>
      <c r="K43" s="100">
        <f>IF(G43="","",-0.5*((J43-Components!$D$2)/Components!$E$2)^2)</f>
        <v/>
      </c>
      <c r="L43" s="100">
        <f>IF(G43="","",-0.5*((J43-Components!$D$3)/Components!$E$3)^2)</f>
        <v/>
      </c>
      <c r="M43" s="100">
        <f>IF(G43="","",-0.5*((J43-Components!$D$4)/Components!$E$4)^2)</f>
        <v/>
      </c>
      <c r="N43" s="100">
        <f>IF(G43="","",-0.5*((J43-Components!$D$5)/Components!$E$5)^2)</f>
        <v/>
      </c>
      <c r="O43" s="100">
        <f>IF(G43="","",-0.5*((J43-Components!$D$6)/Components!$E$6)^2)</f>
        <v/>
      </c>
      <c r="P43" s="100">
        <f>IF(G43="","",-0.5*((J43-Components!$D$7)/Components!$E$7)^2)</f>
        <v/>
      </c>
      <c r="Q43" s="100">
        <f>IF(G43="","",EXP(LARGE(K43:P43,1)-MAX(K43:P43))/(EXP(K43-MAX(K43:P43))+EXP(L43-MAX(K43:P43))+EXP(M43-MAX(K43:P43))+EXP(N43-MAX(K43:P43))+EXP(O43-MAX(K43:P43))+EXP(P43-MAX(K43:P43))))</f>
        <v/>
      </c>
      <c r="R43" s="100">
        <f>IF(G43="","",EXP(LARGE(K43:P43,2)-MAX(K43:P43))/(EXP(K43-MAX(K43:P43))+EXP(L43-MAX(K43:P43))+EXP(M43-MAX(K43:P43))+EXP(N43-MAX(K43:P43))+EXP(O43-MAX(K43:P43))+EXP(P43-MAX(K43:P43))))</f>
        <v/>
      </c>
      <c r="S43" s="100">
        <f>IF(G43="","",Q43-R43)</f>
        <v/>
      </c>
      <c r="T43" s="98">
        <f>IF(G43="","",IF(AND(G43&gt;=H43-$B$6*I43,G43&lt;=H43+$B$6*I43),"OK","NG"))</f>
        <v/>
      </c>
      <c r="U43" s="69">
        <f>IF(T43="","",IF(T43=D43,1,0))</f>
        <v/>
      </c>
      <c r="V43" s="98">
        <f>IF(G43="","",IF(T43="OK","NONE",INDEX({"S1","S2","W1","W2","N1","N2"},MATCH(MAX(K43:P43),K43:P43,0))))</f>
        <v/>
      </c>
      <c r="W43" s="69">
        <f>IF(G43="","",IF(V43=E43,1,0))</f>
        <v/>
      </c>
      <c r="X43" s="115">
        <f>IF(G43="","",IF(AND(T43="NG",S43&lt;$B$7),"AMBIGUOUS","CONFIDENT"))</f>
        <v/>
      </c>
    </row>
    <row r="44">
      <c r="A44" s="102">
        <f>'Runs Z score'!A37</f>
        <v/>
      </c>
      <c r="B44" s="98">
        <f>'Runs Z score'!B37</f>
        <v/>
      </c>
      <c r="C44" s="98">
        <f>'Runs Z score'!C37</f>
        <v/>
      </c>
      <c r="D44" s="98">
        <f>'Runs Z score'!D37</f>
        <v/>
      </c>
      <c r="E44" s="98">
        <f>'Runs Z score'!E37</f>
        <v/>
      </c>
      <c r="F44" s="98">
        <f>'Runs Z score'!F37</f>
        <v/>
      </c>
      <c r="G44" s="99">
        <f>'Runs Z score'!G37</f>
        <v/>
      </c>
      <c r="H44" s="100">
        <f>VLOOKUP(C44,Recipes!$A$2:$N$4,10,FALSE())</f>
        <v/>
      </c>
      <c r="I44" s="101">
        <f>VLOOKUP(C44,Recipes!$A$2:$N$4,12,FALSE())</f>
        <v/>
      </c>
      <c r="J44" s="100">
        <f>IF(G44="","",H44-G44)</f>
        <v/>
      </c>
      <c r="K44" s="100">
        <f>IF(G44="","",-0.5*((J44-Components!$D$2)/Components!$E$2)^2)</f>
        <v/>
      </c>
      <c r="L44" s="100">
        <f>IF(G44="","",-0.5*((J44-Components!$D$3)/Components!$E$3)^2)</f>
        <v/>
      </c>
      <c r="M44" s="100">
        <f>IF(G44="","",-0.5*((J44-Components!$D$4)/Components!$E$4)^2)</f>
        <v/>
      </c>
      <c r="N44" s="100">
        <f>IF(G44="","",-0.5*((J44-Components!$D$5)/Components!$E$5)^2)</f>
        <v/>
      </c>
      <c r="O44" s="100">
        <f>IF(G44="","",-0.5*((J44-Components!$D$6)/Components!$E$6)^2)</f>
        <v/>
      </c>
      <c r="P44" s="100">
        <f>IF(G44="","",-0.5*((J44-Components!$D$7)/Components!$E$7)^2)</f>
        <v/>
      </c>
      <c r="Q44" s="100">
        <f>IF(G44="","",EXP(LARGE(K44:P44,1)-MAX(K44:P44))/(EXP(K44-MAX(K44:P44))+EXP(L44-MAX(K44:P44))+EXP(M44-MAX(K44:P44))+EXP(N44-MAX(K44:P44))+EXP(O44-MAX(K44:P44))+EXP(P44-MAX(K44:P44))))</f>
        <v/>
      </c>
      <c r="R44" s="100">
        <f>IF(G44="","",EXP(LARGE(K44:P44,2)-MAX(K44:P44))/(EXP(K44-MAX(K44:P44))+EXP(L44-MAX(K44:P44))+EXP(M44-MAX(K44:P44))+EXP(N44-MAX(K44:P44))+EXP(O44-MAX(K44:P44))+EXP(P44-MAX(K44:P44))))</f>
        <v/>
      </c>
      <c r="S44" s="100">
        <f>IF(G44="","",Q44-R44)</f>
        <v/>
      </c>
      <c r="T44" s="98">
        <f>IF(G44="","",IF(AND(G44&gt;=H44-$B$6*I44,G44&lt;=H44+$B$6*I44),"OK","NG"))</f>
        <v/>
      </c>
      <c r="U44" s="69">
        <f>IF(T44="","",IF(T44=D44,1,0))</f>
        <v/>
      </c>
      <c r="V44" s="98">
        <f>IF(G44="","",IF(T44="OK","NONE",INDEX({"S1","S2","W1","W2","N1","N2"},MATCH(MAX(K44:P44),K44:P44,0))))</f>
        <v/>
      </c>
      <c r="W44" s="69">
        <f>IF(G44="","",IF(V44=E44,1,0))</f>
        <v/>
      </c>
      <c r="X44" s="115">
        <f>IF(G44="","",IF(AND(T44="NG",S44&lt;$B$7),"AMBIGUOUS","CONFIDENT"))</f>
        <v/>
      </c>
    </row>
    <row r="45">
      <c r="A45" s="102">
        <f>'Runs Z score'!A38</f>
        <v/>
      </c>
      <c r="B45" s="98">
        <f>'Runs Z score'!B38</f>
        <v/>
      </c>
      <c r="C45" s="98">
        <f>'Runs Z score'!C38</f>
        <v/>
      </c>
      <c r="D45" s="98">
        <f>'Runs Z score'!D38</f>
        <v/>
      </c>
      <c r="E45" s="98">
        <f>'Runs Z score'!E38</f>
        <v/>
      </c>
      <c r="F45" s="98">
        <f>'Runs Z score'!F38</f>
        <v/>
      </c>
      <c r="G45" s="99">
        <f>'Runs Z score'!G38</f>
        <v/>
      </c>
      <c r="H45" s="100">
        <f>VLOOKUP(C45,Recipes!$A$2:$N$4,10,FALSE())</f>
        <v/>
      </c>
      <c r="I45" s="101">
        <f>VLOOKUP(C45,Recipes!$A$2:$N$4,12,FALSE())</f>
        <v/>
      </c>
      <c r="J45" s="100">
        <f>IF(G45="","",H45-G45)</f>
        <v/>
      </c>
      <c r="K45" s="100">
        <f>IF(G45="","",-0.5*((J45-Components!$D$2)/Components!$E$2)^2)</f>
        <v/>
      </c>
      <c r="L45" s="100">
        <f>IF(G45="","",-0.5*((J45-Components!$D$3)/Components!$E$3)^2)</f>
        <v/>
      </c>
      <c r="M45" s="100">
        <f>IF(G45="","",-0.5*((J45-Components!$D$4)/Components!$E$4)^2)</f>
        <v/>
      </c>
      <c r="N45" s="100">
        <f>IF(G45="","",-0.5*((J45-Components!$D$5)/Components!$E$5)^2)</f>
        <v/>
      </c>
      <c r="O45" s="100">
        <f>IF(G45="","",-0.5*((J45-Components!$D$6)/Components!$E$6)^2)</f>
        <v/>
      </c>
      <c r="P45" s="100">
        <f>IF(G45="","",-0.5*((J45-Components!$D$7)/Components!$E$7)^2)</f>
        <v/>
      </c>
      <c r="Q45" s="100">
        <f>IF(G45="","",EXP(LARGE(K45:P45,1)-MAX(K45:P45))/(EXP(K45-MAX(K45:P45))+EXP(L45-MAX(K45:P45))+EXP(M45-MAX(K45:P45))+EXP(N45-MAX(K45:P45))+EXP(O45-MAX(K45:P45))+EXP(P45-MAX(K45:P45))))</f>
        <v/>
      </c>
      <c r="R45" s="100">
        <f>IF(G45="","",EXP(LARGE(K45:P45,2)-MAX(K45:P45))/(EXP(K45-MAX(K45:P45))+EXP(L45-MAX(K45:P45))+EXP(M45-MAX(K45:P45))+EXP(N45-MAX(K45:P45))+EXP(O45-MAX(K45:P45))+EXP(P45-MAX(K45:P45))))</f>
        <v/>
      </c>
      <c r="S45" s="100">
        <f>IF(G45="","",Q45-R45)</f>
        <v/>
      </c>
      <c r="T45" s="98">
        <f>IF(G45="","",IF(AND(G45&gt;=H45-$B$6*I45,G45&lt;=H45+$B$6*I45),"OK","NG"))</f>
        <v/>
      </c>
      <c r="U45" s="69">
        <f>IF(T45="","",IF(T45=D45,1,0))</f>
        <v/>
      </c>
      <c r="V45" s="98">
        <f>IF(G45="","",IF(T45="OK","NONE",INDEX({"S1","S2","W1","W2","N1","N2"},MATCH(MAX(K45:P45),K45:P45,0))))</f>
        <v/>
      </c>
      <c r="W45" s="69">
        <f>IF(G45="","",IF(V45=E45,1,0))</f>
        <v/>
      </c>
      <c r="X45" s="115">
        <f>IF(G45="","",IF(AND(T45="NG",S45&lt;$B$7),"AMBIGUOUS","CONFIDENT"))</f>
        <v/>
      </c>
    </row>
    <row r="46">
      <c r="A46" s="102">
        <f>'Runs Z score'!A39</f>
        <v/>
      </c>
      <c r="B46" s="98">
        <f>'Runs Z score'!B39</f>
        <v/>
      </c>
      <c r="C46" s="98">
        <f>'Runs Z score'!C39</f>
        <v/>
      </c>
      <c r="D46" s="98">
        <f>'Runs Z score'!D39</f>
        <v/>
      </c>
      <c r="E46" s="98">
        <f>'Runs Z score'!E39</f>
        <v/>
      </c>
      <c r="F46" s="98">
        <f>'Runs Z score'!F39</f>
        <v/>
      </c>
      <c r="G46" s="99">
        <f>'Runs Z score'!G39</f>
        <v/>
      </c>
      <c r="H46" s="100">
        <f>VLOOKUP(C46,Recipes!$A$2:$N$4,10,FALSE())</f>
        <v/>
      </c>
      <c r="I46" s="101">
        <f>VLOOKUP(C46,Recipes!$A$2:$N$4,12,FALSE())</f>
        <v/>
      </c>
      <c r="J46" s="100">
        <f>IF(G46="","",H46-G46)</f>
        <v/>
      </c>
      <c r="K46" s="100">
        <f>IF(G46="","",-0.5*((J46-Components!$D$2)/Components!$E$2)^2)</f>
        <v/>
      </c>
      <c r="L46" s="100">
        <f>IF(G46="","",-0.5*((J46-Components!$D$3)/Components!$E$3)^2)</f>
        <v/>
      </c>
      <c r="M46" s="100">
        <f>IF(G46="","",-0.5*((J46-Components!$D$4)/Components!$E$4)^2)</f>
        <v/>
      </c>
      <c r="N46" s="100">
        <f>IF(G46="","",-0.5*((J46-Components!$D$5)/Components!$E$5)^2)</f>
        <v/>
      </c>
      <c r="O46" s="100">
        <f>IF(G46="","",-0.5*((J46-Components!$D$6)/Components!$E$6)^2)</f>
        <v/>
      </c>
      <c r="P46" s="100">
        <f>IF(G46="","",-0.5*((J46-Components!$D$7)/Components!$E$7)^2)</f>
        <v/>
      </c>
      <c r="Q46" s="100">
        <f>IF(G46="","",EXP(LARGE(K46:P46,1)-MAX(K46:P46))/(EXP(K46-MAX(K46:P46))+EXP(L46-MAX(K46:P46))+EXP(M46-MAX(K46:P46))+EXP(N46-MAX(K46:P46))+EXP(O46-MAX(K46:P46))+EXP(P46-MAX(K46:P46))))</f>
        <v/>
      </c>
      <c r="R46" s="100">
        <f>IF(G46="","",EXP(LARGE(K46:P46,2)-MAX(K46:P46))/(EXP(K46-MAX(K46:P46))+EXP(L46-MAX(K46:P46))+EXP(M46-MAX(K46:P46))+EXP(N46-MAX(K46:P46))+EXP(O46-MAX(K46:P46))+EXP(P46-MAX(K46:P46))))</f>
        <v/>
      </c>
      <c r="S46" s="100">
        <f>IF(G46="","",Q46-R46)</f>
        <v/>
      </c>
      <c r="T46" s="98">
        <f>IF(G46="","",IF(AND(G46&gt;=H46-$B$6*I46,G46&lt;=H46+$B$6*I46),"OK","NG"))</f>
        <v/>
      </c>
      <c r="U46" s="69">
        <f>IF(T46="","",IF(T46=D46,1,0))</f>
        <v/>
      </c>
      <c r="V46" s="98">
        <f>IF(G46="","",IF(T46="OK","NONE",INDEX({"S1","S2","W1","W2","N1","N2"},MATCH(MAX(K46:P46),K46:P46,0))))</f>
        <v/>
      </c>
      <c r="W46" s="69">
        <f>IF(G46="","",IF(V46=E46,1,0))</f>
        <v/>
      </c>
      <c r="X46" s="115">
        <f>IF(G46="","",IF(AND(T46="NG",S46&lt;$B$7),"AMBIGUOUS","CONFIDENT"))</f>
        <v/>
      </c>
    </row>
    <row r="47">
      <c r="A47" s="102">
        <f>'Runs Z score'!A40</f>
        <v/>
      </c>
      <c r="B47" s="98">
        <f>'Runs Z score'!B40</f>
        <v/>
      </c>
      <c r="C47" s="98">
        <f>'Runs Z score'!C40</f>
        <v/>
      </c>
      <c r="D47" s="98">
        <f>'Runs Z score'!D40</f>
        <v/>
      </c>
      <c r="E47" s="98">
        <f>'Runs Z score'!E40</f>
        <v/>
      </c>
      <c r="F47" s="98">
        <f>'Runs Z score'!F40</f>
        <v/>
      </c>
      <c r="G47" s="99">
        <f>'Runs Z score'!G40</f>
        <v/>
      </c>
      <c r="H47" s="100">
        <f>VLOOKUP(C47,Recipes!$A$2:$N$4,10,FALSE())</f>
        <v/>
      </c>
      <c r="I47" s="101">
        <f>VLOOKUP(C47,Recipes!$A$2:$N$4,12,FALSE())</f>
        <v/>
      </c>
      <c r="J47" s="100">
        <f>IF(G47="","",H47-G47)</f>
        <v/>
      </c>
      <c r="K47" s="100">
        <f>IF(G47="","",-0.5*((J47-Components!$D$2)/Components!$E$2)^2)</f>
        <v/>
      </c>
      <c r="L47" s="100">
        <f>IF(G47="","",-0.5*((J47-Components!$D$3)/Components!$E$3)^2)</f>
        <v/>
      </c>
      <c r="M47" s="100">
        <f>IF(G47="","",-0.5*((J47-Components!$D$4)/Components!$E$4)^2)</f>
        <v/>
      </c>
      <c r="N47" s="100">
        <f>IF(G47="","",-0.5*((J47-Components!$D$5)/Components!$E$5)^2)</f>
        <v/>
      </c>
      <c r="O47" s="100">
        <f>IF(G47="","",-0.5*((J47-Components!$D$6)/Components!$E$6)^2)</f>
        <v/>
      </c>
      <c r="P47" s="100">
        <f>IF(G47="","",-0.5*((J47-Components!$D$7)/Components!$E$7)^2)</f>
        <v/>
      </c>
      <c r="Q47" s="100">
        <f>IF(G47="","",EXP(LARGE(K47:P47,1)-MAX(K47:P47))/(EXP(K47-MAX(K47:P47))+EXP(L47-MAX(K47:P47))+EXP(M47-MAX(K47:P47))+EXP(N47-MAX(K47:P47))+EXP(O47-MAX(K47:P47))+EXP(P47-MAX(K47:P47))))</f>
        <v/>
      </c>
      <c r="R47" s="100">
        <f>IF(G47="","",EXP(LARGE(K47:P47,2)-MAX(K47:P47))/(EXP(K47-MAX(K47:P47))+EXP(L47-MAX(K47:P47))+EXP(M47-MAX(K47:P47))+EXP(N47-MAX(K47:P47))+EXP(O47-MAX(K47:P47))+EXP(P47-MAX(K47:P47))))</f>
        <v/>
      </c>
      <c r="S47" s="100">
        <f>IF(G47="","",Q47-R47)</f>
        <v/>
      </c>
      <c r="T47" s="98">
        <f>IF(G47="","",IF(AND(G47&gt;=H47-$B$6*I47,G47&lt;=H47+$B$6*I47),"OK","NG"))</f>
        <v/>
      </c>
      <c r="U47" s="69">
        <f>IF(T47="","",IF(T47=D47,1,0))</f>
        <v/>
      </c>
      <c r="V47" s="98">
        <f>IF(G47="","",IF(T47="OK","NONE",INDEX({"S1","S2","W1","W2","N1","N2"},MATCH(MAX(K47:P47),K47:P47,0))))</f>
        <v/>
      </c>
      <c r="W47" s="69">
        <f>IF(G47="","",IF(V47=E47,1,0))</f>
        <v/>
      </c>
      <c r="X47" s="115">
        <f>IF(G47="","",IF(AND(T47="NG",S47&lt;$B$7),"AMBIGUOUS","CONFIDENT"))</f>
        <v/>
      </c>
    </row>
    <row r="48">
      <c r="A48" s="102">
        <f>'Runs Z score'!A41</f>
        <v/>
      </c>
      <c r="B48" s="98">
        <f>'Runs Z score'!B41</f>
        <v/>
      </c>
      <c r="C48" s="98">
        <f>'Runs Z score'!C41</f>
        <v/>
      </c>
      <c r="D48" s="98">
        <f>'Runs Z score'!D41</f>
        <v/>
      </c>
      <c r="E48" s="98">
        <f>'Runs Z score'!E41</f>
        <v/>
      </c>
      <c r="F48" s="98">
        <f>'Runs Z score'!F41</f>
        <v/>
      </c>
      <c r="G48" s="99">
        <f>'Runs Z score'!G41</f>
        <v/>
      </c>
      <c r="H48" s="100">
        <f>VLOOKUP(C48,Recipes!$A$2:$N$4,10,FALSE())</f>
        <v/>
      </c>
      <c r="I48" s="101">
        <f>VLOOKUP(C48,Recipes!$A$2:$N$4,12,FALSE())</f>
        <v/>
      </c>
      <c r="J48" s="100">
        <f>IF(G48="","",H48-G48)</f>
        <v/>
      </c>
      <c r="K48" s="100">
        <f>IF(G48="","",-0.5*((J48-Components!$D$2)/Components!$E$2)^2)</f>
        <v/>
      </c>
      <c r="L48" s="100">
        <f>IF(G48="","",-0.5*((J48-Components!$D$3)/Components!$E$3)^2)</f>
        <v/>
      </c>
      <c r="M48" s="100">
        <f>IF(G48="","",-0.5*((J48-Components!$D$4)/Components!$E$4)^2)</f>
        <v/>
      </c>
      <c r="N48" s="100">
        <f>IF(G48="","",-0.5*((J48-Components!$D$5)/Components!$E$5)^2)</f>
        <v/>
      </c>
      <c r="O48" s="100">
        <f>IF(G48="","",-0.5*((J48-Components!$D$6)/Components!$E$6)^2)</f>
        <v/>
      </c>
      <c r="P48" s="100">
        <f>IF(G48="","",-0.5*((J48-Components!$D$7)/Components!$E$7)^2)</f>
        <v/>
      </c>
      <c r="Q48" s="100">
        <f>IF(G48="","",EXP(LARGE(K48:P48,1)-MAX(K48:P48))/(EXP(K48-MAX(K48:P48))+EXP(L48-MAX(K48:P48))+EXP(M48-MAX(K48:P48))+EXP(N48-MAX(K48:P48))+EXP(O48-MAX(K48:P48))+EXP(P48-MAX(K48:P48))))</f>
        <v/>
      </c>
      <c r="R48" s="100">
        <f>IF(G48="","",EXP(LARGE(K48:P48,2)-MAX(K48:P48))/(EXP(K48-MAX(K48:P48))+EXP(L48-MAX(K48:P48))+EXP(M48-MAX(K48:P48))+EXP(N48-MAX(K48:P48))+EXP(O48-MAX(K48:P48))+EXP(P48-MAX(K48:P48))))</f>
        <v/>
      </c>
      <c r="S48" s="100">
        <f>IF(G48="","",Q48-R48)</f>
        <v/>
      </c>
      <c r="T48" s="98">
        <f>IF(G48="","",IF(AND(G48&gt;=H48-$B$6*I48,G48&lt;=H48+$B$6*I48),"OK","NG"))</f>
        <v/>
      </c>
      <c r="U48" s="69">
        <f>IF(T48="","",IF(T48=D48,1,0))</f>
        <v/>
      </c>
      <c r="V48" s="98">
        <f>IF(G48="","",IF(T48="OK","NONE",INDEX({"S1","S2","W1","W2","N1","N2"},MATCH(MAX(K48:P48),K48:P48,0))))</f>
        <v/>
      </c>
      <c r="W48" s="69">
        <f>IF(G48="","",IF(V48=E48,1,0))</f>
        <v/>
      </c>
      <c r="X48" s="115">
        <f>IF(G48="","",IF(AND(T48="NG",S48&lt;$B$7),"AMBIGUOUS","CONFIDENT"))</f>
        <v/>
      </c>
    </row>
    <row r="49">
      <c r="A49" s="102">
        <f>'Runs Z score'!A42</f>
        <v/>
      </c>
      <c r="B49" s="98">
        <f>'Runs Z score'!B42</f>
        <v/>
      </c>
      <c r="C49" s="98">
        <f>'Runs Z score'!C42</f>
        <v/>
      </c>
      <c r="D49" s="98">
        <f>'Runs Z score'!D42</f>
        <v/>
      </c>
      <c r="E49" s="98">
        <f>'Runs Z score'!E42</f>
        <v/>
      </c>
      <c r="F49" s="98">
        <f>'Runs Z score'!F42</f>
        <v/>
      </c>
      <c r="G49" s="99">
        <f>'Runs Z score'!G42</f>
        <v/>
      </c>
      <c r="H49" s="100">
        <f>VLOOKUP(C49,Recipes!$A$2:$N$4,10,FALSE())</f>
        <v/>
      </c>
      <c r="I49" s="101">
        <f>VLOOKUP(C49,Recipes!$A$2:$N$4,12,FALSE())</f>
        <v/>
      </c>
      <c r="J49" s="100">
        <f>IF(G49="","",H49-G49)</f>
        <v/>
      </c>
      <c r="K49" s="100">
        <f>IF(G49="","",-0.5*((J49-Components!$D$2)/Components!$E$2)^2)</f>
        <v/>
      </c>
      <c r="L49" s="100">
        <f>IF(G49="","",-0.5*((J49-Components!$D$3)/Components!$E$3)^2)</f>
        <v/>
      </c>
      <c r="M49" s="100">
        <f>IF(G49="","",-0.5*((J49-Components!$D$4)/Components!$E$4)^2)</f>
        <v/>
      </c>
      <c r="N49" s="100">
        <f>IF(G49="","",-0.5*((J49-Components!$D$5)/Components!$E$5)^2)</f>
        <v/>
      </c>
      <c r="O49" s="100">
        <f>IF(G49="","",-0.5*((J49-Components!$D$6)/Components!$E$6)^2)</f>
        <v/>
      </c>
      <c r="P49" s="100">
        <f>IF(G49="","",-0.5*((J49-Components!$D$7)/Components!$E$7)^2)</f>
        <v/>
      </c>
      <c r="Q49" s="100">
        <f>IF(G49="","",EXP(LARGE(K49:P49,1)-MAX(K49:P49))/(EXP(K49-MAX(K49:P49))+EXP(L49-MAX(K49:P49))+EXP(M49-MAX(K49:P49))+EXP(N49-MAX(K49:P49))+EXP(O49-MAX(K49:P49))+EXP(P49-MAX(K49:P49))))</f>
        <v/>
      </c>
      <c r="R49" s="100">
        <f>IF(G49="","",EXP(LARGE(K49:P49,2)-MAX(K49:P49))/(EXP(K49-MAX(K49:P49))+EXP(L49-MAX(K49:P49))+EXP(M49-MAX(K49:P49))+EXP(N49-MAX(K49:P49))+EXP(O49-MAX(K49:P49))+EXP(P49-MAX(K49:P49))))</f>
        <v/>
      </c>
      <c r="S49" s="100">
        <f>IF(G49="","",Q49-R49)</f>
        <v/>
      </c>
      <c r="T49" s="98">
        <f>IF(G49="","",IF(AND(G49&gt;=H49-$B$6*I49,G49&lt;=H49+$B$6*I49),"OK","NG"))</f>
        <v/>
      </c>
      <c r="U49" s="69">
        <f>IF(T49="","",IF(T49=D49,1,0))</f>
        <v/>
      </c>
      <c r="V49" s="98">
        <f>IF(G49="","",IF(T49="OK","NONE",INDEX({"S1","S2","W1","W2","N1","N2"},MATCH(MAX(K49:P49),K49:P49,0))))</f>
        <v/>
      </c>
      <c r="W49" s="69">
        <f>IF(G49="","",IF(V49=E49,1,0))</f>
        <v/>
      </c>
      <c r="X49" s="115">
        <f>IF(G49="","",IF(AND(T49="NG",S49&lt;$B$7),"AMBIGUOUS","CONFIDENT"))</f>
        <v/>
      </c>
    </row>
    <row r="50">
      <c r="A50" s="102">
        <f>'Runs Z score'!A43</f>
        <v/>
      </c>
      <c r="B50" s="98">
        <f>'Runs Z score'!B43</f>
        <v/>
      </c>
      <c r="C50" s="98">
        <f>'Runs Z score'!C43</f>
        <v/>
      </c>
      <c r="D50" s="98">
        <f>'Runs Z score'!D43</f>
        <v/>
      </c>
      <c r="E50" s="98">
        <f>'Runs Z score'!E43</f>
        <v/>
      </c>
      <c r="F50" s="98">
        <f>'Runs Z score'!F43</f>
        <v/>
      </c>
      <c r="G50" s="99">
        <f>'Runs Z score'!G43</f>
        <v/>
      </c>
      <c r="H50" s="100">
        <f>VLOOKUP(C50,Recipes!$A$2:$N$4,10,FALSE())</f>
        <v/>
      </c>
      <c r="I50" s="101">
        <f>VLOOKUP(C50,Recipes!$A$2:$N$4,12,FALSE())</f>
        <v/>
      </c>
      <c r="J50" s="100">
        <f>IF(G50="","",H50-G50)</f>
        <v/>
      </c>
      <c r="K50" s="100">
        <f>IF(G50="","",-0.5*((J50-Components!$D$2)/Components!$E$2)^2)</f>
        <v/>
      </c>
      <c r="L50" s="100">
        <f>IF(G50="","",-0.5*((J50-Components!$D$3)/Components!$E$3)^2)</f>
        <v/>
      </c>
      <c r="M50" s="100">
        <f>IF(G50="","",-0.5*((J50-Components!$D$4)/Components!$E$4)^2)</f>
        <v/>
      </c>
      <c r="N50" s="100">
        <f>IF(G50="","",-0.5*((J50-Components!$D$5)/Components!$E$5)^2)</f>
        <v/>
      </c>
      <c r="O50" s="100">
        <f>IF(G50="","",-0.5*((J50-Components!$D$6)/Components!$E$6)^2)</f>
        <v/>
      </c>
      <c r="P50" s="100">
        <f>IF(G50="","",-0.5*((J50-Components!$D$7)/Components!$E$7)^2)</f>
        <v/>
      </c>
      <c r="Q50" s="100">
        <f>IF(G50="","",EXP(LARGE(K50:P50,1)-MAX(K50:P50))/(EXP(K50-MAX(K50:P50))+EXP(L50-MAX(K50:P50))+EXP(M50-MAX(K50:P50))+EXP(N50-MAX(K50:P50))+EXP(O50-MAX(K50:P50))+EXP(P50-MAX(K50:P50))))</f>
        <v/>
      </c>
      <c r="R50" s="100">
        <f>IF(G50="","",EXP(LARGE(K50:P50,2)-MAX(K50:P50))/(EXP(K50-MAX(K50:P50))+EXP(L50-MAX(K50:P50))+EXP(M50-MAX(K50:P50))+EXP(N50-MAX(K50:P50))+EXP(O50-MAX(K50:P50))+EXP(P50-MAX(K50:P50))))</f>
        <v/>
      </c>
      <c r="S50" s="100">
        <f>IF(G50="","",Q50-R50)</f>
        <v/>
      </c>
      <c r="T50" s="98">
        <f>IF(G50="","",IF(AND(G50&gt;=H50-$B$6*I50,G50&lt;=H50+$B$6*I50),"OK","NG"))</f>
        <v/>
      </c>
      <c r="U50" s="69">
        <f>IF(T50="","",IF(T50=D50,1,0))</f>
        <v/>
      </c>
      <c r="V50" s="98">
        <f>IF(G50="","",IF(T50="OK","NONE",INDEX({"S1","S2","W1","W2","N1","N2"},MATCH(MAX(K50:P50),K50:P50,0))))</f>
        <v/>
      </c>
      <c r="W50" s="69">
        <f>IF(G50="","",IF(V50=E50,1,0))</f>
        <v/>
      </c>
      <c r="X50" s="115">
        <f>IF(G50="","",IF(AND(T50="NG",S50&lt;$B$7),"AMBIGUOUS","CONFIDENT"))</f>
        <v/>
      </c>
    </row>
    <row r="51">
      <c r="A51" s="102">
        <f>'Runs Z score'!A44</f>
        <v/>
      </c>
      <c r="B51" s="98">
        <f>'Runs Z score'!B44</f>
        <v/>
      </c>
      <c r="C51" s="98">
        <f>'Runs Z score'!C44</f>
        <v/>
      </c>
      <c r="D51" s="98">
        <f>'Runs Z score'!D44</f>
        <v/>
      </c>
      <c r="E51" s="98">
        <f>'Runs Z score'!E44</f>
        <v/>
      </c>
      <c r="F51" s="98">
        <f>'Runs Z score'!F44</f>
        <v/>
      </c>
      <c r="G51" s="99">
        <f>'Runs Z score'!G44</f>
        <v/>
      </c>
      <c r="H51" s="100">
        <f>VLOOKUP(C51,Recipes!$A$2:$N$4,10,FALSE())</f>
        <v/>
      </c>
      <c r="I51" s="101">
        <f>VLOOKUP(C51,Recipes!$A$2:$N$4,12,FALSE())</f>
        <v/>
      </c>
      <c r="J51" s="100">
        <f>IF(G51="","",H51-G51)</f>
        <v/>
      </c>
      <c r="K51" s="100">
        <f>IF(G51="","",-0.5*((J51-Components!$D$2)/Components!$E$2)^2)</f>
        <v/>
      </c>
      <c r="L51" s="100">
        <f>IF(G51="","",-0.5*((J51-Components!$D$3)/Components!$E$3)^2)</f>
        <v/>
      </c>
      <c r="M51" s="100">
        <f>IF(G51="","",-0.5*((J51-Components!$D$4)/Components!$E$4)^2)</f>
        <v/>
      </c>
      <c r="N51" s="100">
        <f>IF(G51="","",-0.5*((J51-Components!$D$5)/Components!$E$5)^2)</f>
        <v/>
      </c>
      <c r="O51" s="100">
        <f>IF(G51="","",-0.5*((J51-Components!$D$6)/Components!$E$6)^2)</f>
        <v/>
      </c>
      <c r="P51" s="100">
        <f>IF(G51="","",-0.5*((J51-Components!$D$7)/Components!$E$7)^2)</f>
        <v/>
      </c>
      <c r="Q51" s="100">
        <f>IF(G51="","",EXP(LARGE(K51:P51,1)-MAX(K51:P51))/(EXP(K51-MAX(K51:P51))+EXP(L51-MAX(K51:P51))+EXP(M51-MAX(K51:P51))+EXP(N51-MAX(K51:P51))+EXP(O51-MAX(K51:P51))+EXP(P51-MAX(K51:P51))))</f>
        <v/>
      </c>
      <c r="R51" s="100">
        <f>IF(G51="","",EXP(LARGE(K51:P51,2)-MAX(K51:P51))/(EXP(K51-MAX(K51:P51))+EXP(L51-MAX(K51:P51))+EXP(M51-MAX(K51:P51))+EXP(N51-MAX(K51:P51))+EXP(O51-MAX(K51:P51))+EXP(P51-MAX(K51:P51))))</f>
        <v/>
      </c>
      <c r="S51" s="100">
        <f>IF(G51="","",Q51-R51)</f>
        <v/>
      </c>
      <c r="T51" s="98">
        <f>IF(G51="","",IF(AND(G51&gt;=H51-$B$6*I51,G51&lt;=H51+$B$6*I51),"OK","NG"))</f>
        <v/>
      </c>
      <c r="U51" s="69">
        <f>IF(T51="","",IF(T51=D51,1,0))</f>
        <v/>
      </c>
      <c r="V51" s="98">
        <f>IF(G51="","",IF(T51="OK","NONE",INDEX({"S1","S2","W1","W2","N1","N2"},MATCH(MAX(K51:P51),K51:P51,0))))</f>
        <v/>
      </c>
      <c r="W51" s="69">
        <f>IF(G51="","",IF(V51=E51,1,0))</f>
        <v/>
      </c>
      <c r="X51" s="115">
        <f>IF(G51="","",IF(AND(T51="NG",S51&lt;$B$7),"AMBIGUOUS","CONFIDENT"))</f>
        <v/>
      </c>
    </row>
    <row r="52">
      <c r="A52" s="102">
        <f>'Runs Z score'!A45</f>
        <v/>
      </c>
      <c r="B52" s="98">
        <f>'Runs Z score'!B45</f>
        <v/>
      </c>
      <c r="C52" s="98">
        <f>'Runs Z score'!C45</f>
        <v/>
      </c>
      <c r="D52" s="98">
        <f>'Runs Z score'!D45</f>
        <v/>
      </c>
      <c r="E52" s="98">
        <f>'Runs Z score'!E45</f>
        <v/>
      </c>
      <c r="F52" s="98">
        <f>'Runs Z score'!F45</f>
        <v/>
      </c>
      <c r="G52" s="99">
        <f>'Runs Z score'!G45</f>
        <v/>
      </c>
      <c r="H52" s="100">
        <f>VLOOKUP(C52,Recipes!$A$2:$N$4,10,FALSE())</f>
        <v/>
      </c>
      <c r="I52" s="101">
        <f>VLOOKUP(C52,Recipes!$A$2:$N$4,12,FALSE())</f>
        <v/>
      </c>
      <c r="J52" s="100">
        <f>IF(G52="","",H52-G52)</f>
        <v/>
      </c>
      <c r="K52" s="100">
        <f>IF(G52="","",-0.5*((J52-Components!$D$2)/Components!$E$2)^2)</f>
        <v/>
      </c>
      <c r="L52" s="100">
        <f>IF(G52="","",-0.5*((J52-Components!$D$3)/Components!$E$3)^2)</f>
        <v/>
      </c>
      <c r="M52" s="100">
        <f>IF(G52="","",-0.5*((J52-Components!$D$4)/Components!$E$4)^2)</f>
        <v/>
      </c>
      <c r="N52" s="100">
        <f>IF(G52="","",-0.5*((J52-Components!$D$5)/Components!$E$5)^2)</f>
        <v/>
      </c>
      <c r="O52" s="100">
        <f>IF(G52="","",-0.5*((J52-Components!$D$6)/Components!$E$6)^2)</f>
        <v/>
      </c>
      <c r="P52" s="100">
        <f>IF(G52="","",-0.5*((J52-Components!$D$7)/Components!$E$7)^2)</f>
        <v/>
      </c>
      <c r="Q52" s="100">
        <f>IF(G52="","",EXP(LARGE(K52:P52,1)-MAX(K52:P52))/(EXP(K52-MAX(K52:P52))+EXP(L52-MAX(K52:P52))+EXP(M52-MAX(K52:P52))+EXP(N52-MAX(K52:P52))+EXP(O52-MAX(K52:P52))+EXP(P52-MAX(K52:P52))))</f>
        <v/>
      </c>
      <c r="R52" s="100">
        <f>IF(G52="","",EXP(LARGE(K52:P52,2)-MAX(K52:P52))/(EXP(K52-MAX(K52:P52))+EXP(L52-MAX(K52:P52))+EXP(M52-MAX(K52:P52))+EXP(N52-MAX(K52:P52))+EXP(O52-MAX(K52:P52))+EXP(P52-MAX(K52:P52))))</f>
        <v/>
      </c>
      <c r="S52" s="100">
        <f>IF(G52="","",Q52-R52)</f>
        <v/>
      </c>
      <c r="T52" s="98">
        <f>IF(G52="","",IF(AND(G52&gt;=H52-$B$6*I52,G52&lt;=H52+$B$6*I52),"OK","NG"))</f>
        <v/>
      </c>
      <c r="U52" s="69">
        <f>IF(T52="","",IF(T52=D52,1,0))</f>
        <v/>
      </c>
      <c r="V52" s="98">
        <f>IF(G52="","",IF(T52="OK","NONE",INDEX({"S1","S2","W1","W2","N1","N2"},MATCH(MAX(K52:P52),K52:P52,0))))</f>
        <v/>
      </c>
      <c r="W52" s="69">
        <f>IF(G52="","",IF(V52=E52,1,0))</f>
        <v/>
      </c>
      <c r="X52" s="115">
        <f>IF(G52="","",IF(AND(T52="NG",S52&lt;$B$7),"AMBIGUOUS","CONFIDENT"))</f>
        <v/>
      </c>
    </row>
    <row r="53">
      <c r="A53" s="102">
        <f>'Runs Z score'!A46</f>
        <v/>
      </c>
      <c r="B53" s="98">
        <f>'Runs Z score'!B46</f>
        <v/>
      </c>
      <c r="C53" s="98">
        <f>'Runs Z score'!C46</f>
        <v/>
      </c>
      <c r="D53" s="98">
        <f>'Runs Z score'!D46</f>
        <v/>
      </c>
      <c r="E53" s="98">
        <f>'Runs Z score'!E46</f>
        <v/>
      </c>
      <c r="F53" s="98">
        <f>'Runs Z score'!F46</f>
        <v/>
      </c>
      <c r="G53" s="99">
        <f>'Runs Z score'!G46</f>
        <v/>
      </c>
      <c r="H53" s="100">
        <f>VLOOKUP(C53,Recipes!$A$2:$N$4,10,FALSE())</f>
        <v/>
      </c>
      <c r="I53" s="101">
        <f>VLOOKUP(C53,Recipes!$A$2:$N$4,12,FALSE())</f>
        <v/>
      </c>
      <c r="J53" s="100">
        <f>IF(G53="","",H53-G53)</f>
        <v/>
      </c>
      <c r="K53" s="100">
        <f>IF(G53="","",-0.5*((J53-Components!$D$2)/Components!$E$2)^2)</f>
        <v/>
      </c>
      <c r="L53" s="100">
        <f>IF(G53="","",-0.5*((J53-Components!$D$3)/Components!$E$3)^2)</f>
        <v/>
      </c>
      <c r="M53" s="100">
        <f>IF(G53="","",-0.5*((J53-Components!$D$4)/Components!$E$4)^2)</f>
        <v/>
      </c>
      <c r="N53" s="100">
        <f>IF(G53="","",-0.5*((J53-Components!$D$5)/Components!$E$5)^2)</f>
        <v/>
      </c>
      <c r="O53" s="100">
        <f>IF(G53="","",-0.5*((J53-Components!$D$6)/Components!$E$6)^2)</f>
        <v/>
      </c>
      <c r="P53" s="100">
        <f>IF(G53="","",-0.5*((J53-Components!$D$7)/Components!$E$7)^2)</f>
        <v/>
      </c>
      <c r="Q53" s="100">
        <f>IF(G53="","",EXP(LARGE(K53:P53,1)-MAX(K53:P53))/(EXP(K53-MAX(K53:P53))+EXP(L53-MAX(K53:P53))+EXP(M53-MAX(K53:P53))+EXP(N53-MAX(K53:P53))+EXP(O53-MAX(K53:P53))+EXP(P53-MAX(K53:P53))))</f>
        <v/>
      </c>
      <c r="R53" s="100">
        <f>IF(G53="","",EXP(LARGE(K53:P53,2)-MAX(K53:P53))/(EXP(K53-MAX(K53:P53))+EXP(L53-MAX(K53:P53))+EXP(M53-MAX(K53:P53))+EXP(N53-MAX(K53:P53))+EXP(O53-MAX(K53:P53))+EXP(P53-MAX(K53:P53))))</f>
        <v/>
      </c>
      <c r="S53" s="100">
        <f>IF(G53="","",Q53-R53)</f>
        <v/>
      </c>
      <c r="T53" s="98">
        <f>IF(G53="","",IF(AND(G53&gt;=H53-$B$6*I53,G53&lt;=H53+$B$6*I53),"OK","NG"))</f>
        <v/>
      </c>
      <c r="U53" s="69">
        <f>IF(T53="","",IF(T53=D53,1,0))</f>
        <v/>
      </c>
      <c r="V53" s="98">
        <f>IF(G53="","",IF(T53="OK","NONE",INDEX({"S1","S2","W1","W2","N1","N2"},MATCH(MAX(K53:P53),K53:P53,0))))</f>
        <v/>
      </c>
      <c r="W53" s="69">
        <f>IF(G53="","",IF(V53=E53,1,0))</f>
        <v/>
      </c>
      <c r="X53" s="115">
        <f>IF(G53="","",IF(AND(T53="NG",S53&lt;$B$7),"AMBIGUOUS","CONFIDENT"))</f>
        <v/>
      </c>
    </row>
    <row r="54">
      <c r="A54" s="102">
        <f>'Runs Z score'!A47</f>
        <v/>
      </c>
      <c r="B54" s="98">
        <f>'Runs Z score'!B47</f>
        <v/>
      </c>
      <c r="C54" s="98">
        <f>'Runs Z score'!C47</f>
        <v/>
      </c>
      <c r="D54" s="98">
        <f>'Runs Z score'!D47</f>
        <v/>
      </c>
      <c r="E54" s="98">
        <f>'Runs Z score'!E47</f>
        <v/>
      </c>
      <c r="F54" s="98">
        <f>'Runs Z score'!F47</f>
        <v/>
      </c>
      <c r="G54" s="99">
        <f>'Runs Z score'!G47</f>
        <v/>
      </c>
      <c r="H54" s="100">
        <f>VLOOKUP(C54,Recipes!$A$2:$N$4,10,FALSE())</f>
        <v/>
      </c>
      <c r="I54" s="101">
        <f>VLOOKUP(C54,Recipes!$A$2:$N$4,12,FALSE())</f>
        <v/>
      </c>
      <c r="J54" s="100">
        <f>IF(G54="","",H54-G54)</f>
        <v/>
      </c>
      <c r="K54" s="100">
        <f>IF(G54="","",-0.5*((J54-Components!$D$2)/Components!$E$2)^2)</f>
        <v/>
      </c>
      <c r="L54" s="100">
        <f>IF(G54="","",-0.5*((J54-Components!$D$3)/Components!$E$3)^2)</f>
        <v/>
      </c>
      <c r="M54" s="100">
        <f>IF(G54="","",-0.5*((J54-Components!$D$4)/Components!$E$4)^2)</f>
        <v/>
      </c>
      <c r="N54" s="100">
        <f>IF(G54="","",-0.5*((J54-Components!$D$5)/Components!$E$5)^2)</f>
        <v/>
      </c>
      <c r="O54" s="100">
        <f>IF(G54="","",-0.5*((J54-Components!$D$6)/Components!$E$6)^2)</f>
        <v/>
      </c>
      <c r="P54" s="100">
        <f>IF(G54="","",-0.5*((J54-Components!$D$7)/Components!$E$7)^2)</f>
        <v/>
      </c>
      <c r="Q54" s="100">
        <f>IF(G54="","",EXP(LARGE(K54:P54,1)-MAX(K54:P54))/(EXP(K54-MAX(K54:P54))+EXP(L54-MAX(K54:P54))+EXP(M54-MAX(K54:P54))+EXP(N54-MAX(K54:P54))+EXP(O54-MAX(K54:P54))+EXP(P54-MAX(K54:P54))))</f>
        <v/>
      </c>
      <c r="R54" s="100">
        <f>IF(G54="","",EXP(LARGE(K54:P54,2)-MAX(K54:P54))/(EXP(K54-MAX(K54:P54))+EXP(L54-MAX(K54:P54))+EXP(M54-MAX(K54:P54))+EXP(N54-MAX(K54:P54))+EXP(O54-MAX(K54:P54))+EXP(P54-MAX(K54:P54))))</f>
        <v/>
      </c>
      <c r="S54" s="100">
        <f>IF(G54="","",Q54-R54)</f>
        <v/>
      </c>
      <c r="T54" s="98">
        <f>IF(G54="","",IF(AND(G54&gt;=H54-$B$6*I54,G54&lt;=H54+$B$6*I54),"OK","NG"))</f>
        <v/>
      </c>
      <c r="U54" s="69">
        <f>IF(T54="","",IF(T54=D54,1,0))</f>
        <v/>
      </c>
      <c r="V54" s="98">
        <f>IF(G54="","",IF(T54="OK","NONE",INDEX({"S1","S2","W1","W2","N1","N2"},MATCH(MAX(K54:P54),K54:P54,0))))</f>
        <v/>
      </c>
      <c r="W54" s="69">
        <f>IF(G54="","",IF(V54=E54,1,0))</f>
        <v/>
      </c>
      <c r="X54" s="115">
        <f>IF(G54="","",IF(AND(T54="NG",S54&lt;$B$7),"AMBIGUOUS","CONFIDENT"))</f>
        <v/>
      </c>
    </row>
    <row r="55">
      <c r="A55" s="102">
        <f>'Runs Z score'!A48</f>
        <v/>
      </c>
      <c r="B55" s="98">
        <f>'Runs Z score'!B48</f>
        <v/>
      </c>
      <c r="C55" s="98">
        <f>'Runs Z score'!C48</f>
        <v/>
      </c>
      <c r="D55" s="98">
        <f>'Runs Z score'!D48</f>
        <v/>
      </c>
      <c r="E55" s="98">
        <f>'Runs Z score'!E48</f>
        <v/>
      </c>
      <c r="F55" s="98">
        <f>'Runs Z score'!F48</f>
        <v/>
      </c>
      <c r="G55" s="99">
        <f>'Runs Z score'!G48</f>
        <v/>
      </c>
      <c r="H55" s="100">
        <f>VLOOKUP(C55,Recipes!$A$2:$N$4,10,FALSE())</f>
        <v/>
      </c>
      <c r="I55" s="101">
        <f>VLOOKUP(C55,Recipes!$A$2:$N$4,12,FALSE())</f>
        <v/>
      </c>
      <c r="J55" s="100">
        <f>IF(G55="","",H55-G55)</f>
        <v/>
      </c>
      <c r="K55" s="100">
        <f>IF(G55="","",-0.5*((J55-Components!$D$2)/Components!$E$2)^2)</f>
        <v/>
      </c>
      <c r="L55" s="100">
        <f>IF(G55="","",-0.5*((J55-Components!$D$3)/Components!$E$3)^2)</f>
        <v/>
      </c>
      <c r="M55" s="100">
        <f>IF(G55="","",-0.5*((J55-Components!$D$4)/Components!$E$4)^2)</f>
        <v/>
      </c>
      <c r="N55" s="100">
        <f>IF(G55="","",-0.5*((J55-Components!$D$5)/Components!$E$5)^2)</f>
        <v/>
      </c>
      <c r="O55" s="100">
        <f>IF(G55="","",-0.5*((J55-Components!$D$6)/Components!$E$6)^2)</f>
        <v/>
      </c>
      <c r="P55" s="100">
        <f>IF(G55="","",-0.5*((J55-Components!$D$7)/Components!$E$7)^2)</f>
        <v/>
      </c>
      <c r="Q55" s="100">
        <f>IF(G55="","",EXP(LARGE(K55:P55,1)-MAX(K55:P55))/(EXP(K55-MAX(K55:P55))+EXP(L55-MAX(K55:P55))+EXP(M55-MAX(K55:P55))+EXP(N55-MAX(K55:P55))+EXP(O55-MAX(K55:P55))+EXP(P55-MAX(K55:P55))))</f>
        <v/>
      </c>
      <c r="R55" s="100">
        <f>IF(G55="","",EXP(LARGE(K55:P55,2)-MAX(K55:P55))/(EXP(K55-MAX(K55:P55))+EXP(L55-MAX(K55:P55))+EXP(M55-MAX(K55:P55))+EXP(N55-MAX(K55:P55))+EXP(O55-MAX(K55:P55))+EXP(P55-MAX(K55:P55))))</f>
        <v/>
      </c>
      <c r="S55" s="100">
        <f>IF(G55="","",Q55-R55)</f>
        <v/>
      </c>
      <c r="T55" s="98">
        <f>IF(G55="","",IF(AND(G55&gt;=H55-$B$6*I55,G55&lt;=H55+$B$6*I55),"OK","NG"))</f>
        <v/>
      </c>
      <c r="U55" s="69">
        <f>IF(T55="","",IF(T55=D55,1,0))</f>
        <v/>
      </c>
      <c r="V55" s="98">
        <f>IF(G55="","",IF(T55="OK","NONE",INDEX({"S1","S2","W1","W2","N1","N2"},MATCH(MAX(K55:P55),K55:P55,0))))</f>
        <v/>
      </c>
      <c r="W55" s="69">
        <f>IF(G55="","",IF(V55=E55,1,0))</f>
        <v/>
      </c>
      <c r="X55" s="115">
        <f>IF(G55="","",IF(AND(T55="NG",S55&lt;$B$7),"AMBIGUOUS","CONFIDENT"))</f>
        <v/>
      </c>
    </row>
    <row r="56">
      <c r="A56" s="102">
        <f>'Runs Z score'!A49</f>
        <v/>
      </c>
      <c r="B56" s="98">
        <f>'Runs Z score'!B49</f>
        <v/>
      </c>
      <c r="C56" s="98">
        <f>'Runs Z score'!C49</f>
        <v/>
      </c>
      <c r="D56" s="98">
        <f>'Runs Z score'!D49</f>
        <v/>
      </c>
      <c r="E56" s="98">
        <f>'Runs Z score'!E49</f>
        <v/>
      </c>
      <c r="F56" s="98">
        <f>'Runs Z score'!F49</f>
        <v/>
      </c>
      <c r="G56" s="99">
        <f>'Runs Z score'!G49</f>
        <v/>
      </c>
      <c r="H56" s="100">
        <f>VLOOKUP(C56,Recipes!$A$2:$N$4,10,FALSE())</f>
        <v/>
      </c>
      <c r="I56" s="101">
        <f>VLOOKUP(C56,Recipes!$A$2:$N$4,12,FALSE())</f>
        <v/>
      </c>
      <c r="J56" s="100">
        <f>IF(G56="","",H56-G56)</f>
        <v/>
      </c>
      <c r="K56" s="100">
        <f>IF(G56="","",-0.5*((J56-Components!$D$2)/Components!$E$2)^2)</f>
        <v/>
      </c>
      <c r="L56" s="100">
        <f>IF(G56="","",-0.5*((J56-Components!$D$3)/Components!$E$3)^2)</f>
        <v/>
      </c>
      <c r="M56" s="100">
        <f>IF(G56="","",-0.5*((J56-Components!$D$4)/Components!$E$4)^2)</f>
        <v/>
      </c>
      <c r="N56" s="100">
        <f>IF(G56="","",-0.5*((J56-Components!$D$5)/Components!$E$5)^2)</f>
        <v/>
      </c>
      <c r="O56" s="100">
        <f>IF(G56="","",-0.5*((J56-Components!$D$6)/Components!$E$6)^2)</f>
        <v/>
      </c>
      <c r="P56" s="100">
        <f>IF(G56="","",-0.5*((J56-Components!$D$7)/Components!$E$7)^2)</f>
        <v/>
      </c>
      <c r="Q56" s="100">
        <f>IF(G56="","",EXP(LARGE(K56:P56,1)-MAX(K56:P56))/(EXP(K56-MAX(K56:P56))+EXP(L56-MAX(K56:P56))+EXP(M56-MAX(K56:P56))+EXP(N56-MAX(K56:P56))+EXP(O56-MAX(K56:P56))+EXP(P56-MAX(K56:P56))))</f>
        <v/>
      </c>
      <c r="R56" s="100">
        <f>IF(G56="","",EXP(LARGE(K56:P56,2)-MAX(K56:P56))/(EXP(K56-MAX(K56:P56))+EXP(L56-MAX(K56:P56))+EXP(M56-MAX(K56:P56))+EXP(N56-MAX(K56:P56))+EXP(O56-MAX(K56:P56))+EXP(P56-MAX(K56:P56))))</f>
        <v/>
      </c>
      <c r="S56" s="100">
        <f>IF(G56="","",Q56-R56)</f>
        <v/>
      </c>
      <c r="T56" s="98">
        <f>IF(G56="","",IF(AND(G56&gt;=H56-$B$6*I56,G56&lt;=H56+$B$6*I56),"OK","NG"))</f>
        <v/>
      </c>
      <c r="U56" s="69">
        <f>IF(T56="","",IF(T56=D56,1,0))</f>
        <v/>
      </c>
      <c r="V56" s="98">
        <f>IF(G56="","",IF(T56="OK","NONE",INDEX({"S1","S2","W1","W2","N1","N2"},MATCH(MAX(K56:P56),K56:P56,0))))</f>
        <v/>
      </c>
      <c r="W56" s="69">
        <f>IF(G56="","",IF(V56=E56,1,0))</f>
        <v/>
      </c>
      <c r="X56" s="115">
        <f>IF(G56="","",IF(AND(T56="NG",S56&lt;$B$7),"AMBIGUOUS","CONFIDENT"))</f>
        <v/>
      </c>
    </row>
    <row r="57">
      <c r="A57" s="102">
        <f>'Runs Z score'!A50</f>
        <v/>
      </c>
      <c r="B57" s="98">
        <f>'Runs Z score'!B50</f>
        <v/>
      </c>
      <c r="C57" s="98">
        <f>'Runs Z score'!C50</f>
        <v/>
      </c>
      <c r="D57" s="98">
        <f>'Runs Z score'!D50</f>
        <v/>
      </c>
      <c r="E57" s="98">
        <f>'Runs Z score'!E50</f>
        <v/>
      </c>
      <c r="F57" s="98">
        <f>'Runs Z score'!F50</f>
        <v/>
      </c>
      <c r="G57" s="99">
        <f>'Runs Z score'!G50</f>
        <v/>
      </c>
      <c r="H57" s="100">
        <f>VLOOKUP(C57,Recipes!$A$2:$N$4,10,FALSE())</f>
        <v/>
      </c>
      <c r="I57" s="101">
        <f>VLOOKUP(C57,Recipes!$A$2:$N$4,12,FALSE())</f>
        <v/>
      </c>
      <c r="J57" s="100">
        <f>IF(G57="","",H57-G57)</f>
        <v/>
      </c>
      <c r="K57" s="100">
        <f>IF(G57="","",-0.5*((J57-Components!$D$2)/Components!$E$2)^2)</f>
        <v/>
      </c>
      <c r="L57" s="100">
        <f>IF(G57="","",-0.5*((J57-Components!$D$3)/Components!$E$3)^2)</f>
        <v/>
      </c>
      <c r="M57" s="100">
        <f>IF(G57="","",-0.5*((J57-Components!$D$4)/Components!$E$4)^2)</f>
        <v/>
      </c>
      <c r="N57" s="100">
        <f>IF(G57="","",-0.5*((J57-Components!$D$5)/Components!$E$5)^2)</f>
        <v/>
      </c>
      <c r="O57" s="100">
        <f>IF(G57="","",-0.5*((J57-Components!$D$6)/Components!$E$6)^2)</f>
        <v/>
      </c>
      <c r="P57" s="100">
        <f>IF(G57="","",-0.5*((J57-Components!$D$7)/Components!$E$7)^2)</f>
        <v/>
      </c>
      <c r="Q57" s="100">
        <f>IF(G57="","",EXP(LARGE(K57:P57,1)-MAX(K57:P57))/(EXP(K57-MAX(K57:P57))+EXP(L57-MAX(K57:P57))+EXP(M57-MAX(K57:P57))+EXP(N57-MAX(K57:P57))+EXP(O57-MAX(K57:P57))+EXP(P57-MAX(K57:P57))))</f>
        <v/>
      </c>
      <c r="R57" s="100">
        <f>IF(G57="","",EXP(LARGE(K57:P57,2)-MAX(K57:P57))/(EXP(K57-MAX(K57:P57))+EXP(L57-MAX(K57:P57))+EXP(M57-MAX(K57:P57))+EXP(N57-MAX(K57:P57))+EXP(O57-MAX(K57:P57))+EXP(P57-MAX(K57:P57))))</f>
        <v/>
      </c>
      <c r="S57" s="100">
        <f>IF(G57="","",Q57-R57)</f>
        <v/>
      </c>
      <c r="T57" s="98">
        <f>IF(G57="","",IF(AND(G57&gt;=H57-$B$6*I57,G57&lt;=H57+$B$6*I57),"OK","NG"))</f>
        <v/>
      </c>
      <c r="U57" s="69">
        <f>IF(T57="","",IF(T57=D57,1,0))</f>
        <v/>
      </c>
      <c r="V57" s="98">
        <f>IF(G57="","",IF(T57="OK","NONE",INDEX({"S1","S2","W1","W2","N1","N2"},MATCH(MAX(K57:P57),K57:P57,0))))</f>
        <v/>
      </c>
      <c r="W57" s="69">
        <f>IF(G57="","",IF(V57=E57,1,0))</f>
        <v/>
      </c>
      <c r="X57" s="115">
        <f>IF(G57="","",IF(AND(T57="NG",S57&lt;$B$7),"AMBIGUOUS","CONFIDENT"))</f>
        <v/>
      </c>
    </row>
    <row r="58">
      <c r="A58" s="102">
        <f>'Runs Z score'!A51</f>
        <v/>
      </c>
      <c r="B58" s="98">
        <f>'Runs Z score'!B51</f>
        <v/>
      </c>
      <c r="C58" s="98">
        <f>'Runs Z score'!C51</f>
        <v/>
      </c>
      <c r="D58" s="98">
        <f>'Runs Z score'!D51</f>
        <v/>
      </c>
      <c r="E58" s="98">
        <f>'Runs Z score'!E51</f>
        <v/>
      </c>
      <c r="F58" s="98">
        <f>'Runs Z score'!F51</f>
        <v/>
      </c>
      <c r="G58" s="99">
        <f>'Runs Z score'!G51</f>
        <v/>
      </c>
      <c r="H58" s="100">
        <f>VLOOKUP(C58,Recipes!$A$2:$N$4,10,FALSE())</f>
        <v/>
      </c>
      <c r="I58" s="101">
        <f>VLOOKUP(C58,Recipes!$A$2:$N$4,12,FALSE())</f>
        <v/>
      </c>
      <c r="J58" s="100">
        <f>IF(G58="","",H58-G58)</f>
        <v/>
      </c>
      <c r="K58" s="100">
        <f>IF(G58="","",-0.5*((J58-Components!$D$2)/Components!$E$2)^2)</f>
        <v/>
      </c>
      <c r="L58" s="100">
        <f>IF(G58="","",-0.5*((J58-Components!$D$3)/Components!$E$3)^2)</f>
        <v/>
      </c>
      <c r="M58" s="100">
        <f>IF(G58="","",-0.5*((J58-Components!$D$4)/Components!$E$4)^2)</f>
        <v/>
      </c>
      <c r="N58" s="100">
        <f>IF(G58="","",-0.5*((J58-Components!$D$5)/Components!$E$5)^2)</f>
        <v/>
      </c>
      <c r="O58" s="100">
        <f>IF(G58="","",-0.5*((J58-Components!$D$6)/Components!$E$6)^2)</f>
        <v/>
      </c>
      <c r="P58" s="100">
        <f>IF(G58="","",-0.5*((J58-Components!$D$7)/Components!$E$7)^2)</f>
        <v/>
      </c>
      <c r="Q58" s="100">
        <f>IF(G58="","",EXP(LARGE(K58:P58,1)-MAX(K58:P58))/(EXP(K58-MAX(K58:P58))+EXP(L58-MAX(K58:P58))+EXP(M58-MAX(K58:P58))+EXP(N58-MAX(K58:P58))+EXP(O58-MAX(K58:P58))+EXP(P58-MAX(K58:P58))))</f>
        <v/>
      </c>
      <c r="R58" s="100">
        <f>IF(G58="","",EXP(LARGE(K58:P58,2)-MAX(K58:P58))/(EXP(K58-MAX(K58:P58))+EXP(L58-MAX(K58:P58))+EXP(M58-MAX(K58:P58))+EXP(N58-MAX(K58:P58))+EXP(O58-MAX(K58:P58))+EXP(P58-MAX(K58:P58))))</f>
        <v/>
      </c>
      <c r="S58" s="100">
        <f>IF(G58="","",Q58-R58)</f>
        <v/>
      </c>
      <c r="T58" s="98">
        <f>IF(G58="","",IF(AND(G58&gt;=H58-$B$6*I58,G58&lt;=H58+$B$6*I58),"OK","NG"))</f>
        <v/>
      </c>
      <c r="U58" s="69">
        <f>IF(T58="","",IF(T58=D58,1,0))</f>
        <v/>
      </c>
      <c r="V58" s="98">
        <f>IF(G58="","",IF(T58="OK","NONE",INDEX({"S1","S2","W1","W2","N1","N2"},MATCH(MAX(K58:P58),K58:P58,0))))</f>
        <v/>
      </c>
      <c r="W58" s="69">
        <f>IF(G58="","",IF(V58=E58,1,0))</f>
        <v/>
      </c>
      <c r="X58" s="115">
        <f>IF(G58="","",IF(AND(T58="NG",S58&lt;$B$7),"AMBIGUOUS","CONFIDENT"))</f>
        <v/>
      </c>
    </row>
    <row r="59">
      <c r="A59" s="102">
        <f>'Runs Z score'!A52</f>
        <v/>
      </c>
      <c r="B59" s="98">
        <f>'Runs Z score'!B52</f>
        <v/>
      </c>
      <c r="C59" s="98">
        <f>'Runs Z score'!C52</f>
        <v/>
      </c>
      <c r="D59" s="98">
        <f>'Runs Z score'!D52</f>
        <v/>
      </c>
      <c r="E59" s="98">
        <f>'Runs Z score'!E52</f>
        <v/>
      </c>
      <c r="F59" s="98">
        <f>'Runs Z score'!F52</f>
        <v/>
      </c>
      <c r="G59" s="99">
        <f>'Runs Z score'!G52</f>
        <v/>
      </c>
      <c r="H59" s="100">
        <f>VLOOKUP(C59,Recipes!$A$2:$N$4,10,FALSE())</f>
        <v/>
      </c>
      <c r="I59" s="101">
        <f>VLOOKUP(C59,Recipes!$A$2:$N$4,12,FALSE())</f>
        <v/>
      </c>
      <c r="J59" s="100">
        <f>IF(G59="","",H59-G59)</f>
        <v/>
      </c>
      <c r="K59" s="100">
        <f>IF(G59="","",-0.5*((J59-Components!$D$2)/Components!$E$2)^2)</f>
        <v/>
      </c>
      <c r="L59" s="100">
        <f>IF(G59="","",-0.5*((J59-Components!$D$3)/Components!$E$3)^2)</f>
        <v/>
      </c>
      <c r="M59" s="100">
        <f>IF(G59="","",-0.5*((J59-Components!$D$4)/Components!$E$4)^2)</f>
        <v/>
      </c>
      <c r="N59" s="100">
        <f>IF(G59="","",-0.5*((J59-Components!$D$5)/Components!$E$5)^2)</f>
        <v/>
      </c>
      <c r="O59" s="100">
        <f>IF(G59="","",-0.5*((J59-Components!$D$6)/Components!$E$6)^2)</f>
        <v/>
      </c>
      <c r="P59" s="100">
        <f>IF(G59="","",-0.5*((J59-Components!$D$7)/Components!$E$7)^2)</f>
        <v/>
      </c>
      <c r="Q59" s="100">
        <f>IF(G59="","",EXP(LARGE(K59:P59,1)-MAX(K59:P59))/(EXP(K59-MAX(K59:P59))+EXP(L59-MAX(K59:P59))+EXP(M59-MAX(K59:P59))+EXP(N59-MAX(K59:P59))+EXP(O59-MAX(K59:P59))+EXP(P59-MAX(K59:P59))))</f>
        <v/>
      </c>
      <c r="R59" s="100">
        <f>IF(G59="","",EXP(LARGE(K59:P59,2)-MAX(K59:P59))/(EXP(K59-MAX(K59:P59))+EXP(L59-MAX(K59:P59))+EXP(M59-MAX(K59:P59))+EXP(N59-MAX(K59:P59))+EXP(O59-MAX(K59:P59))+EXP(P59-MAX(K59:P59))))</f>
        <v/>
      </c>
      <c r="S59" s="100">
        <f>IF(G59="","",Q59-R59)</f>
        <v/>
      </c>
      <c r="T59" s="98">
        <f>IF(G59="","",IF(AND(G59&gt;=H59-$B$6*I59,G59&lt;=H59+$B$6*I59),"OK","NG"))</f>
        <v/>
      </c>
      <c r="U59" s="69">
        <f>IF(T59="","",IF(T59=D59,1,0))</f>
        <v/>
      </c>
      <c r="V59" s="98">
        <f>IF(G59="","",IF(T59="OK","NONE",INDEX({"S1","S2","W1","W2","N1","N2"},MATCH(MAX(K59:P59),K59:P59,0))))</f>
        <v/>
      </c>
      <c r="W59" s="69">
        <f>IF(G59="","",IF(V59=E59,1,0))</f>
        <v/>
      </c>
      <c r="X59" s="115">
        <f>IF(G59="","",IF(AND(T59="NG",S59&lt;$B$7),"AMBIGUOUS","CONFIDENT"))</f>
        <v/>
      </c>
    </row>
    <row r="60">
      <c r="A60" s="102">
        <f>'Runs Z score'!A53</f>
        <v/>
      </c>
      <c r="B60" s="98">
        <f>'Runs Z score'!B53</f>
        <v/>
      </c>
      <c r="C60" s="98">
        <f>'Runs Z score'!C53</f>
        <v/>
      </c>
      <c r="D60" s="98">
        <f>'Runs Z score'!D53</f>
        <v/>
      </c>
      <c r="E60" s="98">
        <f>'Runs Z score'!E53</f>
        <v/>
      </c>
      <c r="F60" s="98">
        <f>'Runs Z score'!F53</f>
        <v/>
      </c>
      <c r="G60" s="99">
        <f>'Runs Z score'!G53</f>
        <v/>
      </c>
      <c r="H60" s="100">
        <f>VLOOKUP(C60,Recipes!$A$2:$N$4,10,FALSE())</f>
        <v/>
      </c>
      <c r="I60" s="101">
        <f>VLOOKUP(C60,Recipes!$A$2:$N$4,12,FALSE())</f>
        <v/>
      </c>
      <c r="J60" s="100">
        <f>IF(G60="","",H60-G60)</f>
        <v/>
      </c>
      <c r="K60" s="100">
        <f>IF(G60="","",-0.5*((J60-Components!$D$2)/Components!$E$2)^2)</f>
        <v/>
      </c>
      <c r="L60" s="100">
        <f>IF(G60="","",-0.5*((J60-Components!$D$3)/Components!$E$3)^2)</f>
        <v/>
      </c>
      <c r="M60" s="100">
        <f>IF(G60="","",-0.5*((J60-Components!$D$4)/Components!$E$4)^2)</f>
        <v/>
      </c>
      <c r="N60" s="100">
        <f>IF(G60="","",-0.5*((J60-Components!$D$5)/Components!$E$5)^2)</f>
        <v/>
      </c>
      <c r="O60" s="100">
        <f>IF(G60="","",-0.5*((J60-Components!$D$6)/Components!$E$6)^2)</f>
        <v/>
      </c>
      <c r="P60" s="100">
        <f>IF(G60="","",-0.5*((J60-Components!$D$7)/Components!$E$7)^2)</f>
        <v/>
      </c>
      <c r="Q60" s="100">
        <f>IF(G60="","",EXP(LARGE(K60:P60,1)-MAX(K60:P60))/(EXP(K60-MAX(K60:P60))+EXP(L60-MAX(K60:P60))+EXP(M60-MAX(K60:P60))+EXP(N60-MAX(K60:P60))+EXP(O60-MAX(K60:P60))+EXP(P60-MAX(K60:P60))))</f>
        <v/>
      </c>
      <c r="R60" s="100">
        <f>IF(G60="","",EXP(LARGE(K60:P60,2)-MAX(K60:P60))/(EXP(K60-MAX(K60:P60))+EXP(L60-MAX(K60:P60))+EXP(M60-MAX(K60:P60))+EXP(N60-MAX(K60:P60))+EXP(O60-MAX(K60:P60))+EXP(P60-MAX(K60:P60))))</f>
        <v/>
      </c>
      <c r="S60" s="100">
        <f>IF(G60="","",Q60-R60)</f>
        <v/>
      </c>
      <c r="T60" s="98">
        <f>IF(G60="","",IF(AND(G60&gt;=H60-$B$6*I60,G60&lt;=H60+$B$6*I60),"OK","NG"))</f>
        <v/>
      </c>
      <c r="U60" s="69">
        <f>IF(T60="","",IF(T60=D60,1,0))</f>
        <v/>
      </c>
      <c r="V60" s="98">
        <f>IF(G60="","",IF(T60="OK","NONE",INDEX({"S1","S2","W1","W2","N1","N2"},MATCH(MAX(K60:P60),K60:P60,0))))</f>
        <v/>
      </c>
      <c r="W60" s="69">
        <f>IF(G60="","",IF(V60=E60,1,0))</f>
        <v/>
      </c>
      <c r="X60" s="115">
        <f>IF(G60="","",IF(AND(T60="NG",S60&lt;$B$7),"AMBIGUOUS","CONFIDENT"))</f>
        <v/>
      </c>
    </row>
    <row r="61">
      <c r="A61" s="102">
        <f>'Runs Z score'!A54</f>
        <v/>
      </c>
      <c r="B61" s="98">
        <f>'Runs Z score'!B54</f>
        <v/>
      </c>
      <c r="C61" s="98">
        <f>'Runs Z score'!C54</f>
        <v/>
      </c>
      <c r="D61" s="98">
        <f>'Runs Z score'!D54</f>
        <v/>
      </c>
      <c r="E61" s="98">
        <f>'Runs Z score'!E54</f>
        <v/>
      </c>
      <c r="F61" s="98">
        <f>'Runs Z score'!F54</f>
        <v/>
      </c>
      <c r="G61" s="99">
        <f>'Runs Z score'!G54</f>
        <v/>
      </c>
      <c r="H61" s="100">
        <f>VLOOKUP(C61,Recipes!$A$2:$N$4,10,FALSE())</f>
        <v/>
      </c>
      <c r="I61" s="101">
        <f>VLOOKUP(C61,Recipes!$A$2:$N$4,12,FALSE())</f>
        <v/>
      </c>
      <c r="J61" s="100">
        <f>IF(G61="","",H61-G61)</f>
        <v/>
      </c>
      <c r="K61" s="100">
        <f>IF(G61="","",-0.5*((J61-Components!$D$2)/Components!$E$2)^2)</f>
        <v/>
      </c>
      <c r="L61" s="100">
        <f>IF(G61="","",-0.5*((J61-Components!$D$3)/Components!$E$3)^2)</f>
        <v/>
      </c>
      <c r="M61" s="100">
        <f>IF(G61="","",-0.5*((J61-Components!$D$4)/Components!$E$4)^2)</f>
        <v/>
      </c>
      <c r="N61" s="100">
        <f>IF(G61="","",-0.5*((J61-Components!$D$5)/Components!$E$5)^2)</f>
        <v/>
      </c>
      <c r="O61" s="100">
        <f>IF(G61="","",-0.5*((J61-Components!$D$6)/Components!$E$6)^2)</f>
        <v/>
      </c>
      <c r="P61" s="100">
        <f>IF(G61="","",-0.5*((J61-Components!$D$7)/Components!$E$7)^2)</f>
        <v/>
      </c>
      <c r="Q61" s="100">
        <f>IF(G61="","",EXP(LARGE(K61:P61,1)-MAX(K61:P61))/(EXP(K61-MAX(K61:P61))+EXP(L61-MAX(K61:P61))+EXP(M61-MAX(K61:P61))+EXP(N61-MAX(K61:P61))+EXP(O61-MAX(K61:P61))+EXP(P61-MAX(K61:P61))))</f>
        <v/>
      </c>
      <c r="R61" s="100">
        <f>IF(G61="","",EXP(LARGE(K61:P61,2)-MAX(K61:P61))/(EXP(K61-MAX(K61:P61))+EXP(L61-MAX(K61:P61))+EXP(M61-MAX(K61:P61))+EXP(N61-MAX(K61:P61))+EXP(O61-MAX(K61:P61))+EXP(P61-MAX(K61:P61))))</f>
        <v/>
      </c>
      <c r="S61" s="100">
        <f>IF(G61="","",Q61-R61)</f>
        <v/>
      </c>
      <c r="T61" s="98">
        <f>IF(G61="","",IF(AND(G61&gt;=H61-$B$6*I61,G61&lt;=H61+$B$6*I61),"OK","NG"))</f>
        <v/>
      </c>
      <c r="U61" s="69">
        <f>IF(T61="","",IF(T61=D61,1,0))</f>
        <v/>
      </c>
      <c r="V61" s="98">
        <f>IF(G61="","",IF(T61="OK","NONE",INDEX({"S1","S2","W1","W2","N1","N2"},MATCH(MAX(K61:P61),K61:P61,0))))</f>
        <v/>
      </c>
      <c r="W61" s="69">
        <f>IF(G61="","",IF(V61=E61,1,0))</f>
        <v/>
      </c>
      <c r="X61" s="115">
        <f>IF(G61="","",IF(AND(T61="NG",S61&lt;$B$7),"AMBIGUOUS","CONFIDENT"))</f>
        <v/>
      </c>
    </row>
    <row r="62">
      <c r="A62" s="102">
        <f>'Runs Z score'!A55</f>
        <v/>
      </c>
      <c r="B62" s="98">
        <f>'Runs Z score'!B55</f>
        <v/>
      </c>
      <c r="C62" s="98">
        <f>'Runs Z score'!C55</f>
        <v/>
      </c>
      <c r="D62" s="98">
        <f>'Runs Z score'!D55</f>
        <v/>
      </c>
      <c r="E62" s="98">
        <f>'Runs Z score'!E55</f>
        <v/>
      </c>
      <c r="F62" s="98">
        <f>'Runs Z score'!F55</f>
        <v/>
      </c>
      <c r="G62" s="99">
        <f>'Runs Z score'!G55</f>
        <v/>
      </c>
      <c r="H62" s="100">
        <f>VLOOKUP(C62,Recipes!$A$2:$N$4,10,FALSE())</f>
        <v/>
      </c>
      <c r="I62" s="101">
        <f>VLOOKUP(C62,Recipes!$A$2:$N$4,12,FALSE())</f>
        <v/>
      </c>
      <c r="J62" s="100">
        <f>IF(G62="","",H62-G62)</f>
        <v/>
      </c>
      <c r="K62" s="100">
        <f>IF(G62="","",-0.5*((J62-Components!$D$2)/Components!$E$2)^2)</f>
        <v/>
      </c>
      <c r="L62" s="100">
        <f>IF(G62="","",-0.5*((J62-Components!$D$3)/Components!$E$3)^2)</f>
        <v/>
      </c>
      <c r="M62" s="100">
        <f>IF(G62="","",-0.5*((J62-Components!$D$4)/Components!$E$4)^2)</f>
        <v/>
      </c>
      <c r="N62" s="100">
        <f>IF(G62="","",-0.5*((J62-Components!$D$5)/Components!$E$5)^2)</f>
        <v/>
      </c>
      <c r="O62" s="100">
        <f>IF(G62="","",-0.5*((J62-Components!$D$6)/Components!$E$6)^2)</f>
        <v/>
      </c>
      <c r="P62" s="100">
        <f>IF(G62="","",-0.5*((J62-Components!$D$7)/Components!$E$7)^2)</f>
        <v/>
      </c>
      <c r="Q62" s="100">
        <f>IF(G62="","",EXP(LARGE(K62:P62,1)-MAX(K62:P62))/(EXP(K62-MAX(K62:P62))+EXP(L62-MAX(K62:P62))+EXP(M62-MAX(K62:P62))+EXP(N62-MAX(K62:P62))+EXP(O62-MAX(K62:P62))+EXP(P62-MAX(K62:P62))))</f>
        <v/>
      </c>
      <c r="R62" s="100">
        <f>IF(G62="","",EXP(LARGE(K62:P62,2)-MAX(K62:P62))/(EXP(K62-MAX(K62:P62))+EXP(L62-MAX(K62:P62))+EXP(M62-MAX(K62:P62))+EXP(N62-MAX(K62:P62))+EXP(O62-MAX(K62:P62))+EXP(P62-MAX(K62:P62))))</f>
        <v/>
      </c>
      <c r="S62" s="100">
        <f>IF(G62="","",Q62-R62)</f>
        <v/>
      </c>
      <c r="T62" s="98">
        <f>IF(G62="","",IF(AND(G62&gt;=H62-$B$6*I62,G62&lt;=H62+$B$6*I62),"OK","NG"))</f>
        <v/>
      </c>
      <c r="U62" s="69">
        <f>IF(T62="","",IF(T62=D62,1,0))</f>
        <v/>
      </c>
      <c r="V62" s="98">
        <f>IF(G62="","",IF(T62="OK","NONE",INDEX({"S1","S2","W1","W2","N1","N2"},MATCH(MAX(K62:P62),K62:P62,0))))</f>
        <v/>
      </c>
      <c r="W62" s="69">
        <f>IF(G62="","",IF(V62=E62,1,0))</f>
        <v/>
      </c>
      <c r="X62" s="115">
        <f>IF(G62="","",IF(AND(T62="NG",S62&lt;$B$7),"AMBIGUOUS","CONFIDENT"))</f>
        <v/>
      </c>
    </row>
    <row r="63">
      <c r="A63" s="102">
        <f>'Runs Z score'!A56</f>
        <v/>
      </c>
      <c r="B63" s="98">
        <f>'Runs Z score'!B56</f>
        <v/>
      </c>
      <c r="C63" s="98">
        <f>'Runs Z score'!C56</f>
        <v/>
      </c>
      <c r="D63" s="98">
        <f>'Runs Z score'!D56</f>
        <v/>
      </c>
      <c r="E63" s="98">
        <f>'Runs Z score'!E56</f>
        <v/>
      </c>
      <c r="F63" s="98">
        <f>'Runs Z score'!F56</f>
        <v/>
      </c>
      <c r="G63" s="99">
        <f>'Runs Z score'!G56</f>
        <v/>
      </c>
      <c r="H63" s="100">
        <f>VLOOKUP(C63,Recipes!$A$2:$N$4,10,FALSE())</f>
        <v/>
      </c>
      <c r="I63" s="101">
        <f>VLOOKUP(C63,Recipes!$A$2:$N$4,12,FALSE())</f>
        <v/>
      </c>
      <c r="J63" s="100">
        <f>IF(G63="","",H63-G63)</f>
        <v/>
      </c>
      <c r="K63" s="100">
        <f>IF(G63="","",-0.5*((J63-Components!$D$2)/Components!$E$2)^2)</f>
        <v/>
      </c>
      <c r="L63" s="100">
        <f>IF(G63="","",-0.5*((J63-Components!$D$3)/Components!$E$3)^2)</f>
        <v/>
      </c>
      <c r="M63" s="100">
        <f>IF(G63="","",-0.5*((J63-Components!$D$4)/Components!$E$4)^2)</f>
        <v/>
      </c>
      <c r="N63" s="100">
        <f>IF(G63="","",-0.5*((J63-Components!$D$5)/Components!$E$5)^2)</f>
        <v/>
      </c>
      <c r="O63" s="100">
        <f>IF(G63="","",-0.5*((J63-Components!$D$6)/Components!$E$6)^2)</f>
        <v/>
      </c>
      <c r="P63" s="100">
        <f>IF(G63="","",-0.5*((J63-Components!$D$7)/Components!$E$7)^2)</f>
        <v/>
      </c>
      <c r="Q63" s="100">
        <f>IF(G63="","",EXP(LARGE(K63:P63,1)-MAX(K63:P63))/(EXP(K63-MAX(K63:P63))+EXP(L63-MAX(K63:P63))+EXP(M63-MAX(K63:P63))+EXP(N63-MAX(K63:P63))+EXP(O63-MAX(K63:P63))+EXP(P63-MAX(K63:P63))))</f>
        <v/>
      </c>
      <c r="R63" s="100">
        <f>IF(G63="","",EXP(LARGE(K63:P63,2)-MAX(K63:P63))/(EXP(K63-MAX(K63:P63))+EXP(L63-MAX(K63:P63))+EXP(M63-MAX(K63:P63))+EXP(N63-MAX(K63:P63))+EXP(O63-MAX(K63:P63))+EXP(P63-MAX(K63:P63))))</f>
        <v/>
      </c>
      <c r="S63" s="100">
        <f>IF(G63="","",Q63-R63)</f>
        <v/>
      </c>
      <c r="T63" s="98">
        <f>IF(G63="","",IF(AND(G63&gt;=H63-$B$6*I63,G63&lt;=H63+$B$6*I63),"OK","NG"))</f>
        <v/>
      </c>
      <c r="U63" s="69">
        <f>IF(T63="","",IF(T63=D63,1,0))</f>
        <v/>
      </c>
      <c r="V63" s="98">
        <f>IF(G63="","",IF(T63="OK","NONE",INDEX({"S1","S2","W1","W2","N1","N2"},MATCH(MAX(K63:P63),K63:P63,0))))</f>
        <v/>
      </c>
      <c r="W63" s="69">
        <f>IF(G63="","",IF(V63=E63,1,0))</f>
        <v/>
      </c>
      <c r="X63" s="115">
        <f>IF(G63="","",IF(AND(T63="NG",S63&lt;$B$7),"AMBIGUOUS","CONFIDENT"))</f>
        <v/>
      </c>
    </row>
    <row r="64">
      <c r="A64" s="102">
        <f>'Runs Z score'!A57</f>
        <v/>
      </c>
      <c r="B64" s="98">
        <f>'Runs Z score'!B57</f>
        <v/>
      </c>
      <c r="C64" s="98">
        <f>'Runs Z score'!C57</f>
        <v/>
      </c>
      <c r="D64" s="98">
        <f>'Runs Z score'!D57</f>
        <v/>
      </c>
      <c r="E64" s="98">
        <f>'Runs Z score'!E57</f>
        <v/>
      </c>
      <c r="F64" s="98">
        <f>'Runs Z score'!F57</f>
        <v/>
      </c>
      <c r="G64" s="99">
        <f>'Runs Z score'!G57</f>
        <v/>
      </c>
      <c r="H64" s="100">
        <f>VLOOKUP(C64,Recipes!$A$2:$N$4,10,FALSE())</f>
        <v/>
      </c>
      <c r="I64" s="101">
        <f>VLOOKUP(C64,Recipes!$A$2:$N$4,12,FALSE())</f>
        <v/>
      </c>
      <c r="J64" s="100">
        <f>IF(G64="","",H64-G64)</f>
        <v/>
      </c>
      <c r="K64" s="100">
        <f>IF(G64="","",-0.5*((J64-Components!$D$2)/Components!$E$2)^2)</f>
        <v/>
      </c>
      <c r="L64" s="100">
        <f>IF(G64="","",-0.5*((J64-Components!$D$3)/Components!$E$3)^2)</f>
        <v/>
      </c>
      <c r="M64" s="100">
        <f>IF(G64="","",-0.5*((J64-Components!$D$4)/Components!$E$4)^2)</f>
        <v/>
      </c>
      <c r="N64" s="100">
        <f>IF(G64="","",-0.5*((J64-Components!$D$5)/Components!$E$5)^2)</f>
        <v/>
      </c>
      <c r="O64" s="100">
        <f>IF(G64="","",-0.5*((J64-Components!$D$6)/Components!$E$6)^2)</f>
        <v/>
      </c>
      <c r="P64" s="100">
        <f>IF(G64="","",-0.5*((J64-Components!$D$7)/Components!$E$7)^2)</f>
        <v/>
      </c>
      <c r="Q64" s="100">
        <f>IF(G64="","",EXP(LARGE(K64:P64,1)-MAX(K64:P64))/(EXP(K64-MAX(K64:P64))+EXP(L64-MAX(K64:P64))+EXP(M64-MAX(K64:P64))+EXP(N64-MAX(K64:P64))+EXP(O64-MAX(K64:P64))+EXP(P64-MAX(K64:P64))))</f>
        <v/>
      </c>
      <c r="R64" s="100">
        <f>IF(G64="","",EXP(LARGE(K64:P64,2)-MAX(K64:P64))/(EXP(K64-MAX(K64:P64))+EXP(L64-MAX(K64:P64))+EXP(M64-MAX(K64:P64))+EXP(N64-MAX(K64:P64))+EXP(O64-MAX(K64:P64))+EXP(P64-MAX(K64:P64))))</f>
        <v/>
      </c>
      <c r="S64" s="100">
        <f>IF(G64="","",Q64-R64)</f>
        <v/>
      </c>
      <c r="T64" s="98">
        <f>IF(G64="","",IF(AND(G64&gt;=H64-$B$6*I64,G64&lt;=H64+$B$6*I64),"OK","NG"))</f>
        <v/>
      </c>
      <c r="U64" s="69">
        <f>IF(T64="","",IF(T64=D64,1,0))</f>
        <v/>
      </c>
      <c r="V64" s="98">
        <f>IF(G64="","",IF(T64="OK","NONE",INDEX({"S1","S2","W1","W2","N1","N2"},MATCH(MAX(K64:P64),K64:P64,0))))</f>
        <v/>
      </c>
      <c r="W64" s="69">
        <f>IF(G64="","",IF(V64=E64,1,0))</f>
        <v/>
      </c>
      <c r="X64" s="115">
        <f>IF(G64="","",IF(AND(T64="NG",S64&lt;$B$7),"AMBIGUOUS","CONFIDENT"))</f>
        <v/>
      </c>
    </row>
    <row r="65">
      <c r="A65" s="102">
        <f>'Runs Z score'!A58</f>
        <v/>
      </c>
      <c r="B65" s="98">
        <f>'Runs Z score'!B58</f>
        <v/>
      </c>
      <c r="C65" s="98">
        <f>'Runs Z score'!C58</f>
        <v/>
      </c>
      <c r="D65" s="98">
        <f>'Runs Z score'!D58</f>
        <v/>
      </c>
      <c r="E65" s="98">
        <f>'Runs Z score'!E58</f>
        <v/>
      </c>
      <c r="F65" s="98">
        <f>'Runs Z score'!F58</f>
        <v/>
      </c>
      <c r="G65" s="99">
        <f>'Runs Z score'!G58</f>
        <v/>
      </c>
      <c r="H65" s="100">
        <f>VLOOKUP(C65,Recipes!$A$2:$N$4,10,FALSE())</f>
        <v/>
      </c>
      <c r="I65" s="101">
        <f>VLOOKUP(C65,Recipes!$A$2:$N$4,12,FALSE())</f>
        <v/>
      </c>
      <c r="J65" s="100">
        <f>IF(G65="","",H65-G65)</f>
        <v/>
      </c>
      <c r="K65" s="100">
        <f>IF(G65="","",-0.5*((J65-Components!$D$2)/Components!$E$2)^2)</f>
        <v/>
      </c>
      <c r="L65" s="100">
        <f>IF(G65="","",-0.5*((J65-Components!$D$3)/Components!$E$3)^2)</f>
        <v/>
      </c>
      <c r="M65" s="100">
        <f>IF(G65="","",-0.5*((J65-Components!$D$4)/Components!$E$4)^2)</f>
        <v/>
      </c>
      <c r="N65" s="100">
        <f>IF(G65="","",-0.5*((J65-Components!$D$5)/Components!$E$5)^2)</f>
        <v/>
      </c>
      <c r="O65" s="100">
        <f>IF(G65="","",-0.5*((J65-Components!$D$6)/Components!$E$6)^2)</f>
        <v/>
      </c>
      <c r="P65" s="100">
        <f>IF(G65="","",-0.5*((J65-Components!$D$7)/Components!$E$7)^2)</f>
        <v/>
      </c>
      <c r="Q65" s="100">
        <f>IF(G65="","",EXP(LARGE(K65:P65,1)-MAX(K65:P65))/(EXP(K65-MAX(K65:P65))+EXP(L65-MAX(K65:P65))+EXP(M65-MAX(K65:P65))+EXP(N65-MAX(K65:P65))+EXP(O65-MAX(K65:P65))+EXP(P65-MAX(K65:P65))))</f>
        <v/>
      </c>
      <c r="R65" s="100">
        <f>IF(G65="","",EXP(LARGE(K65:P65,2)-MAX(K65:P65))/(EXP(K65-MAX(K65:P65))+EXP(L65-MAX(K65:P65))+EXP(M65-MAX(K65:P65))+EXP(N65-MAX(K65:P65))+EXP(O65-MAX(K65:P65))+EXP(P65-MAX(K65:P65))))</f>
        <v/>
      </c>
      <c r="S65" s="100">
        <f>IF(G65="","",Q65-R65)</f>
        <v/>
      </c>
      <c r="T65" s="98">
        <f>IF(G65="","",IF(AND(G65&gt;=H65-$B$6*I65,G65&lt;=H65+$B$6*I65),"OK","NG"))</f>
        <v/>
      </c>
      <c r="U65" s="69">
        <f>IF(T65="","",IF(T65=D65,1,0))</f>
        <v/>
      </c>
      <c r="V65" s="98">
        <f>IF(G65="","",IF(T65="OK","NONE",INDEX({"S1","S2","W1","W2","N1","N2"},MATCH(MAX(K65:P65),K65:P65,0))))</f>
        <v/>
      </c>
      <c r="W65" s="69">
        <f>IF(G65="","",IF(V65=E65,1,0))</f>
        <v/>
      </c>
      <c r="X65" s="115">
        <f>IF(G65="","",IF(AND(T65="NG",S65&lt;$B$7),"AMBIGUOUS","CONFIDENT"))</f>
        <v/>
      </c>
    </row>
    <row r="66">
      <c r="A66" s="102">
        <f>'Runs Z score'!A59</f>
        <v/>
      </c>
      <c r="B66" s="98">
        <f>'Runs Z score'!B59</f>
        <v/>
      </c>
      <c r="C66" s="98">
        <f>'Runs Z score'!C59</f>
        <v/>
      </c>
      <c r="D66" s="98">
        <f>'Runs Z score'!D59</f>
        <v/>
      </c>
      <c r="E66" s="98">
        <f>'Runs Z score'!E59</f>
        <v/>
      </c>
      <c r="F66" s="98">
        <f>'Runs Z score'!F59</f>
        <v/>
      </c>
      <c r="G66" s="99">
        <f>'Runs Z score'!G59</f>
        <v/>
      </c>
      <c r="H66" s="100">
        <f>VLOOKUP(C66,Recipes!$A$2:$N$4,10,FALSE())</f>
        <v/>
      </c>
      <c r="I66" s="101">
        <f>VLOOKUP(C66,Recipes!$A$2:$N$4,12,FALSE())</f>
        <v/>
      </c>
      <c r="J66" s="100">
        <f>IF(G66="","",H66-G66)</f>
        <v/>
      </c>
      <c r="K66" s="100">
        <f>IF(G66="","",-0.5*((J66-Components!$D$2)/Components!$E$2)^2)</f>
        <v/>
      </c>
      <c r="L66" s="100">
        <f>IF(G66="","",-0.5*((J66-Components!$D$3)/Components!$E$3)^2)</f>
        <v/>
      </c>
      <c r="M66" s="100">
        <f>IF(G66="","",-0.5*((J66-Components!$D$4)/Components!$E$4)^2)</f>
        <v/>
      </c>
      <c r="N66" s="100">
        <f>IF(G66="","",-0.5*((J66-Components!$D$5)/Components!$E$5)^2)</f>
        <v/>
      </c>
      <c r="O66" s="100">
        <f>IF(G66="","",-0.5*((J66-Components!$D$6)/Components!$E$6)^2)</f>
        <v/>
      </c>
      <c r="P66" s="100">
        <f>IF(G66="","",-0.5*((J66-Components!$D$7)/Components!$E$7)^2)</f>
        <v/>
      </c>
      <c r="Q66" s="100">
        <f>IF(G66="","",EXP(LARGE(K66:P66,1)-MAX(K66:P66))/(EXP(K66-MAX(K66:P66))+EXP(L66-MAX(K66:P66))+EXP(M66-MAX(K66:P66))+EXP(N66-MAX(K66:P66))+EXP(O66-MAX(K66:P66))+EXP(P66-MAX(K66:P66))))</f>
        <v/>
      </c>
      <c r="R66" s="100">
        <f>IF(G66="","",EXP(LARGE(K66:P66,2)-MAX(K66:P66))/(EXP(K66-MAX(K66:P66))+EXP(L66-MAX(K66:P66))+EXP(M66-MAX(K66:P66))+EXP(N66-MAX(K66:P66))+EXP(O66-MAX(K66:P66))+EXP(P66-MAX(K66:P66))))</f>
        <v/>
      </c>
      <c r="S66" s="100">
        <f>IF(G66="","",Q66-R66)</f>
        <v/>
      </c>
      <c r="T66" s="98">
        <f>IF(G66="","",IF(AND(G66&gt;=H66-$B$6*I66,G66&lt;=H66+$B$6*I66),"OK","NG"))</f>
        <v/>
      </c>
      <c r="U66" s="69">
        <f>IF(T66="","",IF(T66=D66,1,0))</f>
        <v/>
      </c>
      <c r="V66" s="98">
        <f>IF(G66="","",IF(T66="OK","NONE",INDEX({"S1","S2","W1","W2","N1","N2"},MATCH(MAX(K66:P66),K66:P66,0))))</f>
        <v/>
      </c>
      <c r="W66" s="69">
        <f>IF(G66="","",IF(V66=E66,1,0))</f>
        <v/>
      </c>
      <c r="X66" s="115">
        <f>IF(G66="","",IF(AND(T66="NG",S66&lt;$B$7),"AMBIGUOUS","CONFIDENT"))</f>
        <v/>
      </c>
    </row>
    <row r="67">
      <c r="A67" s="102">
        <f>'Runs Z score'!A60</f>
        <v/>
      </c>
      <c r="B67" s="98">
        <f>'Runs Z score'!B60</f>
        <v/>
      </c>
      <c r="C67" s="98">
        <f>'Runs Z score'!C60</f>
        <v/>
      </c>
      <c r="D67" s="98">
        <f>'Runs Z score'!D60</f>
        <v/>
      </c>
      <c r="E67" s="98">
        <f>'Runs Z score'!E60</f>
        <v/>
      </c>
      <c r="F67" s="98">
        <f>'Runs Z score'!F60</f>
        <v/>
      </c>
      <c r="G67" s="99">
        <f>'Runs Z score'!G60</f>
        <v/>
      </c>
      <c r="H67" s="100">
        <f>VLOOKUP(C67,Recipes!$A$2:$N$4,10,FALSE())</f>
        <v/>
      </c>
      <c r="I67" s="101">
        <f>VLOOKUP(C67,Recipes!$A$2:$N$4,12,FALSE())</f>
        <v/>
      </c>
      <c r="J67" s="100">
        <f>IF(G67="","",H67-G67)</f>
        <v/>
      </c>
      <c r="K67" s="100">
        <f>IF(G67="","",-0.5*((J67-Components!$D$2)/Components!$E$2)^2)</f>
        <v/>
      </c>
      <c r="L67" s="100">
        <f>IF(G67="","",-0.5*((J67-Components!$D$3)/Components!$E$3)^2)</f>
        <v/>
      </c>
      <c r="M67" s="100">
        <f>IF(G67="","",-0.5*((J67-Components!$D$4)/Components!$E$4)^2)</f>
        <v/>
      </c>
      <c r="N67" s="100">
        <f>IF(G67="","",-0.5*((J67-Components!$D$5)/Components!$E$5)^2)</f>
        <v/>
      </c>
      <c r="O67" s="100">
        <f>IF(G67="","",-0.5*((J67-Components!$D$6)/Components!$E$6)^2)</f>
        <v/>
      </c>
      <c r="P67" s="100">
        <f>IF(G67="","",-0.5*((J67-Components!$D$7)/Components!$E$7)^2)</f>
        <v/>
      </c>
      <c r="Q67" s="100">
        <f>IF(G67="","",EXP(LARGE(K67:P67,1)-MAX(K67:P67))/(EXP(K67-MAX(K67:P67))+EXP(L67-MAX(K67:P67))+EXP(M67-MAX(K67:P67))+EXP(N67-MAX(K67:P67))+EXP(O67-MAX(K67:P67))+EXP(P67-MAX(K67:P67))))</f>
        <v/>
      </c>
      <c r="R67" s="100">
        <f>IF(G67="","",EXP(LARGE(K67:P67,2)-MAX(K67:P67))/(EXP(K67-MAX(K67:P67))+EXP(L67-MAX(K67:P67))+EXP(M67-MAX(K67:P67))+EXP(N67-MAX(K67:P67))+EXP(O67-MAX(K67:P67))+EXP(P67-MAX(K67:P67))))</f>
        <v/>
      </c>
      <c r="S67" s="100">
        <f>IF(G67="","",Q67-R67)</f>
        <v/>
      </c>
      <c r="T67" s="98">
        <f>IF(G67="","",IF(AND(G67&gt;=H67-$B$6*I67,G67&lt;=H67+$B$6*I67),"OK","NG"))</f>
        <v/>
      </c>
      <c r="U67" s="69">
        <f>IF(T67="","",IF(T67=D67,1,0))</f>
        <v/>
      </c>
      <c r="V67" s="98">
        <f>IF(G67="","",IF(T67="OK","NONE",INDEX({"S1","S2","W1","W2","N1","N2"},MATCH(MAX(K67:P67),K67:P67,0))))</f>
        <v/>
      </c>
      <c r="W67" s="69">
        <f>IF(G67="","",IF(V67=E67,1,0))</f>
        <v/>
      </c>
      <c r="X67" s="115">
        <f>IF(G67="","",IF(AND(T67="NG",S67&lt;$B$7),"AMBIGUOUS","CONFIDENT"))</f>
        <v/>
      </c>
    </row>
    <row r="68">
      <c r="A68" s="102">
        <f>'Runs Z score'!A61</f>
        <v/>
      </c>
      <c r="B68" s="98">
        <f>'Runs Z score'!B61</f>
        <v/>
      </c>
      <c r="C68" s="98">
        <f>'Runs Z score'!C61</f>
        <v/>
      </c>
      <c r="D68" s="98">
        <f>'Runs Z score'!D61</f>
        <v/>
      </c>
      <c r="E68" s="98">
        <f>'Runs Z score'!E61</f>
        <v/>
      </c>
      <c r="F68" s="98">
        <f>'Runs Z score'!F61</f>
        <v/>
      </c>
      <c r="G68" s="99">
        <f>'Runs Z score'!G61</f>
        <v/>
      </c>
      <c r="H68" s="100">
        <f>VLOOKUP(C68,Recipes!$A$2:$N$4,10,FALSE())</f>
        <v/>
      </c>
      <c r="I68" s="101">
        <f>VLOOKUP(C68,Recipes!$A$2:$N$4,12,FALSE())</f>
        <v/>
      </c>
      <c r="J68" s="100">
        <f>IF(G68="","",H68-G68)</f>
        <v/>
      </c>
      <c r="K68" s="100">
        <f>IF(G68="","",-0.5*((J68-Components!$D$2)/Components!$E$2)^2)</f>
        <v/>
      </c>
      <c r="L68" s="100">
        <f>IF(G68="","",-0.5*((J68-Components!$D$3)/Components!$E$3)^2)</f>
        <v/>
      </c>
      <c r="M68" s="100">
        <f>IF(G68="","",-0.5*((J68-Components!$D$4)/Components!$E$4)^2)</f>
        <v/>
      </c>
      <c r="N68" s="100">
        <f>IF(G68="","",-0.5*((J68-Components!$D$5)/Components!$E$5)^2)</f>
        <v/>
      </c>
      <c r="O68" s="100">
        <f>IF(G68="","",-0.5*((J68-Components!$D$6)/Components!$E$6)^2)</f>
        <v/>
      </c>
      <c r="P68" s="100">
        <f>IF(G68="","",-0.5*((J68-Components!$D$7)/Components!$E$7)^2)</f>
        <v/>
      </c>
      <c r="Q68" s="100">
        <f>IF(G68="","",EXP(LARGE(K68:P68,1)-MAX(K68:P68))/(EXP(K68-MAX(K68:P68))+EXP(L68-MAX(K68:P68))+EXP(M68-MAX(K68:P68))+EXP(N68-MAX(K68:P68))+EXP(O68-MAX(K68:P68))+EXP(P68-MAX(K68:P68))))</f>
        <v/>
      </c>
      <c r="R68" s="100">
        <f>IF(G68="","",EXP(LARGE(K68:P68,2)-MAX(K68:P68))/(EXP(K68-MAX(K68:P68))+EXP(L68-MAX(K68:P68))+EXP(M68-MAX(K68:P68))+EXP(N68-MAX(K68:P68))+EXP(O68-MAX(K68:P68))+EXP(P68-MAX(K68:P68))))</f>
        <v/>
      </c>
      <c r="S68" s="100">
        <f>IF(G68="","",Q68-R68)</f>
        <v/>
      </c>
      <c r="T68" s="98">
        <f>IF(G68="","",IF(AND(G68&gt;=H68-$B$6*I68,G68&lt;=H68+$B$6*I68),"OK","NG"))</f>
        <v/>
      </c>
      <c r="U68" s="69">
        <f>IF(T68="","",IF(T68=D68,1,0))</f>
        <v/>
      </c>
      <c r="V68" s="98">
        <f>IF(G68="","",IF(T68="OK","NONE",INDEX({"S1","S2","W1","W2","N1","N2"},MATCH(MAX(K68:P68),K68:P68,0))))</f>
        <v/>
      </c>
      <c r="W68" s="71">
        <f>IF(G68="","",IF(V68=E68,1,0))</f>
        <v/>
      </c>
      <c r="X68" s="115">
        <f>IF(G68="","",IF(AND(T68="NG",S68&lt;$B$7),"AMBIGUOUS","CONFIDENT"))</f>
        <v/>
      </c>
    </row>
    <row r="69">
      <c r="A69" s="102">
        <f>'Runs Z score'!A62</f>
        <v/>
      </c>
      <c r="B69" s="98">
        <f>'Runs Z score'!B62</f>
        <v/>
      </c>
      <c r="C69" s="98">
        <f>'Runs Z score'!C62</f>
        <v/>
      </c>
      <c r="D69" s="98">
        <f>'Runs Z score'!D62</f>
        <v/>
      </c>
      <c r="E69" s="98">
        <f>'Runs Z score'!E62</f>
        <v/>
      </c>
      <c r="F69" s="98">
        <f>'Runs Z score'!F62</f>
        <v/>
      </c>
      <c r="G69" s="99">
        <f>'Runs Z score'!G62</f>
        <v/>
      </c>
      <c r="H69" s="100">
        <f>VLOOKUP(C69,Recipes!$A$2:$N$4,10,FALSE())</f>
        <v/>
      </c>
      <c r="I69" s="101">
        <f>VLOOKUP(C69,Recipes!$A$2:$N$4,12,FALSE())</f>
        <v/>
      </c>
      <c r="J69" s="100">
        <f>IF(G69="","",H69-G69)</f>
        <v/>
      </c>
      <c r="K69" s="100">
        <f>IF(G69="","",-0.5*((J69-Components!$D$2)/Components!$E$2)^2)</f>
        <v/>
      </c>
      <c r="L69" s="100">
        <f>IF(G69="","",-0.5*((J69-Components!$D$3)/Components!$E$3)^2)</f>
        <v/>
      </c>
      <c r="M69" s="100">
        <f>IF(G69="","",-0.5*((J69-Components!$D$4)/Components!$E$4)^2)</f>
        <v/>
      </c>
      <c r="N69" s="100">
        <f>IF(G69="","",-0.5*((J69-Components!$D$5)/Components!$E$5)^2)</f>
        <v/>
      </c>
      <c r="O69" s="100">
        <f>IF(G69="","",-0.5*((J69-Components!$D$6)/Components!$E$6)^2)</f>
        <v/>
      </c>
      <c r="P69" s="100">
        <f>IF(G69="","",-0.5*((J69-Components!$D$7)/Components!$E$7)^2)</f>
        <v/>
      </c>
      <c r="Q69" s="100">
        <f>IF(G69="","",EXP(LARGE(K69:P69,1)-MAX(K69:P69))/(EXP(K69-MAX(K69:P69))+EXP(L69-MAX(K69:P69))+EXP(M69-MAX(K69:P69))+EXP(N69-MAX(K69:P69))+EXP(O69-MAX(K69:P69))+EXP(P69-MAX(K69:P69))))</f>
        <v/>
      </c>
      <c r="R69" s="100">
        <f>IF(G69="","",EXP(LARGE(K69:P69,2)-MAX(K69:P69))/(EXP(K69-MAX(K69:P69))+EXP(L69-MAX(K69:P69))+EXP(M69-MAX(K69:P69))+EXP(N69-MAX(K69:P69))+EXP(O69-MAX(K69:P69))+EXP(P69-MAX(K69:P69))))</f>
        <v/>
      </c>
      <c r="S69" s="100">
        <f>IF(G69="","",Q69-R69)</f>
        <v/>
      </c>
      <c r="T69" s="98">
        <f>IF(G69="","",IF(AND(G69&gt;=H69-$B$6*I69,G69&lt;=H69+$B$6*I69),"OK","NG"))</f>
        <v/>
      </c>
      <c r="U69" s="69">
        <f>IF(T69="","",IF(T69=D69,1,0))</f>
        <v/>
      </c>
      <c r="V69" s="98">
        <f>IF(G69="","",IF(T69="OK","NONE",INDEX({"S1","S2","W1","W2","N1","N2"},MATCH(MAX(K69:P69),K69:P69,0))))</f>
        <v/>
      </c>
      <c r="W69" s="69">
        <f>IF(G69="","",IF(V69=E69,1,0))</f>
        <v/>
      </c>
      <c r="X69" s="115">
        <f>IF(G69="","",IF(AND(T69="NG",S69&lt;$B$7),"AMBIGUOUS","CONFIDENT"))</f>
        <v/>
      </c>
    </row>
    <row r="70">
      <c r="A70" s="102">
        <f>'Runs Z score'!A63</f>
        <v/>
      </c>
      <c r="B70" s="98">
        <f>'Runs Z score'!B63</f>
        <v/>
      </c>
      <c r="C70" s="98">
        <f>'Runs Z score'!C63</f>
        <v/>
      </c>
      <c r="D70" s="98">
        <f>'Runs Z score'!D63</f>
        <v/>
      </c>
      <c r="E70" s="98">
        <f>'Runs Z score'!E63</f>
        <v/>
      </c>
      <c r="F70" s="98">
        <f>'Runs Z score'!F63</f>
        <v/>
      </c>
      <c r="G70" s="99">
        <f>'Runs Z score'!G63</f>
        <v/>
      </c>
      <c r="H70" s="100">
        <f>VLOOKUP(C70,Recipes!$A$2:$N$4,10,FALSE())</f>
        <v/>
      </c>
      <c r="I70" s="101">
        <f>VLOOKUP(C70,Recipes!$A$2:$N$4,12,FALSE())</f>
        <v/>
      </c>
      <c r="J70" s="100">
        <f>IF(G70="","",H70-G70)</f>
        <v/>
      </c>
      <c r="K70" s="100">
        <f>IF(G70="","",-0.5*((J70-Components!$D$2)/Components!$E$2)^2)</f>
        <v/>
      </c>
      <c r="L70" s="100">
        <f>IF(G70="","",-0.5*((J70-Components!$D$3)/Components!$E$3)^2)</f>
        <v/>
      </c>
      <c r="M70" s="100">
        <f>IF(G70="","",-0.5*((J70-Components!$D$4)/Components!$E$4)^2)</f>
        <v/>
      </c>
      <c r="N70" s="100">
        <f>IF(G70="","",-0.5*((J70-Components!$D$5)/Components!$E$5)^2)</f>
        <v/>
      </c>
      <c r="O70" s="100">
        <f>IF(G70="","",-0.5*((J70-Components!$D$6)/Components!$E$6)^2)</f>
        <v/>
      </c>
      <c r="P70" s="100">
        <f>IF(G70="","",-0.5*((J70-Components!$D$7)/Components!$E$7)^2)</f>
        <v/>
      </c>
      <c r="Q70" s="100">
        <f>IF(G70="","",EXP(LARGE(K70:P70,1)-MAX(K70:P70))/(EXP(K70-MAX(K70:P70))+EXP(L70-MAX(K70:P70))+EXP(M70-MAX(K70:P70))+EXP(N70-MAX(K70:P70))+EXP(O70-MAX(K70:P70))+EXP(P70-MAX(K70:P70))))</f>
        <v/>
      </c>
      <c r="R70" s="100">
        <f>IF(G70="","",EXP(LARGE(K70:P70,2)-MAX(K70:P70))/(EXP(K70-MAX(K70:P70))+EXP(L70-MAX(K70:P70))+EXP(M70-MAX(K70:P70))+EXP(N70-MAX(K70:P70))+EXP(O70-MAX(K70:P70))+EXP(P70-MAX(K70:P70))))</f>
        <v/>
      </c>
      <c r="S70" s="100">
        <f>IF(G70="","",Q70-R70)</f>
        <v/>
      </c>
      <c r="T70" s="98">
        <f>IF(G70="","",IF(AND(G70&gt;=H70-$B$6*I70,G70&lt;=H70+$B$6*I70),"OK","NG"))</f>
        <v/>
      </c>
      <c r="U70" s="69">
        <f>IF(T70="","",IF(T70=D70,1,0))</f>
        <v/>
      </c>
      <c r="V70" s="98">
        <f>IF(G70="","",IF(T70="OK","NONE",INDEX({"S1","S2","W1","W2","N1","N2"},MATCH(MAX(K70:P70),K70:P70,0))))</f>
        <v/>
      </c>
      <c r="W70" s="69">
        <f>IF(G70="","",IF(V70=E70,1,0))</f>
        <v/>
      </c>
      <c r="X70" s="115">
        <f>IF(G70="","",IF(AND(T70="NG",S70&lt;$B$7),"AMBIGUOUS","CONFIDENT"))</f>
        <v/>
      </c>
    </row>
    <row r="71">
      <c r="A71" s="102">
        <f>'Runs Z score'!A64</f>
        <v/>
      </c>
      <c r="B71" s="98">
        <f>'Runs Z score'!B64</f>
        <v/>
      </c>
      <c r="C71" s="98">
        <f>'Runs Z score'!C64</f>
        <v/>
      </c>
      <c r="D71" s="98">
        <f>'Runs Z score'!D64</f>
        <v/>
      </c>
      <c r="E71" s="98">
        <f>'Runs Z score'!E64</f>
        <v/>
      </c>
      <c r="F71" s="98">
        <f>'Runs Z score'!F64</f>
        <v/>
      </c>
      <c r="G71" s="99">
        <f>'Runs Z score'!G64</f>
        <v/>
      </c>
      <c r="H71" s="100">
        <f>VLOOKUP(C71,Recipes!$A$2:$N$4,10,FALSE())</f>
        <v/>
      </c>
      <c r="I71" s="101">
        <f>VLOOKUP(C71,Recipes!$A$2:$N$4,12,FALSE())</f>
        <v/>
      </c>
      <c r="J71" s="100">
        <f>IF(G71="","",H71-G71)</f>
        <v/>
      </c>
      <c r="K71" s="100">
        <f>IF(G71="","",-0.5*((J71-Components!$D$2)/Components!$E$2)^2)</f>
        <v/>
      </c>
      <c r="L71" s="100">
        <f>IF(G71="","",-0.5*((J71-Components!$D$3)/Components!$E$3)^2)</f>
        <v/>
      </c>
      <c r="M71" s="100">
        <f>IF(G71="","",-0.5*((J71-Components!$D$4)/Components!$E$4)^2)</f>
        <v/>
      </c>
      <c r="N71" s="100">
        <f>IF(G71="","",-0.5*((J71-Components!$D$5)/Components!$E$5)^2)</f>
        <v/>
      </c>
      <c r="O71" s="100">
        <f>IF(G71="","",-0.5*((J71-Components!$D$6)/Components!$E$6)^2)</f>
        <v/>
      </c>
      <c r="P71" s="100">
        <f>IF(G71="","",-0.5*((J71-Components!$D$7)/Components!$E$7)^2)</f>
        <v/>
      </c>
      <c r="Q71" s="100">
        <f>IF(G71="","",EXP(LARGE(K71:P71,1)-MAX(K71:P71))/(EXP(K71-MAX(K71:P71))+EXP(L71-MAX(K71:P71))+EXP(M71-MAX(K71:P71))+EXP(N71-MAX(K71:P71))+EXP(O71-MAX(K71:P71))+EXP(P71-MAX(K71:P71))))</f>
        <v/>
      </c>
      <c r="R71" s="100">
        <f>IF(G71="","",EXP(LARGE(K71:P71,2)-MAX(K71:P71))/(EXP(K71-MAX(K71:P71))+EXP(L71-MAX(K71:P71))+EXP(M71-MAX(K71:P71))+EXP(N71-MAX(K71:P71))+EXP(O71-MAX(K71:P71))+EXP(P71-MAX(K71:P71))))</f>
        <v/>
      </c>
      <c r="S71" s="100">
        <f>IF(G71="","",Q71-R71)</f>
        <v/>
      </c>
      <c r="T71" s="98">
        <f>IF(G71="","",IF(AND(G71&gt;=H71-$B$6*I71,G71&lt;=H71+$B$6*I71),"OK","NG"))</f>
        <v/>
      </c>
      <c r="U71" s="69">
        <f>IF(T71="","",IF(T71=D71,1,0))</f>
        <v/>
      </c>
      <c r="V71" s="98">
        <f>IF(G71="","",IF(T71="OK","NONE",INDEX({"S1","S2","W1","W2","N1","N2"},MATCH(MAX(K71:P71),K71:P71,0))))</f>
        <v/>
      </c>
      <c r="W71" s="69">
        <f>IF(G71="","",IF(V71=E71,1,0))</f>
        <v/>
      </c>
      <c r="X71" s="115">
        <f>IF(G71="","",IF(AND(T71="NG",S71&lt;$B$7),"AMBIGUOUS","CONFIDENT"))</f>
        <v/>
      </c>
    </row>
    <row r="72">
      <c r="A72" s="102">
        <f>'Runs Z score'!A65</f>
        <v/>
      </c>
      <c r="B72" s="98">
        <f>'Runs Z score'!B65</f>
        <v/>
      </c>
      <c r="C72" s="98">
        <f>'Runs Z score'!C65</f>
        <v/>
      </c>
      <c r="D72" s="98">
        <f>'Runs Z score'!D65</f>
        <v/>
      </c>
      <c r="E72" s="98">
        <f>'Runs Z score'!E65</f>
        <v/>
      </c>
      <c r="F72" s="98">
        <f>'Runs Z score'!F65</f>
        <v/>
      </c>
      <c r="G72" s="99">
        <f>'Runs Z score'!G65</f>
        <v/>
      </c>
      <c r="H72" s="100">
        <f>VLOOKUP(C72,Recipes!$A$2:$N$4,10,FALSE())</f>
        <v/>
      </c>
      <c r="I72" s="101">
        <f>VLOOKUP(C72,Recipes!$A$2:$N$4,12,FALSE())</f>
        <v/>
      </c>
      <c r="J72" s="100">
        <f>IF(G72="","",H72-G72)</f>
        <v/>
      </c>
      <c r="K72" s="100">
        <f>IF(G72="","",-0.5*((J72-Components!$D$2)/Components!$E$2)^2)</f>
        <v/>
      </c>
      <c r="L72" s="100">
        <f>IF(G72="","",-0.5*((J72-Components!$D$3)/Components!$E$3)^2)</f>
        <v/>
      </c>
      <c r="M72" s="100">
        <f>IF(G72="","",-0.5*((J72-Components!$D$4)/Components!$E$4)^2)</f>
        <v/>
      </c>
      <c r="N72" s="100">
        <f>IF(G72="","",-0.5*((J72-Components!$D$5)/Components!$E$5)^2)</f>
        <v/>
      </c>
      <c r="O72" s="100">
        <f>IF(G72="","",-0.5*((J72-Components!$D$6)/Components!$E$6)^2)</f>
        <v/>
      </c>
      <c r="P72" s="100">
        <f>IF(G72="","",-0.5*((J72-Components!$D$7)/Components!$E$7)^2)</f>
        <v/>
      </c>
      <c r="Q72" s="100">
        <f>IF(G72="","",EXP(LARGE(K72:P72,1)-MAX(K72:P72))/(EXP(K72-MAX(K72:P72))+EXP(L72-MAX(K72:P72))+EXP(M72-MAX(K72:P72))+EXP(N72-MAX(K72:P72))+EXP(O72-MAX(K72:P72))+EXP(P72-MAX(K72:P72))))</f>
        <v/>
      </c>
      <c r="R72" s="100">
        <f>IF(G72="","",EXP(LARGE(K72:P72,2)-MAX(K72:P72))/(EXP(K72-MAX(K72:P72))+EXP(L72-MAX(K72:P72))+EXP(M72-MAX(K72:P72))+EXP(N72-MAX(K72:P72))+EXP(O72-MAX(K72:P72))+EXP(P72-MAX(K72:P72))))</f>
        <v/>
      </c>
      <c r="S72" s="100">
        <f>IF(G72="","",Q72-R72)</f>
        <v/>
      </c>
      <c r="T72" s="98">
        <f>IF(G72="","",IF(AND(G72&gt;=H72-$B$6*I72,G72&lt;=H72+$B$6*I72),"OK","NG"))</f>
        <v/>
      </c>
      <c r="U72" s="69">
        <f>IF(T72="","",IF(T72=D72,1,0))</f>
        <v/>
      </c>
      <c r="V72" s="98">
        <f>IF(G72="","",IF(T72="OK","NONE",INDEX({"S1","S2","W1","W2","N1","N2"},MATCH(MAX(K72:P72),K72:P72,0))))</f>
        <v/>
      </c>
      <c r="W72" s="69">
        <f>IF(G72="","",IF(V72=E72,1,0))</f>
        <v/>
      </c>
      <c r="X72" s="115">
        <f>IF(G72="","",IF(AND(T72="NG",S72&lt;$B$7),"AMBIGUOUS","CONFIDENT"))</f>
        <v/>
      </c>
    </row>
    <row r="73">
      <c r="A73" s="102">
        <f>'Runs Z score'!A66</f>
        <v/>
      </c>
      <c r="B73" s="98">
        <f>'Runs Z score'!B66</f>
        <v/>
      </c>
      <c r="C73" s="98">
        <f>'Runs Z score'!C66</f>
        <v/>
      </c>
      <c r="D73" s="98">
        <f>'Runs Z score'!D66</f>
        <v/>
      </c>
      <c r="E73" s="98">
        <f>'Runs Z score'!E66</f>
        <v/>
      </c>
      <c r="F73" s="98">
        <f>'Runs Z score'!F66</f>
        <v/>
      </c>
      <c r="G73" s="99">
        <f>'Runs Z score'!G66</f>
        <v/>
      </c>
      <c r="H73" s="100">
        <f>VLOOKUP(C73,Recipes!$A$2:$N$4,10,FALSE())</f>
        <v/>
      </c>
      <c r="I73" s="101">
        <f>VLOOKUP(C73,Recipes!$A$2:$N$4,12,FALSE())</f>
        <v/>
      </c>
      <c r="J73" s="100">
        <f>IF(G73="","",H73-G73)</f>
        <v/>
      </c>
      <c r="K73" s="100">
        <f>IF(G73="","",-0.5*((J73-Components!$D$2)/Components!$E$2)^2)</f>
        <v/>
      </c>
      <c r="L73" s="100">
        <f>IF(G73="","",-0.5*((J73-Components!$D$3)/Components!$E$3)^2)</f>
        <v/>
      </c>
      <c r="M73" s="100">
        <f>IF(G73="","",-0.5*((J73-Components!$D$4)/Components!$E$4)^2)</f>
        <v/>
      </c>
      <c r="N73" s="100">
        <f>IF(G73="","",-0.5*((J73-Components!$D$5)/Components!$E$5)^2)</f>
        <v/>
      </c>
      <c r="O73" s="100">
        <f>IF(G73="","",-0.5*((J73-Components!$D$6)/Components!$E$6)^2)</f>
        <v/>
      </c>
      <c r="P73" s="100">
        <f>IF(G73="","",-0.5*((J73-Components!$D$7)/Components!$E$7)^2)</f>
        <v/>
      </c>
      <c r="Q73" s="100">
        <f>IF(G73="","",EXP(LARGE(K73:P73,1)-MAX(K73:P73))/(EXP(K73-MAX(K73:P73))+EXP(L73-MAX(K73:P73))+EXP(M73-MAX(K73:P73))+EXP(N73-MAX(K73:P73))+EXP(O73-MAX(K73:P73))+EXP(P73-MAX(K73:P73))))</f>
        <v/>
      </c>
      <c r="R73" s="100">
        <f>IF(G73="","",EXP(LARGE(K73:P73,2)-MAX(K73:P73))/(EXP(K73-MAX(K73:P73))+EXP(L73-MAX(K73:P73))+EXP(M73-MAX(K73:P73))+EXP(N73-MAX(K73:P73))+EXP(O73-MAX(K73:P73))+EXP(P73-MAX(K73:P73))))</f>
        <v/>
      </c>
      <c r="S73" s="100">
        <f>IF(G73="","",Q73-R73)</f>
        <v/>
      </c>
      <c r="T73" s="98">
        <f>IF(G73="","",IF(AND(G73&gt;=H73-$B$6*I73,G73&lt;=H73+$B$6*I73),"OK","NG"))</f>
        <v/>
      </c>
      <c r="U73" s="69">
        <f>IF(T73="","",IF(T73=D73,1,0))</f>
        <v/>
      </c>
      <c r="V73" s="98">
        <f>IF(G73="","",IF(T73="OK","NONE",INDEX({"S1","S2","W1","W2","N1","N2"},MATCH(MAX(K73:P73),K73:P73,0))))</f>
        <v/>
      </c>
      <c r="W73" s="69">
        <f>IF(G73="","",IF(V73=E73,1,0))</f>
        <v/>
      </c>
      <c r="X73" s="115">
        <f>IF(G73="","",IF(AND(T73="NG",S73&lt;$B$7),"AMBIGUOUS","CONFIDENT"))</f>
        <v/>
      </c>
    </row>
    <row r="74">
      <c r="A74" s="102">
        <f>'Runs Z score'!A67</f>
        <v/>
      </c>
      <c r="B74" s="98">
        <f>'Runs Z score'!B67</f>
        <v/>
      </c>
      <c r="C74" s="98">
        <f>'Runs Z score'!C67</f>
        <v/>
      </c>
      <c r="D74" s="98">
        <f>'Runs Z score'!D67</f>
        <v/>
      </c>
      <c r="E74" s="98">
        <f>'Runs Z score'!E67</f>
        <v/>
      </c>
      <c r="F74" s="98">
        <f>'Runs Z score'!F67</f>
        <v/>
      </c>
      <c r="G74" s="99">
        <f>'Runs Z score'!G67</f>
        <v/>
      </c>
      <c r="H74" s="100">
        <f>VLOOKUP(C74,Recipes!$A$2:$N$4,10,FALSE())</f>
        <v/>
      </c>
      <c r="I74" s="101">
        <f>VLOOKUP(C74,Recipes!$A$2:$N$4,12,FALSE())</f>
        <v/>
      </c>
      <c r="J74" s="100">
        <f>IF(G74="","",H74-G74)</f>
        <v/>
      </c>
      <c r="K74" s="100">
        <f>IF(G74="","",-0.5*((J74-Components!$D$2)/Components!$E$2)^2)</f>
        <v/>
      </c>
      <c r="L74" s="100">
        <f>IF(G74="","",-0.5*((J74-Components!$D$3)/Components!$E$3)^2)</f>
        <v/>
      </c>
      <c r="M74" s="100">
        <f>IF(G74="","",-0.5*((J74-Components!$D$4)/Components!$E$4)^2)</f>
        <v/>
      </c>
      <c r="N74" s="100">
        <f>IF(G74="","",-0.5*((J74-Components!$D$5)/Components!$E$5)^2)</f>
        <v/>
      </c>
      <c r="O74" s="100">
        <f>IF(G74="","",-0.5*((J74-Components!$D$6)/Components!$E$6)^2)</f>
        <v/>
      </c>
      <c r="P74" s="100">
        <f>IF(G74="","",-0.5*((J74-Components!$D$7)/Components!$E$7)^2)</f>
        <v/>
      </c>
      <c r="Q74" s="100">
        <f>IF(G74="","",EXP(LARGE(K74:P74,1)-MAX(K74:P74))/(EXP(K74-MAX(K74:P74))+EXP(L74-MAX(K74:P74))+EXP(M74-MAX(K74:P74))+EXP(N74-MAX(K74:P74))+EXP(O74-MAX(K74:P74))+EXP(P74-MAX(K74:P74))))</f>
        <v/>
      </c>
      <c r="R74" s="100">
        <f>IF(G74="","",EXP(LARGE(K74:P74,2)-MAX(K74:P74))/(EXP(K74-MAX(K74:P74))+EXP(L74-MAX(K74:P74))+EXP(M74-MAX(K74:P74))+EXP(N74-MAX(K74:P74))+EXP(O74-MAX(K74:P74))+EXP(P74-MAX(K74:P74))))</f>
        <v/>
      </c>
      <c r="S74" s="100">
        <f>IF(G74="","",Q74-R74)</f>
        <v/>
      </c>
      <c r="T74" s="98">
        <f>IF(G74="","",IF(AND(G74&gt;=H74-$B$6*I74,G74&lt;=H74+$B$6*I74),"OK","NG"))</f>
        <v/>
      </c>
      <c r="U74" s="69">
        <f>IF(T74="","",IF(T74=D74,1,0))</f>
        <v/>
      </c>
      <c r="V74" s="98">
        <f>IF(G74="","",IF(T74="OK","NONE",INDEX({"S1","S2","W1","W2","N1","N2"},MATCH(MAX(K74:P74),K74:P74,0))))</f>
        <v/>
      </c>
      <c r="W74" s="69">
        <f>IF(G74="","",IF(V74=E74,1,0))</f>
        <v/>
      </c>
      <c r="X74" s="115">
        <f>IF(G74="","",IF(AND(T74="NG",S74&lt;$B$7),"AMBIGUOUS","CONFIDENT"))</f>
        <v/>
      </c>
    </row>
    <row r="75">
      <c r="A75" s="102">
        <f>'Runs Z score'!A68</f>
        <v/>
      </c>
      <c r="B75" s="98">
        <f>'Runs Z score'!B68</f>
        <v/>
      </c>
      <c r="C75" s="98">
        <f>'Runs Z score'!C68</f>
        <v/>
      </c>
      <c r="D75" s="98">
        <f>'Runs Z score'!D68</f>
        <v/>
      </c>
      <c r="E75" s="98">
        <f>'Runs Z score'!E68</f>
        <v/>
      </c>
      <c r="F75" s="98">
        <f>'Runs Z score'!F68</f>
        <v/>
      </c>
      <c r="G75" s="99">
        <f>'Runs Z score'!G68</f>
        <v/>
      </c>
      <c r="H75" s="100">
        <f>VLOOKUP(C75,Recipes!$A$2:$N$4,10,FALSE())</f>
        <v/>
      </c>
      <c r="I75" s="101">
        <f>VLOOKUP(C75,Recipes!$A$2:$N$4,12,FALSE())</f>
        <v/>
      </c>
      <c r="J75" s="100">
        <f>IF(G75="","",H75-G75)</f>
        <v/>
      </c>
      <c r="K75" s="100">
        <f>IF(G75="","",-0.5*((J75-Components!$D$2)/Components!$E$2)^2)</f>
        <v/>
      </c>
      <c r="L75" s="100">
        <f>IF(G75="","",-0.5*((J75-Components!$D$3)/Components!$E$3)^2)</f>
        <v/>
      </c>
      <c r="M75" s="100">
        <f>IF(G75="","",-0.5*((J75-Components!$D$4)/Components!$E$4)^2)</f>
        <v/>
      </c>
      <c r="N75" s="100">
        <f>IF(G75="","",-0.5*((J75-Components!$D$5)/Components!$E$5)^2)</f>
        <v/>
      </c>
      <c r="O75" s="100">
        <f>IF(G75="","",-0.5*((J75-Components!$D$6)/Components!$E$6)^2)</f>
        <v/>
      </c>
      <c r="P75" s="100">
        <f>IF(G75="","",-0.5*((J75-Components!$D$7)/Components!$E$7)^2)</f>
        <v/>
      </c>
      <c r="Q75" s="100">
        <f>IF(G75="","",EXP(LARGE(K75:P75,1)-MAX(K75:P75))/(EXP(K75-MAX(K75:P75))+EXP(L75-MAX(K75:P75))+EXP(M75-MAX(K75:P75))+EXP(N75-MAX(K75:P75))+EXP(O75-MAX(K75:P75))+EXP(P75-MAX(K75:P75))))</f>
        <v/>
      </c>
      <c r="R75" s="100">
        <f>IF(G75="","",EXP(LARGE(K75:P75,2)-MAX(K75:P75))/(EXP(K75-MAX(K75:P75))+EXP(L75-MAX(K75:P75))+EXP(M75-MAX(K75:P75))+EXP(N75-MAX(K75:P75))+EXP(O75-MAX(K75:P75))+EXP(P75-MAX(K75:P75))))</f>
        <v/>
      </c>
      <c r="S75" s="100">
        <f>IF(G75="","",Q75-R75)</f>
        <v/>
      </c>
      <c r="T75" s="98">
        <f>IF(G75="","",IF(AND(G75&gt;=H75-$B$6*I75,G75&lt;=H75+$B$6*I75),"OK","NG"))</f>
        <v/>
      </c>
      <c r="U75" s="69">
        <f>IF(T75="","",IF(T75=D75,1,0))</f>
        <v/>
      </c>
      <c r="V75" s="98">
        <f>IF(G75="","",IF(T75="OK","NONE",INDEX({"S1","S2","W1","W2","N1","N2"},MATCH(MAX(K75:P75),K75:P75,0))))</f>
        <v/>
      </c>
      <c r="W75" s="69">
        <f>IF(G75="","",IF(V75=E75,1,0))</f>
        <v/>
      </c>
      <c r="X75" s="115">
        <f>IF(G75="","",IF(AND(T75="NG",S75&lt;$B$7),"AMBIGUOUS","CONFIDENT"))</f>
        <v/>
      </c>
    </row>
    <row r="76">
      <c r="A76" s="102">
        <f>'Runs Z score'!A69</f>
        <v/>
      </c>
      <c r="B76" s="98">
        <f>'Runs Z score'!B69</f>
        <v/>
      </c>
      <c r="C76" s="98">
        <f>'Runs Z score'!C69</f>
        <v/>
      </c>
      <c r="D76" s="98">
        <f>'Runs Z score'!D69</f>
        <v/>
      </c>
      <c r="E76" s="98">
        <f>'Runs Z score'!E69</f>
        <v/>
      </c>
      <c r="F76" s="98">
        <f>'Runs Z score'!F69</f>
        <v/>
      </c>
      <c r="G76" s="99">
        <f>'Runs Z score'!G69</f>
        <v/>
      </c>
      <c r="H76" s="100">
        <f>VLOOKUP(C76,Recipes!$A$2:$N$4,10,FALSE())</f>
        <v/>
      </c>
      <c r="I76" s="101">
        <f>VLOOKUP(C76,Recipes!$A$2:$N$4,12,FALSE())</f>
        <v/>
      </c>
      <c r="J76" s="100">
        <f>IF(G76="","",H76-G76)</f>
        <v/>
      </c>
      <c r="K76" s="100">
        <f>IF(G76="","",-0.5*((J76-Components!$D$2)/Components!$E$2)^2)</f>
        <v/>
      </c>
      <c r="L76" s="100">
        <f>IF(G76="","",-0.5*((J76-Components!$D$3)/Components!$E$3)^2)</f>
        <v/>
      </c>
      <c r="M76" s="100">
        <f>IF(G76="","",-0.5*((J76-Components!$D$4)/Components!$E$4)^2)</f>
        <v/>
      </c>
      <c r="N76" s="100">
        <f>IF(G76="","",-0.5*((J76-Components!$D$5)/Components!$E$5)^2)</f>
        <v/>
      </c>
      <c r="O76" s="100">
        <f>IF(G76="","",-0.5*((J76-Components!$D$6)/Components!$E$6)^2)</f>
        <v/>
      </c>
      <c r="P76" s="100">
        <f>IF(G76="","",-0.5*((J76-Components!$D$7)/Components!$E$7)^2)</f>
        <v/>
      </c>
      <c r="Q76" s="100">
        <f>IF(G76="","",EXP(LARGE(K76:P76,1)-MAX(K76:P76))/(EXP(K76-MAX(K76:P76))+EXP(L76-MAX(K76:P76))+EXP(M76-MAX(K76:P76))+EXP(N76-MAX(K76:P76))+EXP(O76-MAX(K76:P76))+EXP(P76-MAX(K76:P76))))</f>
        <v/>
      </c>
      <c r="R76" s="100">
        <f>IF(G76="","",EXP(LARGE(K76:P76,2)-MAX(K76:P76))/(EXP(K76-MAX(K76:P76))+EXP(L76-MAX(K76:P76))+EXP(M76-MAX(K76:P76))+EXP(N76-MAX(K76:P76))+EXP(O76-MAX(K76:P76))+EXP(P76-MAX(K76:P76))))</f>
        <v/>
      </c>
      <c r="S76" s="100">
        <f>IF(G76="","",Q76-R76)</f>
        <v/>
      </c>
      <c r="T76" s="98">
        <f>IF(G76="","",IF(AND(G76&gt;=H76-$B$6*I76,G76&lt;=H76+$B$6*I76),"OK","NG"))</f>
        <v/>
      </c>
      <c r="U76" s="69">
        <f>IF(T76="","",IF(T76=D76,1,0))</f>
        <v/>
      </c>
      <c r="V76" s="98">
        <f>IF(G76="","",IF(T76="OK","NONE",INDEX({"S1","S2","W1","W2","N1","N2"},MATCH(MAX(K76:P76),K76:P76,0))))</f>
        <v/>
      </c>
      <c r="W76" s="69">
        <f>IF(G76="","",IF(V76=E76,1,0))</f>
        <v/>
      </c>
      <c r="X76" s="115">
        <f>IF(G76="","",IF(AND(T76="NG",S76&lt;$B$7),"AMBIGUOUS","CONFIDENT"))</f>
        <v/>
      </c>
    </row>
    <row r="77">
      <c r="A77" s="102">
        <f>'Runs Z score'!A70</f>
        <v/>
      </c>
      <c r="B77" s="98">
        <f>'Runs Z score'!B70</f>
        <v/>
      </c>
      <c r="C77" s="98">
        <f>'Runs Z score'!C70</f>
        <v/>
      </c>
      <c r="D77" s="98">
        <f>'Runs Z score'!D70</f>
        <v/>
      </c>
      <c r="E77" s="98">
        <f>'Runs Z score'!E70</f>
        <v/>
      </c>
      <c r="F77" s="98">
        <f>'Runs Z score'!F70</f>
        <v/>
      </c>
      <c r="G77" s="99">
        <f>'Runs Z score'!G70</f>
        <v/>
      </c>
      <c r="H77" s="100">
        <f>VLOOKUP(C77,Recipes!$A$2:$N$4,10,FALSE())</f>
        <v/>
      </c>
      <c r="I77" s="101">
        <f>VLOOKUP(C77,Recipes!$A$2:$N$4,12,FALSE())</f>
        <v/>
      </c>
      <c r="J77" s="100">
        <f>IF(G77="","",H77-G77)</f>
        <v/>
      </c>
      <c r="K77" s="100">
        <f>IF(G77="","",-0.5*((J77-Components!$D$2)/Components!$E$2)^2)</f>
        <v/>
      </c>
      <c r="L77" s="100">
        <f>IF(G77="","",-0.5*((J77-Components!$D$3)/Components!$E$3)^2)</f>
        <v/>
      </c>
      <c r="M77" s="100">
        <f>IF(G77="","",-0.5*((J77-Components!$D$4)/Components!$E$4)^2)</f>
        <v/>
      </c>
      <c r="N77" s="100">
        <f>IF(G77="","",-0.5*((J77-Components!$D$5)/Components!$E$5)^2)</f>
        <v/>
      </c>
      <c r="O77" s="100">
        <f>IF(G77="","",-0.5*((J77-Components!$D$6)/Components!$E$6)^2)</f>
        <v/>
      </c>
      <c r="P77" s="100">
        <f>IF(G77="","",-0.5*((J77-Components!$D$7)/Components!$E$7)^2)</f>
        <v/>
      </c>
      <c r="Q77" s="100">
        <f>IF(G77="","",EXP(LARGE(K77:P77,1)-MAX(K77:P77))/(EXP(K77-MAX(K77:P77))+EXP(L77-MAX(K77:P77))+EXP(M77-MAX(K77:P77))+EXP(N77-MAX(K77:P77))+EXP(O77-MAX(K77:P77))+EXP(P77-MAX(K77:P77))))</f>
        <v/>
      </c>
      <c r="R77" s="100">
        <f>IF(G77="","",EXP(LARGE(K77:P77,2)-MAX(K77:P77))/(EXP(K77-MAX(K77:P77))+EXP(L77-MAX(K77:P77))+EXP(M77-MAX(K77:P77))+EXP(N77-MAX(K77:P77))+EXP(O77-MAX(K77:P77))+EXP(P77-MAX(K77:P77))))</f>
        <v/>
      </c>
      <c r="S77" s="100">
        <f>IF(G77="","",Q77-R77)</f>
        <v/>
      </c>
      <c r="T77" s="98">
        <f>IF(G77="","",IF(AND(G77&gt;=H77-$B$6*I77,G77&lt;=H77+$B$6*I77),"OK","NG"))</f>
        <v/>
      </c>
      <c r="U77" s="69">
        <f>IF(T77="","",IF(T77=D77,1,0))</f>
        <v/>
      </c>
      <c r="V77" s="98">
        <f>IF(G77="","",IF(T77="OK","NONE",INDEX({"S1","S2","W1","W2","N1","N2"},MATCH(MAX(K77:P77),K77:P77,0))))</f>
        <v/>
      </c>
      <c r="W77" s="69">
        <f>IF(G77="","",IF(V77=E77,1,0))</f>
        <v/>
      </c>
      <c r="X77" s="115">
        <f>IF(G77="","",IF(AND(T77="NG",S77&lt;$B$7),"AMBIGUOUS","CONFIDENT"))</f>
        <v/>
      </c>
    </row>
    <row r="78">
      <c r="A78" s="102">
        <f>'Runs Z score'!A71</f>
        <v/>
      </c>
      <c r="B78" s="98">
        <f>'Runs Z score'!B71</f>
        <v/>
      </c>
      <c r="C78" s="98">
        <f>'Runs Z score'!C71</f>
        <v/>
      </c>
      <c r="D78" s="98">
        <f>'Runs Z score'!D71</f>
        <v/>
      </c>
      <c r="E78" s="98">
        <f>'Runs Z score'!E71</f>
        <v/>
      </c>
      <c r="F78" s="98">
        <f>'Runs Z score'!F71</f>
        <v/>
      </c>
      <c r="G78" s="99">
        <f>'Runs Z score'!G71</f>
        <v/>
      </c>
      <c r="H78" s="100">
        <f>VLOOKUP(C78,Recipes!$A$2:$N$4,10,FALSE())</f>
        <v/>
      </c>
      <c r="I78" s="101">
        <f>VLOOKUP(C78,Recipes!$A$2:$N$4,12,FALSE())</f>
        <v/>
      </c>
      <c r="J78" s="100">
        <f>IF(G78="","",H78-G78)</f>
        <v/>
      </c>
      <c r="K78" s="100">
        <f>IF(G78="","",-0.5*((J78-Components!$D$2)/Components!$E$2)^2)</f>
        <v/>
      </c>
      <c r="L78" s="100">
        <f>IF(G78="","",-0.5*((J78-Components!$D$3)/Components!$E$3)^2)</f>
        <v/>
      </c>
      <c r="M78" s="100">
        <f>IF(G78="","",-0.5*((J78-Components!$D$4)/Components!$E$4)^2)</f>
        <v/>
      </c>
      <c r="N78" s="100">
        <f>IF(G78="","",-0.5*((J78-Components!$D$5)/Components!$E$5)^2)</f>
        <v/>
      </c>
      <c r="O78" s="100">
        <f>IF(G78="","",-0.5*((J78-Components!$D$6)/Components!$E$6)^2)</f>
        <v/>
      </c>
      <c r="P78" s="100">
        <f>IF(G78="","",-0.5*((J78-Components!$D$7)/Components!$E$7)^2)</f>
        <v/>
      </c>
      <c r="Q78" s="100">
        <f>IF(G78="","",EXP(LARGE(K78:P78,1)-MAX(K78:P78))/(EXP(K78-MAX(K78:P78))+EXP(L78-MAX(K78:P78))+EXP(M78-MAX(K78:P78))+EXP(N78-MAX(K78:P78))+EXP(O78-MAX(K78:P78))+EXP(P78-MAX(K78:P78))))</f>
        <v/>
      </c>
      <c r="R78" s="100">
        <f>IF(G78="","",EXP(LARGE(K78:P78,2)-MAX(K78:P78))/(EXP(K78-MAX(K78:P78))+EXP(L78-MAX(K78:P78))+EXP(M78-MAX(K78:P78))+EXP(N78-MAX(K78:P78))+EXP(O78-MAX(K78:P78))+EXP(P78-MAX(K78:P78))))</f>
        <v/>
      </c>
      <c r="S78" s="100">
        <f>IF(G78="","",Q78-R78)</f>
        <v/>
      </c>
      <c r="T78" s="98">
        <f>IF(G78="","",IF(AND(G78&gt;=H78-$B$6*I78,G78&lt;=H78+$B$6*I78),"OK","NG"))</f>
        <v/>
      </c>
      <c r="U78" s="69">
        <f>IF(T78="","",IF(T78=D78,1,0))</f>
        <v/>
      </c>
      <c r="V78" s="98">
        <f>IF(G78="","",IF(T78="OK","NONE",INDEX({"S1","S2","W1","W2","N1","N2"},MATCH(MAX(K78:P78),K78:P78,0))))</f>
        <v/>
      </c>
      <c r="W78" s="69">
        <f>IF(G78="","",IF(V78=E78,1,0))</f>
        <v/>
      </c>
      <c r="X78" s="115">
        <f>IF(G78="","",IF(AND(T78="NG",S78&lt;$B$7),"AMBIGUOUS","CONFIDENT"))</f>
        <v/>
      </c>
    </row>
    <row r="79">
      <c r="A79" s="102">
        <f>'Runs Z score'!A72</f>
        <v/>
      </c>
      <c r="B79" s="98">
        <f>'Runs Z score'!B72</f>
        <v/>
      </c>
      <c r="C79" s="98">
        <f>'Runs Z score'!C72</f>
        <v/>
      </c>
      <c r="D79" s="98">
        <f>'Runs Z score'!D72</f>
        <v/>
      </c>
      <c r="E79" s="98">
        <f>'Runs Z score'!E72</f>
        <v/>
      </c>
      <c r="F79" s="98">
        <f>'Runs Z score'!F72</f>
        <v/>
      </c>
      <c r="G79" s="99">
        <f>'Runs Z score'!G72</f>
        <v/>
      </c>
      <c r="H79" s="100">
        <f>VLOOKUP(C79,Recipes!$A$2:$N$4,10,FALSE())</f>
        <v/>
      </c>
      <c r="I79" s="101">
        <f>VLOOKUP(C79,Recipes!$A$2:$N$4,12,FALSE())</f>
        <v/>
      </c>
      <c r="J79" s="100">
        <f>IF(G79="","",H79-G79)</f>
        <v/>
      </c>
      <c r="K79" s="100">
        <f>IF(G79="","",-0.5*((J79-Components!$D$2)/Components!$E$2)^2)</f>
        <v/>
      </c>
      <c r="L79" s="100">
        <f>IF(G79="","",-0.5*((J79-Components!$D$3)/Components!$E$3)^2)</f>
        <v/>
      </c>
      <c r="M79" s="100">
        <f>IF(G79="","",-0.5*((J79-Components!$D$4)/Components!$E$4)^2)</f>
        <v/>
      </c>
      <c r="N79" s="100">
        <f>IF(G79="","",-0.5*((J79-Components!$D$5)/Components!$E$5)^2)</f>
        <v/>
      </c>
      <c r="O79" s="100">
        <f>IF(G79="","",-0.5*((J79-Components!$D$6)/Components!$E$6)^2)</f>
        <v/>
      </c>
      <c r="P79" s="100">
        <f>IF(G79="","",-0.5*((J79-Components!$D$7)/Components!$E$7)^2)</f>
        <v/>
      </c>
      <c r="Q79" s="100">
        <f>IF(G79="","",EXP(LARGE(K79:P79,1)-MAX(K79:P79))/(EXP(K79-MAX(K79:P79))+EXP(L79-MAX(K79:P79))+EXP(M79-MAX(K79:P79))+EXP(N79-MAX(K79:P79))+EXP(O79-MAX(K79:P79))+EXP(P79-MAX(K79:P79))))</f>
        <v/>
      </c>
      <c r="R79" s="100">
        <f>IF(G79="","",EXP(LARGE(K79:P79,2)-MAX(K79:P79))/(EXP(K79-MAX(K79:P79))+EXP(L79-MAX(K79:P79))+EXP(M79-MAX(K79:P79))+EXP(N79-MAX(K79:P79))+EXP(O79-MAX(K79:P79))+EXP(P79-MAX(K79:P79))))</f>
        <v/>
      </c>
      <c r="S79" s="100">
        <f>IF(G79="","",Q79-R79)</f>
        <v/>
      </c>
      <c r="T79" s="98">
        <f>IF(G79="","",IF(AND(G79&gt;=H79-$B$6*I79,G79&lt;=H79+$B$6*I79),"OK","NG"))</f>
        <v/>
      </c>
      <c r="U79" s="69">
        <f>IF(T79="","",IF(T79=D79,1,0))</f>
        <v/>
      </c>
      <c r="V79" s="98">
        <f>IF(G79="","",IF(T79="OK","NONE",INDEX({"S1","S2","W1","W2","N1","N2"},MATCH(MAX(K79:P79),K79:P79,0))))</f>
        <v/>
      </c>
      <c r="W79" s="69">
        <f>IF(G79="","",IF(V79=E79,1,0))</f>
        <v/>
      </c>
      <c r="X79" s="115">
        <f>IF(G79="","",IF(AND(T79="NG",S79&lt;$B$7),"AMBIGUOUS","CONFIDENT"))</f>
        <v/>
      </c>
    </row>
    <row r="80">
      <c r="A80" s="102">
        <f>'Runs Z score'!A73</f>
        <v/>
      </c>
      <c r="B80" s="98">
        <f>'Runs Z score'!B73</f>
        <v/>
      </c>
      <c r="C80" s="98">
        <f>'Runs Z score'!C73</f>
        <v/>
      </c>
      <c r="D80" s="98">
        <f>'Runs Z score'!D73</f>
        <v/>
      </c>
      <c r="E80" s="98">
        <f>'Runs Z score'!E73</f>
        <v/>
      </c>
      <c r="F80" s="98">
        <f>'Runs Z score'!F73</f>
        <v/>
      </c>
      <c r="G80" s="99">
        <f>'Runs Z score'!G73</f>
        <v/>
      </c>
      <c r="H80" s="100">
        <f>VLOOKUP(C80,Recipes!$A$2:$N$4,10,FALSE())</f>
        <v/>
      </c>
      <c r="I80" s="101">
        <f>VLOOKUP(C80,Recipes!$A$2:$N$4,12,FALSE())</f>
        <v/>
      </c>
      <c r="J80" s="100">
        <f>IF(G80="","",H80-G80)</f>
        <v/>
      </c>
      <c r="K80" s="100">
        <f>IF(G80="","",-0.5*((J80-Components!$D$2)/Components!$E$2)^2)</f>
        <v/>
      </c>
      <c r="L80" s="100">
        <f>IF(G80="","",-0.5*((J80-Components!$D$3)/Components!$E$3)^2)</f>
        <v/>
      </c>
      <c r="M80" s="100">
        <f>IF(G80="","",-0.5*((J80-Components!$D$4)/Components!$E$4)^2)</f>
        <v/>
      </c>
      <c r="N80" s="100">
        <f>IF(G80="","",-0.5*((J80-Components!$D$5)/Components!$E$5)^2)</f>
        <v/>
      </c>
      <c r="O80" s="100">
        <f>IF(G80="","",-0.5*((J80-Components!$D$6)/Components!$E$6)^2)</f>
        <v/>
      </c>
      <c r="P80" s="100">
        <f>IF(G80="","",-0.5*((J80-Components!$D$7)/Components!$E$7)^2)</f>
        <v/>
      </c>
      <c r="Q80" s="100">
        <f>IF(G80="","",EXP(LARGE(K80:P80,1)-MAX(K80:P80))/(EXP(K80-MAX(K80:P80))+EXP(L80-MAX(K80:P80))+EXP(M80-MAX(K80:P80))+EXP(N80-MAX(K80:P80))+EXP(O80-MAX(K80:P80))+EXP(P80-MAX(K80:P80))))</f>
        <v/>
      </c>
      <c r="R80" s="100">
        <f>IF(G80="","",EXP(LARGE(K80:P80,2)-MAX(K80:P80))/(EXP(K80-MAX(K80:P80))+EXP(L80-MAX(K80:P80))+EXP(M80-MAX(K80:P80))+EXP(N80-MAX(K80:P80))+EXP(O80-MAX(K80:P80))+EXP(P80-MAX(K80:P80))))</f>
        <v/>
      </c>
      <c r="S80" s="100">
        <f>IF(G80="","",Q80-R80)</f>
        <v/>
      </c>
      <c r="T80" s="98">
        <f>IF(G80="","",IF(AND(G80&gt;=H80-$B$6*I80,G80&lt;=H80+$B$6*I80),"OK","NG"))</f>
        <v/>
      </c>
      <c r="U80" s="69">
        <f>IF(T80="","",IF(T80=D80,1,0))</f>
        <v/>
      </c>
      <c r="V80" s="98">
        <f>IF(G80="","",IF(T80="OK","NONE",INDEX({"S1","S2","W1","W2","N1","N2"},MATCH(MAX(K80:P80),K80:P80,0))))</f>
        <v/>
      </c>
      <c r="W80" s="69">
        <f>IF(G80="","",IF(V80=E80,1,0))</f>
        <v/>
      </c>
      <c r="X80" s="115">
        <f>IF(G80="","",IF(AND(T80="NG",S80&lt;$B$7),"AMBIGUOUS","CONFIDENT"))</f>
        <v/>
      </c>
    </row>
    <row r="81">
      <c r="A81" s="102">
        <f>'Runs Z score'!A74</f>
        <v/>
      </c>
      <c r="B81" s="98">
        <f>'Runs Z score'!B74</f>
        <v/>
      </c>
      <c r="C81" s="98">
        <f>'Runs Z score'!C74</f>
        <v/>
      </c>
      <c r="D81" s="98">
        <f>'Runs Z score'!D74</f>
        <v/>
      </c>
      <c r="E81" s="98">
        <f>'Runs Z score'!E74</f>
        <v/>
      </c>
      <c r="F81" s="98">
        <f>'Runs Z score'!F74</f>
        <v/>
      </c>
      <c r="G81" s="99">
        <f>'Runs Z score'!G74</f>
        <v/>
      </c>
      <c r="H81" s="100">
        <f>VLOOKUP(C81,Recipes!$A$2:$N$4,10,FALSE())</f>
        <v/>
      </c>
      <c r="I81" s="101">
        <f>VLOOKUP(C81,Recipes!$A$2:$N$4,12,FALSE())</f>
        <v/>
      </c>
      <c r="J81" s="100">
        <f>IF(G81="","",H81-G81)</f>
        <v/>
      </c>
      <c r="K81" s="100">
        <f>IF(G81="","",-0.5*((J81-Components!$D$2)/Components!$E$2)^2)</f>
        <v/>
      </c>
      <c r="L81" s="100">
        <f>IF(G81="","",-0.5*((J81-Components!$D$3)/Components!$E$3)^2)</f>
        <v/>
      </c>
      <c r="M81" s="100">
        <f>IF(G81="","",-0.5*((J81-Components!$D$4)/Components!$E$4)^2)</f>
        <v/>
      </c>
      <c r="N81" s="100">
        <f>IF(G81="","",-0.5*((J81-Components!$D$5)/Components!$E$5)^2)</f>
        <v/>
      </c>
      <c r="O81" s="100">
        <f>IF(G81="","",-0.5*((J81-Components!$D$6)/Components!$E$6)^2)</f>
        <v/>
      </c>
      <c r="P81" s="100">
        <f>IF(G81="","",-0.5*((J81-Components!$D$7)/Components!$E$7)^2)</f>
        <v/>
      </c>
      <c r="Q81" s="100">
        <f>IF(G81="","",EXP(LARGE(K81:P81,1)-MAX(K81:P81))/(EXP(K81-MAX(K81:P81))+EXP(L81-MAX(K81:P81))+EXP(M81-MAX(K81:P81))+EXP(N81-MAX(K81:P81))+EXP(O81-MAX(K81:P81))+EXP(P81-MAX(K81:P81))))</f>
        <v/>
      </c>
      <c r="R81" s="100">
        <f>IF(G81="","",EXP(LARGE(K81:P81,2)-MAX(K81:P81))/(EXP(K81-MAX(K81:P81))+EXP(L81-MAX(K81:P81))+EXP(M81-MAX(K81:P81))+EXP(N81-MAX(K81:P81))+EXP(O81-MAX(K81:P81))+EXP(P81-MAX(K81:P81))))</f>
        <v/>
      </c>
      <c r="S81" s="100">
        <f>IF(G81="","",Q81-R81)</f>
        <v/>
      </c>
      <c r="T81" s="98">
        <f>IF(G81="","",IF(AND(G81&gt;=H81-$B$6*I81,G81&lt;=H81+$B$6*I81),"OK","NG"))</f>
        <v/>
      </c>
      <c r="U81" s="69">
        <f>IF(T81="","",IF(T81=D81,1,0))</f>
        <v/>
      </c>
      <c r="V81" s="98">
        <f>IF(G81="","",IF(T81="OK","NONE",INDEX({"S1","S2","W1","W2","N1","N2"},MATCH(MAX(K81:P81),K81:P81,0))))</f>
        <v/>
      </c>
      <c r="W81" s="69">
        <f>IF(G81="","",IF(V81=E81,1,0))</f>
        <v/>
      </c>
      <c r="X81" s="115">
        <f>IF(G81="","",IF(AND(T81="NG",S81&lt;$B$7),"AMBIGUOUS","CONFIDENT"))</f>
        <v/>
      </c>
    </row>
    <row r="82">
      <c r="A82" s="102">
        <f>'Runs Z score'!A75</f>
        <v/>
      </c>
      <c r="B82" s="98">
        <f>'Runs Z score'!B75</f>
        <v/>
      </c>
      <c r="C82" s="98">
        <f>'Runs Z score'!C75</f>
        <v/>
      </c>
      <c r="D82" s="98">
        <f>'Runs Z score'!D75</f>
        <v/>
      </c>
      <c r="E82" s="98">
        <f>'Runs Z score'!E75</f>
        <v/>
      </c>
      <c r="F82" s="98">
        <f>'Runs Z score'!F75</f>
        <v/>
      </c>
      <c r="G82" s="99">
        <f>'Runs Z score'!G75</f>
        <v/>
      </c>
      <c r="H82" s="100">
        <f>VLOOKUP(C82,Recipes!$A$2:$N$4,10,FALSE())</f>
        <v/>
      </c>
      <c r="I82" s="101">
        <f>VLOOKUP(C82,Recipes!$A$2:$N$4,12,FALSE())</f>
        <v/>
      </c>
      <c r="J82" s="100">
        <f>IF(G82="","",H82-G82)</f>
        <v/>
      </c>
      <c r="K82" s="100">
        <f>IF(G82="","",-0.5*((J82-Components!$D$2)/Components!$E$2)^2)</f>
        <v/>
      </c>
      <c r="L82" s="100">
        <f>IF(G82="","",-0.5*((J82-Components!$D$3)/Components!$E$3)^2)</f>
        <v/>
      </c>
      <c r="M82" s="100">
        <f>IF(G82="","",-0.5*((J82-Components!$D$4)/Components!$E$4)^2)</f>
        <v/>
      </c>
      <c r="N82" s="100">
        <f>IF(G82="","",-0.5*((J82-Components!$D$5)/Components!$E$5)^2)</f>
        <v/>
      </c>
      <c r="O82" s="100">
        <f>IF(G82="","",-0.5*((J82-Components!$D$6)/Components!$E$6)^2)</f>
        <v/>
      </c>
      <c r="P82" s="100">
        <f>IF(G82="","",-0.5*((J82-Components!$D$7)/Components!$E$7)^2)</f>
        <v/>
      </c>
      <c r="Q82" s="100">
        <f>IF(G82="","",EXP(LARGE(K82:P82,1)-MAX(K82:P82))/(EXP(K82-MAX(K82:P82))+EXP(L82-MAX(K82:P82))+EXP(M82-MAX(K82:P82))+EXP(N82-MAX(K82:P82))+EXP(O82-MAX(K82:P82))+EXP(P82-MAX(K82:P82))))</f>
        <v/>
      </c>
      <c r="R82" s="100">
        <f>IF(G82="","",EXP(LARGE(K82:P82,2)-MAX(K82:P82))/(EXP(K82-MAX(K82:P82))+EXP(L82-MAX(K82:P82))+EXP(M82-MAX(K82:P82))+EXP(N82-MAX(K82:P82))+EXP(O82-MAX(K82:P82))+EXP(P82-MAX(K82:P82))))</f>
        <v/>
      </c>
      <c r="S82" s="100">
        <f>IF(G82="","",Q82-R82)</f>
        <v/>
      </c>
      <c r="T82" s="98">
        <f>IF(G82="","",IF(AND(G82&gt;=H82-$B$6*I82,G82&lt;=H82+$B$6*I82),"OK","NG"))</f>
        <v/>
      </c>
      <c r="U82" s="69">
        <f>IF(T82="","",IF(T82=D82,1,0))</f>
        <v/>
      </c>
      <c r="V82" s="98">
        <f>IF(G82="","",IF(T82="OK","NONE",INDEX({"S1","S2","W1","W2","N1","N2"},MATCH(MAX(K82:P82),K82:P82,0))))</f>
        <v/>
      </c>
      <c r="W82" s="69">
        <f>IF(G82="","",IF(V82=E82,1,0))</f>
        <v/>
      </c>
      <c r="X82" s="115">
        <f>IF(G82="","",IF(AND(T82="NG",S82&lt;$B$7),"AMBIGUOUS","CONFIDENT"))</f>
        <v/>
      </c>
    </row>
    <row r="83">
      <c r="A83" s="102">
        <f>'Runs Z score'!A76</f>
        <v/>
      </c>
      <c r="B83" s="98">
        <f>'Runs Z score'!B76</f>
        <v/>
      </c>
      <c r="C83" s="98">
        <f>'Runs Z score'!C76</f>
        <v/>
      </c>
      <c r="D83" s="98">
        <f>'Runs Z score'!D76</f>
        <v/>
      </c>
      <c r="E83" s="98">
        <f>'Runs Z score'!E76</f>
        <v/>
      </c>
      <c r="F83" s="98">
        <f>'Runs Z score'!F76</f>
        <v/>
      </c>
      <c r="G83" s="99">
        <f>'Runs Z score'!G76</f>
        <v/>
      </c>
      <c r="H83" s="100">
        <f>VLOOKUP(C83,Recipes!$A$2:$N$4,10,FALSE())</f>
        <v/>
      </c>
      <c r="I83" s="101">
        <f>VLOOKUP(C83,Recipes!$A$2:$N$4,12,FALSE())</f>
        <v/>
      </c>
      <c r="J83" s="100">
        <f>IF(G83="","",H83-G83)</f>
        <v/>
      </c>
      <c r="K83" s="100">
        <f>IF(G83="","",-0.5*((J83-Components!$D$2)/Components!$E$2)^2)</f>
        <v/>
      </c>
      <c r="L83" s="100">
        <f>IF(G83="","",-0.5*((J83-Components!$D$3)/Components!$E$3)^2)</f>
        <v/>
      </c>
      <c r="M83" s="100">
        <f>IF(G83="","",-0.5*((J83-Components!$D$4)/Components!$E$4)^2)</f>
        <v/>
      </c>
      <c r="N83" s="100">
        <f>IF(G83="","",-0.5*((J83-Components!$D$5)/Components!$E$5)^2)</f>
        <v/>
      </c>
      <c r="O83" s="100">
        <f>IF(G83="","",-0.5*((J83-Components!$D$6)/Components!$E$6)^2)</f>
        <v/>
      </c>
      <c r="P83" s="100">
        <f>IF(G83="","",-0.5*((J83-Components!$D$7)/Components!$E$7)^2)</f>
        <v/>
      </c>
      <c r="Q83" s="100">
        <f>IF(G83="","",EXP(LARGE(K83:P83,1)-MAX(K83:P83))/(EXP(K83-MAX(K83:P83))+EXP(L83-MAX(K83:P83))+EXP(M83-MAX(K83:P83))+EXP(N83-MAX(K83:P83))+EXP(O83-MAX(K83:P83))+EXP(P83-MAX(K83:P83))))</f>
        <v/>
      </c>
      <c r="R83" s="100">
        <f>IF(G83="","",EXP(LARGE(K83:P83,2)-MAX(K83:P83))/(EXP(K83-MAX(K83:P83))+EXP(L83-MAX(K83:P83))+EXP(M83-MAX(K83:P83))+EXP(N83-MAX(K83:P83))+EXP(O83-MAX(K83:P83))+EXP(P83-MAX(K83:P83))))</f>
        <v/>
      </c>
      <c r="S83" s="100">
        <f>IF(G83="","",Q83-R83)</f>
        <v/>
      </c>
      <c r="T83" s="98">
        <f>IF(G83="","",IF(AND(G83&gt;=H83-$B$6*I83,G83&lt;=H83+$B$6*I83),"OK","NG"))</f>
        <v/>
      </c>
      <c r="U83" s="69">
        <f>IF(T83="","",IF(T83=D83,1,0))</f>
        <v/>
      </c>
      <c r="V83" s="98">
        <f>IF(G83="","",IF(T83="OK","NONE",INDEX({"S1","S2","W1","W2","N1","N2"},MATCH(MAX(K83:P83),K83:P83,0))))</f>
        <v/>
      </c>
      <c r="W83" s="69">
        <f>IF(G83="","",IF(V83=E83,1,0))</f>
        <v/>
      </c>
      <c r="X83" s="115">
        <f>IF(G83="","",IF(AND(T83="NG",S83&lt;$B$7),"AMBIGUOUS","CONFIDENT"))</f>
        <v/>
      </c>
    </row>
    <row r="84">
      <c r="A84" s="102">
        <f>'Runs Z score'!A77</f>
        <v/>
      </c>
      <c r="B84" s="98">
        <f>'Runs Z score'!B77</f>
        <v/>
      </c>
      <c r="C84" s="98">
        <f>'Runs Z score'!C77</f>
        <v/>
      </c>
      <c r="D84" s="98">
        <f>'Runs Z score'!D77</f>
        <v/>
      </c>
      <c r="E84" s="98">
        <f>'Runs Z score'!E77</f>
        <v/>
      </c>
      <c r="F84" s="98">
        <f>'Runs Z score'!F77</f>
        <v/>
      </c>
      <c r="G84" s="99">
        <f>'Runs Z score'!G77</f>
        <v/>
      </c>
      <c r="H84" s="100">
        <f>VLOOKUP(C84,Recipes!$A$2:$N$4,10,FALSE())</f>
        <v/>
      </c>
      <c r="I84" s="101">
        <f>VLOOKUP(C84,Recipes!$A$2:$N$4,12,FALSE())</f>
        <v/>
      </c>
      <c r="J84" s="100">
        <f>IF(G84="","",H84-G84)</f>
        <v/>
      </c>
      <c r="K84" s="100">
        <f>IF(G84="","",-0.5*((J84-Components!$D$2)/Components!$E$2)^2)</f>
        <v/>
      </c>
      <c r="L84" s="100">
        <f>IF(G84="","",-0.5*((J84-Components!$D$3)/Components!$E$3)^2)</f>
        <v/>
      </c>
      <c r="M84" s="100">
        <f>IF(G84="","",-0.5*((J84-Components!$D$4)/Components!$E$4)^2)</f>
        <v/>
      </c>
      <c r="N84" s="100">
        <f>IF(G84="","",-0.5*((J84-Components!$D$5)/Components!$E$5)^2)</f>
        <v/>
      </c>
      <c r="O84" s="100">
        <f>IF(G84="","",-0.5*((J84-Components!$D$6)/Components!$E$6)^2)</f>
        <v/>
      </c>
      <c r="P84" s="100">
        <f>IF(G84="","",-0.5*((J84-Components!$D$7)/Components!$E$7)^2)</f>
        <v/>
      </c>
      <c r="Q84" s="100">
        <f>IF(G84="","",EXP(LARGE(K84:P84,1)-MAX(K84:P84))/(EXP(K84-MAX(K84:P84))+EXP(L84-MAX(K84:P84))+EXP(M84-MAX(K84:P84))+EXP(N84-MAX(K84:P84))+EXP(O84-MAX(K84:P84))+EXP(P84-MAX(K84:P84))))</f>
        <v/>
      </c>
      <c r="R84" s="100">
        <f>IF(G84="","",EXP(LARGE(K84:P84,2)-MAX(K84:P84))/(EXP(K84-MAX(K84:P84))+EXP(L84-MAX(K84:P84))+EXP(M84-MAX(K84:P84))+EXP(N84-MAX(K84:P84))+EXP(O84-MAX(K84:P84))+EXP(P84-MAX(K84:P84))))</f>
        <v/>
      </c>
      <c r="S84" s="100">
        <f>IF(G84="","",Q84-R84)</f>
        <v/>
      </c>
      <c r="T84" s="98">
        <f>IF(G84="","",IF(AND(G84&gt;=H84-$B$6*I84,G84&lt;=H84+$B$6*I84),"OK","NG"))</f>
        <v/>
      </c>
      <c r="U84" s="69">
        <f>IF(T84="","",IF(T84=D84,1,0))</f>
        <v/>
      </c>
      <c r="V84" s="98">
        <f>IF(G84="","",IF(T84="OK","NONE",INDEX({"S1","S2","W1","W2","N1","N2"},MATCH(MAX(K84:P84),K84:P84,0))))</f>
        <v/>
      </c>
      <c r="W84" s="69">
        <f>IF(G84="","",IF(V84=E84,1,0))</f>
        <v/>
      </c>
      <c r="X84" s="115">
        <f>IF(G84="","",IF(AND(T84="NG",S84&lt;$B$7),"AMBIGUOUS","CONFIDENT"))</f>
        <v/>
      </c>
    </row>
    <row r="85">
      <c r="A85" s="102">
        <f>'Runs Z score'!A78</f>
        <v/>
      </c>
      <c r="B85" s="98">
        <f>'Runs Z score'!B78</f>
        <v/>
      </c>
      <c r="C85" s="98">
        <f>'Runs Z score'!C78</f>
        <v/>
      </c>
      <c r="D85" s="98">
        <f>'Runs Z score'!D78</f>
        <v/>
      </c>
      <c r="E85" s="98">
        <f>'Runs Z score'!E78</f>
        <v/>
      </c>
      <c r="F85" s="98">
        <f>'Runs Z score'!F78</f>
        <v/>
      </c>
      <c r="G85" s="99">
        <f>'Runs Z score'!G78</f>
        <v/>
      </c>
      <c r="H85" s="100">
        <f>VLOOKUP(C85,Recipes!$A$2:$N$4,10,FALSE())</f>
        <v/>
      </c>
      <c r="I85" s="101">
        <f>VLOOKUP(C85,Recipes!$A$2:$N$4,12,FALSE())</f>
        <v/>
      </c>
      <c r="J85" s="100">
        <f>IF(G85="","",H85-G85)</f>
        <v/>
      </c>
      <c r="K85" s="100">
        <f>IF(G85="","",-0.5*((J85-Components!$D$2)/Components!$E$2)^2)</f>
        <v/>
      </c>
      <c r="L85" s="100">
        <f>IF(G85="","",-0.5*((J85-Components!$D$3)/Components!$E$3)^2)</f>
        <v/>
      </c>
      <c r="M85" s="100">
        <f>IF(G85="","",-0.5*((J85-Components!$D$4)/Components!$E$4)^2)</f>
        <v/>
      </c>
      <c r="N85" s="100">
        <f>IF(G85="","",-0.5*((J85-Components!$D$5)/Components!$E$5)^2)</f>
        <v/>
      </c>
      <c r="O85" s="100">
        <f>IF(G85="","",-0.5*((J85-Components!$D$6)/Components!$E$6)^2)</f>
        <v/>
      </c>
      <c r="P85" s="100">
        <f>IF(G85="","",-0.5*((J85-Components!$D$7)/Components!$E$7)^2)</f>
        <v/>
      </c>
      <c r="Q85" s="100">
        <f>IF(G85="","",EXP(LARGE(K85:P85,1)-MAX(K85:P85))/(EXP(K85-MAX(K85:P85))+EXP(L85-MAX(K85:P85))+EXP(M85-MAX(K85:P85))+EXP(N85-MAX(K85:P85))+EXP(O85-MAX(K85:P85))+EXP(P85-MAX(K85:P85))))</f>
        <v/>
      </c>
      <c r="R85" s="100">
        <f>IF(G85="","",EXP(LARGE(K85:P85,2)-MAX(K85:P85))/(EXP(K85-MAX(K85:P85))+EXP(L85-MAX(K85:P85))+EXP(M85-MAX(K85:P85))+EXP(N85-MAX(K85:P85))+EXP(O85-MAX(K85:P85))+EXP(P85-MAX(K85:P85))))</f>
        <v/>
      </c>
      <c r="S85" s="100">
        <f>IF(G85="","",Q85-R85)</f>
        <v/>
      </c>
      <c r="T85" s="98">
        <f>IF(G85="","",IF(AND(G85&gt;=H85-$B$6*I85,G85&lt;=H85+$B$6*I85),"OK","NG"))</f>
        <v/>
      </c>
      <c r="U85" s="69">
        <f>IF(T85="","",IF(T85=D85,1,0))</f>
        <v/>
      </c>
      <c r="V85" s="98">
        <f>IF(G85="","",IF(T85="OK","NONE",INDEX({"S1","S2","W1","W2","N1","N2"},MATCH(MAX(K85:P85),K85:P85,0))))</f>
        <v/>
      </c>
      <c r="W85" s="69">
        <f>IF(G85="","",IF(V85=E85,1,0))</f>
        <v/>
      </c>
      <c r="X85" s="115">
        <f>IF(G85="","",IF(AND(T85="NG",S85&lt;$B$7),"AMBIGUOUS","CONFIDENT"))</f>
        <v/>
      </c>
    </row>
    <row r="86">
      <c r="A86" s="102">
        <f>'Runs Z score'!A79</f>
        <v/>
      </c>
      <c r="B86" s="98">
        <f>'Runs Z score'!B79</f>
        <v/>
      </c>
      <c r="C86" s="98">
        <f>'Runs Z score'!C79</f>
        <v/>
      </c>
      <c r="D86" s="98">
        <f>'Runs Z score'!D79</f>
        <v/>
      </c>
      <c r="E86" s="98">
        <f>'Runs Z score'!E79</f>
        <v/>
      </c>
      <c r="F86" s="98">
        <f>'Runs Z score'!F79</f>
        <v/>
      </c>
      <c r="G86" s="99">
        <f>'Runs Z score'!G79</f>
        <v/>
      </c>
      <c r="H86" s="100">
        <f>VLOOKUP(C86,Recipes!$A$2:$N$4,10,FALSE())</f>
        <v/>
      </c>
      <c r="I86" s="101">
        <f>VLOOKUP(C86,Recipes!$A$2:$N$4,12,FALSE())</f>
        <v/>
      </c>
      <c r="J86" s="100">
        <f>IF(G86="","",H86-G86)</f>
        <v/>
      </c>
      <c r="K86" s="100">
        <f>IF(G86="","",-0.5*((J86-Components!$D$2)/Components!$E$2)^2)</f>
        <v/>
      </c>
      <c r="L86" s="100">
        <f>IF(G86="","",-0.5*((J86-Components!$D$3)/Components!$E$3)^2)</f>
        <v/>
      </c>
      <c r="M86" s="100">
        <f>IF(G86="","",-0.5*((J86-Components!$D$4)/Components!$E$4)^2)</f>
        <v/>
      </c>
      <c r="N86" s="100">
        <f>IF(G86="","",-0.5*((J86-Components!$D$5)/Components!$E$5)^2)</f>
        <v/>
      </c>
      <c r="O86" s="100">
        <f>IF(G86="","",-0.5*((J86-Components!$D$6)/Components!$E$6)^2)</f>
        <v/>
      </c>
      <c r="P86" s="100">
        <f>IF(G86="","",-0.5*((J86-Components!$D$7)/Components!$E$7)^2)</f>
        <v/>
      </c>
      <c r="Q86" s="100">
        <f>IF(G86="","",EXP(LARGE(K86:P86,1)-MAX(K86:P86))/(EXP(K86-MAX(K86:P86))+EXP(L86-MAX(K86:P86))+EXP(M86-MAX(K86:P86))+EXP(N86-MAX(K86:P86))+EXP(O86-MAX(K86:P86))+EXP(P86-MAX(K86:P86))))</f>
        <v/>
      </c>
      <c r="R86" s="100">
        <f>IF(G86="","",EXP(LARGE(K86:P86,2)-MAX(K86:P86))/(EXP(K86-MAX(K86:P86))+EXP(L86-MAX(K86:P86))+EXP(M86-MAX(K86:P86))+EXP(N86-MAX(K86:P86))+EXP(O86-MAX(K86:P86))+EXP(P86-MAX(K86:P86))))</f>
        <v/>
      </c>
      <c r="S86" s="100">
        <f>IF(G86="","",Q86-R86)</f>
        <v/>
      </c>
      <c r="T86" s="98">
        <f>IF(G86="","",IF(AND(G86&gt;=H86-$B$6*I86,G86&lt;=H86+$B$6*I86),"OK","NG"))</f>
        <v/>
      </c>
      <c r="U86" s="69">
        <f>IF(T86="","",IF(T86=D86,1,0))</f>
        <v/>
      </c>
      <c r="V86" s="98">
        <f>IF(G86="","",IF(T86="OK","NONE",INDEX({"S1","S2","W1","W2","N1","N2"},MATCH(MAX(K86:P86),K86:P86,0))))</f>
        <v/>
      </c>
      <c r="W86" s="69">
        <f>IF(G86="","",IF(V86=E86,1,0))</f>
        <v/>
      </c>
      <c r="X86" s="115">
        <f>IF(G86="","",IF(AND(T86="NG",S86&lt;$B$7),"AMBIGUOUS","CONFIDENT"))</f>
        <v/>
      </c>
    </row>
    <row r="87">
      <c r="A87" s="102">
        <f>'Runs Z score'!A80</f>
        <v/>
      </c>
      <c r="B87" s="98">
        <f>'Runs Z score'!B80</f>
        <v/>
      </c>
      <c r="C87" s="98">
        <f>'Runs Z score'!C80</f>
        <v/>
      </c>
      <c r="D87" s="98">
        <f>'Runs Z score'!D80</f>
        <v/>
      </c>
      <c r="E87" s="98">
        <f>'Runs Z score'!E80</f>
        <v/>
      </c>
      <c r="F87" s="98">
        <f>'Runs Z score'!F80</f>
        <v/>
      </c>
      <c r="G87" s="99">
        <f>'Runs Z score'!G80</f>
        <v/>
      </c>
      <c r="H87" s="100">
        <f>VLOOKUP(C87,Recipes!$A$2:$N$4,10,FALSE())</f>
        <v/>
      </c>
      <c r="I87" s="101">
        <f>VLOOKUP(C87,Recipes!$A$2:$N$4,12,FALSE())</f>
        <v/>
      </c>
      <c r="J87" s="100">
        <f>IF(G87="","",H87-G87)</f>
        <v/>
      </c>
      <c r="K87" s="100">
        <f>IF(G87="","",-0.5*((J87-Components!$D$2)/Components!$E$2)^2)</f>
        <v/>
      </c>
      <c r="L87" s="100">
        <f>IF(G87="","",-0.5*((J87-Components!$D$3)/Components!$E$3)^2)</f>
        <v/>
      </c>
      <c r="M87" s="100">
        <f>IF(G87="","",-0.5*((J87-Components!$D$4)/Components!$E$4)^2)</f>
        <v/>
      </c>
      <c r="N87" s="100">
        <f>IF(G87="","",-0.5*((J87-Components!$D$5)/Components!$E$5)^2)</f>
        <v/>
      </c>
      <c r="O87" s="100">
        <f>IF(G87="","",-0.5*((J87-Components!$D$6)/Components!$E$6)^2)</f>
        <v/>
      </c>
      <c r="P87" s="100">
        <f>IF(G87="","",-0.5*((J87-Components!$D$7)/Components!$E$7)^2)</f>
        <v/>
      </c>
      <c r="Q87" s="100">
        <f>IF(G87="","",EXP(LARGE(K87:P87,1)-MAX(K87:P87))/(EXP(K87-MAX(K87:P87))+EXP(L87-MAX(K87:P87))+EXP(M87-MAX(K87:P87))+EXP(N87-MAX(K87:P87))+EXP(O87-MAX(K87:P87))+EXP(P87-MAX(K87:P87))))</f>
        <v/>
      </c>
      <c r="R87" s="100">
        <f>IF(G87="","",EXP(LARGE(K87:P87,2)-MAX(K87:P87))/(EXP(K87-MAX(K87:P87))+EXP(L87-MAX(K87:P87))+EXP(M87-MAX(K87:P87))+EXP(N87-MAX(K87:P87))+EXP(O87-MAX(K87:P87))+EXP(P87-MAX(K87:P87))))</f>
        <v/>
      </c>
      <c r="S87" s="100">
        <f>IF(G87="","",Q87-R87)</f>
        <v/>
      </c>
      <c r="T87" s="98">
        <f>IF(G87="","",IF(AND(G87&gt;=H87-$B$6*I87,G87&lt;=H87+$B$6*I87),"OK","NG"))</f>
        <v/>
      </c>
      <c r="U87" s="69">
        <f>IF(T87="","",IF(T87=D87,1,0))</f>
        <v/>
      </c>
      <c r="V87" s="98">
        <f>IF(G87="","",IF(T87="OK","NONE",INDEX({"S1","S2","W1","W2","N1","N2"},MATCH(MAX(K87:P87),K87:P87,0))))</f>
        <v/>
      </c>
      <c r="W87" s="69">
        <f>IF(G87="","",IF(V87=E87,1,0))</f>
        <v/>
      </c>
      <c r="X87" s="115">
        <f>IF(G87="","",IF(AND(T87="NG",S87&lt;$B$7),"AMBIGUOUS","CONFIDENT"))</f>
        <v/>
      </c>
    </row>
    <row r="88">
      <c r="A88" s="102">
        <f>'Runs Z score'!A81</f>
        <v/>
      </c>
      <c r="B88" s="98">
        <f>'Runs Z score'!B81</f>
        <v/>
      </c>
      <c r="C88" s="98">
        <f>'Runs Z score'!C81</f>
        <v/>
      </c>
      <c r="D88" s="98">
        <f>'Runs Z score'!D81</f>
        <v/>
      </c>
      <c r="E88" s="98">
        <f>'Runs Z score'!E81</f>
        <v/>
      </c>
      <c r="F88" s="98">
        <f>'Runs Z score'!F81</f>
        <v/>
      </c>
      <c r="G88" s="99">
        <f>'Runs Z score'!G81</f>
        <v/>
      </c>
      <c r="H88" s="100">
        <f>VLOOKUP(C88,Recipes!$A$2:$N$4,10,FALSE())</f>
        <v/>
      </c>
      <c r="I88" s="101">
        <f>VLOOKUP(C88,Recipes!$A$2:$N$4,12,FALSE())</f>
        <v/>
      </c>
      <c r="J88" s="100">
        <f>IF(G88="","",H88-G88)</f>
        <v/>
      </c>
      <c r="K88" s="100">
        <f>IF(G88="","",-0.5*((J88-Components!$D$2)/Components!$E$2)^2)</f>
        <v/>
      </c>
      <c r="L88" s="100">
        <f>IF(G88="","",-0.5*((J88-Components!$D$3)/Components!$E$3)^2)</f>
        <v/>
      </c>
      <c r="M88" s="100">
        <f>IF(G88="","",-0.5*((J88-Components!$D$4)/Components!$E$4)^2)</f>
        <v/>
      </c>
      <c r="N88" s="100">
        <f>IF(G88="","",-0.5*((J88-Components!$D$5)/Components!$E$5)^2)</f>
        <v/>
      </c>
      <c r="O88" s="100">
        <f>IF(G88="","",-0.5*((J88-Components!$D$6)/Components!$E$6)^2)</f>
        <v/>
      </c>
      <c r="P88" s="100">
        <f>IF(G88="","",-0.5*((J88-Components!$D$7)/Components!$E$7)^2)</f>
        <v/>
      </c>
      <c r="Q88" s="100">
        <f>IF(G88="","",EXP(LARGE(K88:P88,1)-MAX(K88:P88))/(EXP(K88-MAX(K88:P88))+EXP(L88-MAX(K88:P88))+EXP(M88-MAX(K88:P88))+EXP(N88-MAX(K88:P88))+EXP(O88-MAX(K88:P88))+EXP(P88-MAX(K88:P88))))</f>
        <v/>
      </c>
      <c r="R88" s="100">
        <f>IF(G88="","",EXP(LARGE(K88:P88,2)-MAX(K88:P88))/(EXP(K88-MAX(K88:P88))+EXP(L88-MAX(K88:P88))+EXP(M88-MAX(K88:P88))+EXP(N88-MAX(K88:P88))+EXP(O88-MAX(K88:P88))+EXP(P88-MAX(K88:P88))))</f>
        <v/>
      </c>
      <c r="S88" s="100">
        <f>IF(G88="","",Q88-R88)</f>
        <v/>
      </c>
      <c r="T88" s="98">
        <f>IF(G88="","",IF(AND(G88&gt;=H88-$B$6*I88,G88&lt;=H88+$B$6*I88),"OK","NG"))</f>
        <v/>
      </c>
      <c r="U88" s="69">
        <f>IF(T88="","",IF(T88=D88,1,0))</f>
        <v/>
      </c>
      <c r="V88" s="98">
        <f>IF(G88="","",IF(T88="OK","NONE",INDEX({"S1","S2","W1","W2","N1","N2"},MATCH(MAX(K88:P88),K88:P88,0))))</f>
        <v/>
      </c>
      <c r="W88" s="69">
        <f>IF(G88="","",IF(V88=E88,1,0))</f>
        <v/>
      </c>
      <c r="X88" s="115">
        <f>IF(G88="","",IF(AND(T88="NG",S88&lt;$B$7),"AMBIGUOUS","CONFIDENT"))</f>
        <v/>
      </c>
    </row>
    <row r="89">
      <c r="A89" s="102">
        <f>'Runs Z score'!A82</f>
        <v/>
      </c>
      <c r="B89" s="98">
        <f>'Runs Z score'!B82</f>
        <v/>
      </c>
      <c r="C89" s="98">
        <f>'Runs Z score'!C82</f>
        <v/>
      </c>
      <c r="D89" s="98">
        <f>'Runs Z score'!D82</f>
        <v/>
      </c>
      <c r="E89" s="98">
        <f>'Runs Z score'!E82</f>
        <v/>
      </c>
      <c r="F89" s="98">
        <f>'Runs Z score'!F82</f>
        <v/>
      </c>
      <c r="G89" s="99">
        <f>'Runs Z score'!G82</f>
        <v/>
      </c>
      <c r="H89" s="100">
        <f>VLOOKUP(C89,Recipes!$A$2:$N$4,10,FALSE())</f>
        <v/>
      </c>
      <c r="I89" s="101">
        <f>VLOOKUP(C89,Recipes!$A$2:$N$4,12,FALSE())</f>
        <v/>
      </c>
      <c r="J89" s="100">
        <f>IF(G89="","",H89-G89)</f>
        <v/>
      </c>
      <c r="K89" s="100">
        <f>IF(G89="","",-0.5*((J89-Components!$D$2)/Components!$E$2)^2)</f>
        <v/>
      </c>
      <c r="L89" s="100">
        <f>IF(G89="","",-0.5*((J89-Components!$D$3)/Components!$E$3)^2)</f>
        <v/>
      </c>
      <c r="M89" s="100">
        <f>IF(G89="","",-0.5*((J89-Components!$D$4)/Components!$E$4)^2)</f>
        <v/>
      </c>
      <c r="N89" s="100">
        <f>IF(G89="","",-0.5*((J89-Components!$D$5)/Components!$E$5)^2)</f>
        <v/>
      </c>
      <c r="O89" s="100">
        <f>IF(G89="","",-0.5*((J89-Components!$D$6)/Components!$E$6)^2)</f>
        <v/>
      </c>
      <c r="P89" s="100">
        <f>IF(G89="","",-0.5*((J89-Components!$D$7)/Components!$E$7)^2)</f>
        <v/>
      </c>
      <c r="Q89" s="100">
        <f>IF(G89="","",EXP(LARGE(K89:P89,1)-MAX(K89:P89))/(EXP(K89-MAX(K89:P89))+EXP(L89-MAX(K89:P89))+EXP(M89-MAX(K89:P89))+EXP(N89-MAX(K89:P89))+EXP(O89-MAX(K89:P89))+EXP(P89-MAX(K89:P89))))</f>
        <v/>
      </c>
      <c r="R89" s="100">
        <f>IF(G89="","",EXP(LARGE(K89:P89,2)-MAX(K89:P89))/(EXP(K89-MAX(K89:P89))+EXP(L89-MAX(K89:P89))+EXP(M89-MAX(K89:P89))+EXP(N89-MAX(K89:P89))+EXP(O89-MAX(K89:P89))+EXP(P89-MAX(K89:P89))))</f>
        <v/>
      </c>
      <c r="S89" s="100">
        <f>IF(G89="","",Q89-R89)</f>
        <v/>
      </c>
      <c r="T89" s="98">
        <f>IF(G89="","",IF(AND(G89&gt;=H89-$B$6*I89,G89&lt;=H89+$B$6*I89),"OK","NG"))</f>
        <v/>
      </c>
      <c r="U89" s="69">
        <f>IF(T89="","",IF(T89=D89,1,0))</f>
        <v/>
      </c>
      <c r="V89" s="98">
        <f>IF(G89="","",IF(T89="OK","NONE",INDEX({"S1","S2","W1","W2","N1","N2"},MATCH(MAX(K89:P89),K89:P89,0))))</f>
        <v/>
      </c>
      <c r="W89" s="69">
        <f>IF(G89="","",IF(V89=E89,1,0))</f>
        <v/>
      </c>
      <c r="X89" s="115">
        <f>IF(G89="","",IF(AND(T89="NG",S89&lt;$B$7),"AMBIGUOUS","CONFIDENT"))</f>
        <v/>
      </c>
    </row>
    <row r="90">
      <c r="A90" s="102">
        <f>'Runs Z score'!A83</f>
        <v/>
      </c>
      <c r="B90" s="98">
        <f>'Runs Z score'!B83</f>
        <v/>
      </c>
      <c r="C90" s="98">
        <f>'Runs Z score'!C83</f>
        <v/>
      </c>
      <c r="D90" s="98">
        <f>'Runs Z score'!D83</f>
        <v/>
      </c>
      <c r="E90" s="98">
        <f>'Runs Z score'!E83</f>
        <v/>
      </c>
      <c r="F90" s="98">
        <f>'Runs Z score'!F83</f>
        <v/>
      </c>
      <c r="G90" s="99">
        <f>'Runs Z score'!G83</f>
        <v/>
      </c>
      <c r="H90" s="100">
        <f>VLOOKUP(C90,Recipes!$A$2:$N$4,10,FALSE())</f>
        <v/>
      </c>
      <c r="I90" s="101">
        <f>VLOOKUP(C90,Recipes!$A$2:$N$4,12,FALSE())</f>
        <v/>
      </c>
      <c r="J90" s="100">
        <f>IF(G90="","",H90-G90)</f>
        <v/>
      </c>
      <c r="K90" s="100">
        <f>IF(G90="","",-0.5*((J90-Components!$D$2)/Components!$E$2)^2)</f>
        <v/>
      </c>
      <c r="L90" s="100">
        <f>IF(G90="","",-0.5*((J90-Components!$D$3)/Components!$E$3)^2)</f>
        <v/>
      </c>
      <c r="M90" s="100">
        <f>IF(G90="","",-0.5*((J90-Components!$D$4)/Components!$E$4)^2)</f>
        <v/>
      </c>
      <c r="N90" s="100">
        <f>IF(G90="","",-0.5*((J90-Components!$D$5)/Components!$E$5)^2)</f>
        <v/>
      </c>
      <c r="O90" s="100">
        <f>IF(G90="","",-0.5*((J90-Components!$D$6)/Components!$E$6)^2)</f>
        <v/>
      </c>
      <c r="P90" s="100">
        <f>IF(G90="","",-0.5*((J90-Components!$D$7)/Components!$E$7)^2)</f>
        <v/>
      </c>
      <c r="Q90" s="100">
        <f>IF(G90="","",EXP(LARGE(K90:P90,1)-MAX(K90:P90))/(EXP(K90-MAX(K90:P90))+EXP(L90-MAX(K90:P90))+EXP(M90-MAX(K90:P90))+EXP(N90-MAX(K90:P90))+EXP(O90-MAX(K90:P90))+EXP(P90-MAX(K90:P90))))</f>
        <v/>
      </c>
      <c r="R90" s="100">
        <f>IF(G90="","",EXP(LARGE(K90:P90,2)-MAX(K90:P90))/(EXP(K90-MAX(K90:P90))+EXP(L90-MAX(K90:P90))+EXP(M90-MAX(K90:P90))+EXP(N90-MAX(K90:P90))+EXP(O90-MAX(K90:P90))+EXP(P90-MAX(K90:P90))))</f>
        <v/>
      </c>
      <c r="S90" s="100">
        <f>IF(G90="","",Q90-R90)</f>
        <v/>
      </c>
      <c r="T90" s="98">
        <f>IF(G90="","",IF(AND(G90&gt;=H90-$B$6*I90,G90&lt;=H90+$B$6*I90),"OK","NG"))</f>
        <v/>
      </c>
      <c r="U90" s="69">
        <f>IF(T90="","",IF(T90=D90,1,0))</f>
        <v/>
      </c>
      <c r="V90" s="98">
        <f>IF(G90="","",IF(T90="OK","NONE",INDEX({"S1","S2","W1","W2","N1","N2"},MATCH(MAX(K90:P90),K90:P90,0))))</f>
        <v/>
      </c>
      <c r="W90" s="69">
        <f>IF(G90="","",IF(V90=E90,1,0))</f>
        <v/>
      </c>
      <c r="X90" s="115">
        <f>IF(G90="","",IF(AND(T90="NG",S90&lt;$B$7),"AMBIGUOUS","CONFIDENT"))</f>
        <v/>
      </c>
    </row>
    <row r="91">
      <c r="A91" s="102">
        <f>'Runs Z score'!A84</f>
        <v/>
      </c>
      <c r="B91" s="98">
        <f>'Runs Z score'!B84</f>
        <v/>
      </c>
      <c r="C91" s="98">
        <f>'Runs Z score'!C84</f>
        <v/>
      </c>
      <c r="D91" s="98">
        <f>'Runs Z score'!D84</f>
        <v/>
      </c>
      <c r="E91" s="98">
        <f>'Runs Z score'!E84</f>
        <v/>
      </c>
      <c r="F91" s="98">
        <f>'Runs Z score'!F84</f>
        <v/>
      </c>
      <c r="G91" s="99">
        <f>'Runs Z score'!G84</f>
        <v/>
      </c>
      <c r="H91" s="100">
        <f>VLOOKUP(C91,Recipes!$A$2:$N$4,10,FALSE())</f>
        <v/>
      </c>
      <c r="I91" s="101">
        <f>VLOOKUP(C91,Recipes!$A$2:$N$4,12,FALSE())</f>
        <v/>
      </c>
      <c r="J91" s="100">
        <f>IF(G91="","",H91-G91)</f>
        <v/>
      </c>
      <c r="K91" s="100">
        <f>IF(G91="","",-0.5*((J91-Components!$D$2)/Components!$E$2)^2)</f>
        <v/>
      </c>
      <c r="L91" s="100">
        <f>IF(G91="","",-0.5*((J91-Components!$D$3)/Components!$E$3)^2)</f>
        <v/>
      </c>
      <c r="M91" s="100">
        <f>IF(G91="","",-0.5*((J91-Components!$D$4)/Components!$E$4)^2)</f>
        <v/>
      </c>
      <c r="N91" s="100">
        <f>IF(G91="","",-0.5*((J91-Components!$D$5)/Components!$E$5)^2)</f>
        <v/>
      </c>
      <c r="O91" s="100">
        <f>IF(G91="","",-0.5*((J91-Components!$D$6)/Components!$E$6)^2)</f>
        <v/>
      </c>
      <c r="P91" s="100">
        <f>IF(G91="","",-0.5*((J91-Components!$D$7)/Components!$E$7)^2)</f>
        <v/>
      </c>
      <c r="Q91" s="100">
        <f>IF(G91="","",EXP(LARGE(K91:P91,1)-MAX(K91:P91))/(EXP(K91-MAX(K91:P91))+EXP(L91-MAX(K91:P91))+EXP(M91-MAX(K91:P91))+EXP(N91-MAX(K91:P91))+EXP(O91-MAX(K91:P91))+EXP(P91-MAX(K91:P91))))</f>
        <v/>
      </c>
      <c r="R91" s="100">
        <f>IF(G91="","",EXP(LARGE(K91:P91,2)-MAX(K91:P91))/(EXP(K91-MAX(K91:P91))+EXP(L91-MAX(K91:P91))+EXP(M91-MAX(K91:P91))+EXP(N91-MAX(K91:P91))+EXP(O91-MAX(K91:P91))+EXP(P91-MAX(K91:P91))))</f>
        <v/>
      </c>
      <c r="S91" s="100">
        <f>IF(G91="","",Q91-R91)</f>
        <v/>
      </c>
      <c r="T91" s="98">
        <f>IF(G91="","",IF(AND(G91&gt;=H91-$B$6*I91,G91&lt;=H91+$B$6*I91),"OK","NG"))</f>
        <v/>
      </c>
      <c r="U91" s="69">
        <f>IF(T91="","",IF(T91=D91,1,0))</f>
        <v/>
      </c>
      <c r="V91" s="98">
        <f>IF(G91="","",IF(T91="OK","NONE",INDEX({"S1","S2","W1","W2","N1","N2"},MATCH(MAX(K91:P91),K91:P91,0))))</f>
        <v/>
      </c>
      <c r="W91" s="69">
        <f>IF(G91="","",IF(V91=E91,1,0))</f>
        <v/>
      </c>
      <c r="X91" s="115">
        <f>IF(G91="","",IF(AND(T91="NG",S91&lt;$B$7),"AMBIGUOUS","CONFIDENT"))</f>
        <v/>
      </c>
    </row>
    <row r="92">
      <c r="A92" s="102">
        <f>'Runs Z score'!A85</f>
        <v/>
      </c>
      <c r="B92" s="98">
        <f>'Runs Z score'!B85</f>
        <v/>
      </c>
      <c r="C92" s="98">
        <f>'Runs Z score'!C85</f>
        <v/>
      </c>
      <c r="D92" s="98">
        <f>'Runs Z score'!D85</f>
        <v/>
      </c>
      <c r="E92" s="98">
        <f>'Runs Z score'!E85</f>
        <v/>
      </c>
      <c r="F92" s="98">
        <f>'Runs Z score'!F85</f>
        <v/>
      </c>
      <c r="G92" s="99">
        <f>'Runs Z score'!G85</f>
        <v/>
      </c>
      <c r="H92" s="100">
        <f>VLOOKUP(C92,Recipes!$A$2:$N$4,10,FALSE())</f>
        <v/>
      </c>
      <c r="I92" s="101">
        <f>VLOOKUP(C92,Recipes!$A$2:$N$4,12,FALSE())</f>
        <v/>
      </c>
      <c r="J92" s="100">
        <f>IF(G92="","",H92-G92)</f>
        <v/>
      </c>
      <c r="K92" s="100">
        <f>IF(G92="","",-0.5*((J92-Components!$D$2)/Components!$E$2)^2)</f>
        <v/>
      </c>
      <c r="L92" s="100">
        <f>IF(G92="","",-0.5*((J92-Components!$D$3)/Components!$E$3)^2)</f>
        <v/>
      </c>
      <c r="M92" s="100">
        <f>IF(G92="","",-0.5*((J92-Components!$D$4)/Components!$E$4)^2)</f>
        <v/>
      </c>
      <c r="N92" s="100">
        <f>IF(G92="","",-0.5*((J92-Components!$D$5)/Components!$E$5)^2)</f>
        <v/>
      </c>
      <c r="O92" s="100">
        <f>IF(G92="","",-0.5*((J92-Components!$D$6)/Components!$E$6)^2)</f>
        <v/>
      </c>
      <c r="P92" s="100">
        <f>IF(G92="","",-0.5*((J92-Components!$D$7)/Components!$E$7)^2)</f>
        <v/>
      </c>
      <c r="Q92" s="100">
        <f>IF(G92="","",EXP(LARGE(K92:P92,1)-MAX(K92:P92))/(EXP(K92-MAX(K92:P92))+EXP(L92-MAX(K92:P92))+EXP(M92-MAX(K92:P92))+EXP(N92-MAX(K92:P92))+EXP(O92-MAX(K92:P92))+EXP(P92-MAX(K92:P92))))</f>
        <v/>
      </c>
      <c r="R92" s="100">
        <f>IF(G92="","",EXP(LARGE(K92:P92,2)-MAX(K92:P92))/(EXP(K92-MAX(K92:P92))+EXP(L92-MAX(K92:P92))+EXP(M92-MAX(K92:P92))+EXP(N92-MAX(K92:P92))+EXP(O92-MAX(K92:P92))+EXP(P92-MAX(K92:P92))))</f>
        <v/>
      </c>
      <c r="S92" s="100">
        <f>IF(G92="","",Q92-R92)</f>
        <v/>
      </c>
      <c r="T92" s="98">
        <f>IF(G92="","",IF(AND(G92&gt;=H92-$B$6*I92,G92&lt;=H92+$B$6*I92),"OK","NG"))</f>
        <v/>
      </c>
      <c r="U92" s="69">
        <f>IF(T92="","",IF(T92=D92,1,0))</f>
        <v/>
      </c>
      <c r="V92" s="98">
        <f>IF(G92="","",IF(T92="OK","NONE",INDEX({"S1","S2","W1","W2","N1","N2"},MATCH(MAX(K92:P92),K92:P92,0))))</f>
        <v/>
      </c>
      <c r="W92" s="69">
        <f>IF(G92="","",IF(V92=E92,1,0))</f>
        <v/>
      </c>
      <c r="X92" s="115">
        <f>IF(G92="","",IF(AND(T92="NG",S92&lt;$B$7),"AMBIGUOUS","CONFIDENT"))</f>
        <v/>
      </c>
    </row>
    <row r="93">
      <c r="A93" s="102">
        <f>'Runs Z score'!A86</f>
        <v/>
      </c>
      <c r="B93" s="98">
        <f>'Runs Z score'!B86</f>
        <v/>
      </c>
      <c r="C93" s="98">
        <f>'Runs Z score'!C86</f>
        <v/>
      </c>
      <c r="D93" s="98">
        <f>'Runs Z score'!D86</f>
        <v/>
      </c>
      <c r="E93" s="98">
        <f>'Runs Z score'!E86</f>
        <v/>
      </c>
      <c r="F93" s="98">
        <f>'Runs Z score'!F86</f>
        <v/>
      </c>
      <c r="G93" s="99">
        <f>'Runs Z score'!G86</f>
        <v/>
      </c>
      <c r="H93" s="100">
        <f>VLOOKUP(C93,Recipes!$A$2:$N$4,10,FALSE())</f>
        <v/>
      </c>
      <c r="I93" s="101">
        <f>VLOOKUP(C93,Recipes!$A$2:$N$4,12,FALSE())</f>
        <v/>
      </c>
      <c r="J93" s="100">
        <f>IF(G93="","",H93-G93)</f>
        <v/>
      </c>
      <c r="K93" s="100">
        <f>IF(G93="","",-0.5*((J93-Components!$D$2)/Components!$E$2)^2)</f>
        <v/>
      </c>
      <c r="L93" s="100">
        <f>IF(G93="","",-0.5*((J93-Components!$D$3)/Components!$E$3)^2)</f>
        <v/>
      </c>
      <c r="M93" s="100">
        <f>IF(G93="","",-0.5*((J93-Components!$D$4)/Components!$E$4)^2)</f>
        <v/>
      </c>
      <c r="N93" s="100">
        <f>IF(G93="","",-0.5*((J93-Components!$D$5)/Components!$E$5)^2)</f>
        <v/>
      </c>
      <c r="O93" s="100">
        <f>IF(G93="","",-0.5*((J93-Components!$D$6)/Components!$E$6)^2)</f>
        <v/>
      </c>
      <c r="P93" s="100">
        <f>IF(G93="","",-0.5*((J93-Components!$D$7)/Components!$E$7)^2)</f>
        <v/>
      </c>
      <c r="Q93" s="100">
        <f>IF(G93="","",EXP(LARGE(K93:P93,1)-MAX(K93:P93))/(EXP(K93-MAX(K93:P93))+EXP(L93-MAX(K93:P93))+EXP(M93-MAX(K93:P93))+EXP(N93-MAX(K93:P93))+EXP(O93-MAX(K93:P93))+EXP(P93-MAX(K93:P93))))</f>
        <v/>
      </c>
      <c r="R93" s="100">
        <f>IF(G93="","",EXP(LARGE(K93:P93,2)-MAX(K93:P93))/(EXP(K93-MAX(K93:P93))+EXP(L93-MAX(K93:P93))+EXP(M93-MAX(K93:P93))+EXP(N93-MAX(K93:P93))+EXP(O93-MAX(K93:P93))+EXP(P93-MAX(K93:P93))))</f>
        <v/>
      </c>
      <c r="S93" s="100">
        <f>IF(G93="","",Q93-R93)</f>
        <v/>
      </c>
      <c r="T93" s="98">
        <f>IF(G93="","",IF(AND(G93&gt;=H93-$B$6*I93,G93&lt;=H93+$B$6*I93),"OK","NG"))</f>
        <v/>
      </c>
      <c r="U93" s="69">
        <f>IF(T93="","",IF(T93=D93,1,0))</f>
        <v/>
      </c>
      <c r="V93" s="98">
        <f>IF(G93="","",IF(T93="OK","NONE",INDEX({"S1","S2","W1","W2","N1","N2"},MATCH(MAX(K93:P93),K93:P93,0))))</f>
        <v/>
      </c>
      <c r="W93" s="69">
        <f>IF(G93="","",IF(V93=E93,1,0))</f>
        <v/>
      </c>
      <c r="X93" s="115">
        <f>IF(G93="","",IF(AND(T93="NG",S93&lt;$B$7),"AMBIGUOUS","CONFIDENT"))</f>
        <v/>
      </c>
    </row>
    <row r="94">
      <c r="A94" s="102">
        <f>'Runs Z score'!A87</f>
        <v/>
      </c>
      <c r="B94" s="98">
        <f>'Runs Z score'!B87</f>
        <v/>
      </c>
      <c r="C94" s="98">
        <f>'Runs Z score'!C87</f>
        <v/>
      </c>
      <c r="D94" s="98">
        <f>'Runs Z score'!D87</f>
        <v/>
      </c>
      <c r="E94" s="98">
        <f>'Runs Z score'!E87</f>
        <v/>
      </c>
      <c r="F94" s="98">
        <f>'Runs Z score'!F87</f>
        <v/>
      </c>
      <c r="G94" s="99">
        <f>'Runs Z score'!G87</f>
        <v/>
      </c>
      <c r="H94" s="100">
        <f>VLOOKUP(C94,Recipes!$A$2:$N$4,10,FALSE())</f>
        <v/>
      </c>
      <c r="I94" s="101">
        <f>VLOOKUP(C94,Recipes!$A$2:$N$4,12,FALSE())</f>
        <v/>
      </c>
      <c r="J94" s="100">
        <f>IF(G94="","",H94-G94)</f>
        <v/>
      </c>
      <c r="K94" s="100">
        <f>IF(G94="","",-0.5*((J94-Components!$D$2)/Components!$E$2)^2)</f>
        <v/>
      </c>
      <c r="L94" s="100">
        <f>IF(G94="","",-0.5*((J94-Components!$D$3)/Components!$E$3)^2)</f>
        <v/>
      </c>
      <c r="M94" s="100">
        <f>IF(G94="","",-0.5*((J94-Components!$D$4)/Components!$E$4)^2)</f>
        <v/>
      </c>
      <c r="N94" s="100">
        <f>IF(G94="","",-0.5*((J94-Components!$D$5)/Components!$E$5)^2)</f>
        <v/>
      </c>
      <c r="O94" s="100">
        <f>IF(G94="","",-0.5*((J94-Components!$D$6)/Components!$E$6)^2)</f>
        <v/>
      </c>
      <c r="P94" s="100">
        <f>IF(G94="","",-0.5*((J94-Components!$D$7)/Components!$E$7)^2)</f>
        <v/>
      </c>
      <c r="Q94" s="100">
        <f>IF(G94="","",EXP(LARGE(K94:P94,1)-MAX(K94:P94))/(EXP(K94-MAX(K94:P94))+EXP(L94-MAX(K94:P94))+EXP(M94-MAX(K94:P94))+EXP(N94-MAX(K94:P94))+EXP(O94-MAX(K94:P94))+EXP(P94-MAX(K94:P94))))</f>
        <v/>
      </c>
      <c r="R94" s="100">
        <f>IF(G94="","",EXP(LARGE(K94:P94,2)-MAX(K94:P94))/(EXP(K94-MAX(K94:P94))+EXP(L94-MAX(K94:P94))+EXP(M94-MAX(K94:P94))+EXP(N94-MAX(K94:P94))+EXP(O94-MAX(K94:P94))+EXP(P94-MAX(K94:P94))))</f>
        <v/>
      </c>
      <c r="S94" s="100">
        <f>IF(G94="","",Q94-R94)</f>
        <v/>
      </c>
      <c r="T94" s="98">
        <f>IF(G94="","",IF(AND(G94&gt;=H94-$B$6*I94,G94&lt;=H94+$B$6*I94),"OK","NG"))</f>
        <v/>
      </c>
      <c r="U94" s="69">
        <f>IF(T94="","",IF(T94=D94,1,0))</f>
        <v/>
      </c>
      <c r="V94" s="98">
        <f>IF(G94="","",IF(T94="OK","NONE",INDEX({"S1","S2","W1","W2","N1","N2"},MATCH(MAX(K94:P94),K94:P94,0))))</f>
        <v/>
      </c>
      <c r="W94" s="69">
        <f>IF(G94="","",IF(V94=E94,1,0))</f>
        <v/>
      </c>
      <c r="X94" s="115">
        <f>IF(G94="","",IF(AND(T94="NG",S94&lt;$B$7),"AMBIGUOUS","CONFIDENT"))</f>
        <v/>
      </c>
    </row>
    <row r="95">
      <c r="A95" s="102">
        <f>'Runs Z score'!A88</f>
        <v/>
      </c>
      <c r="B95" s="98">
        <f>'Runs Z score'!B88</f>
        <v/>
      </c>
      <c r="C95" s="98">
        <f>'Runs Z score'!C88</f>
        <v/>
      </c>
      <c r="D95" s="98">
        <f>'Runs Z score'!D88</f>
        <v/>
      </c>
      <c r="E95" s="98">
        <f>'Runs Z score'!E88</f>
        <v/>
      </c>
      <c r="F95" s="98">
        <f>'Runs Z score'!F88</f>
        <v/>
      </c>
      <c r="G95" s="99">
        <f>'Runs Z score'!G88</f>
        <v/>
      </c>
      <c r="H95" s="100">
        <f>VLOOKUP(C95,Recipes!$A$2:$N$4,10,FALSE())</f>
        <v/>
      </c>
      <c r="I95" s="101">
        <f>VLOOKUP(C95,Recipes!$A$2:$N$4,12,FALSE())</f>
        <v/>
      </c>
      <c r="J95" s="100">
        <f>IF(G95="","",H95-G95)</f>
        <v/>
      </c>
      <c r="K95" s="100">
        <f>IF(G95="","",-0.5*((J95-Components!$D$2)/Components!$E$2)^2)</f>
        <v/>
      </c>
      <c r="L95" s="100">
        <f>IF(G95="","",-0.5*((J95-Components!$D$3)/Components!$E$3)^2)</f>
        <v/>
      </c>
      <c r="M95" s="100">
        <f>IF(G95="","",-0.5*((J95-Components!$D$4)/Components!$E$4)^2)</f>
        <v/>
      </c>
      <c r="N95" s="100">
        <f>IF(G95="","",-0.5*((J95-Components!$D$5)/Components!$E$5)^2)</f>
        <v/>
      </c>
      <c r="O95" s="100">
        <f>IF(G95="","",-0.5*((J95-Components!$D$6)/Components!$E$6)^2)</f>
        <v/>
      </c>
      <c r="P95" s="100">
        <f>IF(G95="","",-0.5*((J95-Components!$D$7)/Components!$E$7)^2)</f>
        <v/>
      </c>
      <c r="Q95" s="100">
        <f>IF(G95="","",EXP(LARGE(K95:P95,1)-MAX(K95:P95))/(EXP(K95-MAX(K95:P95))+EXP(L95-MAX(K95:P95))+EXP(M95-MAX(K95:P95))+EXP(N95-MAX(K95:P95))+EXP(O95-MAX(K95:P95))+EXP(P95-MAX(K95:P95))))</f>
        <v/>
      </c>
      <c r="R95" s="100">
        <f>IF(G95="","",EXP(LARGE(K95:P95,2)-MAX(K95:P95))/(EXP(K95-MAX(K95:P95))+EXP(L95-MAX(K95:P95))+EXP(M95-MAX(K95:P95))+EXP(N95-MAX(K95:P95))+EXP(O95-MAX(K95:P95))+EXP(P95-MAX(K95:P95))))</f>
        <v/>
      </c>
      <c r="S95" s="100">
        <f>IF(G95="","",Q95-R95)</f>
        <v/>
      </c>
      <c r="T95" s="98">
        <f>IF(G95="","",IF(AND(G95&gt;=H95-$B$6*I95,G95&lt;=H95+$B$6*I95),"OK","NG"))</f>
        <v/>
      </c>
      <c r="U95" s="69">
        <f>IF(T95="","",IF(T95=D95,1,0))</f>
        <v/>
      </c>
      <c r="V95" s="98">
        <f>IF(G95="","",IF(T95="OK","NONE",INDEX({"S1","S2","W1","W2","N1","N2"},MATCH(MAX(K95:P95),K95:P95,0))))</f>
        <v/>
      </c>
      <c r="W95" s="69">
        <f>IF(G95="","",IF(V95=E95,1,0))</f>
        <v/>
      </c>
      <c r="X95" s="115">
        <f>IF(G95="","",IF(AND(T95="NG",S95&lt;$B$7),"AMBIGUOUS","CONFIDENT"))</f>
        <v/>
      </c>
    </row>
    <row r="96">
      <c r="A96" s="102">
        <f>'Runs Z score'!A89</f>
        <v/>
      </c>
      <c r="B96" s="98">
        <f>'Runs Z score'!B89</f>
        <v/>
      </c>
      <c r="C96" s="98">
        <f>'Runs Z score'!C89</f>
        <v/>
      </c>
      <c r="D96" s="98">
        <f>'Runs Z score'!D89</f>
        <v/>
      </c>
      <c r="E96" s="98">
        <f>'Runs Z score'!E89</f>
        <v/>
      </c>
      <c r="F96" s="98">
        <f>'Runs Z score'!F89</f>
        <v/>
      </c>
      <c r="G96" s="99">
        <f>'Runs Z score'!G89</f>
        <v/>
      </c>
      <c r="H96" s="100">
        <f>VLOOKUP(C96,Recipes!$A$2:$N$4,10,FALSE())</f>
        <v/>
      </c>
      <c r="I96" s="101">
        <f>VLOOKUP(C96,Recipes!$A$2:$N$4,12,FALSE())</f>
        <v/>
      </c>
      <c r="J96" s="100">
        <f>IF(G96="","",H96-G96)</f>
        <v/>
      </c>
      <c r="K96" s="100">
        <f>IF(G96="","",-0.5*((J96-Components!$D$2)/Components!$E$2)^2)</f>
        <v/>
      </c>
      <c r="L96" s="100">
        <f>IF(G96="","",-0.5*((J96-Components!$D$3)/Components!$E$3)^2)</f>
        <v/>
      </c>
      <c r="M96" s="100">
        <f>IF(G96="","",-0.5*((J96-Components!$D$4)/Components!$E$4)^2)</f>
        <v/>
      </c>
      <c r="N96" s="100">
        <f>IF(G96="","",-0.5*((J96-Components!$D$5)/Components!$E$5)^2)</f>
        <v/>
      </c>
      <c r="O96" s="100">
        <f>IF(G96="","",-0.5*((J96-Components!$D$6)/Components!$E$6)^2)</f>
        <v/>
      </c>
      <c r="P96" s="100">
        <f>IF(G96="","",-0.5*((J96-Components!$D$7)/Components!$E$7)^2)</f>
        <v/>
      </c>
      <c r="Q96" s="100">
        <f>IF(G96="","",EXP(LARGE(K96:P96,1)-MAX(K96:P96))/(EXP(K96-MAX(K96:P96))+EXP(L96-MAX(K96:P96))+EXP(M96-MAX(K96:P96))+EXP(N96-MAX(K96:P96))+EXP(O96-MAX(K96:P96))+EXP(P96-MAX(K96:P96))))</f>
        <v/>
      </c>
      <c r="R96" s="100">
        <f>IF(G96="","",EXP(LARGE(K96:P96,2)-MAX(K96:P96))/(EXP(K96-MAX(K96:P96))+EXP(L96-MAX(K96:P96))+EXP(M96-MAX(K96:P96))+EXP(N96-MAX(K96:P96))+EXP(O96-MAX(K96:P96))+EXP(P96-MAX(K96:P96))))</f>
        <v/>
      </c>
      <c r="S96" s="100">
        <f>IF(G96="","",Q96-R96)</f>
        <v/>
      </c>
      <c r="T96" s="98">
        <f>IF(G96="","",IF(AND(G96&gt;=H96-$B$6*I96,G96&lt;=H96+$B$6*I96),"OK","NG"))</f>
        <v/>
      </c>
      <c r="U96" s="69">
        <f>IF(T96="","",IF(T96=D96,1,0))</f>
        <v/>
      </c>
      <c r="V96" s="98">
        <f>IF(G96="","",IF(T96="OK","NONE",INDEX({"S1","S2","W1","W2","N1","N2"},MATCH(MAX(K96:P96),K96:P96,0))))</f>
        <v/>
      </c>
      <c r="W96" s="69">
        <f>IF(G96="","",IF(V96=E96,1,0))</f>
        <v/>
      </c>
      <c r="X96" s="115">
        <f>IF(G96="","",IF(AND(T96="NG",S96&lt;$B$7),"AMBIGUOUS","CONFIDENT"))</f>
        <v/>
      </c>
    </row>
    <row r="97">
      <c r="A97" s="102">
        <f>'Runs Z score'!A90</f>
        <v/>
      </c>
      <c r="B97" s="98">
        <f>'Runs Z score'!B90</f>
        <v/>
      </c>
      <c r="C97" s="98">
        <f>'Runs Z score'!C90</f>
        <v/>
      </c>
      <c r="D97" s="98">
        <f>'Runs Z score'!D90</f>
        <v/>
      </c>
      <c r="E97" s="98">
        <f>'Runs Z score'!E90</f>
        <v/>
      </c>
      <c r="F97" s="98">
        <f>'Runs Z score'!F90</f>
        <v/>
      </c>
      <c r="G97" s="99">
        <f>'Runs Z score'!G90</f>
        <v/>
      </c>
      <c r="H97" s="100">
        <f>VLOOKUP(C97,Recipes!$A$2:$N$4,10,FALSE())</f>
        <v/>
      </c>
      <c r="I97" s="101">
        <f>VLOOKUP(C97,Recipes!$A$2:$N$4,12,FALSE())</f>
        <v/>
      </c>
      <c r="J97" s="100">
        <f>IF(G97="","",H97-G97)</f>
        <v/>
      </c>
      <c r="K97" s="100">
        <f>IF(G97="","",-0.5*((J97-Components!$D$2)/Components!$E$2)^2)</f>
        <v/>
      </c>
      <c r="L97" s="100">
        <f>IF(G97="","",-0.5*((J97-Components!$D$3)/Components!$E$3)^2)</f>
        <v/>
      </c>
      <c r="M97" s="100">
        <f>IF(G97="","",-0.5*((J97-Components!$D$4)/Components!$E$4)^2)</f>
        <v/>
      </c>
      <c r="N97" s="100">
        <f>IF(G97="","",-0.5*((J97-Components!$D$5)/Components!$E$5)^2)</f>
        <v/>
      </c>
      <c r="O97" s="100">
        <f>IF(G97="","",-0.5*((J97-Components!$D$6)/Components!$E$6)^2)</f>
        <v/>
      </c>
      <c r="P97" s="100">
        <f>IF(G97="","",-0.5*((J97-Components!$D$7)/Components!$E$7)^2)</f>
        <v/>
      </c>
      <c r="Q97" s="100">
        <f>IF(G97="","",EXP(LARGE(K97:P97,1)-MAX(K97:P97))/(EXP(K97-MAX(K97:P97))+EXP(L97-MAX(K97:P97))+EXP(M97-MAX(K97:P97))+EXP(N97-MAX(K97:P97))+EXP(O97-MAX(K97:P97))+EXP(P97-MAX(K97:P97))))</f>
        <v/>
      </c>
      <c r="R97" s="100">
        <f>IF(G97="","",EXP(LARGE(K97:P97,2)-MAX(K97:P97))/(EXP(K97-MAX(K97:P97))+EXP(L97-MAX(K97:P97))+EXP(M97-MAX(K97:P97))+EXP(N97-MAX(K97:P97))+EXP(O97-MAX(K97:P97))+EXP(P97-MAX(K97:P97))))</f>
        <v/>
      </c>
      <c r="S97" s="100">
        <f>IF(G97="","",Q97-R97)</f>
        <v/>
      </c>
      <c r="T97" s="98">
        <f>IF(G97="","",IF(AND(G97&gt;=H97-$B$6*I97,G97&lt;=H97+$B$6*I97),"OK","NG"))</f>
        <v/>
      </c>
      <c r="U97" s="69">
        <f>IF(T97="","",IF(T97=D97,1,0))</f>
        <v/>
      </c>
      <c r="V97" s="98">
        <f>IF(G97="","",IF(T97="OK","NONE",INDEX({"S1","S2","W1","W2","N1","N2"},MATCH(MAX(K97:P97),K97:P97,0))))</f>
        <v/>
      </c>
      <c r="W97" s="69">
        <f>IF(G97="","",IF(V97=E97,1,0))</f>
        <v/>
      </c>
      <c r="X97" s="115">
        <f>IF(G97="","",IF(AND(T97="NG",S97&lt;$B$7),"AMBIGUOUS","CONFIDENT"))</f>
        <v/>
      </c>
    </row>
    <row r="98">
      <c r="A98" s="102">
        <f>'Runs Z score'!A91</f>
        <v/>
      </c>
      <c r="B98" s="98">
        <f>'Runs Z score'!B91</f>
        <v/>
      </c>
      <c r="C98" s="98">
        <f>'Runs Z score'!C91</f>
        <v/>
      </c>
      <c r="D98" s="98">
        <f>'Runs Z score'!D91</f>
        <v/>
      </c>
      <c r="E98" s="98">
        <f>'Runs Z score'!E91</f>
        <v/>
      </c>
      <c r="F98" s="98">
        <f>'Runs Z score'!F91</f>
        <v/>
      </c>
      <c r="G98" s="99">
        <f>'Runs Z score'!G91</f>
        <v/>
      </c>
      <c r="H98" s="100">
        <f>VLOOKUP(C98,Recipes!$A$2:$N$4,10,FALSE())</f>
        <v/>
      </c>
      <c r="I98" s="101">
        <f>VLOOKUP(C98,Recipes!$A$2:$N$4,12,FALSE())</f>
        <v/>
      </c>
      <c r="J98" s="100">
        <f>IF(G98="","",H98-G98)</f>
        <v/>
      </c>
      <c r="K98" s="100">
        <f>IF(G98="","",-0.5*((J98-Components!$D$2)/Components!$E$2)^2)</f>
        <v/>
      </c>
      <c r="L98" s="100">
        <f>IF(G98="","",-0.5*((J98-Components!$D$3)/Components!$E$3)^2)</f>
        <v/>
      </c>
      <c r="M98" s="100">
        <f>IF(G98="","",-0.5*((J98-Components!$D$4)/Components!$E$4)^2)</f>
        <v/>
      </c>
      <c r="N98" s="100">
        <f>IF(G98="","",-0.5*((J98-Components!$D$5)/Components!$E$5)^2)</f>
        <v/>
      </c>
      <c r="O98" s="100">
        <f>IF(G98="","",-0.5*((J98-Components!$D$6)/Components!$E$6)^2)</f>
        <v/>
      </c>
      <c r="P98" s="100">
        <f>IF(G98="","",-0.5*((J98-Components!$D$7)/Components!$E$7)^2)</f>
        <v/>
      </c>
      <c r="Q98" s="100">
        <f>IF(G98="","",EXP(LARGE(K98:P98,1)-MAX(K98:P98))/(EXP(K98-MAX(K98:P98))+EXP(L98-MAX(K98:P98))+EXP(M98-MAX(K98:P98))+EXP(N98-MAX(K98:P98))+EXP(O98-MAX(K98:P98))+EXP(P98-MAX(K98:P98))))</f>
        <v/>
      </c>
      <c r="R98" s="100">
        <f>IF(G98="","",EXP(LARGE(K98:P98,2)-MAX(K98:P98))/(EXP(K98-MAX(K98:P98))+EXP(L98-MAX(K98:P98))+EXP(M98-MAX(K98:P98))+EXP(N98-MAX(K98:P98))+EXP(O98-MAX(K98:P98))+EXP(P98-MAX(K98:P98))))</f>
        <v/>
      </c>
      <c r="S98" s="100">
        <f>IF(G98="","",Q98-R98)</f>
        <v/>
      </c>
      <c r="T98" s="98">
        <f>IF(G98="","",IF(AND(G98&gt;=H98-$B$6*I98,G98&lt;=H98+$B$6*I98),"OK","NG"))</f>
        <v/>
      </c>
      <c r="U98" s="69">
        <f>IF(T98="","",IF(T98=D98,1,0))</f>
        <v/>
      </c>
      <c r="V98" s="98">
        <f>IF(G98="","",IF(T98="OK","NONE",INDEX({"S1","S2","W1","W2","N1","N2"},MATCH(MAX(K98:P98),K98:P98,0))))</f>
        <v/>
      </c>
      <c r="W98" s="69">
        <f>IF(G98="","",IF(V98=E98,1,0))</f>
        <v/>
      </c>
      <c r="X98" s="115">
        <f>IF(G98="","",IF(AND(T98="NG",S98&lt;$B$7),"AMBIGUOUS","CONFIDENT"))</f>
        <v/>
      </c>
    </row>
    <row r="99">
      <c r="A99" s="102">
        <f>'Runs Z score'!A92</f>
        <v/>
      </c>
      <c r="B99" s="98">
        <f>'Runs Z score'!B92</f>
        <v/>
      </c>
      <c r="C99" s="98">
        <f>'Runs Z score'!C92</f>
        <v/>
      </c>
      <c r="D99" s="98">
        <f>'Runs Z score'!D92</f>
        <v/>
      </c>
      <c r="E99" s="98">
        <f>'Runs Z score'!E92</f>
        <v/>
      </c>
      <c r="F99" s="98">
        <f>'Runs Z score'!F92</f>
        <v/>
      </c>
      <c r="G99" s="99">
        <f>'Runs Z score'!G92</f>
        <v/>
      </c>
      <c r="H99" s="100">
        <f>VLOOKUP(C99,Recipes!$A$2:$N$4,10,FALSE())</f>
        <v/>
      </c>
      <c r="I99" s="101">
        <f>VLOOKUP(C99,Recipes!$A$2:$N$4,12,FALSE())</f>
        <v/>
      </c>
      <c r="J99" s="100">
        <f>IF(G99="","",H99-G99)</f>
        <v/>
      </c>
      <c r="K99" s="100">
        <f>IF(G99="","",-0.5*((J99-Components!$D$2)/Components!$E$2)^2)</f>
        <v/>
      </c>
      <c r="L99" s="100">
        <f>IF(G99="","",-0.5*((J99-Components!$D$3)/Components!$E$3)^2)</f>
        <v/>
      </c>
      <c r="M99" s="100">
        <f>IF(G99="","",-0.5*((J99-Components!$D$4)/Components!$E$4)^2)</f>
        <v/>
      </c>
      <c r="N99" s="100">
        <f>IF(G99="","",-0.5*((J99-Components!$D$5)/Components!$E$5)^2)</f>
        <v/>
      </c>
      <c r="O99" s="100">
        <f>IF(G99="","",-0.5*((J99-Components!$D$6)/Components!$E$6)^2)</f>
        <v/>
      </c>
      <c r="P99" s="100">
        <f>IF(G99="","",-0.5*((J99-Components!$D$7)/Components!$E$7)^2)</f>
        <v/>
      </c>
      <c r="Q99" s="100">
        <f>IF(G99="","",EXP(LARGE(K99:P99,1)-MAX(K99:P99))/(EXP(K99-MAX(K99:P99))+EXP(L99-MAX(K99:P99))+EXP(M99-MAX(K99:P99))+EXP(N99-MAX(K99:P99))+EXP(O99-MAX(K99:P99))+EXP(P99-MAX(K99:P99))))</f>
        <v/>
      </c>
      <c r="R99" s="100">
        <f>IF(G99="","",EXP(LARGE(K99:P99,2)-MAX(K99:P99))/(EXP(K99-MAX(K99:P99))+EXP(L99-MAX(K99:P99))+EXP(M99-MAX(K99:P99))+EXP(N99-MAX(K99:P99))+EXP(O99-MAX(K99:P99))+EXP(P99-MAX(K99:P99))))</f>
        <v/>
      </c>
      <c r="S99" s="100">
        <f>IF(G99="","",Q99-R99)</f>
        <v/>
      </c>
      <c r="T99" s="98">
        <f>IF(G99="","",IF(AND(G99&gt;=H99-$B$6*I99,G99&lt;=H99+$B$6*I99),"OK","NG"))</f>
        <v/>
      </c>
      <c r="U99" s="69">
        <f>IF(T99="","",IF(T99=D99,1,0))</f>
        <v/>
      </c>
      <c r="V99" s="98">
        <f>IF(G99="","",IF(T99="OK","NONE",INDEX({"S1","S2","W1","W2","N1","N2"},MATCH(MAX(K99:P99),K99:P99,0))))</f>
        <v/>
      </c>
      <c r="W99" s="69">
        <f>IF(G99="","",IF(V99=E99,1,0))</f>
        <v/>
      </c>
      <c r="X99" s="115">
        <f>IF(G99="","",IF(AND(T99="NG",S99&lt;$B$7),"AMBIGUOUS","CONFIDENT"))</f>
        <v/>
      </c>
    </row>
    <row r="100">
      <c r="A100" s="102">
        <f>'Runs Z score'!A93</f>
        <v/>
      </c>
      <c r="B100" s="98">
        <f>'Runs Z score'!B93</f>
        <v/>
      </c>
      <c r="C100" s="98">
        <f>'Runs Z score'!C93</f>
        <v/>
      </c>
      <c r="D100" s="98">
        <f>'Runs Z score'!D93</f>
        <v/>
      </c>
      <c r="E100" s="98">
        <f>'Runs Z score'!E93</f>
        <v/>
      </c>
      <c r="F100" s="98">
        <f>'Runs Z score'!F93</f>
        <v/>
      </c>
      <c r="G100" s="99">
        <f>'Runs Z score'!G93</f>
        <v/>
      </c>
      <c r="H100" s="100">
        <f>VLOOKUP(C100,Recipes!$A$2:$N$4,10,FALSE())</f>
        <v/>
      </c>
      <c r="I100" s="101">
        <f>VLOOKUP(C100,Recipes!$A$2:$N$4,12,FALSE())</f>
        <v/>
      </c>
      <c r="J100" s="100">
        <f>IF(G100="","",H100-G100)</f>
        <v/>
      </c>
      <c r="K100" s="100">
        <f>IF(G100="","",-0.5*((J100-Components!$D$2)/Components!$E$2)^2)</f>
        <v/>
      </c>
      <c r="L100" s="100">
        <f>IF(G100="","",-0.5*((J100-Components!$D$3)/Components!$E$3)^2)</f>
        <v/>
      </c>
      <c r="M100" s="100">
        <f>IF(G100="","",-0.5*((J100-Components!$D$4)/Components!$E$4)^2)</f>
        <v/>
      </c>
      <c r="N100" s="100">
        <f>IF(G100="","",-0.5*((J100-Components!$D$5)/Components!$E$5)^2)</f>
        <v/>
      </c>
      <c r="O100" s="100">
        <f>IF(G100="","",-0.5*((J100-Components!$D$6)/Components!$E$6)^2)</f>
        <v/>
      </c>
      <c r="P100" s="100">
        <f>IF(G100="","",-0.5*((J100-Components!$D$7)/Components!$E$7)^2)</f>
        <v/>
      </c>
      <c r="Q100" s="100">
        <f>IF(G100="","",EXP(LARGE(K100:P100,1)-MAX(K100:P100))/(EXP(K100-MAX(K100:P100))+EXP(L100-MAX(K100:P100))+EXP(M100-MAX(K100:P100))+EXP(N100-MAX(K100:P100))+EXP(O100-MAX(K100:P100))+EXP(P100-MAX(K100:P100))))</f>
        <v/>
      </c>
      <c r="R100" s="100">
        <f>IF(G100="","",EXP(LARGE(K100:P100,2)-MAX(K100:P100))/(EXP(K100-MAX(K100:P100))+EXP(L100-MAX(K100:P100))+EXP(M100-MAX(K100:P100))+EXP(N100-MAX(K100:P100))+EXP(O100-MAX(K100:P100))+EXP(P100-MAX(K100:P100))))</f>
        <v/>
      </c>
      <c r="S100" s="100">
        <f>IF(G100="","",Q100-R100)</f>
        <v/>
      </c>
      <c r="T100" s="98">
        <f>IF(G100="","",IF(AND(G100&gt;=H100-$B$6*I100,G100&lt;=H100+$B$6*I100),"OK","NG"))</f>
        <v/>
      </c>
      <c r="U100" s="69">
        <f>IF(T100="","",IF(T100=D100,1,0))</f>
        <v/>
      </c>
      <c r="V100" s="98">
        <f>IF(G100="","",IF(T100="OK","NONE",INDEX({"S1","S2","W1","W2","N1","N2"},MATCH(MAX(K100:P100),K100:P100,0))))</f>
        <v/>
      </c>
      <c r="W100" s="69">
        <f>IF(G100="","",IF(V100=E100,1,0))</f>
        <v/>
      </c>
      <c r="X100" s="115">
        <f>IF(G100="","",IF(AND(T100="NG",S100&lt;$B$7),"AMBIGUOUS","CONFIDENT"))</f>
        <v/>
      </c>
    </row>
    <row r="101">
      <c r="A101" s="102">
        <f>'Runs Z score'!A94</f>
        <v/>
      </c>
      <c r="B101" s="98">
        <f>'Runs Z score'!B94</f>
        <v/>
      </c>
      <c r="C101" s="98">
        <f>'Runs Z score'!C94</f>
        <v/>
      </c>
      <c r="D101" s="98">
        <f>'Runs Z score'!D94</f>
        <v/>
      </c>
      <c r="E101" s="98">
        <f>'Runs Z score'!E94</f>
        <v/>
      </c>
      <c r="F101" s="98">
        <f>'Runs Z score'!F94</f>
        <v/>
      </c>
      <c r="G101" s="99">
        <f>'Runs Z score'!G94</f>
        <v/>
      </c>
      <c r="H101" s="100">
        <f>VLOOKUP(C101,Recipes!$A$2:$N$4,10,FALSE())</f>
        <v/>
      </c>
      <c r="I101" s="101">
        <f>VLOOKUP(C101,Recipes!$A$2:$N$4,12,FALSE())</f>
        <v/>
      </c>
      <c r="J101" s="100">
        <f>IF(G101="","",H101-G101)</f>
        <v/>
      </c>
      <c r="K101" s="100">
        <f>IF(G101="","",-0.5*((J101-Components!$D$2)/Components!$E$2)^2)</f>
        <v/>
      </c>
      <c r="L101" s="100">
        <f>IF(G101="","",-0.5*((J101-Components!$D$3)/Components!$E$3)^2)</f>
        <v/>
      </c>
      <c r="M101" s="100">
        <f>IF(G101="","",-0.5*((J101-Components!$D$4)/Components!$E$4)^2)</f>
        <v/>
      </c>
      <c r="N101" s="100">
        <f>IF(G101="","",-0.5*((J101-Components!$D$5)/Components!$E$5)^2)</f>
        <v/>
      </c>
      <c r="O101" s="100">
        <f>IF(G101="","",-0.5*((J101-Components!$D$6)/Components!$E$6)^2)</f>
        <v/>
      </c>
      <c r="P101" s="100">
        <f>IF(G101="","",-0.5*((J101-Components!$D$7)/Components!$E$7)^2)</f>
        <v/>
      </c>
      <c r="Q101" s="100">
        <f>IF(G101="","",EXP(LARGE(K101:P101,1)-MAX(K101:P101))/(EXP(K101-MAX(K101:P101))+EXP(L101-MAX(K101:P101))+EXP(M101-MAX(K101:P101))+EXP(N101-MAX(K101:P101))+EXP(O101-MAX(K101:P101))+EXP(P101-MAX(K101:P101))))</f>
        <v/>
      </c>
      <c r="R101" s="100">
        <f>IF(G101="","",EXP(LARGE(K101:P101,2)-MAX(K101:P101))/(EXP(K101-MAX(K101:P101))+EXP(L101-MAX(K101:P101))+EXP(M101-MAX(K101:P101))+EXP(N101-MAX(K101:P101))+EXP(O101-MAX(K101:P101))+EXP(P101-MAX(K101:P101))))</f>
        <v/>
      </c>
      <c r="S101" s="100">
        <f>IF(G101="","",Q101-R101)</f>
        <v/>
      </c>
      <c r="T101" s="98">
        <f>IF(G101="","",IF(AND(G101&gt;=H101-$B$6*I101,G101&lt;=H101+$B$6*I101),"OK","NG"))</f>
        <v/>
      </c>
      <c r="U101" s="69">
        <f>IF(T101="","",IF(T101=D101,1,0))</f>
        <v/>
      </c>
      <c r="V101" s="98">
        <f>IF(G101="","",IF(T101="OK","NONE",INDEX({"S1","S2","W1","W2","N1","N2"},MATCH(MAX(K101:P101),K101:P101,0))))</f>
        <v/>
      </c>
      <c r="W101" s="69">
        <f>IF(G101="","",IF(V101=E101,1,0))</f>
        <v/>
      </c>
      <c r="X101" s="115">
        <f>IF(G101="","",IF(AND(T101="NG",S101&lt;$B$7),"AMBIGUOUS","CONFIDENT"))</f>
        <v/>
      </c>
    </row>
    <row r="102">
      <c r="A102" s="102">
        <f>'Runs Z score'!A95</f>
        <v/>
      </c>
      <c r="B102" s="98">
        <f>'Runs Z score'!B95</f>
        <v/>
      </c>
      <c r="C102" s="98">
        <f>'Runs Z score'!C95</f>
        <v/>
      </c>
      <c r="D102" s="98">
        <f>'Runs Z score'!D95</f>
        <v/>
      </c>
      <c r="E102" s="98">
        <f>'Runs Z score'!E95</f>
        <v/>
      </c>
      <c r="F102" s="98">
        <f>'Runs Z score'!F95</f>
        <v/>
      </c>
      <c r="G102" s="99">
        <f>'Runs Z score'!G95</f>
        <v/>
      </c>
      <c r="H102" s="100">
        <f>VLOOKUP(C102,Recipes!$A$2:$N$4,10,FALSE())</f>
        <v/>
      </c>
      <c r="I102" s="101">
        <f>VLOOKUP(C102,Recipes!$A$2:$N$4,12,FALSE())</f>
        <v/>
      </c>
      <c r="J102" s="100">
        <f>IF(G102="","",H102-G102)</f>
        <v/>
      </c>
      <c r="K102" s="100">
        <f>IF(G102="","",-0.5*((J102-Components!$D$2)/Components!$E$2)^2)</f>
        <v/>
      </c>
      <c r="L102" s="100">
        <f>IF(G102="","",-0.5*((J102-Components!$D$3)/Components!$E$3)^2)</f>
        <v/>
      </c>
      <c r="M102" s="100">
        <f>IF(G102="","",-0.5*((J102-Components!$D$4)/Components!$E$4)^2)</f>
        <v/>
      </c>
      <c r="N102" s="100">
        <f>IF(G102="","",-0.5*((J102-Components!$D$5)/Components!$E$5)^2)</f>
        <v/>
      </c>
      <c r="O102" s="100">
        <f>IF(G102="","",-0.5*((J102-Components!$D$6)/Components!$E$6)^2)</f>
        <v/>
      </c>
      <c r="P102" s="100">
        <f>IF(G102="","",-0.5*((J102-Components!$D$7)/Components!$E$7)^2)</f>
        <v/>
      </c>
      <c r="Q102" s="100">
        <f>IF(G102="","",EXP(LARGE(K102:P102,1)-MAX(K102:P102))/(EXP(K102-MAX(K102:P102))+EXP(L102-MAX(K102:P102))+EXP(M102-MAX(K102:P102))+EXP(N102-MAX(K102:P102))+EXP(O102-MAX(K102:P102))+EXP(P102-MAX(K102:P102))))</f>
        <v/>
      </c>
      <c r="R102" s="100">
        <f>IF(G102="","",EXP(LARGE(K102:P102,2)-MAX(K102:P102))/(EXP(K102-MAX(K102:P102))+EXP(L102-MAX(K102:P102))+EXP(M102-MAX(K102:P102))+EXP(N102-MAX(K102:P102))+EXP(O102-MAX(K102:P102))+EXP(P102-MAX(K102:P102))))</f>
        <v/>
      </c>
      <c r="S102" s="100">
        <f>IF(G102="","",Q102-R102)</f>
        <v/>
      </c>
      <c r="T102" s="98">
        <f>IF(G102="","",IF(AND(G102&gt;=H102-$B$6*I102,G102&lt;=H102+$B$6*I102),"OK","NG"))</f>
        <v/>
      </c>
      <c r="U102" s="69">
        <f>IF(T102="","",IF(T102=D102,1,0))</f>
        <v/>
      </c>
      <c r="V102" s="98">
        <f>IF(G102="","",IF(T102="OK","NONE",INDEX({"S1","S2","W1","W2","N1","N2"},MATCH(MAX(K102:P102),K102:P102,0))))</f>
        <v/>
      </c>
      <c r="W102" s="69">
        <f>IF(G102="","",IF(V102=E102,1,0))</f>
        <v/>
      </c>
      <c r="X102" s="115">
        <f>IF(G102="","",IF(AND(T102="NG",S102&lt;$B$7),"AMBIGUOUS","CONFIDENT"))</f>
        <v/>
      </c>
    </row>
    <row r="103">
      <c r="A103" s="102">
        <f>'Runs Z score'!A96</f>
        <v/>
      </c>
      <c r="B103" s="98">
        <f>'Runs Z score'!B96</f>
        <v/>
      </c>
      <c r="C103" s="98">
        <f>'Runs Z score'!C96</f>
        <v/>
      </c>
      <c r="D103" s="98">
        <f>'Runs Z score'!D96</f>
        <v/>
      </c>
      <c r="E103" s="98">
        <f>'Runs Z score'!E96</f>
        <v/>
      </c>
      <c r="F103" s="98">
        <f>'Runs Z score'!F96</f>
        <v/>
      </c>
      <c r="G103" s="99">
        <f>'Runs Z score'!G96</f>
        <v/>
      </c>
      <c r="H103" s="100">
        <f>VLOOKUP(C103,Recipes!$A$2:$N$4,10,FALSE())</f>
        <v/>
      </c>
      <c r="I103" s="101">
        <f>VLOOKUP(C103,Recipes!$A$2:$N$4,12,FALSE())</f>
        <v/>
      </c>
      <c r="J103" s="100">
        <f>IF(G103="","",H103-G103)</f>
        <v/>
      </c>
      <c r="K103" s="100">
        <f>IF(G103="","",-0.5*((J103-Components!$D$2)/Components!$E$2)^2)</f>
        <v/>
      </c>
      <c r="L103" s="100">
        <f>IF(G103="","",-0.5*((J103-Components!$D$3)/Components!$E$3)^2)</f>
        <v/>
      </c>
      <c r="M103" s="100">
        <f>IF(G103="","",-0.5*((J103-Components!$D$4)/Components!$E$4)^2)</f>
        <v/>
      </c>
      <c r="N103" s="100">
        <f>IF(G103="","",-0.5*((J103-Components!$D$5)/Components!$E$5)^2)</f>
        <v/>
      </c>
      <c r="O103" s="100">
        <f>IF(G103="","",-0.5*((J103-Components!$D$6)/Components!$E$6)^2)</f>
        <v/>
      </c>
      <c r="P103" s="100">
        <f>IF(G103="","",-0.5*((J103-Components!$D$7)/Components!$E$7)^2)</f>
        <v/>
      </c>
      <c r="Q103" s="100">
        <f>IF(G103="","",EXP(LARGE(K103:P103,1)-MAX(K103:P103))/(EXP(K103-MAX(K103:P103))+EXP(L103-MAX(K103:P103))+EXP(M103-MAX(K103:P103))+EXP(N103-MAX(K103:P103))+EXP(O103-MAX(K103:P103))+EXP(P103-MAX(K103:P103))))</f>
        <v/>
      </c>
      <c r="R103" s="100">
        <f>IF(G103="","",EXP(LARGE(K103:P103,2)-MAX(K103:P103))/(EXP(K103-MAX(K103:P103))+EXP(L103-MAX(K103:P103))+EXP(M103-MAX(K103:P103))+EXP(N103-MAX(K103:P103))+EXP(O103-MAX(K103:P103))+EXP(P103-MAX(K103:P103))))</f>
        <v/>
      </c>
      <c r="S103" s="100">
        <f>IF(G103="","",Q103-R103)</f>
        <v/>
      </c>
      <c r="T103" s="98">
        <f>IF(G103="","",IF(AND(G103&gt;=H103-$B$6*I103,G103&lt;=H103+$B$6*I103),"OK","NG"))</f>
        <v/>
      </c>
      <c r="U103" s="69">
        <f>IF(T103="","",IF(T103=D103,1,0))</f>
        <v/>
      </c>
      <c r="V103" s="98">
        <f>IF(G103="","",IF(T103="OK","NONE",INDEX({"S1","S2","W1","W2","N1","N2"},MATCH(MAX(K103:P103),K103:P103,0))))</f>
        <v/>
      </c>
      <c r="W103" s="69">
        <f>IF(G103="","",IF(V103=E103,1,0))</f>
        <v/>
      </c>
      <c r="X103" s="115">
        <f>IF(G103="","",IF(AND(T103="NG",S103&lt;$B$7),"AMBIGUOUS","CONFIDENT"))</f>
        <v/>
      </c>
    </row>
    <row r="104">
      <c r="A104" s="102">
        <f>'Runs Z score'!A97</f>
        <v/>
      </c>
      <c r="B104" s="98">
        <f>'Runs Z score'!B97</f>
        <v/>
      </c>
      <c r="C104" s="98">
        <f>'Runs Z score'!C97</f>
        <v/>
      </c>
      <c r="D104" s="98">
        <f>'Runs Z score'!D97</f>
        <v/>
      </c>
      <c r="E104" s="98">
        <f>'Runs Z score'!E97</f>
        <v/>
      </c>
      <c r="F104" s="98">
        <f>'Runs Z score'!F97</f>
        <v/>
      </c>
      <c r="G104" s="99">
        <f>'Runs Z score'!G97</f>
        <v/>
      </c>
      <c r="H104" s="100">
        <f>VLOOKUP(C104,Recipes!$A$2:$N$4,10,FALSE())</f>
        <v/>
      </c>
      <c r="I104" s="101">
        <f>VLOOKUP(C104,Recipes!$A$2:$N$4,12,FALSE())</f>
        <v/>
      </c>
      <c r="J104" s="100">
        <f>IF(G104="","",H104-G104)</f>
        <v/>
      </c>
      <c r="K104" s="100">
        <f>IF(G104="","",-0.5*((J104-Components!$D$2)/Components!$E$2)^2)</f>
        <v/>
      </c>
      <c r="L104" s="100">
        <f>IF(G104="","",-0.5*((J104-Components!$D$3)/Components!$E$3)^2)</f>
        <v/>
      </c>
      <c r="M104" s="100">
        <f>IF(G104="","",-0.5*((J104-Components!$D$4)/Components!$E$4)^2)</f>
        <v/>
      </c>
      <c r="N104" s="100">
        <f>IF(G104="","",-0.5*((J104-Components!$D$5)/Components!$E$5)^2)</f>
        <v/>
      </c>
      <c r="O104" s="100">
        <f>IF(G104="","",-0.5*((J104-Components!$D$6)/Components!$E$6)^2)</f>
        <v/>
      </c>
      <c r="P104" s="100">
        <f>IF(G104="","",-0.5*((J104-Components!$D$7)/Components!$E$7)^2)</f>
        <v/>
      </c>
      <c r="Q104" s="100">
        <f>IF(G104="","",EXP(LARGE(K104:P104,1)-MAX(K104:P104))/(EXP(K104-MAX(K104:P104))+EXP(L104-MAX(K104:P104))+EXP(M104-MAX(K104:P104))+EXP(N104-MAX(K104:P104))+EXP(O104-MAX(K104:P104))+EXP(P104-MAX(K104:P104))))</f>
        <v/>
      </c>
      <c r="R104" s="100">
        <f>IF(G104="","",EXP(LARGE(K104:P104,2)-MAX(K104:P104))/(EXP(K104-MAX(K104:P104))+EXP(L104-MAX(K104:P104))+EXP(M104-MAX(K104:P104))+EXP(N104-MAX(K104:P104))+EXP(O104-MAX(K104:P104))+EXP(P104-MAX(K104:P104))))</f>
        <v/>
      </c>
      <c r="S104" s="100">
        <f>IF(G104="","",Q104-R104)</f>
        <v/>
      </c>
      <c r="T104" s="98">
        <f>IF(G104="","",IF(AND(G104&gt;=H104-$B$6*I104,G104&lt;=H104+$B$6*I104),"OK","NG"))</f>
        <v/>
      </c>
      <c r="U104" s="69">
        <f>IF(T104="","",IF(T104=D104,1,0))</f>
        <v/>
      </c>
      <c r="V104" s="98">
        <f>IF(G104="","",IF(T104="OK","NONE",INDEX({"S1","S2","W1","W2","N1","N2"},MATCH(MAX(K104:P104),K104:P104,0))))</f>
        <v/>
      </c>
      <c r="W104" s="69">
        <f>IF(G104="","",IF(V104=E104,1,0))</f>
        <v/>
      </c>
      <c r="X104" s="115">
        <f>IF(G104="","",IF(AND(T104="NG",S104&lt;$B$7),"AMBIGUOUS","CONFIDENT"))</f>
        <v/>
      </c>
    </row>
    <row r="105">
      <c r="A105" s="102">
        <f>'Runs Z score'!A98</f>
        <v/>
      </c>
      <c r="B105" s="98">
        <f>'Runs Z score'!B98</f>
        <v/>
      </c>
      <c r="C105" s="98">
        <f>'Runs Z score'!C98</f>
        <v/>
      </c>
      <c r="D105" s="98">
        <f>'Runs Z score'!D98</f>
        <v/>
      </c>
      <c r="E105" s="98">
        <f>'Runs Z score'!E98</f>
        <v/>
      </c>
      <c r="F105" s="98">
        <f>'Runs Z score'!F98</f>
        <v/>
      </c>
      <c r="G105" s="99">
        <f>'Runs Z score'!G98</f>
        <v/>
      </c>
      <c r="H105" s="100">
        <f>VLOOKUP(C105,Recipes!$A$2:$N$4,10,FALSE())</f>
        <v/>
      </c>
      <c r="I105" s="101">
        <f>VLOOKUP(C105,Recipes!$A$2:$N$4,12,FALSE())</f>
        <v/>
      </c>
      <c r="J105" s="100">
        <f>IF(G105="","",H105-G105)</f>
        <v/>
      </c>
      <c r="K105" s="100">
        <f>IF(G105="","",-0.5*((J105-Components!$D$2)/Components!$E$2)^2)</f>
        <v/>
      </c>
      <c r="L105" s="100">
        <f>IF(G105="","",-0.5*((J105-Components!$D$3)/Components!$E$3)^2)</f>
        <v/>
      </c>
      <c r="M105" s="100">
        <f>IF(G105="","",-0.5*((J105-Components!$D$4)/Components!$E$4)^2)</f>
        <v/>
      </c>
      <c r="N105" s="100">
        <f>IF(G105="","",-0.5*((J105-Components!$D$5)/Components!$E$5)^2)</f>
        <v/>
      </c>
      <c r="O105" s="100">
        <f>IF(G105="","",-0.5*((J105-Components!$D$6)/Components!$E$6)^2)</f>
        <v/>
      </c>
      <c r="P105" s="100">
        <f>IF(G105="","",-0.5*((J105-Components!$D$7)/Components!$E$7)^2)</f>
        <v/>
      </c>
      <c r="Q105" s="100">
        <f>IF(G105="","",EXP(LARGE(K105:P105,1)-MAX(K105:P105))/(EXP(K105-MAX(K105:P105))+EXP(L105-MAX(K105:P105))+EXP(M105-MAX(K105:P105))+EXP(N105-MAX(K105:P105))+EXP(O105-MAX(K105:P105))+EXP(P105-MAX(K105:P105))))</f>
        <v/>
      </c>
      <c r="R105" s="100">
        <f>IF(G105="","",EXP(LARGE(K105:P105,2)-MAX(K105:P105))/(EXP(K105-MAX(K105:P105))+EXP(L105-MAX(K105:P105))+EXP(M105-MAX(K105:P105))+EXP(N105-MAX(K105:P105))+EXP(O105-MAX(K105:P105))+EXP(P105-MAX(K105:P105))))</f>
        <v/>
      </c>
      <c r="S105" s="100">
        <f>IF(G105="","",Q105-R105)</f>
        <v/>
      </c>
      <c r="T105" s="98">
        <f>IF(G105="","",IF(AND(G105&gt;=H105-$B$6*I105,G105&lt;=H105+$B$6*I105),"OK","NG"))</f>
        <v/>
      </c>
      <c r="U105" s="69">
        <f>IF(T105="","",IF(T105=D105,1,0))</f>
        <v/>
      </c>
      <c r="V105" s="98">
        <f>IF(G105="","",IF(T105="OK","NONE",INDEX({"S1","S2","W1","W2","N1","N2"},MATCH(MAX(K105:P105),K105:P105,0))))</f>
        <v/>
      </c>
      <c r="W105" s="69">
        <f>IF(G105="","",IF(V105=E105,1,0))</f>
        <v/>
      </c>
      <c r="X105" s="115">
        <f>IF(G105="","",IF(AND(T105="NG",S105&lt;$B$7),"AMBIGUOUS","CONFIDENT"))</f>
        <v/>
      </c>
    </row>
    <row r="106">
      <c r="A106" s="102">
        <f>'Runs Z score'!A99</f>
        <v/>
      </c>
      <c r="B106" s="98">
        <f>'Runs Z score'!B99</f>
        <v/>
      </c>
      <c r="C106" s="98">
        <f>'Runs Z score'!C99</f>
        <v/>
      </c>
      <c r="D106" s="98">
        <f>'Runs Z score'!D99</f>
        <v/>
      </c>
      <c r="E106" s="98">
        <f>'Runs Z score'!E99</f>
        <v/>
      </c>
      <c r="F106" s="98">
        <f>'Runs Z score'!F99</f>
        <v/>
      </c>
      <c r="G106" s="99">
        <f>'Runs Z score'!G99</f>
        <v/>
      </c>
      <c r="H106" s="100">
        <f>VLOOKUP(C106,Recipes!$A$2:$N$4,10,FALSE())</f>
        <v/>
      </c>
      <c r="I106" s="101">
        <f>VLOOKUP(C106,Recipes!$A$2:$N$4,12,FALSE())</f>
        <v/>
      </c>
      <c r="J106" s="100">
        <f>IF(G106="","",H106-G106)</f>
        <v/>
      </c>
      <c r="K106" s="100">
        <f>IF(G106="","",-0.5*((J106-Components!$D$2)/Components!$E$2)^2)</f>
        <v/>
      </c>
      <c r="L106" s="100">
        <f>IF(G106="","",-0.5*((J106-Components!$D$3)/Components!$E$3)^2)</f>
        <v/>
      </c>
      <c r="M106" s="100">
        <f>IF(G106="","",-0.5*((J106-Components!$D$4)/Components!$E$4)^2)</f>
        <v/>
      </c>
      <c r="N106" s="100">
        <f>IF(G106="","",-0.5*((J106-Components!$D$5)/Components!$E$5)^2)</f>
        <v/>
      </c>
      <c r="O106" s="100">
        <f>IF(G106="","",-0.5*((J106-Components!$D$6)/Components!$E$6)^2)</f>
        <v/>
      </c>
      <c r="P106" s="100">
        <f>IF(G106="","",-0.5*((J106-Components!$D$7)/Components!$E$7)^2)</f>
        <v/>
      </c>
      <c r="Q106" s="100">
        <f>IF(G106="","",EXP(LARGE(K106:P106,1)-MAX(K106:P106))/(EXP(K106-MAX(K106:P106))+EXP(L106-MAX(K106:P106))+EXP(M106-MAX(K106:P106))+EXP(N106-MAX(K106:P106))+EXP(O106-MAX(K106:P106))+EXP(P106-MAX(K106:P106))))</f>
        <v/>
      </c>
      <c r="R106" s="100">
        <f>IF(G106="","",EXP(LARGE(K106:P106,2)-MAX(K106:P106))/(EXP(K106-MAX(K106:P106))+EXP(L106-MAX(K106:P106))+EXP(M106-MAX(K106:P106))+EXP(N106-MAX(K106:P106))+EXP(O106-MAX(K106:P106))+EXP(P106-MAX(K106:P106))))</f>
        <v/>
      </c>
      <c r="S106" s="100">
        <f>IF(G106="","",Q106-R106)</f>
        <v/>
      </c>
      <c r="T106" s="98">
        <f>IF(G106="","",IF(AND(G106&gt;=H106-$B$6*I106,G106&lt;=H106+$B$6*I106),"OK","NG"))</f>
        <v/>
      </c>
      <c r="U106" s="69">
        <f>IF(T106="","",IF(T106=D106,1,0))</f>
        <v/>
      </c>
      <c r="V106" s="98">
        <f>IF(G106="","",IF(T106="OK","NONE",INDEX({"S1","S2","W1","W2","N1","N2"},MATCH(MAX(K106:P106),K106:P106,0))))</f>
        <v/>
      </c>
      <c r="W106" s="69">
        <f>IF(G106="","",IF(V106=E106,1,0))</f>
        <v/>
      </c>
      <c r="X106" s="115">
        <f>IF(G106="","",IF(AND(T106="NG",S106&lt;$B$7),"AMBIGUOUS","CONFIDENT"))</f>
        <v/>
      </c>
    </row>
    <row r="107">
      <c r="A107" s="102">
        <f>'Runs Z score'!A100</f>
        <v/>
      </c>
      <c r="B107" s="98">
        <f>'Runs Z score'!B100</f>
        <v/>
      </c>
      <c r="C107" s="98">
        <f>'Runs Z score'!C100</f>
        <v/>
      </c>
      <c r="D107" s="98">
        <f>'Runs Z score'!D100</f>
        <v/>
      </c>
      <c r="E107" s="98">
        <f>'Runs Z score'!E100</f>
        <v/>
      </c>
      <c r="F107" s="98">
        <f>'Runs Z score'!F100</f>
        <v/>
      </c>
      <c r="G107" s="99">
        <f>'Runs Z score'!G100</f>
        <v/>
      </c>
      <c r="H107" s="100">
        <f>VLOOKUP(C107,Recipes!$A$2:$N$4,10,FALSE())</f>
        <v/>
      </c>
      <c r="I107" s="101">
        <f>VLOOKUP(C107,Recipes!$A$2:$N$4,12,FALSE())</f>
        <v/>
      </c>
      <c r="J107" s="100">
        <f>IF(G107="","",H107-G107)</f>
        <v/>
      </c>
      <c r="K107" s="100">
        <f>IF(G107="","",-0.5*((J107-Components!$D$2)/Components!$E$2)^2)</f>
        <v/>
      </c>
      <c r="L107" s="100">
        <f>IF(G107="","",-0.5*((J107-Components!$D$3)/Components!$E$3)^2)</f>
        <v/>
      </c>
      <c r="M107" s="100">
        <f>IF(G107="","",-0.5*((J107-Components!$D$4)/Components!$E$4)^2)</f>
        <v/>
      </c>
      <c r="N107" s="100">
        <f>IF(G107="","",-0.5*((J107-Components!$D$5)/Components!$E$5)^2)</f>
        <v/>
      </c>
      <c r="O107" s="100">
        <f>IF(G107="","",-0.5*((J107-Components!$D$6)/Components!$E$6)^2)</f>
        <v/>
      </c>
      <c r="P107" s="100">
        <f>IF(G107="","",-0.5*((J107-Components!$D$7)/Components!$E$7)^2)</f>
        <v/>
      </c>
      <c r="Q107" s="100">
        <f>IF(G107="","",EXP(LARGE(K107:P107,1)-MAX(K107:P107))/(EXP(K107-MAX(K107:P107))+EXP(L107-MAX(K107:P107))+EXP(M107-MAX(K107:P107))+EXP(N107-MAX(K107:P107))+EXP(O107-MAX(K107:P107))+EXP(P107-MAX(K107:P107))))</f>
        <v/>
      </c>
      <c r="R107" s="100">
        <f>IF(G107="","",EXP(LARGE(K107:P107,2)-MAX(K107:P107))/(EXP(K107-MAX(K107:P107))+EXP(L107-MAX(K107:P107))+EXP(M107-MAX(K107:P107))+EXP(N107-MAX(K107:P107))+EXP(O107-MAX(K107:P107))+EXP(P107-MAX(K107:P107))))</f>
        <v/>
      </c>
      <c r="S107" s="100">
        <f>IF(G107="","",Q107-R107)</f>
        <v/>
      </c>
      <c r="T107" s="98">
        <f>IF(G107="","",IF(AND(G107&gt;=H107-$B$6*I107,G107&lt;=H107+$B$6*I107),"OK","NG"))</f>
        <v/>
      </c>
      <c r="U107" s="69">
        <f>IF(T107="","",IF(T107=D107,1,0))</f>
        <v/>
      </c>
      <c r="V107" s="98">
        <f>IF(G107="","",IF(T107="OK","NONE",INDEX({"S1","S2","W1","W2","N1","N2"},MATCH(MAX(K107:P107),K107:P107,0))))</f>
        <v/>
      </c>
      <c r="W107" s="69">
        <f>IF(G107="","",IF(V107=E107,1,0))</f>
        <v/>
      </c>
      <c r="X107" s="115">
        <f>IF(G107="","",IF(AND(T107="NG",S107&lt;$B$7),"AMBIGUOUS","CONFIDENT"))</f>
        <v/>
      </c>
    </row>
    <row r="108">
      <c r="A108" s="102">
        <f>'Runs Z score'!A101</f>
        <v/>
      </c>
      <c r="B108" s="98">
        <f>'Runs Z score'!B101</f>
        <v/>
      </c>
      <c r="C108" s="98">
        <f>'Runs Z score'!C101</f>
        <v/>
      </c>
      <c r="D108" s="98">
        <f>'Runs Z score'!D101</f>
        <v/>
      </c>
      <c r="E108" s="98">
        <f>'Runs Z score'!E101</f>
        <v/>
      </c>
      <c r="F108" s="98">
        <f>'Runs Z score'!F101</f>
        <v/>
      </c>
      <c r="G108" s="99">
        <f>'Runs Z score'!G101</f>
        <v/>
      </c>
      <c r="H108" s="100">
        <f>VLOOKUP(C108,Recipes!$A$2:$N$4,10,FALSE())</f>
        <v/>
      </c>
      <c r="I108" s="101">
        <f>VLOOKUP(C108,Recipes!$A$2:$N$4,12,FALSE())</f>
        <v/>
      </c>
      <c r="J108" s="100">
        <f>IF(G108="","",H108-G108)</f>
        <v/>
      </c>
      <c r="K108" s="100">
        <f>IF(G108="","",-0.5*((J108-Components!$D$2)/Components!$E$2)^2)</f>
        <v/>
      </c>
      <c r="L108" s="100">
        <f>IF(G108="","",-0.5*((J108-Components!$D$3)/Components!$E$3)^2)</f>
        <v/>
      </c>
      <c r="M108" s="100">
        <f>IF(G108="","",-0.5*((J108-Components!$D$4)/Components!$E$4)^2)</f>
        <v/>
      </c>
      <c r="N108" s="100">
        <f>IF(G108="","",-0.5*((J108-Components!$D$5)/Components!$E$5)^2)</f>
        <v/>
      </c>
      <c r="O108" s="100">
        <f>IF(G108="","",-0.5*((J108-Components!$D$6)/Components!$E$6)^2)</f>
        <v/>
      </c>
      <c r="P108" s="100">
        <f>IF(G108="","",-0.5*((J108-Components!$D$7)/Components!$E$7)^2)</f>
        <v/>
      </c>
      <c r="Q108" s="100">
        <f>IF(G108="","",EXP(LARGE(K108:P108,1)-MAX(K108:P108))/(EXP(K108-MAX(K108:P108))+EXP(L108-MAX(K108:P108))+EXP(M108-MAX(K108:P108))+EXP(N108-MAX(K108:P108))+EXP(O108-MAX(K108:P108))+EXP(P108-MAX(K108:P108))))</f>
        <v/>
      </c>
      <c r="R108" s="100">
        <f>IF(G108="","",EXP(LARGE(K108:P108,2)-MAX(K108:P108))/(EXP(K108-MAX(K108:P108))+EXP(L108-MAX(K108:P108))+EXP(M108-MAX(K108:P108))+EXP(N108-MAX(K108:P108))+EXP(O108-MAX(K108:P108))+EXP(P108-MAX(K108:P108))))</f>
        <v/>
      </c>
      <c r="S108" s="100">
        <f>IF(G108="","",Q108-R108)</f>
        <v/>
      </c>
      <c r="T108" s="98">
        <f>IF(G108="","",IF(AND(G108&gt;=H108-$B$6*I108,G108&lt;=H108+$B$6*I108),"OK","NG"))</f>
        <v/>
      </c>
      <c r="U108" s="69">
        <f>IF(T108="","",IF(T108=D108,1,0))</f>
        <v/>
      </c>
      <c r="V108" s="98">
        <f>IF(G108="","",IF(T108="OK","NONE",INDEX({"S1","S2","W1","W2","N1","N2"},MATCH(MAX(K108:P108),K108:P108,0))))</f>
        <v/>
      </c>
      <c r="W108" s="69">
        <f>IF(G108="","",IF(V108=E108,1,0))</f>
        <v/>
      </c>
      <c r="X108" s="115">
        <f>IF(G108="","",IF(AND(T108="NG",S108&lt;$B$7),"AMBIGUOUS","CONFIDENT"))</f>
        <v/>
      </c>
    </row>
    <row r="109">
      <c r="A109" s="102">
        <f>'Runs Z score'!A102</f>
        <v/>
      </c>
      <c r="B109" s="98">
        <f>'Runs Z score'!B102</f>
        <v/>
      </c>
      <c r="C109" s="98">
        <f>'Runs Z score'!C102</f>
        <v/>
      </c>
      <c r="D109" s="98">
        <f>'Runs Z score'!D102</f>
        <v/>
      </c>
      <c r="E109" s="98">
        <f>'Runs Z score'!E102</f>
        <v/>
      </c>
      <c r="F109" s="98">
        <f>'Runs Z score'!F102</f>
        <v/>
      </c>
      <c r="G109" s="99">
        <f>'Runs Z score'!G102</f>
        <v/>
      </c>
      <c r="H109" s="100">
        <f>VLOOKUP(C109,Recipes!$A$2:$N$4,10,FALSE())</f>
        <v/>
      </c>
      <c r="I109" s="101">
        <f>VLOOKUP(C109,Recipes!$A$2:$N$4,12,FALSE())</f>
        <v/>
      </c>
      <c r="J109" s="100">
        <f>IF(G109="","",H109-G109)</f>
        <v/>
      </c>
      <c r="K109" s="100">
        <f>IF(G109="","",-0.5*((J109-Components!$D$2)/Components!$E$2)^2)</f>
        <v/>
      </c>
      <c r="L109" s="100">
        <f>IF(G109="","",-0.5*((J109-Components!$D$3)/Components!$E$3)^2)</f>
        <v/>
      </c>
      <c r="M109" s="100">
        <f>IF(G109="","",-0.5*((J109-Components!$D$4)/Components!$E$4)^2)</f>
        <v/>
      </c>
      <c r="N109" s="100">
        <f>IF(G109="","",-0.5*((J109-Components!$D$5)/Components!$E$5)^2)</f>
        <v/>
      </c>
      <c r="O109" s="100">
        <f>IF(G109="","",-0.5*((J109-Components!$D$6)/Components!$E$6)^2)</f>
        <v/>
      </c>
      <c r="P109" s="100">
        <f>IF(G109="","",-0.5*((J109-Components!$D$7)/Components!$E$7)^2)</f>
        <v/>
      </c>
      <c r="Q109" s="100">
        <f>IF(G109="","",EXP(LARGE(K109:P109,1)-MAX(K109:P109))/(EXP(K109-MAX(K109:P109))+EXP(L109-MAX(K109:P109))+EXP(M109-MAX(K109:P109))+EXP(N109-MAX(K109:P109))+EXP(O109-MAX(K109:P109))+EXP(P109-MAX(K109:P109))))</f>
        <v/>
      </c>
      <c r="R109" s="100">
        <f>IF(G109="","",EXP(LARGE(K109:P109,2)-MAX(K109:P109))/(EXP(K109-MAX(K109:P109))+EXP(L109-MAX(K109:P109))+EXP(M109-MAX(K109:P109))+EXP(N109-MAX(K109:P109))+EXP(O109-MAX(K109:P109))+EXP(P109-MAX(K109:P109))))</f>
        <v/>
      </c>
      <c r="S109" s="100">
        <f>IF(G109="","",Q109-R109)</f>
        <v/>
      </c>
      <c r="T109" s="98">
        <f>IF(G109="","",IF(AND(G109&gt;=H109-$B$6*I109,G109&lt;=H109+$B$6*I109),"OK","NG"))</f>
        <v/>
      </c>
      <c r="U109" s="69">
        <f>IF(T109="","",IF(T109=D109,1,0))</f>
        <v/>
      </c>
      <c r="V109" s="98">
        <f>IF(G109="","",IF(T109="OK","NONE",INDEX({"S1","S2","W1","W2","N1","N2"},MATCH(MAX(K109:P109),K109:P109,0))))</f>
        <v/>
      </c>
      <c r="W109" s="69">
        <f>IF(G109="","",IF(V109=E109,1,0))</f>
        <v/>
      </c>
      <c r="X109" s="115">
        <f>IF(G109="","",IF(AND(T109="NG",S109&lt;$B$7),"AMBIGUOUS","CONFIDENT"))</f>
        <v/>
      </c>
    </row>
    <row r="110">
      <c r="A110" s="102">
        <f>'Runs Z score'!A103</f>
        <v/>
      </c>
      <c r="B110" s="98">
        <f>'Runs Z score'!B103</f>
        <v/>
      </c>
      <c r="C110" s="98">
        <f>'Runs Z score'!C103</f>
        <v/>
      </c>
      <c r="D110" s="98">
        <f>'Runs Z score'!D103</f>
        <v/>
      </c>
      <c r="E110" s="98">
        <f>'Runs Z score'!E103</f>
        <v/>
      </c>
      <c r="F110" s="98">
        <f>'Runs Z score'!F103</f>
        <v/>
      </c>
      <c r="G110" s="99">
        <f>'Runs Z score'!G103</f>
        <v/>
      </c>
      <c r="H110" s="100">
        <f>VLOOKUP(C110,Recipes!$A$2:$N$4,10,FALSE())</f>
        <v/>
      </c>
      <c r="I110" s="101">
        <f>VLOOKUP(C110,Recipes!$A$2:$N$4,12,FALSE())</f>
        <v/>
      </c>
      <c r="J110" s="100">
        <f>IF(G110="","",H110-G110)</f>
        <v/>
      </c>
      <c r="K110" s="100">
        <f>IF(G110="","",-0.5*((J110-Components!$D$2)/Components!$E$2)^2)</f>
        <v/>
      </c>
      <c r="L110" s="100">
        <f>IF(G110="","",-0.5*((J110-Components!$D$3)/Components!$E$3)^2)</f>
        <v/>
      </c>
      <c r="M110" s="100">
        <f>IF(G110="","",-0.5*((J110-Components!$D$4)/Components!$E$4)^2)</f>
        <v/>
      </c>
      <c r="N110" s="100">
        <f>IF(G110="","",-0.5*((J110-Components!$D$5)/Components!$E$5)^2)</f>
        <v/>
      </c>
      <c r="O110" s="100">
        <f>IF(G110="","",-0.5*((J110-Components!$D$6)/Components!$E$6)^2)</f>
        <v/>
      </c>
      <c r="P110" s="100">
        <f>IF(G110="","",-0.5*((J110-Components!$D$7)/Components!$E$7)^2)</f>
        <v/>
      </c>
      <c r="Q110" s="100">
        <f>IF(G110="","",EXP(LARGE(K110:P110,1)-MAX(K110:P110))/(EXP(K110-MAX(K110:P110))+EXP(L110-MAX(K110:P110))+EXP(M110-MAX(K110:P110))+EXP(N110-MAX(K110:P110))+EXP(O110-MAX(K110:P110))+EXP(P110-MAX(K110:P110))))</f>
        <v/>
      </c>
      <c r="R110" s="100">
        <f>IF(G110="","",EXP(LARGE(K110:P110,2)-MAX(K110:P110))/(EXP(K110-MAX(K110:P110))+EXP(L110-MAX(K110:P110))+EXP(M110-MAX(K110:P110))+EXP(N110-MAX(K110:P110))+EXP(O110-MAX(K110:P110))+EXP(P110-MAX(K110:P110))))</f>
        <v/>
      </c>
      <c r="S110" s="100">
        <f>IF(G110="","",Q110-R110)</f>
        <v/>
      </c>
      <c r="T110" s="98">
        <f>IF(G110="","",IF(AND(G110&gt;=H110-$B$6*I110,G110&lt;=H110+$B$6*I110),"OK","NG"))</f>
        <v/>
      </c>
      <c r="U110" s="69">
        <f>IF(T110="","",IF(T110=D110,1,0))</f>
        <v/>
      </c>
      <c r="V110" s="98">
        <f>IF(G110="","",IF(T110="OK","NONE",INDEX({"S1","S2","W1","W2","N1","N2"},MATCH(MAX(K110:P110),K110:P110,0))))</f>
        <v/>
      </c>
      <c r="W110" s="69">
        <f>IF(G110="","",IF(V110=E110,1,0))</f>
        <v/>
      </c>
      <c r="X110" s="115">
        <f>IF(G110="","",IF(AND(T110="NG",S110&lt;$B$7),"AMBIGUOUS","CONFIDENT"))</f>
        <v/>
      </c>
    </row>
    <row r="111">
      <c r="A111" s="102">
        <f>'Runs Z score'!A104</f>
        <v/>
      </c>
      <c r="B111" s="98">
        <f>'Runs Z score'!B104</f>
        <v/>
      </c>
      <c r="C111" s="98">
        <f>'Runs Z score'!C104</f>
        <v/>
      </c>
      <c r="D111" s="98">
        <f>'Runs Z score'!D104</f>
        <v/>
      </c>
      <c r="E111" s="98">
        <f>'Runs Z score'!E104</f>
        <v/>
      </c>
      <c r="F111" s="98">
        <f>'Runs Z score'!F104</f>
        <v/>
      </c>
      <c r="G111" s="99">
        <f>'Runs Z score'!G104</f>
        <v/>
      </c>
      <c r="H111" s="100">
        <f>VLOOKUP(C111,Recipes!$A$2:$N$4,10,FALSE())</f>
        <v/>
      </c>
      <c r="I111" s="101">
        <f>VLOOKUP(C111,Recipes!$A$2:$N$4,12,FALSE())</f>
        <v/>
      </c>
      <c r="J111" s="100">
        <f>IF(G111="","",H111-G111)</f>
        <v/>
      </c>
      <c r="K111" s="100">
        <f>IF(G111="","",-0.5*((J111-Components!$D$2)/Components!$E$2)^2)</f>
        <v/>
      </c>
      <c r="L111" s="100">
        <f>IF(G111="","",-0.5*((J111-Components!$D$3)/Components!$E$3)^2)</f>
        <v/>
      </c>
      <c r="M111" s="100">
        <f>IF(G111="","",-0.5*((J111-Components!$D$4)/Components!$E$4)^2)</f>
        <v/>
      </c>
      <c r="N111" s="100">
        <f>IF(G111="","",-0.5*((J111-Components!$D$5)/Components!$E$5)^2)</f>
        <v/>
      </c>
      <c r="O111" s="100">
        <f>IF(G111="","",-0.5*((J111-Components!$D$6)/Components!$E$6)^2)</f>
        <v/>
      </c>
      <c r="P111" s="100">
        <f>IF(G111="","",-0.5*((J111-Components!$D$7)/Components!$E$7)^2)</f>
        <v/>
      </c>
      <c r="Q111" s="100">
        <f>IF(G111="","",EXP(LARGE(K111:P111,1)-MAX(K111:P111))/(EXP(K111-MAX(K111:P111))+EXP(L111-MAX(K111:P111))+EXP(M111-MAX(K111:P111))+EXP(N111-MAX(K111:P111))+EXP(O111-MAX(K111:P111))+EXP(P111-MAX(K111:P111))))</f>
        <v/>
      </c>
      <c r="R111" s="100">
        <f>IF(G111="","",EXP(LARGE(K111:P111,2)-MAX(K111:P111))/(EXP(K111-MAX(K111:P111))+EXP(L111-MAX(K111:P111))+EXP(M111-MAX(K111:P111))+EXP(N111-MAX(K111:P111))+EXP(O111-MAX(K111:P111))+EXP(P111-MAX(K111:P111))))</f>
        <v/>
      </c>
      <c r="S111" s="100">
        <f>IF(G111="","",Q111-R111)</f>
        <v/>
      </c>
      <c r="T111" s="98">
        <f>IF(G111="","",IF(AND(G111&gt;=H111-$B$6*I111,G111&lt;=H111+$B$6*I111),"OK","NG"))</f>
        <v/>
      </c>
      <c r="U111" s="69">
        <f>IF(T111="","",IF(T111=D111,1,0))</f>
        <v/>
      </c>
      <c r="V111" s="98">
        <f>IF(G111="","",IF(T111="OK","NONE",INDEX({"S1","S2","W1","W2","N1","N2"},MATCH(MAX(K111:P111),K111:P111,0))))</f>
        <v/>
      </c>
      <c r="W111" s="69">
        <f>IF(G111="","",IF(V111=E111,1,0))</f>
        <v/>
      </c>
      <c r="X111" s="115">
        <f>IF(G111="","",IF(AND(T111="NG",S111&lt;$B$7),"AMBIGUOUS","CONFIDENT"))</f>
        <v/>
      </c>
    </row>
    <row r="112">
      <c r="A112" s="102">
        <f>'Runs Z score'!A105</f>
        <v/>
      </c>
      <c r="B112" s="98">
        <f>'Runs Z score'!B105</f>
        <v/>
      </c>
      <c r="C112" s="98">
        <f>'Runs Z score'!C105</f>
        <v/>
      </c>
      <c r="D112" s="98">
        <f>'Runs Z score'!D105</f>
        <v/>
      </c>
      <c r="E112" s="98">
        <f>'Runs Z score'!E105</f>
        <v/>
      </c>
      <c r="F112" s="98">
        <f>'Runs Z score'!F105</f>
        <v/>
      </c>
      <c r="G112" s="99">
        <f>'Runs Z score'!G105</f>
        <v/>
      </c>
      <c r="H112" s="100">
        <f>VLOOKUP(C112,Recipes!$A$2:$N$4,10,FALSE())</f>
        <v/>
      </c>
      <c r="I112" s="101">
        <f>VLOOKUP(C112,Recipes!$A$2:$N$4,12,FALSE())</f>
        <v/>
      </c>
      <c r="J112" s="100">
        <f>IF(G112="","",H112-G112)</f>
        <v/>
      </c>
      <c r="K112" s="100">
        <f>IF(G112="","",-0.5*((J112-Components!$D$2)/Components!$E$2)^2)</f>
        <v/>
      </c>
      <c r="L112" s="100">
        <f>IF(G112="","",-0.5*((J112-Components!$D$3)/Components!$E$3)^2)</f>
        <v/>
      </c>
      <c r="M112" s="100">
        <f>IF(G112="","",-0.5*((J112-Components!$D$4)/Components!$E$4)^2)</f>
        <v/>
      </c>
      <c r="N112" s="100">
        <f>IF(G112="","",-0.5*((J112-Components!$D$5)/Components!$E$5)^2)</f>
        <v/>
      </c>
      <c r="O112" s="100">
        <f>IF(G112="","",-0.5*((J112-Components!$D$6)/Components!$E$6)^2)</f>
        <v/>
      </c>
      <c r="P112" s="100">
        <f>IF(G112="","",-0.5*((J112-Components!$D$7)/Components!$E$7)^2)</f>
        <v/>
      </c>
      <c r="Q112" s="100">
        <f>IF(G112="","",EXP(LARGE(K112:P112,1)-MAX(K112:P112))/(EXP(K112-MAX(K112:P112))+EXP(L112-MAX(K112:P112))+EXP(M112-MAX(K112:P112))+EXP(N112-MAX(K112:P112))+EXP(O112-MAX(K112:P112))+EXP(P112-MAX(K112:P112))))</f>
        <v/>
      </c>
      <c r="R112" s="100">
        <f>IF(G112="","",EXP(LARGE(K112:P112,2)-MAX(K112:P112))/(EXP(K112-MAX(K112:P112))+EXP(L112-MAX(K112:P112))+EXP(M112-MAX(K112:P112))+EXP(N112-MAX(K112:P112))+EXP(O112-MAX(K112:P112))+EXP(P112-MAX(K112:P112))))</f>
        <v/>
      </c>
      <c r="S112" s="100">
        <f>IF(G112="","",Q112-R112)</f>
        <v/>
      </c>
      <c r="T112" s="98">
        <f>IF(G112="","",IF(AND(G112&gt;=H112-$B$6*I112,G112&lt;=H112+$B$6*I112),"OK","NG"))</f>
        <v/>
      </c>
      <c r="U112" s="69">
        <f>IF(T112="","",IF(T112=D112,1,0))</f>
        <v/>
      </c>
      <c r="V112" s="98">
        <f>IF(G112="","",IF(T112="OK","NONE",INDEX({"S1","S2","W1","W2","N1","N2"},MATCH(MAX(K112:P112),K112:P112,0))))</f>
        <v/>
      </c>
      <c r="W112" s="69">
        <f>IF(G112="","",IF(V112=E112,1,0))</f>
        <v/>
      </c>
      <c r="X112" s="115">
        <f>IF(G112="","",IF(AND(T112="NG",S112&lt;$B$7),"AMBIGUOUS","CONFIDENT"))</f>
        <v/>
      </c>
    </row>
    <row r="113">
      <c r="A113" s="102">
        <f>'Runs Z score'!A106</f>
        <v/>
      </c>
      <c r="B113" s="98">
        <f>'Runs Z score'!B106</f>
        <v/>
      </c>
      <c r="C113" s="98">
        <f>'Runs Z score'!C106</f>
        <v/>
      </c>
      <c r="D113" s="98">
        <f>'Runs Z score'!D106</f>
        <v/>
      </c>
      <c r="E113" s="98">
        <f>'Runs Z score'!E106</f>
        <v/>
      </c>
      <c r="F113" s="98">
        <f>'Runs Z score'!F106</f>
        <v/>
      </c>
      <c r="G113" s="99">
        <f>'Runs Z score'!G106</f>
        <v/>
      </c>
      <c r="H113" s="100">
        <f>VLOOKUP(C113,Recipes!$A$2:$N$4,10,FALSE())</f>
        <v/>
      </c>
      <c r="I113" s="101">
        <f>VLOOKUP(C113,Recipes!$A$2:$N$4,12,FALSE())</f>
        <v/>
      </c>
      <c r="J113" s="100">
        <f>IF(G113="","",H113-G113)</f>
        <v/>
      </c>
      <c r="K113" s="100">
        <f>IF(G113="","",-0.5*((J113-Components!$D$2)/Components!$E$2)^2)</f>
        <v/>
      </c>
      <c r="L113" s="100">
        <f>IF(G113="","",-0.5*((J113-Components!$D$3)/Components!$E$3)^2)</f>
        <v/>
      </c>
      <c r="M113" s="100">
        <f>IF(G113="","",-0.5*((J113-Components!$D$4)/Components!$E$4)^2)</f>
        <v/>
      </c>
      <c r="N113" s="100">
        <f>IF(G113="","",-0.5*((J113-Components!$D$5)/Components!$E$5)^2)</f>
        <v/>
      </c>
      <c r="O113" s="100">
        <f>IF(G113="","",-0.5*((J113-Components!$D$6)/Components!$E$6)^2)</f>
        <v/>
      </c>
      <c r="P113" s="100">
        <f>IF(G113="","",-0.5*((J113-Components!$D$7)/Components!$E$7)^2)</f>
        <v/>
      </c>
      <c r="Q113" s="100">
        <f>IF(G113="","",EXP(LARGE(K113:P113,1)-MAX(K113:P113))/(EXP(K113-MAX(K113:P113))+EXP(L113-MAX(K113:P113))+EXP(M113-MAX(K113:P113))+EXP(N113-MAX(K113:P113))+EXP(O113-MAX(K113:P113))+EXP(P113-MAX(K113:P113))))</f>
        <v/>
      </c>
      <c r="R113" s="100">
        <f>IF(G113="","",EXP(LARGE(K113:P113,2)-MAX(K113:P113))/(EXP(K113-MAX(K113:P113))+EXP(L113-MAX(K113:P113))+EXP(M113-MAX(K113:P113))+EXP(N113-MAX(K113:P113))+EXP(O113-MAX(K113:P113))+EXP(P113-MAX(K113:P113))))</f>
        <v/>
      </c>
      <c r="S113" s="100">
        <f>IF(G113="","",Q113-R113)</f>
        <v/>
      </c>
      <c r="T113" s="98">
        <f>IF(G113="","",IF(AND(G113&gt;=H113-$B$6*I113,G113&lt;=H113+$B$6*I113),"OK","NG"))</f>
        <v/>
      </c>
      <c r="U113" s="69">
        <f>IF(T113="","",IF(T113=D113,1,0))</f>
        <v/>
      </c>
      <c r="V113" s="98">
        <f>IF(G113="","",IF(T113="OK","NONE",INDEX({"S1","S2","W1","W2","N1","N2"},MATCH(MAX(K113:P113),K113:P113,0))))</f>
        <v/>
      </c>
      <c r="W113" s="69">
        <f>IF(G113="","",IF(V113=E113,1,0))</f>
        <v/>
      </c>
      <c r="X113" s="115">
        <f>IF(G113="","",IF(AND(T113="NG",S113&lt;$B$7),"AMBIGUOUS","CONFIDENT"))</f>
        <v/>
      </c>
    </row>
    <row r="114">
      <c r="A114" s="102">
        <f>'Runs Z score'!A107</f>
        <v/>
      </c>
      <c r="B114" s="98">
        <f>'Runs Z score'!B107</f>
        <v/>
      </c>
      <c r="C114" s="98">
        <f>'Runs Z score'!C107</f>
        <v/>
      </c>
      <c r="D114" s="98">
        <f>'Runs Z score'!D107</f>
        <v/>
      </c>
      <c r="E114" s="98">
        <f>'Runs Z score'!E107</f>
        <v/>
      </c>
      <c r="F114" s="98">
        <f>'Runs Z score'!F107</f>
        <v/>
      </c>
      <c r="G114" s="99">
        <f>'Runs Z score'!G107</f>
        <v/>
      </c>
      <c r="H114" s="100">
        <f>VLOOKUP(C114,Recipes!$A$2:$N$4,10,FALSE())</f>
        <v/>
      </c>
      <c r="I114" s="101">
        <f>VLOOKUP(C114,Recipes!$A$2:$N$4,12,FALSE())</f>
        <v/>
      </c>
      <c r="J114" s="100">
        <f>IF(G114="","",H114-G114)</f>
        <v/>
      </c>
      <c r="K114" s="100">
        <f>IF(G114="","",-0.5*((J114-Components!$D$2)/Components!$E$2)^2)</f>
        <v/>
      </c>
      <c r="L114" s="100">
        <f>IF(G114="","",-0.5*((J114-Components!$D$3)/Components!$E$3)^2)</f>
        <v/>
      </c>
      <c r="M114" s="100">
        <f>IF(G114="","",-0.5*((J114-Components!$D$4)/Components!$E$4)^2)</f>
        <v/>
      </c>
      <c r="N114" s="100">
        <f>IF(G114="","",-0.5*((J114-Components!$D$5)/Components!$E$5)^2)</f>
        <v/>
      </c>
      <c r="O114" s="100">
        <f>IF(G114="","",-0.5*((J114-Components!$D$6)/Components!$E$6)^2)</f>
        <v/>
      </c>
      <c r="P114" s="100">
        <f>IF(G114="","",-0.5*((J114-Components!$D$7)/Components!$E$7)^2)</f>
        <v/>
      </c>
      <c r="Q114" s="100">
        <f>IF(G114="","",EXP(LARGE(K114:P114,1)-MAX(K114:P114))/(EXP(K114-MAX(K114:P114))+EXP(L114-MAX(K114:P114))+EXP(M114-MAX(K114:P114))+EXP(N114-MAX(K114:P114))+EXP(O114-MAX(K114:P114))+EXP(P114-MAX(K114:P114))))</f>
        <v/>
      </c>
      <c r="R114" s="100">
        <f>IF(G114="","",EXP(LARGE(K114:P114,2)-MAX(K114:P114))/(EXP(K114-MAX(K114:P114))+EXP(L114-MAX(K114:P114))+EXP(M114-MAX(K114:P114))+EXP(N114-MAX(K114:P114))+EXP(O114-MAX(K114:P114))+EXP(P114-MAX(K114:P114))))</f>
        <v/>
      </c>
      <c r="S114" s="100">
        <f>IF(G114="","",Q114-R114)</f>
        <v/>
      </c>
      <c r="T114" s="98">
        <f>IF(G114="","",IF(AND(G114&gt;=H114-$B$6*I114,G114&lt;=H114+$B$6*I114),"OK","NG"))</f>
        <v/>
      </c>
      <c r="U114" s="69">
        <f>IF(T114="","",IF(T114=D114,1,0))</f>
        <v/>
      </c>
      <c r="V114" s="98">
        <f>IF(G114="","",IF(T114="OK","NONE",INDEX({"S1","S2","W1","W2","N1","N2"},MATCH(MAX(K114:P114),K114:P114,0))))</f>
        <v/>
      </c>
      <c r="W114" s="69">
        <f>IF(G114="","",IF(V114=E114,1,0))</f>
        <v/>
      </c>
      <c r="X114" s="115">
        <f>IF(G114="","",IF(AND(T114="NG",S114&lt;$B$7),"AMBIGUOUS","CONFIDENT"))</f>
        <v/>
      </c>
    </row>
    <row r="115">
      <c r="A115" s="102">
        <f>'Runs Z score'!A108</f>
        <v/>
      </c>
      <c r="B115" s="98">
        <f>'Runs Z score'!B108</f>
        <v/>
      </c>
      <c r="C115" s="98">
        <f>'Runs Z score'!C108</f>
        <v/>
      </c>
      <c r="D115" s="98">
        <f>'Runs Z score'!D108</f>
        <v/>
      </c>
      <c r="E115" s="98">
        <f>'Runs Z score'!E108</f>
        <v/>
      </c>
      <c r="F115" s="98">
        <f>'Runs Z score'!F108</f>
        <v/>
      </c>
      <c r="G115" s="99">
        <f>'Runs Z score'!G108</f>
        <v/>
      </c>
      <c r="H115" s="100">
        <f>VLOOKUP(C115,Recipes!$A$2:$N$4,10,FALSE())</f>
        <v/>
      </c>
      <c r="I115" s="101">
        <f>VLOOKUP(C115,Recipes!$A$2:$N$4,12,FALSE())</f>
        <v/>
      </c>
      <c r="J115" s="100">
        <f>IF(G115="","",H115-G115)</f>
        <v/>
      </c>
      <c r="K115" s="100">
        <f>IF(G115="","",-0.5*((J115-Components!$D$2)/Components!$E$2)^2)</f>
        <v/>
      </c>
      <c r="L115" s="100">
        <f>IF(G115="","",-0.5*((J115-Components!$D$3)/Components!$E$3)^2)</f>
        <v/>
      </c>
      <c r="M115" s="100">
        <f>IF(G115="","",-0.5*((J115-Components!$D$4)/Components!$E$4)^2)</f>
        <v/>
      </c>
      <c r="N115" s="100">
        <f>IF(G115="","",-0.5*((J115-Components!$D$5)/Components!$E$5)^2)</f>
        <v/>
      </c>
      <c r="O115" s="100">
        <f>IF(G115="","",-0.5*((J115-Components!$D$6)/Components!$E$6)^2)</f>
        <v/>
      </c>
      <c r="P115" s="100">
        <f>IF(G115="","",-0.5*((J115-Components!$D$7)/Components!$E$7)^2)</f>
        <v/>
      </c>
      <c r="Q115" s="100">
        <f>IF(G115="","",EXP(LARGE(K115:P115,1)-MAX(K115:P115))/(EXP(K115-MAX(K115:P115))+EXP(L115-MAX(K115:P115))+EXP(M115-MAX(K115:P115))+EXP(N115-MAX(K115:P115))+EXP(O115-MAX(K115:P115))+EXP(P115-MAX(K115:P115))))</f>
        <v/>
      </c>
      <c r="R115" s="100">
        <f>IF(G115="","",EXP(LARGE(K115:P115,2)-MAX(K115:P115))/(EXP(K115-MAX(K115:P115))+EXP(L115-MAX(K115:P115))+EXP(M115-MAX(K115:P115))+EXP(N115-MAX(K115:P115))+EXP(O115-MAX(K115:P115))+EXP(P115-MAX(K115:P115))))</f>
        <v/>
      </c>
      <c r="S115" s="100">
        <f>IF(G115="","",Q115-R115)</f>
        <v/>
      </c>
      <c r="T115" s="98">
        <f>IF(G115="","",IF(AND(G115&gt;=H115-$B$6*I115,G115&lt;=H115+$B$6*I115),"OK","NG"))</f>
        <v/>
      </c>
      <c r="U115" s="69">
        <f>IF(T115="","",IF(T115=D115,1,0))</f>
        <v/>
      </c>
      <c r="V115" s="98">
        <f>IF(G115="","",IF(T115="OK","NONE",INDEX({"S1","S2","W1","W2","N1","N2"},MATCH(MAX(K115:P115),K115:P115,0))))</f>
        <v/>
      </c>
      <c r="W115" s="69">
        <f>IF(G115="","",IF(V115=E115,1,0))</f>
        <v/>
      </c>
      <c r="X115" s="115">
        <f>IF(G115="","",IF(AND(T115="NG",S115&lt;$B$7),"AMBIGUOUS","CONFIDENT"))</f>
        <v/>
      </c>
    </row>
    <row r="116">
      <c r="A116" s="102">
        <f>'Runs Z score'!A109</f>
        <v/>
      </c>
      <c r="B116" s="98">
        <f>'Runs Z score'!B109</f>
        <v/>
      </c>
      <c r="C116" s="98">
        <f>'Runs Z score'!C109</f>
        <v/>
      </c>
      <c r="D116" s="98">
        <f>'Runs Z score'!D109</f>
        <v/>
      </c>
      <c r="E116" s="98">
        <f>'Runs Z score'!E109</f>
        <v/>
      </c>
      <c r="F116" s="98">
        <f>'Runs Z score'!F109</f>
        <v/>
      </c>
      <c r="G116" s="99">
        <f>'Runs Z score'!G109</f>
        <v/>
      </c>
      <c r="H116" s="100">
        <f>VLOOKUP(C116,Recipes!$A$2:$N$4,10,FALSE())</f>
        <v/>
      </c>
      <c r="I116" s="101">
        <f>VLOOKUP(C116,Recipes!$A$2:$N$4,12,FALSE())</f>
        <v/>
      </c>
      <c r="J116" s="100">
        <f>IF(G116="","",H116-G116)</f>
        <v/>
      </c>
      <c r="K116" s="100">
        <f>IF(G116="","",-0.5*((J116-Components!$D$2)/Components!$E$2)^2)</f>
        <v/>
      </c>
      <c r="L116" s="100">
        <f>IF(G116="","",-0.5*((J116-Components!$D$3)/Components!$E$3)^2)</f>
        <v/>
      </c>
      <c r="M116" s="100">
        <f>IF(G116="","",-0.5*((J116-Components!$D$4)/Components!$E$4)^2)</f>
        <v/>
      </c>
      <c r="N116" s="100">
        <f>IF(G116="","",-0.5*((J116-Components!$D$5)/Components!$E$5)^2)</f>
        <v/>
      </c>
      <c r="O116" s="100">
        <f>IF(G116="","",-0.5*((J116-Components!$D$6)/Components!$E$6)^2)</f>
        <v/>
      </c>
      <c r="P116" s="100">
        <f>IF(G116="","",-0.5*((J116-Components!$D$7)/Components!$E$7)^2)</f>
        <v/>
      </c>
      <c r="Q116" s="100">
        <f>IF(G116="","",EXP(LARGE(K116:P116,1)-MAX(K116:P116))/(EXP(K116-MAX(K116:P116))+EXP(L116-MAX(K116:P116))+EXP(M116-MAX(K116:P116))+EXP(N116-MAX(K116:P116))+EXP(O116-MAX(K116:P116))+EXP(P116-MAX(K116:P116))))</f>
        <v/>
      </c>
      <c r="R116" s="100">
        <f>IF(G116="","",EXP(LARGE(K116:P116,2)-MAX(K116:P116))/(EXP(K116-MAX(K116:P116))+EXP(L116-MAX(K116:P116))+EXP(M116-MAX(K116:P116))+EXP(N116-MAX(K116:P116))+EXP(O116-MAX(K116:P116))+EXP(P116-MAX(K116:P116))))</f>
        <v/>
      </c>
      <c r="S116" s="100">
        <f>IF(G116="","",Q116-R116)</f>
        <v/>
      </c>
      <c r="T116" s="98">
        <f>IF(G116="","",IF(AND(G116&gt;=H116-$B$6*I116,G116&lt;=H116+$B$6*I116),"OK","NG"))</f>
        <v/>
      </c>
      <c r="U116" s="69">
        <f>IF(T116="","",IF(T116=D116,1,0))</f>
        <v/>
      </c>
      <c r="V116" s="98">
        <f>IF(G116="","",IF(T116="OK","NONE",INDEX({"S1","S2","W1","W2","N1","N2"},MATCH(MAX(K116:P116),K116:P116,0))))</f>
        <v/>
      </c>
      <c r="W116" s="69">
        <f>IF(G116="","",IF(V116=E116,1,0))</f>
        <v/>
      </c>
      <c r="X116" s="115">
        <f>IF(G116="","",IF(AND(T116="NG",S116&lt;$B$7),"AMBIGUOUS","CONFIDENT"))</f>
        <v/>
      </c>
    </row>
    <row r="117">
      <c r="A117" s="102">
        <f>'Runs Z score'!A110</f>
        <v/>
      </c>
      <c r="B117" s="98">
        <f>'Runs Z score'!B110</f>
        <v/>
      </c>
      <c r="C117" s="98">
        <f>'Runs Z score'!C110</f>
        <v/>
      </c>
      <c r="D117" s="98">
        <f>'Runs Z score'!D110</f>
        <v/>
      </c>
      <c r="E117" s="98">
        <f>'Runs Z score'!E110</f>
        <v/>
      </c>
      <c r="F117" s="98">
        <f>'Runs Z score'!F110</f>
        <v/>
      </c>
      <c r="G117" s="99">
        <f>'Runs Z score'!G110</f>
        <v/>
      </c>
      <c r="H117" s="100">
        <f>VLOOKUP(C117,Recipes!$A$2:$N$4,10,FALSE())</f>
        <v/>
      </c>
      <c r="I117" s="101">
        <f>VLOOKUP(C117,Recipes!$A$2:$N$4,12,FALSE())</f>
        <v/>
      </c>
      <c r="J117" s="100">
        <f>IF(G117="","",H117-G117)</f>
        <v/>
      </c>
      <c r="K117" s="100">
        <f>IF(G117="","",-0.5*((J117-Components!$D$2)/Components!$E$2)^2)</f>
        <v/>
      </c>
      <c r="L117" s="100">
        <f>IF(G117="","",-0.5*((J117-Components!$D$3)/Components!$E$3)^2)</f>
        <v/>
      </c>
      <c r="M117" s="100">
        <f>IF(G117="","",-0.5*((J117-Components!$D$4)/Components!$E$4)^2)</f>
        <v/>
      </c>
      <c r="N117" s="100">
        <f>IF(G117="","",-0.5*((J117-Components!$D$5)/Components!$E$5)^2)</f>
        <v/>
      </c>
      <c r="O117" s="100">
        <f>IF(G117="","",-0.5*((J117-Components!$D$6)/Components!$E$6)^2)</f>
        <v/>
      </c>
      <c r="P117" s="100">
        <f>IF(G117="","",-0.5*((J117-Components!$D$7)/Components!$E$7)^2)</f>
        <v/>
      </c>
      <c r="Q117" s="100">
        <f>IF(G117="","",EXP(LARGE(K117:P117,1)-MAX(K117:P117))/(EXP(K117-MAX(K117:P117))+EXP(L117-MAX(K117:P117))+EXP(M117-MAX(K117:P117))+EXP(N117-MAX(K117:P117))+EXP(O117-MAX(K117:P117))+EXP(P117-MAX(K117:P117))))</f>
        <v/>
      </c>
      <c r="R117" s="100">
        <f>IF(G117="","",EXP(LARGE(K117:P117,2)-MAX(K117:P117))/(EXP(K117-MAX(K117:P117))+EXP(L117-MAX(K117:P117))+EXP(M117-MAX(K117:P117))+EXP(N117-MAX(K117:P117))+EXP(O117-MAX(K117:P117))+EXP(P117-MAX(K117:P117))))</f>
        <v/>
      </c>
      <c r="S117" s="100">
        <f>IF(G117="","",Q117-R117)</f>
        <v/>
      </c>
      <c r="T117" s="98">
        <f>IF(G117="","",IF(AND(G117&gt;=H117-$B$6*I117,G117&lt;=H117+$B$6*I117),"OK","NG"))</f>
        <v/>
      </c>
      <c r="U117" s="69">
        <f>IF(T117="","",IF(T117=D117,1,0))</f>
        <v/>
      </c>
      <c r="V117" s="98">
        <f>IF(G117="","",IF(T117="OK","NONE",INDEX({"S1","S2","W1","W2","N1","N2"},MATCH(MAX(K117:P117),K117:P117,0))))</f>
        <v/>
      </c>
      <c r="W117" s="69">
        <f>IF(G117="","",IF(V117=E117,1,0))</f>
        <v/>
      </c>
      <c r="X117" s="115">
        <f>IF(G117="","",IF(AND(T117="NG",S117&lt;$B$7),"AMBIGUOUS","CONFIDENT"))</f>
        <v/>
      </c>
    </row>
    <row r="118">
      <c r="A118" s="102">
        <f>'Runs Z score'!A111</f>
        <v/>
      </c>
      <c r="B118" s="98">
        <f>'Runs Z score'!B111</f>
        <v/>
      </c>
      <c r="C118" s="98">
        <f>'Runs Z score'!C111</f>
        <v/>
      </c>
      <c r="D118" s="98">
        <f>'Runs Z score'!D111</f>
        <v/>
      </c>
      <c r="E118" s="98">
        <f>'Runs Z score'!E111</f>
        <v/>
      </c>
      <c r="F118" s="98">
        <f>'Runs Z score'!F111</f>
        <v/>
      </c>
      <c r="G118" s="99">
        <f>'Runs Z score'!G111</f>
        <v/>
      </c>
      <c r="H118" s="100">
        <f>VLOOKUP(C118,Recipes!$A$2:$N$4,10,FALSE())</f>
        <v/>
      </c>
      <c r="I118" s="101">
        <f>VLOOKUP(C118,Recipes!$A$2:$N$4,12,FALSE())</f>
        <v/>
      </c>
      <c r="J118" s="100">
        <f>IF(G118="","",H118-G118)</f>
        <v/>
      </c>
      <c r="K118" s="100">
        <f>IF(G118="","",-0.5*((J118-Components!$D$2)/Components!$E$2)^2)</f>
        <v/>
      </c>
      <c r="L118" s="100">
        <f>IF(G118="","",-0.5*((J118-Components!$D$3)/Components!$E$3)^2)</f>
        <v/>
      </c>
      <c r="M118" s="100">
        <f>IF(G118="","",-0.5*((J118-Components!$D$4)/Components!$E$4)^2)</f>
        <v/>
      </c>
      <c r="N118" s="100">
        <f>IF(G118="","",-0.5*((J118-Components!$D$5)/Components!$E$5)^2)</f>
        <v/>
      </c>
      <c r="O118" s="100">
        <f>IF(G118="","",-0.5*((J118-Components!$D$6)/Components!$E$6)^2)</f>
        <v/>
      </c>
      <c r="P118" s="100">
        <f>IF(G118="","",-0.5*((J118-Components!$D$7)/Components!$E$7)^2)</f>
        <v/>
      </c>
      <c r="Q118" s="100">
        <f>IF(G118="","",EXP(LARGE(K118:P118,1)-MAX(K118:P118))/(EXP(K118-MAX(K118:P118))+EXP(L118-MAX(K118:P118))+EXP(M118-MAX(K118:P118))+EXP(N118-MAX(K118:P118))+EXP(O118-MAX(K118:P118))+EXP(P118-MAX(K118:P118))))</f>
        <v/>
      </c>
      <c r="R118" s="100">
        <f>IF(G118="","",EXP(LARGE(K118:P118,2)-MAX(K118:P118))/(EXP(K118-MAX(K118:P118))+EXP(L118-MAX(K118:P118))+EXP(M118-MAX(K118:P118))+EXP(N118-MAX(K118:P118))+EXP(O118-MAX(K118:P118))+EXP(P118-MAX(K118:P118))))</f>
        <v/>
      </c>
      <c r="S118" s="100">
        <f>IF(G118="","",Q118-R118)</f>
        <v/>
      </c>
      <c r="T118" s="98">
        <f>IF(G118="","",IF(AND(G118&gt;=H118-$B$6*I118,G118&lt;=H118+$B$6*I118),"OK","NG"))</f>
        <v/>
      </c>
      <c r="U118" s="69">
        <f>IF(T118="","",IF(T118=D118,1,0))</f>
        <v/>
      </c>
      <c r="V118" s="98">
        <f>IF(G118="","",IF(T118="OK","NONE",INDEX({"S1","S2","W1","W2","N1","N2"},MATCH(MAX(K118:P118),K118:P118,0))))</f>
        <v/>
      </c>
      <c r="W118" s="69">
        <f>IF(G118="","",IF(V118=E118,1,0))</f>
        <v/>
      </c>
      <c r="X118" s="115">
        <f>IF(G118="","",IF(AND(T118="NG",S118&lt;$B$7),"AMBIGUOUS","CONFIDENT"))</f>
        <v/>
      </c>
    </row>
    <row r="119">
      <c r="A119" s="102">
        <f>'Runs Z score'!A112</f>
        <v/>
      </c>
      <c r="B119" s="98">
        <f>'Runs Z score'!B112</f>
        <v/>
      </c>
      <c r="C119" s="98">
        <f>'Runs Z score'!C112</f>
        <v/>
      </c>
      <c r="D119" s="98">
        <f>'Runs Z score'!D112</f>
        <v/>
      </c>
      <c r="E119" s="98">
        <f>'Runs Z score'!E112</f>
        <v/>
      </c>
      <c r="F119" s="98">
        <f>'Runs Z score'!F112</f>
        <v/>
      </c>
      <c r="G119" s="99">
        <f>'Runs Z score'!G112</f>
        <v/>
      </c>
      <c r="H119" s="100">
        <f>VLOOKUP(C119,Recipes!$A$2:$N$4,10,FALSE())</f>
        <v/>
      </c>
      <c r="I119" s="101">
        <f>VLOOKUP(C119,Recipes!$A$2:$N$4,12,FALSE())</f>
        <v/>
      </c>
      <c r="J119" s="100">
        <f>IF(G119="","",H119-G119)</f>
        <v/>
      </c>
      <c r="K119" s="100">
        <f>IF(G119="","",-0.5*((J119-Components!$D$2)/Components!$E$2)^2)</f>
        <v/>
      </c>
      <c r="L119" s="100">
        <f>IF(G119="","",-0.5*((J119-Components!$D$3)/Components!$E$3)^2)</f>
        <v/>
      </c>
      <c r="M119" s="100">
        <f>IF(G119="","",-0.5*((J119-Components!$D$4)/Components!$E$4)^2)</f>
        <v/>
      </c>
      <c r="N119" s="100">
        <f>IF(G119="","",-0.5*((J119-Components!$D$5)/Components!$E$5)^2)</f>
        <v/>
      </c>
      <c r="O119" s="100">
        <f>IF(G119="","",-0.5*((J119-Components!$D$6)/Components!$E$6)^2)</f>
        <v/>
      </c>
      <c r="P119" s="100">
        <f>IF(G119="","",-0.5*((J119-Components!$D$7)/Components!$E$7)^2)</f>
        <v/>
      </c>
      <c r="Q119" s="100">
        <f>IF(G119="","",EXP(LARGE(K119:P119,1)-MAX(K119:P119))/(EXP(K119-MAX(K119:P119))+EXP(L119-MAX(K119:P119))+EXP(M119-MAX(K119:P119))+EXP(N119-MAX(K119:P119))+EXP(O119-MAX(K119:P119))+EXP(P119-MAX(K119:P119))))</f>
        <v/>
      </c>
      <c r="R119" s="100">
        <f>IF(G119="","",EXP(LARGE(K119:P119,2)-MAX(K119:P119))/(EXP(K119-MAX(K119:P119))+EXP(L119-MAX(K119:P119))+EXP(M119-MAX(K119:P119))+EXP(N119-MAX(K119:P119))+EXP(O119-MAX(K119:P119))+EXP(P119-MAX(K119:P119))))</f>
        <v/>
      </c>
      <c r="S119" s="100">
        <f>IF(G119="","",Q119-R119)</f>
        <v/>
      </c>
      <c r="T119" s="98">
        <f>IF(G119="","",IF(AND(G119&gt;=H119-$B$6*I119,G119&lt;=H119+$B$6*I119),"OK","NG"))</f>
        <v/>
      </c>
      <c r="U119" s="69">
        <f>IF(T119="","",IF(T119=D119,1,0))</f>
        <v/>
      </c>
      <c r="V119" s="98">
        <f>IF(G119="","",IF(T119="OK","NONE",INDEX({"S1","S2","W1","W2","N1","N2"},MATCH(MAX(K119:P119),K119:P119,0))))</f>
        <v/>
      </c>
      <c r="W119" s="69">
        <f>IF(G119="","",IF(V119=E119,1,0))</f>
        <v/>
      </c>
      <c r="X119" s="115">
        <f>IF(G119="","",IF(AND(T119="NG",S119&lt;$B$7),"AMBIGUOUS","CONFIDENT"))</f>
        <v/>
      </c>
    </row>
    <row r="120">
      <c r="A120" s="102">
        <f>'Runs Z score'!A113</f>
        <v/>
      </c>
      <c r="B120" s="98">
        <f>'Runs Z score'!B113</f>
        <v/>
      </c>
      <c r="C120" s="98">
        <f>'Runs Z score'!C113</f>
        <v/>
      </c>
      <c r="D120" s="98">
        <f>'Runs Z score'!D113</f>
        <v/>
      </c>
      <c r="E120" s="98">
        <f>'Runs Z score'!E113</f>
        <v/>
      </c>
      <c r="F120" s="98">
        <f>'Runs Z score'!F113</f>
        <v/>
      </c>
      <c r="G120" s="99">
        <f>'Runs Z score'!G113</f>
        <v/>
      </c>
      <c r="H120" s="100">
        <f>VLOOKUP(C120,Recipes!$A$2:$N$4,10,FALSE())</f>
        <v/>
      </c>
      <c r="I120" s="101">
        <f>VLOOKUP(C120,Recipes!$A$2:$N$4,12,FALSE())</f>
        <v/>
      </c>
      <c r="J120" s="100">
        <f>IF(G120="","",H120-G120)</f>
        <v/>
      </c>
      <c r="K120" s="100">
        <f>IF(G120="","",-0.5*((J120-Components!$D$2)/Components!$E$2)^2)</f>
        <v/>
      </c>
      <c r="L120" s="100">
        <f>IF(G120="","",-0.5*((J120-Components!$D$3)/Components!$E$3)^2)</f>
        <v/>
      </c>
      <c r="M120" s="100">
        <f>IF(G120="","",-0.5*((J120-Components!$D$4)/Components!$E$4)^2)</f>
        <v/>
      </c>
      <c r="N120" s="100">
        <f>IF(G120="","",-0.5*((J120-Components!$D$5)/Components!$E$5)^2)</f>
        <v/>
      </c>
      <c r="O120" s="100">
        <f>IF(G120="","",-0.5*((J120-Components!$D$6)/Components!$E$6)^2)</f>
        <v/>
      </c>
      <c r="P120" s="100">
        <f>IF(G120="","",-0.5*((J120-Components!$D$7)/Components!$E$7)^2)</f>
        <v/>
      </c>
      <c r="Q120" s="100">
        <f>IF(G120="","",EXP(LARGE(K120:P120,1)-MAX(K120:P120))/(EXP(K120-MAX(K120:P120))+EXP(L120-MAX(K120:P120))+EXP(M120-MAX(K120:P120))+EXP(N120-MAX(K120:P120))+EXP(O120-MAX(K120:P120))+EXP(P120-MAX(K120:P120))))</f>
        <v/>
      </c>
      <c r="R120" s="100">
        <f>IF(G120="","",EXP(LARGE(K120:P120,2)-MAX(K120:P120))/(EXP(K120-MAX(K120:P120))+EXP(L120-MAX(K120:P120))+EXP(M120-MAX(K120:P120))+EXP(N120-MAX(K120:P120))+EXP(O120-MAX(K120:P120))+EXP(P120-MAX(K120:P120))))</f>
        <v/>
      </c>
      <c r="S120" s="100">
        <f>IF(G120="","",Q120-R120)</f>
        <v/>
      </c>
      <c r="T120" s="98">
        <f>IF(G120="","",IF(AND(G120&gt;=H120-$B$6*I120,G120&lt;=H120+$B$6*I120),"OK","NG"))</f>
        <v/>
      </c>
      <c r="U120" s="69">
        <f>IF(T120="","",IF(T120=D120,1,0))</f>
        <v/>
      </c>
      <c r="V120" s="98">
        <f>IF(G120="","",IF(T120="OK","NONE",INDEX({"S1","S2","W1","W2","N1","N2"},MATCH(MAX(K120:P120),K120:P120,0))))</f>
        <v/>
      </c>
      <c r="W120" s="69">
        <f>IF(G120="","",IF(V120=E120,1,0))</f>
        <v/>
      </c>
      <c r="X120" s="115">
        <f>IF(G120="","",IF(AND(T120="NG",S120&lt;$B$7),"AMBIGUOUS","CONFIDENT"))</f>
        <v/>
      </c>
    </row>
    <row r="121">
      <c r="A121" s="102">
        <f>'Runs Z score'!A114</f>
        <v/>
      </c>
      <c r="B121" s="98">
        <f>'Runs Z score'!B114</f>
        <v/>
      </c>
      <c r="C121" s="98">
        <f>'Runs Z score'!C114</f>
        <v/>
      </c>
      <c r="D121" s="98">
        <f>'Runs Z score'!D114</f>
        <v/>
      </c>
      <c r="E121" s="98">
        <f>'Runs Z score'!E114</f>
        <v/>
      </c>
      <c r="F121" s="98">
        <f>'Runs Z score'!F114</f>
        <v/>
      </c>
      <c r="G121" s="99">
        <f>'Runs Z score'!G114</f>
        <v/>
      </c>
      <c r="H121" s="100">
        <f>VLOOKUP(C121,Recipes!$A$2:$N$4,10,FALSE())</f>
        <v/>
      </c>
      <c r="I121" s="101">
        <f>VLOOKUP(C121,Recipes!$A$2:$N$4,12,FALSE())</f>
        <v/>
      </c>
      <c r="J121" s="100">
        <f>IF(G121="","",H121-G121)</f>
        <v/>
      </c>
      <c r="K121" s="100">
        <f>IF(G121="","",-0.5*((J121-Components!$D$2)/Components!$E$2)^2)</f>
        <v/>
      </c>
      <c r="L121" s="100">
        <f>IF(G121="","",-0.5*((J121-Components!$D$3)/Components!$E$3)^2)</f>
        <v/>
      </c>
      <c r="M121" s="100">
        <f>IF(G121="","",-0.5*((J121-Components!$D$4)/Components!$E$4)^2)</f>
        <v/>
      </c>
      <c r="N121" s="100">
        <f>IF(G121="","",-0.5*((J121-Components!$D$5)/Components!$E$5)^2)</f>
        <v/>
      </c>
      <c r="O121" s="100">
        <f>IF(G121="","",-0.5*((J121-Components!$D$6)/Components!$E$6)^2)</f>
        <v/>
      </c>
      <c r="P121" s="100">
        <f>IF(G121="","",-0.5*((J121-Components!$D$7)/Components!$E$7)^2)</f>
        <v/>
      </c>
      <c r="Q121" s="100">
        <f>IF(G121="","",EXP(LARGE(K121:P121,1)-MAX(K121:P121))/(EXP(K121-MAX(K121:P121))+EXP(L121-MAX(K121:P121))+EXP(M121-MAX(K121:P121))+EXP(N121-MAX(K121:P121))+EXP(O121-MAX(K121:P121))+EXP(P121-MAX(K121:P121))))</f>
        <v/>
      </c>
      <c r="R121" s="100">
        <f>IF(G121="","",EXP(LARGE(K121:P121,2)-MAX(K121:P121))/(EXP(K121-MAX(K121:P121))+EXP(L121-MAX(K121:P121))+EXP(M121-MAX(K121:P121))+EXP(N121-MAX(K121:P121))+EXP(O121-MAX(K121:P121))+EXP(P121-MAX(K121:P121))))</f>
        <v/>
      </c>
      <c r="S121" s="100">
        <f>IF(G121="","",Q121-R121)</f>
        <v/>
      </c>
      <c r="T121" s="98">
        <f>IF(G121="","",IF(AND(G121&gt;=H121-$B$6*I121,G121&lt;=H121+$B$6*I121),"OK","NG"))</f>
        <v/>
      </c>
      <c r="U121" s="69">
        <f>IF(T121="","",IF(T121=D121,1,0))</f>
        <v/>
      </c>
      <c r="V121" s="98">
        <f>IF(G121="","",IF(T121="OK","NONE",INDEX({"S1","S2","W1","W2","N1","N2"},MATCH(MAX(K121:P121),K121:P121,0))))</f>
        <v/>
      </c>
      <c r="W121" s="69">
        <f>IF(G121="","",IF(V121=E121,1,0))</f>
        <v/>
      </c>
      <c r="X121" s="115">
        <f>IF(G121="","",IF(AND(T121="NG",S121&lt;$B$7),"AMBIGUOUS","CONFIDENT"))</f>
        <v/>
      </c>
    </row>
    <row r="122">
      <c r="A122" s="102">
        <f>'Runs Z score'!A115</f>
        <v/>
      </c>
      <c r="B122" s="98">
        <f>'Runs Z score'!B115</f>
        <v/>
      </c>
      <c r="C122" s="98">
        <f>'Runs Z score'!C115</f>
        <v/>
      </c>
      <c r="D122" s="98">
        <f>'Runs Z score'!D115</f>
        <v/>
      </c>
      <c r="E122" s="98">
        <f>'Runs Z score'!E115</f>
        <v/>
      </c>
      <c r="F122" s="98">
        <f>'Runs Z score'!F115</f>
        <v/>
      </c>
      <c r="G122" s="99">
        <f>'Runs Z score'!G115</f>
        <v/>
      </c>
      <c r="H122" s="100">
        <f>VLOOKUP(C122,Recipes!$A$2:$N$4,10,FALSE())</f>
        <v/>
      </c>
      <c r="I122" s="101">
        <f>VLOOKUP(C122,Recipes!$A$2:$N$4,12,FALSE())</f>
        <v/>
      </c>
      <c r="J122" s="100">
        <f>IF(G122="","",H122-G122)</f>
        <v/>
      </c>
      <c r="K122" s="100">
        <f>IF(G122="","",-0.5*((J122-Components!$D$2)/Components!$E$2)^2)</f>
        <v/>
      </c>
      <c r="L122" s="100">
        <f>IF(G122="","",-0.5*((J122-Components!$D$3)/Components!$E$3)^2)</f>
        <v/>
      </c>
      <c r="M122" s="100">
        <f>IF(G122="","",-0.5*((J122-Components!$D$4)/Components!$E$4)^2)</f>
        <v/>
      </c>
      <c r="N122" s="100">
        <f>IF(G122="","",-0.5*((J122-Components!$D$5)/Components!$E$5)^2)</f>
        <v/>
      </c>
      <c r="O122" s="100">
        <f>IF(G122="","",-0.5*((J122-Components!$D$6)/Components!$E$6)^2)</f>
        <v/>
      </c>
      <c r="P122" s="100">
        <f>IF(G122="","",-0.5*((J122-Components!$D$7)/Components!$E$7)^2)</f>
        <v/>
      </c>
      <c r="Q122" s="100">
        <f>IF(G122="","",EXP(LARGE(K122:P122,1)-MAX(K122:P122))/(EXP(K122-MAX(K122:P122))+EXP(L122-MAX(K122:P122))+EXP(M122-MAX(K122:P122))+EXP(N122-MAX(K122:P122))+EXP(O122-MAX(K122:P122))+EXP(P122-MAX(K122:P122))))</f>
        <v/>
      </c>
      <c r="R122" s="100">
        <f>IF(G122="","",EXP(LARGE(K122:P122,2)-MAX(K122:P122))/(EXP(K122-MAX(K122:P122))+EXP(L122-MAX(K122:P122))+EXP(M122-MAX(K122:P122))+EXP(N122-MAX(K122:P122))+EXP(O122-MAX(K122:P122))+EXP(P122-MAX(K122:P122))))</f>
        <v/>
      </c>
      <c r="S122" s="100">
        <f>IF(G122="","",Q122-R122)</f>
        <v/>
      </c>
      <c r="T122" s="98">
        <f>IF(G122="","",IF(AND(G122&gt;=H122-$B$6*I122,G122&lt;=H122+$B$6*I122),"OK","NG"))</f>
        <v/>
      </c>
      <c r="U122" s="69">
        <f>IF(T122="","",IF(T122=D122,1,0))</f>
        <v/>
      </c>
      <c r="V122" s="98">
        <f>IF(G122="","",IF(T122="OK","NONE",INDEX({"S1","S2","W1","W2","N1","N2"},MATCH(MAX(K122:P122),K122:P122,0))))</f>
        <v/>
      </c>
      <c r="W122" s="69">
        <f>IF(G122="","",IF(V122=E122,1,0))</f>
        <v/>
      </c>
      <c r="X122" s="115">
        <f>IF(G122="","",IF(AND(T122="NG",S122&lt;$B$7),"AMBIGUOUS","CONFIDENT"))</f>
        <v/>
      </c>
    </row>
    <row r="123">
      <c r="A123" s="102">
        <f>'Runs Z score'!A116</f>
        <v/>
      </c>
      <c r="B123" s="98">
        <f>'Runs Z score'!B116</f>
        <v/>
      </c>
      <c r="C123" s="98">
        <f>'Runs Z score'!C116</f>
        <v/>
      </c>
      <c r="D123" s="98">
        <f>'Runs Z score'!D116</f>
        <v/>
      </c>
      <c r="E123" s="98">
        <f>'Runs Z score'!E116</f>
        <v/>
      </c>
      <c r="F123" s="98">
        <f>'Runs Z score'!F116</f>
        <v/>
      </c>
      <c r="G123" s="99">
        <f>'Runs Z score'!G116</f>
        <v/>
      </c>
      <c r="H123" s="100">
        <f>VLOOKUP(C123,Recipes!$A$2:$N$4,10,FALSE())</f>
        <v/>
      </c>
      <c r="I123" s="101">
        <f>VLOOKUP(C123,Recipes!$A$2:$N$4,12,FALSE())</f>
        <v/>
      </c>
      <c r="J123" s="100">
        <f>IF(G123="","",H123-G123)</f>
        <v/>
      </c>
      <c r="K123" s="100">
        <f>IF(G123="","",-0.5*((J123-Components!$D$2)/Components!$E$2)^2)</f>
        <v/>
      </c>
      <c r="L123" s="100">
        <f>IF(G123="","",-0.5*((J123-Components!$D$3)/Components!$E$3)^2)</f>
        <v/>
      </c>
      <c r="M123" s="100">
        <f>IF(G123="","",-0.5*((J123-Components!$D$4)/Components!$E$4)^2)</f>
        <v/>
      </c>
      <c r="N123" s="100">
        <f>IF(G123="","",-0.5*((J123-Components!$D$5)/Components!$E$5)^2)</f>
        <v/>
      </c>
      <c r="O123" s="100">
        <f>IF(G123="","",-0.5*((J123-Components!$D$6)/Components!$E$6)^2)</f>
        <v/>
      </c>
      <c r="P123" s="100">
        <f>IF(G123="","",-0.5*((J123-Components!$D$7)/Components!$E$7)^2)</f>
        <v/>
      </c>
      <c r="Q123" s="100">
        <f>IF(G123="","",EXP(LARGE(K123:P123,1)-MAX(K123:P123))/(EXP(K123-MAX(K123:P123))+EXP(L123-MAX(K123:P123))+EXP(M123-MAX(K123:P123))+EXP(N123-MAX(K123:P123))+EXP(O123-MAX(K123:P123))+EXP(P123-MAX(K123:P123))))</f>
        <v/>
      </c>
      <c r="R123" s="100">
        <f>IF(G123="","",EXP(LARGE(K123:P123,2)-MAX(K123:P123))/(EXP(K123-MAX(K123:P123))+EXP(L123-MAX(K123:P123))+EXP(M123-MAX(K123:P123))+EXP(N123-MAX(K123:P123))+EXP(O123-MAX(K123:P123))+EXP(P123-MAX(K123:P123))))</f>
        <v/>
      </c>
      <c r="S123" s="100">
        <f>IF(G123="","",Q123-R123)</f>
        <v/>
      </c>
      <c r="T123" s="98">
        <f>IF(G123="","",IF(AND(G123&gt;=H123-$B$6*I123,G123&lt;=H123+$B$6*I123),"OK","NG"))</f>
        <v/>
      </c>
      <c r="U123" s="69">
        <f>IF(T123="","",IF(T123=D123,1,0))</f>
        <v/>
      </c>
      <c r="V123" s="98">
        <f>IF(G123="","",IF(T123="OK","NONE",INDEX({"S1","S2","W1","W2","N1","N2"},MATCH(MAX(K123:P123),K123:P123,0))))</f>
        <v/>
      </c>
      <c r="W123" s="69">
        <f>IF(G123="","",IF(V123=E123,1,0))</f>
        <v/>
      </c>
      <c r="X123" s="115">
        <f>IF(G123="","",IF(AND(T123="NG",S123&lt;$B$7),"AMBIGUOUS","CONFIDENT"))</f>
        <v/>
      </c>
    </row>
    <row r="124">
      <c r="A124" s="102">
        <f>'Runs Z score'!A117</f>
        <v/>
      </c>
      <c r="B124" s="98">
        <f>'Runs Z score'!B117</f>
        <v/>
      </c>
      <c r="C124" s="98">
        <f>'Runs Z score'!C117</f>
        <v/>
      </c>
      <c r="D124" s="98">
        <f>'Runs Z score'!D117</f>
        <v/>
      </c>
      <c r="E124" s="98">
        <f>'Runs Z score'!E117</f>
        <v/>
      </c>
      <c r="F124" s="98">
        <f>'Runs Z score'!F117</f>
        <v/>
      </c>
      <c r="G124" s="99">
        <f>'Runs Z score'!G117</f>
        <v/>
      </c>
      <c r="H124" s="100">
        <f>VLOOKUP(C124,Recipes!$A$2:$N$4,10,FALSE())</f>
        <v/>
      </c>
      <c r="I124" s="101">
        <f>VLOOKUP(C124,Recipes!$A$2:$N$4,12,FALSE())</f>
        <v/>
      </c>
      <c r="J124" s="100">
        <f>IF(G124="","",H124-G124)</f>
        <v/>
      </c>
      <c r="K124" s="100">
        <f>IF(G124="","",-0.5*((J124-Components!$D$2)/Components!$E$2)^2)</f>
        <v/>
      </c>
      <c r="L124" s="100">
        <f>IF(G124="","",-0.5*((J124-Components!$D$3)/Components!$E$3)^2)</f>
        <v/>
      </c>
      <c r="M124" s="100">
        <f>IF(G124="","",-0.5*((J124-Components!$D$4)/Components!$E$4)^2)</f>
        <v/>
      </c>
      <c r="N124" s="100">
        <f>IF(G124="","",-0.5*((J124-Components!$D$5)/Components!$E$5)^2)</f>
        <v/>
      </c>
      <c r="O124" s="100">
        <f>IF(G124="","",-0.5*((J124-Components!$D$6)/Components!$E$6)^2)</f>
        <v/>
      </c>
      <c r="P124" s="100">
        <f>IF(G124="","",-0.5*((J124-Components!$D$7)/Components!$E$7)^2)</f>
        <v/>
      </c>
      <c r="Q124" s="100">
        <f>IF(G124="","",EXP(LARGE(K124:P124,1)-MAX(K124:P124))/(EXP(K124-MAX(K124:P124))+EXP(L124-MAX(K124:P124))+EXP(M124-MAX(K124:P124))+EXP(N124-MAX(K124:P124))+EXP(O124-MAX(K124:P124))+EXP(P124-MAX(K124:P124))))</f>
        <v/>
      </c>
      <c r="R124" s="100">
        <f>IF(G124="","",EXP(LARGE(K124:P124,2)-MAX(K124:P124))/(EXP(K124-MAX(K124:P124))+EXP(L124-MAX(K124:P124))+EXP(M124-MAX(K124:P124))+EXP(N124-MAX(K124:P124))+EXP(O124-MAX(K124:P124))+EXP(P124-MAX(K124:P124))))</f>
        <v/>
      </c>
      <c r="S124" s="100">
        <f>IF(G124="","",Q124-R124)</f>
        <v/>
      </c>
      <c r="T124" s="98">
        <f>IF(G124="","",IF(AND(G124&gt;=H124-$B$6*I124,G124&lt;=H124+$B$6*I124),"OK","NG"))</f>
        <v/>
      </c>
      <c r="U124" s="69">
        <f>IF(T124="","",IF(T124=D124,1,0))</f>
        <v/>
      </c>
      <c r="V124" s="98">
        <f>IF(G124="","",IF(T124="OK","NONE",INDEX({"S1","S2","W1","W2","N1","N2"},MATCH(MAX(K124:P124),K124:P124,0))))</f>
        <v/>
      </c>
      <c r="W124" s="69">
        <f>IF(G124="","",IF(V124=E124,1,0))</f>
        <v/>
      </c>
      <c r="X124" s="115">
        <f>IF(G124="","",IF(AND(T124="NG",S124&lt;$B$7),"AMBIGUOUS","CONFIDENT"))</f>
        <v/>
      </c>
    </row>
    <row r="125">
      <c r="A125" s="102">
        <f>'Runs Z score'!A118</f>
        <v/>
      </c>
      <c r="B125" s="98">
        <f>'Runs Z score'!B118</f>
        <v/>
      </c>
      <c r="C125" s="98">
        <f>'Runs Z score'!C118</f>
        <v/>
      </c>
      <c r="D125" s="98">
        <f>'Runs Z score'!D118</f>
        <v/>
      </c>
      <c r="E125" s="98">
        <f>'Runs Z score'!E118</f>
        <v/>
      </c>
      <c r="F125" s="98">
        <f>'Runs Z score'!F118</f>
        <v/>
      </c>
      <c r="G125" s="99">
        <f>'Runs Z score'!G118</f>
        <v/>
      </c>
      <c r="H125" s="100">
        <f>VLOOKUP(C125,Recipes!$A$2:$N$4,10,FALSE())</f>
        <v/>
      </c>
      <c r="I125" s="101">
        <f>VLOOKUP(C125,Recipes!$A$2:$N$4,12,FALSE())</f>
        <v/>
      </c>
      <c r="J125" s="100">
        <f>IF(G125="","",H125-G125)</f>
        <v/>
      </c>
      <c r="K125" s="100">
        <f>IF(G125="","",-0.5*((J125-Components!$D$2)/Components!$E$2)^2)</f>
        <v/>
      </c>
      <c r="L125" s="100">
        <f>IF(G125="","",-0.5*((J125-Components!$D$3)/Components!$E$3)^2)</f>
        <v/>
      </c>
      <c r="M125" s="100">
        <f>IF(G125="","",-0.5*((J125-Components!$D$4)/Components!$E$4)^2)</f>
        <v/>
      </c>
      <c r="N125" s="100">
        <f>IF(G125="","",-0.5*((J125-Components!$D$5)/Components!$E$5)^2)</f>
        <v/>
      </c>
      <c r="O125" s="100">
        <f>IF(G125="","",-0.5*((J125-Components!$D$6)/Components!$E$6)^2)</f>
        <v/>
      </c>
      <c r="P125" s="100">
        <f>IF(G125="","",-0.5*((J125-Components!$D$7)/Components!$E$7)^2)</f>
        <v/>
      </c>
      <c r="Q125" s="100">
        <f>IF(G125="","",EXP(LARGE(K125:P125,1)-MAX(K125:P125))/(EXP(K125-MAX(K125:P125))+EXP(L125-MAX(K125:P125))+EXP(M125-MAX(K125:P125))+EXP(N125-MAX(K125:P125))+EXP(O125-MAX(K125:P125))+EXP(P125-MAX(K125:P125))))</f>
        <v/>
      </c>
      <c r="R125" s="100">
        <f>IF(G125="","",EXP(LARGE(K125:P125,2)-MAX(K125:P125))/(EXP(K125-MAX(K125:P125))+EXP(L125-MAX(K125:P125))+EXP(M125-MAX(K125:P125))+EXP(N125-MAX(K125:P125))+EXP(O125-MAX(K125:P125))+EXP(P125-MAX(K125:P125))))</f>
        <v/>
      </c>
      <c r="S125" s="100">
        <f>IF(G125="","",Q125-R125)</f>
        <v/>
      </c>
      <c r="T125" s="98">
        <f>IF(G125="","",IF(AND(G125&gt;=H125-$B$6*I125,G125&lt;=H125+$B$6*I125),"OK","NG"))</f>
        <v/>
      </c>
      <c r="U125" s="69">
        <f>IF(T125="","",IF(T125=D125,1,0))</f>
        <v/>
      </c>
      <c r="V125" s="98">
        <f>IF(G125="","",IF(T125="OK","NONE",INDEX({"S1","S2","W1","W2","N1","N2"},MATCH(MAX(K125:P125),K125:P125,0))))</f>
        <v/>
      </c>
      <c r="W125" s="69">
        <f>IF(G125="","",IF(V125=E125,1,0))</f>
        <v/>
      </c>
      <c r="X125" s="115">
        <f>IF(G125="","",IF(AND(T125="NG",S125&lt;$B$7),"AMBIGUOUS","CONFIDENT"))</f>
        <v/>
      </c>
    </row>
    <row r="126">
      <c r="A126" s="102">
        <f>'Runs Z score'!A119</f>
        <v/>
      </c>
      <c r="B126" s="98">
        <f>'Runs Z score'!B119</f>
        <v/>
      </c>
      <c r="C126" s="98">
        <f>'Runs Z score'!C119</f>
        <v/>
      </c>
      <c r="D126" s="98">
        <f>'Runs Z score'!D119</f>
        <v/>
      </c>
      <c r="E126" s="98">
        <f>'Runs Z score'!E119</f>
        <v/>
      </c>
      <c r="F126" s="98">
        <f>'Runs Z score'!F119</f>
        <v/>
      </c>
      <c r="G126" s="99">
        <f>'Runs Z score'!G119</f>
        <v/>
      </c>
      <c r="H126" s="100">
        <f>VLOOKUP(C126,Recipes!$A$2:$N$4,10,FALSE())</f>
        <v/>
      </c>
      <c r="I126" s="101">
        <f>VLOOKUP(C126,Recipes!$A$2:$N$4,12,FALSE())</f>
        <v/>
      </c>
      <c r="J126" s="100">
        <f>IF(G126="","",H126-G126)</f>
        <v/>
      </c>
      <c r="K126" s="100">
        <f>IF(G126="","",-0.5*((J126-Components!$D$2)/Components!$E$2)^2)</f>
        <v/>
      </c>
      <c r="L126" s="100">
        <f>IF(G126="","",-0.5*((J126-Components!$D$3)/Components!$E$3)^2)</f>
        <v/>
      </c>
      <c r="M126" s="100">
        <f>IF(G126="","",-0.5*((J126-Components!$D$4)/Components!$E$4)^2)</f>
        <v/>
      </c>
      <c r="N126" s="100">
        <f>IF(G126="","",-0.5*((J126-Components!$D$5)/Components!$E$5)^2)</f>
        <v/>
      </c>
      <c r="O126" s="100">
        <f>IF(G126="","",-0.5*((J126-Components!$D$6)/Components!$E$6)^2)</f>
        <v/>
      </c>
      <c r="P126" s="100">
        <f>IF(G126="","",-0.5*((J126-Components!$D$7)/Components!$E$7)^2)</f>
        <v/>
      </c>
      <c r="Q126" s="100">
        <f>IF(G126="","",EXP(LARGE(K126:P126,1)-MAX(K126:P126))/(EXP(K126-MAX(K126:P126))+EXP(L126-MAX(K126:P126))+EXP(M126-MAX(K126:P126))+EXP(N126-MAX(K126:P126))+EXP(O126-MAX(K126:P126))+EXP(P126-MAX(K126:P126))))</f>
        <v/>
      </c>
      <c r="R126" s="100">
        <f>IF(G126="","",EXP(LARGE(K126:P126,2)-MAX(K126:P126))/(EXP(K126-MAX(K126:P126))+EXP(L126-MAX(K126:P126))+EXP(M126-MAX(K126:P126))+EXP(N126-MAX(K126:P126))+EXP(O126-MAX(K126:P126))+EXP(P126-MAX(K126:P126))))</f>
        <v/>
      </c>
      <c r="S126" s="100">
        <f>IF(G126="","",Q126-R126)</f>
        <v/>
      </c>
      <c r="T126" s="98">
        <f>IF(G126="","",IF(AND(G126&gt;=H126-$B$6*I126,G126&lt;=H126+$B$6*I126),"OK","NG"))</f>
        <v/>
      </c>
      <c r="U126" s="69">
        <f>IF(T126="","",IF(T126=D126,1,0))</f>
        <v/>
      </c>
      <c r="V126" s="98">
        <f>IF(G126="","",IF(T126="OK","NONE",INDEX({"S1","S2","W1","W2","N1","N2"},MATCH(MAX(K126:P126),K126:P126,0))))</f>
        <v/>
      </c>
      <c r="W126" s="69">
        <f>IF(G126="","",IF(V126=E126,1,0))</f>
        <v/>
      </c>
      <c r="X126" s="115">
        <f>IF(G126="","",IF(AND(T126="NG",S126&lt;$B$7),"AMBIGUOUS","CONFIDENT"))</f>
        <v/>
      </c>
    </row>
    <row r="127">
      <c r="A127" s="102">
        <f>'Runs Z score'!A120</f>
        <v/>
      </c>
      <c r="B127" s="98">
        <f>'Runs Z score'!B120</f>
        <v/>
      </c>
      <c r="C127" s="98">
        <f>'Runs Z score'!C120</f>
        <v/>
      </c>
      <c r="D127" s="98">
        <f>'Runs Z score'!D120</f>
        <v/>
      </c>
      <c r="E127" s="98">
        <f>'Runs Z score'!E120</f>
        <v/>
      </c>
      <c r="F127" s="98">
        <f>'Runs Z score'!F120</f>
        <v/>
      </c>
      <c r="G127" s="99">
        <f>'Runs Z score'!G120</f>
        <v/>
      </c>
      <c r="H127" s="100">
        <f>VLOOKUP(C127,Recipes!$A$2:$N$4,10,FALSE())</f>
        <v/>
      </c>
      <c r="I127" s="101">
        <f>VLOOKUP(C127,Recipes!$A$2:$N$4,12,FALSE())</f>
        <v/>
      </c>
      <c r="J127" s="100">
        <f>IF(G127="","",H127-G127)</f>
        <v/>
      </c>
      <c r="K127" s="100">
        <f>IF(G127="","",-0.5*((J127-Components!$D$2)/Components!$E$2)^2)</f>
        <v/>
      </c>
      <c r="L127" s="100">
        <f>IF(G127="","",-0.5*((J127-Components!$D$3)/Components!$E$3)^2)</f>
        <v/>
      </c>
      <c r="M127" s="100">
        <f>IF(G127="","",-0.5*((J127-Components!$D$4)/Components!$E$4)^2)</f>
        <v/>
      </c>
      <c r="N127" s="100">
        <f>IF(G127="","",-0.5*((J127-Components!$D$5)/Components!$E$5)^2)</f>
        <v/>
      </c>
      <c r="O127" s="100">
        <f>IF(G127="","",-0.5*((J127-Components!$D$6)/Components!$E$6)^2)</f>
        <v/>
      </c>
      <c r="P127" s="100">
        <f>IF(G127="","",-0.5*((J127-Components!$D$7)/Components!$E$7)^2)</f>
        <v/>
      </c>
      <c r="Q127" s="100">
        <f>IF(G127="","",EXP(LARGE(K127:P127,1)-MAX(K127:P127))/(EXP(K127-MAX(K127:P127))+EXP(L127-MAX(K127:P127))+EXP(M127-MAX(K127:P127))+EXP(N127-MAX(K127:P127))+EXP(O127-MAX(K127:P127))+EXP(P127-MAX(K127:P127))))</f>
        <v/>
      </c>
      <c r="R127" s="100">
        <f>IF(G127="","",EXP(LARGE(K127:P127,2)-MAX(K127:P127))/(EXP(K127-MAX(K127:P127))+EXP(L127-MAX(K127:P127))+EXP(M127-MAX(K127:P127))+EXP(N127-MAX(K127:P127))+EXP(O127-MAX(K127:P127))+EXP(P127-MAX(K127:P127))))</f>
        <v/>
      </c>
      <c r="S127" s="100">
        <f>IF(G127="","",Q127-R127)</f>
        <v/>
      </c>
      <c r="T127" s="98">
        <f>IF(G127="","",IF(AND(G127&gt;=H127-$B$6*I127,G127&lt;=H127+$B$6*I127),"OK","NG"))</f>
        <v/>
      </c>
      <c r="U127" s="69">
        <f>IF(T127="","",IF(T127=D127,1,0))</f>
        <v/>
      </c>
      <c r="V127" s="98">
        <f>IF(G127="","",IF(T127="OK","NONE",INDEX({"S1","S2","W1","W2","N1","N2"},MATCH(MAX(K127:P127),K127:P127,0))))</f>
        <v/>
      </c>
      <c r="W127" s="69">
        <f>IF(G127="","",IF(V127=E127,1,0))</f>
        <v/>
      </c>
      <c r="X127" s="115">
        <f>IF(G127="","",IF(AND(T127="NG",S127&lt;$B$7),"AMBIGUOUS","CONFIDENT"))</f>
        <v/>
      </c>
    </row>
    <row r="128">
      <c r="A128" s="102">
        <f>'Runs Z score'!A121</f>
        <v/>
      </c>
      <c r="B128" s="98">
        <f>'Runs Z score'!B121</f>
        <v/>
      </c>
      <c r="C128" s="98">
        <f>'Runs Z score'!C121</f>
        <v/>
      </c>
      <c r="D128" s="98">
        <f>'Runs Z score'!D121</f>
        <v/>
      </c>
      <c r="E128" s="98">
        <f>'Runs Z score'!E121</f>
        <v/>
      </c>
      <c r="F128" s="98">
        <f>'Runs Z score'!F121</f>
        <v/>
      </c>
      <c r="G128" s="99">
        <f>'Runs Z score'!G121</f>
        <v/>
      </c>
      <c r="H128" s="100">
        <f>VLOOKUP(C128,Recipes!$A$2:$N$4,10,FALSE())</f>
        <v/>
      </c>
      <c r="I128" s="101">
        <f>VLOOKUP(C128,Recipes!$A$2:$N$4,12,FALSE())</f>
        <v/>
      </c>
      <c r="J128" s="100">
        <f>IF(G128="","",H128-G128)</f>
        <v/>
      </c>
      <c r="K128" s="100">
        <f>IF(G128="","",-0.5*((J128-Components!$D$2)/Components!$E$2)^2)</f>
        <v/>
      </c>
      <c r="L128" s="100">
        <f>IF(G128="","",-0.5*((J128-Components!$D$3)/Components!$E$3)^2)</f>
        <v/>
      </c>
      <c r="M128" s="100">
        <f>IF(G128="","",-0.5*((J128-Components!$D$4)/Components!$E$4)^2)</f>
        <v/>
      </c>
      <c r="N128" s="100">
        <f>IF(G128="","",-0.5*((J128-Components!$D$5)/Components!$E$5)^2)</f>
        <v/>
      </c>
      <c r="O128" s="100">
        <f>IF(G128="","",-0.5*((J128-Components!$D$6)/Components!$E$6)^2)</f>
        <v/>
      </c>
      <c r="P128" s="100">
        <f>IF(G128="","",-0.5*((J128-Components!$D$7)/Components!$E$7)^2)</f>
        <v/>
      </c>
      <c r="Q128" s="100">
        <f>IF(G128="","",EXP(LARGE(K128:P128,1)-MAX(K128:P128))/(EXP(K128-MAX(K128:P128))+EXP(L128-MAX(K128:P128))+EXP(M128-MAX(K128:P128))+EXP(N128-MAX(K128:P128))+EXP(O128-MAX(K128:P128))+EXP(P128-MAX(K128:P128))))</f>
        <v/>
      </c>
      <c r="R128" s="100">
        <f>IF(G128="","",EXP(LARGE(K128:P128,2)-MAX(K128:P128))/(EXP(K128-MAX(K128:P128))+EXP(L128-MAX(K128:P128))+EXP(M128-MAX(K128:P128))+EXP(N128-MAX(K128:P128))+EXP(O128-MAX(K128:P128))+EXP(P128-MAX(K128:P128))))</f>
        <v/>
      </c>
      <c r="S128" s="100">
        <f>IF(G128="","",Q128-R128)</f>
        <v/>
      </c>
      <c r="T128" s="98">
        <f>IF(G128="","",IF(AND(G128&gt;=H128-$B$6*I128,G128&lt;=H128+$B$6*I128),"OK","NG"))</f>
        <v/>
      </c>
      <c r="U128" s="69">
        <f>IF(T128="","",IF(T128=D128,1,0))</f>
        <v/>
      </c>
      <c r="V128" s="98">
        <f>IF(G128="","",IF(T128="OK","NONE",INDEX({"S1","S2","W1","W2","N1","N2"},MATCH(MAX(K128:P128),K128:P128,0))))</f>
        <v/>
      </c>
      <c r="W128" s="69">
        <f>IF(G128="","",IF(V128=E128,1,0))</f>
        <v/>
      </c>
      <c r="X128" s="115">
        <f>IF(G128="","",IF(AND(T128="NG",S128&lt;$B$7),"AMBIGUOUS","CONFIDENT"))</f>
        <v/>
      </c>
    </row>
    <row r="129">
      <c r="A129" s="102">
        <f>'Runs Z score'!A122</f>
        <v/>
      </c>
      <c r="B129" s="98">
        <f>'Runs Z score'!B122</f>
        <v/>
      </c>
      <c r="C129" s="98">
        <f>'Runs Z score'!C122</f>
        <v/>
      </c>
      <c r="D129" s="98">
        <f>'Runs Z score'!D122</f>
        <v/>
      </c>
      <c r="E129" s="98">
        <f>'Runs Z score'!E122</f>
        <v/>
      </c>
      <c r="F129" s="98">
        <f>'Runs Z score'!F122</f>
        <v/>
      </c>
      <c r="G129" s="99">
        <f>'Runs Z score'!G122</f>
        <v/>
      </c>
      <c r="H129" s="100">
        <f>VLOOKUP(C129,Recipes!$A$2:$N$4,10,FALSE())</f>
        <v/>
      </c>
      <c r="I129" s="101">
        <f>VLOOKUP(C129,Recipes!$A$2:$N$4,12,FALSE())</f>
        <v/>
      </c>
      <c r="J129" s="100">
        <f>IF(G129="","",H129-G129)</f>
        <v/>
      </c>
      <c r="K129" s="100">
        <f>IF(G129="","",-0.5*((J129-Components!$D$2)/Components!$E$2)^2)</f>
        <v/>
      </c>
      <c r="L129" s="100">
        <f>IF(G129="","",-0.5*((J129-Components!$D$3)/Components!$E$3)^2)</f>
        <v/>
      </c>
      <c r="M129" s="100">
        <f>IF(G129="","",-0.5*((J129-Components!$D$4)/Components!$E$4)^2)</f>
        <v/>
      </c>
      <c r="N129" s="100">
        <f>IF(G129="","",-0.5*((J129-Components!$D$5)/Components!$E$5)^2)</f>
        <v/>
      </c>
      <c r="O129" s="100">
        <f>IF(G129="","",-0.5*((J129-Components!$D$6)/Components!$E$6)^2)</f>
        <v/>
      </c>
      <c r="P129" s="100">
        <f>IF(G129="","",-0.5*((J129-Components!$D$7)/Components!$E$7)^2)</f>
        <v/>
      </c>
      <c r="Q129" s="100">
        <f>IF(G129="","",EXP(LARGE(K129:P129,1)-MAX(K129:P129))/(EXP(K129-MAX(K129:P129))+EXP(L129-MAX(K129:P129))+EXP(M129-MAX(K129:P129))+EXP(N129-MAX(K129:P129))+EXP(O129-MAX(K129:P129))+EXP(P129-MAX(K129:P129))))</f>
        <v/>
      </c>
      <c r="R129" s="100">
        <f>IF(G129="","",EXP(LARGE(K129:P129,2)-MAX(K129:P129))/(EXP(K129-MAX(K129:P129))+EXP(L129-MAX(K129:P129))+EXP(M129-MAX(K129:P129))+EXP(N129-MAX(K129:P129))+EXP(O129-MAX(K129:P129))+EXP(P129-MAX(K129:P129))))</f>
        <v/>
      </c>
      <c r="S129" s="100">
        <f>IF(G129="","",Q129-R129)</f>
        <v/>
      </c>
      <c r="T129" s="98">
        <f>IF(G129="","",IF(AND(G129&gt;=H129-$B$6*I129,G129&lt;=H129+$B$6*I129),"OK","NG"))</f>
        <v/>
      </c>
      <c r="U129" s="69">
        <f>IF(T129="","",IF(T129=D129,1,0))</f>
        <v/>
      </c>
      <c r="V129" s="98">
        <f>IF(G129="","",IF(T129="OK","NONE",INDEX({"S1","S2","W1","W2","N1","N2"},MATCH(MAX(K129:P129),K129:P129,0))))</f>
        <v/>
      </c>
      <c r="W129" s="69">
        <f>IF(G129="","",IF(V129=E129,1,0))</f>
        <v/>
      </c>
      <c r="X129" s="115">
        <f>IF(G129="","",IF(AND(T129="NG",S129&lt;$B$7),"AMBIGUOUS","CONFIDENT"))</f>
        <v/>
      </c>
    </row>
    <row r="130">
      <c r="A130" s="102">
        <f>'Runs Z score'!A123</f>
        <v/>
      </c>
      <c r="B130" s="98">
        <f>'Runs Z score'!B123</f>
        <v/>
      </c>
      <c r="C130" s="98">
        <f>'Runs Z score'!C123</f>
        <v/>
      </c>
      <c r="D130" s="98">
        <f>'Runs Z score'!D123</f>
        <v/>
      </c>
      <c r="E130" s="98">
        <f>'Runs Z score'!E123</f>
        <v/>
      </c>
      <c r="F130" s="98">
        <f>'Runs Z score'!F123</f>
        <v/>
      </c>
      <c r="G130" s="99">
        <f>'Runs Z score'!G123</f>
        <v/>
      </c>
      <c r="H130" s="100">
        <f>VLOOKUP(C130,Recipes!$A$2:$N$4,10,FALSE())</f>
        <v/>
      </c>
      <c r="I130" s="101">
        <f>VLOOKUP(C130,Recipes!$A$2:$N$4,12,FALSE())</f>
        <v/>
      </c>
      <c r="J130" s="100">
        <f>IF(G130="","",H130-G130)</f>
        <v/>
      </c>
      <c r="K130" s="100">
        <f>IF(G130="","",-0.5*((J130-Components!$D$2)/Components!$E$2)^2)</f>
        <v/>
      </c>
      <c r="L130" s="100">
        <f>IF(G130="","",-0.5*((J130-Components!$D$3)/Components!$E$3)^2)</f>
        <v/>
      </c>
      <c r="M130" s="100">
        <f>IF(G130="","",-0.5*((J130-Components!$D$4)/Components!$E$4)^2)</f>
        <v/>
      </c>
      <c r="N130" s="100">
        <f>IF(G130="","",-0.5*((J130-Components!$D$5)/Components!$E$5)^2)</f>
        <v/>
      </c>
      <c r="O130" s="100">
        <f>IF(G130="","",-0.5*((J130-Components!$D$6)/Components!$E$6)^2)</f>
        <v/>
      </c>
      <c r="P130" s="100">
        <f>IF(G130="","",-0.5*((J130-Components!$D$7)/Components!$E$7)^2)</f>
        <v/>
      </c>
      <c r="Q130" s="100">
        <f>IF(G130="","",EXP(LARGE(K130:P130,1)-MAX(K130:P130))/(EXP(K130-MAX(K130:P130))+EXP(L130-MAX(K130:P130))+EXP(M130-MAX(K130:P130))+EXP(N130-MAX(K130:P130))+EXP(O130-MAX(K130:P130))+EXP(P130-MAX(K130:P130))))</f>
        <v/>
      </c>
      <c r="R130" s="100">
        <f>IF(G130="","",EXP(LARGE(K130:P130,2)-MAX(K130:P130))/(EXP(K130-MAX(K130:P130))+EXP(L130-MAX(K130:P130))+EXP(M130-MAX(K130:P130))+EXP(N130-MAX(K130:P130))+EXP(O130-MAX(K130:P130))+EXP(P130-MAX(K130:P130))))</f>
        <v/>
      </c>
      <c r="S130" s="100">
        <f>IF(G130="","",Q130-R130)</f>
        <v/>
      </c>
      <c r="T130" s="98">
        <f>IF(G130="","",IF(AND(G130&gt;=H130-$B$6*I130,G130&lt;=H130+$B$6*I130),"OK","NG"))</f>
        <v/>
      </c>
      <c r="U130" s="69">
        <f>IF(T130="","",IF(T130=D130,1,0))</f>
        <v/>
      </c>
      <c r="V130" s="98">
        <f>IF(G130="","",IF(T130="OK","NONE",INDEX({"S1","S2","W1","W2","N1","N2"},MATCH(MAX(K130:P130),K130:P130,0))))</f>
        <v/>
      </c>
      <c r="W130" s="69">
        <f>IF(G130="","",IF(V130=E130,1,0))</f>
        <v/>
      </c>
      <c r="X130" s="115">
        <f>IF(G130="","",IF(AND(T130="NG",S130&lt;$B$7),"AMBIGUOUS","CONFIDENT"))</f>
        <v/>
      </c>
    </row>
    <row r="131">
      <c r="A131" s="102">
        <f>'Runs Z score'!A124</f>
        <v/>
      </c>
      <c r="B131" s="98">
        <f>'Runs Z score'!B124</f>
        <v/>
      </c>
      <c r="C131" s="98">
        <f>'Runs Z score'!C124</f>
        <v/>
      </c>
      <c r="D131" s="98">
        <f>'Runs Z score'!D124</f>
        <v/>
      </c>
      <c r="E131" s="98">
        <f>'Runs Z score'!E124</f>
        <v/>
      </c>
      <c r="F131" s="98">
        <f>'Runs Z score'!F124</f>
        <v/>
      </c>
      <c r="G131" s="99">
        <f>'Runs Z score'!G124</f>
        <v/>
      </c>
      <c r="H131" s="100">
        <f>VLOOKUP(C131,Recipes!$A$2:$N$4,10,FALSE())</f>
        <v/>
      </c>
      <c r="I131" s="101">
        <f>VLOOKUP(C131,Recipes!$A$2:$N$4,12,FALSE())</f>
        <v/>
      </c>
      <c r="J131" s="100">
        <f>IF(G131="","",H131-G131)</f>
        <v/>
      </c>
      <c r="K131" s="100">
        <f>IF(G131="","",-0.5*((J131-Components!$D$2)/Components!$E$2)^2)</f>
        <v/>
      </c>
      <c r="L131" s="100">
        <f>IF(G131="","",-0.5*((J131-Components!$D$3)/Components!$E$3)^2)</f>
        <v/>
      </c>
      <c r="M131" s="100">
        <f>IF(G131="","",-0.5*((J131-Components!$D$4)/Components!$E$4)^2)</f>
        <v/>
      </c>
      <c r="N131" s="100">
        <f>IF(G131="","",-0.5*((J131-Components!$D$5)/Components!$E$5)^2)</f>
        <v/>
      </c>
      <c r="O131" s="100">
        <f>IF(G131="","",-0.5*((J131-Components!$D$6)/Components!$E$6)^2)</f>
        <v/>
      </c>
      <c r="P131" s="100">
        <f>IF(G131="","",-0.5*((J131-Components!$D$7)/Components!$E$7)^2)</f>
        <v/>
      </c>
      <c r="Q131" s="100">
        <f>IF(G131="","",EXP(LARGE(K131:P131,1)-MAX(K131:P131))/(EXP(K131-MAX(K131:P131))+EXP(L131-MAX(K131:P131))+EXP(M131-MAX(K131:P131))+EXP(N131-MAX(K131:P131))+EXP(O131-MAX(K131:P131))+EXP(P131-MAX(K131:P131))))</f>
        <v/>
      </c>
      <c r="R131" s="100">
        <f>IF(G131="","",EXP(LARGE(K131:P131,2)-MAX(K131:P131))/(EXP(K131-MAX(K131:P131))+EXP(L131-MAX(K131:P131))+EXP(M131-MAX(K131:P131))+EXP(N131-MAX(K131:P131))+EXP(O131-MAX(K131:P131))+EXP(P131-MAX(K131:P131))))</f>
        <v/>
      </c>
      <c r="S131" s="100">
        <f>IF(G131="","",Q131-R131)</f>
        <v/>
      </c>
      <c r="T131" s="98">
        <f>IF(G131="","",IF(AND(G131&gt;=H131-$B$6*I131,G131&lt;=H131+$B$6*I131),"OK","NG"))</f>
        <v/>
      </c>
      <c r="U131" s="69">
        <f>IF(T131="","",IF(T131=D131,1,0))</f>
        <v/>
      </c>
      <c r="V131" s="98">
        <f>IF(G131="","",IF(T131="OK","NONE",INDEX({"S1","S2","W1","W2","N1","N2"},MATCH(MAX(K131:P131),K131:P131,0))))</f>
        <v/>
      </c>
      <c r="W131" s="69">
        <f>IF(G131="","",IF(V131=E131,1,0))</f>
        <v/>
      </c>
      <c r="X131" s="115">
        <f>IF(G131="","",IF(AND(T131="NG",S131&lt;$B$7),"AMBIGUOUS","CONFIDENT"))</f>
        <v/>
      </c>
    </row>
    <row r="132">
      <c r="A132" s="102">
        <f>'Runs Z score'!A125</f>
        <v/>
      </c>
      <c r="B132" s="98">
        <f>'Runs Z score'!B125</f>
        <v/>
      </c>
      <c r="C132" s="98">
        <f>'Runs Z score'!C125</f>
        <v/>
      </c>
      <c r="D132" s="98">
        <f>'Runs Z score'!D125</f>
        <v/>
      </c>
      <c r="E132" s="98">
        <f>'Runs Z score'!E125</f>
        <v/>
      </c>
      <c r="F132" s="98">
        <f>'Runs Z score'!F125</f>
        <v/>
      </c>
      <c r="G132" s="99">
        <f>'Runs Z score'!G125</f>
        <v/>
      </c>
      <c r="H132" s="100">
        <f>VLOOKUP(C132,Recipes!$A$2:$N$4,10,FALSE())</f>
        <v/>
      </c>
      <c r="I132" s="101">
        <f>VLOOKUP(C132,Recipes!$A$2:$N$4,12,FALSE())</f>
        <v/>
      </c>
      <c r="J132" s="100">
        <f>IF(G132="","",H132-G132)</f>
        <v/>
      </c>
      <c r="K132" s="100">
        <f>IF(G132="","",-0.5*((J132-Components!$D$2)/Components!$E$2)^2)</f>
        <v/>
      </c>
      <c r="L132" s="100">
        <f>IF(G132="","",-0.5*((J132-Components!$D$3)/Components!$E$3)^2)</f>
        <v/>
      </c>
      <c r="M132" s="100">
        <f>IF(G132="","",-0.5*((J132-Components!$D$4)/Components!$E$4)^2)</f>
        <v/>
      </c>
      <c r="N132" s="100">
        <f>IF(G132="","",-0.5*((J132-Components!$D$5)/Components!$E$5)^2)</f>
        <v/>
      </c>
      <c r="O132" s="100">
        <f>IF(G132="","",-0.5*((J132-Components!$D$6)/Components!$E$6)^2)</f>
        <v/>
      </c>
      <c r="P132" s="100">
        <f>IF(G132="","",-0.5*((J132-Components!$D$7)/Components!$E$7)^2)</f>
        <v/>
      </c>
      <c r="Q132" s="100">
        <f>IF(G132="","",EXP(LARGE(K132:P132,1)-MAX(K132:P132))/(EXP(K132-MAX(K132:P132))+EXP(L132-MAX(K132:P132))+EXP(M132-MAX(K132:P132))+EXP(N132-MAX(K132:P132))+EXP(O132-MAX(K132:P132))+EXP(P132-MAX(K132:P132))))</f>
        <v/>
      </c>
      <c r="R132" s="100">
        <f>IF(G132="","",EXP(LARGE(K132:P132,2)-MAX(K132:P132))/(EXP(K132-MAX(K132:P132))+EXP(L132-MAX(K132:P132))+EXP(M132-MAX(K132:P132))+EXP(N132-MAX(K132:P132))+EXP(O132-MAX(K132:P132))+EXP(P132-MAX(K132:P132))))</f>
        <v/>
      </c>
      <c r="S132" s="100">
        <f>IF(G132="","",Q132-R132)</f>
        <v/>
      </c>
      <c r="T132" s="98">
        <f>IF(G132="","",IF(AND(G132&gt;=H132-$B$6*I132,G132&lt;=H132+$B$6*I132),"OK","NG"))</f>
        <v/>
      </c>
      <c r="U132" s="69">
        <f>IF(T132="","",IF(T132=D132,1,0))</f>
        <v/>
      </c>
      <c r="V132" s="98">
        <f>IF(G132="","",IF(T132="OK","NONE",INDEX({"S1","S2","W1","W2","N1","N2"},MATCH(MAX(K132:P132),K132:P132,0))))</f>
        <v/>
      </c>
      <c r="W132" s="69">
        <f>IF(G132="","",IF(V132=E132,1,0))</f>
        <v/>
      </c>
      <c r="X132" s="115">
        <f>IF(G132="","",IF(AND(T132="NG",S132&lt;$B$7),"AMBIGUOUS","CONFIDENT"))</f>
        <v/>
      </c>
    </row>
    <row r="133">
      <c r="A133" s="102">
        <f>'Runs Z score'!A126</f>
        <v/>
      </c>
      <c r="B133" s="98">
        <f>'Runs Z score'!B126</f>
        <v/>
      </c>
      <c r="C133" s="98">
        <f>'Runs Z score'!C126</f>
        <v/>
      </c>
      <c r="D133" s="98">
        <f>'Runs Z score'!D126</f>
        <v/>
      </c>
      <c r="E133" s="98">
        <f>'Runs Z score'!E126</f>
        <v/>
      </c>
      <c r="F133" s="98">
        <f>'Runs Z score'!F126</f>
        <v/>
      </c>
      <c r="G133" s="99">
        <f>'Runs Z score'!G126</f>
        <v/>
      </c>
      <c r="H133" s="100">
        <f>VLOOKUP(C133,Recipes!$A$2:$N$4,10,FALSE())</f>
        <v/>
      </c>
      <c r="I133" s="101">
        <f>VLOOKUP(C133,Recipes!$A$2:$N$4,12,FALSE())</f>
        <v/>
      </c>
      <c r="J133" s="100">
        <f>IF(G133="","",H133-G133)</f>
        <v/>
      </c>
      <c r="K133" s="100">
        <f>IF(G133="","",-0.5*((J133-Components!$D$2)/Components!$E$2)^2)</f>
        <v/>
      </c>
      <c r="L133" s="100">
        <f>IF(G133="","",-0.5*((J133-Components!$D$3)/Components!$E$3)^2)</f>
        <v/>
      </c>
      <c r="M133" s="100">
        <f>IF(G133="","",-0.5*((J133-Components!$D$4)/Components!$E$4)^2)</f>
        <v/>
      </c>
      <c r="N133" s="100">
        <f>IF(G133="","",-0.5*((J133-Components!$D$5)/Components!$E$5)^2)</f>
        <v/>
      </c>
      <c r="O133" s="100">
        <f>IF(G133="","",-0.5*((J133-Components!$D$6)/Components!$E$6)^2)</f>
        <v/>
      </c>
      <c r="P133" s="100">
        <f>IF(G133="","",-0.5*((J133-Components!$D$7)/Components!$E$7)^2)</f>
        <v/>
      </c>
      <c r="Q133" s="100">
        <f>IF(G133="","",EXP(LARGE(K133:P133,1)-MAX(K133:P133))/(EXP(K133-MAX(K133:P133))+EXP(L133-MAX(K133:P133))+EXP(M133-MAX(K133:P133))+EXP(N133-MAX(K133:P133))+EXP(O133-MAX(K133:P133))+EXP(P133-MAX(K133:P133))))</f>
        <v/>
      </c>
      <c r="R133" s="100">
        <f>IF(G133="","",EXP(LARGE(K133:P133,2)-MAX(K133:P133))/(EXP(K133-MAX(K133:P133))+EXP(L133-MAX(K133:P133))+EXP(M133-MAX(K133:P133))+EXP(N133-MAX(K133:P133))+EXP(O133-MAX(K133:P133))+EXP(P133-MAX(K133:P133))))</f>
        <v/>
      </c>
      <c r="S133" s="100">
        <f>IF(G133="","",Q133-R133)</f>
        <v/>
      </c>
      <c r="T133" s="98">
        <f>IF(G133="","",IF(AND(G133&gt;=H133-$B$6*I133,G133&lt;=H133+$B$6*I133),"OK","NG"))</f>
        <v/>
      </c>
      <c r="U133" s="69">
        <f>IF(T133="","",IF(T133=D133,1,0))</f>
        <v/>
      </c>
      <c r="V133" s="98">
        <f>IF(G133="","",IF(T133="OK","NONE",INDEX({"S1","S2","W1","W2","N1","N2"},MATCH(MAX(K133:P133),K133:P133,0))))</f>
        <v/>
      </c>
      <c r="W133" s="69">
        <f>IF(G133="","",IF(V133=E133,1,0))</f>
        <v/>
      </c>
      <c r="X133" s="115">
        <f>IF(G133="","",IF(AND(T133="NG",S133&lt;$B$7),"AMBIGUOUS","CONFIDENT"))</f>
        <v/>
      </c>
    </row>
    <row r="134">
      <c r="A134" s="102">
        <f>'Runs Z score'!A127</f>
        <v/>
      </c>
      <c r="B134" s="98">
        <f>'Runs Z score'!B127</f>
        <v/>
      </c>
      <c r="C134" s="98">
        <f>'Runs Z score'!C127</f>
        <v/>
      </c>
      <c r="D134" s="98">
        <f>'Runs Z score'!D127</f>
        <v/>
      </c>
      <c r="E134" s="98">
        <f>'Runs Z score'!E127</f>
        <v/>
      </c>
      <c r="F134" s="98">
        <f>'Runs Z score'!F127</f>
        <v/>
      </c>
      <c r="G134" s="99">
        <f>'Runs Z score'!G127</f>
        <v/>
      </c>
      <c r="H134" s="100">
        <f>VLOOKUP(C134,Recipes!$A$2:$N$4,10,FALSE())</f>
        <v/>
      </c>
      <c r="I134" s="101">
        <f>VLOOKUP(C134,Recipes!$A$2:$N$4,12,FALSE())</f>
        <v/>
      </c>
      <c r="J134" s="100">
        <f>IF(G134="","",H134-G134)</f>
        <v/>
      </c>
      <c r="K134" s="100">
        <f>IF(G134="","",-0.5*((J134-Components!$D$2)/Components!$E$2)^2)</f>
        <v/>
      </c>
      <c r="L134" s="100">
        <f>IF(G134="","",-0.5*((J134-Components!$D$3)/Components!$E$3)^2)</f>
        <v/>
      </c>
      <c r="M134" s="100">
        <f>IF(G134="","",-0.5*((J134-Components!$D$4)/Components!$E$4)^2)</f>
        <v/>
      </c>
      <c r="N134" s="100">
        <f>IF(G134="","",-0.5*((J134-Components!$D$5)/Components!$E$5)^2)</f>
        <v/>
      </c>
      <c r="O134" s="100">
        <f>IF(G134="","",-0.5*((J134-Components!$D$6)/Components!$E$6)^2)</f>
        <v/>
      </c>
      <c r="P134" s="100">
        <f>IF(G134="","",-0.5*((J134-Components!$D$7)/Components!$E$7)^2)</f>
        <v/>
      </c>
      <c r="Q134" s="100">
        <f>IF(G134="","",EXP(LARGE(K134:P134,1)-MAX(K134:P134))/(EXP(K134-MAX(K134:P134))+EXP(L134-MAX(K134:P134))+EXP(M134-MAX(K134:P134))+EXP(N134-MAX(K134:P134))+EXP(O134-MAX(K134:P134))+EXP(P134-MAX(K134:P134))))</f>
        <v/>
      </c>
      <c r="R134" s="100">
        <f>IF(G134="","",EXP(LARGE(K134:P134,2)-MAX(K134:P134))/(EXP(K134-MAX(K134:P134))+EXP(L134-MAX(K134:P134))+EXP(M134-MAX(K134:P134))+EXP(N134-MAX(K134:P134))+EXP(O134-MAX(K134:P134))+EXP(P134-MAX(K134:P134))))</f>
        <v/>
      </c>
      <c r="S134" s="100">
        <f>IF(G134="","",Q134-R134)</f>
        <v/>
      </c>
      <c r="T134" s="98">
        <f>IF(G134="","",IF(AND(G134&gt;=H134-$B$6*I134,G134&lt;=H134+$B$6*I134),"OK","NG"))</f>
        <v/>
      </c>
      <c r="U134" s="69">
        <f>IF(T134="","",IF(T134=D134,1,0))</f>
        <v/>
      </c>
      <c r="V134" s="98">
        <f>IF(G134="","",IF(T134="OK","NONE",INDEX({"S1","S2","W1","W2","N1","N2"},MATCH(MAX(K134:P134),K134:P134,0))))</f>
        <v/>
      </c>
      <c r="W134" s="69">
        <f>IF(G134="","",IF(V134=E134,1,0))</f>
        <v/>
      </c>
      <c r="X134" s="115">
        <f>IF(G134="","",IF(AND(T134="NG",S134&lt;$B$7),"AMBIGUOUS","CONFIDENT"))</f>
        <v/>
      </c>
    </row>
    <row r="135">
      <c r="A135" s="102">
        <f>'Runs Z score'!A128</f>
        <v/>
      </c>
      <c r="B135" s="98">
        <f>'Runs Z score'!B128</f>
        <v/>
      </c>
      <c r="C135" s="98">
        <f>'Runs Z score'!C128</f>
        <v/>
      </c>
      <c r="D135" s="98">
        <f>'Runs Z score'!D128</f>
        <v/>
      </c>
      <c r="E135" s="98">
        <f>'Runs Z score'!E128</f>
        <v/>
      </c>
      <c r="F135" s="98">
        <f>'Runs Z score'!F128</f>
        <v/>
      </c>
      <c r="G135" s="99">
        <f>'Runs Z score'!G128</f>
        <v/>
      </c>
      <c r="H135" s="100">
        <f>VLOOKUP(C135,Recipes!$A$2:$N$4,10,FALSE())</f>
        <v/>
      </c>
      <c r="I135" s="101">
        <f>VLOOKUP(C135,Recipes!$A$2:$N$4,12,FALSE())</f>
        <v/>
      </c>
      <c r="J135" s="100">
        <f>IF(G135="","",H135-G135)</f>
        <v/>
      </c>
      <c r="K135" s="100">
        <f>IF(G135="","",-0.5*((J135-Components!$D$2)/Components!$E$2)^2)</f>
        <v/>
      </c>
      <c r="L135" s="100">
        <f>IF(G135="","",-0.5*((J135-Components!$D$3)/Components!$E$3)^2)</f>
        <v/>
      </c>
      <c r="M135" s="100">
        <f>IF(G135="","",-0.5*((J135-Components!$D$4)/Components!$E$4)^2)</f>
        <v/>
      </c>
      <c r="N135" s="100">
        <f>IF(G135="","",-0.5*((J135-Components!$D$5)/Components!$E$5)^2)</f>
        <v/>
      </c>
      <c r="O135" s="100">
        <f>IF(G135="","",-0.5*((J135-Components!$D$6)/Components!$E$6)^2)</f>
        <v/>
      </c>
      <c r="P135" s="100">
        <f>IF(G135="","",-0.5*((J135-Components!$D$7)/Components!$E$7)^2)</f>
        <v/>
      </c>
      <c r="Q135" s="100">
        <f>IF(G135="","",EXP(LARGE(K135:P135,1)-MAX(K135:P135))/(EXP(K135-MAX(K135:P135))+EXP(L135-MAX(K135:P135))+EXP(M135-MAX(K135:P135))+EXP(N135-MAX(K135:P135))+EXP(O135-MAX(K135:P135))+EXP(P135-MAX(K135:P135))))</f>
        <v/>
      </c>
      <c r="R135" s="100">
        <f>IF(G135="","",EXP(LARGE(K135:P135,2)-MAX(K135:P135))/(EXP(K135-MAX(K135:P135))+EXP(L135-MAX(K135:P135))+EXP(M135-MAX(K135:P135))+EXP(N135-MAX(K135:P135))+EXP(O135-MAX(K135:P135))+EXP(P135-MAX(K135:P135))))</f>
        <v/>
      </c>
      <c r="S135" s="100">
        <f>IF(G135="","",Q135-R135)</f>
        <v/>
      </c>
      <c r="T135" s="98">
        <f>IF(G135="","",IF(AND(G135&gt;=H135-$B$6*I135,G135&lt;=H135+$B$6*I135),"OK","NG"))</f>
        <v/>
      </c>
      <c r="U135" s="69">
        <f>IF(T135="","",IF(T135=D135,1,0))</f>
        <v/>
      </c>
      <c r="V135" s="98">
        <f>IF(G135="","",IF(T135="OK","NONE",INDEX({"S1","S2","W1","W2","N1","N2"},MATCH(MAX(K135:P135),K135:P135,0))))</f>
        <v/>
      </c>
      <c r="W135" s="69">
        <f>IF(G135="","",IF(V135=E135,1,0))</f>
        <v/>
      </c>
      <c r="X135" s="115">
        <f>IF(G135="","",IF(AND(T135="NG",S135&lt;$B$7),"AMBIGUOUS","CONFIDENT"))</f>
        <v/>
      </c>
    </row>
    <row r="136">
      <c r="A136" s="102">
        <f>'Runs Z score'!A129</f>
        <v/>
      </c>
      <c r="B136" s="98">
        <f>'Runs Z score'!B129</f>
        <v/>
      </c>
      <c r="C136" s="98">
        <f>'Runs Z score'!C129</f>
        <v/>
      </c>
      <c r="D136" s="98">
        <f>'Runs Z score'!D129</f>
        <v/>
      </c>
      <c r="E136" s="98">
        <f>'Runs Z score'!E129</f>
        <v/>
      </c>
      <c r="F136" s="98">
        <f>'Runs Z score'!F129</f>
        <v/>
      </c>
      <c r="G136" s="99">
        <f>'Runs Z score'!G129</f>
        <v/>
      </c>
      <c r="H136" s="100">
        <f>VLOOKUP(C136,Recipes!$A$2:$N$4,10,FALSE())</f>
        <v/>
      </c>
      <c r="I136" s="101">
        <f>VLOOKUP(C136,Recipes!$A$2:$N$4,12,FALSE())</f>
        <v/>
      </c>
      <c r="J136" s="100">
        <f>IF(G136="","",H136-G136)</f>
        <v/>
      </c>
      <c r="K136" s="100">
        <f>IF(G136="","",-0.5*((J136-Components!$D$2)/Components!$E$2)^2)</f>
        <v/>
      </c>
      <c r="L136" s="100">
        <f>IF(G136="","",-0.5*((J136-Components!$D$3)/Components!$E$3)^2)</f>
        <v/>
      </c>
      <c r="M136" s="100">
        <f>IF(G136="","",-0.5*((J136-Components!$D$4)/Components!$E$4)^2)</f>
        <v/>
      </c>
      <c r="N136" s="100">
        <f>IF(G136="","",-0.5*((J136-Components!$D$5)/Components!$E$5)^2)</f>
        <v/>
      </c>
      <c r="O136" s="100">
        <f>IF(G136="","",-0.5*((J136-Components!$D$6)/Components!$E$6)^2)</f>
        <v/>
      </c>
      <c r="P136" s="100">
        <f>IF(G136="","",-0.5*((J136-Components!$D$7)/Components!$E$7)^2)</f>
        <v/>
      </c>
      <c r="Q136" s="100">
        <f>IF(G136="","",EXP(LARGE(K136:P136,1)-MAX(K136:P136))/(EXP(K136-MAX(K136:P136))+EXP(L136-MAX(K136:P136))+EXP(M136-MAX(K136:P136))+EXP(N136-MAX(K136:P136))+EXP(O136-MAX(K136:P136))+EXP(P136-MAX(K136:P136))))</f>
        <v/>
      </c>
      <c r="R136" s="100">
        <f>IF(G136="","",EXP(LARGE(K136:P136,2)-MAX(K136:P136))/(EXP(K136-MAX(K136:P136))+EXP(L136-MAX(K136:P136))+EXP(M136-MAX(K136:P136))+EXP(N136-MAX(K136:P136))+EXP(O136-MAX(K136:P136))+EXP(P136-MAX(K136:P136))))</f>
        <v/>
      </c>
      <c r="S136" s="100">
        <f>IF(G136="","",Q136-R136)</f>
        <v/>
      </c>
      <c r="T136" s="98">
        <f>IF(G136="","",IF(AND(G136&gt;=H136-$B$6*I136,G136&lt;=H136+$B$6*I136),"OK","NG"))</f>
        <v/>
      </c>
      <c r="U136" s="69">
        <f>IF(T136="","",IF(T136=D136,1,0))</f>
        <v/>
      </c>
      <c r="V136" s="98">
        <f>IF(G136="","",IF(T136="OK","NONE",INDEX({"S1","S2","W1","W2","N1","N2"},MATCH(MAX(K136:P136),K136:P136,0))))</f>
        <v/>
      </c>
      <c r="W136" s="69">
        <f>IF(G136="","",IF(V136=E136,1,0))</f>
        <v/>
      </c>
      <c r="X136" s="115">
        <f>IF(G136="","",IF(AND(T136="NG",S136&lt;$B$7),"AMBIGUOUS","CONFIDENT"))</f>
        <v/>
      </c>
    </row>
    <row r="137">
      <c r="A137" s="102">
        <f>'Runs Z score'!A130</f>
        <v/>
      </c>
      <c r="B137" s="98">
        <f>'Runs Z score'!B130</f>
        <v/>
      </c>
      <c r="C137" s="98">
        <f>'Runs Z score'!C130</f>
        <v/>
      </c>
      <c r="D137" s="98">
        <f>'Runs Z score'!D130</f>
        <v/>
      </c>
      <c r="E137" s="98">
        <f>'Runs Z score'!E130</f>
        <v/>
      </c>
      <c r="F137" s="98">
        <f>'Runs Z score'!F130</f>
        <v/>
      </c>
      <c r="G137" s="99">
        <f>'Runs Z score'!G130</f>
        <v/>
      </c>
      <c r="H137" s="100">
        <f>VLOOKUP(C137,Recipes!$A$2:$N$4,10,FALSE())</f>
        <v/>
      </c>
      <c r="I137" s="101">
        <f>VLOOKUP(C137,Recipes!$A$2:$N$4,12,FALSE())</f>
        <v/>
      </c>
      <c r="J137" s="100">
        <f>IF(G137="","",H137-G137)</f>
        <v/>
      </c>
      <c r="K137" s="100">
        <f>IF(G137="","",-0.5*((J137-Components!$D$2)/Components!$E$2)^2)</f>
        <v/>
      </c>
      <c r="L137" s="100">
        <f>IF(G137="","",-0.5*((J137-Components!$D$3)/Components!$E$3)^2)</f>
        <v/>
      </c>
      <c r="M137" s="100">
        <f>IF(G137="","",-0.5*((J137-Components!$D$4)/Components!$E$4)^2)</f>
        <v/>
      </c>
      <c r="N137" s="100">
        <f>IF(G137="","",-0.5*((J137-Components!$D$5)/Components!$E$5)^2)</f>
        <v/>
      </c>
      <c r="O137" s="100">
        <f>IF(G137="","",-0.5*((J137-Components!$D$6)/Components!$E$6)^2)</f>
        <v/>
      </c>
      <c r="P137" s="100">
        <f>IF(G137="","",-0.5*((J137-Components!$D$7)/Components!$E$7)^2)</f>
        <v/>
      </c>
      <c r="Q137" s="100">
        <f>IF(G137="","",EXP(LARGE(K137:P137,1)-MAX(K137:P137))/(EXP(K137-MAX(K137:P137))+EXP(L137-MAX(K137:P137))+EXP(M137-MAX(K137:P137))+EXP(N137-MAX(K137:P137))+EXP(O137-MAX(K137:P137))+EXP(P137-MAX(K137:P137))))</f>
        <v/>
      </c>
      <c r="R137" s="100">
        <f>IF(G137="","",EXP(LARGE(K137:P137,2)-MAX(K137:P137))/(EXP(K137-MAX(K137:P137))+EXP(L137-MAX(K137:P137))+EXP(M137-MAX(K137:P137))+EXP(N137-MAX(K137:P137))+EXP(O137-MAX(K137:P137))+EXP(P137-MAX(K137:P137))))</f>
        <v/>
      </c>
      <c r="S137" s="100">
        <f>IF(G137="","",Q137-R137)</f>
        <v/>
      </c>
      <c r="T137" s="98">
        <f>IF(G137="","",IF(AND(G137&gt;=H137-$B$6*I137,G137&lt;=H137+$B$6*I137),"OK","NG"))</f>
        <v/>
      </c>
      <c r="U137" s="69">
        <f>IF(T137="","",IF(T137=D137,1,0))</f>
        <v/>
      </c>
      <c r="V137" s="98">
        <f>IF(G137="","",IF(T137="OK","NONE",INDEX({"S1","S2","W1","W2","N1","N2"},MATCH(MAX(K137:P137),K137:P137,0))))</f>
        <v/>
      </c>
      <c r="W137" s="69">
        <f>IF(G137="","",IF(V137=E137,1,0))</f>
        <v/>
      </c>
      <c r="X137" s="115">
        <f>IF(G137="","",IF(AND(T137="NG",S137&lt;$B$7),"AMBIGUOUS","CONFIDENT"))</f>
        <v/>
      </c>
    </row>
    <row r="138">
      <c r="A138" s="102">
        <f>'Runs Z score'!A131</f>
        <v/>
      </c>
      <c r="B138" s="98">
        <f>'Runs Z score'!B131</f>
        <v/>
      </c>
      <c r="C138" s="98">
        <f>'Runs Z score'!C131</f>
        <v/>
      </c>
      <c r="D138" s="98">
        <f>'Runs Z score'!D131</f>
        <v/>
      </c>
      <c r="E138" s="98">
        <f>'Runs Z score'!E131</f>
        <v/>
      </c>
      <c r="F138" s="98">
        <f>'Runs Z score'!F131</f>
        <v/>
      </c>
      <c r="G138" s="99">
        <f>'Runs Z score'!G131</f>
        <v/>
      </c>
      <c r="H138" s="100">
        <f>VLOOKUP(C138,Recipes!$A$2:$N$4,10,FALSE())</f>
        <v/>
      </c>
      <c r="I138" s="101">
        <f>VLOOKUP(C138,Recipes!$A$2:$N$4,12,FALSE())</f>
        <v/>
      </c>
      <c r="J138" s="100">
        <f>IF(G138="","",H138-G138)</f>
        <v/>
      </c>
      <c r="K138" s="100">
        <f>IF(G138="","",-0.5*((J138-Components!$D$2)/Components!$E$2)^2)</f>
        <v/>
      </c>
      <c r="L138" s="100">
        <f>IF(G138="","",-0.5*((J138-Components!$D$3)/Components!$E$3)^2)</f>
        <v/>
      </c>
      <c r="M138" s="100">
        <f>IF(G138="","",-0.5*((J138-Components!$D$4)/Components!$E$4)^2)</f>
        <v/>
      </c>
      <c r="N138" s="100">
        <f>IF(G138="","",-0.5*((J138-Components!$D$5)/Components!$E$5)^2)</f>
        <v/>
      </c>
      <c r="O138" s="100">
        <f>IF(G138="","",-0.5*((J138-Components!$D$6)/Components!$E$6)^2)</f>
        <v/>
      </c>
      <c r="P138" s="100">
        <f>IF(G138="","",-0.5*((J138-Components!$D$7)/Components!$E$7)^2)</f>
        <v/>
      </c>
      <c r="Q138" s="100">
        <f>IF(G138="","",EXP(LARGE(K138:P138,1)-MAX(K138:P138))/(EXP(K138-MAX(K138:P138))+EXP(L138-MAX(K138:P138))+EXP(M138-MAX(K138:P138))+EXP(N138-MAX(K138:P138))+EXP(O138-MAX(K138:P138))+EXP(P138-MAX(K138:P138))))</f>
        <v/>
      </c>
      <c r="R138" s="100">
        <f>IF(G138="","",EXP(LARGE(K138:P138,2)-MAX(K138:P138))/(EXP(K138-MAX(K138:P138))+EXP(L138-MAX(K138:P138))+EXP(M138-MAX(K138:P138))+EXP(N138-MAX(K138:P138))+EXP(O138-MAX(K138:P138))+EXP(P138-MAX(K138:P138))))</f>
        <v/>
      </c>
      <c r="S138" s="100">
        <f>IF(G138="","",Q138-R138)</f>
        <v/>
      </c>
      <c r="T138" s="98">
        <f>IF(G138="","",IF(AND(G138&gt;=H138-$B$6*I138,G138&lt;=H138+$B$6*I138),"OK","NG"))</f>
        <v/>
      </c>
      <c r="U138" s="69">
        <f>IF(T138="","",IF(T138=D138,1,0))</f>
        <v/>
      </c>
      <c r="V138" s="98">
        <f>IF(G138="","",IF(T138="OK","NONE",INDEX({"S1","S2","W1","W2","N1","N2"},MATCH(MAX(K138:P138),K138:P138,0))))</f>
        <v/>
      </c>
      <c r="W138" s="69">
        <f>IF(G138="","",IF(V138=E138,1,0))</f>
        <v/>
      </c>
      <c r="X138" s="115">
        <f>IF(G138="","",IF(AND(T138="NG",S138&lt;$B$7),"AMBIGUOUS","CONFIDENT"))</f>
        <v/>
      </c>
    </row>
    <row r="139">
      <c r="A139" s="102">
        <f>'Runs Z score'!A132</f>
        <v/>
      </c>
      <c r="B139" s="98">
        <f>'Runs Z score'!B132</f>
        <v/>
      </c>
      <c r="C139" s="98">
        <f>'Runs Z score'!C132</f>
        <v/>
      </c>
      <c r="D139" s="98">
        <f>'Runs Z score'!D132</f>
        <v/>
      </c>
      <c r="E139" s="98">
        <f>'Runs Z score'!E132</f>
        <v/>
      </c>
      <c r="F139" s="98">
        <f>'Runs Z score'!F132</f>
        <v/>
      </c>
      <c r="G139" s="99">
        <f>'Runs Z score'!G132</f>
        <v/>
      </c>
      <c r="H139" s="100">
        <f>VLOOKUP(C139,Recipes!$A$2:$N$4,10,FALSE())</f>
        <v/>
      </c>
      <c r="I139" s="101">
        <f>VLOOKUP(C139,Recipes!$A$2:$N$4,12,FALSE())</f>
        <v/>
      </c>
      <c r="J139" s="100">
        <f>IF(G139="","",H139-G139)</f>
        <v/>
      </c>
      <c r="K139" s="100">
        <f>IF(G139="","",-0.5*((J139-Components!$D$2)/Components!$E$2)^2)</f>
        <v/>
      </c>
      <c r="L139" s="100">
        <f>IF(G139="","",-0.5*((J139-Components!$D$3)/Components!$E$3)^2)</f>
        <v/>
      </c>
      <c r="M139" s="100">
        <f>IF(G139="","",-0.5*((J139-Components!$D$4)/Components!$E$4)^2)</f>
        <v/>
      </c>
      <c r="N139" s="100">
        <f>IF(G139="","",-0.5*((J139-Components!$D$5)/Components!$E$5)^2)</f>
        <v/>
      </c>
      <c r="O139" s="100">
        <f>IF(G139="","",-0.5*((J139-Components!$D$6)/Components!$E$6)^2)</f>
        <v/>
      </c>
      <c r="P139" s="100">
        <f>IF(G139="","",-0.5*((J139-Components!$D$7)/Components!$E$7)^2)</f>
        <v/>
      </c>
      <c r="Q139" s="100">
        <f>IF(G139="","",EXP(LARGE(K139:P139,1)-MAX(K139:P139))/(EXP(K139-MAX(K139:P139))+EXP(L139-MAX(K139:P139))+EXP(M139-MAX(K139:P139))+EXP(N139-MAX(K139:P139))+EXP(O139-MAX(K139:P139))+EXP(P139-MAX(K139:P139))))</f>
        <v/>
      </c>
      <c r="R139" s="100">
        <f>IF(G139="","",EXP(LARGE(K139:P139,2)-MAX(K139:P139))/(EXP(K139-MAX(K139:P139))+EXP(L139-MAX(K139:P139))+EXP(M139-MAX(K139:P139))+EXP(N139-MAX(K139:P139))+EXP(O139-MAX(K139:P139))+EXP(P139-MAX(K139:P139))))</f>
        <v/>
      </c>
      <c r="S139" s="100">
        <f>IF(G139="","",Q139-R139)</f>
        <v/>
      </c>
      <c r="T139" s="98">
        <f>IF(G139="","",IF(AND(G139&gt;=H139-$B$6*I139,G139&lt;=H139+$B$6*I139),"OK","NG"))</f>
        <v/>
      </c>
      <c r="U139" s="69">
        <f>IF(T139="","",IF(T139=D139,1,0))</f>
        <v/>
      </c>
      <c r="V139" s="98">
        <f>IF(G139="","",IF(T139="OK","NONE",INDEX({"S1","S2","W1","W2","N1","N2"},MATCH(MAX(K139:P139),K139:P139,0))))</f>
        <v/>
      </c>
      <c r="W139" s="69">
        <f>IF(G139="","",IF(V139=E139,1,0))</f>
        <v/>
      </c>
      <c r="X139" s="115">
        <f>IF(G139="","",IF(AND(T139="NG",S139&lt;$B$7),"AMBIGUOUS","CONFIDENT"))</f>
        <v/>
      </c>
    </row>
    <row r="140">
      <c r="A140" s="102">
        <f>'Runs Z score'!A133</f>
        <v/>
      </c>
      <c r="B140" s="98">
        <f>'Runs Z score'!B133</f>
        <v/>
      </c>
      <c r="C140" s="98">
        <f>'Runs Z score'!C133</f>
        <v/>
      </c>
      <c r="D140" s="98">
        <f>'Runs Z score'!D133</f>
        <v/>
      </c>
      <c r="E140" s="98">
        <f>'Runs Z score'!E133</f>
        <v/>
      </c>
      <c r="F140" s="98">
        <f>'Runs Z score'!F133</f>
        <v/>
      </c>
      <c r="G140" s="99">
        <f>'Runs Z score'!G133</f>
        <v/>
      </c>
      <c r="H140" s="100">
        <f>VLOOKUP(C140,Recipes!$A$2:$N$4,10,FALSE())</f>
        <v/>
      </c>
      <c r="I140" s="101">
        <f>VLOOKUP(C140,Recipes!$A$2:$N$4,12,FALSE())</f>
        <v/>
      </c>
      <c r="J140" s="100">
        <f>IF(G140="","",H140-G140)</f>
        <v/>
      </c>
      <c r="K140" s="100">
        <f>IF(G140="","",-0.5*((J140-Components!$D$2)/Components!$E$2)^2)</f>
        <v/>
      </c>
      <c r="L140" s="100">
        <f>IF(G140="","",-0.5*((J140-Components!$D$3)/Components!$E$3)^2)</f>
        <v/>
      </c>
      <c r="M140" s="100">
        <f>IF(G140="","",-0.5*((J140-Components!$D$4)/Components!$E$4)^2)</f>
        <v/>
      </c>
      <c r="N140" s="100">
        <f>IF(G140="","",-0.5*((J140-Components!$D$5)/Components!$E$5)^2)</f>
        <v/>
      </c>
      <c r="O140" s="100">
        <f>IF(G140="","",-0.5*((J140-Components!$D$6)/Components!$E$6)^2)</f>
        <v/>
      </c>
      <c r="P140" s="100">
        <f>IF(G140="","",-0.5*((J140-Components!$D$7)/Components!$E$7)^2)</f>
        <v/>
      </c>
      <c r="Q140" s="100">
        <f>IF(G140="","",EXP(LARGE(K140:P140,1)-MAX(K140:P140))/(EXP(K140-MAX(K140:P140))+EXP(L140-MAX(K140:P140))+EXP(M140-MAX(K140:P140))+EXP(N140-MAX(K140:P140))+EXP(O140-MAX(K140:P140))+EXP(P140-MAX(K140:P140))))</f>
        <v/>
      </c>
      <c r="R140" s="100">
        <f>IF(G140="","",EXP(LARGE(K140:P140,2)-MAX(K140:P140))/(EXP(K140-MAX(K140:P140))+EXP(L140-MAX(K140:P140))+EXP(M140-MAX(K140:P140))+EXP(N140-MAX(K140:P140))+EXP(O140-MAX(K140:P140))+EXP(P140-MAX(K140:P140))))</f>
        <v/>
      </c>
      <c r="S140" s="100">
        <f>IF(G140="","",Q140-R140)</f>
        <v/>
      </c>
      <c r="T140" s="98">
        <f>IF(G140="","",IF(AND(G140&gt;=H140-$B$6*I140,G140&lt;=H140+$B$6*I140),"OK","NG"))</f>
        <v/>
      </c>
      <c r="U140" s="69">
        <f>IF(T140="","",IF(T140=D140,1,0))</f>
        <v/>
      </c>
      <c r="V140" s="98">
        <f>IF(G140="","",IF(T140="OK","NONE",INDEX({"S1","S2","W1","W2","N1","N2"},MATCH(MAX(K140:P140),K140:P140,0))))</f>
        <v/>
      </c>
      <c r="W140" s="69">
        <f>IF(G140="","",IF(V140=E140,1,0))</f>
        <v/>
      </c>
      <c r="X140" s="115">
        <f>IF(G140="","",IF(AND(T140="NG",S140&lt;$B$7),"AMBIGUOUS","CONFIDENT"))</f>
        <v/>
      </c>
    </row>
    <row r="141">
      <c r="A141" s="102">
        <f>'Runs Z score'!A134</f>
        <v/>
      </c>
      <c r="B141" s="98">
        <f>'Runs Z score'!B134</f>
        <v/>
      </c>
      <c r="C141" s="98">
        <f>'Runs Z score'!C134</f>
        <v/>
      </c>
      <c r="D141" s="98">
        <f>'Runs Z score'!D134</f>
        <v/>
      </c>
      <c r="E141" s="98">
        <f>'Runs Z score'!E134</f>
        <v/>
      </c>
      <c r="F141" s="98">
        <f>'Runs Z score'!F134</f>
        <v/>
      </c>
      <c r="G141" s="99">
        <f>'Runs Z score'!G134</f>
        <v/>
      </c>
      <c r="H141" s="100">
        <f>VLOOKUP(C141,Recipes!$A$2:$N$4,10,FALSE())</f>
        <v/>
      </c>
      <c r="I141" s="101">
        <f>VLOOKUP(C141,Recipes!$A$2:$N$4,12,FALSE())</f>
        <v/>
      </c>
      <c r="J141" s="100">
        <f>IF(G141="","",H141-G141)</f>
        <v/>
      </c>
      <c r="K141" s="100">
        <f>IF(G141="","",-0.5*((J141-Components!$D$2)/Components!$E$2)^2)</f>
        <v/>
      </c>
      <c r="L141" s="100">
        <f>IF(G141="","",-0.5*((J141-Components!$D$3)/Components!$E$3)^2)</f>
        <v/>
      </c>
      <c r="M141" s="100">
        <f>IF(G141="","",-0.5*((J141-Components!$D$4)/Components!$E$4)^2)</f>
        <v/>
      </c>
      <c r="N141" s="100">
        <f>IF(G141="","",-0.5*((J141-Components!$D$5)/Components!$E$5)^2)</f>
        <v/>
      </c>
      <c r="O141" s="100">
        <f>IF(G141="","",-0.5*((J141-Components!$D$6)/Components!$E$6)^2)</f>
        <v/>
      </c>
      <c r="P141" s="100">
        <f>IF(G141="","",-0.5*((J141-Components!$D$7)/Components!$E$7)^2)</f>
        <v/>
      </c>
      <c r="Q141" s="100">
        <f>IF(G141="","",EXP(LARGE(K141:P141,1)-MAX(K141:P141))/(EXP(K141-MAX(K141:P141))+EXP(L141-MAX(K141:P141))+EXP(M141-MAX(K141:P141))+EXP(N141-MAX(K141:P141))+EXP(O141-MAX(K141:P141))+EXP(P141-MAX(K141:P141))))</f>
        <v/>
      </c>
      <c r="R141" s="100">
        <f>IF(G141="","",EXP(LARGE(K141:P141,2)-MAX(K141:P141))/(EXP(K141-MAX(K141:P141))+EXP(L141-MAX(K141:P141))+EXP(M141-MAX(K141:P141))+EXP(N141-MAX(K141:P141))+EXP(O141-MAX(K141:P141))+EXP(P141-MAX(K141:P141))))</f>
        <v/>
      </c>
      <c r="S141" s="100">
        <f>IF(G141="","",Q141-R141)</f>
        <v/>
      </c>
      <c r="T141" s="98">
        <f>IF(G141="","",IF(AND(G141&gt;=H141-$B$6*I141,G141&lt;=H141+$B$6*I141),"OK","NG"))</f>
        <v/>
      </c>
      <c r="U141" s="69">
        <f>IF(T141="","",IF(T141=D141,1,0))</f>
        <v/>
      </c>
      <c r="V141" s="98">
        <f>IF(G141="","",IF(T141="OK","NONE",INDEX({"S1","S2","W1","W2","N1","N2"},MATCH(MAX(K141:P141),K141:P141,0))))</f>
        <v/>
      </c>
      <c r="W141" s="69">
        <f>IF(G141="","",IF(V141=E141,1,0))</f>
        <v/>
      </c>
      <c r="X141" s="115">
        <f>IF(G141="","",IF(AND(T141="NG",S141&lt;$B$7),"AMBIGUOUS","CONFIDENT"))</f>
        <v/>
      </c>
    </row>
    <row r="142">
      <c r="A142" s="102">
        <f>'Runs Z score'!A135</f>
        <v/>
      </c>
      <c r="B142" s="98">
        <f>'Runs Z score'!B135</f>
        <v/>
      </c>
      <c r="C142" s="98">
        <f>'Runs Z score'!C135</f>
        <v/>
      </c>
      <c r="D142" s="98">
        <f>'Runs Z score'!D135</f>
        <v/>
      </c>
      <c r="E142" s="98">
        <f>'Runs Z score'!E135</f>
        <v/>
      </c>
      <c r="F142" s="98">
        <f>'Runs Z score'!F135</f>
        <v/>
      </c>
      <c r="G142" s="99">
        <f>'Runs Z score'!G135</f>
        <v/>
      </c>
      <c r="H142" s="100">
        <f>VLOOKUP(C142,Recipes!$A$2:$N$4,10,FALSE())</f>
        <v/>
      </c>
      <c r="I142" s="101">
        <f>VLOOKUP(C142,Recipes!$A$2:$N$4,12,FALSE())</f>
        <v/>
      </c>
      <c r="J142" s="100">
        <f>IF(G142="","",H142-G142)</f>
        <v/>
      </c>
      <c r="K142" s="100">
        <f>IF(G142="","",-0.5*((J142-Components!$D$2)/Components!$E$2)^2)</f>
        <v/>
      </c>
      <c r="L142" s="100">
        <f>IF(G142="","",-0.5*((J142-Components!$D$3)/Components!$E$3)^2)</f>
        <v/>
      </c>
      <c r="M142" s="100">
        <f>IF(G142="","",-0.5*((J142-Components!$D$4)/Components!$E$4)^2)</f>
        <v/>
      </c>
      <c r="N142" s="100">
        <f>IF(G142="","",-0.5*((J142-Components!$D$5)/Components!$E$5)^2)</f>
        <v/>
      </c>
      <c r="O142" s="100">
        <f>IF(G142="","",-0.5*((J142-Components!$D$6)/Components!$E$6)^2)</f>
        <v/>
      </c>
      <c r="P142" s="100">
        <f>IF(G142="","",-0.5*((J142-Components!$D$7)/Components!$E$7)^2)</f>
        <v/>
      </c>
      <c r="Q142" s="100">
        <f>IF(G142="","",EXP(LARGE(K142:P142,1)-MAX(K142:P142))/(EXP(K142-MAX(K142:P142))+EXP(L142-MAX(K142:P142))+EXP(M142-MAX(K142:P142))+EXP(N142-MAX(K142:P142))+EXP(O142-MAX(K142:P142))+EXP(P142-MAX(K142:P142))))</f>
        <v/>
      </c>
      <c r="R142" s="100">
        <f>IF(G142="","",EXP(LARGE(K142:P142,2)-MAX(K142:P142))/(EXP(K142-MAX(K142:P142))+EXP(L142-MAX(K142:P142))+EXP(M142-MAX(K142:P142))+EXP(N142-MAX(K142:P142))+EXP(O142-MAX(K142:P142))+EXP(P142-MAX(K142:P142))))</f>
        <v/>
      </c>
      <c r="S142" s="100">
        <f>IF(G142="","",Q142-R142)</f>
        <v/>
      </c>
      <c r="T142" s="98">
        <f>IF(G142="","",IF(AND(G142&gt;=H142-$B$6*I142,G142&lt;=H142+$B$6*I142),"OK","NG"))</f>
        <v/>
      </c>
      <c r="U142" s="69">
        <f>IF(T142="","",IF(T142=D142,1,0))</f>
        <v/>
      </c>
      <c r="V142" s="98">
        <f>IF(G142="","",IF(T142="OK","NONE",INDEX({"S1","S2","W1","W2","N1","N2"},MATCH(MAX(K142:P142),K142:P142,0))))</f>
        <v/>
      </c>
      <c r="W142" s="69">
        <f>IF(G142="","",IF(V142=E142,1,0))</f>
        <v/>
      </c>
      <c r="X142" s="115">
        <f>IF(G142="","",IF(AND(T142="NG",S142&lt;$B$7),"AMBIGUOUS","CONFIDENT"))</f>
        <v/>
      </c>
    </row>
    <row r="143">
      <c r="A143" s="102">
        <f>'Runs Z score'!A136</f>
        <v/>
      </c>
      <c r="B143" s="98">
        <f>'Runs Z score'!B136</f>
        <v/>
      </c>
      <c r="C143" s="98">
        <f>'Runs Z score'!C136</f>
        <v/>
      </c>
      <c r="D143" s="98">
        <f>'Runs Z score'!D136</f>
        <v/>
      </c>
      <c r="E143" s="98">
        <f>'Runs Z score'!E136</f>
        <v/>
      </c>
      <c r="F143" s="98">
        <f>'Runs Z score'!F136</f>
        <v/>
      </c>
      <c r="G143" s="99">
        <f>'Runs Z score'!G136</f>
        <v/>
      </c>
      <c r="H143" s="100">
        <f>VLOOKUP(C143,Recipes!$A$2:$N$4,10,FALSE())</f>
        <v/>
      </c>
      <c r="I143" s="101">
        <f>VLOOKUP(C143,Recipes!$A$2:$N$4,12,FALSE())</f>
        <v/>
      </c>
      <c r="J143" s="100">
        <f>IF(G143="","",H143-G143)</f>
        <v/>
      </c>
      <c r="K143" s="100">
        <f>IF(G143="","",-0.5*((J143-Components!$D$2)/Components!$E$2)^2)</f>
        <v/>
      </c>
      <c r="L143" s="100">
        <f>IF(G143="","",-0.5*((J143-Components!$D$3)/Components!$E$3)^2)</f>
        <v/>
      </c>
      <c r="M143" s="100">
        <f>IF(G143="","",-0.5*((J143-Components!$D$4)/Components!$E$4)^2)</f>
        <v/>
      </c>
      <c r="N143" s="100">
        <f>IF(G143="","",-0.5*((J143-Components!$D$5)/Components!$E$5)^2)</f>
        <v/>
      </c>
      <c r="O143" s="100">
        <f>IF(G143="","",-0.5*((J143-Components!$D$6)/Components!$E$6)^2)</f>
        <v/>
      </c>
      <c r="P143" s="100">
        <f>IF(G143="","",-0.5*((J143-Components!$D$7)/Components!$E$7)^2)</f>
        <v/>
      </c>
      <c r="Q143" s="100">
        <f>IF(G143="","",EXP(LARGE(K143:P143,1)-MAX(K143:P143))/(EXP(K143-MAX(K143:P143))+EXP(L143-MAX(K143:P143))+EXP(M143-MAX(K143:P143))+EXP(N143-MAX(K143:P143))+EXP(O143-MAX(K143:P143))+EXP(P143-MAX(K143:P143))))</f>
        <v/>
      </c>
      <c r="R143" s="100">
        <f>IF(G143="","",EXP(LARGE(K143:P143,2)-MAX(K143:P143))/(EXP(K143-MAX(K143:P143))+EXP(L143-MAX(K143:P143))+EXP(M143-MAX(K143:P143))+EXP(N143-MAX(K143:P143))+EXP(O143-MAX(K143:P143))+EXP(P143-MAX(K143:P143))))</f>
        <v/>
      </c>
      <c r="S143" s="100">
        <f>IF(G143="","",Q143-R143)</f>
        <v/>
      </c>
      <c r="T143" s="98">
        <f>IF(G143="","",IF(AND(G143&gt;=H143-$B$6*I143,G143&lt;=H143+$B$6*I143),"OK","NG"))</f>
        <v/>
      </c>
      <c r="U143" s="69">
        <f>IF(T143="","",IF(T143=D143,1,0))</f>
        <v/>
      </c>
      <c r="V143" s="98">
        <f>IF(G143="","",IF(T143="OK","NONE",INDEX({"S1","S2","W1","W2","N1","N2"},MATCH(MAX(K143:P143),K143:P143,0))))</f>
        <v/>
      </c>
      <c r="W143" s="69">
        <f>IF(G143="","",IF(V143=E143,1,0))</f>
        <v/>
      </c>
      <c r="X143" s="115">
        <f>IF(G143="","",IF(AND(T143="NG",S143&lt;$B$7),"AMBIGUOUS","CONFIDENT"))</f>
        <v/>
      </c>
    </row>
    <row r="144">
      <c r="A144" s="102">
        <f>'Runs Z score'!A137</f>
        <v/>
      </c>
      <c r="B144" s="98">
        <f>'Runs Z score'!B137</f>
        <v/>
      </c>
      <c r="C144" s="98">
        <f>'Runs Z score'!C137</f>
        <v/>
      </c>
      <c r="D144" s="98">
        <f>'Runs Z score'!D137</f>
        <v/>
      </c>
      <c r="E144" s="98">
        <f>'Runs Z score'!E137</f>
        <v/>
      </c>
      <c r="F144" s="98">
        <f>'Runs Z score'!F137</f>
        <v/>
      </c>
      <c r="G144" s="99">
        <f>'Runs Z score'!G137</f>
        <v/>
      </c>
      <c r="H144" s="100">
        <f>VLOOKUP(C144,Recipes!$A$2:$N$4,10,FALSE())</f>
        <v/>
      </c>
      <c r="I144" s="101">
        <f>VLOOKUP(C144,Recipes!$A$2:$N$4,12,FALSE())</f>
        <v/>
      </c>
      <c r="J144" s="100">
        <f>IF(G144="","",H144-G144)</f>
        <v/>
      </c>
      <c r="K144" s="100">
        <f>IF(G144="","",-0.5*((J144-Components!$D$2)/Components!$E$2)^2)</f>
        <v/>
      </c>
      <c r="L144" s="100">
        <f>IF(G144="","",-0.5*((J144-Components!$D$3)/Components!$E$3)^2)</f>
        <v/>
      </c>
      <c r="M144" s="100">
        <f>IF(G144="","",-0.5*((J144-Components!$D$4)/Components!$E$4)^2)</f>
        <v/>
      </c>
      <c r="N144" s="100">
        <f>IF(G144="","",-0.5*((J144-Components!$D$5)/Components!$E$5)^2)</f>
        <v/>
      </c>
      <c r="O144" s="100">
        <f>IF(G144="","",-0.5*((J144-Components!$D$6)/Components!$E$6)^2)</f>
        <v/>
      </c>
      <c r="P144" s="100">
        <f>IF(G144="","",-0.5*((J144-Components!$D$7)/Components!$E$7)^2)</f>
        <v/>
      </c>
      <c r="Q144" s="100">
        <f>IF(G144="","",EXP(LARGE(K144:P144,1)-MAX(K144:P144))/(EXP(K144-MAX(K144:P144))+EXP(L144-MAX(K144:P144))+EXP(M144-MAX(K144:P144))+EXP(N144-MAX(K144:P144))+EXP(O144-MAX(K144:P144))+EXP(P144-MAX(K144:P144))))</f>
        <v/>
      </c>
      <c r="R144" s="100">
        <f>IF(G144="","",EXP(LARGE(K144:P144,2)-MAX(K144:P144))/(EXP(K144-MAX(K144:P144))+EXP(L144-MAX(K144:P144))+EXP(M144-MAX(K144:P144))+EXP(N144-MAX(K144:P144))+EXP(O144-MAX(K144:P144))+EXP(P144-MAX(K144:P144))))</f>
        <v/>
      </c>
      <c r="S144" s="100">
        <f>IF(G144="","",Q144-R144)</f>
        <v/>
      </c>
      <c r="T144" s="98">
        <f>IF(G144="","",IF(AND(G144&gt;=H144-$B$6*I144,G144&lt;=H144+$B$6*I144),"OK","NG"))</f>
        <v/>
      </c>
      <c r="U144" s="69">
        <f>IF(T144="","",IF(T144=D144,1,0))</f>
        <v/>
      </c>
      <c r="V144" s="98">
        <f>IF(G144="","",IF(T144="OK","NONE",INDEX({"S1","S2","W1","W2","N1","N2"},MATCH(MAX(K144:P144),K144:P144,0))))</f>
        <v/>
      </c>
      <c r="W144" s="69">
        <f>IF(G144="","",IF(V144=E144,1,0))</f>
        <v/>
      </c>
      <c r="X144" s="115">
        <f>IF(G144="","",IF(AND(T144="NG",S144&lt;$B$7),"AMBIGUOUS","CONFIDENT"))</f>
        <v/>
      </c>
    </row>
    <row r="145">
      <c r="A145" s="102">
        <f>'Runs Z score'!A138</f>
        <v/>
      </c>
      <c r="B145" s="98">
        <f>'Runs Z score'!B138</f>
        <v/>
      </c>
      <c r="C145" s="98">
        <f>'Runs Z score'!C138</f>
        <v/>
      </c>
      <c r="D145" s="98">
        <f>'Runs Z score'!D138</f>
        <v/>
      </c>
      <c r="E145" s="98">
        <f>'Runs Z score'!E138</f>
        <v/>
      </c>
      <c r="F145" s="98">
        <f>'Runs Z score'!F138</f>
        <v/>
      </c>
      <c r="G145" s="99">
        <f>'Runs Z score'!G138</f>
        <v/>
      </c>
      <c r="H145" s="100">
        <f>VLOOKUP(C145,Recipes!$A$2:$N$4,10,FALSE())</f>
        <v/>
      </c>
      <c r="I145" s="101">
        <f>VLOOKUP(C145,Recipes!$A$2:$N$4,12,FALSE())</f>
        <v/>
      </c>
      <c r="J145" s="100">
        <f>IF(G145="","",H145-G145)</f>
        <v/>
      </c>
      <c r="K145" s="100">
        <f>IF(G145="","",-0.5*((J145-Components!$D$2)/Components!$E$2)^2)</f>
        <v/>
      </c>
      <c r="L145" s="100">
        <f>IF(G145="","",-0.5*((J145-Components!$D$3)/Components!$E$3)^2)</f>
        <v/>
      </c>
      <c r="M145" s="100">
        <f>IF(G145="","",-0.5*((J145-Components!$D$4)/Components!$E$4)^2)</f>
        <v/>
      </c>
      <c r="N145" s="100">
        <f>IF(G145="","",-0.5*((J145-Components!$D$5)/Components!$E$5)^2)</f>
        <v/>
      </c>
      <c r="O145" s="100">
        <f>IF(G145="","",-0.5*((J145-Components!$D$6)/Components!$E$6)^2)</f>
        <v/>
      </c>
      <c r="P145" s="100">
        <f>IF(G145="","",-0.5*((J145-Components!$D$7)/Components!$E$7)^2)</f>
        <v/>
      </c>
      <c r="Q145" s="100">
        <f>IF(G145="","",EXP(LARGE(K145:P145,1)-MAX(K145:P145))/(EXP(K145-MAX(K145:P145))+EXP(L145-MAX(K145:P145))+EXP(M145-MAX(K145:P145))+EXP(N145-MAX(K145:P145))+EXP(O145-MAX(K145:P145))+EXP(P145-MAX(K145:P145))))</f>
        <v/>
      </c>
      <c r="R145" s="100">
        <f>IF(G145="","",EXP(LARGE(K145:P145,2)-MAX(K145:P145))/(EXP(K145-MAX(K145:P145))+EXP(L145-MAX(K145:P145))+EXP(M145-MAX(K145:P145))+EXP(N145-MAX(K145:P145))+EXP(O145-MAX(K145:P145))+EXP(P145-MAX(K145:P145))))</f>
        <v/>
      </c>
      <c r="S145" s="100">
        <f>IF(G145="","",Q145-R145)</f>
        <v/>
      </c>
      <c r="T145" s="98">
        <f>IF(G145="","",IF(AND(G145&gt;=H145-$B$6*I145,G145&lt;=H145+$B$6*I145),"OK","NG"))</f>
        <v/>
      </c>
      <c r="U145" s="69">
        <f>IF(T145="","",IF(T145=D145,1,0))</f>
        <v/>
      </c>
      <c r="V145" s="98">
        <f>IF(G145="","",IF(T145="OK","NONE",INDEX({"S1","S2","W1","W2","N1","N2"},MATCH(MAX(K145:P145),K145:P145,0))))</f>
        <v/>
      </c>
      <c r="W145" s="69">
        <f>IF(G145="","",IF(V145=E145,1,0))</f>
        <v/>
      </c>
      <c r="X145" s="115">
        <f>IF(G145="","",IF(AND(T145="NG",S145&lt;$B$7),"AMBIGUOUS","CONFIDENT"))</f>
        <v/>
      </c>
    </row>
    <row r="146">
      <c r="A146" s="102">
        <f>'Runs Z score'!A139</f>
        <v/>
      </c>
      <c r="B146" s="98">
        <f>'Runs Z score'!B139</f>
        <v/>
      </c>
      <c r="C146" s="98">
        <f>'Runs Z score'!C139</f>
        <v/>
      </c>
      <c r="D146" s="98">
        <f>'Runs Z score'!D139</f>
        <v/>
      </c>
      <c r="E146" s="98">
        <f>'Runs Z score'!E139</f>
        <v/>
      </c>
      <c r="F146" s="98">
        <f>'Runs Z score'!F139</f>
        <v/>
      </c>
      <c r="G146" s="99">
        <f>'Runs Z score'!G139</f>
        <v/>
      </c>
      <c r="H146" s="100">
        <f>VLOOKUP(C146,Recipes!$A$2:$N$4,10,FALSE())</f>
        <v/>
      </c>
      <c r="I146" s="101">
        <f>VLOOKUP(C146,Recipes!$A$2:$N$4,12,FALSE())</f>
        <v/>
      </c>
      <c r="J146" s="100">
        <f>IF(G146="","",H146-G146)</f>
        <v/>
      </c>
      <c r="K146" s="100">
        <f>IF(G146="","",-0.5*((J146-Components!$D$2)/Components!$E$2)^2)</f>
        <v/>
      </c>
      <c r="L146" s="100">
        <f>IF(G146="","",-0.5*((J146-Components!$D$3)/Components!$E$3)^2)</f>
        <v/>
      </c>
      <c r="M146" s="100">
        <f>IF(G146="","",-0.5*((J146-Components!$D$4)/Components!$E$4)^2)</f>
        <v/>
      </c>
      <c r="N146" s="100">
        <f>IF(G146="","",-0.5*((J146-Components!$D$5)/Components!$E$5)^2)</f>
        <v/>
      </c>
      <c r="O146" s="100">
        <f>IF(G146="","",-0.5*((J146-Components!$D$6)/Components!$E$6)^2)</f>
        <v/>
      </c>
      <c r="P146" s="100">
        <f>IF(G146="","",-0.5*((J146-Components!$D$7)/Components!$E$7)^2)</f>
        <v/>
      </c>
      <c r="Q146" s="100">
        <f>IF(G146="","",EXP(LARGE(K146:P146,1)-MAX(K146:P146))/(EXP(K146-MAX(K146:P146))+EXP(L146-MAX(K146:P146))+EXP(M146-MAX(K146:P146))+EXP(N146-MAX(K146:P146))+EXP(O146-MAX(K146:P146))+EXP(P146-MAX(K146:P146))))</f>
        <v/>
      </c>
      <c r="R146" s="100">
        <f>IF(G146="","",EXP(LARGE(K146:P146,2)-MAX(K146:P146))/(EXP(K146-MAX(K146:P146))+EXP(L146-MAX(K146:P146))+EXP(M146-MAX(K146:P146))+EXP(N146-MAX(K146:P146))+EXP(O146-MAX(K146:P146))+EXP(P146-MAX(K146:P146))))</f>
        <v/>
      </c>
      <c r="S146" s="100">
        <f>IF(G146="","",Q146-R146)</f>
        <v/>
      </c>
      <c r="T146" s="98">
        <f>IF(G146="","",IF(AND(G146&gt;=H146-$B$6*I146,G146&lt;=H146+$B$6*I146),"OK","NG"))</f>
        <v/>
      </c>
      <c r="U146" s="69">
        <f>IF(T146="","",IF(T146=D146,1,0))</f>
        <v/>
      </c>
      <c r="V146" s="98">
        <f>IF(G146="","",IF(T146="OK","NONE",INDEX({"S1","S2","W1","W2","N1","N2"},MATCH(MAX(K146:P146),K146:P146,0))))</f>
        <v/>
      </c>
      <c r="W146" s="69">
        <f>IF(G146="","",IF(V146=E146,1,0))</f>
        <v/>
      </c>
      <c r="X146" s="115">
        <f>IF(G146="","",IF(AND(T146="NG",S146&lt;$B$7),"AMBIGUOUS","CONFIDENT"))</f>
        <v/>
      </c>
    </row>
    <row r="147">
      <c r="A147" s="102">
        <f>'Runs Z score'!A140</f>
        <v/>
      </c>
      <c r="B147" s="98">
        <f>'Runs Z score'!B140</f>
        <v/>
      </c>
      <c r="C147" s="98">
        <f>'Runs Z score'!C140</f>
        <v/>
      </c>
      <c r="D147" s="98">
        <f>'Runs Z score'!D140</f>
        <v/>
      </c>
      <c r="E147" s="98">
        <f>'Runs Z score'!E140</f>
        <v/>
      </c>
      <c r="F147" s="98">
        <f>'Runs Z score'!F140</f>
        <v/>
      </c>
      <c r="G147" s="99">
        <f>'Runs Z score'!G140</f>
        <v/>
      </c>
      <c r="H147" s="100">
        <f>VLOOKUP(C147,Recipes!$A$2:$N$4,10,FALSE())</f>
        <v/>
      </c>
      <c r="I147" s="101">
        <f>VLOOKUP(C147,Recipes!$A$2:$N$4,12,FALSE())</f>
        <v/>
      </c>
      <c r="J147" s="100">
        <f>IF(G147="","",H147-G147)</f>
        <v/>
      </c>
      <c r="K147" s="100">
        <f>IF(G147="","",-0.5*((J147-Components!$D$2)/Components!$E$2)^2)</f>
        <v/>
      </c>
      <c r="L147" s="100">
        <f>IF(G147="","",-0.5*((J147-Components!$D$3)/Components!$E$3)^2)</f>
        <v/>
      </c>
      <c r="M147" s="100">
        <f>IF(G147="","",-0.5*((J147-Components!$D$4)/Components!$E$4)^2)</f>
        <v/>
      </c>
      <c r="N147" s="100">
        <f>IF(G147="","",-0.5*((J147-Components!$D$5)/Components!$E$5)^2)</f>
        <v/>
      </c>
      <c r="O147" s="100">
        <f>IF(G147="","",-0.5*((J147-Components!$D$6)/Components!$E$6)^2)</f>
        <v/>
      </c>
      <c r="P147" s="100">
        <f>IF(G147="","",-0.5*((J147-Components!$D$7)/Components!$E$7)^2)</f>
        <v/>
      </c>
      <c r="Q147" s="100">
        <f>IF(G147="","",EXP(LARGE(K147:P147,1)-MAX(K147:P147))/(EXP(K147-MAX(K147:P147))+EXP(L147-MAX(K147:P147))+EXP(M147-MAX(K147:P147))+EXP(N147-MAX(K147:P147))+EXP(O147-MAX(K147:P147))+EXP(P147-MAX(K147:P147))))</f>
        <v/>
      </c>
      <c r="R147" s="100">
        <f>IF(G147="","",EXP(LARGE(K147:P147,2)-MAX(K147:P147))/(EXP(K147-MAX(K147:P147))+EXP(L147-MAX(K147:P147))+EXP(M147-MAX(K147:P147))+EXP(N147-MAX(K147:P147))+EXP(O147-MAX(K147:P147))+EXP(P147-MAX(K147:P147))))</f>
        <v/>
      </c>
      <c r="S147" s="100">
        <f>IF(G147="","",Q147-R147)</f>
        <v/>
      </c>
      <c r="T147" s="98">
        <f>IF(G147="","",IF(AND(G147&gt;=H147-$B$6*I147,G147&lt;=H147+$B$6*I147),"OK","NG"))</f>
        <v/>
      </c>
      <c r="U147" s="69">
        <f>IF(T147="","",IF(T147=D147,1,0))</f>
        <v/>
      </c>
      <c r="V147" s="98">
        <f>IF(G147="","",IF(T147="OK","NONE",INDEX({"S1","S2","W1","W2","N1","N2"},MATCH(MAX(K147:P147),K147:P147,0))))</f>
        <v/>
      </c>
      <c r="W147" s="69">
        <f>IF(G147="","",IF(V147=E147,1,0))</f>
        <v/>
      </c>
      <c r="X147" s="115">
        <f>IF(G147="","",IF(AND(T147="NG",S147&lt;$B$7),"AMBIGUOUS","CONFIDENT"))</f>
        <v/>
      </c>
    </row>
    <row r="148">
      <c r="A148" s="102">
        <f>'Runs Z score'!A141</f>
        <v/>
      </c>
      <c r="B148" s="98">
        <f>'Runs Z score'!B141</f>
        <v/>
      </c>
      <c r="C148" s="98">
        <f>'Runs Z score'!C141</f>
        <v/>
      </c>
      <c r="D148" s="98">
        <f>'Runs Z score'!D141</f>
        <v/>
      </c>
      <c r="E148" s="98">
        <f>'Runs Z score'!E141</f>
        <v/>
      </c>
      <c r="F148" s="98">
        <f>'Runs Z score'!F141</f>
        <v/>
      </c>
      <c r="G148" s="99">
        <f>'Runs Z score'!G141</f>
        <v/>
      </c>
      <c r="H148" s="100">
        <f>VLOOKUP(C148,Recipes!$A$2:$N$4,10,FALSE())</f>
        <v/>
      </c>
      <c r="I148" s="101">
        <f>VLOOKUP(C148,Recipes!$A$2:$N$4,12,FALSE())</f>
        <v/>
      </c>
      <c r="J148" s="100">
        <f>IF(G148="","",H148-G148)</f>
        <v/>
      </c>
      <c r="K148" s="100">
        <f>IF(G148="","",-0.5*((J148-Components!$D$2)/Components!$E$2)^2)</f>
        <v/>
      </c>
      <c r="L148" s="100">
        <f>IF(G148="","",-0.5*((J148-Components!$D$3)/Components!$E$3)^2)</f>
        <v/>
      </c>
      <c r="M148" s="100">
        <f>IF(G148="","",-0.5*((J148-Components!$D$4)/Components!$E$4)^2)</f>
        <v/>
      </c>
      <c r="N148" s="100">
        <f>IF(G148="","",-0.5*((J148-Components!$D$5)/Components!$E$5)^2)</f>
        <v/>
      </c>
      <c r="O148" s="100">
        <f>IF(G148="","",-0.5*((J148-Components!$D$6)/Components!$E$6)^2)</f>
        <v/>
      </c>
      <c r="P148" s="100">
        <f>IF(G148="","",-0.5*((J148-Components!$D$7)/Components!$E$7)^2)</f>
        <v/>
      </c>
      <c r="Q148" s="100">
        <f>IF(G148="","",EXP(LARGE(K148:P148,1)-MAX(K148:P148))/(EXP(K148-MAX(K148:P148))+EXP(L148-MAX(K148:P148))+EXP(M148-MAX(K148:P148))+EXP(N148-MAX(K148:P148))+EXP(O148-MAX(K148:P148))+EXP(P148-MAX(K148:P148))))</f>
        <v/>
      </c>
      <c r="R148" s="100">
        <f>IF(G148="","",EXP(LARGE(K148:P148,2)-MAX(K148:P148))/(EXP(K148-MAX(K148:P148))+EXP(L148-MAX(K148:P148))+EXP(M148-MAX(K148:P148))+EXP(N148-MAX(K148:P148))+EXP(O148-MAX(K148:P148))+EXP(P148-MAX(K148:P148))))</f>
        <v/>
      </c>
      <c r="S148" s="100">
        <f>IF(G148="","",Q148-R148)</f>
        <v/>
      </c>
      <c r="T148" s="98">
        <f>IF(G148="","",IF(AND(G148&gt;=H148-$B$6*I148,G148&lt;=H148+$B$6*I148),"OK","NG"))</f>
        <v/>
      </c>
      <c r="U148" s="69">
        <f>IF(T148="","",IF(T148=D148,1,0))</f>
        <v/>
      </c>
      <c r="V148" s="98">
        <f>IF(G148="","",IF(T148="OK","NONE",INDEX({"S1","S2","W1","W2","N1","N2"},MATCH(MAX(K148:P148),K148:P148,0))))</f>
        <v/>
      </c>
      <c r="W148" s="69">
        <f>IF(G148="","",IF(V148=E148,1,0))</f>
        <v/>
      </c>
      <c r="X148" s="115">
        <f>IF(G148="","",IF(AND(T148="NG",S148&lt;$B$7),"AMBIGUOUS","CONFIDENT"))</f>
        <v/>
      </c>
    </row>
    <row r="149">
      <c r="A149" s="102">
        <f>'Runs Z score'!A142</f>
        <v/>
      </c>
      <c r="B149" s="98">
        <f>'Runs Z score'!B142</f>
        <v/>
      </c>
      <c r="C149" s="98">
        <f>'Runs Z score'!C142</f>
        <v/>
      </c>
      <c r="D149" s="98">
        <f>'Runs Z score'!D142</f>
        <v/>
      </c>
      <c r="E149" s="98">
        <f>'Runs Z score'!E142</f>
        <v/>
      </c>
      <c r="F149" s="98">
        <f>'Runs Z score'!F142</f>
        <v/>
      </c>
      <c r="G149" s="99">
        <f>'Runs Z score'!G142</f>
        <v/>
      </c>
      <c r="H149" s="100">
        <f>VLOOKUP(C149,Recipes!$A$2:$N$4,10,FALSE())</f>
        <v/>
      </c>
      <c r="I149" s="101">
        <f>VLOOKUP(C149,Recipes!$A$2:$N$4,12,FALSE())</f>
        <v/>
      </c>
      <c r="J149" s="100">
        <f>IF(G149="","",H149-G149)</f>
        <v/>
      </c>
      <c r="K149" s="100">
        <f>IF(G149="","",-0.5*((J149-Components!$D$2)/Components!$E$2)^2)</f>
        <v/>
      </c>
      <c r="L149" s="100">
        <f>IF(G149="","",-0.5*((J149-Components!$D$3)/Components!$E$3)^2)</f>
        <v/>
      </c>
      <c r="M149" s="100">
        <f>IF(G149="","",-0.5*((J149-Components!$D$4)/Components!$E$4)^2)</f>
        <v/>
      </c>
      <c r="N149" s="100">
        <f>IF(G149="","",-0.5*((J149-Components!$D$5)/Components!$E$5)^2)</f>
        <v/>
      </c>
      <c r="O149" s="100">
        <f>IF(G149="","",-0.5*((J149-Components!$D$6)/Components!$E$6)^2)</f>
        <v/>
      </c>
      <c r="P149" s="100">
        <f>IF(G149="","",-0.5*((J149-Components!$D$7)/Components!$E$7)^2)</f>
        <v/>
      </c>
      <c r="Q149" s="100">
        <f>IF(G149="","",EXP(LARGE(K149:P149,1)-MAX(K149:P149))/(EXP(K149-MAX(K149:P149))+EXP(L149-MAX(K149:P149))+EXP(M149-MAX(K149:P149))+EXP(N149-MAX(K149:P149))+EXP(O149-MAX(K149:P149))+EXP(P149-MAX(K149:P149))))</f>
        <v/>
      </c>
      <c r="R149" s="100">
        <f>IF(G149="","",EXP(LARGE(K149:P149,2)-MAX(K149:P149))/(EXP(K149-MAX(K149:P149))+EXP(L149-MAX(K149:P149))+EXP(M149-MAX(K149:P149))+EXP(N149-MAX(K149:P149))+EXP(O149-MAX(K149:P149))+EXP(P149-MAX(K149:P149))))</f>
        <v/>
      </c>
      <c r="S149" s="100">
        <f>IF(G149="","",Q149-R149)</f>
        <v/>
      </c>
      <c r="T149" s="98">
        <f>IF(G149="","",IF(AND(G149&gt;=H149-$B$6*I149,G149&lt;=H149+$B$6*I149),"OK","NG"))</f>
        <v/>
      </c>
      <c r="U149" s="69">
        <f>IF(T149="","",IF(T149=D149,1,0))</f>
        <v/>
      </c>
      <c r="V149" s="98">
        <f>IF(G149="","",IF(T149="OK","NONE",INDEX({"S1","S2","W1","W2","N1","N2"},MATCH(MAX(K149:P149),K149:P149,0))))</f>
        <v/>
      </c>
      <c r="W149" s="69">
        <f>IF(G149="","",IF(V149=E149,1,0))</f>
        <v/>
      </c>
      <c r="X149" s="115">
        <f>IF(G149="","",IF(AND(T149="NG",S149&lt;$B$7),"AMBIGUOUS","CONFIDENT"))</f>
        <v/>
      </c>
    </row>
    <row r="150">
      <c r="A150" s="102">
        <f>'Runs Z score'!A143</f>
        <v/>
      </c>
      <c r="B150" s="98">
        <f>'Runs Z score'!B143</f>
        <v/>
      </c>
      <c r="C150" s="98">
        <f>'Runs Z score'!C143</f>
        <v/>
      </c>
      <c r="D150" s="98">
        <f>'Runs Z score'!D143</f>
        <v/>
      </c>
      <c r="E150" s="98">
        <f>'Runs Z score'!E143</f>
        <v/>
      </c>
      <c r="F150" s="98">
        <f>'Runs Z score'!F143</f>
        <v/>
      </c>
      <c r="G150" s="99">
        <f>'Runs Z score'!G143</f>
        <v/>
      </c>
      <c r="H150" s="100">
        <f>VLOOKUP(C150,Recipes!$A$2:$N$4,10,FALSE())</f>
        <v/>
      </c>
      <c r="I150" s="101">
        <f>VLOOKUP(C150,Recipes!$A$2:$N$4,12,FALSE())</f>
        <v/>
      </c>
      <c r="J150" s="100">
        <f>IF(G150="","",H150-G150)</f>
        <v/>
      </c>
      <c r="K150" s="100">
        <f>IF(G150="","",-0.5*((J150-Components!$D$2)/Components!$E$2)^2)</f>
        <v/>
      </c>
      <c r="L150" s="100">
        <f>IF(G150="","",-0.5*((J150-Components!$D$3)/Components!$E$3)^2)</f>
        <v/>
      </c>
      <c r="M150" s="100">
        <f>IF(G150="","",-0.5*((J150-Components!$D$4)/Components!$E$4)^2)</f>
        <v/>
      </c>
      <c r="N150" s="100">
        <f>IF(G150="","",-0.5*((J150-Components!$D$5)/Components!$E$5)^2)</f>
        <v/>
      </c>
      <c r="O150" s="100">
        <f>IF(G150="","",-0.5*((J150-Components!$D$6)/Components!$E$6)^2)</f>
        <v/>
      </c>
      <c r="P150" s="100">
        <f>IF(G150="","",-0.5*((J150-Components!$D$7)/Components!$E$7)^2)</f>
        <v/>
      </c>
      <c r="Q150" s="100">
        <f>IF(G150="","",EXP(LARGE(K150:P150,1)-MAX(K150:P150))/(EXP(K150-MAX(K150:P150))+EXP(L150-MAX(K150:P150))+EXP(M150-MAX(K150:P150))+EXP(N150-MAX(K150:P150))+EXP(O150-MAX(K150:P150))+EXP(P150-MAX(K150:P150))))</f>
        <v/>
      </c>
      <c r="R150" s="100">
        <f>IF(G150="","",EXP(LARGE(K150:P150,2)-MAX(K150:P150))/(EXP(K150-MAX(K150:P150))+EXP(L150-MAX(K150:P150))+EXP(M150-MAX(K150:P150))+EXP(N150-MAX(K150:P150))+EXP(O150-MAX(K150:P150))+EXP(P150-MAX(K150:P150))))</f>
        <v/>
      </c>
      <c r="S150" s="100">
        <f>IF(G150="","",Q150-R150)</f>
        <v/>
      </c>
      <c r="T150" s="98">
        <f>IF(G150="","",IF(AND(G150&gt;=H150-$B$6*I150,G150&lt;=H150+$B$6*I150),"OK","NG"))</f>
        <v/>
      </c>
      <c r="U150" s="69">
        <f>IF(T150="","",IF(T150=D150,1,0))</f>
        <v/>
      </c>
      <c r="V150" s="98">
        <f>IF(G150="","",IF(T150="OK","NONE",INDEX({"S1","S2","W1","W2","N1","N2"},MATCH(MAX(K150:P150),K150:P150,0))))</f>
        <v/>
      </c>
      <c r="W150" s="69">
        <f>IF(G150="","",IF(V150=E150,1,0))</f>
        <v/>
      </c>
      <c r="X150" s="115">
        <f>IF(G150="","",IF(AND(T150="NG",S150&lt;$B$7),"AMBIGUOUS","CONFIDENT"))</f>
        <v/>
      </c>
    </row>
    <row r="151">
      <c r="A151" s="102">
        <f>'Runs Z score'!A144</f>
        <v/>
      </c>
      <c r="B151" s="98">
        <f>'Runs Z score'!B144</f>
        <v/>
      </c>
      <c r="C151" s="98">
        <f>'Runs Z score'!C144</f>
        <v/>
      </c>
      <c r="D151" s="98">
        <f>'Runs Z score'!D144</f>
        <v/>
      </c>
      <c r="E151" s="98">
        <f>'Runs Z score'!E144</f>
        <v/>
      </c>
      <c r="F151" s="98">
        <f>'Runs Z score'!F144</f>
        <v/>
      </c>
      <c r="G151" s="99">
        <f>'Runs Z score'!G144</f>
        <v/>
      </c>
      <c r="H151" s="100">
        <f>VLOOKUP(C151,Recipes!$A$2:$N$4,10,FALSE())</f>
        <v/>
      </c>
      <c r="I151" s="101">
        <f>VLOOKUP(C151,Recipes!$A$2:$N$4,12,FALSE())</f>
        <v/>
      </c>
      <c r="J151" s="100">
        <f>IF(G151="","",H151-G151)</f>
        <v/>
      </c>
      <c r="K151" s="100">
        <f>IF(G151="","",-0.5*((J151-Components!$D$2)/Components!$E$2)^2)</f>
        <v/>
      </c>
      <c r="L151" s="100">
        <f>IF(G151="","",-0.5*((J151-Components!$D$3)/Components!$E$3)^2)</f>
        <v/>
      </c>
      <c r="M151" s="100">
        <f>IF(G151="","",-0.5*((J151-Components!$D$4)/Components!$E$4)^2)</f>
        <v/>
      </c>
      <c r="N151" s="100">
        <f>IF(G151="","",-0.5*((J151-Components!$D$5)/Components!$E$5)^2)</f>
        <v/>
      </c>
      <c r="O151" s="100">
        <f>IF(G151="","",-0.5*((J151-Components!$D$6)/Components!$E$6)^2)</f>
        <v/>
      </c>
      <c r="P151" s="100">
        <f>IF(G151="","",-0.5*((J151-Components!$D$7)/Components!$E$7)^2)</f>
        <v/>
      </c>
      <c r="Q151" s="100">
        <f>IF(G151="","",EXP(LARGE(K151:P151,1)-MAX(K151:P151))/(EXP(K151-MAX(K151:P151))+EXP(L151-MAX(K151:P151))+EXP(M151-MAX(K151:P151))+EXP(N151-MAX(K151:P151))+EXP(O151-MAX(K151:P151))+EXP(P151-MAX(K151:P151))))</f>
        <v/>
      </c>
      <c r="R151" s="100">
        <f>IF(G151="","",EXP(LARGE(K151:P151,2)-MAX(K151:P151))/(EXP(K151-MAX(K151:P151))+EXP(L151-MAX(K151:P151))+EXP(M151-MAX(K151:P151))+EXP(N151-MAX(K151:P151))+EXP(O151-MAX(K151:P151))+EXP(P151-MAX(K151:P151))))</f>
        <v/>
      </c>
      <c r="S151" s="100">
        <f>IF(G151="","",Q151-R151)</f>
        <v/>
      </c>
      <c r="T151" s="98">
        <f>IF(G151="","",IF(AND(G151&gt;=H151-$B$6*I151,G151&lt;=H151+$B$6*I151),"OK","NG"))</f>
        <v/>
      </c>
      <c r="U151" s="69">
        <f>IF(T151="","",IF(T151=D151,1,0))</f>
        <v/>
      </c>
      <c r="V151" s="98">
        <f>IF(G151="","",IF(T151="OK","NONE",INDEX({"S1","S2","W1","W2","N1","N2"},MATCH(MAX(K151:P151),K151:P151,0))))</f>
        <v/>
      </c>
      <c r="W151" s="69">
        <f>IF(G151="","",IF(V151=E151,1,0))</f>
        <v/>
      </c>
      <c r="X151" s="115">
        <f>IF(G151="","",IF(AND(T151="NG",S151&lt;$B$7),"AMBIGUOUS","CONFIDENT"))</f>
        <v/>
      </c>
    </row>
    <row r="152">
      <c r="A152" s="102">
        <f>'Runs Z score'!A145</f>
        <v/>
      </c>
      <c r="B152" s="98">
        <f>'Runs Z score'!B145</f>
        <v/>
      </c>
      <c r="C152" s="98">
        <f>'Runs Z score'!C145</f>
        <v/>
      </c>
      <c r="D152" s="98">
        <f>'Runs Z score'!D145</f>
        <v/>
      </c>
      <c r="E152" s="98">
        <f>'Runs Z score'!E145</f>
        <v/>
      </c>
      <c r="F152" s="98">
        <f>'Runs Z score'!F145</f>
        <v/>
      </c>
      <c r="G152" s="99">
        <f>'Runs Z score'!G145</f>
        <v/>
      </c>
      <c r="H152" s="100">
        <f>VLOOKUP(C152,Recipes!$A$2:$N$4,10,FALSE())</f>
        <v/>
      </c>
      <c r="I152" s="101">
        <f>VLOOKUP(C152,Recipes!$A$2:$N$4,12,FALSE())</f>
        <v/>
      </c>
      <c r="J152" s="100">
        <f>IF(G152="","",H152-G152)</f>
        <v/>
      </c>
      <c r="K152" s="100">
        <f>IF(G152="","",-0.5*((J152-Components!$D$2)/Components!$E$2)^2)</f>
        <v/>
      </c>
      <c r="L152" s="100">
        <f>IF(G152="","",-0.5*((J152-Components!$D$3)/Components!$E$3)^2)</f>
        <v/>
      </c>
      <c r="M152" s="100">
        <f>IF(G152="","",-0.5*((J152-Components!$D$4)/Components!$E$4)^2)</f>
        <v/>
      </c>
      <c r="N152" s="100">
        <f>IF(G152="","",-0.5*((J152-Components!$D$5)/Components!$E$5)^2)</f>
        <v/>
      </c>
      <c r="O152" s="100">
        <f>IF(G152="","",-0.5*((J152-Components!$D$6)/Components!$E$6)^2)</f>
        <v/>
      </c>
      <c r="P152" s="100">
        <f>IF(G152="","",-0.5*((J152-Components!$D$7)/Components!$E$7)^2)</f>
        <v/>
      </c>
      <c r="Q152" s="100">
        <f>IF(G152="","",EXP(LARGE(K152:P152,1)-MAX(K152:P152))/(EXP(K152-MAX(K152:P152))+EXP(L152-MAX(K152:P152))+EXP(M152-MAX(K152:P152))+EXP(N152-MAX(K152:P152))+EXP(O152-MAX(K152:P152))+EXP(P152-MAX(K152:P152))))</f>
        <v/>
      </c>
      <c r="R152" s="100">
        <f>IF(G152="","",EXP(LARGE(K152:P152,2)-MAX(K152:P152))/(EXP(K152-MAX(K152:P152))+EXP(L152-MAX(K152:P152))+EXP(M152-MAX(K152:P152))+EXP(N152-MAX(K152:P152))+EXP(O152-MAX(K152:P152))+EXP(P152-MAX(K152:P152))))</f>
        <v/>
      </c>
      <c r="S152" s="100">
        <f>IF(G152="","",Q152-R152)</f>
        <v/>
      </c>
      <c r="T152" s="98">
        <f>IF(G152="","",IF(AND(G152&gt;=H152-$B$6*I152,G152&lt;=H152+$B$6*I152),"OK","NG"))</f>
        <v/>
      </c>
      <c r="U152" s="69">
        <f>IF(T152="","",IF(T152=D152,1,0))</f>
        <v/>
      </c>
      <c r="V152" s="98">
        <f>IF(G152="","",IF(T152="OK","NONE",INDEX({"S1","S2","W1","W2","N1","N2"},MATCH(MAX(K152:P152),K152:P152,0))))</f>
        <v/>
      </c>
      <c r="W152" s="69">
        <f>IF(G152="","",IF(V152=E152,1,0))</f>
        <v/>
      </c>
      <c r="X152" s="115">
        <f>IF(G152="","",IF(AND(T152="NG",S152&lt;$B$7),"AMBIGUOUS","CONFIDENT"))</f>
        <v/>
      </c>
    </row>
    <row r="153">
      <c r="A153" s="102">
        <f>'Runs Z score'!A146</f>
        <v/>
      </c>
      <c r="B153" s="98">
        <f>'Runs Z score'!B146</f>
        <v/>
      </c>
      <c r="C153" s="98">
        <f>'Runs Z score'!C146</f>
        <v/>
      </c>
      <c r="D153" s="98">
        <f>'Runs Z score'!D146</f>
        <v/>
      </c>
      <c r="E153" s="98">
        <f>'Runs Z score'!E146</f>
        <v/>
      </c>
      <c r="F153" s="98">
        <f>'Runs Z score'!F146</f>
        <v/>
      </c>
      <c r="G153" s="99">
        <f>'Runs Z score'!G146</f>
        <v/>
      </c>
      <c r="H153" s="100">
        <f>VLOOKUP(C153,Recipes!$A$2:$N$4,10,FALSE())</f>
        <v/>
      </c>
      <c r="I153" s="101">
        <f>VLOOKUP(C153,Recipes!$A$2:$N$4,12,FALSE())</f>
        <v/>
      </c>
      <c r="J153" s="100">
        <f>IF(G153="","",H153-G153)</f>
        <v/>
      </c>
      <c r="K153" s="100">
        <f>IF(G153="","",-0.5*((J153-Components!$D$2)/Components!$E$2)^2)</f>
        <v/>
      </c>
      <c r="L153" s="100">
        <f>IF(G153="","",-0.5*((J153-Components!$D$3)/Components!$E$3)^2)</f>
        <v/>
      </c>
      <c r="M153" s="100">
        <f>IF(G153="","",-0.5*((J153-Components!$D$4)/Components!$E$4)^2)</f>
        <v/>
      </c>
      <c r="N153" s="100">
        <f>IF(G153="","",-0.5*((J153-Components!$D$5)/Components!$E$5)^2)</f>
        <v/>
      </c>
      <c r="O153" s="100">
        <f>IF(G153="","",-0.5*((J153-Components!$D$6)/Components!$E$6)^2)</f>
        <v/>
      </c>
      <c r="P153" s="100">
        <f>IF(G153="","",-0.5*((J153-Components!$D$7)/Components!$E$7)^2)</f>
        <v/>
      </c>
      <c r="Q153" s="100">
        <f>IF(G153="","",EXP(LARGE(K153:P153,1)-MAX(K153:P153))/(EXP(K153-MAX(K153:P153))+EXP(L153-MAX(K153:P153))+EXP(M153-MAX(K153:P153))+EXP(N153-MAX(K153:P153))+EXP(O153-MAX(K153:P153))+EXP(P153-MAX(K153:P153))))</f>
        <v/>
      </c>
      <c r="R153" s="100">
        <f>IF(G153="","",EXP(LARGE(K153:P153,2)-MAX(K153:P153))/(EXP(K153-MAX(K153:P153))+EXP(L153-MAX(K153:P153))+EXP(M153-MAX(K153:P153))+EXP(N153-MAX(K153:P153))+EXP(O153-MAX(K153:P153))+EXP(P153-MAX(K153:P153))))</f>
        <v/>
      </c>
      <c r="S153" s="100">
        <f>IF(G153="","",Q153-R153)</f>
        <v/>
      </c>
      <c r="T153" s="98">
        <f>IF(G153="","",IF(AND(G153&gt;=H153-$B$6*I153,G153&lt;=H153+$B$6*I153),"OK","NG"))</f>
        <v/>
      </c>
      <c r="U153" s="69">
        <f>IF(T153="","",IF(T153=D153,1,0))</f>
        <v/>
      </c>
      <c r="V153" s="98">
        <f>IF(G153="","",IF(T153="OK","NONE",INDEX({"S1","S2","W1","W2","N1","N2"},MATCH(MAX(K153:P153),K153:P153,0))))</f>
        <v/>
      </c>
      <c r="W153" s="69">
        <f>IF(G153="","",IF(V153=E153,1,0))</f>
        <v/>
      </c>
      <c r="X153" s="115">
        <f>IF(G153="","",IF(AND(T153="NG",S153&lt;$B$7),"AMBIGUOUS","CONFIDENT"))</f>
        <v/>
      </c>
    </row>
    <row r="154">
      <c r="A154" s="102">
        <f>'Runs Z score'!A147</f>
        <v/>
      </c>
      <c r="B154" s="98">
        <f>'Runs Z score'!B147</f>
        <v/>
      </c>
      <c r="C154" s="98">
        <f>'Runs Z score'!C147</f>
        <v/>
      </c>
      <c r="D154" s="98">
        <f>'Runs Z score'!D147</f>
        <v/>
      </c>
      <c r="E154" s="98">
        <f>'Runs Z score'!E147</f>
        <v/>
      </c>
      <c r="F154" s="98">
        <f>'Runs Z score'!F147</f>
        <v/>
      </c>
      <c r="G154" s="99">
        <f>'Runs Z score'!G147</f>
        <v/>
      </c>
      <c r="H154" s="100">
        <f>VLOOKUP(C154,Recipes!$A$2:$N$4,10,FALSE())</f>
        <v/>
      </c>
      <c r="I154" s="101">
        <f>VLOOKUP(C154,Recipes!$A$2:$N$4,12,FALSE())</f>
        <v/>
      </c>
      <c r="J154" s="100">
        <f>IF(G154="","",H154-G154)</f>
        <v/>
      </c>
      <c r="K154" s="100">
        <f>IF(G154="","",-0.5*((J154-Components!$D$2)/Components!$E$2)^2)</f>
        <v/>
      </c>
      <c r="L154" s="100">
        <f>IF(G154="","",-0.5*((J154-Components!$D$3)/Components!$E$3)^2)</f>
        <v/>
      </c>
      <c r="M154" s="100">
        <f>IF(G154="","",-0.5*((J154-Components!$D$4)/Components!$E$4)^2)</f>
        <v/>
      </c>
      <c r="N154" s="100">
        <f>IF(G154="","",-0.5*((J154-Components!$D$5)/Components!$E$5)^2)</f>
        <v/>
      </c>
      <c r="O154" s="100">
        <f>IF(G154="","",-0.5*((J154-Components!$D$6)/Components!$E$6)^2)</f>
        <v/>
      </c>
      <c r="P154" s="100">
        <f>IF(G154="","",-0.5*((J154-Components!$D$7)/Components!$E$7)^2)</f>
        <v/>
      </c>
      <c r="Q154" s="100">
        <f>IF(G154="","",EXP(LARGE(K154:P154,1)-MAX(K154:P154))/(EXP(K154-MAX(K154:P154))+EXP(L154-MAX(K154:P154))+EXP(M154-MAX(K154:P154))+EXP(N154-MAX(K154:P154))+EXP(O154-MAX(K154:P154))+EXP(P154-MAX(K154:P154))))</f>
        <v/>
      </c>
      <c r="R154" s="100">
        <f>IF(G154="","",EXP(LARGE(K154:P154,2)-MAX(K154:P154))/(EXP(K154-MAX(K154:P154))+EXP(L154-MAX(K154:P154))+EXP(M154-MAX(K154:P154))+EXP(N154-MAX(K154:P154))+EXP(O154-MAX(K154:P154))+EXP(P154-MAX(K154:P154))))</f>
        <v/>
      </c>
      <c r="S154" s="100">
        <f>IF(G154="","",Q154-R154)</f>
        <v/>
      </c>
      <c r="T154" s="98">
        <f>IF(G154="","",IF(AND(G154&gt;=H154-$B$6*I154,G154&lt;=H154+$B$6*I154),"OK","NG"))</f>
        <v/>
      </c>
      <c r="U154" s="69">
        <f>IF(T154="","",IF(T154=D154,1,0))</f>
        <v/>
      </c>
      <c r="V154" s="98">
        <f>IF(G154="","",IF(T154="OK","NONE",INDEX({"S1","S2","W1","W2","N1","N2"},MATCH(MAX(K154:P154),K154:P154,0))))</f>
        <v/>
      </c>
      <c r="W154" s="69">
        <f>IF(G154="","",IF(V154=E154,1,0))</f>
        <v/>
      </c>
      <c r="X154" s="115">
        <f>IF(G154="","",IF(AND(T154="NG",S154&lt;$B$7),"AMBIGUOUS","CONFIDENT"))</f>
        <v/>
      </c>
    </row>
    <row r="155">
      <c r="A155" s="102">
        <f>'Runs Z score'!A148</f>
        <v/>
      </c>
      <c r="B155" s="98">
        <f>'Runs Z score'!B148</f>
        <v/>
      </c>
      <c r="C155" s="98">
        <f>'Runs Z score'!C148</f>
        <v/>
      </c>
      <c r="D155" s="98">
        <f>'Runs Z score'!D148</f>
        <v/>
      </c>
      <c r="E155" s="98">
        <f>'Runs Z score'!E148</f>
        <v/>
      </c>
      <c r="F155" s="98">
        <f>'Runs Z score'!F148</f>
        <v/>
      </c>
      <c r="G155" s="99">
        <f>'Runs Z score'!G148</f>
        <v/>
      </c>
      <c r="H155" s="100">
        <f>VLOOKUP(C155,Recipes!$A$2:$N$4,10,FALSE())</f>
        <v/>
      </c>
      <c r="I155" s="101">
        <f>VLOOKUP(C155,Recipes!$A$2:$N$4,12,FALSE())</f>
        <v/>
      </c>
      <c r="J155" s="100">
        <f>IF(G155="","",H155-G155)</f>
        <v/>
      </c>
      <c r="K155" s="100">
        <f>IF(G155="","",-0.5*((J155-Components!$D$2)/Components!$E$2)^2)</f>
        <v/>
      </c>
      <c r="L155" s="100">
        <f>IF(G155="","",-0.5*((J155-Components!$D$3)/Components!$E$3)^2)</f>
        <v/>
      </c>
      <c r="M155" s="100">
        <f>IF(G155="","",-0.5*((J155-Components!$D$4)/Components!$E$4)^2)</f>
        <v/>
      </c>
      <c r="N155" s="100">
        <f>IF(G155="","",-0.5*((J155-Components!$D$5)/Components!$E$5)^2)</f>
        <v/>
      </c>
      <c r="O155" s="100">
        <f>IF(G155="","",-0.5*((J155-Components!$D$6)/Components!$E$6)^2)</f>
        <v/>
      </c>
      <c r="P155" s="100">
        <f>IF(G155="","",-0.5*((J155-Components!$D$7)/Components!$E$7)^2)</f>
        <v/>
      </c>
      <c r="Q155" s="100">
        <f>IF(G155="","",EXP(LARGE(K155:P155,1)-MAX(K155:P155))/(EXP(K155-MAX(K155:P155))+EXP(L155-MAX(K155:P155))+EXP(M155-MAX(K155:P155))+EXP(N155-MAX(K155:P155))+EXP(O155-MAX(K155:P155))+EXP(P155-MAX(K155:P155))))</f>
        <v/>
      </c>
      <c r="R155" s="100">
        <f>IF(G155="","",EXP(LARGE(K155:P155,2)-MAX(K155:P155))/(EXP(K155-MAX(K155:P155))+EXP(L155-MAX(K155:P155))+EXP(M155-MAX(K155:P155))+EXP(N155-MAX(K155:P155))+EXP(O155-MAX(K155:P155))+EXP(P155-MAX(K155:P155))))</f>
        <v/>
      </c>
      <c r="S155" s="100">
        <f>IF(G155="","",Q155-R155)</f>
        <v/>
      </c>
      <c r="T155" s="98">
        <f>IF(G155="","",IF(AND(G155&gt;=H155-$B$6*I155,G155&lt;=H155+$B$6*I155),"OK","NG"))</f>
        <v/>
      </c>
      <c r="U155" s="69">
        <f>IF(T155="","",IF(T155=D155,1,0))</f>
        <v/>
      </c>
      <c r="V155" s="98">
        <f>IF(G155="","",IF(T155="OK","NONE",INDEX({"S1","S2","W1","W2","N1","N2"},MATCH(MAX(K155:P155),K155:P155,0))))</f>
        <v/>
      </c>
      <c r="W155" s="69">
        <f>IF(G155="","",IF(V155=E155,1,0))</f>
        <v/>
      </c>
      <c r="X155" s="115">
        <f>IF(G155="","",IF(AND(T155="NG",S155&lt;$B$7),"AMBIGUOUS","CONFIDENT"))</f>
        <v/>
      </c>
    </row>
    <row r="156">
      <c r="A156" s="102">
        <f>'Runs Z score'!A149</f>
        <v/>
      </c>
      <c r="B156" s="98">
        <f>'Runs Z score'!B149</f>
        <v/>
      </c>
      <c r="C156" s="98">
        <f>'Runs Z score'!C149</f>
        <v/>
      </c>
      <c r="D156" s="98">
        <f>'Runs Z score'!D149</f>
        <v/>
      </c>
      <c r="E156" s="98">
        <f>'Runs Z score'!E149</f>
        <v/>
      </c>
      <c r="F156" s="98">
        <f>'Runs Z score'!F149</f>
        <v/>
      </c>
      <c r="G156" s="99">
        <f>'Runs Z score'!G149</f>
        <v/>
      </c>
      <c r="H156" s="100">
        <f>VLOOKUP(C156,Recipes!$A$2:$N$4,10,FALSE())</f>
        <v/>
      </c>
      <c r="I156" s="101">
        <f>VLOOKUP(C156,Recipes!$A$2:$N$4,12,FALSE())</f>
        <v/>
      </c>
      <c r="J156" s="100">
        <f>IF(G156="","",H156-G156)</f>
        <v/>
      </c>
      <c r="K156" s="100">
        <f>IF(G156="","",-0.5*((J156-Components!$D$2)/Components!$E$2)^2)</f>
        <v/>
      </c>
      <c r="L156" s="100">
        <f>IF(G156="","",-0.5*((J156-Components!$D$3)/Components!$E$3)^2)</f>
        <v/>
      </c>
      <c r="M156" s="100">
        <f>IF(G156="","",-0.5*((J156-Components!$D$4)/Components!$E$4)^2)</f>
        <v/>
      </c>
      <c r="N156" s="100">
        <f>IF(G156="","",-0.5*((J156-Components!$D$5)/Components!$E$5)^2)</f>
        <v/>
      </c>
      <c r="O156" s="100">
        <f>IF(G156="","",-0.5*((J156-Components!$D$6)/Components!$E$6)^2)</f>
        <v/>
      </c>
      <c r="P156" s="100">
        <f>IF(G156="","",-0.5*((J156-Components!$D$7)/Components!$E$7)^2)</f>
        <v/>
      </c>
      <c r="Q156" s="100">
        <f>IF(G156="","",EXP(LARGE(K156:P156,1)-MAX(K156:P156))/(EXP(K156-MAX(K156:P156))+EXP(L156-MAX(K156:P156))+EXP(M156-MAX(K156:P156))+EXP(N156-MAX(K156:P156))+EXP(O156-MAX(K156:P156))+EXP(P156-MAX(K156:P156))))</f>
        <v/>
      </c>
      <c r="R156" s="100">
        <f>IF(G156="","",EXP(LARGE(K156:P156,2)-MAX(K156:P156))/(EXP(K156-MAX(K156:P156))+EXP(L156-MAX(K156:P156))+EXP(M156-MAX(K156:P156))+EXP(N156-MAX(K156:P156))+EXP(O156-MAX(K156:P156))+EXP(P156-MAX(K156:P156))))</f>
        <v/>
      </c>
      <c r="S156" s="100">
        <f>IF(G156="","",Q156-R156)</f>
        <v/>
      </c>
      <c r="T156" s="98">
        <f>IF(G156="","",IF(AND(G156&gt;=H156-$B$6*I156,G156&lt;=H156+$B$6*I156),"OK","NG"))</f>
        <v/>
      </c>
      <c r="U156" s="69">
        <f>IF(T156="","",IF(T156=D156,1,0))</f>
        <v/>
      </c>
      <c r="V156" s="98">
        <f>IF(G156="","",IF(T156="OK","NONE",INDEX({"S1","S2","W1","W2","N1","N2"},MATCH(MAX(K156:P156),K156:P156,0))))</f>
        <v/>
      </c>
      <c r="W156" s="69">
        <f>IF(G156="","",IF(V156=E156,1,0))</f>
        <v/>
      </c>
      <c r="X156" s="115">
        <f>IF(G156="","",IF(AND(T156="NG",S156&lt;$B$7),"AMBIGUOUS","CONFIDENT"))</f>
        <v/>
      </c>
    </row>
    <row r="157">
      <c r="A157" s="102">
        <f>'Runs Z score'!A150</f>
        <v/>
      </c>
      <c r="B157" s="98">
        <f>'Runs Z score'!B150</f>
        <v/>
      </c>
      <c r="C157" s="98">
        <f>'Runs Z score'!C150</f>
        <v/>
      </c>
      <c r="D157" s="98">
        <f>'Runs Z score'!D150</f>
        <v/>
      </c>
      <c r="E157" s="98">
        <f>'Runs Z score'!E150</f>
        <v/>
      </c>
      <c r="F157" s="98">
        <f>'Runs Z score'!F150</f>
        <v/>
      </c>
      <c r="G157" s="99">
        <f>'Runs Z score'!G150</f>
        <v/>
      </c>
      <c r="H157" s="100">
        <f>VLOOKUP(C157,Recipes!$A$2:$N$4,10,FALSE())</f>
        <v/>
      </c>
      <c r="I157" s="101">
        <f>VLOOKUP(C157,Recipes!$A$2:$N$4,12,FALSE())</f>
        <v/>
      </c>
      <c r="J157" s="100">
        <f>IF(G157="","",H157-G157)</f>
        <v/>
      </c>
      <c r="K157" s="100">
        <f>IF(G157="","",-0.5*((J157-Components!$D$2)/Components!$E$2)^2)</f>
        <v/>
      </c>
      <c r="L157" s="100">
        <f>IF(G157="","",-0.5*((J157-Components!$D$3)/Components!$E$3)^2)</f>
        <v/>
      </c>
      <c r="M157" s="100">
        <f>IF(G157="","",-0.5*((J157-Components!$D$4)/Components!$E$4)^2)</f>
        <v/>
      </c>
      <c r="N157" s="100">
        <f>IF(G157="","",-0.5*((J157-Components!$D$5)/Components!$E$5)^2)</f>
        <v/>
      </c>
      <c r="O157" s="100">
        <f>IF(G157="","",-0.5*((J157-Components!$D$6)/Components!$E$6)^2)</f>
        <v/>
      </c>
      <c r="P157" s="100">
        <f>IF(G157="","",-0.5*((J157-Components!$D$7)/Components!$E$7)^2)</f>
        <v/>
      </c>
      <c r="Q157" s="100">
        <f>IF(G157="","",EXP(LARGE(K157:P157,1)-MAX(K157:P157))/(EXP(K157-MAX(K157:P157))+EXP(L157-MAX(K157:P157))+EXP(M157-MAX(K157:P157))+EXP(N157-MAX(K157:P157))+EXP(O157-MAX(K157:P157))+EXP(P157-MAX(K157:P157))))</f>
        <v/>
      </c>
      <c r="R157" s="100">
        <f>IF(G157="","",EXP(LARGE(K157:P157,2)-MAX(K157:P157))/(EXP(K157-MAX(K157:P157))+EXP(L157-MAX(K157:P157))+EXP(M157-MAX(K157:P157))+EXP(N157-MAX(K157:P157))+EXP(O157-MAX(K157:P157))+EXP(P157-MAX(K157:P157))))</f>
        <v/>
      </c>
      <c r="S157" s="100">
        <f>IF(G157="","",Q157-R157)</f>
        <v/>
      </c>
      <c r="T157" s="98">
        <f>IF(G157="","",IF(AND(G157&gt;=H157-$B$6*I157,G157&lt;=H157+$B$6*I157),"OK","NG"))</f>
        <v/>
      </c>
      <c r="U157" s="69">
        <f>IF(T157="","",IF(T157=D157,1,0))</f>
        <v/>
      </c>
      <c r="V157" s="98">
        <f>IF(G157="","",IF(T157="OK","NONE",INDEX({"S1","S2","W1","W2","N1","N2"},MATCH(MAX(K157:P157),K157:P157,0))))</f>
        <v/>
      </c>
      <c r="W157" s="71">
        <f>IF(G157="","",IF(V157=E157,1,0))</f>
        <v/>
      </c>
      <c r="X157" s="115">
        <f>IF(G157="","",IF(AND(T157="NG",S157&lt;$B$7),"AMBIGUOUS","CONFIDENT"))</f>
        <v/>
      </c>
    </row>
    <row r="158">
      <c r="A158" s="102">
        <f>'Runs Z score'!A151</f>
        <v/>
      </c>
      <c r="B158" s="98">
        <f>'Runs Z score'!B151</f>
        <v/>
      </c>
      <c r="C158" s="98">
        <f>'Runs Z score'!C151</f>
        <v/>
      </c>
      <c r="D158" s="98">
        <f>'Runs Z score'!D151</f>
        <v/>
      </c>
      <c r="E158" s="98">
        <f>'Runs Z score'!E151</f>
        <v/>
      </c>
      <c r="F158" s="98">
        <f>'Runs Z score'!F151</f>
        <v/>
      </c>
      <c r="G158" s="99">
        <f>'Runs Z score'!G151</f>
        <v/>
      </c>
      <c r="H158" s="100">
        <f>VLOOKUP(C158,Recipes!$A$2:$N$4,10,FALSE())</f>
        <v/>
      </c>
      <c r="I158" s="101">
        <f>VLOOKUP(C158,Recipes!$A$2:$N$4,12,FALSE())</f>
        <v/>
      </c>
      <c r="J158" s="100">
        <f>IF(G158="","",H158-G158)</f>
        <v/>
      </c>
      <c r="K158" s="100">
        <f>IF(G158="","",-0.5*((J158-Components!$D$2)/Components!$E$2)^2)</f>
        <v/>
      </c>
      <c r="L158" s="100">
        <f>IF(G158="","",-0.5*((J158-Components!$D$3)/Components!$E$3)^2)</f>
        <v/>
      </c>
      <c r="M158" s="100">
        <f>IF(G158="","",-0.5*((J158-Components!$D$4)/Components!$E$4)^2)</f>
        <v/>
      </c>
      <c r="N158" s="100">
        <f>IF(G158="","",-0.5*((J158-Components!$D$5)/Components!$E$5)^2)</f>
        <v/>
      </c>
      <c r="O158" s="100">
        <f>IF(G158="","",-0.5*((J158-Components!$D$6)/Components!$E$6)^2)</f>
        <v/>
      </c>
      <c r="P158" s="100">
        <f>IF(G158="","",-0.5*((J158-Components!$D$7)/Components!$E$7)^2)</f>
        <v/>
      </c>
      <c r="Q158" s="100">
        <f>IF(G158="","",EXP(LARGE(K158:P158,1)-MAX(K158:P158))/(EXP(K158-MAX(K158:P158))+EXP(L158-MAX(K158:P158))+EXP(M158-MAX(K158:P158))+EXP(N158-MAX(K158:P158))+EXP(O158-MAX(K158:P158))+EXP(P158-MAX(K158:P158))))</f>
        <v/>
      </c>
      <c r="R158" s="100">
        <f>IF(G158="","",EXP(LARGE(K158:P158,2)-MAX(K158:P158))/(EXP(K158-MAX(K158:P158))+EXP(L158-MAX(K158:P158))+EXP(M158-MAX(K158:P158))+EXP(N158-MAX(K158:P158))+EXP(O158-MAX(K158:P158))+EXP(P158-MAX(K158:P158))))</f>
        <v/>
      </c>
      <c r="S158" s="100">
        <f>IF(G158="","",Q158-R158)</f>
        <v/>
      </c>
      <c r="T158" s="98">
        <f>IF(G158="","",IF(AND(G158&gt;=H158-$B$6*I158,G158&lt;=H158+$B$6*I158),"OK","NG"))</f>
        <v/>
      </c>
      <c r="U158" s="69">
        <f>IF(T158="","",IF(T158=D158,1,0))</f>
        <v/>
      </c>
      <c r="V158" s="98">
        <f>IF(G158="","",IF(T158="OK","NONE",INDEX({"S1","S2","W1","W2","N1","N2"},MATCH(MAX(K158:P158),K158:P158,0))))</f>
        <v/>
      </c>
      <c r="W158" s="69">
        <f>IF(G158="","",IF(V158=E158,1,0))</f>
        <v/>
      </c>
      <c r="X158" s="115">
        <f>IF(G158="","",IF(AND(T158="NG",S158&lt;$B$7),"AMBIGUOUS","CONFIDENT"))</f>
        <v/>
      </c>
    </row>
    <row r="159">
      <c r="A159" s="102">
        <f>'Runs Z score'!A152</f>
        <v/>
      </c>
      <c r="B159" s="98">
        <f>'Runs Z score'!B152</f>
        <v/>
      </c>
      <c r="C159" s="98">
        <f>'Runs Z score'!C152</f>
        <v/>
      </c>
      <c r="D159" s="98">
        <f>'Runs Z score'!D152</f>
        <v/>
      </c>
      <c r="E159" s="98">
        <f>'Runs Z score'!E152</f>
        <v/>
      </c>
      <c r="F159" s="98">
        <f>'Runs Z score'!F152</f>
        <v/>
      </c>
      <c r="G159" s="99">
        <f>'Runs Z score'!G152</f>
        <v/>
      </c>
      <c r="H159" s="100">
        <f>VLOOKUP(C159,Recipes!$A$2:$N$4,10,FALSE())</f>
        <v/>
      </c>
      <c r="I159" s="101">
        <f>VLOOKUP(C159,Recipes!$A$2:$N$4,12,FALSE())</f>
        <v/>
      </c>
      <c r="J159" s="100">
        <f>IF(G159="","",H159-G159)</f>
        <v/>
      </c>
      <c r="K159" s="100">
        <f>IF(G159="","",-0.5*((J159-Components!$D$2)/Components!$E$2)^2)</f>
        <v/>
      </c>
      <c r="L159" s="100">
        <f>IF(G159="","",-0.5*((J159-Components!$D$3)/Components!$E$3)^2)</f>
        <v/>
      </c>
      <c r="M159" s="100">
        <f>IF(G159="","",-0.5*((J159-Components!$D$4)/Components!$E$4)^2)</f>
        <v/>
      </c>
      <c r="N159" s="100">
        <f>IF(G159="","",-0.5*((J159-Components!$D$5)/Components!$E$5)^2)</f>
        <v/>
      </c>
      <c r="O159" s="100">
        <f>IF(G159="","",-0.5*((J159-Components!$D$6)/Components!$E$6)^2)</f>
        <v/>
      </c>
      <c r="P159" s="100">
        <f>IF(G159="","",-0.5*((J159-Components!$D$7)/Components!$E$7)^2)</f>
        <v/>
      </c>
      <c r="Q159" s="100">
        <f>IF(G159="","",EXP(LARGE(K159:P159,1)-MAX(K159:P159))/(EXP(K159-MAX(K159:P159))+EXP(L159-MAX(K159:P159))+EXP(M159-MAX(K159:P159))+EXP(N159-MAX(K159:P159))+EXP(O159-MAX(K159:P159))+EXP(P159-MAX(K159:P159))))</f>
        <v/>
      </c>
      <c r="R159" s="100">
        <f>IF(G159="","",EXP(LARGE(K159:P159,2)-MAX(K159:P159))/(EXP(K159-MAX(K159:P159))+EXP(L159-MAX(K159:P159))+EXP(M159-MAX(K159:P159))+EXP(N159-MAX(K159:P159))+EXP(O159-MAX(K159:P159))+EXP(P159-MAX(K159:P159))))</f>
        <v/>
      </c>
      <c r="S159" s="100">
        <f>IF(G159="","",Q159-R159)</f>
        <v/>
      </c>
      <c r="T159" s="98">
        <f>IF(G159="","",IF(AND(G159&gt;=H159-$B$6*I159,G159&lt;=H159+$B$6*I159),"OK","NG"))</f>
        <v/>
      </c>
      <c r="U159" s="69">
        <f>IF(T159="","",IF(T159=D159,1,0))</f>
        <v/>
      </c>
      <c r="V159" s="98">
        <f>IF(G159="","",IF(T159="OK","NONE",INDEX({"S1","S2","W1","W2","N1","N2"},MATCH(MAX(K159:P159),K159:P159,0))))</f>
        <v/>
      </c>
      <c r="W159" s="69">
        <f>IF(G159="","",IF(V159=E159,1,0))</f>
        <v/>
      </c>
      <c r="X159" s="115">
        <f>IF(G159="","",IF(AND(T159="NG",S159&lt;$B$7),"AMBIGUOUS","CONFIDENT"))</f>
        <v/>
      </c>
    </row>
    <row r="160">
      <c r="A160" s="102">
        <f>'Runs Z score'!A153</f>
        <v/>
      </c>
      <c r="B160" s="98">
        <f>'Runs Z score'!B153</f>
        <v/>
      </c>
      <c r="C160" s="98">
        <f>'Runs Z score'!C153</f>
        <v/>
      </c>
      <c r="D160" s="98">
        <f>'Runs Z score'!D153</f>
        <v/>
      </c>
      <c r="E160" s="98">
        <f>'Runs Z score'!E153</f>
        <v/>
      </c>
      <c r="F160" s="98">
        <f>'Runs Z score'!F153</f>
        <v/>
      </c>
      <c r="G160" s="99">
        <f>'Runs Z score'!G153</f>
        <v/>
      </c>
      <c r="H160" s="100">
        <f>VLOOKUP(C160,Recipes!$A$2:$N$4,10,FALSE())</f>
        <v/>
      </c>
      <c r="I160" s="101">
        <f>VLOOKUP(C160,Recipes!$A$2:$N$4,12,FALSE())</f>
        <v/>
      </c>
      <c r="J160" s="100">
        <f>IF(G160="","",H160-G160)</f>
        <v/>
      </c>
      <c r="K160" s="100">
        <f>IF(G160="","",-0.5*((J160-Components!$D$2)/Components!$E$2)^2)</f>
        <v/>
      </c>
      <c r="L160" s="100">
        <f>IF(G160="","",-0.5*((J160-Components!$D$3)/Components!$E$3)^2)</f>
        <v/>
      </c>
      <c r="M160" s="100">
        <f>IF(G160="","",-0.5*((J160-Components!$D$4)/Components!$E$4)^2)</f>
        <v/>
      </c>
      <c r="N160" s="100">
        <f>IF(G160="","",-0.5*((J160-Components!$D$5)/Components!$E$5)^2)</f>
        <v/>
      </c>
      <c r="O160" s="100">
        <f>IF(G160="","",-0.5*((J160-Components!$D$6)/Components!$E$6)^2)</f>
        <v/>
      </c>
      <c r="P160" s="100">
        <f>IF(G160="","",-0.5*((J160-Components!$D$7)/Components!$E$7)^2)</f>
        <v/>
      </c>
      <c r="Q160" s="100">
        <f>IF(G160="","",EXP(LARGE(K160:P160,1)-MAX(K160:P160))/(EXP(K160-MAX(K160:P160))+EXP(L160-MAX(K160:P160))+EXP(M160-MAX(K160:P160))+EXP(N160-MAX(K160:P160))+EXP(O160-MAX(K160:P160))+EXP(P160-MAX(K160:P160))))</f>
        <v/>
      </c>
      <c r="R160" s="100">
        <f>IF(G160="","",EXP(LARGE(K160:P160,2)-MAX(K160:P160))/(EXP(K160-MAX(K160:P160))+EXP(L160-MAX(K160:P160))+EXP(M160-MAX(K160:P160))+EXP(N160-MAX(K160:P160))+EXP(O160-MAX(K160:P160))+EXP(P160-MAX(K160:P160))))</f>
        <v/>
      </c>
      <c r="S160" s="100">
        <f>IF(G160="","",Q160-R160)</f>
        <v/>
      </c>
      <c r="T160" s="98">
        <f>IF(G160="","",IF(AND(G160&gt;=H160-$B$6*I160,G160&lt;=H160+$B$6*I160),"OK","NG"))</f>
        <v/>
      </c>
      <c r="U160" s="69">
        <f>IF(T160="","",IF(T160=D160,1,0))</f>
        <v/>
      </c>
      <c r="V160" s="98">
        <f>IF(G160="","",IF(T160="OK","NONE",INDEX({"S1","S2","W1","W2","N1","N2"},MATCH(MAX(K160:P160),K160:P160,0))))</f>
        <v/>
      </c>
      <c r="W160" s="69">
        <f>IF(G160="","",IF(V160=E160,1,0))</f>
        <v/>
      </c>
      <c r="X160" s="115">
        <f>IF(G160="","",IF(AND(T160="NG",S160&lt;$B$7),"AMBIGUOUS","CONFIDENT"))</f>
        <v/>
      </c>
    </row>
    <row r="161">
      <c r="A161" s="102">
        <f>'Runs Z score'!A154</f>
        <v/>
      </c>
      <c r="B161" s="98">
        <f>'Runs Z score'!B154</f>
        <v/>
      </c>
      <c r="C161" s="98">
        <f>'Runs Z score'!C154</f>
        <v/>
      </c>
      <c r="D161" s="98">
        <f>'Runs Z score'!D154</f>
        <v/>
      </c>
      <c r="E161" s="98">
        <f>'Runs Z score'!E154</f>
        <v/>
      </c>
      <c r="F161" s="98">
        <f>'Runs Z score'!F154</f>
        <v/>
      </c>
      <c r="G161" s="99">
        <f>'Runs Z score'!G154</f>
        <v/>
      </c>
      <c r="H161" s="100">
        <f>VLOOKUP(C161,Recipes!$A$2:$N$4,10,FALSE())</f>
        <v/>
      </c>
      <c r="I161" s="101">
        <f>VLOOKUP(C161,Recipes!$A$2:$N$4,12,FALSE())</f>
        <v/>
      </c>
      <c r="J161" s="100">
        <f>IF(G161="","",H161-G161)</f>
        <v/>
      </c>
      <c r="K161" s="100">
        <f>IF(G161="","",-0.5*((J161-Components!$D$2)/Components!$E$2)^2)</f>
        <v/>
      </c>
      <c r="L161" s="100">
        <f>IF(G161="","",-0.5*((J161-Components!$D$3)/Components!$E$3)^2)</f>
        <v/>
      </c>
      <c r="M161" s="100">
        <f>IF(G161="","",-0.5*((J161-Components!$D$4)/Components!$E$4)^2)</f>
        <v/>
      </c>
      <c r="N161" s="100">
        <f>IF(G161="","",-0.5*((J161-Components!$D$5)/Components!$E$5)^2)</f>
        <v/>
      </c>
      <c r="O161" s="100">
        <f>IF(G161="","",-0.5*((J161-Components!$D$6)/Components!$E$6)^2)</f>
        <v/>
      </c>
      <c r="P161" s="100">
        <f>IF(G161="","",-0.5*((J161-Components!$D$7)/Components!$E$7)^2)</f>
        <v/>
      </c>
      <c r="Q161" s="100">
        <f>IF(G161="","",EXP(LARGE(K161:P161,1)-MAX(K161:P161))/(EXP(K161-MAX(K161:P161))+EXP(L161-MAX(K161:P161))+EXP(M161-MAX(K161:P161))+EXP(N161-MAX(K161:P161))+EXP(O161-MAX(K161:P161))+EXP(P161-MAX(K161:P161))))</f>
        <v/>
      </c>
      <c r="R161" s="100">
        <f>IF(G161="","",EXP(LARGE(K161:P161,2)-MAX(K161:P161))/(EXP(K161-MAX(K161:P161))+EXP(L161-MAX(K161:P161))+EXP(M161-MAX(K161:P161))+EXP(N161-MAX(K161:P161))+EXP(O161-MAX(K161:P161))+EXP(P161-MAX(K161:P161))))</f>
        <v/>
      </c>
      <c r="S161" s="100">
        <f>IF(G161="","",Q161-R161)</f>
        <v/>
      </c>
      <c r="T161" s="98">
        <f>IF(G161="","",IF(AND(G161&gt;=H161-$B$6*I161,G161&lt;=H161+$B$6*I161),"OK","NG"))</f>
        <v/>
      </c>
      <c r="U161" s="69">
        <f>IF(T161="","",IF(T161=D161,1,0))</f>
        <v/>
      </c>
      <c r="V161" s="98">
        <f>IF(G161="","",IF(T161="OK","NONE",INDEX({"S1","S2","W1","W2","N1","N2"},MATCH(MAX(K161:P161),K161:P161,0))))</f>
        <v/>
      </c>
      <c r="W161" s="69">
        <f>IF(G161="","",IF(V161=E161,1,0))</f>
        <v/>
      </c>
      <c r="X161" s="115">
        <f>IF(G161="","",IF(AND(T161="NG",S161&lt;$B$7),"AMBIGUOUS","CONFIDENT"))</f>
        <v/>
      </c>
    </row>
    <row r="162">
      <c r="A162" s="102">
        <f>'Runs Z score'!A155</f>
        <v/>
      </c>
      <c r="B162" s="98">
        <f>'Runs Z score'!B155</f>
        <v/>
      </c>
      <c r="C162" s="98">
        <f>'Runs Z score'!C155</f>
        <v/>
      </c>
      <c r="D162" s="98">
        <f>'Runs Z score'!D155</f>
        <v/>
      </c>
      <c r="E162" s="98">
        <f>'Runs Z score'!E155</f>
        <v/>
      </c>
      <c r="F162" s="98">
        <f>'Runs Z score'!F155</f>
        <v/>
      </c>
      <c r="G162" s="99">
        <f>'Runs Z score'!G155</f>
        <v/>
      </c>
      <c r="H162" s="100">
        <f>VLOOKUP(C162,Recipes!$A$2:$N$4,10,FALSE())</f>
        <v/>
      </c>
      <c r="I162" s="101">
        <f>VLOOKUP(C162,Recipes!$A$2:$N$4,12,FALSE())</f>
        <v/>
      </c>
      <c r="J162" s="100">
        <f>IF(G162="","",H162-G162)</f>
        <v/>
      </c>
      <c r="K162" s="100">
        <f>IF(G162="","",-0.5*((J162-Components!$D$2)/Components!$E$2)^2)</f>
        <v/>
      </c>
      <c r="L162" s="100">
        <f>IF(G162="","",-0.5*((J162-Components!$D$3)/Components!$E$3)^2)</f>
        <v/>
      </c>
      <c r="M162" s="100">
        <f>IF(G162="","",-0.5*((J162-Components!$D$4)/Components!$E$4)^2)</f>
        <v/>
      </c>
      <c r="N162" s="100">
        <f>IF(G162="","",-0.5*((J162-Components!$D$5)/Components!$E$5)^2)</f>
        <v/>
      </c>
      <c r="O162" s="100">
        <f>IF(G162="","",-0.5*((J162-Components!$D$6)/Components!$E$6)^2)</f>
        <v/>
      </c>
      <c r="P162" s="100">
        <f>IF(G162="","",-0.5*((J162-Components!$D$7)/Components!$E$7)^2)</f>
        <v/>
      </c>
      <c r="Q162" s="100">
        <f>IF(G162="","",EXP(LARGE(K162:P162,1)-MAX(K162:P162))/(EXP(K162-MAX(K162:P162))+EXP(L162-MAX(K162:P162))+EXP(M162-MAX(K162:P162))+EXP(N162-MAX(K162:P162))+EXP(O162-MAX(K162:P162))+EXP(P162-MAX(K162:P162))))</f>
        <v/>
      </c>
      <c r="R162" s="100">
        <f>IF(G162="","",EXP(LARGE(K162:P162,2)-MAX(K162:P162))/(EXP(K162-MAX(K162:P162))+EXP(L162-MAX(K162:P162))+EXP(M162-MAX(K162:P162))+EXP(N162-MAX(K162:P162))+EXP(O162-MAX(K162:P162))+EXP(P162-MAX(K162:P162))))</f>
        <v/>
      </c>
      <c r="S162" s="100">
        <f>IF(G162="","",Q162-R162)</f>
        <v/>
      </c>
      <c r="T162" s="98">
        <f>IF(G162="","",IF(AND(G162&gt;=H162-$B$6*I162,G162&lt;=H162+$B$6*I162),"OK","NG"))</f>
        <v/>
      </c>
      <c r="U162" s="69">
        <f>IF(T162="","",IF(T162=D162,1,0))</f>
        <v/>
      </c>
      <c r="V162" s="98">
        <f>IF(G162="","",IF(T162="OK","NONE",INDEX({"S1","S2","W1","W2","N1","N2"},MATCH(MAX(K162:P162),K162:P162,0))))</f>
        <v/>
      </c>
      <c r="W162" s="69">
        <f>IF(G162="","",IF(V162=E162,1,0))</f>
        <v/>
      </c>
      <c r="X162" s="115">
        <f>IF(G162="","",IF(AND(T162="NG",S162&lt;$B$7),"AMBIGUOUS","CONFIDENT"))</f>
        <v/>
      </c>
    </row>
    <row r="163">
      <c r="A163" s="102">
        <f>'Runs Z score'!A156</f>
        <v/>
      </c>
      <c r="B163" s="98">
        <f>'Runs Z score'!B156</f>
        <v/>
      </c>
      <c r="C163" s="98">
        <f>'Runs Z score'!C156</f>
        <v/>
      </c>
      <c r="D163" s="98">
        <f>'Runs Z score'!D156</f>
        <v/>
      </c>
      <c r="E163" s="98">
        <f>'Runs Z score'!E156</f>
        <v/>
      </c>
      <c r="F163" s="98">
        <f>'Runs Z score'!F156</f>
        <v/>
      </c>
      <c r="G163" s="99">
        <f>'Runs Z score'!G156</f>
        <v/>
      </c>
      <c r="H163" s="100">
        <f>VLOOKUP(C163,Recipes!$A$2:$N$4,10,FALSE())</f>
        <v/>
      </c>
      <c r="I163" s="101">
        <f>VLOOKUP(C163,Recipes!$A$2:$N$4,12,FALSE())</f>
        <v/>
      </c>
      <c r="J163" s="100">
        <f>IF(G163="","",H163-G163)</f>
        <v/>
      </c>
      <c r="K163" s="100">
        <f>IF(G163="","",-0.5*((J163-Components!$D$2)/Components!$E$2)^2)</f>
        <v/>
      </c>
      <c r="L163" s="100">
        <f>IF(G163="","",-0.5*((J163-Components!$D$3)/Components!$E$3)^2)</f>
        <v/>
      </c>
      <c r="M163" s="100">
        <f>IF(G163="","",-0.5*((J163-Components!$D$4)/Components!$E$4)^2)</f>
        <v/>
      </c>
      <c r="N163" s="100">
        <f>IF(G163="","",-0.5*((J163-Components!$D$5)/Components!$E$5)^2)</f>
        <v/>
      </c>
      <c r="O163" s="100">
        <f>IF(G163="","",-0.5*((J163-Components!$D$6)/Components!$E$6)^2)</f>
        <v/>
      </c>
      <c r="P163" s="100">
        <f>IF(G163="","",-0.5*((J163-Components!$D$7)/Components!$E$7)^2)</f>
        <v/>
      </c>
      <c r="Q163" s="100">
        <f>IF(G163="","",EXP(LARGE(K163:P163,1)-MAX(K163:P163))/(EXP(K163-MAX(K163:P163))+EXP(L163-MAX(K163:P163))+EXP(M163-MAX(K163:P163))+EXP(N163-MAX(K163:P163))+EXP(O163-MAX(K163:P163))+EXP(P163-MAX(K163:P163))))</f>
        <v/>
      </c>
      <c r="R163" s="100">
        <f>IF(G163="","",EXP(LARGE(K163:P163,2)-MAX(K163:P163))/(EXP(K163-MAX(K163:P163))+EXP(L163-MAX(K163:P163))+EXP(M163-MAX(K163:P163))+EXP(N163-MAX(K163:P163))+EXP(O163-MAX(K163:P163))+EXP(P163-MAX(K163:P163))))</f>
        <v/>
      </c>
      <c r="S163" s="100">
        <f>IF(G163="","",Q163-R163)</f>
        <v/>
      </c>
      <c r="T163" s="98">
        <f>IF(G163="","",IF(AND(G163&gt;=H163-$B$6*I163,G163&lt;=H163+$B$6*I163),"OK","NG"))</f>
        <v/>
      </c>
      <c r="U163" s="69">
        <f>IF(T163="","",IF(T163=D163,1,0))</f>
        <v/>
      </c>
      <c r="V163" s="98">
        <f>IF(G163="","",IF(T163="OK","NONE",INDEX({"S1","S2","W1","W2","N1","N2"},MATCH(MAX(K163:P163),K163:P163,0))))</f>
        <v/>
      </c>
      <c r="W163" s="69">
        <f>IF(G163="","",IF(V163=E163,1,0))</f>
        <v/>
      </c>
      <c r="X163" s="115">
        <f>IF(G163="","",IF(AND(T163="NG",S163&lt;$B$7),"AMBIGUOUS","CONFIDENT"))</f>
        <v/>
      </c>
    </row>
    <row r="164">
      <c r="A164" s="102">
        <f>'Runs Z score'!A157</f>
        <v/>
      </c>
      <c r="B164" s="98">
        <f>'Runs Z score'!B157</f>
        <v/>
      </c>
      <c r="C164" s="98">
        <f>'Runs Z score'!C157</f>
        <v/>
      </c>
      <c r="D164" s="98">
        <f>'Runs Z score'!D157</f>
        <v/>
      </c>
      <c r="E164" s="98">
        <f>'Runs Z score'!E157</f>
        <v/>
      </c>
      <c r="F164" s="98">
        <f>'Runs Z score'!F157</f>
        <v/>
      </c>
      <c r="G164" s="99">
        <f>'Runs Z score'!G157</f>
        <v/>
      </c>
      <c r="H164" s="100">
        <f>VLOOKUP(C164,Recipes!$A$2:$N$4,10,FALSE())</f>
        <v/>
      </c>
      <c r="I164" s="101">
        <f>VLOOKUP(C164,Recipes!$A$2:$N$4,12,FALSE())</f>
        <v/>
      </c>
      <c r="J164" s="100">
        <f>IF(G164="","",H164-G164)</f>
        <v/>
      </c>
      <c r="K164" s="100">
        <f>IF(G164="","",-0.5*((J164-Components!$D$2)/Components!$E$2)^2)</f>
        <v/>
      </c>
      <c r="L164" s="100">
        <f>IF(G164="","",-0.5*((J164-Components!$D$3)/Components!$E$3)^2)</f>
        <v/>
      </c>
      <c r="M164" s="100">
        <f>IF(G164="","",-0.5*((J164-Components!$D$4)/Components!$E$4)^2)</f>
        <v/>
      </c>
      <c r="N164" s="100">
        <f>IF(G164="","",-0.5*((J164-Components!$D$5)/Components!$E$5)^2)</f>
        <v/>
      </c>
      <c r="O164" s="100">
        <f>IF(G164="","",-0.5*((J164-Components!$D$6)/Components!$E$6)^2)</f>
        <v/>
      </c>
      <c r="P164" s="100">
        <f>IF(G164="","",-0.5*((J164-Components!$D$7)/Components!$E$7)^2)</f>
        <v/>
      </c>
      <c r="Q164" s="100">
        <f>IF(G164="","",EXP(LARGE(K164:P164,1)-MAX(K164:P164))/(EXP(K164-MAX(K164:P164))+EXP(L164-MAX(K164:P164))+EXP(M164-MAX(K164:P164))+EXP(N164-MAX(K164:P164))+EXP(O164-MAX(K164:P164))+EXP(P164-MAX(K164:P164))))</f>
        <v/>
      </c>
      <c r="R164" s="100">
        <f>IF(G164="","",EXP(LARGE(K164:P164,2)-MAX(K164:P164))/(EXP(K164-MAX(K164:P164))+EXP(L164-MAX(K164:P164))+EXP(M164-MAX(K164:P164))+EXP(N164-MAX(K164:P164))+EXP(O164-MAX(K164:P164))+EXP(P164-MAX(K164:P164))))</f>
        <v/>
      </c>
      <c r="S164" s="100">
        <f>IF(G164="","",Q164-R164)</f>
        <v/>
      </c>
      <c r="T164" s="98">
        <f>IF(G164="","",IF(AND(G164&gt;=H164-$B$6*I164,G164&lt;=H164+$B$6*I164),"OK","NG"))</f>
        <v/>
      </c>
      <c r="U164" s="69">
        <f>IF(T164="","",IF(T164=D164,1,0))</f>
        <v/>
      </c>
      <c r="V164" s="98">
        <f>IF(G164="","",IF(T164="OK","NONE",INDEX({"S1","S2","W1","W2","N1","N2"},MATCH(MAX(K164:P164),K164:P164,0))))</f>
        <v/>
      </c>
      <c r="W164" s="69">
        <f>IF(G164="","",IF(V164=E164,1,0))</f>
        <v/>
      </c>
      <c r="X164" s="115">
        <f>IF(G164="","",IF(AND(T164="NG",S164&lt;$B$7),"AMBIGUOUS","CONFIDENT"))</f>
        <v/>
      </c>
    </row>
    <row r="165">
      <c r="A165" s="102">
        <f>'Runs Z score'!A158</f>
        <v/>
      </c>
      <c r="B165" s="98">
        <f>'Runs Z score'!B158</f>
        <v/>
      </c>
      <c r="C165" s="98">
        <f>'Runs Z score'!C158</f>
        <v/>
      </c>
      <c r="D165" s="98">
        <f>'Runs Z score'!D158</f>
        <v/>
      </c>
      <c r="E165" s="98">
        <f>'Runs Z score'!E158</f>
        <v/>
      </c>
      <c r="F165" s="98">
        <f>'Runs Z score'!F158</f>
        <v/>
      </c>
      <c r="G165" s="99">
        <f>'Runs Z score'!G158</f>
        <v/>
      </c>
      <c r="H165" s="100">
        <f>VLOOKUP(C165,Recipes!$A$2:$N$4,10,FALSE())</f>
        <v/>
      </c>
      <c r="I165" s="101">
        <f>VLOOKUP(C165,Recipes!$A$2:$N$4,12,FALSE())</f>
        <v/>
      </c>
      <c r="J165" s="100">
        <f>IF(G165="","",H165-G165)</f>
        <v/>
      </c>
      <c r="K165" s="100">
        <f>IF(G165="","",-0.5*((J165-Components!$D$2)/Components!$E$2)^2)</f>
        <v/>
      </c>
      <c r="L165" s="100">
        <f>IF(G165="","",-0.5*((J165-Components!$D$3)/Components!$E$3)^2)</f>
        <v/>
      </c>
      <c r="M165" s="100">
        <f>IF(G165="","",-0.5*((J165-Components!$D$4)/Components!$E$4)^2)</f>
        <v/>
      </c>
      <c r="N165" s="100">
        <f>IF(G165="","",-0.5*((J165-Components!$D$5)/Components!$E$5)^2)</f>
        <v/>
      </c>
      <c r="O165" s="100">
        <f>IF(G165="","",-0.5*((J165-Components!$D$6)/Components!$E$6)^2)</f>
        <v/>
      </c>
      <c r="P165" s="100">
        <f>IF(G165="","",-0.5*((J165-Components!$D$7)/Components!$E$7)^2)</f>
        <v/>
      </c>
      <c r="Q165" s="100">
        <f>IF(G165="","",EXP(LARGE(K165:P165,1)-MAX(K165:P165))/(EXP(K165-MAX(K165:P165))+EXP(L165-MAX(K165:P165))+EXP(M165-MAX(K165:P165))+EXP(N165-MAX(K165:P165))+EXP(O165-MAX(K165:P165))+EXP(P165-MAX(K165:P165))))</f>
        <v/>
      </c>
      <c r="R165" s="100">
        <f>IF(G165="","",EXP(LARGE(K165:P165,2)-MAX(K165:P165))/(EXP(K165-MAX(K165:P165))+EXP(L165-MAX(K165:P165))+EXP(M165-MAX(K165:P165))+EXP(N165-MAX(K165:P165))+EXP(O165-MAX(K165:P165))+EXP(P165-MAX(K165:P165))))</f>
        <v/>
      </c>
      <c r="S165" s="100">
        <f>IF(G165="","",Q165-R165)</f>
        <v/>
      </c>
      <c r="T165" s="98">
        <f>IF(G165="","",IF(AND(G165&gt;=H165-$B$6*I165,G165&lt;=H165+$B$6*I165),"OK","NG"))</f>
        <v/>
      </c>
      <c r="U165" s="69">
        <f>IF(T165="","",IF(T165=D165,1,0))</f>
        <v/>
      </c>
      <c r="V165" s="98">
        <f>IF(G165="","",IF(T165="OK","NONE",INDEX({"S1","S2","W1","W2","N1","N2"},MATCH(MAX(K165:P165),K165:P165,0))))</f>
        <v/>
      </c>
      <c r="W165" s="69">
        <f>IF(G165="","",IF(V165=E165,1,0))</f>
        <v/>
      </c>
      <c r="X165" s="115">
        <f>IF(G165="","",IF(AND(T165="NG",S165&lt;$B$7),"AMBIGUOUS","CONFIDENT"))</f>
        <v/>
      </c>
    </row>
    <row r="166">
      <c r="A166" s="102">
        <f>'Runs Z score'!A159</f>
        <v/>
      </c>
      <c r="B166" s="98">
        <f>'Runs Z score'!B159</f>
        <v/>
      </c>
      <c r="C166" s="98">
        <f>'Runs Z score'!C159</f>
        <v/>
      </c>
      <c r="D166" s="98">
        <f>'Runs Z score'!D159</f>
        <v/>
      </c>
      <c r="E166" s="98">
        <f>'Runs Z score'!E159</f>
        <v/>
      </c>
      <c r="F166" s="98">
        <f>'Runs Z score'!F159</f>
        <v/>
      </c>
      <c r="G166" s="99">
        <f>'Runs Z score'!G159</f>
        <v/>
      </c>
      <c r="H166" s="100">
        <f>VLOOKUP(C166,Recipes!$A$2:$N$4,10,FALSE())</f>
        <v/>
      </c>
      <c r="I166" s="101">
        <f>VLOOKUP(C166,Recipes!$A$2:$N$4,12,FALSE())</f>
        <v/>
      </c>
      <c r="J166" s="100">
        <f>IF(G166="","",H166-G166)</f>
        <v/>
      </c>
      <c r="K166" s="100">
        <f>IF(G166="","",-0.5*((J166-Components!$D$2)/Components!$E$2)^2)</f>
        <v/>
      </c>
      <c r="L166" s="100">
        <f>IF(G166="","",-0.5*((J166-Components!$D$3)/Components!$E$3)^2)</f>
        <v/>
      </c>
      <c r="M166" s="100">
        <f>IF(G166="","",-0.5*((J166-Components!$D$4)/Components!$E$4)^2)</f>
        <v/>
      </c>
      <c r="N166" s="100">
        <f>IF(G166="","",-0.5*((J166-Components!$D$5)/Components!$E$5)^2)</f>
        <v/>
      </c>
      <c r="O166" s="100">
        <f>IF(G166="","",-0.5*((J166-Components!$D$6)/Components!$E$6)^2)</f>
        <v/>
      </c>
      <c r="P166" s="100">
        <f>IF(G166="","",-0.5*((J166-Components!$D$7)/Components!$E$7)^2)</f>
        <v/>
      </c>
      <c r="Q166" s="100">
        <f>IF(G166="","",EXP(LARGE(K166:P166,1)-MAX(K166:P166))/(EXP(K166-MAX(K166:P166))+EXP(L166-MAX(K166:P166))+EXP(M166-MAX(K166:P166))+EXP(N166-MAX(K166:P166))+EXP(O166-MAX(K166:P166))+EXP(P166-MAX(K166:P166))))</f>
        <v/>
      </c>
      <c r="R166" s="100">
        <f>IF(G166="","",EXP(LARGE(K166:P166,2)-MAX(K166:P166))/(EXP(K166-MAX(K166:P166))+EXP(L166-MAX(K166:P166))+EXP(M166-MAX(K166:P166))+EXP(N166-MAX(K166:P166))+EXP(O166-MAX(K166:P166))+EXP(P166-MAX(K166:P166))))</f>
        <v/>
      </c>
      <c r="S166" s="100">
        <f>IF(G166="","",Q166-R166)</f>
        <v/>
      </c>
      <c r="T166" s="98">
        <f>IF(G166="","",IF(AND(G166&gt;=H166-$B$6*I166,G166&lt;=H166+$B$6*I166),"OK","NG"))</f>
        <v/>
      </c>
      <c r="U166" s="69">
        <f>IF(T166="","",IF(T166=D166,1,0))</f>
        <v/>
      </c>
      <c r="V166" s="98">
        <f>IF(G166="","",IF(T166="OK","NONE",INDEX({"S1","S2","W1","W2","N1","N2"},MATCH(MAX(K166:P166),K166:P166,0))))</f>
        <v/>
      </c>
      <c r="W166" s="69">
        <f>IF(G166="","",IF(V166=E166,1,0))</f>
        <v/>
      </c>
      <c r="X166" s="115">
        <f>IF(G166="","",IF(AND(T166="NG",S166&lt;$B$7),"AMBIGUOUS","CONFIDENT"))</f>
        <v/>
      </c>
    </row>
    <row r="167">
      <c r="A167" s="102">
        <f>'Runs Z score'!A160</f>
        <v/>
      </c>
      <c r="B167" s="98">
        <f>'Runs Z score'!B160</f>
        <v/>
      </c>
      <c r="C167" s="98">
        <f>'Runs Z score'!C160</f>
        <v/>
      </c>
      <c r="D167" s="98">
        <f>'Runs Z score'!D160</f>
        <v/>
      </c>
      <c r="E167" s="98">
        <f>'Runs Z score'!E160</f>
        <v/>
      </c>
      <c r="F167" s="98">
        <f>'Runs Z score'!F160</f>
        <v/>
      </c>
      <c r="G167" s="99">
        <f>'Runs Z score'!G160</f>
        <v/>
      </c>
      <c r="H167" s="100">
        <f>VLOOKUP(C167,Recipes!$A$2:$N$4,10,FALSE())</f>
        <v/>
      </c>
      <c r="I167" s="101">
        <f>VLOOKUP(C167,Recipes!$A$2:$N$4,12,FALSE())</f>
        <v/>
      </c>
      <c r="J167" s="100">
        <f>IF(G167="","",H167-G167)</f>
        <v/>
      </c>
      <c r="K167" s="100">
        <f>IF(G167="","",-0.5*((J167-Components!$D$2)/Components!$E$2)^2)</f>
        <v/>
      </c>
      <c r="L167" s="100">
        <f>IF(G167="","",-0.5*((J167-Components!$D$3)/Components!$E$3)^2)</f>
        <v/>
      </c>
      <c r="M167" s="100">
        <f>IF(G167="","",-0.5*((J167-Components!$D$4)/Components!$E$4)^2)</f>
        <v/>
      </c>
      <c r="N167" s="100">
        <f>IF(G167="","",-0.5*((J167-Components!$D$5)/Components!$E$5)^2)</f>
        <v/>
      </c>
      <c r="O167" s="100">
        <f>IF(G167="","",-0.5*((J167-Components!$D$6)/Components!$E$6)^2)</f>
        <v/>
      </c>
      <c r="P167" s="100">
        <f>IF(G167="","",-0.5*((J167-Components!$D$7)/Components!$E$7)^2)</f>
        <v/>
      </c>
      <c r="Q167" s="100">
        <f>IF(G167="","",EXP(LARGE(K167:P167,1)-MAX(K167:P167))/(EXP(K167-MAX(K167:P167))+EXP(L167-MAX(K167:P167))+EXP(M167-MAX(K167:P167))+EXP(N167-MAX(K167:P167))+EXP(O167-MAX(K167:P167))+EXP(P167-MAX(K167:P167))))</f>
        <v/>
      </c>
      <c r="R167" s="100">
        <f>IF(G167="","",EXP(LARGE(K167:P167,2)-MAX(K167:P167))/(EXP(K167-MAX(K167:P167))+EXP(L167-MAX(K167:P167))+EXP(M167-MAX(K167:P167))+EXP(N167-MAX(K167:P167))+EXP(O167-MAX(K167:P167))+EXP(P167-MAX(K167:P167))))</f>
        <v/>
      </c>
      <c r="S167" s="100">
        <f>IF(G167="","",Q167-R167)</f>
        <v/>
      </c>
      <c r="T167" s="98">
        <f>IF(G167="","",IF(AND(G167&gt;=H167-$B$6*I167,G167&lt;=H167+$B$6*I167),"OK","NG"))</f>
        <v/>
      </c>
      <c r="U167" s="69">
        <f>IF(T167="","",IF(T167=D167,1,0))</f>
        <v/>
      </c>
      <c r="V167" s="98">
        <f>IF(G167="","",IF(T167="OK","NONE",INDEX({"S1","S2","W1","W2","N1","N2"},MATCH(MAX(K167:P167),K167:P167,0))))</f>
        <v/>
      </c>
      <c r="W167" s="69">
        <f>IF(G167="","",IF(V167=E167,1,0))</f>
        <v/>
      </c>
      <c r="X167" s="115">
        <f>IF(G167="","",IF(AND(T167="NG",S167&lt;$B$7),"AMBIGUOUS","CONFIDENT"))</f>
        <v/>
      </c>
    </row>
    <row r="168">
      <c r="A168" s="102">
        <f>'Runs Z score'!A161</f>
        <v/>
      </c>
      <c r="B168" s="98">
        <f>'Runs Z score'!B161</f>
        <v/>
      </c>
      <c r="C168" s="98">
        <f>'Runs Z score'!C161</f>
        <v/>
      </c>
      <c r="D168" s="98">
        <f>'Runs Z score'!D161</f>
        <v/>
      </c>
      <c r="E168" s="98">
        <f>'Runs Z score'!E161</f>
        <v/>
      </c>
      <c r="F168" s="98">
        <f>'Runs Z score'!F161</f>
        <v/>
      </c>
      <c r="G168" s="99">
        <f>'Runs Z score'!G161</f>
        <v/>
      </c>
      <c r="H168" s="100">
        <f>VLOOKUP(C168,Recipes!$A$2:$N$4,10,FALSE())</f>
        <v/>
      </c>
      <c r="I168" s="101">
        <f>VLOOKUP(C168,Recipes!$A$2:$N$4,12,FALSE())</f>
        <v/>
      </c>
      <c r="J168" s="100">
        <f>IF(G168="","",H168-G168)</f>
        <v/>
      </c>
      <c r="K168" s="100">
        <f>IF(G168="","",-0.5*((J168-Components!$D$2)/Components!$E$2)^2)</f>
        <v/>
      </c>
      <c r="L168" s="100">
        <f>IF(G168="","",-0.5*((J168-Components!$D$3)/Components!$E$3)^2)</f>
        <v/>
      </c>
      <c r="M168" s="100">
        <f>IF(G168="","",-0.5*((J168-Components!$D$4)/Components!$E$4)^2)</f>
        <v/>
      </c>
      <c r="N168" s="100">
        <f>IF(G168="","",-0.5*((J168-Components!$D$5)/Components!$E$5)^2)</f>
        <v/>
      </c>
      <c r="O168" s="100">
        <f>IF(G168="","",-0.5*((J168-Components!$D$6)/Components!$E$6)^2)</f>
        <v/>
      </c>
      <c r="P168" s="100">
        <f>IF(G168="","",-0.5*((J168-Components!$D$7)/Components!$E$7)^2)</f>
        <v/>
      </c>
      <c r="Q168" s="100">
        <f>IF(G168="","",EXP(LARGE(K168:P168,1)-MAX(K168:P168))/(EXP(K168-MAX(K168:P168))+EXP(L168-MAX(K168:P168))+EXP(M168-MAX(K168:P168))+EXP(N168-MAX(K168:P168))+EXP(O168-MAX(K168:P168))+EXP(P168-MAX(K168:P168))))</f>
        <v/>
      </c>
      <c r="R168" s="100">
        <f>IF(G168="","",EXP(LARGE(K168:P168,2)-MAX(K168:P168))/(EXP(K168-MAX(K168:P168))+EXP(L168-MAX(K168:P168))+EXP(M168-MAX(K168:P168))+EXP(N168-MAX(K168:P168))+EXP(O168-MAX(K168:P168))+EXP(P168-MAX(K168:P168))))</f>
        <v/>
      </c>
      <c r="S168" s="100">
        <f>IF(G168="","",Q168-R168)</f>
        <v/>
      </c>
      <c r="T168" s="98">
        <f>IF(G168="","",IF(AND(G168&gt;=H168-$B$6*I168,G168&lt;=H168+$B$6*I168),"OK","NG"))</f>
        <v/>
      </c>
      <c r="U168" s="69">
        <f>IF(T168="","",IF(T168=D168,1,0))</f>
        <v/>
      </c>
      <c r="V168" s="98">
        <f>IF(G168="","",IF(T168="OK","NONE",INDEX({"S1","S2","W1","W2","N1","N2"},MATCH(MAX(K168:P168),K168:P168,0))))</f>
        <v/>
      </c>
      <c r="W168" s="69">
        <f>IF(G168="","",IF(V168=E168,1,0))</f>
        <v/>
      </c>
      <c r="X168" s="115">
        <f>IF(G168="","",IF(AND(T168="NG",S168&lt;$B$7),"AMBIGUOUS","CONFIDENT"))</f>
        <v/>
      </c>
    </row>
    <row r="169">
      <c r="A169" s="102">
        <f>'Runs Z score'!A162</f>
        <v/>
      </c>
      <c r="B169" s="98">
        <f>'Runs Z score'!B162</f>
        <v/>
      </c>
      <c r="C169" s="98">
        <f>'Runs Z score'!C162</f>
        <v/>
      </c>
      <c r="D169" s="98">
        <f>'Runs Z score'!D162</f>
        <v/>
      </c>
      <c r="E169" s="98">
        <f>'Runs Z score'!E162</f>
        <v/>
      </c>
      <c r="F169" s="98">
        <f>'Runs Z score'!F162</f>
        <v/>
      </c>
      <c r="G169" s="99">
        <f>'Runs Z score'!G162</f>
        <v/>
      </c>
      <c r="H169" s="100">
        <f>VLOOKUP(C169,Recipes!$A$2:$N$4,10,FALSE())</f>
        <v/>
      </c>
      <c r="I169" s="101">
        <f>VLOOKUP(C169,Recipes!$A$2:$N$4,12,FALSE())</f>
        <v/>
      </c>
      <c r="J169" s="100">
        <f>IF(G169="","",H169-G169)</f>
        <v/>
      </c>
      <c r="K169" s="100">
        <f>IF(G169="","",-0.5*((J169-Components!$D$2)/Components!$E$2)^2)</f>
        <v/>
      </c>
      <c r="L169" s="100">
        <f>IF(G169="","",-0.5*((J169-Components!$D$3)/Components!$E$3)^2)</f>
        <v/>
      </c>
      <c r="M169" s="100">
        <f>IF(G169="","",-0.5*((J169-Components!$D$4)/Components!$E$4)^2)</f>
        <v/>
      </c>
      <c r="N169" s="100">
        <f>IF(G169="","",-0.5*((J169-Components!$D$5)/Components!$E$5)^2)</f>
        <v/>
      </c>
      <c r="O169" s="100">
        <f>IF(G169="","",-0.5*((J169-Components!$D$6)/Components!$E$6)^2)</f>
        <v/>
      </c>
      <c r="P169" s="100">
        <f>IF(G169="","",-0.5*((J169-Components!$D$7)/Components!$E$7)^2)</f>
        <v/>
      </c>
      <c r="Q169" s="100">
        <f>IF(G169="","",EXP(LARGE(K169:P169,1)-MAX(K169:P169))/(EXP(K169-MAX(K169:P169))+EXP(L169-MAX(K169:P169))+EXP(M169-MAX(K169:P169))+EXP(N169-MAX(K169:P169))+EXP(O169-MAX(K169:P169))+EXP(P169-MAX(K169:P169))))</f>
        <v/>
      </c>
      <c r="R169" s="100">
        <f>IF(G169="","",EXP(LARGE(K169:P169,2)-MAX(K169:P169))/(EXP(K169-MAX(K169:P169))+EXP(L169-MAX(K169:P169))+EXP(M169-MAX(K169:P169))+EXP(N169-MAX(K169:P169))+EXP(O169-MAX(K169:P169))+EXP(P169-MAX(K169:P169))))</f>
        <v/>
      </c>
      <c r="S169" s="100">
        <f>IF(G169="","",Q169-R169)</f>
        <v/>
      </c>
      <c r="T169" s="98">
        <f>IF(G169="","",IF(AND(G169&gt;=H169-$B$6*I169,G169&lt;=H169+$B$6*I169),"OK","NG"))</f>
        <v/>
      </c>
      <c r="U169" s="69">
        <f>IF(T169="","",IF(T169=D169,1,0))</f>
        <v/>
      </c>
      <c r="V169" s="98">
        <f>IF(G169="","",IF(T169="OK","NONE",INDEX({"S1","S2","W1","W2","N1","N2"},MATCH(MAX(K169:P169),K169:P169,0))))</f>
        <v/>
      </c>
      <c r="W169" s="69">
        <f>IF(G169="","",IF(V169=E169,1,0))</f>
        <v/>
      </c>
      <c r="X169" s="115">
        <f>IF(G169="","",IF(AND(T169="NG",S169&lt;$B$7),"AMBIGUOUS","CONFIDENT"))</f>
        <v/>
      </c>
    </row>
    <row r="170">
      <c r="A170" s="102">
        <f>'Runs Z score'!A163</f>
        <v/>
      </c>
      <c r="B170" s="98">
        <f>'Runs Z score'!B163</f>
        <v/>
      </c>
      <c r="C170" s="98">
        <f>'Runs Z score'!C163</f>
        <v/>
      </c>
      <c r="D170" s="98">
        <f>'Runs Z score'!D163</f>
        <v/>
      </c>
      <c r="E170" s="98">
        <f>'Runs Z score'!E163</f>
        <v/>
      </c>
      <c r="F170" s="98">
        <f>'Runs Z score'!F163</f>
        <v/>
      </c>
      <c r="G170" s="99">
        <f>'Runs Z score'!G163</f>
        <v/>
      </c>
      <c r="H170" s="100">
        <f>VLOOKUP(C170,Recipes!$A$2:$N$4,10,FALSE())</f>
        <v/>
      </c>
      <c r="I170" s="101">
        <f>VLOOKUP(C170,Recipes!$A$2:$N$4,12,FALSE())</f>
        <v/>
      </c>
      <c r="J170" s="100">
        <f>IF(G170="","",H170-G170)</f>
        <v/>
      </c>
      <c r="K170" s="100">
        <f>IF(G170="","",-0.5*((J170-Components!$D$2)/Components!$E$2)^2)</f>
        <v/>
      </c>
      <c r="L170" s="100">
        <f>IF(G170="","",-0.5*((J170-Components!$D$3)/Components!$E$3)^2)</f>
        <v/>
      </c>
      <c r="M170" s="100">
        <f>IF(G170="","",-0.5*((J170-Components!$D$4)/Components!$E$4)^2)</f>
        <v/>
      </c>
      <c r="N170" s="100">
        <f>IF(G170="","",-0.5*((J170-Components!$D$5)/Components!$E$5)^2)</f>
        <v/>
      </c>
      <c r="O170" s="100">
        <f>IF(G170="","",-0.5*((J170-Components!$D$6)/Components!$E$6)^2)</f>
        <v/>
      </c>
      <c r="P170" s="100">
        <f>IF(G170="","",-0.5*((J170-Components!$D$7)/Components!$E$7)^2)</f>
        <v/>
      </c>
      <c r="Q170" s="100">
        <f>IF(G170="","",EXP(LARGE(K170:P170,1)-MAX(K170:P170))/(EXP(K170-MAX(K170:P170))+EXP(L170-MAX(K170:P170))+EXP(M170-MAX(K170:P170))+EXP(N170-MAX(K170:P170))+EXP(O170-MAX(K170:P170))+EXP(P170-MAX(K170:P170))))</f>
        <v/>
      </c>
      <c r="R170" s="100">
        <f>IF(G170="","",EXP(LARGE(K170:P170,2)-MAX(K170:P170))/(EXP(K170-MAX(K170:P170))+EXP(L170-MAX(K170:P170))+EXP(M170-MAX(K170:P170))+EXP(N170-MAX(K170:P170))+EXP(O170-MAX(K170:P170))+EXP(P170-MAX(K170:P170))))</f>
        <v/>
      </c>
      <c r="S170" s="100">
        <f>IF(G170="","",Q170-R170)</f>
        <v/>
      </c>
      <c r="T170" s="98">
        <f>IF(G170="","",IF(AND(G170&gt;=H170-$B$6*I170,G170&lt;=H170+$B$6*I170),"OK","NG"))</f>
        <v/>
      </c>
      <c r="U170" s="69">
        <f>IF(T170="","",IF(T170=D170,1,0))</f>
        <v/>
      </c>
      <c r="V170" s="98">
        <f>IF(G170="","",IF(T170="OK","NONE",INDEX({"S1","S2","W1","W2","N1","N2"},MATCH(MAX(K170:P170),K170:P170,0))))</f>
        <v/>
      </c>
      <c r="W170" s="69">
        <f>IF(G170="","",IF(V170=E170,1,0))</f>
        <v/>
      </c>
      <c r="X170" s="115">
        <f>IF(G170="","",IF(AND(T170="NG",S170&lt;$B$7),"AMBIGUOUS","CONFIDENT"))</f>
        <v/>
      </c>
    </row>
    <row r="171">
      <c r="A171" s="102">
        <f>'Runs Z score'!A164</f>
        <v/>
      </c>
      <c r="B171" s="98">
        <f>'Runs Z score'!B164</f>
        <v/>
      </c>
      <c r="C171" s="98">
        <f>'Runs Z score'!C164</f>
        <v/>
      </c>
      <c r="D171" s="98">
        <f>'Runs Z score'!D164</f>
        <v/>
      </c>
      <c r="E171" s="98">
        <f>'Runs Z score'!E164</f>
        <v/>
      </c>
      <c r="F171" s="98">
        <f>'Runs Z score'!F164</f>
        <v/>
      </c>
      <c r="G171" s="99">
        <f>'Runs Z score'!G164</f>
        <v/>
      </c>
      <c r="H171" s="100">
        <f>VLOOKUP(C171,Recipes!$A$2:$N$4,10,FALSE())</f>
        <v/>
      </c>
      <c r="I171" s="101">
        <f>VLOOKUP(C171,Recipes!$A$2:$N$4,12,FALSE())</f>
        <v/>
      </c>
      <c r="J171" s="100">
        <f>IF(G171="","",H171-G171)</f>
        <v/>
      </c>
      <c r="K171" s="100">
        <f>IF(G171="","",-0.5*((J171-Components!$D$2)/Components!$E$2)^2)</f>
        <v/>
      </c>
      <c r="L171" s="100">
        <f>IF(G171="","",-0.5*((J171-Components!$D$3)/Components!$E$3)^2)</f>
        <v/>
      </c>
      <c r="M171" s="100">
        <f>IF(G171="","",-0.5*((J171-Components!$D$4)/Components!$E$4)^2)</f>
        <v/>
      </c>
      <c r="N171" s="100">
        <f>IF(G171="","",-0.5*((J171-Components!$D$5)/Components!$E$5)^2)</f>
        <v/>
      </c>
      <c r="O171" s="100">
        <f>IF(G171="","",-0.5*((J171-Components!$D$6)/Components!$E$6)^2)</f>
        <v/>
      </c>
      <c r="P171" s="100">
        <f>IF(G171="","",-0.5*((J171-Components!$D$7)/Components!$E$7)^2)</f>
        <v/>
      </c>
      <c r="Q171" s="100">
        <f>IF(G171="","",EXP(LARGE(K171:P171,1)-MAX(K171:P171))/(EXP(K171-MAX(K171:P171))+EXP(L171-MAX(K171:P171))+EXP(M171-MAX(K171:P171))+EXP(N171-MAX(K171:P171))+EXP(O171-MAX(K171:P171))+EXP(P171-MAX(K171:P171))))</f>
        <v/>
      </c>
      <c r="R171" s="100">
        <f>IF(G171="","",EXP(LARGE(K171:P171,2)-MAX(K171:P171))/(EXP(K171-MAX(K171:P171))+EXP(L171-MAX(K171:P171))+EXP(M171-MAX(K171:P171))+EXP(N171-MAX(K171:P171))+EXP(O171-MAX(K171:P171))+EXP(P171-MAX(K171:P171))))</f>
        <v/>
      </c>
      <c r="S171" s="100">
        <f>IF(G171="","",Q171-R171)</f>
        <v/>
      </c>
      <c r="T171" s="98">
        <f>IF(G171="","",IF(AND(G171&gt;=H171-$B$6*I171,G171&lt;=H171+$B$6*I171),"OK","NG"))</f>
        <v/>
      </c>
      <c r="U171" s="69">
        <f>IF(T171="","",IF(T171=D171,1,0))</f>
        <v/>
      </c>
      <c r="V171" s="98">
        <f>IF(G171="","",IF(T171="OK","NONE",INDEX({"S1","S2","W1","W2","N1","N2"},MATCH(MAX(K171:P171),K171:P171,0))))</f>
        <v/>
      </c>
      <c r="W171" s="69">
        <f>IF(G171="","",IF(V171=E171,1,0))</f>
        <v/>
      </c>
      <c r="X171" s="115">
        <f>IF(G171="","",IF(AND(T171="NG",S171&lt;$B$7),"AMBIGUOUS","CONFIDENT"))</f>
        <v/>
      </c>
    </row>
    <row r="172">
      <c r="A172" s="102">
        <f>'Runs Z score'!A165</f>
        <v/>
      </c>
      <c r="B172" s="98">
        <f>'Runs Z score'!B165</f>
        <v/>
      </c>
      <c r="C172" s="98">
        <f>'Runs Z score'!C165</f>
        <v/>
      </c>
      <c r="D172" s="98">
        <f>'Runs Z score'!D165</f>
        <v/>
      </c>
      <c r="E172" s="98">
        <f>'Runs Z score'!E165</f>
        <v/>
      </c>
      <c r="F172" s="98">
        <f>'Runs Z score'!F165</f>
        <v/>
      </c>
      <c r="G172" s="99">
        <f>'Runs Z score'!G165</f>
        <v/>
      </c>
      <c r="H172" s="100">
        <f>VLOOKUP(C172,Recipes!$A$2:$N$4,10,FALSE())</f>
        <v/>
      </c>
      <c r="I172" s="101">
        <f>VLOOKUP(C172,Recipes!$A$2:$N$4,12,FALSE())</f>
        <v/>
      </c>
      <c r="J172" s="100">
        <f>IF(G172="","",H172-G172)</f>
        <v/>
      </c>
      <c r="K172" s="100">
        <f>IF(G172="","",-0.5*((J172-Components!$D$2)/Components!$E$2)^2)</f>
        <v/>
      </c>
      <c r="L172" s="100">
        <f>IF(G172="","",-0.5*((J172-Components!$D$3)/Components!$E$3)^2)</f>
        <v/>
      </c>
      <c r="M172" s="100">
        <f>IF(G172="","",-0.5*((J172-Components!$D$4)/Components!$E$4)^2)</f>
        <v/>
      </c>
      <c r="N172" s="100">
        <f>IF(G172="","",-0.5*((J172-Components!$D$5)/Components!$E$5)^2)</f>
        <v/>
      </c>
      <c r="O172" s="100">
        <f>IF(G172="","",-0.5*((J172-Components!$D$6)/Components!$E$6)^2)</f>
        <v/>
      </c>
      <c r="P172" s="100">
        <f>IF(G172="","",-0.5*((J172-Components!$D$7)/Components!$E$7)^2)</f>
        <v/>
      </c>
      <c r="Q172" s="100">
        <f>IF(G172="","",EXP(LARGE(K172:P172,1)-MAX(K172:P172))/(EXP(K172-MAX(K172:P172))+EXP(L172-MAX(K172:P172))+EXP(M172-MAX(K172:P172))+EXP(N172-MAX(K172:P172))+EXP(O172-MAX(K172:P172))+EXP(P172-MAX(K172:P172))))</f>
        <v/>
      </c>
      <c r="R172" s="100">
        <f>IF(G172="","",EXP(LARGE(K172:P172,2)-MAX(K172:P172))/(EXP(K172-MAX(K172:P172))+EXP(L172-MAX(K172:P172))+EXP(M172-MAX(K172:P172))+EXP(N172-MAX(K172:P172))+EXP(O172-MAX(K172:P172))+EXP(P172-MAX(K172:P172))))</f>
        <v/>
      </c>
      <c r="S172" s="100">
        <f>IF(G172="","",Q172-R172)</f>
        <v/>
      </c>
      <c r="T172" s="98">
        <f>IF(G172="","",IF(AND(G172&gt;=H172-$B$6*I172,G172&lt;=H172+$B$6*I172),"OK","NG"))</f>
        <v/>
      </c>
      <c r="U172" s="69">
        <f>IF(T172="","",IF(T172=D172,1,0))</f>
        <v/>
      </c>
      <c r="V172" s="98">
        <f>IF(G172="","",IF(T172="OK","NONE",INDEX({"S1","S2","W1","W2","N1","N2"},MATCH(MAX(K172:P172),K172:P172,0))))</f>
        <v/>
      </c>
      <c r="W172" s="69">
        <f>IF(G172="","",IF(V172=E172,1,0))</f>
        <v/>
      </c>
      <c r="X172" s="115">
        <f>IF(G172="","",IF(AND(T172="NG",S172&lt;$B$7),"AMBIGUOUS","CONFIDENT"))</f>
        <v/>
      </c>
    </row>
    <row r="173">
      <c r="A173" s="102">
        <f>'Runs Z score'!A166</f>
        <v/>
      </c>
      <c r="B173" s="98">
        <f>'Runs Z score'!B166</f>
        <v/>
      </c>
      <c r="C173" s="98">
        <f>'Runs Z score'!C166</f>
        <v/>
      </c>
      <c r="D173" s="98">
        <f>'Runs Z score'!D166</f>
        <v/>
      </c>
      <c r="E173" s="98">
        <f>'Runs Z score'!E166</f>
        <v/>
      </c>
      <c r="F173" s="98">
        <f>'Runs Z score'!F166</f>
        <v/>
      </c>
      <c r="G173" s="99">
        <f>'Runs Z score'!G166</f>
        <v/>
      </c>
      <c r="H173" s="100">
        <f>VLOOKUP(C173,Recipes!$A$2:$N$4,10,FALSE())</f>
        <v/>
      </c>
      <c r="I173" s="101">
        <f>VLOOKUP(C173,Recipes!$A$2:$N$4,12,FALSE())</f>
        <v/>
      </c>
      <c r="J173" s="100">
        <f>IF(G173="","",H173-G173)</f>
        <v/>
      </c>
      <c r="K173" s="100">
        <f>IF(G173="","",-0.5*((J173-Components!$D$2)/Components!$E$2)^2)</f>
        <v/>
      </c>
      <c r="L173" s="100">
        <f>IF(G173="","",-0.5*((J173-Components!$D$3)/Components!$E$3)^2)</f>
        <v/>
      </c>
      <c r="M173" s="100">
        <f>IF(G173="","",-0.5*((J173-Components!$D$4)/Components!$E$4)^2)</f>
        <v/>
      </c>
      <c r="N173" s="100">
        <f>IF(G173="","",-0.5*((J173-Components!$D$5)/Components!$E$5)^2)</f>
        <v/>
      </c>
      <c r="O173" s="100">
        <f>IF(G173="","",-0.5*((J173-Components!$D$6)/Components!$E$6)^2)</f>
        <v/>
      </c>
      <c r="P173" s="100">
        <f>IF(G173="","",-0.5*((J173-Components!$D$7)/Components!$E$7)^2)</f>
        <v/>
      </c>
      <c r="Q173" s="100">
        <f>IF(G173="","",EXP(LARGE(K173:P173,1)-MAX(K173:P173))/(EXP(K173-MAX(K173:P173))+EXP(L173-MAX(K173:P173))+EXP(M173-MAX(K173:P173))+EXP(N173-MAX(K173:P173))+EXP(O173-MAX(K173:P173))+EXP(P173-MAX(K173:P173))))</f>
        <v/>
      </c>
      <c r="R173" s="100">
        <f>IF(G173="","",EXP(LARGE(K173:P173,2)-MAX(K173:P173))/(EXP(K173-MAX(K173:P173))+EXP(L173-MAX(K173:P173))+EXP(M173-MAX(K173:P173))+EXP(N173-MAX(K173:P173))+EXP(O173-MAX(K173:P173))+EXP(P173-MAX(K173:P173))))</f>
        <v/>
      </c>
      <c r="S173" s="100">
        <f>IF(G173="","",Q173-R173)</f>
        <v/>
      </c>
      <c r="T173" s="98">
        <f>IF(G173="","",IF(AND(G173&gt;=H173-$B$6*I173,G173&lt;=H173+$B$6*I173),"OK","NG"))</f>
        <v/>
      </c>
      <c r="U173" s="69">
        <f>IF(T173="","",IF(T173=D173,1,0))</f>
        <v/>
      </c>
      <c r="V173" s="98">
        <f>IF(G173="","",IF(T173="OK","NONE",INDEX({"S1","S2","W1","W2","N1","N2"},MATCH(MAX(K173:P173),K173:P173,0))))</f>
        <v/>
      </c>
      <c r="W173" s="69">
        <f>IF(G173="","",IF(V173=E173,1,0))</f>
        <v/>
      </c>
      <c r="X173" s="115">
        <f>IF(G173="","",IF(AND(T173="NG",S173&lt;$B$7),"AMBIGUOUS","CONFIDENT"))</f>
        <v/>
      </c>
    </row>
    <row r="174">
      <c r="A174" s="102">
        <f>'Runs Z score'!A167</f>
        <v/>
      </c>
      <c r="B174" s="98">
        <f>'Runs Z score'!B167</f>
        <v/>
      </c>
      <c r="C174" s="98">
        <f>'Runs Z score'!C167</f>
        <v/>
      </c>
      <c r="D174" s="98">
        <f>'Runs Z score'!D167</f>
        <v/>
      </c>
      <c r="E174" s="98">
        <f>'Runs Z score'!E167</f>
        <v/>
      </c>
      <c r="F174" s="98">
        <f>'Runs Z score'!F167</f>
        <v/>
      </c>
      <c r="G174" s="99">
        <f>'Runs Z score'!G167</f>
        <v/>
      </c>
      <c r="H174" s="100">
        <f>VLOOKUP(C174,Recipes!$A$2:$N$4,10,FALSE())</f>
        <v/>
      </c>
      <c r="I174" s="101">
        <f>VLOOKUP(C174,Recipes!$A$2:$N$4,12,FALSE())</f>
        <v/>
      </c>
      <c r="J174" s="100">
        <f>IF(G174="","",H174-G174)</f>
        <v/>
      </c>
      <c r="K174" s="100">
        <f>IF(G174="","",-0.5*((J174-Components!$D$2)/Components!$E$2)^2)</f>
        <v/>
      </c>
      <c r="L174" s="100">
        <f>IF(G174="","",-0.5*((J174-Components!$D$3)/Components!$E$3)^2)</f>
        <v/>
      </c>
      <c r="M174" s="100">
        <f>IF(G174="","",-0.5*((J174-Components!$D$4)/Components!$E$4)^2)</f>
        <v/>
      </c>
      <c r="N174" s="100">
        <f>IF(G174="","",-0.5*((J174-Components!$D$5)/Components!$E$5)^2)</f>
        <v/>
      </c>
      <c r="O174" s="100">
        <f>IF(G174="","",-0.5*((J174-Components!$D$6)/Components!$E$6)^2)</f>
        <v/>
      </c>
      <c r="P174" s="100">
        <f>IF(G174="","",-0.5*((J174-Components!$D$7)/Components!$E$7)^2)</f>
        <v/>
      </c>
      <c r="Q174" s="100">
        <f>IF(G174="","",EXP(LARGE(K174:P174,1)-MAX(K174:P174))/(EXP(K174-MAX(K174:P174))+EXP(L174-MAX(K174:P174))+EXP(M174-MAX(K174:P174))+EXP(N174-MAX(K174:P174))+EXP(O174-MAX(K174:P174))+EXP(P174-MAX(K174:P174))))</f>
        <v/>
      </c>
      <c r="R174" s="100">
        <f>IF(G174="","",EXP(LARGE(K174:P174,2)-MAX(K174:P174))/(EXP(K174-MAX(K174:P174))+EXP(L174-MAX(K174:P174))+EXP(M174-MAX(K174:P174))+EXP(N174-MAX(K174:P174))+EXP(O174-MAX(K174:P174))+EXP(P174-MAX(K174:P174))))</f>
        <v/>
      </c>
      <c r="S174" s="100">
        <f>IF(G174="","",Q174-R174)</f>
        <v/>
      </c>
      <c r="T174" s="98">
        <f>IF(G174="","",IF(AND(G174&gt;=H174-$B$6*I174,G174&lt;=H174+$B$6*I174),"OK","NG"))</f>
        <v/>
      </c>
      <c r="U174" s="69">
        <f>IF(T174="","",IF(T174=D174,1,0))</f>
        <v/>
      </c>
      <c r="V174" s="98">
        <f>IF(G174="","",IF(T174="OK","NONE",INDEX({"S1","S2","W1","W2","N1","N2"},MATCH(MAX(K174:P174),K174:P174,0))))</f>
        <v/>
      </c>
      <c r="W174" s="69">
        <f>IF(G174="","",IF(V174=E174,1,0))</f>
        <v/>
      </c>
      <c r="X174" s="115">
        <f>IF(G174="","",IF(AND(T174="NG",S174&lt;$B$7),"AMBIGUOUS","CONFIDENT"))</f>
        <v/>
      </c>
    </row>
    <row r="175">
      <c r="A175" s="102">
        <f>'Runs Z score'!A168</f>
        <v/>
      </c>
      <c r="B175" s="98">
        <f>'Runs Z score'!B168</f>
        <v/>
      </c>
      <c r="C175" s="98">
        <f>'Runs Z score'!C168</f>
        <v/>
      </c>
      <c r="D175" s="98">
        <f>'Runs Z score'!D168</f>
        <v/>
      </c>
      <c r="E175" s="98">
        <f>'Runs Z score'!E168</f>
        <v/>
      </c>
      <c r="F175" s="98">
        <f>'Runs Z score'!F168</f>
        <v/>
      </c>
      <c r="G175" s="99">
        <f>'Runs Z score'!G168</f>
        <v/>
      </c>
      <c r="H175" s="100">
        <f>VLOOKUP(C175,Recipes!$A$2:$N$4,10,FALSE())</f>
        <v/>
      </c>
      <c r="I175" s="101">
        <f>VLOOKUP(C175,Recipes!$A$2:$N$4,12,FALSE())</f>
        <v/>
      </c>
      <c r="J175" s="100">
        <f>IF(G175="","",H175-G175)</f>
        <v/>
      </c>
      <c r="K175" s="100">
        <f>IF(G175="","",-0.5*((J175-Components!$D$2)/Components!$E$2)^2)</f>
        <v/>
      </c>
      <c r="L175" s="100">
        <f>IF(G175="","",-0.5*((J175-Components!$D$3)/Components!$E$3)^2)</f>
        <v/>
      </c>
      <c r="M175" s="100">
        <f>IF(G175="","",-0.5*((J175-Components!$D$4)/Components!$E$4)^2)</f>
        <v/>
      </c>
      <c r="N175" s="100">
        <f>IF(G175="","",-0.5*((J175-Components!$D$5)/Components!$E$5)^2)</f>
        <v/>
      </c>
      <c r="O175" s="100">
        <f>IF(G175="","",-0.5*((J175-Components!$D$6)/Components!$E$6)^2)</f>
        <v/>
      </c>
      <c r="P175" s="100">
        <f>IF(G175="","",-0.5*((J175-Components!$D$7)/Components!$E$7)^2)</f>
        <v/>
      </c>
      <c r="Q175" s="100">
        <f>IF(G175="","",EXP(LARGE(K175:P175,1)-MAX(K175:P175))/(EXP(K175-MAX(K175:P175))+EXP(L175-MAX(K175:P175))+EXP(M175-MAX(K175:P175))+EXP(N175-MAX(K175:P175))+EXP(O175-MAX(K175:P175))+EXP(P175-MAX(K175:P175))))</f>
        <v/>
      </c>
      <c r="R175" s="100">
        <f>IF(G175="","",EXP(LARGE(K175:P175,2)-MAX(K175:P175))/(EXP(K175-MAX(K175:P175))+EXP(L175-MAX(K175:P175))+EXP(M175-MAX(K175:P175))+EXP(N175-MAX(K175:P175))+EXP(O175-MAX(K175:P175))+EXP(P175-MAX(K175:P175))))</f>
        <v/>
      </c>
      <c r="S175" s="100">
        <f>IF(G175="","",Q175-R175)</f>
        <v/>
      </c>
      <c r="T175" s="98">
        <f>IF(G175="","",IF(AND(G175&gt;=H175-$B$6*I175,G175&lt;=H175+$B$6*I175),"OK","NG"))</f>
        <v/>
      </c>
      <c r="U175" s="69">
        <f>IF(T175="","",IF(T175=D175,1,0))</f>
        <v/>
      </c>
      <c r="V175" s="98">
        <f>IF(G175="","",IF(T175="OK","NONE",INDEX({"S1","S2","W1","W2","N1","N2"},MATCH(MAX(K175:P175),K175:P175,0))))</f>
        <v/>
      </c>
      <c r="W175" s="69">
        <f>IF(G175="","",IF(V175=E175,1,0))</f>
        <v/>
      </c>
      <c r="X175" s="115">
        <f>IF(G175="","",IF(AND(T175="NG",S175&lt;$B$7),"AMBIGUOUS","CONFIDENT"))</f>
        <v/>
      </c>
    </row>
    <row r="176">
      <c r="A176" s="102">
        <f>'Runs Z score'!A169</f>
        <v/>
      </c>
      <c r="B176" s="98">
        <f>'Runs Z score'!B169</f>
        <v/>
      </c>
      <c r="C176" s="98">
        <f>'Runs Z score'!C169</f>
        <v/>
      </c>
      <c r="D176" s="98">
        <f>'Runs Z score'!D169</f>
        <v/>
      </c>
      <c r="E176" s="98">
        <f>'Runs Z score'!E169</f>
        <v/>
      </c>
      <c r="F176" s="98">
        <f>'Runs Z score'!F169</f>
        <v/>
      </c>
      <c r="G176" s="99">
        <f>'Runs Z score'!G169</f>
        <v/>
      </c>
      <c r="H176" s="100">
        <f>VLOOKUP(C176,Recipes!$A$2:$N$4,10,FALSE())</f>
        <v/>
      </c>
      <c r="I176" s="101">
        <f>VLOOKUP(C176,Recipes!$A$2:$N$4,12,FALSE())</f>
        <v/>
      </c>
      <c r="J176" s="100">
        <f>IF(G176="","",H176-G176)</f>
        <v/>
      </c>
      <c r="K176" s="100">
        <f>IF(G176="","",-0.5*((J176-Components!$D$2)/Components!$E$2)^2)</f>
        <v/>
      </c>
      <c r="L176" s="100">
        <f>IF(G176="","",-0.5*((J176-Components!$D$3)/Components!$E$3)^2)</f>
        <v/>
      </c>
      <c r="M176" s="100">
        <f>IF(G176="","",-0.5*((J176-Components!$D$4)/Components!$E$4)^2)</f>
        <v/>
      </c>
      <c r="N176" s="100">
        <f>IF(G176="","",-0.5*((J176-Components!$D$5)/Components!$E$5)^2)</f>
        <v/>
      </c>
      <c r="O176" s="100">
        <f>IF(G176="","",-0.5*((J176-Components!$D$6)/Components!$E$6)^2)</f>
        <v/>
      </c>
      <c r="P176" s="100">
        <f>IF(G176="","",-0.5*((J176-Components!$D$7)/Components!$E$7)^2)</f>
        <v/>
      </c>
      <c r="Q176" s="100">
        <f>IF(G176="","",EXP(LARGE(K176:P176,1)-MAX(K176:P176))/(EXP(K176-MAX(K176:P176))+EXP(L176-MAX(K176:P176))+EXP(M176-MAX(K176:P176))+EXP(N176-MAX(K176:P176))+EXP(O176-MAX(K176:P176))+EXP(P176-MAX(K176:P176))))</f>
        <v/>
      </c>
      <c r="R176" s="100">
        <f>IF(G176="","",EXP(LARGE(K176:P176,2)-MAX(K176:P176))/(EXP(K176-MAX(K176:P176))+EXP(L176-MAX(K176:P176))+EXP(M176-MAX(K176:P176))+EXP(N176-MAX(K176:P176))+EXP(O176-MAX(K176:P176))+EXP(P176-MAX(K176:P176))))</f>
        <v/>
      </c>
      <c r="S176" s="100">
        <f>IF(G176="","",Q176-R176)</f>
        <v/>
      </c>
      <c r="T176" s="98">
        <f>IF(G176="","",IF(AND(G176&gt;=H176-$B$6*I176,G176&lt;=H176+$B$6*I176),"OK","NG"))</f>
        <v/>
      </c>
      <c r="U176" s="69">
        <f>IF(T176="","",IF(T176=D176,1,0))</f>
        <v/>
      </c>
      <c r="V176" s="98">
        <f>IF(G176="","",IF(T176="OK","NONE",INDEX({"S1","S2","W1","W2","N1","N2"},MATCH(MAX(K176:P176),K176:P176,0))))</f>
        <v/>
      </c>
      <c r="W176" s="69">
        <f>IF(G176="","",IF(V176=E176,1,0))</f>
        <v/>
      </c>
      <c r="X176" s="115">
        <f>IF(G176="","",IF(AND(T176="NG",S176&lt;$B$7),"AMBIGUOUS","CONFIDENT"))</f>
        <v/>
      </c>
    </row>
    <row r="177">
      <c r="A177" s="102">
        <f>'Runs Z score'!A170</f>
        <v/>
      </c>
      <c r="B177" s="98">
        <f>'Runs Z score'!B170</f>
        <v/>
      </c>
      <c r="C177" s="98">
        <f>'Runs Z score'!C170</f>
        <v/>
      </c>
      <c r="D177" s="98">
        <f>'Runs Z score'!D170</f>
        <v/>
      </c>
      <c r="E177" s="98">
        <f>'Runs Z score'!E170</f>
        <v/>
      </c>
      <c r="F177" s="98">
        <f>'Runs Z score'!F170</f>
        <v/>
      </c>
      <c r="G177" s="99">
        <f>'Runs Z score'!G170</f>
        <v/>
      </c>
      <c r="H177" s="100">
        <f>VLOOKUP(C177,Recipes!$A$2:$N$4,10,FALSE())</f>
        <v/>
      </c>
      <c r="I177" s="101">
        <f>VLOOKUP(C177,Recipes!$A$2:$N$4,12,FALSE())</f>
        <v/>
      </c>
      <c r="J177" s="100">
        <f>IF(G177="","",H177-G177)</f>
        <v/>
      </c>
      <c r="K177" s="100">
        <f>IF(G177="","",-0.5*((J177-Components!$D$2)/Components!$E$2)^2)</f>
        <v/>
      </c>
      <c r="L177" s="100">
        <f>IF(G177="","",-0.5*((J177-Components!$D$3)/Components!$E$3)^2)</f>
        <v/>
      </c>
      <c r="M177" s="100">
        <f>IF(G177="","",-0.5*((J177-Components!$D$4)/Components!$E$4)^2)</f>
        <v/>
      </c>
      <c r="N177" s="100">
        <f>IF(G177="","",-0.5*((J177-Components!$D$5)/Components!$E$5)^2)</f>
        <v/>
      </c>
      <c r="O177" s="100">
        <f>IF(G177="","",-0.5*((J177-Components!$D$6)/Components!$E$6)^2)</f>
        <v/>
      </c>
      <c r="P177" s="100">
        <f>IF(G177="","",-0.5*((J177-Components!$D$7)/Components!$E$7)^2)</f>
        <v/>
      </c>
      <c r="Q177" s="100">
        <f>IF(G177="","",EXP(LARGE(K177:P177,1)-MAX(K177:P177))/(EXP(K177-MAX(K177:P177))+EXP(L177-MAX(K177:P177))+EXP(M177-MAX(K177:P177))+EXP(N177-MAX(K177:P177))+EXP(O177-MAX(K177:P177))+EXP(P177-MAX(K177:P177))))</f>
        <v/>
      </c>
      <c r="R177" s="100">
        <f>IF(G177="","",EXP(LARGE(K177:P177,2)-MAX(K177:P177))/(EXP(K177-MAX(K177:P177))+EXP(L177-MAX(K177:P177))+EXP(M177-MAX(K177:P177))+EXP(N177-MAX(K177:P177))+EXP(O177-MAX(K177:P177))+EXP(P177-MAX(K177:P177))))</f>
        <v/>
      </c>
      <c r="S177" s="100">
        <f>IF(G177="","",Q177-R177)</f>
        <v/>
      </c>
      <c r="T177" s="98">
        <f>IF(G177="","",IF(AND(G177&gt;=H177-$B$6*I177,G177&lt;=H177+$B$6*I177),"OK","NG"))</f>
        <v/>
      </c>
      <c r="U177" s="69">
        <f>IF(T177="","",IF(T177=D177,1,0))</f>
        <v/>
      </c>
      <c r="V177" s="98">
        <f>IF(G177="","",IF(T177="OK","NONE",INDEX({"S1","S2","W1","W2","N1","N2"},MATCH(MAX(K177:P177),K177:P177,0))))</f>
        <v/>
      </c>
      <c r="W177" s="69">
        <f>IF(G177="","",IF(V177=E177,1,0))</f>
        <v/>
      </c>
      <c r="X177" s="115">
        <f>IF(G177="","",IF(AND(T177="NG",S177&lt;$B$7),"AMBIGUOUS","CONFIDENT"))</f>
        <v/>
      </c>
    </row>
    <row r="178">
      <c r="A178" s="102">
        <f>'Runs Z score'!A171</f>
        <v/>
      </c>
      <c r="B178" s="98">
        <f>'Runs Z score'!B171</f>
        <v/>
      </c>
      <c r="C178" s="98">
        <f>'Runs Z score'!C171</f>
        <v/>
      </c>
      <c r="D178" s="98">
        <f>'Runs Z score'!D171</f>
        <v/>
      </c>
      <c r="E178" s="98">
        <f>'Runs Z score'!E171</f>
        <v/>
      </c>
      <c r="F178" s="98">
        <f>'Runs Z score'!F171</f>
        <v/>
      </c>
      <c r="G178" s="99">
        <f>'Runs Z score'!G171</f>
        <v/>
      </c>
      <c r="H178" s="100">
        <f>VLOOKUP(C178,Recipes!$A$2:$N$4,10,FALSE())</f>
        <v/>
      </c>
      <c r="I178" s="101">
        <f>VLOOKUP(C178,Recipes!$A$2:$N$4,12,FALSE())</f>
        <v/>
      </c>
      <c r="J178" s="100">
        <f>IF(G178="","",H178-G178)</f>
        <v/>
      </c>
      <c r="K178" s="100">
        <f>IF(G178="","",-0.5*((J178-Components!$D$2)/Components!$E$2)^2)</f>
        <v/>
      </c>
      <c r="L178" s="100">
        <f>IF(G178="","",-0.5*((J178-Components!$D$3)/Components!$E$3)^2)</f>
        <v/>
      </c>
      <c r="M178" s="100">
        <f>IF(G178="","",-0.5*((J178-Components!$D$4)/Components!$E$4)^2)</f>
        <v/>
      </c>
      <c r="N178" s="100">
        <f>IF(G178="","",-0.5*((J178-Components!$D$5)/Components!$E$5)^2)</f>
        <v/>
      </c>
      <c r="O178" s="100">
        <f>IF(G178="","",-0.5*((J178-Components!$D$6)/Components!$E$6)^2)</f>
        <v/>
      </c>
      <c r="P178" s="100">
        <f>IF(G178="","",-0.5*((J178-Components!$D$7)/Components!$E$7)^2)</f>
        <v/>
      </c>
      <c r="Q178" s="100">
        <f>IF(G178="","",EXP(LARGE(K178:P178,1)-MAX(K178:P178))/(EXP(K178-MAX(K178:P178))+EXP(L178-MAX(K178:P178))+EXP(M178-MAX(K178:P178))+EXP(N178-MAX(K178:P178))+EXP(O178-MAX(K178:P178))+EXP(P178-MAX(K178:P178))))</f>
        <v/>
      </c>
      <c r="R178" s="100">
        <f>IF(G178="","",EXP(LARGE(K178:P178,2)-MAX(K178:P178))/(EXP(K178-MAX(K178:P178))+EXP(L178-MAX(K178:P178))+EXP(M178-MAX(K178:P178))+EXP(N178-MAX(K178:P178))+EXP(O178-MAX(K178:P178))+EXP(P178-MAX(K178:P178))))</f>
        <v/>
      </c>
      <c r="S178" s="100">
        <f>IF(G178="","",Q178-R178)</f>
        <v/>
      </c>
      <c r="T178" s="98">
        <f>IF(G178="","",IF(AND(G178&gt;=H178-$B$6*I178,G178&lt;=H178+$B$6*I178),"OK","NG"))</f>
        <v/>
      </c>
      <c r="U178" s="69">
        <f>IF(T178="","",IF(T178=D178,1,0))</f>
        <v/>
      </c>
      <c r="V178" s="98">
        <f>IF(G178="","",IF(T178="OK","NONE",INDEX({"S1","S2","W1","W2","N1","N2"},MATCH(MAX(K178:P178),K178:P178,0))))</f>
        <v/>
      </c>
      <c r="W178" s="69">
        <f>IF(G178="","",IF(V178=E178,1,0))</f>
        <v/>
      </c>
      <c r="X178" s="115">
        <f>IF(G178="","",IF(AND(T178="NG",S178&lt;$B$7),"AMBIGUOUS","CONFIDENT"))</f>
        <v/>
      </c>
    </row>
    <row r="179">
      <c r="A179" s="102">
        <f>'Runs Z score'!A172</f>
        <v/>
      </c>
      <c r="B179" s="98">
        <f>'Runs Z score'!B172</f>
        <v/>
      </c>
      <c r="C179" s="98">
        <f>'Runs Z score'!C172</f>
        <v/>
      </c>
      <c r="D179" s="98">
        <f>'Runs Z score'!D172</f>
        <v/>
      </c>
      <c r="E179" s="98">
        <f>'Runs Z score'!E172</f>
        <v/>
      </c>
      <c r="F179" s="98">
        <f>'Runs Z score'!F172</f>
        <v/>
      </c>
      <c r="G179" s="99">
        <f>'Runs Z score'!G172</f>
        <v/>
      </c>
      <c r="H179" s="100">
        <f>VLOOKUP(C179,Recipes!$A$2:$N$4,10,FALSE())</f>
        <v/>
      </c>
      <c r="I179" s="101">
        <f>VLOOKUP(C179,Recipes!$A$2:$N$4,12,FALSE())</f>
        <v/>
      </c>
      <c r="J179" s="100">
        <f>IF(G179="","",H179-G179)</f>
        <v/>
      </c>
      <c r="K179" s="100">
        <f>IF(G179="","",-0.5*((J179-Components!$D$2)/Components!$E$2)^2)</f>
        <v/>
      </c>
      <c r="L179" s="100">
        <f>IF(G179="","",-0.5*((J179-Components!$D$3)/Components!$E$3)^2)</f>
        <v/>
      </c>
      <c r="M179" s="100">
        <f>IF(G179="","",-0.5*((J179-Components!$D$4)/Components!$E$4)^2)</f>
        <v/>
      </c>
      <c r="N179" s="100">
        <f>IF(G179="","",-0.5*((J179-Components!$D$5)/Components!$E$5)^2)</f>
        <v/>
      </c>
      <c r="O179" s="100">
        <f>IF(G179="","",-0.5*((J179-Components!$D$6)/Components!$E$6)^2)</f>
        <v/>
      </c>
      <c r="P179" s="100">
        <f>IF(G179="","",-0.5*((J179-Components!$D$7)/Components!$E$7)^2)</f>
        <v/>
      </c>
      <c r="Q179" s="100">
        <f>IF(G179="","",EXP(LARGE(K179:P179,1)-MAX(K179:P179))/(EXP(K179-MAX(K179:P179))+EXP(L179-MAX(K179:P179))+EXP(M179-MAX(K179:P179))+EXP(N179-MAX(K179:P179))+EXP(O179-MAX(K179:P179))+EXP(P179-MAX(K179:P179))))</f>
        <v/>
      </c>
      <c r="R179" s="100">
        <f>IF(G179="","",EXP(LARGE(K179:P179,2)-MAX(K179:P179))/(EXP(K179-MAX(K179:P179))+EXP(L179-MAX(K179:P179))+EXP(M179-MAX(K179:P179))+EXP(N179-MAX(K179:P179))+EXP(O179-MAX(K179:P179))+EXP(P179-MAX(K179:P179))))</f>
        <v/>
      </c>
      <c r="S179" s="100">
        <f>IF(G179="","",Q179-R179)</f>
        <v/>
      </c>
      <c r="T179" s="98">
        <f>IF(G179="","",IF(AND(G179&gt;=H179-$B$6*I179,G179&lt;=H179+$B$6*I179),"OK","NG"))</f>
        <v/>
      </c>
      <c r="U179" s="69">
        <f>IF(T179="","",IF(T179=D179,1,0))</f>
        <v/>
      </c>
      <c r="V179" s="98">
        <f>IF(G179="","",IF(T179="OK","NONE",INDEX({"S1","S2","W1","W2","N1","N2"},MATCH(MAX(K179:P179),K179:P179,0))))</f>
        <v/>
      </c>
      <c r="W179" s="69">
        <f>IF(G179="","",IF(V179=E179,1,0))</f>
        <v/>
      </c>
      <c r="X179" s="115">
        <f>IF(G179="","",IF(AND(T179="NG",S179&lt;$B$7),"AMBIGUOUS","CONFIDENT"))</f>
        <v/>
      </c>
    </row>
    <row r="180">
      <c r="A180" s="102">
        <f>'Runs Z score'!A173</f>
        <v/>
      </c>
      <c r="B180" s="98">
        <f>'Runs Z score'!B173</f>
        <v/>
      </c>
      <c r="C180" s="98">
        <f>'Runs Z score'!C173</f>
        <v/>
      </c>
      <c r="D180" s="98">
        <f>'Runs Z score'!D173</f>
        <v/>
      </c>
      <c r="E180" s="98">
        <f>'Runs Z score'!E173</f>
        <v/>
      </c>
      <c r="F180" s="98">
        <f>'Runs Z score'!F173</f>
        <v/>
      </c>
      <c r="G180" s="99">
        <f>'Runs Z score'!G173</f>
        <v/>
      </c>
      <c r="H180" s="100">
        <f>VLOOKUP(C180,Recipes!$A$2:$N$4,10,FALSE())</f>
        <v/>
      </c>
      <c r="I180" s="101">
        <f>VLOOKUP(C180,Recipes!$A$2:$N$4,12,FALSE())</f>
        <v/>
      </c>
      <c r="J180" s="100">
        <f>IF(G180="","",H180-G180)</f>
        <v/>
      </c>
      <c r="K180" s="100">
        <f>IF(G180="","",-0.5*((J180-Components!$D$2)/Components!$E$2)^2)</f>
        <v/>
      </c>
      <c r="L180" s="100">
        <f>IF(G180="","",-0.5*((J180-Components!$D$3)/Components!$E$3)^2)</f>
        <v/>
      </c>
      <c r="M180" s="100">
        <f>IF(G180="","",-0.5*((J180-Components!$D$4)/Components!$E$4)^2)</f>
        <v/>
      </c>
      <c r="N180" s="100">
        <f>IF(G180="","",-0.5*((J180-Components!$D$5)/Components!$E$5)^2)</f>
        <v/>
      </c>
      <c r="O180" s="100">
        <f>IF(G180="","",-0.5*((J180-Components!$D$6)/Components!$E$6)^2)</f>
        <v/>
      </c>
      <c r="P180" s="100">
        <f>IF(G180="","",-0.5*((J180-Components!$D$7)/Components!$E$7)^2)</f>
        <v/>
      </c>
      <c r="Q180" s="100">
        <f>IF(G180="","",EXP(LARGE(K180:P180,1)-MAX(K180:P180))/(EXP(K180-MAX(K180:P180))+EXP(L180-MAX(K180:P180))+EXP(M180-MAX(K180:P180))+EXP(N180-MAX(K180:P180))+EXP(O180-MAX(K180:P180))+EXP(P180-MAX(K180:P180))))</f>
        <v/>
      </c>
      <c r="R180" s="100">
        <f>IF(G180="","",EXP(LARGE(K180:P180,2)-MAX(K180:P180))/(EXP(K180-MAX(K180:P180))+EXP(L180-MAX(K180:P180))+EXP(M180-MAX(K180:P180))+EXP(N180-MAX(K180:P180))+EXP(O180-MAX(K180:P180))+EXP(P180-MAX(K180:P180))))</f>
        <v/>
      </c>
      <c r="S180" s="100">
        <f>IF(G180="","",Q180-R180)</f>
        <v/>
      </c>
      <c r="T180" s="98">
        <f>IF(G180="","",IF(AND(G180&gt;=H180-$B$6*I180,G180&lt;=H180+$B$6*I180),"OK","NG"))</f>
        <v/>
      </c>
      <c r="U180" s="69">
        <f>IF(T180="","",IF(T180=D180,1,0))</f>
        <v/>
      </c>
      <c r="V180" s="98">
        <f>IF(G180="","",IF(T180="OK","NONE",INDEX({"S1","S2","W1","W2","N1","N2"},MATCH(MAX(K180:P180),K180:P180,0))))</f>
        <v/>
      </c>
      <c r="W180" s="69">
        <f>IF(G180="","",IF(V180=E180,1,0))</f>
        <v/>
      </c>
      <c r="X180" s="115">
        <f>IF(G180="","",IF(AND(T180="NG",S180&lt;$B$7),"AMBIGUOUS","CONFIDENT"))</f>
        <v/>
      </c>
    </row>
    <row r="181">
      <c r="A181" s="102">
        <f>'Runs Z score'!A174</f>
        <v/>
      </c>
      <c r="B181" s="98">
        <f>'Runs Z score'!B174</f>
        <v/>
      </c>
      <c r="C181" s="98">
        <f>'Runs Z score'!C174</f>
        <v/>
      </c>
      <c r="D181" s="98">
        <f>'Runs Z score'!D174</f>
        <v/>
      </c>
      <c r="E181" s="98">
        <f>'Runs Z score'!E174</f>
        <v/>
      </c>
      <c r="F181" s="98">
        <f>'Runs Z score'!F174</f>
        <v/>
      </c>
      <c r="G181" s="99">
        <f>'Runs Z score'!G174</f>
        <v/>
      </c>
      <c r="H181" s="100">
        <f>VLOOKUP(C181,Recipes!$A$2:$N$4,10,FALSE())</f>
        <v/>
      </c>
      <c r="I181" s="101">
        <f>VLOOKUP(C181,Recipes!$A$2:$N$4,12,FALSE())</f>
        <v/>
      </c>
      <c r="J181" s="100">
        <f>IF(G181="","",H181-G181)</f>
        <v/>
      </c>
      <c r="K181" s="100">
        <f>IF(G181="","",-0.5*((J181-Components!$D$2)/Components!$E$2)^2)</f>
        <v/>
      </c>
      <c r="L181" s="100">
        <f>IF(G181="","",-0.5*((J181-Components!$D$3)/Components!$E$3)^2)</f>
        <v/>
      </c>
      <c r="M181" s="100">
        <f>IF(G181="","",-0.5*((J181-Components!$D$4)/Components!$E$4)^2)</f>
        <v/>
      </c>
      <c r="N181" s="100">
        <f>IF(G181="","",-0.5*((J181-Components!$D$5)/Components!$E$5)^2)</f>
        <v/>
      </c>
      <c r="O181" s="100">
        <f>IF(G181="","",-0.5*((J181-Components!$D$6)/Components!$E$6)^2)</f>
        <v/>
      </c>
      <c r="P181" s="100">
        <f>IF(G181="","",-0.5*((J181-Components!$D$7)/Components!$E$7)^2)</f>
        <v/>
      </c>
      <c r="Q181" s="100">
        <f>IF(G181="","",EXP(LARGE(K181:P181,1)-MAX(K181:P181))/(EXP(K181-MAX(K181:P181))+EXP(L181-MAX(K181:P181))+EXP(M181-MAX(K181:P181))+EXP(N181-MAX(K181:P181))+EXP(O181-MAX(K181:P181))+EXP(P181-MAX(K181:P181))))</f>
        <v/>
      </c>
      <c r="R181" s="100">
        <f>IF(G181="","",EXP(LARGE(K181:P181,2)-MAX(K181:P181))/(EXP(K181-MAX(K181:P181))+EXP(L181-MAX(K181:P181))+EXP(M181-MAX(K181:P181))+EXP(N181-MAX(K181:P181))+EXP(O181-MAX(K181:P181))+EXP(P181-MAX(K181:P181))))</f>
        <v/>
      </c>
      <c r="S181" s="100">
        <f>IF(G181="","",Q181-R181)</f>
        <v/>
      </c>
      <c r="T181" s="98">
        <f>IF(G181="","",IF(AND(G181&gt;=H181-$B$6*I181,G181&lt;=H181+$B$6*I181),"OK","NG"))</f>
        <v/>
      </c>
      <c r="U181" s="69">
        <f>IF(T181="","",IF(T181=D181,1,0))</f>
        <v/>
      </c>
      <c r="V181" s="98">
        <f>IF(G181="","",IF(T181="OK","NONE",INDEX({"S1","S2","W1","W2","N1","N2"},MATCH(MAX(K181:P181),K181:P181,0))))</f>
        <v/>
      </c>
      <c r="W181" s="69">
        <f>IF(G181="","",IF(V181=E181,1,0))</f>
        <v/>
      </c>
      <c r="X181" s="115">
        <f>IF(G181="","",IF(AND(T181="NG",S181&lt;$B$7),"AMBIGUOUS","CONFIDENT"))</f>
        <v/>
      </c>
    </row>
    <row r="182">
      <c r="A182" s="102">
        <f>'Runs Z score'!A175</f>
        <v/>
      </c>
      <c r="B182" s="98">
        <f>'Runs Z score'!B175</f>
        <v/>
      </c>
      <c r="C182" s="98">
        <f>'Runs Z score'!C175</f>
        <v/>
      </c>
      <c r="D182" s="98">
        <f>'Runs Z score'!D175</f>
        <v/>
      </c>
      <c r="E182" s="98">
        <f>'Runs Z score'!E175</f>
        <v/>
      </c>
      <c r="F182" s="98">
        <f>'Runs Z score'!F175</f>
        <v/>
      </c>
      <c r="G182" s="99">
        <f>'Runs Z score'!G175</f>
        <v/>
      </c>
      <c r="H182" s="100">
        <f>VLOOKUP(C182,Recipes!$A$2:$N$4,10,FALSE())</f>
        <v/>
      </c>
      <c r="I182" s="101">
        <f>VLOOKUP(C182,Recipes!$A$2:$N$4,12,FALSE())</f>
        <v/>
      </c>
      <c r="J182" s="100">
        <f>IF(G182="","",H182-G182)</f>
        <v/>
      </c>
      <c r="K182" s="100">
        <f>IF(G182="","",-0.5*((J182-Components!$D$2)/Components!$E$2)^2)</f>
        <v/>
      </c>
      <c r="L182" s="100">
        <f>IF(G182="","",-0.5*((J182-Components!$D$3)/Components!$E$3)^2)</f>
        <v/>
      </c>
      <c r="M182" s="100">
        <f>IF(G182="","",-0.5*((J182-Components!$D$4)/Components!$E$4)^2)</f>
        <v/>
      </c>
      <c r="N182" s="100">
        <f>IF(G182="","",-0.5*((J182-Components!$D$5)/Components!$E$5)^2)</f>
        <v/>
      </c>
      <c r="O182" s="100">
        <f>IF(G182="","",-0.5*((J182-Components!$D$6)/Components!$E$6)^2)</f>
        <v/>
      </c>
      <c r="P182" s="100">
        <f>IF(G182="","",-0.5*((J182-Components!$D$7)/Components!$E$7)^2)</f>
        <v/>
      </c>
      <c r="Q182" s="100">
        <f>IF(G182="","",EXP(LARGE(K182:P182,1)-MAX(K182:P182))/(EXP(K182-MAX(K182:P182))+EXP(L182-MAX(K182:P182))+EXP(M182-MAX(K182:P182))+EXP(N182-MAX(K182:P182))+EXP(O182-MAX(K182:P182))+EXP(P182-MAX(K182:P182))))</f>
        <v/>
      </c>
      <c r="R182" s="100">
        <f>IF(G182="","",EXP(LARGE(K182:P182,2)-MAX(K182:P182))/(EXP(K182-MAX(K182:P182))+EXP(L182-MAX(K182:P182))+EXP(M182-MAX(K182:P182))+EXP(N182-MAX(K182:P182))+EXP(O182-MAX(K182:P182))+EXP(P182-MAX(K182:P182))))</f>
        <v/>
      </c>
      <c r="S182" s="100">
        <f>IF(G182="","",Q182-R182)</f>
        <v/>
      </c>
      <c r="T182" s="98">
        <f>IF(G182="","",IF(AND(G182&gt;=H182-$B$6*I182,G182&lt;=H182+$B$6*I182),"OK","NG"))</f>
        <v/>
      </c>
      <c r="U182" s="69">
        <f>IF(T182="","",IF(T182=D182,1,0))</f>
        <v/>
      </c>
      <c r="V182" s="98">
        <f>IF(G182="","",IF(T182="OK","NONE",INDEX({"S1","S2","W1","W2","N1","N2"},MATCH(MAX(K182:P182),K182:P182,0))))</f>
        <v/>
      </c>
      <c r="W182" s="69">
        <f>IF(G182="","",IF(V182=E182,1,0))</f>
        <v/>
      </c>
      <c r="X182" s="115">
        <f>IF(G182="","",IF(AND(T182="NG",S182&lt;$B$7),"AMBIGUOUS","CONFIDENT"))</f>
        <v/>
      </c>
    </row>
    <row r="183">
      <c r="A183" s="102">
        <f>'Runs Z score'!A176</f>
        <v/>
      </c>
      <c r="B183" s="98">
        <f>'Runs Z score'!B176</f>
        <v/>
      </c>
      <c r="C183" s="98">
        <f>'Runs Z score'!C176</f>
        <v/>
      </c>
      <c r="D183" s="98">
        <f>'Runs Z score'!D176</f>
        <v/>
      </c>
      <c r="E183" s="98">
        <f>'Runs Z score'!E176</f>
        <v/>
      </c>
      <c r="F183" s="98">
        <f>'Runs Z score'!F176</f>
        <v/>
      </c>
      <c r="G183" s="99">
        <f>'Runs Z score'!G176</f>
        <v/>
      </c>
      <c r="H183" s="100">
        <f>VLOOKUP(C183,Recipes!$A$2:$N$4,10,FALSE())</f>
        <v/>
      </c>
      <c r="I183" s="101">
        <f>VLOOKUP(C183,Recipes!$A$2:$N$4,12,FALSE())</f>
        <v/>
      </c>
      <c r="J183" s="100">
        <f>IF(G183="","",H183-G183)</f>
        <v/>
      </c>
      <c r="K183" s="100">
        <f>IF(G183="","",-0.5*((J183-Components!$D$2)/Components!$E$2)^2)</f>
        <v/>
      </c>
      <c r="L183" s="100">
        <f>IF(G183="","",-0.5*((J183-Components!$D$3)/Components!$E$3)^2)</f>
        <v/>
      </c>
      <c r="M183" s="100">
        <f>IF(G183="","",-0.5*((J183-Components!$D$4)/Components!$E$4)^2)</f>
        <v/>
      </c>
      <c r="N183" s="100">
        <f>IF(G183="","",-0.5*((J183-Components!$D$5)/Components!$E$5)^2)</f>
        <v/>
      </c>
      <c r="O183" s="100">
        <f>IF(G183="","",-0.5*((J183-Components!$D$6)/Components!$E$6)^2)</f>
        <v/>
      </c>
      <c r="P183" s="100">
        <f>IF(G183="","",-0.5*((J183-Components!$D$7)/Components!$E$7)^2)</f>
        <v/>
      </c>
      <c r="Q183" s="100">
        <f>IF(G183="","",EXP(LARGE(K183:P183,1)-MAX(K183:P183))/(EXP(K183-MAX(K183:P183))+EXP(L183-MAX(K183:P183))+EXP(M183-MAX(K183:P183))+EXP(N183-MAX(K183:P183))+EXP(O183-MAX(K183:P183))+EXP(P183-MAX(K183:P183))))</f>
        <v/>
      </c>
      <c r="R183" s="100">
        <f>IF(G183="","",EXP(LARGE(K183:P183,2)-MAX(K183:P183))/(EXP(K183-MAX(K183:P183))+EXP(L183-MAX(K183:P183))+EXP(M183-MAX(K183:P183))+EXP(N183-MAX(K183:P183))+EXP(O183-MAX(K183:P183))+EXP(P183-MAX(K183:P183))))</f>
        <v/>
      </c>
      <c r="S183" s="100">
        <f>IF(G183="","",Q183-R183)</f>
        <v/>
      </c>
      <c r="T183" s="98">
        <f>IF(G183="","",IF(AND(G183&gt;=H183-$B$6*I183,G183&lt;=H183+$B$6*I183),"OK","NG"))</f>
        <v/>
      </c>
      <c r="U183" s="69">
        <f>IF(T183="","",IF(T183=D183,1,0))</f>
        <v/>
      </c>
      <c r="V183" s="98">
        <f>IF(G183="","",IF(T183="OK","NONE",INDEX({"S1","S2","W1","W2","N1","N2"},MATCH(MAX(K183:P183),K183:P183,0))))</f>
        <v/>
      </c>
      <c r="W183" s="69">
        <f>IF(G183="","",IF(V183=E183,1,0))</f>
        <v/>
      </c>
      <c r="X183" s="115">
        <f>IF(G183="","",IF(AND(T183="NG",S183&lt;$B$7),"AMBIGUOUS","CONFIDENT"))</f>
        <v/>
      </c>
    </row>
    <row r="184">
      <c r="A184" s="102">
        <f>'Runs Z score'!A177</f>
        <v/>
      </c>
      <c r="B184" s="98">
        <f>'Runs Z score'!B177</f>
        <v/>
      </c>
      <c r="C184" s="98">
        <f>'Runs Z score'!C177</f>
        <v/>
      </c>
      <c r="D184" s="98">
        <f>'Runs Z score'!D177</f>
        <v/>
      </c>
      <c r="E184" s="98">
        <f>'Runs Z score'!E177</f>
        <v/>
      </c>
      <c r="F184" s="98">
        <f>'Runs Z score'!F177</f>
        <v/>
      </c>
      <c r="G184" s="99">
        <f>'Runs Z score'!G177</f>
        <v/>
      </c>
      <c r="H184" s="100">
        <f>VLOOKUP(C184,Recipes!$A$2:$N$4,10,FALSE())</f>
        <v/>
      </c>
      <c r="I184" s="101">
        <f>VLOOKUP(C184,Recipes!$A$2:$N$4,12,FALSE())</f>
        <v/>
      </c>
      <c r="J184" s="100">
        <f>IF(G184="","",H184-G184)</f>
        <v/>
      </c>
      <c r="K184" s="100">
        <f>IF(G184="","",-0.5*((J184-Components!$D$2)/Components!$E$2)^2)</f>
        <v/>
      </c>
      <c r="L184" s="100">
        <f>IF(G184="","",-0.5*((J184-Components!$D$3)/Components!$E$3)^2)</f>
        <v/>
      </c>
      <c r="M184" s="100">
        <f>IF(G184="","",-0.5*((J184-Components!$D$4)/Components!$E$4)^2)</f>
        <v/>
      </c>
      <c r="N184" s="100">
        <f>IF(G184="","",-0.5*((J184-Components!$D$5)/Components!$E$5)^2)</f>
        <v/>
      </c>
      <c r="O184" s="100">
        <f>IF(G184="","",-0.5*((J184-Components!$D$6)/Components!$E$6)^2)</f>
        <v/>
      </c>
      <c r="P184" s="100">
        <f>IF(G184="","",-0.5*((J184-Components!$D$7)/Components!$E$7)^2)</f>
        <v/>
      </c>
      <c r="Q184" s="100">
        <f>IF(G184="","",EXP(LARGE(K184:P184,1)-MAX(K184:P184))/(EXP(K184-MAX(K184:P184))+EXP(L184-MAX(K184:P184))+EXP(M184-MAX(K184:P184))+EXP(N184-MAX(K184:P184))+EXP(O184-MAX(K184:P184))+EXP(P184-MAX(K184:P184))))</f>
        <v/>
      </c>
      <c r="R184" s="100">
        <f>IF(G184="","",EXP(LARGE(K184:P184,2)-MAX(K184:P184))/(EXP(K184-MAX(K184:P184))+EXP(L184-MAX(K184:P184))+EXP(M184-MAX(K184:P184))+EXP(N184-MAX(K184:P184))+EXP(O184-MAX(K184:P184))+EXP(P184-MAX(K184:P184))))</f>
        <v/>
      </c>
      <c r="S184" s="100">
        <f>IF(G184="","",Q184-R184)</f>
        <v/>
      </c>
      <c r="T184" s="98">
        <f>IF(G184="","",IF(AND(G184&gt;=H184-$B$6*I184,G184&lt;=H184+$B$6*I184),"OK","NG"))</f>
        <v/>
      </c>
      <c r="U184" s="69">
        <f>IF(T184="","",IF(T184=D184,1,0))</f>
        <v/>
      </c>
      <c r="V184" s="98">
        <f>IF(G184="","",IF(T184="OK","NONE",INDEX({"S1","S2","W1","W2","N1","N2"},MATCH(MAX(K184:P184),K184:P184,0))))</f>
        <v/>
      </c>
      <c r="W184" s="69">
        <f>IF(G184="","",IF(V184=E184,1,0))</f>
        <v/>
      </c>
      <c r="X184" s="115">
        <f>IF(G184="","",IF(AND(T184="NG",S184&lt;$B$7),"AMBIGUOUS","CONFIDENT"))</f>
        <v/>
      </c>
    </row>
    <row r="185">
      <c r="A185" s="102">
        <f>'Runs Z score'!A178</f>
        <v/>
      </c>
      <c r="B185" s="98">
        <f>'Runs Z score'!B178</f>
        <v/>
      </c>
      <c r="C185" s="98">
        <f>'Runs Z score'!C178</f>
        <v/>
      </c>
      <c r="D185" s="98">
        <f>'Runs Z score'!D178</f>
        <v/>
      </c>
      <c r="E185" s="98">
        <f>'Runs Z score'!E178</f>
        <v/>
      </c>
      <c r="F185" s="98">
        <f>'Runs Z score'!F178</f>
        <v/>
      </c>
      <c r="G185" s="99">
        <f>'Runs Z score'!G178</f>
        <v/>
      </c>
      <c r="H185" s="100">
        <f>VLOOKUP(C185,Recipes!$A$2:$N$4,10,FALSE())</f>
        <v/>
      </c>
      <c r="I185" s="101">
        <f>VLOOKUP(C185,Recipes!$A$2:$N$4,12,FALSE())</f>
        <v/>
      </c>
      <c r="J185" s="100">
        <f>IF(G185="","",H185-G185)</f>
        <v/>
      </c>
      <c r="K185" s="100">
        <f>IF(G185="","",-0.5*((J185-Components!$D$2)/Components!$E$2)^2)</f>
        <v/>
      </c>
      <c r="L185" s="100">
        <f>IF(G185="","",-0.5*((J185-Components!$D$3)/Components!$E$3)^2)</f>
        <v/>
      </c>
      <c r="M185" s="100">
        <f>IF(G185="","",-0.5*((J185-Components!$D$4)/Components!$E$4)^2)</f>
        <v/>
      </c>
      <c r="N185" s="100">
        <f>IF(G185="","",-0.5*((J185-Components!$D$5)/Components!$E$5)^2)</f>
        <v/>
      </c>
      <c r="O185" s="100">
        <f>IF(G185="","",-0.5*((J185-Components!$D$6)/Components!$E$6)^2)</f>
        <v/>
      </c>
      <c r="P185" s="100">
        <f>IF(G185="","",-0.5*((J185-Components!$D$7)/Components!$E$7)^2)</f>
        <v/>
      </c>
      <c r="Q185" s="100">
        <f>IF(G185="","",EXP(LARGE(K185:P185,1)-MAX(K185:P185))/(EXP(K185-MAX(K185:P185))+EXP(L185-MAX(K185:P185))+EXP(M185-MAX(K185:P185))+EXP(N185-MAX(K185:P185))+EXP(O185-MAX(K185:P185))+EXP(P185-MAX(K185:P185))))</f>
        <v/>
      </c>
      <c r="R185" s="100">
        <f>IF(G185="","",EXP(LARGE(K185:P185,2)-MAX(K185:P185))/(EXP(K185-MAX(K185:P185))+EXP(L185-MAX(K185:P185))+EXP(M185-MAX(K185:P185))+EXP(N185-MAX(K185:P185))+EXP(O185-MAX(K185:P185))+EXP(P185-MAX(K185:P185))))</f>
        <v/>
      </c>
      <c r="S185" s="100">
        <f>IF(G185="","",Q185-R185)</f>
        <v/>
      </c>
      <c r="T185" s="98">
        <f>IF(G185="","",IF(AND(G185&gt;=H185-$B$6*I185,G185&lt;=H185+$B$6*I185),"OK","NG"))</f>
        <v/>
      </c>
      <c r="U185" s="69">
        <f>IF(T185="","",IF(T185=D185,1,0))</f>
        <v/>
      </c>
      <c r="V185" s="98">
        <f>IF(G185="","",IF(T185="OK","NONE",INDEX({"S1","S2","W1","W2","N1","N2"},MATCH(MAX(K185:P185),K185:P185,0))))</f>
        <v/>
      </c>
      <c r="W185" s="69">
        <f>IF(G185="","",IF(V185=E185,1,0))</f>
        <v/>
      </c>
      <c r="X185" s="115">
        <f>IF(G185="","",IF(AND(T185="NG",S185&lt;$B$7),"AMBIGUOUS","CONFIDENT"))</f>
        <v/>
      </c>
    </row>
    <row r="186">
      <c r="A186" s="102">
        <f>'Runs Z score'!A179</f>
        <v/>
      </c>
      <c r="B186" s="98">
        <f>'Runs Z score'!B179</f>
        <v/>
      </c>
      <c r="C186" s="98">
        <f>'Runs Z score'!C179</f>
        <v/>
      </c>
      <c r="D186" s="98">
        <f>'Runs Z score'!D179</f>
        <v/>
      </c>
      <c r="E186" s="98">
        <f>'Runs Z score'!E179</f>
        <v/>
      </c>
      <c r="F186" s="98">
        <f>'Runs Z score'!F179</f>
        <v/>
      </c>
      <c r="G186" s="99">
        <f>'Runs Z score'!G179</f>
        <v/>
      </c>
      <c r="H186" s="100">
        <f>VLOOKUP(C186,Recipes!$A$2:$N$4,10,FALSE())</f>
        <v/>
      </c>
      <c r="I186" s="101">
        <f>VLOOKUP(C186,Recipes!$A$2:$N$4,12,FALSE())</f>
        <v/>
      </c>
      <c r="J186" s="100">
        <f>IF(G186="","",H186-G186)</f>
        <v/>
      </c>
      <c r="K186" s="100">
        <f>IF(G186="","",-0.5*((J186-Components!$D$2)/Components!$E$2)^2)</f>
        <v/>
      </c>
      <c r="L186" s="100">
        <f>IF(G186="","",-0.5*((J186-Components!$D$3)/Components!$E$3)^2)</f>
        <v/>
      </c>
      <c r="M186" s="100">
        <f>IF(G186="","",-0.5*((J186-Components!$D$4)/Components!$E$4)^2)</f>
        <v/>
      </c>
      <c r="N186" s="100">
        <f>IF(G186="","",-0.5*((J186-Components!$D$5)/Components!$E$5)^2)</f>
        <v/>
      </c>
      <c r="O186" s="100">
        <f>IF(G186="","",-0.5*((J186-Components!$D$6)/Components!$E$6)^2)</f>
        <v/>
      </c>
      <c r="P186" s="100">
        <f>IF(G186="","",-0.5*((J186-Components!$D$7)/Components!$E$7)^2)</f>
        <v/>
      </c>
      <c r="Q186" s="100">
        <f>IF(G186="","",EXP(LARGE(K186:P186,1)-MAX(K186:P186))/(EXP(K186-MAX(K186:P186))+EXP(L186-MAX(K186:P186))+EXP(M186-MAX(K186:P186))+EXP(N186-MAX(K186:P186))+EXP(O186-MAX(K186:P186))+EXP(P186-MAX(K186:P186))))</f>
        <v/>
      </c>
      <c r="R186" s="100">
        <f>IF(G186="","",EXP(LARGE(K186:P186,2)-MAX(K186:P186))/(EXP(K186-MAX(K186:P186))+EXP(L186-MAX(K186:P186))+EXP(M186-MAX(K186:P186))+EXP(N186-MAX(K186:P186))+EXP(O186-MAX(K186:P186))+EXP(P186-MAX(K186:P186))))</f>
        <v/>
      </c>
      <c r="S186" s="100">
        <f>IF(G186="","",Q186-R186)</f>
        <v/>
      </c>
      <c r="T186" s="98">
        <f>IF(G186="","",IF(AND(G186&gt;=H186-$B$6*I186,G186&lt;=H186+$B$6*I186),"OK","NG"))</f>
        <v/>
      </c>
      <c r="U186" s="69">
        <f>IF(T186="","",IF(T186=D186,1,0))</f>
        <v/>
      </c>
      <c r="V186" s="98">
        <f>IF(G186="","",IF(T186="OK","NONE",INDEX({"S1","S2","W1","W2","N1","N2"},MATCH(MAX(K186:P186),K186:P186,0))))</f>
        <v/>
      </c>
      <c r="W186" s="69">
        <f>IF(G186="","",IF(V186=E186,1,0))</f>
        <v/>
      </c>
      <c r="X186" s="115">
        <f>IF(G186="","",IF(AND(T186="NG",S186&lt;$B$7),"AMBIGUOUS","CONFIDENT"))</f>
        <v/>
      </c>
    </row>
    <row r="187">
      <c r="A187" s="102">
        <f>'Runs Z score'!A180</f>
        <v/>
      </c>
      <c r="B187" s="98">
        <f>'Runs Z score'!B180</f>
        <v/>
      </c>
      <c r="C187" s="98">
        <f>'Runs Z score'!C180</f>
        <v/>
      </c>
      <c r="D187" s="98">
        <f>'Runs Z score'!D180</f>
        <v/>
      </c>
      <c r="E187" s="98">
        <f>'Runs Z score'!E180</f>
        <v/>
      </c>
      <c r="F187" s="98">
        <f>'Runs Z score'!F180</f>
        <v/>
      </c>
      <c r="G187" s="99">
        <f>'Runs Z score'!G180</f>
        <v/>
      </c>
      <c r="H187" s="100">
        <f>VLOOKUP(C187,Recipes!$A$2:$N$4,10,FALSE())</f>
        <v/>
      </c>
      <c r="I187" s="101">
        <f>VLOOKUP(C187,Recipes!$A$2:$N$4,12,FALSE())</f>
        <v/>
      </c>
      <c r="J187" s="100">
        <f>IF(G187="","",H187-G187)</f>
        <v/>
      </c>
      <c r="K187" s="100">
        <f>IF(G187="","",-0.5*((J187-Components!$D$2)/Components!$E$2)^2)</f>
        <v/>
      </c>
      <c r="L187" s="100">
        <f>IF(G187="","",-0.5*((J187-Components!$D$3)/Components!$E$3)^2)</f>
        <v/>
      </c>
      <c r="M187" s="100">
        <f>IF(G187="","",-0.5*((J187-Components!$D$4)/Components!$E$4)^2)</f>
        <v/>
      </c>
      <c r="N187" s="100">
        <f>IF(G187="","",-0.5*((J187-Components!$D$5)/Components!$E$5)^2)</f>
        <v/>
      </c>
      <c r="O187" s="100">
        <f>IF(G187="","",-0.5*((J187-Components!$D$6)/Components!$E$6)^2)</f>
        <v/>
      </c>
      <c r="P187" s="100">
        <f>IF(G187="","",-0.5*((J187-Components!$D$7)/Components!$E$7)^2)</f>
        <v/>
      </c>
      <c r="Q187" s="100">
        <f>IF(G187="","",EXP(LARGE(K187:P187,1)-MAX(K187:P187))/(EXP(K187-MAX(K187:P187))+EXP(L187-MAX(K187:P187))+EXP(M187-MAX(K187:P187))+EXP(N187-MAX(K187:P187))+EXP(O187-MAX(K187:P187))+EXP(P187-MAX(K187:P187))))</f>
        <v/>
      </c>
      <c r="R187" s="100">
        <f>IF(G187="","",EXP(LARGE(K187:P187,2)-MAX(K187:P187))/(EXP(K187-MAX(K187:P187))+EXP(L187-MAX(K187:P187))+EXP(M187-MAX(K187:P187))+EXP(N187-MAX(K187:P187))+EXP(O187-MAX(K187:P187))+EXP(P187-MAX(K187:P187))))</f>
        <v/>
      </c>
      <c r="S187" s="100">
        <f>IF(G187="","",Q187-R187)</f>
        <v/>
      </c>
      <c r="T187" s="98">
        <f>IF(G187="","",IF(AND(G187&gt;=H187-$B$6*I187,G187&lt;=H187+$B$6*I187),"OK","NG"))</f>
        <v/>
      </c>
      <c r="U187" s="69">
        <f>IF(T187="","",IF(T187=D187,1,0))</f>
        <v/>
      </c>
      <c r="V187" s="98">
        <f>IF(G187="","",IF(T187="OK","NONE",INDEX({"S1","S2","W1","W2","N1","N2"},MATCH(MAX(K187:P187),K187:P187,0))))</f>
        <v/>
      </c>
      <c r="W187" s="69">
        <f>IF(G187="","",IF(V187=E187,1,0))</f>
        <v/>
      </c>
      <c r="X187" s="115">
        <f>IF(G187="","",IF(AND(T187="NG",S187&lt;$B$7),"AMBIGUOUS","CONFIDENT"))</f>
        <v/>
      </c>
    </row>
    <row r="188">
      <c r="A188" s="102">
        <f>'Runs Z score'!A181</f>
        <v/>
      </c>
      <c r="B188" s="98">
        <f>'Runs Z score'!B181</f>
        <v/>
      </c>
      <c r="C188" s="98">
        <f>'Runs Z score'!C181</f>
        <v/>
      </c>
      <c r="D188" s="98">
        <f>'Runs Z score'!D181</f>
        <v/>
      </c>
      <c r="E188" s="98">
        <f>'Runs Z score'!E181</f>
        <v/>
      </c>
      <c r="F188" s="98">
        <f>'Runs Z score'!F181</f>
        <v/>
      </c>
      <c r="G188" s="99">
        <f>'Runs Z score'!G181</f>
        <v/>
      </c>
      <c r="H188" s="100">
        <f>VLOOKUP(C188,Recipes!$A$2:$N$4,10,FALSE())</f>
        <v/>
      </c>
      <c r="I188" s="101">
        <f>VLOOKUP(C188,Recipes!$A$2:$N$4,12,FALSE())</f>
        <v/>
      </c>
      <c r="J188" s="100">
        <f>IF(G188="","",H188-G188)</f>
        <v/>
      </c>
      <c r="K188" s="100">
        <f>IF(G188="","",-0.5*((J188-Components!$D$2)/Components!$E$2)^2)</f>
        <v/>
      </c>
      <c r="L188" s="100">
        <f>IF(G188="","",-0.5*((J188-Components!$D$3)/Components!$E$3)^2)</f>
        <v/>
      </c>
      <c r="M188" s="100">
        <f>IF(G188="","",-0.5*((J188-Components!$D$4)/Components!$E$4)^2)</f>
        <v/>
      </c>
      <c r="N188" s="100">
        <f>IF(G188="","",-0.5*((J188-Components!$D$5)/Components!$E$5)^2)</f>
        <v/>
      </c>
      <c r="O188" s="100">
        <f>IF(G188="","",-0.5*((J188-Components!$D$6)/Components!$E$6)^2)</f>
        <v/>
      </c>
      <c r="P188" s="100">
        <f>IF(G188="","",-0.5*((J188-Components!$D$7)/Components!$E$7)^2)</f>
        <v/>
      </c>
      <c r="Q188" s="100">
        <f>IF(G188="","",EXP(LARGE(K188:P188,1)-MAX(K188:P188))/(EXP(K188-MAX(K188:P188))+EXP(L188-MAX(K188:P188))+EXP(M188-MAX(K188:P188))+EXP(N188-MAX(K188:P188))+EXP(O188-MAX(K188:P188))+EXP(P188-MAX(K188:P188))))</f>
        <v/>
      </c>
      <c r="R188" s="100">
        <f>IF(G188="","",EXP(LARGE(K188:P188,2)-MAX(K188:P188))/(EXP(K188-MAX(K188:P188))+EXP(L188-MAX(K188:P188))+EXP(M188-MAX(K188:P188))+EXP(N188-MAX(K188:P188))+EXP(O188-MAX(K188:P188))+EXP(P188-MAX(K188:P188))))</f>
        <v/>
      </c>
      <c r="S188" s="100">
        <f>IF(G188="","",Q188-R188)</f>
        <v/>
      </c>
      <c r="T188" s="98">
        <f>IF(G188="","",IF(AND(G188&gt;=H188-$B$6*I188,G188&lt;=H188+$B$6*I188),"OK","NG"))</f>
        <v/>
      </c>
      <c r="U188" s="69">
        <f>IF(T188="","",IF(T188=D188,1,0))</f>
        <v/>
      </c>
      <c r="V188" s="98">
        <f>IF(G188="","",IF(T188="OK","NONE",INDEX({"S1","S2","W1","W2","N1","N2"},MATCH(MAX(K188:P188),K188:P188,0))))</f>
        <v/>
      </c>
      <c r="W188" s="69">
        <f>IF(G188="","",IF(V188=E188,1,0))</f>
        <v/>
      </c>
      <c r="X188" s="115">
        <f>IF(G188="","",IF(AND(T188="NG",S188&lt;$B$7),"AMBIGUOUS","CONFIDENT"))</f>
        <v/>
      </c>
    </row>
    <row r="189">
      <c r="A189" s="102">
        <f>'Runs Z score'!A182</f>
        <v/>
      </c>
      <c r="B189" s="98">
        <f>'Runs Z score'!B182</f>
        <v/>
      </c>
      <c r="C189" s="98">
        <f>'Runs Z score'!C182</f>
        <v/>
      </c>
      <c r="D189" s="98">
        <f>'Runs Z score'!D182</f>
        <v/>
      </c>
      <c r="E189" s="98">
        <f>'Runs Z score'!E182</f>
        <v/>
      </c>
      <c r="F189" s="98">
        <f>'Runs Z score'!F182</f>
        <v/>
      </c>
      <c r="G189" s="99">
        <f>'Runs Z score'!G182</f>
        <v/>
      </c>
      <c r="H189" s="100">
        <f>VLOOKUP(C189,Recipes!$A$2:$N$4,10,FALSE())</f>
        <v/>
      </c>
      <c r="I189" s="101">
        <f>VLOOKUP(C189,Recipes!$A$2:$N$4,12,FALSE())</f>
        <v/>
      </c>
      <c r="J189" s="100">
        <f>IF(G189="","",H189-G189)</f>
        <v/>
      </c>
      <c r="K189" s="100">
        <f>IF(G189="","",-0.5*((J189-Components!$D$2)/Components!$E$2)^2)</f>
        <v/>
      </c>
      <c r="L189" s="100">
        <f>IF(G189="","",-0.5*((J189-Components!$D$3)/Components!$E$3)^2)</f>
        <v/>
      </c>
      <c r="M189" s="100">
        <f>IF(G189="","",-0.5*((J189-Components!$D$4)/Components!$E$4)^2)</f>
        <v/>
      </c>
      <c r="N189" s="100">
        <f>IF(G189="","",-0.5*((J189-Components!$D$5)/Components!$E$5)^2)</f>
        <v/>
      </c>
      <c r="O189" s="100">
        <f>IF(G189="","",-0.5*((J189-Components!$D$6)/Components!$E$6)^2)</f>
        <v/>
      </c>
      <c r="P189" s="100">
        <f>IF(G189="","",-0.5*((J189-Components!$D$7)/Components!$E$7)^2)</f>
        <v/>
      </c>
      <c r="Q189" s="100">
        <f>IF(G189="","",EXP(LARGE(K189:P189,1)-MAX(K189:P189))/(EXP(K189-MAX(K189:P189))+EXP(L189-MAX(K189:P189))+EXP(M189-MAX(K189:P189))+EXP(N189-MAX(K189:P189))+EXP(O189-MAX(K189:P189))+EXP(P189-MAX(K189:P189))))</f>
        <v/>
      </c>
      <c r="R189" s="100">
        <f>IF(G189="","",EXP(LARGE(K189:P189,2)-MAX(K189:P189))/(EXP(K189-MAX(K189:P189))+EXP(L189-MAX(K189:P189))+EXP(M189-MAX(K189:P189))+EXP(N189-MAX(K189:P189))+EXP(O189-MAX(K189:P189))+EXP(P189-MAX(K189:P189))))</f>
        <v/>
      </c>
      <c r="S189" s="100">
        <f>IF(G189="","",Q189-R189)</f>
        <v/>
      </c>
      <c r="T189" s="98">
        <f>IF(G189="","",IF(AND(G189&gt;=H189-$B$6*I189,G189&lt;=H189+$B$6*I189),"OK","NG"))</f>
        <v/>
      </c>
      <c r="U189" s="69">
        <f>IF(T189="","",IF(T189=D189,1,0))</f>
        <v/>
      </c>
      <c r="V189" s="98">
        <f>IF(G189="","",IF(T189="OK","NONE",INDEX({"S1","S2","W1","W2","N1","N2"},MATCH(MAX(K189:P189),K189:P189,0))))</f>
        <v/>
      </c>
      <c r="W189" s="69">
        <f>IF(G189="","",IF(V189=E189,1,0))</f>
        <v/>
      </c>
      <c r="X189" s="115">
        <f>IF(G189="","",IF(AND(T189="NG",S189&lt;$B$7),"AMBIGUOUS","CONFIDENT"))</f>
        <v/>
      </c>
    </row>
    <row r="190">
      <c r="A190" s="102">
        <f>'Runs Z score'!A183</f>
        <v/>
      </c>
      <c r="B190" s="98">
        <f>'Runs Z score'!B183</f>
        <v/>
      </c>
      <c r="C190" s="98">
        <f>'Runs Z score'!C183</f>
        <v/>
      </c>
      <c r="D190" s="98">
        <f>'Runs Z score'!D183</f>
        <v/>
      </c>
      <c r="E190" s="98">
        <f>'Runs Z score'!E183</f>
        <v/>
      </c>
      <c r="F190" s="98">
        <f>'Runs Z score'!F183</f>
        <v/>
      </c>
      <c r="G190" s="99">
        <f>'Runs Z score'!G183</f>
        <v/>
      </c>
      <c r="H190" s="100">
        <f>VLOOKUP(C190,Recipes!$A$2:$N$4,10,FALSE())</f>
        <v/>
      </c>
      <c r="I190" s="101">
        <f>VLOOKUP(C190,Recipes!$A$2:$N$4,12,FALSE())</f>
        <v/>
      </c>
      <c r="J190" s="100">
        <f>IF(G190="","",H190-G190)</f>
        <v/>
      </c>
      <c r="K190" s="100">
        <f>IF(G190="","",-0.5*((J190-Components!$D$2)/Components!$E$2)^2)</f>
        <v/>
      </c>
      <c r="L190" s="100">
        <f>IF(G190="","",-0.5*((J190-Components!$D$3)/Components!$E$3)^2)</f>
        <v/>
      </c>
      <c r="M190" s="100">
        <f>IF(G190="","",-0.5*((J190-Components!$D$4)/Components!$E$4)^2)</f>
        <v/>
      </c>
      <c r="N190" s="100">
        <f>IF(G190="","",-0.5*((J190-Components!$D$5)/Components!$E$5)^2)</f>
        <v/>
      </c>
      <c r="O190" s="100">
        <f>IF(G190="","",-0.5*((J190-Components!$D$6)/Components!$E$6)^2)</f>
        <v/>
      </c>
      <c r="P190" s="100">
        <f>IF(G190="","",-0.5*((J190-Components!$D$7)/Components!$E$7)^2)</f>
        <v/>
      </c>
      <c r="Q190" s="100">
        <f>IF(G190="","",EXP(LARGE(K190:P190,1)-MAX(K190:P190))/(EXP(K190-MAX(K190:P190))+EXP(L190-MAX(K190:P190))+EXP(M190-MAX(K190:P190))+EXP(N190-MAX(K190:P190))+EXP(O190-MAX(K190:P190))+EXP(P190-MAX(K190:P190))))</f>
        <v/>
      </c>
      <c r="R190" s="100">
        <f>IF(G190="","",EXP(LARGE(K190:P190,2)-MAX(K190:P190))/(EXP(K190-MAX(K190:P190))+EXP(L190-MAX(K190:P190))+EXP(M190-MAX(K190:P190))+EXP(N190-MAX(K190:P190))+EXP(O190-MAX(K190:P190))+EXP(P190-MAX(K190:P190))))</f>
        <v/>
      </c>
      <c r="S190" s="100">
        <f>IF(G190="","",Q190-R190)</f>
        <v/>
      </c>
      <c r="T190" s="98">
        <f>IF(G190="","",IF(AND(G190&gt;=H190-$B$6*I190,G190&lt;=H190+$B$6*I190),"OK","NG"))</f>
        <v/>
      </c>
      <c r="U190" s="69">
        <f>IF(T190="","",IF(T190=D190,1,0))</f>
        <v/>
      </c>
      <c r="V190" s="98">
        <f>IF(G190="","",IF(T190="OK","NONE",INDEX({"S1","S2","W1","W2","N1","N2"},MATCH(MAX(K190:P190),K190:P190,0))))</f>
        <v/>
      </c>
      <c r="W190" s="69">
        <f>IF(G190="","",IF(V190=E190,1,0))</f>
        <v/>
      </c>
      <c r="X190" s="115">
        <f>IF(G190="","",IF(AND(T190="NG",S190&lt;$B$7),"AMBIGUOUS","CONFIDENT"))</f>
        <v/>
      </c>
    </row>
    <row r="191">
      <c r="A191" s="102">
        <f>'Runs Z score'!A184</f>
        <v/>
      </c>
      <c r="B191" s="98">
        <f>'Runs Z score'!B184</f>
        <v/>
      </c>
      <c r="C191" s="98">
        <f>'Runs Z score'!C184</f>
        <v/>
      </c>
      <c r="D191" s="98">
        <f>'Runs Z score'!D184</f>
        <v/>
      </c>
      <c r="E191" s="98">
        <f>'Runs Z score'!E184</f>
        <v/>
      </c>
      <c r="F191" s="98">
        <f>'Runs Z score'!F184</f>
        <v/>
      </c>
      <c r="G191" s="99">
        <f>'Runs Z score'!G184</f>
        <v/>
      </c>
      <c r="H191" s="100">
        <f>VLOOKUP(C191,Recipes!$A$2:$N$4,10,FALSE())</f>
        <v/>
      </c>
      <c r="I191" s="101">
        <f>VLOOKUP(C191,Recipes!$A$2:$N$4,12,FALSE())</f>
        <v/>
      </c>
      <c r="J191" s="100">
        <f>IF(G191="","",H191-G191)</f>
        <v/>
      </c>
      <c r="K191" s="100">
        <f>IF(G191="","",-0.5*((J191-Components!$D$2)/Components!$E$2)^2)</f>
        <v/>
      </c>
      <c r="L191" s="100">
        <f>IF(G191="","",-0.5*((J191-Components!$D$3)/Components!$E$3)^2)</f>
        <v/>
      </c>
      <c r="M191" s="100">
        <f>IF(G191="","",-0.5*((J191-Components!$D$4)/Components!$E$4)^2)</f>
        <v/>
      </c>
      <c r="N191" s="100">
        <f>IF(G191="","",-0.5*((J191-Components!$D$5)/Components!$E$5)^2)</f>
        <v/>
      </c>
      <c r="O191" s="100">
        <f>IF(G191="","",-0.5*((J191-Components!$D$6)/Components!$E$6)^2)</f>
        <v/>
      </c>
      <c r="P191" s="100">
        <f>IF(G191="","",-0.5*((J191-Components!$D$7)/Components!$E$7)^2)</f>
        <v/>
      </c>
      <c r="Q191" s="100">
        <f>IF(G191="","",EXP(LARGE(K191:P191,1)-MAX(K191:P191))/(EXP(K191-MAX(K191:P191))+EXP(L191-MAX(K191:P191))+EXP(M191-MAX(K191:P191))+EXP(N191-MAX(K191:P191))+EXP(O191-MAX(K191:P191))+EXP(P191-MAX(K191:P191))))</f>
        <v/>
      </c>
      <c r="R191" s="100">
        <f>IF(G191="","",EXP(LARGE(K191:P191,2)-MAX(K191:P191))/(EXP(K191-MAX(K191:P191))+EXP(L191-MAX(K191:P191))+EXP(M191-MAX(K191:P191))+EXP(N191-MAX(K191:P191))+EXP(O191-MAX(K191:P191))+EXP(P191-MAX(K191:P191))))</f>
        <v/>
      </c>
      <c r="S191" s="100">
        <f>IF(G191="","",Q191-R191)</f>
        <v/>
      </c>
      <c r="T191" s="98">
        <f>IF(G191="","",IF(AND(G191&gt;=H191-$B$6*I191,G191&lt;=H191+$B$6*I191),"OK","NG"))</f>
        <v/>
      </c>
      <c r="U191" s="69">
        <f>IF(T191="","",IF(T191=D191,1,0))</f>
        <v/>
      </c>
      <c r="V191" s="98">
        <f>IF(G191="","",IF(T191="OK","NONE",INDEX({"S1","S2","W1","W2","N1","N2"},MATCH(MAX(K191:P191),K191:P191,0))))</f>
        <v/>
      </c>
      <c r="W191" s="69">
        <f>IF(G191="","",IF(V191=E191,1,0))</f>
        <v/>
      </c>
      <c r="X191" s="115">
        <f>IF(G191="","",IF(AND(T191="NG",S191&lt;$B$7),"AMBIGUOUS","CONFIDENT"))</f>
        <v/>
      </c>
    </row>
    <row r="192">
      <c r="A192" s="102">
        <f>'Runs Z score'!A185</f>
        <v/>
      </c>
      <c r="B192" s="98">
        <f>'Runs Z score'!B185</f>
        <v/>
      </c>
      <c r="C192" s="98">
        <f>'Runs Z score'!C185</f>
        <v/>
      </c>
      <c r="D192" s="98">
        <f>'Runs Z score'!D185</f>
        <v/>
      </c>
      <c r="E192" s="98">
        <f>'Runs Z score'!E185</f>
        <v/>
      </c>
      <c r="F192" s="98">
        <f>'Runs Z score'!F185</f>
        <v/>
      </c>
      <c r="G192" s="99">
        <f>'Runs Z score'!G185</f>
        <v/>
      </c>
      <c r="H192" s="100">
        <f>VLOOKUP(C192,Recipes!$A$2:$N$4,10,FALSE())</f>
        <v/>
      </c>
      <c r="I192" s="101">
        <f>VLOOKUP(C192,Recipes!$A$2:$N$4,12,FALSE())</f>
        <v/>
      </c>
      <c r="J192" s="100">
        <f>IF(G192="","",H192-G192)</f>
        <v/>
      </c>
      <c r="K192" s="100">
        <f>IF(G192="","",-0.5*((J192-Components!$D$2)/Components!$E$2)^2)</f>
        <v/>
      </c>
      <c r="L192" s="100">
        <f>IF(G192="","",-0.5*((J192-Components!$D$3)/Components!$E$3)^2)</f>
        <v/>
      </c>
      <c r="M192" s="100">
        <f>IF(G192="","",-0.5*((J192-Components!$D$4)/Components!$E$4)^2)</f>
        <v/>
      </c>
      <c r="N192" s="100">
        <f>IF(G192="","",-0.5*((J192-Components!$D$5)/Components!$E$5)^2)</f>
        <v/>
      </c>
      <c r="O192" s="100">
        <f>IF(G192="","",-0.5*((J192-Components!$D$6)/Components!$E$6)^2)</f>
        <v/>
      </c>
      <c r="P192" s="100">
        <f>IF(G192="","",-0.5*((J192-Components!$D$7)/Components!$E$7)^2)</f>
        <v/>
      </c>
      <c r="Q192" s="100">
        <f>IF(G192="","",EXP(LARGE(K192:P192,1)-MAX(K192:P192))/(EXP(K192-MAX(K192:P192))+EXP(L192-MAX(K192:P192))+EXP(M192-MAX(K192:P192))+EXP(N192-MAX(K192:P192))+EXP(O192-MAX(K192:P192))+EXP(P192-MAX(K192:P192))))</f>
        <v/>
      </c>
      <c r="R192" s="100">
        <f>IF(G192="","",EXP(LARGE(K192:P192,2)-MAX(K192:P192))/(EXP(K192-MAX(K192:P192))+EXP(L192-MAX(K192:P192))+EXP(M192-MAX(K192:P192))+EXP(N192-MAX(K192:P192))+EXP(O192-MAX(K192:P192))+EXP(P192-MAX(K192:P192))))</f>
        <v/>
      </c>
      <c r="S192" s="100">
        <f>IF(G192="","",Q192-R192)</f>
        <v/>
      </c>
      <c r="T192" s="98">
        <f>IF(G192="","",IF(AND(G192&gt;=H192-$B$6*I192,G192&lt;=H192+$B$6*I192),"OK","NG"))</f>
        <v/>
      </c>
      <c r="U192" s="69">
        <f>IF(T192="","",IF(T192=D192,1,0))</f>
        <v/>
      </c>
      <c r="V192" s="98">
        <f>IF(G192="","",IF(T192="OK","NONE",INDEX({"S1","S2","W1","W2","N1","N2"},MATCH(MAX(K192:P192),K192:P192,0))))</f>
        <v/>
      </c>
      <c r="W192" s="69">
        <f>IF(G192="","",IF(V192=E192,1,0))</f>
        <v/>
      </c>
      <c r="X192" s="115">
        <f>IF(G192="","",IF(AND(T192="NG",S192&lt;$B$7),"AMBIGUOUS","CONFIDENT"))</f>
        <v/>
      </c>
    </row>
    <row r="193">
      <c r="A193" s="102">
        <f>'Runs Z score'!A186</f>
        <v/>
      </c>
      <c r="B193" s="98">
        <f>'Runs Z score'!B186</f>
        <v/>
      </c>
      <c r="C193" s="98">
        <f>'Runs Z score'!C186</f>
        <v/>
      </c>
      <c r="D193" s="98">
        <f>'Runs Z score'!D186</f>
        <v/>
      </c>
      <c r="E193" s="98">
        <f>'Runs Z score'!E186</f>
        <v/>
      </c>
      <c r="F193" s="98">
        <f>'Runs Z score'!F186</f>
        <v/>
      </c>
      <c r="G193" s="99">
        <f>'Runs Z score'!G186</f>
        <v/>
      </c>
      <c r="H193" s="100">
        <f>VLOOKUP(C193,Recipes!$A$2:$N$4,10,FALSE())</f>
        <v/>
      </c>
      <c r="I193" s="101">
        <f>VLOOKUP(C193,Recipes!$A$2:$N$4,12,FALSE())</f>
        <v/>
      </c>
      <c r="J193" s="100">
        <f>IF(G193="","",H193-G193)</f>
        <v/>
      </c>
      <c r="K193" s="100">
        <f>IF(G193="","",-0.5*((J193-Components!$D$2)/Components!$E$2)^2)</f>
        <v/>
      </c>
      <c r="L193" s="100">
        <f>IF(G193="","",-0.5*((J193-Components!$D$3)/Components!$E$3)^2)</f>
        <v/>
      </c>
      <c r="M193" s="100">
        <f>IF(G193="","",-0.5*((J193-Components!$D$4)/Components!$E$4)^2)</f>
        <v/>
      </c>
      <c r="N193" s="100">
        <f>IF(G193="","",-0.5*((J193-Components!$D$5)/Components!$E$5)^2)</f>
        <v/>
      </c>
      <c r="O193" s="100">
        <f>IF(G193="","",-0.5*((J193-Components!$D$6)/Components!$E$6)^2)</f>
        <v/>
      </c>
      <c r="P193" s="100">
        <f>IF(G193="","",-0.5*((J193-Components!$D$7)/Components!$E$7)^2)</f>
        <v/>
      </c>
      <c r="Q193" s="100">
        <f>IF(G193="","",EXP(LARGE(K193:P193,1)-MAX(K193:P193))/(EXP(K193-MAX(K193:P193))+EXP(L193-MAX(K193:P193))+EXP(M193-MAX(K193:P193))+EXP(N193-MAX(K193:P193))+EXP(O193-MAX(K193:P193))+EXP(P193-MAX(K193:P193))))</f>
        <v/>
      </c>
      <c r="R193" s="100">
        <f>IF(G193="","",EXP(LARGE(K193:P193,2)-MAX(K193:P193))/(EXP(K193-MAX(K193:P193))+EXP(L193-MAX(K193:P193))+EXP(M193-MAX(K193:P193))+EXP(N193-MAX(K193:P193))+EXP(O193-MAX(K193:P193))+EXP(P193-MAX(K193:P193))))</f>
        <v/>
      </c>
      <c r="S193" s="100">
        <f>IF(G193="","",Q193-R193)</f>
        <v/>
      </c>
      <c r="T193" s="98">
        <f>IF(G193="","",IF(AND(G193&gt;=H193-$B$6*I193,G193&lt;=H193+$B$6*I193),"OK","NG"))</f>
        <v/>
      </c>
      <c r="U193" s="69">
        <f>IF(T193="","",IF(T193=D193,1,0))</f>
        <v/>
      </c>
      <c r="V193" s="98">
        <f>IF(G193="","",IF(T193="OK","NONE",INDEX({"S1","S2","W1","W2","N1","N2"},MATCH(MAX(K193:P193),K193:P193,0))))</f>
        <v/>
      </c>
      <c r="W193" s="69">
        <f>IF(G193="","",IF(V193=E193,1,0))</f>
        <v/>
      </c>
      <c r="X193" s="115">
        <f>IF(G193="","",IF(AND(T193="NG",S193&lt;$B$7),"AMBIGUOUS","CONFIDENT"))</f>
        <v/>
      </c>
    </row>
    <row r="194">
      <c r="A194" s="102">
        <f>'Runs Z score'!A187</f>
        <v/>
      </c>
      <c r="B194" s="98">
        <f>'Runs Z score'!B187</f>
        <v/>
      </c>
      <c r="C194" s="98">
        <f>'Runs Z score'!C187</f>
        <v/>
      </c>
      <c r="D194" s="98">
        <f>'Runs Z score'!D187</f>
        <v/>
      </c>
      <c r="E194" s="98">
        <f>'Runs Z score'!E187</f>
        <v/>
      </c>
      <c r="F194" s="98">
        <f>'Runs Z score'!F187</f>
        <v/>
      </c>
      <c r="G194" s="99">
        <f>'Runs Z score'!G187</f>
        <v/>
      </c>
      <c r="H194" s="100">
        <f>VLOOKUP(C194,Recipes!$A$2:$N$4,10,FALSE())</f>
        <v/>
      </c>
      <c r="I194" s="101">
        <f>VLOOKUP(C194,Recipes!$A$2:$N$4,12,FALSE())</f>
        <v/>
      </c>
      <c r="J194" s="100">
        <f>IF(G194="","",H194-G194)</f>
        <v/>
      </c>
      <c r="K194" s="100">
        <f>IF(G194="","",-0.5*((J194-Components!$D$2)/Components!$E$2)^2)</f>
        <v/>
      </c>
      <c r="L194" s="100">
        <f>IF(G194="","",-0.5*((J194-Components!$D$3)/Components!$E$3)^2)</f>
        <v/>
      </c>
      <c r="M194" s="100">
        <f>IF(G194="","",-0.5*((J194-Components!$D$4)/Components!$E$4)^2)</f>
        <v/>
      </c>
      <c r="N194" s="100">
        <f>IF(G194="","",-0.5*((J194-Components!$D$5)/Components!$E$5)^2)</f>
        <v/>
      </c>
      <c r="O194" s="100">
        <f>IF(G194="","",-0.5*((J194-Components!$D$6)/Components!$E$6)^2)</f>
        <v/>
      </c>
      <c r="P194" s="100">
        <f>IF(G194="","",-0.5*((J194-Components!$D$7)/Components!$E$7)^2)</f>
        <v/>
      </c>
      <c r="Q194" s="100">
        <f>IF(G194="","",EXP(LARGE(K194:P194,1)-MAX(K194:P194))/(EXP(K194-MAX(K194:P194))+EXP(L194-MAX(K194:P194))+EXP(M194-MAX(K194:P194))+EXP(N194-MAX(K194:P194))+EXP(O194-MAX(K194:P194))+EXP(P194-MAX(K194:P194))))</f>
        <v/>
      </c>
      <c r="R194" s="100">
        <f>IF(G194="","",EXP(LARGE(K194:P194,2)-MAX(K194:P194))/(EXP(K194-MAX(K194:P194))+EXP(L194-MAX(K194:P194))+EXP(M194-MAX(K194:P194))+EXP(N194-MAX(K194:P194))+EXP(O194-MAX(K194:P194))+EXP(P194-MAX(K194:P194))))</f>
        <v/>
      </c>
      <c r="S194" s="100">
        <f>IF(G194="","",Q194-R194)</f>
        <v/>
      </c>
      <c r="T194" s="98">
        <f>IF(G194="","",IF(AND(G194&gt;=H194-$B$6*I194,G194&lt;=H194+$B$6*I194),"OK","NG"))</f>
        <v/>
      </c>
      <c r="U194" s="69">
        <f>IF(T194="","",IF(T194=D194,1,0))</f>
        <v/>
      </c>
      <c r="V194" s="98">
        <f>IF(G194="","",IF(T194="OK","NONE",INDEX({"S1","S2","W1","W2","N1","N2"},MATCH(MAX(K194:P194),K194:P194,0))))</f>
        <v/>
      </c>
      <c r="W194" s="69">
        <f>IF(G194="","",IF(V194=E194,1,0))</f>
        <v/>
      </c>
      <c r="X194" s="115">
        <f>IF(G194="","",IF(AND(T194="NG",S194&lt;$B$7),"AMBIGUOUS","CONFIDENT"))</f>
        <v/>
      </c>
    </row>
    <row r="195">
      <c r="A195" s="102">
        <f>'Runs Z score'!A188</f>
        <v/>
      </c>
      <c r="B195" s="98">
        <f>'Runs Z score'!B188</f>
        <v/>
      </c>
      <c r="C195" s="98">
        <f>'Runs Z score'!C188</f>
        <v/>
      </c>
      <c r="D195" s="98">
        <f>'Runs Z score'!D188</f>
        <v/>
      </c>
      <c r="E195" s="98">
        <f>'Runs Z score'!E188</f>
        <v/>
      </c>
      <c r="F195" s="98">
        <f>'Runs Z score'!F188</f>
        <v/>
      </c>
      <c r="G195" s="99">
        <f>'Runs Z score'!G188</f>
        <v/>
      </c>
      <c r="H195" s="100">
        <f>VLOOKUP(C195,Recipes!$A$2:$N$4,10,FALSE())</f>
        <v/>
      </c>
      <c r="I195" s="101">
        <f>VLOOKUP(C195,Recipes!$A$2:$N$4,12,FALSE())</f>
        <v/>
      </c>
      <c r="J195" s="100">
        <f>IF(G195="","",H195-G195)</f>
        <v/>
      </c>
      <c r="K195" s="100">
        <f>IF(G195="","",-0.5*((J195-Components!$D$2)/Components!$E$2)^2)</f>
        <v/>
      </c>
      <c r="L195" s="100">
        <f>IF(G195="","",-0.5*((J195-Components!$D$3)/Components!$E$3)^2)</f>
        <v/>
      </c>
      <c r="M195" s="100">
        <f>IF(G195="","",-0.5*((J195-Components!$D$4)/Components!$E$4)^2)</f>
        <v/>
      </c>
      <c r="N195" s="100">
        <f>IF(G195="","",-0.5*((J195-Components!$D$5)/Components!$E$5)^2)</f>
        <v/>
      </c>
      <c r="O195" s="100">
        <f>IF(G195="","",-0.5*((J195-Components!$D$6)/Components!$E$6)^2)</f>
        <v/>
      </c>
      <c r="P195" s="100">
        <f>IF(G195="","",-0.5*((J195-Components!$D$7)/Components!$E$7)^2)</f>
        <v/>
      </c>
      <c r="Q195" s="100">
        <f>IF(G195="","",EXP(LARGE(K195:P195,1)-MAX(K195:P195))/(EXP(K195-MAX(K195:P195))+EXP(L195-MAX(K195:P195))+EXP(M195-MAX(K195:P195))+EXP(N195-MAX(K195:P195))+EXP(O195-MAX(K195:P195))+EXP(P195-MAX(K195:P195))))</f>
        <v/>
      </c>
      <c r="R195" s="100">
        <f>IF(G195="","",EXP(LARGE(K195:P195,2)-MAX(K195:P195))/(EXP(K195-MAX(K195:P195))+EXP(L195-MAX(K195:P195))+EXP(M195-MAX(K195:P195))+EXP(N195-MAX(K195:P195))+EXP(O195-MAX(K195:P195))+EXP(P195-MAX(K195:P195))))</f>
        <v/>
      </c>
      <c r="S195" s="100">
        <f>IF(G195="","",Q195-R195)</f>
        <v/>
      </c>
      <c r="T195" s="98">
        <f>IF(G195="","",IF(AND(G195&gt;=H195-$B$6*I195,G195&lt;=H195+$B$6*I195),"OK","NG"))</f>
        <v/>
      </c>
      <c r="U195" s="69">
        <f>IF(T195="","",IF(T195=D195,1,0))</f>
        <v/>
      </c>
      <c r="V195" s="98">
        <f>IF(G195="","",IF(T195="OK","NONE",INDEX({"S1","S2","W1","W2","N1","N2"},MATCH(MAX(K195:P195),K195:P195,0))))</f>
        <v/>
      </c>
      <c r="W195" s="69">
        <f>IF(G195="","",IF(V195=E195,1,0))</f>
        <v/>
      </c>
      <c r="X195" s="115">
        <f>IF(G195="","",IF(AND(T195="NG",S195&lt;$B$7),"AMBIGUOUS","CONFIDENT"))</f>
        <v/>
      </c>
    </row>
    <row r="196">
      <c r="A196" s="102">
        <f>'Runs Z score'!A189</f>
        <v/>
      </c>
      <c r="B196" s="98">
        <f>'Runs Z score'!B189</f>
        <v/>
      </c>
      <c r="C196" s="98">
        <f>'Runs Z score'!C189</f>
        <v/>
      </c>
      <c r="D196" s="98">
        <f>'Runs Z score'!D189</f>
        <v/>
      </c>
      <c r="E196" s="98">
        <f>'Runs Z score'!E189</f>
        <v/>
      </c>
      <c r="F196" s="98">
        <f>'Runs Z score'!F189</f>
        <v/>
      </c>
      <c r="G196" s="99">
        <f>'Runs Z score'!G189</f>
        <v/>
      </c>
      <c r="H196" s="100">
        <f>VLOOKUP(C196,Recipes!$A$2:$N$4,10,FALSE())</f>
        <v/>
      </c>
      <c r="I196" s="101">
        <f>VLOOKUP(C196,Recipes!$A$2:$N$4,12,FALSE())</f>
        <v/>
      </c>
      <c r="J196" s="100">
        <f>IF(G196="","",H196-G196)</f>
        <v/>
      </c>
      <c r="K196" s="100">
        <f>IF(G196="","",-0.5*((J196-Components!$D$2)/Components!$E$2)^2)</f>
        <v/>
      </c>
      <c r="L196" s="100">
        <f>IF(G196="","",-0.5*((J196-Components!$D$3)/Components!$E$3)^2)</f>
        <v/>
      </c>
      <c r="M196" s="100">
        <f>IF(G196="","",-0.5*((J196-Components!$D$4)/Components!$E$4)^2)</f>
        <v/>
      </c>
      <c r="N196" s="100">
        <f>IF(G196="","",-0.5*((J196-Components!$D$5)/Components!$E$5)^2)</f>
        <v/>
      </c>
      <c r="O196" s="100">
        <f>IF(G196="","",-0.5*((J196-Components!$D$6)/Components!$E$6)^2)</f>
        <v/>
      </c>
      <c r="P196" s="100">
        <f>IF(G196="","",-0.5*((J196-Components!$D$7)/Components!$E$7)^2)</f>
        <v/>
      </c>
      <c r="Q196" s="100">
        <f>IF(G196="","",EXP(LARGE(K196:P196,1)-MAX(K196:P196))/(EXP(K196-MAX(K196:P196))+EXP(L196-MAX(K196:P196))+EXP(M196-MAX(K196:P196))+EXP(N196-MAX(K196:P196))+EXP(O196-MAX(K196:P196))+EXP(P196-MAX(K196:P196))))</f>
        <v/>
      </c>
      <c r="R196" s="100">
        <f>IF(G196="","",EXP(LARGE(K196:P196,2)-MAX(K196:P196))/(EXP(K196-MAX(K196:P196))+EXP(L196-MAX(K196:P196))+EXP(M196-MAX(K196:P196))+EXP(N196-MAX(K196:P196))+EXP(O196-MAX(K196:P196))+EXP(P196-MAX(K196:P196))))</f>
        <v/>
      </c>
      <c r="S196" s="100">
        <f>IF(G196="","",Q196-R196)</f>
        <v/>
      </c>
      <c r="T196" s="98">
        <f>IF(G196="","",IF(AND(G196&gt;=H196-$B$6*I196,G196&lt;=H196+$B$6*I196),"OK","NG"))</f>
        <v/>
      </c>
      <c r="U196" s="69">
        <f>IF(T196="","",IF(T196=D196,1,0))</f>
        <v/>
      </c>
      <c r="V196" s="98">
        <f>IF(G196="","",IF(T196="OK","NONE",INDEX({"S1","S2","W1","W2","N1","N2"},MATCH(MAX(K196:P196),K196:P196,0))))</f>
        <v/>
      </c>
      <c r="W196" s="69">
        <f>IF(G196="","",IF(V196=E196,1,0))</f>
        <v/>
      </c>
      <c r="X196" s="115">
        <f>IF(G196="","",IF(AND(T196="NG",S196&lt;$B$7),"AMBIGUOUS","CONFIDENT"))</f>
        <v/>
      </c>
    </row>
    <row r="197">
      <c r="A197" s="102">
        <f>'Runs Z score'!A190</f>
        <v/>
      </c>
      <c r="B197" s="98">
        <f>'Runs Z score'!B190</f>
        <v/>
      </c>
      <c r="C197" s="98">
        <f>'Runs Z score'!C190</f>
        <v/>
      </c>
      <c r="D197" s="98">
        <f>'Runs Z score'!D190</f>
        <v/>
      </c>
      <c r="E197" s="98">
        <f>'Runs Z score'!E190</f>
        <v/>
      </c>
      <c r="F197" s="98">
        <f>'Runs Z score'!F190</f>
        <v/>
      </c>
      <c r="G197" s="99">
        <f>'Runs Z score'!G190</f>
        <v/>
      </c>
      <c r="H197" s="100">
        <f>VLOOKUP(C197,Recipes!$A$2:$N$4,10,FALSE())</f>
        <v/>
      </c>
      <c r="I197" s="101">
        <f>VLOOKUP(C197,Recipes!$A$2:$N$4,12,FALSE())</f>
        <v/>
      </c>
      <c r="J197" s="100">
        <f>IF(G197="","",H197-G197)</f>
        <v/>
      </c>
      <c r="K197" s="100">
        <f>IF(G197="","",-0.5*((J197-Components!$D$2)/Components!$E$2)^2)</f>
        <v/>
      </c>
      <c r="L197" s="100">
        <f>IF(G197="","",-0.5*((J197-Components!$D$3)/Components!$E$3)^2)</f>
        <v/>
      </c>
      <c r="M197" s="100">
        <f>IF(G197="","",-0.5*((J197-Components!$D$4)/Components!$E$4)^2)</f>
        <v/>
      </c>
      <c r="N197" s="100">
        <f>IF(G197="","",-0.5*((J197-Components!$D$5)/Components!$E$5)^2)</f>
        <v/>
      </c>
      <c r="O197" s="100">
        <f>IF(G197="","",-0.5*((J197-Components!$D$6)/Components!$E$6)^2)</f>
        <v/>
      </c>
      <c r="P197" s="100">
        <f>IF(G197="","",-0.5*((J197-Components!$D$7)/Components!$E$7)^2)</f>
        <v/>
      </c>
      <c r="Q197" s="100">
        <f>IF(G197="","",EXP(LARGE(K197:P197,1)-MAX(K197:P197))/(EXP(K197-MAX(K197:P197))+EXP(L197-MAX(K197:P197))+EXP(M197-MAX(K197:P197))+EXP(N197-MAX(K197:P197))+EXP(O197-MAX(K197:P197))+EXP(P197-MAX(K197:P197))))</f>
        <v/>
      </c>
      <c r="R197" s="100">
        <f>IF(G197="","",EXP(LARGE(K197:P197,2)-MAX(K197:P197))/(EXP(K197-MAX(K197:P197))+EXP(L197-MAX(K197:P197))+EXP(M197-MAX(K197:P197))+EXP(N197-MAX(K197:P197))+EXP(O197-MAX(K197:P197))+EXP(P197-MAX(K197:P197))))</f>
        <v/>
      </c>
      <c r="S197" s="100">
        <f>IF(G197="","",Q197-R197)</f>
        <v/>
      </c>
      <c r="T197" s="98">
        <f>IF(G197="","",IF(AND(G197&gt;=H197-$B$6*I197,G197&lt;=H197+$B$6*I197),"OK","NG"))</f>
        <v/>
      </c>
      <c r="U197" s="69">
        <f>IF(T197="","",IF(T197=D197,1,0))</f>
        <v/>
      </c>
      <c r="V197" s="98">
        <f>IF(G197="","",IF(T197="OK","NONE",INDEX({"S1","S2","W1","W2","N1","N2"},MATCH(MAX(K197:P197),K197:P197,0))))</f>
        <v/>
      </c>
      <c r="W197" s="71">
        <f>IF(G197="","",IF(V197=E197,1,0))</f>
        <v/>
      </c>
      <c r="X197" s="115">
        <f>IF(G197="","",IF(AND(T197="NG",S197&lt;$B$7),"AMBIGUOUS","CONFIDENT"))</f>
        <v/>
      </c>
    </row>
    <row r="198">
      <c r="A198" s="102">
        <f>'Runs Z score'!A191</f>
        <v/>
      </c>
      <c r="B198" s="98">
        <f>'Runs Z score'!B191</f>
        <v/>
      </c>
      <c r="C198" s="98">
        <f>'Runs Z score'!C191</f>
        <v/>
      </c>
      <c r="D198" s="98">
        <f>'Runs Z score'!D191</f>
        <v/>
      </c>
      <c r="E198" s="98">
        <f>'Runs Z score'!E191</f>
        <v/>
      </c>
      <c r="F198" s="98">
        <f>'Runs Z score'!F191</f>
        <v/>
      </c>
      <c r="G198" s="99">
        <f>'Runs Z score'!G191</f>
        <v/>
      </c>
      <c r="H198" s="100">
        <f>VLOOKUP(C198,Recipes!$A$2:$N$4,10,FALSE())</f>
        <v/>
      </c>
      <c r="I198" s="101">
        <f>VLOOKUP(C198,Recipes!$A$2:$N$4,12,FALSE())</f>
        <v/>
      </c>
      <c r="J198" s="100">
        <f>IF(G198="","",H198-G198)</f>
        <v/>
      </c>
      <c r="K198" s="100">
        <f>IF(G198="","",-0.5*((J198-Components!$D$2)/Components!$E$2)^2)</f>
        <v/>
      </c>
      <c r="L198" s="100">
        <f>IF(G198="","",-0.5*((J198-Components!$D$3)/Components!$E$3)^2)</f>
        <v/>
      </c>
      <c r="M198" s="100">
        <f>IF(G198="","",-0.5*((J198-Components!$D$4)/Components!$E$4)^2)</f>
        <v/>
      </c>
      <c r="N198" s="100">
        <f>IF(G198="","",-0.5*((J198-Components!$D$5)/Components!$E$5)^2)</f>
        <v/>
      </c>
      <c r="O198" s="100">
        <f>IF(G198="","",-0.5*((J198-Components!$D$6)/Components!$E$6)^2)</f>
        <v/>
      </c>
      <c r="P198" s="100">
        <f>IF(G198="","",-0.5*((J198-Components!$D$7)/Components!$E$7)^2)</f>
        <v/>
      </c>
      <c r="Q198" s="100">
        <f>IF(G198="","",EXP(LARGE(K198:P198,1)-MAX(K198:P198))/(EXP(K198-MAX(K198:P198))+EXP(L198-MAX(K198:P198))+EXP(M198-MAX(K198:P198))+EXP(N198-MAX(K198:P198))+EXP(O198-MAX(K198:P198))+EXP(P198-MAX(K198:P198))))</f>
        <v/>
      </c>
      <c r="R198" s="100">
        <f>IF(G198="","",EXP(LARGE(K198:P198,2)-MAX(K198:P198))/(EXP(K198-MAX(K198:P198))+EXP(L198-MAX(K198:P198))+EXP(M198-MAX(K198:P198))+EXP(N198-MAX(K198:P198))+EXP(O198-MAX(K198:P198))+EXP(P198-MAX(K198:P198))))</f>
        <v/>
      </c>
      <c r="S198" s="100">
        <f>IF(G198="","",Q198-R198)</f>
        <v/>
      </c>
      <c r="T198" s="98">
        <f>IF(G198="","",IF(AND(G198&gt;=H198-$B$6*I198,G198&lt;=H198+$B$6*I198),"OK","NG"))</f>
        <v/>
      </c>
      <c r="U198" s="69">
        <f>IF(T198="","",IF(T198=D198,1,0))</f>
        <v/>
      </c>
      <c r="V198" s="98">
        <f>IF(G198="","",IF(T198="OK","NONE",INDEX({"S1","S2","W1","W2","N1","N2"},MATCH(MAX(K198:P198),K198:P198,0))))</f>
        <v/>
      </c>
      <c r="W198" s="69">
        <f>IF(G198="","",IF(V198=E198,1,0))</f>
        <v/>
      </c>
      <c r="X198" s="115">
        <f>IF(G198="","",IF(AND(T198="NG",S198&lt;$B$7),"AMBIGUOUS","CONFIDENT"))</f>
        <v/>
      </c>
    </row>
    <row r="199">
      <c r="A199" s="102">
        <f>'Runs Z score'!A192</f>
        <v/>
      </c>
      <c r="B199" s="98">
        <f>'Runs Z score'!B192</f>
        <v/>
      </c>
      <c r="C199" s="98">
        <f>'Runs Z score'!C192</f>
        <v/>
      </c>
      <c r="D199" s="98">
        <f>'Runs Z score'!D192</f>
        <v/>
      </c>
      <c r="E199" s="98">
        <f>'Runs Z score'!E192</f>
        <v/>
      </c>
      <c r="F199" s="98">
        <f>'Runs Z score'!F192</f>
        <v/>
      </c>
      <c r="G199" s="99">
        <f>'Runs Z score'!G192</f>
        <v/>
      </c>
      <c r="H199" s="100">
        <f>VLOOKUP(C199,Recipes!$A$2:$N$4,10,FALSE())</f>
        <v/>
      </c>
      <c r="I199" s="101">
        <f>VLOOKUP(C199,Recipes!$A$2:$N$4,12,FALSE())</f>
        <v/>
      </c>
      <c r="J199" s="100">
        <f>IF(G199="","",H199-G199)</f>
        <v/>
      </c>
      <c r="K199" s="100">
        <f>IF(G199="","",-0.5*((J199-Components!$D$2)/Components!$E$2)^2)</f>
        <v/>
      </c>
      <c r="L199" s="100">
        <f>IF(G199="","",-0.5*((J199-Components!$D$3)/Components!$E$3)^2)</f>
        <v/>
      </c>
      <c r="M199" s="100">
        <f>IF(G199="","",-0.5*((J199-Components!$D$4)/Components!$E$4)^2)</f>
        <v/>
      </c>
      <c r="N199" s="100">
        <f>IF(G199="","",-0.5*((J199-Components!$D$5)/Components!$E$5)^2)</f>
        <v/>
      </c>
      <c r="O199" s="100">
        <f>IF(G199="","",-0.5*((J199-Components!$D$6)/Components!$E$6)^2)</f>
        <v/>
      </c>
      <c r="P199" s="100">
        <f>IF(G199="","",-0.5*((J199-Components!$D$7)/Components!$E$7)^2)</f>
        <v/>
      </c>
      <c r="Q199" s="100">
        <f>IF(G199="","",EXP(LARGE(K199:P199,1)-MAX(K199:P199))/(EXP(K199-MAX(K199:P199))+EXP(L199-MAX(K199:P199))+EXP(M199-MAX(K199:P199))+EXP(N199-MAX(K199:P199))+EXP(O199-MAX(K199:P199))+EXP(P199-MAX(K199:P199))))</f>
        <v/>
      </c>
      <c r="R199" s="100">
        <f>IF(G199="","",EXP(LARGE(K199:P199,2)-MAX(K199:P199))/(EXP(K199-MAX(K199:P199))+EXP(L199-MAX(K199:P199))+EXP(M199-MAX(K199:P199))+EXP(N199-MAX(K199:P199))+EXP(O199-MAX(K199:P199))+EXP(P199-MAX(K199:P199))))</f>
        <v/>
      </c>
      <c r="S199" s="100">
        <f>IF(G199="","",Q199-R199)</f>
        <v/>
      </c>
      <c r="T199" s="98">
        <f>IF(G199="","",IF(AND(G199&gt;=H199-$B$6*I199,G199&lt;=H199+$B$6*I199),"OK","NG"))</f>
        <v/>
      </c>
      <c r="U199" s="69">
        <f>IF(T199="","",IF(T199=D199,1,0))</f>
        <v/>
      </c>
      <c r="V199" s="98">
        <f>IF(G199="","",IF(T199="OK","NONE",INDEX({"S1","S2","W1","W2","N1","N2"},MATCH(MAX(K199:P199),K199:P199,0))))</f>
        <v/>
      </c>
      <c r="W199" s="69">
        <f>IF(G199="","",IF(V199=E199,1,0))</f>
        <v/>
      </c>
      <c r="X199" s="115">
        <f>IF(G199="","",IF(AND(T199="NG",S199&lt;$B$7),"AMBIGUOUS","CONFIDENT"))</f>
        <v/>
      </c>
    </row>
    <row r="200">
      <c r="A200" s="102">
        <f>'Runs Z score'!A193</f>
        <v/>
      </c>
      <c r="B200" s="98">
        <f>'Runs Z score'!B193</f>
        <v/>
      </c>
      <c r="C200" s="98">
        <f>'Runs Z score'!C193</f>
        <v/>
      </c>
      <c r="D200" s="98">
        <f>'Runs Z score'!D193</f>
        <v/>
      </c>
      <c r="E200" s="98">
        <f>'Runs Z score'!E193</f>
        <v/>
      </c>
      <c r="F200" s="98">
        <f>'Runs Z score'!F193</f>
        <v/>
      </c>
      <c r="G200" s="99">
        <f>'Runs Z score'!G193</f>
        <v/>
      </c>
      <c r="H200" s="100">
        <f>VLOOKUP(C200,Recipes!$A$2:$N$4,10,FALSE())</f>
        <v/>
      </c>
      <c r="I200" s="101">
        <f>VLOOKUP(C200,Recipes!$A$2:$N$4,12,FALSE())</f>
        <v/>
      </c>
      <c r="J200" s="100">
        <f>IF(G200="","",H200-G200)</f>
        <v/>
      </c>
      <c r="K200" s="100">
        <f>IF(G200="","",-0.5*((J200-Components!$D$2)/Components!$E$2)^2)</f>
        <v/>
      </c>
      <c r="L200" s="100">
        <f>IF(G200="","",-0.5*((J200-Components!$D$3)/Components!$E$3)^2)</f>
        <v/>
      </c>
      <c r="M200" s="100">
        <f>IF(G200="","",-0.5*((J200-Components!$D$4)/Components!$E$4)^2)</f>
        <v/>
      </c>
      <c r="N200" s="100">
        <f>IF(G200="","",-0.5*((J200-Components!$D$5)/Components!$E$5)^2)</f>
        <v/>
      </c>
      <c r="O200" s="100">
        <f>IF(G200="","",-0.5*((J200-Components!$D$6)/Components!$E$6)^2)</f>
        <v/>
      </c>
      <c r="P200" s="100">
        <f>IF(G200="","",-0.5*((J200-Components!$D$7)/Components!$E$7)^2)</f>
        <v/>
      </c>
      <c r="Q200" s="100">
        <f>IF(G200="","",EXP(LARGE(K200:P200,1)-MAX(K200:P200))/(EXP(K200-MAX(K200:P200))+EXP(L200-MAX(K200:P200))+EXP(M200-MAX(K200:P200))+EXP(N200-MAX(K200:P200))+EXP(O200-MAX(K200:P200))+EXP(P200-MAX(K200:P200))))</f>
        <v/>
      </c>
      <c r="R200" s="100">
        <f>IF(G200="","",EXP(LARGE(K200:P200,2)-MAX(K200:P200))/(EXP(K200-MAX(K200:P200))+EXP(L200-MAX(K200:P200))+EXP(M200-MAX(K200:P200))+EXP(N200-MAX(K200:P200))+EXP(O200-MAX(K200:P200))+EXP(P200-MAX(K200:P200))))</f>
        <v/>
      </c>
      <c r="S200" s="100">
        <f>IF(G200="","",Q200-R200)</f>
        <v/>
      </c>
      <c r="T200" s="98">
        <f>IF(G200="","",IF(AND(G200&gt;=H200-$B$6*I200,G200&lt;=H200+$B$6*I200),"OK","NG"))</f>
        <v/>
      </c>
      <c r="U200" s="69">
        <f>IF(T200="","",IF(T200=D200,1,0))</f>
        <v/>
      </c>
      <c r="V200" s="98">
        <f>IF(G200="","",IF(T200="OK","NONE",INDEX({"S1","S2","W1","W2","N1","N2"},MATCH(MAX(K200:P200),K200:P200,0))))</f>
        <v/>
      </c>
      <c r="W200" s="69">
        <f>IF(G200="","",IF(V200=E200,1,0))</f>
        <v/>
      </c>
      <c r="X200" s="115">
        <f>IF(G200="","",IF(AND(T200="NG",S200&lt;$B$7),"AMBIGUOUS","CONFIDENT"))</f>
        <v/>
      </c>
    </row>
    <row r="201">
      <c r="A201" s="102">
        <f>'Runs Z score'!A194</f>
        <v/>
      </c>
      <c r="B201" s="98">
        <f>'Runs Z score'!B194</f>
        <v/>
      </c>
      <c r="C201" s="98">
        <f>'Runs Z score'!C194</f>
        <v/>
      </c>
      <c r="D201" s="98">
        <f>'Runs Z score'!D194</f>
        <v/>
      </c>
      <c r="E201" s="98">
        <f>'Runs Z score'!E194</f>
        <v/>
      </c>
      <c r="F201" s="98">
        <f>'Runs Z score'!F194</f>
        <v/>
      </c>
      <c r="G201" s="99">
        <f>'Runs Z score'!G194</f>
        <v/>
      </c>
      <c r="H201" s="100">
        <f>VLOOKUP(C201,Recipes!$A$2:$N$4,10,FALSE())</f>
        <v/>
      </c>
      <c r="I201" s="101">
        <f>VLOOKUP(C201,Recipes!$A$2:$N$4,12,FALSE())</f>
        <v/>
      </c>
      <c r="J201" s="100">
        <f>IF(G201="","",H201-G201)</f>
        <v/>
      </c>
      <c r="K201" s="100">
        <f>IF(G201="","",-0.5*((J201-Components!$D$2)/Components!$E$2)^2)</f>
        <v/>
      </c>
      <c r="L201" s="100">
        <f>IF(G201="","",-0.5*((J201-Components!$D$3)/Components!$E$3)^2)</f>
        <v/>
      </c>
      <c r="M201" s="100">
        <f>IF(G201="","",-0.5*((J201-Components!$D$4)/Components!$E$4)^2)</f>
        <v/>
      </c>
      <c r="N201" s="100">
        <f>IF(G201="","",-0.5*((J201-Components!$D$5)/Components!$E$5)^2)</f>
        <v/>
      </c>
      <c r="O201" s="100">
        <f>IF(G201="","",-0.5*((J201-Components!$D$6)/Components!$E$6)^2)</f>
        <v/>
      </c>
      <c r="P201" s="100">
        <f>IF(G201="","",-0.5*((J201-Components!$D$7)/Components!$E$7)^2)</f>
        <v/>
      </c>
      <c r="Q201" s="100">
        <f>IF(G201="","",EXP(LARGE(K201:P201,1)-MAX(K201:P201))/(EXP(K201-MAX(K201:P201))+EXP(L201-MAX(K201:P201))+EXP(M201-MAX(K201:P201))+EXP(N201-MAX(K201:P201))+EXP(O201-MAX(K201:P201))+EXP(P201-MAX(K201:P201))))</f>
        <v/>
      </c>
      <c r="R201" s="100">
        <f>IF(G201="","",EXP(LARGE(K201:P201,2)-MAX(K201:P201))/(EXP(K201-MAX(K201:P201))+EXP(L201-MAX(K201:P201))+EXP(M201-MAX(K201:P201))+EXP(N201-MAX(K201:P201))+EXP(O201-MAX(K201:P201))+EXP(P201-MAX(K201:P201))))</f>
        <v/>
      </c>
      <c r="S201" s="100">
        <f>IF(G201="","",Q201-R201)</f>
        <v/>
      </c>
      <c r="T201" s="98">
        <f>IF(G201="","",IF(AND(G201&gt;=H201-$B$6*I201,G201&lt;=H201+$B$6*I201),"OK","NG"))</f>
        <v/>
      </c>
      <c r="U201" s="69">
        <f>IF(T201="","",IF(T201=D201,1,0))</f>
        <v/>
      </c>
      <c r="V201" s="98">
        <f>IF(G201="","",IF(T201="OK","NONE",INDEX({"S1","S2","W1","W2","N1","N2"},MATCH(MAX(K201:P201),K201:P201,0))))</f>
        <v/>
      </c>
      <c r="W201" s="69">
        <f>IF(G201="","",IF(V201=E201,1,0))</f>
        <v/>
      </c>
      <c r="X201" s="115">
        <f>IF(G201="","",IF(AND(T201="NG",S201&lt;$B$7),"AMBIGUOUS","CONFIDENT"))</f>
        <v/>
      </c>
    </row>
    <row r="202">
      <c r="A202" s="102">
        <f>'Runs Z score'!A195</f>
        <v/>
      </c>
      <c r="B202" s="98">
        <f>'Runs Z score'!B195</f>
        <v/>
      </c>
      <c r="C202" s="98">
        <f>'Runs Z score'!C195</f>
        <v/>
      </c>
      <c r="D202" s="98">
        <f>'Runs Z score'!D195</f>
        <v/>
      </c>
      <c r="E202" s="98">
        <f>'Runs Z score'!E195</f>
        <v/>
      </c>
      <c r="F202" s="98">
        <f>'Runs Z score'!F195</f>
        <v/>
      </c>
      <c r="G202" s="99">
        <f>'Runs Z score'!G195</f>
        <v/>
      </c>
      <c r="H202" s="100">
        <f>VLOOKUP(C202,Recipes!$A$2:$N$4,10,FALSE())</f>
        <v/>
      </c>
      <c r="I202" s="101">
        <f>VLOOKUP(C202,Recipes!$A$2:$N$4,12,FALSE())</f>
        <v/>
      </c>
      <c r="J202" s="100">
        <f>IF(G202="","",H202-G202)</f>
        <v/>
      </c>
      <c r="K202" s="100">
        <f>IF(G202="","",-0.5*((J202-Components!$D$2)/Components!$E$2)^2)</f>
        <v/>
      </c>
      <c r="L202" s="100">
        <f>IF(G202="","",-0.5*((J202-Components!$D$3)/Components!$E$3)^2)</f>
        <v/>
      </c>
      <c r="M202" s="100">
        <f>IF(G202="","",-0.5*((J202-Components!$D$4)/Components!$E$4)^2)</f>
        <v/>
      </c>
      <c r="N202" s="100">
        <f>IF(G202="","",-0.5*((J202-Components!$D$5)/Components!$E$5)^2)</f>
        <v/>
      </c>
      <c r="O202" s="100">
        <f>IF(G202="","",-0.5*((J202-Components!$D$6)/Components!$E$6)^2)</f>
        <v/>
      </c>
      <c r="P202" s="100">
        <f>IF(G202="","",-0.5*((J202-Components!$D$7)/Components!$E$7)^2)</f>
        <v/>
      </c>
      <c r="Q202" s="100">
        <f>IF(G202="","",EXP(LARGE(K202:P202,1)-MAX(K202:P202))/(EXP(K202-MAX(K202:P202))+EXP(L202-MAX(K202:P202))+EXP(M202-MAX(K202:P202))+EXP(N202-MAX(K202:P202))+EXP(O202-MAX(K202:P202))+EXP(P202-MAX(K202:P202))))</f>
        <v/>
      </c>
      <c r="R202" s="100">
        <f>IF(G202="","",EXP(LARGE(K202:P202,2)-MAX(K202:P202))/(EXP(K202-MAX(K202:P202))+EXP(L202-MAX(K202:P202))+EXP(M202-MAX(K202:P202))+EXP(N202-MAX(K202:P202))+EXP(O202-MAX(K202:P202))+EXP(P202-MAX(K202:P202))))</f>
        <v/>
      </c>
      <c r="S202" s="100">
        <f>IF(G202="","",Q202-R202)</f>
        <v/>
      </c>
      <c r="T202" s="98">
        <f>IF(G202="","",IF(AND(G202&gt;=H202-$B$6*I202,G202&lt;=H202+$B$6*I202),"OK","NG"))</f>
        <v/>
      </c>
      <c r="U202" s="69">
        <f>IF(T202="","",IF(T202=D202,1,0))</f>
        <v/>
      </c>
      <c r="V202" s="98">
        <f>IF(G202="","",IF(T202="OK","NONE",INDEX({"S1","S2","W1","W2","N1","N2"},MATCH(MAX(K202:P202),K202:P202,0))))</f>
        <v/>
      </c>
      <c r="W202" s="69">
        <f>IF(G202="","",IF(V202=E202,1,0))</f>
        <v/>
      </c>
      <c r="X202" s="115">
        <f>IF(G202="","",IF(AND(T202="NG",S202&lt;$B$7),"AMBIGUOUS","CONFIDENT"))</f>
        <v/>
      </c>
    </row>
    <row r="203">
      <c r="A203" s="102">
        <f>'Runs Z score'!A196</f>
        <v/>
      </c>
      <c r="B203" s="98">
        <f>'Runs Z score'!B196</f>
        <v/>
      </c>
      <c r="C203" s="98">
        <f>'Runs Z score'!C196</f>
        <v/>
      </c>
      <c r="D203" s="98">
        <f>'Runs Z score'!D196</f>
        <v/>
      </c>
      <c r="E203" s="98">
        <f>'Runs Z score'!E196</f>
        <v/>
      </c>
      <c r="F203" s="98">
        <f>'Runs Z score'!F196</f>
        <v/>
      </c>
      <c r="G203" s="99">
        <f>'Runs Z score'!G196</f>
        <v/>
      </c>
      <c r="H203" s="100">
        <f>VLOOKUP(C203,Recipes!$A$2:$N$4,10,FALSE())</f>
        <v/>
      </c>
      <c r="I203" s="101">
        <f>VLOOKUP(C203,Recipes!$A$2:$N$4,12,FALSE())</f>
        <v/>
      </c>
      <c r="J203" s="100">
        <f>IF(G203="","",H203-G203)</f>
        <v/>
      </c>
      <c r="K203" s="100">
        <f>IF(G203="","",-0.5*((J203-Components!$D$2)/Components!$E$2)^2)</f>
        <v/>
      </c>
      <c r="L203" s="100">
        <f>IF(G203="","",-0.5*((J203-Components!$D$3)/Components!$E$3)^2)</f>
        <v/>
      </c>
      <c r="M203" s="100">
        <f>IF(G203="","",-0.5*((J203-Components!$D$4)/Components!$E$4)^2)</f>
        <v/>
      </c>
      <c r="N203" s="100">
        <f>IF(G203="","",-0.5*((J203-Components!$D$5)/Components!$E$5)^2)</f>
        <v/>
      </c>
      <c r="O203" s="100">
        <f>IF(G203="","",-0.5*((J203-Components!$D$6)/Components!$E$6)^2)</f>
        <v/>
      </c>
      <c r="P203" s="100">
        <f>IF(G203="","",-0.5*((J203-Components!$D$7)/Components!$E$7)^2)</f>
        <v/>
      </c>
      <c r="Q203" s="100">
        <f>IF(G203="","",EXP(LARGE(K203:P203,1)-MAX(K203:P203))/(EXP(K203-MAX(K203:P203))+EXP(L203-MAX(K203:P203))+EXP(M203-MAX(K203:P203))+EXP(N203-MAX(K203:P203))+EXP(O203-MAX(K203:P203))+EXP(P203-MAX(K203:P203))))</f>
        <v/>
      </c>
      <c r="R203" s="100">
        <f>IF(G203="","",EXP(LARGE(K203:P203,2)-MAX(K203:P203))/(EXP(K203-MAX(K203:P203))+EXP(L203-MAX(K203:P203))+EXP(M203-MAX(K203:P203))+EXP(N203-MAX(K203:P203))+EXP(O203-MAX(K203:P203))+EXP(P203-MAX(K203:P203))))</f>
        <v/>
      </c>
      <c r="S203" s="100">
        <f>IF(G203="","",Q203-R203)</f>
        <v/>
      </c>
      <c r="T203" s="98">
        <f>IF(G203="","",IF(AND(G203&gt;=H203-$B$6*I203,G203&lt;=H203+$B$6*I203),"OK","NG"))</f>
        <v/>
      </c>
      <c r="U203" s="69">
        <f>IF(T203="","",IF(T203=D203,1,0))</f>
        <v/>
      </c>
      <c r="V203" s="98">
        <f>IF(G203="","",IF(T203="OK","NONE",INDEX({"S1","S2","W1","W2","N1","N2"},MATCH(MAX(K203:P203),K203:P203,0))))</f>
        <v/>
      </c>
      <c r="W203" s="69">
        <f>IF(G203="","",IF(V203=E203,1,0))</f>
        <v/>
      </c>
      <c r="X203" s="115">
        <f>IF(G203="","",IF(AND(T203="NG",S203&lt;$B$7),"AMBIGUOUS","CONFIDENT"))</f>
        <v/>
      </c>
    </row>
    <row r="204">
      <c r="A204" s="102">
        <f>'Runs Z score'!A197</f>
        <v/>
      </c>
      <c r="B204" s="98">
        <f>'Runs Z score'!B197</f>
        <v/>
      </c>
      <c r="C204" s="98">
        <f>'Runs Z score'!C197</f>
        <v/>
      </c>
      <c r="D204" s="98">
        <f>'Runs Z score'!D197</f>
        <v/>
      </c>
      <c r="E204" s="98">
        <f>'Runs Z score'!E197</f>
        <v/>
      </c>
      <c r="F204" s="98">
        <f>'Runs Z score'!F197</f>
        <v/>
      </c>
      <c r="G204" s="99">
        <f>'Runs Z score'!G197</f>
        <v/>
      </c>
      <c r="H204" s="100">
        <f>VLOOKUP(C204,Recipes!$A$2:$N$4,10,FALSE())</f>
        <v/>
      </c>
      <c r="I204" s="101">
        <f>VLOOKUP(C204,Recipes!$A$2:$N$4,12,FALSE())</f>
        <v/>
      </c>
      <c r="J204" s="100">
        <f>IF(G204="","",H204-G204)</f>
        <v/>
      </c>
      <c r="K204" s="100">
        <f>IF(G204="","",-0.5*((J204-Components!$D$2)/Components!$E$2)^2)</f>
        <v/>
      </c>
      <c r="L204" s="100">
        <f>IF(G204="","",-0.5*((J204-Components!$D$3)/Components!$E$3)^2)</f>
        <v/>
      </c>
      <c r="M204" s="100">
        <f>IF(G204="","",-0.5*((J204-Components!$D$4)/Components!$E$4)^2)</f>
        <v/>
      </c>
      <c r="N204" s="100">
        <f>IF(G204="","",-0.5*((J204-Components!$D$5)/Components!$E$5)^2)</f>
        <v/>
      </c>
      <c r="O204" s="100">
        <f>IF(G204="","",-0.5*((J204-Components!$D$6)/Components!$E$6)^2)</f>
        <v/>
      </c>
      <c r="P204" s="100">
        <f>IF(G204="","",-0.5*((J204-Components!$D$7)/Components!$E$7)^2)</f>
        <v/>
      </c>
      <c r="Q204" s="100">
        <f>IF(G204="","",EXP(LARGE(K204:P204,1)-MAX(K204:P204))/(EXP(K204-MAX(K204:P204))+EXP(L204-MAX(K204:P204))+EXP(M204-MAX(K204:P204))+EXP(N204-MAX(K204:P204))+EXP(O204-MAX(K204:P204))+EXP(P204-MAX(K204:P204))))</f>
        <v/>
      </c>
      <c r="R204" s="100">
        <f>IF(G204="","",EXP(LARGE(K204:P204,2)-MAX(K204:P204))/(EXP(K204-MAX(K204:P204))+EXP(L204-MAX(K204:P204))+EXP(M204-MAX(K204:P204))+EXP(N204-MAX(K204:P204))+EXP(O204-MAX(K204:P204))+EXP(P204-MAX(K204:P204))))</f>
        <v/>
      </c>
      <c r="S204" s="100">
        <f>IF(G204="","",Q204-R204)</f>
        <v/>
      </c>
      <c r="T204" s="98">
        <f>IF(G204="","",IF(AND(G204&gt;=H204-$B$6*I204,G204&lt;=H204+$B$6*I204),"OK","NG"))</f>
        <v/>
      </c>
      <c r="U204" s="69">
        <f>IF(T204="","",IF(T204=D204,1,0))</f>
        <v/>
      </c>
      <c r="V204" s="98">
        <f>IF(G204="","",IF(T204="OK","NONE",INDEX({"S1","S2","W1","W2","N1","N2"},MATCH(MAX(K204:P204),K204:P204,0))))</f>
        <v/>
      </c>
      <c r="W204" s="69">
        <f>IF(G204="","",IF(V204=E204,1,0))</f>
        <v/>
      </c>
      <c r="X204" s="115">
        <f>IF(G204="","",IF(AND(T204="NG",S204&lt;$B$7),"AMBIGUOUS","CONFIDENT"))</f>
        <v/>
      </c>
    </row>
    <row r="205">
      <c r="A205" s="102">
        <f>'Runs Z score'!A198</f>
        <v/>
      </c>
      <c r="B205" s="98">
        <f>'Runs Z score'!B198</f>
        <v/>
      </c>
      <c r="C205" s="98">
        <f>'Runs Z score'!C198</f>
        <v/>
      </c>
      <c r="D205" s="98">
        <f>'Runs Z score'!D198</f>
        <v/>
      </c>
      <c r="E205" s="98">
        <f>'Runs Z score'!E198</f>
        <v/>
      </c>
      <c r="F205" s="98">
        <f>'Runs Z score'!F198</f>
        <v/>
      </c>
      <c r="G205" s="99">
        <f>'Runs Z score'!G198</f>
        <v/>
      </c>
      <c r="H205" s="100">
        <f>VLOOKUP(C205,Recipes!$A$2:$N$4,10,FALSE())</f>
        <v/>
      </c>
      <c r="I205" s="101">
        <f>VLOOKUP(C205,Recipes!$A$2:$N$4,12,FALSE())</f>
        <v/>
      </c>
      <c r="J205" s="100">
        <f>IF(G205="","",H205-G205)</f>
        <v/>
      </c>
      <c r="K205" s="100">
        <f>IF(G205="","",-0.5*((J205-Components!$D$2)/Components!$E$2)^2)</f>
        <v/>
      </c>
      <c r="L205" s="100">
        <f>IF(G205="","",-0.5*((J205-Components!$D$3)/Components!$E$3)^2)</f>
        <v/>
      </c>
      <c r="M205" s="100">
        <f>IF(G205="","",-0.5*((J205-Components!$D$4)/Components!$E$4)^2)</f>
        <v/>
      </c>
      <c r="N205" s="100">
        <f>IF(G205="","",-0.5*((J205-Components!$D$5)/Components!$E$5)^2)</f>
        <v/>
      </c>
      <c r="O205" s="100">
        <f>IF(G205="","",-0.5*((J205-Components!$D$6)/Components!$E$6)^2)</f>
        <v/>
      </c>
      <c r="P205" s="100">
        <f>IF(G205="","",-0.5*((J205-Components!$D$7)/Components!$E$7)^2)</f>
        <v/>
      </c>
      <c r="Q205" s="100">
        <f>IF(G205="","",EXP(LARGE(K205:P205,1)-MAX(K205:P205))/(EXP(K205-MAX(K205:P205))+EXP(L205-MAX(K205:P205))+EXP(M205-MAX(K205:P205))+EXP(N205-MAX(K205:P205))+EXP(O205-MAX(K205:P205))+EXP(P205-MAX(K205:P205))))</f>
        <v/>
      </c>
      <c r="R205" s="100">
        <f>IF(G205="","",EXP(LARGE(K205:P205,2)-MAX(K205:P205))/(EXP(K205-MAX(K205:P205))+EXP(L205-MAX(K205:P205))+EXP(M205-MAX(K205:P205))+EXP(N205-MAX(K205:P205))+EXP(O205-MAX(K205:P205))+EXP(P205-MAX(K205:P205))))</f>
        <v/>
      </c>
      <c r="S205" s="100">
        <f>IF(G205="","",Q205-R205)</f>
        <v/>
      </c>
      <c r="T205" s="98">
        <f>IF(G205="","",IF(AND(G205&gt;=H205-$B$6*I205,G205&lt;=H205+$B$6*I205),"OK","NG"))</f>
        <v/>
      </c>
      <c r="U205" s="69">
        <f>IF(T205="","",IF(T205=D205,1,0))</f>
        <v/>
      </c>
      <c r="V205" s="98">
        <f>IF(G205="","",IF(T205="OK","NONE",INDEX({"S1","S2","W1","W2","N1","N2"},MATCH(MAX(K205:P205),K205:P205,0))))</f>
        <v/>
      </c>
      <c r="W205" s="69">
        <f>IF(G205="","",IF(V205=E205,1,0))</f>
        <v/>
      </c>
      <c r="X205" s="115">
        <f>IF(G205="","",IF(AND(T205="NG",S205&lt;$B$7),"AMBIGUOUS","CONFIDENT"))</f>
        <v/>
      </c>
    </row>
    <row r="206">
      <c r="A206" s="102">
        <f>'Runs Z score'!A199</f>
        <v/>
      </c>
      <c r="B206" s="98">
        <f>'Runs Z score'!B199</f>
        <v/>
      </c>
      <c r="C206" s="98">
        <f>'Runs Z score'!C199</f>
        <v/>
      </c>
      <c r="D206" s="98">
        <f>'Runs Z score'!D199</f>
        <v/>
      </c>
      <c r="E206" s="98">
        <f>'Runs Z score'!E199</f>
        <v/>
      </c>
      <c r="F206" s="98">
        <f>'Runs Z score'!F199</f>
        <v/>
      </c>
      <c r="G206" s="99">
        <f>'Runs Z score'!G199</f>
        <v/>
      </c>
      <c r="H206" s="100">
        <f>VLOOKUP(C206,Recipes!$A$2:$N$4,10,FALSE())</f>
        <v/>
      </c>
      <c r="I206" s="101">
        <f>VLOOKUP(C206,Recipes!$A$2:$N$4,12,FALSE())</f>
        <v/>
      </c>
      <c r="J206" s="100">
        <f>IF(G206="","",H206-G206)</f>
        <v/>
      </c>
      <c r="K206" s="100">
        <f>IF(G206="","",-0.5*((J206-Components!$D$2)/Components!$E$2)^2)</f>
        <v/>
      </c>
      <c r="L206" s="100">
        <f>IF(G206="","",-0.5*((J206-Components!$D$3)/Components!$E$3)^2)</f>
        <v/>
      </c>
      <c r="M206" s="100">
        <f>IF(G206="","",-0.5*((J206-Components!$D$4)/Components!$E$4)^2)</f>
        <v/>
      </c>
      <c r="N206" s="100">
        <f>IF(G206="","",-0.5*((J206-Components!$D$5)/Components!$E$5)^2)</f>
        <v/>
      </c>
      <c r="O206" s="100">
        <f>IF(G206="","",-0.5*((J206-Components!$D$6)/Components!$E$6)^2)</f>
        <v/>
      </c>
      <c r="P206" s="100">
        <f>IF(G206="","",-0.5*((J206-Components!$D$7)/Components!$E$7)^2)</f>
        <v/>
      </c>
      <c r="Q206" s="100">
        <f>IF(G206="","",EXP(LARGE(K206:P206,1)-MAX(K206:P206))/(EXP(K206-MAX(K206:P206))+EXP(L206-MAX(K206:P206))+EXP(M206-MAX(K206:P206))+EXP(N206-MAX(K206:P206))+EXP(O206-MAX(K206:P206))+EXP(P206-MAX(K206:P206))))</f>
        <v/>
      </c>
      <c r="R206" s="100">
        <f>IF(G206="","",EXP(LARGE(K206:P206,2)-MAX(K206:P206))/(EXP(K206-MAX(K206:P206))+EXP(L206-MAX(K206:P206))+EXP(M206-MAX(K206:P206))+EXP(N206-MAX(K206:P206))+EXP(O206-MAX(K206:P206))+EXP(P206-MAX(K206:P206))))</f>
        <v/>
      </c>
      <c r="S206" s="100">
        <f>IF(G206="","",Q206-R206)</f>
        <v/>
      </c>
      <c r="T206" s="98">
        <f>IF(G206="","",IF(AND(G206&gt;=H206-$B$6*I206,G206&lt;=H206+$B$6*I206),"OK","NG"))</f>
        <v/>
      </c>
      <c r="U206" s="69">
        <f>IF(T206="","",IF(T206=D206,1,0))</f>
        <v/>
      </c>
      <c r="V206" s="98">
        <f>IF(G206="","",IF(T206="OK","NONE",INDEX({"S1","S2","W1","W2","N1","N2"},MATCH(MAX(K206:P206),K206:P206,0))))</f>
        <v/>
      </c>
      <c r="W206" s="69">
        <f>IF(G206="","",IF(V206=E206,1,0))</f>
        <v/>
      </c>
      <c r="X206" s="115">
        <f>IF(G206="","",IF(AND(T206="NG",S206&lt;$B$7),"AMBIGUOUS","CONFIDENT"))</f>
        <v/>
      </c>
    </row>
    <row r="207">
      <c r="A207" s="102">
        <f>'Runs Z score'!A200</f>
        <v/>
      </c>
      <c r="B207" s="98">
        <f>'Runs Z score'!B200</f>
        <v/>
      </c>
      <c r="C207" s="98">
        <f>'Runs Z score'!C200</f>
        <v/>
      </c>
      <c r="D207" s="98">
        <f>'Runs Z score'!D200</f>
        <v/>
      </c>
      <c r="E207" s="98">
        <f>'Runs Z score'!E200</f>
        <v/>
      </c>
      <c r="F207" s="98">
        <f>'Runs Z score'!F200</f>
        <v/>
      </c>
      <c r="G207" s="99">
        <f>'Runs Z score'!G200</f>
        <v/>
      </c>
      <c r="H207" s="100">
        <f>VLOOKUP(C207,Recipes!$A$2:$N$4,10,FALSE())</f>
        <v/>
      </c>
      <c r="I207" s="101">
        <f>VLOOKUP(C207,Recipes!$A$2:$N$4,12,FALSE())</f>
        <v/>
      </c>
      <c r="J207" s="100">
        <f>IF(G207="","",H207-G207)</f>
        <v/>
      </c>
      <c r="K207" s="100">
        <f>IF(G207="","",-0.5*((J207-Components!$D$2)/Components!$E$2)^2)</f>
        <v/>
      </c>
      <c r="L207" s="100">
        <f>IF(G207="","",-0.5*((J207-Components!$D$3)/Components!$E$3)^2)</f>
        <v/>
      </c>
      <c r="M207" s="100">
        <f>IF(G207="","",-0.5*((J207-Components!$D$4)/Components!$E$4)^2)</f>
        <v/>
      </c>
      <c r="N207" s="100">
        <f>IF(G207="","",-0.5*((J207-Components!$D$5)/Components!$E$5)^2)</f>
        <v/>
      </c>
      <c r="O207" s="100">
        <f>IF(G207="","",-0.5*((J207-Components!$D$6)/Components!$E$6)^2)</f>
        <v/>
      </c>
      <c r="P207" s="100">
        <f>IF(G207="","",-0.5*((J207-Components!$D$7)/Components!$E$7)^2)</f>
        <v/>
      </c>
      <c r="Q207" s="100">
        <f>IF(G207="","",EXP(LARGE(K207:P207,1)-MAX(K207:P207))/(EXP(K207-MAX(K207:P207))+EXP(L207-MAX(K207:P207))+EXP(M207-MAX(K207:P207))+EXP(N207-MAX(K207:P207))+EXP(O207-MAX(K207:P207))+EXP(P207-MAX(K207:P207))))</f>
        <v/>
      </c>
      <c r="R207" s="100">
        <f>IF(G207="","",EXP(LARGE(K207:P207,2)-MAX(K207:P207))/(EXP(K207-MAX(K207:P207))+EXP(L207-MAX(K207:P207))+EXP(M207-MAX(K207:P207))+EXP(N207-MAX(K207:P207))+EXP(O207-MAX(K207:P207))+EXP(P207-MAX(K207:P207))))</f>
        <v/>
      </c>
      <c r="S207" s="100">
        <f>IF(G207="","",Q207-R207)</f>
        <v/>
      </c>
      <c r="T207" s="98">
        <f>IF(G207="","",IF(AND(G207&gt;=H207-$B$6*I207,G207&lt;=H207+$B$6*I207),"OK","NG"))</f>
        <v/>
      </c>
      <c r="U207" s="69">
        <f>IF(T207="","",IF(T207=D207,1,0))</f>
        <v/>
      </c>
      <c r="V207" s="98">
        <f>IF(G207="","",IF(T207="OK","NONE",INDEX({"S1","S2","W1","W2","N1","N2"},MATCH(MAX(K207:P207),K207:P207,0))))</f>
        <v/>
      </c>
      <c r="W207" s="69">
        <f>IF(G207="","",IF(V207=E207,1,0))</f>
        <v/>
      </c>
      <c r="X207" s="115">
        <f>IF(G207="","",IF(AND(T207="NG",S207&lt;$B$7),"AMBIGUOUS","CONFIDENT"))</f>
        <v/>
      </c>
    </row>
    <row r="208">
      <c r="A208" s="102">
        <f>'Runs Z score'!A201</f>
        <v/>
      </c>
      <c r="B208" s="98">
        <f>'Runs Z score'!B201</f>
        <v/>
      </c>
      <c r="C208" s="98">
        <f>'Runs Z score'!C201</f>
        <v/>
      </c>
      <c r="D208" s="98">
        <f>'Runs Z score'!D201</f>
        <v/>
      </c>
      <c r="E208" s="98">
        <f>'Runs Z score'!E201</f>
        <v/>
      </c>
      <c r="F208" s="98">
        <f>'Runs Z score'!F201</f>
        <v/>
      </c>
      <c r="G208" s="99">
        <f>'Runs Z score'!G201</f>
        <v/>
      </c>
      <c r="H208" s="100">
        <f>VLOOKUP(C208,Recipes!$A$2:$N$4,10,FALSE())</f>
        <v/>
      </c>
      <c r="I208" s="101">
        <f>VLOOKUP(C208,Recipes!$A$2:$N$4,12,FALSE())</f>
        <v/>
      </c>
      <c r="J208" s="100">
        <f>IF(G208="","",H208-G208)</f>
        <v/>
      </c>
      <c r="K208" s="100">
        <f>IF(G208="","",-0.5*((J208-Components!$D$2)/Components!$E$2)^2)</f>
        <v/>
      </c>
      <c r="L208" s="100">
        <f>IF(G208="","",-0.5*((J208-Components!$D$3)/Components!$E$3)^2)</f>
        <v/>
      </c>
      <c r="M208" s="100">
        <f>IF(G208="","",-0.5*((J208-Components!$D$4)/Components!$E$4)^2)</f>
        <v/>
      </c>
      <c r="N208" s="100">
        <f>IF(G208="","",-0.5*((J208-Components!$D$5)/Components!$E$5)^2)</f>
        <v/>
      </c>
      <c r="O208" s="100">
        <f>IF(G208="","",-0.5*((J208-Components!$D$6)/Components!$E$6)^2)</f>
        <v/>
      </c>
      <c r="P208" s="100">
        <f>IF(G208="","",-0.5*((J208-Components!$D$7)/Components!$E$7)^2)</f>
        <v/>
      </c>
      <c r="Q208" s="100">
        <f>IF(G208="","",EXP(LARGE(K208:P208,1)-MAX(K208:P208))/(EXP(K208-MAX(K208:P208))+EXP(L208-MAX(K208:P208))+EXP(M208-MAX(K208:P208))+EXP(N208-MAX(K208:P208))+EXP(O208-MAX(K208:P208))+EXP(P208-MAX(K208:P208))))</f>
        <v/>
      </c>
      <c r="R208" s="100">
        <f>IF(G208="","",EXP(LARGE(K208:P208,2)-MAX(K208:P208))/(EXP(K208-MAX(K208:P208))+EXP(L208-MAX(K208:P208))+EXP(M208-MAX(K208:P208))+EXP(N208-MAX(K208:P208))+EXP(O208-MAX(K208:P208))+EXP(P208-MAX(K208:P208))))</f>
        <v/>
      </c>
      <c r="S208" s="100">
        <f>IF(G208="","",Q208-R208)</f>
        <v/>
      </c>
      <c r="T208" s="98">
        <f>IF(G208="","",IF(AND(G208&gt;=H208-$B$6*I208,G208&lt;=H208+$B$6*I208),"OK","NG"))</f>
        <v/>
      </c>
      <c r="U208" s="69">
        <f>IF(T208="","",IF(T208=D208,1,0))</f>
        <v/>
      </c>
      <c r="V208" s="98">
        <f>IF(G208="","",IF(T208="OK","NONE",INDEX({"S1","S2","W1","W2","N1","N2"},MATCH(MAX(K208:P208),K208:P208,0))))</f>
        <v/>
      </c>
      <c r="W208" s="69">
        <f>IF(G208="","",IF(V208=E208,1,0))</f>
        <v/>
      </c>
      <c r="X208" s="115">
        <f>IF(G208="","",IF(AND(T208="NG",S208&lt;$B$7),"AMBIGUOUS","CONFIDENT"))</f>
        <v/>
      </c>
    </row>
    <row r="209">
      <c r="A209" s="102">
        <f>'Runs Z score'!A202</f>
        <v/>
      </c>
      <c r="B209" s="98">
        <f>'Runs Z score'!B202</f>
        <v/>
      </c>
      <c r="C209" s="98">
        <f>'Runs Z score'!C202</f>
        <v/>
      </c>
      <c r="D209" s="98">
        <f>'Runs Z score'!D202</f>
        <v/>
      </c>
      <c r="E209" s="98">
        <f>'Runs Z score'!E202</f>
        <v/>
      </c>
      <c r="F209" s="98">
        <f>'Runs Z score'!F202</f>
        <v/>
      </c>
      <c r="G209" s="99">
        <f>'Runs Z score'!G202</f>
        <v/>
      </c>
      <c r="H209" s="100">
        <f>VLOOKUP(C209,Recipes!$A$2:$N$4,10,FALSE())</f>
        <v/>
      </c>
      <c r="I209" s="101">
        <f>VLOOKUP(C209,Recipes!$A$2:$N$4,12,FALSE())</f>
        <v/>
      </c>
      <c r="J209" s="100">
        <f>IF(G209="","",H209-G209)</f>
        <v/>
      </c>
      <c r="K209" s="100">
        <f>IF(G209="","",-0.5*((J209-Components!$D$2)/Components!$E$2)^2)</f>
        <v/>
      </c>
      <c r="L209" s="100">
        <f>IF(G209="","",-0.5*((J209-Components!$D$3)/Components!$E$3)^2)</f>
        <v/>
      </c>
      <c r="M209" s="100">
        <f>IF(G209="","",-0.5*((J209-Components!$D$4)/Components!$E$4)^2)</f>
        <v/>
      </c>
      <c r="N209" s="100">
        <f>IF(G209="","",-0.5*((J209-Components!$D$5)/Components!$E$5)^2)</f>
        <v/>
      </c>
      <c r="O209" s="100">
        <f>IF(G209="","",-0.5*((J209-Components!$D$6)/Components!$E$6)^2)</f>
        <v/>
      </c>
      <c r="P209" s="100">
        <f>IF(G209="","",-0.5*((J209-Components!$D$7)/Components!$E$7)^2)</f>
        <v/>
      </c>
      <c r="Q209" s="100">
        <f>IF(G209="","",EXP(LARGE(K209:P209,1)-MAX(K209:P209))/(EXP(K209-MAX(K209:P209))+EXP(L209-MAX(K209:P209))+EXP(M209-MAX(K209:P209))+EXP(N209-MAX(K209:P209))+EXP(O209-MAX(K209:P209))+EXP(P209-MAX(K209:P209))))</f>
        <v/>
      </c>
      <c r="R209" s="100">
        <f>IF(G209="","",EXP(LARGE(K209:P209,2)-MAX(K209:P209))/(EXP(K209-MAX(K209:P209))+EXP(L209-MAX(K209:P209))+EXP(M209-MAX(K209:P209))+EXP(N209-MAX(K209:P209))+EXP(O209-MAX(K209:P209))+EXP(P209-MAX(K209:P209))))</f>
        <v/>
      </c>
      <c r="S209" s="100">
        <f>IF(G209="","",Q209-R209)</f>
        <v/>
      </c>
      <c r="T209" s="98">
        <f>IF(G209="","",IF(AND(G209&gt;=H209-$B$6*I209,G209&lt;=H209+$B$6*I209),"OK","NG"))</f>
        <v/>
      </c>
      <c r="U209" s="69">
        <f>IF(T209="","",IF(T209=D209,1,0))</f>
        <v/>
      </c>
      <c r="V209" s="98">
        <f>IF(G209="","",IF(T209="OK","NONE",INDEX({"S1","S2","W1","W2","N1","N2"},MATCH(MAX(K209:P209),K209:P209,0))))</f>
        <v/>
      </c>
      <c r="W209" s="69">
        <f>IF(G209="","",IF(V209=E209,1,0))</f>
        <v/>
      </c>
      <c r="X209" s="115">
        <f>IF(G209="","",IF(AND(T209="NG",S209&lt;$B$7),"AMBIGUOUS","CONFIDENT"))</f>
        <v/>
      </c>
    </row>
    <row r="210">
      <c r="A210" s="102">
        <f>'Runs Z score'!A203</f>
        <v/>
      </c>
      <c r="B210" s="98">
        <f>'Runs Z score'!B203</f>
        <v/>
      </c>
      <c r="C210" s="98">
        <f>'Runs Z score'!C203</f>
        <v/>
      </c>
      <c r="D210" s="98">
        <f>'Runs Z score'!D203</f>
        <v/>
      </c>
      <c r="E210" s="98">
        <f>'Runs Z score'!E203</f>
        <v/>
      </c>
      <c r="F210" s="98">
        <f>'Runs Z score'!F203</f>
        <v/>
      </c>
      <c r="G210" s="99">
        <f>'Runs Z score'!G203</f>
        <v/>
      </c>
      <c r="H210" s="100">
        <f>VLOOKUP(C210,Recipes!$A$2:$N$4,10,FALSE())</f>
        <v/>
      </c>
      <c r="I210" s="101">
        <f>VLOOKUP(C210,Recipes!$A$2:$N$4,12,FALSE())</f>
        <v/>
      </c>
      <c r="J210" s="100">
        <f>IF(G210="","",H210-G210)</f>
        <v/>
      </c>
      <c r="K210" s="100">
        <f>IF(G210="","",-0.5*((J210-Components!$D$2)/Components!$E$2)^2)</f>
        <v/>
      </c>
      <c r="L210" s="100">
        <f>IF(G210="","",-0.5*((J210-Components!$D$3)/Components!$E$3)^2)</f>
        <v/>
      </c>
      <c r="M210" s="100">
        <f>IF(G210="","",-0.5*((J210-Components!$D$4)/Components!$E$4)^2)</f>
        <v/>
      </c>
      <c r="N210" s="100">
        <f>IF(G210="","",-0.5*((J210-Components!$D$5)/Components!$E$5)^2)</f>
        <v/>
      </c>
      <c r="O210" s="100">
        <f>IF(G210="","",-0.5*((J210-Components!$D$6)/Components!$E$6)^2)</f>
        <v/>
      </c>
      <c r="P210" s="100">
        <f>IF(G210="","",-0.5*((J210-Components!$D$7)/Components!$E$7)^2)</f>
        <v/>
      </c>
      <c r="Q210" s="100">
        <f>IF(G210="","",EXP(LARGE(K210:P210,1)-MAX(K210:P210))/(EXP(K210-MAX(K210:P210))+EXP(L210-MAX(K210:P210))+EXP(M210-MAX(K210:P210))+EXP(N210-MAX(K210:P210))+EXP(O210-MAX(K210:P210))+EXP(P210-MAX(K210:P210))))</f>
        <v/>
      </c>
      <c r="R210" s="100">
        <f>IF(G210="","",EXP(LARGE(K210:P210,2)-MAX(K210:P210))/(EXP(K210-MAX(K210:P210))+EXP(L210-MAX(K210:P210))+EXP(M210-MAX(K210:P210))+EXP(N210-MAX(K210:P210))+EXP(O210-MAX(K210:P210))+EXP(P210-MAX(K210:P210))))</f>
        <v/>
      </c>
      <c r="S210" s="100">
        <f>IF(G210="","",Q210-R210)</f>
        <v/>
      </c>
      <c r="T210" s="98">
        <f>IF(G210="","",IF(AND(G210&gt;=H210-$B$6*I210,G210&lt;=H210+$B$6*I210),"OK","NG"))</f>
        <v/>
      </c>
      <c r="U210" s="69">
        <f>IF(T210="","",IF(T210=D210,1,0))</f>
        <v/>
      </c>
      <c r="V210" s="98">
        <f>IF(G210="","",IF(T210="OK","NONE",INDEX({"S1","S2","W1","W2","N1","N2"},MATCH(MAX(K210:P210),K210:P210,0))))</f>
        <v/>
      </c>
      <c r="W210" s="71">
        <f>IF(G210="","",IF(V210=E210,1,0))</f>
        <v/>
      </c>
      <c r="X210" s="115">
        <f>IF(G210="","",IF(AND(T210="NG",S210&lt;$B$7),"AMBIGUOUS","CONFIDENT"))</f>
        <v/>
      </c>
    </row>
    <row r="211">
      <c r="A211" s="102">
        <f>'Runs Z score'!A204</f>
        <v/>
      </c>
      <c r="B211" s="98">
        <f>'Runs Z score'!B204</f>
        <v/>
      </c>
      <c r="C211" s="98">
        <f>'Runs Z score'!C204</f>
        <v/>
      </c>
      <c r="D211" s="98">
        <f>'Runs Z score'!D204</f>
        <v/>
      </c>
      <c r="E211" s="98">
        <f>'Runs Z score'!E204</f>
        <v/>
      </c>
      <c r="F211" s="98">
        <f>'Runs Z score'!F204</f>
        <v/>
      </c>
      <c r="G211" s="99">
        <f>'Runs Z score'!G204</f>
        <v/>
      </c>
      <c r="H211" s="100">
        <f>VLOOKUP(C211,Recipes!$A$2:$N$4,10,FALSE())</f>
        <v/>
      </c>
      <c r="I211" s="101">
        <f>VLOOKUP(C211,Recipes!$A$2:$N$4,12,FALSE())</f>
        <v/>
      </c>
      <c r="J211" s="100">
        <f>IF(G211="","",H211-G211)</f>
        <v/>
      </c>
      <c r="K211" s="100">
        <f>IF(G211="","",-0.5*((J211-Components!$D$2)/Components!$E$2)^2)</f>
        <v/>
      </c>
      <c r="L211" s="100">
        <f>IF(G211="","",-0.5*((J211-Components!$D$3)/Components!$E$3)^2)</f>
        <v/>
      </c>
      <c r="M211" s="100">
        <f>IF(G211="","",-0.5*((J211-Components!$D$4)/Components!$E$4)^2)</f>
        <v/>
      </c>
      <c r="N211" s="100">
        <f>IF(G211="","",-0.5*((J211-Components!$D$5)/Components!$E$5)^2)</f>
        <v/>
      </c>
      <c r="O211" s="100">
        <f>IF(G211="","",-0.5*((J211-Components!$D$6)/Components!$E$6)^2)</f>
        <v/>
      </c>
      <c r="P211" s="100">
        <f>IF(G211="","",-0.5*((J211-Components!$D$7)/Components!$E$7)^2)</f>
        <v/>
      </c>
      <c r="Q211" s="100">
        <f>IF(G211="","",EXP(LARGE(K211:P211,1)-MAX(K211:P211))/(EXP(K211-MAX(K211:P211))+EXP(L211-MAX(K211:P211))+EXP(M211-MAX(K211:P211))+EXP(N211-MAX(K211:P211))+EXP(O211-MAX(K211:P211))+EXP(P211-MAX(K211:P211))))</f>
        <v/>
      </c>
      <c r="R211" s="100">
        <f>IF(G211="","",EXP(LARGE(K211:P211,2)-MAX(K211:P211))/(EXP(K211-MAX(K211:P211))+EXP(L211-MAX(K211:P211))+EXP(M211-MAX(K211:P211))+EXP(N211-MAX(K211:P211))+EXP(O211-MAX(K211:P211))+EXP(P211-MAX(K211:P211))))</f>
        <v/>
      </c>
      <c r="S211" s="100">
        <f>IF(G211="","",Q211-R211)</f>
        <v/>
      </c>
      <c r="T211" s="98">
        <f>IF(G211="","",IF(AND(G211&gt;=H211-$B$6*I211,G211&lt;=H211+$B$6*I211),"OK","NG"))</f>
        <v/>
      </c>
      <c r="U211" s="69">
        <f>IF(T211="","",IF(T211=D211,1,0))</f>
        <v/>
      </c>
      <c r="V211" s="98">
        <f>IF(G211="","",IF(T211="OK","NONE",INDEX({"S1","S2","W1","W2","N1","N2"},MATCH(MAX(K211:P211),K211:P211,0))))</f>
        <v/>
      </c>
      <c r="W211" s="69">
        <f>IF(G211="","",IF(V211=E211,1,0))</f>
        <v/>
      </c>
      <c r="X211" s="115">
        <f>IF(G211="","",IF(AND(T211="NG",S211&lt;$B$7),"AMBIGUOUS","CONFIDENT"))</f>
        <v/>
      </c>
    </row>
    <row r="212">
      <c r="A212" s="102">
        <f>'Runs Z score'!A205</f>
        <v/>
      </c>
      <c r="B212" s="98">
        <f>'Runs Z score'!B205</f>
        <v/>
      </c>
      <c r="C212" s="98">
        <f>'Runs Z score'!C205</f>
        <v/>
      </c>
      <c r="D212" s="98">
        <f>'Runs Z score'!D205</f>
        <v/>
      </c>
      <c r="E212" s="98">
        <f>'Runs Z score'!E205</f>
        <v/>
      </c>
      <c r="F212" s="98">
        <f>'Runs Z score'!F205</f>
        <v/>
      </c>
      <c r="G212" s="99">
        <f>'Runs Z score'!G205</f>
        <v/>
      </c>
      <c r="H212" s="100">
        <f>VLOOKUP(C212,Recipes!$A$2:$N$4,10,FALSE())</f>
        <v/>
      </c>
      <c r="I212" s="101">
        <f>VLOOKUP(C212,Recipes!$A$2:$N$4,12,FALSE())</f>
        <v/>
      </c>
      <c r="J212" s="100">
        <f>IF(G212="","",H212-G212)</f>
        <v/>
      </c>
      <c r="K212" s="100">
        <f>IF(G212="","",-0.5*((J212-Components!$D$2)/Components!$E$2)^2)</f>
        <v/>
      </c>
      <c r="L212" s="100">
        <f>IF(G212="","",-0.5*((J212-Components!$D$3)/Components!$E$3)^2)</f>
        <v/>
      </c>
      <c r="M212" s="100">
        <f>IF(G212="","",-0.5*((J212-Components!$D$4)/Components!$E$4)^2)</f>
        <v/>
      </c>
      <c r="N212" s="100">
        <f>IF(G212="","",-0.5*((J212-Components!$D$5)/Components!$E$5)^2)</f>
        <v/>
      </c>
      <c r="O212" s="100">
        <f>IF(G212="","",-0.5*((J212-Components!$D$6)/Components!$E$6)^2)</f>
        <v/>
      </c>
      <c r="P212" s="100">
        <f>IF(G212="","",-0.5*((J212-Components!$D$7)/Components!$E$7)^2)</f>
        <v/>
      </c>
      <c r="Q212" s="100">
        <f>IF(G212="","",EXP(LARGE(K212:P212,1)-MAX(K212:P212))/(EXP(K212-MAX(K212:P212))+EXP(L212-MAX(K212:P212))+EXP(M212-MAX(K212:P212))+EXP(N212-MAX(K212:P212))+EXP(O212-MAX(K212:P212))+EXP(P212-MAX(K212:P212))))</f>
        <v/>
      </c>
      <c r="R212" s="100">
        <f>IF(G212="","",EXP(LARGE(K212:P212,2)-MAX(K212:P212))/(EXP(K212-MAX(K212:P212))+EXP(L212-MAX(K212:P212))+EXP(M212-MAX(K212:P212))+EXP(N212-MAX(K212:P212))+EXP(O212-MAX(K212:P212))+EXP(P212-MAX(K212:P212))))</f>
        <v/>
      </c>
      <c r="S212" s="100">
        <f>IF(G212="","",Q212-R212)</f>
        <v/>
      </c>
      <c r="T212" s="98">
        <f>IF(G212="","",IF(AND(G212&gt;=H212-$B$6*I212,G212&lt;=H212+$B$6*I212),"OK","NG"))</f>
        <v/>
      </c>
      <c r="U212" s="69">
        <f>IF(T212="","",IF(T212=D212,1,0))</f>
        <v/>
      </c>
      <c r="V212" s="98">
        <f>IF(G212="","",IF(T212="OK","NONE",INDEX({"S1","S2","W1","W2","N1","N2"},MATCH(MAX(K212:P212),K212:P212,0))))</f>
        <v/>
      </c>
      <c r="W212" s="69">
        <f>IF(G212="","",IF(V212=E212,1,0))</f>
        <v/>
      </c>
      <c r="X212" s="115">
        <f>IF(G212="","",IF(AND(T212="NG",S212&lt;$B$7),"AMBIGUOUS","CONFIDENT"))</f>
        <v/>
      </c>
    </row>
    <row r="213">
      <c r="A213" s="102">
        <f>'Runs Z score'!A206</f>
        <v/>
      </c>
      <c r="B213" s="98">
        <f>'Runs Z score'!B206</f>
        <v/>
      </c>
      <c r="C213" s="98">
        <f>'Runs Z score'!C206</f>
        <v/>
      </c>
      <c r="D213" s="98">
        <f>'Runs Z score'!D206</f>
        <v/>
      </c>
      <c r="E213" s="98">
        <f>'Runs Z score'!E206</f>
        <v/>
      </c>
      <c r="F213" s="98">
        <f>'Runs Z score'!F206</f>
        <v/>
      </c>
      <c r="G213" s="99">
        <f>'Runs Z score'!G206</f>
        <v/>
      </c>
      <c r="H213" s="100">
        <f>VLOOKUP(C213,Recipes!$A$2:$N$4,10,FALSE())</f>
        <v/>
      </c>
      <c r="I213" s="101">
        <f>VLOOKUP(C213,Recipes!$A$2:$N$4,12,FALSE())</f>
        <v/>
      </c>
      <c r="J213" s="100">
        <f>IF(G213="","",H213-G213)</f>
        <v/>
      </c>
      <c r="K213" s="100">
        <f>IF(G213="","",-0.5*((J213-Components!$D$2)/Components!$E$2)^2)</f>
        <v/>
      </c>
      <c r="L213" s="100">
        <f>IF(G213="","",-0.5*((J213-Components!$D$3)/Components!$E$3)^2)</f>
        <v/>
      </c>
      <c r="M213" s="100">
        <f>IF(G213="","",-0.5*((J213-Components!$D$4)/Components!$E$4)^2)</f>
        <v/>
      </c>
      <c r="N213" s="100">
        <f>IF(G213="","",-0.5*((J213-Components!$D$5)/Components!$E$5)^2)</f>
        <v/>
      </c>
      <c r="O213" s="100">
        <f>IF(G213="","",-0.5*((J213-Components!$D$6)/Components!$E$6)^2)</f>
        <v/>
      </c>
      <c r="P213" s="100">
        <f>IF(G213="","",-0.5*((J213-Components!$D$7)/Components!$E$7)^2)</f>
        <v/>
      </c>
      <c r="Q213" s="100">
        <f>IF(G213="","",EXP(LARGE(K213:P213,1)-MAX(K213:P213))/(EXP(K213-MAX(K213:P213))+EXP(L213-MAX(K213:P213))+EXP(M213-MAX(K213:P213))+EXP(N213-MAX(K213:P213))+EXP(O213-MAX(K213:P213))+EXP(P213-MAX(K213:P213))))</f>
        <v/>
      </c>
      <c r="R213" s="100">
        <f>IF(G213="","",EXP(LARGE(K213:P213,2)-MAX(K213:P213))/(EXP(K213-MAX(K213:P213))+EXP(L213-MAX(K213:P213))+EXP(M213-MAX(K213:P213))+EXP(N213-MAX(K213:P213))+EXP(O213-MAX(K213:P213))+EXP(P213-MAX(K213:P213))))</f>
        <v/>
      </c>
      <c r="S213" s="100">
        <f>IF(G213="","",Q213-R213)</f>
        <v/>
      </c>
      <c r="T213" s="98">
        <f>IF(G213="","",IF(AND(G213&gt;=H213-$B$6*I213,G213&lt;=H213+$B$6*I213),"OK","NG"))</f>
        <v/>
      </c>
      <c r="U213" s="69">
        <f>IF(T213="","",IF(T213=D213,1,0))</f>
        <v/>
      </c>
      <c r="V213" s="98">
        <f>IF(G213="","",IF(T213="OK","NONE",INDEX({"S1","S2","W1","W2","N1","N2"},MATCH(MAX(K213:P213),K213:P213,0))))</f>
        <v/>
      </c>
      <c r="W213" s="69">
        <f>IF(G213="","",IF(V213=E213,1,0))</f>
        <v/>
      </c>
      <c r="X213" s="115">
        <f>IF(G213="","",IF(AND(T213="NG",S213&lt;$B$7),"AMBIGUOUS","CONFIDENT"))</f>
        <v/>
      </c>
    </row>
    <row r="214">
      <c r="A214" s="102">
        <f>'Runs Z score'!A207</f>
        <v/>
      </c>
      <c r="B214" s="98">
        <f>'Runs Z score'!B207</f>
        <v/>
      </c>
      <c r="C214" s="98">
        <f>'Runs Z score'!C207</f>
        <v/>
      </c>
      <c r="D214" s="98">
        <f>'Runs Z score'!D207</f>
        <v/>
      </c>
      <c r="E214" s="98">
        <f>'Runs Z score'!E207</f>
        <v/>
      </c>
      <c r="F214" s="98">
        <f>'Runs Z score'!F207</f>
        <v/>
      </c>
      <c r="G214" s="99">
        <f>'Runs Z score'!G207</f>
        <v/>
      </c>
      <c r="H214" s="100">
        <f>VLOOKUP(C214,Recipes!$A$2:$N$4,10,FALSE())</f>
        <v/>
      </c>
      <c r="I214" s="101">
        <f>VLOOKUP(C214,Recipes!$A$2:$N$4,12,FALSE())</f>
        <v/>
      </c>
      <c r="J214" s="100">
        <f>IF(G214="","",H214-G214)</f>
        <v/>
      </c>
      <c r="K214" s="100">
        <f>IF(G214="","",-0.5*((J214-Components!$D$2)/Components!$E$2)^2)</f>
        <v/>
      </c>
      <c r="L214" s="100">
        <f>IF(G214="","",-0.5*((J214-Components!$D$3)/Components!$E$3)^2)</f>
        <v/>
      </c>
      <c r="M214" s="100">
        <f>IF(G214="","",-0.5*((J214-Components!$D$4)/Components!$E$4)^2)</f>
        <v/>
      </c>
      <c r="N214" s="100">
        <f>IF(G214="","",-0.5*((J214-Components!$D$5)/Components!$E$5)^2)</f>
        <v/>
      </c>
      <c r="O214" s="100">
        <f>IF(G214="","",-0.5*((J214-Components!$D$6)/Components!$E$6)^2)</f>
        <v/>
      </c>
      <c r="P214" s="100">
        <f>IF(G214="","",-0.5*((J214-Components!$D$7)/Components!$E$7)^2)</f>
        <v/>
      </c>
      <c r="Q214" s="100">
        <f>IF(G214="","",EXP(LARGE(K214:P214,1)-MAX(K214:P214))/(EXP(K214-MAX(K214:P214))+EXP(L214-MAX(K214:P214))+EXP(M214-MAX(K214:P214))+EXP(N214-MAX(K214:P214))+EXP(O214-MAX(K214:P214))+EXP(P214-MAX(K214:P214))))</f>
        <v/>
      </c>
      <c r="R214" s="100">
        <f>IF(G214="","",EXP(LARGE(K214:P214,2)-MAX(K214:P214))/(EXP(K214-MAX(K214:P214))+EXP(L214-MAX(K214:P214))+EXP(M214-MAX(K214:P214))+EXP(N214-MAX(K214:P214))+EXP(O214-MAX(K214:P214))+EXP(P214-MAX(K214:P214))))</f>
        <v/>
      </c>
      <c r="S214" s="100">
        <f>IF(G214="","",Q214-R214)</f>
        <v/>
      </c>
      <c r="T214" s="98">
        <f>IF(G214="","",IF(AND(G214&gt;=H214-$B$6*I214,G214&lt;=H214+$B$6*I214),"OK","NG"))</f>
        <v/>
      </c>
      <c r="U214" s="69">
        <f>IF(T214="","",IF(T214=D214,1,0))</f>
        <v/>
      </c>
      <c r="V214" s="98">
        <f>IF(G214="","",IF(T214="OK","NONE",INDEX({"S1","S2","W1","W2","N1","N2"},MATCH(MAX(K214:P214),K214:P214,0))))</f>
        <v/>
      </c>
      <c r="W214" s="69">
        <f>IF(G214="","",IF(V214=E214,1,0))</f>
        <v/>
      </c>
      <c r="X214" s="115">
        <f>IF(G214="","",IF(AND(T214="NG",S214&lt;$B$7),"AMBIGUOUS","CONFIDENT"))</f>
        <v/>
      </c>
    </row>
    <row r="215">
      <c r="A215" s="102">
        <f>'Runs Z score'!A208</f>
        <v/>
      </c>
      <c r="B215" s="98">
        <f>'Runs Z score'!B208</f>
        <v/>
      </c>
      <c r="C215" s="98">
        <f>'Runs Z score'!C208</f>
        <v/>
      </c>
      <c r="D215" s="98">
        <f>'Runs Z score'!D208</f>
        <v/>
      </c>
      <c r="E215" s="98">
        <f>'Runs Z score'!E208</f>
        <v/>
      </c>
      <c r="F215" s="98">
        <f>'Runs Z score'!F208</f>
        <v/>
      </c>
      <c r="G215" s="99">
        <f>'Runs Z score'!G208</f>
        <v/>
      </c>
      <c r="H215" s="100">
        <f>VLOOKUP(C215,Recipes!$A$2:$N$4,10,FALSE())</f>
        <v/>
      </c>
      <c r="I215" s="101">
        <f>VLOOKUP(C215,Recipes!$A$2:$N$4,12,FALSE())</f>
        <v/>
      </c>
      <c r="J215" s="100">
        <f>IF(G215="","",H215-G215)</f>
        <v/>
      </c>
      <c r="K215" s="100">
        <f>IF(G215="","",-0.5*((J215-Components!$D$2)/Components!$E$2)^2)</f>
        <v/>
      </c>
      <c r="L215" s="100">
        <f>IF(G215="","",-0.5*((J215-Components!$D$3)/Components!$E$3)^2)</f>
        <v/>
      </c>
      <c r="M215" s="100">
        <f>IF(G215="","",-0.5*((J215-Components!$D$4)/Components!$E$4)^2)</f>
        <v/>
      </c>
      <c r="N215" s="100">
        <f>IF(G215="","",-0.5*((J215-Components!$D$5)/Components!$E$5)^2)</f>
        <v/>
      </c>
      <c r="O215" s="100">
        <f>IF(G215="","",-0.5*((J215-Components!$D$6)/Components!$E$6)^2)</f>
        <v/>
      </c>
      <c r="P215" s="100">
        <f>IF(G215="","",-0.5*((J215-Components!$D$7)/Components!$E$7)^2)</f>
        <v/>
      </c>
      <c r="Q215" s="100">
        <f>IF(G215="","",EXP(LARGE(K215:P215,1)-MAX(K215:P215))/(EXP(K215-MAX(K215:P215))+EXP(L215-MAX(K215:P215))+EXP(M215-MAX(K215:P215))+EXP(N215-MAX(K215:P215))+EXP(O215-MAX(K215:P215))+EXP(P215-MAX(K215:P215))))</f>
        <v/>
      </c>
      <c r="R215" s="100">
        <f>IF(G215="","",EXP(LARGE(K215:P215,2)-MAX(K215:P215))/(EXP(K215-MAX(K215:P215))+EXP(L215-MAX(K215:P215))+EXP(M215-MAX(K215:P215))+EXP(N215-MAX(K215:P215))+EXP(O215-MAX(K215:P215))+EXP(P215-MAX(K215:P215))))</f>
        <v/>
      </c>
      <c r="S215" s="100">
        <f>IF(G215="","",Q215-R215)</f>
        <v/>
      </c>
      <c r="T215" s="98">
        <f>IF(G215="","",IF(AND(G215&gt;=H215-$B$6*I215,G215&lt;=H215+$B$6*I215),"OK","NG"))</f>
        <v/>
      </c>
      <c r="U215" s="69">
        <f>IF(T215="","",IF(T215=D215,1,0))</f>
        <v/>
      </c>
      <c r="V215" s="98">
        <f>IF(G215="","",IF(T215="OK","NONE",INDEX({"S1","S2","W1","W2","N1","N2"},MATCH(MAX(K215:P215),K215:P215,0))))</f>
        <v/>
      </c>
      <c r="W215" s="69">
        <f>IF(G215="","",IF(V215=E215,1,0))</f>
        <v/>
      </c>
      <c r="X215" s="115">
        <f>IF(G215="","",IF(AND(T215="NG",S215&lt;$B$7),"AMBIGUOUS","CONFIDENT"))</f>
        <v/>
      </c>
    </row>
    <row r="216">
      <c r="A216" s="102">
        <f>'Runs Z score'!A209</f>
        <v/>
      </c>
      <c r="B216" s="98">
        <f>'Runs Z score'!B209</f>
        <v/>
      </c>
      <c r="C216" s="98">
        <f>'Runs Z score'!C209</f>
        <v/>
      </c>
      <c r="D216" s="98">
        <f>'Runs Z score'!D209</f>
        <v/>
      </c>
      <c r="E216" s="98">
        <f>'Runs Z score'!E209</f>
        <v/>
      </c>
      <c r="F216" s="98">
        <f>'Runs Z score'!F209</f>
        <v/>
      </c>
      <c r="G216" s="99">
        <f>'Runs Z score'!G209</f>
        <v/>
      </c>
      <c r="H216" s="100">
        <f>VLOOKUP(C216,Recipes!$A$2:$N$4,10,FALSE())</f>
        <v/>
      </c>
      <c r="I216" s="101">
        <f>VLOOKUP(C216,Recipes!$A$2:$N$4,12,FALSE())</f>
        <v/>
      </c>
      <c r="J216" s="100">
        <f>IF(G216="","",H216-G216)</f>
        <v/>
      </c>
      <c r="K216" s="100">
        <f>IF(G216="","",-0.5*((J216-Components!$D$2)/Components!$E$2)^2)</f>
        <v/>
      </c>
      <c r="L216" s="100">
        <f>IF(G216="","",-0.5*((J216-Components!$D$3)/Components!$E$3)^2)</f>
        <v/>
      </c>
      <c r="M216" s="100">
        <f>IF(G216="","",-0.5*((J216-Components!$D$4)/Components!$E$4)^2)</f>
        <v/>
      </c>
      <c r="N216" s="100">
        <f>IF(G216="","",-0.5*((J216-Components!$D$5)/Components!$E$5)^2)</f>
        <v/>
      </c>
      <c r="O216" s="100">
        <f>IF(G216="","",-0.5*((J216-Components!$D$6)/Components!$E$6)^2)</f>
        <v/>
      </c>
      <c r="P216" s="100">
        <f>IF(G216="","",-0.5*((J216-Components!$D$7)/Components!$E$7)^2)</f>
        <v/>
      </c>
      <c r="Q216" s="100">
        <f>IF(G216="","",EXP(LARGE(K216:P216,1)-MAX(K216:P216))/(EXP(K216-MAX(K216:P216))+EXP(L216-MAX(K216:P216))+EXP(M216-MAX(K216:P216))+EXP(N216-MAX(K216:P216))+EXP(O216-MAX(K216:P216))+EXP(P216-MAX(K216:P216))))</f>
        <v/>
      </c>
      <c r="R216" s="100">
        <f>IF(G216="","",EXP(LARGE(K216:P216,2)-MAX(K216:P216))/(EXP(K216-MAX(K216:P216))+EXP(L216-MAX(K216:P216))+EXP(M216-MAX(K216:P216))+EXP(N216-MAX(K216:P216))+EXP(O216-MAX(K216:P216))+EXP(P216-MAX(K216:P216))))</f>
        <v/>
      </c>
      <c r="S216" s="100">
        <f>IF(G216="","",Q216-R216)</f>
        <v/>
      </c>
      <c r="T216" s="98">
        <f>IF(G216="","",IF(AND(G216&gt;=H216-$B$6*I216,G216&lt;=H216+$B$6*I216),"OK","NG"))</f>
        <v/>
      </c>
      <c r="U216" s="69">
        <f>IF(T216="","",IF(T216=D216,1,0))</f>
        <v/>
      </c>
      <c r="V216" s="98">
        <f>IF(G216="","",IF(T216="OK","NONE",INDEX({"S1","S2","W1","W2","N1","N2"},MATCH(MAX(K216:P216),K216:P216,0))))</f>
        <v/>
      </c>
      <c r="W216" s="69">
        <f>IF(G216="","",IF(V216=E216,1,0))</f>
        <v/>
      </c>
      <c r="X216" s="115">
        <f>IF(G216="","",IF(AND(T216="NG",S216&lt;$B$7),"AMBIGUOUS","CONFIDENT"))</f>
        <v/>
      </c>
    </row>
    <row r="217">
      <c r="A217" s="102">
        <f>'Runs Z score'!A210</f>
        <v/>
      </c>
      <c r="B217" s="98">
        <f>'Runs Z score'!B210</f>
        <v/>
      </c>
      <c r="C217" s="98">
        <f>'Runs Z score'!C210</f>
        <v/>
      </c>
      <c r="D217" s="98">
        <f>'Runs Z score'!D210</f>
        <v/>
      </c>
      <c r="E217" s="98">
        <f>'Runs Z score'!E210</f>
        <v/>
      </c>
      <c r="F217" s="98">
        <f>'Runs Z score'!F210</f>
        <v/>
      </c>
      <c r="G217" s="99">
        <f>'Runs Z score'!G210</f>
        <v/>
      </c>
      <c r="H217" s="100">
        <f>VLOOKUP(C217,Recipes!$A$2:$N$4,10,FALSE())</f>
        <v/>
      </c>
      <c r="I217" s="101">
        <f>VLOOKUP(C217,Recipes!$A$2:$N$4,12,FALSE())</f>
        <v/>
      </c>
      <c r="J217" s="100">
        <f>IF(G217="","",H217-G217)</f>
        <v/>
      </c>
      <c r="K217" s="100">
        <f>IF(G217="","",-0.5*((J217-Components!$D$2)/Components!$E$2)^2)</f>
        <v/>
      </c>
      <c r="L217" s="100">
        <f>IF(G217="","",-0.5*((J217-Components!$D$3)/Components!$E$3)^2)</f>
        <v/>
      </c>
      <c r="M217" s="100">
        <f>IF(G217="","",-0.5*((J217-Components!$D$4)/Components!$E$4)^2)</f>
        <v/>
      </c>
      <c r="N217" s="100">
        <f>IF(G217="","",-0.5*((J217-Components!$D$5)/Components!$E$5)^2)</f>
        <v/>
      </c>
      <c r="O217" s="100">
        <f>IF(G217="","",-0.5*((J217-Components!$D$6)/Components!$E$6)^2)</f>
        <v/>
      </c>
      <c r="P217" s="100">
        <f>IF(G217="","",-0.5*((J217-Components!$D$7)/Components!$E$7)^2)</f>
        <v/>
      </c>
      <c r="Q217" s="100">
        <f>IF(G217="","",EXP(LARGE(K217:P217,1)-MAX(K217:P217))/(EXP(K217-MAX(K217:P217))+EXP(L217-MAX(K217:P217))+EXP(M217-MAX(K217:P217))+EXP(N217-MAX(K217:P217))+EXP(O217-MAX(K217:P217))+EXP(P217-MAX(K217:P217))))</f>
        <v/>
      </c>
      <c r="R217" s="100">
        <f>IF(G217="","",EXP(LARGE(K217:P217,2)-MAX(K217:P217))/(EXP(K217-MAX(K217:P217))+EXP(L217-MAX(K217:P217))+EXP(M217-MAX(K217:P217))+EXP(N217-MAX(K217:P217))+EXP(O217-MAX(K217:P217))+EXP(P217-MAX(K217:P217))))</f>
        <v/>
      </c>
      <c r="S217" s="100">
        <f>IF(G217="","",Q217-R217)</f>
        <v/>
      </c>
      <c r="T217" s="98">
        <f>IF(G217="","",IF(AND(G217&gt;=H217-$B$6*I217,G217&lt;=H217+$B$6*I217),"OK","NG"))</f>
        <v/>
      </c>
      <c r="U217" s="69">
        <f>IF(T217="","",IF(T217=D217,1,0))</f>
        <v/>
      </c>
      <c r="V217" s="98">
        <f>IF(G217="","",IF(T217="OK","NONE",INDEX({"S1","S2","W1","W2","N1","N2"},MATCH(MAX(K217:P217),K217:P217,0))))</f>
        <v/>
      </c>
      <c r="W217" s="71">
        <f>IF(G217="","",IF(V217=E217,1,0))</f>
        <v/>
      </c>
      <c r="X217" s="115">
        <f>IF(G217="","",IF(AND(T217="NG",S217&lt;$B$7),"AMBIGUOUS","CONFIDENT"))</f>
        <v/>
      </c>
    </row>
    <row r="218">
      <c r="A218" s="102">
        <f>'Runs Z score'!A211</f>
        <v/>
      </c>
      <c r="B218" s="98">
        <f>'Runs Z score'!B211</f>
        <v/>
      </c>
      <c r="C218" s="98">
        <f>'Runs Z score'!C211</f>
        <v/>
      </c>
      <c r="D218" s="98">
        <f>'Runs Z score'!D211</f>
        <v/>
      </c>
      <c r="E218" s="98">
        <f>'Runs Z score'!E211</f>
        <v/>
      </c>
      <c r="F218" s="98">
        <f>'Runs Z score'!F211</f>
        <v/>
      </c>
      <c r="G218" s="99">
        <f>'Runs Z score'!G211</f>
        <v/>
      </c>
      <c r="H218" s="100">
        <f>VLOOKUP(C218,Recipes!$A$2:$N$4,10,FALSE())</f>
        <v/>
      </c>
      <c r="I218" s="101">
        <f>VLOOKUP(C218,Recipes!$A$2:$N$4,12,FALSE())</f>
        <v/>
      </c>
      <c r="J218" s="100">
        <f>IF(G218="","",H218-G218)</f>
        <v/>
      </c>
      <c r="K218" s="100">
        <f>IF(G218="","",-0.5*((J218-Components!$D$2)/Components!$E$2)^2)</f>
        <v/>
      </c>
      <c r="L218" s="100">
        <f>IF(G218="","",-0.5*((J218-Components!$D$3)/Components!$E$3)^2)</f>
        <v/>
      </c>
      <c r="M218" s="100">
        <f>IF(G218="","",-0.5*((J218-Components!$D$4)/Components!$E$4)^2)</f>
        <v/>
      </c>
      <c r="N218" s="100">
        <f>IF(G218="","",-0.5*((J218-Components!$D$5)/Components!$E$5)^2)</f>
        <v/>
      </c>
      <c r="O218" s="100">
        <f>IF(G218="","",-0.5*((J218-Components!$D$6)/Components!$E$6)^2)</f>
        <v/>
      </c>
      <c r="P218" s="100">
        <f>IF(G218="","",-0.5*((J218-Components!$D$7)/Components!$E$7)^2)</f>
        <v/>
      </c>
      <c r="Q218" s="100">
        <f>IF(G218="","",EXP(LARGE(K218:P218,1)-MAX(K218:P218))/(EXP(K218-MAX(K218:P218))+EXP(L218-MAX(K218:P218))+EXP(M218-MAX(K218:P218))+EXP(N218-MAX(K218:P218))+EXP(O218-MAX(K218:P218))+EXP(P218-MAX(K218:P218))))</f>
        <v/>
      </c>
      <c r="R218" s="100">
        <f>IF(G218="","",EXP(LARGE(K218:P218,2)-MAX(K218:P218))/(EXP(K218-MAX(K218:P218))+EXP(L218-MAX(K218:P218))+EXP(M218-MAX(K218:P218))+EXP(N218-MAX(K218:P218))+EXP(O218-MAX(K218:P218))+EXP(P218-MAX(K218:P218))))</f>
        <v/>
      </c>
      <c r="S218" s="100">
        <f>IF(G218="","",Q218-R218)</f>
        <v/>
      </c>
      <c r="T218" s="98">
        <f>IF(G218="","",IF(AND(G218&gt;=H218-$B$6*I218,G218&lt;=H218+$B$6*I218),"OK","NG"))</f>
        <v/>
      </c>
      <c r="U218" s="69">
        <f>IF(T218="","",IF(T218=D218,1,0))</f>
        <v/>
      </c>
      <c r="V218" s="98">
        <f>IF(G218="","",IF(T218="OK","NONE",INDEX({"S1","S2","W1","W2","N1","N2"},MATCH(MAX(K218:P218),K218:P218,0))))</f>
        <v/>
      </c>
      <c r="W218" s="71">
        <f>IF(G218="","",IF(V218=E218,1,0))</f>
        <v/>
      </c>
      <c r="X218" s="115">
        <f>IF(G218="","",IF(AND(T218="NG",S218&lt;$B$7),"AMBIGUOUS","CONFIDENT"))</f>
        <v/>
      </c>
    </row>
    <row r="219">
      <c r="A219" s="102">
        <f>'Runs Z score'!A212</f>
        <v/>
      </c>
      <c r="B219" s="98">
        <f>'Runs Z score'!B212</f>
        <v/>
      </c>
      <c r="C219" s="98">
        <f>'Runs Z score'!C212</f>
        <v/>
      </c>
      <c r="D219" s="98">
        <f>'Runs Z score'!D212</f>
        <v/>
      </c>
      <c r="E219" s="98">
        <f>'Runs Z score'!E212</f>
        <v/>
      </c>
      <c r="F219" s="98">
        <f>'Runs Z score'!F212</f>
        <v/>
      </c>
      <c r="G219" s="99">
        <f>'Runs Z score'!G212</f>
        <v/>
      </c>
      <c r="H219" s="100">
        <f>VLOOKUP(C219,Recipes!$A$2:$N$4,10,FALSE())</f>
        <v/>
      </c>
      <c r="I219" s="101">
        <f>VLOOKUP(C219,Recipes!$A$2:$N$4,12,FALSE())</f>
        <v/>
      </c>
      <c r="J219" s="100">
        <f>IF(G219="","",H219-G219)</f>
        <v/>
      </c>
      <c r="K219" s="100">
        <f>IF(G219="","",-0.5*((J219-Components!$D$2)/Components!$E$2)^2)</f>
        <v/>
      </c>
      <c r="L219" s="100">
        <f>IF(G219="","",-0.5*((J219-Components!$D$3)/Components!$E$3)^2)</f>
        <v/>
      </c>
      <c r="M219" s="100">
        <f>IF(G219="","",-0.5*((J219-Components!$D$4)/Components!$E$4)^2)</f>
        <v/>
      </c>
      <c r="N219" s="100">
        <f>IF(G219="","",-0.5*((J219-Components!$D$5)/Components!$E$5)^2)</f>
        <v/>
      </c>
      <c r="O219" s="100">
        <f>IF(G219="","",-0.5*((J219-Components!$D$6)/Components!$E$6)^2)</f>
        <v/>
      </c>
      <c r="P219" s="100">
        <f>IF(G219="","",-0.5*((J219-Components!$D$7)/Components!$E$7)^2)</f>
        <v/>
      </c>
      <c r="Q219" s="100">
        <f>IF(G219="","",EXP(LARGE(K219:P219,1)-MAX(K219:P219))/(EXP(K219-MAX(K219:P219))+EXP(L219-MAX(K219:P219))+EXP(M219-MAX(K219:P219))+EXP(N219-MAX(K219:P219))+EXP(O219-MAX(K219:P219))+EXP(P219-MAX(K219:P219))))</f>
        <v/>
      </c>
      <c r="R219" s="100">
        <f>IF(G219="","",EXP(LARGE(K219:P219,2)-MAX(K219:P219))/(EXP(K219-MAX(K219:P219))+EXP(L219-MAX(K219:P219))+EXP(M219-MAX(K219:P219))+EXP(N219-MAX(K219:P219))+EXP(O219-MAX(K219:P219))+EXP(P219-MAX(K219:P219))))</f>
        <v/>
      </c>
      <c r="S219" s="100">
        <f>IF(G219="","",Q219-R219)</f>
        <v/>
      </c>
      <c r="T219" s="98">
        <f>IF(G219="","",IF(AND(G219&gt;=H219-$B$6*I219,G219&lt;=H219+$B$6*I219),"OK","NG"))</f>
        <v/>
      </c>
      <c r="U219" s="69">
        <f>IF(T219="","",IF(T219=D219,1,0))</f>
        <v/>
      </c>
      <c r="V219" s="98">
        <f>IF(G219="","",IF(T219="OK","NONE",INDEX({"S1","S2","W1","W2","N1","N2"},MATCH(MAX(K219:P219),K219:P219,0))))</f>
        <v/>
      </c>
      <c r="W219" s="69">
        <f>IF(G219="","",IF(V219=E219,1,0))</f>
        <v/>
      </c>
      <c r="X219" s="115">
        <f>IF(G219="","",IF(AND(T219="NG",S219&lt;$B$7),"AMBIGUOUS","CONFIDENT"))</f>
        <v/>
      </c>
    </row>
    <row r="220">
      <c r="A220" s="102">
        <f>'Runs Z score'!A213</f>
        <v/>
      </c>
      <c r="B220" s="98">
        <f>'Runs Z score'!B213</f>
        <v/>
      </c>
      <c r="C220" s="98">
        <f>'Runs Z score'!C213</f>
        <v/>
      </c>
      <c r="D220" s="98">
        <f>'Runs Z score'!D213</f>
        <v/>
      </c>
      <c r="E220" s="98">
        <f>'Runs Z score'!E213</f>
        <v/>
      </c>
      <c r="F220" s="98">
        <f>'Runs Z score'!F213</f>
        <v/>
      </c>
      <c r="G220" s="99">
        <f>'Runs Z score'!G213</f>
        <v/>
      </c>
      <c r="H220" s="100">
        <f>VLOOKUP(C220,Recipes!$A$2:$N$4,10,FALSE())</f>
        <v/>
      </c>
      <c r="I220" s="101">
        <f>VLOOKUP(C220,Recipes!$A$2:$N$4,12,FALSE())</f>
        <v/>
      </c>
      <c r="J220" s="100">
        <f>IF(G220="","",H220-G220)</f>
        <v/>
      </c>
      <c r="K220" s="100">
        <f>IF(G220="","",-0.5*((J220-Components!$D$2)/Components!$E$2)^2)</f>
        <v/>
      </c>
      <c r="L220" s="100">
        <f>IF(G220="","",-0.5*((J220-Components!$D$3)/Components!$E$3)^2)</f>
        <v/>
      </c>
      <c r="M220" s="100">
        <f>IF(G220="","",-0.5*((J220-Components!$D$4)/Components!$E$4)^2)</f>
        <v/>
      </c>
      <c r="N220" s="100">
        <f>IF(G220="","",-0.5*((J220-Components!$D$5)/Components!$E$5)^2)</f>
        <v/>
      </c>
      <c r="O220" s="100">
        <f>IF(G220="","",-0.5*((J220-Components!$D$6)/Components!$E$6)^2)</f>
        <v/>
      </c>
      <c r="P220" s="100">
        <f>IF(G220="","",-0.5*((J220-Components!$D$7)/Components!$E$7)^2)</f>
        <v/>
      </c>
      <c r="Q220" s="100">
        <f>IF(G220="","",EXP(LARGE(K220:P220,1)-MAX(K220:P220))/(EXP(K220-MAX(K220:P220))+EXP(L220-MAX(K220:P220))+EXP(M220-MAX(K220:P220))+EXP(N220-MAX(K220:P220))+EXP(O220-MAX(K220:P220))+EXP(P220-MAX(K220:P220))))</f>
        <v/>
      </c>
      <c r="R220" s="100">
        <f>IF(G220="","",EXP(LARGE(K220:P220,2)-MAX(K220:P220))/(EXP(K220-MAX(K220:P220))+EXP(L220-MAX(K220:P220))+EXP(M220-MAX(K220:P220))+EXP(N220-MAX(K220:P220))+EXP(O220-MAX(K220:P220))+EXP(P220-MAX(K220:P220))))</f>
        <v/>
      </c>
      <c r="S220" s="100">
        <f>IF(G220="","",Q220-R220)</f>
        <v/>
      </c>
      <c r="T220" s="98">
        <f>IF(G220="","",IF(AND(G220&gt;=H220-$B$6*I220,G220&lt;=H220+$B$6*I220),"OK","NG"))</f>
        <v/>
      </c>
      <c r="U220" s="69">
        <f>IF(T220="","",IF(T220=D220,1,0))</f>
        <v/>
      </c>
      <c r="V220" s="98">
        <f>IF(G220="","",IF(T220="OK","NONE",INDEX({"S1","S2","W1","W2","N1","N2"},MATCH(MAX(K220:P220),K220:P220,0))))</f>
        <v/>
      </c>
      <c r="W220" s="69">
        <f>IF(G220="","",IF(V220=E220,1,0))</f>
        <v/>
      </c>
      <c r="X220" s="115">
        <f>IF(G220="","",IF(AND(T220="NG",S220&lt;$B$7),"AMBIGUOUS","CONFIDENT"))</f>
        <v/>
      </c>
    </row>
    <row r="221">
      <c r="A221" s="102">
        <f>'Runs Z score'!A214</f>
        <v/>
      </c>
      <c r="B221" s="98">
        <f>'Runs Z score'!B214</f>
        <v/>
      </c>
      <c r="C221" s="98">
        <f>'Runs Z score'!C214</f>
        <v/>
      </c>
      <c r="D221" s="98">
        <f>'Runs Z score'!D214</f>
        <v/>
      </c>
      <c r="E221" s="98">
        <f>'Runs Z score'!E214</f>
        <v/>
      </c>
      <c r="F221" s="98">
        <f>'Runs Z score'!F214</f>
        <v/>
      </c>
      <c r="G221" s="99">
        <f>'Runs Z score'!G214</f>
        <v/>
      </c>
      <c r="H221" s="100">
        <f>VLOOKUP(C221,Recipes!$A$2:$N$4,10,FALSE())</f>
        <v/>
      </c>
      <c r="I221" s="101">
        <f>VLOOKUP(C221,Recipes!$A$2:$N$4,12,FALSE())</f>
        <v/>
      </c>
      <c r="J221" s="100">
        <f>IF(G221="","",H221-G221)</f>
        <v/>
      </c>
      <c r="K221" s="100">
        <f>IF(G221="","",-0.5*((J221-Components!$D$2)/Components!$E$2)^2)</f>
        <v/>
      </c>
      <c r="L221" s="100">
        <f>IF(G221="","",-0.5*((J221-Components!$D$3)/Components!$E$3)^2)</f>
        <v/>
      </c>
      <c r="M221" s="100">
        <f>IF(G221="","",-0.5*((J221-Components!$D$4)/Components!$E$4)^2)</f>
        <v/>
      </c>
      <c r="N221" s="100">
        <f>IF(G221="","",-0.5*((J221-Components!$D$5)/Components!$E$5)^2)</f>
        <v/>
      </c>
      <c r="O221" s="100">
        <f>IF(G221="","",-0.5*((J221-Components!$D$6)/Components!$E$6)^2)</f>
        <v/>
      </c>
      <c r="P221" s="100">
        <f>IF(G221="","",-0.5*((J221-Components!$D$7)/Components!$E$7)^2)</f>
        <v/>
      </c>
      <c r="Q221" s="100">
        <f>IF(G221="","",EXP(LARGE(K221:P221,1)-MAX(K221:P221))/(EXP(K221-MAX(K221:P221))+EXP(L221-MAX(K221:P221))+EXP(M221-MAX(K221:P221))+EXP(N221-MAX(K221:P221))+EXP(O221-MAX(K221:P221))+EXP(P221-MAX(K221:P221))))</f>
        <v/>
      </c>
      <c r="R221" s="100">
        <f>IF(G221="","",EXP(LARGE(K221:P221,2)-MAX(K221:P221))/(EXP(K221-MAX(K221:P221))+EXP(L221-MAX(K221:P221))+EXP(M221-MAX(K221:P221))+EXP(N221-MAX(K221:P221))+EXP(O221-MAX(K221:P221))+EXP(P221-MAX(K221:P221))))</f>
        <v/>
      </c>
      <c r="S221" s="100">
        <f>IF(G221="","",Q221-R221)</f>
        <v/>
      </c>
      <c r="T221" s="98">
        <f>IF(G221="","",IF(AND(G221&gt;=H221-$B$6*I221,G221&lt;=H221+$B$6*I221),"OK","NG"))</f>
        <v/>
      </c>
      <c r="U221" s="69">
        <f>IF(T221="","",IF(T221=D221,1,0))</f>
        <v/>
      </c>
      <c r="V221" s="98">
        <f>IF(G221="","",IF(T221="OK","NONE",INDEX({"S1","S2","W1","W2","N1","N2"},MATCH(MAX(K221:P221),K221:P221,0))))</f>
        <v/>
      </c>
      <c r="W221" s="69">
        <f>IF(G221="","",IF(V221=E221,1,0))</f>
        <v/>
      </c>
      <c r="X221" s="115">
        <f>IF(G221="","",IF(AND(T221="NG",S221&lt;$B$7),"AMBIGUOUS","CONFIDENT"))</f>
        <v/>
      </c>
    </row>
    <row r="222">
      <c r="A222" s="102">
        <f>'Runs Z score'!A215</f>
        <v/>
      </c>
      <c r="B222" s="98">
        <f>'Runs Z score'!B215</f>
        <v/>
      </c>
      <c r="C222" s="98">
        <f>'Runs Z score'!C215</f>
        <v/>
      </c>
      <c r="D222" s="98">
        <f>'Runs Z score'!D215</f>
        <v/>
      </c>
      <c r="E222" s="98">
        <f>'Runs Z score'!E215</f>
        <v/>
      </c>
      <c r="F222" s="98">
        <f>'Runs Z score'!F215</f>
        <v/>
      </c>
      <c r="G222" s="99">
        <f>'Runs Z score'!G215</f>
        <v/>
      </c>
      <c r="H222" s="100">
        <f>VLOOKUP(C222,Recipes!$A$2:$N$4,10,FALSE())</f>
        <v/>
      </c>
      <c r="I222" s="101">
        <f>VLOOKUP(C222,Recipes!$A$2:$N$4,12,FALSE())</f>
        <v/>
      </c>
      <c r="J222" s="100">
        <f>IF(G222="","",H222-G222)</f>
        <v/>
      </c>
      <c r="K222" s="100">
        <f>IF(G222="","",-0.5*((J222-Components!$D$2)/Components!$E$2)^2)</f>
        <v/>
      </c>
      <c r="L222" s="100">
        <f>IF(G222="","",-0.5*((J222-Components!$D$3)/Components!$E$3)^2)</f>
        <v/>
      </c>
      <c r="M222" s="100">
        <f>IF(G222="","",-0.5*((J222-Components!$D$4)/Components!$E$4)^2)</f>
        <v/>
      </c>
      <c r="N222" s="100">
        <f>IF(G222="","",-0.5*((J222-Components!$D$5)/Components!$E$5)^2)</f>
        <v/>
      </c>
      <c r="O222" s="100">
        <f>IF(G222="","",-0.5*((J222-Components!$D$6)/Components!$E$6)^2)</f>
        <v/>
      </c>
      <c r="P222" s="100">
        <f>IF(G222="","",-0.5*((J222-Components!$D$7)/Components!$E$7)^2)</f>
        <v/>
      </c>
      <c r="Q222" s="100">
        <f>IF(G222="","",EXP(LARGE(K222:P222,1)-MAX(K222:P222))/(EXP(K222-MAX(K222:P222))+EXP(L222-MAX(K222:P222))+EXP(M222-MAX(K222:P222))+EXP(N222-MAX(K222:P222))+EXP(O222-MAX(K222:P222))+EXP(P222-MAX(K222:P222))))</f>
        <v/>
      </c>
      <c r="R222" s="100">
        <f>IF(G222="","",EXP(LARGE(K222:P222,2)-MAX(K222:P222))/(EXP(K222-MAX(K222:P222))+EXP(L222-MAX(K222:P222))+EXP(M222-MAX(K222:P222))+EXP(N222-MAX(K222:P222))+EXP(O222-MAX(K222:P222))+EXP(P222-MAX(K222:P222))))</f>
        <v/>
      </c>
      <c r="S222" s="100">
        <f>IF(G222="","",Q222-R222)</f>
        <v/>
      </c>
      <c r="T222" s="98">
        <f>IF(G222="","",IF(AND(G222&gt;=H222-$B$6*I222,G222&lt;=H222+$B$6*I222),"OK","NG"))</f>
        <v/>
      </c>
      <c r="U222" s="69">
        <f>IF(T222="","",IF(T222=D222,1,0))</f>
        <v/>
      </c>
      <c r="V222" s="98">
        <f>IF(G222="","",IF(T222="OK","NONE",INDEX({"S1","S2","W1","W2","N1","N2"},MATCH(MAX(K222:P222),K222:P222,0))))</f>
        <v/>
      </c>
      <c r="W222" s="69">
        <f>IF(G222="","",IF(V222=E222,1,0))</f>
        <v/>
      </c>
      <c r="X222" s="115">
        <f>IF(G222="","",IF(AND(T222="NG",S222&lt;$B$7),"AMBIGUOUS","CONFIDENT"))</f>
        <v/>
      </c>
    </row>
    <row r="223">
      <c r="A223" s="102">
        <f>'Runs Z score'!A216</f>
        <v/>
      </c>
      <c r="B223" s="98">
        <f>'Runs Z score'!B216</f>
        <v/>
      </c>
      <c r="C223" s="98">
        <f>'Runs Z score'!C216</f>
        <v/>
      </c>
      <c r="D223" s="98">
        <f>'Runs Z score'!D216</f>
        <v/>
      </c>
      <c r="E223" s="98">
        <f>'Runs Z score'!E216</f>
        <v/>
      </c>
      <c r="F223" s="98">
        <f>'Runs Z score'!F216</f>
        <v/>
      </c>
      <c r="G223" s="99">
        <f>'Runs Z score'!G216</f>
        <v/>
      </c>
      <c r="H223" s="100">
        <f>VLOOKUP(C223,Recipes!$A$2:$N$4,10,FALSE())</f>
        <v/>
      </c>
      <c r="I223" s="101">
        <f>VLOOKUP(C223,Recipes!$A$2:$N$4,12,FALSE())</f>
        <v/>
      </c>
      <c r="J223" s="100">
        <f>IF(G223="","",H223-G223)</f>
        <v/>
      </c>
      <c r="K223" s="100">
        <f>IF(G223="","",-0.5*((J223-Components!$D$2)/Components!$E$2)^2)</f>
        <v/>
      </c>
      <c r="L223" s="100">
        <f>IF(G223="","",-0.5*((J223-Components!$D$3)/Components!$E$3)^2)</f>
        <v/>
      </c>
      <c r="M223" s="100">
        <f>IF(G223="","",-0.5*((J223-Components!$D$4)/Components!$E$4)^2)</f>
        <v/>
      </c>
      <c r="N223" s="100">
        <f>IF(G223="","",-0.5*((J223-Components!$D$5)/Components!$E$5)^2)</f>
        <v/>
      </c>
      <c r="O223" s="100">
        <f>IF(G223="","",-0.5*((J223-Components!$D$6)/Components!$E$6)^2)</f>
        <v/>
      </c>
      <c r="P223" s="100">
        <f>IF(G223="","",-0.5*((J223-Components!$D$7)/Components!$E$7)^2)</f>
        <v/>
      </c>
      <c r="Q223" s="100">
        <f>IF(G223="","",EXP(LARGE(K223:P223,1)-MAX(K223:P223))/(EXP(K223-MAX(K223:P223))+EXP(L223-MAX(K223:P223))+EXP(M223-MAX(K223:P223))+EXP(N223-MAX(K223:P223))+EXP(O223-MAX(K223:P223))+EXP(P223-MAX(K223:P223))))</f>
        <v/>
      </c>
      <c r="R223" s="100">
        <f>IF(G223="","",EXP(LARGE(K223:P223,2)-MAX(K223:P223))/(EXP(K223-MAX(K223:P223))+EXP(L223-MAX(K223:P223))+EXP(M223-MAX(K223:P223))+EXP(N223-MAX(K223:P223))+EXP(O223-MAX(K223:P223))+EXP(P223-MAX(K223:P223))))</f>
        <v/>
      </c>
      <c r="S223" s="100">
        <f>IF(G223="","",Q223-R223)</f>
        <v/>
      </c>
      <c r="T223" s="98">
        <f>IF(G223="","",IF(AND(G223&gt;=H223-$B$6*I223,G223&lt;=H223+$B$6*I223),"OK","NG"))</f>
        <v/>
      </c>
      <c r="U223" s="69">
        <f>IF(T223="","",IF(T223=D223,1,0))</f>
        <v/>
      </c>
      <c r="V223" s="98">
        <f>IF(G223="","",IF(T223="OK","NONE",INDEX({"S1","S2","W1","W2","N1","N2"},MATCH(MAX(K223:P223),K223:P223,0))))</f>
        <v/>
      </c>
      <c r="W223" s="69">
        <f>IF(G223="","",IF(V223=E223,1,0))</f>
        <v/>
      </c>
      <c r="X223" s="115">
        <f>IF(G223="","",IF(AND(T223="NG",S223&lt;$B$7),"AMBIGUOUS","CONFIDENT"))</f>
        <v/>
      </c>
    </row>
    <row r="224">
      <c r="A224" s="102">
        <f>'Runs Z score'!A217</f>
        <v/>
      </c>
      <c r="B224" s="98">
        <f>'Runs Z score'!B217</f>
        <v/>
      </c>
      <c r="C224" s="98">
        <f>'Runs Z score'!C217</f>
        <v/>
      </c>
      <c r="D224" s="98">
        <f>'Runs Z score'!D217</f>
        <v/>
      </c>
      <c r="E224" s="98">
        <f>'Runs Z score'!E217</f>
        <v/>
      </c>
      <c r="F224" s="98">
        <f>'Runs Z score'!F217</f>
        <v/>
      </c>
      <c r="G224" s="99">
        <f>'Runs Z score'!G217</f>
        <v/>
      </c>
      <c r="H224" s="100">
        <f>VLOOKUP(C224,Recipes!$A$2:$N$4,10,FALSE())</f>
        <v/>
      </c>
      <c r="I224" s="101">
        <f>VLOOKUP(C224,Recipes!$A$2:$N$4,12,FALSE())</f>
        <v/>
      </c>
      <c r="J224" s="100">
        <f>IF(G224="","",H224-G224)</f>
        <v/>
      </c>
      <c r="K224" s="100">
        <f>IF(G224="","",-0.5*((J224-Components!$D$2)/Components!$E$2)^2)</f>
        <v/>
      </c>
      <c r="L224" s="100">
        <f>IF(G224="","",-0.5*((J224-Components!$D$3)/Components!$E$3)^2)</f>
        <v/>
      </c>
      <c r="M224" s="100">
        <f>IF(G224="","",-0.5*((J224-Components!$D$4)/Components!$E$4)^2)</f>
        <v/>
      </c>
      <c r="N224" s="100">
        <f>IF(G224="","",-0.5*((J224-Components!$D$5)/Components!$E$5)^2)</f>
        <v/>
      </c>
      <c r="O224" s="100">
        <f>IF(G224="","",-0.5*((J224-Components!$D$6)/Components!$E$6)^2)</f>
        <v/>
      </c>
      <c r="P224" s="100">
        <f>IF(G224="","",-0.5*((J224-Components!$D$7)/Components!$E$7)^2)</f>
        <v/>
      </c>
      <c r="Q224" s="100">
        <f>IF(G224="","",EXP(LARGE(K224:P224,1)-MAX(K224:P224))/(EXP(K224-MAX(K224:P224))+EXP(L224-MAX(K224:P224))+EXP(M224-MAX(K224:P224))+EXP(N224-MAX(K224:P224))+EXP(O224-MAX(K224:P224))+EXP(P224-MAX(K224:P224))))</f>
        <v/>
      </c>
      <c r="R224" s="100">
        <f>IF(G224="","",EXP(LARGE(K224:P224,2)-MAX(K224:P224))/(EXP(K224-MAX(K224:P224))+EXP(L224-MAX(K224:P224))+EXP(M224-MAX(K224:P224))+EXP(N224-MAX(K224:P224))+EXP(O224-MAX(K224:P224))+EXP(P224-MAX(K224:P224))))</f>
        <v/>
      </c>
      <c r="S224" s="100">
        <f>IF(G224="","",Q224-R224)</f>
        <v/>
      </c>
      <c r="T224" s="98">
        <f>IF(G224="","",IF(AND(G224&gt;=H224-$B$6*I224,G224&lt;=H224+$B$6*I224),"OK","NG"))</f>
        <v/>
      </c>
      <c r="U224" s="69">
        <f>IF(T224="","",IF(T224=D224,1,0))</f>
        <v/>
      </c>
      <c r="V224" s="98">
        <f>IF(G224="","",IF(T224="OK","NONE",INDEX({"S1","S2","W1","W2","N1","N2"},MATCH(MAX(K224:P224),K224:P224,0))))</f>
        <v/>
      </c>
      <c r="W224" s="69">
        <f>IF(G224="","",IF(V224=E224,1,0))</f>
        <v/>
      </c>
      <c r="X224" s="115">
        <f>IF(G224="","",IF(AND(T224="NG",S224&lt;$B$7),"AMBIGUOUS","CONFIDENT"))</f>
        <v/>
      </c>
    </row>
    <row r="225">
      <c r="A225" s="102">
        <f>'Runs Z score'!A218</f>
        <v/>
      </c>
      <c r="B225" s="98">
        <f>'Runs Z score'!B218</f>
        <v/>
      </c>
      <c r="C225" s="98">
        <f>'Runs Z score'!C218</f>
        <v/>
      </c>
      <c r="D225" s="98">
        <f>'Runs Z score'!D218</f>
        <v/>
      </c>
      <c r="E225" s="98">
        <f>'Runs Z score'!E218</f>
        <v/>
      </c>
      <c r="F225" s="98">
        <f>'Runs Z score'!F218</f>
        <v/>
      </c>
      <c r="G225" s="99">
        <f>'Runs Z score'!G218</f>
        <v/>
      </c>
      <c r="H225" s="100">
        <f>VLOOKUP(C225,Recipes!$A$2:$N$4,10,FALSE())</f>
        <v/>
      </c>
      <c r="I225" s="101">
        <f>VLOOKUP(C225,Recipes!$A$2:$N$4,12,FALSE())</f>
        <v/>
      </c>
      <c r="J225" s="100">
        <f>IF(G225="","",H225-G225)</f>
        <v/>
      </c>
      <c r="K225" s="100">
        <f>IF(G225="","",-0.5*((J225-Components!$D$2)/Components!$E$2)^2)</f>
        <v/>
      </c>
      <c r="L225" s="100">
        <f>IF(G225="","",-0.5*((J225-Components!$D$3)/Components!$E$3)^2)</f>
        <v/>
      </c>
      <c r="M225" s="100">
        <f>IF(G225="","",-0.5*((J225-Components!$D$4)/Components!$E$4)^2)</f>
        <v/>
      </c>
      <c r="N225" s="100">
        <f>IF(G225="","",-0.5*((J225-Components!$D$5)/Components!$E$5)^2)</f>
        <v/>
      </c>
      <c r="O225" s="100">
        <f>IF(G225="","",-0.5*((J225-Components!$D$6)/Components!$E$6)^2)</f>
        <v/>
      </c>
      <c r="P225" s="100">
        <f>IF(G225="","",-0.5*((J225-Components!$D$7)/Components!$E$7)^2)</f>
        <v/>
      </c>
      <c r="Q225" s="100">
        <f>IF(G225="","",EXP(LARGE(K225:P225,1)-MAX(K225:P225))/(EXP(K225-MAX(K225:P225))+EXP(L225-MAX(K225:P225))+EXP(M225-MAX(K225:P225))+EXP(N225-MAX(K225:P225))+EXP(O225-MAX(K225:P225))+EXP(P225-MAX(K225:P225))))</f>
        <v/>
      </c>
      <c r="R225" s="100">
        <f>IF(G225="","",EXP(LARGE(K225:P225,2)-MAX(K225:P225))/(EXP(K225-MAX(K225:P225))+EXP(L225-MAX(K225:P225))+EXP(M225-MAX(K225:P225))+EXP(N225-MAX(K225:P225))+EXP(O225-MAX(K225:P225))+EXP(P225-MAX(K225:P225))))</f>
        <v/>
      </c>
      <c r="S225" s="100">
        <f>IF(G225="","",Q225-R225)</f>
        <v/>
      </c>
      <c r="T225" s="98">
        <f>IF(G225="","",IF(AND(G225&gt;=H225-$B$6*I225,G225&lt;=H225+$B$6*I225),"OK","NG"))</f>
        <v/>
      </c>
      <c r="U225" s="69">
        <f>IF(T225="","",IF(T225=D225,1,0))</f>
        <v/>
      </c>
      <c r="V225" s="98">
        <f>IF(G225="","",IF(T225="OK","NONE",INDEX({"S1","S2","W1","W2","N1","N2"},MATCH(MAX(K225:P225),K225:P225,0))))</f>
        <v/>
      </c>
      <c r="W225" s="69">
        <f>IF(G225="","",IF(V225=E225,1,0))</f>
        <v/>
      </c>
      <c r="X225" s="115">
        <f>IF(G225="","",IF(AND(T225="NG",S225&lt;$B$7),"AMBIGUOUS","CONFIDENT"))</f>
        <v/>
      </c>
    </row>
    <row r="226">
      <c r="A226" s="102">
        <f>'Runs Z score'!A219</f>
        <v/>
      </c>
      <c r="B226" s="98">
        <f>'Runs Z score'!B219</f>
        <v/>
      </c>
      <c r="C226" s="98">
        <f>'Runs Z score'!C219</f>
        <v/>
      </c>
      <c r="D226" s="98">
        <f>'Runs Z score'!D219</f>
        <v/>
      </c>
      <c r="E226" s="98">
        <f>'Runs Z score'!E219</f>
        <v/>
      </c>
      <c r="F226" s="98">
        <f>'Runs Z score'!F219</f>
        <v/>
      </c>
      <c r="G226" s="99">
        <f>'Runs Z score'!G219</f>
        <v/>
      </c>
      <c r="H226" s="100">
        <f>VLOOKUP(C226,Recipes!$A$2:$N$4,10,FALSE())</f>
        <v/>
      </c>
      <c r="I226" s="101">
        <f>VLOOKUP(C226,Recipes!$A$2:$N$4,12,FALSE())</f>
        <v/>
      </c>
      <c r="J226" s="100">
        <f>IF(G226="","",H226-G226)</f>
        <v/>
      </c>
      <c r="K226" s="100">
        <f>IF(G226="","",-0.5*((J226-Components!$D$2)/Components!$E$2)^2)</f>
        <v/>
      </c>
      <c r="L226" s="100">
        <f>IF(G226="","",-0.5*((J226-Components!$D$3)/Components!$E$3)^2)</f>
        <v/>
      </c>
      <c r="M226" s="100">
        <f>IF(G226="","",-0.5*((J226-Components!$D$4)/Components!$E$4)^2)</f>
        <v/>
      </c>
      <c r="N226" s="100">
        <f>IF(G226="","",-0.5*((J226-Components!$D$5)/Components!$E$5)^2)</f>
        <v/>
      </c>
      <c r="O226" s="100">
        <f>IF(G226="","",-0.5*((J226-Components!$D$6)/Components!$E$6)^2)</f>
        <v/>
      </c>
      <c r="P226" s="100">
        <f>IF(G226="","",-0.5*((J226-Components!$D$7)/Components!$E$7)^2)</f>
        <v/>
      </c>
      <c r="Q226" s="100">
        <f>IF(G226="","",EXP(LARGE(K226:P226,1)-MAX(K226:P226))/(EXP(K226-MAX(K226:P226))+EXP(L226-MAX(K226:P226))+EXP(M226-MAX(K226:P226))+EXP(N226-MAX(K226:P226))+EXP(O226-MAX(K226:P226))+EXP(P226-MAX(K226:P226))))</f>
        <v/>
      </c>
      <c r="R226" s="100">
        <f>IF(G226="","",EXP(LARGE(K226:P226,2)-MAX(K226:P226))/(EXP(K226-MAX(K226:P226))+EXP(L226-MAX(K226:P226))+EXP(M226-MAX(K226:P226))+EXP(N226-MAX(K226:P226))+EXP(O226-MAX(K226:P226))+EXP(P226-MAX(K226:P226))))</f>
        <v/>
      </c>
      <c r="S226" s="100">
        <f>IF(G226="","",Q226-R226)</f>
        <v/>
      </c>
      <c r="T226" s="98">
        <f>IF(G226="","",IF(AND(G226&gt;=H226-$B$6*I226,G226&lt;=H226+$B$6*I226),"OK","NG"))</f>
        <v/>
      </c>
      <c r="U226" s="69">
        <f>IF(T226="","",IF(T226=D226,1,0))</f>
        <v/>
      </c>
      <c r="V226" s="98">
        <f>IF(G226="","",IF(T226="OK","NONE",INDEX({"S1","S2","W1","W2","N1","N2"},MATCH(MAX(K226:P226),K226:P226,0))))</f>
        <v/>
      </c>
      <c r="W226" s="69">
        <f>IF(G226="","",IF(V226=E226,1,0))</f>
        <v/>
      </c>
      <c r="X226" s="115">
        <f>IF(G226="","",IF(AND(T226="NG",S226&lt;$B$7),"AMBIGUOUS","CONFIDENT"))</f>
        <v/>
      </c>
    </row>
    <row r="227">
      <c r="A227" s="102">
        <f>'Runs Z score'!A220</f>
        <v/>
      </c>
      <c r="B227" s="98">
        <f>'Runs Z score'!B220</f>
        <v/>
      </c>
      <c r="C227" s="98">
        <f>'Runs Z score'!C220</f>
        <v/>
      </c>
      <c r="D227" s="98">
        <f>'Runs Z score'!D220</f>
        <v/>
      </c>
      <c r="E227" s="98">
        <f>'Runs Z score'!E220</f>
        <v/>
      </c>
      <c r="F227" s="98">
        <f>'Runs Z score'!F220</f>
        <v/>
      </c>
      <c r="G227" s="99">
        <f>'Runs Z score'!G220</f>
        <v/>
      </c>
      <c r="H227" s="100">
        <f>VLOOKUP(C227,Recipes!$A$2:$N$4,10,FALSE())</f>
        <v/>
      </c>
      <c r="I227" s="101">
        <f>VLOOKUP(C227,Recipes!$A$2:$N$4,12,FALSE())</f>
        <v/>
      </c>
      <c r="J227" s="100">
        <f>IF(G227="","",H227-G227)</f>
        <v/>
      </c>
      <c r="K227" s="100">
        <f>IF(G227="","",-0.5*((J227-Components!$D$2)/Components!$E$2)^2)</f>
        <v/>
      </c>
      <c r="L227" s="100">
        <f>IF(G227="","",-0.5*((J227-Components!$D$3)/Components!$E$3)^2)</f>
        <v/>
      </c>
      <c r="M227" s="100">
        <f>IF(G227="","",-0.5*((J227-Components!$D$4)/Components!$E$4)^2)</f>
        <v/>
      </c>
      <c r="N227" s="100">
        <f>IF(G227="","",-0.5*((J227-Components!$D$5)/Components!$E$5)^2)</f>
        <v/>
      </c>
      <c r="O227" s="100">
        <f>IF(G227="","",-0.5*((J227-Components!$D$6)/Components!$E$6)^2)</f>
        <v/>
      </c>
      <c r="P227" s="100">
        <f>IF(G227="","",-0.5*((J227-Components!$D$7)/Components!$E$7)^2)</f>
        <v/>
      </c>
      <c r="Q227" s="100">
        <f>IF(G227="","",EXP(LARGE(K227:P227,1)-MAX(K227:P227))/(EXP(K227-MAX(K227:P227))+EXP(L227-MAX(K227:P227))+EXP(M227-MAX(K227:P227))+EXP(N227-MAX(K227:P227))+EXP(O227-MAX(K227:P227))+EXP(P227-MAX(K227:P227))))</f>
        <v/>
      </c>
      <c r="R227" s="100">
        <f>IF(G227="","",EXP(LARGE(K227:P227,2)-MAX(K227:P227))/(EXP(K227-MAX(K227:P227))+EXP(L227-MAX(K227:P227))+EXP(M227-MAX(K227:P227))+EXP(N227-MAX(K227:P227))+EXP(O227-MAX(K227:P227))+EXP(P227-MAX(K227:P227))))</f>
        <v/>
      </c>
      <c r="S227" s="100">
        <f>IF(G227="","",Q227-R227)</f>
        <v/>
      </c>
      <c r="T227" s="98">
        <f>IF(G227="","",IF(AND(G227&gt;=H227-$B$6*I227,G227&lt;=H227+$B$6*I227),"OK","NG"))</f>
        <v/>
      </c>
      <c r="U227" s="69">
        <f>IF(T227="","",IF(T227=D227,1,0))</f>
        <v/>
      </c>
      <c r="V227" s="98">
        <f>IF(G227="","",IF(T227="OK","NONE",INDEX({"S1","S2","W1","W2","N1","N2"},MATCH(MAX(K227:P227),K227:P227,0))))</f>
        <v/>
      </c>
      <c r="W227" s="71">
        <f>IF(G227="","",IF(V227=E227,1,0))</f>
        <v/>
      </c>
      <c r="X227" s="115">
        <f>IF(G227="","",IF(AND(T227="NG",S227&lt;$B$7),"AMBIGUOUS","CONFIDENT"))</f>
        <v/>
      </c>
    </row>
    <row r="228">
      <c r="A228" s="102">
        <f>'Runs Z score'!A221</f>
        <v/>
      </c>
      <c r="B228" s="98">
        <f>'Runs Z score'!B221</f>
        <v/>
      </c>
      <c r="C228" s="98">
        <f>'Runs Z score'!C221</f>
        <v/>
      </c>
      <c r="D228" s="98">
        <f>'Runs Z score'!D221</f>
        <v/>
      </c>
      <c r="E228" s="98">
        <f>'Runs Z score'!E221</f>
        <v/>
      </c>
      <c r="F228" s="98">
        <f>'Runs Z score'!F221</f>
        <v/>
      </c>
      <c r="G228" s="99">
        <f>'Runs Z score'!G221</f>
        <v/>
      </c>
      <c r="H228" s="100">
        <f>VLOOKUP(C228,Recipes!$A$2:$N$4,10,FALSE())</f>
        <v/>
      </c>
      <c r="I228" s="101">
        <f>VLOOKUP(C228,Recipes!$A$2:$N$4,12,FALSE())</f>
        <v/>
      </c>
      <c r="J228" s="100">
        <f>IF(G228="","",H228-G228)</f>
        <v/>
      </c>
      <c r="K228" s="100">
        <f>IF(G228="","",-0.5*((J228-Components!$D$2)/Components!$E$2)^2)</f>
        <v/>
      </c>
      <c r="L228" s="100">
        <f>IF(G228="","",-0.5*((J228-Components!$D$3)/Components!$E$3)^2)</f>
        <v/>
      </c>
      <c r="M228" s="100">
        <f>IF(G228="","",-0.5*((J228-Components!$D$4)/Components!$E$4)^2)</f>
        <v/>
      </c>
      <c r="N228" s="100">
        <f>IF(G228="","",-0.5*((J228-Components!$D$5)/Components!$E$5)^2)</f>
        <v/>
      </c>
      <c r="O228" s="100">
        <f>IF(G228="","",-0.5*((J228-Components!$D$6)/Components!$E$6)^2)</f>
        <v/>
      </c>
      <c r="P228" s="100">
        <f>IF(G228="","",-0.5*((J228-Components!$D$7)/Components!$E$7)^2)</f>
        <v/>
      </c>
      <c r="Q228" s="100">
        <f>IF(G228="","",EXP(LARGE(K228:P228,1)-MAX(K228:P228))/(EXP(K228-MAX(K228:P228))+EXP(L228-MAX(K228:P228))+EXP(M228-MAX(K228:P228))+EXP(N228-MAX(K228:P228))+EXP(O228-MAX(K228:P228))+EXP(P228-MAX(K228:P228))))</f>
        <v/>
      </c>
      <c r="R228" s="100">
        <f>IF(G228="","",EXP(LARGE(K228:P228,2)-MAX(K228:P228))/(EXP(K228-MAX(K228:P228))+EXP(L228-MAX(K228:P228))+EXP(M228-MAX(K228:P228))+EXP(N228-MAX(K228:P228))+EXP(O228-MAX(K228:P228))+EXP(P228-MAX(K228:P228))))</f>
        <v/>
      </c>
      <c r="S228" s="100">
        <f>IF(G228="","",Q228-R228)</f>
        <v/>
      </c>
      <c r="T228" s="98">
        <f>IF(G228="","",IF(AND(G228&gt;=H228-$B$6*I228,G228&lt;=H228+$B$6*I228),"OK","NG"))</f>
        <v/>
      </c>
      <c r="U228" s="69">
        <f>IF(T228="","",IF(T228=D228,1,0))</f>
        <v/>
      </c>
      <c r="V228" s="98">
        <f>IF(G228="","",IF(T228="OK","NONE",INDEX({"S1","S2","W1","W2","N1","N2"},MATCH(MAX(K228:P228),K228:P228,0))))</f>
        <v/>
      </c>
      <c r="W228" s="69">
        <f>IF(G228="","",IF(V228=E228,1,0))</f>
        <v/>
      </c>
      <c r="X228" s="115">
        <f>IF(G228="","",IF(AND(T228="NG",S228&lt;$B$7),"AMBIGUOUS","CONFIDENT"))</f>
        <v/>
      </c>
    </row>
    <row r="229">
      <c r="A229" s="102">
        <f>'Runs Z score'!A222</f>
        <v/>
      </c>
      <c r="B229" s="98">
        <f>'Runs Z score'!B222</f>
        <v/>
      </c>
      <c r="C229" s="98">
        <f>'Runs Z score'!C222</f>
        <v/>
      </c>
      <c r="D229" s="98">
        <f>'Runs Z score'!D222</f>
        <v/>
      </c>
      <c r="E229" s="98">
        <f>'Runs Z score'!E222</f>
        <v/>
      </c>
      <c r="F229" s="98">
        <f>'Runs Z score'!F222</f>
        <v/>
      </c>
      <c r="G229" s="99">
        <f>'Runs Z score'!G222</f>
        <v/>
      </c>
      <c r="H229" s="100">
        <f>VLOOKUP(C229,Recipes!$A$2:$N$4,10,FALSE())</f>
        <v/>
      </c>
      <c r="I229" s="101">
        <f>VLOOKUP(C229,Recipes!$A$2:$N$4,12,FALSE())</f>
        <v/>
      </c>
      <c r="J229" s="100">
        <f>IF(G229="","",H229-G229)</f>
        <v/>
      </c>
      <c r="K229" s="100">
        <f>IF(G229="","",-0.5*((J229-Components!$D$2)/Components!$E$2)^2)</f>
        <v/>
      </c>
      <c r="L229" s="100">
        <f>IF(G229="","",-0.5*((J229-Components!$D$3)/Components!$E$3)^2)</f>
        <v/>
      </c>
      <c r="M229" s="100">
        <f>IF(G229="","",-0.5*((J229-Components!$D$4)/Components!$E$4)^2)</f>
        <v/>
      </c>
      <c r="N229" s="100">
        <f>IF(G229="","",-0.5*((J229-Components!$D$5)/Components!$E$5)^2)</f>
        <v/>
      </c>
      <c r="O229" s="100">
        <f>IF(G229="","",-0.5*((J229-Components!$D$6)/Components!$E$6)^2)</f>
        <v/>
      </c>
      <c r="P229" s="100">
        <f>IF(G229="","",-0.5*((J229-Components!$D$7)/Components!$E$7)^2)</f>
        <v/>
      </c>
      <c r="Q229" s="100">
        <f>IF(G229="","",EXP(LARGE(K229:P229,1)-MAX(K229:P229))/(EXP(K229-MAX(K229:P229))+EXP(L229-MAX(K229:P229))+EXP(M229-MAX(K229:P229))+EXP(N229-MAX(K229:P229))+EXP(O229-MAX(K229:P229))+EXP(P229-MAX(K229:P229))))</f>
        <v/>
      </c>
      <c r="R229" s="100">
        <f>IF(G229="","",EXP(LARGE(K229:P229,2)-MAX(K229:P229))/(EXP(K229-MAX(K229:P229))+EXP(L229-MAX(K229:P229))+EXP(M229-MAX(K229:P229))+EXP(N229-MAX(K229:P229))+EXP(O229-MAX(K229:P229))+EXP(P229-MAX(K229:P229))))</f>
        <v/>
      </c>
      <c r="S229" s="100">
        <f>IF(G229="","",Q229-R229)</f>
        <v/>
      </c>
      <c r="T229" s="98">
        <f>IF(G229="","",IF(AND(G229&gt;=H229-$B$6*I229,G229&lt;=H229+$B$6*I229),"OK","NG"))</f>
        <v/>
      </c>
      <c r="U229" s="69">
        <f>IF(T229="","",IF(T229=D229,1,0))</f>
        <v/>
      </c>
      <c r="V229" s="98">
        <f>IF(G229="","",IF(T229="OK","NONE",INDEX({"S1","S2","W1","W2","N1","N2"},MATCH(MAX(K229:P229),K229:P229,0))))</f>
        <v/>
      </c>
      <c r="W229" s="69">
        <f>IF(G229="","",IF(V229=E229,1,0))</f>
        <v/>
      </c>
      <c r="X229" s="115">
        <f>IF(G229="","",IF(AND(T229="NG",S229&lt;$B$7),"AMBIGUOUS","CONFIDENT"))</f>
        <v/>
      </c>
    </row>
    <row r="230">
      <c r="A230" s="102">
        <f>'Runs Z score'!A223</f>
        <v/>
      </c>
      <c r="B230" s="98">
        <f>'Runs Z score'!B223</f>
        <v/>
      </c>
      <c r="C230" s="98">
        <f>'Runs Z score'!C223</f>
        <v/>
      </c>
      <c r="D230" s="98">
        <f>'Runs Z score'!D223</f>
        <v/>
      </c>
      <c r="E230" s="98">
        <f>'Runs Z score'!E223</f>
        <v/>
      </c>
      <c r="F230" s="98">
        <f>'Runs Z score'!F223</f>
        <v/>
      </c>
      <c r="G230" s="99">
        <f>'Runs Z score'!G223</f>
        <v/>
      </c>
      <c r="H230" s="100">
        <f>VLOOKUP(C230,Recipes!$A$2:$N$4,10,FALSE())</f>
        <v/>
      </c>
      <c r="I230" s="101">
        <f>VLOOKUP(C230,Recipes!$A$2:$N$4,12,FALSE())</f>
        <v/>
      </c>
      <c r="J230" s="100">
        <f>IF(G230="","",H230-G230)</f>
        <v/>
      </c>
      <c r="K230" s="100">
        <f>IF(G230="","",-0.5*((J230-Components!$D$2)/Components!$E$2)^2)</f>
        <v/>
      </c>
      <c r="L230" s="100">
        <f>IF(G230="","",-0.5*((J230-Components!$D$3)/Components!$E$3)^2)</f>
        <v/>
      </c>
      <c r="M230" s="100">
        <f>IF(G230="","",-0.5*((J230-Components!$D$4)/Components!$E$4)^2)</f>
        <v/>
      </c>
      <c r="N230" s="100">
        <f>IF(G230="","",-0.5*((J230-Components!$D$5)/Components!$E$5)^2)</f>
        <v/>
      </c>
      <c r="O230" s="100">
        <f>IF(G230="","",-0.5*((J230-Components!$D$6)/Components!$E$6)^2)</f>
        <v/>
      </c>
      <c r="P230" s="100">
        <f>IF(G230="","",-0.5*((J230-Components!$D$7)/Components!$E$7)^2)</f>
        <v/>
      </c>
      <c r="Q230" s="100">
        <f>IF(G230="","",EXP(LARGE(K230:P230,1)-MAX(K230:P230))/(EXP(K230-MAX(K230:P230))+EXP(L230-MAX(K230:P230))+EXP(M230-MAX(K230:P230))+EXP(N230-MAX(K230:P230))+EXP(O230-MAX(K230:P230))+EXP(P230-MAX(K230:P230))))</f>
        <v/>
      </c>
      <c r="R230" s="100">
        <f>IF(G230="","",EXP(LARGE(K230:P230,2)-MAX(K230:P230))/(EXP(K230-MAX(K230:P230))+EXP(L230-MAX(K230:P230))+EXP(M230-MAX(K230:P230))+EXP(N230-MAX(K230:P230))+EXP(O230-MAX(K230:P230))+EXP(P230-MAX(K230:P230))))</f>
        <v/>
      </c>
      <c r="S230" s="100">
        <f>IF(G230="","",Q230-R230)</f>
        <v/>
      </c>
      <c r="T230" s="98">
        <f>IF(G230="","",IF(AND(G230&gt;=H230-$B$6*I230,G230&lt;=H230+$B$6*I230),"OK","NG"))</f>
        <v/>
      </c>
      <c r="U230" s="69">
        <f>IF(T230="","",IF(T230=D230,1,0))</f>
        <v/>
      </c>
      <c r="V230" s="98">
        <f>IF(G230="","",IF(T230="OK","NONE",INDEX({"S1","S2","W1","W2","N1","N2"},MATCH(MAX(K230:P230),K230:P230,0))))</f>
        <v/>
      </c>
      <c r="W230" s="69">
        <f>IF(G230="","",IF(V230=E230,1,0))</f>
        <v/>
      </c>
      <c r="X230" s="115">
        <f>IF(G230="","",IF(AND(T230="NG",S230&lt;$B$7),"AMBIGUOUS","CONFIDENT"))</f>
        <v/>
      </c>
    </row>
    <row r="231">
      <c r="A231" s="102">
        <f>'Runs Z score'!A224</f>
        <v/>
      </c>
      <c r="B231" s="98">
        <f>'Runs Z score'!B224</f>
        <v/>
      </c>
      <c r="C231" s="98">
        <f>'Runs Z score'!C224</f>
        <v/>
      </c>
      <c r="D231" s="98">
        <f>'Runs Z score'!D224</f>
        <v/>
      </c>
      <c r="E231" s="98">
        <f>'Runs Z score'!E224</f>
        <v/>
      </c>
      <c r="F231" s="98">
        <f>'Runs Z score'!F224</f>
        <v/>
      </c>
      <c r="G231" s="99">
        <f>'Runs Z score'!G224</f>
        <v/>
      </c>
      <c r="H231" s="100">
        <f>VLOOKUP(C231,Recipes!$A$2:$N$4,10,FALSE())</f>
        <v/>
      </c>
      <c r="I231" s="101">
        <f>VLOOKUP(C231,Recipes!$A$2:$N$4,12,FALSE())</f>
        <v/>
      </c>
      <c r="J231" s="100">
        <f>IF(G231="","",H231-G231)</f>
        <v/>
      </c>
      <c r="K231" s="100">
        <f>IF(G231="","",-0.5*((J231-Components!$D$2)/Components!$E$2)^2)</f>
        <v/>
      </c>
      <c r="L231" s="100">
        <f>IF(G231="","",-0.5*((J231-Components!$D$3)/Components!$E$3)^2)</f>
        <v/>
      </c>
      <c r="M231" s="100">
        <f>IF(G231="","",-0.5*((J231-Components!$D$4)/Components!$E$4)^2)</f>
        <v/>
      </c>
      <c r="N231" s="100">
        <f>IF(G231="","",-0.5*((J231-Components!$D$5)/Components!$E$5)^2)</f>
        <v/>
      </c>
      <c r="O231" s="100">
        <f>IF(G231="","",-0.5*((J231-Components!$D$6)/Components!$E$6)^2)</f>
        <v/>
      </c>
      <c r="P231" s="100">
        <f>IF(G231="","",-0.5*((J231-Components!$D$7)/Components!$E$7)^2)</f>
        <v/>
      </c>
      <c r="Q231" s="100">
        <f>IF(G231="","",EXP(LARGE(K231:P231,1)-MAX(K231:P231))/(EXP(K231-MAX(K231:P231))+EXP(L231-MAX(K231:P231))+EXP(M231-MAX(K231:P231))+EXP(N231-MAX(K231:P231))+EXP(O231-MAX(K231:P231))+EXP(P231-MAX(K231:P231))))</f>
        <v/>
      </c>
      <c r="R231" s="100">
        <f>IF(G231="","",EXP(LARGE(K231:P231,2)-MAX(K231:P231))/(EXP(K231-MAX(K231:P231))+EXP(L231-MAX(K231:P231))+EXP(M231-MAX(K231:P231))+EXP(N231-MAX(K231:P231))+EXP(O231-MAX(K231:P231))+EXP(P231-MAX(K231:P231))))</f>
        <v/>
      </c>
      <c r="S231" s="100">
        <f>IF(G231="","",Q231-R231)</f>
        <v/>
      </c>
      <c r="T231" s="98">
        <f>IF(G231="","",IF(AND(G231&gt;=H231-$B$6*I231,G231&lt;=H231+$B$6*I231),"OK","NG"))</f>
        <v/>
      </c>
      <c r="U231" s="69">
        <f>IF(T231="","",IF(T231=D231,1,0))</f>
        <v/>
      </c>
      <c r="V231" s="98">
        <f>IF(G231="","",IF(T231="OK","NONE",INDEX({"S1","S2","W1","W2","N1","N2"},MATCH(MAX(K231:P231),K231:P231,0))))</f>
        <v/>
      </c>
      <c r="W231" s="69">
        <f>IF(G231="","",IF(V231=E231,1,0))</f>
        <v/>
      </c>
      <c r="X231" s="115">
        <f>IF(G231="","",IF(AND(T231="NG",S231&lt;$B$7),"AMBIGUOUS","CONFIDENT"))</f>
        <v/>
      </c>
    </row>
    <row r="232">
      <c r="A232" s="102">
        <f>'Runs Z score'!A225</f>
        <v/>
      </c>
      <c r="B232" s="98">
        <f>'Runs Z score'!B225</f>
        <v/>
      </c>
      <c r="C232" s="98">
        <f>'Runs Z score'!C225</f>
        <v/>
      </c>
      <c r="D232" s="98">
        <f>'Runs Z score'!D225</f>
        <v/>
      </c>
      <c r="E232" s="98">
        <f>'Runs Z score'!E225</f>
        <v/>
      </c>
      <c r="F232" s="98">
        <f>'Runs Z score'!F225</f>
        <v/>
      </c>
      <c r="G232" s="99">
        <f>'Runs Z score'!G225</f>
        <v/>
      </c>
      <c r="H232" s="100">
        <f>VLOOKUP(C232,Recipes!$A$2:$N$4,10,FALSE())</f>
        <v/>
      </c>
      <c r="I232" s="101">
        <f>VLOOKUP(C232,Recipes!$A$2:$N$4,12,FALSE())</f>
        <v/>
      </c>
      <c r="J232" s="100">
        <f>IF(G232="","",H232-G232)</f>
        <v/>
      </c>
      <c r="K232" s="100">
        <f>IF(G232="","",-0.5*((J232-Components!$D$2)/Components!$E$2)^2)</f>
        <v/>
      </c>
      <c r="L232" s="100">
        <f>IF(G232="","",-0.5*((J232-Components!$D$3)/Components!$E$3)^2)</f>
        <v/>
      </c>
      <c r="M232" s="100">
        <f>IF(G232="","",-0.5*((J232-Components!$D$4)/Components!$E$4)^2)</f>
        <v/>
      </c>
      <c r="N232" s="100">
        <f>IF(G232="","",-0.5*((J232-Components!$D$5)/Components!$E$5)^2)</f>
        <v/>
      </c>
      <c r="O232" s="100">
        <f>IF(G232="","",-0.5*((J232-Components!$D$6)/Components!$E$6)^2)</f>
        <v/>
      </c>
      <c r="P232" s="100">
        <f>IF(G232="","",-0.5*((J232-Components!$D$7)/Components!$E$7)^2)</f>
        <v/>
      </c>
      <c r="Q232" s="100">
        <f>IF(G232="","",EXP(LARGE(K232:P232,1)-MAX(K232:P232))/(EXP(K232-MAX(K232:P232))+EXP(L232-MAX(K232:P232))+EXP(M232-MAX(K232:P232))+EXP(N232-MAX(K232:P232))+EXP(O232-MAX(K232:P232))+EXP(P232-MAX(K232:P232))))</f>
        <v/>
      </c>
      <c r="R232" s="100">
        <f>IF(G232="","",EXP(LARGE(K232:P232,2)-MAX(K232:P232))/(EXP(K232-MAX(K232:P232))+EXP(L232-MAX(K232:P232))+EXP(M232-MAX(K232:P232))+EXP(N232-MAX(K232:P232))+EXP(O232-MAX(K232:P232))+EXP(P232-MAX(K232:P232))))</f>
        <v/>
      </c>
      <c r="S232" s="100">
        <f>IF(G232="","",Q232-R232)</f>
        <v/>
      </c>
      <c r="T232" s="98">
        <f>IF(G232="","",IF(AND(G232&gt;=H232-$B$6*I232,G232&lt;=H232+$B$6*I232),"OK","NG"))</f>
        <v/>
      </c>
      <c r="U232" s="69">
        <f>IF(T232="","",IF(T232=D232,1,0))</f>
        <v/>
      </c>
      <c r="V232" s="98">
        <f>IF(G232="","",IF(T232="OK","NONE",INDEX({"S1","S2","W1","W2","N1","N2"},MATCH(MAX(K232:P232),K232:P232,0))))</f>
        <v/>
      </c>
      <c r="W232" s="69">
        <f>IF(G232="","",IF(V232=E232,1,0))</f>
        <v/>
      </c>
      <c r="X232" s="115">
        <f>IF(G232="","",IF(AND(T232="NG",S232&lt;$B$7),"AMBIGUOUS","CONFIDENT"))</f>
        <v/>
      </c>
    </row>
    <row r="233">
      <c r="A233" s="102">
        <f>'Runs Z score'!A226</f>
        <v/>
      </c>
      <c r="B233" s="98">
        <f>'Runs Z score'!B226</f>
        <v/>
      </c>
      <c r="C233" s="98">
        <f>'Runs Z score'!C226</f>
        <v/>
      </c>
      <c r="D233" s="98">
        <f>'Runs Z score'!D226</f>
        <v/>
      </c>
      <c r="E233" s="98">
        <f>'Runs Z score'!E226</f>
        <v/>
      </c>
      <c r="F233" s="98">
        <f>'Runs Z score'!F226</f>
        <v/>
      </c>
      <c r="G233" s="99">
        <f>'Runs Z score'!G226</f>
        <v/>
      </c>
      <c r="H233" s="100">
        <f>VLOOKUP(C233,Recipes!$A$2:$N$4,10,FALSE())</f>
        <v/>
      </c>
      <c r="I233" s="101">
        <f>VLOOKUP(C233,Recipes!$A$2:$N$4,12,FALSE())</f>
        <v/>
      </c>
      <c r="J233" s="100">
        <f>IF(G233="","",H233-G233)</f>
        <v/>
      </c>
      <c r="K233" s="100">
        <f>IF(G233="","",-0.5*((J233-Components!$D$2)/Components!$E$2)^2)</f>
        <v/>
      </c>
      <c r="L233" s="100">
        <f>IF(G233="","",-0.5*((J233-Components!$D$3)/Components!$E$3)^2)</f>
        <v/>
      </c>
      <c r="M233" s="100">
        <f>IF(G233="","",-0.5*((J233-Components!$D$4)/Components!$E$4)^2)</f>
        <v/>
      </c>
      <c r="N233" s="100">
        <f>IF(G233="","",-0.5*((J233-Components!$D$5)/Components!$E$5)^2)</f>
        <v/>
      </c>
      <c r="O233" s="100">
        <f>IF(G233="","",-0.5*((J233-Components!$D$6)/Components!$E$6)^2)</f>
        <v/>
      </c>
      <c r="P233" s="100">
        <f>IF(G233="","",-0.5*((J233-Components!$D$7)/Components!$E$7)^2)</f>
        <v/>
      </c>
      <c r="Q233" s="100">
        <f>IF(G233="","",EXP(LARGE(K233:P233,1)-MAX(K233:P233))/(EXP(K233-MAX(K233:P233))+EXP(L233-MAX(K233:P233))+EXP(M233-MAX(K233:P233))+EXP(N233-MAX(K233:P233))+EXP(O233-MAX(K233:P233))+EXP(P233-MAX(K233:P233))))</f>
        <v/>
      </c>
      <c r="R233" s="100">
        <f>IF(G233="","",EXP(LARGE(K233:P233,2)-MAX(K233:P233))/(EXP(K233-MAX(K233:P233))+EXP(L233-MAX(K233:P233))+EXP(M233-MAX(K233:P233))+EXP(N233-MAX(K233:P233))+EXP(O233-MAX(K233:P233))+EXP(P233-MAX(K233:P233))))</f>
        <v/>
      </c>
      <c r="S233" s="100">
        <f>IF(G233="","",Q233-R233)</f>
        <v/>
      </c>
      <c r="T233" s="98">
        <f>IF(G233="","",IF(AND(G233&gt;=H233-$B$6*I233,G233&lt;=H233+$B$6*I233),"OK","NG"))</f>
        <v/>
      </c>
      <c r="U233" s="69">
        <f>IF(T233="","",IF(T233=D233,1,0))</f>
        <v/>
      </c>
      <c r="V233" s="98">
        <f>IF(G233="","",IF(T233="OK","NONE",INDEX({"S1","S2","W1","W2","N1","N2"},MATCH(MAX(K233:P233),K233:P233,0))))</f>
        <v/>
      </c>
      <c r="W233" s="69">
        <f>IF(G233="","",IF(V233=E233,1,0))</f>
        <v/>
      </c>
      <c r="X233" s="115">
        <f>IF(G233="","",IF(AND(T233="NG",S233&lt;$B$7),"AMBIGUOUS","CONFIDENT"))</f>
        <v/>
      </c>
    </row>
    <row r="234">
      <c r="A234" s="102">
        <f>'Runs Z score'!A227</f>
        <v/>
      </c>
      <c r="B234" s="98">
        <f>'Runs Z score'!B227</f>
        <v/>
      </c>
      <c r="C234" s="98">
        <f>'Runs Z score'!C227</f>
        <v/>
      </c>
      <c r="D234" s="98">
        <f>'Runs Z score'!D227</f>
        <v/>
      </c>
      <c r="E234" s="98">
        <f>'Runs Z score'!E227</f>
        <v/>
      </c>
      <c r="F234" s="98">
        <f>'Runs Z score'!F227</f>
        <v/>
      </c>
      <c r="G234" s="99">
        <f>'Runs Z score'!G227</f>
        <v/>
      </c>
      <c r="H234" s="100">
        <f>VLOOKUP(C234,Recipes!$A$2:$N$4,10,FALSE())</f>
        <v/>
      </c>
      <c r="I234" s="101">
        <f>VLOOKUP(C234,Recipes!$A$2:$N$4,12,FALSE())</f>
        <v/>
      </c>
      <c r="J234" s="100">
        <f>IF(G234="","",H234-G234)</f>
        <v/>
      </c>
      <c r="K234" s="100">
        <f>IF(G234="","",-0.5*((J234-Components!$D$2)/Components!$E$2)^2)</f>
        <v/>
      </c>
      <c r="L234" s="100">
        <f>IF(G234="","",-0.5*((J234-Components!$D$3)/Components!$E$3)^2)</f>
        <v/>
      </c>
      <c r="M234" s="100">
        <f>IF(G234="","",-0.5*((J234-Components!$D$4)/Components!$E$4)^2)</f>
        <v/>
      </c>
      <c r="N234" s="100">
        <f>IF(G234="","",-0.5*((J234-Components!$D$5)/Components!$E$5)^2)</f>
        <v/>
      </c>
      <c r="O234" s="100">
        <f>IF(G234="","",-0.5*((J234-Components!$D$6)/Components!$E$6)^2)</f>
        <v/>
      </c>
      <c r="P234" s="100">
        <f>IF(G234="","",-0.5*((J234-Components!$D$7)/Components!$E$7)^2)</f>
        <v/>
      </c>
      <c r="Q234" s="100">
        <f>IF(G234="","",EXP(LARGE(K234:P234,1)-MAX(K234:P234))/(EXP(K234-MAX(K234:P234))+EXP(L234-MAX(K234:P234))+EXP(M234-MAX(K234:P234))+EXP(N234-MAX(K234:P234))+EXP(O234-MAX(K234:P234))+EXP(P234-MAX(K234:P234))))</f>
        <v/>
      </c>
      <c r="R234" s="100">
        <f>IF(G234="","",EXP(LARGE(K234:P234,2)-MAX(K234:P234))/(EXP(K234-MAX(K234:P234))+EXP(L234-MAX(K234:P234))+EXP(M234-MAX(K234:P234))+EXP(N234-MAX(K234:P234))+EXP(O234-MAX(K234:P234))+EXP(P234-MAX(K234:P234))))</f>
        <v/>
      </c>
      <c r="S234" s="100">
        <f>IF(G234="","",Q234-R234)</f>
        <v/>
      </c>
      <c r="T234" s="98">
        <f>IF(G234="","",IF(AND(G234&gt;=H234-$B$6*I234,G234&lt;=H234+$B$6*I234),"OK","NG"))</f>
        <v/>
      </c>
      <c r="U234" s="69">
        <f>IF(T234="","",IF(T234=D234,1,0))</f>
        <v/>
      </c>
      <c r="V234" s="98">
        <f>IF(G234="","",IF(T234="OK","NONE",INDEX({"S1","S2","W1","W2","N1","N2"},MATCH(MAX(K234:P234),K234:P234,0))))</f>
        <v/>
      </c>
      <c r="W234" s="69">
        <f>IF(G234="","",IF(V234=E234,1,0))</f>
        <v/>
      </c>
      <c r="X234" s="115">
        <f>IF(G234="","",IF(AND(T234="NG",S234&lt;$B$7),"AMBIGUOUS","CONFIDENT"))</f>
        <v/>
      </c>
    </row>
    <row r="235">
      <c r="A235" s="102">
        <f>'Runs Z score'!A228</f>
        <v/>
      </c>
      <c r="B235" s="98">
        <f>'Runs Z score'!B228</f>
        <v/>
      </c>
      <c r="C235" s="98">
        <f>'Runs Z score'!C228</f>
        <v/>
      </c>
      <c r="D235" s="98">
        <f>'Runs Z score'!D228</f>
        <v/>
      </c>
      <c r="E235" s="98">
        <f>'Runs Z score'!E228</f>
        <v/>
      </c>
      <c r="F235" s="98">
        <f>'Runs Z score'!F228</f>
        <v/>
      </c>
      <c r="G235" s="99">
        <f>'Runs Z score'!G228</f>
        <v/>
      </c>
      <c r="H235" s="100">
        <f>VLOOKUP(C235,Recipes!$A$2:$N$4,10,FALSE())</f>
        <v/>
      </c>
      <c r="I235" s="101">
        <f>VLOOKUP(C235,Recipes!$A$2:$N$4,12,FALSE())</f>
        <v/>
      </c>
      <c r="J235" s="100">
        <f>IF(G235="","",H235-G235)</f>
        <v/>
      </c>
      <c r="K235" s="100">
        <f>IF(G235="","",-0.5*((J235-Components!$D$2)/Components!$E$2)^2)</f>
        <v/>
      </c>
      <c r="L235" s="100">
        <f>IF(G235="","",-0.5*((J235-Components!$D$3)/Components!$E$3)^2)</f>
        <v/>
      </c>
      <c r="M235" s="100">
        <f>IF(G235="","",-0.5*((J235-Components!$D$4)/Components!$E$4)^2)</f>
        <v/>
      </c>
      <c r="N235" s="100">
        <f>IF(G235="","",-0.5*((J235-Components!$D$5)/Components!$E$5)^2)</f>
        <v/>
      </c>
      <c r="O235" s="100">
        <f>IF(G235="","",-0.5*((J235-Components!$D$6)/Components!$E$6)^2)</f>
        <v/>
      </c>
      <c r="P235" s="100">
        <f>IF(G235="","",-0.5*((J235-Components!$D$7)/Components!$E$7)^2)</f>
        <v/>
      </c>
      <c r="Q235" s="100">
        <f>IF(G235="","",EXP(LARGE(K235:P235,1)-MAX(K235:P235))/(EXP(K235-MAX(K235:P235))+EXP(L235-MAX(K235:P235))+EXP(M235-MAX(K235:P235))+EXP(N235-MAX(K235:P235))+EXP(O235-MAX(K235:P235))+EXP(P235-MAX(K235:P235))))</f>
        <v/>
      </c>
      <c r="R235" s="100">
        <f>IF(G235="","",EXP(LARGE(K235:P235,2)-MAX(K235:P235))/(EXP(K235-MAX(K235:P235))+EXP(L235-MAX(K235:P235))+EXP(M235-MAX(K235:P235))+EXP(N235-MAX(K235:P235))+EXP(O235-MAX(K235:P235))+EXP(P235-MAX(K235:P235))))</f>
        <v/>
      </c>
      <c r="S235" s="100">
        <f>IF(G235="","",Q235-R235)</f>
        <v/>
      </c>
      <c r="T235" s="98">
        <f>IF(G235="","",IF(AND(G235&gt;=H235-$B$6*I235,G235&lt;=H235+$B$6*I235),"OK","NG"))</f>
        <v/>
      </c>
      <c r="U235" s="69">
        <f>IF(T235="","",IF(T235=D235,1,0))</f>
        <v/>
      </c>
      <c r="V235" s="98">
        <f>IF(G235="","",IF(T235="OK","NONE",INDEX({"S1","S2","W1","W2","N1","N2"},MATCH(MAX(K235:P235),K235:P235,0))))</f>
        <v/>
      </c>
      <c r="W235" s="69">
        <f>IF(G235="","",IF(V235=E235,1,0))</f>
        <v/>
      </c>
      <c r="X235" s="115">
        <f>IF(G235="","",IF(AND(T235="NG",S235&lt;$B$7),"AMBIGUOUS","CONFIDENT"))</f>
        <v/>
      </c>
    </row>
    <row r="236">
      <c r="A236" s="102">
        <f>'Runs Z score'!A229</f>
        <v/>
      </c>
      <c r="B236" s="98">
        <f>'Runs Z score'!B229</f>
        <v/>
      </c>
      <c r="C236" s="98">
        <f>'Runs Z score'!C229</f>
        <v/>
      </c>
      <c r="D236" s="98">
        <f>'Runs Z score'!D229</f>
        <v/>
      </c>
      <c r="E236" s="98">
        <f>'Runs Z score'!E229</f>
        <v/>
      </c>
      <c r="F236" s="98">
        <f>'Runs Z score'!F229</f>
        <v/>
      </c>
      <c r="G236" s="99">
        <f>'Runs Z score'!G229</f>
        <v/>
      </c>
      <c r="H236" s="100">
        <f>VLOOKUP(C236,Recipes!$A$2:$N$4,10,FALSE())</f>
        <v/>
      </c>
      <c r="I236" s="101">
        <f>VLOOKUP(C236,Recipes!$A$2:$N$4,12,FALSE())</f>
        <v/>
      </c>
      <c r="J236" s="100">
        <f>IF(G236="","",H236-G236)</f>
        <v/>
      </c>
      <c r="K236" s="100">
        <f>IF(G236="","",-0.5*((J236-Components!$D$2)/Components!$E$2)^2)</f>
        <v/>
      </c>
      <c r="L236" s="100">
        <f>IF(G236="","",-0.5*((J236-Components!$D$3)/Components!$E$3)^2)</f>
        <v/>
      </c>
      <c r="M236" s="100">
        <f>IF(G236="","",-0.5*((J236-Components!$D$4)/Components!$E$4)^2)</f>
        <v/>
      </c>
      <c r="N236" s="100">
        <f>IF(G236="","",-0.5*((J236-Components!$D$5)/Components!$E$5)^2)</f>
        <v/>
      </c>
      <c r="O236" s="100">
        <f>IF(G236="","",-0.5*((J236-Components!$D$6)/Components!$E$6)^2)</f>
        <v/>
      </c>
      <c r="P236" s="100">
        <f>IF(G236="","",-0.5*((J236-Components!$D$7)/Components!$E$7)^2)</f>
        <v/>
      </c>
      <c r="Q236" s="100">
        <f>IF(G236="","",EXP(LARGE(K236:P236,1)-MAX(K236:P236))/(EXP(K236-MAX(K236:P236))+EXP(L236-MAX(K236:P236))+EXP(M236-MAX(K236:P236))+EXP(N236-MAX(K236:P236))+EXP(O236-MAX(K236:P236))+EXP(P236-MAX(K236:P236))))</f>
        <v/>
      </c>
      <c r="R236" s="100">
        <f>IF(G236="","",EXP(LARGE(K236:P236,2)-MAX(K236:P236))/(EXP(K236-MAX(K236:P236))+EXP(L236-MAX(K236:P236))+EXP(M236-MAX(K236:P236))+EXP(N236-MAX(K236:P236))+EXP(O236-MAX(K236:P236))+EXP(P236-MAX(K236:P236))))</f>
        <v/>
      </c>
      <c r="S236" s="100">
        <f>IF(G236="","",Q236-R236)</f>
        <v/>
      </c>
      <c r="T236" s="98">
        <f>IF(G236="","",IF(AND(G236&gt;=H236-$B$6*I236,G236&lt;=H236+$B$6*I236),"OK","NG"))</f>
        <v/>
      </c>
      <c r="U236" s="69">
        <f>IF(T236="","",IF(T236=D236,1,0))</f>
        <v/>
      </c>
      <c r="V236" s="98">
        <f>IF(G236="","",IF(T236="OK","NONE",INDEX({"S1","S2","W1","W2","N1","N2"},MATCH(MAX(K236:P236),K236:P236,0))))</f>
        <v/>
      </c>
      <c r="W236" s="69">
        <f>IF(G236="","",IF(V236=E236,1,0))</f>
        <v/>
      </c>
      <c r="X236" s="115">
        <f>IF(G236="","",IF(AND(T236="NG",S236&lt;$B$7),"AMBIGUOUS","CONFIDENT"))</f>
        <v/>
      </c>
    </row>
    <row r="237">
      <c r="A237" s="102">
        <f>'Runs Z score'!A230</f>
        <v/>
      </c>
      <c r="B237" s="98">
        <f>'Runs Z score'!B230</f>
        <v/>
      </c>
      <c r="C237" s="98">
        <f>'Runs Z score'!C230</f>
        <v/>
      </c>
      <c r="D237" s="98">
        <f>'Runs Z score'!D230</f>
        <v/>
      </c>
      <c r="E237" s="98">
        <f>'Runs Z score'!E230</f>
        <v/>
      </c>
      <c r="F237" s="98">
        <f>'Runs Z score'!F230</f>
        <v/>
      </c>
      <c r="G237" s="99">
        <f>'Runs Z score'!G230</f>
        <v/>
      </c>
      <c r="H237" s="100">
        <f>VLOOKUP(C237,Recipes!$A$2:$N$4,10,FALSE())</f>
        <v/>
      </c>
      <c r="I237" s="101">
        <f>VLOOKUP(C237,Recipes!$A$2:$N$4,12,FALSE())</f>
        <v/>
      </c>
      <c r="J237" s="100">
        <f>IF(G237="","",H237-G237)</f>
        <v/>
      </c>
      <c r="K237" s="100">
        <f>IF(G237="","",-0.5*((J237-Components!$D$2)/Components!$E$2)^2)</f>
        <v/>
      </c>
      <c r="L237" s="100">
        <f>IF(G237="","",-0.5*((J237-Components!$D$3)/Components!$E$3)^2)</f>
        <v/>
      </c>
      <c r="M237" s="100">
        <f>IF(G237="","",-0.5*((J237-Components!$D$4)/Components!$E$4)^2)</f>
        <v/>
      </c>
      <c r="N237" s="100">
        <f>IF(G237="","",-0.5*((J237-Components!$D$5)/Components!$E$5)^2)</f>
        <v/>
      </c>
      <c r="O237" s="100">
        <f>IF(G237="","",-0.5*((J237-Components!$D$6)/Components!$E$6)^2)</f>
        <v/>
      </c>
      <c r="P237" s="100">
        <f>IF(G237="","",-0.5*((J237-Components!$D$7)/Components!$E$7)^2)</f>
        <v/>
      </c>
      <c r="Q237" s="100">
        <f>IF(G237="","",EXP(LARGE(K237:P237,1)-MAX(K237:P237))/(EXP(K237-MAX(K237:P237))+EXP(L237-MAX(K237:P237))+EXP(M237-MAX(K237:P237))+EXP(N237-MAX(K237:P237))+EXP(O237-MAX(K237:P237))+EXP(P237-MAX(K237:P237))))</f>
        <v/>
      </c>
      <c r="R237" s="100">
        <f>IF(G237="","",EXP(LARGE(K237:P237,2)-MAX(K237:P237))/(EXP(K237-MAX(K237:P237))+EXP(L237-MAX(K237:P237))+EXP(M237-MAX(K237:P237))+EXP(N237-MAX(K237:P237))+EXP(O237-MAX(K237:P237))+EXP(P237-MAX(K237:P237))))</f>
        <v/>
      </c>
      <c r="S237" s="100">
        <f>IF(G237="","",Q237-R237)</f>
        <v/>
      </c>
      <c r="T237" s="98">
        <f>IF(G237="","",IF(AND(G237&gt;=H237-$B$6*I237,G237&lt;=H237+$B$6*I237),"OK","NG"))</f>
        <v/>
      </c>
      <c r="U237" s="69">
        <f>IF(T237="","",IF(T237=D237,1,0))</f>
        <v/>
      </c>
      <c r="V237" s="98">
        <f>IF(G237="","",IF(T237="OK","NONE",INDEX({"S1","S2","W1","W2","N1","N2"},MATCH(MAX(K237:P237),K237:P237,0))))</f>
        <v/>
      </c>
      <c r="W237" s="69">
        <f>IF(G237="","",IF(V237=E237,1,0))</f>
        <v/>
      </c>
      <c r="X237" s="115">
        <f>IF(G237="","",IF(AND(T237="NG",S237&lt;$B$7),"AMBIGUOUS","CONFIDENT"))</f>
        <v/>
      </c>
    </row>
    <row r="238">
      <c r="A238" s="102">
        <f>'Runs Z score'!A231</f>
        <v/>
      </c>
      <c r="B238" s="98">
        <f>'Runs Z score'!B231</f>
        <v/>
      </c>
      <c r="C238" s="98">
        <f>'Runs Z score'!C231</f>
        <v/>
      </c>
      <c r="D238" s="98">
        <f>'Runs Z score'!D231</f>
        <v/>
      </c>
      <c r="E238" s="98">
        <f>'Runs Z score'!E231</f>
        <v/>
      </c>
      <c r="F238" s="98">
        <f>'Runs Z score'!F231</f>
        <v/>
      </c>
      <c r="G238" s="99">
        <f>'Runs Z score'!G231</f>
        <v/>
      </c>
      <c r="H238" s="100">
        <f>VLOOKUP(C238,Recipes!$A$2:$N$4,10,FALSE())</f>
        <v/>
      </c>
      <c r="I238" s="101">
        <f>VLOOKUP(C238,Recipes!$A$2:$N$4,12,FALSE())</f>
        <v/>
      </c>
      <c r="J238" s="100">
        <f>IF(G238="","",H238-G238)</f>
        <v/>
      </c>
      <c r="K238" s="100">
        <f>IF(G238="","",-0.5*((J238-Components!$D$2)/Components!$E$2)^2)</f>
        <v/>
      </c>
      <c r="L238" s="100">
        <f>IF(G238="","",-0.5*((J238-Components!$D$3)/Components!$E$3)^2)</f>
        <v/>
      </c>
      <c r="M238" s="100">
        <f>IF(G238="","",-0.5*((J238-Components!$D$4)/Components!$E$4)^2)</f>
        <v/>
      </c>
      <c r="N238" s="100">
        <f>IF(G238="","",-0.5*((J238-Components!$D$5)/Components!$E$5)^2)</f>
        <v/>
      </c>
      <c r="O238" s="100">
        <f>IF(G238="","",-0.5*((J238-Components!$D$6)/Components!$E$6)^2)</f>
        <v/>
      </c>
      <c r="P238" s="100">
        <f>IF(G238="","",-0.5*((J238-Components!$D$7)/Components!$E$7)^2)</f>
        <v/>
      </c>
      <c r="Q238" s="100">
        <f>IF(G238="","",EXP(LARGE(K238:P238,1)-MAX(K238:P238))/(EXP(K238-MAX(K238:P238))+EXP(L238-MAX(K238:P238))+EXP(M238-MAX(K238:P238))+EXP(N238-MAX(K238:P238))+EXP(O238-MAX(K238:P238))+EXP(P238-MAX(K238:P238))))</f>
        <v/>
      </c>
      <c r="R238" s="100">
        <f>IF(G238="","",EXP(LARGE(K238:P238,2)-MAX(K238:P238))/(EXP(K238-MAX(K238:P238))+EXP(L238-MAX(K238:P238))+EXP(M238-MAX(K238:P238))+EXP(N238-MAX(K238:P238))+EXP(O238-MAX(K238:P238))+EXP(P238-MAX(K238:P238))))</f>
        <v/>
      </c>
      <c r="S238" s="100">
        <f>IF(G238="","",Q238-R238)</f>
        <v/>
      </c>
      <c r="T238" s="98">
        <f>IF(G238="","",IF(AND(G238&gt;=H238-$B$6*I238,G238&lt;=H238+$B$6*I238),"OK","NG"))</f>
        <v/>
      </c>
      <c r="U238" s="69">
        <f>IF(T238="","",IF(T238=D238,1,0))</f>
        <v/>
      </c>
      <c r="V238" s="98">
        <f>IF(G238="","",IF(T238="OK","NONE",INDEX({"S1","S2","W1","W2","N1","N2"},MATCH(MAX(K238:P238),K238:P238,0))))</f>
        <v/>
      </c>
      <c r="W238" s="69">
        <f>IF(G238="","",IF(V238=E238,1,0))</f>
        <v/>
      </c>
      <c r="X238" s="115">
        <f>IF(G238="","",IF(AND(T238="NG",S238&lt;$B$7),"AMBIGUOUS","CONFIDENT"))</f>
        <v/>
      </c>
    </row>
    <row r="239">
      <c r="A239" s="102">
        <f>'Runs Z score'!A232</f>
        <v/>
      </c>
      <c r="B239" s="98">
        <f>'Runs Z score'!B232</f>
        <v/>
      </c>
      <c r="C239" s="98">
        <f>'Runs Z score'!C232</f>
        <v/>
      </c>
      <c r="D239" s="98">
        <f>'Runs Z score'!D232</f>
        <v/>
      </c>
      <c r="E239" s="98">
        <f>'Runs Z score'!E232</f>
        <v/>
      </c>
      <c r="F239" s="98">
        <f>'Runs Z score'!F232</f>
        <v/>
      </c>
      <c r="G239" s="99">
        <f>'Runs Z score'!G232</f>
        <v/>
      </c>
      <c r="H239" s="100">
        <f>VLOOKUP(C239,Recipes!$A$2:$N$4,10,FALSE())</f>
        <v/>
      </c>
      <c r="I239" s="101">
        <f>VLOOKUP(C239,Recipes!$A$2:$N$4,12,FALSE())</f>
        <v/>
      </c>
      <c r="J239" s="100">
        <f>IF(G239="","",H239-G239)</f>
        <v/>
      </c>
      <c r="K239" s="100">
        <f>IF(G239="","",-0.5*((J239-Components!$D$2)/Components!$E$2)^2)</f>
        <v/>
      </c>
      <c r="L239" s="100">
        <f>IF(G239="","",-0.5*((J239-Components!$D$3)/Components!$E$3)^2)</f>
        <v/>
      </c>
      <c r="M239" s="100">
        <f>IF(G239="","",-0.5*((J239-Components!$D$4)/Components!$E$4)^2)</f>
        <v/>
      </c>
      <c r="N239" s="100">
        <f>IF(G239="","",-0.5*((J239-Components!$D$5)/Components!$E$5)^2)</f>
        <v/>
      </c>
      <c r="O239" s="100">
        <f>IF(G239="","",-0.5*((J239-Components!$D$6)/Components!$E$6)^2)</f>
        <v/>
      </c>
      <c r="P239" s="100">
        <f>IF(G239="","",-0.5*((J239-Components!$D$7)/Components!$E$7)^2)</f>
        <v/>
      </c>
      <c r="Q239" s="100">
        <f>IF(G239="","",EXP(LARGE(K239:P239,1)-MAX(K239:P239))/(EXP(K239-MAX(K239:P239))+EXP(L239-MAX(K239:P239))+EXP(M239-MAX(K239:P239))+EXP(N239-MAX(K239:P239))+EXP(O239-MAX(K239:P239))+EXP(P239-MAX(K239:P239))))</f>
        <v/>
      </c>
      <c r="R239" s="100">
        <f>IF(G239="","",EXP(LARGE(K239:P239,2)-MAX(K239:P239))/(EXP(K239-MAX(K239:P239))+EXP(L239-MAX(K239:P239))+EXP(M239-MAX(K239:P239))+EXP(N239-MAX(K239:P239))+EXP(O239-MAX(K239:P239))+EXP(P239-MAX(K239:P239))))</f>
        <v/>
      </c>
      <c r="S239" s="100">
        <f>IF(G239="","",Q239-R239)</f>
        <v/>
      </c>
      <c r="T239" s="98">
        <f>IF(G239="","",IF(AND(G239&gt;=H239-$B$6*I239,G239&lt;=H239+$B$6*I239),"OK","NG"))</f>
        <v/>
      </c>
      <c r="U239" s="69">
        <f>IF(T239="","",IF(T239=D239,1,0))</f>
        <v/>
      </c>
      <c r="V239" s="98">
        <f>IF(G239="","",IF(T239="OK","NONE",INDEX({"S1","S2","W1","W2","N1","N2"},MATCH(MAX(K239:P239),K239:P239,0))))</f>
        <v/>
      </c>
      <c r="W239" s="69">
        <f>IF(G239="","",IF(V239=E239,1,0))</f>
        <v/>
      </c>
      <c r="X239" s="115">
        <f>IF(G239="","",IF(AND(T239="NG",S239&lt;$B$7),"AMBIGUOUS","CONFIDENT"))</f>
        <v/>
      </c>
    </row>
    <row r="240">
      <c r="A240" s="102">
        <f>'Runs Z score'!A233</f>
        <v/>
      </c>
      <c r="B240" s="98">
        <f>'Runs Z score'!B233</f>
        <v/>
      </c>
      <c r="C240" s="98">
        <f>'Runs Z score'!C233</f>
        <v/>
      </c>
      <c r="D240" s="98">
        <f>'Runs Z score'!D233</f>
        <v/>
      </c>
      <c r="E240" s="98">
        <f>'Runs Z score'!E233</f>
        <v/>
      </c>
      <c r="F240" s="98">
        <f>'Runs Z score'!F233</f>
        <v/>
      </c>
      <c r="G240" s="99">
        <f>'Runs Z score'!G233</f>
        <v/>
      </c>
      <c r="H240" s="100">
        <f>VLOOKUP(C240,Recipes!$A$2:$N$4,10,FALSE())</f>
        <v/>
      </c>
      <c r="I240" s="101">
        <f>VLOOKUP(C240,Recipes!$A$2:$N$4,12,FALSE())</f>
        <v/>
      </c>
      <c r="J240" s="100">
        <f>IF(G240="","",H240-G240)</f>
        <v/>
      </c>
      <c r="K240" s="100">
        <f>IF(G240="","",-0.5*((J240-Components!$D$2)/Components!$E$2)^2)</f>
        <v/>
      </c>
      <c r="L240" s="100">
        <f>IF(G240="","",-0.5*((J240-Components!$D$3)/Components!$E$3)^2)</f>
        <v/>
      </c>
      <c r="M240" s="100">
        <f>IF(G240="","",-0.5*((J240-Components!$D$4)/Components!$E$4)^2)</f>
        <v/>
      </c>
      <c r="N240" s="100">
        <f>IF(G240="","",-0.5*((J240-Components!$D$5)/Components!$E$5)^2)</f>
        <v/>
      </c>
      <c r="O240" s="100">
        <f>IF(G240="","",-0.5*((J240-Components!$D$6)/Components!$E$6)^2)</f>
        <v/>
      </c>
      <c r="P240" s="100">
        <f>IF(G240="","",-0.5*((J240-Components!$D$7)/Components!$E$7)^2)</f>
        <v/>
      </c>
      <c r="Q240" s="100">
        <f>IF(G240="","",EXP(LARGE(K240:P240,1)-MAX(K240:P240))/(EXP(K240-MAX(K240:P240))+EXP(L240-MAX(K240:P240))+EXP(M240-MAX(K240:P240))+EXP(N240-MAX(K240:P240))+EXP(O240-MAX(K240:P240))+EXP(P240-MAX(K240:P240))))</f>
        <v/>
      </c>
      <c r="R240" s="100">
        <f>IF(G240="","",EXP(LARGE(K240:P240,2)-MAX(K240:P240))/(EXP(K240-MAX(K240:P240))+EXP(L240-MAX(K240:P240))+EXP(M240-MAX(K240:P240))+EXP(N240-MAX(K240:P240))+EXP(O240-MAX(K240:P240))+EXP(P240-MAX(K240:P240))))</f>
        <v/>
      </c>
      <c r="S240" s="100">
        <f>IF(G240="","",Q240-R240)</f>
        <v/>
      </c>
      <c r="T240" s="98">
        <f>IF(G240="","",IF(AND(G240&gt;=H240-$B$6*I240,G240&lt;=H240+$B$6*I240),"OK","NG"))</f>
        <v/>
      </c>
      <c r="U240" s="69">
        <f>IF(T240="","",IF(T240=D240,1,0))</f>
        <v/>
      </c>
      <c r="V240" s="98">
        <f>IF(G240="","",IF(T240="OK","NONE",INDEX({"S1","S2","W1","W2","N1","N2"},MATCH(MAX(K240:P240),K240:P240,0))))</f>
        <v/>
      </c>
      <c r="W240" s="69">
        <f>IF(G240="","",IF(V240=E240,1,0))</f>
        <v/>
      </c>
      <c r="X240" s="115">
        <f>IF(G240="","",IF(AND(T240="NG",S240&lt;$B$7),"AMBIGUOUS","CONFIDENT"))</f>
        <v/>
      </c>
    </row>
    <row r="241">
      <c r="A241" s="102">
        <f>'Runs Z score'!A234</f>
        <v/>
      </c>
      <c r="B241" s="98">
        <f>'Runs Z score'!B234</f>
        <v/>
      </c>
      <c r="C241" s="98">
        <f>'Runs Z score'!C234</f>
        <v/>
      </c>
      <c r="D241" s="98">
        <f>'Runs Z score'!D234</f>
        <v/>
      </c>
      <c r="E241" s="98">
        <f>'Runs Z score'!E234</f>
        <v/>
      </c>
      <c r="F241" s="98">
        <f>'Runs Z score'!F234</f>
        <v/>
      </c>
      <c r="G241" s="99">
        <f>'Runs Z score'!G234</f>
        <v/>
      </c>
      <c r="H241" s="100">
        <f>VLOOKUP(C241,Recipes!$A$2:$N$4,10,FALSE())</f>
        <v/>
      </c>
      <c r="I241" s="101">
        <f>VLOOKUP(C241,Recipes!$A$2:$N$4,12,FALSE())</f>
        <v/>
      </c>
      <c r="J241" s="100">
        <f>IF(G241="","",H241-G241)</f>
        <v/>
      </c>
      <c r="K241" s="100">
        <f>IF(G241="","",-0.5*((J241-Components!$D$2)/Components!$E$2)^2)</f>
        <v/>
      </c>
      <c r="L241" s="100">
        <f>IF(G241="","",-0.5*((J241-Components!$D$3)/Components!$E$3)^2)</f>
        <v/>
      </c>
      <c r="M241" s="100">
        <f>IF(G241="","",-0.5*((J241-Components!$D$4)/Components!$E$4)^2)</f>
        <v/>
      </c>
      <c r="N241" s="100">
        <f>IF(G241="","",-0.5*((J241-Components!$D$5)/Components!$E$5)^2)</f>
        <v/>
      </c>
      <c r="O241" s="100">
        <f>IF(G241="","",-0.5*((J241-Components!$D$6)/Components!$E$6)^2)</f>
        <v/>
      </c>
      <c r="P241" s="100">
        <f>IF(G241="","",-0.5*((J241-Components!$D$7)/Components!$E$7)^2)</f>
        <v/>
      </c>
      <c r="Q241" s="100">
        <f>IF(G241="","",EXP(LARGE(K241:P241,1)-MAX(K241:P241))/(EXP(K241-MAX(K241:P241))+EXP(L241-MAX(K241:P241))+EXP(M241-MAX(K241:P241))+EXP(N241-MAX(K241:P241))+EXP(O241-MAX(K241:P241))+EXP(P241-MAX(K241:P241))))</f>
        <v/>
      </c>
      <c r="R241" s="100">
        <f>IF(G241="","",EXP(LARGE(K241:P241,2)-MAX(K241:P241))/(EXP(K241-MAX(K241:P241))+EXP(L241-MAX(K241:P241))+EXP(M241-MAX(K241:P241))+EXP(N241-MAX(K241:P241))+EXP(O241-MAX(K241:P241))+EXP(P241-MAX(K241:P241))))</f>
        <v/>
      </c>
      <c r="S241" s="100">
        <f>IF(G241="","",Q241-R241)</f>
        <v/>
      </c>
      <c r="T241" s="98">
        <f>IF(G241="","",IF(AND(G241&gt;=H241-$B$6*I241,G241&lt;=H241+$B$6*I241),"OK","NG"))</f>
        <v/>
      </c>
      <c r="U241" s="69">
        <f>IF(T241="","",IF(T241=D241,1,0))</f>
        <v/>
      </c>
      <c r="V241" s="98">
        <f>IF(G241="","",IF(T241="OK","NONE",INDEX({"S1","S2","W1","W2","N1","N2"},MATCH(MAX(K241:P241),K241:P241,0))))</f>
        <v/>
      </c>
      <c r="W241" s="69">
        <f>IF(G241="","",IF(V241=E241,1,0))</f>
        <v/>
      </c>
      <c r="X241" s="115">
        <f>IF(G241="","",IF(AND(T241="NG",S241&lt;$B$7),"AMBIGUOUS","CONFIDENT"))</f>
        <v/>
      </c>
    </row>
    <row r="242">
      <c r="A242" s="102">
        <f>'Runs Z score'!A235</f>
        <v/>
      </c>
      <c r="B242" s="98">
        <f>'Runs Z score'!B235</f>
        <v/>
      </c>
      <c r="C242" s="98">
        <f>'Runs Z score'!C235</f>
        <v/>
      </c>
      <c r="D242" s="98">
        <f>'Runs Z score'!D235</f>
        <v/>
      </c>
      <c r="E242" s="98">
        <f>'Runs Z score'!E235</f>
        <v/>
      </c>
      <c r="F242" s="98">
        <f>'Runs Z score'!F235</f>
        <v/>
      </c>
      <c r="G242" s="99">
        <f>'Runs Z score'!G235</f>
        <v/>
      </c>
      <c r="H242" s="100">
        <f>VLOOKUP(C242,Recipes!$A$2:$N$4,10,FALSE())</f>
        <v/>
      </c>
      <c r="I242" s="101">
        <f>VLOOKUP(C242,Recipes!$A$2:$N$4,12,FALSE())</f>
        <v/>
      </c>
      <c r="J242" s="100">
        <f>IF(G242="","",H242-G242)</f>
        <v/>
      </c>
      <c r="K242" s="100">
        <f>IF(G242="","",-0.5*((J242-Components!$D$2)/Components!$E$2)^2)</f>
        <v/>
      </c>
      <c r="L242" s="100">
        <f>IF(G242="","",-0.5*((J242-Components!$D$3)/Components!$E$3)^2)</f>
        <v/>
      </c>
      <c r="M242" s="100">
        <f>IF(G242="","",-0.5*((J242-Components!$D$4)/Components!$E$4)^2)</f>
        <v/>
      </c>
      <c r="N242" s="100">
        <f>IF(G242="","",-0.5*((J242-Components!$D$5)/Components!$E$5)^2)</f>
        <v/>
      </c>
      <c r="O242" s="100">
        <f>IF(G242="","",-0.5*((J242-Components!$D$6)/Components!$E$6)^2)</f>
        <v/>
      </c>
      <c r="P242" s="100">
        <f>IF(G242="","",-0.5*((J242-Components!$D$7)/Components!$E$7)^2)</f>
        <v/>
      </c>
      <c r="Q242" s="100">
        <f>IF(G242="","",EXP(LARGE(K242:P242,1)-MAX(K242:P242))/(EXP(K242-MAX(K242:P242))+EXP(L242-MAX(K242:P242))+EXP(M242-MAX(K242:P242))+EXP(N242-MAX(K242:P242))+EXP(O242-MAX(K242:P242))+EXP(P242-MAX(K242:P242))))</f>
        <v/>
      </c>
      <c r="R242" s="100">
        <f>IF(G242="","",EXP(LARGE(K242:P242,2)-MAX(K242:P242))/(EXP(K242-MAX(K242:P242))+EXP(L242-MAX(K242:P242))+EXP(M242-MAX(K242:P242))+EXP(N242-MAX(K242:P242))+EXP(O242-MAX(K242:P242))+EXP(P242-MAX(K242:P242))))</f>
        <v/>
      </c>
      <c r="S242" s="100">
        <f>IF(G242="","",Q242-R242)</f>
        <v/>
      </c>
      <c r="T242" s="98">
        <f>IF(G242="","",IF(AND(G242&gt;=H242-$B$6*I242,G242&lt;=H242+$B$6*I242),"OK","NG"))</f>
        <v/>
      </c>
      <c r="U242" s="69">
        <f>IF(T242="","",IF(T242=D242,1,0))</f>
        <v/>
      </c>
      <c r="V242" s="98">
        <f>IF(G242="","",IF(T242="OK","NONE",INDEX({"S1","S2","W1","W2","N1","N2"},MATCH(MAX(K242:P242),K242:P242,0))))</f>
        <v/>
      </c>
      <c r="W242" s="69">
        <f>IF(G242="","",IF(V242=E242,1,0))</f>
        <v/>
      </c>
      <c r="X242" s="115">
        <f>IF(G242="","",IF(AND(T242="NG",S242&lt;$B$7),"AMBIGUOUS","CONFIDENT"))</f>
        <v/>
      </c>
    </row>
    <row r="243">
      <c r="A243" s="102">
        <f>'Runs Z score'!A236</f>
        <v/>
      </c>
      <c r="B243" s="98">
        <f>'Runs Z score'!B236</f>
        <v/>
      </c>
      <c r="C243" s="98">
        <f>'Runs Z score'!C236</f>
        <v/>
      </c>
      <c r="D243" s="98">
        <f>'Runs Z score'!D236</f>
        <v/>
      </c>
      <c r="E243" s="98">
        <f>'Runs Z score'!E236</f>
        <v/>
      </c>
      <c r="F243" s="98">
        <f>'Runs Z score'!F236</f>
        <v/>
      </c>
      <c r="G243" s="99">
        <f>'Runs Z score'!G236</f>
        <v/>
      </c>
      <c r="H243" s="100">
        <f>VLOOKUP(C243,Recipes!$A$2:$N$4,10,FALSE())</f>
        <v/>
      </c>
      <c r="I243" s="101">
        <f>VLOOKUP(C243,Recipes!$A$2:$N$4,12,FALSE())</f>
        <v/>
      </c>
      <c r="J243" s="100">
        <f>IF(G243="","",H243-G243)</f>
        <v/>
      </c>
      <c r="K243" s="100">
        <f>IF(G243="","",-0.5*((J243-Components!$D$2)/Components!$E$2)^2)</f>
        <v/>
      </c>
      <c r="L243" s="100">
        <f>IF(G243="","",-0.5*((J243-Components!$D$3)/Components!$E$3)^2)</f>
        <v/>
      </c>
      <c r="M243" s="100">
        <f>IF(G243="","",-0.5*((J243-Components!$D$4)/Components!$E$4)^2)</f>
        <v/>
      </c>
      <c r="N243" s="100">
        <f>IF(G243="","",-0.5*((J243-Components!$D$5)/Components!$E$5)^2)</f>
        <v/>
      </c>
      <c r="O243" s="100">
        <f>IF(G243="","",-0.5*((J243-Components!$D$6)/Components!$E$6)^2)</f>
        <v/>
      </c>
      <c r="P243" s="100">
        <f>IF(G243="","",-0.5*((J243-Components!$D$7)/Components!$E$7)^2)</f>
        <v/>
      </c>
      <c r="Q243" s="100">
        <f>IF(G243="","",EXP(LARGE(K243:P243,1)-MAX(K243:P243))/(EXP(K243-MAX(K243:P243))+EXP(L243-MAX(K243:P243))+EXP(M243-MAX(K243:P243))+EXP(N243-MAX(K243:P243))+EXP(O243-MAX(K243:P243))+EXP(P243-MAX(K243:P243))))</f>
        <v/>
      </c>
      <c r="R243" s="100">
        <f>IF(G243="","",EXP(LARGE(K243:P243,2)-MAX(K243:P243))/(EXP(K243-MAX(K243:P243))+EXP(L243-MAX(K243:P243))+EXP(M243-MAX(K243:P243))+EXP(N243-MAX(K243:P243))+EXP(O243-MAX(K243:P243))+EXP(P243-MAX(K243:P243))))</f>
        <v/>
      </c>
      <c r="S243" s="100">
        <f>IF(G243="","",Q243-R243)</f>
        <v/>
      </c>
      <c r="T243" s="98">
        <f>IF(G243="","",IF(AND(G243&gt;=H243-$B$6*I243,G243&lt;=H243+$B$6*I243),"OK","NG"))</f>
        <v/>
      </c>
      <c r="U243" s="69">
        <f>IF(T243="","",IF(T243=D243,1,0))</f>
        <v/>
      </c>
      <c r="V243" s="98">
        <f>IF(G243="","",IF(T243="OK","NONE",INDEX({"S1","S2","W1","W2","N1","N2"},MATCH(MAX(K243:P243),K243:P243,0))))</f>
        <v/>
      </c>
      <c r="W243" s="69">
        <f>IF(G243="","",IF(V243=E243,1,0))</f>
        <v/>
      </c>
      <c r="X243" s="115">
        <f>IF(G243="","",IF(AND(T243="NG",S243&lt;$B$7),"AMBIGUOUS","CONFIDENT"))</f>
        <v/>
      </c>
    </row>
    <row r="244">
      <c r="A244" s="102">
        <f>'Runs Z score'!A237</f>
        <v/>
      </c>
      <c r="B244" s="98">
        <f>'Runs Z score'!B237</f>
        <v/>
      </c>
      <c r="C244" s="98">
        <f>'Runs Z score'!C237</f>
        <v/>
      </c>
      <c r="D244" s="98">
        <f>'Runs Z score'!D237</f>
        <v/>
      </c>
      <c r="E244" s="98">
        <f>'Runs Z score'!E237</f>
        <v/>
      </c>
      <c r="F244" s="98">
        <f>'Runs Z score'!F237</f>
        <v/>
      </c>
      <c r="G244" s="99">
        <f>'Runs Z score'!G237</f>
        <v/>
      </c>
      <c r="H244" s="100">
        <f>VLOOKUP(C244,Recipes!$A$2:$N$4,10,FALSE())</f>
        <v/>
      </c>
      <c r="I244" s="101">
        <f>VLOOKUP(C244,Recipes!$A$2:$N$4,12,FALSE())</f>
        <v/>
      </c>
      <c r="J244" s="100">
        <f>IF(G244="","",H244-G244)</f>
        <v/>
      </c>
      <c r="K244" s="100">
        <f>IF(G244="","",-0.5*((J244-Components!$D$2)/Components!$E$2)^2)</f>
        <v/>
      </c>
      <c r="L244" s="100">
        <f>IF(G244="","",-0.5*((J244-Components!$D$3)/Components!$E$3)^2)</f>
        <v/>
      </c>
      <c r="M244" s="100">
        <f>IF(G244="","",-0.5*((J244-Components!$D$4)/Components!$E$4)^2)</f>
        <v/>
      </c>
      <c r="N244" s="100">
        <f>IF(G244="","",-0.5*((J244-Components!$D$5)/Components!$E$5)^2)</f>
        <v/>
      </c>
      <c r="O244" s="100">
        <f>IF(G244="","",-0.5*((J244-Components!$D$6)/Components!$E$6)^2)</f>
        <v/>
      </c>
      <c r="P244" s="100">
        <f>IF(G244="","",-0.5*((J244-Components!$D$7)/Components!$E$7)^2)</f>
        <v/>
      </c>
      <c r="Q244" s="100">
        <f>IF(G244="","",EXP(LARGE(K244:P244,1)-MAX(K244:P244))/(EXP(K244-MAX(K244:P244))+EXP(L244-MAX(K244:P244))+EXP(M244-MAX(K244:P244))+EXP(N244-MAX(K244:P244))+EXP(O244-MAX(K244:P244))+EXP(P244-MAX(K244:P244))))</f>
        <v/>
      </c>
      <c r="R244" s="100">
        <f>IF(G244="","",EXP(LARGE(K244:P244,2)-MAX(K244:P244))/(EXP(K244-MAX(K244:P244))+EXP(L244-MAX(K244:P244))+EXP(M244-MAX(K244:P244))+EXP(N244-MAX(K244:P244))+EXP(O244-MAX(K244:P244))+EXP(P244-MAX(K244:P244))))</f>
        <v/>
      </c>
      <c r="S244" s="100">
        <f>IF(G244="","",Q244-R244)</f>
        <v/>
      </c>
      <c r="T244" s="98">
        <f>IF(G244="","",IF(AND(G244&gt;=H244-$B$6*I244,G244&lt;=H244+$B$6*I244),"OK","NG"))</f>
        <v/>
      </c>
      <c r="U244" s="69">
        <f>IF(T244="","",IF(T244=D244,1,0))</f>
        <v/>
      </c>
      <c r="V244" s="98">
        <f>IF(G244="","",IF(T244="OK","NONE",INDEX({"S1","S2","W1","W2","N1","N2"},MATCH(MAX(K244:P244),K244:P244,0))))</f>
        <v/>
      </c>
      <c r="W244" s="69">
        <f>IF(G244="","",IF(V244=E244,1,0))</f>
        <v/>
      </c>
      <c r="X244" s="115">
        <f>IF(G244="","",IF(AND(T244="NG",S244&lt;$B$7),"AMBIGUOUS","CONFIDENT"))</f>
        <v/>
      </c>
    </row>
    <row r="245">
      <c r="A245" s="102">
        <f>'Runs Z score'!A238</f>
        <v/>
      </c>
      <c r="B245" s="98">
        <f>'Runs Z score'!B238</f>
        <v/>
      </c>
      <c r="C245" s="98">
        <f>'Runs Z score'!C238</f>
        <v/>
      </c>
      <c r="D245" s="98">
        <f>'Runs Z score'!D238</f>
        <v/>
      </c>
      <c r="E245" s="98">
        <f>'Runs Z score'!E238</f>
        <v/>
      </c>
      <c r="F245" s="98">
        <f>'Runs Z score'!F238</f>
        <v/>
      </c>
      <c r="G245" s="99">
        <f>'Runs Z score'!G238</f>
        <v/>
      </c>
      <c r="H245" s="100">
        <f>VLOOKUP(C245,Recipes!$A$2:$N$4,10,FALSE())</f>
        <v/>
      </c>
      <c r="I245" s="101">
        <f>VLOOKUP(C245,Recipes!$A$2:$N$4,12,FALSE())</f>
        <v/>
      </c>
      <c r="J245" s="100">
        <f>IF(G245="","",H245-G245)</f>
        <v/>
      </c>
      <c r="K245" s="100">
        <f>IF(G245="","",-0.5*((J245-Components!$D$2)/Components!$E$2)^2)</f>
        <v/>
      </c>
      <c r="L245" s="100">
        <f>IF(G245="","",-0.5*((J245-Components!$D$3)/Components!$E$3)^2)</f>
        <v/>
      </c>
      <c r="M245" s="100">
        <f>IF(G245="","",-0.5*((J245-Components!$D$4)/Components!$E$4)^2)</f>
        <v/>
      </c>
      <c r="N245" s="100">
        <f>IF(G245="","",-0.5*((J245-Components!$D$5)/Components!$E$5)^2)</f>
        <v/>
      </c>
      <c r="O245" s="100">
        <f>IF(G245="","",-0.5*((J245-Components!$D$6)/Components!$E$6)^2)</f>
        <v/>
      </c>
      <c r="P245" s="100">
        <f>IF(G245="","",-0.5*((J245-Components!$D$7)/Components!$E$7)^2)</f>
        <v/>
      </c>
      <c r="Q245" s="100">
        <f>IF(G245="","",EXP(LARGE(K245:P245,1)-MAX(K245:P245))/(EXP(K245-MAX(K245:P245))+EXP(L245-MAX(K245:P245))+EXP(M245-MAX(K245:P245))+EXP(N245-MAX(K245:P245))+EXP(O245-MAX(K245:P245))+EXP(P245-MAX(K245:P245))))</f>
        <v/>
      </c>
      <c r="R245" s="100">
        <f>IF(G245="","",EXP(LARGE(K245:P245,2)-MAX(K245:P245))/(EXP(K245-MAX(K245:P245))+EXP(L245-MAX(K245:P245))+EXP(M245-MAX(K245:P245))+EXP(N245-MAX(K245:P245))+EXP(O245-MAX(K245:P245))+EXP(P245-MAX(K245:P245))))</f>
        <v/>
      </c>
      <c r="S245" s="100">
        <f>IF(G245="","",Q245-R245)</f>
        <v/>
      </c>
      <c r="T245" s="98">
        <f>IF(G245="","",IF(AND(G245&gt;=H245-$B$6*I245,G245&lt;=H245+$B$6*I245),"OK","NG"))</f>
        <v/>
      </c>
      <c r="U245" s="69">
        <f>IF(T245="","",IF(T245=D245,1,0))</f>
        <v/>
      </c>
      <c r="V245" s="98">
        <f>IF(G245="","",IF(T245="OK","NONE",INDEX({"S1","S2","W1","W2","N1","N2"},MATCH(MAX(K245:P245),K245:P245,0))))</f>
        <v/>
      </c>
      <c r="W245" s="69">
        <f>IF(G245="","",IF(V245=E245,1,0))</f>
        <v/>
      </c>
      <c r="X245" s="115">
        <f>IF(G245="","",IF(AND(T245="NG",S245&lt;$B$7),"AMBIGUOUS","CONFIDENT"))</f>
        <v/>
      </c>
    </row>
    <row r="246">
      <c r="A246" s="102">
        <f>'Runs Z score'!A239</f>
        <v/>
      </c>
      <c r="B246" s="98">
        <f>'Runs Z score'!B239</f>
        <v/>
      </c>
      <c r="C246" s="98">
        <f>'Runs Z score'!C239</f>
        <v/>
      </c>
      <c r="D246" s="98">
        <f>'Runs Z score'!D239</f>
        <v/>
      </c>
      <c r="E246" s="98">
        <f>'Runs Z score'!E239</f>
        <v/>
      </c>
      <c r="F246" s="98">
        <f>'Runs Z score'!F239</f>
        <v/>
      </c>
      <c r="G246" s="99">
        <f>'Runs Z score'!G239</f>
        <v/>
      </c>
      <c r="H246" s="100">
        <f>VLOOKUP(C246,Recipes!$A$2:$N$4,10,FALSE())</f>
        <v/>
      </c>
      <c r="I246" s="101">
        <f>VLOOKUP(C246,Recipes!$A$2:$N$4,12,FALSE())</f>
        <v/>
      </c>
      <c r="J246" s="100">
        <f>IF(G246="","",H246-G246)</f>
        <v/>
      </c>
      <c r="K246" s="100">
        <f>IF(G246="","",-0.5*((J246-Components!$D$2)/Components!$E$2)^2)</f>
        <v/>
      </c>
      <c r="L246" s="100">
        <f>IF(G246="","",-0.5*((J246-Components!$D$3)/Components!$E$3)^2)</f>
        <v/>
      </c>
      <c r="M246" s="100">
        <f>IF(G246="","",-0.5*((J246-Components!$D$4)/Components!$E$4)^2)</f>
        <v/>
      </c>
      <c r="N246" s="100">
        <f>IF(G246="","",-0.5*((J246-Components!$D$5)/Components!$E$5)^2)</f>
        <v/>
      </c>
      <c r="O246" s="100">
        <f>IF(G246="","",-0.5*((J246-Components!$D$6)/Components!$E$6)^2)</f>
        <v/>
      </c>
      <c r="P246" s="100">
        <f>IF(G246="","",-0.5*((J246-Components!$D$7)/Components!$E$7)^2)</f>
        <v/>
      </c>
      <c r="Q246" s="100">
        <f>IF(G246="","",EXP(LARGE(K246:P246,1)-MAX(K246:P246))/(EXP(K246-MAX(K246:P246))+EXP(L246-MAX(K246:P246))+EXP(M246-MAX(K246:P246))+EXP(N246-MAX(K246:P246))+EXP(O246-MAX(K246:P246))+EXP(P246-MAX(K246:P246))))</f>
        <v/>
      </c>
      <c r="R246" s="100">
        <f>IF(G246="","",EXP(LARGE(K246:P246,2)-MAX(K246:P246))/(EXP(K246-MAX(K246:P246))+EXP(L246-MAX(K246:P246))+EXP(M246-MAX(K246:P246))+EXP(N246-MAX(K246:P246))+EXP(O246-MAX(K246:P246))+EXP(P246-MAX(K246:P246))))</f>
        <v/>
      </c>
      <c r="S246" s="100">
        <f>IF(G246="","",Q246-R246)</f>
        <v/>
      </c>
      <c r="T246" s="98">
        <f>IF(G246="","",IF(AND(G246&gt;=H246-$B$6*I246,G246&lt;=H246+$B$6*I246),"OK","NG"))</f>
        <v/>
      </c>
      <c r="U246" s="69">
        <f>IF(T246="","",IF(T246=D246,1,0))</f>
        <v/>
      </c>
      <c r="V246" s="98">
        <f>IF(G246="","",IF(T246="OK","NONE",INDEX({"S1","S2","W1","W2","N1","N2"},MATCH(MAX(K246:P246),K246:P246,0))))</f>
        <v/>
      </c>
      <c r="W246" s="69">
        <f>IF(G246="","",IF(V246=E246,1,0))</f>
        <v/>
      </c>
      <c r="X246" s="115">
        <f>IF(G246="","",IF(AND(T246="NG",S246&lt;$B$7),"AMBIGUOUS","CONFIDENT"))</f>
        <v/>
      </c>
    </row>
    <row r="247">
      <c r="A247" s="102">
        <f>'Runs Z score'!A240</f>
        <v/>
      </c>
      <c r="B247" s="98">
        <f>'Runs Z score'!B240</f>
        <v/>
      </c>
      <c r="C247" s="98">
        <f>'Runs Z score'!C240</f>
        <v/>
      </c>
      <c r="D247" s="98">
        <f>'Runs Z score'!D240</f>
        <v/>
      </c>
      <c r="E247" s="98">
        <f>'Runs Z score'!E240</f>
        <v/>
      </c>
      <c r="F247" s="98">
        <f>'Runs Z score'!F240</f>
        <v/>
      </c>
      <c r="G247" s="99">
        <f>'Runs Z score'!G240</f>
        <v/>
      </c>
      <c r="H247" s="100">
        <f>VLOOKUP(C247,Recipes!$A$2:$N$4,10,FALSE())</f>
        <v/>
      </c>
      <c r="I247" s="101">
        <f>VLOOKUP(C247,Recipes!$A$2:$N$4,12,FALSE())</f>
        <v/>
      </c>
      <c r="J247" s="100">
        <f>IF(G247="","",H247-G247)</f>
        <v/>
      </c>
      <c r="K247" s="100">
        <f>IF(G247="","",-0.5*((J247-Components!$D$2)/Components!$E$2)^2)</f>
        <v/>
      </c>
      <c r="L247" s="100">
        <f>IF(G247="","",-0.5*((J247-Components!$D$3)/Components!$E$3)^2)</f>
        <v/>
      </c>
      <c r="M247" s="100">
        <f>IF(G247="","",-0.5*((J247-Components!$D$4)/Components!$E$4)^2)</f>
        <v/>
      </c>
      <c r="N247" s="100">
        <f>IF(G247="","",-0.5*((J247-Components!$D$5)/Components!$E$5)^2)</f>
        <v/>
      </c>
      <c r="O247" s="100">
        <f>IF(G247="","",-0.5*((J247-Components!$D$6)/Components!$E$6)^2)</f>
        <v/>
      </c>
      <c r="P247" s="100">
        <f>IF(G247="","",-0.5*((J247-Components!$D$7)/Components!$E$7)^2)</f>
        <v/>
      </c>
      <c r="Q247" s="100">
        <f>IF(G247="","",EXP(LARGE(K247:P247,1)-MAX(K247:P247))/(EXP(K247-MAX(K247:P247))+EXP(L247-MAX(K247:P247))+EXP(M247-MAX(K247:P247))+EXP(N247-MAX(K247:P247))+EXP(O247-MAX(K247:P247))+EXP(P247-MAX(K247:P247))))</f>
        <v/>
      </c>
      <c r="R247" s="100">
        <f>IF(G247="","",EXP(LARGE(K247:P247,2)-MAX(K247:P247))/(EXP(K247-MAX(K247:P247))+EXP(L247-MAX(K247:P247))+EXP(M247-MAX(K247:P247))+EXP(N247-MAX(K247:P247))+EXP(O247-MAX(K247:P247))+EXP(P247-MAX(K247:P247))))</f>
        <v/>
      </c>
      <c r="S247" s="100">
        <f>IF(G247="","",Q247-R247)</f>
        <v/>
      </c>
      <c r="T247" s="98">
        <f>IF(G247="","",IF(AND(G247&gt;=H247-$B$6*I247,G247&lt;=H247+$B$6*I247),"OK","NG"))</f>
        <v/>
      </c>
      <c r="U247" s="69">
        <f>IF(T247="","",IF(T247=D247,1,0))</f>
        <v/>
      </c>
      <c r="V247" s="98">
        <f>IF(G247="","",IF(T247="OK","NONE",INDEX({"S1","S2","W1","W2","N1","N2"},MATCH(MAX(K247:P247),K247:P247,0))))</f>
        <v/>
      </c>
      <c r="W247" s="69">
        <f>IF(G247="","",IF(V247=E247,1,0))</f>
        <v/>
      </c>
      <c r="X247" s="115">
        <f>IF(G247="","",IF(AND(T247="NG",S247&lt;$B$7),"AMBIGUOUS","CONFIDENT"))</f>
        <v/>
      </c>
    </row>
    <row r="248">
      <c r="A248" s="102">
        <f>'Runs Z score'!A241</f>
        <v/>
      </c>
      <c r="B248" s="98">
        <f>'Runs Z score'!B241</f>
        <v/>
      </c>
      <c r="C248" s="98">
        <f>'Runs Z score'!C241</f>
        <v/>
      </c>
      <c r="D248" s="98">
        <f>'Runs Z score'!D241</f>
        <v/>
      </c>
      <c r="E248" s="98">
        <f>'Runs Z score'!E241</f>
        <v/>
      </c>
      <c r="F248" s="98">
        <f>'Runs Z score'!F241</f>
        <v/>
      </c>
      <c r="G248" s="99">
        <f>'Runs Z score'!G241</f>
        <v/>
      </c>
      <c r="H248" s="100">
        <f>VLOOKUP(C248,Recipes!$A$2:$N$4,10,FALSE())</f>
        <v/>
      </c>
      <c r="I248" s="101">
        <f>VLOOKUP(C248,Recipes!$A$2:$N$4,12,FALSE())</f>
        <v/>
      </c>
      <c r="J248" s="100">
        <f>IF(G248="","",H248-G248)</f>
        <v/>
      </c>
      <c r="K248" s="100">
        <f>IF(G248="","",-0.5*((J248-Components!$D$2)/Components!$E$2)^2)</f>
        <v/>
      </c>
      <c r="L248" s="100">
        <f>IF(G248="","",-0.5*((J248-Components!$D$3)/Components!$E$3)^2)</f>
        <v/>
      </c>
      <c r="M248" s="100">
        <f>IF(G248="","",-0.5*((J248-Components!$D$4)/Components!$E$4)^2)</f>
        <v/>
      </c>
      <c r="N248" s="100">
        <f>IF(G248="","",-0.5*((J248-Components!$D$5)/Components!$E$5)^2)</f>
        <v/>
      </c>
      <c r="O248" s="100">
        <f>IF(G248="","",-0.5*((J248-Components!$D$6)/Components!$E$6)^2)</f>
        <v/>
      </c>
      <c r="P248" s="100">
        <f>IF(G248="","",-0.5*((J248-Components!$D$7)/Components!$E$7)^2)</f>
        <v/>
      </c>
      <c r="Q248" s="100">
        <f>IF(G248="","",EXP(LARGE(K248:P248,1)-MAX(K248:P248))/(EXP(K248-MAX(K248:P248))+EXP(L248-MAX(K248:P248))+EXP(M248-MAX(K248:P248))+EXP(N248-MAX(K248:P248))+EXP(O248-MAX(K248:P248))+EXP(P248-MAX(K248:P248))))</f>
        <v/>
      </c>
      <c r="R248" s="100">
        <f>IF(G248="","",EXP(LARGE(K248:P248,2)-MAX(K248:P248))/(EXP(K248-MAX(K248:P248))+EXP(L248-MAX(K248:P248))+EXP(M248-MAX(K248:P248))+EXP(N248-MAX(K248:P248))+EXP(O248-MAX(K248:P248))+EXP(P248-MAX(K248:P248))))</f>
        <v/>
      </c>
      <c r="S248" s="100">
        <f>IF(G248="","",Q248-R248)</f>
        <v/>
      </c>
      <c r="T248" s="98">
        <f>IF(G248="","",IF(AND(G248&gt;=H248-$B$6*I248,G248&lt;=H248+$B$6*I248),"OK","NG"))</f>
        <v/>
      </c>
      <c r="U248" s="69">
        <f>IF(T248="","",IF(T248=D248,1,0))</f>
        <v/>
      </c>
      <c r="V248" s="98">
        <f>IF(G248="","",IF(T248="OK","NONE",INDEX({"S1","S2","W1","W2","N1","N2"},MATCH(MAX(K248:P248),K248:P248,0))))</f>
        <v/>
      </c>
      <c r="W248" s="69">
        <f>IF(G248="","",IF(V248=E248,1,0))</f>
        <v/>
      </c>
      <c r="X248" s="115">
        <f>IF(G248="","",IF(AND(T248="NG",S248&lt;$B$7),"AMBIGUOUS","CONFIDENT"))</f>
        <v/>
      </c>
    </row>
    <row r="249">
      <c r="A249" s="102">
        <f>'Runs Z score'!A242</f>
        <v/>
      </c>
      <c r="B249" s="98">
        <f>'Runs Z score'!B242</f>
        <v/>
      </c>
      <c r="C249" s="98">
        <f>'Runs Z score'!C242</f>
        <v/>
      </c>
      <c r="D249" s="98">
        <f>'Runs Z score'!D242</f>
        <v/>
      </c>
      <c r="E249" s="98">
        <f>'Runs Z score'!E242</f>
        <v/>
      </c>
      <c r="F249" s="98">
        <f>'Runs Z score'!F242</f>
        <v/>
      </c>
      <c r="G249" s="99">
        <f>'Runs Z score'!G242</f>
        <v/>
      </c>
      <c r="H249" s="100">
        <f>VLOOKUP(C249,Recipes!$A$2:$N$4,10,FALSE())</f>
        <v/>
      </c>
      <c r="I249" s="101">
        <f>VLOOKUP(C249,Recipes!$A$2:$N$4,12,FALSE())</f>
        <v/>
      </c>
      <c r="J249" s="100">
        <f>IF(G249="","",H249-G249)</f>
        <v/>
      </c>
      <c r="K249" s="100">
        <f>IF(G249="","",-0.5*((J249-Components!$D$2)/Components!$E$2)^2)</f>
        <v/>
      </c>
      <c r="L249" s="100">
        <f>IF(G249="","",-0.5*((J249-Components!$D$3)/Components!$E$3)^2)</f>
        <v/>
      </c>
      <c r="M249" s="100">
        <f>IF(G249="","",-0.5*((J249-Components!$D$4)/Components!$E$4)^2)</f>
        <v/>
      </c>
      <c r="N249" s="100">
        <f>IF(G249="","",-0.5*((J249-Components!$D$5)/Components!$E$5)^2)</f>
        <v/>
      </c>
      <c r="O249" s="100">
        <f>IF(G249="","",-0.5*((J249-Components!$D$6)/Components!$E$6)^2)</f>
        <v/>
      </c>
      <c r="P249" s="100">
        <f>IF(G249="","",-0.5*((J249-Components!$D$7)/Components!$E$7)^2)</f>
        <v/>
      </c>
      <c r="Q249" s="100">
        <f>IF(G249="","",EXP(LARGE(K249:P249,1)-MAX(K249:P249))/(EXP(K249-MAX(K249:P249))+EXP(L249-MAX(K249:P249))+EXP(M249-MAX(K249:P249))+EXP(N249-MAX(K249:P249))+EXP(O249-MAX(K249:P249))+EXP(P249-MAX(K249:P249))))</f>
        <v/>
      </c>
      <c r="R249" s="100">
        <f>IF(G249="","",EXP(LARGE(K249:P249,2)-MAX(K249:P249))/(EXP(K249-MAX(K249:P249))+EXP(L249-MAX(K249:P249))+EXP(M249-MAX(K249:P249))+EXP(N249-MAX(K249:P249))+EXP(O249-MAX(K249:P249))+EXP(P249-MAX(K249:P249))))</f>
        <v/>
      </c>
      <c r="S249" s="100">
        <f>IF(G249="","",Q249-R249)</f>
        <v/>
      </c>
      <c r="T249" s="98">
        <f>IF(G249="","",IF(AND(G249&gt;=H249-$B$6*I249,G249&lt;=H249+$B$6*I249),"OK","NG"))</f>
        <v/>
      </c>
      <c r="U249" s="69">
        <f>IF(T249="","",IF(T249=D249,1,0))</f>
        <v/>
      </c>
      <c r="V249" s="98">
        <f>IF(G249="","",IF(T249="OK","NONE",INDEX({"S1","S2","W1","W2","N1","N2"},MATCH(MAX(K249:P249),K249:P249,0))))</f>
        <v/>
      </c>
      <c r="W249" s="69">
        <f>IF(G249="","",IF(V249=E249,1,0))</f>
        <v/>
      </c>
      <c r="X249" s="115">
        <f>IF(G249="","",IF(AND(T249="NG",S249&lt;$B$7),"AMBIGUOUS","CONFIDENT"))</f>
        <v/>
      </c>
    </row>
    <row r="250">
      <c r="A250" s="102">
        <f>'Runs Z score'!A243</f>
        <v/>
      </c>
      <c r="B250" s="98">
        <f>'Runs Z score'!B243</f>
        <v/>
      </c>
      <c r="C250" s="98">
        <f>'Runs Z score'!C243</f>
        <v/>
      </c>
      <c r="D250" s="98">
        <f>'Runs Z score'!D243</f>
        <v/>
      </c>
      <c r="E250" s="98">
        <f>'Runs Z score'!E243</f>
        <v/>
      </c>
      <c r="F250" s="98">
        <f>'Runs Z score'!F243</f>
        <v/>
      </c>
      <c r="G250" s="99">
        <f>'Runs Z score'!G243</f>
        <v/>
      </c>
      <c r="H250" s="100">
        <f>VLOOKUP(C250,Recipes!$A$2:$N$4,10,FALSE())</f>
        <v/>
      </c>
      <c r="I250" s="101">
        <f>VLOOKUP(C250,Recipes!$A$2:$N$4,12,FALSE())</f>
        <v/>
      </c>
      <c r="J250" s="100">
        <f>IF(G250="","",H250-G250)</f>
        <v/>
      </c>
      <c r="K250" s="100">
        <f>IF(G250="","",-0.5*((J250-Components!$D$2)/Components!$E$2)^2)</f>
        <v/>
      </c>
      <c r="L250" s="100">
        <f>IF(G250="","",-0.5*((J250-Components!$D$3)/Components!$E$3)^2)</f>
        <v/>
      </c>
      <c r="M250" s="100">
        <f>IF(G250="","",-0.5*((J250-Components!$D$4)/Components!$E$4)^2)</f>
        <v/>
      </c>
      <c r="N250" s="100">
        <f>IF(G250="","",-0.5*((J250-Components!$D$5)/Components!$E$5)^2)</f>
        <v/>
      </c>
      <c r="O250" s="100">
        <f>IF(G250="","",-0.5*((J250-Components!$D$6)/Components!$E$6)^2)</f>
        <v/>
      </c>
      <c r="P250" s="100">
        <f>IF(G250="","",-0.5*((J250-Components!$D$7)/Components!$E$7)^2)</f>
        <v/>
      </c>
      <c r="Q250" s="100">
        <f>IF(G250="","",EXP(LARGE(K250:P250,1)-MAX(K250:P250))/(EXP(K250-MAX(K250:P250))+EXP(L250-MAX(K250:P250))+EXP(M250-MAX(K250:P250))+EXP(N250-MAX(K250:P250))+EXP(O250-MAX(K250:P250))+EXP(P250-MAX(K250:P250))))</f>
        <v/>
      </c>
      <c r="R250" s="100">
        <f>IF(G250="","",EXP(LARGE(K250:P250,2)-MAX(K250:P250))/(EXP(K250-MAX(K250:P250))+EXP(L250-MAX(K250:P250))+EXP(M250-MAX(K250:P250))+EXP(N250-MAX(K250:P250))+EXP(O250-MAX(K250:P250))+EXP(P250-MAX(K250:P250))))</f>
        <v/>
      </c>
      <c r="S250" s="100">
        <f>IF(G250="","",Q250-R250)</f>
        <v/>
      </c>
      <c r="T250" s="98">
        <f>IF(G250="","",IF(AND(G250&gt;=H250-$B$6*I250,G250&lt;=H250+$B$6*I250),"OK","NG"))</f>
        <v/>
      </c>
      <c r="U250" s="69">
        <f>IF(T250="","",IF(T250=D250,1,0))</f>
        <v/>
      </c>
      <c r="V250" s="98">
        <f>IF(G250="","",IF(T250="OK","NONE",INDEX({"S1","S2","W1","W2","N1","N2"},MATCH(MAX(K250:P250),K250:P250,0))))</f>
        <v/>
      </c>
      <c r="W250" s="69">
        <f>IF(G250="","",IF(V250=E250,1,0))</f>
        <v/>
      </c>
      <c r="X250" s="115">
        <f>IF(G250="","",IF(AND(T250="NG",S250&lt;$B$7),"AMBIGUOUS","CONFIDENT"))</f>
        <v/>
      </c>
    </row>
    <row r="251">
      <c r="A251" s="102">
        <f>'Runs Z score'!A244</f>
        <v/>
      </c>
      <c r="B251" s="98">
        <f>'Runs Z score'!B244</f>
        <v/>
      </c>
      <c r="C251" s="98">
        <f>'Runs Z score'!C244</f>
        <v/>
      </c>
      <c r="D251" s="98">
        <f>'Runs Z score'!D244</f>
        <v/>
      </c>
      <c r="E251" s="98">
        <f>'Runs Z score'!E244</f>
        <v/>
      </c>
      <c r="F251" s="98">
        <f>'Runs Z score'!F244</f>
        <v/>
      </c>
      <c r="G251" s="99">
        <f>'Runs Z score'!G244</f>
        <v/>
      </c>
      <c r="H251" s="100">
        <f>VLOOKUP(C251,Recipes!$A$2:$N$4,10,FALSE())</f>
        <v/>
      </c>
      <c r="I251" s="101">
        <f>VLOOKUP(C251,Recipes!$A$2:$N$4,12,FALSE())</f>
        <v/>
      </c>
      <c r="J251" s="100">
        <f>IF(G251="","",H251-G251)</f>
        <v/>
      </c>
      <c r="K251" s="100">
        <f>IF(G251="","",-0.5*((J251-Components!$D$2)/Components!$E$2)^2)</f>
        <v/>
      </c>
      <c r="L251" s="100">
        <f>IF(G251="","",-0.5*((J251-Components!$D$3)/Components!$E$3)^2)</f>
        <v/>
      </c>
      <c r="M251" s="100">
        <f>IF(G251="","",-0.5*((J251-Components!$D$4)/Components!$E$4)^2)</f>
        <v/>
      </c>
      <c r="N251" s="100">
        <f>IF(G251="","",-0.5*((J251-Components!$D$5)/Components!$E$5)^2)</f>
        <v/>
      </c>
      <c r="O251" s="100">
        <f>IF(G251="","",-0.5*((J251-Components!$D$6)/Components!$E$6)^2)</f>
        <v/>
      </c>
      <c r="P251" s="100">
        <f>IF(G251="","",-0.5*((J251-Components!$D$7)/Components!$E$7)^2)</f>
        <v/>
      </c>
      <c r="Q251" s="100">
        <f>IF(G251="","",EXP(LARGE(K251:P251,1)-MAX(K251:P251))/(EXP(K251-MAX(K251:P251))+EXP(L251-MAX(K251:P251))+EXP(M251-MAX(K251:P251))+EXP(N251-MAX(K251:P251))+EXP(O251-MAX(K251:P251))+EXP(P251-MAX(K251:P251))))</f>
        <v/>
      </c>
      <c r="R251" s="100">
        <f>IF(G251="","",EXP(LARGE(K251:P251,2)-MAX(K251:P251))/(EXP(K251-MAX(K251:P251))+EXP(L251-MAX(K251:P251))+EXP(M251-MAX(K251:P251))+EXP(N251-MAX(K251:P251))+EXP(O251-MAX(K251:P251))+EXP(P251-MAX(K251:P251))))</f>
        <v/>
      </c>
      <c r="S251" s="100">
        <f>IF(G251="","",Q251-R251)</f>
        <v/>
      </c>
      <c r="T251" s="98">
        <f>IF(G251="","",IF(AND(G251&gt;=H251-$B$6*I251,G251&lt;=H251+$B$6*I251),"OK","NG"))</f>
        <v/>
      </c>
      <c r="U251" s="69">
        <f>IF(T251="","",IF(T251=D251,1,0))</f>
        <v/>
      </c>
      <c r="V251" s="98">
        <f>IF(G251="","",IF(T251="OK","NONE",INDEX({"S1","S2","W1","W2","N1","N2"},MATCH(MAX(K251:P251),K251:P251,0))))</f>
        <v/>
      </c>
      <c r="W251" s="69">
        <f>IF(G251="","",IF(V251=E251,1,0))</f>
        <v/>
      </c>
      <c r="X251" s="115">
        <f>IF(G251="","",IF(AND(T251="NG",S251&lt;$B$7),"AMBIGUOUS","CONFIDENT"))</f>
        <v/>
      </c>
    </row>
    <row r="252">
      <c r="A252" s="102">
        <f>'Runs Z score'!A245</f>
        <v/>
      </c>
      <c r="B252" s="98">
        <f>'Runs Z score'!B245</f>
        <v/>
      </c>
      <c r="C252" s="98">
        <f>'Runs Z score'!C245</f>
        <v/>
      </c>
      <c r="D252" s="98">
        <f>'Runs Z score'!D245</f>
        <v/>
      </c>
      <c r="E252" s="98">
        <f>'Runs Z score'!E245</f>
        <v/>
      </c>
      <c r="F252" s="98">
        <f>'Runs Z score'!F245</f>
        <v/>
      </c>
      <c r="G252" s="99">
        <f>'Runs Z score'!G245</f>
        <v/>
      </c>
      <c r="H252" s="100">
        <f>VLOOKUP(C252,Recipes!$A$2:$N$4,10,FALSE())</f>
        <v/>
      </c>
      <c r="I252" s="101">
        <f>VLOOKUP(C252,Recipes!$A$2:$N$4,12,FALSE())</f>
        <v/>
      </c>
      <c r="J252" s="100">
        <f>IF(G252="","",H252-G252)</f>
        <v/>
      </c>
      <c r="K252" s="100">
        <f>IF(G252="","",-0.5*((J252-Components!$D$2)/Components!$E$2)^2)</f>
        <v/>
      </c>
      <c r="L252" s="100">
        <f>IF(G252="","",-0.5*((J252-Components!$D$3)/Components!$E$3)^2)</f>
        <v/>
      </c>
      <c r="M252" s="100">
        <f>IF(G252="","",-0.5*((J252-Components!$D$4)/Components!$E$4)^2)</f>
        <v/>
      </c>
      <c r="N252" s="100">
        <f>IF(G252="","",-0.5*((J252-Components!$D$5)/Components!$E$5)^2)</f>
        <v/>
      </c>
      <c r="O252" s="100">
        <f>IF(G252="","",-0.5*((J252-Components!$D$6)/Components!$E$6)^2)</f>
        <v/>
      </c>
      <c r="P252" s="100">
        <f>IF(G252="","",-0.5*((J252-Components!$D$7)/Components!$E$7)^2)</f>
        <v/>
      </c>
      <c r="Q252" s="100">
        <f>IF(G252="","",EXP(LARGE(K252:P252,1)-MAX(K252:P252))/(EXP(K252-MAX(K252:P252))+EXP(L252-MAX(K252:P252))+EXP(M252-MAX(K252:P252))+EXP(N252-MAX(K252:P252))+EXP(O252-MAX(K252:P252))+EXP(P252-MAX(K252:P252))))</f>
        <v/>
      </c>
      <c r="R252" s="100">
        <f>IF(G252="","",EXP(LARGE(K252:P252,2)-MAX(K252:P252))/(EXP(K252-MAX(K252:P252))+EXP(L252-MAX(K252:P252))+EXP(M252-MAX(K252:P252))+EXP(N252-MAX(K252:P252))+EXP(O252-MAX(K252:P252))+EXP(P252-MAX(K252:P252))))</f>
        <v/>
      </c>
      <c r="S252" s="100">
        <f>IF(G252="","",Q252-R252)</f>
        <v/>
      </c>
      <c r="T252" s="98">
        <f>IF(G252="","",IF(AND(G252&gt;=H252-$B$6*I252,G252&lt;=H252+$B$6*I252),"OK","NG"))</f>
        <v/>
      </c>
      <c r="U252" s="69">
        <f>IF(T252="","",IF(T252=D252,1,0))</f>
        <v/>
      </c>
      <c r="V252" s="98">
        <f>IF(G252="","",IF(T252="OK","NONE",INDEX({"S1","S2","W1","W2","N1","N2"},MATCH(MAX(K252:P252),K252:P252,0))))</f>
        <v/>
      </c>
      <c r="W252" s="69">
        <f>IF(G252="","",IF(V252=E252,1,0))</f>
        <v/>
      </c>
      <c r="X252" s="115">
        <f>IF(G252="","",IF(AND(T252="NG",S252&lt;$B$7),"AMBIGUOUS","CONFIDENT"))</f>
        <v/>
      </c>
    </row>
    <row r="253">
      <c r="A253" s="102">
        <f>'Runs Z score'!A246</f>
        <v/>
      </c>
      <c r="B253" s="98">
        <f>'Runs Z score'!B246</f>
        <v/>
      </c>
      <c r="C253" s="98">
        <f>'Runs Z score'!C246</f>
        <v/>
      </c>
      <c r="D253" s="98">
        <f>'Runs Z score'!D246</f>
        <v/>
      </c>
      <c r="E253" s="98">
        <f>'Runs Z score'!E246</f>
        <v/>
      </c>
      <c r="F253" s="98">
        <f>'Runs Z score'!F246</f>
        <v/>
      </c>
      <c r="G253" s="99">
        <f>'Runs Z score'!G246</f>
        <v/>
      </c>
      <c r="H253" s="100">
        <f>VLOOKUP(C253,Recipes!$A$2:$N$4,10,FALSE())</f>
        <v/>
      </c>
      <c r="I253" s="101">
        <f>VLOOKUP(C253,Recipes!$A$2:$N$4,12,FALSE())</f>
        <v/>
      </c>
      <c r="J253" s="100">
        <f>IF(G253="","",H253-G253)</f>
        <v/>
      </c>
      <c r="K253" s="100">
        <f>IF(G253="","",-0.5*((J253-Components!$D$2)/Components!$E$2)^2)</f>
        <v/>
      </c>
      <c r="L253" s="100">
        <f>IF(G253="","",-0.5*((J253-Components!$D$3)/Components!$E$3)^2)</f>
        <v/>
      </c>
      <c r="M253" s="100">
        <f>IF(G253="","",-0.5*((J253-Components!$D$4)/Components!$E$4)^2)</f>
        <v/>
      </c>
      <c r="N253" s="100">
        <f>IF(G253="","",-0.5*((J253-Components!$D$5)/Components!$E$5)^2)</f>
        <v/>
      </c>
      <c r="O253" s="100">
        <f>IF(G253="","",-0.5*((J253-Components!$D$6)/Components!$E$6)^2)</f>
        <v/>
      </c>
      <c r="P253" s="100">
        <f>IF(G253="","",-0.5*((J253-Components!$D$7)/Components!$E$7)^2)</f>
        <v/>
      </c>
      <c r="Q253" s="100">
        <f>IF(G253="","",EXP(LARGE(K253:P253,1)-MAX(K253:P253))/(EXP(K253-MAX(K253:P253))+EXP(L253-MAX(K253:P253))+EXP(M253-MAX(K253:P253))+EXP(N253-MAX(K253:P253))+EXP(O253-MAX(K253:P253))+EXP(P253-MAX(K253:P253))))</f>
        <v/>
      </c>
      <c r="R253" s="100">
        <f>IF(G253="","",EXP(LARGE(K253:P253,2)-MAX(K253:P253))/(EXP(K253-MAX(K253:P253))+EXP(L253-MAX(K253:P253))+EXP(M253-MAX(K253:P253))+EXP(N253-MAX(K253:P253))+EXP(O253-MAX(K253:P253))+EXP(P253-MAX(K253:P253))))</f>
        <v/>
      </c>
      <c r="S253" s="100">
        <f>IF(G253="","",Q253-R253)</f>
        <v/>
      </c>
      <c r="T253" s="98">
        <f>IF(G253="","",IF(AND(G253&gt;=H253-$B$6*I253,G253&lt;=H253+$B$6*I253),"OK","NG"))</f>
        <v/>
      </c>
      <c r="U253" s="69">
        <f>IF(T253="","",IF(T253=D253,1,0))</f>
        <v/>
      </c>
      <c r="V253" s="98">
        <f>IF(G253="","",IF(T253="OK","NONE",INDEX({"S1","S2","W1","W2","N1","N2"},MATCH(MAX(K253:P253),K253:P253,0))))</f>
        <v/>
      </c>
      <c r="W253" s="69">
        <f>IF(G253="","",IF(V253=E253,1,0))</f>
        <v/>
      </c>
      <c r="X253" s="115">
        <f>IF(G253="","",IF(AND(T253="NG",S253&lt;$B$7),"AMBIGUOUS","CONFIDENT"))</f>
        <v/>
      </c>
    </row>
    <row r="254">
      <c r="A254" s="102">
        <f>'Runs Z score'!A247</f>
        <v/>
      </c>
      <c r="B254" s="98">
        <f>'Runs Z score'!B247</f>
        <v/>
      </c>
      <c r="C254" s="98">
        <f>'Runs Z score'!C247</f>
        <v/>
      </c>
      <c r="D254" s="98">
        <f>'Runs Z score'!D247</f>
        <v/>
      </c>
      <c r="E254" s="98">
        <f>'Runs Z score'!E247</f>
        <v/>
      </c>
      <c r="F254" s="98">
        <f>'Runs Z score'!F247</f>
        <v/>
      </c>
      <c r="G254" s="99">
        <f>'Runs Z score'!G247</f>
        <v/>
      </c>
      <c r="H254" s="100">
        <f>VLOOKUP(C254,Recipes!$A$2:$N$4,10,FALSE())</f>
        <v/>
      </c>
      <c r="I254" s="101">
        <f>VLOOKUP(C254,Recipes!$A$2:$N$4,12,FALSE())</f>
        <v/>
      </c>
      <c r="J254" s="100">
        <f>IF(G254="","",H254-G254)</f>
        <v/>
      </c>
      <c r="K254" s="100">
        <f>IF(G254="","",-0.5*((J254-Components!$D$2)/Components!$E$2)^2)</f>
        <v/>
      </c>
      <c r="L254" s="100">
        <f>IF(G254="","",-0.5*((J254-Components!$D$3)/Components!$E$3)^2)</f>
        <v/>
      </c>
      <c r="M254" s="100">
        <f>IF(G254="","",-0.5*((J254-Components!$D$4)/Components!$E$4)^2)</f>
        <v/>
      </c>
      <c r="N254" s="100">
        <f>IF(G254="","",-0.5*((J254-Components!$D$5)/Components!$E$5)^2)</f>
        <v/>
      </c>
      <c r="O254" s="100">
        <f>IF(G254="","",-0.5*((J254-Components!$D$6)/Components!$E$6)^2)</f>
        <v/>
      </c>
      <c r="P254" s="100">
        <f>IF(G254="","",-0.5*((J254-Components!$D$7)/Components!$E$7)^2)</f>
        <v/>
      </c>
      <c r="Q254" s="100">
        <f>IF(G254="","",EXP(LARGE(K254:P254,1)-MAX(K254:P254))/(EXP(K254-MAX(K254:P254))+EXP(L254-MAX(K254:P254))+EXP(M254-MAX(K254:P254))+EXP(N254-MAX(K254:P254))+EXP(O254-MAX(K254:P254))+EXP(P254-MAX(K254:P254))))</f>
        <v/>
      </c>
      <c r="R254" s="100">
        <f>IF(G254="","",EXP(LARGE(K254:P254,2)-MAX(K254:P254))/(EXP(K254-MAX(K254:P254))+EXP(L254-MAX(K254:P254))+EXP(M254-MAX(K254:P254))+EXP(N254-MAX(K254:P254))+EXP(O254-MAX(K254:P254))+EXP(P254-MAX(K254:P254))))</f>
        <v/>
      </c>
      <c r="S254" s="100">
        <f>IF(G254="","",Q254-R254)</f>
        <v/>
      </c>
      <c r="T254" s="98">
        <f>IF(G254="","",IF(AND(G254&gt;=H254-$B$6*I254,G254&lt;=H254+$B$6*I254),"OK","NG"))</f>
        <v/>
      </c>
      <c r="U254" s="69">
        <f>IF(T254="","",IF(T254=D254,1,0))</f>
        <v/>
      </c>
      <c r="V254" s="98">
        <f>IF(G254="","",IF(T254="OK","NONE",INDEX({"S1","S2","W1","W2","N1","N2"},MATCH(MAX(K254:P254),K254:P254,0))))</f>
        <v/>
      </c>
      <c r="W254" s="69">
        <f>IF(G254="","",IF(V254=E254,1,0))</f>
        <v/>
      </c>
      <c r="X254" s="115">
        <f>IF(G254="","",IF(AND(T254="NG",S254&lt;$B$7),"AMBIGUOUS","CONFIDENT"))</f>
        <v/>
      </c>
    </row>
    <row r="255">
      <c r="A255" s="102">
        <f>'Runs Z score'!A248</f>
        <v/>
      </c>
      <c r="B255" s="98">
        <f>'Runs Z score'!B248</f>
        <v/>
      </c>
      <c r="C255" s="98">
        <f>'Runs Z score'!C248</f>
        <v/>
      </c>
      <c r="D255" s="98">
        <f>'Runs Z score'!D248</f>
        <v/>
      </c>
      <c r="E255" s="98">
        <f>'Runs Z score'!E248</f>
        <v/>
      </c>
      <c r="F255" s="98">
        <f>'Runs Z score'!F248</f>
        <v/>
      </c>
      <c r="G255" s="99">
        <f>'Runs Z score'!G248</f>
        <v/>
      </c>
      <c r="H255" s="100">
        <f>VLOOKUP(C255,Recipes!$A$2:$N$4,10,FALSE())</f>
        <v/>
      </c>
      <c r="I255" s="101">
        <f>VLOOKUP(C255,Recipes!$A$2:$N$4,12,FALSE())</f>
        <v/>
      </c>
      <c r="J255" s="100">
        <f>IF(G255="","",H255-G255)</f>
        <v/>
      </c>
      <c r="K255" s="100">
        <f>IF(G255="","",-0.5*((J255-Components!$D$2)/Components!$E$2)^2)</f>
        <v/>
      </c>
      <c r="L255" s="100">
        <f>IF(G255="","",-0.5*((J255-Components!$D$3)/Components!$E$3)^2)</f>
        <v/>
      </c>
      <c r="M255" s="100">
        <f>IF(G255="","",-0.5*((J255-Components!$D$4)/Components!$E$4)^2)</f>
        <v/>
      </c>
      <c r="N255" s="100">
        <f>IF(G255="","",-0.5*((J255-Components!$D$5)/Components!$E$5)^2)</f>
        <v/>
      </c>
      <c r="O255" s="100">
        <f>IF(G255="","",-0.5*((J255-Components!$D$6)/Components!$E$6)^2)</f>
        <v/>
      </c>
      <c r="P255" s="100">
        <f>IF(G255="","",-0.5*((J255-Components!$D$7)/Components!$E$7)^2)</f>
        <v/>
      </c>
      <c r="Q255" s="100">
        <f>IF(G255="","",EXP(LARGE(K255:P255,1)-MAX(K255:P255))/(EXP(K255-MAX(K255:P255))+EXP(L255-MAX(K255:P255))+EXP(M255-MAX(K255:P255))+EXP(N255-MAX(K255:P255))+EXP(O255-MAX(K255:P255))+EXP(P255-MAX(K255:P255))))</f>
        <v/>
      </c>
      <c r="R255" s="100">
        <f>IF(G255="","",EXP(LARGE(K255:P255,2)-MAX(K255:P255))/(EXP(K255-MAX(K255:P255))+EXP(L255-MAX(K255:P255))+EXP(M255-MAX(K255:P255))+EXP(N255-MAX(K255:P255))+EXP(O255-MAX(K255:P255))+EXP(P255-MAX(K255:P255))))</f>
        <v/>
      </c>
      <c r="S255" s="100">
        <f>IF(G255="","",Q255-R255)</f>
        <v/>
      </c>
      <c r="T255" s="98">
        <f>IF(G255="","",IF(AND(G255&gt;=H255-$B$6*I255,G255&lt;=H255+$B$6*I255),"OK","NG"))</f>
        <v/>
      </c>
      <c r="U255" s="69">
        <f>IF(T255="","",IF(T255=D255,1,0))</f>
        <v/>
      </c>
      <c r="V255" s="98">
        <f>IF(G255="","",IF(T255="OK","NONE",INDEX({"S1","S2","W1","W2","N1","N2"},MATCH(MAX(K255:P255),K255:P255,0))))</f>
        <v/>
      </c>
      <c r="W255" s="69">
        <f>IF(G255="","",IF(V255=E255,1,0))</f>
        <v/>
      </c>
      <c r="X255" s="115">
        <f>IF(G255="","",IF(AND(T255="NG",S255&lt;$B$7),"AMBIGUOUS","CONFIDENT"))</f>
        <v/>
      </c>
    </row>
    <row r="256">
      <c r="A256" s="102">
        <f>'Runs Z score'!A249</f>
        <v/>
      </c>
      <c r="B256" s="98">
        <f>'Runs Z score'!B249</f>
        <v/>
      </c>
      <c r="C256" s="98">
        <f>'Runs Z score'!C249</f>
        <v/>
      </c>
      <c r="D256" s="98">
        <f>'Runs Z score'!D249</f>
        <v/>
      </c>
      <c r="E256" s="98">
        <f>'Runs Z score'!E249</f>
        <v/>
      </c>
      <c r="F256" s="98">
        <f>'Runs Z score'!F249</f>
        <v/>
      </c>
      <c r="G256" s="99">
        <f>'Runs Z score'!G249</f>
        <v/>
      </c>
      <c r="H256" s="100">
        <f>VLOOKUP(C256,Recipes!$A$2:$N$4,10,FALSE())</f>
        <v/>
      </c>
      <c r="I256" s="101">
        <f>VLOOKUP(C256,Recipes!$A$2:$N$4,12,FALSE())</f>
        <v/>
      </c>
      <c r="J256" s="100">
        <f>IF(G256="","",H256-G256)</f>
        <v/>
      </c>
      <c r="K256" s="100">
        <f>IF(G256="","",-0.5*((J256-Components!$D$2)/Components!$E$2)^2)</f>
        <v/>
      </c>
      <c r="L256" s="100">
        <f>IF(G256="","",-0.5*((J256-Components!$D$3)/Components!$E$3)^2)</f>
        <v/>
      </c>
      <c r="M256" s="100">
        <f>IF(G256="","",-0.5*((J256-Components!$D$4)/Components!$E$4)^2)</f>
        <v/>
      </c>
      <c r="N256" s="100">
        <f>IF(G256="","",-0.5*((J256-Components!$D$5)/Components!$E$5)^2)</f>
        <v/>
      </c>
      <c r="O256" s="100">
        <f>IF(G256="","",-0.5*((J256-Components!$D$6)/Components!$E$6)^2)</f>
        <v/>
      </c>
      <c r="P256" s="100">
        <f>IF(G256="","",-0.5*((J256-Components!$D$7)/Components!$E$7)^2)</f>
        <v/>
      </c>
      <c r="Q256" s="100">
        <f>IF(G256="","",EXP(LARGE(K256:P256,1)-MAX(K256:P256))/(EXP(K256-MAX(K256:P256))+EXP(L256-MAX(K256:P256))+EXP(M256-MAX(K256:P256))+EXP(N256-MAX(K256:P256))+EXP(O256-MAX(K256:P256))+EXP(P256-MAX(K256:P256))))</f>
        <v/>
      </c>
      <c r="R256" s="100">
        <f>IF(G256="","",EXP(LARGE(K256:P256,2)-MAX(K256:P256))/(EXP(K256-MAX(K256:P256))+EXP(L256-MAX(K256:P256))+EXP(M256-MAX(K256:P256))+EXP(N256-MAX(K256:P256))+EXP(O256-MAX(K256:P256))+EXP(P256-MAX(K256:P256))))</f>
        <v/>
      </c>
      <c r="S256" s="100">
        <f>IF(G256="","",Q256-R256)</f>
        <v/>
      </c>
      <c r="T256" s="98">
        <f>IF(G256="","",IF(AND(G256&gt;=H256-$B$6*I256,G256&lt;=H256+$B$6*I256),"OK","NG"))</f>
        <v/>
      </c>
      <c r="U256" s="69">
        <f>IF(T256="","",IF(T256=D256,1,0))</f>
        <v/>
      </c>
      <c r="V256" s="98">
        <f>IF(G256="","",IF(T256="OK","NONE",INDEX({"S1","S2","W1","W2","N1","N2"},MATCH(MAX(K256:P256),K256:P256,0))))</f>
        <v/>
      </c>
      <c r="W256" s="69">
        <f>IF(G256="","",IF(V256=E256,1,0))</f>
        <v/>
      </c>
      <c r="X256" s="115">
        <f>IF(G256="","",IF(AND(T256="NG",S256&lt;$B$7),"AMBIGUOUS","CONFIDENT"))</f>
        <v/>
      </c>
    </row>
    <row r="257">
      <c r="A257" s="102">
        <f>'Runs Z score'!A250</f>
        <v/>
      </c>
      <c r="B257" s="98">
        <f>'Runs Z score'!B250</f>
        <v/>
      </c>
      <c r="C257" s="98">
        <f>'Runs Z score'!C250</f>
        <v/>
      </c>
      <c r="D257" s="98">
        <f>'Runs Z score'!D250</f>
        <v/>
      </c>
      <c r="E257" s="98">
        <f>'Runs Z score'!E250</f>
        <v/>
      </c>
      <c r="F257" s="98">
        <f>'Runs Z score'!F250</f>
        <v/>
      </c>
      <c r="G257" s="99">
        <f>'Runs Z score'!G250</f>
        <v/>
      </c>
      <c r="H257" s="100">
        <f>VLOOKUP(C257,Recipes!$A$2:$N$4,10,FALSE())</f>
        <v/>
      </c>
      <c r="I257" s="101">
        <f>VLOOKUP(C257,Recipes!$A$2:$N$4,12,FALSE())</f>
        <v/>
      </c>
      <c r="J257" s="100">
        <f>IF(G257="","",H257-G257)</f>
        <v/>
      </c>
      <c r="K257" s="100">
        <f>IF(G257="","",-0.5*((J257-Components!$D$2)/Components!$E$2)^2)</f>
        <v/>
      </c>
      <c r="L257" s="100">
        <f>IF(G257="","",-0.5*((J257-Components!$D$3)/Components!$E$3)^2)</f>
        <v/>
      </c>
      <c r="M257" s="100">
        <f>IF(G257="","",-0.5*((J257-Components!$D$4)/Components!$E$4)^2)</f>
        <v/>
      </c>
      <c r="N257" s="100">
        <f>IF(G257="","",-0.5*((J257-Components!$D$5)/Components!$E$5)^2)</f>
        <v/>
      </c>
      <c r="O257" s="100">
        <f>IF(G257="","",-0.5*((J257-Components!$D$6)/Components!$E$6)^2)</f>
        <v/>
      </c>
      <c r="P257" s="100">
        <f>IF(G257="","",-0.5*((J257-Components!$D$7)/Components!$E$7)^2)</f>
        <v/>
      </c>
      <c r="Q257" s="100">
        <f>IF(G257="","",EXP(LARGE(K257:P257,1)-MAX(K257:P257))/(EXP(K257-MAX(K257:P257))+EXP(L257-MAX(K257:P257))+EXP(M257-MAX(K257:P257))+EXP(N257-MAX(K257:P257))+EXP(O257-MAX(K257:P257))+EXP(P257-MAX(K257:P257))))</f>
        <v/>
      </c>
      <c r="R257" s="100">
        <f>IF(G257="","",EXP(LARGE(K257:P257,2)-MAX(K257:P257))/(EXP(K257-MAX(K257:P257))+EXP(L257-MAX(K257:P257))+EXP(M257-MAX(K257:P257))+EXP(N257-MAX(K257:P257))+EXP(O257-MAX(K257:P257))+EXP(P257-MAX(K257:P257))))</f>
        <v/>
      </c>
      <c r="S257" s="100">
        <f>IF(G257="","",Q257-R257)</f>
        <v/>
      </c>
      <c r="T257" s="98">
        <f>IF(G257="","",IF(AND(G257&gt;=H257-$B$6*I257,G257&lt;=H257+$B$6*I257),"OK","NG"))</f>
        <v/>
      </c>
      <c r="U257" s="69">
        <f>IF(T257="","",IF(T257=D257,1,0))</f>
        <v/>
      </c>
      <c r="V257" s="98">
        <f>IF(G257="","",IF(T257="OK","NONE",INDEX({"S1","S2","W1","W2","N1","N2"},MATCH(MAX(K257:P257),K257:P257,0))))</f>
        <v/>
      </c>
      <c r="W257" s="69">
        <f>IF(G257="","",IF(V257=E257,1,0))</f>
        <v/>
      </c>
      <c r="X257" s="115">
        <f>IF(G257="","",IF(AND(T257="NG",S257&lt;$B$7),"AMBIGUOUS","CONFIDENT"))</f>
        <v/>
      </c>
    </row>
    <row r="258">
      <c r="A258" s="102">
        <f>'Runs Z score'!A251</f>
        <v/>
      </c>
      <c r="B258" s="98">
        <f>'Runs Z score'!B251</f>
        <v/>
      </c>
      <c r="C258" s="98">
        <f>'Runs Z score'!C251</f>
        <v/>
      </c>
      <c r="D258" s="98">
        <f>'Runs Z score'!D251</f>
        <v/>
      </c>
      <c r="E258" s="98">
        <f>'Runs Z score'!E251</f>
        <v/>
      </c>
      <c r="F258" s="98">
        <f>'Runs Z score'!F251</f>
        <v/>
      </c>
      <c r="G258" s="99">
        <f>'Runs Z score'!G251</f>
        <v/>
      </c>
      <c r="H258" s="100">
        <f>VLOOKUP(C258,Recipes!$A$2:$N$4,10,FALSE())</f>
        <v/>
      </c>
      <c r="I258" s="101">
        <f>VLOOKUP(C258,Recipes!$A$2:$N$4,12,FALSE())</f>
        <v/>
      </c>
      <c r="J258" s="100">
        <f>IF(G258="","",H258-G258)</f>
        <v/>
      </c>
      <c r="K258" s="100">
        <f>IF(G258="","",-0.5*((J258-Components!$D$2)/Components!$E$2)^2)</f>
        <v/>
      </c>
      <c r="L258" s="100">
        <f>IF(G258="","",-0.5*((J258-Components!$D$3)/Components!$E$3)^2)</f>
        <v/>
      </c>
      <c r="M258" s="100">
        <f>IF(G258="","",-0.5*((J258-Components!$D$4)/Components!$E$4)^2)</f>
        <v/>
      </c>
      <c r="N258" s="100">
        <f>IF(G258="","",-0.5*((J258-Components!$D$5)/Components!$E$5)^2)</f>
        <v/>
      </c>
      <c r="O258" s="100">
        <f>IF(G258="","",-0.5*((J258-Components!$D$6)/Components!$E$6)^2)</f>
        <v/>
      </c>
      <c r="P258" s="100">
        <f>IF(G258="","",-0.5*((J258-Components!$D$7)/Components!$E$7)^2)</f>
        <v/>
      </c>
      <c r="Q258" s="100">
        <f>IF(G258="","",EXP(LARGE(K258:P258,1)-MAX(K258:P258))/(EXP(K258-MAX(K258:P258))+EXP(L258-MAX(K258:P258))+EXP(M258-MAX(K258:P258))+EXP(N258-MAX(K258:P258))+EXP(O258-MAX(K258:P258))+EXP(P258-MAX(K258:P258))))</f>
        <v/>
      </c>
      <c r="R258" s="100">
        <f>IF(G258="","",EXP(LARGE(K258:P258,2)-MAX(K258:P258))/(EXP(K258-MAX(K258:P258))+EXP(L258-MAX(K258:P258))+EXP(M258-MAX(K258:P258))+EXP(N258-MAX(K258:P258))+EXP(O258-MAX(K258:P258))+EXP(P258-MAX(K258:P258))))</f>
        <v/>
      </c>
      <c r="S258" s="100">
        <f>IF(G258="","",Q258-R258)</f>
        <v/>
      </c>
      <c r="T258" s="98">
        <f>IF(G258="","",IF(AND(G258&gt;=H258-$B$6*I258,G258&lt;=H258+$B$6*I258),"OK","NG"))</f>
        <v/>
      </c>
      <c r="U258" s="69">
        <f>IF(T258="","",IF(T258=D258,1,0))</f>
        <v/>
      </c>
      <c r="V258" s="98">
        <f>IF(G258="","",IF(T258="OK","NONE",INDEX({"S1","S2","W1","W2","N1","N2"},MATCH(MAX(K258:P258),K258:P258,0))))</f>
        <v/>
      </c>
      <c r="W258" s="69">
        <f>IF(G258="","",IF(V258=E258,1,0))</f>
        <v/>
      </c>
      <c r="X258" s="115">
        <f>IF(G258="","",IF(AND(T258="NG",S258&lt;$B$7),"AMBIGUOUS","CONFIDENT"))</f>
        <v/>
      </c>
    </row>
    <row r="259">
      <c r="A259" s="102">
        <f>'Runs Z score'!A252</f>
        <v/>
      </c>
      <c r="B259" s="98">
        <f>'Runs Z score'!B252</f>
        <v/>
      </c>
      <c r="C259" s="98">
        <f>'Runs Z score'!C252</f>
        <v/>
      </c>
      <c r="D259" s="98">
        <f>'Runs Z score'!D252</f>
        <v/>
      </c>
      <c r="E259" s="98">
        <f>'Runs Z score'!E252</f>
        <v/>
      </c>
      <c r="F259" s="98">
        <f>'Runs Z score'!F252</f>
        <v/>
      </c>
      <c r="G259" s="99">
        <f>'Runs Z score'!G252</f>
        <v/>
      </c>
      <c r="H259" s="100">
        <f>VLOOKUP(C259,Recipes!$A$2:$N$4,10,FALSE())</f>
        <v/>
      </c>
      <c r="I259" s="101">
        <f>VLOOKUP(C259,Recipes!$A$2:$N$4,12,FALSE())</f>
        <v/>
      </c>
      <c r="J259" s="100">
        <f>IF(G259="","",H259-G259)</f>
        <v/>
      </c>
      <c r="K259" s="100">
        <f>IF(G259="","",-0.5*((J259-Components!$D$2)/Components!$E$2)^2)</f>
        <v/>
      </c>
      <c r="L259" s="100">
        <f>IF(G259="","",-0.5*((J259-Components!$D$3)/Components!$E$3)^2)</f>
        <v/>
      </c>
      <c r="M259" s="100">
        <f>IF(G259="","",-0.5*((J259-Components!$D$4)/Components!$E$4)^2)</f>
        <v/>
      </c>
      <c r="N259" s="100">
        <f>IF(G259="","",-0.5*((J259-Components!$D$5)/Components!$E$5)^2)</f>
        <v/>
      </c>
      <c r="O259" s="100">
        <f>IF(G259="","",-0.5*((J259-Components!$D$6)/Components!$E$6)^2)</f>
        <v/>
      </c>
      <c r="P259" s="100">
        <f>IF(G259="","",-0.5*((J259-Components!$D$7)/Components!$E$7)^2)</f>
        <v/>
      </c>
      <c r="Q259" s="100">
        <f>IF(G259="","",EXP(LARGE(K259:P259,1)-MAX(K259:P259))/(EXP(K259-MAX(K259:P259))+EXP(L259-MAX(K259:P259))+EXP(M259-MAX(K259:P259))+EXP(N259-MAX(K259:P259))+EXP(O259-MAX(K259:P259))+EXP(P259-MAX(K259:P259))))</f>
        <v/>
      </c>
      <c r="R259" s="100">
        <f>IF(G259="","",EXP(LARGE(K259:P259,2)-MAX(K259:P259))/(EXP(K259-MAX(K259:P259))+EXP(L259-MAX(K259:P259))+EXP(M259-MAX(K259:P259))+EXP(N259-MAX(K259:P259))+EXP(O259-MAX(K259:P259))+EXP(P259-MAX(K259:P259))))</f>
        <v/>
      </c>
      <c r="S259" s="100">
        <f>IF(G259="","",Q259-R259)</f>
        <v/>
      </c>
      <c r="T259" s="98">
        <f>IF(G259="","",IF(AND(G259&gt;=H259-$B$6*I259,G259&lt;=H259+$B$6*I259),"OK","NG"))</f>
        <v/>
      </c>
      <c r="U259" s="69">
        <f>IF(T259="","",IF(T259=D259,1,0))</f>
        <v/>
      </c>
      <c r="V259" s="98">
        <f>IF(G259="","",IF(T259="OK","NONE",INDEX({"S1","S2","W1","W2","N1","N2"},MATCH(MAX(K259:P259),K259:P259,0))))</f>
        <v/>
      </c>
      <c r="W259" s="69">
        <f>IF(G259="","",IF(V259=E259,1,0))</f>
        <v/>
      </c>
      <c r="X259" s="115">
        <f>IF(G259="","",IF(AND(T259="NG",S259&lt;$B$7),"AMBIGUOUS","CONFIDENT"))</f>
        <v/>
      </c>
    </row>
    <row r="260">
      <c r="A260" s="102">
        <f>'Runs Z score'!A253</f>
        <v/>
      </c>
      <c r="B260" s="98">
        <f>'Runs Z score'!B253</f>
        <v/>
      </c>
      <c r="C260" s="98">
        <f>'Runs Z score'!C253</f>
        <v/>
      </c>
      <c r="D260" s="98">
        <f>'Runs Z score'!D253</f>
        <v/>
      </c>
      <c r="E260" s="98">
        <f>'Runs Z score'!E253</f>
        <v/>
      </c>
      <c r="F260" s="98">
        <f>'Runs Z score'!F253</f>
        <v/>
      </c>
      <c r="G260" s="99">
        <f>'Runs Z score'!G253</f>
        <v/>
      </c>
      <c r="H260" s="100">
        <f>VLOOKUP(C260,Recipes!$A$2:$N$4,10,FALSE())</f>
        <v/>
      </c>
      <c r="I260" s="101">
        <f>VLOOKUP(C260,Recipes!$A$2:$N$4,12,FALSE())</f>
        <v/>
      </c>
      <c r="J260" s="100">
        <f>IF(G260="","",H260-G260)</f>
        <v/>
      </c>
      <c r="K260" s="100">
        <f>IF(G260="","",-0.5*((J260-Components!$D$2)/Components!$E$2)^2)</f>
        <v/>
      </c>
      <c r="L260" s="100">
        <f>IF(G260="","",-0.5*((J260-Components!$D$3)/Components!$E$3)^2)</f>
        <v/>
      </c>
      <c r="M260" s="100">
        <f>IF(G260="","",-0.5*((J260-Components!$D$4)/Components!$E$4)^2)</f>
        <v/>
      </c>
      <c r="N260" s="100">
        <f>IF(G260="","",-0.5*((J260-Components!$D$5)/Components!$E$5)^2)</f>
        <v/>
      </c>
      <c r="O260" s="100">
        <f>IF(G260="","",-0.5*((J260-Components!$D$6)/Components!$E$6)^2)</f>
        <v/>
      </c>
      <c r="P260" s="100">
        <f>IF(G260="","",-0.5*((J260-Components!$D$7)/Components!$E$7)^2)</f>
        <v/>
      </c>
      <c r="Q260" s="100">
        <f>IF(G260="","",EXP(LARGE(K260:P260,1)-MAX(K260:P260))/(EXP(K260-MAX(K260:P260))+EXP(L260-MAX(K260:P260))+EXP(M260-MAX(K260:P260))+EXP(N260-MAX(K260:P260))+EXP(O260-MAX(K260:P260))+EXP(P260-MAX(K260:P260))))</f>
        <v/>
      </c>
      <c r="R260" s="100">
        <f>IF(G260="","",EXP(LARGE(K260:P260,2)-MAX(K260:P260))/(EXP(K260-MAX(K260:P260))+EXP(L260-MAX(K260:P260))+EXP(M260-MAX(K260:P260))+EXP(N260-MAX(K260:P260))+EXP(O260-MAX(K260:P260))+EXP(P260-MAX(K260:P260))))</f>
        <v/>
      </c>
      <c r="S260" s="100">
        <f>IF(G260="","",Q260-R260)</f>
        <v/>
      </c>
      <c r="T260" s="98">
        <f>IF(G260="","",IF(AND(G260&gt;=H260-$B$6*I260,G260&lt;=H260+$B$6*I260),"OK","NG"))</f>
        <v/>
      </c>
      <c r="U260" s="69">
        <f>IF(T260="","",IF(T260=D260,1,0))</f>
        <v/>
      </c>
      <c r="V260" s="98">
        <f>IF(G260="","",IF(T260="OK","NONE",INDEX({"S1","S2","W1","W2","N1","N2"},MATCH(MAX(K260:P260),K260:P260,0))))</f>
        <v/>
      </c>
      <c r="W260" s="69">
        <f>IF(G260="","",IF(V260=E260,1,0))</f>
        <v/>
      </c>
      <c r="X260" s="115">
        <f>IF(G260="","",IF(AND(T260="NG",S260&lt;$B$7),"AMBIGUOUS","CONFIDENT"))</f>
        <v/>
      </c>
    </row>
    <row r="261">
      <c r="A261" s="102">
        <f>'Runs Z score'!A254</f>
        <v/>
      </c>
      <c r="B261" s="98">
        <f>'Runs Z score'!B254</f>
        <v/>
      </c>
      <c r="C261" s="98">
        <f>'Runs Z score'!C254</f>
        <v/>
      </c>
      <c r="D261" s="98">
        <f>'Runs Z score'!D254</f>
        <v/>
      </c>
      <c r="E261" s="98">
        <f>'Runs Z score'!E254</f>
        <v/>
      </c>
      <c r="F261" s="98">
        <f>'Runs Z score'!F254</f>
        <v/>
      </c>
      <c r="G261" s="99">
        <f>'Runs Z score'!G254</f>
        <v/>
      </c>
      <c r="H261" s="100">
        <f>VLOOKUP(C261,Recipes!$A$2:$N$4,10,FALSE())</f>
        <v/>
      </c>
      <c r="I261" s="101">
        <f>VLOOKUP(C261,Recipes!$A$2:$N$4,12,FALSE())</f>
        <v/>
      </c>
      <c r="J261" s="100">
        <f>IF(G261="","",H261-G261)</f>
        <v/>
      </c>
      <c r="K261" s="100">
        <f>IF(G261="","",-0.5*((J261-Components!$D$2)/Components!$E$2)^2)</f>
        <v/>
      </c>
      <c r="L261" s="100">
        <f>IF(G261="","",-0.5*((J261-Components!$D$3)/Components!$E$3)^2)</f>
        <v/>
      </c>
      <c r="M261" s="100">
        <f>IF(G261="","",-0.5*((J261-Components!$D$4)/Components!$E$4)^2)</f>
        <v/>
      </c>
      <c r="N261" s="100">
        <f>IF(G261="","",-0.5*((J261-Components!$D$5)/Components!$E$5)^2)</f>
        <v/>
      </c>
      <c r="O261" s="100">
        <f>IF(G261="","",-0.5*((J261-Components!$D$6)/Components!$E$6)^2)</f>
        <v/>
      </c>
      <c r="P261" s="100">
        <f>IF(G261="","",-0.5*((J261-Components!$D$7)/Components!$E$7)^2)</f>
        <v/>
      </c>
      <c r="Q261" s="100">
        <f>IF(G261="","",EXP(LARGE(K261:P261,1)-MAX(K261:P261))/(EXP(K261-MAX(K261:P261))+EXP(L261-MAX(K261:P261))+EXP(M261-MAX(K261:P261))+EXP(N261-MAX(K261:P261))+EXP(O261-MAX(K261:P261))+EXP(P261-MAX(K261:P261))))</f>
        <v/>
      </c>
      <c r="R261" s="100">
        <f>IF(G261="","",EXP(LARGE(K261:P261,2)-MAX(K261:P261))/(EXP(K261-MAX(K261:P261))+EXP(L261-MAX(K261:P261))+EXP(M261-MAX(K261:P261))+EXP(N261-MAX(K261:P261))+EXP(O261-MAX(K261:P261))+EXP(P261-MAX(K261:P261))))</f>
        <v/>
      </c>
      <c r="S261" s="100">
        <f>IF(G261="","",Q261-R261)</f>
        <v/>
      </c>
      <c r="T261" s="98">
        <f>IF(G261="","",IF(AND(G261&gt;=H261-$B$6*I261,G261&lt;=H261+$B$6*I261),"OK","NG"))</f>
        <v/>
      </c>
      <c r="U261" s="69">
        <f>IF(T261="","",IF(T261=D261,1,0))</f>
        <v/>
      </c>
      <c r="V261" s="98">
        <f>IF(G261="","",IF(T261="OK","NONE",INDEX({"S1","S2","W1","W2","N1","N2"},MATCH(MAX(K261:P261),K261:P261,0))))</f>
        <v/>
      </c>
      <c r="W261" s="69">
        <f>IF(G261="","",IF(V261=E261,1,0))</f>
        <v/>
      </c>
      <c r="X261" s="115">
        <f>IF(G261="","",IF(AND(T261="NG",S261&lt;$B$7),"AMBIGUOUS","CONFIDENT"))</f>
        <v/>
      </c>
    </row>
    <row r="262">
      <c r="A262" s="102">
        <f>'Runs Z score'!A255</f>
        <v/>
      </c>
      <c r="B262" s="98">
        <f>'Runs Z score'!B255</f>
        <v/>
      </c>
      <c r="C262" s="98">
        <f>'Runs Z score'!C255</f>
        <v/>
      </c>
      <c r="D262" s="98">
        <f>'Runs Z score'!D255</f>
        <v/>
      </c>
      <c r="E262" s="98">
        <f>'Runs Z score'!E255</f>
        <v/>
      </c>
      <c r="F262" s="98">
        <f>'Runs Z score'!F255</f>
        <v/>
      </c>
      <c r="G262" s="99">
        <f>'Runs Z score'!G255</f>
        <v/>
      </c>
      <c r="H262" s="100">
        <f>VLOOKUP(C262,Recipes!$A$2:$N$4,10,FALSE())</f>
        <v/>
      </c>
      <c r="I262" s="101">
        <f>VLOOKUP(C262,Recipes!$A$2:$N$4,12,FALSE())</f>
        <v/>
      </c>
      <c r="J262" s="100">
        <f>IF(G262="","",H262-G262)</f>
        <v/>
      </c>
      <c r="K262" s="100">
        <f>IF(G262="","",-0.5*((J262-Components!$D$2)/Components!$E$2)^2)</f>
        <v/>
      </c>
      <c r="L262" s="100">
        <f>IF(G262="","",-0.5*((J262-Components!$D$3)/Components!$E$3)^2)</f>
        <v/>
      </c>
      <c r="M262" s="100">
        <f>IF(G262="","",-0.5*((J262-Components!$D$4)/Components!$E$4)^2)</f>
        <v/>
      </c>
      <c r="N262" s="100">
        <f>IF(G262="","",-0.5*((J262-Components!$D$5)/Components!$E$5)^2)</f>
        <v/>
      </c>
      <c r="O262" s="100">
        <f>IF(G262="","",-0.5*((J262-Components!$D$6)/Components!$E$6)^2)</f>
        <v/>
      </c>
      <c r="P262" s="100">
        <f>IF(G262="","",-0.5*((J262-Components!$D$7)/Components!$E$7)^2)</f>
        <v/>
      </c>
      <c r="Q262" s="100">
        <f>IF(G262="","",EXP(LARGE(K262:P262,1)-MAX(K262:P262))/(EXP(K262-MAX(K262:P262))+EXP(L262-MAX(K262:P262))+EXP(M262-MAX(K262:P262))+EXP(N262-MAX(K262:P262))+EXP(O262-MAX(K262:P262))+EXP(P262-MAX(K262:P262))))</f>
        <v/>
      </c>
      <c r="R262" s="100">
        <f>IF(G262="","",EXP(LARGE(K262:P262,2)-MAX(K262:P262))/(EXP(K262-MAX(K262:P262))+EXP(L262-MAX(K262:P262))+EXP(M262-MAX(K262:P262))+EXP(N262-MAX(K262:P262))+EXP(O262-MAX(K262:P262))+EXP(P262-MAX(K262:P262))))</f>
        <v/>
      </c>
      <c r="S262" s="100">
        <f>IF(G262="","",Q262-R262)</f>
        <v/>
      </c>
      <c r="T262" s="98">
        <f>IF(G262="","",IF(AND(G262&gt;=H262-$B$6*I262,G262&lt;=H262+$B$6*I262),"OK","NG"))</f>
        <v/>
      </c>
      <c r="U262" s="69">
        <f>IF(T262="","",IF(T262=D262,1,0))</f>
        <v/>
      </c>
      <c r="V262" s="98">
        <f>IF(G262="","",IF(T262="OK","NONE",INDEX({"S1","S2","W1","W2","N1","N2"},MATCH(MAX(K262:P262),K262:P262,0))))</f>
        <v/>
      </c>
      <c r="W262" s="69">
        <f>IF(G262="","",IF(V262=E262,1,0))</f>
        <v/>
      </c>
      <c r="X262" s="115">
        <f>IF(G262="","",IF(AND(T262="NG",S262&lt;$B$7),"AMBIGUOUS","CONFIDENT"))</f>
        <v/>
      </c>
    </row>
    <row r="263">
      <c r="A263" s="102">
        <f>'Runs Z score'!A256</f>
        <v/>
      </c>
      <c r="B263" s="98">
        <f>'Runs Z score'!B256</f>
        <v/>
      </c>
      <c r="C263" s="98">
        <f>'Runs Z score'!C256</f>
        <v/>
      </c>
      <c r="D263" s="98">
        <f>'Runs Z score'!D256</f>
        <v/>
      </c>
      <c r="E263" s="98">
        <f>'Runs Z score'!E256</f>
        <v/>
      </c>
      <c r="F263" s="98">
        <f>'Runs Z score'!F256</f>
        <v/>
      </c>
      <c r="G263" s="99">
        <f>'Runs Z score'!G256</f>
        <v/>
      </c>
      <c r="H263" s="100">
        <f>VLOOKUP(C263,Recipes!$A$2:$N$4,10,FALSE())</f>
        <v/>
      </c>
      <c r="I263" s="101">
        <f>VLOOKUP(C263,Recipes!$A$2:$N$4,12,FALSE())</f>
        <v/>
      </c>
      <c r="J263" s="100">
        <f>IF(G263="","",H263-G263)</f>
        <v/>
      </c>
      <c r="K263" s="100">
        <f>IF(G263="","",-0.5*((J263-Components!$D$2)/Components!$E$2)^2)</f>
        <v/>
      </c>
      <c r="L263" s="100">
        <f>IF(G263="","",-0.5*((J263-Components!$D$3)/Components!$E$3)^2)</f>
        <v/>
      </c>
      <c r="M263" s="100">
        <f>IF(G263="","",-0.5*((J263-Components!$D$4)/Components!$E$4)^2)</f>
        <v/>
      </c>
      <c r="N263" s="100">
        <f>IF(G263="","",-0.5*((J263-Components!$D$5)/Components!$E$5)^2)</f>
        <v/>
      </c>
      <c r="O263" s="100">
        <f>IF(G263="","",-0.5*((J263-Components!$D$6)/Components!$E$6)^2)</f>
        <v/>
      </c>
      <c r="P263" s="100">
        <f>IF(G263="","",-0.5*((J263-Components!$D$7)/Components!$E$7)^2)</f>
        <v/>
      </c>
      <c r="Q263" s="100">
        <f>IF(G263="","",EXP(LARGE(K263:P263,1)-MAX(K263:P263))/(EXP(K263-MAX(K263:P263))+EXP(L263-MAX(K263:P263))+EXP(M263-MAX(K263:P263))+EXP(N263-MAX(K263:P263))+EXP(O263-MAX(K263:P263))+EXP(P263-MAX(K263:P263))))</f>
        <v/>
      </c>
      <c r="R263" s="100">
        <f>IF(G263="","",EXP(LARGE(K263:P263,2)-MAX(K263:P263))/(EXP(K263-MAX(K263:P263))+EXP(L263-MAX(K263:P263))+EXP(M263-MAX(K263:P263))+EXP(N263-MAX(K263:P263))+EXP(O263-MAX(K263:P263))+EXP(P263-MAX(K263:P263))))</f>
        <v/>
      </c>
      <c r="S263" s="100">
        <f>IF(G263="","",Q263-R263)</f>
        <v/>
      </c>
      <c r="T263" s="98">
        <f>IF(G263="","",IF(AND(G263&gt;=H263-$B$6*I263,G263&lt;=H263+$B$6*I263),"OK","NG"))</f>
        <v/>
      </c>
      <c r="U263" s="69">
        <f>IF(T263="","",IF(T263=D263,1,0))</f>
        <v/>
      </c>
      <c r="V263" s="98">
        <f>IF(G263="","",IF(T263="OK","NONE",INDEX({"S1","S2","W1","W2","N1","N2"},MATCH(MAX(K263:P263),K263:P263,0))))</f>
        <v/>
      </c>
      <c r="W263" s="69">
        <f>IF(G263="","",IF(V263=E263,1,0))</f>
        <v/>
      </c>
      <c r="X263" s="115">
        <f>IF(G263="","",IF(AND(T263="NG",S263&lt;$B$7),"AMBIGUOUS","CONFIDENT"))</f>
        <v/>
      </c>
    </row>
    <row r="264">
      <c r="A264" s="102">
        <f>'Runs Z score'!A257</f>
        <v/>
      </c>
      <c r="B264" s="98">
        <f>'Runs Z score'!B257</f>
        <v/>
      </c>
      <c r="C264" s="98">
        <f>'Runs Z score'!C257</f>
        <v/>
      </c>
      <c r="D264" s="98">
        <f>'Runs Z score'!D257</f>
        <v/>
      </c>
      <c r="E264" s="98">
        <f>'Runs Z score'!E257</f>
        <v/>
      </c>
      <c r="F264" s="98">
        <f>'Runs Z score'!F257</f>
        <v/>
      </c>
      <c r="G264" s="99">
        <f>'Runs Z score'!G257</f>
        <v/>
      </c>
      <c r="H264" s="100">
        <f>VLOOKUP(C264,Recipes!$A$2:$N$4,10,FALSE())</f>
        <v/>
      </c>
      <c r="I264" s="101">
        <f>VLOOKUP(C264,Recipes!$A$2:$N$4,12,FALSE())</f>
        <v/>
      </c>
      <c r="J264" s="100">
        <f>IF(G264="","",H264-G264)</f>
        <v/>
      </c>
      <c r="K264" s="100">
        <f>IF(G264="","",-0.5*((J264-Components!$D$2)/Components!$E$2)^2)</f>
        <v/>
      </c>
      <c r="L264" s="100">
        <f>IF(G264="","",-0.5*((J264-Components!$D$3)/Components!$E$3)^2)</f>
        <v/>
      </c>
      <c r="M264" s="100">
        <f>IF(G264="","",-0.5*((J264-Components!$D$4)/Components!$E$4)^2)</f>
        <v/>
      </c>
      <c r="N264" s="100">
        <f>IF(G264="","",-0.5*((J264-Components!$D$5)/Components!$E$5)^2)</f>
        <v/>
      </c>
      <c r="O264" s="100">
        <f>IF(G264="","",-0.5*((J264-Components!$D$6)/Components!$E$6)^2)</f>
        <v/>
      </c>
      <c r="P264" s="100">
        <f>IF(G264="","",-0.5*((J264-Components!$D$7)/Components!$E$7)^2)</f>
        <v/>
      </c>
      <c r="Q264" s="100">
        <f>IF(G264="","",EXP(LARGE(K264:P264,1)-MAX(K264:P264))/(EXP(K264-MAX(K264:P264))+EXP(L264-MAX(K264:P264))+EXP(M264-MAX(K264:P264))+EXP(N264-MAX(K264:P264))+EXP(O264-MAX(K264:P264))+EXP(P264-MAX(K264:P264))))</f>
        <v/>
      </c>
      <c r="R264" s="100">
        <f>IF(G264="","",EXP(LARGE(K264:P264,2)-MAX(K264:P264))/(EXP(K264-MAX(K264:P264))+EXP(L264-MAX(K264:P264))+EXP(M264-MAX(K264:P264))+EXP(N264-MAX(K264:P264))+EXP(O264-MAX(K264:P264))+EXP(P264-MAX(K264:P264))))</f>
        <v/>
      </c>
      <c r="S264" s="100">
        <f>IF(G264="","",Q264-R264)</f>
        <v/>
      </c>
      <c r="T264" s="98">
        <f>IF(G264="","",IF(AND(G264&gt;=H264-$B$6*I264,G264&lt;=H264+$B$6*I264),"OK","NG"))</f>
        <v/>
      </c>
      <c r="U264" s="69">
        <f>IF(T264="","",IF(T264=D264,1,0))</f>
        <v/>
      </c>
      <c r="V264" s="98">
        <f>IF(G264="","",IF(T264="OK","NONE",INDEX({"S1","S2","W1","W2","N1","N2"},MATCH(MAX(K264:P264),K264:P264,0))))</f>
        <v/>
      </c>
      <c r="W264" s="69">
        <f>IF(G264="","",IF(V264=E264,1,0))</f>
        <v/>
      </c>
      <c r="X264" s="115">
        <f>IF(G264="","",IF(AND(T264="NG",S264&lt;$B$7),"AMBIGUOUS","CONFIDENT"))</f>
        <v/>
      </c>
    </row>
    <row r="265">
      <c r="A265" s="102">
        <f>'Runs Z score'!A258</f>
        <v/>
      </c>
      <c r="B265" s="98">
        <f>'Runs Z score'!B258</f>
        <v/>
      </c>
      <c r="C265" s="98">
        <f>'Runs Z score'!C258</f>
        <v/>
      </c>
      <c r="D265" s="98">
        <f>'Runs Z score'!D258</f>
        <v/>
      </c>
      <c r="E265" s="98">
        <f>'Runs Z score'!E258</f>
        <v/>
      </c>
      <c r="F265" s="98">
        <f>'Runs Z score'!F258</f>
        <v/>
      </c>
      <c r="G265" s="99">
        <f>'Runs Z score'!G258</f>
        <v/>
      </c>
      <c r="H265" s="100">
        <f>VLOOKUP(C265,Recipes!$A$2:$N$4,10,FALSE())</f>
        <v/>
      </c>
      <c r="I265" s="101">
        <f>VLOOKUP(C265,Recipes!$A$2:$N$4,12,FALSE())</f>
        <v/>
      </c>
      <c r="J265" s="100">
        <f>IF(G265="","",H265-G265)</f>
        <v/>
      </c>
      <c r="K265" s="100">
        <f>IF(G265="","",-0.5*((J265-Components!$D$2)/Components!$E$2)^2)</f>
        <v/>
      </c>
      <c r="L265" s="100">
        <f>IF(G265="","",-0.5*((J265-Components!$D$3)/Components!$E$3)^2)</f>
        <v/>
      </c>
      <c r="M265" s="100">
        <f>IF(G265="","",-0.5*((J265-Components!$D$4)/Components!$E$4)^2)</f>
        <v/>
      </c>
      <c r="N265" s="100">
        <f>IF(G265="","",-0.5*((J265-Components!$D$5)/Components!$E$5)^2)</f>
        <v/>
      </c>
      <c r="O265" s="100">
        <f>IF(G265="","",-0.5*((J265-Components!$D$6)/Components!$E$6)^2)</f>
        <v/>
      </c>
      <c r="P265" s="100">
        <f>IF(G265="","",-0.5*((J265-Components!$D$7)/Components!$E$7)^2)</f>
        <v/>
      </c>
      <c r="Q265" s="100">
        <f>IF(G265="","",EXP(LARGE(K265:P265,1)-MAX(K265:P265))/(EXP(K265-MAX(K265:P265))+EXP(L265-MAX(K265:P265))+EXP(M265-MAX(K265:P265))+EXP(N265-MAX(K265:P265))+EXP(O265-MAX(K265:P265))+EXP(P265-MAX(K265:P265))))</f>
        <v/>
      </c>
      <c r="R265" s="100">
        <f>IF(G265="","",EXP(LARGE(K265:P265,2)-MAX(K265:P265))/(EXP(K265-MAX(K265:P265))+EXP(L265-MAX(K265:P265))+EXP(M265-MAX(K265:P265))+EXP(N265-MAX(K265:P265))+EXP(O265-MAX(K265:P265))+EXP(P265-MAX(K265:P265))))</f>
        <v/>
      </c>
      <c r="S265" s="100">
        <f>IF(G265="","",Q265-R265)</f>
        <v/>
      </c>
      <c r="T265" s="98">
        <f>IF(G265="","",IF(AND(G265&gt;=H265-$B$6*I265,G265&lt;=H265+$B$6*I265),"OK","NG"))</f>
        <v/>
      </c>
      <c r="U265" s="69">
        <f>IF(T265="","",IF(T265=D265,1,0))</f>
        <v/>
      </c>
      <c r="V265" s="98">
        <f>IF(G265="","",IF(T265="OK","NONE",INDEX({"S1","S2","W1","W2","N1","N2"},MATCH(MAX(K265:P265),K265:P265,0))))</f>
        <v/>
      </c>
      <c r="W265" s="69">
        <f>IF(G265="","",IF(V265=E265,1,0))</f>
        <v/>
      </c>
      <c r="X265" s="115">
        <f>IF(G265="","",IF(AND(T265="NG",S265&lt;$B$7),"AMBIGUOUS","CONFIDENT"))</f>
        <v/>
      </c>
    </row>
    <row r="266">
      <c r="A266" s="102">
        <f>'Runs Z score'!A259</f>
        <v/>
      </c>
      <c r="B266" s="98">
        <f>'Runs Z score'!B259</f>
        <v/>
      </c>
      <c r="C266" s="98">
        <f>'Runs Z score'!C259</f>
        <v/>
      </c>
      <c r="D266" s="98">
        <f>'Runs Z score'!D259</f>
        <v/>
      </c>
      <c r="E266" s="98">
        <f>'Runs Z score'!E259</f>
        <v/>
      </c>
      <c r="F266" s="98">
        <f>'Runs Z score'!F259</f>
        <v/>
      </c>
      <c r="G266" s="99">
        <f>'Runs Z score'!G259</f>
        <v/>
      </c>
      <c r="H266" s="100">
        <f>VLOOKUP(C266,Recipes!$A$2:$N$4,10,FALSE())</f>
        <v/>
      </c>
      <c r="I266" s="101">
        <f>VLOOKUP(C266,Recipes!$A$2:$N$4,12,FALSE())</f>
        <v/>
      </c>
      <c r="J266" s="100">
        <f>IF(G266="","",H266-G266)</f>
        <v/>
      </c>
      <c r="K266" s="100">
        <f>IF(G266="","",-0.5*((J266-Components!$D$2)/Components!$E$2)^2)</f>
        <v/>
      </c>
      <c r="L266" s="100">
        <f>IF(G266="","",-0.5*((J266-Components!$D$3)/Components!$E$3)^2)</f>
        <v/>
      </c>
      <c r="M266" s="100">
        <f>IF(G266="","",-0.5*((J266-Components!$D$4)/Components!$E$4)^2)</f>
        <v/>
      </c>
      <c r="N266" s="100">
        <f>IF(G266="","",-0.5*((J266-Components!$D$5)/Components!$E$5)^2)</f>
        <v/>
      </c>
      <c r="O266" s="100">
        <f>IF(G266="","",-0.5*((J266-Components!$D$6)/Components!$E$6)^2)</f>
        <v/>
      </c>
      <c r="P266" s="100">
        <f>IF(G266="","",-0.5*((J266-Components!$D$7)/Components!$E$7)^2)</f>
        <v/>
      </c>
      <c r="Q266" s="100">
        <f>IF(G266="","",EXP(LARGE(K266:P266,1)-MAX(K266:P266))/(EXP(K266-MAX(K266:P266))+EXP(L266-MAX(K266:P266))+EXP(M266-MAX(K266:P266))+EXP(N266-MAX(K266:P266))+EXP(O266-MAX(K266:P266))+EXP(P266-MAX(K266:P266))))</f>
        <v/>
      </c>
      <c r="R266" s="100">
        <f>IF(G266="","",EXP(LARGE(K266:P266,2)-MAX(K266:P266))/(EXP(K266-MAX(K266:P266))+EXP(L266-MAX(K266:P266))+EXP(M266-MAX(K266:P266))+EXP(N266-MAX(K266:P266))+EXP(O266-MAX(K266:P266))+EXP(P266-MAX(K266:P266))))</f>
        <v/>
      </c>
      <c r="S266" s="100">
        <f>IF(G266="","",Q266-R266)</f>
        <v/>
      </c>
      <c r="T266" s="98">
        <f>IF(G266="","",IF(AND(G266&gt;=H266-$B$6*I266,G266&lt;=H266+$B$6*I266),"OK","NG"))</f>
        <v/>
      </c>
      <c r="U266" s="69">
        <f>IF(T266="","",IF(T266=D266,1,0))</f>
        <v/>
      </c>
      <c r="V266" s="98">
        <f>IF(G266="","",IF(T266="OK","NONE",INDEX({"S1","S2","W1","W2","N1","N2"},MATCH(MAX(K266:P266),K266:P266,0))))</f>
        <v/>
      </c>
      <c r="W266" s="69">
        <f>IF(G266="","",IF(V266=E266,1,0))</f>
        <v/>
      </c>
      <c r="X266" s="115">
        <f>IF(G266="","",IF(AND(T266="NG",S266&lt;$B$7),"AMBIGUOUS","CONFIDENT"))</f>
        <v/>
      </c>
    </row>
    <row r="267">
      <c r="A267" s="102">
        <f>'Runs Z score'!A260</f>
        <v/>
      </c>
      <c r="B267" s="98">
        <f>'Runs Z score'!B260</f>
        <v/>
      </c>
      <c r="C267" s="98">
        <f>'Runs Z score'!C260</f>
        <v/>
      </c>
      <c r="D267" s="98">
        <f>'Runs Z score'!D260</f>
        <v/>
      </c>
      <c r="E267" s="98">
        <f>'Runs Z score'!E260</f>
        <v/>
      </c>
      <c r="F267" s="98">
        <f>'Runs Z score'!F260</f>
        <v/>
      </c>
      <c r="G267" s="99">
        <f>'Runs Z score'!G260</f>
        <v/>
      </c>
      <c r="H267" s="100">
        <f>VLOOKUP(C267,Recipes!$A$2:$N$4,10,FALSE())</f>
        <v/>
      </c>
      <c r="I267" s="101">
        <f>VLOOKUP(C267,Recipes!$A$2:$N$4,12,FALSE())</f>
        <v/>
      </c>
      <c r="J267" s="100">
        <f>IF(G267="","",H267-G267)</f>
        <v/>
      </c>
      <c r="K267" s="100">
        <f>IF(G267="","",-0.5*((J267-Components!$D$2)/Components!$E$2)^2)</f>
        <v/>
      </c>
      <c r="L267" s="100">
        <f>IF(G267="","",-0.5*((J267-Components!$D$3)/Components!$E$3)^2)</f>
        <v/>
      </c>
      <c r="M267" s="100">
        <f>IF(G267="","",-0.5*((J267-Components!$D$4)/Components!$E$4)^2)</f>
        <v/>
      </c>
      <c r="N267" s="100">
        <f>IF(G267="","",-0.5*((J267-Components!$D$5)/Components!$E$5)^2)</f>
        <v/>
      </c>
      <c r="O267" s="100">
        <f>IF(G267="","",-0.5*((J267-Components!$D$6)/Components!$E$6)^2)</f>
        <v/>
      </c>
      <c r="P267" s="100">
        <f>IF(G267="","",-0.5*((J267-Components!$D$7)/Components!$E$7)^2)</f>
        <v/>
      </c>
      <c r="Q267" s="100">
        <f>IF(G267="","",EXP(LARGE(K267:P267,1)-MAX(K267:P267))/(EXP(K267-MAX(K267:P267))+EXP(L267-MAX(K267:P267))+EXP(M267-MAX(K267:P267))+EXP(N267-MAX(K267:P267))+EXP(O267-MAX(K267:P267))+EXP(P267-MAX(K267:P267))))</f>
        <v/>
      </c>
      <c r="R267" s="100">
        <f>IF(G267="","",EXP(LARGE(K267:P267,2)-MAX(K267:P267))/(EXP(K267-MAX(K267:P267))+EXP(L267-MAX(K267:P267))+EXP(M267-MAX(K267:P267))+EXP(N267-MAX(K267:P267))+EXP(O267-MAX(K267:P267))+EXP(P267-MAX(K267:P267))))</f>
        <v/>
      </c>
      <c r="S267" s="100">
        <f>IF(G267="","",Q267-R267)</f>
        <v/>
      </c>
      <c r="T267" s="98">
        <f>IF(G267="","",IF(AND(G267&gt;=H267-$B$6*I267,G267&lt;=H267+$B$6*I267),"OK","NG"))</f>
        <v/>
      </c>
      <c r="U267" s="69">
        <f>IF(T267="","",IF(T267=D267,1,0))</f>
        <v/>
      </c>
      <c r="V267" s="98">
        <f>IF(G267="","",IF(T267="OK","NONE",INDEX({"S1","S2","W1","W2","N1","N2"},MATCH(MAX(K267:P267),K267:P267,0))))</f>
        <v/>
      </c>
      <c r="W267" s="71">
        <f>IF(G267="","",IF(V267=E267,1,0))</f>
        <v/>
      </c>
      <c r="X267" s="115">
        <f>IF(G267="","",IF(AND(T267="NG",S267&lt;$B$7),"AMBIGUOUS","CONFIDENT"))</f>
        <v/>
      </c>
    </row>
    <row r="268">
      <c r="A268" s="102">
        <f>'Runs Z score'!A261</f>
        <v/>
      </c>
      <c r="B268" s="98">
        <f>'Runs Z score'!B261</f>
        <v/>
      </c>
      <c r="C268" s="98">
        <f>'Runs Z score'!C261</f>
        <v/>
      </c>
      <c r="D268" s="98">
        <f>'Runs Z score'!D261</f>
        <v/>
      </c>
      <c r="E268" s="98">
        <f>'Runs Z score'!E261</f>
        <v/>
      </c>
      <c r="F268" s="98">
        <f>'Runs Z score'!F261</f>
        <v/>
      </c>
      <c r="G268" s="99">
        <f>'Runs Z score'!G261</f>
        <v/>
      </c>
      <c r="H268" s="100">
        <f>VLOOKUP(C268,Recipes!$A$2:$N$4,10,FALSE())</f>
        <v/>
      </c>
      <c r="I268" s="101">
        <f>VLOOKUP(C268,Recipes!$A$2:$N$4,12,FALSE())</f>
        <v/>
      </c>
      <c r="J268" s="100">
        <f>IF(G268="","",H268-G268)</f>
        <v/>
      </c>
      <c r="K268" s="100">
        <f>IF(G268="","",-0.5*((J268-Components!$D$2)/Components!$E$2)^2)</f>
        <v/>
      </c>
      <c r="L268" s="100">
        <f>IF(G268="","",-0.5*((J268-Components!$D$3)/Components!$E$3)^2)</f>
        <v/>
      </c>
      <c r="M268" s="100">
        <f>IF(G268="","",-0.5*((J268-Components!$D$4)/Components!$E$4)^2)</f>
        <v/>
      </c>
      <c r="N268" s="100">
        <f>IF(G268="","",-0.5*((J268-Components!$D$5)/Components!$E$5)^2)</f>
        <v/>
      </c>
      <c r="O268" s="100">
        <f>IF(G268="","",-0.5*((J268-Components!$D$6)/Components!$E$6)^2)</f>
        <v/>
      </c>
      <c r="P268" s="100">
        <f>IF(G268="","",-0.5*((J268-Components!$D$7)/Components!$E$7)^2)</f>
        <v/>
      </c>
      <c r="Q268" s="100">
        <f>IF(G268="","",EXP(LARGE(K268:P268,1)-MAX(K268:P268))/(EXP(K268-MAX(K268:P268))+EXP(L268-MAX(K268:P268))+EXP(M268-MAX(K268:P268))+EXP(N268-MAX(K268:P268))+EXP(O268-MAX(K268:P268))+EXP(P268-MAX(K268:P268))))</f>
        <v/>
      </c>
      <c r="R268" s="100">
        <f>IF(G268="","",EXP(LARGE(K268:P268,2)-MAX(K268:P268))/(EXP(K268-MAX(K268:P268))+EXP(L268-MAX(K268:P268))+EXP(M268-MAX(K268:P268))+EXP(N268-MAX(K268:P268))+EXP(O268-MAX(K268:P268))+EXP(P268-MAX(K268:P268))))</f>
        <v/>
      </c>
      <c r="S268" s="100">
        <f>IF(G268="","",Q268-R268)</f>
        <v/>
      </c>
      <c r="T268" s="98">
        <f>IF(G268="","",IF(AND(G268&gt;=H268-$B$6*I268,G268&lt;=H268+$B$6*I268),"OK","NG"))</f>
        <v/>
      </c>
      <c r="U268" s="69">
        <f>IF(T268="","",IF(T268=D268,1,0))</f>
        <v/>
      </c>
      <c r="V268" s="98">
        <f>IF(G268="","",IF(T268="OK","NONE",INDEX({"S1","S2","W1","W2","N1","N2"},MATCH(MAX(K268:P268),K268:P268,0))))</f>
        <v/>
      </c>
      <c r="W268" s="69">
        <f>IF(G268="","",IF(V268=E268,1,0))</f>
        <v/>
      </c>
      <c r="X268" s="115">
        <f>IF(G268="","",IF(AND(T268="NG",S268&lt;$B$7),"AMBIGUOUS","CONFIDENT"))</f>
        <v/>
      </c>
    </row>
    <row r="269">
      <c r="A269" s="102">
        <f>'Runs Z score'!A262</f>
        <v/>
      </c>
      <c r="B269" s="98">
        <f>'Runs Z score'!B262</f>
        <v/>
      </c>
      <c r="C269" s="98">
        <f>'Runs Z score'!C262</f>
        <v/>
      </c>
      <c r="D269" s="98">
        <f>'Runs Z score'!D262</f>
        <v/>
      </c>
      <c r="E269" s="98">
        <f>'Runs Z score'!E262</f>
        <v/>
      </c>
      <c r="F269" s="98">
        <f>'Runs Z score'!F262</f>
        <v/>
      </c>
      <c r="G269" s="99">
        <f>'Runs Z score'!G262</f>
        <v/>
      </c>
      <c r="H269" s="100">
        <f>VLOOKUP(C269,Recipes!$A$2:$N$4,10,FALSE())</f>
        <v/>
      </c>
      <c r="I269" s="101">
        <f>VLOOKUP(C269,Recipes!$A$2:$N$4,12,FALSE())</f>
        <v/>
      </c>
      <c r="J269" s="100">
        <f>IF(G269="","",H269-G269)</f>
        <v/>
      </c>
      <c r="K269" s="100">
        <f>IF(G269="","",-0.5*((J269-Components!$D$2)/Components!$E$2)^2)</f>
        <v/>
      </c>
      <c r="L269" s="100">
        <f>IF(G269="","",-0.5*((J269-Components!$D$3)/Components!$E$3)^2)</f>
        <v/>
      </c>
      <c r="M269" s="100">
        <f>IF(G269="","",-0.5*((J269-Components!$D$4)/Components!$E$4)^2)</f>
        <v/>
      </c>
      <c r="N269" s="100">
        <f>IF(G269="","",-0.5*((J269-Components!$D$5)/Components!$E$5)^2)</f>
        <v/>
      </c>
      <c r="O269" s="100">
        <f>IF(G269="","",-0.5*((J269-Components!$D$6)/Components!$E$6)^2)</f>
        <v/>
      </c>
      <c r="P269" s="100">
        <f>IF(G269="","",-0.5*((J269-Components!$D$7)/Components!$E$7)^2)</f>
        <v/>
      </c>
      <c r="Q269" s="100">
        <f>IF(G269="","",EXP(LARGE(K269:P269,1)-MAX(K269:P269))/(EXP(K269-MAX(K269:P269))+EXP(L269-MAX(K269:P269))+EXP(M269-MAX(K269:P269))+EXP(N269-MAX(K269:P269))+EXP(O269-MAX(K269:P269))+EXP(P269-MAX(K269:P269))))</f>
        <v/>
      </c>
      <c r="R269" s="100">
        <f>IF(G269="","",EXP(LARGE(K269:P269,2)-MAX(K269:P269))/(EXP(K269-MAX(K269:P269))+EXP(L269-MAX(K269:P269))+EXP(M269-MAX(K269:P269))+EXP(N269-MAX(K269:P269))+EXP(O269-MAX(K269:P269))+EXP(P269-MAX(K269:P269))))</f>
        <v/>
      </c>
      <c r="S269" s="100">
        <f>IF(G269="","",Q269-R269)</f>
        <v/>
      </c>
      <c r="T269" s="98">
        <f>IF(G269="","",IF(AND(G269&gt;=H269-$B$6*I269,G269&lt;=H269+$B$6*I269),"OK","NG"))</f>
        <v/>
      </c>
      <c r="U269" s="69">
        <f>IF(T269="","",IF(T269=D269,1,0))</f>
        <v/>
      </c>
      <c r="V269" s="98">
        <f>IF(G269="","",IF(T269="OK","NONE",INDEX({"S1","S2","W1","W2","N1","N2"},MATCH(MAX(K269:P269),K269:P269,0))))</f>
        <v/>
      </c>
      <c r="W269" s="69">
        <f>IF(G269="","",IF(V269=E269,1,0))</f>
        <v/>
      </c>
      <c r="X269" s="115">
        <f>IF(G269="","",IF(AND(T269="NG",S269&lt;$B$7),"AMBIGUOUS","CONFIDENT"))</f>
        <v/>
      </c>
    </row>
    <row r="270">
      <c r="A270" s="102">
        <f>'Runs Z score'!A263</f>
        <v/>
      </c>
      <c r="B270" s="98">
        <f>'Runs Z score'!B263</f>
        <v/>
      </c>
      <c r="C270" s="98">
        <f>'Runs Z score'!C263</f>
        <v/>
      </c>
      <c r="D270" s="98">
        <f>'Runs Z score'!D263</f>
        <v/>
      </c>
      <c r="E270" s="98">
        <f>'Runs Z score'!E263</f>
        <v/>
      </c>
      <c r="F270" s="98">
        <f>'Runs Z score'!F263</f>
        <v/>
      </c>
      <c r="G270" s="99">
        <f>'Runs Z score'!G263</f>
        <v/>
      </c>
      <c r="H270" s="100">
        <f>VLOOKUP(C270,Recipes!$A$2:$N$4,10,FALSE())</f>
        <v/>
      </c>
      <c r="I270" s="101">
        <f>VLOOKUP(C270,Recipes!$A$2:$N$4,12,FALSE())</f>
        <v/>
      </c>
      <c r="J270" s="100">
        <f>IF(G270="","",H270-G270)</f>
        <v/>
      </c>
      <c r="K270" s="100">
        <f>IF(G270="","",-0.5*((J270-Components!$D$2)/Components!$E$2)^2)</f>
        <v/>
      </c>
      <c r="L270" s="100">
        <f>IF(G270="","",-0.5*((J270-Components!$D$3)/Components!$E$3)^2)</f>
        <v/>
      </c>
      <c r="M270" s="100">
        <f>IF(G270="","",-0.5*((J270-Components!$D$4)/Components!$E$4)^2)</f>
        <v/>
      </c>
      <c r="N270" s="100">
        <f>IF(G270="","",-0.5*((J270-Components!$D$5)/Components!$E$5)^2)</f>
        <v/>
      </c>
      <c r="O270" s="100">
        <f>IF(G270="","",-0.5*((J270-Components!$D$6)/Components!$E$6)^2)</f>
        <v/>
      </c>
      <c r="P270" s="100">
        <f>IF(G270="","",-0.5*((J270-Components!$D$7)/Components!$E$7)^2)</f>
        <v/>
      </c>
      <c r="Q270" s="100">
        <f>IF(G270="","",EXP(LARGE(K270:P270,1)-MAX(K270:P270))/(EXP(K270-MAX(K270:P270))+EXP(L270-MAX(K270:P270))+EXP(M270-MAX(K270:P270))+EXP(N270-MAX(K270:P270))+EXP(O270-MAX(K270:P270))+EXP(P270-MAX(K270:P270))))</f>
        <v/>
      </c>
      <c r="R270" s="100">
        <f>IF(G270="","",EXP(LARGE(K270:P270,2)-MAX(K270:P270))/(EXP(K270-MAX(K270:P270))+EXP(L270-MAX(K270:P270))+EXP(M270-MAX(K270:P270))+EXP(N270-MAX(K270:P270))+EXP(O270-MAX(K270:P270))+EXP(P270-MAX(K270:P270))))</f>
        <v/>
      </c>
      <c r="S270" s="100">
        <f>IF(G270="","",Q270-R270)</f>
        <v/>
      </c>
      <c r="T270" s="98">
        <f>IF(G270="","",IF(AND(G270&gt;=H270-$B$6*I270,G270&lt;=H270+$B$6*I270),"OK","NG"))</f>
        <v/>
      </c>
      <c r="U270" s="69">
        <f>IF(T270="","",IF(T270=D270,1,0))</f>
        <v/>
      </c>
      <c r="V270" s="98">
        <f>IF(G270="","",IF(T270="OK","NONE",INDEX({"S1","S2","W1","W2","N1","N2"},MATCH(MAX(K270:P270),K270:P270,0))))</f>
        <v/>
      </c>
      <c r="W270" s="69">
        <f>IF(G270="","",IF(V270=E270,1,0))</f>
        <v/>
      </c>
      <c r="X270" s="115">
        <f>IF(G270="","",IF(AND(T270="NG",S270&lt;$B$7),"AMBIGUOUS","CONFIDENT"))</f>
        <v/>
      </c>
    </row>
    <row r="271">
      <c r="A271" s="102">
        <f>'Runs Z score'!A264</f>
        <v/>
      </c>
      <c r="B271" s="98">
        <f>'Runs Z score'!B264</f>
        <v/>
      </c>
      <c r="C271" s="98">
        <f>'Runs Z score'!C264</f>
        <v/>
      </c>
      <c r="D271" s="98">
        <f>'Runs Z score'!D264</f>
        <v/>
      </c>
      <c r="E271" s="98">
        <f>'Runs Z score'!E264</f>
        <v/>
      </c>
      <c r="F271" s="98">
        <f>'Runs Z score'!F264</f>
        <v/>
      </c>
      <c r="G271" s="99">
        <f>'Runs Z score'!G264</f>
        <v/>
      </c>
      <c r="H271" s="100">
        <f>VLOOKUP(C271,Recipes!$A$2:$N$4,10,FALSE())</f>
        <v/>
      </c>
      <c r="I271" s="101">
        <f>VLOOKUP(C271,Recipes!$A$2:$N$4,12,FALSE())</f>
        <v/>
      </c>
      <c r="J271" s="100">
        <f>IF(G271="","",H271-G271)</f>
        <v/>
      </c>
      <c r="K271" s="100">
        <f>IF(G271="","",-0.5*((J271-Components!$D$2)/Components!$E$2)^2)</f>
        <v/>
      </c>
      <c r="L271" s="100">
        <f>IF(G271="","",-0.5*((J271-Components!$D$3)/Components!$E$3)^2)</f>
        <v/>
      </c>
      <c r="M271" s="100">
        <f>IF(G271="","",-0.5*((J271-Components!$D$4)/Components!$E$4)^2)</f>
        <v/>
      </c>
      <c r="N271" s="100">
        <f>IF(G271="","",-0.5*((J271-Components!$D$5)/Components!$E$5)^2)</f>
        <v/>
      </c>
      <c r="O271" s="100">
        <f>IF(G271="","",-0.5*((J271-Components!$D$6)/Components!$E$6)^2)</f>
        <v/>
      </c>
      <c r="P271" s="100">
        <f>IF(G271="","",-0.5*((J271-Components!$D$7)/Components!$E$7)^2)</f>
        <v/>
      </c>
      <c r="Q271" s="100">
        <f>IF(G271="","",EXP(LARGE(K271:P271,1)-MAX(K271:P271))/(EXP(K271-MAX(K271:P271))+EXP(L271-MAX(K271:P271))+EXP(M271-MAX(K271:P271))+EXP(N271-MAX(K271:P271))+EXP(O271-MAX(K271:P271))+EXP(P271-MAX(K271:P271))))</f>
        <v/>
      </c>
      <c r="R271" s="100">
        <f>IF(G271="","",EXP(LARGE(K271:P271,2)-MAX(K271:P271))/(EXP(K271-MAX(K271:P271))+EXP(L271-MAX(K271:P271))+EXP(M271-MAX(K271:P271))+EXP(N271-MAX(K271:P271))+EXP(O271-MAX(K271:P271))+EXP(P271-MAX(K271:P271))))</f>
        <v/>
      </c>
      <c r="S271" s="100">
        <f>IF(G271="","",Q271-R271)</f>
        <v/>
      </c>
      <c r="T271" s="98">
        <f>IF(G271="","",IF(AND(G271&gt;=H271-$B$6*I271,G271&lt;=H271+$B$6*I271),"OK","NG"))</f>
        <v/>
      </c>
      <c r="U271" s="69">
        <f>IF(T271="","",IF(T271=D271,1,0))</f>
        <v/>
      </c>
      <c r="V271" s="98">
        <f>IF(G271="","",IF(T271="OK","NONE",INDEX({"S1","S2","W1","W2","N1","N2"},MATCH(MAX(K271:P271),K271:P271,0))))</f>
        <v/>
      </c>
      <c r="W271" s="69">
        <f>IF(G271="","",IF(V271=E271,1,0))</f>
        <v/>
      </c>
      <c r="X271" s="115">
        <f>IF(G271="","",IF(AND(T271="NG",S271&lt;$B$7),"AMBIGUOUS","CONFIDENT"))</f>
        <v/>
      </c>
    </row>
    <row r="272">
      <c r="A272" s="102">
        <f>'Runs Z score'!A265</f>
        <v/>
      </c>
      <c r="B272" s="98">
        <f>'Runs Z score'!B265</f>
        <v/>
      </c>
      <c r="C272" s="98">
        <f>'Runs Z score'!C265</f>
        <v/>
      </c>
      <c r="D272" s="98">
        <f>'Runs Z score'!D265</f>
        <v/>
      </c>
      <c r="E272" s="98">
        <f>'Runs Z score'!E265</f>
        <v/>
      </c>
      <c r="F272" s="98">
        <f>'Runs Z score'!F265</f>
        <v/>
      </c>
      <c r="G272" s="99">
        <f>'Runs Z score'!G265</f>
        <v/>
      </c>
      <c r="H272" s="100">
        <f>VLOOKUP(C272,Recipes!$A$2:$N$4,10,FALSE())</f>
        <v/>
      </c>
      <c r="I272" s="101">
        <f>VLOOKUP(C272,Recipes!$A$2:$N$4,12,FALSE())</f>
        <v/>
      </c>
      <c r="J272" s="100">
        <f>IF(G272="","",H272-G272)</f>
        <v/>
      </c>
      <c r="K272" s="100">
        <f>IF(G272="","",-0.5*((J272-Components!$D$2)/Components!$E$2)^2)</f>
        <v/>
      </c>
      <c r="L272" s="100">
        <f>IF(G272="","",-0.5*((J272-Components!$D$3)/Components!$E$3)^2)</f>
        <v/>
      </c>
      <c r="M272" s="100">
        <f>IF(G272="","",-0.5*((J272-Components!$D$4)/Components!$E$4)^2)</f>
        <v/>
      </c>
      <c r="N272" s="100">
        <f>IF(G272="","",-0.5*((J272-Components!$D$5)/Components!$E$5)^2)</f>
        <v/>
      </c>
      <c r="O272" s="100">
        <f>IF(G272="","",-0.5*((J272-Components!$D$6)/Components!$E$6)^2)</f>
        <v/>
      </c>
      <c r="P272" s="100">
        <f>IF(G272="","",-0.5*((J272-Components!$D$7)/Components!$E$7)^2)</f>
        <v/>
      </c>
      <c r="Q272" s="100">
        <f>IF(G272="","",EXP(LARGE(K272:P272,1)-MAX(K272:P272))/(EXP(K272-MAX(K272:P272))+EXP(L272-MAX(K272:P272))+EXP(M272-MAX(K272:P272))+EXP(N272-MAX(K272:P272))+EXP(O272-MAX(K272:P272))+EXP(P272-MAX(K272:P272))))</f>
        <v/>
      </c>
      <c r="R272" s="100">
        <f>IF(G272="","",EXP(LARGE(K272:P272,2)-MAX(K272:P272))/(EXP(K272-MAX(K272:P272))+EXP(L272-MAX(K272:P272))+EXP(M272-MAX(K272:P272))+EXP(N272-MAX(K272:P272))+EXP(O272-MAX(K272:P272))+EXP(P272-MAX(K272:P272))))</f>
        <v/>
      </c>
      <c r="S272" s="100">
        <f>IF(G272="","",Q272-R272)</f>
        <v/>
      </c>
      <c r="T272" s="98">
        <f>IF(G272="","",IF(AND(G272&gt;=H272-$B$6*I272,G272&lt;=H272+$B$6*I272),"OK","NG"))</f>
        <v/>
      </c>
      <c r="U272" s="69">
        <f>IF(T272="","",IF(T272=D272,1,0))</f>
        <v/>
      </c>
      <c r="V272" s="98">
        <f>IF(G272="","",IF(T272="OK","NONE",INDEX({"S1","S2","W1","W2","N1","N2"},MATCH(MAX(K272:P272),K272:P272,0))))</f>
        <v/>
      </c>
      <c r="W272" s="69">
        <f>IF(G272="","",IF(V272=E272,1,0))</f>
        <v/>
      </c>
      <c r="X272" s="115">
        <f>IF(G272="","",IF(AND(T272="NG",S272&lt;$B$7),"AMBIGUOUS","CONFIDENT"))</f>
        <v/>
      </c>
    </row>
    <row r="273">
      <c r="A273" s="102">
        <f>'Runs Z score'!A266</f>
        <v/>
      </c>
      <c r="B273" s="98">
        <f>'Runs Z score'!B266</f>
        <v/>
      </c>
      <c r="C273" s="98">
        <f>'Runs Z score'!C266</f>
        <v/>
      </c>
      <c r="D273" s="98">
        <f>'Runs Z score'!D266</f>
        <v/>
      </c>
      <c r="E273" s="98">
        <f>'Runs Z score'!E266</f>
        <v/>
      </c>
      <c r="F273" s="98">
        <f>'Runs Z score'!F266</f>
        <v/>
      </c>
      <c r="G273" s="99">
        <f>'Runs Z score'!G266</f>
        <v/>
      </c>
      <c r="H273" s="100">
        <f>VLOOKUP(C273,Recipes!$A$2:$N$4,10,FALSE())</f>
        <v/>
      </c>
      <c r="I273" s="101">
        <f>VLOOKUP(C273,Recipes!$A$2:$N$4,12,FALSE())</f>
        <v/>
      </c>
      <c r="J273" s="100">
        <f>IF(G273="","",H273-G273)</f>
        <v/>
      </c>
      <c r="K273" s="100">
        <f>IF(G273="","",-0.5*((J273-Components!$D$2)/Components!$E$2)^2)</f>
        <v/>
      </c>
      <c r="L273" s="100">
        <f>IF(G273="","",-0.5*((J273-Components!$D$3)/Components!$E$3)^2)</f>
        <v/>
      </c>
      <c r="M273" s="100">
        <f>IF(G273="","",-0.5*((J273-Components!$D$4)/Components!$E$4)^2)</f>
        <v/>
      </c>
      <c r="N273" s="100">
        <f>IF(G273="","",-0.5*((J273-Components!$D$5)/Components!$E$5)^2)</f>
        <v/>
      </c>
      <c r="O273" s="100">
        <f>IF(G273="","",-0.5*((J273-Components!$D$6)/Components!$E$6)^2)</f>
        <v/>
      </c>
      <c r="P273" s="100">
        <f>IF(G273="","",-0.5*((J273-Components!$D$7)/Components!$E$7)^2)</f>
        <v/>
      </c>
      <c r="Q273" s="100">
        <f>IF(G273="","",EXP(LARGE(K273:P273,1)-MAX(K273:P273))/(EXP(K273-MAX(K273:P273))+EXP(L273-MAX(K273:P273))+EXP(M273-MAX(K273:P273))+EXP(N273-MAX(K273:P273))+EXP(O273-MAX(K273:P273))+EXP(P273-MAX(K273:P273))))</f>
        <v/>
      </c>
      <c r="R273" s="100">
        <f>IF(G273="","",EXP(LARGE(K273:P273,2)-MAX(K273:P273))/(EXP(K273-MAX(K273:P273))+EXP(L273-MAX(K273:P273))+EXP(M273-MAX(K273:P273))+EXP(N273-MAX(K273:P273))+EXP(O273-MAX(K273:P273))+EXP(P273-MAX(K273:P273))))</f>
        <v/>
      </c>
      <c r="S273" s="100">
        <f>IF(G273="","",Q273-R273)</f>
        <v/>
      </c>
      <c r="T273" s="98">
        <f>IF(G273="","",IF(AND(G273&gt;=H273-$B$6*I273,G273&lt;=H273+$B$6*I273),"OK","NG"))</f>
        <v/>
      </c>
      <c r="U273" s="69">
        <f>IF(T273="","",IF(T273=D273,1,0))</f>
        <v/>
      </c>
      <c r="V273" s="98">
        <f>IF(G273="","",IF(T273="OK","NONE",INDEX({"S1","S2","W1","W2","N1","N2"},MATCH(MAX(K273:P273),K273:P273,0))))</f>
        <v/>
      </c>
      <c r="W273" s="69">
        <f>IF(G273="","",IF(V273=E273,1,0))</f>
        <v/>
      </c>
      <c r="X273" s="115">
        <f>IF(G273="","",IF(AND(T273="NG",S273&lt;$B$7),"AMBIGUOUS","CONFIDENT"))</f>
        <v/>
      </c>
    </row>
    <row r="274">
      <c r="A274" s="102">
        <f>'Runs Z score'!A267</f>
        <v/>
      </c>
      <c r="B274" s="98">
        <f>'Runs Z score'!B267</f>
        <v/>
      </c>
      <c r="C274" s="98">
        <f>'Runs Z score'!C267</f>
        <v/>
      </c>
      <c r="D274" s="98">
        <f>'Runs Z score'!D267</f>
        <v/>
      </c>
      <c r="E274" s="98">
        <f>'Runs Z score'!E267</f>
        <v/>
      </c>
      <c r="F274" s="98">
        <f>'Runs Z score'!F267</f>
        <v/>
      </c>
      <c r="G274" s="99">
        <f>'Runs Z score'!G267</f>
        <v/>
      </c>
      <c r="H274" s="100">
        <f>VLOOKUP(C274,Recipes!$A$2:$N$4,10,FALSE())</f>
        <v/>
      </c>
      <c r="I274" s="101">
        <f>VLOOKUP(C274,Recipes!$A$2:$N$4,12,FALSE())</f>
        <v/>
      </c>
      <c r="J274" s="100">
        <f>IF(G274="","",H274-G274)</f>
        <v/>
      </c>
      <c r="K274" s="100">
        <f>IF(G274="","",-0.5*((J274-Components!$D$2)/Components!$E$2)^2)</f>
        <v/>
      </c>
      <c r="L274" s="100">
        <f>IF(G274="","",-0.5*((J274-Components!$D$3)/Components!$E$3)^2)</f>
        <v/>
      </c>
      <c r="M274" s="100">
        <f>IF(G274="","",-0.5*((J274-Components!$D$4)/Components!$E$4)^2)</f>
        <v/>
      </c>
      <c r="N274" s="100">
        <f>IF(G274="","",-0.5*((J274-Components!$D$5)/Components!$E$5)^2)</f>
        <v/>
      </c>
      <c r="O274" s="100">
        <f>IF(G274="","",-0.5*((J274-Components!$D$6)/Components!$E$6)^2)</f>
        <v/>
      </c>
      <c r="P274" s="100">
        <f>IF(G274="","",-0.5*((J274-Components!$D$7)/Components!$E$7)^2)</f>
        <v/>
      </c>
      <c r="Q274" s="100">
        <f>IF(G274="","",EXP(LARGE(K274:P274,1)-MAX(K274:P274))/(EXP(K274-MAX(K274:P274))+EXP(L274-MAX(K274:P274))+EXP(M274-MAX(K274:P274))+EXP(N274-MAX(K274:P274))+EXP(O274-MAX(K274:P274))+EXP(P274-MAX(K274:P274))))</f>
        <v/>
      </c>
      <c r="R274" s="100">
        <f>IF(G274="","",EXP(LARGE(K274:P274,2)-MAX(K274:P274))/(EXP(K274-MAX(K274:P274))+EXP(L274-MAX(K274:P274))+EXP(M274-MAX(K274:P274))+EXP(N274-MAX(K274:P274))+EXP(O274-MAX(K274:P274))+EXP(P274-MAX(K274:P274))))</f>
        <v/>
      </c>
      <c r="S274" s="100">
        <f>IF(G274="","",Q274-R274)</f>
        <v/>
      </c>
      <c r="T274" s="98">
        <f>IF(G274="","",IF(AND(G274&gt;=H274-$B$6*I274,G274&lt;=H274+$B$6*I274),"OK","NG"))</f>
        <v/>
      </c>
      <c r="U274" s="69">
        <f>IF(T274="","",IF(T274=D274,1,0))</f>
        <v/>
      </c>
      <c r="V274" s="98">
        <f>IF(G274="","",IF(T274="OK","NONE",INDEX({"S1","S2","W1","W2","N1","N2"},MATCH(MAX(K274:P274),K274:P274,0))))</f>
        <v/>
      </c>
      <c r="W274" s="69">
        <f>IF(G274="","",IF(V274=E274,1,0))</f>
        <v/>
      </c>
      <c r="X274" s="115">
        <f>IF(G274="","",IF(AND(T274="NG",S274&lt;$B$7),"AMBIGUOUS","CONFIDENT"))</f>
        <v/>
      </c>
    </row>
    <row r="275">
      <c r="A275" s="102">
        <f>'Runs Z score'!A268</f>
        <v/>
      </c>
      <c r="B275" s="98">
        <f>'Runs Z score'!B268</f>
        <v/>
      </c>
      <c r="C275" s="98">
        <f>'Runs Z score'!C268</f>
        <v/>
      </c>
      <c r="D275" s="98">
        <f>'Runs Z score'!D268</f>
        <v/>
      </c>
      <c r="E275" s="98">
        <f>'Runs Z score'!E268</f>
        <v/>
      </c>
      <c r="F275" s="98">
        <f>'Runs Z score'!F268</f>
        <v/>
      </c>
      <c r="G275" s="99">
        <f>'Runs Z score'!G268</f>
        <v/>
      </c>
      <c r="H275" s="100">
        <f>VLOOKUP(C275,Recipes!$A$2:$N$4,10,FALSE())</f>
        <v/>
      </c>
      <c r="I275" s="101">
        <f>VLOOKUP(C275,Recipes!$A$2:$N$4,12,FALSE())</f>
        <v/>
      </c>
      <c r="J275" s="100">
        <f>IF(G275="","",H275-G275)</f>
        <v/>
      </c>
      <c r="K275" s="100">
        <f>IF(G275="","",-0.5*((J275-Components!$D$2)/Components!$E$2)^2)</f>
        <v/>
      </c>
      <c r="L275" s="100">
        <f>IF(G275="","",-0.5*((J275-Components!$D$3)/Components!$E$3)^2)</f>
        <v/>
      </c>
      <c r="M275" s="100">
        <f>IF(G275="","",-0.5*((J275-Components!$D$4)/Components!$E$4)^2)</f>
        <v/>
      </c>
      <c r="N275" s="100">
        <f>IF(G275="","",-0.5*((J275-Components!$D$5)/Components!$E$5)^2)</f>
        <v/>
      </c>
      <c r="O275" s="100">
        <f>IF(G275="","",-0.5*((J275-Components!$D$6)/Components!$E$6)^2)</f>
        <v/>
      </c>
      <c r="P275" s="100">
        <f>IF(G275="","",-0.5*((J275-Components!$D$7)/Components!$E$7)^2)</f>
        <v/>
      </c>
      <c r="Q275" s="100">
        <f>IF(G275="","",EXP(LARGE(K275:P275,1)-MAX(K275:P275))/(EXP(K275-MAX(K275:P275))+EXP(L275-MAX(K275:P275))+EXP(M275-MAX(K275:P275))+EXP(N275-MAX(K275:P275))+EXP(O275-MAX(K275:P275))+EXP(P275-MAX(K275:P275))))</f>
        <v/>
      </c>
      <c r="R275" s="100">
        <f>IF(G275="","",EXP(LARGE(K275:P275,2)-MAX(K275:P275))/(EXP(K275-MAX(K275:P275))+EXP(L275-MAX(K275:P275))+EXP(M275-MAX(K275:P275))+EXP(N275-MAX(K275:P275))+EXP(O275-MAX(K275:P275))+EXP(P275-MAX(K275:P275))))</f>
        <v/>
      </c>
      <c r="S275" s="100">
        <f>IF(G275="","",Q275-R275)</f>
        <v/>
      </c>
      <c r="T275" s="98">
        <f>IF(G275="","",IF(AND(G275&gt;=H275-$B$6*I275,G275&lt;=H275+$B$6*I275),"OK","NG"))</f>
        <v/>
      </c>
      <c r="U275" s="69">
        <f>IF(T275="","",IF(T275=D275,1,0))</f>
        <v/>
      </c>
      <c r="V275" s="98">
        <f>IF(G275="","",IF(T275="OK","NONE",INDEX({"S1","S2","W1","W2","N1","N2"},MATCH(MAX(K275:P275),K275:P275,0))))</f>
        <v/>
      </c>
      <c r="W275" s="69">
        <f>IF(G275="","",IF(V275=E275,1,0))</f>
        <v/>
      </c>
      <c r="X275" s="115">
        <f>IF(G275="","",IF(AND(T275="NG",S275&lt;$B$7),"AMBIGUOUS","CONFIDENT"))</f>
        <v/>
      </c>
    </row>
    <row r="276">
      <c r="A276" s="102">
        <f>'Runs Z score'!A269</f>
        <v/>
      </c>
      <c r="B276" s="98">
        <f>'Runs Z score'!B269</f>
        <v/>
      </c>
      <c r="C276" s="98">
        <f>'Runs Z score'!C269</f>
        <v/>
      </c>
      <c r="D276" s="98">
        <f>'Runs Z score'!D269</f>
        <v/>
      </c>
      <c r="E276" s="98">
        <f>'Runs Z score'!E269</f>
        <v/>
      </c>
      <c r="F276" s="98">
        <f>'Runs Z score'!F269</f>
        <v/>
      </c>
      <c r="G276" s="99">
        <f>'Runs Z score'!G269</f>
        <v/>
      </c>
      <c r="H276" s="100">
        <f>VLOOKUP(C276,Recipes!$A$2:$N$4,10,FALSE())</f>
        <v/>
      </c>
      <c r="I276" s="101">
        <f>VLOOKUP(C276,Recipes!$A$2:$N$4,12,FALSE())</f>
        <v/>
      </c>
      <c r="J276" s="100">
        <f>IF(G276="","",H276-G276)</f>
        <v/>
      </c>
      <c r="K276" s="100">
        <f>IF(G276="","",-0.5*((J276-Components!$D$2)/Components!$E$2)^2)</f>
        <v/>
      </c>
      <c r="L276" s="100">
        <f>IF(G276="","",-0.5*((J276-Components!$D$3)/Components!$E$3)^2)</f>
        <v/>
      </c>
      <c r="M276" s="100">
        <f>IF(G276="","",-0.5*((J276-Components!$D$4)/Components!$E$4)^2)</f>
        <v/>
      </c>
      <c r="N276" s="100">
        <f>IF(G276="","",-0.5*((J276-Components!$D$5)/Components!$E$5)^2)</f>
        <v/>
      </c>
      <c r="O276" s="100">
        <f>IF(G276="","",-0.5*((J276-Components!$D$6)/Components!$E$6)^2)</f>
        <v/>
      </c>
      <c r="P276" s="100">
        <f>IF(G276="","",-0.5*((J276-Components!$D$7)/Components!$E$7)^2)</f>
        <v/>
      </c>
      <c r="Q276" s="100">
        <f>IF(G276="","",EXP(LARGE(K276:P276,1)-MAX(K276:P276))/(EXP(K276-MAX(K276:P276))+EXP(L276-MAX(K276:P276))+EXP(M276-MAX(K276:P276))+EXP(N276-MAX(K276:P276))+EXP(O276-MAX(K276:P276))+EXP(P276-MAX(K276:P276))))</f>
        <v/>
      </c>
      <c r="R276" s="100">
        <f>IF(G276="","",EXP(LARGE(K276:P276,2)-MAX(K276:P276))/(EXP(K276-MAX(K276:P276))+EXP(L276-MAX(K276:P276))+EXP(M276-MAX(K276:P276))+EXP(N276-MAX(K276:P276))+EXP(O276-MAX(K276:P276))+EXP(P276-MAX(K276:P276))))</f>
        <v/>
      </c>
      <c r="S276" s="100">
        <f>IF(G276="","",Q276-R276)</f>
        <v/>
      </c>
      <c r="T276" s="98">
        <f>IF(G276="","",IF(AND(G276&gt;=H276-$B$6*I276,G276&lt;=H276+$B$6*I276),"OK","NG"))</f>
        <v/>
      </c>
      <c r="U276" s="69">
        <f>IF(T276="","",IF(T276=D276,1,0))</f>
        <v/>
      </c>
      <c r="V276" s="98">
        <f>IF(G276="","",IF(T276="OK","NONE",INDEX({"S1","S2","W1","W2","N1","N2"},MATCH(MAX(K276:P276),K276:P276,0))))</f>
        <v/>
      </c>
      <c r="W276" s="69">
        <f>IF(G276="","",IF(V276=E276,1,0))</f>
        <v/>
      </c>
      <c r="X276" s="115">
        <f>IF(G276="","",IF(AND(T276="NG",S276&lt;$B$7),"AMBIGUOUS","CONFIDENT"))</f>
        <v/>
      </c>
    </row>
    <row r="277">
      <c r="A277" s="102">
        <f>'Runs Z score'!A270</f>
        <v/>
      </c>
      <c r="B277" s="98">
        <f>'Runs Z score'!B270</f>
        <v/>
      </c>
      <c r="C277" s="98">
        <f>'Runs Z score'!C270</f>
        <v/>
      </c>
      <c r="D277" s="98">
        <f>'Runs Z score'!D270</f>
        <v/>
      </c>
      <c r="E277" s="98">
        <f>'Runs Z score'!E270</f>
        <v/>
      </c>
      <c r="F277" s="98">
        <f>'Runs Z score'!F270</f>
        <v/>
      </c>
      <c r="G277" s="99">
        <f>'Runs Z score'!G270</f>
        <v/>
      </c>
      <c r="H277" s="100">
        <f>VLOOKUP(C277,Recipes!$A$2:$N$4,10,FALSE())</f>
        <v/>
      </c>
      <c r="I277" s="101">
        <f>VLOOKUP(C277,Recipes!$A$2:$N$4,12,FALSE())</f>
        <v/>
      </c>
      <c r="J277" s="100">
        <f>IF(G277="","",H277-G277)</f>
        <v/>
      </c>
      <c r="K277" s="100">
        <f>IF(G277="","",-0.5*((J277-Components!$D$2)/Components!$E$2)^2)</f>
        <v/>
      </c>
      <c r="L277" s="100">
        <f>IF(G277="","",-0.5*((J277-Components!$D$3)/Components!$E$3)^2)</f>
        <v/>
      </c>
      <c r="M277" s="100">
        <f>IF(G277="","",-0.5*((J277-Components!$D$4)/Components!$E$4)^2)</f>
        <v/>
      </c>
      <c r="N277" s="100">
        <f>IF(G277="","",-0.5*((J277-Components!$D$5)/Components!$E$5)^2)</f>
        <v/>
      </c>
      <c r="O277" s="100">
        <f>IF(G277="","",-0.5*((J277-Components!$D$6)/Components!$E$6)^2)</f>
        <v/>
      </c>
      <c r="P277" s="100">
        <f>IF(G277="","",-0.5*((J277-Components!$D$7)/Components!$E$7)^2)</f>
        <v/>
      </c>
      <c r="Q277" s="100">
        <f>IF(G277="","",EXP(LARGE(K277:P277,1)-MAX(K277:P277))/(EXP(K277-MAX(K277:P277))+EXP(L277-MAX(K277:P277))+EXP(M277-MAX(K277:P277))+EXP(N277-MAX(K277:P277))+EXP(O277-MAX(K277:P277))+EXP(P277-MAX(K277:P277))))</f>
        <v/>
      </c>
      <c r="R277" s="100">
        <f>IF(G277="","",EXP(LARGE(K277:P277,2)-MAX(K277:P277))/(EXP(K277-MAX(K277:P277))+EXP(L277-MAX(K277:P277))+EXP(M277-MAX(K277:P277))+EXP(N277-MAX(K277:P277))+EXP(O277-MAX(K277:P277))+EXP(P277-MAX(K277:P277))))</f>
        <v/>
      </c>
      <c r="S277" s="100">
        <f>IF(G277="","",Q277-R277)</f>
        <v/>
      </c>
      <c r="T277" s="98">
        <f>IF(G277="","",IF(AND(G277&gt;=H277-$B$6*I277,G277&lt;=H277+$B$6*I277),"OK","NG"))</f>
        <v/>
      </c>
      <c r="U277" s="69">
        <f>IF(T277="","",IF(T277=D277,1,0))</f>
        <v/>
      </c>
      <c r="V277" s="98">
        <f>IF(G277="","",IF(T277="OK","NONE",INDEX({"S1","S2","W1","W2","N1","N2"},MATCH(MAX(K277:P277),K277:P277,0))))</f>
        <v/>
      </c>
      <c r="W277" s="69">
        <f>IF(G277="","",IF(V277=E277,1,0))</f>
        <v/>
      </c>
      <c r="X277" s="115">
        <f>IF(G277="","",IF(AND(T277="NG",S277&lt;$B$7),"AMBIGUOUS","CONFIDENT"))</f>
        <v/>
      </c>
    </row>
    <row r="278">
      <c r="A278" s="102">
        <f>'Runs Z score'!A271</f>
        <v/>
      </c>
      <c r="B278" s="98">
        <f>'Runs Z score'!B271</f>
        <v/>
      </c>
      <c r="C278" s="98">
        <f>'Runs Z score'!C271</f>
        <v/>
      </c>
      <c r="D278" s="98">
        <f>'Runs Z score'!D271</f>
        <v/>
      </c>
      <c r="E278" s="98">
        <f>'Runs Z score'!E271</f>
        <v/>
      </c>
      <c r="F278" s="98">
        <f>'Runs Z score'!F271</f>
        <v/>
      </c>
      <c r="G278" s="99">
        <f>'Runs Z score'!G271</f>
        <v/>
      </c>
      <c r="H278" s="100">
        <f>VLOOKUP(C278,Recipes!$A$2:$N$4,10,FALSE())</f>
        <v/>
      </c>
      <c r="I278" s="101">
        <f>VLOOKUP(C278,Recipes!$A$2:$N$4,12,FALSE())</f>
        <v/>
      </c>
      <c r="J278" s="100">
        <f>IF(G278="","",H278-G278)</f>
        <v/>
      </c>
      <c r="K278" s="100">
        <f>IF(G278="","",-0.5*((J278-Components!$D$2)/Components!$E$2)^2)</f>
        <v/>
      </c>
      <c r="L278" s="100">
        <f>IF(G278="","",-0.5*((J278-Components!$D$3)/Components!$E$3)^2)</f>
        <v/>
      </c>
      <c r="M278" s="100">
        <f>IF(G278="","",-0.5*((J278-Components!$D$4)/Components!$E$4)^2)</f>
        <v/>
      </c>
      <c r="N278" s="100">
        <f>IF(G278="","",-0.5*((J278-Components!$D$5)/Components!$E$5)^2)</f>
        <v/>
      </c>
      <c r="O278" s="100">
        <f>IF(G278="","",-0.5*((J278-Components!$D$6)/Components!$E$6)^2)</f>
        <v/>
      </c>
      <c r="P278" s="100">
        <f>IF(G278="","",-0.5*((J278-Components!$D$7)/Components!$E$7)^2)</f>
        <v/>
      </c>
      <c r="Q278" s="100">
        <f>IF(G278="","",EXP(LARGE(K278:P278,1)-MAX(K278:P278))/(EXP(K278-MAX(K278:P278))+EXP(L278-MAX(K278:P278))+EXP(M278-MAX(K278:P278))+EXP(N278-MAX(K278:P278))+EXP(O278-MAX(K278:P278))+EXP(P278-MAX(K278:P278))))</f>
        <v/>
      </c>
      <c r="R278" s="100">
        <f>IF(G278="","",EXP(LARGE(K278:P278,2)-MAX(K278:P278))/(EXP(K278-MAX(K278:P278))+EXP(L278-MAX(K278:P278))+EXP(M278-MAX(K278:P278))+EXP(N278-MAX(K278:P278))+EXP(O278-MAX(K278:P278))+EXP(P278-MAX(K278:P278))))</f>
        <v/>
      </c>
      <c r="S278" s="100">
        <f>IF(G278="","",Q278-R278)</f>
        <v/>
      </c>
      <c r="T278" s="98">
        <f>IF(G278="","",IF(AND(G278&gt;=H278-$B$6*I278,G278&lt;=H278+$B$6*I278),"OK","NG"))</f>
        <v/>
      </c>
      <c r="U278" s="69">
        <f>IF(T278="","",IF(T278=D278,1,0))</f>
        <v/>
      </c>
      <c r="V278" s="98">
        <f>IF(G278="","",IF(T278="OK","NONE",INDEX({"S1","S2","W1","W2","N1","N2"},MATCH(MAX(K278:P278),K278:P278,0))))</f>
        <v/>
      </c>
      <c r="W278" s="69">
        <f>IF(G278="","",IF(V278=E278,1,0))</f>
        <v/>
      </c>
      <c r="X278" s="115">
        <f>IF(G278="","",IF(AND(T278="NG",S278&lt;$B$7),"AMBIGUOUS","CONFIDENT"))</f>
        <v/>
      </c>
    </row>
    <row r="279">
      <c r="A279" s="102">
        <f>'Runs Z score'!A272</f>
        <v/>
      </c>
      <c r="B279" s="98">
        <f>'Runs Z score'!B272</f>
        <v/>
      </c>
      <c r="C279" s="98">
        <f>'Runs Z score'!C272</f>
        <v/>
      </c>
      <c r="D279" s="98">
        <f>'Runs Z score'!D272</f>
        <v/>
      </c>
      <c r="E279" s="98">
        <f>'Runs Z score'!E272</f>
        <v/>
      </c>
      <c r="F279" s="98">
        <f>'Runs Z score'!F272</f>
        <v/>
      </c>
      <c r="G279" s="99">
        <f>'Runs Z score'!G272</f>
        <v/>
      </c>
      <c r="H279" s="100">
        <f>VLOOKUP(C279,Recipes!$A$2:$N$4,10,FALSE())</f>
        <v/>
      </c>
      <c r="I279" s="101">
        <f>VLOOKUP(C279,Recipes!$A$2:$N$4,12,FALSE())</f>
        <v/>
      </c>
      <c r="J279" s="100">
        <f>IF(G279="","",H279-G279)</f>
        <v/>
      </c>
      <c r="K279" s="100">
        <f>IF(G279="","",-0.5*((J279-Components!$D$2)/Components!$E$2)^2)</f>
        <v/>
      </c>
      <c r="L279" s="100">
        <f>IF(G279="","",-0.5*((J279-Components!$D$3)/Components!$E$3)^2)</f>
        <v/>
      </c>
      <c r="M279" s="100">
        <f>IF(G279="","",-0.5*((J279-Components!$D$4)/Components!$E$4)^2)</f>
        <v/>
      </c>
      <c r="N279" s="100">
        <f>IF(G279="","",-0.5*((J279-Components!$D$5)/Components!$E$5)^2)</f>
        <v/>
      </c>
      <c r="O279" s="100">
        <f>IF(G279="","",-0.5*((J279-Components!$D$6)/Components!$E$6)^2)</f>
        <v/>
      </c>
      <c r="P279" s="100">
        <f>IF(G279="","",-0.5*((J279-Components!$D$7)/Components!$E$7)^2)</f>
        <v/>
      </c>
      <c r="Q279" s="100">
        <f>IF(G279="","",EXP(LARGE(K279:P279,1)-MAX(K279:P279))/(EXP(K279-MAX(K279:P279))+EXP(L279-MAX(K279:P279))+EXP(M279-MAX(K279:P279))+EXP(N279-MAX(K279:P279))+EXP(O279-MAX(K279:P279))+EXP(P279-MAX(K279:P279))))</f>
        <v/>
      </c>
      <c r="R279" s="100">
        <f>IF(G279="","",EXP(LARGE(K279:P279,2)-MAX(K279:P279))/(EXP(K279-MAX(K279:P279))+EXP(L279-MAX(K279:P279))+EXP(M279-MAX(K279:P279))+EXP(N279-MAX(K279:P279))+EXP(O279-MAX(K279:P279))+EXP(P279-MAX(K279:P279))))</f>
        <v/>
      </c>
      <c r="S279" s="100">
        <f>IF(G279="","",Q279-R279)</f>
        <v/>
      </c>
      <c r="T279" s="98">
        <f>IF(G279="","",IF(AND(G279&gt;=H279-$B$6*I279,G279&lt;=H279+$B$6*I279),"OK","NG"))</f>
        <v/>
      </c>
      <c r="U279" s="69">
        <f>IF(T279="","",IF(T279=D279,1,0))</f>
        <v/>
      </c>
      <c r="V279" s="98">
        <f>IF(G279="","",IF(T279="OK","NONE",INDEX({"S1","S2","W1","W2","N1","N2"},MATCH(MAX(K279:P279),K279:P279,0))))</f>
        <v/>
      </c>
      <c r="W279" s="69">
        <f>IF(G279="","",IF(V279=E279,1,0))</f>
        <v/>
      </c>
      <c r="X279" s="115">
        <f>IF(G279="","",IF(AND(T279="NG",S279&lt;$B$7),"AMBIGUOUS","CONFIDENT"))</f>
        <v/>
      </c>
    </row>
    <row r="280">
      <c r="A280" s="102">
        <f>'Runs Z score'!A273</f>
        <v/>
      </c>
      <c r="B280" s="98">
        <f>'Runs Z score'!B273</f>
        <v/>
      </c>
      <c r="C280" s="98">
        <f>'Runs Z score'!C273</f>
        <v/>
      </c>
      <c r="D280" s="98">
        <f>'Runs Z score'!D273</f>
        <v/>
      </c>
      <c r="E280" s="98">
        <f>'Runs Z score'!E273</f>
        <v/>
      </c>
      <c r="F280" s="98">
        <f>'Runs Z score'!F273</f>
        <v/>
      </c>
      <c r="G280" s="99">
        <f>'Runs Z score'!G273</f>
        <v/>
      </c>
      <c r="H280" s="100">
        <f>VLOOKUP(C280,Recipes!$A$2:$N$4,10,FALSE())</f>
        <v/>
      </c>
      <c r="I280" s="101">
        <f>VLOOKUP(C280,Recipes!$A$2:$N$4,12,FALSE())</f>
        <v/>
      </c>
      <c r="J280" s="100">
        <f>IF(G280="","",H280-G280)</f>
        <v/>
      </c>
      <c r="K280" s="100">
        <f>IF(G280="","",-0.5*((J280-Components!$D$2)/Components!$E$2)^2)</f>
        <v/>
      </c>
      <c r="L280" s="100">
        <f>IF(G280="","",-0.5*((J280-Components!$D$3)/Components!$E$3)^2)</f>
        <v/>
      </c>
      <c r="M280" s="100">
        <f>IF(G280="","",-0.5*((J280-Components!$D$4)/Components!$E$4)^2)</f>
        <v/>
      </c>
      <c r="N280" s="100">
        <f>IF(G280="","",-0.5*((J280-Components!$D$5)/Components!$E$5)^2)</f>
        <v/>
      </c>
      <c r="O280" s="100">
        <f>IF(G280="","",-0.5*((J280-Components!$D$6)/Components!$E$6)^2)</f>
        <v/>
      </c>
      <c r="P280" s="100">
        <f>IF(G280="","",-0.5*((J280-Components!$D$7)/Components!$E$7)^2)</f>
        <v/>
      </c>
      <c r="Q280" s="100">
        <f>IF(G280="","",EXP(LARGE(K280:P280,1)-MAX(K280:P280))/(EXP(K280-MAX(K280:P280))+EXP(L280-MAX(K280:P280))+EXP(M280-MAX(K280:P280))+EXP(N280-MAX(K280:P280))+EXP(O280-MAX(K280:P280))+EXP(P280-MAX(K280:P280))))</f>
        <v/>
      </c>
      <c r="R280" s="100">
        <f>IF(G280="","",EXP(LARGE(K280:P280,2)-MAX(K280:P280))/(EXP(K280-MAX(K280:P280))+EXP(L280-MAX(K280:P280))+EXP(M280-MAX(K280:P280))+EXP(N280-MAX(K280:P280))+EXP(O280-MAX(K280:P280))+EXP(P280-MAX(K280:P280))))</f>
        <v/>
      </c>
      <c r="S280" s="100">
        <f>IF(G280="","",Q280-R280)</f>
        <v/>
      </c>
      <c r="T280" s="98">
        <f>IF(G280="","",IF(AND(G280&gt;=H280-$B$6*I280,G280&lt;=H280+$B$6*I280),"OK","NG"))</f>
        <v/>
      </c>
      <c r="U280" s="69">
        <f>IF(T280="","",IF(T280=D280,1,0))</f>
        <v/>
      </c>
      <c r="V280" s="98">
        <f>IF(G280="","",IF(T280="OK","NONE",INDEX({"S1","S2","W1","W2","N1","N2"},MATCH(MAX(K280:P280),K280:P280,0))))</f>
        <v/>
      </c>
      <c r="W280" s="69">
        <f>IF(G280="","",IF(V280=E280,1,0))</f>
        <v/>
      </c>
      <c r="X280" s="115">
        <f>IF(G280="","",IF(AND(T280="NG",S280&lt;$B$7),"AMBIGUOUS","CONFIDENT"))</f>
        <v/>
      </c>
    </row>
    <row r="281">
      <c r="A281" s="102">
        <f>'Runs Z score'!A274</f>
        <v/>
      </c>
      <c r="B281" s="98">
        <f>'Runs Z score'!B274</f>
        <v/>
      </c>
      <c r="C281" s="98">
        <f>'Runs Z score'!C274</f>
        <v/>
      </c>
      <c r="D281" s="98">
        <f>'Runs Z score'!D274</f>
        <v/>
      </c>
      <c r="E281" s="98">
        <f>'Runs Z score'!E274</f>
        <v/>
      </c>
      <c r="F281" s="98">
        <f>'Runs Z score'!F274</f>
        <v/>
      </c>
      <c r="G281" s="99">
        <f>'Runs Z score'!G274</f>
        <v/>
      </c>
      <c r="H281" s="100">
        <f>VLOOKUP(C281,Recipes!$A$2:$N$4,10,FALSE())</f>
        <v/>
      </c>
      <c r="I281" s="101">
        <f>VLOOKUP(C281,Recipes!$A$2:$N$4,12,FALSE())</f>
        <v/>
      </c>
      <c r="J281" s="100">
        <f>IF(G281="","",H281-G281)</f>
        <v/>
      </c>
      <c r="K281" s="100">
        <f>IF(G281="","",-0.5*((J281-Components!$D$2)/Components!$E$2)^2)</f>
        <v/>
      </c>
      <c r="L281" s="100">
        <f>IF(G281="","",-0.5*((J281-Components!$D$3)/Components!$E$3)^2)</f>
        <v/>
      </c>
      <c r="M281" s="100">
        <f>IF(G281="","",-0.5*((J281-Components!$D$4)/Components!$E$4)^2)</f>
        <v/>
      </c>
      <c r="N281" s="100">
        <f>IF(G281="","",-0.5*((J281-Components!$D$5)/Components!$E$5)^2)</f>
        <v/>
      </c>
      <c r="O281" s="100">
        <f>IF(G281="","",-0.5*((J281-Components!$D$6)/Components!$E$6)^2)</f>
        <v/>
      </c>
      <c r="P281" s="100">
        <f>IF(G281="","",-0.5*((J281-Components!$D$7)/Components!$E$7)^2)</f>
        <v/>
      </c>
      <c r="Q281" s="100">
        <f>IF(G281="","",EXP(LARGE(K281:P281,1)-MAX(K281:P281))/(EXP(K281-MAX(K281:P281))+EXP(L281-MAX(K281:P281))+EXP(M281-MAX(K281:P281))+EXP(N281-MAX(K281:P281))+EXP(O281-MAX(K281:P281))+EXP(P281-MAX(K281:P281))))</f>
        <v/>
      </c>
      <c r="R281" s="100">
        <f>IF(G281="","",EXP(LARGE(K281:P281,2)-MAX(K281:P281))/(EXP(K281-MAX(K281:P281))+EXP(L281-MAX(K281:P281))+EXP(M281-MAX(K281:P281))+EXP(N281-MAX(K281:P281))+EXP(O281-MAX(K281:P281))+EXP(P281-MAX(K281:P281))))</f>
        <v/>
      </c>
      <c r="S281" s="100">
        <f>IF(G281="","",Q281-R281)</f>
        <v/>
      </c>
      <c r="T281" s="98">
        <f>IF(G281="","",IF(AND(G281&gt;=H281-$B$6*I281,G281&lt;=H281+$B$6*I281),"OK","NG"))</f>
        <v/>
      </c>
      <c r="U281" s="69">
        <f>IF(T281="","",IF(T281=D281,1,0))</f>
        <v/>
      </c>
      <c r="V281" s="98">
        <f>IF(G281="","",IF(T281="OK","NONE",INDEX({"S1","S2","W1","W2","N1","N2"},MATCH(MAX(K281:P281),K281:P281,0))))</f>
        <v/>
      </c>
      <c r="W281" s="69">
        <f>IF(G281="","",IF(V281=E281,1,0))</f>
        <v/>
      </c>
      <c r="X281" s="115">
        <f>IF(G281="","",IF(AND(T281="NG",S281&lt;$B$7),"AMBIGUOUS","CONFIDENT"))</f>
        <v/>
      </c>
    </row>
    <row r="282">
      <c r="A282" s="102">
        <f>'Runs Z score'!A275</f>
        <v/>
      </c>
      <c r="B282" s="98">
        <f>'Runs Z score'!B275</f>
        <v/>
      </c>
      <c r="C282" s="98">
        <f>'Runs Z score'!C275</f>
        <v/>
      </c>
      <c r="D282" s="98">
        <f>'Runs Z score'!D275</f>
        <v/>
      </c>
      <c r="E282" s="98">
        <f>'Runs Z score'!E275</f>
        <v/>
      </c>
      <c r="F282" s="98">
        <f>'Runs Z score'!F275</f>
        <v/>
      </c>
      <c r="G282" s="99">
        <f>'Runs Z score'!G275</f>
        <v/>
      </c>
      <c r="H282" s="100">
        <f>VLOOKUP(C282,Recipes!$A$2:$N$4,10,FALSE())</f>
        <v/>
      </c>
      <c r="I282" s="101">
        <f>VLOOKUP(C282,Recipes!$A$2:$N$4,12,FALSE())</f>
        <v/>
      </c>
      <c r="J282" s="100">
        <f>IF(G282="","",H282-G282)</f>
        <v/>
      </c>
      <c r="K282" s="100">
        <f>IF(G282="","",-0.5*((J282-Components!$D$2)/Components!$E$2)^2)</f>
        <v/>
      </c>
      <c r="L282" s="100">
        <f>IF(G282="","",-0.5*((J282-Components!$D$3)/Components!$E$3)^2)</f>
        <v/>
      </c>
      <c r="M282" s="100">
        <f>IF(G282="","",-0.5*((J282-Components!$D$4)/Components!$E$4)^2)</f>
        <v/>
      </c>
      <c r="N282" s="100">
        <f>IF(G282="","",-0.5*((J282-Components!$D$5)/Components!$E$5)^2)</f>
        <v/>
      </c>
      <c r="O282" s="100">
        <f>IF(G282="","",-0.5*((J282-Components!$D$6)/Components!$E$6)^2)</f>
        <v/>
      </c>
      <c r="P282" s="100">
        <f>IF(G282="","",-0.5*((J282-Components!$D$7)/Components!$E$7)^2)</f>
        <v/>
      </c>
      <c r="Q282" s="100">
        <f>IF(G282="","",EXP(LARGE(K282:P282,1)-MAX(K282:P282))/(EXP(K282-MAX(K282:P282))+EXP(L282-MAX(K282:P282))+EXP(M282-MAX(K282:P282))+EXP(N282-MAX(K282:P282))+EXP(O282-MAX(K282:P282))+EXP(P282-MAX(K282:P282))))</f>
        <v/>
      </c>
      <c r="R282" s="100">
        <f>IF(G282="","",EXP(LARGE(K282:P282,2)-MAX(K282:P282))/(EXP(K282-MAX(K282:P282))+EXP(L282-MAX(K282:P282))+EXP(M282-MAX(K282:P282))+EXP(N282-MAX(K282:P282))+EXP(O282-MAX(K282:P282))+EXP(P282-MAX(K282:P282))))</f>
        <v/>
      </c>
      <c r="S282" s="100">
        <f>IF(G282="","",Q282-R282)</f>
        <v/>
      </c>
      <c r="T282" s="98">
        <f>IF(G282="","",IF(AND(G282&gt;=H282-$B$6*I282,G282&lt;=H282+$B$6*I282),"OK","NG"))</f>
        <v/>
      </c>
      <c r="U282" s="69">
        <f>IF(T282="","",IF(T282=D282,1,0))</f>
        <v/>
      </c>
      <c r="V282" s="98">
        <f>IF(G282="","",IF(T282="OK","NONE",INDEX({"S1","S2","W1","W2","N1","N2"},MATCH(MAX(K282:P282),K282:P282,0))))</f>
        <v/>
      </c>
      <c r="W282" s="69">
        <f>IF(G282="","",IF(V282=E282,1,0))</f>
        <v/>
      </c>
      <c r="X282" s="115">
        <f>IF(G282="","",IF(AND(T282="NG",S282&lt;$B$7),"AMBIGUOUS","CONFIDENT"))</f>
        <v/>
      </c>
    </row>
    <row r="283">
      <c r="A283" s="102">
        <f>'Runs Z score'!A276</f>
        <v/>
      </c>
      <c r="B283" s="98">
        <f>'Runs Z score'!B276</f>
        <v/>
      </c>
      <c r="C283" s="98">
        <f>'Runs Z score'!C276</f>
        <v/>
      </c>
      <c r="D283" s="98">
        <f>'Runs Z score'!D276</f>
        <v/>
      </c>
      <c r="E283" s="98">
        <f>'Runs Z score'!E276</f>
        <v/>
      </c>
      <c r="F283" s="98">
        <f>'Runs Z score'!F276</f>
        <v/>
      </c>
      <c r="G283" s="99">
        <f>'Runs Z score'!G276</f>
        <v/>
      </c>
      <c r="H283" s="100">
        <f>VLOOKUP(C283,Recipes!$A$2:$N$4,10,FALSE())</f>
        <v/>
      </c>
      <c r="I283" s="101">
        <f>VLOOKUP(C283,Recipes!$A$2:$N$4,12,FALSE())</f>
        <v/>
      </c>
      <c r="J283" s="100">
        <f>IF(G283="","",H283-G283)</f>
        <v/>
      </c>
      <c r="K283" s="100">
        <f>IF(G283="","",-0.5*((J283-Components!$D$2)/Components!$E$2)^2)</f>
        <v/>
      </c>
      <c r="L283" s="100">
        <f>IF(G283="","",-0.5*((J283-Components!$D$3)/Components!$E$3)^2)</f>
        <v/>
      </c>
      <c r="M283" s="100">
        <f>IF(G283="","",-0.5*((J283-Components!$D$4)/Components!$E$4)^2)</f>
        <v/>
      </c>
      <c r="N283" s="100">
        <f>IF(G283="","",-0.5*((J283-Components!$D$5)/Components!$E$5)^2)</f>
        <v/>
      </c>
      <c r="O283" s="100">
        <f>IF(G283="","",-0.5*((J283-Components!$D$6)/Components!$E$6)^2)</f>
        <v/>
      </c>
      <c r="P283" s="100">
        <f>IF(G283="","",-0.5*((J283-Components!$D$7)/Components!$E$7)^2)</f>
        <v/>
      </c>
      <c r="Q283" s="100">
        <f>IF(G283="","",EXP(LARGE(K283:P283,1)-MAX(K283:P283))/(EXP(K283-MAX(K283:P283))+EXP(L283-MAX(K283:P283))+EXP(M283-MAX(K283:P283))+EXP(N283-MAX(K283:P283))+EXP(O283-MAX(K283:P283))+EXP(P283-MAX(K283:P283))))</f>
        <v/>
      </c>
      <c r="R283" s="100">
        <f>IF(G283="","",EXP(LARGE(K283:P283,2)-MAX(K283:P283))/(EXP(K283-MAX(K283:P283))+EXP(L283-MAX(K283:P283))+EXP(M283-MAX(K283:P283))+EXP(N283-MAX(K283:P283))+EXP(O283-MAX(K283:P283))+EXP(P283-MAX(K283:P283))))</f>
        <v/>
      </c>
      <c r="S283" s="100">
        <f>IF(G283="","",Q283-R283)</f>
        <v/>
      </c>
      <c r="T283" s="98">
        <f>IF(G283="","",IF(AND(G283&gt;=H283-$B$6*I283,G283&lt;=H283+$B$6*I283),"OK","NG"))</f>
        <v/>
      </c>
      <c r="U283" s="69">
        <f>IF(T283="","",IF(T283=D283,1,0))</f>
        <v/>
      </c>
      <c r="V283" s="98">
        <f>IF(G283="","",IF(T283="OK","NONE",INDEX({"S1","S2","W1","W2","N1","N2"},MATCH(MAX(K283:P283),K283:P283,0))))</f>
        <v/>
      </c>
      <c r="W283" s="69">
        <f>IF(G283="","",IF(V283=E283,1,0))</f>
        <v/>
      </c>
      <c r="X283" s="115">
        <f>IF(G283="","",IF(AND(T283="NG",S283&lt;$B$7),"AMBIGUOUS","CONFIDENT"))</f>
        <v/>
      </c>
    </row>
    <row r="284">
      <c r="A284" s="102">
        <f>'Runs Z score'!A277</f>
        <v/>
      </c>
      <c r="B284" s="98">
        <f>'Runs Z score'!B277</f>
        <v/>
      </c>
      <c r="C284" s="98">
        <f>'Runs Z score'!C277</f>
        <v/>
      </c>
      <c r="D284" s="98">
        <f>'Runs Z score'!D277</f>
        <v/>
      </c>
      <c r="E284" s="98">
        <f>'Runs Z score'!E277</f>
        <v/>
      </c>
      <c r="F284" s="98">
        <f>'Runs Z score'!F277</f>
        <v/>
      </c>
      <c r="G284" s="99">
        <f>'Runs Z score'!G277</f>
        <v/>
      </c>
      <c r="H284" s="100">
        <f>VLOOKUP(C284,Recipes!$A$2:$N$4,10,FALSE())</f>
        <v/>
      </c>
      <c r="I284" s="101">
        <f>VLOOKUP(C284,Recipes!$A$2:$N$4,12,FALSE())</f>
        <v/>
      </c>
      <c r="J284" s="100">
        <f>IF(G284="","",H284-G284)</f>
        <v/>
      </c>
      <c r="K284" s="100">
        <f>IF(G284="","",-0.5*((J284-Components!$D$2)/Components!$E$2)^2)</f>
        <v/>
      </c>
      <c r="L284" s="100">
        <f>IF(G284="","",-0.5*((J284-Components!$D$3)/Components!$E$3)^2)</f>
        <v/>
      </c>
      <c r="M284" s="100">
        <f>IF(G284="","",-0.5*((J284-Components!$D$4)/Components!$E$4)^2)</f>
        <v/>
      </c>
      <c r="N284" s="100">
        <f>IF(G284="","",-0.5*((J284-Components!$D$5)/Components!$E$5)^2)</f>
        <v/>
      </c>
      <c r="O284" s="100">
        <f>IF(G284="","",-0.5*((J284-Components!$D$6)/Components!$E$6)^2)</f>
        <v/>
      </c>
      <c r="P284" s="100">
        <f>IF(G284="","",-0.5*((J284-Components!$D$7)/Components!$E$7)^2)</f>
        <v/>
      </c>
      <c r="Q284" s="100">
        <f>IF(G284="","",EXP(LARGE(K284:P284,1)-MAX(K284:P284))/(EXP(K284-MAX(K284:P284))+EXP(L284-MAX(K284:P284))+EXP(M284-MAX(K284:P284))+EXP(N284-MAX(K284:P284))+EXP(O284-MAX(K284:P284))+EXP(P284-MAX(K284:P284))))</f>
        <v/>
      </c>
      <c r="R284" s="100">
        <f>IF(G284="","",EXP(LARGE(K284:P284,2)-MAX(K284:P284))/(EXP(K284-MAX(K284:P284))+EXP(L284-MAX(K284:P284))+EXP(M284-MAX(K284:P284))+EXP(N284-MAX(K284:P284))+EXP(O284-MAX(K284:P284))+EXP(P284-MAX(K284:P284))))</f>
        <v/>
      </c>
      <c r="S284" s="100">
        <f>IF(G284="","",Q284-R284)</f>
        <v/>
      </c>
      <c r="T284" s="98">
        <f>IF(G284="","",IF(AND(G284&gt;=H284-$B$6*I284,G284&lt;=H284+$B$6*I284),"OK","NG"))</f>
        <v/>
      </c>
      <c r="U284" s="69">
        <f>IF(T284="","",IF(T284=D284,1,0))</f>
        <v/>
      </c>
      <c r="V284" s="98">
        <f>IF(G284="","",IF(T284="OK","NONE",INDEX({"S1","S2","W1","W2","N1","N2"},MATCH(MAX(K284:P284),K284:P284,0))))</f>
        <v/>
      </c>
      <c r="W284" s="69">
        <f>IF(G284="","",IF(V284=E284,1,0))</f>
        <v/>
      </c>
      <c r="X284" s="115">
        <f>IF(G284="","",IF(AND(T284="NG",S284&lt;$B$7),"AMBIGUOUS","CONFIDENT"))</f>
        <v/>
      </c>
    </row>
    <row r="285">
      <c r="A285" s="102">
        <f>'Runs Z score'!A278</f>
        <v/>
      </c>
      <c r="B285" s="98">
        <f>'Runs Z score'!B278</f>
        <v/>
      </c>
      <c r="C285" s="98">
        <f>'Runs Z score'!C278</f>
        <v/>
      </c>
      <c r="D285" s="98">
        <f>'Runs Z score'!D278</f>
        <v/>
      </c>
      <c r="E285" s="98">
        <f>'Runs Z score'!E278</f>
        <v/>
      </c>
      <c r="F285" s="98">
        <f>'Runs Z score'!F278</f>
        <v/>
      </c>
      <c r="G285" s="99">
        <f>'Runs Z score'!G278</f>
        <v/>
      </c>
      <c r="H285" s="100">
        <f>VLOOKUP(C285,Recipes!$A$2:$N$4,10,FALSE())</f>
        <v/>
      </c>
      <c r="I285" s="101">
        <f>VLOOKUP(C285,Recipes!$A$2:$N$4,12,FALSE())</f>
        <v/>
      </c>
      <c r="J285" s="100">
        <f>IF(G285="","",H285-G285)</f>
        <v/>
      </c>
      <c r="K285" s="100">
        <f>IF(G285="","",-0.5*((J285-Components!$D$2)/Components!$E$2)^2)</f>
        <v/>
      </c>
      <c r="L285" s="100">
        <f>IF(G285="","",-0.5*((J285-Components!$D$3)/Components!$E$3)^2)</f>
        <v/>
      </c>
      <c r="M285" s="100">
        <f>IF(G285="","",-0.5*((J285-Components!$D$4)/Components!$E$4)^2)</f>
        <v/>
      </c>
      <c r="N285" s="100">
        <f>IF(G285="","",-0.5*((J285-Components!$D$5)/Components!$E$5)^2)</f>
        <v/>
      </c>
      <c r="O285" s="100">
        <f>IF(G285="","",-0.5*((J285-Components!$D$6)/Components!$E$6)^2)</f>
        <v/>
      </c>
      <c r="P285" s="100">
        <f>IF(G285="","",-0.5*((J285-Components!$D$7)/Components!$E$7)^2)</f>
        <v/>
      </c>
      <c r="Q285" s="100">
        <f>IF(G285="","",EXP(LARGE(K285:P285,1)-MAX(K285:P285))/(EXP(K285-MAX(K285:P285))+EXP(L285-MAX(K285:P285))+EXP(M285-MAX(K285:P285))+EXP(N285-MAX(K285:P285))+EXP(O285-MAX(K285:P285))+EXP(P285-MAX(K285:P285))))</f>
        <v/>
      </c>
      <c r="R285" s="100">
        <f>IF(G285="","",EXP(LARGE(K285:P285,2)-MAX(K285:P285))/(EXP(K285-MAX(K285:P285))+EXP(L285-MAX(K285:P285))+EXP(M285-MAX(K285:P285))+EXP(N285-MAX(K285:P285))+EXP(O285-MAX(K285:P285))+EXP(P285-MAX(K285:P285))))</f>
        <v/>
      </c>
      <c r="S285" s="100">
        <f>IF(G285="","",Q285-R285)</f>
        <v/>
      </c>
      <c r="T285" s="98">
        <f>IF(G285="","",IF(AND(G285&gt;=H285-$B$6*I285,G285&lt;=H285+$B$6*I285),"OK","NG"))</f>
        <v/>
      </c>
      <c r="U285" s="69">
        <f>IF(T285="","",IF(T285=D285,1,0))</f>
        <v/>
      </c>
      <c r="V285" s="98">
        <f>IF(G285="","",IF(T285="OK","NONE",INDEX({"S1","S2","W1","W2","N1","N2"},MATCH(MAX(K285:P285),K285:P285,0))))</f>
        <v/>
      </c>
      <c r="W285" s="69">
        <f>IF(G285="","",IF(V285=E285,1,0))</f>
        <v/>
      </c>
      <c r="X285" s="115">
        <f>IF(G285="","",IF(AND(T285="NG",S285&lt;$B$7),"AMBIGUOUS","CONFIDENT"))</f>
        <v/>
      </c>
    </row>
    <row r="286">
      <c r="A286" s="102">
        <f>'Runs Z score'!A279</f>
        <v/>
      </c>
      <c r="B286" s="98">
        <f>'Runs Z score'!B279</f>
        <v/>
      </c>
      <c r="C286" s="98">
        <f>'Runs Z score'!C279</f>
        <v/>
      </c>
      <c r="D286" s="98">
        <f>'Runs Z score'!D279</f>
        <v/>
      </c>
      <c r="E286" s="98">
        <f>'Runs Z score'!E279</f>
        <v/>
      </c>
      <c r="F286" s="98">
        <f>'Runs Z score'!F279</f>
        <v/>
      </c>
      <c r="G286" s="99">
        <f>'Runs Z score'!G279</f>
        <v/>
      </c>
      <c r="H286" s="100">
        <f>VLOOKUP(C286,Recipes!$A$2:$N$4,10,FALSE())</f>
        <v/>
      </c>
      <c r="I286" s="101">
        <f>VLOOKUP(C286,Recipes!$A$2:$N$4,12,FALSE())</f>
        <v/>
      </c>
      <c r="J286" s="100">
        <f>IF(G286="","",H286-G286)</f>
        <v/>
      </c>
      <c r="K286" s="100">
        <f>IF(G286="","",-0.5*((J286-Components!$D$2)/Components!$E$2)^2)</f>
        <v/>
      </c>
      <c r="L286" s="100">
        <f>IF(G286="","",-0.5*((J286-Components!$D$3)/Components!$E$3)^2)</f>
        <v/>
      </c>
      <c r="M286" s="100">
        <f>IF(G286="","",-0.5*((J286-Components!$D$4)/Components!$E$4)^2)</f>
        <v/>
      </c>
      <c r="N286" s="100">
        <f>IF(G286="","",-0.5*((J286-Components!$D$5)/Components!$E$5)^2)</f>
        <v/>
      </c>
      <c r="O286" s="100">
        <f>IF(G286="","",-0.5*((J286-Components!$D$6)/Components!$E$6)^2)</f>
        <v/>
      </c>
      <c r="P286" s="100">
        <f>IF(G286="","",-0.5*((J286-Components!$D$7)/Components!$E$7)^2)</f>
        <v/>
      </c>
      <c r="Q286" s="100">
        <f>IF(G286="","",EXP(LARGE(K286:P286,1)-MAX(K286:P286))/(EXP(K286-MAX(K286:P286))+EXP(L286-MAX(K286:P286))+EXP(M286-MAX(K286:P286))+EXP(N286-MAX(K286:P286))+EXP(O286-MAX(K286:P286))+EXP(P286-MAX(K286:P286))))</f>
        <v/>
      </c>
      <c r="R286" s="100">
        <f>IF(G286="","",EXP(LARGE(K286:P286,2)-MAX(K286:P286))/(EXP(K286-MAX(K286:P286))+EXP(L286-MAX(K286:P286))+EXP(M286-MAX(K286:P286))+EXP(N286-MAX(K286:P286))+EXP(O286-MAX(K286:P286))+EXP(P286-MAX(K286:P286))))</f>
        <v/>
      </c>
      <c r="S286" s="100">
        <f>IF(G286="","",Q286-R286)</f>
        <v/>
      </c>
      <c r="T286" s="98">
        <f>IF(G286="","",IF(AND(G286&gt;=H286-$B$6*I286,G286&lt;=H286+$B$6*I286),"OK","NG"))</f>
        <v/>
      </c>
      <c r="U286" s="69">
        <f>IF(T286="","",IF(T286=D286,1,0))</f>
        <v/>
      </c>
      <c r="V286" s="98">
        <f>IF(G286="","",IF(T286="OK","NONE",INDEX({"S1","S2","W1","W2","N1","N2"},MATCH(MAX(K286:P286),K286:P286,0))))</f>
        <v/>
      </c>
      <c r="W286" s="69">
        <f>IF(G286="","",IF(V286=E286,1,0))</f>
        <v/>
      </c>
      <c r="X286" s="115">
        <f>IF(G286="","",IF(AND(T286="NG",S286&lt;$B$7),"AMBIGUOUS","CONFIDENT"))</f>
        <v/>
      </c>
    </row>
    <row r="287">
      <c r="A287" s="102">
        <f>'Runs Z score'!A280</f>
        <v/>
      </c>
      <c r="B287" s="98">
        <f>'Runs Z score'!B280</f>
        <v/>
      </c>
      <c r="C287" s="98">
        <f>'Runs Z score'!C280</f>
        <v/>
      </c>
      <c r="D287" s="98">
        <f>'Runs Z score'!D280</f>
        <v/>
      </c>
      <c r="E287" s="98">
        <f>'Runs Z score'!E280</f>
        <v/>
      </c>
      <c r="F287" s="98">
        <f>'Runs Z score'!F280</f>
        <v/>
      </c>
      <c r="G287" s="99">
        <f>'Runs Z score'!G280</f>
        <v/>
      </c>
      <c r="H287" s="100">
        <f>VLOOKUP(C287,Recipes!$A$2:$N$4,10,FALSE())</f>
        <v/>
      </c>
      <c r="I287" s="101">
        <f>VLOOKUP(C287,Recipes!$A$2:$N$4,12,FALSE())</f>
        <v/>
      </c>
      <c r="J287" s="100">
        <f>IF(G287="","",H287-G287)</f>
        <v/>
      </c>
      <c r="K287" s="100">
        <f>IF(G287="","",-0.5*((J287-Components!$D$2)/Components!$E$2)^2)</f>
        <v/>
      </c>
      <c r="L287" s="100">
        <f>IF(G287="","",-0.5*((J287-Components!$D$3)/Components!$E$3)^2)</f>
        <v/>
      </c>
      <c r="M287" s="100">
        <f>IF(G287="","",-0.5*((J287-Components!$D$4)/Components!$E$4)^2)</f>
        <v/>
      </c>
      <c r="N287" s="100">
        <f>IF(G287="","",-0.5*((J287-Components!$D$5)/Components!$E$5)^2)</f>
        <v/>
      </c>
      <c r="O287" s="100">
        <f>IF(G287="","",-0.5*((J287-Components!$D$6)/Components!$E$6)^2)</f>
        <v/>
      </c>
      <c r="P287" s="100">
        <f>IF(G287="","",-0.5*((J287-Components!$D$7)/Components!$E$7)^2)</f>
        <v/>
      </c>
      <c r="Q287" s="100">
        <f>IF(G287="","",EXP(LARGE(K287:P287,1)-MAX(K287:P287))/(EXP(K287-MAX(K287:P287))+EXP(L287-MAX(K287:P287))+EXP(M287-MAX(K287:P287))+EXP(N287-MAX(K287:P287))+EXP(O287-MAX(K287:P287))+EXP(P287-MAX(K287:P287))))</f>
        <v/>
      </c>
      <c r="R287" s="100">
        <f>IF(G287="","",EXP(LARGE(K287:P287,2)-MAX(K287:P287))/(EXP(K287-MAX(K287:P287))+EXP(L287-MAX(K287:P287))+EXP(M287-MAX(K287:P287))+EXP(N287-MAX(K287:P287))+EXP(O287-MAX(K287:P287))+EXP(P287-MAX(K287:P287))))</f>
        <v/>
      </c>
      <c r="S287" s="100">
        <f>IF(G287="","",Q287-R287)</f>
        <v/>
      </c>
      <c r="T287" s="98">
        <f>IF(G287="","",IF(AND(G287&gt;=H287-$B$6*I287,G287&lt;=H287+$B$6*I287),"OK","NG"))</f>
        <v/>
      </c>
      <c r="U287" s="69">
        <f>IF(T287="","",IF(T287=D287,1,0))</f>
        <v/>
      </c>
      <c r="V287" s="98">
        <f>IF(G287="","",IF(T287="OK","NONE",INDEX({"S1","S2","W1","W2","N1","N2"},MATCH(MAX(K287:P287),K287:P287,0))))</f>
        <v/>
      </c>
      <c r="W287" s="69">
        <f>IF(G287="","",IF(V287=E287,1,0))</f>
        <v/>
      </c>
      <c r="X287" s="115">
        <f>IF(G287="","",IF(AND(T287="NG",S287&lt;$B$7),"AMBIGUOUS","CONFIDENT"))</f>
        <v/>
      </c>
    </row>
    <row r="288">
      <c r="A288" s="102">
        <f>'Runs Z score'!A281</f>
        <v/>
      </c>
      <c r="B288" s="98">
        <f>'Runs Z score'!B281</f>
        <v/>
      </c>
      <c r="C288" s="98">
        <f>'Runs Z score'!C281</f>
        <v/>
      </c>
      <c r="D288" s="98">
        <f>'Runs Z score'!D281</f>
        <v/>
      </c>
      <c r="E288" s="98">
        <f>'Runs Z score'!E281</f>
        <v/>
      </c>
      <c r="F288" s="98">
        <f>'Runs Z score'!F281</f>
        <v/>
      </c>
      <c r="G288" s="99">
        <f>'Runs Z score'!G281</f>
        <v/>
      </c>
      <c r="H288" s="100">
        <f>VLOOKUP(C288,Recipes!$A$2:$N$4,10,FALSE())</f>
        <v/>
      </c>
      <c r="I288" s="101">
        <f>VLOOKUP(C288,Recipes!$A$2:$N$4,12,FALSE())</f>
        <v/>
      </c>
      <c r="J288" s="100">
        <f>IF(G288="","",H288-G288)</f>
        <v/>
      </c>
      <c r="K288" s="100">
        <f>IF(G288="","",-0.5*((J288-Components!$D$2)/Components!$E$2)^2)</f>
        <v/>
      </c>
      <c r="L288" s="100">
        <f>IF(G288="","",-0.5*((J288-Components!$D$3)/Components!$E$3)^2)</f>
        <v/>
      </c>
      <c r="M288" s="100">
        <f>IF(G288="","",-0.5*((J288-Components!$D$4)/Components!$E$4)^2)</f>
        <v/>
      </c>
      <c r="N288" s="100">
        <f>IF(G288="","",-0.5*((J288-Components!$D$5)/Components!$E$5)^2)</f>
        <v/>
      </c>
      <c r="O288" s="100">
        <f>IF(G288="","",-0.5*((J288-Components!$D$6)/Components!$E$6)^2)</f>
        <v/>
      </c>
      <c r="P288" s="100">
        <f>IF(G288="","",-0.5*((J288-Components!$D$7)/Components!$E$7)^2)</f>
        <v/>
      </c>
      <c r="Q288" s="100">
        <f>IF(G288="","",EXP(LARGE(K288:P288,1)-MAX(K288:P288))/(EXP(K288-MAX(K288:P288))+EXP(L288-MAX(K288:P288))+EXP(M288-MAX(K288:P288))+EXP(N288-MAX(K288:P288))+EXP(O288-MAX(K288:P288))+EXP(P288-MAX(K288:P288))))</f>
        <v/>
      </c>
      <c r="R288" s="100">
        <f>IF(G288="","",EXP(LARGE(K288:P288,2)-MAX(K288:P288))/(EXP(K288-MAX(K288:P288))+EXP(L288-MAX(K288:P288))+EXP(M288-MAX(K288:P288))+EXP(N288-MAX(K288:P288))+EXP(O288-MAX(K288:P288))+EXP(P288-MAX(K288:P288))))</f>
        <v/>
      </c>
      <c r="S288" s="100">
        <f>IF(G288="","",Q288-R288)</f>
        <v/>
      </c>
      <c r="T288" s="98">
        <f>IF(G288="","",IF(AND(G288&gt;=H288-$B$6*I288,G288&lt;=H288+$B$6*I288),"OK","NG"))</f>
        <v/>
      </c>
      <c r="U288" s="69">
        <f>IF(T288="","",IF(T288=D288,1,0))</f>
        <v/>
      </c>
      <c r="V288" s="98">
        <f>IF(G288="","",IF(T288="OK","NONE",INDEX({"S1","S2","W1","W2","N1","N2"},MATCH(MAX(K288:P288),K288:P288,0))))</f>
        <v/>
      </c>
      <c r="W288" s="69">
        <f>IF(G288="","",IF(V288=E288,1,0))</f>
        <v/>
      </c>
      <c r="X288" s="115">
        <f>IF(G288="","",IF(AND(T288="NG",S288&lt;$B$7),"AMBIGUOUS","CONFIDENT"))</f>
        <v/>
      </c>
    </row>
    <row r="289">
      <c r="A289" s="102">
        <f>'Runs Z score'!A282</f>
        <v/>
      </c>
      <c r="B289" s="98">
        <f>'Runs Z score'!B282</f>
        <v/>
      </c>
      <c r="C289" s="98">
        <f>'Runs Z score'!C282</f>
        <v/>
      </c>
      <c r="D289" s="98">
        <f>'Runs Z score'!D282</f>
        <v/>
      </c>
      <c r="E289" s="98">
        <f>'Runs Z score'!E282</f>
        <v/>
      </c>
      <c r="F289" s="98">
        <f>'Runs Z score'!F282</f>
        <v/>
      </c>
      <c r="G289" s="99">
        <f>'Runs Z score'!G282</f>
        <v/>
      </c>
      <c r="H289" s="100">
        <f>VLOOKUP(C289,Recipes!$A$2:$N$4,10,FALSE())</f>
        <v/>
      </c>
      <c r="I289" s="101">
        <f>VLOOKUP(C289,Recipes!$A$2:$N$4,12,FALSE())</f>
        <v/>
      </c>
      <c r="J289" s="100">
        <f>IF(G289="","",H289-G289)</f>
        <v/>
      </c>
      <c r="K289" s="100">
        <f>IF(G289="","",-0.5*((J289-Components!$D$2)/Components!$E$2)^2)</f>
        <v/>
      </c>
      <c r="L289" s="100">
        <f>IF(G289="","",-0.5*((J289-Components!$D$3)/Components!$E$3)^2)</f>
        <v/>
      </c>
      <c r="M289" s="100">
        <f>IF(G289="","",-0.5*((J289-Components!$D$4)/Components!$E$4)^2)</f>
        <v/>
      </c>
      <c r="N289" s="100">
        <f>IF(G289="","",-0.5*((J289-Components!$D$5)/Components!$E$5)^2)</f>
        <v/>
      </c>
      <c r="O289" s="100">
        <f>IF(G289="","",-0.5*((J289-Components!$D$6)/Components!$E$6)^2)</f>
        <v/>
      </c>
      <c r="P289" s="100">
        <f>IF(G289="","",-0.5*((J289-Components!$D$7)/Components!$E$7)^2)</f>
        <v/>
      </c>
      <c r="Q289" s="100">
        <f>IF(G289="","",EXP(LARGE(K289:P289,1)-MAX(K289:P289))/(EXP(K289-MAX(K289:P289))+EXP(L289-MAX(K289:P289))+EXP(M289-MAX(K289:P289))+EXP(N289-MAX(K289:P289))+EXP(O289-MAX(K289:P289))+EXP(P289-MAX(K289:P289))))</f>
        <v/>
      </c>
      <c r="R289" s="100">
        <f>IF(G289="","",EXP(LARGE(K289:P289,2)-MAX(K289:P289))/(EXP(K289-MAX(K289:P289))+EXP(L289-MAX(K289:P289))+EXP(M289-MAX(K289:P289))+EXP(N289-MAX(K289:P289))+EXP(O289-MAX(K289:P289))+EXP(P289-MAX(K289:P289))))</f>
        <v/>
      </c>
      <c r="S289" s="100">
        <f>IF(G289="","",Q289-R289)</f>
        <v/>
      </c>
      <c r="T289" s="98">
        <f>IF(G289="","",IF(AND(G289&gt;=H289-$B$6*I289,G289&lt;=H289+$B$6*I289),"OK","NG"))</f>
        <v/>
      </c>
      <c r="U289" s="69">
        <f>IF(T289="","",IF(T289=D289,1,0))</f>
        <v/>
      </c>
      <c r="V289" s="98">
        <f>IF(G289="","",IF(T289="OK","NONE",INDEX({"S1","S2","W1","W2","N1","N2"},MATCH(MAX(K289:P289),K289:P289,0))))</f>
        <v/>
      </c>
      <c r="W289" s="69">
        <f>IF(G289="","",IF(V289=E289,1,0))</f>
        <v/>
      </c>
      <c r="X289" s="115">
        <f>IF(G289="","",IF(AND(T289="NG",S289&lt;$B$7),"AMBIGUOUS","CONFIDENT"))</f>
        <v/>
      </c>
    </row>
    <row r="290">
      <c r="A290" s="102">
        <f>'Runs Z score'!A283</f>
        <v/>
      </c>
      <c r="B290" s="98">
        <f>'Runs Z score'!B283</f>
        <v/>
      </c>
      <c r="C290" s="98">
        <f>'Runs Z score'!C283</f>
        <v/>
      </c>
      <c r="D290" s="98">
        <f>'Runs Z score'!D283</f>
        <v/>
      </c>
      <c r="E290" s="98">
        <f>'Runs Z score'!E283</f>
        <v/>
      </c>
      <c r="F290" s="98">
        <f>'Runs Z score'!F283</f>
        <v/>
      </c>
      <c r="G290" s="99">
        <f>'Runs Z score'!G283</f>
        <v/>
      </c>
      <c r="H290" s="100">
        <f>VLOOKUP(C290,Recipes!$A$2:$N$4,10,FALSE())</f>
        <v/>
      </c>
      <c r="I290" s="101">
        <f>VLOOKUP(C290,Recipes!$A$2:$N$4,12,FALSE())</f>
        <v/>
      </c>
      <c r="J290" s="100">
        <f>IF(G290="","",H290-G290)</f>
        <v/>
      </c>
      <c r="K290" s="100">
        <f>IF(G290="","",-0.5*((J290-Components!$D$2)/Components!$E$2)^2)</f>
        <v/>
      </c>
      <c r="L290" s="100">
        <f>IF(G290="","",-0.5*((J290-Components!$D$3)/Components!$E$3)^2)</f>
        <v/>
      </c>
      <c r="M290" s="100">
        <f>IF(G290="","",-0.5*((J290-Components!$D$4)/Components!$E$4)^2)</f>
        <v/>
      </c>
      <c r="N290" s="100">
        <f>IF(G290="","",-0.5*((J290-Components!$D$5)/Components!$E$5)^2)</f>
        <v/>
      </c>
      <c r="O290" s="100">
        <f>IF(G290="","",-0.5*((J290-Components!$D$6)/Components!$E$6)^2)</f>
        <v/>
      </c>
      <c r="P290" s="100">
        <f>IF(G290="","",-0.5*((J290-Components!$D$7)/Components!$E$7)^2)</f>
        <v/>
      </c>
      <c r="Q290" s="100">
        <f>IF(G290="","",EXP(LARGE(K290:P290,1)-MAX(K290:P290))/(EXP(K290-MAX(K290:P290))+EXP(L290-MAX(K290:P290))+EXP(M290-MAX(K290:P290))+EXP(N290-MAX(K290:P290))+EXP(O290-MAX(K290:P290))+EXP(P290-MAX(K290:P290))))</f>
        <v/>
      </c>
      <c r="R290" s="100">
        <f>IF(G290="","",EXP(LARGE(K290:P290,2)-MAX(K290:P290))/(EXP(K290-MAX(K290:P290))+EXP(L290-MAX(K290:P290))+EXP(M290-MAX(K290:P290))+EXP(N290-MAX(K290:P290))+EXP(O290-MAX(K290:P290))+EXP(P290-MAX(K290:P290))))</f>
        <v/>
      </c>
      <c r="S290" s="100">
        <f>IF(G290="","",Q290-R290)</f>
        <v/>
      </c>
      <c r="T290" s="98">
        <f>IF(G290="","",IF(AND(G290&gt;=H290-$B$6*I290,G290&lt;=H290+$B$6*I290),"OK","NG"))</f>
        <v/>
      </c>
      <c r="U290" s="69">
        <f>IF(T290="","",IF(T290=D290,1,0))</f>
        <v/>
      </c>
      <c r="V290" s="98">
        <f>IF(G290="","",IF(T290="OK","NONE",INDEX({"S1","S2","W1","W2","N1","N2"},MATCH(MAX(K290:P290),K290:P290,0))))</f>
        <v/>
      </c>
      <c r="W290" s="69">
        <f>IF(G290="","",IF(V290=E290,1,0))</f>
        <v/>
      </c>
      <c r="X290" s="115">
        <f>IF(G290="","",IF(AND(T290="NG",S290&lt;$B$7),"AMBIGUOUS","CONFIDENT"))</f>
        <v/>
      </c>
    </row>
    <row r="291">
      <c r="A291" s="102">
        <f>'Runs Z score'!A284</f>
        <v/>
      </c>
      <c r="B291" s="98">
        <f>'Runs Z score'!B284</f>
        <v/>
      </c>
      <c r="C291" s="98">
        <f>'Runs Z score'!C284</f>
        <v/>
      </c>
      <c r="D291" s="98">
        <f>'Runs Z score'!D284</f>
        <v/>
      </c>
      <c r="E291" s="98">
        <f>'Runs Z score'!E284</f>
        <v/>
      </c>
      <c r="F291" s="98">
        <f>'Runs Z score'!F284</f>
        <v/>
      </c>
      <c r="G291" s="99">
        <f>'Runs Z score'!G284</f>
        <v/>
      </c>
      <c r="H291" s="100">
        <f>VLOOKUP(C291,Recipes!$A$2:$N$4,10,FALSE())</f>
        <v/>
      </c>
      <c r="I291" s="101">
        <f>VLOOKUP(C291,Recipes!$A$2:$N$4,12,FALSE())</f>
        <v/>
      </c>
      <c r="J291" s="100">
        <f>IF(G291="","",H291-G291)</f>
        <v/>
      </c>
      <c r="K291" s="100">
        <f>IF(G291="","",-0.5*((J291-Components!$D$2)/Components!$E$2)^2)</f>
        <v/>
      </c>
      <c r="L291" s="100">
        <f>IF(G291="","",-0.5*((J291-Components!$D$3)/Components!$E$3)^2)</f>
        <v/>
      </c>
      <c r="M291" s="100">
        <f>IF(G291="","",-0.5*((J291-Components!$D$4)/Components!$E$4)^2)</f>
        <v/>
      </c>
      <c r="N291" s="100">
        <f>IF(G291="","",-0.5*((J291-Components!$D$5)/Components!$E$5)^2)</f>
        <v/>
      </c>
      <c r="O291" s="100">
        <f>IF(G291="","",-0.5*((J291-Components!$D$6)/Components!$E$6)^2)</f>
        <v/>
      </c>
      <c r="P291" s="100">
        <f>IF(G291="","",-0.5*((J291-Components!$D$7)/Components!$E$7)^2)</f>
        <v/>
      </c>
      <c r="Q291" s="100">
        <f>IF(G291="","",EXP(LARGE(K291:P291,1)-MAX(K291:P291))/(EXP(K291-MAX(K291:P291))+EXP(L291-MAX(K291:P291))+EXP(M291-MAX(K291:P291))+EXP(N291-MAX(K291:P291))+EXP(O291-MAX(K291:P291))+EXP(P291-MAX(K291:P291))))</f>
        <v/>
      </c>
      <c r="R291" s="100">
        <f>IF(G291="","",EXP(LARGE(K291:P291,2)-MAX(K291:P291))/(EXP(K291-MAX(K291:P291))+EXP(L291-MAX(K291:P291))+EXP(M291-MAX(K291:P291))+EXP(N291-MAX(K291:P291))+EXP(O291-MAX(K291:P291))+EXP(P291-MAX(K291:P291))))</f>
        <v/>
      </c>
      <c r="S291" s="100">
        <f>IF(G291="","",Q291-R291)</f>
        <v/>
      </c>
      <c r="T291" s="98">
        <f>IF(G291="","",IF(AND(G291&gt;=H291-$B$6*I291,G291&lt;=H291+$B$6*I291),"OK","NG"))</f>
        <v/>
      </c>
      <c r="U291" s="69">
        <f>IF(T291="","",IF(T291=D291,1,0))</f>
        <v/>
      </c>
      <c r="V291" s="98">
        <f>IF(G291="","",IF(T291="OK","NONE",INDEX({"S1","S2","W1","W2","N1","N2"},MATCH(MAX(K291:P291),K291:P291,0))))</f>
        <v/>
      </c>
      <c r="W291" s="69">
        <f>IF(G291="","",IF(V291=E291,1,0))</f>
        <v/>
      </c>
      <c r="X291" s="115">
        <f>IF(G291="","",IF(AND(T291="NG",S291&lt;$B$7),"AMBIGUOUS","CONFIDENT"))</f>
        <v/>
      </c>
    </row>
    <row r="292">
      <c r="A292" s="102">
        <f>'Runs Z score'!A285</f>
        <v/>
      </c>
      <c r="B292" s="98">
        <f>'Runs Z score'!B285</f>
        <v/>
      </c>
      <c r="C292" s="98">
        <f>'Runs Z score'!C285</f>
        <v/>
      </c>
      <c r="D292" s="98">
        <f>'Runs Z score'!D285</f>
        <v/>
      </c>
      <c r="E292" s="98">
        <f>'Runs Z score'!E285</f>
        <v/>
      </c>
      <c r="F292" s="98">
        <f>'Runs Z score'!F285</f>
        <v/>
      </c>
      <c r="G292" s="99">
        <f>'Runs Z score'!G285</f>
        <v/>
      </c>
      <c r="H292" s="100">
        <f>VLOOKUP(C292,Recipes!$A$2:$N$4,10,FALSE())</f>
        <v/>
      </c>
      <c r="I292" s="101">
        <f>VLOOKUP(C292,Recipes!$A$2:$N$4,12,FALSE())</f>
        <v/>
      </c>
      <c r="J292" s="100">
        <f>IF(G292="","",H292-G292)</f>
        <v/>
      </c>
      <c r="K292" s="100">
        <f>IF(G292="","",-0.5*((J292-Components!$D$2)/Components!$E$2)^2)</f>
        <v/>
      </c>
      <c r="L292" s="100">
        <f>IF(G292="","",-0.5*((J292-Components!$D$3)/Components!$E$3)^2)</f>
        <v/>
      </c>
      <c r="M292" s="100">
        <f>IF(G292="","",-0.5*((J292-Components!$D$4)/Components!$E$4)^2)</f>
        <v/>
      </c>
      <c r="N292" s="100">
        <f>IF(G292="","",-0.5*((J292-Components!$D$5)/Components!$E$5)^2)</f>
        <v/>
      </c>
      <c r="O292" s="100">
        <f>IF(G292="","",-0.5*((J292-Components!$D$6)/Components!$E$6)^2)</f>
        <v/>
      </c>
      <c r="P292" s="100">
        <f>IF(G292="","",-0.5*((J292-Components!$D$7)/Components!$E$7)^2)</f>
        <v/>
      </c>
      <c r="Q292" s="100">
        <f>IF(G292="","",EXP(LARGE(K292:P292,1)-MAX(K292:P292))/(EXP(K292-MAX(K292:P292))+EXP(L292-MAX(K292:P292))+EXP(M292-MAX(K292:P292))+EXP(N292-MAX(K292:P292))+EXP(O292-MAX(K292:P292))+EXP(P292-MAX(K292:P292))))</f>
        <v/>
      </c>
      <c r="R292" s="100">
        <f>IF(G292="","",EXP(LARGE(K292:P292,2)-MAX(K292:P292))/(EXP(K292-MAX(K292:P292))+EXP(L292-MAX(K292:P292))+EXP(M292-MAX(K292:P292))+EXP(N292-MAX(K292:P292))+EXP(O292-MAX(K292:P292))+EXP(P292-MAX(K292:P292))))</f>
        <v/>
      </c>
      <c r="S292" s="100">
        <f>IF(G292="","",Q292-R292)</f>
        <v/>
      </c>
      <c r="T292" s="98">
        <f>IF(G292="","",IF(AND(G292&gt;=H292-$B$6*I292,G292&lt;=H292+$B$6*I292),"OK","NG"))</f>
        <v/>
      </c>
      <c r="U292" s="69">
        <f>IF(T292="","",IF(T292=D292,1,0))</f>
        <v/>
      </c>
      <c r="V292" s="98">
        <f>IF(G292="","",IF(T292="OK","NONE",INDEX({"S1","S2","W1","W2","N1","N2"},MATCH(MAX(K292:P292),K292:P292,0))))</f>
        <v/>
      </c>
      <c r="W292" s="69">
        <f>IF(G292="","",IF(V292=E292,1,0))</f>
        <v/>
      </c>
      <c r="X292" s="115">
        <f>IF(G292="","",IF(AND(T292="NG",S292&lt;$B$7),"AMBIGUOUS","CONFIDENT"))</f>
        <v/>
      </c>
    </row>
    <row r="293">
      <c r="A293" s="102">
        <f>'Runs Z score'!A286</f>
        <v/>
      </c>
      <c r="B293" s="98">
        <f>'Runs Z score'!B286</f>
        <v/>
      </c>
      <c r="C293" s="98">
        <f>'Runs Z score'!C286</f>
        <v/>
      </c>
      <c r="D293" s="98">
        <f>'Runs Z score'!D286</f>
        <v/>
      </c>
      <c r="E293" s="98">
        <f>'Runs Z score'!E286</f>
        <v/>
      </c>
      <c r="F293" s="98">
        <f>'Runs Z score'!F286</f>
        <v/>
      </c>
      <c r="G293" s="99">
        <f>'Runs Z score'!G286</f>
        <v/>
      </c>
      <c r="H293" s="100">
        <f>VLOOKUP(C293,Recipes!$A$2:$N$4,10,FALSE())</f>
        <v/>
      </c>
      <c r="I293" s="101">
        <f>VLOOKUP(C293,Recipes!$A$2:$N$4,12,FALSE())</f>
        <v/>
      </c>
      <c r="J293" s="100">
        <f>IF(G293="","",H293-G293)</f>
        <v/>
      </c>
      <c r="K293" s="100">
        <f>IF(G293="","",-0.5*((J293-Components!$D$2)/Components!$E$2)^2)</f>
        <v/>
      </c>
      <c r="L293" s="100">
        <f>IF(G293="","",-0.5*((J293-Components!$D$3)/Components!$E$3)^2)</f>
        <v/>
      </c>
      <c r="M293" s="100">
        <f>IF(G293="","",-0.5*((J293-Components!$D$4)/Components!$E$4)^2)</f>
        <v/>
      </c>
      <c r="N293" s="100">
        <f>IF(G293="","",-0.5*((J293-Components!$D$5)/Components!$E$5)^2)</f>
        <v/>
      </c>
      <c r="O293" s="100">
        <f>IF(G293="","",-0.5*((J293-Components!$D$6)/Components!$E$6)^2)</f>
        <v/>
      </c>
      <c r="P293" s="100">
        <f>IF(G293="","",-0.5*((J293-Components!$D$7)/Components!$E$7)^2)</f>
        <v/>
      </c>
      <c r="Q293" s="100">
        <f>IF(G293="","",EXP(LARGE(K293:P293,1)-MAX(K293:P293))/(EXP(K293-MAX(K293:P293))+EXP(L293-MAX(K293:P293))+EXP(M293-MAX(K293:P293))+EXP(N293-MAX(K293:P293))+EXP(O293-MAX(K293:P293))+EXP(P293-MAX(K293:P293))))</f>
        <v/>
      </c>
      <c r="R293" s="100">
        <f>IF(G293="","",EXP(LARGE(K293:P293,2)-MAX(K293:P293))/(EXP(K293-MAX(K293:P293))+EXP(L293-MAX(K293:P293))+EXP(M293-MAX(K293:P293))+EXP(N293-MAX(K293:P293))+EXP(O293-MAX(K293:P293))+EXP(P293-MAX(K293:P293))))</f>
        <v/>
      </c>
      <c r="S293" s="100">
        <f>IF(G293="","",Q293-R293)</f>
        <v/>
      </c>
      <c r="T293" s="98">
        <f>IF(G293="","",IF(AND(G293&gt;=H293-$B$6*I293,G293&lt;=H293+$B$6*I293),"OK","NG"))</f>
        <v/>
      </c>
      <c r="U293" s="69">
        <f>IF(T293="","",IF(T293=D293,1,0))</f>
        <v/>
      </c>
      <c r="V293" s="98">
        <f>IF(G293="","",IF(T293="OK","NONE",INDEX({"S1","S2","W1","W2","N1","N2"},MATCH(MAX(K293:P293),K293:P293,0))))</f>
        <v/>
      </c>
      <c r="W293" s="69">
        <f>IF(G293="","",IF(V293=E293,1,0))</f>
        <v/>
      </c>
      <c r="X293" s="115">
        <f>IF(G293="","",IF(AND(T293="NG",S293&lt;$B$7),"AMBIGUOUS","CONFIDENT"))</f>
        <v/>
      </c>
    </row>
    <row r="294">
      <c r="A294" s="102">
        <f>'Runs Z score'!A287</f>
        <v/>
      </c>
      <c r="B294" s="98">
        <f>'Runs Z score'!B287</f>
        <v/>
      </c>
      <c r="C294" s="98">
        <f>'Runs Z score'!C287</f>
        <v/>
      </c>
      <c r="D294" s="98">
        <f>'Runs Z score'!D287</f>
        <v/>
      </c>
      <c r="E294" s="98">
        <f>'Runs Z score'!E287</f>
        <v/>
      </c>
      <c r="F294" s="98">
        <f>'Runs Z score'!F287</f>
        <v/>
      </c>
      <c r="G294" s="99">
        <f>'Runs Z score'!G287</f>
        <v/>
      </c>
      <c r="H294" s="100">
        <f>VLOOKUP(C294,Recipes!$A$2:$N$4,10,FALSE())</f>
        <v/>
      </c>
      <c r="I294" s="101">
        <f>VLOOKUP(C294,Recipes!$A$2:$N$4,12,FALSE())</f>
        <v/>
      </c>
      <c r="J294" s="100">
        <f>IF(G294="","",H294-G294)</f>
        <v/>
      </c>
      <c r="K294" s="100">
        <f>IF(G294="","",-0.5*((J294-Components!$D$2)/Components!$E$2)^2)</f>
        <v/>
      </c>
      <c r="L294" s="100">
        <f>IF(G294="","",-0.5*((J294-Components!$D$3)/Components!$E$3)^2)</f>
        <v/>
      </c>
      <c r="M294" s="100">
        <f>IF(G294="","",-0.5*((J294-Components!$D$4)/Components!$E$4)^2)</f>
        <v/>
      </c>
      <c r="N294" s="100">
        <f>IF(G294="","",-0.5*((J294-Components!$D$5)/Components!$E$5)^2)</f>
        <v/>
      </c>
      <c r="O294" s="100">
        <f>IF(G294="","",-0.5*((J294-Components!$D$6)/Components!$E$6)^2)</f>
        <v/>
      </c>
      <c r="P294" s="100">
        <f>IF(G294="","",-0.5*((J294-Components!$D$7)/Components!$E$7)^2)</f>
        <v/>
      </c>
      <c r="Q294" s="100">
        <f>IF(G294="","",EXP(LARGE(K294:P294,1)-MAX(K294:P294))/(EXP(K294-MAX(K294:P294))+EXP(L294-MAX(K294:P294))+EXP(M294-MAX(K294:P294))+EXP(N294-MAX(K294:P294))+EXP(O294-MAX(K294:P294))+EXP(P294-MAX(K294:P294))))</f>
        <v/>
      </c>
      <c r="R294" s="100">
        <f>IF(G294="","",EXP(LARGE(K294:P294,2)-MAX(K294:P294))/(EXP(K294-MAX(K294:P294))+EXP(L294-MAX(K294:P294))+EXP(M294-MAX(K294:P294))+EXP(N294-MAX(K294:P294))+EXP(O294-MAX(K294:P294))+EXP(P294-MAX(K294:P294))))</f>
        <v/>
      </c>
      <c r="S294" s="100">
        <f>IF(G294="","",Q294-R294)</f>
        <v/>
      </c>
      <c r="T294" s="98">
        <f>IF(G294="","",IF(AND(G294&gt;=H294-$B$6*I294,G294&lt;=H294+$B$6*I294),"OK","NG"))</f>
        <v/>
      </c>
      <c r="U294" s="69">
        <f>IF(T294="","",IF(T294=D294,1,0))</f>
        <v/>
      </c>
      <c r="V294" s="98">
        <f>IF(G294="","",IF(T294="OK","NONE",INDEX({"S1","S2","W1","W2","N1","N2"},MATCH(MAX(K294:P294),K294:P294,0))))</f>
        <v/>
      </c>
      <c r="W294" s="69">
        <f>IF(G294="","",IF(V294=E294,1,0))</f>
        <v/>
      </c>
      <c r="X294" s="115">
        <f>IF(G294="","",IF(AND(T294="NG",S294&lt;$B$7),"AMBIGUOUS","CONFIDENT"))</f>
        <v/>
      </c>
    </row>
    <row r="295">
      <c r="A295" s="102">
        <f>'Runs Z score'!A288</f>
        <v/>
      </c>
      <c r="B295" s="98">
        <f>'Runs Z score'!B288</f>
        <v/>
      </c>
      <c r="C295" s="98">
        <f>'Runs Z score'!C288</f>
        <v/>
      </c>
      <c r="D295" s="98">
        <f>'Runs Z score'!D288</f>
        <v/>
      </c>
      <c r="E295" s="98">
        <f>'Runs Z score'!E288</f>
        <v/>
      </c>
      <c r="F295" s="98">
        <f>'Runs Z score'!F288</f>
        <v/>
      </c>
      <c r="G295" s="99">
        <f>'Runs Z score'!G288</f>
        <v/>
      </c>
      <c r="H295" s="100">
        <f>VLOOKUP(C295,Recipes!$A$2:$N$4,10,FALSE())</f>
        <v/>
      </c>
      <c r="I295" s="101">
        <f>VLOOKUP(C295,Recipes!$A$2:$N$4,12,FALSE())</f>
        <v/>
      </c>
      <c r="J295" s="100">
        <f>IF(G295="","",H295-G295)</f>
        <v/>
      </c>
      <c r="K295" s="100">
        <f>IF(G295="","",-0.5*((J295-Components!$D$2)/Components!$E$2)^2)</f>
        <v/>
      </c>
      <c r="L295" s="100">
        <f>IF(G295="","",-0.5*((J295-Components!$D$3)/Components!$E$3)^2)</f>
        <v/>
      </c>
      <c r="M295" s="100">
        <f>IF(G295="","",-0.5*((J295-Components!$D$4)/Components!$E$4)^2)</f>
        <v/>
      </c>
      <c r="N295" s="100">
        <f>IF(G295="","",-0.5*((J295-Components!$D$5)/Components!$E$5)^2)</f>
        <v/>
      </c>
      <c r="O295" s="100">
        <f>IF(G295="","",-0.5*((J295-Components!$D$6)/Components!$E$6)^2)</f>
        <v/>
      </c>
      <c r="P295" s="100">
        <f>IF(G295="","",-0.5*((J295-Components!$D$7)/Components!$E$7)^2)</f>
        <v/>
      </c>
      <c r="Q295" s="100">
        <f>IF(G295="","",EXP(LARGE(K295:P295,1)-MAX(K295:P295))/(EXP(K295-MAX(K295:P295))+EXP(L295-MAX(K295:P295))+EXP(M295-MAX(K295:P295))+EXP(N295-MAX(K295:P295))+EXP(O295-MAX(K295:P295))+EXP(P295-MAX(K295:P295))))</f>
        <v/>
      </c>
      <c r="R295" s="100">
        <f>IF(G295="","",EXP(LARGE(K295:P295,2)-MAX(K295:P295))/(EXP(K295-MAX(K295:P295))+EXP(L295-MAX(K295:P295))+EXP(M295-MAX(K295:P295))+EXP(N295-MAX(K295:P295))+EXP(O295-MAX(K295:P295))+EXP(P295-MAX(K295:P295))))</f>
        <v/>
      </c>
      <c r="S295" s="100">
        <f>IF(G295="","",Q295-R295)</f>
        <v/>
      </c>
      <c r="T295" s="98">
        <f>IF(G295="","",IF(AND(G295&gt;=H295-$B$6*I295,G295&lt;=H295+$B$6*I295),"OK","NG"))</f>
        <v/>
      </c>
      <c r="U295" s="69">
        <f>IF(T295="","",IF(T295=D295,1,0))</f>
        <v/>
      </c>
      <c r="V295" s="98">
        <f>IF(G295="","",IF(T295="OK","NONE",INDEX({"S1","S2","W1","W2","N1","N2"},MATCH(MAX(K295:P295),K295:P295,0))))</f>
        <v/>
      </c>
      <c r="W295" s="69">
        <f>IF(G295="","",IF(V295=E295,1,0))</f>
        <v/>
      </c>
      <c r="X295" s="115">
        <f>IF(G295="","",IF(AND(T295="NG",S295&lt;$B$7),"AMBIGUOUS","CONFIDENT"))</f>
        <v/>
      </c>
    </row>
    <row r="296">
      <c r="A296" s="102">
        <f>'Runs Z score'!A289</f>
        <v/>
      </c>
      <c r="B296" s="98">
        <f>'Runs Z score'!B289</f>
        <v/>
      </c>
      <c r="C296" s="98">
        <f>'Runs Z score'!C289</f>
        <v/>
      </c>
      <c r="D296" s="98">
        <f>'Runs Z score'!D289</f>
        <v/>
      </c>
      <c r="E296" s="98">
        <f>'Runs Z score'!E289</f>
        <v/>
      </c>
      <c r="F296" s="98">
        <f>'Runs Z score'!F289</f>
        <v/>
      </c>
      <c r="G296" s="99">
        <f>'Runs Z score'!G289</f>
        <v/>
      </c>
      <c r="H296" s="100">
        <f>VLOOKUP(C296,Recipes!$A$2:$N$4,10,FALSE())</f>
        <v/>
      </c>
      <c r="I296" s="101">
        <f>VLOOKUP(C296,Recipes!$A$2:$N$4,12,FALSE())</f>
        <v/>
      </c>
      <c r="J296" s="100">
        <f>IF(G296="","",H296-G296)</f>
        <v/>
      </c>
      <c r="K296" s="100">
        <f>IF(G296="","",-0.5*((J296-Components!$D$2)/Components!$E$2)^2)</f>
        <v/>
      </c>
      <c r="L296" s="100">
        <f>IF(G296="","",-0.5*((J296-Components!$D$3)/Components!$E$3)^2)</f>
        <v/>
      </c>
      <c r="M296" s="100">
        <f>IF(G296="","",-0.5*((J296-Components!$D$4)/Components!$E$4)^2)</f>
        <v/>
      </c>
      <c r="N296" s="100">
        <f>IF(G296="","",-0.5*((J296-Components!$D$5)/Components!$E$5)^2)</f>
        <v/>
      </c>
      <c r="O296" s="100">
        <f>IF(G296="","",-0.5*((J296-Components!$D$6)/Components!$E$6)^2)</f>
        <v/>
      </c>
      <c r="P296" s="100">
        <f>IF(G296="","",-0.5*((J296-Components!$D$7)/Components!$E$7)^2)</f>
        <v/>
      </c>
      <c r="Q296" s="100">
        <f>IF(G296="","",EXP(LARGE(K296:P296,1)-MAX(K296:P296))/(EXP(K296-MAX(K296:P296))+EXP(L296-MAX(K296:P296))+EXP(M296-MAX(K296:P296))+EXP(N296-MAX(K296:P296))+EXP(O296-MAX(K296:P296))+EXP(P296-MAX(K296:P296))))</f>
        <v/>
      </c>
      <c r="R296" s="100">
        <f>IF(G296="","",EXP(LARGE(K296:P296,2)-MAX(K296:P296))/(EXP(K296-MAX(K296:P296))+EXP(L296-MAX(K296:P296))+EXP(M296-MAX(K296:P296))+EXP(N296-MAX(K296:P296))+EXP(O296-MAX(K296:P296))+EXP(P296-MAX(K296:P296))))</f>
        <v/>
      </c>
      <c r="S296" s="100">
        <f>IF(G296="","",Q296-R296)</f>
        <v/>
      </c>
      <c r="T296" s="98">
        <f>IF(G296="","",IF(AND(G296&gt;=H296-$B$6*I296,G296&lt;=H296+$B$6*I296),"OK","NG"))</f>
        <v/>
      </c>
      <c r="U296" s="69">
        <f>IF(T296="","",IF(T296=D296,1,0))</f>
        <v/>
      </c>
      <c r="V296" s="98">
        <f>IF(G296="","",IF(T296="OK","NONE",INDEX({"S1","S2","W1","W2","N1","N2"},MATCH(MAX(K296:P296),K296:P296,0))))</f>
        <v/>
      </c>
      <c r="W296" s="69">
        <f>IF(G296="","",IF(V296=E296,1,0))</f>
        <v/>
      </c>
      <c r="X296" s="115">
        <f>IF(G296="","",IF(AND(T296="NG",S296&lt;$B$7),"AMBIGUOUS","CONFIDENT"))</f>
        <v/>
      </c>
    </row>
    <row r="297">
      <c r="A297" s="102">
        <f>'Runs Z score'!A290</f>
        <v/>
      </c>
      <c r="B297" s="98">
        <f>'Runs Z score'!B290</f>
        <v/>
      </c>
      <c r="C297" s="98">
        <f>'Runs Z score'!C290</f>
        <v/>
      </c>
      <c r="D297" s="98">
        <f>'Runs Z score'!D290</f>
        <v/>
      </c>
      <c r="E297" s="98">
        <f>'Runs Z score'!E290</f>
        <v/>
      </c>
      <c r="F297" s="98">
        <f>'Runs Z score'!F290</f>
        <v/>
      </c>
      <c r="G297" s="99">
        <f>'Runs Z score'!G290</f>
        <v/>
      </c>
      <c r="H297" s="100">
        <f>VLOOKUP(C297,Recipes!$A$2:$N$4,10,FALSE())</f>
        <v/>
      </c>
      <c r="I297" s="101">
        <f>VLOOKUP(C297,Recipes!$A$2:$N$4,12,FALSE())</f>
        <v/>
      </c>
      <c r="J297" s="100">
        <f>IF(G297="","",H297-G297)</f>
        <v/>
      </c>
      <c r="K297" s="100">
        <f>IF(G297="","",-0.5*((J297-Components!$D$2)/Components!$E$2)^2)</f>
        <v/>
      </c>
      <c r="L297" s="100">
        <f>IF(G297="","",-0.5*((J297-Components!$D$3)/Components!$E$3)^2)</f>
        <v/>
      </c>
      <c r="M297" s="100">
        <f>IF(G297="","",-0.5*((J297-Components!$D$4)/Components!$E$4)^2)</f>
        <v/>
      </c>
      <c r="N297" s="100">
        <f>IF(G297="","",-0.5*((J297-Components!$D$5)/Components!$E$5)^2)</f>
        <v/>
      </c>
      <c r="O297" s="100">
        <f>IF(G297="","",-0.5*((J297-Components!$D$6)/Components!$E$6)^2)</f>
        <v/>
      </c>
      <c r="P297" s="100">
        <f>IF(G297="","",-0.5*((J297-Components!$D$7)/Components!$E$7)^2)</f>
        <v/>
      </c>
      <c r="Q297" s="100">
        <f>IF(G297="","",EXP(LARGE(K297:P297,1)-MAX(K297:P297))/(EXP(K297-MAX(K297:P297))+EXP(L297-MAX(K297:P297))+EXP(M297-MAX(K297:P297))+EXP(N297-MAX(K297:P297))+EXP(O297-MAX(K297:P297))+EXP(P297-MAX(K297:P297))))</f>
        <v/>
      </c>
      <c r="R297" s="100">
        <f>IF(G297="","",EXP(LARGE(K297:P297,2)-MAX(K297:P297))/(EXP(K297-MAX(K297:P297))+EXP(L297-MAX(K297:P297))+EXP(M297-MAX(K297:P297))+EXP(N297-MAX(K297:P297))+EXP(O297-MAX(K297:P297))+EXP(P297-MAX(K297:P297))))</f>
        <v/>
      </c>
      <c r="S297" s="100">
        <f>IF(G297="","",Q297-R297)</f>
        <v/>
      </c>
      <c r="T297" s="98">
        <f>IF(G297="","",IF(AND(G297&gt;=H297-$B$6*I297,G297&lt;=H297+$B$6*I297),"OK","NG"))</f>
        <v/>
      </c>
      <c r="U297" s="69">
        <f>IF(T297="","",IF(T297=D297,1,0))</f>
        <v/>
      </c>
      <c r="V297" s="98">
        <f>IF(G297="","",IF(T297="OK","NONE",INDEX({"S1","S2","W1","W2","N1","N2"},MATCH(MAX(K297:P297),K297:P297,0))))</f>
        <v/>
      </c>
      <c r="W297" s="71">
        <f>IF(G297="","",IF(V297=E297,1,0))</f>
        <v/>
      </c>
      <c r="X297" s="115">
        <f>IF(G297="","",IF(AND(T297="NG",S297&lt;$B$7),"AMBIGUOUS","CONFIDENT"))</f>
        <v/>
      </c>
    </row>
    <row r="298">
      <c r="A298" s="102">
        <f>'Runs Z score'!A291</f>
        <v/>
      </c>
      <c r="B298" s="98">
        <f>'Runs Z score'!B291</f>
        <v/>
      </c>
      <c r="C298" s="98">
        <f>'Runs Z score'!C291</f>
        <v/>
      </c>
      <c r="D298" s="98">
        <f>'Runs Z score'!D291</f>
        <v/>
      </c>
      <c r="E298" s="98">
        <f>'Runs Z score'!E291</f>
        <v/>
      </c>
      <c r="F298" s="98">
        <f>'Runs Z score'!F291</f>
        <v/>
      </c>
      <c r="G298" s="99">
        <f>'Runs Z score'!G291</f>
        <v/>
      </c>
      <c r="H298" s="100">
        <f>VLOOKUP(C298,Recipes!$A$2:$N$4,10,FALSE())</f>
        <v/>
      </c>
      <c r="I298" s="101">
        <f>VLOOKUP(C298,Recipes!$A$2:$N$4,12,FALSE())</f>
        <v/>
      </c>
      <c r="J298" s="100">
        <f>IF(G298="","",H298-G298)</f>
        <v/>
      </c>
      <c r="K298" s="100">
        <f>IF(G298="","",-0.5*((J298-Components!$D$2)/Components!$E$2)^2)</f>
        <v/>
      </c>
      <c r="L298" s="100">
        <f>IF(G298="","",-0.5*((J298-Components!$D$3)/Components!$E$3)^2)</f>
        <v/>
      </c>
      <c r="M298" s="100">
        <f>IF(G298="","",-0.5*((J298-Components!$D$4)/Components!$E$4)^2)</f>
        <v/>
      </c>
      <c r="N298" s="100">
        <f>IF(G298="","",-0.5*((J298-Components!$D$5)/Components!$E$5)^2)</f>
        <v/>
      </c>
      <c r="O298" s="100">
        <f>IF(G298="","",-0.5*((J298-Components!$D$6)/Components!$E$6)^2)</f>
        <v/>
      </c>
      <c r="P298" s="100">
        <f>IF(G298="","",-0.5*((J298-Components!$D$7)/Components!$E$7)^2)</f>
        <v/>
      </c>
      <c r="Q298" s="100">
        <f>IF(G298="","",EXP(LARGE(K298:P298,1)-MAX(K298:P298))/(EXP(K298-MAX(K298:P298))+EXP(L298-MAX(K298:P298))+EXP(M298-MAX(K298:P298))+EXP(N298-MAX(K298:P298))+EXP(O298-MAX(K298:P298))+EXP(P298-MAX(K298:P298))))</f>
        <v/>
      </c>
      <c r="R298" s="100">
        <f>IF(G298="","",EXP(LARGE(K298:P298,2)-MAX(K298:P298))/(EXP(K298-MAX(K298:P298))+EXP(L298-MAX(K298:P298))+EXP(M298-MAX(K298:P298))+EXP(N298-MAX(K298:P298))+EXP(O298-MAX(K298:P298))+EXP(P298-MAX(K298:P298))))</f>
        <v/>
      </c>
      <c r="S298" s="100">
        <f>IF(G298="","",Q298-R298)</f>
        <v/>
      </c>
      <c r="T298" s="98">
        <f>IF(G298="","",IF(AND(G298&gt;=H298-$B$6*I298,G298&lt;=H298+$B$6*I298),"OK","NG"))</f>
        <v/>
      </c>
      <c r="U298" s="69">
        <f>IF(T298="","",IF(T298=D298,1,0))</f>
        <v/>
      </c>
      <c r="V298" s="98">
        <f>IF(G298="","",IF(T298="OK","NONE",INDEX({"S1","S2","W1","W2","N1","N2"},MATCH(MAX(K298:P298),K298:P298,0))))</f>
        <v/>
      </c>
      <c r="W298" s="69">
        <f>IF(G298="","",IF(V298=E298,1,0))</f>
        <v/>
      </c>
      <c r="X298" s="115">
        <f>IF(G298="","",IF(AND(T298="NG",S298&lt;$B$7),"AMBIGUOUS","CONFIDENT"))</f>
        <v/>
      </c>
    </row>
    <row r="299">
      <c r="A299" s="102">
        <f>'Runs Z score'!A292</f>
        <v/>
      </c>
      <c r="B299" s="98">
        <f>'Runs Z score'!B292</f>
        <v/>
      </c>
      <c r="C299" s="98">
        <f>'Runs Z score'!C292</f>
        <v/>
      </c>
      <c r="D299" s="98">
        <f>'Runs Z score'!D292</f>
        <v/>
      </c>
      <c r="E299" s="98">
        <f>'Runs Z score'!E292</f>
        <v/>
      </c>
      <c r="F299" s="98">
        <f>'Runs Z score'!F292</f>
        <v/>
      </c>
      <c r="G299" s="99">
        <f>'Runs Z score'!G292</f>
        <v/>
      </c>
      <c r="H299" s="100">
        <f>VLOOKUP(C299,Recipes!$A$2:$N$4,10,FALSE())</f>
        <v/>
      </c>
      <c r="I299" s="101">
        <f>VLOOKUP(C299,Recipes!$A$2:$N$4,12,FALSE())</f>
        <v/>
      </c>
      <c r="J299" s="100">
        <f>IF(G299="","",H299-G299)</f>
        <v/>
      </c>
      <c r="K299" s="100">
        <f>IF(G299="","",-0.5*((J299-Components!$D$2)/Components!$E$2)^2)</f>
        <v/>
      </c>
      <c r="L299" s="100">
        <f>IF(G299="","",-0.5*((J299-Components!$D$3)/Components!$E$3)^2)</f>
        <v/>
      </c>
      <c r="M299" s="100">
        <f>IF(G299="","",-0.5*((J299-Components!$D$4)/Components!$E$4)^2)</f>
        <v/>
      </c>
      <c r="N299" s="100">
        <f>IF(G299="","",-0.5*((J299-Components!$D$5)/Components!$E$5)^2)</f>
        <v/>
      </c>
      <c r="O299" s="100">
        <f>IF(G299="","",-0.5*((J299-Components!$D$6)/Components!$E$6)^2)</f>
        <v/>
      </c>
      <c r="P299" s="100">
        <f>IF(G299="","",-0.5*((J299-Components!$D$7)/Components!$E$7)^2)</f>
        <v/>
      </c>
      <c r="Q299" s="100">
        <f>IF(G299="","",EXP(LARGE(K299:P299,1)-MAX(K299:P299))/(EXP(K299-MAX(K299:P299))+EXP(L299-MAX(K299:P299))+EXP(M299-MAX(K299:P299))+EXP(N299-MAX(K299:P299))+EXP(O299-MAX(K299:P299))+EXP(P299-MAX(K299:P299))))</f>
        <v/>
      </c>
      <c r="R299" s="100">
        <f>IF(G299="","",EXP(LARGE(K299:P299,2)-MAX(K299:P299))/(EXP(K299-MAX(K299:P299))+EXP(L299-MAX(K299:P299))+EXP(M299-MAX(K299:P299))+EXP(N299-MAX(K299:P299))+EXP(O299-MAX(K299:P299))+EXP(P299-MAX(K299:P299))))</f>
        <v/>
      </c>
      <c r="S299" s="100">
        <f>IF(G299="","",Q299-R299)</f>
        <v/>
      </c>
      <c r="T299" s="98">
        <f>IF(G299="","",IF(AND(G299&gt;=H299-$B$6*I299,G299&lt;=H299+$B$6*I299),"OK","NG"))</f>
        <v/>
      </c>
      <c r="U299" s="69">
        <f>IF(T299="","",IF(T299=D299,1,0))</f>
        <v/>
      </c>
      <c r="V299" s="98">
        <f>IF(G299="","",IF(T299="OK","NONE",INDEX({"S1","S2","W1","W2","N1","N2"},MATCH(MAX(K299:P299),K299:P299,0))))</f>
        <v/>
      </c>
      <c r="W299" s="69">
        <f>IF(G299="","",IF(V299=E299,1,0))</f>
        <v/>
      </c>
      <c r="X299" s="115">
        <f>IF(G299="","",IF(AND(T299="NG",S299&lt;$B$7),"AMBIGUOUS","CONFIDENT"))</f>
        <v/>
      </c>
    </row>
    <row r="300">
      <c r="A300" s="102">
        <f>'Runs Z score'!A293</f>
        <v/>
      </c>
      <c r="B300" s="98">
        <f>'Runs Z score'!B293</f>
        <v/>
      </c>
      <c r="C300" s="98">
        <f>'Runs Z score'!C293</f>
        <v/>
      </c>
      <c r="D300" s="98">
        <f>'Runs Z score'!D293</f>
        <v/>
      </c>
      <c r="E300" s="98">
        <f>'Runs Z score'!E293</f>
        <v/>
      </c>
      <c r="F300" s="98">
        <f>'Runs Z score'!F293</f>
        <v/>
      </c>
      <c r="G300" s="99">
        <f>'Runs Z score'!G293</f>
        <v/>
      </c>
      <c r="H300" s="100">
        <f>VLOOKUP(C300,Recipes!$A$2:$N$4,10,FALSE())</f>
        <v/>
      </c>
      <c r="I300" s="101">
        <f>VLOOKUP(C300,Recipes!$A$2:$N$4,12,FALSE())</f>
        <v/>
      </c>
      <c r="J300" s="100">
        <f>IF(G300="","",H300-G300)</f>
        <v/>
      </c>
      <c r="K300" s="100">
        <f>IF(G300="","",-0.5*((J300-Components!$D$2)/Components!$E$2)^2)</f>
        <v/>
      </c>
      <c r="L300" s="100">
        <f>IF(G300="","",-0.5*((J300-Components!$D$3)/Components!$E$3)^2)</f>
        <v/>
      </c>
      <c r="M300" s="100">
        <f>IF(G300="","",-0.5*((J300-Components!$D$4)/Components!$E$4)^2)</f>
        <v/>
      </c>
      <c r="N300" s="100">
        <f>IF(G300="","",-0.5*((J300-Components!$D$5)/Components!$E$5)^2)</f>
        <v/>
      </c>
      <c r="O300" s="100">
        <f>IF(G300="","",-0.5*((J300-Components!$D$6)/Components!$E$6)^2)</f>
        <v/>
      </c>
      <c r="P300" s="100">
        <f>IF(G300="","",-0.5*((J300-Components!$D$7)/Components!$E$7)^2)</f>
        <v/>
      </c>
      <c r="Q300" s="100">
        <f>IF(G300="","",EXP(LARGE(K300:P300,1)-MAX(K300:P300))/(EXP(K300-MAX(K300:P300))+EXP(L300-MAX(K300:P300))+EXP(M300-MAX(K300:P300))+EXP(N300-MAX(K300:P300))+EXP(O300-MAX(K300:P300))+EXP(P300-MAX(K300:P300))))</f>
        <v/>
      </c>
      <c r="R300" s="100">
        <f>IF(G300="","",EXP(LARGE(K300:P300,2)-MAX(K300:P300))/(EXP(K300-MAX(K300:P300))+EXP(L300-MAX(K300:P300))+EXP(M300-MAX(K300:P300))+EXP(N300-MAX(K300:P300))+EXP(O300-MAX(K300:P300))+EXP(P300-MAX(K300:P300))))</f>
        <v/>
      </c>
      <c r="S300" s="100">
        <f>IF(G300="","",Q300-R300)</f>
        <v/>
      </c>
      <c r="T300" s="98">
        <f>IF(G300="","",IF(AND(G300&gt;=H300-$B$6*I300,G300&lt;=H300+$B$6*I300),"OK","NG"))</f>
        <v/>
      </c>
      <c r="U300" s="69">
        <f>IF(T300="","",IF(T300=D300,1,0))</f>
        <v/>
      </c>
      <c r="V300" s="98">
        <f>IF(G300="","",IF(T300="OK","NONE",INDEX({"S1","S2","W1","W2","N1","N2"},MATCH(MAX(K300:P300),K300:P300,0))))</f>
        <v/>
      </c>
      <c r="W300" s="69">
        <f>IF(G300="","",IF(V300=E300,1,0))</f>
        <v/>
      </c>
      <c r="X300" s="115">
        <f>IF(G300="","",IF(AND(T300="NG",S300&lt;$B$7),"AMBIGUOUS","CONFIDENT"))</f>
        <v/>
      </c>
    </row>
    <row r="301">
      <c r="A301" s="102">
        <f>'Runs Z score'!A294</f>
        <v/>
      </c>
      <c r="B301" s="98">
        <f>'Runs Z score'!B294</f>
        <v/>
      </c>
      <c r="C301" s="98">
        <f>'Runs Z score'!C294</f>
        <v/>
      </c>
      <c r="D301" s="98">
        <f>'Runs Z score'!D294</f>
        <v/>
      </c>
      <c r="E301" s="98">
        <f>'Runs Z score'!E294</f>
        <v/>
      </c>
      <c r="F301" s="98">
        <f>'Runs Z score'!F294</f>
        <v/>
      </c>
      <c r="G301" s="99">
        <f>'Runs Z score'!G294</f>
        <v/>
      </c>
      <c r="H301" s="100">
        <f>VLOOKUP(C301,Recipes!$A$2:$N$4,10,FALSE())</f>
        <v/>
      </c>
      <c r="I301" s="101">
        <f>VLOOKUP(C301,Recipes!$A$2:$N$4,12,FALSE())</f>
        <v/>
      </c>
      <c r="J301" s="100">
        <f>IF(G301="","",H301-G301)</f>
        <v/>
      </c>
      <c r="K301" s="100">
        <f>IF(G301="","",-0.5*((J301-Components!$D$2)/Components!$E$2)^2)</f>
        <v/>
      </c>
      <c r="L301" s="100">
        <f>IF(G301="","",-0.5*((J301-Components!$D$3)/Components!$E$3)^2)</f>
        <v/>
      </c>
      <c r="M301" s="100">
        <f>IF(G301="","",-0.5*((J301-Components!$D$4)/Components!$E$4)^2)</f>
        <v/>
      </c>
      <c r="N301" s="100">
        <f>IF(G301="","",-0.5*((J301-Components!$D$5)/Components!$E$5)^2)</f>
        <v/>
      </c>
      <c r="O301" s="100">
        <f>IF(G301="","",-0.5*((J301-Components!$D$6)/Components!$E$6)^2)</f>
        <v/>
      </c>
      <c r="P301" s="100">
        <f>IF(G301="","",-0.5*((J301-Components!$D$7)/Components!$E$7)^2)</f>
        <v/>
      </c>
      <c r="Q301" s="100">
        <f>IF(G301="","",EXP(LARGE(K301:P301,1)-MAX(K301:P301))/(EXP(K301-MAX(K301:P301))+EXP(L301-MAX(K301:P301))+EXP(M301-MAX(K301:P301))+EXP(N301-MAX(K301:P301))+EXP(O301-MAX(K301:P301))+EXP(P301-MAX(K301:P301))))</f>
        <v/>
      </c>
      <c r="R301" s="100">
        <f>IF(G301="","",EXP(LARGE(K301:P301,2)-MAX(K301:P301))/(EXP(K301-MAX(K301:P301))+EXP(L301-MAX(K301:P301))+EXP(M301-MAX(K301:P301))+EXP(N301-MAX(K301:P301))+EXP(O301-MAX(K301:P301))+EXP(P301-MAX(K301:P301))))</f>
        <v/>
      </c>
      <c r="S301" s="100">
        <f>IF(G301="","",Q301-R301)</f>
        <v/>
      </c>
      <c r="T301" s="98">
        <f>IF(G301="","",IF(AND(G301&gt;=H301-$B$6*I301,G301&lt;=H301+$B$6*I301),"OK","NG"))</f>
        <v/>
      </c>
      <c r="U301" s="69">
        <f>IF(T301="","",IF(T301=D301,1,0))</f>
        <v/>
      </c>
      <c r="V301" s="98">
        <f>IF(G301="","",IF(T301="OK","NONE",INDEX({"S1","S2","W1","W2","N1","N2"},MATCH(MAX(K301:P301),K301:P301,0))))</f>
        <v/>
      </c>
      <c r="W301" s="69">
        <f>IF(G301="","",IF(V301=E301,1,0))</f>
        <v/>
      </c>
      <c r="X301" s="115">
        <f>IF(G301="","",IF(AND(T301="NG",S301&lt;$B$7),"AMBIGUOUS","CONFIDENT"))</f>
        <v/>
      </c>
    </row>
    <row r="302">
      <c r="A302" s="102">
        <f>'Runs Z score'!A295</f>
        <v/>
      </c>
      <c r="B302" s="98">
        <f>'Runs Z score'!B295</f>
        <v/>
      </c>
      <c r="C302" s="98">
        <f>'Runs Z score'!C295</f>
        <v/>
      </c>
      <c r="D302" s="98">
        <f>'Runs Z score'!D295</f>
        <v/>
      </c>
      <c r="E302" s="98">
        <f>'Runs Z score'!E295</f>
        <v/>
      </c>
      <c r="F302" s="98">
        <f>'Runs Z score'!F295</f>
        <v/>
      </c>
      <c r="G302" s="99">
        <f>'Runs Z score'!G295</f>
        <v/>
      </c>
      <c r="H302" s="100">
        <f>VLOOKUP(C302,Recipes!$A$2:$N$4,10,FALSE())</f>
        <v/>
      </c>
      <c r="I302" s="101">
        <f>VLOOKUP(C302,Recipes!$A$2:$N$4,12,FALSE())</f>
        <v/>
      </c>
      <c r="J302" s="100">
        <f>IF(G302="","",H302-G302)</f>
        <v/>
      </c>
      <c r="K302" s="100">
        <f>IF(G302="","",-0.5*((J302-Components!$D$2)/Components!$E$2)^2)</f>
        <v/>
      </c>
      <c r="L302" s="100">
        <f>IF(G302="","",-0.5*((J302-Components!$D$3)/Components!$E$3)^2)</f>
        <v/>
      </c>
      <c r="M302" s="100">
        <f>IF(G302="","",-0.5*((J302-Components!$D$4)/Components!$E$4)^2)</f>
        <v/>
      </c>
      <c r="N302" s="100">
        <f>IF(G302="","",-0.5*((J302-Components!$D$5)/Components!$E$5)^2)</f>
        <v/>
      </c>
      <c r="O302" s="100">
        <f>IF(G302="","",-0.5*((J302-Components!$D$6)/Components!$E$6)^2)</f>
        <v/>
      </c>
      <c r="P302" s="100">
        <f>IF(G302="","",-0.5*((J302-Components!$D$7)/Components!$E$7)^2)</f>
        <v/>
      </c>
      <c r="Q302" s="100">
        <f>IF(G302="","",EXP(LARGE(K302:P302,1)-MAX(K302:P302))/(EXP(K302-MAX(K302:P302))+EXP(L302-MAX(K302:P302))+EXP(M302-MAX(K302:P302))+EXP(N302-MAX(K302:P302))+EXP(O302-MAX(K302:P302))+EXP(P302-MAX(K302:P302))))</f>
        <v/>
      </c>
      <c r="R302" s="100">
        <f>IF(G302="","",EXP(LARGE(K302:P302,2)-MAX(K302:P302))/(EXP(K302-MAX(K302:P302))+EXP(L302-MAX(K302:P302))+EXP(M302-MAX(K302:P302))+EXP(N302-MAX(K302:P302))+EXP(O302-MAX(K302:P302))+EXP(P302-MAX(K302:P302))))</f>
        <v/>
      </c>
      <c r="S302" s="100">
        <f>IF(G302="","",Q302-R302)</f>
        <v/>
      </c>
      <c r="T302" s="98">
        <f>IF(G302="","",IF(AND(G302&gt;=H302-$B$6*I302,G302&lt;=H302+$B$6*I302),"OK","NG"))</f>
        <v/>
      </c>
      <c r="U302" s="69">
        <f>IF(T302="","",IF(T302=D302,1,0))</f>
        <v/>
      </c>
      <c r="V302" s="98">
        <f>IF(G302="","",IF(T302="OK","NONE",INDEX({"S1","S2","W1","W2","N1","N2"},MATCH(MAX(K302:P302),K302:P302,0))))</f>
        <v/>
      </c>
      <c r="W302" s="69">
        <f>IF(G302="","",IF(V302=E302,1,0))</f>
        <v/>
      </c>
      <c r="X302" s="115">
        <f>IF(G302="","",IF(AND(T302="NG",S302&lt;$B$7),"AMBIGUOUS","CONFIDENT"))</f>
        <v/>
      </c>
    </row>
    <row r="303">
      <c r="A303" s="102">
        <f>'Runs Z score'!A296</f>
        <v/>
      </c>
      <c r="B303" s="98">
        <f>'Runs Z score'!B296</f>
        <v/>
      </c>
      <c r="C303" s="98">
        <f>'Runs Z score'!C296</f>
        <v/>
      </c>
      <c r="D303" s="98">
        <f>'Runs Z score'!D296</f>
        <v/>
      </c>
      <c r="E303" s="98">
        <f>'Runs Z score'!E296</f>
        <v/>
      </c>
      <c r="F303" s="98">
        <f>'Runs Z score'!F296</f>
        <v/>
      </c>
      <c r="G303" s="99">
        <f>'Runs Z score'!G296</f>
        <v/>
      </c>
      <c r="H303" s="100">
        <f>VLOOKUP(C303,Recipes!$A$2:$N$4,10,FALSE())</f>
        <v/>
      </c>
      <c r="I303" s="101">
        <f>VLOOKUP(C303,Recipes!$A$2:$N$4,12,FALSE())</f>
        <v/>
      </c>
      <c r="J303" s="100">
        <f>IF(G303="","",H303-G303)</f>
        <v/>
      </c>
      <c r="K303" s="100">
        <f>IF(G303="","",-0.5*((J303-Components!$D$2)/Components!$E$2)^2)</f>
        <v/>
      </c>
      <c r="L303" s="100">
        <f>IF(G303="","",-0.5*((J303-Components!$D$3)/Components!$E$3)^2)</f>
        <v/>
      </c>
      <c r="M303" s="100">
        <f>IF(G303="","",-0.5*((J303-Components!$D$4)/Components!$E$4)^2)</f>
        <v/>
      </c>
      <c r="N303" s="100">
        <f>IF(G303="","",-0.5*((J303-Components!$D$5)/Components!$E$5)^2)</f>
        <v/>
      </c>
      <c r="O303" s="100">
        <f>IF(G303="","",-0.5*((J303-Components!$D$6)/Components!$E$6)^2)</f>
        <v/>
      </c>
      <c r="P303" s="100">
        <f>IF(G303="","",-0.5*((J303-Components!$D$7)/Components!$E$7)^2)</f>
        <v/>
      </c>
      <c r="Q303" s="100">
        <f>IF(G303="","",EXP(LARGE(K303:P303,1)-MAX(K303:P303))/(EXP(K303-MAX(K303:P303))+EXP(L303-MAX(K303:P303))+EXP(M303-MAX(K303:P303))+EXP(N303-MAX(K303:P303))+EXP(O303-MAX(K303:P303))+EXP(P303-MAX(K303:P303))))</f>
        <v/>
      </c>
      <c r="R303" s="100">
        <f>IF(G303="","",EXP(LARGE(K303:P303,2)-MAX(K303:P303))/(EXP(K303-MAX(K303:P303))+EXP(L303-MAX(K303:P303))+EXP(M303-MAX(K303:P303))+EXP(N303-MAX(K303:P303))+EXP(O303-MAX(K303:P303))+EXP(P303-MAX(K303:P303))))</f>
        <v/>
      </c>
      <c r="S303" s="100">
        <f>IF(G303="","",Q303-R303)</f>
        <v/>
      </c>
      <c r="T303" s="98">
        <f>IF(G303="","",IF(AND(G303&gt;=H303-$B$6*I303,G303&lt;=H303+$B$6*I303),"OK","NG"))</f>
        <v/>
      </c>
      <c r="U303" s="69">
        <f>IF(T303="","",IF(T303=D303,1,0))</f>
        <v/>
      </c>
      <c r="V303" s="98">
        <f>IF(G303="","",IF(T303="OK","NONE",INDEX({"S1","S2","W1","W2","N1","N2"},MATCH(MAX(K303:P303),K303:P303,0))))</f>
        <v/>
      </c>
      <c r="W303" s="69">
        <f>IF(G303="","",IF(V303=E303,1,0))</f>
        <v/>
      </c>
      <c r="X303" s="115">
        <f>IF(G303="","",IF(AND(T303="NG",S303&lt;$B$7),"AMBIGUOUS","CONFIDENT"))</f>
        <v/>
      </c>
    </row>
    <row r="304">
      <c r="A304" s="102">
        <f>'Runs Z score'!A297</f>
        <v/>
      </c>
      <c r="B304" s="98">
        <f>'Runs Z score'!B297</f>
        <v/>
      </c>
      <c r="C304" s="98">
        <f>'Runs Z score'!C297</f>
        <v/>
      </c>
      <c r="D304" s="98">
        <f>'Runs Z score'!D297</f>
        <v/>
      </c>
      <c r="E304" s="98">
        <f>'Runs Z score'!E297</f>
        <v/>
      </c>
      <c r="F304" s="98">
        <f>'Runs Z score'!F297</f>
        <v/>
      </c>
      <c r="G304" s="99">
        <f>'Runs Z score'!G297</f>
        <v/>
      </c>
      <c r="H304" s="100">
        <f>VLOOKUP(C304,Recipes!$A$2:$N$4,10,FALSE())</f>
        <v/>
      </c>
      <c r="I304" s="101">
        <f>VLOOKUP(C304,Recipes!$A$2:$N$4,12,FALSE())</f>
        <v/>
      </c>
      <c r="J304" s="100">
        <f>IF(G304="","",H304-G304)</f>
        <v/>
      </c>
      <c r="K304" s="100">
        <f>IF(G304="","",-0.5*((J304-Components!$D$2)/Components!$E$2)^2)</f>
        <v/>
      </c>
      <c r="L304" s="100">
        <f>IF(G304="","",-0.5*((J304-Components!$D$3)/Components!$E$3)^2)</f>
        <v/>
      </c>
      <c r="M304" s="100">
        <f>IF(G304="","",-0.5*((J304-Components!$D$4)/Components!$E$4)^2)</f>
        <v/>
      </c>
      <c r="N304" s="100">
        <f>IF(G304="","",-0.5*((J304-Components!$D$5)/Components!$E$5)^2)</f>
        <v/>
      </c>
      <c r="O304" s="100">
        <f>IF(G304="","",-0.5*((J304-Components!$D$6)/Components!$E$6)^2)</f>
        <v/>
      </c>
      <c r="P304" s="100">
        <f>IF(G304="","",-0.5*((J304-Components!$D$7)/Components!$E$7)^2)</f>
        <v/>
      </c>
      <c r="Q304" s="100">
        <f>IF(G304="","",EXP(LARGE(K304:P304,1)-MAX(K304:P304))/(EXP(K304-MAX(K304:P304))+EXP(L304-MAX(K304:P304))+EXP(M304-MAX(K304:P304))+EXP(N304-MAX(K304:P304))+EXP(O304-MAX(K304:P304))+EXP(P304-MAX(K304:P304))))</f>
        <v/>
      </c>
      <c r="R304" s="100">
        <f>IF(G304="","",EXP(LARGE(K304:P304,2)-MAX(K304:P304))/(EXP(K304-MAX(K304:P304))+EXP(L304-MAX(K304:P304))+EXP(M304-MAX(K304:P304))+EXP(N304-MAX(K304:P304))+EXP(O304-MAX(K304:P304))+EXP(P304-MAX(K304:P304))))</f>
        <v/>
      </c>
      <c r="S304" s="100">
        <f>IF(G304="","",Q304-R304)</f>
        <v/>
      </c>
      <c r="T304" s="98">
        <f>IF(G304="","",IF(AND(G304&gt;=H304-$B$6*I304,G304&lt;=H304+$B$6*I304),"OK","NG"))</f>
        <v/>
      </c>
      <c r="U304" s="69">
        <f>IF(T304="","",IF(T304=D304,1,0))</f>
        <v/>
      </c>
      <c r="V304" s="98">
        <f>IF(G304="","",IF(T304="OK","NONE",INDEX({"S1","S2","W1","W2","N1","N2"},MATCH(MAX(K304:P304),K304:P304,0))))</f>
        <v/>
      </c>
      <c r="W304" s="69">
        <f>IF(G304="","",IF(V304=E304,1,0))</f>
        <v/>
      </c>
      <c r="X304" s="115">
        <f>IF(G304="","",IF(AND(T304="NG",S304&lt;$B$7),"AMBIGUOUS","CONFIDENT"))</f>
        <v/>
      </c>
    </row>
    <row r="305">
      <c r="A305" s="102">
        <f>'Runs Z score'!A298</f>
        <v/>
      </c>
      <c r="B305" s="98">
        <f>'Runs Z score'!B298</f>
        <v/>
      </c>
      <c r="C305" s="98">
        <f>'Runs Z score'!C298</f>
        <v/>
      </c>
      <c r="D305" s="98">
        <f>'Runs Z score'!D298</f>
        <v/>
      </c>
      <c r="E305" s="98">
        <f>'Runs Z score'!E298</f>
        <v/>
      </c>
      <c r="F305" s="98">
        <f>'Runs Z score'!F298</f>
        <v/>
      </c>
      <c r="G305" s="99">
        <f>'Runs Z score'!G298</f>
        <v/>
      </c>
      <c r="H305" s="100">
        <f>VLOOKUP(C305,Recipes!$A$2:$N$4,10,FALSE())</f>
        <v/>
      </c>
      <c r="I305" s="101">
        <f>VLOOKUP(C305,Recipes!$A$2:$N$4,12,FALSE())</f>
        <v/>
      </c>
      <c r="J305" s="100">
        <f>IF(G305="","",H305-G305)</f>
        <v/>
      </c>
      <c r="K305" s="100">
        <f>IF(G305="","",-0.5*((J305-Components!$D$2)/Components!$E$2)^2)</f>
        <v/>
      </c>
      <c r="L305" s="100">
        <f>IF(G305="","",-0.5*((J305-Components!$D$3)/Components!$E$3)^2)</f>
        <v/>
      </c>
      <c r="M305" s="100">
        <f>IF(G305="","",-0.5*((J305-Components!$D$4)/Components!$E$4)^2)</f>
        <v/>
      </c>
      <c r="N305" s="100">
        <f>IF(G305="","",-0.5*((J305-Components!$D$5)/Components!$E$5)^2)</f>
        <v/>
      </c>
      <c r="O305" s="100">
        <f>IF(G305="","",-0.5*((J305-Components!$D$6)/Components!$E$6)^2)</f>
        <v/>
      </c>
      <c r="P305" s="100">
        <f>IF(G305="","",-0.5*((J305-Components!$D$7)/Components!$E$7)^2)</f>
        <v/>
      </c>
      <c r="Q305" s="100">
        <f>IF(G305="","",EXP(LARGE(K305:P305,1)-MAX(K305:P305))/(EXP(K305-MAX(K305:P305))+EXP(L305-MAX(K305:P305))+EXP(M305-MAX(K305:P305))+EXP(N305-MAX(K305:P305))+EXP(O305-MAX(K305:P305))+EXP(P305-MAX(K305:P305))))</f>
        <v/>
      </c>
      <c r="R305" s="100">
        <f>IF(G305="","",EXP(LARGE(K305:P305,2)-MAX(K305:P305))/(EXP(K305-MAX(K305:P305))+EXP(L305-MAX(K305:P305))+EXP(M305-MAX(K305:P305))+EXP(N305-MAX(K305:P305))+EXP(O305-MAX(K305:P305))+EXP(P305-MAX(K305:P305))))</f>
        <v/>
      </c>
      <c r="S305" s="100">
        <f>IF(G305="","",Q305-R305)</f>
        <v/>
      </c>
      <c r="T305" s="98">
        <f>IF(G305="","",IF(AND(G305&gt;=H305-$B$6*I305,G305&lt;=H305+$B$6*I305),"OK","NG"))</f>
        <v/>
      </c>
      <c r="U305" s="69">
        <f>IF(T305="","",IF(T305=D305,1,0))</f>
        <v/>
      </c>
      <c r="V305" s="98">
        <f>IF(G305="","",IF(T305="OK","NONE",INDEX({"S1","S2","W1","W2","N1","N2"},MATCH(MAX(K305:P305),K305:P305,0))))</f>
        <v/>
      </c>
      <c r="W305" s="69">
        <f>IF(G305="","",IF(V305=E305,1,0))</f>
        <v/>
      </c>
      <c r="X305" s="115">
        <f>IF(G305="","",IF(AND(T305="NG",S305&lt;$B$7),"AMBIGUOUS","CONFIDENT"))</f>
        <v/>
      </c>
    </row>
    <row r="306">
      <c r="A306" s="102">
        <f>'Runs Z score'!A299</f>
        <v/>
      </c>
      <c r="B306" s="98">
        <f>'Runs Z score'!B299</f>
        <v/>
      </c>
      <c r="C306" s="98">
        <f>'Runs Z score'!C299</f>
        <v/>
      </c>
      <c r="D306" s="98">
        <f>'Runs Z score'!D299</f>
        <v/>
      </c>
      <c r="E306" s="98">
        <f>'Runs Z score'!E299</f>
        <v/>
      </c>
      <c r="F306" s="98">
        <f>'Runs Z score'!F299</f>
        <v/>
      </c>
      <c r="G306" s="99">
        <f>'Runs Z score'!G299</f>
        <v/>
      </c>
      <c r="H306" s="100">
        <f>VLOOKUP(C306,Recipes!$A$2:$N$4,10,FALSE())</f>
        <v/>
      </c>
      <c r="I306" s="101">
        <f>VLOOKUP(C306,Recipes!$A$2:$N$4,12,FALSE())</f>
        <v/>
      </c>
      <c r="J306" s="100">
        <f>IF(G306="","",H306-G306)</f>
        <v/>
      </c>
      <c r="K306" s="100">
        <f>IF(G306="","",-0.5*((J306-Components!$D$2)/Components!$E$2)^2)</f>
        <v/>
      </c>
      <c r="L306" s="100">
        <f>IF(G306="","",-0.5*((J306-Components!$D$3)/Components!$E$3)^2)</f>
        <v/>
      </c>
      <c r="M306" s="100">
        <f>IF(G306="","",-0.5*((J306-Components!$D$4)/Components!$E$4)^2)</f>
        <v/>
      </c>
      <c r="N306" s="100">
        <f>IF(G306="","",-0.5*((J306-Components!$D$5)/Components!$E$5)^2)</f>
        <v/>
      </c>
      <c r="O306" s="100">
        <f>IF(G306="","",-0.5*((J306-Components!$D$6)/Components!$E$6)^2)</f>
        <v/>
      </c>
      <c r="P306" s="100">
        <f>IF(G306="","",-0.5*((J306-Components!$D$7)/Components!$E$7)^2)</f>
        <v/>
      </c>
      <c r="Q306" s="100">
        <f>IF(G306="","",EXP(LARGE(K306:P306,1)-MAX(K306:P306))/(EXP(K306-MAX(K306:P306))+EXP(L306-MAX(K306:P306))+EXP(M306-MAX(K306:P306))+EXP(N306-MAX(K306:P306))+EXP(O306-MAX(K306:P306))+EXP(P306-MAX(K306:P306))))</f>
        <v/>
      </c>
      <c r="R306" s="100">
        <f>IF(G306="","",EXP(LARGE(K306:P306,2)-MAX(K306:P306))/(EXP(K306-MAX(K306:P306))+EXP(L306-MAX(K306:P306))+EXP(M306-MAX(K306:P306))+EXP(N306-MAX(K306:P306))+EXP(O306-MAX(K306:P306))+EXP(P306-MAX(K306:P306))))</f>
        <v/>
      </c>
      <c r="S306" s="100">
        <f>IF(G306="","",Q306-R306)</f>
        <v/>
      </c>
      <c r="T306" s="98">
        <f>IF(G306="","",IF(AND(G306&gt;=H306-$B$6*I306,G306&lt;=H306+$B$6*I306),"OK","NG"))</f>
        <v/>
      </c>
      <c r="U306" s="69">
        <f>IF(T306="","",IF(T306=D306,1,0))</f>
        <v/>
      </c>
      <c r="V306" s="98">
        <f>IF(G306="","",IF(T306="OK","NONE",INDEX({"S1","S2","W1","W2","N1","N2"},MATCH(MAX(K306:P306),K306:P306,0))))</f>
        <v/>
      </c>
      <c r="W306" s="69">
        <f>IF(G306="","",IF(V306=E306,1,0))</f>
        <v/>
      </c>
      <c r="X306" s="115">
        <f>IF(G306="","",IF(AND(T306="NG",S306&lt;$B$7),"AMBIGUOUS","CONFIDENT"))</f>
        <v/>
      </c>
    </row>
    <row r="307">
      <c r="A307" s="102">
        <f>'Runs Z score'!A300</f>
        <v/>
      </c>
      <c r="B307" s="98">
        <f>'Runs Z score'!B300</f>
        <v/>
      </c>
      <c r="C307" s="98">
        <f>'Runs Z score'!C300</f>
        <v/>
      </c>
      <c r="D307" s="98">
        <f>'Runs Z score'!D300</f>
        <v/>
      </c>
      <c r="E307" s="98">
        <f>'Runs Z score'!E300</f>
        <v/>
      </c>
      <c r="F307" s="98">
        <f>'Runs Z score'!F300</f>
        <v/>
      </c>
      <c r="G307" s="99">
        <f>'Runs Z score'!G300</f>
        <v/>
      </c>
      <c r="H307" s="100">
        <f>VLOOKUP(C307,Recipes!$A$2:$N$4,10,FALSE())</f>
        <v/>
      </c>
      <c r="I307" s="101">
        <f>VLOOKUP(C307,Recipes!$A$2:$N$4,12,FALSE())</f>
        <v/>
      </c>
      <c r="J307" s="100">
        <f>IF(G307="","",H307-G307)</f>
        <v/>
      </c>
      <c r="K307" s="100">
        <f>IF(G307="","",-0.5*((J307-Components!$D$2)/Components!$E$2)^2)</f>
        <v/>
      </c>
      <c r="L307" s="100">
        <f>IF(G307="","",-0.5*((J307-Components!$D$3)/Components!$E$3)^2)</f>
        <v/>
      </c>
      <c r="M307" s="100">
        <f>IF(G307="","",-0.5*((J307-Components!$D$4)/Components!$E$4)^2)</f>
        <v/>
      </c>
      <c r="N307" s="100">
        <f>IF(G307="","",-0.5*((J307-Components!$D$5)/Components!$E$5)^2)</f>
        <v/>
      </c>
      <c r="O307" s="100">
        <f>IF(G307="","",-0.5*((J307-Components!$D$6)/Components!$E$6)^2)</f>
        <v/>
      </c>
      <c r="P307" s="100">
        <f>IF(G307="","",-0.5*((J307-Components!$D$7)/Components!$E$7)^2)</f>
        <v/>
      </c>
      <c r="Q307" s="100">
        <f>IF(G307="","",EXP(LARGE(K307:P307,1)-MAX(K307:P307))/(EXP(K307-MAX(K307:P307))+EXP(L307-MAX(K307:P307))+EXP(M307-MAX(K307:P307))+EXP(N307-MAX(K307:P307))+EXP(O307-MAX(K307:P307))+EXP(P307-MAX(K307:P307))))</f>
        <v/>
      </c>
      <c r="R307" s="100">
        <f>IF(G307="","",EXP(LARGE(K307:P307,2)-MAX(K307:P307))/(EXP(K307-MAX(K307:P307))+EXP(L307-MAX(K307:P307))+EXP(M307-MAX(K307:P307))+EXP(N307-MAX(K307:P307))+EXP(O307-MAX(K307:P307))+EXP(P307-MAX(K307:P307))))</f>
        <v/>
      </c>
      <c r="S307" s="100">
        <f>IF(G307="","",Q307-R307)</f>
        <v/>
      </c>
      <c r="T307" s="98">
        <f>IF(G307="","",IF(AND(G307&gt;=H307-$B$6*I307,G307&lt;=H307+$B$6*I307),"OK","NG"))</f>
        <v/>
      </c>
      <c r="U307" s="69">
        <f>IF(T307="","",IF(T307=D307,1,0))</f>
        <v/>
      </c>
      <c r="V307" s="98">
        <f>IF(G307="","",IF(T307="OK","NONE",INDEX({"S1","S2","W1","W2","N1","N2"},MATCH(MAX(K307:P307),K307:P307,0))))</f>
        <v/>
      </c>
      <c r="W307" s="69">
        <f>IF(G307="","",IF(V307=E307,1,0))</f>
        <v/>
      </c>
      <c r="X307" s="115">
        <f>IF(G307="","",IF(AND(T307="NG",S307&lt;$B$7),"AMBIGUOUS","CONFIDENT"))</f>
        <v/>
      </c>
    </row>
    <row r="308">
      <c r="A308" s="102">
        <f>'Runs Z score'!A301</f>
        <v/>
      </c>
      <c r="B308" s="98">
        <f>'Runs Z score'!B301</f>
        <v/>
      </c>
      <c r="C308" s="98">
        <f>'Runs Z score'!C301</f>
        <v/>
      </c>
      <c r="D308" s="98">
        <f>'Runs Z score'!D301</f>
        <v/>
      </c>
      <c r="E308" s="98">
        <f>'Runs Z score'!E301</f>
        <v/>
      </c>
      <c r="F308" s="98">
        <f>'Runs Z score'!F301</f>
        <v/>
      </c>
      <c r="G308" s="99">
        <f>'Runs Z score'!G301</f>
        <v/>
      </c>
      <c r="H308" s="100">
        <f>VLOOKUP(C308,Recipes!$A$2:$N$4,10,FALSE())</f>
        <v/>
      </c>
      <c r="I308" s="101">
        <f>VLOOKUP(C308,Recipes!$A$2:$N$4,12,FALSE())</f>
        <v/>
      </c>
      <c r="J308" s="100">
        <f>IF(G308="","",H308-G308)</f>
        <v/>
      </c>
      <c r="K308" s="100">
        <f>IF(G308="","",-0.5*((J308-Components!$D$2)/Components!$E$2)^2)</f>
        <v/>
      </c>
      <c r="L308" s="100">
        <f>IF(G308="","",-0.5*((J308-Components!$D$3)/Components!$E$3)^2)</f>
        <v/>
      </c>
      <c r="M308" s="100">
        <f>IF(G308="","",-0.5*((J308-Components!$D$4)/Components!$E$4)^2)</f>
        <v/>
      </c>
      <c r="N308" s="100">
        <f>IF(G308="","",-0.5*((J308-Components!$D$5)/Components!$E$5)^2)</f>
        <v/>
      </c>
      <c r="O308" s="100">
        <f>IF(G308="","",-0.5*((J308-Components!$D$6)/Components!$E$6)^2)</f>
        <v/>
      </c>
      <c r="P308" s="100">
        <f>IF(G308="","",-0.5*((J308-Components!$D$7)/Components!$E$7)^2)</f>
        <v/>
      </c>
      <c r="Q308" s="100">
        <f>IF(G308="","",EXP(LARGE(K308:P308,1)-MAX(K308:P308))/(EXP(K308-MAX(K308:P308))+EXP(L308-MAX(K308:P308))+EXP(M308-MAX(K308:P308))+EXP(N308-MAX(K308:P308))+EXP(O308-MAX(K308:P308))+EXP(P308-MAX(K308:P308))))</f>
        <v/>
      </c>
      <c r="R308" s="100">
        <f>IF(G308="","",EXP(LARGE(K308:P308,2)-MAX(K308:P308))/(EXP(K308-MAX(K308:P308))+EXP(L308-MAX(K308:P308))+EXP(M308-MAX(K308:P308))+EXP(N308-MAX(K308:P308))+EXP(O308-MAX(K308:P308))+EXP(P308-MAX(K308:P308))))</f>
        <v/>
      </c>
      <c r="S308" s="100">
        <f>IF(G308="","",Q308-R308)</f>
        <v/>
      </c>
      <c r="T308" s="98">
        <f>IF(G308="","",IF(AND(G308&gt;=H308-$B$6*I308,G308&lt;=H308+$B$6*I308),"OK","NG"))</f>
        <v/>
      </c>
      <c r="U308" s="69">
        <f>IF(T308="","",IF(T308=D308,1,0))</f>
        <v/>
      </c>
      <c r="V308" s="98">
        <f>IF(G308="","",IF(T308="OK","NONE",INDEX({"S1","S2","W1","W2","N1","N2"},MATCH(MAX(K308:P308),K308:P308,0))))</f>
        <v/>
      </c>
      <c r="W308" s="69">
        <f>IF(G308="","",IF(V308=E308,1,0))</f>
        <v/>
      </c>
      <c r="X308" s="115">
        <f>IF(G308="","",IF(AND(T308="NG",S308&lt;$B$7),"AMBIGUOUS","CONFIDENT"))</f>
        <v/>
      </c>
    </row>
    <row r="309">
      <c r="A309" s="102">
        <f>'Runs Z score'!A302</f>
        <v/>
      </c>
      <c r="B309" s="98">
        <f>'Runs Z score'!B302</f>
        <v/>
      </c>
      <c r="C309" s="98">
        <f>'Runs Z score'!C302</f>
        <v/>
      </c>
      <c r="D309" s="98">
        <f>'Runs Z score'!D302</f>
        <v/>
      </c>
      <c r="E309" s="98">
        <f>'Runs Z score'!E302</f>
        <v/>
      </c>
      <c r="F309" s="98">
        <f>'Runs Z score'!F302</f>
        <v/>
      </c>
      <c r="G309" s="99">
        <f>'Runs Z score'!G302</f>
        <v/>
      </c>
      <c r="H309" s="100">
        <f>VLOOKUP(C309,Recipes!$A$2:$N$4,10,FALSE())</f>
        <v/>
      </c>
      <c r="I309" s="101">
        <f>VLOOKUP(C309,Recipes!$A$2:$N$4,12,FALSE())</f>
        <v/>
      </c>
      <c r="J309" s="100">
        <f>IF(G309="","",H309-G309)</f>
        <v/>
      </c>
      <c r="K309" s="100">
        <f>IF(G309="","",-0.5*((J309-Components!$D$2)/Components!$E$2)^2)</f>
        <v/>
      </c>
      <c r="L309" s="100">
        <f>IF(G309="","",-0.5*((J309-Components!$D$3)/Components!$E$3)^2)</f>
        <v/>
      </c>
      <c r="M309" s="100">
        <f>IF(G309="","",-0.5*((J309-Components!$D$4)/Components!$E$4)^2)</f>
        <v/>
      </c>
      <c r="N309" s="100">
        <f>IF(G309="","",-0.5*((J309-Components!$D$5)/Components!$E$5)^2)</f>
        <v/>
      </c>
      <c r="O309" s="100">
        <f>IF(G309="","",-0.5*((J309-Components!$D$6)/Components!$E$6)^2)</f>
        <v/>
      </c>
      <c r="P309" s="100">
        <f>IF(G309="","",-0.5*((J309-Components!$D$7)/Components!$E$7)^2)</f>
        <v/>
      </c>
      <c r="Q309" s="100">
        <f>IF(G309="","",EXP(LARGE(K309:P309,1)-MAX(K309:P309))/(EXP(K309-MAX(K309:P309))+EXP(L309-MAX(K309:P309))+EXP(M309-MAX(K309:P309))+EXP(N309-MAX(K309:P309))+EXP(O309-MAX(K309:P309))+EXP(P309-MAX(K309:P309))))</f>
        <v/>
      </c>
      <c r="R309" s="100">
        <f>IF(G309="","",EXP(LARGE(K309:P309,2)-MAX(K309:P309))/(EXP(K309-MAX(K309:P309))+EXP(L309-MAX(K309:P309))+EXP(M309-MAX(K309:P309))+EXP(N309-MAX(K309:P309))+EXP(O309-MAX(K309:P309))+EXP(P309-MAX(K309:P309))))</f>
        <v/>
      </c>
      <c r="S309" s="100">
        <f>IF(G309="","",Q309-R309)</f>
        <v/>
      </c>
      <c r="T309" s="98">
        <f>IF(G309="","",IF(AND(G309&gt;=H309-$B$6*I309,G309&lt;=H309+$B$6*I309),"OK","NG"))</f>
        <v/>
      </c>
      <c r="U309" s="69">
        <f>IF(T309="","",IF(T309=D309,1,0))</f>
        <v/>
      </c>
      <c r="V309" s="98">
        <f>IF(G309="","",IF(T309="OK","NONE",INDEX({"S1","S2","W1","W2","N1","N2"},MATCH(MAX(K309:P309),K309:P309,0))))</f>
        <v/>
      </c>
      <c r="W309" s="69">
        <f>IF(G309="","",IF(V309=E309,1,0))</f>
        <v/>
      </c>
      <c r="X309" s="115">
        <f>IF(G309="","",IF(AND(T309="NG",S309&lt;$B$7),"AMBIGUOUS","CONFIDENT"))</f>
        <v/>
      </c>
    </row>
    <row r="310">
      <c r="A310" s="102">
        <f>'Runs Z score'!A303</f>
        <v/>
      </c>
      <c r="B310" s="98">
        <f>'Runs Z score'!B303</f>
        <v/>
      </c>
      <c r="C310" s="98">
        <f>'Runs Z score'!C303</f>
        <v/>
      </c>
      <c r="D310" s="98">
        <f>'Runs Z score'!D303</f>
        <v/>
      </c>
      <c r="E310" s="98">
        <f>'Runs Z score'!E303</f>
        <v/>
      </c>
      <c r="F310" s="98">
        <f>'Runs Z score'!F303</f>
        <v/>
      </c>
      <c r="G310" s="99">
        <f>'Runs Z score'!G303</f>
        <v/>
      </c>
      <c r="H310" s="100">
        <f>VLOOKUP(C310,Recipes!$A$2:$N$4,10,FALSE())</f>
        <v/>
      </c>
      <c r="I310" s="101">
        <f>VLOOKUP(C310,Recipes!$A$2:$N$4,12,FALSE())</f>
        <v/>
      </c>
      <c r="J310" s="100">
        <f>IF(G310="","",H310-G310)</f>
        <v/>
      </c>
      <c r="K310" s="100">
        <f>IF(G310="","",-0.5*((J310-Components!$D$2)/Components!$E$2)^2)</f>
        <v/>
      </c>
      <c r="L310" s="100">
        <f>IF(G310="","",-0.5*((J310-Components!$D$3)/Components!$E$3)^2)</f>
        <v/>
      </c>
      <c r="M310" s="100">
        <f>IF(G310="","",-0.5*((J310-Components!$D$4)/Components!$E$4)^2)</f>
        <v/>
      </c>
      <c r="N310" s="100">
        <f>IF(G310="","",-0.5*((J310-Components!$D$5)/Components!$E$5)^2)</f>
        <v/>
      </c>
      <c r="O310" s="100">
        <f>IF(G310="","",-0.5*((J310-Components!$D$6)/Components!$E$6)^2)</f>
        <v/>
      </c>
      <c r="P310" s="100">
        <f>IF(G310="","",-0.5*((J310-Components!$D$7)/Components!$E$7)^2)</f>
        <v/>
      </c>
      <c r="Q310" s="100">
        <f>IF(G310="","",EXP(LARGE(K310:P310,1)-MAX(K310:P310))/(EXP(K310-MAX(K310:P310))+EXP(L310-MAX(K310:P310))+EXP(M310-MAX(K310:P310))+EXP(N310-MAX(K310:P310))+EXP(O310-MAX(K310:P310))+EXP(P310-MAX(K310:P310))))</f>
        <v/>
      </c>
      <c r="R310" s="100">
        <f>IF(G310="","",EXP(LARGE(K310:P310,2)-MAX(K310:P310))/(EXP(K310-MAX(K310:P310))+EXP(L310-MAX(K310:P310))+EXP(M310-MAX(K310:P310))+EXP(N310-MAX(K310:P310))+EXP(O310-MAX(K310:P310))+EXP(P310-MAX(K310:P310))))</f>
        <v/>
      </c>
      <c r="S310" s="100">
        <f>IF(G310="","",Q310-R310)</f>
        <v/>
      </c>
      <c r="T310" s="98">
        <f>IF(G310="","",IF(AND(G310&gt;=H310-$B$6*I310,G310&lt;=H310+$B$6*I310),"OK","NG"))</f>
        <v/>
      </c>
      <c r="U310" s="69">
        <f>IF(T310="","",IF(T310=D310,1,0))</f>
        <v/>
      </c>
      <c r="V310" s="98">
        <f>IF(G310="","",IF(T310="OK","NONE",INDEX({"S1","S2","W1","W2","N1","N2"},MATCH(MAX(K310:P310),K310:P310,0))))</f>
        <v/>
      </c>
      <c r="W310" s="69">
        <f>IF(G310="","",IF(V310=E310,1,0))</f>
        <v/>
      </c>
      <c r="X310" s="115">
        <f>IF(G310="","",IF(AND(T310="NG",S310&lt;$B$7),"AMBIGUOUS","CONFIDENT"))</f>
        <v/>
      </c>
    </row>
    <row r="311">
      <c r="A311" s="102">
        <f>'Runs Z score'!A304</f>
        <v/>
      </c>
      <c r="B311" s="98">
        <f>'Runs Z score'!B304</f>
        <v/>
      </c>
      <c r="C311" s="98">
        <f>'Runs Z score'!C304</f>
        <v/>
      </c>
      <c r="D311" s="98">
        <f>'Runs Z score'!D304</f>
        <v/>
      </c>
      <c r="E311" s="98">
        <f>'Runs Z score'!E304</f>
        <v/>
      </c>
      <c r="F311" s="98">
        <f>'Runs Z score'!F304</f>
        <v/>
      </c>
      <c r="G311" s="99">
        <f>'Runs Z score'!G304</f>
        <v/>
      </c>
      <c r="H311" s="100">
        <f>VLOOKUP(C311,Recipes!$A$2:$N$4,10,FALSE())</f>
        <v/>
      </c>
      <c r="I311" s="101">
        <f>VLOOKUP(C311,Recipes!$A$2:$N$4,12,FALSE())</f>
        <v/>
      </c>
      <c r="J311" s="100">
        <f>IF(G311="","",H311-G311)</f>
        <v/>
      </c>
      <c r="K311" s="100">
        <f>IF(G311="","",-0.5*((J311-Components!$D$2)/Components!$E$2)^2)</f>
        <v/>
      </c>
      <c r="L311" s="100">
        <f>IF(G311="","",-0.5*((J311-Components!$D$3)/Components!$E$3)^2)</f>
        <v/>
      </c>
      <c r="M311" s="100">
        <f>IF(G311="","",-0.5*((J311-Components!$D$4)/Components!$E$4)^2)</f>
        <v/>
      </c>
      <c r="N311" s="100">
        <f>IF(G311="","",-0.5*((J311-Components!$D$5)/Components!$E$5)^2)</f>
        <v/>
      </c>
      <c r="O311" s="100">
        <f>IF(G311="","",-0.5*((J311-Components!$D$6)/Components!$E$6)^2)</f>
        <v/>
      </c>
      <c r="P311" s="100">
        <f>IF(G311="","",-0.5*((J311-Components!$D$7)/Components!$E$7)^2)</f>
        <v/>
      </c>
      <c r="Q311" s="100">
        <f>IF(G311="","",EXP(LARGE(K311:P311,1)-MAX(K311:P311))/(EXP(K311-MAX(K311:P311))+EXP(L311-MAX(K311:P311))+EXP(M311-MAX(K311:P311))+EXP(N311-MAX(K311:P311))+EXP(O311-MAX(K311:P311))+EXP(P311-MAX(K311:P311))))</f>
        <v/>
      </c>
      <c r="R311" s="100">
        <f>IF(G311="","",EXP(LARGE(K311:P311,2)-MAX(K311:P311))/(EXP(K311-MAX(K311:P311))+EXP(L311-MAX(K311:P311))+EXP(M311-MAX(K311:P311))+EXP(N311-MAX(K311:P311))+EXP(O311-MAX(K311:P311))+EXP(P311-MAX(K311:P311))))</f>
        <v/>
      </c>
      <c r="S311" s="100">
        <f>IF(G311="","",Q311-R311)</f>
        <v/>
      </c>
      <c r="T311" s="98">
        <f>IF(G311="","",IF(AND(G311&gt;=H311-$B$6*I311,G311&lt;=H311+$B$6*I311),"OK","NG"))</f>
        <v/>
      </c>
      <c r="U311" s="69">
        <f>IF(T311="","",IF(T311=D311,1,0))</f>
        <v/>
      </c>
      <c r="V311" s="98">
        <f>IF(G311="","",IF(T311="OK","NONE",INDEX({"S1","S2","W1","W2","N1","N2"},MATCH(MAX(K311:P311),K311:P311,0))))</f>
        <v/>
      </c>
      <c r="W311" s="69">
        <f>IF(G311="","",IF(V311=E311,1,0))</f>
        <v/>
      </c>
      <c r="X311" s="115">
        <f>IF(G311="","",IF(AND(T311="NG",S311&lt;$B$7),"AMBIGUOUS","CONFIDENT"))</f>
        <v/>
      </c>
    </row>
    <row r="312">
      <c r="A312" s="102">
        <f>'Runs Z score'!A305</f>
        <v/>
      </c>
      <c r="B312" s="98">
        <f>'Runs Z score'!B305</f>
        <v/>
      </c>
      <c r="C312" s="98">
        <f>'Runs Z score'!C305</f>
        <v/>
      </c>
      <c r="D312" s="98">
        <f>'Runs Z score'!D305</f>
        <v/>
      </c>
      <c r="E312" s="98">
        <f>'Runs Z score'!E305</f>
        <v/>
      </c>
      <c r="F312" s="98">
        <f>'Runs Z score'!F305</f>
        <v/>
      </c>
      <c r="G312" s="99">
        <f>'Runs Z score'!G305</f>
        <v/>
      </c>
      <c r="H312" s="100">
        <f>VLOOKUP(C312,Recipes!$A$2:$N$4,10,FALSE())</f>
        <v/>
      </c>
      <c r="I312" s="101">
        <f>VLOOKUP(C312,Recipes!$A$2:$N$4,12,FALSE())</f>
        <v/>
      </c>
      <c r="J312" s="100">
        <f>IF(G312="","",H312-G312)</f>
        <v/>
      </c>
      <c r="K312" s="100">
        <f>IF(G312="","",-0.5*((J312-Components!$D$2)/Components!$E$2)^2)</f>
        <v/>
      </c>
      <c r="L312" s="100">
        <f>IF(G312="","",-0.5*((J312-Components!$D$3)/Components!$E$3)^2)</f>
        <v/>
      </c>
      <c r="M312" s="100">
        <f>IF(G312="","",-0.5*((J312-Components!$D$4)/Components!$E$4)^2)</f>
        <v/>
      </c>
      <c r="N312" s="100">
        <f>IF(G312="","",-0.5*((J312-Components!$D$5)/Components!$E$5)^2)</f>
        <v/>
      </c>
      <c r="O312" s="100">
        <f>IF(G312="","",-0.5*((J312-Components!$D$6)/Components!$E$6)^2)</f>
        <v/>
      </c>
      <c r="P312" s="100">
        <f>IF(G312="","",-0.5*((J312-Components!$D$7)/Components!$E$7)^2)</f>
        <v/>
      </c>
      <c r="Q312" s="100">
        <f>IF(G312="","",EXP(LARGE(K312:P312,1)-MAX(K312:P312))/(EXP(K312-MAX(K312:P312))+EXP(L312-MAX(K312:P312))+EXP(M312-MAX(K312:P312))+EXP(N312-MAX(K312:P312))+EXP(O312-MAX(K312:P312))+EXP(P312-MAX(K312:P312))))</f>
        <v/>
      </c>
      <c r="R312" s="100">
        <f>IF(G312="","",EXP(LARGE(K312:P312,2)-MAX(K312:P312))/(EXP(K312-MAX(K312:P312))+EXP(L312-MAX(K312:P312))+EXP(M312-MAX(K312:P312))+EXP(N312-MAX(K312:P312))+EXP(O312-MAX(K312:P312))+EXP(P312-MAX(K312:P312))))</f>
        <v/>
      </c>
      <c r="S312" s="100">
        <f>IF(G312="","",Q312-R312)</f>
        <v/>
      </c>
      <c r="T312" s="98">
        <f>IF(G312="","",IF(AND(G312&gt;=H312-$B$6*I312,G312&lt;=H312+$B$6*I312),"OK","NG"))</f>
        <v/>
      </c>
      <c r="U312" s="69">
        <f>IF(T312="","",IF(T312=D312,1,0))</f>
        <v/>
      </c>
      <c r="V312" s="98">
        <f>IF(G312="","",IF(T312="OK","NONE",INDEX({"S1","S2","W1","W2","N1","N2"},MATCH(MAX(K312:P312),K312:P312,0))))</f>
        <v/>
      </c>
      <c r="W312" s="69">
        <f>IF(G312="","",IF(V312=E312,1,0))</f>
        <v/>
      </c>
      <c r="X312" s="115">
        <f>IF(G312="","",IF(AND(T312="NG",S312&lt;$B$7),"AMBIGUOUS","CONFIDENT"))</f>
        <v/>
      </c>
    </row>
    <row r="313">
      <c r="A313" s="102">
        <f>'Runs Z score'!A306</f>
        <v/>
      </c>
      <c r="B313" s="98">
        <f>'Runs Z score'!B306</f>
        <v/>
      </c>
      <c r="C313" s="98">
        <f>'Runs Z score'!C306</f>
        <v/>
      </c>
      <c r="D313" s="98">
        <f>'Runs Z score'!D306</f>
        <v/>
      </c>
      <c r="E313" s="98">
        <f>'Runs Z score'!E306</f>
        <v/>
      </c>
      <c r="F313" s="98">
        <f>'Runs Z score'!F306</f>
        <v/>
      </c>
      <c r="G313" s="99">
        <f>'Runs Z score'!G306</f>
        <v/>
      </c>
      <c r="H313" s="100">
        <f>VLOOKUP(C313,Recipes!$A$2:$N$4,10,FALSE())</f>
        <v/>
      </c>
      <c r="I313" s="101">
        <f>VLOOKUP(C313,Recipes!$A$2:$N$4,12,FALSE())</f>
        <v/>
      </c>
      <c r="J313" s="100">
        <f>IF(G313="","",H313-G313)</f>
        <v/>
      </c>
      <c r="K313" s="100">
        <f>IF(G313="","",-0.5*((J313-Components!$D$2)/Components!$E$2)^2)</f>
        <v/>
      </c>
      <c r="L313" s="100">
        <f>IF(G313="","",-0.5*((J313-Components!$D$3)/Components!$E$3)^2)</f>
        <v/>
      </c>
      <c r="M313" s="100">
        <f>IF(G313="","",-0.5*((J313-Components!$D$4)/Components!$E$4)^2)</f>
        <v/>
      </c>
      <c r="N313" s="100">
        <f>IF(G313="","",-0.5*((J313-Components!$D$5)/Components!$E$5)^2)</f>
        <v/>
      </c>
      <c r="O313" s="100">
        <f>IF(G313="","",-0.5*((J313-Components!$D$6)/Components!$E$6)^2)</f>
        <v/>
      </c>
      <c r="P313" s="100">
        <f>IF(G313="","",-0.5*((J313-Components!$D$7)/Components!$E$7)^2)</f>
        <v/>
      </c>
      <c r="Q313" s="100">
        <f>IF(G313="","",EXP(LARGE(K313:P313,1)-MAX(K313:P313))/(EXP(K313-MAX(K313:P313))+EXP(L313-MAX(K313:P313))+EXP(M313-MAX(K313:P313))+EXP(N313-MAX(K313:P313))+EXP(O313-MAX(K313:P313))+EXP(P313-MAX(K313:P313))))</f>
        <v/>
      </c>
      <c r="R313" s="100">
        <f>IF(G313="","",EXP(LARGE(K313:P313,2)-MAX(K313:P313))/(EXP(K313-MAX(K313:P313))+EXP(L313-MAX(K313:P313))+EXP(M313-MAX(K313:P313))+EXP(N313-MAX(K313:P313))+EXP(O313-MAX(K313:P313))+EXP(P313-MAX(K313:P313))))</f>
        <v/>
      </c>
      <c r="S313" s="100">
        <f>IF(G313="","",Q313-R313)</f>
        <v/>
      </c>
      <c r="T313" s="98">
        <f>IF(G313="","",IF(AND(G313&gt;=H313-$B$6*I313,G313&lt;=H313+$B$6*I313),"OK","NG"))</f>
        <v/>
      </c>
      <c r="U313" s="69">
        <f>IF(T313="","",IF(T313=D313,1,0))</f>
        <v/>
      </c>
      <c r="V313" s="98">
        <f>IF(G313="","",IF(T313="OK","NONE",INDEX({"S1","S2","W1","W2","N1","N2"},MATCH(MAX(K313:P313),K313:P313,0))))</f>
        <v/>
      </c>
      <c r="W313" s="69">
        <f>IF(G313="","",IF(V313=E313,1,0))</f>
        <v/>
      </c>
      <c r="X313" s="115">
        <f>IF(G313="","",IF(AND(T313="NG",S313&lt;$B$7),"AMBIGUOUS","CONFIDENT"))</f>
        <v/>
      </c>
    </row>
    <row r="314">
      <c r="A314" s="102">
        <f>'Runs Z score'!A307</f>
        <v/>
      </c>
      <c r="B314" s="98">
        <f>'Runs Z score'!B307</f>
        <v/>
      </c>
      <c r="C314" s="98">
        <f>'Runs Z score'!C307</f>
        <v/>
      </c>
      <c r="D314" s="98">
        <f>'Runs Z score'!D307</f>
        <v/>
      </c>
      <c r="E314" s="98">
        <f>'Runs Z score'!E307</f>
        <v/>
      </c>
      <c r="F314" s="98">
        <f>'Runs Z score'!F307</f>
        <v/>
      </c>
      <c r="G314" s="99">
        <f>'Runs Z score'!G307</f>
        <v/>
      </c>
      <c r="H314" s="100">
        <f>VLOOKUP(C314,Recipes!$A$2:$N$4,10,FALSE())</f>
        <v/>
      </c>
      <c r="I314" s="101">
        <f>VLOOKUP(C314,Recipes!$A$2:$N$4,12,FALSE())</f>
        <v/>
      </c>
      <c r="J314" s="100">
        <f>IF(G314="","",H314-G314)</f>
        <v/>
      </c>
      <c r="K314" s="100">
        <f>IF(G314="","",-0.5*((J314-Components!$D$2)/Components!$E$2)^2)</f>
        <v/>
      </c>
      <c r="L314" s="100">
        <f>IF(G314="","",-0.5*((J314-Components!$D$3)/Components!$E$3)^2)</f>
        <v/>
      </c>
      <c r="M314" s="100">
        <f>IF(G314="","",-0.5*((J314-Components!$D$4)/Components!$E$4)^2)</f>
        <v/>
      </c>
      <c r="N314" s="100">
        <f>IF(G314="","",-0.5*((J314-Components!$D$5)/Components!$E$5)^2)</f>
        <v/>
      </c>
      <c r="O314" s="100">
        <f>IF(G314="","",-0.5*((J314-Components!$D$6)/Components!$E$6)^2)</f>
        <v/>
      </c>
      <c r="P314" s="100">
        <f>IF(G314="","",-0.5*((J314-Components!$D$7)/Components!$E$7)^2)</f>
        <v/>
      </c>
      <c r="Q314" s="100">
        <f>IF(G314="","",EXP(LARGE(K314:P314,1)-MAX(K314:P314))/(EXP(K314-MAX(K314:P314))+EXP(L314-MAX(K314:P314))+EXP(M314-MAX(K314:P314))+EXP(N314-MAX(K314:P314))+EXP(O314-MAX(K314:P314))+EXP(P314-MAX(K314:P314))))</f>
        <v/>
      </c>
      <c r="R314" s="100">
        <f>IF(G314="","",EXP(LARGE(K314:P314,2)-MAX(K314:P314))/(EXP(K314-MAX(K314:P314))+EXP(L314-MAX(K314:P314))+EXP(M314-MAX(K314:P314))+EXP(N314-MAX(K314:P314))+EXP(O314-MAX(K314:P314))+EXP(P314-MAX(K314:P314))))</f>
        <v/>
      </c>
      <c r="S314" s="100">
        <f>IF(G314="","",Q314-R314)</f>
        <v/>
      </c>
      <c r="T314" s="98">
        <f>IF(G314="","",IF(AND(G314&gt;=H314-$B$6*I314,G314&lt;=H314+$B$6*I314),"OK","NG"))</f>
        <v/>
      </c>
      <c r="U314" s="69">
        <f>IF(T314="","",IF(T314=D314,1,0))</f>
        <v/>
      </c>
      <c r="V314" s="98">
        <f>IF(G314="","",IF(T314="OK","NONE",INDEX({"S1","S2","W1","W2","N1","N2"},MATCH(MAX(K314:P314),K314:P314,0))))</f>
        <v/>
      </c>
      <c r="W314" s="69">
        <f>IF(G314="","",IF(V314=E314,1,0))</f>
        <v/>
      </c>
      <c r="X314" s="115">
        <f>IF(G314="","",IF(AND(T314="NG",S314&lt;$B$7),"AMBIGUOUS","CONFIDENT"))</f>
        <v/>
      </c>
    </row>
    <row r="315">
      <c r="A315" s="102">
        <f>'Runs Z score'!A308</f>
        <v/>
      </c>
      <c r="B315" s="98">
        <f>'Runs Z score'!B308</f>
        <v/>
      </c>
      <c r="C315" s="98">
        <f>'Runs Z score'!C308</f>
        <v/>
      </c>
      <c r="D315" s="98">
        <f>'Runs Z score'!D308</f>
        <v/>
      </c>
      <c r="E315" s="98">
        <f>'Runs Z score'!E308</f>
        <v/>
      </c>
      <c r="F315" s="98">
        <f>'Runs Z score'!F308</f>
        <v/>
      </c>
      <c r="G315" s="99">
        <f>'Runs Z score'!G308</f>
        <v/>
      </c>
      <c r="H315" s="100">
        <f>VLOOKUP(C315,Recipes!$A$2:$N$4,10,FALSE())</f>
        <v/>
      </c>
      <c r="I315" s="101">
        <f>VLOOKUP(C315,Recipes!$A$2:$N$4,12,FALSE())</f>
        <v/>
      </c>
      <c r="J315" s="100">
        <f>IF(G315="","",H315-G315)</f>
        <v/>
      </c>
      <c r="K315" s="100">
        <f>IF(G315="","",-0.5*((J315-Components!$D$2)/Components!$E$2)^2)</f>
        <v/>
      </c>
      <c r="L315" s="100">
        <f>IF(G315="","",-0.5*((J315-Components!$D$3)/Components!$E$3)^2)</f>
        <v/>
      </c>
      <c r="M315" s="100">
        <f>IF(G315="","",-0.5*((J315-Components!$D$4)/Components!$E$4)^2)</f>
        <v/>
      </c>
      <c r="N315" s="100">
        <f>IF(G315="","",-0.5*((J315-Components!$D$5)/Components!$E$5)^2)</f>
        <v/>
      </c>
      <c r="O315" s="100">
        <f>IF(G315="","",-0.5*((J315-Components!$D$6)/Components!$E$6)^2)</f>
        <v/>
      </c>
      <c r="P315" s="100">
        <f>IF(G315="","",-0.5*((J315-Components!$D$7)/Components!$E$7)^2)</f>
        <v/>
      </c>
      <c r="Q315" s="100">
        <f>IF(G315="","",EXP(LARGE(K315:P315,1)-MAX(K315:P315))/(EXP(K315-MAX(K315:P315))+EXP(L315-MAX(K315:P315))+EXP(M315-MAX(K315:P315))+EXP(N315-MAX(K315:P315))+EXP(O315-MAX(K315:P315))+EXP(P315-MAX(K315:P315))))</f>
        <v/>
      </c>
      <c r="R315" s="100">
        <f>IF(G315="","",EXP(LARGE(K315:P315,2)-MAX(K315:P315))/(EXP(K315-MAX(K315:P315))+EXP(L315-MAX(K315:P315))+EXP(M315-MAX(K315:P315))+EXP(N315-MAX(K315:P315))+EXP(O315-MAX(K315:P315))+EXP(P315-MAX(K315:P315))))</f>
        <v/>
      </c>
      <c r="S315" s="100">
        <f>IF(G315="","",Q315-R315)</f>
        <v/>
      </c>
      <c r="T315" s="98">
        <f>IF(G315="","",IF(AND(G315&gt;=H315-$B$6*I315,G315&lt;=H315+$B$6*I315),"OK","NG"))</f>
        <v/>
      </c>
      <c r="U315" s="69">
        <f>IF(T315="","",IF(T315=D315,1,0))</f>
        <v/>
      </c>
      <c r="V315" s="98">
        <f>IF(G315="","",IF(T315="OK","NONE",INDEX({"S1","S2","W1","W2","N1","N2"},MATCH(MAX(K315:P315),K315:P315,0))))</f>
        <v/>
      </c>
      <c r="W315" s="69">
        <f>IF(G315="","",IF(V315=E315,1,0))</f>
        <v/>
      </c>
      <c r="X315" s="115">
        <f>IF(G315="","",IF(AND(T315="NG",S315&lt;$B$7),"AMBIGUOUS","CONFIDENT"))</f>
        <v/>
      </c>
    </row>
    <row r="316">
      <c r="A316" s="102">
        <f>'Runs Z score'!A309</f>
        <v/>
      </c>
      <c r="B316" s="98">
        <f>'Runs Z score'!B309</f>
        <v/>
      </c>
      <c r="C316" s="98">
        <f>'Runs Z score'!C309</f>
        <v/>
      </c>
      <c r="D316" s="98">
        <f>'Runs Z score'!D309</f>
        <v/>
      </c>
      <c r="E316" s="98">
        <f>'Runs Z score'!E309</f>
        <v/>
      </c>
      <c r="F316" s="98">
        <f>'Runs Z score'!F309</f>
        <v/>
      </c>
      <c r="G316" s="99">
        <f>'Runs Z score'!G309</f>
        <v/>
      </c>
      <c r="H316" s="100">
        <f>VLOOKUP(C316,Recipes!$A$2:$N$4,10,FALSE())</f>
        <v/>
      </c>
      <c r="I316" s="101">
        <f>VLOOKUP(C316,Recipes!$A$2:$N$4,12,FALSE())</f>
        <v/>
      </c>
      <c r="J316" s="100">
        <f>IF(G316="","",H316-G316)</f>
        <v/>
      </c>
      <c r="K316" s="100">
        <f>IF(G316="","",-0.5*((J316-Components!$D$2)/Components!$E$2)^2)</f>
        <v/>
      </c>
      <c r="L316" s="100">
        <f>IF(G316="","",-0.5*((J316-Components!$D$3)/Components!$E$3)^2)</f>
        <v/>
      </c>
      <c r="M316" s="100">
        <f>IF(G316="","",-0.5*((J316-Components!$D$4)/Components!$E$4)^2)</f>
        <v/>
      </c>
      <c r="N316" s="100">
        <f>IF(G316="","",-0.5*((J316-Components!$D$5)/Components!$E$5)^2)</f>
        <v/>
      </c>
      <c r="O316" s="100">
        <f>IF(G316="","",-0.5*((J316-Components!$D$6)/Components!$E$6)^2)</f>
        <v/>
      </c>
      <c r="P316" s="100">
        <f>IF(G316="","",-0.5*((J316-Components!$D$7)/Components!$E$7)^2)</f>
        <v/>
      </c>
      <c r="Q316" s="100">
        <f>IF(G316="","",EXP(LARGE(K316:P316,1)-MAX(K316:P316))/(EXP(K316-MAX(K316:P316))+EXP(L316-MAX(K316:P316))+EXP(M316-MAX(K316:P316))+EXP(N316-MAX(K316:P316))+EXP(O316-MAX(K316:P316))+EXP(P316-MAX(K316:P316))))</f>
        <v/>
      </c>
      <c r="R316" s="100">
        <f>IF(G316="","",EXP(LARGE(K316:P316,2)-MAX(K316:P316))/(EXP(K316-MAX(K316:P316))+EXP(L316-MAX(K316:P316))+EXP(M316-MAX(K316:P316))+EXP(N316-MAX(K316:P316))+EXP(O316-MAX(K316:P316))+EXP(P316-MAX(K316:P316))))</f>
        <v/>
      </c>
      <c r="S316" s="100">
        <f>IF(G316="","",Q316-R316)</f>
        <v/>
      </c>
      <c r="T316" s="98">
        <f>IF(G316="","",IF(AND(G316&gt;=H316-$B$6*I316,G316&lt;=H316+$B$6*I316),"OK","NG"))</f>
        <v/>
      </c>
      <c r="U316" s="69">
        <f>IF(T316="","",IF(T316=D316,1,0))</f>
        <v/>
      </c>
      <c r="V316" s="98">
        <f>IF(G316="","",IF(T316="OK","NONE",INDEX({"S1","S2","W1","W2","N1","N2"},MATCH(MAX(K316:P316),K316:P316,0))))</f>
        <v/>
      </c>
      <c r="W316" s="69">
        <f>IF(G316="","",IF(V316=E316,1,0))</f>
        <v/>
      </c>
      <c r="X316" s="115">
        <f>IF(G316="","",IF(AND(T316="NG",S316&lt;$B$7),"AMBIGUOUS","CONFIDENT"))</f>
        <v/>
      </c>
    </row>
    <row r="317">
      <c r="A317" s="102">
        <f>'Runs Z score'!A310</f>
        <v/>
      </c>
      <c r="B317" s="98">
        <f>'Runs Z score'!B310</f>
        <v/>
      </c>
      <c r="C317" s="98">
        <f>'Runs Z score'!C310</f>
        <v/>
      </c>
      <c r="D317" s="98">
        <f>'Runs Z score'!D310</f>
        <v/>
      </c>
      <c r="E317" s="98">
        <f>'Runs Z score'!E310</f>
        <v/>
      </c>
      <c r="F317" s="98">
        <f>'Runs Z score'!F310</f>
        <v/>
      </c>
      <c r="G317" s="99">
        <f>'Runs Z score'!G310</f>
        <v/>
      </c>
      <c r="H317" s="100">
        <f>VLOOKUP(C317,Recipes!$A$2:$N$4,10,FALSE())</f>
        <v/>
      </c>
      <c r="I317" s="101">
        <f>VLOOKUP(C317,Recipes!$A$2:$N$4,12,FALSE())</f>
        <v/>
      </c>
      <c r="J317" s="100">
        <f>IF(G317="","",H317-G317)</f>
        <v/>
      </c>
      <c r="K317" s="100">
        <f>IF(G317="","",-0.5*((J317-Components!$D$2)/Components!$E$2)^2)</f>
        <v/>
      </c>
      <c r="L317" s="100">
        <f>IF(G317="","",-0.5*((J317-Components!$D$3)/Components!$E$3)^2)</f>
        <v/>
      </c>
      <c r="M317" s="100">
        <f>IF(G317="","",-0.5*((J317-Components!$D$4)/Components!$E$4)^2)</f>
        <v/>
      </c>
      <c r="N317" s="100">
        <f>IF(G317="","",-0.5*((J317-Components!$D$5)/Components!$E$5)^2)</f>
        <v/>
      </c>
      <c r="O317" s="100">
        <f>IF(G317="","",-0.5*((J317-Components!$D$6)/Components!$E$6)^2)</f>
        <v/>
      </c>
      <c r="P317" s="100">
        <f>IF(G317="","",-0.5*((J317-Components!$D$7)/Components!$E$7)^2)</f>
        <v/>
      </c>
      <c r="Q317" s="100">
        <f>IF(G317="","",EXP(LARGE(K317:P317,1)-MAX(K317:P317))/(EXP(K317-MAX(K317:P317))+EXP(L317-MAX(K317:P317))+EXP(M317-MAX(K317:P317))+EXP(N317-MAX(K317:P317))+EXP(O317-MAX(K317:P317))+EXP(P317-MAX(K317:P317))))</f>
        <v/>
      </c>
      <c r="R317" s="100">
        <f>IF(G317="","",EXP(LARGE(K317:P317,2)-MAX(K317:P317))/(EXP(K317-MAX(K317:P317))+EXP(L317-MAX(K317:P317))+EXP(M317-MAX(K317:P317))+EXP(N317-MAX(K317:P317))+EXP(O317-MAX(K317:P317))+EXP(P317-MAX(K317:P317))))</f>
        <v/>
      </c>
      <c r="S317" s="100">
        <f>IF(G317="","",Q317-R317)</f>
        <v/>
      </c>
      <c r="T317" s="98">
        <f>IF(G317="","",IF(AND(G317&gt;=H317-$B$6*I317,G317&lt;=H317+$B$6*I317),"OK","NG"))</f>
        <v/>
      </c>
      <c r="U317" s="69">
        <f>IF(T317="","",IF(T317=D317,1,0))</f>
        <v/>
      </c>
      <c r="V317" s="98">
        <f>IF(G317="","",IF(T317="OK","NONE",INDEX({"S1","S2","W1","W2","N1","N2"},MATCH(MAX(K317:P317),K317:P317,0))))</f>
        <v/>
      </c>
      <c r="W317" s="69">
        <f>IF(G317="","",IF(V317=E317,1,0))</f>
        <v/>
      </c>
      <c r="X317" s="115">
        <f>IF(G317="","",IF(AND(T317="NG",S317&lt;$B$7),"AMBIGUOUS","CONFIDENT"))</f>
        <v/>
      </c>
    </row>
    <row r="318">
      <c r="A318" s="102">
        <f>'Runs Z score'!A311</f>
        <v/>
      </c>
      <c r="B318" s="98">
        <f>'Runs Z score'!B311</f>
        <v/>
      </c>
      <c r="C318" s="98">
        <f>'Runs Z score'!C311</f>
        <v/>
      </c>
      <c r="D318" s="98">
        <f>'Runs Z score'!D311</f>
        <v/>
      </c>
      <c r="E318" s="98">
        <f>'Runs Z score'!E311</f>
        <v/>
      </c>
      <c r="F318" s="98">
        <f>'Runs Z score'!F311</f>
        <v/>
      </c>
      <c r="G318" s="99">
        <f>'Runs Z score'!G311</f>
        <v/>
      </c>
      <c r="H318" s="100">
        <f>VLOOKUP(C318,Recipes!$A$2:$N$4,10,FALSE())</f>
        <v/>
      </c>
      <c r="I318" s="101">
        <f>VLOOKUP(C318,Recipes!$A$2:$N$4,12,FALSE())</f>
        <v/>
      </c>
      <c r="J318" s="100">
        <f>IF(G318="","",H318-G318)</f>
        <v/>
      </c>
      <c r="K318" s="100">
        <f>IF(G318="","",-0.5*((J318-Components!$D$2)/Components!$E$2)^2)</f>
        <v/>
      </c>
      <c r="L318" s="100">
        <f>IF(G318="","",-0.5*((J318-Components!$D$3)/Components!$E$3)^2)</f>
        <v/>
      </c>
      <c r="M318" s="100">
        <f>IF(G318="","",-0.5*((J318-Components!$D$4)/Components!$E$4)^2)</f>
        <v/>
      </c>
      <c r="N318" s="100">
        <f>IF(G318="","",-0.5*((J318-Components!$D$5)/Components!$E$5)^2)</f>
        <v/>
      </c>
      <c r="O318" s="100">
        <f>IF(G318="","",-0.5*((J318-Components!$D$6)/Components!$E$6)^2)</f>
        <v/>
      </c>
      <c r="P318" s="100">
        <f>IF(G318="","",-0.5*((J318-Components!$D$7)/Components!$E$7)^2)</f>
        <v/>
      </c>
      <c r="Q318" s="100">
        <f>IF(G318="","",EXP(LARGE(K318:P318,1)-MAX(K318:P318))/(EXP(K318-MAX(K318:P318))+EXP(L318-MAX(K318:P318))+EXP(M318-MAX(K318:P318))+EXP(N318-MAX(K318:P318))+EXP(O318-MAX(K318:P318))+EXP(P318-MAX(K318:P318))))</f>
        <v/>
      </c>
      <c r="R318" s="100">
        <f>IF(G318="","",EXP(LARGE(K318:P318,2)-MAX(K318:P318))/(EXP(K318-MAX(K318:P318))+EXP(L318-MAX(K318:P318))+EXP(M318-MAX(K318:P318))+EXP(N318-MAX(K318:P318))+EXP(O318-MAX(K318:P318))+EXP(P318-MAX(K318:P318))))</f>
        <v/>
      </c>
      <c r="S318" s="100">
        <f>IF(G318="","",Q318-R318)</f>
        <v/>
      </c>
      <c r="T318" s="98">
        <f>IF(G318="","",IF(AND(G318&gt;=H318-$B$6*I318,G318&lt;=H318+$B$6*I318),"OK","NG"))</f>
        <v/>
      </c>
      <c r="U318" s="69">
        <f>IF(T318="","",IF(T318=D318,1,0))</f>
        <v/>
      </c>
      <c r="V318" s="98">
        <f>IF(G318="","",IF(T318="OK","NONE",INDEX({"S1","S2","W1","W2","N1","N2"},MATCH(MAX(K318:P318),K318:P318,0))))</f>
        <v/>
      </c>
      <c r="W318" s="69">
        <f>IF(G318="","",IF(V318=E318,1,0))</f>
        <v/>
      </c>
      <c r="X318" s="115">
        <f>IF(G318="","",IF(AND(T318="NG",S318&lt;$B$7),"AMBIGUOUS","CONFIDENT"))</f>
        <v/>
      </c>
    </row>
    <row r="319">
      <c r="A319" s="102">
        <f>'Runs Z score'!A312</f>
        <v/>
      </c>
      <c r="B319" s="98">
        <f>'Runs Z score'!B312</f>
        <v/>
      </c>
      <c r="C319" s="98">
        <f>'Runs Z score'!C312</f>
        <v/>
      </c>
      <c r="D319" s="98">
        <f>'Runs Z score'!D312</f>
        <v/>
      </c>
      <c r="E319" s="98">
        <f>'Runs Z score'!E312</f>
        <v/>
      </c>
      <c r="F319" s="98">
        <f>'Runs Z score'!F312</f>
        <v/>
      </c>
      <c r="G319" s="99">
        <f>'Runs Z score'!G312</f>
        <v/>
      </c>
      <c r="H319" s="100">
        <f>VLOOKUP(C319,Recipes!$A$2:$N$4,10,FALSE())</f>
        <v/>
      </c>
      <c r="I319" s="101">
        <f>VLOOKUP(C319,Recipes!$A$2:$N$4,12,FALSE())</f>
        <v/>
      </c>
      <c r="J319" s="100">
        <f>IF(G319="","",H319-G319)</f>
        <v/>
      </c>
      <c r="K319" s="100">
        <f>IF(G319="","",-0.5*((J319-Components!$D$2)/Components!$E$2)^2)</f>
        <v/>
      </c>
      <c r="L319" s="100">
        <f>IF(G319="","",-0.5*((J319-Components!$D$3)/Components!$E$3)^2)</f>
        <v/>
      </c>
      <c r="M319" s="100">
        <f>IF(G319="","",-0.5*((J319-Components!$D$4)/Components!$E$4)^2)</f>
        <v/>
      </c>
      <c r="N319" s="100">
        <f>IF(G319="","",-0.5*((J319-Components!$D$5)/Components!$E$5)^2)</f>
        <v/>
      </c>
      <c r="O319" s="100">
        <f>IF(G319="","",-0.5*((J319-Components!$D$6)/Components!$E$6)^2)</f>
        <v/>
      </c>
      <c r="P319" s="100">
        <f>IF(G319="","",-0.5*((J319-Components!$D$7)/Components!$E$7)^2)</f>
        <v/>
      </c>
      <c r="Q319" s="100">
        <f>IF(G319="","",EXP(LARGE(K319:P319,1)-MAX(K319:P319))/(EXP(K319-MAX(K319:P319))+EXP(L319-MAX(K319:P319))+EXP(M319-MAX(K319:P319))+EXP(N319-MAX(K319:P319))+EXP(O319-MAX(K319:P319))+EXP(P319-MAX(K319:P319))))</f>
        <v/>
      </c>
      <c r="R319" s="100">
        <f>IF(G319="","",EXP(LARGE(K319:P319,2)-MAX(K319:P319))/(EXP(K319-MAX(K319:P319))+EXP(L319-MAX(K319:P319))+EXP(M319-MAX(K319:P319))+EXP(N319-MAX(K319:P319))+EXP(O319-MAX(K319:P319))+EXP(P319-MAX(K319:P319))))</f>
        <v/>
      </c>
      <c r="S319" s="100">
        <f>IF(G319="","",Q319-R319)</f>
        <v/>
      </c>
      <c r="T319" s="98">
        <f>IF(G319="","",IF(AND(G319&gt;=H319-$B$6*I319,G319&lt;=H319+$B$6*I319),"OK","NG"))</f>
        <v/>
      </c>
      <c r="U319" s="69">
        <f>IF(T319="","",IF(T319=D319,1,0))</f>
        <v/>
      </c>
      <c r="V319" s="98">
        <f>IF(G319="","",IF(T319="OK","NONE",INDEX({"S1","S2","W1","W2","N1","N2"},MATCH(MAX(K319:P319),K319:P319,0))))</f>
        <v/>
      </c>
      <c r="W319" s="69">
        <f>IF(G319="","",IF(V319=E319,1,0))</f>
        <v/>
      </c>
      <c r="X319" s="115">
        <f>IF(G319="","",IF(AND(T319="NG",S319&lt;$B$7),"AMBIGUOUS","CONFIDENT"))</f>
        <v/>
      </c>
    </row>
    <row r="320">
      <c r="A320" s="102">
        <f>'Runs Z score'!A313</f>
        <v/>
      </c>
      <c r="B320" s="98">
        <f>'Runs Z score'!B313</f>
        <v/>
      </c>
      <c r="C320" s="98">
        <f>'Runs Z score'!C313</f>
        <v/>
      </c>
      <c r="D320" s="98">
        <f>'Runs Z score'!D313</f>
        <v/>
      </c>
      <c r="E320" s="98">
        <f>'Runs Z score'!E313</f>
        <v/>
      </c>
      <c r="F320" s="98">
        <f>'Runs Z score'!F313</f>
        <v/>
      </c>
      <c r="G320" s="99">
        <f>'Runs Z score'!G313</f>
        <v/>
      </c>
      <c r="H320" s="100">
        <f>VLOOKUP(C320,Recipes!$A$2:$N$4,10,FALSE())</f>
        <v/>
      </c>
      <c r="I320" s="101">
        <f>VLOOKUP(C320,Recipes!$A$2:$N$4,12,FALSE())</f>
        <v/>
      </c>
      <c r="J320" s="100">
        <f>IF(G320="","",H320-G320)</f>
        <v/>
      </c>
      <c r="K320" s="100">
        <f>IF(G320="","",-0.5*((J320-Components!$D$2)/Components!$E$2)^2)</f>
        <v/>
      </c>
      <c r="L320" s="100">
        <f>IF(G320="","",-0.5*((J320-Components!$D$3)/Components!$E$3)^2)</f>
        <v/>
      </c>
      <c r="M320" s="100">
        <f>IF(G320="","",-0.5*((J320-Components!$D$4)/Components!$E$4)^2)</f>
        <v/>
      </c>
      <c r="N320" s="100">
        <f>IF(G320="","",-0.5*((J320-Components!$D$5)/Components!$E$5)^2)</f>
        <v/>
      </c>
      <c r="O320" s="100">
        <f>IF(G320="","",-0.5*((J320-Components!$D$6)/Components!$E$6)^2)</f>
        <v/>
      </c>
      <c r="P320" s="100">
        <f>IF(G320="","",-0.5*((J320-Components!$D$7)/Components!$E$7)^2)</f>
        <v/>
      </c>
      <c r="Q320" s="100">
        <f>IF(G320="","",EXP(LARGE(K320:P320,1)-MAX(K320:P320))/(EXP(K320-MAX(K320:P320))+EXP(L320-MAX(K320:P320))+EXP(M320-MAX(K320:P320))+EXP(N320-MAX(K320:P320))+EXP(O320-MAX(K320:P320))+EXP(P320-MAX(K320:P320))))</f>
        <v/>
      </c>
      <c r="R320" s="100">
        <f>IF(G320="","",EXP(LARGE(K320:P320,2)-MAX(K320:P320))/(EXP(K320-MAX(K320:P320))+EXP(L320-MAX(K320:P320))+EXP(M320-MAX(K320:P320))+EXP(N320-MAX(K320:P320))+EXP(O320-MAX(K320:P320))+EXP(P320-MAX(K320:P320))))</f>
        <v/>
      </c>
      <c r="S320" s="100">
        <f>IF(G320="","",Q320-R320)</f>
        <v/>
      </c>
      <c r="T320" s="98">
        <f>IF(G320="","",IF(AND(G320&gt;=H320-$B$6*I320,G320&lt;=H320+$B$6*I320),"OK","NG"))</f>
        <v/>
      </c>
      <c r="U320" s="69">
        <f>IF(T320="","",IF(T320=D320,1,0))</f>
        <v/>
      </c>
      <c r="V320" s="98">
        <f>IF(G320="","",IF(T320="OK","NONE",INDEX({"S1","S2","W1","W2","N1","N2"},MATCH(MAX(K320:P320),K320:P320,0))))</f>
        <v/>
      </c>
      <c r="W320" s="69">
        <f>IF(G320="","",IF(V320=E320,1,0))</f>
        <v/>
      </c>
      <c r="X320" s="115">
        <f>IF(G320="","",IF(AND(T320="NG",S320&lt;$B$7),"AMBIGUOUS","CONFIDENT"))</f>
        <v/>
      </c>
    </row>
    <row r="321">
      <c r="A321" s="102">
        <f>'Runs Z score'!A314</f>
        <v/>
      </c>
      <c r="B321" s="98">
        <f>'Runs Z score'!B314</f>
        <v/>
      </c>
      <c r="C321" s="98">
        <f>'Runs Z score'!C314</f>
        <v/>
      </c>
      <c r="D321" s="98">
        <f>'Runs Z score'!D314</f>
        <v/>
      </c>
      <c r="E321" s="98">
        <f>'Runs Z score'!E314</f>
        <v/>
      </c>
      <c r="F321" s="98">
        <f>'Runs Z score'!F314</f>
        <v/>
      </c>
      <c r="G321" s="99">
        <f>'Runs Z score'!G314</f>
        <v/>
      </c>
      <c r="H321" s="100">
        <f>VLOOKUP(C321,Recipes!$A$2:$N$4,10,FALSE())</f>
        <v/>
      </c>
      <c r="I321" s="101">
        <f>VLOOKUP(C321,Recipes!$A$2:$N$4,12,FALSE())</f>
        <v/>
      </c>
      <c r="J321" s="100">
        <f>IF(G321="","",H321-G321)</f>
        <v/>
      </c>
      <c r="K321" s="100">
        <f>IF(G321="","",-0.5*((J321-Components!$D$2)/Components!$E$2)^2)</f>
        <v/>
      </c>
      <c r="L321" s="100">
        <f>IF(G321="","",-0.5*((J321-Components!$D$3)/Components!$E$3)^2)</f>
        <v/>
      </c>
      <c r="M321" s="100">
        <f>IF(G321="","",-0.5*((J321-Components!$D$4)/Components!$E$4)^2)</f>
        <v/>
      </c>
      <c r="N321" s="100">
        <f>IF(G321="","",-0.5*((J321-Components!$D$5)/Components!$E$5)^2)</f>
        <v/>
      </c>
      <c r="O321" s="100">
        <f>IF(G321="","",-0.5*((J321-Components!$D$6)/Components!$E$6)^2)</f>
        <v/>
      </c>
      <c r="P321" s="100">
        <f>IF(G321="","",-0.5*((J321-Components!$D$7)/Components!$E$7)^2)</f>
        <v/>
      </c>
      <c r="Q321" s="100">
        <f>IF(G321="","",EXP(LARGE(K321:P321,1)-MAX(K321:P321))/(EXP(K321-MAX(K321:P321))+EXP(L321-MAX(K321:P321))+EXP(M321-MAX(K321:P321))+EXP(N321-MAX(K321:P321))+EXP(O321-MAX(K321:P321))+EXP(P321-MAX(K321:P321))))</f>
        <v/>
      </c>
      <c r="R321" s="100">
        <f>IF(G321="","",EXP(LARGE(K321:P321,2)-MAX(K321:P321))/(EXP(K321-MAX(K321:P321))+EXP(L321-MAX(K321:P321))+EXP(M321-MAX(K321:P321))+EXP(N321-MAX(K321:P321))+EXP(O321-MAX(K321:P321))+EXP(P321-MAX(K321:P321))))</f>
        <v/>
      </c>
      <c r="S321" s="100">
        <f>IF(G321="","",Q321-R321)</f>
        <v/>
      </c>
      <c r="T321" s="98">
        <f>IF(G321="","",IF(AND(G321&gt;=H321-$B$6*I321,G321&lt;=H321+$B$6*I321),"OK","NG"))</f>
        <v/>
      </c>
      <c r="U321" s="69">
        <f>IF(T321="","",IF(T321=D321,1,0))</f>
        <v/>
      </c>
      <c r="V321" s="98">
        <f>IF(G321="","",IF(T321="OK","NONE",INDEX({"S1","S2","W1","W2","N1","N2"},MATCH(MAX(K321:P321),K321:P321,0))))</f>
        <v/>
      </c>
      <c r="W321" s="69">
        <f>IF(G321="","",IF(V321=E321,1,0))</f>
        <v/>
      </c>
      <c r="X321" s="115">
        <f>IF(G321="","",IF(AND(T321="NG",S321&lt;$B$7),"AMBIGUOUS","CONFIDENT"))</f>
        <v/>
      </c>
    </row>
    <row r="322">
      <c r="A322" s="102">
        <f>'Runs Z score'!A315</f>
        <v/>
      </c>
      <c r="B322" s="98">
        <f>'Runs Z score'!B315</f>
        <v/>
      </c>
      <c r="C322" s="98">
        <f>'Runs Z score'!C315</f>
        <v/>
      </c>
      <c r="D322" s="98">
        <f>'Runs Z score'!D315</f>
        <v/>
      </c>
      <c r="E322" s="98">
        <f>'Runs Z score'!E315</f>
        <v/>
      </c>
      <c r="F322" s="98">
        <f>'Runs Z score'!F315</f>
        <v/>
      </c>
      <c r="G322" s="99">
        <f>'Runs Z score'!G315</f>
        <v/>
      </c>
      <c r="H322" s="100">
        <f>VLOOKUP(C322,Recipes!$A$2:$N$4,10,FALSE())</f>
        <v/>
      </c>
      <c r="I322" s="101">
        <f>VLOOKUP(C322,Recipes!$A$2:$N$4,12,FALSE())</f>
        <v/>
      </c>
      <c r="J322" s="100">
        <f>IF(G322="","",H322-G322)</f>
        <v/>
      </c>
      <c r="K322" s="100">
        <f>IF(G322="","",-0.5*((J322-Components!$D$2)/Components!$E$2)^2)</f>
        <v/>
      </c>
      <c r="L322" s="100">
        <f>IF(G322="","",-0.5*((J322-Components!$D$3)/Components!$E$3)^2)</f>
        <v/>
      </c>
      <c r="M322" s="100">
        <f>IF(G322="","",-0.5*((J322-Components!$D$4)/Components!$E$4)^2)</f>
        <v/>
      </c>
      <c r="N322" s="100">
        <f>IF(G322="","",-0.5*((J322-Components!$D$5)/Components!$E$5)^2)</f>
        <v/>
      </c>
      <c r="O322" s="100">
        <f>IF(G322="","",-0.5*((J322-Components!$D$6)/Components!$E$6)^2)</f>
        <v/>
      </c>
      <c r="P322" s="100">
        <f>IF(G322="","",-0.5*((J322-Components!$D$7)/Components!$E$7)^2)</f>
        <v/>
      </c>
      <c r="Q322" s="100">
        <f>IF(G322="","",EXP(LARGE(K322:P322,1)-MAX(K322:P322))/(EXP(K322-MAX(K322:P322))+EXP(L322-MAX(K322:P322))+EXP(M322-MAX(K322:P322))+EXP(N322-MAX(K322:P322))+EXP(O322-MAX(K322:P322))+EXP(P322-MAX(K322:P322))))</f>
        <v/>
      </c>
      <c r="R322" s="100">
        <f>IF(G322="","",EXP(LARGE(K322:P322,2)-MAX(K322:P322))/(EXP(K322-MAX(K322:P322))+EXP(L322-MAX(K322:P322))+EXP(M322-MAX(K322:P322))+EXP(N322-MAX(K322:P322))+EXP(O322-MAX(K322:P322))+EXP(P322-MAX(K322:P322))))</f>
        <v/>
      </c>
      <c r="S322" s="100">
        <f>IF(G322="","",Q322-R322)</f>
        <v/>
      </c>
      <c r="T322" s="98">
        <f>IF(G322="","",IF(AND(G322&gt;=H322-$B$6*I322,G322&lt;=H322+$B$6*I322),"OK","NG"))</f>
        <v/>
      </c>
      <c r="U322" s="69">
        <f>IF(T322="","",IF(T322=D322,1,0))</f>
        <v/>
      </c>
      <c r="V322" s="98">
        <f>IF(G322="","",IF(T322="OK","NONE",INDEX({"S1","S2","W1","W2","N1","N2"},MATCH(MAX(K322:P322),K322:P322,0))))</f>
        <v/>
      </c>
      <c r="W322" s="69">
        <f>IF(G322="","",IF(V322=E322,1,0))</f>
        <v/>
      </c>
      <c r="X322" s="115">
        <f>IF(G322="","",IF(AND(T322="NG",S322&lt;$B$7),"AMBIGUOUS","CONFIDENT"))</f>
        <v/>
      </c>
    </row>
    <row r="323">
      <c r="A323" s="102">
        <f>'Runs Z score'!A316</f>
        <v/>
      </c>
      <c r="B323" s="98">
        <f>'Runs Z score'!B316</f>
        <v/>
      </c>
      <c r="C323" s="98">
        <f>'Runs Z score'!C316</f>
        <v/>
      </c>
      <c r="D323" s="98">
        <f>'Runs Z score'!D316</f>
        <v/>
      </c>
      <c r="E323" s="98">
        <f>'Runs Z score'!E316</f>
        <v/>
      </c>
      <c r="F323" s="98">
        <f>'Runs Z score'!F316</f>
        <v/>
      </c>
      <c r="G323" s="99">
        <f>'Runs Z score'!G316</f>
        <v/>
      </c>
      <c r="H323" s="100">
        <f>VLOOKUP(C323,Recipes!$A$2:$N$4,10,FALSE())</f>
        <v/>
      </c>
      <c r="I323" s="101">
        <f>VLOOKUP(C323,Recipes!$A$2:$N$4,12,FALSE())</f>
        <v/>
      </c>
      <c r="J323" s="100">
        <f>IF(G323="","",H323-G323)</f>
        <v/>
      </c>
      <c r="K323" s="100">
        <f>IF(G323="","",-0.5*((J323-Components!$D$2)/Components!$E$2)^2)</f>
        <v/>
      </c>
      <c r="L323" s="100">
        <f>IF(G323="","",-0.5*((J323-Components!$D$3)/Components!$E$3)^2)</f>
        <v/>
      </c>
      <c r="M323" s="100">
        <f>IF(G323="","",-0.5*((J323-Components!$D$4)/Components!$E$4)^2)</f>
        <v/>
      </c>
      <c r="N323" s="100">
        <f>IF(G323="","",-0.5*((J323-Components!$D$5)/Components!$E$5)^2)</f>
        <v/>
      </c>
      <c r="O323" s="100">
        <f>IF(G323="","",-0.5*((J323-Components!$D$6)/Components!$E$6)^2)</f>
        <v/>
      </c>
      <c r="P323" s="100">
        <f>IF(G323="","",-0.5*((J323-Components!$D$7)/Components!$E$7)^2)</f>
        <v/>
      </c>
      <c r="Q323" s="100">
        <f>IF(G323="","",EXP(LARGE(K323:P323,1)-MAX(K323:P323))/(EXP(K323-MAX(K323:P323))+EXP(L323-MAX(K323:P323))+EXP(M323-MAX(K323:P323))+EXP(N323-MAX(K323:P323))+EXP(O323-MAX(K323:P323))+EXP(P323-MAX(K323:P323))))</f>
        <v/>
      </c>
      <c r="R323" s="100">
        <f>IF(G323="","",EXP(LARGE(K323:P323,2)-MAX(K323:P323))/(EXP(K323-MAX(K323:P323))+EXP(L323-MAX(K323:P323))+EXP(M323-MAX(K323:P323))+EXP(N323-MAX(K323:P323))+EXP(O323-MAX(K323:P323))+EXP(P323-MAX(K323:P323))))</f>
        <v/>
      </c>
      <c r="S323" s="100">
        <f>IF(G323="","",Q323-R323)</f>
        <v/>
      </c>
      <c r="T323" s="98">
        <f>IF(G323="","",IF(AND(G323&gt;=H323-$B$6*I323,G323&lt;=H323+$B$6*I323),"OK","NG"))</f>
        <v/>
      </c>
      <c r="U323" s="69">
        <f>IF(T323="","",IF(T323=D323,1,0))</f>
        <v/>
      </c>
      <c r="V323" s="98">
        <f>IF(G323="","",IF(T323="OK","NONE",INDEX({"S1","S2","W1","W2","N1","N2"},MATCH(MAX(K323:P323),K323:P323,0))))</f>
        <v/>
      </c>
      <c r="W323" s="69">
        <f>IF(G323="","",IF(V323=E323,1,0))</f>
        <v/>
      </c>
      <c r="X323" s="115">
        <f>IF(G323="","",IF(AND(T323="NG",S323&lt;$B$7),"AMBIGUOUS","CONFIDENT"))</f>
        <v/>
      </c>
    </row>
    <row r="324">
      <c r="A324" s="102">
        <f>'Runs Z score'!A317</f>
        <v/>
      </c>
      <c r="B324" s="98">
        <f>'Runs Z score'!B317</f>
        <v/>
      </c>
      <c r="C324" s="98">
        <f>'Runs Z score'!C317</f>
        <v/>
      </c>
      <c r="D324" s="98">
        <f>'Runs Z score'!D317</f>
        <v/>
      </c>
      <c r="E324" s="98">
        <f>'Runs Z score'!E317</f>
        <v/>
      </c>
      <c r="F324" s="98">
        <f>'Runs Z score'!F317</f>
        <v/>
      </c>
      <c r="G324" s="99">
        <f>'Runs Z score'!G317</f>
        <v/>
      </c>
      <c r="H324" s="100">
        <f>VLOOKUP(C324,Recipes!$A$2:$N$4,10,FALSE())</f>
        <v/>
      </c>
      <c r="I324" s="101">
        <f>VLOOKUP(C324,Recipes!$A$2:$N$4,12,FALSE())</f>
        <v/>
      </c>
      <c r="J324" s="100">
        <f>IF(G324="","",H324-G324)</f>
        <v/>
      </c>
      <c r="K324" s="100">
        <f>IF(G324="","",-0.5*((J324-Components!$D$2)/Components!$E$2)^2)</f>
        <v/>
      </c>
      <c r="L324" s="100">
        <f>IF(G324="","",-0.5*((J324-Components!$D$3)/Components!$E$3)^2)</f>
        <v/>
      </c>
      <c r="M324" s="100">
        <f>IF(G324="","",-0.5*((J324-Components!$D$4)/Components!$E$4)^2)</f>
        <v/>
      </c>
      <c r="N324" s="100">
        <f>IF(G324="","",-0.5*((J324-Components!$D$5)/Components!$E$5)^2)</f>
        <v/>
      </c>
      <c r="O324" s="100">
        <f>IF(G324="","",-0.5*((J324-Components!$D$6)/Components!$E$6)^2)</f>
        <v/>
      </c>
      <c r="P324" s="100">
        <f>IF(G324="","",-0.5*((J324-Components!$D$7)/Components!$E$7)^2)</f>
        <v/>
      </c>
      <c r="Q324" s="100">
        <f>IF(G324="","",EXP(LARGE(K324:P324,1)-MAX(K324:P324))/(EXP(K324-MAX(K324:P324))+EXP(L324-MAX(K324:P324))+EXP(M324-MAX(K324:P324))+EXP(N324-MAX(K324:P324))+EXP(O324-MAX(K324:P324))+EXP(P324-MAX(K324:P324))))</f>
        <v/>
      </c>
      <c r="R324" s="100">
        <f>IF(G324="","",EXP(LARGE(K324:P324,2)-MAX(K324:P324))/(EXP(K324-MAX(K324:P324))+EXP(L324-MAX(K324:P324))+EXP(M324-MAX(K324:P324))+EXP(N324-MAX(K324:P324))+EXP(O324-MAX(K324:P324))+EXP(P324-MAX(K324:P324))))</f>
        <v/>
      </c>
      <c r="S324" s="100">
        <f>IF(G324="","",Q324-R324)</f>
        <v/>
      </c>
      <c r="T324" s="98">
        <f>IF(G324="","",IF(AND(G324&gt;=H324-$B$6*I324,G324&lt;=H324+$B$6*I324),"OK","NG"))</f>
        <v/>
      </c>
      <c r="U324" s="69">
        <f>IF(T324="","",IF(T324=D324,1,0))</f>
        <v/>
      </c>
      <c r="V324" s="98">
        <f>IF(G324="","",IF(T324="OK","NONE",INDEX({"S1","S2","W1","W2","N1","N2"},MATCH(MAX(K324:P324),K324:P324,0))))</f>
        <v/>
      </c>
      <c r="W324" s="69">
        <f>IF(G324="","",IF(V324=E324,1,0))</f>
        <v/>
      </c>
      <c r="X324" s="115">
        <f>IF(G324="","",IF(AND(T324="NG",S324&lt;$B$7),"AMBIGUOUS","CONFIDENT"))</f>
        <v/>
      </c>
    </row>
    <row r="325">
      <c r="A325" s="102">
        <f>'Runs Z score'!A318</f>
        <v/>
      </c>
      <c r="B325" s="98">
        <f>'Runs Z score'!B318</f>
        <v/>
      </c>
      <c r="C325" s="98">
        <f>'Runs Z score'!C318</f>
        <v/>
      </c>
      <c r="D325" s="98">
        <f>'Runs Z score'!D318</f>
        <v/>
      </c>
      <c r="E325" s="98">
        <f>'Runs Z score'!E318</f>
        <v/>
      </c>
      <c r="F325" s="98">
        <f>'Runs Z score'!F318</f>
        <v/>
      </c>
      <c r="G325" s="99">
        <f>'Runs Z score'!G318</f>
        <v/>
      </c>
      <c r="H325" s="100">
        <f>VLOOKUP(C325,Recipes!$A$2:$N$4,10,FALSE())</f>
        <v/>
      </c>
      <c r="I325" s="101">
        <f>VLOOKUP(C325,Recipes!$A$2:$N$4,12,FALSE())</f>
        <v/>
      </c>
      <c r="J325" s="100">
        <f>IF(G325="","",H325-G325)</f>
        <v/>
      </c>
      <c r="K325" s="100">
        <f>IF(G325="","",-0.5*((J325-Components!$D$2)/Components!$E$2)^2)</f>
        <v/>
      </c>
      <c r="L325" s="100">
        <f>IF(G325="","",-0.5*((J325-Components!$D$3)/Components!$E$3)^2)</f>
        <v/>
      </c>
      <c r="M325" s="100">
        <f>IF(G325="","",-0.5*((J325-Components!$D$4)/Components!$E$4)^2)</f>
        <v/>
      </c>
      <c r="N325" s="100">
        <f>IF(G325="","",-0.5*((J325-Components!$D$5)/Components!$E$5)^2)</f>
        <v/>
      </c>
      <c r="O325" s="100">
        <f>IF(G325="","",-0.5*((J325-Components!$D$6)/Components!$E$6)^2)</f>
        <v/>
      </c>
      <c r="P325" s="100">
        <f>IF(G325="","",-0.5*((J325-Components!$D$7)/Components!$E$7)^2)</f>
        <v/>
      </c>
      <c r="Q325" s="100">
        <f>IF(G325="","",EXP(LARGE(K325:P325,1)-MAX(K325:P325))/(EXP(K325-MAX(K325:P325))+EXP(L325-MAX(K325:P325))+EXP(M325-MAX(K325:P325))+EXP(N325-MAX(K325:P325))+EXP(O325-MAX(K325:P325))+EXP(P325-MAX(K325:P325))))</f>
        <v/>
      </c>
      <c r="R325" s="100">
        <f>IF(G325="","",EXP(LARGE(K325:P325,2)-MAX(K325:P325))/(EXP(K325-MAX(K325:P325))+EXP(L325-MAX(K325:P325))+EXP(M325-MAX(K325:P325))+EXP(N325-MAX(K325:P325))+EXP(O325-MAX(K325:P325))+EXP(P325-MAX(K325:P325))))</f>
        <v/>
      </c>
      <c r="S325" s="100">
        <f>IF(G325="","",Q325-R325)</f>
        <v/>
      </c>
      <c r="T325" s="98">
        <f>IF(G325="","",IF(AND(G325&gt;=H325-$B$6*I325,G325&lt;=H325+$B$6*I325),"OK","NG"))</f>
        <v/>
      </c>
      <c r="U325" s="69">
        <f>IF(T325="","",IF(T325=D325,1,0))</f>
        <v/>
      </c>
      <c r="V325" s="98">
        <f>IF(G325="","",IF(T325="OK","NONE",INDEX({"S1","S2","W1","W2","N1","N2"},MATCH(MAX(K325:P325),K325:P325,0))))</f>
        <v/>
      </c>
      <c r="W325" s="69">
        <f>IF(G325="","",IF(V325=E325,1,0))</f>
        <v/>
      </c>
      <c r="X325" s="115">
        <f>IF(G325="","",IF(AND(T325="NG",S325&lt;$B$7),"AMBIGUOUS","CONFIDENT"))</f>
        <v/>
      </c>
    </row>
    <row r="326">
      <c r="A326" s="102">
        <f>'Runs Z score'!A319</f>
        <v/>
      </c>
      <c r="B326" s="98">
        <f>'Runs Z score'!B319</f>
        <v/>
      </c>
      <c r="C326" s="98">
        <f>'Runs Z score'!C319</f>
        <v/>
      </c>
      <c r="D326" s="98">
        <f>'Runs Z score'!D319</f>
        <v/>
      </c>
      <c r="E326" s="98">
        <f>'Runs Z score'!E319</f>
        <v/>
      </c>
      <c r="F326" s="98">
        <f>'Runs Z score'!F319</f>
        <v/>
      </c>
      <c r="G326" s="99">
        <f>'Runs Z score'!G319</f>
        <v/>
      </c>
      <c r="H326" s="100">
        <f>VLOOKUP(C326,Recipes!$A$2:$N$4,10,FALSE())</f>
        <v/>
      </c>
      <c r="I326" s="101">
        <f>VLOOKUP(C326,Recipes!$A$2:$N$4,12,FALSE())</f>
        <v/>
      </c>
      <c r="J326" s="100">
        <f>IF(G326="","",H326-G326)</f>
        <v/>
      </c>
      <c r="K326" s="100">
        <f>IF(G326="","",-0.5*((J326-Components!$D$2)/Components!$E$2)^2)</f>
        <v/>
      </c>
      <c r="L326" s="100">
        <f>IF(G326="","",-0.5*((J326-Components!$D$3)/Components!$E$3)^2)</f>
        <v/>
      </c>
      <c r="M326" s="100">
        <f>IF(G326="","",-0.5*((J326-Components!$D$4)/Components!$E$4)^2)</f>
        <v/>
      </c>
      <c r="N326" s="100">
        <f>IF(G326="","",-0.5*((J326-Components!$D$5)/Components!$E$5)^2)</f>
        <v/>
      </c>
      <c r="O326" s="100">
        <f>IF(G326="","",-0.5*((J326-Components!$D$6)/Components!$E$6)^2)</f>
        <v/>
      </c>
      <c r="P326" s="100">
        <f>IF(G326="","",-0.5*((J326-Components!$D$7)/Components!$E$7)^2)</f>
        <v/>
      </c>
      <c r="Q326" s="100">
        <f>IF(G326="","",EXP(LARGE(K326:P326,1)-MAX(K326:P326))/(EXP(K326-MAX(K326:P326))+EXP(L326-MAX(K326:P326))+EXP(M326-MAX(K326:P326))+EXP(N326-MAX(K326:P326))+EXP(O326-MAX(K326:P326))+EXP(P326-MAX(K326:P326))))</f>
        <v/>
      </c>
      <c r="R326" s="100">
        <f>IF(G326="","",EXP(LARGE(K326:P326,2)-MAX(K326:P326))/(EXP(K326-MAX(K326:P326))+EXP(L326-MAX(K326:P326))+EXP(M326-MAX(K326:P326))+EXP(N326-MAX(K326:P326))+EXP(O326-MAX(K326:P326))+EXP(P326-MAX(K326:P326))))</f>
        <v/>
      </c>
      <c r="S326" s="100">
        <f>IF(G326="","",Q326-R326)</f>
        <v/>
      </c>
      <c r="T326" s="98">
        <f>IF(G326="","",IF(AND(G326&gt;=H326-$B$6*I326,G326&lt;=H326+$B$6*I326),"OK","NG"))</f>
        <v/>
      </c>
      <c r="U326" s="69">
        <f>IF(T326="","",IF(T326=D326,1,0))</f>
        <v/>
      </c>
      <c r="V326" s="98">
        <f>IF(G326="","",IF(T326="OK","NONE",INDEX({"S1","S2","W1","W2","N1","N2"},MATCH(MAX(K326:P326),K326:P326,0))))</f>
        <v/>
      </c>
      <c r="W326" s="69">
        <f>IF(G326="","",IF(V326=E326,1,0))</f>
        <v/>
      </c>
      <c r="X326" s="115">
        <f>IF(G326="","",IF(AND(T326="NG",S326&lt;$B$7),"AMBIGUOUS","CONFIDENT"))</f>
        <v/>
      </c>
    </row>
    <row r="327">
      <c r="A327" s="102">
        <f>'Runs Z score'!A320</f>
        <v/>
      </c>
      <c r="B327" s="98">
        <f>'Runs Z score'!B320</f>
        <v/>
      </c>
      <c r="C327" s="98">
        <f>'Runs Z score'!C320</f>
        <v/>
      </c>
      <c r="D327" s="98">
        <f>'Runs Z score'!D320</f>
        <v/>
      </c>
      <c r="E327" s="98">
        <f>'Runs Z score'!E320</f>
        <v/>
      </c>
      <c r="F327" s="98">
        <f>'Runs Z score'!F320</f>
        <v/>
      </c>
      <c r="G327" s="99">
        <f>'Runs Z score'!G320</f>
        <v/>
      </c>
      <c r="H327" s="100">
        <f>VLOOKUP(C327,Recipes!$A$2:$N$4,10,FALSE())</f>
        <v/>
      </c>
      <c r="I327" s="101">
        <f>VLOOKUP(C327,Recipes!$A$2:$N$4,12,FALSE())</f>
        <v/>
      </c>
      <c r="J327" s="100">
        <f>IF(G327="","",H327-G327)</f>
        <v/>
      </c>
      <c r="K327" s="100">
        <f>IF(G327="","",-0.5*((J327-Components!$D$2)/Components!$E$2)^2)</f>
        <v/>
      </c>
      <c r="L327" s="100">
        <f>IF(G327="","",-0.5*((J327-Components!$D$3)/Components!$E$3)^2)</f>
        <v/>
      </c>
      <c r="M327" s="100">
        <f>IF(G327="","",-0.5*((J327-Components!$D$4)/Components!$E$4)^2)</f>
        <v/>
      </c>
      <c r="N327" s="100">
        <f>IF(G327="","",-0.5*((J327-Components!$D$5)/Components!$E$5)^2)</f>
        <v/>
      </c>
      <c r="O327" s="100">
        <f>IF(G327="","",-0.5*((J327-Components!$D$6)/Components!$E$6)^2)</f>
        <v/>
      </c>
      <c r="P327" s="100">
        <f>IF(G327="","",-0.5*((J327-Components!$D$7)/Components!$E$7)^2)</f>
        <v/>
      </c>
      <c r="Q327" s="100">
        <f>IF(G327="","",EXP(LARGE(K327:P327,1)-MAX(K327:P327))/(EXP(K327-MAX(K327:P327))+EXP(L327-MAX(K327:P327))+EXP(M327-MAX(K327:P327))+EXP(N327-MAX(K327:P327))+EXP(O327-MAX(K327:P327))+EXP(P327-MAX(K327:P327))))</f>
        <v/>
      </c>
      <c r="R327" s="100">
        <f>IF(G327="","",EXP(LARGE(K327:P327,2)-MAX(K327:P327))/(EXP(K327-MAX(K327:P327))+EXP(L327-MAX(K327:P327))+EXP(M327-MAX(K327:P327))+EXP(N327-MAX(K327:P327))+EXP(O327-MAX(K327:P327))+EXP(P327-MAX(K327:P327))))</f>
        <v/>
      </c>
      <c r="S327" s="100">
        <f>IF(G327="","",Q327-R327)</f>
        <v/>
      </c>
      <c r="T327" s="98">
        <f>IF(G327="","",IF(AND(G327&gt;=H327-$B$6*I327,G327&lt;=H327+$B$6*I327),"OK","NG"))</f>
        <v/>
      </c>
      <c r="U327" s="69">
        <f>IF(T327="","",IF(T327=D327,1,0))</f>
        <v/>
      </c>
      <c r="V327" s="98">
        <f>IF(G327="","",IF(T327="OK","NONE",INDEX({"S1","S2","W1","W2","N1","N2"},MATCH(MAX(K327:P327),K327:P327,0))))</f>
        <v/>
      </c>
      <c r="W327" s="69">
        <f>IF(G327="","",IF(V327=E327,1,0))</f>
        <v/>
      </c>
      <c r="X327" s="115">
        <f>IF(G327="","",IF(AND(T327="NG",S327&lt;$B$7),"AMBIGUOUS","CONFIDENT"))</f>
        <v/>
      </c>
    </row>
    <row r="328">
      <c r="A328" s="102">
        <f>'Runs Z score'!A321</f>
        <v/>
      </c>
      <c r="B328" s="98">
        <f>'Runs Z score'!B321</f>
        <v/>
      </c>
      <c r="C328" s="98">
        <f>'Runs Z score'!C321</f>
        <v/>
      </c>
      <c r="D328" s="98">
        <f>'Runs Z score'!D321</f>
        <v/>
      </c>
      <c r="E328" s="98">
        <f>'Runs Z score'!E321</f>
        <v/>
      </c>
      <c r="F328" s="98">
        <f>'Runs Z score'!F321</f>
        <v/>
      </c>
      <c r="G328" s="99">
        <f>'Runs Z score'!G321</f>
        <v/>
      </c>
      <c r="H328" s="100">
        <f>VLOOKUP(C328,Recipes!$A$2:$N$4,10,FALSE())</f>
        <v/>
      </c>
      <c r="I328" s="101">
        <f>VLOOKUP(C328,Recipes!$A$2:$N$4,12,FALSE())</f>
        <v/>
      </c>
      <c r="J328" s="100">
        <f>IF(G328="","",H328-G328)</f>
        <v/>
      </c>
      <c r="K328" s="100">
        <f>IF(G328="","",-0.5*((J328-Components!$D$2)/Components!$E$2)^2)</f>
        <v/>
      </c>
      <c r="L328" s="100">
        <f>IF(G328="","",-0.5*((J328-Components!$D$3)/Components!$E$3)^2)</f>
        <v/>
      </c>
      <c r="M328" s="100">
        <f>IF(G328="","",-0.5*((J328-Components!$D$4)/Components!$E$4)^2)</f>
        <v/>
      </c>
      <c r="N328" s="100">
        <f>IF(G328="","",-0.5*((J328-Components!$D$5)/Components!$E$5)^2)</f>
        <v/>
      </c>
      <c r="O328" s="100">
        <f>IF(G328="","",-0.5*((J328-Components!$D$6)/Components!$E$6)^2)</f>
        <v/>
      </c>
      <c r="P328" s="100">
        <f>IF(G328="","",-0.5*((J328-Components!$D$7)/Components!$E$7)^2)</f>
        <v/>
      </c>
      <c r="Q328" s="100">
        <f>IF(G328="","",EXP(LARGE(K328:P328,1)-MAX(K328:P328))/(EXP(K328-MAX(K328:P328))+EXP(L328-MAX(K328:P328))+EXP(M328-MAX(K328:P328))+EXP(N328-MAX(K328:P328))+EXP(O328-MAX(K328:P328))+EXP(P328-MAX(K328:P328))))</f>
        <v/>
      </c>
      <c r="R328" s="100">
        <f>IF(G328="","",EXP(LARGE(K328:P328,2)-MAX(K328:P328))/(EXP(K328-MAX(K328:P328))+EXP(L328-MAX(K328:P328))+EXP(M328-MAX(K328:P328))+EXP(N328-MAX(K328:P328))+EXP(O328-MAX(K328:P328))+EXP(P328-MAX(K328:P328))))</f>
        <v/>
      </c>
      <c r="S328" s="100">
        <f>IF(G328="","",Q328-R328)</f>
        <v/>
      </c>
      <c r="T328" s="98">
        <f>IF(G328="","",IF(AND(G328&gt;=H328-$B$6*I328,G328&lt;=H328+$B$6*I328),"OK","NG"))</f>
        <v/>
      </c>
      <c r="U328" s="69">
        <f>IF(T328="","",IF(T328=D328,1,0))</f>
        <v/>
      </c>
      <c r="V328" s="98">
        <f>IF(G328="","",IF(T328="OK","NONE",INDEX({"S1","S2","W1","W2","N1","N2"},MATCH(MAX(K328:P328),K328:P328,0))))</f>
        <v/>
      </c>
      <c r="W328" s="69">
        <f>IF(G328="","",IF(V328=E328,1,0))</f>
        <v/>
      </c>
      <c r="X328" s="115">
        <f>IF(G328="","",IF(AND(T328="NG",S328&lt;$B$7),"AMBIGUOUS","CONFIDENT"))</f>
        <v/>
      </c>
    </row>
    <row r="329">
      <c r="A329" s="102">
        <f>'Runs Z score'!A322</f>
        <v/>
      </c>
      <c r="B329" s="98">
        <f>'Runs Z score'!B322</f>
        <v/>
      </c>
      <c r="C329" s="98">
        <f>'Runs Z score'!C322</f>
        <v/>
      </c>
      <c r="D329" s="98">
        <f>'Runs Z score'!D322</f>
        <v/>
      </c>
      <c r="E329" s="98">
        <f>'Runs Z score'!E322</f>
        <v/>
      </c>
      <c r="F329" s="98">
        <f>'Runs Z score'!F322</f>
        <v/>
      </c>
      <c r="G329" s="99">
        <f>'Runs Z score'!G322</f>
        <v/>
      </c>
      <c r="H329" s="100">
        <f>VLOOKUP(C329,Recipes!$A$2:$N$4,10,FALSE())</f>
        <v/>
      </c>
      <c r="I329" s="101">
        <f>VLOOKUP(C329,Recipes!$A$2:$N$4,12,FALSE())</f>
        <v/>
      </c>
      <c r="J329" s="100">
        <f>IF(G329="","",H329-G329)</f>
        <v/>
      </c>
      <c r="K329" s="100">
        <f>IF(G329="","",-0.5*((J329-Components!$D$2)/Components!$E$2)^2)</f>
        <v/>
      </c>
      <c r="L329" s="100">
        <f>IF(G329="","",-0.5*((J329-Components!$D$3)/Components!$E$3)^2)</f>
        <v/>
      </c>
      <c r="M329" s="100">
        <f>IF(G329="","",-0.5*((J329-Components!$D$4)/Components!$E$4)^2)</f>
        <v/>
      </c>
      <c r="N329" s="100">
        <f>IF(G329="","",-0.5*((J329-Components!$D$5)/Components!$E$5)^2)</f>
        <v/>
      </c>
      <c r="O329" s="100">
        <f>IF(G329="","",-0.5*((J329-Components!$D$6)/Components!$E$6)^2)</f>
        <v/>
      </c>
      <c r="P329" s="100">
        <f>IF(G329="","",-0.5*((J329-Components!$D$7)/Components!$E$7)^2)</f>
        <v/>
      </c>
      <c r="Q329" s="100">
        <f>IF(G329="","",EXP(LARGE(K329:P329,1)-MAX(K329:P329))/(EXP(K329-MAX(K329:P329))+EXP(L329-MAX(K329:P329))+EXP(M329-MAX(K329:P329))+EXP(N329-MAX(K329:P329))+EXP(O329-MAX(K329:P329))+EXP(P329-MAX(K329:P329))))</f>
        <v/>
      </c>
      <c r="R329" s="100">
        <f>IF(G329="","",EXP(LARGE(K329:P329,2)-MAX(K329:P329))/(EXP(K329-MAX(K329:P329))+EXP(L329-MAX(K329:P329))+EXP(M329-MAX(K329:P329))+EXP(N329-MAX(K329:P329))+EXP(O329-MAX(K329:P329))+EXP(P329-MAX(K329:P329))))</f>
        <v/>
      </c>
      <c r="S329" s="100">
        <f>IF(G329="","",Q329-R329)</f>
        <v/>
      </c>
      <c r="T329" s="98">
        <f>IF(G329="","",IF(AND(G329&gt;=H329-$B$6*I329,G329&lt;=H329+$B$6*I329),"OK","NG"))</f>
        <v/>
      </c>
      <c r="U329" s="69">
        <f>IF(T329="","",IF(T329=D329,1,0))</f>
        <v/>
      </c>
      <c r="V329" s="98">
        <f>IF(G329="","",IF(T329="OK","NONE",INDEX({"S1","S2","W1","W2","N1","N2"},MATCH(MAX(K329:P329),K329:P329,0))))</f>
        <v/>
      </c>
      <c r="W329" s="69">
        <f>IF(G329="","",IF(V329=E329,1,0))</f>
        <v/>
      </c>
      <c r="X329" s="115">
        <f>IF(G329="","",IF(AND(T329="NG",S329&lt;$B$7),"AMBIGUOUS","CONFIDENT"))</f>
        <v/>
      </c>
    </row>
    <row r="330">
      <c r="A330" s="102">
        <f>'Runs Z score'!A323</f>
        <v/>
      </c>
      <c r="B330" s="98">
        <f>'Runs Z score'!B323</f>
        <v/>
      </c>
      <c r="C330" s="98">
        <f>'Runs Z score'!C323</f>
        <v/>
      </c>
      <c r="D330" s="98">
        <f>'Runs Z score'!D323</f>
        <v/>
      </c>
      <c r="E330" s="98">
        <f>'Runs Z score'!E323</f>
        <v/>
      </c>
      <c r="F330" s="98">
        <f>'Runs Z score'!F323</f>
        <v/>
      </c>
      <c r="G330" s="99">
        <f>'Runs Z score'!G323</f>
        <v/>
      </c>
      <c r="H330" s="100">
        <f>VLOOKUP(C330,Recipes!$A$2:$N$4,10,FALSE())</f>
        <v/>
      </c>
      <c r="I330" s="101">
        <f>VLOOKUP(C330,Recipes!$A$2:$N$4,12,FALSE())</f>
        <v/>
      </c>
      <c r="J330" s="100">
        <f>IF(G330="","",H330-G330)</f>
        <v/>
      </c>
      <c r="K330" s="100">
        <f>IF(G330="","",-0.5*((J330-Components!$D$2)/Components!$E$2)^2)</f>
        <v/>
      </c>
      <c r="L330" s="100">
        <f>IF(G330="","",-0.5*((J330-Components!$D$3)/Components!$E$3)^2)</f>
        <v/>
      </c>
      <c r="M330" s="100">
        <f>IF(G330="","",-0.5*((J330-Components!$D$4)/Components!$E$4)^2)</f>
        <v/>
      </c>
      <c r="N330" s="100">
        <f>IF(G330="","",-0.5*((J330-Components!$D$5)/Components!$E$5)^2)</f>
        <v/>
      </c>
      <c r="O330" s="100">
        <f>IF(G330="","",-0.5*((J330-Components!$D$6)/Components!$E$6)^2)</f>
        <v/>
      </c>
      <c r="P330" s="100">
        <f>IF(G330="","",-0.5*((J330-Components!$D$7)/Components!$E$7)^2)</f>
        <v/>
      </c>
      <c r="Q330" s="100">
        <f>IF(G330="","",EXP(LARGE(K330:P330,1)-MAX(K330:P330))/(EXP(K330-MAX(K330:P330))+EXP(L330-MAX(K330:P330))+EXP(M330-MAX(K330:P330))+EXP(N330-MAX(K330:P330))+EXP(O330-MAX(K330:P330))+EXP(P330-MAX(K330:P330))))</f>
        <v/>
      </c>
      <c r="R330" s="100">
        <f>IF(G330="","",EXP(LARGE(K330:P330,2)-MAX(K330:P330))/(EXP(K330-MAX(K330:P330))+EXP(L330-MAX(K330:P330))+EXP(M330-MAX(K330:P330))+EXP(N330-MAX(K330:P330))+EXP(O330-MAX(K330:P330))+EXP(P330-MAX(K330:P330))))</f>
        <v/>
      </c>
      <c r="S330" s="100">
        <f>IF(G330="","",Q330-R330)</f>
        <v/>
      </c>
      <c r="T330" s="98">
        <f>IF(G330="","",IF(AND(G330&gt;=H330-$B$6*I330,G330&lt;=H330+$B$6*I330),"OK","NG"))</f>
        <v/>
      </c>
      <c r="U330" s="69">
        <f>IF(T330="","",IF(T330=D330,1,0))</f>
        <v/>
      </c>
      <c r="V330" s="98">
        <f>IF(G330="","",IF(T330="OK","NONE",INDEX({"S1","S2","W1","W2","N1","N2"},MATCH(MAX(K330:P330),K330:P330,0))))</f>
        <v/>
      </c>
      <c r="W330" s="69">
        <f>IF(G330="","",IF(V330=E330,1,0))</f>
        <v/>
      </c>
      <c r="X330" s="115">
        <f>IF(G330="","",IF(AND(T330="NG",S330&lt;$B$7),"AMBIGUOUS","CONFIDENT"))</f>
        <v/>
      </c>
    </row>
    <row r="331">
      <c r="A331" s="102">
        <f>'Runs Z score'!A324</f>
        <v/>
      </c>
      <c r="B331" s="98">
        <f>'Runs Z score'!B324</f>
        <v/>
      </c>
      <c r="C331" s="98">
        <f>'Runs Z score'!C324</f>
        <v/>
      </c>
      <c r="D331" s="98">
        <f>'Runs Z score'!D324</f>
        <v/>
      </c>
      <c r="E331" s="98">
        <f>'Runs Z score'!E324</f>
        <v/>
      </c>
      <c r="F331" s="98">
        <f>'Runs Z score'!F324</f>
        <v/>
      </c>
      <c r="G331" s="99">
        <f>'Runs Z score'!G324</f>
        <v/>
      </c>
      <c r="H331" s="100">
        <f>VLOOKUP(C331,Recipes!$A$2:$N$4,10,FALSE())</f>
        <v/>
      </c>
      <c r="I331" s="101">
        <f>VLOOKUP(C331,Recipes!$A$2:$N$4,12,FALSE())</f>
        <v/>
      </c>
      <c r="J331" s="100">
        <f>IF(G331="","",H331-G331)</f>
        <v/>
      </c>
      <c r="K331" s="100">
        <f>IF(G331="","",-0.5*((J331-Components!$D$2)/Components!$E$2)^2)</f>
        <v/>
      </c>
      <c r="L331" s="100">
        <f>IF(G331="","",-0.5*((J331-Components!$D$3)/Components!$E$3)^2)</f>
        <v/>
      </c>
      <c r="M331" s="100">
        <f>IF(G331="","",-0.5*((J331-Components!$D$4)/Components!$E$4)^2)</f>
        <v/>
      </c>
      <c r="N331" s="100">
        <f>IF(G331="","",-0.5*((J331-Components!$D$5)/Components!$E$5)^2)</f>
        <v/>
      </c>
      <c r="O331" s="100">
        <f>IF(G331="","",-0.5*((J331-Components!$D$6)/Components!$E$6)^2)</f>
        <v/>
      </c>
      <c r="P331" s="100">
        <f>IF(G331="","",-0.5*((J331-Components!$D$7)/Components!$E$7)^2)</f>
        <v/>
      </c>
      <c r="Q331" s="100">
        <f>IF(G331="","",EXP(LARGE(K331:P331,1)-MAX(K331:P331))/(EXP(K331-MAX(K331:P331))+EXP(L331-MAX(K331:P331))+EXP(M331-MAX(K331:P331))+EXP(N331-MAX(K331:P331))+EXP(O331-MAX(K331:P331))+EXP(P331-MAX(K331:P331))))</f>
        <v/>
      </c>
      <c r="R331" s="100">
        <f>IF(G331="","",EXP(LARGE(K331:P331,2)-MAX(K331:P331))/(EXP(K331-MAX(K331:P331))+EXP(L331-MAX(K331:P331))+EXP(M331-MAX(K331:P331))+EXP(N331-MAX(K331:P331))+EXP(O331-MAX(K331:P331))+EXP(P331-MAX(K331:P331))))</f>
        <v/>
      </c>
      <c r="S331" s="100">
        <f>IF(G331="","",Q331-R331)</f>
        <v/>
      </c>
      <c r="T331" s="98">
        <f>IF(G331="","",IF(AND(G331&gt;=H331-$B$6*I331,G331&lt;=H331+$B$6*I331),"OK","NG"))</f>
        <v/>
      </c>
      <c r="U331" s="69">
        <f>IF(T331="","",IF(T331=D331,1,0))</f>
        <v/>
      </c>
      <c r="V331" s="98">
        <f>IF(G331="","",IF(T331="OK","NONE",INDEX({"S1","S2","W1","W2","N1","N2"},MATCH(MAX(K331:P331),K331:P331,0))))</f>
        <v/>
      </c>
      <c r="W331" s="69">
        <f>IF(G331="","",IF(V331=E331,1,0))</f>
        <v/>
      </c>
      <c r="X331" s="115">
        <f>IF(G331="","",IF(AND(T331="NG",S331&lt;$B$7),"AMBIGUOUS","CONFIDENT"))</f>
        <v/>
      </c>
    </row>
    <row r="332">
      <c r="A332" s="102">
        <f>'Runs Z score'!A325</f>
        <v/>
      </c>
      <c r="B332" s="98">
        <f>'Runs Z score'!B325</f>
        <v/>
      </c>
      <c r="C332" s="98">
        <f>'Runs Z score'!C325</f>
        <v/>
      </c>
      <c r="D332" s="98">
        <f>'Runs Z score'!D325</f>
        <v/>
      </c>
      <c r="E332" s="98">
        <f>'Runs Z score'!E325</f>
        <v/>
      </c>
      <c r="F332" s="98">
        <f>'Runs Z score'!F325</f>
        <v/>
      </c>
      <c r="G332" s="99">
        <f>'Runs Z score'!G325</f>
        <v/>
      </c>
      <c r="H332" s="100">
        <f>VLOOKUP(C332,Recipes!$A$2:$N$4,10,FALSE())</f>
        <v/>
      </c>
      <c r="I332" s="101">
        <f>VLOOKUP(C332,Recipes!$A$2:$N$4,12,FALSE())</f>
        <v/>
      </c>
      <c r="J332" s="100">
        <f>IF(G332="","",H332-G332)</f>
        <v/>
      </c>
      <c r="K332" s="100">
        <f>IF(G332="","",-0.5*((J332-Components!$D$2)/Components!$E$2)^2)</f>
        <v/>
      </c>
      <c r="L332" s="100">
        <f>IF(G332="","",-0.5*((J332-Components!$D$3)/Components!$E$3)^2)</f>
        <v/>
      </c>
      <c r="M332" s="100">
        <f>IF(G332="","",-0.5*((J332-Components!$D$4)/Components!$E$4)^2)</f>
        <v/>
      </c>
      <c r="N332" s="100">
        <f>IF(G332="","",-0.5*((J332-Components!$D$5)/Components!$E$5)^2)</f>
        <v/>
      </c>
      <c r="O332" s="100">
        <f>IF(G332="","",-0.5*((J332-Components!$D$6)/Components!$E$6)^2)</f>
        <v/>
      </c>
      <c r="P332" s="100">
        <f>IF(G332="","",-0.5*((J332-Components!$D$7)/Components!$E$7)^2)</f>
        <v/>
      </c>
      <c r="Q332" s="100">
        <f>IF(G332="","",EXP(LARGE(K332:P332,1)-MAX(K332:P332))/(EXP(K332-MAX(K332:P332))+EXP(L332-MAX(K332:P332))+EXP(M332-MAX(K332:P332))+EXP(N332-MAX(K332:P332))+EXP(O332-MAX(K332:P332))+EXP(P332-MAX(K332:P332))))</f>
        <v/>
      </c>
      <c r="R332" s="100">
        <f>IF(G332="","",EXP(LARGE(K332:P332,2)-MAX(K332:P332))/(EXP(K332-MAX(K332:P332))+EXP(L332-MAX(K332:P332))+EXP(M332-MAX(K332:P332))+EXP(N332-MAX(K332:P332))+EXP(O332-MAX(K332:P332))+EXP(P332-MAX(K332:P332))))</f>
        <v/>
      </c>
      <c r="S332" s="100">
        <f>IF(G332="","",Q332-R332)</f>
        <v/>
      </c>
      <c r="T332" s="98">
        <f>IF(G332="","",IF(AND(G332&gt;=H332-$B$6*I332,G332&lt;=H332+$B$6*I332),"OK","NG"))</f>
        <v/>
      </c>
      <c r="U332" s="69">
        <f>IF(T332="","",IF(T332=D332,1,0))</f>
        <v/>
      </c>
      <c r="V332" s="98">
        <f>IF(G332="","",IF(T332="OK","NONE",INDEX({"S1","S2","W1","W2","N1","N2"},MATCH(MAX(K332:P332),K332:P332,0))))</f>
        <v/>
      </c>
      <c r="W332" s="69">
        <f>IF(G332="","",IF(V332=E332,1,0))</f>
        <v/>
      </c>
      <c r="X332" s="115">
        <f>IF(G332="","",IF(AND(T332="NG",S332&lt;$B$7),"AMBIGUOUS","CONFIDENT"))</f>
        <v/>
      </c>
    </row>
    <row r="333">
      <c r="A333" s="102">
        <f>'Runs Z score'!A326</f>
        <v/>
      </c>
      <c r="B333" s="98">
        <f>'Runs Z score'!B326</f>
        <v/>
      </c>
      <c r="C333" s="98">
        <f>'Runs Z score'!C326</f>
        <v/>
      </c>
      <c r="D333" s="98">
        <f>'Runs Z score'!D326</f>
        <v/>
      </c>
      <c r="E333" s="98">
        <f>'Runs Z score'!E326</f>
        <v/>
      </c>
      <c r="F333" s="98">
        <f>'Runs Z score'!F326</f>
        <v/>
      </c>
      <c r="G333" s="99">
        <f>'Runs Z score'!G326</f>
        <v/>
      </c>
      <c r="H333" s="100">
        <f>VLOOKUP(C333,Recipes!$A$2:$N$4,10,FALSE())</f>
        <v/>
      </c>
      <c r="I333" s="101">
        <f>VLOOKUP(C333,Recipes!$A$2:$N$4,12,FALSE())</f>
        <v/>
      </c>
      <c r="J333" s="100">
        <f>IF(G333="","",H333-G333)</f>
        <v/>
      </c>
      <c r="K333" s="100">
        <f>IF(G333="","",-0.5*((J333-Components!$D$2)/Components!$E$2)^2)</f>
        <v/>
      </c>
      <c r="L333" s="100">
        <f>IF(G333="","",-0.5*((J333-Components!$D$3)/Components!$E$3)^2)</f>
        <v/>
      </c>
      <c r="M333" s="100">
        <f>IF(G333="","",-0.5*((J333-Components!$D$4)/Components!$E$4)^2)</f>
        <v/>
      </c>
      <c r="N333" s="100">
        <f>IF(G333="","",-0.5*((J333-Components!$D$5)/Components!$E$5)^2)</f>
        <v/>
      </c>
      <c r="O333" s="100">
        <f>IF(G333="","",-0.5*((J333-Components!$D$6)/Components!$E$6)^2)</f>
        <v/>
      </c>
      <c r="P333" s="100">
        <f>IF(G333="","",-0.5*((J333-Components!$D$7)/Components!$E$7)^2)</f>
        <v/>
      </c>
      <c r="Q333" s="100">
        <f>IF(G333="","",EXP(LARGE(K333:P333,1)-MAX(K333:P333))/(EXP(K333-MAX(K333:P333))+EXP(L333-MAX(K333:P333))+EXP(M333-MAX(K333:P333))+EXP(N333-MAX(K333:P333))+EXP(O333-MAX(K333:P333))+EXP(P333-MAX(K333:P333))))</f>
        <v/>
      </c>
      <c r="R333" s="100">
        <f>IF(G333="","",EXP(LARGE(K333:P333,2)-MAX(K333:P333))/(EXP(K333-MAX(K333:P333))+EXP(L333-MAX(K333:P333))+EXP(M333-MAX(K333:P333))+EXP(N333-MAX(K333:P333))+EXP(O333-MAX(K333:P333))+EXP(P333-MAX(K333:P333))))</f>
        <v/>
      </c>
      <c r="S333" s="100">
        <f>IF(G333="","",Q333-R333)</f>
        <v/>
      </c>
      <c r="T333" s="98">
        <f>IF(G333="","",IF(AND(G333&gt;=H333-$B$6*I333,G333&lt;=H333+$B$6*I333),"OK","NG"))</f>
        <v/>
      </c>
      <c r="U333" s="69">
        <f>IF(T333="","",IF(T333=D333,1,0))</f>
        <v/>
      </c>
      <c r="V333" s="98">
        <f>IF(G333="","",IF(T333="OK","NONE",INDEX({"S1","S2","W1","W2","N1","N2"},MATCH(MAX(K333:P333),K333:P333,0))))</f>
        <v/>
      </c>
      <c r="W333" s="69">
        <f>IF(G333="","",IF(V333=E333,1,0))</f>
        <v/>
      </c>
      <c r="X333" s="115">
        <f>IF(G333="","",IF(AND(T333="NG",S333&lt;$B$7),"AMBIGUOUS","CONFIDENT"))</f>
        <v/>
      </c>
    </row>
    <row r="334">
      <c r="A334" s="102">
        <f>'Runs Z score'!A327</f>
        <v/>
      </c>
      <c r="B334" s="98">
        <f>'Runs Z score'!B327</f>
        <v/>
      </c>
      <c r="C334" s="98">
        <f>'Runs Z score'!C327</f>
        <v/>
      </c>
      <c r="D334" s="98">
        <f>'Runs Z score'!D327</f>
        <v/>
      </c>
      <c r="E334" s="98">
        <f>'Runs Z score'!E327</f>
        <v/>
      </c>
      <c r="F334" s="98">
        <f>'Runs Z score'!F327</f>
        <v/>
      </c>
      <c r="G334" s="99">
        <f>'Runs Z score'!G327</f>
        <v/>
      </c>
      <c r="H334" s="100">
        <f>VLOOKUP(C334,Recipes!$A$2:$N$4,10,FALSE())</f>
        <v/>
      </c>
      <c r="I334" s="101">
        <f>VLOOKUP(C334,Recipes!$A$2:$N$4,12,FALSE())</f>
        <v/>
      </c>
      <c r="J334" s="100">
        <f>IF(G334="","",H334-G334)</f>
        <v/>
      </c>
      <c r="K334" s="100">
        <f>IF(G334="","",-0.5*((J334-Components!$D$2)/Components!$E$2)^2)</f>
        <v/>
      </c>
      <c r="L334" s="100">
        <f>IF(G334="","",-0.5*((J334-Components!$D$3)/Components!$E$3)^2)</f>
        <v/>
      </c>
      <c r="M334" s="100">
        <f>IF(G334="","",-0.5*((J334-Components!$D$4)/Components!$E$4)^2)</f>
        <v/>
      </c>
      <c r="N334" s="100">
        <f>IF(G334="","",-0.5*((J334-Components!$D$5)/Components!$E$5)^2)</f>
        <v/>
      </c>
      <c r="O334" s="100">
        <f>IF(G334="","",-0.5*((J334-Components!$D$6)/Components!$E$6)^2)</f>
        <v/>
      </c>
      <c r="P334" s="100">
        <f>IF(G334="","",-0.5*((J334-Components!$D$7)/Components!$E$7)^2)</f>
        <v/>
      </c>
      <c r="Q334" s="100">
        <f>IF(G334="","",EXP(LARGE(K334:P334,1)-MAX(K334:P334))/(EXP(K334-MAX(K334:P334))+EXP(L334-MAX(K334:P334))+EXP(M334-MAX(K334:P334))+EXP(N334-MAX(K334:P334))+EXP(O334-MAX(K334:P334))+EXP(P334-MAX(K334:P334))))</f>
        <v/>
      </c>
      <c r="R334" s="100">
        <f>IF(G334="","",EXP(LARGE(K334:P334,2)-MAX(K334:P334))/(EXP(K334-MAX(K334:P334))+EXP(L334-MAX(K334:P334))+EXP(M334-MAX(K334:P334))+EXP(N334-MAX(K334:P334))+EXP(O334-MAX(K334:P334))+EXP(P334-MAX(K334:P334))))</f>
        <v/>
      </c>
      <c r="S334" s="100">
        <f>IF(G334="","",Q334-R334)</f>
        <v/>
      </c>
      <c r="T334" s="98">
        <f>IF(G334="","",IF(AND(G334&gt;=H334-$B$6*I334,G334&lt;=H334+$B$6*I334),"OK","NG"))</f>
        <v/>
      </c>
      <c r="U334" s="69">
        <f>IF(T334="","",IF(T334=D334,1,0))</f>
        <v/>
      </c>
      <c r="V334" s="98">
        <f>IF(G334="","",IF(T334="OK","NONE",INDEX({"S1","S2","W1","W2","N1","N2"},MATCH(MAX(K334:P334),K334:P334,0))))</f>
        <v/>
      </c>
      <c r="W334" s="69">
        <f>IF(G334="","",IF(V334=E334,1,0))</f>
        <v/>
      </c>
      <c r="X334" s="115">
        <f>IF(G334="","",IF(AND(T334="NG",S334&lt;$B$7),"AMBIGUOUS","CONFIDENT"))</f>
        <v/>
      </c>
    </row>
    <row r="335">
      <c r="A335" s="102">
        <f>'Runs Z score'!A328</f>
        <v/>
      </c>
      <c r="B335" s="98">
        <f>'Runs Z score'!B328</f>
        <v/>
      </c>
      <c r="C335" s="98">
        <f>'Runs Z score'!C328</f>
        <v/>
      </c>
      <c r="D335" s="98">
        <f>'Runs Z score'!D328</f>
        <v/>
      </c>
      <c r="E335" s="98">
        <f>'Runs Z score'!E328</f>
        <v/>
      </c>
      <c r="F335" s="98">
        <f>'Runs Z score'!F328</f>
        <v/>
      </c>
      <c r="G335" s="99">
        <f>'Runs Z score'!G328</f>
        <v/>
      </c>
      <c r="H335" s="100">
        <f>VLOOKUP(C335,Recipes!$A$2:$N$4,10,FALSE())</f>
        <v/>
      </c>
      <c r="I335" s="101">
        <f>VLOOKUP(C335,Recipes!$A$2:$N$4,12,FALSE())</f>
        <v/>
      </c>
      <c r="J335" s="100">
        <f>IF(G335="","",H335-G335)</f>
        <v/>
      </c>
      <c r="K335" s="100">
        <f>IF(G335="","",-0.5*((J335-Components!$D$2)/Components!$E$2)^2)</f>
        <v/>
      </c>
      <c r="L335" s="100">
        <f>IF(G335="","",-0.5*((J335-Components!$D$3)/Components!$E$3)^2)</f>
        <v/>
      </c>
      <c r="M335" s="100">
        <f>IF(G335="","",-0.5*((J335-Components!$D$4)/Components!$E$4)^2)</f>
        <v/>
      </c>
      <c r="N335" s="100">
        <f>IF(G335="","",-0.5*((J335-Components!$D$5)/Components!$E$5)^2)</f>
        <v/>
      </c>
      <c r="O335" s="100">
        <f>IF(G335="","",-0.5*((J335-Components!$D$6)/Components!$E$6)^2)</f>
        <v/>
      </c>
      <c r="P335" s="100">
        <f>IF(G335="","",-0.5*((J335-Components!$D$7)/Components!$E$7)^2)</f>
        <v/>
      </c>
      <c r="Q335" s="100">
        <f>IF(G335="","",EXP(LARGE(K335:P335,1)-MAX(K335:P335))/(EXP(K335-MAX(K335:P335))+EXP(L335-MAX(K335:P335))+EXP(M335-MAX(K335:P335))+EXP(N335-MAX(K335:P335))+EXP(O335-MAX(K335:P335))+EXP(P335-MAX(K335:P335))))</f>
        <v/>
      </c>
      <c r="R335" s="100">
        <f>IF(G335="","",EXP(LARGE(K335:P335,2)-MAX(K335:P335))/(EXP(K335-MAX(K335:P335))+EXP(L335-MAX(K335:P335))+EXP(M335-MAX(K335:P335))+EXP(N335-MAX(K335:P335))+EXP(O335-MAX(K335:P335))+EXP(P335-MAX(K335:P335))))</f>
        <v/>
      </c>
      <c r="S335" s="100">
        <f>IF(G335="","",Q335-R335)</f>
        <v/>
      </c>
      <c r="T335" s="98">
        <f>IF(G335="","",IF(AND(G335&gt;=H335-$B$6*I335,G335&lt;=H335+$B$6*I335),"OK","NG"))</f>
        <v/>
      </c>
      <c r="U335" s="69">
        <f>IF(T335="","",IF(T335=D335,1,0))</f>
        <v/>
      </c>
      <c r="V335" s="98">
        <f>IF(G335="","",IF(T335="OK","NONE",INDEX({"S1","S2","W1","W2","N1","N2"},MATCH(MAX(K335:P335),K335:P335,0))))</f>
        <v/>
      </c>
      <c r="W335" s="69">
        <f>IF(G335="","",IF(V335=E335,1,0))</f>
        <v/>
      </c>
      <c r="X335" s="115">
        <f>IF(G335="","",IF(AND(T335="NG",S335&lt;$B$7),"AMBIGUOUS","CONFIDENT"))</f>
        <v/>
      </c>
    </row>
    <row r="336">
      <c r="A336" s="102">
        <f>'Runs Z score'!A329</f>
        <v/>
      </c>
      <c r="B336" s="98">
        <f>'Runs Z score'!B329</f>
        <v/>
      </c>
      <c r="C336" s="98">
        <f>'Runs Z score'!C329</f>
        <v/>
      </c>
      <c r="D336" s="98">
        <f>'Runs Z score'!D329</f>
        <v/>
      </c>
      <c r="E336" s="98">
        <f>'Runs Z score'!E329</f>
        <v/>
      </c>
      <c r="F336" s="98">
        <f>'Runs Z score'!F329</f>
        <v/>
      </c>
      <c r="G336" s="99">
        <f>'Runs Z score'!G329</f>
        <v/>
      </c>
      <c r="H336" s="100">
        <f>VLOOKUP(C336,Recipes!$A$2:$N$4,10,FALSE())</f>
        <v/>
      </c>
      <c r="I336" s="101">
        <f>VLOOKUP(C336,Recipes!$A$2:$N$4,12,FALSE())</f>
        <v/>
      </c>
      <c r="J336" s="100">
        <f>IF(G336="","",H336-G336)</f>
        <v/>
      </c>
      <c r="K336" s="100">
        <f>IF(G336="","",-0.5*((J336-Components!$D$2)/Components!$E$2)^2)</f>
        <v/>
      </c>
      <c r="L336" s="100">
        <f>IF(G336="","",-0.5*((J336-Components!$D$3)/Components!$E$3)^2)</f>
        <v/>
      </c>
      <c r="M336" s="100">
        <f>IF(G336="","",-0.5*((J336-Components!$D$4)/Components!$E$4)^2)</f>
        <v/>
      </c>
      <c r="N336" s="100">
        <f>IF(G336="","",-0.5*((J336-Components!$D$5)/Components!$E$5)^2)</f>
        <v/>
      </c>
      <c r="O336" s="100">
        <f>IF(G336="","",-0.5*((J336-Components!$D$6)/Components!$E$6)^2)</f>
        <v/>
      </c>
      <c r="P336" s="100">
        <f>IF(G336="","",-0.5*((J336-Components!$D$7)/Components!$E$7)^2)</f>
        <v/>
      </c>
      <c r="Q336" s="100">
        <f>IF(G336="","",EXP(LARGE(K336:P336,1)-MAX(K336:P336))/(EXP(K336-MAX(K336:P336))+EXP(L336-MAX(K336:P336))+EXP(M336-MAX(K336:P336))+EXP(N336-MAX(K336:P336))+EXP(O336-MAX(K336:P336))+EXP(P336-MAX(K336:P336))))</f>
        <v/>
      </c>
      <c r="R336" s="100">
        <f>IF(G336="","",EXP(LARGE(K336:P336,2)-MAX(K336:P336))/(EXP(K336-MAX(K336:P336))+EXP(L336-MAX(K336:P336))+EXP(M336-MAX(K336:P336))+EXP(N336-MAX(K336:P336))+EXP(O336-MAX(K336:P336))+EXP(P336-MAX(K336:P336))))</f>
        <v/>
      </c>
      <c r="S336" s="100">
        <f>IF(G336="","",Q336-R336)</f>
        <v/>
      </c>
      <c r="T336" s="98">
        <f>IF(G336="","",IF(AND(G336&gt;=H336-$B$6*I336,G336&lt;=H336+$B$6*I336),"OK","NG"))</f>
        <v/>
      </c>
      <c r="U336" s="69">
        <f>IF(T336="","",IF(T336=D336,1,0))</f>
        <v/>
      </c>
      <c r="V336" s="98">
        <f>IF(G336="","",IF(T336="OK","NONE",INDEX({"S1","S2","W1","W2","N1","N2"},MATCH(MAX(K336:P336),K336:P336,0))))</f>
        <v/>
      </c>
      <c r="W336" s="69">
        <f>IF(G336="","",IF(V336=E336,1,0))</f>
        <v/>
      </c>
      <c r="X336" s="115">
        <f>IF(G336="","",IF(AND(T336="NG",S336&lt;$B$7),"AMBIGUOUS","CONFIDENT"))</f>
        <v/>
      </c>
    </row>
    <row r="337">
      <c r="A337" s="102">
        <f>'Runs Z score'!A330</f>
        <v/>
      </c>
      <c r="B337" s="98">
        <f>'Runs Z score'!B330</f>
        <v/>
      </c>
      <c r="C337" s="98">
        <f>'Runs Z score'!C330</f>
        <v/>
      </c>
      <c r="D337" s="98">
        <f>'Runs Z score'!D330</f>
        <v/>
      </c>
      <c r="E337" s="98">
        <f>'Runs Z score'!E330</f>
        <v/>
      </c>
      <c r="F337" s="98">
        <f>'Runs Z score'!F330</f>
        <v/>
      </c>
      <c r="G337" s="99">
        <f>'Runs Z score'!G330</f>
        <v/>
      </c>
      <c r="H337" s="100">
        <f>VLOOKUP(C337,Recipes!$A$2:$N$4,10,FALSE())</f>
        <v/>
      </c>
      <c r="I337" s="101">
        <f>VLOOKUP(C337,Recipes!$A$2:$N$4,12,FALSE())</f>
        <v/>
      </c>
      <c r="J337" s="100">
        <f>IF(G337="","",H337-G337)</f>
        <v/>
      </c>
      <c r="K337" s="100">
        <f>IF(G337="","",-0.5*((J337-Components!$D$2)/Components!$E$2)^2)</f>
        <v/>
      </c>
      <c r="L337" s="100">
        <f>IF(G337="","",-0.5*((J337-Components!$D$3)/Components!$E$3)^2)</f>
        <v/>
      </c>
      <c r="M337" s="100">
        <f>IF(G337="","",-0.5*((J337-Components!$D$4)/Components!$E$4)^2)</f>
        <v/>
      </c>
      <c r="N337" s="100">
        <f>IF(G337="","",-0.5*((J337-Components!$D$5)/Components!$E$5)^2)</f>
        <v/>
      </c>
      <c r="O337" s="100">
        <f>IF(G337="","",-0.5*((J337-Components!$D$6)/Components!$E$6)^2)</f>
        <v/>
      </c>
      <c r="P337" s="100">
        <f>IF(G337="","",-0.5*((J337-Components!$D$7)/Components!$E$7)^2)</f>
        <v/>
      </c>
      <c r="Q337" s="100">
        <f>IF(G337="","",EXP(LARGE(K337:P337,1)-MAX(K337:P337))/(EXP(K337-MAX(K337:P337))+EXP(L337-MAX(K337:P337))+EXP(M337-MAX(K337:P337))+EXP(N337-MAX(K337:P337))+EXP(O337-MAX(K337:P337))+EXP(P337-MAX(K337:P337))))</f>
        <v/>
      </c>
      <c r="R337" s="100">
        <f>IF(G337="","",EXP(LARGE(K337:P337,2)-MAX(K337:P337))/(EXP(K337-MAX(K337:P337))+EXP(L337-MAX(K337:P337))+EXP(M337-MAX(K337:P337))+EXP(N337-MAX(K337:P337))+EXP(O337-MAX(K337:P337))+EXP(P337-MAX(K337:P337))))</f>
        <v/>
      </c>
      <c r="S337" s="100">
        <f>IF(G337="","",Q337-R337)</f>
        <v/>
      </c>
      <c r="T337" s="98">
        <f>IF(G337="","",IF(AND(G337&gt;=H337-$B$6*I337,G337&lt;=H337+$B$6*I337),"OK","NG"))</f>
        <v/>
      </c>
      <c r="U337" s="69">
        <f>IF(T337="","",IF(T337=D337,1,0))</f>
        <v/>
      </c>
      <c r="V337" s="98">
        <f>IF(G337="","",IF(T337="OK","NONE",INDEX({"S1","S2","W1","W2","N1","N2"},MATCH(MAX(K337:P337),K337:P337,0))))</f>
        <v/>
      </c>
      <c r="W337" s="69">
        <f>IF(G337="","",IF(V337=E337,1,0))</f>
        <v/>
      </c>
      <c r="X337" s="115">
        <f>IF(G337="","",IF(AND(T337="NG",S337&lt;$B$7),"AMBIGUOUS","CONFIDENT"))</f>
        <v/>
      </c>
    </row>
    <row r="338">
      <c r="A338" s="102">
        <f>'Runs Z score'!A331</f>
        <v/>
      </c>
      <c r="B338" s="98">
        <f>'Runs Z score'!B331</f>
        <v/>
      </c>
      <c r="C338" s="98">
        <f>'Runs Z score'!C331</f>
        <v/>
      </c>
      <c r="D338" s="98">
        <f>'Runs Z score'!D331</f>
        <v/>
      </c>
      <c r="E338" s="98">
        <f>'Runs Z score'!E331</f>
        <v/>
      </c>
      <c r="F338" s="98">
        <f>'Runs Z score'!F331</f>
        <v/>
      </c>
      <c r="G338" s="99">
        <f>'Runs Z score'!G331</f>
        <v/>
      </c>
      <c r="H338" s="100">
        <f>VLOOKUP(C338,Recipes!$A$2:$N$4,10,FALSE())</f>
        <v/>
      </c>
      <c r="I338" s="101">
        <f>VLOOKUP(C338,Recipes!$A$2:$N$4,12,FALSE())</f>
        <v/>
      </c>
      <c r="J338" s="100">
        <f>IF(G338="","",H338-G338)</f>
        <v/>
      </c>
      <c r="K338" s="100">
        <f>IF(G338="","",-0.5*((J338-Components!$D$2)/Components!$E$2)^2)</f>
        <v/>
      </c>
      <c r="L338" s="100">
        <f>IF(G338="","",-0.5*((J338-Components!$D$3)/Components!$E$3)^2)</f>
        <v/>
      </c>
      <c r="M338" s="100">
        <f>IF(G338="","",-0.5*((J338-Components!$D$4)/Components!$E$4)^2)</f>
        <v/>
      </c>
      <c r="N338" s="100">
        <f>IF(G338="","",-0.5*((J338-Components!$D$5)/Components!$E$5)^2)</f>
        <v/>
      </c>
      <c r="O338" s="100">
        <f>IF(G338="","",-0.5*((J338-Components!$D$6)/Components!$E$6)^2)</f>
        <v/>
      </c>
      <c r="P338" s="100">
        <f>IF(G338="","",-0.5*((J338-Components!$D$7)/Components!$E$7)^2)</f>
        <v/>
      </c>
      <c r="Q338" s="100">
        <f>IF(G338="","",EXP(LARGE(K338:P338,1)-MAX(K338:P338))/(EXP(K338-MAX(K338:P338))+EXP(L338-MAX(K338:P338))+EXP(M338-MAX(K338:P338))+EXP(N338-MAX(K338:P338))+EXP(O338-MAX(K338:P338))+EXP(P338-MAX(K338:P338))))</f>
        <v/>
      </c>
      <c r="R338" s="100">
        <f>IF(G338="","",EXP(LARGE(K338:P338,2)-MAX(K338:P338))/(EXP(K338-MAX(K338:P338))+EXP(L338-MAX(K338:P338))+EXP(M338-MAX(K338:P338))+EXP(N338-MAX(K338:P338))+EXP(O338-MAX(K338:P338))+EXP(P338-MAX(K338:P338))))</f>
        <v/>
      </c>
      <c r="S338" s="100">
        <f>IF(G338="","",Q338-R338)</f>
        <v/>
      </c>
      <c r="T338" s="98">
        <f>IF(G338="","",IF(AND(G338&gt;=H338-$B$6*I338,G338&lt;=H338+$B$6*I338),"OK","NG"))</f>
        <v/>
      </c>
      <c r="U338" s="69">
        <f>IF(T338="","",IF(T338=D338,1,0))</f>
        <v/>
      </c>
      <c r="V338" s="98">
        <f>IF(G338="","",IF(T338="OK","NONE",INDEX({"S1","S2","W1","W2","N1","N2"},MATCH(MAX(K338:P338),K338:P338,0))))</f>
        <v/>
      </c>
      <c r="W338" s="69">
        <f>IF(G338="","",IF(V338=E338,1,0))</f>
        <v/>
      </c>
      <c r="X338" s="115">
        <f>IF(G338="","",IF(AND(T338="NG",S338&lt;$B$7),"AMBIGUOUS","CONFIDENT"))</f>
        <v/>
      </c>
    </row>
    <row r="339">
      <c r="A339" s="102">
        <f>'Runs Z score'!A332</f>
        <v/>
      </c>
      <c r="B339" s="98">
        <f>'Runs Z score'!B332</f>
        <v/>
      </c>
      <c r="C339" s="98">
        <f>'Runs Z score'!C332</f>
        <v/>
      </c>
      <c r="D339" s="98">
        <f>'Runs Z score'!D332</f>
        <v/>
      </c>
      <c r="E339" s="98">
        <f>'Runs Z score'!E332</f>
        <v/>
      </c>
      <c r="F339" s="98">
        <f>'Runs Z score'!F332</f>
        <v/>
      </c>
      <c r="G339" s="99">
        <f>'Runs Z score'!G332</f>
        <v/>
      </c>
      <c r="H339" s="100">
        <f>VLOOKUP(C339,Recipes!$A$2:$N$4,10,FALSE())</f>
        <v/>
      </c>
      <c r="I339" s="101">
        <f>VLOOKUP(C339,Recipes!$A$2:$N$4,12,FALSE())</f>
        <v/>
      </c>
      <c r="J339" s="100">
        <f>IF(G339="","",H339-G339)</f>
        <v/>
      </c>
      <c r="K339" s="100">
        <f>IF(G339="","",-0.5*((J339-Components!$D$2)/Components!$E$2)^2)</f>
        <v/>
      </c>
      <c r="L339" s="100">
        <f>IF(G339="","",-0.5*((J339-Components!$D$3)/Components!$E$3)^2)</f>
        <v/>
      </c>
      <c r="M339" s="100">
        <f>IF(G339="","",-0.5*((J339-Components!$D$4)/Components!$E$4)^2)</f>
        <v/>
      </c>
      <c r="N339" s="100">
        <f>IF(G339="","",-0.5*((J339-Components!$D$5)/Components!$E$5)^2)</f>
        <v/>
      </c>
      <c r="O339" s="100">
        <f>IF(G339="","",-0.5*((J339-Components!$D$6)/Components!$E$6)^2)</f>
        <v/>
      </c>
      <c r="P339" s="100">
        <f>IF(G339="","",-0.5*((J339-Components!$D$7)/Components!$E$7)^2)</f>
        <v/>
      </c>
      <c r="Q339" s="100">
        <f>IF(G339="","",EXP(LARGE(K339:P339,1)-MAX(K339:P339))/(EXP(K339-MAX(K339:P339))+EXP(L339-MAX(K339:P339))+EXP(M339-MAX(K339:P339))+EXP(N339-MAX(K339:P339))+EXP(O339-MAX(K339:P339))+EXP(P339-MAX(K339:P339))))</f>
        <v/>
      </c>
      <c r="R339" s="100">
        <f>IF(G339="","",EXP(LARGE(K339:P339,2)-MAX(K339:P339))/(EXP(K339-MAX(K339:P339))+EXP(L339-MAX(K339:P339))+EXP(M339-MAX(K339:P339))+EXP(N339-MAX(K339:P339))+EXP(O339-MAX(K339:P339))+EXP(P339-MAX(K339:P339))))</f>
        <v/>
      </c>
      <c r="S339" s="100">
        <f>IF(G339="","",Q339-R339)</f>
        <v/>
      </c>
      <c r="T339" s="98">
        <f>IF(G339="","",IF(AND(G339&gt;=H339-$B$6*I339,G339&lt;=H339+$B$6*I339),"OK","NG"))</f>
        <v/>
      </c>
      <c r="U339" s="69">
        <f>IF(T339="","",IF(T339=D339,1,0))</f>
        <v/>
      </c>
      <c r="V339" s="98">
        <f>IF(G339="","",IF(T339="OK","NONE",INDEX({"S1","S2","W1","W2","N1","N2"},MATCH(MAX(K339:P339),K339:P339,0))))</f>
        <v/>
      </c>
      <c r="W339" s="69">
        <f>IF(G339="","",IF(V339=E339,1,0))</f>
        <v/>
      </c>
      <c r="X339" s="115">
        <f>IF(G339="","",IF(AND(T339="NG",S339&lt;$B$7),"AMBIGUOUS","CONFIDENT"))</f>
        <v/>
      </c>
    </row>
    <row r="340">
      <c r="A340" s="102">
        <f>'Runs Z score'!A333</f>
        <v/>
      </c>
      <c r="B340" s="98">
        <f>'Runs Z score'!B333</f>
        <v/>
      </c>
      <c r="C340" s="98">
        <f>'Runs Z score'!C333</f>
        <v/>
      </c>
      <c r="D340" s="98">
        <f>'Runs Z score'!D333</f>
        <v/>
      </c>
      <c r="E340" s="98">
        <f>'Runs Z score'!E333</f>
        <v/>
      </c>
      <c r="F340" s="98">
        <f>'Runs Z score'!F333</f>
        <v/>
      </c>
      <c r="G340" s="99">
        <f>'Runs Z score'!G333</f>
        <v/>
      </c>
      <c r="H340" s="100">
        <f>VLOOKUP(C340,Recipes!$A$2:$N$4,10,FALSE())</f>
        <v/>
      </c>
      <c r="I340" s="101">
        <f>VLOOKUP(C340,Recipes!$A$2:$N$4,12,FALSE())</f>
        <v/>
      </c>
      <c r="J340" s="100">
        <f>IF(G340="","",H340-G340)</f>
        <v/>
      </c>
      <c r="K340" s="100">
        <f>IF(G340="","",-0.5*((J340-Components!$D$2)/Components!$E$2)^2)</f>
        <v/>
      </c>
      <c r="L340" s="100">
        <f>IF(G340="","",-0.5*((J340-Components!$D$3)/Components!$E$3)^2)</f>
        <v/>
      </c>
      <c r="M340" s="100">
        <f>IF(G340="","",-0.5*((J340-Components!$D$4)/Components!$E$4)^2)</f>
        <v/>
      </c>
      <c r="N340" s="100">
        <f>IF(G340="","",-0.5*((J340-Components!$D$5)/Components!$E$5)^2)</f>
        <v/>
      </c>
      <c r="O340" s="100">
        <f>IF(G340="","",-0.5*((J340-Components!$D$6)/Components!$E$6)^2)</f>
        <v/>
      </c>
      <c r="P340" s="100">
        <f>IF(G340="","",-0.5*((J340-Components!$D$7)/Components!$E$7)^2)</f>
        <v/>
      </c>
      <c r="Q340" s="100">
        <f>IF(G340="","",EXP(LARGE(K340:P340,1)-MAX(K340:P340))/(EXP(K340-MAX(K340:P340))+EXP(L340-MAX(K340:P340))+EXP(M340-MAX(K340:P340))+EXP(N340-MAX(K340:P340))+EXP(O340-MAX(K340:P340))+EXP(P340-MAX(K340:P340))))</f>
        <v/>
      </c>
      <c r="R340" s="100">
        <f>IF(G340="","",EXP(LARGE(K340:P340,2)-MAX(K340:P340))/(EXP(K340-MAX(K340:P340))+EXP(L340-MAX(K340:P340))+EXP(M340-MAX(K340:P340))+EXP(N340-MAX(K340:P340))+EXP(O340-MAX(K340:P340))+EXP(P340-MAX(K340:P340))))</f>
        <v/>
      </c>
      <c r="S340" s="100">
        <f>IF(G340="","",Q340-R340)</f>
        <v/>
      </c>
      <c r="T340" s="98">
        <f>IF(G340="","",IF(AND(G340&gt;=H340-$B$6*I340,G340&lt;=H340+$B$6*I340),"OK","NG"))</f>
        <v/>
      </c>
      <c r="U340" s="69">
        <f>IF(T340="","",IF(T340=D340,1,0))</f>
        <v/>
      </c>
      <c r="V340" s="98">
        <f>IF(G340="","",IF(T340="OK","NONE",INDEX({"S1","S2","W1","W2","N1","N2"},MATCH(MAX(K340:P340),K340:P340,0))))</f>
        <v/>
      </c>
      <c r="W340" s="69">
        <f>IF(G340="","",IF(V340=E340,1,0))</f>
        <v/>
      </c>
      <c r="X340" s="115">
        <f>IF(G340="","",IF(AND(T340="NG",S340&lt;$B$7),"AMBIGUOUS","CONFIDENT"))</f>
        <v/>
      </c>
    </row>
    <row r="341">
      <c r="A341" s="102">
        <f>'Runs Z score'!A334</f>
        <v/>
      </c>
      <c r="B341" s="98">
        <f>'Runs Z score'!B334</f>
        <v/>
      </c>
      <c r="C341" s="98">
        <f>'Runs Z score'!C334</f>
        <v/>
      </c>
      <c r="D341" s="98">
        <f>'Runs Z score'!D334</f>
        <v/>
      </c>
      <c r="E341" s="98">
        <f>'Runs Z score'!E334</f>
        <v/>
      </c>
      <c r="F341" s="98">
        <f>'Runs Z score'!F334</f>
        <v/>
      </c>
      <c r="G341" s="99">
        <f>'Runs Z score'!G334</f>
        <v/>
      </c>
      <c r="H341" s="100">
        <f>VLOOKUP(C341,Recipes!$A$2:$N$4,10,FALSE())</f>
        <v/>
      </c>
      <c r="I341" s="101">
        <f>VLOOKUP(C341,Recipes!$A$2:$N$4,12,FALSE())</f>
        <v/>
      </c>
      <c r="J341" s="100">
        <f>IF(G341="","",H341-G341)</f>
        <v/>
      </c>
      <c r="K341" s="100">
        <f>IF(G341="","",-0.5*((J341-Components!$D$2)/Components!$E$2)^2)</f>
        <v/>
      </c>
      <c r="L341" s="100">
        <f>IF(G341="","",-0.5*((J341-Components!$D$3)/Components!$E$3)^2)</f>
        <v/>
      </c>
      <c r="M341" s="100">
        <f>IF(G341="","",-0.5*((J341-Components!$D$4)/Components!$E$4)^2)</f>
        <v/>
      </c>
      <c r="N341" s="100">
        <f>IF(G341="","",-0.5*((J341-Components!$D$5)/Components!$E$5)^2)</f>
        <v/>
      </c>
      <c r="O341" s="100">
        <f>IF(G341="","",-0.5*((J341-Components!$D$6)/Components!$E$6)^2)</f>
        <v/>
      </c>
      <c r="P341" s="100">
        <f>IF(G341="","",-0.5*((J341-Components!$D$7)/Components!$E$7)^2)</f>
        <v/>
      </c>
      <c r="Q341" s="100">
        <f>IF(G341="","",EXP(LARGE(K341:P341,1)-MAX(K341:P341))/(EXP(K341-MAX(K341:P341))+EXP(L341-MAX(K341:P341))+EXP(M341-MAX(K341:P341))+EXP(N341-MAX(K341:P341))+EXP(O341-MAX(K341:P341))+EXP(P341-MAX(K341:P341))))</f>
        <v/>
      </c>
      <c r="R341" s="100">
        <f>IF(G341="","",EXP(LARGE(K341:P341,2)-MAX(K341:P341))/(EXP(K341-MAX(K341:P341))+EXP(L341-MAX(K341:P341))+EXP(M341-MAX(K341:P341))+EXP(N341-MAX(K341:P341))+EXP(O341-MAX(K341:P341))+EXP(P341-MAX(K341:P341))))</f>
        <v/>
      </c>
      <c r="S341" s="100">
        <f>IF(G341="","",Q341-R341)</f>
        <v/>
      </c>
      <c r="T341" s="98">
        <f>IF(G341="","",IF(AND(G341&gt;=H341-$B$6*I341,G341&lt;=H341+$B$6*I341),"OK","NG"))</f>
        <v/>
      </c>
      <c r="U341" s="69">
        <f>IF(T341="","",IF(T341=D341,1,0))</f>
        <v/>
      </c>
      <c r="V341" s="98">
        <f>IF(G341="","",IF(T341="OK","NONE",INDEX({"S1","S2","W1","W2","N1","N2"},MATCH(MAX(K341:P341),K341:P341,0))))</f>
        <v/>
      </c>
      <c r="W341" s="69">
        <f>IF(G341="","",IF(V341=E341,1,0))</f>
        <v/>
      </c>
      <c r="X341" s="115">
        <f>IF(G341="","",IF(AND(T341="NG",S341&lt;$B$7),"AMBIGUOUS","CONFIDENT"))</f>
        <v/>
      </c>
    </row>
    <row r="342">
      <c r="A342" s="102">
        <f>'Runs Z score'!A335</f>
        <v/>
      </c>
      <c r="B342" s="98">
        <f>'Runs Z score'!B335</f>
        <v/>
      </c>
      <c r="C342" s="98">
        <f>'Runs Z score'!C335</f>
        <v/>
      </c>
      <c r="D342" s="98">
        <f>'Runs Z score'!D335</f>
        <v/>
      </c>
      <c r="E342" s="98">
        <f>'Runs Z score'!E335</f>
        <v/>
      </c>
      <c r="F342" s="98">
        <f>'Runs Z score'!F335</f>
        <v/>
      </c>
      <c r="G342" s="99">
        <f>'Runs Z score'!G335</f>
        <v/>
      </c>
      <c r="H342" s="100">
        <f>VLOOKUP(C342,Recipes!$A$2:$N$4,10,FALSE())</f>
        <v/>
      </c>
      <c r="I342" s="101">
        <f>VLOOKUP(C342,Recipes!$A$2:$N$4,12,FALSE())</f>
        <v/>
      </c>
      <c r="J342" s="100">
        <f>IF(G342="","",H342-G342)</f>
        <v/>
      </c>
      <c r="K342" s="100">
        <f>IF(G342="","",-0.5*((J342-Components!$D$2)/Components!$E$2)^2)</f>
        <v/>
      </c>
      <c r="L342" s="100">
        <f>IF(G342="","",-0.5*((J342-Components!$D$3)/Components!$E$3)^2)</f>
        <v/>
      </c>
      <c r="M342" s="100">
        <f>IF(G342="","",-0.5*((J342-Components!$D$4)/Components!$E$4)^2)</f>
        <v/>
      </c>
      <c r="N342" s="100">
        <f>IF(G342="","",-0.5*((J342-Components!$D$5)/Components!$E$5)^2)</f>
        <v/>
      </c>
      <c r="O342" s="100">
        <f>IF(G342="","",-0.5*((J342-Components!$D$6)/Components!$E$6)^2)</f>
        <v/>
      </c>
      <c r="P342" s="100">
        <f>IF(G342="","",-0.5*((J342-Components!$D$7)/Components!$E$7)^2)</f>
        <v/>
      </c>
      <c r="Q342" s="100">
        <f>IF(G342="","",EXP(LARGE(K342:P342,1)-MAX(K342:P342))/(EXP(K342-MAX(K342:P342))+EXP(L342-MAX(K342:P342))+EXP(M342-MAX(K342:P342))+EXP(N342-MAX(K342:P342))+EXP(O342-MAX(K342:P342))+EXP(P342-MAX(K342:P342))))</f>
        <v/>
      </c>
      <c r="R342" s="100">
        <f>IF(G342="","",EXP(LARGE(K342:P342,2)-MAX(K342:P342))/(EXP(K342-MAX(K342:P342))+EXP(L342-MAX(K342:P342))+EXP(M342-MAX(K342:P342))+EXP(N342-MAX(K342:P342))+EXP(O342-MAX(K342:P342))+EXP(P342-MAX(K342:P342))))</f>
        <v/>
      </c>
      <c r="S342" s="100">
        <f>IF(G342="","",Q342-R342)</f>
        <v/>
      </c>
      <c r="T342" s="98">
        <f>IF(G342="","",IF(AND(G342&gt;=H342-$B$6*I342,G342&lt;=H342+$B$6*I342),"OK","NG"))</f>
        <v/>
      </c>
      <c r="U342" s="69">
        <f>IF(T342="","",IF(T342=D342,1,0))</f>
        <v/>
      </c>
      <c r="V342" s="98">
        <f>IF(G342="","",IF(T342="OK","NONE",INDEX({"S1","S2","W1","W2","N1","N2"},MATCH(MAX(K342:P342),K342:P342,0))))</f>
        <v/>
      </c>
      <c r="W342" s="71">
        <f>IF(G342="","",IF(V342=E342,1,0))</f>
        <v/>
      </c>
      <c r="X342" s="115">
        <f>IF(G342="","",IF(AND(T342="NG",S342&lt;$B$7),"AMBIGUOUS","CONFIDENT"))</f>
        <v/>
      </c>
    </row>
    <row r="343">
      <c r="A343" s="102">
        <f>'Runs Z score'!A336</f>
        <v/>
      </c>
      <c r="B343" s="98">
        <f>'Runs Z score'!B336</f>
        <v/>
      </c>
      <c r="C343" s="98">
        <f>'Runs Z score'!C336</f>
        <v/>
      </c>
      <c r="D343" s="98">
        <f>'Runs Z score'!D336</f>
        <v/>
      </c>
      <c r="E343" s="98">
        <f>'Runs Z score'!E336</f>
        <v/>
      </c>
      <c r="F343" s="98">
        <f>'Runs Z score'!F336</f>
        <v/>
      </c>
      <c r="G343" s="99">
        <f>'Runs Z score'!G336</f>
        <v/>
      </c>
      <c r="H343" s="100">
        <f>VLOOKUP(C343,Recipes!$A$2:$N$4,10,FALSE())</f>
        <v/>
      </c>
      <c r="I343" s="101">
        <f>VLOOKUP(C343,Recipes!$A$2:$N$4,12,FALSE())</f>
        <v/>
      </c>
      <c r="J343" s="100">
        <f>IF(G343="","",H343-G343)</f>
        <v/>
      </c>
      <c r="K343" s="100">
        <f>IF(G343="","",-0.5*((J343-Components!$D$2)/Components!$E$2)^2)</f>
        <v/>
      </c>
      <c r="L343" s="100">
        <f>IF(G343="","",-0.5*((J343-Components!$D$3)/Components!$E$3)^2)</f>
        <v/>
      </c>
      <c r="M343" s="100">
        <f>IF(G343="","",-0.5*((J343-Components!$D$4)/Components!$E$4)^2)</f>
        <v/>
      </c>
      <c r="N343" s="100">
        <f>IF(G343="","",-0.5*((J343-Components!$D$5)/Components!$E$5)^2)</f>
        <v/>
      </c>
      <c r="O343" s="100">
        <f>IF(G343="","",-0.5*((J343-Components!$D$6)/Components!$E$6)^2)</f>
        <v/>
      </c>
      <c r="P343" s="100">
        <f>IF(G343="","",-0.5*((J343-Components!$D$7)/Components!$E$7)^2)</f>
        <v/>
      </c>
      <c r="Q343" s="100">
        <f>IF(G343="","",EXP(LARGE(K343:P343,1)-MAX(K343:P343))/(EXP(K343-MAX(K343:P343))+EXP(L343-MAX(K343:P343))+EXP(M343-MAX(K343:P343))+EXP(N343-MAX(K343:P343))+EXP(O343-MAX(K343:P343))+EXP(P343-MAX(K343:P343))))</f>
        <v/>
      </c>
      <c r="R343" s="100">
        <f>IF(G343="","",EXP(LARGE(K343:P343,2)-MAX(K343:P343))/(EXP(K343-MAX(K343:P343))+EXP(L343-MAX(K343:P343))+EXP(M343-MAX(K343:P343))+EXP(N343-MAX(K343:P343))+EXP(O343-MAX(K343:P343))+EXP(P343-MAX(K343:P343))))</f>
        <v/>
      </c>
      <c r="S343" s="100">
        <f>IF(G343="","",Q343-R343)</f>
        <v/>
      </c>
      <c r="T343" s="98">
        <f>IF(G343="","",IF(AND(G343&gt;=H343-$B$6*I343,G343&lt;=H343+$B$6*I343),"OK","NG"))</f>
        <v/>
      </c>
      <c r="U343" s="69">
        <f>IF(T343="","",IF(T343=D343,1,0))</f>
        <v/>
      </c>
      <c r="V343" s="98">
        <f>IF(G343="","",IF(T343="OK","NONE",INDEX({"S1","S2","W1","W2","N1","N2"},MATCH(MAX(K343:P343),K343:P343,0))))</f>
        <v/>
      </c>
      <c r="W343" s="71">
        <f>IF(G343="","",IF(V343=E343,1,0))</f>
        <v/>
      </c>
      <c r="X343" s="115">
        <f>IF(G343="","",IF(AND(T343="NG",S343&lt;$B$7),"AMBIGUOUS","CONFIDENT"))</f>
        <v/>
      </c>
    </row>
    <row r="344">
      <c r="A344" s="102">
        <f>'Runs Z score'!A337</f>
        <v/>
      </c>
      <c r="B344" s="98">
        <f>'Runs Z score'!B337</f>
        <v/>
      </c>
      <c r="C344" s="98">
        <f>'Runs Z score'!C337</f>
        <v/>
      </c>
      <c r="D344" s="98">
        <f>'Runs Z score'!D337</f>
        <v/>
      </c>
      <c r="E344" s="98">
        <f>'Runs Z score'!E337</f>
        <v/>
      </c>
      <c r="F344" s="98">
        <f>'Runs Z score'!F337</f>
        <v/>
      </c>
      <c r="G344" s="99">
        <f>'Runs Z score'!G337</f>
        <v/>
      </c>
      <c r="H344" s="100">
        <f>VLOOKUP(C344,Recipes!$A$2:$N$4,10,FALSE())</f>
        <v/>
      </c>
      <c r="I344" s="101">
        <f>VLOOKUP(C344,Recipes!$A$2:$N$4,12,FALSE())</f>
        <v/>
      </c>
      <c r="J344" s="100">
        <f>IF(G344="","",H344-G344)</f>
        <v/>
      </c>
      <c r="K344" s="100">
        <f>IF(G344="","",-0.5*((J344-Components!$D$2)/Components!$E$2)^2)</f>
        <v/>
      </c>
      <c r="L344" s="100">
        <f>IF(G344="","",-0.5*((J344-Components!$D$3)/Components!$E$3)^2)</f>
        <v/>
      </c>
      <c r="M344" s="100">
        <f>IF(G344="","",-0.5*((J344-Components!$D$4)/Components!$E$4)^2)</f>
        <v/>
      </c>
      <c r="N344" s="100">
        <f>IF(G344="","",-0.5*((J344-Components!$D$5)/Components!$E$5)^2)</f>
        <v/>
      </c>
      <c r="O344" s="100">
        <f>IF(G344="","",-0.5*((J344-Components!$D$6)/Components!$E$6)^2)</f>
        <v/>
      </c>
      <c r="P344" s="100">
        <f>IF(G344="","",-0.5*((J344-Components!$D$7)/Components!$E$7)^2)</f>
        <v/>
      </c>
      <c r="Q344" s="100">
        <f>IF(G344="","",EXP(LARGE(K344:P344,1)-MAX(K344:P344))/(EXP(K344-MAX(K344:P344))+EXP(L344-MAX(K344:P344))+EXP(M344-MAX(K344:P344))+EXP(N344-MAX(K344:P344))+EXP(O344-MAX(K344:P344))+EXP(P344-MAX(K344:P344))))</f>
        <v/>
      </c>
      <c r="R344" s="100">
        <f>IF(G344="","",EXP(LARGE(K344:P344,2)-MAX(K344:P344))/(EXP(K344-MAX(K344:P344))+EXP(L344-MAX(K344:P344))+EXP(M344-MAX(K344:P344))+EXP(N344-MAX(K344:P344))+EXP(O344-MAX(K344:P344))+EXP(P344-MAX(K344:P344))))</f>
        <v/>
      </c>
      <c r="S344" s="100">
        <f>IF(G344="","",Q344-R344)</f>
        <v/>
      </c>
      <c r="T344" s="98">
        <f>IF(G344="","",IF(AND(G344&gt;=H344-$B$6*I344,G344&lt;=H344+$B$6*I344),"OK","NG"))</f>
        <v/>
      </c>
      <c r="U344" s="69">
        <f>IF(T344="","",IF(T344=D344,1,0))</f>
        <v/>
      </c>
      <c r="V344" s="98">
        <f>IF(G344="","",IF(T344="OK","NONE",INDEX({"S1","S2","W1","W2","N1","N2"},MATCH(MAX(K344:P344),K344:P344,0))))</f>
        <v/>
      </c>
      <c r="W344" s="71">
        <f>IF(G344="","",IF(V344=E344,1,0))</f>
        <v/>
      </c>
      <c r="X344" s="115">
        <f>IF(G344="","",IF(AND(T344="NG",S344&lt;$B$7),"AMBIGUOUS","CONFIDENT"))</f>
        <v/>
      </c>
    </row>
    <row r="345">
      <c r="A345" s="102">
        <f>'Runs Z score'!A338</f>
        <v/>
      </c>
      <c r="B345" s="98">
        <f>'Runs Z score'!B338</f>
        <v/>
      </c>
      <c r="C345" s="98">
        <f>'Runs Z score'!C338</f>
        <v/>
      </c>
      <c r="D345" s="98">
        <f>'Runs Z score'!D338</f>
        <v/>
      </c>
      <c r="E345" s="98">
        <f>'Runs Z score'!E338</f>
        <v/>
      </c>
      <c r="F345" s="98">
        <f>'Runs Z score'!F338</f>
        <v/>
      </c>
      <c r="G345" s="99">
        <f>'Runs Z score'!G338</f>
        <v/>
      </c>
      <c r="H345" s="100">
        <f>VLOOKUP(C345,Recipes!$A$2:$N$4,10,FALSE())</f>
        <v/>
      </c>
      <c r="I345" s="101">
        <f>VLOOKUP(C345,Recipes!$A$2:$N$4,12,FALSE())</f>
        <v/>
      </c>
      <c r="J345" s="100">
        <f>IF(G345="","",H345-G345)</f>
        <v/>
      </c>
      <c r="K345" s="100">
        <f>IF(G345="","",-0.5*((J345-Components!$D$2)/Components!$E$2)^2)</f>
        <v/>
      </c>
      <c r="L345" s="100">
        <f>IF(G345="","",-0.5*((J345-Components!$D$3)/Components!$E$3)^2)</f>
        <v/>
      </c>
      <c r="M345" s="100">
        <f>IF(G345="","",-0.5*((J345-Components!$D$4)/Components!$E$4)^2)</f>
        <v/>
      </c>
      <c r="N345" s="100">
        <f>IF(G345="","",-0.5*((J345-Components!$D$5)/Components!$E$5)^2)</f>
        <v/>
      </c>
      <c r="O345" s="100">
        <f>IF(G345="","",-0.5*((J345-Components!$D$6)/Components!$E$6)^2)</f>
        <v/>
      </c>
      <c r="P345" s="100">
        <f>IF(G345="","",-0.5*((J345-Components!$D$7)/Components!$E$7)^2)</f>
        <v/>
      </c>
      <c r="Q345" s="100">
        <f>IF(G345="","",EXP(LARGE(K345:P345,1)-MAX(K345:P345))/(EXP(K345-MAX(K345:P345))+EXP(L345-MAX(K345:P345))+EXP(M345-MAX(K345:P345))+EXP(N345-MAX(K345:P345))+EXP(O345-MAX(K345:P345))+EXP(P345-MAX(K345:P345))))</f>
        <v/>
      </c>
      <c r="R345" s="100">
        <f>IF(G345="","",EXP(LARGE(K345:P345,2)-MAX(K345:P345))/(EXP(K345-MAX(K345:P345))+EXP(L345-MAX(K345:P345))+EXP(M345-MAX(K345:P345))+EXP(N345-MAX(K345:P345))+EXP(O345-MAX(K345:P345))+EXP(P345-MAX(K345:P345))))</f>
        <v/>
      </c>
      <c r="S345" s="100">
        <f>IF(G345="","",Q345-R345)</f>
        <v/>
      </c>
      <c r="T345" s="98">
        <f>IF(G345="","",IF(AND(G345&gt;=H345-$B$6*I345,G345&lt;=H345+$B$6*I345),"OK","NG"))</f>
        <v/>
      </c>
      <c r="U345" s="69">
        <f>IF(T345="","",IF(T345=D345,1,0))</f>
        <v/>
      </c>
      <c r="V345" s="98">
        <f>IF(G345="","",IF(T345="OK","NONE",INDEX({"S1","S2","W1","W2","N1","N2"},MATCH(MAX(K345:P345),K345:P345,0))))</f>
        <v/>
      </c>
      <c r="W345" s="71">
        <f>IF(G345="","",IF(V345=E345,1,0))</f>
        <v/>
      </c>
      <c r="X345" s="115">
        <f>IF(G345="","",IF(AND(T345="NG",S345&lt;$B$7),"AMBIGUOUS","CONFIDENT"))</f>
        <v/>
      </c>
    </row>
    <row r="346">
      <c r="A346" s="102">
        <f>'Runs Z score'!A339</f>
        <v/>
      </c>
      <c r="B346" s="98">
        <f>'Runs Z score'!B339</f>
        <v/>
      </c>
      <c r="C346" s="98">
        <f>'Runs Z score'!C339</f>
        <v/>
      </c>
      <c r="D346" s="98">
        <f>'Runs Z score'!D339</f>
        <v/>
      </c>
      <c r="E346" s="98">
        <f>'Runs Z score'!E339</f>
        <v/>
      </c>
      <c r="F346" s="98">
        <f>'Runs Z score'!F339</f>
        <v/>
      </c>
      <c r="G346" s="99">
        <f>'Runs Z score'!G339</f>
        <v/>
      </c>
      <c r="H346" s="100">
        <f>VLOOKUP(C346,Recipes!$A$2:$N$4,10,FALSE())</f>
        <v/>
      </c>
      <c r="I346" s="101">
        <f>VLOOKUP(C346,Recipes!$A$2:$N$4,12,FALSE())</f>
        <v/>
      </c>
      <c r="J346" s="100">
        <f>IF(G346="","",H346-G346)</f>
        <v/>
      </c>
      <c r="K346" s="100">
        <f>IF(G346="","",-0.5*((J346-Components!$D$2)/Components!$E$2)^2)</f>
        <v/>
      </c>
      <c r="L346" s="100">
        <f>IF(G346="","",-0.5*((J346-Components!$D$3)/Components!$E$3)^2)</f>
        <v/>
      </c>
      <c r="M346" s="100">
        <f>IF(G346="","",-0.5*((J346-Components!$D$4)/Components!$E$4)^2)</f>
        <v/>
      </c>
      <c r="N346" s="100">
        <f>IF(G346="","",-0.5*((J346-Components!$D$5)/Components!$E$5)^2)</f>
        <v/>
      </c>
      <c r="O346" s="100">
        <f>IF(G346="","",-0.5*((J346-Components!$D$6)/Components!$E$6)^2)</f>
        <v/>
      </c>
      <c r="P346" s="100">
        <f>IF(G346="","",-0.5*((J346-Components!$D$7)/Components!$E$7)^2)</f>
        <v/>
      </c>
      <c r="Q346" s="100">
        <f>IF(G346="","",EXP(LARGE(K346:P346,1)-MAX(K346:P346))/(EXP(K346-MAX(K346:P346))+EXP(L346-MAX(K346:P346))+EXP(M346-MAX(K346:P346))+EXP(N346-MAX(K346:P346))+EXP(O346-MAX(K346:P346))+EXP(P346-MAX(K346:P346))))</f>
        <v/>
      </c>
      <c r="R346" s="100">
        <f>IF(G346="","",EXP(LARGE(K346:P346,2)-MAX(K346:P346))/(EXP(K346-MAX(K346:P346))+EXP(L346-MAX(K346:P346))+EXP(M346-MAX(K346:P346))+EXP(N346-MAX(K346:P346))+EXP(O346-MAX(K346:P346))+EXP(P346-MAX(K346:P346))))</f>
        <v/>
      </c>
      <c r="S346" s="100">
        <f>IF(G346="","",Q346-R346)</f>
        <v/>
      </c>
      <c r="T346" s="98">
        <f>IF(G346="","",IF(AND(G346&gt;=H346-$B$6*I346,G346&lt;=H346+$B$6*I346),"OK","NG"))</f>
        <v/>
      </c>
      <c r="U346" s="69">
        <f>IF(T346="","",IF(T346=D346,1,0))</f>
        <v/>
      </c>
      <c r="V346" s="98">
        <f>IF(G346="","",IF(T346="OK","NONE",INDEX({"S1","S2","W1","W2","N1","N2"},MATCH(MAX(K346:P346),K346:P346,0))))</f>
        <v/>
      </c>
      <c r="W346" s="69">
        <f>IF(G346="","",IF(V346=E346,1,0))</f>
        <v/>
      </c>
      <c r="X346" s="115">
        <f>IF(G346="","",IF(AND(T346="NG",S346&lt;$B$7),"AMBIGUOUS","CONFIDENT"))</f>
        <v/>
      </c>
    </row>
    <row r="347">
      <c r="A347" s="102">
        <f>'Runs Z score'!A340</f>
        <v/>
      </c>
      <c r="B347" s="98">
        <f>'Runs Z score'!B340</f>
        <v/>
      </c>
      <c r="C347" s="98">
        <f>'Runs Z score'!C340</f>
        <v/>
      </c>
      <c r="D347" s="98">
        <f>'Runs Z score'!D340</f>
        <v/>
      </c>
      <c r="E347" s="98">
        <f>'Runs Z score'!E340</f>
        <v/>
      </c>
      <c r="F347" s="98">
        <f>'Runs Z score'!F340</f>
        <v/>
      </c>
      <c r="G347" s="99">
        <f>'Runs Z score'!G340</f>
        <v/>
      </c>
      <c r="H347" s="100">
        <f>VLOOKUP(C347,Recipes!$A$2:$N$4,10,FALSE())</f>
        <v/>
      </c>
      <c r="I347" s="101">
        <f>VLOOKUP(C347,Recipes!$A$2:$N$4,12,FALSE())</f>
        <v/>
      </c>
      <c r="J347" s="100">
        <f>IF(G347="","",H347-G347)</f>
        <v/>
      </c>
      <c r="K347" s="100">
        <f>IF(G347="","",-0.5*((J347-Components!$D$2)/Components!$E$2)^2)</f>
        <v/>
      </c>
      <c r="L347" s="100">
        <f>IF(G347="","",-0.5*((J347-Components!$D$3)/Components!$E$3)^2)</f>
        <v/>
      </c>
      <c r="M347" s="100">
        <f>IF(G347="","",-0.5*((J347-Components!$D$4)/Components!$E$4)^2)</f>
        <v/>
      </c>
      <c r="N347" s="100">
        <f>IF(G347="","",-0.5*((J347-Components!$D$5)/Components!$E$5)^2)</f>
        <v/>
      </c>
      <c r="O347" s="100">
        <f>IF(G347="","",-0.5*((J347-Components!$D$6)/Components!$E$6)^2)</f>
        <v/>
      </c>
      <c r="P347" s="100">
        <f>IF(G347="","",-0.5*((J347-Components!$D$7)/Components!$E$7)^2)</f>
        <v/>
      </c>
      <c r="Q347" s="100">
        <f>IF(G347="","",EXP(LARGE(K347:P347,1)-MAX(K347:P347))/(EXP(K347-MAX(K347:P347))+EXP(L347-MAX(K347:P347))+EXP(M347-MAX(K347:P347))+EXP(N347-MAX(K347:P347))+EXP(O347-MAX(K347:P347))+EXP(P347-MAX(K347:P347))))</f>
        <v/>
      </c>
      <c r="R347" s="100">
        <f>IF(G347="","",EXP(LARGE(K347:P347,2)-MAX(K347:P347))/(EXP(K347-MAX(K347:P347))+EXP(L347-MAX(K347:P347))+EXP(M347-MAX(K347:P347))+EXP(N347-MAX(K347:P347))+EXP(O347-MAX(K347:P347))+EXP(P347-MAX(K347:P347))))</f>
        <v/>
      </c>
      <c r="S347" s="100">
        <f>IF(G347="","",Q347-R347)</f>
        <v/>
      </c>
      <c r="T347" s="98">
        <f>IF(G347="","",IF(AND(G347&gt;=H347-$B$6*I347,G347&lt;=H347+$B$6*I347),"OK","NG"))</f>
        <v/>
      </c>
      <c r="U347" s="69">
        <f>IF(T347="","",IF(T347=D347,1,0))</f>
        <v/>
      </c>
      <c r="V347" s="98">
        <f>IF(G347="","",IF(T347="OK","NONE",INDEX({"S1","S2","W1","W2","N1","N2"},MATCH(MAX(K347:P347),K347:P347,0))))</f>
        <v/>
      </c>
      <c r="W347" s="69">
        <f>IF(G347="","",IF(V347=E347,1,0))</f>
        <v/>
      </c>
      <c r="X347" s="115">
        <f>IF(G347="","",IF(AND(T347="NG",S347&lt;$B$7),"AMBIGUOUS","CONFIDENT"))</f>
        <v/>
      </c>
    </row>
    <row r="348">
      <c r="A348" s="102">
        <f>'Runs Z score'!A341</f>
        <v/>
      </c>
      <c r="B348" s="98">
        <f>'Runs Z score'!B341</f>
        <v/>
      </c>
      <c r="C348" s="98">
        <f>'Runs Z score'!C341</f>
        <v/>
      </c>
      <c r="D348" s="98">
        <f>'Runs Z score'!D341</f>
        <v/>
      </c>
      <c r="E348" s="98">
        <f>'Runs Z score'!E341</f>
        <v/>
      </c>
      <c r="F348" s="98">
        <f>'Runs Z score'!F341</f>
        <v/>
      </c>
      <c r="G348" s="99">
        <f>'Runs Z score'!G341</f>
        <v/>
      </c>
      <c r="H348" s="100">
        <f>VLOOKUP(C348,Recipes!$A$2:$N$4,10,FALSE())</f>
        <v/>
      </c>
      <c r="I348" s="101">
        <f>VLOOKUP(C348,Recipes!$A$2:$N$4,12,FALSE())</f>
        <v/>
      </c>
      <c r="J348" s="100">
        <f>IF(G348="","",H348-G348)</f>
        <v/>
      </c>
      <c r="K348" s="100">
        <f>IF(G348="","",-0.5*((J348-Components!$D$2)/Components!$E$2)^2)</f>
        <v/>
      </c>
      <c r="L348" s="100">
        <f>IF(G348="","",-0.5*((J348-Components!$D$3)/Components!$E$3)^2)</f>
        <v/>
      </c>
      <c r="M348" s="100">
        <f>IF(G348="","",-0.5*((J348-Components!$D$4)/Components!$E$4)^2)</f>
        <v/>
      </c>
      <c r="N348" s="100">
        <f>IF(G348="","",-0.5*((J348-Components!$D$5)/Components!$E$5)^2)</f>
        <v/>
      </c>
      <c r="O348" s="100">
        <f>IF(G348="","",-0.5*((J348-Components!$D$6)/Components!$E$6)^2)</f>
        <v/>
      </c>
      <c r="P348" s="100">
        <f>IF(G348="","",-0.5*((J348-Components!$D$7)/Components!$E$7)^2)</f>
        <v/>
      </c>
      <c r="Q348" s="100">
        <f>IF(G348="","",EXP(LARGE(K348:P348,1)-MAX(K348:P348))/(EXP(K348-MAX(K348:P348))+EXP(L348-MAX(K348:P348))+EXP(M348-MAX(K348:P348))+EXP(N348-MAX(K348:P348))+EXP(O348-MAX(K348:P348))+EXP(P348-MAX(K348:P348))))</f>
        <v/>
      </c>
      <c r="R348" s="100">
        <f>IF(G348="","",EXP(LARGE(K348:P348,2)-MAX(K348:P348))/(EXP(K348-MAX(K348:P348))+EXP(L348-MAX(K348:P348))+EXP(M348-MAX(K348:P348))+EXP(N348-MAX(K348:P348))+EXP(O348-MAX(K348:P348))+EXP(P348-MAX(K348:P348))))</f>
        <v/>
      </c>
      <c r="S348" s="100">
        <f>IF(G348="","",Q348-R348)</f>
        <v/>
      </c>
      <c r="T348" s="98">
        <f>IF(G348="","",IF(AND(G348&gt;=H348-$B$6*I348,G348&lt;=H348+$B$6*I348),"OK","NG"))</f>
        <v/>
      </c>
      <c r="U348" s="69">
        <f>IF(T348="","",IF(T348=D348,1,0))</f>
        <v/>
      </c>
      <c r="V348" s="98">
        <f>IF(G348="","",IF(T348="OK","NONE",INDEX({"S1","S2","W1","W2","N1","N2"},MATCH(MAX(K348:P348),K348:P348,0))))</f>
        <v/>
      </c>
      <c r="W348" s="71">
        <f>IF(G348="","",IF(V348=E348,1,0))</f>
        <v/>
      </c>
      <c r="X348" s="115">
        <f>IF(G348="","",IF(AND(T348="NG",S348&lt;$B$7),"AMBIGUOUS","CONFIDENT"))</f>
        <v/>
      </c>
    </row>
    <row r="349">
      <c r="A349" s="102">
        <f>'Runs Z score'!A342</f>
        <v/>
      </c>
      <c r="B349" s="98">
        <f>'Runs Z score'!B342</f>
        <v/>
      </c>
      <c r="C349" s="98">
        <f>'Runs Z score'!C342</f>
        <v/>
      </c>
      <c r="D349" s="98">
        <f>'Runs Z score'!D342</f>
        <v/>
      </c>
      <c r="E349" s="98">
        <f>'Runs Z score'!E342</f>
        <v/>
      </c>
      <c r="F349" s="98">
        <f>'Runs Z score'!F342</f>
        <v/>
      </c>
      <c r="G349" s="99">
        <f>'Runs Z score'!G342</f>
        <v/>
      </c>
      <c r="H349" s="100">
        <f>VLOOKUP(C349,Recipes!$A$2:$N$4,10,FALSE())</f>
        <v/>
      </c>
      <c r="I349" s="101">
        <f>VLOOKUP(C349,Recipes!$A$2:$N$4,12,FALSE())</f>
        <v/>
      </c>
      <c r="J349" s="100">
        <f>IF(G349="","",H349-G349)</f>
        <v/>
      </c>
      <c r="K349" s="100">
        <f>IF(G349="","",-0.5*((J349-Components!$D$2)/Components!$E$2)^2)</f>
        <v/>
      </c>
      <c r="L349" s="100">
        <f>IF(G349="","",-0.5*((J349-Components!$D$3)/Components!$E$3)^2)</f>
        <v/>
      </c>
      <c r="M349" s="100">
        <f>IF(G349="","",-0.5*((J349-Components!$D$4)/Components!$E$4)^2)</f>
        <v/>
      </c>
      <c r="N349" s="100">
        <f>IF(G349="","",-0.5*((J349-Components!$D$5)/Components!$E$5)^2)</f>
        <v/>
      </c>
      <c r="O349" s="100">
        <f>IF(G349="","",-0.5*((J349-Components!$D$6)/Components!$E$6)^2)</f>
        <v/>
      </c>
      <c r="P349" s="100">
        <f>IF(G349="","",-0.5*((J349-Components!$D$7)/Components!$E$7)^2)</f>
        <v/>
      </c>
      <c r="Q349" s="100">
        <f>IF(G349="","",EXP(LARGE(K349:P349,1)-MAX(K349:P349))/(EXP(K349-MAX(K349:P349))+EXP(L349-MAX(K349:P349))+EXP(M349-MAX(K349:P349))+EXP(N349-MAX(K349:P349))+EXP(O349-MAX(K349:P349))+EXP(P349-MAX(K349:P349))))</f>
        <v/>
      </c>
      <c r="R349" s="100">
        <f>IF(G349="","",EXP(LARGE(K349:P349,2)-MAX(K349:P349))/(EXP(K349-MAX(K349:P349))+EXP(L349-MAX(K349:P349))+EXP(M349-MAX(K349:P349))+EXP(N349-MAX(K349:P349))+EXP(O349-MAX(K349:P349))+EXP(P349-MAX(K349:P349))))</f>
        <v/>
      </c>
      <c r="S349" s="100">
        <f>IF(G349="","",Q349-R349)</f>
        <v/>
      </c>
      <c r="T349" s="98">
        <f>IF(G349="","",IF(AND(G349&gt;=H349-$B$6*I349,G349&lt;=H349+$B$6*I349),"OK","NG"))</f>
        <v/>
      </c>
      <c r="U349" s="69">
        <f>IF(T349="","",IF(T349=D349,1,0))</f>
        <v/>
      </c>
      <c r="V349" s="98">
        <f>IF(G349="","",IF(T349="OK","NONE",INDEX({"S1","S2","W1","W2","N1","N2"},MATCH(MAX(K349:P349),K349:P349,0))))</f>
        <v/>
      </c>
      <c r="W349" s="69">
        <f>IF(G349="","",IF(V349=E349,1,0))</f>
        <v/>
      </c>
      <c r="X349" s="115">
        <f>IF(G349="","",IF(AND(T349="NG",S349&lt;$B$7),"AMBIGUOUS","CONFIDENT"))</f>
        <v/>
      </c>
    </row>
    <row r="350">
      <c r="A350" s="102">
        <f>'Runs Z score'!A343</f>
        <v/>
      </c>
      <c r="B350" s="98">
        <f>'Runs Z score'!B343</f>
        <v/>
      </c>
      <c r="C350" s="98">
        <f>'Runs Z score'!C343</f>
        <v/>
      </c>
      <c r="D350" s="98">
        <f>'Runs Z score'!D343</f>
        <v/>
      </c>
      <c r="E350" s="98">
        <f>'Runs Z score'!E343</f>
        <v/>
      </c>
      <c r="F350" s="98">
        <f>'Runs Z score'!F343</f>
        <v/>
      </c>
      <c r="G350" s="99">
        <f>'Runs Z score'!G343</f>
        <v/>
      </c>
      <c r="H350" s="100">
        <f>VLOOKUP(C350,Recipes!$A$2:$N$4,10,FALSE())</f>
        <v/>
      </c>
      <c r="I350" s="101">
        <f>VLOOKUP(C350,Recipes!$A$2:$N$4,12,FALSE())</f>
        <v/>
      </c>
      <c r="J350" s="100">
        <f>IF(G350="","",H350-G350)</f>
        <v/>
      </c>
      <c r="K350" s="100">
        <f>IF(G350="","",-0.5*((J350-Components!$D$2)/Components!$E$2)^2)</f>
        <v/>
      </c>
      <c r="L350" s="100">
        <f>IF(G350="","",-0.5*((J350-Components!$D$3)/Components!$E$3)^2)</f>
        <v/>
      </c>
      <c r="M350" s="100">
        <f>IF(G350="","",-0.5*((J350-Components!$D$4)/Components!$E$4)^2)</f>
        <v/>
      </c>
      <c r="N350" s="100">
        <f>IF(G350="","",-0.5*((J350-Components!$D$5)/Components!$E$5)^2)</f>
        <v/>
      </c>
      <c r="O350" s="100">
        <f>IF(G350="","",-0.5*((J350-Components!$D$6)/Components!$E$6)^2)</f>
        <v/>
      </c>
      <c r="P350" s="100">
        <f>IF(G350="","",-0.5*((J350-Components!$D$7)/Components!$E$7)^2)</f>
        <v/>
      </c>
      <c r="Q350" s="100">
        <f>IF(G350="","",EXP(LARGE(K350:P350,1)-MAX(K350:P350))/(EXP(K350-MAX(K350:P350))+EXP(L350-MAX(K350:P350))+EXP(M350-MAX(K350:P350))+EXP(N350-MAX(K350:P350))+EXP(O350-MAX(K350:P350))+EXP(P350-MAX(K350:P350))))</f>
        <v/>
      </c>
      <c r="R350" s="100">
        <f>IF(G350="","",EXP(LARGE(K350:P350,2)-MAX(K350:P350))/(EXP(K350-MAX(K350:P350))+EXP(L350-MAX(K350:P350))+EXP(M350-MAX(K350:P350))+EXP(N350-MAX(K350:P350))+EXP(O350-MAX(K350:P350))+EXP(P350-MAX(K350:P350))))</f>
        <v/>
      </c>
      <c r="S350" s="100">
        <f>IF(G350="","",Q350-R350)</f>
        <v/>
      </c>
      <c r="T350" s="98">
        <f>IF(G350="","",IF(AND(G350&gt;=H350-$B$6*I350,G350&lt;=H350+$B$6*I350),"OK","NG"))</f>
        <v/>
      </c>
      <c r="U350" s="69">
        <f>IF(T350="","",IF(T350=D350,1,0))</f>
        <v/>
      </c>
      <c r="V350" s="98">
        <f>IF(G350="","",IF(T350="OK","NONE",INDEX({"S1","S2","W1","W2","N1","N2"},MATCH(MAX(K350:P350),K350:P350,0))))</f>
        <v/>
      </c>
      <c r="W350" s="69">
        <f>IF(G350="","",IF(V350=E350,1,0))</f>
        <v/>
      </c>
      <c r="X350" s="115">
        <f>IF(G350="","",IF(AND(T350="NG",S350&lt;$B$7),"AMBIGUOUS","CONFIDENT"))</f>
        <v/>
      </c>
    </row>
    <row r="351">
      <c r="A351" s="102">
        <f>'Runs Z score'!A344</f>
        <v/>
      </c>
      <c r="B351" s="98">
        <f>'Runs Z score'!B344</f>
        <v/>
      </c>
      <c r="C351" s="98">
        <f>'Runs Z score'!C344</f>
        <v/>
      </c>
      <c r="D351" s="98">
        <f>'Runs Z score'!D344</f>
        <v/>
      </c>
      <c r="E351" s="98">
        <f>'Runs Z score'!E344</f>
        <v/>
      </c>
      <c r="F351" s="98">
        <f>'Runs Z score'!F344</f>
        <v/>
      </c>
      <c r="G351" s="99">
        <f>'Runs Z score'!G344</f>
        <v/>
      </c>
      <c r="H351" s="100">
        <f>VLOOKUP(C351,Recipes!$A$2:$N$4,10,FALSE())</f>
        <v/>
      </c>
      <c r="I351" s="101">
        <f>VLOOKUP(C351,Recipes!$A$2:$N$4,12,FALSE())</f>
        <v/>
      </c>
      <c r="J351" s="100">
        <f>IF(G351="","",H351-G351)</f>
        <v/>
      </c>
      <c r="K351" s="100">
        <f>IF(G351="","",-0.5*((J351-Components!$D$2)/Components!$E$2)^2)</f>
        <v/>
      </c>
      <c r="L351" s="100">
        <f>IF(G351="","",-0.5*((J351-Components!$D$3)/Components!$E$3)^2)</f>
        <v/>
      </c>
      <c r="M351" s="100">
        <f>IF(G351="","",-0.5*((J351-Components!$D$4)/Components!$E$4)^2)</f>
        <v/>
      </c>
      <c r="N351" s="100">
        <f>IF(G351="","",-0.5*((J351-Components!$D$5)/Components!$E$5)^2)</f>
        <v/>
      </c>
      <c r="O351" s="100">
        <f>IF(G351="","",-0.5*((J351-Components!$D$6)/Components!$E$6)^2)</f>
        <v/>
      </c>
      <c r="P351" s="100">
        <f>IF(G351="","",-0.5*((J351-Components!$D$7)/Components!$E$7)^2)</f>
        <v/>
      </c>
      <c r="Q351" s="100">
        <f>IF(G351="","",EXP(LARGE(K351:P351,1)-MAX(K351:P351))/(EXP(K351-MAX(K351:P351))+EXP(L351-MAX(K351:P351))+EXP(M351-MAX(K351:P351))+EXP(N351-MAX(K351:P351))+EXP(O351-MAX(K351:P351))+EXP(P351-MAX(K351:P351))))</f>
        <v/>
      </c>
      <c r="R351" s="100">
        <f>IF(G351="","",EXP(LARGE(K351:P351,2)-MAX(K351:P351))/(EXP(K351-MAX(K351:P351))+EXP(L351-MAX(K351:P351))+EXP(M351-MAX(K351:P351))+EXP(N351-MAX(K351:P351))+EXP(O351-MAX(K351:P351))+EXP(P351-MAX(K351:P351))))</f>
        <v/>
      </c>
      <c r="S351" s="100">
        <f>IF(G351="","",Q351-R351)</f>
        <v/>
      </c>
      <c r="T351" s="98">
        <f>IF(G351="","",IF(AND(G351&gt;=H351-$B$6*I351,G351&lt;=H351+$B$6*I351),"OK","NG"))</f>
        <v/>
      </c>
      <c r="U351" s="69">
        <f>IF(T351="","",IF(T351=D351,1,0))</f>
        <v/>
      </c>
      <c r="V351" s="98">
        <f>IF(G351="","",IF(T351="OK","NONE",INDEX({"S1","S2","W1","W2","N1","N2"},MATCH(MAX(K351:P351),K351:P351,0))))</f>
        <v/>
      </c>
      <c r="W351" s="69">
        <f>IF(G351="","",IF(V351=E351,1,0))</f>
        <v/>
      </c>
      <c r="X351" s="115">
        <f>IF(G351="","",IF(AND(T351="NG",S351&lt;$B$7),"AMBIGUOUS","CONFIDENT"))</f>
        <v/>
      </c>
    </row>
    <row r="352">
      <c r="A352" s="102">
        <f>'Runs Z score'!A345</f>
        <v/>
      </c>
      <c r="B352" s="98">
        <f>'Runs Z score'!B345</f>
        <v/>
      </c>
      <c r="C352" s="98">
        <f>'Runs Z score'!C345</f>
        <v/>
      </c>
      <c r="D352" s="98">
        <f>'Runs Z score'!D345</f>
        <v/>
      </c>
      <c r="E352" s="98">
        <f>'Runs Z score'!E345</f>
        <v/>
      </c>
      <c r="F352" s="98">
        <f>'Runs Z score'!F345</f>
        <v/>
      </c>
      <c r="G352" s="99">
        <f>'Runs Z score'!G345</f>
        <v/>
      </c>
      <c r="H352" s="100">
        <f>VLOOKUP(C352,Recipes!$A$2:$N$4,10,FALSE())</f>
        <v/>
      </c>
      <c r="I352" s="101">
        <f>VLOOKUP(C352,Recipes!$A$2:$N$4,12,FALSE())</f>
        <v/>
      </c>
      <c r="J352" s="100">
        <f>IF(G352="","",H352-G352)</f>
        <v/>
      </c>
      <c r="K352" s="100">
        <f>IF(G352="","",-0.5*((J352-Components!$D$2)/Components!$E$2)^2)</f>
        <v/>
      </c>
      <c r="L352" s="100">
        <f>IF(G352="","",-0.5*((J352-Components!$D$3)/Components!$E$3)^2)</f>
        <v/>
      </c>
      <c r="M352" s="100">
        <f>IF(G352="","",-0.5*((J352-Components!$D$4)/Components!$E$4)^2)</f>
        <v/>
      </c>
      <c r="N352" s="100">
        <f>IF(G352="","",-0.5*((J352-Components!$D$5)/Components!$E$5)^2)</f>
        <v/>
      </c>
      <c r="O352" s="100">
        <f>IF(G352="","",-0.5*((J352-Components!$D$6)/Components!$E$6)^2)</f>
        <v/>
      </c>
      <c r="P352" s="100">
        <f>IF(G352="","",-0.5*((J352-Components!$D$7)/Components!$E$7)^2)</f>
        <v/>
      </c>
      <c r="Q352" s="100">
        <f>IF(G352="","",EXP(LARGE(K352:P352,1)-MAX(K352:P352))/(EXP(K352-MAX(K352:P352))+EXP(L352-MAX(K352:P352))+EXP(M352-MAX(K352:P352))+EXP(N352-MAX(K352:P352))+EXP(O352-MAX(K352:P352))+EXP(P352-MAX(K352:P352))))</f>
        <v/>
      </c>
      <c r="R352" s="100">
        <f>IF(G352="","",EXP(LARGE(K352:P352,2)-MAX(K352:P352))/(EXP(K352-MAX(K352:P352))+EXP(L352-MAX(K352:P352))+EXP(M352-MAX(K352:P352))+EXP(N352-MAX(K352:P352))+EXP(O352-MAX(K352:P352))+EXP(P352-MAX(K352:P352))))</f>
        <v/>
      </c>
      <c r="S352" s="100">
        <f>IF(G352="","",Q352-R352)</f>
        <v/>
      </c>
      <c r="T352" s="98">
        <f>IF(G352="","",IF(AND(G352&gt;=H352-$B$6*I352,G352&lt;=H352+$B$6*I352),"OK","NG"))</f>
        <v/>
      </c>
      <c r="U352" s="69">
        <f>IF(T352="","",IF(T352=D352,1,0))</f>
        <v/>
      </c>
      <c r="V352" s="98">
        <f>IF(G352="","",IF(T352="OK","NONE",INDEX({"S1","S2","W1","W2","N1","N2"},MATCH(MAX(K352:P352),K352:P352,0))))</f>
        <v/>
      </c>
      <c r="W352" s="69">
        <f>IF(G352="","",IF(V352=E352,1,0))</f>
        <v/>
      </c>
      <c r="X352" s="115">
        <f>IF(G352="","",IF(AND(T352="NG",S352&lt;$B$7),"AMBIGUOUS","CONFIDENT"))</f>
        <v/>
      </c>
    </row>
    <row r="353">
      <c r="A353" s="102">
        <f>'Runs Z score'!A346</f>
        <v/>
      </c>
      <c r="B353" s="98">
        <f>'Runs Z score'!B346</f>
        <v/>
      </c>
      <c r="C353" s="98">
        <f>'Runs Z score'!C346</f>
        <v/>
      </c>
      <c r="D353" s="98">
        <f>'Runs Z score'!D346</f>
        <v/>
      </c>
      <c r="E353" s="98">
        <f>'Runs Z score'!E346</f>
        <v/>
      </c>
      <c r="F353" s="98">
        <f>'Runs Z score'!F346</f>
        <v/>
      </c>
      <c r="G353" s="99">
        <f>'Runs Z score'!G346</f>
        <v/>
      </c>
      <c r="H353" s="100">
        <f>VLOOKUP(C353,Recipes!$A$2:$N$4,10,FALSE())</f>
        <v/>
      </c>
      <c r="I353" s="101">
        <f>VLOOKUP(C353,Recipes!$A$2:$N$4,12,FALSE())</f>
        <v/>
      </c>
      <c r="J353" s="100">
        <f>IF(G353="","",H353-G353)</f>
        <v/>
      </c>
      <c r="K353" s="100">
        <f>IF(G353="","",-0.5*((J353-Components!$D$2)/Components!$E$2)^2)</f>
        <v/>
      </c>
      <c r="L353" s="100">
        <f>IF(G353="","",-0.5*((J353-Components!$D$3)/Components!$E$3)^2)</f>
        <v/>
      </c>
      <c r="M353" s="100">
        <f>IF(G353="","",-0.5*((J353-Components!$D$4)/Components!$E$4)^2)</f>
        <v/>
      </c>
      <c r="N353" s="100">
        <f>IF(G353="","",-0.5*((J353-Components!$D$5)/Components!$E$5)^2)</f>
        <v/>
      </c>
      <c r="O353" s="100">
        <f>IF(G353="","",-0.5*((J353-Components!$D$6)/Components!$E$6)^2)</f>
        <v/>
      </c>
      <c r="P353" s="100">
        <f>IF(G353="","",-0.5*((J353-Components!$D$7)/Components!$E$7)^2)</f>
        <v/>
      </c>
      <c r="Q353" s="100">
        <f>IF(G353="","",EXP(LARGE(K353:P353,1)-MAX(K353:P353))/(EXP(K353-MAX(K353:P353))+EXP(L353-MAX(K353:P353))+EXP(M353-MAX(K353:P353))+EXP(N353-MAX(K353:P353))+EXP(O353-MAX(K353:P353))+EXP(P353-MAX(K353:P353))))</f>
        <v/>
      </c>
      <c r="R353" s="100">
        <f>IF(G353="","",EXP(LARGE(K353:P353,2)-MAX(K353:P353))/(EXP(K353-MAX(K353:P353))+EXP(L353-MAX(K353:P353))+EXP(M353-MAX(K353:P353))+EXP(N353-MAX(K353:P353))+EXP(O353-MAX(K353:P353))+EXP(P353-MAX(K353:P353))))</f>
        <v/>
      </c>
      <c r="S353" s="100">
        <f>IF(G353="","",Q353-R353)</f>
        <v/>
      </c>
      <c r="T353" s="98">
        <f>IF(G353="","",IF(AND(G353&gt;=H353-$B$6*I353,G353&lt;=H353+$B$6*I353),"OK","NG"))</f>
        <v/>
      </c>
      <c r="U353" s="69">
        <f>IF(T353="","",IF(T353=D353,1,0))</f>
        <v/>
      </c>
      <c r="V353" s="98">
        <f>IF(G353="","",IF(T353="OK","NONE",INDEX({"S1","S2","W1","W2","N1","N2"},MATCH(MAX(K353:P353),K353:P353,0))))</f>
        <v/>
      </c>
      <c r="W353" s="71">
        <f>IF(G353="","",IF(V353=E353,1,0))</f>
        <v/>
      </c>
      <c r="X353" s="115">
        <f>IF(G353="","",IF(AND(T353="NG",S353&lt;$B$7),"AMBIGUOUS","CONFIDENT"))</f>
        <v/>
      </c>
    </row>
    <row r="354">
      <c r="A354" s="102">
        <f>'Runs Z score'!A347</f>
        <v/>
      </c>
      <c r="B354" s="98">
        <f>'Runs Z score'!B347</f>
        <v/>
      </c>
      <c r="C354" s="98">
        <f>'Runs Z score'!C347</f>
        <v/>
      </c>
      <c r="D354" s="98">
        <f>'Runs Z score'!D347</f>
        <v/>
      </c>
      <c r="E354" s="98">
        <f>'Runs Z score'!E347</f>
        <v/>
      </c>
      <c r="F354" s="98">
        <f>'Runs Z score'!F347</f>
        <v/>
      </c>
      <c r="G354" s="99">
        <f>'Runs Z score'!G347</f>
        <v/>
      </c>
      <c r="H354" s="100">
        <f>VLOOKUP(C354,Recipes!$A$2:$N$4,10,FALSE())</f>
        <v/>
      </c>
      <c r="I354" s="101">
        <f>VLOOKUP(C354,Recipes!$A$2:$N$4,12,FALSE())</f>
        <v/>
      </c>
      <c r="J354" s="100">
        <f>IF(G354="","",H354-G354)</f>
        <v/>
      </c>
      <c r="K354" s="100">
        <f>IF(G354="","",-0.5*((J354-Components!$D$2)/Components!$E$2)^2)</f>
        <v/>
      </c>
      <c r="L354" s="100">
        <f>IF(G354="","",-0.5*((J354-Components!$D$3)/Components!$E$3)^2)</f>
        <v/>
      </c>
      <c r="M354" s="100">
        <f>IF(G354="","",-0.5*((J354-Components!$D$4)/Components!$E$4)^2)</f>
        <v/>
      </c>
      <c r="N354" s="100">
        <f>IF(G354="","",-0.5*((J354-Components!$D$5)/Components!$E$5)^2)</f>
        <v/>
      </c>
      <c r="O354" s="100">
        <f>IF(G354="","",-0.5*((J354-Components!$D$6)/Components!$E$6)^2)</f>
        <v/>
      </c>
      <c r="P354" s="100">
        <f>IF(G354="","",-0.5*((J354-Components!$D$7)/Components!$E$7)^2)</f>
        <v/>
      </c>
      <c r="Q354" s="100">
        <f>IF(G354="","",EXP(LARGE(K354:P354,1)-MAX(K354:P354))/(EXP(K354-MAX(K354:P354))+EXP(L354-MAX(K354:P354))+EXP(M354-MAX(K354:P354))+EXP(N354-MAX(K354:P354))+EXP(O354-MAX(K354:P354))+EXP(P354-MAX(K354:P354))))</f>
        <v/>
      </c>
      <c r="R354" s="100">
        <f>IF(G354="","",EXP(LARGE(K354:P354,2)-MAX(K354:P354))/(EXP(K354-MAX(K354:P354))+EXP(L354-MAX(K354:P354))+EXP(M354-MAX(K354:P354))+EXP(N354-MAX(K354:P354))+EXP(O354-MAX(K354:P354))+EXP(P354-MAX(K354:P354))))</f>
        <v/>
      </c>
      <c r="S354" s="100">
        <f>IF(G354="","",Q354-R354)</f>
        <v/>
      </c>
      <c r="T354" s="98">
        <f>IF(G354="","",IF(AND(G354&gt;=H354-$B$6*I354,G354&lt;=H354+$B$6*I354),"OK","NG"))</f>
        <v/>
      </c>
      <c r="U354" s="69">
        <f>IF(T354="","",IF(T354=D354,1,0))</f>
        <v/>
      </c>
      <c r="V354" s="98">
        <f>IF(G354="","",IF(T354="OK","NONE",INDEX({"S1","S2","W1","W2","N1","N2"},MATCH(MAX(K354:P354),K354:P354,0))))</f>
        <v/>
      </c>
      <c r="W354" s="69">
        <f>IF(G354="","",IF(V354=E354,1,0))</f>
        <v/>
      </c>
      <c r="X354" s="115">
        <f>IF(G354="","",IF(AND(T354="NG",S354&lt;$B$7),"AMBIGUOUS","CONFIDENT"))</f>
        <v/>
      </c>
    </row>
    <row r="355">
      <c r="A355" s="102">
        <f>'Runs Z score'!A348</f>
        <v/>
      </c>
      <c r="B355" s="98">
        <f>'Runs Z score'!B348</f>
        <v/>
      </c>
      <c r="C355" s="98">
        <f>'Runs Z score'!C348</f>
        <v/>
      </c>
      <c r="D355" s="98">
        <f>'Runs Z score'!D348</f>
        <v/>
      </c>
      <c r="E355" s="98">
        <f>'Runs Z score'!E348</f>
        <v/>
      </c>
      <c r="F355" s="98">
        <f>'Runs Z score'!F348</f>
        <v/>
      </c>
      <c r="G355" s="99">
        <f>'Runs Z score'!G348</f>
        <v/>
      </c>
      <c r="H355" s="100">
        <f>VLOOKUP(C355,Recipes!$A$2:$N$4,10,FALSE())</f>
        <v/>
      </c>
      <c r="I355" s="101">
        <f>VLOOKUP(C355,Recipes!$A$2:$N$4,12,FALSE())</f>
        <v/>
      </c>
      <c r="J355" s="100">
        <f>IF(G355="","",H355-G355)</f>
        <v/>
      </c>
      <c r="K355" s="100">
        <f>IF(G355="","",-0.5*((J355-Components!$D$2)/Components!$E$2)^2)</f>
        <v/>
      </c>
      <c r="L355" s="100">
        <f>IF(G355="","",-0.5*((J355-Components!$D$3)/Components!$E$3)^2)</f>
        <v/>
      </c>
      <c r="M355" s="100">
        <f>IF(G355="","",-0.5*((J355-Components!$D$4)/Components!$E$4)^2)</f>
        <v/>
      </c>
      <c r="N355" s="100">
        <f>IF(G355="","",-0.5*((J355-Components!$D$5)/Components!$E$5)^2)</f>
        <v/>
      </c>
      <c r="O355" s="100">
        <f>IF(G355="","",-0.5*((J355-Components!$D$6)/Components!$E$6)^2)</f>
        <v/>
      </c>
      <c r="P355" s="100">
        <f>IF(G355="","",-0.5*((J355-Components!$D$7)/Components!$E$7)^2)</f>
        <v/>
      </c>
      <c r="Q355" s="100">
        <f>IF(G355="","",EXP(LARGE(K355:P355,1)-MAX(K355:P355))/(EXP(K355-MAX(K355:P355))+EXP(L355-MAX(K355:P355))+EXP(M355-MAX(K355:P355))+EXP(N355-MAX(K355:P355))+EXP(O355-MAX(K355:P355))+EXP(P355-MAX(K355:P355))))</f>
        <v/>
      </c>
      <c r="R355" s="100">
        <f>IF(G355="","",EXP(LARGE(K355:P355,2)-MAX(K355:P355))/(EXP(K355-MAX(K355:P355))+EXP(L355-MAX(K355:P355))+EXP(M355-MAX(K355:P355))+EXP(N355-MAX(K355:P355))+EXP(O355-MAX(K355:P355))+EXP(P355-MAX(K355:P355))))</f>
        <v/>
      </c>
      <c r="S355" s="100">
        <f>IF(G355="","",Q355-R355)</f>
        <v/>
      </c>
      <c r="T355" s="98">
        <f>IF(G355="","",IF(AND(G355&gt;=H355-$B$6*I355,G355&lt;=H355+$B$6*I355),"OK","NG"))</f>
        <v/>
      </c>
      <c r="U355" s="69">
        <f>IF(T355="","",IF(T355=D355,1,0))</f>
        <v/>
      </c>
      <c r="V355" s="98">
        <f>IF(G355="","",IF(T355="OK","NONE",INDEX({"S1","S2","W1","W2","N1","N2"},MATCH(MAX(K355:P355),K355:P355,0))))</f>
        <v/>
      </c>
      <c r="W355" s="69">
        <f>IF(G355="","",IF(V355=E355,1,0))</f>
        <v/>
      </c>
      <c r="X355" s="115">
        <f>IF(G355="","",IF(AND(T355="NG",S355&lt;$B$7),"AMBIGUOUS","CONFIDENT"))</f>
        <v/>
      </c>
    </row>
    <row r="356">
      <c r="A356" s="102">
        <f>'Runs Z score'!A349</f>
        <v/>
      </c>
      <c r="B356" s="98">
        <f>'Runs Z score'!B349</f>
        <v/>
      </c>
      <c r="C356" s="98">
        <f>'Runs Z score'!C349</f>
        <v/>
      </c>
      <c r="D356" s="98">
        <f>'Runs Z score'!D349</f>
        <v/>
      </c>
      <c r="E356" s="98">
        <f>'Runs Z score'!E349</f>
        <v/>
      </c>
      <c r="F356" s="98">
        <f>'Runs Z score'!F349</f>
        <v/>
      </c>
      <c r="G356" s="99">
        <f>'Runs Z score'!G349</f>
        <v/>
      </c>
      <c r="H356" s="100">
        <f>VLOOKUP(C356,Recipes!$A$2:$N$4,10,FALSE())</f>
        <v/>
      </c>
      <c r="I356" s="101">
        <f>VLOOKUP(C356,Recipes!$A$2:$N$4,12,FALSE())</f>
        <v/>
      </c>
      <c r="J356" s="100">
        <f>IF(G356="","",H356-G356)</f>
        <v/>
      </c>
      <c r="K356" s="100">
        <f>IF(G356="","",-0.5*((J356-Components!$D$2)/Components!$E$2)^2)</f>
        <v/>
      </c>
      <c r="L356" s="100">
        <f>IF(G356="","",-0.5*((J356-Components!$D$3)/Components!$E$3)^2)</f>
        <v/>
      </c>
      <c r="M356" s="100">
        <f>IF(G356="","",-0.5*((J356-Components!$D$4)/Components!$E$4)^2)</f>
        <v/>
      </c>
      <c r="N356" s="100">
        <f>IF(G356="","",-0.5*((J356-Components!$D$5)/Components!$E$5)^2)</f>
        <v/>
      </c>
      <c r="O356" s="100">
        <f>IF(G356="","",-0.5*((J356-Components!$D$6)/Components!$E$6)^2)</f>
        <v/>
      </c>
      <c r="P356" s="100">
        <f>IF(G356="","",-0.5*((J356-Components!$D$7)/Components!$E$7)^2)</f>
        <v/>
      </c>
      <c r="Q356" s="100">
        <f>IF(G356="","",EXP(LARGE(K356:P356,1)-MAX(K356:P356))/(EXP(K356-MAX(K356:P356))+EXP(L356-MAX(K356:P356))+EXP(M356-MAX(K356:P356))+EXP(N356-MAX(K356:P356))+EXP(O356-MAX(K356:P356))+EXP(P356-MAX(K356:P356))))</f>
        <v/>
      </c>
      <c r="R356" s="100">
        <f>IF(G356="","",EXP(LARGE(K356:P356,2)-MAX(K356:P356))/(EXP(K356-MAX(K356:P356))+EXP(L356-MAX(K356:P356))+EXP(M356-MAX(K356:P356))+EXP(N356-MAX(K356:P356))+EXP(O356-MAX(K356:P356))+EXP(P356-MAX(K356:P356))))</f>
        <v/>
      </c>
      <c r="S356" s="100">
        <f>IF(G356="","",Q356-R356)</f>
        <v/>
      </c>
      <c r="T356" s="98">
        <f>IF(G356="","",IF(AND(G356&gt;=H356-$B$6*I356,G356&lt;=H356+$B$6*I356),"OK","NG"))</f>
        <v/>
      </c>
      <c r="U356" s="69">
        <f>IF(T356="","",IF(T356=D356,1,0))</f>
        <v/>
      </c>
      <c r="V356" s="98">
        <f>IF(G356="","",IF(T356="OK","NONE",INDEX({"S1","S2","W1","W2","N1","N2"},MATCH(MAX(K356:P356),K356:P356,0))))</f>
        <v/>
      </c>
      <c r="W356" s="71">
        <f>IF(G356="","",IF(V356=E356,1,0))</f>
        <v/>
      </c>
      <c r="X356" s="115">
        <f>IF(G356="","",IF(AND(T356="NG",S356&lt;$B$7),"AMBIGUOUS","CONFIDENT"))</f>
        <v/>
      </c>
    </row>
    <row r="357">
      <c r="A357" s="102">
        <f>'Runs Z score'!A350</f>
        <v/>
      </c>
      <c r="B357" s="98">
        <f>'Runs Z score'!B350</f>
        <v/>
      </c>
      <c r="C357" s="98">
        <f>'Runs Z score'!C350</f>
        <v/>
      </c>
      <c r="D357" s="98">
        <f>'Runs Z score'!D350</f>
        <v/>
      </c>
      <c r="E357" s="98">
        <f>'Runs Z score'!E350</f>
        <v/>
      </c>
      <c r="F357" s="98">
        <f>'Runs Z score'!F350</f>
        <v/>
      </c>
      <c r="G357" s="99">
        <f>'Runs Z score'!G350</f>
        <v/>
      </c>
      <c r="H357" s="100">
        <f>VLOOKUP(C357,Recipes!$A$2:$N$4,10,FALSE())</f>
        <v/>
      </c>
      <c r="I357" s="101">
        <f>VLOOKUP(C357,Recipes!$A$2:$N$4,12,FALSE())</f>
        <v/>
      </c>
      <c r="J357" s="100">
        <f>IF(G357="","",H357-G357)</f>
        <v/>
      </c>
      <c r="K357" s="100">
        <f>IF(G357="","",-0.5*((J357-Components!$D$2)/Components!$E$2)^2)</f>
        <v/>
      </c>
      <c r="L357" s="100">
        <f>IF(G357="","",-0.5*((J357-Components!$D$3)/Components!$E$3)^2)</f>
        <v/>
      </c>
      <c r="M357" s="100">
        <f>IF(G357="","",-0.5*((J357-Components!$D$4)/Components!$E$4)^2)</f>
        <v/>
      </c>
      <c r="N357" s="100">
        <f>IF(G357="","",-0.5*((J357-Components!$D$5)/Components!$E$5)^2)</f>
        <v/>
      </c>
      <c r="O357" s="100">
        <f>IF(G357="","",-0.5*((J357-Components!$D$6)/Components!$E$6)^2)</f>
        <v/>
      </c>
      <c r="P357" s="100">
        <f>IF(G357="","",-0.5*((J357-Components!$D$7)/Components!$E$7)^2)</f>
        <v/>
      </c>
      <c r="Q357" s="100">
        <f>IF(G357="","",EXP(LARGE(K357:P357,1)-MAX(K357:P357))/(EXP(K357-MAX(K357:P357))+EXP(L357-MAX(K357:P357))+EXP(M357-MAX(K357:P357))+EXP(N357-MAX(K357:P357))+EXP(O357-MAX(K357:P357))+EXP(P357-MAX(K357:P357))))</f>
        <v/>
      </c>
      <c r="R357" s="100">
        <f>IF(G357="","",EXP(LARGE(K357:P357,2)-MAX(K357:P357))/(EXP(K357-MAX(K357:P357))+EXP(L357-MAX(K357:P357))+EXP(M357-MAX(K357:P357))+EXP(N357-MAX(K357:P357))+EXP(O357-MAX(K357:P357))+EXP(P357-MAX(K357:P357))))</f>
        <v/>
      </c>
      <c r="S357" s="100">
        <f>IF(G357="","",Q357-R357)</f>
        <v/>
      </c>
      <c r="T357" s="98">
        <f>IF(G357="","",IF(AND(G357&gt;=H357-$B$6*I357,G357&lt;=H357+$B$6*I357),"OK","NG"))</f>
        <v/>
      </c>
      <c r="U357" s="69">
        <f>IF(T357="","",IF(T357=D357,1,0))</f>
        <v/>
      </c>
      <c r="V357" s="98">
        <f>IF(G357="","",IF(T357="OK","NONE",INDEX({"S1","S2","W1","W2","N1","N2"},MATCH(MAX(K357:P357),K357:P357,0))))</f>
        <v/>
      </c>
      <c r="W357" s="69">
        <f>IF(G357="","",IF(V357=E357,1,0))</f>
        <v/>
      </c>
      <c r="X357" s="115">
        <f>IF(G357="","",IF(AND(T357="NG",S357&lt;$B$7),"AMBIGUOUS","CONFIDENT"))</f>
        <v/>
      </c>
    </row>
    <row r="358">
      <c r="A358" s="102">
        <f>'Runs Z score'!A351</f>
        <v/>
      </c>
      <c r="B358" s="98">
        <f>'Runs Z score'!B351</f>
        <v/>
      </c>
      <c r="C358" s="98">
        <f>'Runs Z score'!C351</f>
        <v/>
      </c>
      <c r="D358" s="98">
        <f>'Runs Z score'!D351</f>
        <v/>
      </c>
      <c r="E358" s="98">
        <f>'Runs Z score'!E351</f>
        <v/>
      </c>
      <c r="F358" s="98">
        <f>'Runs Z score'!F351</f>
        <v/>
      </c>
      <c r="G358" s="99">
        <f>'Runs Z score'!G351</f>
        <v/>
      </c>
      <c r="H358" s="100">
        <f>VLOOKUP(C358,Recipes!$A$2:$N$4,10,FALSE())</f>
        <v/>
      </c>
      <c r="I358" s="101">
        <f>VLOOKUP(C358,Recipes!$A$2:$N$4,12,FALSE())</f>
        <v/>
      </c>
      <c r="J358" s="100">
        <f>IF(G358="","",H358-G358)</f>
        <v/>
      </c>
      <c r="K358" s="100">
        <f>IF(G358="","",-0.5*((J358-Components!$D$2)/Components!$E$2)^2)</f>
        <v/>
      </c>
      <c r="L358" s="100">
        <f>IF(G358="","",-0.5*((J358-Components!$D$3)/Components!$E$3)^2)</f>
        <v/>
      </c>
      <c r="M358" s="100">
        <f>IF(G358="","",-0.5*((J358-Components!$D$4)/Components!$E$4)^2)</f>
        <v/>
      </c>
      <c r="N358" s="100">
        <f>IF(G358="","",-0.5*((J358-Components!$D$5)/Components!$E$5)^2)</f>
        <v/>
      </c>
      <c r="O358" s="100">
        <f>IF(G358="","",-0.5*((J358-Components!$D$6)/Components!$E$6)^2)</f>
        <v/>
      </c>
      <c r="P358" s="100">
        <f>IF(G358="","",-0.5*((J358-Components!$D$7)/Components!$E$7)^2)</f>
        <v/>
      </c>
      <c r="Q358" s="100">
        <f>IF(G358="","",EXP(LARGE(K358:P358,1)-MAX(K358:P358))/(EXP(K358-MAX(K358:P358))+EXP(L358-MAX(K358:P358))+EXP(M358-MAX(K358:P358))+EXP(N358-MAX(K358:P358))+EXP(O358-MAX(K358:P358))+EXP(P358-MAX(K358:P358))))</f>
        <v/>
      </c>
      <c r="R358" s="100">
        <f>IF(G358="","",EXP(LARGE(K358:P358,2)-MAX(K358:P358))/(EXP(K358-MAX(K358:P358))+EXP(L358-MAX(K358:P358))+EXP(M358-MAX(K358:P358))+EXP(N358-MAX(K358:P358))+EXP(O358-MAX(K358:P358))+EXP(P358-MAX(K358:P358))))</f>
        <v/>
      </c>
      <c r="S358" s="100">
        <f>IF(G358="","",Q358-R358)</f>
        <v/>
      </c>
      <c r="T358" s="98">
        <f>IF(G358="","",IF(AND(G358&gt;=H358-$B$6*I358,G358&lt;=H358+$B$6*I358),"OK","NG"))</f>
        <v/>
      </c>
      <c r="U358" s="69">
        <f>IF(T358="","",IF(T358=D358,1,0))</f>
        <v/>
      </c>
      <c r="V358" s="98">
        <f>IF(G358="","",IF(T358="OK","NONE",INDEX({"S1","S2","W1","W2","N1","N2"},MATCH(MAX(K358:P358),K358:P358,0))))</f>
        <v/>
      </c>
      <c r="W358" s="69">
        <f>IF(G358="","",IF(V358=E358,1,0))</f>
        <v/>
      </c>
      <c r="X358" s="115">
        <f>IF(G358="","",IF(AND(T358="NG",S358&lt;$B$7),"AMBIGUOUS","CONFIDENT"))</f>
        <v/>
      </c>
    </row>
    <row r="359">
      <c r="A359" s="102">
        <f>'Runs Z score'!A352</f>
        <v/>
      </c>
      <c r="B359" s="98">
        <f>'Runs Z score'!B352</f>
        <v/>
      </c>
      <c r="C359" s="98">
        <f>'Runs Z score'!C352</f>
        <v/>
      </c>
      <c r="D359" s="98">
        <f>'Runs Z score'!D352</f>
        <v/>
      </c>
      <c r="E359" s="98">
        <f>'Runs Z score'!E352</f>
        <v/>
      </c>
      <c r="F359" s="98">
        <f>'Runs Z score'!F352</f>
        <v/>
      </c>
      <c r="G359" s="99">
        <f>'Runs Z score'!G352</f>
        <v/>
      </c>
      <c r="H359" s="100">
        <f>VLOOKUP(C359,Recipes!$A$2:$N$4,10,FALSE())</f>
        <v/>
      </c>
      <c r="I359" s="101">
        <f>VLOOKUP(C359,Recipes!$A$2:$N$4,12,FALSE())</f>
        <v/>
      </c>
      <c r="J359" s="100">
        <f>IF(G359="","",H359-G359)</f>
        <v/>
      </c>
      <c r="K359" s="100">
        <f>IF(G359="","",-0.5*((J359-Components!$D$2)/Components!$E$2)^2)</f>
        <v/>
      </c>
      <c r="L359" s="100">
        <f>IF(G359="","",-0.5*((J359-Components!$D$3)/Components!$E$3)^2)</f>
        <v/>
      </c>
      <c r="M359" s="100">
        <f>IF(G359="","",-0.5*((J359-Components!$D$4)/Components!$E$4)^2)</f>
        <v/>
      </c>
      <c r="N359" s="100">
        <f>IF(G359="","",-0.5*((J359-Components!$D$5)/Components!$E$5)^2)</f>
        <v/>
      </c>
      <c r="O359" s="100">
        <f>IF(G359="","",-0.5*((J359-Components!$D$6)/Components!$E$6)^2)</f>
        <v/>
      </c>
      <c r="P359" s="100">
        <f>IF(G359="","",-0.5*((J359-Components!$D$7)/Components!$E$7)^2)</f>
        <v/>
      </c>
      <c r="Q359" s="100">
        <f>IF(G359="","",EXP(LARGE(K359:P359,1)-MAX(K359:P359))/(EXP(K359-MAX(K359:P359))+EXP(L359-MAX(K359:P359))+EXP(M359-MAX(K359:P359))+EXP(N359-MAX(K359:P359))+EXP(O359-MAX(K359:P359))+EXP(P359-MAX(K359:P359))))</f>
        <v/>
      </c>
      <c r="R359" s="100">
        <f>IF(G359="","",EXP(LARGE(K359:P359,2)-MAX(K359:P359))/(EXP(K359-MAX(K359:P359))+EXP(L359-MAX(K359:P359))+EXP(M359-MAX(K359:P359))+EXP(N359-MAX(K359:P359))+EXP(O359-MAX(K359:P359))+EXP(P359-MAX(K359:P359))))</f>
        <v/>
      </c>
      <c r="S359" s="100">
        <f>IF(G359="","",Q359-R359)</f>
        <v/>
      </c>
      <c r="T359" s="98">
        <f>IF(G359="","",IF(AND(G359&gt;=H359-$B$6*I359,G359&lt;=H359+$B$6*I359),"OK","NG"))</f>
        <v/>
      </c>
      <c r="U359" s="69">
        <f>IF(T359="","",IF(T359=D359,1,0))</f>
        <v/>
      </c>
      <c r="V359" s="98">
        <f>IF(G359="","",IF(T359="OK","NONE",INDEX({"S1","S2","W1","W2","N1","N2"},MATCH(MAX(K359:P359),K359:P359,0))))</f>
        <v/>
      </c>
      <c r="W359" s="71">
        <f>IF(G359="","",IF(V359=E359,1,0))</f>
        <v/>
      </c>
      <c r="X359" s="115">
        <f>IF(G359="","",IF(AND(T359="NG",S359&lt;$B$7),"AMBIGUOUS","CONFIDENT"))</f>
        <v/>
      </c>
    </row>
    <row r="360">
      <c r="A360" s="102">
        <f>'Runs Z score'!A353</f>
        <v/>
      </c>
      <c r="B360" s="98">
        <f>'Runs Z score'!B353</f>
        <v/>
      </c>
      <c r="C360" s="98">
        <f>'Runs Z score'!C353</f>
        <v/>
      </c>
      <c r="D360" s="98">
        <f>'Runs Z score'!D353</f>
        <v/>
      </c>
      <c r="E360" s="98">
        <f>'Runs Z score'!E353</f>
        <v/>
      </c>
      <c r="F360" s="98">
        <f>'Runs Z score'!F353</f>
        <v/>
      </c>
      <c r="G360" s="99">
        <f>'Runs Z score'!G353</f>
        <v/>
      </c>
      <c r="H360" s="100">
        <f>VLOOKUP(C360,Recipes!$A$2:$N$4,10,FALSE())</f>
        <v/>
      </c>
      <c r="I360" s="101">
        <f>VLOOKUP(C360,Recipes!$A$2:$N$4,12,FALSE())</f>
        <v/>
      </c>
      <c r="J360" s="100">
        <f>IF(G360="","",H360-G360)</f>
        <v/>
      </c>
      <c r="K360" s="100">
        <f>IF(G360="","",-0.5*((J360-Components!$D$2)/Components!$E$2)^2)</f>
        <v/>
      </c>
      <c r="L360" s="100">
        <f>IF(G360="","",-0.5*((J360-Components!$D$3)/Components!$E$3)^2)</f>
        <v/>
      </c>
      <c r="M360" s="100">
        <f>IF(G360="","",-0.5*((J360-Components!$D$4)/Components!$E$4)^2)</f>
        <v/>
      </c>
      <c r="N360" s="100">
        <f>IF(G360="","",-0.5*((J360-Components!$D$5)/Components!$E$5)^2)</f>
        <v/>
      </c>
      <c r="O360" s="100">
        <f>IF(G360="","",-0.5*((J360-Components!$D$6)/Components!$E$6)^2)</f>
        <v/>
      </c>
      <c r="P360" s="100">
        <f>IF(G360="","",-0.5*((J360-Components!$D$7)/Components!$E$7)^2)</f>
        <v/>
      </c>
      <c r="Q360" s="100">
        <f>IF(G360="","",EXP(LARGE(K360:P360,1)-MAX(K360:P360))/(EXP(K360-MAX(K360:P360))+EXP(L360-MAX(K360:P360))+EXP(M360-MAX(K360:P360))+EXP(N360-MAX(K360:P360))+EXP(O360-MAX(K360:P360))+EXP(P360-MAX(K360:P360))))</f>
        <v/>
      </c>
      <c r="R360" s="100">
        <f>IF(G360="","",EXP(LARGE(K360:P360,2)-MAX(K360:P360))/(EXP(K360-MAX(K360:P360))+EXP(L360-MAX(K360:P360))+EXP(M360-MAX(K360:P360))+EXP(N360-MAX(K360:P360))+EXP(O360-MAX(K360:P360))+EXP(P360-MAX(K360:P360))))</f>
        <v/>
      </c>
      <c r="S360" s="100">
        <f>IF(G360="","",Q360-R360)</f>
        <v/>
      </c>
      <c r="T360" s="98">
        <f>IF(G360="","",IF(AND(G360&gt;=H360-$B$6*I360,G360&lt;=H360+$B$6*I360),"OK","NG"))</f>
        <v/>
      </c>
      <c r="U360" s="69">
        <f>IF(T360="","",IF(T360=D360,1,0))</f>
        <v/>
      </c>
      <c r="V360" s="98">
        <f>IF(G360="","",IF(T360="OK","NONE",INDEX({"S1","S2","W1","W2","N1","N2"},MATCH(MAX(K360:P360),K360:P360,0))))</f>
        <v/>
      </c>
      <c r="W360" s="69">
        <f>IF(G360="","",IF(V360=E360,1,0))</f>
        <v/>
      </c>
      <c r="X360" s="115">
        <f>IF(G360="","",IF(AND(T360="NG",S360&lt;$B$7),"AMBIGUOUS","CONFIDENT"))</f>
        <v/>
      </c>
    </row>
    <row r="361">
      <c r="A361" s="102">
        <f>'Runs Z score'!A354</f>
        <v/>
      </c>
      <c r="B361" s="98">
        <f>'Runs Z score'!B354</f>
        <v/>
      </c>
      <c r="C361" s="98">
        <f>'Runs Z score'!C354</f>
        <v/>
      </c>
      <c r="D361" s="98">
        <f>'Runs Z score'!D354</f>
        <v/>
      </c>
      <c r="E361" s="98">
        <f>'Runs Z score'!E354</f>
        <v/>
      </c>
      <c r="F361" s="98">
        <f>'Runs Z score'!F354</f>
        <v/>
      </c>
      <c r="G361" s="99">
        <f>'Runs Z score'!G354</f>
        <v/>
      </c>
      <c r="H361" s="100">
        <f>VLOOKUP(C361,Recipes!$A$2:$N$4,10,FALSE())</f>
        <v/>
      </c>
      <c r="I361" s="101">
        <f>VLOOKUP(C361,Recipes!$A$2:$N$4,12,FALSE())</f>
        <v/>
      </c>
      <c r="J361" s="100">
        <f>IF(G361="","",H361-G361)</f>
        <v/>
      </c>
      <c r="K361" s="100">
        <f>IF(G361="","",-0.5*((J361-Components!$D$2)/Components!$E$2)^2)</f>
        <v/>
      </c>
      <c r="L361" s="100">
        <f>IF(G361="","",-0.5*((J361-Components!$D$3)/Components!$E$3)^2)</f>
        <v/>
      </c>
      <c r="M361" s="100">
        <f>IF(G361="","",-0.5*((J361-Components!$D$4)/Components!$E$4)^2)</f>
        <v/>
      </c>
      <c r="N361" s="100">
        <f>IF(G361="","",-0.5*((J361-Components!$D$5)/Components!$E$5)^2)</f>
        <v/>
      </c>
      <c r="O361" s="100">
        <f>IF(G361="","",-0.5*((J361-Components!$D$6)/Components!$E$6)^2)</f>
        <v/>
      </c>
      <c r="P361" s="100">
        <f>IF(G361="","",-0.5*((J361-Components!$D$7)/Components!$E$7)^2)</f>
        <v/>
      </c>
      <c r="Q361" s="100">
        <f>IF(G361="","",EXP(LARGE(K361:P361,1)-MAX(K361:P361))/(EXP(K361-MAX(K361:P361))+EXP(L361-MAX(K361:P361))+EXP(M361-MAX(K361:P361))+EXP(N361-MAX(K361:P361))+EXP(O361-MAX(K361:P361))+EXP(P361-MAX(K361:P361))))</f>
        <v/>
      </c>
      <c r="R361" s="100">
        <f>IF(G361="","",EXP(LARGE(K361:P361,2)-MAX(K361:P361))/(EXP(K361-MAX(K361:P361))+EXP(L361-MAX(K361:P361))+EXP(M361-MAX(K361:P361))+EXP(N361-MAX(K361:P361))+EXP(O361-MAX(K361:P361))+EXP(P361-MAX(K361:P361))))</f>
        <v/>
      </c>
      <c r="S361" s="100">
        <f>IF(G361="","",Q361-R361)</f>
        <v/>
      </c>
      <c r="T361" s="98">
        <f>IF(G361="","",IF(AND(G361&gt;=H361-$B$6*I361,G361&lt;=H361+$B$6*I361),"OK","NG"))</f>
        <v/>
      </c>
      <c r="U361" s="69">
        <f>IF(T361="","",IF(T361=D361,1,0))</f>
        <v/>
      </c>
      <c r="V361" s="98">
        <f>IF(G361="","",IF(T361="OK","NONE",INDEX({"S1","S2","W1","W2","N1","N2"},MATCH(MAX(K361:P361),K361:P361,0))))</f>
        <v/>
      </c>
      <c r="W361" s="69">
        <f>IF(G361="","",IF(V361=E361,1,0))</f>
        <v/>
      </c>
      <c r="X361" s="115">
        <f>IF(G361="","",IF(AND(T361="NG",S361&lt;$B$7),"AMBIGUOUS","CONFIDENT"))</f>
        <v/>
      </c>
    </row>
    <row r="362">
      <c r="A362" s="102">
        <f>'Runs Z score'!A355</f>
        <v/>
      </c>
      <c r="B362" s="98">
        <f>'Runs Z score'!B355</f>
        <v/>
      </c>
      <c r="C362" s="98">
        <f>'Runs Z score'!C355</f>
        <v/>
      </c>
      <c r="D362" s="98">
        <f>'Runs Z score'!D355</f>
        <v/>
      </c>
      <c r="E362" s="98">
        <f>'Runs Z score'!E355</f>
        <v/>
      </c>
      <c r="F362" s="98">
        <f>'Runs Z score'!F355</f>
        <v/>
      </c>
      <c r="G362" s="99">
        <f>'Runs Z score'!G355</f>
        <v/>
      </c>
      <c r="H362" s="100">
        <f>VLOOKUP(C362,Recipes!$A$2:$N$4,10,FALSE())</f>
        <v/>
      </c>
      <c r="I362" s="101">
        <f>VLOOKUP(C362,Recipes!$A$2:$N$4,12,FALSE())</f>
        <v/>
      </c>
      <c r="J362" s="100">
        <f>IF(G362="","",H362-G362)</f>
        <v/>
      </c>
      <c r="K362" s="100">
        <f>IF(G362="","",-0.5*((J362-Components!$D$2)/Components!$E$2)^2)</f>
        <v/>
      </c>
      <c r="L362" s="100">
        <f>IF(G362="","",-0.5*((J362-Components!$D$3)/Components!$E$3)^2)</f>
        <v/>
      </c>
      <c r="M362" s="100">
        <f>IF(G362="","",-0.5*((J362-Components!$D$4)/Components!$E$4)^2)</f>
        <v/>
      </c>
      <c r="N362" s="100">
        <f>IF(G362="","",-0.5*((J362-Components!$D$5)/Components!$E$5)^2)</f>
        <v/>
      </c>
      <c r="O362" s="100">
        <f>IF(G362="","",-0.5*((J362-Components!$D$6)/Components!$E$6)^2)</f>
        <v/>
      </c>
      <c r="P362" s="100">
        <f>IF(G362="","",-0.5*((J362-Components!$D$7)/Components!$E$7)^2)</f>
        <v/>
      </c>
      <c r="Q362" s="100">
        <f>IF(G362="","",EXP(LARGE(K362:P362,1)-MAX(K362:P362))/(EXP(K362-MAX(K362:P362))+EXP(L362-MAX(K362:P362))+EXP(M362-MAX(K362:P362))+EXP(N362-MAX(K362:P362))+EXP(O362-MAX(K362:P362))+EXP(P362-MAX(K362:P362))))</f>
        <v/>
      </c>
      <c r="R362" s="100">
        <f>IF(G362="","",EXP(LARGE(K362:P362,2)-MAX(K362:P362))/(EXP(K362-MAX(K362:P362))+EXP(L362-MAX(K362:P362))+EXP(M362-MAX(K362:P362))+EXP(N362-MAX(K362:P362))+EXP(O362-MAX(K362:P362))+EXP(P362-MAX(K362:P362))))</f>
        <v/>
      </c>
      <c r="S362" s="100">
        <f>IF(G362="","",Q362-R362)</f>
        <v/>
      </c>
      <c r="T362" s="98">
        <f>IF(G362="","",IF(AND(G362&gt;=H362-$B$6*I362,G362&lt;=H362+$B$6*I362),"OK","NG"))</f>
        <v/>
      </c>
      <c r="U362" s="69">
        <f>IF(T362="","",IF(T362=D362,1,0))</f>
        <v/>
      </c>
      <c r="V362" s="98">
        <f>IF(G362="","",IF(T362="OK","NONE",INDEX({"S1","S2","W1","W2","N1","N2"},MATCH(MAX(K362:P362),K362:P362,0))))</f>
        <v/>
      </c>
      <c r="W362" s="71">
        <f>IF(G362="","",IF(V362=E362,1,0))</f>
        <v/>
      </c>
      <c r="X362" s="115">
        <f>IF(G362="","",IF(AND(T362="NG",S362&lt;$B$7),"AMBIGUOUS","CONFIDENT"))</f>
        <v/>
      </c>
    </row>
    <row r="363">
      <c r="A363" s="102">
        <f>'Runs Z score'!A356</f>
        <v/>
      </c>
      <c r="B363" s="98">
        <f>'Runs Z score'!B356</f>
        <v/>
      </c>
      <c r="C363" s="98">
        <f>'Runs Z score'!C356</f>
        <v/>
      </c>
      <c r="D363" s="98">
        <f>'Runs Z score'!D356</f>
        <v/>
      </c>
      <c r="E363" s="98">
        <f>'Runs Z score'!E356</f>
        <v/>
      </c>
      <c r="F363" s="98">
        <f>'Runs Z score'!F356</f>
        <v/>
      </c>
      <c r="G363" s="99">
        <f>'Runs Z score'!G356</f>
        <v/>
      </c>
      <c r="H363" s="100">
        <f>VLOOKUP(C363,Recipes!$A$2:$N$4,10,FALSE())</f>
        <v/>
      </c>
      <c r="I363" s="101">
        <f>VLOOKUP(C363,Recipes!$A$2:$N$4,12,FALSE())</f>
        <v/>
      </c>
      <c r="J363" s="100">
        <f>IF(G363="","",H363-G363)</f>
        <v/>
      </c>
      <c r="K363" s="100">
        <f>IF(G363="","",-0.5*((J363-Components!$D$2)/Components!$E$2)^2)</f>
        <v/>
      </c>
      <c r="L363" s="100">
        <f>IF(G363="","",-0.5*((J363-Components!$D$3)/Components!$E$3)^2)</f>
        <v/>
      </c>
      <c r="M363" s="100">
        <f>IF(G363="","",-0.5*((J363-Components!$D$4)/Components!$E$4)^2)</f>
        <v/>
      </c>
      <c r="N363" s="100">
        <f>IF(G363="","",-0.5*((J363-Components!$D$5)/Components!$E$5)^2)</f>
        <v/>
      </c>
      <c r="O363" s="100">
        <f>IF(G363="","",-0.5*((J363-Components!$D$6)/Components!$E$6)^2)</f>
        <v/>
      </c>
      <c r="P363" s="100">
        <f>IF(G363="","",-0.5*((J363-Components!$D$7)/Components!$E$7)^2)</f>
        <v/>
      </c>
      <c r="Q363" s="100">
        <f>IF(G363="","",EXP(LARGE(K363:P363,1)-MAX(K363:P363))/(EXP(K363-MAX(K363:P363))+EXP(L363-MAX(K363:P363))+EXP(M363-MAX(K363:P363))+EXP(N363-MAX(K363:P363))+EXP(O363-MAX(K363:P363))+EXP(P363-MAX(K363:P363))))</f>
        <v/>
      </c>
      <c r="R363" s="100">
        <f>IF(G363="","",EXP(LARGE(K363:P363,2)-MAX(K363:P363))/(EXP(K363-MAX(K363:P363))+EXP(L363-MAX(K363:P363))+EXP(M363-MAX(K363:P363))+EXP(N363-MAX(K363:P363))+EXP(O363-MAX(K363:P363))+EXP(P363-MAX(K363:P363))))</f>
        <v/>
      </c>
      <c r="S363" s="100">
        <f>IF(G363="","",Q363-R363)</f>
        <v/>
      </c>
      <c r="T363" s="98">
        <f>IF(G363="","",IF(AND(G363&gt;=H363-$B$6*I363,G363&lt;=H363+$B$6*I363),"OK","NG"))</f>
        <v/>
      </c>
      <c r="U363" s="69">
        <f>IF(T363="","",IF(T363=D363,1,0))</f>
        <v/>
      </c>
      <c r="V363" s="98">
        <f>IF(G363="","",IF(T363="OK","NONE",INDEX({"S1","S2","W1","W2","N1","N2"},MATCH(MAX(K363:P363),K363:P363,0))))</f>
        <v/>
      </c>
      <c r="W363" s="69">
        <f>IF(G363="","",IF(V363=E363,1,0))</f>
        <v/>
      </c>
      <c r="X363" s="115">
        <f>IF(G363="","",IF(AND(T363="NG",S363&lt;$B$7),"AMBIGUOUS","CONFIDENT"))</f>
        <v/>
      </c>
    </row>
    <row r="364">
      <c r="A364" s="102">
        <f>'Runs Z score'!A357</f>
        <v/>
      </c>
      <c r="B364" s="98">
        <f>'Runs Z score'!B357</f>
        <v/>
      </c>
      <c r="C364" s="98">
        <f>'Runs Z score'!C357</f>
        <v/>
      </c>
      <c r="D364" s="98">
        <f>'Runs Z score'!D357</f>
        <v/>
      </c>
      <c r="E364" s="98">
        <f>'Runs Z score'!E357</f>
        <v/>
      </c>
      <c r="F364" s="98">
        <f>'Runs Z score'!F357</f>
        <v/>
      </c>
      <c r="G364" s="99">
        <f>'Runs Z score'!G357</f>
        <v/>
      </c>
      <c r="H364" s="100">
        <f>VLOOKUP(C364,Recipes!$A$2:$N$4,10,FALSE())</f>
        <v/>
      </c>
      <c r="I364" s="101">
        <f>VLOOKUP(C364,Recipes!$A$2:$N$4,12,FALSE())</f>
        <v/>
      </c>
      <c r="J364" s="100">
        <f>IF(G364="","",H364-G364)</f>
        <v/>
      </c>
      <c r="K364" s="100">
        <f>IF(G364="","",-0.5*((J364-Components!$D$2)/Components!$E$2)^2)</f>
        <v/>
      </c>
      <c r="L364" s="100">
        <f>IF(G364="","",-0.5*((J364-Components!$D$3)/Components!$E$3)^2)</f>
        <v/>
      </c>
      <c r="M364" s="100">
        <f>IF(G364="","",-0.5*((J364-Components!$D$4)/Components!$E$4)^2)</f>
        <v/>
      </c>
      <c r="N364" s="100">
        <f>IF(G364="","",-0.5*((J364-Components!$D$5)/Components!$E$5)^2)</f>
        <v/>
      </c>
      <c r="O364" s="100">
        <f>IF(G364="","",-0.5*((J364-Components!$D$6)/Components!$E$6)^2)</f>
        <v/>
      </c>
      <c r="P364" s="100">
        <f>IF(G364="","",-0.5*((J364-Components!$D$7)/Components!$E$7)^2)</f>
        <v/>
      </c>
      <c r="Q364" s="100">
        <f>IF(G364="","",EXP(LARGE(K364:P364,1)-MAX(K364:P364))/(EXP(K364-MAX(K364:P364))+EXP(L364-MAX(K364:P364))+EXP(M364-MAX(K364:P364))+EXP(N364-MAX(K364:P364))+EXP(O364-MAX(K364:P364))+EXP(P364-MAX(K364:P364))))</f>
        <v/>
      </c>
      <c r="R364" s="100">
        <f>IF(G364="","",EXP(LARGE(K364:P364,2)-MAX(K364:P364))/(EXP(K364-MAX(K364:P364))+EXP(L364-MAX(K364:P364))+EXP(M364-MAX(K364:P364))+EXP(N364-MAX(K364:P364))+EXP(O364-MAX(K364:P364))+EXP(P364-MAX(K364:P364))))</f>
        <v/>
      </c>
      <c r="S364" s="100">
        <f>IF(G364="","",Q364-R364)</f>
        <v/>
      </c>
      <c r="T364" s="98">
        <f>IF(G364="","",IF(AND(G364&gt;=H364-$B$6*I364,G364&lt;=H364+$B$6*I364),"OK","NG"))</f>
        <v/>
      </c>
      <c r="U364" s="69">
        <f>IF(T364="","",IF(T364=D364,1,0))</f>
        <v/>
      </c>
      <c r="V364" s="98">
        <f>IF(G364="","",IF(T364="OK","NONE",INDEX({"S1","S2","W1","W2","N1","N2"},MATCH(MAX(K364:P364),K364:P364,0))))</f>
        <v/>
      </c>
      <c r="W364" s="69">
        <f>IF(G364="","",IF(V364=E364,1,0))</f>
        <v/>
      </c>
      <c r="X364" s="115">
        <f>IF(G364="","",IF(AND(T364="NG",S364&lt;$B$7),"AMBIGUOUS","CONFIDENT"))</f>
        <v/>
      </c>
    </row>
    <row r="365">
      <c r="A365" s="102">
        <f>'Runs Z score'!A358</f>
        <v/>
      </c>
      <c r="B365" s="98">
        <f>'Runs Z score'!B358</f>
        <v/>
      </c>
      <c r="C365" s="98">
        <f>'Runs Z score'!C358</f>
        <v/>
      </c>
      <c r="D365" s="98">
        <f>'Runs Z score'!D358</f>
        <v/>
      </c>
      <c r="E365" s="98">
        <f>'Runs Z score'!E358</f>
        <v/>
      </c>
      <c r="F365" s="98">
        <f>'Runs Z score'!F358</f>
        <v/>
      </c>
      <c r="G365" s="99">
        <f>'Runs Z score'!G358</f>
        <v/>
      </c>
      <c r="H365" s="100">
        <f>VLOOKUP(C365,Recipes!$A$2:$N$4,10,FALSE())</f>
        <v/>
      </c>
      <c r="I365" s="101">
        <f>VLOOKUP(C365,Recipes!$A$2:$N$4,12,FALSE())</f>
        <v/>
      </c>
      <c r="J365" s="100">
        <f>IF(G365="","",H365-G365)</f>
        <v/>
      </c>
      <c r="K365" s="100">
        <f>IF(G365="","",-0.5*((J365-Components!$D$2)/Components!$E$2)^2)</f>
        <v/>
      </c>
      <c r="L365" s="100">
        <f>IF(G365="","",-0.5*((J365-Components!$D$3)/Components!$E$3)^2)</f>
        <v/>
      </c>
      <c r="M365" s="100">
        <f>IF(G365="","",-0.5*((J365-Components!$D$4)/Components!$E$4)^2)</f>
        <v/>
      </c>
      <c r="N365" s="100">
        <f>IF(G365="","",-0.5*((J365-Components!$D$5)/Components!$E$5)^2)</f>
        <v/>
      </c>
      <c r="O365" s="100">
        <f>IF(G365="","",-0.5*((J365-Components!$D$6)/Components!$E$6)^2)</f>
        <v/>
      </c>
      <c r="P365" s="100">
        <f>IF(G365="","",-0.5*((J365-Components!$D$7)/Components!$E$7)^2)</f>
        <v/>
      </c>
      <c r="Q365" s="100">
        <f>IF(G365="","",EXP(LARGE(K365:P365,1)-MAX(K365:P365))/(EXP(K365-MAX(K365:P365))+EXP(L365-MAX(K365:P365))+EXP(M365-MAX(K365:P365))+EXP(N365-MAX(K365:P365))+EXP(O365-MAX(K365:P365))+EXP(P365-MAX(K365:P365))))</f>
        <v/>
      </c>
      <c r="R365" s="100">
        <f>IF(G365="","",EXP(LARGE(K365:P365,2)-MAX(K365:P365))/(EXP(K365-MAX(K365:P365))+EXP(L365-MAX(K365:P365))+EXP(M365-MAX(K365:P365))+EXP(N365-MAX(K365:P365))+EXP(O365-MAX(K365:P365))+EXP(P365-MAX(K365:P365))))</f>
        <v/>
      </c>
      <c r="S365" s="100">
        <f>IF(G365="","",Q365-R365)</f>
        <v/>
      </c>
      <c r="T365" s="98">
        <f>IF(G365="","",IF(AND(G365&gt;=H365-$B$6*I365,G365&lt;=H365+$B$6*I365),"OK","NG"))</f>
        <v/>
      </c>
      <c r="U365" s="69">
        <f>IF(T365="","",IF(T365=D365,1,0))</f>
        <v/>
      </c>
      <c r="V365" s="98">
        <f>IF(G365="","",IF(T365="OK","NONE",INDEX({"S1","S2","W1","W2","N1","N2"},MATCH(MAX(K365:P365),K365:P365,0))))</f>
        <v/>
      </c>
      <c r="W365" s="71">
        <f>IF(G365="","",IF(V365=E365,1,0))</f>
        <v/>
      </c>
      <c r="X365" s="115">
        <f>IF(G365="","",IF(AND(T365="NG",S365&lt;$B$7),"AMBIGUOUS","CONFIDENT"))</f>
        <v/>
      </c>
    </row>
    <row r="366">
      <c r="A366" s="102">
        <f>'Runs Z score'!A359</f>
        <v/>
      </c>
      <c r="B366" s="98">
        <f>'Runs Z score'!B359</f>
        <v/>
      </c>
      <c r="C366" s="98">
        <f>'Runs Z score'!C359</f>
        <v/>
      </c>
      <c r="D366" s="98">
        <f>'Runs Z score'!D359</f>
        <v/>
      </c>
      <c r="E366" s="98">
        <f>'Runs Z score'!E359</f>
        <v/>
      </c>
      <c r="F366" s="98">
        <f>'Runs Z score'!F359</f>
        <v/>
      </c>
      <c r="G366" s="99">
        <f>'Runs Z score'!G359</f>
        <v/>
      </c>
      <c r="H366" s="100">
        <f>VLOOKUP(C366,Recipes!$A$2:$N$4,10,FALSE())</f>
        <v/>
      </c>
      <c r="I366" s="101">
        <f>VLOOKUP(C366,Recipes!$A$2:$N$4,12,FALSE())</f>
        <v/>
      </c>
      <c r="J366" s="100">
        <f>IF(G366="","",H366-G366)</f>
        <v/>
      </c>
      <c r="K366" s="100">
        <f>IF(G366="","",-0.5*((J366-Components!$D$2)/Components!$E$2)^2)</f>
        <v/>
      </c>
      <c r="L366" s="100">
        <f>IF(G366="","",-0.5*((J366-Components!$D$3)/Components!$E$3)^2)</f>
        <v/>
      </c>
      <c r="M366" s="100">
        <f>IF(G366="","",-0.5*((J366-Components!$D$4)/Components!$E$4)^2)</f>
        <v/>
      </c>
      <c r="N366" s="100">
        <f>IF(G366="","",-0.5*((J366-Components!$D$5)/Components!$E$5)^2)</f>
        <v/>
      </c>
      <c r="O366" s="100">
        <f>IF(G366="","",-0.5*((J366-Components!$D$6)/Components!$E$6)^2)</f>
        <v/>
      </c>
      <c r="P366" s="100">
        <f>IF(G366="","",-0.5*((J366-Components!$D$7)/Components!$E$7)^2)</f>
        <v/>
      </c>
      <c r="Q366" s="100">
        <f>IF(G366="","",EXP(LARGE(K366:P366,1)-MAX(K366:P366))/(EXP(K366-MAX(K366:P366))+EXP(L366-MAX(K366:P366))+EXP(M366-MAX(K366:P366))+EXP(N366-MAX(K366:P366))+EXP(O366-MAX(K366:P366))+EXP(P366-MAX(K366:P366))))</f>
        <v/>
      </c>
      <c r="R366" s="100">
        <f>IF(G366="","",EXP(LARGE(K366:P366,2)-MAX(K366:P366))/(EXP(K366-MAX(K366:P366))+EXP(L366-MAX(K366:P366))+EXP(M366-MAX(K366:P366))+EXP(N366-MAX(K366:P366))+EXP(O366-MAX(K366:P366))+EXP(P366-MAX(K366:P366))))</f>
        <v/>
      </c>
      <c r="S366" s="100">
        <f>IF(G366="","",Q366-R366)</f>
        <v/>
      </c>
      <c r="T366" s="98">
        <f>IF(G366="","",IF(AND(G366&gt;=H366-$B$6*I366,G366&lt;=H366+$B$6*I366),"OK","NG"))</f>
        <v/>
      </c>
      <c r="U366" s="69">
        <f>IF(T366="","",IF(T366=D366,1,0))</f>
        <v/>
      </c>
      <c r="V366" s="98">
        <f>IF(G366="","",IF(T366="OK","NONE",INDEX({"S1","S2","W1","W2","N1","N2"},MATCH(MAX(K366:P366),K366:P366,0))))</f>
        <v/>
      </c>
      <c r="W366" s="71">
        <f>IF(G366="","",IF(V366=E366,1,0))</f>
        <v/>
      </c>
      <c r="X366" s="115">
        <f>IF(G366="","",IF(AND(T366="NG",S366&lt;$B$7),"AMBIGUOUS","CONFIDENT"))</f>
        <v/>
      </c>
    </row>
    <row r="367">
      <c r="A367" s="102">
        <f>'Runs Z score'!A360</f>
        <v/>
      </c>
      <c r="B367" s="98">
        <f>'Runs Z score'!B360</f>
        <v/>
      </c>
      <c r="C367" s="98">
        <f>'Runs Z score'!C360</f>
        <v/>
      </c>
      <c r="D367" s="98">
        <f>'Runs Z score'!D360</f>
        <v/>
      </c>
      <c r="E367" s="98">
        <f>'Runs Z score'!E360</f>
        <v/>
      </c>
      <c r="F367" s="98">
        <f>'Runs Z score'!F360</f>
        <v/>
      </c>
      <c r="G367" s="99">
        <f>'Runs Z score'!G360</f>
        <v/>
      </c>
      <c r="H367" s="100">
        <f>VLOOKUP(C367,Recipes!$A$2:$N$4,10,FALSE())</f>
        <v/>
      </c>
      <c r="I367" s="101">
        <f>VLOOKUP(C367,Recipes!$A$2:$N$4,12,FALSE())</f>
        <v/>
      </c>
      <c r="J367" s="100">
        <f>IF(G367="","",H367-G367)</f>
        <v/>
      </c>
      <c r="K367" s="100">
        <f>IF(G367="","",-0.5*((J367-Components!$D$2)/Components!$E$2)^2)</f>
        <v/>
      </c>
      <c r="L367" s="100">
        <f>IF(G367="","",-0.5*((J367-Components!$D$3)/Components!$E$3)^2)</f>
        <v/>
      </c>
      <c r="M367" s="100">
        <f>IF(G367="","",-0.5*((J367-Components!$D$4)/Components!$E$4)^2)</f>
        <v/>
      </c>
      <c r="N367" s="100">
        <f>IF(G367="","",-0.5*((J367-Components!$D$5)/Components!$E$5)^2)</f>
        <v/>
      </c>
      <c r="O367" s="100">
        <f>IF(G367="","",-0.5*((J367-Components!$D$6)/Components!$E$6)^2)</f>
        <v/>
      </c>
      <c r="P367" s="100">
        <f>IF(G367="","",-0.5*((J367-Components!$D$7)/Components!$E$7)^2)</f>
        <v/>
      </c>
      <c r="Q367" s="100">
        <f>IF(G367="","",EXP(LARGE(K367:P367,1)-MAX(K367:P367))/(EXP(K367-MAX(K367:P367))+EXP(L367-MAX(K367:P367))+EXP(M367-MAX(K367:P367))+EXP(N367-MAX(K367:P367))+EXP(O367-MAX(K367:P367))+EXP(P367-MAX(K367:P367))))</f>
        <v/>
      </c>
      <c r="R367" s="100">
        <f>IF(G367="","",EXP(LARGE(K367:P367,2)-MAX(K367:P367))/(EXP(K367-MAX(K367:P367))+EXP(L367-MAX(K367:P367))+EXP(M367-MAX(K367:P367))+EXP(N367-MAX(K367:P367))+EXP(O367-MAX(K367:P367))+EXP(P367-MAX(K367:P367))))</f>
        <v/>
      </c>
      <c r="S367" s="100">
        <f>IF(G367="","",Q367-R367)</f>
        <v/>
      </c>
      <c r="T367" s="98">
        <f>IF(G367="","",IF(AND(G367&gt;=H367-$B$6*I367,G367&lt;=H367+$B$6*I367),"OK","NG"))</f>
        <v/>
      </c>
      <c r="U367" s="69">
        <f>IF(T367="","",IF(T367=D367,1,0))</f>
        <v/>
      </c>
      <c r="V367" s="98">
        <f>IF(G367="","",IF(T367="OK","NONE",INDEX({"S1","S2","W1","W2","N1","N2"},MATCH(MAX(K367:P367),K367:P367,0))))</f>
        <v/>
      </c>
      <c r="W367" s="69">
        <f>IF(G367="","",IF(V367=E367,1,0))</f>
        <v/>
      </c>
      <c r="X367" s="115">
        <f>IF(G367="","",IF(AND(T367="NG",S367&lt;$B$7),"AMBIGUOUS","CONFIDENT"))</f>
        <v/>
      </c>
    </row>
    <row r="368">
      <c r="A368" s="102">
        <f>'Runs Z score'!A361</f>
        <v/>
      </c>
      <c r="B368" s="98">
        <f>'Runs Z score'!B361</f>
        <v/>
      </c>
      <c r="C368" s="98">
        <f>'Runs Z score'!C361</f>
        <v/>
      </c>
      <c r="D368" s="98">
        <f>'Runs Z score'!D361</f>
        <v/>
      </c>
      <c r="E368" s="98">
        <f>'Runs Z score'!E361</f>
        <v/>
      </c>
      <c r="F368" s="98">
        <f>'Runs Z score'!F361</f>
        <v/>
      </c>
      <c r="G368" s="99">
        <f>'Runs Z score'!G361</f>
        <v/>
      </c>
      <c r="H368" s="100">
        <f>VLOOKUP(C368,Recipes!$A$2:$N$4,10,FALSE())</f>
        <v/>
      </c>
      <c r="I368" s="101">
        <f>VLOOKUP(C368,Recipes!$A$2:$N$4,12,FALSE())</f>
        <v/>
      </c>
      <c r="J368" s="100">
        <f>IF(G368="","",H368-G368)</f>
        <v/>
      </c>
      <c r="K368" s="100">
        <f>IF(G368="","",-0.5*((J368-Components!$D$2)/Components!$E$2)^2)</f>
        <v/>
      </c>
      <c r="L368" s="100">
        <f>IF(G368="","",-0.5*((J368-Components!$D$3)/Components!$E$3)^2)</f>
        <v/>
      </c>
      <c r="M368" s="100">
        <f>IF(G368="","",-0.5*((J368-Components!$D$4)/Components!$E$4)^2)</f>
        <v/>
      </c>
      <c r="N368" s="100">
        <f>IF(G368="","",-0.5*((J368-Components!$D$5)/Components!$E$5)^2)</f>
        <v/>
      </c>
      <c r="O368" s="100">
        <f>IF(G368="","",-0.5*((J368-Components!$D$6)/Components!$E$6)^2)</f>
        <v/>
      </c>
      <c r="P368" s="100">
        <f>IF(G368="","",-0.5*((J368-Components!$D$7)/Components!$E$7)^2)</f>
        <v/>
      </c>
      <c r="Q368" s="100">
        <f>IF(G368="","",EXP(LARGE(K368:P368,1)-MAX(K368:P368))/(EXP(K368-MAX(K368:P368))+EXP(L368-MAX(K368:P368))+EXP(M368-MAX(K368:P368))+EXP(N368-MAX(K368:P368))+EXP(O368-MAX(K368:P368))+EXP(P368-MAX(K368:P368))))</f>
        <v/>
      </c>
      <c r="R368" s="100">
        <f>IF(G368="","",EXP(LARGE(K368:P368,2)-MAX(K368:P368))/(EXP(K368-MAX(K368:P368))+EXP(L368-MAX(K368:P368))+EXP(M368-MAX(K368:P368))+EXP(N368-MAX(K368:P368))+EXP(O368-MAX(K368:P368))+EXP(P368-MAX(K368:P368))))</f>
        <v/>
      </c>
      <c r="S368" s="100">
        <f>IF(G368="","",Q368-R368)</f>
        <v/>
      </c>
      <c r="T368" s="98">
        <f>IF(G368="","",IF(AND(G368&gt;=H368-$B$6*I368,G368&lt;=H368+$B$6*I368),"OK","NG"))</f>
        <v/>
      </c>
      <c r="U368" s="69">
        <f>IF(T368="","",IF(T368=D368,1,0))</f>
        <v/>
      </c>
      <c r="V368" s="98">
        <f>IF(G368="","",IF(T368="OK","NONE",INDEX({"S1","S2","W1","W2","N1","N2"},MATCH(MAX(K368:P368),K368:P368,0))))</f>
        <v/>
      </c>
      <c r="W368" s="71">
        <f>IF(G368="","",IF(V368=E368,1,0))</f>
        <v/>
      </c>
      <c r="X368" s="115">
        <f>IF(G368="","",IF(AND(T368="NG",S368&lt;$B$7),"AMBIGUOUS","CONFIDENT"))</f>
        <v/>
      </c>
    </row>
    <row r="369">
      <c r="A369" s="102">
        <f>'Runs Z score'!A362</f>
        <v/>
      </c>
      <c r="B369" s="98">
        <f>'Runs Z score'!B362</f>
        <v/>
      </c>
      <c r="C369" s="98">
        <f>'Runs Z score'!C362</f>
        <v/>
      </c>
      <c r="D369" s="98">
        <f>'Runs Z score'!D362</f>
        <v/>
      </c>
      <c r="E369" s="98">
        <f>'Runs Z score'!E362</f>
        <v/>
      </c>
      <c r="F369" s="98">
        <f>'Runs Z score'!F362</f>
        <v/>
      </c>
      <c r="G369" s="99">
        <f>'Runs Z score'!G362</f>
        <v/>
      </c>
      <c r="H369" s="100">
        <f>VLOOKUP(C369,Recipes!$A$2:$N$4,10,FALSE())</f>
        <v/>
      </c>
      <c r="I369" s="101">
        <f>VLOOKUP(C369,Recipes!$A$2:$N$4,12,FALSE())</f>
        <v/>
      </c>
      <c r="J369" s="100">
        <f>IF(G369="","",H369-G369)</f>
        <v/>
      </c>
      <c r="K369" s="100">
        <f>IF(G369="","",-0.5*((J369-Components!$D$2)/Components!$E$2)^2)</f>
        <v/>
      </c>
      <c r="L369" s="100">
        <f>IF(G369="","",-0.5*((J369-Components!$D$3)/Components!$E$3)^2)</f>
        <v/>
      </c>
      <c r="M369" s="100">
        <f>IF(G369="","",-0.5*((J369-Components!$D$4)/Components!$E$4)^2)</f>
        <v/>
      </c>
      <c r="N369" s="100">
        <f>IF(G369="","",-0.5*((J369-Components!$D$5)/Components!$E$5)^2)</f>
        <v/>
      </c>
      <c r="O369" s="100">
        <f>IF(G369="","",-0.5*((J369-Components!$D$6)/Components!$E$6)^2)</f>
        <v/>
      </c>
      <c r="P369" s="100">
        <f>IF(G369="","",-0.5*((J369-Components!$D$7)/Components!$E$7)^2)</f>
        <v/>
      </c>
      <c r="Q369" s="100">
        <f>IF(G369="","",EXP(LARGE(K369:P369,1)-MAX(K369:P369))/(EXP(K369-MAX(K369:P369))+EXP(L369-MAX(K369:P369))+EXP(M369-MAX(K369:P369))+EXP(N369-MAX(K369:P369))+EXP(O369-MAX(K369:P369))+EXP(P369-MAX(K369:P369))))</f>
        <v/>
      </c>
      <c r="R369" s="100">
        <f>IF(G369="","",EXP(LARGE(K369:P369,2)-MAX(K369:P369))/(EXP(K369-MAX(K369:P369))+EXP(L369-MAX(K369:P369))+EXP(M369-MAX(K369:P369))+EXP(N369-MAX(K369:P369))+EXP(O369-MAX(K369:P369))+EXP(P369-MAX(K369:P369))))</f>
        <v/>
      </c>
      <c r="S369" s="100">
        <f>IF(G369="","",Q369-R369)</f>
        <v/>
      </c>
      <c r="T369" s="98">
        <f>IF(G369="","",IF(AND(G369&gt;=H369-$B$6*I369,G369&lt;=H369+$B$6*I369),"OK","NG"))</f>
        <v/>
      </c>
      <c r="U369" s="69">
        <f>IF(T369="","",IF(T369=D369,1,0))</f>
        <v/>
      </c>
      <c r="V369" s="98">
        <f>IF(G369="","",IF(T369="OK","NONE",INDEX({"S1","S2","W1","W2","N1","N2"},MATCH(MAX(K369:P369),K369:P369,0))))</f>
        <v/>
      </c>
      <c r="W369" s="69">
        <f>IF(G369="","",IF(V369=E369,1,0))</f>
        <v/>
      </c>
      <c r="X369" s="115">
        <f>IF(G369="","",IF(AND(T369="NG",S369&lt;$B$7),"AMBIGUOUS","CONFIDENT"))</f>
        <v/>
      </c>
    </row>
    <row r="370">
      <c r="A370" s="102">
        <f>'Runs Z score'!A363</f>
        <v/>
      </c>
      <c r="B370" s="98">
        <f>'Runs Z score'!B363</f>
        <v/>
      </c>
      <c r="C370" s="98">
        <f>'Runs Z score'!C363</f>
        <v/>
      </c>
      <c r="D370" s="98">
        <f>'Runs Z score'!D363</f>
        <v/>
      </c>
      <c r="E370" s="98">
        <f>'Runs Z score'!E363</f>
        <v/>
      </c>
      <c r="F370" s="98">
        <f>'Runs Z score'!F363</f>
        <v/>
      </c>
      <c r="G370" s="99">
        <f>'Runs Z score'!G363</f>
        <v/>
      </c>
      <c r="H370" s="100">
        <f>VLOOKUP(C370,Recipes!$A$2:$N$4,10,FALSE())</f>
        <v/>
      </c>
      <c r="I370" s="101">
        <f>VLOOKUP(C370,Recipes!$A$2:$N$4,12,FALSE())</f>
        <v/>
      </c>
      <c r="J370" s="100">
        <f>IF(G370="","",H370-G370)</f>
        <v/>
      </c>
      <c r="K370" s="100">
        <f>IF(G370="","",-0.5*((J370-Components!$D$2)/Components!$E$2)^2)</f>
        <v/>
      </c>
      <c r="L370" s="100">
        <f>IF(G370="","",-0.5*((J370-Components!$D$3)/Components!$E$3)^2)</f>
        <v/>
      </c>
      <c r="M370" s="100">
        <f>IF(G370="","",-0.5*((J370-Components!$D$4)/Components!$E$4)^2)</f>
        <v/>
      </c>
      <c r="N370" s="100">
        <f>IF(G370="","",-0.5*((J370-Components!$D$5)/Components!$E$5)^2)</f>
        <v/>
      </c>
      <c r="O370" s="100">
        <f>IF(G370="","",-0.5*((J370-Components!$D$6)/Components!$E$6)^2)</f>
        <v/>
      </c>
      <c r="P370" s="100">
        <f>IF(G370="","",-0.5*((J370-Components!$D$7)/Components!$E$7)^2)</f>
        <v/>
      </c>
      <c r="Q370" s="100">
        <f>IF(G370="","",EXP(LARGE(K370:P370,1)-MAX(K370:P370))/(EXP(K370-MAX(K370:P370))+EXP(L370-MAX(K370:P370))+EXP(M370-MAX(K370:P370))+EXP(N370-MAX(K370:P370))+EXP(O370-MAX(K370:P370))+EXP(P370-MAX(K370:P370))))</f>
        <v/>
      </c>
      <c r="R370" s="100">
        <f>IF(G370="","",EXP(LARGE(K370:P370,2)-MAX(K370:P370))/(EXP(K370-MAX(K370:P370))+EXP(L370-MAX(K370:P370))+EXP(M370-MAX(K370:P370))+EXP(N370-MAX(K370:P370))+EXP(O370-MAX(K370:P370))+EXP(P370-MAX(K370:P370))))</f>
        <v/>
      </c>
      <c r="S370" s="100">
        <f>IF(G370="","",Q370-R370)</f>
        <v/>
      </c>
      <c r="T370" s="98">
        <f>IF(G370="","",IF(AND(G370&gt;=H370-$B$6*I370,G370&lt;=H370+$B$6*I370),"OK","NG"))</f>
        <v/>
      </c>
      <c r="U370" s="69">
        <f>IF(T370="","",IF(T370=D370,1,0))</f>
        <v/>
      </c>
      <c r="V370" s="98">
        <f>IF(G370="","",IF(T370="OK","NONE",INDEX({"S1","S2","W1","W2","N1","N2"},MATCH(MAX(K370:P370),K370:P370,0))))</f>
        <v/>
      </c>
      <c r="W370" s="69">
        <f>IF(G370="","",IF(V370=E370,1,0))</f>
        <v/>
      </c>
      <c r="X370" s="115">
        <f>IF(G370="","",IF(AND(T370="NG",S370&lt;$B$7),"AMBIGUOUS","CONFIDENT"))</f>
        <v/>
      </c>
    </row>
    <row r="371">
      <c r="A371" s="102">
        <f>'Runs Z score'!A364</f>
        <v/>
      </c>
      <c r="B371" s="98">
        <f>'Runs Z score'!B364</f>
        <v/>
      </c>
      <c r="C371" s="98">
        <f>'Runs Z score'!C364</f>
        <v/>
      </c>
      <c r="D371" s="98">
        <f>'Runs Z score'!D364</f>
        <v/>
      </c>
      <c r="E371" s="98">
        <f>'Runs Z score'!E364</f>
        <v/>
      </c>
      <c r="F371" s="98">
        <f>'Runs Z score'!F364</f>
        <v/>
      </c>
      <c r="G371" s="99">
        <f>'Runs Z score'!G364</f>
        <v/>
      </c>
      <c r="H371" s="100">
        <f>VLOOKUP(C371,Recipes!$A$2:$N$4,10,FALSE())</f>
        <v/>
      </c>
      <c r="I371" s="101">
        <f>VLOOKUP(C371,Recipes!$A$2:$N$4,12,FALSE())</f>
        <v/>
      </c>
      <c r="J371" s="100">
        <f>IF(G371="","",H371-G371)</f>
        <v/>
      </c>
      <c r="K371" s="100">
        <f>IF(G371="","",-0.5*((J371-Components!$D$2)/Components!$E$2)^2)</f>
        <v/>
      </c>
      <c r="L371" s="100">
        <f>IF(G371="","",-0.5*((J371-Components!$D$3)/Components!$E$3)^2)</f>
        <v/>
      </c>
      <c r="M371" s="100">
        <f>IF(G371="","",-0.5*((J371-Components!$D$4)/Components!$E$4)^2)</f>
        <v/>
      </c>
      <c r="N371" s="100">
        <f>IF(G371="","",-0.5*((J371-Components!$D$5)/Components!$E$5)^2)</f>
        <v/>
      </c>
      <c r="O371" s="100">
        <f>IF(G371="","",-0.5*((J371-Components!$D$6)/Components!$E$6)^2)</f>
        <v/>
      </c>
      <c r="P371" s="100">
        <f>IF(G371="","",-0.5*((J371-Components!$D$7)/Components!$E$7)^2)</f>
        <v/>
      </c>
      <c r="Q371" s="100">
        <f>IF(G371="","",EXP(LARGE(K371:P371,1)-MAX(K371:P371))/(EXP(K371-MAX(K371:P371))+EXP(L371-MAX(K371:P371))+EXP(M371-MAX(K371:P371))+EXP(N371-MAX(K371:P371))+EXP(O371-MAX(K371:P371))+EXP(P371-MAX(K371:P371))))</f>
        <v/>
      </c>
      <c r="R371" s="100">
        <f>IF(G371="","",EXP(LARGE(K371:P371,2)-MAX(K371:P371))/(EXP(K371-MAX(K371:P371))+EXP(L371-MAX(K371:P371))+EXP(M371-MAX(K371:P371))+EXP(N371-MAX(K371:P371))+EXP(O371-MAX(K371:P371))+EXP(P371-MAX(K371:P371))))</f>
        <v/>
      </c>
      <c r="S371" s="100">
        <f>IF(G371="","",Q371-R371)</f>
        <v/>
      </c>
      <c r="T371" s="98">
        <f>IF(G371="","",IF(AND(G371&gt;=H371-$B$6*I371,G371&lt;=H371+$B$6*I371),"OK","NG"))</f>
        <v/>
      </c>
      <c r="U371" s="69">
        <f>IF(T371="","",IF(T371=D371,1,0))</f>
        <v/>
      </c>
      <c r="V371" s="98">
        <f>IF(G371="","",IF(T371="OK","NONE",INDEX({"S1","S2","W1","W2","N1","N2"},MATCH(MAX(K371:P371),K371:P371,0))))</f>
        <v/>
      </c>
      <c r="W371" s="69">
        <f>IF(G371="","",IF(V371=E371,1,0))</f>
        <v/>
      </c>
      <c r="X371" s="115">
        <f>IF(G371="","",IF(AND(T371="NG",S371&lt;$B$7),"AMBIGUOUS","CONFIDENT"))</f>
        <v/>
      </c>
    </row>
    <row r="372">
      <c r="A372" s="102">
        <f>'Runs Z score'!A365</f>
        <v/>
      </c>
      <c r="B372" s="98">
        <f>'Runs Z score'!B365</f>
        <v/>
      </c>
      <c r="C372" s="98">
        <f>'Runs Z score'!C365</f>
        <v/>
      </c>
      <c r="D372" s="98">
        <f>'Runs Z score'!D365</f>
        <v/>
      </c>
      <c r="E372" s="98">
        <f>'Runs Z score'!E365</f>
        <v/>
      </c>
      <c r="F372" s="98">
        <f>'Runs Z score'!F365</f>
        <v/>
      </c>
      <c r="G372" s="99">
        <f>'Runs Z score'!G365</f>
        <v/>
      </c>
      <c r="H372" s="100">
        <f>VLOOKUP(C372,Recipes!$A$2:$N$4,10,FALSE())</f>
        <v/>
      </c>
      <c r="I372" s="101">
        <f>VLOOKUP(C372,Recipes!$A$2:$N$4,12,FALSE())</f>
        <v/>
      </c>
      <c r="J372" s="100">
        <f>IF(G372="","",H372-G372)</f>
        <v/>
      </c>
      <c r="K372" s="100">
        <f>IF(G372="","",-0.5*((J372-Components!$D$2)/Components!$E$2)^2)</f>
        <v/>
      </c>
      <c r="L372" s="100">
        <f>IF(G372="","",-0.5*((J372-Components!$D$3)/Components!$E$3)^2)</f>
        <v/>
      </c>
      <c r="M372" s="100">
        <f>IF(G372="","",-0.5*((J372-Components!$D$4)/Components!$E$4)^2)</f>
        <v/>
      </c>
      <c r="N372" s="100">
        <f>IF(G372="","",-0.5*((J372-Components!$D$5)/Components!$E$5)^2)</f>
        <v/>
      </c>
      <c r="O372" s="100">
        <f>IF(G372="","",-0.5*((J372-Components!$D$6)/Components!$E$6)^2)</f>
        <v/>
      </c>
      <c r="P372" s="100">
        <f>IF(G372="","",-0.5*((J372-Components!$D$7)/Components!$E$7)^2)</f>
        <v/>
      </c>
      <c r="Q372" s="100">
        <f>IF(G372="","",EXP(LARGE(K372:P372,1)-MAX(K372:P372))/(EXP(K372-MAX(K372:P372))+EXP(L372-MAX(K372:P372))+EXP(M372-MAX(K372:P372))+EXP(N372-MAX(K372:P372))+EXP(O372-MAX(K372:P372))+EXP(P372-MAX(K372:P372))))</f>
        <v/>
      </c>
      <c r="R372" s="100">
        <f>IF(G372="","",EXP(LARGE(K372:P372,2)-MAX(K372:P372))/(EXP(K372-MAX(K372:P372))+EXP(L372-MAX(K372:P372))+EXP(M372-MAX(K372:P372))+EXP(N372-MAX(K372:P372))+EXP(O372-MAX(K372:P372))+EXP(P372-MAX(K372:P372))))</f>
        <v/>
      </c>
      <c r="S372" s="100">
        <f>IF(G372="","",Q372-R372)</f>
        <v/>
      </c>
      <c r="T372" s="98">
        <f>IF(G372="","",IF(AND(G372&gt;=H372-$B$6*I372,G372&lt;=H372+$B$6*I372),"OK","NG"))</f>
        <v/>
      </c>
      <c r="U372" s="69">
        <f>IF(T372="","",IF(T372=D372,1,0))</f>
        <v/>
      </c>
      <c r="V372" s="98">
        <f>IF(G372="","",IF(T372="OK","NONE",INDEX({"S1","S2","W1","W2","N1","N2"},MATCH(MAX(K372:P372),K372:P372,0))))</f>
        <v/>
      </c>
      <c r="W372" s="69">
        <f>IF(G372="","",IF(V372=E372,1,0))</f>
        <v/>
      </c>
      <c r="X372" s="115">
        <f>IF(G372="","",IF(AND(T372="NG",S372&lt;$B$7),"AMBIGUOUS","CONFIDENT"))</f>
        <v/>
      </c>
    </row>
    <row r="373">
      <c r="A373" s="102">
        <f>'Runs Z score'!A366</f>
        <v/>
      </c>
      <c r="B373" s="98">
        <f>'Runs Z score'!B366</f>
        <v/>
      </c>
      <c r="C373" s="98">
        <f>'Runs Z score'!C366</f>
        <v/>
      </c>
      <c r="D373" s="98">
        <f>'Runs Z score'!D366</f>
        <v/>
      </c>
      <c r="E373" s="98">
        <f>'Runs Z score'!E366</f>
        <v/>
      </c>
      <c r="F373" s="98">
        <f>'Runs Z score'!F366</f>
        <v/>
      </c>
      <c r="G373" s="99">
        <f>'Runs Z score'!G366</f>
        <v/>
      </c>
      <c r="H373" s="100">
        <f>VLOOKUP(C373,Recipes!$A$2:$N$4,10,FALSE())</f>
        <v/>
      </c>
      <c r="I373" s="101">
        <f>VLOOKUP(C373,Recipes!$A$2:$N$4,12,FALSE())</f>
        <v/>
      </c>
      <c r="J373" s="100">
        <f>IF(G373="","",H373-G373)</f>
        <v/>
      </c>
      <c r="K373" s="100">
        <f>IF(G373="","",-0.5*((J373-Components!$D$2)/Components!$E$2)^2)</f>
        <v/>
      </c>
      <c r="L373" s="100">
        <f>IF(G373="","",-0.5*((J373-Components!$D$3)/Components!$E$3)^2)</f>
        <v/>
      </c>
      <c r="M373" s="100">
        <f>IF(G373="","",-0.5*((J373-Components!$D$4)/Components!$E$4)^2)</f>
        <v/>
      </c>
      <c r="N373" s="100">
        <f>IF(G373="","",-0.5*((J373-Components!$D$5)/Components!$E$5)^2)</f>
        <v/>
      </c>
      <c r="O373" s="100">
        <f>IF(G373="","",-0.5*((J373-Components!$D$6)/Components!$E$6)^2)</f>
        <v/>
      </c>
      <c r="P373" s="100">
        <f>IF(G373="","",-0.5*((J373-Components!$D$7)/Components!$E$7)^2)</f>
        <v/>
      </c>
      <c r="Q373" s="100">
        <f>IF(G373="","",EXP(LARGE(K373:P373,1)-MAX(K373:P373))/(EXP(K373-MAX(K373:P373))+EXP(L373-MAX(K373:P373))+EXP(M373-MAX(K373:P373))+EXP(N373-MAX(K373:P373))+EXP(O373-MAX(K373:P373))+EXP(P373-MAX(K373:P373))))</f>
        <v/>
      </c>
      <c r="R373" s="100">
        <f>IF(G373="","",EXP(LARGE(K373:P373,2)-MAX(K373:P373))/(EXP(K373-MAX(K373:P373))+EXP(L373-MAX(K373:P373))+EXP(M373-MAX(K373:P373))+EXP(N373-MAX(K373:P373))+EXP(O373-MAX(K373:P373))+EXP(P373-MAX(K373:P373))))</f>
        <v/>
      </c>
      <c r="S373" s="100">
        <f>IF(G373="","",Q373-R373)</f>
        <v/>
      </c>
      <c r="T373" s="98">
        <f>IF(G373="","",IF(AND(G373&gt;=H373-$B$6*I373,G373&lt;=H373+$B$6*I373),"OK","NG"))</f>
        <v/>
      </c>
      <c r="U373" s="69">
        <f>IF(T373="","",IF(T373=D373,1,0))</f>
        <v/>
      </c>
      <c r="V373" s="98">
        <f>IF(G373="","",IF(T373="OK","NONE",INDEX({"S1","S2","W1","W2","N1","N2"},MATCH(MAX(K373:P373),K373:P373,0))))</f>
        <v/>
      </c>
      <c r="W373" s="69">
        <f>IF(G373="","",IF(V373=E373,1,0))</f>
        <v/>
      </c>
      <c r="X373" s="115">
        <f>IF(G373="","",IF(AND(T373="NG",S373&lt;$B$7),"AMBIGUOUS","CONFIDENT"))</f>
        <v/>
      </c>
    </row>
    <row r="374">
      <c r="A374" s="102">
        <f>'Runs Z score'!A367</f>
        <v/>
      </c>
      <c r="B374" s="98">
        <f>'Runs Z score'!B367</f>
        <v/>
      </c>
      <c r="C374" s="98">
        <f>'Runs Z score'!C367</f>
        <v/>
      </c>
      <c r="D374" s="98">
        <f>'Runs Z score'!D367</f>
        <v/>
      </c>
      <c r="E374" s="98">
        <f>'Runs Z score'!E367</f>
        <v/>
      </c>
      <c r="F374" s="98">
        <f>'Runs Z score'!F367</f>
        <v/>
      </c>
      <c r="G374" s="99">
        <f>'Runs Z score'!G367</f>
        <v/>
      </c>
      <c r="H374" s="100">
        <f>VLOOKUP(C374,Recipes!$A$2:$N$4,10,FALSE())</f>
        <v/>
      </c>
      <c r="I374" s="101">
        <f>VLOOKUP(C374,Recipes!$A$2:$N$4,12,FALSE())</f>
        <v/>
      </c>
      <c r="J374" s="100">
        <f>IF(G374="","",H374-G374)</f>
        <v/>
      </c>
      <c r="K374" s="100">
        <f>IF(G374="","",-0.5*((J374-Components!$D$2)/Components!$E$2)^2)</f>
        <v/>
      </c>
      <c r="L374" s="100">
        <f>IF(G374="","",-0.5*((J374-Components!$D$3)/Components!$E$3)^2)</f>
        <v/>
      </c>
      <c r="M374" s="100">
        <f>IF(G374="","",-0.5*((J374-Components!$D$4)/Components!$E$4)^2)</f>
        <v/>
      </c>
      <c r="N374" s="100">
        <f>IF(G374="","",-0.5*((J374-Components!$D$5)/Components!$E$5)^2)</f>
        <v/>
      </c>
      <c r="O374" s="100">
        <f>IF(G374="","",-0.5*((J374-Components!$D$6)/Components!$E$6)^2)</f>
        <v/>
      </c>
      <c r="P374" s="100">
        <f>IF(G374="","",-0.5*((J374-Components!$D$7)/Components!$E$7)^2)</f>
        <v/>
      </c>
      <c r="Q374" s="100">
        <f>IF(G374="","",EXP(LARGE(K374:P374,1)-MAX(K374:P374))/(EXP(K374-MAX(K374:P374))+EXP(L374-MAX(K374:P374))+EXP(M374-MAX(K374:P374))+EXP(N374-MAX(K374:P374))+EXP(O374-MAX(K374:P374))+EXP(P374-MAX(K374:P374))))</f>
        <v/>
      </c>
      <c r="R374" s="100">
        <f>IF(G374="","",EXP(LARGE(K374:P374,2)-MAX(K374:P374))/(EXP(K374-MAX(K374:P374))+EXP(L374-MAX(K374:P374))+EXP(M374-MAX(K374:P374))+EXP(N374-MAX(K374:P374))+EXP(O374-MAX(K374:P374))+EXP(P374-MAX(K374:P374))))</f>
        <v/>
      </c>
      <c r="S374" s="100">
        <f>IF(G374="","",Q374-R374)</f>
        <v/>
      </c>
      <c r="T374" s="98">
        <f>IF(G374="","",IF(AND(G374&gt;=H374-$B$6*I374,G374&lt;=H374+$B$6*I374),"OK","NG"))</f>
        <v/>
      </c>
      <c r="U374" s="69">
        <f>IF(T374="","",IF(T374=D374,1,0))</f>
        <v/>
      </c>
      <c r="V374" s="98">
        <f>IF(G374="","",IF(T374="OK","NONE",INDEX({"S1","S2","W1","W2","N1","N2"},MATCH(MAX(K374:P374),K374:P374,0))))</f>
        <v/>
      </c>
      <c r="W374" s="69">
        <f>IF(G374="","",IF(V374=E374,1,0))</f>
        <v/>
      </c>
      <c r="X374" s="115">
        <f>IF(G374="","",IF(AND(T374="NG",S374&lt;$B$7),"AMBIGUOUS","CONFIDENT"))</f>
        <v/>
      </c>
    </row>
    <row r="375">
      <c r="A375" s="102">
        <f>'Runs Z score'!A368</f>
        <v/>
      </c>
      <c r="B375" s="98">
        <f>'Runs Z score'!B368</f>
        <v/>
      </c>
      <c r="C375" s="98">
        <f>'Runs Z score'!C368</f>
        <v/>
      </c>
      <c r="D375" s="98">
        <f>'Runs Z score'!D368</f>
        <v/>
      </c>
      <c r="E375" s="98">
        <f>'Runs Z score'!E368</f>
        <v/>
      </c>
      <c r="F375" s="98">
        <f>'Runs Z score'!F368</f>
        <v/>
      </c>
      <c r="G375" s="99">
        <f>'Runs Z score'!G368</f>
        <v/>
      </c>
      <c r="H375" s="100">
        <f>VLOOKUP(C375,Recipes!$A$2:$N$4,10,FALSE())</f>
        <v/>
      </c>
      <c r="I375" s="101">
        <f>VLOOKUP(C375,Recipes!$A$2:$N$4,12,FALSE())</f>
        <v/>
      </c>
      <c r="J375" s="100">
        <f>IF(G375="","",H375-G375)</f>
        <v/>
      </c>
      <c r="K375" s="100">
        <f>IF(G375="","",-0.5*((J375-Components!$D$2)/Components!$E$2)^2)</f>
        <v/>
      </c>
      <c r="L375" s="100">
        <f>IF(G375="","",-0.5*((J375-Components!$D$3)/Components!$E$3)^2)</f>
        <v/>
      </c>
      <c r="M375" s="100">
        <f>IF(G375="","",-0.5*((J375-Components!$D$4)/Components!$E$4)^2)</f>
        <v/>
      </c>
      <c r="N375" s="100">
        <f>IF(G375="","",-0.5*((J375-Components!$D$5)/Components!$E$5)^2)</f>
        <v/>
      </c>
      <c r="O375" s="100">
        <f>IF(G375="","",-0.5*((J375-Components!$D$6)/Components!$E$6)^2)</f>
        <v/>
      </c>
      <c r="P375" s="100">
        <f>IF(G375="","",-0.5*((J375-Components!$D$7)/Components!$E$7)^2)</f>
        <v/>
      </c>
      <c r="Q375" s="100">
        <f>IF(G375="","",EXP(LARGE(K375:P375,1)-MAX(K375:P375))/(EXP(K375-MAX(K375:P375))+EXP(L375-MAX(K375:P375))+EXP(M375-MAX(K375:P375))+EXP(N375-MAX(K375:P375))+EXP(O375-MAX(K375:P375))+EXP(P375-MAX(K375:P375))))</f>
        <v/>
      </c>
      <c r="R375" s="100">
        <f>IF(G375="","",EXP(LARGE(K375:P375,2)-MAX(K375:P375))/(EXP(K375-MAX(K375:P375))+EXP(L375-MAX(K375:P375))+EXP(M375-MAX(K375:P375))+EXP(N375-MAX(K375:P375))+EXP(O375-MAX(K375:P375))+EXP(P375-MAX(K375:P375))))</f>
        <v/>
      </c>
      <c r="S375" s="100">
        <f>IF(G375="","",Q375-R375)</f>
        <v/>
      </c>
      <c r="T375" s="98">
        <f>IF(G375="","",IF(AND(G375&gt;=H375-$B$6*I375,G375&lt;=H375+$B$6*I375),"OK","NG"))</f>
        <v/>
      </c>
      <c r="U375" s="69">
        <f>IF(T375="","",IF(T375=D375,1,0))</f>
        <v/>
      </c>
      <c r="V375" s="98">
        <f>IF(G375="","",IF(T375="OK","NONE",INDEX({"S1","S2","W1","W2","N1","N2"},MATCH(MAX(K375:P375),K375:P375,0))))</f>
        <v/>
      </c>
      <c r="W375" s="69">
        <f>IF(G375="","",IF(V375=E375,1,0))</f>
        <v/>
      </c>
      <c r="X375" s="115">
        <f>IF(G375="","",IF(AND(T375="NG",S375&lt;$B$7),"AMBIGUOUS","CONFIDENT"))</f>
        <v/>
      </c>
    </row>
    <row r="376">
      <c r="A376" s="102">
        <f>'Runs Z score'!A369</f>
        <v/>
      </c>
      <c r="B376" s="98">
        <f>'Runs Z score'!B369</f>
        <v/>
      </c>
      <c r="C376" s="98">
        <f>'Runs Z score'!C369</f>
        <v/>
      </c>
      <c r="D376" s="98">
        <f>'Runs Z score'!D369</f>
        <v/>
      </c>
      <c r="E376" s="98">
        <f>'Runs Z score'!E369</f>
        <v/>
      </c>
      <c r="F376" s="98">
        <f>'Runs Z score'!F369</f>
        <v/>
      </c>
      <c r="G376" s="99">
        <f>'Runs Z score'!G369</f>
        <v/>
      </c>
      <c r="H376" s="100">
        <f>VLOOKUP(C376,Recipes!$A$2:$N$4,10,FALSE())</f>
        <v/>
      </c>
      <c r="I376" s="101">
        <f>VLOOKUP(C376,Recipes!$A$2:$N$4,12,FALSE())</f>
        <v/>
      </c>
      <c r="J376" s="100">
        <f>IF(G376="","",H376-G376)</f>
        <v/>
      </c>
      <c r="K376" s="100">
        <f>IF(G376="","",-0.5*((J376-Components!$D$2)/Components!$E$2)^2)</f>
        <v/>
      </c>
      <c r="L376" s="100">
        <f>IF(G376="","",-0.5*((J376-Components!$D$3)/Components!$E$3)^2)</f>
        <v/>
      </c>
      <c r="M376" s="100">
        <f>IF(G376="","",-0.5*((J376-Components!$D$4)/Components!$E$4)^2)</f>
        <v/>
      </c>
      <c r="N376" s="100">
        <f>IF(G376="","",-0.5*((J376-Components!$D$5)/Components!$E$5)^2)</f>
        <v/>
      </c>
      <c r="O376" s="100">
        <f>IF(G376="","",-0.5*((J376-Components!$D$6)/Components!$E$6)^2)</f>
        <v/>
      </c>
      <c r="P376" s="100">
        <f>IF(G376="","",-0.5*((J376-Components!$D$7)/Components!$E$7)^2)</f>
        <v/>
      </c>
      <c r="Q376" s="100">
        <f>IF(G376="","",EXP(LARGE(K376:P376,1)-MAX(K376:P376))/(EXP(K376-MAX(K376:P376))+EXP(L376-MAX(K376:P376))+EXP(M376-MAX(K376:P376))+EXP(N376-MAX(K376:P376))+EXP(O376-MAX(K376:P376))+EXP(P376-MAX(K376:P376))))</f>
        <v/>
      </c>
      <c r="R376" s="100">
        <f>IF(G376="","",EXP(LARGE(K376:P376,2)-MAX(K376:P376))/(EXP(K376-MAX(K376:P376))+EXP(L376-MAX(K376:P376))+EXP(M376-MAX(K376:P376))+EXP(N376-MAX(K376:P376))+EXP(O376-MAX(K376:P376))+EXP(P376-MAX(K376:P376))))</f>
        <v/>
      </c>
      <c r="S376" s="100">
        <f>IF(G376="","",Q376-R376)</f>
        <v/>
      </c>
      <c r="T376" s="98">
        <f>IF(G376="","",IF(AND(G376&gt;=H376-$B$6*I376,G376&lt;=H376+$B$6*I376),"OK","NG"))</f>
        <v/>
      </c>
      <c r="U376" s="69">
        <f>IF(T376="","",IF(T376=D376,1,0))</f>
        <v/>
      </c>
      <c r="V376" s="98">
        <f>IF(G376="","",IF(T376="OK","NONE",INDEX({"S1","S2","W1","W2","N1","N2"},MATCH(MAX(K376:P376),K376:P376,0))))</f>
        <v/>
      </c>
      <c r="W376" s="69">
        <f>IF(G376="","",IF(V376=E376,1,0))</f>
        <v/>
      </c>
      <c r="X376" s="115">
        <f>IF(G376="","",IF(AND(T376="NG",S376&lt;$B$7),"AMBIGUOUS","CONFIDENT"))</f>
        <v/>
      </c>
    </row>
    <row r="377">
      <c r="A377" s="102">
        <f>'Runs Z score'!A370</f>
        <v/>
      </c>
      <c r="B377" s="98">
        <f>'Runs Z score'!B370</f>
        <v/>
      </c>
      <c r="C377" s="98">
        <f>'Runs Z score'!C370</f>
        <v/>
      </c>
      <c r="D377" s="98">
        <f>'Runs Z score'!D370</f>
        <v/>
      </c>
      <c r="E377" s="98">
        <f>'Runs Z score'!E370</f>
        <v/>
      </c>
      <c r="F377" s="98">
        <f>'Runs Z score'!F370</f>
        <v/>
      </c>
      <c r="G377" s="99">
        <f>'Runs Z score'!G370</f>
        <v/>
      </c>
      <c r="H377" s="100">
        <f>VLOOKUP(C377,Recipes!$A$2:$N$4,10,FALSE())</f>
        <v/>
      </c>
      <c r="I377" s="101">
        <f>VLOOKUP(C377,Recipes!$A$2:$N$4,12,FALSE())</f>
        <v/>
      </c>
      <c r="J377" s="100">
        <f>IF(G377="","",H377-G377)</f>
        <v/>
      </c>
      <c r="K377" s="100">
        <f>IF(G377="","",-0.5*((J377-Components!$D$2)/Components!$E$2)^2)</f>
        <v/>
      </c>
      <c r="L377" s="100">
        <f>IF(G377="","",-0.5*((J377-Components!$D$3)/Components!$E$3)^2)</f>
        <v/>
      </c>
      <c r="M377" s="100">
        <f>IF(G377="","",-0.5*((J377-Components!$D$4)/Components!$E$4)^2)</f>
        <v/>
      </c>
      <c r="N377" s="100">
        <f>IF(G377="","",-0.5*((J377-Components!$D$5)/Components!$E$5)^2)</f>
        <v/>
      </c>
      <c r="O377" s="100">
        <f>IF(G377="","",-0.5*((J377-Components!$D$6)/Components!$E$6)^2)</f>
        <v/>
      </c>
      <c r="P377" s="100">
        <f>IF(G377="","",-0.5*((J377-Components!$D$7)/Components!$E$7)^2)</f>
        <v/>
      </c>
      <c r="Q377" s="100">
        <f>IF(G377="","",EXP(LARGE(K377:P377,1)-MAX(K377:P377))/(EXP(K377-MAX(K377:P377))+EXP(L377-MAX(K377:P377))+EXP(M377-MAX(K377:P377))+EXP(N377-MAX(K377:P377))+EXP(O377-MAX(K377:P377))+EXP(P377-MAX(K377:P377))))</f>
        <v/>
      </c>
      <c r="R377" s="100">
        <f>IF(G377="","",EXP(LARGE(K377:P377,2)-MAX(K377:P377))/(EXP(K377-MAX(K377:P377))+EXP(L377-MAX(K377:P377))+EXP(M377-MAX(K377:P377))+EXP(N377-MAX(K377:P377))+EXP(O377-MAX(K377:P377))+EXP(P377-MAX(K377:P377))))</f>
        <v/>
      </c>
      <c r="S377" s="100">
        <f>IF(G377="","",Q377-R377)</f>
        <v/>
      </c>
      <c r="T377" s="98">
        <f>IF(G377="","",IF(AND(G377&gt;=H377-$B$6*I377,G377&lt;=H377+$B$6*I377),"OK","NG"))</f>
        <v/>
      </c>
      <c r="U377" s="69">
        <f>IF(T377="","",IF(T377=D377,1,0))</f>
        <v/>
      </c>
      <c r="V377" s="98">
        <f>IF(G377="","",IF(T377="OK","NONE",INDEX({"S1","S2","W1","W2","N1","N2"},MATCH(MAX(K377:P377),K377:P377,0))))</f>
        <v/>
      </c>
      <c r="W377" s="69">
        <f>IF(G377="","",IF(V377=E377,1,0))</f>
        <v/>
      </c>
      <c r="X377" s="115">
        <f>IF(G377="","",IF(AND(T377="NG",S377&lt;$B$7),"AMBIGUOUS","CONFIDENT"))</f>
        <v/>
      </c>
    </row>
    <row r="378">
      <c r="A378" s="102">
        <f>'Runs Z score'!A371</f>
        <v/>
      </c>
      <c r="B378" s="98">
        <f>'Runs Z score'!B371</f>
        <v/>
      </c>
      <c r="C378" s="98">
        <f>'Runs Z score'!C371</f>
        <v/>
      </c>
      <c r="D378" s="98">
        <f>'Runs Z score'!D371</f>
        <v/>
      </c>
      <c r="E378" s="98">
        <f>'Runs Z score'!E371</f>
        <v/>
      </c>
      <c r="F378" s="98">
        <f>'Runs Z score'!F371</f>
        <v/>
      </c>
      <c r="G378" s="99">
        <f>'Runs Z score'!G371</f>
        <v/>
      </c>
      <c r="H378" s="100">
        <f>VLOOKUP(C378,Recipes!$A$2:$N$4,10,FALSE())</f>
        <v/>
      </c>
      <c r="I378" s="101">
        <f>VLOOKUP(C378,Recipes!$A$2:$N$4,12,FALSE())</f>
        <v/>
      </c>
      <c r="J378" s="100">
        <f>IF(G378="","",H378-G378)</f>
        <v/>
      </c>
      <c r="K378" s="100">
        <f>IF(G378="","",-0.5*((J378-Components!$D$2)/Components!$E$2)^2)</f>
        <v/>
      </c>
      <c r="L378" s="100">
        <f>IF(G378="","",-0.5*((J378-Components!$D$3)/Components!$E$3)^2)</f>
        <v/>
      </c>
      <c r="M378" s="100">
        <f>IF(G378="","",-0.5*((J378-Components!$D$4)/Components!$E$4)^2)</f>
        <v/>
      </c>
      <c r="N378" s="100">
        <f>IF(G378="","",-0.5*((J378-Components!$D$5)/Components!$E$5)^2)</f>
        <v/>
      </c>
      <c r="O378" s="100">
        <f>IF(G378="","",-0.5*((J378-Components!$D$6)/Components!$E$6)^2)</f>
        <v/>
      </c>
      <c r="P378" s="100">
        <f>IF(G378="","",-0.5*((J378-Components!$D$7)/Components!$E$7)^2)</f>
        <v/>
      </c>
      <c r="Q378" s="100">
        <f>IF(G378="","",EXP(LARGE(K378:P378,1)-MAX(K378:P378))/(EXP(K378-MAX(K378:P378))+EXP(L378-MAX(K378:P378))+EXP(M378-MAX(K378:P378))+EXP(N378-MAX(K378:P378))+EXP(O378-MAX(K378:P378))+EXP(P378-MAX(K378:P378))))</f>
        <v/>
      </c>
      <c r="R378" s="100">
        <f>IF(G378="","",EXP(LARGE(K378:P378,2)-MAX(K378:P378))/(EXP(K378-MAX(K378:P378))+EXP(L378-MAX(K378:P378))+EXP(M378-MAX(K378:P378))+EXP(N378-MAX(K378:P378))+EXP(O378-MAX(K378:P378))+EXP(P378-MAX(K378:P378))))</f>
        <v/>
      </c>
      <c r="S378" s="100">
        <f>IF(G378="","",Q378-R378)</f>
        <v/>
      </c>
      <c r="T378" s="98">
        <f>IF(G378="","",IF(AND(G378&gt;=H378-$B$6*I378,G378&lt;=H378+$B$6*I378),"OK","NG"))</f>
        <v/>
      </c>
      <c r="U378" s="69">
        <f>IF(T378="","",IF(T378=D378,1,0))</f>
        <v/>
      </c>
      <c r="V378" s="98">
        <f>IF(G378="","",IF(T378="OK","NONE",INDEX({"S1","S2","W1","W2","N1","N2"},MATCH(MAX(K378:P378),K378:P378,0))))</f>
        <v/>
      </c>
      <c r="W378" s="69">
        <f>IF(G378="","",IF(V378=E378,1,0))</f>
        <v/>
      </c>
      <c r="X378" s="115">
        <f>IF(G378="","",IF(AND(T378="NG",S378&lt;$B$7),"AMBIGUOUS","CONFIDENT"))</f>
        <v/>
      </c>
    </row>
    <row r="379">
      <c r="A379" s="102">
        <f>'Runs Z score'!A372</f>
        <v/>
      </c>
      <c r="B379" s="98">
        <f>'Runs Z score'!B372</f>
        <v/>
      </c>
      <c r="C379" s="98">
        <f>'Runs Z score'!C372</f>
        <v/>
      </c>
      <c r="D379" s="98">
        <f>'Runs Z score'!D372</f>
        <v/>
      </c>
      <c r="E379" s="98">
        <f>'Runs Z score'!E372</f>
        <v/>
      </c>
      <c r="F379" s="98">
        <f>'Runs Z score'!F372</f>
        <v/>
      </c>
      <c r="G379" s="99">
        <f>'Runs Z score'!G372</f>
        <v/>
      </c>
      <c r="H379" s="100">
        <f>VLOOKUP(C379,Recipes!$A$2:$N$4,10,FALSE())</f>
        <v/>
      </c>
      <c r="I379" s="101">
        <f>VLOOKUP(C379,Recipes!$A$2:$N$4,12,FALSE())</f>
        <v/>
      </c>
      <c r="J379" s="100">
        <f>IF(G379="","",H379-G379)</f>
        <v/>
      </c>
      <c r="K379" s="100">
        <f>IF(G379="","",-0.5*((J379-Components!$D$2)/Components!$E$2)^2)</f>
        <v/>
      </c>
      <c r="L379" s="100">
        <f>IF(G379="","",-0.5*((J379-Components!$D$3)/Components!$E$3)^2)</f>
        <v/>
      </c>
      <c r="M379" s="100">
        <f>IF(G379="","",-0.5*((J379-Components!$D$4)/Components!$E$4)^2)</f>
        <v/>
      </c>
      <c r="N379" s="100">
        <f>IF(G379="","",-0.5*((J379-Components!$D$5)/Components!$E$5)^2)</f>
        <v/>
      </c>
      <c r="O379" s="100">
        <f>IF(G379="","",-0.5*((J379-Components!$D$6)/Components!$E$6)^2)</f>
        <v/>
      </c>
      <c r="P379" s="100">
        <f>IF(G379="","",-0.5*((J379-Components!$D$7)/Components!$E$7)^2)</f>
        <v/>
      </c>
      <c r="Q379" s="100">
        <f>IF(G379="","",EXP(LARGE(K379:P379,1)-MAX(K379:P379))/(EXP(K379-MAX(K379:P379))+EXP(L379-MAX(K379:P379))+EXP(M379-MAX(K379:P379))+EXP(N379-MAX(K379:P379))+EXP(O379-MAX(K379:P379))+EXP(P379-MAX(K379:P379))))</f>
        <v/>
      </c>
      <c r="R379" s="100">
        <f>IF(G379="","",EXP(LARGE(K379:P379,2)-MAX(K379:P379))/(EXP(K379-MAX(K379:P379))+EXP(L379-MAX(K379:P379))+EXP(M379-MAX(K379:P379))+EXP(N379-MAX(K379:P379))+EXP(O379-MAX(K379:P379))+EXP(P379-MAX(K379:P379))))</f>
        <v/>
      </c>
      <c r="S379" s="100">
        <f>IF(G379="","",Q379-R379)</f>
        <v/>
      </c>
      <c r="T379" s="98">
        <f>IF(G379="","",IF(AND(G379&gt;=H379-$B$6*I379,G379&lt;=H379+$B$6*I379),"OK","NG"))</f>
        <v/>
      </c>
      <c r="U379" s="69">
        <f>IF(T379="","",IF(T379=D379,1,0))</f>
        <v/>
      </c>
      <c r="V379" s="98">
        <f>IF(G379="","",IF(T379="OK","NONE",INDEX({"S1","S2","W1","W2","N1","N2"},MATCH(MAX(K379:P379),K379:P379,0))))</f>
        <v/>
      </c>
      <c r="W379" s="69">
        <f>IF(G379="","",IF(V379=E379,1,0))</f>
        <v/>
      </c>
      <c r="X379" s="115">
        <f>IF(G379="","",IF(AND(T379="NG",S379&lt;$B$7),"AMBIGUOUS","CONFIDENT"))</f>
        <v/>
      </c>
    </row>
    <row r="380">
      <c r="A380" s="102">
        <f>'Runs Z score'!A373</f>
        <v/>
      </c>
      <c r="B380" s="98">
        <f>'Runs Z score'!B373</f>
        <v/>
      </c>
      <c r="C380" s="98">
        <f>'Runs Z score'!C373</f>
        <v/>
      </c>
      <c r="D380" s="98">
        <f>'Runs Z score'!D373</f>
        <v/>
      </c>
      <c r="E380" s="98">
        <f>'Runs Z score'!E373</f>
        <v/>
      </c>
      <c r="F380" s="98">
        <f>'Runs Z score'!F373</f>
        <v/>
      </c>
      <c r="G380" s="99">
        <f>'Runs Z score'!G373</f>
        <v/>
      </c>
      <c r="H380" s="100">
        <f>VLOOKUP(C380,Recipes!$A$2:$N$4,10,FALSE())</f>
        <v/>
      </c>
      <c r="I380" s="101">
        <f>VLOOKUP(C380,Recipes!$A$2:$N$4,12,FALSE())</f>
        <v/>
      </c>
      <c r="J380" s="100">
        <f>IF(G380="","",H380-G380)</f>
        <v/>
      </c>
      <c r="K380" s="100">
        <f>IF(G380="","",-0.5*((J380-Components!$D$2)/Components!$E$2)^2)</f>
        <v/>
      </c>
      <c r="L380" s="100">
        <f>IF(G380="","",-0.5*((J380-Components!$D$3)/Components!$E$3)^2)</f>
        <v/>
      </c>
      <c r="M380" s="100">
        <f>IF(G380="","",-0.5*((J380-Components!$D$4)/Components!$E$4)^2)</f>
        <v/>
      </c>
      <c r="N380" s="100">
        <f>IF(G380="","",-0.5*((J380-Components!$D$5)/Components!$E$5)^2)</f>
        <v/>
      </c>
      <c r="O380" s="100">
        <f>IF(G380="","",-0.5*((J380-Components!$D$6)/Components!$E$6)^2)</f>
        <v/>
      </c>
      <c r="P380" s="100">
        <f>IF(G380="","",-0.5*((J380-Components!$D$7)/Components!$E$7)^2)</f>
        <v/>
      </c>
      <c r="Q380" s="100">
        <f>IF(G380="","",EXP(LARGE(K380:P380,1)-MAX(K380:P380))/(EXP(K380-MAX(K380:P380))+EXP(L380-MAX(K380:P380))+EXP(M380-MAX(K380:P380))+EXP(N380-MAX(K380:P380))+EXP(O380-MAX(K380:P380))+EXP(P380-MAX(K380:P380))))</f>
        <v/>
      </c>
      <c r="R380" s="100">
        <f>IF(G380="","",EXP(LARGE(K380:P380,2)-MAX(K380:P380))/(EXP(K380-MAX(K380:P380))+EXP(L380-MAX(K380:P380))+EXP(M380-MAX(K380:P380))+EXP(N380-MAX(K380:P380))+EXP(O380-MAX(K380:P380))+EXP(P380-MAX(K380:P380))))</f>
        <v/>
      </c>
      <c r="S380" s="100">
        <f>IF(G380="","",Q380-R380)</f>
        <v/>
      </c>
      <c r="T380" s="98">
        <f>IF(G380="","",IF(AND(G380&gt;=H380-$B$6*I380,G380&lt;=H380+$B$6*I380),"OK","NG"))</f>
        <v/>
      </c>
      <c r="U380" s="69">
        <f>IF(T380="","",IF(T380=D380,1,0))</f>
        <v/>
      </c>
      <c r="V380" s="98">
        <f>IF(G380="","",IF(T380="OK","NONE",INDEX({"S1","S2","W1","W2","N1","N2"},MATCH(MAX(K380:P380),K380:P380,0))))</f>
        <v/>
      </c>
      <c r="W380" s="69">
        <f>IF(G380="","",IF(V380=E380,1,0))</f>
        <v/>
      </c>
      <c r="X380" s="115">
        <f>IF(G380="","",IF(AND(T380="NG",S380&lt;$B$7),"AMBIGUOUS","CONFIDENT"))</f>
        <v/>
      </c>
    </row>
    <row r="381">
      <c r="A381" s="102">
        <f>'Runs Z score'!A374</f>
        <v/>
      </c>
      <c r="B381" s="98">
        <f>'Runs Z score'!B374</f>
        <v/>
      </c>
      <c r="C381" s="98">
        <f>'Runs Z score'!C374</f>
        <v/>
      </c>
      <c r="D381" s="98">
        <f>'Runs Z score'!D374</f>
        <v/>
      </c>
      <c r="E381" s="98">
        <f>'Runs Z score'!E374</f>
        <v/>
      </c>
      <c r="F381" s="98">
        <f>'Runs Z score'!F374</f>
        <v/>
      </c>
      <c r="G381" s="99">
        <f>'Runs Z score'!G374</f>
        <v/>
      </c>
      <c r="H381" s="100">
        <f>VLOOKUP(C381,Recipes!$A$2:$N$4,10,FALSE())</f>
        <v/>
      </c>
      <c r="I381" s="101">
        <f>VLOOKUP(C381,Recipes!$A$2:$N$4,12,FALSE())</f>
        <v/>
      </c>
      <c r="J381" s="100">
        <f>IF(G381="","",H381-G381)</f>
        <v/>
      </c>
      <c r="K381" s="100">
        <f>IF(G381="","",-0.5*((J381-Components!$D$2)/Components!$E$2)^2)</f>
        <v/>
      </c>
      <c r="L381" s="100">
        <f>IF(G381="","",-0.5*((J381-Components!$D$3)/Components!$E$3)^2)</f>
        <v/>
      </c>
      <c r="M381" s="100">
        <f>IF(G381="","",-0.5*((J381-Components!$D$4)/Components!$E$4)^2)</f>
        <v/>
      </c>
      <c r="N381" s="100">
        <f>IF(G381="","",-0.5*((J381-Components!$D$5)/Components!$E$5)^2)</f>
        <v/>
      </c>
      <c r="O381" s="100">
        <f>IF(G381="","",-0.5*((J381-Components!$D$6)/Components!$E$6)^2)</f>
        <v/>
      </c>
      <c r="P381" s="100">
        <f>IF(G381="","",-0.5*((J381-Components!$D$7)/Components!$E$7)^2)</f>
        <v/>
      </c>
      <c r="Q381" s="100">
        <f>IF(G381="","",EXP(LARGE(K381:P381,1)-MAX(K381:P381))/(EXP(K381-MAX(K381:P381))+EXP(L381-MAX(K381:P381))+EXP(M381-MAX(K381:P381))+EXP(N381-MAX(K381:P381))+EXP(O381-MAX(K381:P381))+EXP(P381-MAX(K381:P381))))</f>
        <v/>
      </c>
      <c r="R381" s="100">
        <f>IF(G381="","",EXP(LARGE(K381:P381,2)-MAX(K381:P381))/(EXP(K381-MAX(K381:P381))+EXP(L381-MAX(K381:P381))+EXP(M381-MAX(K381:P381))+EXP(N381-MAX(K381:P381))+EXP(O381-MAX(K381:P381))+EXP(P381-MAX(K381:P381))))</f>
        <v/>
      </c>
      <c r="S381" s="100">
        <f>IF(G381="","",Q381-R381)</f>
        <v/>
      </c>
      <c r="T381" s="98">
        <f>IF(G381="","",IF(AND(G381&gt;=H381-$B$6*I381,G381&lt;=H381+$B$6*I381),"OK","NG"))</f>
        <v/>
      </c>
      <c r="U381" s="69">
        <f>IF(T381="","",IF(T381=D381,1,0))</f>
        <v/>
      </c>
      <c r="V381" s="98">
        <f>IF(G381="","",IF(T381="OK","NONE",INDEX({"S1","S2","W1","W2","N1","N2"},MATCH(MAX(K381:P381),K381:P381,0))))</f>
        <v/>
      </c>
      <c r="W381" s="69">
        <f>IF(G381="","",IF(V381=E381,1,0))</f>
        <v/>
      </c>
      <c r="X381" s="115">
        <f>IF(G381="","",IF(AND(T381="NG",S381&lt;$B$7),"AMBIGUOUS","CONFIDENT"))</f>
        <v/>
      </c>
    </row>
    <row r="382">
      <c r="A382" s="102">
        <f>'Runs Z score'!A375</f>
        <v/>
      </c>
      <c r="B382" s="98">
        <f>'Runs Z score'!B375</f>
        <v/>
      </c>
      <c r="C382" s="98">
        <f>'Runs Z score'!C375</f>
        <v/>
      </c>
      <c r="D382" s="98">
        <f>'Runs Z score'!D375</f>
        <v/>
      </c>
      <c r="E382" s="98">
        <f>'Runs Z score'!E375</f>
        <v/>
      </c>
      <c r="F382" s="98">
        <f>'Runs Z score'!F375</f>
        <v/>
      </c>
      <c r="G382" s="99">
        <f>'Runs Z score'!G375</f>
        <v/>
      </c>
      <c r="H382" s="100">
        <f>VLOOKUP(C382,Recipes!$A$2:$N$4,10,FALSE())</f>
        <v/>
      </c>
      <c r="I382" s="101">
        <f>VLOOKUP(C382,Recipes!$A$2:$N$4,12,FALSE())</f>
        <v/>
      </c>
      <c r="J382" s="100">
        <f>IF(G382="","",H382-G382)</f>
        <v/>
      </c>
      <c r="K382" s="100">
        <f>IF(G382="","",-0.5*((J382-Components!$D$2)/Components!$E$2)^2)</f>
        <v/>
      </c>
      <c r="L382" s="100">
        <f>IF(G382="","",-0.5*((J382-Components!$D$3)/Components!$E$3)^2)</f>
        <v/>
      </c>
      <c r="M382" s="100">
        <f>IF(G382="","",-0.5*((J382-Components!$D$4)/Components!$E$4)^2)</f>
        <v/>
      </c>
      <c r="N382" s="100">
        <f>IF(G382="","",-0.5*((J382-Components!$D$5)/Components!$E$5)^2)</f>
        <v/>
      </c>
      <c r="O382" s="100">
        <f>IF(G382="","",-0.5*((J382-Components!$D$6)/Components!$E$6)^2)</f>
        <v/>
      </c>
      <c r="P382" s="100">
        <f>IF(G382="","",-0.5*((J382-Components!$D$7)/Components!$E$7)^2)</f>
        <v/>
      </c>
      <c r="Q382" s="100">
        <f>IF(G382="","",EXP(LARGE(K382:P382,1)-MAX(K382:P382))/(EXP(K382-MAX(K382:P382))+EXP(L382-MAX(K382:P382))+EXP(M382-MAX(K382:P382))+EXP(N382-MAX(K382:P382))+EXP(O382-MAX(K382:P382))+EXP(P382-MAX(K382:P382))))</f>
        <v/>
      </c>
      <c r="R382" s="100">
        <f>IF(G382="","",EXP(LARGE(K382:P382,2)-MAX(K382:P382))/(EXP(K382-MAX(K382:P382))+EXP(L382-MAX(K382:P382))+EXP(M382-MAX(K382:P382))+EXP(N382-MAX(K382:P382))+EXP(O382-MAX(K382:P382))+EXP(P382-MAX(K382:P382))))</f>
        <v/>
      </c>
      <c r="S382" s="100">
        <f>IF(G382="","",Q382-R382)</f>
        <v/>
      </c>
      <c r="T382" s="98">
        <f>IF(G382="","",IF(AND(G382&gt;=H382-$B$6*I382,G382&lt;=H382+$B$6*I382),"OK","NG"))</f>
        <v/>
      </c>
      <c r="U382" s="69">
        <f>IF(T382="","",IF(T382=D382,1,0))</f>
        <v/>
      </c>
      <c r="V382" s="98">
        <f>IF(G382="","",IF(T382="OK","NONE",INDEX({"S1","S2","W1","W2","N1","N2"},MATCH(MAX(K382:P382),K382:P382,0))))</f>
        <v/>
      </c>
      <c r="W382" s="69">
        <f>IF(G382="","",IF(V382=E382,1,0))</f>
        <v/>
      </c>
      <c r="X382" s="115">
        <f>IF(G382="","",IF(AND(T382="NG",S382&lt;$B$7),"AMBIGUOUS","CONFIDENT"))</f>
        <v/>
      </c>
    </row>
    <row r="383">
      <c r="A383" s="102">
        <f>'Runs Z score'!A376</f>
        <v/>
      </c>
      <c r="B383" s="98">
        <f>'Runs Z score'!B376</f>
        <v/>
      </c>
      <c r="C383" s="98">
        <f>'Runs Z score'!C376</f>
        <v/>
      </c>
      <c r="D383" s="98">
        <f>'Runs Z score'!D376</f>
        <v/>
      </c>
      <c r="E383" s="98">
        <f>'Runs Z score'!E376</f>
        <v/>
      </c>
      <c r="F383" s="98">
        <f>'Runs Z score'!F376</f>
        <v/>
      </c>
      <c r="G383" s="99">
        <f>'Runs Z score'!G376</f>
        <v/>
      </c>
      <c r="H383" s="100">
        <f>VLOOKUP(C383,Recipes!$A$2:$N$4,10,FALSE())</f>
        <v/>
      </c>
      <c r="I383" s="101">
        <f>VLOOKUP(C383,Recipes!$A$2:$N$4,12,FALSE())</f>
        <v/>
      </c>
      <c r="J383" s="100">
        <f>IF(G383="","",H383-G383)</f>
        <v/>
      </c>
      <c r="K383" s="100">
        <f>IF(G383="","",-0.5*((J383-Components!$D$2)/Components!$E$2)^2)</f>
        <v/>
      </c>
      <c r="L383" s="100">
        <f>IF(G383="","",-0.5*((J383-Components!$D$3)/Components!$E$3)^2)</f>
        <v/>
      </c>
      <c r="M383" s="100">
        <f>IF(G383="","",-0.5*((J383-Components!$D$4)/Components!$E$4)^2)</f>
        <v/>
      </c>
      <c r="N383" s="100">
        <f>IF(G383="","",-0.5*((J383-Components!$D$5)/Components!$E$5)^2)</f>
        <v/>
      </c>
      <c r="O383" s="100">
        <f>IF(G383="","",-0.5*((J383-Components!$D$6)/Components!$E$6)^2)</f>
        <v/>
      </c>
      <c r="P383" s="100">
        <f>IF(G383="","",-0.5*((J383-Components!$D$7)/Components!$E$7)^2)</f>
        <v/>
      </c>
      <c r="Q383" s="100">
        <f>IF(G383="","",EXP(LARGE(K383:P383,1)-MAX(K383:P383))/(EXP(K383-MAX(K383:P383))+EXP(L383-MAX(K383:P383))+EXP(M383-MAX(K383:P383))+EXP(N383-MAX(K383:P383))+EXP(O383-MAX(K383:P383))+EXP(P383-MAX(K383:P383))))</f>
        <v/>
      </c>
      <c r="R383" s="100">
        <f>IF(G383="","",EXP(LARGE(K383:P383,2)-MAX(K383:P383))/(EXP(K383-MAX(K383:P383))+EXP(L383-MAX(K383:P383))+EXP(M383-MAX(K383:P383))+EXP(N383-MAX(K383:P383))+EXP(O383-MAX(K383:P383))+EXP(P383-MAX(K383:P383))))</f>
        <v/>
      </c>
      <c r="S383" s="100">
        <f>IF(G383="","",Q383-R383)</f>
        <v/>
      </c>
      <c r="T383" s="98">
        <f>IF(G383="","",IF(AND(G383&gt;=H383-$B$6*I383,G383&lt;=H383+$B$6*I383),"OK","NG"))</f>
        <v/>
      </c>
      <c r="U383" s="69">
        <f>IF(T383="","",IF(T383=D383,1,0))</f>
        <v/>
      </c>
      <c r="V383" s="98">
        <f>IF(G383="","",IF(T383="OK","NONE",INDEX({"S1","S2","W1","W2","N1","N2"},MATCH(MAX(K383:P383),K383:P383,0))))</f>
        <v/>
      </c>
      <c r="W383" s="69">
        <f>IF(G383="","",IF(V383=E383,1,0))</f>
        <v/>
      </c>
      <c r="X383" s="115">
        <f>IF(G383="","",IF(AND(T383="NG",S383&lt;$B$7),"AMBIGUOUS","CONFIDENT"))</f>
        <v/>
      </c>
    </row>
    <row r="384">
      <c r="A384" s="102">
        <f>'Runs Z score'!A377</f>
        <v/>
      </c>
      <c r="B384" s="98">
        <f>'Runs Z score'!B377</f>
        <v/>
      </c>
      <c r="C384" s="98">
        <f>'Runs Z score'!C377</f>
        <v/>
      </c>
      <c r="D384" s="98">
        <f>'Runs Z score'!D377</f>
        <v/>
      </c>
      <c r="E384" s="98">
        <f>'Runs Z score'!E377</f>
        <v/>
      </c>
      <c r="F384" s="98">
        <f>'Runs Z score'!F377</f>
        <v/>
      </c>
      <c r="G384" s="99">
        <f>'Runs Z score'!G377</f>
        <v/>
      </c>
      <c r="H384" s="100">
        <f>VLOOKUP(C384,Recipes!$A$2:$N$4,10,FALSE())</f>
        <v/>
      </c>
      <c r="I384" s="101">
        <f>VLOOKUP(C384,Recipes!$A$2:$N$4,12,FALSE())</f>
        <v/>
      </c>
      <c r="J384" s="100">
        <f>IF(G384="","",H384-G384)</f>
        <v/>
      </c>
      <c r="K384" s="100">
        <f>IF(G384="","",-0.5*((J384-Components!$D$2)/Components!$E$2)^2)</f>
        <v/>
      </c>
      <c r="L384" s="100">
        <f>IF(G384="","",-0.5*((J384-Components!$D$3)/Components!$E$3)^2)</f>
        <v/>
      </c>
      <c r="M384" s="100">
        <f>IF(G384="","",-0.5*((J384-Components!$D$4)/Components!$E$4)^2)</f>
        <v/>
      </c>
      <c r="N384" s="100">
        <f>IF(G384="","",-0.5*((J384-Components!$D$5)/Components!$E$5)^2)</f>
        <v/>
      </c>
      <c r="O384" s="100">
        <f>IF(G384="","",-0.5*((J384-Components!$D$6)/Components!$E$6)^2)</f>
        <v/>
      </c>
      <c r="P384" s="100">
        <f>IF(G384="","",-0.5*((J384-Components!$D$7)/Components!$E$7)^2)</f>
        <v/>
      </c>
      <c r="Q384" s="100">
        <f>IF(G384="","",EXP(LARGE(K384:P384,1)-MAX(K384:P384))/(EXP(K384-MAX(K384:P384))+EXP(L384-MAX(K384:P384))+EXP(M384-MAX(K384:P384))+EXP(N384-MAX(K384:P384))+EXP(O384-MAX(K384:P384))+EXP(P384-MAX(K384:P384))))</f>
        <v/>
      </c>
      <c r="R384" s="100">
        <f>IF(G384="","",EXP(LARGE(K384:P384,2)-MAX(K384:P384))/(EXP(K384-MAX(K384:P384))+EXP(L384-MAX(K384:P384))+EXP(M384-MAX(K384:P384))+EXP(N384-MAX(K384:P384))+EXP(O384-MAX(K384:P384))+EXP(P384-MAX(K384:P384))))</f>
        <v/>
      </c>
      <c r="S384" s="100">
        <f>IF(G384="","",Q384-R384)</f>
        <v/>
      </c>
      <c r="T384" s="98">
        <f>IF(G384="","",IF(AND(G384&gt;=H384-$B$6*I384,G384&lt;=H384+$B$6*I384),"OK","NG"))</f>
        <v/>
      </c>
      <c r="U384" s="69">
        <f>IF(T384="","",IF(T384=D384,1,0))</f>
        <v/>
      </c>
      <c r="V384" s="98">
        <f>IF(G384="","",IF(T384="OK","NONE",INDEX({"S1","S2","W1","W2","N1","N2"},MATCH(MAX(K384:P384),K384:P384,0))))</f>
        <v/>
      </c>
      <c r="W384" s="69">
        <f>IF(G384="","",IF(V384=E384,1,0))</f>
        <v/>
      </c>
      <c r="X384" s="115">
        <f>IF(G384="","",IF(AND(T384="NG",S384&lt;$B$7),"AMBIGUOUS","CONFIDENT"))</f>
        <v/>
      </c>
    </row>
    <row r="385">
      <c r="A385" s="102">
        <f>'Runs Z score'!A378</f>
        <v/>
      </c>
      <c r="B385" s="98">
        <f>'Runs Z score'!B378</f>
        <v/>
      </c>
      <c r="C385" s="98">
        <f>'Runs Z score'!C378</f>
        <v/>
      </c>
      <c r="D385" s="98">
        <f>'Runs Z score'!D378</f>
        <v/>
      </c>
      <c r="E385" s="98">
        <f>'Runs Z score'!E378</f>
        <v/>
      </c>
      <c r="F385" s="98">
        <f>'Runs Z score'!F378</f>
        <v/>
      </c>
      <c r="G385" s="99">
        <f>'Runs Z score'!G378</f>
        <v/>
      </c>
      <c r="H385" s="100">
        <f>VLOOKUP(C385,Recipes!$A$2:$N$4,10,FALSE())</f>
        <v/>
      </c>
      <c r="I385" s="101">
        <f>VLOOKUP(C385,Recipes!$A$2:$N$4,12,FALSE())</f>
        <v/>
      </c>
      <c r="J385" s="100">
        <f>IF(G385="","",H385-G385)</f>
        <v/>
      </c>
      <c r="K385" s="100">
        <f>IF(G385="","",-0.5*((J385-Components!$D$2)/Components!$E$2)^2)</f>
        <v/>
      </c>
      <c r="L385" s="100">
        <f>IF(G385="","",-0.5*((J385-Components!$D$3)/Components!$E$3)^2)</f>
        <v/>
      </c>
      <c r="M385" s="100">
        <f>IF(G385="","",-0.5*((J385-Components!$D$4)/Components!$E$4)^2)</f>
        <v/>
      </c>
      <c r="N385" s="100">
        <f>IF(G385="","",-0.5*((J385-Components!$D$5)/Components!$E$5)^2)</f>
        <v/>
      </c>
      <c r="O385" s="100">
        <f>IF(G385="","",-0.5*((J385-Components!$D$6)/Components!$E$6)^2)</f>
        <v/>
      </c>
      <c r="P385" s="100">
        <f>IF(G385="","",-0.5*((J385-Components!$D$7)/Components!$E$7)^2)</f>
        <v/>
      </c>
      <c r="Q385" s="100">
        <f>IF(G385="","",EXP(LARGE(K385:P385,1)-MAX(K385:P385))/(EXP(K385-MAX(K385:P385))+EXP(L385-MAX(K385:P385))+EXP(M385-MAX(K385:P385))+EXP(N385-MAX(K385:P385))+EXP(O385-MAX(K385:P385))+EXP(P385-MAX(K385:P385))))</f>
        <v/>
      </c>
      <c r="R385" s="100">
        <f>IF(G385="","",EXP(LARGE(K385:P385,2)-MAX(K385:P385))/(EXP(K385-MAX(K385:P385))+EXP(L385-MAX(K385:P385))+EXP(M385-MAX(K385:P385))+EXP(N385-MAX(K385:P385))+EXP(O385-MAX(K385:P385))+EXP(P385-MAX(K385:P385))))</f>
        <v/>
      </c>
      <c r="S385" s="100">
        <f>IF(G385="","",Q385-R385)</f>
        <v/>
      </c>
      <c r="T385" s="98">
        <f>IF(G385="","",IF(AND(G385&gt;=H385-$B$6*I385,G385&lt;=H385+$B$6*I385),"OK","NG"))</f>
        <v/>
      </c>
      <c r="U385" s="69">
        <f>IF(T385="","",IF(T385=D385,1,0))</f>
        <v/>
      </c>
      <c r="V385" s="98">
        <f>IF(G385="","",IF(T385="OK","NONE",INDEX({"S1","S2","W1","W2","N1","N2"},MATCH(MAX(K385:P385),K385:P385,0))))</f>
        <v/>
      </c>
      <c r="W385" s="69">
        <f>IF(G385="","",IF(V385=E385,1,0))</f>
        <v/>
      </c>
      <c r="X385" s="115">
        <f>IF(G385="","",IF(AND(T385="NG",S385&lt;$B$7),"AMBIGUOUS","CONFIDENT"))</f>
        <v/>
      </c>
    </row>
    <row r="386">
      <c r="A386" s="102">
        <f>'Runs Z score'!A379</f>
        <v/>
      </c>
      <c r="B386" s="98">
        <f>'Runs Z score'!B379</f>
        <v/>
      </c>
      <c r="C386" s="98">
        <f>'Runs Z score'!C379</f>
        <v/>
      </c>
      <c r="D386" s="98">
        <f>'Runs Z score'!D379</f>
        <v/>
      </c>
      <c r="E386" s="98">
        <f>'Runs Z score'!E379</f>
        <v/>
      </c>
      <c r="F386" s="98">
        <f>'Runs Z score'!F379</f>
        <v/>
      </c>
      <c r="G386" s="99">
        <f>'Runs Z score'!G379</f>
        <v/>
      </c>
      <c r="H386" s="100">
        <f>VLOOKUP(C386,Recipes!$A$2:$N$4,10,FALSE())</f>
        <v/>
      </c>
      <c r="I386" s="101">
        <f>VLOOKUP(C386,Recipes!$A$2:$N$4,12,FALSE())</f>
        <v/>
      </c>
      <c r="J386" s="100">
        <f>IF(G386="","",H386-G386)</f>
        <v/>
      </c>
      <c r="K386" s="100">
        <f>IF(G386="","",-0.5*((J386-Components!$D$2)/Components!$E$2)^2)</f>
        <v/>
      </c>
      <c r="L386" s="100">
        <f>IF(G386="","",-0.5*((J386-Components!$D$3)/Components!$E$3)^2)</f>
        <v/>
      </c>
      <c r="M386" s="100">
        <f>IF(G386="","",-0.5*((J386-Components!$D$4)/Components!$E$4)^2)</f>
        <v/>
      </c>
      <c r="N386" s="100">
        <f>IF(G386="","",-0.5*((J386-Components!$D$5)/Components!$E$5)^2)</f>
        <v/>
      </c>
      <c r="O386" s="100">
        <f>IF(G386="","",-0.5*((J386-Components!$D$6)/Components!$E$6)^2)</f>
        <v/>
      </c>
      <c r="P386" s="100">
        <f>IF(G386="","",-0.5*((J386-Components!$D$7)/Components!$E$7)^2)</f>
        <v/>
      </c>
      <c r="Q386" s="100">
        <f>IF(G386="","",EXP(LARGE(K386:P386,1)-MAX(K386:P386))/(EXP(K386-MAX(K386:P386))+EXP(L386-MAX(K386:P386))+EXP(M386-MAX(K386:P386))+EXP(N386-MAX(K386:P386))+EXP(O386-MAX(K386:P386))+EXP(P386-MAX(K386:P386))))</f>
        <v/>
      </c>
      <c r="R386" s="100">
        <f>IF(G386="","",EXP(LARGE(K386:P386,2)-MAX(K386:P386))/(EXP(K386-MAX(K386:P386))+EXP(L386-MAX(K386:P386))+EXP(M386-MAX(K386:P386))+EXP(N386-MAX(K386:P386))+EXP(O386-MAX(K386:P386))+EXP(P386-MAX(K386:P386))))</f>
        <v/>
      </c>
      <c r="S386" s="100">
        <f>IF(G386="","",Q386-R386)</f>
        <v/>
      </c>
      <c r="T386" s="98">
        <f>IF(G386="","",IF(AND(G386&gt;=H386-$B$6*I386,G386&lt;=H386+$B$6*I386),"OK","NG"))</f>
        <v/>
      </c>
      <c r="U386" s="69">
        <f>IF(T386="","",IF(T386=D386,1,0))</f>
        <v/>
      </c>
      <c r="V386" s="98">
        <f>IF(G386="","",IF(T386="OK","NONE",INDEX({"S1","S2","W1","W2","N1","N2"},MATCH(MAX(K386:P386),K386:P386,0))))</f>
        <v/>
      </c>
      <c r="W386" s="69">
        <f>IF(G386="","",IF(V386=E386,1,0))</f>
        <v/>
      </c>
      <c r="X386" s="115">
        <f>IF(G386="","",IF(AND(T386="NG",S386&lt;$B$7),"AMBIGUOUS","CONFIDENT"))</f>
        <v/>
      </c>
    </row>
    <row r="387">
      <c r="A387" s="102">
        <f>'Runs Z score'!A380</f>
        <v/>
      </c>
      <c r="B387" s="98">
        <f>'Runs Z score'!B380</f>
        <v/>
      </c>
      <c r="C387" s="98">
        <f>'Runs Z score'!C380</f>
        <v/>
      </c>
      <c r="D387" s="98">
        <f>'Runs Z score'!D380</f>
        <v/>
      </c>
      <c r="E387" s="98">
        <f>'Runs Z score'!E380</f>
        <v/>
      </c>
      <c r="F387" s="98">
        <f>'Runs Z score'!F380</f>
        <v/>
      </c>
      <c r="G387" s="99">
        <f>'Runs Z score'!G380</f>
        <v/>
      </c>
      <c r="H387" s="100">
        <f>VLOOKUP(C387,Recipes!$A$2:$N$4,10,FALSE())</f>
        <v/>
      </c>
      <c r="I387" s="101">
        <f>VLOOKUP(C387,Recipes!$A$2:$N$4,12,FALSE())</f>
        <v/>
      </c>
      <c r="J387" s="100">
        <f>IF(G387="","",H387-G387)</f>
        <v/>
      </c>
      <c r="K387" s="100">
        <f>IF(G387="","",-0.5*((J387-Components!$D$2)/Components!$E$2)^2)</f>
        <v/>
      </c>
      <c r="L387" s="100">
        <f>IF(G387="","",-0.5*((J387-Components!$D$3)/Components!$E$3)^2)</f>
        <v/>
      </c>
      <c r="M387" s="100">
        <f>IF(G387="","",-0.5*((J387-Components!$D$4)/Components!$E$4)^2)</f>
        <v/>
      </c>
      <c r="N387" s="100">
        <f>IF(G387="","",-0.5*((J387-Components!$D$5)/Components!$E$5)^2)</f>
        <v/>
      </c>
      <c r="O387" s="100">
        <f>IF(G387="","",-0.5*((J387-Components!$D$6)/Components!$E$6)^2)</f>
        <v/>
      </c>
      <c r="P387" s="100">
        <f>IF(G387="","",-0.5*((J387-Components!$D$7)/Components!$E$7)^2)</f>
        <v/>
      </c>
      <c r="Q387" s="100">
        <f>IF(G387="","",EXP(LARGE(K387:P387,1)-MAX(K387:P387))/(EXP(K387-MAX(K387:P387))+EXP(L387-MAX(K387:P387))+EXP(M387-MAX(K387:P387))+EXP(N387-MAX(K387:P387))+EXP(O387-MAX(K387:P387))+EXP(P387-MAX(K387:P387))))</f>
        <v/>
      </c>
      <c r="R387" s="100">
        <f>IF(G387="","",EXP(LARGE(K387:P387,2)-MAX(K387:P387))/(EXP(K387-MAX(K387:P387))+EXP(L387-MAX(K387:P387))+EXP(M387-MAX(K387:P387))+EXP(N387-MAX(K387:P387))+EXP(O387-MAX(K387:P387))+EXP(P387-MAX(K387:P387))))</f>
        <v/>
      </c>
      <c r="S387" s="100">
        <f>IF(G387="","",Q387-R387)</f>
        <v/>
      </c>
      <c r="T387" s="98">
        <f>IF(G387="","",IF(AND(G387&gt;=H387-$B$6*I387,G387&lt;=H387+$B$6*I387),"OK","NG"))</f>
        <v/>
      </c>
      <c r="U387" s="69">
        <f>IF(T387="","",IF(T387=D387,1,0))</f>
        <v/>
      </c>
      <c r="V387" s="98">
        <f>IF(G387="","",IF(T387="OK","NONE",INDEX({"S1","S2","W1","W2","N1","N2"},MATCH(MAX(K387:P387),K387:P387,0))))</f>
        <v/>
      </c>
      <c r="W387" s="69">
        <f>IF(G387="","",IF(V387=E387,1,0))</f>
        <v/>
      </c>
      <c r="X387" s="115">
        <f>IF(G387="","",IF(AND(T387="NG",S387&lt;$B$7),"AMBIGUOUS","CONFIDENT"))</f>
        <v/>
      </c>
    </row>
    <row r="388">
      <c r="A388" s="102">
        <f>'Runs Z score'!A381</f>
        <v/>
      </c>
      <c r="B388" s="98">
        <f>'Runs Z score'!B381</f>
        <v/>
      </c>
      <c r="C388" s="98">
        <f>'Runs Z score'!C381</f>
        <v/>
      </c>
      <c r="D388" s="98">
        <f>'Runs Z score'!D381</f>
        <v/>
      </c>
      <c r="E388" s="98">
        <f>'Runs Z score'!E381</f>
        <v/>
      </c>
      <c r="F388" s="98">
        <f>'Runs Z score'!F381</f>
        <v/>
      </c>
      <c r="G388" s="99">
        <f>'Runs Z score'!G381</f>
        <v/>
      </c>
      <c r="H388" s="100">
        <f>VLOOKUP(C388,Recipes!$A$2:$N$4,10,FALSE())</f>
        <v/>
      </c>
      <c r="I388" s="101">
        <f>VLOOKUP(C388,Recipes!$A$2:$N$4,12,FALSE())</f>
        <v/>
      </c>
      <c r="J388" s="100">
        <f>IF(G388="","",H388-G388)</f>
        <v/>
      </c>
      <c r="K388" s="100">
        <f>IF(G388="","",-0.5*((J388-Components!$D$2)/Components!$E$2)^2)</f>
        <v/>
      </c>
      <c r="L388" s="100">
        <f>IF(G388="","",-0.5*((J388-Components!$D$3)/Components!$E$3)^2)</f>
        <v/>
      </c>
      <c r="M388" s="100">
        <f>IF(G388="","",-0.5*((J388-Components!$D$4)/Components!$E$4)^2)</f>
        <v/>
      </c>
      <c r="N388" s="100">
        <f>IF(G388="","",-0.5*((J388-Components!$D$5)/Components!$E$5)^2)</f>
        <v/>
      </c>
      <c r="O388" s="100">
        <f>IF(G388="","",-0.5*((J388-Components!$D$6)/Components!$E$6)^2)</f>
        <v/>
      </c>
      <c r="P388" s="100">
        <f>IF(G388="","",-0.5*((J388-Components!$D$7)/Components!$E$7)^2)</f>
        <v/>
      </c>
      <c r="Q388" s="100">
        <f>IF(G388="","",EXP(LARGE(K388:P388,1)-MAX(K388:P388))/(EXP(K388-MAX(K388:P388))+EXP(L388-MAX(K388:P388))+EXP(M388-MAX(K388:P388))+EXP(N388-MAX(K388:P388))+EXP(O388-MAX(K388:P388))+EXP(P388-MAX(K388:P388))))</f>
        <v/>
      </c>
      <c r="R388" s="100">
        <f>IF(G388="","",EXP(LARGE(K388:P388,2)-MAX(K388:P388))/(EXP(K388-MAX(K388:P388))+EXP(L388-MAX(K388:P388))+EXP(M388-MAX(K388:P388))+EXP(N388-MAX(K388:P388))+EXP(O388-MAX(K388:P388))+EXP(P388-MAX(K388:P388))))</f>
        <v/>
      </c>
      <c r="S388" s="100">
        <f>IF(G388="","",Q388-R388)</f>
        <v/>
      </c>
      <c r="T388" s="98">
        <f>IF(G388="","",IF(AND(G388&gt;=H388-$B$6*I388,G388&lt;=H388+$B$6*I388),"OK","NG"))</f>
        <v/>
      </c>
      <c r="U388" s="69">
        <f>IF(T388="","",IF(T388=D388,1,0))</f>
        <v/>
      </c>
      <c r="V388" s="98">
        <f>IF(G388="","",IF(T388="OK","NONE",INDEX({"S1","S2","W1","W2","N1","N2"},MATCH(MAX(K388:P388),K388:P388,0))))</f>
        <v/>
      </c>
      <c r="W388" s="69">
        <f>IF(G388="","",IF(V388=E388,1,0))</f>
        <v/>
      </c>
      <c r="X388" s="115">
        <f>IF(G388="","",IF(AND(T388="NG",S388&lt;$B$7),"AMBIGUOUS","CONFIDENT"))</f>
        <v/>
      </c>
    </row>
    <row r="389">
      <c r="A389" s="102">
        <f>'Runs Z score'!A382</f>
        <v/>
      </c>
      <c r="B389" s="98">
        <f>'Runs Z score'!B382</f>
        <v/>
      </c>
      <c r="C389" s="98">
        <f>'Runs Z score'!C382</f>
        <v/>
      </c>
      <c r="D389" s="98">
        <f>'Runs Z score'!D382</f>
        <v/>
      </c>
      <c r="E389" s="98">
        <f>'Runs Z score'!E382</f>
        <v/>
      </c>
      <c r="F389" s="98">
        <f>'Runs Z score'!F382</f>
        <v/>
      </c>
      <c r="G389" s="99">
        <f>'Runs Z score'!G382</f>
        <v/>
      </c>
      <c r="H389" s="100">
        <f>VLOOKUP(C389,Recipes!$A$2:$N$4,10,FALSE())</f>
        <v/>
      </c>
      <c r="I389" s="101">
        <f>VLOOKUP(C389,Recipes!$A$2:$N$4,12,FALSE())</f>
        <v/>
      </c>
      <c r="J389" s="100">
        <f>IF(G389="","",H389-G389)</f>
        <v/>
      </c>
      <c r="K389" s="100">
        <f>IF(G389="","",-0.5*((J389-Components!$D$2)/Components!$E$2)^2)</f>
        <v/>
      </c>
      <c r="L389" s="100">
        <f>IF(G389="","",-0.5*((J389-Components!$D$3)/Components!$E$3)^2)</f>
        <v/>
      </c>
      <c r="M389" s="100">
        <f>IF(G389="","",-0.5*((J389-Components!$D$4)/Components!$E$4)^2)</f>
        <v/>
      </c>
      <c r="N389" s="100">
        <f>IF(G389="","",-0.5*((J389-Components!$D$5)/Components!$E$5)^2)</f>
        <v/>
      </c>
      <c r="O389" s="100">
        <f>IF(G389="","",-0.5*((J389-Components!$D$6)/Components!$E$6)^2)</f>
        <v/>
      </c>
      <c r="P389" s="100">
        <f>IF(G389="","",-0.5*((J389-Components!$D$7)/Components!$E$7)^2)</f>
        <v/>
      </c>
      <c r="Q389" s="100">
        <f>IF(G389="","",EXP(LARGE(K389:P389,1)-MAX(K389:P389))/(EXP(K389-MAX(K389:P389))+EXP(L389-MAX(K389:P389))+EXP(M389-MAX(K389:P389))+EXP(N389-MAX(K389:P389))+EXP(O389-MAX(K389:P389))+EXP(P389-MAX(K389:P389))))</f>
        <v/>
      </c>
      <c r="R389" s="100">
        <f>IF(G389="","",EXP(LARGE(K389:P389,2)-MAX(K389:P389))/(EXP(K389-MAX(K389:P389))+EXP(L389-MAX(K389:P389))+EXP(M389-MAX(K389:P389))+EXP(N389-MAX(K389:P389))+EXP(O389-MAX(K389:P389))+EXP(P389-MAX(K389:P389))))</f>
        <v/>
      </c>
      <c r="S389" s="100">
        <f>IF(G389="","",Q389-R389)</f>
        <v/>
      </c>
      <c r="T389" s="98">
        <f>IF(G389="","",IF(AND(G389&gt;=H389-$B$6*I389,G389&lt;=H389+$B$6*I389),"OK","NG"))</f>
        <v/>
      </c>
      <c r="U389" s="69">
        <f>IF(T389="","",IF(T389=D389,1,0))</f>
        <v/>
      </c>
      <c r="V389" s="98">
        <f>IF(G389="","",IF(T389="OK","NONE",INDEX({"S1","S2","W1","W2","N1","N2"},MATCH(MAX(K389:P389),K389:P389,0))))</f>
        <v/>
      </c>
      <c r="W389" s="69">
        <f>IF(G389="","",IF(V389=E389,1,0))</f>
        <v/>
      </c>
      <c r="X389" s="115">
        <f>IF(G389="","",IF(AND(T389="NG",S389&lt;$B$7),"AMBIGUOUS","CONFIDENT"))</f>
        <v/>
      </c>
    </row>
    <row r="390">
      <c r="A390" s="102">
        <f>'Runs Z score'!A383</f>
        <v/>
      </c>
      <c r="B390" s="98">
        <f>'Runs Z score'!B383</f>
        <v/>
      </c>
      <c r="C390" s="98">
        <f>'Runs Z score'!C383</f>
        <v/>
      </c>
      <c r="D390" s="98">
        <f>'Runs Z score'!D383</f>
        <v/>
      </c>
      <c r="E390" s="98">
        <f>'Runs Z score'!E383</f>
        <v/>
      </c>
      <c r="F390" s="98">
        <f>'Runs Z score'!F383</f>
        <v/>
      </c>
      <c r="G390" s="99">
        <f>'Runs Z score'!G383</f>
        <v/>
      </c>
      <c r="H390" s="100">
        <f>VLOOKUP(C390,Recipes!$A$2:$N$4,10,FALSE())</f>
        <v/>
      </c>
      <c r="I390" s="101">
        <f>VLOOKUP(C390,Recipes!$A$2:$N$4,12,FALSE())</f>
        <v/>
      </c>
      <c r="J390" s="100">
        <f>IF(G390="","",H390-G390)</f>
        <v/>
      </c>
      <c r="K390" s="100">
        <f>IF(G390="","",-0.5*((J390-Components!$D$2)/Components!$E$2)^2)</f>
        <v/>
      </c>
      <c r="L390" s="100">
        <f>IF(G390="","",-0.5*((J390-Components!$D$3)/Components!$E$3)^2)</f>
        <v/>
      </c>
      <c r="M390" s="100">
        <f>IF(G390="","",-0.5*((J390-Components!$D$4)/Components!$E$4)^2)</f>
        <v/>
      </c>
      <c r="N390" s="100">
        <f>IF(G390="","",-0.5*((J390-Components!$D$5)/Components!$E$5)^2)</f>
        <v/>
      </c>
      <c r="O390" s="100">
        <f>IF(G390="","",-0.5*((J390-Components!$D$6)/Components!$E$6)^2)</f>
        <v/>
      </c>
      <c r="P390" s="100">
        <f>IF(G390="","",-0.5*((J390-Components!$D$7)/Components!$E$7)^2)</f>
        <v/>
      </c>
      <c r="Q390" s="100">
        <f>IF(G390="","",EXP(LARGE(K390:P390,1)-MAX(K390:P390))/(EXP(K390-MAX(K390:P390))+EXP(L390-MAX(K390:P390))+EXP(M390-MAX(K390:P390))+EXP(N390-MAX(K390:P390))+EXP(O390-MAX(K390:P390))+EXP(P390-MAX(K390:P390))))</f>
        <v/>
      </c>
      <c r="R390" s="100">
        <f>IF(G390="","",EXP(LARGE(K390:P390,2)-MAX(K390:P390))/(EXP(K390-MAX(K390:P390))+EXP(L390-MAX(K390:P390))+EXP(M390-MAX(K390:P390))+EXP(N390-MAX(K390:P390))+EXP(O390-MAX(K390:P390))+EXP(P390-MAX(K390:P390))))</f>
        <v/>
      </c>
      <c r="S390" s="100">
        <f>IF(G390="","",Q390-R390)</f>
        <v/>
      </c>
      <c r="T390" s="98">
        <f>IF(G390="","",IF(AND(G390&gt;=H390-$B$6*I390,G390&lt;=H390+$B$6*I390),"OK","NG"))</f>
        <v/>
      </c>
      <c r="U390" s="69">
        <f>IF(T390="","",IF(T390=D390,1,0))</f>
        <v/>
      </c>
      <c r="V390" s="98">
        <f>IF(G390="","",IF(T390="OK","NONE",INDEX({"S1","S2","W1","W2","N1","N2"},MATCH(MAX(K390:P390),K390:P390,0))))</f>
        <v/>
      </c>
      <c r="W390" s="69">
        <f>IF(G390="","",IF(V390=E390,1,0))</f>
        <v/>
      </c>
      <c r="X390" s="115">
        <f>IF(G390="","",IF(AND(T390="NG",S390&lt;$B$7),"AMBIGUOUS","CONFIDENT"))</f>
        <v/>
      </c>
    </row>
    <row r="391">
      <c r="A391" s="102">
        <f>'Runs Z score'!A384</f>
        <v/>
      </c>
      <c r="B391" s="98">
        <f>'Runs Z score'!B384</f>
        <v/>
      </c>
      <c r="C391" s="98">
        <f>'Runs Z score'!C384</f>
        <v/>
      </c>
      <c r="D391" s="98">
        <f>'Runs Z score'!D384</f>
        <v/>
      </c>
      <c r="E391" s="98">
        <f>'Runs Z score'!E384</f>
        <v/>
      </c>
      <c r="F391" s="98">
        <f>'Runs Z score'!F384</f>
        <v/>
      </c>
      <c r="G391" s="99">
        <f>'Runs Z score'!G384</f>
        <v/>
      </c>
      <c r="H391" s="100">
        <f>VLOOKUP(C391,Recipes!$A$2:$N$4,10,FALSE())</f>
        <v/>
      </c>
      <c r="I391" s="101">
        <f>VLOOKUP(C391,Recipes!$A$2:$N$4,12,FALSE())</f>
        <v/>
      </c>
      <c r="J391" s="100">
        <f>IF(G391="","",H391-G391)</f>
        <v/>
      </c>
      <c r="K391" s="100">
        <f>IF(G391="","",-0.5*((J391-Components!$D$2)/Components!$E$2)^2)</f>
        <v/>
      </c>
      <c r="L391" s="100">
        <f>IF(G391="","",-0.5*((J391-Components!$D$3)/Components!$E$3)^2)</f>
        <v/>
      </c>
      <c r="M391" s="100">
        <f>IF(G391="","",-0.5*((J391-Components!$D$4)/Components!$E$4)^2)</f>
        <v/>
      </c>
      <c r="N391" s="100">
        <f>IF(G391="","",-0.5*((J391-Components!$D$5)/Components!$E$5)^2)</f>
        <v/>
      </c>
      <c r="O391" s="100">
        <f>IF(G391="","",-0.5*((J391-Components!$D$6)/Components!$E$6)^2)</f>
        <v/>
      </c>
      <c r="P391" s="100">
        <f>IF(G391="","",-0.5*((J391-Components!$D$7)/Components!$E$7)^2)</f>
        <v/>
      </c>
      <c r="Q391" s="100">
        <f>IF(G391="","",EXP(LARGE(K391:P391,1)-MAX(K391:P391))/(EXP(K391-MAX(K391:P391))+EXP(L391-MAX(K391:P391))+EXP(M391-MAX(K391:P391))+EXP(N391-MAX(K391:P391))+EXP(O391-MAX(K391:P391))+EXP(P391-MAX(K391:P391))))</f>
        <v/>
      </c>
      <c r="R391" s="100">
        <f>IF(G391="","",EXP(LARGE(K391:P391,2)-MAX(K391:P391))/(EXP(K391-MAX(K391:P391))+EXP(L391-MAX(K391:P391))+EXP(M391-MAX(K391:P391))+EXP(N391-MAX(K391:P391))+EXP(O391-MAX(K391:P391))+EXP(P391-MAX(K391:P391))))</f>
        <v/>
      </c>
      <c r="S391" s="100">
        <f>IF(G391="","",Q391-R391)</f>
        <v/>
      </c>
      <c r="T391" s="98">
        <f>IF(G391="","",IF(AND(G391&gt;=H391-$B$6*I391,G391&lt;=H391+$B$6*I391),"OK","NG"))</f>
        <v/>
      </c>
      <c r="U391" s="69">
        <f>IF(T391="","",IF(T391=D391,1,0))</f>
        <v/>
      </c>
      <c r="V391" s="98">
        <f>IF(G391="","",IF(T391="OK","NONE",INDEX({"S1","S2","W1","W2","N1","N2"},MATCH(MAX(K391:P391),K391:P391,0))))</f>
        <v/>
      </c>
      <c r="W391" s="69">
        <f>IF(G391="","",IF(V391=E391,1,0))</f>
        <v/>
      </c>
      <c r="X391" s="115">
        <f>IF(G391="","",IF(AND(T391="NG",S391&lt;$B$7),"AMBIGUOUS","CONFIDENT"))</f>
        <v/>
      </c>
    </row>
    <row r="392">
      <c r="A392" s="102">
        <f>'Runs Z score'!A385</f>
        <v/>
      </c>
      <c r="B392" s="98">
        <f>'Runs Z score'!B385</f>
        <v/>
      </c>
      <c r="C392" s="98">
        <f>'Runs Z score'!C385</f>
        <v/>
      </c>
      <c r="D392" s="98">
        <f>'Runs Z score'!D385</f>
        <v/>
      </c>
      <c r="E392" s="98">
        <f>'Runs Z score'!E385</f>
        <v/>
      </c>
      <c r="F392" s="98">
        <f>'Runs Z score'!F385</f>
        <v/>
      </c>
      <c r="G392" s="99">
        <f>'Runs Z score'!G385</f>
        <v/>
      </c>
      <c r="H392" s="100">
        <f>VLOOKUP(C392,Recipes!$A$2:$N$4,10,FALSE())</f>
        <v/>
      </c>
      <c r="I392" s="101">
        <f>VLOOKUP(C392,Recipes!$A$2:$N$4,12,FALSE())</f>
        <v/>
      </c>
      <c r="J392" s="100">
        <f>IF(G392="","",H392-G392)</f>
        <v/>
      </c>
      <c r="K392" s="100">
        <f>IF(G392="","",-0.5*((J392-Components!$D$2)/Components!$E$2)^2)</f>
        <v/>
      </c>
      <c r="L392" s="100">
        <f>IF(G392="","",-0.5*((J392-Components!$D$3)/Components!$E$3)^2)</f>
        <v/>
      </c>
      <c r="M392" s="100">
        <f>IF(G392="","",-0.5*((J392-Components!$D$4)/Components!$E$4)^2)</f>
        <v/>
      </c>
      <c r="N392" s="100">
        <f>IF(G392="","",-0.5*((J392-Components!$D$5)/Components!$E$5)^2)</f>
        <v/>
      </c>
      <c r="O392" s="100">
        <f>IF(G392="","",-0.5*((J392-Components!$D$6)/Components!$E$6)^2)</f>
        <v/>
      </c>
      <c r="P392" s="100">
        <f>IF(G392="","",-0.5*((J392-Components!$D$7)/Components!$E$7)^2)</f>
        <v/>
      </c>
      <c r="Q392" s="100">
        <f>IF(G392="","",EXP(LARGE(K392:P392,1)-MAX(K392:P392))/(EXP(K392-MAX(K392:P392))+EXP(L392-MAX(K392:P392))+EXP(M392-MAX(K392:P392))+EXP(N392-MAX(K392:P392))+EXP(O392-MAX(K392:P392))+EXP(P392-MAX(K392:P392))))</f>
        <v/>
      </c>
      <c r="R392" s="100">
        <f>IF(G392="","",EXP(LARGE(K392:P392,2)-MAX(K392:P392))/(EXP(K392-MAX(K392:P392))+EXP(L392-MAX(K392:P392))+EXP(M392-MAX(K392:P392))+EXP(N392-MAX(K392:P392))+EXP(O392-MAX(K392:P392))+EXP(P392-MAX(K392:P392))))</f>
        <v/>
      </c>
      <c r="S392" s="100">
        <f>IF(G392="","",Q392-R392)</f>
        <v/>
      </c>
      <c r="T392" s="98">
        <f>IF(G392="","",IF(AND(G392&gt;=H392-$B$6*I392,G392&lt;=H392+$B$6*I392),"OK","NG"))</f>
        <v/>
      </c>
      <c r="U392" s="69">
        <f>IF(T392="","",IF(T392=D392,1,0))</f>
        <v/>
      </c>
      <c r="V392" s="98">
        <f>IF(G392="","",IF(T392="OK","NONE",INDEX({"S1","S2","W1","W2","N1","N2"},MATCH(MAX(K392:P392),K392:P392,0))))</f>
        <v/>
      </c>
      <c r="W392" s="69">
        <f>IF(G392="","",IF(V392=E392,1,0))</f>
        <v/>
      </c>
      <c r="X392" s="115">
        <f>IF(G392="","",IF(AND(T392="NG",S392&lt;$B$7),"AMBIGUOUS","CONFIDENT"))</f>
        <v/>
      </c>
    </row>
    <row r="393">
      <c r="A393" s="102">
        <f>'Runs Z score'!A386</f>
        <v/>
      </c>
      <c r="B393" s="98">
        <f>'Runs Z score'!B386</f>
        <v/>
      </c>
      <c r="C393" s="98">
        <f>'Runs Z score'!C386</f>
        <v/>
      </c>
      <c r="D393" s="98">
        <f>'Runs Z score'!D386</f>
        <v/>
      </c>
      <c r="E393" s="98">
        <f>'Runs Z score'!E386</f>
        <v/>
      </c>
      <c r="F393" s="98">
        <f>'Runs Z score'!F386</f>
        <v/>
      </c>
      <c r="G393" s="99">
        <f>'Runs Z score'!G386</f>
        <v/>
      </c>
      <c r="H393" s="100">
        <f>VLOOKUP(C393,Recipes!$A$2:$N$4,10,FALSE())</f>
        <v/>
      </c>
      <c r="I393" s="101">
        <f>VLOOKUP(C393,Recipes!$A$2:$N$4,12,FALSE())</f>
        <v/>
      </c>
      <c r="J393" s="100">
        <f>IF(G393="","",H393-G393)</f>
        <v/>
      </c>
      <c r="K393" s="100">
        <f>IF(G393="","",-0.5*((J393-Components!$D$2)/Components!$E$2)^2)</f>
        <v/>
      </c>
      <c r="L393" s="100">
        <f>IF(G393="","",-0.5*((J393-Components!$D$3)/Components!$E$3)^2)</f>
        <v/>
      </c>
      <c r="M393" s="100">
        <f>IF(G393="","",-0.5*((J393-Components!$D$4)/Components!$E$4)^2)</f>
        <v/>
      </c>
      <c r="N393" s="100">
        <f>IF(G393="","",-0.5*((J393-Components!$D$5)/Components!$E$5)^2)</f>
        <v/>
      </c>
      <c r="O393" s="100">
        <f>IF(G393="","",-0.5*((J393-Components!$D$6)/Components!$E$6)^2)</f>
        <v/>
      </c>
      <c r="P393" s="100">
        <f>IF(G393="","",-0.5*((J393-Components!$D$7)/Components!$E$7)^2)</f>
        <v/>
      </c>
      <c r="Q393" s="100">
        <f>IF(G393="","",EXP(LARGE(K393:P393,1)-MAX(K393:P393))/(EXP(K393-MAX(K393:P393))+EXP(L393-MAX(K393:P393))+EXP(M393-MAX(K393:P393))+EXP(N393-MAX(K393:P393))+EXP(O393-MAX(K393:P393))+EXP(P393-MAX(K393:P393))))</f>
        <v/>
      </c>
      <c r="R393" s="100">
        <f>IF(G393="","",EXP(LARGE(K393:P393,2)-MAX(K393:P393))/(EXP(K393-MAX(K393:P393))+EXP(L393-MAX(K393:P393))+EXP(M393-MAX(K393:P393))+EXP(N393-MAX(K393:P393))+EXP(O393-MAX(K393:P393))+EXP(P393-MAX(K393:P393))))</f>
        <v/>
      </c>
      <c r="S393" s="100">
        <f>IF(G393="","",Q393-R393)</f>
        <v/>
      </c>
      <c r="T393" s="98">
        <f>IF(G393="","",IF(AND(G393&gt;=H393-$B$6*I393,G393&lt;=H393+$B$6*I393),"OK","NG"))</f>
        <v/>
      </c>
      <c r="U393" s="69">
        <f>IF(T393="","",IF(T393=D393,1,0))</f>
        <v/>
      </c>
      <c r="V393" s="98">
        <f>IF(G393="","",IF(T393="OK","NONE",INDEX({"S1","S2","W1","W2","N1","N2"},MATCH(MAX(K393:P393),K393:P393,0))))</f>
        <v/>
      </c>
      <c r="W393" s="69">
        <f>IF(G393="","",IF(V393=E393,1,0))</f>
        <v/>
      </c>
      <c r="X393" s="115">
        <f>IF(G393="","",IF(AND(T393="NG",S393&lt;$B$7),"AMBIGUOUS","CONFIDENT"))</f>
        <v/>
      </c>
    </row>
    <row r="394">
      <c r="A394" s="102">
        <f>'Runs Z score'!A387</f>
        <v/>
      </c>
      <c r="B394" s="98">
        <f>'Runs Z score'!B387</f>
        <v/>
      </c>
      <c r="C394" s="98">
        <f>'Runs Z score'!C387</f>
        <v/>
      </c>
      <c r="D394" s="98">
        <f>'Runs Z score'!D387</f>
        <v/>
      </c>
      <c r="E394" s="98">
        <f>'Runs Z score'!E387</f>
        <v/>
      </c>
      <c r="F394" s="98">
        <f>'Runs Z score'!F387</f>
        <v/>
      </c>
      <c r="G394" s="99">
        <f>'Runs Z score'!G387</f>
        <v/>
      </c>
      <c r="H394" s="100">
        <f>VLOOKUP(C394,Recipes!$A$2:$N$4,10,FALSE())</f>
        <v/>
      </c>
      <c r="I394" s="101">
        <f>VLOOKUP(C394,Recipes!$A$2:$N$4,12,FALSE())</f>
        <v/>
      </c>
      <c r="J394" s="100">
        <f>IF(G394="","",H394-G394)</f>
        <v/>
      </c>
      <c r="K394" s="100">
        <f>IF(G394="","",-0.5*((J394-Components!$D$2)/Components!$E$2)^2)</f>
        <v/>
      </c>
      <c r="L394" s="100">
        <f>IF(G394="","",-0.5*((J394-Components!$D$3)/Components!$E$3)^2)</f>
        <v/>
      </c>
      <c r="M394" s="100">
        <f>IF(G394="","",-0.5*((J394-Components!$D$4)/Components!$E$4)^2)</f>
        <v/>
      </c>
      <c r="N394" s="100">
        <f>IF(G394="","",-0.5*((J394-Components!$D$5)/Components!$E$5)^2)</f>
        <v/>
      </c>
      <c r="O394" s="100">
        <f>IF(G394="","",-0.5*((J394-Components!$D$6)/Components!$E$6)^2)</f>
        <v/>
      </c>
      <c r="P394" s="100">
        <f>IF(G394="","",-0.5*((J394-Components!$D$7)/Components!$E$7)^2)</f>
        <v/>
      </c>
      <c r="Q394" s="100">
        <f>IF(G394="","",EXP(LARGE(K394:P394,1)-MAX(K394:P394))/(EXP(K394-MAX(K394:P394))+EXP(L394-MAX(K394:P394))+EXP(M394-MAX(K394:P394))+EXP(N394-MAX(K394:P394))+EXP(O394-MAX(K394:P394))+EXP(P394-MAX(K394:P394))))</f>
        <v/>
      </c>
      <c r="R394" s="100">
        <f>IF(G394="","",EXP(LARGE(K394:P394,2)-MAX(K394:P394))/(EXP(K394-MAX(K394:P394))+EXP(L394-MAX(K394:P394))+EXP(M394-MAX(K394:P394))+EXP(N394-MAX(K394:P394))+EXP(O394-MAX(K394:P394))+EXP(P394-MAX(K394:P394))))</f>
        <v/>
      </c>
      <c r="S394" s="100">
        <f>IF(G394="","",Q394-R394)</f>
        <v/>
      </c>
      <c r="T394" s="98">
        <f>IF(G394="","",IF(AND(G394&gt;=H394-$B$6*I394,G394&lt;=H394+$B$6*I394),"OK","NG"))</f>
        <v/>
      </c>
      <c r="U394" s="69">
        <f>IF(T394="","",IF(T394=D394,1,0))</f>
        <v/>
      </c>
      <c r="V394" s="98">
        <f>IF(G394="","",IF(T394="OK","NONE",INDEX({"S1","S2","W1","W2","N1","N2"},MATCH(MAX(K394:P394),K394:P394,0))))</f>
        <v/>
      </c>
      <c r="W394" s="69">
        <f>IF(G394="","",IF(V394=E394,1,0))</f>
        <v/>
      </c>
      <c r="X394" s="115">
        <f>IF(G394="","",IF(AND(T394="NG",S394&lt;$B$7),"AMBIGUOUS","CONFIDENT"))</f>
        <v/>
      </c>
    </row>
    <row r="395">
      <c r="A395" s="102">
        <f>'Runs Z score'!A388</f>
        <v/>
      </c>
      <c r="B395" s="98">
        <f>'Runs Z score'!B388</f>
        <v/>
      </c>
      <c r="C395" s="98">
        <f>'Runs Z score'!C388</f>
        <v/>
      </c>
      <c r="D395" s="98">
        <f>'Runs Z score'!D388</f>
        <v/>
      </c>
      <c r="E395" s="98">
        <f>'Runs Z score'!E388</f>
        <v/>
      </c>
      <c r="F395" s="98">
        <f>'Runs Z score'!F388</f>
        <v/>
      </c>
      <c r="G395" s="99">
        <f>'Runs Z score'!G388</f>
        <v/>
      </c>
      <c r="H395" s="100">
        <f>VLOOKUP(C395,Recipes!$A$2:$N$4,10,FALSE())</f>
        <v/>
      </c>
      <c r="I395" s="101">
        <f>VLOOKUP(C395,Recipes!$A$2:$N$4,12,FALSE())</f>
        <v/>
      </c>
      <c r="J395" s="100">
        <f>IF(G395="","",H395-G395)</f>
        <v/>
      </c>
      <c r="K395" s="100">
        <f>IF(G395="","",-0.5*((J395-Components!$D$2)/Components!$E$2)^2)</f>
        <v/>
      </c>
      <c r="L395" s="100">
        <f>IF(G395="","",-0.5*((J395-Components!$D$3)/Components!$E$3)^2)</f>
        <v/>
      </c>
      <c r="M395" s="100">
        <f>IF(G395="","",-0.5*((J395-Components!$D$4)/Components!$E$4)^2)</f>
        <v/>
      </c>
      <c r="N395" s="100">
        <f>IF(G395="","",-0.5*((J395-Components!$D$5)/Components!$E$5)^2)</f>
        <v/>
      </c>
      <c r="O395" s="100">
        <f>IF(G395="","",-0.5*((J395-Components!$D$6)/Components!$E$6)^2)</f>
        <v/>
      </c>
      <c r="P395" s="100">
        <f>IF(G395="","",-0.5*((J395-Components!$D$7)/Components!$E$7)^2)</f>
        <v/>
      </c>
      <c r="Q395" s="100">
        <f>IF(G395="","",EXP(LARGE(K395:P395,1)-MAX(K395:P395))/(EXP(K395-MAX(K395:P395))+EXP(L395-MAX(K395:P395))+EXP(M395-MAX(K395:P395))+EXP(N395-MAX(K395:P395))+EXP(O395-MAX(K395:P395))+EXP(P395-MAX(K395:P395))))</f>
        <v/>
      </c>
      <c r="R395" s="100">
        <f>IF(G395="","",EXP(LARGE(K395:P395,2)-MAX(K395:P395))/(EXP(K395-MAX(K395:P395))+EXP(L395-MAX(K395:P395))+EXP(M395-MAX(K395:P395))+EXP(N395-MAX(K395:P395))+EXP(O395-MAX(K395:P395))+EXP(P395-MAX(K395:P395))))</f>
        <v/>
      </c>
      <c r="S395" s="100">
        <f>IF(G395="","",Q395-R395)</f>
        <v/>
      </c>
      <c r="T395" s="98">
        <f>IF(G395="","",IF(AND(G395&gt;=H395-$B$6*I395,G395&lt;=H395+$B$6*I395),"OK","NG"))</f>
        <v/>
      </c>
      <c r="U395" s="69">
        <f>IF(T395="","",IF(T395=D395,1,0))</f>
        <v/>
      </c>
      <c r="V395" s="98">
        <f>IF(G395="","",IF(T395="OK","NONE",INDEX({"S1","S2","W1","W2","N1","N2"},MATCH(MAX(K395:P395),K395:P395,0))))</f>
        <v/>
      </c>
      <c r="W395" s="69">
        <f>IF(G395="","",IF(V395=E395,1,0))</f>
        <v/>
      </c>
      <c r="X395" s="115">
        <f>IF(G395="","",IF(AND(T395="NG",S395&lt;$B$7),"AMBIGUOUS","CONFIDENT"))</f>
        <v/>
      </c>
    </row>
    <row r="396">
      <c r="A396" s="102">
        <f>'Runs Z score'!A389</f>
        <v/>
      </c>
      <c r="B396" s="98">
        <f>'Runs Z score'!B389</f>
        <v/>
      </c>
      <c r="C396" s="98">
        <f>'Runs Z score'!C389</f>
        <v/>
      </c>
      <c r="D396" s="98">
        <f>'Runs Z score'!D389</f>
        <v/>
      </c>
      <c r="E396" s="98">
        <f>'Runs Z score'!E389</f>
        <v/>
      </c>
      <c r="F396" s="98">
        <f>'Runs Z score'!F389</f>
        <v/>
      </c>
      <c r="G396" s="99">
        <f>'Runs Z score'!G389</f>
        <v/>
      </c>
      <c r="H396" s="100">
        <f>VLOOKUP(C396,Recipes!$A$2:$N$4,10,FALSE())</f>
        <v/>
      </c>
      <c r="I396" s="101">
        <f>VLOOKUP(C396,Recipes!$A$2:$N$4,12,FALSE())</f>
        <v/>
      </c>
      <c r="J396" s="100">
        <f>IF(G396="","",H396-G396)</f>
        <v/>
      </c>
      <c r="K396" s="100">
        <f>IF(G396="","",-0.5*((J396-Components!$D$2)/Components!$E$2)^2)</f>
        <v/>
      </c>
      <c r="L396" s="100">
        <f>IF(G396="","",-0.5*((J396-Components!$D$3)/Components!$E$3)^2)</f>
        <v/>
      </c>
      <c r="M396" s="100">
        <f>IF(G396="","",-0.5*((J396-Components!$D$4)/Components!$E$4)^2)</f>
        <v/>
      </c>
      <c r="N396" s="100">
        <f>IF(G396="","",-0.5*((J396-Components!$D$5)/Components!$E$5)^2)</f>
        <v/>
      </c>
      <c r="O396" s="100">
        <f>IF(G396="","",-0.5*((J396-Components!$D$6)/Components!$E$6)^2)</f>
        <v/>
      </c>
      <c r="P396" s="100">
        <f>IF(G396="","",-0.5*((J396-Components!$D$7)/Components!$E$7)^2)</f>
        <v/>
      </c>
      <c r="Q396" s="100">
        <f>IF(G396="","",EXP(LARGE(K396:P396,1)-MAX(K396:P396))/(EXP(K396-MAX(K396:P396))+EXP(L396-MAX(K396:P396))+EXP(M396-MAX(K396:P396))+EXP(N396-MAX(K396:P396))+EXP(O396-MAX(K396:P396))+EXP(P396-MAX(K396:P396))))</f>
        <v/>
      </c>
      <c r="R396" s="100">
        <f>IF(G396="","",EXP(LARGE(K396:P396,2)-MAX(K396:P396))/(EXP(K396-MAX(K396:P396))+EXP(L396-MAX(K396:P396))+EXP(M396-MAX(K396:P396))+EXP(N396-MAX(K396:P396))+EXP(O396-MAX(K396:P396))+EXP(P396-MAX(K396:P396))))</f>
        <v/>
      </c>
      <c r="S396" s="100">
        <f>IF(G396="","",Q396-R396)</f>
        <v/>
      </c>
      <c r="T396" s="98">
        <f>IF(G396="","",IF(AND(G396&gt;=H396-$B$6*I396,G396&lt;=H396+$B$6*I396),"OK","NG"))</f>
        <v/>
      </c>
      <c r="U396" s="69">
        <f>IF(T396="","",IF(T396=D396,1,0))</f>
        <v/>
      </c>
      <c r="V396" s="98">
        <f>IF(G396="","",IF(T396="OK","NONE",INDEX({"S1","S2","W1","W2","N1","N2"},MATCH(MAX(K396:P396),K396:P396,0))))</f>
        <v/>
      </c>
      <c r="W396" s="69">
        <f>IF(G396="","",IF(V396=E396,1,0))</f>
        <v/>
      </c>
      <c r="X396" s="115">
        <f>IF(G396="","",IF(AND(T396="NG",S396&lt;$B$7),"AMBIGUOUS","CONFIDENT"))</f>
        <v/>
      </c>
    </row>
    <row r="397">
      <c r="A397" s="102">
        <f>'Runs Z score'!A390</f>
        <v/>
      </c>
      <c r="B397" s="98">
        <f>'Runs Z score'!B390</f>
        <v/>
      </c>
      <c r="C397" s="98">
        <f>'Runs Z score'!C390</f>
        <v/>
      </c>
      <c r="D397" s="98">
        <f>'Runs Z score'!D390</f>
        <v/>
      </c>
      <c r="E397" s="98">
        <f>'Runs Z score'!E390</f>
        <v/>
      </c>
      <c r="F397" s="98">
        <f>'Runs Z score'!F390</f>
        <v/>
      </c>
      <c r="G397" s="99">
        <f>'Runs Z score'!G390</f>
        <v/>
      </c>
      <c r="H397" s="100">
        <f>VLOOKUP(C397,Recipes!$A$2:$N$4,10,FALSE())</f>
        <v/>
      </c>
      <c r="I397" s="101">
        <f>VLOOKUP(C397,Recipes!$A$2:$N$4,12,FALSE())</f>
        <v/>
      </c>
      <c r="J397" s="100">
        <f>IF(G397="","",H397-G397)</f>
        <v/>
      </c>
      <c r="K397" s="100">
        <f>IF(G397="","",-0.5*((J397-Components!$D$2)/Components!$E$2)^2)</f>
        <v/>
      </c>
      <c r="L397" s="100">
        <f>IF(G397="","",-0.5*((J397-Components!$D$3)/Components!$E$3)^2)</f>
        <v/>
      </c>
      <c r="M397" s="100">
        <f>IF(G397="","",-0.5*((J397-Components!$D$4)/Components!$E$4)^2)</f>
        <v/>
      </c>
      <c r="N397" s="100">
        <f>IF(G397="","",-0.5*((J397-Components!$D$5)/Components!$E$5)^2)</f>
        <v/>
      </c>
      <c r="O397" s="100">
        <f>IF(G397="","",-0.5*((J397-Components!$D$6)/Components!$E$6)^2)</f>
        <v/>
      </c>
      <c r="P397" s="100">
        <f>IF(G397="","",-0.5*((J397-Components!$D$7)/Components!$E$7)^2)</f>
        <v/>
      </c>
      <c r="Q397" s="100">
        <f>IF(G397="","",EXP(LARGE(K397:P397,1)-MAX(K397:P397))/(EXP(K397-MAX(K397:P397))+EXP(L397-MAX(K397:P397))+EXP(M397-MAX(K397:P397))+EXP(N397-MAX(K397:P397))+EXP(O397-MAX(K397:P397))+EXP(P397-MAX(K397:P397))))</f>
        <v/>
      </c>
      <c r="R397" s="100">
        <f>IF(G397="","",EXP(LARGE(K397:P397,2)-MAX(K397:P397))/(EXP(K397-MAX(K397:P397))+EXP(L397-MAX(K397:P397))+EXP(M397-MAX(K397:P397))+EXP(N397-MAX(K397:P397))+EXP(O397-MAX(K397:P397))+EXP(P397-MAX(K397:P397))))</f>
        <v/>
      </c>
      <c r="S397" s="100">
        <f>IF(G397="","",Q397-R397)</f>
        <v/>
      </c>
      <c r="T397" s="98">
        <f>IF(G397="","",IF(AND(G397&gt;=H397-$B$6*I397,G397&lt;=H397+$B$6*I397),"OK","NG"))</f>
        <v/>
      </c>
      <c r="U397" s="69">
        <f>IF(T397="","",IF(T397=D397,1,0))</f>
        <v/>
      </c>
      <c r="V397" s="98">
        <f>IF(G397="","",IF(T397="OK","NONE",INDEX({"S1","S2","W1","W2","N1","N2"},MATCH(MAX(K397:P397),K397:P397,0))))</f>
        <v/>
      </c>
      <c r="W397" s="69">
        <f>IF(G397="","",IF(V397=E397,1,0))</f>
        <v/>
      </c>
      <c r="X397" s="115">
        <f>IF(G397="","",IF(AND(T397="NG",S397&lt;$B$7),"AMBIGUOUS","CONFIDENT"))</f>
        <v/>
      </c>
    </row>
    <row r="398">
      <c r="A398" s="102">
        <f>'Runs Z score'!A391</f>
        <v/>
      </c>
      <c r="B398" s="98">
        <f>'Runs Z score'!B391</f>
        <v/>
      </c>
      <c r="C398" s="98">
        <f>'Runs Z score'!C391</f>
        <v/>
      </c>
      <c r="D398" s="98">
        <f>'Runs Z score'!D391</f>
        <v/>
      </c>
      <c r="E398" s="98">
        <f>'Runs Z score'!E391</f>
        <v/>
      </c>
      <c r="F398" s="98">
        <f>'Runs Z score'!F391</f>
        <v/>
      </c>
      <c r="G398" s="99">
        <f>'Runs Z score'!G391</f>
        <v/>
      </c>
      <c r="H398" s="100">
        <f>VLOOKUP(C398,Recipes!$A$2:$N$4,10,FALSE())</f>
        <v/>
      </c>
      <c r="I398" s="101">
        <f>VLOOKUP(C398,Recipes!$A$2:$N$4,12,FALSE())</f>
        <v/>
      </c>
      <c r="J398" s="100">
        <f>IF(G398="","",H398-G398)</f>
        <v/>
      </c>
      <c r="K398" s="100">
        <f>IF(G398="","",-0.5*((J398-Components!$D$2)/Components!$E$2)^2)</f>
        <v/>
      </c>
      <c r="L398" s="100">
        <f>IF(G398="","",-0.5*((J398-Components!$D$3)/Components!$E$3)^2)</f>
        <v/>
      </c>
      <c r="M398" s="100">
        <f>IF(G398="","",-0.5*((J398-Components!$D$4)/Components!$E$4)^2)</f>
        <v/>
      </c>
      <c r="N398" s="100">
        <f>IF(G398="","",-0.5*((J398-Components!$D$5)/Components!$E$5)^2)</f>
        <v/>
      </c>
      <c r="O398" s="100">
        <f>IF(G398="","",-0.5*((J398-Components!$D$6)/Components!$E$6)^2)</f>
        <v/>
      </c>
      <c r="P398" s="100">
        <f>IF(G398="","",-0.5*((J398-Components!$D$7)/Components!$E$7)^2)</f>
        <v/>
      </c>
      <c r="Q398" s="100">
        <f>IF(G398="","",EXP(LARGE(K398:P398,1)-MAX(K398:P398))/(EXP(K398-MAX(K398:P398))+EXP(L398-MAX(K398:P398))+EXP(M398-MAX(K398:P398))+EXP(N398-MAX(K398:P398))+EXP(O398-MAX(K398:P398))+EXP(P398-MAX(K398:P398))))</f>
        <v/>
      </c>
      <c r="R398" s="100">
        <f>IF(G398="","",EXP(LARGE(K398:P398,2)-MAX(K398:P398))/(EXP(K398-MAX(K398:P398))+EXP(L398-MAX(K398:P398))+EXP(M398-MAX(K398:P398))+EXP(N398-MAX(K398:P398))+EXP(O398-MAX(K398:P398))+EXP(P398-MAX(K398:P398))))</f>
        <v/>
      </c>
      <c r="S398" s="100">
        <f>IF(G398="","",Q398-R398)</f>
        <v/>
      </c>
      <c r="T398" s="98">
        <f>IF(G398="","",IF(AND(G398&gt;=H398-$B$6*I398,G398&lt;=H398+$B$6*I398),"OK","NG"))</f>
        <v/>
      </c>
      <c r="U398" s="69">
        <f>IF(T398="","",IF(T398=D398,1,0))</f>
        <v/>
      </c>
      <c r="V398" s="98">
        <f>IF(G398="","",IF(T398="OK","NONE",INDEX({"S1","S2","W1","W2","N1","N2"},MATCH(MAX(K398:P398),K398:P398,0))))</f>
        <v/>
      </c>
      <c r="W398" s="69">
        <f>IF(G398="","",IF(V398=E398,1,0))</f>
        <v/>
      </c>
      <c r="X398" s="115">
        <f>IF(G398="","",IF(AND(T398="NG",S398&lt;$B$7),"AMBIGUOUS","CONFIDENT"))</f>
        <v/>
      </c>
    </row>
    <row r="399">
      <c r="A399" s="102">
        <f>'Runs Z score'!A392</f>
        <v/>
      </c>
      <c r="B399" s="98">
        <f>'Runs Z score'!B392</f>
        <v/>
      </c>
      <c r="C399" s="98">
        <f>'Runs Z score'!C392</f>
        <v/>
      </c>
      <c r="D399" s="98">
        <f>'Runs Z score'!D392</f>
        <v/>
      </c>
      <c r="E399" s="98">
        <f>'Runs Z score'!E392</f>
        <v/>
      </c>
      <c r="F399" s="98">
        <f>'Runs Z score'!F392</f>
        <v/>
      </c>
      <c r="G399" s="99">
        <f>'Runs Z score'!G392</f>
        <v/>
      </c>
      <c r="H399" s="100">
        <f>VLOOKUP(C399,Recipes!$A$2:$N$4,10,FALSE())</f>
        <v/>
      </c>
      <c r="I399" s="101">
        <f>VLOOKUP(C399,Recipes!$A$2:$N$4,12,FALSE())</f>
        <v/>
      </c>
      <c r="J399" s="100">
        <f>IF(G399="","",H399-G399)</f>
        <v/>
      </c>
      <c r="K399" s="100">
        <f>IF(G399="","",-0.5*((J399-Components!$D$2)/Components!$E$2)^2)</f>
        <v/>
      </c>
      <c r="L399" s="100">
        <f>IF(G399="","",-0.5*((J399-Components!$D$3)/Components!$E$3)^2)</f>
        <v/>
      </c>
      <c r="M399" s="100">
        <f>IF(G399="","",-0.5*((J399-Components!$D$4)/Components!$E$4)^2)</f>
        <v/>
      </c>
      <c r="N399" s="100">
        <f>IF(G399="","",-0.5*((J399-Components!$D$5)/Components!$E$5)^2)</f>
        <v/>
      </c>
      <c r="O399" s="100">
        <f>IF(G399="","",-0.5*((J399-Components!$D$6)/Components!$E$6)^2)</f>
        <v/>
      </c>
      <c r="P399" s="100">
        <f>IF(G399="","",-0.5*((J399-Components!$D$7)/Components!$E$7)^2)</f>
        <v/>
      </c>
      <c r="Q399" s="100">
        <f>IF(G399="","",EXP(LARGE(K399:P399,1)-MAX(K399:P399))/(EXP(K399-MAX(K399:P399))+EXP(L399-MAX(K399:P399))+EXP(M399-MAX(K399:P399))+EXP(N399-MAX(K399:P399))+EXP(O399-MAX(K399:P399))+EXP(P399-MAX(K399:P399))))</f>
        <v/>
      </c>
      <c r="R399" s="100">
        <f>IF(G399="","",EXP(LARGE(K399:P399,2)-MAX(K399:P399))/(EXP(K399-MAX(K399:P399))+EXP(L399-MAX(K399:P399))+EXP(M399-MAX(K399:P399))+EXP(N399-MAX(K399:P399))+EXP(O399-MAX(K399:P399))+EXP(P399-MAX(K399:P399))))</f>
        <v/>
      </c>
      <c r="S399" s="100">
        <f>IF(G399="","",Q399-R399)</f>
        <v/>
      </c>
      <c r="T399" s="98">
        <f>IF(G399="","",IF(AND(G399&gt;=H399-$B$6*I399,G399&lt;=H399+$B$6*I399),"OK","NG"))</f>
        <v/>
      </c>
      <c r="U399" s="69">
        <f>IF(T399="","",IF(T399=D399,1,0))</f>
        <v/>
      </c>
      <c r="V399" s="98">
        <f>IF(G399="","",IF(T399="OK","NONE",INDEX({"S1","S2","W1","W2","N1","N2"},MATCH(MAX(K399:P399),K399:P399,0))))</f>
        <v/>
      </c>
      <c r="W399" s="69">
        <f>IF(G399="","",IF(V399=E399,1,0))</f>
        <v/>
      </c>
      <c r="X399" s="115">
        <f>IF(G399="","",IF(AND(T399="NG",S399&lt;$B$7),"AMBIGUOUS","CONFIDENT"))</f>
        <v/>
      </c>
    </row>
    <row r="400">
      <c r="A400" s="102">
        <f>'Runs Z score'!A393</f>
        <v/>
      </c>
      <c r="B400" s="98">
        <f>'Runs Z score'!B393</f>
        <v/>
      </c>
      <c r="C400" s="98">
        <f>'Runs Z score'!C393</f>
        <v/>
      </c>
      <c r="D400" s="98">
        <f>'Runs Z score'!D393</f>
        <v/>
      </c>
      <c r="E400" s="98">
        <f>'Runs Z score'!E393</f>
        <v/>
      </c>
      <c r="F400" s="98">
        <f>'Runs Z score'!F393</f>
        <v/>
      </c>
      <c r="G400" s="99">
        <f>'Runs Z score'!G393</f>
        <v/>
      </c>
      <c r="H400" s="100">
        <f>VLOOKUP(C400,Recipes!$A$2:$N$4,10,FALSE())</f>
        <v/>
      </c>
      <c r="I400" s="101">
        <f>VLOOKUP(C400,Recipes!$A$2:$N$4,12,FALSE())</f>
        <v/>
      </c>
      <c r="J400" s="100">
        <f>IF(G400="","",H400-G400)</f>
        <v/>
      </c>
      <c r="K400" s="100">
        <f>IF(G400="","",-0.5*((J400-Components!$D$2)/Components!$E$2)^2)</f>
        <v/>
      </c>
      <c r="L400" s="100">
        <f>IF(G400="","",-0.5*((J400-Components!$D$3)/Components!$E$3)^2)</f>
        <v/>
      </c>
      <c r="M400" s="100">
        <f>IF(G400="","",-0.5*((J400-Components!$D$4)/Components!$E$4)^2)</f>
        <v/>
      </c>
      <c r="N400" s="100">
        <f>IF(G400="","",-0.5*((J400-Components!$D$5)/Components!$E$5)^2)</f>
        <v/>
      </c>
      <c r="O400" s="100">
        <f>IF(G400="","",-0.5*((J400-Components!$D$6)/Components!$E$6)^2)</f>
        <v/>
      </c>
      <c r="P400" s="100">
        <f>IF(G400="","",-0.5*((J400-Components!$D$7)/Components!$E$7)^2)</f>
        <v/>
      </c>
      <c r="Q400" s="100">
        <f>IF(G400="","",EXP(LARGE(K400:P400,1)-MAX(K400:P400))/(EXP(K400-MAX(K400:P400))+EXP(L400-MAX(K400:P400))+EXP(M400-MAX(K400:P400))+EXP(N400-MAX(K400:P400))+EXP(O400-MAX(K400:P400))+EXP(P400-MAX(K400:P400))))</f>
        <v/>
      </c>
      <c r="R400" s="100">
        <f>IF(G400="","",EXP(LARGE(K400:P400,2)-MAX(K400:P400))/(EXP(K400-MAX(K400:P400))+EXP(L400-MAX(K400:P400))+EXP(M400-MAX(K400:P400))+EXP(N400-MAX(K400:P400))+EXP(O400-MAX(K400:P400))+EXP(P400-MAX(K400:P400))))</f>
        <v/>
      </c>
      <c r="S400" s="100">
        <f>IF(G400="","",Q400-R400)</f>
        <v/>
      </c>
      <c r="T400" s="98">
        <f>IF(G400="","",IF(AND(G400&gt;=H400-$B$6*I400,G400&lt;=H400+$B$6*I400),"OK","NG"))</f>
        <v/>
      </c>
      <c r="U400" s="69">
        <f>IF(T400="","",IF(T400=D400,1,0))</f>
        <v/>
      </c>
      <c r="V400" s="98">
        <f>IF(G400="","",IF(T400="OK","NONE",INDEX({"S1","S2","W1","W2","N1","N2"},MATCH(MAX(K400:P400),K400:P400,0))))</f>
        <v/>
      </c>
      <c r="W400" s="69">
        <f>IF(G400="","",IF(V400=E400,1,0))</f>
        <v/>
      </c>
      <c r="X400" s="115">
        <f>IF(G400="","",IF(AND(T400="NG",S400&lt;$B$7),"AMBIGUOUS","CONFIDENT"))</f>
        <v/>
      </c>
    </row>
    <row r="401">
      <c r="A401" s="102">
        <f>'Runs Z score'!A394</f>
        <v/>
      </c>
      <c r="B401" s="98">
        <f>'Runs Z score'!B394</f>
        <v/>
      </c>
      <c r="C401" s="98">
        <f>'Runs Z score'!C394</f>
        <v/>
      </c>
      <c r="D401" s="98">
        <f>'Runs Z score'!D394</f>
        <v/>
      </c>
      <c r="E401" s="98">
        <f>'Runs Z score'!E394</f>
        <v/>
      </c>
      <c r="F401" s="98">
        <f>'Runs Z score'!F394</f>
        <v/>
      </c>
      <c r="G401" s="99">
        <f>'Runs Z score'!G394</f>
        <v/>
      </c>
      <c r="H401" s="100">
        <f>VLOOKUP(C401,Recipes!$A$2:$N$4,10,FALSE())</f>
        <v/>
      </c>
      <c r="I401" s="101">
        <f>VLOOKUP(C401,Recipes!$A$2:$N$4,12,FALSE())</f>
        <v/>
      </c>
      <c r="J401" s="100">
        <f>IF(G401="","",H401-G401)</f>
        <v/>
      </c>
      <c r="K401" s="100">
        <f>IF(G401="","",-0.5*((J401-Components!$D$2)/Components!$E$2)^2)</f>
        <v/>
      </c>
      <c r="L401" s="100">
        <f>IF(G401="","",-0.5*((J401-Components!$D$3)/Components!$E$3)^2)</f>
        <v/>
      </c>
      <c r="M401" s="100">
        <f>IF(G401="","",-0.5*((J401-Components!$D$4)/Components!$E$4)^2)</f>
        <v/>
      </c>
      <c r="N401" s="100">
        <f>IF(G401="","",-0.5*((J401-Components!$D$5)/Components!$E$5)^2)</f>
        <v/>
      </c>
      <c r="O401" s="100">
        <f>IF(G401="","",-0.5*((J401-Components!$D$6)/Components!$E$6)^2)</f>
        <v/>
      </c>
      <c r="P401" s="100">
        <f>IF(G401="","",-0.5*((J401-Components!$D$7)/Components!$E$7)^2)</f>
        <v/>
      </c>
      <c r="Q401" s="100">
        <f>IF(G401="","",EXP(LARGE(K401:P401,1)-MAX(K401:P401))/(EXP(K401-MAX(K401:P401))+EXP(L401-MAX(K401:P401))+EXP(M401-MAX(K401:P401))+EXP(N401-MAX(K401:P401))+EXP(O401-MAX(K401:P401))+EXP(P401-MAX(K401:P401))))</f>
        <v/>
      </c>
      <c r="R401" s="100">
        <f>IF(G401="","",EXP(LARGE(K401:P401,2)-MAX(K401:P401))/(EXP(K401-MAX(K401:P401))+EXP(L401-MAX(K401:P401))+EXP(M401-MAX(K401:P401))+EXP(N401-MAX(K401:P401))+EXP(O401-MAX(K401:P401))+EXP(P401-MAX(K401:P401))))</f>
        <v/>
      </c>
      <c r="S401" s="100">
        <f>IF(G401="","",Q401-R401)</f>
        <v/>
      </c>
      <c r="T401" s="98">
        <f>IF(G401="","",IF(AND(G401&gt;=H401-$B$6*I401,G401&lt;=H401+$B$6*I401),"OK","NG"))</f>
        <v/>
      </c>
      <c r="U401" s="69">
        <f>IF(T401="","",IF(T401=D401,1,0))</f>
        <v/>
      </c>
      <c r="V401" s="98">
        <f>IF(G401="","",IF(T401="OK","NONE",INDEX({"S1","S2","W1","W2","N1","N2"},MATCH(MAX(K401:P401),K401:P401,0))))</f>
        <v/>
      </c>
      <c r="W401" s="69">
        <f>IF(G401="","",IF(V401=E401,1,0))</f>
        <v/>
      </c>
      <c r="X401" s="115">
        <f>IF(G401="","",IF(AND(T401="NG",S401&lt;$B$7),"AMBIGUOUS","CONFIDENT"))</f>
        <v/>
      </c>
    </row>
    <row r="402">
      <c r="A402" s="102">
        <f>'Runs Z score'!A395</f>
        <v/>
      </c>
      <c r="B402" s="98">
        <f>'Runs Z score'!B395</f>
        <v/>
      </c>
      <c r="C402" s="98">
        <f>'Runs Z score'!C395</f>
        <v/>
      </c>
      <c r="D402" s="98">
        <f>'Runs Z score'!D395</f>
        <v/>
      </c>
      <c r="E402" s="98">
        <f>'Runs Z score'!E395</f>
        <v/>
      </c>
      <c r="F402" s="98">
        <f>'Runs Z score'!F395</f>
        <v/>
      </c>
      <c r="G402" s="99">
        <f>'Runs Z score'!G395</f>
        <v/>
      </c>
      <c r="H402" s="100">
        <f>VLOOKUP(C402,Recipes!$A$2:$N$4,10,FALSE())</f>
        <v/>
      </c>
      <c r="I402" s="101">
        <f>VLOOKUP(C402,Recipes!$A$2:$N$4,12,FALSE())</f>
        <v/>
      </c>
      <c r="J402" s="100">
        <f>IF(G402="","",H402-G402)</f>
        <v/>
      </c>
      <c r="K402" s="100">
        <f>IF(G402="","",-0.5*((J402-Components!$D$2)/Components!$E$2)^2)</f>
        <v/>
      </c>
      <c r="L402" s="100">
        <f>IF(G402="","",-0.5*((J402-Components!$D$3)/Components!$E$3)^2)</f>
        <v/>
      </c>
      <c r="M402" s="100">
        <f>IF(G402="","",-0.5*((J402-Components!$D$4)/Components!$E$4)^2)</f>
        <v/>
      </c>
      <c r="N402" s="100">
        <f>IF(G402="","",-0.5*((J402-Components!$D$5)/Components!$E$5)^2)</f>
        <v/>
      </c>
      <c r="O402" s="100">
        <f>IF(G402="","",-0.5*((J402-Components!$D$6)/Components!$E$6)^2)</f>
        <v/>
      </c>
      <c r="P402" s="100">
        <f>IF(G402="","",-0.5*((J402-Components!$D$7)/Components!$E$7)^2)</f>
        <v/>
      </c>
      <c r="Q402" s="100">
        <f>IF(G402="","",EXP(LARGE(K402:P402,1)-MAX(K402:P402))/(EXP(K402-MAX(K402:P402))+EXP(L402-MAX(K402:P402))+EXP(M402-MAX(K402:P402))+EXP(N402-MAX(K402:P402))+EXP(O402-MAX(K402:P402))+EXP(P402-MAX(K402:P402))))</f>
        <v/>
      </c>
      <c r="R402" s="100">
        <f>IF(G402="","",EXP(LARGE(K402:P402,2)-MAX(K402:P402))/(EXP(K402-MAX(K402:P402))+EXP(L402-MAX(K402:P402))+EXP(M402-MAX(K402:P402))+EXP(N402-MAX(K402:P402))+EXP(O402-MAX(K402:P402))+EXP(P402-MAX(K402:P402))))</f>
        <v/>
      </c>
      <c r="S402" s="100">
        <f>IF(G402="","",Q402-R402)</f>
        <v/>
      </c>
      <c r="T402" s="98">
        <f>IF(G402="","",IF(AND(G402&gt;=H402-$B$6*I402,G402&lt;=H402+$B$6*I402),"OK","NG"))</f>
        <v/>
      </c>
      <c r="U402" s="69">
        <f>IF(T402="","",IF(T402=D402,1,0))</f>
        <v/>
      </c>
      <c r="V402" s="98">
        <f>IF(G402="","",IF(T402="OK","NONE",INDEX({"S1","S2","W1","W2","N1","N2"},MATCH(MAX(K402:P402),K402:P402,0))))</f>
        <v/>
      </c>
      <c r="W402" s="69">
        <f>IF(G402="","",IF(V402=E402,1,0))</f>
        <v/>
      </c>
      <c r="X402" s="115">
        <f>IF(G402="","",IF(AND(T402="NG",S402&lt;$B$7),"AMBIGUOUS","CONFIDENT"))</f>
        <v/>
      </c>
    </row>
    <row r="403">
      <c r="A403" s="102">
        <f>'Runs Z score'!A396</f>
        <v/>
      </c>
      <c r="B403" s="98">
        <f>'Runs Z score'!B396</f>
        <v/>
      </c>
      <c r="C403" s="98">
        <f>'Runs Z score'!C396</f>
        <v/>
      </c>
      <c r="D403" s="98">
        <f>'Runs Z score'!D396</f>
        <v/>
      </c>
      <c r="E403" s="98">
        <f>'Runs Z score'!E396</f>
        <v/>
      </c>
      <c r="F403" s="98">
        <f>'Runs Z score'!F396</f>
        <v/>
      </c>
      <c r="G403" s="99">
        <f>'Runs Z score'!G396</f>
        <v/>
      </c>
      <c r="H403" s="100">
        <f>VLOOKUP(C403,Recipes!$A$2:$N$4,10,FALSE())</f>
        <v/>
      </c>
      <c r="I403" s="101">
        <f>VLOOKUP(C403,Recipes!$A$2:$N$4,12,FALSE())</f>
        <v/>
      </c>
      <c r="J403" s="100">
        <f>IF(G403="","",H403-G403)</f>
        <v/>
      </c>
      <c r="K403" s="100">
        <f>IF(G403="","",-0.5*((J403-Components!$D$2)/Components!$E$2)^2)</f>
        <v/>
      </c>
      <c r="L403" s="100">
        <f>IF(G403="","",-0.5*((J403-Components!$D$3)/Components!$E$3)^2)</f>
        <v/>
      </c>
      <c r="M403" s="100">
        <f>IF(G403="","",-0.5*((J403-Components!$D$4)/Components!$E$4)^2)</f>
        <v/>
      </c>
      <c r="N403" s="100">
        <f>IF(G403="","",-0.5*((J403-Components!$D$5)/Components!$E$5)^2)</f>
        <v/>
      </c>
      <c r="O403" s="100">
        <f>IF(G403="","",-0.5*((J403-Components!$D$6)/Components!$E$6)^2)</f>
        <v/>
      </c>
      <c r="P403" s="100">
        <f>IF(G403="","",-0.5*((J403-Components!$D$7)/Components!$E$7)^2)</f>
        <v/>
      </c>
      <c r="Q403" s="100">
        <f>IF(G403="","",EXP(LARGE(K403:P403,1)-MAX(K403:P403))/(EXP(K403-MAX(K403:P403))+EXP(L403-MAX(K403:P403))+EXP(M403-MAX(K403:P403))+EXP(N403-MAX(K403:P403))+EXP(O403-MAX(K403:P403))+EXP(P403-MAX(K403:P403))))</f>
        <v/>
      </c>
      <c r="R403" s="100">
        <f>IF(G403="","",EXP(LARGE(K403:P403,2)-MAX(K403:P403))/(EXP(K403-MAX(K403:P403))+EXP(L403-MAX(K403:P403))+EXP(M403-MAX(K403:P403))+EXP(N403-MAX(K403:P403))+EXP(O403-MAX(K403:P403))+EXP(P403-MAX(K403:P403))))</f>
        <v/>
      </c>
      <c r="S403" s="100">
        <f>IF(G403="","",Q403-R403)</f>
        <v/>
      </c>
      <c r="T403" s="98">
        <f>IF(G403="","",IF(AND(G403&gt;=H403-$B$6*I403,G403&lt;=H403+$B$6*I403),"OK","NG"))</f>
        <v/>
      </c>
      <c r="U403" s="69">
        <f>IF(T403="","",IF(T403=D403,1,0))</f>
        <v/>
      </c>
      <c r="V403" s="98">
        <f>IF(G403="","",IF(T403="OK","NONE",INDEX({"S1","S2","W1","W2","N1","N2"},MATCH(MAX(K403:P403),K403:P403,0))))</f>
        <v/>
      </c>
      <c r="W403" s="69">
        <f>IF(G403="","",IF(V403=E403,1,0))</f>
        <v/>
      </c>
      <c r="X403" s="115">
        <f>IF(G403="","",IF(AND(T403="NG",S403&lt;$B$7),"AMBIGUOUS","CONFIDENT"))</f>
        <v/>
      </c>
    </row>
    <row r="404">
      <c r="A404" s="102">
        <f>'Runs Z score'!A397</f>
        <v/>
      </c>
      <c r="B404" s="98">
        <f>'Runs Z score'!B397</f>
        <v/>
      </c>
      <c r="C404" s="98">
        <f>'Runs Z score'!C397</f>
        <v/>
      </c>
      <c r="D404" s="98">
        <f>'Runs Z score'!D397</f>
        <v/>
      </c>
      <c r="E404" s="98">
        <f>'Runs Z score'!E397</f>
        <v/>
      </c>
      <c r="F404" s="98">
        <f>'Runs Z score'!F397</f>
        <v/>
      </c>
      <c r="G404" s="99">
        <f>'Runs Z score'!G397</f>
        <v/>
      </c>
      <c r="H404" s="100">
        <f>VLOOKUP(C404,Recipes!$A$2:$N$4,10,FALSE())</f>
        <v/>
      </c>
      <c r="I404" s="101">
        <f>VLOOKUP(C404,Recipes!$A$2:$N$4,12,FALSE())</f>
        <v/>
      </c>
      <c r="J404" s="100">
        <f>IF(G404="","",H404-G404)</f>
        <v/>
      </c>
      <c r="K404" s="100">
        <f>IF(G404="","",-0.5*((J404-Components!$D$2)/Components!$E$2)^2)</f>
        <v/>
      </c>
      <c r="L404" s="100">
        <f>IF(G404="","",-0.5*((J404-Components!$D$3)/Components!$E$3)^2)</f>
        <v/>
      </c>
      <c r="M404" s="100">
        <f>IF(G404="","",-0.5*((J404-Components!$D$4)/Components!$E$4)^2)</f>
        <v/>
      </c>
      <c r="N404" s="100">
        <f>IF(G404="","",-0.5*((J404-Components!$D$5)/Components!$E$5)^2)</f>
        <v/>
      </c>
      <c r="O404" s="100">
        <f>IF(G404="","",-0.5*((J404-Components!$D$6)/Components!$E$6)^2)</f>
        <v/>
      </c>
      <c r="P404" s="100">
        <f>IF(G404="","",-0.5*((J404-Components!$D$7)/Components!$E$7)^2)</f>
        <v/>
      </c>
      <c r="Q404" s="100">
        <f>IF(G404="","",EXP(LARGE(K404:P404,1)-MAX(K404:P404))/(EXP(K404-MAX(K404:P404))+EXP(L404-MAX(K404:P404))+EXP(M404-MAX(K404:P404))+EXP(N404-MAX(K404:P404))+EXP(O404-MAX(K404:P404))+EXP(P404-MAX(K404:P404))))</f>
        <v/>
      </c>
      <c r="R404" s="100">
        <f>IF(G404="","",EXP(LARGE(K404:P404,2)-MAX(K404:P404))/(EXP(K404-MAX(K404:P404))+EXP(L404-MAX(K404:P404))+EXP(M404-MAX(K404:P404))+EXP(N404-MAX(K404:P404))+EXP(O404-MAX(K404:P404))+EXP(P404-MAX(K404:P404))))</f>
        <v/>
      </c>
      <c r="S404" s="100">
        <f>IF(G404="","",Q404-R404)</f>
        <v/>
      </c>
      <c r="T404" s="98">
        <f>IF(G404="","",IF(AND(G404&gt;=H404-$B$6*I404,G404&lt;=H404+$B$6*I404),"OK","NG"))</f>
        <v/>
      </c>
      <c r="U404" s="69">
        <f>IF(T404="","",IF(T404=D404,1,0))</f>
        <v/>
      </c>
      <c r="V404" s="98">
        <f>IF(G404="","",IF(T404="OK","NONE",INDEX({"S1","S2","W1","W2","N1","N2"},MATCH(MAX(K404:P404),K404:P404,0))))</f>
        <v/>
      </c>
      <c r="W404" s="69">
        <f>IF(G404="","",IF(V404=E404,1,0))</f>
        <v/>
      </c>
      <c r="X404" s="115">
        <f>IF(G404="","",IF(AND(T404="NG",S404&lt;$B$7),"AMBIGUOUS","CONFIDENT"))</f>
        <v/>
      </c>
    </row>
    <row r="405">
      <c r="A405" s="102">
        <f>'Runs Z score'!A398</f>
        <v/>
      </c>
      <c r="B405" s="98">
        <f>'Runs Z score'!B398</f>
        <v/>
      </c>
      <c r="C405" s="98">
        <f>'Runs Z score'!C398</f>
        <v/>
      </c>
      <c r="D405" s="98">
        <f>'Runs Z score'!D398</f>
        <v/>
      </c>
      <c r="E405" s="98">
        <f>'Runs Z score'!E398</f>
        <v/>
      </c>
      <c r="F405" s="98">
        <f>'Runs Z score'!F398</f>
        <v/>
      </c>
      <c r="G405" s="99">
        <f>'Runs Z score'!G398</f>
        <v/>
      </c>
      <c r="H405" s="100">
        <f>VLOOKUP(C405,Recipes!$A$2:$N$4,10,FALSE())</f>
        <v/>
      </c>
      <c r="I405" s="101">
        <f>VLOOKUP(C405,Recipes!$A$2:$N$4,12,FALSE())</f>
        <v/>
      </c>
      <c r="J405" s="100">
        <f>IF(G405="","",H405-G405)</f>
        <v/>
      </c>
      <c r="K405" s="100">
        <f>IF(G405="","",-0.5*((J405-Components!$D$2)/Components!$E$2)^2)</f>
        <v/>
      </c>
      <c r="L405" s="100">
        <f>IF(G405="","",-0.5*((J405-Components!$D$3)/Components!$E$3)^2)</f>
        <v/>
      </c>
      <c r="M405" s="100">
        <f>IF(G405="","",-0.5*((J405-Components!$D$4)/Components!$E$4)^2)</f>
        <v/>
      </c>
      <c r="N405" s="100">
        <f>IF(G405="","",-0.5*((J405-Components!$D$5)/Components!$E$5)^2)</f>
        <v/>
      </c>
      <c r="O405" s="100">
        <f>IF(G405="","",-0.5*((J405-Components!$D$6)/Components!$E$6)^2)</f>
        <v/>
      </c>
      <c r="P405" s="100">
        <f>IF(G405="","",-0.5*((J405-Components!$D$7)/Components!$E$7)^2)</f>
        <v/>
      </c>
      <c r="Q405" s="100">
        <f>IF(G405="","",EXP(LARGE(K405:P405,1)-MAX(K405:P405))/(EXP(K405-MAX(K405:P405))+EXP(L405-MAX(K405:P405))+EXP(M405-MAX(K405:P405))+EXP(N405-MAX(K405:P405))+EXP(O405-MAX(K405:P405))+EXP(P405-MAX(K405:P405))))</f>
        <v/>
      </c>
      <c r="R405" s="100">
        <f>IF(G405="","",EXP(LARGE(K405:P405,2)-MAX(K405:P405))/(EXP(K405-MAX(K405:P405))+EXP(L405-MAX(K405:P405))+EXP(M405-MAX(K405:P405))+EXP(N405-MAX(K405:P405))+EXP(O405-MAX(K405:P405))+EXP(P405-MAX(K405:P405))))</f>
        <v/>
      </c>
      <c r="S405" s="100">
        <f>IF(G405="","",Q405-R405)</f>
        <v/>
      </c>
      <c r="T405" s="98">
        <f>IF(G405="","",IF(AND(G405&gt;=H405-$B$6*I405,G405&lt;=H405+$B$6*I405),"OK","NG"))</f>
        <v/>
      </c>
      <c r="U405" s="69">
        <f>IF(T405="","",IF(T405=D405,1,0))</f>
        <v/>
      </c>
      <c r="V405" s="98">
        <f>IF(G405="","",IF(T405="OK","NONE",INDEX({"S1","S2","W1","W2","N1","N2"},MATCH(MAX(K405:P405),K405:P405,0))))</f>
        <v/>
      </c>
      <c r="W405" s="69">
        <f>IF(G405="","",IF(V405=E405,1,0))</f>
        <v/>
      </c>
      <c r="X405" s="115">
        <f>IF(G405="","",IF(AND(T405="NG",S405&lt;$B$7),"AMBIGUOUS","CONFIDENT"))</f>
        <v/>
      </c>
    </row>
    <row r="406">
      <c r="A406" s="102">
        <f>'Runs Z score'!A399</f>
        <v/>
      </c>
      <c r="B406" s="98">
        <f>'Runs Z score'!B399</f>
        <v/>
      </c>
      <c r="C406" s="98">
        <f>'Runs Z score'!C399</f>
        <v/>
      </c>
      <c r="D406" s="98">
        <f>'Runs Z score'!D399</f>
        <v/>
      </c>
      <c r="E406" s="98">
        <f>'Runs Z score'!E399</f>
        <v/>
      </c>
      <c r="F406" s="98">
        <f>'Runs Z score'!F399</f>
        <v/>
      </c>
      <c r="G406" s="99">
        <f>'Runs Z score'!G399</f>
        <v/>
      </c>
      <c r="H406" s="100">
        <f>VLOOKUP(C406,Recipes!$A$2:$N$4,10,FALSE())</f>
        <v/>
      </c>
      <c r="I406" s="101">
        <f>VLOOKUP(C406,Recipes!$A$2:$N$4,12,FALSE())</f>
        <v/>
      </c>
      <c r="J406" s="100">
        <f>IF(G406="","",H406-G406)</f>
        <v/>
      </c>
      <c r="K406" s="100">
        <f>IF(G406="","",-0.5*((J406-Components!$D$2)/Components!$E$2)^2)</f>
        <v/>
      </c>
      <c r="L406" s="100">
        <f>IF(G406="","",-0.5*((J406-Components!$D$3)/Components!$E$3)^2)</f>
        <v/>
      </c>
      <c r="M406" s="100">
        <f>IF(G406="","",-0.5*((J406-Components!$D$4)/Components!$E$4)^2)</f>
        <v/>
      </c>
      <c r="N406" s="100">
        <f>IF(G406="","",-0.5*((J406-Components!$D$5)/Components!$E$5)^2)</f>
        <v/>
      </c>
      <c r="O406" s="100">
        <f>IF(G406="","",-0.5*((J406-Components!$D$6)/Components!$E$6)^2)</f>
        <v/>
      </c>
      <c r="P406" s="100">
        <f>IF(G406="","",-0.5*((J406-Components!$D$7)/Components!$E$7)^2)</f>
        <v/>
      </c>
      <c r="Q406" s="100">
        <f>IF(G406="","",EXP(LARGE(K406:P406,1)-MAX(K406:P406))/(EXP(K406-MAX(K406:P406))+EXP(L406-MAX(K406:P406))+EXP(M406-MAX(K406:P406))+EXP(N406-MAX(K406:P406))+EXP(O406-MAX(K406:P406))+EXP(P406-MAX(K406:P406))))</f>
        <v/>
      </c>
      <c r="R406" s="100">
        <f>IF(G406="","",EXP(LARGE(K406:P406,2)-MAX(K406:P406))/(EXP(K406-MAX(K406:P406))+EXP(L406-MAX(K406:P406))+EXP(M406-MAX(K406:P406))+EXP(N406-MAX(K406:P406))+EXP(O406-MAX(K406:P406))+EXP(P406-MAX(K406:P406))))</f>
        <v/>
      </c>
      <c r="S406" s="100">
        <f>IF(G406="","",Q406-R406)</f>
        <v/>
      </c>
      <c r="T406" s="98">
        <f>IF(G406="","",IF(AND(G406&gt;=H406-$B$6*I406,G406&lt;=H406+$B$6*I406),"OK","NG"))</f>
        <v/>
      </c>
      <c r="U406" s="69">
        <f>IF(T406="","",IF(T406=D406,1,0))</f>
        <v/>
      </c>
      <c r="V406" s="98">
        <f>IF(G406="","",IF(T406="OK","NONE",INDEX({"S1","S2","W1","W2","N1","N2"},MATCH(MAX(K406:P406),K406:P406,0))))</f>
        <v/>
      </c>
      <c r="W406" s="69">
        <f>IF(G406="","",IF(V406=E406,1,0))</f>
        <v/>
      </c>
      <c r="X406" s="115">
        <f>IF(G406="","",IF(AND(T406="NG",S406&lt;$B$7),"AMBIGUOUS","CONFIDENT"))</f>
        <v/>
      </c>
    </row>
    <row r="407">
      <c r="A407" s="102">
        <f>'Runs Z score'!A400</f>
        <v/>
      </c>
      <c r="B407" s="98">
        <f>'Runs Z score'!B400</f>
        <v/>
      </c>
      <c r="C407" s="98">
        <f>'Runs Z score'!C400</f>
        <v/>
      </c>
      <c r="D407" s="98">
        <f>'Runs Z score'!D400</f>
        <v/>
      </c>
      <c r="E407" s="98">
        <f>'Runs Z score'!E400</f>
        <v/>
      </c>
      <c r="F407" s="98">
        <f>'Runs Z score'!F400</f>
        <v/>
      </c>
      <c r="G407" s="99">
        <f>'Runs Z score'!G400</f>
        <v/>
      </c>
      <c r="H407" s="100">
        <f>VLOOKUP(C407,Recipes!$A$2:$N$4,10,FALSE())</f>
        <v/>
      </c>
      <c r="I407" s="101">
        <f>VLOOKUP(C407,Recipes!$A$2:$N$4,12,FALSE())</f>
        <v/>
      </c>
      <c r="J407" s="100">
        <f>IF(G407="","",H407-G407)</f>
        <v/>
      </c>
      <c r="K407" s="100">
        <f>IF(G407="","",-0.5*((J407-Components!$D$2)/Components!$E$2)^2)</f>
        <v/>
      </c>
      <c r="L407" s="100">
        <f>IF(G407="","",-0.5*((J407-Components!$D$3)/Components!$E$3)^2)</f>
        <v/>
      </c>
      <c r="M407" s="100">
        <f>IF(G407="","",-0.5*((J407-Components!$D$4)/Components!$E$4)^2)</f>
        <v/>
      </c>
      <c r="N407" s="100">
        <f>IF(G407="","",-0.5*((J407-Components!$D$5)/Components!$E$5)^2)</f>
        <v/>
      </c>
      <c r="O407" s="100">
        <f>IF(G407="","",-0.5*((J407-Components!$D$6)/Components!$E$6)^2)</f>
        <v/>
      </c>
      <c r="P407" s="100">
        <f>IF(G407="","",-0.5*((J407-Components!$D$7)/Components!$E$7)^2)</f>
        <v/>
      </c>
      <c r="Q407" s="100">
        <f>IF(G407="","",EXP(LARGE(K407:P407,1)-MAX(K407:P407))/(EXP(K407-MAX(K407:P407))+EXP(L407-MAX(K407:P407))+EXP(M407-MAX(K407:P407))+EXP(N407-MAX(K407:P407))+EXP(O407-MAX(K407:P407))+EXP(P407-MAX(K407:P407))))</f>
        <v/>
      </c>
      <c r="R407" s="100">
        <f>IF(G407="","",EXP(LARGE(K407:P407,2)-MAX(K407:P407))/(EXP(K407-MAX(K407:P407))+EXP(L407-MAX(K407:P407))+EXP(M407-MAX(K407:P407))+EXP(N407-MAX(K407:P407))+EXP(O407-MAX(K407:P407))+EXP(P407-MAX(K407:P407))))</f>
        <v/>
      </c>
      <c r="S407" s="100">
        <f>IF(G407="","",Q407-R407)</f>
        <v/>
      </c>
      <c r="T407" s="98">
        <f>IF(G407="","",IF(AND(G407&gt;=H407-$B$6*I407,G407&lt;=H407+$B$6*I407),"OK","NG"))</f>
        <v/>
      </c>
      <c r="U407" s="69">
        <f>IF(T407="","",IF(T407=D407,1,0))</f>
        <v/>
      </c>
      <c r="V407" s="98">
        <f>IF(G407="","",IF(T407="OK","NONE",INDEX({"S1","S2","W1","W2","N1","N2"},MATCH(MAX(K407:P407),K407:P407,0))))</f>
        <v/>
      </c>
      <c r="W407" s="69">
        <f>IF(G407="","",IF(V407=E407,1,0))</f>
        <v/>
      </c>
      <c r="X407" s="115">
        <f>IF(G407="","",IF(AND(T407="NG",S407&lt;$B$7),"AMBIGUOUS","CONFIDENT"))</f>
        <v/>
      </c>
    </row>
    <row r="408">
      <c r="A408" s="102">
        <f>'Runs Z score'!A401</f>
        <v/>
      </c>
      <c r="B408" s="98">
        <f>'Runs Z score'!B401</f>
        <v/>
      </c>
      <c r="C408" s="98">
        <f>'Runs Z score'!C401</f>
        <v/>
      </c>
      <c r="D408" s="98">
        <f>'Runs Z score'!D401</f>
        <v/>
      </c>
      <c r="E408" s="98">
        <f>'Runs Z score'!E401</f>
        <v/>
      </c>
      <c r="F408" s="98">
        <f>'Runs Z score'!F401</f>
        <v/>
      </c>
      <c r="G408" s="99">
        <f>'Runs Z score'!G401</f>
        <v/>
      </c>
      <c r="H408" s="100">
        <f>VLOOKUP(C408,Recipes!$A$2:$N$4,10,FALSE())</f>
        <v/>
      </c>
      <c r="I408" s="101">
        <f>VLOOKUP(C408,Recipes!$A$2:$N$4,12,FALSE())</f>
        <v/>
      </c>
      <c r="J408" s="100">
        <f>IF(G408="","",H408-G408)</f>
        <v/>
      </c>
      <c r="K408" s="100">
        <f>IF(G408="","",-0.5*((J408-Components!$D$2)/Components!$E$2)^2)</f>
        <v/>
      </c>
      <c r="L408" s="100">
        <f>IF(G408="","",-0.5*((J408-Components!$D$3)/Components!$E$3)^2)</f>
        <v/>
      </c>
      <c r="M408" s="100">
        <f>IF(G408="","",-0.5*((J408-Components!$D$4)/Components!$E$4)^2)</f>
        <v/>
      </c>
      <c r="N408" s="100">
        <f>IF(G408="","",-0.5*((J408-Components!$D$5)/Components!$E$5)^2)</f>
        <v/>
      </c>
      <c r="O408" s="100">
        <f>IF(G408="","",-0.5*((J408-Components!$D$6)/Components!$E$6)^2)</f>
        <v/>
      </c>
      <c r="P408" s="100">
        <f>IF(G408="","",-0.5*((J408-Components!$D$7)/Components!$E$7)^2)</f>
        <v/>
      </c>
      <c r="Q408" s="100">
        <f>IF(G408="","",EXP(LARGE(K408:P408,1)-MAX(K408:P408))/(EXP(K408-MAX(K408:P408))+EXP(L408-MAX(K408:P408))+EXP(M408-MAX(K408:P408))+EXP(N408-MAX(K408:P408))+EXP(O408-MAX(K408:P408))+EXP(P408-MAX(K408:P408))))</f>
        <v/>
      </c>
      <c r="R408" s="100">
        <f>IF(G408="","",EXP(LARGE(K408:P408,2)-MAX(K408:P408))/(EXP(K408-MAX(K408:P408))+EXP(L408-MAX(K408:P408))+EXP(M408-MAX(K408:P408))+EXP(N408-MAX(K408:P408))+EXP(O408-MAX(K408:P408))+EXP(P408-MAX(K408:P408))))</f>
        <v/>
      </c>
      <c r="S408" s="100">
        <f>IF(G408="","",Q408-R408)</f>
        <v/>
      </c>
      <c r="T408" s="98">
        <f>IF(G408="","",IF(AND(G408&gt;=H408-$B$6*I408,G408&lt;=H408+$B$6*I408),"OK","NG"))</f>
        <v/>
      </c>
      <c r="U408" s="69">
        <f>IF(T408="","",IF(T408=D408,1,0))</f>
        <v/>
      </c>
      <c r="V408" s="98">
        <f>IF(G408="","",IF(T408="OK","NONE",INDEX({"S1","S2","W1","W2","N1","N2"},MATCH(MAX(K408:P408),K408:P408,0))))</f>
        <v/>
      </c>
      <c r="W408" s="69">
        <f>IF(G408="","",IF(V408=E408,1,0))</f>
        <v/>
      </c>
      <c r="X408" s="115">
        <f>IF(G408="","",IF(AND(T408="NG",S408&lt;$B$7),"AMBIGUOUS","CONFIDENT"))</f>
        <v/>
      </c>
    </row>
    <row r="409">
      <c r="A409" s="102">
        <f>'Runs Z score'!A402</f>
        <v/>
      </c>
      <c r="B409" s="98">
        <f>'Runs Z score'!B402</f>
        <v/>
      </c>
      <c r="C409" s="98">
        <f>'Runs Z score'!C402</f>
        <v/>
      </c>
      <c r="D409" s="98">
        <f>'Runs Z score'!D402</f>
        <v/>
      </c>
      <c r="E409" s="98">
        <f>'Runs Z score'!E402</f>
        <v/>
      </c>
      <c r="F409" s="98">
        <f>'Runs Z score'!F402</f>
        <v/>
      </c>
      <c r="G409" s="99">
        <f>'Runs Z score'!G402</f>
        <v/>
      </c>
      <c r="H409" s="100">
        <f>VLOOKUP(C409,Recipes!$A$2:$N$4,10,FALSE())</f>
        <v/>
      </c>
      <c r="I409" s="101">
        <f>VLOOKUP(C409,Recipes!$A$2:$N$4,12,FALSE())</f>
        <v/>
      </c>
      <c r="J409" s="100">
        <f>IF(G409="","",H409-G409)</f>
        <v/>
      </c>
      <c r="K409" s="100">
        <f>IF(G409="","",-0.5*((J409-Components!$D$2)/Components!$E$2)^2)</f>
        <v/>
      </c>
      <c r="L409" s="100">
        <f>IF(G409="","",-0.5*((J409-Components!$D$3)/Components!$E$3)^2)</f>
        <v/>
      </c>
      <c r="M409" s="100">
        <f>IF(G409="","",-0.5*((J409-Components!$D$4)/Components!$E$4)^2)</f>
        <v/>
      </c>
      <c r="N409" s="100">
        <f>IF(G409="","",-0.5*((J409-Components!$D$5)/Components!$E$5)^2)</f>
        <v/>
      </c>
      <c r="O409" s="100">
        <f>IF(G409="","",-0.5*((J409-Components!$D$6)/Components!$E$6)^2)</f>
        <v/>
      </c>
      <c r="P409" s="100">
        <f>IF(G409="","",-0.5*((J409-Components!$D$7)/Components!$E$7)^2)</f>
        <v/>
      </c>
      <c r="Q409" s="100">
        <f>IF(G409="","",EXP(LARGE(K409:P409,1)-MAX(K409:P409))/(EXP(K409-MAX(K409:P409))+EXP(L409-MAX(K409:P409))+EXP(M409-MAX(K409:P409))+EXP(N409-MAX(K409:P409))+EXP(O409-MAX(K409:P409))+EXP(P409-MAX(K409:P409))))</f>
        <v/>
      </c>
      <c r="R409" s="100">
        <f>IF(G409="","",EXP(LARGE(K409:P409,2)-MAX(K409:P409))/(EXP(K409-MAX(K409:P409))+EXP(L409-MAX(K409:P409))+EXP(M409-MAX(K409:P409))+EXP(N409-MAX(K409:P409))+EXP(O409-MAX(K409:P409))+EXP(P409-MAX(K409:P409))))</f>
        <v/>
      </c>
      <c r="S409" s="100">
        <f>IF(G409="","",Q409-R409)</f>
        <v/>
      </c>
      <c r="T409" s="98">
        <f>IF(G409="","",IF(AND(G409&gt;=H409-$B$6*I409,G409&lt;=H409+$B$6*I409),"OK","NG"))</f>
        <v/>
      </c>
      <c r="U409" s="69">
        <f>IF(T409="","",IF(T409=D409,1,0))</f>
        <v/>
      </c>
      <c r="V409" s="98">
        <f>IF(G409="","",IF(T409="OK","NONE",INDEX({"S1","S2","W1","W2","N1","N2"},MATCH(MAX(K409:P409),K409:P409,0))))</f>
        <v/>
      </c>
      <c r="W409" s="69">
        <f>IF(G409="","",IF(V409=E409,1,0))</f>
        <v/>
      </c>
      <c r="X409" s="115">
        <f>IF(G409="","",IF(AND(T409="NG",S409&lt;$B$7),"AMBIGUOUS","CONFIDENT"))</f>
        <v/>
      </c>
    </row>
    <row r="410">
      <c r="A410" s="102">
        <f>'Runs Z score'!A403</f>
        <v/>
      </c>
      <c r="B410" s="98">
        <f>'Runs Z score'!B403</f>
        <v/>
      </c>
      <c r="C410" s="98">
        <f>'Runs Z score'!C403</f>
        <v/>
      </c>
      <c r="D410" s="98">
        <f>'Runs Z score'!D403</f>
        <v/>
      </c>
      <c r="E410" s="98">
        <f>'Runs Z score'!E403</f>
        <v/>
      </c>
      <c r="F410" s="98">
        <f>'Runs Z score'!F403</f>
        <v/>
      </c>
      <c r="G410" s="99">
        <f>'Runs Z score'!G403</f>
        <v/>
      </c>
      <c r="H410" s="100">
        <f>VLOOKUP(C410,Recipes!$A$2:$N$4,10,FALSE())</f>
        <v/>
      </c>
      <c r="I410" s="101">
        <f>VLOOKUP(C410,Recipes!$A$2:$N$4,12,FALSE())</f>
        <v/>
      </c>
      <c r="J410" s="100">
        <f>IF(G410="","",H410-G410)</f>
        <v/>
      </c>
      <c r="K410" s="100">
        <f>IF(G410="","",-0.5*((J410-Components!$D$2)/Components!$E$2)^2)</f>
        <v/>
      </c>
      <c r="L410" s="100">
        <f>IF(G410="","",-0.5*((J410-Components!$D$3)/Components!$E$3)^2)</f>
        <v/>
      </c>
      <c r="M410" s="100">
        <f>IF(G410="","",-0.5*((J410-Components!$D$4)/Components!$E$4)^2)</f>
        <v/>
      </c>
      <c r="N410" s="100">
        <f>IF(G410="","",-0.5*((J410-Components!$D$5)/Components!$E$5)^2)</f>
        <v/>
      </c>
      <c r="O410" s="100">
        <f>IF(G410="","",-0.5*((J410-Components!$D$6)/Components!$E$6)^2)</f>
        <v/>
      </c>
      <c r="P410" s="100">
        <f>IF(G410="","",-0.5*((J410-Components!$D$7)/Components!$E$7)^2)</f>
        <v/>
      </c>
      <c r="Q410" s="100">
        <f>IF(G410="","",EXP(LARGE(K410:P410,1)-MAX(K410:P410))/(EXP(K410-MAX(K410:P410))+EXP(L410-MAX(K410:P410))+EXP(M410-MAX(K410:P410))+EXP(N410-MAX(K410:P410))+EXP(O410-MAX(K410:P410))+EXP(P410-MAX(K410:P410))))</f>
        <v/>
      </c>
      <c r="R410" s="100">
        <f>IF(G410="","",EXP(LARGE(K410:P410,2)-MAX(K410:P410))/(EXP(K410-MAX(K410:P410))+EXP(L410-MAX(K410:P410))+EXP(M410-MAX(K410:P410))+EXP(N410-MAX(K410:P410))+EXP(O410-MAX(K410:P410))+EXP(P410-MAX(K410:P410))))</f>
        <v/>
      </c>
      <c r="S410" s="100">
        <f>IF(G410="","",Q410-R410)</f>
        <v/>
      </c>
      <c r="T410" s="98">
        <f>IF(G410="","",IF(AND(G410&gt;=H410-$B$6*I410,G410&lt;=H410+$B$6*I410),"OK","NG"))</f>
        <v/>
      </c>
      <c r="U410" s="69">
        <f>IF(T410="","",IF(T410=D410,1,0))</f>
        <v/>
      </c>
      <c r="V410" s="98">
        <f>IF(G410="","",IF(T410="OK","NONE",INDEX({"S1","S2","W1","W2","N1","N2"},MATCH(MAX(K410:P410),K410:P410,0))))</f>
        <v/>
      </c>
      <c r="W410" s="69">
        <f>IF(G410="","",IF(V410=E410,1,0))</f>
        <v/>
      </c>
      <c r="X410" s="115">
        <f>IF(G410="","",IF(AND(T410="NG",S410&lt;$B$7),"AMBIGUOUS","CONFIDENT"))</f>
        <v/>
      </c>
    </row>
    <row r="411">
      <c r="A411" s="102">
        <f>'Runs Z score'!A404</f>
        <v/>
      </c>
      <c r="B411" s="98">
        <f>'Runs Z score'!B404</f>
        <v/>
      </c>
      <c r="C411" s="98">
        <f>'Runs Z score'!C404</f>
        <v/>
      </c>
      <c r="D411" s="98">
        <f>'Runs Z score'!D404</f>
        <v/>
      </c>
      <c r="E411" s="98">
        <f>'Runs Z score'!E404</f>
        <v/>
      </c>
      <c r="F411" s="98">
        <f>'Runs Z score'!F404</f>
        <v/>
      </c>
      <c r="G411" s="99">
        <f>'Runs Z score'!G404</f>
        <v/>
      </c>
      <c r="H411" s="100">
        <f>VLOOKUP(C411,Recipes!$A$2:$N$4,10,FALSE())</f>
        <v/>
      </c>
      <c r="I411" s="101">
        <f>VLOOKUP(C411,Recipes!$A$2:$N$4,12,FALSE())</f>
        <v/>
      </c>
      <c r="J411" s="100">
        <f>IF(G411="","",H411-G411)</f>
        <v/>
      </c>
      <c r="K411" s="100">
        <f>IF(G411="","",-0.5*((J411-Components!$D$2)/Components!$E$2)^2)</f>
        <v/>
      </c>
      <c r="L411" s="100">
        <f>IF(G411="","",-0.5*((J411-Components!$D$3)/Components!$E$3)^2)</f>
        <v/>
      </c>
      <c r="M411" s="100">
        <f>IF(G411="","",-0.5*((J411-Components!$D$4)/Components!$E$4)^2)</f>
        <v/>
      </c>
      <c r="N411" s="100">
        <f>IF(G411="","",-0.5*((J411-Components!$D$5)/Components!$E$5)^2)</f>
        <v/>
      </c>
      <c r="O411" s="100">
        <f>IF(G411="","",-0.5*((J411-Components!$D$6)/Components!$E$6)^2)</f>
        <v/>
      </c>
      <c r="P411" s="100">
        <f>IF(G411="","",-0.5*((J411-Components!$D$7)/Components!$E$7)^2)</f>
        <v/>
      </c>
      <c r="Q411" s="100">
        <f>IF(G411="","",EXP(LARGE(K411:P411,1)-MAX(K411:P411))/(EXP(K411-MAX(K411:P411))+EXP(L411-MAX(K411:P411))+EXP(M411-MAX(K411:P411))+EXP(N411-MAX(K411:P411))+EXP(O411-MAX(K411:P411))+EXP(P411-MAX(K411:P411))))</f>
        <v/>
      </c>
      <c r="R411" s="100">
        <f>IF(G411="","",EXP(LARGE(K411:P411,2)-MAX(K411:P411))/(EXP(K411-MAX(K411:P411))+EXP(L411-MAX(K411:P411))+EXP(M411-MAX(K411:P411))+EXP(N411-MAX(K411:P411))+EXP(O411-MAX(K411:P411))+EXP(P411-MAX(K411:P411))))</f>
        <v/>
      </c>
      <c r="S411" s="100">
        <f>IF(G411="","",Q411-R411)</f>
        <v/>
      </c>
      <c r="T411" s="98">
        <f>IF(G411="","",IF(AND(G411&gt;=H411-$B$6*I411,G411&lt;=H411+$B$6*I411),"OK","NG"))</f>
        <v/>
      </c>
      <c r="U411" s="69">
        <f>IF(T411="","",IF(T411=D411,1,0))</f>
        <v/>
      </c>
      <c r="V411" s="98">
        <f>IF(G411="","",IF(T411="OK","NONE",INDEX({"S1","S2","W1","W2","N1","N2"},MATCH(MAX(K411:P411),K411:P411,0))))</f>
        <v/>
      </c>
      <c r="W411" s="69">
        <f>IF(G411="","",IF(V411=E411,1,0))</f>
        <v/>
      </c>
      <c r="X411" s="115">
        <f>IF(G411="","",IF(AND(T411="NG",S411&lt;$B$7),"AMBIGUOUS","CONFIDENT"))</f>
        <v/>
      </c>
    </row>
    <row r="412">
      <c r="A412" s="102">
        <f>'Runs Z score'!A405</f>
        <v/>
      </c>
      <c r="B412" s="98">
        <f>'Runs Z score'!B405</f>
        <v/>
      </c>
      <c r="C412" s="98">
        <f>'Runs Z score'!C405</f>
        <v/>
      </c>
      <c r="D412" s="98">
        <f>'Runs Z score'!D405</f>
        <v/>
      </c>
      <c r="E412" s="98">
        <f>'Runs Z score'!E405</f>
        <v/>
      </c>
      <c r="F412" s="98">
        <f>'Runs Z score'!F405</f>
        <v/>
      </c>
      <c r="G412" s="99">
        <f>'Runs Z score'!G405</f>
        <v/>
      </c>
      <c r="H412" s="100">
        <f>VLOOKUP(C412,Recipes!$A$2:$N$4,10,FALSE())</f>
        <v/>
      </c>
      <c r="I412" s="101">
        <f>VLOOKUP(C412,Recipes!$A$2:$N$4,12,FALSE())</f>
        <v/>
      </c>
      <c r="J412" s="100">
        <f>IF(G412="","",H412-G412)</f>
        <v/>
      </c>
      <c r="K412" s="100">
        <f>IF(G412="","",-0.5*((J412-Components!$D$2)/Components!$E$2)^2)</f>
        <v/>
      </c>
      <c r="L412" s="100">
        <f>IF(G412="","",-0.5*((J412-Components!$D$3)/Components!$E$3)^2)</f>
        <v/>
      </c>
      <c r="M412" s="100">
        <f>IF(G412="","",-0.5*((J412-Components!$D$4)/Components!$E$4)^2)</f>
        <v/>
      </c>
      <c r="N412" s="100">
        <f>IF(G412="","",-0.5*((J412-Components!$D$5)/Components!$E$5)^2)</f>
        <v/>
      </c>
      <c r="O412" s="100">
        <f>IF(G412="","",-0.5*((J412-Components!$D$6)/Components!$E$6)^2)</f>
        <v/>
      </c>
      <c r="P412" s="100">
        <f>IF(G412="","",-0.5*((J412-Components!$D$7)/Components!$E$7)^2)</f>
        <v/>
      </c>
      <c r="Q412" s="100">
        <f>IF(G412="","",EXP(LARGE(K412:P412,1)-MAX(K412:P412))/(EXP(K412-MAX(K412:P412))+EXP(L412-MAX(K412:P412))+EXP(M412-MAX(K412:P412))+EXP(N412-MAX(K412:P412))+EXP(O412-MAX(K412:P412))+EXP(P412-MAX(K412:P412))))</f>
        <v/>
      </c>
      <c r="R412" s="100">
        <f>IF(G412="","",EXP(LARGE(K412:P412,2)-MAX(K412:P412))/(EXP(K412-MAX(K412:P412))+EXP(L412-MAX(K412:P412))+EXP(M412-MAX(K412:P412))+EXP(N412-MAX(K412:P412))+EXP(O412-MAX(K412:P412))+EXP(P412-MAX(K412:P412))))</f>
        <v/>
      </c>
      <c r="S412" s="100">
        <f>IF(G412="","",Q412-R412)</f>
        <v/>
      </c>
      <c r="T412" s="98">
        <f>IF(G412="","",IF(AND(G412&gt;=H412-$B$6*I412,G412&lt;=H412+$B$6*I412),"OK","NG"))</f>
        <v/>
      </c>
      <c r="U412" s="69">
        <f>IF(T412="","",IF(T412=D412,1,0))</f>
        <v/>
      </c>
      <c r="V412" s="98">
        <f>IF(G412="","",IF(T412="OK","NONE",INDEX({"S1","S2","W1","W2","N1","N2"},MATCH(MAX(K412:P412),K412:P412,0))))</f>
        <v/>
      </c>
      <c r="W412" s="69">
        <f>IF(G412="","",IF(V412=E412,1,0))</f>
        <v/>
      </c>
      <c r="X412" s="115">
        <f>IF(G412="","",IF(AND(T412="NG",S412&lt;$B$7),"AMBIGUOUS","CONFIDENT"))</f>
        <v/>
      </c>
    </row>
    <row r="413">
      <c r="A413" s="102">
        <f>'Runs Z score'!A406</f>
        <v/>
      </c>
      <c r="B413" s="98">
        <f>'Runs Z score'!B406</f>
        <v/>
      </c>
      <c r="C413" s="98">
        <f>'Runs Z score'!C406</f>
        <v/>
      </c>
      <c r="D413" s="98">
        <f>'Runs Z score'!D406</f>
        <v/>
      </c>
      <c r="E413" s="98">
        <f>'Runs Z score'!E406</f>
        <v/>
      </c>
      <c r="F413" s="98">
        <f>'Runs Z score'!F406</f>
        <v/>
      </c>
      <c r="G413" s="99">
        <f>'Runs Z score'!G406</f>
        <v/>
      </c>
      <c r="H413" s="100">
        <f>VLOOKUP(C413,Recipes!$A$2:$N$4,10,FALSE())</f>
        <v/>
      </c>
      <c r="I413" s="101">
        <f>VLOOKUP(C413,Recipes!$A$2:$N$4,12,FALSE())</f>
        <v/>
      </c>
      <c r="J413" s="100">
        <f>IF(G413="","",H413-G413)</f>
        <v/>
      </c>
      <c r="K413" s="100">
        <f>IF(G413="","",-0.5*((J413-Components!$D$2)/Components!$E$2)^2)</f>
        <v/>
      </c>
      <c r="L413" s="100">
        <f>IF(G413="","",-0.5*((J413-Components!$D$3)/Components!$E$3)^2)</f>
        <v/>
      </c>
      <c r="M413" s="100">
        <f>IF(G413="","",-0.5*((J413-Components!$D$4)/Components!$E$4)^2)</f>
        <v/>
      </c>
      <c r="N413" s="100">
        <f>IF(G413="","",-0.5*((J413-Components!$D$5)/Components!$E$5)^2)</f>
        <v/>
      </c>
      <c r="O413" s="100">
        <f>IF(G413="","",-0.5*((J413-Components!$D$6)/Components!$E$6)^2)</f>
        <v/>
      </c>
      <c r="P413" s="100">
        <f>IF(G413="","",-0.5*((J413-Components!$D$7)/Components!$E$7)^2)</f>
        <v/>
      </c>
      <c r="Q413" s="100">
        <f>IF(G413="","",EXP(LARGE(K413:P413,1)-MAX(K413:P413))/(EXP(K413-MAX(K413:P413))+EXP(L413-MAX(K413:P413))+EXP(M413-MAX(K413:P413))+EXP(N413-MAX(K413:P413))+EXP(O413-MAX(K413:P413))+EXP(P413-MAX(K413:P413))))</f>
        <v/>
      </c>
      <c r="R413" s="100">
        <f>IF(G413="","",EXP(LARGE(K413:P413,2)-MAX(K413:P413))/(EXP(K413-MAX(K413:P413))+EXP(L413-MAX(K413:P413))+EXP(M413-MAX(K413:P413))+EXP(N413-MAX(K413:P413))+EXP(O413-MAX(K413:P413))+EXP(P413-MAX(K413:P413))))</f>
        <v/>
      </c>
      <c r="S413" s="100">
        <f>IF(G413="","",Q413-R413)</f>
        <v/>
      </c>
      <c r="T413" s="98">
        <f>IF(G413="","",IF(AND(G413&gt;=H413-$B$6*I413,G413&lt;=H413+$B$6*I413),"OK","NG"))</f>
        <v/>
      </c>
      <c r="U413" s="69">
        <f>IF(T413="","",IF(T413=D413,1,0))</f>
        <v/>
      </c>
      <c r="V413" s="98">
        <f>IF(G413="","",IF(T413="OK","NONE",INDEX({"S1","S2","W1","W2","N1","N2"},MATCH(MAX(K413:P413),K413:P413,0))))</f>
        <v/>
      </c>
      <c r="W413" s="71">
        <f>IF(G413="","",IF(V413=E413,1,0))</f>
        <v/>
      </c>
      <c r="X413" s="115">
        <f>IF(G413="","",IF(AND(T413="NG",S413&lt;$B$7),"AMBIGUOUS","CONFIDENT"))</f>
        <v/>
      </c>
    </row>
    <row r="414">
      <c r="A414" s="102">
        <f>'Runs Z score'!A407</f>
        <v/>
      </c>
      <c r="B414" s="98">
        <f>'Runs Z score'!B407</f>
        <v/>
      </c>
      <c r="C414" s="98">
        <f>'Runs Z score'!C407</f>
        <v/>
      </c>
      <c r="D414" s="98">
        <f>'Runs Z score'!D407</f>
        <v/>
      </c>
      <c r="E414" s="98">
        <f>'Runs Z score'!E407</f>
        <v/>
      </c>
      <c r="F414" s="98">
        <f>'Runs Z score'!F407</f>
        <v/>
      </c>
      <c r="G414" s="99">
        <f>'Runs Z score'!G407</f>
        <v/>
      </c>
      <c r="H414" s="100">
        <f>VLOOKUP(C414,Recipes!$A$2:$N$4,10,FALSE())</f>
        <v/>
      </c>
      <c r="I414" s="101">
        <f>VLOOKUP(C414,Recipes!$A$2:$N$4,12,FALSE())</f>
        <v/>
      </c>
      <c r="J414" s="100">
        <f>IF(G414="","",H414-G414)</f>
        <v/>
      </c>
      <c r="K414" s="100">
        <f>IF(G414="","",-0.5*((J414-Components!$D$2)/Components!$E$2)^2)</f>
        <v/>
      </c>
      <c r="L414" s="100">
        <f>IF(G414="","",-0.5*((J414-Components!$D$3)/Components!$E$3)^2)</f>
        <v/>
      </c>
      <c r="M414" s="100">
        <f>IF(G414="","",-0.5*((J414-Components!$D$4)/Components!$E$4)^2)</f>
        <v/>
      </c>
      <c r="N414" s="100">
        <f>IF(G414="","",-0.5*((J414-Components!$D$5)/Components!$E$5)^2)</f>
        <v/>
      </c>
      <c r="O414" s="100">
        <f>IF(G414="","",-0.5*((J414-Components!$D$6)/Components!$E$6)^2)</f>
        <v/>
      </c>
      <c r="P414" s="100">
        <f>IF(G414="","",-0.5*((J414-Components!$D$7)/Components!$E$7)^2)</f>
        <v/>
      </c>
      <c r="Q414" s="100">
        <f>IF(G414="","",EXP(LARGE(K414:P414,1)-MAX(K414:P414))/(EXP(K414-MAX(K414:P414))+EXP(L414-MAX(K414:P414))+EXP(M414-MAX(K414:P414))+EXP(N414-MAX(K414:P414))+EXP(O414-MAX(K414:P414))+EXP(P414-MAX(K414:P414))))</f>
        <v/>
      </c>
      <c r="R414" s="100">
        <f>IF(G414="","",EXP(LARGE(K414:P414,2)-MAX(K414:P414))/(EXP(K414-MAX(K414:P414))+EXP(L414-MAX(K414:P414))+EXP(M414-MAX(K414:P414))+EXP(N414-MAX(K414:P414))+EXP(O414-MAX(K414:P414))+EXP(P414-MAX(K414:P414))))</f>
        <v/>
      </c>
      <c r="S414" s="100">
        <f>IF(G414="","",Q414-R414)</f>
        <v/>
      </c>
      <c r="T414" s="98">
        <f>IF(G414="","",IF(AND(G414&gt;=H414-$B$6*I414,G414&lt;=H414+$B$6*I414),"OK","NG"))</f>
        <v/>
      </c>
      <c r="U414" s="69">
        <f>IF(T414="","",IF(T414=D414,1,0))</f>
        <v/>
      </c>
      <c r="V414" s="98">
        <f>IF(G414="","",IF(T414="OK","NONE",INDEX({"S1","S2","W1","W2","N1","N2"},MATCH(MAX(K414:P414),K414:P414,0))))</f>
        <v/>
      </c>
      <c r="W414" s="69">
        <f>IF(G414="","",IF(V414=E414,1,0))</f>
        <v/>
      </c>
      <c r="X414" s="115">
        <f>IF(G414="","",IF(AND(T414="NG",S414&lt;$B$7),"AMBIGUOUS","CONFIDENT"))</f>
        <v/>
      </c>
    </row>
    <row r="415">
      <c r="A415" s="102">
        <f>'Runs Z score'!A408</f>
        <v/>
      </c>
      <c r="B415" s="98">
        <f>'Runs Z score'!B408</f>
        <v/>
      </c>
      <c r="C415" s="98">
        <f>'Runs Z score'!C408</f>
        <v/>
      </c>
      <c r="D415" s="98">
        <f>'Runs Z score'!D408</f>
        <v/>
      </c>
      <c r="E415" s="98">
        <f>'Runs Z score'!E408</f>
        <v/>
      </c>
      <c r="F415" s="98">
        <f>'Runs Z score'!F408</f>
        <v/>
      </c>
      <c r="G415" s="99">
        <f>'Runs Z score'!G408</f>
        <v/>
      </c>
      <c r="H415" s="100">
        <f>VLOOKUP(C415,Recipes!$A$2:$N$4,10,FALSE())</f>
        <v/>
      </c>
      <c r="I415" s="101">
        <f>VLOOKUP(C415,Recipes!$A$2:$N$4,12,FALSE())</f>
        <v/>
      </c>
      <c r="J415" s="100">
        <f>IF(G415="","",H415-G415)</f>
        <v/>
      </c>
      <c r="K415" s="100">
        <f>IF(G415="","",-0.5*((J415-Components!$D$2)/Components!$E$2)^2)</f>
        <v/>
      </c>
      <c r="L415" s="100">
        <f>IF(G415="","",-0.5*((J415-Components!$D$3)/Components!$E$3)^2)</f>
        <v/>
      </c>
      <c r="M415" s="100">
        <f>IF(G415="","",-0.5*((J415-Components!$D$4)/Components!$E$4)^2)</f>
        <v/>
      </c>
      <c r="N415" s="100">
        <f>IF(G415="","",-0.5*((J415-Components!$D$5)/Components!$E$5)^2)</f>
        <v/>
      </c>
      <c r="O415" s="100">
        <f>IF(G415="","",-0.5*((J415-Components!$D$6)/Components!$E$6)^2)</f>
        <v/>
      </c>
      <c r="P415" s="100">
        <f>IF(G415="","",-0.5*((J415-Components!$D$7)/Components!$E$7)^2)</f>
        <v/>
      </c>
      <c r="Q415" s="100">
        <f>IF(G415="","",EXP(LARGE(K415:P415,1)-MAX(K415:P415))/(EXP(K415-MAX(K415:P415))+EXP(L415-MAX(K415:P415))+EXP(M415-MAX(K415:P415))+EXP(N415-MAX(K415:P415))+EXP(O415-MAX(K415:P415))+EXP(P415-MAX(K415:P415))))</f>
        <v/>
      </c>
      <c r="R415" s="100">
        <f>IF(G415="","",EXP(LARGE(K415:P415,2)-MAX(K415:P415))/(EXP(K415-MAX(K415:P415))+EXP(L415-MAX(K415:P415))+EXP(M415-MAX(K415:P415))+EXP(N415-MAX(K415:P415))+EXP(O415-MAX(K415:P415))+EXP(P415-MAX(K415:P415))))</f>
        <v/>
      </c>
      <c r="S415" s="100">
        <f>IF(G415="","",Q415-R415)</f>
        <v/>
      </c>
      <c r="T415" s="98">
        <f>IF(G415="","",IF(AND(G415&gt;=H415-$B$6*I415,G415&lt;=H415+$B$6*I415),"OK","NG"))</f>
        <v/>
      </c>
      <c r="U415" s="69">
        <f>IF(T415="","",IF(T415=D415,1,0))</f>
        <v/>
      </c>
      <c r="V415" s="98">
        <f>IF(G415="","",IF(T415="OK","NONE",INDEX({"S1","S2","W1","W2","N1","N2"},MATCH(MAX(K415:P415),K415:P415,0))))</f>
        <v/>
      </c>
      <c r="W415" s="69">
        <f>IF(G415="","",IF(V415=E415,1,0))</f>
        <v/>
      </c>
      <c r="X415" s="115">
        <f>IF(G415="","",IF(AND(T415="NG",S415&lt;$B$7),"AMBIGUOUS","CONFIDENT"))</f>
        <v/>
      </c>
    </row>
    <row r="416">
      <c r="A416" s="102">
        <f>'Runs Z score'!A409</f>
        <v/>
      </c>
      <c r="B416" s="98">
        <f>'Runs Z score'!B409</f>
        <v/>
      </c>
      <c r="C416" s="98">
        <f>'Runs Z score'!C409</f>
        <v/>
      </c>
      <c r="D416" s="98">
        <f>'Runs Z score'!D409</f>
        <v/>
      </c>
      <c r="E416" s="98">
        <f>'Runs Z score'!E409</f>
        <v/>
      </c>
      <c r="F416" s="98">
        <f>'Runs Z score'!F409</f>
        <v/>
      </c>
      <c r="G416" s="99">
        <f>'Runs Z score'!G409</f>
        <v/>
      </c>
      <c r="H416" s="100">
        <f>VLOOKUP(C416,Recipes!$A$2:$N$4,10,FALSE())</f>
        <v/>
      </c>
      <c r="I416" s="101">
        <f>VLOOKUP(C416,Recipes!$A$2:$N$4,12,FALSE())</f>
        <v/>
      </c>
      <c r="J416" s="100">
        <f>IF(G416="","",H416-G416)</f>
        <v/>
      </c>
      <c r="K416" s="100">
        <f>IF(G416="","",-0.5*((J416-Components!$D$2)/Components!$E$2)^2)</f>
        <v/>
      </c>
      <c r="L416" s="100">
        <f>IF(G416="","",-0.5*((J416-Components!$D$3)/Components!$E$3)^2)</f>
        <v/>
      </c>
      <c r="M416" s="100">
        <f>IF(G416="","",-0.5*((J416-Components!$D$4)/Components!$E$4)^2)</f>
        <v/>
      </c>
      <c r="N416" s="100">
        <f>IF(G416="","",-0.5*((J416-Components!$D$5)/Components!$E$5)^2)</f>
        <v/>
      </c>
      <c r="O416" s="100">
        <f>IF(G416="","",-0.5*((J416-Components!$D$6)/Components!$E$6)^2)</f>
        <v/>
      </c>
      <c r="P416" s="100">
        <f>IF(G416="","",-0.5*((J416-Components!$D$7)/Components!$E$7)^2)</f>
        <v/>
      </c>
      <c r="Q416" s="100">
        <f>IF(G416="","",EXP(LARGE(K416:P416,1)-MAX(K416:P416))/(EXP(K416-MAX(K416:P416))+EXP(L416-MAX(K416:P416))+EXP(M416-MAX(K416:P416))+EXP(N416-MAX(K416:P416))+EXP(O416-MAX(K416:P416))+EXP(P416-MAX(K416:P416))))</f>
        <v/>
      </c>
      <c r="R416" s="100">
        <f>IF(G416="","",EXP(LARGE(K416:P416,2)-MAX(K416:P416))/(EXP(K416-MAX(K416:P416))+EXP(L416-MAX(K416:P416))+EXP(M416-MAX(K416:P416))+EXP(N416-MAX(K416:P416))+EXP(O416-MAX(K416:P416))+EXP(P416-MAX(K416:P416))))</f>
        <v/>
      </c>
      <c r="S416" s="100">
        <f>IF(G416="","",Q416-R416)</f>
        <v/>
      </c>
      <c r="T416" s="98">
        <f>IF(G416="","",IF(AND(G416&gt;=H416-$B$6*I416,G416&lt;=H416+$B$6*I416),"OK","NG"))</f>
        <v/>
      </c>
      <c r="U416" s="69">
        <f>IF(T416="","",IF(T416=D416,1,0))</f>
        <v/>
      </c>
      <c r="V416" s="98">
        <f>IF(G416="","",IF(T416="OK","NONE",INDEX({"S1","S2","W1","W2","N1","N2"},MATCH(MAX(K416:P416),K416:P416,0))))</f>
        <v/>
      </c>
      <c r="W416" s="69">
        <f>IF(G416="","",IF(V416=E416,1,0))</f>
        <v/>
      </c>
      <c r="X416" s="115">
        <f>IF(G416="","",IF(AND(T416="NG",S416&lt;$B$7),"AMBIGUOUS","CONFIDENT"))</f>
        <v/>
      </c>
    </row>
    <row r="417">
      <c r="A417" s="102">
        <f>'Runs Z score'!A410</f>
        <v/>
      </c>
      <c r="B417" s="98">
        <f>'Runs Z score'!B410</f>
        <v/>
      </c>
      <c r="C417" s="98">
        <f>'Runs Z score'!C410</f>
        <v/>
      </c>
      <c r="D417" s="98">
        <f>'Runs Z score'!D410</f>
        <v/>
      </c>
      <c r="E417" s="98">
        <f>'Runs Z score'!E410</f>
        <v/>
      </c>
      <c r="F417" s="98">
        <f>'Runs Z score'!F410</f>
        <v/>
      </c>
      <c r="G417" s="99">
        <f>'Runs Z score'!G410</f>
        <v/>
      </c>
      <c r="H417" s="100">
        <f>VLOOKUP(C417,Recipes!$A$2:$N$4,10,FALSE())</f>
        <v/>
      </c>
      <c r="I417" s="101">
        <f>VLOOKUP(C417,Recipes!$A$2:$N$4,12,FALSE())</f>
        <v/>
      </c>
      <c r="J417" s="100">
        <f>IF(G417="","",H417-G417)</f>
        <v/>
      </c>
      <c r="K417" s="100">
        <f>IF(G417="","",-0.5*((J417-Components!$D$2)/Components!$E$2)^2)</f>
        <v/>
      </c>
      <c r="L417" s="100">
        <f>IF(G417="","",-0.5*((J417-Components!$D$3)/Components!$E$3)^2)</f>
        <v/>
      </c>
      <c r="M417" s="100">
        <f>IF(G417="","",-0.5*((J417-Components!$D$4)/Components!$E$4)^2)</f>
        <v/>
      </c>
      <c r="N417" s="100">
        <f>IF(G417="","",-0.5*((J417-Components!$D$5)/Components!$E$5)^2)</f>
        <v/>
      </c>
      <c r="O417" s="100">
        <f>IF(G417="","",-0.5*((J417-Components!$D$6)/Components!$E$6)^2)</f>
        <v/>
      </c>
      <c r="P417" s="100">
        <f>IF(G417="","",-0.5*((J417-Components!$D$7)/Components!$E$7)^2)</f>
        <v/>
      </c>
      <c r="Q417" s="100">
        <f>IF(G417="","",EXP(LARGE(K417:P417,1)-MAX(K417:P417))/(EXP(K417-MAX(K417:P417))+EXP(L417-MAX(K417:P417))+EXP(M417-MAX(K417:P417))+EXP(N417-MAX(K417:P417))+EXP(O417-MAX(K417:P417))+EXP(P417-MAX(K417:P417))))</f>
        <v/>
      </c>
      <c r="R417" s="100">
        <f>IF(G417="","",EXP(LARGE(K417:P417,2)-MAX(K417:P417))/(EXP(K417-MAX(K417:P417))+EXP(L417-MAX(K417:P417))+EXP(M417-MAX(K417:P417))+EXP(N417-MAX(K417:P417))+EXP(O417-MAX(K417:P417))+EXP(P417-MAX(K417:P417))))</f>
        <v/>
      </c>
      <c r="S417" s="100">
        <f>IF(G417="","",Q417-R417)</f>
        <v/>
      </c>
      <c r="T417" s="98">
        <f>IF(G417="","",IF(AND(G417&gt;=H417-$B$6*I417,G417&lt;=H417+$B$6*I417),"OK","NG"))</f>
        <v/>
      </c>
      <c r="U417" s="69">
        <f>IF(T417="","",IF(T417=D417,1,0))</f>
        <v/>
      </c>
      <c r="V417" s="98">
        <f>IF(G417="","",IF(T417="OK","NONE",INDEX({"S1","S2","W1","W2","N1","N2"},MATCH(MAX(K417:P417),K417:P417,0))))</f>
        <v/>
      </c>
      <c r="W417" s="69">
        <f>IF(G417="","",IF(V417=E417,1,0))</f>
        <v/>
      </c>
      <c r="X417" s="115">
        <f>IF(G417="","",IF(AND(T417="NG",S417&lt;$B$7),"AMBIGUOUS","CONFIDENT"))</f>
        <v/>
      </c>
    </row>
    <row r="418">
      <c r="A418" s="102">
        <f>'Runs Z score'!A411</f>
        <v/>
      </c>
      <c r="B418" s="98">
        <f>'Runs Z score'!B411</f>
        <v/>
      </c>
      <c r="C418" s="98">
        <f>'Runs Z score'!C411</f>
        <v/>
      </c>
      <c r="D418" s="98">
        <f>'Runs Z score'!D411</f>
        <v/>
      </c>
      <c r="E418" s="98">
        <f>'Runs Z score'!E411</f>
        <v/>
      </c>
      <c r="F418" s="98">
        <f>'Runs Z score'!F411</f>
        <v/>
      </c>
      <c r="G418" s="99">
        <f>'Runs Z score'!G411</f>
        <v/>
      </c>
      <c r="H418" s="100">
        <f>VLOOKUP(C418,Recipes!$A$2:$N$4,10,FALSE())</f>
        <v/>
      </c>
      <c r="I418" s="101">
        <f>VLOOKUP(C418,Recipes!$A$2:$N$4,12,FALSE())</f>
        <v/>
      </c>
      <c r="J418" s="100">
        <f>IF(G418="","",H418-G418)</f>
        <v/>
      </c>
      <c r="K418" s="100">
        <f>IF(G418="","",-0.5*((J418-Components!$D$2)/Components!$E$2)^2)</f>
        <v/>
      </c>
      <c r="L418" s="100">
        <f>IF(G418="","",-0.5*((J418-Components!$D$3)/Components!$E$3)^2)</f>
        <v/>
      </c>
      <c r="M418" s="100">
        <f>IF(G418="","",-0.5*((J418-Components!$D$4)/Components!$E$4)^2)</f>
        <v/>
      </c>
      <c r="N418" s="100">
        <f>IF(G418="","",-0.5*((J418-Components!$D$5)/Components!$E$5)^2)</f>
        <v/>
      </c>
      <c r="O418" s="100">
        <f>IF(G418="","",-0.5*((J418-Components!$D$6)/Components!$E$6)^2)</f>
        <v/>
      </c>
      <c r="P418" s="100">
        <f>IF(G418="","",-0.5*((J418-Components!$D$7)/Components!$E$7)^2)</f>
        <v/>
      </c>
      <c r="Q418" s="100">
        <f>IF(G418="","",EXP(LARGE(K418:P418,1)-MAX(K418:P418))/(EXP(K418-MAX(K418:P418))+EXP(L418-MAX(K418:P418))+EXP(M418-MAX(K418:P418))+EXP(N418-MAX(K418:P418))+EXP(O418-MAX(K418:P418))+EXP(P418-MAX(K418:P418))))</f>
        <v/>
      </c>
      <c r="R418" s="100">
        <f>IF(G418="","",EXP(LARGE(K418:P418,2)-MAX(K418:P418))/(EXP(K418-MAX(K418:P418))+EXP(L418-MAX(K418:P418))+EXP(M418-MAX(K418:P418))+EXP(N418-MAX(K418:P418))+EXP(O418-MAX(K418:P418))+EXP(P418-MAX(K418:P418))))</f>
        <v/>
      </c>
      <c r="S418" s="100">
        <f>IF(G418="","",Q418-R418)</f>
        <v/>
      </c>
      <c r="T418" s="98">
        <f>IF(G418="","",IF(AND(G418&gt;=H418-$B$6*I418,G418&lt;=H418+$B$6*I418),"OK","NG"))</f>
        <v/>
      </c>
      <c r="U418" s="69">
        <f>IF(T418="","",IF(T418=D418,1,0))</f>
        <v/>
      </c>
      <c r="V418" s="98">
        <f>IF(G418="","",IF(T418="OK","NONE",INDEX({"S1","S2","W1","W2","N1","N2"},MATCH(MAX(K418:P418),K418:P418,0))))</f>
        <v/>
      </c>
      <c r="W418" s="69">
        <f>IF(G418="","",IF(V418=E418,1,0))</f>
        <v/>
      </c>
      <c r="X418" s="115">
        <f>IF(G418="","",IF(AND(T418="NG",S418&lt;$B$7),"AMBIGUOUS","CONFIDENT"))</f>
        <v/>
      </c>
    </row>
    <row r="419">
      <c r="A419" s="102">
        <f>'Runs Z score'!A412</f>
        <v/>
      </c>
      <c r="B419" s="98">
        <f>'Runs Z score'!B412</f>
        <v/>
      </c>
      <c r="C419" s="98">
        <f>'Runs Z score'!C412</f>
        <v/>
      </c>
      <c r="D419" s="98">
        <f>'Runs Z score'!D412</f>
        <v/>
      </c>
      <c r="E419" s="98">
        <f>'Runs Z score'!E412</f>
        <v/>
      </c>
      <c r="F419" s="98">
        <f>'Runs Z score'!F412</f>
        <v/>
      </c>
      <c r="G419" s="99">
        <f>'Runs Z score'!G412</f>
        <v/>
      </c>
      <c r="H419" s="100">
        <f>VLOOKUP(C419,Recipes!$A$2:$N$4,10,FALSE())</f>
        <v/>
      </c>
      <c r="I419" s="101">
        <f>VLOOKUP(C419,Recipes!$A$2:$N$4,12,FALSE())</f>
        <v/>
      </c>
      <c r="J419" s="100">
        <f>IF(G419="","",H419-G419)</f>
        <v/>
      </c>
      <c r="K419" s="100">
        <f>IF(G419="","",-0.5*((J419-Components!$D$2)/Components!$E$2)^2)</f>
        <v/>
      </c>
      <c r="L419" s="100">
        <f>IF(G419="","",-0.5*((J419-Components!$D$3)/Components!$E$3)^2)</f>
        <v/>
      </c>
      <c r="M419" s="100">
        <f>IF(G419="","",-0.5*((J419-Components!$D$4)/Components!$E$4)^2)</f>
        <v/>
      </c>
      <c r="N419" s="100">
        <f>IF(G419="","",-0.5*((J419-Components!$D$5)/Components!$E$5)^2)</f>
        <v/>
      </c>
      <c r="O419" s="100">
        <f>IF(G419="","",-0.5*((J419-Components!$D$6)/Components!$E$6)^2)</f>
        <v/>
      </c>
      <c r="P419" s="100">
        <f>IF(G419="","",-0.5*((J419-Components!$D$7)/Components!$E$7)^2)</f>
        <v/>
      </c>
      <c r="Q419" s="100">
        <f>IF(G419="","",EXP(LARGE(K419:P419,1)-MAX(K419:P419))/(EXP(K419-MAX(K419:P419))+EXP(L419-MAX(K419:P419))+EXP(M419-MAX(K419:P419))+EXP(N419-MAX(K419:P419))+EXP(O419-MAX(K419:P419))+EXP(P419-MAX(K419:P419))))</f>
        <v/>
      </c>
      <c r="R419" s="100">
        <f>IF(G419="","",EXP(LARGE(K419:P419,2)-MAX(K419:P419))/(EXP(K419-MAX(K419:P419))+EXP(L419-MAX(K419:P419))+EXP(M419-MAX(K419:P419))+EXP(N419-MAX(K419:P419))+EXP(O419-MAX(K419:P419))+EXP(P419-MAX(K419:P419))))</f>
        <v/>
      </c>
      <c r="S419" s="100">
        <f>IF(G419="","",Q419-R419)</f>
        <v/>
      </c>
      <c r="T419" s="98">
        <f>IF(G419="","",IF(AND(G419&gt;=H419-$B$6*I419,G419&lt;=H419+$B$6*I419),"OK","NG"))</f>
        <v/>
      </c>
      <c r="U419" s="69">
        <f>IF(T419="","",IF(T419=D419,1,0))</f>
        <v/>
      </c>
      <c r="V419" s="98">
        <f>IF(G419="","",IF(T419="OK","NONE",INDEX({"S1","S2","W1","W2","N1","N2"},MATCH(MAX(K419:P419),K419:P419,0))))</f>
        <v/>
      </c>
      <c r="W419" s="69">
        <f>IF(G419="","",IF(V419=E419,1,0))</f>
        <v/>
      </c>
      <c r="X419" s="115">
        <f>IF(G419="","",IF(AND(T419="NG",S419&lt;$B$7),"AMBIGUOUS","CONFIDENT"))</f>
        <v/>
      </c>
    </row>
    <row r="420">
      <c r="A420" s="102">
        <f>'Runs Z score'!A413</f>
        <v/>
      </c>
      <c r="B420" s="98">
        <f>'Runs Z score'!B413</f>
        <v/>
      </c>
      <c r="C420" s="98">
        <f>'Runs Z score'!C413</f>
        <v/>
      </c>
      <c r="D420" s="98">
        <f>'Runs Z score'!D413</f>
        <v/>
      </c>
      <c r="E420" s="98">
        <f>'Runs Z score'!E413</f>
        <v/>
      </c>
      <c r="F420" s="98">
        <f>'Runs Z score'!F413</f>
        <v/>
      </c>
      <c r="G420" s="99">
        <f>'Runs Z score'!G413</f>
        <v/>
      </c>
      <c r="H420" s="100">
        <f>VLOOKUP(C420,Recipes!$A$2:$N$4,10,FALSE())</f>
        <v/>
      </c>
      <c r="I420" s="101">
        <f>VLOOKUP(C420,Recipes!$A$2:$N$4,12,FALSE())</f>
        <v/>
      </c>
      <c r="J420" s="100">
        <f>IF(G420="","",H420-G420)</f>
        <v/>
      </c>
      <c r="K420" s="100">
        <f>IF(G420="","",-0.5*((J420-Components!$D$2)/Components!$E$2)^2)</f>
        <v/>
      </c>
      <c r="L420" s="100">
        <f>IF(G420="","",-0.5*((J420-Components!$D$3)/Components!$E$3)^2)</f>
        <v/>
      </c>
      <c r="M420" s="100">
        <f>IF(G420="","",-0.5*((J420-Components!$D$4)/Components!$E$4)^2)</f>
        <v/>
      </c>
      <c r="N420" s="100">
        <f>IF(G420="","",-0.5*((J420-Components!$D$5)/Components!$E$5)^2)</f>
        <v/>
      </c>
      <c r="O420" s="100">
        <f>IF(G420="","",-0.5*((J420-Components!$D$6)/Components!$E$6)^2)</f>
        <v/>
      </c>
      <c r="P420" s="100">
        <f>IF(G420="","",-0.5*((J420-Components!$D$7)/Components!$E$7)^2)</f>
        <v/>
      </c>
      <c r="Q420" s="100">
        <f>IF(G420="","",EXP(LARGE(K420:P420,1)-MAX(K420:P420))/(EXP(K420-MAX(K420:P420))+EXP(L420-MAX(K420:P420))+EXP(M420-MAX(K420:P420))+EXP(N420-MAX(K420:P420))+EXP(O420-MAX(K420:P420))+EXP(P420-MAX(K420:P420))))</f>
        <v/>
      </c>
      <c r="R420" s="100">
        <f>IF(G420="","",EXP(LARGE(K420:P420,2)-MAX(K420:P420))/(EXP(K420-MAX(K420:P420))+EXP(L420-MAX(K420:P420))+EXP(M420-MAX(K420:P420))+EXP(N420-MAX(K420:P420))+EXP(O420-MAX(K420:P420))+EXP(P420-MAX(K420:P420))))</f>
        <v/>
      </c>
      <c r="S420" s="100">
        <f>IF(G420="","",Q420-R420)</f>
        <v/>
      </c>
      <c r="T420" s="98">
        <f>IF(G420="","",IF(AND(G420&gt;=H420-$B$6*I420,G420&lt;=H420+$B$6*I420),"OK","NG"))</f>
        <v/>
      </c>
      <c r="U420" s="69">
        <f>IF(T420="","",IF(T420=D420,1,0))</f>
        <v/>
      </c>
      <c r="V420" s="98">
        <f>IF(G420="","",IF(T420="OK","NONE",INDEX({"S1","S2","W1","W2","N1","N2"},MATCH(MAX(K420:P420),K420:P420,0))))</f>
        <v/>
      </c>
      <c r="W420" s="69">
        <f>IF(G420="","",IF(V420=E420,1,0))</f>
        <v/>
      </c>
      <c r="X420" s="115">
        <f>IF(G420="","",IF(AND(T420="NG",S420&lt;$B$7),"AMBIGUOUS","CONFIDENT"))</f>
        <v/>
      </c>
    </row>
    <row r="421">
      <c r="A421" s="102">
        <f>'Runs Z score'!A414</f>
        <v/>
      </c>
      <c r="B421" s="98">
        <f>'Runs Z score'!B414</f>
        <v/>
      </c>
      <c r="C421" s="98">
        <f>'Runs Z score'!C414</f>
        <v/>
      </c>
      <c r="D421" s="98">
        <f>'Runs Z score'!D414</f>
        <v/>
      </c>
      <c r="E421" s="98">
        <f>'Runs Z score'!E414</f>
        <v/>
      </c>
      <c r="F421" s="98">
        <f>'Runs Z score'!F414</f>
        <v/>
      </c>
      <c r="G421" s="99">
        <f>'Runs Z score'!G414</f>
        <v/>
      </c>
      <c r="H421" s="100">
        <f>VLOOKUP(C421,Recipes!$A$2:$N$4,10,FALSE())</f>
        <v/>
      </c>
      <c r="I421" s="101">
        <f>VLOOKUP(C421,Recipes!$A$2:$N$4,12,FALSE())</f>
        <v/>
      </c>
      <c r="J421" s="100">
        <f>IF(G421="","",H421-G421)</f>
        <v/>
      </c>
      <c r="K421" s="100">
        <f>IF(G421="","",-0.5*((J421-Components!$D$2)/Components!$E$2)^2)</f>
        <v/>
      </c>
      <c r="L421" s="100">
        <f>IF(G421="","",-0.5*((J421-Components!$D$3)/Components!$E$3)^2)</f>
        <v/>
      </c>
      <c r="M421" s="100">
        <f>IF(G421="","",-0.5*((J421-Components!$D$4)/Components!$E$4)^2)</f>
        <v/>
      </c>
      <c r="N421" s="100">
        <f>IF(G421="","",-0.5*((J421-Components!$D$5)/Components!$E$5)^2)</f>
        <v/>
      </c>
      <c r="O421" s="100">
        <f>IF(G421="","",-0.5*((J421-Components!$D$6)/Components!$E$6)^2)</f>
        <v/>
      </c>
      <c r="P421" s="100">
        <f>IF(G421="","",-0.5*((J421-Components!$D$7)/Components!$E$7)^2)</f>
        <v/>
      </c>
      <c r="Q421" s="100">
        <f>IF(G421="","",EXP(LARGE(K421:P421,1)-MAX(K421:P421))/(EXP(K421-MAX(K421:P421))+EXP(L421-MAX(K421:P421))+EXP(M421-MAX(K421:P421))+EXP(N421-MAX(K421:P421))+EXP(O421-MAX(K421:P421))+EXP(P421-MAX(K421:P421))))</f>
        <v/>
      </c>
      <c r="R421" s="100">
        <f>IF(G421="","",EXP(LARGE(K421:P421,2)-MAX(K421:P421))/(EXP(K421-MAX(K421:P421))+EXP(L421-MAX(K421:P421))+EXP(M421-MAX(K421:P421))+EXP(N421-MAX(K421:P421))+EXP(O421-MAX(K421:P421))+EXP(P421-MAX(K421:P421))))</f>
        <v/>
      </c>
      <c r="S421" s="100">
        <f>IF(G421="","",Q421-R421)</f>
        <v/>
      </c>
      <c r="T421" s="98">
        <f>IF(G421="","",IF(AND(G421&gt;=H421-$B$6*I421,G421&lt;=H421+$B$6*I421),"OK","NG"))</f>
        <v/>
      </c>
      <c r="U421" s="69">
        <f>IF(T421="","",IF(T421=D421,1,0))</f>
        <v/>
      </c>
      <c r="V421" s="98">
        <f>IF(G421="","",IF(T421="OK","NONE",INDEX({"S1","S2","W1","W2","N1","N2"},MATCH(MAX(K421:P421),K421:P421,0))))</f>
        <v/>
      </c>
      <c r="W421" s="69">
        <f>IF(G421="","",IF(V421=E421,1,0))</f>
        <v/>
      </c>
      <c r="X421" s="115">
        <f>IF(G421="","",IF(AND(T421="NG",S421&lt;$B$7),"AMBIGUOUS","CONFIDENT"))</f>
        <v/>
      </c>
    </row>
    <row r="422">
      <c r="A422" s="102">
        <f>'Runs Z score'!A415</f>
        <v/>
      </c>
      <c r="B422" s="98">
        <f>'Runs Z score'!B415</f>
        <v/>
      </c>
      <c r="C422" s="98">
        <f>'Runs Z score'!C415</f>
        <v/>
      </c>
      <c r="D422" s="98">
        <f>'Runs Z score'!D415</f>
        <v/>
      </c>
      <c r="E422" s="98">
        <f>'Runs Z score'!E415</f>
        <v/>
      </c>
      <c r="F422" s="98">
        <f>'Runs Z score'!F415</f>
        <v/>
      </c>
      <c r="G422" s="99">
        <f>'Runs Z score'!G415</f>
        <v/>
      </c>
      <c r="H422" s="100">
        <f>VLOOKUP(C422,Recipes!$A$2:$N$4,10,FALSE())</f>
        <v/>
      </c>
      <c r="I422" s="101">
        <f>VLOOKUP(C422,Recipes!$A$2:$N$4,12,FALSE())</f>
        <v/>
      </c>
      <c r="J422" s="100">
        <f>IF(G422="","",H422-G422)</f>
        <v/>
      </c>
      <c r="K422" s="100">
        <f>IF(G422="","",-0.5*((J422-Components!$D$2)/Components!$E$2)^2)</f>
        <v/>
      </c>
      <c r="L422" s="100">
        <f>IF(G422="","",-0.5*((J422-Components!$D$3)/Components!$E$3)^2)</f>
        <v/>
      </c>
      <c r="M422" s="100">
        <f>IF(G422="","",-0.5*((J422-Components!$D$4)/Components!$E$4)^2)</f>
        <v/>
      </c>
      <c r="N422" s="100">
        <f>IF(G422="","",-0.5*((J422-Components!$D$5)/Components!$E$5)^2)</f>
        <v/>
      </c>
      <c r="O422" s="100">
        <f>IF(G422="","",-0.5*((J422-Components!$D$6)/Components!$E$6)^2)</f>
        <v/>
      </c>
      <c r="P422" s="100">
        <f>IF(G422="","",-0.5*((J422-Components!$D$7)/Components!$E$7)^2)</f>
        <v/>
      </c>
      <c r="Q422" s="100">
        <f>IF(G422="","",EXP(LARGE(K422:P422,1)-MAX(K422:P422))/(EXP(K422-MAX(K422:P422))+EXP(L422-MAX(K422:P422))+EXP(M422-MAX(K422:P422))+EXP(N422-MAX(K422:P422))+EXP(O422-MAX(K422:P422))+EXP(P422-MAX(K422:P422))))</f>
        <v/>
      </c>
      <c r="R422" s="100">
        <f>IF(G422="","",EXP(LARGE(K422:P422,2)-MAX(K422:P422))/(EXP(K422-MAX(K422:P422))+EXP(L422-MAX(K422:P422))+EXP(M422-MAX(K422:P422))+EXP(N422-MAX(K422:P422))+EXP(O422-MAX(K422:P422))+EXP(P422-MAX(K422:P422))))</f>
        <v/>
      </c>
      <c r="S422" s="100">
        <f>IF(G422="","",Q422-R422)</f>
        <v/>
      </c>
      <c r="T422" s="98">
        <f>IF(G422="","",IF(AND(G422&gt;=H422-$B$6*I422,G422&lt;=H422+$B$6*I422),"OK","NG"))</f>
        <v/>
      </c>
      <c r="U422" s="69">
        <f>IF(T422="","",IF(T422=D422,1,0))</f>
        <v/>
      </c>
      <c r="V422" s="98">
        <f>IF(G422="","",IF(T422="OK","NONE",INDEX({"S1","S2","W1","W2","N1","N2"},MATCH(MAX(K422:P422),K422:P422,0))))</f>
        <v/>
      </c>
      <c r="W422" s="69">
        <f>IF(G422="","",IF(V422=E422,1,0))</f>
        <v/>
      </c>
      <c r="X422" s="115">
        <f>IF(G422="","",IF(AND(T422="NG",S422&lt;$B$7),"AMBIGUOUS","CONFIDENT"))</f>
        <v/>
      </c>
    </row>
    <row r="423">
      <c r="A423" s="102">
        <f>'Runs Z score'!A416</f>
        <v/>
      </c>
      <c r="B423" s="98">
        <f>'Runs Z score'!B416</f>
        <v/>
      </c>
      <c r="C423" s="98">
        <f>'Runs Z score'!C416</f>
        <v/>
      </c>
      <c r="D423" s="98">
        <f>'Runs Z score'!D416</f>
        <v/>
      </c>
      <c r="E423" s="98">
        <f>'Runs Z score'!E416</f>
        <v/>
      </c>
      <c r="F423" s="98">
        <f>'Runs Z score'!F416</f>
        <v/>
      </c>
      <c r="G423" s="99">
        <f>'Runs Z score'!G416</f>
        <v/>
      </c>
      <c r="H423" s="100">
        <f>VLOOKUP(C423,Recipes!$A$2:$N$4,10,FALSE())</f>
        <v/>
      </c>
      <c r="I423" s="101">
        <f>VLOOKUP(C423,Recipes!$A$2:$N$4,12,FALSE())</f>
        <v/>
      </c>
      <c r="J423" s="100">
        <f>IF(G423="","",H423-G423)</f>
        <v/>
      </c>
      <c r="K423" s="100">
        <f>IF(G423="","",-0.5*((J423-Components!$D$2)/Components!$E$2)^2)</f>
        <v/>
      </c>
      <c r="L423" s="100">
        <f>IF(G423="","",-0.5*((J423-Components!$D$3)/Components!$E$3)^2)</f>
        <v/>
      </c>
      <c r="M423" s="100">
        <f>IF(G423="","",-0.5*((J423-Components!$D$4)/Components!$E$4)^2)</f>
        <v/>
      </c>
      <c r="N423" s="100">
        <f>IF(G423="","",-0.5*((J423-Components!$D$5)/Components!$E$5)^2)</f>
        <v/>
      </c>
      <c r="O423" s="100">
        <f>IF(G423="","",-0.5*((J423-Components!$D$6)/Components!$E$6)^2)</f>
        <v/>
      </c>
      <c r="P423" s="100">
        <f>IF(G423="","",-0.5*((J423-Components!$D$7)/Components!$E$7)^2)</f>
        <v/>
      </c>
      <c r="Q423" s="100">
        <f>IF(G423="","",EXP(LARGE(K423:P423,1)-MAX(K423:P423))/(EXP(K423-MAX(K423:P423))+EXP(L423-MAX(K423:P423))+EXP(M423-MAX(K423:P423))+EXP(N423-MAX(K423:P423))+EXP(O423-MAX(K423:P423))+EXP(P423-MAX(K423:P423))))</f>
        <v/>
      </c>
      <c r="R423" s="100">
        <f>IF(G423="","",EXP(LARGE(K423:P423,2)-MAX(K423:P423))/(EXP(K423-MAX(K423:P423))+EXP(L423-MAX(K423:P423))+EXP(M423-MAX(K423:P423))+EXP(N423-MAX(K423:P423))+EXP(O423-MAX(K423:P423))+EXP(P423-MAX(K423:P423))))</f>
        <v/>
      </c>
      <c r="S423" s="100">
        <f>IF(G423="","",Q423-R423)</f>
        <v/>
      </c>
      <c r="T423" s="98">
        <f>IF(G423="","",IF(AND(G423&gt;=H423-$B$6*I423,G423&lt;=H423+$B$6*I423),"OK","NG"))</f>
        <v/>
      </c>
      <c r="U423" s="69">
        <f>IF(T423="","",IF(T423=D423,1,0))</f>
        <v/>
      </c>
      <c r="V423" s="98">
        <f>IF(G423="","",IF(T423="OK","NONE",INDEX({"S1","S2","W1","W2","N1","N2"},MATCH(MAX(K423:P423),K423:P423,0))))</f>
        <v/>
      </c>
      <c r="W423" s="69">
        <f>IF(G423="","",IF(V423=E423,1,0))</f>
        <v/>
      </c>
      <c r="X423" s="115">
        <f>IF(G423="","",IF(AND(T423="NG",S423&lt;$B$7),"AMBIGUOUS","CONFIDENT"))</f>
        <v/>
      </c>
    </row>
    <row r="424">
      <c r="A424" s="102">
        <f>'Runs Z score'!A417</f>
        <v/>
      </c>
      <c r="B424" s="98">
        <f>'Runs Z score'!B417</f>
        <v/>
      </c>
      <c r="C424" s="98">
        <f>'Runs Z score'!C417</f>
        <v/>
      </c>
      <c r="D424" s="98">
        <f>'Runs Z score'!D417</f>
        <v/>
      </c>
      <c r="E424" s="98">
        <f>'Runs Z score'!E417</f>
        <v/>
      </c>
      <c r="F424" s="98">
        <f>'Runs Z score'!F417</f>
        <v/>
      </c>
      <c r="G424" s="99">
        <f>'Runs Z score'!G417</f>
        <v/>
      </c>
      <c r="H424" s="100">
        <f>VLOOKUP(C424,Recipes!$A$2:$N$4,10,FALSE())</f>
        <v/>
      </c>
      <c r="I424" s="101">
        <f>VLOOKUP(C424,Recipes!$A$2:$N$4,12,FALSE())</f>
        <v/>
      </c>
      <c r="J424" s="100">
        <f>IF(G424="","",H424-G424)</f>
        <v/>
      </c>
      <c r="K424" s="100">
        <f>IF(G424="","",-0.5*((J424-Components!$D$2)/Components!$E$2)^2)</f>
        <v/>
      </c>
      <c r="L424" s="100">
        <f>IF(G424="","",-0.5*((J424-Components!$D$3)/Components!$E$3)^2)</f>
        <v/>
      </c>
      <c r="M424" s="100">
        <f>IF(G424="","",-0.5*((J424-Components!$D$4)/Components!$E$4)^2)</f>
        <v/>
      </c>
      <c r="N424" s="100">
        <f>IF(G424="","",-0.5*((J424-Components!$D$5)/Components!$E$5)^2)</f>
        <v/>
      </c>
      <c r="O424" s="100">
        <f>IF(G424="","",-0.5*((J424-Components!$D$6)/Components!$E$6)^2)</f>
        <v/>
      </c>
      <c r="P424" s="100">
        <f>IF(G424="","",-0.5*((J424-Components!$D$7)/Components!$E$7)^2)</f>
        <v/>
      </c>
      <c r="Q424" s="100">
        <f>IF(G424="","",EXP(LARGE(K424:P424,1)-MAX(K424:P424))/(EXP(K424-MAX(K424:P424))+EXP(L424-MAX(K424:P424))+EXP(M424-MAX(K424:P424))+EXP(N424-MAX(K424:P424))+EXP(O424-MAX(K424:P424))+EXP(P424-MAX(K424:P424))))</f>
        <v/>
      </c>
      <c r="R424" s="100">
        <f>IF(G424="","",EXP(LARGE(K424:P424,2)-MAX(K424:P424))/(EXP(K424-MAX(K424:P424))+EXP(L424-MAX(K424:P424))+EXP(M424-MAX(K424:P424))+EXP(N424-MAX(K424:P424))+EXP(O424-MAX(K424:P424))+EXP(P424-MAX(K424:P424))))</f>
        <v/>
      </c>
      <c r="S424" s="100">
        <f>IF(G424="","",Q424-R424)</f>
        <v/>
      </c>
      <c r="T424" s="98">
        <f>IF(G424="","",IF(AND(G424&gt;=H424-$B$6*I424,G424&lt;=H424+$B$6*I424),"OK","NG"))</f>
        <v/>
      </c>
      <c r="U424" s="69">
        <f>IF(T424="","",IF(T424=D424,1,0))</f>
        <v/>
      </c>
      <c r="V424" s="98">
        <f>IF(G424="","",IF(T424="OK","NONE",INDEX({"S1","S2","W1","W2","N1","N2"},MATCH(MAX(K424:P424),K424:P424,0))))</f>
        <v/>
      </c>
      <c r="W424" s="69">
        <f>IF(G424="","",IF(V424=E424,1,0))</f>
        <v/>
      </c>
      <c r="X424" s="115">
        <f>IF(G424="","",IF(AND(T424="NG",S424&lt;$B$7),"AMBIGUOUS","CONFIDENT"))</f>
        <v/>
      </c>
    </row>
    <row r="425">
      <c r="A425" s="102">
        <f>'Runs Z score'!A418</f>
        <v/>
      </c>
      <c r="B425" s="98">
        <f>'Runs Z score'!B418</f>
        <v/>
      </c>
      <c r="C425" s="98">
        <f>'Runs Z score'!C418</f>
        <v/>
      </c>
      <c r="D425" s="98">
        <f>'Runs Z score'!D418</f>
        <v/>
      </c>
      <c r="E425" s="98">
        <f>'Runs Z score'!E418</f>
        <v/>
      </c>
      <c r="F425" s="98">
        <f>'Runs Z score'!F418</f>
        <v/>
      </c>
      <c r="G425" s="99">
        <f>'Runs Z score'!G418</f>
        <v/>
      </c>
      <c r="H425" s="100">
        <f>VLOOKUP(C425,Recipes!$A$2:$N$4,10,FALSE())</f>
        <v/>
      </c>
      <c r="I425" s="101">
        <f>VLOOKUP(C425,Recipes!$A$2:$N$4,12,FALSE())</f>
        <v/>
      </c>
      <c r="J425" s="100">
        <f>IF(G425="","",H425-G425)</f>
        <v/>
      </c>
      <c r="K425" s="100">
        <f>IF(G425="","",-0.5*((J425-Components!$D$2)/Components!$E$2)^2)</f>
        <v/>
      </c>
      <c r="L425" s="100">
        <f>IF(G425="","",-0.5*((J425-Components!$D$3)/Components!$E$3)^2)</f>
        <v/>
      </c>
      <c r="M425" s="100">
        <f>IF(G425="","",-0.5*((J425-Components!$D$4)/Components!$E$4)^2)</f>
        <v/>
      </c>
      <c r="N425" s="100">
        <f>IF(G425="","",-0.5*((J425-Components!$D$5)/Components!$E$5)^2)</f>
        <v/>
      </c>
      <c r="O425" s="100">
        <f>IF(G425="","",-0.5*((J425-Components!$D$6)/Components!$E$6)^2)</f>
        <v/>
      </c>
      <c r="P425" s="100">
        <f>IF(G425="","",-0.5*((J425-Components!$D$7)/Components!$E$7)^2)</f>
        <v/>
      </c>
      <c r="Q425" s="100">
        <f>IF(G425="","",EXP(LARGE(K425:P425,1)-MAX(K425:P425))/(EXP(K425-MAX(K425:P425))+EXP(L425-MAX(K425:P425))+EXP(M425-MAX(K425:P425))+EXP(N425-MAX(K425:P425))+EXP(O425-MAX(K425:P425))+EXP(P425-MAX(K425:P425))))</f>
        <v/>
      </c>
      <c r="R425" s="100">
        <f>IF(G425="","",EXP(LARGE(K425:P425,2)-MAX(K425:P425))/(EXP(K425-MAX(K425:P425))+EXP(L425-MAX(K425:P425))+EXP(M425-MAX(K425:P425))+EXP(N425-MAX(K425:P425))+EXP(O425-MAX(K425:P425))+EXP(P425-MAX(K425:P425))))</f>
        <v/>
      </c>
      <c r="S425" s="100">
        <f>IF(G425="","",Q425-R425)</f>
        <v/>
      </c>
      <c r="T425" s="98">
        <f>IF(G425="","",IF(AND(G425&gt;=H425-$B$6*I425,G425&lt;=H425+$B$6*I425),"OK","NG"))</f>
        <v/>
      </c>
      <c r="U425" s="69">
        <f>IF(T425="","",IF(T425=D425,1,0))</f>
        <v/>
      </c>
      <c r="V425" s="98">
        <f>IF(G425="","",IF(T425="OK","NONE",INDEX({"S1","S2","W1","W2","N1","N2"},MATCH(MAX(K425:P425),K425:P425,0))))</f>
        <v/>
      </c>
      <c r="W425" s="69">
        <f>IF(G425="","",IF(V425=E425,1,0))</f>
        <v/>
      </c>
      <c r="X425" s="115">
        <f>IF(G425="","",IF(AND(T425="NG",S425&lt;$B$7),"AMBIGUOUS","CONFIDENT"))</f>
        <v/>
      </c>
    </row>
    <row r="426">
      <c r="A426" s="102">
        <f>'Runs Z score'!A419</f>
        <v/>
      </c>
      <c r="B426" s="98">
        <f>'Runs Z score'!B419</f>
        <v/>
      </c>
      <c r="C426" s="98">
        <f>'Runs Z score'!C419</f>
        <v/>
      </c>
      <c r="D426" s="98">
        <f>'Runs Z score'!D419</f>
        <v/>
      </c>
      <c r="E426" s="98">
        <f>'Runs Z score'!E419</f>
        <v/>
      </c>
      <c r="F426" s="98">
        <f>'Runs Z score'!F419</f>
        <v/>
      </c>
      <c r="G426" s="99">
        <f>'Runs Z score'!G419</f>
        <v/>
      </c>
      <c r="H426" s="100">
        <f>VLOOKUP(C426,Recipes!$A$2:$N$4,10,FALSE())</f>
        <v/>
      </c>
      <c r="I426" s="101">
        <f>VLOOKUP(C426,Recipes!$A$2:$N$4,12,FALSE())</f>
        <v/>
      </c>
      <c r="J426" s="100">
        <f>IF(G426="","",H426-G426)</f>
        <v/>
      </c>
      <c r="K426" s="100">
        <f>IF(G426="","",-0.5*((J426-Components!$D$2)/Components!$E$2)^2)</f>
        <v/>
      </c>
      <c r="L426" s="100">
        <f>IF(G426="","",-0.5*((J426-Components!$D$3)/Components!$E$3)^2)</f>
        <v/>
      </c>
      <c r="M426" s="100">
        <f>IF(G426="","",-0.5*((J426-Components!$D$4)/Components!$E$4)^2)</f>
        <v/>
      </c>
      <c r="N426" s="100">
        <f>IF(G426="","",-0.5*((J426-Components!$D$5)/Components!$E$5)^2)</f>
        <v/>
      </c>
      <c r="O426" s="100">
        <f>IF(G426="","",-0.5*((J426-Components!$D$6)/Components!$E$6)^2)</f>
        <v/>
      </c>
      <c r="P426" s="100">
        <f>IF(G426="","",-0.5*((J426-Components!$D$7)/Components!$E$7)^2)</f>
        <v/>
      </c>
      <c r="Q426" s="100">
        <f>IF(G426="","",EXP(LARGE(K426:P426,1)-MAX(K426:P426))/(EXP(K426-MAX(K426:P426))+EXP(L426-MAX(K426:P426))+EXP(M426-MAX(K426:P426))+EXP(N426-MAX(K426:P426))+EXP(O426-MAX(K426:P426))+EXP(P426-MAX(K426:P426))))</f>
        <v/>
      </c>
      <c r="R426" s="100">
        <f>IF(G426="","",EXP(LARGE(K426:P426,2)-MAX(K426:P426))/(EXP(K426-MAX(K426:P426))+EXP(L426-MAX(K426:P426))+EXP(M426-MAX(K426:P426))+EXP(N426-MAX(K426:P426))+EXP(O426-MAX(K426:P426))+EXP(P426-MAX(K426:P426))))</f>
        <v/>
      </c>
      <c r="S426" s="100">
        <f>IF(G426="","",Q426-R426)</f>
        <v/>
      </c>
      <c r="T426" s="98">
        <f>IF(G426="","",IF(AND(G426&gt;=H426-$B$6*I426,G426&lt;=H426+$B$6*I426),"OK","NG"))</f>
        <v/>
      </c>
      <c r="U426" s="69">
        <f>IF(T426="","",IF(T426=D426,1,0))</f>
        <v/>
      </c>
      <c r="V426" s="98">
        <f>IF(G426="","",IF(T426="OK","NONE",INDEX({"S1","S2","W1","W2","N1","N2"},MATCH(MAX(K426:P426),K426:P426,0))))</f>
        <v/>
      </c>
      <c r="W426" s="69">
        <f>IF(G426="","",IF(V426=E426,1,0))</f>
        <v/>
      </c>
      <c r="X426" s="115">
        <f>IF(G426="","",IF(AND(T426="NG",S426&lt;$B$7),"AMBIGUOUS","CONFIDENT"))</f>
        <v/>
      </c>
    </row>
    <row r="427">
      <c r="A427" s="102">
        <f>'Runs Z score'!A420</f>
        <v/>
      </c>
      <c r="B427" s="98">
        <f>'Runs Z score'!B420</f>
        <v/>
      </c>
      <c r="C427" s="98">
        <f>'Runs Z score'!C420</f>
        <v/>
      </c>
      <c r="D427" s="98">
        <f>'Runs Z score'!D420</f>
        <v/>
      </c>
      <c r="E427" s="98">
        <f>'Runs Z score'!E420</f>
        <v/>
      </c>
      <c r="F427" s="98">
        <f>'Runs Z score'!F420</f>
        <v/>
      </c>
      <c r="G427" s="99">
        <f>'Runs Z score'!G420</f>
        <v/>
      </c>
      <c r="H427" s="100">
        <f>VLOOKUP(C427,Recipes!$A$2:$N$4,10,FALSE())</f>
        <v/>
      </c>
      <c r="I427" s="101">
        <f>VLOOKUP(C427,Recipes!$A$2:$N$4,12,FALSE())</f>
        <v/>
      </c>
      <c r="J427" s="100">
        <f>IF(G427="","",H427-G427)</f>
        <v/>
      </c>
      <c r="K427" s="100">
        <f>IF(G427="","",-0.5*((J427-Components!$D$2)/Components!$E$2)^2)</f>
        <v/>
      </c>
      <c r="L427" s="100">
        <f>IF(G427="","",-0.5*((J427-Components!$D$3)/Components!$E$3)^2)</f>
        <v/>
      </c>
      <c r="M427" s="100">
        <f>IF(G427="","",-0.5*((J427-Components!$D$4)/Components!$E$4)^2)</f>
        <v/>
      </c>
      <c r="N427" s="100">
        <f>IF(G427="","",-0.5*((J427-Components!$D$5)/Components!$E$5)^2)</f>
        <v/>
      </c>
      <c r="O427" s="100">
        <f>IF(G427="","",-0.5*((J427-Components!$D$6)/Components!$E$6)^2)</f>
        <v/>
      </c>
      <c r="P427" s="100">
        <f>IF(G427="","",-0.5*((J427-Components!$D$7)/Components!$E$7)^2)</f>
        <v/>
      </c>
      <c r="Q427" s="100">
        <f>IF(G427="","",EXP(LARGE(K427:P427,1)-MAX(K427:P427))/(EXP(K427-MAX(K427:P427))+EXP(L427-MAX(K427:P427))+EXP(M427-MAX(K427:P427))+EXP(N427-MAX(K427:P427))+EXP(O427-MAX(K427:P427))+EXP(P427-MAX(K427:P427))))</f>
        <v/>
      </c>
      <c r="R427" s="100">
        <f>IF(G427="","",EXP(LARGE(K427:P427,2)-MAX(K427:P427))/(EXP(K427-MAX(K427:P427))+EXP(L427-MAX(K427:P427))+EXP(M427-MAX(K427:P427))+EXP(N427-MAX(K427:P427))+EXP(O427-MAX(K427:P427))+EXP(P427-MAX(K427:P427))))</f>
        <v/>
      </c>
      <c r="S427" s="100">
        <f>IF(G427="","",Q427-R427)</f>
        <v/>
      </c>
      <c r="T427" s="98">
        <f>IF(G427="","",IF(AND(G427&gt;=H427-$B$6*I427,G427&lt;=H427+$B$6*I427),"OK","NG"))</f>
        <v/>
      </c>
      <c r="U427" s="69">
        <f>IF(T427="","",IF(T427=D427,1,0))</f>
        <v/>
      </c>
      <c r="V427" s="98">
        <f>IF(G427="","",IF(T427="OK","NONE",INDEX({"S1","S2","W1","W2","N1","N2"},MATCH(MAX(K427:P427),K427:P427,0))))</f>
        <v/>
      </c>
      <c r="W427" s="69">
        <f>IF(G427="","",IF(V427=E427,1,0))</f>
        <v/>
      </c>
      <c r="X427" s="115">
        <f>IF(G427="","",IF(AND(T427="NG",S427&lt;$B$7),"AMBIGUOUS","CONFIDENT"))</f>
        <v/>
      </c>
    </row>
    <row r="428">
      <c r="A428" s="102">
        <f>'Runs Z score'!A421</f>
        <v/>
      </c>
      <c r="B428" s="98">
        <f>'Runs Z score'!B421</f>
        <v/>
      </c>
      <c r="C428" s="98">
        <f>'Runs Z score'!C421</f>
        <v/>
      </c>
      <c r="D428" s="98">
        <f>'Runs Z score'!D421</f>
        <v/>
      </c>
      <c r="E428" s="98">
        <f>'Runs Z score'!E421</f>
        <v/>
      </c>
      <c r="F428" s="98">
        <f>'Runs Z score'!F421</f>
        <v/>
      </c>
      <c r="G428" s="99">
        <f>'Runs Z score'!G421</f>
        <v/>
      </c>
      <c r="H428" s="100">
        <f>VLOOKUP(C428,Recipes!$A$2:$N$4,10,FALSE())</f>
        <v/>
      </c>
      <c r="I428" s="101">
        <f>VLOOKUP(C428,Recipes!$A$2:$N$4,12,FALSE())</f>
        <v/>
      </c>
      <c r="J428" s="100">
        <f>IF(G428="","",H428-G428)</f>
        <v/>
      </c>
      <c r="K428" s="100">
        <f>IF(G428="","",-0.5*((J428-Components!$D$2)/Components!$E$2)^2)</f>
        <v/>
      </c>
      <c r="L428" s="100">
        <f>IF(G428="","",-0.5*((J428-Components!$D$3)/Components!$E$3)^2)</f>
        <v/>
      </c>
      <c r="M428" s="100">
        <f>IF(G428="","",-0.5*((J428-Components!$D$4)/Components!$E$4)^2)</f>
        <v/>
      </c>
      <c r="N428" s="100">
        <f>IF(G428="","",-0.5*((J428-Components!$D$5)/Components!$E$5)^2)</f>
        <v/>
      </c>
      <c r="O428" s="100">
        <f>IF(G428="","",-0.5*((J428-Components!$D$6)/Components!$E$6)^2)</f>
        <v/>
      </c>
      <c r="P428" s="100">
        <f>IF(G428="","",-0.5*((J428-Components!$D$7)/Components!$E$7)^2)</f>
        <v/>
      </c>
      <c r="Q428" s="100">
        <f>IF(G428="","",EXP(LARGE(K428:P428,1)-MAX(K428:P428))/(EXP(K428-MAX(K428:P428))+EXP(L428-MAX(K428:P428))+EXP(M428-MAX(K428:P428))+EXP(N428-MAX(K428:P428))+EXP(O428-MAX(K428:P428))+EXP(P428-MAX(K428:P428))))</f>
        <v/>
      </c>
      <c r="R428" s="100">
        <f>IF(G428="","",EXP(LARGE(K428:P428,2)-MAX(K428:P428))/(EXP(K428-MAX(K428:P428))+EXP(L428-MAX(K428:P428))+EXP(M428-MAX(K428:P428))+EXP(N428-MAX(K428:P428))+EXP(O428-MAX(K428:P428))+EXP(P428-MAX(K428:P428))))</f>
        <v/>
      </c>
      <c r="S428" s="100">
        <f>IF(G428="","",Q428-R428)</f>
        <v/>
      </c>
      <c r="T428" s="98">
        <f>IF(G428="","",IF(AND(G428&gt;=H428-$B$6*I428,G428&lt;=H428+$B$6*I428),"OK","NG"))</f>
        <v/>
      </c>
      <c r="U428" s="69">
        <f>IF(T428="","",IF(T428=D428,1,0))</f>
        <v/>
      </c>
      <c r="V428" s="98">
        <f>IF(G428="","",IF(T428="OK","NONE",INDEX({"S1","S2","W1","W2","N1","N2"},MATCH(MAX(K428:P428),K428:P428,0))))</f>
        <v/>
      </c>
      <c r="W428" s="71">
        <f>IF(G428="","",IF(V428=E428,1,0))</f>
        <v/>
      </c>
      <c r="X428" s="115">
        <f>IF(G428="","",IF(AND(T428="NG",S428&lt;$B$7),"AMBIGUOUS","CONFIDENT"))</f>
        <v/>
      </c>
    </row>
    <row r="429">
      <c r="A429" s="108">
        <f>'Runs Z score'!A422</f>
        <v/>
      </c>
      <c r="B429" s="109">
        <f>'Runs Z score'!B422</f>
        <v/>
      </c>
      <c r="C429" s="109">
        <f>'Runs Z score'!C422</f>
        <v/>
      </c>
      <c r="D429" s="109">
        <f>'Runs Z score'!D422</f>
        <v/>
      </c>
      <c r="E429" s="109">
        <f>'Runs Z score'!E422</f>
        <v/>
      </c>
      <c r="F429" s="109">
        <f>'Runs Z score'!F422</f>
        <v/>
      </c>
      <c r="G429" s="110">
        <f>'Runs Z score'!G422</f>
        <v/>
      </c>
      <c r="H429" s="111">
        <f>VLOOKUP(C429,Recipes!$A$2:$N$4,10,FALSE())</f>
        <v/>
      </c>
      <c r="I429" s="112">
        <f>VLOOKUP(C429,Recipes!$A$2:$N$4,12,FALSE())</f>
        <v/>
      </c>
      <c r="J429" s="111">
        <f>IF(G429="","",H429-G429)</f>
        <v/>
      </c>
      <c r="K429" s="111">
        <f>IF(G429="","",-0.5*((J429-Components!$D$2)/Components!$E$2)^2)</f>
        <v/>
      </c>
      <c r="L429" s="111">
        <f>IF(G429="","",-0.5*((J429-Components!$D$3)/Components!$E$3)^2)</f>
        <v/>
      </c>
      <c r="M429" s="111">
        <f>IF(G429="","",-0.5*((J429-Components!$D$4)/Components!$E$4)^2)</f>
        <v/>
      </c>
      <c r="N429" s="111">
        <f>IF(G429="","",-0.5*((J429-Components!$D$5)/Components!$E$5)^2)</f>
        <v/>
      </c>
      <c r="O429" s="111">
        <f>IF(G429="","",-0.5*((J429-Components!$D$6)/Components!$E$6)^2)</f>
        <v/>
      </c>
      <c r="P429" s="111">
        <f>IF(G429="","",-0.5*((J429-Components!$D$7)/Components!$E$7)^2)</f>
        <v/>
      </c>
      <c r="Q429" s="111">
        <f>IF(G429="","",EXP(LARGE(K429:P429,1)-MAX(K429:P429))/(EXP(K429-MAX(K429:P429))+EXP(L429-MAX(K429:P429))+EXP(M429-MAX(K429:P429))+EXP(N429-MAX(K429:P429))+EXP(O429-MAX(K429:P429))+EXP(P429-MAX(K429:P429))))</f>
        <v/>
      </c>
      <c r="R429" s="111">
        <f>IF(G429="","",EXP(LARGE(K429:P429,2)-MAX(K429:P429))/(EXP(K429-MAX(K429:P429))+EXP(L429-MAX(K429:P429))+EXP(M429-MAX(K429:P429))+EXP(N429-MAX(K429:P429))+EXP(O429-MAX(K429:P429))+EXP(P429-MAX(K429:P429))))</f>
        <v/>
      </c>
      <c r="S429" s="111">
        <f>IF(G429="","",Q429-R429)</f>
        <v/>
      </c>
      <c r="T429" s="109">
        <f>IF(G429="","",IF(AND(G429&gt;=H429-$B$6*I429,G429&lt;=H429+$B$6*I429),"OK","NG"))</f>
        <v/>
      </c>
      <c r="U429" s="113">
        <f>IF(T429="","",IF(T429=D429,1,0))</f>
        <v/>
      </c>
      <c r="V429" s="109">
        <f>IF(G429="","",IF(T429="OK","NONE",INDEX({"S1","S2","W1","W2","N1","N2"},MATCH(MAX(K429:P429),K429:P429,0))))</f>
        <v/>
      </c>
      <c r="W429" s="113">
        <f>IF(G429="","",IF(V429=E429,1,0))</f>
        <v/>
      </c>
      <c r="X429" s="116">
        <f>IF(G429="","",IF(AND(T429="NG",S429&lt;$B$7),"AMBIGUOUS","CONFIDENT"))</f>
        <v/>
      </c>
    </row>
    <row r="432">
      <c r="A432" s="165" t="inlineStr">
        <is>
          <t>RESUMEN GMM</t>
        </is>
      </c>
    </row>
    <row r="433">
      <c r="A433" t="inlineStr">
        <is>
          <t>Total runs</t>
        </is>
      </c>
      <c r="B433" s="58">
        <f>COUNTA(G10:G429)</f>
        <v/>
      </c>
    </row>
    <row r="434">
      <c r="A434" t="inlineStr">
        <is>
          <t>L1 Accuracy (global)</t>
        </is>
      </c>
      <c r="B434" s="58">
        <f>IFERROR(AVERAGE(U10:U429),0)</f>
        <v/>
      </c>
    </row>
    <row r="435">
      <c r="A435" t="inlineStr">
        <is>
          <t>L2 Accuracy (NG only)</t>
        </is>
      </c>
      <c r="B435" s="58">
        <f>IFERROR(AVERAGEIFS(W10:W429,D10:D429,"NG"),0)</f>
        <v/>
      </c>
    </row>
    <row r="436">
      <c r="A436" t="inlineStr">
        <is>
          <t>False Positives</t>
        </is>
      </c>
      <c r="B436" s="58">
        <f>COUNTIFS(D10:D429,"OK",T10:T429,"NG")</f>
        <v/>
      </c>
    </row>
    <row r="437">
      <c r="A437" t="inlineStr">
        <is>
          <t>False Negatives</t>
        </is>
      </c>
      <c r="B437" s="58">
        <f>COUNTIFS(D10:D429,"NG",T10:T429,"OK")</f>
        <v/>
      </c>
    </row>
    <row r="438">
      <c r="A438" t="inlineStr">
        <is>
          <t>AMBIGUOUS flagged</t>
        </is>
      </c>
      <c r="B438" s="58">
        <f>COUNTIF(X10:X429,"AMBIGUOUS")</f>
        <v/>
      </c>
    </row>
    <row r="439">
      <c r="A439" t="inlineStr">
        <is>
          <t>% AMBIGUOUS de NG</t>
        </is>
      </c>
      <c r="B439" s="58">
        <f>IFERROR(COUNTIF(X10:X429,"AMBIGUOUS")/COUNTIF(D10:D429,"NG"),0)</f>
        <v/>
      </c>
    </row>
    <row r="442">
      <c r="A442" s="165" t="inlineStr">
        <is>
          <t>POR RECETA</t>
        </is>
      </c>
    </row>
    <row r="443">
      <c r="A443" s="55" t="inlineStr">
        <is>
          <t>Recipe</t>
        </is>
      </c>
      <c r="B443" s="55" t="inlineStr">
        <is>
          <t>L1 Acc</t>
        </is>
      </c>
      <c r="C443" s="55" t="inlineStr">
        <is>
          <t>L2 Acc</t>
        </is>
      </c>
      <c r="D443" s="55" t="inlineStr">
        <is>
          <t>% AMBIG (de NG)</t>
        </is>
      </c>
    </row>
    <row r="444">
      <c r="A444" t="inlineStr">
        <is>
          <t>R3</t>
        </is>
      </c>
      <c r="B444">
        <f>IFERROR(AVERAGEIFS(U10:U429,C10:C429,"R3"),0)</f>
        <v/>
      </c>
      <c r="C444">
        <f>IFERROR(AVERAGEIFS(W10:W429,C10:C429,"R3",D10:D429,"NG"),0)</f>
        <v/>
      </c>
      <c r="D444">
        <f>IFERROR(COUNTIFS(X10:X429,"AMBIGUOUS",C10:C429,"R3")/COUNTIFS(D10:D429,"NG",C10:C429,"R3"),0)</f>
        <v/>
      </c>
    </row>
    <row r="445">
      <c r="A445" t="inlineStr">
        <is>
          <t>R4</t>
        </is>
      </c>
      <c r="B445">
        <f>IFERROR(AVERAGEIFS(U10:U429,C10:C429,"R4"),0)</f>
        <v/>
      </c>
      <c r="C445">
        <f>IFERROR(AVERAGEIFS(W10:W429,C10:C429,"R4",D10:D429,"NG"),0)</f>
        <v/>
      </c>
      <c r="D445">
        <f>IFERROR(COUNTIFS(X10:X429,"AMBIGUOUS",C10:C429,"R4")/COUNTIFS(D10:D429,"NG",C10:C429,"R4"),0)</f>
        <v/>
      </c>
    </row>
    <row r="446">
      <c r="A446" t="inlineStr">
        <is>
          <t>R6</t>
        </is>
      </c>
      <c r="B446">
        <f>IFERROR(AVERAGEIFS(U10:U429,C10:C429,"R6"),0)</f>
        <v/>
      </c>
      <c r="C446">
        <f>IFERROR(AVERAGEIFS(W10:W429,C10:C429,"R6",D10:D429,"NG"),0)</f>
        <v/>
      </c>
      <c r="D446">
        <f>IFERROR(COUNTIFS(X10:X429,"AMBIGUOUS",C10:C429,"R6")/COUNTIFS(D10:D429,"NG",C10:C429,"R6"),0)</f>
        <v/>
      </c>
    </row>
    <row r="447">
      <c r="C447">
        <f>AVERAGE(C444:C446)</f>
        <v/>
      </c>
    </row>
    <row r="449">
      <c r="A449" s="59" t="inlineStr">
        <is>
          <t>NOTAS</t>
        </is>
      </c>
    </row>
    <row r="450">
      <c r="A450" s="162" t="inlineStr">
        <is>
          <t>GMM trata cada hipótesis 'falta componente X' como una distribución Gaussiana.</t>
        </is>
      </c>
    </row>
    <row r="451">
      <c r="A451" s="162" t="inlineStr">
        <is>
          <t>Para un kit NG, evalúa P(deficit | falta X) bajo cada hipótesis y elige la más probable.</t>
        </is>
      </c>
    </row>
    <row r="452">
      <c r="A452" s="162" t="inlineStr">
        <is>
          <t>Las columnas K-P son LOG-likelihoods (más estables numéricamente que likelihoods directas).</t>
        </is>
      </c>
    </row>
    <row r="453">
      <c r="A453" s="162" t="inlineStr">
        <is>
          <t>La constante log(σ√2π) se cancela al normalizar via softmax, por eso solo aparece el término -0.5*((d-μ)/σ)^2.</t>
        </is>
      </c>
    </row>
    <row r="454">
      <c r="A454" s="162" t="inlineStr">
        <is>
          <t>Q (P_top1) y R (P_top2) son las dos probabilidades más altas, normalizadas (suman ≤1).</t>
        </is>
      </c>
    </row>
    <row r="455">
      <c r="A455" s="162" t="inlineStr">
        <is>
          <t>S (margen) = Q − R. Si margen &lt; 0.15 → kit en zona ambigua → flag AMBIGUOUS.</t>
        </is>
      </c>
    </row>
    <row r="456">
      <c r="A456" s="162" t="inlineStr">
        <is>
          <t>Ventaja sobre L2 actual: no solo dice 'falta X', dice 'falta X con probabilidad 0.52, o N1 con 0.46'.</t>
        </is>
      </c>
    </row>
    <row r="457">
      <c r="A457" s="162" t="inlineStr">
        <is>
          <t>El flag AMBIGUOUS se activa automáticamente; tu HMI lo puede usar para pedir inspección manual.</t>
        </is>
      </c>
    </row>
  </sheetData>
  <mergeCells count="10">
    <mergeCell ref="A456:H456"/>
    <mergeCell ref="A457:H457"/>
    <mergeCell ref="A451:H451"/>
    <mergeCell ref="A2:H2"/>
    <mergeCell ref="A454:H454"/>
    <mergeCell ref="A455:H455"/>
    <mergeCell ref="A450:H450"/>
    <mergeCell ref="A453:H453"/>
    <mergeCell ref="A1:H1"/>
    <mergeCell ref="A452:H45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X455"/>
  <sheetViews>
    <sheetView workbookViewId="0">
      <pane ySplit="9" topLeftCell="A16" activePane="bottomLeft" state="frozen"/>
      <selection pane="bottomLeft" activeCell="A1" sqref="A1:X1"/>
    </sheetView>
  </sheetViews>
  <sheetFormatPr baseColWidth="8" defaultRowHeight="15"/>
  <cols>
    <col width="8" customWidth="1" style="180" min="1" max="1"/>
    <col width="12" customWidth="1" style="180" min="2" max="2"/>
    <col width="9" customWidth="1" style="180" min="3" max="3"/>
    <col width="11" customWidth="1" style="180" min="4" max="4"/>
    <col width="15" customWidth="1" style="180" min="5" max="5"/>
    <col width="9" customWidth="1" style="180" min="6" max="6"/>
    <col width="15" customWidth="1" style="180" min="7" max="8"/>
    <col width="12" customWidth="1" style="180" min="9" max="9"/>
    <col width="11" customWidth="1" style="180" min="10" max="10"/>
    <col width="12" customWidth="1" style="180" min="11" max="16"/>
    <col width="11" customWidth="1" style="180" min="17" max="23"/>
    <col width="13" customWidth="1" style="180" min="24" max="24"/>
  </cols>
  <sheetData>
    <row r="1" ht="18" customHeight="1" s="180">
      <c r="A1" s="167" t="inlineStr">
        <is>
          <t>RUNS 1.0 + BAYES ÓPTIMO</t>
        </is>
      </c>
    </row>
    <row r="2">
      <c r="A2" s="166" t="inlineStr">
        <is>
          <t>L1 = Runs 1.0 (k=3, |w−μ| ≤ 3σ). L2 = Bayes Óptimo: argmax log N(deficit | μ_i, σ_i²) evaluando contra UNA unidad de cada componente.</t>
        </is>
      </c>
    </row>
    <row r="3">
      <c r="A3" s="166" t="inlineStr">
        <is>
          <t>Pondera por cantidad y varianza de cada componente. Genera probabilidades calibradas y flag AMBIGUOUS si margen &lt; 0.15.</t>
        </is>
      </c>
    </row>
    <row r="5">
      <c r="A5" s="143" t="inlineStr">
        <is>
          <t>PARÁMETROS</t>
        </is>
      </c>
    </row>
    <row r="6">
      <c r="A6" s="131" t="inlineStr">
        <is>
          <t>k (L1 sigma)</t>
        </is>
      </c>
      <c r="B6" s="132" t="n">
        <v>3</v>
      </c>
    </row>
    <row r="7">
      <c r="A7" s="131" t="inlineStr">
        <is>
          <t>Margen AMBIGUOUS</t>
        </is>
      </c>
      <c r="B7" s="132" t="n">
        <v>0.15</v>
      </c>
    </row>
    <row r="9" ht="32.1" customHeight="1" s="180">
      <c r="A9" s="118" t="inlineStr">
        <is>
          <t>run_id</t>
        </is>
      </c>
      <c r="B9" s="118" t="inlineStr">
        <is>
          <t>execution_order</t>
        </is>
      </c>
      <c r="C9" s="118" t="inlineStr">
        <is>
          <t>recipe</t>
        </is>
      </c>
      <c r="D9" s="118" t="inlineStr">
        <is>
          <t>condition</t>
        </is>
      </c>
      <c r="E9" s="118" t="inlineStr">
        <is>
          <t>missing_component</t>
        </is>
      </c>
      <c r="F9" s="118" t="inlineStr">
        <is>
          <t>kit_id</t>
        </is>
      </c>
      <c r="G9" s="118" t="inlineStr">
        <is>
          <t>measured_weight_g</t>
        </is>
      </c>
      <c r="H9" s="118" t="inlineStr">
        <is>
          <t>expected_weight</t>
        </is>
      </c>
      <c r="I9" s="118" t="inlineStr">
        <is>
          <t>expected_std</t>
        </is>
      </c>
      <c r="J9" s="118" t="inlineStr">
        <is>
          <t>deficit</t>
        </is>
      </c>
      <c r="K9" s="118" t="inlineStr">
        <is>
          <t>logL_S1</t>
        </is>
      </c>
      <c r="L9" s="118" t="inlineStr">
        <is>
          <t>logL_S2</t>
        </is>
      </c>
      <c r="M9" s="118" t="inlineStr">
        <is>
          <t>logL_W1</t>
        </is>
      </c>
      <c r="N9" s="118" t="inlineStr">
        <is>
          <t>logL_W2</t>
        </is>
      </c>
      <c r="O9" s="118" t="inlineStr">
        <is>
          <t>logL_N1</t>
        </is>
      </c>
      <c r="P9" s="118" t="inlineStr">
        <is>
          <t>logL_N2</t>
        </is>
      </c>
      <c r="Q9" s="118" t="inlineStr">
        <is>
          <t>P_top1</t>
        </is>
      </c>
      <c r="R9" s="118" t="inlineStr">
        <is>
          <t>P_top2</t>
        </is>
      </c>
      <c r="S9" s="118" t="inlineStr">
        <is>
          <t>margen</t>
        </is>
      </c>
      <c r="T9" s="118" t="inlineStr">
        <is>
          <t>L1_pred</t>
        </is>
      </c>
      <c r="U9" s="118" t="inlineStr">
        <is>
          <t>L1_correct</t>
        </is>
      </c>
      <c r="V9" s="118" t="inlineStr">
        <is>
          <t>L2_pred</t>
        </is>
      </c>
      <c r="W9" s="118" t="inlineStr">
        <is>
          <t>L2_correct</t>
        </is>
      </c>
      <c r="X9" s="118" t="inlineStr">
        <is>
          <t>ambiguous</t>
        </is>
      </c>
    </row>
    <row r="10">
      <c r="A10">
        <f>'Runs Z score'!A3</f>
        <v/>
      </c>
      <c r="B10">
        <f>'Runs Z score'!B3</f>
        <v/>
      </c>
      <c r="C10">
        <f>'Runs Z score'!C3</f>
        <v/>
      </c>
      <c r="D10">
        <f>'Runs Z score'!D3</f>
        <v/>
      </c>
      <c r="E10">
        <f>'Runs Z score'!E3</f>
        <v/>
      </c>
      <c r="F10">
        <f>'Runs Z score'!F3</f>
        <v/>
      </c>
      <c r="G10">
        <f>'Runs Z score'!G3</f>
        <v/>
      </c>
      <c r="H10">
        <f>VLOOKUP(C10,Recipes!$A$2:$N$4,10,FALSE())</f>
        <v/>
      </c>
      <c r="I10">
        <f>VLOOKUP(C10,Recipes!$A$2:$N$4,12,FALSE())</f>
        <v/>
      </c>
      <c r="J10">
        <f>IF(G10="","",H10-G10)</f>
        <v/>
      </c>
      <c r="K10">
        <f>IF(G10="","",IF(VLOOKUP(C10,Recipes!$A$2:$N$4,4,FALSE())=0,-1E+300,-0.5*((J10-Components!$D$2)/Components!$E$2)^2))</f>
        <v/>
      </c>
      <c r="L10">
        <f>IF(G10="","",IF(VLOOKUP(C10,Recipes!$A$2:$N$4,5,FALSE())=0,-1E+300,-0.5*((J10-Components!$D$3)/Components!$E$3)^2))</f>
        <v/>
      </c>
      <c r="M10">
        <f>IF(G10="","",IF(VLOOKUP(C10,Recipes!$A$2:$N$4,6,FALSE())=0,-1E+300,-0.5*((J10-Components!$D$4)/Components!$E$4)^2))</f>
        <v/>
      </c>
      <c r="N10">
        <f>IF(G10="","",IF(VLOOKUP(C10,Recipes!$A$2:$N$4,7,FALSE())=0,-1E+300,-0.5*((J10-Components!$D$5)/Components!$E$5)^2))</f>
        <v/>
      </c>
      <c r="O10">
        <f>IF(G10="","",IF(VLOOKUP(C10,Recipes!$A$2:$N$4,8,FALSE())=0,-1E+300,-0.5*((J10-Components!$D$6)/Components!$E$6)^2))</f>
        <v/>
      </c>
      <c r="P10">
        <f>IF(G10="","",IF(VLOOKUP(C10,Recipes!$A$2:$N$4,9,FALSE())=0,-1E+300,-0.5*((J10-Components!$D$7)/Components!$E$7)^2))</f>
        <v/>
      </c>
      <c r="Q10">
        <f>IF(G10="","",EXP(LARGE(K10:P10,1)-MAX(K10:P10))/(EXP(K10-MAX(K10:P10))+EXP(L10-MAX(K10:P10))+EXP(M10-MAX(K10:P10))+EXP(N10-MAX(K10:P10))+EXP(O10-MAX(K10:P10))+EXP(P10-MAX(K10:P10))))</f>
        <v/>
      </c>
      <c r="R10">
        <f>IF(G10="","",EXP(LARGE(K10:P10,2)-MAX(K10:P10))/(EXP(K10-MAX(K10:P10))+EXP(L10-MAX(K10:P10))+EXP(M10-MAX(K10:P10))+EXP(N10-MAX(K10:P10))+EXP(O10-MAX(K10:P10))+EXP(P10-MAX(K10:P10))))</f>
        <v/>
      </c>
      <c r="S10">
        <f>IF(G10="","",Q10-R10)</f>
        <v/>
      </c>
      <c r="T10">
        <f>IF(G10="","",IF(ABS(G10-H10)&lt;=$B$6*I10,"OK","NG"))</f>
        <v/>
      </c>
      <c r="U10">
        <f>IF(T10="","",IF(T10=D10,1,0))</f>
        <v/>
      </c>
      <c r="V10">
        <f>IF(G10="","",IF(T10="OK","NONE",INDEX({"S1","S2","W1","W2","N1","N2"},MATCH(MAX(K10:P10),K10:P10,0))))</f>
        <v/>
      </c>
      <c r="W10">
        <f>IF(G10="","",IF(V10=E10,1,0))</f>
        <v/>
      </c>
      <c r="X10">
        <f>IF(G10="","",IF(AND(T10="NG",S10&lt;$B$7),"AMBIGUOUS","CONFIDENT"))</f>
        <v/>
      </c>
    </row>
    <row r="11">
      <c r="A11">
        <f>'Runs Z score'!A4</f>
        <v/>
      </c>
      <c r="B11">
        <f>'Runs Z score'!B4</f>
        <v/>
      </c>
      <c r="C11">
        <f>'Runs Z score'!C4</f>
        <v/>
      </c>
      <c r="D11">
        <f>'Runs Z score'!D4</f>
        <v/>
      </c>
      <c r="E11">
        <f>'Runs Z score'!E4</f>
        <v/>
      </c>
      <c r="F11">
        <f>'Runs Z score'!F4</f>
        <v/>
      </c>
      <c r="G11">
        <f>'Runs Z score'!G4</f>
        <v/>
      </c>
      <c r="H11">
        <f>VLOOKUP(C11,Recipes!$A$2:$N$4,10,FALSE())</f>
        <v/>
      </c>
      <c r="I11">
        <f>VLOOKUP(C11,Recipes!$A$2:$N$4,12,FALSE())</f>
        <v/>
      </c>
      <c r="J11">
        <f>IF(G11="","",H11-G11)</f>
        <v/>
      </c>
      <c r="K11">
        <f>IF(G11="","",IF(VLOOKUP(C11,Recipes!$A$2:$N$4,4,FALSE())=0,-1E+300,-0.5*((J11-Components!$D$2)/Components!$E$2)^2))</f>
        <v/>
      </c>
      <c r="L11">
        <f>IF(G11="","",IF(VLOOKUP(C11,Recipes!$A$2:$N$4,5,FALSE())=0,-1E+300,-0.5*((J11-Components!$D$3)/Components!$E$3)^2))</f>
        <v/>
      </c>
      <c r="M11">
        <f>IF(G11="","",IF(VLOOKUP(C11,Recipes!$A$2:$N$4,6,FALSE())=0,-1E+300,-0.5*((J11-Components!$D$4)/Components!$E$4)^2))</f>
        <v/>
      </c>
      <c r="N11">
        <f>IF(G11="","",IF(VLOOKUP(C11,Recipes!$A$2:$N$4,7,FALSE())=0,-1E+300,-0.5*((J11-Components!$D$5)/Components!$E$5)^2))</f>
        <v/>
      </c>
      <c r="O11">
        <f>IF(G11="","",IF(VLOOKUP(C11,Recipes!$A$2:$N$4,8,FALSE())=0,-1E+300,-0.5*((J11-Components!$D$6)/Components!$E$6)^2))</f>
        <v/>
      </c>
      <c r="P11">
        <f>IF(G11="","",IF(VLOOKUP(C11,Recipes!$A$2:$N$4,9,FALSE())=0,-1E+300,-0.5*((J11-Components!$D$7)/Components!$E$7)^2))</f>
        <v/>
      </c>
      <c r="Q11">
        <f>IF(G11="","",EXP(LARGE(K11:P11,1)-MAX(K11:P11))/(EXP(K11-MAX(K11:P11))+EXP(L11-MAX(K11:P11))+EXP(M11-MAX(K11:P11))+EXP(N11-MAX(K11:P11))+EXP(O11-MAX(K11:P11))+EXP(P11-MAX(K11:P11))))</f>
        <v/>
      </c>
      <c r="R11">
        <f>IF(G11="","",EXP(LARGE(K11:P11,2)-MAX(K11:P11))/(EXP(K11-MAX(K11:P11))+EXP(L11-MAX(K11:P11))+EXP(M11-MAX(K11:P11))+EXP(N11-MAX(K11:P11))+EXP(O11-MAX(K11:P11))+EXP(P11-MAX(K11:P11))))</f>
        <v/>
      </c>
      <c r="S11">
        <f>IF(G11="","",Q11-R11)</f>
        <v/>
      </c>
      <c r="T11">
        <f>IF(G11="","",IF(ABS(G11-H11)&lt;=$B$6*I11,"OK","NG"))</f>
        <v/>
      </c>
      <c r="U11">
        <f>IF(T11="","",IF(T11=D11,1,0))</f>
        <v/>
      </c>
      <c r="V11">
        <f>IF(G11="","",IF(T11="OK","NONE",INDEX({"S1","S2","W1","W2","N1","N2"},MATCH(MAX(K11:P11),K11:P11,0))))</f>
        <v/>
      </c>
      <c r="W11">
        <f>IF(G11="","",IF(V11=E11,1,0))</f>
        <v/>
      </c>
      <c r="X11">
        <f>IF(G11="","",IF(AND(T11="NG",S11&lt;$B$7),"AMBIGUOUS","CONFIDENT"))</f>
        <v/>
      </c>
    </row>
    <row r="12">
      <c r="A12">
        <f>'Runs Z score'!A5</f>
        <v/>
      </c>
      <c r="B12">
        <f>'Runs Z score'!B5</f>
        <v/>
      </c>
      <c r="C12">
        <f>'Runs Z score'!C5</f>
        <v/>
      </c>
      <c r="D12">
        <f>'Runs Z score'!D5</f>
        <v/>
      </c>
      <c r="E12">
        <f>'Runs Z score'!E5</f>
        <v/>
      </c>
      <c r="F12">
        <f>'Runs Z score'!F5</f>
        <v/>
      </c>
      <c r="G12">
        <f>'Runs Z score'!G5</f>
        <v/>
      </c>
      <c r="H12">
        <f>VLOOKUP(C12,Recipes!$A$2:$N$4,10,FALSE())</f>
        <v/>
      </c>
      <c r="I12">
        <f>VLOOKUP(C12,Recipes!$A$2:$N$4,12,FALSE())</f>
        <v/>
      </c>
      <c r="J12">
        <f>IF(G12="","",H12-G12)</f>
        <v/>
      </c>
      <c r="K12">
        <f>IF(G12="","",IF(VLOOKUP(C12,Recipes!$A$2:$N$4,4,FALSE())=0,-1E+300,-0.5*((J12-Components!$D$2)/Components!$E$2)^2))</f>
        <v/>
      </c>
      <c r="L12">
        <f>IF(G12="","",IF(VLOOKUP(C12,Recipes!$A$2:$N$4,5,FALSE())=0,-1E+300,-0.5*((J12-Components!$D$3)/Components!$E$3)^2))</f>
        <v/>
      </c>
      <c r="M12">
        <f>IF(G12="","",IF(VLOOKUP(C12,Recipes!$A$2:$N$4,6,FALSE())=0,-1E+300,-0.5*((J12-Components!$D$4)/Components!$E$4)^2))</f>
        <v/>
      </c>
      <c r="N12">
        <f>IF(G12="","",IF(VLOOKUP(C12,Recipes!$A$2:$N$4,7,FALSE())=0,-1E+300,-0.5*((J12-Components!$D$5)/Components!$E$5)^2))</f>
        <v/>
      </c>
      <c r="O12">
        <f>IF(G12="","",IF(VLOOKUP(C12,Recipes!$A$2:$N$4,8,FALSE())=0,-1E+300,-0.5*((J12-Components!$D$6)/Components!$E$6)^2))</f>
        <v/>
      </c>
      <c r="P12">
        <f>IF(G12="","",IF(VLOOKUP(C12,Recipes!$A$2:$N$4,9,FALSE())=0,-1E+300,-0.5*((J12-Components!$D$7)/Components!$E$7)^2))</f>
        <v/>
      </c>
      <c r="Q12">
        <f>IF(G12="","",EXP(LARGE(K12:P12,1)-MAX(K12:P12))/(EXP(K12-MAX(K12:P12))+EXP(L12-MAX(K12:P12))+EXP(M12-MAX(K12:P12))+EXP(N12-MAX(K12:P12))+EXP(O12-MAX(K12:P12))+EXP(P12-MAX(K12:P12))))</f>
        <v/>
      </c>
      <c r="R12">
        <f>IF(G12="","",EXP(LARGE(K12:P12,2)-MAX(K12:P12))/(EXP(K12-MAX(K12:P12))+EXP(L12-MAX(K12:P12))+EXP(M12-MAX(K12:P12))+EXP(N12-MAX(K12:P12))+EXP(O12-MAX(K12:P12))+EXP(P12-MAX(K12:P12))))</f>
        <v/>
      </c>
      <c r="S12">
        <f>IF(G12="","",Q12-R12)</f>
        <v/>
      </c>
      <c r="T12">
        <f>IF(G12="","",IF(ABS(G12-H12)&lt;=$B$6*I12,"OK","NG"))</f>
        <v/>
      </c>
      <c r="U12">
        <f>IF(T12="","",IF(T12=D12,1,0))</f>
        <v/>
      </c>
      <c r="V12">
        <f>IF(G12="","",IF(T12="OK","NONE",INDEX({"S1","S2","W1","W2","N1","N2"},MATCH(MAX(K12:P12),K12:P12,0))))</f>
        <v/>
      </c>
      <c r="W12">
        <f>IF(G12="","",IF(V12=E12,1,0))</f>
        <v/>
      </c>
      <c r="X12">
        <f>IF(G12="","",IF(AND(T12="NG",S12&lt;$B$7),"AMBIGUOUS","CONFIDENT"))</f>
        <v/>
      </c>
    </row>
    <row r="13">
      <c r="A13">
        <f>'Runs Z score'!A6</f>
        <v/>
      </c>
      <c r="B13">
        <f>'Runs Z score'!B6</f>
        <v/>
      </c>
      <c r="C13">
        <f>'Runs Z score'!C6</f>
        <v/>
      </c>
      <c r="D13">
        <f>'Runs Z score'!D6</f>
        <v/>
      </c>
      <c r="E13">
        <f>'Runs Z score'!E6</f>
        <v/>
      </c>
      <c r="F13">
        <f>'Runs Z score'!F6</f>
        <v/>
      </c>
      <c r="G13">
        <f>'Runs Z score'!G6</f>
        <v/>
      </c>
      <c r="H13">
        <f>VLOOKUP(C13,Recipes!$A$2:$N$4,10,FALSE())</f>
        <v/>
      </c>
      <c r="I13">
        <f>VLOOKUP(C13,Recipes!$A$2:$N$4,12,FALSE())</f>
        <v/>
      </c>
      <c r="J13">
        <f>IF(G13="","",H13-G13)</f>
        <v/>
      </c>
      <c r="K13">
        <f>IF(G13="","",IF(VLOOKUP(C13,Recipes!$A$2:$N$4,4,FALSE())=0,-1E+300,-0.5*((J13-Components!$D$2)/Components!$E$2)^2))</f>
        <v/>
      </c>
      <c r="L13">
        <f>IF(G13="","",IF(VLOOKUP(C13,Recipes!$A$2:$N$4,5,FALSE())=0,-1E+300,-0.5*((J13-Components!$D$3)/Components!$E$3)^2))</f>
        <v/>
      </c>
      <c r="M13">
        <f>IF(G13="","",IF(VLOOKUP(C13,Recipes!$A$2:$N$4,6,FALSE())=0,-1E+300,-0.5*((J13-Components!$D$4)/Components!$E$4)^2))</f>
        <v/>
      </c>
      <c r="N13">
        <f>IF(G13="","",IF(VLOOKUP(C13,Recipes!$A$2:$N$4,7,FALSE())=0,-1E+300,-0.5*((J13-Components!$D$5)/Components!$E$5)^2))</f>
        <v/>
      </c>
      <c r="O13">
        <f>IF(G13="","",IF(VLOOKUP(C13,Recipes!$A$2:$N$4,8,FALSE())=0,-1E+300,-0.5*((J13-Components!$D$6)/Components!$E$6)^2))</f>
        <v/>
      </c>
      <c r="P13">
        <f>IF(G13="","",IF(VLOOKUP(C13,Recipes!$A$2:$N$4,9,FALSE())=0,-1E+300,-0.5*((J13-Components!$D$7)/Components!$E$7)^2))</f>
        <v/>
      </c>
      <c r="Q13">
        <f>IF(G13="","",EXP(LARGE(K13:P13,1)-MAX(K13:P13))/(EXP(K13-MAX(K13:P13))+EXP(L13-MAX(K13:P13))+EXP(M13-MAX(K13:P13))+EXP(N13-MAX(K13:P13))+EXP(O13-MAX(K13:P13))+EXP(P13-MAX(K13:P13))))</f>
        <v/>
      </c>
      <c r="R13">
        <f>IF(G13="","",EXP(LARGE(K13:P13,2)-MAX(K13:P13))/(EXP(K13-MAX(K13:P13))+EXP(L13-MAX(K13:P13))+EXP(M13-MAX(K13:P13))+EXP(N13-MAX(K13:P13))+EXP(O13-MAX(K13:P13))+EXP(P13-MAX(K13:P13))))</f>
        <v/>
      </c>
      <c r="S13">
        <f>IF(G13="","",Q13-R13)</f>
        <v/>
      </c>
      <c r="T13">
        <f>IF(G13="","",IF(ABS(G13-H13)&lt;=$B$6*I13,"OK","NG"))</f>
        <v/>
      </c>
      <c r="U13">
        <f>IF(T13="","",IF(T13=D13,1,0))</f>
        <v/>
      </c>
      <c r="V13">
        <f>IF(G13="","",IF(T13="OK","NONE",INDEX({"S1","S2","W1","W2","N1","N2"},MATCH(MAX(K13:P13),K13:P13,0))))</f>
        <v/>
      </c>
      <c r="W13">
        <f>IF(G13="","",IF(V13=E13,1,0))</f>
        <v/>
      </c>
      <c r="X13">
        <f>IF(G13="","",IF(AND(T13="NG",S13&lt;$B$7),"AMBIGUOUS","CONFIDENT"))</f>
        <v/>
      </c>
    </row>
    <row r="14">
      <c r="A14">
        <f>'Runs Z score'!A7</f>
        <v/>
      </c>
      <c r="B14">
        <f>'Runs Z score'!B7</f>
        <v/>
      </c>
      <c r="C14">
        <f>'Runs Z score'!C7</f>
        <v/>
      </c>
      <c r="D14">
        <f>'Runs Z score'!D7</f>
        <v/>
      </c>
      <c r="E14">
        <f>'Runs Z score'!E7</f>
        <v/>
      </c>
      <c r="F14">
        <f>'Runs Z score'!F7</f>
        <v/>
      </c>
      <c r="G14">
        <f>'Runs Z score'!G7</f>
        <v/>
      </c>
      <c r="H14">
        <f>VLOOKUP(C14,Recipes!$A$2:$N$4,10,FALSE())</f>
        <v/>
      </c>
      <c r="I14">
        <f>VLOOKUP(C14,Recipes!$A$2:$N$4,12,FALSE())</f>
        <v/>
      </c>
      <c r="J14">
        <f>IF(G14="","",H14-G14)</f>
        <v/>
      </c>
      <c r="K14">
        <f>IF(G14="","",IF(VLOOKUP(C14,Recipes!$A$2:$N$4,4,FALSE())=0,-1E+300,-0.5*((J14-Components!$D$2)/Components!$E$2)^2))</f>
        <v/>
      </c>
      <c r="L14">
        <f>IF(G14="","",IF(VLOOKUP(C14,Recipes!$A$2:$N$4,5,FALSE())=0,-1E+300,-0.5*((J14-Components!$D$3)/Components!$E$3)^2))</f>
        <v/>
      </c>
      <c r="M14">
        <f>IF(G14="","",IF(VLOOKUP(C14,Recipes!$A$2:$N$4,6,FALSE())=0,-1E+300,-0.5*((J14-Components!$D$4)/Components!$E$4)^2))</f>
        <v/>
      </c>
      <c r="N14">
        <f>IF(G14="","",IF(VLOOKUP(C14,Recipes!$A$2:$N$4,7,FALSE())=0,-1E+300,-0.5*((J14-Components!$D$5)/Components!$E$5)^2))</f>
        <v/>
      </c>
      <c r="O14">
        <f>IF(G14="","",IF(VLOOKUP(C14,Recipes!$A$2:$N$4,8,FALSE())=0,-1E+300,-0.5*((J14-Components!$D$6)/Components!$E$6)^2))</f>
        <v/>
      </c>
      <c r="P14">
        <f>IF(G14="","",IF(VLOOKUP(C14,Recipes!$A$2:$N$4,9,FALSE())=0,-1E+300,-0.5*((J14-Components!$D$7)/Components!$E$7)^2))</f>
        <v/>
      </c>
      <c r="Q14">
        <f>IF(G14="","",EXP(LARGE(K14:P14,1)-MAX(K14:P14))/(EXP(K14-MAX(K14:P14))+EXP(L14-MAX(K14:P14))+EXP(M14-MAX(K14:P14))+EXP(N14-MAX(K14:P14))+EXP(O14-MAX(K14:P14))+EXP(P14-MAX(K14:P14))))</f>
        <v/>
      </c>
      <c r="R14">
        <f>IF(G14="","",EXP(LARGE(K14:P14,2)-MAX(K14:P14))/(EXP(K14-MAX(K14:P14))+EXP(L14-MAX(K14:P14))+EXP(M14-MAX(K14:P14))+EXP(N14-MAX(K14:P14))+EXP(O14-MAX(K14:P14))+EXP(P14-MAX(K14:P14))))</f>
        <v/>
      </c>
      <c r="S14">
        <f>IF(G14="","",Q14-R14)</f>
        <v/>
      </c>
      <c r="T14">
        <f>IF(G14="","",IF(ABS(G14-H14)&lt;=$B$6*I14,"OK","NG"))</f>
        <v/>
      </c>
      <c r="U14">
        <f>IF(T14="","",IF(T14=D14,1,0))</f>
        <v/>
      </c>
      <c r="V14">
        <f>IF(G14="","",IF(T14="OK","NONE",INDEX({"S1","S2","W1","W2","N1","N2"},MATCH(MAX(K14:P14),K14:P14,0))))</f>
        <v/>
      </c>
      <c r="W14">
        <f>IF(G14="","",IF(V14=E14,1,0))</f>
        <v/>
      </c>
      <c r="X14">
        <f>IF(G14="","",IF(AND(T14="NG",S14&lt;$B$7),"AMBIGUOUS","CONFIDENT"))</f>
        <v/>
      </c>
    </row>
    <row r="15">
      <c r="A15">
        <f>'Runs Z score'!A8</f>
        <v/>
      </c>
      <c r="B15">
        <f>'Runs Z score'!B8</f>
        <v/>
      </c>
      <c r="C15">
        <f>'Runs Z score'!C8</f>
        <v/>
      </c>
      <c r="D15">
        <f>'Runs Z score'!D8</f>
        <v/>
      </c>
      <c r="E15">
        <f>'Runs Z score'!E8</f>
        <v/>
      </c>
      <c r="F15">
        <f>'Runs Z score'!F8</f>
        <v/>
      </c>
      <c r="G15">
        <f>'Runs Z score'!G8</f>
        <v/>
      </c>
      <c r="H15">
        <f>VLOOKUP(C15,Recipes!$A$2:$N$4,10,FALSE())</f>
        <v/>
      </c>
      <c r="I15">
        <f>VLOOKUP(C15,Recipes!$A$2:$N$4,12,FALSE())</f>
        <v/>
      </c>
      <c r="J15">
        <f>IF(G15="","",H15-G15)</f>
        <v/>
      </c>
      <c r="K15">
        <f>IF(G15="","",IF(VLOOKUP(C15,Recipes!$A$2:$N$4,4,FALSE())=0,-1E+300,-0.5*((J15-Components!$D$2)/Components!$E$2)^2))</f>
        <v/>
      </c>
      <c r="L15">
        <f>IF(G15="","",IF(VLOOKUP(C15,Recipes!$A$2:$N$4,5,FALSE())=0,-1E+300,-0.5*((J15-Components!$D$3)/Components!$E$3)^2))</f>
        <v/>
      </c>
      <c r="M15">
        <f>IF(G15="","",IF(VLOOKUP(C15,Recipes!$A$2:$N$4,6,FALSE())=0,-1E+300,-0.5*((J15-Components!$D$4)/Components!$E$4)^2))</f>
        <v/>
      </c>
      <c r="N15">
        <f>IF(G15="","",IF(VLOOKUP(C15,Recipes!$A$2:$N$4,7,FALSE())=0,-1E+300,-0.5*((J15-Components!$D$5)/Components!$E$5)^2))</f>
        <v/>
      </c>
      <c r="O15">
        <f>IF(G15="","",IF(VLOOKUP(C15,Recipes!$A$2:$N$4,8,FALSE())=0,-1E+300,-0.5*((J15-Components!$D$6)/Components!$E$6)^2))</f>
        <v/>
      </c>
      <c r="P15">
        <f>IF(G15="","",IF(VLOOKUP(C15,Recipes!$A$2:$N$4,9,FALSE())=0,-1E+300,-0.5*((J15-Components!$D$7)/Components!$E$7)^2))</f>
        <v/>
      </c>
      <c r="Q15">
        <f>IF(G15="","",EXP(LARGE(K15:P15,1)-MAX(K15:P15))/(EXP(K15-MAX(K15:P15))+EXP(L15-MAX(K15:P15))+EXP(M15-MAX(K15:P15))+EXP(N15-MAX(K15:P15))+EXP(O15-MAX(K15:P15))+EXP(P15-MAX(K15:P15))))</f>
        <v/>
      </c>
      <c r="R15">
        <f>IF(G15="","",EXP(LARGE(K15:P15,2)-MAX(K15:P15))/(EXP(K15-MAX(K15:P15))+EXP(L15-MAX(K15:P15))+EXP(M15-MAX(K15:P15))+EXP(N15-MAX(K15:P15))+EXP(O15-MAX(K15:P15))+EXP(P15-MAX(K15:P15))))</f>
        <v/>
      </c>
      <c r="S15">
        <f>IF(G15="","",Q15-R15)</f>
        <v/>
      </c>
      <c r="T15">
        <f>IF(G15="","",IF(ABS(G15-H15)&lt;=$B$6*I15,"OK","NG"))</f>
        <v/>
      </c>
      <c r="U15">
        <f>IF(T15="","",IF(T15=D15,1,0))</f>
        <v/>
      </c>
      <c r="V15">
        <f>IF(G15="","",IF(T15="OK","NONE",INDEX({"S1","S2","W1","W2","N1","N2"},MATCH(MAX(K15:P15),K15:P15,0))))</f>
        <v/>
      </c>
      <c r="W15">
        <f>IF(G15="","",IF(V15=E15,1,0))</f>
        <v/>
      </c>
      <c r="X15">
        <f>IF(G15="","",IF(AND(T15="NG",S15&lt;$B$7),"AMBIGUOUS","CONFIDENT"))</f>
        <v/>
      </c>
    </row>
    <row r="16">
      <c r="A16">
        <f>'Runs Z score'!A9</f>
        <v/>
      </c>
      <c r="B16">
        <f>'Runs Z score'!B9</f>
        <v/>
      </c>
      <c r="C16">
        <f>'Runs Z score'!C9</f>
        <v/>
      </c>
      <c r="D16">
        <f>'Runs Z score'!D9</f>
        <v/>
      </c>
      <c r="E16">
        <f>'Runs Z score'!E9</f>
        <v/>
      </c>
      <c r="F16">
        <f>'Runs Z score'!F9</f>
        <v/>
      </c>
      <c r="G16">
        <f>'Runs Z score'!G9</f>
        <v/>
      </c>
      <c r="H16">
        <f>VLOOKUP(C16,Recipes!$A$2:$N$4,10,FALSE())</f>
        <v/>
      </c>
      <c r="I16">
        <f>VLOOKUP(C16,Recipes!$A$2:$N$4,12,FALSE())</f>
        <v/>
      </c>
      <c r="J16">
        <f>IF(G16="","",H16-G16)</f>
        <v/>
      </c>
      <c r="K16">
        <f>IF(G16="","",IF(VLOOKUP(C16,Recipes!$A$2:$N$4,4,FALSE())=0,-1E+300,-0.5*((J16-Components!$D$2)/Components!$E$2)^2))</f>
        <v/>
      </c>
      <c r="L16">
        <f>IF(G16="","",IF(VLOOKUP(C16,Recipes!$A$2:$N$4,5,FALSE())=0,-1E+300,-0.5*((J16-Components!$D$3)/Components!$E$3)^2))</f>
        <v/>
      </c>
      <c r="M16">
        <f>IF(G16="","",IF(VLOOKUP(C16,Recipes!$A$2:$N$4,6,FALSE())=0,-1E+300,-0.5*((J16-Components!$D$4)/Components!$E$4)^2))</f>
        <v/>
      </c>
      <c r="N16">
        <f>IF(G16="","",IF(VLOOKUP(C16,Recipes!$A$2:$N$4,7,FALSE())=0,-1E+300,-0.5*((J16-Components!$D$5)/Components!$E$5)^2))</f>
        <v/>
      </c>
      <c r="O16">
        <f>IF(G16="","",IF(VLOOKUP(C16,Recipes!$A$2:$N$4,8,FALSE())=0,-1E+300,-0.5*((J16-Components!$D$6)/Components!$E$6)^2))</f>
        <v/>
      </c>
      <c r="P16">
        <f>IF(G16="","",IF(VLOOKUP(C16,Recipes!$A$2:$N$4,9,FALSE())=0,-1E+300,-0.5*((J16-Components!$D$7)/Components!$E$7)^2))</f>
        <v/>
      </c>
      <c r="Q16">
        <f>IF(G16="","",EXP(LARGE(K16:P16,1)-MAX(K16:P16))/(EXP(K16-MAX(K16:P16))+EXP(L16-MAX(K16:P16))+EXP(M16-MAX(K16:P16))+EXP(N16-MAX(K16:P16))+EXP(O16-MAX(K16:P16))+EXP(P16-MAX(K16:P16))))</f>
        <v/>
      </c>
      <c r="R16">
        <f>IF(G16="","",EXP(LARGE(K16:P16,2)-MAX(K16:P16))/(EXP(K16-MAX(K16:P16))+EXP(L16-MAX(K16:P16))+EXP(M16-MAX(K16:P16))+EXP(N16-MAX(K16:P16))+EXP(O16-MAX(K16:P16))+EXP(P16-MAX(K16:P16))))</f>
        <v/>
      </c>
      <c r="S16">
        <f>IF(G16="","",Q16-R16)</f>
        <v/>
      </c>
      <c r="T16">
        <f>IF(G16="","",IF(ABS(G16-H16)&lt;=$B$6*I16,"OK","NG"))</f>
        <v/>
      </c>
      <c r="U16">
        <f>IF(T16="","",IF(T16=D16,1,0))</f>
        <v/>
      </c>
      <c r="V16">
        <f>IF(G16="","",IF(T16="OK","NONE",INDEX({"S1","S2","W1","W2","N1","N2"},MATCH(MAX(K16:P16),K16:P16,0))))</f>
        <v/>
      </c>
      <c r="W16">
        <f>IF(G16="","",IF(V16=E16,1,0))</f>
        <v/>
      </c>
      <c r="X16">
        <f>IF(G16="","",IF(AND(T16="NG",S16&lt;$B$7),"AMBIGUOUS","CONFIDENT"))</f>
        <v/>
      </c>
    </row>
    <row r="17">
      <c r="A17">
        <f>'Runs Z score'!A10</f>
        <v/>
      </c>
      <c r="B17">
        <f>'Runs Z score'!B10</f>
        <v/>
      </c>
      <c r="C17">
        <f>'Runs Z score'!C10</f>
        <v/>
      </c>
      <c r="D17">
        <f>'Runs Z score'!D10</f>
        <v/>
      </c>
      <c r="E17">
        <f>'Runs Z score'!E10</f>
        <v/>
      </c>
      <c r="F17">
        <f>'Runs Z score'!F10</f>
        <v/>
      </c>
      <c r="G17">
        <f>'Runs Z score'!G10</f>
        <v/>
      </c>
      <c r="H17">
        <f>VLOOKUP(C17,Recipes!$A$2:$N$4,10,FALSE())</f>
        <v/>
      </c>
      <c r="I17">
        <f>VLOOKUP(C17,Recipes!$A$2:$N$4,12,FALSE())</f>
        <v/>
      </c>
      <c r="J17">
        <f>IF(G17="","",H17-G17)</f>
        <v/>
      </c>
      <c r="K17">
        <f>IF(G17="","",IF(VLOOKUP(C17,Recipes!$A$2:$N$4,4,FALSE())=0,-1E+300,-0.5*((J17-Components!$D$2)/Components!$E$2)^2))</f>
        <v/>
      </c>
      <c r="L17">
        <f>IF(G17="","",IF(VLOOKUP(C17,Recipes!$A$2:$N$4,5,FALSE())=0,-1E+300,-0.5*((J17-Components!$D$3)/Components!$E$3)^2))</f>
        <v/>
      </c>
      <c r="M17">
        <f>IF(G17="","",IF(VLOOKUP(C17,Recipes!$A$2:$N$4,6,FALSE())=0,-1E+300,-0.5*((J17-Components!$D$4)/Components!$E$4)^2))</f>
        <v/>
      </c>
      <c r="N17">
        <f>IF(G17="","",IF(VLOOKUP(C17,Recipes!$A$2:$N$4,7,FALSE())=0,-1E+300,-0.5*((J17-Components!$D$5)/Components!$E$5)^2))</f>
        <v/>
      </c>
      <c r="O17">
        <f>IF(G17="","",IF(VLOOKUP(C17,Recipes!$A$2:$N$4,8,FALSE())=0,-1E+300,-0.5*((J17-Components!$D$6)/Components!$E$6)^2))</f>
        <v/>
      </c>
      <c r="P17">
        <f>IF(G17="","",IF(VLOOKUP(C17,Recipes!$A$2:$N$4,9,FALSE())=0,-1E+300,-0.5*((J17-Components!$D$7)/Components!$E$7)^2))</f>
        <v/>
      </c>
      <c r="Q17">
        <f>IF(G17="","",EXP(LARGE(K17:P17,1)-MAX(K17:P17))/(EXP(K17-MAX(K17:P17))+EXP(L17-MAX(K17:P17))+EXP(M17-MAX(K17:P17))+EXP(N17-MAX(K17:P17))+EXP(O17-MAX(K17:P17))+EXP(P17-MAX(K17:P17))))</f>
        <v/>
      </c>
      <c r="R17">
        <f>IF(G17="","",EXP(LARGE(K17:P17,2)-MAX(K17:P17))/(EXP(K17-MAX(K17:P17))+EXP(L17-MAX(K17:P17))+EXP(M17-MAX(K17:P17))+EXP(N17-MAX(K17:P17))+EXP(O17-MAX(K17:P17))+EXP(P17-MAX(K17:P17))))</f>
        <v/>
      </c>
      <c r="S17">
        <f>IF(G17="","",Q17-R17)</f>
        <v/>
      </c>
      <c r="T17">
        <f>IF(G17="","",IF(ABS(G17-H17)&lt;=$B$6*I17,"OK","NG"))</f>
        <v/>
      </c>
      <c r="U17">
        <f>IF(T17="","",IF(T17=D17,1,0))</f>
        <v/>
      </c>
      <c r="V17">
        <f>IF(G17="","",IF(T17="OK","NONE",INDEX({"S1","S2","W1","W2","N1","N2"},MATCH(MAX(K17:P17),K17:P17,0))))</f>
        <v/>
      </c>
      <c r="W17">
        <f>IF(G17="","",IF(V17=E17,1,0))</f>
        <v/>
      </c>
      <c r="X17">
        <f>IF(G17="","",IF(AND(T17="NG",S17&lt;$B$7),"AMBIGUOUS","CONFIDENT"))</f>
        <v/>
      </c>
    </row>
    <row r="18">
      <c r="A18">
        <f>'Runs Z score'!A11</f>
        <v/>
      </c>
      <c r="B18">
        <f>'Runs Z score'!B11</f>
        <v/>
      </c>
      <c r="C18">
        <f>'Runs Z score'!C11</f>
        <v/>
      </c>
      <c r="D18">
        <f>'Runs Z score'!D11</f>
        <v/>
      </c>
      <c r="E18">
        <f>'Runs Z score'!E11</f>
        <v/>
      </c>
      <c r="F18">
        <f>'Runs Z score'!F11</f>
        <v/>
      </c>
      <c r="G18">
        <f>'Runs Z score'!G11</f>
        <v/>
      </c>
      <c r="H18">
        <f>VLOOKUP(C18,Recipes!$A$2:$N$4,10,FALSE())</f>
        <v/>
      </c>
      <c r="I18">
        <f>VLOOKUP(C18,Recipes!$A$2:$N$4,12,FALSE())</f>
        <v/>
      </c>
      <c r="J18">
        <f>IF(G18="","",H18-G18)</f>
        <v/>
      </c>
      <c r="K18">
        <f>IF(G18="","",IF(VLOOKUP(C18,Recipes!$A$2:$N$4,4,FALSE())=0,-1E+300,-0.5*((J18-Components!$D$2)/Components!$E$2)^2))</f>
        <v/>
      </c>
      <c r="L18">
        <f>IF(G18="","",IF(VLOOKUP(C18,Recipes!$A$2:$N$4,5,FALSE())=0,-1E+300,-0.5*((J18-Components!$D$3)/Components!$E$3)^2))</f>
        <v/>
      </c>
      <c r="M18">
        <f>IF(G18="","",IF(VLOOKUP(C18,Recipes!$A$2:$N$4,6,FALSE())=0,-1E+300,-0.5*((J18-Components!$D$4)/Components!$E$4)^2))</f>
        <v/>
      </c>
      <c r="N18">
        <f>IF(G18="","",IF(VLOOKUP(C18,Recipes!$A$2:$N$4,7,FALSE())=0,-1E+300,-0.5*((J18-Components!$D$5)/Components!$E$5)^2))</f>
        <v/>
      </c>
      <c r="O18">
        <f>IF(G18="","",IF(VLOOKUP(C18,Recipes!$A$2:$N$4,8,FALSE())=0,-1E+300,-0.5*((J18-Components!$D$6)/Components!$E$6)^2))</f>
        <v/>
      </c>
      <c r="P18">
        <f>IF(G18="","",IF(VLOOKUP(C18,Recipes!$A$2:$N$4,9,FALSE())=0,-1E+300,-0.5*((J18-Components!$D$7)/Components!$E$7)^2))</f>
        <v/>
      </c>
      <c r="Q18">
        <f>IF(G18="","",EXP(LARGE(K18:P18,1)-MAX(K18:P18))/(EXP(K18-MAX(K18:P18))+EXP(L18-MAX(K18:P18))+EXP(M18-MAX(K18:P18))+EXP(N18-MAX(K18:P18))+EXP(O18-MAX(K18:P18))+EXP(P18-MAX(K18:P18))))</f>
        <v/>
      </c>
      <c r="R18">
        <f>IF(G18="","",EXP(LARGE(K18:P18,2)-MAX(K18:P18))/(EXP(K18-MAX(K18:P18))+EXP(L18-MAX(K18:P18))+EXP(M18-MAX(K18:P18))+EXP(N18-MAX(K18:P18))+EXP(O18-MAX(K18:P18))+EXP(P18-MAX(K18:P18))))</f>
        <v/>
      </c>
      <c r="S18">
        <f>IF(G18="","",Q18-R18)</f>
        <v/>
      </c>
      <c r="T18">
        <f>IF(G18="","",IF(ABS(G18-H18)&lt;=$B$6*I18,"OK","NG"))</f>
        <v/>
      </c>
      <c r="U18">
        <f>IF(T18="","",IF(T18=D18,1,0))</f>
        <v/>
      </c>
      <c r="V18">
        <f>IF(G18="","",IF(T18="OK","NONE",INDEX({"S1","S2","W1","W2","N1","N2"},MATCH(MAX(K18:P18),K18:P18,0))))</f>
        <v/>
      </c>
      <c r="W18">
        <f>IF(G18="","",IF(V18=E18,1,0))</f>
        <v/>
      </c>
      <c r="X18">
        <f>IF(G18="","",IF(AND(T18="NG",S18&lt;$B$7),"AMBIGUOUS","CONFIDENT"))</f>
        <v/>
      </c>
    </row>
    <row r="19">
      <c r="A19">
        <f>'Runs Z score'!A12</f>
        <v/>
      </c>
      <c r="B19">
        <f>'Runs Z score'!B12</f>
        <v/>
      </c>
      <c r="C19">
        <f>'Runs Z score'!C12</f>
        <v/>
      </c>
      <c r="D19">
        <f>'Runs Z score'!D12</f>
        <v/>
      </c>
      <c r="E19">
        <f>'Runs Z score'!E12</f>
        <v/>
      </c>
      <c r="F19">
        <f>'Runs Z score'!F12</f>
        <v/>
      </c>
      <c r="G19">
        <f>'Runs Z score'!G12</f>
        <v/>
      </c>
      <c r="H19">
        <f>VLOOKUP(C19,Recipes!$A$2:$N$4,10,FALSE())</f>
        <v/>
      </c>
      <c r="I19">
        <f>VLOOKUP(C19,Recipes!$A$2:$N$4,12,FALSE())</f>
        <v/>
      </c>
      <c r="J19">
        <f>IF(G19="","",H19-G19)</f>
        <v/>
      </c>
      <c r="K19">
        <f>IF(G19="","",IF(VLOOKUP(C19,Recipes!$A$2:$N$4,4,FALSE())=0,-1E+300,-0.5*((J19-Components!$D$2)/Components!$E$2)^2))</f>
        <v/>
      </c>
      <c r="L19">
        <f>IF(G19="","",IF(VLOOKUP(C19,Recipes!$A$2:$N$4,5,FALSE())=0,-1E+300,-0.5*((J19-Components!$D$3)/Components!$E$3)^2))</f>
        <v/>
      </c>
      <c r="M19">
        <f>IF(G19="","",IF(VLOOKUP(C19,Recipes!$A$2:$N$4,6,FALSE())=0,-1E+300,-0.5*((J19-Components!$D$4)/Components!$E$4)^2))</f>
        <v/>
      </c>
      <c r="N19">
        <f>IF(G19="","",IF(VLOOKUP(C19,Recipes!$A$2:$N$4,7,FALSE())=0,-1E+300,-0.5*((J19-Components!$D$5)/Components!$E$5)^2))</f>
        <v/>
      </c>
      <c r="O19">
        <f>IF(G19="","",IF(VLOOKUP(C19,Recipes!$A$2:$N$4,8,FALSE())=0,-1E+300,-0.5*((J19-Components!$D$6)/Components!$E$6)^2))</f>
        <v/>
      </c>
      <c r="P19">
        <f>IF(G19="","",IF(VLOOKUP(C19,Recipes!$A$2:$N$4,9,FALSE())=0,-1E+300,-0.5*((J19-Components!$D$7)/Components!$E$7)^2))</f>
        <v/>
      </c>
      <c r="Q19">
        <f>IF(G19="","",EXP(LARGE(K19:P19,1)-MAX(K19:P19))/(EXP(K19-MAX(K19:P19))+EXP(L19-MAX(K19:P19))+EXP(M19-MAX(K19:P19))+EXP(N19-MAX(K19:P19))+EXP(O19-MAX(K19:P19))+EXP(P19-MAX(K19:P19))))</f>
        <v/>
      </c>
      <c r="R19">
        <f>IF(G19="","",EXP(LARGE(K19:P19,2)-MAX(K19:P19))/(EXP(K19-MAX(K19:P19))+EXP(L19-MAX(K19:P19))+EXP(M19-MAX(K19:P19))+EXP(N19-MAX(K19:P19))+EXP(O19-MAX(K19:P19))+EXP(P19-MAX(K19:P19))))</f>
        <v/>
      </c>
      <c r="S19">
        <f>IF(G19="","",Q19-R19)</f>
        <v/>
      </c>
      <c r="T19">
        <f>IF(G19="","",IF(ABS(G19-H19)&lt;=$B$6*I19,"OK","NG"))</f>
        <v/>
      </c>
      <c r="U19">
        <f>IF(T19="","",IF(T19=D19,1,0))</f>
        <v/>
      </c>
      <c r="V19">
        <f>IF(G19="","",IF(T19="OK","NONE",INDEX({"S1","S2","W1","W2","N1","N2"},MATCH(MAX(K19:P19),K19:P19,0))))</f>
        <v/>
      </c>
      <c r="W19">
        <f>IF(G19="","",IF(V19=E19,1,0))</f>
        <v/>
      </c>
      <c r="X19">
        <f>IF(G19="","",IF(AND(T19="NG",S19&lt;$B$7),"AMBIGUOUS","CONFIDENT"))</f>
        <v/>
      </c>
    </row>
    <row r="20">
      <c r="A20">
        <f>'Runs Z score'!A13</f>
        <v/>
      </c>
      <c r="B20">
        <f>'Runs Z score'!B13</f>
        <v/>
      </c>
      <c r="C20">
        <f>'Runs Z score'!C13</f>
        <v/>
      </c>
      <c r="D20">
        <f>'Runs Z score'!D13</f>
        <v/>
      </c>
      <c r="E20">
        <f>'Runs Z score'!E13</f>
        <v/>
      </c>
      <c r="F20">
        <f>'Runs Z score'!F13</f>
        <v/>
      </c>
      <c r="G20">
        <f>'Runs Z score'!G13</f>
        <v/>
      </c>
      <c r="H20">
        <f>VLOOKUP(C20,Recipes!$A$2:$N$4,10,FALSE())</f>
        <v/>
      </c>
      <c r="I20">
        <f>VLOOKUP(C20,Recipes!$A$2:$N$4,12,FALSE())</f>
        <v/>
      </c>
      <c r="J20">
        <f>IF(G20="","",H20-G20)</f>
        <v/>
      </c>
      <c r="K20">
        <f>IF(G20="","",IF(VLOOKUP(C20,Recipes!$A$2:$N$4,4,FALSE())=0,-1E+300,-0.5*((J20-Components!$D$2)/Components!$E$2)^2))</f>
        <v/>
      </c>
      <c r="L20">
        <f>IF(G20="","",IF(VLOOKUP(C20,Recipes!$A$2:$N$4,5,FALSE())=0,-1E+300,-0.5*((J20-Components!$D$3)/Components!$E$3)^2))</f>
        <v/>
      </c>
      <c r="M20">
        <f>IF(G20="","",IF(VLOOKUP(C20,Recipes!$A$2:$N$4,6,FALSE())=0,-1E+300,-0.5*((J20-Components!$D$4)/Components!$E$4)^2))</f>
        <v/>
      </c>
      <c r="N20">
        <f>IF(G20="","",IF(VLOOKUP(C20,Recipes!$A$2:$N$4,7,FALSE())=0,-1E+300,-0.5*((J20-Components!$D$5)/Components!$E$5)^2))</f>
        <v/>
      </c>
      <c r="O20">
        <f>IF(G20="","",IF(VLOOKUP(C20,Recipes!$A$2:$N$4,8,FALSE())=0,-1E+300,-0.5*((J20-Components!$D$6)/Components!$E$6)^2))</f>
        <v/>
      </c>
      <c r="P20">
        <f>IF(G20="","",IF(VLOOKUP(C20,Recipes!$A$2:$N$4,9,FALSE())=0,-1E+300,-0.5*((J20-Components!$D$7)/Components!$E$7)^2))</f>
        <v/>
      </c>
      <c r="Q20">
        <f>IF(G20="","",EXP(LARGE(K20:P20,1)-MAX(K20:P20))/(EXP(K20-MAX(K20:P20))+EXP(L20-MAX(K20:P20))+EXP(M20-MAX(K20:P20))+EXP(N20-MAX(K20:P20))+EXP(O20-MAX(K20:P20))+EXP(P20-MAX(K20:P20))))</f>
        <v/>
      </c>
      <c r="R20">
        <f>IF(G20="","",EXP(LARGE(K20:P20,2)-MAX(K20:P20))/(EXP(K20-MAX(K20:P20))+EXP(L20-MAX(K20:P20))+EXP(M20-MAX(K20:P20))+EXP(N20-MAX(K20:P20))+EXP(O20-MAX(K20:P20))+EXP(P20-MAX(K20:P20))))</f>
        <v/>
      </c>
      <c r="S20">
        <f>IF(G20="","",Q20-R20)</f>
        <v/>
      </c>
      <c r="T20">
        <f>IF(G20="","",IF(ABS(G20-H20)&lt;=$B$6*I20,"OK","NG"))</f>
        <v/>
      </c>
      <c r="U20">
        <f>IF(T20="","",IF(T20=D20,1,0))</f>
        <v/>
      </c>
      <c r="V20">
        <f>IF(G20="","",IF(T20="OK","NONE",INDEX({"S1","S2","W1","W2","N1","N2"},MATCH(MAX(K20:P20),K20:P20,0))))</f>
        <v/>
      </c>
      <c r="W20">
        <f>IF(G20="","",IF(V20=E20,1,0))</f>
        <v/>
      </c>
      <c r="X20">
        <f>IF(G20="","",IF(AND(T20="NG",S20&lt;$B$7),"AMBIGUOUS","CONFIDENT"))</f>
        <v/>
      </c>
    </row>
    <row r="21">
      <c r="A21">
        <f>'Runs Z score'!A14</f>
        <v/>
      </c>
      <c r="B21">
        <f>'Runs Z score'!B14</f>
        <v/>
      </c>
      <c r="C21">
        <f>'Runs Z score'!C14</f>
        <v/>
      </c>
      <c r="D21">
        <f>'Runs Z score'!D14</f>
        <v/>
      </c>
      <c r="E21">
        <f>'Runs Z score'!E14</f>
        <v/>
      </c>
      <c r="F21">
        <f>'Runs Z score'!F14</f>
        <v/>
      </c>
      <c r="G21">
        <f>'Runs Z score'!G14</f>
        <v/>
      </c>
      <c r="H21">
        <f>VLOOKUP(C21,Recipes!$A$2:$N$4,10,FALSE())</f>
        <v/>
      </c>
      <c r="I21">
        <f>VLOOKUP(C21,Recipes!$A$2:$N$4,12,FALSE())</f>
        <v/>
      </c>
      <c r="J21">
        <f>IF(G21="","",H21-G21)</f>
        <v/>
      </c>
      <c r="K21">
        <f>IF(G21="","",IF(VLOOKUP(C21,Recipes!$A$2:$N$4,4,FALSE())=0,-1E+300,-0.5*((J21-Components!$D$2)/Components!$E$2)^2))</f>
        <v/>
      </c>
      <c r="L21">
        <f>IF(G21="","",IF(VLOOKUP(C21,Recipes!$A$2:$N$4,5,FALSE())=0,-1E+300,-0.5*((J21-Components!$D$3)/Components!$E$3)^2))</f>
        <v/>
      </c>
      <c r="M21">
        <f>IF(G21="","",IF(VLOOKUP(C21,Recipes!$A$2:$N$4,6,FALSE())=0,-1E+300,-0.5*((J21-Components!$D$4)/Components!$E$4)^2))</f>
        <v/>
      </c>
      <c r="N21">
        <f>IF(G21="","",IF(VLOOKUP(C21,Recipes!$A$2:$N$4,7,FALSE())=0,-1E+300,-0.5*((J21-Components!$D$5)/Components!$E$5)^2))</f>
        <v/>
      </c>
      <c r="O21">
        <f>IF(G21="","",IF(VLOOKUP(C21,Recipes!$A$2:$N$4,8,FALSE())=0,-1E+300,-0.5*((J21-Components!$D$6)/Components!$E$6)^2))</f>
        <v/>
      </c>
      <c r="P21">
        <f>IF(G21="","",IF(VLOOKUP(C21,Recipes!$A$2:$N$4,9,FALSE())=0,-1E+300,-0.5*((J21-Components!$D$7)/Components!$E$7)^2))</f>
        <v/>
      </c>
      <c r="Q21">
        <f>IF(G21="","",EXP(LARGE(K21:P21,1)-MAX(K21:P21))/(EXP(K21-MAX(K21:P21))+EXP(L21-MAX(K21:P21))+EXP(M21-MAX(K21:P21))+EXP(N21-MAX(K21:P21))+EXP(O21-MAX(K21:P21))+EXP(P21-MAX(K21:P21))))</f>
        <v/>
      </c>
      <c r="R21">
        <f>IF(G21="","",EXP(LARGE(K21:P21,2)-MAX(K21:P21))/(EXP(K21-MAX(K21:P21))+EXP(L21-MAX(K21:P21))+EXP(M21-MAX(K21:P21))+EXP(N21-MAX(K21:P21))+EXP(O21-MAX(K21:P21))+EXP(P21-MAX(K21:P21))))</f>
        <v/>
      </c>
      <c r="S21">
        <f>IF(G21="","",Q21-R21)</f>
        <v/>
      </c>
      <c r="T21">
        <f>IF(G21="","",IF(ABS(G21-H21)&lt;=$B$6*I21,"OK","NG"))</f>
        <v/>
      </c>
      <c r="U21">
        <f>IF(T21="","",IF(T21=D21,1,0))</f>
        <v/>
      </c>
      <c r="V21">
        <f>IF(G21="","",IF(T21="OK","NONE",INDEX({"S1","S2","W1","W2","N1","N2"},MATCH(MAX(K21:P21),K21:P21,0))))</f>
        <v/>
      </c>
      <c r="W21">
        <f>IF(G21="","",IF(V21=E21,1,0))</f>
        <v/>
      </c>
      <c r="X21">
        <f>IF(G21="","",IF(AND(T21="NG",S21&lt;$B$7),"AMBIGUOUS","CONFIDENT"))</f>
        <v/>
      </c>
    </row>
    <row r="22">
      <c r="A22">
        <f>'Runs Z score'!A15</f>
        <v/>
      </c>
      <c r="B22">
        <f>'Runs Z score'!B15</f>
        <v/>
      </c>
      <c r="C22">
        <f>'Runs Z score'!C15</f>
        <v/>
      </c>
      <c r="D22">
        <f>'Runs Z score'!D15</f>
        <v/>
      </c>
      <c r="E22">
        <f>'Runs Z score'!E15</f>
        <v/>
      </c>
      <c r="F22">
        <f>'Runs Z score'!F15</f>
        <v/>
      </c>
      <c r="G22">
        <f>'Runs Z score'!G15</f>
        <v/>
      </c>
      <c r="H22">
        <f>VLOOKUP(C22,Recipes!$A$2:$N$4,10,FALSE())</f>
        <v/>
      </c>
      <c r="I22">
        <f>VLOOKUP(C22,Recipes!$A$2:$N$4,12,FALSE())</f>
        <v/>
      </c>
      <c r="J22">
        <f>IF(G22="","",H22-G22)</f>
        <v/>
      </c>
      <c r="K22">
        <f>IF(G22="","",IF(VLOOKUP(C22,Recipes!$A$2:$N$4,4,FALSE())=0,-1E+300,-0.5*((J22-Components!$D$2)/Components!$E$2)^2))</f>
        <v/>
      </c>
      <c r="L22">
        <f>IF(G22="","",IF(VLOOKUP(C22,Recipes!$A$2:$N$4,5,FALSE())=0,-1E+300,-0.5*((J22-Components!$D$3)/Components!$E$3)^2))</f>
        <v/>
      </c>
      <c r="M22">
        <f>IF(G22="","",IF(VLOOKUP(C22,Recipes!$A$2:$N$4,6,FALSE())=0,-1E+300,-0.5*((J22-Components!$D$4)/Components!$E$4)^2))</f>
        <v/>
      </c>
      <c r="N22">
        <f>IF(G22="","",IF(VLOOKUP(C22,Recipes!$A$2:$N$4,7,FALSE())=0,-1E+300,-0.5*((J22-Components!$D$5)/Components!$E$5)^2))</f>
        <v/>
      </c>
      <c r="O22">
        <f>IF(G22="","",IF(VLOOKUP(C22,Recipes!$A$2:$N$4,8,FALSE())=0,-1E+300,-0.5*((J22-Components!$D$6)/Components!$E$6)^2))</f>
        <v/>
      </c>
      <c r="P22">
        <f>IF(G22="","",IF(VLOOKUP(C22,Recipes!$A$2:$N$4,9,FALSE())=0,-1E+300,-0.5*((J22-Components!$D$7)/Components!$E$7)^2))</f>
        <v/>
      </c>
      <c r="Q22">
        <f>IF(G22="","",EXP(LARGE(K22:P22,1)-MAX(K22:P22))/(EXP(K22-MAX(K22:P22))+EXP(L22-MAX(K22:P22))+EXP(M22-MAX(K22:P22))+EXP(N22-MAX(K22:P22))+EXP(O22-MAX(K22:P22))+EXP(P22-MAX(K22:P22))))</f>
        <v/>
      </c>
      <c r="R22">
        <f>IF(G22="","",EXP(LARGE(K22:P22,2)-MAX(K22:P22))/(EXP(K22-MAX(K22:P22))+EXP(L22-MAX(K22:P22))+EXP(M22-MAX(K22:P22))+EXP(N22-MAX(K22:P22))+EXP(O22-MAX(K22:P22))+EXP(P22-MAX(K22:P22))))</f>
        <v/>
      </c>
      <c r="S22">
        <f>IF(G22="","",Q22-R22)</f>
        <v/>
      </c>
      <c r="T22">
        <f>IF(G22="","",IF(ABS(G22-H22)&lt;=$B$6*I22,"OK","NG"))</f>
        <v/>
      </c>
      <c r="U22">
        <f>IF(T22="","",IF(T22=D22,1,0))</f>
        <v/>
      </c>
      <c r="V22">
        <f>IF(G22="","",IF(T22="OK","NONE",INDEX({"S1","S2","W1","W2","N1","N2"},MATCH(MAX(K22:P22),K22:P22,0))))</f>
        <v/>
      </c>
      <c r="W22">
        <f>IF(G22="","",IF(V22=E22,1,0))</f>
        <v/>
      </c>
      <c r="X22">
        <f>IF(G22="","",IF(AND(T22="NG",S22&lt;$B$7),"AMBIGUOUS","CONFIDENT"))</f>
        <v/>
      </c>
    </row>
    <row r="23">
      <c r="A23">
        <f>'Runs Z score'!A16</f>
        <v/>
      </c>
      <c r="B23">
        <f>'Runs Z score'!B16</f>
        <v/>
      </c>
      <c r="C23">
        <f>'Runs Z score'!C16</f>
        <v/>
      </c>
      <c r="D23">
        <f>'Runs Z score'!D16</f>
        <v/>
      </c>
      <c r="E23">
        <f>'Runs Z score'!E16</f>
        <v/>
      </c>
      <c r="F23">
        <f>'Runs Z score'!F16</f>
        <v/>
      </c>
      <c r="G23">
        <f>'Runs Z score'!G16</f>
        <v/>
      </c>
      <c r="H23">
        <f>VLOOKUP(C23,Recipes!$A$2:$N$4,10,FALSE())</f>
        <v/>
      </c>
      <c r="I23">
        <f>VLOOKUP(C23,Recipes!$A$2:$N$4,12,FALSE())</f>
        <v/>
      </c>
      <c r="J23">
        <f>IF(G23="","",H23-G23)</f>
        <v/>
      </c>
      <c r="K23">
        <f>IF(G23="","",IF(VLOOKUP(C23,Recipes!$A$2:$N$4,4,FALSE())=0,-1E+300,-0.5*((J23-Components!$D$2)/Components!$E$2)^2))</f>
        <v/>
      </c>
      <c r="L23">
        <f>IF(G23="","",IF(VLOOKUP(C23,Recipes!$A$2:$N$4,5,FALSE())=0,-1E+300,-0.5*((J23-Components!$D$3)/Components!$E$3)^2))</f>
        <v/>
      </c>
      <c r="M23">
        <f>IF(G23="","",IF(VLOOKUP(C23,Recipes!$A$2:$N$4,6,FALSE())=0,-1E+300,-0.5*((J23-Components!$D$4)/Components!$E$4)^2))</f>
        <v/>
      </c>
      <c r="N23">
        <f>IF(G23="","",IF(VLOOKUP(C23,Recipes!$A$2:$N$4,7,FALSE())=0,-1E+300,-0.5*((J23-Components!$D$5)/Components!$E$5)^2))</f>
        <v/>
      </c>
      <c r="O23">
        <f>IF(G23="","",IF(VLOOKUP(C23,Recipes!$A$2:$N$4,8,FALSE())=0,-1E+300,-0.5*((J23-Components!$D$6)/Components!$E$6)^2))</f>
        <v/>
      </c>
      <c r="P23">
        <f>IF(G23="","",IF(VLOOKUP(C23,Recipes!$A$2:$N$4,9,FALSE())=0,-1E+300,-0.5*((J23-Components!$D$7)/Components!$E$7)^2))</f>
        <v/>
      </c>
      <c r="Q23">
        <f>IF(G23="","",EXP(LARGE(K23:P23,1)-MAX(K23:P23))/(EXP(K23-MAX(K23:P23))+EXP(L23-MAX(K23:P23))+EXP(M23-MAX(K23:P23))+EXP(N23-MAX(K23:P23))+EXP(O23-MAX(K23:P23))+EXP(P23-MAX(K23:P23))))</f>
        <v/>
      </c>
      <c r="R23">
        <f>IF(G23="","",EXP(LARGE(K23:P23,2)-MAX(K23:P23))/(EXP(K23-MAX(K23:P23))+EXP(L23-MAX(K23:P23))+EXP(M23-MAX(K23:P23))+EXP(N23-MAX(K23:P23))+EXP(O23-MAX(K23:P23))+EXP(P23-MAX(K23:P23))))</f>
        <v/>
      </c>
      <c r="S23">
        <f>IF(G23="","",Q23-R23)</f>
        <v/>
      </c>
      <c r="T23">
        <f>IF(G23="","",IF(ABS(G23-H23)&lt;=$B$6*I23,"OK","NG"))</f>
        <v/>
      </c>
      <c r="U23">
        <f>IF(T23="","",IF(T23=D23,1,0))</f>
        <v/>
      </c>
      <c r="V23">
        <f>IF(G23="","",IF(T23="OK","NONE",INDEX({"S1","S2","W1","W2","N1","N2"},MATCH(MAX(K23:P23),K23:P23,0))))</f>
        <v/>
      </c>
      <c r="W23">
        <f>IF(G23="","",IF(V23=E23,1,0))</f>
        <v/>
      </c>
      <c r="X23">
        <f>IF(G23="","",IF(AND(T23="NG",S23&lt;$B$7),"AMBIGUOUS","CONFIDENT"))</f>
        <v/>
      </c>
    </row>
    <row r="24">
      <c r="A24">
        <f>'Runs Z score'!A17</f>
        <v/>
      </c>
      <c r="B24">
        <f>'Runs Z score'!B17</f>
        <v/>
      </c>
      <c r="C24">
        <f>'Runs Z score'!C17</f>
        <v/>
      </c>
      <c r="D24">
        <f>'Runs Z score'!D17</f>
        <v/>
      </c>
      <c r="E24">
        <f>'Runs Z score'!E17</f>
        <v/>
      </c>
      <c r="F24">
        <f>'Runs Z score'!F17</f>
        <v/>
      </c>
      <c r="G24">
        <f>'Runs Z score'!G17</f>
        <v/>
      </c>
      <c r="H24">
        <f>VLOOKUP(C24,Recipes!$A$2:$N$4,10,FALSE())</f>
        <v/>
      </c>
      <c r="I24">
        <f>VLOOKUP(C24,Recipes!$A$2:$N$4,12,FALSE())</f>
        <v/>
      </c>
      <c r="J24">
        <f>IF(G24="","",H24-G24)</f>
        <v/>
      </c>
      <c r="K24">
        <f>IF(G24="","",IF(VLOOKUP(C24,Recipes!$A$2:$N$4,4,FALSE())=0,-1E+300,-0.5*((J24-Components!$D$2)/Components!$E$2)^2))</f>
        <v/>
      </c>
      <c r="L24">
        <f>IF(G24="","",IF(VLOOKUP(C24,Recipes!$A$2:$N$4,5,FALSE())=0,-1E+300,-0.5*((J24-Components!$D$3)/Components!$E$3)^2))</f>
        <v/>
      </c>
      <c r="M24">
        <f>IF(G24="","",IF(VLOOKUP(C24,Recipes!$A$2:$N$4,6,FALSE())=0,-1E+300,-0.5*((J24-Components!$D$4)/Components!$E$4)^2))</f>
        <v/>
      </c>
      <c r="N24">
        <f>IF(G24="","",IF(VLOOKUP(C24,Recipes!$A$2:$N$4,7,FALSE())=0,-1E+300,-0.5*((J24-Components!$D$5)/Components!$E$5)^2))</f>
        <v/>
      </c>
      <c r="O24">
        <f>IF(G24="","",IF(VLOOKUP(C24,Recipes!$A$2:$N$4,8,FALSE())=0,-1E+300,-0.5*((J24-Components!$D$6)/Components!$E$6)^2))</f>
        <v/>
      </c>
      <c r="P24">
        <f>IF(G24="","",IF(VLOOKUP(C24,Recipes!$A$2:$N$4,9,FALSE())=0,-1E+300,-0.5*((J24-Components!$D$7)/Components!$E$7)^2))</f>
        <v/>
      </c>
      <c r="Q24">
        <f>IF(G24="","",EXP(LARGE(K24:P24,1)-MAX(K24:P24))/(EXP(K24-MAX(K24:P24))+EXP(L24-MAX(K24:P24))+EXP(M24-MAX(K24:P24))+EXP(N24-MAX(K24:P24))+EXP(O24-MAX(K24:P24))+EXP(P24-MAX(K24:P24))))</f>
        <v/>
      </c>
      <c r="R24">
        <f>IF(G24="","",EXP(LARGE(K24:P24,2)-MAX(K24:P24))/(EXP(K24-MAX(K24:P24))+EXP(L24-MAX(K24:P24))+EXP(M24-MAX(K24:P24))+EXP(N24-MAX(K24:P24))+EXP(O24-MAX(K24:P24))+EXP(P24-MAX(K24:P24))))</f>
        <v/>
      </c>
      <c r="S24">
        <f>IF(G24="","",Q24-R24)</f>
        <v/>
      </c>
      <c r="T24">
        <f>IF(G24="","",IF(ABS(G24-H24)&lt;=$B$6*I24,"OK","NG"))</f>
        <v/>
      </c>
      <c r="U24">
        <f>IF(T24="","",IF(T24=D24,1,0))</f>
        <v/>
      </c>
      <c r="V24">
        <f>IF(G24="","",IF(T24="OK","NONE",INDEX({"S1","S2","W1","W2","N1","N2"},MATCH(MAX(K24:P24),K24:P24,0))))</f>
        <v/>
      </c>
      <c r="W24">
        <f>IF(G24="","",IF(V24=E24,1,0))</f>
        <v/>
      </c>
      <c r="X24">
        <f>IF(G24="","",IF(AND(T24="NG",S24&lt;$B$7),"AMBIGUOUS","CONFIDENT"))</f>
        <v/>
      </c>
    </row>
    <row r="25">
      <c r="A25">
        <f>'Runs Z score'!A18</f>
        <v/>
      </c>
      <c r="B25">
        <f>'Runs Z score'!B18</f>
        <v/>
      </c>
      <c r="C25">
        <f>'Runs Z score'!C18</f>
        <v/>
      </c>
      <c r="D25">
        <f>'Runs Z score'!D18</f>
        <v/>
      </c>
      <c r="E25">
        <f>'Runs Z score'!E18</f>
        <v/>
      </c>
      <c r="F25">
        <f>'Runs Z score'!F18</f>
        <v/>
      </c>
      <c r="G25">
        <f>'Runs Z score'!G18</f>
        <v/>
      </c>
      <c r="H25">
        <f>VLOOKUP(C25,Recipes!$A$2:$N$4,10,FALSE())</f>
        <v/>
      </c>
      <c r="I25">
        <f>VLOOKUP(C25,Recipes!$A$2:$N$4,12,FALSE())</f>
        <v/>
      </c>
      <c r="J25">
        <f>IF(G25="","",H25-G25)</f>
        <v/>
      </c>
      <c r="K25">
        <f>IF(G25="","",IF(VLOOKUP(C25,Recipes!$A$2:$N$4,4,FALSE())=0,-1E+300,-0.5*((J25-Components!$D$2)/Components!$E$2)^2))</f>
        <v/>
      </c>
      <c r="L25">
        <f>IF(G25="","",IF(VLOOKUP(C25,Recipes!$A$2:$N$4,5,FALSE())=0,-1E+300,-0.5*((J25-Components!$D$3)/Components!$E$3)^2))</f>
        <v/>
      </c>
      <c r="M25">
        <f>IF(G25="","",IF(VLOOKUP(C25,Recipes!$A$2:$N$4,6,FALSE())=0,-1E+300,-0.5*((J25-Components!$D$4)/Components!$E$4)^2))</f>
        <v/>
      </c>
      <c r="N25">
        <f>IF(G25="","",IF(VLOOKUP(C25,Recipes!$A$2:$N$4,7,FALSE())=0,-1E+300,-0.5*((J25-Components!$D$5)/Components!$E$5)^2))</f>
        <v/>
      </c>
      <c r="O25">
        <f>IF(G25="","",IF(VLOOKUP(C25,Recipes!$A$2:$N$4,8,FALSE())=0,-1E+300,-0.5*((J25-Components!$D$6)/Components!$E$6)^2))</f>
        <v/>
      </c>
      <c r="P25">
        <f>IF(G25="","",IF(VLOOKUP(C25,Recipes!$A$2:$N$4,9,FALSE())=0,-1E+300,-0.5*((J25-Components!$D$7)/Components!$E$7)^2))</f>
        <v/>
      </c>
      <c r="Q25">
        <f>IF(G25="","",EXP(LARGE(K25:P25,1)-MAX(K25:P25))/(EXP(K25-MAX(K25:P25))+EXP(L25-MAX(K25:P25))+EXP(M25-MAX(K25:P25))+EXP(N25-MAX(K25:P25))+EXP(O25-MAX(K25:P25))+EXP(P25-MAX(K25:P25))))</f>
        <v/>
      </c>
      <c r="R25">
        <f>IF(G25="","",EXP(LARGE(K25:P25,2)-MAX(K25:P25))/(EXP(K25-MAX(K25:P25))+EXP(L25-MAX(K25:P25))+EXP(M25-MAX(K25:P25))+EXP(N25-MAX(K25:P25))+EXP(O25-MAX(K25:P25))+EXP(P25-MAX(K25:P25))))</f>
        <v/>
      </c>
      <c r="S25">
        <f>IF(G25="","",Q25-R25)</f>
        <v/>
      </c>
      <c r="T25">
        <f>IF(G25="","",IF(ABS(G25-H25)&lt;=$B$6*I25,"OK","NG"))</f>
        <v/>
      </c>
      <c r="U25">
        <f>IF(T25="","",IF(T25=D25,1,0))</f>
        <v/>
      </c>
      <c r="V25">
        <f>IF(G25="","",IF(T25="OK","NONE",INDEX({"S1","S2","W1","W2","N1","N2"},MATCH(MAX(K25:P25),K25:P25,0))))</f>
        <v/>
      </c>
      <c r="W25">
        <f>IF(G25="","",IF(V25=E25,1,0))</f>
        <v/>
      </c>
      <c r="X25">
        <f>IF(G25="","",IF(AND(T25="NG",S25&lt;$B$7),"AMBIGUOUS","CONFIDENT"))</f>
        <v/>
      </c>
    </row>
    <row r="26">
      <c r="A26">
        <f>'Runs Z score'!A19</f>
        <v/>
      </c>
      <c r="B26">
        <f>'Runs Z score'!B19</f>
        <v/>
      </c>
      <c r="C26">
        <f>'Runs Z score'!C19</f>
        <v/>
      </c>
      <c r="D26">
        <f>'Runs Z score'!D19</f>
        <v/>
      </c>
      <c r="E26">
        <f>'Runs Z score'!E19</f>
        <v/>
      </c>
      <c r="F26">
        <f>'Runs Z score'!F19</f>
        <v/>
      </c>
      <c r="G26">
        <f>'Runs Z score'!G19</f>
        <v/>
      </c>
      <c r="H26">
        <f>VLOOKUP(C26,Recipes!$A$2:$N$4,10,FALSE())</f>
        <v/>
      </c>
      <c r="I26">
        <f>VLOOKUP(C26,Recipes!$A$2:$N$4,12,FALSE())</f>
        <v/>
      </c>
      <c r="J26">
        <f>IF(G26="","",H26-G26)</f>
        <v/>
      </c>
      <c r="K26">
        <f>IF(G26="","",IF(VLOOKUP(C26,Recipes!$A$2:$N$4,4,FALSE())=0,-1E+300,-0.5*((J26-Components!$D$2)/Components!$E$2)^2))</f>
        <v/>
      </c>
      <c r="L26">
        <f>IF(G26="","",IF(VLOOKUP(C26,Recipes!$A$2:$N$4,5,FALSE())=0,-1E+300,-0.5*((J26-Components!$D$3)/Components!$E$3)^2))</f>
        <v/>
      </c>
      <c r="M26">
        <f>IF(G26="","",IF(VLOOKUP(C26,Recipes!$A$2:$N$4,6,FALSE())=0,-1E+300,-0.5*((J26-Components!$D$4)/Components!$E$4)^2))</f>
        <v/>
      </c>
      <c r="N26">
        <f>IF(G26="","",IF(VLOOKUP(C26,Recipes!$A$2:$N$4,7,FALSE())=0,-1E+300,-0.5*((J26-Components!$D$5)/Components!$E$5)^2))</f>
        <v/>
      </c>
      <c r="O26">
        <f>IF(G26="","",IF(VLOOKUP(C26,Recipes!$A$2:$N$4,8,FALSE())=0,-1E+300,-0.5*((J26-Components!$D$6)/Components!$E$6)^2))</f>
        <v/>
      </c>
      <c r="P26">
        <f>IF(G26="","",IF(VLOOKUP(C26,Recipes!$A$2:$N$4,9,FALSE())=0,-1E+300,-0.5*((J26-Components!$D$7)/Components!$E$7)^2))</f>
        <v/>
      </c>
      <c r="Q26">
        <f>IF(G26="","",EXP(LARGE(K26:P26,1)-MAX(K26:P26))/(EXP(K26-MAX(K26:P26))+EXP(L26-MAX(K26:P26))+EXP(M26-MAX(K26:P26))+EXP(N26-MAX(K26:P26))+EXP(O26-MAX(K26:P26))+EXP(P26-MAX(K26:P26))))</f>
        <v/>
      </c>
      <c r="R26">
        <f>IF(G26="","",EXP(LARGE(K26:P26,2)-MAX(K26:P26))/(EXP(K26-MAX(K26:P26))+EXP(L26-MAX(K26:P26))+EXP(M26-MAX(K26:P26))+EXP(N26-MAX(K26:P26))+EXP(O26-MAX(K26:P26))+EXP(P26-MAX(K26:P26))))</f>
        <v/>
      </c>
      <c r="S26">
        <f>IF(G26="","",Q26-R26)</f>
        <v/>
      </c>
      <c r="T26">
        <f>IF(G26="","",IF(ABS(G26-H26)&lt;=$B$6*I26,"OK","NG"))</f>
        <v/>
      </c>
      <c r="U26">
        <f>IF(T26="","",IF(T26=D26,1,0))</f>
        <v/>
      </c>
      <c r="V26">
        <f>IF(G26="","",IF(T26="OK","NONE",INDEX({"S1","S2","W1","W2","N1","N2"},MATCH(MAX(K26:P26),K26:P26,0))))</f>
        <v/>
      </c>
      <c r="W26">
        <f>IF(G26="","",IF(V26=E26,1,0))</f>
        <v/>
      </c>
      <c r="X26">
        <f>IF(G26="","",IF(AND(T26="NG",S26&lt;$B$7),"AMBIGUOUS","CONFIDENT"))</f>
        <v/>
      </c>
    </row>
    <row r="27">
      <c r="A27">
        <f>'Runs Z score'!A20</f>
        <v/>
      </c>
      <c r="B27">
        <f>'Runs Z score'!B20</f>
        <v/>
      </c>
      <c r="C27">
        <f>'Runs Z score'!C20</f>
        <v/>
      </c>
      <c r="D27">
        <f>'Runs Z score'!D20</f>
        <v/>
      </c>
      <c r="E27">
        <f>'Runs Z score'!E20</f>
        <v/>
      </c>
      <c r="F27">
        <f>'Runs Z score'!F20</f>
        <v/>
      </c>
      <c r="G27">
        <f>'Runs Z score'!G20</f>
        <v/>
      </c>
      <c r="H27">
        <f>VLOOKUP(C27,Recipes!$A$2:$N$4,10,FALSE())</f>
        <v/>
      </c>
      <c r="I27">
        <f>VLOOKUP(C27,Recipes!$A$2:$N$4,12,FALSE())</f>
        <v/>
      </c>
      <c r="J27">
        <f>IF(G27="","",H27-G27)</f>
        <v/>
      </c>
      <c r="K27">
        <f>IF(G27="","",IF(VLOOKUP(C27,Recipes!$A$2:$N$4,4,FALSE())=0,-1E+300,-0.5*((J27-Components!$D$2)/Components!$E$2)^2))</f>
        <v/>
      </c>
      <c r="L27">
        <f>IF(G27="","",IF(VLOOKUP(C27,Recipes!$A$2:$N$4,5,FALSE())=0,-1E+300,-0.5*((J27-Components!$D$3)/Components!$E$3)^2))</f>
        <v/>
      </c>
      <c r="M27">
        <f>IF(G27="","",IF(VLOOKUP(C27,Recipes!$A$2:$N$4,6,FALSE())=0,-1E+300,-0.5*((J27-Components!$D$4)/Components!$E$4)^2))</f>
        <v/>
      </c>
      <c r="N27">
        <f>IF(G27="","",IF(VLOOKUP(C27,Recipes!$A$2:$N$4,7,FALSE())=0,-1E+300,-0.5*((J27-Components!$D$5)/Components!$E$5)^2))</f>
        <v/>
      </c>
      <c r="O27">
        <f>IF(G27="","",IF(VLOOKUP(C27,Recipes!$A$2:$N$4,8,FALSE())=0,-1E+300,-0.5*((J27-Components!$D$6)/Components!$E$6)^2))</f>
        <v/>
      </c>
      <c r="P27">
        <f>IF(G27="","",IF(VLOOKUP(C27,Recipes!$A$2:$N$4,9,FALSE())=0,-1E+300,-0.5*((J27-Components!$D$7)/Components!$E$7)^2))</f>
        <v/>
      </c>
      <c r="Q27">
        <f>IF(G27="","",EXP(LARGE(K27:P27,1)-MAX(K27:P27))/(EXP(K27-MAX(K27:P27))+EXP(L27-MAX(K27:P27))+EXP(M27-MAX(K27:P27))+EXP(N27-MAX(K27:P27))+EXP(O27-MAX(K27:P27))+EXP(P27-MAX(K27:P27))))</f>
        <v/>
      </c>
      <c r="R27">
        <f>IF(G27="","",EXP(LARGE(K27:P27,2)-MAX(K27:P27))/(EXP(K27-MAX(K27:P27))+EXP(L27-MAX(K27:P27))+EXP(M27-MAX(K27:P27))+EXP(N27-MAX(K27:P27))+EXP(O27-MAX(K27:P27))+EXP(P27-MAX(K27:P27))))</f>
        <v/>
      </c>
      <c r="S27">
        <f>IF(G27="","",Q27-R27)</f>
        <v/>
      </c>
      <c r="T27">
        <f>IF(G27="","",IF(ABS(G27-H27)&lt;=$B$6*I27,"OK","NG"))</f>
        <v/>
      </c>
      <c r="U27">
        <f>IF(T27="","",IF(T27=D27,1,0))</f>
        <v/>
      </c>
      <c r="V27">
        <f>IF(G27="","",IF(T27="OK","NONE",INDEX({"S1","S2","W1","W2","N1","N2"},MATCH(MAX(K27:P27),K27:P27,0))))</f>
        <v/>
      </c>
      <c r="W27">
        <f>IF(G27="","",IF(V27=E27,1,0))</f>
        <v/>
      </c>
      <c r="X27">
        <f>IF(G27="","",IF(AND(T27="NG",S27&lt;$B$7),"AMBIGUOUS","CONFIDENT"))</f>
        <v/>
      </c>
    </row>
    <row r="28">
      <c r="A28">
        <f>'Runs Z score'!A21</f>
        <v/>
      </c>
      <c r="B28">
        <f>'Runs Z score'!B21</f>
        <v/>
      </c>
      <c r="C28">
        <f>'Runs Z score'!C21</f>
        <v/>
      </c>
      <c r="D28">
        <f>'Runs Z score'!D21</f>
        <v/>
      </c>
      <c r="E28">
        <f>'Runs Z score'!E21</f>
        <v/>
      </c>
      <c r="F28">
        <f>'Runs Z score'!F21</f>
        <v/>
      </c>
      <c r="G28">
        <f>'Runs Z score'!G21</f>
        <v/>
      </c>
      <c r="H28">
        <f>VLOOKUP(C28,Recipes!$A$2:$N$4,10,FALSE())</f>
        <v/>
      </c>
      <c r="I28">
        <f>VLOOKUP(C28,Recipes!$A$2:$N$4,12,FALSE())</f>
        <v/>
      </c>
      <c r="J28">
        <f>IF(G28="","",H28-G28)</f>
        <v/>
      </c>
      <c r="K28">
        <f>IF(G28="","",IF(VLOOKUP(C28,Recipes!$A$2:$N$4,4,FALSE())=0,-1E+300,-0.5*((J28-Components!$D$2)/Components!$E$2)^2))</f>
        <v/>
      </c>
      <c r="L28">
        <f>IF(G28="","",IF(VLOOKUP(C28,Recipes!$A$2:$N$4,5,FALSE())=0,-1E+300,-0.5*((J28-Components!$D$3)/Components!$E$3)^2))</f>
        <v/>
      </c>
      <c r="M28">
        <f>IF(G28="","",IF(VLOOKUP(C28,Recipes!$A$2:$N$4,6,FALSE())=0,-1E+300,-0.5*((J28-Components!$D$4)/Components!$E$4)^2))</f>
        <v/>
      </c>
      <c r="N28">
        <f>IF(G28="","",IF(VLOOKUP(C28,Recipes!$A$2:$N$4,7,FALSE())=0,-1E+300,-0.5*((J28-Components!$D$5)/Components!$E$5)^2))</f>
        <v/>
      </c>
      <c r="O28">
        <f>IF(G28="","",IF(VLOOKUP(C28,Recipes!$A$2:$N$4,8,FALSE())=0,-1E+300,-0.5*((J28-Components!$D$6)/Components!$E$6)^2))</f>
        <v/>
      </c>
      <c r="P28">
        <f>IF(G28="","",IF(VLOOKUP(C28,Recipes!$A$2:$N$4,9,FALSE())=0,-1E+300,-0.5*((J28-Components!$D$7)/Components!$E$7)^2))</f>
        <v/>
      </c>
      <c r="Q28">
        <f>IF(G28="","",EXP(LARGE(K28:P28,1)-MAX(K28:P28))/(EXP(K28-MAX(K28:P28))+EXP(L28-MAX(K28:P28))+EXP(M28-MAX(K28:P28))+EXP(N28-MAX(K28:P28))+EXP(O28-MAX(K28:P28))+EXP(P28-MAX(K28:P28))))</f>
        <v/>
      </c>
      <c r="R28">
        <f>IF(G28="","",EXP(LARGE(K28:P28,2)-MAX(K28:P28))/(EXP(K28-MAX(K28:P28))+EXP(L28-MAX(K28:P28))+EXP(M28-MAX(K28:P28))+EXP(N28-MAX(K28:P28))+EXP(O28-MAX(K28:P28))+EXP(P28-MAX(K28:P28))))</f>
        <v/>
      </c>
      <c r="S28">
        <f>IF(G28="","",Q28-R28)</f>
        <v/>
      </c>
      <c r="T28">
        <f>IF(G28="","",IF(ABS(G28-H28)&lt;=$B$6*I28,"OK","NG"))</f>
        <v/>
      </c>
      <c r="U28">
        <f>IF(T28="","",IF(T28=D28,1,0))</f>
        <v/>
      </c>
      <c r="V28">
        <f>IF(G28="","",IF(T28="OK","NONE",INDEX({"S1","S2","W1","W2","N1","N2"},MATCH(MAX(K28:P28),K28:P28,0))))</f>
        <v/>
      </c>
      <c r="W28">
        <f>IF(G28="","",IF(V28=E28,1,0))</f>
        <v/>
      </c>
      <c r="X28">
        <f>IF(G28="","",IF(AND(T28="NG",S28&lt;$B$7),"AMBIGUOUS","CONFIDENT"))</f>
        <v/>
      </c>
    </row>
    <row r="29">
      <c r="A29">
        <f>'Runs Z score'!A22</f>
        <v/>
      </c>
      <c r="B29">
        <f>'Runs Z score'!B22</f>
        <v/>
      </c>
      <c r="C29">
        <f>'Runs Z score'!C22</f>
        <v/>
      </c>
      <c r="D29">
        <f>'Runs Z score'!D22</f>
        <v/>
      </c>
      <c r="E29">
        <f>'Runs Z score'!E22</f>
        <v/>
      </c>
      <c r="F29">
        <f>'Runs Z score'!F22</f>
        <v/>
      </c>
      <c r="G29">
        <f>'Runs Z score'!G22</f>
        <v/>
      </c>
      <c r="H29">
        <f>VLOOKUP(C29,Recipes!$A$2:$N$4,10,FALSE())</f>
        <v/>
      </c>
      <c r="I29">
        <f>VLOOKUP(C29,Recipes!$A$2:$N$4,12,FALSE())</f>
        <v/>
      </c>
      <c r="J29">
        <f>IF(G29="","",H29-G29)</f>
        <v/>
      </c>
      <c r="K29">
        <f>IF(G29="","",IF(VLOOKUP(C29,Recipes!$A$2:$N$4,4,FALSE())=0,-1E+300,-0.5*((J29-Components!$D$2)/Components!$E$2)^2))</f>
        <v/>
      </c>
      <c r="L29">
        <f>IF(G29="","",IF(VLOOKUP(C29,Recipes!$A$2:$N$4,5,FALSE())=0,-1E+300,-0.5*((J29-Components!$D$3)/Components!$E$3)^2))</f>
        <v/>
      </c>
      <c r="M29">
        <f>IF(G29="","",IF(VLOOKUP(C29,Recipes!$A$2:$N$4,6,FALSE())=0,-1E+300,-0.5*((J29-Components!$D$4)/Components!$E$4)^2))</f>
        <v/>
      </c>
      <c r="N29">
        <f>IF(G29="","",IF(VLOOKUP(C29,Recipes!$A$2:$N$4,7,FALSE())=0,-1E+300,-0.5*((J29-Components!$D$5)/Components!$E$5)^2))</f>
        <v/>
      </c>
      <c r="O29">
        <f>IF(G29="","",IF(VLOOKUP(C29,Recipes!$A$2:$N$4,8,FALSE())=0,-1E+300,-0.5*((J29-Components!$D$6)/Components!$E$6)^2))</f>
        <v/>
      </c>
      <c r="P29">
        <f>IF(G29="","",IF(VLOOKUP(C29,Recipes!$A$2:$N$4,9,FALSE())=0,-1E+300,-0.5*((J29-Components!$D$7)/Components!$E$7)^2))</f>
        <v/>
      </c>
      <c r="Q29">
        <f>IF(G29="","",EXP(LARGE(K29:P29,1)-MAX(K29:P29))/(EXP(K29-MAX(K29:P29))+EXP(L29-MAX(K29:P29))+EXP(M29-MAX(K29:P29))+EXP(N29-MAX(K29:P29))+EXP(O29-MAX(K29:P29))+EXP(P29-MAX(K29:P29))))</f>
        <v/>
      </c>
      <c r="R29">
        <f>IF(G29="","",EXP(LARGE(K29:P29,2)-MAX(K29:P29))/(EXP(K29-MAX(K29:P29))+EXP(L29-MAX(K29:P29))+EXP(M29-MAX(K29:P29))+EXP(N29-MAX(K29:P29))+EXP(O29-MAX(K29:P29))+EXP(P29-MAX(K29:P29))))</f>
        <v/>
      </c>
      <c r="S29">
        <f>IF(G29="","",Q29-R29)</f>
        <v/>
      </c>
      <c r="T29">
        <f>IF(G29="","",IF(ABS(G29-H29)&lt;=$B$6*I29,"OK","NG"))</f>
        <v/>
      </c>
      <c r="U29">
        <f>IF(T29="","",IF(T29=D29,1,0))</f>
        <v/>
      </c>
      <c r="V29">
        <f>IF(G29="","",IF(T29="OK","NONE",INDEX({"S1","S2","W1","W2","N1","N2"},MATCH(MAX(K29:P29),K29:P29,0))))</f>
        <v/>
      </c>
      <c r="W29">
        <f>IF(G29="","",IF(V29=E29,1,0))</f>
        <v/>
      </c>
      <c r="X29">
        <f>IF(G29="","",IF(AND(T29="NG",S29&lt;$B$7),"AMBIGUOUS","CONFIDENT"))</f>
        <v/>
      </c>
    </row>
    <row r="30">
      <c r="A30">
        <f>'Runs Z score'!A23</f>
        <v/>
      </c>
      <c r="B30">
        <f>'Runs Z score'!B23</f>
        <v/>
      </c>
      <c r="C30">
        <f>'Runs Z score'!C23</f>
        <v/>
      </c>
      <c r="D30">
        <f>'Runs Z score'!D23</f>
        <v/>
      </c>
      <c r="E30">
        <f>'Runs Z score'!E23</f>
        <v/>
      </c>
      <c r="F30">
        <f>'Runs Z score'!F23</f>
        <v/>
      </c>
      <c r="G30">
        <f>'Runs Z score'!G23</f>
        <v/>
      </c>
      <c r="H30">
        <f>VLOOKUP(C30,Recipes!$A$2:$N$4,10,FALSE())</f>
        <v/>
      </c>
      <c r="I30">
        <f>VLOOKUP(C30,Recipes!$A$2:$N$4,12,FALSE())</f>
        <v/>
      </c>
      <c r="J30">
        <f>IF(G30="","",H30-G30)</f>
        <v/>
      </c>
      <c r="K30">
        <f>IF(G30="","",IF(VLOOKUP(C30,Recipes!$A$2:$N$4,4,FALSE())=0,-1E+300,-0.5*((J30-Components!$D$2)/Components!$E$2)^2))</f>
        <v/>
      </c>
      <c r="L30">
        <f>IF(G30="","",IF(VLOOKUP(C30,Recipes!$A$2:$N$4,5,FALSE())=0,-1E+300,-0.5*((J30-Components!$D$3)/Components!$E$3)^2))</f>
        <v/>
      </c>
      <c r="M30">
        <f>IF(G30="","",IF(VLOOKUP(C30,Recipes!$A$2:$N$4,6,FALSE())=0,-1E+300,-0.5*((J30-Components!$D$4)/Components!$E$4)^2))</f>
        <v/>
      </c>
      <c r="N30">
        <f>IF(G30="","",IF(VLOOKUP(C30,Recipes!$A$2:$N$4,7,FALSE())=0,-1E+300,-0.5*((J30-Components!$D$5)/Components!$E$5)^2))</f>
        <v/>
      </c>
      <c r="O30">
        <f>IF(G30="","",IF(VLOOKUP(C30,Recipes!$A$2:$N$4,8,FALSE())=0,-1E+300,-0.5*((J30-Components!$D$6)/Components!$E$6)^2))</f>
        <v/>
      </c>
      <c r="P30">
        <f>IF(G30="","",IF(VLOOKUP(C30,Recipes!$A$2:$N$4,9,FALSE())=0,-1E+300,-0.5*((J30-Components!$D$7)/Components!$E$7)^2))</f>
        <v/>
      </c>
      <c r="Q30">
        <f>IF(G30="","",EXP(LARGE(K30:P30,1)-MAX(K30:P30))/(EXP(K30-MAX(K30:P30))+EXP(L30-MAX(K30:P30))+EXP(M30-MAX(K30:P30))+EXP(N30-MAX(K30:P30))+EXP(O30-MAX(K30:P30))+EXP(P30-MAX(K30:P30))))</f>
        <v/>
      </c>
      <c r="R30">
        <f>IF(G30="","",EXP(LARGE(K30:P30,2)-MAX(K30:P30))/(EXP(K30-MAX(K30:P30))+EXP(L30-MAX(K30:P30))+EXP(M30-MAX(K30:P30))+EXP(N30-MAX(K30:P30))+EXP(O30-MAX(K30:P30))+EXP(P30-MAX(K30:P30))))</f>
        <v/>
      </c>
      <c r="S30">
        <f>IF(G30="","",Q30-R30)</f>
        <v/>
      </c>
      <c r="T30">
        <f>IF(G30="","",IF(ABS(G30-H30)&lt;=$B$6*I30,"OK","NG"))</f>
        <v/>
      </c>
      <c r="U30">
        <f>IF(T30="","",IF(T30=D30,1,0))</f>
        <v/>
      </c>
      <c r="V30">
        <f>IF(G30="","",IF(T30="OK","NONE",INDEX({"S1","S2","W1","W2","N1","N2"},MATCH(MAX(K30:P30),K30:P30,0))))</f>
        <v/>
      </c>
      <c r="W30">
        <f>IF(G30="","",IF(V30=E30,1,0))</f>
        <v/>
      </c>
      <c r="X30">
        <f>IF(G30="","",IF(AND(T30="NG",S30&lt;$B$7),"AMBIGUOUS","CONFIDENT"))</f>
        <v/>
      </c>
    </row>
    <row r="31">
      <c r="A31">
        <f>'Runs Z score'!A24</f>
        <v/>
      </c>
      <c r="B31">
        <f>'Runs Z score'!B24</f>
        <v/>
      </c>
      <c r="C31">
        <f>'Runs Z score'!C24</f>
        <v/>
      </c>
      <c r="D31">
        <f>'Runs Z score'!D24</f>
        <v/>
      </c>
      <c r="E31">
        <f>'Runs Z score'!E24</f>
        <v/>
      </c>
      <c r="F31">
        <f>'Runs Z score'!F24</f>
        <v/>
      </c>
      <c r="G31">
        <f>'Runs Z score'!G24</f>
        <v/>
      </c>
      <c r="H31">
        <f>VLOOKUP(C31,Recipes!$A$2:$N$4,10,FALSE())</f>
        <v/>
      </c>
      <c r="I31">
        <f>VLOOKUP(C31,Recipes!$A$2:$N$4,12,FALSE())</f>
        <v/>
      </c>
      <c r="J31">
        <f>IF(G31="","",H31-G31)</f>
        <v/>
      </c>
      <c r="K31">
        <f>IF(G31="","",IF(VLOOKUP(C31,Recipes!$A$2:$N$4,4,FALSE())=0,-1E+300,-0.5*((J31-Components!$D$2)/Components!$E$2)^2))</f>
        <v/>
      </c>
      <c r="L31">
        <f>IF(G31="","",IF(VLOOKUP(C31,Recipes!$A$2:$N$4,5,FALSE())=0,-1E+300,-0.5*((J31-Components!$D$3)/Components!$E$3)^2))</f>
        <v/>
      </c>
      <c r="M31">
        <f>IF(G31="","",IF(VLOOKUP(C31,Recipes!$A$2:$N$4,6,FALSE())=0,-1E+300,-0.5*((J31-Components!$D$4)/Components!$E$4)^2))</f>
        <v/>
      </c>
      <c r="N31">
        <f>IF(G31="","",IF(VLOOKUP(C31,Recipes!$A$2:$N$4,7,FALSE())=0,-1E+300,-0.5*((J31-Components!$D$5)/Components!$E$5)^2))</f>
        <v/>
      </c>
      <c r="O31">
        <f>IF(G31="","",IF(VLOOKUP(C31,Recipes!$A$2:$N$4,8,FALSE())=0,-1E+300,-0.5*((J31-Components!$D$6)/Components!$E$6)^2))</f>
        <v/>
      </c>
      <c r="P31">
        <f>IF(G31="","",IF(VLOOKUP(C31,Recipes!$A$2:$N$4,9,FALSE())=0,-1E+300,-0.5*((J31-Components!$D$7)/Components!$E$7)^2))</f>
        <v/>
      </c>
      <c r="Q31">
        <f>IF(G31="","",EXP(LARGE(K31:P31,1)-MAX(K31:P31))/(EXP(K31-MAX(K31:P31))+EXP(L31-MAX(K31:P31))+EXP(M31-MAX(K31:P31))+EXP(N31-MAX(K31:P31))+EXP(O31-MAX(K31:P31))+EXP(P31-MAX(K31:P31))))</f>
        <v/>
      </c>
      <c r="R31">
        <f>IF(G31="","",EXP(LARGE(K31:P31,2)-MAX(K31:P31))/(EXP(K31-MAX(K31:P31))+EXP(L31-MAX(K31:P31))+EXP(M31-MAX(K31:P31))+EXP(N31-MAX(K31:P31))+EXP(O31-MAX(K31:P31))+EXP(P31-MAX(K31:P31))))</f>
        <v/>
      </c>
      <c r="S31">
        <f>IF(G31="","",Q31-R31)</f>
        <v/>
      </c>
      <c r="T31">
        <f>IF(G31="","",IF(ABS(G31-H31)&lt;=$B$6*I31,"OK","NG"))</f>
        <v/>
      </c>
      <c r="U31">
        <f>IF(T31="","",IF(T31=D31,1,0))</f>
        <v/>
      </c>
      <c r="V31">
        <f>IF(G31="","",IF(T31="OK","NONE",INDEX({"S1","S2","W1","W2","N1","N2"},MATCH(MAX(K31:P31),K31:P31,0))))</f>
        <v/>
      </c>
      <c r="W31">
        <f>IF(G31="","",IF(V31=E31,1,0))</f>
        <v/>
      </c>
      <c r="X31">
        <f>IF(G31="","",IF(AND(T31="NG",S31&lt;$B$7),"AMBIGUOUS","CONFIDENT"))</f>
        <v/>
      </c>
    </row>
    <row r="32">
      <c r="A32">
        <f>'Runs Z score'!A25</f>
        <v/>
      </c>
      <c r="B32">
        <f>'Runs Z score'!B25</f>
        <v/>
      </c>
      <c r="C32">
        <f>'Runs Z score'!C25</f>
        <v/>
      </c>
      <c r="D32">
        <f>'Runs Z score'!D25</f>
        <v/>
      </c>
      <c r="E32">
        <f>'Runs Z score'!E25</f>
        <v/>
      </c>
      <c r="F32">
        <f>'Runs Z score'!F25</f>
        <v/>
      </c>
      <c r="G32">
        <f>'Runs Z score'!G25</f>
        <v/>
      </c>
      <c r="H32">
        <f>VLOOKUP(C32,Recipes!$A$2:$N$4,10,FALSE())</f>
        <v/>
      </c>
      <c r="I32">
        <f>VLOOKUP(C32,Recipes!$A$2:$N$4,12,FALSE())</f>
        <v/>
      </c>
      <c r="J32">
        <f>IF(G32="","",H32-G32)</f>
        <v/>
      </c>
      <c r="K32">
        <f>IF(G32="","",IF(VLOOKUP(C32,Recipes!$A$2:$N$4,4,FALSE())=0,-1E+300,-0.5*((J32-Components!$D$2)/Components!$E$2)^2))</f>
        <v/>
      </c>
      <c r="L32">
        <f>IF(G32="","",IF(VLOOKUP(C32,Recipes!$A$2:$N$4,5,FALSE())=0,-1E+300,-0.5*((J32-Components!$D$3)/Components!$E$3)^2))</f>
        <v/>
      </c>
      <c r="M32">
        <f>IF(G32="","",IF(VLOOKUP(C32,Recipes!$A$2:$N$4,6,FALSE())=0,-1E+300,-0.5*((J32-Components!$D$4)/Components!$E$4)^2))</f>
        <v/>
      </c>
      <c r="N32">
        <f>IF(G32="","",IF(VLOOKUP(C32,Recipes!$A$2:$N$4,7,FALSE())=0,-1E+300,-0.5*((J32-Components!$D$5)/Components!$E$5)^2))</f>
        <v/>
      </c>
      <c r="O32">
        <f>IF(G32="","",IF(VLOOKUP(C32,Recipes!$A$2:$N$4,8,FALSE())=0,-1E+300,-0.5*((J32-Components!$D$6)/Components!$E$6)^2))</f>
        <v/>
      </c>
      <c r="P32">
        <f>IF(G32="","",IF(VLOOKUP(C32,Recipes!$A$2:$N$4,9,FALSE())=0,-1E+300,-0.5*((J32-Components!$D$7)/Components!$E$7)^2))</f>
        <v/>
      </c>
      <c r="Q32">
        <f>IF(G32="","",EXP(LARGE(K32:P32,1)-MAX(K32:P32))/(EXP(K32-MAX(K32:P32))+EXP(L32-MAX(K32:P32))+EXP(M32-MAX(K32:P32))+EXP(N32-MAX(K32:P32))+EXP(O32-MAX(K32:P32))+EXP(P32-MAX(K32:P32))))</f>
        <v/>
      </c>
      <c r="R32">
        <f>IF(G32="","",EXP(LARGE(K32:P32,2)-MAX(K32:P32))/(EXP(K32-MAX(K32:P32))+EXP(L32-MAX(K32:P32))+EXP(M32-MAX(K32:P32))+EXP(N32-MAX(K32:P32))+EXP(O32-MAX(K32:P32))+EXP(P32-MAX(K32:P32))))</f>
        <v/>
      </c>
      <c r="S32">
        <f>IF(G32="","",Q32-R32)</f>
        <v/>
      </c>
      <c r="T32">
        <f>IF(G32="","",IF(ABS(G32-H32)&lt;=$B$6*I32,"OK","NG"))</f>
        <v/>
      </c>
      <c r="U32">
        <f>IF(T32="","",IF(T32=D32,1,0))</f>
        <v/>
      </c>
      <c r="V32">
        <f>IF(G32="","",IF(T32="OK","NONE",INDEX({"S1","S2","W1","W2","N1","N2"},MATCH(MAX(K32:P32),K32:P32,0))))</f>
        <v/>
      </c>
      <c r="W32">
        <f>IF(G32="","",IF(V32=E32,1,0))</f>
        <v/>
      </c>
      <c r="X32">
        <f>IF(G32="","",IF(AND(T32="NG",S32&lt;$B$7),"AMBIGUOUS","CONFIDENT"))</f>
        <v/>
      </c>
    </row>
    <row r="33">
      <c r="A33">
        <f>'Runs Z score'!A26</f>
        <v/>
      </c>
      <c r="B33">
        <f>'Runs Z score'!B26</f>
        <v/>
      </c>
      <c r="C33">
        <f>'Runs Z score'!C26</f>
        <v/>
      </c>
      <c r="D33">
        <f>'Runs Z score'!D26</f>
        <v/>
      </c>
      <c r="E33">
        <f>'Runs Z score'!E26</f>
        <v/>
      </c>
      <c r="F33">
        <f>'Runs Z score'!F26</f>
        <v/>
      </c>
      <c r="G33">
        <f>'Runs Z score'!G26</f>
        <v/>
      </c>
      <c r="H33">
        <f>VLOOKUP(C33,Recipes!$A$2:$N$4,10,FALSE())</f>
        <v/>
      </c>
      <c r="I33">
        <f>VLOOKUP(C33,Recipes!$A$2:$N$4,12,FALSE())</f>
        <v/>
      </c>
      <c r="J33">
        <f>IF(G33="","",H33-G33)</f>
        <v/>
      </c>
      <c r="K33">
        <f>IF(G33="","",IF(VLOOKUP(C33,Recipes!$A$2:$N$4,4,FALSE())=0,-1E+300,-0.5*((J33-Components!$D$2)/Components!$E$2)^2))</f>
        <v/>
      </c>
      <c r="L33">
        <f>IF(G33="","",IF(VLOOKUP(C33,Recipes!$A$2:$N$4,5,FALSE())=0,-1E+300,-0.5*((J33-Components!$D$3)/Components!$E$3)^2))</f>
        <v/>
      </c>
      <c r="M33">
        <f>IF(G33="","",IF(VLOOKUP(C33,Recipes!$A$2:$N$4,6,FALSE())=0,-1E+300,-0.5*((J33-Components!$D$4)/Components!$E$4)^2))</f>
        <v/>
      </c>
      <c r="N33">
        <f>IF(G33="","",IF(VLOOKUP(C33,Recipes!$A$2:$N$4,7,FALSE())=0,-1E+300,-0.5*((J33-Components!$D$5)/Components!$E$5)^2))</f>
        <v/>
      </c>
      <c r="O33">
        <f>IF(G33="","",IF(VLOOKUP(C33,Recipes!$A$2:$N$4,8,FALSE())=0,-1E+300,-0.5*((J33-Components!$D$6)/Components!$E$6)^2))</f>
        <v/>
      </c>
      <c r="P33">
        <f>IF(G33="","",IF(VLOOKUP(C33,Recipes!$A$2:$N$4,9,FALSE())=0,-1E+300,-0.5*((J33-Components!$D$7)/Components!$E$7)^2))</f>
        <v/>
      </c>
      <c r="Q33">
        <f>IF(G33="","",EXP(LARGE(K33:P33,1)-MAX(K33:P33))/(EXP(K33-MAX(K33:P33))+EXP(L33-MAX(K33:P33))+EXP(M33-MAX(K33:P33))+EXP(N33-MAX(K33:P33))+EXP(O33-MAX(K33:P33))+EXP(P33-MAX(K33:P33))))</f>
        <v/>
      </c>
      <c r="R33">
        <f>IF(G33="","",EXP(LARGE(K33:P33,2)-MAX(K33:P33))/(EXP(K33-MAX(K33:P33))+EXP(L33-MAX(K33:P33))+EXP(M33-MAX(K33:P33))+EXP(N33-MAX(K33:P33))+EXP(O33-MAX(K33:P33))+EXP(P33-MAX(K33:P33))))</f>
        <v/>
      </c>
      <c r="S33">
        <f>IF(G33="","",Q33-R33)</f>
        <v/>
      </c>
      <c r="T33">
        <f>IF(G33="","",IF(ABS(G33-H33)&lt;=$B$6*I33,"OK","NG"))</f>
        <v/>
      </c>
      <c r="U33">
        <f>IF(T33="","",IF(T33=D33,1,0))</f>
        <v/>
      </c>
      <c r="V33">
        <f>IF(G33="","",IF(T33="OK","NONE",INDEX({"S1","S2","W1","W2","N1","N2"},MATCH(MAX(K33:P33),K33:P33,0))))</f>
        <v/>
      </c>
      <c r="W33">
        <f>IF(G33="","",IF(V33=E33,1,0))</f>
        <v/>
      </c>
      <c r="X33">
        <f>IF(G33="","",IF(AND(T33="NG",S33&lt;$B$7),"AMBIGUOUS","CONFIDENT"))</f>
        <v/>
      </c>
    </row>
    <row r="34">
      <c r="A34">
        <f>'Runs Z score'!A27</f>
        <v/>
      </c>
      <c r="B34">
        <f>'Runs Z score'!B27</f>
        <v/>
      </c>
      <c r="C34">
        <f>'Runs Z score'!C27</f>
        <v/>
      </c>
      <c r="D34">
        <f>'Runs Z score'!D27</f>
        <v/>
      </c>
      <c r="E34">
        <f>'Runs Z score'!E27</f>
        <v/>
      </c>
      <c r="F34">
        <f>'Runs Z score'!F27</f>
        <v/>
      </c>
      <c r="G34">
        <f>'Runs Z score'!G27</f>
        <v/>
      </c>
      <c r="H34">
        <f>VLOOKUP(C34,Recipes!$A$2:$N$4,10,FALSE())</f>
        <v/>
      </c>
      <c r="I34">
        <f>VLOOKUP(C34,Recipes!$A$2:$N$4,12,FALSE())</f>
        <v/>
      </c>
      <c r="J34">
        <f>IF(G34="","",H34-G34)</f>
        <v/>
      </c>
      <c r="K34">
        <f>IF(G34="","",IF(VLOOKUP(C34,Recipes!$A$2:$N$4,4,FALSE())=0,-1E+300,-0.5*((J34-Components!$D$2)/Components!$E$2)^2))</f>
        <v/>
      </c>
      <c r="L34">
        <f>IF(G34="","",IF(VLOOKUP(C34,Recipes!$A$2:$N$4,5,FALSE())=0,-1E+300,-0.5*((J34-Components!$D$3)/Components!$E$3)^2))</f>
        <v/>
      </c>
      <c r="M34">
        <f>IF(G34="","",IF(VLOOKUP(C34,Recipes!$A$2:$N$4,6,FALSE())=0,-1E+300,-0.5*((J34-Components!$D$4)/Components!$E$4)^2))</f>
        <v/>
      </c>
      <c r="N34">
        <f>IF(G34="","",IF(VLOOKUP(C34,Recipes!$A$2:$N$4,7,FALSE())=0,-1E+300,-0.5*((J34-Components!$D$5)/Components!$E$5)^2))</f>
        <v/>
      </c>
      <c r="O34">
        <f>IF(G34="","",IF(VLOOKUP(C34,Recipes!$A$2:$N$4,8,FALSE())=0,-1E+300,-0.5*((J34-Components!$D$6)/Components!$E$6)^2))</f>
        <v/>
      </c>
      <c r="P34">
        <f>IF(G34="","",IF(VLOOKUP(C34,Recipes!$A$2:$N$4,9,FALSE())=0,-1E+300,-0.5*((J34-Components!$D$7)/Components!$E$7)^2))</f>
        <v/>
      </c>
      <c r="Q34">
        <f>IF(G34="","",EXP(LARGE(K34:P34,1)-MAX(K34:P34))/(EXP(K34-MAX(K34:P34))+EXP(L34-MAX(K34:P34))+EXP(M34-MAX(K34:P34))+EXP(N34-MAX(K34:P34))+EXP(O34-MAX(K34:P34))+EXP(P34-MAX(K34:P34))))</f>
        <v/>
      </c>
      <c r="R34">
        <f>IF(G34="","",EXP(LARGE(K34:P34,2)-MAX(K34:P34))/(EXP(K34-MAX(K34:P34))+EXP(L34-MAX(K34:P34))+EXP(M34-MAX(K34:P34))+EXP(N34-MAX(K34:P34))+EXP(O34-MAX(K34:P34))+EXP(P34-MAX(K34:P34))))</f>
        <v/>
      </c>
      <c r="S34">
        <f>IF(G34="","",Q34-R34)</f>
        <v/>
      </c>
      <c r="T34">
        <f>IF(G34="","",IF(ABS(G34-H34)&lt;=$B$6*I34,"OK","NG"))</f>
        <v/>
      </c>
      <c r="U34">
        <f>IF(T34="","",IF(T34=D34,1,0))</f>
        <v/>
      </c>
      <c r="V34">
        <f>IF(G34="","",IF(T34="OK","NONE",INDEX({"S1","S2","W1","W2","N1","N2"},MATCH(MAX(K34:P34),K34:P34,0))))</f>
        <v/>
      </c>
      <c r="W34">
        <f>IF(G34="","",IF(V34=E34,1,0))</f>
        <v/>
      </c>
      <c r="X34">
        <f>IF(G34="","",IF(AND(T34="NG",S34&lt;$B$7),"AMBIGUOUS","CONFIDENT"))</f>
        <v/>
      </c>
    </row>
    <row r="35">
      <c r="A35">
        <f>'Runs Z score'!A28</f>
        <v/>
      </c>
      <c r="B35">
        <f>'Runs Z score'!B28</f>
        <v/>
      </c>
      <c r="C35">
        <f>'Runs Z score'!C28</f>
        <v/>
      </c>
      <c r="D35">
        <f>'Runs Z score'!D28</f>
        <v/>
      </c>
      <c r="E35">
        <f>'Runs Z score'!E28</f>
        <v/>
      </c>
      <c r="F35">
        <f>'Runs Z score'!F28</f>
        <v/>
      </c>
      <c r="G35">
        <f>'Runs Z score'!G28</f>
        <v/>
      </c>
      <c r="H35">
        <f>VLOOKUP(C35,Recipes!$A$2:$N$4,10,FALSE())</f>
        <v/>
      </c>
      <c r="I35">
        <f>VLOOKUP(C35,Recipes!$A$2:$N$4,12,FALSE())</f>
        <v/>
      </c>
      <c r="J35">
        <f>IF(G35="","",H35-G35)</f>
        <v/>
      </c>
      <c r="K35">
        <f>IF(G35="","",IF(VLOOKUP(C35,Recipes!$A$2:$N$4,4,FALSE())=0,-1E+300,-0.5*((J35-Components!$D$2)/Components!$E$2)^2))</f>
        <v/>
      </c>
      <c r="L35">
        <f>IF(G35="","",IF(VLOOKUP(C35,Recipes!$A$2:$N$4,5,FALSE())=0,-1E+300,-0.5*((J35-Components!$D$3)/Components!$E$3)^2))</f>
        <v/>
      </c>
      <c r="M35">
        <f>IF(G35="","",IF(VLOOKUP(C35,Recipes!$A$2:$N$4,6,FALSE())=0,-1E+300,-0.5*((J35-Components!$D$4)/Components!$E$4)^2))</f>
        <v/>
      </c>
      <c r="N35">
        <f>IF(G35="","",IF(VLOOKUP(C35,Recipes!$A$2:$N$4,7,FALSE())=0,-1E+300,-0.5*((J35-Components!$D$5)/Components!$E$5)^2))</f>
        <v/>
      </c>
      <c r="O35">
        <f>IF(G35="","",IF(VLOOKUP(C35,Recipes!$A$2:$N$4,8,FALSE())=0,-1E+300,-0.5*((J35-Components!$D$6)/Components!$E$6)^2))</f>
        <v/>
      </c>
      <c r="P35">
        <f>IF(G35="","",IF(VLOOKUP(C35,Recipes!$A$2:$N$4,9,FALSE())=0,-1E+300,-0.5*((J35-Components!$D$7)/Components!$E$7)^2))</f>
        <v/>
      </c>
      <c r="Q35">
        <f>IF(G35="","",EXP(LARGE(K35:P35,1)-MAX(K35:P35))/(EXP(K35-MAX(K35:P35))+EXP(L35-MAX(K35:P35))+EXP(M35-MAX(K35:P35))+EXP(N35-MAX(K35:P35))+EXP(O35-MAX(K35:P35))+EXP(P35-MAX(K35:P35))))</f>
        <v/>
      </c>
      <c r="R35">
        <f>IF(G35="","",EXP(LARGE(K35:P35,2)-MAX(K35:P35))/(EXP(K35-MAX(K35:P35))+EXP(L35-MAX(K35:P35))+EXP(M35-MAX(K35:P35))+EXP(N35-MAX(K35:P35))+EXP(O35-MAX(K35:P35))+EXP(P35-MAX(K35:P35))))</f>
        <v/>
      </c>
      <c r="S35">
        <f>IF(G35="","",Q35-R35)</f>
        <v/>
      </c>
      <c r="T35">
        <f>IF(G35="","",IF(ABS(G35-H35)&lt;=$B$6*I35,"OK","NG"))</f>
        <v/>
      </c>
      <c r="U35">
        <f>IF(T35="","",IF(T35=D35,1,0))</f>
        <v/>
      </c>
      <c r="V35">
        <f>IF(G35="","",IF(T35="OK","NONE",INDEX({"S1","S2","W1","W2","N1","N2"},MATCH(MAX(K35:P35),K35:P35,0))))</f>
        <v/>
      </c>
      <c r="W35">
        <f>IF(G35="","",IF(V35=E35,1,0))</f>
        <v/>
      </c>
      <c r="X35">
        <f>IF(G35="","",IF(AND(T35="NG",S35&lt;$B$7),"AMBIGUOUS","CONFIDENT"))</f>
        <v/>
      </c>
    </row>
    <row r="36">
      <c r="A36">
        <f>'Runs Z score'!A29</f>
        <v/>
      </c>
      <c r="B36">
        <f>'Runs Z score'!B29</f>
        <v/>
      </c>
      <c r="C36">
        <f>'Runs Z score'!C29</f>
        <v/>
      </c>
      <c r="D36">
        <f>'Runs Z score'!D29</f>
        <v/>
      </c>
      <c r="E36">
        <f>'Runs Z score'!E29</f>
        <v/>
      </c>
      <c r="F36">
        <f>'Runs Z score'!F29</f>
        <v/>
      </c>
      <c r="G36">
        <f>'Runs Z score'!G29</f>
        <v/>
      </c>
      <c r="H36">
        <f>VLOOKUP(C36,Recipes!$A$2:$N$4,10,FALSE())</f>
        <v/>
      </c>
      <c r="I36">
        <f>VLOOKUP(C36,Recipes!$A$2:$N$4,12,FALSE())</f>
        <v/>
      </c>
      <c r="J36">
        <f>IF(G36="","",H36-G36)</f>
        <v/>
      </c>
      <c r="K36">
        <f>IF(G36="","",IF(VLOOKUP(C36,Recipes!$A$2:$N$4,4,FALSE())=0,-1E+300,-0.5*((J36-Components!$D$2)/Components!$E$2)^2))</f>
        <v/>
      </c>
      <c r="L36">
        <f>IF(G36="","",IF(VLOOKUP(C36,Recipes!$A$2:$N$4,5,FALSE())=0,-1E+300,-0.5*((J36-Components!$D$3)/Components!$E$3)^2))</f>
        <v/>
      </c>
      <c r="M36">
        <f>IF(G36="","",IF(VLOOKUP(C36,Recipes!$A$2:$N$4,6,FALSE())=0,-1E+300,-0.5*((J36-Components!$D$4)/Components!$E$4)^2))</f>
        <v/>
      </c>
      <c r="N36">
        <f>IF(G36="","",IF(VLOOKUP(C36,Recipes!$A$2:$N$4,7,FALSE())=0,-1E+300,-0.5*((J36-Components!$D$5)/Components!$E$5)^2))</f>
        <v/>
      </c>
      <c r="O36">
        <f>IF(G36="","",IF(VLOOKUP(C36,Recipes!$A$2:$N$4,8,FALSE())=0,-1E+300,-0.5*((J36-Components!$D$6)/Components!$E$6)^2))</f>
        <v/>
      </c>
      <c r="P36">
        <f>IF(G36="","",IF(VLOOKUP(C36,Recipes!$A$2:$N$4,9,FALSE())=0,-1E+300,-0.5*((J36-Components!$D$7)/Components!$E$7)^2))</f>
        <v/>
      </c>
      <c r="Q36">
        <f>IF(G36="","",EXP(LARGE(K36:P36,1)-MAX(K36:P36))/(EXP(K36-MAX(K36:P36))+EXP(L36-MAX(K36:P36))+EXP(M36-MAX(K36:P36))+EXP(N36-MAX(K36:P36))+EXP(O36-MAX(K36:P36))+EXP(P36-MAX(K36:P36))))</f>
        <v/>
      </c>
      <c r="R36">
        <f>IF(G36="","",EXP(LARGE(K36:P36,2)-MAX(K36:P36))/(EXP(K36-MAX(K36:P36))+EXP(L36-MAX(K36:P36))+EXP(M36-MAX(K36:P36))+EXP(N36-MAX(K36:P36))+EXP(O36-MAX(K36:P36))+EXP(P36-MAX(K36:P36))))</f>
        <v/>
      </c>
      <c r="S36">
        <f>IF(G36="","",Q36-R36)</f>
        <v/>
      </c>
      <c r="T36">
        <f>IF(G36="","",IF(ABS(G36-H36)&lt;=$B$6*I36,"OK","NG"))</f>
        <v/>
      </c>
      <c r="U36">
        <f>IF(T36="","",IF(T36=D36,1,0))</f>
        <v/>
      </c>
      <c r="V36">
        <f>IF(G36="","",IF(T36="OK","NONE",INDEX({"S1","S2","W1","W2","N1","N2"},MATCH(MAX(K36:P36),K36:P36,0))))</f>
        <v/>
      </c>
      <c r="W36">
        <f>IF(G36="","",IF(V36=E36,1,0))</f>
        <v/>
      </c>
      <c r="X36">
        <f>IF(G36="","",IF(AND(T36="NG",S36&lt;$B$7),"AMBIGUOUS","CONFIDENT"))</f>
        <v/>
      </c>
    </row>
    <row r="37">
      <c r="A37">
        <f>'Runs Z score'!A30</f>
        <v/>
      </c>
      <c r="B37">
        <f>'Runs Z score'!B30</f>
        <v/>
      </c>
      <c r="C37">
        <f>'Runs Z score'!C30</f>
        <v/>
      </c>
      <c r="D37">
        <f>'Runs Z score'!D30</f>
        <v/>
      </c>
      <c r="E37">
        <f>'Runs Z score'!E30</f>
        <v/>
      </c>
      <c r="F37">
        <f>'Runs Z score'!F30</f>
        <v/>
      </c>
      <c r="G37">
        <f>'Runs Z score'!G30</f>
        <v/>
      </c>
      <c r="H37">
        <f>VLOOKUP(C37,Recipes!$A$2:$N$4,10,FALSE())</f>
        <v/>
      </c>
      <c r="I37">
        <f>VLOOKUP(C37,Recipes!$A$2:$N$4,12,FALSE())</f>
        <v/>
      </c>
      <c r="J37">
        <f>IF(G37="","",H37-G37)</f>
        <v/>
      </c>
      <c r="K37">
        <f>IF(G37="","",IF(VLOOKUP(C37,Recipes!$A$2:$N$4,4,FALSE())=0,-1E+300,-0.5*((J37-Components!$D$2)/Components!$E$2)^2))</f>
        <v/>
      </c>
      <c r="L37">
        <f>IF(G37="","",IF(VLOOKUP(C37,Recipes!$A$2:$N$4,5,FALSE())=0,-1E+300,-0.5*((J37-Components!$D$3)/Components!$E$3)^2))</f>
        <v/>
      </c>
      <c r="M37">
        <f>IF(G37="","",IF(VLOOKUP(C37,Recipes!$A$2:$N$4,6,FALSE())=0,-1E+300,-0.5*((J37-Components!$D$4)/Components!$E$4)^2))</f>
        <v/>
      </c>
      <c r="N37">
        <f>IF(G37="","",IF(VLOOKUP(C37,Recipes!$A$2:$N$4,7,FALSE())=0,-1E+300,-0.5*((J37-Components!$D$5)/Components!$E$5)^2))</f>
        <v/>
      </c>
      <c r="O37">
        <f>IF(G37="","",IF(VLOOKUP(C37,Recipes!$A$2:$N$4,8,FALSE())=0,-1E+300,-0.5*((J37-Components!$D$6)/Components!$E$6)^2))</f>
        <v/>
      </c>
      <c r="P37">
        <f>IF(G37="","",IF(VLOOKUP(C37,Recipes!$A$2:$N$4,9,FALSE())=0,-1E+300,-0.5*((J37-Components!$D$7)/Components!$E$7)^2))</f>
        <v/>
      </c>
      <c r="Q37">
        <f>IF(G37="","",EXP(LARGE(K37:P37,1)-MAX(K37:P37))/(EXP(K37-MAX(K37:P37))+EXP(L37-MAX(K37:P37))+EXP(M37-MAX(K37:P37))+EXP(N37-MAX(K37:P37))+EXP(O37-MAX(K37:P37))+EXP(P37-MAX(K37:P37))))</f>
        <v/>
      </c>
      <c r="R37">
        <f>IF(G37="","",EXP(LARGE(K37:P37,2)-MAX(K37:P37))/(EXP(K37-MAX(K37:P37))+EXP(L37-MAX(K37:P37))+EXP(M37-MAX(K37:P37))+EXP(N37-MAX(K37:P37))+EXP(O37-MAX(K37:P37))+EXP(P37-MAX(K37:P37))))</f>
        <v/>
      </c>
      <c r="S37">
        <f>IF(G37="","",Q37-R37)</f>
        <v/>
      </c>
      <c r="T37">
        <f>IF(G37="","",IF(ABS(G37-H37)&lt;=$B$6*I37,"OK","NG"))</f>
        <v/>
      </c>
      <c r="U37">
        <f>IF(T37="","",IF(T37=D37,1,0))</f>
        <v/>
      </c>
      <c r="V37">
        <f>IF(G37="","",IF(T37="OK","NONE",INDEX({"S1","S2","W1","W2","N1","N2"},MATCH(MAX(K37:P37),K37:P37,0))))</f>
        <v/>
      </c>
      <c r="W37">
        <f>IF(G37="","",IF(V37=E37,1,0))</f>
        <v/>
      </c>
      <c r="X37">
        <f>IF(G37="","",IF(AND(T37="NG",S37&lt;$B$7),"AMBIGUOUS","CONFIDENT"))</f>
        <v/>
      </c>
    </row>
    <row r="38">
      <c r="A38">
        <f>'Runs Z score'!A31</f>
        <v/>
      </c>
      <c r="B38">
        <f>'Runs Z score'!B31</f>
        <v/>
      </c>
      <c r="C38">
        <f>'Runs Z score'!C31</f>
        <v/>
      </c>
      <c r="D38">
        <f>'Runs Z score'!D31</f>
        <v/>
      </c>
      <c r="E38">
        <f>'Runs Z score'!E31</f>
        <v/>
      </c>
      <c r="F38">
        <f>'Runs Z score'!F31</f>
        <v/>
      </c>
      <c r="G38">
        <f>'Runs Z score'!G31</f>
        <v/>
      </c>
      <c r="H38">
        <f>VLOOKUP(C38,Recipes!$A$2:$N$4,10,FALSE())</f>
        <v/>
      </c>
      <c r="I38">
        <f>VLOOKUP(C38,Recipes!$A$2:$N$4,12,FALSE())</f>
        <v/>
      </c>
      <c r="J38">
        <f>IF(G38="","",H38-G38)</f>
        <v/>
      </c>
      <c r="K38">
        <f>IF(G38="","",IF(VLOOKUP(C38,Recipes!$A$2:$N$4,4,FALSE())=0,-1E+300,-0.5*((J38-Components!$D$2)/Components!$E$2)^2))</f>
        <v/>
      </c>
      <c r="L38">
        <f>IF(G38="","",IF(VLOOKUP(C38,Recipes!$A$2:$N$4,5,FALSE())=0,-1E+300,-0.5*((J38-Components!$D$3)/Components!$E$3)^2))</f>
        <v/>
      </c>
      <c r="M38">
        <f>IF(G38="","",IF(VLOOKUP(C38,Recipes!$A$2:$N$4,6,FALSE())=0,-1E+300,-0.5*((J38-Components!$D$4)/Components!$E$4)^2))</f>
        <v/>
      </c>
      <c r="N38">
        <f>IF(G38="","",IF(VLOOKUP(C38,Recipes!$A$2:$N$4,7,FALSE())=0,-1E+300,-0.5*((J38-Components!$D$5)/Components!$E$5)^2))</f>
        <v/>
      </c>
      <c r="O38">
        <f>IF(G38="","",IF(VLOOKUP(C38,Recipes!$A$2:$N$4,8,FALSE())=0,-1E+300,-0.5*((J38-Components!$D$6)/Components!$E$6)^2))</f>
        <v/>
      </c>
      <c r="P38">
        <f>IF(G38="","",IF(VLOOKUP(C38,Recipes!$A$2:$N$4,9,FALSE())=0,-1E+300,-0.5*((J38-Components!$D$7)/Components!$E$7)^2))</f>
        <v/>
      </c>
      <c r="Q38">
        <f>IF(G38="","",EXP(LARGE(K38:P38,1)-MAX(K38:P38))/(EXP(K38-MAX(K38:P38))+EXP(L38-MAX(K38:P38))+EXP(M38-MAX(K38:P38))+EXP(N38-MAX(K38:P38))+EXP(O38-MAX(K38:P38))+EXP(P38-MAX(K38:P38))))</f>
        <v/>
      </c>
      <c r="R38">
        <f>IF(G38="","",EXP(LARGE(K38:P38,2)-MAX(K38:P38))/(EXP(K38-MAX(K38:P38))+EXP(L38-MAX(K38:P38))+EXP(M38-MAX(K38:P38))+EXP(N38-MAX(K38:P38))+EXP(O38-MAX(K38:P38))+EXP(P38-MAX(K38:P38))))</f>
        <v/>
      </c>
      <c r="S38">
        <f>IF(G38="","",Q38-R38)</f>
        <v/>
      </c>
      <c r="T38">
        <f>IF(G38="","",IF(ABS(G38-H38)&lt;=$B$6*I38,"OK","NG"))</f>
        <v/>
      </c>
      <c r="U38">
        <f>IF(T38="","",IF(T38=D38,1,0))</f>
        <v/>
      </c>
      <c r="V38">
        <f>IF(G38="","",IF(T38="OK","NONE",INDEX({"S1","S2","W1","W2","N1","N2"},MATCH(MAX(K38:P38),K38:P38,0))))</f>
        <v/>
      </c>
      <c r="W38">
        <f>IF(G38="","",IF(V38=E38,1,0))</f>
        <v/>
      </c>
      <c r="X38">
        <f>IF(G38="","",IF(AND(T38="NG",S38&lt;$B$7),"AMBIGUOUS","CONFIDENT"))</f>
        <v/>
      </c>
    </row>
    <row r="39">
      <c r="A39">
        <f>'Runs Z score'!A32</f>
        <v/>
      </c>
      <c r="B39">
        <f>'Runs Z score'!B32</f>
        <v/>
      </c>
      <c r="C39">
        <f>'Runs Z score'!C32</f>
        <v/>
      </c>
      <c r="D39">
        <f>'Runs Z score'!D32</f>
        <v/>
      </c>
      <c r="E39">
        <f>'Runs Z score'!E32</f>
        <v/>
      </c>
      <c r="F39">
        <f>'Runs Z score'!F32</f>
        <v/>
      </c>
      <c r="G39">
        <f>'Runs Z score'!G32</f>
        <v/>
      </c>
      <c r="H39">
        <f>VLOOKUP(C39,Recipes!$A$2:$N$4,10,FALSE())</f>
        <v/>
      </c>
      <c r="I39">
        <f>VLOOKUP(C39,Recipes!$A$2:$N$4,12,FALSE())</f>
        <v/>
      </c>
      <c r="J39">
        <f>IF(G39="","",H39-G39)</f>
        <v/>
      </c>
      <c r="K39">
        <f>IF(G39="","",IF(VLOOKUP(C39,Recipes!$A$2:$N$4,4,FALSE())=0,-1E+300,-0.5*((J39-Components!$D$2)/Components!$E$2)^2))</f>
        <v/>
      </c>
      <c r="L39">
        <f>IF(G39="","",IF(VLOOKUP(C39,Recipes!$A$2:$N$4,5,FALSE())=0,-1E+300,-0.5*((J39-Components!$D$3)/Components!$E$3)^2))</f>
        <v/>
      </c>
      <c r="M39">
        <f>IF(G39="","",IF(VLOOKUP(C39,Recipes!$A$2:$N$4,6,FALSE())=0,-1E+300,-0.5*((J39-Components!$D$4)/Components!$E$4)^2))</f>
        <v/>
      </c>
      <c r="N39">
        <f>IF(G39="","",IF(VLOOKUP(C39,Recipes!$A$2:$N$4,7,FALSE())=0,-1E+300,-0.5*((J39-Components!$D$5)/Components!$E$5)^2))</f>
        <v/>
      </c>
      <c r="O39">
        <f>IF(G39="","",IF(VLOOKUP(C39,Recipes!$A$2:$N$4,8,FALSE())=0,-1E+300,-0.5*((J39-Components!$D$6)/Components!$E$6)^2))</f>
        <v/>
      </c>
      <c r="P39">
        <f>IF(G39="","",IF(VLOOKUP(C39,Recipes!$A$2:$N$4,9,FALSE())=0,-1E+300,-0.5*((J39-Components!$D$7)/Components!$E$7)^2))</f>
        <v/>
      </c>
      <c r="Q39">
        <f>IF(G39="","",EXP(LARGE(K39:P39,1)-MAX(K39:P39))/(EXP(K39-MAX(K39:P39))+EXP(L39-MAX(K39:P39))+EXP(M39-MAX(K39:P39))+EXP(N39-MAX(K39:P39))+EXP(O39-MAX(K39:P39))+EXP(P39-MAX(K39:P39))))</f>
        <v/>
      </c>
      <c r="R39">
        <f>IF(G39="","",EXP(LARGE(K39:P39,2)-MAX(K39:P39))/(EXP(K39-MAX(K39:P39))+EXP(L39-MAX(K39:P39))+EXP(M39-MAX(K39:P39))+EXP(N39-MAX(K39:P39))+EXP(O39-MAX(K39:P39))+EXP(P39-MAX(K39:P39))))</f>
        <v/>
      </c>
      <c r="S39">
        <f>IF(G39="","",Q39-R39)</f>
        <v/>
      </c>
      <c r="T39">
        <f>IF(G39="","",IF(ABS(G39-H39)&lt;=$B$6*I39,"OK","NG"))</f>
        <v/>
      </c>
      <c r="U39">
        <f>IF(T39="","",IF(T39=D39,1,0))</f>
        <v/>
      </c>
      <c r="V39">
        <f>IF(G39="","",IF(T39="OK","NONE",INDEX({"S1","S2","W1","W2","N1","N2"},MATCH(MAX(K39:P39),K39:P39,0))))</f>
        <v/>
      </c>
      <c r="W39">
        <f>IF(G39="","",IF(V39=E39,1,0))</f>
        <v/>
      </c>
      <c r="X39">
        <f>IF(G39="","",IF(AND(T39="NG",S39&lt;$B$7),"AMBIGUOUS","CONFIDENT"))</f>
        <v/>
      </c>
    </row>
    <row r="40">
      <c r="A40">
        <f>'Runs Z score'!A33</f>
        <v/>
      </c>
      <c r="B40">
        <f>'Runs Z score'!B33</f>
        <v/>
      </c>
      <c r="C40">
        <f>'Runs Z score'!C33</f>
        <v/>
      </c>
      <c r="D40">
        <f>'Runs Z score'!D33</f>
        <v/>
      </c>
      <c r="E40">
        <f>'Runs Z score'!E33</f>
        <v/>
      </c>
      <c r="F40">
        <f>'Runs Z score'!F33</f>
        <v/>
      </c>
      <c r="G40">
        <f>'Runs Z score'!G33</f>
        <v/>
      </c>
      <c r="H40">
        <f>VLOOKUP(C40,Recipes!$A$2:$N$4,10,FALSE())</f>
        <v/>
      </c>
      <c r="I40">
        <f>VLOOKUP(C40,Recipes!$A$2:$N$4,12,FALSE())</f>
        <v/>
      </c>
      <c r="J40">
        <f>IF(G40="","",H40-G40)</f>
        <v/>
      </c>
      <c r="K40">
        <f>IF(G40="","",IF(VLOOKUP(C40,Recipes!$A$2:$N$4,4,FALSE())=0,-1E+300,-0.5*((J40-Components!$D$2)/Components!$E$2)^2))</f>
        <v/>
      </c>
      <c r="L40">
        <f>IF(G40="","",IF(VLOOKUP(C40,Recipes!$A$2:$N$4,5,FALSE())=0,-1E+300,-0.5*((J40-Components!$D$3)/Components!$E$3)^2))</f>
        <v/>
      </c>
      <c r="M40">
        <f>IF(G40="","",IF(VLOOKUP(C40,Recipes!$A$2:$N$4,6,FALSE())=0,-1E+300,-0.5*((J40-Components!$D$4)/Components!$E$4)^2))</f>
        <v/>
      </c>
      <c r="N40">
        <f>IF(G40="","",IF(VLOOKUP(C40,Recipes!$A$2:$N$4,7,FALSE())=0,-1E+300,-0.5*((J40-Components!$D$5)/Components!$E$5)^2))</f>
        <v/>
      </c>
      <c r="O40">
        <f>IF(G40="","",IF(VLOOKUP(C40,Recipes!$A$2:$N$4,8,FALSE())=0,-1E+300,-0.5*((J40-Components!$D$6)/Components!$E$6)^2))</f>
        <v/>
      </c>
      <c r="P40">
        <f>IF(G40="","",IF(VLOOKUP(C40,Recipes!$A$2:$N$4,9,FALSE())=0,-1E+300,-0.5*((J40-Components!$D$7)/Components!$E$7)^2))</f>
        <v/>
      </c>
      <c r="Q40">
        <f>IF(G40="","",EXP(LARGE(K40:P40,1)-MAX(K40:P40))/(EXP(K40-MAX(K40:P40))+EXP(L40-MAX(K40:P40))+EXP(M40-MAX(K40:P40))+EXP(N40-MAX(K40:P40))+EXP(O40-MAX(K40:P40))+EXP(P40-MAX(K40:P40))))</f>
        <v/>
      </c>
      <c r="R40">
        <f>IF(G40="","",EXP(LARGE(K40:P40,2)-MAX(K40:P40))/(EXP(K40-MAX(K40:P40))+EXP(L40-MAX(K40:P40))+EXP(M40-MAX(K40:P40))+EXP(N40-MAX(K40:P40))+EXP(O40-MAX(K40:P40))+EXP(P40-MAX(K40:P40))))</f>
        <v/>
      </c>
      <c r="S40">
        <f>IF(G40="","",Q40-R40)</f>
        <v/>
      </c>
      <c r="T40">
        <f>IF(G40="","",IF(ABS(G40-H40)&lt;=$B$6*I40,"OK","NG"))</f>
        <v/>
      </c>
      <c r="U40">
        <f>IF(T40="","",IF(T40=D40,1,0))</f>
        <v/>
      </c>
      <c r="V40">
        <f>IF(G40="","",IF(T40="OK","NONE",INDEX({"S1","S2","W1","W2","N1","N2"},MATCH(MAX(K40:P40),K40:P40,0))))</f>
        <v/>
      </c>
      <c r="W40">
        <f>IF(G40="","",IF(V40=E40,1,0))</f>
        <v/>
      </c>
      <c r="X40">
        <f>IF(G40="","",IF(AND(T40="NG",S40&lt;$B$7),"AMBIGUOUS","CONFIDENT"))</f>
        <v/>
      </c>
    </row>
    <row r="41">
      <c r="A41">
        <f>'Runs Z score'!A34</f>
        <v/>
      </c>
      <c r="B41">
        <f>'Runs Z score'!B34</f>
        <v/>
      </c>
      <c r="C41">
        <f>'Runs Z score'!C34</f>
        <v/>
      </c>
      <c r="D41">
        <f>'Runs Z score'!D34</f>
        <v/>
      </c>
      <c r="E41">
        <f>'Runs Z score'!E34</f>
        <v/>
      </c>
      <c r="F41">
        <f>'Runs Z score'!F34</f>
        <v/>
      </c>
      <c r="G41">
        <f>'Runs Z score'!G34</f>
        <v/>
      </c>
      <c r="H41">
        <f>VLOOKUP(C41,Recipes!$A$2:$N$4,10,FALSE())</f>
        <v/>
      </c>
      <c r="I41">
        <f>VLOOKUP(C41,Recipes!$A$2:$N$4,12,FALSE())</f>
        <v/>
      </c>
      <c r="J41">
        <f>IF(G41="","",H41-G41)</f>
        <v/>
      </c>
      <c r="K41">
        <f>IF(G41="","",IF(VLOOKUP(C41,Recipes!$A$2:$N$4,4,FALSE())=0,-1E+300,-0.5*((J41-Components!$D$2)/Components!$E$2)^2))</f>
        <v/>
      </c>
      <c r="L41">
        <f>IF(G41="","",IF(VLOOKUP(C41,Recipes!$A$2:$N$4,5,FALSE())=0,-1E+300,-0.5*((J41-Components!$D$3)/Components!$E$3)^2))</f>
        <v/>
      </c>
      <c r="M41">
        <f>IF(G41="","",IF(VLOOKUP(C41,Recipes!$A$2:$N$4,6,FALSE())=0,-1E+300,-0.5*((J41-Components!$D$4)/Components!$E$4)^2))</f>
        <v/>
      </c>
      <c r="N41">
        <f>IF(G41="","",IF(VLOOKUP(C41,Recipes!$A$2:$N$4,7,FALSE())=0,-1E+300,-0.5*((J41-Components!$D$5)/Components!$E$5)^2))</f>
        <v/>
      </c>
      <c r="O41">
        <f>IF(G41="","",IF(VLOOKUP(C41,Recipes!$A$2:$N$4,8,FALSE())=0,-1E+300,-0.5*((J41-Components!$D$6)/Components!$E$6)^2))</f>
        <v/>
      </c>
      <c r="P41">
        <f>IF(G41="","",IF(VLOOKUP(C41,Recipes!$A$2:$N$4,9,FALSE())=0,-1E+300,-0.5*((J41-Components!$D$7)/Components!$E$7)^2))</f>
        <v/>
      </c>
      <c r="Q41">
        <f>IF(G41="","",EXP(LARGE(K41:P41,1)-MAX(K41:P41))/(EXP(K41-MAX(K41:P41))+EXP(L41-MAX(K41:P41))+EXP(M41-MAX(K41:P41))+EXP(N41-MAX(K41:P41))+EXP(O41-MAX(K41:P41))+EXP(P41-MAX(K41:P41))))</f>
        <v/>
      </c>
      <c r="R41">
        <f>IF(G41="","",EXP(LARGE(K41:P41,2)-MAX(K41:P41))/(EXP(K41-MAX(K41:P41))+EXP(L41-MAX(K41:P41))+EXP(M41-MAX(K41:P41))+EXP(N41-MAX(K41:P41))+EXP(O41-MAX(K41:P41))+EXP(P41-MAX(K41:P41))))</f>
        <v/>
      </c>
      <c r="S41">
        <f>IF(G41="","",Q41-R41)</f>
        <v/>
      </c>
      <c r="T41">
        <f>IF(G41="","",IF(ABS(G41-H41)&lt;=$B$6*I41,"OK","NG"))</f>
        <v/>
      </c>
      <c r="U41">
        <f>IF(T41="","",IF(T41=D41,1,0))</f>
        <v/>
      </c>
      <c r="V41">
        <f>IF(G41="","",IF(T41="OK","NONE",INDEX({"S1","S2","W1","W2","N1","N2"},MATCH(MAX(K41:P41),K41:P41,0))))</f>
        <v/>
      </c>
      <c r="W41">
        <f>IF(G41="","",IF(V41=E41,1,0))</f>
        <v/>
      </c>
      <c r="X41">
        <f>IF(G41="","",IF(AND(T41="NG",S41&lt;$B$7),"AMBIGUOUS","CONFIDENT"))</f>
        <v/>
      </c>
    </row>
    <row r="42">
      <c r="A42">
        <f>'Runs Z score'!A35</f>
        <v/>
      </c>
      <c r="B42">
        <f>'Runs Z score'!B35</f>
        <v/>
      </c>
      <c r="C42">
        <f>'Runs Z score'!C35</f>
        <v/>
      </c>
      <c r="D42">
        <f>'Runs Z score'!D35</f>
        <v/>
      </c>
      <c r="E42">
        <f>'Runs Z score'!E35</f>
        <v/>
      </c>
      <c r="F42">
        <f>'Runs Z score'!F35</f>
        <v/>
      </c>
      <c r="G42">
        <f>'Runs Z score'!G35</f>
        <v/>
      </c>
      <c r="H42">
        <f>VLOOKUP(C42,Recipes!$A$2:$N$4,10,FALSE())</f>
        <v/>
      </c>
      <c r="I42">
        <f>VLOOKUP(C42,Recipes!$A$2:$N$4,12,FALSE())</f>
        <v/>
      </c>
      <c r="J42">
        <f>IF(G42="","",H42-G42)</f>
        <v/>
      </c>
      <c r="K42">
        <f>IF(G42="","",IF(VLOOKUP(C42,Recipes!$A$2:$N$4,4,FALSE())=0,-1E+300,-0.5*((J42-Components!$D$2)/Components!$E$2)^2))</f>
        <v/>
      </c>
      <c r="L42">
        <f>IF(G42="","",IF(VLOOKUP(C42,Recipes!$A$2:$N$4,5,FALSE())=0,-1E+300,-0.5*((J42-Components!$D$3)/Components!$E$3)^2))</f>
        <v/>
      </c>
      <c r="M42">
        <f>IF(G42="","",IF(VLOOKUP(C42,Recipes!$A$2:$N$4,6,FALSE())=0,-1E+300,-0.5*((J42-Components!$D$4)/Components!$E$4)^2))</f>
        <v/>
      </c>
      <c r="N42">
        <f>IF(G42="","",IF(VLOOKUP(C42,Recipes!$A$2:$N$4,7,FALSE())=0,-1E+300,-0.5*((J42-Components!$D$5)/Components!$E$5)^2))</f>
        <v/>
      </c>
      <c r="O42">
        <f>IF(G42="","",IF(VLOOKUP(C42,Recipes!$A$2:$N$4,8,FALSE())=0,-1E+300,-0.5*((J42-Components!$D$6)/Components!$E$6)^2))</f>
        <v/>
      </c>
      <c r="P42">
        <f>IF(G42="","",IF(VLOOKUP(C42,Recipes!$A$2:$N$4,9,FALSE())=0,-1E+300,-0.5*((J42-Components!$D$7)/Components!$E$7)^2))</f>
        <v/>
      </c>
      <c r="Q42">
        <f>IF(G42="","",EXP(LARGE(K42:P42,1)-MAX(K42:P42))/(EXP(K42-MAX(K42:P42))+EXP(L42-MAX(K42:P42))+EXP(M42-MAX(K42:P42))+EXP(N42-MAX(K42:P42))+EXP(O42-MAX(K42:P42))+EXP(P42-MAX(K42:P42))))</f>
        <v/>
      </c>
      <c r="R42">
        <f>IF(G42="","",EXP(LARGE(K42:P42,2)-MAX(K42:P42))/(EXP(K42-MAX(K42:P42))+EXP(L42-MAX(K42:P42))+EXP(M42-MAX(K42:P42))+EXP(N42-MAX(K42:P42))+EXP(O42-MAX(K42:P42))+EXP(P42-MAX(K42:P42))))</f>
        <v/>
      </c>
      <c r="S42">
        <f>IF(G42="","",Q42-R42)</f>
        <v/>
      </c>
      <c r="T42">
        <f>IF(G42="","",IF(ABS(G42-H42)&lt;=$B$6*I42,"OK","NG"))</f>
        <v/>
      </c>
      <c r="U42">
        <f>IF(T42="","",IF(T42=D42,1,0))</f>
        <v/>
      </c>
      <c r="V42">
        <f>IF(G42="","",IF(T42="OK","NONE",INDEX({"S1","S2","W1","W2","N1","N2"},MATCH(MAX(K42:P42),K42:P42,0))))</f>
        <v/>
      </c>
      <c r="W42">
        <f>IF(G42="","",IF(V42=E42,1,0))</f>
        <v/>
      </c>
      <c r="X42">
        <f>IF(G42="","",IF(AND(T42="NG",S42&lt;$B$7),"AMBIGUOUS","CONFIDENT"))</f>
        <v/>
      </c>
    </row>
    <row r="43">
      <c r="A43">
        <f>'Runs Z score'!A36</f>
        <v/>
      </c>
      <c r="B43">
        <f>'Runs Z score'!B36</f>
        <v/>
      </c>
      <c r="C43">
        <f>'Runs Z score'!C36</f>
        <v/>
      </c>
      <c r="D43">
        <f>'Runs Z score'!D36</f>
        <v/>
      </c>
      <c r="E43">
        <f>'Runs Z score'!E36</f>
        <v/>
      </c>
      <c r="F43">
        <f>'Runs Z score'!F36</f>
        <v/>
      </c>
      <c r="G43">
        <f>'Runs Z score'!G36</f>
        <v/>
      </c>
      <c r="H43">
        <f>VLOOKUP(C43,Recipes!$A$2:$N$4,10,FALSE())</f>
        <v/>
      </c>
      <c r="I43">
        <f>VLOOKUP(C43,Recipes!$A$2:$N$4,12,FALSE())</f>
        <v/>
      </c>
      <c r="J43">
        <f>IF(G43="","",H43-G43)</f>
        <v/>
      </c>
      <c r="K43">
        <f>IF(G43="","",IF(VLOOKUP(C43,Recipes!$A$2:$N$4,4,FALSE())=0,-1E+300,-0.5*((J43-Components!$D$2)/Components!$E$2)^2))</f>
        <v/>
      </c>
      <c r="L43">
        <f>IF(G43="","",IF(VLOOKUP(C43,Recipes!$A$2:$N$4,5,FALSE())=0,-1E+300,-0.5*((J43-Components!$D$3)/Components!$E$3)^2))</f>
        <v/>
      </c>
      <c r="M43">
        <f>IF(G43="","",IF(VLOOKUP(C43,Recipes!$A$2:$N$4,6,FALSE())=0,-1E+300,-0.5*((J43-Components!$D$4)/Components!$E$4)^2))</f>
        <v/>
      </c>
      <c r="N43">
        <f>IF(G43="","",IF(VLOOKUP(C43,Recipes!$A$2:$N$4,7,FALSE())=0,-1E+300,-0.5*((J43-Components!$D$5)/Components!$E$5)^2))</f>
        <v/>
      </c>
      <c r="O43">
        <f>IF(G43="","",IF(VLOOKUP(C43,Recipes!$A$2:$N$4,8,FALSE())=0,-1E+300,-0.5*((J43-Components!$D$6)/Components!$E$6)^2))</f>
        <v/>
      </c>
      <c r="P43">
        <f>IF(G43="","",IF(VLOOKUP(C43,Recipes!$A$2:$N$4,9,FALSE())=0,-1E+300,-0.5*((J43-Components!$D$7)/Components!$E$7)^2))</f>
        <v/>
      </c>
      <c r="Q43">
        <f>IF(G43="","",EXP(LARGE(K43:P43,1)-MAX(K43:P43))/(EXP(K43-MAX(K43:P43))+EXP(L43-MAX(K43:P43))+EXP(M43-MAX(K43:P43))+EXP(N43-MAX(K43:P43))+EXP(O43-MAX(K43:P43))+EXP(P43-MAX(K43:P43))))</f>
        <v/>
      </c>
      <c r="R43">
        <f>IF(G43="","",EXP(LARGE(K43:P43,2)-MAX(K43:P43))/(EXP(K43-MAX(K43:P43))+EXP(L43-MAX(K43:P43))+EXP(M43-MAX(K43:P43))+EXP(N43-MAX(K43:P43))+EXP(O43-MAX(K43:P43))+EXP(P43-MAX(K43:P43))))</f>
        <v/>
      </c>
      <c r="S43">
        <f>IF(G43="","",Q43-R43)</f>
        <v/>
      </c>
      <c r="T43">
        <f>IF(G43="","",IF(ABS(G43-H43)&lt;=$B$6*I43,"OK","NG"))</f>
        <v/>
      </c>
      <c r="U43">
        <f>IF(T43="","",IF(T43=D43,1,0))</f>
        <v/>
      </c>
      <c r="V43">
        <f>IF(G43="","",IF(T43="OK","NONE",INDEX({"S1","S2","W1","W2","N1","N2"},MATCH(MAX(K43:P43),K43:P43,0))))</f>
        <v/>
      </c>
      <c r="W43">
        <f>IF(G43="","",IF(V43=E43,1,0))</f>
        <v/>
      </c>
      <c r="X43">
        <f>IF(G43="","",IF(AND(T43="NG",S43&lt;$B$7),"AMBIGUOUS","CONFIDENT"))</f>
        <v/>
      </c>
    </row>
    <row r="44">
      <c r="A44">
        <f>'Runs Z score'!A37</f>
        <v/>
      </c>
      <c r="B44">
        <f>'Runs Z score'!B37</f>
        <v/>
      </c>
      <c r="C44">
        <f>'Runs Z score'!C37</f>
        <v/>
      </c>
      <c r="D44">
        <f>'Runs Z score'!D37</f>
        <v/>
      </c>
      <c r="E44">
        <f>'Runs Z score'!E37</f>
        <v/>
      </c>
      <c r="F44">
        <f>'Runs Z score'!F37</f>
        <v/>
      </c>
      <c r="G44">
        <f>'Runs Z score'!G37</f>
        <v/>
      </c>
      <c r="H44">
        <f>VLOOKUP(C44,Recipes!$A$2:$N$4,10,FALSE())</f>
        <v/>
      </c>
      <c r="I44">
        <f>VLOOKUP(C44,Recipes!$A$2:$N$4,12,FALSE())</f>
        <v/>
      </c>
      <c r="J44">
        <f>IF(G44="","",H44-G44)</f>
        <v/>
      </c>
      <c r="K44">
        <f>IF(G44="","",IF(VLOOKUP(C44,Recipes!$A$2:$N$4,4,FALSE())=0,-1E+300,-0.5*((J44-Components!$D$2)/Components!$E$2)^2))</f>
        <v/>
      </c>
      <c r="L44">
        <f>IF(G44="","",IF(VLOOKUP(C44,Recipes!$A$2:$N$4,5,FALSE())=0,-1E+300,-0.5*((J44-Components!$D$3)/Components!$E$3)^2))</f>
        <v/>
      </c>
      <c r="M44">
        <f>IF(G44="","",IF(VLOOKUP(C44,Recipes!$A$2:$N$4,6,FALSE())=0,-1E+300,-0.5*((J44-Components!$D$4)/Components!$E$4)^2))</f>
        <v/>
      </c>
      <c r="N44">
        <f>IF(G44="","",IF(VLOOKUP(C44,Recipes!$A$2:$N$4,7,FALSE())=0,-1E+300,-0.5*((J44-Components!$D$5)/Components!$E$5)^2))</f>
        <v/>
      </c>
      <c r="O44">
        <f>IF(G44="","",IF(VLOOKUP(C44,Recipes!$A$2:$N$4,8,FALSE())=0,-1E+300,-0.5*((J44-Components!$D$6)/Components!$E$6)^2))</f>
        <v/>
      </c>
      <c r="P44">
        <f>IF(G44="","",IF(VLOOKUP(C44,Recipes!$A$2:$N$4,9,FALSE())=0,-1E+300,-0.5*((J44-Components!$D$7)/Components!$E$7)^2))</f>
        <v/>
      </c>
      <c r="Q44">
        <f>IF(G44="","",EXP(LARGE(K44:P44,1)-MAX(K44:P44))/(EXP(K44-MAX(K44:P44))+EXP(L44-MAX(K44:P44))+EXP(M44-MAX(K44:P44))+EXP(N44-MAX(K44:P44))+EXP(O44-MAX(K44:P44))+EXP(P44-MAX(K44:P44))))</f>
        <v/>
      </c>
      <c r="R44">
        <f>IF(G44="","",EXP(LARGE(K44:P44,2)-MAX(K44:P44))/(EXP(K44-MAX(K44:P44))+EXP(L44-MAX(K44:P44))+EXP(M44-MAX(K44:P44))+EXP(N44-MAX(K44:P44))+EXP(O44-MAX(K44:P44))+EXP(P44-MAX(K44:P44))))</f>
        <v/>
      </c>
      <c r="S44">
        <f>IF(G44="","",Q44-R44)</f>
        <v/>
      </c>
      <c r="T44">
        <f>IF(G44="","",IF(ABS(G44-H44)&lt;=$B$6*I44,"OK","NG"))</f>
        <v/>
      </c>
      <c r="U44">
        <f>IF(T44="","",IF(T44=D44,1,0))</f>
        <v/>
      </c>
      <c r="V44">
        <f>IF(G44="","",IF(T44="OK","NONE",INDEX({"S1","S2","W1","W2","N1","N2"},MATCH(MAX(K44:P44),K44:P44,0))))</f>
        <v/>
      </c>
      <c r="W44">
        <f>IF(G44="","",IF(V44=E44,1,0))</f>
        <v/>
      </c>
      <c r="X44">
        <f>IF(G44="","",IF(AND(T44="NG",S44&lt;$B$7),"AMBIGUOUS","CONFIDENT"))</f>
        <v/>
      </c>
    </row>
    <row r="45">
      <c r="A45">
        <f>'Runs Z score'!A38</f>
        <v/>
      </c>
      <c r="B45">
        <f>'Runs Z score'!B38</f>
        <v/>
      </c>
      <c r="C45">
        <f>'Runs Z score'!C38</f>
        <v/>
      </c>
      <c r="D45">
        <f>'Runs Z score'!D38</f>
        <v/>
      </c>
      <c r="E45">
        <f>'Runs Z score'!E38</f>
        <v/>
      </c>
      <c r="F45">
        <f>'Runs Z score'!F38</f>
        <v/>
      </c>
      <c r="G45">
        <f>'Runs Z score'!G38</f>
        <v/>
      </c>
      <c r="H45">
        <f>VLOOKUP(C45,Recipes!$A$2:$N$4,10,FALSE())</f>
        <v/>
      </c>
      <c r="I45">
        <f>VLOOKUP(C45,Recipes!$A$2:$N$4,12,FALSE())</f>
        <v/>
      </c>
      <c r="J45">
        <f>IF(G45="","",H45-G45)</f>
        <v/>
      </c>
      <c r="K45">
        <f>IF(G45="","",IF(VLOOKUP(C45,Recipes!$A$2:$N$4,4,FALSE())=0,-1E+300,-0.5*((J45-Components!$D$2)/Components!$E$2)^2))</f>
        <v/>
      </c>
      <c r="L45">
        <f>IF(G45="","",IF(VLOOKUP(C45,Recipes!$A$2:$N$4,5,FALSE())=0,-1E+300,-0.5*((J45-Components!$D$3)/Components!$E$3)^2))</f>
        <v/>
      </c>
      <c r="M45">
        <f>IF(G45="","",IF(VLOOKUP(C45,Recipes!$A$2:$N$4,6,FALSE())=0,-1E+300,-0.5*((J45-Components!$D$4)/Components!$E$4)^2))</f>
        <v/>
      </c>
      <c r="N45">
        <f>IF(G45="","",IF(VLOOKUP(C45,Recipes!$A$2:$N$4,7,FALSE())=0,-1E+300,-0.5*((J45-Components!$D$5)/Components!$E$5)^2))</f>
        <v/>
      </c>
      <c r="O45">
        <f>IF(G45="","",IF(VLOOKUP(C45,Recipes!$A$2:$N$4,8,FALSE())=0,-1E+300,-0.5*((J45-Components!$D$6)/Components!$E$6)^2))</f>
        <v/>
      </c>
      <c r="P45">
        <f>IF(G45="","",IF(VLOOKUP(C45,Recipes!$A$2:$N$4,9,FALSE())=0,-1E+300,-0.5*((J45-Components!$D$7)/Components!$E$7)^2))</f>
        <v/>
      </c>
      <c r="Q45">
        <f>IF(G45="","",EXP(LARGE(K45:P45,1)-MAX(K45:P45))/(EXP(K45-MAX(K45:P45))+EXP(L45-MAX(K45:P45))+EXP(M45-MAX(K45:P45))+EXP(N45-MAX(K45:P45))+EXP(O45-MAX(K45:P45))+EXP(P45-MAX(K45:P45))))</f>
        <v/>
      </c>
      <c r="R45">
        <f>IF(G45="","",EXP(LARGE(K45:P45,2)-MAX(K45:P45))/(EXP(K45-MAX(K45:P45))+EXP(L45-MAX(K45:P45))+EXP(M45-MAX(K45:P45))+EXP(N45-MAX(K45:P45))+EXP(O45-MAX(K45:P45))+EXP(P45-MAX(K45:P45))))</f>
        <v/>
      </c>
      <c r="S45">
        <f>IF(G45="","",Q45-R45)</f>
        <v/>
      </c>
      <c r="T45">
        <f>IF(G45="","",IF(ABS(G45-H45)&lt;=$B$6*I45,"OK","NG"))</f>
        <v/>
      </c>
      <c r="U45">
        <f>IF(T45="","",IF(T45=D45,1,0))</f>
        <v/>
      </c>
      <c r="V45">
        <f>IF(G45="","",IF(T45="OK","NONE",INDEX({"S1","S2","W1","W2","N1","N2"},MATCH(MAX(K45:P45),K45:P45,0))))</f>
        <v/>
      </c>
      <c r="W45">
        <f>IF(G45="","",IF(V45=E45,1,0))</f>
        <v/>
      </c>
      <c r="X45">
        <f>IF(G45="","",IF(AND(T45="NG",S45&lt;$B$7),"AMBIGUOUS","CONFIDENT"))</f>
        <v/>
      </c>
    </row>
    <row r="46">
      <c r="A46">
        <f>'Runs Z score'!A39</f>
        <v/>
      </c>
      <c r="B46">
        <f>'Runs Z score'!B39</f>
        <v/>
      </c>
      <c r="C46">
        <f>'Runs Z score'!C39</f>
        <v/>
      </c>
      <c r="D46">
        <f>'Runs Z score'!D39</f>
        <v/>
      </c>
      <c r="E46">
        <f>'Runs Z score'!E39</f>
        <v/>
      </c>
      <c r="F46">
        <f>'Runs Z score'!F39</f>
        <v/>
      </c>
      <c r="G46">
        <f>'Runs Z score'!G39</f>
        <v/>
      </c>
      <c r="H46">
        <f>VLOOKUP(C46,Recipes!$A$2:$N$4,10,FALSE())</f>
        <v/>
      </c>
      <c r="I46">
        <f>VLOOKUP(C46,Recipes!$A$2:$N$4,12,FALSE())</f>
        <v/>
      </c>
      <c r="J46">
        <f>IF(G46="","",H46-G46)</f>
        <v/>
      </c>
      <c r="K46">
        <f>IF(G46="","",IF(VLOOKUP(C46,Recipes!$A$2:$N$4,4,FALSE())=0,-1E+300,-0.5*((J46-Components!$D$2)/Components!$E$2)^2))</f>
        <v/>
      </c>
      <c r="L46">
        <f>IF(G46="","",IF(VLOOKUP(C46,Recipes!$A$2:$N$4,5,FALSE())=0,-1E+300,-0.5*((J46-Components!$D$3)/Components!$E$3)^2))</f>
        <v/>
      </c>
      <c r="M46">
        <f>IF(G46="","",IF(VLOOKUP(C46,Recipes!$A$2:$N$4,6,FALSE())=0,-1E+300,-0.5*((J46-Components!$D$4)/Components!$E$4)^2))</f>
        <v/>
      </c>
      <c r="N46">
        <f>IF(G46="","",IF(VLOOKUP(C46,Recipes!$A$2:$N$4,7,FALSE())=0,-1E+300,-0.5*((J46-Components!$D$5)/Components!$E$5)^2))</f>
        <v/>
      </c>
      <c r="O46">
        <f>IF(G46="","",IF(VLOOKUP(C46,Recipes!$A$2:$N$4,8,FALSE())=0,-1E+300,-0.5*((J46-Components!$D$6)/Components!$E$6)^2))</f>
        <v/>
      </c>
      <c r="P46">
        <f>IF(G46="","",IF(VLOOKUP(C46,Recipes!$A$2:$N$4,9,FALSE())=0,-1E+300,-0.5*((J46-Components!$D$7)/Components!$E$7)^2))</f>
        <v/>
      </c>
      <c r="Q46">
        <f>IF(G46="","",EXP(LARGE(K46:P46,1)-MAX(K46:P46))/(EXP(K46-MAX(K46:P46))+EXP(L46-MAX(K46:P46))+EXP(M46-MAX(K46:P46))+EXP(N46-MAX(K46:P46))+EXP(O46-MAX(K46:P46))+EXP(P46-MAX(K46:P46))))</f>
        <v/>
      </c>
      <c r="R46">
        <f>IF(G46="","",EXP(LARGE(K46:P46,2)-MAX(K46:P46))/(EXP(K46-MAX(K46:P46))+EXP(L46-MAX(K46:P46))+EXP(M46-MAX(K46:P46))+EXP(N46-MAX(K46:P46))+EXP(O46-MAX(K46:P46))+EXP(P46-MAX(K46:P46))))</f>
        <v/>
      </c>
      <c r="S46">
        <f>IF(G46="","",Q46-R46)</f>
        <v/>
      </c>
      <c r="T46">
        <f>IF(G46="","",IF(ABS(G46-H46)&lt;=$B$6*I46,"OK","NG"))</f>
        <v/>
      </c>
      <c r="U46">
        <f>IF(T46="","",IF(T46=D46,1,0))</f>
        <v/>
      </c>
      <c r="V46">
        <f>IF(G46="","",IF(T46="OK","NONE",INDEX({"S1","S2","W1","W2","N1","N2"},MATCH(MAX(K46:P46),K46:P46,0))))</f>
        <v/>
      </c>
      <c r="W46">
        <f>IF(G46="","",IF(V46=E46,1,0))</f>
        <v/>
      </c>
      <c r="X46">
        <f>IF(G46="","",IF(AND(T46="NG",S46&lt;$B$7),"AMBIGUOUS","CONFIDENT"))</f>
        <v/>
      </c>
    </row>
    <row r="47">
      <c r="A47">
        <f>'Runs Z score'!A40</f>
        <v/>
      </c>
      <c r="B47">
        <f>'Runs Z score'!B40</f>
        <v/>
      </c>
      <c r="C47">
        <f>'Runs Z score'!C40</f>
        <v/>
      </c>
      <c r="D47">
        <f>'Runs Z score'!D40</f>
        <v/>
      </c>
      <c r="E47">
        <f>'Runs Z score'!E40</f>
        <v/>
      </c>
      <c r="F47">
        <f>'Runs Z score'!F40</f>
        <v/>
      </c>
      <c r="G47">
        <f>'Runs Z score'!G40</f>
        <v/>
      </c>
      <c r="H47">
        <f>VLOOKUP(C47,Recipes!$A$2:$N$4,10,FALSE())</f>
        <v/>
      </c>
      <c r="I47">
        <f>VLOOKUP(C47,Recipes!$A$2:$N$4,12,FALSE())</f>
        <v/>
      </c>
      <c r="J47">
        <f>IF(G47="","",H47-G47)</f>
        <v/>
      </c>
      <c r="K47">
        <f>IF(G47="","",IF(VLOOKUP(C47,Recipes!$A$2:$N$4,4,FALSE())=0,-1E+300,-0.5*((J47-Components!$D$2)/Components!$E$2)^2))</f>
        <v/>
      </c>
      <c r="L47">
        <f>IF(G47="","",IF(VLOOKUP(C47,Recipes!$A$2:$N$4,5,FALSE())=0,-1E+300,-0.5*((J47-Components!$D$3)/Components!$E$3)^2))</f>
        <v/>
      </c>
      <c r="M47">
        <f>IF(G47="","",IF(VLOOKUP(C47,Recipes!$A$2:$N$4,6,FALSE())=0,-1E+300,-0.5*((J47-Components!$D$4)/Components!$E$4)^2))</f>
        <v/>
      </c>
      <c r="N47">
        <f>IF(G47="","",IF(VLOOKUP(C47,Recipes!$A$2:$N$4,7,FALSE())=0,-1E+300,-0.5*((J47-Components!$D$5)/Components!$E$5)^2))</f>
        <v/>
      </c>
      <c r="O47">
        <f>IF(G47="","",IF(VLOOKUP(C47,Recipes!$A$2:$N$4,8,FALSE())=0,-1E+300,-0.5*((J47-Components!$D$6)/Components!$E$6)^2))</f>
        <v/>
      </c>
      <c r="P47">
        <f>IF(G47="","",IF(VLOOKUP(C47,Recipes!$A$2:$N$4,9,FALSE())=0,-1E+300,-0.5*((J47-Components!$D$7)/Components!$E$7)^2))</f>
        <v/>
      </c>
      <c r="Q47">
        <f>IF(G47="","",EXP(LARGE(K47:P47,1)-MAX(K47:P47))/(EXP(K47-MAX(K47:P47))+EXP(L47-MAX(K47:P47))+EXP(M47-MAX(K47:P47))+EXP(N47-MAX(K47:P47))+EXP(O47-MAX(K47:P47))+EXP(P47-MAX(K47:P47))))</f>
        <v/>
      </c>
      <c r="R47">
        <f>IF(G47="","",EXP(LARGE(K47:P47,2)-MAX(K47:P47))/(EXP(K47-MAX(K47:P47))+EXP(L47-MAX(K47:P47))+EXP(M47-MAX(K47:P47))+EXP(N47-MAX(K47:P47))+EXP(O47-MAX(K47:P47))+EXP(P47-MAX(K47:P47))))</f>
        <v/>
      </c>
      <c r="S47">
        <f>IF(G47="","",Q47-R47)</f>
        <v/>
      </c>
      <c r="T47">
        <f>IF(G47="","",IF(ABS(G47-H47)&lt;=$B$6*I47,"OK","NG"))</f>
        <v/>
      </c>
      <c r="U47">
        <f>IF(T47="","",IF(T47=D47,1,0))</f>
        <v/>
      </c>
      <c r="V47">
        <f>IF(G47="","",IF(T47="OK","NONE",INDEX({"S1","S2","W1","W2","N1","N2"},MATCH(MAX(K47:P47),K47:P47,0))))</f>
        <v/>
      </c>
      <c r="W47">
        <f>IF(G47="","",IF(V47=E47,1,0))</f>
        <v/>
      </c>
      <c r="X47">
        <f>IF(G47="","",IF(AND(T47="NG",S47&lt;$B$7),"AMBIGUOUS","CONFIDENT"))</f>
        <v/>
      </c>
    </row>
    <row r="48">
      <c r="A48">
        <f>'Runs Z score'!A41</f>
        <v/>
      </c>
      <c r="B48">
        <f>'Runs Z score'!B41</f>
        <v/>
      </c>
      <c r="C48">
        <f>'Runs Z score'!C41</f>
        <v/>
      </c>
      <c r="D48">
        <f>'Runs Z score'!D41</f>
        <v/>
      </c>
      <c r="E48">
        <f>'Runs Z score'!E41</f>
        <v/>
      </c>
      <c r="F48">
        <f>'Runs Z score'!F41</f>
        <v/>
      </c>
      <c r="G48">
        <f>'Runs Z score'!G41</f>
        <v/>
      </c>
      <c r="H48">
        <f>VLOOKUP(C48,Recipes!$A$2:$N$4,10,FALSE())</f>
        <v/>
      </c>
      <c r="I48">
        <f>VLOOKUP(C48,Recipes!$A$2:$N$4,12,FALSE())</f>
        <v/>
      </c>
      <c r="J48">
        <f>IF(G48="","",H48-G48)</f>
        <v/>
      </c>
      <c r="K48">
        <f>IF(G48="","",IF(VLOOKUP(C48,Recipes!$A$2:$N$4,4,FALSE())=0,-1E+300,-0.5*((J48-Components!$D$2)/Components!$E$2)^2))</f>
        <v/>
      </c>
      <c r="L48">
        <f>IF(G48="","",IF(VLOOKUP(C48,Recipes!$A$2:$N$4,5,FALSE())=0,-1E+300,-0.5*((J48-Components!$D$3)/Components!$E$3)^2))</f>
        <v/>
      </c>
      <c r="M48">
        <f>IF(G48="","",IF(VLOOKUP(C48,Recipes!$A$2:$N$4,6,FALSE())=0,-1E+300,-0.5*((J48-Components!$D$4)/Components!$E$4)^2))</f>
        <v/>
      </c>
      <c r="N48">
        <f>IF(G48="","",IF(VLOOKUP(C48,Recipes!$A$2:$N$4,7,FALSE())=0,-1E+300,-0.5*((J48-Components!$D$5)/Components!$E$5)^2))</f>
        <v/>
      </c>
      <c r="O48">
        <f>IF(G48="","",IF(VLOOKUP(C48,Recipes!$A$2:$N$4,8,FALSE())=0,-1E+300,-0.5*((J48-Components!$D$6)/Components!$E$6)^2))</f>
        <v/>
      </c>
      <c r="P48">
        <f>IF(G48="","",IF(VLOOKUP(C48,Recipes!$A$2:$N$4,9,FALSE())=0,-1E+300,-0.5*((J48-Components!$D$7)/Components!$E$7)^2))</f>
        <v/>
      </c>
      <c r="Q48">
        <f>IF(G48="","",EXP(LARGE(K48:P48,1)-MAX(K48:P48))/(EXP(K48-MAX(K48:P48))+EXP(L48-MAX(K48:P48))+EXP(M48-MAX(K48:P48))+EXP(N48-MAX(K48:P48))+EXP(O48-MAX(K48:P48))+EXP(P48-MAX(K48:P48))))</f>
        <v/>
      </c>
      <c r="R48">
        <f>IF(G48="","",EXP(LARGE(K48:P48,2)-MAX(K48:P48))/(EXP(K48-MAX(K48:P48))+EXP(L48-MAX(K48:P48))+EXP(M48-MAX(K48:P48))+EXP(N48-MAX(K48:P48))+EXP(O48-MAX(K48:P48))+EXP(P48-MAX(K48:P48))))</f>
        <v/>
      </c>
      <c r="S48">
        <f>IF(G48="","",Q48-R48)</f>
        <v/>
      </c>
      <c r="T48">
        <f>IF(G48="","",IF(ABS(G48-H48)&lt;=$B$6*I48,"OK","NG"))</f>
        <v/>
      </c>
      <c r="U48">
        <f>IF(T48="","",IF(T48=D48,1,0))</f>
        <v/>
      </c>
      <c r="V48">
        <f>IF(G48="","",IF(T48="OK","NONE",INDEX({"S1","S2","W1","W2","N1","N2"},MATCH(MAX(K48:P48),K48:P48,0))))</f>
        <v/>
      </c>
      <c r="W48">
        <f>IF(G48="","",IF(V48=E48,1,0))</f>
        <v/>
      </c>
      <c r="X48">
        <f>IF(G48="","",IF(AND(T48="NG",S48&lt;$B$7),"AMBIGUOUS","CONFIDENT"))</f>
        <v/>
      </c>
    </row>
    <row r="49">
      <c r="A49">
        <f>'Runs Z score'!A42</f>
        <v/>
      </c>
      <c r="B49">
        <f>'Runs Z score'!B42</f>
        <v/>
      </c>
      <c r="C49">
        <f>'Runs Z score'!C42</f>
        <v/>
      </c>
      <c r="D49">
        <f>'Runs Z score'!D42</f>
        <v/>
      </c>
      <c r="E49">
        <f>'Runs Z score'!E42</f>
        <v/>
      </c>
      <c r="F49">
        <f>'Runs Z score'!F42</f>
        <v/>
      </c>
      <c r="G49">
        <f>'Runs Z score'!G42</f>
        <v/>
      </c>
      <c r="H49">
        <f>VLOOKUP(C49,Recipes!$A$2:$N$4,10,FALSE())</f>
        <v/>
      </c>
      <c r="I49">
        <f>VLOOKUP(C49,Recipes!$A$2:$N$4,12,FALSE())</f>
        <v/>
      </c>
      <c r="J49">
        <f>IF(G49="","",H49-G49)</f>
        <v/>
      </c>
      <c r="K49">
        <f>IF(G49="","",IF(VLOOKUP(C49,Recipes!$A$2:$N$4,4,FALSE())=0,-1E+300,-0.5*((J49-Components!$D$2)/Components!$E$2)^2))</f>
        <v/>
      </c>
      <c r="L49">
        <f>IF(G49="","",IF(VLOOKUP(C49,Recipes!$A$2:$N$4,5,FALSE())=0,-1E+300,-0.5*((J49-Components!$D$3)/Components!$E$3)^2))</f>
        <v/>
      </c>
      <c r="M49">
        <f>IF(G49="","",IF(VLOOKUP(C49,Recipes!$A$2:$N$4,6,FALSE())=0,-1E+300,-0.5*((J49-Components!$D$4)/Components!$E$4)^2))</f>
        <v/>
      </c>
      <c r="N49">
        <f>IF(G49="","",IF(VLOOKUP(C49,Recipes!$A$2:$N$4,7,FALSE())=0,-1E+300,-0.5*((J49-Components!$D$5)/Components!$E$5)^2))</f>
        <v/>
      </c>
      <c r="O49">
        <f>IF(G49="","",IF(VLOOKUP(C49,Recipes!$A$2:$N$4,8,FALSE())=0,-1E+300,-0.5*((J49-Components!$D$6)/Components!$E$6)^2))</f>
        <v/>
      </c>
      <c r="P49">
        <f>IF(G49="","",IF(VLOOKUP(C49,Recipes!$A$2:$N$4,9,FALSE())=0,-1E+300,-0.5*((J49-Components!$D$7)/Components!$E$7)^2))</f>
        <v/>
      </c>
      <c r="Q49">
        <f>IF(G49="","",EXP(LARGE(K49:P49,1)-MAX(K49:P49))/(EXP(K49-MAX(K49:P49))+EXP(L49-MAX(K49:P49))+EXP(M49-MAX(K49:P49))+EXP(N49-MAX(K49:P49))+EXP(O49-MAX(K49:P49))+EXP(P49-MAX(K49:P49))))</f>
        <v/>
      </c>
      <c r="R49">
        <f>IF(G49="","",EXP(LARGE(K49:P49,2)-MAX(K49:P49))/(EXP(K49-MAX(K49:P49))+EXP(L49-MAX(K49:P49))+EXP(M49-MAX(K49:P49))+EXP(N49-MAX(K49:P49))+EXP(O49-MAX(K49:P49))+EXP(P49-MAX(K49:P49))))</f>
        <v/>
      </c>
      <c r="S49">
        <f>IF(G49="","",Q49-R49)</f>
        <v/>
      </c>
      <c r="T49">
        <f>IF(G49="","",IF(ABS(G49-H49)&lt;=$B$6*I49,"OK","NG"))</f>
        <v/>
      </c>
      <c r="U49">
        <f>IF(T49="","",IF(T49=D49,1,0))</f>
        <v/>
      </c>
      <c r="V49">
        <f>IF(G49="","",IF(T49="OK","NONE",INDEX({"S1","S2","W1","W2","N1","N2"},MATCH(MAX(K49:P49),K49:P49,0))))</f>
        <v/>
      </c>
      <c r="W49">
        <f>IF(G49="","",IF(V49=E49,1,0))</f>
        <v/>
      </c>
      <c r="X49">
        <f>IF(G49="","",IF(AND(T49="NG",S49&lt;$B$7),"AMBIGUOUS","CONFIDENT"))</f>
        <v/>
      </c>
    </row>
    <row r="50">
      <c r="A50">
        <f>'Runs Z score'!A43</f>
        <v/>
      </c>
      <c r="B50">
        <f>'Runs Z score'!B43</f>
        <v/>
      </c>
      <c r="C50">
        <f>'Runs Z score'!C43</f>
        <v/>
      </c>
      <c r="D50">
        <f>'Runs Z score'!D43</f>
        <v/>
      </c>
      <c r="E50">
        <f>'Runs Z score'!E43</f>
        <v/>
      </c>
      <c r="F50">
        <f>'Runs Z score'!F43</f>
        <v/>
      </c>
      <c r="G50">
        <f>'Runs Z score'!G43</f>
        <v/>
      </c>
      <c r="H50">
        <f>VLOOKUP(C50,Recipes!$A$2:$N$4,10,FALSE())</f>
        <v/>
      </c>
      <c r="I50">
        <f>VLOOKUP(C50,Recipes!$A$2:$N$4,12,FALSE())</f>
        <v/>
      </c>
      <c r="J50">
        <f>IF(G50="","",H50-G50)</f>
        <v/>
      </c>
      <c r="K50">
        <f>IF(G50="","",IF(VLOOKUP(C50,Recipes!$A$2:$N$4,4,FALSE())=0,-1E+300,-0.5*((J50-Components!$D$2)/Components!$E$2)^2))</f>
        <v/>
      </c>
      <c r="L50">
        <f>IF(G50="","",IF(VLOOKUP(C50,Recipes!$A$2:$N$4,5,FALSE())=0,-1E+300,-0.5*((J50-Components!$D$3)/Components!$E$3)^2))</f>
        <v/>
      </c>
      <c r="M50">
        <f>IF(G50="","",IF(VLOOKUP(C50,Recipes!$A$2:$N$4,6,FALSE())=0,-1E+300,-0.5*((J50-Components!$D$4)/Components!$E$4)^2))</f>
        <v/>
      </c>
      <c r="N50">
        <f>IF(G50="","",IF(VLOOKUP(C50,Recipes!$A$2:$N$4,7,FALSE())=0,-1E+300,-0.5*((J50-Components!$D$5)/Components!$E$5)^2))</f>
        <v/>
      </c>
      <c r="O50">
        <f>IF(G50="","",IF(VLOOKUP(C50,Recipes!$A$2:$N$4,8,FALSE())=0,-1E+300,-0.5*((J50-Components!$D$6)/Components!$E$6)^2))</f>
        <v/>
      </c>
      <c r="P50">
        <f>IF(G50="","",IF(VLOOKUP(C50,Recipes!$A$2:$N$4,9,FALSE())=0,-1E+300,-0.5*((J50-Components!$D$7)/Components!$E$7)^2))</f>
        <v/>
      </c>
      <c r="Q50">
        <f>IF(G50="","",EXP(LARGE(K50:P50,1)-MAX(K50:P50))/(EXP(K50-MAX(K50:P50))+EXP(L50-MAX(K50:P50))+EXP(M50-MAX(K50:P50))+EXP(N50-MAX(K50:P50))+EXP(O50-MAX(K50:P50))+EXP(P50-MAX(K50:P50))))</f>
        <v/>
      </c>
      <c r="R50">
        <f>IF(G50="","",EXP(LARGE(K50:P50,2)-MAX(K50:P50))/(EXP(K50-MAX(K50:P50))+EXP(L50-MAX(K50:P50))+EXP(M50-MAX(K50:P50))+EXP(N50-MAX(K50:P50))+EXP(O50-MAX(K50:P50))+EXP(P50-MAX(K50:P50))))</f>
        <v/>
      </c>
      <c r="S50">
        <f>IF(G50="","",Q50-R50)</f>
        <v/>
      </c>
      <c r="T50">
        <f>IF(G50="","",IF(ABS(G50-H50)&lt;=$B$6*I50,"OK","NG"))</f>
        <v/>
      </c>
      <c r="U50">
        <f>IF(T50="","",IF(T50=D50,1,0))</f>
        <v/>
      </c>
      <c r="V50">
        <f>IF(G50="","",IF(T50="OK","NONE",INDEX({"S1","S2","W1","W2","N1","N2"},MATCH(MAX(K50:P50),K50:P50,0))))</f>
        <v/>
      </c>
      <c r="W50">
        <f>IF(G50="","",IF(V50=E50,1,0))</f>
        <v/>
      </c>
      <c r="X50">
        <f>IF(G50="","",IF(AND(T50="NG",S50&lt;$B$7),"AMBIGUOUS","CONFIDENT"))</f>
        <v/>
      </c>
    </row>
    <row r="51">
      <c r="A51">
        <f>'Runs Z score'!A44</f>
        <v/>
      </c>
      <c r="B51">
        <f>'Runs Z score'!B44</f>
        <v/>
      </c>
      <c r="C51">
        <f>'Runs Z score'!C44</f>
        <v/>
      </c>
      <c r="D51">
        <f>'Runs Z score'!D44</f>
        <v/>
      </c>
      <c r="E51">
        <f>'Runs Z score'!E44</f>
        <v/>
      </c>
      <c r="F51">
        <f>'Runs Z score'!F44</f>
        <v/>
      </c>
      <c r="G51">
        <f>'Runs Z score'!G44</f>
        <v/>
      </c>
      <c r="H51">
        <f>VLOOKUP(C51,Recipes!$A$2:$N$4,10,FALSE())</f>
        <v/>
      </c>
      <c r="I51">
        <f>VLOOKUP(C51,Recipes!$A$2:$N$4,12,FALSE())</f>
        <v/>
      </c>
      <c r="J51">
        <f>IF(G51="","",H51-G51)</f>
        <v/>
      </c>
      <c r="K51">
        <f>IF(G51="","",IF(VLOOKUP(C51,Recipes!$A$2:$N$4,4,FALSE())=0,-1E+300,-0.5*((J51-Components!$D$2)/Components!$E$2)^2))</f>
        <v/>
      </c>
      <c r="L51">
        <f>IF(G51="","",IF(VLOOKUP(C51,Recipes!$A$2:$N$4,5,FALSE())=0,-1E+300,-0.5*((J51-Components!$D$3)/Components!$E$3)^2))</f>
        <v/>
      </c>
      <c r="M51">
        <f>IF(G51="","",IF(VLOOKUP(C51,Recipes!$A$2:$N$4,6,FALSE())=0,-1E+300,-0.5*((J51-Components!$D$4)/Components!$E$4)^2))</f>
        <v/>
      </c>
      <c r="N51">
        <f>IF(G51="","",IF(VLOOKUP(C51,Recipes!$A$2:$N$4,7,FALSE())=0,-1E+300,-0.5*((J51-Components!$D$5)/Components!$E$5)^2))</f>
        <v/>
      </c>
      <c r="O51">
        <f>IF(G51="","",IF(VLOOKUP(C51,Recipes!$A$2:$N$4,8,FALSE())=0,-1E+300,-0.5*((J51-Components!$D$6)/Components!$E$6)^2))</f>
        <v/>
      </c>
      <c r="P51">
        <f>IF(G51="","",IF(VLOOKUP(C51,Recipes!$A$2:$N$4,9,FALSE())=0,-1E+300,-0.5*((J51-Components!$D$7)/Components!$E$7)^2))</f>
        <v/>
      </c>
      <c r="Q51">
        <f>IF(G51="","",EXP(LARGE(K51:P51,1)-MAX(K51:P51))/(EXP(K51-MAX(K51:P51))+EXP(L51-MAX(K51:P51))+EXP(M51-MAX(K51:P51))+EXP(N51-MAX(K51:P51))+EXP(O51-MAX(K51:P51))+EXP(P51-MAX(K51:P51))))</f>
        <v/>
      </c>
      <c r="R51">
        <f>IF(G51="","",EXP(LARGE(K51:P51,2)-MAX(K51:P51))/(EXP(K51-MAX(K51:P51))+EXP(L51-MAX(K51:P51))+EXP(M51-MAX(K51:P51))+EXP(N51-MAX(K51:P51))+EXP(O51-MAX(K51:P51))+EXP(P51-MAX(K51:P51))))</f>
        <v/>
      </c>
      <c r="S51">
        <f>IF(G51="","",Q51-R51)</f>
        <v/>
      </c>
      <c r="T51">
        <f>IF(G51="","",IF(ABS(G51-H51)&lt;=$B$6*I51,"OK","NG"))</f>
        <v/>
      </c>
      <c r="U51">
        <f>IF(T51="","",IF(T51=D51,1,0))</f>
        <v/>
      </c>
      <c r="V51">
        <f>IF(G51="","",IF(T51="OK","NONE",INDEX({"S1","S2","W1","W2","N1","N2"},MATCH(MAX(K51:P51),K51:P51,0))))</f>
        <v/>
      </c>
      <c r="W51">
        <f>IF(G51="","",IF(V51=E51,1,0))</f>
        <v/>
      </c>
      <c r="X51">
        <f>IF(G51="","",IF(AND(T51="NG",S51&lt;$B$7),"AMBIGUOUS","CONFIDENT"))</f>
        <v/>
      </c>
    </row>
    <row r="52">
      <c r="A52">
        <f>'Runs Z score'!A45</f>
        <v/>
      </c>
      <c r="B52">
        <f>'Runs Z score'!B45</f>
        <v/>
      </c>
      <c r="C52">
        <f>'Runs Z score'!C45</f>
        <v/>
      </c>
      <c r="D52">
        <f>'Runs Z score'!D45</f>
        <v/>
      </c>
      <c r="E52">
        <f>'Runs Z score'!E45</f>
        <v/>
      </c>
      <c r="F52">
        <f>'Runs Z score'!F45</f>
        <v/>
      </c>
      <c r="G52">
        <f>'Runs Z score'!G45</f>
        <v/>
      </c>
      <c r="H52">
        <f>VLOOKUP(C52,Recipes!$A$2:$N$4,10,FALSE())</f>
        <v/>
      </c>
      <c r="I52">
        <f>VLOOKUP(C52,Recipes!$A$2:$N$4,12,FALSE())</f>
        <v/>
      </c>
      <c r="J52">
        <f>IF(G52="","",H52-G52)</f>
        <v/>
      </c>
      <c r="K52">
        <f>IF(G52="","",IF(VLOOKUP(C52,Recipes!$A$2:$N$4,4,FALSE())=0,-1E+300,-0.5*((J52-Components!$D$2)/Components!$E$2)^2))</f>
        <v/>
      </c>
      <c r="L52">
        <f>IF(G52="","",IF(VLOOKUP(C52,Recipes!$A$2:$N$4,5,FALSE())=0,-1E+300,-0.5*((J52-Components!$D$3)/Components!$E$3)^2))</f>
        <v/>
      </c>
      <c r="M52">
        <f>IF(G52="","",IF(VLOOKUP(C52,Recipes!$A$2:$N$4,6,FALSE())=0,-1E+300,-0.5*((J52-Components!$D$4)/Components!$E$4)^2))</f>
        <v/>
      </c>
      <c r="N52">
        <f>IF(G52="","",IF(VLOOKUP(C52,Recipes!$A$2:$N$4,7,FALSE())=0,-1E+300,-0.5*((J52-Components!$D$5)/Components!$E$5)^2))</f>
        <v/>
      </c>
      <c r="O52">
        <f>IF(G52="","",IF(VLOOKUP(C52,Recipes!$A$2:$N$4,8,FALSE())=0,-1E+300,-0.5*((J52-Components!$D$6)/Components!$E$6)^2))</f>
        <v/>
      </c>
      <c r="P52">
        <f>IF(G52="","",IF(VLOOKUP(C52,Recipes!$A$2:$N$4,9,FALSE())=0,-1E+300,-0.5*((J52-Components!$D$7)/Components!$E$7)^2))</f>
        <v/>
      </c>
      <c r="Q52">
        <f>IF(G52="","",EXP(LARGE(K52:P52,1)-MAX(K52:P52))/(EXP(K52-MAX(K52:P52))+EXP(L52-MAX(K52:P52))+EXP(M52-MAX(K52:P52))+EXP(N52-MAX(K52:P52))+EXP(O52-MAX(K52:P52))+EXP(P52-MAX(K52:P52))))</f>
        <v/>
      </c>
      <c r="R52">
        <f>IF(G52="","",EXP(LARGE(K52:P52,2)-MAX(K52:P52))/(EXP(K52-MAX(K52:P52))+EXP(L52-MAX(K52:P52))+EXP(M52-MAX(K52:P52))+EXP(N52-MAX(K52:P52))+EXP(O52-MAX(K52:P52))+EXP(P52-MAX(K52:P52))))</f>
        <v/>
      </c>
      <c r="S52">
        <f>IF(G52="","",Q52-R52)</f>
        <v/>
      </c>
      <c r="T52">
        <f>IF(G52="","",IF(ABS(G52-H52)&lt;=$B$6*I52,"OK","NG"))</f>
        <v/>
      </c>
      <c r="U52">
        <f>IF(T52="","",IF(T52=D52,1,0))</f>
        <v/>
      </c>
      <c r="V52">
        <f>IF(G52="","",IF(T52="OK","NONE",INDEX({"S1","S2","W1","W2","N1","N2"},MATCH(MAX(K52:P52),K52:P52,0))))</f>
        <v/>
      </c>
      <c r="W52">
        <f>IF(G52="","",IF(V52=E52,1,0))</f>
        <v/>
      </c>
      <c r="X52">
        <f>IF(G52="","",IF(AND(T52="NG",S52&lt;$B$7),"AMBIGUOUS","CONFIDENT"))</f>
        <v/>
      </c>
    </row>
    <row r="53">
      <c r="A53">
        <f>'Runs Z score'!A46</f>
        <v/>
      </c>
      <c r="B53">
        <f>'Runs Z score'!B46</f>
        <v/>
      </c>
      <c r="C53">
        <f>'Runs Z score'!C46</f>
        <v/>
      </c>
      <c r="D53">
        <f>'Runs Z score'!D46</f>
        <v/>
      </c>
      <c r="E53">
        <f>'Runs Z score'!E46</f>
        <v/>
      </c>
      <c r="F53">
        <f>'Runs Z score'!F46</f>
        <v/>
      </c>
      <c r="G53">
        <f>'Runs Z score'!G46</f>
        <v/>
      </c>
      <c r="H53">
        <f>VLOOKUP(C53,Recipes!$A$2:$N$4,10,FALSE())</f>
        <v/>
      </c>
      <c r="I53">
        <f>VLOOKUP(C53,Recipes!$A$2:$N$4,12,FALSE())</f>
        <v/>
      </c>
      <c r="J53">
        <f>IF(G53="","",H53-G53)</f>
        <v/>
      </c>
      <c r="K53">
        <f>IF(G53="","",IF(VLOOKUP(C53,Recipes!$A$2:$N$4,4,FALSE())=0,-1E+300,-0.5*((J53-Components!$D$2)/Components!$E$2)^2))</f>
        <v/>
      </c>
      <c r="L53">
        <f>IF(G53="","",IF(VLOOKUP(C53,Recipes!$A$2:$N$4,5,FALSE())=0,-1E+300,-0.5*((J53-Components!$D$3)/Components!$E$3)^2))</f>
        <v/>
      </c>
      <c r="M53">
        <f>IF(G53="","",IF(VLOOKUP(C53,Recipes!$A$2:$N$4,6,FALSE())=0,-1E+300,-0.5*((J53-Components!$D$4)/Components!$E$4)^2))</f>
        <v/>
      </c>
      <c r="N53">
        <f>IF(G53="","",IF(VLOOKUP(C53,Recipes!$A$2:$N$4,7,FALSE())=0,-1E+300,-0.5*((J53-Components!$D$5)/Components!$E$5)^2))</f>
        <v/>
      </c>
      <c r="O53">
        <f>IF(G53="","",IF(VLOOKUP(C53,Recipes!$A$2:$N$4,8,FALSE())=0,-1E+300,-0.5*((J53-Components!$D$6)/Components!$E$6)^2))</f>
        <v/>
      </c>
      <c r="P53">
        <f>IF(G53="","",IF(VLOOKUP(C53,Recipes!$A$2:$N$4,9,FALSE())=0,-1E+300,-0.5*((J53-Components!$D$7)/Components!$E$7)^2))</f>
        <v/>
      </c>
      <c r="Q53">
        <f>IF(G53="","",EXP(LARGE(K53:P53,1)-MAX(K53:P53))/(EXP(K53-MAX(K53:P53))+EXP(L53-MAX(K53:P53))+EXP(M53-MAX(K53:P53))+EXP(N53-MAX(K53:P53))+EXP(O53-MAX(K53:P53))+EXP(P53-MAX(K53:P53))))</f>
        <v/>
      </c>
      <c r="R53">
        <f>IF(G53="","",EXP(LARGE(K53:P53,2)-MAX(K53:P53))/(EXP(K53-MAX(K53:P53))+EXP(L53-MAX(K53:P53))+EXP(M53-MAX(K53:P53))+EXP(N53-MAX(K53:P53))+EXP(O53-MAX(K53:P53))+EXP(P53-MAX(K53:P53))))</f>
        <v/>
      </c>
      <c r="S53">
        <f>IF(G53="","",Q53-R53)</f>
        <v/>
      </c>
      <c r="T53">
        <f>IF(G53="","",IF(ABS(G53-H53)&lt;=$B$6*I53,"OK","NG"))</f>
        <v/>
      </c>
      <c r="U53">
        <f>IF(T53="","",IF(T53=D53,1,0))</f>
        <v/>
      </c>
      <c r="V53">
        <f>IF(G53="","",IF(T53="OK","NONE",INDEX({"S1","S2","W1","W2","N1","N2"},MATCH(MAX(K53:P53),K53:P53,0))))</f>
        <v/>
      </c>
      <c r="W53">
        <f>IF(G53="","",IF(V53=E53,1,0))</f>
        <v/>
      </c>
      <c r="X53">
        <f>IF(G53="","",IF(AND(T53="NG",S53&lt;$B$7),"AMBIGUOUS","CONFIDENT"))</f>
        <v/>
      </c>
    </row>
    <row r="54">
      <c r="A54">
        <f>'Runs Z score'!A47</f>
        <v/>
      </c>
      <c r="B54">
        <f>'Runs Z score'!B47</f>
        <v/>
      </c>
      <c r="C54">
        <f>'Runs Z score'!C47</f>
        <v/>
      </c>
      <c r="D54">
        <f>'Runs Z score'!D47</f>
        <v/>
      </c>
      <c r="E54">
        <f>'Runs Z score'!E47</f>
        <v/>
      </c>
      <c r="F54">
        <f>'Runs Z score'!F47</f>
        <v/>
      </c>
      <c r="G54">
        <f>'Runs Z score'!G47</f>
        <v/>
      </c>
      <c r="H54">
        <f>VLOOKUP(C54,Recipes!$A$2:$N$4,10,FALSE())</f>
        <v/>
      </c>
      <c r="I54">
        <f>VLOOKUP(C54,Recipes!$A$2:$N$4,12,FALSE())</f>
        <v/>
      </c>
      <c r="J54">
        <f>IF(G54="","",H54-G54)</f>
        <v/>
      </c>
      <c r="K54">
        <f>IF(G54="","",IF(VLOOKUP(C54,Recipes!$A$2:$N$4,4,FALSE())=0,-1E+300,-0.5*((J54-Components!$D$2)/Components!$E$2)^2))</f>
        <v/>
      </c>
      <c r="L54">
        <f>IF(G54="","",IF(VLOOKUP(C54,Recipes!$A$2:$N$4,5,FALSE())=0,-1E+300,-0.5*((J54-Components!$D$3)/Components!$E$3)^2))</f>
        <v/>
      </c>
      <c r="M54">
        <f>IF(G54="","",IF(VLOOKUP(C54,Recipes!$A$2:$N$4,6,FALSE())=0,-1E+300,-0.5*((J54-Components!$D$4)/Components!$E$4)^2))</f>
        <v/>
      </c>
      <c r="N54">
        <f>IF(G54="","",IF(VLOOKUP(C54,Recipes!$A$2:$N$4,7,FALSE())=0,-1E+300,-0.5*((J54-Components!$D$5)/Components!$E$5)^2))</f>
        <v/>
      </c>
      <c r="O54">
        <f>IF(G54="","",IF(VLOOKUP(C54,Recipes!$A$2:$N$4,8,FALSE())=0,-1E+300,-0.5*((J54-Components!$D$6)/Components!$E$6)^2))</f>
        <v/>
      </c>
      <c r="P54">
        <f>IF(G54="","",IF(VLOOKUP(C54,Recipes!$A$2:$N$4,9,FALSE())=0,-1E+300,-0.5*((J54-Components!$D$7)/Components!$E$7)^2))</f>
        <v/>
      </c>
      <c r="Q54">
        <f>IF(G54="","",EXP(LARGE(K54:P54,1)-MAX(K54:P54))/(EXP(K54-MAX(K54:P54))+EXP(L54-MAX(K54:P54))+EXP(M54-MAX(K54:P54))+EXP(N54-MAX(K54:P54))+EXP(O54-MAX(K54:P54))+EXP(P54-MAX(K54:P54))))</f>
        <v/>
      </c>
      <c r="R54">
        <f>IF(G54="","",EXP(LARGE(K54:P54,2)-MAX(K54:P54))/(EXP(K54-MAX(K54:P54))+EXP(L54-MAX(K54:P54))+EXP(M54-MAX(K54:P54))+EXP(N54-MAX(K54:P54))+EXP(O54-MAX(K54:P54))+EXP(P54-MAX(K54:P54))))</f>
        <v/>
      </c>
      <c r="S54">
        <f>IF(G54="","",Q54-R54)</f>
        <v/>
      </c>
      <c r="T54">
        <f>IF(G54="","",IF(ABS(G54-H54)&lt;=$B$6*I54,"OK","NG"))</f>
        <v/>
      </c>
      <c r="U54">
        <f>IF(T54="","",IF(T54=D54,1,0))</f>
        <v/>
      </c>
      <c r="V54">
        <f>IF(G54="","",IF(T54="OK","NONE",INDEX({"S1","S2","W1","W2","N1","N2"},MATCH(MAX(K54:P54),K54:P54,0))))</f>
        <v/>
      </c>
      <c r="W54">
        <f>IF(G54="","",IF(V54=E54,1,0))</f>
        <v/>
      </c>
      <c r="X54">
        <f>IF(G54="","",IF(AND(T54="NG",S54&lt;$B$7),"AMBIGUOUS","CONFIDENT"))</f>
        <v/>
      </c>
    </row>
    <row r="55">
      <c r="A55">
        <f>'Runs Z score'!A48</f>
        <v/>
      </c>
      <c r="B55">
        <f>'Runs Z score'!B48</f>
        <v/>
      </c>
      <c r="C55">
        <f>'Runs Z score'!C48</f>
        <v/>
      </c>
      <c r="D55">
        <f>'Runs Z score'!D48</f>
        <v/>
      </c>
      <c r="E55">
        <f>'Runs Z score'!E48</f>
        <v/>
      </c>
      <c r="F55">
        <f>'Runs Z score'!F48</f>
        <v/>
      </c>
      <c r="G55">
        <f>'Runs Z score'!G48</f>
        <v/>
      </c>
      <c r="H55">
        <f>VLOOKUP(C55,Recipes!$A$2:$N$4,10,FALSE())</f>
        <v/>
      </c>
      <c r="I55">
        <f>VLOOKUP(C55,Recipes!$A$2:$N$4,12,FALSE())</f>
        <v/>
      </c>
      <c r="J55">
        <f>IF(G55="","",H55-G55)</f>
        <v/>
      </c>
      <c r="K55">
        <f>IF(G55="","",IF(VLOOKUP(C55,Recipes!$A$2:$N$4,4,FALSE())=0,-1E+300,-0.5*((J55-Components!$D$2)/Components!$E$2)^2))</f>
        <v/>
      </c>
      <c r="L55">
        <f>IF(G55="","",IF(VLOOKUP(C55,Recipes!$A$2:$N$4,5,FALSE())=0,-1E+300,-0.5*((J55-Components!$D$3)/Components!$E$3)^2))</f>
        <v/>
      </c>
      <c r="M55">
        <f>IF(G55="","",IF(VLOOKUP(C55,Recipes!$A$2:$N$4,6,FALSE())=0,-1E+300,-0.5*((J55-Components!$D$4)/Components!$E$4)^2))</f>
        <v/>
      </c>
      <c r="N55">
        <f>IF(G55="","",IF(VLOOKUP(C55,Recipes!$A$2:$N$4,7,FALSE())=0,-1E+300,-0.5*((J55-Components!$D$5)/Components!$E$5)^2))</f>
        <v/>
      </c>
      <c r="O55">
        <f>IF(G55="","",IF(VLOOKUP(C55,Recipes!$A$2:$N$4,8,FALSE())=0,-1E+300,-0.5*((J55-Components!$D$6)/Components!$E$6)^2))</f>
        <v/>
      </c>
      <c r="P55">
        <f>IF(G55="","",IF(VLOOKUP(C55,Recipes!$A$2:$N$4,9,FALSE())=0,-1E+300,-0.5*((J55-Components!$D$7)/Components!$E$7)^2))</f>
        <v/>
      </c>
      <c r="Q55">
        <f>IF(G55="","",EXP(LARGE(K55:P55,1)-MAX(K55:P55))/(EXP(K55-MAX(K55:P55))+EXP(L55-MAX(K55:P55))+EXP(M55-MAX(K55:P55))+EXP(N55-MAX(K55:P55))+EXP(O55-MAX(K55:P55))+EXP(P55-MAX(K55:P55))))</f>
        <v/>
      </c>
      <c r="R55">
        <f>IF(G55="","",EXP(LARGE(K55:P55,2)-MAX(K55:P55))/(EXP(K55-MAX(K55:P55))+EXP(L55-MAX(K55:P55))+EXP(M55-MAX(K55:P55))+EXP(N55-MAX(K55:P55))+EXP(O55-MAX(K55:P55))+EXP(P55-MAX(K55:P55))))</f>
        <v/>
      </c>
      <c r="S55">
        <f>IF(G55="","",Q55-R55)</f>
        <v/>
      </c>
      <c r="T55">
        <f>IF(G55="","",IF(ABS(G55-H55)&lt;=$B$6*I55,"OK","NG"))</f>
        <v/>
      </c>
      <c r="U55">
        <f>IF(T55="","",IF(T55=D55,1,0))</f>
        <v/>
      </c>
      <c r="V55">
        <f>IF(G55="","",IF(T55="OK","NONE",INDEX({"S1","S2","W1","W2","N1","N2"},MATCH(MAX(K55:P55),K55:P55,0))))</f>
        <v/>
      </c>
      <c r="W55">
        <f>IF(G55="","",IF(V55=E55,1,0))</f>
        <v/>
      </c>
      <c r="X55">
        <f>IF(G55="","",IF(AND(T55="NG",S55&lt;$B$7),"AMBIGUOUS","CONFIDENT"))</f>
        <v/>
      </c>
    </row>
    <row r="56">
      <c r="A56">
        <f>'Runs Z score'!A49</f>
        <v/>
      </c>
      <c r="B56">
        <f>'Runs Z score'!B49</f>
        <v/>
      </c>
      <c r="C56">
        <f>'Runs Z score'!C49</f>
        <v/>
      </c>
      <c r="D56">
        <f>'Runs Z score'!D49</f>
        <v/>
      </c>
      <c r="E56">
        <f>'Runs Z score'!E49</f>
        <v/>
      </c>
      <c r="F56">
        <f>'Runs Z score'!F49</f>
        <v/>
      </c>
      <c r="G56">
        <f>'Runs Z score'!G49</f>
        <v/>
      </c>
      <c r="H56">
        <f>VLOOKUP(C56,Recipes!$A$2:$N$4,10,FALSE())</f>
        <v/>
      </c>
      <c r="I56">
        <f>VLOOKUP(C56,Recipes!$A$2:$N$4,12,FALSE())</f>
        <v/>
      </c>
      <c r="J56">
        <f>IF(G56="","",H56-G56)</f>
        <v/>
      </c>
      <c r="K56">
        <f>IF(G56="","",IF(VLOOKUP(C56,Recipes!$A$2:$N$4,4,FALSE())=0,-1E+300,-0.5*((J56-Components!$D$2)/Components!$E$2)^2))</f>
        <v/>
      </c>
      <c r="L56">
        <f>IF(G56="","",IF(VLOOKUP(C56,Recipes!$A$2:$N$4,5,FALSE())=0,-1E+300,-0.5*((J56-Components!$D$3)/Components!$E$3)^2))</f>
        <v/>
      </c>
      <c r="M56">
        <f>IF(G56="","",IF(VLOOKUP(C56,Recipes!$A$2:$N$4,6,FALSE())=0,-1E+300,-0.5*((J56-Components!$D$4)/Components!$E$4)^2))</f>
        <v/>
      </c>
      <c r="N56">
        <f>IF(G56="","",IF(VLOOKUP(C56,Recipes!$A$2:$N$4,7,FALSE())=0,-1E+300,-0.5*((J56-Components!$D$5)/Components!$E$5)^2))</f>
        <v/>
      </c>
      <c r="O56">
        <f>IF(G56="","",IF(VLOOKUP(C56,Recipes!$A$2:$N$4,8,FALSE())=0,-1E+300,-0.5*((J56-Components!$D$6)/Components!$E$6)^2))</f>
        <v/>
      </c>
      <c r="P56">
        <f>IF(G56="","",IF(VLOOKUP(C56,Recipes!$A$2:$N$4,9,FALSE())=0,-1E+300,-0.5*((J56-Components!$D$7)/Components!$E$7)^2))</f>
        <v/>
      </c>
      <c r="Q56">
        <f>IF(G56="","",EXP(LARGE(K56:P56,1)-MAX(K56:P56))/(EXP(K56-MAX(K56:P56))+EXP(L56-MAX(K56:P56))+EXP(M56-MAX(K56:P56))+EXP(N56-MAX(K56:P56))+EXP(O56-MAX(K56:P56))+EXP(P56-MAX(K56:P56))))</f>
        <v/>
      </c>
      <c r="R56">
        <f>IF(G56="","",EXP(LARGE(K56:P56,2)-MAX(K56:P56))/(EXP(K56-MAX(K56:P56))+EXP(L56-MAX(K56:P56))+EXP(M56-MAX(K56:P56))+EXP(N56-MAX(K56:P56))+EXP(O56-MAX(K56:P56))+EXP(P56-MAX(K56:P56))))</f>
        <v/>
      </c>
      <c r="S56">
        <f>IF(G56="","",Q56-R56)</f>
        <v/>
      </c>
      <c r="T56">
        <f>IF(G56="","",IF(ABS(G56-H56)&lt;=$B$6*I56,"OK","NG"))</f>
        <v/>
      </c>
      <c r="U56">
        <f>IF(T56="","",IF(T56=D56,1,0))</f>
        <v/>
      </c>
      <c r="V56">
        <f>IF(G56="","",IF(T56="OK","NONE",INDEX({"S1","S2","W1","W2","N1","N2"},MATCH(MAX(K56:P56),K56:P56,0))))</f>
        <v/>
      </c>
      <c r="W56">
        <f>IF(G56="","",IF(V56=E56,1,0))</f>
        <v/>
      </c>
      <c r="X56">
        <f>IF(G56="","",IF(AND(T56="NG",S56&lt;$B$7),"AMBIGUOUS","CONFIDENT"))</f>
        <v/>
      </c>
    </row>
    <row r="57">
      <c r="A57">
        <f>'Runs Z score'!A50</f>
        <v/>
      </c>
      <c r="B57">
        <f>'Runs Z score'!B50</f>
        <v/>
      </c>
      <c r="C57">
        <f>'Runs Z score'!C50</f>
        <v/>
      </c>
      <c r="D57">
        <f>'Runs Z score'!D50</f>
        <v/>
      </c>
      <c r="E57">
        <f>'Runs Z score'!E50</f>
        <v/>
      </c>
      <c r="F57">
        <f>'Runs Z score'!F50</f>
        <v/>
      </c>
      <c r="G57">
        <f>'Runs Z score'!G50</f>
        <v/>
      </c>
      <c r="H57">
        <f>VLOOKUP(C57,Recipes!$A$2:$N$4,10,FALSE())</f>
        <v/>
      </c>
      <c r="I57">
        <f>VLOOKUP(C57,Recipes!$A$2:$N$4,12,FALSE())</f>
        <v/>
      </c>
      <c r="J57">
        <f>IF(G57="","",H57-G57)</f>
        <v/>
      </c>
      <c r="K57">
        <f>IF(G57="","",IF(VLOOKUP(C57,Recipes!$A$2:$N$4,4,FALSE())=0,-1E+300,-0.5*((J57-Components!$D$2)/Components!$E$2)^2))</f>
        <v/>
      </c>
      <c r="L57">
        <f>IF(G57="","",IF(VLOOKUP(C57,Recipes!$A$2:$N$4,5,FALSE())=0,-1E+300,-0.5*((J57-Components!$D$3)/Components!$E$3)^2))</f>
        <v/>
      </c>
      <c r="M57">
        <f>IF(G57="","",IF(VLOOKUP(C57,Recipes!$A$2:$N$4,6,FALSE())=0,-1E+300,-0.5*((J57-Components!$D$4)/Components!$E$4)^2))</f>
        <v/>
      </c>
      <c r="N57">
        <f>IF(G57="","",IF(VLOOKUP(C57,Recipes!$A$2:$N$4,7,FALSE())=0,-1E+300,-0.5*((J57-Components!$D$5)/Components!$E$5)^2))</f>
        <v/>
      </c>
      <c r="O57">
        <f>IF(G57="","",IF(VLOOKUP(C57,Recipes!$A$2:$N$4,8,FALSE())=0,-1E+300,-0.5*((J57-Components!$D$6)/Components!$E$6)^2))</f>
        <v/>
      </c>
      <c r="P57">
        <f>IF(G57="","",IF(VLOOKUP(C57,Recipes!$A$2:$N$4,9,FALSE())=0,-1E+300,-0.5*((J57-Components!$D$7)/Components!$E$7)^2))</f>
        <v/>
      </c>
      <c r="Q57">
        <f>IF(G57="","",EXP(LARGE(K57:P57,1)-MAX(K57:P57))/(EXP(K57-MAX(K57:P57))+EXP(L57-MAX(K57:P57))+EXP(M57-MAX(K57:P57))+EXP(N57-MAX(K57:P57))+EXP(O57-MAX(K57:P57))+EXP(P57-MAX(K57:P57))))</f>
        <v/>
      </c>
      <c r="R57">
        <f>IF(G57="","",EXP(LARGE(K57:P57,2)-MAX(K57:P57))/(EXP(K57-MAX(K57:P57))+EXP(L57-MAX(K57:P57))+EXP(M57-MAX(K57:P57))+EXP(N57-MAX(K57:P57))+EXP(O57-MAX(K57:P57))+EXP(P57-MAX(K57:P57))))</f>
        <v/>
      </c>
      <c r="S57">
        <f>IF(G57="","",Q57-R57)</f>
        <v/>
      </c>
      <c r="T57">
        <f>IF(G57="","",IF(ABS(G57-H57)&lt;=$B$6*I57,"OK","NG"))</f>
        <v/>
      </c>
      <c r="U57">
        <f>IF(T57="","",IF(T57=D57,1,0))</f>
        <v/>
      </c>
      <c r="V57">
        <f>IF(G57="","",IF(T57="OK","NONE",INDEX({"S1","S2","W1","W2","N1","N2"},MATCH(MAX(K57:P57),K57:P57,0))))</f>
        <v/>
      </c>
      <c r="W57">
        <f>IF(G57="","",IF(V57=E57,1,0))</f>
        <v/>
      </c>
      <c r="X57">
        <f>IF(G57="","",IF(AND(T57="NG",S57&lt;$B$7),"AMBIGUOUS","CONFIDENT"))</f>
        <v/>
      </c>
    </row>
    <row r="58">
      <c r="A58">
        <f>'Runs Z score'!A51</f>
        <v/>
      </c>
      <c r="B58">
        <f>'Runs Z score'!B51</f>
        <v/>
      </c>
      <c r="C58">
        <f>'Runs Z score'!C51</f>
        <v/>
      </c>
      <c r="D58">
        <f>'Runs Z score'!D51</f>
        <v/>
      </c>
      <c r="E58">
        <f>'Runs Z score'!E51</f>
        <v/>
      </c>
      <c r="F58">
        <f>'Runs Z score'!F51</f>
        <v/>
      </c>
      <c r="G58">
        <f>'Runs Z score'!G51</f>
        <v/>
      </c>
      <c r="H58">
        <f>VLOOKUP(C58,Recipes!$A$2:$N$4,10,FALSE())</f>
        <v/>
      </c>
      <c r="I58">
        <f>VLOOKUP(C58,Recipes!$A$2:$N$4,12,FALSE())</f>
        <v/>
      </c>
      <c r="J58">
        <f>IF(G58="","",H58-G58)</f>
        <v/>
      </c>
      <c r="K58">
        <f>IF(G58="","",IF(VLOOKUP(C58,Recipes!$A$2:$N$4,4,FALSE())=0,-1E+300,-0.5*((J58-Components!$D$2)/Components!$E$2)^2))</f>
        <v/>
      </c>
      <c r="L58">
        <f>IF(G58="","",IF(VLOOKUP(C58,Recipes!$A$2:$N$4,5,FALSE())=0,-1E+300,-0.5*((J58-Components!$D$3)/Components!$E$3)^2))</f>
        <v/>
      </c>
      <c r="M58">
        <f>IF(G58="","",IF(VLOOKUP(C58,Recipes!$A$2:$N$4,6,FALSE())=0,-1E+300,-0.5*((J58-Components!$D$4)/Components!$E$4)^2))</f>
        <v/>
      </c>
      <c r="N58">
        <f>IF(G58="","",IF(VLOOKUP(C58,Recipes!$A$2:$N$4,7,FALSE())=0,-1E+300,-0.5*((J58-Components!$D$5)/Components!$E$5)^2))</f>
        <v/>
      </c>
      <c r="O58">
        <f>IF(G58="","",IF(VLOOKUP(C58,Recipes!$A$2:$N$4,8,FALSE())=0,-1E+300,-0.5*((J58-Components!$D$6)/Components!$E$6)^2))</f>
        <v/>
      </c>
      <c r="P58">
        <f>IF(G58="","",IF(VLOOKUP(C58,Recipes!$A$2:$N$4,9,FALSE())=0,-1E+300,-0.5*((J58-Components!$D$7)/Components!$E$7)^2))</f>
        <v/>
      </c>
      <c r="Q58">
        <f>IF(G58="","",EXP(LARGE(K58:P58,1)-MAX(K58:P58))/(EXP(K58-MAX(K58:P58))+EXP(L58-MAX(K58:P58))+EXP(M58-MAX(K58:P58))+EXP(N58-MAX(K58:P58))+EXP(O58-MAX(K58:P58))+EXP(P58-MAX(K58:P58))))</f>
        <v/>
      </c>
      <c r="R58">
        <f>IF(G58="","",EXP(LARGE(K58:P58,2)-MAX(K58:P58))/(EXP(K58-MAX(K58:P58))+EXP(L58-MAX(K58:P58))+EXP(M58-MAX(K58:P58))+EXP(N58-MAX(K58:P58))+EXP(O58-MAX(K58:P58))+EXP(P58-MAX(K58:P58))))</f>
        <v/>
      </c>
      <c r="S58">
        <f>IF(G58="","",Q58-R58)</f>
        <v/>
      </c>
      <c r="T58">
        <f>IF(G58="","",IF(ABS(G58-H58)&lt;=$B$6*I58,"OK","NG"))</f>
        <v/>
      </c>
      <c r="U58">
        <f>IF(T58="","",IF(T58=D58,1,0))</f>
        <v/>
      </c>
      <c r="V58">
        <f>IF(G58="","",IF(T58="OK","NONE",INDEX({"S1","S2","W1","W2","N1","N2"},MATCH(MAX(K58:P58),K58:P58,0))))</f>
        <v/>
      </c>
      <c r="W58">
        <f>IF(G58="","",IF(V58=E58,1,0))</f>
        <v/>
      </c>
      <c r="X58">
        <f>IF(G58="","",IF(AND(T58="NG",S58&lt;$B$7),"AMBIGUOUS","CONFIDENT"))</f>
        <v/>
      </c>
    </row>
    <row r="59">
      <c r="A59">
        <f>'Runs Z score'!A52</f>
        <v/>
      </c>
      <c r="B59">
        <f>'Runs Z score'!B52</f>
        <v/>
      </c>
      <c r="C59">
        <f>'Runs Z score'!C52</f>
        <v/>
      </c>
      <c r="D59">
        <f>'Runs Z score'!D52</f>
        <v/>
      </c>
      <c r="E59">
        <f>'Runs Z score'!E52</f>
        <v/>
      </c>
      <c r="F59">
        <f>'Runs Z score'!F52</f>
        <v/>
      </c>
      <c r="G59">
        <f>'Runs Z score'!G52</f>
        <v/>
      </c>
      <c r="H59">
        <f>VLOOKUP(C59,Recipes!$A$2:$N$4,10,FALSE())</f>
        <v/>
      </c>
      <c r="I59">
        <f>VLOOKUP(C59,Recipes!$A$2:$N$4,12,FALSE())</f>
        <v/>
      </c>
      <c r="J59">
        <f>IF(G59="","",H59-G59)</f>
        <v/>
      </c>
      <c r="K59">
        <f>IF(G59="","",IF(VLOOKUP(C59,Recipes!$A$2:$N$4,4,FALSE())=0,-1E+300,-0.5*((J59-Components!$D$2)/Components!$E$2)^2))</f>
        <v/>
      </c>
      <c r="L59">
        <f>IF(G59="","",IF(VLOOKUP(C59,Recipes!$A$2:$N$4,5,FALSE())=0,-1E+300,-0.5*((J59-Components!$D$3)/Components!$E$3)^2))</f>
        <v/>
      </c>
      <c r="M59">
        <f>IF(G59="","",IF(VLOOKUP(C59,Recipes!$A$2:$N$4,6,FALSE())=0,-1E+300,-0.5*((J59-Components!$D$4)/Components!$E$4)^2))</f>
        <v/>
      </c>
      <c r="N59">
        <f>IF(G59="","",IF(VLOOKUP(C59,Recipes!$A$2:$N$4,7,FALSE())=0,-1E+300,-0.5*((J59-Components!$D$5)/Components!$E$5)^2))</f>
        <v/>
      </c>
      <c r="O59">
        <f>IF(G59="","",IF(VLOOKUP(C59,Recipes!$A$2:$N$4,8,FALSE())=0,-1E+300,-0.5*((J59-Components!$D$6)/Components!$E$6)^2))</f>
        <v/>
      </c>
      <c r="P59">
        <f>IF(G59="","",IF(VLOOKUP(C59,Recipes!$A$2:$N$4,9,FALSE())=0,-1E+300,-0.5*((J59-Components!$D$7)/Components!$E$7)^2))</f>
        <v/>
      </c>
      <c r="Q59">
        <f>IF(G59="","",EXP(LARGE(K59:P59,1)-MAX(K59:P59))/(EXP(K59-MAX(K59:P59))+EXP(L59-MAX(K59:P59))+EXP(M59-MAX(K59:P59))+EXP(N59-MAX(K59:P59))+EXP(O59-MAX(K59:P59))+EXP(P59-MAX(K59:P59))))</f>
        <v/>
      </c>
      <c r="R59">
        <f>IF(G59="","",EXP(LARGE(K59:P59,2)-MAX(K59:P59))/(EXP(K59-MAX(K59:P59))+EXP(L59-MAX(K59:P59))+EXP(M59-MAX(K59:P59))+EXP(N59-MAX(K59:P59))+EXP(O59-MAX(K59:P59))+EXP(P59-MAX(K59:P59))))</f>
        <v/>
      </c>
      <c r="S59">
        <f>IF(G59="","",Q59-R59)</f>
        <v/>
      </c>
      <c r="T59">
        <f>IF(G59="","",IF(ABS(G59-H59)&lt;=$B$6*I59,"OK","NG"))</f>
        <v/>
      </c>
      <c r="U59">
        <f>IF(T59="","",IF(T59=D59,1,0))</f>
        <v/>
      </c>
      <c r="V59">
        <f>IF(G59="","",IF(T59="OK","NONE",INDEX({"S1","S2","W1","W2","N1","N2"},MATCH(MAX(K59:P59),K59:P59,0))))</f>
        <v/>
      </c>
      <c r="W59">
        <f>IF(G59="","",IF(V59=E59,1,0))</f>
        <v/>
      </c>
      <c r="X59">
        <f>IF(G59="","",IF(AND(T59="NG",S59&lt;$B$7),"AMBIGUOUS","CONFIDENT"))</f>
        <v/>
      </c>
    </row>
    <row r="60">
      <c r="A60">
        <f>'Runs Z score'!A53</f>
        <v/>
      </c>
      <c r="B60">
        <f>'Runs Z score'!B53</f>
        <v/>
      </c>
      <c r="C60">
        <f>'Runs Z score'!C53</f>
        <v/>
      </c>
      <c r="D60">
        <f>'Runs Z score'!D53</f>
        <v/>
      </c>
      <c r="E60">
        <f>'Runs Z score'!E53</f>
        <v/>
      </c>
      <c r="F60">
        <f>'Runs Z score'!F53</f>
        <v/>
      </c>
      <c r="G60">
        <f>'Runs Z score'!G53</f>
        <v/>
      </c>
      <c r="H60">
        <f>VLOOKUP(C60,Recipes!$A$2:$N$4,10,FALSE())</f>
        <v/>
      </c>
      <c r="I60">
        <f>VLOOKUP(C60,Recipes!$A$2:$N$4,12,FALSE())</f>
        <v/>
      </c>
      <c r="J60">
        <f>IF(G60="","",H60-G60)</f>
        <v/>
      </c>
      <c r="K60">
        <f>IF(G60="","",IF(VLOOKUP(C60,Recipes!$A$2:$N$4,4,FALSE())=0,-1E+300,-0.5*((J60-Components!$D$2)/Components!$E$2)^2))</f>
        <v/>
      </c>
      <c r="L60">
        <f>IF(G60="","",IF(VLOOKUP(C60,Recipes!$A$2:$N$4,5,FALSE())=0,-1E+300,-0.5*((J60-Components!$D$3)/Components!$E$3)^2))</f>
        <v/>
      </c>
      <c r="M60">
        <f>IF(G60="","",IF(VLOOKUP(C60,Recipes!$A$2:$N$4,6,FALSE())=0,-1E+300,-0.5*((J60-Components!$D$4)/Components!$E$4)^2))</f>
        <v/>
      </c>
      <c r="N60">
        <f>IF(G60="","",IF(VLOOKUP(C60,Recipes!$A$2:$N$4,7,FALSE())=0,-1E+300,-0.5*((J60-Components!$D$5)/Components!$E$5)^2))</f>
        <v/>
      </c>
      <c r="O60">
        <f>IF(G60="","",IF(VLOOKUP(C60,Recipes!$A$2:$N$4,8,FALSE())=0,-1E+300,-0.5*((J60-Components!$D$6)/Components!$E$6)^2))</f>
        <v/>
      </c>
      <c r="P60">
        <f>IF(G60="","",IF(VLOOKUP(C60,Recipes!$A$2:$N$4,9,FALSE())=0,-1E+300,-0.5*((J60-Components!$D$7)/Components!$E$7)^2))</f>
        <v/>
      </c>
      <c r="Q60">
        <f>IF(G60="","",EXP(LARGE(K60:P60,1)-MAX(K60:P60))/(EXP(K60-MAX(K60:P60))+EXP(L60-MAX(K60:P60))+EXP(M60-MAX(K60:P60))+EXP(N60-MAX(K60:P60))+EXP(O60-MAX(K60:P60))+EXP(P60-MAX(K60:P60))))</f>
        <v/>
      </c>
      <c r="R60">
        <f>IF(G60="","",EXP(LARGE(K60:P60,2)-MAX(K60:P60))/(EXP(K60-MAX(K60:P60))+EXP(L60-MAX(K60:P60))+EXP(M60-MAX(K60:P60))+EXP(N60-MAX(K60:P60))+EXP(O60-MAX(K60:P60))+EXP(P60-MAX(K60:P60))))</f>
        <v/>
      </c>
      <c r="S60">
        <f>IF(G60="","",Q60-R60)</f>
        <v/>
      </c>
      <c r="T60">
        <f>IF(G60="","",IF(ABS(G60-H60)&lt;=$B$6*I60,"OK","NG"))</f>
        <v/>
      </c>
      <c r="U60">
        <f>IF(T60="","",IF(T60=D60,1,0))</f>
        <v/>
      </c>
      <c r="V60">
        <f>IF(G60="","",IF(T60="OK","NONE",INDEX({"S1","S2","W1","W2","N1","N2"},MATCH(MAX(K60:P60),K60:P60,0))))</f>
        <v/>
      </c>
      <c r="W60">
        <f>IF(G60="","",IF(V60=E60,1,0))</f>
        <v/>
      </c>
      <c r="X60">
        <f>IF(G60="","",IF(AND(T60="NG",S60&lt;$B$7),"AMBIGUOUS","CONFIDENT"))</f>
        <v/>
      </c>
    </row>
    <row r="61">
      <c r="A61">
        <f>'Runs Z score'!A54</f>
        <v/>
      </c>
      <c r="B61">
        <f>'Runs Z score'!B54</f>
        <v/>
      </c>
      <c r="C61">
        <f>'Runs Z score'!C54</f>
        <v/>
      </c>
      <c r="D61">
        <f>'Runs Z score'!D54</f>
        <v/>
      </c>
      <c r="E61">
        <f>'Runs Z score'!E54</f>
        <v/>
      </c>
      <c r="F61">
        <f>'Runs Z score'!F54</f>
        <v/>
      </c>
      <c r="G61">
        <f>'Runs Z score'!G54</f>
        <v/>
      </c>
      <c r="H61">
        <f>VLOOKUP(C61,Recipes!$A$2:$N$4,10,FALSE())</f>
        <v/>
      </c>
      <c r="I61">
        <f>VLOOKUP(C61,Recipes!$A$2:$N$4,12,FALSE())</f>
        <v/>
      </c>
      <c r="J61">
        <f>IF(G61="","",H61-G61)</f>
        <v/>
      </c>
      <c r="K61">
        <f>IF(G61="","",IF(VLOOKUP(C61,Recipes!$A$2:$N$4,4,FALSE())=0,-1E+300,-0.5*((J61-Components!$D$2)/Components!$E$2)^2))</f>
        <v/>
      </c>
      <c r="L61">
        <f>IF(G61="","",IF(VLOOKUP(C61,Recipes!$A$2:$N$4,5,FALSE())=0,-1E+300,-0.5*((J61-Components!$D$3)/Components!$E$3)^2))</f>
        <v/>
      </c>
      <c r="M61">
        <f>IF(G61="","",IF(VLOOKUP(C61,Recipes!$A$2:$N$4,6,FALSE())=0,-1E+300,-0.5*((J61-Components!$D$4)/Components!$E$4)^2))</f>
        <v/>
      </c>
      <c r="N61">
        <f>IF(G61="","",IF(VLOOKUP(C61,Recipes!$A$2:$N$4,7,FALSE())=0,-1E+300,-0.5*((J61-Components!$D$5)/Components!$E$5)^2))</f>
        <v/>
      </c>
      <c r="O61">
        <f>IF(G61="","",IF(VLOOKUP(C61,Recipes!$A$2:$N$4,8,FALSE())=0,-1E+300,-0.5*((J61-Components!$D$6)/Components!$E$6)^2))</f>
        <v/>
      </c>
      <c r="P61">
        <f>IF(G61="","",IF(VLOOKUP(C61,Recipes!$A$2:$N$4,9,FALSE())=0,-1E+300,-0.5*((J61-Components!$D$7)/Components!$E$7)^2))</f>
        <v/>
      </c>
      <c r="Q61">
        <f>IF(G61="","",EXP(LARGE(K61:P61,1)-MAX(K61:P61))/(EXP(K61-MAX(K61:P61))+EXP(L61-MAX(K61:P61))+EXP(M61-MAX(K61:P61))+EXP(N61-MAX(K61:P61))+EXP(O61-MAX(K61:P61))+EXP(P61-MAX(K61:P61))))</f>
        <v/>
      </c>
      <c r="R61">
        <f>IF(G61="","",EXP(LARGE(K61:P61,2)-MAX(K61:P61))/(EXP(K61-MAX(K61:P61))+EXP(L61-MAX(K61:P61))+EXP(M61-MAX(K61:P61))+EXP(N61-MAX(K61:P61))+EXP(O61-MAX(K61:P61))+EXP(P61-MAX(K61:P61))))</f>
        <v/>
      </c>
      <c r="S61">
        <f>IF(G61="","",Q61-R61)</f>
        <v/>
      </c>
      <c r="T61">
        <f>IF(G61="","",IF(ABS(G61-H61)&lt;=$B$6*I61,"OK","NG"))</f>
        <v/>
      </c>
      <c r="U61">
        <f>IF(T61="","",IF(T61=D61,1,0))</f>
        <v/>
      </c>
      <c r="V61">
        <f>IF(G61="","",IF(T61="OK","NONE",INDEX({"S1","S2","W1","W2","N1","N2"},MATCH(MAX(K61:P61),K61:P61,0))))</f>
        <v/>
      </c>
      <c r="W61">
        <f>IF(G61="","",IF(V61=E61,1,0))</f>
        <v/>
      </c>
      <c r="X61">
        <f>IF(G61="","",IF(AND(T61="NG",S61&lt;$B$7),"AMBIGUOUS","CONFIDENT"))</f>
        <v/>
      </c>
    </row>
    <row r="62">
      <c r="A62">
        <f>'Runs Z score'!A55</f>
        <v/>
      </c>
      <c r="B62">
        <f>'Runs Z score'!B55</f>
        <v/>
      </c>
      <c r="C62">
        <f>'Runs Z score'!C55</f>
        <v/>
      </c>
      <c r="D62">
        <f>'Runs Z score'!D55</f>
        <v/>
      </c>
      <c r="E62">
        <f>'Runs Z score'!E55</f>
        <v/>
      </c>
      <c r="F62">
        <f>'Runs Z score'!F55</f>
        <v/>
      </c>
      <c r="G62">
        <f>'Runs Z score'!G55</f>
        <v/>
      </c>
      <c r="H62">
        <f>VLOOKUP(C62,Recipes!$A$2:$N$4,10,FALSE())</f>
        <v/>
      </c>
      <c r="I62">
        <f>VLOOKUP(C62,Recipes!$A$2:$N$4,12,FALSE())</f>
        <v/>
      </c>
      <c r="J62">
        <f>IF(G62="","",H62-G62)</f>
        <v/>
      </c>
      <c r="K62">
        <f>IF(G62="","",IF(VLOOKUP(C62,Recipes!$A$2:$N$4,4,FALSE())=0,-1E+300,-0.5*((J62-Components!$D$2)/Components!$E$2)^2))</f>
        <v/>
      </c>
      <c r="L62">
        <f>IF(G62="","",IF(VLOOKUP(C62,Recipes!$A$2:$N$4,5,FALSE())=0,-1E+300,-0.5*((J62-Components!$D$3)/Components!$E$3)^2))</f>
        <v/>
      </c>
      <c r="M62">
        <f>IF(G62="","",IF(VLOOKUP(C62,Recipes!$A$2:$N$4,6,FALSE())=0,-1E+300,-0.5*((J62-Components!$D$4)/Components!$E$4)^2))</f>
        <v/>
      </c>
      <c r="N62">
        <f>IF(G62="","",IF(VLOOKUP(C62,Recipes!$A$2:$N$4,7,FALSE())=0,-1E+300,-0.5*((J62-Components!$D$5)/Components!$E$5)^2))</f>
        <v/>
      </c>
      <c r="O62">
        <f>IF(G62="","",IF(VLOOKUP(C62,Recipes!$A$2:$N$4,8,FALSE())=0,-1E+300,-0.5*((J62-Components!$D$6)/Components!$E$6)^2))</f>
        <v/>
      </c>
      <c r="P62">
        <f>IF(G62="","",IF(VLOOKUP(C62,Recipes!$A$2:$N$4,9,FALSE())=0,-1E+300,-0.5*((J62-Components!$D$7)/Components!$E$7)^2))</f>
        <v/>
      </c>
      <c r="Q62">
        <f>IF(G62="","",EXP(LARGE(K62:P62,1)-MAX(K62:P62))/(EXP(K62-MAX(K62:P62))+EXP(L62-MAX(K62:P62))+EXP(M62-MAX(K62:P62))+EXP(N62-MAX(K62:P62))+EXP(O62-MAX(K62:P62))+EXP(P62-MAX(K62:P62))))</f>
        <v/>
      </c>
      <c r="R62">
        <f>IF(G62="","",EXP(LARGE(K62:P62,2)-MAX(K62:P62))/(EXP(K62-MAX(K62:P62))+EXP(L62-MAX(K62:P62))+EXP(M62-MAX(K62:P62))+EXP(N62-MAX(K62:P62))+EXP(O62-MAX(K62:P62))+EXP(P62-MAX(K62:P62))))</f>
        <v/>
      </c>
      <c r="S62">
        <f>IF(G62="","",Q62-R62)</f>
        <v/>
      </c>
      <c r="T62">
        <f>IF(G62="","",IF(ABS(G62-H62)&lt;=$B$6*I62,"OK","NG"))</f>
        <v/>
      </c>
      <c r="U62">
        <f>IF(T62="","",IF(T62=D62,1,0))</f>
        <v/>
      </c>
      <c r="V62">
        <f>IF(G62="","",IF(T62="OK","NONE",INDEX({"S1","S2","W1","W2","N1","N2"},MATCH(MAX(K62:P62),K62:P62,0))))</f>
        <v/>
      </c>
      <c r="W62">
        <f>IF(G62="","",IF(V62=E62,1,0))</f>
        <v/>
      </c>
      <c r="X62">
        <f>IF(G62="","",IF(AND(T62="NG",S62&lt;$B$7),"AMBIGUOUS","CONFIDENT"))</f>
        <v/>
      </c>
    </row>
    <row r="63">
      <c r="A63">
        <f>'Runs Z score'!A56</f>
        <v/>
      </c>
      <c r="B63">
        <f>'Runs Z score'!B56</f>
        <v/>
      </c>
      <c r="C63">
        <f>'Runs Z score'!C56</f>
        <v/>
      </c>
      <c r="D63">
        <f>'Runs Z score'!D56</f>
        <v/>
      </c>
      <c r="E63">
        <f>'Runs Z score'!E56</f>
        <v/>
      </c>
      <c r="F63">
        <f>'Runs Z score'!F56</f>
        <v/>
      </c>
      <c r="G63">
        <f>'Runs Z score'!G56</f>
        <v/>
      </c>
      <c r="H63">
        <f>VLOOKUP(C63,Recipes!$A$2:$N$4,10,FALSE())</f>
        <v/>
      </c>
      <c r="I63">
        <f>VLOOKUP(C63,Recipes!$A$2:$N$4,12,FALSE())</f>
        <v/>
      </c>
      <c r="J63">
        <f>IF(G63="","",H63-G63)</f>
        <v/>
      </c>
      <c r="K63">
        <f>IF(G63="","",IF(VLOOKUP(C63,Recipes!$A$2:$N$4,4,FALSE())=0,-1E+300,-0.5*((J63-Components!$D$2)/Components!$E$2)^2))</f>
        <v/>
      </c>
      <c r="L63">
        <f>IF(G63="","",IF(VLOOKUP(C63,Recipes!$A$2:$N$4,5,FALSE())=0,-1E+300,-0.5*((J63-Components!$D$3)/Components!$E$3)^2))</f>
        <v/>
      </c>
      <c r="M63">
        <f>IF(G63="","",IF(VLOOKUP(C63,Recipes!$A$2:$N$4,6,FALSE())=0,-1E+300,-0.5*((J63-Components!$D$4)/Components!$E$4)^2))</f>
        <v/>
      </c>
      <c r="N63">
        <f>IF(G63="","",IF(VLOOKUP(C63,Recipes!$A$2:$N$4,7,FALSE())=0,-1E+300,-0.5*((J63-Components!$D$5)/Components!$E$5)^2))</f>
        <v/>
      </c>
      <c r="O63">
        <f>IF(G63="","",IF(VLOOKUP(C63,Recipes!$A$2:$N$4,8,FALSE())=0,-1E+300,-0.5*((J63-Components!$D$6)/Components!$E$6)^2))</f>
        <v/>
      </c>
      <c r="P63">
        <f>IF(G63="","",IF(VLOOKUP(C63,Recipes!$A$2:$N$4,9,FALSE())=0,-1E+300,-0.5*((J63-Components!$D$7)/Components!$E$7)^2))</f>
        <v/>
      </c>
      <c r="Q63">
        <f>IF(G63="","",EXP(LARGE(K63:P63,1)-MAX(K63:P63))/(EXP(K63-MAX(K63:P63))+EXP(L63-MAX(K63:P63))+EXP(M63-MAX(K63:P63))+EXP(N63-MAX(K63:P63))+EXP(O63-MAX(K63:P63))+EXP(P63-MAX(K63:P63))))</f>
        <v/>
      </c>
      <c r="R63">
        <f>IF(G63="","",EXP(LARGE(K63:P63,2)-MAX(K63:P63))/(EXP(K63-MAX(K63:P63))+EXP(L63-MAX(K63:P63))+EXP(M63-MAX(K63:P63))+EXP(N63-MAX(K63:P63))+EXP(O63-MAX(K63:P63))+EXP(P63-MAX(K63:P63))))</f>
        <v/>
      </c>
      <c r="S63">
        <f>IF(G63="","",Q63-R63)</f>
        <v/>
      </c>
      <c r="T63">
        <f>IF(G63="","",IF(ABS(G63-H63)&lt;=$B$6*I63,"OK","NG"))</f>
        <v/>
      </c>
      <c r="U63">
        <f>IF(T63="","",IF(T63=D63,1,0))</f>
        <v/>
      </c>
      <c r="V63">
        <f>IF(G63="","",IF(T63="OK","NONE",INDEX({"S1","S2","W1","W2","N1","N2"},MATCH(MAX(K63:P63),K63:P63,0))))</f>
        <v/>
      </c>
      <c r="W63">
        <f>IF(G63="","",IF(V63=E63,1,0))</f>
        <v/>
      </c>
      <c r="X63">
        <f>IF(G63="","",IF(AND(T63="NG",S63&lt;$B$7),"AMBIGUOUS","CONFIDENT"))</f>
        <v/>
      </c>
    </row>
    <row r="64">
      <c r="A64">
        <f>'Runs Z score'!A57</f>
        <v/>
      </c>
      <c r="B64">
        <f>'Runs Z score'!B57</f>
        <v/>
      </c>
      <c r="C64">
        <f>'Runs Z score'!C57</f>
        <v/>
      </c>
      <c r="D64">
        <f>'Runs Z score'!D57</f>
        <v/>
      </c>
      <c r="E64">
        <f>'Runs Z score'!E57</f>
        <v/>
      </c>
      <c r="F64">
        <f>'Runs Z score'!F57</f>
        <v/>
      </c>
      <c r="G64">
        <f>'Runs Z score'!G57</f>
        <v/>
      </c>
      <c r="H64">
        <f>VLOOKUP(C64,Recipes!$A$2:$N$4,10,FALSE())</f>
        <v/>
      </c>
      <c r="I64">
        <f>VLOOKUP(C64,Recipes!$A$2:$N$4,12,FALSE())</f>
        <v/>
      </c>
      <c r="J64">
        <f>IF(G64="","",H64-G64)</f>
        <v/>
      </c>
      <c r="K64">
        <f>IF(G64="","",IF(VLOOKUP(C64,Recipes!$A$2:$N$4,4,FALSE())=0,-1E+300,-0.5*((J64-Components!$D$2)/Components!$E$2)^2))</f>
        <v/>
      </c>
      <c r="L64">
        <f>IF(G64="","",IF(VLOOKUP(C64,Recipes!$A$2:$N$4,5,FALSE())=0,-1E+300,-0.5*((J64-Components!$D$3)/Components!$E$3)^2))</f>
        <v/>
      </c>
      <c r="M64">
        <f>IF(G64="","",IF(VLOOKUP(C64,Recipes!$A$2:$N$4,6,FALSE())=0,-1E+300,-0.5*((J64-Components!$D$4)/Components!$E$4)^2))</f>
        <v/>
      </c>
      <c r="N64">
        <f>IF(G64="","",IF(VLOOKUP(C64,Recipes!$A$2:$N$4,7,FALSE())=0,-1E+300,-0.5*((J64-Components!$D$5)/Components!$E$5)^2))</f>
        <v/>
      </c>
      <c r="O64">
        <f>IF(G64="","",IF(VLOOKUP(C64,Recipes!$A$2:$N$4,8,FALSE())=0,-1E+300,-0.5*((J64-Components!$D$6)/Components!$E$6)^2))</f>
        <v/>
      </c>
      <c r="P64">
        <f>IF(G64="","",IF(VLOOKUP(C64,Recipes!$A$2:$N$4,9,FALSE())=0,-1E+300,-0.5*((J64-Components!$D$7)/Components!$E$7)^2))</f>
        <v/>
      </c>
      <c r="Q64">
        <f>IF(G64="","",EXP(LARGE(K64:P64,1)-MAX(K64:P64))/(EXP(K64-MAX(K64:P64))+EXP(L64-MAX(K64:P64))+EXP(M64-MAX(K64:P64))+EXP(N64-MAX(K64:P64))+EXP(O64-MAX(K64:P64))+EXP(P64-MAX(K64:P64))))</f>
        <v/>
      </c>
      <c r="R64">
        <f>IF(G64="","",EXP(LARGE(K64:P64,2)-MAX(K64:P64))/(EXP(K64-MAX(K64:P64))+EXP(L64-MAX(K64:P64))+EXP(M64-MAX(K64:P64))+EXP(N64-MAX(K64:P64))+EXP(O64-MAX(K64:P64))+EXP(P64-MAX(K64:P64))))</f>
        <v/>
      </c>
      <c r="S64">
        <f>IF(G64="","",Q64-R64)</f>
        <v/>
      </c>
      <c r="T64">
        <f>IF(G64="","",IF(ABS(G64-H64)&lt;=$B$6*I64,"OK","NG"))</f>
        <v/>
      </c>
      <c r="U64">
        <f>IF(T64="","",IF(T64=D64,1,0))</f>
        <v/>
      </c>
      <c r="V64">
        <f>IF(G64="","",IF(T64="OK","NONE",INDEX({"S1","S2","W1","W2","N1","N2"},MATCH(MAX(K64:P64),K64:P64,0))))</f>
        <v/>
      </c>
      <c r="W64">
        <f>IF(G64="","",IF(V64=E64,1,0))</f>
        <v/>
      </c>
      <c r="X64">
        <f>IF(G64="","",IF(AND(T64="NG",S64&lt;$B$7),"AMBIGUOUS","CONFIDENT"))</f>
        <v/>
      </c>
    </row>
    <row r="65">
      <c r="A65">
        <f>'Runs Z score'!A58</f>
        <v/>
      </c>
      <c r="B65">
        <f>'Runs Z score'!B58</f>
        <v/>
      </c>
      <c r="C65">
        <f>'Runs Z score'!C58</f>
        <v/>
      </c>
      <c r="D65">
        <f>'Runs Z score'!D58</f>
        <v/>
      </c>
      <c r="E65">
        <f>'Runs Z score'!E58</f>
        <v/>
      </c>
      <c r="F65">
        <f>'Runs Z score'!F58</f>
        <v/>
      </c>
      <c r="G65">
        <f>'Runs Z score'!G58</f>
        <v/>
      </c>
      <c r="H65">
        <f>VLOOKUP(C65,Recipes!$A$2:$N$4,10,FALSE())</f>
        <v/>
      </c>
      <c r="I65">
        <f>VLOOKUP(C65,Recipes!$A$2:$N$4,12,FALSE())</f>
        <v/>
      </c>
      <c r="J65">
        <f>IF(G65="","",H65-G65)</f>
        <v/>
      </c>
      <c r="K65">
        <f>IF(G65="","",IF(VLOOKUP(C65,Recipes!$A$2:$N$4,4,FALSE())=0,-1E+300,-0.5*((J65-Components!$D$2)/Components!$E$2)^2))</f>
        <v/>
      </c>
      <c r="L65">
        <f>IF(G65="","",IF(VLOOKUP(C65,Recipes!$A$2:$N$4,5,FALSE())=0,-1E+300,-0.5*((J65-Components!$D$3)/Components!$E$3)^2))</f>
        <v/>
      </c>
      <c r="M65">
        <f>IF(G65="","",IF(VLOOKUP(C65,Recipes!$A$2:$N$4,6,FALSE())=0,-1E+300,-0.5*((J65-Components!$D$4)/Components!$E$4)^2))</f>
        <v/>
      </c>
      <c r="N65">
        <f>IF(G65="","",IF(VLOOKUP(C65,Recipes!$A$2:$N$4,7,FALSE())=0,-1E+300,-0.5*((J65-Components!$D$5)/Components!$E$5)^2))</f>
        <v/>
      </c>
      <c r="O65">
        <f>IF(G65="","",IF(VLOOKUP(C65,Recipes!$A$2:$N$4,8,FALSE())=0,-1E+300,-0.5*((J65-Components!$D$6)/Components!$E$6)^2))</f>
        <v/>
      </c>
      <c r="P65">
        <f>IF(G65="","",IF(VLOOKUP(C65,Recipes!$A$2:$N$4,9,FALSE())=0,-1E+300,-0.5*((J65-Components!$D$7)/Components!$E$7)^2))</f>
        <v/>
      </c>
      <c r="Q65">
        <f>IF(G65="","",EXP(LARGE(K65:P65,1)-MAX(K65:P65))/(EXP(K65-MAX(K65:P65))+EXP(L65-MAX(K65:P65))+EXP(M65-MAX(K65:P65))+EXP(N65-MAX(K65:P65))+EXP(O65-MAX(K65:P65))+EXP(P65-MAX(K65:P65))))</f>
        <v/>
      </c>
      <c r="R65">
        <f>IF(G65="","",EXP(LARGE(K65:P65,2)-MAX(K65:P65))/(EXP(K65-MAX(K65:P65))+EXP(L65-MAX(K65:P65))+EXP(M65-MAX(K65:P65))+EXP(N65-MAX(K65:P65))+EXP(O65-MAX(K65:P65))+EXP(P65-MAX(K65:P65))))</f>
        <v/>
      </c>
      <c r="S65">
        <f>IF(G65="","",Q65-R65)</f>
        <v/>
      </c>
      <c r="T65">
        <f>IF(G65="","",IF(ABS(G65-H65)&lt;=$B$6*I65,"OK","NG"))</f>
        <v/>
      </c>
      <c r="U65">
        <f>IF(T65="","",IF(T65=D65,1,0))</f>
        <v/>
      </c>
      <c r="V65">
        <f>IF(G65="","",IF(T65="OK","NONE",INDEX({"S1","S2","W1","W2","N1","N2"},MATCH(MAX(K65:P65),K65:P65,0))))</f>
        <v/>
      </c>
      <c r="W65">
        <f>IF(G65="","",IF(V65=E65,1,0))</f>
        <v/>
      </c>
      <c r="X65">
        <f>IF(G65="","",IF(AND(T65="NG",S65&lt;$B$7),"AMBIGUOUS","CONFIDENT"))</f>
        <v/>
      </c>
    </row>
    <row r="66">
      <c r="A66">
        <f>'Runs Z score'!A59</f>
        <v/>
      </c>
      <c r="B66">
        <f>'Runs Z score'!B59</f>
        <v/>
      </c>
      <c r="C66">
        <f>'Runs Z score'!C59</f>
        <v/>
      </c>
      <c r="D66">
        <f>'Runs Z score'!D59</f>
        <v/>
      </c>
      <c r="E66">
        <f>'Runs Z score'!E59</f>
        <v/>
      </c>
      <c r="F66">
        <f>'Runs Z score'!F59</f>
        <v/>
      </c>
      <c r="G66">
        <f>'Runs Z score'!G59</f>
        <v/>
      </c>
      <c r="H66">
        <f>VLOOKUP(C66,Recipes!$A$2:$N$4,10,FALSE())</f>
        <v/>
      </c>
      <c r="I66">
        <f>VLOOKUP(C66,Recipes!$A$2:$N$4,12,FALSE())</f>
        <v/>
      </c>
      <c r="J66">
        <f>IF(G66="","",H66-G66)</f>
        <v/>
      </c>
      <c r="K66">
        <f>IF(G66="","",IF(VLOOKUP(C66,Recipes!$A$2:$N$4,4,FALSE())=0,-1E+300,-0.5*((J66-Components!$D$2)/Components!$E$2)^2))</f>
        <v/>
      </c>
      <c r="L66">
        <f>IF(G66="","",IF(VLOOKUP(C66,Recipes!$A$2:$N$4,5,FALSE())=0,-1E+300,-0.5*((J66-Components!$D$3)/Components!$E$3)^2))</f>
        <v/>
      </c>
      <c r="M66">
        <f>IF(G66="","",IF(VLOOKUP(C66,Recipes!$A$2:$N$4,6,FALSE())=0,-1E+300,-0.5*((J66-Components!$D$4)/Components!$E$4)^2))</f>
        <v/>
      </c>
      <c r="N66">
        <f>IF(G66="","",IF(VLOOKUP(C66,Recipes!$A$2:$N$4,7,FALSE())=0,-1E+300,-0.5*((J66-Components!$D$5)/Components!$E$5)^2))</f>
        <v/>
      </c>
      <c r="O66">
        <f>IF(G66="","",IF(VLOOKUP(C66,Recipes!$A$2:$N$4,8,FALSE())=0,-1E+300,-0.5*((J66-Components!$D$6)/Components!$E$6)^2))</f>
        <v/>
      </c>
      <c r="P66">
        <f>IF(G66="","",IF(VLOOKUP(C66,Recipes!$A$2:$N$4,9,FALSE())=0,-1E+300,-0.5*((J66-Components!$D$7)/Components!$E$7)^2))</f>
        <v/>
      </c>
      <c r="Q66">
        <f>IF(G66="","",EXP(LARGE(K66:P66,1)-MAX(K66:P66))/(EXP(K66-MAX(K66:P66))+EXP(L66-MAX(K66:P66))+EXP(M66-MAX(K66:P66))+EXP(N66-MAX(K66:P66))+EXP(O66-MAX(K66:P66))+EXP(P66-MAX(K66:P66))))</f>
        <v/>
      </c>
      <c r="R66">
        <f>IF(G66="","",EXP(LARGE(K66:P66,2)-MAX(K66:P66))/(EXP(K66-MAX(K66:P66))+EXP(L66-MAX(K66:P66))+EXP(M66-MAX(K66:P66))+EXP(N66-MAX(K66:P66))+EXP(O66-MAX(K66:P66))+EXP(P66-MAX(K66:P66))))</f>
        <v/>
      </c>
      <c r="S66">
        <f>IF(G66="","",Q66-R66)</f>
        <v/>
      </c>
      <c r="T66">
        <f>IF(G66="","",IF(ABS(G66-H66)&lt;=$B$6*I66,"OK","NG"))</f>
        <v/>
      </c>
      <c r="U66">
        <f>IF(T66="","",IF(T66=D66,1,0))</f>
        <v/>
      </c>
      <c r="V66">
        <f>IF(G66="","",IF(T66="OK","NONE",INDEX({"S1","S2","W1","W2","N1","N2"},MATCH(MAX(K66:P66),K66:P66,0))))</f>
        <v/>
      </c>
      <c r="W66">
        <f>IF(G66="","",IF(V66=E66,1,0))</f>
        <v/>
      </c>
      <c r="X66">
        <f>IF(G66="","",IF(AND(T66="NG",S66&lt;$B$7),"AMBIGUOUS","CONFIDENT"))</f>
        <v/>
      </c>
    </row>
    <row r="67">
      <c r="A67">
        <f>'Runs Z score'!A60</f>
        <v/>
      </c>
      <c r="B67">
        <f>'Runs Z score'!B60</f>
        <v/>
      </c>
      <c r="C67">
        <f>'Runs Z score'!C60</f>
        <v/>
      </c>
      <c r="D67">
        <f>'Runs Z score'!D60</f>
        <v/>
      </c>
      <c r="E67">
        <f>'Runs Z score'!E60</f>
        <v/>
      </c>
      <c r="F67">
        <f>'Runs Z score'!F60</f>
        <v/>
      </c>
      <c r="G67">
        <f>'Runs Z score'!G60</f>
        <v/>
      </c>
      <c r="H67">
        <f>VLOOKUP(C67,Recipes!$A$2:$N$4,10,FALSE())</f>
        <v/>
      </c>
      <c r="I67">
        <f>VLOOKUP(C67,Recipes!$A$2:$N$4,12,FALSE())</f>
        <v/>
      </c>
      <c r="J67">
        <f>IF(G67="","",H67-G67)</f>
        <v/>
      </c>
      <c r="K67">
        <f>IF(G67="","",IF(VLOOKUP(C67,Recipes!$A$2:$N$4,4,FALSE())=0,-1E+300,-0.5*((J67-Components!$D$2)/Components!$E$2)^2))</f>
        <v/>
      </c>
      <c r="L67">
        <f>IF(G67="","",IF(VLOOKUP(C67,Recipes!$A$2:$N$4,5,FALSE())=0,-1E+300,-0.5*((J67-Components!$D$3)/Components!$E$3)^2))</f>
        <v/>
      </c>
      <c r="M67">
        <f>IF(G67="","",IF(VLOOKUP(C67,Recipes!$A$2:$N$4,6,FALSE())=0,-1E+300,-0.5*((J67-Components!$D$4)/Components!$E$4)^2))</f>
        <v/>
      </c>
      <c r="N67">
        <f>IF(G67="","",IF(VLOOKUP(C67,Recipes!$A$2:$N$4,7,FALSE())=0,-1E+300,-0.5*((J67-Components!$D$5)/Components!$E$5)^2))</f>
        <v/>
      </c>
      <c r="O67">
        <f>IF(G67="","",IF(VLOOKUP(C67,Recipes!$A$2:$N$4,8,FALSE())=0,-1E+300,-0.5*((J67-Components!$D$6)/Components!$E$6)^2))</f>
        <v/>
      </c>
      <c r="P67">
        <f>IF(G67="","",IF(VLOOKUP(C67,Recipes!$A$2:$N$4,9,FALSE())=0,-1E+300,-0.5*((J67-Components!$D$7)/Components!$E$7)^2))</f>
        <v/>
      </c>
      <c r="Q67">
        <f>IF(G67="","",EXP(LARGE(K67:P67,1)-MAX(K67:P67))/(EXP(K67-MAX(K67:P67))+EXP(L67-MAX(K67:P67))+EXP(M67-MAX(K67:P67))+EXP(N67-MAX(K67:P67))+EXP(O67-MAX(K67:P67))+EXP(P67-MAX(K67:P67))))</f>
        <v/>
      </c>
      <c r="R67">
        <f>IF(G67="","",EXP(LARGE(K67:P67,2)-MAX(K67:P67))/(EXP(K67-MAX(K67:P67))+EXP(L67-MAX(K67:P67))+EXP(M67-MAX(K67:P67))+EXP(N67-MAX(K67:P67))+EXP(O67-MAX(K67:P67))+EXP(P67-MAX(K67:P67))))</f>
        <v/>
      </c>
      <c r="S67">
        <f>IF(G67="","",Q67-R67)</f>
        <v/>
      </c>
      <c r="T67">
        <f>IF(G67="","",IF(ABS(G67-H67)&lt;=$B$6*I67,"OK","NG"))</f>
        <v/>
      </c>
      <c r="U67">
        <f>IF(T67="","",IF(T67=D67,1,0))</f>
        <v/>
      </c>
      <c r="V67">
        <f>IF(G67="","",IF(T67="OK","NONE",INDEX({"S1","S2","W1","W2","N1","N2"},MATCH(MAX(K67:P67),K67:P67,0))))</f>
        <v/>
      </c>
      <c r="W67">
        <f>IF(G67="","",IF(V67=E67,1,0))</f>
        <v/>
      </c>
      <c r="X67">
        <f>IF(G67="","",IF(AND(T67="NG",S67&lt;$B$7),"AMBIGUOUS","CONFIDENT"))</f>
        <v/>
      </c>
    </row>
    <row r="68">
      <c r="A68">
        <f>'Runs Z score'!A61</f>
        <v/>
      </c>
      <c r="B68">
        <f>'Runs Z score'!B61</f>
        <v/>
      </c>
      <c r="C68">
        <f>'Runs Z score'!C61</f>
        <v/>
      </c>
      <c r="D68">
        <f>'Runs Z score'!D61</f>
        <v/>
      </c>
      <c r="E68">
        <f>'Runs Z score'!E61</f>
        <v/>
      </c>
      <c r="F68">
        <f>'Runs Z score'!F61</f>
        <v/>
      </c>
      <c r="G68">
        <f>'Runs Z score'!G61</f>
        <v/>
      </c>
      <c r="H68">
        <f>VLOOKUP(C68,Recipes!$A$2:$N$4,10,FALSE())</f>
        <v/>
      </c>
      <c r="I68">
        <f>VLOOKUP(C68,Recipes!$A$2:$N$4,12,FALSE())</f>
        <v/>
      </c>
      <c r="J68">
        <f>IF(G68="","",H68-G68)</f>
        <v/>
      </c>
      <c r="K68">
        <f>IF(G68="","",IF(VLOOKUP(C68,Recipes!$A$2:$N$4,4,FALSE())=0,-1E+300,-0.5*((J68-Components!$D$2)/Components!$E$2)^2))</f>
        <v/>
      </c>
      <c r="L68">
        <f>IF(G68="","",IF(VLOOKUP(C68,Recipes!$A$2:$N$4,5,FALSE())=0,-1E+300,-0.5*((J68-Components!$D$3)/Components!$E$3)^2))</f>
        <v/>
      </c>
      <c r="M68">
        <f>IF(G68="","",IF(VLOOKUP(C68,Recipes!$A$2:$N$4,6,FALSE())=0,-1E+300,-0.5*((J68-Components!$D$4)/Components!$E$4)^2))</f>
        <v/>
      </c>
      <c r="N68">
        <f>IF(G68="","",IF(VLOOKUP(C68,Recipes!$A$2:$N$4,7,FALSE())=0,-1E+300,-0.5*((J68-Components!$D$5)/Components!$E$5)^2))</f>
        <v/>
      </c>
      <c r="O68">
        <f>IF(G68="","",IF(VLOOKUP(C68,Recipes!$A$2:$N$4,8,FALSE())=0,-1E+300,-0.5*((J68-Components!$D$6)/Components!$E$6)^2))</f>
        <v/>
      </c>
      <c r="P68">
        <f>IF(G68="","",IF(VLOOKUP(C68,Recipes!$A$2:$N$4,9,FALSE())=0,-1E+300,-0.5*((J68-Components!$D$7)/Components!$E$7)^2))</f>
        <v/>
      </c>
      <c r="Q68">
        <f>IF(G68="","",EXP(LARGE(K68:P68,1)-MAX(K68:P68))/(EXP(K68-MAX(K68:P68))+EXP(L68-MAX(K68:P68))+EXP(M68-MAX(K68:P68))+EXP(N68-MAX(K68:P68))+EXP(O68-MAX(K68:P68))+EXP(P68-MAX(K68:P68))))</f>
        <v/>
      </c>
      <c r="R68">
        <f>IF(G68="","",EXP(LARGE(K68:P68,2)-MAX(K68:P68))/(EXP(K68-MAX(K68:P68))+EXP(L68-MAX(K68:P68))+EXP(M68-MAX(K68:P68))+EXP(N68-MAX(K68:P68))+EXP(O68-MAX(K68:P68))+EXP(P68-MAX(K68:P68))))</f>
        <v/>
      </c>
      <c r="S68">
        <f>IF(G68="","",Q68-R68)</f>
        <v/>
      </c>
      <c r="T68">
        <f>IF(G68="","",IF(ABS(G68-H68)&lt;=$B$6*I68,"OK","NG"))</f>
        <v/>
      </c>
      <c r="U68">
        <f>IF(T68="","",IF(T68=D68,1,0))</f>
        <v/>
      </c>
      <c r="V68">
        <f>IF(G68="","",IF(T68="OK","NONE",INDEX({"S1","S2","W1","W2","N1","N2"},MATCH(MAX(K68:P68),K68:P68,0))))</f>
        <v/>
      </c>
      <c r="W68">
        <f>IF(G68="","",IF(V68=E68,1,0))</f>
        <v/>
      </c>
      <c r="X68">
        <f>IF(G68="","",IF(AND(T68="NG",S68&lt;$B$7),"AMBIGUOUS","CONFIDENT"))</f>
        <v/>
      </c>
    </row>
    <row r="69">
      <c r="A69">
        <f>'Runs Z score'!A62</f>
        <v/>
      </c>
      <c r="B69">
        <f>'Runs Z score'!B62</f>
        <v/>
      </c>
      <c r="C69">
        <f>'Runs Z score'!C62</f>
        <v/>
      </c>
      <c r="D69">
        <f>'Runs Z score'!D62</f>
        <v/>
      </c>
      <c r="E69">
        <f>'Runs Z score'!E62</f>
        <v/>
      </c>
      <c r="F69">
        <f>'Runs Z score'!F62</f>
        <v/>
      </c>
      <c r="G69">
        <f>'Runs Z score'!G62</f>
        <v/>
      </c>
      <c r="H69">
        <f>VLOOKUP(C69,Recipes!$A$2:$N$4,10,FALSE())</f>
        <v/>
      </c>
      <c r="I69">
        <f>VLOOKUP(C69,Recipes!$A$2:$N$4,12,FALSE())</f>
        <v/>
      </c>
      <c r="J69">
        <f>IF(G69="","",H69-G69)</f>
        <v/>
      </c>
      <c r="K69">
        <f>IF(G69="","",IF(VLOOKUP(C69,Recipes!$A$2:$N$4,4,FALSE())=0,-1E+300,-0.5*((J69-Components!$D$2)/Components!$E$2)^2))</f>
        <v/>
      </c>
      <c r="L69">
        <f>IF(G69="","",IF(VLOOKUP(C69,Recipes!$A$2:$N$4,5,FALSE())=0,-1E+300,-0.5*((J69-Components!$D$3)/Components!$E$3)^2))</f>
        <v/>
      </c>
      <c r="M69">
        <f>IF(G69="","",IF(VLOOKUP(C69,Recipes!$A$2:$N$4,6,FALSE())=0,-1E+300,-0.5*((J69-Components!$D$4)/Components!$E$4)^2))</f>
        <v/>
      </c>
      <c r="N69">
        <f>IF(G69="","",IF(VLOOKUP(C69,Recipes!$A$2:$N$4,7,FALSE())=0,-1E+300,-0.5*((J69-Components!$D$5)/Components!$E$5)^2))</f>
        <v/>
      </c>
      <c r="O69">
        <f>IF(G69="","",IF(VLOOKUP(C69,Recipes!$A$2:$N$4,8,FALSE())=0,-1E+300,-0.5*((J69-Components!$D$6)/Components!$E$6)^2))</f>
        <v/>
      </c>
      <c r="P69">
        <f>IF(G69="","",IF(VLOOKUP(C69,Recipes!$A$2:$N$4,9,FALSE())=0,-1E+300,-0.5*((J69-Components!$D$7)/Components!$E$7)^2))</f>
        <v/>
      </c>
      <c r="Q69">
        <f>IF(G69="","",EXP(LARGE(K69:P69,1)-MAX(K69:P69))/(EXP(K69-MAX(K69:P69))+EXP(L69-MAX(K69:P69))+EXP(M69-MAX(K69:P69))+EXP(N69-MAX(K69:P69))+EXP(O69-MAX(K69:P69))+EXP(P69-MAX(K69:P69))))</f>
        <v/>
      </c>
      <c r="R69">
        <f>IF(G69="","",EXP(LARGE(K69:P69,2)-MAX(K69:P69))/(EXP(K69-MAX(K69:P69))+EXP(L69-MAX(K69:P69))+EXP(M69-MAX(K69:P69))+EXP(N69-MAX(K69:P69))+EXP(O69-MAX(K69:P69))+EXP(P69-MAX(K69:P69))))</f>
        <v/>
      </c>
      <c r="S69">
        <f>IF(G69="","",Q69-R69)</f>
        <v/>
      </c>
      <c r="T69">
        <f>IF(G69="","",IF(ABS(G69-H69)&lt;=$B$6*I69,"OK","NG"))</f>
        <v/>
      </c>
      <c r="U69">
        <f>IF(T69="","",IF(T69=D69,1,0))</f>
        <v/>
      </c>
      <c r="V69">
        <f>IF(G69="","",IF(T69="OK","NONE",INDEX({"S1","S2","W1","W2","N1","N2"},MATCH(MAX(K69:P69),K69:P69,0))))</f>
        <v/>
      </c>
      <c r="W69">
        <f>IF(G69="","",IF(V69=E69,1,0))</f>
        <v/>
      </c>
      <c r="X69">
        <f>IF(G69="","",IF(AND(T69="NG",S69&lt;$B$7),"AMBIGUOUS","CONFIDENT"))</f>
        <v/>
      </c>
    </row>
    <row r="70">
      <c r="A70">
        <f>'Runs Z score'!A63</f>
        <v/>
      </c>
      <c r="B70">
        <f>'Runs Z score'!B63</f>
        <v/>
      </c>
      <c r="C70">
        <f>'Runs Z score'!C63</f>
        <v/>
      </c>
      <c r="D70">
        <f>'Runs Z score'!D63</f>
        <v/>
      </c>
      <c r="E70">
        <f>'Runs Z score'!E63</f>
        <v/>
      </c>
      <c r="F70">
        <f>'Runs Z score'!F63</f>
        <v/>
      </c>
      <c r="G70">
        <f>'Runs Z score'!G63</f>
        <v/>
      </c>
      <c r="H70">
        <f>VLOOKUP(C70,Recipes!$A$2:$N$4,10,FALSE())</f>
        <v/>
      </c>
      <c r="I70">
        <f>VLOOKUP(C70,Recipes!$A$2:$N$4,12,FALSE())</f>
        <v/>
      </c>
      <c r="J70">
        <f>IF(G70="","",H70-G70)</f>
        <v/>
      </c>
      <c r="K70">
        <f>IF(G70="","",IF(VLOOKUP(C70,Recipes!$A$2:$N$4,4,FALSE())=0,-1E+300,-0.5*((J70-Components!$D$2)/Components!$E$2)^2))</f>
        <v/>
      </c>
      <c r="L70">
        <f>IF(G70="","",IF(VLOOKUP(C70,Recipes!$A$2:$N$4,5,FALSE())=0,-1E+300,-0.5*((J70-Components!$D$3)/Components!$E$3)^2))</f>
        <v/>
      </c>
      <c r="M70">
        <f>IF(G70="","",IF(VLOOKUP(C70,Recipes!$A$2:$N$4,6,FALSE())=0,-1E+300,-0.5*((J70-Components!$D$4)/Components!$E$4)^2))</f>
        <v/>
      </c>
      <c r="N70">
        <f>IF(G70="","",IF(VLOOKUP(C70,Recipes!$A$2:$N$4,7,FALSE())=0,-1E+300,-0.5*((J70-Components!$D$5)/Components!$E$5)^2))</f>
        <v/>
      </c>
      <c r="O70">
        <f>IF(G70="","",IF(VLOOKUP(C70,Recipes!$A$2:$N$4,8,FALSE())=0,-1E+300,-0.5*((J70-Components!$D$6)/Components!$E$6)^2))</f>
        <v/>
      </c>
      <c r="P70">
        <f>IF(G70="","",IF(VLOOKUP(C70,Recipes!$A$2:$N$4,9,FALSE())=0,-1E+300,-0.5*((J70-Components!$D$7)/Components!$E$7)^2))</f>
        <v/>
      </c>
      <c r="Q70">
        <f>IF(G70="","",EXP(LARGE(K70:P70,1)-MAX(K70:P70))/(EXP(K70-MAX(K70:P70))+EXP(L70-MAX(K70:P70))+EXP(M70-MAX(K70:P70))+EXP(N70-MAX(K70:P70))+EXP(O70-MAX(K70:P70))+EXP(P70-MAX(K70:P70))))</f>
        <v/>
      </c>
      <c r="R70">
        <f>IF(G70="","",EXP(LARGE(K70:P70,2)-MAX(K70:P70))/(EXP(K70-MAX(K70:P70))+EXP(L70-MAX(K70:P70))+EXP(M70-MAX(K70:P70))+EXP(N70-MAX(K70:P70))+EXP(O70-MAX(K70:P70))+EXP(P70-MAX(K70:P70))))</f>
        <v/>
      </c>
      <c r="S70">
        <f>IF(G70="","",Q70-R70)</f>
        <v/>
      </c>
      <c r="T70">
        <f>IF(G70="","",IF(ABS(G70-H70)&lt;=$B$6*I70,"OK","NG"))</f>
        <v/>
      </c>
      <c r="U70">
        <f>IF(T70="","",IF(T70=D70,1,0))</f>
        <v/>
      </c>
      <c r="V70">
        <f>IF(G70="","",IF(T70="OK","NONE",INDEX({"S1","S2","W1","W2","N1","N2"},MATCH(MAX(K70:P70),K70:P70,0))))</f>
        <v/>
      </c>
      <c r="W70">
        <f>IF(G70="","",IF(V70=E70,1,0))</f>
        <v/>
      </c>
      <c r="X70">
        <f>IF(G70="","",IF(AND(T70="NG",S70&lt;$B$7),"AMBIGUOUS","CONFIDENT"))</f>
        <v/>
      </c>
    </row>
    <row r="71">
      <c r="A71">
        <f>'Runs Z score'!A64</f>
        <v/>
      </c>
      <c r="B71">
        <f>'Runs Z score'!B64</f>
        <v/>
      </c>
      <c r="C71">
        <f>'Runs Z score'!C64</f>
        <v/>
      </c>
      <c r="D71">
        <f>'Runs Z score'!D64</f>
        <v/>
      </c>
      <c r="E71">
        <f>'Runs Z score'!E64</f>
        <v/>
      </c>
      <c r="F71">
        <f>'Runs Z score'!F64</f>
        <v/>
      </c>
      <c r="G71">
        <f>'Runs Z score'!G64</f>
        <v/>
      </c>
      <c r="H71">
        <f>VLOOKUP(C71,Recipes!$A$2:$N$4,10,FALSE())</f>
        <v/>
      </c>
      <c r="I71">
        <f>VLOOKUP(C71,Recipes!$A$2:$N$4,12,FALSE())</f>
        <v/>
      </c>
      <c r="J71">
        <f>IF(G71="","",H71-G71)</f>
        <v/>
      </c>
      <c r="K71">
        <f>IF(G71="","",IF(VLOOKUP(C71,Recipes!$A$2:$N$4,4,FALSE())=0,-1E+300,-0.5*((J71-Components!$D$2)/Components!$E$2)^2))</f>
        <v/>
      </c>
      <c r="L71">
        <f>IF(G71="","",IF(VLOOKUP(C71,Recipes!$A$2:$N$4,5,FALSE())=0,-1E+300,-0.5*((J71-Components!$D$3)/Components!$E$3)^2))</f>
        <v/>
      </c>
      <c r="M71">
        <f>IF(G71="","",IF(VLOOKUP(C71,Recipes!$A$2:$N$4,6,FALSE())=0,-1E+300,-0.5*((J71-Components!$D$4)/Components!$E$4)^2))</f>
        <v/>
      </c>
      <c r="N71">
        <f>IF(G71="","",IF(VLOOKUP(C71,Recipes!$A$2:$N$4,7,FALSE())=0,-1E+300,-0.5*((J71-Components!$D$5)/Components!$E$5)^2))</f>
        <v/>
      </c>
      <c r="O71">
        <f>IF(G71="","",IF(VLOOKUP(C71,Recipes!$A$2:$N$4,8,FALSE())=0,-1E+300,-0.5*((J71-Components!$D$6)/Components!$E$6)^2))</f>
        <v/>
      </c>
      <c r="P71">
        <f>IF(G71="","",IF(VLOOKUP(C71,Recipes!$A$2:$N$4,9,FALSE())=0,-1E+300,-0.5*((J71-Components!$D$7)/Components!$E$7)^2))</f>
        <v/>
      </c>
      <c r="Q71">
        <f>IF(G71="","",EXP(LARGE(K71:P71,1)-MAX(K71:P71))/(EXP(K71-MAX(K71:P71))+EXP(L71-MAX(K71:P71))+EXP(M71-MAX(K71:P71))+EXP(N71-MAX(K71:P71))+EXP(O71-MAX(K71:P71))+EXP(P71-MAX(K71:P71))))</f>
        <v/>
      </c>
      <c r="R71">
        <f>IF(G71="","",EXP(LARGE(K71:P71,2)-MAX(K71:P71))/(EXP(K71-MAX(K71:P71))+EXP(L71-MAX(K71:P71))+EXP(M71-MAX(K71:P71))+EXP(N71-MAX(K71:P71))+EXP(O71-MAX(K71:P71))+EXP(P71-MAX(K71:P71))))</f>
        <v/>
      </c>
      <c r="S71">
        <f>IF(G71="","",Q71-R71)</f>
        <v/>
      </c>
      <c r="T71">
        <f>IF(G71="","",IF(ABS(G71-H71)&lt;=$B$6*I71,"OK","NG"))</f>
        <v/>
      </c>
      <c r="U71">
        <f>IF(T71="","",IF(T71=D71,1,0))</f>
        <v/>
      </c>
      <c r="V71">
        <f>IF(G71="","",IF(T71="OK","NONE",INDEX({"S1","S2","W1","W2","N1","N2"},MATCH(MAX(K71:P71),K71:P71,0))))</f>
        <v/>
      </c>
      <c r="W71">
        <f>IF(G71="","",IF(V71=E71,1,0))</f>
        <v/>
      </c>
      <c r="X71">
        <f>IF(G71="","",IF(AND(T71="NG",S71&lt;$B$7),"AMBIGUOUS","CONFIDENT"))</f>
        <v/>
      </c>
    </row>
    <row r="72">
      <c r="A72">
        <f>'Runs Z score'!A65</f>
        <v/>
      </c>
      <c r="B72">
        <f>'Runs Z score'!B65</f>
        <v/>
      </c>
      <c r="C72">
        <f>'Runs Z score'!C65</f>
        <v/>
      </c>
      <c r="D72">
        <f>'Runs Z score'!D65</f>
        <v/>
      </c>
      <c r="E72">
        <f>'Runs Z score'!E65</f>
        <v/>
      </c>
      <c r="F72">
        <f>'Runs Z score'!F65</f>
        <v/>
      </c>
      <c r="G72">
        <f>'Runs Z score'!G65</f>
        <v/>
      </c>
      <c r="H72">
        <f>VLOOKUP(C72,Recipes!$A$2:$N$4,10,FALSE())</f>
        <v/>
      </c>
      <c r="I72">
        <f>VLOOKUP(C72,Recipes!$A$2:$N$4,12,FALSE())</f>
        <v/>
      </c>
      <c r="J72">
        <f>IF(G72="","",H72-G72)</f>
        <v/>
      </c>
      <c r="K72">
        <f>IF(G72="","",IF(VLOOKUP(C72,Recipes!$A$2:$N$4,4,FALSE())=0,-1E+300,-0.5*((J72-Components!$D$2)/Components!$E$2)^2))</f>
        <v/>
      </c>
      <c r="L72">
        <f>IF(G72="","",IF(VLOOKUP(C72,Recipes!$A$2:$N$4,5,FALSE())=0,-1E+300,-0.5*((J72-Components!$D$3)/Components!$E$3)^2))</f>
        <v/>
      </c>
      <c r="M72">
        <f>IF(G72="","",IF(VLOOKUP(C72,Recipes!$A$2:$N$4,6,FALSE())=0,-1E+300,-0.5*((J72-Components!$D$4)/Components!$E$4)^2))</f>
        <v/>
      </c>
      <c r="N72">
        <f>IF(G72="","",IF(VLOOKUP(C72,Recipes!$A$2:$N$4,7,FALSE())=0,-1E+300,-0.5*((J72-Components!$D$5)/Components!$E$5)^2))</f>
        <v/>
      </c>
      <c r="O72">
        <f>IF(G72="","",IF(VLOOKUP(C72,Recipes!$A$2:$N$4,8,FALSE())=0,-1E+300,-0.5*((J72-Components!$D$6)/Components!$E$6)^2))</f>
        <v/>
      </c>
      <c r="P72">
        <f>IF(G72="","",IF(VLOOKUP(C72,Recipes!$A$2:$N$4,9,FALSE())=0,-1E+300,-0.5*((J72-Components!$D$7)/Components!$E$7)^2))</f>
        <v/>
      </c>
      <c r="Q72">
        <f>IF(G72="","",EXP(LARGE(K72:P72,1)-MAX(K72:P72))/(EXP(K72-MAX(K72:P72))+EXP(L72-MAX(K72:P72))+EXP(M72-MAX(K72:P72))+EXP(N72-MAX(K72:P72))+EXP(O72-MAX(K72:P72))+EXP(P72-MAX(K72:P72))))</f>
        <v/>
      </c>
      <c r="R72">
        <f>IF(G72="","",EXP(LARGE(K72:P72,2)-MAX(K72:P72))/(EXP(K72-MAX(K72:P72))+EXP(L72-MAX(K72:P72))+EXP(M72-MAX(K72:P72))+EXP(N72-MAX(K72:P72))+EXP(O72-MAX(K72:P72))+EXP(P72-MAX(K72:P72))))</f>
        <v/>
      </c>
      <c r="S72">
        <f>IF(G72="","",Q72-R72)</f>
        <v/>
      </c>
      <c r="T72">
        <f>IF(G72="","",IF(ABS(G72-H72)&lt;=$B$6*I72,"OK","NG"))</f>
        <v/>
      </c>
      <c r="U72">
        <f>IF(T72="","",IF(T72=D72,1,0))</f>
        <v/>
      </c>
      <c r="V72">
        <f>IF(G72="","",IF(T72="OK","NONE",INDEX({"S1","S2","W1","W2","N1","N2"},MATCH(MAX(K72:P72),K72:P72,0))))</f>
        <v/>
      </c>
      <c r="W72">
        <f>IF(G72="","",IF(V72=E72,1,0))</f>
        <v/>
      </c>
      <c r="X72">
        <f>IF(G72="","",IF(AND(T72="NG",S72&lt;$B$7),"AMBIGUOUS","CONFIDENT"))</f>
        <v/>
      </c>
    </row>
    <row r="73">
      <c r="A73">
        <f>'Runs Z score'!A66</f>
        <v/>
      </c>
      <c r="B73">
        <f>'Runs Z score'!B66</f>
        <v/>
      </c>
      <c r="C73">
        <f>'Runs Z score'!C66</f>
        <v/>
      </c>
      <c r="D73">
        <f>'Runs Z score'!D66</f>
        <v/>
      </c>
      <c r="E73">
        <f>'Runs Z score'!E66</f>
        <v/>
      </c>
      <c r="F73">
        <f>'Runs Z score'!F66</f>
        <v/>
      </c>
      <c r="G73">
        <f>'Runs Z score'!G66</f>
        <v/>
      </c>
      <c r="H73">
        <f>VLOOKUP(C73,Recipes!$A$2:$N$4,10,FALSE())</f>
        <v/>
      </c>
      <c r="I73">
        <f>VLOOKUP(C73,Recipes!$A$2:$N$4,12,FALSE())</f>
        <v/>
      </c>
      <c r="J73">
        <f>IF(G73="","",H73-G73)</f>
        <v/>
      </c>
      <c r="K73">
        <f>IF(G73="","",IF(VLOOKUP(C73,Recipes!$A$2:$N$4,4,FALSE())=0,-1E+300,-0.5*((J73-Components!$D$2)/Components!$E$2)^2))</f>
        <v/>
      </c>
      <c r="L73">
        <f>IF(G73="","",IF(VLOOKUP(C73,Recipes!$A$2:$N$4,5,FALSE())=0,-1E+300,-0.5*((J73-Components!$D$3)/Components!$E$3)^2))</f>
        <v/>
      </c>
      <c r="M73">
        <f>IF(G73="","",IF(VLOOKUP(C73,Recipes!$A$2:$N$4,6,FALSE())=0,-1E+300,-0.5*((J73-Components!$D$4)/Components!$E$4)^2))</f>
        <v/>
      </c>
      <c r="N73">
        <f>IF(G73="","",IF(VLOOKUP(C73,Recipes!$A$2:$N$4,7,FALSE())=0,-1E+300,-0.5*((J73-Components!$D$5)/Components!$E$5)^2))</f>
        <v/>
      </c>
      <c r="O73">
        <f>IF(G73="","",IF(VLOOKUP(C73,Recipes!$A$2:$N$4,8,FALSE())=0,-1E+300,-0.5*((J73-Components!$D$6)/Components!$E$6)^2))</f>
        <v/>
      </c>
      <c r="P73">
        <f>IF(G73="","",IF(VLOOKUP(C73,Recipes!$A$2:$N$4,9,FALSE())=0,-1E+300,-0.5*((J73-Components!$D$7)/Components!$E$7)^2))</f>
        <v/>
      </c>
      <c r="Q73">
        <f>IF(G73="","",EXP(LARGE(K73:P73,1)-MAX(K73:P73))/(EXP(K73-MAX(K73:P73))+EXP(L73-MAX(K73:P73))+EXP(M73-MAX(K73:P73))+EXP(N73-MAX(K73:P73))+EXP(O73-MAX(K73:P73))+EXP(P73-MAX(K73:P73))))</f>
        <v/>
      </c>
      <c r="R73">
        <f>IF(G73="","",EXP(LARGE(K73:P73,2)-MAX(K73:P73))/(EXP(K73-MAX(K73:P73))+EXP(L73-MAX(K73:P73))+EXP(M73-MAX(K73:P73))+EXP(N73-MAX(K73:P73))+EXP(O73-MAX(K73:P73))+EXP(P73-MAX(K73:P73))))</f>
        <v/>
      </c>
      <c r="S73">
        <f>IF(G73="","",Q73-R73)</f>
        <v/>
      </c>
      <c r="T73">
        <f>IF(G73="","",IF(ABS(G73-H73)&lt;=$B$6*I73,"OK","NG"))</f>
        <v/>
      </c>
      <c r="U73">
        <f>IF(T73="","",IF(T73=D73,1,0))</f>
        <v/>
      </c>
      <c r="V73">
        <f>IF(G73="","",IF(T73="OK","NONE",INDEX({"S1","S2","W1","W2","N1","N2"},MATCH(MAX(K73:P73),K73:P73,0))))</f>
        <v/>
      </c>
      <c r="W73">
        <f>IF(G73="","",IF(V73=E73,1,0))</f>
        <v/>
      </c>
      <c r="X73">
        <f>IF(G73="","",IF(AND(T73="NG",S73&lt;$B$7),"AMBIGUOUS","CONFIDENT"))</f>
        <v/>
      </c>
    </row>
    <row r="74">
      <c r="A74">
        <f>'Runs Z score'!A67</f>
        <v/>
      </c>
      <c r="B74">
        <f>'Runs Z score'!B67</f>
        <v/>
      </c>
      <c r="C74">
        <f>'Runs Z score'!C67</f>
        <v/>
      </c>
      <c r="D74">
        <f>'Runs Z score'!D67</f>
        <v/>
      </c>
      <c r="E74">
        <f>'Runs Z score'!E67</f>
        <v/>
      </c>
      <c r="F74">
        <f>'Runs Z score'!F67</f>
        <v/>
      </c>
      <c r="G74">
        <f>'Runs Z score'!G67</f>
        <v/>
      </c>
      <c r="H74">
        <f>VLOOKUP(C74,Recipes!$A$2:$N$4,10,FALSE())</f>
        <v/>
      </c>
      <c r="I74">
        <f>VLOOKUP(C74,Recipes!$A$2:$N$4,12,FALSE())</f>
        <v/>
      </c>
      <c r="J74">
        <f>IF(G74="","",H74-G74)</f>
        <v/>
      </c>
      <c r="K74">
        <f>IF(G74="","",IF(VLOOKUP(C74,Recipes!$A$2:$N$4,4,FALSE())=0,-1E+300,-0.5*((J74-Components!$D$2)/Components!$E$2)^2))</f>
        <v/>
      </c>
      <c r="L74">
        <f>IF(G74="","",IF(VLOOKUP(C74,Recipes!$A$2:$N$4,5,FALSE())=0,-1E+300,-0.5*((J74-Components!$D$3)/Components!$E$3)^2))</f>
        <v/>
      </c>
      <c r="M74">
        <f>IF(G74="","",IF(VLOOKUP(C74,Recipes!$A$2:$N$4,6,FALSE())=0,-1E+300,-0.5*((J74-Components!$D$4)/Components!$E$4)^2))</f>
        <v/>
      </c>
      <c r="N74">
        <f>IF(G74="","",IF(VLOOKUP(C74,Recipes!$A$2:$N$4,7,FALSE())=0,-1E+300,-0.5*((J74-Components!$D$5)/Components!$E$5)^2))</f>
        <v/>
      </c>
      <c r="O74">
        <f>IF(G74="","",IF(VLOOKUP(C74,Recipes!$A$2:$N$4,8,FALSE())=0,-1E+300,-0.5*((J74-Components!$D$6)/Components!$E$6)^2))</f>
        <v/>
      </c>
      <c r="P74">
        <f>IF(G74="","",IF(VLOOKUP(C74,Recipes!$A$2:$N$4,9,FALSE())=0,-1E+300,-0.5*((J74-Components!$D$7)/Components!$E$7)^2))</f>
        <v/>
      </c>
      <c r="Q74">
        <f>IF(G74="","",EXP(LARGE(K74:P74,1)-MAX(K74:P74))/(EXP(K74-MAX(K74:P74))+EXP(L74-MAX(K74:P74))+EXP(M74-MAX(K74:P74))+EXP(N74-MAX(K74:P74))+EXP(O74-MAX(K74:P74))+EXP(P74-MAX(K74:P74))))</f>
        <v/>
      </c>
      <c r="R74">
        <f>IF(G74="","",EXP(LARGE(K74:P74,2)-MAX(K74:P74))/(EXP(K74-MAX(K74:P74))+EXP(L74-MAX(K74:P74))+EXP(M74-MAX(K74:P74))+EXP(N74-MAX(K74:P74))+EXP(O74-MAX(K74:P74))+EXP(P74-MAX(K74:P74))))</f>
        <v/>
      </c>
      <c r="S74">
        <f>IF(G74="","",Q74-R74)</f>
        <v/>
      </c>
      <c r="T74">
        <f>IF(G74="","",IF(ABS(G74-H74)&lt;=$B$6*I74,"OK","NG"))</f>
        <v/>
      </c>
      <c r="U74">
        <f>IF(T74="","",IF(T74=D74,1,0))</f>
        <v/>
      </c>
      <c r="V74">
        <f>IF(G74="","",IF(T74="OK","NONE",INDEX({"S1","S2","W1","W2","N1","N2"},MATCH(MAX(K74:P74),K74:P74,0))))</f>
        <v/>
      </c>
      <c r="W74">
        <f>IF(G74="","",IF(V74=E74,1,0))</f>
        <v/>
      </c>
      <c r="X74">
        <f>IF(G74="","",IF(AND(T74="NG",S74&lt;$B$7),"AMBIGUOUS","CONFIDENT"))</f>
        <v/>
      </c>
    </row>
    <row r="75">
      <c r="A75">
        <f>'Runs Z score'!A68</f>
        <v/>
      </c>
      <c r="B75">
        <f>'Runs Z score'!B68</f>
        <v/>
      </c>
      <c r="C75">
        <f>'Runs Z score'!C68</f>
        <v/>
      </c>
      <c r="D75">
        <f>'Runs Z score'!D68</f>
        <v/>
      </c>
      <c r="E75">
        <f>'Runs Z score'!E68</f>
        <v/>
      </c>
      <c r="F75">
        <f>'Runs Z score'!F68</f>
        <v/>
      </c>
      <c r="G75">
        <f>'Runs Z score'!G68</f>
        <v/>
      </c>
      <c r="H75">
        <f>VLOOKUP(C75,Recipes!$A$2:$N$4,10,FALSE())</f>
        <v/>
      </c>
      <c r="I75">
        <f>VLOOKUP(C75,Recipes!$A$2:$N$4,12,FALSE())</f>
        <v/>
      </c>
      <c r="J75">
        <f>IF(G75="","",H75-G75)</f>
        <v/>
      </c>
      <c r="K75">
        <f>IF(G75="","",IF(VLOOKUP(C75,Recipes!$A$2:$N$4,4,FALSE())=0,-1E+300,-0.5*((J75-Components!$D$2)/Components!$E$2)^2))</f>
        <v/>
      </c>
      <c r="L75">
        <f>IF(G75="","",IF(VLOOKUP(C75,Recipes!$A$2:$N$4,5,FALSE())=0,-1E+300,-0.5*((J75-Components!$D$3)/Components!$E$3)^2))</f>
        <v/>
      </c>
      <c r="M75">
        <f>IF(G75="","",IF(VLOOKUP(C75,Recipes!$A$2:$N$4,6,FALSE())=0,-1E+300,-0.5*((J75-Components!$D$4)/Components!$E$4)^2))</f>
        <v/>
      </c>
      <c r="N75">
        <f>IF(G75="","",IF(VLOOKUP(C75,Recipes!$A$2:$N$4,7,FALSE())=0,-1E+300,-0.5*((J75-Components!$D$5)/Components!$E$5)^2))</f>
        <v/>
      </c>
      <c r="O75">
        <f>IF(G75="","",IF(VLOOKUP(C75,Recipes!$A$2:$N$4,8,FALSE())=0,-1E+300,-0.5*((J75-Components!$D$6)/Components!$E$6)^2))</f>
        <v/>
      </c>
      <c r="P75">
        <f>IF(G75="","",IF(VLOOKUP(C75,Recipes!$A$2:$N$4,9,FALSE())=0,-1E+300,-0.5*((J75-Components!$D$7)/Components!$E$7)^2))</f>
        <v/>
      </c>
      <c r="Q75">
        <f>IF(G75="","",EXP(LARGE(K75:P75,1)-MAX(K75:P75))/(EXP(K75-MAX(K75:P75))+EXP(L75-MAX(K75:P75))+EXP(M75-MAX(K75:P75))+EXP(N75-MAX(K75:P75))+EXP(O75-MAX(K75:P75))+EXP(P75-MAX(K75:P75))))</f>
        <v/>
      </c>
      <c r="R75">
        <f>IF(G75="","",EXP(LARGE(K75:P75,2)-MAX(K75:P75))/(EXP(K75-MAX(K75:P75))+EXP(L75-MAX(K75:P75))+EXP(M75-MAX(K75:P75))+EXP(N75-MAX(K75:P75))+EXP(O75-MAX(K75:P75))+EXP(P75-MAX(K75:P75))))</f>
        <v/>
      </c>
      <c r="S75">
        <f>IF(G75="","",Q75-R75)</f>
        <v/>
      </c>
      <c r="T75">
        <f>IF(G75="","",IF(ABS(G75-H75)&lt;=$B$6*I75,"OK","NG"))</f>
        <v/>
      </c>
      <c r="U75">
        <f>IF(T75="","",IF(T75=D75,1,0))</f>
        <v/>
      </c>
      <c r="V75">
        <f>IF(G75="","",IF(T75="OK","NONE",INDEX({"S1","S2","W1","W2","N1","N2"},MATCH(MAX(K75:P75),K75:P75,0))))</f>
        <v/>
      </c>
      <c r="W75">
        <f>IF(G75="","",IF(V75=E75,1,0))</f>
        <v/>
      </c>
      <c r="X75">
        <f>IF(G75="","",IF(AND(T75="NG",S75&lt;$B$7),"AMBIGUOUS","CONFIDENT"))</f>
        <v/>
      </c>
    </row>
    <row r="76">
      <c r="A76">
        <f>'Runs Z score'!A69</f>
        <v/>
      </c>
      <c r="B76">
        <f>'Runs Z score'!B69</f>
        <v/>
      </c>
      <c r="C76">
        <f>'Runs Z score'!C69</f>
        <v/>
      </c>
      <c r="D76">
        <f>'Runs Z score'!D69</f>
        <v/>
      </c>
      <c r="E76">
        <f>'Runs Z score'!E69</f>
        <v/>
      </c>
      <c r="F76">
        <f>'Runs Z score'!F69</f>
        <v/>
      </c>
      <c r="G76">
        <f>'Runs Z score'!G69</f>
        <v/>
      </c>
      <c r="H76">
        <f>VLOOKUP(C76,Recipes!$A$2:$N$4,10,FALSE())</f>
        <v/>
      </c>
      <c r="I76">
        <f>VLOOKUP(C76,Recipes!$A$2:$N$4,12,FALSE())</f>
        <v/>
      </c>
      <c r="J76">
        <f>IF(G76="","",H76-G76)</f>
        <v/>
      </c>
      <c r="K76">
        <f>IF(G76="","",IF(VLOOKUP(C76,Recipes!$A$2:$N$4,4,FALSE())=0,-1E+300,-0.5*((J76-Components!$D$2)/Components!$E$2)^2))</f>
        <v/>
      </c>
      <c r="L76">
        <f>IF(G76="","",IF(VLOOKUP(C76,Recipes!$A$2:$N$4,5,FALSE())=0,-1E+300,-0.5*((J76-Components!$D$3)/Components!$E$3)^2))</f>
        <v/>
      </c>
      <c r="M76">
        <f>IF(G76="","",IF(VLOOKUP(C76,Recipes!$A$2:$N$4,6,FALSE())=0,-1E+300,-0.5*((J76-Components!$D$4)/Components!$E$4)^2))</f>
        <v/>
      </c>
      <c r="N76">
        <f>IF(G76="","",IF(VLOOKUP(C76,Recipes!$A$2:$N$4,7,FALSE())=0,-1E+300,-0.5*((J76-Components!$D$5)/Components!$E$5)^2))</f>
        <v/>
      </c>
      <c r="O76">
        <f>IF(G76="","",IF(VLOOKUP(C76,Recipes!$A$2:$N$4,8,FALSE())=0,-1E+300,-0.5*((J76-Components!$D$6)/Components!$E$6)^2))</f>
        <v/>
      </c>
      <c r="P76">
        <f>IF(G76="","",IF(VLOOKUP(C76,Recipes!$A$2:$N$4,9,FALSE())=0,-1E+300,-0.5*((J76-Components!$D$7)/Components!$E$7)^2))</f>
        <v/>
      </c>
      <c r="Q76">
        <f>IF(G76="","",EXP(LARGE(K76:P76,1)-MAX(K76:P76))/(EXP(K76-MAX(K76:P76))+EXP(L76-MAX(K76:P76))+EXP(M76-MAX(K76:P76))+EXP(N76-MAX(K76:P76))+EXP(O76-MAX(K76:P76))+EXP(P76-MAX(K76:P76))))</f>
        <v/>
      </c>
      <c r="R76">
        <f>IF(G76="","",EXP(LARGE(K76:P76,2)-MAX(K76:P76))/(EXP(K76-MAX(K76:P76))+EXP(L76-MAX(K76:P76))+EXP(M76-MAX(K76:P76))+EXP(N76-MAX(K76:P76))+EXP(O76-MAX(K76:P76))+EXP(P76-MAX(K76:P76))))</f>
        <v/>
      </c>
      <c r="S76">
        <f>IF(G76="","",Q76-R76)</f>
        <v/>
      </c>
      <c r="T76">
        <f>IF(G76="","",IF(ABS(G76-H76)&lt;=$B$6*I76,"OK","NG"))</f>
        <v/>
      </c>
      <c r="U76">
        <f>IF(T76="","",IF(T76=D76,1,0))</f>
        <v/>
      </c>
      <c r="V76">
        <f>IF(G76="","",IF(T76="OK","NONE",INDEX({"S1","S2","W1","W2","N1","N2"},MATCH(MAX(K76:P76),K76:P76,0))))</f>
        <v/>
      </c>
      <c r="W76">
        <f>IF(G76="","",IF(V76=E76,1,0))</f>
        <v/>
      </c>
      <c r="X76">
        <f>IF(G76="","",IF(AND(T76="NG",S76&lt;$B$7),"AMBIGUOUS","CONFIDENT"))</f>
        <v/>
      </c>
    </row>
    <row r="77">
      <c r="A77">
        <f>'Runs Z score'!A70</f>
        <v/>
      </c>
      <c r="B77">
        <f>'Runs Z score'!B70</f>
        <v/>
      </c>
      <c r="C77">
        <f>'Runs Z score'!C70</f>
        <v/>
      </c>
      <c r="D77">
        <f>'Runs Z score'!D70</f>
        <v/>
      </c>
      <c r="E77">
        <f>'Runs Z score'!E70</f>
        <v/>
      </c>
      <c r="F77">
        <f>'Runs Z score'!F70</f>
        <v/>
      </c>
      <c r="G77">
        <f>'Runs Z score'!G70</f>
        <v/>
      </c>
      <c r="H77">
        <f>VLOOKUP(C77,Recipes!$A$2:$N$4,10,FALSE())</f>
        <v/>
      </c>
      <c r="I77">
        <f>VLOOKUP(C77,Recipes!$A$2:$N$4,12,FALSE())</f>
        <v/>
      </c>
      <c r="J77">
        <f>IF(G77="","",H77-G77)</f>
        <v/>
      </c>
      <c r="K77">
        <f>IF(G77="","",IF(VLOOKUP(C77,Recipes!$A$2:$N$4,4,FALSE())=0,-1E+300,-0.5*((J77-Components!$D$2)/Components!$E$2)^2))</f>
        <v/>
      </c>
      <c r="L77">
        <f>IF(G77="","",IF(VLOOKUP(C77,Recipes!$A$2:$N$4,5,FALSE())=0,-1E+300,-0.5*((J77-Components!$D$3)/Components!$E$3)^2))</f>
        <v/>
      </c>
      <c r="M77">
        <f>IF(G77="","",IF(VLOOKUP(C77,Recipes!$A$2:$N$4,6,FALSE())=0,-1E+300,-0.5*((J77-Components!$D$4)/Components!$E$4)^2))</f>
        <v/>
      </c>
      <c r="N77">
        <f>IF(G77="","",IF(VLOOKUP(C77,Recipes!$A$2:$N$4,7,FALSE())=0,-1E+300,-0.5*((J77-Components!$D$5)/Components!$E$5)^2))</f>
        <v/>
      </c>
      <c r="O77">
        <f>IF(G77="","",IF(VLOOKUP(C77,Recipes!$A$2:$N$4,8,FALSE())=0,-1E+300,-0.5*((J77-Components!$D$6)/Components!$E$6)^2))</f>
        <v/>
      </c>
      <c r="P77">
        <f>IF(G77="","",IF(VLOOKUP(C77,Recipes!$A$2:$N$4,9,FALSE())=0,-1E+300,-0.5*((J77-Components!$D$7)/Components!$E$7)^2))</f>
        <v/>
      </c>
      <c r="Q77">
        <f>IF(G77="","",EXP(LARGE(K77:P77,1)-MAX(K77:P77))/(EXP(K77-MAX(K77:P77))+EXP(L77-MAX(K77:P77))+EXP(M77-MAX(K77:P77))+EXP(N77-MAX(K77:P77))+EXP(O77-MAX(K77:P77))+EXP(P77-MAX(K77:P77))))</f>
        <v/>
      </c>
      <c r="R77">
        <f>IF(G77="","",EXP(LARGE(K77:P77,2)-MAX(K77:P77))/(EXP(K77-MAX(K77:P77))+EXP(L77-MAX(K77:P77))+EXP(M77-MAX(K77:P77))+EXP(N77-MAX(K77:P77))+EXP(O77-MAX(K77:P77))+EXP(P77-MAX(K77:P77))))</f>
        <v/>
      </c>
      <c r="S77">
        <f>IF(G77="","",Q77-R77)</f>
        <v/>
      </c>
      <c r="T77">
        <f>IF(G77="","",IF(ABS(G77-H77)&lt;=$B$6*I77,"OK","NG"))</f>
        <v/>
      </c>
      <c r="U77">
        <f>IF(T77="","",IF(T77=D77,1,0))</f>
        <v/>
      </c>
      <c r="V77">
        <f>IF(G77="","",IF(T77="OK","NONE",INDEX({"S1","S2","W1","W2","N1","N2"},MATCH(MAX(K77:P77),K77:P77,0))))</f>
        <v/>
      </c>
      <c r="W77">
        <f>IF(G77="","",IF(V77=E77,1,0))</f>
        <v/>
      </c>
      <c r="X77">
        <f>IF(G77="","",IF(AND(T77="NG",S77&lt;$B$7),"AMBIGUOUS","CONFIDENT"))</f>
        <v/>
      </c>
    </row>
    <row r="78">
      <c r="A78">
        <f>'Runs Z score'!A71</f>
        <v/>
      </c>
      <c r="B78">
        <f>'Runs Z score'!B71</f>
        <v/>
      </c>
      <c r="C78">
        <f>'Runs Z score'!C71</f>
        <v/>
      </c>
      <c r="D78">
        <f>'Runs Z score'!D71</f>
        <v/>
      </c>
      <c r="E78">
        <f>'Runs Z score'!E71</f>
        <v/>
      </c>
      <c r="F78">
        <f>'Runs Z score'!F71</f>
        <v/>
      </c>
      <c r="G78">
        <f>'Runs Z score'!G71</f>
        <v/>
      </c>
      <c r="H78">
        <f>VLOOKUP(C78,Recipes!$A$2:$N$4,10,FALSE())</f>
        <v/>
      </c>
      <c r="I78">
        <f>VLOOKUP(C78,Recipes!$A$2:$N$4,12,FALSE())</f>
        <v/>
      </c>
      <c r="J78">
        <f>IF(G78="","",H78-G78)</f>
        <v/>
      </c>
      <c r="K78">
        <f>IF(G78="","",IF(VLOOKUP(C78,Recipes!$A$2:$N$4,4,FALSE())=0,-1E+300,-0.5*((J78-Components!$D$2)/Components!$E$2)^2))</f>
        <v/>
      </c>
      <c r="L78">
        <f>IF(G78="","",IF(VLOOKUP(C78,Recipes!$A$2:$N$4,5,FALSE())=0,-1E+300,-0.5*((J78-Components!$D$3)/Components!$E$3)^2))</f>
        <v/>
      </c>
      <c r="M78">
        <f>IF(G78="","",IF(VLOOKUP(C78,Recipes!$A$2:$N$4,6,FALSE())=0,-1E+300,-0.5*((J78-Components!$D$4)/Components!$E$4)^2))</f>
        <v/>
      </c>
      <c r="N78">
        <f>IF(G78="","",IF(VLOOKUP(C78,Recipes!$A$2:$N$4,7,FALSE())=0,-1E+300,-0.5*((J78-Components!$D$5)/Components!$E$5)^2))</f>
        <v/>
      </c>
      <c r="O78">
        <f>IF(G78="","",IF(VLOOKUP(C78,Recipes!$A$2:$N$4,8,FALSE())=0,-1E+300,-0.5*((J78-Components!$D$6)/Components!$E$6)^2))</f>
        <v/>
      </c>
      <c r="P78">
        <f>IF(G78="","",IF(VLOOKUP(C78,Recipes!$A$2:$N$4,9,FALSE())=0,-1E+300,-0.5*((J78-Components!$D$7)/Components!$E$7)^2))</f>
        <v/>
      </c>
      <c r="Q78">
        <f>IF(G78="","",EXP(LARGE(K78:P78,1)-MAX(K78:P78))/(EXP(K78-MAX(K78:P78))+EXP(L78-MAX(K78:P78))+EXP(M78-MAX(K78:P78))+EXP(N78-MAX(K78:P78))+EXP(O78-MAX(K78:P78))+EXP(P78-MAX(K78:P78))))</f>
        <v/>
      </c>
      <c r="R78">
        <f>IF(G78="","",EXP(LARGE(K78:P78,2)-MAX(K78:P78))/(EXP(K78-MAX(K78:P78))+EXP(L78-MAX(K78:P78))+EXP(M78-MAX(K78:P78))+EXP(N78-MAX(K78:P78))+EXP(O78-MAX(K78:P78))+EXP(P78-MAX(K78:P78))))</f>
        <v/>
      </c>
      <c r="S78">
        <f>IF(G78="","",Q78-R78)</f>
        <v/>
      </c>
      <c r="T78">
        <f>IF(G78="","",IF(ABS(G78-H78)&lt;=$B$6*I78,"OK","NG"))</f>
        <v/>
      </c>
      <c r="U78">
        <f>IF(T78="","",IF(T78=D78,1,0))</f>
        <v/>
      </c>
      <c r="V78">
        <f>IF(G78="","",IF(T78="OK","NONE",INDEX({"S1","S2","W1","W2","N1","N2"},MATCH(MAX(K78:P78),K78:P78,0))))</f>
        <v/>
      </c>
      <c r="W78">
        <f>IF(G78="","",IF(V78=E78,1,0))</f>
        <v/>
      </c>
      <c r="X78">
        <f>IF(G78="","",IF(AND(T78="NG",S78&lt;$B$7),"AMBIGUOUS","CONFIDENT"))</f>
        <v/>
      </c>
    </row>
    <row r="79">
      <c r="A79">
        <f>'Runs Z score'!A72</f>
        <v/>
      </c>
      <c r="B79">
        <f>'Runs Z score'!B72</f>
        <v/>
      </c>
      <c r="C79">
        <f>'Runs Z score'!C72</f>
        <v/>
      </c>
      <c r="D79">
        <f>'Runs Z score'!D72</f>
        <v/>
      </c>
      <c r="E79">
        <f>'Runs Z score'!E72</f>
        <v/>
      </c>
      <c r="F79">
        <f>'Runs Z score'!F72</f>
        <v/>
      </c>
      <c r="G79">
        <f>'Runs Z score'!G72</f>
        <v/>
      </c>
      <c r="H79">
        <f>VLOOKUP(C79,Recipes!$A$2:$N$4,10,FALSE())</f>
        <v/>
      </c>
      <c r="I79">
        <f>VLOOKUP(C79,Recipes!$A$2:$N$4,12,FALSE())</f>
        <v/>
      </c>
      <c r="J79">
        <f>IF(G79="","",H79-G79)</f>
        <v/>
      </c>
      <c r="K79">
        <f>IF(G79="","",IF(VLOOKUP(C79,Recipes!$A$2:$N$4,4,FALSE())=0,-1E+300,-0.5*((J79-Components!$D$2)/Components!$E$2)^2))</f>
        <v/>
      </c>
      <c r="L79">
        <f>IF(G79="","",IF(VLOOKUP(C79,Recipes!$A$2:$N$4,5,FALSE())=0,-1E+300,-0.5*((J79-Components!$D$3)/Components!$E$3)^2))</f>
        <v/>
      </c>
      <c r="M79">
        <f>IF(G79="","",IF(VLOOKUP(C79,Recipes!$A$2:$N$4,6,FALSE())=0,-1E+300,-0.5*((J79-Components!$D$4)/Components!$E$4)^2))</f>
        <v/>
      </c>
      <c r="N79">
        <f>IF(G79="","",IF(VLOOKUP(C79,Recipes!$A$2:$N$4,7,FALSE())=0,-1E+300,-0.5*((J79-Components!$D$5)/Components!$E$5)^2))</f>
        <v/>
      </c>
      <c r="O79">
        <f>IF(G79="","",IF(VLOOKUP(C79,Recipes!$A$2:$N$4,8,FALSE())=0,-1E+300,-0.5*((J79-Components!$D$6)/Components!$E$6)^2))</f>
        <v/>
      </c>
      <c r="P79">
        <f>IF(G79="","",IF(VLOOKUP(C79,Recipes!$A$2:$N$4,9,FALSE())=0,-1E+300,-0.5*((J79-Components!$D$7)/Components!$E$7)^2))</f>
        <v/>
      </c>
      <c r="Q79">
        <f>IF(G79="","",EXP(LARGE(K79:P79,1)-MAX(K79:P79))/(EXP(K79-MAX(K79:P79))+EXP(L79-MAX(K79:P79))+EXP(M79-MAX(K79:P79))+EXP(N79-MAX(K79:P79))+EXP(O79-MAX(K79:P79))+EXP(P79-MAX(K79:P79))))</f>
        <v/>
      </c>
      <c r="R79">
        <f>IF(G79="","",EXP(LARGE(K79:P79,2)-MAX(K79:P79))/(EXP(K79-MAX(K79:P79))+EXP(L79-MAX(K79:P79))+EXP(M79-MAX(K79:P79))+EXP(N79-MAX(K79:P79))+EXP(O79-MAX(K79:P79))+EXP(P79-MAX(K79:P79))))</f>
        <v/>
      </c>
      <c r="S79">
        <f>IF(G79="","",Q79-R79)</f>
        <v/>
      </c>
      <c r="T79">
        <f>IF(G79="","",IF(ABS(G79-H79)&lt;=$B$6*I79,"OK","NG"))</f>
        <v/>
      </c>
      <c r="U79">
        <f>IF(T79="","",IF(T79=D79,1,0))</f>
        <v/>
      </c>
      <c r="V79">
        <f>IF(G79="","",IF(T79="OK","NONE",INDEX({"S1","S2","W1","W2","N1","N2"},MATCH(MAX(K79:P79),K79:P79,0))))</f>
        <v/>
      </c>
      <c r="W79">
        <f>IF(G79="","",IF(V79=E79,1,0))</f>
        <v/>
      </c>
      <c r="X79">
        <f>IF(G79="","",IF(AND(T79="NG",S79&lt;$B$7),"AMBIGUOUS","CONFIDENT"))</f>
        <v/>
      </c>
    </row>
    <row r="80">
      <c r="A80">
        <f>'Runs Z score'!A73</f>
        <v/>
      </c>
      <c r="B80">
        <f>'Runs Z score'!B73</f>
        <v/>
      </c>
      <c r="C80">
        <f>'Runs Z score'!C73</f>
        <v/>
      </c>
      <c r="D80">
        <f>'Runs Z score'!D73</f>
        <v/>
      </c>
      <c r="E80">
        <f>'Runs Z score'!E73</f>
        <v/>
      </c>
      <c r="F80">
        <f>'Runs Z score'!F73</f>
        <v/>
      </c>
      <c r="G80">
        <f>'Runs Z score'!G73</f>
        <v/>
      </c>
      <c r="H80">
        <f>VLOOKUP(C80,Recipes!$A$2:$N$4,10,FALSE())</f>
        <v/>
      </c>
      <c r="I80">
        <f>VLOOKUP(C80,Recipes!$A$2:$N$4,12,FALSE())</f>
        <v/>
      </c>
      <c r="J80">
        <f>IF(G80="","",H80-G80)</f>
        <v/>
      </c>
      <c r="K80">
        <f>IF(G80="","",IF(VLOOKUP(C80,Recipes!$A$2:$N$4,4,FALSE())=0,-1E+300,-0.5*((J80-Components!$D$2)/Components!$E$2)^2))</f>
        <v/>
      </c>
      <c r="L80">
        <f>IF(G80="","",IF(VLOOKUP(C80,Recipes!$A$2:$N$4,5,FALSE())=0,-1E+300,-0.5*((J80-Components!$D$3)/Components!$E$3)^2))</f>
        <v/>
      </c>
      <c r="M80">
        <f>IF(G80="","",IF(VLOOKUP(C80,Recipes!$A$2:$N$4,6,FALSE())=0,-1E+300,-0.5*((J80-Components!$D$4)/Components!$E$4)^2))</f>
        <v/>
      </c>
      <c r="N80">
        <f>IF(G80="","",IF(VLOOKUP(C80,Recipes!$A$2:$N$4,7,FALSE())=0,-1E+300,-0.5*((J80-Components!$D$5)/Components!$E$5)^2))</f>
        <v/>
      </c>
      <c r="O80">
        <f>IF(G80="","",IF(VLOOKUP(C80,Recipes!$A$2:$N$4,8,FALSE())=0,-1E+300,-0.5*((J80-Components!$D$6)/Components!$E$6)^2))</f>
        <v/>
      </c>
      <c r="P80">
        <f>IF(G80="","",IF(VLOOKUP(C80,Recipes!$A$2:$N$4,9,FALSE())=0,-1E+300,-0.5*((J80-Components!$D$7)/Components!$E$7)^2))</f>
        <v/>
      </c>
      <c r="Q80">
        <f>IF(G80="","",EXP(LARGE(K80:P80,1)-MAX(K80:P80))/(EXP(K80-MAX(K80:P80))+EXP(L80-MAX(K80:P80))+EXP(M80-MAX(K80:P80))+EXP(N80-MAX(K80:P80))+EXP(O80-MAX(K80:P80))+EXP(P80-MAX(K80:P80))))</f>
        <v/>
      </c>
      <c r="R80">
        <f>IF(G80="","",EXP(LARGE(K80:P80,2)-MAX(K80:P80))/(EXP(K80-MAX(K80:P80))+EXP(L80-MAX(K80:P80))+EXP(M80-MAX(K80:P80))+EXP(N80-MAX(K80:P80))+EXP(O80-MAX(K80:P80))+EXP(P80-MAX(K80:P80))))</f>
        <v/>
      </c>
      <c r="S80">
        <f>IF(G80="","",Q80-R80)</f>
        <v/>
      </c>
      <c r="T80">
        <f>IF(G80="","",IF(ABS(G80-H80)&lt;=$B$6*I80,"OK","NG"))</f>
        <v/>
      </c>
      <c r="U80">
        <f>IF(T80="","",IF(T80=D80,1,0))</f>
        <v/>
      </c>
      <c r="V80">
        <f>IF(G80="","",IF(T80="OK","NONE",INDEX({"S1","S2","W1","W2","N1","N2"},MATCH(MAX(K80:P80),K80:P80,0))))</f>
        <v/>
      </c>
      <c r="W80">
        <f>IF(G80="","",IF(V80=E80,1,0))</f>
        <v/>
      </c>
      <c r="X80">
        <f>IF(G80="","",IF(AND(T80="NG",S80&lt;$B$7),"AMBIGUOUS","CONFIDENT"))</f>
        <v/>
      </c>
    </row>
    <row r="81">
      <c r="A81">
        <f>'Runs Z score'!A74</f>
        <v/>
      </c>
      <c r="B81">
        <f>'Runs Z score'!B74</f>
        <v/>
      </c>
      <c r="C81">
        <f>'Runs Z score'!C74</f>
        <v/>
      </c>
      <c r="D81">
        <f>'Runs Z score'!D74</f>
        <v/>
      </c>
      <c r="E81">
        <f>'Runs Z score'!E74</f>
        <v/>
      </c>
      <c r="F81">
        <f>'Runs Z score'!F74</f>
        <v/>
      </c>
      <c r="G81">
        <f>'Runs Z score'!G74</f>
        <v/>
      </c>
      <c r="H81">
        <f>VLOOKUP(C81,Recipes!$A$2:$N$4,10,FALSE())</f>
        <v/>
      </c>
      <c r="I81">
        <f>VLOOKUP(C81,Recipes!$A$2:$N$4,12,FALSE())</f>
        <v/>
      </c>
      <c r="J81">
        <f>IF(G81="","",H81-G81)</f>
        <v/>
      </c>
      <c r="K81">
        <f>IF(G81="","",IF(VLOOKUP(C81,Recipes!$A$2:$N$4,4,FALSE())=0,-1E+300,-0.5*((J81-Components!$D$2)/Components!$E$2)^2))</f>
        <v/>
      </c>
      <c r="L81">
        <f>IF(G81="","",IF(VLOOKUP(C81,Recipes!$A$2:$N$4,5,FALSE())=0,-1E+300,-0.5*((J81-Components!$D$3)/Components!$E$3)^2))</f>
        <v/>
      </c>
      <c r="M81">
        <f>IF(G81="","",IF(VLOOKUP(C81,Recipes!$A$2:$N$4,6,FALSE())=0,-1E+300,-0.5*((J81-Components!$D$4)/Components!$E$4)^2))</f>
        <v/>
      </c>
      <c r="N81">
        <f>IF(G81="","",IF(VLOOKUP(C81,Recipes!$A$2:$N$4,7,FALSE())=0,-1E+300,-0.5*((J81-Components!$D$5)/Components!$E$5)^2))</f>
        <v/>
      </c>
      <c r="O81">
        <f>IF(G81="","",IF(VLOOKUP(C81,Recipes!$A$2:$N$4,8,FALSE())=0,-1E+300,-0.5*((J81-Components!$D$6)/Components!$E$6)^2))</f>
        <v/>
      </c>
      <c r="P81">
        <f>IF(G81="","",IF(VLOOKUP(C81,Recipes!$A$2:$N$4,9,FALSE())=0,-1E+300,-0.5*((J81-Components!$D$7)/Components!$E$7)^2))</f>
        <v/>
      </c>
      <c r="Q81">
        <f>IF(G81="","",EXP(LARGE(K81:P81,1)-MAX(K81:P81))/(EXP(K81-MAX(K81:P81))+EXP(L81-MAX(K81:P81))+EXP(M81-MAX(K81:P81))+EXP(N81-MAX(K81:P81))+EXP(O81-MAX(K81:P81))+EXP(P81-MAX(K81:P81))))</f>
        <v/>
      </c>
      <c r="R81">
        <f>IF(G81="","",EXP(LARGE(K81:P81,2)-MAX(K81:P81))/(EXP(K81-MAX(K81:P81))+EXP(L81-MAX(K81:P81))+EXP(M81-MAX(K81:P81))+EXP(N81-MAX(K81:P81))+EXP(O81-MAX(K81:P81))+EXP(P81-MAX(K81:P81))))</f>
        <v/>
      </c>
      <c r="S81">
        <f>IF(G81="","",Q81-R81)</f>
        <v/>
      </c>
      <c r="T81">
        <f>IF(G81="","",IF(ABS(G81-H81)&lt;=$B$6*I81,"OK","NG"))</f>
        <v/>
      </c>
      <c r="U81">
        <f>IF(T81="","",IF(T81=D81,1,0))</f>
        <v/>
      </c>
      <c r="V81">
        <f>IF(G81="","",IF(T81="OK","NONE",INDEX({"S1","S2","W1","W2","N1","N2"},MATCH(MAX(K81:P81),K81:P81,0))))</f>
        <v/>
      </c>
      <c r="W81">
        <f>IF(G81="","",IF(V81=E81,1,0))</f>
        <v/>
      </c>
      <c r="X81">
        <f>IF(G81="","",IF(AND(T81="NG",S81&lt;$B$7),"AMBIGUOUS","CONFIDENT"))</f>
        <v/>
      </c>
    </row>
    <row r="82">
      <c r="A82">
        <f>'Runs Z score'!A75</f>
        <v/>
      </c>
      <c r="B82">
        <f>'Runs Z score'!B75</f>
        <v/>
      </c>
      <c r="C82">
        <f>'Runs Z score'!C75</f>
        <v/>
      </c>
      <c r="D82">
        <f>'Runs Z score'!D75</f>
        <v/>
      </c>
      <c r="E82">
        <f>'Runs Z score'!E75</f>
        <v/>
      </c>
      <c r="F82">
        <f>'Runs Z score'!F75</f>
        <v/>
      </c>
      <c r="G82">
        <f>'Runs Z score'!G75</f>
        <v/>
      </c>
      <c r="H82">
        <f>VLOOKUP(C82,Recipes!$A$2:$N$4,10,FALSE())</f>
        <v/>
      </c>
      <c r="I82">
        <f>VLOOKUP(C82,Recipes!$A$2:$N$4,12,FALSE())</f>
        <v/>
      </c>
      <c r="J82">
        <f>IF(G82="","",H82-G82)</f>
        <v/>
      </c>
      <c r="K82">
        <f>IF(G82="","",IF(VLOOKUP(C82,Recipes!$A$2:$N$4,4,FALSE())=0,-1E+300,-0.5*((J82-Components!$D$2)/Components!$E$2)^2))</f>
        <v/>
      </c>
      <c r="L82">
        <f>IF(G82="","",IF(VLOOKUP(C82,Recipes!$A$2:$N$4,5,FALSE())=0,-1E+300,-0.5*((J82-Components!$D$3)/Components!$E$3)^2))</f>
        <v/>
      </c>
      <c r="M82">
        <f>IF(G82="","",IF(VLOOKUP(C82,Recipes!$A$2:$N$4,6,FALSE())=0,-1E+300,-0.5*((J82-Components!$D$4)/Components!$E$4)^2))</f>
        <v/>
      </c>
      <c r="N82">
        <f>IF(G82="","",IF(VLOOKUP(C82,Recipes!$A$2:$N$4,7,FALSE())=0,-1E+300,-0.5*((J82-Components!$D$5)/Components!$E$5)^2))</f>
        <v/>
      </c>
      <c r="O82">
        <f>IF(G82="","",IF(VLOOKUP(C82,Recipes!$A$2:$N$4,8,FALSE())=0,-1E+300,-0.5*((J82-Components!$D$6)/Components!$E$6)^2))</f>
        <v/>
      </c>
      <c r="P82">
        <f>IF(G82="","",IF(VLOOKUP(C82,Recipes!$A$2:$N$4,9,FALSE())=0,-1E+300,-0.5*((J82-Components!$D$7)/Components!$E$7)^2))</f>
        <v/>
      </c>
      <c r="Q82">
        <f>IF(G82="","",EXP(LARGE(K82:P82,1)-MAX(K82:P82))/(EXP(K82-MAX(K82:P82))+EXP(L82-MAX(K82:P82))+EXP(M82-MAX(K82:P82))+EXP(N82-MAX(K82:P82))+EXP(O82-MAX(K82:P82))+EXP(P82-MAX(K82:P82))))</f>
        <v/>
      </c>
      <c r="R82">
        <f>IF(G82="","",EXP(LARGE(K82:P82,2)-MAX(K82:P82))/(EXP(K82-MAX(K82:P82))+EXP(L82-MAX(K82:P82))+EXP(M82-MAX(K82:P82))+EXP(N82-MAX(K82:P82))+EXP(O82-MAX(K82:P82))+EXP(P82-MAX(K82:P82))))</f>
        <v/>
      </c>
      <c r="S82">
        <f>IF(G82="","",Q82-R82)</f>
        <v/>
      </c>
      <c r="T82">
        <f>IF(G82="","",IF(ABS(G82-H82)&lt;=$B$6*I82,"OK","NG"))</f>
        <v/>
      </c>
      <c r="U82">
        <f>IF(T82="","",IF(T82=D82,1,0))</f>
        <v/>
      </c>
      <c r="V82">
        <f>IF(G82="","",IF(T82="OK","NONE",INDEX({"S1","S2","W1","W2","N1","N2"},MATCH(MAX(K82:P82),K82:P82,0))))</f>
        <v/>
      </c>
      <c r="W82">
        <f>IF(G82="","",IF(V82=E82,1,0))</f>
        <v/>
      </c>
      <c r="X82">
        <f>IF(G82="","",IF(AND(T82="NG",S82&lt;$B$7),"AMBIGUOUS","CONFIDENT"))</f>
        <v/>
      </c>
    </row>
    <row r="83">
      <c r="A83">
        <f>'Runs Z score'!A76</f>
        <v/>
      </c>
      <c r="B83">
        <f>'Runs Z score'!B76</f>
        <v/>
      </c>
      <c r="C83">
        <f>'Runs Z score'!C76</f>
        <v/>
      </c>
      <c r="D83">
        <f>'Runs Z score'!D76</f>
        <v/>
      </c>
      <c r="E83">
        <f>'Runs Z score'!E76</f>
        <v/>
      </c>
      <c r="F83">
        <f>'Runs Z score'!F76</f>
        <v/>
      </c>
      <c r="G83">
        <f>'Runs Z score'!G76</f>
        <v/>
      </c>
      <c r="H83">
        <f>VLOOKUP(C83,Recipes!$A$2:$N$4,10,FALSE())</f>
        <v/>
      </c>
      <c r="I83">
        <f>VLOOKUP(C83,Recipes!$A$2:$N$4,12,FALSE())</f>
        <v/>
      </c>
      <c r="J83">
        <f>IF(G83="","",H83-G83)</f>
        <v/>
      </c>
      <c r="K83">
        <f>IF(G83="","",IF(VLOOKUP(C83,Recipes!$A$2:$N$4,4,FALSE())=0,-1E+300,-0.5*((J83-Components!$D$2)/Components!$E$2)^2))</f>
        <v/>
      </c>
      <c r="L83">
        <f>IF(G83="","",IF(VLOOKUP(C83,Recipes!$A$2:$N$4,5,FALSE())=0,-1E+300,-0.5*((J83-Components!$D$3)/Components!$E$3)^2))</f>
        <v/>
      </c>
      <c r="M83">
        <f>IF(G83="","",IF(VLOOKUP(C83,Recipes!$A$2:$N$4,6,FALSE())=0,-1E+300,-0.5*((J83-Components!$D$4)/Components!$E$4)^2))</f>
        <v/>
      </c>
      <c r="N83">
        <f>IF(G83="","",IF(VLOOKUP(C83,Recipes!$A$2:$N$4,7,FALSE())=0,-1E+300,-0.5*((J83-Components!$D$5)/Components!$E$5)^2))</f>
        <v/>
      </c>
      <c r="O83">
        <f>IF(G83="","",IF(VLOOKUP(C83,Recipes!$A$2:$N$4,8,FALSE())=0,-1E+300,-0.5*((J83-Components!$D$6)/Components!$E$6)^2))</f>
        <v/>
      </c>
      <c r="P83">
        <f>IF(G83="","",IF(VLOOKUP(C83,Recipes!$A$2:$N$4,9,FALSE())=0,-1E+300,-0.5*((J83-Components!$D$7)/Components!$E$7)^2))</f>
        <v/>
      </c>
      <c r="Q83">
        <f>IF(G83="","",EXP(LARGE(K83:P83,1)-MAX(K83:P83))/(EXP(K83-MAX(K83:P83))+EXP(L83-MAX(K83:P83))+EXP(M83-MAX(K83:P83))+EXP(N83-MAX(K83:P83))+EXP(O83-MAX(K83:P83))+EXP(P83-MAX(K83:P83))))</f>
        <v/>
      </c>
      <c r="R83">
        <f>IF(G83="","",EXP(LARGE(K83:P83,2)-MAX(K83:P83))/(EXP(K83-MAX(K83:P83))+EXP(L83-MAX(K83:P83))+EXP(M83-MAX(K83:P83))+EXP(N83-MAX(K83:P83))+EXP(O83-MAX(K83:P83))+EXP(P83-MAX(K83:P83))))</f>
        <v/>
      </c>
      <c r="S83">
        <f>IF(G83="","",Q83-R83)</f>
        <v/>
      </c>
      <c r="T83">
        <f>IF(G83="","",IF(ABS(G83-H83)&lt;=$B$6*I83,"OK","NG"))</f>
        <v/>
      </c>
      <c r="U83">
        <f>IF(T83="","",IF(T83=D83,1,0))</f>
        <v/>
      </c>
      <c r="V83">
        <f>IF(G83="","",IF(T83="OK","NONE",INDEX({"S1","S2","W1","W2","N1","N2"},MATCH(MAX(K83:P83),K83:P83,0))))</f>
        <v/>
      </c>
      <c r="W83">
        <f>IF(G83="","",IF(V83=E83,1,0))</f>
        <v/>
      </c>
      <c r="X83">
        <f>IF(G83="","",IF(AND(T83="NG",S83&lt;$B$7),"AMBIGUOUS","CONFIDENT"))</f>
        <v/>
      </c>
    </row>
    <row r="84">
      <c r="A84">
        <f>'Runs Z score'!A77</f>
        <v/>
      </c>
      <c r="B84">
        <f>'Runs Z score'!B77</f>
        <v/>
      </c>
      <c r="C84">
        <f>'Runs Z score'!C77</f>
        <v/>
      </c>
      <c r="D84">
        <f>'Runs Z score'!D77</f>
        <v/>
      </c>
      <c r="E84">
        <f>'Runs Z score'!E77</f>
        <v/>
      </c>
      <c r="F84">
        <f>'Runs Z score'!F77</f>
        <v/>
      </c>
      <c r="G84">
        <f>'Runs Z score'!G77</f>
        <v/>
      </c>
      <c r="H84">
        <f>VLOOKUP(C84,Recipes!$A$2:$N$4,10,FALSE())</f>
        <v/>
      </c>
      <c r="I84">
        <f>VLOOKUP(C84,Recipes!$A$2:$N$4,12,FALSE())</f>
        <v/>
      </c>
      <c r="J84">
        <f>IF(G84="","",H84-G84)</f>
        <v/>
      </c>
      <c r="K84">
        <f>IF(G84="","",IF(VLOOKUP(C84,Recipes!$A$2:$N$4,4,FALSE())=0,-1E+300,-0.5*((J84-Components!$D$2)/Components!$E$2)^2))</f>
        <v/>
      </c>
      <c r="L84">
        <f>IF(G84="","",IF(VLOOKUP(C84,Recipes!$A$2:$N$4,5,FALSE())=0,-1E+300,-0.5*((J84-Components!$D$3)/Components!$E$3)^2))</f>
        <v/>
      </c>
      <c r="M84">
        <f>IF(G84="","",IF(VLOOKUP(C84,Recipes!$A$2:$N$4,6,FALSE())=0,-1E+300,-0.5*((J84-Components!$D$4)/Components!$E$4)^2))</f>
        <v/>
      </c>
      <c r="N84">
        <f>IF(G84="","",IF(VLOOKUP(C84,Recipes!$A$2:$N$4,7,FALSE())=0,-1E+300,-0.5*((J84-Components!$D$5)/Components!$E$5)^2))</f>
        <v/>
      </c>
      <c r="O84">
        <f>IF(G84="","",IF(VLOOKUP(C84,Recipes!$A$2:$N$4,8,FALSE())=0,-1E+300,-0.5*((J84-Components!$D$6)/Components!$E$6)^2))</f>
        <v/>
      </c>
      <c r="P84">
        <f>IF(G84="","",IF(VLOOKUP(C84,Recipes!$A$2:$N$4,9,FALSE())=0,-1E+300,-0.5*((J84-Components!$D$7)/Components!$E$7)^2))</f>
        <v/>
      </c>
      <c r="Q84">
        <f>IF(G84="","",EXP(LARGE(K84:P84,1)-MAX(K84:P84))/(EXP(K84-MAX(K84:P84))+EXP(L84-MAX(K84:P84))+EXP(M84-MAX(K84:P84))+EXP(N84-MAX(K84:P84))+EXP(O84-MAX(K84:P84))+EXP(P84-MAX(K84:P84))))</f>
        <v/>
      </c>
      <c r="R84">
        <f>IF(G84="","",EXP(LARGE(K84:P84,2)-MAX(K84:P84))/(EXP(K84-MAX(K84:P84))+EXP(L84-MAX(K84:P84))+EXP(M84-MAX(K84:P84))+EXP(N84-MAX(K84:P84))+EXP(O84-MAX(K84:P84))+EXP(P84-MAX(K84:P84))))</f>
        <v/>
      </c>
      <c r="S84">
        <f>IF(G84="","",Q84-R84)</f>
        <v/>
      </c>
      <c r="T84">
        <f>IF(G84="","",IF(ABS(G84-H84)&lt;=$B$6*I84,"OK","NG"))</f>
        <v/>
      </c>
      <c r="U84">
        <f>IF(T84="","",IF(T84=D84,1,0))</f>
        <v/>
      </c>
      <c r="V84">
        <f>IF(G84="","",IF(T84="OK","NONE",INDEX({"S1","S2","W1","W2","N1","N2"},MATCH(MAX(K84:P84),K84:P84,0))))</f>
        <v/>
      </c>
      <c r="W84">
        <f>IF(G84="","",IF(V84=E84,1,0))</f>
        <v/>
      </c>
      <c r="X84">
        <f>IF(G84="","",IF(AND(T84="NG",S84&lt;$B$7),"AMBIGUOUS","CONFIDENT"))</f>
        <v/>
      </c>
    </row>
    <row r="85">
      <c r="A85">
        <f>'Runs Z score'!A78</f>
        <v/>
      </c>
      <c r="B85">
        <f>'Runs Z score'!B78</f>
        <v/>
      </c>
      <c r="C85">
        <f>'Runs Z score'!C78</f>
        <v/>
      </c>
      <c r="D85">
        <f>'Runs Z score'!D78</f>
        <v/>
      </c>
      <c r="E85">
        <f>'Runs Z score'!E78</f>
        <v/>
      </c>
      <c r="F85">
        <f>'Runs Z score'!F78</f>
        <v/>
      </c>
      <c r="G85">
        <f>'Runs Z score'!G78</f>
        <v/>
      </c>
      <c r="H85">
        <f>VLOOKUP(C85,Recipes!$A$2:$N$4,10,FALSE())</f>
        <v/>
      </c>
      <c r="I85">
        <f>VLOOKUP(C85,Recipes!$A$2:$N$4,12,FALSE())</f>
        <v/>
      </c>
      <c r="J85">
        <f>IF(G85="","",H85-G85)</f>
        <v/>
      </c>
      <c r="K85">
        <f>IF(G85="","",IF(VLOOKUP(C85,Recipes!$A$2:$N$4,4,FALSE())=0,-1E+300,-0.5*((J85-Components!$D$2)/Components!$E$2)^2))</f>
        <v/>
      </c>
      <c r="L85">
        <f>IF(G85="","",IF(VLOOKUP(C85,Recipes!$A$2:$N$4,5,FALSE())=0,-1E+300,-0.5*((J85-Components!$D$3)/Components!$E$3)^2))</f>
        <v/>
      </c>
      <c r="M85">
        <f>IF(G85="","",IF(VLOOKUP(C85,Recipes!$A$2:$N$4,6,FALSE())=0,-1E+300,-0.5*((J85-Components!$D$4)/Components!$E$4)^2))</f>
        <v/>
      </c>
      <c r="N85">
        <f>IF(G85="","",IF(VLOOKUP(C85,Recipes!$A$2:$N$4,7,FALSE())=0,-1E+300,-0.5*((J85-Components!$D$5)/Components!$E$5)^2))</f>
        <v/>
      </c>
      <c r="O85">
        <f>IF(G85="","",IF(VLOOKUP(C85,Recipes!$A$2:$N$4,8,FALSE())=0,-1E+300,-0.5*((J85-Components!$D$6)/Components!$E$6)^2))</f>
        <v/>
      </c>
      <c r="P85">
        <f>IF(G85="","",IF(VLOOKUP(C85,Recipes!$A$2:$N$4,9,FALSE())=0,-1E+300,-0.5*((J85-Components!$D$7)/Components!$E$7)^2))</f>
        <v/>
      </c>
      <c r="Q85">
        <f>IF(G85="","",EXP(LARGE(K85:P85,1)-MAX(K85:P85))/(EXP(K85-MAX(K85:P85))+EXP(L85-MAX(K85:P85))+EXP(M85-MAX(K85:P85))+EXP(N85-MAX(K85:P85))+EXP(O85-MAX(K85:P85))+EXP(P85-MAX(K85:P85))))</f>
        <v/>
      </c>
      <c r="R85">
        <f>IF(G85="","",EXP(LARGE(K85:P85,2)-MAX(K85:P85))/(EXP(K85-MAX(K85:P85))+EXP(L85-MAX(K85:P85))+EXP(M85-MAX(K85:P85))+EXP(N85-MAX(K85:P85))+EXP(O85-MAX(K85:P85))+EXP(P85-MAX(K85:P85))))</f>
        <v/>
      </c>
      <c r="S85">
        <f>IF(G85="","",Q85-R85)</f>
        <v/>
      </c>
      <c r="T85">
        <f>IF(G85="","",IF(ABS(G85-H85)&lt;=$B$6*I85,"OK","NG"))</f>
        <v/>
      </c>
      <c r="U85">
        <f>IF(T85="","",IF(T85=D85,1,0))</f>
        <v/>
      </c>
      <c r="V85">
        <f>IF(G85="","",IF(T85="OK","NONE",INDEX({"S1","S2","W1","W2","N1","N2"},MATCH(MAX(K85:P85),K85:P85,0))))</f>
        <v/>
      </c>
      <c r="W85">
        <f>IF(G85="","",IF(V85=E85,1,0))</f>
        <v/>
      </c>
      <c r="X85">
        <f>IF(G85="","",IF(AND(T85="NG",S85&lt;$B$7),"AMBIGUOUS","CONFIDENT"))</f>
        <v/>
      </c>
    </row>
    <row r="86">
      <c r="A86">
        <f>'Runs Z score'!A79</f>
        <v/>
      </c>
      <c r="B86">
        <f>'Runs Z score'!B79</f>
        <v/>
      </c>
      <c r="C86">
        <f>'Runs Z score'!C79</f>
        <v/>
      </c>
      <c r="D86">
        <f>'Runs Z score'!D79</f>
        <v/>
      </c>
      <c r="E86">
        <f>'Runs Z score'!E79</f>
        <v/>
      </c>
      <c r="F86">
        <f>'Runs Z score'!F79</f>
        <v/>
      </c>
      <c r="G86">
        <f>'Runs Z score'!G79</f>
        <v/>
      </c>
      <c r="H86">
        <f>VLOOKUP(C86,Recipes!$A$2:$N$4,10,FALSE())</f>
        <v/>
      </c>
      <c r="I86">
        <f>VLOOKUP(C86,Recipes!$A$2:$N$4,12,FALSE())</f>
        <v/>
      </c>
      <c r="J86">
        <f>IF(G86="","",H86-G86)</f>
        <v/>
      </c>
      <c r="K86">
        <f>IF(G86="","",IF(VLOOKUP(C86,Recipes!$A$2:$N$4,4,FALSE())=0,-1E+300,-0.5*((J86-Components!$D$2)/Components!$E$2)^2))</f>
        <v/>
      </c>
      <c r="L86">
        <f>IF(G86="","",IF(VLOOKUP(C86,Recipes!$A$2:$N$4,5,FALSE())=0,-1E+300,-0.5*((J86-Components!$D$3)/Components!$E$3)^2))</f>
        <v/>
      </c>
      <c r="M86">
        <f>IF(G86="","",IF(VLOOKUP(C86,Recipes!$A$2:$N$4,6,FALSE())=0,-1E+300,-0.5*((J86-Components!$D$4)/Components!$E$4)^2))</f>
        <v/>
      </c>
      <c r="N86">
        <f>IF(G86="","",IF(VLOOKUP(C86,Recipes!$A$2:$N$4,7,FALSE())=0,-1E+300,-0.5*((J86-Components!$D$5)/Components!$E$5)^2))</f>
        <v/>
      </c>
      <c r="O86">
        <f>IF(G86="","",IF(VLOOKUP(C86,Recipes!$A$2:$N$4,8,FALSE())=0,-1E+300,-0.5*((J86-Components!$D$6)/Components!$E$6)^2))</f>
        <v/>
      </c>
      <c r="P86">
        <f>IF(G86="","",IF(VLOOKUP(C86,Recipes!$A$2:$N$4,9,FALSE())=0,-1E+300,-0.5*((J86-Components!$D$7)/Components!$E$7)^2))</f>
        <v/>
      </c>
      <c r="Q86">
        <f>IF(G86="","",EXP(LARGE(K86:P86,1)-MAX(K86:P86))/(EXP(K86-MAX(K86:P86))+EXP(L86-MAX(K86:P86))+EXP(M86-MAX(K86:P86))+EXP(N86-MAX(K86:P86))+EXP(O86-MAX(K86:P86))+EXP(P86-MAX(K86:P86))))</f>
        <v/>
      </c>
      <c r="R86">
        <f>IF(G86="","",EXP(LARGE(K86:P86,2)-MAX(K86:P86))/(EXP(K86-MAX(K86:P86))+EXP(L86-MAX(K86:P86))+EXP(M86-MAX(K86:P86))+EXP(N86-MAX(K86:P86))+EXP(O86-MAX(K86:P86))+EXP(P86-MAX(K86:P86))))</f>
        <v/>
      </c>
      <c r="S86">
        <f>IF(G86="","",Q86-R86)</f>
        <v/>
      </c>
      <c r="T86">
        <f>IF(G86="","",IF(ABS(G86-H86)&lt;=$B$6*I86,"OK","NG"))</f>
        <v/>
      </c>
      <c r="U86">
        <f>IF(T86="","",IF(T86=D86,1,0))</f>
        <v/>
      </c>
      <c r="V86">
        <f>IF(G86="","",IF(T86="OK","NONE",INDEX({"S1","S2","W1","W2","N1","N2"},MATCH(MAX(K86:P86),K86:P86,0))))</f>
        <v/>
      </c>
      <c r="W86">
        <f>IF(G86="","",IF(V86=E86,1,0))</f>
        <v/>
      </c>
      <c r="X86">
        <f>IF(G86="","",IF(AND(T86="NG",S86&lt;$B$7),"AMBIGUOUS","CONFIDENT"))</f>
        <v/>
      </c>
    </row>
    <row r="87">
      <c r="A87">
        <f>'Runs Z score'!A80</f>
        <v/>
      </c>
      <c r="B87">
        <f>'Runs Z score'!B80</f>
        <v/>
      </c>
      <c r="C87">
        <f>'Runs Z score'!C80</f>
        <v/>
      </c>
      <c r="D87">
        <f>'Runs Z score'!D80</f>
        <v/>
      </c>
      <c r="E87">
        <f>'Runs Z score'!E80</f>
        <v/>
      </c>
      <c r="F87">
        <f>'Runs Z score'!F80</f>
        <v/>
      </c>
      <c r="G87">
        <f>'Runs Z score'!G80</f>
        <v/>
      </c>
      <c r="H87">
        <f>VLOOKUP(C87,Recipes!$A$2:$N$4,10,FALSE())</f>
        <v/>
      </c>
      <c r="I87">
        <f>VLOOKUP(C87,Recipes!$A$2:$N$4,12,FALSE())</f>
        <v/>
      </c>
      <c r="J87">
        <f>IF(G87="","",H87-G87)</f>
        <v/>
      </c>
      <c r="K87">
        <f>IF(G87="","",IF(VLOOKUP(C87,Recipes!$A$2:$N$4,4,FALSE())=0,-1E+300,-0.5*((J87-Components!$D$2)/Components!$E$2)^2))</f>
        <v/>
      </c>
      <c r="L87">
        <f>IF(G87="","",IF(VLOOKUP(C87,Recipes!$A$2:$N$4,5,FALSE())=0,-1E+300,-0.5*((J87-Components!$D$3)/Components!$E$3)^2))</f>
        <v/>
      </c>
      <c r="M87">
        <f>IF(G87="","",IF(VLOOKUP(C87,Recipes!$A$2:$N$4,6,FALSE())=0,-1E+300,-0.5*((J87-Components!$D$4)/Components!$E$4)^2))</f>
        <v/>
      </c>
      <c r="N87">
        <f>IF(G87="","",IF(VLOOKUP(C87,Recipes!$A$2:$N$4,7,FALSE())=0,-1E+300,-0.5*((J87-Components!$D$5)/Components!$E$5)^2))</f>
        <v/>
      </c>
      <c r="O87">
        <f>IF(G87="","",IF(VLOOKUP(C87,Recipes!$A$2:$N$4,8,FALSE())=0,-1E+300,-0.5*((J87-Components!$D$6)/Components!$E$6)^2))</f>
        <v/>
      </c>
      <c r="P87">
        <f>IF(G87="","",IF(VLOOKUP(C87,Recipes!$A$2:$N$4,9,FALSE())=0,-1E+300,-0.5*((J87-Components!$D$7)/Components!$E$7)^2))</f>
        <v/>
      </c>
      <c r="Q87">
        <f>IF(G87="","",EXP(LARGE(K87:P87,1)-MAX(K87:P87))/(EXP(K87-MAX(K87:P87))+EXP(L87-MAX(K87:P87))+EXP(M87-MAX(K87:P87))+EXP(N87-MAX(K87:P87))+EXP(O87-MAX(K87:P87))+EXP(P87-MAX(K87:P87))))</f>
        <v/>
      </c>
      <c r="R87">
        <f>IF(G87="","",EXP(LARGE(K87:P87,2)-MAX(K87:P87))/(EXP(K87-MAX(K87:P87))+EXP(L87-MAX(K87:P87))+EXP(M87-MAX(K87:P87))+EXP(N87-MAX(K87:P87))+EXP(O87-MAX(K87:P87))+EXP(P87-MAX(K87:P87))))</f>
        <v/>
      </c>
      <c r="S87">
        <f>IF(G87="","",Q87-R87)</f>
        <v/>
      </c>
      <c r="T87">
        <f>IF(G87="","",IF(ABS(G87-H87)&lt;=$B$6*I87,"OK","NG"))</f>
        <v/>
      </c>
      <c r="U87">
        <f>IF(T87="","",IF(T87=D87,1,0))</f>
        <v/>
      </c>
      <c r="V87">
        <f>IF(G87="","",IF(T87="OK","NONE",INDEX({"S1","S2","W1","W2","N1","N2"},MATCH(MAX(K87:P87),K87:P87,0))))</f>
        <v/>
      </c>
      <c r="W87">
        <f>IF(G87="","",IF(V87=E87,1,0))</f>
        <v/>
      </c>
      <c r="X87">
        <f>IF(G87="","",IF(AND(T87="NG",S87&lt;$B$7),"AMBIGUOUS","CONFIDENT"))</f>
        <v/>
      </c>
    </row>
    <row r="88">
      <c r="A88">
        <f>'Runs Z score'!A81</f>
        <v/>
      </c>
      <c r="B88">
        <f>'Runs Z score'!B81</f>
        <v/>
      </c>
      <c r="C88">
        <f>'Runs Z score'!C81</f>
        <v/>
      </c>
      <c r="D88">
        <f>'Runs Z score'!D81</f>
        <v/>
      </c>
      <c r="E88">
        <f>'Runs Z score'!E81</f>
        <v/>
      </c>
      <c r="F88">
        <f>'Runs Z score'!F81</f>
        <v/>
      </c>
      <c r="G88">
        <f>'Runs Z score'!G81</f>
        <v/>
      </c>
      <c r="H88">
        <f>VLOOKUP(C88,Recipes!$A$2:$N$4,10,FALSE())</f>
        <v/>
      </c>
      <c r="I88">
        <f>VLOOKUP(C88,Recipes!$A$2:$N$4,12,FALSE())</f>
        <v/>
      </c>
      <c r="J88">
        <f>IF(G88="","",H88-G88)</f>
        <v/>
      </c>
      <c r="K88">
        <f>IF(G88="","",IF(VLOOKUP(C88,Recipes!$A$2:$N$4,4,FALSE())=0,-1E+300,-0.5*((J88-Components!$D$2)/Components!$E$2)^2))</f>
        <v/>
      </c>
      <c r="L88">
        <f>IF(G88="","",IF(VLOOKUP(C88,Recipes!$A$2:$N$4,5,FALSE())=0,-1E+300,-0.5*((J88-Components!$D$3)/Components!$E$3)^2))</f>
        <v/>
      </c>
      <c r="M88">
        <f>IF(G88="","",IF(VLOOKUP(C88,Recipes!$A$2:$N$4,6,FALSE())=0,-1E+300,-0.5*((J88-Components!$D$4)/Components!$E$4)^2))</f>
        <v/>
      </c>
      <c r="N88">
        <f>IF(G88="","",IF(VLOOKUP(C88,Recipes!$A$2:$N$4,7,FALSE())=0,-1E+300,-0.5*((J88-Components!$D$5)/Components!$E$5)^2))</f>
        <v/>
      </c>
      <c r="O88">
        <f>IF(G88="","",IF(VLOOKUP(C88,Recipes!$A$2:$N$4,8,FALSE())=0,-1E+300,-0.5*((J88-Components!$D$6)/Components!$E$6)^2))</f>
        <v/>
      </c>
      <c r="P88">
        <f>IF(G88="","",IF(VLOOKUP(C88,Recipes!$A$2:$N$4,9,FALSE())=0,-1E+300,-0.5*((J88-Components!$D$7)/Components!$E$7)^2))</f>
        <v/>
      </c>
      <c r="Q88">
        <f>IF(G88="","",EXP(LARGE(K88:P88,1)-MAX(K88:P88))/(EXP(K88-MAX(K88:P88))+EXP(L88-MAX(K88:P88))+EXP(M88-MAX(K88:P88))+EXP(N88-MAX(K88:P88))+EXP(O88-MAX(K88:P88))+EXP(P88-MAX(K88:P88))))</f>
        <v/>
      </c>
      <c r="R88">
        <f>IF(G88="","",EXP(LARGE(K88:P88,2)-MAX(K88:P88))/(EXP(K88-MAX(K88:P88))+EXP(L88-MAX(K88:P88))+EXP(M88-MAX(K88:P88))+EXP(N88-MAX(K88:P88))+EXP(O88-MAX(K88:P88))+EXP(P88-MAX(K88:P88))))</f>
        <v/>
      </c>
      <c r="S88">
        <f>IF(G88="","",Q88-R88)</f>
        <v/>
      </c>
      <c r="T88">
        <f>IF(G88="","",IF(ABS(G88-H88)&lt;=$B$6*I88,"OK","NG"))</f>
        <v/>
      </c>
      <c r="U88">
        <f>IF(T88="","",IF(T88=D88,1,0))</f>
        <v/>
      </c>
      <c r="V88">
        <f>IF(G88="","",IF(T88="OK","NONE",INDEX({"S1","S2","W1","W2","N1","N2"},MATCH(MAX(K88:P88),K88:P88,0))))</f>
        <v/>
      </c>
      <c r="W88">
        <f>IF(G88="","",IF(V88=E88,1,0))</f>
        <v/>
      </c>
      <c r="X88">
        <f>IF(G88="","",IF(AND(T88="NG",S88&lt;$B$7),"AMBIGUOUS","CONFIDENT"))</f>
        <v/>
      </c>
    </row>
    <row r="89">
      <c r="A89">
        <f>'Runs Z score'!A82</f>
        <v/>
      </c>
      <c r="B89">
        <f>'Runs Z score'!B82</f>
        <v/>
      </c>
      <c r="C89">
        <f>'Runs Z score'!C82</f>
        <v/>
      </c>
      <c r="D89">
        <f>'Runs Z score'!D82</f>
        <v/>
      </c>
      <c r="E89">
        <f>'Runs Z score'!E82</f>
        <v/>
      </c>
      <c r="F89">
        <f>'Runs Z score'!F82</f>
        <v/>
      </c>
      <c r="G89">
        <f>'Runs Z score'!G82</f>
        <v/>
      </c>
      <c r="H89">
        <f>VLOOKUP(C89,Recipes!$A$2:$N$4,10,FALSE())</f>
        <v/>
      </c>
      <c r="I89">
        <f>VLOOKUP(C89,Recipes!$A$2:$N$4,12,FALSE())</f>
        <v/>
      </c>
      <c r="J89">
        <f>IF(G89="","",H89-G89)</f>
        <v/>
      </c>
      <c r="K89">
        <f>IF(G89="","",IF(VLOOKUP(C89,Recipes!$A$2:$N$4,4,FALSE())=0,-1E+300,-0.5*((J89-Components!$D$2)/Components!$E$2)^2))</f>
        <v/>
      </c>
      <c r="L89">
        <f>IF(G89="","",IF(VLOOKUP(C89,Recipes!$A$2:$N$4,5,FALSE())=0,-1E+300,-0.5*((J89-Components!$D$3)/Components!$E$3)^2))</f>
        <v/>
      </c>
      <c r="M89">
        <f>IF(G89="","",IF(VLOOKUP(C89,Recipes!$A$2:$N$4,6,FALSE())=0,-1E+300,-0.5*((J89-Components!$D$4)/Components!$E$4)^2))</f>
        <v/>
      </c>
      <c r="N89">
        <f>IF(G89="","",IF(VLOOKUP(C89,Recipes!$A$2:$N$4,7,FALSE())=0,-1E+300,-0.5*((J89-Components!$D$5)/Components!$E$5)^2))</f>
        <v/>
      </c>
      <c r="O89">
        <f>IF(G89="","",IF(VLOOKUP(C89,Recipes!$A$2:$N$4,8,FALSE())=0,-1E+300,-0.5*((J89-Components!$D$6)/Components!$E$6)^2))</f>
        <v/>
      </c>
      <c r="P89">
        <f>IF(G89="","",IF(VLOOKUP(C89,Recipes!$A$2:$N$4,9,FALSE())=0,-1E+300,-0.5*((J89-Components!$D$7)/Components!$E$7)^2))</f>
        <v/>
      </c>
      <c r="Q89">
        <f>IF(G89="","",EXP(LARGE(K89:P89,1)-MAX(K89:P89))/(EXP(K89-MAX(K89:P89))+EXP(L89-MAX(K89:P89))+EXP(M89-MAX(K89:P89))+EXP(N89-MAX(K89:P89))+EXP(O89-MAX(K89:P89))+EXP(P89-MAX(K89:P89))))</f>
        <v/>
      </c>
      <c r="R89">
        <f>IF(G89="","",EXP(LARGE(K89:P89,2)-MAX(K89:P89))/(EXP(K89-MAX(K89:P89))+EXP(L89-MAX(K89:P89))+EXP(M89-MAX(K89:P89))+EXP(N89-MAX(K89:P89))+EXP(O89-MAX(K89:P89))+EXP(P89-MAX(K89:P89))))</f>
        <v/>
      </c>
      <c r="S89">
        <f>IF(G89="","",Q89-R89)</f>
        <v/>
      </c>
      <c r="T89">
        <f>IF(G89="","",IF(ABS(G89-H89)&lt;=$B$6*I89,"OK","NG"))</f>
        <v/>
      </c>
      <c r="U89">
        <f>IF(T89="","",IF(T89=D89,1,0))</f>
        <v/>
      </c>
      <c r="V89">
        <f>IF(G89="","",IF(T89="OK","NONE",INDEX({"S1","S2","W1","W2","N1","N2"},MATCH(MAX(K89:P89),K89:P89,0))))</f>
        <v/>
      </c>
      <c r="W89">
        <f>IF(G89="","",IF(V89=E89,1,0))</f>
        <v/>
      </c>
      <c r="X89">
        <f>IF(G89="","",IF(AND(T89="NG",S89&lt;$B$7),"AMBIGUOUS","CONFIDENT"))</f>
        <v/>
      </c>
    </row>
    <row r="90">
      <c r="A90">
        <f>'Runs Z score'!A83</f>
        <v/>
      </c>
      <c r="B90">
        <f>'Runs Z score'!B83</f>
        <v/>
      </c>
      <c r="C90">
        <f>'Runs Z score'!C83</f>
        <v/>
      </c>
      <c r="D90">
        <f>'Runs Z score'!D83</f>
        <v/>
      </c>
      <c r="E90">
        <f>'Runs Z score'!E83</f>
        <v/>
      </c>
      <c r="F90">
        <f>'Runs Z score'!F83</f>
        <v/>
      </c>
      <c r="G90">
        <f>'Runs Z score'!G83</f>
        <v/>
      </c>
      <c r="H90">
        <f>VLOOKUP(C90,Recipes!$A$2:$N$4,10,FALSE())</f>
        <v/>
      </c>
      <c r="I90">
        <f>VLOOKUP(C90,Recipes!$A$2:$N$4,12,FALSE())</f>
        <v/>
      </c>
      <c r="J90">
        <f>IF(G90="","",H90-G90)</f>
        <v/>
      </c>
      <c r="K90">
        <f>IF(G90="","",IF(VLOOKUP(C90,Recipes!$A$2:$N$4,4,FALSE())=0,-1E+300,-0.5*((J90-Components!$D$2)/Components!$E$2)^2))</f>
        <v/>
      </c>
      <c r="L90">
        <f>IF(G90="","",IF(VLOOKUP(C90,Recipes!$A$2:$N$4,5,FALSE())=0,-1E+300,-0.5*((J90-Components!$D$3)/Components!$E$3)^2))</f>
        <v/>
      </c>
      <c r="M90">
        <f>IF(G90="","",IF(VLOOKUP(C90,Recipes!$A$2:$N$4,6,FALSE())=0,-1E+300,-0.5*((J90-Components!$D$4)/Components!$E$4)^2))</f>
        <v/>
      </c>
      <c r="N90">
        <f>IF(G90="","",IF(VLOOKUP(C90,Recipes!$A$2:$N$4,7,FALSE())=0,-1E+300,-0.5*((J90-Components!$D$5)/Components!$E$5)^2))</f>
        <v/>
      </c>
      <c r="O90">
        <f>IF(G90="","",IF(VLOOKUP(C90,Recipes!$A$2:$N$4,8,FALSE())=0,-1E+300,-0.5*((J90-Components!$D$6)/Components!$E$6)^2))</f>
        <v/>
      </c>
      <c r="P90">
        <f>IF(G90="","",IF(VLOOKUP(C90,Recipes!$A$2:$N$4,9,FALSE())=0,-1E+300,-0.5*((J90-Components!$D$7)/Components!$E$7)^2))</f>
        <v/>
      </c>
      <c r="Q90">
        <f>IF(G90="","",EXP(LARGE(K90:P90,1)-MAX(K90:P90))/(EXP(K90-MAX(K90:P90))+EXP(L90-MAX(K90:P90))+EXP(M90-MAX(K90:P90))+EXP(N90-MAX(K90:P90))+EXP(O90-MAX(K90:P90))+EXP(P90-MAX(K90:P90))))</f>
        <v/>
      </c>
      <c r="R90">
        <f>IF(G90="","",EXP(LARGE(K90:P90,2)-MAX(K90:P90))/(EXP(K90-MAX(K90:P90))+EXP(L90-MAX(K90:P90))+EXP(M90-MAX(K90:P90))+EXP(N90-MAX(K90:P90))+EXP(O90-MAX(K90:P90))+EXP(P90-MAX(K90:P90))))</f>
        <v/>
      </c>
      <c r="S90">
        <f>IF(G90="","",Q90-R90)</f>
        <v/>
      </c>
      <c r="T90">
        <f>IF(G90="","",IF(ABS(G90-H90)&lt;=$B$6*I90,"OK","NG"))</f>
        <v/>
      </c>
      <c r="U90">
        <f>IF(T90="","",IF(T90=D90,1,0))</f>
        <v/>
      </c>
      <c r="V90">
        <f>IF(G90="","",IF(T90="OK","NONE",INDEX({"S1","S2","W1","W2","N1","N2"},MATCH(MAX(K90:P90),K90:P90,0))))</f>
        <v/>
      </c>
      <c r="W90">
        <f>IF(G90="","",IF(V90=E90,1,0))</f>
        <v/>
      </c>
      <c r="X90">
        <f>IF(G90="","",IF(AND(T90="NG",S90&lt;$B$7),"AMBIGUOUS","CONFIDENT"))</f>
        <v/>
      </c>
    </row>
    <row r="91">
      <c r="A91">
        <f>'Runs Z score'!A84</f>
        <v/>
      </c>
      <c r="B91">
        <f>'Runs Z score'!B84</f>
        <v/>
      </c>
      <c r="C91">
        <f>'Runs Z score'!C84</f>
        <v/>
      </c>
      <c r="D91">
        <f>'Runs Z score'!D84</f>
        <v/>
      </c>
      <c r="E91">
        <f>'Runs Z score'!E84</f>
        <v/>
      </c>
      <c r="F91">
        <f>'Runs Z score'!F84</f>
        <v/>
      </c>
      <c r="G91">
        <f>'Runs Z score'!G84</f>
        <v/>
      </c>
      <c r="H91">
        <f>VLOOKUP(C91,Recipes!$A$2:$N$4,10,FALSE())</f>
        <v/>
      </c>
      <c r="I91">
        <f>VLOOKUP(C91,Recipes!$A$2:$N$4,12,FALSE())</f>
        <v/>
      </c>
      <c r="J91">
        <f>IF(G91="","",H91-G91)</f>
        <v/>
      </c>
      <c r="K91">
        <f>IF(G91="","",IF(VLOOKUP(C91,Recipes!$A$2:$N$4,4,FALSE())=0,-1E+300,-0.5*((J91-Components!$D$2)/Components!$E$2)^2))</f>
        <v/>
      </c>
      <c r="L91">
        <f>IF(G91="","",IF(VLOOKUP(C91,Recipes!$A$2:$N$4,5,FALSE())=0,-1E+300,-0.5*((J91-Components!$D$3)/Components!$E$3)^2))</f>
        <v/>
      </c>
      <c r="M91">
        <f>IF(G91="","",IF(VLOOKUP(C91,Recipes!$A$2:$N$4,6,FALSE())=0,-1E+300,-0.5*((J91-Components!$D$4)/Components!$E$4)^2))</f>
        <v/>
      </c>
      <c r="N91">
        <f>IF(G91="","",IF(VLOOKUP(C91,Recipes!$A$2:$N$4,7,FALSE())=0,-1E+300,-0.5*((J91-Components!$D$5)/Components!$E$5)^2))</f>
        <v/>
      </c>
      <c r="O91">
        <f>IF(G91="","",IF(VLOOKUP(C91,Recipes!$A$2:$N$4,8,FALSE())=0,-1E+300,-0.5*((J91-Components!$D$6)/Components!$E$6)^2))</f>
        <v/>
      </c>
      <c r="P91">
        <f>IF(G91="","",IF(VLOOKUP(C91,Recipes!$A$2:$N$4,9,FALSE())=0,-1E+300,-0.5*((J91-Components!$D$7)/Components!$E$7)^2))</f>
        <v/>
      </c>
      <c r="Q91">
        <f>IF(G91="","",EXP(LARGE(K91:P91,1)-MAX(K91:P91))/(EXP(K91-MAX(K91:P91))+EXP(L91-MAX(K91:P91))+EXP(M91-MAX(K91:P91))+EXP(N91-MAX(K91:P91))+EXP(O91-MAX(K91:P91))+EXP(P91-MAX(K91:P91))))</f>
        <v/>
      </c>
      <c r="R91">
        <f>IF(G91="","",EXP(LARGE(K91:P91,2)-MAX(K91:P91))/(EXP(K91-MAX(K91:P91))+EXP(L91-MAX(K91:P91))+EXP(M91-MAX(K91:P91))+EXP(N91-MAX(K91:P91))+EXP(O91-MAX(K91:P91))+EXP(P91-MAX(K91:P91))))</f>
        <v/>
      </c>
      <c r="S91">
        <f>IF(G91="","",Q91-R91)</f>
        <v/>
      </c>
      <c r="T91">
        <f>IF(G91="","",IF(ABS(G91-H91)&lt;=$B$6*I91,"OK","NG"))</f>
        <v/>
      </c>
      <c r="U91">
        <f>IF(T91="","",IF(T91=D91,1,0))</f>
        <v/>
      </c>
      <c r="V91">
        <f>IF(G91="","",IF(T91="OK","NONE",INDEX({"S1","S2","W1","W2","N1","N2"},MATCH(MAX(K91:P91),K91:P91,0))))</f>
        <v/>
      </c>
      <c r="W91">
        <f>IF(G91="","",IF(V91=E91,1,0))</f>
        <v/>
      </c>
      <c r="X91">
        <f>IF(G91="","",IF(AND(T91="NG",S91&lt;$B$7),"AMBIGUOUS","CONFIDENT"))</f>
        <v/>
      </c>
    </row>
    <row r="92">
      <c r="A92">
        <f>'Runs Z score'!A85</f>
        <v/>
      </c>
      <c r="B92">
        <f>'Runs Z score'!B85</f>
        <v/>
      </c>
      <c r="C92">
        <f>'Runs Z score'!C85</f>
        <v/>
      </c>
      <c r="D92">
        <f>'Runs Z score'!D85</f>
        <v/>
      </c>
      <c r="E92">
        <f>'Runs Z score'!E85</f>
        <v/>
      </c>
      <c r="F92">
        <f>'Runs Z score'!F85</f>
        <v/>
      </c>
      <c r="G92">
        <f>'Runs Z score'!G85</f>
        <v/>
      </c>
      <c r="H92">
        <f>VLOOKUP(C92,Recipes!$A$2:$N$4,10,FALSE())</f>
        <v/>
      </c>
      <c r="I92">
        <f>VLOOKUP(C92,Recipes!$A$2:$N$4,12,FALSE())</f>
        <v/>
      </c>
      <c r="J92">
        <f>IF(G92="","",H92-G92)</f>
        <v/>
      </c>
      <c r="K92">
        <f>IF(G92="","",IF(VLOOKUP(C92,Recipes!$A$2:$N$4,4,FALSE())=0,-1E+300,-0.5*((J92-Components!$D$2)/Components!$E$2)^2))</f>
        <v/>
      </c>
      <c r="L92">
        <f>IF(G92="","",IF(VLOOKUP(C92,Recipes!$A$2:$N$4,5,FALSE())=0,-1E+300,-0.5*((J92-Components!$D$3)/Components!$E$3)^2))</f>
        <v/>
      </c>
      <c r="M92">
        <f>IF(G92="","",IF(VLOOKUP(C92,Recipes!$A$2:$N$4,6,FALSE())=0,-1E+300,-0.5*((J92-Components!$D$4)/Components!$E$4)^2))</f>
        <v/>
      </c>
      <c r="N92">
        <f>IF(G92="","",IF(VLOOKUP(C92,Recipes!$A$2:$N$4,7,FALSE())=0,-1E+300,-0.5*((J92-Components!$D$5)/Components!$E$5)^2))</f>
        <v/>
      </c>
      <c r="O92">
        <f>IF(G92="","",IF(VLOOKUP(C92,Recipes!$A$2:$N$4,8,FALSE())=0,-1E+300,-0.5*((J92-Components!$D$6)/Components!$E$6)^2))</f>
        <v/>
      </c>
      <c r="P92">
        <f>IF(G92="","",IF(VLOOKUP(C92,Recipes!$A$2:$N$4,9,FALSE())=0,-1E+300,-0.5*((J92-Components!$D$7)/Components!$E$7)^2))</f>
        <v/>
      </c>
      <c r="Q92">
        <f>IF(G92="","",EXP(LARGE(K92:P92,1)-MAX(K92:P92))/(EXP(K92-MAX(K92:P92))+EXP(L92-MAX(K92:P92))+EXP(M92-MAX(K92:P92))+EXP(N92-MAX(K92:P92))+EXP(O92-MAX(K92:P92))+EXP(P92-MAX(K92:P92))))</f>
        <v/>
      </c>
      <c r="R92">
        <f>IF(G92="","",EXP(LARGE(K92:P92,2)-MAX(K92:P92))/(EXP(K92-MAX(K92:P92))+EXP(L92-MAX(K92:P92))+EXP(M92-MAX(K92:P92))+EXP(N92-MAX(K92:P92))+EXP(O92-MAX(K92:P92))+EXP(P92-MAX(K92:P92))))</f>
        <v/>
      </c>
      <c r="S92">
        <f>IF(G92="","",Q92-R92)</f>
        <v/>
      </c>
      <c r="T92">
        <f>IF(G92="","",IF(ABS(G92-H92)&lt;=$B$6*I92,"OK","NG"))</f>
        <v/>
      </c>
      <c r="U92">
        <f>IF(T92="","",IF(T92=D92,1,0))</f>
        <v/>
      </c>
      <c r="V92">
        <f>IF(G92="","",IF(T92="OK","NONE",INDEX({"S1","S2","W1","W2","N1","N2"},MATCH(MAX(K92:P92),K92:P92,0))))</f>
        <v/>
      </c>
      <c r="W92">
        <f>IF(G92="","",IF(V92=E92,1,0))</f>
        <v/>
      </c>
      <c r="X92">
        <f>IF(G92="","",IF(AND(T92="NG",S92&lt;$B$7),"AMBIGUOUS","CONFIDENT"))</f>
        <v/>
      </c>
    </row>
    <row r="93">
      <c r="A93">
        <f>'Runs Z score'!A86</f>
        <v/>
      </c>
      <c r="B93">
        <f>'Runs Z score'!B86</f>
        <v/>
      </c>
      <c r="C93">
        <f>'Runs Z score'!C86</f>
        <v/>
      </c>
      <c r="D93">
        <f>'Runs Z score'!D86</f>
        <v/>
      </c>
      <c r="E93">
        <f>'Runs Z score'!E86</f>
        <v/>
      </c>
      <c r="F93">
        <f>'Runs Z score'!F86</f>
        <v/>
      </c>
      <c r="G93">
        <f>'Runs Z score'!G86</f>
        <v/>
      </c>
      <c r="H93">
        <f>VLOOKUP(C93,Recipes!$A$2:$N$4,10,FALSE())</f>
        <v/>
      </c>
      <c r="I93">
        <f>VLOOKUP(C93,Recipes!$A$2:$N$4,12,FALSE())</f>
        <v/>
      </c>
      <c r="J93">
        <f>IF(G93="","",H93-G93)</f>
        <v/>
      </c>
      <c r="K93">
        <f>IF(G93="","",IF(VLOOKUP(C93,Recipes!$A$2:$N$4,4,FALSE())=0,-1E+300,-0.5*((J93-Components!$D$2)/Components!$E$2)^2))</f>
        <v/>
      </c>
      <c r="L93">
        <f>IF(G93="","",IF(VLOOKUP(C93,Recipes!$A$2:$N$4,5,FALSE())=0,-1E+300,-0.5*((J93-Components!$D$3)/Components!$E$3)^2))</f>
        <v/>
      </c>
      <c r="M93">
        <f>IF(G93="","",IF(VLOOKUP(C93,Recipes!$A$2:$N$4,6,FALSE())=0,-1E+300,-0.5*((J93-Components!$D$4)/Components!$E$4)^2))</f>
        <v/>
      </c>
      <c r="N93">
        <f>IF(G93="","",IF(VLOOKUP(C93,Recipes!$A$2:$N$4,7,FALSE())=0,-1E+300,-0.5*((J93-Components!$D$5)/Components!$E$5)^2))</f>
        <v/>
      </c>
      <c r="O93">
        <f>IF(G93="","",IF(VLOOKUP(C93,Recipes!$A$2:$N$4,8,FALSE())=0,-1E+300,-0.5*((J93-Components!$D$6)/Components!$E$6)^2))</f>
        <v/>
      </c>
      <c r="P93">
        <f>IF(G93="","",IF(VLOOKUP(C93,Recipes!$A$2:$N$4,9,FALSE())=0,-1E+300,-0.5*((J93-Components!$D$7)/Components!$E$7)^2))</f>
        <v/>
      </c>
      <c r="Q93">
        <f>IF(G93="","",EXP(LARGE(K93:P93,1)-MAX(K93:P93))/(EXP(K93-MAX(K93:P93))+EXP(L93-MAX(K93:P93))+EXP(M93-MAX(K93:P93))+EXP(N93-MAX(K93:P93))+EXP(O93-MAX(K93:P93))+EXP(P93-MAX(K93:P93))))</f>
        <v/>
      </c>
      <c r="R93">
        <f>IF(G93="","",EXP(LARGE(K93:P93,2)-MAX(K93:P93))/(EXP(K93-MAX(K93:P93))+EXP(L93-MAX(K93:P93))+EXP(M93-MAX(K93:P93))+EXP(N93-MAX(K93:P93))+EXP(O93-MAX(K93:P93))+EXP(P93-MAX(K93:P93))))</f>
        <v/>
      </c>
      <c r="S93">
        <f>IF(G93="","",Q93-R93)</f>
        <v/>
      </c>
      <c r="T93">
        <f>IF(G93="","",IF(ABS(G93-H93)&lt;=$B$6*I93,"OK","NG"))</f>
        <v/>
      </c>
      <c r="U93">
        <f>IF(T93="","",IF(T93=D93,1,0))</f>
        <v/>
      </c>
      <c r="V93">
        <f>IF(G93="","",IF(T93="OK","NONE",INDEX({"S1","S2","W1","W2","N1","N2"},MATCH(MAX(K93:P93),K93:P93,0))))</f>
        <v/>
      </c>
      <c r="W93">
        <f>IF(G93="","",IF(V93=E93,1,0))</f>
        <v/>
      </c>
      <c r="X93">
        <f>IF(G93="","",IF(AND(T93="NG",S93&lt;$B$7),"AMBIGUOUS","CONFIDENT"))</f>
        <v/>
      </c>
    </row>
    <row r="94">
      <c r="A94">
        <f>'Runs Z score'!A87</f>
        <v/>
      </c>
      <c r="B94">
        <f>'Runs Z score'!B87</f>
        <v/>
      </c>
      <c r="C94">
        <f>'Runs Z score'!C87</f>
        <v/>
      </c>
      <c r="D94">
        <f>'Runs Z score'!D87</f>
        <v/>
      </c>
      <c r="E94">
        <f>'Runs Z score'!E87</f>
        <v/>
      </c>
      <c r="F94">
        <f>'Runs Z score'!F87</f>
        <v/>
      </c>
      <c r="G94">
        <f>'Runs Z score'!G87</f>
        <v/>
      </c>
      <c r="H94">
        <f>VLOOKUP(C94,Recipes!$A$2:$N$4,10,FALSE())</f>
        <v/>
      </c>
      <c r="I94">
        <f>VLOOKUP(C94,Recipes!$A$2:$N$4,12,FALSE())</f>
        <v/>
      </c>
      <c r="J94">
        <f>IF(G94="","",H94-G94)</f>
        <v/>
      </c>
      <c r="K94">
        <f>IF(G94="","",IF(VLOOKUP(C94,Recipes!$A$2:$N$4,4,FALSE())=0,-1E+300,-0.5*((J94-Components!$D$2)/Components!$E$2)^2))</f>
        <v/>
      </c>
      <c r="L94">
        <f>IF(G94="","",IF(VLOOKUP(C94,Recipes!$A$2:$N$4,5,FALSE())=0,-1E+300,-0.5*((J94-Components!$D$3)/Components!$E$3)^2))</f>
        <v/>
      </c>
      <c r="M94">
        <f>IF(G94="","",IF(VLOOKUP(C94,Recipes!$A$2:$N$4,6,FALSE())=0,-1E+300,-0.5*((J94-Components!$D$4)/Components!$E$4)^2))</f>
        <v/>
      </c>
      <c r="N94">
        <f>IF(G94="","",IF(VLOOKUP(C94,Recipes!$A$2:$N$4,7,FALSE())=0,-1E+300,-0.5*((J94-Components!$D$5)/Components!$E$5)^2))</f>
        <v/>
      </c>
      <c r="O94">
        <f>IF(G94="","",IF(VLOOKUP(C94,Recipes!$A$2:$N$4,8,FALSE())=0,-1E+300,-0.5*((J94-Components!$D$6)/Components!$E$6)^2))</f>
        <v/>
      </c>
      <c r="P94">
        <f>IF(G94="","",IF(VLOOKUP(C94,Recipes!$A$2:$N$4,9,FALSE())=0,-1E+300,-0.5*((J94-Components!$D$7)/Components!$E$7)^2))</f>
        <v/>
      </c>
      <c r="Q94">
        <f>IF(G94="","",EXP(LARGE(K94:P94,1)-MAX(K94:P94))/(EXP(K94-MAX(K94:P94))+EXP(L94-MAX(K94:P94))+EXP(M94-MAX(K94:P94))+EXP(N94-MAX(K94:P94))+EXP(O94-MAX(K94:P94))+EXP(P94-MAX(K94:P94))))</f>
        <v/>
      </c>
      <c r="R94">
        <f>IF(G94="","",EXP(LARGE(K94:P94,2)-MAX(K94:P94))/(EXP(K94-MAX(K94:P94))+EXP(L94-MAX(K94:P94))+EXP(M94-MAX(K94:P94))+EXP(N94-MAX(K94:P94))+EXP(O94-MAX(K94:P94))+EXP(P94-MAX(K94:P94))))</f>
        <v/>
      </c>
      <c r="S94">
        <f>IF(G94="","",Q94-R94)</f>
        <v/>
      </c>
      <c r="T94">
        <f>IF(G94="","",IF(ABS(G94-H94)&lt;=$B$6*I94,"OK","NG"))</f>
        <v/>
      </c>
      <c r="U94">
        <f>IF(T94="","",IF(T94=D94,1,0))</f>
        <v/>
      </c>
      <c r="V94">
        <f>IF(G94="","",IF(T94="OK","NONE",INDEX({"S1","S2","W1","W2","N1","N2"},MATCH(MAX(K94:P94),K94:P94,0))))</f>
        <v/>
      </c>
      <c r="W94">
        <f>IF(G94="","",IF(V94=E94,1,0))</f>
        <v/>
      </c>
      <c r="X94">
        <f>IF(G94="","",IF(AND(T94="NG",S94&lt;$B$7),"AMBIGUOUS","CONFIDENT"))</f>
        <v/>
      </c>
    </row>
    <row r="95">
      <c r="A95">
        <f>'Runs Z score'!A88</f>
        <v/>
      </c>
      <c r="B95">
        <f>'Runs Z score'!B88</f>
        <v/>
      </c>
      <c r="C95">
        <f>'Runs Z score'!C88</f>
        <v/>
      </c>
      <c r="D95">
        <f>'Runs Z score'!D88</f>
        <v/>
      </c>
      <c r="E95">
        <f>'Runs Z score'!E88</f>
        <v/>
      </c>
      <c r="F95">
        <f>'Runs Z score'!F88</f>
        <v/>
      </c>
      <c r="G95">
        <f>'Runs Z score'!G88</f>
        <v/>
      </c>
      <c r="H95">
        <f>VLOOKUP(C95,Recipes!$A$2:$N$4,10,FALSE())</f>
        <v/>
      </c>
      <c r="I95">
        <f>VLOOKUP(C95,Recipes!$A$2:$N$4,12,FALSE())</f>
        <v/>
      </c>
      <c r="J95">
        <f>IF(G95="","",H95-G95)</f>
        <v/>
      </c>
      <c r="K95">
        <f>IF(G95="","",IF(VLOOKUP(C95,Recipes!$A$2:$N$4,4,FALSE())=0,-1E+300,-0.5*((J95-Components!$D$2)/Components!$E$2)^2))</f>
        <v/>
      </c>
      <c r="L95">
        <f>IF(G95="","",IF(VLOOKUP(C95,Recipes!$A$2:$N$4,5,FALSE())=0,-1E+300,-0.5*((J95-Components!$D$3)/Components!$E$3)^2))</f>
        <v/>
      </c>
      <c r="M95">
        <f>IF(G95="","",IF(VLOOKUP(C95,Recipes!$A$2:$N$4,6,FALSE())=0,-1E+300,-0.5*((J95-Components!$D$4)/Components!$E$4)^2))</f>
        <v/>
      </c>
      <c r="N95">
        <f>IF(G95="","",IF(VLOOKUP(C95,Recipes!$A$2:$N$4,7,FALSE())=0,-1E+300,-0.5*((J95-Components!$D$5)/Components!$E$5)^2))</f>
        <v/>
      </c>
      <c r="O95">
        <f>IF(G95="","",IF(VLOOKUP(C95,Recipes!$A$2:$N$4,8,FALSE())=0,-1E+300,-0.5*((J95-Components!$D$6)/Components!$E$6)^2))</f>
        <v/>
      </c>
      <c r="P95">
        <f>IF(G95="","",IF(VLOOKUP(C95,Recipes!$A$2:$N$4,9,FALSE())=0,-1E+300,-0.5*((J95-Components!$D$7)/Components!$E$7)^2))</f>
        <v/>
      </c>
      <c r="Q95">
        <f>IF(G95="","",EXP(LARGE(K95:P95,1)-MAX(K95:P95))/(EXP(K95-MAX(K95:P95))+EXP(L95-MAX(K95:P95))+EXP(M95-MAX(K95:P95))+EXP(N95-MAX(K95:P95))+EXP(O95-MAX(K95:P95))+EXP(P95-MAX(K95:P95))))</f>
        <v/>
      </c>
      <c r="R95">
        <f>IF(G95="","",EXP(LARGE(K95:P95,2)-MAX(K95:P95))/(EXP(K95-MAX(K95:P95))+EXP(L95-MAX(K95:P95))+EXP(M95-MAX(K95:P95))+EXP(N95-MAX(K95:P95))+EXP(O95-MAX(K95:P95))+EXP(P95-MAX(K95:P95))))</f>
        <v/>
      </c>
      <c r="S95">
        <f>IF(G95="","",Q95-R95)</f>
        <v/>
      </c>
      <c r="T95">
        <f>IF(G95="","",IF(ABS(G95-H95)&lt;=$B$6*I95,"OK","NG"))</f>
        <v/>
      </c>
      <c r="U95">
        <f>IF(T95="","",IF(T95=D95,1,0))</f>
        <v/>
      </c>
      <c r="V95">
        <f>IF(G95="","",IF(T95="OK","NONE",INDEX({"S1","S2","W1","W2","N1","N2"},MATCH(MAX(K95:P95),K95:P95,0))))</f>
        <v/>
      </c>
      <c r="W95">
        <f>IF(G95="","",IF(V95=E95,1,0))</f>
        <v/>
      </c>
      <c r="X95">
        <f>IF(G95="","",IF(AND(T95="NG",S95&lt;$B$7),"AMBIGUOUS","CONFIDENT"))</f>
        <v/>
      </c>
    </row>
    <row r="96">
      <c r="A96">
        <f>'Runs Z score'!A89</f>
        <v/>
      </c>
      <c r="B96">
        <f>'Runs Z score'!B89</f>
        <v/>
      </c>
      <c r="C96">
        <f>'Runs Z score'!C89</f>
        <v/>
      </c>
      <c r="D96">
        <f>'Runs Z score'!D89</f>
        <v/>
      </c>
      <c r="E96">
        <f>'Runs Z score'!E89</f>
        <v/>
      </c>
      <c r="F96">
        <f>'Runs Z score'!F89</f>
        <v/>
      </c>
      <c r="G96">
        <f>'Runs Z score'!G89</f>
        <v/>
      </c>
      <c r="H96">
        <f>VLOOKUP(C96,Recipes!$A$2:$N$4,10,FALSE())</f>
        <v/>
      </c>
      <c r="I96">
        <f>VLOOKUP(C96,Recipes!$A$2:$N$4,12,FALSE())</f>
        <v/>
      </c>
      <c r="J96">
        <f>IF(G96="","",H96-G96)</f>
        <v/>
      </c>
      <c r="K96">
        <f>IF(G96="","",IF(VLOOKUP(C96,Recipes!$A$2:$N$4,4,FALSE())=0,-1E+300,-0.5*((J96-Components!$D$2)/Components!$E$2)^2))</f>
        <v/>
      </c>
      <c r="L96">
        <f>IF(G96="","",IF(VLOOKUP(C96,Recipes!$A$2:$N$4,5,FALSE())=0,-1E+300,-0.5*((J96-Components!$D$3)/Components!$E$3)^2))</f>
        <v/>
      </c>
      <c r="M96">
        <f>IF(G96="","",IF(VLOOKUP(C96,Recipes!$A$2:$N$4,6,FALSE())=0,-1E+300,-0.5*((J96-Components!$D$4)/Components!$E$4)^2))</f>
        <v/>
      </c>
      <c r="N96">
        <f>IF(G96="","",IF(VLOOKUP(C96,Recipes!$A$2:$N$4,7,FALSE())=0,-1E+300,-0.5*((J96-Components!$D$5)/Components!$E$5)^2))</f>
        <v/>
      </c>
      <c r="O96">
        <f>IF(G96="","",IF(VLOOKUP(C96,Recipes!$A$2:$N$4,8,FALSE())=0,-1E+300,-0.5*((J96-Components!$D$6)/Components!$E$6)^2))</f>
        <v/>
      </c>
      <c r="P96">
        <f>IF(G96="","",IF(VLOOKUP(C96,Recipes!$A$2:$N$4,9,FALSE())=0,-1E+300,-0.5*((J96-Components!$D$7)/Components!$E$7)^2))</f>
        <v/>
      </c>
      <c r="Q96">
        <f>IF(G96="","",EXP(LARGE(K96:P96,1)-MAX(K96:P96))/(EXP(K96-MAX(K96:P96))+EXP(L96-MAX(K96:P96))+EXP(M96-MAX(K96:P96))+EXP(N96-MAX(K96:P96))+EXP(O96-MAX(K96:P96))+EXP(P96-MAX(K96:P96))))</f>
        <v/>
      </c>
      <c r="R96">
        <f>IF(G96="","",EXP(LARGE(K96:P96,2)-MAX(K96:P96))/(EXP(K96-MAX(K96:P96))+EXP(L96-MAX(K96:P96))+EXP(M96-MAX(K96:P96))+EXP(N96-MAX(K96:P96))+EXP(O96-MAX(K96:P96))+EXP(P96-MAX(K96:P96))))</f>
        <v/>
      </c>
      <c r="S96">
        <f>IF(G96="","",Q96-R96)</f>
        <v/>
      </c>
      <c r="T96">
        <f>IF(G96="","",IF(ABS(G96-H96)&lt;=$B$6*I96,"OK","NG"))</f>
        <v/>
      </c>
      <c r="U96">
        <f>IF(T96="","",IF(T96=D96,1,0))</f>
        <v/>
      </c>
      <c r="V96">
        <f>IF(G96="","",IF(T96="OK","NONE",INDEX({"S1","S2","W1","W2","N1","N2"},MATCH(MAX(K96:P96),K96:P96,0))))</f>
        <v/>
      </c>
      <c r="W96">
        <f>IF(G96="","",IF(V96=E96,1,0))</f>
        <v/>
      </c>
      <c r="X96">
        <f>IF(G96="","",IF(AND(T96="NG",S96&lt;$B$7),"AMBIGUOUS","CONFIDENT"))</f>
        <v/>
      </c>
    </row>
    <row r="97">
      <c r="A97">
        <f>'Runs Z score'!A90</f>
        <v/>
      </c>
      <c r="B97">
        <f>'Runs Z score'!B90</f>
        <v/>
      </c>
      <c r="C97">
        <f>'Runs Z score'!C90</f>
        <v/>
      </c>
      <c r="D97">
        <f>'Runs Z score'!D90</f>
        <v/>
      </c>
      <c r="E97">
        <f>'Runs Z score'!E90</f>
        <v/>
      </c>
      <c r="F97">
        <f>'Runs Z score'!F90</f>
        <v/>
      </c>
      <c r="G97">
        <f>'Runs Z score'!G90</f>
        <v/>
      </c>
      <c r="H97">
        <f>VLOOKUP(C97,Recipes!$A$2:$N$4,10,FALSE())</f>
        <v/>
      </c>
      <c r="I97">
        <f>VLOOKUP(C97,Recipes!$A$2:$N$4,12,FALSE())</f>
        <v/>
      </c>
      <c r="J97">
        <f>IF(G97="","",H97-G97)</f>
        <v/>
      </c>
      <c r="K97">
        <f>IF(G97="","",IF(VLOOKUP(C97,Recipes!$A$2:$N$4,4,FALSE())=0,-1E+300,-0.5*((J97-Components!$D$2)/Components!$E$2)^2))</f>
        <v/>
      </c>
      <c r="L97">
        <f>IF(G97="","",IF(VLOOKUP(C97,Recipes!$A$2:$N$4,5,FALSE())=0,-1E+300,-0.5*((J97-Components!$D$3)/Components!$E$3)^2))</f>
        <v/>
      </c>
      <c r="M97">
        <f>IF(G97="","",IF(VLOOKUP(C97,Recipes!$A$2:$N$4,6,FALSE())=0,-1E+300,-0.5*((J97-Components!$D$4)/Components!$E$4)^2))</f>
        <v/>
      </c>
      <c r="N97">
        <f>IF(G97="","",IF(VLOOKUP(C97,Recipes!$A$2:$N$4,7,FALSE())=0,-1E+300,-0.5*((J97-Components!$D$5)/Components!$E$5)^2))</f>
        <v/>
      </c>
      <c r="O97">
        <f>IF(G97="","",IF(VLOOKUP(C97,Recipes!$A$2:$N$4,8,FALSE())=0,-1E+300,-0.5*((J97-Components!$D$6)/Components!$E$6)^2))</f>
        <v/>
      </c>
      <c r="P97">
        <f>IF(G97="","",IF(VLOOKUP(C97,Recipes!$A$2:$N$4,9,FALSE())=0,-1E+300,-0.5*((J97-Components!$D$7)/Components!$E$7)^2))</f>
        <v/>
      </c>
      <c r="Q97">
        <f>IF(G97="","",EXP(LARGE(K97:P97,1)-MAX(K97:P97))/(EXP(K97-MAX(K97:P97))+EXP(L97-MAX(K97:P97))+EXP(M97-MAX(K97:P97))+EXP(N97-MAX(K97:P97))+EXP(O97-MAX(K97:P97))+EXP(P97-MAX(K97:P97))))</f>
        <v/>
      </c>
      <c r="R97">
        <f>IF(G97="","",EXP(LARGE(K97:P97,2)-MAX(K97:P97))/(EXP(K97-MAX(K97:P97))+EXP(L97-MAX(K97:P97))+EXP(M97-MAX(K97:P97))+EXP(N97-MAX(K97:P97))+EXP(O97-MAX(K97:P97))+EXP(P97-MAX(K97:P97))))</f>
        <v/>
      </c>
      <c r="S97">
        <f>IF(G97="","",Q97-R97)</f>
        <v/>
      </c>
      <c r="T97">
        <f>IF(G97="","",IF(ABS(G97-H97)&lt;=$B$6*I97,"OK","NG"))</f>
        <v/>
      </c>
      <c r="U97">
        <f>IF(T97="","",IF(T97=D97,1,0))</f>
        <v/>
      </c>
      <c r="V97">
        <f>IF(G97="","",IF(T97="OK","NONE",INDEX({"S1","S2","W1","W2","N1","N2"},MATCH(MAX(K97:P97),K97:P97,0))))</f>
        <v/>
      </c>
      <c r="W97">
        <f>IF(G97="","",IF(V97=E97,1,0))</f>
        <v/>
      </c>
      <c r="X97">
        <f>IF(G97="","",IF(AND(T97="NG",S97&lt;$B$7),"AMBIGUOUS","CONFIDENT"))</f>
        <v/>
      </c>
    </row>
    <row r="98">
      <c r="A98">
        <f>'Runs Z score'!A91</f>
        <v/>
      </c>
      <c r="B98">
        <f>'Runs Z score'!B91</f>
        <v/>
      </c>
      <c r="C98">
        <f>'Runs Z score'!C91</f>
        <v/>
      </c>
      <c r="D98">
        <f>'Runs Z score'!D91</f>
        <v/>
      </c>
      <c r="E98">
        <f>'Runs Z score'!E91</f>
        <v/>
      </c>
      <c r="F98">
        <f>'Runs Z score'!F91</f>
        <v/>
      </c>
      <c r="G98">
        <f>'Runs Z score'!G91</f>
        <v/>
      </c>
      <c r="H98">
        <f>VLOOKUP(C98,Recipes!$A$2:$N$4,10,FALSE())</f>
        <v/>
      </c>
      <c r="I98">
        <f>VLOOKUP(C98,Recipes!$A$2:$N$4,12,FALSE())</f>
        <v/>
      </c>
      <c r="J98">
        <f>IF(G98="","",H98-G98)</f>
        <v/>
      </c>
      <c r="K98">
        <f>IF(G98="","",IF(VLOOKUP(C98,Recipes!$A$2:$N$4,4,FALSE())=0,-1E+300,-0.5*((J98-Components!$D$2)/Components!$E$2)^2))</f>
        <v/>
      </c>
      <c r="L98">
        <f>IF(G98="","",IF(VLOOKUP(C98,Recipes!$A$2:$N$4,5,FALSE())=0,-1E+300,-0.5*((J98-Components!$D$3)/Components!$E$3)^2))</f>
        <v/>
      </c>
      <c r="M98">
        <f>IF(G98="","",IF(VLOOKUP(C98,Recipes!$A$2:$N$4,6,FALSE())=0,-1E+300,-0.5*((J98-Components!$D$4)/Components!$E$4)^2))</f>
        <v/>
      </c>
      <c r="N98">
        <f>IF(G98="","",IF(VLOOKUP(C98,Recipes!$A$2:$N$4,7,FALSE())=0,-1E+300,-0.5*((J98-Components!$D$5)/Components!$E$5)^2))</f>
        <v/>
      </c>
      <c r="O98">
        <f>IF(G98="","",IF(VLOOKUP(C98,Recipes!$A$2:$N$4,8,FALSE())=0,-1E+300,-0.5*((J98-Components!$D$6)/Components!$E$6)^2))</f>
        <v/>
      </c>
      <c r="P98">
        <f>IF(G98="","",IF(VLOOKUP(C98,Recipes!$A$2:$N$4,9,FALSE())=0,-1E+300,-0.5*((J98-Components!$D$7)/Components!$E$7)^2))</f>
        <v/>
      </c>
      <c r="Q98">
        <f>IF(G98="","",EXP(LARGE(K98:P98,1)-MAX(K98:P98))/(EXP(K98-MAX(K98:P98))+EXP(L98-MAX(K98:P98))+EXP(M98-MAX(K98:P98))+EXP(N98-MAX(K98:P98))+EXP(O98-MAX(K98:P98))+EXP(P98-MAX(K98:P98))))</f>
        <v/>
      </c>
      <c r="R98">
        <f>IF(G98="","",EXP(LARGE(K98:P98,2)-MAX(K98:P98))/(EXP(K98-MAX(K98:P98))+EXP(L98-MAX(K98:P98))+EXP(M98-MAX(K98:P98))+EXP(N98-MAX(K98:P98))+EXP(O98-MAX(K98:P98))+EXP(P98-MAX(K98:P98))))</f>
        <v/>
      </c>
      <c r="S98">
        <f>IF(G98="","",Q98-R98)</f>
        <v/>
      </c>
      <c r="T98">
        <f>IF(G98="","",IF(ABS(G98-H98)&lt;=$B$6*I98,"OK","NG"))</f>
        <v/>
      </c>
      <c r="U98">
        <f>IF(T98="","",IF(T98=D98,1,0))</f>
        <v/>
      </c>
      <c r="V98">
        <f>IF(G98="","",IF(T98="OK","NONE",INDEX({"S1","S2","W1","W2","N1","N2"},MATCH(MAX(K98:P98),K98:P98,0))))</f>
        <v/>
      </c>
      <c r="W98">
        <f>IF(G98="","",IF(V98=E98,1,0))</f>
        <v/>
      </c>
      <c r="X98">
        <f>IF(G98="","",IF(AND(T98="NG",S98&lt;$B$7),"AMBIGUOUS","CONFIDENT"))</f>
        <v/>
      </c>
    </row>
    <row r="99">
      <c r="A99">
        <f>'Runs Z score'!A92</f>
        <v/>
      </c>
      <c r="B99">
        <f>'Runs Z score'!B92</f>
        <v/>
      </c>
      <c r="C99">
        <f>'Runs Z score'!C92</f>
        <v/>
      </c>
      <c r="D99">
        <f>'Runs Z score'!D92</f>
        <v/>
      </c>
      <c r="E99">
        <f>'Runs Z score'!E92</f>
        <v/>
      </c>
      <c r="F99">
        <f>'Runs Z score'!F92</f>
        <v/>
      </c>
      <c r="G99">
        <f>'Runs Z score'!G92</f>
        <v/>
      </c>
      <c r="H99">
        <f>VLOOKUP(C99,Recipes!$A$2:$N$4,10,FALSE())</f>
        <v/>
      </c>
      <c r="I99">
        <f>VLOOKUP(C99,Recipes!$A$2:$N$4,12,FALSE())</f>
        <v/>
      </c>
      <c r="J99">
        <f>IF(G99="","",H99-G99)</f>
        <v/>
      </c>
      <c r="K99">
        <f>IF(G99="","",IF(VLOOKUP(C99,Recipes!$A$2:$N$4,4,FALSE())=0,-1E+300,-0.5*((J99-Components!$D$2)/Components!$E$2)^2))</f>
        <v/>
      </c>
      <c r="L99">
        <f>IF(G99="","",IF(VLOOKUP(C99,Recipes!$A$2:$N$4,5,FALSE())=0,-1E+300,-0.5*((J99-Components!$D$3)/Components!$E$3)^2))</f>
        <v/>
      </c>
      <c r="M99">
        <f>IF(G99="","",IF(VLOOKUP(C99,Recipes!$A$2:$N$4,6,FALSE())=0,-1E+300,-0.5*((J99-Components!$D$4)/Components!$E$4)^2))</f>
        <v/>
      </c>
      <c r="N99">
        <f>IF(G99="","",IF(VLOOKUP(C99,Recipes!$A$2:$N$4,7,FALSE())=0,-1E+300,-0.5*((J99-Components!$D$5)/Components!$E$5)^2))</f>
        <v/>
      </c>
      <c r="O99">
        <f>IF(G99="","",IF(VLOOKUP(C99,Recipes!$A$2:$N$4,8,FALSE())=0,-1E+300,-0.5*((J99-Components!$D$6)/Components!$E$6)^2))</f>
        <v/>
      </c>
      <c r="P99">
        <f>IF(G99="","",IF(VLOOKUP(C99,Recipes!$A$2:$N$4,9,FALSE())=0,-1E+300,-0.5*((J99-Components!$D$7)/Components!$E$7)^2))</f>
        <v/>
      </c>
      <c r="Q99">
        <f>IF(G99="","",EXP(LARGE(K99:P99,1)-MAX(K99:P99))/(EXP(K99-MAX(K99:P99))+EXP(L99-MAX(K99:P99))+EXP(M99-MAX(K99:P99))+EXP(N99-MAX(K99:P99))+EXP(O99-MAX(K99:P99))+EXP(P99-MAX(K99:P99))))</f>
        <v/>
      </c>
      <c r="R99">
        <f>IF(G99="","",EXP(LARGE(K99:P99,2)-MAX(K99:P99))/(EXP(K99-MAX(K99:P99))+EXP(L99-MAX(K99:P99))+EXP(M99-MAX(K99:P99))+EXP(N99-MAX(K99:P99))+EXP(O99-MAX(K99:P99))+EXP(P99-MAX(K99:P99))))</f>
        <v/>
      </c>
      <c r="S99">
        <f>IF(G99="","",Q99-R99)</f>
        <v/>
      </c>
      <c r="T99">
        <f>IF(G99="","",IF(ABS(G99-H99)&lt;=$B$6*I99,"OK","NG"))</f>
        <v/>
      </c>
      <c r="U99">
        <f>IF(T99="","",IF(T99=D99,1,0))</f>
        <v/>
      </c>
      <c r="V99">
        <f>IF(G99="","",IF(T99="OK","NONE",INDEX({"S1","S2","W1","W2","N1","N2"},MATCH(MAX(K99:P99),K99:P99,0))))</f>
        <v/>
      </c>
      <c r="W99">
        <f>IF(G99="","",IF(V99=E99,1,0))</f>
        <v/>
      </c>
      <c r="X99">
        <f>IF(G99="","",IF(AND(T99="NG",S99&lt;$B$7),"AMBIGUOUS","CONFIDENT"))</f>
        <v/>
      </c>
    </row>
    <row r="100">
      <c r="A100">
        <f>'Runs Z score'!A93</f>
        <v/>
      </c>
      <c r="B100">
        <f>'Runs Z score'!B93</f>
        <v/>
      </c>
      <c r="C100">
        <f>'Runs Z score'!C93</f>
        <v/>
      </c>
      <c r="D100">
        <f>'Runs Z score'!D93</f>
        <v/>
      </c>
      <c r="E100">
        <f>'Runs Z score'!E93</f>
        <v/>
      </c>
      <c r="F100">
        <f>'Runs Z score'!F93</f>
        <v/>
      </c>
      <c r="G100">
        <f>'Runs Z score'!G93</f>
        <v/>
      </c>
      <c r="H100">
        <f>VLOOKUP(C100,Recipes!$A$2:$N$4,10,FALSE())</f>
        <v/>
      </c>
      <c r="I100">
        <f>VLOOKUP(C100,Recipes!$A$2:$N$4,12,FALSE())</f>
        <v/>
      </c>
      <c r="J100">
        <f>IF(G100="","",H100-G100)</f>
        <v/>
      </c>
      <c r="K100">
        <f>IF(G100="","",IF(VLOOKUP(C100,Recipes!$A$2:$N$4,4,FALSE())=0,-1E+300,-0.5*((J100-Components!$D$2)/Components!$E$2)^2))</f>
        <v/>
      </c>
      <c r="L100">
        <f>IF(G100="","",IF(VLOOKUP(C100,Recipes!$A$2:$N$4,5,FALSE())=0,-1E+300,-0.5*((J100-Components!$D$3)/Components!$E$3)^2))</f>
        <v/>
      </c>
      <c r="M100">
        <f>IF(G100="","",IF(VLOOKUP(C100,Recipes!$A$2:$N$4,6,FALSE())=0,-1E+300,-0.5*((J100-Components!$D$4)/Components!$E$4)^2))</f>
        <v/>
      </c>
      <c r="N100">
        <f>IF(G100="","",IF(VLOOKUP(C100,Recipes!$A$2:$N$4,7,FALSE())=0,-1E+300,-0.5*((J100-Components!$D$5)/Components!$E$5)^2))</f>
        <v/>
      </c>
      <c r="O100">
        <f>IF(G100="","",IF(VLOOKUP(C100,Recipes!$A$2:$N$4,8,FALSE())=0,-1E+300,-0.5*((J100-Components!$D$6)/Components!$E$6)^2))</f>
        <v/>
      </c>
      <c r="P100">
        <f>IF(G100="","",IF(VLOOKUP(C100,Recipes!$A$2:$N$4,9,FALSE())=0,-1E+300,-0.5*((J100-Components!$D$7)/Components!$E$7)^2))</f>
        <v/>
      </c>
      <c r="Q100">
        <f>IF(G100="","",EXP(LARGE(K100:P100,1)-MAX(K100:P100))/(EXP(K100-MAX(K100:P100))+EXP(L100-MAX(K100:P100))+EXP(M100-MAX(K100:P100))+EXP(N100-MAX(K100:P100))+EXP(O100-MAX(K100:P100))+EXP(P100-MAX(K100:P100))))</f>
        <v/>
      </c>
      <c r="R100">
        <f>IF(G100="","",EXP(LARGE(K100:P100,2)-MAX(K100:P100))/(EXP(K100-MAX(K100:P100))+EXP(L100-MAX(K100:P100))+EXP(M100-MAX(K100:P100))+EXP(N100-MAX(K100:P100))+EXP(O100-MAX(K100:P100))+EXP(P100-MAX(K100:P100))))</f>
        <v/>
      </c>
      <c r="S100">
        <f>IF(G100="","",Q100-R100)</f>
        <v/>
      </c>
      <c r="T100">
        <f>IF(G100="","",IF(ABS(G100-H100)&lt;=$B$6*I100,"OK","NG"))</f>
        <v/>
      </c>
      <c r="U100">
        <f>IF(T100="","",IF(T100=D100,1,0))</f>
        <v/>
      </c>
      <c r="V100">
        <f>IF(G100="","",IF(T100="OK","NONE",INDEX({"S1","S2","W1","W2","N1","N2"},MATCH(MAX(K100:P100),K100:P100,0))))</f>
        <v/>
      </c>
      <c r="W100">
        <f>IF(G100="","",IF(V100=E100,1,0))</f>
        <v/>
      </c>
      <c r="X100">
        <f>IF(G100="","",IF(AND(T100="NG",S100&lt;$B$7),"AMBIGUOUS","CONFIDENT"))</f>
        <v/>
      </c>
    </row>
    <row r="101">
      <c r="A101">
        <f>'Runs Z score'!A94</f>
        <v/>
      </c>
      <c r="B101">
        <f>'Runs Z score'!B94</f>
        <v/>
      </c>
      <c r="C101">
        <f>'Runs Z score'!C94</f>
        <v/>
      </c>
      <c r="D101">
        <f>'Runs Z score'!D94</f>
        <v/>
      </c>
      <c r="E101">
        <f>'Runs Z score'!E94</f>
        <v/>
      </c>
      <c r="F101">
        <f>'Runs Z score'!F94</f>
        <v/>
      </c>
      <c r="G101">
        <f>'Runs Z score'!G94</f>
        <v/>
      </c>
      <c r="H101">
        <f>VLOOKUP(C101,Recipes!$A$2:$N$4,10,FALSE())</f>
        <v/>
      </c>
      <c r="I101">
        <f>VLOOKUP(C101,Recipes!$A$2:$N$4,12,FALSE())</f>
        <v/>
      </c>
      <c r="J101">
        <f>IF(G101="","",H101-G101)</f>
        <v/>
      </c>
      <c r="K101">
        <f>IF(G101="","",IF(VLOOKUP(C101,Recipes!$A$2:$N$4,4,FALSE())=0,-1E+300,-0.5*((J101-Components!$D$2)/Components!$E$2)^2))</f>
        <v/>
      </c>
      <c r="L101">
        <f>IF(G101="","",IF(VLOOKUP(C101,Recipes!$A$2:$N$4,5,FALSE())=0,-1E+300,-0.5*((J101-Components!$D$3)/Components!$E$3)^2))</f>
        <v/>
      </c>
      <c r="M101">
        <f>IF(G101="","",IF(VLOOKUP(C101,Recipes!$A$2:$N$4,6,FALSE())=0,-1E+300,-0.5*((J101-Components!$D$4)/Components!$E$4)^2))</f>
        <v/>
      </c>
      <c r="N101">
        <f>IF(G101="","",IF(VLOOKUP(C101,Recipes!$A$2:$N$4,7,FALSE())=0,-1E+300,-0.5*((J101-Components!$D$5)/Components!$E$5)^2))</f>
        <v/>
      </c>
      <c r="O101">
        <f>IF(G101="","",IF(VLOOKUP(C101,Recipes!$A$2:$N$4,8,FALSE())=0,-1E+300,-0.5*((J101-Components!$D$6)/Components!$E$6)^2))</f>
        <v/>
      </c>
      <c r="P101">
        <f>IF(G101="","",IF(VLOOKUP(C101,Recipes!$A$2:$N$4,9,FALSE())=0,-1E+300,-0.5*((J101-Components!$D$7)/Components!$E$7)^2))</f>
        <v/>
      </c>
      <c r="Q101">
        <f>IF(G101="","",EXP(LARGE(K101:P101,1)-MAX(K101:P101))/(EXP(K101-MAX(K101:P101))+EXP(L101-MAX(K101:P101))+EXP(M101-MAX(K101:P101))+EXP(N101-MAX(K101:P101))+EXP(O101-MAX(K101:P101))+EXP(P101-MAX(K101:P101))))</f>
        <v/>
      </c>
      <c r="R101">
        <f>IF(G101="","",EXP(LARGE(K101:P101,2)-MAX(K101:P101))/(EXP(K101-MAX(K101:P101))+EXP(L101-MAX(K101:P101))+EXP(M101-MAX(K101:P101))+EXP(N101-MAX(K101:P101))+EXP(O101-MAX(K101:P101))+EXP(P101-MAX(K101:P101))))</f>
        <v/>
      </c>
      <c r="S101">
        <f>IF(G101="","",Q101-R101)</f>
        <v/>
      </c>
      <c r="T101">
        <f>IF(G101="","",IF(ABS(G101-H101)&lt;=$B$6*I101,"OK","NG"))</f>
        <v/>
      </c>
      <c r="U101">
        <f>IF(T101="","",IF(T101=D101,1,0))</f>
        <v/>
      </c>
      <c r="V101">
        <f>IF(G101="","",IF(T101="OK","NONE",INDEX({"S1","S2","W1","W2","N1","N2"},MATCH(MAX(K101:P101),K101:P101,0))))</f>
        <v/>
      </c>
      <c r="W101">
        <f>IF(G101="","",IF(V101=E101,1,0))</f>
        <v/>
      </c>
      <c r="X101">
        <f>IF(G101="","",IF(AND(T101="NG",S101&lt;$B$7),"AMBIGUOUS","CONFIDENT"))</f>
        <v/>
      </c>
    </row>
    <row r="102">
      <c r="A102">
        <f>'Runs Z score'!A95</f>
        <v/>
      </c>
      <c r="B102">
        <f>'Runs Z score'!B95</f>
        <v/>
      </c>
      <c r="C102">
        <f>'Runs Z score'!C95</f>
        <v/>
      </c>
      <c r="D102">
        <f>'Runs Z score'!D95</f>
        <v/>
      </c>
      <c r="E102">
        <f>'Runs Z score'!E95</f>
        <v/>
      </c>
      <c r="F102">
        <f>'Runs Z score'!F95</f>
        <v/>
      </c>
      <c r="G102">
        <f>'Runs Z score'!G95</f>
        <v/>
      </c>
      <c r="H102">
        <f>VLOOKUP(C102,Recipes!$A$2:$N$4,10,FALSE())</f>
        <v/>
      </c>
      <c r="I102">
        <f>VLOOKUP(C102,Recipes!$A$2:$N$4,12,FALSE())</f>
        <v/>
      </c>
      <c r="J102">
        <f>IF(G102="","",H102-G102)</f>
        <v/>
      </c>
      <c r="K102">
        <f>IF(G102="","",IF(VLOOKUP(C102,Recipes!$A$2:$N$4,4,FALSE())=0,-1E+300,-0.5*((J102-Components!$D$2)/Components!$E$2)^2))</f>
        <v/>
      </c>
      <c r="L102">
        <f>IF(G102="","",IF(VLOOKUP(C102,Recipes!$A$2:$N$4,5,FALSE())=0,-1E+300,-0.5*((J102-Components!$D$3)/Components!$E$3)^2))</f>
        <v/>
      </c>
      <c r="M102">
        <f>IF(G102="","",IF(VLOOKUP(C102,Recipes!$A$2:$N$4,6,FALSE())=0,-1E+300,-0.5*((J102-Components!$D$4)/Components!$E$4)^2))</f>
        <v/>
      </c>
      <c r="N102">
        <f>IF(G102="","",IF(VLOOKUP(C102,Recipes!$A$2:$N$4,7,FALSE())=0,-1E+300,-0.5*((J102-Components!$D$5)/Components!$E$5)^2))</f>
        <v/>
      </c>
      <c r="O102">
        <f>IF(G102="","",IF(VLOOKUP(C102,Recipes!$A$2:$N$4,8,FALSE())=0,-1E+300,-0.5*((J102-Components!$D$6)/Components!$E$6)^2))</f>
        <v/>
      </c>
      <c r="P102">
        <f>IF(G102="","",IF(VLOOKUP(C102,Recipes!$A$2:$N$4,9,FALSE())=0,-1E+300,-0.5*((J102-Components!$D$7)/Components!$E$7)^2))</f>
        <v/>
      </c>
      <c r="Q102">
        <f>IF(G102="","",EXP(LARGE(K102:P102,1)-MAX(K102:P102))/(EXP(K102-MAX(K102:P102))+EXP(L102-MAX(K102:P102))+EXP(M102-MAX(K102:P102))+EXP(N102-MAX(K102:P102))+EXP(O102-MAX(K102:P102))+EXP(P102-MAX(K102:P102))))</f>
        <v/>
      </c>
      <c r="R102">
        <f>IF(G102="","",EXP(LARGE(K102:P102,2)-MAX(K102:P102))/(EXP(K102-MAX(K102:P102))+EXP(L102-MAX(K102:P102))+EXP(M102-MAX(K102:P102))+EXP(N102-MAX(K102:P102))+EXP(O102-MAX(K102:P102))+EXP(P102-MAX(K102:P102))))</f>
        <v/>
      </c>
      <c r="S102">
        <f>IF(G102="","",Q102-R102)</f>
        <v/>
      </c>
      <c r="T102">
        <f>IF(G102="","",IF(ABS(G102-H102)&lt;=$B$6*I102,"OK","NG"))</f>
        <v/>
      </c>
      <c r="U102">
        <f>IF(T102="","",IF(T102=D102,1,0))</f>
        <v/>
      </c>
      <c r="V102">
        <f>IF(G102="","",IF(T102="OK","NONE",INDEX({"S1","S2","W1","W2","N1","N2"},MATCH(MAX(K102:P102),K102:P102,0))))</f>
        <v/>
      </c>
      <c r="W102">
        <f>IF(G102="","",IF(V102=E102,1,0))</f>
        <v/>
      </c>
      <c r="X102">
        <f>IF(G102="","",IF(AND(T102="NG",S102&lt;$B$7),"AMBIGUOUS","CONFIDENT"))</f>
        <v/>
      </c>
    </row>
    <row r="103">
      <c r="A103">
        <f>'Runs Z score'!A96</f>
        <v/>
      </c>
      <c r="B103">
        <f>'Runs Z score'!B96</f>
        <v/>
      </c>
      <c r="C103">
        <f>'Runs Z score'!C96</f>
        <v/>
      </c>
      <c r="D103">
        <f>'Runs Z score'!D96</f>
        <v/>
      </c>
      <c r="E103">
        <f>'Runs Z score'!E96</f>
        <v/>
      </c>
      <c r="F103">
        <f>'Runs Z score'!F96</f>
        <v/>
      </c>
      <c r="G103">
        <f>'Runs Z score'!G96</f>
        <v/>
      </c>
      <c r="H103">
        <f>VLOOKUP(C103,Recipes!$A$2:$N$4,10,FALSE())</f>
        <v/>
      </c>
      <c r="I103">
        <f>VLOOKUP(C103,Recipes!$A$2:$N$4,12,FALSE())</f>
        <v/>
      </c>
      <c r="J103">
        <f>IF(G103="","",H103-G103)</f>
        <v/>
      </c>
      <c r="K103">
        <f>IF(G103="","",IF(VLOOKUP(C103,Recipes!$A$2:$N$4,4,FALSE())=0,-1E+300,-0.5*((J103-Components!$D$2)/Components!$E$2)^2))</f>
        <v/>
      </c>
      <c r="L103">
        <f>IF(G103="","",IF(VLOOKUP(C103,Recipes!$A$2:$N$4,5,FALSE())=0,-1E+300,-0.5*((J103-Components!$D$3)/Components!$E$3)^2))</f>
        <v/>
      </c>
      <c r="M103">
        <f>IF(G103="","",IF(VLOOKUP(C103,Recipes!$A$2:$N$4,6,FALSE())=0,-1E+300,-0.5*((J103-Components!$D$4)/Components!$E$4)^2))</f>
        <v/>
      </c>
      <c r="N103">
        <f>IF(G103="","",IF(VLOOKUP(C103,Recipes!$A$2:$N$4,7,FALSE())=0,-1E+300,-0.5*((J103-Components!$D$5)/Components!$E$5)^2))</f>
        <v/>
      </c>
      <c r="O103">
        <f>IF(G103="","",IF(VLOOKUP(C103,Recipes!$A$2:$N$4,8,FALSE())=0,-1E+300,-0.5*((J103-Components!$D$6)/Components!$E$6)^2))</f>
        <v/>
      </c>
      <c r="P103">
        <f>IF(G103="","",IF(VLOOKUP(C103,Recipes!$A$2:$N$4,9,FALSE())=0,-1E+300,-0.5*((J103-Components!$D$7)/Components!$E$7)^2))</f>
        <v/>
      </c>
      <c r="Q103">
        <f>IF(G103="","",EXP(LARGE(K103:P103,1)-MAX(K103:P103))/(EXP(K103-MAX(K103:P103))+EXP(L103-MAX(K103:P103))+EXP(M103-MAX(K103:P103))+EXP(N103-MAX(K103:P103))+EXP(O103-MAX(K103:P103))+EXP(P103-MAX(K103:P103))))</f>
        <v/>
      </c>
      <c r="R103">
        <f>IF(G103="","",EXP(LARGE(K103:P103,2)-MAX(K103:P103))/(EXP(K103-MAX(K103:P103))+EXP(L103-MAX(K103:P103))+EXP(M103-MAX(K103:P103))+EXP(N103-MAX(K103:P103))+EXP(O103-MAX(K103:P103))+EXP(P103-MAX(K103:P103))))</f>
        <v/>
      </c>
      <c r="S103">
        <f>IF(G103="","",Q103-R103)</f>
        <v/>
      </c>
      <c r="T103">
        <f>IF(G103="","",IF(ABS(G103-H103)&lt;=$B$6*I103,"OK","NG"))</f>
        <v/>
      </c>
      <c r="U103">
        <f>IF(T103="","",IF(T103=D103,1,0))</f>
        <v/>
      </c>
      <c r="V103">
        <f>IF(G103="","",IF(T103="OK","NONE",INDEX({"S1","S2","W1","W2","N1","N2"},MATCH(MAX(K103:P103),K103:P103,0))))</f>
        <v/>
      </c>
      <c r="W103">
        <f>IF(G103="","",IF(V103=E103,1,0))</f>
        <v/>
      </c>
      <c r="X103">
        <f>IF(G103="","",IF(AND(T103="NG",S103&lt;$B$7),"AMBIGUOUS","CONFIDENT"))</f>
        <v/>
      </c>
    </row>
    <row r="104">
      <c r="A104">
        <f>'Runs Z score'!A97</f>
        <v/>
      </c>
      <c r="B104">
        <f>'Runs Z score'!B97</f>
        <v/>
      </c>
      <c r="C104">
        <f>'Runs Z score'!C97</f>
        <v/>
      </c>
      <c r="D104">
        <f>'Runs Z score'!D97</f>
        <v/>
      </c>
      <c r="E104">
        <f>'Runs Z score'!E97</f>
        <v/>
      </c>
      <c r="F104">
        <f>'Runs Z score'!F97</f>
        <v/>
      </c>
      <c r="G104">
        <f>'Runs Z score'!G97</f>
        <v/>
      </c>
      <c r="H104">
        <f>VLOOKUP(C104,Recipes!$A$2:$N$4,10,FALSE())</f>
        <v/>
      </c>
      <c r="I104">
        <f>VLOOKUP(C104,Recipes!$A$2:$N$4,12,FALSE())</f>
        <v/>
      </c>
      <c r="J104">
        <f>IF(G104="","",H104-G104)</f>
        <v/>
      </c>
      <c r="K104">
        <f>IF(G104="","",IF(VLOOKUP(C104,Recipes!$A$2:$N$4,4,FALSE())=0,-1E+300,-0.5*((J104-Components!$D$2)/Components!$E$2)^2))</f>
        <v/>
      </c>
      <c r="L104">
        <f>IF(G104="","",IF(VLOOKUP(C104,Recipes!$A$2:$N$4,5,FALSE())=0,-1E+300,-0.5*((J104-Components!$D$3)/Components!$E$3)^2))</f>
        <v/>
      </c>
      <c r="M104">
        <f>IF(G104="","",IF(VLOOKUP(C104,Recipes!$A$2:$N$4,6,FALSE())=0,-1E+300,-0.5*((J104-Components!$D$4)/Components!$E$4)^2))</f>
        <v/>
      </c>
      <c r="N104">
        <f>IF(G104="","",IF(VLOOKUP(C104,Recipes!$A$2:$N$4,7,FALSE())=0,-1E+300,-0.5*((J104-Components!$D$5)/Components!$E$5)^2))</f>
        <v/>
      </c>
      <c r="O104">
        <f>IF(G104="","",IF(VLOOKUP(C104,Recipes!$A$2:$N$4,8,FALSE())=0,-1E+300,-0.5*((J104-Components!$D$6)/Components!$E$6)^2))</f>
        <v/>
      </c>
      <c r="P104">
        <f>IF(G104="","",IF(VLOOKUP(C104,Recipes!$A$2:$N$4,9,FALSE())=0,-1E+300,-0.5*((J104-Components!$D$7)/Components!$E$7)^2))</f>
        <v/>
      </c>
      <c r="Q104">
        <f>IF(G104="","",EXP(LARGE(K104:P104,1)-MAX(K104:P104))/(EXP(K104-MAX(K104:P104))+EXP(L104-MAX(K104:P104))+EXP(M104-MAX(K104:P104))+EXP(N104-MAX(K104:P104))+EXP(O104-MAX(K104:P104))+EXP(P104-MAX(K104:P104))))</f>
        <v/>
      </c>
      <c r="R104">
        <f>IF(G104="","",EXP(LARGE(K104:P104,2)-MAX(K104:P104))/(EXP(K104-MAX(K104:P104))+EXP(L104-MAX(K104:P104))+EXP(M104-MAX(K104:P104))+EXP(N104-MAX(K104:P104))+EXP(O104-MAX(K104:P104))+EXP(P104-MAX(K104:P104))))</f>
        <v/>
      </c>
      <c r="S104">
        <f>IF(G104="","",Q104-R104)</f>
        <v/>
      </c>
      <c r="T104">
        <f>IF(G104="","",IF(ABS(G104-H104)&lt;=$B$6*I104,"OK","NG"))</f>
        <v/>
      </c>
      <c r="U104">
        <f>IF(T104="","",IF(T104=D104,1,0))</f>
        <v/>
      </c>
      <c r="V104">
        <f>IF(G104="","",IF(T104="OK","NONE",INDEX({"S1","S2","W1","W2","N1","N2"},MATCH(MAX(K104:P104),K104:P104,0))))</f>
        <v/>
      </c>
      <c r="W104">
        <f>IF(G104="","",IF(V104=E104,1,0))</f>
        <v/>
      </c>
      <c r="X104">
        <f>IF(G104="","",IF(AND(T104="NG",S104&lt;$B$7),"AMBIGUOUS","CONFIDENT"))</f>
        <v/>
      </c>
    </row>
    <row r="105">
      <c r="A105">
        <f>'Runs Z score'!A98</f>
        <v/>
      </c>
      <c r="B105">
        <f>'Runs Z score'!B98</f>
        <v/>
      </c>
      <c r="C105">
        <f>'Runs Z score'!C98</f>
        <v/>
      </c>
      <c r="D105">
        <f>'Runs Z score'!D98</f>
        <v/>
      </c>
      <c r="E105">
        <f>'Runs Z score'!E98</f>
        <v/>
      </c>
      <c r="F105">
        <f>'Runs Z score'!F98</f>
        <v/>
      </c>
      <c r="G105">
        <f>'Runs Z score'!G98</f>
        <v/>
      </c>
      <c r="H105">
        <f>VLOOKUP(C105,Recipes!$A$2:$N$4,10,FALSE())</f>
        <v/>
      </c>
      <c r="I105">
        <f>VLOOKUP(C105,Recipes!$A$2:$N$4,12,FALSE())</f>
        <v/>
      </c>
      <c r="J105">
        <f>IF(G105="","",H105-G105)</f>
        <v/>
      </c>
      <c r="K105">
        <f>IF(G105="","",IF(VLOOKUP(C105,Recipes!$A$2:$N$4,4,FALSE())=0,-1E+300,-0.5*((J105-Components!$D$2)/Components!$E$2)^2))</f>
        <v/>
      </c>
      <c r="L105">
        <f>IF(G105="","",IF(VLOOKUP(C105,Recipes!$A$2:$N$4,5,FALSE())=0,-1E+300,-0.5*((J105-Components!$D$3)/Components!$E$3)^2))</f>
        <v/>
      </c>
      <c r="M105">
        <f>IF(G105="","",IF(VLOOKUP(C105,Recipes!$A$2:$N$4,6,FALSE())=0,-1E+300,-0.5*((J105-Components!$D$4)/Components!$E$4)^2))</f>
        <v/>
      </c>
      <c r="N105">
        <f>IF(G105="","",IF(VLOOKUP(C105,Recipes!$A$2:$N$4,7,FALSE())=0,-1E+300,-0.5*((J105-Components!$D$5)/Components!$E$5)^2))</f>
        <v/>
      </c>
      <c r="O105">
        <f>IF(G105="","",IF(VLOOKUP(C105,Recipes!$A$2:$N$4,8,FALSE())=0,-1E+300,-0.5*((J105-Components!$D$6)/Components!$E$6)^2))</f>
        <v/>
      </c>
      <c r="P105">
        <f>IF(G105="","",IF(VLOOKUP(C105,Recipes!$A$2:$N$4,9,FALSE())=0,-1E+300,-0.5*((J105-Components!$D$7)/Components!$E$7)^2))</f>
        <v/>
      </c>
      <c r="Q105">
        <f>IF(G105="","",EXP(LARGE(K105:P105,1)-MAX(K105:P105))/(EXP(K105-MAX(K105:P105))+EXP(L105-MAX(K105:P105))+EXP(M105-MAX(K105:P105))+EXP(N105-MAX(K105:P105))+EXP(O105-MAX(K105:P105))+EXP(P105-MAX(K105:P105))))</f>
        <v/>
      </c>
      <c r="R105">
        <f>IF(G105="","",EXP(LARGE(K105:P105,2)-MAX(K105:P105))/(EXP(K105-MAX(K105:P105))+EXP(L105-MAX(K105:P105))+EXP(M105-MAX(K105:P105))+EXP(N105-MAX(K105:P105))+EXP(O105-MAX(K105:P105))+EXP(P105-MAX(K105:P105))))</f>
        <v/>
      </c>
      <c r="S105">
        <f>IF(G105="","",Q105-R105)</f>
        <v/>
      </c>
      <c r="T105">
        <f>IF(G105="","",IF(ABS(G105-H105)&lt;=$B$6*I105,"OK","NG"))</f>
        <v/>
      </c>
      <c r="U105">
        <f>IF(T105="","",IF(T105=D105,1,0))</f>
        <v/>
      </c>
      <c r="V105">
        <f>IF(G105="","",IF(T105="OK","NONE",INDEX({"S1","S2","W1","W2","N1","N2"},MATCH(MAX(K105:P105),K105:P105,0))))</f>
        <v/>
      </c>
      <c r="W105">
        <f>IF(G105="","",IF(V105=E105,1,0))</f>
        <v/>
      </c>
      <c r="X105">
        <f>IF(G105="","",IF(AND(T105="NG",S105&lt;$B$7),"AMBIGUOUS","CONFIDENT"))</f>
        <v/>
      </c>
    </row>
    <row r="106">
      <c r="A106">
        <f>'Runs Z score'!A99</f>
        <v/>
      </c>
      <c r="B106">
        <f>'Runs Z score'!B99</f>
        <v/>
      </c>
      <c r="C106">
        <f>'Runs Z score'!C99</f>
        <v/>
      </c>
      <c r="D106">
        <f>'Runs Z score'!D99</f>
        <v/>
      </c>
      <c r="E106">
        <f>'Runs Z score'!E99</f>
        <v/>
      </c>
      <c r="F106">
        <f>'Runs Z score'!F99</f>
        <v/>
      </c>
      <c r="G106">
        <f>'Runs Z score'!G99</f>
        <v/>
      </c>
      <c r="H106">
        <f>VLOOKUP(C106,Recipes!$A$2:$N$4,10,FALSE())</f>
        <v/>
      </c>
      <c r="I106">
        <f>VLOOKUP(C106,Recipes!$A$2:$N$4,12,FALSE())</f>
        <v/>
      </c>
      <c r="J106">
        <f>IF(G106="","",H106-G106)</f>
        <v/>
      </c>
      <c r="K106">
        <f>IF(G106="","",IF(VLOOKUP(C106,Recipes!$A$2:$N$4,4,FALSE())=0,-1E+300,-0.5*((J106-Components!$D$2)/Components!$E$2)^2))</f>
        <v/>
      </c>
      <c r="L106">
        <f>IF(G106="","",IF(VLOOKUP(C106,Recipes!$A$2:$N$4,5,FALSE())=0,-1E+300,-0.5*((J106-Components!$D$3)/Components!$E$3)^2))</f>
        <v/>
      </c>
      <c r="M106">
        <f>IF(G106="","",IF(VLOOKUP(C106,Recipes!$A$2:$N$4,6,FALSE())=0,-1E+300,-0.5*((J106-Components!$D$4)/Components!$E$4)^2))</f>
        <v/>
      </c>
      <c r="N106">
        <f>IF(G106="","",IF(VLOOKUP(C106,Recipes!$A$2:$N$4,7,FALSE())=0,-1E+300,-0.5*((J106-Components!$D$5)/Components!$E$5)^2))</f>
        <v/>
      </c>
      <c r="O106">
        <f>IF(G106="","",IF(VLOOKUP(C106,Recipes!$A$2:$N$4,8,FALSE())=0,-1E+300,-0.5*((J106-Components!$D$6)/Components!$E$6)^2))</f>
        <v/>
      </c>
      <c r="P106">
        <f>IF(G106="","",IF(VLOOKUP(C106,Recipes!$A$2:$N$4,9,FALSE())=0,-1E+300,-0.5*((J106-Components!$D$7)/Components!$E$7)^2))</f>
        <v/>
      </c>
      <c r="Q106">
        <f>IF(G106="","",EXP(LARGE(K106:P106,1)-MAX(K106:P106))/(EXP(K106-MAX(K106:P106))+EXP(L106-MAX(K106:P106))+EXP(M106-MAX(K106:P106))+EXP(N106-MAX(K106:P106))+EXP(O106-MAX(K106:P106))+EXP(P106-MAX(K106:P106))))</f>
        <v/>
      </c>
      <c r="R106">
        <f>IF(G106="","",EXP(LARGE(K106:P106,2)-MAX(K106:P106))/(EXP(K106-MAX(K106:P106))+EXP(L106-MAX(K106:P106))+EXP(M106-MAX(K106:P106))+EXP(N106-MAX(K106:P106))+EXP(O106-MAX(K106:P106))+EXP(P106-MAX(K106:P106))))</f>
        <v/>
      </c>
      <c r="S106">
        <f>IF(G106="","",Q106-R106)</f>
        <v/>
      </c>
      <c r="T106">
        <f>IF(G106="","",IF(ABS(G106-H106)&lt;=$B$6*I106,"OK","NG"))</f>
        <v/>
      </c>
      <c r="U106">
        <f>IF(T106="","",IF(T106=D106,1,0))</f>
        <v/>
      </c>
      <c r="V106">
        <f>IF(G106="","",IF(T106="OK","NONE",INDEX({"S1","S2","W1","W2","N1","N2"},MATCH(MAX(K106:P106),K106:P106,0))))</f>
        <v/>
      </c>
      <c r="W106">
        <f>IF(G106="","",IF(V106=E106,1,0))</f>
        <v/>
      </c>
      <c r="X106">
        <f>IF(G106="","",IF(AND(T106="NG",S106&lt;$B$7),"AMBIGUOUS","CONFIDENT"))</f>
        <v/>
      </c>
    </row>
    <row r="107">
      <c r="A107">
        <f>'Runs Z score'!A100</f>
        <v/>
      </c>
      <c r="B107">
        <f>'Runs Z score'!B100</f>
        <v/>
      </c>
      <c r="C107">
        <f>'Runs Z score'!C100</f>
        <v/>
      </c>
      <c r="D107">
        <f>'Runs Z score'!D100</f>
        <v/>
      </c>
      <c r="E107">
        <f>'Runs Z score'!E100</f>
        <v/>
      </c>
      <c r="F107">
        <f>'Runs Z score'!F100</f>
        <v/>
      </c>
      <c r="G107">
        <f>'Runs Z score'!G100</f>
        <v/>
      </c>
      <c r="H107">
        <f>VLOOKUP(C107,Recipes!$A$2:$N$4,10,FALSE())</f>
        <v/>
      </c>
      <c r="I107">
        <f>VLOOKUP(C107,Recipes!$A$2:$N$4,12,FALSE())</f>
        <v/>
      </c>
      <c r="J107">
        <f>IF(G107="","",H107-G107)</f>
        <v/>
      </c>
      <c r="K107">
        <f>IF(G107="","",IF(VLOOKUP(C107,Recipes!$A$2:$N$4,4,FALSE())=0,-1E+300,-0.5*((J107-Components!$D$2)/Components!$E$2)^2))</f>
        <v/>
      </c>
      <c r="L107">
        <f>IF(G107="","",IF(VLOOKUP(C107,Recipes!$A$2:$N$4,5,FALSE())=0,-1E+300,-0.5*((J107-Components!$D$3)/Components!$E$3)^2))</f>
        <v/>
      </c>
      <c r="M107">
        <f>IF(G107="","",IF(VLOOKUP(C107,Recipes!$A$2:$N$4,6,FALSE())=0,-1E+300,-0.5*((J107-Components!$D$4)/Components!$E$4)^2))</f>
        <v/>
      </c>
      <c r="N107">
        <f>IF(G107="","",IF(VLOOKUP(C107,Recipes!$A$2:$N$4,7,FALSE())=0,-1E+300,-0.5*((J107-Components!$D$5)/Components!$E$5)^2))</f>
        <v/>
      </c>
      <c r="O107">
        <f>IF(G107="","",IF(VLOOKUP(C107,Recipes!$A$2:$N$4,8,FALSE())=0,-1E+300,-0.5*((J107-Components!$D$6)/Components!$E$6)^2))</f>
        <v/>
      </c>
      <c r="P107">
        <f>IF(G107="","",IF(VLOOKUP(C107,Recipes!$A$2:$N$4,9,FALSE())=0,-1E+300,-0.5*((J107-Components!$D$7)/Components!$E$7)^2))</f>
        <v/>
      </c>
      <c r="Q107">
        <f>IF(G107="","",EXP(LARGE(K107:P107,1)-MAX(K107:P107))/(EXP(K107-MAX(K107:P107))+EXP(L107-MAX(K107:P107))+EXP(M107-MAX(K107:P107))+EXP(N107-MAX(K107:P107))+EXP(O107-MAX(K107:P107))+EXP(P107-MAX(K107:P107))))</f>
        <v/>
      </c>
      <c r="R107">
        <f>IF(G107="","",EXP(LARGE(K107:P107,2)-MAX(K107:P107))/(EXP(K107-MAX(K107:P107))+EXP(L107-MAX(K107:P107))+EXP(M107-MAX(K107:P107))+EXP(N107-MAX(K107:P107))+EXP(O107-MAX(K107:P107))+EXP(P107-MAX(K107:P107))))</f>
        <v/>
      </c>
      <c r="S107">
        <f>IF(G107="","",Q107-R107)</f>
        <v/>
      </c>
      <c r="T107">
        <f>IF(G107="","",IF(ABS(G107-H107)&lt;=$B$6*I107,"OK","NG"))</f>
        <v/>
      </c>
      <c r="U107">
        <f>IF(T107="","",IF(T107=D107,1,0))</f>
        <v/>
      </c>
      <c r="V107">
        <f>IF(G107="","",IF(T107="OK","NONE",INDEX({"S1","S2","W1","W2","N1","N2"},MATCH(MAX(K107:P107),K107:P107,0))))</f>
        <v/>
      </c>
      <c r="W107">
        <f>IF(G107="","",IF(V107=E107,1,0))</f>
        <v/>
      </c>
      <c r="X107">
        <f>IF(G107="","",IF(AND(T107="NG",S107&lt;$B$7),"AMBIGUOUS","CONFIDENT"))</f>
        <v/>
      </c>
    </row>
    <row r="108">
      <c r="A108">
        <f>'Runs Z score'!A101</f>
        <v/>
      </c>
      <c r="B108">
        <f>'Runs Z score'!B101</f>
        <v/>
      </c>
      <c r="C108">
        <f>'Runs Z score'!C101</f>
        <v/>
      </c>
      <c r="D108">
        <f>'Runs Z score'!D101</f>
        <v/>
      </c>
      <c r="E108">
        <f>'Runs Z score'!E101</f>
        <v/>
      </c>
      <c r="F108">
        <f>'Runs Z score'!F101</f>
        <v/>
      </c>
      <c r="G108">
        <f>'Runs Z score'!G101</f>
        <v/>
      </c>
      <c r="H108">
        <f>VLOOKUP(C108,Recipes!$A$2:$N$4,10,FALSE())</f>
        <v/>
      </c>
      <c r="I108">
        <f>VLOOKUP(C108,Recipes!$A$2:$N$4,12,FALSE())</f>
        <v/>
      </c>
      <c r="J108">
        <f>IF(G108="","",H108-G108)</f>
        <v/>
      </c>
      <c r="K108">
        <f>IF(G108="","",IF(VLOOKUP(C108,Recipes!$A$2:$N$4,4,FALSE())=0,-1E+300,-0.5*((J108-Components!$D$2)/Components!$E$2)^2))</f>
        <v/>
      </c>
      <c r="L108">
        <f>IF(G108="","",IF(VLOOKUP(C108,Recipes!$A$2:$N$4,5,FALSE())=0,-1E+300,-0.5*((J108-Components!$D$3)/Components!$E$3)^2))</f>
        <v/>
      </c>
      <c r="M108">
        <f>IF(G108="","",IF(VLOOKUP(C108,Recipes!$A$2:$N$4,6,FALSE())=0,-1E+300,-0.5*((J108-Components!$D$4)/Components!$E$4)^2))</f>
        <v/>
      </c>
      <c r="N108">
        <f>IF(G108="","",IF(VLOOKUP(C108,Recipes!$A$2:$N$4,7,FALSE())=0,-1E+300,-0.5*((J108-Components!$D$5)/Components!$E$5)^2))</f>
        <v/>
      </c>
      <c r="O108">
        <f>IF(G108="","",IF(VLOOKUP(C108,Recipes!$A$2:$N$4,8,FALSE())=0,-1E+300,-0.5*((J108-Components!$D$6)/Components!$E$6)^2))</f>
        <v/>
      </c>
      <c r="P108">
        <f>IF(G108="","",IF(VLOOKUP(C108,Recipes!$A$2:$N$4,9,FALSE())=0,-1E+300,-0.5*((J108-Components!$D$7)/Components!$E$7)^2))</f>
        <v/>
      </c>
      <c r="Q108">
        <f>IF(G108="","",EXP(LARGE(K108:P108,1)-MAX(K108:P108))/(EXP(K108-MAX(K108:P108))+EXP(L108-MAX(K108:P108))+EXP(M108-MAX(K108:P108))+EXP(N108-MAX(K108:P108))+EXP(O108-MAX(K108:P108))+EXP(P108-MAX(K108:P108))))</f>
        <v/>
      </c>
      <c r="R108">
        <f>IF(G108="","",EXP(LARGE(K108:P108,2)-MAX(K108:P108))/(EXP(K108-MAX(K108:P108))+EXP(L108-MAX(K108:P108))+EXP(M108-MAX(K108:P108))+EXP(N108-MAX(K108:P108))+EXP(O108-MAX(K108:P108))+EXP(P108-MAX(K108:P108))))</f>
        <v/>
      </c>
      <c r="S108">
        <f>IF(G108="","",Q108-R108)</f>
        <v/>
      </c>
      <c r="T108">
        <f>IF(G108="","",IF(ABS(G108-H108)&lt;=$B$6*I108,"OK","NG"))</f>
        <v/>
      </c>
      <c r="U108">
        <f>IF(T108="","",IF(T108=D108,1,0))</f>
        <v/>
      </c>
      <c r="V108">
        <f>IF(G108="","",IF(T108="OK","NONE",INDEX({"S1","S2","W1","W2","N1","N2"},MATCH(MAX(K108:P108),K108:P108,0))))</f>
        <v/>
      </c>
      <c r="W108">
        <f>IF(G108="","",IF(V108=E108,1,0))</f>
        <v/>
      </c>
      <c r="X108">
        <f>IF(G108="","",IF(AND(T108="NG",S108&lt;$B$7),"AMBIGUOUS","CONFIDENT"))</f>
        <v/>
      </c>
    </row>
    <row r="109">
      <c r="A109">
        <f>'Runs Z score'!A102</f>
        <v/>
      </c>
      <c r="B109">
        <f>'Runs Z score'!B102</f>
        <v/>
      </c>
      <c r="C109">
        <f>'Runs Z score'!C102</f>
        <v/>
      </c>
      <c r="D109">
        <f>'Runs Z score'!D102</f>
        <v/>
      </c>
      <c r="E109">
        <f>'Runs Z score'!E102</f>
        <v/>
      </c>
      <c r="F109">
        <f>'Runs Z score'!F102</f>
        <v/>
      </c>
      <c r="G109">
        <f>'Runs Z score'!G102</f>
        <v/>
      </c>
      <c r="H109">
        <f>VLOOKUP(C109,Recipes!$A$2:$N$4,10,FALSE())</f>
        <v/>
      </c>
      <c r="I109">
        <f>VLOOKUP(C109,Recipes!$A$2:$N$4,12,FALSE())</f>
        <v/>
      </c>
      <c r="J109">
        <f>IF(G109="","",H109-G109)</f>
        <v/>
      </c>
      <c r="K109">
        <f>IF(G109="","",IF(VLOOKUP(C109,Recipes!$A$2:$N$4,4,FALSE())=0,-1E+300,-0.5*((J109-Components!$D$2)/Components!$E$2)^2))</f>
        <v/>
      </c>
      <c r="L109">
        <f>IF(G109="","",IF(VLOOKUP(C109,Recipes!$A$2:$N$4,5,FALSE())=0,-1E+300,-0.5*((J109-Components!$D$3)/Components!$E$3)^2))</f>
        <v/>
      </c>
      <c r="M109">
        <f>IF(G109="","",IF(VLOOKUP(C109,Recipes!$A$2:$N$4,6,FALSE())=0,-1E+300,-0.5*((J109-Components!$D$4)/Components!$E$4)^2))</f>
        <v/>
      </c>
      <c r="N109">
        <f>IF(G109="","",IF(VLOOKUP(C109,Recipes!$A$2:$N$4,7,FALSE())=0,-1E+300,-0.5*((J109-Components!$D$5)/Components!$E$5)^2))</f>
        <v/>
      </c>
      <c r="O109">
        <f>IF(G109="","",IF(VLOOKUP(C109,Recipes!$A$2:$N$4,8,FALSE())=0,-1E+300,-0.5*((J109-Components!$D$6)/Components!$E$6)^2))</f>
        <v/>
      </c>
      <c r="P109">
        <f>IF(G109="","",IF(VLOOKUP(C109,Recipes!$A$2:$N$4,9,FALSE())=0,-1E+300,-0.5*((J109-Components!$D$7)/Components!$E$7)^2))</f>
        <v/>
      </c>
      <c r="Q109">
        <f>IF(G109="","",EXP(LARGE(K109:P109,1)-MAX(K109:P109))/(EXP(K109-MAX(K109:P109))+EXP(L109-MAX(K109:P109))+EXP(M109-MAX(K109:P109))+EXP(N109-MAX(K109:P109))+EXP(O109-MAX(K109:P109))+EXP(P109-MAX(K109:P109))))</f>
        <v/>
      </c>
      <c r="R109">
        <f>IF(G109="","",EXP(LARGE(K109:P109,2)-MAX(K109:P109))/(EXP(K109-MAX(K109:P109))+EXP(L109-MAX(K109:P109))+EXP(M109-MAX(K109:P109))+EXP(N109-MAX(K109:P109))+EXP(O109-MAX(K109:P109))+EXP(P109-MAX(K109:P109))))</f>
        <v/>
      </c>
      <c r="S109">
        <f>IF(G109="","",Q109-R109)</f>
        <v/>
      </c>
      <c r="T109">
        <f>IF(G109="","",IF(ABS(G109-H109)&lt;=$B$6*I109,"OK","NG"))</f>
        <v/>
      </c>
      <c r="U109">
        <f>IF(T109="","",IF(T109=D109,1,0))</f>
        <v/>
      </c>
      <c r="V109">
        <f>IF(G109="","",IF(T109="OK","NONE",INDEX({"S1","S2","W1","W2","N1","N2"},MATCH(MAX(K109:P109),K109:P109,0))))</f>
        <v/>
      </c>
      <c r="W109">
        <f>IF(G109="","",IF(V109=E109,1,0))</f>
        <v/>
      </c>
      <c r="X109">
        <f>IF(G109="","",IF(AND(T109="NG",S109&lt;$B$7),"AMBIGUOUS","CONFIDENT"))</f>
        <v/>
      </c>
    </row>
    <row r="110">
      <c r="A110">
        <f>'Runs Z score'!A103</f>
        <v/>
      </c>
      <c r="B110">
        <f>'Runs Z score'!B103</f>
        <v/>
      </c>
      <c r="C110">
        <f>'Runs Z score'!C103</f>
        <v/>
      </c>
      <c r="D110">
        <f>'Runs Z score'!D103</f>
        <v/>
      </c>
      <c r="E110">
        <f>'Runs Z score'!E103</f>
        <v/>
      </c>
      <c r="F110">
        <f>'Runs Z score'!F103</f>
        <v/>
      </c>
      <c r="G110">
        <f>'Runs Z score'!G103</f>
        <v/>
      </c>
      <c r="H110">
        <f>VLOOKUP(C110,Recipes!$A$2:$N$4,10,FALSE())</f>
        <v/>
      </c>
      <c r="I110">
        <f>VLOOKUP(C110,Recipes!$A$2:$N$4,12,FALSE())</f>
        <v/>
      </c>
      <c r="J110">
        <f>IF(G110="","",H110-G110)</f>
        <v/>
      </c>
      <c r="K110">
        <f>IF(G110="","",IF(VLOOKUP(C110,Recipes!$A$2:$N$4,4,FALSE())=0,-1E+300,-0.5*((J110-Components!$D$2)/Components!$E$2)^2))</f>
        <v/>
      </c>
      <c r="L110">
        <f>IF(G110="","",IF(VLOOKUP(C110,Recipes!$A$2:$N$4,5,FALSE())=0,-1E+300,-0.5*((J110-Components!$D$3)/Components!$E$3)^2))</f>
        <v/>
      </c>
      <c r="M110">
        <f>IF(G110="","",IF(VLOOKUP(C110,Recipes!$A$2:$N$4,6,FALSE())=0,-1E+300,-0.5*((J110-Components!$D$4)/Components!$E$4)^2))</f>
        <v/>
      </c>
      <c r="N110">
        <f>IF(G110="","",IF(VLOOKUP(C110,Recipes!$A$2:$N$4,7,FALSE())=0,-1E+300,-0.5*((J110-Components!$D$5)/Components!$E$5)^2))</f>
        <v/>
      </c>
      <c r="O110">
        <f>IF(G110="","",IF(VLOOKUP(C110,Recipes!$A$2:$N$4,8,FALSE())=0,-1E+300,-0.5*((J110-Components!$D$6)/Components!$E$6)^2))</f>
        <v/>
      </c>
      <c r="P110">
        <f>IF(G110="","",IF(VLOOKUP(C110,Recipes!$A$2:$N$4,9,FALSE())=0,-1E+300,-0.5*((J110-Components!$D$7)/Components!$E$7)^2))</f>
        <v/>
      </c>
      <c r="Q110">
        <f>IF(G110="","",EXP(LARGE(K110:P110,1)-MAX(K110:P110))/(EXP(K110-MAX(K110:P110))+EXP(L110-MAX(K110:P110))+EXP(M110-MAX(K110:P110))+EXP(N110-MAX(K110:P110))+EXP(O110-MAX(K110:P110))+EXP(P110-MAX(K110:P110))))</f>
        <v/>
      </c>
      <c r="R110">
        <f>IF(G110="","",EXP(LARGE(K110:P110,2)-MAX(K110:P110))/(EXP(K110-MAX(K110:P110))+EXP(L110-MAX(K110:P110))+EXP(M110-MAX(K110:P110))+EXP(N110-MAX(K110:P110))+EXP(O110-MAX(K110:P110))+EXP(P110-MAX(K110:P110))))</f>
        <v/>
      </c>
      <c r="S110">
        <f>IF(G110="","",Q110-R110)</f>
        <v/>
      </c>
      <c r="T110">
        <f>IF(G110="","",IF(ABS(G110-H110)&lt;=$B$6*I110,"OK","NG"))</f>
        <v/>
      </c>
      <c r="U110">
        <f>IF(T110="","",IF(T110=D110,1,0))</f>
        <v/>
      </c>
      <c r="V110">
        <f>IF(G110="","",IF(T110="OK","NONE",INDEX({"S1","S2","W1","W2","N1","N2"},MATCH(MAX(K110:P110),K110:P110,0))))</f>
        <v/>
      </c>
      <c r="W110">
        <f>IF(G110="","",IF(V110=E110,1,0))</f>
        <v/>
      </c>
      <c r="X110">
        <f>IF(G110="","",IF(AND(T110="NG",S110&lt;$B$7),"AMBIGUOUS","CONFIDENT"))</f>
        <v/>
      </c>
    </row>
    <row r="111">
      <c r="A111">
        <f>'Runs Z score'!A104</f>
        <v/>
      </c>
      <c r="B111">
        <f>'Runs Z score'!B104</f>
        <v/>
      </c>
      <c r="C111">
        <f>'Runs Z score'!C104</f>
        <v/>
      </c>
      <c r="D111">
        <f>'Runs Z score'!D104</f>
        <v/>
      </c>
      <c r="E111">
        <f>'Runs Z score'!E104</f>
        <v/>
      </c>
      <c r="F111">
        <f>'Runs Z score'!F104</f>
        <v/>
      </c>
      <c r="G111">
        <f>'Runs Z score'!G104</f>
        <v/>
      </c>
      <c r="H111">
        <f>VLOOKUP(C111,Recipes!$A$2:$N$4,10,FALSE())</f>
        <v/>
      </c>
      <c r="I111">
        <f>VLOOKUP(C111,Recipes!$A$2:$N$4,12,FALSE())</f>
        <v/>
      </c>
      <c r="J111">
        <f>IF(G111="","",H111-G111)</f>
        <v/>
      </c>
      <c r="K111">
        <f>IF(G111="","",IF(VLOOKUP(C111,Recipes!$A$2:$N$4,4,FALSE())=0,-1E+300,-0.5*((J111-Components!$D$2)/Components!$E$2)^2))</f>
        <v/>
      </c>
      <c r="L111">
        <f>IF(G111="","",IF(VLOOKUP(C111,Recipes!$A$2:$N$4,5,FALSE())=0,-1E+300,-0.5*((J111-Components!$D$3)/Components!$E$3)^2))</f>
        <v/>
      </c>
      <c r="M111">
        <f>IF(G111="","",IF(VLOOKUP(C111,Recipes!$A$2:$N$4,6,FALSE())=0,-1E+300,-0.5*((J111-Components!$D$4)/Components!$E$4)^2))</f>
        <v/>
      </c>
      <c r="N111">
        <f>IF(G111="","",IF(VLOOKUP(C111,Recipes!$A$2:$N$4,7,FALSE())=0,-1E+300,-0.5*((J111-Components!$D$5)/Components!$E$5)^2))</f>
        <v/>
      </c>
      <c r="O111">
        <f>IF(G111="","",IF(VLOOKUP(C111,Recipes!$A$2:$N$4,8,FALSE())=0,-1E+300,-0.5*((J111-Components!$D$6)/Components!$E$6)^2))</f>
        <v/>
      </c>
      <c r="P111">
        <f>IF(G111="","",IF(VLOOKUP(C111,Recipes!$A$2:$N$4,9,FALSE())=0,-1E+300,-0.5*((J111-Components!$D$7)/Components!$E$7)^2))</f>
        <v/>
      </c>
      <c r="Q111">
        <f>IF(G111="","",EXP(LARGE(K111:P111,1)-MAX(K111:P111))/(EXP(K111-MAX(K111:P111))+EXP(L111-MAX(K111:P111))+EXP(M111-MAX(K111:P111))+EXP(N111-MAX(K111:P111))+EXP(O111-MAX(K111:P111))+EXP(P111-MAX(K111:P111))))</f>
        <v/>
      </c>
      <c r="R111">
        <f>IF(G111="","",EXP(LARGE(K111:P111,2)-MAX(K111:P111))/(EXP(K111-MAX(K111:P111))+EXP(L111-MAX(K111:P111))+EXP(M111-MAX(K111:P111))+EXP(N111-MAX(K111:P111))+EXP(O111-MAX(K111:P111))+EXP(P111-MAX(K111:P111))))</f>
        <v/>
      </c>
      <c r="S111">
        <f>IF(G111="","",Q111-R111)</f>
        <v/>
      </c>
      <c r="T111">
        <f>IF(G111="","",IF(ABS(G111-H111)&lt;=$B$6*I111,"OK","NG"))</f>
        <v/>
      </c>
      <c r="U111">
        <f>IF(T111="","",IF(T111=D111,1,0))</f>
        <v/>
      </c>
      <c r="V111">
        <f>IF(G111="","",IF(T111="OK","NONE",INDEX({"S1","S2","W1","W2","N1","N2"},MATCH(MAX(K111:P111),K111:P111,0))))</f>
        <v/>
      </c>
      <c r="W111">
        <f>IF(G111="","",IF(V111=E111,1,0))</f>
        <v/>
      </c>
      <c r="X111">
        <f>IF(G111="","",IF(AND(T111="NG",S111&lt;$B$7),"AMBIGUOUS","CONFIDENT"))</f>
        <v/>
      </c>
    </row>
    <row r="112">
      <c r="A112">
        <f>'Runs Z score'!A105</f>
        <v/>
      </c>
      <c r="B112">
        <f>'Runs Z score'!B105</f>
        <v/>
      </c>
      <c r="C112">
        <f>'Runs Z score'!C105</f>
        <v/>
      </c>
      <c r="D112">
        <f>'Runs Z score'!D105</f>
        <v/>
      </c>
      <c r="E112">
        <f>'Runs Z score'!E105</f>
        <v/>
      </c>
      <c r="F112">
        <f>'Runs Z score'!F105</f>
        <v/>
      </c>
      <c r="G112">
        <f>'Runs Z score'!G105</f>
        <v/>
      </c>
      <c r="H112">
        <f>VLOOKUP(C112,Recipes!$A$2:$N$4,10,FALSE())</f>
        <v/>
      </c>
      <c r="I112">
        <f>VLOOKUP(C112,Recipes!$A$2:$N$4,12,FALSE())</f>
        <v/>
      </c>
      <c r="J112">
        <f>IF(G112="","",H112-G112)</f>
        <v/>
      </c>
      <c r="K112">
        <f>IF(G112="","",IF(VLOOKUP(C112,Recipes!$A$2:$N$4,4,FALSE())=0,-1E+300,-0.5*((J112-Components!$D$2)/Components!$E$2)^2))</f>
        <v/>
      </c>
      <c r="L112">
        <f>IF(G112="","",IF(VLOOKUP(C112,Recipes!$A$2:$N$4,5,FALSE())=0,-1E+300,-0.5*((J112-Components!$D$3)/Components!$E$3)^2))</f>
        <v/>
      </c>
      <c r="M112">
        <f>IF(G112="","",IF(VLOOKUP(C112,Recipes!$A$2:$N$4,6,FALSE())=0,-1E+300,-0.5*((J112-Components!$D$4)/Components!$E$4)^2))</f>
        <v/>
      </c>
      <c r="N112">
        <f>IF(G112="","",IF(VLOOKUP(C112,Recipes!$A$2:$N$4,7,FALSE())=0,-1E+300,-0.5*((J112-Components!$D$5)/Components!$E$5)^2))</f>
        <v/>
      </c>
      <c r="O112">
        <f>IF(G112="","",IF(VLOOKUP(C112,Recipes!$A$2:$N$4,8,FALSE())=0,-1E+300,-0.5*((J112-Components!$D$6)/Components!$E$6)^2))</f>
        <v/>
      </c>
      <c r="P112">
        <f>IF(G112="","",IF(VLOOKUP(C112,Recipes!$A$2:$N$4,9,FALSE())=0,-1E+300,-0.5*((J112-Components!$D$7)/Components!$E$7)^2))</f>
        <v/>
      </c>
      <c r="Q112">
        <f>IF(G112="","",EXP(LARGE(K112:P112,1)-MAX(K112:P112))/(EXP(K112-MAX(K112:P112))+EXP(L112-MAX(K112:P112))+EXP(M112-MAX(K112:P112))+EXP(N112-MAX(K112:P112))+EXP(O112-MAX(K112:P112))+EXP(P112-MAX(K112:P112))))</f>
        <v/>
      </c>
      <c r="R112">
        <f>IF(G112="","",EXP(LARGE(K112:P112,2)-MAX(K112:P112))/(EXP(K112-MAX(K112:P112))+EXP(L112-MAX(K112:P112))+EXP(M112-MAX(K112:P112))+EXP(N112-MAX(K112:P112))+EXP(O112-MAX(K112:P112))+EXP(P112-MAX(K112:P112))))</f>
        <v/>
      </c>
      <c r="S112">
        <f>IF(G112="","",Q112-R112)</f>
        <v/>
      </c>
      <c r="T112">
        <f>IF(G112="","",IF(ABS(G112-H112)&lt;=$B$6*I112,"OK","NG"))</f>
        <v/>
      </c>
      <c r="U112">
        <f>IF(T112="","",IF(T112=D112,1,0))</f>
        <v/>
      </c>
      <c r="V112">
        <f>IF(G112="","",IF(T112="OK","NONE",INDEX({"S1","S2","W1","W2","N1","N2"},MATCH(MAX(K112:P112),K112:P112,0))))</f>
        <v/>
      </c>
      <c r="W112">
        <f>IF(G112="","",IF(V112=E112,1,0))</f>
        <v/>
      </c>
      <c r="X112">
        <f>IF(G112="","",IF(AND(T112="NG",S112&lt;$B$7),"AMBIGUOUS","CONFIDENT"))</f>
        <v/>
      </c>
    </row>
    <row r="113">
      <c r="A113">
        <f>'Runs Z score'!A106</f>
        <v/>
      </c>
      <c r="B113">
        <f>'Runs Z score'!B106</f>
        <v/>
      </c>
      <c r="C113">
        <f>'Runs Z score'!C106</f>
        <v/>
      </c>
      <c r="D113">
        <f>'Runs Z score'!D106</f>
        <v/>
      </c>
      <c r="E113">
        <f>'Runs Z score'!E106</f>
        <v/>
      </c>
      <c r="F113">
        <f>'Runs Z score'!F106</f>
        <v/>
      </c>
      <c r="G113">
        <f>'Runs Z score'!G106</f>
        <v/>
      </c>
      <c r="H113">
        <f>VLOOKUP(C113,Recipes!$A$2:$N$4,10,FALSE())</f>
        <v/>
      </c>
      <c r="I113">
        <f>VLOOKUP(C113,Recipes!$A$2:$N$4,12,FALSE())</f>
        <v/>
      </c>
      <c r="J113">
        <f>IF(G113="","",H113-G113)</f>
        <v/>
      </c>
      <c r="K113">
        <f>IF(G113="","",IF(VLOOKUP(C113,Recipes!$A$2:$N$4,4,FALSE())=0,-1E+300,-0.5*((J113-Components!$D$2)/Components!$E$2)^2))</f>
        <v/>
      </c>
      <c r="L113">
        <f>IF(G113="","",IF(VLOOKUP(C113,Recipes!$A$2:$N$4,5,FALSE())=0,-1E+300,-0.5*((J113-Components!$D$3)/Components!$E$3)^2))</f>
        <v/>
      </c>
      <c r="M113">
        <f>IF(G113="","",IF(VLOOKUP(C113,Recipes!$A$2:$N$4,6,FALSE())=0,-1E+300,-0.5*((J113-Components!$D$4)/Components!$E$4)^2))</f>
        <v/>
      </c>
      <c r="N113">
        <f>IF(G113="","",IF(VLOOKUP(C113,Recipes!$A$2:$N$4,7,FALSE())=0,-1E+300,-0.5*((J113-Components!$D$5)/Components!$E$5)^2))</f>
        <v/>
      </c>
      <c r="O113">
        <f>IF(G113="","",IF(VLOOKUP(C113,Recipes!$A$2:$N$4,8,FALSE())=0,-1E+300,-0.5*((J113-Components!$D$6)/Components!$E$6)^2))</f>
        <v/>
      </c>
      <c r="P113">
        <f>IF(G113="","",IF(VLOOKUP(C113,Recipes!$A$2:$N$4,9,FALSE())=0,-1E+300,-0.5*((J113-Components!$D$7)/Components!$E$7)^2))</f>
        <v/>
      </c>
      <c r="Q113">
        <f>IF(G113="","",EXP(LARGE(K113:P113,1)-MAX(K113:P113))/(EXP(K113-MAX(K113:P113))+EXP(L113-MAX(K113:P113))+EXP(M113-MAX(K113:P113))+EXP(N113-MAX(K113:P113))+EXP(O113-MAX(K113:P113))+EXP(P113-MAX(K113:P113))))</f>
        <v/>
      </c>
      <c r="R113">
        <f>IF(G113="","",EXP(LARGE(K113:P113,2)-MAX(K113:P113))/(EXP(K113-MAX(K113:P113))+EXP(L113-MAX(K113:P113))+EXP(M113-MAX(K113:P113))+EXP(N113-MAX(K113:P113))+EXP(O113-MAX(K113:P113))+EXP(P113-MAX(K113:P113))))</f>
        <v/>
      </c>
      <c r="S113">
        <f>IF(G113="","",Q113-R113)</f>
        <v/>
      </c>
      <c r="T113">
        <f>IF(G113="","",IF(ABS(G113-H113)&lt;=$B$6*I113,"OK","NG"))</f>
        <v/>
      </c>
      <c r="U113">
        <f>IF(T113="","",IF(T113=D113,1,0))</f>
        <v/>
      </c>
      <c r="V113">
        <f>IF(G113="","",IF(T113="OK","NONE",INDEX({"S1","S2","W1","W2","N1","N2"},MATCH(MAX(K113:P113),K113:P113,0))))</f>
        <v/>
      </c>
      <c r="W113">
        <f>IF(G113="","",IF(V113=E113,1,0))</f>
        <v/>
      </c>
      <c r="X113">
        <f>IF(G113="","",IF(AND(T113="NG",S113&lt;$B$7),"AMBIGUOUS","CONFIDENT"))</f>
        <v/>
      </c>
    </row>
    <row r="114">
      <c r="A114">
        <f>'Runs Z score'!A107</f>
        <v/>
      </c>
      <c r="B114">
        <f>'Runs Z score'!B107</f>
        <v/>
      </c>
      <c r="C114">
        <f>'Runs Z score'!C107</f>
        <v/>
      </c>
      <c r="D114">
        <f>'Runs Z score'!D107</f>
        <v/>
      </c>
      <c r="E114">
        <f>'Runs Z score'!E107</f>
        <v/>
      </c>
      <c r="F114">
        <f>'Runs Z score'!F107</f>
        <v/>
      </c>
      <c r="G114">
        <f>'Runs Z score'!G107</f>
        <v/>
      </c>
      <c r="H114">
        <f>VLOOKUP(C114,Recipes!$A$2:$N$4,10,FALSE())</f>
        <v/>
      </c>
      <c r="I114">
        <f>VLOOKUP(C114,Recipes!$A$2:$N$4,12,FALSE())</f>
        <v/>
      </c>
      <c r="J114">
        <f>IF(G114="","",H114-G114)</f>
        <v/>
      </c>
      <c r="K114">
        <f>IF(G114="","",IF(VLOOKUP(C114,Recipes!$A$2:$N$4,4,FALSE())=0,-1E+300,-0.5*((J114-Components!$D$2)/Components!$E$2)^2))</f>
        <v/>
      </c>
      <c r="L114">
        <f>IF(G114="","",IF(VLOOKUP(C114,Recipes!$A$2:$N$4,5,FALSE())=0,-1E+300,-0.5*((J114-Components!$D$3)/Components!$E$3)^2))</f>
        <v/>
      </c>
      <c r="M114">
        <f>IF(G114="","",IF(VLOOKUP(C114,Recipes!$A$2:$N$4,6,FALSE())=0,-1E+300,-0.5*((J114-Components!$D$4)/Components!$E$4)^2))</f>
        <v/>
      </c>
      <c r="N114">
        <f>IF(G114="","",IF(VLOOKUP(C114,Recipes!$A$2:$N$4,7,FALSE())=0,-1E+300,-0.5*((J114-Components!$D$5)/Components!$E$5)^2))</f>
        <v/>
      </c>
      <c r="O114">
        <f>IF(G114="","",IF(VLOOKUP(C114,Recipes!$A$2:$N$4,8,FALSE())=0,-1E+300,-0.5*((J114-Components!$D$6)/Components!$E$6)^2))</f>
        <v/>
      </c>
      <c r="P114">
        <f>IF(G114="","",IF(VLOOKUP(C114,Recipes!$A$2:$N$4,9,FALSE())=0,-1E+300,-0.5*((J114-Components!$D$7)/Components!$E$7)^2))</f>
        <v/>
      </c>
      <c r="Q114">
        <f>IF(G114="","",EXP(LARGE(K114:P114,1)-MAX(K114:P114))/(EXP(K114-MAX(K114:P114))+EXP(L114-MAX(K114:P114))+EXP(M114-MAX(K114:P114))+EXP(N114-MAX(K114:P114))+EXP(O114-MAX(K114:P114))+EXP(P114-MAX(K114:P114))))</f>
        <v/>
      </c>
      <c r="R114">
        <f>IF(G114="","",EXP(LARGE(K114:P114,2)-MAX(K114:P114))/(EXP(K114-MAX(K114:P114))+EXP(L114-MAX(K114:P114))+EXP(M114-MAX(K114:P114))+EXP(N114-MAX(K114:P114))+EXP(O114-MAX(K114:P114))+EXP(P114-MAX(K114:P114))))</f>
        <v/>
      </c>
      <c r="S114">
        <f>IF(G114="","",Q114-R114)</f>
        <v/>
      </c>
      <c r="T114">
        <f>IF(G114="","",IF(ABS(G114-H114)&lt;=$B$6*I114,"OK","NG"))</f>
        <v/>
      </c>
      <c r="U114">
        <f>IF(T114="","",IF(T114=D114,1,0))</f>
        <v/>
      </c>
      <c r="V114">
        <f>IF(G114="","",IF(T114="OK","NONE",INDEX({"S1","S2","W1","W2","N1","N2"},MATCH(MAX(K114:P114),K114:P114,0))))</f>
        <v/>
      </c>
      <c r="W114">
        <f>IF(G114="","",IF(V114=E114,1,0))</f>
        <v/>
      </c>
      <c r="X114">
        <f>IF(G114="","",IF(AND(T114="NG",S114&lt;$B$7),"AMBIGUOUS","CONFIDENT"))</f>
        <v/>
      </c>
    </row>
    <row r="115">
      <c r="A115">
        <f>'Runs Z score'!A108</f>
        <v/>
      </c>
      <c r="B115">
        <f>'Runs Z score'!B108</f>
        <v/>
      </c>
      <c r="C115">
        <f>'Runs Z score'!C108</f>
        <v/>
      </c>
      <c r="D115">
        <f>'Runs Z score'!D108</f>
        <v/>
      </c>
      <c r="E115">
        <f>'Runs Z score'!E108</f>
        <v/>
      </c>
      <c r="F115">
        <f>'Runs Z score'!F108</f>
        <v/>
      </c>
      <c r="G115">
        <f>'Runs Z score'!G108</f>
        <v/>
      </c>
      <c r="H115">
        <f>VLOOKUP(C115,Recipes!$A$2:$N$4,10,FALSE())</f>
        <v/>
      </c>
      <c r="I115">
        <f>VLOOKUP(C115,Recipes!$A$2:$N$4,12,FALSE())</f>
        <v/>
      </c>
      <c r="J115">
        <f>IF(G115="","",H115-G115)</f>
        <v/>
      </c>
      <c r="K115">
        <f>IF(G115="","",IF(VLOOKUP(C115,Recipes!$A$2:$N$4,4,FALSE())=0,-1E+300,-0.5*((J115-Components!$D$2)/Components!$E$2)^2))</f>
        <v/>
      </c>
      <c r="L115">
        <f>IF(G115="","",IF(VLOOKUP(C115,Recipes!$A$2:$N$4,5,FALSE())=0,-1E+300,-0.5*((J115-Components!$D$3)/Components!$E$3)^2))</f>
        <v/>
      </c>
      <c r="M115">
        <f>IF(G115="","",IF(VLOOKUP(C115,Recipes!$A$2:$N$4,6,FALSE())=0,-1E+300,-0.5*((J115-Components!$D$4)/Components!$E$4)^2))</f>
        <v/>
      </c>
      <c r="N115">
        <f>IF(G115="","",IF(VLOOKUP(C115,Recipes!$A$2:$N$4,7,FALSE())=0,-1E+300,-0.5*((J115-Components!$D$5)/Components!$E$5)^2))</f>
        <v/>
      </c>
      <c r="O115">
        <f>IF(G115="","",IF(VLOOKUP(C115,Recipes!$A$2:$N$4,8,FALSE())=0,-1E+300,-0.5*((J115-Components!$D$6)/Components!$E$6)^2))</f>
        <v/>
      </c>
      <c r="P115">
        <f>IF(G115="","",IF(VLOOKUP(C115,Recipes!$A$2:$N$4,9,FALSE())=0,-1E+300,-0.5*((J115-Components!$D$7)/Components!$E$7)^2))</f>
        <v/>
      </c>
      <c r="Q115">
        <f>IF(G115="","",EXP(LARGE(K115:P115,1)-MAX(K115:P115))/(EXP(K115-MAX(K115:P115))+EXP(L115-MAX(K115:P115))+EXP(M115-MAX(K115:P115))+EXP(N115-MAX(K115:P115))+EXP(O115-MAX(K115:P115))+EXP(P115-MAX(K115:P115))))</f>
        <v/>
      </c>
      <c r="R115">
        <f>IF(G115="","",EXP(LARGE(K115:P115,2)-MAX(K115:P115))/(EXP(K115-MAX(K115:P115))+EXP(L115-MAX(K115:P115))+EXP(M115-MAX(K115:P115))+EXP(N115-MAX(K115:P115))+EXP(O115-MAX(K115:P115))+EXP(P115-MAX(K115:P115))))</f>
        <v/>
      </c>
      <c r="S115">
        <f>IF(G115="","",Q115-R115)</f>
        <v/>
      </c>
      <c r="T115">
        <f>IF(G115="","",IF(ABS(G115-H115)&lt;=$B$6*I115,"OK","NG"))</f>
        <v/>
      </c>
      <c r="U115">
        <f>IF(T115="","",IF(T115=D115,1,0))</f>
        <v/>
      </c>
      <c r="V115">
        <f>IF(G115="","",IF(T115="OK","NONE",INDEX({"S1","S2","W1","W2","N1","N2"},MATCH(MAX(K115:P115),K115:P115,0))))</f>
        <v/>
      </c>
      <c r="W115">
        <f>IF(G115="","",IF(V115=E115,1,0))</f>
        <v/>
      </c>
      <c r="X115">
        <f>IF(G115="","",IF(AND(T115="NG",S115&lt;$B$7),"AMBIGUOUS","CONFIDENT"))</f>
        <v/>
      </c>
    </row>
    <row r="116">
      <c r="A116">
        <f>'Runs Z score'!A109</f>
        <v/>
      </c>
      <c r="B116">
        <f>'Runs Z score'!B109</f>
        <v/>
      </c>
      <c r="C116">
        <f>'Runs Z score'!C109</f>
        <v/>
      </c>
      <c r="D116">
        <f>'Runs Z score'!D109</f>
        <v/>
      </c>
      <c r="E116">
        <f>'Runs Z score'!E109</f>
        <v/>
      </c>
      <c r="F116">
        <f>'Runs Z score'!F109</f>
        <v/>
      </c>
      <c r="G116">
        <f>'Runs Z score'!G109</f>
        <v/>
      </c>
      <c r="H116">
        <f>VLOOKUP(C116,Recipes!$A$2:$N$4,10,FALSE())</f>
        <v/>
      </c>
      <c r="I116">
        <f>VLOOKUP(C116,Recipes!$A$2:$N$4,12,FALSE())</f>
        <v/>
      </c>
      <c r="J116">
        <f>IF(G116="","",H116-G116)</f>
        <v/>
      </c>
      <c r="K116">
        <f>IF(G116="","",IF(VLOOKUP(C116,Recipes!$A$2:$N$4,4,FALSE())=0,-1E+300,-0.5*((J116-Components!$D$2)/Components!$E$2)^2))</f>
        <v/>
      </c>
      <c r="L116">
        <f>IF(G116="","",IF(VLOOKUP(C116,Recipes!$A$2:$N$4,5,FALSE())=0,-1E+300,-0.5*((J116-Components!$D$3)/Components!$E$3)^2))</f>
        <v/>
      </c>
      <c r="M116">
        <f>IF(G116="","",IF(VLOOKUP(C116,Recipes!$A$2:$N$4,6,FALSE())=0,-1E+300,-0.5*((J116-Components!$D$4)/Components!$E$4)^2))</f>
        <v/>
      </c>
      <c r="N116">
        <f>IF(G116="","",IF(VLOOKUP(C116,Recipes!$A$2:$N$4,7,FALSE())=0,-1E+300,-0.5*((J116-Components!$D$5)/Components!$E$5)^2))</f>
        <v/>
      </c>
      <c r="O116">
        <f>IF(G116="","",IF(VLOOKUP(C116,Recipes!$A$2:$N$4,8,FALSE())=0,-1E+300,-0.5*((J116-Components!$D$6)/Components!$E$6)^2))</f>
        <v/>
      </c>
      <c r="P116">
        <f>IF(G116="","",IF(VLOOKUP(C116,Recipes!$A$2:$N$4,9,FALSE())=0,-1E+300,-0.5*((J116-Components!$D$7)/Components!$E$7)^2))</f>
        <v/>
      </c>
      <c r="Q116">
        <f>IF(G116="","",EXP(LARGE(K116:P116,1)-MAX(K116:P116))/(EXP(K116-MAX(K116:P116))+EXP(L116-MAX(K116:P116))+EXP(M116-MAX(K116:P116))+EXP(N116-MAX(K116:P116))+EXP(O116-MAX(K116:P116))+EXP(P116-MAX(K116:P116))))</f>
        <v/>
      </c>
      <c r="R116">
        <f>IF(G116="","",EXP(LARGE(K116:P116,2)-MAX(K116:P116))/(EXP(K116-MAX(K116:P116))+EXP(L116-MAX(K116:P116))+EXP(M116-MAX(K116:P116))+EXP(N116-MAX(K116:P116))+EXP(O116-MAX(K116:P116))+EXP(P116-MAX(K116:P116))))</f>
        <v/>
      </c>
      <c r="S116">
        <f>IF(G116="","",Q116-R116)</f>
        <v/>
      </c>
      <c r="T116">
        <f>IF(G116="","",IF(ABS(G116-H116)&lt;=$B$6*I116,"OK","NG"))</f>
        <v/>
      </c>
      <c r="U116">
        <f>IF(T116="","",IF(T116=D116,1,0))</f>
        <v/>
      </c>
      <c r="V116">
        <f>IF(G116="","",IF(T116="OK","NONE",INDEX({"S1","S2","W1","W2","N1","N2"},MATCH(MAX(K116:P116),K116:P116,0))))</f>
        <v/>
      </c>
      <c r="W116">
        <f>IF(G116="","",IF(V116=E116,1,0))</f>
        <v/>
      </c>
      <c r="X116">
        <f>IF(G116="","",IF(AND(T116="NG",S116&lt;$B$7),"AMBIGUOUS","CONFIDENT"))</f>
        <v/>
      </c>
    </row>
    <row r="117">
      <c r="A117">
        <f>'Runs Z score'!A110</f>
        <v/>
      </c>
      <c r="B117">
        <f>'Runs Z score'!B110</f>
        <v/>
      </c>
      <c r="C117">
        <f>'Runs Z score'!C110</f>
        <v/>
      </c>
      <c r="D117">
        <f>'Runs Z score'!D110</f>
        <v/>
      </c>
      <c r="E117">
        <f>'Runs Z score'!E110</f>
        <v/>
      </c>
      <c r="F117">
        <f>'Runs Z score'!F110</f>
        <v/>
      </c>
      <c r="G117">
        <f>'Runs Z score'!G110</f>
        <v/>
      </c>
      <c r="H117">
        <f>VLOOKUP(C117,Recipes!$A$2:$N$4,10,FALSE())</f>
        <v/>
      </c>
      <c r="I117">
        <f>VLOOKUP(C117,Recipes!$A$2:$N$4,12,FALSE())</f>
        <v/>
      </c>
      <c r="J117">
        <f>IF(G117="","",H117-G117)</f>
        <v/>
      </c>
      <c r="K117">
        <f>IF(G117="","",IF(VLOOKUP(C117,Recipes!$A$2:$N$4,4,FALSE())=0,-1E+300,-0.5*((J117-Components!$D$2)/Components!$E$2)^2))</f>
        <v/>
      </c>
      <c r="L117">
        <f>IF(G117="","",IF(VLOOKUP(C117,Recipes!$A$2:$N$4,5,FALSE())=0,-1E+300,-0.5*((J117-Components!$D$3)/Components!$E$3)^2))</f>
        <v/>
      </c>
      <c r="M117">
        <f>IF(G117="","",IF(VLOOKUP(C117,Recipes!$A$2:$N$4,6,FALSE())=0,-1E+300,-0.5*((J117-Components!$D$4)/Components!$E$4)^2))</f>
        <v/>
      </c>
      <c r="N117">
        <f>IF(G117="","",IF(VLOOKUP(C117,Recipes!$A$2:$N$4,7,FALSE())=0,-1E+300,-0.5*((J117-Components!$D$5)/Components!$E$5)^2))</f>
        <v/>
      </c>
      <c r="O117">
        <f>IF(G117="","",IF(VLOOKUP(C117,Recipes!$A$2:$N$4,8,FALSE())=0,-1E+300,-0.5*((J117-Components!$D$6)/Components!$E$6)^2))</f>
        <v/>
      </c>
      <c r="P117">
        <f>IF(G117="","",IF(VLOOKUP(C117,Recipes!$A$2:$N$4,9,FALSE())=0,-1E+300,-0.5*((J117-Components!$D$7)/Components!$E$7)^2))</f>
        <v/>
      </c>
      <c r="Q117">
        <f>IF(G117="","",EXP(LARGE(K117:P117,1)-MAX(K117:P117))/(EXP(K117-MAX(K117:P117))+EXP(L117-MAX(K117:P117))+EXP(M117-MAX(K117:P117))+EXP(N117-MAX(K117:P117))+EXP(O117-MAX(K117:P117))+EXP(P117-MAX(K117:P117))))</f>
        <v/>
      </c>
      <c r="R117">
        <f>IF(G117="","",EXP(LARGE(K117:P117,2)-MAX(K117:P117))/(EXP(K117-MAX(K117:P117))+EXP(L117-MAX(K117:P117))+EXP(M117-MAX(K117:P117))+EXP(N117-MAX(K117:P117))+EXP(O117-MAX(K117:P117))+EXP(P117-MAX(K117:P117))))</f>
        <v/>
      </c>
      <c r="S117">
        <f>IF(G117="","",Q117-R117)</f>
        <v/>
      </c>
      <c r="T117">
        <f>IF(G117="","",IF(ABS(G117-H117)&lt;=$B$6*I117,"OK","NG"))</f>
        <v/>
      </c>
      <c r="U117">
        <f>IF(T117="","",IF(T117=D117,1,0))</f>
        <v/>
      </c>
      <c r="V117">
        <f>IF(G117="","",IF(T117="OK","NONE",INDEX({"S1","S2","W1","W2","N1","N2"},MATCH(MAX(K117:P117),K117:P117,0))))</f>
        <v/>
      </c>
      <c r="W117">
        <f>IF(G117="","",IF(V117=E117,1,0))</f>
        <v/>
      </c>
      <c r="X117">
        <f>IF(G117="","",IF(AND(T117="NG",S117&lt;$B$7),"AMBIGUOUS","CONFIDENT"))</f>
        <v/>
      </c>
    </row>
    <row r="118">
      <c r="A118">
        <f>'Runs Z score'!A111</f>
        <v/>
      </c>
      <c r="B118">
        <f>'Runs Z score'!B111</f>
        <v/>
      </c>
      <c r="C118">
        <f>'Runs Z score'!C111</f>
        <v/>
      </c>
      <c r="D118">
        <f>'Runs Z score'!D111</f>
        <v/>
      </c>
      <c r="E118">
        <f>'Runs Z score'!E111</f>
        <v/>
      </c>
      <c r="F118">
        <f>'Runs Z score'!F111</f>
        <v/>
      </c>
      <c r="G118">
        <f>'Runs Z score'!G111</f>
        <v/>
      </c>
      <c r="H118">
        <f>VLOOKUP(C118,Recipes!$A$2:$N$4,10,FALSE())</f>
        <v/>
      </c>
      <c r="I118">
        <f>VLOOKUP(C118,Recipes!$A$2:$N$4,12,FALSE())</f>
        <v/>
      </c>
      <c r="J118">
        <f>IF(G118="","",H118-G118)</f>
        <v/>
      </c>
      <c r="K118">
        <f>IF(G118="","",IF(VLOOKUP(C118,Recipes!$A$2:$N$4,4,FALSE())=0,-1E+300,-0.5*((J118-Components!$D$2)/Components!$E$2)^2))</f>
        <v/>
      </c>
      <c r="L118">
        <f>IF(G118="","",IF(VLOOKUP(C118,Recipes!$A$2:$N$4,5,FALSE())=0,-1E+300,-0.5*((J118-Components!$D$3)/Components!$E$3)^2))</f>
        <v/>
      </c>
      <c r="M118">
        <f>IF(G118="","",IF(VLOOKUP(C118,Recipes!$A$2:$N$4,6,FALSE())=0,-1E+300,-0.5*((J118-Components!$D$4)/Components!$E$4)^2))</f>
        <v/>
      </c>
      <c r="N118">
        <f>IF(G118="","",IF(VLOOKUP(C118,Recipes!$A$2:$N$4,7,FALSE())=0,-1E+300,-0.5*((J118-Components!$D$5)/Components!$E$5)^2))</f>
        <v/>
      </c>
      <c r="O118">
        <f>IF(G118="","",IF(VLOOKUP(C118,Recipes!$A$2:$N$4,8,FALSE())=0,-1E+300,-0.5*((J118-Components!$D$6)/Components!$E$6)^2))</f>
        <v/>
      </c>
      <c r="P118">
        <f>IF(G118="","",IF(VLOOKUP(C118,Recipes!$A$2:$N$4,9,FALSE())=0,-1E+300,-0.5*((J118-Components!$D$7)/Components!$E$7)^2))</f>
        <v/>
      </c>
      <c r="Q118">
        <f>IF(G118="","",EXP(LARGE(K118:P118,1)-MAX(K118:P118))/(EXP(K118-MAX(K118:P118))+EXP(L118-MAX(K118:P118))+EXP(M118-MAX(K118:P118))+EXP(N118-MAX(K118:P118))+EXP(O118-MAX(K118:P118))+EXP(P118-MAX(K118:P118))))</f>
        <v/>
      </c>
      <c r="R118">
        <f>IF(G118="","",EXP(LARGE(K118:P118,2)-MAX(K118:P118))/(EXP(K118-MAX(K118:P118))+EXP(L118-MAX(K118:P118))+EXP(M118-MAX(K118:P118))+EXP(N118-MAX(K118:P118))+EXP(O118-MAX(K118:P118))+EXP(P118-MAX(K118:P118))))</f>
        <v/>
      </c>
      <c r="S118">
        <f>IF(G118="","",Q118-R118)</f>
        <v/>
      </c>
      <c r="T118">
        <f>IF(G118="","",IF(ABS(G118-H118)&lt;=$B$6*I118,"OK","NG"))</f>
        <v/>
      </c>
      <c r="U118">
        <f>IF(T118="","",IF(T118=D118,1,0))</f>
        <v/>
      </c>
      <c r="V118">
        <f>IF(G118="","",IF(T118="OK","NONE",INDEX({"S1","S2","W1","W2","N1","N2"},MATCH(MAX(K118:P118),K118:P118,0))))</f>
        <v/>
      </c>
      <c r="W118">
        <f>IF(G118="","",IF(V118=E118,1,0))</f>
        <v/>
      </c>
      <c r="X118">
        <f>IF(G118="","",IF(AND(T118="NG",S118&lt;$B$7),"AMBIGUOUS","CONFIDENT"))</f>
        <v/>
      </c>
    </row>
    <row r="119">
      <c r="A119">
        <f>'Runs Z score'!A112</f>
        <v/>
      </c>
      <c r="B119">
        <f>'Runs Z score'!B112</f>
        <v/>
      </c>
      <c r="C119">
        <f>'Runs Z score'!C112</f>
        <v/>
      </c>
      <c r="D119">
        <f>'Runs Z score'!D112</f>
        <v/>
      </c>
      <c r="E119">
        <f>'Runs Z score'!E112</f>
        <v/>
      </c>
      <c r="F119">
        <f>'Runs Z score'!F112</f>
        <v/>
      </c>
      <c r="G119">
        <f>'Runs Z score'!G112</f>
        <v/>
      </c>
      <c r="H119">
        <f>VLOOKUP(C119,Recipes!$A$2:$N$4,10,FALSE())</f>
        <v/>
      </c>
      <c r="I119">
        <f>VLOOKUP(C119,Recipes!$A$2:$N$4,12,FALSE())</f>
        <v/>
      </c>
      <c r="J119">
        <f>IF(G119="","",H119-G119)</f>
        <v/>
      </c>
      <c r="K119">
        <f>IF(G119="","",IF(VLOOKUP(C119,Recipes!$A$2:$N$4,4,FALSE())=0,-1E+300,-0.5*((J119-Components!$D$2)/Components!$E$2)^2))</f>
        <v/>
      </c>
      <c r="L119">
        <f>IF(G119="","",IF(VLOOKUP(C119,Recipes!$A$2:$N$4,5,FALSE())=0,-1E+300,-0.5*((J119-Components!$D$3)/Components!$E$3)^2))</f>
        <v/>
      </c>
      <c r="M119">
        <f>IF(G119="","",IF(VLOOKUP(C119,Recipes!$A$2:$N$4,6,FALSE())=0,-1E+300,-0.5*((J119-Components!$D$4)/Components!$E$4)^2))</f>
        <v/>
      </c>
      <c r="N119">
        <f>IF(G119="","",IF(VLOOKUP(C119,Recipes!$A$2:$N$4,7,FALSE())=0,-1E+300,-0.5*((J119-Components!$D$5)/Components!$E$5)^2))</f>
        <v/>
      </c>
      <c r="O119">
        <f>IF(G119="","",IF(VLOOKUP(C119,Recipes!$A$2:$N$4,8,FALSE())=0,-1E+300,-0.5*((J119-Components!$D$6)/Components!$E$6)^2))</f>
        <v/>
      </c>
      <c r="P119">
        <f>IF(G119="","",IF(VLOOKUP(C119,Recipes!$A$2:$N$4,9,FALSE())=0,-1E+300,-0.5*((J119-Components!$D$7)/Components!$E$7)^2))</f>
        <v/>
      </c>
      <c r="Q119">
        <f>IF(G119="","",EXP(LARGE(K119:P119,1)-MAX(K119:P119))/(EXP(K119-MAX(K119:P119))+EXP(L119-MAX(K119:P119))+EXP(M119-MAX(K119:P119))+EXP(N119-MAX(K119:P119))+EXP(O119-MAX(K119:P119))+EXP(P119-MAX(K119:P119))))</f>
        <v/>
      </c>
      <c r="R119">
        <f>IF(G119="","",EXP(LARGE(K119:P119,2)-MAX(K119:P119))/(EXP(K119-MAX(K119:P119))+EXP(L119-MAX(K119:P119))+EXP(M119-MAX(K119:P119))+EXP(N119-MAX(K119:P119))+EXP(O119-MAX(K119:P119))+EXP(P119-MAX(K119:P119))))</f>
        <v/>
      </c>
      <c r="S119">
        <f>IF(G119="","",Q119-R119)</f>
        <v/>
      </c>
      <c r="T119">
        <f>IF(G119="","",IF(ABS(G119-H119)&lt;=$B$6*I119,"OK","NG"))</f>
        <v/>
      </c>
      <c r="U119">
        <f>IF(T119="","",IF(T119=D119,1,0))</f>
        <v/>
      </c>
      <c r="V119">
        <f>IF(G119="","",IF(T119="OK","NONE",INDEX({"S1","S2","W1","W2","N1","N2"},MATCH(MAX(K119:P119),K119:P119,0))))</f>
        <v/>
      </c>
      <c r="W119">
        <f>IF(G119="","",IF(V119=E119,1,0))</f>
        <v/>
      </c>
      <c r="X119">
        <f>IF(G119="","",IF(AND(T119="NG",S119&lt;$B$7),"AMBIGUOUS","CONFIDENT"))</f>
        <v/>
      </c>
    </row>
    <row r="120">
      <c r="A120">
        <f>'Runs Z score'!A113</f>
        <v/>
      </c>
      <c r="B120">
        <f>'Runs Z score'!B113</f>
        <v/>
      </c>
      <c r="C120">
        <f>'Runs Z score'!C113</f>
        <v/>
      </c>
      <c r="D120">
        <f>'Runs Z score'!D113</f>
        <v/>
      </c>
      <c r="E120">
        <f>'Runs Z score'!E113</f>
        <v/>
      </c>
      <c r="F120">
        <f>'Runs Z score'!F113</f>
        <v/>
      </c>
      <c r="G120">
        <f>'Runs Z score'!G113</f>
        <v/>
      </c>
      <c r="H120">
        <f>VLOOKUP(C120,Recipes!$A$2:$N$4,10,FALSE())</f>
        <v/>
      </c>
      <c r="I120">
        <f>VLOOKUP(C120,Recipes!$A$2:$N$4,12,FALSE())</f>
        <v/>
      </c>
      <c r="J120">
        <f>IF(G120="","",H120-G120)</f>
        <v/>
      </c>
      <c r="K120">
        <f>IF(G120="","",IF(VLOOKUP(C120,Recipes!$A$2:$N$4,4,FALSE())=0,-1E+300,-0.5*((J120-Components!$D$2)/Components!$E$2)^2))</f>
        <v/>
      </c>
      <c r="L120">
        <f>IF(G120="","",IF(VLOOKUP(C120,Recipes!$A$2:$N$4,5,FALSE())=0,-1E+300,-0.5*((J120-Components!$D$3)/Components!$E$3)^2))</f>
        <v/>
      </c>
      <c r="M120">
        <f>IF(G120="","",IF(VLOOKUP(C120,Recipes!$A$2:$N$4,6,FALSE())=0,-1E+300,-0.5*((J120-Components!$D$4)/Components!$E$4)^2))</f>
        <v/>
      </c>
      <c r="N120">
        <f>IF(G120="","",IF(VLOOKUP(C120,Recipes!$A$2:$N$4,7,FALSE())=0,-1E+300,-0.5*((J120-Components!$D$5)/Components!$E$5)^2))</f>
        <v/>
      </c>
      <c r="O120">
        <f>IF(G120="","",IF(VLOOKUP(C120,Recipes!$A$2:$N$4,8,FALSE())=0,-1E+300,-0.5*((J120-Components!$D$6)/Components!$E$6)^2))</f>
        <v/>
      </c>
      <c r="P120">
        <f>IF(G120="","",IF(VLOOKUP(C120,Recipes!$A$2:$N$4,9,FALSE())=0,-1E+300,-0.5*((J120-Components!$D$7)/Components!$E$7)^2))</f>
        <v/>
      </c>
      <c r="Q120">
        <f>IF(G120="","",EXP(LARGE(K120:P120,1)-MAX(K120:P120))/(EXP(K120-MAX(K120:P120))+EXP(L120-MAX(K120:P120))+EXP(M120-MAX(K120:P120))+EXP(N120-MAX(K120:P120))+EXP(O120-MAX(K120:P120))+EXP(P120-MAX(K120:P120))))</f>
        <v/>
      </c>
      <c r="R120">
        <f>IF(G120="","",EXP(LARGE(K120:P120,2)-MAX(K120:P120))/(EXP(K120-MAX(K120:P120))+EXP(L120-MAX(K120:P120))+EXP(M120-MAX(K120:P120))+EXP(N120-MAX(K120:P120))+EXP(O120-MAX(K120:P120))+EXP(P120-MAX(K120:P120))))</f>
        <v/>
      </c>
      <c r="S120">
        <f>IF(G120="","",Q120-R120)</f>
        <v/>
      </c>
      <c r="T120">
        <f>IF(G120="","",IF(ABS(G120-H120)&lt;=$B$6*I120,"OK","NG"))</f>
        <v/>
      </c>
      <c r="U120">
        <f>IF(T120="","",IF(T120=D120,1,0))</f>
        <v/>
      </c>
      <c r="V120">
        <f>IF(G120="","",IF(T120="OK","NONE",INDEX({"S1","S2","W1","W2","N1","N2"},MATCH(MAX(K120:P120),K120:P120,0))))</f>
        <v/>
      </c>
      <c r="W120">
        <f>IF(G120="","",IF(V120=E120,1,0))</f>
        <v/>
      </c>
      <c r="X120">
        <f>IF(G120="","",IF(AND(T120="NG",S120&lt;$B$7),"AMBIGUOUS","CONFIDENT"))</f>
        <v/>
      </c>
    </row>
    <row r="121">
      <c r="A121">
        <f>'Runs Z score'!A114</f>
        <v/>
      </c>
      <c r="B121">
        <f>'Runs Z score'!B114</f>
        <v/>
      </c>
      <c r="C121">
        <f>'Runs Z score'!C114</f>
        <v/>
      </c>
      <c r="D121">
        <f>'Runs Z score'!D114</f>
        <v/>
      </c>
      <c r="E121">
        <f>'Runs Z score'!E114</f>
        <v/>
      </c>
      <c r="F121">
        <f>'Runs Z score'!F114</f>
        <v/>
      </c>
      <c r="G121">
        <f>'Runs Z score'!G114</f>
        <v/>
      </c>
      <c r="H121">
        <f>VLOOKUP(C121,Recipes!$A$2:$N$4,10,FALSE())</f>
        <v/>
      </c>
      <c r="I121">
        <f>VLOOKUP(C121,Recipes!$A$2:$N$4,12,FALSE())</f>
        <v/>
      </c>
      <c r="J121">
        <f>IF(G121="","",H121-G121)</f>
        <v/>
      </c>
      <c r="K121">
        <f>IF(G121="","",IF(VLOOKUP(C121,Recipes!$A$2:$N$4,4,FALSE())=0,-1E+300,-0.5*((J121-Components!$D$2)/Components!$E$2)^2))</f>
        <v/>
      </c>
      <c r="L121">
        <f>IF(G121="","",IF(VLOOKUP(C121,Recipes!$A$2:$N$4,5,FALSE())=0,-1E+300,-0.5*((J121-Components!$D$3)/Components!$E$3)^2))</f>
        <v/>
      </c>
      <c r="M121">
        <f>IF(G121="","",IF(VLOOKUP(C121,Recipes!$A$2:$N$4,6,FALSE())=0,-1E+300,-0.5*((J121-Components!$D$4)/Components!$E$4)^2))</f>
        <v/>
      </c>
      <c r="N121">
        <f>IF(G121="","",IF(VLOOKUP(C121,Recipes!$A$2:$N$4,7,FALSE())=0,-1E+300,-0.5*((J121-Components!$D$5)/Components!$E$5)^2))</f>
        <v/>
      </c>
      <c r="O121">
        <f>IF(G121="","",IF(VLOOKUP(C121,Recipes!$A$2:$N$4,8,FALSE())=0,-1E+300,-0.5*((J121-Components!$D$6)/Components!$E$6)^2))</f>
        <v/>
      </c>
      <c r="P121">
        <f>IF(G121="","",IF(VLOOKUP(C121,Recipes!$A$2:$N$4,9,FALSE())=0,-1E+300,-0.5*((J121-Components!$D$7)/Components!$E$7)^2))</f>
        <v/>
      </c>
      <c r="Q121">
        <f>IF(G121="","",EXP(LARGE(K121:P121,1)-MAX(K121:P121))/(EXP(K121-MAX(K121:P121))+EXP(L121-MAX(K121:P121))+EXP(M121-MAX(K121:P121))+EXP(N121-MAX(K121:P121))+EXP(O121-MAX(K121:P121))+EXP(P121-MAX(K121:P121))))</f>
        <v/>
      </c>
      <c r="R121">
        <f>IF(G121="","",EXP(LARGE(K121:P121,2)-MAX(K121:P121))/(EXP(K121-MAX(K121:P121))+EXP(L121-MAX(K121:P121))+EXP(M121-MAX(K121:P121))+EXP(N121-MAX(K121:P121))+EXP(O121-MAX(K121:P121))+EXP(P121-MAX(K121:P121))))</f>
        <v/>
      </c>
      <c r="S121">
        <f>IF(G121="","",Q121-R121)</f>
        <v/>
      </c>
      <c r="T121">
        <f>IF(G121="","",IF(ABS(G121-H121)&lt;=$B$6*I121,"OK","NG"))</f>
        <v/>
      </c>
      <c r="U121">
        <f>IF(T121="","",IF(T121=D121,1,0))</f>
        <v/>
      </c>
      <c r="V121">
        <f>IF(G121="","",IF(T121="OK","NONE",INDEX({"S1","S2","W1","W2","N1","N2"},MATCH(MAX(K121:P121),K121:P121,0))))</f>
        <v/>
      </c>
      <c r="W121">
        <f>IF(G121="","",IF(V121=E121,1,0))</f>
        <v/>
      </c>
      <c r="X121">
        <f>IF(G121="","",IF(AND(T121="NG",S121&lt;$B$7),"AMBIGUOUS","CONFIDENT"))</f>
        <v/>
      </c>
    </row>
    <row r="122">
      <c r="A122">
        <f>'Runs Z score'!A115</f>
        <v/>
      </c>
      <c r="B122">
        <f>'Runs Z score'!B115</f>
        <v/>
      </c>
      <c r="C122">
        <f>'Runs Z score'!C115</f>
        <v/>
      </c>
      <c r="D122">
        <f>'Runs Z score'!D115</f>
        <v/>
      </c>
      <c r="E122">
        <f>'Runs Z score'!E115</f>
        <v/>
      </c>
      <c r="F122">
        <f>'Runs Z score'!F115</f>
        <v/>
      </c>
      <c r="G122">
        <f>'Runs Z score'!G115</f>
        <v/>
      </c>
      <c r="H122">
        <f>VLOOKUP(C122,Recipes!$A$2:$N$4,10,FALSE())</f>
        <v/>
      </c>
      <c r="I122">
        <f>VLOOKUP(C122,Recipes!$A$2:$N$4,12,FALSE())</f>
        <v/>
      </c>
      <c r="J122">
        <f>IF(G122="","",H122-G122)</f>
        <v/>
      </c>
      <c r="K122">
        <f>IF(G122="","",IF(VLOOKUP(C122,Recipes!$A$2:$N$4,4,FALSE())=0,-1E+300,-0.5*((J122-Components!$D$2)/Components!$E$2)^2))</f>
        <v/>
      </c>
      <c r="L122">
        <f>IF(G122="","",IF(VLOOKUP(C122,Recipes!$A$2:$N$4,5,FALSE())=0,-1E+300,-0.5*((J122-Components!$D$3)/Components!$E$3)^2))</f>
        <v/>
      </c>
      <c r="M122">
        <f>IF(G122="","",IF(VLOOKUP(C122,Recipes!$A$2:$N$4,6,FALSE())=0,-1E+300,-0.5*((J122-Components!$D$4)/Components!$E$4)^2))</f>
        <v/>
      </c>
      <c r="N122">
        <f>IF(G122="","",IF(VLOOKUP(C122,Recipes!$A$2:$N$4,7,FALSE())=0,-1E+300,-0.5*((J122-Components!$D$5)/Components!$E$5)^2))</f>
        <v/>
      </c>
      <c r="O122">
        <f>IF(G122="","",IF(VLOOKUP(C122,Recipes!$A$2:$N$4,8,FALSE())=0,-1E+300,-0.5*((J122-Components!$D$6)/Components!$E$6)^2))</f>
        <v/>
      </c>
      <c r="P122">
        <f>IF(G122="","",IF(VLOOKUP(C122,Recipes!$A$2:$N$4,9,FALSE())=0,-1E+300,-0.5*((J122-Components!$D$7)/Components!$E$7)^2))</f>
        <v/>
      </c>
      <c r="Q122">
        <f>IF(G122="","",EXP(LARGE(K122:P122,1)-MAX(K122:P122))/(EXP(K122-MAX(K122:P122))+EXP(L122-MAX(K122:P122))+EXP(M122-MAX(K122:P122))+EXP(N122-MAX(K122:P122))+EXP(O122-MAX(K122:P122))+EXP(P122-MAX(K122:P122))))</f>
        <v/>
      </c>
      <c r="R122">
        <f>IF(G122="","",EXP(LARGE(K122:P122,2)-MAX(K122:P122))/(EXP(K122-MAX(K122:P122))+EXP(L122-MAX(K122:P122))+EXP(M122-MAX(K122:P122))+EXP(N122-MAX(K122:P122))+EXP(O122-MAX(K122:P122))+EXP(P122-MAX(K122:P122))))</f>
        <v/>
      </c>
      <c r="S122">
        <f>IF(G122="","",Q122-R122)</f>
        <v/>
      </c>
      <c r="T122">
        <f>IF(G122="","",IF(ABS(G122-H122)&lt;=$B$6*I122,"OK","NG"))</f>
        <v/>
      </c>
      <c r="U122">
        <f>IF(T122="","",IF(T122=D122,1,0))</f>
        <v/>
      </c>
      <c r="V122">
        <f>IF(G122="","",IF(T122="OK","NONE",INDEX({"S1","S2","W1","W2","N1","N2"},MATCH(MAX(K122:P122),K122:P122,0))))</f>
        <v/>
      </c>
      <c r="W122">
        <f>IF(G122="","",IF(V122=E122,1,0))</f>
        <v/>
      </c>
      <c r="X122">
        <f>IF(G122="","",IF(AND(T122="NG",S122&lt;$B$7),"AMBIGUOUS","CONFIDENT"))</f>
        <v/>
      </c>
    </row>
    <row r="123">
      <c r="A123">
        <f>'Runs Z score'!A116</f>
        <v/>
      </c>
      <c r="B123">
        <f>'Runs Z score'!B116</f>
        <v/>
      </c>
      <c r="C123">
        <f>'Runs Z score'!C116</f>
        <v/>
      </c>
      <c r="D123">
        <f>'Runs Z score'!D116</f>
        <v/>
      </c>
      <c r="E123">
        <f>'Runs Z score'!E116</f>
        <v/>
      </c>
      <c r="F123">
        <f>'Runs Z score'!F116</f>
        <v/>
      </c>
      <c r="G123">
        <f>'Runs Z score'!G116</f>
        <v/>
      </c>
      <c r="H123">
        <f>VLOOKUP(C123,Recipes!$A$2:$N$4,10,FALSE())</f>
        <v/>
      </c>
      <c r="I123">
        <f>VLOOKUP(C123,Recipes!$A$2:$N$4,12,FALSE())</f>
        <v/>
      </c>
      <c r="J123">
        <f>IF(G123="","",H123-G123)</f>
        <v/>
      </c>
      <c r="K123">
        <f>IF(G123="","",IF(VLOOKUP(C123,Recipes!$A$2:$N$4,4,FALSE())=0,-1E+300,-0.5*((J123-Components!$D$2)/Components!$E$2)^2))</f>
        <v/>
      </c>
      <c r="L123">
        <f>IF(G123="","",IF(VLOOKUP(C123,Recipes!$A$2:$N$4,5,FALSE())=0,-1E+300,-0.5*((J123-Components!$D$3)/Components!$E$3)^2))</f>
        <v/>
      </c>
      <c r="M123">
        <f>IF(G123="","",IF(VLOOKUP(C123,Recipes!$A$2:$N$4,6,FALSE())=0,-1E+300,-0.5*((J123-Components!$D$4)/Components!$E$4)^2))</f>
        <v/>
      </c>
      <c r="N123">
        <f>IF(G123="","",IF(VLOOKUP(C123,Recipes!$A$2:$N$4,7,FALSE())=0,-1E+300,-0.5*((J123-Components!$D$5)/Components!$E$5)^2))</f>
        <v/>
      </c>
      <c r="O123">
        <f>IF(G123="","",IF(VLOOKUP(C123,Recipes!$A$2:$N$4,8,FALSE())=0,-1E+300,-0.5*((J123-Components!$D$6)/Components!$E$6)^2))</f>
        <v/>
      </c>
      <c r="P123">
        <f>IF(G123="","",IF(VLOOKUP(C123,Recipes!$A$2:$N$4,9,FALSE())=0,-1E+300,-0.5*((J123-Components!$D$7)/Components!$E$7)^2))</f>
        <v/>
      </c>
      <c r="Q123">
        <f>IF(G123="","",EXP(LARGE(K123:P123,1)-MAX(K123:P123))/(EXP(K123-MAX(K123:P123))+EXP(L123-MAX(K123:P123))+EXP(M123-MAX(K123:P123))+EXP(N123-MAX(K123:P123))+EXP(O123-MAX(K123:P123))+EXP(P123-MAX(K123:P123))))</f>
        <v/>
      </c>
      <c r="R123">
        <f>IF(G123="","",EXP(LARGE(K123:P123,2)-MAX(K123:P123))/(EXP(K123-MAX(K123:P123))+EXP(L123-MAX(K123:P123))+EXP(M123-MAX(K123:P123))+EXP(N123-MAX(K123:P123))+EXP(O123-MAX(K123:P123))+EXP(P123-MAX(K123:P123))))</f>
        <v/>
      </c>
      <c r="S123">
        <f>IF(G123="","",Q123-R123)</f>
        <v/>
      </c>
      <c r="T123">
        <f>IF(G123="","",IF(ABS(G123-H123)&lt;=$B$6*I123,"OK","NG"))</f>
        <v/>
      </c>
      <c r="U123">
        <f>IF(T123="","",IF(T123=D123,1,0))</f>
        <v/>
      </c>
      <c r="V123">
        <f>IF(G123="","",IF(T123="OK","NONE",INDEX({"S1","S2","W1","W2","N1","N2"},MATCH(MAX(K123:P123),K123:P123,0))))</f>
        <v/>
      </c>
      <c r="W123">
        <f>IF(G123="","",IF(V123=E123,1,0))</f>
        <v/>
      </c>
      <c r="X123">
        <f>IF(G123="","",IF(AND(T123="NG",S123&lt;$B$7),"AMBIGUOUS","CONFIDENT"))</f>
        <v/>
      </c>
    </row>
    <row r="124">
      <c r="A124">
        <f>'Runs Z score'!A117</f>
        <v/>
      </c>
      <c r="B124">
        <f>'Runs Z score'!B117</f>
        <v/>
      </c>
      <c r="C124">
        <f>'Runs Z score'!C117</f>
        <v/>
      </c>
      <c r="D124">
        <f>'Runs Z score'!D117</f>
        <v/>
      </c>
      <c r="E124">
        <f>'Runs Z score'!E117</f>
        <v/>
      </c>
      <c r="F124">
        <f>'Runs Z score'!F117</f>
        <v/>
      </c>
      <c r="G124">
        <f>'Runs Z score'!G117</f>
        <v/>
      </c>
      <c r="H124">
        <f>VLOOKUP(C124,Recipes!$A$2:$N$4,10,FALSE())</f>
        <v/>
      </c>
      <c r="I124">
        <f>VLOOKUP(C124,Recipes!$A$2:$N$4,12,FALSE())</f>
        <v/>
      </c>
      <c r="J124">
        <f>IF(G124="","",H124-G124)</f>
        <v/>
      </c>
      <c r="K124">
        <f>IF(G124="","",IF(VLOOKUP(C124,Recipes!$A$2:$N$4,4,FALSE())=0,-1E+300,-0.5*((J124-Components!$D$2)/Components!$E$2)^2))</f>
        <v/>
      </c>
      <c r="L124">
        <f>IF(G124="","",IF(VLOOKUP(C124,Recipes!$A$2:$N$4,5,FALSE())=0,-1E+300,-0.5*((J124-Components!$D$3)/Components!$E$3)^2))</f>
        <v/>
      </c>
      <c r="M124">
        <f>IF(G124="","",IF(VLOOKUP(C124,Recipes!$A$2:$N$4,6,FALSE())=0,-1E+300,-0.5*((J124-Components!$D$4)/Components!$E$4)^2))</f>
        <v/>
      </c>
      <c r="N124">
        <f>IF(G124="","",IF(VLOOKUP(C124,Recipes!$A$2:$N$4,7,FALSE())=0,-1E+300,-0.5*((J124-Components!$D$5)/Components!$E$5)^2))</f>
        <v/>
      </c>
      <c r="O124">
        <f>IF(G124="","",IF(VLOOKUP(C124,Recipes!$A$2:$N$4,8,FALSE())=0,-1E+300,-0.5*((J124-Components!$D$6)/Components!$E$6)^2))</f>
        <v/>
      </c>
      <c r="P124">
        <f>IF(G124="","",IF(VLOOKUP(C124,Recipes!$A$2:$N$4,9,FALSE())=0,-1E+300,-0.5*((J124-Components!$D$7)/Components!$E$7)^2))</f>
        <v/>
      </c>
      <c r="Q124">
        <f>IF(G124="","",EXP(LARGE(K124:P124,1)-MAX(K124:P124))/(EXP(K124-MAX(K124:P124))+EXP(L124-MAX(K124:P124))+EXP(M124-MAX(K124:P124))+EXP(N124-MAX(K124:P124))+EXP(O124-MAX(K124:P124))+EXP(P124-MAX(K124:P124))))</f>
        <v/>
      </c>
      <c r="R124">
        <f>IF(G124="","",EXP(LARGE(K124:P124,2)-MAX(K124:P124))/(EXP(K124-MAX(K124:P124))+EXP(L124-MAX(K124:P124))+EXP(M124-MAX(K124:P124))+EXP(N124-MAX(K124:P124))+EXP(O124-MAX(K124:P124))+EXP(P124-MAX(K124:P124))))</f>
        <v/>
      </c>
      <c r="S124">
        <f>IF(G124="","",Q124-R124)</f>
        <v/>
      </c>
      <c r="T124">
        <f>IF(G124="","",IF(ABS(G124-H124)&lt;=$B$6*I124,"OK","NG"))</f>
        <v/>
      </c>
      <c r="U124">
        <f>IF(T124="","",IF(T124=D124,1,0))</f>
        <v/>
      </c>
      <c r="V124">
        <f>IF(G124="","",IF(T124="OK","NONE",INDEX({"S1","S2","W1","W2","N1","N2"},MATCH(MAX(K124:P124),K124:P124,0))))</f>
        <v/>
      </c>
      <c r="W124">
        <f>IF(G124="","",IF(V124=E124,1,0))</f>
        <v/>
      </c>
      <c r="X124">
        <f>IF(G124="","",IF(AND(T124="NG",S124&lt;$B$7),"AMBIGUOUS","CONFIDENT"))</f>
        <v/>
      </c>
    </row>
    <row r="125">
      <c r="A125">
        <f>'Runs Z score'!A118</f>
        <v/>
      </c>
      <c r="B125">
        <f>'Runs Z score'!B118</f>
        <v/>
      </c>
      <c r="C125">
        <f>'Runs Z score'!C118</f>
        <v/>
      </c>
      <c r="D125">
        <f>'Runs Z score'!D118</f>
        <v/>
      </c>
      <c r="E125">
        <f>'Runs Z score'!E118</f>
        <v/>
      </c>
      <c r="F125">
        <f>'Runs Z score'!F118</f>
        <v/>
      </c>
      <c r="G125">
        <f>'Runs Z score'!G118</f>
        <v/>
      </c>
      <c r="H125">
        <f>VLOOKUP(C125,Recipes!$A$2:$N$4,10,FALSE())</f>
        <v/>
      </c>
      <c r="I125">
        <f>VLOOKUP(C125,Recipes!$A$2:$N$4,12,FALSE())</f>
        <v/>
      </c>
      <c r="J125">
        <f>IF(G125="","",H125-G125)</f>
        <v/>
      </c>
      <c r="K125">
        <f>IF(G125="","",IF(VLOOKUP(C125,Recipes!$A$2:$N$4,4,FALSE())=0,-1E+300,-0.5*((J125-Components!$D$2)/Components!$E$2)^2))</f>
        <v/>
      </c>
      <c r="L125">
        <f>IF(G125="","",IF(VLOOKUP(C125,Recipes!$A$2:$N$4,5,FALSE())=0,-1E+300,-0.5*((J125-Components!$D$3)/Components!$E$3)^2))</f>
        <v/>
      </c>
      <c r="M125">
        <f>IF(G125="","",IF(VLOOKUP(C125,Recipes!$A$2:$N$4,6,FALSE())=0,-1E+300,-0.5*((J125-Components!$D$4)/Components!$E$4)^2))</f>
        <v/>
      </c>
      <c r="N125">
        <f>IF(G125="","",IF(VLOOKUP(C125,Recipes!$A$2:$N$4,7,FALSE())=0,-1E+300,-0.5*((J125-Components!$D$5)/Components!$E$5)^2))</f>
        <v/>
      </c>
      <c r="O125">
        <f>IF(G125="","",IF(VLOOKUP(C125,Recipes!$A$2:$N$4,8,FALSE())=0,-1E+300,-0.5*((J125-Components!$D$6)/Components!$E$6)^2))</f>
        <v/>
      </c>
      <c r="P125">
        <f>IF(G125="","",IF(VLOOKUP(C125,Recipes!$A$2:$N$4,9,FALSE())=0,-1E+300,-0.5*((J125-Components!$D$7)/Components!$E$7)^2))</f>
        <v/>
      </c>
      <c r="Q125">
        <f>IF(G125="","",EXP(LARGE(K125:P125,1)-MAX(K125:P125))/(EXP(K125-MAX(K125:P125))+EXP(L125-MAX(K125:P125))+EXP(M125-MAX(K125:P125))+EXP(N125-MAX(K125:P125))+EXP(O125-MAX(K125:P125))+EXP(P125-MAX(K125:P125))))</f>
        <v/>
      </c>
      <c r="R125">
        <f>IF(G125="","",EXP(LARGE(K125:P125,2)-MAX(K125:P125))/(EXP(K125-MAX(K125:P125))+EXP(L125-MAX(K125:P125))+EXP(M125-MAX(K125:P125))+EXP(N125-MAX(K125:P125))+EXP(O125-MAX(K125:P125))+EXP(P125-MAX(K125:P125))))</f>
        <v/>
      </c>
      <c r="S125">
        <f>IF(G125="","",Q125-R125)</f>
        <v/>
      </c>
      <c r="T125">
        <f>IF(G125="","",IF(ABS(G125-H125)&lt;=$B$6*I125,"OK","NG"))</f>
        <v/>
      </c>
      <c r="U125">
        <f>IF(T125="","",IF(T125=D125,1,0))</f>
        <v/>
      </c>
      <c r="V125">
        <f>IF(G125="","",IF(T125="OK","NONE",INDEX({"S1","S2","W1","W2","N1","N2"},MATCH(MAX(K125:P125),K125:P125,0))))</f>
        <v/>
      </c>
      <c r="W125">
        <f>IF(G125="","",IF(V125=E125,1,0))</f>
        <v/>
      </c>
      <c r="X125">
        <f>IF(G125="","",IF(AND(T125="NG",S125&lt;$B$7),"AMBIGUOUS","CONFIDENT"))</f>
        <v/>
      </c>
    </row>
    <row r="126">
      <c r="A126">
        <f>'Runs Z score'!A119</f>
        <v/>
      </c>
      <c r="B126">
        <f>'Runs Z score'!B119</f>
        <v/>
      </c>
      <c r="C126">
        <f>'Runs Z score'!C119</f>
        <v/>
      </c>
      <c r="D126">
        <f>'Runs Z score'!D119</f>
        <v/>
      </c>
      <c r="E126">
        <f>'Runs Z score'!E119</f>
        <v/>
      </c>
      <c r="F126">
        <f>'Runs Z score'!F119</f>
        <v/>
      </c>
      <c r="G126">
        <f>'Runs Z score'!G119</f>
        <v/>
      </c>
      <c r="H126">
        <f>VLOOKUP(C126,Recipes!$A$2:$N$4,10,FALSE())</f>
        <v/>
      </c>
      <c r="I126">
        <f>VLOOKUP(C126,Recipes!$A$2:$N$4,12,FALSE())</f>
        <v/>
      </c>
      <c r="J126">
        <f>IF(G126="","",H126-G126)</f>
        <v/>
      </c>
      <c r="K126">
        <f>IF(G126="","",IF(VLOOKUP(C126,Recipes!$A$2:$N$4,4,FALSE())=0,-1E+300,-0.5*((J126-Components!$D$2)/Components!$E$2)^2))</f>
        <v/>
      </c>
      <c r="L126">
        <f>IF(G126="","",IF(VLOOKUP(C126,Recipes!$A$2:$N$4,5,FALSE())=0,-1E+300,-0.5*((J126-Components!$D$3)/Components!$E$3)^2))</f>
        <v/>
      </c>
      <c r="M126">
        <f>IF(G126="","",IF(VLOOKUP(C126,Recipes!$A$2:$N$4,6,FALSE())=0,-1E+300,-0.5*((J126-Components!$D$4)/Components!$E$4)^2))</f>
        <v/>
      </c>
      <c r="N126">
        <f>IF(G126="","",IF(VLOOKUP(C126,Recipes!$A$2:$N$4,7,FALSE())=0,-1E+300,-0.5*((J126-Components!$D$5)/Components!$E$5)^2))</f>
        <v/>
      </c>
      <c r="O126">
        <f>IF(G126="","",IF(VLOOKUP(C126,Recipes!$A$2:$N$4,8,FALSE())=0,-1E+300,-0.5*((J126-Components!$D$6)/Components!$E$6)^2))</f>
        <v/>
      </c>
      <c r="P126">
        <f>IF(G126="","",IF(VLOOKUP(C126,Recipes!$A$2:$N$4,9,FALSE())=0,-1E+300,-0.5*((J126-Components!$D$7)/Components!$E$7)^2))</f>
        <v/>
      </c>
      <c r="Q126">
        <f>IF(G126="","",EXP(LARGE(K126:P126,1)-MAX(K126:P126))/(EXP(K126-MAX(K126:P126))+EXP(L126-MAX(K126:P126))+EXP(M126-MAX(K126:P126))+EXP(N126-MAX(K126:P126))+EXP(O126-MAX(K126:P126))+EXP(P126-MAX(K126:P126))))</f>
        <v/>
      </c>
      <c r="R126">
        <f>IF(G126="","",EXP(LARGE(K126:P126,2)-MAX(K126:P126))/(EXP(K126-MAX(K126:P126))+EXP(L126-MAX(K126:P126))+EXP(M126-MAX(K126:P126))+EXP(N126-MAX(K126:P126))+EXP(O126-MAX(K126:P126))+EXP(P126-MAX(K126:P126))))</f>
        <v/>
      </c>
      <c r="S126">
        <f>IF(G126="","",Q126-R126)</f>
        <v/>
      </c>
      <c r="T126">
        <f>IF(G126="","",IF(ABS(G126-H126)&lt;=$B$6*I126,"OK","NG"))</f>
        <v/>
      </c>
      <c r="U126">
        <f>IF(T126="","",IF(T126=D126,1,0))</f>
        <v/>
      </c>
      <c r="V126">
        <f>IF(G126="","",IF(T126="OK","NONE",INDEX({"S1","S2","W1","W2","N1","N2"},MATCH(MAX(K126:P126),K126:P126,0))))</f>
        <v/>
      </c>
      <c r="W126">
        <f>IF(G126="","",IF(V126=E126,1,0))</f>
        <v/>
      </c>
      <c r="X126">
        <f>IF(G126="","",IF(AND(T126="NG",S126&lt;$B$7),"AMBIGUOUS","CONFIDENT"))</f>
        <v/>
      </c>
    </row>
    <row r="127">
      <c r="A127">
        <f>'Runs Z score'!A120</f>
        <v/>
      </c>
      <c r="B127">
        <f>'Runs Z score'!B120</f>
        <v/>
      </c>
      <c r="C127">
        <f>'Runs Z score'!C120</f>
        <v/>
      </c>
      <c r="D127">
        <f>'Runs Z score'!D120</f>
        <v/>
      </c>
      <c r="E127">
        <f>'Runs Z score'!E120</f>
        <v/>
      </c>
      <c r="F127">
        <f>'Runs Z score'!F120</f>
        <v/>
      </c>
      <c r="G127">
        <f>'Runs Z score'!G120</f>
        <v/>
      </c>
      <c r="H127">
        <f>VLOOKUP(C127,Recipes!$A$2:$N$4,10,FALSE())</f>
        <v/>
      </c>
      <c r="I127">
        <f>VLOOKUP(C127,Recipes!$A$2:$N$4,12,FALSE())</f>
        <v/>
      </c>
      <c r="J127">
        <f>IF(G127="","",H127-G127)</f>
        <v/>
      </c>
      <c r="K127">
        <f>IF(G127="","",IF(VLOOKUP(C127,Recipes!$A$2:$N$4,4,FALSE())=0,-1E+300,-0.5*((J127-Components!$D$2)/Components!$E$2)^2))</f>
        <v/>
      </c>
      <c r="L127">
        <f>IF(G127="","",IF(VLOOKUP(C127,Recipes!$A$2:$N$4,5,FALSE())=0,-1E+300,-0.5*((J127-Components!$D$3)/Components!$E$3)^2))</f>
        <v/>
      </c>
      <c r="M127">
        <f>IF(G127="","",IF(VLOOKUP(C127,Recipes!$A$2:$N$4,6,FALSE())=0,-1E+300,-0.5*((J127-Components!$D$4)/Components!$E$4)^2))</f>
        <v/>
      </c>
      <c r="N127">
        <f>IF(G127="","",IF(VLOOKUP(C127,Recipes!$A$2:$N$4,7,FALSE())=0,-1E+300,-0.5*((J127-Components!$D$5)/Components!$E$5)^2))</f>
        <v/>
      </c>
      <c r="O127">
        <f>IF(G127="","",IF(VLOOKUP(C127,Recipes!$A$2:$N$4,8,FALSE())=0,-1E+300,-0.5*((J127-Components!$D$6)/Components!$E$6)^2))</f>
        <v/>
      </c>
      <c r="P127">
        <f>IF(G127="","",IF(VLOOKUP(C127,Recipes!$A$2:$N$4,9,FALSE())=0,-1E+300,-0.5*((J127-Components!$D$7)/Components!$E$7)^2))</f>
        <v/>
      </c>
      <c r="Q127">
        <f>IF(G127="","",EXP(LARGE(K127:P127,1)-MAX(K127:P127))/(EXP(K127-MAX(K127:P127))+EXP(L127-MAX(K127:P127))+EXP(M127-MAX(K127:P127))+EXP(N127-MAX(K127:P127))+EXP(O127-MAX(K127:P127))+EXP(P127-MAX(K127:P127))))</f>
        <v/>
      </c>
      <c r="R127">
        <f>IF(G127="","",EXP(LARGE(K127:P127,2)-MAX(K127:P127))/(EXP(K127-MAX(K127:P127))+EXP(L127-MAX(K127:P127))+EXP(M127-MAX(K127:P127))+EXP(N127-MAX(K127:P127))+EXP(O127-MAX(K127:P127))+EXP(P127-MAX(K127:P127))))</f>
        <v/>
      </c>
      <c r="S127">
        <f>IF(G127="","",Q127-R127)</f>
        <v/>
      </c>
      <c r="T127">
        <f>IF(G127="","",IF(ABS(G127-H127)&lt;=$B$6*I127,"OK","NG"))</f>
        <v/>
      </c>
      <c r="U127">
        <f>IF(T127="","",IF(T127=D127,1,0))</f>
        <v/>
      </c>
      <c r="V127">
        <f>IF(G127="","",IF(T127="OK","NONE",INDEX({"S1","S2","W1","W2","N1","N2"},MATCH(MAX(K127:P127),K127:P127,0))))</f>
        <v/>
      </c>
      <c r="W127">
        <f>IF(G127="","",IF(V127=E127,1,0))</f>
        <v/>
      </c>
      <c r="X127">
        <f>IF(G127="","",IF(AND(T127="NG",S127&lt;$B$7),"AMBIGUOUS","CONFIDENT"))</f>
        <v/>
      </c>
    </row>
    <row r="128">
      <c r="A128">
        <f>'Runs Z score'!A121</f>
        <v/>
      </c>
      <c r="B128">
        <f>'Runs Z score'!B121</f>
        <v/>
      </c>
      <c r="C128">
        <f>'Runs Z score'!C121</f>
        <v/>
      </c>
      <c r="D128">
        <f>'Runs Z score'!D121</f>
        <v/>
      </c>
      <c r="E128">
        <f>'Runs Z score'!E121</f>
        <v/>
      </c>
      <c r="F128">
        <f>'Runs Z score'!F121</f>
        <v/>
      </c>
      <c r="G128">
        <f>'Runs Z score'!G121</f>
        <v/>
      </c>
      <c r="H128">
        <f>VLOOKUP(C128,Recipes!$A$2:$N$4,10,FALSE())</f>
        <v/>
      </c>
      <c r="I128">
        <f>VLOOKUP(C128,Recipes!$A$2:$N$4,12,FALSE())</f>
        <v/>
      </c>
      <c r="J128">
        <f>IF(G128="","",H128-G128)</f>
        <v/>
      </c>
      <c r="K128">
        <f>IF(G128="","",IF(VLOOKUP(C128,Recipes!$A$2:$N$4,4,FALSE())=0,-1E+300,-0.5*((J128-Components!$D$2)/Components!$E$2)^2))</f>
        <v/>
      </c>
      <c r="L128">
        <f>IF(G128="","",IF(VLOOKUP(C128,Recipes!$A$2:$N$4,5,FALSE())=0,-1E+300,-0.5*((J128-Components!$D$3)/Components!$E$3)^2))</f>
        <v/>
      </c>
      <c r="M128">
        <f>IF(G128="","",IF(VLOOKUP(C128,Recipes!$A$2:$N$4,6,FALSE())=0,-1E+300,-0.5*((J128-Components!$D$4)/Components!$E$4)^2))</f>
        <v/>
      </c>
      <c r="N128">
        <f>IF(G128="","",IF(VLOOKUP(C128,Recipes!$A$2:$N$4,7,FALSE())=0,-1E+300,-0.5*((J128-Components!$D$5)/Components!$E$5)^2))</f>
        <v/>
      </c>
      <c r="O128">
        <f>IF(G128="","",IF(VLOOKUP(C128,Recipes!$A$2:$N$4,8,FALSE())=0,-1E+300,-0.5*((J128-Components!$D$6)/Components!$E$6)^2))</f>
        <v/>
      </c>
      <c r="P128">
        <f>IF(G128="","",IF(VLOOKUP(C128,Recipes!$A$2:$N$4,9,FALSE())=0,-1E+300,-0.5*((J128-Components!$D$7)/Components!$E$7)^2))</f>
        <v/>
      </c>
      <c r="Q128">
        <f>IF(G128="","",EXP(LARGE(K128:P128,1)-MAX(K128:P128))/(EXP(K128-MAX(K128:P128))+EXP(L128-MAX(K128:P128))+EXP(M128-MAX(K128:P128))+EXP(N128-MAX(K128:P128))+EXP(O128-MAX(K128:P128))+EXP(P128-MAX(K128:P128))))</f>
        <v/>
      </c>
      <c r="R128">
        <f>IF(G128="","",EXP(LARGE(K128:P128,2)-MAX(K128:P128))/(EXP(K128-MAX(K128:P128))+EXP(L128-MAX(K128:P128))+EXP(M128-MAX(K128:P128))+EXP(N128-MAX(K128:P128))+EXP(O128-MAX(K128:P128))+EXP(P128-MAX(K128:P128))))</f>
        <v/>
      </c>
      <c r="S128">
        <f>IF(G128="","",Q128-R128)</f>
        <v/>
      </c>
      <c r="T128">
        <f>IF(G128="","",IF(ABS(G128-H128)&lt;=$B$6*I128,"OK","NG"))</f>
        <v/>
      </c>
      <c r="U128">
        <f>IF(T128="","",IF(T128=D128,1,0))</f>
        <v/>
      </c>
      <c r="V128">
        <f>IF(G128="","",IF(T128="OK","NONE",INDEX({"S1","S2","W1","W2","N1","N2"},MATCH(MAX(K128:P128),K128:P128,0))))</f>
        <v/>
      </c>
      <c r="W128">
        <f>IF(G128="","",IF(V128=E128,1,0))</f>
        <v/>
      </c>
      <c r="X128">
        <f>IF(G128="","",IF(AND(T128="NG",S128&lt;$B$7),"AMBIGUOUS","CONFIDENT"))</f>
        <v/>
      </c>
    </row>
    <row r="129">
      <c r="A129">
        <f>'Runs Z score'!A122</f>
        <v/>
      </c>
      <c r="B129">
        <f>'Runs Z score'!B122</f>
        <v/>
      </c>
      <c r="C129">
        <f>'Runs Z score'!C122</f>
        <v/>
      </c>
      <c r="D129">
        <f>'Runs Z score'!D122</f>
        <v/>
      </c>
      <c r="E129">
        <f>'Runs Z score'!E122</f>
        <v/>
      </c>
      <c r="F129">
        <f>'Runs Z score'!F122</f>
        <v/>
      </c>
      <c r="G129">
        <f>'Runs Z score'!G122</f>
        <v/>
      </c>
      <c r="H129">
        <f>VLOOKUP(C129,Recipes!$A$2:$N$4,10,FALSE())</f>
        <v/>
      </c>
      <c r="I129">
        <f>VLOOKUP(C129,Recipes!$A$2:$N$4,12,FALSE())</f>
        <v/>
      </c>
      <c r="J129">
        <f>IF(G129="","",H129-G129)</f>
        <v/>
      </c>
      <c r="K129">
        <f>IF(G129="","",IF(VLOOKUP(C129,Recipes!$A$2:$N$4,4,FALSE())=0,-1E+300,-0.5*((J129-Components!$D$2)/Components!$E$2)^2))</f>
        <v/>
      </c>
      <c r="L129">
        <f>IF(G129="","",IF(VLOOKUP(C129,Recipes!$A$2:$N$4,5,FALSE())=0,-1E+300,-0.5*((J129-Components!$D$3)/Components!$E$3)^2))</f>
        <v/>
      </c>
      <c r="M129">
        <f>IF(G129="","",IF(VLOOKUP(C129,Recipes!$A$2:$N$4,6,FALSE())=0,-1E+300,-0.5*((J129-Components!$D$4)/Components!$E$4)^2))</f>
        <v/>
      </c>
      <c r="N129">
        <f>IF(G129="","",IF(VLOOKUP(C129,Recipes!$A$2:$N$4,7,FALSE())=0,-1E+300,-0.5*((J129-Components!$D$5)/Components!$E$5)^2))</f>
        <v/>
      </c>
      <c r="O129">
        <f>IF(G129="","",IF(VLOOKUP(C129,Recipes!$A$2:$N$4,8,FALSE())=0,-1E+300,-0.5*((J129-Components!$D$6)/Components!$E$6)^2))</f>
        <v/>
      </c>
      <c r="P129">
        <f>IF(G129="","",IF(VLOOKUP(C129,Recipes!$A$2:$N$4,9,FALSE())=0,-1E+300,-0.5*((J129-Components!$D$7)/Components!$E$7)^2))</f>
        <v/>
      </c>
      <c r="Q129">
        <f>IF(G129="","",EXP(LARGE(K129:P129,1)-MAX(K129:P129))/(EXP(K129-MAX(K129:P129))+EXP(L129-MAX(K129:P129))+EXP(M129-MAX(K129:P129))+EXP(N129-MAX(K129:P129))+EXP(O129-MAX(K129:P129))+EXP(P129-MAX(K129:P129))))</f>
        <v/>
      </c>
      <c r="R129">
        <f>IF(G129="","",EXP(LARGE(K129:P129,2)-MAX(K129:P129))/(EXP(K129-MAX(K129:P129))+EXP(L129-MAX(K129:P129))+EXP(M129-MAX(K129:P129))+EXP(N129-MAX(K129:P129))+EXP(O129-MAX(K129:P129))+EXP(P129-MAX(K129:P129))))</f>
        <v/>
      </c>
      <c r="S129">
        <f>IF(G129="","",Q129-R129)</f>
        <v/>
      </c>
      <c r="T129">
        <f>IF(G129="","",IF(ABS(G129-H129)&lt;=$B$6*I129,"OK","NG"))</f>
        <v/>
      </c>
      <c r="U129">
        <f>IF(T129="","",IF(T129=D129,1,0))</f>
        <v/>
      </c>
      <c r="V129">
        <f>IF(G129="","",IF(T129="OK","NONE",INDEX({"S1","S2","W1","W2","N1","N2"},MATCH(MAX(K129:P129),K129:P129,0))))</f>
        <v/>
      </c>
      <c r="W129">
        <f>IF(G129="","",IF(V129=E129,1,0))</f>
        <v/>
      </c>
      <c r="X129">
        <f>IF(G129="","",IF(AND(T129="NG",S129&lt;$B$7),"AMBIGUOUS","CONFIDENT"))</f>
        <v/>
      </c>
    </row>
    <row r="130">
      <c r="A130">
        <f>'Runs Z score'!A123</f>
        <v/>
      </c>
      <c r="B130">
        <f>'Runs Z score'!B123</f>
        <v/>
      </c>
      <c r="C130">
        <f>'Runs Z score'!C123</f>
        <v/>
      </c>
      <c r="D130">
        <f>'Runs Z score'!D123</f>
        <v/>
      </c>
      <c r="E130">
        <f>'Runs Z score'!E123</f>
        <v/>
      </c>
      <c r="F130">
        <f>'Runs Z score'!F123</f>
        <v/>
      </c>
      <c r="G130">
        <f>'Runs Z score'!G123</f>
        <v/>
      </c>
      <c r="H130">
        <f>VLOOKUP(C130,Recipes!$A$2:$N$4,10,FALSE())</f>
        <v/>
      </c>
      <c r="I130">
        <f>VLOOKUP(C130,Recipes!$A$2:$N$4,12,FALSE())</f>
        <v/>
      </c>
      <c r="J130">
        <f>IF(G130="","",H130-G130)</f>
        <v/>
      </c>
      <c r="K130">
        <f>IF(G130="","",IF(VLOOKUP(C130,Recipes!$A$2:$N$4,4,FALSE())=0,-1E+300,-0.5*((J130-Components!$D$2)/Components!$E$2)^2))</f>
        <v/>
      </c>
      <c r="L130">
        <f>IF(G130="","",IF(VLOOKUP(C130,Recipes!$A$2:$N$4,5,FALSE())=0,-1E+300,-0.5*((J130-Components!$D$3)/Components!$E$3)^2))</f>
        <v/>
      </c>
      <c r="M130">
        <f>IF(G130="","",IF(VLOOKUP(C130,Recipes!$A$2:$N$4,6,FALSE())=0,-1E+300,-0.5*((J130-Components!$D$4)/Components!$E$4)^2))</f>
        <v/>
      </c>
      <c r="N130">
        <f>IF(G130="","",IF(VLOOKUP(C130,Recipes!$A$2:$N$4,7,FALSE())=0,-1E+300,-0.5*((J130-Components!$D$5)/Components!$E$5)^2))</f>
        <v/>
      </c>
      <c r="O130">
        <f>IF(G130="","",IF(VLOOKUP(C130,Recipes!$A$2:$N$4,8,FALSE())=0,-1E+300,-0.5*((J130-Components!$D$6)/Components!$E$6)^2))</f>
        <v/>
      </c>
      <c r="P130">
        <f>IF(G130="","",IF(VLOOKUP(C130,Recipes!$A$2:$N$4,9,FALSE())=0,-1E+300,-0.5*((J130-Components!$D$7)/Components!$E$7)^2))</f>
        <v/>
      </c>
      <c r="Q130">
        <f>IF(G130="","",EXP(LARGE(K130:P130,1)-MAX(K130:P130))/(EXP(K130-MAX(K130:P130))+EXP(L130-MAX(K130:P130))+EXP(M130-MAX(K130:P130))+EXP(N130-MAX(K130:P130))+EXP(O130-MAX(K130:P130))+EXP(P130-MAX(K130:P130))))</f>
        <v/>
      </c>
      <c r="R130">
        <f>IF(G130="","",EXP(LARGE(K130:P130,2)-MAX(K130:P130))/(EXP(K130-MAX(K130:P130))+EXP(L130-MAX(K130:P130))+EXP(M130-MAX(K130:P130))+EXP(N130-MAX(K130:P130))+EXP(O130-MAX(K130:P130))+EXP(P130-MAX(K130:P130))))</f>
        <v/>
      </c>
      <c r="S130">
        <f>IF(G130="","",Q130-R130)</f>
        <v/>
      </c>
      <c r="T130">
        <f>IF(G130="","",IF(ABS(G130-H130)&lt;=$B$6*I130,"OK","NG"))</f>
        <v/>
      </c>
      <c r="U130">
        <f>IF(T130="","",IF(T130=D130,1,0))</f>
        <v/>
      </c>
      <c r="V130">
        <f>IF(G130="","",IF(T130="OK","NONE",INDEX({"S1","S2","W1","W2","N1","N2"},MATCH(MAX(K130:P130),K130:P130,0))))</f>
        <v/>
      </c>
      <c r="W130">
        <f>IF(G130="","",IF(V130=E130,1,0))</f>
        <v/>
      </c>
      <c r="X130">
        <f>IF(G130="","",IF(AND(T130="NG",S130&lt;$B$7),"AMBIGUOUS","CONFIDENT"))</f>
        <v/>
      </c>
    </row>
    <row r="131">
      <c r="A131">
        <f>'Runs Z score'!A124</f>
        <v/>
      </c>
      <c r="B131">
        <f>'Runs Z score'!B124</f>
        <v/>
      </c>
      <c r="C131">
        <f>'Runs Z score'!C124</f>
        <v/>
      </c>
      <c r="D131">
        <f>'Runs Z score'!D124</f>
        <v/>
      </c>
      <c r="E131">
        <f>'Runs Z score'!E124</f>
        <v/>
      </c>
      <c r="F131">
        <f>'Runs Z score'!F124</f>
        <v/>
      </c>
      <c r="G131">
        <f>'Runs Z score'!G124</f>
        <v/>
      </c>
      <c r="H131">
        <f>VLOOKUP(C131,Recipes!$A$2:$N$4,10,FALSE())</f>
        <v/>
      </c>
      <c r="I131">
        <f>VLOOKUP(C131,Recipes!$A$2:$N$4,12,FALSE())</f>
        <v/>
      </c>
      <c r="J131">
        <f>IF(G131="","",H131-G131)</f>
        <v/>
      </c>
      <c r="K131">
        <f>IF(G131="","",IF(VLOOKUP(C131,Recipes!$A$2:$N$4,4,FALSE())=0,-1E+300,-0.5*((J131-Components!$D$2)/Components!$E$2)^2))</f>
        <v/>
      </c>
      <c r="L131">
        <f>IF(G131="","",IF(VLOOKUP(C131,Recipes!$A$2:$N$4,5,FALSE())=0,-1E+300,-0.5*((J131-Components!$D$3)/Components!$E$3)^2))</f>
        <v/>
      </c>
      <c r="M131">
        <f>IF(G131="","",IF(VLOOKUP(C131,Recipes!$A$2:$N$4,6,FALSE())=0,-1E+300,-0.5*((J131-Components!$D$4)/Components!$E$4)^2))</f>
        <v/>
      </c>
      <c r="N131">
        <f>IF(G131="","",IF(VLOOKUP(C131,Recipes!$A$2:$N$4,7,FALSE())=0,-1E+300,-0.5*((J131-Components!$D$5)/Components!$E$5)^2))</f>
        <v/>
      </c>
      <c r="O131">
        <f>IF(G131="","",IF(VLOOKUP(C131,Recipes!$A$2:$N$4,8,FALSE())=0,-1E+300,-0.5*((J131-Components!$D$6)/Components!$E$6)^2))</f>
        <v/>
      </c>
      <c r="P131">
        <f>IF(G131="","",IF(VLOOKUP(C131,Recipes!$A$2:$N$4,9,FALSE())=0,-1E+300,-0.5*((J131-Components!$D$7)/Components!$E$7)^2))</f>
        <v/>
      </c>
      <c r="Q131">
        <f>IF(G131="","",EXP(LARGE(K131:P131,1)-MAX(K131:P131))/(EXP(K131-MAX(K131:P131))+EXP(L131-MAX(K131:P131))+EXP(M131-MAX(K131:P131))+EXP(N131-MAX(K131:P131))+EXP(O131-MAX(K131:P131))+EXP(P131-MAX(K131:P131))))</f>
        <v/>
      </c>
      <c r="R131">
        <f>IF(G131="","",EXP(LARGE(K131:P131,2)-MAX(K131:P131))/(EXP(K131-MAX(K131:P131))+EXP(L131-MAX(K131:P131))+EXP(M131-MAX(K131:P131))+EXP(N131-MAX(K131:P131))+EXP(O131-MAX(K131:P131))+EXP(P131-MAX(K131:P131))))</f>
        <v/>
      </c>
      <c r="S131">
        <f>IF(G131="","",Q131-R131)</f>
        <v/>
      </c>
      <c r="T131">
        <f>IF(G131="","",IF(ABS(G131-H131)&lt;=$B$6*I131,"OK","NG"))</f>
        <v/>
      </c>
      <c r="U131">
        <f>IF(T131="","",IF(T131=D131,1,0))</f>
        <v/>
      </c>
      <c r="V131">
        <f>IF(G131="","",IF(T131="OK","NONE",INDEX({"S1","S2","W1","W2","N1","N2"},MATCH(MAX(K131:P131),K131:P131,0))))</f>
        <v/>
      </c>
      <c r="W131">
        <f>IF(G131="","",IF(V131=E131,1,0))</f>
        <v/>
      </c>
      <c r="X131">
        <f>IF(G131="","",IF(AND(T131="NG",S131&lt;$B$7),"AMBIGUOUS","CONFIDENT"))</f>
        <v/>
      </c>
    </row>
    <row r="132">
      <c r="A132">
        <f>'Runs Z score'!A125</f>
        <v/>
      </c>
      <c r="B132">
        <f>'Runs Z score'!B125</f>
        <v/>
      </c>
      <c r="C132">
        <f>'Runs Z score'!C125</f>
        <v/>
      </c>
      <c r="D132">
        <f>'Runs Z score'!D125</f>
        <v/>
      </c>
      <c r="E132">
        <f>'Runs Z score'!E125</f>
        <v/>
      </c>
      <c r="F132">
        <f>'Runs Z score'!F125</f>
        <v/>
      </c>
      <c r="G132">
        <f>'Runs Z score'!G125</f>
        <v/>
      </c>
      <c r="H132">
        <f>VLOOKUP(C132,Recipes!$A$2:$N$4,10,FALSE())</f>
        <v/>
      </c>
      <c r="I132">
        <f>VLOOKUP(C132,Recipes!$A$2:$N$4,12,FALSE())</f>
        <v/>
      </c>
      <c r="J132">
        <f>IF(G132="","",H132-G132)</f>
        <v/>
      </c>
      <c r="K132">
        <f>IF(G132="","",IF(VLOOKUP(C132,Recipes!$A$2:$N$4,4,FALSE())=0,-1E+300,-0.5*((J132-Components!$D$2)/Components!$E$2)^2))</f>
        <v/>
      </c>
      <c r="L132">
        <f>IF(G132="","",IF(VLOOKUP(C132,Recipes!$A$2:$N$4,5,FALSE())=0,-1E+300,-0.5*((J132-Components!$D$3)/Components!$E$3)^2))</f>
        <v/>
      </c>
      <c r="M132">
        <f>IF(G132="","",IF(VLOOKUP(C132,Recipes!$A$2:$N$4,6,FALSE())=0,-1E+300,-0.5*((J132-Components!$D$4)/Components!$E$4)^2))</f>
        <v/>
      </c>
      <c r="N132">
        <f>IF(G132="","",IF(VLOOKUP(C132,Recipes!$A$2:$N$4,7,FALSE())=0,-1E+300,-0.5*((J132-Components!$D$5)/Components!$E$5)^2))</f>
        <v/>
      </c>
      <c r="O132">
        <f>IF(G132="","",IF(VLOOKUP(C132,Recipes!$A$2:$N$4,8,FALSE())=0,-1E+300,-0.5*((J132-Components!$D$6)/Components!$E$6)^2))</f>
        <v/>
      </c>
      <c r="P132">
        <f>IF(G132="","",IF(VLOOKUP(C132,Recipes!$A$2:$N$4,9,FALSE())=0,-1E+300,-0.5*((J132-Components!$D$7)/Components!$E$7)^2))</f>
        <v/>
      </c>
      <c r="Q132">
        <f>IF(G132="","",EXP(LARGE(K132:P132,1)-MAX(K132:P132))/(EXP(K132-MAX(K132:P132))+EXP(L132-MAX(K132:P132))+EXP(M132-MAX(K132:P132))+EXP(N132-MAX(K132:P132))+EXP(O132-MAX(K132:P132))+EXP(P132-MAX(K132:P132))))</f>
        <v/>
      </c>
      <c r="R132">
        <f>IF(G132="","",EXP(LARGE(K132:P132,2)-MAX(K132:P132))/(EXP(K132-MAX(K132:P132))+EXP(L132-MAX(K132:P132))+EXP(M132-MAX(K132:P132))+EXP(N132-MAX(K132:P132))+EXP(O132-MAX(K132:P132))+EXP(P132-MAX(K132:P132))))</f>
        <v/>
      </c>
      <c r="S132">
        <f>IF(G132="","",Q132-R132)</f>
        <v/>
      </c>
      <c r="T132">
        <f>IF(G132="","",IF(ABS(G132-H132)&lt;=$B$6*I132,"OK","NG"))</f>
        <v/>
      </c>
      <c r="U132">
        <f>IF(T132="","",IF(T132=D132,1,0))</f>
        <v/>
      </c>
      <c r="V132">
        <f>IF(G132="","",IF(T132="OK","NONE",INDEX({"S1","S2","W1","W2","N1","N2"},MATCH(MAX(K132:P132),K132:P132,0))))</f>
        <v/>
      </c>
      <c r="W132">
        <f>IF(G132="","",IF(V132=E132,1,0))</f>
        <v/>
      </c>
      <c r="X132">
        <f>IF(G132="","",IF(AND(T132="NG",S132&lt;$B$7),"AMBIGUOUS","CONFIDENT"))</f>
        <v/>
      </c>
    </row>
    <row r="133">
      <c r="A133">
        <f>'Runs Z score'!A126</f>
        <v/>
      </c>
      <c r="B133">
        <f>'Runs Z score'!B126</f>
        <v/>
      </c>
      <c r="C133">
        <f>'Runs Z score'!C126</f>
        <v/>
      </c>
      <c r="D133">
        <f>'Runs Z score'!D126</f>
        <v/>
      </c>
      <c r="E133">
        <f>'Runs Z score'!E126</f>
        <v/>
      </c>
      <c r="F133">
        <f>'Runs Z score'!F126</f>
        <v/>
      </c>
      <c r="G133">
        <f>'Runs Z score'!G126</f>
        <v/>
      </c>
      <c r="H133">
        <f>VLOOKUP(C133,Recipes!$A$2:$N$4,10,FALSE())</f>
        <v/>
      </c>
      <c r="I133">
        <f>VLOOKUP(C133,Recipes!$A$2:$N$4,12,FALSE())</f>
        <v/>
      </c>
      <c r="J133">
        <f>IF(G133="","",H133-G133)</f>
        <v/>
      </c>
      <c r="K133">
        <f>IF(G133="","",IF(VLOOKUP(C133,Recipes!$A$2:$N$4,4,FALSE())=0,-1E+300,-0.5*((J133-Components!$D$2)/Components!$E$2)^2))</f>
        <v/>
      </c>
      <c r="L133">
        <f>IF(G133="","",IF(VLOOKUP(C133,Recipes!$A$2:$N$4,5,FALSE())=0,-1E+300,-0.5*((J133-Components!$D$3)/Components!$E$3)^2))</f>
        <v/>
      </c>
      <c r="M133">
        <f>IF(G133="","",IF(VLOOKUP(C133,Recipes!$A$2:$N$4,6,FALSE())=0,-1E+300,-0.5*((J133-Components!$D$4)/Components!$E$4)^2))</f>
        <v/>
      </c>
      <c r="N133">
        <f>IF(G133="","",IF(VLOOKUP(C133,Recipes!$A$2:$N$4,7,FALSE())=0,-1E+300,-0.5*((J133-Components!$D$5)/Components!$E$5)^2))</f>
        <v/>
      </c>
      <c r="O133">
        <f>IF(G133="","",IF(VLOOKUP(C133,Recipes!$A$2:$N$4,8,FALSE())=0,-1E+300,-0.5*((J133-Components!$D$6)/Components!$E$6)^2))</f>
        <v/>
      </c>
      <c r="P133">
        <f>IF(G133="","",IF(VLOOKUP(C133,Recipes!$A$2:$N$4,9,FALSE())=0,-1E+300,-0.5*((J133-Components!$D$7)/Components!$E$7)^2))</f>
        <v/>
      </c>
      <c r="Q133">
        <f>IF(G133="","",EXP(LARGE(K133:P133,1)-MAX(K133:P133))/(EXP(K133-MAX(K133:P133))+EXP(L133-MAX(K133:P133))+EXP(M133-MAX(K133:P133))+EXP(N133-MAX(K133:P133))+EXP(O133-MAX(K133:P133))+EXP(P133-MAX(K133:P133))))</f>
        <v/>
      </c>
      <c r="R133">
        <f>IF(G133="","",EXP(LARGE(K133:P133,2)-MAX(K133:P133))/(EXP(K133-MAX(K133:P133))+EXP(L133-MAX(K133:P133))+EXP(M133-MAX(K133:P133))+EXP(N133-MAX(K133:P133))+EXP(O133-MAX(K133:P133))+EXP(P133-MAX(K133:P133))))</f>
        <v/>
      </c>
      <c r="S133">
        <f>IF(G133="","",Q133-R133)</f>
        <v/>
      </c>
      <c r="T133">
        <f>IF(G133="","",IF(ABS(G133-H133)&lt;=$B$6*I133,"OK","NG"))</f>
        <v/>
      </c>
      <c r="U133">
        <f>IF(T133="","",IF(T133=D133,1,0))</f>
        <v/>
      </c>
      <c r="V133">
        <f>IF(G133="","",IF(T133="OK","NONE",INDEX({"S1","S2","W1","W2","N1","N2"},MATCH(MAX(K133:P133),K133:P133,0))))</f>
        <v/>
      </c>
      <c r="W133">
        <f>IF(G133="","",IF(V133=E133,1,0))</f>
        <v/>
      </c>
      <c r="X133">
        <f>IF(G133="","",IF(AND(T133="NG",S133&lt;$B$7),"AMBIGUOUS","CONFIDENT"))</f>
        <v/>
      </c>
    </row>
    <row r="134">
      <c r="A134">
        <f>'Runs Z score'!A127</f>
        <v/>
      </c>
      <c r="B134">
        <f>'Runs Z score'!B127</f>
        <v/>
      </c>
      <c r="C134">
        <f>'Runs Z score'!C127</f>
        <v/>
      </c>
      <c r="D134">
        <f>'Runs Z score'!D127</f>
        <v/>
      </c>
      <c r="E134">
        <f>'Runs Z score'!E127</f>
        <v/>
      </c>
      <c r="F134">
        <f>'Runs Z score'!F127</f>
        <v/>
      </c>
      <c r="G134">
        <f>'Runs Z score'!G127</f>
        <v/>
      </c>
      <c r="H134">
        <f>VLOOKUP(C134,Recipes!$A$2:$N$4,10,FALSE())</f>
        <v/>
      </c>
      <c r="I134">
        <f>VLOOKUP(C134,Recipes!$A$2:$N$4,12,FALSE())</f>
        <v/>
      </c>
      <c r="J134">
        <f>IF(G134="","",H134-G134)</f>
        <v/>
      </c>
      <c r="K134">
        <f>IF(G134="","",IF(VLOOKUP(C134,Recipes!$A$2:$N$4,4,FALSE())=0,-1E+300,-0.5*((J134-Components!$D$2)/Components!$E$2)^2))</f>
        <v/>
      </c>
      <c r="L134">
        <f>IF(G134="","",IF(VLOOKUP(C134,Recipes!$A$2:$N$4,5,FALSE())=0,-1E+300,-0.5*((J134-Components!$D$3)/Components!$E$3)^2))</f>
        <v/>
      </c>
      <c r="M134">
        <f>IF(G134="","",IF(VLOOKUP(C134,Recipes!$A$2:$N$4,6,FALSE())=0,-1E+300,-0.5*((J134-Components!$D$4)/Components!$E$4)^2))</f>
        <v/>
      </c>
      <c r="N134">
        <f>IF(G134="","",IF(VLOOKUP(C134,Recipes!$A$2:$N$4,7,FALSE())=0,-1E+300,-0.5*((J134-Components!$D$5)/Components!$E$5)^2))</f>
        <v/>
      </c>
      <c r="O134">
        <f>IF(G134="","",IF(VLOOKUP(C134,Recipes!$A$2:$N$4,8,FALSE())=0,-1E+300,-0.5*((J134-Components!$D$6)/Components!$E$6)^2))</f>
        <v/>
      </c>
      <c r="P134">
        <f>IF(G134="","",IF(VLOOKUP(C134,Recipes!$A$2:$N$4,9,FALSE())=0,-1E+300,-0.5*((J134-Components!$D$7)/Components!$E$7)^2))</f>
        <v/>
      </c>
      <c r="Q134">
        <f>IF(G134="","",EXP(LARGE(K134:P134,1)-MAX(K134:P134))/(EXP(K134-MAX(K134:P134))+EXP(L134-MAX(K134:P134))+EXP(M134-MAX(K134:P134))+EXP(N134-MAX(K134:P134))+EXP(O134-MAX(K134:P134))+EXP(P134-MAX(K134:P134))))</f>
        <v/>
      </c>
      <c r="R134">
        <f>IF(G134="","",EXP(LARGE(K134:P134,2)-MAX(K134:P134))/(EXP(K134-MAX(K134:P134))+EXP(L134-MAX(K134:P134))+EXP(M134-MAX(K134:P134))+EXP(N134-MAX(K134:P134))+EXP(O134-MAX(K134:P134))+EXP(P134-MAX(K134:P134))))</f>
        <v/>
      </c>
      <c r="S134">
        <f>IF(G134="","",Q134-R134)</f>
        <v/>
      </c>
      <c r="T134">
        <f>IF(G134="","",IF(ABS(G134-H134)&lt;=$B$6*I134,"OK","NG"))</f>
        <v/>
      </c>
      <c r="U134">
        <f>IF(T134="","",IF(T134=D134,1,0))</f>
        <v/>
      </c>
      <c r="V134">
        <f>IF(G134="","",IF(T134="OK","NONE",INDEX({"S1","S2","W1","W2","N1","N2"},MATCH(MAX(K134:P134),K134:P134,0))))</f>
        <v/>
      </c>
      <c r="W134">
        <f>IF(G134="","",IF(V134=E134,1,0))</f>
        <v/>
      </c>
      <c r="X134">
        <f>IF(G134="","",IF(AND(T134="NG",S134&lt;$B$7),"AMBIGUOUS","CONFIDENT"))</f>
        <v/>
      </c>
    </row>
    <row r="135">
      <c r="A135">
        <f>'Runs Z score'!A128</f>
        <v/>
      </c>
      <c r="B135">
        <f>'Runs Z score'!B128</f>
        <v/>
      </c>
      <c r="C135">
        <f>'Runs Z score'!C128</f>
        <v/>
      </c>
      <c r="D135">
        <f>'Runs Z score'!D128</f>
        <v/>
      </c>
      <c r="E135">
        <f>'Runs Z score'!E128</f>
        <v/>
      </c>
      <c r="F135">
        <f>'Runs Z score'!F128</f>
        <v/>
      </c>
      <c r="G135">
        <f>'Runs Z score'!G128</f>
        <v/>
      </c>
      <c r="H135">
        <f>VLOOKUP(C135,Recipes!$A$2:$N$4,10,FALSE())</f>
        <v/>
      </c>
      <c r="I135">
        <f>VLOOKUP(C135,Recipes!$A$2:$N$4,12,FALSE())</f>
        <v/>
      </c>
      <c r="J135">
        <f>IF(G135="","",H135-G135)</f>
        <v/>
      </c>
      <c r="K135">
        <f>IF(G135="","",IF(VLOOKUP(C135,Recipes!$A$2:$N$4,4,FALSE())=0,-1E+300,-0.5*((J135-Components!$D$2)/Components!$E$2)^2))</f>
        <v/>
      </c>
      <c r="L135">
        <f>IF(G135="","",IF(VLOOKUP(C135,Recipes!$A$2:$N$4,5,FALSE())=0,-1E+300,-0.5*((J135-Components!$D$3)/Components!$E$3)^2))</f>
        <v/>
      </c>
      <c r="M135">
        <f>IF(G135="","",IF(VLOOKUP(C135,Recipes!$A$2:$N$4,6,FALSE())=0,-1E+300,-0.5*((J135-Components!$D$4)/Components!$E$4)^2))</f>
        <v/>
      </c>
      <c r="N135">
        <f>IF(G135="","",IF(VLOOKUP(C135,Recipes!$A$2:$N$4,7,FALSE())=0,-1E+300,-0.5*((J135-Components!$D$5)/Components!$E$5)^2))</f>
        <v/>
      </c>
      <c r="O135">
        <f>IF(G135="","",IF(VLOOKUP(C135,Recipes!$A$2:$N$4,8,FALSE())=0,-1E+300,-0.5*((J135-Components!$D$6)/Components!$E$6)^2))</f>
        <v/>
      </c>
      <c r="P135">
        <f>IF(G135="","",IF(VLOOKUP(C135,Recipes!$A$2:$N$4,9,FALSE())=0,-1E+300,-0.5*((J135-Components!$D$7)/Components!$E$7)^2))</f>
        <v/>
      </c>
      <c r="Q135">
        <f>IF(G135="","",EXP(LARGE(K135:P135,1)-MAX(K135:P135))/(EXP(K135-MAX(K135:P135))+EXP(L135-MAX(K135:P135))+EXP(M135-MAX(K135:P135))+EXP(N135-MAX(K135:P135))+EXP(O135-MAX(K135:P135))+EXP(P135-MAX(K135:P135))))</f>
        <v/>
      </c>
      <c r="R135">
        <f>IF(G135="","",EXP(LARGE(K135:P135,2)-MAX(K135:P135))/(EXP(K135-MAX(K135:P135))+EXP(L135-MAX(K135:P135))+EXP(M135-MAX(K135:P135))+EXP(N135-MAX(K135:P135))+EXP(O135-MAX(K135:P135))+EXP(P135-MAX(K135:P135))))</f>
        <v/>
      </c>
      <c r="S135">
        <f>IF(G135="","",Q135-R135)</f>
        <v/>
      </c>
      <c r="T135">
        <f>IF(G135="","",IF(ABS(G135-H135)&lt;=$B$6*I135,"OK","NG"))</f>
        <v/>
      </c>
      <c r="U135">
        <f>IF(T135="","",IF(T135=D135,1,0))</f>
        <v/>
      </c>
      <c r="V135">
        <f>IF(G135="","",IF(T135="OK","NONE",INDEX({"S1","S2","W1","W2","N1","N2"},MATCH(MAX(K135:P135),K135:P135,0))))</f>
        <v/>
      </c>
      <c r="W135">
        <f>IF(G135="","",IF(V135=E135,1,0))</f>
        <v/>
      </c>
      <c r="X135">
        <f>IF(G135="","",IF(AND(T135="NG",S135&lt;$B$7),"AMBIGUOUS","CONFIDENT"))</f>
        <v/>
      </c>
    </row>
    <row r="136">
      <c r="A136">
        <f>'Runs Z score'!A129</f>
        <v/>
      </c>
      <c r="B136">
        <f>'Runs Z score'!B129</f>
        <v/>
      </c>
      <c r="C136">
        <f>'Runs Z score'!C129</f>
        <v/>
      </c>
      <c r="D136">
        <f>'Runs Z score'!D129</f>
        <v/>
      </c>
      <c r="E136">
        <f>'Runs Z score'!E129</f>
        <v/>
      </c>
      <c r="F136">
        <f>'Runs Z score'!F129</f>
        <v/>
      </c>
      <c r="G136">
        <f>'Runs Z score'!G129</f>
        <v/>
      </c>
      <c r="H136">
        <f>VLOOKUP(C136,Recipes!$A$2:$N$4,10,FALSE())</f>
        <v/>
      </c>
      <c r="I136">
        <f>VLOOKUP(C136,Recipes!$A$2:$N$4,12,FALSE())</f>
        <v/>
      </c>
      <c r="J136">
        <f>IF(G136="","",H136-G136)</f>
        <v/>
      </c>
      <c r="K136">
        <f>IF(G136="","",IF(VLOOKUP(C136,Recipes!$A$2:$N$4,4,FALSE())=0,-1E+300,-0.5*((J136-Components!$D$2)/Components!$E$2)^2))</f>
        <v/>
      </c>
      <c r="L136">
        <f>IF(G136="","",IF(VLOOKUP(C136,Recipes!$A$2:$N$4,5,FALSE())=0,-1E+300,-0.5*((J136-Components!$D$3)/Components!$E$3)^2))</f>
        <v/>
      </c>
      <c r="M136">
        <f>IF(G136="","",IF(VLOOKUP(C136,Recipes!$A$2:$N$4,6,FALSE())=0,-1E+300,-0.5*((J136-Components!$D$4)/Components!$E$4)^2))</f>
        <v/>
      </c>
      <c r="N136">
        <f>IF(G136="","",IF(VLOOKUP(C136,Recipes!$A$2:$N$4,7,FALSE())=0,-1E+300,-0.5*((J136-Components!$D$5)/Components!$E$5)^2))</f>
        <v/>
      </c>
      <c r="O136">
        <f>IF(G136="","",IF(VLOOKUP(C136,Recipes!$A$2:$N$4,8,FALSE())=0,-1E+300,-0.5*((J136-Components!$D$6)/Components!$E$6)^2))</f>
        <v/>
      </c>
      <c r="P136">
        <f>IF(G136="","",IF(VLOOKUP(C136,Recipes!$A$2:$N$4,9,FALSE())=0,-1E+300,-0.5*((J136-Components!$D$7)/Components!$E$7)^2))</f>
        <v/>
      </c>
      <c r="Q136">
        <f>IF(G136="","",EXP(LARGE(K136:P136,1)-MAX(K136:P136))/(EXP(K136-MAX(K136:P136))+EXP(L136-MAX(K136:P136))+EXP(M136-MAX(K136:P136))+EXP(N136-MAX(K136:P136))+EXP(O136-MAX(K136:P136))+EXP(P136-MAX(K136:P136))))</f>
        <v/>
      </c>
      <c r="R136">
        <f>IF(G136="","",EXP(LARGE(K136:P136,2)-MAX(K136:P136))/(EXP(K136-MAX(K136:P136))+EXP(L136-MAX(K136:P136))+EXP(M136-MAX(K136:P136))+EXP(N136-MAX(K136:P136))+EXP(O136-MAX(K136:P136))+EXP(P136-MAX(K136:P136))))</f>
        <v/>
      </c>
      <c r="S136">
        <f>IF(G136="","",Q136-R136)</f>
        <v/>
      </c>
      <c r="T136">
        <f>IF(G136="","",IF(ABS(G136-H136)&lt;=$B$6*I136,"OK","NG"))</f>
        <v/>
      </c>
      <c r="U136">
        <f>IF(T136="","",IF(T136=D136,1,0))</f>
        <v/>
      </c>
      <c r="V136">
        <f>IF(G136="","",IF(T136="OK","NONE",INDEX({"S1","S2","W1","W2","N1","N2"},MATCH(MAX(K136:P136),K136:P136,0))))</f>
        <v/>
      </c>
      <c r="W136">
        <f>IF(G136="","",IF(V136=E136,1,0))</f>
        <v/>
      </c>
      <c r="X136">
        <f>IF(G136="","",IF(AND(T136="NG",S136&lt;$B$7),"AMBIGUOUS","CONFIDENT"))</f>
        <v/>
      </c>
    </row>
    <row r="137">
      <c r="A137">
        <f>'Runs Z score'!A130</f>
        <v/>
      </c>
      <c r="B137">
        <f>'Runs Z score'!B130</f>
        <v/>
      </c>
      <c r="C137">
        <f>'Runs Z score'!C130</f>
        <v/>
      </c>
      <c r="D137">
        <f>'Runs Z score'!D130</f>
        <v/>
      </c>
      <c r="E137">
        <f>'Runs Z score'!E130</f>
        <v/>
      </c>
      <c r="F137">
        <f>'Runs Z score'!F130</f>
        <v/>
      </c>
      <c r="G137">
        <f>'Runs Z score'!G130</f>
        <v/>
      </c>
      <c r="H137">
        <f>VLOOKUP(C137,Recipes!$A$2:$N$4,10,FALSE())</f>
        <v/>
      </c>
      <c r="I137">
        <f>VLOOKUP(C137,Recipes!$A$2:$N$4,12,FALSE())</f>
        <v/>
      </c>
      <c r="J137">
        <f>IF(G137="","",H137-G137)</f>
        <v/>
      </c>
      <c r="K137">
        <f>IF(G137="","",IF(VLOOKUP(C137,Recipes!$A$2:$N$4,4,FALSE())=0,-1E+300,-0.5*((J137-Components!$D$2)/Components!$E$2)^2))</f>
        <v/>
      </c>
      <c r="L137">
        <f>IF(G137="","",IF(VLOOKUP(C137,Recipes!$A$2:$N$4,5,FALSE())=0,-1E+300,-0.5*((J137-Components!$D$3)/Components!$E$3)^2))</f>
        <v/>
      </c>
      <c r="M137">
        <f>IF(G137="","",IF(VLOOKUP(C137,Recipes!$A$2:$N$4,6,FALSE())=0,-1E+300,-0.5*((J137-Components!$D$4)/Components!$E$4)^2))</f>
        <v/>
      </c>
      <c r="N137">
        <f>IF(G137="","",IF(VLOOKUP(C137,Recipes!$A$2:$N$4,7,FALSE())=0,-1E+300,-0.5*((J137-Components!$D$5)/Components!$E$5)^2))</f>
        <v/>
      </c>
      <c r="O137">
        <f>IF(G137="","",IF(VLOOKUP(C137,Recipes!$A$2:$N$4,8,FALSE())=0,-1E+300,-0.5*((J137-Components!$D$6)/Components!$E$6)^2))</f>
        <v/>
      </c>
      <c r="P137">
        <f>IF(G137="","",IF(VLOOKUP(C137,Recipes!$A$2:$N$4,9,FALSE())=0,-1E+300,-0.5*((J137-Components!$D$7)/Components!$E$7)^2))</f>
        <v/>
      </c>
      <c r="Q137">
        <f>IF(G137="","",EXP(LARGE(K137:P137,1)-MAX(K137:P137))/(EXP(K137-MAX(K137:P137))+EXP(L137-MAX(K137:P137))+EXP(M137-MAX(K137:P137))+EXP(N137-MAX(K137:P137))+EXP(O137-MAX(K137:P137))+EXP(P137-MAX(K137:P137))))</f>
        <v/>
      </c>
      <c r="R137">
        <f>IF(G137="","",EXP(LARGE(K137:P137,2)-MAX(K137:P137))/(EXP(K137-MAX(K137:P137))+EXP(L137-MAX(K137:P137))+EXP(M137-MAX(K137:P137))+EXP(N137-MAX(K137:P137))+EXP(O137-MAX(K137:P137))+EXP(P137-MAX(K137:P137))))</f>
        <v/>
      </c>
      <c r="S137">
        <f>IF(G137="","",Q137-R137)</f>
        <v/>
      </c>
      <c r="T137">
        <f>IF(G137="","",IF(ABS(G137-H137)&lt;=$B$6*I137,"OK","NG"))</f>
        <v/>
      </c>
      <c r="U137">
        <f>IF(T137="","",IF(T137=D137,1,0))</f>
        <v/>
      </c>
      <c r="V137">
        <f>IF(G137="","",IF(T137="OK","NONE",INDEX({"S1","S2","W1","W2","N1","N2"},MATCH(MAX(K137:P137),K137:P137,0))))</f>
        <v/>
      </c>
      <c r="W137">
        <f>IF(G137="","",IF(V137=E137,1,0))</f>
        <v/>
      </c>
      <c r="X137">
        <f>IF(G137="","",IF(AND(T137="NG",S137&lt;$B$7),"AMBIGUOUS","CONFIDENT"))</f>
        <v/>
      </c>
    </row>
    <row r="138">
      <c r="A138">
        <f>'Runs Z score'!A131</f>
        <v/>
      </c>
      <c r="B138">
        <f>'Runs Z score'!B131</f>
        <v/>
      </c>
      <c r="C138">
        <f>'Runs Z score'!C131</f>
        <v/>
      </c>
      <c r="D138">
        <f>'Runs Z score'!D131</f>
        <v/>
      </c>
      <c r="E138">
        <f>'Runs Z score'!E131</f>
        <v/>
      </c>
      <c r="F138">
        <f>'Runs Z score'!F131</f>
        <v/>
      </c>
      <c r="G138">
        <f>'Runs Z score'!G131</f>
        <v/>
      </c>
      <c r="H138">
        <f>VLOOKUP(C138,Recipes!$A$2:$N$4,10,FALSE())</f>
        <v/>
      </c>
      <c r="I138">
        <f>VLOOKUP(C138,Recipes!$A$2:$N$4,12,FALSE())</f>
        <v/>
      </c>
      <c r="J138">
        <f>IF(G138="","",H138-G138)</f>
        <v/>
      </c>
      <c r="K138">
        <f>IF(G138="","",IF(VLOOKUP(C138,Recipes!$A$2:$N$4,4,FALSE())=0,-1E+300,-0.5*((J138-Components!$D$2)/Components!$E$2)^2))</f>
        <v/>
      </c>
      <c r="L138">
        <f>IF(G138="","",IF(VLOOKUP(C138,Recipes!$A$2:$N$4,5,FALSE())=0,-1E+300,-0.5*((J138-Components!$D$3)/Components!$E$3)^2))</f>
        <v/>
      </c>
      <c r="M138">
        <f>IF(G138="","",IF(VLOOKUP(C138,Recipes!$A$2:$N$4,6,FALSE())=0,-1E+300,-0.5*((J138-Components!$D$4)/Components!$E$4)^2))</f>
        <v/>
      </c>
      <c r="N138">
        <f>IF(G138="","",IF(VLOOKUP(C138,Recipes!$A$2:$N$4,7,FALSE())=0,-1E+300,-0.5*((J138-Components!$D$5)/Components!$E$5)^2))</f>
        <v/>
      </c>
      <c r="O138">
        <f>IF(G138="","",IF(VLOOKUP(C138,Recipes!$A$2:$N$4,8,FALSE())=0,-1E+300,-0.5*((J138-Components!$D$6)/Components!$E$6)^2))</f>
        <v/>
      </c>
      <c r="P138">
        <f>IF(G138="","",IF(VLOOKUP(C138,Recipes!$A$2:$N$4,9,FALSE())=0,-1E+300,-0.5*((J138-Components!$D$7)/Components!$E$7)^2))</f>
        <v/>
      </c>
      <c r="Q138">
        <f>IF(G138="","",EXP(LARGE(K138:P138,1)-MAX(K138:P138))/(EXP(K138-MAX(K138:P138))+EXP(L138-MAX(K138:P138))+EXP(M138-MAX(K138:P138))+EXP(N138-MAX(K138:P138))+EXP(O138-MAX(K138:P138))+EXP(P138-MAX(K138:P138))))</f>
        <v/>
      </c>
      <c r="R138">
        <f>IF(G138="","",EXP(LARGE(K138:P138,2)-MAX(K138:P138))/(EXP(K138-MAX(K138:P138))+EXP(L138-MAX(K138:P138))+EXP(M138-MAX(K138:P138))+EXP(N138-MAX(K138:P138))+EXP(O138-MAX(K138:P138))+EXP(P138-MAX(K138:P138))))</f>
        <v/>
      </c>
      <c r="S138">
        <f>IF(G138="","",Q138-R138)</f>
        <v/>
      </c>
      <c r="T138">
        <f>IF(G138="","",IF(ABS(G138-H138)&lt;=$B$6*I138,"OK","NG"))</f>
        <v/>
      </c>
      <c r="U138">
        <f>IF(T138="","",IF(T138=D138,1,0))</f>
        <v/>
      </c>
      <c r="V138">
        <f>IF(G138="","",IF(T138="OK","NONE",INDEX({"S1","S2","W1","W2","N1","N2"},MATCH(MAX(K138:P138),K138:P138,0))))</f>
        <v/>
      </c>
      <c r="W138">
        <f>IF(G138="","",IF(V138=E138,1,0))</f>
        <v/>
      </c>
      <c r="X138">
        <f>IF(G138="","",IF(AND(T138="NG",S138&lt;$B$7),"AMBIGUOUS","CONFIDENT"))</f>
        <v/>
      </c>
    </row>
    <row r="139">
      <c r="A139">
        <f>'Runs Z score'!A132</f>
        <v/>
      </c>
      <c r="B139">
        <f>'Runs Z score'!B132</f>
        <v/>
      </c>
      <c r="C139">
        <f>'Runs Z score'!C132</f>
        <v/>
      </c>
      <c r="D139">
        <f>'Runs Z score'!D132</f>
        <v/>
      </c>
      <c r="E139">
        <f>'Runs Z score'!E132</f>
        <v/>
      </c>
      <c r="F139">
        <f>'Runs Z score'!F132</f>
        <v/>
      </c>
      <c r="G139">
        <f>'Runs Z score'!G132</f>
        <v/>
      </c>
      <c r="H139">
        <f>VLOOKUP(C139,Recipes!$A$2:$N$4,10,FALSE())</f>
        <v/>
      </c>
      <c r="I139">
        <f>VLOOKUP(C139,Recipes!$A$2:$N$4,12,FALSE())</f>
        <v/>
      </c>
      <c r="J139">
        <f>IF(G139="","",H139-G139)</f>
        <v/>
      </c>
      <c r="K139">
        <f>IF(G139="","",IF(VLOOKUP(C139,Recipes!$A$2:$N$4,4,FALSE())=0,-1E+300,-0.5*((J139-Components!$D$2)/Components!$E$2)^2))</f>
        <v/>
      </c>
      <c r="L139">
        <f>IF(G139="","",IF(VLOOKUP(C139,Recipes!$A$2:$N$4,5,FALSE())=0,-1E+300,-0.5*((J139-Components!$D$3)/Components!$E$3)^2))</f>
        <v/>
      </c>
      <c r="M139">
        <f>IF(G139="","",IF(VLOOKUP(C139,Recipes!$A$2:$N$4,6,FALSE())=0,-1E+300,-0.5*((J139-Components!$D$4)/Components!$E$4)^2))</f>
        <v/>
      </c>
      <c r="N139">
        <f>IF(G139="","",IF(VLOOKUP(C139,Recipes!$A$2:$N$4,7,FALSE())=0,-1E+300,-0.5*((J139-Components!$D$5)/Components!$E$5)^2))</f>
        <v/>
      </c>
      <c r="O139">
        <f>IF(G139="","",IF(VLOOKUP(C139,Recipes!$A$2:$N$4,8,FALSE())=0,-1E+300,-0.5*((J139-Components!$D$6)/Components!$E$6)^2))</f>
        <v/>
      </c>
      <c r="P139">
        <f>IF(G139="","",IF(VLOOKUP(C139,Recipes!$A$2:$N$4,9,FALSE())=0,-1E+300,-0.5*((J139-Components!$D$7)/Components!$E$7)^2))</f>
        <v/>
      </c>
      <c r="Q139">
        <f>IF(G139="","",EXP(LARGE(K139:P139,1)-MAX(K139:P139))/(EXP(K139-MAX(K139:P139))+EXP(L139-MAX(K139:P139))+EXP(M139-MAX(K139:P139))+EXP(N139-MAX(K139:P139))+EXP(O139-MAX(K139:P139))+EXP(P139-MAX(K139:P139))))</f>
        <v/>
      </c>
      <c r="R139">
        <f>IF(G139="","",EXP(LARGE(K139:P139,2)-MAX(K139:P139))/(EXP(K139-MAX(K139:P139))+EXP(L139-MAX(K139:P139))+EXP(M139-MAX(K139:P139))+EXP(N139-MAX(K139:P139))+EXP(O139-MAX(K139:P139))+EXP(P139-MAX(K139:P139))))</f>
        <v/>
      </c>
      <c r="S139">
        <f>IF(G139="","",Q139-R139)</f>
        <v/>
      </c>
      <c r="T139">
        <f>IF(G139="","",IF(ABS(G139-H139)&lt;=$B$6*I139,"OK","NG"))</f>
        <v/>
      </c>
      <c r="U139">
        <f>IF(T139="","",IF(T139=D139,1,0))</f>
        <v/>
      </c>
      <c r="V139">
        <f>IF(G139="","",IF(T139="OK","NONE",INDEX({"S1","S2","W1","W2","N1","N2"},MATCH(MAX(K139:P139),K139:P139,0))))</f>
        <v/>
      </c>
      <c r="W139">
        <f>IF(G139="","",IF(V139=E139,1,0))</f>
        <v/>
      </c>
      <c r="X139">
        <f>IF(G139="","",IF(AND(T139="NG",S139&lt;$B$7),"AMBIGUOUS","CONFIDENT"))</f>
        <v/>
      </c>
    </row>
    <row r="140">
      <c r="A140">
        <f>'Runs Z score'!A133</f>
        <v/>
      </c>
      <c r="B140">
        <f>'Runs Z score'!B133</f>
        <v/>
      </c>
      <c r="C140">
        <f>'Runs Z score'!C133</f>
        <v/>
      </c>
      <c r="D140">
        <f>'Runs Z score'!D133</f>
        <v/>
      </c>
      <c r="E140">
        <f>'Runs Z score'!E133</f>
        <v/>
      </c>
      <c r="F140">
        <f>'Runs Z score'!F133</f>
        <v/>
      </c>
      <c r="G140">
        <f>'Runs Z score'!G133</f>
        <v/>
      </c>
      <c r="H140">
        <f>VLOOKUP(C140,Recipes!$A$2:$N$4,10,FALSE())</f>
        <v/>
      </c>
      <c r="I140">
        <f>VLOOKUP(C140,Recipes!$A$2:$N$4,12,FALSE())</f>
        <v/>
      </c>
      <c r="J140">
        <f>IF(G140="","",H140-G140)</f>
        <v/>
      </c>
      <c r="K140">
        <f>IF(G140="","",IF(VLOOKUP(C140,Recipes!$A$2:$N$4,4,FALSE())=0,-1E+300,-0.5*((J140-Components!$D$2)/Components!$E$2)^2))</f>
        <v/>
      </c>
      <c r="L140">
        <f>IF(G140="","",IF(VLOOKUP(C140,Recipes!$A$2:$N$4,5,FALSE())=0,-1E+300,-0.5*((J140-Components!$D$3)/Components!$E$3)^2))</f>
        <v/>
      </c>
      <c r="M140">
        <f>IF(G140="","",IF(VLOOKUP(C140,Recipes!$A$2:$N$4,6,FALSE())=0,-1E+300,-0.5*((J140-Components!$D$4)/Components!$E$4)^2))</f>
        <v/>
      </c>
      <c r="N140">
        <f>IF(G140="","",IF(VLOOKUP(C140,Recipes!$A$2:$N$4,7,FALSE())=0,-1E+300,-0.5*((J140-Components!$D$5)/Components!$E$5)^2))</f>
        <v/>
      </c>
      <c r="O140">
        <f>IF(G140="","",IF(VLOOKUP(C140,Recipes!$A$2:$N$4,8,FALSE())=0,-1E+300,-0.5*((J140-Components!$D$6)/Components!$E$6)^2))</f>
        <v/>
      </c>
      <c r="P140">
        <f>IF(G140="","",IF(VLOOKUP(C140,Recipes!$A$2:$N$4,9,FALSE())=0,-1E+300,-0.5*((J140-Components!$D$7)/Components!$E$7)^2))</f>
        <v/>
      </c>
      <c r="Q140">
        <f>IF(G140="","",EXP(LARGE(K140:P140,1)-MAX(K140:P140))/(EXP(K140-MAX(K140:P140))+EXP(L140-MAX(K140:P140))+EXP(M140-MAX(K140:P140))+EXP(N140-MAX(K140:P140))+EXP(O140-MAX(K140:P140))+EXP(P140-MAX(K140:P140))))</f>
        <v/>
      </c>
      <c r="R140">
        <f>IF(G140="","",EXP(LARGE(K140:P140,2)-MAX(K140:P140))/(EXP(K140-MAX(K140:P140))+EXP(L140-MAX(K140:P140))+EXP(M140-MAX(K140:P140))+EXP(N140-MAX(K140:P140))+EXP(O140-MAX(K140:P140))+EXP(P140-MAX(K140:P140))))</f>
        <v/>
      </c>
      <c r="S140">
        <f>IF(G140="","",Q140-R140)</f>
        <v/>
      </c>
      <c r="T140">
        <f>IF(G140="","",IF(ABS(G140-H140)&lt;=$B$6*I140,"OK","NG"))</f>
        <v/>
      </c>
      <c r="U140">
        <f>IF(T140="","",IF(T140=D140,1,0))</f>
        <v/>
      </c>
      <c r="V140">
        <f>IF(G140="","",IF(T140="OK","NONE",INDEX({"S1","S2","W1","W2","N1","N2"},MATCH(MAX(K140:P140),K140:P140,0))))</f>
        <v/>
      </c>
      <c r="W140">
        <f>IF(G140="","",IF(V140=E140,1,0))</f>
        <v/>
      </c>
      <c r="X140">
        <f>IF(G140="","",IF(AND(T140="NG",S140&lt;$B$7),"AMBIGUOUS","CONFIDENT"))</f>
        <v/>
      </c>
    </row>
    <row r="141">
      <c r="A141">
        <f>'Runs Z score'!A134</f>
        <v/>
      </c>
      <c r="B141">
        <f>'Runs Z score'!B134</f>
        <v/>
      </c>
      <c r="C141">
        <f>'Runs Z score'!C134</f>
        <v/>
      </c>
      <c r="D141">
        <f>'Runs Z score'!D134</f>
        <v/>
      </c>
      <c r="E141">
        <f>'Runs Z score'!E134</f>
        <v/>
      </c>
      <c r="F141">
        <f>'Runs Z score'!F134</f>
        <v/>
      </c>
      <c r="G141">
        <f>'Runs Z score'!G134</f>
        <v/>
      </c>
      <c r="H141">
        <f>VLOOKUP(C141,Recipes!$A$2:$N$4,10,FALSE())</f>
        <v/>
      </c>
      <c r="I141">
        <f>VLOOKUP(C141,Recipes!$A$2:$N$4,12,FALSE())</f>
        <v/>
      </c>
      <c r="J141">
        <f>IF(G141="","",H141-G141)</f>
        <v/>
      </c>
      <c r="K141">
        <f>IF(G141="","",IF(VLOOKUP(C141,Recipes!$A$2:$N$4,4,FALSE())=0,-1E+300,-0.5*((J141-Components!$D$2)/Components!$E$2)^2))</f>
        <v/>
      </c>
      <c r="L141">
        <f>IF(G141="","",IF(VLOOKUP(C141,Recipes!$A$2:$N$4,5,FALSE())=0,-1E+300,-0.5*((J141-Components!$D$3)/Components!$E$3)^2))</f>
        <v/>
      </c>
      <c r="M141">
        <f>IF(G141="","",IF(VLOOKUP(C141,Recipes!$A$2:$N$4,6,FALSE())=0,-1E+300,-0.5*((J141-Components!$D$4)/Components!$E$4)^2))</f>
        <v/>
      </c>
      <c r="N141">
        <f>IF(G141="","",IF(VLOOKUP(C141,Recipes!$A$2:$N$4,7,FALSE())=0,-1E+300,-0.5*((J141-Components!$D$5)/Components!$E$5)^2))</f>
        <v/>
      </c>
      <c r="O141">
        <f>IF(G141="","",IF(VLOOKUP(C141,Recipes!$A$2:$N$4,8,FALSE())=0,-1E+300,-0.5*((J141-Components!$D$6)/Components!$E$6)^2))</f>
        <v/>
      </c>
      <c r="P141">
        <f>IF(G141="","",IF(VLOOKUP(C141,Recipes!$A$2:$N$4,9,FALSE())=0,-1E+300,-0.5*((J141-Components!$D$7)/Components!$E$7)^2))</f>
        <v/>
      </c>
      <c r="Q141">
        <f>IF(G141="","",EXP(LARGE(K141:P141,1)-MAX(K141:P141))/(EXP(K141-MAX(K141:P141))+EXP(L141-MAX(K141:P141))+EXP(M141-MAX(K141:P141))+EXP(N141-MAX(K141:P141))+EXP(O141-MAX(K141:P141))+EXP(P141-MAX(K141:P141))))</f>
        <v/>
      </c>
      <c r="R141">
        <f>IF(G141="","",EXP(LARGE(K141:P141,2)-MAX(K141:P141))/(EXP(K141-MAX(K141:P141))+EXP(L141-MAX(K141:P141))+EXP(M141-MAX(K141:P141))+EXP(N141-MAX(K141:P141))+EXP(O141-MAX(K141:P141))+EXP(P141-MAX(K141:P141))))</f>
        <v/>
      </c>
      <c r="S141">
        <f>IF(G141="","",Q141-R141)</f>
        <v/>
      </c>
      <c r="T141">
        <f>IF(G141="","",IF(ABS(G141-H141)&lt;=$B$6*I141,"OK","NG"))</f>
        <v/>
      </c>
      <c r="U141">
        <f>IF(T141="","",IF(T141=D141,1,0))</f>
        <v/>
      </c>
      <c r="V141">
        <f>IF(G141="","",IF(T141="OK","NONE",INDEX({"S1","S2","W1","W2","N1","N2"},MATCH(MAX(K141:P141),K141:P141,0))))</f>
        <v/>
      </c>
      <c r="W141">
        <f>IF(G141="","",IF(V141=E141,1,0))</f>
        <v/>
      </c>
      <c r="X141">
        <f>IF(G141="","",IF(AND(T141="NG",S141&lt;$B$7),"AMBIGUOUS","CONFIDENT"))</f>
        <v/>
      </c>
    </row>
    <row r="142">
      <c r="A142">
        <f>'Runs Z score'!A135</f>
        <v/>
      </c>
      <c r="B142">
        <f>'Runs Z score'!B135</f>
        <v/>
      </c>
      <c r="C142">
        <f>'Runs Z score'!C135</f>
        <v/>
      </c>
      <c r="D142">
        <f>'Runs Z score'!D135</f>
        <v/>
      </c>
      <c r="E142">
        <f>'Runs Z score'!E135</f>
        <v/>
      </c>
      <c r="F142">
        <f>'Runs Z score'!F135</f>
        <v/>
      </c>
      <c r="G142">
        <f>'Runs Z score'!G135</f>
        <v/>
      </c>
      <c r="H142">
        <f>VLOOKUP(C142,Recipes!$A$2:$N$4,10,FALSE())</f>
        <v/>
      </c>
      <c r="I142">
        <f>VLOOKUP(C142,Recipes!$A$2:$N$4,12,FALSE())</f>
        <v/>
      </c>
      <c r="J142">
        <f>IF(G142="","",H142-G142)</f>
        <v/>
      </c>
      <c r="K142">
        <f>IF(G142="","",IF(VLOOKUP(C142,Recipes!$A$2:$N$4,4,FALSE())=0,-1E+300,-0.5*((J142-Components!$D$2)/Components!$E$2)^2))</f>
        <v/>
      </c>
      <c r="L142">
        <f>IF(G142="","",IF(VLOOKUP(C142,Recipes!$A$2:$N$4,5,FALSE())=0,-1E+300,-0.5*((J142-Components!$D$3)/Components!$E$3)^2))</f>
        <v/>
      </c>
      <c r="M142">
        <f>IF(G142="","",IF(VLOOKUP(C142,Recipes!$A$2:$N$4,6,FALSE())=0,-1E+300,-0.5*((J142-Components!$D$4)/Components!$E$4)^2))</f>
        <v/>
      </c>
      <c r="N142">
        <f>IF(G142="","",IF(VLOOKUP(C142,Recipes!$A$2:$N$4,7,FALSE())=0,-1E+300,-0.5*((J142-Components!$D$5)/Components!$E$5)^2))</f>
        <v/>
      </c>
      <c r="O142">
        <f>IF(G142="","",IF(VLOOKUP(C142,Recipes!$A$2:$N$4,8,FALSE())=0,-1E+300,-0.5*((J142-Components!$D$6)/Components!$E$6)^2))</f>
        <v/>
      </c>
      <c r="P142">
        <f>IF(G142="","",IF(VLOOKUP(C142,Recipes!$A$2:$N$4,9,FALSE())=0,-1E+300,-0.5*((J142-Components!$D$7)/Components!$E$7)^2))</f>
        <v/>
      </c>
      <c r="Q142">
        <f>IF(G142="","",EXP(LARGE(K142:P142,1)-MAX(K142:P142))/(EXP(K142-MAX(K142:P142))+EXP(L142-MAX(K142:P142))+EXP(M142-MAX(K142:P142))+EXP(N142-MAX(K142:P142))+EXP(O142-MAX(K142:P142))+EXP(P142-MAX(K142:P142))))</f>
        <v/>
      </c>
      <c r="R142">
        <f>IF(G142="","",EXP(LARGE(K142:P142,2)-MAX(K142:P142))/(EXP(K142-MAX(K142:P142))+EXP(L142-MAX(K142:P142))+EXP(M142-MAX(K142:P142))+EXP(N142-MAX(K142:P142))+EXP(O142-MAX(K142:P142))+EXP(P142-MAX(K142:P142))))</f>
        <v/>
      </c>
      <c r="S142">
        <f>IF(G142="","",Q142-R142)</f>
        <v/>
      </c>
      <c r="T142">
        <f>IF(G142="","",IF(ABS(G142-H142)&lt;=$B$6*I142,"OK","NG"))</f>
        <v/>
      </c>
      <c r="U142">
        <f>IF(T142="","",IF(T142=D142,1,0))</f>
        <v/>
      </c>
      <c r="V142">
        <f>IF(G142="","",IF(T142="OK","NONE",INDEX({"S1","S2","W1","W2","N1","N2"},MATCH(MAX(K142:P142),K142:P142,0))))</f>
        <v/>
      </c>
      <c r="W142">
        <f>IF(G142="","",IF(V142=E142,1,0))</f>
        <v/>
      </c>
      <c r="X142">
        <f>IF(G142="","",IF(AND(T142="NG",S142&lt;$B$7),"AMBIGUOUS","CONFIDENT"))</f>
        <v/>
      </c>
    </row>
    <row r="143">
      <c r="A143">
        <f>'Runs Z score'!A136</f>
        <v/>
      </c>
      <c r="B143">
        <f>'Runs Z score'!B136</f>
        <v/>
      </c>
      <c r="C143">
        <f>'Runs Z score'!C136</f>
        <v/>
      </c>
      <c r="D143">
        <f>'Runs Z score'!D136</f>
        <v/>
      </c>
      <c r="E143">
        <f>'Runs Z score'!E136</f>
        <v/>
      </c>
      <c r="F143">
        <f>'Runs Z score'!F136</f>
        <v/>
      </c>
      <c r="G143">
        <f>'Runs Z score'!G136</f>
        <v/>
      </c>
      <c r="H143">
        <f>VLOOKUP(C143,Recipes!$A$2:$N$4,10,FALSE())</f>
        <v/>
      </c>
      <c r="I143">
        <f>VLOOKUP(C143,Recipes!$A$2:$N$4,12,FALSE())</f>
        <v/>
      </c>
      <c r="J143">
        <f>IF(G143="","",H143-G143)</f>
        <v/>
      </c>
      <c r="K143">
        <f>IF(G143="","",IF(VLOOKUP(C143,Recipes!$A$2:$N$4,4,FALSE())=0,-1E+300,-0.5*((J143-Components!$D$2)/Components!$E$2)^2))</f>
        <v/>
      </c>
      <c r="L143">
        <f>IF(G143="","",IF(VLOOKUP(C143,Recipes!$A$2:$N$4,5,FALSE())=0,-1E+300,-0.5*((J143-Components!$D$3)/Components!$E$3)^2))</f>
        <v/>
      </c>
      <c r="M143">
        <f>IF(G143="","",IF(VLOOKUP(C143,Recipes!$A$2:$N$4,6,FALSE())=0,-1E+300,-0.5*((J143-Components!$D$4)/Components!$E$4)^2))</f>
        <v/>
      </c>
      <c r="N143">
        <f>IF(G143="","",IF(VLOOKUP(C143,Recipes!$A$2:$N$4,7,FALSE())=0,-1E+300,-0.5*((J143-Components!$D$5)/Components!$E$5)^2))</f>
        <v/>
      </c>
      <c r="O143">
        <f>IF(G143="","",IF(VLOOKUP(C143,Recipes!$A$2:$N$4,8,FALSE())=0,-1E+300,-0.5*((J143-Components!$D$6)/Components!$E$6)^2))</f>
        <v/>
      </c>
      <c r="P143">
        <f>IF(G143="","",IF(VLOOKUP(C143,Recipes!$A$2:$N$4,9,FALSE())=0,-1E+300,-0.5*((J143-Components!$D$7)/Components!$E$7)^2))</f>
        <v/>
      </c>
      <c r="Q143">
        <f>IF(G143="","",EXP(LARGE(K143:P143,1)-MAX(K143:P143))/(EXP(K143-MAX(K143:P143))+EXP(L143-MAX(K143:P143))+EXP(M143-MAX(K143:P143))+EXP(N143-MAX(K143:P143))+EXP(O143-MAX(K143:P143))+EXP(P143-MAX(K143:P143))))</f>
        <v/>
      </c>
      <c r="R143">
        <f>IF(G143="","",EXP(LARGE(K143:P143,2)-MAX(K143:P143))/(EXP(K143-MAX(K143:P143))+EXP(L143-MAX(K143:P143))+EXP(M143-MAX(K143:P143))+EXP(N143-MAX(K143:P143))+EXP(O143-MAX(K143:P143))+EXP(P143-MAX(K143:P143))))</f>
        <v/>
      </c>
      <c r="S143">
        <f>IF(G143="","",Q143-R143)</f>
        <v/>
      </c>
      <c r="T143">
        <f>IF(G143="","",IF(ABS(G143-H143)&lt;=$B$6*I143,"OK","NG"))</f>
        <v/>
      </c>
      <c r="U143">
        <f>IF(T143="","",IF(T143=D143,1,0))</f>
        <v/>
      </c>
      <c r="V143">
        <f>IF(G143="","",IF(T143="OK","NONE",INDEX({"S1","S2","W1","W2","N1","N2"},MATCH(MAX(K143:P143),K143:P143,0))))</f>
        <v/>
      </c>
      <c r="W143">
        <f>IF(G143="","",IF(V143=E143,1,0))</f>
        <v/>
      </c>
      <c r="X143">
        <f>IF(G143="","",IF(AND(T143="NG",S143&lt;$B$7),"AMBIGUOUS","CONFIDENT"))</f>
        <v/>
      </c>
    </row>
    <row r="144">
      <c r="A144">
        <f>'Runs Z score'!A137</f>
        <v/>
      </c>
      <c r="B144">
        <f>'Runs Z score'!B137</f>
        <v/>
      </c>
      <c r="C144">
        <f>'Runs Z score'!C137</f>
        <v/>
      </c>
      <c r="D144">
        <f>'Runs Z score'!D137</f>
        <v/>
      </c>
      <c r="E144">
        <f>'Runs Z score'!E137</f>
        <v/>
      </c>
      <c r="F144">
        <f>'Runs Z score'!F137</f>
        <v/>
      </c>
      <c r="G144">
        <f>'Runs Z score'!G137</f>
        <v/>
      </c>
      <c r="H144">
        <f>VLOOKUP(C144,Recipes!$A$2:$N$4,10,FALSE())</f>
        <v/>
      </c>
      <c r="I144">
        <f>VLOOKUP(C144,Recipes!$A$2:$N$4,12,FALSE())</f>
        <v/>
      </c>
      <c r="J144">
        <f>IF(G144="","",H144-G144)</f>
        <v/>
      </c>
      <c r="K144">
        <f>IF(G144="","",IF(VLOOKUP(C144,Recipes!$A$2:$N$4,4,FALSE())=0,-1E+300,-0.5*((J144-Components!$D$2)/Components!$E$2)^2))</f>
        <v/>
      </c>
      <c r="L144">
        <f>IF(G144="","",IF(VLOOKUP(C144,Recipes!$A$2:$N$4,5,FALSE())=0,-1E+300,-0.5*((J144-Components!$D$3)/Components!$E$3)^2))</f>
        <v/>
      </c>
      <c r="M144">
        <f>IF(G144="","",IF(VLOOKUP(C144,Recipes!$A$2:$N$4,6,FALSE())=0,-1E+300,-0.5*((J144-Components!$D$4)/Components!$E$4)^2))</f>
        <v/>
      </c>
      <c r="N144">
        <f>IF(G144="","",IF(VLOOKUP(C144,Recipes!$A$2:$N$4,7,FALSE())=0,-1E+300,-0.5*((J144-Components!$D$5)/Components!$E$5)^2))</f>
        <v/>
      </c>
      <c r="O144">
        <f>IF(G144="","",IF(VLOOKUP(C144,Recipes!$A$2:$N$4,8,FALSE())=0,-1E+300,-0.5*((J144-Components!$D$6)/Components!$E$6)^2))</f>
        <v/>
      </c>
      <c r="P144">
        <f>IF(G144="","",IF(VLOOKUP(C144,Recipes!$A$2:$N$4,9,FALSE())=0,-1E+300,-0.5*((J144-Components!$D$7)/Components!$E$7)^2))</f>
        <v/>
      </c>
      <c r="Q144">
        <f>IF(G144="","",EXP(LARGE(K144:P144,1)-MAX(K144:P144))/(EXP(K144-MAX(K144:P144))+EXP(L144-MAX(K144:P144))+EXP(M144-MAX(K144:P144))+EXP(N144-MAX(K144:P144))+EXP(O144-MAX(K144:P144))+EXP(P144-MAX(K144:P144))))</f>
        <v/>
      </c>
      <c r="R144">
        <f>IF(G144="","",EXP(LARGE(K144:P144,2)-MAX(K144:P144))/(EXP(K144-MAX(K144:P144))+EXP(L144-MAX(K144:P144))+EXP(M144-MAX(K144:P144))+EXP(N144-MAX(K144:P144))+EXP(O144-MAX(K144:P144))+EXP(P144-MAX(K144:P144))))</f>
        <v/>
      </c>
      <c r="S144">
        <f>IF(G144="","",Q144-R144)</f>
        <v/>
      </c>
      <c r="T144">
        <f>IF(G144="","",IF(ABS(G144-H144)&lt;=$B$6*I144,"OK","NG"))</f>
        <v/>
      </c>
      <c r="U144">
        <f>IF(T144="","",IF(T144=D144,1,0))</f>
        <v/>
      </c>
      <c r="V144">
        <f>IF(G144="","",IF(T144="OK","NONE",INDEX({"S1","S2","W1","W2","N1","N2"},MATCH(MAX(K144:P144),K144:P144,0))))</f>
        <v/>
      </c>
      <c r="W144">
        <f>IF(G144="","",IF(V144=E144,1,0))</f>
        <v/>
      </c>
      <c r="X144">
        <f>IF(G144="","",IF(AND(T144="NG",S144&lt;$B$7),"AMBIGUOUS","CONFIDENT"))</f>
        <v/>
      </c>
    </row>
    <row r="145">
      <c r="A145">
        <f>'Runs Z score'!A138</f>
        <v/>
      </c>
      <c r="B145">
        <f>'Runs Z score'!B138</f>
        <v/>
      </c>
      <c r="C145">
        <f>'Runs Z score'!C138</f>
        <v/>
      </c>
      <c r="D145">
        <f>'Runs Z score'!D138</f>
        <v/>
      </c>
      <c r="E145">
        <f>'Runs Z score'!E138</f>
        <v/>
      </c>
      <c r="F145">
        <f>'Runs Z score'!F138</f>
        <v/>
      </c>
      <c r="G145">
        <f>'Runs Z score'!G138</f>
        <v/>
      </c>
      <c r="H145">
        <f>VLOOKUP(C145,Recipes!$A$2:$N$4,10,FALSE())</f>
        <v/>
      </c>
      <c r="I145">
        <f>VLOOKUP(C145,Recipes!$A$2:$N$4,12,FALSE())</f>
        <v/>
      </c>
      <c r="J145">
        <f>IF(G145="","",H145-G145)</f>
        <v/>
      </c>
      <c r="K145">
        <f>IF(G145="","",IF(VLOOKUP(C145,Recipes!$A$2:$N$4,4,FALSE())=0,-1E+300,-0.5*((J145-Components!$D$2)/Components!$E$2)^2))</f>
        <v/>
      </c>
      <c r="L145">
        <f>IF(G145="","",IF(VLOOKUP(C145,Recipes!$A$2:$N$4,5,FALSE())=0,-1E+300,-0.5*((J145-Components!$D$3)/Components!$E$3)^2))</f>
        <v/>
      </c>
      <c r="M145">
        <f>IF(G145="","",IF(VLOOKUP(C145,Recipes!$A$2:$N$4,6,FALSE())=0,-1E+300,-0.5*((J145-Components!$D$4)/Components!$E$4)^2))</f>
        <v/>
      </c>
      <c r="N145">
        <f>IF(G145="","",IF(VLOOKUP(C145,Recipes!$A$2:$N$4,7,FALSE())=0,-1E+300,-0.5*((J145-Components!$D$5)/Components!$E$5)^2))</f>
        <v/>
      </c>
      <c r="O145">
        <f>IF(G145="","",IF(VLOOKUP(C145,Recipes!$A$2:$N$4,8,FALSE())=0,-1E+300,-0.5*((J145-Components!$D$6)/Components!$E$6)^2))</f>
        <v/>
      </c>
      <c r="P145">
        <f>IF(G145="","",IF(VLOOKUP(C145,Recipes!$A$2:$N$4,9,FALSE())=0,-1E+300,-0.5*((J145-Components!$D$7)/Components!$E$7)^2))</f>
        <v/>
      </c>
      <c r="Q145">
        <f>IF(G145="","",EXP(LARGE(K145:P145,1)-MAX(K145:P145))/(EXP(K145-MAX(K145:P145))+EXP(L145-MAX(K145:P145))+EXP(M145-MAX(K145:P145))+EXP(N145-MAX(K145:P145))+EXP(O145-MAX(K145:P145))+EXP(P145-MAX(K145:P145))))</f>
        <v/>
      </c>
      <c r="R145">
        <f>IF(G145="","",EXP(LARGE(K145:P145,2)-MAX(K145:P145))/(EXP(K145-MAX(K145:P145))+EXP(L145-MAX(K145:P145))+EXP(M145-MAX(K145:P145))+EXP(N145-MAX(K145:P145))+EXP(O145-MAX(K145:P145))+EXP(P145-MAX(K145:P145))))</f>
        <v/>
      </c>
      <c r="S145">
        <f>IF(G145="","",Q145-R145)</f>
        <v/>
      </c>
      <c r="T145">
        <f>IF(G145="","",IF(ABS(G145-H145)&lt;=$B$6*I145,"OK","NG"))</f>
        <v/>
      </c>
      <c r="U145">
        <f>IF(T145="","",IF(T145=D145,1,0))</f>
        <v/>
      </c>
      <c r="V145">
        <f>IF(G145="","",IF(T145="OK","NONE",INDEX({"S1","S2","W1","W2","N1","N2"},MATCH(MAX(K145:P145),K145:P145,0))))</f>
        <v/>
      </c>
      <c r="W145">
        <f>IF(G145="","",IF(V145=E145,1,0))</f>
        <v/>
      </c>
      <c r="X145">
        <f>IF(G145="","",IF(AND(T145="NG",S145&lt;$B$7),"AMBIGUOUS","CONFIDENT"))</f>
        <v/>
      </c>
    </row>
    <row r="146">
      <c r="A146">
        <f>'Runs Z score'!A139</f>
        <v/>
      </c>
      <c r="B146">
        <f>'Runs Z score'!B139</f>
        <v/>
      </c>
      <c r="C146">
        <f>'Runs Z score'!C139</f>
        <v/>
      </c>
      <c r="D146">
        <f>'Runs Z score'!D139</f>
        <v/>
      </c>
      <c r="E146">
        <f>'Runs Z score'!E139</f>
        <v/>
      </c>
      <c r="F146">
        <f>'Runs Z score'!F139</f>
        <v/>
      </c>
      <c r="G146">
        <f>'Runs Z score'!G139</f>
        <v/>
      </c>
      <c r="H146">
        <f>VLOOKUP(C146,Recipes!$A$2:$N$4,10,FALSE())</f>
        <v/>
      </c>
      <c r="I146">
        <f>VLOOKUP(C146,Recipes!$A$2:$N$4,12,FALSE())</f>
        <v/>
      </c>
      <c r="J146">
        <f>IF(G146="","",H146-G146)</f>
        <v/>
      </c>
      <c r="K146">
        <f>IF(G146="","",IF(VLOOKUP(C146,Recipes!$A$2:$N$4,4,FALSE())=0,-1E+300,-0.5*((J146-Components!$D$2)/Components!$E$2)^2))</f>
        <v/>
      </c>
      <c r="L146">
        <f>IF(G146="","",IF(VLOOKUP(C146,Recipes!$A$2:$N$4,5,FALSE())=0,-1E+300,-0.5*((J146-Components!$D$3)/Components!$E$3)^2))</f>
        <v/>
      </c>
      <c r="M146">
        <f>IF(G146="","",IF(VLOOKUP(C146,Recipes!$A$2:$N$4,6,FALSE())=0,-1E+300,-0.5*((J146-Components!$D$4)/Components!$E$4)^2))</f>
        <v/>
      </c>
      <c r="N146">
        <f>IF(G146="","",IF(VLOOKUP(C146,Recipes!$A$2:$N$4,7,FALSE())=0,-1E+300,-0.5*((J146-Components!$D$5)/Components!$E$5)^2))</f>
        <v/>
      </c>
      <c r="O146">
        <f>IF(G146="","",IF(VLOOKUP(C146,Recipes!$A$2:$N$4,8,FALSE())=0,-1E+300,-0.5*((J146-Components!$D$6)/Components!$E$6)^2))</f>
        <v/>
      </c>
      <c r="P146">
        <f>IF(G146="","",IF(VLOOKUP(C146,Recipes!$A$2:$N$4,9,FALSE())=0,-1E+300,-0.5*((J146-Components!$D$7)/Components!$E$7)^2))</f>
        <v/>
      </c>
      <c r="Q146">
        <f>IF(G146="","",EXP(LARGE(K146:P146,1)-MAX(K146:P146))/(EXP(K146-MAX(K146:P146))+EXP(L146-MAX(K146:P146))+EXP(M146-MAX(K146:P146))+EXP(N146-MAX(K146:P146))+EXP(O146-MAX(K146:P146))+EXP(P146-MAX(K146:P146))))</f>
        <v/>
      </c>
      <c r="R146">
        <f>IF(G146="","",EXP(LARGE(K146:P146,2)-MAX(K146:P146))/(EXP(K146-MAX(K146:P146))+EXP(L146-MAX(K146:P146))+EXP(M146-MAX(K146:P146))+EXP(N146-MAX(K146:P146))+EXP(O146-MAX(K146:P146))+EXP(P146-MAX(K146:P146))))</f>
        <v/>
      </c>
      <c r="S146">
        <f>IF(G146="","",Q146-R146)</f>
        <v/>
      </c>
      <c r="T146">
        <f>IF(G146="","",IF(ABS(G146-H146)&lt;=$B$6*I146,"OK","NG"))</f>
        <v/>
      </c>
      <c r="U146">
        <f>IF(T146="","",IF(T146=D146,1,0))</f>
        <v/>
      </c>
      <c r="V146">
        <f>IF(G146="","",IF(T146="OK","NONE",INDEX({"S1","S2","W1","W2","N1","N2"},MATCH(MAX(K146:P146),K146:P146,0))))</f>
        <v/>
      </c>
      <c r="W146">
        <f>IF(G146="","",IF(V146=E146,1,0))</f>
        <v/>
      </c>
      <c r="X146">
        <f>IF(G146="","",IF(AND(T146="NG",S146&lt;$B$7),"AMBIGUOUS","CONFIDENT"))</f>
        <v/>
      </c>
    </row>
    <row r="147">
      <c r="A147">
        <f>'Runs Z score'!A140</f>
        <v/>
      </c>
      <c r="B147">
        <f>'Runs Z score'!B140</f>
        <v/>
      </c>
      <c r="C147">
        <f>'Runs Z score'!C140</f>
        <v/>
      </c>
      <c r="D147">
        <f>'Runs Z score'!D140</f>
        <v/>
      </c>
      <c r="E147">
        <f>'Runs Z score'!E140</f>
        <v/>
      </c>
      <c r="F147">
        <f>'Runs Z score'!F140</f>
        <v/>
      </c>
      <c r="G147">
        <f>'Runs Z score'!G140</f>
        <v/>
      </c>
      <c r="H147">
        <f>VLOOKUP(C147,Recipes!$A$2:$N$4,10,FALSE())</f>
        <v/>
      </c>
      <c r="I147">
        <f>VLOOKUP(C147,Recipes!$A$2:$N$4,12,FALSE())</f>
        <v/>
      </c>
      <c r="J147">
        <f>IF(G147="","",H147-G147)</f>
        <v/>
      </c>
      <c r="K147">
        <f>IF(G147="","",IF(VLOOKUP(C147,Recipes!$A$2:$N$4,4,FALSE())=0,-1E+300,-0.5*((J147-Components!$D$2)/Components!$E$2)^2))</f>
        <v/>
      </c>
      <c r="L147">
        <f>IF(G147="","",IF(VLOOKUP(C147,Recipes!$A$2:$N$4,5,FALSE())=0,-1E+300,-0.5*((J147-Components!$D$3)/Components!$E$3)^2))</f>
        <v/>
      </c>
      <c r="M147">
        <f>IF(G147="","",IF(VLOOKUP(C147,Recipes!$A$2:$N$4,6,FALSE())=0,-1E+300,-0.5*((J147-Components!$D$4)/Components!$E$4)^2))</f>
        <v/>
      </c>
      <c r="N147">
        <f>IF(G147="","",IF(VLOOKUP(C147,Recipes!$A$2:$N$4,7,FALSE())=0,-1E+300,-0.5*((J147-Components!$D$5)/Components!$E$5)^2))</f>
        <v/>
      </c>
      <c r="O147">
        <f>IF(G147="","",IF(VLOOKUP(C147,Recipes!$A$2:$N$4,8,FALSE())=0,-1E+300,-0.5*((J147-Components!$D$6)/Components!$E$6)^2))</f>
        <v/>
      </c>
      <c r="P147">
        <f>IF(G147="","",IF(VLOOKUP(C147,Recipes!$A$2:$N$4,9,FALSE())=0,-1E+300,-0.5*((J147-Components!$D$7)/Components!$E$7)^2))</f>
        <v/>
      </c>
      <c r="Q147">
        <f>IF(G147="","",EXP(LARGE(K147:P147,1)-MAX(K147:P147))/(EXP(K147-MAX(K147:P147))+EXP(L147-MAX(K147:P147))+EXP(M147-MAX(K147:P147))+EXP(N147-MAX(K147:P147))+EXP(O147-MAX(K147:P147))+EXP(P147-MAX(K147:P147))))</f>
        <v/>
      </c>
      <c r="R147">
        <f>IF(G147="","",EXP(LARGE(K147:P147,2)-MAX(K147:P147))/(EXP(K147-MAX(K147:P147))+EXP(L147-MAX(K147:P147))+EXP(M147-MAX(K147:P147))+EXP(N147-MAX(K147:P147))+EXP(O147-MAX(K147:P147))+EXP(P147-MAX(K147:P147))))</f>
        <v/>
      </c>
      <c r="S147">
        <f>IF(G147="","",Q147-R147)</f>
        <v/>
      </c>
      <c r="T147">
        <f>IF(G147="","",IF(ABS(G147-H147)&lt;=$B$6*I147,"OK","NG"))</f>
        <v/>
      </c>
      <c r="U147">
        <f>IF(T147="","",IF(T147=D147,1,0))</f>
        <v/>
      </c>
      <c r="V147">
        <f>IF(G147="","",IF(T147="OK","NONE",INDEX({"S1","S2","W1","W2","N1","N2"},MATCH(MAX(K147:P147),K147:P147,0))))</f>
        <v/>
      </c>
      <c r="W147">
        <f>IF(G147="","",IF(V147=E147,1,0))</f>
        <v/>
      </c>
      <c r="X147">
        <f>IF(G147="","",IF(AND(T147="NG",S147&lt;$B$7),"AMBIGUOUS","CONFIDENT"))</f>
        <v/>
      </c>
    </row>
    <row r="148">
      <c r="A148">
        <f>'Runs Z score'!A141</f>
        <v/>
      </c>
      <c r="B148">
        <f>'Runs Z score'!B141</f>
        <v/>
      </c>
      <c r="C148">
        <f>'Runs Z score'!C141</f>
        <v/>
      </c>
      <c r="D148">
        <f>'Runs Z score'!D141</f>
        <v/>
      </c>
      <c r="E148">
        <f>'Runs Z score'!E141</f>
        <v/>
      </c>
      <c r="F148">
        <f>'Runs Z score'!F141</f>
        <v/>
      </c>
      <c r="G148">
        <f>'Runs Z score'!G141</f>
        <v/>
      </c>
      <c r="H148">
        <f>VLOOKUP(C148,Recipes!$A$2:$N$4,10,FALSE())</f>
        <v/>
      </c>
      <c r="I148">
        <f>VLOOKUP(C148,Recipes!$A$2:$N$4,12,FALSE())</f>
        <v/>
      </c>
      <c r="J148">
        <f>IF(G148="","",H148-G148)</f>
        <v/>
      </c>
      <c r="K148">
        <f>IF(G148="","",IF(VLOOKUP(C148,Recipes!$A$2:$N$4,4,FALSE())=0,-1E+300,-0.5*((J148-Components!$D$2)/Components!$E$2)^2))</f>
        <v/>
      </c>
      <c r="L148">
        <f>IF(G148="","",IF(VLOOKUP(C148,Recipes!$A$2:$N$4,5,FALSE())=0,-1E+300,-0.5*((J148-Components!$D$3)/Components!$E$3)^2))</f>
        <v/>
      </c>
      <c r="M148">
        <f>IF(G148="","",IF(VLOOKUP(C148,Recipes!$A$2:$N$4,6,FALSE())=0,-1E+300,-0.5*((J148-Components!$D$4)/Components!$E$4)^2))</f>
        <v/>
      </c>
      <c r="N148">
        <f>IF(G148="","",IF(VLOOKUP(C148,Recipes!$A$2:$N$4,7,FALSE())=0,-1E+300,-0.5*((J148-Components!$D$5)/Components!$E$5)^2))</f>
        <v/>
      </c>
      <c r="O148">
        <f>IF(G148="","",IF(VLOOKUP(C148,Recipes!$A$2:$N$4,8,FALSE())=0,-1E+300,-0.5*((J148-Components!$D$6)/Components!$E$6)^2))</f>
        <v/>
      </c>
      <c r="P148">
        <f>IF(G148="","",IF(VLOOKUP(C148,Recipes!$A$2:$N$4,9,FALSE())=0,-1E+300,-0.5*((J148-Components!$D$7)/Components!$E$7)^2))</f>
        <v/>
      </c>
      <c r="Q148">
        <f>IF(G148="","",EXP(LARGE(K148:P148,1)-MAX(K148:P148))/(EXP(K148-MAX(K148:P148))+EXP(L148-MAX(K148:P148))+EXP(M148-MAX(K148:P148))+EXP(N148-MAX(K148:P148))+EXP(O148-MAX(K148:P148))+EXP(P148-MAX(K148:P148))))</f>
        <v/>
      </c>
      <c r="R148">
        <f>IF(G148="","",EXP(LARGE(K148:P148,2)-MAX(K148:P148))/(EXP(K148-MAX(K148:P148))+EXP(L148-MAX(K148:P148))+EXP(M148-MAX(K148:P148))+EXP(N148-MAX(K148:P148))+EXP(O148-MAX(K148:P148))+EXP(P148-MAX(K148:P148))))</f>
        <v/>
      </c>
      <c r="S148">
        <f>IF(G148="","",Q148-R148)</f>
        <v/>
      </c>
      <c r="T148">
        <f>IF(G148="","",IF(ABS(G148-H148)&lt;=$B$6*I148,"OK","NG"))</f>
        <v/>
      </c>
      <c r="U148">
        <f>IF(T148="","",IF(T148=D148,1,0))</f>
        <v/>
      </c>
      <c r="V148">
        <f>IF(G148="","",IF(T148="OK","NONE",INDEX({"S1","S2","W1","W2","N1","N2"},MATCH(MAX(K148:P148),K148:P148,0))))</f>
        <v/>
      </c>
      <c r="W148">
        <f>IF(G148="","",IF(V148=E148,1,0))</f>
        <v/>
      </c>
      <c r="X148">
        <f>IF(G148="","",IF(AND(T148="NG",S148&lt;$B$7),"AMBIGUOUS","CONFIDENT"))</f>
        <v/>
      </c>
    </row>
    <row r="149">
      <c r="A149">
        <f>'Runs Z score'!A142</f>
        <v/>
      </c>
      <c r="B149">
        <f>'Runs Z score'!B142</f>
        <v/>
      </c>
      <c r="C149">
        <f>'Runs Z score'!C142</f>
        <v/>
      </c>
      <c r="D149">
        <f>'Runs Z score'!D142</f>
        <v/>
      </c>
      <c r="E149">
        <f>'Runs Z score'!E142</f>
        <v/>
      </c>
      <c r="F149">
        <f>'Runs Z score'!F142</f>
        <v/>
      </c>
      <c r="G149">
        <f>'Runs Z score'!G142</f>
        <v/>
      </c>
      <c r="H149">
        <f>VLOOKUP(C149,Recipes!$A$2:$N$4,10,FALSE())</f>
        <v/>
      </c>
      <c r="I149">
        <f>VLOOKUP(C149,Recipes!$A$2:$N$4,12,FALSE())</f>
        <v/>
      </c>
      <c r="J149">
        <f>IF(G149="","",H149-G149)</f>
        <v/>
      </c>
      <c r="K149">
        <f>IF(G149="","",IF(VLOOKUP(C149,Recipes!$A$2:$N$4,4,FALSE())=0,-1E+300,-0.5*((J149-Components!$D$2)/Components!$E$2)^2))</f>
        <v/>
      </c>
      <c r="L149">
        <f>IF(G149="","",IF(VLOOKUP(C149,Recipes!$A$2:$N$4,5,FALSE())=0,-1E+300,-0.5*((J149-Components!$D$3)/Components!$E$3)^2))</f>
        <v/>
      </c>
      <c r="M149">
        <f>IF(G149="","",IF(VLOOKUP(C149,Recipes!$A$2:$N$4,6,FALSE())=0,-1E+300,-0.5*((J149-Components!$D$4)/Components!$E$4)^2))</f>
        <v/>
      </c>
      <c r="N149">
        <f>IF(G149="","",IF(VLOOKUP(C149,Recipes!$A$2:$N$4,7,FALSE())=0,-1E+300,-0.5*((J149-Components!$D$5)/Components!$E$5)^2))</f>
        <v/>
      </c>
      <c r="O149">
        <f>IF(G149="","",IF(VLOOKUP(C149,Recipes!$A$2:$N$4,8,FALSE())=0,-1E+300,-0.5*((J149-Components!$D$6)/Components!$E$6)^2))</f>
        <v/>
      </c>
      <c r="P149">
        <f>IF(G149="","",IF(VLOOKUP(C149,Recipes!$A$2:$N$4,9,FALSE())=0,-1E+300,-0.5*((J149-Components!$D$7)/Components!$E$7)^2))</f>
        <v/>
      </c>
      <c r="Q149">
        <f>IF(G149="","",EXP(LARGE(K149:P149,1)-MAX(K149:P149))/(EXP(K149-MAX(K149:P149))+EXP(L149-MAX(K149:P149))+EXP(M149-MAX(K149:P149))+EXP(N149-MAX(K149:P149))+EXP(O149-MAX(K149:P149))+EXP(P149-MAX(K149:P149))))</f>
        <v/>
      </c>
      <c r="R149">
        <f>IF(G149="","",EXP(LARGE(K149:P149,2)-MAX(K149:P149))/(EXP(K149-MAX(K149:P149))+EXP(L149-MAX(K149:P149))+EXP(M149-MAX(K149:P149))+EXP(N149-MAX(K149:P149))+EXP(O149-MAX(K149:P149))+EXP(P149-MAX(K149:P149))))</f>
        <v/>
      </c>
      <c r="S149">
        <f>IF(G149="","",Q149-R149)</f>
        <v/>
      </c>
      <c r="T149">
        <f>IF(G149="","",IF(ABS(G149-H149)&lt;=$B$6*I149,"OK","NG"))</f>
        <v/>
      </c>
      <c r="U149">
        <f>IF(T149="","",IF(T149=D149,1,0))</f>
        <v/>
      </c>
      <c r="V149">
        <f>IF(G149="","",IF(T149="OK","NONE",INDEX({"S1","S2","W1","W2","N1","N2"},MATCH(MAX(K149:P149),K149:P149,0))))</f>
        <v/>
      </c>
      <c r="W149">
        <f>IF(G149="","",IF(V149=E149,1,0))</f>
        <v/>
      </c>
      <c r="X149">
        <f>IF(G149="","",IF(AND(T149="NG",S149&lt;$B$7),"AMBIGUOUS","CONFIDENT"))</f>
        <v/>
      </c>
    </row>
    <row r="150">
      <c r="A150">
        <f>'Runs Z score'!A143</f>
        <v/>
      </c>
      <c r="B150">
        <f>'Runs Z score'!B143</f>
        <v/>
      </c>
      <c r="C150">
        <f>'Runs Z score'!C143</f>
        <v/>
      </c>
      <c r="D150">
        <f>'Runs Z score'!D143</f>
        <v/>
      </c>
      <c r="E150">
        <f>'Runs Z score'!E143</f>
        <v/>
      </c>
      <c r="F150">
        <f>'Runs Z score'!F143</f>
        <v/>
      </c>
      <c r="G150">
        <f>'Runs Z score'!G143</f>
        <v/>
      </c>
      <c r="H150">
        <f>VLOOKUP(C150,Recipes!$A$2:$N$4,10,FALSE())</f>
        <v/>
      </c>
      <c r="I150">
        <f>VLOOKUP(C150,Recipes!$A$2:$N$4,12,FALSE())</f>
        <v/>
      </c>
      <c r="J150">
        <f>IF(G150="","",H150-G150)</f>
        <v/>
      </c>
      <c r="K150">
        <f>IF(G150="","",IF(VLOOKUP(C150,Recipes!$A$2:$N$4,4,FALSE())=0,-1E+300,-0.5*((J150-Components!$D$2)/Components!$E$2)^2))</f>
        <v/>
      </c>
      <c r="L150">
        <f>IF(G150="","",IF(VLOOKUP(C150,Recipes!$A$2:$N$4,5,FALSE())=0,-1E+300,-0.5*((J150-Components!$D$3)/Components!$E$3)^2))</f>
        <v/>
      </c>
      <c r="M150">
        <f>IF(G150="","",IF(VLOOKUP(C150,Recipes!$A$2:$N$4,6,FALSE())=0,-1E+300,-0.5*((J150-Components!$D$4)/Components!$E$4)^2))</f>
        <v/>
      </c>
      <c r="N150">
        <f>IF(G150="","",IF(VLOOKUP(C150,Recipes!$A$2:$N$4,7,FALSE())=0,-1E+300,-0.5*((J150-Components!$D$5)/Components!$E$5)^2))</f>
        <v/>
      </c>
      <c r="O150">
        <f>IF(G150="","",IF(VLOOKUP(C150,Recipes!$A$2:$N$4,8,FALSE())=0,-1E+300,-0.5*((J150-Components!$D$6)/Components!$E$6)^2))</f>
        <v/>
      </c>
      <c r="P150">
        <f>IF(G150="","",IF(VLOOKUP(C150,Recipes!$A$2:$N$4,9,FALSE())=0,-1E+300,-0.5*((J150-Components!$D$7)/Components!$E$7)^2))</f>
        <v/>
      </c>
      <c r="Q150">
        <f>IF(G150="","",EXP(LARGE(K150:P150,1)-MAX(K150:P150))/(EXP(K150-MAX(K150:P150))+EXP(L150-MAX(K150:P150))+EXP(M150-MAX(K150:P150))+EXP(N150-MAX(K150:P150))+EXP(O150-MAX(K150:P150))+EXP(P150-MAX(K150:P150))))</f>
        <v/>
      </c>
      <c r="R150">
        <f>IF(G150="","",EXP(LARGE(K150:P150,2)-MAX(K150:P150))/(EXP(K150-MAX(K150:P150))+EXP(L150-MAX(K150:P150))+EXP(M150-MAX(K150:P150))+EXP(N150-MAX(K150:P150))+EXP(O150-MAX(K150:P150))+EXP(P150-MAX(K150:P150))))</f>
        <v/>
      </c>
      <c r="S150">
        <f>IF(G150="","",Q150-R150)</f>
        <v/>
      </c>
      <c r="T150">
        <f>IF(G150="","",IF(ABS(G150-H150)&lt;=$B$6*I150,"OK","NG"))</f>
        <v/>
      </c>
      <c r="U150">
        <f>IF(T150="","",IF(T150=D150,1,0))</f>
        <v/>
      </c>
      <c r="V150">
        <f>IF(G150="","",IF(T150="OK","NONE",INDEX({"S1","S2","W1","W2","N1","N2"},MATCH(MAX(K150:P150),K150:P150,0))))</f>
        <v/>
      </c>
      <c r="W150">
        <f>IF(G150="","",IF(V150=E150,1,0))</f>
        <v/>
      </c>
      <c r="X150">
        <f>IF(G150="","",IF(AND(T150="NG",S150&lt;$B$7),"AMBIGUOUS","CONFIDENT"))</f>
        <v/>
      </c>
    </row>
    <row r="151">
      <c r="A151">
        <f>'Runs Z score'!A144</f>
        <v/>
      </c>
      <c r="B151">
        <f>'Runs Z score'!B144</f>
        <v/>
      </c>
      <c r="C151">
        <f>'Runs Z score'!C144</f>
        <v/>
      </c>
      <c r="D151">
        <f>'Runs Z score'!D144</f>
        <v/>
      </c>
      <c r="E151">
        <f>'Runs Z score'!E144</f>
        <v/>
      </c>
      <c r="F151">
        <f>'Runs Z score'!F144</f>
        <v/>
      </c>
      <c r="G151">
        <f>'Runs Z score'!G144</f>
        <v/>
      </c>
      <c r="H151">
        <f>VLOOKUP(C151,Recipes!$A$2:$N$4,10,FALSE())</f>
        <v/>
      </c>
      <c r="I151">
        <f>VLOOKUP(C151,Recipes!$A$2:$N$4,12,FALSE())</f>
        <v/>
      </c>
      <c r="J151">
        <f>IF(G151="","",H151-G151)</f>
        <v/>
      </c>
      <c r="K151">
        <f>IF(G151="","",IF(VLOOKUP(C151,Recipes!$A$2:$N$4,4,FALSE())=0,-1E+300,-0.5*((J151-Components!$D$2)/Components!$E$2)^2))</f>
        <v/>
      </c>
      <c r="L151">
        <f>IF(G151="","",IF(VLOOKUP(C151,Recipes!$A$2:$N$4,5,FALSE())=0,-1E+300,-0.5*((J151-Components!$D$3)/Components!$E$3)^2))</f>
        <v/>
      </c>
      <c r="M151">
        <f>IF(G151="","",IF(VLOOKUP(C151,Recipes!$A$2:$N$4,6,FALSE())=0,-1E+300,-0.5*((J151-Components!$D$4)/Components!$E$4)^2))</f>
        <v/>
      </c>
      <c r="N151">
        <f>IF(G151="","",IF(VLOOKUP(C151,Recipes!$A$2:$N$4,7,FALSE())=0,-1E+300,-0.5*((J151-Components!$D$5)/Components!$E$5)^2))</f>
        <v/>
      </c>
      <c r="O151">
        <f>IF(G151="","",IF(VLOOKUP(C151,Recipes!$A$2:$N$4,8,FALSE())=0,-1E+300,-0.5*((J151-Components!$D$6)/Components!$E$6)^2))</f>
        <v/>
      </c>
      <c r="P151">
        <f>IF(G151="","",IF(VLOOKUP(C151,Recipes!$A$2:$N$4,9,FALSE())=0,-1E+300,-0.5*((J151-Components!$D$7)/Components!$E$7)^2))</f>
        <v/>
      </c>
      <c r="Q151">
        <f>IF(G151="","",EXP(LARGE(K151:P151,1)-MAX(K151:P151))/(EXP(K151-MAX(K151:P151))+EXP(L151-MAX(K151:P151))+EXP(M151-MAX(K151:P151))+EXP(N151-MAX(K151:P151))+EXP(O151-MAX(K151:P151))+EXP(P151-MAX(K151:P151))))</f>
        <v/>
      </c>
      <c r="R151">
        <f>IF(G151="","",EXP(LARGE(K151:P151,2)-MAX(K151:P151))/(EXP(K151-MAX(K151:P151))+EXP(L151-MAX(K151:P151))+EXP(M151-MAX(K151:P151))+EXP(N151-MAX(K151:P151))+EXP(O151-MAX(K151:P151))+EXP(P151-MAX(K151:P151))))</f>
        <v/>
      </c>
      <c r="S151">
        <f>IF(G151="","",Q151-R151)</f>
        <v/>
      </c>
      <c r="T151">
        <f>IF(G151="","",IF(ABS(G151-H151)&lt;=$B$6*I151,"OK","NG"))</f>
        <v/>
      </c>
      <c r="U151">
        <f>IF(T151="","",IF(T151=D151,1,0))</f>
        <v/>
      </c>
      <c r="V151">
        <f>IF(G151="","",IF(T151="OK","NONE",INDEX({"S1","S2","W1","W2","N1","N2"},MATCH(MAX(K151:P151),K151:P151,0))))</f>
        <v/>
      </c>
      <c r="W151">
        <f>IF(G151="","",IF(V151=E151,1,0))</f>
        <v/>
      </c>
      <c r="X151">
        <f>IF(G151="","",IF(AND(T151="NG",S151&lt;$B$7),"AMBIGUOUS","CONFIDENT"))</f>
        <v/>
      </c>
    </row>
    <row r="152">
      <c r="A152">
        <f>'Runs Z score'!A145</f>
        <v/>
      </c>
      <c r="B152">
        <f>'Runs Z score'!B145</f>
        <v/>
      </c>
      <c r="C152">
        <f>'Runs Z score'!C145</f>
        <v/>
      </c>
      <c r="D152">
        <f>'Runs Z score'!D145</f>
        <v/>
      </c>
      <c r="E152">
        <f>'Runs Z score'!E145</f>
        <v/>
      </c>
      <c r="F152">
        <f>'Runs Z score'!F145</f>
        <v/>
      </c>
      <c r="G152">
        <f>'Runs Z score'!G145</f>
        <v/>
      </c>
      <c r="H152">
        <f>VLOOKUP(C152,Recipes!$A$2:$N$4,10,FALSE())</f>
        <v/>
      </c>
      <c r="I152">
        <f>VLOOKUP(C152,Recipes!$A$2:$N$4,12,FALSE())</f>
        <v/>
      </c>
      <c r="J152">
        <f>IF(G152="","",H152-G152)</f>
        <v/>
      </c>
      <c r="K152">
        <f>IF(G152="","",IF(VLOOKUP(C152,Recipes!$A$2:$N$4,4,FALSE())=0,-1E+300,-0.5*((J152-Components!$D$2)/Components!$E$2)^2))</f>
        <v/>
      </c>
      <c r="L152">
        <f>IF(G152="","",IF(VLOOKUP(C152,Recipes!$A$2:$N$4,5,FALSE())=0,-1E+300,-0.5*((J152-Components!$D$3)/Components!$E$3)^2))</f>
        <v/>
      </c>
      <c r="M152">
        <f>IF(G152="","",IF(VLOOKUP(C152,Recipes!$A$2:$N$4,6,FALSE())=0,-1E+300,-0.5*((J152-Components!$D$4)/Components!$E$4)^2))</f>
        <v/>
      </c>
      <c r="N152">
        <f>IF(G152="","",IF(VLOOKUP(C152,Recipes!$A$2:$N$4,7,FALSE())=0,-1E+300,-0.5*((J152-Components!$D$5)/Components!$E$5)^2))</f>
        <v/>
      </c>
      <c r="O152">
        <f>IF(G152="","",IF(VLOOKUP(C152,Recipes!$A$2:$N$4,8,FALSE())=0,-1E+300,-0.5*((J152-Components!$D$6)/Components!$E$6)^2))</f>
        <v/>
      </c>
      <c r="P152">
        <f>IF(G152="","",IF(VLOOKUP(C152,Recipes!$A$2:$N$4,9,FALSE())=0,-1E+300,-0.5*((J152-Components!$D$7)/Components!$E$7)^2))</f>
        <v/>
      </c>
      <c r="Q152">
        <f>IF(G152="","",EXP(LARGE(K152:P152,1)-MAX(K152:P152))/(EXP(K152-MAX(K152:P152))+EXP(L152-MAX(K152:P152))+EXP(M152-MAX(K152:P152))+EXP(N152-MAX(K152:P152))+EXP(O152-MAX(K152:P152))+EXP(P152-MAX(K152:P152))))</f>
        <v/>
      </c>
      <c r="R152">
        <f>IF(G152="","",EXP(LARGE(K152:P152,2)-MAX(K152:P152))/(EXP(K152-MAX(K152:P152))+EXP(L152-MAX(K152:P152))+EXP(M152-MAX(K152:P152))+EXP(N152-MAX(K152:P152))+EXP(O152-MAX(K152:P152))+EXP(P152-MAX(K152:P152))))</f>
        <v/>
      </c>
      <c r="S152">
        <f>IF(G152="","",Q152-R152)</f>
        <v/>
      </c>
      <c r="T152">
        <f>IF(G152="","",IF(ABS(G152-H152)&lt;=$B$6*I152,"OK","NG"))</f>
        <v/>
      </c>
      <c r="U152">
        <f>IF(T152="","",IF(T152=D152,1,0))</f>
        <v/>
      </c>
      <c r="V152">
        <f>IF(G152="","",IF(T152="OK","NONE",INDEX({"S1","S2","W1","W2","N1","N2"},MATCH(MAX(K152:P152),K152:P152,0))))</f>
        <v/>
      </c>
      <c r="W152">
        <f>IF(G152="","",IF(V152=E152,1,0))</f>
        <v/>
      </c>
      <c r="X152">
        <f>IF(G152="","",IF(AND(T152="NG",S152&lt;$B$7),"AMBIGUOUS","CONFIDENT"))</f>
        <v/>
      </c>
    </row>
    <row r="153">
      <c r="A153">
        <f>'Runs Z score'!A146</f>
        <v/>
      </c>
      <c r="B153">
        <f>'Runs Z score'!B146</f>
        <v/>
      </c>
      <c r="C153">
        <f>'Runs Z score'!C146</f>
        <v/>
      </c>
      <c r="D153">
        <f>'Runs Z score'!D146</f>
        <v/>
      </c>
      <c r="E153">
        <f>'Runs Z score'!E146</f>
        <v/>
      </c>
      <c r="F153">
        <f>'Runs Z score'!F146</f>
        <v/>
      </c>
      <c r="G153">
        <f>'Runs Z score'!G146</f>
        <v/>
      </c>
      <c r="H153">
        <f>VLOOKUP(C153,Recipes!$A$2:$N$4,10,FALSE())</f>
        <v/>
      </c>
      <c r="I153">
        <f>VLOOKUP(C153,Recipes!$A$2:$N$4,12,FALSE())</f>
        <v/>
      </c>
      <c r="J153">
        <f>IF(G153="","",H153-G153)</f>
        <v/>
      </c>
      <c r="K153">
        <f>IF(G153="","",IF(VLOOKUP(C153,Recipes!$A$2:$N$4,4,FALSE())=0,-1E+300,-0.5*((J153-Components!$D$2)/Components!$E$2)^2))</f>
        <v/>
      </c>
      <c r="L153">
        <f>IF(G153="","",IF(VLOOKUP(C153,Recipes!$A$2:$N$4,5,FALSE())=0,-1E+300,-0.5*((J153-Components!$D$3)/Components!$E$3)^2))</f>
        <v/>
      </c>
      <c r="M153">
        <f>IF(G153="","",IF(VLOOKUP(C153,Recipes!$A$2:$N$4,6,FALSE())=0,-1E+300,-0.5*((J153-Components!$D$4)/Components!$E$4)^2))</f>
        <v/>
      </c>
      <c r="N153">
        <f>IF(G153="","",IF(VLOOKUP(C153,Recipes!$A$2:$N$4,7,FALSE())=0,-1E+300,-0.5*((J153-Components!$D$5)/Components!$E$5)^2))</f>
        <v/>
      </c>
      <c r="O153">
        <f>IF(G153="","",IF(VLOOKUP(C153,Recipes!$A$2:$N$4,8,FALSE())=0,-1E+300,-0.5*((J153-Components!$D$6)/Components!$E$6)^2))</f>
        <v/>
      </c>
      <c r="P153">
        <f>IF(G153="","",IF(VLOOKUP(C153,Recipes!$A$2:$N$4,9,FALSE())=0,-1E+300,-0.5*((J153-Components!$D$7)/Components!$E$7)^2))</f>
        <v/>
      </c>
      <c r="Q153">
        <f>IF(G153="","",EXP(LARGE(K153:P153,1)-MAX(K153:P153))/(EXP(K153-MAX(K153:P153))+EXP(L153-MAX(K153:P153))+EXP(M153-MAX(K153:P153))+EXP(N153-MAX(K153:P153))+EXP(O153-MAX(K153:P153))+EXP(P153-MAX(K153:P153))))</f>
        <v/>
      </c>
      <c r="R153">
        <f>IF(G153="","",EXP(LARGE(K153:P153,2)-MAX(K153:P153))/(EXP(K153-MAX(K153:P153))+EXP(L153-MAX(K153:P153))+EXP(M153-MAX(K153:P153))+EXP(N153-MAX(K153:P153))+EXP(O153-MAX(K153:P153))+EXP(P153-MAX(K153:P153))))</f>
        <v/>
      </c>
      <c r="S153">
        <f>IF(G153="","",Q153-R153)</f>
        <v/>
      </c>
      <c r="T153">
        <f>IF(G153="","",IF(ABS(G153-H153)&lt;=$B$6*I153,"OK","NG"))</f>
        <v/>
      </c>
      <c r="U153">
        <f>IF(T153="","",IF(T153=D153,1,0))</f>
        <v/>
      </c>
      <c r="V153">
        <f>IF(G153="","",IF(T153="OK","NONE",INDEX({"S1","S2","W1","W2","N1","N2"},MATCH(MAX(K153:P153),K153:P153,0))))</f>
        <v/>
      </c>
      <c r="W153">
        <f>IF(G153="","",IF(V153=E153,1,0))</f>
        <v/>
      </c>
      <c r="X153">
        <f>IF(G153="","",IF(AND(T153="NG",S153&lt;$B$7),"AMBIGUOUS","CONFIDENT"))</f>
        <v/>
      </c>
    </row>
    <row r="154">
      <c r="A154">
        <f>'Runs Z score'!A147</f>
        <v/>
      </c>
      <c r="B154">
        <f>'Runs Z score'!B147</f>
        <v/>
      </c>
      <c r="C154">
        <f>'Runs Z score'!C147</f>
        <v/>
      </c>
      <c r="D154">
        <f>'Runs Z score'!D147</f>
        <v/>
      </c>
      <c r="E154">
        <f>'Runs Z score'!E147</f>
        <v/>
      </c>
      <c r="F154">
        <f>'Runs Z score'!F147</f>
        <v/>
      </c>
      <c r="G154">
        <f>'Runs Z score'!G147</f>
        <v/>
      </c>
      <c r="H154">
        <f>VLOOKUP(C154,Recipes!$A$2:$N$4,10,FALSE())</f>
        <v/>
      </c>
      <c r="I154">
        <f>VLOOKUP(C154,Recipes!$A$2:$N$4,12,FALSE())</f>
        <v/>
      </c>
      <c r="J154">
        <f>IF(G154="","",H154-G154)</f>
        <v/>
      </c>
      <c r="K154">
        <f>IF(G154="","",IF(VLOOKUP(C154,Recipes!$A$2:$N$4,4,FALSE())=0,-1E+300,-0.5*((J154-Components!$D$2)/Components!$E$2)^2))</f>
        <v/>
      </c>
      <c r="L154">
        <f>IF(G154="","",IF(VLOOKUP(C154,Recipes!$A$2:$N$4,5,FALSE())=0,-1E+300,-0.5*((J154-Components!$D$3)/Components!$E$3)^2))</f>
        <v/>
      </c>
      <c r="M154">
        <f>IF(G154="","",IF(VLOOKUP(C154,Recipes!$A$2:$N$4,6,FALSE())=0,-1E+300,-0.5*((J154-Components!$D$4)/Components!$E$4)^2))</f>
        <v/>
      </c>
      <c r="N154">
        <f>IF(G154="","",IF(VLOOKUP(C154,Recipes!$A$2:$N$4,7,FALSE())=0,-1E+300,-0.5*((J154-Components!$D$5)/Components!$E$5)^2))</f>
        <v/>
      </c>
      <c r="O154">
        <f>IF(G154="","",IF(VLOOKUP(C154,Recipes!$A$2:$N$4,8,FALSE())=0,-1E+300,-0.5*((J154-Components!$D$6)/Components!$E$6)^2))</f>
        <v/>
      </c>
      <c r="P154">
        <f>IF(G154="","",IF(VLOOKUP(C154,Recipes!$A$2:$N$4,9,FALSE())=0,-1E+300,-0.5*((J154-Components!$D$7)/Components!$E$7)^2))</f>
        <v/>
      </c>
      <c r="Q154">
        <f>IF(G154="","",EXP(LARGE(K154:P154,1)-MAX(K154:P154))/(EXP(K154-MAX(K154:P154))+EXP(L154-MAX(K154:P154))+EXP(M154-MAX(K154:P154))+EXP(N154-MAX(K154:P154))+EXP(O154-MAX(K154:P154))+EXP(P154-MAX(K154:P154))))</f>
        <v/>
      </c>
      <c r="R154">
        <f>IF(G154="","",EXP(LARGE(K154:P154,2)-MAX(K154:P154))/(EXP(K154-MAX(K154:P154))+EXP(L154-MAX(K154:P154))+EXP(M154-MAX(K154:P154))+EXP(N154-MAX(K154:P154))+EXP(O154-MAX(K154:P154))+EXP(P154-MAX(K154:P154))))</f>
        <v/>
      </c>
      <c r="S154">
        <f>IF(G154="","",Q154-R154)</f>
        <v/>
      </c>
      <c r="T154">
        <f>IF(G154="","",IF(ABS(G154-H154)&lt;=$B$6*I154,"OK","NG"))</f>
        <v/>
      </c>
      <c r="U154">
        <f>IF(T154="","",IF(T154=D154,1,0))</f>
        <v/>
      </c>
      <c r="V154">
        <f>IF(G154="","",IF(T154="OK","NONE",INDEX({"S1","S2","W1","W2","N1","N2"},MATCH(MAX(K154:P154),K154:P154,0))))</f>
        <v/>
      </c>
      <c r="W154">
        <f>IF(G154="","",IF(V154=E154,1,0))</f>
        <v/>
      </c>
      <c r="X154">
        <f>IF(G154="","",IF(AND(T154="NG",S154&lt;$B$7),"AMBIGUOUS","CONFIDENT"))</f>
        <v/>
      </c>
    </row>
    <row r="155">
      <c r="A155">
        <f>'Runs Z score'!A148</f>
        <v/>
      </c>
      <c r="B155">
        <f>'Runs Z score'!B148</f>
        <v/>
      </c>
      <c r="C155">
        <f>'Runs Z score'!C148</f>
        <v/>
      </c>
      <c r="D155">
        <f>'Runs Z score'!D148</f>
        <v/>
      </c>
      <c r="E155">
        <f>'Runs Z score'!E148</f>
        <v/>
      </c>
      <c r="F155">
        <f>'Runs Z score'!F148</f>
        <v/>
      </c>
      <c r="G155">
        <f>'Runs Z score'!G148</f>
        <v/>
      </c>
      <c r="H155">
        <f>VLOOKUP(C155,Recipes!$A$2:$N$4,10,FALSE())</f>
        <v/>
      </c>
      <c r="I155">
        <f>VLOOKUP(C155,Recipes!$A$2:$N$4,12,FALSE())</f>
        <v/>
      </c>
      <c r="J155">
        <f>IF(G155="","",H155-G155)</f>
        <v/>
      </c>
      <c r="K155">
        <f>IF(G155="","",IF(VLOOKUP(C155,Recipes!$A$2:$N$4,4,FALSE())=0,-1E+300,-0.5*((J155-Components!$D$2)/Components!$E$2)^2))</f>
        <v/>
      </c>
      <c r="L155">
        <f>IF(G155="","",IF(VLOOKUP(C155,Recipes!$A$2:$N$4,5,FALSE())=0,-1E+300,-0.5*((J155-Components!$D$3)/Components!$E$3)^2))</f>
        <v/>
      </c>
      <c r="M155">
        <f>IF(G155="","",IF(VLOOKUP(C155,Recipes!$A$2:$N$4,6,FALSE())=0,-1E+300,-0.5*((J155-Components!$D$4)/Components!$E$4)^2))</f>
        <v/>
      </c>
      <c r="N155">
        <f>IF(G155="","",IF(VLOOKUP(C155,Recipes!$A$2:$N$4,7,FALSE())=0,-1E+300,-0.5*((J155-Components!$D$5)/Components!$E$5)^2))</f>
        <v/>
      </c>
      <c r="O155">
        <f>IF(G155="","",IF(VLOOKUP(C155,Recipes!$A$2:$N$4,8,FALSE())=0,-1E+300,-0.5*((J155-Components!$D$6)/Components!$E$6)^2))</f>
        <v/>
      </c>
      <c r="P155">
        <f>IF(G155="","",IF(VLOOKUP(C155,Recipes!$A$2:$N$4,9,FALSE())=0,-1E+300,-0.5*((J155-Components!$D$7)/Components!$E$7)^2))</f>
        <v/>
      </c>
      <c r="Q155">
        <f>IF(G155="","",EXP(LARGE(K155:P155,1)-MAX(K155:P155))/(EXP(K155-MAX(K155:P155))+EXP(L155-MAX(K155:P155))+EXP(M155-MAX(K155:P155))+EXP(N155-MAX(K155:P155))+EXP(O155-MAX(K155:P155))+EXP(P155-MAX(K155:P155))))</f>
        <v/>
      </c>
      <c r="R155">
        <f>IF(G155="","",EXP(LARGE(K155:P155,2)-MAX(K155:P155))/(EXP(K155-MAX(K155:P155))+EXP(L155-MAX(K155:P155))+EXP(M155-MAX(K155:P155))+EXP(N155-MAX(K155:P155))+EXP(O155-MAX(K155:P155))+EXP(P155-MAX(K155:P155))))</f>
        <v/>
      </c>
      <c r="S155">
        <f>IF(G155="","",Q155-R155)</f>
        <v/>
      </c>
      <c r="T155">
        <f>IF(G155="","",IF(ABS(G155-H155)&lt;=$B$6*I155,"OK","NG"))</f>
        <v/>
      </c>
      <c r="U155">
        <f>IF(T155="","",IF(T155=D155,1,0))</f>
        <v/>
      </c>
      <c r="V155">
        <f>IF(G155="","",IF(T155="OK","NONE",INDEX({"S1","S2","W1","W2","N1","N2"},MATCH(MAX(K155:P155),K155:P155,0))))</f>
        <v/>
      </c>
      <c r="W155">
        <f>IF(G155="","",IF(V155=E155,1,0))</f>
        <v/>
      </c>
      <c r="X155">
        <f>IF(G155="","",IF(AND(T155="NG",S155&lt;$B$7),"AMBIGUOUS","CONFIDENT"))</f>
        <v/>
      </c>
    </row>
    <row r="156">
      <c r="A156">
        <f>'Runs Z score'!A149</f>
        <v/>
      </c>
      <c r="B156">
        <f>'Runs Z score'!B149</f>
        <v/>
      </c>
      <c r="C156">
        <f>'Runs Z score'!C149</f>
        <v/>
      </c>
      <c r="D156">
        <f>'Runs Z score'!D149</f>
        <v/>
      </c>
      <c r="E156">
        <f>'Runs Z score'!E149</f>
        <v/>
      </c>
      <c r="F156">
        <f>'Runs Z score'!F149</f>
        <v/>
      </c>
      <c r="G156">
        <f>'Runs Z score'!G149</f>
        <v/>
      </c>
      <c r="H156">
        <f>VLOOKUP(C156,Recipes!$A$2:$N$4,10,FALSE())</f>
        <v/>
      </c>
      <c r="I156">
        <f>VLOOKUP(C156,Recipes!$A$2:$N$4,12,FALSE())</f>
        <v/>
      </c>
      <c r="J156">
        <f>IF(G156="","",H156-G156)</f>
        <v/>
      </c>
      <c r="K156">
        <f>IF(G156="","",IF(VLOOKUP(C156,Recipes!$A$2:$N$4,4,FALSE())=0,-1E+300,-0.5*((J156-Components!$D$2)/Components!$E$2)^2))</f>
        <v/>
      </c>
      <c r="L156">
        <f>IF(G156="","",IF(VLOOKUP(C156,Recipes!$A$2:$N$4,5,FALSE())=0,-1E+300,-0.5*((J156-Components!$D$3)/Components!$E$3)^2))</f>
        <v/>
      </c>
      <c r="M156">
        <f>IF(G156="","",IF(VLOOKUP(C156,Recipes!$A$2:$N$4,6,FALSE())=0,-1E+300,-0.5*((J156-Components!$D$4)/Components!$E$4)^2))</f>
        <v/>
      </c>
      <c r="N156">
        <f>IF(G156="","",IF(VLOOKUP(C156,Recipes!$A$2:$N$4,7,FALSE())=0,-1E+300,-0.5*((J156-Components!$D$5)/Components!$E$5)^2))</f>
        <v/>
      </c>
      <c r="O156">
        <f>IF(G156="","",IF(VLOOKUP(C156,Recipes!$A$2:$N$4,8,FALSE())=0,-1E+300,-0.5*((J156-Components!$D$6)/Components!$E$6)^2))</f>
        <v/>
      </c>
      <c r="P156">
        <f>IF(G156="","",IF(VLOOKUP(C156,Recipes!$A$2:$N$4,9,FALSE())=0,-1E+300,-0.5*((J156-Components!$D$7)/Components!$E$7)^2))</f>
        <v/>
      </c>
      <c r="Q156">
        <f>IF(G156="","",EXP(LARGE(K156:P156,1)-MAX(K156:P156))/(EXP(K156-MAX(K156:P156))+EXP(L156-MAX(K156:P156))+EXP(M156-MAX(K156:P156))+EXP(N156-MAX(K156:P156))+EXP(O156-MAX(K156:P156))+EXP(P156-MAX(K156:P156))))</f>
        <v/>
      </c>
      <c r="R156">
        <f>IF(G156="","",EXP(LARGE(K156:P156,2)-MAX(K156:P156))/(EXP(K156-MAX(K156:P156))+EXP(L156-MAX(K156:P156))+EXP(M156-MAX(K156:P156))+EXP(N156-MAX(K156:P156))+EXP(O156-MAX(K156:P156))+EXP(P156-MAX(K156:P156))))</f>
        <v/>
      </c>
      <c r="S156">
        <f>IF(G156="","",Q156-R156)</f>
        <v/>
      </c>
      <c r="T156">
        <f>IF(G156="","",IF(ABS(G156-H156)&lt;=$B$6*I156,"OK","NG"))</f>
        <v/>
      </c>
      <c r="U156">
        <f>IF(T156="","",IF(T156=D156,1,0))</f>
        <v/>
      </c>
      <c r="V156">
        <f>IF(G156="","",IF(T156="OK","NONE",INDEX({"S1","S2","W1","W2","N1","N2"},MATCH(MAX(K156:P156),K156:P156,0))))</f>
        <v/>
      </c>
      <c r="W156">
        <f>IF(G156="","",IF(V156=E156,1,0))</f>
        <v/>
      </c>
      <c r="X156">
        <f>IF(G156="","",IF(AND(T156="NG",S156&lt;$B$7),"AMBIGUOUS","CONFIDENT"))</f>
        <v/>
      </c>
    </row>
    <row r="157">
      <c r="A157">
        <f>'Runs Z score'!A150</f>
        <v/>
      </c>
      <c r="B157">
        <f>'Runs Z score'!B150</f>
        <v/>
      </c>
      <c r="C157">
        <f>'Runs Z score'!C150</f>
        <v/>
      </c>
      <c r="D157">
        <f>'Runs Z score'!D150</f>
        <v/>
      </c>
      <c r="E157">
        <f>'Runs Z score'!E150</f>
        <v/>
      </c>
      <c r="F157">
        <f>'Runs Z score'!F150</f>
        <v/>
      </c>
      <c r="G157">
        <f>'Runs Z score'!G150</f>
        <v/>
      </c>
      <c r="H157">
        <f>VLOOKUP(C157,Recipes!$A$2:$N$4,10,FALSE())</f>
        <v/>
      </c>
      <c r="I157">
        <f>VLOOKUP(C157,Recipes!$A$2:$N$4,12,FALSE())</f>
        <v/>
      </c>
      <c r="J157">
        <f>IF(G157="","",H157-G157)</f>
        <v/>
      </c>
      <c r="K157">
        <f>IF(G157="","",IF(VLOOKUP(C157,Recipes!$A$2:$N$4,4,FALSE())=0,-1E+300,-0.5*((J157-Components!$D$2)/Components!$E$2)^2))</f>
        <v/>
      </c>
      <c r="L157">
        <f>IF(G157="","",IF(VLOOKUP(C157,Recipes!$A$2:$N$4,5,FALSE())=0,-1E+300,-0.5*((J157-Components!$D$3)/Components!$E$3)^2))</f>
        <v/>
      </c>
      <c r="M157">
        <f>IF(G157="","",IF(VLOOKUP(C157,Recipes!$A$2:$N$4,6,FALSE())=0,-1E+300,-0.5*((J157-Components!$D$4)/Components!$E$4)^2))</f>
        <v/>
      </c>
      <c r="N157">
        <f>IF(G157="","",IF(VLOOKUP(C157,Recipes!$A$2:$N$4,7,FALSE())=0,-1E+300,-0.5*((J157-Components!$D$5)/Components!$E$5)^2))</f>
        <v/>
      </c>
      <c r="O157">
        <f>IF(G157="","",IF(VLOOKUP(C157,Recipes!$A$2:$N$4,8,FALSE())=0,-1E+300,-0.5*((J157-Components!$D$6)/Components!$E$6)^2))</f>
        <v/>
      </c>
      <c r="P157">
        <f>IF(G157="","",IF(VLOOKUP(C157,Recipes!$A$2:$N$4,9,FALSE())=0,-1E+300,-0.5*((J157-Components!$D$7)/Components!$E$7)^2))</f>
        <v/>
      </c>
      <c r="Q157">
        <f>IF(G157="","",EXP(LARGE(K157:P157,1)-MAX(K157:P157))/(EXP(K157-MAX(K157:P157))+EXP(L157-MAX(K157:P157))+EXP(M157-MAX(K157:P157))+EXP(N157-MAX(K157:P157))+EXP(O157-MAX(K157:P157))+EXP(P157-MAX(K157:P157))))</f>
        <v/>
      </c>
      <c r="R157">
        <f>IF(G157="","",EXP(LARGE(K157:P157,2)-MAX(K157:P157))/(EXP(K157-MAX(K157:P157))+EXP(L157-MAX(K157:P157))+EXP(M157-MAX(K157:P157))+EXP(N157-MAX(K157:P157))+EXP(O157-MAX(K157:P157))+EXP(P157-MAX(K157:P157))))</f>
        <v/>
      </c>
      <c r="S157">
        <f>IF(G157="","",Q157-R157)</f>
        <v/>
      </c>
      <c r="T157">
        <f>IF(G157="","",IF(ABS(G157-H157)&lt;=$B$6*I157,"OK","NG"))</f>
        <v/>
      </c>
      <c r="U157">
        <f>IF(T157="","",IF(T157=D157,1,0))</f>
        <v/>
      </c>
      <c r="V157">
        <f>IF(G157="","",IF(T157="OK","NONE",INDEX({"S1","S2","W1","W2","N1","N2"},MATCH(MAX(K157:P157),K157:P157,0))))</f>
        <v/>
      </c>
      <c r="W157">
        <f>IF(G157="","",IF(V157=E157,1,0))</f>
        <v/>
      </c>
      <c r="X157">
        <f>IF(G157="","",IF(AND(T157="NG",S157&lt;$B$7),"AMBIGUOUS","CONFIDENT"))</f>
        <v/>
      </c>
    </row>
    <row r="158">
      <c r="A158">
        <f>'Runs Z score'!A151</f>
        <v/>
      </c>
      <c r="B158">
        <f>'Runs Z score'!B151</f>
        <v/>
      </c>
      <c r="C158">
        <f>'Runs Z score'!C151</f>
        <v/>
      </c>
      <c r="D158">
        <f>'Runs Z score'!D151</f>
        <v/>
      </c>
      <c r="E158">
        <f>'Runs Z score'!E151</f>
        <v/>
      </c>
      <c r="F158">
        <f>'Runs Z score'!F151</f>
        <v/>
      </c>
      <c r="G158">
        <f>'Runs Z score'!G151</f>
        <v/>
      </c>
      <c r="H158">
        <f>VLOOKUP(C158,Recipes!$A$2:$N$4,10,FALSE())</f>
        <v/>
      </c>
      <c r="I158">
        <f>VLOOKUP(C158,Recipes!$A$2:$N$4,12,FALSE())</f>
        <v/>
      </c>
      <c r="J158">
        <f>IF(G158="","",H158-G158)</f>
        <v/>
      </c>
      <c r="K158">
        <f>IF(G158="","",IF(VLOOKUP(C158,Recipes!$A$2:$N$4,4,FALSE())=0,-1E+300,-0.5*((J158-Components!$D$2)/Components!$E$2)^2))</f>
        <v/>
      </c>
      <c r="L158">
        <f>IF(G158="","",IF(VLOOKUP(C158,Recipes!$A$2:$N$4,5,FALSE())=0,-1E+300,-0.5*((J158-Components!$D$3)/Components!$E$3)^2))</f>
        <v/>
      </c>
      <c r="M158">
        <f>IF(G158="","",IF(VLOOKUP(C158,Recipes!$A$2:$N$4,6,FALSE())=0,-1E+300,-0.5*((J158-Components!$D$4)/Components!$E$4)^2))</f>
        <v/>
      </c>
      <c r="N158">
        <f>IF(G158="","",IF(VLOOKUP(C158,Recipes!$A$2:$N$4,7,FALSE())=0,-1E+300,-0.5*((J158-Components!$D$5)/Components!$E$5)^2))</f>
        <v/>
      </c>
      <c r="O158">
        <f>IF(G158="","",IF(VLOOKUP(C158,Recipes!$A$2:$N$4,8,FALSE())=0,-1E+300,-0.5*((J158-Components!$D$6)/Components!$E$6)^2))</f>
        <v/>
      </c>
      <c r="P158">
        <f>IF(G158="","",IF(VLOOKUP(C158,Recipes!$A$2:$N$4,9,FALSE())=0,-1E+300,-0.5*((J158-Components!$D$7)/Components!$E$7)^2))</f>
        <v/>
      </c>
      <c r="Q158">
        <f>IF(G158="","",EXP(LARGE(K158:P158,1)-MAX(K158:P158))/(EXP(K158-MAX(K158:P158))+EXP(L158-MAX(K158:P158))+EXP(M158-MAX(K158:P158))+EXP(N158-MAX(K158:P158))+EXP(O158-MAX(K158:P158))+EXP(P158-MAX(K158:P158))))</f>
        <v/>
      </c>
      <c r="R158">
        <f>IF(G158="","",EXP(LARGE(K158:P158,2)-MAX(K158:P158))/(EXP(K158-MAX(K158:P158))+EXP(L158-MAX(K158:P158))+EXP(M158-MAX(K158:P158))+EXP(N158-MAX(K158:P158))+EXP(O158-MAX(K158:P158))+EXP(P158-MAX(K158:P158))))</f>
        <v/>
      </c>
      <c r="S158">
        <f>IF(G158="","",Q158-R158)</f>
        <v/>
      </c>
      <c r="T158">
        <f>IF(G158="","",IF(ABS(G158-H158)&lt;=$B$6*I158,"OK","NG"))</f>
        <v/>
      </c>
      <c r="U158">
        <f>IF(T158="","",IF(T158=D158,1,0))</f>
        <v/>
      </c>
      <c r="V158">
        <f>IF(G158="","",IF(T158="OK","NONE",INDEX({"S1","S2","W1","W2","N1","N2"},MATCH(MAX(K158:P158),K158:P158,0))))</f>
        <v/>
      </c>
      <c r="W158">
        <f>IF(G158="","",IF(V158=E158,1,0))</f>
        <v/>
      </c>
      <c r="X158">
        <f>IF(G158="","",IF(AND(T158="NG",S158&lt;$B$7),"AMBIGUOUS","CONFIDENT"))</f>
        <v/>
      </c>
    </row>
    <row r="159">
      <c r="A159">
        <f>'Runs Z score'!A152</f>
        <v/>
      </c>
      <c r="B159">
        <f>'Runs Z score'!B152</f>
        <v/>
      </c>
      <c r="C159">
        <f>'Runs Z score'!C152</f>
        <v/>
      </c>
      <c r="D159">
        <f>'Runs Z score'!D152</f>
        <v/>
      </c>
      <c r="E159">
        <f>'Runs Z score'!E152</f>
        <v/>
      </c>
      <c r="F159">
        <f>'Runs Z score'!F152</f>
        <v/>
      </c>
      <c r="G159">
        <f>'Runs Z score'!G152</f>
        <v/>
      </c>
      <c r="H159">
        <f>VLOOKUP(C159,Recipes!$A$2:$N$4,10,FALSE())</f>
        <v/>
      </c>
      <c r="I159">
        <f>VLOOKUP(C159,Recipes!$A$2:$N$4,12,FALSE())</f>
        <v/>
      </c>
      <c r="J159">
        <f>IF(G159="","",H159-G159)</f>
        <v/>
      </c>
      <c r="K159">
        <f>IF(G159="","",IF(VLOOKUP(C159,Recipes!$A$2:$N$4,4,FALSE())=0,-1E+300,-0.5*((J159-Components!$D$2)/Components!$E$2)^2))</f>
        <v/>
      </c>
      <c r="L159">
        <f>IF(G159="","",IF(VLOOKUP(C159,Recipes!$A$2:$N$4,5,FALSE())=0,-1E+300,-0.5*((J159-Components!$D$3)/Components!$E$3)^2))</f>
        <v/>
      </c>
      <c r="M159">
        <f>IF(G159="","",IF(VLOOKUP(C159,Recipes!$A$2:$N$4,6,FALSE())=0,-1E+300,-0.5*((J159-Components!$D$4)/Components!$E$4)^2))</f>
        <v/>
      </c>
      <c r="N159">
        <f>IF(G159="","",IF(VLOOKUP(C159,Recipes!$A$2:$N$4,7,FALSE())=0,-1E+300,-0.5*((J159-Components!$D$5)/Components!$E$5)^2))</f>
        <v/>
      </c>
      <c r="O159">
        <f>IF(G159="","",IF(VLOOKUP(C159,Recipes!$A$2:$N$4,8,FALSE())=0,-1E+300,-0.5*((J159-Components!$D$6)/Components!$E$6)^2))</f>
        <v/>
      </c>
      <c r="P159">
        <f>IF(G159="","",IF(VLOOKUP(C159,Recipes!$A$2:$N$4,9,FALSE())=0,-1E+300,-0.5*((J159-Components!$D$7)/Components!$E$7)^2))</f>
        <v/>
      </c>
      <c r="Q159">
        <f>IF(G159="","",EXP(LARGE(K159:P159,1)-MAX(K159:P159))/(EXP(K159-MAX(K159:P159))+EXP(L159-MAX(K159:P159))+EXP(M159-MAX(K159:P159))+EXP(N159-MAX(K159:P159))+EXP(O159-MAX(K159:P159))+EXP(P159-MAX(K159:P159))))</f>
        <v/>
      </c>
      <c r="R159">
        <f>IF(G159="","",EXP(LARGE(K159:P159,2)-MAX(K159:P159))/(EXP(K159-MAX(K159:P159))+EXP(L159-MAX(K159:P159))+EXP(M159-MAX(K159:P159))+EXP(N159-MAX(K159:P159))+EXP(O159-MAX(K159:P159))+EXP(P159-MAX(K159:P159))))</f>
        <v/>
      </c>
      <c r="S159">
        <f>IF(G159="","",Q159-R159)</f>
        <v/>
      </c>
      <c r="T159">
        <f>IF(G159="","",IF(ABS(G159-H159)&lt;=$B$6*I159,"OK","NG"))</f>
        <v/>
      </c>
      <c r="U159">
        <f>IF(T159="","",IF(T159=D159,1,0))</f>
        <v/>
      </c>
      <c r="V159">
        <f>IF(G159="","",IF(T159="OK","NONE",INDEX({"S1","S2","W1","W2","N1","N2"},MATCH(MAX(K159:P159),K159:P159,0))))</f>
        <v/>
      </c>
      <c r="W159">
        <f>IF(G159="","",IF(V159=E159,1,0))</f>
        <v/>
      </c>
      <c r="X159">
        <f>IF(G159="","",IF(AND(T159="NG",S159&lt;$B$7),"AMBIGUOUS","CONFIDENT"))</f>
        <v/>
      </c>
    </row>
    <row r="160">
      <c r="A160">
        <f>'Runs Z score'!A153</f>
        <v/>
      </c>
      <c r="B160">
        <f>'Runs Z score'!B153</f>
        <v/>
      </c>
      <c r="C160">
        <f>'Runs Z score'!C153</f>
        <v/>
      </c>
      <c r="D160">
        <f>'Runs Z score'!D153</f>
        <v/>
      </c>
      <c r="E160">
        <f>'Runs Z score'!E153</f>
        <v/>
      </c>
      <c r="F160">
        <f>'Runs Z score'!F153</f>
        <v/>
      </c>
      <c r="G160">
        <f>'Runs Z score'!G153</f>
        <v/>
      </c>
      <c r="H160">
        <f>VLOOKUP(C160,Recipes!$A$2:$N$4,10,FALSE())</f>
        <v/>
      </c>
      <c r="I160">
        <f>VLOOKUP(C160,Recipes!$A$2:$N$4,12,FALSE())</f>
        <v/>
      </c>
      <c r="J160">
        <f>IF(G160="","",H160-G160)</f>
        <v/>
      </c>
      <c r="K160">
        <f>IF(G160="","",IF(VLOOKUP(C160,Recipes!$A$2:$N$4,4,FALSE())=0,-1E+300,-0.5*((J160-Components!$D$2)/Components!$E$2)^2))</f>
        <v/>
      </c>
      <c r="L160">
        <f>IF(G160="","",IF(VLOOKUP(C160,Recipes!$A$2:$N$4,5,FALSE())=0,-1E+300,-0.5*((J160-Components!$D$3)/Components!$E$3)^2))</f>
        <v/>
      </c>
      <c r="M160">
        <f>IF(G160="","",IF(VLOOKUP(C160,Recipes!$A$2:$N$4,6,FALSE())=0,-1E+300,-0.5*((J160-Components!$D$4)/Components!$E$4)^2))</f>
        <v/>
      </c>
      <c r="N160">
        <f>IF(G160="","",IF(VLOOKUP(C160,Recipes!$A$2:$N$4,7,FALSE())=0,-1E+300,-0.5*((J160-Components!$D$5)/Components!$E$5)^2))</f>
        <v/>
      </c>
      <c r="O160">
        <f>IF(G160="","",IF(VLOOKUP(C160,Recipes!$A$2:$N$4,8,FALSE())=0,-1E+300,-0.5*((J160-Components!$D$6)/Components!$E$6)^2))</f>
        <v/>
      </c>
      <c r="P160">
        <f>IF(G160="","",IF(VLOOKUP(C160,Recipes!$A$2:$N$4,9,FALSE())=0,-1E+300,-0.5*((J160-Components!$D$7)/Components!$E$7)^2))</f>
        <v/>
      </c>
      <c r="Q160">
        <f>IF(G160="","",EXP(LARGE(K160:P160,1)-MAX(K160:P160))/(EXP(K160-MAX(K160:P160))+EXP(L160-MAX(K160:P160))+EXP(M160-MAX(K160:P160))+EXP(N160-MAX(K160:P160))+EXP(O160-MAX(K160:P160))+EXP(P160-MAX(K160:P160))))</f>
        <v/>
      </c>
      <c r="R160">
        <f>IF(G160="","",EXP(LARGE(K160:P160,2)-MAX(K160:P160))/(EXP(K160-MAX(K160:P160))+EXP(L160-MAX(K160:P160))+EXP(M160-MAX(K160:P160))+EXP(N160-MAX(K160:P160))+EXP(O160-MAX(K160:P160))+EXP(P160-MAX(K160:P160))))</f>
        <v/>
      </c>
      <c r="S160">
        <f>IF(G160="","",Q160-R160)</f>
        <v/>
      </c>
      <c r="T160">
        <f>IF(G160="","",IF(ABS(G160-H160)&lt;=$B$6*I160,"OK","NG"))</f>
        <v/>
      </c>
      <c r="U160">
        <f>IF(T160="","",IF(T160=D160,1,0))</f>
        <v/>
      </c>
      <c r="V160">
        <f>IF(G160="","",IF(T160="OK","NONE",INDEX({"S1","S2","W1","W2","N1","N2"},MATCH(MAX(K160:P160),K160:P160,0))))</f>
        <v/>
      </c>
      <c r="W160">
        <f>IF(G160="","",IF(V160=E160,1,0))</f>
        <v/>
      </c>
      <c r="X160">
        <f>IF(G160="","",IF(AND(T160="NG",S160&lt;$B$7),"AMBIGUOUS","CONFIDENT"))</f>
        <v/>
      </c>
    </row>
    <row r="161">
      <c r="A161">
        <f>'Runs Z score'!A154</f>
        <v/>
      </c>
      <c r="B161">
        <f>'Runs Z score'!B154</f>
        <v/>
      </c>
      <c r="C161">
        <f>'Runs Z score'!C154</f>
        <v/>
      </c>
      <c r="D161">
        <f>'Runs Z score'!D154</f>
        <v/>
      </c>
      <c r="E161">
        <f>'Runs Z score'!E154</f>
        <v/>
      </c>
      <c r="F161">
        <f>'Runs Z score'!F154</f>
        <v/>
      </c>
      <c r="G161">
        <f>'Runs Z score'!G154</f>
        <v/>
      </c>
      <c r="H161">
        <f>VLOOKUP(C161,Recipes!$A$2:$N$4,10,FALSE())</f>
        <v/>
      </c>
      <c r="I161">
        <f>VLOOKUP(C161,Recipes!$A$2:$N$4,12,FALSE())</f>
        <v/>
      </c>
      <c r="J161">
        <f>IF(G161="","",H161-G161)</f>
        <v/>
      </c>
      <c r="K161">
        <f>IF(G161="","",IF(VLOOKUP(C161,Recipes!$A$2:$N$4,4,FALSE())=0,-1E+300,-0.5*((J161-Components!$D$2)/Components!$E$2)^2))</f>
        <v/>
      </c>
      <c r="L161">
        <f>IF(G161="","",IF(VLOOKUP(C161,Recipes!$A$2:$N$4,5,FALSE())=0,-1E+300,-0.5*((J161-Components!$D$3)/Components!$E$3)^2))</f>
        <v/>
      </c>
      <c r="M161">
        <f>IF(G161="","",IF(VLOOKUP(C161,Recipes!$A$2:$N$4,6,FALSE())=0,-1E+300,-0.5*((J161-Components!$D$4)/Components!$E$4)^2))</f>
        <v/>
      </c>
      <c r="N161">
        <f>IF(G161="","",IF(VLOOKUP(C161,Recipes!$A$2:$N$4,7,FALSE())=0,-1E+300,-0.5*((J161-Components!$D$5)/Components!$E$5)^2))</f>
        <v/>
      </c>
      <c r="O161">
        <f>IF(G161="","",IF(VLOOKUP(C161,Recipes!$A$2:$N$4,8,FALSE())=0,-1E+300,-0.5*((J161-Components!$D$6)/Components!$E$6)^2))</f>
        <v/>
      </c>
      <c r="P161">
        <f>IF(G161="","",IF(VLOOKUP(C161,Recipes!$A$2:$N$4,9,FALSE())=0,-1E+300,-0.5*((J161-Components!$D$7)/Components!$E$7)^2))</f>
        <v/>
      </c>
      <c r="Q161">
        <f>IF(G161="","",EXP(LARGE(K161:P161,1)-MAX(K161:P161))/(EXP(K161-MAX(K161:P161))+EXP(L161-MAX(K161:P161))+EXP(M161-MAX(K161:P161))+EXP(N161-MAX(K161:P161))+EXP(O161-MAX(K161:P161))+EXP(P161-MAX(K161:P161))))</f>
        <v/>
      </c>
      <c r="R161">
        <f>IF(G161="","",EXP(LARGE(K161:P161,2)-MAX(K161:P161))/(EXP(K161-MAX(K161:P161))+EXP(L161-MAX(K161:P161))+EXP(M161-MAX(K161:P161))+EXP(N161-MAX(K161:P161))+EXP(O161-MAX(K161:P161))+EXP(P161-MAX(K161:P161))))</f>
        <v/>
      </c>
      <c r="S161">
        <f>IF(G161="","",Q161-R161)</f>
        <v/>
      </c>
      <c r="T161">
        <f>IF(G161="","",IF(ABS(G161-H161)&lt;=$B$6*I161,"OK","NG"))</f>
        <v/>
      </c>
      <c r="U161">
        <f>IF(T161="","",IF(T161=D161,1,0))</f>
        <v/>
      </c>
      <c r="V161">
        <f>IF(G161="","",IF(T161="OK","NONE",INDEX({"S1","S2","W1","W2","N1","N2"},MATCH(MAX(K161:P161),K161:P161,0))))</f>
        <v/>
      </c>
      <c r="W161">
        <f>IF(G161="","",IF(V161=E161,1,0))</f>
        <v/>
      </c>
      <c r="X161">
        <f>IF(G161="","",IF(AND(T161="NG",S161&lt;$B$7),"AMBIGUOUS","CONFIDENT"))</f>
        <v/>
      </c>
    </row>
    <row r="162">
      <c r="A162">
        <f>'Runs Z score'!A155</f>
        <v/>
      </c>
      <c r="B162">
        <f>'Runs Z score'!B155</f>
        <v/>
      </c>
      <c r="C162">
        <f>'Runs Z score'!C155</f>
        <v/>
      </c>
      <c r="D162">
        <f>'Runs Z score'!D155</f>
        <v/>
      </c>
      <c r="E162">
        <f>'Runs Z score'!E155</f>
        <v/>
      </c>
      <c r="F162">
        <f>'Runs Z score'!F155</f>
        <v/>
      </c>
      <c r="G162">
        <f>'Runs Z score'!G155</f>
        <v/>
      </c>
      <c r="H162">
        <f>VLOOKUP(C162,Recipes!$A$2:$N$4,10,FALSE())</f>
        <v/>
      </c>
      <c r="I162">
        <f>VLOOKUP(C162,Recipes!$A$2:$N$4,12,FALSE())</f>
        <v/>
      </c>
      <c r="J162">
        <f>IF(G162="","",H162-G162)</f>
        <v/>
      </c>
      <c r="K162">
        <f>IF(G162="","",IF(VLOOKUP(C162,Recipes!$A$2:$N$4,4,FALSE())=0,-1E+300,-0.5*((J162-Components!$D$2)/Components!$E$2)^2))</f>
        <v/>
      </c>
      <c r="L162">
        <f>IF(G162="","",IF(VLOOKUP(C162,Recipes!$A$2:$N$4,5,FALSE())=0,-1E+300,-0.5*((J162-Components!$D$3)/Components!$E$3)^2))</f>
        <v/>
      </c>
      <c r="M162">
        <f>IF(G162="","",IF(VLOOKUP(C162,Recipes!$A$2:$N$4,6,FALSE())=0,-1E+300,-0.5*((J162-Components!$D$4)/Components!$E$4)^2))</f>
        <v/>
      </c>
      <c r="N162">
        <f>IF(G162="","",IF(VLOOKUP(C162,Recipes!$A$2:$N$4,7,FALSE())=0,-1E+300,-0.5*((J162-Components!$D$5)/Components!$E$5)^2))</f>
        <v/>
      </c>
      <c r="O162">
        <f>IF(G162="","",IF(VLOOKUP(C162,Recipes!$A$2:$N$4,8,FALSE())=0,-1E+300,-0.5*((J162-Components!$D$6)/Components!$E$6)^2))</f>
        <v/>
      </c>
      <c r="P162">
        <f>IF(G162="","",IF(VLOOKUP(C162,Recipes!$A$2:$N$4,9,FALSE())=0,-1E+300,-0.5*((J162-Components!$D$7)/Components!$E$7)^2))</f>
        <v/>
      </c>
      <c r="Q162">
        <f>IF(G162="","",EXP(LARGE(K162:P162,1)-MAX(K162:P162))/(EXP(K162-MAX(K162:P162))+EXP(L162-MAX(K162:P162))+EXP(M162-MAX(K162:P162))+EXP(N162-MAX(K162:P162))+EXP(O162-MAX(K162:P162))+EXP(P162-MAX(K162:P162))))</f>
        <v/>
      </c>
      <c r="R162">
        <f>IF(G162="","",EXP(LARGE(K162:P162,2)-MAX(K162:P162))/(EXP(K162-MAX(K162:P162))+EXP(L162-MAX(K162:P162))+EXP(M162-MAX(K162:P162))+EXP(N162-MAX(K162:P162))+EXP(O162-MAX(K162:P162))+EXP(P162-MAX(K162:P162))))</f>
        <v/>
      </c>
      <c r="S162">
        <f>IF(G162="","",Q162-R162)</f>
        <v/>
      </c>
      <c r="T162">
        <f>IF(G162="","",IF(ABS(G162-H162)&lt;=$B$6*I162,"OK","NG"))</f>
        <v/>
      </c>
      <c r="U162">
        <f>IF(T162="","",IF(T162=D162,1,0))</f>
        <v/>
      </c>
      <c r="V162">
        <f>IF(G162="","",IF(T162="OK","NONE",INDEX({"S1","S2","W1","W2","N1","N2"},MATCH(MAX(K162:P162),K162:P162,0))))</f>
        <v/>
      </c>
      <c r="W162">
        <f>IF(G162="","",IF(V162=E162,1,0))</f>
        <v/>
      </c>
      <c r="X162">
        <f>IF(G162="","",IF(AND(T162="NG",S162&lt;$B$7),"AMBIGUOUS","CONFIDENT"))</f>
        <v/>
      </c>
    </row>
    <row r="163">
      <c r="A163">
        <f>'Runs Z score'!A156</f>
        <v/>
      </c>
      <c r="B163">
        <f>'Runs Z score'!B156</f>
        <v/>
      </c>
      <c r="C163">
        <f>'Runs Z score'!C156</f>
        <v/>
      </c>
      <c r="D163">
        <f>'Runs Z score'!D156</f>
        <v/>
      </c>
      <c r="E163">
        <f>'Runs Z score'!E156</f>
        <v/>
      </c>
      <c r="F163">
        <f>'Runs Z score'!F156</f>
        <v/>
      </c>
      <c r="G163">
        <f>'Runs Z score'!G156</f>
        <v/>
      </c>
      <c r="H163">
        <f>VLOOKUP(C163,Recipes!$A$2:$N$4,10,FALSE())</f>
        <v/>
      </c>
      <c r="I163">
        <f>VLOOKUP(C163,Recipes!$A$2:$N$4,12,FALSE())</f>
        <v/>
      </c>
      <c r="J163">
        <f>IF(G163="","",H163-G163)</f>
        <v/>
      </c>
      <c r="K163">
        <f>IF(G163="","",IF(VLOOKUP(C163,Recipes!$A$2:$N$4,4,FALSE())=0,-1E+300,-0.5*((J163-Components!$D$2)/Components!$E$2)^2))</f>
        <v/>
      </c>
      <c r="L163">
        <f>IF(G163="","",IF(VLOOKUP(C163,Recipes!$A$2:$N$4,5,FALSE())=0,-1E+300,-0.5*((J163-Components!$D$3)/Components!$E$3)^2))</f>
        <v/>
      </c>
      <c r="M163">
        <f>IF(G163="","",IF(VLOOKUP(C163,Recipes!$A$2:$N$4,6,FALSE())=0,-1E+300,-0.5*((J163-Components!$D$4)/Components!$E$4)^2))</f>
        <v/>
      </c>
      <c r="N163">
        <f>IF(G163="","",IF(VLOOKUP(C163,Recipes!$A$2:$N$4,7,FALSE())=0,-1E+300,-0.5*((J163-Components!$D$5)/Components!$E$5)^2))</f>
        <v/>
      </c>
      <c r="O163">
        <f>IF(G163="","",IF(VLOOKUP(C163,Recipes!$A$2:$N$4,8,FALSE())=0,-1E+300,-0.5*((J163-Components!$D$6)/Components!$E$6)^2))</f>
        <v/>
      </c>
      <c r="P163">
        <f>IF(G163="","",IF(VLOOKUP(C163,Recipes!$A$2:$N$4,9,FALSE())=0,-1E+300,-0.5*((J163-Components!$D$7)/Components!$E$7)^2))</f>
        <v/>
      </c>
      <c r="Q163">
        <f>IF(G163="","",EXP(LARGE(K163:P163,1)-MAX(K163:P163))/(EXP(K163-MAX(K163:P163))+EXP(L163-MAX(K163:P163))+EXP(M163-MAX(K163:P163))+EXP(N163-MAX(K163:P163))+EXP(O163-MAX(K163:P163))+EXP(P163-MAX(K163:P163))))</f>
        <v/>
      </c>
      <c r="R163">
        <f>IF(G163="","",EXP(LARGE(K163:P163,2)-MAX(K163:P163))/(EXP(K163-MAX(K163:P163))+EXP(L163-MAX(K163:P163))+EXP(M163-MAX(K163:P163))+EXP(N163-MAX(K163:P163))+EXP(O163-MAX(K163:P163))+EXP(P163-MAX(K163:P163))))</f>
        <v/>
      </c>
      <c r="S163">
        <f>IF(G163="","",Q163-R163)</f>
        <v/>
      </c>
      <c r="T163">
        <f>IF(G163="","",IF(ABS(G163-H163)&lt;=$B$6*I163,"OK","NG"))</f>
        <v/>
      </c>
      <c r="U163">
        <f>IF(T163="","",IF(T163=D163,1,0))</f>
        <v/>
      </c>
      <c r="V163">
        <f>IF(G163="","",IF(T163="OK","NONE",INDEX({"S1","S2","W1","W2","N1","N2"},MATCH(MAX(K163:P163),K163:P163,0))))</f>
        <v/>
      </c>
      <c r="W163">
        <f>IF(G163="","",IF(V163=E163,1,0))</f>
        <v/>
      </c>
      <c r="X163">
        <f>IF(G163="","",IF(AND(T163="NG",S163&lt;$B$7),"AMBIGUOUS","CONFIDENT"))</f>
        <v/>
      </c>
    </row>
    <row r="164">
      <c r="A164">
        <f>'Runs Z score'!A157</f>
        <v/>
      </c>
      <c r="B164">
        <f>'Runs Z score'!B157</f>
        <v/>
      </c>
      <c r="C164">
        <f>'Runs Z score'!C157</f>
        <v/>
      </c>
      <c r="D164">
        <f>'Runs Z score'!D157</f>
        <v/>
      </c>
      <c r="E164">
        <f>'Runs Z score'!E157</f>
        <v/>
      </c>
      <c r="F164">
        <f>'Runs Z score'!F157</f>
        <v/>
      </c>
      <c r="G164">
        <f>'Runs Z score'!G157</f>
        <v/>
      </c>
      <c r="H164">
        <f>VLOOKUP(C164,Recipes!$A$2:$N$4,10,FALSE())</f>
        <v/>
      </c>
      <c r="I164">
        <f>VLOOKUP(C164,Recipes!$A$2:$N$4,12,FALSE())</f>
        <v/>
      </c>
      <c r="J164">
        <f>IF(G164="","",H164-G164)</f>
        <v/>
      </c>
      <c r="K164">
        <f>IF(G164="","",IF(VLOOKUP(C164,Recipes!$A$2:$N$4,4,FALSE())=0,-1E+300,-0.5*((J164-Components!$D$2)/Components!$E$2)^2))</f>
        <v/>
      </c>
      <c r="L164">
        <f>IF(G164="","",IF(VLOOKUP(C164,Recipes!$A$2:$N$4,5,FALSE())=0,-1E+300,-0.5*((J164-Components!$D$3)/Components!$E$3)^2))</f>
        <v/>
      </c>
      <c r="M164">
        <f>IF(G164="","",IF(VLOOKUP(C164,Recipes!$A$2:$N$4,6,FALSE())=0,-1E+300,-0.5*((J164-Components!$D$4)/Components!$E$4)^2))</f>
        <v/>
      </c>
      <c r="N164">
        <f>IF(G164="","",IF(VLOOKUP(C164,Recipes!$A$2:$N$4,7,FALSE())=0,-1E+300,-0.5*((J164-Components!$D$5)/Components!$E$5)^2))</f>
        <v/>
      </c>
      <c r="O164">
        <f>IF(G164="","",IF(VLOOKUP(C164,Recipes!$A$2:$N$4,8,FALSE())=0,-1E+300,-0.5*((J164-Components!$D$6)/Components!$E$6)^2))</f>
        <v/>
      </c>
      <c r="P164">
        <f>IF(G164="","",IF(VLOOKUP(C164,Recipes!$A$2:$N$4,9,FALSE())=0,-1E+300,-0.5*((J164-Components!$D$7)/Components!$E$7)^2))</f>
        <v/>
      </c>
      <c r="Q164">
        <f>IF(G164="","",EXP(LARGE(K164:P164,1)-MAX(K164:P164))/(EXP(K164-MAX(K164:P164))+EXP(L164-MAX(K164:P164))+EXP(M164-MAX(K164:P164))+EXP(N164-MAX(K164:P164))+EXP(O164-MAX(K164:P164))+EXP(P164-MAX(K164:P164))))</f>
        <v/>
      </c>
      <c r="R164">
        <f>IF(G164="","",EXP(LARGE(K164:P164,2)-MAX(K164:P164))/(EXP(K164-MAX(K164:P164))+EXP(L164-MAX(K164:P164))+EXP(M164-MAX(K164:P164))+EXP(N164-MAX(K164:P164))+EXP(O164-MAX(K164:P164))+EXP(P164-MAX(K164:P164))))</f>
        <v/>
      </c>
      <c r="S164">
        <f>IF(G164="","",Q164-R164)</f>
        <v/>
      </c>
      <c r="T164">
        <f>IF(G164="","",IF(ABS(G164-H164)&lt;=$B$6*I164,"OK","NG"))</f>
        <v/>
      </c>
      <c r="U164">
        <f>IF(T164="","",IF(T164=D164,1,0))</f>
        <v/>
      </c>
      <c r="V164">
        <f>IF(G164="","",IF(T164="OK","NONE",INDEX({"S1","S2","W1","W2","N1","N2"},MATCH(MAX(K164:P164),K164:P164,0))))</f>
        <v/>
      </c>
      <c r="W164">
        <f>IF(G164="","",IF(V164=E164,1,0))</f>
        <v/>
      </c>
      <c r="X164">
        <f>IF(G164="","",IF(AND(T164="NG",S164&lt;$B$7),"AMBIGUOUS","CONFIDENT"))</f>
        <v/>
      </c>
    </row>
    <row r="165">
      <c r="A165">
        <f>'Runs Z score'!A158</f>
        <v/>
      </c>
      <c r="B165">
        <f>'Runs Z score'!B158</f>
        <v/>
      </c>
      <c r="C165">
        <f>'Runs Z score'!C158</f>
        <v/>
      </c>
      <c r="D165">
        <f>'Runs Z score'!D158</f>
        <v/>
      </c>
      <c r="E165">
        <f>'Runs Z score'!E158</f>
        <v/>
      </c>
      <c r="F165">
        <f>'Runs Z score'!F158</f>
        <v/>
      </c>
      <c r="G165">
        <f>'Runs Z score'!G158</f>
        <v/>
      </c>
      <c r="H165">
        <f>VLOOKUP(C165,Recipes!$A$2:$N$4,10,FALSE())</f>
        <v/>
      </c>
      <c r="I165">
        <f>VLOOKUP(C165,Recipes!$A$2:$N$4,12,FALSE())</f>
        <v/>
      </c>
      <c r="J165">
        <f>IF(G165="","",H165-G165)</f>
        <v/>
      </c>
      <c r="K165">
        <f>IF(G165="","",IF(VLOOKUP(C165,Recipes!$A$2:$N$4,4,FALSE())=0,-1E+300,-0.5*((J165-Components!$D$2)/Components!$E$2)^2))</f>
        <v/>
      </c>
      <c r="L165">
        <f>IF(G165="","",IF(VLOOKUP(C165,Recipes!$A$2:$N$4,5,FALSE())=0,-1E+300,-0.5*((J165-Components!$D$3)/Components!$E$3)^2))</f>
        <v/>
      </c>
      <c r="M165">
        <f>IF(G165="","",IF(VLOOKUP(C165,Recipes!$A$2:$N$4,6,FALSE())=0,-1E+300,-0.5*((J165-Components!$D$4)/Components!$E$4)^2))</f>
        <v/>
      </c>
      <c r="N165">
        <f>IF(G165="","",IF(VLOOKUP(C165,Recipes!$A$2:$N$4,7,FALSE())=0,-1E+300,-0.5*((J165-Components!$D$5)/Components!$E$5)^2))</f>
        <v/>
      </c>
      <c r="O165">
        <f>IF(G165="","",IF(VLOOKUP(C165,Recipes!$A$2:$N$4,8,FALSE())=0,-1E+300,-0.5*((J165-Components!$D$6)/Components!$E$6)^2))</f>
        <v/>
      </c>
      <c r="P165">
        <f>IF(G165="","",IF(VLOOKUP(C165,Recipes!$A$2:$N$4,9,FALSE())=0,-1E+300,-0.5*((J165-Components!$D$7)/Components!$E$7)^2))</f>
        <v/>
      </c>
      <c r="Q165">
        <f>IF(G165="","",EXP(LARGE(K165:P165,1)-MAX(K165:P165))/(EXP(K165-MAX(K165:P165))+EXP(L165-MAX(K165:P165))+EXP(M165-MAX(K165:P165))+EXP(N165-MAX(K165:P165))+EXP(O165-MAX(K165:P165))+EXP(P165-MAX(K165:P165))))</f>
        <v/>
      </c>
      <c r="R165">
        <f>IF(G165="","",EXP(LARGE(K165:P165,2)-MAX(K165:P165))/(EXP(K165-MAX(K165:P165))+EXP(L165-MAX(K165:P165))+EXP(M165-MAX(K165:P165))+EXP(N165-MAX(K165:P165))+EXP(O165-MAX(K165:P165))+EXP(P165-MAX(K165:P165))))</f>
        <v/>
      </c>
      <c r="S165">
        <f>IF(G165="","",Q165-R165)</f>
        <v/>
      </c>
      <c r="T165">
        <f>IF(G165="","",IF(ABS(G165-H165)&lt;=$B$6*I165,"OK","NG"))</f>
        <v/>
      </c>
      <c r="U165">
        <f>IF(T165="","",IF(T165=D165,1,0))</f>
        <v/>
      </c>
      <c r="V165">
        <f>IF(G165="","",IF(T165="OK","NONE",INDEX({"S1","S2","W1","W2","N1","N2"},MATCH(MAX(K165:P165),K165:P165,0))))</f>
        <v/>
      </c>
      <c r="W165">
        <f>IF(G165="","",IF(V165=E165,1,0))</f>
        <v/>
      </c>
      <c r="X165">
        <f>IF(G165="","",IF(AND(T165="NG",S165&lt;$B$7),"AMBIGUOUS","CONFIDENT"))</f>
        <v/>
      </c>
    </row>
    <row r="166">
      <c r="A166">
        <f>'Runs Z score'!A159</f>
        <v/>
      </c>
      <c r="B166">
        <f>'Runs Z score'!B159</f>
        <v/>
      </c>
      <c r="C166">
        <f>'Runs Z score'!C159</f>
        <v/>
      </c>
      <c r="D166">
        <f>'Runs Z score'!D159</f>
        <v/>
      </c>
      <c r="E166">
        <f>'Runs Z score'!E159</f>
        <v/>
      </c>
      <c r="F166">
        <f>'Runs Z score'!F159</f>
        <v/>
      </c>
      <c r="G166">
        <f>'Runs Z score'!G159</f>
        <v/>
      </c>
      <c r="H166">
        <f>VLOOKUP(C166,Recipes!$A$2:$N$4,10,FALSE())</f>
        <v/>
      </c>
      <c r="I166">
        <f>VLOOKUP(C166,Recipes!$A$2:$N$4,12,FALSE())</f>
        <v/>
      </c>
      <c r="J166">
        <f>IF(G166="","",H166-G166)</f>
        <v/>
      </c>
      <c r="K166">
        <f>IF(G166="","",IF(VLOOKUP(C166,Recipes!$A$2:$N$4,4,FALSE())=0,-1E+300,-0.5*((J166-Components!$D$2)/Components!$E$2)^2))</f>
        <v/>
      </c>
      <c r="L166">
        <f>IF(G166="","",IF(VLOOKUP(C166,Recipes!$A$2:$N$4,5,FALSE())=0,-1E+300,-0.5*((J166-Components!$D$3)/Components!$E$3)^2))</f>
        <v/>
      </c>
      <c r="M166">
        <f>IF(G166="","",IF(VLOOKUP(C166,Recipes!$A$2:$N$4,6,FALSE())=0,-1E+300,-0.5*((J166-Components!$D$4)/Components!$E$4)^2))</f>
        <v/>
      </c>
      <c r="N166">
        <f>IF(G166="","",IF(VLOOKUP(C166,Recipes!$A$2:$N$4,7,FALSE())=0,-1E+300,-0.5*((J166-Components!$D$5)/Components!$E$5)^2))</f>
        <v/>
      </c>
      <c r="O166">
        <f>IF(G166="","",IF(VLOOKUP(C166,Recipes!$A$2:$N$4,8,FALSE())=0,-1E+300,-0.5*((J166-Components!$D$6)/Components!$E$6)^2))</f>
        <v/>
      </c>
      <c r="P166">
        <f>IF(G166="","",IF(VLOOKUP(C166,Recipes!$A$2:$N$4,9,FALSE())=0,-1E+300,-0.5*((J166-Components!$D$7)/Components!$E$7)^2))</f>
        <v/>
      </c>
      <c r="Q166">
        <f>IF(G166="","",EXP(LARGE(K166:P166,1)-MAX(K166:P166))/(EXP(K166-MAX(K166:P166))+EXP(L166-MAX(K166:P166))+EXP(M166-MAX(K166:P166))+EXP(N166-MAX(K166:P166))+EXP(O166-MAX(K166:P166))+EXP(P166-MAX(K166:P166))))</f>
        <v/>
      </c>
      <c r="R166">
        <f>IF(G166="","",EXP(LARGE(K166:P166,2)-MAX(K166:P166))/(EXP(K166-MAX(K166:P166))+EXP(L166-MAX(K166:P166))+EXP(M166-MAX(K166:P166))+EXP(N166-MAX(K166:P166))+EXP(O166-MAX(K166:P166))+EXP(P166-MAX(K166:P166))))</f>
        <v/>
      </c>
      <c r="S166">
        <f>IF(G166="","",Q166-R166)</f>
        <v/>
      </c>
      <c r="T166">
        <f>IF(G166="","",IF(ABS(G166-H166)&lt;=$B$6*I166,"OK","NG"))</f>
        <v/>
      </c>
      <c r="U166">
        <f>IF(T166="","",IF(T166=D166,1,0))</f>
        <v/>
      </c>
      <c r="V166">
        <f>IF(G166="","",IF(T166="OK","NONE",INDEX({"S1","S2","W1","W2","N1","N2"},MATCH(MAX(K166:P166),K166:P166,0))))</f>
        <v/>
      </c>
      <c r="W166">
        <f>IF(G166="","",IF(V166=E166,1,0))</f>
        <v/>
      </c>
      <c r="X166">
        <f>IF(G166="","",IF(AND(T166="NG",S166&lt;$B$7),"AMBIGUOUS","CONFIDENT"))</f>
        <v/>
      </c>
    </row>
    <row r="167">
      <c r="A167">
        <f>'Runs Z score'!A160</f>
        <v/>
      </c>
      <c r="B167">
        <f>'Runs Z score'!B160</f>
        <v/>
      </c>
      <c r="C167">
        <f>'Runs Z score'!C160</f>
        <v/>
      </c>
      <c r="D167">
        <f>'Runs Z score'!D160</f>
        <v/>
      </c>
      <c r="E167">
        <f>'Runs Z score'!E160</f>
        <v/>
      </c>
      <c r="F167">
        <f>'Runs Z score'!F160</f>
        <v/>
      </c>
      <c r="G167">
        <f>'Runs Z score'!G160</f>
        <v/>
      </c>
      <c r="H167">
        <f>VLOOKUP(C167,Recipes!$A$2:$N$4,10,FALSE())</f>
        <v/>
      </c>
      <c r="I167">
        <f>VLOOKUP(C167,Recipes!$A$2:$N$4,12,FALSE())</f>
        <v/>
      </c>
      <c r="J167">
        <f>IF(G167="","",H167-G167)</f>
        <v/>
      </c>
      <c r="K167">
        <f>IF(G167="","",IF(VLOOKUP(C167,Recipes!$A$2:$N$4,4,FALSE())=0,-1E+300,-0.5*((J167-Components!$D$2)/Components!$E$2)^2))</f>
        <v/>
      </c>
      <c r="L167">
        <f>IF(G167="","",IF(VLOOKUP(C167,Recipes!$A$2:$N$4,5,FALSE())=0,-1E+300,-0.5*((J167-Components!$D$3)/Components!$E$3)^2))</f>
        <v/>
      </c>
      <c r="M167">
        <f>IF(G167="","",IF(VLOOKUP(C167,Recipes!$A$2:$N$4,6,FALSE())=0,-1E+300,-0.5*((J167-Components!$D$4)/Components!$E$4)^2))</f>
        <v/>
      </c>
      <c r="N167">
        <f>IF(G167="","",IF(VLOOKUP(C167,Recipes!$A$2:$N$4,7,FALSE())=0,-1E+300,-0.5*((J167-Components!$D$5)/Components!$E$5)^2))</f>
        <v/>
      </c>
      <c r="O167">
        <f>IF(G167="","",IF(VLOOKUP(C167,Recipes!$A$2:$N$4,8,FALSE())=0,-1E+300,-0.5*((J167-Components!$D$6)/Components!$E$6)^2))</f>
        <v/>
      </c>
      <c r="P167">
        <f>IF(G167="","",IF(VLOOKUP(C167,Recipes!$A$2:$N$4,9,FALSE())=0,-1E+300,-0.5*((J167-Components!$D$7)/Components!$E$7)^2))</f>
        <v/>
      </c>
      <c r="Q167">
        <f>IF(G167="","",EXP(LARGE(K167:P167,1)-MAX(K167:P167))/(EXP(K167-MAX(K167:P167))+EXP(L167-MAX(K167:P167))+EXP(M167-MAX(K167:P167))+EXP(N167-MAX(K167:P167))+EXP(O167-MAX(K167:P167))+EXP(P167-MAX(K167:P167))))</f>
        <v/>
      </c>
      <c r="R167">
        <f>IF(G167="","",EXP(LARGE(K167:P167,2)-MAX(K167:P167))/(EXP(K167-MAX(K167:P167))+EXP(L167-MAX(K167:P167))+EXP(M167-MAX(K167:P167))+EXP(N167-MAX(K167:P167))+EXP(O167-MAX(K167:P167))+EXP(P167-MAX(K167:P167))))</f>
        <v/>
      </c>
      <c r="S167">
        <f>IF(G167="","",Q167-R167)</f>
        <v/>
      </c>
      <c r="T167">
        <f>IF(G167="","",IF(ABS(G167-H167)&lt;=$B$6*I167,"OK","NG"))</f>
        <v/>
      </c>
      <c r="U167">
        <f>IF(T167="","",IF(T167=D167,1,0))</f>
        <v/>
      </c>
      <c r="V167">
        <f>IF(G167="","",IF(T167="OK","NONE",INDEX({"S1","S2","W1","W2","N1","N2"},MATCH(MAX(K167:P167),K167:P167,0))))</f>
        <v/>
      </c>
      <c r="W167">
        <f>IF(G167="","",IF(V167=E167,1,0))</f>
        <v/>
      </c>
      <c r="X167">
        <f>IF(G167="","",IF(AND(T167="NG",S167&lt;$B$7),"AMBIGUOUS","CONFIDENT"))</f>
        <v/>
      </c>
    </row>
    <row r="168">
      <c r="A168">
        <f>'Runs Z score'!A161</f>
        <v/>
      </c>
      <c r="B168">
        <f>'Runs Z score'!B161</f>
        <v/>
      </c>
      <c r="C168">
        <f>'Runs Z score'!C161</f>
        <v/>
      </c>
      <c r="D168">
        <f>'Runs Z score'!D161</f>
        <v/>
      </c>
      <c r="E168">
        <f>'Runs Z score'!E161</f>
        <v/>
      </c>
      <c r="F168">
        <f>'Runs Z score'!F161</f>
        <v/>
      </c>
      <c r="G168">
        <f>'Runs Z score'!G161</f>
        <v/>
      </c>
      <c r="H168">
        <f>VLOOKUP(C168,Recipes!$A$2:$N$4,10,FALSE())</f>
        <v/>
      </c>
      <c r="I168">
        <f>VLOOKUP(C168,Recipes!$A$2:$N$4,12,FALSE())</f>
        <v/>
      </c>
      <c r="J168">
        <f>IF(G168="","",H168-G168)</f>
        <v/>
      </c>
      <c r="K168">
        <f>IF(G168="","",IF(VLOOKUP(C168,Recipes!$A$2:$N$4,4,FALSE())=0,-1E+300,-0.5*((J168-Components!$D$2)/Components!$E$2)^2))</f>
        <v/>
      </c>
      <c r="L168">
        <f>IF(G168="","",IF(VLOOKUP(C168,Recipes!$A$2:$N$4,5,FALSE())=0,-1E+300,-0.5*((J168-Components!$D$3)/Components!$E$3)^2))</f>
        <v/>
      </c>
      <c r="M168">
        <f>IF(G168="","",IF(VLOOKUP(C168,Recipes!$A$2:$N$4,6,FALSE())=0,-1E+300,-0.5*((J168-Components!$D$4)/Components!$E$4)^2))</f>
        <v/>
      </c>
      <c r="N168">
        <f>IF(G168="","",IF(VLOOKUP(C168,Recipes!$A$2:$N$4,7,FALSE())=0,-1E+300,-0.5*((J168-Components!$D$5)/Components!$E$5)^2))</f>
        <v/>
      </c>
      <c r="O168">
        <f>IF(G168="","",IF(VLOOKUP(C168,Recipes!$A$2:$N$4,8,FALSE())=0,-1E+300,-0.5*((J168-Components!$D$6)/Components!$E$6)^2))</f>
        <v/>
      </c>
      <c r="P168">
        <f>IF(G168="","",IF(VLOOKUP(C168,Recipes!$A$2:$N$4,9,FALSE())=0,-1E+300,-0.5*((J168-Components!$D$7)/Components!$E$7)^2))</f>
        <v/>
      </c>
      <c r="Q168">
        <f>IF(G168="","",EXP(LARGE(K168:P168,1)-MAX(K168:P168))/(EXP(K168-MAX(K168:P168))+EXP(L168-MAX(K168:P168))+EXP(M168-MAX(K168:P168))+EXP(N168-MAX(K168:P168))+EXP(O168-MAX(K168:P168))+EXP(P168-MAX(K168:P168))))</f>
        <v/>
      </c>
      <c r="R168">
        <f>IF(G168="","",EXP(LARGE(K168:P168,2)-MAX(K168:P168))/(EXP(K168-MAX(K168:P168))+EXP(L168-MAX(K168:P168))+EXP(M168-MAX(K168:P168))+EXP(N168-MAX(K168:P168))+EXP(O168-MAX(K168:P168))+EXP(P168-MAX(K168:P168))))</f>
        <v/>
      </c>
      <c r="S168">
        <f>IF(G168="","",Q168-R168)</f>
        <v/>
      </c>
      <c r="T168">
        <f>IF(G168="","",IF(ABS(G168-H168)&lt;=$B$6*I168,"OK","NG"))</f>
        <v/>
      </c>
      <c r="U168">
        <f>IF(T168="","",IF(T168=D168,1,0))</f>
        <v/>
      </c>
      <c r="V168">
        <f>IF(G168="","",IF(T168="OK","NONE",INDEX({"S1","S2","W1","W2","N1","N2"},MATCH(MAX(K168:P168),K168:P168,0))))</f>
        <v/>
      </c>
      <c r="W168">
        <f>IF(G168="","",IF(V168=E168,1,0))</f>
        <v/>
      </c>
      <c r="X168">
        <f>IF(G168="","",IF(AND(T168="NG",S168&lt;$B$7),"AMBIGUOUS","CONFIDENT"))</f>
        <v/>
      </c>
    </row>
    <row r="169">
      <c r="A169">
        <f>'Runs Z score'!A162</f>
        <v/>
      </c>
      <c r="B169">
        <f>'Runs Z score'!B162</f>
        <v/>
      </c>
      <c r="C169">
        <f>'Runs Z score'!C162</f>
        <v/>
      </c>
      <c r="D169">
        <f>'Runs Z score'!D162</f>
        <v/>
      </c>
      <c r="E169">
        <f>'Runs Z score'!E162</f>
        <v/>
      </c>
      <c r="F169">
        <f>'Runs Z score'!F162</f>
        <v/>
      </c>
      <c r="G169">
        <f>'Runs Z score'!G162</f>
        <v/>
      </c>
      <c r="H169">
        <f>VLOOKUP(C169,Recipes!$A$2:$N$4,10,FALSE())</f>
        <v/>
      </c>
      <c r="I169">
        <f>VLOOKUP(C169,Recipes!$A$2:$N$4,12,FALSE())</f>
        <v/>
      </c>
      <c r="J169">
        <f>IF(G169="","",H169-G169)</f>
        <v/>
      </c>
      <c r="K169">
        <f>IF(G169="","",IF(VLOOKUP(C169,Recipes!$A$2:$N$4,4,FALSE())=0,-1E+300,-0.5*((J169-Components!$D$2)/Components!$E$2)^2))</f>
        <v/>
      </c>
      <c r="L169">
        <f>IF(G169="","",IF(VLOOKUP(C169,Recipes!$A$2:$N$4,5,FALSE())=0,-1E+300,-0.5*((J169-Components!$D$3)/Components!$E$3)^2))</f>
        <v/>
      </c>
      <c r="M169">
        <f>IF(G169="","",IF(VLOOKUP(C169,Recipes!$A$2:$N$4,6,FALSE())=0,-1E+300,-0.5*((J169-Components!$D$4)/Components!$E$4)^2))</f>
        <v/>
      </c>
      <c r="N169">
        <f>IF(G169="","",IF(VLOOKUP(C169,Recipes!$A$2:$N$4,7,FALSE())=0,-1E+300,-0.5*((J169-Components!$D$5)/Components!$E$5)^2))</f>
        <v/>
      </c>
      <c r="O169">
        <f>IF(G169="","",IF(VLOOKUP(C169,Recipes!$A$2:$N$4,8,FALSE())=0,-1E+300,-0.5*((J169-Components!$D$6)/Components!$E$6)^2))</f>
        <v/>
      </c>
      <c r="P169">
        <f>IF(G169="","",IF(VLOOKUP(C169,Recipes!$A$2:$N$4,9,FALSE())=0,-1E+300,-0.5*((J169-Components!$D$7)/Components!$E$7)^2))</f>
        <v/>
      </c>
      <c r="Q169">
        <f>IF(G169="","",EXP(LARGE(K169:P169,1)-MAX(K169:P169))/(EXP(K169-MAX(K169:P169))+EXP(L169-MAX(K169:P169))+EXP(M169-MAX(K169:P169))+EXP(N169-MAX(K169:P169))+EXP(O169-MAX(K169:P169))+EXP(P169-MAX(K169:P169))))</f>
        <v/>
      </c>
      <c r="R169">
        <f>IF(G169="","",EXP(LARGE(K169:P169,2)-MAX(K169:P169))/(EXP(K169-MAX(K169:P169))+EXP(L169-MAX(K169:P169))+EXP(M169-MAX(K169:P169))+EXP(N169-MAX(K169:P169))+EXP(O169-MAX(K169:P169))+EXP(P169-MAX(K169:P169))))</f>
        <v/>
      </c>
      <c r="S169">
        <f>IF(G169="","",Q169-R169)</f>
        <v/>
      </c>
      <c r="T169">
        <f>IF(G169="","",IF(ABS(G169-H169)&lt;=$B$6*I169,"OK","NG"))</f>
        <v/>
      </c>
      <c r="U169">
        <f>IF(T169="","",IF(T169=D169,1,0))</f>
        <v/>
      </c>
      <c r="V169">
        <f>IF(G169="","",IF(T169="OK","NONE",INDEX({"S1","S2","W1","W2","N1","N2"},MATCH(MAX(K169:P169),K169:P169,0))))</f>
        <v/>
      </c>
      <c r="W169">
        <f>IF(G169="","",IF(V169=E169,1,0))</f>
        <v/>
      </c>
      <c r="X169">
        <f>IF(G169="","",IF(AND(T169="NG",S169&lt;$B$7),"AMBIGUOUS","CONFIDENT"))</f>
        <v/>
      </c>
    </row>
    <row r="170">
      <c r="A170">
        <f>'Runs Z score'!A163</f>
        <v/>
      </c>
      <c r="B170">
        <f>'Runs Z score'!B163</f>
        <v/>
      </c>
      <c r="C170">
        <f>'Runs Z score'!C163</f>
        <v/>
      </c>
      <c r="D170">
        <f>'Runs Z score'!D163</f>
        <v/>
      </c>
      <c r="E170">
        <f>'Runs Z score'!E163</f>
        <v/>
      </c>
      <c r="F170">
        <f>'Runs Z score'!F163</f>
        <v/>
      </c>
      <c r="G170">
        <f>'Runs Z score'!G163</f>
        <v/>
      </c>
      <c r="H170">
        <f>VLOOKUP(C170,Recipes!$A$2:$N$4,10,FALSE())</f>
        <v/>
      </c>
      <c r="I170">
        <f>VLOOKUP(C170,Recipes!$A$2:$N$4,12,FALSE())</f>
        <v/>
      </c>
      <c r="J170">
        <f>IF(G170="","",H170-G170)</f>
        <v/>
      </c>
      <c r="K170">
        <f>IF(G170="","",IF(VLOOKUP(C170,Recipes!$A$2:$N$4,4,FALSE())=0,-1E+300,-0.5*((J170-Components!$D$2)/Components!$E$2)^2))</f>
        <v/>
      </c>
      <c r="L170">
        <f>IF(G170="","",IF(VLOOKUP(C170,Recipes!$A$2:$N$4,5,FALSE())=0,-1E+300,-0.5*((J170-Components!$D$3)/Components!$E$3)^2))</f>
        <v/>
      </c>
      <c r="M170">
        <f>IF(G170="","",IF(VLOOKUP(C170,Recipes!$A$2:$N$4,6,FALSE())=0,-1E+300,-0.5*((J170-Components!$D$4)/Components!$E$4)^2))</f>
        <v/>
      </c>
      <c r="N170">
        <f>IF(G170="","",IF(VLOOKUP(C170,Recipes!$A$2:$N$4,7,FALSE())=0,-1E+300,-0.5*((J170-Components!$D$5)/Components!$E$5)^2))</f>
        <v/>
      </c>
      <c r="O170">
        <f>IF(G170="","",IF(VLOOKUP(C170,Recipes!$A$2:$N$4,8,FALSE())=0,-1E+300,-0.5*((J170-Components!$D$6)/Components!$E$6)^2))</f>
        <v/>
      </c>
      <c r="P170">
        <f>IF(G170="","",IF(VLOOKUP(C170,Recipes!$A$2:$N$4,9,FALSE())=0,-1E+300,-0.5*((J170-Components!$D$7)/Components!$E$7)^2))</f>
        <v/>
      </c>
      <c r="Q170">
        <f>IF(G170="","",EXP(LARGE(K170:P170,1)-MAX(K170:P170))/(EXP(K170-MAX(K170:P170))+EXP(L170-MAX(K170:P170))+EXP(M170-MAX(K170:P170))+EXP(N170-MAX(K170:P170))+EXP(O170-MAX(K170:P170))+EXP(P170-MAX(K170:P170))))</f>
        <v/>
      </c>
      <c r="R170">
        <f>IF(G170="","",EXP(LARGE(K170:P170,2)-MAX(K170:P170))/(EXP(K170-MAX(K170:P170))+EXP(L170-MAX(K170:P170))+EXP(M170-MAX(K170:P170))+EXP(N170-MAX(K170:P170))+EXP(O170-MAX(K170:P170))+EXP(P170-MAX(K170:P170))))</f>
        <v/>
      </c>
      <c r="S170">
        <f>IF(G170="","",Q170-R170)</f>
        <v/>
      </c>
      <c r="T170">
        <f>IF(G170="","",IF(ABS(G170-H170)&lt;=$B$6*I170,"OK","NG"))</f>
        <v/>
      </c>
      <c r="U170">
        <f>IF(T170="","",IF(T170=D170,1,0))</f>
        <v/>
      </c>
      <c r="V170">
        <f>IF(G170="","",IF(T170="OK","NONE",INDEX({"S1","S2","W1","W2","N1","N2"},MATCH(MAX(K170:P170),K170:P170,0))))</f>
        <v/>
      </c>
      <c r="W170">
        <f>IF(G170="","",IF(V170=E170,1,0))</f>
        <v/>
      </c>
      <c r="X170">
        <f>IF(G170="","",IF(AND(T170="NG",S170&lt;$B$7),"AMBIGUOUS","CONFIDENT"))</f>
        <v/>
      </c>
    </row>
    <row r="171">
      <c r="A171">
        <f>'Runs Z score'!A164</f>
        <v/>
      </c>
      <c r="B171">
        <f>'Runs Z score'!B164</f>
        <v/>
      </c>
      <c r="C171">
        <f>'Runs Z score'!C164</f>
        <v/>
      </c>
      <c r="D171">
        <f>'Runs Z score'!D164</f>
        <v/>
      </c>
      <c r="E171">
        <f>'Runs Z score'!E164</f>
        <v/>
      </c>
      <c r="F171">
        <f>'Runs Z score'!F164</f>
        <v/>
      </c>
      <c r="G171">
        <f>'Runs Z score'!G164</f>
        <v/>
      </c>
      <c r="H171">
        <f>VLOOKUP(C171,Recipes!$A$2:$N$4,10,FALSE())</f>
        <v/>
      </c>
      <c r="I171">
        <f>VLOOKUP(C171,Recipes!$A$2:$N$4,12,FALSE())</f>
        <v/>
      </c>
      <c r="J171">
        <f>IF(G171="","",H171-G171)</f>
        <v/>
      </c>
      <c r="K171">
        <f>IF(G171="","",IF(VLOOKUP(C171,Recipes!$A$2:$N$4,4,FALSE())=0,-1E+300,-0.5*((J171-Components!$D$2)/Components!$E$2)^2))</f>
        <v/>
      </c>
      <c r="L171">
        <f>IF(G171="","",IF(VLOOKUP(C171,Recipes!$A$2:$N$4,5,FALSE())=0,-1E+300,-0.5*((J171-Components!$D$3)/Components!$E$3)^2))</f>
        <v/>
      </c>
      <c r="M171">
        <f>IF(G171="","",IF(VLOOKUP(C171,Recipes!$A$2:$N$4,6,FALSE())=0,-1E+300,-0.5*((J171-Components!$D$4)/Components!$E$4)^2))</f>
        <v/>
      </c>
      <c r="N171">
        <f>IF(G171="","",IF(VLOOKUP(C171,Recipes!$A$2:$N$4,7,FALSE())=0,-1E+300,-0.5*((J171-Components!$D$5)/Components!$E$5)^2))</f>
        <v/>
      </c>
      <c r="O171">
        <f>IF(G171="","",IF(VLOOKUP(C171,Recipes!$A$2:$N$4,8,FALSE())=0,-1E+300,-0.5*((J171-Components!$D$6)/Components!$E$6)^2))</f>
        <v/>
      </c>
      <c r="P171">
        <f>IF(G171="","",IF(VLOOKUP(C171,Recipes!$A$2:$N$4,9,FALSE())=0,-1E+300,-0.5*((J171-Components!$D$7)/Components!$E$7)^2))</f>
        <v/>
      </c>
      <c r="Q171">
        <f>IF(G171="","",EXP(LARGE(K171:P171,1)-MAX(K171:P171))/(EXP(K171-MAX(K171:P171))+EXP(L171-MAX(K171:P171))+EXP(M171-MAX(K171:P171))+EXP(N171-MAX(K171:P171))+EXP(O171-MAX(K171:P171))+EXP(P171-MAX(K171:P171))))</f>
        <v/>
      </c>
      <c r="R171">
        <f>IF(G171="","",EXP(LARGE(K171:P171,2)-MAX(K171:P171))/(EXP(K171-MAX(K171:P171))+EXP(L171-MAX(K171:P171))+EXP(M171-MAX(K171:P171))+EXP(N171-MAX(K171:P171))+EXP(O171-MAX(K171:P171))+EXP(P171-MAX(K171:P171))))</f>
        <v/>
      </c>
      <c r="S171">
        <f>IF(G171="","",Q171-R171)</f>
        <v/>
      </c>
      <c r="T171">
        <f>IF(G171="","",IF(ABS(G171-H171)&lt;=$B$6*I171,"OK","NG"))</f>
        <v/>
      </c>
      <c r="U171">
        <f>IF(T171="","",IF(T171=D171,1,0))</f>
        <v/>
      </c>
      <c r="V171">
        <f>IF(G171="","",IF(T171="OK","NONE",INDEX({"S1","S2","W1","W2","N1","N2"},MATCH(MAX(K171:P171),K171:P171,0))))</f>
        <v/>
      </c>
      <c r="W171">
        <f>IF(G171="","",IF(V171=E171,1,0))</f>
        <v/>
      </c>
      <c r="X171">
        <f>IF(G171="","",IF(AND(T171="NG",S171&lt;$B$7),"AMBIGUOUS","CONFIDENT"))</f>
        <v/>
      </c>
    </row>
    <row r="172">
      <c r="A172">
        <f>'Runs Z score'!A165</f>
        <v/>
      </c>
      <c r="B172">
        <f>'Runs Z score'!B165</f>
        <v/>
      </c>
      <c r="C172">
        <f>'Runs Z score'!C165</f>
        <v/>
      </c>
      <c r="D172">
        <f>'Runs Z score'!D165</f>
        <v/>
      </c>
      <c r="E172">
        <f>'Runs Z score'!E165</f>
        <v/>
      </c>
      <c r="F172">
        <f>'Runs Z score'!F165</f>
        <v/>
      </c>
      <c r="G172">
        <f>'Runs Z score'!G165</f>
        <v/>
      </c>
      <c r="H172">
        <f>VLOOKUP(C172,Recipes!$A$2:$N$4,10,FALSE())</f>
        <v/>
      </c>
      <c r="I172">
        <f>VLOOKUP(C172,Recipes!$A$2:$N$4,12,FALSE())</f>
        <v/>
      </c>
      <c r="J172">
        <f>IF(G172="","",H172-G172)</f>
        <v/>
      </c>
      <c r="K172">
        <f>IF(G172="","",IF(VLOOKUP(C172,Recipes!$A$2:$N$4,4,FALSE())=0,-1E+300,-0.5*((J172-Components!$D$2)/Components!$E$2)^2))</f>
        <v/>
      </c>
      <c r="L172">
        <f>IF(G172="","",IF(VLOOKUP(C172,Recipes!$A$2:$N$4,5,FALSE())=0,-1E+300,-0.5*((J172-Components!$D$3)/Components!$E$3)^2))</f>
        <v/>
      </c>
      <c r="M172">
        <f>IF(G172="","",IF(VLOOKUP(C172,Recipes!$A$2:$N$4,6,FALSE())=0,-1E+300,-0.5*((J172-Components!$D$4)/Components!$E$4)^2))</f>
        <v/>
      </c>
      <c r="N172">
        <f>IF(G172="","",IF(VLOOKUP(C172,Recipes!$A$2:$N$4,7,FALSE())=0,-1E+300,-0.5*((J172-Components!$D$5)/Components!$E$5)^2))</f>
        <v/>
      </c>
      <c r="O172">
        <f>IF(G172="","",IF(VLOOKUP(C172,Recipes!$A$2:$N$4,8,FALSE())=0,-1E+300,-0.5*((J172-Components!$D$6)/Components!$E$6)^2))</f>
        <v/>
      </c>
      <c r="P172">
        <f>IF(G172="","",IF(VLOOKUP(C172,Recipes!$A$2:$N$4,9,FALSE())=0,-1E+300,-0.5*((J172-Components!$D$7)/Components!$E$7)^2))</f>
        <v/>
      </c>
      <c r="Q172">
        <f>IF(G172="","",EXP(LARGE(K172:P172,1)-MAX(K172:P172))/(EXP(K172-MAX(K172:P172))+EXP(L172-MAX(K172:P172))+EXP(M172-MAX(K172:P172))+EXP(N172-MAX(K172:P172))+EXP(O172-MAX(K172:P172))+EXP(P172-MAX(K172:P172))))</f>
        <v/>
      </c>
      <c r="R172">
        <f>IF(G172="","",EXP(LARGE(K172:P172,2)-MAX(K172:P172))/(EXP(K172-MAX(K172:P172))+EXP(L172-MAX(K172:P172))+EXP(M172-MAX(K172:P172))+EXP(N172-MAX(K172:P172))+EXP(O172-MAX(K172:P172))+EXP(P172-MAX(K172:P172))))</f>
        <v/>
      </c>
      <c r="S172">
        <f>IF(G172="","",Q172-R172)</f>
        <v/>
      </c>
      <c r="T172">
        <f>IF(G172="","",IF(ABS(G172-H172)&lt;=$B$6*I172,"OK","NG"))</f>
        <v/>
      </c>
      <c r="U172">
        <f>IF(T172="","",IF(T172=D172,1,0))</f>
        <v/>
      </c>
      <c r="V172">
        <f>IF(G172="","",IF(T172="OK","NONE",INDEX({"S1","S2","W1","W2","N1","N2"},MATCH(MAX(K172:P172),K172:P172,0))))</f>
        <v/>
      </c>
      <c r="W172">
        <f>IF(G172="","",IF(V172=E172,1,0))</f>
        <v/>
      </c>
      <c r="X172">
        <f>IF(G172="","",IF(AND(T172="NG",S172&lt;$B$7),"AMBIGUOUS","CONFIDENT"))</f>
        <v/>
      </c>
    </row>
    <row r="173">
      <c r="A173">
        <f>'Runs Z score'!A166</f>
        <v/>
      </c>
      <c r="B173">
        <f>'Runs Z score'!B166</f>
        <v/>
      </c>
      <c r="C173">
        <f>'Runs Z score'!C166</f>
        <v/>
      </c>
      <c r="D173">
        <f>'Runs Z score'!D166</f>
        <v/>
      </c>
      <c r="E173">
        <f>'Runs Z score'!E166</f>
        <v/>
      </c>
      <c r="F173">
        <f>'Runs Z score'!F166</f>
        <v/>
      </c>
      <c r="G173">
        <f>'Runs Z score'!G166</f>
        <v/>
      </c>
      <c r="H173">
        <f>VLOOKUP(C173,Recipes!$A$2:$N$4,10,FALSE())</f>
        <v/>
      </c>
      <c r="I173">
        <f>VLOOKUP(C173,Recipes!$A$2:$N$4,12,FALSE())</f>
        <v/>
      </c>
      <c r="J173">
        <f>IF(G173="","",H173-G173)</f>
        <v/>
      </c>
      <c r="K173">
        <f>IF(G173="","",IF(VLOOKUP(C173,Recipes!$A$2:$N$4,4,FALSE())=0,-1E+300,-0.5*((J173-Components!$D$2)/Components!$E$2)^2))</f>
        <v/>
      </c>
      <c r="L173">
        <f>IF(G173="","",IF(VLOOKUP(C173,Recipes!$A$2:$N$4,5,FALSE())=0,-1E+300,-0.5*((J173-Components!$D$3)/Components!$E$3)^2))</f>
        <v/>
      </c>
      <c r="M173">
        <f>IF(G173="","",IF(VLOOKUP(C173,Recipes!$A$2:$N$4,6,FALSE())=0,-1E+300,-0.5*((J173-Components!$D$4)/Components!$E$4)^2))</f>
        <v/>
      </c>
      <c r="N173">
        <f>IF(G173="","",IF(VLOOKUP(C173,Recipes!$A$2:$N$4,7,FALSE())=0,-1E+300,-0.5*((J173-Components!$D$5)/Components!$E$5)^2))</f>
        <v/>
      </c>
      <c r="O173">
        <f>IF(G173="","",IF(VLOOKUP(C173,Recipes!$A$2:$N$4,8,FALSE())=0,-1E+300,-0.5*((J173-Components!$D$6)/Components!$E$6)^2))</f>
        <v/>
      </c>
      <c r="P173">
        <f>IF(G173="","",IF(VLOOKUP(C173,Recipes!$A$2:$N$4,9,FALSE())=0,-1E+300,-0.5*((J173-Components!$D$7)/Components!$E$7)^2))</f>
        <v/>
      </c>
      <c r="Q173">
        <f>IF(G173="","",EXP(LARGE(K173:P173,1)-MAX(K173:P173))/(EXP(K173-MAX(K173:P173))+EXP(L173-MAX(K173:P173))+EXP(M173-MAX(K173:P173))+EXP(N173-MAX(K173:P173))+EXP(O173-MAX(K173:P173))+EXP(P173-MAX(K173:P173))))</f>
        <v/>
      </c>
      <c r="R173">
        <f>IF(G173="","",EXP(LARGE(K173:P173,2)-MAX(K173:P173))/(EXP(K173-MAX(K173:P173))+EXP(L173-MAX(K173:P173))+EXP(M173-MAX(K173:P173))+EXP(N173-MAX(K173:P173))+EXP(O173-MAX(K173:P173))+EXP(P173-MAX(K173:P173))))</f>
        <v/>
      </c>
      <c r="S173">
        <f>IF(G173="","",Q173-R173)</f>
        <v/>
      </c>
      <c r="T173">
        <f>IF(G173="","",IF(ABS(G173-H173)&lt;=$B$6*I173,"OK","NG"))</f>
        <v/>
      </c>
      <c r="U173">
        <f>IF(T173="","",IF(T173=D173,1,0))</f>
        <v/>
      </c>
      <c r="V173">
        <f>IF(G173="","",IF(T173="OK","NONE",INDEX({"S1","S2","W1","W2","N1","N2"},MATCH(MAX(K173:P173),K173:P173,0))))</f>
        <v/>
      </c>
      <c r="W173">
        <f>IF(G173="","",IF(V173=E173,1,0))</f>
        <v/>
      </c>
      <c r="X173">
        <f>IF(G173="","",IF(AND(T173="NG",S173&lt;$B$7),"AMBIGUOUS","CONFIDENT"))</f>
        <v/>
      </c>
    </row>
    <row r="174">
      <c r="A174">
        <f>'Runs Z score'!A167</f>
        <v/>
      </c>
      <c r="B174">
        <f>'Runs Z score'!B167</f>
        <v/>
      </c>
      <c r="C174">
        <f>'Runs Z score'!C167</f>
        <v/>
      </c>
      <c r="D174">
        <f>'Runs Z score'!D167</f>
        <v/>
      </c>
      <c r="E174">
        <f>'Runs Z score'!E167</f>
        <v/>
      </c>
      <c r="F174">
        <f>'Runs Z score'!F167</f>
        <v/>
      </c>
      <c r="G174">
        <f>'Runs Z score'!G167</f>
        <v/>
      </c>
      <c r="H174">
        <f>VLOOKUP(C174,Recipes!$A$2:$N$4,10,FALSE())</f>
        <v/>
      </c>
      <c r="I174">
        <f>VLOOKUP(C174,Recipes!$A$2:$N$4,12,FALSE())</f>
        <v/>
      </c>
      <c r="J174">
        <f>IF(G174="","",H174-G174)</f>
        <v/>
      </c>
      <c r="K174">
        <f>IF(G174="","",IF(VLOOKUP(C174,Recipes!$A$2:$N$4,4,FALSE())=0,-1E+300,-0.5*((J174-Components!$D$2)/Components!$E$2)^2))</f>
        <v/>
      </c>
      <c r="L174">
        <f>IF(G174="","",IF(VLOOKUP(C174,Recipes!$A$2:$N$4,5,FALSE())=0,-1E+300,-0.5*((J174-Components!$D$3)/Components!$E$3)^2))</f>
        <v/>
      </c>
      <c r="M174">
        <f>IF(G174="","",IF(VLOOKUP(C174,Recipes!$A$2:$N$4,6,FALSE())=0,-1E+300,-0.5*((J174-Components!$D$4)/Components!$E$4)^2))</f>
        <v/>
      </c>
      <c r="N174">
        <f>IF(G174="","",IF(VLOOKUP(C174,Recipes!$A$2:$N$4,7,FALSE())=0,-1E+300,-0.5*((J174-Components!$D$5)/Components!$E$5)^2))</f>
        <v/>
      </c>
      <c r="O174">
        <f>IF(G174="","",IF(VLOOKUP(C174,Recipes!$A$2:$N$4,8,FALSE())=0,-1E+300,-0.5*((J174-Components!$D$6)/Components!$E$6)^2))</f>
        <v/>
      </c>
      <c r="P174">
        <f>IF(G174="","",IF(VLOOKUP(C174,Recipes!$A$2:$N$4,9,FALSE())=0,-1E+300,-0.5*((J174-Components!$D$7)/Components!$E$7)^2))</f>
        <v/>
      </c>
      <c r="Q174">
        <f>IF(G174="","",EXP(LARGE(K174:P174,1)-MAX(K174:P174))/(EXP(K174-MAX(K174:P174))+EXP(L174-MAX(K174:P174))+EXP(M174-MAX(K174:P174))+EXP(N174-MAX(K174:P174))+EXP(O174-MAX(K174:P174))+EXP(P174-MAX(K174:P174))))</f>
        <v/>
      </c>
      <c r="R174">
        <f>IF(G174="","",EXP(LARGE(K174:P174,2)-MAX(K174:P174))/(EXP(K174-MAX(K174:P174))+EXP(L174-MAX(K174:P174))+EXP(M174-MAX(K174:P174))+EXP(N174-MAX(K174:P174))+EXP(O174-MAX(K174:P174))+EXP(P174-MAX(K174:P174))))</f>
        <v/>
      </c>
      <c r="S174">
        <f>IF(G174="","",Q174-R174)</f>
        <v/>
      </c>
      <c r="T174">
        <f>IF(G174="","",IF(ABS(G174-H174)&lt;=$B$6*I174,"OK","NG"))</f>
        <v/>
      </c>
      <c r="U174">
        <f>IF(T174="","",IF(T174=D174,1,0))</f>
        <v/>
      </c>
      <c r="V174">
        <f>IF(G174="","",IF(T174="OK","NONE",INDEX({"S1","S2","W1","W2","N1","N2"},MATCH(MAX(K174:P174),K174:P174,0))))</f>
        <v/>
      </c>
      <c r="W174">
        <f>IF(G174="","",IF(V174=E174,1,0))</f>
        <v/>
      </c>
      <c r="X174">
        <f>IF(G174="","",IF(AND(T174="NG",S174&lt;$B$7),"AMBIGUOUS","CONFIDENT"))</f>
        <v/>
      </c>
    </row>
    <row r="175">
      <c r="A175">
        <f>'Runs Z score'!A168</f>
        <v/>
      </c>
      <c r="B175">
        <f>'Runs Z score'!B168</f>
        <v/>
      </c>
      <c r="C175">
        <f>'Runs Z score'!C168</f>
        <v/>
      </c>
      <c r="D175">
        <f>'Runs Z score'!D168</f>
        <v/>
      </c>
      <c r="E175">
        <f>'Runs Z score'!E168</f>
        <v/>
      </c>
      <c r="F175">
        <f>'Runs Z score'!F168</f>
        <v/>
      </c>
      <c r="G175">
        <f>'Runs Z score'!G168</f>
        <v/>
      </c>
      <c r="H175">
        <f>VLOOKUP(C175,Recipes!$A$2:$N$4,10,FALSE())</f>
        <v/>
      </c>
      <c r="I175">
        <f>VLOOKUP(C175,Recipes!$A$2:$N$4,12,FALSE())</f>
        <v/>
      </c>
      <c r="J175">
        <f>IF(G175="","",H175-G175)</f>
        <v/>
      </c>
      <c r="K175">
        <f>IF(G175="","",IF(VLOOKUP(C175,Recipes!$A$2:$N$4,4,FALSE())=0,-1E+300,-0.5*((J175-Components!$D$2)/Components!$E$2)^2))</f>
        <v/>
      </c>
      <c r="L175">
        <f>IF(G175="","",IF(VLOOKUP(C175,Recipes!$A$2:$N$4,5,FALSE())=0,-1E+300,-0.5*((J175-Components!$D$3)/Components!$E$3)^2))</f>
        <v/>
      </c>
      <c r="M175">
        <f>IF(G175="","",IF(VLOOKUP(C175,Recipes!$A$2:$N$4,6,FALSE())=0,-1E+300,-0.5*((J175-Components!$D$4)/Components!$E$4)^2))</f>
        <v/>
      </c>
      <c r="N175">
        <f>IF(G175="","",IF(VLOOKUP(C175,Recipes!$A$2:$N$4,7,FALSE())=0,-1E+300,-0.5*((J175-Components!$D$5)/Components!$E$5)^2))</f>
        <v/>
      </c>
      <c r="O175">
        <f>IF(G175="","",IF(VLOOKUP(C175,Recipes!$A$2:$N$4,8,FALSE())=0,-1E+300,-0.5*((J175-Components!$D$6)/Components!$E$6)^2))</f>
        <v/>
      </c>
      <c r="P175">
        <f>IF(G175="","",IF(VLOOKUP(C175,Recipes!$A$2:$N$4,9,FALSE())=0,-1E+300,-0.5*((J175-Components!$D$7)/Components!$E$7)^2))</f>
        <v/>
      </c>
      <c r="Q175">
        <f>IF(G175="","",EXP(LARGE(K175:P175,1)-MAX(K175:P175))/(EXP(K175-MAX(K175:P175))+EXP(L175-MAX(K175:P175))+EXP(M175-MAX(K175:P175))+EXP(N175-MAX(K175:P175))+EXP(O175-MAX(K175:P175))+EXP(P175-MAX(K175:P175))))</f>
        <v/>
      </c>
      <c r="R175">
        <f>IF(G175="","",EXP(LARGE(K175:P175,2)-MAX(K175:P175))/(EXP(K175-MAX(K175:P175))+EXP(L175-MAX(K175:P175))+EXP(M175-MAX(K175:P175))+EXP(N175-MAX(K175:P175))+EXP(O175-MAX(K175:P175))+EXP(P175-MAX(K175:P175))))</f>
        <v/>
      </c>
      <c r="S175">
        <f>IF(G175="","",Q175-R175)</f>
        <v/>
      </c>
      <c r="T175">
        <f>IF(G175="","",IF(ABS(G175-H175)&lt;=$B$6*I175,"OK","NG"))</f>
        <v/>
      </c>
      <c r="U175">
        <f>IF(T175="","",IF(T175=D175,1,0))</f>
        <v/>
      </c>
      <c r="V175">
        <f>IF(G175="","",IF(T175="OK","NONE",INDEX({"S1","S2","W1","W2","N1","N2"},MATCH(MAX(K175:P175),K175:P175,0))))</f>
        <v/>
      </c>
      <c r="W175">
        <f>IF(G175="","",IF(V175=E175,1,0))</f>
        <v/>
      </c>
      <c r="X175">
        <f>IF(G175="","",IF(AND(T175="NG",S175&lt;$B$7),"AMBIGUOUS","CONFIDENT"))</f>
        <v/>
      </c>
    </row>
    <row r="176">
      <c r="A176">
        <f>'Runs Z score'!A169</f>
        <v/>
      </c>
      <c r="B176">
        <f>'Runs Z score'!B169</f>
        <v/>
      </c>
      <c r="C176">
        <f>'Runs Z score'!C169</f>
        <v/>
      </c>
      <c r="D176">
        <f>'Runs Z score'!D169</f>
        <v/>
      </c>
      <c r="E176">
        <f>'Runs Z score'!E169</f>
        <v/>
      </c>
      <c r="F176">
        <f>'Runs Z score'!F169</f>
        <v/>
      </c>
      <c r="G176">
        <f>'Runs Z score'!G169</f>
        <v/>
      </c>
      <c r="H176">
        <f>VLOOKUP(C176,Recipes!$A$2:$N$4,10,FALSE())</f>
        <v/>
      </c>
      <c r="I176">
        <f>VLOOKUP(C176,Recipes!$A$2:$N$4,12,FALSE())</f>
        <v/>
      </c>
      <c r="J176">
        <f>IF(G176="","",H176-G176)</f>
        <v/>
      </c>
      <c r="K176">
        <f>IF(G176="","",IF(VLOOKUP(C176,Recipes!$A$2:$N$4,4,FALSE())=0,-1E+300,-0.5*((J176-Components!$D$2)/Components!$E$2)^2))</f>
        <v/>
      </c>
      <c r="L176">
        <f>IF(G176="","",IF(VLOOKUP(C176,Recipes!$A$2:$N$4,5,FALSE())=0,-1E+300,-0.5*((J176-Components!$D$3)/Components!$E$3)^2))</f>
        <v/>
      </c>
      <c r="M176">
        <f>IF(G176="","",IF(VLOOKUP(C176,Recipes!$A$2:$N$4,6,FALSE())=0,-1E+300,-0.5*((J176-Components!$D$4)/Components!$E$4)^2))</f>
        <v/>
      </c>
      <c r="N176">
        <f>IF(G176="","",IF(VLOOKUP(C176,Recipes!$A$2:$N$4,7,FALSE())=0,-1E+300,-0.5*((J176-Components!$D$5)/Components!$E$5)^2))</f>
        <v/>
      </c>
      <c r="O176">
        <f>IF(G176="","",IF(VLOOKUP(C176,Recipes!$A$2:$N$4,8,FALSE())=0,-1E+300,-0.5*((J176-Components!$D$6)/Components!$E$6)^2))</f>
        <v/>
      </c>
      <c r="P176">
        <f>IF(G176="","",IF(VLOOKUP(C176,Recipes!$A$2:$N$4,9,FALSE())=0,-1E+300,-0.5*((J176-Components!$D$7)/Components!$E$7)^2))</f>
        <v/>
      </c>
      <c r="Q176">
        <f>IF(G176="","",EXP(LARGE(K176:P176,1)-MAX(K176:P176))/(EXP(K176-MAX(K176:P176))+EXP(L176-MAX(K176:P176))+EXP(M176-MAX(K176:P176))+EXP(N176-MAX(K176:P176))+EXP(O176-MAX(K176:P176))+EXP(P176-MAX(K176:P176))))</f>
        <v/>
      </c>
      <c r="R176">
        <f>IF(G176="","",EXP(LARGE(K176:P176,2)-MAX(K176:P176))/(EXP(K176-MAX(K176:P176))+EXP(L176-MAX(K176:P176))+EXP(M176-MAX(K176:P176))+EXP(N176-MAX(K176:P176))+EXP(O176-MAX(K176:P176))+EXP(P176-MAX(K176:P176))))</f>
        <v/>
      </c>
      <c r="S176">
        <f>IF(G176="","",Q176-R176)</f>
        <v/>
      </c>
      <c r="T176">
        <f>IF(G176="","",IF(ABS(G176-H176)&lt;=$B$6*I176,"OK","NG"))</f>
        <v/>
      </c>
      <c r="U176">
        <f>IF(T176="","",IF(T176=D176,1,0))</f>
        <v/>
      </c>
      <c r="V176">
        <f>IF(G176="","",IF(T176="OK","NONE",INDEX({"S1","S2","W1","W2","N1","N2"},MATCH(MAX(K176:P176),K176:P176,0))))</f>
        <v/>
      </c>
      <c r="W176">
        <f>IF(G176="","",IF(V176=E176,1,0))</f>
        <v/>
      </c>
      <c r="X176">
        <f>IF(G176="","",IF(AND(T176="NG",S176&lt;$B$7),"AMBIGUOUS","CONFIDENT"))</f>
        <v/>
      </c>
    </row>
    <row r="177">
      <c r="A177">
        <f>'Runs Z score'!A170</f>
        <v/>
      </c>
      <c r="B177">
        <f>'Runs Z score'!B170</f>
        <v/>
      </c>
      <c r="C177">
        <f>'Runs Z score'!C170</f>
        <v/>
      </c>
      <c r="D177">
        <f>'Runs Z score'!D170</f>
        <v/>
      </c>
      <c r="E177">
        <f>'Runs Z score'!E170</f>
        <v/>
      </c>
      <c r="F177">
        <f>'Runs Z score'!F170</f>
        <v/>
      </c>
      <c r="G177">
        <f>'Runs Z score'!G170</f>
        <v/>
      </c>
      <c r="H177">
        <f>VLOOKUP(C177,Recipes!$A$2:$N$4,10,FALSE())</f>
        <v/>
      </c>
      <c r="I177">
        <f>VLOOKUP(C177,Recipes!$A$2:$N$4,12,FALSE())</f>
        <v/>
      </c>
      <c r="J177">
        <f>IF(G177="","",H177-G177)</f>
        <v/>
      </c>
      <c r="K177">
        <f>IF(G177="","",IF(VLOOKUP(C177,Recipes!$A$2:$N$4,4,FALSE())=0,-1E+300,-0.5*((J177-Components!$D$2)/Components!$E$2)^2))</f>
        <v/>
      </c>
      <c r="L177">
        <f>IF(G177="","",IF(VLOOKUP(C177,Recipes!$A$2:$N$4,5,FALSE())=0,-1E+300,-0.5*((J177-Components!$D$3)/Components!$E$3)^2))</f>
        <v/>
      </c>
      <c r="M177">
        <f>IF(G177="","",IF(VLOOKUP(C177,Recipes!$A$2:$N$4,6,FALSE())=0,-1E+300,-0.5*((J177-Components!$D$4)/Components!$E$4)^2))</f>
        <v/>
      </c>
      <c r="N177">
        <f>IF(G177="","",IF(VLOOKUP(C177,Recipes!$A$2:$N$4,7,FALSE())=0,-1E+300,-0.5*((J177-Components!$D$5)/Components!$E$5)^2))</f>
        <v/>
      </c>
      <c r="O177">
        <f>IF(G177="","",IF(VLOOKUP(C177,Recipes!$A$2:$N$4,8,FALSE())=0,-1E+300,-0.5*((J177-Components!$D$6)/Components!$E$6)^2))</f>
        <v/>
      </c>
      <c r="P177">
        <f>IF(G177="","",IF(VLOOKUP(C177,Recipes!$A$2:$N$4,9,FALSE())=0,-1E+300,-0.5*((J177-Components!$D$7)/Components!$E$7)^2))</f>
        <v/>
      </c>
      <c r="Q177">
        <f>IF(G177="","",EXP(LARGE(K177:P177,1)-MAX(K177:P177))/(EXP(K177-MAX(K177:P177))+EXP(L177-MAX(K177:P177))+EXP(M177-MAX(K177:P177))+EXP(N177-MAX(K177:P177))+EXP(O177-MAX(K177:P177))+EXP(P177-MAX(K177:P177))))</f>
        <v/>
      </c>
      <c r="R177">
        <f>IF(G177="","",EXP(LARGE(K177:P177,2)-MAX(K177:P177))/(EXP(K177-MAX(K177:P177))+EXP(L177-MAX(K177:P177))+EXP(M177-MAX(K177:P177))+EXP(N177-MAX(K177:P177))+EXP(O177-MAX(K177:P177))+EXP(P177-MAX(K177:P177))))</f>
        <v/>
      </c>
      <c r="S177">
        <f>IF(G177="","",Q177-R177)</f>
        <v/>
      </c>
      <c r="T177">
        <f>IF(G177="","",IF(ABS(G177-H177)&lt;=$B$6*I177,"OK","NG"))</f>
        <v/>
      </c>
      <c r="U177">
        <f>IF(T177="","",IF(T177=D177,1,0))</f>
        <v/>
      </c>
      <c r="V177">
        <f>IF(G177="","",IF(T177="OK","NONE",INDEX({"S1","S2","W1","W2","N1","N2"},MATCH(MAX(K177:P177),K177:P177,0))))</f>
        <v/>
      </c>
      <c r="W177">
        <f>IF(G177="","",IF(V177=E177,1,0))</f>
        <v/>
      </c>
      <c r="X177">
        <f>IF(G177="","",IF(AND(T177="NG",S177&lt;$B$7),"AMBIGUOUS","CONFIDENT"))</f>
        <v/>
      </c>
    </row>
    <row r="178">
      <c r="A178">
        <f>'Runs Z score'!A171</f>
        <v/>
      </c>
      <c r="B178">
        <f>'Runs Z score'!B171</f>
        <v/>
      </c>
      <c r="C178">
        <f>'Runs Z score'!C171</f>
        <v/>
      </c>
      <c r="D178">
        <f>'Runs Z score'!D171</f>
        <v/>
      </c>
      <c r="E178">
        <f>'Runs Z score'!E171</f>
        <v/>
      </c>
      <c r="F178">
        <f>'Runs Z score'!F171</f>
        <v/>
      </c>
      <c r="G178">
        <f>'Runs Z score'!G171</f>
        <v/>
      </c>
      <c r="H178">
        <f>VLOOKUP(C178,Recipes!$A$2:$N$4,10,FALSE())</f>
        <v/>
      </c>
      <c r="I178">
        <f>VLOOKUP(C178,Recipes!$A$2:$N$4,12,FALSE())</f>
        <v/>
      </c>
      <c r="J178">
        <f>IF(G178="","",H178-G178)</f>
        <v/>
      </c>
      <c r="K178">
        <f>IF(G178="","",IF(VLOOKUP(C178,Recipes!$A$2:$N$4,4,FALSE())=0,-1E+300,-0.5*((J178-Components!$D$2)/Components!$E$2)^2))</f>
        <v/>
      </c>
      <c r="L178">
        <f>IF(G178="","",IF(VLOOKUP(C178,Recipes!$A$2:$N$4,5,FALSE())=0,-1E+300,-0.5*((J178-Components!$D$3)/Components!$E$3)^2))</f>
        <v/>
      </c>
      <c r="M178">
        <f>IF(G178="","",IF(VLOOKUP(C178,Recipes!$A$2:$N$4,6,FALSE())=0,-1E+300,-0.5*((J178-Components!$D$4)/Components!$E$4)^2))</f>
        <v/>
      </c>
      <c r="N178">
        <f>IF(G178="","",IF(VLOOKUP(C178,Recipes!$A$2:$N$4,7,FALSE())=0,-1E+300,-0.5*((J178-Components!$D$5)/Components!$E$5)^2))</f>
        <v/>
      </c>
      <c r="O178">
        <f>IF(G178="","",IF(VLOOKUP(C178,Recipes!$A$2:$N$4,8,FALSE())=0,-1E+300,-0.5*((J178-Components!$D$6)/Components!$E$6)^2))</f>
        <v/>
      </c>
      <c r="P178">
        <f>IF(G178="","",IF(VLOOKUP(C178,Recipes!$A$2:$N$4,9,FALSE())=0,-1E+300,-0.5*((J178-Components!$D$7)/Components!$E$7)^2))</f>
        <v/>
      </c>
      <c r="Q178">
        <f>IF(G178="","",EXP(LARGE(K178:P178,1)-MAX(K178:P178))/(EXP(K178-MAX(K178:P178))+EXP(L178-MAX(K178:P178))+EXP(M178-MAX(K178:P178))+EXP(N178-MAX(K178:P178))+EXP(O178-MAX(K178:P178))+EXP(P178-MAX(K178:P178))))</f>
        <v/>
      </c>
      <c r="R178">
        <f>IF(G178="","",EXP(LARGE(K178:P178,2)-MAX(K178:P178))/(EXP(K178-MAX(K178:P178))+EXP(L178-MAX(K178:P178))+EXP(M178-MAX(K178:P178))+EXP(N178-MAX(K178:P178))+EXP(O178-MAX(K178:P178))+EXP(P178-MAX(K178:P178))))</f>
        <v/>
      </c>
      <c r="S178">
        <f>IF(G178="","",Q178-R178)</f>
        <v/>
      </c>
      <c r="T178">
        <f>IF(G178="","",IF(ABS(G178-H178)&lt;=$B$6*I178,"OK","NG"))</f>
        <v/>
      </c>
      <c r="U178">
        <f>IF(T178="","",IF(T178=D178,1,0))</f>
        <v/>
      </c>
      <c r="V178">
        <f>IF(G178="","",IF(T178="OK","NONE",INDEX({"S1","S2","W1","W2","N1","N2"},MATCH(MAX(K178:P178),K178:P178,0))))</f>
        <v/>
      </c>
      <c r="W178">
        <f>IF(G178="","",IF(V178=E178,1,0))</f>
        <v/>
      </c>
      <c r="X178">
        <f>IF(G178="","",IF(AND(T178="NG",S178&lt;$B$7),"AMBIGUOUS","CONFIDENT"))</f>
        <v/>
      </c>
    </row>
    <row r="179">
      <c r="A179">
        <f>'Runs Z score'!A172</f>
        <v/>
      </c>
      <c r="B179">
        <f>'Runs Z score'!B172</f>
        <v/>
      </c>
      <c r="C179">
        <f>'Runs Z score'!C172</f>
        <v/>
      </c>
      <c r="D179">
        <f>'Runs Z score'!D172</f>
        <v/>
      </c>
      <c r="E179">
        <f>'Runs Z score'!E172</f>
        <v/>
      </c>
      <c r="F179">
        <f>'Runs Z score'!F172</f>
        <v/>
      </c>
      <c r="G179">
        <f>'Runs Z score'!G172</f>
        <v/>
      </c>
      <c r="H179">
        <f>VLOOKUP(C179,Recipes!$A$2:$N$4,10,FALSE())</f>
        <v/>
      </c>
      <c r="I179">
        <f>VLOOKUP(C179,Recipes!$A$2:$N$4,12,FALSE())</f>
        <v/>
      </c>
      <c r="J179">
        <f>IF(G179="","",H179-G179)</f>
        <v/>
      </c>
      <c r="K179">
        <f>IF(G179="","",IF(VLOOKUP(C179,Recipes!$A$2:$N$4,4,FALSE())=0,-1E+300,-0.5*((J179-Components!$D$2)/Components!$E$2)^2))</f>
        <v/>
      </c>
      <c r="L179">
        <f>IF(G179="","",IF(VLOOKUP(C179,Recipes!$A$2:$N$4,5,FALSE())=0,-1E+300,-0.5*((J179-Components!$D$3)/Components!$E$3)^2))</f>
        <v/>
      </c>
      <c r="M179">
        <f>IF(G179="","",IF(VLOOKUP(C179,Recipes!$A$2:$N$4,6,FALSE())=0,-1E+300,-0.5*((J179-Components!$D$4)/Components!$E$4)^2))</f>
        <v/>
      </c>
      <c r="N179">
        <f>IF(G179="","",IF(VLOOKUP(C179,Recipes!$A$2:$N$4,7,FALSE())=0,-1E+300,-0.5*((J179-Components!$D$5)/Components!$E$5)^2))</f>
        <v/>
      </c>
      <c r="O179">
        <f>IF(G179="","",IF(VLOOKUP(C179,Recipes!$A$2:$N$4,8,FALSE())=0,-1E+300,-0.5*((J179-Components!$D$6)/Components!$E$6)^2))</f>
        <v/>
      </c>
      <c r="P179">
        <f>IF(G179="","",IF(VLOOKUP(C179,Recipes!$A$2:$N$4,9,FALSE())=0,-1E+300,-0.5*((J179-Components!$D$7)/Components!$E$7)^2))</f>
        <v/>
      </c>
      <c r="Q179">
        <f>IF(G179="","",EXP(LARGE(K179:P179,1)-MAX(K179:P179))/(EXP(K179-MAX(K179:P179))+EXP(L179-MAX(K179:P179))+EXP(M179-MAX(K179:P179))+EXP(N179-MAX(K179:P179))+EXP(O179-MAX(K179:P179))+EXP(P179-MAX(K179:P179))))</f>
        <v/>
      </c>
      <c r="R179">
        <f>IF(G179="","",EXP(LARGE(K179:P179,2)-MAX(K179:P179))/(EXP(K179-MAX(K179:P179))+EXP(L179-MAX(K179:P179))+EXP(M179-MAX(K179:P179))+EXP(N179-MAX(K179:P179))+EXP(O179-MAX(K179:P179))+EXP(P179-MAX(K179:P179))))</f>
        <v/>
      </c>
      <c r="S179">
        <f>IF(G179="","",Q179-R179)</f>
        <v/>
      </c>
      <c r="T179">
        <f>IF(G179="","",IF(ABS(G179-H179)&lt;=$B$6*I179,"OK","NG"))</f>
        <v/>
      </c>
      <c r="U179">
        <f>IF(T179="","",IF(T179=D179,1,0))</f>
        <v/>
      </c>
      <c r="V179">
        <f>IF(G179="","",IF(T179="OK","NONE",INDEX({"S1","S2","W1","W2","N1","N2"},MATCH(MAX(K179:P179),K179:P179,0))))</f>
        <v/>
      </c>
      <c r="W179">
        <f>IF(G179="","",IF(V179=E179,1,0))</f>
        <v/>
      </c>
      <c r="X179">
        <f>IF(G179="","",IF(AND(T179="NG",S179&lt;$B$7),"AMBIGUOUS","CONFIDENT"))</f>
        <v/>
      </c>
    </row>
    <row r="180">
      <c r="A180">
        <f>'Runs Z score'!A173</f>
        <v/>
      </c>
      <c r="B180">
        <f>'Runs Z score'!B173</f>
        <v/>
      </c>
      <c r="C180">
        <f>'Runs Z score'!C173</f>
        <v/>
      </c>
      <c r="D180">
        <f>'Runs Z score'!D173</f>
        <v/>
      </c>
      <c r="E180">
        <f>'Runs Z score'!E173</f>
        <v/>
      </c>
      <c r="F180">
        <f>'Runs Z score'!F173</f>
        <v/>
      </c>
      <c r="G180">
        <f>'Runs Z score'!G173</f>
        <v/>
      </c>
      <c r="H180">
        <f>VLOOKUP(C180,Recipes!$A$2:$N$4,10,FALSE())</f>
        <v/>
      </c>
      <c r="I180">
        <f>VLOOKUP(C180,Recipes!$A$2:$N$4,12,FALSE())</f>
        <v/>
      </c>
      <c r="J180">
        <f>IF(G180="","",H180-G180)</f>
        <v/>
      </c>
      <c r="K180">
        <f>IF(G180="","",IF(VLOOKUP(C180,Recipes!$A$2:$N$4,4,FALSE())=0,-1E+300,-0.5*((J180-Components!$D$2)/Components!$E$2)^2))</f>
        <v/>
      </c>
      <c r="L180">
        <f>IF(G180="","",IF(VLOOKUP(C180,Recipes!$A$2:$N$4,5,FALSE())=0,-1E+300,-0.5*((J180-Components!$D$3)/Components!$E$3)^2))</f>
        <v/>
      </c>
      <c r="M180">
        <f>IF(G180="","",IF(VLOOKUP(C180,Recipes!$A$2:$N$4,6,FALSE())=0,-1E+300,-0.5*((J180-Components!$D$4)/Components!$E$4)^2))</f>
        <v/>
      </c>
      <c r="N180">
        <f>IF(G180="","",IF(VLOOKUP(C180,Recipes!$A$2:$N$4,7,FALSE())=0,-1E+300,-0.5*((J180-Components!$D$5)/Components!$E$5)^2))</f>
        <v/>
      </c>
      <c r="O180">
        <f>IF(G180="","",IF(VLOOKUP(C180,Recipes!$A$2:$N$4,8,FALSE())=0,-1E+300,-0.5*((J180-Components!$D$6)/Components!$E$6)^2))</f>
        <v/>
      </c>
      <c r="P180">
        <f>IF(G180="","",IF(VLOOKUP(C180,Recipes!$A$2:$N$4,9,FALSE())=0,-1E+300,-0.5*((J180-Components!$D$7)/Components!$E$7)^2))</f>
        <v/>
      </c>
      <c r="Q180">
        <f>IF(G180="","",EXP(LARGE(K180:P180,1)-MAX(K180:P180))/(EXP(K180-MAX(K180:P180))+EXP(L180-MAX(K180:P180))+EXP(M180-MAX(K180:P180))+EXP(N180-MAX(K180:P180))+EXP(O180-MAX(K180:P180))+EXP(P180-MAX(K180:P180))))</f>
        <v/>
      </c>
      <c r="R180">
        <f>IF(G180="","",EXP(LARGE(K180:P180,2)-MAX(K180:P180))/(EXP(K180-MAX(K180:P180))+EXP(L180-MAX(K180:P180))+EXP(M180-MAX(K180:P180))+EXP(N180-MAX(K180:P180))+EXP(O180-MAX(K180:P180))+EXP(P180-MAX(K180:P180))))</f>
        <v/>
      </c>
      <c r="S180">
        <f>IF(G180="","",Q180-R180)</f>
        <v/>
      </c>
      <c r="T180">
        <f>IF(G180="","",IF(ABS(G180-H180)&lt;=$B$6*I180,"OK","NG"))</f>
        <v/>
      </c>
      <c r="U180">
        <f>IF(T180="","",IF(T180=D180,1,0))</f>
        <v/>
      </c>
      <c r="V180">
        <f>IF(G180="","",IF(T180="OK","NONE",INDEX({"S1","S2","W1","W2","N1","N2"},MATCH(MAX(K180:P180),K180:P180,0))))</f>
        <v/>
      </c>
      <c r="W180">
        <f>IF(G180="","",IF(V180=E180,1,0))</f>
        <v/>
      </c>
      <c r="X180">
        <f>IF(G180="","",IF(AND(T180="NG",S180&lt;$B$7),"AMBIGUOUS","CONFIDENT"))</f>
        <v/>
      </c>
    </row>
    <row r="181">
      <c r="A181">
        <f>'Runs Z score'!A174</f>
        <v/>
      </c>
      <c r="B181">
        <f>'Runs Z score'!B174</f>
        <v/>
      </c>
      <c r="C181">
        <f>'Runs Z score'!C174</f>
        <v/>
      </c>
      <c r="D181">
        <f>'Runs Z score'!D174</f>
        <v/>
      </c>
      <c r="E181">
        <f>'Runs Z score'!E174</f>
        <v/>
      </c>
      <c r="F181">
        <f>'Runs Z score'!F174</f>
        <v/>
      </c>
      <c r="G181">
        <f>'Runs Z score'!G174</f>
        <v/>
      </c>
      <c r="H181">
        <f>VLOOKUP(C181,Recipes!$A$2:$N$4,10,FALSE())</f>
        <v/>
      </c>
      <c r="I181">
        <f>VLOOKUP(C181,Recipes!$A$2:$N$4,12,FALSE())</f>
        <v/>
      </c>
      <c r="J181">
        <f>IF(G181="","",H181-G181)</f>
        <v/>
      </c>
      <c r="K181">
        <f>IF(G181="","",IF(VLOOKUP(C181,Recipes!$A$2:$N$4,4,FALSE())=0,-1E+300,-0.5*((J181-Components!$D$2)/Components!$E$2)^2))</f>
        <v/>
      </c>
      <c r="L181">
        <f>IF(G181="","",IF(VLOOKUP(C181,Recipes!$A$2:$N$4,5,FALSE())=0,-1E+300,-0.5*((J181-Components!$D$3)/Components!$E$3)^2))</f>
        <v/>
      </c>
      <c r="M181">
        <f>IF(G181="","",IF(VLOOKUP(C181,Recipes!$A$2:$N$4,6,FALSE())=0,-1E+300,-0.5*((J181-Components!$D$4)/Components!$E$4)^2))</f>
        <v/>
      </c>
      <c r="N181">
        <f>IF(G181="","",IF(VLOOKUP(C181,Recipes!$A$2:$N$4,7,FALSE())=0,-1E+300,-0.5*((J181-Components!$D$5)/Components!$E$5)^2))</f>
        <v/>
      </c>
      <c r="O181">
        <f>IF(G181="","",IF(VLOOKUP(C181,Recipes!$A$2:$N$4,8,FALSE())=0,-1E+300,-0.5*((J181-Components!$D$6)/Components!$E$6)^2))</f>
        <v/>
      </c>
      <c r="P181">
        <f>IF(G181="","",IF(VLOOKUP(C181,Recipes!$A$2:$N$4,9,FALSE())=0,-1E+300,-0.5*((J181-Components!$D$7)/Components!$E$7)^2))</f>
        <v/>
      </c>
      <c r="Q181">
        <f>IF(G181="","",EXP(LARGE(K181:P181,1)-MAX(K181:P181))/(EXP(K181-MAX(K181:P181))+EXP(L181-MAX(K181:P181))+EXP(M181-MAX(K181:P181))+EXP(N181-MAX(K181:P181))+EXP(O181-MAX(K181:P181))+EXP(P181-MAX(K181:P181))))</f>
        <v/>
      </c>
      <c r="R181">
        <f>IF(G181="","",EXP(LARGE(K181:P181,2)-MAX(K181:P181))/(EXP(K181-MAX(K181:P181))+EXP(L181-MAX(K181:P181))+EXP(M181-MAX(K181:P181))+EXP(N181-MAX(K181:P181))+EXP(O181-MAX(K181:P181))+EXP(P181-MAX(K181:P181))))</f>
        <v/>
      </c>
      <c r="S181">
        <f>IF(G181="","",Q181-R181)</f>
        <v/>
      </c>
      <c r="T181">
        <f>IF(G181="","",IF(ABS(G181-H181)&lt;=$B$6*I181,"OK","NG"))</f>
        <v/>
      </c>
      <c r="U181">
        <f>IF(T181="","",IF(T181=D181,1,0))</f>
        <v/>
      </c>
      <c r="V181">
        <f>IF(G181="","",IF(T181="OK","NONE",INDEX({"S1","S2","W1","W2","N1","N2"},MATCH(MAX(K181:P181),K181:P181,0))))</f>
        <v/>
      </c>
      <c r="W181">
        <f>IF(G181="","",IF(V181=E181,1,0))</f>
        <v/>
      </c>
      <c r="X181">
        <f>IF(G181="","",IF(AND(T181="NG",S181&lt;$B$7),"AMBIGUOUS","CONFIDENT"))</f>
        <v/>
      </c>
    </row>
    <row r="182">
      <c r="A182">
        <f>'Runs Z score'!A175</f>
        <v/>
      </c>
      <c r="B182">
        <f>'Runs Z score'!B175</f>
        <v/>
      </c>
      <c r="C182">
        <f>'Runs Z score'!C175</f>
        <v/>
      </c>
      <c r="D182">
        <f>'Runs Z score'!D175</f>
        <v/>
      </c>
      <c r="E182">
        <f>'Runs Z score'!E175</f>
        <v/>
      </c>
      <c r="F182">
        <f>'Runs Z score'!F175</f>
        <v/>
      </c>
      <c r="G182">
        <f>'Runs Z score'!G175</f>
        <v/>
      </c>
      <c r="H182">
        <f>VLOOKUP(C182,Recipes!$A$2:$N$4,10,FALSE())</f>
        <v/>
      </c>
      <c r="I182">
        <f>VLOOKUP(C182,Recipes!$A$2:$N$4,12,FALSE())</f>
        <v/>
      </c>
      <c r="J182">
        <f>IF(G182="","",H182-G182)</f>
        <v/>
      </c>
      <c r="K182">
        <f>IF(G182="","",IF(VLOOKUP(C182,Recipes!$A$2:$N$4,4,FALSE())=0,-1E+300,-0.5*((J182-Components!$D$2)/Components!$E$2)^2))</f>
        <v/>
      </c>
      <c r="L182">
        <f>IF(G182="","",IF(VLOOKUP(C182,Recipes!$A$2:$N$4,5,FALSE())=0,-1E+300,-0.5*((J182-Components!$D$3)/Components!$E$3)^2))</f>
        <v/>
      </c>
      <c r="M182">
        <f>IF(G182="","",IF(VLOOKUP(C182,Recipes!$A$2:$N$4,6,FALSE())=0,-1E+300,-0.5*((J182-Components!$D$4)/Components!$E$4)^2))</f>
        <v/>
      </c>
      <c r="N182">
        <f>IF(G182="","",IF(VLOOKUP(C182,Recipes!$A$2:$N$4,7,FALSE())=0,-1E+300,-0.5*((J182-Components!$D$5)/Components!$E$5)^2))</f>
        <v/>
      </c>
      <c r="O182">
        <f>IF(G182="","",IF(VLOOKUP(C182,Recipes!$A$2:$N$4,8,FALSE())=0,-1E+300,-0.5*((J182-Components!$D$6)/Components!$E$6)^2))</f>
        <v/>
      </c>
      <c r="P182">
        <f>IF(G182="","",IF(VLOOKUP(C182,Recipes!$A$2:$N$4,9,FALSE())=0,-1E+300,-0.5*((J182-Components!$D$7)/Components!$E$7)^2))</f>
        <v/>
      </c>
      <c r="Q182">
        <f>IF(G182="","",EXP(LARGE(K182:P182,1)-MAX(K182:P182))/(EXP(K182-MAX(K182:P182))+EXP(L182-MAX(K182:P182))+EXP(M182-MAX(K182:P182))+EXP(N182-MAX(K182:P182))+EXP(O182-MAX(K182:P182))+EXP(P182-MAX(K182:P182))))</f>
        <v/>
      </c>
      <c r="R182">
        <f>IF(G182="","",EXP(LARGE(K182:P182,2)-MAX(K182:P182))/(EXP(K182-MAX(K182:P182))+EXP(L182-MAX(K182:P182))+EXP(M182-MAX(K182:P182))+EXP(N182-MAX(K182:P182))+EXP(O182-MAX(K182:P182))+EXP(P182-MAX(K182:P182))))</f>
        <v/>
      </c>
      <c r="S182">
        <f>IF(G182="","",Q182-R182)</f>
        <v/>
      </c>
      <c r="T182">
        <f>IF(G182="","",IF(ABS(G182-H182)&lt;=$B$6*I182,"OK","NG"))</f>
        <v/>
      </c>
      <c r="U182">
        <f>IF(T182="","",IF(T182=D182,1,0))</f>
        <v/>
      </c>
      <c r="V182">
        <f>IF(G182="","",IF(T182="OK","NONE",INDEX({"S1","S2","W1","W2","N1","N2"},MATCH(MAX(K182:P182),K182:P182,0))))</f>
        <v/>
      </c>
      <c r="W182">
        <f>IF(G182="","",IF(V182=E182,1,0))</f>
        <v/>
      </c>
      <c r="X182">
        <f>IF(G182="","",IF(AND(T182="NG",S182&lt;$B$7),"AMBIGUOUS","CONFIDENT"))</f>
        <v/>
      </c>
    </row>
    <row r="183">
      <c r="A183">
        <f>'Runs Z score'!A176</f>
        <v/>
      </c>
      <c r="B183">
        <f>'Runs Z score'!B176</f>
        <v/>
      </c>
      <c r="C183">
        <f>'Runs Z score'!C176</f>
        <v/>
      </c>
      <c r="D183">
        <f>'Runs Z score'!D176</f>
        <v/>
      </c>
      <c r="E183">
        <f>'Runs Z score'!E176</f>
        <v/>
      </c>
      <c r="F183">
        <f>'Runs Z score'!F176</f>
        <v/>
      </c>
      <c r="G183">
        <f>'Runs Z score'!G176</f>
        <v/>
      </c>
      <c r="H183">
        <f>VLOOKUP(C183,Recipes!$A$2:$N$4,10,FALSE())</f>
        <v/>
      </c>
      <c r="I183">
        <f>VLOOKUP(C183,Recipes!$A$2:$N$4,12,FALSE())</f>
        <v/>
      </c>
      <c r="J183">
        <f>IF(G183="","",H183-G183)</f>
        <v/>
      </c>
      <c r="K183">
        <f>IF(G183="","",IF(VLOOKUP(C183,Recipes!$A$2:$N$4,4,FALSE())=0,-1E+300,-0.5*((J183-Components!$D$2)/Components!$E$2)^2))</f>
        <v/>
      </c>
      <c r="L183">
        <f>IF(G183="","",IF(VLOOKUP(C183,Recipes!$A$2:$N$4,5,FALSE())=0,-1E+300,-0.5*((J183-Components!$D$3)/Components!$E$3)^2))</f>
        <v/>
      </c>
      <c r="M183">
        <f>IF(G183="","",IF(VLOOKUP(C183,Recipes!$A$2:$N$4,6,FALSE())=0,-1E+300,-0.5*((J183-Components!$D$4)/Components!$E$4)^2))</f>
        <v/>
      </c>
      <c r="N183">
        <f>IF(G183="","",IF(VLOOKUP(C183,Recipes!$A$2:$N$4,7,FALSE())=0,-1E+300,-0.5*((J183-Components!$D$5)/Components!$E$5)^2))</f>
        <v/>
      </c>
      <c r="O183">
        <f>IF(G183="","",IF(VLOOKUP(C183,Recipes!$A$2:$N$4,8,FALSE())=0,-1E+300,-0.5*((J183-Components!$D$6)/Components!$E$6)^2))</f>
        <v/>
      </c>
      <c r="P183">
        <f>IF(G183="","",IF(VLOOKUP(C183,Recipes!$A$2:$N$4,9,FALSE())=0,-1E+300,-0.5*((J183-Components!$D$7)/Components!$E$7)^2))</f>
        <v/>
      </c>
      <c r="Q183">
        <f>IF(G183="","",EXP(LARGE(K183:P183,1)-MAX(K183:P183))/(EXP(K183-MAX(K183:P183))+EXP(L183-MAX(K183:P183))+EXP(M183-MAX(K183:P183))+EXP(N183-MAX(K183:P183))+EXP(O183-MAX(K183:P183))+EXP(P183-MAX(K183:P183))))</f>
        <v/>
      </c>
      <c r="R183">
        <f>IF(G183="","",EXP(LARGE(K183:P183,2)-MAX(K183:P183))/(EXP(K183-MAX(K183:P183))+EXP(L183-MAX(K183:P183))+EXP(M183-MAX(K183:P183))+EXP(N183-MAX(K183:P183))+EXP(O183-MAX(K183:P183))+EXP(P183-MAX(K183:P183))))</f>
        <v/>
      </c>
      <c r="S183">
        <f>IF(G183="","",Q183-R183)</f>
        <v/>
      </c>
      <c r="T183">
        <f>IF(G183="","",IF(ABS(G183-H183)&lt;=$B$6*I183,"OK","NG"))</f>
        <v/>
      </c>
      <c r="U183">
        <f>IF(T183="","",IF(T183=D183,1,0))</f>
        <v/>
      </c>
      <c r="V183">
        <f>IF(G183="","",IF(T183="OK","NONE",INDEX({"S1","S2","W1","W2","N1","N2"},MATCH(MAX(K183:P183),K183:P183,0))))</f>
        <v/>
      </c>
      <c r="W183">
        <f>IF(G183="","",IF(V183=E183,1,0))</f>
        <v/>
      </c>
      <c r="X183">
        <f>IF(G183="","",IF(AND(T183="NG",S183&lt;$B$7),"AMBIGUOUS","CONFIDENT"))</f>
        <v/>
      </c>
    </row>
    <row r="184">
      <c r="A184">
        <f>'Runs Z score'!A177</f>
        <v/>
      </c>
      <c r="B184">
        <f>'Runs Z score'!B177</f>
        <v/>
      </c>
      <c r="C184">
        <f>'Runs Z score'!C177</f>
        <v/>
      </c>
      <c r="D184">
        <f>'Runs Z score'!D177</f>
        <v/>
      </c>
      <c r="E184">
        <f>'Runs Z score'!E177</f>
        <v/>
      </c>
      <c r="F184">
        <f>'Runs Z score'!F177</f>
        <v/>
      </c>
      <c r="G184">
        <f>'Runs Z score'!G177</f>
        <v/>
      </c>
      <c r="H184">
        <f>VLOOKUP(C184,Recipes!$A$2:$N$4,10,FALSE())</f>
        <v/>
      </c>
      <c r="I184">
        <f>VLOOKUP(C184,Recipes!$A$2:$N$4,12,FALSE())</f>
        <v/>
      </c>
      <c r="J184">
        <f>IF(G184="","",H184-G184)</f>
        <v/>
      </c>
      <c r="K184">
        <f>IF(G184="","",IF(VLOOKUP(C184,Recipes!$A$2:$N$4,4,FALSE())=0,-1E+300,-0.5*((J184-Components!$D$2)/Components!$E$2)^2))</f>
        <v/>
      </c>
      <c r="L184">
        <f>IF(G184="","",IF(VLOOKUP(C184,Recipes!$A$2:$N$4,5,FALSE())=0,-1E+300,-0.5*((J184-Components!$D$3)/Components!$E$3)^2))</f>
        <v/>
      </c>
      <c r="M184">
        <f>IF(G184="","",IF(VLOOKUP(C184,Recipes!$A$2:$N$4,6,FALSE())=0,-1E+300,-0.5*((J184-Components!$D$4)/Components!$E$4)^2))</f>
        <v/>
      </c>
      <c r="N184">
        <f>IF(G184="","",IF(VLOOKUP(C184,Recipes!$A$2:$N$4,7,FALSE())=0,-1E+300,-0.5*((J184-Components!$D$5)/Components!$E$5)^2))</f>
        <v/>
      </c>
      <c r="O184">
        <f>IF(G184="","",IF(VLOOKUP(C184,Recipes!$A$2:$N$4,8,FALSE())=0,-1E+300,-0.5*((J184-Components!$D$6)/Components!$E$6)^2))</f>
        <v/>
      </c>
      <c r="P184">
        <f>IF(G184="","",IF(VLOOKUP(C184,Recipes!$A$2:$N$4,9,FALSE())=0,-1E+300,-0.5*((J184-Components!$D$7)/Components!$E$7)^2))</f>
        <v/>
      </c>
      <c r="Q184">
        <f>IF(G184="","",EXP(LARGE(K184:P184,1)-MAX(K184:P184))/(EXP(K184-MAX(K184:P184))+EXP(L184-MAX(K184:P184))+EXP(M184-MAX(K184:P184))+EXP(N184-MAX(K184:P184))+EXP(O184-MAX(K184:P184))+EXP(P184-MAX(K184:P184))))</f>
        <v/>
      </c>
      <c r="R184">
        <f>IF(G184="","",EXP(LARGE(K184:P184,2)-MAX(K184:P184))/(EXP(K184-MAX(K184:P184))+EXP(L184-MAX(K184:P184))+EXP(M184-MAX(K184:P184))+EXP(N184-MAX(K184:P184))+EXP(O184-MAX(K184:P184))+EXP(P184-MAX(K184:P184))))</f>
        <v/>
      </c>
      <c r="S184">
        <f>IF(G184="","",Q184-R184)</f>
        <v/>
      </c>
      <c r="T184">
        <f>IF(G184="","",IF(ABS(G184-H184)&lt;=$B$6*I184,"OK","NG"))</f>
        <v/>
      </c>
      <c r="U184">
        <f>IF(T184="","",IF(T184=D184,1,0))</f>
        <v/>
      </c>
      <c r="V184">
        <f>IF(G184="","",IF(T184="OK","NONE",INDEX({"S1","S2","W1","W2","N1","N2"},MATCH(MAX(K184:P184),K184:P184,0))))</f>
        <v/>
      </c>
      <c r="W184">
        <f>IF(G184="","",IF(V184=E184,1,0))</f>
        <v/>
      </c>
      <c r="X184">
        <f>IF(G184="","",IF(AND(T184="NG",S184&lt;$B$7),"AMBIGUOUS","CONFIDENT"))</f>
        <v/>
      </c>
    </row>
    <row r="185">
      <c r="A185">
        <f>'Runs Z score'!A178</f>
        <v/>
      </c>
      <c r="B185">
        <f>'Runs Z score'!B178</f>
        <v/>
      </c>
      <c r="C185">
        <f>'Runs Z score'!C178</f>
        <v/>
      </c>
      <c r="D185">
        <f>'Runs Z score'!D178</f>
        <v/>
      </c>
      <c r="E185">
        <f>'Runs Z score'!E178</f>
        <v/>
      </c>
      <c r="F185">
        <f>'Runs Z score'!F178</f>
        <v/>
      </c>
      <c r="G185">
        <f>'Runs Z score'!G178</f>
        <v/>
      </c>
      <c r="H185">
        <f>VLOOKUP(C185,Recipes!$A$2:$N$4,10,FALSE())</f>
        <v/>
      </c>
      <c r="I185">
        <f>VLOOKUP(C185,Recipes!$A$2:$N$4,12,FALSE())</f>
        <v/>
      </c>
      <c r="J185">
        <f>IF(G185="","",H185-G185)</f>
        <v/>
      </c>
      <c r="K185">
        <f>IF(G185="","",IF(VLOOKUP(C185,Recipes!$A$2:$N$4,4,FALSE())=0,-1E+300,-0.5*((J185-Components!$D$2)/Components!$E$2)^2))</f>
        <v/>
      </c>
      <c r="L185">
        <f>IF(G185="","",IF(VLOOKUP(C185,Recipes!$A$2:$N$4,5,FALSE())=0,-1E+300,-0.5*((J185-Components!$D$3)/Components!$E$3)^2))</f>
        <v/>
      </c>
      <c r="M185">
        <f>IF(G185="","",IF(VLOOKUP(C185,Recipes!$A$2:$N$4,6,FALSE())=0,-1E+300,-0.5*((J185-Components!$D$4)/Components!$E$4)^2))</f>
        <v/>
      </c>
      <c r="N185">
        <f>IF(G185="","",IF(VLOOKUP(C185,Recipes!$A$2:$N$4,7,FALSE())=0,-1E+300,-0.5*((J185-Components!$D$5)/Components!$E$5)^2))</f>
        <v/>
      </c>
      <c r="O185">
        <f>IF(G185="","",IF(VLOOKUP(C185,Recipes!$A$2:$N$4,8,FALSE())=0,-1E+300,-0.5*((J185-Components!$D$6)/Components!$E$6)^2))</f>
        <v/>
      </c>
      <c r="P185">
        <f>IF(G185="","",IF(VLOOKUP(C185,Recipes!$A$2:$N$4,9,FALSE())=0,-1E+300,-0.5*((J185-Components!$D$7)/Components!$E$7)^2))</f>
        <v/>
      </c>
      <c r="Q185">
        <f>IF(G185="","",EXP(LARGE(K185:P185,1)-MAX(K185:P185))/(EXP(K185-MAX(K185:P185))+EXP(L185-MAX(K185:P185))+EXP(M185-MAX(K185:P185))+EXP(N185-MAX(K185:P185))+EXP(O185-MAX(K185:P185))+EXP(P185-MAX(K185:P185))))</f>
        <v/>
      </c>
      <c r="R185">
        <f>IF(G185="","",EXP(LARGE(K185:P185,2)-MAX(K185:P185))/(EXP(K185-MAX(K185:P185))+EXP(L185-MAX(K185:P185))+EXP(M185-MAX(K185:P185))+EXP(N185-MAX(K185:P185))+EXP(O185-MAX(K185:P185))+EXP(P185-MAX(K185:P185))))</f>
        <v/>
      </c>
      <c r="S185">
        <f>IF(G185="","",Q185-R185)</f>
        <v/>
      </c>
      <c r="T185">
        <f>IF(G185="","",IF(ABS(G185-H185)&lt;=$B$6*I185,"OK","NG"))</f>
        <v/>
      </c>
      <c r="U185">
        <f>IF(T185="","",IF(T185=D185,1,0))</f>
        <v/>
      </c>
      <c r="V185">
        <f>IF(G185="","",IF(T185="OK","NONE",INDEX({"S1","S2","W1","W2","N1","N2"},MATCH(MAX(K185:P185),K185:P185,0))))</f>
        <v/>
      </c>
      <c r="W185">
        <f>IF(G185="","",IF(V185=E185,1,0))</f>
        <v/>
      </c>
      <c r="X185">
        <f>IF(G185="","",IF(AND(T185="NG",S185&lt;$B$7),"AMBIGUOUS","CONFIDENT"))</f>
        <v/>
      </c>
    </row>
    <row r="186">
      <c r="A186">
        <f>'Runs Z score'!A179</f>
        <v/>
      </c>
      <c r="B186">
        <f>'Runs Z score'!B179</f>
        <v/>
      </c>
      <c r="C186">
        <f>'Runs Z score'!C179</f>
        <v/>
      </c>
      <c r="D186">
        <f>'Runs Z score'!D179</f>
        <v/>
      </c>
      <c r="E186">
        <f>'Runs Z score'!E179</f>
        <v/>
      </c>
      <c r="F186">
        <f>'Runs Z score'!F179</f>
        <v/>
      </c>
      <c r="G186">
        <f>'Runs Z score'!G179</f>
        <v/>
      </c>
      <c r="H186">
        <f>VLOOKUP(C186,Recipes!$A$2:$N$4,10,FALSE())</f>
        <v/>
      </c>
      <c r="I186">
        <f>VLOOKUP(C186,Recipes!$A$2:$N$4,12,FALSE())</f>
        <v/>
      </c>
      <c r="J186">
        <f>IF(G186="","",H186-G186)</f>
        <v/>
      </c>
      <c r="K186">
        <f>IF(G186="","",IF(VLOOKUP(C186,Recipes!$A$2:$N$4,4,FALSE())=0,-1E+300,-0.5*((J186-Components!$D$2)/Components!$E$2)^2))</f>
        <v/>
      </c>
      <c r="L186">
        <f>IF(G186="","",IF(VLOOKUP(C186,Recipes!$A$2:$N$4,5,FALSE())=0,-1E+300,-0.5*((J186-Components!$D$3)/Components!$E$3)^2))</f>
        <v/>
      </c>
      <c r="M186">
        <f>IF(G186="","",IF(VLOOKUP(C186,Recipes!$A$2:$N$4,6,FALSE())=0,-1E+300,-0.5*((J186-Components!$D$4)/Components!$E$4)^2))</f>
        <v/>
      </c>
      <c r="N186">
        <f>IF(G186="","",IF(VLOOKUP(C186,Recipes!$A$2:$N$4,7,FALSE())=0,-1E+300,-0.5*((J186-Components!$D$5)/Components!$E$5)^2))</f>
        <v/>
      </c>
      <c r="O186">
        <f>IF(G186="","",IF(VLOOKUP(C186,Recipes!$A$2:$N$4,8,FALSE())=0,-1E+300,-0.5*((J186-Components!$D$6)/Components!$E$6)^2))</f>
        <v/>
      </c>
      <c r="P186">
        <f>IF(G186="","",IF(VLOOKUP(C186,Recipes!$A$2:$N$4,9,FALSE())=0,-1E+300,-0.5*((J186-Components!$D$7)/Components!$E$7)^2))</f>
        <v/>
      </c>
      <c r="Q186">
        <f>IF(G186="","",EXP(LARGE(K186:P186,1)-MAX(K186:P186))/(EXP(K186-MAX(K186:P186))+EXP(L186-MAX(K186:P186))+EXP(M186-MAX(K186:P186))+EXP(N186-MAX(K186:P186))+EXP(O186-MAX(K186:P186))+EXP(P186-MAX(K186:P186))))</f>
        <v/>
      </c>
      <c r="R186">
        <f>IF(G186="","",EXP(LARGE(K186:P186,2)-MAX(K186:P186))/(EXP(K186-MAX(K186:P186))+EXP(L186-MAX(K186:P186))+EXP(M186-MAX(K186:P186))+EXP(N186-MAX(K186:P186))+EXP(O186-MAX(K186:P186))+EXP(P186-MAX(K186:P186))))</f>
        <v/>
      </c>
      <c r="S186">
        <f>IF(G186="","",Q186-R186)</f>
        <v/>
      </c>
      <c r="T186">
        <f>IF(G186="","",IF(ABS(G186-H186)&lt;=$B$6*I186,"OK","NG"))</f>
        <v/>
      </c>
      <c r="U186">
        <f>IF(T186="","",IF(T186=D186,1,0))</f>
        <v/>
      </c>
      <c r="V186">
        <f>IF(G186="","",IF(T186="OK","NONE",INDEX({"S1","S2","W1","W2","N1","N2"},MATCH(MAX(K186:P186),K186:P186,0))))</f>
        <v/>
      </c>
      <c r="W186">
        <f>IF(G186="","",IF(V186=E186,1,0))</f>
        <v/>
      </c>
      <c r="X186">
        <f>IF(G186="","",IF(AND(T186="NG",S186&lt;$B$7),"AMBIGUOUS","CONFIDENT"))</f>
        <v/>
      </c>
    </row>
    <row r="187">
      <c r="A187">
        <f>'Runs Z score'!A180</f>
        <v/>
      </c>
      <c r="B187">
        <f>'Runs Z score'!B180</f>
        <v/>
      </c>
      <c r="C187">
        <f>'Runs Z score'!C180</f>
        <v/>
      </c>
      <c r="D187">
        <f>'Runs Z score'!D180</f>
        <v/>
      </c>
      <c r="E187">
        <f>'Runs Z score'!E180</f>
        <v/>
      </c>
      <c r="F187">
        <f>'Runs Z score'!F180</f>
        <v/>
      </c>
      <c r="G187">
        <f>'Runs Z score'!G180</f>
        <v/>
      </c>
      <c r="H187">
        <f>VLOOKUP(C187,Recipes!$A$2:$N$4,10,FALSE())</f>
        <v/>
      </c>
      <c r="I187">
        <f>VLOOKUP(C187,Recipes!$A$2:$N$4,12,FALSE())</f>
        <v/>
      </c>
      <c r="J187">
        <f>IF(G187="","",H187-G187)</f>
        <v/>
      </c>
      <c r="K187">
        <f>IF(G187="","",IF(VLOOKUP(C187,Recipes!$A$2:$N$4,4,FALSE())=0,-1E+300,-0.5*((J187-Components!$D$2)/Components!$E$2)^2))</f>
        <v/>
      </c>
      <c r="L187">
        <f>IF(G187="","",IF(VLOOKUP(C187,Recipes!$A$2:$N$4,5,FALSE())=0,-1E+300,-0.5*((J187-Components!$D$3)/Components!$E$3)^2))</f>
        <v/>
      </c>
      <c r="M187">
        <f>IF(G187="","",IF(VLOOKUP(C187,Recipes!$A$2:$N$4,6,FALSE())=0,-1E+300,-0.5*((J187-Components!$D$4)/Components!$E$4)^2))</f>
        <v/>
      </c>
      <c r="N187">
        <f>IF(G187="","",IF(VLOOKUP(C187,Recipes!$A$2:$N$4,7,FALSE())=0,-1E+300,-0.5*((J187-Components!$D$5)/Components!$E$5)^2))</f>
        <v/>
      </c>
      <c r="O187">
        <f>IF(G187="","",IF(VLOOKUP(C187,Recipes!$A$2:$N$4,8,FALSE())=0,-1E+300,-0.5*((J187-Components!$D$6)/Components!$E$6)^2))</f>
        <v/>
      </c>
      <c r="P187">
        <f>IF(G187="","",IF(VLOOKUP(C187,Recipes!$A$2:$N$4,9,FALSE())=0,-1E+300,-0.5*((J187-Components!$D$7)/Components!$E$7)^2))</f>
        <v/>
      </c>
      <c r="Q187">
        <f>IF(G187="","",EXP(LARGE(K187:P187,1)-MAX(K187:P187))/(EXP(K187-MAX(K187:P187))+EXP(L187-MAX(K187:P187))+EXP(M187-MAX(K187:P187))+EXP(N187-MAX(K187:P187))+EXP(O187-MAX(K187:P187))+EXP(P187-MAX(K187:P187))))</f>
        <v/>
      </c>
      <c r="R187">
        <f>IF(G187="","",EXP(LARGE(K187:P187,2)-MAX(K187:P187))/(EXP(K187-MAX(K187:P187))+EXP(L187-MAX(K187:P187))+EXP(M187-MAX(K187:P187))+EXP(N187-MAX(K187:P187))+EXP(O187-MAX(K187:P187))+EXP(P187-MAX(K187:P187))))</f>
        <v/>
      </c>
      <c r="S187">
        <f>IF(G187="","",Q187-R187)</f>
        <v/>
      </c>
      <c r="T187">
        <f>IF(G187="","",IF(ABS(G187-H187)&lt;=$B$6*I187,"OK","NG"))</f>
        <v/>
      </c>
      <c r="U187">
        <f>IF(T187="","",IF(T187=D187,1,0))</f>
        <v/>
      </c>
      <c r="V187">
        <f>IF(G187="","",IF(T187="OK","NONE",INDEX({"S1","S2","W1","W2","N1","N2"},MATCH(MAX(K187:P187),K187:P187,0))))</f>
        <v/>
      </c>
      <c r="W187">
        <f>IF(G187="","",IF(V187=E187,1,0))</f>
        <v/>
      </c>
      <c r="X187">
        <f>IF(G187="","",IF(AND(T187="NG",S187&lt;$B$7),"AMBIGUOUS","CONFIDENT"))</f>
        <v/>
      </c>
    </row>
    <row r="188">
      <c r="A188">
        <f>'Runs Z score'!A181</f>
        <v/>
      </c>
      <c r="B188">
        <f>'Runs Z score'!B181</f>
        <v/>
      </c>
      <c r="C188">
        <f>'Runs Z score'!C181</f>
        <v/>
      </c>
      <c r="D188">
        <f>'Runs Z score'!D181</f>
        <v/>
      </c>
      <c r="E188">
        <f>'Runs Z score'!E181</f>
        <v/>
      </c>
      <c r="F188">
        <f>'Runs Z score'!F181</f>
        <v/>
      </c>
      <c r="G188">
        <f>'Runs Z score'!G181</f>
        <v/>
      </c>
      <c r="H188">
        <f>VLOOKUP(C188,Recipes!$A$2:$N$4,10,FALSE())</f>
        <v/>
      </c>
      <c r="I188">
        <f>VLOOKUP(C188,Recipes!$A$2:$N$4,12,FALSE())</f>
        <v/>
      </c>
      <c r="J188">
        <f>IF(G188="","",H188-G188)</f>
        <v/>
      </c>
      <c r="K188">
        <f>IF(G188="","",IF(VLOOKUP(C188,Recipes!$A$2:$N$4,4,FALSE())=0,-1E+300,-0.5*((J188-Components!$D$2)/Components!$E$2)^2))</f>
        <v/>
      </c>
      <c r="L188">
        <f>IF(G188="","",IF(VLOOKUP(C188,Recipes!$A$2:$N$4,5,FALSE())=0,-1E+300,-0.5*((J188-Components!$D$3)/Components!$E$3)^2))</f>
        <v/>
      </c>
      <c r="M188">
        <f>IF(G188="","",IF(VLOOKUP(C188,Recipes!$A$2:$N$4,6,FALSE())=0,-1E+300,-0.5*((J188-Components!$D$4)/Components!$E$4)^2))</f>
        <v/>
      </c>
      <c r="N188">
        <f>IF(G188="","",IF(VLOOKUP(C188,Recipes!$A$2:$N$4,7,FALSE())=0,-1E+300,-0.5*((J188-Components!$D$5)/Components!$E$5)^2))</f>
        <v/>
      </c>
      <c r="O188">
        <f>IF(G188="","",IF(VLOOKUP(C188,Recipes!$A$2:$N$4,8,FALSE())=0,-1E+300,-0.5*((J188-Components!$D$6)/Components!$E$6)^2))</f>
        <v/>
      </c>
      <c r="P188">
        <f>IF(G188="","",IF(VLOOKUP(C188,Recipes!$A$2:$N$4,9,FALSE())=0,-1E+300,-0.5*((J188-Components!$D$7)/Components!$E$7)^2))</f>
        <v/>
      </c>
      <c r="Q188">
        <f>IF(G188="","",EXP(LARGE(K188:P188,1)-MAX(K188:P188))/(EXP(K188-MAX(K188:P188))+EXP(L188-MAX(K188:P188))+EXP(M188-MAX(K188:P188))+EXP(N188-MAX(K188:P188))+EXP(O188-MAX(K188:P188))+EXP(P188-MAX(K188:P188))))</f>
        <v/>
      </c>
      <c r="R188">
        <f>IF(G188="","",EXP(LARGE(K188:P188,2)-MAX(K188:P188))/(EXP(K188-MAX(K188:P188))+EXP(L188-MAX(K188:P188))+EXP(M188-MAX(K188:P188))+EXP(N188-MAX(K188:P188))+EXP(O188-MAX(K188:P188))+EXP(P188-MAX(K188:P188))))</f>
        <v/>
      </c>
      <c r="S188">
        <f>IF(G188="","",Q188-R188)</f>
        <v/>
      </c>
      <c r="T188">
        <f>IF(G188="","",IF(ABS(G188-H188)&lt;=$B$6*I188,"OK","NG"))</f>
        <v/>
      </c>
      <c r="U188">
        <f>IF(T188="","",IF(T188=D188,1,0))</f>
        <v/>
      </c>
      <c r="V188">
        <f>IF(G188="","",IF(T188="OK","NONE",INDEX({"S1","S2","W1","W2","N1","N2"},MATCH(MAX(K188:P188),K188:P188,0))))</f>
        <v/>
      </c>
      <c r="W188">
        <f>IF(G188="","",IF(V188=E188,1,0))</f>
        <v/>
      </c>
      <c r="X188">
        <f>IF(G188="","",IF(AND(T188="NG",S188&lt;$B$7),"AMBIGUOUS","CONFIDENT"))</f>
        <v/>
      </c>
    </row>
    <row r="189">
      <c r="A189">
        <f>'Runs Z score'!A182</f>
        <v/>
      </c>
      <c r="B189">
        <f>'Runs Z score'!B182</f>
        <v/>
      </c>
      <c r="C189">
        <f>'Runs Z score'!C182</f>
        <v/>
      </c>
      <c r="D189">
        <f>'Runs Z score'!D182</f>
        <v/>
      </c>
      <c r="E189">
        <f>'Runs Z score'!E182</f>
        <v/>
      </c>
      <c r="F189">
        <f>'Runs Z score'!F182</f>
        <v/>
      </c>
      <c r="G189">
        <f>'Runs Z score'!G182</f>
        <v/>
      </c>
      <c r="H189">
        <f>VLOOKUP(C189,Recipes!$A$2:$N$4,10,FALSE())</f>
        <v/>
      </c>
      <c r="I189">
        <f>VLOOKUP(C189,Recipes!$A$2:$N$4,12,FALSE())</f>
        <v/>
      </c>
      <c r="J189">
        <f>IF(G189="","",H189-G189)</f>
        <v/>
      </c>
      <c r="K189">
        <f>IF(G189="","",IF(VLOOKUP(C189,Recipes!$A$2:$N$4,4,FALSE())=0,-1E+300,-0.5*((J189-Components!$D$2)/Components!$E$2)^2))</f>
        <v/>
      </c>
      <c r="L189">
        <f>IF(G189="","",IF(VLOOKUP(C189,Recipes!$A$2:$N$4,5,FALSE())=0,-1E+300,-0.5*((J189-Components!$D$3)/Components!$E$3)^2))</f>
        <v/>
      </c>
      <c r="M189">
        <f>IF(G189="","",IF(VLOOKUP(C189,Recipes!$A$2:$N$4,6,FALSE())=0,-1E+300,-0.5*((J189-Components!$D$4)/Components!$E$4)^2))</f>
        <v/>
      </c>
      <c r="N189">
        <f>IF(G189="","",IF(VLOOKUP(C189,Recipes!$A$2:$N$4,7,FALSE())=0,-1E+300,-0.5*((J189-Components!$D$5)/Components!$E$5)^2))</f>
        <v/>
      </c>
      <c r="O189">
        <f>IF(G189="","",IF(VLOOKUP(C189,Recipes!$A$2:$N$4,8,FALSE())=0,-1E+300,-0.5*((J189-Components!$D$6)/Components!$E$6)^2))</f>
        <v/>
      </c>
      <c r="P189">
        <f>IF(G189="","",IF(VLOOKUP(C189,Recipes!$A$2:$N$4,9,FALSE())=0,-1E+300,-0.5*((J189-Components!$D$7)/Components!$E$7)^2))</f>
        <v/>
      </c>
      <c r="Q189">
        <f>IF(G189="","",EXP(LARGE(K189:P189,1)-MAX(K189:P189))/(EXP(K189-MAX(K189:P189))+EXP(L189-MAX(K189:P189))+EXP(M189-MAX(K189:P189))+EXP(N189-MAX(K189:P189))+EXP(O189-MAX(K189:P189))+EXP(P189-MAX(K189:P189))))</f>
        <v/>
      </c>
      <c r="R189">
        <f>IF(G189="","",EXP(LARGE(K189:P189,2)-MAX(K189:P189))/(EXP(K189-MAX(K189:P189))+EXP(L189-MAX(K189:P189))+EXP(M189-MAX(K189:P189))+EXP(N189-MAX(K189:P189))+EXP(O189-MAX(K189:P189))+EXP(P189-MAX(K189:P189))))</f>
        <v/>
      </c>
      <c r="S189">
        <f>IF(G189="","",Q189-R189)</f>
        <v/>
      </c>
      <c r="T189">
        <f>IF(G189="","",IF(ABS(G189-H189)&lt;=$B$6*I189,"OK","NG"))</f>
        <v/>
      </c>
      <c r="U189">
        <f>IF(T189="","",IF(T189=D189,1,0))</f>
        <v/>
      </c>
      <c r="V189">
        <f>IF(G189="","",IF(T189="OK","NONE",INDEX({"S1","S2","W1","W2","N1","N2"},MATCH(MAX(K189:P189),K189:P189,0))))</f>
        <v/>
      </c>
      <c r="W189">
        <f>IF(G189="","",IF(V189=E189,1,0))</f>
        <v/>
      </c>
      <c r="X189">
        <f>IF(G189="","",IF(AND(T189="NG",S189&lt;$B$7),"AMBIGUOUS","CONFIDENT"))</f>
        <v/>
      </c>
    </row>
    <row r="190">
      <c r="A190">
        <f>'Runs Z score'!A183</f>
        <v/>
      </c>
      <c r="B190">
        <f>'Runs Z score'!B183</f>
        <v/>
      </c>
      <c r="C190">
        <f>'Runs Z score'!C183</f>
        <v/>
      </c>
      <c r="D190">
        <f>'Runs Z score'!D183</f>
        <v/>
      </c>
      <c r="E190">
        <f>'Runs Z score'!E183</f>
        <v/>
      </c>
      <c r="F190">
        <f>'Runs Z score'!F183</f>
        <v/>
      </c>
      <c r="G190">
        <f>'Runs Z score'!G183</f>
        <v/>
      </c>
      <c r="H190">
        <f>VLOOKUP(C190,Recipes!$A$2:$N$4,10,FALSE())</f>
        <v/>
      </c>
      <c r="I190">
        <f>VLOOKUP(C190,Recipes!$A$2:$N$4,12,FALSE())</f>
        <v/>
      </c>
      <c r="J190">
        <f>IF(G190="","",H190-G190)</f>
        <v/>
      </c>
      <c r="K190">
        <f>IF(G190="","",IF(VLOOKUP(C190,Recipes!$A$2:$N$4,4,FALSE())=0,-1E+300,-0.5*((J190-Components!$D$2)/Components!$E$2)^2))</f>
        <v/>
      </c>
      <c r="L190">
        <f>IF(G190="","",IF(VLOOKUP(C190,Recipes!$A$2:$N$4,5,FALSE())=0,-1E+300,-0.5*((J190-Components!$D$3)/Components!$E$3)^2))</f>
        <v/>
      </c>
      <c r="M190">
        <f>IF(G190="","",IF(VLOOKUP(C190,Recipes!$A$2:$N$4,6,FALSE())=0,-1E+300,-0.5*((J190-Components!$D$4)/Components!$E$4)^2))</f>
        <v/>
      </c>
      <c r="N190">
        <f>IF(G190="","",IF(VLOOKUP(C190,Recipes!$A$2:$N$4,7,FALSE())=0,-1E+300,-0.5*((J190-Components!$D$5)/Components!$E$5)^2))</f>
        <v/>
      </c>
      <c r="O190">
        <f>IF(G190="","",IF(VLOOKUP(C190,Recipes!$A$2:$N$4,8,FALSE())=0,-1E+300,-0.5*((J190-Components!$D$6)/Components!$E$6)^2))</f>
        <v/>
      </c>
      <c r="P190">
        <f>IF(G190="","",IF(VLOOKUP(C190,Recipes!$A$2:$N$4,9,FALSE())=0,-1E+300,-0.5*((J190-Components!$D$7)/Components!$E$7)^2))</f>
        <v/>
      </c>
      <c r="Q190">
        <f>IF(G190="","",EXP(LARGE(K190:P190,1)-MAX(K190:P190))/(EXP(K190-MAX(K190:P190))+EXP(L190-MAX(K190:P190))+EXP(M190-MAX(K190:P190))+EXP(N190-MAX(K190:P190))+EXP(O190-MAX(K190:P190))+EXP(P190-MAX(K190:P190))))</f>
        <v/>
      </c>
      <c r="R190">
        <f>IF(G190="","",EXP(LARGE(K190:P190,2)-MAX(K190:P190))/(EXP(K190-MAX(K190:P190))+EXP(L190-MAX(K190:P190))+EXP(M190-MAX(K190:P190))+EXP(N190-MAX(K190:P190))+EXP(O190-MAX(K190:P190))+EXP(P190-MAX(K190:P190))))</f>
        <v/>
      </c>
      <c r="S190">
        <f>IF(G190="","",Q190-R190)</f>
        <v/>
      </c>
      <c r="T190">
        <f>IF(G190="","",IF(ABS(G190-H190)&lt;=$B$6*I190,"OK","NG"))</f>
        <v/>
      </c>
      <c r="U190">
        <f>IF(T190="","",IF(T190=D190,1,0))</f>
        <v/>
      </c>
      <c r="V190">
        <f>IF(G190="","",IF(T190="OK","NONE",INDEX({"S1","S2","W1","W2","N1","N2"},MATCH(MAX(K190:P190),K190:P190,0))))</f>
        <v/>
      </c>
      <c r="W190">
        <f>IF(G190="","",IF(V190=E190,1,0))</f>
        <v/>
      </c>
      <c r="X190">
        <f>IF(G190="","",IF(AND(T190="NG",S190&lt;$B$7),"AMBIGUOUS","CONFIDENT"))</f>
        <v/>
      </c>
    </row>
    <row r="191">
      <c r="A191">
        <f>'Runs Z score'!A184</f>
        <v/>
      </c>
      <c r="B191">
        <f>'Runs Z score'!B184</f>
        <v/>
      </c>
      <c r="C191">
        <f>'Runs Z score'!C184</f>
        <v/>
      </c>
      <c r="D191">
        <f>'Runs Z score'!D184</f>
        <v/>
      </c>
      <c r="E191">
        <f>'Runs Z score'!E184</f>
        <v/>
      </c>
      <c r="F191">
        <f>'Runs Z score'!F184</f>
        <v/>
      </c>
      <c r="G191">
        <f>'Runs Z score'!G184</f>
        <v/>
      </c>
      <c r="H191">
        <f>VLOOKUP(C191,Recipes!$A$2:$N$4,10,FALSE())</f>
        <v/>
      </c>
      <c r="I191">
        <f>VLOOKUP(C191,Recipes!$A$2:$N$4,12,FALSE())</f>
        <v/>
      </c>
      <c r="J191">
        <f>IF(G191="","",H191-G191)</f>
        <v/>
      </c>
      <c r="K191">
        <f>IF(G191="","",IF(VLOOKUP(C191,Recipes!$A$2:$N$4,4,FALSE())=0,-1E+300,-0.5*((J191-Components!$D$2)/Components!$E$2)^2))</f>
        <v/>
      </c>
      <c r="L191">
        <f>IF(G191="","",IF(VLOOKUP(C191,Recipes!$A$2:$N$4,5,FALSE())=0,-1E+300,-0.5*((J191-Components!$D$3)/Components!$E$3)^2))</f>
        <v/>
      </c>
      <c r="M191">
        <f>IF(G191="","",IF(VLOOKUP(C191,Recipes!$A$2:$N$4,6,FALSE())=0,-1E+300,-0.5*((J191-Components!$D$4)/Components!$E$4)^2))</f>
        <v/>
      </c>
      <c r="N191">
        <f>IF(G191="","",IF(VLOOKUP(C191,Recipes!$A$2:$N$4,7,FALSE())=0,-1E+300,-0.5*((J191-Components!$D$5)/Components!$E$5)^2))</f>
        <v/>
      </c>
      <c r="O191">
        <f>IF(G191="","",IF(VLOOKUP(C191,Recipes!$A$2:$N$4,8,FALSE())=0,-1E+300,-0.5*((J191-Components!$D$6)/Components!$E$6)^2))</f>
        <v/>
      </c>
      <c r="P191">
        <f>IF(G191="","",IF(VLOOKUP(C191,Recipes!$A$2:$N$4,9,FALSE())=0,-1E+300,-0.5*((J191-Components!$D$7)/Components!$E$7)^2))</f>
        <v/>
      </c>
      <c r="Q191">
        <f>IF(G191="","",EXP(LARGE(K191:P191,1)-MAX(K191:P191))/(EXP(K191-MAX(K191:P191))+EXP(L191-MAX(K191:P191))+EXP(M191-MAX(K191:P191))+EXP(N191-MAX(K191:P191))+EXP(O191-MAX(K191:P191))+EXP(P191-MAX(K191:P191))))</f>
        <v/>
      </c>
      <c r="R191">
        <f>IF(G191="","",EXP(LARGE(K191:P191,2)-MAX(K191:P191))/(EXP(K191-MAX(K191:P191))+EXP(L191-MAX(K191:P191))+EXP(M191-MAX(K191:P191))+EXP(N191-MAX(K191:P191))+EXP(O191-MAX(K191:P191))+EXP(P191-MAX(K191:P191))))</f>
        <v/>
      </c>
      <c r="S191">
        <f>IF(G191="","",Q191-R191)</f>
        <v/>
      </c>
      <c r="T191">
        <f>IF(G191="","",IF(ABS(G191-H191)&lt;=$B$6*I191,"OK","NG"))</f>
        <v/>
      </c>
      <c r="U191">
        <f>IF(T191="","",IF(T191=D191,1,0))</f>
        <v/>
      </c>
      <c r="V191">
        <f>IF(G191="","",IF(T191="OK","NONE",INDEX({"S1","S2","W1","W2","N1","N2"},MATCH(MAX(K191:P191),K191:P191,0))))</f>
        <v/>
      </c>
      <c r="W191">
        <f>IF(G191="","",IF(V191=E191,1,0))</f>
        <v/>
      </c>
      <c r="X191">
        <f>IF(G191="","",IF(AND(T191="NG",S191&lt;$B$7),"AMBIGUOUS","CONFIDENT"))</f>
        <v/>
      </c>
    </row>
    <row r="192">
      <c r="A192">
        <f>'Runs Z score'!A185</f>
        <v/>
      </c>
      <c r="B192">
        <f>'Runs Z score'!B185</f>
        <v/>
      </c>
      <c r="C192">
        <f>'Runs Z score'!C185</f>
        <v/>
      </c>
      <c r="D192">
        <f>'Runs Z score'!D185</f>
        <v/>
      </c>
      <c r="E192">
        <f>'Runs Z score'!E185</f>
        <v/>
      </c>
      <c r="F192">
        <f>'Runs Z score'!F185</f>
        <v/>
      </c>
      <c r="G192">
        <f>'Runs Z score'!G185</f>
        <v/>
      </c>
      <c r="H192">
        <f>VLOOKUP(C192,Recipes!$A$2:$N$4,10,FALSE())</f>
        <v/>
      </c>
      <c r="I192">
        <f>VLOOKUP(C192,Recipes!$A$2:$N$4,12,FALSE())</f>
        <v/>
      </c>
      <c r="J192">
        <f>IF(G192="","",H192-G192)</f>
        <v/>
      </c>
      <c r="K192">
        <f>IF(G192="","",IF(VLOOKUP(C192,Recipes!$A$2:$N$4,4,FALSE())=0,-1E+300,-0.5*((J192-Components!$D$2)/Components!$E$2)^2))</f>
        <v/>
      </c>
      <c r="L192">
        <f>IF(G192="","",IF(VLOOKUP(C192,Recipes!$A$2:$N$4,5,FALSE())=0,-1E+300,-0.5*((J192-Components!$D$3)/Components!$E$3)^2))</f>
        <v/>
      </c>
      <c r="M192">
        <f>IF(G192="","",IF(VLOOKUP(C192,Recipes!$A$2:$N$4,6,FALSE())=0,-1E+300,-0.5*((J192-Components!$D$4)/Components!$E$4)^2))</f>
        <v/>
      </c>
      <c r="N192">
        <f>IF(G192="","",IF(VLOOKUP(C192,Recipes!$A$2:$N$4,7,FALSE())=0,-1E+300,-0.5*((J192-Components!$D$5)/Components!$E$5)^2))</f>
        <v/>
      </c>
      <c r="O192">
        <f>IF(G192="","",IF(VLOOKUP(C192,Recipes!$A$2:$N$4,8,FALSE())=0,-1E+300,-0.5*((J192-Components!$D$6)/Components!$E$6)^2))</f>
        <v/>
      </c>
      <c r="P192">
        <f>IF(G192="","",IF(VLOOKUP(C192,Recipes!$A$2:$N$4,9,FALSE())=0,-1E+300,-0.5*((J192-Components!$D$7)/Components!$E$7)^2))</f>
        <v/>
      </c>
      <c r="Q192">
        <f>IF(G192="","",EXP(LARGE(K192:P192,1)-MAX(K192:P192))/(EXP(K192-MAX(K192:P192))+EXP(L192-MAX(K192:P192))+EXP(M192-MAX(K192:P192))+EXP(N192-MAX(K192:P192))+EXP(O192-MAX(K192:P192))+EXP(P192-MAX(K192:P192))))</f>
        <v/>
      </c>
      <c r="R192">
        <f>IF(G192="","",EXP(LARGE(K192:P192,2)-MAX(K192:P192))/(EXP(K192-MAX(K192:P192))+EXP(L192-MAX(K192:P192))+EXP(M192-MAX(K192:P192))+EXP(N192-MAX(K192:P192))+EXP(O192-MAX(K192:P192))+EXP(P192-MAX(K192:P192))))</f>
        <v/>
      </c>
      <c r="S192">
        <f>IF(G192="","",Q192-R192)</f>
        <v/>
      </c>
      <c r="T192">
        <f>IF(G192="","",IF(ABS(G192-H192)&lt;=$B$6*I192,"OK","NG"))</f>
        <v/>
      </c>
      <c r="U192">
        <f>IF(T192="","",IF(T192=D192,1,0))</f>
        <v/>
      </c>
      <c r="V192">
        <f>IF(G192="","",IF(T192="OK","NONE",INDEX({"S1","S2","W1","W2","N1","N2"},MATCH(MAX(K192:P192),K192:P192,0))))</f>
        <v/>
      </c>
      <c r="W192">
        <f>IF(G192="","",IF(V192=E192,1,0))</f>
        <v/>
      </c>
      <c r="X192">
        <f>IF(G192="","",IF(AND(T192="NG",S192&lt;$B$7),"AMBIGUOUS","CONFIDENT"))</f>
        <v/>
      </c>
    </row>
    <row r="193">
      <c r="A193">
        <f>'Runs Z score'!A186</f>
        <v/>
      </c>
      <c r="B193">
        <f>'Runs Z score'!B186</f>
        <v/>
      </c>
      <c r="C193">
        <f>'Runs Z score'!C186</f>
        <v/>
      </c>
      <c r="D193">
        <f>'Runs Z score'!D186</f>
        <v/>
      </c>
      <c r="E193">
        <f>'Runs Z score'!E186</f>
        <v/>
      </c>
      <c r="F193">
        <f>'Runs Z score'!F186</f>
        <v/>
      </c>
      <c r="G193">
        <f>'Runs Z score'!G186</f>
        <v/>
      </c>
      <c r="H193">
        <f>VLOOKUP(C193,Recipes!$A$2:$N$4,10,FALSE())</f>
        <v/>
      </c>
      <c r="I193">
        <f>VLOOKUP(C193,Recipes!$A$2:$N$4,12,FALSE())</f>
        <v/>
      </c>
      <c r="J193">
        <f>IF(G193="","",H193-G193)</f>
        <v/>
      </c>
      <c r="K193">
        <f>IF(G193="","",IF(VLOOKUP(C193,Recipes!$A$2:$N$4,4,FALSE())=0,-1E+300,-0.5*((J193-Components!$D$2)/Components!$E$2)^2))</f>
        <v/>
      </c>
      <c r="L193">
        <f>IF(G193="","",IF(VLOOKUP(C193,Recipes!$A$2:$N$4,5,FALSE())=0,-1E+300,-0.5*((J193-Components!$D$3)/Components!$E$3)^2))</f>
        <v/>
      </c>
      <c r="M193">
        <f>IF(G193="","",IF(VLOOKUP(C193,Recipes!$A$2:$N$4,6,FALSE())=0,-1E+300,-0.5*((J193-Components!$D$4)/Components!$E$4)^2))</f>
        <v/>
      </c>
      <c r="N193">
        <f>IF(G193="","",IF(VLOOKUP(C193,Recipes!$A$2:$N$4,7,FALSE())=0,-1E+300,-0.5*((J193-Components!$D$5)/Components!$E$5)^2))</f>
        <v/>
      </c>
      <c r="O193">
        <f>IF(G193="","",IF(VLOOKUP(C193,Recipes!$A$2:$N$4,8,FALSE())=0,-1E+300,-0.5*((J193-Components!$D$6)/Components!$E$6)^2))</f>
        <v/>
      </c>
      <c r="P193">
        <f>IF(G193="","",IF(VLOOKUP(C193,Recipes!$A$2:$N$4,9,FALSE())=0,-1E+300,-0.5*((J193-Components!$D$7)/Components!$E$7)^2))</f>
        <v/>
      </c>
      <c r="Q193">
        <f>IF(G193="","",EXP(LARGE(K193:P193,1)-MAX(K193:P193))/(EXP(K193-MAX(K193:P193))+EXP(L193-MAX(K193:P193))+EXP(M193-MAX(K193:P193))+EXP(N193-MAX(K193:P193))+EXP(O193-MAX(K193:P193))+EXP(P193-MAX(K193:P193))))</f>
        <v/>
      </c>
      <c r="R193">
        <f>IF(G193="","",EXP(LARGE(K193:P193,2)-MAX(K193:P193))/(EXP(K193-MAX(K193:P193))+EXP(L193-MAX(K193:P193))+EXP(M193-MAX(K193:P193))+EXP(N193-MAX(K193:P193))+EXP(O193-MAX(K193:P193))+EXP(P193-MAX(K193:P193))))</f>
        <v/>
      </c>
      <c r="S193">
        <f>IF(G193="","",Q193-R193)</f>
        <v/>
      </c>
      <c r="T193">
        <f>IF(G193="","",IF(ABS(G193-H193)&lt;=$B$6*I193,"OK","NG"))</f>
        <v/>
      </c>
      <c r="U193">
        <f>IF(T193="","",IF(T193=D193,1,0))</f>
        <v/>
      </c>
      <c r="V193">
        <f>IF(G193="","",IF(T193="OK","NONE",INDEX({"S1","S2","W1","W2","N1","N2"},MATCH(MAX(K193:P193),K193:P193,0))))</f>
        <v/>
      </c>
      <c r="W193">
        <f>IF(G193="","",IF(V193=E193,1,0))</f>
        <v/>
      </c>
      <c r="X193">
        <f>IF(G193="","",IF(AND(T193="NG",S193&lt;$B$7),"AMBIGUOUS","CONFIDENT"))</f>
        <v/>
      </c>
    </row>
    <row r="194">
      <c r="A194">
        <f>'Runs Z score'!A187</f>
        <v/>
      </c>
      <c r="B194">
        <f>'Runs Z score'!B187</f>
        <v/>
      </c>
      <c r="C194">
        <f>'Runs Z score'!C187</f>
        <v/>
      </c>
      <c r="D194">
        <f>'Runs Z score'!D187</f>
        <v/>
      </c>
      <c r="E194">
        <f>'Runs Z score'!E187</f>
        <v/>
      </c>
      <c r="F194">
        <f>'Runs Z score'!F187</f>
        <v/>
      </c>
      <c r="G194">
        <f>'Runs Z score'!G187</f>
        <v/>
      </c>
      <c r="H194">
        <f>VLOOKUP(C194,Recipes!$A$2:$N$4,10,FALSE())</f>
        <v/>
      </c>
      <c r="I194">
        <f>VLOOKUP(C194,Recipes!$A$2:$N$4,12,FALSE())</f>
        <v/>
      </c>
      <c r="J194">
        <f>IF(G194="","",H194-G194)</f>
        <v/>
      </c>
      <c r="K194">
        <f>IF(G194="","",IF(VLOOKUP(C194,Recipes!$A$2:$N$4,4,FALSE())=0,-1E+300,-0.5*((J194-Components!$D$2)/Components!$E$2)^2))</f>
        <v/>
      </c>
      <c r="L194">
        <f>IF(G194="","",IF(VLOOKUP(C194,Recipes!$A$2:$N$4,5,FALSE())=0,-1E+300,-0.5*((J194-Components!$D$3)/Components!$E$3)^2))</f>
        <v/>
      </c>
      <c r="M194">
        <f>IF(G194="","",IF(VLOOKUP(C194,Recipes!$A$2:$N$4,6,FALSE())=0,-1E+300,-0.5*((J194-Components!$D$4)/Components!$E$4)^2))</f>
        <v/>
      </c>
      <c r="N194">
        <f>IF(G194="","",IF(VLOOKUP(C194,Recipes!$A$2:$N$4,7,FALSE())=0,-1E+300,-0.5*((J194-Components!$D$5)/Components!$E$5)^2))</f>
        <v/>
      </c>
      <c r="O194">
        <f>IF(G194="","",IF(VLOOKUP(C194,Recipes!$A$2:$N$4,8,FALSE())=0,-1E+300,-0.5*((J194-Components!$D$6)/Components!$E$6)^2))</f>
        <v/>
      </c>
      <c r="P194">
        <f>IF(G194="","",IF(VLOOKUP(C194,Recipes!$A$2:$N$4,9,FALSE())=0,-1E+300,-0.5*((J194-Components!$D$7)/Components!$E$7)^2))</f>
        <v/>
      </c>
      <c r="Q194">
        <f>IF(G194="","",EXP(LARGE(K194:P194,1)-MAX(K194:P194))/(EXP(K194-MAX(K194:P194))+EXP(L194-MAX(K194:P194))+EXP(M194-MAX(K194:P194))+EXP(N194-MAX(K194:P194))+EXP(O194-MAX(K194:P194))+EXP(P194-MAX(K194:P194))))</f>
        <v/>
      </c>
      <c r="R194">
        <f>IF(G194="","",EXP(LARGE(K194:P194,2)-MAX(K194:P194))/(EXP(K194-MAX(K194:P194))+EXP(L194-MAX(K194:P194))+EXP(M194-MAX(K194:P194))+EXP(N194-MAX(K194:P194))+EXP(O194-MAX(K194:P194))+EXP(P194-MAX(K194:P194))))</f>
        <v/>
      </c>
      <c r="S194">
        <f>IF(G194="","",Q194-R194)</f>
        <v/>
      </c>
      <c r="T194">
        <f>IF(G194="","",IF(ABS(G194-H194)&lt;=$B$6*I194,"OK","NG"))</f>
        <v/>
      </c>
      <c r="U194">
        <f>IF(T194="","",IF(T194=D194,1,0))</f>
        <v/>
      </c>
      <c r="V194">
        <f>IF(G194="","",IF(T194="OK","NONE",INDEX({"S1","S2","W1","W2","N1","N2"},MATCH(MAX(K194:P194),K194:P194,0))))</f>
        <v/>
      </c>
      <c r="W194">
        <f>IF(G194="","",IF(V194=E194,1,0))</f>
        <v/>
      </c>
      <c r="X194">
        <f>IF(G194="","",IF(AND(T194="NG",S194&lt;$B$7),"AMBIGUOUS","CONFIDENT"))</f>
        <v/>
      </c>
    </row>
    <row r="195">
      <c r="A195">
        <f>'Runs Z score'!A188</f>
        <v/>
      </c>
      <c r="B195">
        <f>'Runs Z score'!B188</f>
        <v/>
      </c>
      <c r="C195">
        <f>'Runs Z score'!C188</f>
        <v/>
      </c>
      <c r="D195">
        <f>'Runs Z score'!D188</f>
        <v/>
      </c>
      <c r="E195">
        <f>'Runs Z score'!E188</f>
        <v/>
      </c>
      <c r="F195">
        <f>'Runs Z score'!F188</f>
        <v/>
      </c>
      <c r="G195">
        <f>'Runs Z score'!G188</f>
        <v/>
      </c>
      <c r="H195">
        <f>VLOOKUP(C195,Recipes!$A$2:$N$4,10,FALSE())</f>
        <v/>
      </c>
      <c r="I195">
        <f>VLOOKUP(C195,Recipes!$A$2:$N$4,12,FALSE())</f>
        <v/>
      </c>
      <c r="J195">
        <f>IF(G195="","",H195-G195)</f>
        <v/>
      </c>
      <c r="K195">
        <f>IF(G195="","",IF(VLOOKUP(C195,Recipes!$A$2:$N$4,4,FALSE())=0,-1E+300,-0.5*((J195-Components!$D$2)/Components!$E$2)^2))</f>
        <v/>
      </c>
      <c r="L195">
        <f>IF(G195="","",IF(VLOOKUP(C195,Recipes!$A$2:$N$4,5,FALSE())=0,-1E+300,-0.5*((J195-Components!$D$3)/Components!$E$3)^2))</f>
        <v/>
      </c>
      <c r="M195">
        <f>IF(G195="","",IF(VLOOKUP(C195,Recipes!$A$2:$N$4,6,FALSE())=0,-1E+300,-0.5*((J195-Components!$D$4)/Components!$E$4)^2))</f>
        <v/>
      </c>
      <c r="N195">
        <f>IF(G195="","",IF(VLOOKUP(C195,Recipes!$A$2:$N$4,7,FALSE())=0,-1E+300,-0.5*((J195-Components!$D$5)/Components!$E$5)^2))</f>
        <v/>
      </c>
      <c r="O195">
        <f>IF(G195="","",IF(VLOOKUP(C195,Recipes!$A$2:$N$4,8,FALSE())=0,-1E+300,-0.5*((J195-Components!$D$6)/Components!$E$6)^2))</f>
        <v/>
      </c>
      <c r="P195">
        <f>IF(G195="","",IF(VLOOKUP(C195,Recipes!$A$2:$N$4,9,FALSE())=0,-1E+300,-0.5*((J195-Components!$D$7)/Components!$E$7)^2))</f>
        <v/>
      </c>
      <c r="Q195">
        <f>IF(G195="","",EXP(LARGE(K195:P195,1)-MAX(K195:P195))/(EXP(K195-MAX(K195:P195))+EXP(L195-MAX(K195:P195))+EXP(M195-MAX(K195:P195))+EXP(N195-MAX(K195:P195))+EXP(O195-MAX(K195:P195))+EXP(P195-MAX(K195:P195))))</f>
        <v/>
      </c>
      <c r="R195">
        <f>IF(G195="","",EXP(LARGE(K195:P195,2)-MAX(K195:P195))/(EXP(K195-MAX(K195:P195))+EXP(L195-MAX(K195:P195))+EXP(M195-MAX(K195:P195))+EXP(N195-MAX(K195:P195))+EXP(O195-MAX(K195:P195))+EXP(P195-MAX(K195:P195))))</f>
        <v/>
      </c>
      <c r="S195">
        <f>IF(G195="","",Q195-R195)</f>
        <v/>
      </c>
      <c r="T195">
        <f>IF(G195="","",IF(ABS(G195-H195)&lt;=$B$6*I195,"OK","NG"))</f>
        <v/>
      </c>
      <c r="U195">
        <f>IF(T195="","",IF(T195=D195,1,0))</f>
        <v/>
      </c>
      <c r="V195">
        <f>IF(G195="","",IF(T195="OK","NONE",INDEX({"S1","S2","W1","W2","N1","N2"},MATCH(MAX(K195:P195),K195:P195,0))))</f>
        <v/>
      </c>
      <c r="W195">
        <f>IF(G195="","",IF(V195=E195,1,0))</f>
        <v/>
      </c>
      <c r="X195">
        <f>IF(G195="","",IF(AND(T195="NG",S195&lt;$B$7),"AMBIGUOUS","CONFIDENT"))</f>
        <v/>
      </c>
    </row>
    <row r="196">
      <c r="A196">
        <f>'Runs Z score'!A189</f>
        <v/>
      </c>
      <c r="B196">
        <f>'Runs Z score'!B189</f>
        <v/>
      </c>
      <c r="C196">
        <f>'Runs Z score'!C189</f>
        <v/>
      </c>
      <c r="D196">
        <f>'Runs Z score'!D189</f>
        <v/>
      </c>
      <c r="E196">
        <f>'Runs Z score'!E189</f>
        <v/>
      </c>
      <c r="F196">
        <f>'Runs Z score'!F189</f>
        <v/>
      </c>
      <c r="G196">
        <f>'Runs Z score'!G189</f>
        <v/>
      </c>
      <c r="H196">
        <f>VLOOKUP(C196,Recipes!$A$2:$N$4,10,FALSE())</f>
        <v/>
      </c>
      <c r="I196">
        <f>VLOOKUP(C196,Recipes!$A$2:$N$4,12,FALSE())</f>
        <v/>
      </c>
      <c r="J196">
        <f>IF(G196="","",H196-G196)</f>
        <v/>
      </c>
      <c r="K196">
        <f>IF(G196="","",IF(VLOOKUP(C196,Recipes!$A$2:$N$4,4,FALSE())=0,-1E+300,-0.5*((J196-Components!$D$2)/Components!$E$2)^2))</f>
        <v/>
      </c>
      <c r="L196">
        <f>IF(G196="","",IF(VLOOKUP(C196,Recipes!$A$2:$N$4,5,FALSE())=0,-1E+300,-0.5*((J196-Components!$D$3)/Components!$E$3)^2))</f>
        <v/>
      </c>
      <c r="M196">
        <f>IF(G196="","",IF(VLOOKUP(C196,Recipes!$A$2:$N$4,6,FALSE())=0,-1E+300,-0.5*((J196-Components!$D$4)/Components!$E$4)^2))</f>
        <v/>
      </c>
      <c r="N196">
        <f>IF(G196="","",IF(VLOOKUP(C196,Recipes!$A$2:$N$4,7,FALSE())=0,-1E+300,-0.5*((J196-Components!$D$5)/Components!$E$5)^2))</f>
        <v/>
      </c>
      <c r="O196">
        <f>IF(G196="","",IF(VLOOKUP(C196,Recipes!$A$2:$N$4,8,FALSE())=0,-1E+300,-0.5*((J196-Components!$D$6)/Components!$E$6)^2))</f>
        <v/>
      </c>
      <c r="P196">
        <f>IF(G196="","",IF(VLOOKUP(C196,Recipes!$A$2:$N$4,9,FALSE())=0,-1E+300,-0.5*((J196-Components!$D$7)/Components!$E$7)^2))</f>
        <v/>
      </c>
      <c r="Q196">
        <f>IF(G196="","",EXP(LARGE(K196:P196,1)-MAX(K196:P196))/(EXP(K196-MAX(K196:P196))+EXP(L196-MAX(K196:P196))+EXP(M196-MAX(K196:P196))+EXP(N196-MAX(K196:P196))+EXP(O196-MAX(K196:P196))+EXP(P196-MAX(K196:P196))))</f>
        <v/>
      </c>
      <c r="R196">
        <f>IF(G196="","",EXP(LARGE(K196:P196,2)-MAX(K196:P196))/(EXP(K196-MAX(K196:P196))+EXP(L196-MAX(K196:P196))+EXP(M196-MAX(K196:P196))+EXP(N196-MAX(K196:P196))+EXP(O196-MAX(K196:P196))+EXP(P196-MAX(K196:P196))))</f>
        <v/>
      </c>
      <c r="S196">
        <f>IF(G196="","",Q196-R196)</f>
        <v/>
      </c>
      <c r="T196">
        <f>IF(G196="","",IF(ABS(G196-H196)&lt;=$B$6*I196,"OK","NG"))</f>
        <v/>
      </c>
      <c r="U196">
        <f>IF(T196="","",IF(T196=D196,1,0))</f>
        <v/>
      </c>
      <c r="V196">
        <f>IF(G196="","",IF(T196="OK","NONE",INDEX({"S1","S2","W1","W2","N1","N2"},MATCH(MAX(K196:P196),K196:P196,0))))</f>
        <v/>
      </c>
      <c r="W196">
        <f>IF(G196="","",IF(V196=E196,1,0))</f>
        <v/>
      </c>
      <c r="X196">
        <f>IF(G196="","",IF(AND(T196="NG",S196&lt;$B$7),"AMBIGUOUS","CONFIDENT"))</f>
        <v/>
      </c>
    </row>
    <row r="197">
      <c r="A197">
        <f>'Runs Z score'!A190</f>
        <v/>
      </c>
      <c r="B197">
        <f>'Runs Z score'!B190</f>
        <v/>
      </c>
      <c r="C197">
        <f>'Runs Z score'!C190</f>
        <v/>
      </c>
      <c r="D197">
        <f>'Runs Z score'!D190</f>
        <v/>
      </c>
      <c r="E197">
        <f>'Runs Z score'!E190</f>
        <v/>
      </c>
      <c r="F197">
        <f>'Runs Z score'!F190</f>
        <v/>
      </c>
      <c r="G197">
        <f>'Runs Z score'!G190</f>
        <v/>
      </c>
      <c r="H197">
        <f>VLOOKUP(C197,Recipes!$A$2:$N$4,10,FALSE())</f>
        <v/>
      </c>
      <c r="I197">
        <f>VLOOKUP(C197,Recipes!$A$2:$N$4,12,FALSE())</f>
        <v/>
      </c>
      <c r="J197">
        <f>IF(G197="","",H197-G197)</f>
        <v/>
      </c>
      <c r="K197">
        <f>IF(G197="","",IF(VLOOKUP(C197,Recipes!$A$2:$N$4,4,FALSE())=0,-1E+300,-0.5*((J197-Components!$D$2)/Components!$E$2)^2))</f>
        <v/>
      </c>
      <c r="L197">
        <f>IF(G197="","",IF(VLOOKUP(C197,Recipes!$A$2:$N$4,5,FALSE())=0,-1E+300,-0.5*((J197-Components!$D$3)/Components!$E$3)^2))</f>
        <v/>
      </c>
      <c r="M197">
        <f>IF(G197="","",IF(VLOOKUP(C197,Recipes!$A$2:$N$4,6,FALSE())=0,-1E+300,-0.5*((J197-Components!$D$4)/Components!$E$4)^2))</f>
        <v/>
      </c>
      <c r="N197">
        <f>IF(G197="","",IF(VLOOKUP(C197,Recipes!$A$2:$N$4,7,FALSE())=0,-1E+300,-0.5*((J197-Components!$D$5)/Components!$E$5)^2))</f>
        <v/>
      </c>
      <c r="O197">
        <f>IF(G197="","",IF(VLOOKUP(C197,Recipes!$A$2:$N$4,8,FALSE())=0,-1E+300,-0.5*((J197-Components!$D$6)/Components!$E$6)^2))</f>
        <v/>
      </c>
      <c r="P197">
        <f>IF(G197="","",IF(VLOOKUP(C197,Recipes!$A$2:$N$4,9,FALSE())=0,-1E+300,-0.5*((J197-Components!$D$7)/Components!$E$7)^2))</f>
        <v/>
      </c>
      <c r="Q197">
        <f>IF(G197="","",EXP(LARGE(K197:P197,1)-MAX(K197:P197))/(EXP(K197-MAX(K197:P197))+EXP(L197-MAX(K197:P197))+EXP(M197-MAX(K197:P197))+EXP(N197-MAX(K197:P197))+EXP(O197-MAX(K197:P197))+EXP(P197-MAX(K197:P197))))</f>
        <v/>
      </c>
      <c r="R197">
        <f>IF(G197="","",EXP(LARGE(K197:P197,2)-MAX(K197:P197))/(EXP(K197-MAX(K197:P197))+EXP(L197-MAX(K197:P197))+EXP(M197-MAX(K197:P197))+EXP(N197-MAX(K197:P197))+EXP(O197-MAX(K197:P197))+EXP(P197-MAX(K197:P197))))</f>
        <v/>
      </c>
      <c r="S197">
        <f>IF(G197="","",Q197-R197)</f>
        <v/>
      </c>
      <c r="T197">
        <f>IF(G197="","",IF(ABS(G197-H197)&lt;=$B$6*I197,"OK","NG"))</f>
        <v/>
      </c>
      <c r="U197">
        <f>IF(T197="","",IF(T197=D197,1,0))</f>
        <v/>
      </c>
      <c r="V197">
        <f>IF(G197="","",IF(T197="OK","NONE",INDEX({"S1","S2","W1","W2","N1","N2"},MATCH(MAX(K197:P197),K197:P197,0))))</f>
        <v/>
      </c>
      <c r="W197">
        <f>IF(G197="","",IF(V197=E197,1,0))</f>
        <v/>
      </c>
      <c r="X197">
        <f>IF(G197="","",IF(AND(T197="NG",S197&lt;$B$7),"AMBIGUOUS","CONFIDENT"))</f>
        <v/>
      </c>
    </row>
    <row r="198">
      <c r="A198">
        <f>'Runs Z score'!A191</f>
        <v/>
      </c>
      <c r="B198">
        <f>'Runs Z score'!B191</f>
        <v/>
      </c>
      <c r="C198">
        <f>'Runs Z score'!C191</f>
        <v/>
      </c>
      <c r="D198">
        <f>'Runs Z score'!D191</f>
        <v/>
      </c>
      <c r="E198">
        <f>'Runs Z score'!E191</f>
        <v/>
      </c>
      <c r="F198">
        <f>'Runs Z score'!F191</f>
        <v/>
      </c>
      <c r="G198">
        <f>'Runs Z score'!G191</f>
        <v/>
      </c>
      <c r="H198">
        <f>VLOOKUP(C198,Recipes!$A$2:$N$4,10,FALSE())</f>
        <v/>
      </c>
      <c r="I198">
        <f>VLOOKUP(C198,Recipes!$A$2:$N$4,12,FALSE())</f>
        <v/>
      </c>
      <c r="J198">
        <f>IF(G198="","",H198-G198)</f>
        <v/>
      </c>
      <c r="K198">
        <f>IF(G198="","",IF(VLOOKUP(C198,Recipes!$A$2:$N$4,4,FALSE())=0,-1E+300,-0.5*((J198-Components!$D$2)/Components!$E$2)^2))</f>
        <v/>
      </c>
      <c r="L198">
        <f>IF(G198="","",IF(VLOOKUP(C198,Recipes!$A$2:$N$4,5,FALSE())=0,-1E+300,-0.5*((J198-Components!$D$3)/Components!$E$3)^2))</f>
        <v/>
      </c>
      <c r="M198">
        <f>IF(G198="","",IF(VLOOKUP(C198,Recipes!$A$2:$N$4,6,FALSE())=0,-1E+300,-0.5*((J198-Components!$D$4)/Components!$E$4)^2))</f>
        <v/>
      </c>
      <c r="N198">
        <f>IF(G198="","",IF(VLOOKUP(C198,Recipes!$A$2:$N$4,7,FALSE())=0,-1E+300,-0.5*((J198-Components!$D$5)/Components!$E$5)^2))</f>
        <v/>
      </c>
      <c r="O198">
        <f>IF(G198="","",IF(VLOOKUP(C198,Recipes!$A$2:$N$4,8,FALSE())=0,-1E+300,-0.5*((J198-Components!$D$6)/Components!$E$6)^2))</f>
        <v/>
      </c>
      <c r="P198">
        <f>IF(G198="","",IF(VLOOKUP(C198,Recipes!$A$2:$N$4,9,FALSE())=0,-1E+300,-0.5*((J198-Components!$D$7)/Components!$E$7)^2))</f>
        <v/>
      </c>
      <c r="Q198">
        <f>IF(G198="","",EXP(LARGE(K198:P198,1)-MAX(K198:P198))/(EXP(K198-MAX(K198:P198))+EXP(L198-MAX(K198:P198))+EXP(M198-MAX(K198:P198))+EXP(N198-MAX(K198:P198))+EXP(O198-MAX(K198:P198))+EXP(P198-MAX(K198:P198))))</f>
        <v/>
      </c>
      <c r="R198">
        <f>IF(G198="","",EXP(LARGE(K198:P198,2)-MAX(K198:P198))/(EXP(K198-MAX(K198:P198))+EXP(L198-MAX(K198:P198))+EXP(M198-MAX(K198:P198))+EXP(N198-MAX(K198:P198))+EXP(O198-MAX(K198:P198))+EXP(P198-MAX(K198:P198))))</f>
        <v/>
      </c>
      <c r="S198">
        <f>IF(G198="","",Q198-R198)</f>
        <v/>
      </c>
      <c r="T198">
        <f>IF(G198="","",IF(ABS(G198-H198)&lt;=$B$6*I198,"OK","NG"))</f>
        <v/>
      </c>
      <c r="U198">
        <f>IF(T198="","",IF(T198=D198,1,0))</f>
        <v/>
      </c>
      <c r="V198">
        <f>IF(G198="","",IF(T198="OK","NONE",INDEX({"S1","S2","W1","W2","N1","N2"},MATCH(MAX(K198:P198),K198:P198,0))))</f>
        <v/>
      </c>
      <c r="W198">
        <f>IF(G198="","",IF(V198=E198,1,0))</f>
        <v/>
      </c>
      <c r="X198">
        <f>IF(G198="","",IF(AND(T198="NG",S198&lt;$B$7),"AMBIGUOUS","CONFIDENT"))</f>
        <v/>
      </c>
    </row>
    <row r="199">
      <c r="A199">
        <f>'Runs Z score'!A192</f>
        <v/>
      </c>
      <c r="B199">
        <f>'Runs Z score'!B192</f>
        <v/>
      </c>
      <c r="C199">
        <f>'Runs Z score'!C192</f>
        <v/>
      </c>
      <c r="D199">
        <f>'Runs Z score'!D192</f>
        <v/>
      </c>
      <c r="E199">
        <f>'Runs Z score'!E192</f>
        <v/>
      </c>
      <c r="F199">
        <f>'Runs Z score'!F192</f>
        <v/>
      </c>
      <c r="G199">
        <f>'Runs Z score'!G192</f>
        <v/>
      </c>
      <c r="H199">
        <f>VLOOKUP(C199,Recipes!$A$2:$N$4,10,FALSE())</f>
        <v/>
      </c>
      <c r="I199">
        <f>VLOOKUP(C199,Recipes!$A$2:$N$4,12,FALSE())</f>
        <v/>
      </c>
      <c r="J199">
        <f>IF(G199="","",H199-G199)</f>
        <v/>
      </c>
      <c r="K199">
        <f>IF(G199="","",IF(VLOOKUP(C199,Recipes!$A$2:$N$4,4,FALSE())=0,-1E+300,-0.5*((J199-Components!$D$2)/Components!$E$2)^2))</f>
        <v/>
      </c>
      <c r="L199">
        <f>IF(G199="","",IF(VLOOKUP(C199,Recipes!$A$2:$N$4,5,FALSE())=0,-1E+300,-0.5*((J199-Components!$D$3)/Components!$E$3)^2))</f>
        <v/>
      </c>
      <c r="M199">
        <f>IF(G199="","",IF(VLOOKUP(C199,Recipes!$A$2:$N$4,6,FALSE())=0,-1E+300,-0.5*((J199-Components!$D$4)/Components!$E$4)^2))</f>
        <v/>
      </c>
      <c r="N199">
        <f>IF(G199="","",IF(VLOOKUP(C199,Recipes!$A$2:$N$4,7,FALSE())=0,-1E+300,-0.5*((J199-Components!$D$5)/Components!$E$5)^2))</f>
        <v/>
      </c>
      <c r="O199">
        <f>IF(G199="","",IF(VLOOKUP(C199,Recipes!$A$2:$N$4,8,FALSE())=0,-1E+300,-0.5*((J199-Components!$D$6)/Components!$E$6)^2))</f>
        <v/>
      </c>
      <c r="P199">
        <f>IF(G199="","",IF(VLOOKUP(C199,Recipes!$A$2:$N$4,9,FALSE())=0,-1E+300,-0.5*((J199-Components!$D$7)/Components!$E$7)^2))</f>
        <v/>
      </c>
      <c r="Q199">
        <f>IF(G199="","",EXP(LARGE(K199:P199,1)-MAX(K199:P199))/(EXP(K199-MAX(K199:P199))+EXP(L199-MAX(K199:P199))+EXP(M199-MAX(K199:P199))+EXP(N199-MAX(K199:P199))+EXP(O199-MAX(K199:P199))+EXP(P199-MAX(K199:P199))))</f>
        <v/>
      </c>
      <c r="R199">
        <f>IF(G199="","",EXP(LARGE(K199:P199,2)-MAX(K199:P199))/(EXP(K199-MAX(K199:P199))+EXP(L199-MAX(K199:P199))+EXP(M199-MAX(K199:P199))+EXP(N199-MAX(K199:P199))+EXP(O199-MAX(K199:P199))+EXP(P199-MAX(K199:P199))))</f>
        <v/>
      </c>
      <c r="S199">
        <f>IF(G199="","",Q199-R199)</f>
        <v/>
      </c>
      <c r="T199">
        <f>IF(G199="","",IF(ABS(G199-H199)&lt;=$B$6*I199,"OK","NG"))</f>
        <v/>
      </c>
      <c r="U199">
        <f>IF(T199="","",IF(T199=D199,1,0))</f>
        <v/>
      </c>
      <c r="V199">
        <f>IF(G199="","",IF(T199="OK","NONE",INDEX({"S1","S2","W1","W2","N1","N2"},MATCH(MAX(K199:P199),K199:P199,0))))</f>
        <v/>
      </c>
      <c r="W199">
        <f>IF(G199="","",IF(V199=E199,1,0))</f>
        <v/>
      </c>
      <c r="X199">
        <f>IF(G199="","",IF(AND(T199="NG",S199&lt;$B$7),"AMBIGUOUS","CONFIDENT"))</f>
        <v/>
      </c>
    </row>
    <row r="200">
      <c r="A200">
        <f>'Runs Z score'!A193</f>
        <v/>
      </c>
      <c r="B200">
        <f>'Runs Z score'!B193</f>
        <v/>
      </c>
      <c r="C200">
        <f>'Runs Z score'!C193</f>
        <v/>
      </c>
      <c r="D200">
        <f>'Runs Z score'!D193</f>
        <v/>
      </c>
      <c r="E200">
        <f>'Runs Z score'!E193</f>
        <v/>
      </c>
      <c r="F200">
        <f>'Runs Z score'!F193</f>
        <v/>
      </c>
      <c r="G200">
        <f>'Runs Z score'!G193</f>
        <v/>
      </c>
      <c r="H200">
        <f>VLOOKUP(C200,Recipes!$A$2:$N$4,10,FALSE())</f>
        <v/>
      </c>
      <c r="I200">
        <f>VLOOKUP(C200,Recipes!$A$2:$N$4,12,FALSE())</f>
        <v/>
      </c>
      <c r="J200">
        <f>IF(G200="","",H200-G200)</f>
        <v/>
      </c>
      <c r="K200">
        <f>IF(G200="","",IF(VLOOKUP(C200,Recipes!$A$2:$N$4,4,FALSE())=0,-1E+300,-0.5*((J200-Components!$D$2)/Components!$E$2)^2))</f>
        <v/>
      </c>
      <c r="L200">
        <f>IF(G200="","",IF(VLOOKUP(C200,Recipes!$A$2:$N$4,5,FALSE())=0,-1E+300,-0.5*((J200-Components!$D$3)/Components!$E$3)^2))</f>
        <v/>
      </c>
      <c r="M200">
        <f>IF(G200="","",IF(VLOOKUP(C200,Recipes!$A$2:$N$4,6,FALSE())=0,-1E+300,-0.5*((J200-Components!$D$4)/Components!$E$4)^2))</f>
        <v/>
      </c>
      <c r="N200">
        <f>IF(G200="","",IF(VLOOKUP(C200,Recipes!$A$2:$N$4,7,FALSE())=0,-1E+300,-0.5*((J200-Components!$D$5)/Components!$E$5)^2))</f>
        <v/>
      </c>
      <c r="O200">
        <f>IF(G200="","",IF(VLOOKUP(C200,Recipes!$A$2:$N$4,8,FALSE())=0,-1E+300,-0.5*((J200-Components!$D$6)/Components!$E$6)^2))</f>
        <v/>
      </c>
      <c r="P200">
        <f>IF(G200="","",IF(VLOOKUP(C200,Recipes!$A$2:$N$4,9,FALSE())=0,-1E+300,-0.5*((J200-Components!$D$7)/Components!$E$7)^2))</f>
        <v/>
      </c>
      <c r="Q200">
        <f>IF(G200="","",EXP(LARGE(K200:P200,1)-MAX(K200:P200))/(EXP(K200-MAX(K200:P200))+EXP(L200-MAX(K200:P200))+EXP(M200-MAX(K200:P200))+EXP(N200-MAX(K200:P200))+EXP(O200-MAX(K200:P200))+EXP(P200-MAX(K200:P200))))</f>
        <v/>
      </c>
      <c r="R200">
        <f>IF(G200="","",EXP(LARGE(K200:P200,2)-MAX(K200:P200))/(EXP(K200-MAX(K200:P200))+EXP(L200-MAX(K200:P200))+EXP(M200-MAX(K200:P200))+EXP(N200-MAX(K200:P200))+EXP(O200-MAX(K200:P200))+EXP(P200-MAX(K200:P200))))</f>
        <v/>
      </c>
      <c r="S200">
        <f>IF(G200="","",Q200-R200)</f>
        <v/>
      </c>
      <c r="T200">
        <f>IF(G200="","",IF(ABS(G200-H200)&lt;=$B$6*I200,"OK","NG"))</f>
        <v/>
      </c>
      <c r="U200">
        <f>IF(T200="","",IF(T200=D200,1,0))</f>
        <v/>
      </c>
      <c r="V200">
        <f>IF(G200="","",IF(T200="OK","NONE",INDEX({"S1","S2","W1","W2","N1","N2"},MATCH(MAX(K200:P200),K200:P200,0))))</f>
        <v/>
      </c>
      <c r="W200">
        <f>IF(G200="","",IF(V200=E200,1,0))</f>
        <v/>
      </c>
      <c r="X200">
        <f>IF(G200="","",IF(AND(T200="NG",S200&lt;$B$7),"AMBIGUOUS","CONFIDENT"))</f>
        <v/>
      </c>
    </row>
    <row r="201">
      <c r="A201">
        <f>'Runs Z score'!A194</f>
        <v/>
      </c>
      <c r="B201">
        <f>'Runs Z score'!B194</f>
        <v/>
      </c>
      <c r="C201">
        <f>'Runs Z score'!C194</f>
        <v/>
      </c>
      <c r="D201">
        <f>'Runs Z score'!D194</f>
        <v/>
      </c>
      <c r="E201">
        <f>'Runs Z score'!E194</f>
        <v/>
      </c>
      <c r="F201">
        <f>'Runs Z score'!F194</f>
        <v/>
      </c>
      <c r="G201">
        <f>'Runs Z score'!G194</f>
        <v/>
      </c>
      <c r="H201">
        <f>VLOOKUP(C201,Recipes!$A$2:$N$4,10,FALSE())</f>
        <v/>
      </c>
      <c r="I201">
        <f>VLOOKUP(C201,Recipes!$A$2:$N$4,12,FALSE())</f>
        <v/>
      </c>
      <c r="J201">
        <f>IF(G201="","",H201-G201)</f>
        <v/>
      </c>
      <c r="K201">
        <f>IF(G201="","",IF(VLOOKUP(C201,Recipes!$A$2:$N$4,4,FALSE())=0,-1E+300,-0.5*((J201-Components!$D$2)/Components!$E$2)^2))</f>
        <v/>
      </c>
      <c r="L201">
        <f>IF(G201="","",IF(VLOOKUP(C201,Recipes!$A$2:$N$4,5,FALSE())=0,-1E+300,-0.5*((J201-Components!$D$3)/Components!$E$3)^2))</f>
        <v/>
      </c>
      <c r="M201">
        <f>IF(G201="","",IF(VLOOKUP(C201,Recipes!$A$2:$N$4,6,FALSE())=0,-1E+300,-0.5*((J201-Components!$D$4)/Components!$E$4)^2))</f>
        <v/>
      </c>
      <c r="N201">
        <f>IF(G201="","",IF(VLOOKUP(C201,Recipes!$A$2:$N$4,7,FALSE())=0,-1E+300,-0.5*((J201-Components!$D$5)/Components!$E$5)^2))</f>
        <v/>
      </c>
      <c r="O201">
        <f>IF(G201="","",IF(VLOOKUP(C201,Recipes!$A$2:$N$4,8,FALSE())=0,-1E+300,-0.5*((J201-Components!$D$6)/Components!$E$6)^2))</f>
        <v/>
      </c>
      <c r="P201">
        <f>IF(G201="","",IF(VLOOKUP(C201,Recipes!$A$2:$N$4,9,FALSE())=0,-1E+300,-0.5*((J201-Components!$D$7)/Components!$E$7)^2))</f>
        <v/>
      </c>
      <c r="Q201">
        <f>IF(G201="","",EXP(LARGE(K201:P201,1)-MAX(K201:P201))/(EXP(K201-MAX(K201:P201))+EXP(L201-MAX(K201:P201))+EXP(M201-MAX(K201:P201))+EXP(N201-MAX(K201:P201))+EXP(O201-MAX(K201:P201))+EXP(P201-MAX(K201:P201))))</f>
        <v/>
      </c>
      <c r="R201">
        <f>IF(G201="","",EXP(LARGE(K201:P201,2)-MAX(K201:P201))/(EXP(K201-MAX(K201:P201))+EXP(L201-MAX(K201:P201))+EXP(M201-MAX(K201:P201))+EXP(N201-MAX(K201:P201))+EXP(O201-MAX(K201:P201))+EXP(P201-MAX(K201:P201))))</f>
        <v/>
      </c>
      <c r="S201">
        <f>IF(G201="","",Q201-R201)</f>
        <v/>
      </c>
      <c r="T201">
        <f>IF(G201="","",IF(ABS(G201-H201)&lt;=$B$6*I201,"OK","NG"))</f>
        <v/>
      </c>
      <c r="U201">
        <f>IF(T201="","",IF(T201=D201,1,0))</f>
        <v/>
      </c>
      <c r="V201">
        <f>IF(G201="","",IF(T201="OK","NONE",INDEX({"S1","S2","W1","W2","N1","N2"},MATCH(MAX(K201:P201),K201:P201,0))))</f>
        <v/>
      </c>
      <c r="W201">
        <f>IF(G201="","",IF(V201=E201,1,0))</f>
        <v/>
      </c>
      <c r="X201">
        <f>IF(G201="","",IF(AND(T201="NG",S201&lt;$B$7),"AMBIGUOUS","CONFIDENT"))</f>
        <v/>
      </c>
    </row>
    <row r="202">
      <c r="A202">
        <f>'Runs Z score'!A195</f>
        <v/>
      </c>
      <c r="B202">
        <f>'Runs Z score'!B195</f>
        <v/>
      </c>
      <c r="C202">
        <f>'Runs Z score'!C195</f>
        <v/>
      </c>
      <c r="D202">
        <f>'Runs Z score'!D195</f>
        <v/>
      </c>
      <c r="E202">
        <f>'Runs Z score'!E195</f>
        <v/>
      </c>
      <c r="F202">
        <f>'Runs Z score'!F195</f>
        <v/>
      </c>
      <c r="G202">
        <f>'Runs Z score'!G195</f>
        <v/>
      </c>
      <c r="H202">
        <f>VLOOKUP(C202,Recipes!$A$2:$N$4,10,FALSE())</f>
        <v/>
      </c>
      <c r="I202">
        <f>VLOOKUP(C202,Recipes!$A$2:$N$4,12,FALSE())</f>
        <v/>
      </c>
      <c r="J202">
        <f>IF(G202="","",H202-G202)</f>
        <v/>
      </c>
      <c r="K202">
        <f>IF(G202="","",IF(VLOOKUP(C202,Recipes!$A$2:$N$4,4,FALSE())=0,-1E+300,-0.5*((J202-Components!$D$2)/Components!$E$2)^2))</f>
        <v/>
      </c>
      <c r="L202">
        <f>IF(G202="","",IF(VLOOKUP(C202,Recipes!$A$2:$N$4,5,FALSE())=0,-1E+300,-0.5*((J202-Components!$D$3)/Components!$E$3)^2))</f>
        <v/>
      </c>
      <c r="M202">
        <f>IF(G202="","",IF(VLOOKUP(C202,Recipes!$A$2:$N$4,6,FALSE())=0,-1E+300,-0.5*((J202-Components!$D$4)/Components!$E$4)^2))</f>
        <v/>
      </c>
      <c r="N202">
        <f>IF(G202="","",IF(VLOOKUP(C202,Recipes!$A$2:$N$4,7,FALSE())=0,-1E+300,-0.5*((J202-Components!$D$5)/Components!$E$5)^2))</f>
        <v/>
      </c>
      <c r="O202">
        <f>IF(G202="","",IF(VLOOKUP(C202,Recipes!$A$2:$N$4,8,FALSE())=0,-1E+300,-0.5*((J202-Components!$D$6)/Components!$E$6)^2))</f>
        <v/>
      </c>
      <c r="P202">
        <f>IF(G202="","",IF(VLOOKUP(C202,Recipes!$A$2:$N$4,9,FALSE())=0,-1E+300,-0.5*((J202-Components!$D$7)/Components!$E$7)^2))</f>
        <v/>
      </c>
      <c r="Q202">
        <f>IF(G202="","",EXP(LARGE(K202:P202,1)-MAX(K202:P202))/(EXP(K202-MAX(K202:P202))+EXP(L202-MAX(K202:P202))+EXP(M202-MAX(K202:P202))+EXP(N202-MAX(K202:P202))+EXP(O202-MAX(K202:P202))+EXP(P202-MAX(K202:P202))))</f>
        <v/>
      </c>
      <c r="R202">
        <f>IF(G202="","",EXP(LARGE(K202:P202,2)-MAX(K202:P202))/(EXP(K202-MAX(K202:P202))+EXP(L202-MAX(K202:P202))+EXP(M202-MAX(K202:P202))+EXP(N202-MAX(K202:P202))+EXP(O202-MAX(K202:P202))+EXP(P202-MAX(K202:P202))))</f>
        <v/>
      </c>
      <c r="S202">
        <f>IF(G202="","",Q202-R202)</f>
        <v/>
      </c>
      <c r="T202">
        <f>IF(G202="","",IF(ABS(G202-H202)&lt;=$B$6*I202,"OK","NG"))</f>
        <v/>
      </c>
      <c r="U202">
        <f>IF(T202="","",IF(T202=D202,1,0))</f>
        <v/>
      </c>
      <c r="V202">
        <f>IF(G202="","",IF(T202="OK","NONE",INDEX({"S1","S2","W1","W2","N1","N2"},MATCH(MAX(K202:P202),K202:P202,0))))</f>
        <v/>
      </c>
      <c r="W202">
        <f>IF(G202="","",IF(V202=E202,1,0))</f>
        <v/>
      </c>
      <c r="X202">
        <f>IF(G202="","",IF(AND(T202="NG",S202&lt;$B$7),"AMBIGUOUS","CONFIDENT"))</f>
        <v/>
      </c>
    </row>
    <row r="203">
      <c r="A203">
        <f>'Runs Z score'!A196</f>
        <v/>
      </c>
      <c r="B203">
        <f>'Runs Z score'!B196</f>
        <v/>
      </c>
      <c r="C203">
        <f>'Runs Z score'!C196</f>
        <v/>
      </c>
      <c r="D203">
        <f>'Runs Z score'!D196</f>
        <v/>
      </c>
      <c r="E203">
        <f>'Runs Z score'!E196</f>
        <v/>
      </c>
      <c r="F203">
        <f>'Runs Z score'!F196</f>
        <v/>
      </c>
      <c r="G203">
        <f>'Runs Z score'!G196</f>
        <v/>
      </c>
      <c r="H203">
        <f>VLOOKUP(C203,Recipes!$A$2:$N$4,10,FALSE())</f>
        <v/>
      </c>
      <c r="I203">
        <f>VLOOKUP(C203,Recipes!$A$2:$N$4,12,FALSE())</f>
        <v/>
      </c>
      <c r="J203">
        <f>IF(G203="","",H203-G203)</f>
        <v/>
      </c>
      <c r="K203">
        <f>IF(G203="","",IF(VLOOKUP(C203,Recipes!$A$2:$N$4,4,FALSE())=0,-1E+300,-0.5*((J203-Components!$D$2)/Components!$E$2)^2))</f>
        <v/>
      </c>
      <c r="L203">
        <f>IF(G203="","",IF(VLOOKUP(C203,Recipes!$A$2:$N$4,5,FALSE())=0,-1E+300,-0.5*((J203-Components!$D$3)/Components!$E$3)^2))</f>
        <v/>
      </c>
      <c r="M203">
        <f>IF(G203="","",IF(VLOOKUP(C203,Recipes!$A$2:$N$4,6,FALSE())=0,-1E+300,-0.5*((J203-Components!$D$4)/Components!$E$4)^2))</f>
        <v/>
      </c>
      <c r="N203">
        <f>IF(G203="","",IF(VLOOKUP(C203,Recipes!$A$2:$N$4,7,FALSE())=0,-1E+300,-0.5*((J203-Components!$D$5)/Components!$E$5)^2))</f>
        <v/>
      </c>
      <c r="O203">
        <f>IF(G203="","",IF(VLOOKUP(C203,Recipes!$A$2:$N$4,8,FALSE())=0,-1E+300,-0.5*((J203-Components!$D$6)/Components!$E$6)^2))</f>
        <v/>
      </c>
      <c r="P203">
        <f>IF(G203="","",IF(VLOOKUP(C203,Recipes!$A$2:$N$4,9,FALSE())=0,-1E+300,-0.5*((J203-Components!$D$7)/Components!$E$7)^2))</f>
        <v/>
      </c>
      <c r="Q203">
        <f>IF(G203="","",EXP(LARGE(K203:P203,1)-MAX(K203:P203))/(EXP(K203-MAX(K203:P203))+EXP(L203-MAX(K203:P203))+EXP(M203-MAX(K203:P203))+EXP(N203-MAX(K203:P203))+EXP(O203-MAX(K203:P203))+EXP(P203-MAX(K203:P203))))</f>
        <v/>
      </c>
      <c r="R203">
        <f>IF(G203="","",EXP(LARGE(K203:P203,2)-MAX(K203:P203))/(EXP(K203-MAX(K203:P203))+EXP(L203-MAX(K203:P203))+EXP(M203-MAX(K203:P203))+EXP(N203-MAX(K203:P203))+EXP(O203-MAX(K203:P203))+EXP(P203-MAX(K203:P203))))</f>
        <v/>
      </c>
      <c r="S203">
        <f>IF(G203="","",Q203-R203)</f>
        <v/>
      </c>
      <c r="T203">
        <f>IF(G203="","",IF(ABS(G203-H203)&lt;=$B$6*I203,"OK","NG"))</f>
        <v/>
      </c>
      <c r="U203">
        <f>IF(T203="","",IF(T203=D203,1,0))</f>
        <v/>
      </c>
      <c r="V203">
        <f>IF(G203="","",IF(T203="OK","NONE",INDEX({"S1","S2","W1","W2","N1","N2"},MATCH(MAX(K203:P203),K203:P203,0))))</f>
        <v/>
      </c>
      <c r="W203">
        <f>IF(G203="","",IF(V203=E203,1,0))</f>
        <v/>
      </c>
      <c r="X203">
        <f>IF(G203="","",IF(AND(T203="NG",S203&lt;$B$7),"AMBIGUOUS","CONFIDENT"))</f>
        <v/>
      </c>
    </row>
    <row r="204">
      <c r="A204">
        <f>'Runs Z score'!A197</f>
        <v/>
      </c>
      <c r="B204">
        <f>'Runs Z score'!B197</f>
        <v/>
      </c>
      <c r="C204">
        <f>'Runs Z score'!C197</f>
        <v/>
      </c>
      <c r="D204">
        <f>'Runs Z score'!D197</f>
        <v/>
      </c>
      <c r="E204">
        <f>'Runs Z score'!E197</f>
        <v/>
      </c>
      <c r="F204">
        <f>'Runs Z score'!F197</f>
        <v/>
      </c>
      <c r="G204">
        <f>'Runs Z score'!G197</f>
        <v/>
      </c>
      <c r="H204">
        <f>VLOOKUP(C204,Recipes!$A$2:$N$4,10,FALSE())</f>
        <v/>
      </c>
      <c r="I204">
        <f>VLOOKUP(C204,Recipes!$A$2:$N$4,12,FALSE())</f>
        <v/>
      </c>
      <c r="J204">
        <f>IF(G204="","",H204-G204)</f>
        <v/>
      </c>
      <c r="K204">
        <f>IF(G204="","",IF(VLOOKUP(C204,Recipes!$A$2:$N$4,4,FALSE())=0,-1E+300,-0.5*((J204-Components!$D$2)/Components!$E$2)^2))</f>
        <v/>
      </c>
      <c r="L204">
        <f>IF(G204="","",IF(VLOOKUP(C204,Recipes!$A$2:$N$4,5,FALSE())=0,-1E+300,-0.5*((J204-Components!$D$3)/Components!$E$3)^2))</f>
        <v/>
      </c>
      <c r="M204">
        <f>IF(G204="","",IF(VLOOKUP(C204,Recipes!$A$2:$N$4,6,FALSE())=0,-1E+300,-0.5*((J204-Components!$D$4)/Components!$E$4)^2))</f>
        <v/>
      </c>
      <c r="N204">
        <f>IF(G204="","",IF(VLOOKUP(C204,Recipes!$A$2:$N$4,7,FALSE())=0,-1E+300,-0.5*((J204-Components!$D$5)/Components!$E$5)^2))</f>
        <v/>
      </c>
      <c r="O204">
        <f>IF(G204="","",IF(VLOOKUP(C204,Recipes!$A$2:$N$4,8,FALSE())=0,-1E+300,-0.5*((J204-Components!$D$6)/Components!$E$6)^2))</f>
        <v/>
      </c>
      <c r="P204">
        <f>IF(G204="","",IF(VLOOKUP(C204,Recipes!$A$2:$N$4,9,FALSE())=0,-1E+300,-0.5*((J204-Components!$D$7)/Components!$E$7)^2))</f>
        <v/>
      </c>
      <c r="Q204">
        <f>IF(G204="","",EXP(LARGE(K204:P204,1)-MAX(K204:P204))/(EXP(K204-MAX(K204:P204))+EXP(L204-MAX(K204:P204))+EXP(M204-MAX(K204:P204))+EXP(N204-MAX(K204:P204))+EXP(O204-MAX(K204:P204))+EXP(P204-MAX(K204:P204))))</f>
        <v/>
      </c>
      <c r="R204">
        <f>IF(G204="","",EXP(LARGE(K204:P204,2)-MAX(K204:P204))/(EXP(K204-MAX(K204:P204))+EXP(L204-MAX(K204:P204))+EXP(M204-MAX(K204:P204))+EXP(N204-MAX(K204:P204))+EXP(O204-MAX(K204:P204))+EXP(P204-MAX(K204:P204))))</f>
        <v/>
      </c>
      <c r="S204">
        <f>IF(G204="","",Q204-R204)</f>
        <v/>
      </c>
      <c r="T204">
        <f>IF(G204="","",IF(ABS(G204-H204)&lt;=$B$6*I204,"OK","NG"))</f>
        <v/>
      </c>
      <c r="U204">
        <f>IF(T204="","",IF(T204=D204,1,0))</f>
        <v/>
      </c>
      <c r="V204">
        <f>IF(G204="","",IF(T204="OK","NONE",INDEX({"S1","S2","W1","W2","N1","N2"},MATCH(MAX(K204:P204),K204:P204,0))))</f>
        <v/>
      </c>
      <c r="W204">
        <f>IF(G204="","",IF(V204=E204,1,0))</f>
        <v/>
      </c>
      <c r="X204">
        <f>IF(G204="","",IF(AND(T204="NG",S204&lt;$B$7),"AMBIGUOUS","CONFIDENT"))</f>
        <v/>
      </c>
    </row>
    <row r="205">
      <c r="A205">
        <f>'Runs Z score'!A198</f>
        <v/>
      </c>
      <c r="B205">
        <f>'Runs Z score'!B198</f>
        <v/>
      </c>
      <c r="C205">
        <f>'Runs Z score'!C198</f>
        <v/>
      </c>
      <c r="D205">
        <f>'Runs Z score'!D198</f>
        <v/>
      </c>
      <c r="E205">
        <f>'Runs Z score'!E198</f>
        <v/>
      </c>
      <c r="F205">
        <f>'Runs Z score'!F198</f>
        <v/>
      </c>
      <c r="G205">
        <f>'Runs Z score'!G198</f>
        <v/>
      </c>
      <c r="H205">
        <f>VLOOKUP(C205,Recipes!$A$2:$N$4,10,FALSE())</f>
        <v/>
      </c>
      <c r="I205">
        <f>VLOOKUP(C205,Recipes!$A$2:$N$4,12,FALSE())</f>
        <v/>
      </c>
      <c r="J205">
        <f>IF(G205="","",H205-G205)</f>
        <v/>
      </c>
      <c r="K205">
        <f>IF(G205="","",IF(VLOOKUP(C205,Recipes!$A$2:$N$4,4,FALSE())=0,-1E+300,-0.5*((J205-Components!$D$2)/Components!$E$2)^2))</f>
        <v/>
      </c>
      <c r="L205">
        <f>IF(G205="","",IF(VLOOKUP(C205,Recipes!$A$2:$N$4,5,FALSE())=0,-1E+300,-0.5*((J205-Components!$D$3)/Components!$E$3)^2))</f>
        <v/>
      </c>
      <c r="M205">
        <f>IF(G205="","",IF(VLOOKUP(C205,Recipes!$A$2:$N$4,6,FALSE())=0,-1E+300,-0.5*((J205-Components!$D$4)/Components!$E$4)^2))</f>
        <v/>
      </c>
      <c r="N205">
        <f>IF(G205="","",IF(VLOOKUP(C205,Recipes!$A$2:$N$4,7,FALSE())=0,-1E+300,-0.5*((J205-Components!$D$5)/Components!$E$5)^2))</f>
        <v/>
      </c>
      <c r="O205">
        <f>IF(G205="","",IF(VLOOKUP(C205,Recipes!$A$2:$N$4,8,FALSE())=0,-1E+300,-0.5*((J205-Components!$D$6)/Components!$E$6)^2))</f>
        <v/>
      </c>
      <c r="P205">
        <f>IF(G205="","",IF(VLOOKUP(C205,Recipes!$A$2:$N$4,9,FALSE())=0,-1E+300,-0.5*((J205-Components!$D$7)/Components!$E$7)^2))</f>
        <v/>
      </c>
      <c r="Q205">
        <f>IF(G205="","",EXP(LARGE(K205:P205,1)-MAX(K205:P205))/(EXP(K205-MAX(K205:P205))+EXP(L205-MAX(K205:P205))+EXP(M205-MAX(K205:P205))+EXP(N205-MAX(K205:P205))+EXP(O205-MAX(K205:P205))+EXP(P205-MAX(K205:P205))))</f>
        <v/>
      </c>
      <c r="R205">
        <f>IF(G205="","",EXP(LARGE(K205:P205,2)-MAX(K205:P205))/(EXP(K205-MAX(K205:P205))+EXP(L205-MAX(K205:P205))+EXP(M205-MAX(K205:P205))+EXP(N205-MAX(K205:P205))+EXP(O205-MAX(K205:P205))+EXP(P205-MAX(K205:P205))))</f>
        <v/>
      </c>
      <c r="S205">
        <f>IF(G205="","",Q205-R205)</f>
        <v/>
      </c>
      <c r="T205">
        <f>IF(G205="","",IF(ABS(G205-H205)&lt;=$B$6*I205,"OK","NG"))</f>
        <v/>
      </c>
      <c r="U205">
        <f>IF(T205="","",IF(T205=D205,1,0))</f>
        <v/>
      </c>
      <c r="V205">
        <f>IF(G205="","",IF(T205="OK","NONE",INDEX({"S1","S2","W1","W2","N1","N2"},MATCH(MAX(K205:P205),K205:P205,0))))</f>
        <v/>
      </c>
      <c r="W205">
        <f>IF(G205="","",IF(V205=E205,1,0))</f>
        <v/>
      </c>
      <c r="X205">
        <f>IF(G205="","",IF(AND(T205="NG",S205&lt;$B$7),"AMBIGUOUS","CONFIDENT"))</f>
        <v/>
      </c>
    </row>
    <row r="206">
      <c r="A206">
        <f>'Runs Z score'!A199</f>
        <v/>
      </c>
      <c r="B206">
        <f>'Runs Z score'!B199</f>
        <v/>
      </c>
      <c r="C206">
        <f>'Runs Z score'!C199</f>
        <v/>
      </c>
      <c r="D206">
        <f>'Runs Z score'!D199</f>
        <v/>
      </c>
      <c r="E206">
        <f>'Runs Z score'!E199</f>
        <v/>
      </c>
      <c r="F206">
        <f>'Runs Z score'!F199</f>
        <v/>
      </c>
      <c r="G206">
        <f>'Runs Z score'!G199</f>
        <v/>
      </c>
      <c r="H206">
        <f>VLOOKUP(C206,Recipes!$A$2:$N$4,10,FALSE())</f>
        <v/>
      </c>
      <c r="I206">
        <f>VLOOKUP(C206,Recipes!$A$2:$N$4,12,FALSE())</f>
        <v/>
      </c>
      <c r="J206">
        <f>IF(G206="","",H206-G206)</f>
        <v/>
      </c>
      <c r="K206">
        <f>IF(G206="","",IF(VLOOKUP(C206,Recipes!$A$2:$N$4,4,FALSE())=0,-1E+300,-0.5*((J206-Components!$D$2)/Components!$E$2)^2))</f>
        <v/>
      </c>
      <c r="L206">
        <f>IF(G206="","",IF(VLOOKUP(C206,Recipes!$A$2:$N$4,5,FALSE())=0,-1E+300,-0.5*((J206-Components!$D$3)/Components!$E$3)^2))</f>
        <v/>
      </c>
      <c r="M206">
        <f>IF(G206="","",IF(VLOOKUP(C206,Recipes!$A$2:$N$4,6,FALSE())=0,-1E+300,-0.5*((J206-Components!$D$4)/Components!$E$4)^2))</f>
        <v/>
      </c>
      <c r="N206">
        <f>IF(G206="","",IF(VLOOKUP(C206,Recipes!$A$2:$N$4,7,FALSE())=0,-1E+300,-0.5*((J206-Components!$D$5)/Components!$E$5)^2))</f>
        <v/>
      </c>
      <c r="O206">
        <f>IF(G206="","",IF(VLOOKUP(C206,Recipes!$A$2:$N$4,8,FALSE())=0,-1E+300,-0.5*((J206-Components!$D$6)/Components!$E$6)^2))</f>
        <v/>
      </c>
      <c r="P206">
        <f>IF(G206="","",IF(VLOOKUP(C206,Recipes!$A$2:$N$4,9,FALSE())=0,-1E+300,-0.5*((J206-Components!$D$7)/Components!$E$7)^2))</f>
        <v/>
      </c>
      <c r="Q206">
        <f>IF(G206="","",EXP(LARGE(K206:P206,1)-MAX(K206:P206))/(EXP(K206-MAX(K206:P206))+EXP(L206-MAX(K206:P206))+EXP(M206-MAX(K206:P206))+EXP(N206-MAX(K206:P206))+EXP(O206-MAX(K206:P206))+EXP(P206-MAX(K206:P206))))</f>
        <v/>
      </c>
      <c r="R206">
        <f>IF(G206="","",EXP(LARGE(K206:P206,2)-MAX(K206:P206))/(EXP(K206-MAX(K206:P206))+EXP(L206-MAX(K206:P206))+EXP(M206-MAX(K206:P206))+EXP(N206-MAX(K206:P206))+EXP(O206-MAX(K206:P206))+EXP(P206-MAX(K206:P206))))</f>
        <v/>
      </c>
      <c r="S206">
        <f>IF(G206="","",Q206-R206)</f>
        <v/>
      </c>
      <c r="T206">
        <f>IF(G206="","",IF(ABS(G206-H206)&lt;=$B$6*I206,"OK","NG"))</f>
        <v/>
      </c>
      <c r="U206">
        <f>IF(T206="","",IF(T206=D206,1,0))</f>
        <v/>
      </c>
      <c r="V206">
        <f>IF(G206="","",IF(T206="OK","NONE",INDEX({"S1","S2","W1","W2","N1","N2"},MATCH(MAX(K206:P206),K206:P206,0))))</f>
        <v/>
      </c>
      <c r="W206">
        <f>IF(G206="","",IF(V206=E206,1,0))</f>
        <v/>
      </c>
      <c r="X206">
        <f>IF(G206="","",IF(AND(T206="NG",S206&lt;$B$7),"AMBIGUOUS","CONFIDENT"))</f>
        <v/>
      </c>
    </row>
    <row r="207">
      <c r="A207">
        <f>'Runs Z score'!A200</f>
        <v/>
      </c>
      <c r="B207">
        <f>'Runs Z score'!B200</f>
        <v/>
      </c>
      <c r="C207">
        <f>'Runs Z score'!C200</f>
        <v/>
      </c>
      <c r="D207">
        <f>'Runs Z score'!D200</f>
        <v/>
      </c>
      <c r="E207">
        <f>'Runs Z score'!E200</f>
        <v/>
      </c>
      <c r="F207">
        <f>'Runs Z score'!F200</f>
        <v/>
      </c>
      <c r="G207">
        <f>'Runs Z score'!G200</f>
        <v/>
      </c>
      <c r="H207">
        <f>VLOOKUP(C207,Recipes!$A$2:$N$4,10,FALSE())</f>
        <v/>
      </c>
      <c r="I207">
        <f>VLOOKUP(C207,Recipes!$A$2:$N$4,12,FALSE())</f>
        <v/>
      </c>
      <c r="J207">
        <f>IF(G207="","",H207-G207)</f>
        <v/>
      </c>
      <c r="K207">
        <f>IF(G207="","",IF(VLOOKUP(C207,Recipes!$A$2:$N$4,4,FALSE())=0,-1E+300,-0.5*((J207-Components!$D$2)/Components!$E$2)^2))</f>
        <v/>
      </c>
      <c r="L207">
        <f>IF(G207="","",IF(VLOOKUP(C207,Recipes!$A$2:$N$4,5,FALSE())=0,-1E+300,-0.5*((J207-Components!$D$3)/Components!$E$3)^2))</f>
        <v/>
      </c>
      <c r="M207">
        <f>IF(G207="","",IF(VLOOKUP(C207,Recipes!$A$2:$N$4,6,FALSE())=0,-1E+300,-0.5*((J207-Components!$D$4)/Components!$E$4)^2))</f>
        <v/>
      </c>
      <c r="N207">
        <f>IF(G207="","",IF(VLOOKUP(C207,Recipes!$A$2:$N$4,7,FALSE())=0,-1E+300,-0.5*((J207-Components!$D$5)/Components!$E$5)^2))</f>
        <v/>
      </c>
      <c r="O207">
        <f>IF(G207="","",IF(VLOOKUP(C207,Recipes!$A$2:$N$4,8,FALSE())=0,-1E+300,-0.5*((J207-Components!$D$6)/Components!$E$6)^2))</f>
        <v/>
      </c>
      <c r="P207">
        <f>IF(G207="","",IF(VLOOKUP(C207,Recipes!$A$2:$N$4,9,FALSE())=0,-1E+300,-0.5*((J207-Components!$D$7)/Components!$E$7)^2))</f>
        <v/>
      </c>
      <c r="Q207">
        <f>IF(G207="","",EXP(LARGE(K207:P207,1)-MAX(K207:P207))/(EXP(K207-MAX(K207:P207))+EXP(L207-MAX(K207:P207))+EXP(M207-MAX(K207:P207))+EXP(N207-MAX(K207:P207))+EXP(O207-MAX(K207:P207))+EXP(P207-MAX(K207:P207))))</f>
        <v/>
      </c>
      <c r="R207">
        <f>IF(G207="","",EXP(LARGE(K207:P207,2)-MAX(K207:P207))/(EXP(K207-MAX(K207:P207))+EXP(L207-MAX(K207:P207))+EXP(M207-MAX(K207:P207))+EXP(N207-MAX(K207:P207))+EXP(O207-MAX(K207:P207))+EXP(P207-MAX(K207:P207))))</f>
        <v/>
      </c>
      <c r="S207">
        <f>IF(G207="","",Q207-R207)</f>
        <v/>
      </c>
      <c r="T207">
        <f>IF(G207="","",IF(ABS(G207-H207)&lt;=$B$6*I207,"OK","NG"))</f>
        <v/>
      </c>
      <c r="U207">
        <f>IF(T207="","",IF(T207=D207,1,0))</f>
        <v/>
      </c>
      <c r="V207">
        <f>IF(G207="","",IF(T207="OK","NONE",INDEX({"S1","S2","W1","W2","N1","N2"},MATCH(MAX(K207:P207),K207:P207,0))))</f>
        <v/>
      </c>
      <c r="W207">
        <f>IF(G207="","",IF(V207=E207,1,0))</f>
        <v/>
      </c>
      <c r="X207">
        <f>IF(G207="","",IF(AND(T207="NG",S207&lt;$B$7),"AMBIGUOUS","CONFIDENT"))</f>
        <v/>
      </c>
    </row>
    <row r="208">
      <c r="A208">
        <f>'Runs Z score'!A201</f>
        <v/>
      </c>
      <c r="B208">
        <f>'Runs Z score'!B201</f>
        <v/>
      </c>
      <c r="C208">
        <f>'Runs Z score'!C201</f>
        <v/>
      </c>
      <c r="D208">
        <f>'Runs Z score'!D201</f>
        <v/>
      </c>
      <c r="E208">
        <f>'Runs Z score'!E201</f>
        <v/>
      </c>
      <c r="F208">
        <f>'Runs Z score'!F201</f>
        <v/>
      </c>
      <c r="G208">
        <f>'Runs Z score'!G201</f>
        <v/>
      </c>
      <c r="H208">
        <f>VLOOKUP(C208,Recipes!$A$2:$N$4,10,FALSE())</f>
        <v/>
      </c>
      <c r="I208">
        <f>VLOOKUP(C208,Recipes!$A$2:$N$4,12,FALSE())</f>
        <v/>
      </c>
      <c r="J208">
        <f>IF(G208="","",H208-G208)</f>
        <v/>
      </c>
      <c r="K208">
        <f>IF(G208="","",IF(VLOOKUP(C208,Recipes!$A$2:$N$4,4,FALSE())=0,-1E+300,-0.5*((J208-Components!$D$2)/Components!$E$2)^2))</f>
        <v/>
      </c>
      <c r="L208">
        <f>IF(G208="","",IF(VLOOKUP(C208,Recipes!$A$2:$N$4,5,FALSE())=0,-1E+300,-0.5*((J208-Components!$D$3)/Components!$E$3)^2))</f>
        <v/>
      </c>
      <c r="M208">
        <f>IF(G208="","",IF(VLOOKUP(C208,Recipes!$A$2:$N$4,6,FALSE())=0,-1E+300,-0.5*((J208-Components!$D$4)/Components!$E$4)^2))</f>
        <v/>
      </c>
      <c r="N208">
        <f>IF(G208="","",IF(VLOOKUP(C208,Recipes!$A$2:$N$4,7,FALSE())=0,-1E+300,-0.5*((J208-Components!$D$5)/Components!$E$5)^2))</f>
        <v/>
      </c>
      <c r="O208">
        <f>IF(G208="","",IF(VLOOKUP(C208,Recipes!$A$2:$N$4,8,FALSE())=0,-1E+300,-0.5*((J208-Components!$D$6)/Components!$E$6)^2))</f>
        <v/>
      </c>
      <c r="P208">
        <f>IF(G208="","",IF(VLOOKUP(C208,Recipes!$A$2:$N$4,9,FALSE())=0,-1E+300,-0.5*((J208-Components!$D$7)/Components!$E$7)^2))</f>
        <v/>
      </c>
      <c r="Q208">
        <f>IF(G208="","",EXP(LARGE(K208:P208,1)-MAX(K208:P208))/(EXP(K208-MAX(K208:P208))+EXP(L208-MAX(K208:P208))+EXP(M208-MAX(K208:P208))+EXP(N208-MAX(K208:P208))+EXP(O208-MAX(K208:P208))+EXP(P208-MAX(K208:P208))))</f>
        <v/>
      </c>
      <c r="R208">
        <f>IF(G208="","",EXP(LARGE(K208:P208,2)-MAX(K208:P208))/(EXP(K208-MAX(K208:P208))+EXP(L208-MAX(K208:P208))+EXP(M208-MAX(K208:P208))+EXP(N208-MAX(K208:P208))+EXP(O208-MAX(K208:P208))+EXP(P208-MAX(K208:P208))))</f>
        <v/>
      </c>
      <c r="S208">
        <f>IF(G208="","",Q208-R208)</f>
        <v/>
      </c>
      <c r="T208">
        <f>IF(G208="","",IF(ABS(G208-H208)&lt;=$B$6*I208,"OK","NG"))</f>
        <v/>
      </c>
      <c r="U208">
        <f>IF(T208="","",IF(T208=D208,1,0))</f>
        <v/>
      </c>
      <c r="V208">
        <f>IF(G208="","",IF(T208="OK","NONE",INDEX({"S1","S2","W1","W2","N1","N2"},MATCH(MAX(K208:P208),K208:P208,0))))</f>
        <v/>
      </c>
      <c r="W208">
        <f>IF(G208="","",IF(V208=E208,1,0))</f>
        <v/>
      </c>
      <c r="X208">
        <f>IF(G208="","",IF(AND(T208="NG",S208&lt;$B$7),"AMBIGUOUS","CONFIDENT"))</f>
        <v/>
      </c>
    </row>
    <row r="209">
      <c r="A209">
        <f>'Runs Z score'!A202</f>
        <v/>
      </c>
      <c r="B209">
        <f>'Runs Z score'!B202</f>
        <v/>
      </c>
      <c r="C209">
        <f>'Runs Z score'!C202</f>
        <v/>
      </c>
      <c r="D209">
        <f>'Runs Z score'!D202</f>
        <v/>
      </c>
      <c r="E209">
        <f>'Runs Z score'!E202</f>
        <v/>
      </c>
      <c r="F209">
        <f>'Runs Z score'!F202</f>
        <v/>
      </c>
      <c r="G209">
        <f>'Runs Z score'!G202</f>
        <v/>
      </c>
      <c r="H209">
        <f>VLOOKUP(C209,Recipes!$A$2:$N$4,10,FALSE())</f>
        <v/>
      </c>
      <c r="I209">
        <f>VLOOKUP(C209,Recipes!$A$2:$N$4,12,FALSE())</f>
        <v/>
      </c>
      <c r="J209">
        <f>IF(G209="","",H209-G209)</f>
        <v/>
      </c>
      <c r="K209">
        <f>IF(G209="","",IF(VLOOKUP(C209,Recipes!$A$2:$N$4,4,FALSE())=0,-1E+300,-0.5*((J209-Components!$D$2)/Components!$E$2)^2))</f>
        <v/>
      </c>
      <c r="L209">
        <f>IF(G209="","",IF(VLOOKUP(C209,Recipes!$A$2:$N$4,5,FALSE())=0,-1E+300,-0.5*((J209-Components!$D$3)/Components!$E$3)^2))</f>
        <v/>
      </c>
      <c r="M209">
        <f>IF(G209="","",IF(VLOOKUP(C209,Recipes!$A$2:$N$4,6,FALSE())=0,-1E+300,-0.5*((J209-Components!$D$4)/Components!$E$4)^2))</f>
        <v/>
      </c>
      <c r="N209">
        <f>IF(G209="","",IF(VLOOKUP(C209,Recipes!$A$2:$N$4,7,FALSE())=0,-1E+300,-0.5*((J209-Components!$D$5)/Components!$E$5)^2))</f>
        <v/>
      </c>
      <c r="O209">
        <f>IF(G209="","",IF(VLOOKUP(C209,Recipes!$A$2:$N$4,8,FALSE())=0,-1E+300,-0.5*((J209-Components!$D$6)/Components!$E$6)^2))</f>
        <v/>
      </c>
      <c r="P209">
        <f>IF(G209="","",IF(VLOOKUP(C209,Recipes!$A$2:$N$4,9,FALSE())=0,-1E+300,-0.5*((J209-Components!$D$7)/Components!$E$7)^2))</f>
        <v/>
      </c>
      <c r="Q209">
        <f>IF(G209="","",EXP(LARGE(K209:P209,1)-MAX(K209:P209))/(EXP(K209-MAX(K209:P209))+EXP(L209-MAX(K209:P209))+EXP(M209-MAX(K209:P209))+EXP(N209-MAX(K209:P209))+EXP(O209-MAX(K209:P209))+EXP(P209-MAX(K209:P209))))</f>
        <v/>
      </c>
      <c r="R209">
        <f>IF(G209="","",EXP(LARGE(K209:P209,2)-MAX(K209:P209))/(EXP(K209-MAX(K209:P209))+EXP(L209-MAX(K209:P209))+EXP(M209-MAX(K209:P209))+EXP(N209-MAX(K209:P209))+EXP(O209-MAX(K209:P209))+EXP(P209-MAX(K209:P209))))</f>
        <v/>
      </c>
      <c r="S209">
        <f>IF(G209="","",Q209-R209)</f>
        <v/>
      </c>
      <c r="T209">
        <f>IF(G209="","",IF(ABS(G209-H209)&lt;=$B$6*I209,"OK","NG"))</f>
        <v/>
      </c>
      <c r="U209">
        <f>IF(T209="","",IF(T209=D209,1,0))</f>
        <v/>
      </c>
      <c r="V209">
        <f>IF(G209="","",IF(T209="OK","NONE",INDEX({"S1","S2","W1","W2","N1","N2"},MATCH(MAX(K209:P209),K209:P209,0))))</f>
        <v/>
      </c>
      <c r="W209">
        <f>IF(G209="","",IF(V209=E209,1,0))</f>
        <v/>
      </c>
      <c r="X209">
        <f>IF(G209="","",IF(AND(T209="NG",S209&lt;$B$7),"AMBIGUOUS","CONFIDENT"))</f>
        <v/>
      </c>
    </row>
    <row r="210">
      <c r="A210">
        <f>'Runs Z score'!A203</f>
        <v/>
      </c>
      <c r="B210">
        <f>'Runs Z score'!B203</f>
        <v/>
      </c>
      <c r="C210">
        <f>'Runs Z score'!C203</f>
        <v/>
      </c>
      <c r="D210">
        <f>'Runs Z score'!D203</f>
        <v/>
      </c>
      <c r="E210">
        <f>'Runs Z score'!E203</f>
        <v/>
      </c>
      <c r="F210">
        <f>'Runs Z score'!F203</f>
        <v/>
      </c>
      <c r="G210">
        <f>'Runs Z score'!G203</f>
        <v/>
      </c>
      <c r="H210">
        <f>VLOOKUP(C210,Recipes!$A$2:$N$4,10,FALSE())</f>
        <v/>
      </c>
      <c r="I210">
        <f>VLOOKUP(C210,Recipes!$A$2:$N$4,12,FALSE())</f>
        <v/>
      </c>
      <c r="J210">
        <f>IF(G210="","",H210-G210)</f>
        <v/>
      </c>
      <c r="K210">
        <f>IF(G210="","",IF(VLOOKUP(C210,Recipes!$A$2:$N$4,4,FALSE())=0,-1E+300,-0.5*((J210-Components!$D$2)/Components!$E$2)^2))</f>
        <v/>
      </c>
      <c r="L210">
        <f>IF(G210="","",IF(VLOOKUP(C210,Recipes!$A$2:$N$4,5,FALSE())=0,-1E+300,-0.5*((J210-Components!$D$3)/Components!$E$3)^2))</f>
        <v/>
      </c>
      <c r="M210">
        <f>IF(G210="","",IF(VLOOKUP(C210,Recipes!$A$2:$N$4,6,FALSE())=0,-1E+300,-0.5*((J210-Components!$D$4)/Components!$E$4)^2))</f>
        <v/>
      </c>
      <c r="N210">
        <f>IF(G210="","",IF(VLOOKUP(C210,Recipes!$A$2:$N$4,7,FALSE())=0,-1E+300,-0.5*((J210-Components!$D$5)/Components!$E$5)^2))</f>
        <v/>
      </c>
      <c r="O210">
        <f>IF(G210="","",IF(VLOOKUP(C210,Recipes!$A$2:$N$4,8,FALSE())=0,-1E+300,-0.5*((J210-Components!$D$6)/Components!$E$6)^2))</f>
        <v/>
      </c>
      <c r="P210">
        <f>IF(G210="","",IF(VLOOKUP(C210,Recipes!$A$2:$N$4,9,FALSE())=0,-1E+300,-0.5*((J210-Components!$D$7)/Components!$E$7)^2))</f>
        <v/>
      </c>
      <c r="Q210">
        <f>IF(G210="","",EXP(LARGE(K210:P210,1)-MAX(K210:P210))/(EXP(K210-MAX(K210:P210))+EXP(L210-MAX(K210:P210))+EXP(M210-MAX(K210:P210))+EXP(N210-MAX(K210:P210))+EXP(O210-MAX(K210:P210))+EXP(P210-MAX(K210:P210))))</f>
        <v/>
      </c>
      <c r="R210">
        <f>IF(G210="","",EXP(LARGE(K210:P210,2)-MAX(K210:P210))/(EXP(K210-MAX(K210:P210))+EXP(L210-MAX(K210:P210))+EXP(M210-MAX(K210:P210))+EXP(N210-MAX(K210:P210))+EXP(O210-MAX(K210:P210))+EXP(P210-MAX(K210:P210))))</f>
        <v/>
      </c>
      <c r="S210">
        <f>IF(G210="","",Q210-R210)</f>
        <v/>
      </c>
      <c r="T210">
        <f>IF(G210="","",IF(ABS(G210-H210)&lt;=$B$6*I210,"OK","NG"))</f>
        <v/>
      </c>
      <c r="U210">
        <f>IF(T210="","",IF(T210=D210,1,0))</f>
        <v/>
      </c>
      <c r="V210">
        <f>IF(G210="","",IF(T210="OK","NONE",INDEX({"S1","S2","W1","W2","N1","N2"},MATCH(MAX(K210:P210),K210:P210,0))))</f>
        <v/>
      </c>
      <c r="W210">
        <f>IF(G210="","",IF(V210=E210,1,0))</f>
        <v/>
      </c>
      <c r="X210">
        <f>IF(G210="","",IF(AND(T210="NG",S210&lt;$B$7),"AMBIGUOUS","CONFIDENT"))</f>
        <v/>
      </c>
    </row>
    <row r="211">
      <c r="A211">
        <f>'Runs Z score'!A204</f>
        <v/>
      </c>
      <c r="B211">
        <f>'Runs Z score'!B204</f>
        <v/>
      </c>
      <c r="C211">
        <f>'Runs Z score'!C204</f>
        <v/>
      </c>
      <c r="D211">
        <f>'Runs Z score'!D204</f>
        <v/>
      </c>
      <c r="E211">
        <f>'Runs Z score'!E204</f>
        <v/>
      </c>
      <c r="F211">
        <f>'Runs Z score'!F204</f>
        <v/>
      </c>
      <c r="G211">
        <f>'Runs Z score'!G204</f>
        <v/>
      </c>
      <c r="H211">
        <f>VLOOKUP(C211,Recipes!$A$2:$N$4,10,FALSE())</f>
        <v/>
      </c>
      <c r="I211">
        <f>VLOOKUP(C211,Recipes!$A$2:$N$4,12,FALSE())</f>
        <v/>
      </c>
      <c r="J211">
        <f>IF(G211="","",H211-G211)</f>
        <v/>
      </c>
      <c r="K211">
        <f>IF(G211="","",IF(VLOOKUP(C211,Recipes!$A$2:$N$4,4,FALSE())=0,-1E+300,-0.5*((J211-Components!$D$2)/Components!$E$2)^2))</f>
        <v/>
      </c>
      <c r="L211">
        <f>IF(G211="","",IF(VLOOKUP(C211,Recipes!$A$2:$N$4,5,FALSE())=0,-1E+300,-0.5*((J211-Components!$D$3)/Components!$E$3)^2))</f>
        <v/>
      </c>
      <c r="M211">
        <f>IF(G211="","",IF(VLOOKUP(C211,Recipes!$A$2:$N$4,6,FALSE())=0,-1E+300,-0.5*((J211-Components!$D$4)/Components!$E$4)^2))</f>
        <v/>
      </c>
      <c r="N211">
        <f>IF(G211="","",IF(VLOOKUP(C211,Recipes!$A$2:$N$4,7,FALSE())=0,-1E+300,-0.5*((J211-Components!$D$5)/Components!$E$5)^2))</f>
        <v/>
      </c>
      <c r="O211">
        <f>IF(G211="","",IF(VLOOKUP(C211,Recipes!$A$2:$N$4,8,FALSE())=0,-1E+300,-0.5*((J211-Components!$D$6)/Components!$E$6)^2))</f>
        <v/>
      </c>
      <c r="P211">
        <f>IF(G211="","",IF(VLOOKUP(C211,Recipes!$A$2:$N$4,9,FALSE())=0,-1E+300,-0.5*((J211-Components!$D$7)/Components!$E$7)^2))</f>
        <v/>
      </c>
      <c r="Q211">
        <f>IF(G211="","",EXP(LARGE(K211:P211,1)-MAX(K211:P211))/(EXP(K211-MAX(K211:P211))+EXP(L211-MAX(K211:P211))+EXP(M211-MAX(K211:P211))+EXP(N211-MAX(K211:P211))+EXP(O211-MAX(K211:P211))+EXP(P211-MAX(K211:P211))))</f>
        <v/>
      </c>
      <c r="R211">
        <f>IF(G211="","",EXP(LARGE(K211:P211,2)-MAX(K211:P211))/(EXP(K211-MAX(K211:P211))+EXP(L211-MAX(K211:P211))+EXP(M211-MAX(K211:P211))+EXP(N211-MAX(K211:P211))+EXP(O211-MAX(K211:P211))+EXP(P211-MAX(K211:P211))))</f>
        <v/>
      </c>
      <c r="S211">
        <f>IF(G211="","",Q211-R211)</f>
        <v/>
      </c>
      <c r="T211">
        <f>IF(G211="","",IF(ABS(G211-H211)&lt;=$B$6*I211,"OK","NG"))</f>
        <v/>
      </c>
      <c r="U211">
        <f>IF(T211="","",IF(T211=D211,1,0))</f>
        <v/>
      </c>
      <c r="V211">
        <f>IF(G211="","",IF(T211="OK","NONE",INDEX({"S1","S2","W1","W2","N1","N2"},MATCH(MAX(K211:P211),K211:P211,0))))</f>
        <v/>
      </c>
      <c r="W211">
        <f>IF(G211="","",IF(V211=E211,1,0))</f>
        <v/>
      </c>
      <c r="X211">
        <f>IF(G211="","",IF(AND(T211="NG",S211&lt;$B$7),"AMBIGUOUS","CONFIDENT"))</f>
        <v/>
      </c>
    </row>
    <row r="212">
      <c r="A212">
        <f>'Runs Z score'!A205</f>
        <v/>
      </c>
      <c r="B212">
        <f>'Runs Z score'!B205</f>
        <v/>
      </c>
      <c r="C212">
        <f>'Runs Z score'!C205</f>
        <v/>
      </c>
      <c r="D212">
        <f>'Runs Z score'!D205</f>
        <v/>
      </c>
      <c r="E212">
        <f>'Runs Z score'!E205</f>
        <v/>
      </c>
      <c r="F212">
        <f>'Runs Z score'!F205</f>
        <v/>
      </c>
      <c r="G212">
        <f>'Runs Z score'!G205</f>
        <v/>
      </c>
      <c r="H212">
        <f>VLOOKUP(C212,Recipes!$A$2:$N$4,10,FALSE())</f>
        <v/>
      </c>
      <c r="I212">
        <f>VLOOKUP(C212,Recipes!$A$2:$N$4,12,FALSE())</f>
        <v/>
      </c>
      <c r="J212">
        <f>IF(G212="","",H212-G212)</f>
        <v/>
      </c>
      <c r="K212">
        <f>IF(G212="","",IF(VLOOKUP(C212,Recipes!$A$2:$N$4,4,FALSE())=0,-1E+300,-0.5*((J212-Components!$D$2)/Components!$E$2)^2))</f>
        <v/>
      </c>
      <c r="L212">
        <f>IF(G212="","",IF(VLOOKUP(C212,Recipes!$A$2:$N$4,5,FALSE())=0,-1E+300,-0.5*((J212-Components!$D$3)/Components!$E$3)^2))</f>
        <v/>
      </c>
      <c r="M212">
        <f>IF(G212="","",IF(VLOOKUP(C212,Recipes!$A$2:$N$4,6,FALSE())=0,-1E+300,-0.5*((J212-Components!$D$4)/Components!$E$4)^2))</f>
        <v/>
      </c>
      <c r="N212">
        <f>IF(G212="","",IF(VLOOKUP(C212,Recipes!$A$2:$N$4,7,FALSE())=0,-1E+300,-0.5*((J212-Components!$D$5)/Components!$E$5)^2))</f>
        <v/>
      </c>
      <c r="O212">
        <f>IF(G212="","",IF(VLOOKUP(C212,Recipes!$A$2:$N$4,8,FALSE())=0,-1E+300,-0.5*((J212-Components!$D$6)/Components!$E$6)^2))</f>
        <v/>
      </c>
      <c r="P212">
        <f>IF(G212="","",IF(VLOOKUP(C212,Recipes!$A$2:$N$4,9,FALSE())=0,-1E+300,-0.5*((J212-Components!$D$7)/Components!$E$7)^2))</f>
        <v/>
      </c>
      <c r="Q212">
        <f>IF(G212="","",EXP(LARGE(K212:P212,1)-MAX(K212:P212))/(EXP(K212-MAX(K212:P212))+EXP(L212-MAX(K212:P212))+EXP(M212-MAX(K212:P212))+EXP(N212-MAX(K212:P212))+EXP(O212-MAX(K212:P212))+EXP(P212-MAX(K212:P212))))</f>
        <v/>
      </c>
      <c r="R212">
        <f>IF(G212="","",EXP(LARGE(K212:P212,2)-MAX(K212:P212))/(EXP(K212-MAX(K212:P212))+EXP(L212-MAX(K212:P212))+EXP(M212-MAX(K212:P212))+EXP(N212-MAX(K212:P212))+EXP(O212-MAX(K212:P212))+EXP(P212-MAX(K212:P212))))</f>
        <v/>
      </c>
      <c r="S212">
        <f>IF(G212="","",Q212-R212)</f>
        <v/>
      </c>
      <c r="T212">
        <f>IF(G212="","",IF(ABS(G212-H212)&lt;=$B$6*I212,"OK","NG"))</f>
        <v/>
      </c>
      <c r="U212">
        <f>IF(T212="","",IF(T212=D212,1,0))</f>
        <v/>
      </c>
      <c r="V212">
        <f>IF(G212="","",IF(T212="OK","NONE",INDEX({"S1","S2","W1","W2","N1","N2"},MATCH(MAX(K212:P212),K212:P212,0))))</f>
        <v/>
      </c>
      <c r="W212">
        <f>IF(G212="","",IF(V212=E212,1,0))</f>
        <v/>
      </c>
      <c r="X212">
        <f>IF(G212="","",IF(AND(T212="NG",S212&lt;$B$7),"AMBIGUOUS","CONFIDENT"))</f>
        <v/>
      </c>
    </row>
    <row r="213">
      <c r="A213">
        <f>'Runs Z score'!A206</f>
        <v/>
      </c>
      <c r="B213">
        <f>'Runs Z score'!B206</f>
        <v/>
      </c>
      <c r="C213">
        <f>'Runs Z score'!C206</f>
        <v/>
      </c>
      <c r="D213">
        <f>'Runs Z score'!D206</f>
        <v/>
      </c>
      <c r="E213">
        <f>'Runs Z score'!E206</f>
        <v/>
      </c>
      <c r="F213">
        <f>'Runs Z score'!F206</f>
        <v/>
      </c>
      <c r="G213">
        <f>'Runs Z score'!G206</f>
        <v/>
      </c>
      <c r="H213">
        <f>VLOOKUP(C213,Recipes!$A$2:$N$4,10,FALSE())</f>
        <v/>
      </c>
      <c r="I213">
        <f>VLOOKUP(C213,Recipes!$A$2:$N$4,12,FALSE())</f>
        <v/>
      </c>
      <c r="J213">
        <f>IF(G213="","",H213-G213)</f>
        <v/>
      </c>
      <c r="K213">
        <f>IF(G213="","",IF(VLOOKUP(C213,Recipes!$A$2:$N$4,4,FALSE())=0,-1E+300,-0.5*((J213-Components!$D$2)/Components!$E$2)^2))</f>
        <v/>
      </c>
      <c r="L213">
        <f>IF(G213="","",IF(VLOOKUP(C213,Recipes!$A$2:$N$4,5,FALSE())=0,-1E+300,-0.5*((J213-Components!$D$3)/Components!$E$3)^2))</f>
        <v/>
      </c>
      <c r="M213">
        <f>IF(G213="","",IF(VLOOKUP(C213,Recipes!$A$2:$N$4,6,FALSE())=0,-1E+300,-0.5*((J213-Components!$D$4)/Components!$E$4)^2))</f>
        <v/>
      </c>
      <c r="N213">
        <f>IF(G213="","",IF(VLOOKUP(C213,Recipes!$A$2:$N$4,7,FALSE())=0,-1E+300,-0.5*((J213-Components!$D$5)/Components!$E$5)^2))</f>
        <v/>
      </c>
      <c r="O213">
        <f>IF(G213="","",IF(VLOOKUP(C213,Recipes!$A$2:$N$4,8,FALSE())=0,-1E+300,-0.5*((J213-Components!$D$6)/Components!$E$6)^2))</f>
        <v/>
      </c>
      <c r="P213">
        <f>IF(G213="","",IF(VLOOKUP(C213,Recipes!$A$2:$N$4,9,FALSE())=0,-1E+300,-0.5*((J213-Components!$D$7)/Components!$E$7)^2))</f>
        <v/>
      </c>
      <c r="Q213">
        <f>IF(G213="","",EXP(LARGE(K213:P213,1)-MAX(K213:P213))/(EXP(K213-MAX(K213:P213))+EXP(L213-MAX(K213:P213))+EXP(M213-MAX(K213:P213))+EXP(N213-MAX(K213:P213))+EXP(O213-MAX(K213:P213))+EXP(P213-MAX(K213:P213))))</f>
        <v/>
      </c>
      <c r="R213">
        <f>IF(G213="","",EXP(LARGE(K213:P213,2)-MAX(K213:P213))/(EXP(K213-MAX(K213:P213))+EXP(L213-MAX(K213:P213))+EXP(M213-MAX(K213:P213))+EXP(N213-MAX(K213:P213))+EXP(O213-MAX(K213:P213))+EXP(P213-MAX(K213:P213))))</f>
        <v/>
      </c>
      <c r="S213">
        <f>IF(G213="","",Q213-R213)</f>
        <v/>
      </c>
      <c r="T213">
        <f>IF(G213="","",IF(ABS(G213-H213)&lt;=$B$6*I213,"OK","NG"))</f>
        <v/>
      </c>
      <c r="U213">
        <f>IF(T213="","",IF(T213=D213,1,0))</f>
        <v/>
      </c>
      <c r="V213">
        <f>IF(G213="","",IF(T213="OK","NONE",INDEX({"S1","S2","W1","W2","N1","N2"},MATCH(MAX(K213:P213),K213:P213,0))))</f>
        <v/>
      </c>
      <c r="W213">
        <f>IF(G213="","",IF(V213=E213,1,0))</f>
        <v/>
      </c>
      <c r="X213">
        <f>IF(G213="","",IF(AND(T213="NG",S213&lt;$B$7),"AMBIGUOUS","CONFIDENT"))</f>
        <v/>
      </c>
    </row>
    <row r="214">
      <c r="A214">
        <f>'Runs Z score'!A207</f>
        <v/>
      </c>
      <c r="B214">
        <f>'Runs Z score'!B207</f>
        <v/>
      </c>
      <c r="C214">
        <f>'Runs Z score'!C207</f>
        <v/>
      </c>
      <c r="D214">
        <f>'Runs Z score'!D207</f>
        <v/>
      </c>
      <c r="E214">
        <f>'Runs Z score'!E207</f>
        <v/>
      </c>
      <c r="F214">
        <f>'Runs Z score'!F207</f>
        <v/>
      </c>
      <c r="G214">
        <f>'Runs Z score'!G207</f>
        <v/>
      </c>
      <c r="H214">
        <f>VLOOKUP(C214,Recipes!$A$2:$N$4,10,FALSE())</f>
        <v/>
      </c>
      <c r="I214">
        <f>VLOOKUP(C214,Recipes!$A$2:$N$4,12,FALSE())</f>
        <v/>
      </c>
      <c r="J214">
        <f>IF(G214="","",H214-G214)</f>
        <v/>
      </c>
      <c r="K214">
        <f>IF(G214="","",IF(VLOOKUP(C214,Recipes!$A$2:$N$4,4,FALSE())=0,-1E+300,-0.5*((J214-Components!$D$2)/Components!$E$2)^2))</f>
        <v/>
      </c>
      <c r="L214">
        <f>IF(G214="","",IF(VLOOKUP(C214,Recipes!$A$2:$N$4,5,FALSE())=0,-1E+300,-0.5*((J214-Components!$D$3)/Components!$E$3)^2))</f>
        <v/>
      </c>
      <c r="M214">
        <f>IF(G214="","",IF(VLOOKUP(C214,Recipes!$A$2:$N$4,6,FALSE())=0,-1E+300,-0.5*((J214-Components!$D$4)/Components!$E$4)^2))</f>
        <v/>
      </c>
      <c r="N214">
        <f>IF(G214="","",IF(VLOOKUP(C214,Recipes!$A$2:$N$4,7,FALSE())=0,-1E+300,-0.5*((J214-Components!$D$5)/Components!$E$5)^2))</f>
        <v/>
      </c>
      <c r="O214">
        <f>IF(G214="","",IF(VLOOKUP(C214,Recipes!$A$2:$N$4,8,FALSE())=0,-1E+300,-0.5*((J214-Components!$D$6)/Components!$E$6)^2))</f>
        <v/>
      </c>
      <c r="P214">
        <f>IF(G214="","",IF(VLOOKUP(C214,Recipes!$A$2:$N$4,9,FALSE())=0,-1E+300,-0.5*((J214-Components!$D$7)/Components!$E$7)^2))</f>
        <v/>
      </c>
      <c r="Q214">
        <f>IF(G214="","",EXP(LARGE(K214:P214,1)-MAX(K214:P214))/(EXP(K214-MAX(K214:P214))+EXP(L214-MAX(K214:P214))+EXP(M214-MAX(K214:P214))+EXP(N214-MAX(K214:P214))+EXP(O214-MAX(K214:P214))+EXP(P214-MAX(K214:P214))))</f>
        <v/>
      </c>
      <c r="R214">
        <f>IF(G214="","",EXP(LARGE(K214:P214,2)-MAX(K214:P214))/(EXP(K214-MAX(K214:P214))+EXP(L214-MAX(K214:P214))+EXP(M214-MAX(K214:P214))+EXP(N214-MAX(K214:P214))+EXP(O214-MAX(K214:P214))+EXP(P214-MAX(K214:P214))))</f>
        <v/>
      </c>
      <c r="S214">
        <f>IF(G214="","",Q214-R214)</f>
        <v/>
      </c>
      <c r="T214">
        <f>IF(G214="","",IF(ABS(G214-H214)&lt;=$B$6*I214,"OK","NG"))</f>
        <v/>
      </c>
      <c r="U214">
        <f>IF(T214="","",IF(T214=D214,1,0))</f>
        <v/>
      </c>
      <c r="V214">
        <f>IF(G214="","",IF(T214="OK","NONE",INDEX({"S1","S2","W1","W2","N1","N2"},MATCH(MAX(K214:P214),K214:P214,0))))</f>
        <v/>
      </c>
      <c r="W214">
        <f>IF(G214="","",IF(V214=E214,1,0))</f>
        <v/>
      </c>
      <c r="X214">
        <f>IF(G214="","",IF(AND(T214="NG",S214&lt;$B$7),"AMBIGUOUS","CONFIDENT"))</f>
        <v/>
      </c>
    </row>
    <row r="215">
      <c r="A215">
        <f>'Runs Z score'!A208</f>
        <v/>
      </c>
      <c r="B215">
        <f>'Runs Z score'!B208</f>
        <v/>
      </c>
      <c r="C215">
        <f>'Runs Z score'!C208</f>
        <v/>
      </c>
      <c r="D215">
        <f>'Runs Z score'!D208</f>
        <v/>
      </c>
      <c r="E215">
        <f>'Runs Z score'!E208</f>
        <v/>
      </c>
      <c r="F215">
        <f>'Runs Z score'!F208</f>
        <v/>
      </c>
      <c r="G215">
        <f>'Runs Z score'!G208</f>
        <v/>
      </c>
      <c r="H215">
        <f>VLOOKUP(C215,Recipes!$A$2:$N$4,10,FALSE())</f>
        <v/>
      </c>
      <c r="I215">
        <f>VLOOKUP(C215,Recipes!$A$2:$N$4,12,FALSE())</f>
        <v/>
      </c>
      <c r="J215">
        <f>IF(G215="","",H215-G215)</f>
        <v/>
      </c>
      <c r="K215">
        <f>IF(G215="","",IF(VLOOKUP(C215,Recipes!$A$2:$N$4,4,FALSE())=0,-1E+300,-0.5*((J215-Components!$D$2)/Components!$E$2)^2))</f>
        <v/>
      </c>
      <c r="L215">
        <f>IF(G215="","",IF(VLOOKUP(C215,Recipes!$A$2:$N$4,5,FALSE())=0,-1E+300,-0.5*((J215-Components!$D$3)/Components!$E$3)^2))</f>
        <v/>
      </c>
      <c r="M215">
        <f>IF(G215="","",IF(VLOOKUP(C215,Recipes!$A$2:$N$4,6,FALSE())=0,-1E+300,-0.5*((J215-Components!$D$4)/Components!$E$4)^2))</f>
        <v/>
      </c>
      <c r="N215">
        <f>IF(G215="","",IF(VLOOKUP(C215,Recipes!$A$2:$N$4,7,FALSE())=0,-1E+300,-0.5*((J215-Components!$D$5)/Components!$E$5)^2))</f>
        <v/>
      </c>
      <c r="O215">
        <f>IF(G215="","",IF(VLOOKUP(C215,Recipes!$A$2:$N$4,8,FALSE())=0,-1E+300,-0.5*((J215-Components!$D$6)/Components!$E$6)^2))</f>
        <v/>
      </c>
      <c r="P215">
        <f>IF(G215="","",IF(VLOOKUP(C215,Recipes!$A$2:$N$4,9,FALSE())=0,-1E+300,-0.5*((J215-Components!$D$7)/Components!$E$7)^2))</f>
        <v/>
      </c>
      <c r="Q215">
        <f>IF(G215="","",EXP(LARGE(K215:P215,1)-MAX(K215:P215))/(EXP(K215-MAX(K215:P215))+EXP(L215-MAX(K215:P215))+EXP(M215-MAX(K215:P215))+EXP(N215-MAX(K215:P215))+EXP(O215-MAX(K215:P215))+EXP(P215-MAX(K215:P215))))</f>
        <v/>
      </c>
      <c r="R215">
        <f>IF(G215="","",EXP(LARGE(K215:P215,2)-MAX(K215:P215))/(EXP(K215-MAX(K215:P215))+EXP(L215-MAX(K215:P215))+EXP(M215-MAX(K215:P215))+EXP(N215-MAX(K215:P215))+EXP(O215-MAX(K215:P215))+EXP(P215-MAX(K215:P215))))</f>
        <v/>
      </c>
      <c r="S215">
        <f>IF(G215="","",Q215-R215)</f>
        <v/>
      </c>
      <c r="T215">
        <f>IF(G215="","",IF(ABS(G215-H215)&lt;=$B$6*I215,"OK","NG"))</f>
        <v/>
      </c>
      <c r="U215">
        <f>IF(T215="","",IF(T215=D215,1,0))</f>
        <v/>
      </c>
      <c r="V215">
        <f>IF(G215="","",IF(T215="OK","NONE",INDEX({"S1","S2","W1","W2","N1","N2"},MATCH(MAX(K215:P215),K215:P215,0))))</f>
        <v/>
      </c>
      <c r="W215">
        <f>IF(G215="","",IF(V215=E215,1,0))</f>
        <v/>
      </c>
      <c r="X215">
        <f>IF(G215="","",IF(AND(T215="NG",S215&lt;$B$7),"AMBIGUOUS","CONFIDENT"))</f>
        <v/>
      </c>
    </row>
    <row r="216">
      <c r="A216">
        <f>'Runs Z score'!A209</f>
        <v/>
      </c>
      <c r="B216">
        <f>'Runs Z score'!B209</f>
        <v/>
      </c>
      <c r="C216">
        <f>'Runs Z score'!C209</f>
        <v/>
      </c>
      <c r="D216">
        <f>'Runs Z score'!D209</f>
        <v/>
      </c>
      <c r="E216">
        <f>'Runs Z score'!E209</f>
        <v/>
      </c>
      <c r="F216">
        <f>'Runs Z score'!F209</f>
        <v/>
      </c>
      <c r="G216">
        <f>'Runs Z score'!G209</f>
        <v/>
      </c>
      <c r="H216">
        <f>VLOOKUP(C216,Recipes!$A$2:$N$4,10,FALSE())</f>
        <v/>
      </c>
      <c r="I216">
        <f>VLOOKUP(C216,Recipes!$A$2:$N$4,12,FALSE())</f>
        <v/>
      </c>
      <c r="J216">
        <f>IF(G216="","",H216-G216)</f>
        <v/>
      </c>
      <c r="K216">
        <f>IF(G216="","",IF(VLOOKUP(C216,Recipes!$A$2:$N$4,4,FALSE())=0,-1E+300,-0.5*((J216-Components!$D$2)/Components!$E$2)^2))</f>
        <v/>
      </c>
      <c r="L216">
        <f>IF(G216="","",IF(VLOOKUP(C216,Recipes!$A$2:$N$4,5,FALSE())=0,-1E+300,-0.5*((J216-Components!$D$3)/Components!$E$3)^2))</f>
        <v/>
      </c>
      <c r="M216">
        <f>IF(G216="","",IF(VLOOKUP(C216,Recipes!$A$2:$N$4,6,FALSE())=0,-1E+300,-0.5*((J216-Components!$D$4)/Components!$E$4)^2))</f>
        <v/>
      </c>
      <c r="N216">
        <f>IF(G216="","",IF(VLOOKUP(C216,Recipes!$A$2:$N$4,7,FALSE())=0,-1E+300,-0.5*((J216-Components!$D$5)/Components!$E$5)^2))</f>
        <v/>
      </c>
      <c r="O216">
        <f>IF(G216="","",IF(VLOOKUP(C216,Recipes!$A$2:$N$4,8,FALSE())=0,-1E+300,-0.5*((J216-Components!$D$6)/Components!$E$6)^2))</f>
        <v/>
      </c>
      <c r="P216">
        <f>IF(G216="","",IF(VLOOKUP(C216,Recipes!$A$2:$N$4,9,FALSE())=0,-1E+300,-0.5*((J216-Components!$D$7)/Components!$E$7)^2))</f>
        <v/>
      </c>
      <c r="Q216">
        <f>IF(G216="","",EXP(LARGE(K216:P216,1)-MAX(K216:P216))/(EXP(K216-MAX(K216:P216))+EXP(L216-MAX(K216:P216))+EXP(M216-MAX(K216:P216))+EXP(N216-MAX(K216:P216))+EXP(O216-MAX(K216:P216))+EXP(P216-MAX(K216:P216))))</f>
        <v/>
      </c>
      <c r="R216">
        <f>IF(G216="","",EXP(LARGE(K216:P216,2)-MAX(K216:P216))/(EXP(K216-MAX(K216:P216))+EXP(L216-MAX(K216:P216))+EXP(M216-MAX(K216:P216))+EXP(N216-MAX(K216:P216))+EXP(O216-MAX(K216:P216))+EXP(P216-MAX(K216:P216))))</f>
        <v/>
      </c>
      <c r="S216">
        <f>IF(G216="","",Q216-R216)</f>
        <v/>
      </c>
      <c r="T216">
        <f>IF(G216="","",IF(ABS(G216-H216)&lt;=$B$6*I216,"OK","NG"))</f>
        <v/>
      </c>
      <c r="U216">
        <f>IF(T216="","",IF(T216=D216,1,0))</f>
        <v/>
      </c>
      <c r="V216">
        <f>IF(G216="","",IF(T216="OK","NONE",INDEX({"S1","S2","W1","W2","N1","N2"},MATCH(MAX(K216:P216),K216:P216,0))))</f>
        <v/>
      </c>
      <c r="W216">
        <f>IF(G216="","",IF(V216=E216,1,0))</f>
        <v/>
      </c>
      <c r="X216">
        <f>IF(G216="","",IF(AND(T216="NG",S216&lt;$B$7),"AMBIGUOUS","CONFIDENT"))</f>
        <v/>
      </c>
    </row>
    <row r="217">
      <c r="A217">
        <f>'Runs Z score'!A210</f>
        <v/>
      </c>
      <c r="B217">
        <f>'Runs Z score'!B210</f>
        <v/>
      </c>
      <c r="C217">
        <f>'Runs Z score'!C210</f>
        <v/>
      </c>
      <c r="D217">
        <f>'Runs Z score'!D210</f>
        <v/>
      </c>
      <c r="E217">
        <f>'Runs Z score'!E210</f>
        <v/>
      </c>
      <c r="F217">
        <f>'Runs Z score'!F210</f>
        <v/>
      </c>
      <c r="G217">
        <f>'Runs Z score'!G210</f>
        <v/>
      </c>
      <c r="H217">
        <f>VLOOKUP(C217,Recipes!$A$2:$N$4,10,FALSE())</f>
        <v/>
      </c>
      <c r="I217">
        <f>VLOOKUP(C217,Recipes!$A$2:$N$4,12,FALSE())</f>
        <v/>
      </c>
      <c r="J217">
        <f>IF(G217="","",H217-G217)</f>
        <v/>
      </c>
      <c r="K217">
        <f>IF(G217="","",IF(VLOOKUP(C217,Recipes!$A$2:$N$4,4,FALSE())=0,-1E+300,-0.5*((J217-Components!$D$2)/Components!$E$2)^2))</f>
        <v/>
      </c>
      <c r="L217">
        <f>IF(G217="","",IF(VLOOKUP(C217,Recipes!$A$2:$N$4,5,FALSE())=0,-1E+300,-0.5*((J217-Components!$D$3)/Components!$E$3)^2))</f>
        <v/>
      </c>
      <c r="M217">
        <f>IF(G217="","",IF(VLOOKUP(C217,Recipes!$A$2:$N$4,6,FALSE())=0,-1E+300,-0.5*((J217-Components!$D$4)/Components!$E$4)^2))</f>
        <v/>
      </c>
      <c r="N217">
        <f>IF(G217="","",IF(VLOOKUP(C217,Recipes!$A$2:$N$4,7,FALSE())=0,-1E+300,-0.5*((J217-Components!$D$5)/Components!$E$5)^2))</f>
        <v/>
      </c>
      <c r="O217">
        <f>IF(G217="","",IF(VLOOKUP(C217,Recipes!$A$2:$N$4,8,FALSE())=0,-1E+300,-0.5*((J217-Components!$D$6)/Components!$E$6)^2))</f>
        <v/>
      </c>
      <c r="P217">
        <f>IF(G217="","",IF(VLOOKUP(C217,Recipes!$A$2:$N$4,9,FALSE())=0,-1E+300,-0.5*((J217-Components!$D$7)/Components!$E$7)^2))</f>
        <v/>
      </c>
      <c r="Q217">
        <f>IF(G217="","",EXP(LARGE(K217:P217,1)-MAX(K217:P217))/(EXP(K217-MAX(K217:P217))+EXP(L217-MAX(K217:P217))+EXP(M217-MAX(K217:P217))+EXP(N217-MAX(K217:P217))+EXP(O217-MAX(K217:P217))+EXP(P217-MAX(K217:P217))))</f>
        <v/>
      </c>
      <c r="R217">
        <f>IF(G217="","",EXP(LARGE(K217:P217,2)-MAX(K217:P217))/(EXP(K217-MAX(K217:P217))+EXP(L217-MAX(K217:P217))+EXP(M217-MAX(K217:P217))+EXP(N217-MAX(K217:P217))+EXP(O217-MAX(K217:P217))+EXP(P217-MAX(K217:P217))))</f>
        <v/>
      </c>
      <c r="S217">
        <f>IF(G217="","",Q217-R217)</f>
        <v/>
      </c>
      <c r="T217">
        <f>IF(G217="","",IF(ABS(G217-H217)&lt;=$B$6*I217,"OK","NG"))</f>
        <v/>
      </c>
      <c r="U217">
        <f>IF(T217="","",IF(T217=D217,1,0))</f>
        <v/>
      </c>
      <c r="V217">
        <f>IF(G217="","",IF(T217="OK","NONE",INDEX({"S1","S2","W1","W2","N1","N2"},MATCH(MAX(K217:P217),K217:P217,0))))</f>
        <v/>
      </c>
      <c r="W217">
        <f>IF(G217="","",IF(V217=E217,1,0))</f>
        <v/>
      </c>
      <c r="X217">
        <f>IF(G217="","",IF(AND(T217="NG",S217&lt;$B$7),"AMBIGUOUS","CONFIDENT"))</f>
        <v/>
      </c>
    </row>
    <row r="218">
      <c r="A218">
        <f>'Runs Z score'!A211</f>
        <v/>
      </c>
      <c r="B218">
        <f>'Runs Z score'!B211</f>
        <v/>
      </c>
      <c r="C218">
        <f>'Runs Z score'!C211</f>
        <v/>
      </c>
      <c r="D218">
        <f>'Runs Z score'!D211</f>
        <v/>
      </c>
      <c r="E218">
        <f>'Runs Z score'!E211</f>
        <v/>
      </c>
      <c r="F218">
        <f>'Runs Z score'!F211</f>
        <v/>
      </c>
      <c r="G218">
        <f>'Runs Z score'!G211</f>
        <v/>
      </c>
      <c r="H218">
        <f>VLOOKUP(C218,Recipes!$A$2:$N$4,10,FALSE())</f>
        <v/>
      </c>
      <c r="I218">
        <f>VLOOKUP(C218,Recipes!$A$2:$N$4,12,FALSE())</f>
        <v/>
      </c>
      <c r="J218">
        <f>IF(G218="","",H218-G218)</f>
        <v/>
      </c>
      <c r="K218">
        <f>IF(G218="","",IF(VLOOKUP(C218,Recipes!$A$2:$N$4,4,FALSE())=0,-1E+300,-0.5*((J218-Components!$D$2)/Components!$E$2)^2))</f>
        <v/>
      </c>
      <c r="L218">
        <f>IF(G218="","",IF(VLOOKUP(C218,Recipes!$A$2:$N$4,5,FALSE())=0,-1E+300,-0.5*((J218-Components!$D$3)/Components!$E$3)^2))</f>
        <v/>
      </c>
      <c r="M218">
        <f>IF(G218="","",IF(VLOOKUP(C218,Recipes!$A$2:$N$4,6,FALSE())=0,-1E+300,-0.5*((J218-Components!$D$4)/Components!$E$4)^2))</f>
        <v/>
      </c>
      <c r="N218">
        <f>IF(G218="","",IF(VLOOKUP(C218,Recipes!$A$2:$N$4,7,FALSE())=0,-1E+300,-0.5*((J218-Components!$D$5)/Components!$E$5)^2))</f>
        <v/>
      </c>
      <c r="O218">
        <f>IF(G218="","",IF(VLOOKUP(C218,Recipes!$A$2:$N$4,8,FALSE())=0,-1E+300,-0.5*((J218-Components!$D$6)/Components!$E$6)^2))</f>
        <v/>
      </c>
      <c r="P218">
        <f>IF(G218="","",IF(VLOOKUP(C218,Recipes!$A$2:$N$4,9,FALSE())=0,-1E+300,-0.5*((J218-Components!$D$7)/Components!$E$7)^2))</f>
        <v/>
      </c>
      <c r="Q218">
        <f>IF(G218="","",EXP(LARGE(K218:P218,1)-MAX(K218:P218))/(EXP(K218-MAX(K218:P218))+EXP(L218-MAX(K218:P218))+EXP(M218-MAX(K218:P218))+EXP(N218-MAX(K218:P218))+EXP(O218-MAX(K218:P218))+EXP(P218-MAX(K218:P218))))</f>
        <v/>
      </c>
      <c r="R218">
        <f>IF(G218="","",EXP(LARGE(K218:P218,2)-MAX(K218:P218))/(EXP(K218-MAX(K218:P218))+EXP(L218-MAX(K218:P218))+EXP(M218-MAX(K218:P218))+EXP(N218-MAX(K218:P218))+EXP(O218-MAX(K218:P218))+EXP(P218-MAX(K218:P218))))</f>
        <v/>
      </c>
      <c r="S218">
        <f>IF(G218="","",Q218-R218)</f>
        <v/>
      </c>
      <c r="T218">
        <f>IF(G218="","",IF(ABS(G218-H218)&lt;=$B$6*I218,"OK","NG"))</f>
        <v/>
      </c>
      <c r="U218">
        <f>IF(T218="","",IF(T218=D218,1,0))</f>
        <v/>
      </c>
      <c r="V218">
        <f>IF(G218="","",IF(T218="OK","NONE",INDEX({"S1","S2","W1","W2","N1","N2"},MATCH(MAX(K218:P218),K218:P218,0))))</f>
        <v/>
      </c>
      <c r="W218">
        <f>IF(G218="","",IF(V218=E218,1,0))</f>
        <v/>
      </c>
      <c r="X218">
        <f>IF(G218="","",IF(AND(T218="NG",S218&lt;$B$7),"AMBIGUOUS","CONFIDENT"))</f>
        <v/>
      </c>
    </row>
    <row r="219">
      <c r="A219">
        <f>'Runs Z score'!A212</f>
        <v/>
      </c>
      <c r="B219">
        <f>'Runs Z score'!B212</f>
        <v/>
      </c>
      <c r="C219">
        <f>'Runs Z score'!C212</f>
        <v/>
      </c>
      <c r="D219">
        <f>'Runs Z score'!D212</f>
        <v/>
      </c>
      <c r="E219">
        <f>'Runs Z score'!E212</f>
        <v/>
      </c>
      <c r="F219">
        <f>'Runs Z score'!F212</f>
        <v/>
      </c>
      <c r="G219">
        <f>'Runs Z score'!G212</f>
        <v/>
      </c>
      <c r="H219">
        <f>VLOOKUP(C219,Recipes!$A$2:$N$4,10,FALSE())</f>
        <v/>
      </c>
      <c r="I219">
        <f>VLOOKUP(C219,Recipes!$A$2:$N$4,12,FALSE())</f>
        <v/>
      </c>
      <c r="J219">
        <f>IF(G219="","",H219-G219)</f>
        <v/>
      </c>
      <c r="K219">
        <f>IF(G219="","",IF(VLOOKUP(C219,Recipes!$A$2:$N$4,4,FALSE())=0,-1E+300,-0.5*((J219-Components!$D$2)/Components!$E$2)^2))</f>
        <v/>
      </c>
      <c r="L219">
        <f>IF(G219="","",IF(VLOOKUP(C219,Recipes!$A$2:$N$4,5,FALSE())=0,-1E+300,-0.5*((J219-Components!$D$3)/Components!$E$3)^2))</f>
        <v/>
      </c>
      <c r="M219">
        <f>IF(G219="","",IF(VLOOKUP(C219,Recipes!$A$2:$N$4,6,FALSE())=0,-1E+300,-0.5*((J219-Components!$D$4)/Components!$E$4)^2))</f>
        <v/>
      </c>
      <c r="N219">
        <f>IF(G219="","",IF(VLOOKUP(C219,Recipes!$A$2:$N$4,7,FALSE())=0,-1E+300,-0.5*((J219-Components!$D$5)/Components!$E$5)^2))</f>
        <v/>
      </c>
      <c r="O219">
        <f>IF(G219="","",IF(VLOOKUP(C219,Recipes!$A$2:$N$4,8,FALSE())=0,-1E+300,-0.5*((J219-Components!$D$6)/Components!$E$6)^2))</f>
        <v/>
      </c>
      <c r="P219">
        <f>IF(G219="","",IF(VLOOKUP(C219,Recipes!$A$2:$N$4,9,FALSE())=0,-1E+300,-0.5*((J219-Components!$D$7)/Components!$E$7)^2))</f>
        <v/>
      </c>
      <c r="Q219">
        <f>IF(G219="","",EXP(LARGE(K219:P219,1)-MAX(K219:P219))/(EXP(K219-MAX(K219:P219))+EXP(L219-MAX(K219:P219))+EXP(M219-MAX(K219:P219))+EXP(N219-MAX(K219:P219))+EXP(O219-MAX(K219:P219))+EXP(P219-MAX(K219:P219))))</f>
        <v/>
      </c>
      <c r="R219">
        <f>IF(G219="","",EXP(LARGE(K219:P219,2)-MAX(K219:P219))/(EXP(K219-MAX(K219:P219))+EXP(L219-MAX(K219:P219))+EXP(M219-MAX(K219:P219))+EXP(N219-MAX(K219:P219))+EXP(O219-MAX(K219:P219))+EXP(P219-MAX(K219:P219))))</f>
        <v/>
      </c>
      <c r="S219">
        <f>IF(G219="","",Q219-R219)</f>
        <v/>
      </c>
      <c r="T219">
        <f>IF(G219="","",IF(ABS(G219-H219)&lt;=$B$6*I219,"OK","NG"))</f>
        <v/>
      </c>
      <c r="U219">
        <f>IF(T219="","",IF(T219=D219,1,0))</f>
        <v/>
      </c>
      <c r="V219">
        <f>IF(G219="","",IF(T219="OK","NONE",INDEX({"S1","S2","W1","W2","N1","N2"},MATCH(MAX(K219:P219),K219:P219,0))))</f>
        <v/>
      </c>
      <c r="W219">
        <f>IF(G219="","",IF(V219=E219,1,0))</f>
        <v/>
      </c>
      <c r="X219">
        <f>IF(G219="","",IF(AND(T219="NG",S219&lt;$B$7),"AMBIGUOUS","CONFIDENT"))</f>
        <v/>
      </c>
    </row>
    <row r="220">
      <c r="A220">
        <f>'Runs Z score'!A213</f>
        <v/>
      </c>
      <c r="B220">
        <f>'Runs Z score'!B213</f>
        <v/>
      </c>
      <c r="C220">
        <f>'Runs Z score'!C213</f>
        <v/>
      </c>
      <c r="D220">
        <f>'Runs Z score'!D213</f>
        <v/>
      </c>
      <c r="E220">
        <f>'Runs Z score'!E213</f>
        <v/>
      </c>
      <c r="F220">
        <f>'Runs Z score'!F213</f>
        <v/>
      </c>
      <c r="G220">
        <f>'Runs Z score'!G213</f>
        <v/>
      </c>
      <c r="H220">
        <f>VLOOKUP(C220,Recipes!$A$2:$N$4,10,FALSE())</f>
        <v/>
      </c>
      <c r="I220">
        <f>VLOOKUP(C220,Recipes!$A$2:$N$4,12,FALSE())</f>
        <v/>
      </c>
      <c r="J220">
        <f>IF(G220="","",H220-G220)</f>
        <v/>
      </c>
      <c r="K220">
        <f>IF(G220="","",IF(VLOOKUP(C220,Recipes!$A$2:$N$4,4,FALSE())=0,-1E+300,-0.5*((J220-Components!$D$2)/Components!$E$2)^2))</f>
        <v/>
      </c>
      <c r="L220">
        <f>IF(G220="","",IF(VLOOKUP(C220,Recipes!$A$2:$N$4,5,FALSE())=0,-1E+300,-0.5*((J220-Components!$D$3)/Components!$E$3)^2))</f>
        <v/>
      </c>
      <c r="M220">
        <f>IF(G220="","",IF(VLOOKUP(C220,Recipes!$A$2:$N$4,6,FALSE())=0,-1E+300,-0.5*((J220-Components!$D$4)/Components!$E$4)^2))</f>
        <v/>
      </c>
      <c r="N220">
        <f>IF(G220="","",IF(VLOOKUP(C220,Recipes!$A$2:$N$4,7,FALSE())=0,-1E+300,-0.5*((J220-Components!$D$5)/Components!$E$5)^2))</f>
        <v/>
      </c>
      <c r="O220">
        <f>IF(G220="","",IF(VLOOKUP(C220,Recipes!$A$2:$N$4,8,FALSE())=0,-1E+300,-0.5*((J220-Components!$D$6)/Components!$E$6)^2))</f>
        <v/>
      </c>
      <c r="P220">
        <f>IF(G220="","",IF(VLOOKUP(C220,Recipes!$A$2:$N$4,9,FALSE())=0,-1E+300,-0.5*((J220-Components!$D$7)/Components!$E$7)^2))</f>
        <v/>
      </c>
      <c r="Q220">
        <f>IF(G220="","",EXP(LARGE(K220:P220,1)-MAX(K220:P220))/(EXP(K220-MAX(K220:P220))+EXP(L220-MAX(K220:P220))+EXP(M220-MAX(K220:P220))+EXP(N220-MAX(K220:P220))+EXP(O220-MAX(K220:P220))+EXP(P220-MAX(K220:P220))))</f>
        <v/>
      </c>
      <c r="R220">
        <f>IF(G220="","",EXP(LARGE(K220:P220,2)-MAX(K220:P220))/(EXP(K220-MAX(K220:P220))+EXP(L220-MAX(K220:P220))+EXP(M220-MAX(K220:P220))+EXP(N220-MAX(K220:P220))+EXP(O220-MAX(K220:P220))+EXP(P220-MAX(K220:P220))))</f>
        <v/>
      </c>
      <c r="S220">
        <f>IF(G220="","",Q220-R220)</f>
        <v/>
      </c>
      <c r="T220">
        <f>IF(G220="","",IF(ABS(G220-H220)&lt;=$B$6*I220,"OK","NG"))</f>
        <v/>
      </c>
      <c r="U220">
        <f>IF(T220="","",IF(T220=D220,1,0))</f>
        <v/>
      </c>
      <c r="V220">
        <f>IF(G220="","",IF(T220="OK","NONE",INDEX({"S1","S2","W1","W2","N1","N2"},MATCH(MAX(K220:P220),K220:P220,0))))</f>
        <v/>
      </c>
      <c r="W220">
        <f>IF(G220="","",IF(V220=E220,1,0))</f>
        <v/>
      </c>
      <c r="X220">
        <f>IF(G220="","",IF(AND(T220="NG",S220&lt;$B$7),"AMBIGUOUS","CONFIDENT"))</f>
        <v/>
      </c>
    </row>
    <row r="221">
      <c r="A221">
        <f>'Runs Z score'!A214</f>
        <v/>
      </c>
      <c r="B221">
        <f>'Runs Z score'!B214</f>
        <v/>
      </c>
      <c r="C221">
        <f>'Runs Z score'!C214</f>
        <v/>
      </c>
      <c r="D221">
        <f>'Runs Z score'!D214</f>
        <v/>
      </c>
      <c r="E221">
        <f>'Runs Z score'!E214</f>
        <v/>
      </c>
      <c r="F221">
        <f>'Runs Z score'!F214</f>
        <v/>
      </c>
      <c r="G221">
        <f>'Runs Z score'!G214</f>
        <v/>
      </c>
      <c r="H221">
        <f>VLOOKUP(C221,Recipes!$A$2:$N$4,10,FALSE())</f>
        <v/>
      </c>
      <c r="I221">
        <f>VLOOKUP(C221,Recipes!$A$2:$N$4,12,FALSE())</f>
        <v/>
      </c>
      <c r="J221">
        <f>IF(G221="","",H221-G221)</f>
        <v/>
      </c>
      <c r="K221">
        <f>IF(G221="","",IF(VLOOKUP(C221,Recipes!$A$2:$N$4,4,FALSE())=0,-1E+300,-0.5*((J221-Components!$D$2)/Components!$E$2)^2))</f>
        <v/>
      </c>
      <c r="L221">
        <f>IF(G221="","",IF(VLOOKUP(C221,Recipes!$A$2:$N$4,5,FALSE())=0,-1E+300,-0.5*((J221-Components!$D$3)/Components!$E$3)^2))</f>
        <v/>
      </c>
      <c r="M221">
        <f>IF(G221="","",IF(VLOOKUP(C221,Recipes!$A$2:$N$4,6,FALSE())=0,-1E+300,-0.5*((J221-Components!$D$4)/Components!$E$4)^2))</f>
        <v/>
      </c>
      <c r="N221">
        <f>IF(G221="","",IF(VLOOKUP(C221,Recipes!$A$2:$N$4,7,FALSE())=0,-1E+300,-0.5*((J221-Components!$D$5)/Components!$E$5)^2))</f>
        <v/>
      </c>
      <c r="O221">
        <f>IF(G221="","",IF(VLOOKUP(C221,Recipes!$A$2:$N$4,8,FALSE())=0,-1E+300,-0.5*((J221-Components!$D$6)/Components!$E$6)^2))</f>
        <v/>
      </c>
      <c r="P221">
        <f>IF(G221="","",IF(VLOOKUP(C221,Recipes!$A$2:$N$4,9,FALSE())=0,-1E+300,-0.5*((J221-Components!$D$7)/Components!$E$7)^2))</f>
        <v/>
      </c>
      <c r="Q221">
        <f>IF(G221="","",EXP(LARGE(K221:P221,1)-MAX(K221:P221))/(EXP(K221-MAX(K221:P221))+EXP(L221-MAX(K221:P221))+EXP(M221-MAX(K221:P221))+EXP(N221-MAX(K221:P221))+EXP(O221-MAX(K221:P221))+EXP(P221-MAX(K221:P221))))</f>
        <v/>
      </c>
      <c r="R221">
        <f>IF(G221="","",EXP(LARGE(K221:P221,2)-MAX(K221:P221))/(EXP(K221-MAX(K221:P221))+EXP(L221-MAX(K221:P221))+EXP(M221-MAX(K221:P221))+EXP(N221-MAX(K221:P221))+EXP(O221-MAX(K221:P221))+EXP(P221-MAX(K221:P221))))</f>
        <v/>
      </c>
      <c r="S221">
        <f>IF(G221="","",Q221-R221)</f>
        <v/>
      </c>
      <c r="T221">
        <f>IF(G221="","",IF(ABS(G221-H221)&lt;=$B$6*I221,"OK","NG"))</f>
        <v/>
      </c>
      <c r="U221">
        <f>IF(T221="","",IF(T221=D221,1,0))</f>
        <v/>
      </c>
      <c r="V221">
        <f>IF(G221="","",IF(T221="OK","NONE",INDEX({"S1","S2","W1","W2","N1","N2"},MATCH(MAX(K221:P221),K221:P221,0))))</f>
        <v/>
      </c>
      <c r="W221">
        <f>IF(G221="","",IF(V221=E221,1,0))</f>
        <v/>
      </c>
      <c r="X221">
        <f>IF(G221="","",IF(AND(T221="NG",S221&lt;$B$7),"AMBIGUOUS","CONFIDENT"))</f>
        <v/>
      </c>
    </row>
    <row r="222">
      <c r="A222">
        <f>'Runs Z score'!A215</f>
        <v/>
      </c>
      <c r="B222">
        <f>'Runs Z score'!B215</f>
        <v/>
      </c>
      <c r="C222">
        <f>'Runs Z score'!C215</f>
        <v/>
      </c>
      <c r="D222">
        <f>'Runs Z score'!D215</f>
        <v/>
      </c>
      <c r="E222">
        <f>'Runs Z score'!E215</f>
        <v/>
      </c>
      <c r="F222">
        <f>'Runs Z score'!F215</f>
        <v/>
      </c>
      <c r="G222">
        <f>'Runs Z score'!G215</f>
        <v/>
      </c>
      <c r="H222">
        <f>VLOOKUP(C222,Recipes!$A$2:$N$4,10,FALSE())</f>
        <v/>
      </c>
      <c r="I222">
        <f>VLOOKUP(C222,Recipes!$A$2:$N$4,12,FALSE())</f>
        <v/>
      </c>
      <c r="J222">
        <f>IF(G222="","",H222-G222)</f>
        <v/>
      </c>
      <c r="K222">
        <f>IF(G222="","",IF(VLOOKUP(C222,Recipes!$A$2:$N$4,4,FALSE())=0,-1E+300,-0.5*((J222-Components!$D$2)/Components!$E$2)^2))</f>
        <v/>
      </c>
      <c r="L222">
        <f>IF(G222="","",IF(VLOOKUP(C222,Recipes!$A$2:$N$4,5,FALSE())=0,-1E+300,-0.5*((J222-Components!$D$3)/Components!$E$3)^2))</f>
        <v/>
      </c>
      <c r="M222">
        <f>IF(G222="","",IF(VLOOKUP(C222,Recipes!$A$2:$N$4,6,FALSE())=0,-1E+300,-0.5*((J222-Components!$D$4)/Components!$E$4)^2))</f>
        <v/>
      </c>
      <c r="N222">
        <f>IF(G222="","",IF(VLOOKUP(C222,Recipes!$A$2:$N$4,7,FALSE())=0,-1E+300,-0.5*((J222-Components!$D$5)/Components!$E$5)^2))</f>
        <v/>
      </c>
      <c r="O222">
        <f>IF(G222="","",IF(VLOOKUP(C222,Recipes!$A$2:$N$4,8,FALSE())=0,-1E+300,-0.5*((J222-Components!$D$6)/Components!$E$6)^2))</f>
        <v/>
      </c>
      <c r="P222">
        <f>IF(G222="","",IF(VLOOKUP(C222,Recipes!$A$2:$N$4,9,FALSE())=0,-1E+300,-0.5*((J222-Components!$D$7)/Components!$E$7)^2))</f>
        <v/>
      </c>
      <c r="Q222">
        <f>IF(G222="","",EXP(LARGE(K222:P222,1)-MAX(K222:P222))/(EXP(K222-MAX(K222:P222))+EXP(L222-MAX(K222:P222))+EXP(M222-MAX(K222:P222))+EXP(N222-MAX(K222:P222))+EXP(O222-MAX(K222:P222))+EXP(P222-MAX(K222:P222))))</f>
        <v/>
      </c>
      <c r="R222">
        <f>IF(G222="","",EXP(LARGE(K222:P222,2)-MAX(K222:P222))/(EXP(K222-MAX(K222:P222))+EXP(L222-MAX(K222:P222))+EXP(M222-MAX(K222:P222))+EXP(N222-MAX(K222:P222))+EXP(O222-MAX(K222:P222))+EXP(P222-MAX(K222:P222))))</f>
        <v/>
      </c>
      <c r="S222">
        <f>IF(G222="","",Q222-R222)</f>
        <v/>
      </c>
      <c r="T222">
        <f>IF(G222="","",IF(ABS(G222-H222)&lt;=$B$6*I222,"OK","NG"))</f>
        <v/>
      </c>
      <c r="U222">
        <f>IF(T222="","",IF(T222=D222,1,0))</f>
        <v/>
      </c>
      <c r="V222">
        <f>IF(G222="","",IF(T222="OK","NONE",INDEX({"S1","S2","W1","W2","N1","N2"},MATCH(MAX(K222:P222),K222:P222,0))))</f>
        <v/>
      </c>
      <c r="W222">
        <f>IF(G222="","",IF(V222=E222,1,0))</f>
        <v/>
      </c>
      <c r="X222">
        <f>IF(G222="","",IF(AND(T222="NG",S222&lt;$B$7),"AMBIGUOUS","CONFIDENT"))</f>
        <v/>
      </c>
    </row>
    <row r="223">
      <c r="A223">
        <f>'Runs Z score'!A216</f>
        <v/>
      </c>
      <c r="B223">
        <f>'Runs Z score'!B216</f>
        <v/>
      </c>
      <c r="C223">
        <f>'Runs Z score'!C216</f>
        <v/>
      </c>
      <c r="D223">
        <f>'Runs Z score'!D216</f>
        <v/>
      </c>
      <c r="E223">
        <f>'Runs Z score'!E216</f>
        <v/>
      </c>
      <c r="F223">
        <f>'Runs Z score'!F216</f>
        <v/>
      </c>
      <c r="G223">
        <f>'Runs Z score'!G216</f>
        <v/>
      </c>
      <c r="H223">
        <f>VLOOKUP(C223,Recipes!$A$2:$N$4,10,FALSE())</f>
        <v/>
      </c>
      <c r="I223">
        <f>VLOOKUP(C223,Recipes!$A$2:$N$4,12,FALSE())</f>
        <v/>
      </c>
      <c r="J223">
        <f>IF(G223="","",H223-G223)</f>
        <v/>
      </c>
      <c r="K223">
        <f>IF(G223="","",IF(VLOOKUP(C223,Recipes!$A$2:$N$4,4,FALSE())=0,-1E+300,-0.5*((J223-Components!$D$2)/Components!$E$2)^2))</f>
        <v/>
      </c>
      <c r="L223">
        <f>IF(G223="","",IF(VLOOKUP(C223,Recipes!$A$2:$N$4,5,FALSE())=0,-1E+300,-0.5*((J223-Components!$D$3)/Components!$E$3)^2))</f>
        <v/>
      </c>
      <c r="M223">
        <f>IF(G223="","",IF(VLOOKUP(C223,Recipes!$A$2:$N$4,6,FALSE())=0,-1E+300,-0.5*((J223-Components!$D$4)/Components!$E$4)^2))</f>
        <v/>
      </c>
      <c r="N223">
        <f>IF(G223="","",IF(VLOOKUP(C223,Recipes!$A$2:$N$4,7,FALSE())=0,-1E+300,-0.5*((J223-Components!$D$5)/Components!$E$5)^2))</f>
        <v/>
      </c>
      <c r="O223">
        <f>IF(G223="","",IF(VLOOKUP(C223,Recipes!$A$2:$N$4,8,FALSE())=0,-1E+300,-0.5*((J223-Components!$D$6)/Components!$E$6)^2))</f>
        <v/>
      </c>
      <c r="P223">
        <f>IF(G223="","",IF(VLOOKUP(C223,Recipes!$A$2:$N$4,9,FALSE())=0,-1E+300,-0.5*((J223-Components!$D$7)/Components!$E$7)^2))</f>
        <v/>
      </c>
      <c r="Q223">
        <f>IF(G223="","",EXP(LARGE(K223:P223,1)-MAX(K223:P223))/(EXP(K223-MAX(K223:P223))+EXP(L223-MAX(K223:P223))+EXP(M223-MAX(K223:P223))+EXP(N223-MAX(K223:P223))+EXP(O223-MAX(K223:P223))+EXP(P223-MAX(K223:P223))))</f>
        <v/>
      </c>
      <c r="R223">
        <f>IF(G223="","",EXP(LARGE(K223:P223,2)-MAX(K223:P223))/(EXP(K223-MAX(K223:P223))+EXP(L223-MAX(K223:P223))+EXP(M223-MAX(K223:P223))+EXP(N223-MAX(K223:P223))+EXP(O223-MAX(K223:P223))+EXP(P223-MAX(K223:P223))))</f>
        <v/>
      </c>
      <c r="S223">
        <f>IF(G223="","",Q223-R223)</f>
        <v/>
      </c>
      <c r="T223">
        <f>IF(G223="","",IF(ABS(G223-H223)&lt;=$B$6*I223,"OK","NG"))</f>
        <v/>
      </c>
      <c r="U223">
        <f>IF(T223="","",IF(T223=D223,1,0))</f>
        <v/>
      </c>
      <c r="V223">
        <f>IF(G223="","",IF(T223="OK","NONE",INDEX({"S1","S2","W1","W2","N1","N2"},MATCH(MAX(K223:P223),K223:P223,0))))</f>
        <v/>
      </c>
      <c r="W223">
        <f>IF(G223="","",IF(V223=E223,1,0))</f>
        <v/>
      </c>
      <c r="X223">
        <f>IF(G223="","",IF(AND(T223="NG",S223&lt;$B$7),"AMBIGUOUS","CONFIDENT"))</f>
        <v/>
      </c>
    </row>
    <row r="224">
      <c r="A224">
        <f>'Runs Z score'!A217</f>
        <v/>
      </c>
      <c r="B224">
        <f>'Runs Z score'!B217</f>
        <v/>
      </c>
      <c r="C224">
        <f>'Runs Z score'!C217</f>
        <v/>
      </c>
      <c r="D224">
        <f>'Runs Z score'!D217</f>
        <v/>
      </c>
      <c r="E224">
        <f>'Runs Z score'!E217</f>
        <v/>
      </c>
      <c r="F224">
        <f>'Runs Z score'!F217</f>
        <v/>
      </c>
      <c r="G224">
        <f>'Runs Z score'!G217</f>
        <v/>
      </c>
      <c r="H224">
        <f>VLOOKUP(C224,Recipes!$A$2:$N$4,10,FALSE())</f>
        <v/>
      </c>
      <c r="I224">
        <f>VLOOKUP(C224,Recipes!$A$2:$N$4,12,FALSE())</f>
        <v/>
      </c>
      <c r="J224">
        <f>IF(G224="","",H224-G224)</f>
        <v/>
      </c>
      <c r="K224">
        <f>IF(G224="","",IF(VLOOKUP(C224,Recipes!$A$2:$N$4,4,FALSE())=0,-1E+300,-0.5*((J224-Components!$D$2)/Components!$E$2)^2))</f>
        <v/>
      </c>
      <c r="L224">
        <f>IF(G224="","",IF(VLOOKUP(C224,Recipes!$A$2:$N$4,5,FALSE())=0,-1E+300,-0.5*((J224-Components!$D$3)/Components!$E$3)^2))</f>
        <v/>
      </c>
      <c r="M224">
        <f>IF(G224="","",IF(VLOOKUP(C224,Recipes!$A$2:$N$4,6,FALSE())=0,-1E+300,-0.5*((J224-Components!$D$4)/Components!$E$4)^2))</f>
        <v/>
      </c>
      <c r="N224">
        <f>IF(G224="","",IF(VLOOKUP(C224,Recipes!$A$2:$N$4,7,FALSE())=0,-1E+300,-0.5*((J224-Components!$D$5)/Components!$E$5)^2))</f>
        <v/>
      </c>
      <c r="O224">
        <f>IF(G224="","",IF(VLOOKUP(C224,Recipes!$A$2:$N$4,8,FALSE())=0,-1E+300,-0.5*((J224-Components!$D$6)/Components!$E$6)^2))</f>
        <v/>
      </c>
      <c r="P224">
        <f>IF(G224="","",IF(VLOOKUP(C224,Recipes!$A$2:$N$4,9,FALSE())=0,-1E+300,-0.5*((J224-Components!$D$7)/Components!$E$7)^2))</f>
        <v/>
      </c>
      <c r="Q224">
        <f>IF(G224="","",EXP(LARGE(K224:P224,1)-MAX(K224:P224))/(EXP(K224-MAX(K224:P224))+EXP(L224-MAX(K224:P224))+EXP(M224-MAX(K224:P224))+EXP(N224-MAX(K224:P224))+EXP(O224-MAX(K224:P224))+EXP(P224-MAX(K224:P224))))</f>
        <v/>
      </c>
      <c r="R224">
        <f>IF(G224="","",EXP(LARGE(K224:P224,2)-MAX(K224:P224))/(EXP(K224-MAX(K224:P224))+EXP(L224-MAX(K224:P224))+EXP(M224-MAX(K224:P224))+EXP(N224-MAX(K224:P224))+EXP(O224-MAX(K224:P224))+EXP(P224-MAX(K224:P224))))</f>
        <v/>
      </c>
      <c r="S224">
        <f>IF(G224="","",Q224-R224)</f>
        <v/>
      </c>
      <c r="T224">
        <f>IF(G224="","",IF(ABS(G224-H224)&lt;=$B$6*I224,"OK","NG"))</f>
        <v/>
      </c>
      <c r="U224">
        <f>IF(T224="","",IF(T224=D224,1,0))</f>
        <v/>
      </c>
      <c r="V224">
        <f>IF(G224="","",IF(T224="OK","NONE",INDEX({"S1","S2","W1","W2","N1","N2"},MATCH(MAX(K224:P224),K224:P224,0))))</f>
        <v/>
      </c>
      <c r="W224">
        <f>IF(G224="","",IF(V224=E224,1,0))</f>
        <v/>
      </c>
      <c r="X224">
        <f>IF(G224="","",IF(AND(T224="NG",S224&lt;$B$7),"AMBIGUOUS","CONFIDENT"))</f>
        <v/>
      </c>
    </row>
    <row r="225">
      <c r="A225">
        <f>'Runs Z score'!A218</f>
        <v/>
      </c>
      <c r="B225">
        <f>'Runs Z score'!B218</f>
        <v/>
      </c>
      <c r="C225">
        <f>'Runs Z score'!C218</f>
        <v/>
      </c>
      <c r="D225">
        <f>'Runs Z score'!D218</f>
        <v/>
      </c>
      <c r="E225">
        <f>'Runs Z score'!E218</f>
        <v/>
      </c>
      <c r="F225">
        <f>'Runs Z score'!F218</f>
        <v/>
      </c>
      <c r="G225">
        <f>'Runs Z score'!G218</f>
        <v/>
      </c>
      <c r="H225">
        <f>VLOOKUP(C225,Recipes!$A$2:$N$4,10,FALSE())</f>
        <v/>
      </c>
      <c r="I225">
        <f>VLOOKUP(C225,Recipes!$A$2:$N$4,12,FALSE())</f>
        <v/>
      </c>
      <c r="J225">
        <f>IF(G225="","",H225-G225)</f>
        <v/>
      </c>
      <c r="K225">
        <f>IF(G225="","",IF(VLOOKUP(C225,Recipes!$A$2:$N$4,4,FALSE())=0,-1E+300,-0.5*((J225-Components!$D$2)/Components!$E$2)^2))</f>
        <v/>
      </c>
      <c r="L225">
        <f>IF(G225="","",IF(VLOOKUP(C225,Recipes!$A$2:$N$4,5,FALSE())=0,-1E+300,-0.5*((J225-Components!$D$3)/Components!$E$3)^2))</f>
        <v/>
      </c>
      <c r="M225">
        <f>IF(G225="","",IF(VLOOKUP(C225,Recipes!$A$2:$N$4,6,FALSE())=0,-1E+300,-0.5*((J225-Components!$D$4)/Components!$E$4)^2))</f>
        <v/>
      </c>
      <c r="N225">
        <f>IF(G225="","",IF(VLOOKUP(C225,Recipes!$A$2:$N$4,7,FALSE())=0,-1E+300,-0.5*((J225-Components!$D$5)/Components!$E$5)^2))</f>
        <v/>
      </c>
      <c r="O225">
        <f>IF(G225="","",IF(VLOOKUP(C225,Recipes!$A$2:$N$4,8,FALSE())=0,-1E+300,-0.5*((J225-Components!$D$6)/Components!$E$6)^2))</f>
        <v/>
      </c>
      <c r="P225">
        <f>IF(G225="","",IF(VLOOKUP(C225,Recipes!$A$2:$N$4,9,FALSE())=0,-1E+300,-0.5*((J225-Components!$D$7)/Components!$E$7)^2))</f>
        <v/>
      </c>
      <c r="Q225">
        <f>IF(G225="","",EXP(LARGE(K225:P225,1)-MAX(K225:P225))/(EXP(K225-MAX(K225:P225))+EXP(L225-MAX(K225:P225))+EXP(M225-MAX(K225:P225))+EXP(N225-MAX(K225:P225))+EXP(O225-MAX(K225:P225))+EXP(P225-MAX(K225:P225))))</f>
        <v/>
      </c>
      <c r="R225">
        <f>IF(G225="","",EXP(LARGE(K225:P225,2)-MAX(K225:P225))/(EXP(K225-MAX(K225:P225))+EXP(L225-MAX(K225:P225))+EXP(M225-MAX(K225:P225))+EXP(N225-MAX(K225:P225))+EXP(O225-MAX(K225:P225))+EXP(P225-MAX(K225:P225))))</f>
        <v/>
      </c>
      <c r="S225">
        <f>IF(G225="","",Q225-R225)</f>
        <v/>
      </c>
      <c r="T225">
        <f>IF(G225="","",IF(ABS(G225-H225)&lt;=$B$6*I225,"OK","NG"))</f>
        <v/>
      </c>
      <c r="U225">
        <f>IF(T225="","",IF(T225=D225,1,0))</f>
        <v/>
      </c>
      <c r="V225">
        <f>IF(G225="","",IF(T225="OK","NONE",INDEX({"S1","S2","W1","W2","N1","N2"},MATCH(MAX(K225:P225),K225:P225,0))))</f>
        <v/>
      </c>
      <c r="W225">
        <f>IF(G225="","",IF(V225=E225,1,0))</f>
        <v/>
      </c>
      <c r="X225">
        <f>IF(G225="","",IF(AND(T225="NG",S225&lt;$B$7),"AMBIGUOUS","CONFIDENT"))</f>
        <v/>
      </c>
    </row>
    <row r="226">
      <c r="A226">
        <f>'Runs Z score'!A219</f>
        <v/>
      </c>
      <c r="B226">
        <f>'Runs Z score'!B219</f>
        <v/>
      </c>
      <c r="C226">
        <f>'Runs Z score'!C219</f>
        <v/>
      </c>
      <c r="D226">
        <f>'Runs Z score'!D219</f>
        <v/>
      </c>
      <c r="E226">
        <f>'Runs Z score'!E219</f>
        <v/>
      </c>
      <c r="F226">
        <f>'Runs Z score'!F219</f>
        <v/>
      </c>
      <c r="G226">
        <f>'Runs Z score'!G219</f>
        <v/>
      </c>
      <c r="H226">
        <f>VLOOKUP(C226,Recipes!$A$2:$N$4,10,FALSE())</f>
        <v/>
      </c>
      <c r="I226">
        <f>VLOOKUP(C226,Recipes!$A$2:$N$4,12,FALSE())</f>
        <v/>
      </c>
      <c r="J226">
        <f>IF(G226="","",H226-G226)</f>
        <v/>
      </c>
      <c r="K226">
        <f>IF(G226="","",IF(VLOOKUP(C226,Recipes!$A$2:$N$4,4,FALSE())=0,-1E+300,-0.5*((J226-Components!$D$2)/Components!$E$2)^2))</f>
        <v/>
      </c>
      <c r="L226">
        <f>IF(G226="","",IF(VLOOKUP(C226,Recipes!$A$2:$N$4,5,FALSE())=0,-1E+300,-0.5*((J226-Components!$D$3)/Components!$E$3)^2))</f>
        <v/>
      </c>
      <c r="M226">
        <f>IF(G226="","",IF(VLOOKUP(C226,Recipes!$A$2:$N$4,6,FALSE())=0,-1E+300,-0.5*((J226-Components!$D$4)/Components!$E$4)^2))</f>
        <v/>
      </c>
      <c r="N226">
        <f>IF(G226="","",IF(VLOOKUP(C226,Recipes!$A$2:$N$4,7,FALSE())=0,-1E+300,-0.5*((J226-Components!$D$5)/Components!$E$5)^2))</f>
        <v/>
      </c>
      <c r="O226">
        <f>IF(G226="","",IF(VLOOKUP(C226,Recipes!$A$2:$N$4,8,FALSE())=0,-1E+300,-0.5*((J226-Components!$D$6)/Components!$E$6)^2))</f>
        <v/>
      </c>
      <c r="P226">
        <f>IF(G226="","",IF(VLOOKUP(C226,Recipes!$A$2:$N$4,9,FALSE())=0,-1E+300,-0.5*((J226-Components!$D$7)/Components!$E$7)^2))</f>
        <v/>
      </c>
      <c r="Q226">
        <f>IF(G226="","",EXP(LARGE(K226:P226,1)-MAX(K226:P226))/(EXP(K226-MAX(K226:P226))+EXP(L226-MAX(K226:P226))+EXP(M226-MAX(K226:P226))+EXP(N226-MAX(K226:P226))+EXP(O226-MAX(K226:P226))+EXP(P226-MAX(K226:P226))))</f>
        <v/>
      </c>
      <c r="R226">
        <f>IF(G226="","",EXP(LARGE(K226:P226,2)-MAX(K226:P226))/(EXP(K226-MAX(K226:P226))+EXP(L226-MAX(K226:P226))+EXP(M226-MAX(K226:P226))+EXP(N226-MAX(K226:P226))+EXP(O226-MAX(K226:P226))+EXP(P226-MAX(K226:P226))))</f>
        <v/>
      </c>
      <c r="S226">
        <f>IF(G226="","",Q226-R226)</f>
        <v/>
      </c>
      <c r="T226">
        <f>IF(G226="","",IF(ABS(G226-H226)&lt;=$B$6*I226,"OK","NG"))</f>
        <v/>
      </c>
      <c r="U226">
        <f>IF(T226="","",IF(T226=D226,1,0))</f>
        <v/>
      </c>
      <c r="V226">
        <f>IF(G226="","",IF(T226="OK","NONE",INDEX({"S1","S2","W1","W2","N1","N2"},MATCH(MAX(K226:P226),K226:P226,0))))</f>
        <v/>
      </c>
      <c r="W226">
        <f>IF(G226="","",IF(V226=E226,1,0))</f>
        <v/>
      </c>
      <c r="X226">
        <f>IF(G226="","",IF(AND(T226="NG",S226&lt;$B$7),"AMBIGUOUS","CONFIDENT"))</f>
        <v/>
      </c>
    </row>
    <row r="227">
      <c r="A227">
        <f>'Runs Z score'!A220</f>
        <v/>
      </c>
      <c r="B227">
        <f>'Runs Z score'!B220</f>
        <v/>
      </c>
      <c r="C227">
        <f>'Runs Z score'!C220</f>
        <v/>
      </c>
      <c r="D227">
        <f>'Runs Z score'!D220</f>
        <v/>
      </c>
      <c r="E227">
        <f>'Runs Z score'!E220</f>
        <v/>
      </c>
      <c r="F227">
        <f>'Runs Z score'!F220</f>
        <v/>
      </c>
      <c r="G227">
        <f>'Runs Z score'!G220</f>
        <v/>
      </c>
      <c r="H227">
        <f>VLOOKUP(C227,Recipes!$A$2:$N$4,10,FALSE())</f>
        <v/>
      </c>
      <c r="I227">
        <f>VLOOKUP(C227,Recipes!$A$2:$N$4,12,FALSE())</f>
        <v/>
      </c>
      <c r="J227">
        <f>IF(G227="","",H227-G227)</f>
        <v/>
      </c>
      <c r="K227">
        <f>IF(G227="","",IF(VLOOKUP(C227,Recipes!$A$2:$N$4,4,FALSE())=0,-1E+300,-0.5*((J227-Components!$D$2)/Components!$E$2)^2))</f>
        <v/>
      </c>
      <c r="L227">
        <f>IF(G227="","",IF(VLOOKUP(C227,Recipes!$A$2:$N$4,5,FALSE())=0,-1E+300,-0.5*((J227-Components!$D$3)/Components!$E$3)^2))</f>
        <v/>
      </c>
      <c r="M227">
        <f>IF(G227="","",IF(VLOOKUP(C227,Recipes!$A$2:$N$4,6,FALSE())=0,-1E+300,-0.5*((J227-Components!$D$4)/Components!$E$4)^2))</f>
        <v/>
      </c>
      <c r="N227">
        <f>IF(G227="","",IF(VLOOKUP(C227,Recipes!$A$2:$N$4,7,FALSE())=0,-1E+300,-0.5*((J227-Components!$D$5)/Components!$E$5)^2))</f>
        <v/>
      </c>
      <c r="O227">
        <f>IF(G227="","",IF(VLOOKUP(C227,Recipes!$A$2:$N$4,8,FALSE())=0,-1E+300,-0.5*((J227-Components!$D$6)/Components!$E$6)^2))</f>
        <v/>
      </c>
      <c r="P227">
        <f>IF(G227="","",IF(VLOOKUP(C227,Recipes!$A$2:$N$4,9,FALSE())=0,-1E+300,-0.5*((J227-Components!$D$7)/Components!$E$7)^2))</f>
        <v/>
      </c>
      <c r="Q227">
        <f>IF(G227="","",EXP(LARGE(K227:P227,1)-MAX(K227:P227))/(EXP(K227-MAX(K227:P227))+EXP(L227-MAX(K227:P227))+EXP(M227-MAX(K227:P227))+EXP(N227-MAX(K227:P227))+EXP(O227-MAX(K227:P227))+EXP(P227-MAX(K227:P227))))</f>
        <v/>
      </c>
      <c r="R227">
        <f>IF(G227="","",EXP(LARGE(K227:P227,2)-MAX(K227:P227))/(EXP(K227-MAX(K227:P227))+EXP(L227-MAX(K227:P227))+EXP(M227-MAX(K227:P227))+EXP(N227-MAX(K227:P227))+EXP(O227-MAX(K227:P227))+EXP(P227-MAX(K227:P227))))</f>
        <v/>
      </c>
      <c r="S227">
        <f>IF(G227="","",Q227-R227)</f>
        <v/>
      </c>
      <c r="T227">
        <f>IF(G227="","",IF(ABS(G227-H227)&lt;=$B$6*I227,"OK","NG"))</f>
        <v/>
      </c>
      <c r="U227">
        <f>IF(T227="","",IF(T227=D227,1,0))</f>
        <v/>
      </c>
      <c r="V227">
        <f>IF(G227="","",IF(T227="OK","NONE",INDEX({"S1","S2","W1","W2","N1","N2"},MATCH(MAX(K227:P227),K227:P227,0))))</f>
        <v/>
      </c>
      <c r="W227">
        <f>IF(G227="","",IF(V227=E227,1,0))</f>
        <v/>
      </c>
      <c r="X227">
        <f>IF(G227="","",IF(AND(T227="NG",S227&lt;$B$7),"AMBIGUOUS","CONFIDENT"))</f>
        <v/>
      </c>
    </row>
    <row r="228">
      <c r="A228">
        <f>'Runs Z score'!A221</f>
        <v/>
      </c>
      <c r="B228">
        <f>'Runs Z score'!B221</f>
        <v/>
      </c>
      <c r="C228">
        <f>'Runs Z score'!C221</f>
        <v/>
      </c>
      <c r="D228">
        <f>'Runs Z score'!D221</f>
        <v/>
      </c>
      <c r="E228">
        <f>'Runs Z score'!E221</f>
        <v/>
      </c>
      <c r="F228">
        <f>'Runs Z score'!F221</f>
        <v/>
      </c>
      <c r="G228">
        <f>'Runs Z score'!G221</f>
        <v/>
      </c>
      <c r="H228">
        <f>VLOOKUP(C228,Recipes!$A$2:$N$4,10,FALSE())</f>
        <v/>
      </c>
      <c r="I228">
        <f>VLOOKUP(C228,Recipes!$A$2:$N$4,12,FALSE())</f>
        <v/>
      </c>
      <c r="J228">
        <f>IF(G228="","",H228-G228)</f>
        <v/>
      </c>
      <c r="K228">
        <f>IF(G228="","",IF(VLOOKUP(C228,Recipes!$A$2:$N$4,4,FALSE())=0,-1E+300,-0.5*((J228-Components!$D$2)/Components!$E$2)^2))</f>
        <v/>
      </c>
      <c r="L228">
        <f>IF(G228="","",IF(VLOOKUP(C228,Recipes!$A$2:$N$4,5,FALSE())=0,-1E+300,-0.5*((J228-Components!$D$3)/Components!$E$3)^2))</f>
        <v/>
      </c>
      <c r="M228">
        <f>IF(G228="","",IF(VLOOKUP(C228,Recipes!$A$2:$N$4,6,FALSE())=0,-1E+300,-0.5*((J228-Components!$D$4)/Components!$E$4)^2))</f>
        <v/>
      </c>
      <c r="N228">
        <f>IF(G228="","",IF(VLOOKUP(C228,Recipes!$A$2:$N$4,7,FALSE())=0,-1E+300,-0.5*((J228-Components!$D$5)/Components!$E$5)^2))</f>
        <v/>
      </c>
      <c r="O228">
        <f>IF(G228="","",IF(VLOOKUP(C228,Recipes!$A$2:$N$4,8,FALSE())=0,-1E+300,-0.5*((J228-Components!$D$6)/Components!$E$6)^2))</f>
        <v/>
      </c>
      <c r="P228">
        <f>IF(G228="","",IF(VLOOKUP(C228,Recipes!$A$2:$N$4,9,FALSE())=0,-1E+300,-0.5*((J228-Components!$D$7)/Components!$E$7)^2))</f>
        <v/>
      </c>
      <c r="Q228">
        <f>IF(G228="","",EXP(LARGE(K228:P228,1)-MAX(K228:P228))/(EXP(K228-MAX(K228:P228))+EXP(L228-MAX(K228:P228))+EXP(M228-MAX(K228:P228))+EXP(N228-MAX(K228:P228))+EXP(O228-MAX(K228:P228))+EXP(P228-MAX(K228:P228))))</f>
        <v/>
      </c>
      <c r="R228">
        <f>IF(G228="","",EXP(LARGE(K228:P228,2)-MAX(K228:P228))/(EXP(K228-MAX(K228:P228))+EXP(L228-MAX(K228:P228))+EXP(M228-MAX(K228:P228))+EXP(N228-MAX(K228:P228))+EXP(O228-MAX(K228:P228))+EXP(P228-MAX(K228:P228))))</f>
        <v/>
      </c>
      <c r="S228">
        <f>IF(G228="","",Q228-R228)</f>
        <v/>
      </c>
      <c r="T228">
        <f>IF(G228="","",IF(ABS(G228-H228)&lt;=$B$6*I228,"OK","NG"))</f>
        <v/>
      </c>
      <c r="U228">
        <f>IF(T228="","",IF(T228=D228,1,0))</f>
        <v/>
      </c>
      <c r="V228">
        <f>IF(G228="","",IF(T228="OK","NONE",INDEX({"S1","S2","W1","W2","N1","N2"},MATCH(MAX(K228:P228),K228:P228,0))))</f>
        <v/>
      </c>
      <c r="W228">
        <f>IF(G228="","",IF(V228=E228,1,0))</f>
        <v/>
      </c>
      <c r="X228">
        <f>IF(G228="","",IF(AND(T228="NG",S228&lt;$B$7),"AMBIGUOUS","CONFIDENT"))</f>
        <v/>
      </c>
    </row>
    <row r="229">
      <c r="A229">
        <f>'Runs Z score'!A222</f>
        <v/>
      </c>
      <c r="B229">
        <f>'Runs Z score'!B222</f>
        <v/>
      </c>
      <c r="C229">
        <f>'Runs Z score'!C222</f>
        <v/>
      </c>
      <c r="D229">
        <f>'Runs Z score'!D222</f>
        <v/>
      </c>
      <c r="E229">
        <f>'Runs Z score'!E222</f>
        <v/>
      </c>
      <c r="F229">
        <f>'Runs Z score'!F222</f>
        <v/>
      </c>
      <c r="G229">
        <f>'Runs Z score'!G222</f>
        <v/>
      </c>
      <c r="H229">
        <f>VLOOKUP(C229,Recipes!$A$2:$N$4,10,FALSE())</f>
        <v/>
      </c>
      <c r="I229">
        <f>VLOOKUP(C229,Recipes!$A$2:$N$4,12,FALSE())</f>
        <v/>
      </c>
      <c r="J229">
        <f>IF(G229="","",H229-G229)</f>
        <v/>
      </c>
      <c r="K229">
        <f>IF(G229="","",IF(VLOOKUP(C229,Recipes!$A$2:$N$4,4,FALSE())=0,-1E+300,-0.5*((J229-Components!$D$2)/Components!$E$2)^2))</f>
        <v/>
      </c>
      <c r="L229">
        <f>IF(G229="","",IF(VLOOKUP(C229,Recipes!$A$2:$N$4,5,FALSE())=0,-1E+300,-0.5*((J229-Components!$D$3)/Components!$E$3)^2))</f>
        <v/>
      </c>
      <c r="M229">
        <f>IF(G229="","",IF(VLOOKUP(C229,Recipes!$A$2:$N$4,6,FALSE())=0,-1E+300,-0.5*((J229-Components!$D$4)/Components!$E$4)^2))</f>
        <v/>
      </c>
      <c r="N229">
        <f>IF(G229="","",IF(VLOOKUP(C229,Recipes!$A$2:$N$4,7,FALSE())=0,-1E+300,-0.5*((J229-Components!$D$5)/Components!$E$5)^2))</f>
        <v/>
      </c>
      <c r="O229">
        <f>IF(G229="","",IF(VLOOKUP(C229,Recipes!$A$2:$N$4,8,FALSE())=0,-1E+300,-0.5*((J229-Components!$D$6)/Components!$E$6)^2))</f>
        <v/>
      </c>
      <c r="P229">
        <f>IF(G229="","",IF(VLOOKUP(C229,Recipes!$A$2:$N$4,9,FALSE())=0,-1E+300,-0.5*((J229-Components!$D$7)/Components!$E$7)^2))</f>
        <v/>
      </c>
      <c r="Q229">
        <f>IF(G229="","",EXP(LARGE(K229:P229,1)-MAX(K229:P229))/(EXP(K229-MAX(K229:P229))+EXP(L229-MAX(K229:P229))+EXP(M229-MAX(K229:P229))+EXP(N229-MAX(K229:P229))+EXP(O229-MAX(K229:P229))+EXP(P229-MAX(K229:P229))))</f>
        <v/>
      </c>
      <c r="R229">
        <f>IF(G229="","",EXP(LARGE(K229:P229,2)-MAX(K229:P229))/(EXP(K229-MAX(K229:P229))+EXP(L229-MAX(K229:P229))+EXP(M229-MAX(K229:P229))+EXP(N229-MAX(K229:P229))+EXP(O229-MAX(K229:P229))+EXP(P229-MAX(K229:P229))))</f>
        <v/>
      </c>
      <c r="S229">
        <f>IF(G229="","",Q229-R229)</f>
        <v/>
      </c>
      <c r="T229">
        <f>IF(G229="","",IF(ABS(G229-H229)&lt;=$B$6*I229,"OK","NG"))</f>
        <v/>
      </c>
      <c r="U229">
        <f>IF(T229="","",IF(T229=D229,1,0))</f>
        <v/>
      </c>
      <c r="V229">
        <f>IF(G229="","",IF(T229="OK","NONE",INDEX({"S1","S2","W1","W2","N1","N2"},MATCH(MAX(K229:P229),K229:P229,0))))</f>
        <v/>
      </c>
      <c r="W229">
        <f>IF(G229="","",IF(V229=E229,1,0))</f>
        <v/>
      </c>
      <c r="X229">
        <f>IF(G229="","",IF(AND(T229="NG",S229&lt;$B$7),"AMBIGUOUS","CONFIDENT"))</f>
        <v/>
      </c>
    </row>
    <row r="230">
      <c r="A230">
        <f>'Runs Z score'!A223</f>
        <v/>
      </c>
      <c r="B230">
        <f>'Runs Z score'!B223</f>
        <v/>
      </c>
      <c r="C230">
        <f>'Runs Z score'!C223</f>
        <v/>
      </c>
      <c r="D230">
        <f>'Runs Z score'!D223</f>
        <v/>
      </c>
      <c r="E230">
        <f>'Runs Z score'!E223</f>
        <v/>
      </c>
      <c r="F230">
        <f>'Runs Z score'!F223</f>
        <v/>
      </c>
      <c r="G230">
        <f>'Runs Z score'!G223</f>
        <v/>
      </c>
      <c r="H230">
        <f>VLOOKUP(C230,Recipes!$A$2:$N$4,10,FALSE())</f>
        <v/>
      </c>
      <c r="I230">
        <f>VLOOKUP(C230,Recipes!$A$2:$N$4,12,FALSE())</f>
        <v/>
      </c>
      <c r="J230">
        <f>IF(G230="","",H230-G230)</f>
        <v/>
      </c>
      <c r="K230">
        <f>IF(G230="","",IF(VLOOKUP(C230,Recipes!$A$2:$N$4,4,FALSE())=0,-1E+300,-0.5*((J230-Components!$D$2)/Components!$E$2)^2))</f>
        <v/>
      </c>
      <c r="L230">
        <f>IF(G230="","",IF(VLOOKUP(C230,Recipes!$A$2:$N$4,5,FALSE())=0,-1E+300,-0.5*((J230-Components!$D$3)/Components!$E$3)^2))</f>
        <v/>
      </c>
      <c r="M230">
        <f>IF(G230="","",IF(VLOOKUP(C230,Recipes!$A$2:$N$4,6,FALSE())=0,-1E+300,-0.5*((J230-Components!$D$4)/Components!$E$4)^2))</f>
        <v/>
      </c>
      <c r="N230">
        <f>IF(G230="","",IF(VLOOKUP(C230,Recipes!$A$2:$N$4,7,FALSE())=0,-1E+300,-0.5*((J230-Components!$D$5)/Components!$E$5)^2))</f>
        <v/>
      </c>
      <c r="O230">
        <f>IF(G230="","",IF(VLOOKUP(C230,Recipes!$A$2:$N$4,8,FALSE())=0,-1E+300,-0.5*((J230-Components!$D$6)/Components!$E$6)^2))</f>
        <v/>
      </c>
      <c r="P230">
        <f>IF(G230="","",IF(VLOOKUP(C230,Recipes!$A$2:$N$4,9,FALSE())=0,-1E+300,-0.5*((J230-Components!$D$7)/Components!$E$7)^2))</f>
        <v/>
      </c>
      <c r="Q230">
        <f>IF(G230="","",EXP(LARGE(K230:P230,1)-MAX(K230:P230))/(EXP(K230-MAX(K230:P230))+EXP(L230-MAX(K230:P230))+EXP(M230-MAX(K230:P230))+EXP(N230-MAX(K230:P230))+EXP(O230-MAX(K230:P230))+EXP(P230-MAX(K230:P230))))</f>
        <v/>
      </c>
      <c r="R230">
        <f>IF(G230="","",EXP(LARGE(K230:P230,2)-MAX(K230:P230))/(EXP(K230-MAX(K230:P230))+EXP(L230-MAX(K230:P230))+EXP(M230-MAX(K230:P230))+EXP(N230-MAX(K230:P230))+EXP(O230-MAX(K230:P230))+EXP(P230-MAX(K230:P230))))</f>
        <v/>
      </c>
      <c r="S230">
        <f>IF(G230="","",Q230-R230)</f>
        <v/>
      </c>
      <c r="T230">
        <f>IF(G230="","",IF(ABS(G230-H230)&lt;=$B$6*I230,"OK","NG"))</f>
        <v/>
      </c>
      <c r="U230">
        <f>IF(T230="","",IF(T230=D230,1,0))</f>
        <v/>
      </c>
      <c r="V230">
        <f>IF(G230="","",IF(T230="OK","NONE",INDEX({"S1","S2","W1","W2","N1","N2"},MATCH(MAX(K230:P230),K230:P230,0))))</f>
        <v/>
      </c>
      <c r="W230">
        <f>IF(G230="","",IF(V230=E230,1,0))</f>
        <v/>
      </c>
      <c r="X230">
        <f>IF(G230="","",IF(AND(T230="NG",S230&lt;$B$7),"AMBIGUOUS","CONFIDENT"))</f>
        <v/>
      </c>
    </row>
    <row r="231">
      <c r="A231">
        <f>'Runs Z score'!A224</f>
        <v/>
      </c>
      <c r="B231">
        <f>'Runs Z score'!B224</f>
        <v/>
      </c>
      <c r="C231">
        <f>'Runs Z score'!C224</f>
        <v/>
      </c>
      <c r="D231">
        <f>'Runs Z score'!D224</f>
        <v/>
      </c>
      <c r="E231">
        <f>'Runs Z score'!E224</f>
        <v/>
      </c>
      <c r="F231">
        <f>'Runs Z score'!F224</f>
        <v/>
      </c>
      <c r="G231">
        <f>'Runs Z score'!G224</f>
        <v/>
      </c>
      <c r="H231">
        <f>VLOOKUP(C231,Recipes!$A$2:$N$4,10,FALSE())</f>
        <v/>
      </c>
      <c r="I231">
        <f>VLOOKUP(C231,Recipes!$A$2:$N$4,12,FALSE())</f>
        <v/>
      </c>
      <c r="J231">
        <f>IF(G231="","",H231-G231)</f>
        <v/>
      </c>
      <c r="K231">
        <f>IF(G231="","",IF(VLOOKUP(C231,Recipes!$A$2:$N$4,4,FALSE())=0,-1E+300,-0.5*((J231-Components!$D$2)/Components!$E$2)^2))</f>
        <v/>
      </c>
      <c r="L231">
        <f>IF(G231="","",IF(VLOOKUP(C231,Recipes!$A$2:$N$4,5,FALSE())=0,-1E+300,-0.5*((J231-Components!$D$3)/Components!$E$3)^2))</f>
        <v/>
      </c>
      <c r="M231">
        <f>IF(G231="","",IF(VLOOKUP(C231,Recipes!$A$2:$N$4,6,FALSE())=0,-1E+300,-0.5*((J231-Components!$D$4)/Components!$E$4)^2))</f>
        <v/>
      </c>
      <c r="N231">
        <f>IF(G231="","",IF(VLOOKUP(C231,Recipes!$A$2:$N$4,7,FALSE())=0,-1E+300,-0.5*((J231-Components!$D$5)/Components!$E$5)^2))</f>
        <v/>
      </c>
      <c r="O231">
        <f>IF(G231="","",IF(VLOOKUP(C231,Recipes!$A$2:$N$4,8,FALSE())=0,-1E+300,-0.5*((J231-Components!$D$6)/Components!$E$6)^2))</f>
        <v/>
      </c>
      <c r="P231">
        <f>IF(G231="","",IF(VLOOKUP(C231,Recipes!$A$2:$N$4,9,FALSE())=0,-1E+300,-0.5*((J231-Components!$D$7)/Components!$E$7)^2))</f>
        <v/>
      </c>
      <c r="Q231">
        <f>IF(G231="","",EXP(LARGE(K231:P231,1)-MAX(K231:P231))/(EXP(K231-MAX(K231:P231))+EXP(L231-MAX(K231:P231))+EXP(M231-MAX(K231:P231))+EXP(N231-MAX(K231:P231))+EXP(O231-MAX(K231:P231))+EXP(P231-MAX(K231:P231))))</f>
        <v/>
      </c>
      <c r="R231">
        <f>IF(G231="","",EXP(LARGE(K231:P231,2)-MAX(K231:P231))/(EXP(K231-MAX(K231:P231))+EXP(L231-MAX(K231:P231))+EXP(M231-MAX(K231:P231))+EXP(N231-MAX(K231:P231))+EXP(O231-MAX(K231:P231))+EXP(P231-MAX(K231:P231))))</f>
        <v/>
      </c>
      <c r="S231">
        <f>IF(G231="","",Q231-R231)</f>
        <v/>
      </c>
      <c r="T231">
        <f>IF(G231="","",IF(ABS(G231-H231)&lt;=$B$6*I231,"OK","NG"))</f>
        <v/>
      </c>
      <c r="U231">
        <f>IF(T231="","",IF(T231=D231,1,0))</f>
        <v/>
      </c>
      <c r="V231">
        <f>IF(G231="","",IF(T231="OK","NONE",INDEX({"S1","S2","W1","W2","N1","N2"},MATCH(MAX(K231:P231),K231:P231,0))))</f>
        <v/>
      </c>
      <c r="W231">
        <f>IF(G231="","",IF(V231=E231,1,0))</f>
        <v/>
      </c>
      <c r="X231">
        <f>IF(G231="","",IF(AND(T231="NG",S231&lt;$B$7),"AMBIGUOUS","CONFIDENT"))</f>
        <v/>
      </c>
    </row>
    <row r="232">
      <c r="A232">
        <f>'Runs Z score'!A225</f>
        <v/>
      </c>
      <c r="B232">
        <f>'Runs Z score'!B225</f>
        <v/>
      </c>
      <c r="C232">
        <f>'Runs Z score'!C225</f>
        <v/>
      </c>
      <c r="D232">
        <f>'Runs Z score'!D225</f>
        <v/>
      </c>
      <c r="E232">
        <f>'Runs Z score'!E225</f>
        <v/>
      </c>
      <c r="F232">
        <f>'Runs Z score'!F225</f>
        <v/>
      </c>
      <c r="G232">
        <f>'Runs Z score'!G225</f>
        <v/>
      </c>
      <c r="H232">
        <f>VLOOKUP(C232,Recipes!$A$2:$N$4,10,FALSE())</f>
        <v/>
      </c>
      <c r="I232">
        <f>VLOOKUP(C232,Recipes!$A$2:$N$4,12,FALSE())</f>
        <v/>
      </c>
      <c r="J232">
        <f>IF(G232="","",H232-G232)</f>
        <v/>
      </c>
      <c r="K232">
        <f>IF(G232="","",IF(VLOOKUP(C232,Recipes!$A$2:$N$4,4,FALSE())=0,-1E+300,-0.5*((J232-Components!$D$2)/Components!$E$2)^2))</f>
        <v/>
      </c>
      <c r="L232">
        <f>IF(G232="","",IF(VLOOKUP(C232,Recipes!$A$2:$N$4,5,FALSE())=0,-1E+300,-0.5*((J232-Components!$D$3)/Components!$E$3)^2))</f>
        <v/>
      </c>
      <c r="M232">
        <f>IF(G232="","",IF(VLOOKUP(C232,Recipes!$A$2:$N$4,6,FALSE())=0,-1E+300,-0.5*((J232-Components!$D$4)/Components!$E$4)^2))</f>
        <v/>
      </c>
      <c r="N232">
        <f>IF(G232="","",IF(VLOOKUP(C232,Recipes!$A$2:$N$4,7,FALSE())=0,-1E+300,-0.5*((J232-Components!$D$5)/Components!$E$5)^2))</f>
        <v/>
      </c>
      <c r="O232">
        <f>IF(G232="","",IF(VLOOKUP(C232,Recipes!$A$2:$N$4,8,FALSE())=0,-1E+300,-0.5*((J232-Components!$D$6)/Components!$E$6)^2))</f>
        <v/>
      </c>
      <c r="P232">
        <f>IF(G232="","",IF(VLOOKUP(C232,Recipes!$A$2:$N$4,9,FALSE())=0,-1E+300,-0.5*((J232-Components!$D$7)/Components!$E$7)^2))</f>
        <v/>
      </c>
      <c r="Q232">
        <f>IF(G232="","",EXP(LARGE(K232:P232,1)-MAX(K232:P232))/(EXP(K232-MAX(K232:P232))+EXP(L232-MAX(K232:P232))+EXP(M232-MAX(K232:P232))+EXP(N232-MAX(K232:P232))+EXP(O232-MAX(K232:P232))+EXP(P232-MAX(K232:P232))))</f>
        <v/>
      </c>
      <c r="R232">
        <f>IF(G232="","",EXP(LARGE(K232:P232,2)-MAX(K232:P232))/(EXP(K232-MAX(K232:P232))+EXP(L232-MAX(K232:P232))+EXP(M232-MAX(K232:P232))+EXP(N232-MAX(K232:P232))+EXP(O232-MAX(K232:P232))+EXP(P232-MAX(K232:P232))))</f>
        <v/>
      </c>
      <c r="S232">
        <f>IF(G232="","",Q232-R232)</f>
        <v/>
      </c>
      <c r="T232">
        <f>IF(G232="","",IF(ABS(G232-H232)&lt;=$B$6*I232,"OK","NG"))</f>
        <v/>
      </c>
      <c r="U232">
        <f>IF(T232="","",IF(T232=D232,1,0))</f>
        <v/>
      </c>
      <c r="V232">
        <f>IF(G232="","",IF(T232="OK","NONE",INDEX({"S1","S2","W1","W2","N1","N2"},MATCH(MAX(K232:P232),K232:P232,0))))</f>
        <v/>
      </c>
      <c r="W232">
        <f>IF(G232="","",IF(V232=E232,1,0))</f>
        <v/>
      </c>
      <c r="X232">
        <f>IF(G232="","",IF(AND(T232="NG",S232&lt;$B$7),"AMBIGUOUS","CONFIDENT"))</f>
        <v/>
      </c>
    </row>
    <row r="233">
      <c r="A233">
        <f>'Runs Z score'!A226</f>
        <v/>
      </c>
      <c r="B233">
        <f>'Runs Z score'!B226</f>
        <v/>
      </c>
      <c r="C233">
        <f>'Runs Z score'!C226</f>
        <v/>
      </c>
      <c r="D233">
        <f>'Runs Z score'!D226</f>
        <v/>
      </c>
      <c r="E233">
        <f>'Runs Z score'!E226</f>
        <v/>
      </c>
      <c r="F233">
        <f>'Runs Z score'!F226</f>
        <v/>
      </c>
      <c r="G233">
        <f>'Runs Z score'!G226</f>
        <v/>
      </c>
      <c r="H233">
        <f>VLOOKUP(C233,Recipes!$A$2:$N$4,10,FALSE())</f>
        <v/>
      </c>
      <c r="I233">
        <f>VLOOKUP(C233,Recipes!$A$2:$N$4,12,FALSE())</f>
        <v/>
      </c>
      <c r="J233">
        <f>IF(G233="","",H233-G233)</f>
        <v/>
      </c>
      <c r="K233">
        <f>IF(G233="","",IF(VLOOKUP(C233,Recipes!$A$2:$N$4,4,FALSE())=0,-1E+300,-0.5*((J233-Components!$D$2)/Components!$E$2)^2))</f>
        <v/>
      </c>
      <c r="L233">
        <f>IF(G233="","",IF(VLOOKUP(C233,Recipes!$A$2:$N$4,5,FALSE())=0,-1E+300,-0.5*((J233-Components!$D$3)/Components!$E$3)^2))</f>
        <v/>
      </c>
      <c r="M233">
        <f>IF(G233="","",IF(VLOOKUP(C233,Recipes!$A$2:$N$4,6,FALSE())=0,-1E+300,-0.5*((J233-Components!$D$4)/Components!$E$4)^2))</f>
        <v/>
      </c>
      <c r="N233">
        <f>IF(G233="","",IF(VLOOKUP(C233,Recipes!$A$2:$N$4,7,FALSE())=0,-1E+300,-0.5*((J233-Components!$D$5)/Components!$E$5)^2))</f>
        <v/>
      </c>
      <c r="O233">
        <f>IF(G233="","",IF(VLOOKUP(C233,Recipes!$A$2:$N$4,8,FALSE())=0,-1E+300,-0.5*((J233-Components!$D$6)/Components!$E$6)^2))</f>
        <v/>
      </c>
      <c r="P233">
        <f>IF(G233="","",IF(VLOOKUP(C233,Recipes!$A$2:$N$4,9,FALSE())=0,-1E+300,-0.5*((J233-Components!$D$7)/Components!$E$7)^2))</f>
        <v/>
      </c>
      <c r="Q233">
        <f>IF(G233="","",EXP(LARGE(K233:P233,1)-MAX(K233:P233))/(EXP(K233-MAX(K233:P233))+EXP(L233-MAX(K233:P233))+EXP(M233-MAX(K233:P233))+EXP(N233-MAX(K233:P233))+EXP(O233-MAX(K233:P233))+EXP(P233-MAX(K233:P233))))</f>
        <v/>
      </c>
      <c r="R233">
        <f>IF(G233="","",EXP(LARGE(K233:P233,2)-MAX(K233:P233))/(EXP(K233-MAX(K233:P233))+EXP(L233-MAX(K233:P233))+EXP(M233-MAX(K233:P233))+EXP(N233-MAX(K233:P233))+EXP(O233-MAX(K233:P233))+EXP(P233-MAX(K233:P233))))</f>
        <v/>
      </c>
      <c r="S233">
        <f>IF(G233="","",Q233-R233)</f>
        <v/>
      </c>
      <c r="T233">
        <f>IF(G233="","",IF(ABS(G233-H233)&lt;=$B$6*I233,"OK","NG"))</f>
        <v/>
      </c>
      <c r="U233">
        <f>IF(T233="","",IF(T233=D233,1,0))</f>
        <v/>
      </c>
      <c r="V233">
        <f>IF(G233="","",IF(T233="OK","NONE",INDEX({"S1","S2","W1","W2","N1","N2"},MATCH(MAX(K233:P233),K233:P233,0))))</f>
        <v/>
      </c>
      <c r="W233">
        <f>IF(G233="","",IF(V233=E233,1,0))</f>
        <v/>
      </c>
      <c r="X233">
        <f>IF(G233="","",IF(AND(T233="NG",S233&lt;$B$7),"AMBIGUOUS","CONFIDENT"))</f>
        <v/>
      </c>
    </row>
    <row r="234">
      <c r="A234">
        <f>'Runs Z score'!A227</f>
        <v/>
      </c>
      <c r="B234">
        <f>'Runs Z score'!B227</f>
        <v/>
      </c>
      <c r="C234">
        <f>'Runs Z score'!C227</f>
        <v/>
      </c>
      <c r="D234">
        <f>'Runs Z score'!D227</f>
        <v/>
      </c>
      <c r="E234">
        <f>'Runs Z score'!E227</f>
        <v/>
      </c>
      <c r="F234">
        <f>'Runs Z score'!F227</f>
        <v/>
      </c>
      <c r="G234">
        <f>'Runs Z score'!G227</f>
        <v/>
      </c>
      <c r="H234">
        <f>VLOOKUP(C234,Recipes!$A$2:$N$4,10,FALSE())</f>
        <v/>
      </c>
      <c r="I234">
        <f>VLOOKUP(C234,Recipes!$A$2:$N$4,12,FALSE())</f>
        <v/>
      </c>
      <c r="J234">
        <f>IF(G234="","",H234-G234)</f>
        <v/>
      </c>
      <c r="K234">
        <f>IF(G234="","",IF(VLOOKUP(C234,Recipes!$A$2:$N$4,4,FALSE())=0,-1E+300,-0.5*((J234-Components!$D$2)/Components!$E$2)^2))</f>
        <v/>
      </c>
      <c r="L234">
        <f>IF(G234="","",IF(VLOOKUP(C234,Recipes!$A$2:$N$4,5,FALSE())=0,-1E+300,-0.5*((J234-Components!$D$3)/Components!$E$3)^2))</f>
        <v/>
      </c>
      <c r="M234">
        <f>IF(G234="","",IF(VLOOKUP(C234,Recipes!$A$2:$N$4,6,FALSE())=0,-1E+300,-0.5*((J234-Components!$D$4)/Components!$E$4)^2))</f>
        <v/>
      </c>
      <c r="N234">
        <f>IF(G234="","",IF(VLOOKUP(C234,Recipes!$A$2:$N$4,7,FALSE())=0,-1E+300,-0.5*((J234-Components!$D$5)/Components!$E$5)^2))</f>
        <v/>
      </c>
      <c r="O234">
        <f>IF(G234="","",IF(VLOOKUP(C234,Recipes!$A$2:$N$4,8,FALSE())=0,-1E+300,-0.5*((J234-Components!$D$6)/Components!$E$6)^2))</f>
        <v/>
      </c>
      <c r="P234">
        <f>IF(G234="","",IF(VLOOKUP(C234,Recipes!$A$2:$N$4,9,FALSE())=0,-1E+300,-0.5*((J234-Components!$D$7)/Components!$E$7)^2))</f>
        <v/>
      </c>
      <c r="Q234">
        <f>IF(G234="","",EXP(LARGE(K234:P234,1)-MAX(K234:P234))/(EXP(K234-MAX(K234:P234))+EXP(L234-MAX(K234:P234))+EXP(M234-MAX(K234:P234))+EXP(N234-MAX(K234:P234))+EXP(O234-MAX(K234:P234))+EXP(P234-MAX(K234:P234))))</f>
        <v/>
      </c>
      <c r="R234">
        <f>IF(G234="","",EXP(LARGE(K234:P234,2)-MAX(K234:P234))/(EXP(K234-MAX(K234:P234))+EXP(L234-MAX(K234:P234))+EXP(M234-MAX(K234:P234))+EXP(N234-MAX(K234:P234))+EXP(O234-MAX(K234:P234))+EXP(P234-MAX(K234:P234))))</f>
        <v/>
      </c>
      <c r="S234">
        <f>IF(G234="","",Q234-R234)</f>
        <v/>
      </c>
      <c r="T234">
        <f>IF(G234="","",IF(ABS(G234-H234)&lt;=$B$6*I234,"OK","NG"))</f>
        <v/>
      </c>
      <c r="U234">
        <f>IF(T234="","",IF(T234=D234,1,0))</f>
        <v/>
      </c>
      <c r="V234">
        <f>IF(G234="","",IF(T234="OK","NONE",INDEX({"S1","S2","W1","W2","N1","N2"},MATCH(MAX(K234:P234),K234:P234,0))))</f>
        <v/>
      </c>
      <c r="W234">
        <f>IF(G234="","",IF(V234=E234,1,0))</f>
        <v/>
      </c>
      <c r="X234">
        <f>IF(G234="","",IF(AND(T234="NG",S234&lt;$B$7),"AMBIGUOUS","CONFIDENT"))</f>
        <v/>
      </c>
    </row>
    <row r="235">
      <c r="A235">
        <f>'Runs Z score'!A228</f>
        <v/>
      </c>
      <c r="B235">
        <f>'Runs Z score'!B228</f>
        <v/>
      </c>
      <c r="C235">
        <f>'Runs Z score'!C228</f>
        <v/>
      </c>
      <c r="D235">
        <f>'Runs Z score'!D228</f>
        <v/>
      </c>
      <c r="E235">
        <f>'Runs Z score'!E228</f>
        <v/>
      </c>
      <c r="F235">
        <f>'Runs Z score'!F228</f>
        <v/>
      </c>
      <c r="G235">
        <f>'Runs Z score'!G228</f>
        <v/>
      </c>
      <c r="H235">
        <f>VLOOKUP(C235,Recipes!$A$2:$N$4,10,FALSE())</f>
        <v/>
      </c>
      <c r="I235">
        <f>VLOOKUP(C235,Recipes!$A$2:$N$4,12,FALSE())</f>
        <v/>
      </c>
      <c r="J235">
        <f>IF(G235="","",H235-G235)</f>
        <v/>
      </c>
      <c r="K235">
        <f>IF(G235="","",IF(VLOOKUP(C235,Recipes!$A$2:$N$4,4,FALSE())=0,-1E+300,-0.5*((J235-Components!$D$2)/Components!$E$2)^2))</f>
        <v/>
      </c>
      <c r="L235">
        <f>IF(G235="","",IF(VLOOKUP(C235,Recipes!$A$2:$N$4,5,FALSE())=0,-1E+300,-0.5*((J235-Components!$D$3)/Components!$E$3)^2))</f>
        <v/>
      </c>
      <c r="M235">
        <f>IF(G235="","",IF(VLOOKUP(C235,Recipes!$A$2:$N$4,6,FALSE())=0,-1E+300,-0.5*((J235-Components!$D$4)/Components!$E$4)^2))</f>
        <v/>
      </c>
      <c r="N235">
        <f>IF(G235="","",IF(VLOOKUP(C235,Recipes!$A$2:$N$4,7,FALSE())=0,-1E+300,-0.5*((J235-Components!$D$5)/Components!$E$5)^2))</f>
        <v/>
      </c>
      <c r="O235">
        <f>IF(G235="","",IF(VLOOKUP(C235,Recipes!$A$2:$N$4,8,FALSE())=0,-1E+300,-0.5*((J235-Components!$D$6)/Components!$E$6)^2))</f>
        <v/>
      </c>
      <c r="P235">
        <f>IF(G235="","",IF(VLOOKUP(C235,Recipes!$A$2:$N$4,9,FALSE())=0,-1E+300,-0.5*((J235-Components!$D$7)/Components!$E$7)^2))</f>
        <v/>
      </c>
      <c r="Q235">
        <f>IF(G235="","",EXP(LARGE(K235:P235,1)-MAX(K235:P235))/(EXP(K235-MAX(K235:P235))+EXP(L235-MAX(K235:P235))+EXP(M235-MAX(K235:P235))+EXP(N235-MAX(K235:P235))+EXP(O235-MAX(K235:P235))+EXP(P235-MAX(K235:P235))))</f>
        <v/>
      </c>
      <c r="R235">
        <f>IF(G235="","",EXP(LARGE(K235:P235,2)-MAX(K235:P235))/(EXP(K235-MAX(K235:P235))+EXP(L235-MAX(K235:P235))+EXP(M235-MAX(K235:P235))+EXP(N235-MAX(K235:P235))+EXP(O235-MAX(K235:P235))+EXP(P235-MAX(K235:P235))))</f>
        <v/>
      </c>
      <c r="S235">
        <f>IF(G235="","",Q235-R235)</f>
        <v/>
      </c>
      <c r="T235">
        <f>IF(G235="","",IF(ABS(G235-H235)&lt;=$B$6*I235,"OK","NG"))</f>
        <v/>
      </c>
      <c r="U235">
        <f>IF(T235="","",IF(T235=D235,1,0))</f>
        <v/>
      </c>
      <c r="V235">
        <f>IF(G235="","",IF(T235="OK","NONE",INDEX({"S1","S2","W1","W2","N1","N2"},MATCH(MAX(K235:P235),K235:P235,0))))</f>
        <v/>
      </c>
      <c r="W235">
        <f>IF(G235="","",IF(V235=E235,1,0))</f>
        <v/>
      </c>
      <c r="X235">
        <f>IF(G235="","",IF(AND(T235="NG",S235&lt;$B$7),"AMBIGUOUS","CONFIDENT"))</f>
        <v/>
      </c>
    </row>
    <row r="236">
      <c r="A236">
        <f>'Runs Z score'!A229</f>
        <v/>
      </c>
      <c r="B236">
        <f>'Runs Z score'!B229</f>
        <v/>
      </c>
      <c r="C236">
        <f>'Runs Z score'!C229</f>
        <v/>
      </c>
      <c r="D236">
        <f>'Runs Z score'!D229</f>
        <v/>
      </c>
      <c r="E236">
        <f>'Runs Z score'!E229</f>
        <v/>
      </c>
      <c r="F236">
        <f>'Runs Z score'!F229</f>
        <v/>
      </c>
      <c r="G236">
        <f>'Runs Z score'!G229</f>
        <v/>
      </c>
      <c r="H236">
        <f>VLOOKUP(C236,Recipes!$A$2:$N$4,10,FALSE())</f>
        <v/>
      </c>
      <c r="I236">
        <f>VLOOKUP(C236,Recipes!$A$2:$N$4,12,FALSE())</f>
        <v/>
      </c>
      <c r="J236">
        <f>IF(G236="","",H236-G236)</f>
        <v/>
      </c>
      <c r="K236">
        <f>IF(G236="","",IF(VLOOKUP(C236,Recipes!$A$2:$N$4,4,FALSE())=0,-1E+300,-0.5*((J236-Components!$D$2)/Components!$E$2)^2))</f>
        <v/>
      </c>
      <c r="L236">
        <f>IF(G236="","",IF(VLOOKUP(C236,Recipes!$A$2:$N$4,5,FALSE())=0,-1E+300,-0.5*((J236-Components!$D$3)/Components!$E$3)^2))</f>
        <v/>
      </c>
      <c r="M236">
        <f>IF(G236="","",IF(VLOOKUP(C236,Recipes!$A$2:$N$4,6,FALSE())=0,-1E+300,-0.5*((J236-Components!$D$4)/Components!$E$4)^2))</f>
        <v/>
      </c>
      <c r="N236">
        <f>IF(G236="","",IF(VLOOKUP(C236,Recipes!$A$2:$N$4,7,FALSE())=0,-1E+300,-0.5*((J236-Components!$D$5)/Components!$E$5)^2))</f>
        <v/>
      </c>
      <c r="O236">
        <f>IF(G236="","",IF(VLOOKUP(C236,Recipes!$A$2:$N$4,8,FALSE())=0,-1E+300,-0.5*((J236-Components!$D$6)/Components!$E$6)^2))</f>
        <v/>
      </c>
      <c r="P236">
        <f>IF(G236="","",IF(VLOOKUP(C236,Recipes!$A$2:$N$4,9,FALSE())=0,-1E+300,-0.5*((J236-Components!$D$7)/Components!$E$7)^2))</f>
        <v/>
      </c>
      <c r="Q236">
        <f>IF(G236="","",EXP(LARGE(K236:P236,1)-MAX(K236:P236))/(EXP(K236-MAX(K236:P236))+EXP(L236-MAX(K236:P236))+EXP(M236-MAX(K236:P236))+EXP(N236-MAX(K236:P236))+EXP(O236-MAX(K236:P236))+EXP(P236-MAX(K236:P236))))</f>
        <v/>
      </c>
      <c r="R236">
        <f>IF(G236="","",EXP(LARGE(K236:P236,2)-MAX(K236:P236))/(EXP(K236-MAX(K236:P236))+EXP(L236-MAX(K236:P236))+EXP(M236-MAX(K236:P236))+EXP(N236-MAX(K236:P236))+EXP(O236-MAX(K236:P236))+EXP(P236-MAX(K236:P236))))</f>
        <v/>
      </c>
      <c r="S236">
        <f>IF(G236="","",Q236-R236)</f>
        <v/>
      </c>
      <c r="T236">
        <f>IF(G236="","",IF(ABS(G236-H236)&lt;=$B$6*I236,"OK","NG"))</f>
        <v/>
      </c>
      <c r="U236">
        <f>IF(T236="","",IF(T236=D236,1,0))</f>
        <v/>
      </c>
      <c r="V236">
        <f>IF(G236="","",IF(T236="OK","NONE",INDEX({"S1","S2","W1","W2","N1","N2"},MATCH(MAX(K236:P236),K236:P236,0))))</f>
        <v/>
      </c>
      <c r="W236">
        <f>IF(G236="","",IF(V236=E236,1,0))</f>
        <v/>
      </c>
      <c r="X236">
        <f>IF(G236="","",IF(AND(T236="NG",S236&lt;$B$7),"AMBIGUOUS","CONFIDENT"))</f>
        <v/>
      </c>
    </row>
    <row r="237">
      <c r="A237">
        <f>'Runs Z score'!A230</f>
        <v/>
      </c>
      <c r="B237">
        <f>'Runs Z score'!B230</f>
        <v/>
      </c>
      <c r="C237">
        <f>'Runs Z score'!C230</f>
        <v/>
      </c>
      <c r="D237">
        <f>'Runs Z score'!D230</f>
        <v/>
      </c>
      <c r="E237">
        <f>'Runs Z score'!E230</f>
        <v/>
      </c>
      <c r="F237">
        <f>'Runs Z score'!F230</f>
        <v/>
      </c>
      <c r="G237">
        <f>'Runs Z score'!G230</f>
        <v/>
      </c>
      <c r="H237">
        <f>VLOOKUP(C237,Recipes!$A$2:$N$4,10,FALSE())</f>
        <v/>
      </c>
      <c r="I237">
        <f>VLOOKUP(C237,Recipes!$A$2:$N$4,12,FALSE())</f>
        <v/>
      </c>
      <c r="J237">
        <f>IF(G237="","",H237-G237)</f>
        <v/>
      </c>
      <c r="K237">
        <f>IF(G237="","",IF(VLOOKUP(C237,Recipes!$A$2:$N$4,4,FALSE())=0,-1E+300,-0.5*((J237-Components!$D$2)/Components!$E$2)^2))</f>
        <v/>
      </c>
      <c r="L237">
        <f>IF(G237="","",IF(VLOOKUP(C237,Recipes!$A$2:$N$4,5,FALSE())=0,-1E+300,-0.5*((J237-Components!$D$3)/Components!$E$3)^2))</f>
        <v/>
      </c>
      <c r="M237">
        <f>IF(G237="","",IF(VLOOKUP(C237,Recipes!$A$2:$N$4,6,FALSE())=0,-1E+300,-0.5*((J237-Components!$D$4)/Components!$E$4)^2))</f>
        <v/>
      </c>
      <c r="N237">
        <f>IF(G237="","",IF(VLOOKUP(C237,Recipes!$A$2:$N$4,7,FALSE())=0,-1E+300,-0.5*((J237-Components!$D$5)/Components!$E$5)^2))</f>
        <v/>
      </c>
      <c r="O237">
        <f>IF(G237="","",IF(VLOOKUP(C237,Recipes!$A$2:$N$4,8,FALSE())=0,-1E+300,-0.5*((J237-Components!$D$6)/Components!$E$6)^2))</f>
        <v/>
      </c>
      <c r="P237">
        <f>IF(G237="","",IF(VLOOKUP(C237,Recipes!$A$2:$N$4,9,FALSE())=0,-1E+300,-0.5*((J237-Components!$D$7)/Components!$E$7)^2))</f>
        <v/>
      </c>
      <c r="Q237">
        <f>IF(G237="","",EXP(LARGE(K237:P237,1)-MAX(K237:P237))/(EXP(K237-MAX(K237:P237))+EXP(L237-MAX(K237:P237))+EXP(M237-MAX(K237:P237))+EXP(N237-MAX(K237:P237))+EXP(O237-MAX(K237:P237))+EXP(P237-MAX(K237:P237))))</f>
        <v/>
      </c>
      <c r="R237">
        <f>IF(G237="","",EXP(LARGE(K237:P237,2)-MAX(K237:P237))/(EXP(K237-MAX(K237:P237))+EXP(L237-MAX(K237:P237))+EXP(M237-MAX(K237:P237))+EXP(N237-MAX(K237:P237))+EXP(O237-MAX(K237:P237))+EXP(P237-MAX(K237:P237))))</f>
        <v/>
      </c>
      <c r="S237">
        <f>IF(G237="","",Q237-R237)</f>
        <v/>
      </c>
      <c r="T237">
        <f>IF(G237="","",IF(ABS(G237-H237)&lt;=$B$6*I237,"OK","NG"))</f>
        <v/>
      </c>
      <c r="U237">
        <f>IF(T237="","",IF(T237=D237,1,0))</f>
        <v/>
      </c>
      <c r="V237">
        <f>IF(G237="","",IF(T237="OK","NONE",INDEX({"S1","S2","W1","W2","N1","N2"},MATCH(MAX(K237:P237),K237:P237,0))))</f>
        <v/>
      </c>
      <c r="W237">
        <f>IF(G237="","",IF(V237=E237,1,0))</f>
        <v/>
      </c>
      <c r="X237">
        <f>IF(G237="","",IF(AND(T237="NG",S237&lt;$B$7),"AMBIGUOUS","CONFIDENT"))</f>
        <v/>
      </c>
    </row>
    <row r="238">
      <c r="A238">
        <f>'Runs Z score'!A231</f>
        <v/>
      </c>
      <c r="B238">
        <f>'Runs Z score'!B231</f>
        <v/>
      </c>
      <c r="C238">
        <f>'Runs Z score'!C231</f>
        <v/>
      </c>
      <c r="D238">
        <f>'Runs Z score'!D231</f>
        <v/>
      </c>
      <c r="E238">
        <f>'Runs Z score'!E231</f>
        <v/>
      </c>
      <c r="F238">
        <f>'Runs Z score'!F231</f>
        <v/>
      </c>
      <c r="G238">
        <f>'Runs Z score'!G231</f>
        <v/>
      </c>
      <c r="H238">
        <f>VLOOKUP(C238,Recipes!$A$2:$N$4,10,FALSE())</f>
        <v/>
      </c>
      <c r="I238">
        <f>VLOOKUP(C238,Recipes!$A$2:$N$4,12,FALSE())</f>
        <v/>
      </c>
      <c r="J238">
        <f>IF(G238="","",H238-G238)</f>
        <v/>
      </c>
      <c r="K238">
        <f>IF(G238="","",IF(VLOOKUP(C238,Recipes!$A$2:$N$4,4,FALSE())=0,-1E+300,-0.5*((J238-Components!$D$2)/Components!$E$2)^2))</f>
        <v/>
      </c>
      <c r="L238">
        <f>IF(G238="","",IF(VLOOKUP(C238,Recipes!$A$2:$N$4,5,FALSE())=0,-1E+300,-0.5*((J238-Components!$D$3)/Components!$E$3)^2))</f>
        <v/>
      </c>
      <c r="M238">
        <f>IF(G238="","",IF(VLOOKUP(C238,Recipes!$A$2:$N$4,6,FALSE())=0,-1E+300,-0.5*((J238-Components!$D$4)/Components!$E$4)^2))</f>
        <v/>
      </c>
      <c r="N238">
        <f>IF(G238="","",IF(VLOOKUP(C238,Recipes!$A$2:$N$4,7,FALSE())=0,-1E+300,-0.5*((J238-Components!$D$5)/Components!$E$5)^2))</f>
        <v/>
      </c>
      <c r="O238">
        <f>IF(G238="","",IF(VLOOKUP(C238,Recipes!$A$2:$N$4,8,FALSE())=0,-1E+300,-0.5*((J238-Components!$D$6)/Components!$E$6)^2))</f>
        <v/>
      </c>
      <c r="P238">
        <f>IF(G238="","",IF(VLOOKUP(C238,Recipes!$A$2:$N$4,9,FALSE())=0,-1E+300,-0.5*((J238-Components!$D$7)/Components!$E$7)^2))</f>
        <v/>
      </c>
      <c r="Q238">
        <f>IF(G238="","",EXP(LARGE(K238:P238,1)-MAX(K238:P238))/(EXP(K238-MAX(K238:P238))+EXP(L238-MAX(K238:P238))+EXP(M238-MAX(K238:P238))+EXP(N238-MAX(K238:P238))+EXP(O238-MAX(K238:P238))+EXP(P238-MAX(K238:P238))))</f>
        <v/>
      </c>
      <c r="R238">
        <f>IF(G238="","",EXP(LARGE(K238:P238,2)-MAX(K238:P238))/(EXP(K238-MAX(K238:P238))+EXP(L238-MAX(K238:P238))+EXP(M238-MAX(K238:P238))+EXP(N238-MAX(K238:P238))+EXP(O238-MAX(K238:P238))+EXP(P238-MAX(K238:P238))))</f>
        <v/>
      </c>
      <c r="S238">
        <f>IF(G238="","",Q238-R238)</f>
        <v/>
      </c>
      <c r="T238">
        <f>IF(G238="","",IF(ABS(G238-H238)&lt;=$B$6*I238,"OK","NG"))</f>
        <v/>
      </c>
      <c r="U238">
        <f>IF(T238="","",IF(T238=D238,1,0))</f>
        <v/>
      </c>
      <c r="V238">
        <f>IF(G238="","",IF(T238="OK","NONE",INDEX({"S1","S2","W1","W2","N1","N2"},MATCH(MAX(K238:P238),K238:P238,0))))</f>
        <v/>
      </c>
      <c r="W238">
        <f>IF(G238="","",IF(V238=E238,1,0))</f>
        <v/>
      </c>
      <c r="X238">
        <f>IF(G238="","",IF(AND(T238="NG",S238&lt;$B$7),"AMBIGUOUS","CONFIDENT"))</f>
        <v/>
      </c>
    </row>
    <row r="239">
      <c r="A239">
        <f>'Runs Z score'!A232</f>
        <v/>
      </c>
      <c r="B239">
        <f>'Runs Z score'!B232</f>
        <v/>
      </c>
      <c r="C239">
        <f>'Runs Z score'!C232</f>
        <v/>
      </c>
      <c r="D239">
        <f>'Runs Z score'!D232</f>
        <v/>
      </c>
      <c r="E239">
        <f>'Runs Z score'!E232</f>
        <v/>
      </c>
      <c r="F239">
        <f>'Runs Z score'!F232</f>
        <v/>
      </c>
      <c r="G239">
        <f>'Runs Z score'!G232</f>
        <v/>
      </c>
      <c r="H239">
        <f>VLOOKUP(C239,Recipes!$A$2:$N$4,10,FALSE())</f>
        <v/>
      </c>
      <c r="I239">
        <f>VLOOKUP(C239,Recipes!$A$2:$N$4,12,FALSE())</f>
        <v/>
      </c>
      <c r="J239">
        <f>IF(G239="","",H239-G239)</f>
        <v/>
      </c>
      <c r="K239">
        <f>IF(G239="","",IF(VLOOKUP(C239,Recipes!$A$2:$N$4,4,FALSE())=0,-1E+300,-0.5*((J239-Components!$D$2)/Components!$E$2)^2))</f>
        <v/>
      </c>
      <c r="L239">
        <f>IF(G239="","",IF(VLOOKUP(C239,Recipes!$A$2:$N$4,5,FALSE())=0,-1E+300,-0.5*((J239-Components!$D$3)/Components!$E$3)^2))</f>
        <v/>
      </c>
      <c r="M239">
        <f>IF(G239="","",IF(VLOOKUP(C239,Recipes!$A$2:$N$4,6,FALSE())=0,-1E+300,-0.5*((J239-Components!$D$4)/Components!$E$4)^2))</f>
        <v/>
      </c>
      <c r="N239">
        <f>IF(G239="","",IF(VLOOKUP(C239,Recipes!$A$2:$N$4,7,FALSE())=0,-1E+300,-0.5*((J239-Components!$D$5)/Components!$E$5)^2))</f>
        <v/>
      </c>
      <c r="O239">
        <f>IF(G239="","",IF(VLOOKUP(C239,Recipes!$A$2:$N$4,8,FALSE())=0,-1E+300,-0.5*((J239-Components!$D$6)/Components!$E$6)^2))</f>
        <v/>
      </c>
      <c r="P239">
        <f>IF(G239="","",IF(VLOOKUP(C239,Recipes!$A$2:$N$4,9,FALSE())=0,-1E+300,-0.5*((J239-Components!$D$7)/Components!$E$7)^2))</f>
        <v/>
      </c>
      <c r="Q239">
        <f>IF(G239="","",EXP(LARGE(K239:P239,1)-MAX(K239:P239))/(EXP(K239-MAX(K239:P239))+EXP(L239-MAX(K239:P239))+EXP(M239-MAX(K239:P239))+EXP(N239-MAX(K239:P239))+EXP(O239-MAX(K239:P239))+EXP(P239-MAX(K239:P239))))</f>
        <v/>
      </c>
      <c r="R239">
        <f>IF(G239="","",EXP(LARGE(K239:P239,2)-MAX(K239:P239))/(EXP(K239-MAX(K239:P239))+EXP(L239-MAX(K239:P239))+EXP(M239-MAX(K239:P239))+EXP(N239-MAX(K239:P239))+EXP(O239-MAX(K239:P239))+EXP(P239-MAX(K239:P239))))</f>
        <v/>
      </c>
      <c r="S239">
        <f>IF(G239="","",Q239-R239)</f>
        <v/>
      </c>
      <c r="T239">
        <f>IF(G239="","",IF(ABS(G239-H239)&lt;=$B$6*I239,"OK","NG"))</f>
        <v/>
      </c>
      <c r="U239">
        <f>IF(T239="","",IF(T239=D239,1,0))</f>
        <v/>
      </c>
      <c r="V239">
        <f>IF(G239="","",IF(T239="OK","NONE",INDEX({"S1","S2","W1","W2","N1","N2"},MATCH(MAX(K239:P239),K239:P239,0))))</f>
        <v/>
      </c>
      <c r="W239">
        <f>IF(G239="","",IF(V239=E239,1,0))</f>
        <v/>
      </c>
      <c r="X239">
        <f>IF(G239="","",IF(AND(T239="NG",S239&lt;$B$7),"AMBIGUOUS","CONFIDENT"))</f>
        <v/>
      </c>
    </row>
    <row r="240">
      <c r="A240">
        <f>'Runs Z score'!A233</f>
        <v/>
      </c>
      <c r="B240">
        <f>'Runs Z score'!B233</f>
        <v/>
      </c>
      <c r="C240">
        <f>'Runs Z score'!C233</f>
        <v/>
      </c>
      <c r="D240">
        <f>'Runs Z score'!D233</f>
        <v/>
      </c>
      <c r="E240">
        <f>'Runs Z score'!E233</f>
        <v/>
      </c>
      <c r="F240">
        <f>'Runs Z score'!F233</f>
        <v/>
      </c>
      <c r="G240">
        <f>'Runs Z score'!G233</f>
        <v/>
      </c>
      <c r="H240">
        <f>VLOOKUP(C240,Recipes!$A$2:$N$4,10,FALSE())</f>
        <v/>
      </c>
      <c r="I240">
        <f>VLOOKUP(C240,Recipes!$A$2:$N$4,12,FALSE())</f>
        <v/>
      </c>
      <c r="J240">
        <f>IF(G240="","",H240-G240)</f>
        <v/>
      </c>
      <c r="K240">
        <f>IF(G240="","",IF(VLOOKUP(C240,Recipes!$A$2:$N$4,4,FALSE())=0,-1E+300,-0.5*((J240-Components!$D$2)/Components!$E$2)^2))</f>
        <v/>
      </c>
      <c r="L240">
        <f>IF(G240="","",IF(VLOOKUP(C240,Recipes!$A$2:$N$4,5,FALSE())=0,-1E+300,-0.5*((J240-Components!$D$3)/Components!$E$3)^2))</f>
        <v/>
      </c>
      <c r="M240">
        <f>IF(G240="","",IF(VLOOKUP(C240,Recipes!$A$2:$N$4,6,FALSE())=0,-1E+300,-0.5*((J240-Components!$D$4)/Components!$E$4)^2))</f>
        <v/>
      </c>
      <c r="N240">
        <f>IF(G240="","",IF(VLOOKUP(C240,Recipes!$A$2:$N$4,7,FALSE())=0,-1E+300,-0.5*((J240-Components!$D$5)/Components!$E$5)^2))</f>
        <v/>
      </c>
      <c r="O240">
        <f>IF(G240="","",IF(VLOOKUP(C240,Recipes!$A$2:$N$4,8,FALSE())=0,-1E+300,-0.5*((J240-Components!$D$6)/Components!$E$6)^2))</f>
        <v/>
      </c>
      <c r="P240">
        <f>IF(G240="","",IF(VLOOKUP(C240,Recipes!$A$2:$N$4,9,FALSE())=0,-1E+300,-0.5*((J240-Components!$D$7)/Components!$E$7)^2))</f>
        <v/>
      </c>
      <c r="Q240">
        <f>IF(G240="","",EXP(LARGE(K240:P240,1)-MAX(K240:P240))/(EXP(K240-MAX(K240:P240))+EXP(L240-MAX(K240:P240))+EXP(M240-MAX(K240:P240))+EXP(N240-MAX(K240:P240))+EXP(O240-MAX(K240:P240))+EXP(P240-MAX(K240:P240))))</f>
        <v/>
      </c>
      <c r="R240">
        <f>IF(G240="","",EXP(LARGE(K240:P240,2)-MAX(K240:P240))/(EXP(K240-MAX(K240:P240))+EXP(L240-MAX(K240:P240))+EXP(M240-MAX(K240:P240))+EXP(N240-MAX(K240:P240))+EXP(O240-MAX(K240:P240))+EXP(P240-MAX(K240:P240))))</f>
        <v/>
      </c>
      <c r="S240">
        <f>IF(G240="","",Q240-R240)</f>
        <v/>
      </c>
      <c r="T240">
        <f>IF(G240="","",IF(ABS(G240-H240)&lt;=$B$6*I240,"OK","NG"))</f>
        <v/>
      </c>
      <c r="U240">
        <f>IF(T240="","",IF(T240=D240,1,0))</f>
        <v/>
      </c>
      <c r="V240">
        <f>IF(G240="","",IF(T240="OK","NONE",INDEX({"S1","S2","W1","W2","N1","N2"},MATCH(MAX(K240:P240),K240:P240,0))))</f>
        <v/>
      </c>
      <c r="W240">
        <f>IF(G240="","",IF(V240=E240,1,0))</f>
        <v/>
      </c>
      <c r="X240">
        <f>IF(G240="","",IF(AND(T240="NG",S240&lt;$B$7),"AMBIGUOUS","CONFIDENT"))</f>
        <v/>
      </c>
    </row>
    <row r="241">
      <c r="A241">
        <f>'Runs Z score'!A234</f>
        <v/>
      </c>
      <c r="B241">
        <f>'Runs Z score'!B234</f>
        <v/>
      </c>
      <c r="C241">
        <f>'Runs Z score'!C234</f>
        <v/>
      </c>
      <c r="D241">
        <f>'Runs Z score'!D234</f>
        <v/>
      </c>
      <c r="E241">
        <f>'Runs Z score'!E234</f>
        <v/>
      </c>
      <c r="F241">
        <f>'Runs Z score'!F234</f>
        <v/>
      </c>
      <c r="G241">
        <f>'Runs Z score'!G234</f>
        <v/>
      </c>
      <c r="H241">
        <f>VLOOKUP(C241,Recipes!$A$2:$N$4,10,FALSE())</f>
        <v/>
      </c>
      <c r="I241">
        <f>VLOOKUP(C241,Recipes!$A$2:$N$4,12,FALSE())</f>
        <v/>
      </c>
      <c r="J241">
        <f>IF(G241="","",H241-G241)</f>
        <v/>
      </c>
      <c r="K241">
        <f>IF(G241="","",IF(VLOOKUP(C241,Recipes!$A$2:$N$4,4,FALSE())=0,-1E+300,-0.5*((J241-Components!$D$2)/Components!$E$2)^2))</f>
        <v/>
      </c>
      <c r="L241">
        <f>IF(G241="","",IF(VLOOKUP(C241,Recipes!$A$2:$N$4,5,FALSE())=0,-1E+300,-0.5*((J241-Components!$D$3)/Components!$E$3)^2))</f>
        <v/>
      </c>
      <c r="M241">
        <f>IF(G241="","",IF(VLOOKUP(C241,Recipes!$A$2:$N$4,6,FALSE())=0,-1E+300,-0.5*((J241-Components!$D$4)/Components!$E$4)^2))</f>
        <v/>
      </c>
      <c r="N241">
        <f>IF(G241="","",IF(VLOOKUP(C241,Recipes!$A$2:$N$4,7,FALSE())=0,-1E+300,-0.5*((J241-Components!$D$5)/Components!$E$5)^2))</f>
        <v/>
      </c>
      <c r="O241">
        <f>IF(G241="","",IF(VLOOKUP(C241,Recipes!$A$2:$N$4,8,FALSE())=0,-1E+300,-0.5*((J241-Components!$D$6)/Components!$E$6)^2))</f>
        <v/>
      </c>
      <c r="P241">
        <f>IF(G241="","",IF(VLOOKUP(C241,Recipes!$A$2:$N$4,9,FALSE())=0,-1E+300,-0.5*((J241-Components!$D$7)/Components!$E$7)^2))</f>
        <v/>
      </c>
      <c r="Q241">
        <f>IF(G241="","",EXP(LARGE(K241:P241,1)-MAX(K241:P241))/(EXP(K241-MAX(K241:P241))+EXP(L241-MAX(K241:P241))+EXP(M241-MAX(K241:P241))+EXP(N241-MAX(K241:P241))+EXP(O241-MAX(K241:P241))+EXP(P241-MAX(K241:P241))))</f>
        <v/>
      </c>
      <c r="R241">
        <f>IF(G241="","",EXP(LARGE(K241:P241,2)-MAX(K241:P241))/(EXP(K241-MAX(K241:P241))+EXP(L241-MAX(K241:P241))+EXP(M241-MAX(K241:P241))+EXP(N241-MAX(K241:P241))+EXP(O241-MAX(K241:P241))+EXP(P241-MAX(K241:P241))))</f>
        <v/>
      </c>
      <c r="S241">
        <f>IF(G241="","",Q241-R241)</f>
        <v/>
      </c>
      <c r="T241">
        <f>IF(G241="","",IF(ABS(G241-H241)&lt;=$B$6*I241,"OK","NG"))</f>
        <v/>
      </c>
      <c r="U241">
        <f>IF(T241="","",IF(T241=D241,1,0))</f>
        <v/>
      </c>
      <c r="V241">
        <f>IF(G241="","",IF(T241="OK","NONE",INDEX({"S1","S2","W1","W2","N1","N2"},MATCH(MAX(K241:P241),K241:P241,0))))</f>
        <v/>
      </c>
      <c r="W241">
        <f>IF(G241="","",IF(V241=E241,1,0))</f>
        <v/>
      </c>
      <c r="X241">
        <f>IF(G241="","",IF(AND(T241="NG",S241&lt;$B$7),"AMBIGUOUS","CONFIDENT"))</f>
        <v/>
      </c>
    </row>
    <row r="242">
      <c r="A242">
        <f>'Runs Z score'!A235</f>
        <v/>
      </c>
      <c r="B242">
        <f>'Runs Z score'!B235</f>
        <v/>
      </c>
      <c r="C242">
        <f>'Runs Z score'!C235</f>
        <v/>
      </c>
      <c r="D242">
        <f>'Runs Z score'!D235</f>
        <v/>
      </c>
      <c r="E242">
        <f>'Runs Z score'!E235</f>
        <v/>
      </c>
      <c r="F242">
        <f>'Runs Z score'!F235</f>
        <v/>
      </c>
      <c r="G242">
        <f>'Runs Z score'!G235</f>
        <v/>
      </c>
      <c r="H242">
        <f>VLOOKUP(C242,Recipes!$A$2:$N$4,10,FALSE())</f>
        <v/>
      </c>
      <c r="I242">
        <f>VLOOKUP(C242,Recipes!$A$2:$N$4,12,FALSE())</f>
        <v/>
      </c>
      <c r="J242">
        <f>IF(G242="","",H242-G242)</f>
        <v/>
      </c>
      <c r="K242">
        <f>IF(G242="","",IF(VLOOKUP(C242,Recipes!$A$2:$N$4,4,FALSE())=0,-1E+300,-0.5*((J242-Components!$D$2)/Components!$E$2)^2))</f>
        <v/>
      </c>
      <c r="L242">
        <f>IF(G242="","",IF(VLOOKUP(C242,Recipes!$A$2:$N$4,5,FALSE())=0,-1E+300,-0.5*((J242-Components!$D$3)/Components!$E$3)^2))</f>
        <v/>
      </c>
      <c r="M242">
        <f>IF(G242="","",IF(VLOOKUP(C242,Recipes!$A$2:$N$4,6,FALSE())=0,-1E+300,-0.5*((J242-Components!$D$4)/Components!$E$4)^2))</f>
        <v/>
      </c>
      <c r="N242">
        <f>IF(G242="","",IF(VLOOKUP(C242,Recipes!$A$2:$N$4,7,FALSE())=0,-1E+300,-0.5*((J242-Components!$D$5)/Components!$E$5)^2))</f>
        <v/>
      </c>
      <c r="O242">
        <f>IF(G242="","",IF(VLOOKUP(C242,Recipes!$A$2:$N$4,8,FALSE())=0,-1E+300,-0.5*((J242-Components!$D$6)/Components!$E$6)^2))</f>
        <v/>
      </c>
      <c r="P242">
        <f>IF(G242="","",IF(VLOOKUP(C242,Recipes!$A$2:$N$4,9,FALSE())=0,-1E+300,-0.5*((J242-Components!$D$7)/Components!$E$7)^2))</f>
        <v/>
      </c>
      <c r="Q242">
        <f>IF(G242="","",EXP(LARGE(K242:P242,1)-MAX(K242:P242))/(EXP(K242-MAX(K242:P242))+EXP(L242-MAX(K242:P242))+EXP(M242-MAX(K242:P242))+EXP(N242-MAX(K242:P242))+EXP(O242-MAX(K242:P242))+EXP(P242-MAX(K242:P242))))</f>
        <v/>
      </c>
      <c r="R242">
        <f>IF(G242="","",EXP(LARGE(K242:P242,2)-MAX(K242:P242))/(EXP(K242-MAX(K242:P242))+EXP(L242-MAX(K242:P242))+EXP(M242-MAX(K242:P242))+EXP(N242-MAX(K242:P242))+EXP(O242-MAX(K242:P242))+EXP(P242-MAX(K242:P242))))</f>
        <v/>
      </c>
      <c r="S242">
        <f>IF(G242="","",Q242-R242)</f>
        <v/>
      </c>
      <c r="T242">
        <f>IF(G242="","",IF(ABS(G242-H242)&lt;=$B$6*I242,"OK","NG"))</f>
        <v/>
      </c>
      <c r="U242">
        <f>IF(T242="","",IF(T242=D242,1,0))</f>
        <v/>
      </c>
      <c r="V242">
        <f>IF(G242="","",IF(T242="OK","NONE",INDEX({"S1","S2","W1","W2","N1","N2"},MATCH(MAX(K242:P242),K242:P242,0))))</f>
        <v/>
      </c>
      <c r="W242">
        <f>IF(G242="","",IF(V242=E242,1,0))</f>
        <v/>
      </c>
      <c r="X242">
        <f>IF(G242="","",IF(AND(T242="NG",S242&lt;$B$7),"AMBIGUOUS","CONFIDENT"))</f>
        <v/>
      </c>
    </row>
    <row r="243">
      <c r="A243">
        <f>'Runs Z score'!A236</f>
        <v/>
      </c>
      <c r="B243">
        <f>'Runs Z score'!B236</f>
        <v/>
      </c>
      <c r="C243">
        <f>'Runs Z score'!C236</f>
        <v/>
      </c>
      <c r="D243">
        <f>'Runs Z score'!D236</f>
        <v/>
      </c>
      <c r="E243">
        <f>'Runs Z score'!E236</f>
        <v/>
      </c>
      <c r="F243">
        <f>'Runs Z score'!F236</f>
        <v/>
      </c>
      <c r="G243">
        <f>'Runs Z score'!G236</f>
        <v/>
      </c>
      <c r="H243">
        <f>VLOOKUP(C243,Recipes!$A$2:$N$4,10,FALSE())</f>
        <v/>
      </c>
      <c r="I243">
        <f>VLOOKUP(C243,Recipes!$A$2:$N$4,12,FALSE())</f>
        <v/>
      </c>
      <c r="J243">
        <f>IF(G243="","",H243-G243)</f>
        <v/>
      </c>
      <c r="K243">
        <f>IF(G243="","",IF(VLOOKUP(C243,Recipes!$A$2:$N$4,4,FALSE())=0,-1E+300,-0.5*((J243-Components!$D$2)/Components!$E$2)^2))</f>
        <v/>
      </c>
      <c r="L243">
        <f>IF(G243="","",IF(VLOOKUP(C243,Recipes!$A$2:$N$4,5,FALSE())=0,-1E+300,-0.5*((J243-Components!$D$3)/Components!$E$3)^2))</f>
        <v/>
      </c>
      <c r="M243">
        <f>IF(G243="","",IF(VLOOKUP(C243,Recipes!$A$2:$N$4,6,FALSE())=0,-1E+300,-0.5*((J243-Components!$D$4)/Components!$E$4)^2))</f>
        <v/>
      </c>
      <c r="N243">
        <f>IF(G243="","",IF(VLOOKUP(C243,Recipes!$A$2:$N$4,7,FALSE())=0,-1E+300,-0.5*((J243-Components!$D$5)/Components!$E$5)^2))</f>
        <v/>
      </c>
      <c r="O243">
        <f>IF(G243="","",IF(VLOOKUP(C243,Recipes!$A$2:$N$4,8,FALSE())=0,-1E+300,-0.5*((J243-Components!$D$6)/Components!$E$6)^2))</f>
        <v/>
      </c>
      <c r="P243">
        <f>IF(G243="","",IF(VLOOKUP(C243,Recipes!$A$2:$N$4,9,FALSE())=0,-1E+300,-0.5*((J243-Components!$D$7)/Components!$E$7)^2))</f>
        <v/>
      </c>
      <c r="Q243">
        <f>IF(G243="","",EXP(LARGE(K243:P243,1)-MAX(K243:P243))/(EXP(K243-MAX(K243:P243))+EXP(L243-MAX(K243:P243))+EXP(M243-MAX(K243:P243))+EXP(N243-MAX(K243:P243))+EXP(O243-MAX(K243:P243))+EXP(P243-MAX(K243:P243))))</f>
        <v/>
      </c>
      <c r="R243">
        <f>IF(G243="","",EXP(LARGE(K243:P243,2)-MAX(K243:P243))/(EXP(K243-MAX(K243:P243))+EXP(L243-MAX(K243:P243))+EXP(M243-MAX(K243:P243))+EXP(N243-MAX(K243:P243))+EXP(O243-MAX(K243:P243))+EXP(P243-MAX(K243:P243))))</f>
        <v/>
      </c>
      <c r="S243">
        <f>IF(G243="","",Q243-R243)</f>
        <v/>
      </c>
      <c r="T243">
        <f>IF(G243="","",IF(ABS(G243-H243)&lt;=$B$6*I243,"OK","NG"))</f>
        <v/>
      </c>
      <c r="U243">
        <f>IF(T243="","",IF(T243=D243,1,0))</f>
        <v/>
      </c>
      <c r="V243">
        <f>IF(G243="","",IF(T243="OK","NONE",INDEX({"S1","S2","W1","W2","N1","N2"},MATCH(MAX(K243:P243),K243:P243,0))))</f>
        <v/>
      </c>
      <c r="W243">
        <f>IF(G243="","",IF(V243=E243,1,0))</f>
        <v/>
      </c>
      <c r="X243">
        <f>IF(G243="","",IF(AND(T243="NG",S243&lt;$B$7),"AMBIGUOUS","CONFIDENT"))</f>
        <v/>
      </c>
    </row>
    <row r="244">
      <c r="A244">
        <f>'Runs Z score'!A237</f>
        <v/>
      </c>
      <c r="B244">
        <f>'Runs Z score'!B237</f>
        <v/>
      </c>
      <c r="C244">
        <f>'Runs Z score'!C237</f>
        <v/>
      </c>
      <c r="D244">
        <f>'Runs Z score'!D237</f>
        <v/>
      </c>
      <c r="E244">
        <f>'Runs Z score'!E237</f>
        <v/>
      </c>
      <c r="F244">
        <f>'Runs Z score'!F237</f>
        <v/>
      </c>
      <c r="G244">
        <f>'Runs Z score'!G237</f>
        <v/>
      </c>
      <c r="H244">
        <f>VLOOKUP(C244,Recipes!$A$2:$N$4,10,FALSE())</f>
        <v/>
      </c>
      <c r="I244">
        <f>VLOOKUP(C244,Recipes!$A$2:$N$4,12,FALSE())</f>
        <v/>
      </c>
      <c r="J244">
        <f>IF(G244="","",H244-G244)</f>
        <v/>
      </c>
      <c r="K244">
        <f>IF(G244="","",IF(VLOOKUP(C244,Recipes!$A$2:$N$4,4,FALSE())=0,-1E+300,-0.5*((J244-Components!$D$2)/Components!$E$2)^2))</f>
        <v/>
      </c>
      <c r="L244">
        <f>IF(G244="","",IF(VLOOKUP(C244,Recipes!$A$2:$N$4,5,FALSE())=0,-1E+300,-0.5*((J244-Components!$D$3)/Components!$E$3)^2))</f>
        <v/>
      </c>
      <c r="M244">
        <f>IF(G244="","",IF(VLOOKUP(C244,Recipes!$A$2:$N$4,6,FALSE())=0,-1E+300,-0.5*((J244-Components!$D$4)/Components!$E$4)^2))</f>
        <v/>
      </c>
      <c r="N244">
        <f>IF(G244="","",IF(VLOOKUP(C244,Recipes!$A$2:$N$4,7,FALSE())=0,-1E+300,-0.5*((J244-Components!$D$5)/Components!$E$5)^2))</f>
        <v/>
      </c>
      <c r="O244">
        <f>IF(G244="","",IF(VLOOKUP(C244,Recipes!$A$2:$N$4,8,FALSE())=0,-1E+300,-0.5*((J244-Components!$D$6)/Components!$E$6)^2))</f>
        <v/>
      </c>
      <c r="P244">
        <f>IF(G244="","",IF(VLOOKUP(C244,Recipes!$A$2:$N$4,9,FALSE())=0,-1E+300,-0.5*((J244-Components!$D$7)/Components!$E$7)^2))</f>
        <v/>
      </c>
      <c r="Q244">
        <f>IF(G244="","",EXP(LARGE(K244:P244,1)-MAX(K244:P244))/(EXP(K244-MAX(K244:P244))+EXP(L244-MAX(K244:P244))+EXP(M244-MAX(K244:P244))+EXP(N244-MAX(K244:P244))+EXP(O244-MAX(K244:P244))+EXP(P244-MAX(K244:P244))))</f>
        <v/>
      </c>
      <c r="R244">
        <f>IF(G244="","",EXP(LARGE(K244:P244,2)-MAX(K244:P244))/(EXP(K244-MAX(K244:P244))+EXP(L244-MAX(K244:P244))+EXP(M244-MAX(K244:P244))+EXP(N244-MAX(K244:P244))+EXP(O244-MAX(K244:P244))+EXP(P244-MAX(K244:P244))))</f>
        <v/>
      </c>
      <c r="S244">
        <f>IF(G244="","",Q244-R244)</f>
        <v/>
      </c>
      <c r="T244">
        <f>IF(G244="","",IF(ABS(G244-H244)&lt;=$B$6*I244,"OK","NG"))</f>
        <v/>
      </c>
      <c r="U244">
        <f>IF(T244="","",IF(T244=D244,1,0))</f>
        <v/>
      </c>
      <c r="V244">
        <f>IF(G244="","",IF(T244="OK","NONE",INDEX({"S1","S2","W1","W2","N1","N2"},MATCH(MAX(K244:P244),K244:P244,0))))</f>
        <v/>
      </c>
      <c r="W244">
        <f>IF(G244="","",IF(V244=E244,1,0))</f>
        <v/>
      </c>
      <c r="X244">
        <f>IF(G244="","",IF(AND(T244="NG",S244&lt;$B$7),"AMBIGUOUS","CONFIDENT"))</f>
        <v/>
      </c>
    </row>
    <row r="245">
      <c r="A245">
        <f>'Runs Z score'!A238</f>
        <v/>
      </c>
      <c r="B245">
        <f>'Runs Z score'!B238</f>
        <v/>
      </c>
      <c r="C245">
        <f>'Runs Z score'!C238</f>
        <v/>
      </c>
      <c r="D245">
        <f>'Runs Z score'!D238</f>
        <v/>
      </c>
      <c r="E245">
        <f>'Runs Z score'!E238</f>
        <v/>
      </c>
      <c r="F245">
        <f>'Runs Z score'!F238</f>
        <v/>
      </c>
      <c r="G245">
        <f>'Runs Z score'!G238</f>
        <v/>
      </c>
      <c r="H245">
        <f>VLOOKUP(C245,Recipes!$A$2:$N$4,10,FALSE())</f>
        <v/>
      </c>
      <c r="I245">
        <f>VLOOKUP(C245,Recipes!$A$2:$N$4,12,FALSE())</f>
        <v/>
      </c>
      <c r="J245">
        <f>IF(G245="","",H245-G245)</f>
        <v/>
      </c>
      <c r="K245">
        <f>IF(G245="","",IF(VLOOKUP(C245,Recipes!$A$2:$N$4,4,FALSE())=0,-1E+300,-0.5*((J245-Components!$D$2)/Components!$E$2)^2))</f>
        <v/>
      </c>
      <c r="L245">
        <f>IF(G245="","",IF(VLOOKUP(C245,Recipes!$A$2:$N$4,5,FALSE())=0,-1E+300,-0.5*((J245-Components!$D$3)/Components!$E$3)^2))</f>
        <v/>
      </c>
      <c r="M245">
        <f>IF(G245="","",IF(VLOOKUP(C245,Recipes!$A$2:$N$4,6,FALSE())=0,-1E+300,-0.5*((J245-Components!$D$4)/Components!$E$4)^2))</f>
        <v/>
      </c>
      <c r="N245">
        <f>IF(G245="","",IF(VLOOKUP(C245,Recipes!$A$2:$N$4,7,FALSE())=0,-1E+300,-0.5*((J245-Components!$D$5)/Components!$E$5)^2))</f>
        <v/>
      </c>
      <c r="O245">
        <f>IF(G245="","",IF(VLOOKUP(C245,Recipes!$A$2:$N$4,8,FALSE())=0,-1E+300,-0.5*((J245-Components!$D$6)/Components!$E$6)^2))</f>
        <v/>
      </c>
      <c r="P245">
        <f>IF(G245="","",IF(VLOOKUP(C245,Recipes!$A$2:$N$4,9,FALSE())=0,-1E+300,-0.5*((J245-Components!$D$7)/Components!$E$7)^2))</f>
        <v/>
      </c>
      <c r="Q245">
        <f>IF(G245="","",EXP(LARGE(K245:P245,1)-MAX(K245:P245))/(EXP(K245-MAX(K245:P245))+EXP(L245-MAX(K245:P245))+EXP(M245-MAX(K245:P245))+EXP(N245-MAX(K245:P245))+EXP(O245-MAX(K245:P245))+EXP(P245-MAX(K245:P245))))</f>
        <v/>
      </c>
      <c r="R245">
        <f>IF(G245="","",EXP(LARGE(K245:P245,2)-MAX(K245:P245))/(EXP(K245-MAX(K245:P245))+EXP(L245-MAX(K245:P245))+EXP(M245-MAX(K245:P245))+EXP(N245-MAX(K245:P245))+EXP(O245-MAX(K245:P245))+EXP(P245-MAX(K245:P245))))</f>
        <v/>
      </c>
      <c r="S245">
        <f>IF(G245="","",Q245-R245)</f>
        <v/>
      </c>
      <c r="T245">
        <f>IF(G245="","",IF(ABS(G245-H245)&lt;=$B$6*I245,"OK","NG"))</f>
        <v/>
      </c>
      <c r="U245">
        <f>IF(T245="","",IF(T245=D245,1,0))</f>
        <v/>
      </c>
      <c r="V245">
        <f>IF(G245="","",IF(T245="OK","NONE",INDEX({"S1","S2","W1","W2","N1","N2"},MATCH(MAX(K245:P245),K245:P245,0))))</f>
        <v/>
      </c>
      <c r="W245">
        <f>IF(G245="","",IF(V245=E245,1,0))</f>
        <v/>
      </c>
      <c r="X245">
        <f>IF(G245="","",IF(AND(T245="NG",S245&lt;$B$7),"AMBIGUOUS","CONFIDENT"))</f>
        <v/>
      </c>
    </row>
    <row r="246">
      <c r="A246">
        <f>'Runs Z score'!A239</f>
        <v/>
      </c>
      <c r="B246">
        <f>'Runs Z score'!B239</f>
        <v/>
      </c>
      <c r="C246">
        <f>'Runs Z score'!C239</f>
        <v/>
      </c>
      <c r="D246">
        <f>'Runs Z score'!D239</f>
        <v/>
      </c>
      <c r="E246">
        <f>'Runs Z score'!E239</f>
        <v/>
      </c>
      <c r="F246">
        <f>'Runs Z score'!F239</f>
        <v/>
      </c>
      <c r="G246">
        <f>'Runs Z score'!G239</f>
        <v/>
      </c>
      <c r="H246">
        <f>VLOOKUP(C246,Recipes!$A$2:$N$4,10,FALSE())</f>
        <v/>
      </c>
      <c r="I246">
        <f>VLOOKUP(C246,Recipes!$A$2:$N$4,12,FALSE())</f>
        <v/>
      </c>
      <c r="J246">
        <f>IF(G246="","",H246-G246)</f>
        <v/>
      </c>
      <c r="K246">
        <f>IF(G246="","",IF(VLOOKUP(C246,Recipes!$A$2:$N$4,4,FALSE())=0,-1E+300,-0.5*((J246-Components!$D$2)/Components!$E$2)^2))</f>
        <v/>
      </c>
      <c r="L246">
        <f>IF(G246="","",IF(VLOOKUP(C246,Recipes!$A$2:$N$4,5,FALSE())=0,-1E+300,-0.5*((J246-Components!$D$3)/Components!$E$3)^2))</f>
        <v/>
      </c>
      <c r="M246">
        <f>IF(G246="","",IF(VLOOKUP(C246,Recipes!$A$2:$N$4,6,FALSE())=0,-1E+300,-0.5*((J246-Components!$D$4)/Components!$E$4)^2))</f>
        <v/>
      </c>
      <c r="N246">
        <f>IF(G246="","",IF(VLOOKUP(C246,Recipes!$A$2:$N$4,7,FALSE())=0,-1E+300,-0.5*((J246-Components!$D$5)/Components!$E$5)^2))</f>
        <v/>
      </c>
      <c r="O246">
        <f>IF(G246="","",IF(VLOOKUP(C246,Recipes!$A$2:$N$4,8,FALSE())=0,-1E+300,-0.5*((J246-Components!$D$6)/Components!$E$6)^2))</f>
        <v/>
      </c>
      <c r="P246">
        <f>IF(G246="","",IF(VLOOKUP(C246,Recipes!$A$2:$N$4,9,FALSE())=0,-1E+300,-0.5*((J246-Components!$D$7)/Components!$E$7)^2))</f>
        <v/>
      </c>
      <c r="Q246">
        <f>IF(G246="","",EXP(LARGE(K246:P246,1)-MAX(K246:P246))/(EXP(K246-MAX(K246:P246))+EXP(L246-MAX(K246:P246))+EXP(M246-MAX(K246:P246))+EXP(N246-MAX(K246:P246))+EXP(O246-MAX(K246:P246))+EXP(P246-MAX(K246:P246))))</f>
        <v/>
      </c>
      <c r="R246">
        <f>IF(G246="","",EXP(LARGE(K246:P246,2)-MAX(K246:P246))/(EXP(K246-MAX(K246:P246))+EXP(L246-MAX(K246:P246))+EXP(M246-MAX(K246:P246))+EXP(N246-MAX(K246:P246))+EXP(O246-MAX(K246:P246))+EXP(P246-MAX(K246:P246))))</f>
        <v/>
      </c>
      <c r="S246">
        <f>IF(G246="","",Q246-R246)</f>
        <v/>
      </c>
      <c r="T246">
        <f>IF(G246="","",IF(ABS(G246-H246)&lt;=$B$6*I246,"OK","NG"))</f>
        <v/>
      </c>
      <c r="U246">
        <f>IF(T246="","",IF(T246=D246,1,0))</f>
        <v/>
      </c>
      <c r="V246">
        <f>IF(G246="","",IF(T246="OK","NONE",INDEX({"S1","S2","W1","W2","N1","N2"},MATCH(MAX(K246:P246),K246:P246,0))))</f>
        <v/>
      </c>
      <c r="W246">
        <f>IF(G246="","",IF(V246=E246,1,0))</f>
        <v/>
      </c>
      <c r="X246">
        <f>IF(G246="","",IF(AND(T246="NG",S246&lt;$B$7),"AMBIGUOUS","CONFIDENT"))</f>
        <v/>
      </c>
    </row>
    <row r="247">
      <c r="A247">
        <f>'Runs Z score'!A240</f>
        <v/>
      </c>
      <c r="B247">
        <f>'Runs Z score'!B240</f>
        <v/>
      </c>
      <c r="C247">
        <f>'Runs Z score'!C240</f>
        <v/>
      </c>
      <c r="D247">
        <f>'Runs Z score'!D240</f>
        <v/>
      </c>
      <c r="E247">
        <f>'Runs Z score'!E240</f>
        <v/>
      </c>
      <c r="F247">
        <f>'Runs Z score'!F240</f>
        <v/>
      </c>
      <c r="G247">
        <f>'Runs Z score'!G240</f>
        <v/>
      </c>
      <c r="H247">
        <f>VLOOKUP(C247,Recipes!$A$2:$N$4,10,FALSE())</f>
        <v/>
      </c>
      <c r="I247">
        <f>VLOOKUP(C247,Recipes!$A$2:$N$4,12,FALSE())</f>
        <v/>
      </c>
      <c r="J247">
        <f>IF(G247="","",H247-G247)</f>
        <v/>
      </c>
      <c r="K247">
        <f>IF(G247="","",IF(VLOOKUP(C247,Recipes!$A$2:$N$4,4,FALSE())=0,-1E+300,-0.5*((J247-Components!$D$2)/Components!$E$2)^2))</f>
        <v/>
      </c>
      <c r="L247">
        <f>IF(G247="","",IF(VLOOKUP(C247,Recipes!$A$2:$N$4,5,FALSE())=0,-1E+300,-0.5*((J247-Components!$D$3)/Components!$E$3)^2))</f>
        <v/>
      </c>
      <c r="M247">
        <f>IF(G247="","",IF(VLOOKUP(C247,Recipes!$A$2:$N$4,6,FALSE())=0,-1E+300,-0.5*((J247-Components!$D$4)/Components!$E$4)^2))</f>
        <v/>
      </c>
      <c r="N247">
        <f>IF(G247="","",IF(VLOOKUP(C247,Recipes!$A$2:$N$4,7,FALSE())=0,-1E+300,-0.5*((J247-Components!$D$5)/Components!$E$5)^2))</f>
        <v/>
      </c>
      <c r="O247">
        <f>IF(G247="","",IF(VLOOKUP(C247,Recipes!$A$2:$N$4,8,FALSE())=0,-1E+300,-0.5*((J247-Components!$D$6)/Components!$E$6)^2))</f>
        <v/>
      </c>
      <c r="P247">
        <f>IF(G247="","",IF(VLOOKUP(C247,Recipes!$A$2:$N$4,9,FALSE())=0,-1E+300,-0.5*((J247-Components!$D$7)/Components!$E$7)^2))</f>
        <v/>
      </c>
      <c r="Q247">
        <f>IF(G247="","",EXP(LARGE(K247:P247,1)-MAX(K247:P247))/(EXP(K247-MAX(K247:P247))+EXP(L247-MAX(K247:P247))+EXP(M247-MAX(K247:P247))+EXP(N247-MAX(K247:P247))+EXP(O247-MAX(K247:P247))+EXP(P247-MAX(K247:P247))))</f>
        <v/>
      </c>
      <c r="R247">
        <f>IF(G247="","",EXP(LARGE(K247:P247,2)-MAX(K247:P247))/(EXP(K247-MAX(K247:P247))+EXP(L247-MAX(K247:P247))+EXP(M247-MAX(K247:P247))+EXP(N247-MAX(K247:P247))+EXP(O247-MAX(K247:P247))+EXP(P247-MAX(K247:P247))))</f>
        <v/>
      </c>
      <c r="S247">
        <f>IF(G247="","",Q247-R247)</f>
        <v/>
      </c>
      <c r="T247">
        <f>IF(G247="","",IF(ABS(G247-H247)&lt;=$B$6*I247,"OK","NG"))</f>
        <v/>
      </c>
      <c r="U247">
        <f>IF(T247="","",IF(T247=D247,1,0))</f>
        <v/>
      </c>
      <c r="V247">
        <f>IF(G247="","",IF(T247="OK","NONE",INDEX({"S1","S2","W1","W2","N1","N2"},MATCH(MAX(K247:P247),K247:P247,0))))</f>
        <v/>
      </c>
      <c r="W247">
        <f>IF(G247="","",IF(V247=E247,1,0))</f>
        <v/>
      </c>
      <c r="X247">
        <f>IF(G247="","",IF(AND(T247="NG",S247&lt;$B$7),"AMBIGUOUS","CONFIDENT"))</f>
        <v/>
      </c>
    </row>
    <row r="248">
      <c r="A248">
        <f>'Runs Z score'!A241</f>
        <v/>
      </c>
      <c r="B248">
        <f>'Runs Z score'!B241</f>
        <v/>
      </c>
      <c r="C248">
        <f>'Runs Z score'!C241</f>
        <v/>
      </c>
      <c r="D248">
        <f>'Runs Z score'!D241</f>
        <v/>
      </c>
      <c r="E248">
        <f>'Runs Z score'!E241</f>
        <v/>
      </c>
      <c r="F248">
        <f>'Runs Z score'!F241</f>
        <v/>
      </c>
      <c r="G248">
        <f>'Runs Z score'!G241</f>
        <v/>
      </c>
      <c r="H248">
        <f>VLOOKUP(C248,Recipes!$A$2:$N$4,10,FALSE())</f>
        <v/>
      </c>
      <c r="I248">
        <f>VLOOKUP(C248,Recipes!$A$2:$N$4,12,FALSE())</f>
        <v/>
      </c>
      <c r="J248">
        <f>IF(G248="","",H248-G248)</f>
        <v/>
      </c>
      <c r="K248">
        <f>IF(G248="","",IF(VLOOKUP(C248,Recipes!$A$2:$N$4,4,FALSE())=0,-1E+300,-0.5*((J248-Components!$D$2)/Components!$E$2)^2))</f>
        <v/>
      </c>
      <c r="L248">
        <f>IF(G248="","",IF(VLOOKUP(C248,Recipes!$A$2:$N$4,5,FALSE())=0,-1E+300,-0.5*((J248-Components!$D$3)/Components!$E$3)^2))</f>
        <v/>
      </c>
      <c r="M248">
        <f>IF(G248="","",IF(VLOOKUP(C248,Recipes!$A$2:$N$4,6,FALSE())=0,-1E+300,-0.5*((J248-Components!$D$4)/Components!$E$4)^2))</f>
        <v/>
      </c>
      <c r="N248">
        <f>IF(G248="","",IF(VLOOKUP(C248,Recipes!$A$2:$N$4,7,FALSE())=0,-1E+300,-0.5*((J248-Components!$D$5)/Components!$E$5)^2))</f>
        <v/>
      </c>
      <c r="O248">
        <f>IF(G248="","",IF(VLOOKUP(C248,Recipes!$A$2:$N$4,8,FALSE())=0,-1E+300,-0.5*((J248-Components!$D$6)/Components!$E$6)^2))</f>
        <v/>
      </c>
      <c r="P248">
        <f>IF(G248="","",IF(VLOOKUP(C248,Recipes!$A$2:$N$4,9,FALSE())=0,-1E+300,-0.5*((J248-Components!$D$7)/Components!$E$7)^2))</f>
        <v/>
      </c>
      <c r="Q248">
        <f>IF(G248="","",EXP(LARGE(K248:P248,1)-MAX(K248:P248))/(EXP(K248-MAX(K248:P248))+EXP(L248-MAX(K248:P248))+EXP(M248-MAX(K248:P248))+EXP(N248-MAX(K248:P248))+EXP(O248-MAX(K248:P248))+EXP(P248-MAX(K248:P248))))</f>
        <v/>
      </c>
      <c r="R248">
        <f>IF(G248="","",EXP(LARGE(K248:P248,2)-MAX(K248:P248))/(EXP(K248-MAX(K248:P248))+EXP(L248-MAX(K248:P248))+EXP(M248-MAX(K248:P248))+EXP(N248-MAX(K248:P248))+EXP(O248-MAX(K248:P248))+EXP(P248-MAX(K248:P248))))</f>
        <v/>
      </c>
      <c r="S248">
        <f>IF(G248="","",Q248-R248)</f>
        <v/>
      </c>
      <c r="T248">
        <f>IF(G248="","",IF(ABS(G248-H248)&lt;=$B$6*I248,"OK","NG"))</f>
        <v/>
      </c>
      <c r="U248">
        <f>IF(T248="","",IF(T248=D248,1,0))</f>
        <v/>
      </c>
      <c r="V248">
        <f>IF(G248="","",IF(T248="OK","NONE",INDEX({"S1","S2","W1","W2","N1","N2"},MATCH(MAX(K248:P248),K248:P248,0))))</f>
        <v/>
      </c>
      <c r="W248">
        <f>IF(G248="","",IF(V248=E248,1,0))</f>
        <v/>
      </c>
      <c r="X248">
        <f>IF(G248="","",IF(AND(T248="NG",S248&lt;$B$7),"AMBIGUOUS","CONFIDENT"))</f>
        <v/>
      </c>
    </row>
    <row r="249">
      <c r="A249">
        <f>'Runs Z score'!A242</f>
        <v/>
      </c>
      <c r="B249">
        <f>'Runs Z score'!B242</f>
        <v/>
      </c>
      <c r="C249">
        <f>'Runs Z score'!C242</f>
        <v/>
      </c>
      <c r="D249">
        <f>'Runs Z score'!D242</f>
        <v/>
      </c>
      <c r="E249">
        <f>'Runs Z score'!E242</f>
        <v/>
      </c>
      <c r="F249">
        <f>'Runs Z score'!F242</f>
        <v/>
      </c>
      <c r="G249">
        <f>'Runs Z score'!G242</f>
        <v/>
      </c>
      <c r="H249">
        <f>VLOOKUP(C249,Recipes!$A$2:$N$4,10,FALSE())</f>
        <v/>
      </c>
      <c r="I249">
        <f>VLOOKUP(C249,Recipes!$A$2:$N$4,12,FALSE())</f>
        <v/>
      </c>
      <c r="J249">
        <f>IF(G249="","",H249-G249)</f>
        <v/>
      </c>
      <c r="K249">
        <f>IF(G249="","",IF(VLOOKUP(C249,Recipes!$A$2:$N$4,4,FALSE())=0,-1E+300,-0.5*((J249-Components!$D$2)/Components!$E$2)^2))</f>
        <v/>
      </c>
      <c r="L249">
        <f>IF(G249="","",IF(VLOOKUP(C249,Recipes!$A$2:$N$4,5,FALSE())=0,-1E+300,-0.5*((J249-Components!$D$3)/Components!$E$3)^2))</f>
        <v/>
      </c>
      <c r="M249">
        <f>IF(G249="","",IF(VLOOKUP(C249,Recipes!$A$2:$N$4,6,FALSE())=0,-1E+300,-0.5*((J249-Components!$D$4)/Components!$E$4)^2))</f>
        <v/>
      </c>
      <c r="N249">
        <f>IF(G249="","",IF(VLOOKUP(C249,Recipes!$A$2:$N$4,7,FALSE())=0,-1E+300,-0.5*((J249-Components!$D$5)/Components!$E$5)^2))</f>
        <v/>
      </c>
      <c r="O249">
        <f>IF(G249="","",IF(VLOOKUP(C249,Recipes!$A$2:$N$4,8,FALSE())=0,-1E+300,-0.5*((J249-Components!$D$6)/Components!$E$6)^2))</f>
        <v/>
      </c>
      <c r="P249">
        <f>IF(G249="","",IF(VLOOKUP(C249,Recipes!$A$2:$N$4,9,FALSE())=0,-1E+300,-0.5*((J249-Components!$D$7)/Components!$E$7)^2))</f>
        <v/>
      </c>
      <c r="Q249">
        <f>IF(G249="","",EXP(LARGE(K249:P249,1)-MAX(K249:P249))/(EXP(K249-MAX(K249:P249))+EXP(L249-MAX(K249:P249))+EXP(M249-MAX(K249:P249))+EXP(N249-MAX(K249:P249))+EXP(O249-MAX(K249:P249))+EXP(P249-MAX(K249:P249))))</f>
        <v/>
      </c>
      <c r="R249">
        <f>IF(G249="","",EXP(LARGE(K249:P249,2)-MAX(K249:P249))/(EXP(K249-MAX(K249:P249))+EXP(L249-MAX(K249:P249))+EXP(M249-MAX(K249:P249))+EXP(N249-MAX(K249:P249))+EXP(O249-MAX(K249:P249))+EXP(P249-MAX(K249:P249))))</f>
        <v/>
      </c>
      <c r="S249">
        <f>IF(G249="","",Q249-R249)</f>
        <v/>
      </c>
      <c r="T249">
        <f>IF(G249="","",IF(ABS(G249-H249)&lt;=$B$6*I249,"OK","NG"))</f>
        <v/>
      </c>
      <c r="U249">
        <f>IF(T249="","",IF(T249=D249,1,0))</f>
        <v/>
      </c>
      <c r="V249">
        <f>IF(G249="","",IF(T249="OK","NONE",INDEX({"S1","S2","W1","W2","N1","N2"},MATCH(MAX(K249:P249),K249:P249,0))))</f>
        <v/>
      </c>
      <c r="W249">
        <f>IF(G249="","",IF(V249=E249,1,0))</f>
        <v/>
      </c>
      <c r="X249">
        <f>IF(G249="","",IF(AND(T249="NG",S249&lt;$B$7),"AMBIGUOUS","CONFIDENT"))</f>
        <v/>
      </c>
    </row>
    <row r="250">
      <c r="A250">
        <f>'Runs Z score'!A243</f>
        <v/>
      </c>
      <c r="B250">
        <f>'Runs Z score'!B243</f>
        <v/>
      </c>
      <c r="C250">
        <f>'Runs Z score'!C243</f>
        <v/>
      </c>
      <c r="D250">
        <f>'Runs Z score'!D243</f>
        <v/>
      </c>
      <c r="E250">
        <f>'Runs Z score'!E243</f>
        <v/>
      </c>
      <c r="F250">
        <f>'Runs Z score'!F243</f>
        <v/>
      </c>
      <c r="G250">
        <f>'Runs Z score'!G243</f>
        <v/>
      </c>
      <c r="H250">
        <f>VLOOKUP(C250,Recipes!$A$2:$N$4,10,FALSE())</f>
        <v/>
      </c>
      <c r="I250">
        <f>VLOOKUP(C250,Recipes!$A$2:$N$4,12,FALSE())</f>
        <v/>
      </c>
      <c r="J250">
        <f>IF(G250="","",H250-G250)</f>
        <v/>
      </c>
      <c r="K250">
        <f>IF(G250="","",IF(VLOOKUP(C250,Recipes!$A$2:$N$4,4,FALSE())=0,-1E+300,-0.5*((J250-Components!$D$2)/Components!$E$2)^2))</f>
        <v/>
      </c>
      <c r="L250">
        <f>IF(G250="","",IF(VLOOKUP(C250,Recipes!$A$2:$N$4,5,FALSE())=0,-1E+300,-0.5*((J250-Components!$D$3)/Components!$E$3)^2))</f>
        <v/>
      </c>
      <c r="M250">
        <f>IF(G250="","",IF(VLOOKUP(C250,Recipes!$A$2:$N$4,6,FALSE())=0,-1E+300,-0.5*((J250-Components!$D$4)/Components!$E$4)^2))</f>
        <v/>
      </c>
      <c r="N250">
        <f>IF(G250="","",IF(VLOOKUP(C250,Recipes!$A$2:$N$4,7,FALSE())=0,-1E+300,-0.5*((J250-Components!$D$5)/Components!$E$5)^2))</f>
        <v/>
      </c>
      <c r="O250">
        <f>IF(G250="","",IF(VLOOKUP(C250,Recipes!$A$2:$N$4,8,FALSE())=0,-1E+300,-0.5*((J250-Components!$D$6)/Components!$E$6)^2))</f>
        <v/>
      </c>
      <c r="P250">
        <f>IF(G250="","",IF(VLOOKUP(C250,Recipes!$A$2:$N$4,9,FALSE())=0,-1E+300,-0.5*((J250-Components!$D$7)/Components!$E$7)^2))</f>
        <v/>
      </c>
      <c r="Q250">
        <f>IF(G250="","",EXP(LARGE(K250:P250,1)-MAX(K250:P250))/(EXP(K250-MAX(K250:P250))+EXP(L250-MAX(K250:P250))+EXP(M250-MAX(K250:P250))+EXP(N250-MAX(K250:P250))+EXP(O250-MAX(K250:P250))+EXP(P250-MAX(K250:P250))))</f>
        <v/>
      </c>
      <c r="R250">
        <f>IF(G250="","",EXP(LARGE(K250:P250,2)-MAX(K250:P250))/(EXP(K250-MAX(K250:P250))+EXP(L250-MAX(K250:P250))+EXP(M250-MAX(K250:P250))+EXP(N250-MAX(K250:P250))+EXP(O250-MAX(K250:P250))+EXP(P250-MAX(K250:P250))))</f>
        <v/>
      </c>
      <c r="S250">
        <f>IF(G250="","",Q250-R250)</f>
        <v/>
      </c>
      <c r="T250">
        <f>IF(G250="","",IF(ABS(G250-H250)&lt;=$B$6*I250,"OK","NG"))</f>
        <v/>
      </c>
      <c r="U250">
        <f>IF(T250="","",IF(T250=D250,1,0))</f>
        <v/>
      </c>
      <c r="V250">
        <f>IF(G250="","",IF(T250="OK","NONE",INDEX({"S1","S2","W1","W2","N1","N2"},MATCH(MAX(K250:P250),K250:P250,0))))</f>
        <v/>
      </c>
      <c r="W250">
        <f>IF(G250="","",IF(V250=E250,1,0))</f>
        <v/>
      </c>
      <c r="X250">
        <f>IF(G250="","",IF(AND(T250="NG",S250&lt;$B$7),"AMBIGUOUS","CONFIDENT"))</f>
        <v/>
      </c>
    </row>
    <row r="251">
      <c r="A251">
        <f>'Runs Z score'!A244</f>
        <v/>
      </c>
      <c r="B251">
        <f>'Runs Z score'!B244</f>
        <v/>
      </c>
      <c r="C251">
        <f>'Runs Z score'!C244</f>
        <v/>
      </c>
      <c r="D251">
        <f>'Runs Z score'!D244</f>
        <v/>
      </c>
      <c r="E251">
        <f>'Runs Z score'!E244</f>
        <v/>
      </c>
      <c r="F251">
        <f>'Runs Z score'!F244</f>
        <v/>
      </c>
      <c r="G251">
        <f>'Runs Z score'!G244</f>
        <v/>
      </c>
      <c r="H251">
        <f>VLOOKUP(C251,Recipes!$A$2:$N$4,10,FALSE())</f>
        <v/>
      </c>
      <c r="I251">
        <f>VLOOKUP(C251,Recipes!$A$2:$N$4,12,FALSE())</f>
        <v/>
      </c>
      <c r="J251">
        <f>IF(G251="","",H251-G251)</f>
        <v/>
      </c>
      <c r="K251">
        <f>IF(G251="","",IF(VLOOKUP(C251,Recipes!$A$2:$N$4,4,FALSE())=0,-1E+300,-0.5*((J251-Components!$D$2)/Components!$E$2)^2))</f>
        <v/>
      </c>
      <c r="L251">
        <f>IF(G251="","",IF(VLOOKUP(C251,Recipes!$A$2:$N$4,5,FALSE())=0,-1E+300,-0.5*((J251-Components!$D$3)/Components!$E$3)^2))</f>
        <v/>
      </c>
      <c r="M251">
        <f>IF(G251="","",IF(VLOOKUP(C251,Recipes!$A$2:$N$4,6,FALSE())=0,-1E+300,-0.5*((J251-Components!$D$4)/Components!$E$4)^2))</f>
        <v/>
      </c>
      <c r="N251">
        <f>IF(G251="","",IF(VLOOKUP(C251,Recipes!$A$2:$N$4,7,FALSE())=0,-1E+300,-0.5*((J251-Components!$D$5)/Components!$E$5)^2))</f>
        <v/>
      </c>
      <c r="O251">
        <f>IF(G251="","",IF(VLOOKUP(C251,Recipes!$A$2:$N$4,8,FALSE())=0,-1E+300,-0.5*((J251-Components!$D$6)/Components!$E$6)^2))</f>
        <v/>
      </c>
      <c r="P251">
        <f>IF(G251="","",IF(VLOOKUP(C251,Recipes!$A$2:$N$4,9,FALSE())=0,-1E+300,-0.5*((J251-Components!$D$7)/Components!$E$7)^2))</f>
        <v/>
      </c>
      <c r="Q251">
        <f>IF(G251="","",EXP(LARGE(K251:P251,1)-MAX(K251:P251))/(EXP(K251-MAX(K251:P251))+EXP(L251-MAX(K251:P251))+EXP(M251-MAX(K251:P251))+EXP(N251-MAX(K251:P251))+EXP(O251-MAX(K251:P251))+EXP(P251-MAX(K251:P251))))</f>
        <v/>
      </c>
      <c r="R251">
        <f>IF(G251="","",EXP(LARGE(K251:P251,2)-MAX(K251:P251))/(EXP(K251-MAX(K251:P251))+EXP(L251-MAX(K251:P251))+EXP(M251-MAX(K251:P251))+EXP(N251-MAX(K251:P251))+EXP(O251-MAX(K251:P251))+EXP(P251-MAX(K251:P251))))</f>
        <v/>
      </c>
      <c r="S251">
        <f>IF(G251="","",Q251-R251)</f>
        <v/>
      </c>
      <c r="T251">
        <f>IF(G251="","",IF(ABS(G251-H251)&lt;=$B$6*I251,"OK","NG"))</f>
        <v/>
      </c>
      <c r="U251">
        <f>IF(T251="","",IF(T251=D251,1,0))</f>
        <v/>
      </c>
      <c r="V251">
        <f>IF(G251="","",IF(T251="OK","NONE",INDEX({"S1","S2","W1","W2","N1","N2"},MATCH(MAX(K251:P251),K251:P251,0))))</f>
        <v/>
      </c>
      <c r="W251">
        <f>IF(G251="","",IF(V251=E251,1,0))</f>
        <v/>
      </c>
      <c r="X251">
        <f>IF(G251="","",IF(AND(T251="NG",S251&lt;$B$7),"AMBIGUOUS","CONFIDENT"))</f>
        <v/>
      </c>
    </row>
    <row r="252">
      <c r="A252">
        <f>'Runs Z score'!A245</f>
        <v/>
      </c>
      <c r="B252">
        <f>'Runs Z score'!B245</f>
        <v/>
      </c>
      <c r="C252">
        <f>'Runs Z score'!C245</f>
        <v/>
      </c>
      <c r="D252">
        <f>'Runs Z score'!D245</f>
        <v/>
      </c>
      <c r="E252">
        <f>'Runs Z score'!E245</f>
        <v/>
      </c>
      <c r="F252">
        <f>'Runs Z score'!F245</f>
        <v/>
      </c>
      <c r="G252">
        <f>'Runs Z score'!G245</f>
        <v/>
      </c>
      <c r="H252">
        <f>VLOOKUP(C252,Recipes!$A$2:$N$4,10,FALSE())</f>
        <v/>
      </c>
      <c r="I252">
        <f>VLOOKUP(C252,Recipes!$A$2:$N$4,12,FALSE())</f>
        <v/>
      </c>
      <c r="J252">
        <f>IF(G252="","",H252-G252)</f>
        <v/>
      </c>
      <c r="K252">
        <f>IF(G252="","",IF(VLOOKUP(C252,Recipes!$A$2:$N$4,4,FALSE())=0,-1E+300,-0.5*((J252-Components!$D$2)/Components!$E$2)^2))</f>
        <v/>
      </c>
      <c r="L252">
        <f>IF(G252="","",IF(VLOOKUP(C252,Recipes!$A$2:$N$4,5,FALSE())=0,-1E+300,-0.5*((J252-Components!$D$3)/Components!$E$3)^2))</f>
        <v/>
      </c>
      <c r="M252">
        <f>IF(G252="","",IF(VLOOKUP(C252,Recipes!$A$2:$N$4,6,FALSE())=0,-1E+300,-0.5*((J252-Components!$D$4)/Components!$E$4)^2))</f>
        <v/>
      </c>
      <c r="N252">
        <f>IF(G252="","",IF(VLOOKUP(C252,Recipes!$A$2:$N$4,7,FALSE())=0,-1E+300,-0.5*((J252-Components!$D$5)/Components!$E$5)^2))</f>
        <v/>
      </c>
      <c r="O252">
        <f>IF(G252="","",IF(VLOOKUP(C252,Recipes!$A$2:$N$4,8,FALSE())=0,-1E+300,-0.5*((J252-Components!$D$6)/Components!$E$6)^2))</f>
        <v/>
      </c>
      <c r="P252">
        <f>IF(G252="","",IF(VLOOKUP(C252,Recipes!$A$2:$N$4,9,FALSE())=0,-1E+300,-0.5*((J252-Components!$D$7)/Components!$E$7)^2))</f>
        <v/>
      </c>
      <c r="Q252">
        <f>IF(G252="","",EXP(LARGE(K252:P252,1)-MAX(K252:P252))/(EXP(K252-MAX(K252:P252))+EXP(L252-MAX(K252:P252))+EXP(M252-MAX(K252:P252))+EXP(N252-MAX(K252:P252))+EXP(O252-MAX(K252:P252))+EXP(P252-MAX(K252:P252))))</f>
        <v/>
      </c>
      <c r="R252">
        <f>IF(G252="","",EXP(LARGE(K252:P252,2)-MAX(K252:P252))/(EXP(K252-MAX(K252:P252))+EXP(L252-MAX(K252:P252))+EXP(M252-MAX(K252:P252))+EXP(N252-MAX(K252:P252))+EXP(O252-MAX(K252:P252))+EXP(P252-MAX(K252:P252))))</f>
        <v/>
      </c>
      <c r="S252">
        <f>IF(G252="","",Q252-R252)</f>
        <v/>
      </c>
      <c r="T252">
        <f>IF(G252="","",IF(ABS(G252-H252)&lt;=$B$6*I252,"OK","NG"))</f>
        <v/>
      </c>
      <c r="U252">
        <f>IF(T252="","",IF(T252=D252,1,0))</f>
        <v/>
      </c>
      <c r="V252">
        <f>IF(G252="","",IF(T252="OK","NONE",INDEX({"S1","S2","W1","W2","N1","N2"},MATCH(MAX(K252:P252),K252:P252,0))))</f>
        <v/>
      </c>
      <c r="W252">
        <f>IF(G252="","",IF(V252=E252,1,0))</f>
        <v/>
      </c>
      <c r="X252">
        <f>IF(G252="","",IF(AND(T252="NG",S252&lt;$B$7),"AMBIGUOUS","CONFIDENT"))</f>
        <v/>
      </c>
    </row>
    <row r="253">
      <c r="A253">
        <f>'Runs Z score'!A246</f>
        <v/>
      </c>
      <c r="B253">
        <f>'Runs Z score'!B246</f>
        <v/>
      </c>
      <c r="C253">
        <f>'Runs Z score'!C246</f>
        <v/>
      </c>
      <c r="D253">
        <f>'Runs Z score'!D246</f>
        <v/>
      </c>
      <c r="E253">
        <f>'Runs Z score'!E246</f>
        <v/>
      </c>
      <c r="F253">
        <f>'Runs Z score'!F246</f>
        <v/>
      </c>
      <c r="G253">
        <f>'Runs Z score'!G246</f>
        <v/>
      </c>
      <c r="H253">
        <f>VLOOKUP(C253,Recipes!$A$2:$N$4,10,FALSE())</f>
        <v/>
      </c>
      <c r="I253">
        <f>VLOOKUP(C253,Recipes!$A$2:$N$4,12,FALSE())</f>
        <v/>
      </c>
      <c r="J253">
        <f>IF(G253="","",H253-G253)</f>
        <v/>
      </c>
      <c r="K253">
        <f>IF(G253="","",IF(VLOOKUP(C253,Recipes!$A$2:$N$4,4,FALSE())=0,-1E+300,-0.5*((J253-Components!$D$2)/Components!$E$2)^2))</f>
        <v/>
      </c>
      <c r="L253">
        <f>IF(G253="","",IF(VLOOKUP(C253,Recipes!$A$2:$N$4,5,FALSE())=0,-1E+300,-0.5*((J253-Components!$D$3)/Components!$E$3)^2))</f>
        <v/>
      </c>
      <c r="M253">
        <f>IF(G253="","",IF(VLOOKUP(C253,Recipes!$A$2:$N$4,6,FALSE())=0,-1E+300,-0.5*((J253-Components!$D$4)/Components!$E$4)^2))</f>
        <v/>
      </c>
      <c r="N253">
        <f>IF(G253="","",IF(VLOOKUP(C253,Recipes!$A$2:$N$4,7,FALSE())=0,-1E+300,-0.5*((J253-Components!$D$5)/Components!$E$5)^2))</f>
        <v/>
      </c>
      <c r="O253">
        <f>IF(G253="","",IF(VLOOKUP(C253,Recipes!$A$2:$N$4,8,FALSE())=0,-1E+300,-0.5*((J253-Components!$D$6)/Components!$E$6)^2))</f>
        <v/>
      </c>
      <c r="P253">
        <f>IF(G253="","",IF(VLOOKUP(C253,Recipes!$A$2:$N$4,9,FALSE())=0,-1E+300,-0.5*((J253-Components!$D$7)/Components!$E$7)^2))</f>
        <v/>
      </c>
      <c r="Q253">
        <f>IF(G253="","",EXP(LARGE(K253:P253,1)-MAX(K253:P253))/(EXP(K253-MAX(K253:P253))+EXP(L253-MAX(K253:P253))+EXP(M253-MAX(K253:P253))+EXP(N253-MAX(K253:P253))+EXP(O253-MAX(K253:P253))+EXP(P253-MAX(K253:P253))))</f>
        <v/>
      </c>
      <c r="R253">
        <f>IF(G253="","",EXP(LARGE(K253:P253,2)-MAX(K253:P253))/(EXP(K253-MAX(K253:P253))+EXP(L253-MAX(K253:P253))+EXP(M253-MAX(K253:P253))+EXP(N253-MAX(K253:P253))+EXP(O253-MAX(K253:P253))+EXP(P253-MAX(K253:P253))))</f>
        <v/>
      </c>
      <c r="S253">
        <f>IF(G253="","",Q253-R253)</f>
        <v/>
      </c>
      <c r="T253">
        <f>IF(G253="","",IF(ABS(G253-H253)&lt;=$B$6*I253,"OK","NG"))</f>
        <v/>
      </c>
      <c r="U253">
        <f>IF(T253="","",IF(T253=D253,1,0))</f>
        <v/>
      </c>
      <c r="V253">
        <f>IF(G253="","",IF(T253="OK","NONE",INDEX({"S1","S2","W1","W2","N1","N2"},MATCH(MAX(K253:P253),K253:P253,0))))</f>
        <v/>
      </c>
      <c r="W253">
        <f>IF(G253="","",IF(V253=E253,1,0))</f>
        <v/>
      </c>
      <c r="X253">
        <f>IF(G253="","",IF(AND(T253="NG",S253&lt;$B$7),"AMBIGUOUS","CONFIDENT"))</f>
        <v/>
      </c>
    </row>
    <row r="254">
      <c r="A254">
        <f>'Runs Z score'!A247</f>
        <v/>
      </c>
      <c r="B254">
        <f>'Runs Z score'!B247</f>
        <v/>
      </c>
      <c r="C254">
        <f>'Runs Z score'!C247</f>
        <v/>
      </c>
      <c r="D254">
        <f>'Runs Z score'!D247</f>
        <v/>
      </c>
      <c r="E254">
        <f>'Runs Z score'!E247</f>
        <v/>
      </c>
      <c r="F254">
        <f>'Runs Z score'!F247</f>
        <v/>
      </c>
      <c r="G254">
        <f>'Runs Z score'!G247</f>
        <v/>
      </c>
      <c r="H254">
        <f>VLOOKUP(C254,Recipes!$A$2:$N$4,10,FALSE())</f>
        <v/>
      </c>
      <c r="I254">
        <f>VLOOKUP(C254,Recipes!$A$2:$N$4,12,FALSE())</f>
        <v/>
      </c>
      <c r="J254">
        <f>IF(G254="","",H254-G254)</f>
        <v/>
      </c>
      <c r="K254">
        <f>IF(G254="","",IF(VLOOKUP(C254,Recipes!$A$2:$N$4,4,FALSE())=0,-1E+300,-0.5*((J254-Components!$D$2)/Components!$E$2)^2))</f>
        <v/>
      </c>
      <c r="L254">
        <f>IF(G254="","",IF(VLOOKUP(C254,Recipes!$A$2:$N$4,5,FALSE())=0,-1E+300,-0.5*((J254-Components!$D$3)/Components!$E$3)^2))</f>
        <v/>
      </c>
      <c r="M254">
        <f>IF(G254="","",IF(VLOOKUP(C254,Recipes!$A$2:$N$4,6,FALSE())=0,-1E+300,-0.5*((J254-Components!$D$4)/Components!$E$4)^2))</f>
        <v/>
      </c>
      <c r="N254">
        <f>IF(G254="","",IF(VLOOKUP(C254,Recipes!$A$2:$N$4,7,FALSE())=0,-1E+300,-0.5*((J254-Components!$D$5)/Components!$E$5)^2))</f>
        <v/>
      </c>
      <c r="O254">
        <f>IF(G254="","",IF(VLOOKUP(C254,Recipes!$A$2:$N$4,8,FALSE())=0,-1E+300,-0.5*((J254-Components!$D$6)/Components!$E$6)^2))</f>
        <v/>
      </c>
      <c r="P254">
        <f>IF(G254="","",IF(VLOOKUP(C254,Recipes!$A$2:$N$4,9,FALSE())=0,-1E+300,-0.5*((J254-Components!$D$7)/Components!$E$7)^2))</f>
        <v/>
      </c>
      <c r="Q254">
        <f>IF(G254="","",EXP(LARGE(K254:P254,1)-MAX(K254:P254))/(EXP(K254-MAX(K254:P254))+EXP(L254-MAX(K254:P254))+EXP(M254-MAX(K254:P254))+EXP(N254-MAX(K254:P254))+EXP(O254-MAX(K254:P254))+EXP(P254-MAX(K254:P254))))</f>
        <v/>
      </c>
      <c r="R254">
        <f>IF(G254="","",EXP(LARGE(K254:P254,2)-MAX(K254:P254))/(EXP(K254-MAX(K254:P254))+EXP(L254-MAX(K254:P254))+EXP(M254-MAX(K254:P254))+EXP(N254-MAX(K254:P254))+EXP(O254-MAX(K254:P254))+EXP(P254-MAX(K254:P254))))</f>
        <v/>
      </c>
      <c r="S254">
        <f>IF(G254="","",Q254-R254)</f>
        <v/>
      </c>
      <c r="T254">
        <f>IF(G254="","",IF(ABS(G254-H254)&lt;=$B$6*I254,"OK","NG"))</f>
        <v/>
      </c>
      <c r="U254">
        <f>IF(T254="","",IF(T254=D254,1,0))</f>
        <v/>
      </c>
      <c r="V254">
        <f>IF(G254="","",IF(T254="OK","NONE",INDEX({"S1","S2","W1","W2","N1","N2"},MATCH(MAX(K254:P254),K254:P254,0))))</f>
        <v/>
      </c>
      <c r="W254">
        <f>IF(G254="","",IF(V254=E254,1,0))</f>
        <v/>
      </c>
      <c r="X254">
        <f>IF(G254="","",IF(AND(T254="NG",S254&lt;$B$7),"AMBIGUOUS","CONFIDENT"))</f>
        <v/>
      </c>
    </row>
    <row r="255">
      <c r="A255">
        <f>'Runs Z score'!A248</f>
        <v/>
      </c>
      <c r="B255">
        <f>'Runs Z score'!B248</f>
        <v/>
      </c>
      <c r="C255">
        <f>'Runs Z score'!C248</f>
        <v/>
      </c>
      <c r="D255">
        <f>'Runs Z score'!D248</f>
        <v/>
      </c>
      <c r="E255">
        <f>'Runs Z score'!E248</f>
        <v/>
      </c>
      <c r="F255">
        <f>'Runs Z score'!F248</f>
        <v/>
      </c>
      <c r="G255">
        <f>'Runs Z score'!G248</f>
        <v/>
      </c>
      <c r="H255">
        <f>VLOOKUP(C255,Recipes!$A$2:$N$4,10,FALSE())</f>
        <v/>
      </c>
      <c r="I255">
        <f>VLOOKUP(C255,Recipes!$A$2:$N$4,12,FALSE())</f>
        <v/>
      </c>
      <c r="J255">
        <f>IF(G255="","",H255-G255)</f>
        <v/>
      </c>
      <c r="K255">
        <f>IF(G255="","",IF(VLOOKUP(C255,Recipes!$A$2:$N$4,4,FALSE())=0,-1E+300,-0.5*((J255-Components!$D$2)/Components!$E$2)^2))</f>
        <v/>
      </c>
      <c r="L255">
        <f>IF(G255="","",IF(VLOOKUP(C255,Recipes!$A$2:$N$4,5,FALSE())=0,-1E+300,-0.5*((J255-Components!$D$3)/Components!$E$3)^2))</f>
        <v/>
      </c>
      <c r="M255">
        <f>IF(G255="","",IF(VLOOKUP(C255,Recipes!$A$2:$N$4,6,FALSE())=0,-1E+300,-0.5*((J255-Components!$D$4)/Components!$E$4)^2))</f>
        <v/>
      </c>
      <c r="N255">
        <f>IF(G255="","",IF(VLOOKUP(C255,Recipes!$A$2:$N$4,7,FALSE())=0,-1E+300,-0.5*((J255-Components!$D$5)/Components!$E$5)^2))</f>
        <v/>
      </c>
      <c r="O255">
        <f>IF(G255="","",IF(VLOOKUP(C255,Recipes!$A$2:$N$4,8,FALSE())=0,-1E+300,-0.5*((J255-Components!$D$6)/Components!$E$6)^2))</f>
        <v/>
      </c>
      <c r="P255">
        <f>IF(G255="","",IF(VLOOKUP(C255,Recipes!$A$2:$N$4,9,FALSE())=0,-1E+300,-0.5*((J255-Components!$D$7)/Components!$E$7)^2))</f>
        <v/>
      </c>
      <c r="Q255">
        <f>IF(G255="","",EXP(LARGE(K255:P255,1)-MAX(K255:P255))/(EXP(K255-MAX(K255:P255))+EXP(L255-MAX(K255:P255))+EXP(M255-MAX(K255:P255))+EXP(N255-MAX(K255:P255))+EXP(O255-MAX(K255:P255))+EXP(P255-MAX(K255:P255))))</f>
        <v/>
      </c>
      <c r="R255">
        <f>IF(G255="","",EXP(LARGE(K255:P255,2)-MAX(K255:P255))/(EXP(K255-MAX(K255:P255))+EXP(L255-MAX(K255:P255))+EXP(M255-MAX(K255:P255))+EXP(N255-MAX(K255:P255))+EXP(O255-MAX(K255:P255))+EXP(P255-MAX(K255:P255))))</f>
        <v/>
      </c>
      <c r="S255">
        <f>IF(G255="","",Q255-R255)</f>
        <v/>
      </c>
      <c r="T255">
        <f>IF(G255="","",IF(ABS(G255-H255)&lt;=$B$6*I255,"OK","NG"))</f>
        <v/>
      </c>
      <c r="U255">
        <f>IF(T255="","",IF(T255=D255,1,0))</f>
        <v/>
      </c>
      <c r="V255">
        <f>IF(G255="","",IF(T255="OK","NONE",INDEX({"S1","S2","W1","W2","N1","N2"},MATCH(MAX(K255:P255),K255:P255,0))))</f>
        <v/>
      </c>
      <c r="W255">
        <f>IF(G255="","",IF(V255=E255,1,0))</f>
        <v/>
      </c>
      <c r="X255">
        <f>IF(G255="","",IF(AND(T255="NG",S255&lt;$B$7),"AMBIGUOUS","CONFIDENT"))</f>
        <v/>
      </c>
    </row>
    <row r="256">
      <c r="A256">
        <f>'Runs Z score'!A249</f>
        <v/>
      </c>
      <c r="B256">
        <f>'Runs Z score'!B249</f>
        <v/>
      </c>
      <c r="C256">
        <f>'Runs Z score'!C249</f>
        <v/>
      </c>
      <c r="D256">
        <f>'Runs Z score'!D249</f>
        <v/>
      </c>
      <c r="E256">
        <f>'Runs Z score'!E249</f>
        <v/>
      </c>
      <c r="F256">
        <f>'Runs Z score'!F249</f>
        <v/>
      </c>
      <c r="G256">
        <f>'Runs Z score'!G249</f>
        <v/>
      </c>
      <c r="H256">
        <f>VLOOKUP(C256,Recipes!$A$2:$N$4,10,FALSE())</f>
        <v/>
      </c>
      <c r="I256">
        <f>VLOOKUP(C256,Recipes!$A$2:$N$4,12,FALSE())</f>
        <v/>
      </c>
      <c r="J256">
        <f>IF(G256="","",H256-G256)</f>
        <v/>
      </c>
      <c r="K256">
        <f>IF(G256="","",IF(VLOOKUP(C256,Recipes!$A$2:$N$4,4,FALSE())=0,-1E+300,-0.5*((J256-Components!$D$2)/Components!$E$2)^2))</f>
        <v/>
      </c>
      <c r="L256">
        <f>IF(G256="","",IF(VLOOKUP(C256,Recipes!$A$2:$N$4,5,FALSE())=0,-1E+300,-0.5*((J256-Components!$D$3)/Components!$E$3)^2))</f>
        <v/>
      </c>
      <c r="M256">
        <f>IF(G256="","",IF(VLOOKUP(C256,Recipes!$A$2:$N$4,6,FALSE())=0,-1E+300,-0.5*((J256-Components!$D$4)/Components!$E$4)^2))</f>
        <v/>
      </c>
      <c r="N256">
        <f>IF(G256="","",IF(VLOOKUP(C256,Recipes!$A$2:$N$4,7,FALSE())=0,-1E+300,-0.5*((J256-Components!$D$5)/Components!$E$5)^2))</f>
        <v/>
      </c>
      <c r="O256">
        <f>IF(G256="","",IF(VLOOKUP(C256,Recipes!$A$2:$N$4,8,FALSE())=0,-1E+300,-0.5*((J256-Components!$D$6)/Components!$E$6)^2))</f>
        <v/>
      </c>
      <c r="P256">
        <f>IF(G256="","",IF(VLOOKUP(C256,Recipes!$A$2:$N$4,9,FALSE())=0,-1E+300,-0.5*((J256-Components!$D$7)/Components!$E$7)^2))</f>
        <v/>
      </c>
      <c r="Q256">
        <f>IF(G256="","",EXP(LARGE(K256:P256,1)-MAX(K256:P256))/(EXP(K256-MAX(K256:P256))+EXP(L256-MAX(K256:P256))+EXP(M256-MAX(K256:P256))+EXP(N256-MAX(K256:P256))+EXP(O256-MAX(K256:P256))+EXP(P256-MAX(K256:P256))))</f>
        <v/>
      </c>
      <c r="R256">
        <f>IF(G256="","",EXP(LARGE(K256:P256,2)-MAX(K256:P256))/(EXP(K256-MAX(K256:P256))+EXP(L256-MAX(K256:P256))+EXP(M256-MAX(K256:P256))+EXP(N256-MAX(K256:P256))+EXP(O256-MAX(K256:P256))+EXP(P256-MAX(K256:P256))))</f>
        <v/>
      </c>
      <c r="S256">
        <f>IF(G256="","",Q256-R256)</f>
        <v/>
      </c>
      <c r="T256">
        <f>IF(G256="","",IF(ABS(G256-H256)&lt;=$B$6*I256,"OK","NG"))</f>
        <v/>
      </c>
      <c r="U256">
        <f>IF(T256="","",IF(T256=D256,1,0))</f>
        <v/>
      </c>
      <c r="V256">
        <f>IF(G256="","",IF(T256="OK","NONE",INDEX({"S1","S2","W1","W2","N1","N2"},MATCH(MAX(K256:P256),K256:P256,0))))</f>
        <v/>
      </c>
      <c r="W256">
        <f>IF(G256="","",IF(V256=E256,1,0))</f>
        <v/>
      </c>
      <c r="X256">
        <f>IF(G256="","",IF(AND(T256="NG",S256&lt;$B$7),"AMBIGUOUS","CONFIDENT"))</f>
        <v/>
      </c>
    </row>
    <row r="257">
      <c r="A257">
        <f>'Runs Z score'!A250</f>
        <v/>
      </c>
      <c r="B257">
        <f>'Runs Z score'!B250</f>
        <v/>
      </c>
      <c r="C257">
        <f>'Runs Z score'!C250</f>
        <v/>
      </c>
      <c r="D257">
        <f>'Runs Z score'!D250</f>
        <v/>
      </c>
      <c r="E257">
        <f>'Runs Z score'!E250</f>
        <v/>
      </c>
      <c r="F257">
        <f>'Runs Z score'!F250</f>
        <v/>
      </c>
      <c r="G257">
        <f>'Runs Z score'!G250</f>
        <v/>
      </c>
      <c r="H257">
        <f>VLOOKUP(C257,Recipes!$A$2:$N$4,10,FALSE())</f>
        <v/>
      </c>
      <c r="I257">
        <f>VLOOKUP(C257,Recipes!$A$2:$N$4,12,FALSE())</f>
        <v/>
      </c>
      <c r="J257">
        <f>IF(G257="","",H257-G257)</f>
        <v/>
      </c>
      <c r="K257">
        <f>IF(G257="","",IF(VLOOKUP(C257,Recipes!$A$2:$N$4,4,FALSE())=0,-1E+300,-0.5*((J257-Components!$D$2)/Components!$E$2)^2))</f>
        <v/>
      </c>
      <c r="L257">
        <f>IF(G257="","",IF(VLOOKUP(C257,Recipes!$A$2:$N$4,5,FALSE())=0,-1E+300,-0.5*((J257-Components!$D$3)/Components!$E$3)^2))</f>
        <v/>
      </c>
      <c r="M257">
        <f>IF(G257="","",IF(VLOOKUP(C257,Recipes!$A$2:$N$4,6,FALSE())=0,-1E+300,-0.5*((J257-Components!$D$4)/Components!$E$4)^2))</f>
        <v/>
      </c>
      <c r="N257">
        <f>IF(G257="","",IF(VLOOKUP(C257,Recipes!$A$2:$N$4,7,FALSE())=0,-1E+300,-0.5*((J257-Components!$D$5)/Components!$E$5)^2))</f>
        <v/>
      </c>
      <c r="O257">
        <f>IF(G257="","",IF(VLOOKUP(C257,Recipes!$A$2:$N$4,8,FALSE())=0,-1E+300,-0.5*((J257-Components!$D$6)/Components!$E$6)^2))</f>
        <v/>
      </c>
      <c r="P257">
        <f>IF(G257="","",IF(VLOOKUP(C257,Recipes!$A$2:$N$4,9,FALSE())=0,-1E+300,-0.5*((J257-Components!$D$7)/Components!$E$7)^2))</f>
        <v/>
      </c>
      <c r="Q257">
        <f>IF(G257="","",EXP(LARGE(K257:P257,1)-MAX(K257:P257))/(EXP(K257-MAX(K257:P257))+EXP(L257-MAX(K257:P257))+EXP(M257-MAX(K257:P257))+EXP(N257-MAX(K257:P257))+EXP(O257-MAX(K257:P257))+EXP(P257-MAX(K257:P257))))</f>
        <v/>
      </c>
      <c r="R257">
        <f>IF(G257="","",EXP(LARGE(K257:P257,2)-MAX(K257:P257))/(EXP(K257-MAX(K257:P257))+EXP(L257-MAX(K257:P257))+EXP(M257-MAX(K257:P257))+EXP(N257-MAX(K257:P257))+EXP(O257-MAX(K257:P257))+EXP(P257-MAX(K257:P257))))</f>
        <v/>
      </c>
      <c r="S257">
        <f>IF(G257="","",Q257-R257)</f>
        <v/>
      </c>
      <c r="T257">
        <f>IF(G257="","",IF(ABS(G257-H257)&lt;=$B$6*I257,"OK","NG"))</f>
        <v/>
      </c>
      <c r="U257">
        <f>IF(T257="","",IF(T257=D257,1,0))</f>
        <v/>
      </c>
      <c r="V257">
        <f>IF(G257="","",IF(T257="OK","NONE",INDEX({"S1","S2","W1","W2","N1","N2"},MATCH(MAX(K257:P257),K257:P257,0))))</f>
        <v/>
      </c>
      <c r="W257">
        <f>IF(G257="","",IF(V257=E257,1,0))</f>
        <v/>
      </c>
      <c r="X257">
        <f>IF(G257="","",IF(AND(T257="NG",S257&lt;$B$7),"AMBIGUOUS","CONFIDENT"))</f>
        <v/>
      </c>
    </row>
    <row r="258">
      <c r="A258">
        <f>'Runs Z score'!A251</f>
        <v/>
      </c>
      <c r="B258">
        <f>'Runs Z score'!B251</f>
        <v/>
      </c>
      <c r="C258">
        <f>'Runs Z score'!C251</f>
        <v/>
      </c>
      <c r="D258">
        <f>'Runs Z score'!D251</f>
        <v/>
      </c>
      <c r="E258">
        <f>'Runs Z score'!E251</f>
        <v/>
      </c>
      <c r="F258">
        <f>'Runs Z score'!F251</f>
        <v/>
      </c>
      <c r="G258">
        <f>'Runs Z score'!G251</f>
        <v/>
      </c>
      <c r="H258">
        <f>VLOOKUP(C258,Recipes!$A$2:$N$4,10,FALSE())</f>
        <v/>
      </c>
      <c r="I258">
        <f>VLOOKUP(C258,Recipes!$A$2:$N$4,12,FALSE())</f>
        <v/>
      </c>
      <c r="J258">
        <f>IF(G258="","",H258-G258)</f>
        <v/>
      </c>
      <c r="K258">
        <f>IF(G258="","",IF(VLOOKUP(C258,Recipes!$A$2:$N$4,4,FALSE())=0,-1E+300,-0.5*((J258-Components!$D$2)/Components!$E$2)^2))</f>
        <v/>
      </c>
      <c r="L258">
        <f>IF(G258="","",IF(VLOOKUP(C258,Recipes!$A$2:$N$4,5,FALSE())=0,-1E+300,-0.5*((J258-Components!$D$3)/Components!$E$3)^2))</f>
        <v/>
      </c>
      <c r="M258">
        <f>IF(G258="","",IF(VLOOKUP(C258,Recipes!$A$2:$N$4,6,FALSE())=0,-1E+300,-0.5*((J258-Components!$D$4)/Components!$E$4)^2))</f>
        <v/>
      </c>
      <c r="N258">
        <f>IF(G258="","",IF(VLOOKUP(C258,Recipes!$A$2:$N$4,7,FALSE())=0,-1E+300,-0.5*((J258-Components!$D$5)/Components!$E$5)^2))</f>
        <v/>
      </c>
      <c r="O258">
        <f>IF(G258="","",IF(VLOOKUP(C258,Recipes!$A$2:$N$4,8,FALSE())=0,-1E+300,-0.5*((J258-Components!$D$6)/Components!$E$6)^2))</f>
        <v/>
      </c>
      <c r="P258">
        <f>IF(G258="","",IF(VLOOKUP(C258,Recipes!$A$2:$N$4,9,FALSE())=0,-1E+300,-0.5*((J258-Components!$D$7)/Components!$E$7)^2))</f>
        <v/>
      </c>
      <c r="Q258">
        <f>IF(G258="","",EXP(LARGE(K258:P258,1)-MAX(K258:P258))/(EXP(K258-MAX(K258:P258))+EXP(L258-MAX(K258:P258))+EXP(M258-MAX(K258:P258))+EXP(N258-MAX(K258:P258))+EXP(O258-MAX(K258:P258))+EXP(P258-MAX(K258:P258))))</f>
        <v/>
      </c>
      <c r="R258">
        <f>IF(G258="","",EXP(LARGE(K258:P258,2)-MAX(K258:P258))/(EXP(K258-MAX(K258:P258))+EXP(L258-MAX(K258:P258))+EXP(M258-MAX(K258:P258))+EXP(N258-MAX(K258:P258))+EXP(O258-MAX(K258:P258))+EXP(P258-MAX(K258:P258))))</f>
        <v/>
      </c>
      <c r="S258">
        <f>IF(G258="","",Q258-R258)</f>
        <v/>
      </c>
      <c r="T258">
        <f>IF(G258="","",IF(ABS(G258-H258)&lt;=$B$6*I258,"OK","NG"))</f>
        <v/>
      </c>
      <c r="U258">
        <f>IF(T258="","",IF(T258=D258,1,0))</f>
        <v/>
      </c>
      <c r="V258">
        <f>IF(G258="","",IF(T258="OK","NONE",INDEX({"S1","S2","W1","W2","N1","N2"},MATCH(MAX(K258:P258),K258:P258,0))))</f>
        <v/>
      </c>
      <c r="W258">
        <f>IF(G258="","",IF(V258=E258,1,0))</f>
        <v/>
      </c>
      <c r="X258">
        <f>IF(G258="","",IF(AND(T258="NG",S258&lt;$B$7),"AMBIGUOUS","CONFIDENT"))</f>
        <v/>
      </c>
    </row>
    <row r="259">
      <c r="A259">
        <f>'Runs Z score'!A252</f>
        <v/>
      </c>
      <c r="B259">
        <f>'Runs Z score'!B252</f>
        <v/>
      </c>
      <c r="C259">
        <f>'Runs Z score'!C252</f>
        <v/>
      </c>
      <c r="D259">
        <f>'Runs Z score'!D252</f>
        <v/>
      </c>
      <c r="E259">
        <f>'Runs Z score'!E252</f>
        <v/>
      </c>
      <c r="F259">
        <f>'Runs Z score'!F252</f>
        <v/>
      </c>
      <c r="G259">
        <f>'Runs Z score'!G252</f>
        <v/>
      </c>
      <c r="H259">
        <f>VLOOKUP(C259,Recipes!$A$2:$N$4,10,FALSE())</f>
        <v/>
      </c>
      <c r="I259">
        <f>VLOOKUP(C259,Recipes!$A$2:$N$4,12,FALSE())</f>
        <v/>
      </c>
      <c r="J259">
        <f>IF(G259="","",H259-G259)</f>
        <v/>
      </c>
      <c r="K259">
        <f>IF(G259="","",IF(VLOOKUP(C259,Recipes!$A$2:$N$4,4,FALSE())=0,-1E+300,-0.5*((J259-Components!$D$2)/Components!$E$2)^2))</f>
        <v/>
      </c>
      <c r="L259">
        <f>IF(G259="","",IF(VLOOKUP(C259,Recipes!$A$2:$N$4,5,FALSE())=0,-1E+300,-0.5*((J259-Components!$D$3)/Components!$E$3)^2))</f>
        <v/>
      </c>
      <c r="M259">
        <f>IF(G259="","",IF(VLOOKUP(C259,Recipes!$A$2:$N$4,6,FALSE())=0,-1E+300,-0.5*((J259-Components!$D$4)/Components!$E$4)^2))</f>
        <v/>
      </c>
      <c r="N259">
        <f>IF(G259="","",IF(VLOOKUP(C259,Recipes!$A$2:$N$4,7,FALSE())=0,-1E+300,-0.5*((J259-Components!$D$5)/Components!$E$5)^2))</f>
        <v/>
      </c>
      <c r="O259">
        <f>IF(G259="","",IF(VLOOKUP(C259,Recipes!$A$2:$N$4,8,FALSE())=0,-1E+300,-0.5*((J259-Components!$D$6)/Components!$E$6)^2))</f>
        <v/>
      </c>
      <c r="P259">
        <f>IF(G259="","",IF(VLOOKUP(C259,Recipes!$A$2:$N$4,9,FALSE())=0,-1E+300,-0.5*((J259-Components!$D$7)/Components!$E$7)^2))</f>
        <v/>
      </c>
      <c r="Q259">
        <f>IF(G259="","",EXP(LARGE(K259:P259,1)-MAX(K259:P259))/(EXP(K259-MAX(K259:P259))+EXP(L259-MAX(K259:P259))+EXP(M259-MAX(K259:P259))+EXP(N259-MAX(K259:P259))+EXP(O259-MAX(K259:P259))+EXP(P259-MAX(K259:P259))))</f>
        <v/>
      </c>
      <c r="R259">
        <f>IF(G259="","",EXP(LARGE(K259:P259,2)-MAX(K259:P259))/(EXP(K259-MAX(K259:P259))+EXP(L259-MAX(K259:P259))+EXP(M259-MAX(K259:P259))+EXP(N259-MAX(K259:P259))+EXP(O259-MAX(K259:P259))+EXP(P259-MAX(K259:P259))))</f>
        <v/>
      </c>
      <c r="S259">
        <f>IF(G259="","",Q259-R259)</f>
        <v/>
      </c>
      <c r="T259">
        <f>IF(G259="","",IF(ABS(G259-H259)&lt;=$B$6*I259,"OK","NG"))</f>
        <v/>
      </c>
      <c r="U259">
        <f>IF(T259="","",IF(T259=D259,1,0))</f>
        <v/>
      </c>
      <c r="V259">
        <f>IF(G259="","",IF(T259="OK","NONE",INDEX({"S1","S2","W1","W2","N1","N2"},MATCH(MAX(K259:P259),K259:P259,0))))</f>
        <v/>
      </c>
      <c r="W259">
        <f>IF(G259="","",IF(V259=E259,1,0))</f>
        <v/>
      </c>
      <c r="X259">
        <f>IF(G259="","",IF(AND(T259="NG",S259&lt;$B$7),"AMBIGUOUS","CONFIDENT"))</f>
        <v/>
      </c>
    </row>
    <row r="260">
      <c r="A260">
        <f>'Runs Z score'!A253</f>
        <v/>
      </c>
      <c r="B260">
        <f>'Runs Z score'!B253</f>
        <v/>
      </c>
      <c r="C260">
        <f>'Runs Z score'!C253</f>
        <v/>
      </c>
      <c r="D260">
        <f>'Runs Z score'!D253</f>
        <v/>
      </c>
      <c r="E260">
        <f>'Runs Z score'!E253</f>
        <v/>
      </c>
      <c r="F260">
        <f>'Runs Z score'!F253</f>
        <v/>
      </c>
      <c r="G260">
        <f>'Runs Z score'!G253</f>
        <v/>
      </c>
      <c r="H260">
        <f>VLOOKUP(C260,Recipes!$A$2:$N$4,10,FALSE())</f>
        <v/>
      </c>
      <c r="I260">
        <f>VLOOKUP(C260,Recipes!$A$2:$N$4,12,FALSE())</f>
        <v/>
      </c>
      <c r="J260">
        <f>IF(G260="","",H260-G260)</f>
        <v/>
      </c>
      <c r="K260">
        <f>IF(G260="","",IF(VLOOKUP(C260,Recipes!$A$2:$N$4,4,FALSE())=0,-1E+300,-0.5*((J260-Components!$D$2)/Components!$E$2)^2))</f>
        <v/>
      </c>
      <c r="L260">
        <f>IF(G260="","",IF(VLOOKUP(C260,Recipes!$A$2:$N$4,5,FALSE())=0,-1E+300,-0.5*((J260-Components!$D$3)/Components!$E$3)^2))</f>
        <v/>
      </c>
      <c r="M260">
        <f>IF(G260="","",IF(VLOOKUP(C260,Recipes!$A$2:$N$4,6,FALSE())=0,-1E+300,-0.5*((J260-Components!$D$4)/Components!$E$4)^2))</f>
        <v/>
      </c>
      <c r="N260">
        <f>IF(G260="","",IF(VLOOKUP(C260,Recipes!$A$2:$N$4,7,FALSE())=0,-1E+300,-0.5*((J260-Components!$D$5)/Components!$E$5)^2))</f>
        <v/>
      </c>
      <c r="O260">
        <f>IF(G260="","",IF(VLOOKUP(C260,Recipes!$A$2:$N$4,8,FALSE())=0,-1E+300,-0.5*((J260-Components!$D$6)/Components!$E$6)^2))</f>
        <v/>
      </c>
      <c r="P260">
        <f>IF(G260="","",IF(VLOOKUP(C260,Recipes!$A$2:$N$4,9,FALSE())=0,-1E+300,-0.5*((J260-Components!$D$7)/Components!$E$7)^2))</f>
        <v/>
      </c>
      <c r="Q260">
        <f>IF(G260="","",EXP(LARGE(K260:P260,1)-MAX(K260:P260))/(EXP(K260-MAX(K260:P260))+EXP(L260-MAX(K260:P260))+EXP(M260-MAX(K260:P260))+EXP(N260-MAX(K260:P260))+EXP(O260-MAX(K260:P260))+EXP(P260-MAX(K260:P260))))</f>
        <v/>
      </c>
      <c r="R260">
        <f>IF(G260="","",EXP(LARGE(K260:P260,2)-MAX(K260:P260))/(EXP(K260-MAX(K260:P260))+EXP(L260-MAX(K260:P260))+EXP(M260-MAX(K260:P260))+EXP(N260-MAX(K260:P260))+EXP(O260-MAX(K260:P260))+EXP(P260-MAX(K260:P260))))</f>
        <v/>
      </c>
      <c r="S260">
        <f>IF(G260="","",Q260-R260)</f>
        <v/>
      </c>
      <c r="T260">
        <f>IF(G260="","",IF(ABS(G260-H260)&lt;=$B$6*I260,"OK","NG"))</f>
        <v/>
      </c>
      <c r="U260">
        <f>IF(T260="","",IF(T260=D260,1,0))</f>
        <v/>
      </c>
      <c r="V260">
        <f>IF(G260="","",IF(T260="OK","NONE",INDEX({"S1","S2","W1","W2","N1","N2"},MATCH(MAX(K260:P260),K260:P260,0))))</f>
        <v/>
      </c>
      <c r="W260">
        <f>IF(G260="","",IF(V260=E260,1,0))</f>
        <v/>
      </c>
      <c r="X260">
        <f>IF(G260="","",IF(AND(T260="NG",S260&lt;$B$7),"AMBIGUOUS","CONFIDENT"))</f>
        <v/>
      </c>
    </row>
    <row r="261">
      <c r="A261">
        <f>'Runs Z score'!A254</f>
        <v/>
      </c>
      <c r="B261">
        <f>'Runs Z score'!B254</f>
        <v/>
      </c>
      <c r="C261">
        <f>'Runs Z score'!C254</f>
        <v/>
      </c>
      <c r="D261">
        <f>'Runs Z score'!D254</f>
        <v/>
      </c>
      <c r="E261">
        <f>'Runs Z score'!E254</f>
        <v/>
      </c>
      <c r="F261">
        <f>'Runs Z score'!F254</f>
        <v/>
      </c>
      <c r="G261">
        <f>'Runs Z score'!G254</f>
        <v/>
      </c>
      <c r="H261">
        <f>VLOOKUP(C261,Recipes!$A$2:$N$4,10,FALSE())</f>
        <v/>
      </c>
      <c r="I261">
        <f>VLOOKUP(C261,Recipes!$A$2:$N$4,12,FALSE())</f>
        <v/>
      </c>
      <c r="J261">
        <f>IF(G261="","",H261-G261)</f>
        <v/>
      </c>
      <c r="K261">
        <f>IF(G261="","",IF(VLOOKUP(C261,Recipes!$A$2:$N$4,4,FALSE())=0,-1E+300,-0.5*((J261-Components!$D$2)/Components!$E$2)^2))</f>
        <v/>
      </c>
      <c r="L261">
        <f>IF(G261="","",IF(VLOOKUP(C261,Recipes!$A$2:$N$4,5,FALSE())=0,-1E+300,-0.5*((J261-Components!$D$3)/Components!$E$3)^2))</f>
        <v/>
      </c>
      <c r="M261">
        <f>IF(G261="","",IF(VLOOKUP(C261,Recipes!$A$2:$N$4,6,FALSE())=0,-1E+300,-0.5*((J261-Components!$D$4)/Components!$E$4)^2))</f>
        <v/>
      </c>
      <c r="N261">
        <f>IF(G261="","",IF(VLOOKUP(C261,Recipes!$A$2:$N$4,7,FALSE())=0,-1E+300,-0.5*((J261-Components!$D$5)/Components!$E$5)^2))</f>
        <v/>
      </c>
      <c r="O261">
        <f>IF(G261="","",IF(VLOOKUP(C261,Recipes!$A$2:$N$4,8,FALSE())=0,-1E+300,-0.5*((J261-Components!$D$6)/Components!$E$6)^2))</f>
        <v/>
      </c>
      <c r="P261">
        <f>IF(G261="","",IF(VLOOKUP(C261,Recipes!$A$2:$N$4,9,FALSE())=0,-1E+300,-0.5*((J261-Components!$D$7)/Components!$E$7)^2))</f>
        <v/>
      </c>
      <c r="Q261">
        <f>IF(G261="","",EXP(LARGE(K261:P261,1)-MAX(K261:P261))/(EXP(K261-MAX(K261:P261))+EXP(L261-MAX(K261:P261))+EXP(M261-MAX(K261:P261))+EXP(N261-MAX(K261:P261))+EXP(O261-MAX(K261:P261))+EXP(P261-MAX(K261:P261))))</f>
        <v/>
      </c>
      <c r="R261">
        <f>IF(G261="","",EXP(LARGE(K261:P261,2)-MAX(K261:P261))/(EXP(K261-MAX(K261:P261))+EXP(L261-MAX(K261:P261))+EXP(M261-MAX(K261:P261))+EXP(N261-MAX(K261:P261))+EXP(O261-MAX(K261:P261))+EXP(P261-MAX(K261:P261))))</f>
        <v/>
      </c>
      <c r="S261">
        <f>IF(G261="","",Q261-R261)</f>
        <v/>
      </c>
      <c r="T261">
        <f>IF(G261="","",IF(ABS(G261-H261)&lt;=$B$6*I261,"OK","NG"))</f>
        <v/>
      </c>
      <c r="U261">
        <f>IF(T261="","",IF(T261=D261,1,0))</f>
        <v/>
      </c>
      <c r="V261">
        <f>IF(G261="","",IF(T261="OK","NONE",INDEX({"S1","S2","W1","W2","N1","N2"},MATCH(MAX(K261:P261),K261:P261,0))))</f>
        <v/>
      </c>
      <c r="W261">
        <f>IF(G261="","",IF(V261=E261,1,0))</f>
        <v/>
      </c>
      <c r="X261">
        <f>IF(G261="","",IF(AND(T261="NG",S261&lt;$B$7),"AMBIGUOUS","CONFIDENT"))</f>
        <v/>
      </c>
    </row>
    <row r="262">
      <c r="A262">
        <f>'Runs Z score'!A255</f>
        <v/>
      </c>
      <c r="B262">
        <f>'Runs Z score'!B255</f>
        <v/>
      </c>
      <c r="C262">
        <f>'Runs Z score'!C255</f>
        <v/>
      </c>
      <c r="D262">
        <f>'Runs Z score'!D255</f>
        <v/>
      </c>
      <c r="E262">
        <f>'Runs Z score'!E255</f>
        <v/>
      </c>
      <c r="F262">
        <f>'Runs Z score'!F255</f>
        <v/>
      </c>
      <c r="G262">
        <f>'Runs Z score'!G255</f>
        <v/>
      </c>
      <c r="H262">
        <f>VLOOKUP(C262,Recipes!$A$2:$N$4,10,FALSE())</f>
        <v/>
      </c>
      <c r="I262">
        <f>VLOOKUP(C262,Recipes!$A$2:$N$4,12,FALSE())</f>
        <v/>
      </c>
      <c r="J262">
        <f>IF(G262="","",H262-G262)</f>
        <v/>
      </c>
      <c r="K262">
        <f>IF(G262="","",IF(VLOOKUP(C262,Recipes!$A$2:$N$4,4,FALSE())=0,-1E+300,-0.5*((J262-Components!$D$2)/Components!$E$2)^2))</f>
        <v/>
      </c>
      <c r="L262">
        <f>IF(G262="","",IF(VLOOKUP(C262,Recipes!$A$2:$N$4,5,FALSE())=0,-1E+300,-0.5*((J262-Components!$D$3)/Components!$E$3)^2))</f>
        <v/>
      </c>
      <c r="M262">
        <f>IF(G262="","",IF(VLOOKUP(C262,Recipes!$A$2:$N$4,6,FALSE())=0,-1E+300,-0.5*((J262-Components!$D$4)/Components!$E$4)^2))</f>
        <v/>
      </c>
      <c r="N262">
        <f>IF(G262="","",IF(VLOOKUP(C262,Recipes!$A$2:$N$4,7,FALSE())=0,-1E+300,-0.5*((J262-Components!$D$5)/Components!$E$5)^2))</f>
        <v/>
      </c>
      <c r="O262">
        <f>IF(G262="","",IF(VLOOKUP(C262,Recipes!$A$2:$N$4,8,FALSE())=0,-1E+300,-0.5*((J262-Components!$D$6)/Components!$E$6)^2))</f>
        <v/>
      </c>
      <c r="P262">
        <f>IF(G262="","",IF(VLOOKUP(C262,Recipes!$A$2:$N$4,9,FALSE())=0,-1E+300,-0.5*((J262-Components!$D$7)/Components!$E$7)^2))</f>
        <v/>
      </c>
      <c r="Q262">
        <f>IF(G262="","",EXP(LARGE(K262:P262,1)-MAX(K262:P262))/(EXP(K262-MAX(K262:P262))+EXP(L262-MAX(K262:P262))+EXP(M262-MAX(K262:P262))+EXP(N262-MAX(K262:P262))+EXP(O262-MAX(K262:P262))+EXP(P262-MAX(K262:P262))))</f>
        <v/>
      </c>
      <c r="R262">
        <f>IF(G262="","",EXP(LARGE(K262:P262,2)-MAX(K262:P262))/(EXP(K262-MAX(K262:P262))+EXP(L262-MAX(K262:P262))+EXP(M262-MAX(K262:P262))+EXP(N262-MAX(K262:P262))+EXP(O262-MAX(K262:P262))+EXP(P262-MAX(K262:P262))))</f>
        <v/>
      </c>
      <c r="S262">
        <f>IF(G262="","",Q262-R262)</f>
        <v/>
      </c>
      <c r="T262">
        <f>IF(G262="","",IF(ABS(G262-H262)&lt;=$B$6*I262,"OK","NG"))</f>
        <v/>
      </c>
      <c r="U262">
        <f>IF(T262="","",IF(T262=D262,1,0))</f>
        <v/>
      </c>
      <c r="V262">
        <f>IF(G262="","",IF(T262="OK","NONE",INDEX({"S1","S2","W1","W2","N1","N2"},MATCH(MAX(K262:P262),K262:P262,0))))</f>
        <v/>
      </c>
      <c r="W262">
        <f>IF(G262="","",IF(V262=E262,1,0))</f>
        <v/>
      </c>
      <c r="X262">
        <f>IF(G262="","",IF(AND(T262="NG",S262&lt;$B$7),"AMBIGUOUS","CONFIDENT"))</f>
        <v/>
      </c>
    </row>
    <row r="263">
      <c r="A263">
        <f>'Runs Z score'!A256</f>
        <v/>
      </c>
      <c r="B263">
        <f>'Runs Z score'!B256</f>
        <v/>
      </c>
      <c r="C263">
        <f>'Runs Z score'!C256</f>
        <v/>
      </c>
      <c r="D263">
        <f>'Runs Z score'!D256</f>
        <v/>
      </c>
      <c r="E263">
        <f>'Runs Z score'!E256</f>
        <v/>
      </c>
      <c r="F263">
        <f>'Runs Z score'!F256</f>
        <v/>
      </c>
      <c r="G263">
        <f>'Runs Z score'!G256</f>
        <v/>
      </c>
      <c r="H263">
        <f>VLOOKUP(C263,Recipes!$A$2:$N$4,10,FALSE())</f>
        <v/>
      </c>
      <c r="I263">
        <f>VLOOKUP(C263,Recipes!$A$2:$N$4,12,FALSE())</f>
        <v/>
      </c>
      <c r="J263">
        <f>IF(G263="","",H263-G263)</f>
        <v/>
      </c>
      <c r="K263">
        <f>IF(G263="","",IF(VLOOKUP(C263,Recipes!$A$2:$N$4,4,FALSE())=0,-1E+300,-0.5*((J263-Components!$D$2)/Components!$E$2)^2))</f>
        <v/>
      </c>
      <c r="L263">
        <f>IF(G263="","",IF(VLOOKUP(C263,Recipes!$A$2:$N$4,5,FALSE())=0,-1E+300,-0.5*((J263-Components!$D$3)/Components!$E$3)^2))</f>
        <v/>
      </c>
      <c r="M263">
        <f>IF(G263="","",IF(VLOOKUP(C263,Recipes!$A$2:$N$4,6,FALSE())=0,-1E+300,-0.5*((J263-Components!$D$4)/Components!$E$4)^2))</f>
        <v/>
      </c>
      <c r="N263">
        <f>IF(G263="","",IF(VLOOKUP(C263,Recipes!$A$2:$N$4,7,FALSE())=0,-1E+300,-0.5*((J263-Components!$D$5)/Components!$E$5)^2))</f>
        <v/>
      </c>
      <c r="O263">
        <f>IF(G263="","",IF(VLOOKUP(C263,Recipes!$A$2:$N$4,8,FALSE())=0,-1E+300,-0.5*((J263-Components!$D$6)/Components!$E$6)^2))</f>
        <v/>
      </c>
      <c r="P263">
        <f>IF(G263="","",IF(VLOOKUP(C263,Recipes!$A$2:$N$4,9,FALSE())=0,-1E+300,-0.5*((J263-Components!$D$7)/Components!$E$7)^2))</f>
        <v/>
      </c>
      <c r="Q263">
        <f>IF(G263="","",EXP(LARGE(K263:P263,1)-MAX(K263:P263))/(EXP(K263-MAX(K263:P263))+EXP(L263-MAX(K263:P263))+EXP(M263-MAX(K263:P263))+EXP(N263-MAX(K263:P263))+EXP(O263-MAX(K263:P263))+EXP(P263-MAX(K263:P263))))</f>
        <v/>
      </c>
      <c r="R263">
        <f>IF(G263="","",EXP(LARGE(K263:P263,2)-MAX(K263:P263))/(EXP(K263-MAX(K263:P263))+EXP(L263-MAX(K263:P263))+EXP(M263-MAX(K263:P263))+EXP(N263-MAX(K263:P263))+EXP(O263-MAX(K263:P263))+EXP(P263-MAX(K263:P263))))</f>
        <v/>
      </c>
      <c r="S263">
        <f>IF(G263="","",Q263-R263)</f>
        <v/>
      </c>
      <c r="T263">
        <f>IF(G263="","",IF(ABS(G263-H263)&lt;=$B$6*I263,"OK","NG"))</f>
        <v/>
      </c>
      <c r="U263">
        <f>IF(T263="","",IF(T263=D263,1,0))</f>
        <v/>
      </c>
      <c r="V263">
        <f>IF(G263="","",IF(T263="OK","NONE",INDEX({"S1","S2","W1","W2","N1","N2"},MATCH(MAX(K263:P263),K263:P263,0))))</f>
        <v/>
      </c>
      <c r="W263">
        <f>IF(G263="","",IF(V263=E263,1,0))</f>
        <v/>
      </c>
      <c r="X263">
        <f>IF(G263="","",IF(AND(T263="NG",S263&lt;$B$7),"AMBIGUOUS","CONFIDENT"))</f>
        <v/>
      </c>
    </row>
    <row r="264">
      <c r="A264">
        <f>'Runs Z score'!A257</f>
        <v/>
      </c>
      <c r="B264">
        <f>'Runs Z score'!B257</f>
        <v/>
      </c>
      <c r="C264">
        <f>'Runs Z score'!C257</f>
        <v/>
      </c>
      <c r="D264">
        <f>'Runs Z score'!D257</f>
        <v/>
      </c>
      <c r="E264">
        <f>'Runs Z score'!E257</f>
        <v/>
      </c>
      <c r="F264">
        <f>'Runs Z score'!F257</f>
        <v/>
      </c>
      <c r="G264">
        <f>'Runs Z score'!G257</f>
        <v/>
      </c>
      <c r="H264">
        <f>VLOOKUP(C264,Recipes!$A$2:$N$4,10,FALSE())</f>
        <v/>
      </c>
      <c r="I264">
        <f>VLOOKUP(C264,Recipes!$A$2:$N$4,12,FALSE())</f>
        <v/>
      </c>
      <c r="J264">
        <f>IF(G264="","",H264-G264)</f>
        <v/>
      </c>
      <c r="K264">
        <f>IF(G264="","",IF(VLOOKUP(C264,Recipes!$A$2:$N$4,4,FALSE())=0,-1E+300,-0.5*((J264-Components!$D$2)/Components!$E$2)^2))</f>
        <v/>
      </c>
      <c r="L264">
        <f>IF(G264="","",IF(VLOOKUP(C264,Recipes!$A$2:$N$4,5,FALSE())=0,-1E+300,-0.5*((J264-Components!$D$3)/Components!$E$3)^2))</f>
        <v/>
      </c>
      <c r="M264">
        <f>IF(G264="","",IF(VLOOKUP(C264,Recipes!$A$2:$N$4,6,FALSE())=0,-1E+300,-0.5*((J264-Components!$D$4)/Components!$E$4)^2))</f>
        <v/>
      </c>
      <c r="N264">
        <f>IF(G264="","",IF(VLOOKUP(C264,Recipes!$A$2:$N$4,7,FALSE())=0,-1E+300,-0.5*((J264-Components!$D$5)/Components!$E$5)^2))</f>
        <v/>
      </c>
      <c r="O264">
        <f>IF(G264="","",IF(VLOOKUP(C264,Recipes!$A$2:$N$4,8,FALSE())=0,-1E+300,-0.5*((J264-Components!$D$6)/Components!$E$6)^2))</f>
        <v/>
      </c>
      <c r="P264">
        <f>IF(G264="","",IF(VLOOKUP(C264,Recipes!$A$2:$N$4,9,FALSE())=0,-1E+300,-0.5*((J264-Components!$D$7)/Components!$E$7)^2))</f>
        <v/>
      </c>
      <c r="Q264">
        <f>IF(G264="","",EXP(LARGE(K264:P264,1)-MAX(K264:P264))/(EXP(K264-MAX(K264:P264))+EXP(L264-MAX(K264:P264))+EXP(M264-MAX(K264:P264))+EXP(N264-MAX(K264:P264))+EXP(O264-MAX(K264:P264))+EXP(P264-MAX(K264:P264))))</f>
        <v/>
      </c>
      <c r="R264">
        <f>IF(G264="","",EXP(LARGE(K264:P264,2)-MAX(K264:P264))/(EXP(K264-MAX(K264:P264))+EXP(L264-MAX(K264:P264))+EXP(M264-MAX(K264:P264))+EXP(N264-MAX(K264:P264))+EXP(O264-MAX(K264:P264))+EXP(P264-MAX(K264:P264))))</f>
        <v/>
      </c>
      <c r="S264">
        <f>IF(G264="","",Q264-R264)</f>
        <v/>
      </c>
      <c r="T264">
        <f>IF(G264="","",IF(ABS(G264-H264)&lt;=$B$6*I264,"OK","NG"))</f>
        <v/>
      </c>
      <c r="U264">
        <f>IF(T264="","",IF(T264=D264,1,0))</f>
        <v/>
      </c>
      <c r="V264">
        <f>IF(G264="","",IF(T264="OK","NONE",INDEX({"S1","S2","W1","W2","N1","N2"},MATCH(MAX(K264:P264),K264:P264,0))))</f>
        <v/>
      </c>
      <c r="W264">
        <f>IF(G264="","",IF(V264=E264,1,0))</f>
        <v/>
      </c>
      <c r="X264">
        <f>IF(G264="","",IF(AND(T264="NG",S264&lt;$B$7),"AMBIGUOUS","CONFIDENT"))</f>
        <v/>
      </c>
    </row>
    <row r="265">
      <c r="A265">
        <f>'Runs Z score'!A258</f>
        <v/>
      </c>
      <c r="B265">
        <f>'Runs Z score'!B258</f>
        <v/>
      </c>
      <c r="C265">
        <f>'Runs Z score'!C258</f>
        <v/>
      </c>
      <c r="D265">
        <f>'Runs Z score'!D258</f>
        <v/>
      </c>
      <c r="E265">
        <f>'Runs Z score'!E258</f>
        <v/>
      </c>
      <c r="F265">
        <f>'Runs Z score'!F258</f>
        <v/>
      </c>
      <c r="G265">
        <f>'Runs Z score'!G258</f>
        <v/>
      </c>
      <c r="H265">
        <f>VLOOKUP(C265,Recipes!$A$2:$N$4,10,FALSE())</f>
        <v/>
      </c>
      <c r="I265">
        <f>VLOOKUP(C265,Recipes!$A$2:$N$4,12,FALSE())</f>
        <v/>
      </c>
      <c r="J265">
        <f>IF(G265="","",H265-G265)</f>
        <v/>
      </c>
      <c r="K265">
        <f>IF(G265="","",IF(VLOOKUP(C265,Recipes!$A$2:$N$4,4,FALSE())=0,-1E+300,-0.5*((J265-Components!$D$2)/Components!$E$2)^2))</f>
        <v/>
      </c>
      <c r="L265">
        <f>IF(G265="","",IF(VLOOKUP(C265,Recipes!$A$2:$N$4,5,FALSE())=0,-1E+300,-0.5*((J265-Components!$D$3)/Components!$E$3)^2))</f>
        <v/>
      </c>
      <c r="M265">
        <f>IF(G265="","",IF(VLOOKUP(C265,Recipes!$A$2:$N$4,6,FALSE())=0,-1E+300,-0.5*((J265-Components!$D$4)/Components!$E$4)^2))</f>
        <v/>
      </c>
      <c r="N265">
        <f>IF(G265="","",IF(VLOOKUP(C265,Recipes!$A$2:$N$4,7,FALSE())=0,-1E+300,-0.5*((J265-Components!$D$5)/Components!$E$5)^2))</f>
        <v/>
      </c>
      <c r="O265">
        <f>IF(G265="","",IF(VLOOKUP(C265,Recipes!$A$2:$N$4,8,FALSE())=0,-1E+300,-0.5*((J265-Components!$D$6)/Components!$E$6)^2))</f>
        <v/>
      </c>
      <c r="P265">
        <f>IF(G265="","",IF(VLOOKUP(C265,Recipes!$A$2:$N$4,9,FALSE())=0,-1E+300,-0.5*((J265-Components!$D$7)/Components!$E$7)^2))</f>
        <v/>
      </c>
      <c r="Q265">
        <f>IF(G265="","",EXP(LARGE(K265:P265,1)-MAX(K265:P265))/(EXP(K265-MAX(K265:P265))+EXP(L265-MAX(K265:P265))+EXP(M265-MAX(K265:P265))+EXP(N265-MAX(K265:P265))+EXP(O265-MAX(K265:P265))+EXP(P265-MAX(K265:P265))))</f>
        <v/>
      </c>
      <c r="R265">
        <f>IF(G265="","",EXP(LARGE(K265:P265,2)-MAX(K265:P265))/(EXP(K265-MAX(K265:P265))+EXP(L265-MAX(K265:P265))+EXP(M265-MAX(K265:P265))+EXP(N265-MAX(K265:P265))+EXP(O265-MAX(K265:P265))+EXP(P265-MAX(K265:P265))))</f>
        <v/>
      </c>
      <c r="S265">
        <f>IF(G265="","",Q265-R265)</f>
        <v/>
      </c>
      <c r="T265">
        <f>IF(G265="","",IF(ABS(G265-H265)&lt;=$B$6*I265,"OK","NG"))</f>
        <v/>
      </c>
      <c r="U265">
        <f>IF(T265="","",IF(T265=D265,1,0))</f>
        <v/>
      </c>
      <c r="V265">
        <f>IF(G265="","",IF(T265="OK","NONE",INDEX({"S1","S2","W1","W2","N1","N2"},MATCH(MAX(K265:P265),K265:P265,0))))</f>
        <v/>
      </c>
      <c r="W265">
        <f>IF(G265="","",IF(V265=E265,1,0))</f>
        <v/>
      </c>
      <c r="X265">
        <f>IF(G265="","",IF(AND(T265="NG",S265&lt;$B$7),"AMBIGUOUS","CONFIDENT"))</f>
        <v/>
      </c>
    </row>
    <row r="266">
      <c r="A266">
        <f>'Runs Z score'!A259</f>
        <v/>
      </c>
      <c r="B266">
        <f>'Runs Z score'!B259</f>
        <v/>
      </c>
      <c r="C266">
        <f>'Runs Z score'!C259</f>
        <v/>
      </c>
      <c r="D266">
        <f>'Runs Z score'!D259</f>
        <v/>
      </c>
      <c r="E266">
        <f>'Runs Z score'!E259</f>
        <v/>
      </c>
      <c r="F266">
        <f>'Runs Z score'!F259</f>
        <v/>
      </c>
      <c r="G266">
        <f>'Runs Z score'!G259</f>
        <v/>
      </c>
      <c r="H266">
        <f>VLOOKUP(C266,Recipes!$A$2:$N$4,10,FALSE())</f>
        <v/>
      </c>
      <c r="I266">
        <f>VLOOKUP(C266,Recipes!$A$2:$N$4,12,FALSE())</f>
        <v/>
      </c>
      <c r="J266">
        <f>IF(G266="","",H266-G266)</f>
        <v/>
      </c>
      <c r="K266">
        <f>IF(G266="","",IF(VLOOKUP(C266,Recipes!$A$2:$N$4,4,FALSE())=0,-1E+300,-0.5*((J266-Components!$D$2)/Components!$E$2)^2))</f>
        <v/>
      </c>
      <c r="L266">
        <f>IF(G266="","",IF(VLOOKUP(C266,Recipes!$A$2:$N$4,5,FALSE())=0,-1E+300,-0.5*((J266-Components!$D$3)/Components!$E$3)^2))</f>
        <v/>
      </c>
      <c r="M266">
        <f>IF(G266="","",IF(VLOOKUP(C266,Recipes!$A$2:$N$4,6,FALSE())=0,-1E+300,-0.5*((J266-Components!$D$4)/Components!$E$4)^2))</f>
        <v/>
      </c>
      <c r="N266">
        <f>IF(G266="","",IF(VLOOKUP(C266,Recipes!$A$2:$N$4,7,FALSE())=0,-1E+300,-0.5*((J266-Components!$D$5)/Components!$E$5)^2))</f>
        <v/>
      </c>
      <c r="O266">
        <f>IF(G266="","",IF(VLOOKUP(C266,Recipes!$A$2:$N$4,8,FALSE())=0,-1E+300,-0.5*((J266-Components!$D$6)/Components!$E$6)^2))</f>
        <v/>
      </c>
      <c r="P266">
        <f>IF(G266="","",IF(VLOOKUP(C266,Recipes!$A$2:$N$4,9,FALSE())=0,-1E+300,-0.5*((J266-Components!$D$7)/Components!$E$7)^2))</f>
        <v/>
      </c>
      <c r="Q266">
        <f>IF(G266="","",EXP(LARGE(K266:P266,1)-MAX(K266:P266))/(EXP(K266-MAX(K266:P266))+EXP(L266-MAX(K266:P266))+EXP(M266-MAX(K266:P266))+EXP(N266-MAX(K266:P266))+EXP(O266-MAX(K266:P266))+EXP(P266-MAX(K266:P266))))</f>
        <v/>
      </c>
      <c r="R266">
        <f>IF(G266="","",EXP(LARGE(K266:P266,2)-MAX(K266:P266))/(EXP(K266-MAX(K266:P266))+EXP(L266-MAX(K266:P266))+EXP(M266-MAX(K266:P266))+EXP(N266-MAX(K266:P266))+EXP(O266-MAX(K266:P266))+EXP(P266-MAX(K266:P266))))</f>
        <v/>
      </c>
      <c r="S266">
        <f>IF(G266="","",Q266-R266)</f>
        <v/>
      </c>
      <c r="T266">
        <f>IF(G266="","",IF(ABS(G266-H266)&lt;=$B$6*I266,"OK","NG"))</f>
        <v/>
      </c>
      <c r="U266">
        <f>IF(T266="","",IF(T266=D266,1,0))</f>
        <v/>
      </c>
      <c r="V266">
        <f>IF(G266="","",IF(T266="OK","NONE",INDEX({"S1","S2","W1","W2","N1","N2"},MATCH(MAX(K266:P266),K266:P266,0))))</f>
        <v/>
      </c>
      <c r="W266">
        <f>IF(G266="","",IF(V266=E266,1,0))</f>
        <v/>
      </c>
      <c r="X266">
        <f>IF(G266="","",IF(AND(T266="NG",S266&lt;$B$7),"AMBIGUOUS","CONFIDENT"))</f>
        <v/>
      </c>
    </row>
    <row r="267">
      <c r="A267">
        <f>'Runs Z score'!A260</f>
        <v/>
      </c>
      <c r="B267">
        <f>'Runs Z score'!B260</f>
        <v/>
      </c>
      <c r="C267">
        <f>'Runs Z score'!C260</f>
        <v/>
      </c>
      <c r="D267">
        <f>'Runs Z score'!D260</f>
        <v/>
      </c>
      <c r="E267">
        <f>'Runs Z score'!E260</f>
        <v/>
      </c>
      <c r="F267">
        <f>'Runs Z score'!F260</f>
        <v/>
      </c>
      <c r="G267">
        <f>'Runs Z score'!G260</f>
        <v/>
      </c>
      <c r="H267">
        <f>VLOOKUP(C267,Recipes!$A$2:$N$4,10,FALSE())</f>
        <v/>
      </c>
      <c r="I267">
        <f>VLOOKUP(C267,Recipes!$A$2:$N$4,12,FALSE())</f>
        <v/>
      </c>
      <c r="J267">
        <f>IF(G267="","",H267-G267)</f>
        <v/>
      </c>
      <c r="K267">
        <f>IF(G267="","",IF(VLOOKUP(C267,Recipes!$A$2:$N$4,4,FALSE())=0,-1E+300,-0.5*((J267-Components!$D$2)/Components!$E$2)^2))</f>
        <v/>
      </c>
      <c r="L267">
        <f>IF(G267="","",IF(VLOOKUP(C267,Recipes!$A$2:$N$4,5,FALSE())=0,-1E+300,-0.5*((J267-Components!$D$3)/Components!$E$3)^2))</f>
        <v/>
      </c>
      <c r="M267">
        <f>IF(G267="","",IF(VLOOKUP(C267,Recipes!$A$2:$N$4,6,FALSE())=0,-1E+300,-0.5*((J267-Components!$D$4)/Components!$E$4)^2))</f>
        <v/>
      </c>
      <c r="N267">
        <f>IF(G267="","",IF(VLOOKUP(C267,Recipes!$A$2:$N$4,7,FALSE())=0,-1E+300,-0.5*((J267-Components!$D$5)/Components!$E$5)^2))</f>
        <v/>
      </c>
      <c r="O267">
        <f>IF(G267="","",IF(VLOOKUP(C267,Recipes!$A$2:$N$4,8,FALSE())=0,-1E+300,-0.5*((J267-Components!$D$6)/Components!$E$6)^2))</f>
        <v/>
      </c>
      <c r="P267">
        <f>IF(G267="","",IF(VLOOKUP(C267,Recipes!$A$2:$N$4,9,FALSE())=0,-1E+300,-0.5*((J267-Components!$D$7)/Components!$E$7)^2))</f>
        <v/>
      </c>
      <c r="Q267">
        <f>IF(G267="","",EXP(LARGE(K267:P267,1)-MAX(K267:P267))/(EXP(K267-MAX(K267:P267))+EXP(L267-MAX(K267:P267))+EXP(M267-MAX(K267:P267))+EXP(N267-MAX(K267:P267))+EXP(O267-MAX(K267:P267))+EXP(P267-MAX(K267:P267))))</f>
        <v/>
      </c>
      <c r="R267">
        <f>IF(G267="","",EXP(LARGE(K267:P267,2)-MAX(K267:P267))/(EXP(K267-MAX(K267:P267))+EXP(L267-MAX(K267:P267))+EXP(M267-MAX(K267:P267))+EXP(N267-MAX(K267:P267))+EXP(O267-MAX(K267:P267))+EXP(P267-MAX(K267:P267))))</f>
        <v/>
      </c>
      <c r="S267">
        <f>IF(G267="","",Q267-R267)</f>
        <v/>
      </c>
      <c r="T267">
        <f>IF(G267="","",IF(ABS(G267-H267)&lt;=$B$6*I267,"OK","NG"))</f>
        <v/>
      </c>
      <c r="U267">
        <f>IF(T267="","",IF(T267=D267,1,0))</f>
        <v/>
      </c>
      <c r="V267">
        <f>IF(G267="","",IF(T267="OK","NONE",INDEX({"S1","S2","W1","W2","N1","N2"},MATCH(MAX(K267:P267),K267:P267,0))))</f>
        <v/>
      </c>
      <c r="W267">
        <f>IF(G267="","",IF(V267=E267,1,0))</f>
        <v/>
      </c>
      <c r="X267">
        <f>IF(G267="","",IF(AND(T267="NG",S267&lt;$B$7),"AMBIGUOUS","CONFIDENT"))</f>
        <v/>
      </c>
    </row>
    <row r="268">
      <c r="A268">
        <f>'Runs Z score'!A261</f>
        <v/>
      </c>
      <c r="B268">
        <f>'Runs Z score'!B261</f>
        <v/>
      </c>
      <c r="C268">
        <f>'Runs Z score'!C261</f>
        <v/>
      </c>
      <c r="D268">
        <f>'Runs Z score'!D261</f>
        <v/>
      </c>
      <c r="E268">
        <f>'Runs Z score'!E261</f>
        <v/>
      </c>
      <c r="F268">
        <f>'Runs Z score'!F261</f>
        <v/>
      </c>
      <c r="G268">
        <f>'Runs Z score'!G261</f>
        <v/>
      </c>
      <c r="H268">
        <f>VLOOKUP(C268,Recipes!$A$2:$N$4,10,FALSE())</f>
        <v/>
      </c>
      <c r="I268">
        <f>VLOOKUP(C268,Recipes!$A$2:$N$4,12,FALSE())</f>
        <v/>
      </c>
      <c r="J268">
        <f>IF(G268="","",H268-G268)</f>
        <v/>
      </c>
      <c r="K268">
        <f>IF(G268="","",IF(VLOOKUP(C268,Recipes!$A$2:$N$4,4,FALSE())=0,-1E+300,-0.5*((J268-Components!$D$2)/Components!$E$2)^2))</f>
        <v/>
      </c>
      <c r="L268">
        <f>IF(G268="","",IF(VLOOKUP(C268,Recipes!$A$2:$N$4,5,FALSE())=0,-1E+300,-0.5*((J268-Components!$D$3)/Components!$E$3)^2))</f>
        <v/>
      </c>
      <c r="M268">
        <f>IF(G268="","",IF(VLOOKUP(C268,Recipes!$A$2:$N$4,6,FALSE())=0,-1E+300,-0.5*((J268-Components!$D$4)/Components!$E$4)^2))</f>
        <v/>
      </c>
      <c r="N268">
        <f>IF(G268="","",IF(VLOOKUP(C268,Recipes!$A$2:$N$4,7,FALSE())=0,-1E+300,-0.5*((J268-Components!$D$5)/Components!$E$5)^2))</f>
        <v/>
      </c>
      <c r="O268">
        <f>IF(G268="","",IF(VLOOKUP(C268,Recipes!$A$2:$N$4,8,FALSE())=0,-1E+300,-0.5*((J268-Components!$D$6)/Components!$E$6)^2))</f>
        <v/>
      </c>
      <c r="P268">
        <f>IF(G268="","",IF(VLOOKUP(C268,Recipes!$A$2:$N$4,9,FALSE())=0,-1E+300,-0.5*((J268-Components!$D$7)/Components!$E$7)^2))</f>
        <v/>
      </c>
      <c r="Q268">
        <f>IF(G268="","",EXP(LARGE(K268:P268,1)-MAX(K268:P268))/(EXP(K268-MAX(K268:P268))+EXP(L268-MAX(K268:P268))+EXP(M268-MAX(K268:P268))+EXP(N268-MAX(K268:P268))+EXP(O268-MAX(K268:P268))+EXP(P268-MAX(K268:P268))))</f>
        <v/>
      </c>
      <c r="R268">
        <f>IF(G268="","",EXP(LARGE(K268:P268,2)-MAX(K268:P268))/(EXP(K268-MAX(K268:P268))+EXP(L268-MAX(K268:P268))+EXP(M268-MAX(K268:P268))+EXP(N268-MAX(K268:P268))+EXP(O268-MAX(K268:P268))+EXP(P268-MAX(K268:P268))))</f>
        <v/>
      </c>
      <c r="S268">
        <f>IF(G268="","",Q268-R268)</f>
        <v/>
      </c>
      <c r="T268">
        <f>IF(G268="","",IF(ABS(G268-H268)&lt;=$B$6*I268,"OK","NG"))</f>
        <v/>
      </c>
      <c r="U268">
        <f>IF(T268="","",IF(T268=D268,1,0))</f>
        <v/>
      </c>
      <c r="V268">
        <f>IF(G268="","",IF(T268="OK","NONE",INDEX({"S1","S2","W1","W2","N1","N2"},MATCH(MAX(K268:P268),K268:P268,0))))</f>
        <v/>
      </c>
      <c r="W268">
        <f>IF(G268="","",IF(V268=E268,1,0))</f>
        <v/>
      </c>
      <c r="X268">
        <f>IF(G268="","",IF(AND(T268="NG",S268&lt;$B$7),"AMBIGUOUS","CONFIDENT"))</f>
        <v/>
      </c>
    </row>
    <row r="269">
      <c r="A269">
        <f>'Runs Z score'!A262</f>
        <v/>
      </c>
      <c r="B269">
        <f>'Runs Z score'!B262</f>
        <v/>
      </c>
      <c r="C269">
        <f>'Runs Z score'!C262</f>
        <v/>
      </c>
      <c r="D269">
        <f>'Runs Z score'!D262</f>
        <v/>
      </c>
      <c r="E269">
        <f>'Runs Z score'!E262</f>
        <v/>
      </c>
      <c r="F269">
        <f>'Runs Z score'!F262</f>
        <v/>
      </c>
      <c r="G269">
        <f>'Runs Z score'!G262</f>
        <v/>
      </c>
      <c r="H269">
        <f>VLOOKUP(C269,Recipes!$A$2:$N$4,10,FALSE())</f>
        <v/>
      </c>
      <c r="I269">
        <f>VLOOKUP(C269,Recipes!$A$2:$N$4,12,FALSE())</f>
        <v/>
      </c>
      <c r="J269">
        <f>IF(G269="","",H269-G269)</f>
        <v/>
      </c>
      <c r="K269">
        <f>IF(G269="","",IF(VLOOKUP(C269,Recipes!$A$2:$N$4,4,FALSE())=0,-1E+300,-0.5*((J269-Components!$D$2)/Components!$E$2)^2))</f>
        <v/>
      </c>
      <c r="L269">
        <f>IF(G269="","",IF(VLOOKUP(C269,Recipes!$A$2:$N$4,5,FALSE())=0,-1E+300,-0.5*((J269-Components!$D$3)/Components!$E$3)^2))</f>
        <v/>
      </c>
      <c r="M269">
        <f>IF(G269="","",IF(VLOOKUP(C269,Recipes!$A$2:$N$4,6,FALSE())=0,-1E+300,-0.5*((J269-Components!$D$4)/Components!$E$4)^2))</f>
        <v/>
      </c>
      <c r="N269">
        <f>IF(G269="","",IF(VLOOKUP(C269,Recipes!$A$2:$N$4,7,FALSE())=0,-1E+300,-0.5*((J269-Components!$D$5)/Components!$E$5)^2))</f>
        <v/>
      </c>
      <c r="O269">
        <f>IF(G269="","",IF(VLOOKUP(C269,Recipes!$A$2:$N$4,8,FALSE())=0,-1E+300,-0.5*((J269-Components!$D$6)/Components!$E$6)^2))</f>
        <v/>
      </c>
      <c r="P269">
        <f>IF(G269="","",IF(VLOOKUP(C269,Recipes!$A$2:$N$4,9,FALSE())=0,-1E+300,-0.5*((J269-Components!$D$7)/Components!$E$7)^2))</f>
        <v/>
      </c>
      <c r="Q269">
        <f>IF(G269="","",EXP(LARGE(K269:P269,1)-MAX(K269:P269))/(EXP(K269-MAX(K269:P269))+EXP(L269-MAX(K269:P269))+EXP(M269-MAX(K269:P269))+EXP(N269-MAX(K269:P269))+EXP(O269-MAX(K269:P269))+EXP(P269-MAX(K269:P269))))</f>
        <v/>
      </c>
      <c r="R269">
        <f>IF(G269="","",EXP(LARGE(K269:P269,2)-MAX(K269:P269))/(EXP(K269-MAX(K269:P269))+EXP(L269-MAX(K269:P269))+EXP(M269-MAX(K269:P269))+EXP(N269-MAX(K269:P269))+EXP(O269-MAX(K269:P269))+EXP(P269-MAX(K269:P269))))</f>
        <v/>
      </c>
      <c r="S269">
        <f>IF(G269="","",Q269-R269)</f>
        <v/>
      </c>
      <c r="T269">
        <f>IF(G269="","",IF(ABS(G269-H269)&lt;=$B$6*I269,"OK","NG"))</f>
        <v/>
      </c>
      <c r="U269">
        <f>IF(T269="","",IF(T269=D269,1,0))</f>
        <v/>
      </c>
      <c r="V269">
        <f>IF(G269="","",IF(T269="OK","NONE",INDEX({"S1","S2","W1","W2","N1","N2"},MATCH(MAX(K269:P269),K269:P269,0))))</f>
        <v/>
      </c>
      <c r="W269">
        <f>IF(G269="","",IF(V269=E269,1,0))</f>
        <v/>
      </c>
      <c r="X269">
        <f>IF(G269="","",IF(AND(T269="NG",S269&lt;$B$7),"AMBIGUOUS","CONFIDENT"))</f>
        <v/>
      </c>
    </row>
    <row r="270">
      <c r="A270">
        <f>'Runs Z score'!A263</f>
        <v/>
      </c>
      <c r="B270">
        <f>'Runs Z score'!B263</f>
        <v/>
      </c>
      <c r="C270">
        <f>'Runs Z score'!C263</f>
        <v/>
      </c>
      <c r="D270">
        <f>'Runs Z score'!D263</f>
        <v/>
      </c>
      <c r="E270">
        <f>'Runs Z score'!E263</f>
        <v/>
      </c>
      <c r="F270">
        <f>'Runs Z score'!F263</f>
        <v/>
      </c>
      <c r="G270">
        <f>'Runs Z score'!G263</f>
        <v/>
      </c>
      <c r="H270">
        <f>VLOOKUP(C270,Recipes!$A$2:$N$4,10,FALSE())</f>
        <v/>
      </c>
      <c r="I270">
        <f>VLOOKUP(C270,Recipes!$A$2:$N$4,12,FALSE())</f>
        <v/>
      </c>
      <c r="J270">
        <f>IF(G270="","",H270-G270)</f>
        <v/>
      </c>
      <c r="K270">
        <f>IF(G270="","",IF(VLOOKUP(C270,Recipes!$A$2:$N$4,4,FALSE())=0,-1E+300,-0.5*((J270-Components!$D$2)/Components!$E$2)^2))</f>
        <v/>
      </c>
      <c r="L270">
        <f>IF(G270="","",IF(VLOOKUP(C270,Recipes!$A$2:$N$4,5,FALSE())=0,-1E+300,-0.5*((J270-Components!$D$3)/Components!$E$3)^2))</f>
        <v/>
      </c>
      <c r="M270">
        <f>IF(G270="","",IF(VLOOKUP(C270,Recipes!$A$2:$N$4,6,FALSE())=0,-1E+300,-0.5*((J270-Components!$D$4)/Components!$E$4)^2))</f>
        <v/>
      </c>
      <c r="N270">
        <f>IF(G270="","",IF(VLOOKUP(C270,Recipes!$A$2:$N$4,7,FALSE())=0,-1E+300,-0.5*((J270-Components!$D$5)/Components!$E$5)^2))</f>
        <v/>
      </c>
      <c r="O270">
        <f>IF(G270="","",IF(VLOOKUP(C270,Recipes!$A$2:$N$4,8,FALSE())=0,-1E+300,-0.5*((J270-Components!$D$6)/Components!$E$6)^2))</f>
        <v/>
      </c>
      <c r="P270">
        <f>IF(G270="","",IF(VLOOKUP(C270,Recipes!$A$2:$N$4,9,FALSE())=0,-1E+300,-0.5*((J270-Components!$D$7)/Components!$E$7)^2))</f>
        <v/>
      </c>
      <c r="Q270">
        <f>IF(G270="","",EXP(LARGE(K270:P270,1)-MAX(K270:P270))/(EXP(K270-MAX(K270:P270))+EXP(L270-MAX(K270:P270))+EXP(M270-MAX(K270:P270))+EXP(N270-MAX(K270:P270))+EXP(O270-MAX(K270:P270))+EXP(P270-MAX(K270:P270))))</f>
        <v/>
      </c>
      <c r="R270">
        <f>IF(G270="","",EXP(LARGE(K270:P270,2)-MAX(K270:P270))/(EXP(K270-MAX(K270:P270))+EXP(L270-MAX(K270:P270))+EXP(M270-MAX(K270:P270))+EXP(N270-MAX(K270:P270))+EXP(O270-MAX(K270:P270))+EXP(P270-MAX(K270:P270))))</f>
        <v/>
      </c>
      <c r="S270">
        <f>IF(G270="","",Q270-R270)</f>
        <v/>
      </c>
      <c r="T270">
        <f>IF(G270="","",IF(ABS(G270-H270)&lt;=$B$6*I270,"OK","NG"))</f>
        <v/>
      </c>
      <c r="U270">
        <f>IF(T270="","",IF(T270=D270,1,0))</f>
        <v/>
      </c>
      <c r="V270">
        <f>IF(G270="","",IF(T270="OK","NONE",INDEX({"S1","S2","W1","W2","N1","N2"},MATCH(MAX(K270:P270),K270:P270,0))))</f>
        <v/>
      </c>
      <c r="W270">
        <f>IF(G270="","",IF(V270=E270,1,0))</f>
        <v/>
      </c>
      <c r="X270">
        <f>IF(G270="","",IF(AND(T270="NG",S270&lt;$B$7),"AMBIGUOUS","CONFIDENT"))</f>
        <v/>
      </c>
    </row>
    <row r="271">
      <c r="A271">
        <f>'Runs Z score'!A264</f>
        <v/>
      </c>
      <c r="B271">
        <f>'Runs Z score'!B264</f>
        <v/>
      </c>
      <c r="C271">
        <f>'Runs Z score'!C264</f>
        <v/>
      </c>
      <c r="D271">
        <f>'Runs Z score'!D264</f>
        <v/>
      </c>
      <c r="E271">
        <f>'Runs Z score'!E264</f>
        <v/>
      </c>
      <c r="F271">
        <f>'Runs Z score'!F264</f>
        <v/>
      </c>
      <c r="G271">
        <f>'Runs Z score'!G264</f>
        <v/>
      </c>
      <c r="H271">
        <f>VLOOKUP(C271,Recipes!$A$2:$N$4,10,FALSE())</f>
        <v/>
      </c>
      <c r="I271">
        <f>VLOOKUP(C271,Recipes!$A$2:$N$4,12,FALSE())</f>
        <v/>
      </c>
      <c r="J271">
        <f>IF(G271="","",H271-G271)</f>
        <v/>
      </c>
      <c r="K271">
        <f>IF(G271="","",IF(VLOOKUP(C271,Recipes!$A$2:$N$4,4,FALSE())=0,-1E+300,-0.5*((J271-Components!$D$2)/Components!$E$2)^2))</f>
        <v/>
      </c>
      <c r="L271">
        <f>IF(G271="","",IF(VLOOKUP(C271,Recipes!$A$2:$N$4,5,FALSE())=0,-1E+300,-0.5*((J271-Components!$D$3)/Components!$E$3)^2))</f>
        <v/>
      </c>
      <c r="M271">
        <f>IF(G271="","",IF(VLOOKUP(C271,Recipes!$A$2:$N$4,6,FALSE())=0,-1E+300,-0.5*((J271-Components!$D$4)/Components!$E$4)^2))</f>
        <v/>
      </c>
      <c r="N271">
        <f>IF(G271="","",IF(VLOOKUP(C271,Recipes!$A$2:$N$4,7,FALSE())=0,-1E+300,-0.5*((J271-Components!$D$5)/Components!$E$5)^2))</f>
        <v/>
      </c>
      <c r="O271">
        <f>IF(G271="","",IF(VLOOKUP(C271,Recipes!$A$2:$N$4,8,FALSE())=0,-1E+300,-0.5*((J271-Components!$D$6)/Components!$E$6)^2))</f>
        <v/>
      </c>
      <c r="P271">
        <f>IF(G271="","",IF(VLOOKUP(C271,Recipes!$A$2:$N$4,9,FALSE())=0,-1E+300,-0.5*((J271-Components!$D$7)/Components!$E$7)^2))</f>
        <v/>
      </c>
      <c r="Q271">
        <f>IF(G271="","",EXP(LARGE(K271:P271,1)-MAX(K271:P271))/(EXP(K271-MAX(K271:P271))+EXP(L271-MAX(K271:P271))+EXP(M271-MAX(K271:P271))+EXP(N271-MAX(K271:P271))+EXP(O271-MAX(K271:P271))+EXP(P271-MAX(K271:P271))))</f>
        <v/>
      </c>
      <c r="R271">
        <f>IF(G271="","",EXP(LARGE(K271:P271,2)-MAX(K271:P271))/(EXP(K271-MAX(K271:P271))+EXP(L271-MAX(K271:P271))+EXP(M271-MAX(K271:P271))+EXP(N271-MAX(K271:P271))+EXP(O271-MAX(K271:P271))+EXP(P271-MAX(K271:P271))))</f>
        <v/>
      </c>
      <c r="S271">
        <f>IF(G271="","",Q271-R271)</f>
        <v/>
      </c>
      <c r="T271">
        <f>IF(G271="","",IF(ABS(G271-H271)&lt;=$B$6*I271,"OK","NG"))</f>
        <v/>
      </c>
      <c r="U271">
        <f>IF(T271="","",IF(T271=D271,1,0))</f>
        <v/>
      </c>
      <c r="V271">
        <f>IF(G271="","",IF(T271="OK","NONE",INDEX({"S1","S2","W1","W2","N1","N2"},MATCH(MAX(K271:P271),K271:P271,0))))</f>
        <v/>
      </c>
      <c r="W271">
        <f>IF(G271="","",IF(V271=E271,1,0))</f>
        <v/>
      </c>
      <c r="X271">
        <f>IF(G271="","",IF(AND(T271="NG",S271&lt;$B$7),"AMBIGUOUS","CONFIDENT"))</f>
        <v/>
      </c>
    </row>
    <row r="272">
      <c r="A272">
        <f>'Runs Z score'!A265</f>
        <v/>
      </c>
      <c r="B272">
        <f>'Runs Z score'!B265</f>
        <v/>
      </c>
      <c r="C272">
        <f>'Runs Z score'!C265</f>
        <v/>
      </c>
      <c r="D272">
        <f>'Runs Z score'!D265</f>
        <v/>
      </c>
      <c r="E272">
        <f>'Runs Z score'!E265</f>
        <v/>
      </c>
      <c r="F272">
        <f>'Runs Z score'!F265</f>
        <v/>
      </c>
      <c r="G272">
        <f>'Runs Z score'!G265</f>
        <v/>
      </c>
      <c r="H272">
        <f>VLOOKUP(C272,Recipes!$A$2:$N$4,10,FALSE())</f>
        <v/>
      </c>
      <c r="I272">
        <f>VLOOKUP(C272,Recipes!$A$2:$N$4,12,FALSE())</f>
        <v/>
      </c>
      <c r="J272">
        <f>IF(G272="","",H272-G272)</f>
        <v/>
      </c>
      <c r="K272">
        <f>IF(G272="","",IF(VLOOKUP(C272,Recipes!$A$2:$N$4,4,FALSE())=0,-1E+300,-0.5*((J272-Components!$D$2)/Components!$E$2)^2))</f>
        <v/>
      </c>
      <c r="L272">
        <f>IF(G272="","",IF(VLOOKUP(C272,Recipes!$A$2:$N$4,5,FALSE())=0,-1E+300,-0.5*((J272-Components!$D$3)/Components!$E$3)^2))</f>
        <v/>
      </c>
      <c r="M272">
        <f>IF(G272="","",IF(VLOOKUP(C272,Recipes!$A$2:$N$4,6,FALSE())=0,-1E+300,-0.5*((J272-Components!$D$4)/Components!$E$4)^2))</f>
        <v/>
      </c>
      <c r="N272">
        <f>IF(G272="","",IF(VLOOKUP(C272,Recipes!$A$2:$N$4,7,FALSE())=0,-1E+300,-0.5*((J272-Components!$D$5)/Components!$E$5)^2))</f>
        <v/>
      </c>
      <c r="O272">
        <f>IF(G272="","",IF(VLOOKUP(C272,Recipes!$A$2:$N$4,8,FALSE())=0,-1E+300,-0.5*((J272-Components!$D$6)/Components!$E$6)^2))</f>
        <v/>
      </c>
      <c r="P272">
        <f>IF(G272="","",IF(VLOOKUP(C272,Recipes!$A$2:$N$4,9,FALSE())=0,-1E+300,-0.5*((J272-Components!$D$7)/Components!$E$7)^2))</f>
        <v/>
      </c>
      <c r="Q272">
        <f>IF(G272="","",EXP(LARGE(K272:P272,1)-MAX(K272:P272))/(EXP(K272-MAX(K272:P272))+EXP(L272-MAX(K272:P272))+EXP(M272-MAX(K272:P272))+EXP(N272-MAX(K272:P272))+EXP(O272-MAX(K272:P272))+EXP(P272-MAX(K272:P272))))</f>
        <v/>
      </c>
      <c r="R272">
        <f>IF(G272="","",EXP(LARGE(K272:P272,2)-MAX(K272:P272))/(EXP(K272-MAX(K272:P272))+EXP(L272-MAX(K272:P272))+EXP(M272-MAX(K272:P272))+EXP(N272-MAX(K272:P272))+EXP(O272-MAX(K272:P272))+EXP(P272-MAX(K272:P272))))</f>
        <v/>
      </c>
      <c r="S272">
        <f>IF(G272="","",Q272-R272)</f>
        <v/>
      </c>
      <c r="T272">
        <f>IF(G272="","",IF(ABS(G272-H272)&lt;=$B$6*I272,"OK","NG"))</f>
        <v/>
      </c>
      <c r="U272">
        <f>IF(T272="","",IF(T272=D272,1,0))</f>
        <v/>
      </c>
      <c r="V272">
        <f>IF(G272="","",IF(T272="OK","NONE",INDEX({"S1","S2","W1","W2","N1","N2"},MATCH(MAX(K272:P272),K272:P272,0))))</f>
        <v/>
      </c>
      <c r="W272">
        <f>IF(G272="","",IF(V272=E272,1,0))</f>
        <v/>
      </c>
      <c r="X272">
        <f>IF(G272="","",IF(AND(T272="NG",S272&lt;$B$7),"AMBIGUOUS","CONFIDENT"))</f>
        <v/>
      </c>
    </row>
    <row r="273">
      <c r="A273">
        <f>'Runs Z score'!A266</f>
        <v/>
      </c>
      <c r="B273">
        <f>'Runs Z score'!B266</f>
        <v/>
      </c>
      <c r="C273">
        <f>'Runs Z score'!C266</f>
        <v/>
      </c>
      <c r="D273">
        <f>'Runs Z score'!D266</f>
        <v/>
      </c>
      <c r="E273">
        <f>'Runs Z score'!E266</f>
        <v/>
      </c>
      <c r="F273">
        <f>'Runs Z score'!F266</f>
        <v/>
      </c>
      <c r="G273">
        <f>'Runs Z score'!G266</f>
        <v/>
      </c>
      <c r="H273">
        <f>VLOOKUP(C273,Recipes!$A$2:$N$4,10,FALSE())</f>
        <v/>
      </c>
      <c r="I273">
        <f>VLOOKUP(C273,Recipes!$A$2:$N$4,12,FALSE())</f>
        <v/>
      </c>
      <c r="J273">
        <f>IF(G273="","",H273-G273)</f>
        <v/>
      </c>
      <c r="K273">
        <f>IF(G273="","",IF(VLOOKUP(C273,Recipes!$A$2:$N$4,4,FALSE())=0,-1E+300,-0.5*((J273-Components!$D$2)/Components!$E$2)^2))</f>
        <v/>
      </c>
      <c r="L273">
        <f>IF(G273="","",IF(VLOOKUP(C273,Recipes!$A$2:$N$4,5,FALSE())=0,-1E+300,-0.5*((J273-Components!$D$3)/Components!$E$3)^2))</f>
        <v/>
      </c>
      <c r="M273">
        <f>IF(G273="","",IF(VLOOKUP(C273,Recipes!$A$2:$N$4,6,FALSE())=0,-1E+300,-0.5*((J273-Components!$D$4)/Components!$E$4)^2))</f>
        <v/>
      </c>
      <c r="N273">
        <f>IF(G273="","",IF(VLOOKUP(C273,Recipes!$A$2:$N$4,7,FALSE())=0,-1E+300,-0.5*((J273-Components!$D$5)/Components!$E$5)^2))</f>
        <v/>
      </c>
      <c r="O273">
        <f>IF(G273="","",IF(VLOOKUP(C273,Recipes!$A$2:$N$4,8,FALSE())=0,-1E+300,-0.5*((J273-Components!$D$6)/Components!$E$6)^2))</f>
        <v/>
      </c>
      <c r="P273">
        <f>IF(G273="","",IF(VLOOKUP(C273,Recipes!$A$2:$N$4,9,FALSE())=0,-1E+300,-0.5*((J273-Components!$D$7)/Components!$E$7)^2))</f>
        <v/>
      </c>
      <c r="Q273">
        <f>IF(G273="","",EXP(LARGE(K273:P273,1)-MAX(K273:P273))/(EXP(K273-MAX(K273:P273))+EXP(L273-MAX(K273:P273))+EXP(M273-MAX(K273:P273))+EXP(N273-MAX(K273:P273))+EXP(O273-MAX(K273:P273))+EXP(P273-MAX(K273:P273))))</f>
        <v/>
      </c>
      <c r="R273">
        <f>IF(G273="","",EXP(LARGE(K273:P273,2)-MAX(K273:P273))/(EXP(K273-MAX(K273:P273))+EXP(L273-MAX(K273:P273))+EXP(M273-MAX(K273:P273))+EXP(N273-MAX(K273:P273))+EXP(O273-MAX(K273:P273))+EXP(P273-MAX(K273:P273))))</f>
        <v/>
      </c>
      <c r="S273">
        <f>IF(G273="","",Q273-R273)</f>
        <v/>
      </c>
      <c r="T273">
        <f>IF(G273="","",IF(ABS(G273-H273)&lt;=$B$6*I273,"OK","NG"))</f>
        <v/>
      </c>
      <c r="U273">
        <f>IF(T273="","",IF(T273=D273,1,0))</f>
        <v/>
      </c>
      <c r="V273">
        <f>IF(G273="","",IF(T273="OK","NONE",INDEX({"S1","S2","W1","W2","N1","N2"},MATCH(MAX(K273:P273),K273:P273,0))))</f>
        <v/>
      </c>
      <c r="W273">
        <f>IF(G273="","",IF(V273=E273,1,0))</f>
        <v/>
      </c>
      <c r="X273">
        <f>IF(G273="","",IF(AND(T273="NG",S273&lt;$B$7),"AMBIGUOUS","CONFIDENT"))</f>
        <v/>
      </c>
    </row>
    <row r="274">
      <c r="A274">
        <f>'Runs Z score'!A267</f>
        <v/>
      </c>
      <c r="B274">
        <f>'Runs Z score'!B267</f>
        <v/>
      </c>
      <c r="C274">
        <f>'Runs Z score'!C267</f>
        <v/>
      </c>
      <c r="D274">
        <f>'Runs Z score'!D267</f>
        <v/>
      </c>
      <c r="E274">
        <f>'Runs Z score'!E267</f>
        <v/>
      </c>
      <c r="F274">
        <f>'Runs Z score'!F267</f>
        <v/>
      </c>
      <c r="G274">
        <f>'Runs Z score'!G267</f>
        <v/>
      </c>
      <c r="H274">
        <f>VLOOKUP(C274,Recipes!$A$2:$N$4,10,FALSE())</f>
        <v/>
      </c>
      <c r="I274">
        <f>VLOOKUP(C274,Recipes!$A$2:$N$4,12,FALSE())</f>
        <v/>
      </c>
      <c r="J274">
        <f>IF(G274="","",H274-G274)</f>
        <v/>
      </c>
      <c r="K274">
        <f>IF(G274="","",IF(VLOOKUP(C274,Recipes!$A$2:$N$4,4,FALSE())=0,-1E+300,-0.5*((J274-Components!$D$2)/Components!$E$2)^2))</f>
        <v/>
      </c>
      <c r="L274">
        <f>IF(G274="","",IF(VLOOKUP(C274,Recipes!$A$2:$N$4,5,FALSE())=0,-1E+300,-0.5*((J274-Components!$D$3)/Components!$E$3)^2))</f>
        <v/>
      </c>
      <c r="M274">
        <f>IF(G274="","",IF(VLOOKUP(C274,Recipes!$A$2:$N$4,6,FALSE())=0,-1E+300,-0.5*((J274-Components!$D$4)/Components!$E$4)^2))</f>
        <v/>
      </c>
      <c r="N274">
        <f>IF(G274="","",IF(VLOOKUP(C274,Recipes!$A$2:$N$4,7,FALSE())=0,-1E+300,-0.5*((J274-Components!$D$5)/Components!$E$5)^2))</f>
        <v/>
      </c>
      <c r="O274">
        <f>IF(G274="","",IF(VLOOKUP(C274,Recipes!$A$2:$N$4,8,FALSE())=0,-1E+300,-0.5*((J274-Components!$D$6)/Components!$E$6)^2))</f>
        <v/>
      </c>
      <c r="P274">
        <f>IF(G274="","",IF(VLOOKUP(C274,Recipes!$A$2:$N$4,9,FALSE())=0,-1E+300,-0.5*((J274-Components!$D$7)/Components!$E$7)^2))</f>
        <v/>
      </c>
      <c r="Q274">
        <f>IF(G274="","",EXP(LARGE(K274:P274,1)-MAX(K274:P274))/(EXP(K274-MAX(K274:P274))+EXP(L274-MAX(K274:P274))+EXP(M274-MAX(K274:P274))+EXP(N274-MAX(K274:P274))+EXP(O274-MAX(K274:P274))+EXP(P274-MAX(K274:P274))))</f>
        <v/>
      </c>
      <c r="R274">
        <f>IF(G274="","",EXP(LARGE(K274:P274,2)-MAX(K274:P274))/(EXP(K274-MAX(K274:P274))+EXP(L274-MAX(K274:P274))+EXP(M274-MAX(K274:P274))+EXP(N274-MAX(K274:P274))+EXP(O274-MAX(K274:P274))+EXP(P274-MAX(K274:P274))))</f>
        <v/>
      </c>
      <c r="S274">
        <f>IF(G274="","",Q274-R274)</f>
        <v/>
      </c>
      <c r="T274">
        <f>IF(G274="","",IF(ABS(G274-H274)&lt;=$B$6*I274,"OK","NG"))</f>
        <v/>
      </c>
      <c r="U274">
        <f>IF(T274="","",IF(T274=D274,1,0))</f>
        <v/>
      </c>
      <c r="V274">
        <f>IF(G274="","",IF(T274="OK","NONE",INDEX({"S1","S2","W1","W2","N1","N2"},MATCH(MAX(K274:P274),K274:P274,0))))</f>
        <v/>
      </c>
      <c r="W274">
        <f>IF(G274="","",IF(V274=E274,1,0))</f>
        <v/>
      </c>
      <c r="X274">
        <f>IF(G274="","",IF(AND(T274="NG",S274&lt;$B$7),"AMBIGUOUS","CONFIDENT"))</f>
        <v/>
      </c>
    </row>
    <row r="275">
      <c r="A275">
        <f>'Runs Z score'!A268</f>
        <v/>
      </c>
      <c r="B275">
        <f>'Runs Z score'!B268</f>
        <v/>
      </c>
      <c r="C275">
        <f>'Runs Z score'!C268</f>
        <v/>
      </c>
      <c r="D275">
        <f>'Runs Z score'!D268</f>
        <v/>
      </c>
      <c r="E275">
        <f>'Runs Z score'!E268</f>
        <v/>
      </c>
      <c r="F275">
        <f>'Runs Z score'!F268</f>
        <v/>
      </c>
      <c r="G275">
        <f>'Runs Z score'!G268</f>
        <v/>
      </c>
      <c r="H275">
        <f>VLOOKUP(C275,Recipes!$A$2:$N$4,10,FALSE())</f>
        <v/>
      </c>
      <c r="I275">
        <f>VLOOKUP(C275,Recipes!$A$2:$N$4,12,FALSE())</f>
        <v/>
      </c>
      <c r="J275">
        <f>IF(G275="","",H275-G275)</f>
        <v/>
      </c>
      <c r="K275">
        <f>IF(G275="","",IF(VLOOKUP(C275,Recipes!$A$2:$N$4,4,FALSE())=0,-1E+300,-0.5*((J275-Components!$D$2)/Components!$E$2)^2))</f>
        <v/>
      </c>
      <c r="L275">
        <f>IF(G275="","",IF(VLOOKUP(C275,Recipes!$A$2:$N$4,5,FALSE())=0,-1E+300,-0.5*((J275-Components!$D$3)/Components!$E$3)^2))</f>
        <v/>
      </c>
      <c r="M275">
        <f>IF(G275="","",IF(VLOOKUP(C275,Recipes!$A$2:$N$4,6,FALSE())=0,-1E+300,-0.5*((J275-Components!$D$4)/Components!$E$4)^2))</f>
        <v/>
      </c>
      <c r="N275">
        <f>IF(G275="","",IF(VLOOKUP(C275,Recipes!$A$2:$N$4,7,FALSE())=0,-1E+300,-0.5*((J275-Components!$D$5)/Components!$E$5)^2))</f>
        <v/>
      </c>
      <c r="O275">
        <f>IF(G275="","",IF(VLOOKUP(C275,Recipes!$A$2:$N$4,8,FALSE())=0,-1E+300,-0.5*((J275-Components!$D$6)/Components!$E$6)^2))</f>
        <v/>
      </c>
      <c r="P275">
        <f>IF(G275="","",IF(VLOOKUP(C275,Recipes!$A$2:$N$4,9,FALSE())=0,-1E+300,-0.5*((J275-Components!$D$7)/Components!$E$7)^2))</f>
        <v/>
      </c>
      <c r="Q275">
        <f>IF(G275="","",EXP(LARGE(K275:P275,1)-MAX(K275:P275))/(EXP(K275-MAX(K275:P275))+EXP(L275-MAX(K275:P275))+EXP(M275-MAX(K275:P275))+EXP(N275-MAX(K275:P275))+EXP(O275-MAX(K275:P275))+EXP(P275-MAX(K275:P275))))</f>
        <v/>
      </c>
      <c r="R275">
        <f>IF(G275="","",EXP(LARGE(K275:P275,2)-MAX(K275:P275))/(EXP(K275-MAX(K275:P275))+EXP(L275-MAX(K275:P275))+EXP(M275-MAX(K275:P275))+EXP(N275-MAX(K275:P275))+EXP(O275-MAX(K275:P275))+EXP(P275-MAX(K275:P275))))</f>
        <v/>
      </c>
      <c r="S275">
        <f>IF(G275="","",Q275-R275)</f>
        <v/>
      </c>
      <c r="T275">
        <f>IF(G275="","",IF(ABS(G275-H275)&lt;=$B$6*I275,"OK","NG"))</f>
        <v/>
      </c>
      <c r="U275">
        <f>IF(T275="","",IF(T275=D275,1,0))</f>
        <v/>
      </c>
      <c r="V275">
        <f>IF(G275="","",IF(T275="OK","NONE",INDEX({"S1","S2","W1","W2","N1","N2"},MATCH(MAX(K275:P275),K275:P275,0))))</f>
        <v/>
      </c>
      <c r="W275">
        <f>IF(G275="","",IF(V275=E275,1,0))</f>
        <v/>
      </c>
      <c r="X275">
        <f>IF(G275="","",IF(AND(T275="NG",S275&lt;$B$7),"AMBIGUOUS","CONFIDENT"))</f>
        <v/>
      </c>
    </row>
    <row r="276">
      <c r="A276">
        <f>'Runs Z score'!A269</f>
        <v/>
      </c>
      <c r="B276">
        <f>'Runs Z score'!B269</f>
        <v/>
      </c>
      <c r="C276">
        <f>'Runs Z score'!C269</f>
        <v/>
      </c>
      <c r="D276">
        <f>'Runs Z score'!D269</f>
        <v/>
      </c>
      <c r="E276">
        <f>'Runs Z score'!E269</f>
        <v/>
      </c>
      <c r="F276">
        <f>'Runs Z score'!F269</f>
        <v/>
      </c>
      <c r="G276">
        <f>'Runs Z score'!G269</f>
        <v/>
      </c>
      <c r="H276">
        <f>VLOOKUP(C276,Recipes!$A$2:$N$4,10,FALSE())</f>
        <v/>
      </c>
      <c r="I276">
        <f>VLOOKUP(C276,Recipes!$A$2:$N$4,12,FALSE())</f>
        <v/>
      </c>
      <c r="J276">
        <f>IF(G276="","",H276-G276)</f>
        <v/>
      </c>
      <c r="K276">
        <f>IF(G276="","",IF(VLOOKUP(C276,Recipes!$A$2:$N$4,4,FALSE())=0,-1E+300,-0.5*((J276-Components!$D$2)/Components!$E$2)^2))</f>
        <v/>
      </c>
      <c r="L276">
        <f>IF(G276="","",IF(VLOOKUP(C276,Recipes!$A$2:$N$4,5,FALSE())=0,-1E+300,-0.5*((J276-Components!$D$3)/Components!$E$3)^2))</f>
        <v/>
      </c>
      <c r="M276">
        <f>IF(G276="","",IF(VLOOKUP(C276,Recipes!$A$2:$N$4,6,FALSE())=0,-1E+300,-0.5*((J276-Components!$D$4)/Components!$E$4)^2))</f>
        <v/>
      </c>
      <c r="N276">
        <f>IF(G276="","",IF(VLOOKUP(C276,Recipes!$A$2:$N$4,7,FALSE())=0,-1E+300,-0.5*((J276-Components!$D$5)/Components!$E$5)^2))</f>
        <v/>
      </c>
      <c r="O276">
        <f>IF(G276="","",IF(VLOOKUP(C276,Recipes!$A$2:$N$4,8,FALSE())=0,-1E+300,-0.5*((J276-Components!$D$6)/Components!$E$6)^2))</f>
        <v/>
      </c>
      <c r="P276">
        <f>IF(G276="","",IF(VLOOKUP(C276,Recipes!$A$2:$N$4,9,FALSE())=0,-1E+300,-0.5*((J276-Components!$D$7)/Components!$E$7)^2))</f>
        <v/>
      </c>
      <c r="Q276">
        <f>IF(G276="","",EXP(LARGE(K276:P276,1)-MAX(K276:P276))/(EXP(K276-MAX(K276:P276))+EXP(L276-MAX(K276:P276))+EXP(M276-MAX(K276:P276))+EXP(N276-MAX(K276:P276))+EXP(O276-MAX(K276:P276))+EXP(P276-MAX(K276:P276))))</f>
        <v/>
      </c>
      <c r="R276">
        <f>IF(G276="","",EXP(LARGE(K276:P276,2)-MAX(K276:P276))/(EXP(K276-MAX(K276:P276))+EXP(L276-MAX(K276:P276))+EXP(M276-MAX(K276:P276))+EXP(N276-MAX(K276:P276))+EXP(O276-MAX(K276:P276))+EXP(P276-MAX(K276:P276))))</f>
        <v/>
      </c>
      <c r="S276">
        <f>IF(G276="","",Q276-R276)</f>
        <v/>
      </c>
      <c r="T276">
        <f>IF(G276="","",IF(ABS(G276-H276)&lt;=$B$6*I276,"OK","NG"))</f>
        <v/>
      </c>
      <c r="U276">
        <f>IF(T276="","",IF(T276=D276,1,0))</f>
        <v/>
      </c>
      <c r="V276">
        <f>IF(G276="","",IF(T276="OK","NONE",INDEX({"S1","S2","W1","W2","N1","N2"},MATCH(MAX(K276:P276),K276:P276,0))))</f>
        <v/>
      </c>
      <c r="W276">
        <f>IF(G276="","",IF(V276=E276,1,0))</f>
        <v/>
      </c>
      <c r="X276">
        <f>IF(G276="","",IF(AND(T276="NG",S276&lt;$B$7),"AMBIGUOUS","CONFIDENT"))</f>
        <v/>
      </c>
    </row>
    <row r="277">
      <c r="A277">
        <f>'Runs Z score'!A270</f>
        <v/>
      </c>
      <c r="B277">
        <f>'Runs Z score'!B270</f>
        <v/>
      </c>
      <c r="C277">
        <f>'Runs Z score'!C270</f>
        <v/>
      </c>
      <c r="D277">
        <f>'Runs Z score'!D270</f>
        <v/>
      </c>
      <c r="E277">
        <f>'Runs Z score'!E270</f>
        <v/>
      </c>
      <c r="F277">
        <f>'Runs Z score'!F270</f>
        <v/>
      </c>
      <c r="G277">
        <f>'Runs Z score'!G270</f>
        <v/>
      </c>
      <c r="H277">
        <f>VLOOKUP(C277,Recipes!$A$2:$N$4,10,FALSE())</f>
        <v/>
      </c>
      <c r="I277">
        <f>VLOOKUP(C277,Recipes!$A$2:$N$4,12,FALSE())</f>
        <v/>
      </c>
      <c r="J277">
        <f>IF(G277="","",H277-G277)</f>
        <v/>
      </c>
      <c r="K277">
        <f>IF(G277="","",IF(VLOOKUP(C277,Recipes!$A$2:$N$4,4,FALSE())=0,-1E+300,-0.5*((J277-Components!$D$2)/Components!$E$2)^2))</f>
        <v/>
      </c>
      <c r="L277">
        <f>IF(G277="","",IF(VLOOKUP(C277,Recipes!$A$2:$N$4,5,FALSE())=0,-1E+300,-0.5*((J277-Components!$D$3)/Components!$E$3)^2))</f>
        <v/>
      </c>
      <c r="M277">
        <f>IF(G277="","",IF(VLOOKUP(C277,Recipes!$A$2:$N$4,6,FALSE())=0,-1E+300,-0.5*((J277-Components!$D$4)/Components!$E$4)^2))</f>
        <v/>
      </c>
      <c r="N277">
        <f>IF(G277="","",IF(VLOOKUP(C277,Recipes!$A$2:$N$4,7,FALSE())=0,-1E+300,-0.5*((J277-Components!$D$5)/Components!$E$5)^2))</f>
        <v/>
      </c>
      <c r="O277">
        <f>IF(G277="","",IF(VLOOKUP(C277,Recipes!$A$2:$N$4,8,FALSE())=0,-1E+300,-0.5*((J277-Components!$D$6)/Components!$E$6)^2))</f>
        <v/>
      </c>
      <c r="P277">
        <f>IF(G277="","",IF(VLOOKUP(C277,Recipes!$A$2:$N$4,9,FALSE())=0,-1E+300,-0.5*((J277-Components!$D$7)/Components!$E$7)^2))</f>
        <v/>
      </c>
      <c r="Q277">
        <f>IF(G277="","",EXP(LARGE(K277:P277,1)-MAX(K277:P277))/(EXP(K277-MAX(K277:P277))+EXP(L277-MAX(K277:P277))+EXP(M277-MAX(K277:P277))+EXP(N277-MAX(K277:P277))+EXP(O277-MAX(K277:P277))+EXP(P277-MAX(K277:P277))))</f>
        <v/>
      </c>
      <c r="R277">
        <f>IF(G277="","",EXP(LARGE(K277:P277,2)-MAX(K277:P277))/(EXP(K277-MAX(K277:P277))+EXP(L277-MAX(K277:P277))+EXP(M277-MAX(K277:P277))+EXP(N277-MAX(K277:P277))+EXP(O277-MAX(K277:P277))+EXP(P277-MAX(K277:P277))))</f>
        <v/>
      </c>
      <c r="S277">
        <f>IF(G277="","",Q277-R277)</f>
        <v/>
      </c>
      <c r="T277">
        <f>IF(G277="","",IF(ABS(G277-H277)&lt;=$B$6*I277,"OK","NG"))</f>
        <v/>
      </c>
      <c r="U277">
        <f>IF(T277="","",IF(T277=D277,1,0))</f>
        <v/>
      </c>
      <c r="V277">
        <f>IF(G277="","",IF(T277="OK","NONE",INDEX({"S1","S2","W1","W2","N1","N2"},MATCH(MAX(K277:P277),K277:P277,0))))</f>
        <v/>
      </c>
      <c r="W277">
        <f>IF(G277="","",IF(V277=E277,1,0))</f>
        <v/>
      </c>
      <c r="X277">
        <f>IF(G277="","",IF(AND(T277="NG",S277&lt;$B$7),"AMBIGUOUS","CONFIDENT"))</f>
        <v/>
      </c>
    </row>
    <row r="278">
      <c r="A278">
        <f>'Runs Z score'!A271</f>
        <v/>
      </c>
      <c r="B278">
        <f>'Runs Z score'!B271</f>
        <v/>
      </c>
      <c r="C278">
        <f>'Runs Z score'!C271</f>
        <v/>
      </c>
      <c r="D278">
        <f>'Runs Z score'!D271</f>
        <v/>
      </c>
      <c r="E278">
        <f>'Runs Z score'!E271</f>
        <v/>
      </c>
      <c r="F278">
        <f>'Runs Z score'!F271</f>
        <v/>
      </c>
      <c r="G278">
        <f>'Runs Z score'!G271</f>
        <v/>
      </c>
      <c r="H278">
        <f>VLOOKUP(C278,Recipes!$A$2:$N$4,10,FALSE())</f>
        <v/>
      </c>
      <c r="I278">
        <f>VLOOKUP(C278,Recipes!$A$2:$N$4,12,FALSE())</f>
        <v/>
      </c>
      <c r="J278">
        <f>IF(G278="","",H278-G278)</f>
        <v/>
      </c>
      <c r="K278">
        <f>IF(G278="","",IF(VLOOKUP(C278,Recipes!$A$2:$N$4,4,FALSE())=0,-1E+300,-0.5*((J278-Components!$D$2)/Components!$E$2)^2))</f>
        <v/>
      </c>
      <c r="L278">
        <f>IF(G278="","",IF(VLOOKUP(C278,Recipes!$A$2:$N$4,5,FALSE())=0,-1E+300,-0.5*((J278-Components!$D$3)/Components!$E$3)^2))</f>
        <v/>
      </c>
      <c r="M278">
        <f>IF(G278="","",IF(VLOOKUP(C278,Recipes!$A$2:$N$4,6,FALSE())=0,-1E+300,-0.5*((J278-Components!$D$4)/Components!$E$4)^2))</f>
        <v/>
      </c>
      <c r="N278">
        <f>IF(G278="","",IF(VLOOKUP(C278,Recipes!$A$2:$N$4,7,FALSE())=0,-1E+300,-0.5*((J278-Components!$D$5)/Components!$E$5)^2))</f>
        <v/>
      </c>
      <c r="O278">
        <f>IF(G278="","",IF(VLOOKUP(C278,Recipes!$A$2:$N$4,8,FALSE())=0,-1E+300,-0.5*((J278-Components!$D$6)/Components!$E$6)^2))</f>
        <v/>
      </c>
      <c r="P278">
        <f>IF(G278="","",IF(VLOOKUP(C278,Recipes!$A$2:$N$4,9,FALSE())=0,-1E+300,-0.5*((J278-Components!$D$7)/Components!$E$7)^2))</f>
        <v/>
      </c>
      <c r="Q278">
        <f>IF(G278="","",EXP(LARGE(K278:P278,1)-MAX(K278:P278))/(EXP(K278-MAX(K278:P278))+EXP(L278-MAX(K278:P278))+EXP(M278-MAX(K278:P278))+EXP(N278-MAX(K278:P278))+EXP(O278-MAX(K278:P278))+EXP(P278-MAX(K278:P278))))</f>
        <v/>
      </c>
      <c r="R278">
        <f>IF(G278="","",EXP(LARGE(K278:P278,2)-MAX(K278:P278))/(EXP(K278-MAX(K278:P278))+EXP(L278-MAX(K278:P278))+EXP(M278-MAX(K278:P278))+EXP(N278-MAX(K278:P278))+EXP(O278-MAX(K278:P278))+EXP(P278-MAX(K278:P278))))</f>
        <v/>
      </c>
      <c r="S278">
        <f>IF(G278="","",Q278-R278)</f>
        <v/>
      </c>
      <c r="T278">
        <f>IF(G278="","",IF(ABS(G278-H278)&lt;=$B$6*I278,"OK","NG"))</f>
        <v/>
      </c>
      <c r="U278">
        <f>IF(T278="","",IF(T278=D278,1,0))</f>
        <v/>
      </c>
      <c r="V278">
        <f>IF(G278="","",IF(T278="OK","NONE",INDEX({"S1","S2","W1","W2","N1","N2"},MATCH(MAX(K278:P278),K278:P278,0))))</f>
        <v/>
      </c>
      <c r="W278">
        <f>IF(G278="","",IF(V278=E278,1,0))</f>
        <v/>
      </c>
      <c r="X278">
        <f>IF(G278="","",IF(AND(T278="NG",S278&lt;$B$7),"AMBIGUOUS","CONFIDENT"))</f>
        <v/>
      </c>
    </row>
    <row r="279">
      <c r="A279">
        <f>'Runs Z score'!A272</f>
        <v/>
      </c>
      <c r="B279">
        <f>'Runs Z score'!B272</f>
        <v/>
      </c>
      <c r="C279">
        <f>'Runs Z score'!C272</f>
        <v/>
      </c>
      <c r="D279">
        <f>'Runs Z score'!D272</f>
        <v/>
      </c>
      <c r="E279">
        <f>'Runs Z score'!E272</f>
        <v/>
      </c>
      <c r="F279">
        <f>'Runs Z score'!F272</f>
        <v/>
      </c>
      <c r="G279">
        <f>'Runs Z score'!G272</f>
        <v/>
      </c>
      <c r="H279">
        <f>VLOOKUP(C279,Recipes!$A$2:$N$4,10,FALSE())</f>
        <v/>
      </c>
      <c r="I279">
        <f>VLOOKUP(C279,Recipes!$A$2:$N$4,12,FALSE())</f>
        <v/>
      </c>
      <c r="J279">
        <f>IF(G279="","",H279-G279)</f>
        <v/>
      </c>
      <c r="K279">
        <f>IF(G279="","",IF(VLOOKUP(C279,Recipes!$A$2:$N$4,4,FALSE())=0,-1E+300,-0.5*((J279-Components!$D$2)/Components!$E$2)^2))</f>
        <v/>
      </c>
      <c r="L279">
        <f>IF(G279="","",IF(VLOOKUP(C279,Recipes!$A$2:$N$4,5,FALSE())=0,-1E+300,-0.5*((J279-Components!$D$3)/Components!$E$3)^2))</f>
        <v/>
      </c>
      <c r="M279">
        <f>IF(G279="","",IF(VLOOKUP(C279,Recipes!$A$2:$N$4,6,FALSE())=0,-1E+300,-0.5*((J279-Components!$D$4)/Components!$E$4)^2))</f>
        <v/>
      </c>
      <c r="N279">
        <f>IF(G279="","",IF(VLOOKUP(C279,Recipes!$A$2:$N$4,7,FALSE())=0,-1E+300,-0.5*((J279-Components!$D$5)/Components!$E$5)^2))</f>
        <v/>
      </c>
      <c r="O279">
        <f>IF(G279="","",IF(VLOOKUP(C279,Recipes!$A$2:$N$4,8,FALSE())=0,-1E+300,-0.5*((J279-Components!$D$6)/Components!$E$6)^2))</f>
        <v/>
      </c>
      <c r="P279">
        <f>IF(G279="","",IF(VLOOKUP(C279,Recipes!$A$2:$N$4,9,FALSE())=0,-1E+300,-0.5*((J279-Components!$D$7)/Components!$E$7)^2))</f>
        <v/>
      </c>
      <c r="Q279">
        <f>IF(G279="","",EXP(LARGE(K279:P279,1)-MAX(K279:P279))/(EXP(K279-MAX(K279:P279))+EXP(L279-MAX(K279:P279))+EXP(M279-MAX(K279:P279))+EXP(N279-MAX(K279:P279))+EXP(O279-MAX(K279:P279))+EXP(P279-MAX(K279:P279))))</f>
        <v/>
      </c>
      <c r="R279">
        <f>IF(G279="","",EXP(LARGE(K279:P279,2)-MAX(K279:P279))/(EXP(K279-MAX(K279:P279))+EXP(L279-MAX(K279:P279))+EXP(M279-MAX(K279:P279))+EXP(N279-MAX(K279:P279))+EXP(O279-MAX(K279:P279))+EXP(P279-MAX(K279:P279))))</f>
        <v/>
      </c>
      <c r="S279">
        <f>IF(G279="","",Q279-R279)</f>
        <v/>
      </c>
      <c r="T279">
        <f>IF(G279="","",IF(ABS(G279-H279)&lt;=$B$6*I279,"OK","NG"))</f>
        <v/>
      </c>
      <c r="U279">
        <f>IF(T279="","",IF(T279=D279,1,0))</f>
        <v/>
      </c>
      <c r="V279">
        <f>IF(G279="","",IF(T279="OK","NONE",INDEX({"S1","S2","W1","W2","N1","N2"},MATCH(MAX(K279:P279),K279:P279,0))))</f>
        <v/>
      </c>
      <c r="W279">
        <f>IF(G279="","",IF(V279=E279,1,0))</f>
        <v/>
      </c>
      <c r="X279">
        <f>IF(G279="","",IF(AND(T279="NG",S279&lt;$B$7),"AMBIGUOUS","CONFIDENT"))</f>
        <v/>
      </c>
    </row>
    <row r="280">
      <c r="A280">
        <f>'Runs Z score'!A273</f>
        <v/>
      </c>
      <c r="B280">
        <f>'Runs Z score'!B273</f>
        <v/>
      </c>
      <c r="C280">
        <f>'Runs Z score'!C273</f>
        <v/>
      </c>
      <c r="D280">
        <f>'Runs Z score'!D273</f>
        <v/>
      </c>
      <c r="E280">
        <f>'Runs Z score'!E273</f>
        <v/>
      </c>
      <c r="F280">
        <f>'Runs Z score'!F273</f>
        <v/>
      </c>
      <c r="G280">
        <f>'Runs Z score'!G273</f>
        <v/>
      </c>
      <c r="H280">
        <f>VLOOKUP(C280,Recipes!$A$2:$N$4,10,FALSE())</f>
        <v/>
      </c>
      <c r="I280">
        <f>VLOOKUP(C280,Recipes!$A$2:$N$4,12,FALSE())</f>
        <v/>
      </c>
      <c r="J280">
        <f>IF(G280="","",H280-G280)</f>
        <v/>
      </c>
      <c r="K280">
        <f>IF(G280="","",IF(VLOOKUP(C280,Recipes!$A$2:$N$4,4,FALSE())=0,-1E+300,-0.5*((J280-Components!$D$2)/Components!$E$2)^2))</f>
        <v/>
      </c>
      <c r="L280">
        <f>IF(G280="","",IF(VLOOKUP(C280,Recipes!$A$2:$N$4,5,FALSE())=0,-1E+300,-0.5*((J280-Components!$D$3)/Components!$E$3)^2))</f>
        <v/>
      </c>
      <c r="M280">
        <f>IF(G280="","",IF(VLOOKUP(C280,Recipes!$A$2:$N$4,6,FALSE())=0,-1E+300,-0.5*((J280-Components!$D$4)/Components!$E$4)^2))</f>
        <v/>
      </c>
      <c r="N280">
        <f>IF(G280="","",IF(VLOOKUP(C280,Recipes!$A$2:$N$4,7,FALSE())=0,-1E+300,-0.5*((J280-Components!$D$5)/Components!$E$5)^2))</f>
        <v/>
      </c>
      <c r="O280">
        <f>IF(G280="","",IF(VLOOKUP(C280,Recipes!$A$2:$N$4,8,FALSE())=0,-1E+300,-0.5*((J280-Components!$D$6)/Components!$E$6)^2))</f>
        <v/>
      </c>
      <c r="P280">
        <f>IF(G280="","",IF(VLOOKUP(C280,Recipes!$A$2:$N$4,9,FALSE())=0,-1E+300,-0.5*((J280-Components!$D$7)/Components!$E$7)^2))</f>
        <v/>
      </c>
      <c r="Q280">
        <f>IF(G280="","",EXP(LARGE(K280:P280,1)-MAX(K280:P280))/(EXP(K280-MAX(K280:P280))+EXP(L280-MAX(K280:P280))+EXP(M280-MAX(K280:P280))+EXP(N280-MAX(K280:P280))+EXP(O280-MAX(K280:P280))+EXP(P280-MAX(K280:P280))))</f>
        <v/>
      </c>
      <c r="R280">
        <f>IF(G280="","",EXP(LARGE(K280:P280,2)-MAX(K280:P280))/(EXP(K280-MAX(K280:P280))+EXP(L280-MAX(K280:P280))+EXP(M280-MAX(K280:P280))+EXP(N280-MAX(K280:P280))+EXP(O280-MAX(K280:P280))+EXP(P280-MAX(K280:P280))))</f>
        <v/>
      </c>
      <c r="S280">
        <f>IF(G280="","",Q280-R280)</f>
        <v/>
      </c>
      <c r="T280">
        <f>IF(G280="","",IF(ABS(G280-H280)&lt;=$B$6*I280,"OK","NG"))</f>
        <v/>
      </c>
      <c r="U280">
        <f>IF(T280="","",IF(T280=D280,1,0))</f>
        <v/>
      </c>
      <c r="V280">
        <f>IF(G280="","",IF(T280="OK","NONE",INDEX({"S1","S2","W1","W2","N1","N2"},MATCH(MAX(K280:P280),K280:P280,0))))</f>
        <v/>
      </c>
      <c r="W280">
        <f>IF(G280="","",IF(V280=E280,1,0))</f>
        <v/>
      </c>
      <c r="X280">
        <f>IF(G280="","",IF(AND(T280="NG",S280&lt;$B$7),"AMBIGUOUS","CONFIDENT"))</f>
        <v/>
      </c>
    </row>
    <row r="281">
      <c r="A281">
        <f>'Runs Z score'!A274</f>
        <v/>
      </c>
      <c r="B281">
        <f>'Runs Z score'!B274</f>
        <v/>
      </c>
      <c r="C281">
        <f>'Runs Z score'!C274</f>
        <v/>
      </c>
      <c r="D281">
        <f>'Runs Z score'!D274</f>
        <v/>
      </c>
      <c r="E281">
        <f>'Runs Z score'!E274</f>
        <v/>
      </c>
      <c r="F281">
        <f>'Runs Z score'!F274</f>
        <v/>
      </c>
      <c r="G281">
        <f>'Runs Z score'!G274</f>
        <v/>
      </c>
      <c r="H281">
        <f>VLOOKUP(C281,Recipes!$A$2:$N$4,10,FALSE())</f>
        <v/>
      </c>
      <c r="I281">
        <f>VLOOKUP(C281,Recipes!$A$2:$N$4,12,FALSE())</f>
        <v/>
      </c>
      <c r="J281">
        <f>IF(G281="","",H281-G281)</f>
        <v/>
      </c>
      <c r="K281">
        <f>IF(G281="","",IF(VLOOKUP(C281,Recipes!$A$2:$N$4,4,FALSE())=0,-1E+300,-0.5*((J281-Components!$D$2)/Components!$E$2)^2))</f>
        <v/>
      </c>
      <c r="L281">
        <f>IF(G281="","",IF(VLOOKUP(C281,Recipes!$A$2:$N$4,5,FALSE())=0,-1E+300,-0.5*((J281-Components!$D$3)/Components!$E$3)^2))</f>
        <v/>
      </c>
      <c r="M281">
        <f>IF(G281="","",IF(VLOOKUP(C281,Recipes!$A$2:$N$4,6,FALSE())=0,-1E+300,-0.5*((J281-Components!$D$4)/Components!$E$4)^2))</f>
        <v/>
      </c>
      <c r="N281">
        <f>IF(G281="","",IF(VLOOKUP(C281,Recipes!$A$2:$N$4,7,FALSE())=0,-1E+300,-0.5*((J281-Components!$D$5)/Components!$E$5)^2))</f>
        <v/>
      </c>
      <c r="O281">
        <f>IF(G281="","",IF(VLOOKUP(C281,Recipes!$A$2:$N$4,8,FALSE())=0,-1E+300,-0.5*((J281-Components!$D$6)/Components!$E$6)^2))</f>
        <v/>
      </c>
      <c r="P281">
        <f>IF(G281="","",IF(VLOOKUP(C281,Recipes!$A$2:$N$4,9,FALSE())=0,-1E+300,-0.5*((J281-Components!$D$7)/Components!$E$7)^2))</f>
        <v/>
      </c>
      <c r="Q281">
        <f>IF(G281="","",EXP(LARGE(K281:P281,1)-MAX(K281:P281))/(EXP(K281-MAX(K281:P281))+EXP(L281-MAX(K281:P281))+EXP(M281-MAX(K281:P281))+EXP(N281-MAX(K281:P281))+EXP(O281-MAX(K281:P281))+EXP(P281-MAX(K281:P281))))</f>
        <v/>
      </c>
      <c r="R281">
        <f>IF(G281="","",EXP(LARGE(K281:P281,2)-MAX(K281:P281))/(EXP(K281-MAX(K281:P281))+EXP(L281-MAX(K281:P281))+EXP(M281-MAX(K281:P281))+EXP(N281-MAX(K281:P281))+EXP(O281-MAX(K281:P281))+EXP(P281-MAX(K281:P281))))</f>
        <v/>
      </c>
      <c r="S281">
        <f>IF(G281="","",Q281-R281)</f>
        <v/>
      </c>
      <c r="T281">
        <f>IF(G281="","",IF(ABS(G281-H281)&lt;=$B$6*I281,"OK","NG"))</f>
        <v/>
      </c>
      <c r="U281">
        <f>IF(T281="","",IF(T281=D281,1,0))</f>
        <v/>
      </c>
      <c r="V281">
        <f>IF(G281="","",IF(T281="OK","NONE",INDEX({"S1","S2","W1","W2","N1","N2"},MATCH(MAX(K281:P281),K281:P281,0))))</f>
        <v/>
      </c>
      <c r="W281">
        <f>IF(G281="","",IF(V281=E281,1,0))</f>
        <v/>
      </c>
      <c r="X281">
        <f>IF(G281="","",IF(AND(T281="NG",S281&lt;$B$7),"AMBIGUOUS","CONFIDENT"))</f>
        <v/>
      </c>
    </row>
    <row r="282">
      <c r="A282">
        <f>'Runs Z score'!A275</f>
        <v/>
      </c>
      <c r="B282">
        <f>'Runs Z score'!B275</f>
        <v/>
      </c>
      <c r="C282">
        <f>'Runs Z score'!C275</f>
        <v/>
      </c>
      <c r="D282">
        <f>'Runs Z score'!D275</f>
        <v/>
      </c>
      <c r="E282">
        <f>'Runs Z score'!E275</f>
        <v/>
      </c>
      <c r="F282">
        <f>'Runs Z score'!F275</f>
        <v/>
      </c>
      <c r="G282">
        <f>'Runs Z score'!G275</f>
        <v/>
      </c>
      <c r="H282">
        <f>VLOOKUP(C282,Recipes!$A$2:$N$4,10,FALSE())</f>
        <v/>
      </c>
      <c r="I282">
        <f>VLOOKUP(C282,Recipes!$A$2:$N$4,12,FALSE())</f>
        <v/>
      </c>
      <c r="J282">
        <f>IF(G282="","",H282-G282)</f>
        <v/>
      </c>
      <c r="K282">
        <f>IF(G282="","",IF(VLOOKUP(C282,Recipes!$A$2:$N$4,4,FALSE())=0,-1E+300,-0.5*((J282-Components!$D$2)/Components!$E$2)^2))</f>
        <v/>
      </c>
      <c r="L282">
        <f>IF(G282="","",IF(VLOOKUP(C282,Recipes!$A$2:$N$4,5,FALSE())=0,-1E+300,-0.5*((J282-Components!$D$3)/Components!$E$3)^2))</f>
        <v/>
      </c>
      <c r="M282">
        <f>IF(G282="","",IF(VLOOKUP(C282,Recipes!$A$2:$N$4,6,FALSE())=0,-1E+300,-0.5*((J282-Components!$D$4)/Components!$E$4)^2))</f>
        <v/>
      </c>
      <c r="N282">
        <f>IF(G282="","",IF(VLOOKUP(C282,Recipes!$A$2:$N$4,7,FALSE())=0,-1E+300,-0.5*((J282-Components!$D$5)/Components!$E$5)^2))</f>
        <v/>
      </c>
      <c r="O282">
        <f>IF(G282="","",IF(VLOOKUP(C282,Recipes!$A$2:$N$4,8,FALSE())=0,-1E+300,-0.5*((J282-Components!$D$6)/Components!$E$6)^2))</f>
        <v/>
      </c>
      <c r="P282">
        <f>IF(G282="","",IF(VLOOKUP(C282,Recipes!$A$2:$N$4,9,FALSE())=0,-1E+300,-0.5*((J282-Components!$D$7)/Components!$E$7)^2))</f>
        <v/>
      </c>
      <c r="Q282">
        <f>IF(G282="","",EXP(LARGE(K282:P282,1)-MAX(K282:P282))/(EXP(K282-MAX(K282:P282))+EXP(L282-MAX(K282:P282))+EXP(M282-MAX(K282:P282))+EXP(N282-MAX(K282:P282))+EXP(O282-MAX(K282:P282))+EXP(P282-MAX(K282:P282))))</f>
        <v/>
      </c>
      <c r="R282">
        <f>IF(G282="","",EXP(LARGE(K282:P282,2)-MAX(K282:P282))/(EXP(K282-MAX(K282:P282))+EXP(L282-MAX(K282:P282))+EXP(M282-MAX(K282:P282))+EXP(N282-MAX(K282:P282))+EXP(O282-MAX(K282:P282))+EXP(P282-MAX(K282:P282))))</f>
        <v/>
      </c>
      <c r="S282">
        <f>IF(G282="","",Q282-R282)</f>
        <v/>
      </c>
      <c r="T282">
        <f>IF(G282="","",IF(ABS(G282-H282)&lt;=$B$6*I282,"OK","NG"))</f>
        <v/>
      </c>
      <c r="U282">
        <f>IF(T282="","",IF(T282=D282,1,0))</f>
        <v/>
      </c>
      <c r="V282">
        <f>IF(G282="","",IF(T282="OK","NONE",INDEX({"S1","S2","W1","W2","N1","N2"},MATCH(MAX(K282:P282),K282:P282,0))))</f>
        <v/>
      </c>
      <c r="W282">
        <f>IF(G282="","",IF(V282=E282,1,0))</f>
        <v/>
      </c>
      <c r="X282">
        <f>IF(G282="","",IF(AND(T282="NG",S282&lt;$B$7),"AMBIGUOUS","CONFIDENT"))</f>
        <v/>
      </c>
    </row>
    <row r="283">
      <c r="A283">
        <f>'Runs Z score'!A276</f>
        <v/>
      </c>
      <c r="B283">
        <f>'Runs Z score'!B276</f>
        <v/>
      </c>
      <c r="C283">
        <f>'Runs Z score'!C276</f>
        <v/>
      </c>
      <c r="D283">
        <f>'Runs Z score'!D276</f>
        <v/>
      </c>
      <c r="E283">
        <f>'Runs Z score'!E276</f>
        <v/>
      </c>
      <c r="F283">
        <f>'Runs Z score'!F276</f>
        <v/>
      </c>
      <c r="G283">
        <f>'Runs Z score'!G276</f>
        <v/>
      </c>
      <c r="H283">
        <f>VLOOKUP(C283,Recipes!$A$2:$N$4,10,FALSE())</f>
        <v/>
      </c>
      <c r="I283">
        <f>VLOOKUP(C283,Recipes!$A$2:$N$4,12,FALSE())</f>
        <v/>
      </c>
      <c r="J283">
        <f>IF(G283="","",H283-G283)</f>
        <v/>
      </c>
      <c r="K283">
        <f>IF(G283="","",IF(VLOOKUP(C283,Recipes!$A$2:$N$4,4,FALSE())=0,-1E+300,-0.5*((J283-Components!$D$2)/Components!$E$2)^2))</f>
        <v/>
      </c>
      <c r="L283">
        <f>IF(G283="","",IF(VLOOKUP(C283,Recipes!$A$2:$N$4,5,FALSE())=0,-1E+300,-0.5*((J283-Components!$D$3)/Components!$E$3)^2))</f>
        <v/>
      </c>
      <c r="M283">
        <f>IF(G283="","",IF(VLOOKUP(C283,Recipes!$A$2:$N$4,6,FALSE())=0,-1E+300,-0.5*((J283-Components!$D$4)/Components!$E$4)^2))</f>
        <v/>
      </c>
      <c r="N283">
        <f>IF(G283="","",IF(VLOOKUP(C283,Recipes!$A$2:$N$4,7,FALSE())=0,-1E+300,-0.5*((J283-Components!$D$5)/Components!$E$5)^2))</f>
        <v/>
      </c>
      <c r="O283">
        <f>IF(G283="","",IF(VLOOKUP(C283,Recipes!$A$2:$N$4,8,FALSE())=0,-1E+300,-0.5*((J283-Components!$D$6)/Components!$E$6)^2))</f>
        <v/>
      </c>
      <c r="P283">
        <f>IF(G283="","",IF(VLOOKUP(C283,Recipes!$A$2:$N$4,9,FALSE())=0,-1E+300,-0.5*((J283-Components!$D$7)/Components!$E$7)^2))</f>
        <v/>
      </c>
      <c r="Q283">
        <f>IF(G283="","",EXP(LARGE(K283:P283,1)-MAX(K283:P283))/(EXP(K283-MAX(K283:P283))+EXP(L283-MAX(K283:P283))+EXP(M283-MAX(K283:P283))+EXP(N283-MAX(K283:P283))+EXP(O283-MAX(K283:P283))+EXP(P283-MAX(K283:P283))))</f>
        <v/>
      </c>
      <c r="R283">
        <f>IF(G283="","",EXP(LARGE(K283:P283,2)-MAX(K283:P283))/(EXP(K283-MAX(K283:P283))+EXP(L283-MAX(K283:P283))+EXP(M283-MAX(K283:P283))+EXP(N283-MAX(K283:P283))+EXP(O283-MAX(K283:P283))+EXP(P283-MAX(K283:P283))))</f>
        <v/>
      </c>
      <c r="S283">
        <f>IF(G283="","",Q283-R283)</f>
        <v/>
      </c>
      <c r="T283">
        <f>IF(G283="","",IF(ABS(G283-H283)&lt;=$B$6*I283,"OK","NG"))</f>
        <v/>
      </c>
      <c r="U283">
        <f>IF(T283="","",IF(T283=D283,1,0))</f>
        <v/>
      </c>
      <c r="V283">
        <f>IF(G283="","",IF(T283="OK","NONE",INDEX({"S1","S2","W1","W2","N1","N2"},MATCH(MAX(K283:P283),K283:P283,0))))</f>
        <v/>
      </c>
      <c r="W283">
        <f>IF(G283="","",IF(V283=E283,1,0))</f>
        <v/>
      </c>
      <c r="X283">
        <f>IF(G283="","",IF(AND(T283="NG",S283&lt;$B$7),"AMBIGUOUS","CONFIDENT"))</f>
        <v/>
      </c>
    </row>
    <row r="284">
      <c r="A284">
        <f>'Runs Z score'!A277</f>
        <v/>
      </c>
      <c r="B284">
        <f>'Runs Z score'!B277</f>
        <v/>
      </c>
      <c r="C284">
        <f>'Runs Z score'!C277</f>
        <v/>
      </c>
      <c r="D284">
        <f>'Runs Z score'!D277</f>
        <v/>
      </c>
      <c r="E284">
        <f>'Runs Z score'!E277</f>
        <v/>
      </c>
      <c r="F284">
        <f>'Runs Z score'!F277</f>
        <v/>
      </c>
      <c r="G284">
        <f>'Runs Z score'!G277</f>
        <v/>
      </c>
      <c r="H284">
        <f>VLOOKUP(C284,Recipes!$A$2:$N$4,10,FALSE())</f>
        <v/>
      </c>
      <c r="I284">
        <f>VLOOKUP(C284,Recipes!$A$2:$N$4,12,FALSE())</f>
        <v/>
      </c>
      <c r="J284">
        <f>IF(G284="","",H284-G284)</f>
        <v/>
      </c>
      <c r="K284">
        <f>IF(G284="","",IF(VLOOKUP(C284,Recipes!$A$2:$N$4,4,FALSE())=0,-1E+300,-0.5*((J284-Components!$D$2)/Components!$E$2)^2))</f>
        <v/>
      </c>
      <c r="L284">
        <f>IF(G284="","",IF(VLOOKUP(C284,Recipes!$A$2:$N$4,5,FALSE())=0,-1E+300,-0.5*((J284-Components!$D$3)/Components!$E$3)^2))</f>
        <v/>
      </c>
      <c r="M284">
        <f>IF(G284="","",IF(VLOOKUP(C284,Recipes!$A$2:$N$4,6,FALSE())=0,-1E+300,-0.5*((J284-Components!$D$4)/Components!$E$4)^2))</f>
        <v/>
      </c>
      <c r="N284">
        <f>IF(G284="","",IF(VLOOKUP(C284,Recipes!$A$2:$N$4,7,FALSE())=0,-1E+300,-0.5*((J284-Components!$D$5)/Components!$E$5)^2))</f>
        <v/>
      </c>
      <c r="O284">
        <f>IF(G284="","",IF(VLOOKUP(C284,Recipes!$A$2:$N$4,8,FALSE())=0,-1E+300,-0.5*((J284-Components!$D$6)/Components!$E$6)^2))</f>
        <v/>
      </c>
      <c r="P284">
        <f>IF(G284="","",IF(VLOOKUP(C284,Recipes!$A$2:$N$4,9,FALSE())=0,-1E+300,-0.5*((J284-Components!$D$7)/Components!$E$7)^2))</f>
        <v/>
      </c>
      <c r="Q284">
        <f>IF(G284="","",EXP(LARGE(K284:P284,1)-MAX(K284:P284))/(EXP(K284-MAX(K284:P284))+EXP(L284-MAX(K284:P284))+EXP(M284-MAX(K284:P284))+EXP(N284-MAX(K284:P284))+EXP(O284-MAX(K284:P284))+EXP(P284-MAX(K284:P284))))</f>
        <v/>
      </c>
      <c r="R284">
        <f>IF(G284="","",EXP(LARGE(K284:P284,2)-MAX(K284:P284))/(EXP(K284-MAX(K284:P284))+EXP(L284-MAX(K284:P284))+EXP(M284-MAX(K284:P284))+EXP(N284-MAX(K284:P284))+EXP(O284-MAX(K284:P284))+EXP(P284-MAX(K284:P284))))</f>
        <v/>
      </c>
      <c r="S284">
        <f>IF(G284="","",Q284-R284)</f>
        <v/>
      </c>
      <c r="T284">
        <f>IF(G284="","",IF(ABS(G284-H284)&lt;=$B$6*I284,"OK","NG"))</f>
        <v/>
      </c>
      <c r="U284">
        <f>IF(T284="","",IF(T284=D284,1,0))</f>
        <v/>
      </c>
      <c r="V284">
        <f>IF(G284="","",IF(T284="OK","NONE",INDEX({"S1","S2","W1","W2","N1","N2"},MATCH(MAX(K284:P284),K284:P284,0))))</f>
        <v/>
      </c>
      <c r="W284">
        <f>IF(G284="","",IF(V284=E284,1,0))</f>
        <v/>
      </c>
      <c r="X284">
        <f>IF(G284="","",IF(AND(T284="NG",S284&lt;$B$7),"AMBIGUOUS","CONFIDENT"))</f>
        <v/>
      </c>
    </row>
    <row r="285">
      <c r="A285">
        <f>'Runs Z score'!A278</f>
        <v/>
      </c>
      <c r="B285">
        <f>'Runs Z score'!B278</f>
        <v/>
      </c>
      <c r="C285">
        <f>'Runs Z score'!C278</f>
        <v/>
      </c>
      <c r="D285">
        <f>'Runs Z score'!D278</f>
        <v/>
      </c>
      <c r="E285">
        <f>'Runs Z score'!E278</f>
        <v/>
      </c>
      <c r="F285">
        <f>'Runs Z score'!F278</f>
        <v/>
      </c>
      <c r="G285">
        <f>'Runs Z score'!G278</f>
        <v/>
      </c>
      <c r="H285">
        <f>VLOOKUP(C285,Recipes!$A$2:$N$4,10,FALSE())</f>
        <v/>
      </c>
      <c r="I285">
        <f>VLOOKUP(C285,Recipes!$A$2:$N$4,12,FALSE())</f>
        <v/>
      </c>
      <c r="J285">
        <f>IF(G285="","",H285-G285)</f>
        <v/>
      </c>
      <c r="K285">
        <f>IF(G285="","",IF(VLOOKUP(C285,Recipes!$A$2:$N$4,4,FALSE())=0,-1E+300,-0.5*((J285-Components!$D$2)/Components!$E$2)^2))</f>
        <v/>
      </c>
      <c r="L285">
        <f>IF(G285="","",IF(VLOOKUP(C285,Recipes!$A$2:$N$4,5,FALSE())=0,-1E+300,-0.5*((J285-Components!$D$3)/Components!$E$3)^2))</f>
        <v/>
      </c>
      <c r="M285">
        <f>IF(G285="","",IF(VLOOKUP(C285,Recipes!$A$2:$N$4,6,FALSE())=0,-1E+300,-0.5*((J285-Components!$D$4)/Components!$E$4)^2))</f>
        <v/>
      </c>
      <c r="N285">
        <f>IF(G285="","",IF(VLOOKUP(C285,Recipes!$A$2:$N$4,7,FALSE())=0,-1E+300,-0.5*((J285-Components!$D$5)/Components!$E$5)^2))</f>
        <v/>
      </c>
      <c r="O285">
        <f>IF(G285="","",IF(VLOOKUP(C285,Recipes!$A$2:$N$4,8,FALSE())=0,-1E+300,-0.5*((J285-Components!$D$6)/Components!$E$6)^2))</f>
        <v/>
      </c>
      <c r="P285">
        <f>IF(G285="","",IF(VLOOKUP(C285,Recipes!$A$2:$N$4,9,FALSE())=0,-1E+300,-0.5*((J285-Components!$D$7)/Components!$E$7)^2))</f>
        <v/>
      </c>
      <c r="Q285">
        <f>IF(G285="","",EXP(LARGE(K285:P285,1)-MAX(K285:P285))/(EXP(K285-MAX(K285:P285))+EXP(L285-MAX(K285:P285))+EXP(M285-MAX(K285:P285))+EXP(N285-MAX(K285:P285))+EXP(O285-MAX(K285:P285))+EXP(P285-MAX(K285:P285))))</f>
        <v/>
      </c>
      <c r="R285">
        <f>IF(G285="","",EXP(LARGE(K285:P285,2)-MAX(K285:P285))/(EXP(K285-MAX(K285:P285))+EXP(L285-MAX(K285:P285))+EXP(M285-MAX(K285:P285))+EXP(N285-MAX(K285:P285))+EXP(O285-MAX(K285:P285))+EXP(P285-MAX(K285:P285))))</f>
        <v/>
      </c>
      <c r="S285">
        <f>IF(G285="","",Q285-R285)</f>
        <v/>
      </c>
      <c r="T285">
        <f>IF(G285="","",IF(ABS(G285-H285)&lt;=$B$6*I285,"OK","NG"))</f>
        <v/>
      </c>
      <c r="U285">
        <f>IF(T285="","",IF(T285=D285,1,0))</f>
        <v/>
      </c>
      <c r="V285">
        <f>IF(G285="","",IF(T285="OK","NONE",INDEX({"S1","S2","W1","W2","N1","N2"},MATCH(MAX(K285:P285),K285:P285,0))))</f>
        <v/>
      </c>
      <c r="W285">
        <f>IF(G285="","",IF(V285=E285,1,0))</f>
        <v/>
      </c>
      <c r="X285">
        <f>IF(G285="","",IF(AND(T285="NG",S285&lt;$B$7),"AMBIGUOUS","CONFIDENT"))</f>
        <v/>
      </c>
    </row>
    <row r="286">
      <c r="A286">
        <f>'Runs Z score'!A279</f>
        <v/>
      </c>
      <c r="B286">
        <f>'Runs Z score'!B279</f>
        <v/>
      </c>
      <c r="C286">
        <f>'Runs Z score'!C279</f>
        <v/>
      </c>
      <c r="D286">
        <f>'Runs Z score'!D279</f>
        <v/>
      </c>
      <c r="E286">
        <f>'Runs Z score'!E279</f>
        <v/>
      </c>
      <c r="F286">
        <f>'Runs Z score'!F279</f>
        <v/>
      </c>
      <c r="G286">
        <f>'Runs Z score'!G279</f>
        <v/>
      </c>
      <c r="H286">
        <f>VLOOKUP(C286,Recipes!$A$2:$N$4,10,FALSE())</f>
        <v/>
      </c>
      <c r="I286">
        <f>VLOOKUP(C286,Recipes!$A$2:$N$4,12,FALSE())</f>
        <v/>
      </c>
      <c r="J286">
        <f>IF(G286="","",H286-G286)</f>
        <v/>
      </c>
      <c r="K286">
        <f>IF(G286="","",IF(VLOOKUP(C286,Recipes!$A$2:$N$4,4,FALSE())=0,-1E+300,-0.5*((J286-Components!$D$2)/Components!$E$2)^2))</f>
        <v/>
      </c>
      <c r="L286">
        <f>IF(G286="","",IF(VLOOKUP(C286,Recipes!$A$2:$N$4,5,FALSE())=0,-1E+300,-0.5*((J286-Components!$D$3)/Components!$E$3)^2))</f>
        <v/>
      </c>
      <c r="M286">
        <f>IF(G286="","",IF(VLOOKUP(C286,Recipes!$A$2:$N$4,6,FALSE())=0,-1E+300,-0.5*((J286-Components!$D$4)/Components!$E$4)^2))</f>
        <v/>
      </c>
      <c r="N286">
        <f>IF(G286="","",IF(VLOOKUP(C286,Recipes!$A$2:$N$4,7,FALSE())=0,-1E+300,-0.5*((J286-Components!$D$5)/Components!$E$5)^2))</f>
        <v/>
      </c>
      <c r="O286">
        <f>IF(G286="","",IF(VLOOKUP(C286,Recipes!$A$2:$N$4,8,FALSE())=0,-1E+300,-0.5*((J286-Components!$D$6)/Components!$E$6)^2))</f>
        <v/>
      </c>
      <c r="P286">
        <f>IF(G286="","",IF(VLOOKUP(C286,Recipes!$A$2:$N$4,9,FALSE())=0,-1E+300,-0.5*((J286-Components!$D$7)/Components!$E$7)^2))</f>
        <v/>
      </c>
      <c r="Q286">
        <f>IF(G286="","",EXP(LARGE(K286:P286,1)-MAX(K286:P286))/(EXP(K286-MAX(K286:P286))+EXP(L286-MAX(K286:P286))+EXP(M286-MAX(K286:P286))+EXP(N286-MAX(K286:P286))+EXP(O286-MAX(K286:P286))+EXP(P286-MAX(K286:P286))))</f>
        <v/>
      </c>
      <c r="R286">
        <f>IF(G286="","",EXP(LARGE(K286:P286,2)-MAX(K286:P286))/(EXP(K286-MAX(K286:P286))+EXP(L286-MAX(K286:P286))+EXP(M286-MAX(K286:P286))+EXP(N286-MAX(K286:P286))+EXP(O286-MAX(K286:P286))+EXP(P286-MAX(K286:P286))))</f>
        <v/>
      </c>
      <c r="S286">
        <f>IF(G286="","",Q286-R286)</f>
        <v/>
      </c>
      <c r="T286">
        <f>IF(G286="","",IF(ABS(G286-H286)&lt;=$B$6*I286,"OK","NG"))</f>
        <v/>
      </c>
      <c r="U286">
        <f>IF(T286="","",IF(T286=D286,1,0))</f>
        <v/>
      </c>
      <c r="V286">
        <f>IF(G286="","",IF(T286="OK","NONE",INDEX({"S1","S2","W1","W2","N1","N2"},MATCH(MAX(K286:P286),K286:P286,0))))</f>
        <v/>
      </c>
      <c r="W286">
        <f>IF(G286="","",IF(V286=E286,1,0))</f>
        <v/>
      </c>
      <c r="X286">
        <f>IF(G286="","",IF(AND(T286="NG",S286&lt;$B$7),"AMBIGUOUS","CONFIDENT"))</f>
        <v/>
      </c>
    </row>
    <row r="287">
      <c r="A287">
        <f>'Runs Z score'!A280</f>
        <v/>
      </c>
      <c r="B287">
        <f>'Runs Z score'!B280</f>
        <v/>
      </c>
      <c r="C287">
        <f>'Runs Z score'!C280</f>
        <v/>
      </c>
      <c r="D287">
        <f>'Runs Z score'!D280</f>
        <v/>
      </c>
      <c r="E287">
        <f>'Runs Z score'!E280</f>
        <v/>
      </c>
      <c r="F287">
        <f>'Runs Z score'!F280</f>
        <v/>
      </c>
      <c r="G287">
        <f>'Runs Z score'!G280</f>
        <v/>
      </c>
      <c r="H287">
        <f>VLOOKUP(C287,Recipes!$A$2:$N$4,10,FALSE())</f>
        <v/>
      </c>
      <c r="I287">
        <f>VLOOKUP(C287,Recipes!$A$2:$N$4,12,FALSE())</f>
        <v/>
      </c>
      <c r="J287">
        <f>IF(G287="","",H287-G287)</f>
        <v/>
      </c>
      <c r="K287">
        <f>IF(G287="","",IF(VLOOKUP(C287,Recipes!$A$2:$N$4,4,FALSE())=0,-1E+300,-0.5*((J287-Components!$D$2)/Components!$E$2)^2))</f>
        <v/>
      </c>
      <c r="L287">
        <f>IF(G287="","",IF(VLOOKUP(C287,Recipes!$A$2:$N$4,5,FALSE())=0,-1E+300,-0.5*((J287-Components!$D$3)/Components!$E$3)^2))</f>
        <v/>
      </c>
      <c r="M287">
        <f>IF(G287="","",IF(VLOOKUP(C287,Recipes!$A$2:$N$4,6,FALSE())=0,-1E+300,-0.5*((J287-Components!$D$4)/Components!$E$4)^2))</f>
        <v/>
      </c>
      <c r="N287">
        <f>IF(G287="","",IF(VLOOKUP(C287,Recipes!$A$2:$N$4,7,FALSE())=0,-1E+300,-0.5*((J287-Components!$D$5)/Components!$E$5)^2))</f>
        <v/>
      </c>
      <c r="O287">
        <f>IF(G287="","",IF(VLOOKUP(C287,Recipes!$A$2:$N$4,8,FALSE())=0,-1E+300,-0.5*((J287-Components!$D$6)/Components!$E$6)^2))</f>
        <v/>
      </c>
      <c r="P287">
        <f>IF(G287="","",IF(VLOOKUP(C287,Recipes!$A$2:$N$4,9,FALSE())=0,-1E+300,-0.5*((J287-Components!$D$7)/Components!$E$7)^2))</f>
        <v/>
      </c>
      <c r="Q287">
        <f>IF(G287="","",EXP(LARGE(K287:P287,1)-MAX(K287:P287))/(EXP(K287-MAX(K287:P287))+EXP(L287-MAX(K287:P287))+EXP(M287-MAX(K287:P287))+EXP(N287-MAX(K287:P287))+EXP(O287-MAX(K287:P287))+EXP(P287-MAX(K287:P287))))</f>
        <v/>
      </c>
      <c r="R287">
        <f>IF(G287="","",EXP(LARGE(K287:P287,2)-MAX(K287:P287))/(EXP(K287-MAX(K287:P287))+EXP(L287-MAX(K287:P287))+EXP(M287-MAX(K287:P287))+EXP(N287-MAX(K287:P287))+EXP(O287-MAX(K287:P287))+EXP(P287-MAX(K287:P287))))</f>
        <v/>
      </c>
      <c r="S287">
        <f>IF(G287="","",Q287-R287)</f>
        <v/>
      </c>
      <c r="T287">
        <f>IF(G287="","",IF(ABS(G287-H287)&lt;=$B$6*I287,"OK","NG"))</f>
        <v/>
      </c>
      <c r="U287">
        <f>IF(T287="","",IF(T287=D287,1,0))</f>
        <v/>
      </c>
      <c r="V287">
        <f>IF(G287="","",IF(T287="OK","NONE",INDEX({"S1","S2","W1","W2","N1","N2"},MATCH(MAX(K287:P287),K287:P287,0))))</f>
        <v/>
      </c>
      <c r="W287">
        <f>IF(G287="","",IF(V287=E287,1,0))</f>
        <v/>
      </c>
      <c r="X287">
        <f>IF(G287="","",IF(AND(T287="NG",S287&lt;$B$7),"AMBIGUOUS","CONFIDENT"))</f>
        <v/>
      </c>
    </row>
    <row r="288">
      <c r="A288">
        <f>'Runs Z score'!A281</f>
        <v/>
      </c>
      <c r="B288">
        <f>'Runs Z score'!B281</f>
        <v/>
      </c>
      <c r="C288">
        <f>'Runs Z score'!C281</f>
        <v/>
      </c>
      <c r="D288">
        <f>'Runs Z score'!D281</f>
        <v/>
      </c>
      <c r="E288">
        <f>'Runs Z score'!E281</f>
        <v/>
      </c>
      <c r="F288">
        <f>'Runs Z score'!F281</f>
        <v/>
      </c>
      <c r="G288">
        <f>'Runs Z score'!G281</f>
        <v/>
      </c>
      <c r="H288">
        <f>VLOOKUP(C288,Recipes!$A$2:$N$4,10,FALSE())</f>
        <v/>
      </c>
      <c r="I288">
        <f>VLOOKUP(C288,Recipes!$A$2:$N$4,12,FALSE())</f>
        <v/>
      </c>
      <c r="J288">
        <f>IF(G288="","",H288-G288)</f>
        <v/>
      </c>
      <c r="K288">
        <f>IF(G288="","",IF(VLOOKUP(C288,Recipes!$A$2:$N$4,4,FALSE())=0,-1E+300,-0.5*((J288-Components!$D$2)/Components!$E$2)^2))</f>
        <v/>
      </c>
      <c r="L288">
        <f>IF(G288="","",IF(VLOOKUP(C288,Recipes!$A$2:$N$4,5,FALSE())=0,-1E+300,-0.5*((J288-Components!$D$3)/Components!$E$3)^2))</f>
        <v/>
      </c>
      <c r="M288">
        <f>IF(G288="","",IF(VLOOKUP(C288,Recipes!$A$2:$N$4,6,FALSE())=0,-1E+300,-0.5*((J288-Components!$D$4)/Components!$E$4)^2))</f>
        <v/>
      </c>
      <c r="N288">
        <f>IF(G288="","",IF(VLOOKUP(C288,Recipes!$A$2:$N$4,7,FALSE())=0,-1E+300,-0.5*((J288-Components!$D$5)/Components!$E$5)^2))</f>
        <v/>
      </c>
      <c r="O288">
        <f>IF(G288="","",IF(VLOOKUP(C288,Recipes!$A$2:$N$4,8,FALSE())=0,-1E+300,-0.5*((J288-Components!$D$6)/Components!$E$6)^2))</f>
        <v/>
      </c>
      <c r="P288">
        <f>IF(G288="","",IF(VLOOKUP(C288,Recipes!$A$2:$N$4,9,FALSE())=0,-1E+300,-0.5*((J288-Components!$D$7)/Components!$E$7)^2))</f>
        <v/>
      </c>
      <c r="Q288">
        <f>IF(G288="","",EXP(LARGE(K288:P288,1)-MAX(K288:P288))/(EXP(K288-MAX(K288:P288))+EXP(L288-MAX(K288:P288))+EXP(M288-MAX(K288:P288))+EXP(N288-MAX(K288:P288))+EXP(O288-MAX(K288:P288))+EXP(P288-MAX(K288:P288))))</f>
        <v/>
      </c>
      <c r="R288">
        <f>IF(G288="","",EXP(LARGE(K288:P288,2)-MAX(K288:P288))/(EXP(K288-MAX(K288:P288))+EXP(L288-MAX(K288:P288))+EXP(M288-MAX(K288:P288))+EXP(N288-MAX(K288:P288))+EXP(O288-MAX(K288:P288))+EXP(P288-MAX(K288:P288))))</f>
        <v/>
      </c>
      <c r="S288">
        <f>IF(G288="","",Q288-R288)</f>
        <v/>
      </c>
      <c r="T288">
        <f>IF(G288="","",IF(ABS(G288-H288)&lt;=$B$6*I288,"OK","NG"))</f>
        <v/>
      </c>
      <c r="U288">
        <f>IF(T288="","",IF(T288=D288,1,0))</f>
        <v/>
      </c>
      <c r="V288">
        <f>IF(G288="","",IF(T288="OK","NONE",INDEX({"S1","S2","W1","W2","N1","N2"},MATCH(MAX(K288:P288),K288:P288,0))))</f>
        <v/>
      </c>
      <c r="W288">
        <f>IF(G288="","",IF(V288=E288,1,0))</f>
        <v/>
      </c>
      <c r="X288">
        <f>IF(G288="","",IF(AND(T288="NG",S288&lt;$B$7),"AMBIGUOUS","CONFIDENT"))</f>
        <v/>
      </c>
    </row>
    <row r="289">
      <c r="A289">
        <f>'Runs Z score'!A282</f>
        <v/>
      </c>
      <c r="B289">
        <f>'Runs Z score'!B282</f>
        <v/>
      </c>
      <c r="C289">
        <f>'Runs Z score'!C282</f>
        <v/>
      </c>
      <c r="D289">
        <f>'Runs Z score'!D282</f>
        <v/>
      </c>
      <c r="E289">
        <f>'Runs Z score'!E282</f>
        <v/>
      </c>
      <c r="F289">
        <f>'Runs Z score'!F282</f>
        <v/>
      </c>
      <c r="G289">
        <f>'Runs Z score'!G282</f>
        <v/>
      </c>
      <c r="H289">
        <f>VLOOKUP(C289,Recipes!$A$2:$N$4,10,FALSE())</f>
        <v/>
      </c>
      <c r="I289">
        <f>VLOOKUP(C289,Recipes!$A$2:$N$4,12,FALSE())</f>
        <v/>
      </c>
      <c r="J289">
        <f>IF(G289="","",H289-G289)</f>
        <v/>
      </c>
      <c r="K289">
        <f>IF(G289="","",IF(VLOOKUP(C289,Recipes!$A$2:$N$4,4,FALSE())=0,-1E+300,-0.5*((J289-Components!$D$2)/Components!$E$2)^2))</f>
        <v/>
      </c>
      <c r="L289">
        <f>IF(G289="","",IF(VLOOKUP(C289,Recipes!$A$2:$N$4,5,FALSE())=0,-1E+300,-0.5*((J289-Components!$D$3)/Components!$E$3)^2))</f>
        <v/>
      </c>
      <c r="M289">
        <f>IF(G289="","",IF(VLOOKUP(C289,Recipes!$A$2:$N$4,6,FALSE())=0,-1E+300,-0.5*((J289-Components!$D$4)/Components!$E$4)^2))</f>
        <v/>
      </c>
      <c r="N289">
        <f>IF(G289="","",IF(VLOOKUP(C289,Recipes!$A$2:$N$4,7,FALSE())=0,-1E+300,-0.5*((J289-Components!$D$5)/Components!$E$5)^2))</f>
        <v/>
      </c>
      <c r="O289">
        <f>IF(G289="","",IF(VLOOKUP(C289,Recipes!$A$2:$N$4,8,FALSE())=0,-1E+300,-0.5*((J289-Components!$D$6)/Components!$E$6)^2))</f>
        <v/>
      </c>
      <c r="P289">
        <f>IF(G289="","",IF(VLOOKUP(C289,Recipes!$A$2:$N$4,9,FALSE())=0,-1E+300,-0.5*((J289-Components!$D$7)/Components!$E$7)^2))</f>
        <v/>
      </c>
      <c r="Q289">
        <f>IF(G289="","",EXP(LARGE(K289:P289,1)-MAX(K289:P289))/(EXP(K289-MAX(K289:P289))+EXP(L289-MAX(K289:P289))+EXP(M289-MAX(K289:P289))+EXP(N289-MAX(K289:P289))+EXP(O289-MAX(K289:P289))+EXP(P289-MAX(K289:P289))))</f>
        <v/>
      </c>
      <c r="R289">
        <f>IF(G289="","",EXP(LARGE(K289:P289,2)-MAX(K289:P289))/(EXP(K289-MAX(K289:P289))+EXP(L289-MAX(K289:P289))+EXP(M289-MAX(K289:P289))+EXP(N289-MAX(K289:P289))+EXP(O289-MAX(K289:P289))+EXP(P289-MAX(K289:P289))))</f>
        <v/>
      </c>
      <c r="S289">
        <f>IF(G289="","",Q289-R289)</f>
        <v/>
      </c>
      <c r="T289">
        <f>IF(G289="","",IF(ABS(G289-H289)&lt;=$B$6*I289,"OK","NG"))</f>
        <v/>
      </c>
      <c r="U289">
        <f>IF(T289="","",IF(T289=D289,1,0))</f>
        <v/>
      </c>
      <c r="V289">
        <f>IF(G289="","",IF(T289="OK","NONE",INDEX({"S1","S2","W1","W2","N1","N2"},MATCH(MAX(K289:P289),K289:P289,0))))</f>
        <v/>
      </c>
      <c r="W289">
        <f>IF(G289="","",IF(V289=E289,1,0))</f>
        <v/>
      </c>
      <c r="X289">
        <f>IF(G289="","",IF(AND(T289="NG",S289&lt;$B$7),"AMBIGUOUS","CONFIDENT"))</f>
        <v/>
      </c>
    </row>
    <row r="290">
      <c r="A290">
        <f>'Runs Z score'!A283</f>
        <v/>
      </c>
      <c r="B290">
        <f>'Runs Z score'!B283</f>
        <v/>
      </c>
      <c r="C290">
        <f>'Runs Z score'!C283</f>
        <v/>
      </c>
      <c r="D290">
        <f>'Runs Z score'!D283</f>
        <v/>
      </c>
      <c r="E290">
        <f>'Runs Z score'!E283</f>
        <v/>
      </c>
      <c r="F290">
        <f>'Runs Z score'!F283</f>
        <v/>
      </c>
      <c r="G290">
        <f>'Runs Z score'!G283</f>
        <v/>
      </c>
      <c r="H290">
        <f>VLOOKUP(C290,Recipes!$A$2:$N$4,10,FALSE())</f>
        <v/>
      </c>
      <c r="I290">
        <f>VLOOKUP(C290,Recipes!$A$2:$N$4,12,FALSE())</f>
        <v/>
      </c>
      <c r="J290">
        <f>IF(G290="","",H290-G290)</f>
        <v/>
      </c>
      <c r="K290">
        <f>IF(G290="","",IF(VLOOKUP(C290,Recipes!$A$2:$N$4,4,FALSE())=0,-1E+300,-0.5*((J290-Components!$D$2)/Components!$E$2)^2))</f>
        <v/>
      </c>
      <c r="L290">
        <f>IF(G290="","",IF(VLOOKUP(C290,Recipes!$A$2:$N$4,5,FALSE())=0,-1E+300,-0.5*((J290-Components!$D$3)/Components!$E$3)^2))</f>
        <v/>
      </c>
      <c r="M290">
        <f>IF(G290="","",IF(VLOOKUP(C290,Recipes!$A$2:$N$4,6,FALSE())=0,-1E+300,-0.5*((J290-Components!$D$4)/Components!$E$4)^2))</f>
        <v/>
      </c>
      <c r="N290">
        <f>IF(G290="","",IF(VLOOKUP(C290,Recipes!$A$2:$N$4,7,FALSE())=0,-1E+300,-0.5*((J290-Components!$D$5)/Components!$E$5)^2))</f>
        <v/>
      </c>
      <c r="O290">
        <f>IF(G290="","",IF(VLOOKUP(C290,Recipes!$A$2:$N$4,8,FALSE())=0,-1E+300,-0.5*((J290-Components!$D$6)/Components!$E$6)^2))</f>
        <v/>
      </c>
      <c r="P290">
        <f>IF(G290="","",IF(VLOOKUP(C290,Recipes!$A$2:$N$4,9,FALSE())=0,-1E+300,-0.5*((J290-Components!$D$7)/Components!$E$7)^2))</f>
        <v/>
      </c>
      <c r="Q290">
        <f>IF(G290="","",EXP(LARGE(K290:P290,1)-MAX(K290:P290))/(EXP(K290-MAX(K290:P290))+EXP(L290-MAX(K290:P290))+EXP(M290-MAX(K290:P290))+EXP(N290-MAX(K290:P290))+EXP(O290-MAX(K290:P290))+EXP(P290-MAX(K290:P290))))</f>
        <v/>
      </c>
      <c r="R290">
        <f>IF(G290="","",EXP(LARGE(K290:P290,2)-MAX(K290:P290))/(EXP(K290-MAX(K290:P290))+EXP(L290-MAX(K290:P290))+EXP(M290-MAX(K290:P290))+EXP(N290-MAX(K290:P290))+EXP(O290-MAX(K290:P290))+EXP(P290-MAX(K290:P290))))</f>
        <v/>
      </c>
      <c r="S290">
        <f>IF(G290="","",Q290-R290)</f>
        <v/>
      </c>
      <c r="T290">
        <f>IF(G290="","",IF(ABS(G290-H290)&lt;=$B$6*I290,"OK","NG"))</f>
        <v/>
      </c>
      <c r="U290">
        <f>IF(T290="","",IF(T290=D290,1,0))</f>
        <v/>
      </c>
      <c r="V290">
        <f>IF(G290="","",IF(T290="OK","NONE",INDEX({"S1","S2","W1","W2","N1","N2"},MATCH(MAX(K290:P290),K290:P290,0))))</f>
        <v/>
      </c>
      <c r="W290">
        <f>IF(G290="","",IF(V290=E290,1,0))</f>
        <v/>
      </c>
      <c r="X290">
        <f>IF(G290="","",IF(AND(T290="NG",S290&lt;$B$7),"AMBIGUOUS","CONFIDENT"))</f>
        <v/>
      </c>
    </row>
    <row r="291">
      <c r="A291">
        <f>'Runs Z score'!A284</f>
        <v/>
      </c>
      <c r="B291">
        <f>'Runs Z score'!B284</f>
        <v/>
      </c>
      <c r="C291">
        <f>'Runs Z score'!C284</f>
        <v/>
      </c>
      <c r="D291">
        <f>'Runs Z score'!D284</f>
        <v/>
      </c>
      <c r="E291">
        <f>'Runs Z score'!E284</f>
        <v/>
      </c>
      <c r="F291">
        <f>'Runs Z score'!F284</f>
        <v/>
      </c>
      <c r="G291">
        <f>'Runs Z score'!G284</f>
        <v/>
      </c>
      <c r="H291">
        <f>VLOOKUP(C291,Recipes!$A$2:$N$4,10,FALSE())</f>
        <v/>
      </c>
      <c r="I291">
        <f>VLOOKUP(C291,Recipes!$A$2:$N$4,12,FALSE())</f>
        <v/>
      </c>
      <c r="J291">
        <f>IF(G291="","",H291-G291)</f>
        <v/>
      </c>
      <c r="K291">
        <f>IF(G291="","",IF(VLOOKUP(C291,Recipes!$A$2:$N$4,4,FALSE())=0,-1E+300,-0.5*((J291-Components!$D$2)/Components!$E$2)^2))</f>
        <v/>
      </c>
      <c r="L291">
        <f>IF(G291="","",IF(VLOOKUP(C291,Recipes!$A$2:$N$4,5,FALSE())=0,-1E+300,-0.5*((J291-Components!$D$3)/Components!$E$3)^2))</f>
        <v/>
      </c>
      <c r="M291">
        <f>IF(G291="","",IF(VLOOKUP(C291,Recipes!$A$2:$N$4,6,FALSE())=0,-1E+300,-0.5*((J291-Components!$D$4)/Components!$E$4)^2))</f>
        <v/>
      </c>
      <c r="N291">
        <f>IF(G291="","",IF(VLOOKUP(C291,Recipes!$A$2:$N$4,7,FALSE())=0,-1E+300,-0.5*((J291-Components!$D$5)/Components!$E$5)^2))</f>
        <v/>
      </c>
      <c r="O291">
        <f>IF(G291="","",IF(VLOOKUP(C291,Recipes!$A$2:$N$4,8,FALSE())=0,-1E+300,-0.5*((J291-Components!$D$6)/Components!$E$6)^2))</f>
        <v/>
      </c>
      <c r="P291">
        <f>IF(G291="","",IF(VLOOKUP(C291,Recipes!$A$2:$N$4,9,FALSE())=0,-1E+300,-0.5*((J291-Components!$D$7)/Components!$E$7)^2))</f>
        <v/>
      </c>
      <c r="Q291">
        <f>IF(G291="","",EXP(LARGE(K291:P291,1)-MAX(K291:P291))/(EXP(K291-MAX(K291:P291))+EXP(L291-MAX(K291:P291))+EXP(M291-MAX(K291:P291))+EXP(N291-MAX(K291:P291))+EXP(O291-MAX(K291:P291))+EXP(P291-MAX(K291:P291))))</f>
        <v/>
      </c>
      <c r="R291">
        <f>IF(G291="","",EXP(LARGE(K291:P291,2)-MAX(K291:P291))/(EXP(K291-MAX(K291:P291))+EXP(L291-MAX(K291:P291))+EXP(M291-MAX(K291:P291))+EXP(N291-MAX(K291:P291))+EXP(O291-MAX(K291:P291))+EXP(P291-MAX(K291:P291))))</f>
        <v/>
      </c>
      <c r="S291">
        <f>IF(G291="","",Q291-R291)</f>
        <v/>
      </c>
      <c r="T291">
        <f>IF(G291="","",IF(ABS(G291-H291)&lt;=$B$6*I291,"OK","NG"))</f>
        <v/>
      </c>
      <c r="U291">
        <f>IF(T291="","",IF(T291=D291,1,0))</f>
        <v/>
      </c>
      <c r="V291">
        <f>IF(G291="","",IF(T291="OK","NONE",INDEX({"S1","S2","W1","W2","N1","N2"},MATCH(MAX(K291:P291),K291:P291,0))))</f>
        <v/>
      </c>
      <c r="W291">
        <f>IF(G291="","",IF(V291=E291,1,0))</f>
        <v/>
      </c>
      <c r="X291">
        <f>IF(G291="","",IF(AND(T291="NG",S291&lt;$B$7),"AMBIGUOUS","CONFIDENT"))</f>
        <v/>
      </c>
    </row>
    <row r="292">
      <c r="A292">
        <f>'Runs Z score'!A285</f>
        <v/>
      </c>
      <c r="B292">
        <f>'Runs Z score'!B285</f>
        <v/>
      </c>
      <c r="C292">
        <f>'Runs Z score'!C285</f>
        <v/>
      </c>
      <c r="D292">
        <f>'Runs Z score'!D285</f>
        <v/>
      </c>
      <c r="E292">
        <f>'Runs Z score'!E285</f>
        <v/>
      </c>
      <c r="F292">
        <f>'Runs Z score'!F285</f>
        <v/>
      </c>
      <c r="G292">
        <f>'Runs Z score'!G285</f>
        <v/>
      </c>
      <c r="H292">
        <f>VLOOKUP(C292,Recipes!$A$2:$N$4,10,FALSE())</f>
        <v/>
      </c>
      <c r="I292">
        <f>VLOOKUP(C292,Recipes!$A$2:$N$4,12,FALSE())</f>
        <v/>
      </c>
      <c r="J292">
        <f>IF(G292="","",H292-G292)</f>
        <v/>
      </c>
      <c r="K292">
        <f>IF(G292="","",IF(VLOOKUP(C292,Recipes!$A$2:$N$4,4,FALSE())=0,-1E+300,-0.5*((J292-Components!$D$2)/Components!$E$2)^2))</f>
        <v/>
      </c>
      <c r="L292">
        <f>IF(G292="","",IF(VLOOKUP(C292,Recipes!$A$2:$N$4,5,FALSE())=0,-1E+300,-0.5*((J292-Components!$D$3)/Components!$E$3)^2))</f>
        <v/>
      </c>
      <c r="M292">
        <f>IF(G292="","",IF(VLOOKUP(C292,Recipes!$A$2:$N$4,6,FALSE())=0,-1E+300,-0.5*((J292-Components!$D$4)/Components!$E$4)^2))</f>
        <v/>
      </c>
      <c r="N292">
        <f>IF(G292="","",IF(VLOOKUP(C292,Recipes!$A$2:$N$4,7,FALSE())=0,-1E+300,-0.5*((J292-Components!$D$5)/Components!$E$5)^2))</f>
        <v/>
      </c>
      <c r="O292">
        <f>IF(G292="","",IF(VLOOKUP(C292,Recipes!$A$2:$N$4,8,FALSE())=0,-1E+300,-0.5*((J292-Components!$D$6)/Components!$E$6)^2))</f>
        <v/>
      </c>
      <c r="P292">
        <f>IF(G292="","",IF(VLOOKUP(C292,Recipes!$A$2:$N$4,9,FALSE())=0,-1E+300,-0.5*((J292-Components!$D$7)/Components!$E$7)^2))</f>
        <v/>
      </c>
      <c r="Q292">
        <f>IF(G292="","",EXP(LARGE(K292:P292,1)-MAX(K292:P292))/(EXP(K292-MAX(K292:P292))+EXP(L292-MAX(K292:P292))+EXP(M292-MAX(K292:P292))+EXP(N292-MAX(K292:P292))+EXP(O292-MAX(K292:P292))+EXP(P292-MAX(K292:P292))))</f>
        <v/>
      </c>
      <c r="R292">
        <f>IF(G292="","",EXP(LARGE(K292:P292,2)-MAX(K292:P292))/(EXP(K292-MAX(K292:P292))+EXP(L292-MAX(K292:P292))+EXP(M292-MAX(K292:P292))+EXP(N292-MAX(K292:P292))+EXP(O292-MAX(K292:P292))+EXP(P292-MAX(K292:P292))))</f>
        <v/>
      </c>
      <c r="S292">
        <f>IF(G292="","",Q292-R292)</f>
        <v/>
      </c>
      <c r="T292">
        <f>IF(G292="","",IF(ABS(G292-H292)&lt;=$B$6*I292,"OK","NG"))</f>
        <v/>
      </c>
      <c r="U292">
        <f>IF(T292="","",IF(T292=D292,1,0))</f>
        <v/>
      </c>
      <c r="V292">
        <f>IF(G292="","",IF(T292="OK","NONE",INDEX({"S1","S2","W1","W2","N1","N2"},MATCH(MAX(K292:P292),K292:P292,0))))</f>
        <v/>
      </c>
      <c r="W292">
        <f>IF(G292="","",IF(V292=E292,1,0))</f>
        <v/>
      </c>
      <c r="X292">
        <f>IF(G292="","",IF(AND(T292="NG",S292&lt;$B$7),"AMBIGUOUS","CONFIDENT"))</f>
        <v/>
      </c>
    </row>
    <row r="293">
      <c r="A293">
        <f>'Runs Z score'!A286</f>
        <v/>
      </c>
      <c r="B293">
        <f>'Runs Z score'!B286</f>
        <v/>
      </c>
      <c r="C293">
        <f>'Runs Z score'!C286</f>
        <v/>
      </c>
      <c r="D293">
        <f>'Runs Z score'!D286</f>
        <v/>
      </c>
      <c r="E293">
        <f>'Runs Z score'!E286</f>
        <v/>
      </c>
      <c r="F293">
        <f>'Runs Z score'!F286</f>
        <v/>
      </c>
      <c r="G293">
        <f>'Runs Z score'!G286</f>
        <v/>
      </c>
      <c r="H293">
        <f>VLOOKUP(C293,Recipes!$A$2:$N$4,10,FALSE())</f>
        <v/>
      </c>
      <c r="I293">
        <f>VLOOKUP(C293,Recipes!$A$2:$N$4,12,FALSE())</f>
        <v/>
      </c>
      <c r="J293">
        <f>IF(G293="","",H293-G293)</f>
        <v/>
      </c>
      <c r="K293">
        <f>IF(G293="","",IF(VLOOKUP(C293,Recipes!$A$2:$N$4,4,FALSE())=0,-1E+300,-0.5*((J293-Components!$D$2)/Components!$E$2)^2))</f>
        <v/>
      </c>
      <c r="L293">
        <f>IF(G293="","",IF(VLOOKUP(C293,Recipes!$A$2:$N$4,5,FALSE())=0,-1E+300,-0.5*((J293-Components!$D$3)/Components!$E$3)^2))</f>
        <v/>
      </c>
      <c r="M293">
        <f>IF(G293="","",IF(VLOOKUP(C293,Recipes!$A$2:$N$4,6,FALSE())=0,-1E+300,-0.5*((J293-Components!$D$4)/Components!$E$4)^2))</f>
        <v/>
      </c>
      <c r="N293">
        <f>IF(G293="","",IF(VLOOKUP(C293,Recipes!$A$2:$N$4,7,FALSE())=0,-1E+300,-0.5*((J293-Components!$D$5)/Components!$E$5)^2))</f>
        <v/>
      </c>
      <c r="O293">
        <f>IF(G293="","",IF(VLOOKUP(C293,Recipes!$A$2:$N$4,8,FALSE())=0,-1E+300,-0.5*((J293-Components!$D$6)/Components!$E$6)^2))</f>
        <v/>
      </c>
      <c r="P293">
        <f>IF(G293="","",IF(VLOOKUP(C293,Recipes!$A$2:$N$4,9,FALSE())=0,-1E+300,-0.5*((J293-Components!$D$7)/Components!$E$7)^2))</f>
        <v/>
      </c>
      <c r="Q293">
        <f>IF(G293="","",EXP(LARGE(K293:P293,1)-MAX(K293:P293))/(EXP(K293-MAX(K293:P293))+EXP(L293-MAX(K293:P293))+EXP(M293-MAX(K293:P293))+EXP(N293-MAX(K293:P293))+EXP(O293-MAX(K293:P293))+EXP(P293-MAX(K293:P293))))</f>
        <v/>
      </c>
      <c r="R293">
        <f>IF(G293="","",EXP(LARGE(K293:P293,2)-MAX(K293:P293))/(EXP(K293-MAX(K293:P293))+EXP(L293-MAX(K293:P293))+EXP(M293-MAX(K293:P293))+EXP(N293-MAX(K293:P293))+EXP(O293-MAX(K293:P293))+EXP(P293-MAX(K293:P293))))</f>
        <v/>
      </c>
      <c r="S293">
        <f>IF(G293="","",Q293-R293)</f>
        <v/>
      </c>
      <c r="T293">
        <f>IF(G293="","",IF(ABS(G293-H293)&lt;=$B$6*I293,"OK","NG"))</f>
        <v/>
      </c>
      <c r="U293">
        <f>IF(T293="","",IF(T293=D293,1,0))</f>
        <v/>
      </c>
      <c r="V293">
        <f>IF(G293="","",IF(T293="OK","NONE",INDEX({"S1","S2","W1","W2","N1","N2"},MATCH(MAX(K293:P293),K293:P293,0))))</f>
        <v/>
      </c>
      <c r="W293">
        <f>IF(G293="","",IF(V293=E293,1,0))</f>
        <v/>
      </c>
      <c r="X293">
        <f>IF(G293="","",IF(AND(T293="NG",S293&lt;$B$7),"AMBIGUOUS","CONFIDENT"))</f>
        <v/>
      </c>
    </row>
    <row r="294">
      <c r="A294">
        <f>'Runs Z score'!A287</f>
        <v/>
      </c>
      <c r="B294">
        <f>'Runs Z score'!B287</f>
        <v/>
      </c>
      <c r="C294">
        <f>'Runs Z score'!C287</f>
        <v/>
      </c>
      <c r="D294">
        <f>'Runs Z score'!D287</f>
        <v/>
      </c>
      <c r="E294">
        <f>'Runs Z score'!E287</f>
        <v/>
      </c>
      <c r="F294">
        <f>'Runs Z score'!F287</f>
        <v/>
      </c>
      <c r="G294">
        <f>'Runs Z score'!G287</f>
        <v/>
      </c>
      <c r="H294">
        <f>VLOOKUP(C294,Recipes!$A$2:$N$4,10,FALSE())</f>
        <v/>
      </c>
      <c r="I294">
        <f>VLOOKUP(C294,Recipes!$A$2:$N$4,12,FALSE())</f>
        <v/>
      </c>
      <c r="J294">
        <f>IF(G294="","",H294-G294)</f>
        <v/>
      </c>
      <c r="K294">
        <f>IF(G294="","",IF(VLOOKUP(C294,Recipes!$A$2:$N$4,4,FALSE())=0,-1E+300,-0.5*((J294-Components!$D$2)/Components!$E$2)^2))</f>
        <v/>
      </c>
      <c r="L294">
        <f>IF(G294="","",IF(VLOOKUP(C294,Recipes!$A$2:$N$4,5,FALSE())=0,-1E+300,-0.5*((J294-Components!$D$3)/Components!$E$3)^2))</f>
        <v/>
      </c>
      <c r="M294">
        <f>IF(G294="","",IF(VLOOKUP(C294,Recipes!$A$2:$N$4,6,FALSE())=0,-1E+300,-0.5*((J294-Components!$D$4)/Components!$E$4)^2))</f>
        <v/>
      </c>
      <c r="N294">
        <f>IF(G294="","",IF(VLOOKUP(C294,Recipes!$A$2:$N$4,7,FALSE())=0,-1E+300,-0.5*((J294-Components!$D$5)/Components!$E$5)^2))</f>
        <v/>
      </c>
      <c r="O294">
        <f>IF(G294="","",IF(VLOOKUP(C294,Recipes!$A$2:$N$4,8,FALSE())=0,-1E+300,-0.5*((J294-Components!$D$6)/Components!$E$6)^2))</f>
        <v/>
      </c>
      <c r="P294">
        <f>IF(G294="","",IF(VLOOKUP(C294,Recipes!$A$2:$N$4,9,FALSE())=0,-1E+300,-0.5*((J294-Components!$D$7)/Components!$E$7)^2))</f>
        <v/>
      </c>
      <c r="Q294">
        <f>IF(G294="","",EXP(LARGE(K294:P294,1)-MAX(K294:P294))/(EXP(K294-MAX(K294:P294))+EXP(L294-MAX(K294:P294))+EXP(M294-MAX(K294:P294))+EXP(N294-MAX(K294:P294))+EXP(O294-MAX(K294:P294))+EXP(P294-MAX(K294:P294))))</f>
        <v/>
      </c>
      <c r="R294">
        <f>IF(G294="","",EXP(LARGE(K294:P294,2)-MAX(K294:P294))/(EXP(K294-MAX(K294:P294))+EXP(L294-MAX(K294:P294))+EXP(M294-MAX(K294:P294))+EXP(N294-MAX(K294:P294))+EXP(O294-MAX(K294:P294))+EXP(P294-MAX(K294:P294))))</f>
        <v/>
      </c>
      <c r="S294">
        <f>IF(G294="","",Q294-R294)</f>
        <v/>
      </c>
      <c r="T294">
        <f>IF(G294="","",IF(ABS(G294-H294)&lt;=$B$6*I294,"OK","NG"))</f>
        <v/>
      </c>
      <c r="U294">
        <f>IF(T294="","",IF(T294=D294,1,0))</f>
        <v/>
      </c>
      <c r="V294">
        <f>IF(G294="","",IF(T294="OK","NONE",INDEX({"S1","S2","W1","W2","N1","N2"},MATCH(MAX(K294:P294),K294:P294,0))))</f>
        <v/>
      </c>
      <c r="W294">
        <f>IF(G294="","",IF(V294=E294,1,0))</f>
        <v/>
      </c>
      <c r="X294">
        <f>IF(G294="","",IF(AND(T294="NG",S294&lt;$B$7),"AMBIGUOUS","CONFIDENT"))</f>
        <v/>
      </c>
    </row>
    <row r="295">
      <c r="A295">
        <f>'Runs Z score'!A288</f>
        <v/>
      </c>
      <c r="B295">
        <f>'Runs Z score'!B288</f>
        <v/>
      </c>
      <c r="C295">
        <f>'Runs Z score'!C288</f>
        <v/>
      </c>
      <c r="D295">
        <f>'Runs Z score'!D288</f>
        <v/>
      </c>
      <c r="E295">
        <f>'Runs Z score'!E288</f>
        <v/>
      </c>
      <c r="F295">
        <f>'Runs Z score'!F288</f>
        <v/>
      </c>
      <c r="G295">
        <f>'Runs Z score'!G288</f>
        <v/>
      </c>
      <c r="H295">
        <f>VLOOKUP(C295,Recipes!$A$2:$N$4,10,FALSE())</f>
        <v/>
      </c>
      <c r="I295">
        <f>VLOOKUP(C295,Recipes!$A$2:$N$4,12,FALSE())</f>
        <v/>
      </c>
      <c r="J295">
        <f>IF(G295="","",H295-G295)</f>
        <v/>
      </c>
      <c r="K295">
        <f>IF(G295="","",IF(VLOOKUP(C295,Recipes!$A$2:$N$4,4,FALSE())=0,-1E+300,-0.5*((J295-Components!$D$2)/Components!$E$2)^2))</f>
        <v/>
      </c>
      <c r="L295">
        <f>IF(G295="","",IF(VLOOKUP(C295,Recipes!$A$2:$N$4,5,FALSE())=0,-1E+300,-0.5*((J295-Components!$D$3)/Components!$E$3)^2))</f>
        <v/>
      </c>
      <c r="M295">
        <f>IF(G295="","",IF(VLOOKUP(C295,Recipes!$A$2:$N$4,6,FALSE())=0,-1E+300,-0.5*((J295-Components!$D$4)/Components!$E$4)^2))</f>
        <v/>
      </c>
      <c r="N295">
        <f>IF(G295="","",IF(VLOOKUP(C295,Recipes!$A$2:$N$4,7,FALSE())=0,-1E+300,-0.5*((J295-Components!$D$5)/Components!$E$5)^2))</f>
        <v/>
      </c>
      <c r="O295">
        <f>IF(G295="","",IF(VLOOKUP(C295,Recipes!$A$2:$N$4,8,FALSE())=0,-1E+300,-0.5*((J295-Components!$D$6)/Components!$E$6)^2))</f>
        <v/>
      </c>
      <c r="P295">
        <f>IF(G295="","",IF(VLOOKUP(C295,Recipes!$A$2:$N$4,9,FALSE())=0,-1E+300,-0.5*((J295-Components!$D$7)/Components!$E$7)^2))</f>
        <v/>
      </c>
      <c r="Q295">
        <f>IF(G295="","",EXP(LARGE(K295:P295,1)-MAX(K295:P295))/(EXP(K295-MAX(K295:P295))+EXP(L295-MAX(K295:P295))+EXP(M295-MAX(K295:P295))+EXP(N295-MAX(K295:P295))+EXP(O295-MAX(K295:P295))+EXP(P295-MAX(K295:P295))))</f>
        <v/>
      </c>
      <c r="R295">
        <f>IF(G295="","",EXP(LARGE(K295:P295,2)-MAX(K295:P295))/(EXP(K295-MAX(K295:P295))+EXP(L295-MAX(K295:P295))+EXP(M295-MAX(K295:P295))+EXP(N295-MAX(K295:P295))+EXP(O295-MAX(K295:P295))+EXP(P295-MAX(K295:P295))))</f>
        <v/>
      </c>
      <c r="S295">
        <f>IF(G295="","",Q295-R295)</f>
        <v/>
      </c>
      <c r="T295">
        <f>IF(G295="","",IF(ABS(G295-H295)&lt;=$B$6*I295,"OK","NG"))</f>
        <v/>
      </c>
      <c r="U295">
        <f>IF(T295="","",IF(T295=D295,1,0))</f>
        <v/>
      </c>
      <c r="V295">
        <f>IF(G295="","",IF(T295="OK","NONE",INDEX({"S1","S2","W1","W2","N1","N2"},MATCH(MAX(K295:P295),K295:P295,0))))</f>
        <v/>
      </c>
      <c r="W295">
        <f>IF(G295="","",IF(V295=E295,1,0))</f>
        <v/>
      </c>
      <c r="X295">
        <f>IF(G295="","",IF(AND(T295="NG",S295&lt;$B$7),"AMBIGUOUS","CONFIDENT"))</f>
        <v/>
      </c>
    </row>
    <row r="296">
      <c r="A296">
        <f>'Runs Z score'!A289</f>
        <v/>
      </c>
      <c r="B296">
        <f>'Runs Z score'!B289</f>
        <v/>
      </c>
      <c r="C296">
        <f>'Runs Z score'!C289</f>
        <v/>
      </c>
      <c r="D296">
        <f>'Runs Z score'!D289</f>
        <v/>
      </c>
      <c r="E296">
        <f>'Runs Z score'!E289</f>
        <v/>
      </c>
      <c r="F296">
        <f>'Runs Z score'!F289</f>
        <v/>
      </c>
      <c r="G296">
        <f>'Runs Z score'!G289</f>
        <v/>
      </c>
      <c r="H296">
        <f>VLOOKUP(C296,Recipes!$A$2:$N$4,10,FALSE())</f>
        <v/>
      </c>
      <c r="I296">
        <f>VLOOKUP(C296,Recipes!$A$2:$N$4,12,FALSE())</f>
        <v/>
      </c>
      <c r="J296">
        <f>IF(G296="","",H296-G296)</f>
        <v/>
      </c>
      <c r="K296">
        <f>IF(G296="","",IF(VLOOKUP(C296,Recipes!$A$2:$N$4,4,FALSE())=0,-1E+300,-0.5*((J296-Components!$D$2)/Components!$E$2)^2))</f>
        <v/>
      </c>
      <c r="L296">
        <f>IF(G296="","",IF(VLOOKUP(C296,Recipes!$A$2:$N$4,5,FALSE())=0,-1E+300,-0.5*((J296-Components!$D$3)/Components!$E$3)^2))</f>
        <v/>
      </c>
      <c r="M296">
        <f>IF(G296="","",IF(VLOOKUP(C296,Recipes!$A$2:$N$4,6,FALSE())=0,-1E+300,-0.5*((J296-Components!$D$4)/Components!$E$4)^2))</f>
        <v/>
      </c>
      <c r="N296">
        <f>IF(G296="","",IF(VLOOKUP(C296,Recipes!$A$2:$N$4,7,FALSE())=0,-1E+300,-0.5*((J296-Components!$D$5)/Components!$E$5)^2))</f>
        <v/>
      </c>
      <c r="O296">
        <f>IF(G296="","",IF(VLOOKUP(C296,Recipes!$A$2:$N$4,8,FALSE())=0,-1E+300,-0.5*((J296-Components!$D$6)/Components!$E$6)^2))</f>
        <v/>
      </c>
      <c r="P296">
        <f>IF(G296="","",IF(VLOOKUP(C296,Recipes!$A$2:$N$4,9,FALSE())=0,-1E+300,-0.5*((J296-Components!$D$7)/Components!$E$7)^2))</f>
        <v/>
      </c>
      <c r="Q296">
        <f>IF(G296="","",EXP(LARGE(K296:P296,1)-MAX(K296:P296))/(EXP(K296-MAX(K296:P296))+EXP(L296-MAX(K296:P296))+EXP(M296-MAX(K296:P296))+EXP(N296-MAX(K296:P296))+EXP(O296-MAX(K296:P296))+EXP(P296-MAX(K296:P296))))</f>
        <v/>
      </c>
      <c r="R296">
        <f>IF(G296="","",EXP(LARGE(K296:P296,2)-MAX(K296:P296))/(EXP(K296-MAX(K296:P296))+EXP(L296-MAX(K296:P296))+EXP(M296-MAX(K296:P296))+EXP(N296-MAX(K296:P296))+EXP(O296-MAX(K296:P296))+EXP(P296-MAX(K296:P296))))</f>
        <v/>
      </c>
      <c r="S296">
        <f>IF(G296="","",Q296-R296)</f>
        <v/>
      </c>
      <c r="T296">
        <f>IF(G296="","",IF(ABS(G296-H296)&lt;=$B$6*I296,"OK","NG"))</f>
        <v/>
      </c>
      <c r="U296">
        <f>IF(T296="","",IF(T296=D296,1,0))</f>
        <v/>
      </c>
      <c r="V296">
        <f>IF(G296="","",IF(T296="OK","NONE",INDEX({"S1","S2","W1","W2","N1","N2"},MATCH(MAX(K296:P296),K296:P296,0))))</f>
        <v/>
      </c>
      <c r="W296">
        <f>IF(G296="","",IF(V296=E296,1,0))</f>
        <v/>
      </c>
      <c r="X296">
        <f>IF(G296="","",IF(AND(T296="NG",S296&lt;$B$7),"AMBIGUOUS","CONFIDENT"))</f>
        <v/>
      </c>
    </row>
    <row r="297">
      <c r="A297">
        <f>'Runs Z score'!A290</f>
        <v/>
      </c>
      <c r="B297">
        <f>'Runs Z score'!B290</f>
        <v/>
      </c>
      <c r="C297">
        <f>'Runs Z score'!C290</f>
        <v/>
      </c>
      <c r="D297">
        <f>'Runs Z score'!D290</f>
        <v/>
      </c>
      <c r="E297">
        <f>'Runs Z score'!E290</f>
        <v/>
      </c>
      <c r="F297">
        <f>'Runs Z score'!F290</f>
        <v/>
      </c>
      <c r="G297">
        <f>'Runs Z score'!G290</f>
        <v/>
      </c>
      <c r="H297">
        <f>VLOOKUP(C297,Recipes!$A$2:$N$4,10,FALSE())</f>
        <v/>
      </c>
      <c r="I297">
        <f>VLOOKUP(C297,Recipes!$A$2:$N$4,12,FALSE())</f>
        <v/>
      </c>
      <c r="J297">
        <f>IF(G297="","",H297-G297)</f>
        <v/>
      </c>
      <c r="K297">
        <f>IF(G297="","",IF(VLOOKUP(C297,Recipes!$A$2:$N$4,4,FALSE())=0,-1E+300,-0.5*((J297-Components!$D$2)/Components!$E$2)^2))</f>
        <v/>
      </c>
      <c r="L297">
        <f>IF(G297="","",IF(VLOOKUP(C297,Recipes!$A$2:$N$4,5,FALSE())=0,-1E+300,-0.5*((J297-Components!$D$3)/Components!$E$3)^2))</f>
        <v/>
      </c>
      <c r="M297">
        <f>IF(G297="","",IF(VLOOKUP(C297,Recipes!$A$2:$N$4,6,FALSE())=0,-1E+300,-0.5*((J297-Components!$D$4)/Components!$E$4)^2))</f>
        <v/>
      </c>
      <c r="N297">
        <f>IF(G297="","",IF(VLOOKUP(C297,Recipes!$A$2:$N$4,7,FALSE())=0,-1E+300,-0.5*((J297-Components!$D$5)/Components!$E$5)^2))</f>
        <v/>
      </c>
      <c r="O297">
        <f>IF(G297="","",IF(VLOOKUP(C297,Recipes!$A$2:$N$4,8,FALSE())=0,-1E+300,-0.5*((J297-Components!$D$6)/Components!$E$6)^2))</f>
        <v/>
      </c>
      <c r="P297">
        <f>IF(G297="","",IF(VLOOKUP(C297,Recipes!$A$2:$N$4,9,FALSE())=0,-1E+300,-0.5*((J297-Components!$D$7)/Components!$E$7)^2))</f>
        <v/>
      </c>
      <c r="Q297">
        <f>IF(G297="","",EXP(LARGE(K297:P297,1)-MAX(K297:P297))/(EXP(K297-MAX(K297:P297))+EXP(L297-MAX(K297:P297))+EXP(M297-MAX(K297:P297))+EXP(N297-MAX(K297:P297))+EXP(O297-MAX(K297:P297))+EXP(P297-MAX(K297:P297))))</f>
        <v/>
      </c>
      <c r="R297">
        <f>IF(G297="","",EXP(LARGE(K297:P297,2)-MAX(K297:P297))/(EXP(K297-MAX(K297:P297))+EXP(L297-MAX(K297:P297))+EXP(M297-MAX(K297:P297))+EXP(N297-MAX(K297:P297))+EXP(O297-MAX(K297:P297))+EXP(P297-MAX(K297:P297))))</f>
        <v/>
      </c>
      <c r="S297">
        <f>IF(G297="","",Q297-R297)</f>
        <v/>
      </c>
      <c r="T297">
        <f>IF(G297="","",IF(ABS(G297-H297)&lt;=$B$6*I297,"OK","NG"))</f>
        <v/>
      </c>
      <c r="U297">
        <f>IF(T297="","",IF(T297=D297,1,0))</f>
        <v/>
      </c>
      <c r="V297">
        <f>IF(G297="","",IF(T297="OK","NONE",INDEX({"S1","S2","W1","W2","N1","N2"},MATCH(MAX(K297:P297),K297:P297,0))))</f>
        <v/>
      </c>
      <c r="W297">
        <f>IF(G297="","",IF(V297=E297,1,0))</f>
        <v/>
      </c>
      <c r="X297">
        <f>IF(G297="","",IF(AND(T297="NG",S297&lt;$B$7),"AMBIGUOUS","CONFIDENT"))</f>
        <v/>
      </c>
    </row>
    <row r="298">
      <c r="A298">
        <f>'Runs Z score'!A291</f>
        <v/>
      </c>
      <c r="B298">
        <f>'Runs Z score'!B291</f>
        <v/>
      </c>
      <c r="C298">
        <f>'Runs Z score'!C291</f>
        <v/>
      </c>
      <c r="D298">
        <f>'Runs Z score'!D291</f>
        <v/>
      </c>
      <c r="E298">
        <f>'Runs Z score'!E291</f>
        <v/>
      </c>
      <c r="F298">
        <f>'Runs Z score'!F291</f>
        <v/>
      </c>
      <c r="G298">
        <f>'Runs Z score'!G291</f>
        <v/>
      </c>
      <c r="H298">
        <f>VLOOKUP(C298,Recipes!$A$2:$N$4,10,FALSE())</f>
        <v/>
      </c>
      <c r="I298">
        <f>VLOOKUP(C298,Recipes!$A$2:$N$4,12,FALSE())</f>
        <v/>
      </c>
      <c r="J298">
        <f>IF(G298="","",H298-G298)</f>
        <v/>
      </c>
      <c r="K298">
        <f>IF(G298="","",IF(VLOOKUP(C298,Recipes!$A$2:$N$4,4,FALSE())=0,-1E+300,-0.5*((J298-Components!$D$2)/Components!$E$2)^2))</f>
        <v/>
      </c>
      <c r="L298">
        <f>IF(G298="","",IF(VLOOKUP(C298,Recipes!$A$2:$N$4,5,FALSE())=0,-1E+300,-0.5*((J298-Components!$D$3)/Components!$E$3)^2))</f>
        <v/>
      </c>
      <c r="M298">
        <f>IF(G298="","",IF(VLOOKUP(C298,Recipes!$A$2:$N$4,6,FALSE())=0,-1E+300,-0.5*((J298-Components!$D$4)/Components!$E$4)^2))</f>
        <v/>
      </c>
      <c r="N298">
        <f>IF(G298="","",IF(VLOOKUP(C298,Recipes!$A$2:$N$4,7,FALSE())=0,-1E+300,-0.5*((J298-Components!$D$5)/Components!$E$5)^2))</f>
        <v/>
      </c>
      <c r="O298">
        <f>IF(G298="","",IF(VLOOKUP(C298,Recipes!$A$2:$N$4,8,FALSE())=0,-1E+300,-0.5*((J298-Components!$D$6)/Components!$E$6)^2))</f>
        <v/>
      </c>
      <c r="P298">
        <f>IF(G298="","",IF(VLOOKUP(C298,Recipes!$A$2:$N$4,9,FALSE())=0,-1E+300,-0.5*((J298-Components!$D$7)/Components!$E$7)^2))</f>
        <v/>
      </c>
      <c r="Q298">
        <f>IF(G298="","",EXP(LARGE(K298:P298,1)-MAX(K298:P298))/(EXP(K298-MAX(K298:P298))+EXP(L298-MAX(K298:P298))+EXP(M298-MAX(K298:P298))+EXP(N298-MAX(K298:P298))+EXP(O298-MAX(K298:P298))+EXP(P298-MAX(K298:P298))))</f>
        <v/>
      </c>
      <c r="R298">
        <f>IF(G298="","",EXP(LARGE(K298:P298,2)-MAX(K298:P298))/(EXP(K298-MAX(K298:P298))+EXP(L298-MAX(K298:P298))+EXP(M298-MAX(K298:P298))+EXP(N298-MAX(K298:P298))+EXP(O298-MAX(K298:P298))+EXP(P298-MAX(K298:P298))))</f>
        <v/>
      </c>
      <c r="S298">
        <f>IF(G298="","",Q298-R298)</f>
        <v/>
      </c>
      <c r="T298">
        <f>IF(G298="","",IF(ABS(G298-H298)&lt;=$B$6*I298,"OK","NG"))</f>
        <v/>
      </c>
      <c r="U298">
        <f>IF(T298="","",IF(T298=D298,1,0))</f>
        <v/>
      </c>
      <c r="V298">
        <f>IF(G298="","",IF(T298="OK","NONE",INDEX({"S1","S2","W1","W2","N1","N2"},MATCH(MAX(K298:P298),K298:P298,0))))</f>
        <v/>
      </c>
      <c r="W298">
        <f>IF(G298="","",IF(V298=E298,1,0))</f>
        <v/>
      </c>
      <c r="X298">
        <f>IF(G298="","",IF(AND(T298="NG",S298&lt;$B$7),"AMBIGUOUS","CONFIDENT"))</f>
        <v/>
      </c>
    </row>
    <row r="299">
      <c r="A299">
        <f>'Runs Z score'!A292</f>
        <v/>
      </c>
      <c r="B299">
        <f>'Runs Z score'!B292</f>
        <v/>
      </c>
      <c r="C299">
        <f>'Runs Z score'!C292</f>
        <v/>
      </c>
      <c r="D299">
        <f>'Runs Z score'!D292</f>
        <v/>
      </c>
      <c r="E299">
        <f>'Runs Z score'!E292</f>
        <v/>
      </c>
      <c r="F299">
        <f>'Runs Z score'!F292</f>
        <v/>
      </c>
      <c r="G299">
        <f>'Runs Z score'!G292</f>
        <v/>
      </c>
      <c r="H299">
        <f>VLOOKUP(C299,Recipes!$A$2:$N$4,10,FALSE())</f>
        <v/>
      </c>
      <c r="I299">
        <f>VLOOKUP(C299,Recipes!$A$2:$N$4,12,FALSE())</f>
        <v/>
      </c>
      <c r="J299">
        <f>IF(G299="","",H299-G299)</f>
        <v/>
      </c>
      <c r="K299">
        <f>IF(G299="","",IF(VLOOKUP(C299,Recipes!$A$2:$N$4,4,FALSE())=0,-1E+300,-0.5*((J299-Components!$D$2)/Components!$E$2)^2))</f>
        <v/>
      </c>
      <c r="L299">
        <f>IF(G299="","",IF(VLOOKUP(C299,Recipes!$A$2:$N$4,5,FALSE())=0,-1E+300,-0.5*((J299-Components!$D$3)/Components!$E$3)^2))</f>
        <v/>
      </c>
      <c r="M299">
        <f>IF(G299="","",IF(VLOOKUP(C299,Recipes!$A$2:$N$4,6,FALSE())=0,-1E+300,-0.5*((J299-Components!$D$4)/Components!$E$4)^2))</f>
        <v/>
      </c>
      <c r="N299">
        <f>IF(G299="","",IF(VLOOKUP(C299,Recipes!$A$2:$N$4,7,FALSE())=0,-1E+300,-0.5*((J299-Components!$D$5)/Components!$E$5)^2))</f>
        <v/>
      </c>
      <c r="O299">
        <f>IF(G299="","",IF(VLOOKUP(C299,Recipes!$A$2:$N$4,8,FALSE())=0,-1E+300,-0.5*((J299-Components!$D$6)/Components!$E$6)^2))</f>
        <v/>
      </c>
      <c r="P299">
        <f>IF(G299="","",IF(VLOOKUP(C299,Recipes!$A$2:$N$4,9,FALSE())=0,-1E+300,-0.5*((J299-Components!$D$7)/Components!$E$7)^2))</f>
        <v/>
      </c>
      <c r="Q299">
        <f>IF(G299="","",EXP(LARGE(K299:P299,1)-MAX(K299:P299))/(EXP(K299-MAX(K299:P299))+EXP(L299-MAX(K299:P299))+EXP(M299-MAX(K299:P299))+EXP(N299-MAX(K299:P299))+EXP(O299-MAX(K299:P299))+EXP(P299-MAX(K299:P299))))</f>
        <v/>
      </c>
      <c r="R299">
        <f>IF(G299="","",EXP(LARGE(K299:P299,2)-MAX(K299:P299))/(EXP(K299-MAX(K299:P299))+EXP(L299-MAX(K299:P299))+EXP(M299-MAX(K299:P299))+EXP(N299-MAX(K299:P299))+EXP(O299-MAX(K299:P299))+EXP(P299-MAX(K299:P299))))</f>
        <v/>
      </c>
      <c r="S299">
        <f>IF(G299="","",Q299-R299)</f>
        <v/>
      </c>
      <c r="T299">
        <f>IF(G299="","",IF(ABS(G299-H299)&lt;=$B$6*I299,"OK","NG"))</f>
        <v/>
      </c>
      <c r="U299">
        <f>IF(T299="","",IF(T299=D299,1,0))</f>
        <v/>
      </c>
      <c r="V299">
        <f>IF(G299="","",IF(T299="OK","NONE",INDEX({"S1","S2","W1","W2","N1","N2"},MATCH(MAX(K299:P299),K299:P299,0))))</f>
        <v/>
      </c>
      <c r="W299">
        <f>IF(G299="","",IF(V299=E299,1,0))</f>
        <v/>
      </c>
      <c r="X299">
        <f>IF(G299="","",IF(AND(T299="NG",S299&lt;$B$7),"AMBIGUOUS","CONFIDENT"))</f>
        <v/>
      </c>
    </row>
    <row r="300">
      <c r="A300">
        <f>'Runs Z score'!A293</f>
        <v/>
      </c>
      <c r="B300">
        <f>'Runs Z score'!B293</f>
        <v/>
      </c>
      <c r="C300">
        <f>'Runs Z score'!C293</f>
        <v/>
      </c>
      <c r="D300">
        <f>'Runs Z score'!D293</f>
        <v/>
      </c>
      <c r="E300">
        <f>'Runs Z score'!E293</f>
        <v/>
      </c>
      <c r="F300">
        <f>'Runs Z score'!F293</f>
        <v/>
      </c>
      <c r="G300">
        <f>'Runs Z score'!G293</f>
        <v/>
      </c>
      <c r="H300">
        <f>VLOOKUP(C300,Recipes!$A$2:$N$4,10,FALSE())</f>
        <v/>
      </c>
      <c r="I300">
        <f>VLOOKUP(C300,Recipes!$A$2:$N$4,12,FALSE())</f>
        <v/>
      </c>
      <c r="J300">
        <f>IF(G300="","",H300-G300)</f>
        <v/>
      </c>
      <c r="K300">
        <f>IF(G300="","",IF(VLOOKUP(C300,Recipes!$A$2:$N$4,4,FALSE())=0,-1E+300,-0.5*((J300-Components!$D$2)/Components!$E$2)^2))</f>
        <v/>
      </c>
      <c r="L300">
        <f>IF(G300="","",IF(VLOOKUP(C300,Recipes!$A$2:$N$4,5,FALSE())=0,-1E+300,-0.5*((J300-Components!$D$3)/Components!$E$3)^2))</f>
        <v/>
      </c>
      <c r="M300">
        <f>IF(G300="","",IF(VLOOKUP(C300,Recipes!$A$2:$N$4,6,FALSE())=0,-1E+300,-0.5*((J300-Components!$D$4)/Components!$E$4)^2))</f>
        <v/>
      </c>
      <c r="N300">
        <f>IF(G300="","",IF(VLOOKUP(C300,Recipes!$A$2:$N$4,7,FALSE())=0,-1E+300,-0.5*((J300-Components!$D$5)/Components!$E$5)^2))</f>
        <v/>
      </c>
      <c r="O300">
        <f>IF(G300="","",IF(VLOOKUP(C300,Recipes!$A$2:$N$4,8,FALSE())=0,-1E+300,-0.5*((J300-Components!$D$6)/Components!$E$6)^2))</f>
        <v/>
      </c>
      <c r="P300">
        <f>IF(G300="","",IF(VLOOKUP(C300,Recipes!$A$2:$N$4,9,FALSE())=0,-1E+300,-0.5*((J300-Components!$D$7)/Components!$E$7)^2))</f>
        <v/>
      </c>
      <c r="Q300">
        <f>IF(G300="","",EXP(LARGE(K300:P300,1)-MAX(K300:P300))/(EXP(K300-MAX(K300:P300))+EXP(L300-MAX(K300:P300))+EXP(M300-MAX(K300:P300))+EXP(N300-MAX(K300:P300))+EXP(O300-MAX(K300:P300))+EXP(P300-MAX(K300:P300))))</f>
        <v/>
      </c>
      <c r="R300">
        <f>IF(G300="","",EXP(LARGE(K300:P300,2)-MAX(K300:P300))/(EXP(K300-MAX(K300:P300))+EXP(L300-MAX(K300:P300))+EXP(M300-MAX(K300:P300))+EXP(N300-MAX(K300:P300))+EXP(O300-MAX(K300:P300))+EXP(P300-MAX(K300:P300))))</f>
        <v/>
      </c>
      <c r="S300">
        <f>IF(G300="","",Q300-R300)</f>
        <v/>
      </c>
      <c r="T300">
        <f>IF(G300="","",IF(ABS(G300-H300)&lt;=$B$6*I300,"OK","NG"))</f>
        <v/>
      </c>
      <c r="U300">
        <f>IF(T300="","",IF(T300=D300,1,0))</f>
        <v/>
      </c>
      <c r="V300">
        <f>IF(G300="","",IF(T300="OK","NONE",INDEX({"S1","S2","W1","W2","N1","N2"},MATCH(MAX(K300:P300),K300:P300,0))))</f>
        <v/>
      </c>
      <c r="W300">
        <f>IF(G300="","",IF(V300=E300,1,0))</f>
        <v/>
      </c>
      <c r="X300">
        <f>IF(G300="","",IF(AND(T300="NG",S300&lt;$B$7),"AMBIGUOUS","CONFIDENT"))</f>
        <v/>
      </c>
    </row>
    <row r="301">
      <c r="A301">
        <f>'Runs Z score'!A294</f>
        <v/>
      </c>
      <c r="B301">
        <f>'Runs Z score'!B294</f>
        <v/>
      </c>
      <c r="C301">
        <f>'Runs Z score'!C294</f>
        <v/>
      </c>
      <c r="D301">
        <f>'Runs Z score'!D294</f>
        <v/>
      </c>
      <c r="E301">
        <f>'Runs Z score'!E294</f>
        <v/>
      </c>
      <c r="F301">
        <f>'Runs Z score'!F294</f>
        <v/>
      </c>
      <c r="G301">
        <f>'Runs Z score'!G294</f>
        <v/>
      </c>
      <c r="H301">
        <f>VLOOKUP(C301,Recipes!$A$2:$N$4,10,FALSE())</f>
        <v/>
      </c>
      <c r="I301">
        <f>VLOOKUP(C301,Recipes!$A$2:$N$4,12,FALSE())</f>
        <v/>
      </c>
      <c r="J301">
        <f>IF(G301="","",H301-G301)</f>
        <v/>
      </c>
      <c r="K301">
        <f>IF(G301="","",IF(VLOOKUP(C301,Recipes!$A$2:$N$4,4,FALSE())=0,-1E+300,-0.5*((J301-Components!$D$2)/Components!$E$2)^2))</f>
        <v/>
      </c>
      <c r="L301">
        <f>IF(G301="","",IF(VLOOKUP(C301,Recipes!$A$2:$N$4,5,FALSE())=0,-1E+300,-0.5*((J301-Components!$D$3)/Components!$E$3)^2))</f>
        <v/>
      </c>
      <c r="M301">
        <f>IF(G301="","",IF(VLOOKUP(C301,Recipes!$A$2:$N$4,6,FALSE())=0,-1E+300,-0.5*((J301-Components!$D$4)/Components!$E$4)^2))</f>
        <v/>
      </c>
      <c r="N301">
        <f>IF(G301="","",IF(VLOOKUP(C301,Recipes!$A$2:$N$4,7,FALSE())=0,-1E+300,-0.5*((J301-Components!$D$5)/Components!$E$5)^2))</f>
        <v/>
      </c>
      <c r="O301">
        <f>IF(G301="","",IF(VLOOKUP(C301,Recipes!$A$2:$N$4,8,FALSE())=0,-1E+300,-0.5*((J301-Components!$D$6)/Components!$E$6)^2))</f>
        <v/>
      </c>
      <c r="P301">
        <f>IF(G301="","",IF(VLOOKUP(C301,Recipes!$A$2:$N$4,9,FALSE())=0,-1E+300,-0.5*((J301-Components!$D$7)/Components!$E$7)^2))</f>
        <v/>
      </c>
      <c r="Q301">
        <f>IF(G301="","",EXP(LARGE(K301:P301,1)-MAX(K301:P301))/(EXP(K301-MAX(K301:P301))+EXP(L301-MAX(K301:P301))+EXP(M301-MAX(K301:P301))+EXP(N301-MAX(K301:P301))+EXP(O301-MAX(K301:P301))+EXP(P301-MAX(K301:P301))))</f>
        <v/>
      </c>
      <c r="R301">
        <f>IF(G301="","",EXP(LARGE(K301:P301,2)-MAX(K301:P301))/(EXP(K301-MAX(K301:P301))+EXP(L301-MAX(K301:P301))+EXP(M301-MAX(K301:P301))+EXP(N301-MAX(K301:P301))+EXP(O301-MAX(K301:P301))+EXP(P301-MAX(K301:P301))))</f>
        <v/>
      </c>
      <c r="S301">
        <f>IF(G301="","",Q301-R301)</f>
        <v/>
      </c>
      <c r="T301">
        <f>IF(G301="","",IF(ABS(G301-H301)&lt;=$B$6*I301,"OK","NG"))</f>
        <v/>
      </c>
      <c r="U301">
        <f>IF(T301="","",IF(T301=D301,1,0))</f>
        <v/>
      </c>
      <c r="V301">
        <f>IF(G301="","",IF(T301="OK","NONE",INDEX({"S1","S2","W1","W2","N1","N2"},MATCH(MAX(K301:P301),K301:P301,0))))</f>
        <v/>
      </c>
      <c r="W301">
        <f>IF(G301="","",IF(V301=E301,1,0))</f>
        <v/>
      </c>
      <c r="X301">
        <f>IF(G301="","",IF(AND(T301="NG",S301&lt;$B$7),"AMBIGUOUS","CONFIDENT"))</f>
        <v/>
      </c>
    </row>
    <row r="302">
      <c r="A302">
        <f>'Runs Z score'!A295</f>
        <v/>
      </c>
      <c r="B302">
        <f>'Runs Z score'!B295</f>
        <v/>
      </c>
      <c r="C302">
        <f>'Runs Z score'!C295</f>
        <v/>
      </c>
      <c r="D302">
        <f>'Runs Z score'!D295</f>
        <v/>
      </c>
      <c r="E302">
        <f>'Runs Z score'!E295</f>
        <v/>
      </c>
      <c r="F302">
        <f>'Runs Z score'!F295</f>
        <v/>
      </c>
      <c r="G302">
        <f>'Runs Z score'!G295</f>
        <v/>
      </c>
      <c r="H302">
        <f>VLOOKUP(C302,Recipes!$A$2:$N$4,10,FALSE())</f>
        <v/>
      </c>
      <c r="I302">
        <f>VLOOKUP(C302,Recipes!$A$2:$N$4,12,FALSE())</f>
        <v/>
      </c>
      <c r="J302">
        <f>IF(G302="","",H302-G302)</f>
        <v/>
      </c>
      <c r="K302">
        <f>IF(G302="","",IF(VLOOKUP(C302,Recipes!$A$2:$N$4,4,FALSE())=0,-1E+300,-0.5*((J302-Components!$D$2)/Components!$E$2)^2))</f>
        <v/>
      </c>
      <c r="L302">
        <f>IF(G302="","",IF(VLOOKUP(C302,Recipes!$A$2:$N$4,5,FALSE())=0,-1E+300,-0.5*((J302-Components!$D$3)/Components!$E$3)^2))</f>
        <v/>
      </c>
      <c r="M302">
        <f>IF(G302="","",IF(VLOOKUP(C302,Recipes!$A$2:$N$4,6,FALSE())=0,-1E+300,-0.5*((J302-Components!$D$4)/Components!$E$4)^2))</f>
        <v/>
      </c>
      <c r="N302">
        <f>IF(G302="","",IF(VLOOKUP(C302,Recipes!$A$2:$N$4,7,FALSE())=0,-1E+300,-0.5*((J302-Components!$D$5)/Components!$E$5)^2))</f>
        <v/>
      </c>
      <c r="O302">
        <f>IF(G302="","",IF(VLOOKUP(C302,Recipes!$A$2:$N$4,8,FALSE())=0,-1E+300,-0.5*((J302-Components!$D$6)/Components!$E$6)^2))</f>
        <v/>
      </c>
      <c r="P302">
        <f>IF(G302="","",IF(VLOOKUP(C302,Recipes!$A$2:$N$4,9,FALSE())=0,-1E+300,-0.5*((J302-Components!$D$7)/Components!$E$7)^2))</f>
        <v/>
      </c>
      <c r="Q302">
        <f>IF(G302="","",EXP(LARGE(K302:P302,1)-MAX(K302:P302))/(EXP(K302-MAX(K302:P302))+EXP(L302-MAX(K302:P302))+EXP(M302-MAX(K302:P302))+EXP(N302-MAX(K302:P302))+EXP(O302-MAX(K302:P302))+EXP(P302-MAX(K302:P302))))</f>
        <v/>
      </c>
      <c r="R302">
        <f>IF(G302="","",EXP(LARGE(K302:P302,2)-MAX(K302:P302))/(EXP(K302-MAX(K302:P302))+EXP(L302-MAX(K302:P302))+EXP(M302-MAX(K302:P302))+EXP(N302-MAX(K302:P302))+EXP(O302-MAX(K302:P302))+EXP(P302-MAX(K302:P302))))</f>
        <v/>
      </c>
      <c r="S302">
        <f>IF(G302="","",Q302-R302)</f>
        <v/>
      </c>
      <c r="T302">
        <f>IF(G302="","",IF(ABS(G302-H302)&lt;=$B$6*I302,"OK","NG"))</f>
        <v/>
      </c>
      <c r="U302">
        <f>IF(T302="","",IF(T302=D302,1,0))</f>
        <v/>
      </c>
      <c r="V302">
        <f>IF(G302="","",IF(T302="OK","NONE",INDEX({"S1","S2","W1","W2","N1","N2"},MATCH(MAX(K302:P302),K302:P302,0))))</f>
        <v/>
      </c>
      <c r="W302">
        <f>IF(G302="","",IF(V302=E302,1,0))</f>
        <v/>
      </c>
      <c r="X302">
        <f>IF(G302="","",IF(AND(T302="NG",S302&lt;$B$7),"AMBIGUOUS","CONFIDENT"))</f>
        <v/>
      </c>
    </row>
    <row r="303">
      <c r="A303">
        <f>'Runs Z score'!A296</f>
        <v/>
      </c>
      <c r="B303">
        <f>'Runs Z score'!B296</f>
        <v/>
      </c>
      <c r="C303">
        <f>'Runs Z score'!C296</f>
        <v/>
      </c>
      <c r="D303">
        <f>'Runs Z score'!D296</f>
        <v/>
      </c>
      <c r="E303">
        <f>'Runs Z score'!E296</f>
        <v/>
      </c>
      <c r="F303">
        <f>'Runs Z score'!F296</f>
        <v/>
      </c>
      <c r="G303">
        <f>'Runs Z score'!G296</f>
        <v/>
      </c>
      <c r="H303">
        <f>VLOOKUP(C303,Recipes!$A$2:$N$4,10,FALSE())</f>
        <v/>
      </c>
      <c r="I303">
        <f>VLOOKUP(C303,Recipes!$A$2:$N$4,12,FALSE())</f>
        <v/>
      </c>
      <c r="J303">
        <f>IF(G303="","",H303-G303)</f>
        <v/>
      </c>
      <c r="K303">
        <f>IF(G303="","",IF(VLOOKUP(C303,Recipes!$A$2:$N$4,4,FALSE())=0,-1E+300,-0.5*((J303-Components!$D$2)/Components!$E$2)^2))</f>
        <v/>
      </c>
      <c r="L303">
        <f>IF(G303="","",IF(VLOOKUP(C303,Recipes!$A$2:$N$4,5,FALSE())=0,-1E+300,-0.5*((J303-Components!$D$3)/Components!$E$3)^2))</f>
        <v/>
      </c>
      <c r="M303">
        <f>IF(G303="","",IF(VLOOKUP(C303,Recipes!$A$2:$N$4,6,FALSE())=0,-1E+300,-0.5*((J303-Components!$D$4)/Components!$E$4)^2))</f>
        <v/>
      </c>
      <c r="N303">
        <f>IF(G303="","",IF(VLOOKUP(C303,Recipes!$A$2:$N$4,7,FALSE())=0,-1E+300,-0.5*((J303-Components!$D$5)/Components!$E$5)^2))</f>
        <v/>
      </c>
      <c r="O303">
        <f>IF(G303="","",IF(VLOOKUP(C303,Recipes!$A$2:$N$4,8,FALSE())=0,-1E+300,-0.5*((J303-Components!$D$6)/Components!$E$6)^2))</f>
        <v/>
      </c>
      <c r="P303">
        <f>IF(G303="","",IF(VLOOKUP(C303,Recipes!$A$2:$N$4,9,FALSE())=0,-1E+300,-0.5*((J303-Components!$D$7)/Components!$E$7)^2))</f>
        <v/>
      </c>
      <c r="Q303">
        <f>IF(G303="","",EXP(LARGE(K303:P303,1)-MAX(K303:P303))/(EXP(K303-MAX(K303:P303))+EXP(L303-MAX(K303:P303))+EXP(M303-MAX(K303:P303))+EXP(N303-MAX(K303:P303))+EXP(O303-MAX(K303:P303))+EXP(P303-MAX(K303:P303))))</f>
        <v/>
      </c>
      <c r="R303">
        <f>IF(G303="","",EXP(LARGE(K303:P303,2)-MAX(K303:P303))/(EXP(K303-MAX(K303:P303))+EXP(L303-MAX(K303:P303))+EXP(M303-MAX(K303:P303))+EXP(N303-MAX(K303:P303))+EXP(O303-MAX(K303:P303))+EXP(P303-MAX(K303:P303))))</f>
        <v/>
      </c>
      <c r="S303">
        <f>IF(G303="","",Q303-R303)</f>
        <v/>
      </c>
      <c r="T303">
        <f>IF(G303="","",IF(ABS(G303-H303)&lt;=$B$6*I303,"OK","NG"))</f>
        <v/>
      </c>
      <c r="U303">
        <f>IF(T303="","",IF(T303=D303,1,0))</f>
        <v/>
      </c>
      <c r="V303">
        <f>IF(G303="","",IF(T303="OK","NONE",INDEX({"S1","S2","W1","W2","N1","N2"},MATCH(MAX(K303:P303),K303:P303,0))))</f>
        <v/>
      </c>
      <c r="W303">
        <f>IF(G303="","",IF(V303=E303,1,0))</f>
        <v/>
      </c>
      <c r="X303">
        <f>IF(G303="","",IF(AND(T303="NG",S303&lt;$B$7),"AMBIGUOUS","CONFIDENT"))</f>
        <v/>
      </c>
    </row>
    <row r="304">
      <c r="A304">
        <f>'Runs Z score'!A297</f>
        <v/>
      </c>
      <c r="B304">
        <f>'Runs Z score'!B297</f>
        <v/>
      </c>
      <c r="C304">
        <f>'Runs Z score'!C297</f>
        <v/>
      </c>
      <c r="D304">
        <f>'Runs Z score'!D297</f>
        <v/>
      </c>
      <c r="E304">
        <f>'Runs Z score'!E297</f>
        <v/>
      </c>
      <c r="F304">
        <f>'Runs Z score'!F297</f>
        <v/>
      </c>
      <c r="G304">
        <f>'Runs Z score'!G297</f>
        <v/>
      </c>
      <c r="H304">
        <f>VLOOKUP(C304,Recipes!$A$2:$N$4,10,FALSE())</f>
        <v/>
      </c>
      <c r="I304">
        <f>VLOOKUP(C304,Recipes!$A$2:$N$4,12,FALSE())</f>
        <v/>
      </c>
      <c r="J304">
        <f>IF(G304="","",H304-G304)</f>
        <v/>
      </c>
      <c r="K304">
        <f>IF(G304="","",IF(VLOOKUP(C304,Recipes!$A$2:$N$4,4,FALSE())=0,-1E+300,-0.5*((J304-Components!$D$2)/Components!$E$2)^2))</f>
        <v/>
      </c>
      <c r="L304">
        <f>IF(G304="","",IF(VLOOKUP(C304,Recipes!$A$2:$N$4,5,FALSE())=0,-1E+300,-0.5*((J304-Components!$D$3)/Components!$E$3)^2))</f>
        <v/>
      </c>
      <c r="M304">
        <f>IF(G304="","",IF(VLOOKUP(C304,Recipes!$A$2:$N$4,6,FALSE())=0,-1E+300,-0.5*((J304-Components!$D$4)/Components!$E$4)^2))</f>
        <v/>
      </c>
      <c r="N304">
        <f>IF(G304="","",IF(VLOOKUP(C304,Recipes!$A$2:$N$4,7,FALSE())=0,-1E+300,-0.5*((J304-Components!$D$5)/Components!$E$5)^2))</f>
        <v/>
      </c>
      <c r="O304">
        <f>IF(G304="","",IF(VLOOKUP(C304,Recipes!$A$2:$N$4,8,FALSE())=0,-1E+300,-0.5*((J304-Components!$D$6)/Components!$E$6)^2))</f>
        <v/>
      </c>
      <c r="P304">
        <f>IF(G304="","",IF(VLOOKUP(C304,Recipes!$A$2:$N$4,9,FALSE())=0,-1E+300,-0.5*((J304-Components!$D$7)/Components!$E$7)^2))</f>
        <v/>
      </c>
      <c r="Q304">
        <f>IF(G304="","",EXP(LARGE(K304:P304,1)-MAX(K304:P304))/(EXP(K304-MAX(K304:P304))+EXP(L304-MAX(K304:P304))+EXP(M304-MAX(K304:P304))+EXP(N304-MAX(K304:P304))+EXP(O304-MAX(K304:P304))+EXP(P304-MAX(K304:P304))))</f>
        <v/>
      </c>
      <c r="R304">
        <f>IF(G304="","",EXP(LARGE(K304:P304,2)-MAX(K304:P304))/(EXP(K304-MAX(K304:P304))+EXP(L304-MAX(K304:P304))+EXP(M304-MAX(K304:P304))+EXP(N304-MAX(K304:P304))+EXP(O304-MAX(K304:P304))+EXP(P304-MAX(K304:P304))))</f>
        <v/>
      </c>
      <c r="S304">
        <f>IF(G304="","",Q304-R304)</f>
        <v/>
      </c>
      <c r="T304">
        <f>IF(G304="","",IF(ABS(G304-H304)&lt;=$B$6*I304,"OK","NG"))</f>
        <v/>
      </c>
      <c r="U304">
        <f>IF(T304="","",IF(T304=D304,1,0))</f>
        <v/>
      </c>
      <c r="V304">
        <f>IF(G304="","",IF(T304="OK","NONE",INDEX({"S1","S2","W1","W2","N1","N2"},MATCH(MAX(K304:P304),K304:P304,0))))</f>
        <v/>
      </c>
      <c r="W304">
        <f>IF(G304="","",IF(V304=E304,1,0))</f>
        <v/>
      </c>
      <c r="X304">
        <f>IF(G304="","",IF(AND(T304="NG",S304&lt;$B$7),"AMBIGUOUS","CONFIDENT"))</f>
        <v/>
      </c>
    </row>
    <row r="305">
      <c r="A305">
        <f>'Runs Z score'!A298</f>
        <v/>
      </c>
      <c r="B305">
        <f>'Runs Z score'!B298</f>
        <v/>
      </c>
      <c r="C305">
        <f>'Runs Z score'!C298</f>
        <v/>
      </c>
      <c r="D305">
        <f>'Runs Z score'!D298</f>
        <v/>
      </c>
      <c r="E305">
        <f>'Runs Z score'!E298</f>
        <v/>
      </c>
      <c r="F305">
        <f>'Runs Z score'!F298</f>
        <v/>
      </c>
      <c r="G305">
        <f>'Runs Z score'!G298</f>
        <v/>
      </c>
      <c r="H305">
        <f>VLOOKUP(C305,Recipes!$A$2:$N$4,10,FALSE())</f>
        <v/>
      </c>
      <c r="I305">
        <f>VLOOKUP(C305,Recipes!$A$2:$N$4,12,FALSE())</f>
        <v/>
      </c>
      <c r="J305">
        <f>IF(G305="","",H305-G305)</f>
        <v/>
      </c>
      <c r="K305">
        <f>IF(G305="","",IF(VLOOKUP(C305,Recipes!$A$2:$N$4,4,FALSE())=0,-1E+300,-0.5*((J305-Components!$D$2)/Components!$E$2)^2))</f>
        <v/>
      </c>
      <c r="L305">
        <f>IF(G305="","",IF(VLOOKUP(C305,Recipes!$A$2:$N$4,5,FALSE())=0,-1E+300,-0.5*((J305-Components!$D$3)/Components!$E$3)^2))</f>
        <v/>
      </c>
      <c r="M305">
        <f>IF(G305="","",IF(VLOOKUP(C305,Recipes!$A$2:$N$4,6,FALSE())=0,-1E+300,-0.5*((J305-Components!$D$4)/Components!$E$4)^2))</f>
        <v/>
      </c>
      <c r="N305">
        <f>IF(G305="","",IF(VLOOKUP(C305,Recipes!$A$2:$N$4,7,FALSE())=0,-1E+300,-0.5*((J305-Components!$D$5)/Components!$E$5)^2))</f>
        <v/>
      </c>
      <c r="O305">
        <f>IF(G305="","",IF(VLOOKUP(C305,Recipes!$A$2:$N$4,8,FALSE())=0,-1E+300,-0.5*((J305-Components!$D$6)/Components!$E$6)^2))</f>
        <v/>
      </c>
      <c r="P305">
        <f>IF(G305="","",IF(VLOOKUP(C305,Recipes!$A$2:$N$4,9,FALSE())=0,-1E+300,-0.5*((J305-Components!$D$7)/Components!$E$7)^2))</f>
        <v/>
      </c>
      <c r="Q305">
        <f>IF(G305="","",EXP(LARGE(K305:P305,1)-MAX(K305:P305))/(EXP(K305-MAX(K305:P305))+EXP(L305-MAX(K305:P305))+EXP(M305-MAX(K305:P305))+EXP(N305-MAX(K305:P305))+EXP(O305-MAX(K305:P305))+EXP(P305-MAX(K305:P305))))</f>
        <v/>
      </c>
      <c r="R305">
        <f>IF(G305="","",EXP(LARGE(K305:P305,2)-MAX(K305:P305))/(EXP(K305-MAX(K305:P305))+EXP(L305-MAX(K305:P305))+EXP(M305-MAX(K305:P305))+EXP(N305-MAX(K305:P305))+EXP(O305-MAX(K305:P305))+EXP(P305-MAX(K305:P305))))</f>
        <v/>
      </c>
      <c r="S305">
        <f>IF(G305="","",Q305-R305)</f>
        <v/>
      </c>
      <c r="T305">
        <f>IF(G305="","",IF(ABS(G305-H305)&lt;=$B$6*I305,"OK","NG"))</f>
        <v/>
      </c>
      <c r="U305">
        <f>IF(T305="","",IF(T305=D305,1,0))</f>
        <v/>
      </c>
      <c r="V305">
        <f>IF(G305="","",IF(T305="OK","NONE",INDEX({"S1","S2","W1","W2","N1","N2"},MATCH(MAX(K305:P305),K305:P305,0))))</f>
        <v/>
      </c>
      <c r="W305">
        <f>IF(G305="","",IF(V305=E305,1,0))</f>
        <v/>
      </c>
      <c r="X305">
        <f>IF(G305="","",IF(AND(T305="NG",S305&lt;$B$7),"AMBIGUOUS","CONFIDENT"))</f>
        <v/>
      </c>
    </row>
    <row r="306">
      <c r="A306">
        <f>'Runs Z score'!A299</f>
        <v/>
      </c>
      <c r="B306">
        <f>'Runs Z score'!B299</f>
        <v/>
      </c>
      <c r="C306">
        <f>'Runs Z score'!C299</f>
        <v/>
      </c>
      <c r="D306">
        <f>'Runs Z score'!D299</f>
        <v/>
      </c>
      <c r="E306">
        <f>'Runs Z score'!E299</f>
        <v/>
      </c>
      <c r="F306">
        <f>'Runs Z score'!F299</f>
        <v/>
      </c>
      <c r="G306">
        <f>'Runs Z score'!G299</f>
        <v/>
      </c>
      <c r="H306">
        <f>VLOOKUP(C306,Recipes!$A$2:$N$4,10,FALSE())</f>
        <v/>
      </c>
      <c r="I306">
        <f>VLOOKUP(C306,Recipes!$A$2:$N$4,12,FALSE())</f>
        <v/>
      </c>
      <c r="J306">
        <f>IF(G306="","",H306-G306)</f>
        <v/>
      </c>
      <c r="K306">
        <f>IF(G306="","",IF(VLOOKUP(C306,Recipes!$A$2:$N$4,4,FALSE())=0,-1E+300,-0.5*((J306-Components!$D$2)/Components!$E$2)^2))</f>
        <v/>
      </c>
      <c r="L306">
        <f>IF(G306="","",IF(VLOOKUP(C306,Recipes!$A$2:$N$4,5,FALSE())=0,-1E+300,-0.5*((J306-Components!$D$3)/Components!$E$3)^2))</f>
        <v/>
      </c>
      <c r="M306">
        <f>IF(G306="","",IF(VLOOKUP(C306,Recipes!$A$2:$N$4,6,FALSE())=0,-1E+300,-0.5*((J306-Components!$D$4)/Components!$E$4)^2))</f>
        <v/>
      </c>
      <c r="N306">
        <f>IF(G306="","",IF(VLOOKUP(C306,Recipes!$A$2:$N$4,7,FALSE())=0,-1E+300,-0.5*((J306-Components!$D$5)/Components!$E$5)^2))</f>
        <v/>
      </c>
      <c r="O306">
        <f>IF(G306="","",IF(VLOOKUP(C306,Recipes!$A$2:$N$4,8,FALSE())=0,-1E+300,-0.5*((J306-Components!$D$6)/Components!$E$6)^2))</f>
        <v/>
      </c>
      <c r="P306">
        <f>IF(G306="","",IF(VLOOKUP(C306,Recipes!$A$2:$N$4,9,FALSE())=0,-1E+300,-0.5*((J306-Components!$D$7)/Components!$E$7)^2))</f>
        <v/>
      </c>
      <c r="Q306">
        <f>IF(G306="","",EXP(LARGE(K306:P306,1)-MAX(K306:P306))/(EXP(K306-MAX(K306:P306))+EXP(L306-MAX(K306:P306))+EXP(M306-MAX(K306:P306))+EXP(N306-MAX(K306:P306))+EXP(O306-MAX(K306:P306))+EXP(P306-MAX(K306:P306))))</f>
        <v/>
      </c>
      <c r="R306">
        <f>IF(G306="","",EXP(LARGE(K306:P306,2)-MAX(K306:P306))/(EXP(K306-MAX(K306:P306))+EXP(L306-MAX(K306:P306))+EXP(M306-MAX(K306:P306))+EXP(N306-MAX(K306:P306))+EXP(O306-MAX(K306:P306))+EXP(P306-MAX(K306:P306))))</f>
        <v/>
      </c>
      <c r="S306">
        <f>IF(G306="","",Q306-R306)</f>
        <v/>
      </c>
      <c r="T306">
        <f>IF(G306="","",IF(ABS(G306-H306)&lt;=$B$6*I306,"OK","NG"))</f>
        <v/>
      </c>
      <c r="U306">
        <f>IF(T306="","",IF(T306=D306,1,0))</f>
        <v/>
      </c>
      <c r="V306">
        <f>IF(G306="","",IF(T306="OK","NONE",INDEX({"S1","S2","W1","W2","N1","N2"},MATCH(MAX(K306:P306),K306:P306,0))))</f>
        <v/>
      </c>
      <c r="W306">
        <f>IF(G306="","",IF(V306=E306,1,0))</f>
        <v/>
      </c>
      <c r="X306">
        <f>IF(G306="","",IF(AND(T306="NG",S306&lt;$B$7),"AMBIGUOUS","CONFIDENT"))</f>
        <v/>
      </c>
    </row>
    <row r="307">
      <c r="A307">
        <f>'Runs Z score'!A300</f>
        <v/>
      </c>
      <c r="B307">
        <f>'Runs Z score'!B300</f>
        <v/>
      </c>
      <c r="C307">
        <f>'Runs Z score'!C300</f>
        <v/>
      </c>
      <c r="D307">
        <f>'Runs Z score'!D300</f>
        <v/>
      </c>
      <c r="E307">
        <f>'Runs Z score'!E300</f>
        <v/>
      </c>
      <c r="F307">
        <f>'Runs Z score'!F300</f>
        <v/>
      </c>
      <c r="G307">
        <f>'Runs Z score'!G300</f>
        <v/>
      </c>
      <c r="H307">
        <f>VLOOKUP(C307,Recipes!$A$2:$N$4,10,FALSE())</f>
        <v/>
      </c>
      <c r="I307">
        <f>VLOOKUP(C307,Recipes!$A$2:$N$4,12,FALSE())</f>
        <v/>
      </c>
      <c r="J307">
        <f>IF(G307="","",H307-G307)</f>
        <v/>
      </c>
      <c r="K307">
        <f>IF(G307="","",IF(VLOOKUP(C307,Recipes!$A$2:$N$4,4,FALSE())=0,-1E+300,-0.5*((J307-Components!$D$2)/Components!$E$2)^2))</f>
        <v/>
      </c>
      <c r="L307">
        <f>IF(G307="","",IF(VLOOKUP(C307,Recipes!$A$2:$N$4,5,FALSE())=0,-1E+300,-0.5*((J307-Components!$D$3)/Components!$E$3)^2))</f>
        <v/>
      </c>
      <c r="M307">
        <f>IF(G307="","",IF(VLOOKUP(C307,Recipes!$A$2:$N$4,6,FALSE())=0,-1E+300,-0.5*((J307-Components!$D$4)/Components!$E$4)^2))</f>
        <v/>
      </c>
      <c r="N307">
        <f>IF(G307="","",IF(VLOOKUP(C307,Recipes!$A$2:$N$4,7,FALSE())=0,-1E+300,-0.5*((J307-Components!$D$5)/Components!$E$5)^2))</f>
        <v/>
      </c>
      <c r="O307">
        <f>IF(G307="","",IF(VLOOKUP(C307,Recipes!$A$2:$N$4,8,FALSE())=0,-1E+300,-0.5*((J307-Components!$D$6)/Components!$E$6)^2))</f>
        <v/>
      </c>
      <c r="P307">
        <f>IF(G307="","",IF(VLOOKUP(C307,Recipes!$A$2:$N$4,9,FALSE())=0,-1E+300,-0.5*((J307-Components!$D$7)/Components!$E$7)^2))</f>
        <v/>
      </c>
      <c r="Q307">
        <f>IF(G307="","",EXP(LARGE(K307:P307,1)-MAX(K307:P307))/(EXP(K307-MAX(K307:P307))+EXP(L307-MAX(K307:P307))+EXP(M307-MAX(K307:P307))+EXP(N307-MAX(K307:P307))+EXP(O307-MAX(K307:P307))+EXP(P307-MAX(K307:P307))))</f>
        <v/>
      </c>
      <c r="R307">
        <f>IF(G307="","",EXP(LARGE(K307:P307,2)-MAX(K307:P307))/(EXP(K307-MAX(K307:P307))+EXP(L307-MAX(K307:P307))+EXP(M307-MAX(K307:P307))+EXP(N307-MAX(K307:P307))+EXP(O307-MAX(K307:P307))+EXP(P307-MAX(K307:P307))))</f>
        <v/>
      </c>
      <c r="S307">
        <f>IF(G307="","",Q307-R307)</f>
        <v/>
      </c>
      <c r="T307">
        <f>IF(G307="","",IF(ABS(G307-H307)&lt;=$B$6*I307,"OK","NG"))</f>
        <v/>
      </c>
      <c r="U307">
        <f>IF(T307="","",IF(T307=D307,1,0))</f>
        <v/>
      </c>
      <c r="V307">
        <f>IF(G307="","",IF(T307="OK","NONE",INDEX({"S1","S2","W1","W2","N1","N2"},MATCH(MAX(K307:P307),K307:P307,0))))</f>
        <v/>
      </c>
      <c r="W307">
        <f>IF(G307="","",IF(V307=E307,1,0))</f>
        <v/>
      </c>
      <c r="X307">
        <f>IF(G307="","",IF(AND(T307="NG",S307&lt;$B$7),"AMBIGUOUS","CONFIDENT"))</f>
        <v/>
      </c>
    </row>
    <row r="308">
      <c r="A308">
        <f>'Runs Z score'!A301</f>
        <v/>
      </c>
      <c r="B308">
        <f>'Runs Z score'!B301</f>
        <v/>
      </c>
      <c r="C308">
        <f>'Runs Z score'!C301</f>
        <v/>
      </c>
      <c r="D308">
        <f>'Runs Z score'!D301</f>
        <v/>
      </c>
      <c r="E308">
        <f>'Runs Z score'!E301</f>
        <v/>
      </c>
      <c r="F308">
        <f>'Runs Z score'!F301</f>
        <v/>
      </c>
      <c r="G308">
        <f>'Runs Z score'!G301</f>
        <v/>
      </c>
      <c r="H308">
        <f>VLOOKUP(C308,Recipes!$A$2:$N$4,10,FALSE())</f>
        <v/>
      </c>
      <c r="I308">
        <f>VLOOKUP(C308,Recipes!$A$2:$N$4,12,FALSE())</f>
        <v/>
      </c>
      <c r="J308">
        <f>IF(G308="","",H308-G308)</f>
        <v/>
      </c>
      <c r="K308">
        <f>IF(G308="","",IF(VLOOKUP(C308,Recipes!$A$2:$N$4,4,FALSE())=0,-1E+300,-0.5*((J308-Components!$D$2)/Components!$E$2)^2))</f>
        <v/>
      </c>
      <c r="L308">
        <f>IF(G308="","",IF(VLOOKUP(C308,Recipes!$A$2:$N$4,5,FALSE())=0,-1E+300,-0.5*((J308-Components!$D$3)/Components!$E$3)^2))</f>
        <v/>
      </c>
      <c r="M308">
        <f>IF(G308="","",IF(VLOOKUP(C308,Recipes!$A$2:$N$4,6,FALSE())=0,-1E+300,-0.5*((J308-Components!$D$4)/Components!$E$4)^2))</f>
        <v/>
      </c>
      <c r="N308">
        <f>IF(G308="","",IF(VLOOKUP(C308,Recipes!$A$2:$N$4,7,FALSE())=0,-1E+300,-0.5*((J308-Components!$D$5)/Components!$E$5)^2))</f>
        <v/>
      </c>
      <c r="O308">
        <f>IF(G308="","",IF(VLOOKUP(C308,Recipes!$A$2:$N$4,8,FALSE())=0,-1E+300,-0.5*((J308-Components!$D$6)/Components!$E$6)^2))</f>
        <v/>
      </c>
      <c r="P308">
        <f>IF(G308="","",IF(VLOOKUP(C308,Recipes!$A$2:$N$4,9,FALSE())=0,-1E+300,-0.5*((J308-Components!$D$7)/Components!$E$7)^2))</f>
        <v/>
      </c>
      <c r="Q308">
        <f>IF(G308="","",EXP(LARGE(K308:P308,1)-MAX(K308:P308))/(EXP(K308-MAX(K308:P308))+EXP(L308-MAX(K308:P308))+EXP(M308-MAX(K308:P308))+EXP(N308-MAX(K308:P308))+EXP(O308-MAX(K308:P308))+EXP(P308-MAX(K308:P308))))</f>
        <v/>
      </c>
      <c r="R308">
        <f>IF(G308="","",EXP(LARGE(K308:P308,2)-MAX(K308:P308))/(EXP(K308-MAX(K308:P308))+EXP(L308-MAX(K308:P308))+EXP(M308-MAX(K308:P308))+EXP(N308-MAX(K308:P308))+EXP(O308-MAX(K308:P308))+EXP(P308-MAX(K308:P308))))</f>
        <v/>
      </c>
      <c r="S308">
        <f>IF(G308="","",Q308-R308)</f>
        <v/>
      </c>
      <c r="T308">
        <f>IF(G308="","",IF(ABS(G308-H308)&lt;=$B$6*I308,"OK","NG"))</f>
        <v/>
      </c>
      <c r="U308">
        <f>IF(T308="","",IF(T308=D308,1,0))</f>
        <v/>
      </c>
      <c r="V308">
        <f>IF(G308="","",IF(T308="OK","NONE",INDEX({"S1","S2","W1","W2","N1","N2"},MATCH(MAX(K308:P308),K308:P308,0))))</f>
        <v/>
      </c>
      <c r="W308">
        <f>IF(G308="","",IF(V308=E308,1,0))</f>
        <v/>
      </c>
      <c r="X308">
        <f>IF(G308="","",IF(AND(T308="NG",S308&lt;$B$7),"AMBIGUOUS","CONFIDENT"))</f>
        <v/>
      </c>
    </row>
    <row r="309">
      <c r="A309">
        <f>'Runs Z score'!A302</f>
        <v/>
      </c>
      <c r="B309">
        <f>'Runs Z score'!B302</f>
        <v/>
      </c>
      <c r="C309">
        <f>'Runs Z score'!C302</f>
        <v/>
      </c>
      <c r="D309">
        <f>'Runs Z score'!D302</f>
        <v/>
      </c>
      <c r="E309">
        <f>'Runs Z score'!E302</f>
        <v/>
      </c>
      <c r="F309">
        <f>'Runs Z score'!F302</f>
        <v/>
      </c>
      <c r="G309">
        <f>'Runs Z score'!G302</f>
        <v/>
      </c>
      <c r="H309">
        <f>VLOOKUP(C309,Recipes!$A$2:$N$4,10,FALSE())</f>
        <v/>
      </c>
      <c r="I309">
        <f>VLOOKUP(C309,Recipes!$A$2:$N$4,12,FALSE())</f>
        <v/>
      </c>
      <c r="J309">
        <f>IF(G309="","",H309-G309)</f>
        <v/>
      </c>
      <c r="K309">
        <f>IF(G309="","",IF(VLOOKUP(C309,Recipes!$A$2:$N$4,4,FALSE())=0,-1E+300,-0.5*((J309-Components!$D$2)/Components!$E$2)^2))</f>
        <v/>
      </c>
      <c r="L309">
        <f>IF(G309="","",IF(VLOOKUP(C309,Recipes!$A$2:$N$4,5,FALSE())=0,-1E+300,-0.5*((J309-Components!$D$3)/Components!$E$3)^2))</f>
        <v/>
      </c>
      <c r="M309">
        <f>IF(G309="","",IF(VLOOKUP(C309,Recipes!$A$2:$N$4,6,FALSE())=0,-1E+300,-0.5*((J309-Components!$D$4)/Components!$E$4)^2))</f>
        <v/>
      </c>
      <c r="N309">
        <f>IF(G309="","",IF(VLOOKUP(C309,Recipes!$A$2:$N$4,7,FALSE())=0,-1E+300,-0.5*((J309-Components!$D$5)/Components!$E$5)^2))</f>
        <v/>
      </c>
      <c r="O309">
        <f>IF(G309="","",IF(VLOOKUP(C309,Recipes!$A$2:$N$4,8,FALSE())=0,-1E+300,-0.5*((J309-Components!$D$6)/Components!$E$6)^2))</f>
        <v/>
      </c>
      <c r="P309">
        <f>IF(G309="","",IF(VLOOKUP(C309,Recipes!$A$2:$N$4,9,FALSE())=0,-1E+300,-0.5*((J309-Components!$D$7)/Components!$E$7)^2))</f>
        <v/>
      </c>
      <c r="Q309">
        <f>IF(G309="","",EXP(LARGE(K309:P309,1)-MAX(K309:P309))/(EXP(K309-MAX(K309:P309))+EXP(L309-MAX(K309:P309))+EXP(M309-MAX(K309:P309))+EXP(N309-MAX(K309:P309))+EXP(O309-MAX(K309:P309))+EXP(P309-MAX(K309:P309))))</f>
        <v/>
      </c>
      <c r="R309">
        <f>IF(G309="","",EXP(LARGE(K309:P309,2)-MAX(K309:P309))/(EXP(K309-MAX(K309:P309))+EXP(L309-MAX(K309:P309))+EXP(M309-MAX(K309:P309))+EXP(N309-MAX(K309:P309))+EXP(O309-MAX(K309:P309))+EXP(P309-MAX(K309:P309))))</f>
        <v/>
      </c>
      <c r="S309">
        <f>IF(G309="","",Q309-R309)</f>
        <v/>
      </c>
      <c r="T309">
        <f>IF(G309="","",IF(ABS(G309-H309)&lt;=$B$6*I309,"OK","NG"))</f>
        <v/>
      </c>
      <c r="U309">
        <f>IF(T309="","",IF(T309=D309,1,0))</f>
        <v/>
      </c>
      <c r="V309">
        <f>IF(G309="","",IF(T309="OK","NONE",INDEX({"S1","S2","W1","W2","N1","N2"},MATCH(MAX(K309:P309),K309:P309,0))))</f>
        <v/>
      </c>
      <c r="W309">
        <f>IF(G309="","",IF(V309=E309,1,0))</f>
        <v/>
      </c>
      <c r="X309">
        <f>IF(G309="","",IF(AND(T309="NG",S309&lt;$B$7),"AMBIGUOUS","CONFIDENT"))</f>
        <v/>
      </c>
    </row>
    <row r="310">
      <c r="A310">
        <f>'Runs Z score'!A303</f>
        <v/>
      </c>
      <c r="B310">
        <f>'Runs Z score'!B303</f>
        <v/>
      </c>
      <c r="C310">
        <f>'Runs Z score'!C303</f>
        <v/>
      </c>
      <c r="D310">
        <f>'Runs Z score'!D303</f>
        <v/>
      </c>
      <c r="E310">
        <f>'Runs Z score'!E303</f>
        <v/>
      </c>
      <c r="F310">
        <f>'Runs Z score'!F303</f>
        <v/>
      </c>
      <c r="G310">
        <f>'Runs Z score'!G303</f>
        <v/>
      </c>
      <c r="H310">
        <f>VLOOKUP(C310,Recipes!$A$2:$N$4,10,FALSE())</f>
        <v/>
      </c>
      <c r="I310">
        <f>VLOOKUP(C310,Recipes!$A$2:$N$4,12,FALSE())</f>
        <v/>
      </c>
      <c r="J310">
        <f>IF(G310="","",H310-G310)</f>
        <v/>
      </c>
      <c r="K310">
        <f>IF(G310="","",IF(VLOOKUP(C310,Recipes!$A$2:$N$4,4,FALSE())=0,-1E+300,-0.5*((J310-Components!$D$2)/Components!$E$2)^2))</f>
        <v/>
      </c>
      <c r="L310">
        <f>IF(G310="","",IF(VLOOKUP(C310,Recipes!$A$2:$N$4,5,FALSE())=0,-1E+300,-0.5*((J310-Components!$D$3)/Components!$E$3)^2))</f>
        <v/>
      </c>
      <c r="M310">
        <f>IF(G310="","",IF(VLOOKUP(C310,Recipes!$A$2:$N$4,6,FALSE())=0,-1E+300,-0.5*((J310-Components!$D$4)/Components!$E$4)^2))</f>
        <v/>
      </c>
      <c r="N310">
        <f>IF(G310="","",IF(VLOOKUP(C310,Recipes!$A$2:$N$4,7,FALSE())=0,-1E+300,-0.5*((J310-Components!$D$5)/Components!$E$5)^2))</f>
        <v/>
      </c>
      <c r="O310">
        <f>IF(G310="","",IF(VLOOKUP(C310,Recipes!$A$2:$N$4,8,FALSE())=0,-1E+300,-0.5*((J310-Components!$D$6)/Components!$E$6)^2))</f>
        <v/>
      </c>
      <c r="P310">
        <f>IF(G310="","",IF(VLOOKUP(C310,Recipes!$A$2:$N$4,9,FALSE())=0,-1E+300,-0.5*((J310-Components!$D$7)/Components!$E$7)^2))</f>
        <v/>
      </c>
      <c r="Q310">
        <f>IF(G310="","",EXP(LARGE(K310:P310,1)-MAX(K310:P310))/(EXP(K310-MAX(K310:P310))+EXP(L310-MAX(K310:P310))+EXP(M310-MAX(K310:P310))+EXP(N310-MAX(K310:P310))+EXP(O310-MAX(K310:P310))+EXP(P310-MAX(K310:P310))))</f>
        <v/>
      </c>
      <c r="R310">
        <f>IF(G310="","",EXP(LARGE(K310:P310,2)-MAX(K310:P310))/(EXP(K310-MAX(K310:P310))+EXP(L310-MAX(K310:P310))+EXP(M310-MAX(K310:P310))+EXP(N310-MAX(K310:P310))+EXP(O310-MAX(K310:P310))+EXP(P310-MAX(K310:P310))))</f>
        <v/>
      </c>
      <c r="S310">
        <f>IF(G310="","",Q310-R310)</f>
        <v/>
      </c>
      <c r="T310">
        <f>IF(G310="","",IF(ABS(G310-H310)&lt;=$B$6*I310,"OK","NG"))</f>
        <v/>
      </c>
      <c r="U310">
        <f>IF(T310="","",IF(T310=D310,1,0))</f>
        <v/>
      </c>
      <c r="V310">
        <f>IF(G310="","",IF(T310="OK","NONE",INDEX({"S1","S2","W1","W2","N1","N2"},MATCH(MAX(K310:P310),K310:P310,0))))</f>
        <v/>
      </c>
      <c r="W310">
        <f>IF(G310="","",IF(V310=E310,1,0))</f>
        <v/>
      </c>
      <c r="X310">
        <f>IF(G310="","",IF(AND(T310="NG",S310&lt;$B$7),"AMBIGUOUS","CONFIDENT"))</f>
        <v/>
      </c>
    </row>
    <row r="311">
      <c r="A311">
        <f>'Runs Z score'!A304</f>
        <v/>
      </c>
      <c r="B311">
        <f>'Runs Z score'!B304</f>
        <v/>
      </c>
      <c r="C311">
        <f>'Runs Z score'!C304</f>
        <v/>
      </c>
      <c r="D311">
        <f>'Runs Z score'!D304</f>
        <v/>
      </c>
      <c r="E311">
        <f>'Runs Z score'!E304</f>
        <v/>
      </c>
      <c r="F311">
        <f>'Runs Z score'!F304</f>
        <v/>
      </c>
      <c r="G311">
        <f>'Runs Z score'!G304</f>
        <v/>
      </c>
      <c r="H311">
        <f>VLOOKUP(C311,Recipes!$A$2:$N$4,10,FALSE())</f>
        <v/>
      </c>
      <c r="I311">
        <f>VLOOKUP(C311,Recipes!$A$2:$N$4,12,FALSE())</f>
        <v/>
      </c>
      <c r="J311">
        <f>IF(G311="","",H311-G311)</f>
        <v/>
      </c>
      <c r="K311">
        <f>IF(G311="","",IF(VLOOKUP(C311,Recipes!$A$2:$N$4,4,FALSE())=0,-1E+300,-0.5*((J311-Components!$D$2)/Components!$E$2)^2))</f>
        <v/>
      </c>
      <c r="L311">
        <f>IF(G311="","",IF(VLOOKUP(C311,Recipes!$A$2:$N$4,5,FALSE())=0,-1E+300,-0.5*((J311-Components!$D$3)/Components!$E$3)^2))</f>
        <v/>
      </c>
      <c r="M311">
        <f>IF(G311="","",IF(VLOOKUP(C311,Recipes!$A$2:$N$4,6,FALSE())=0,-1E+300,-0.5*((J311-Components!$D$4)/Components!$E$4)^2))</f>
        <v/>
      </c>
      <c r="N311">
        <f>IF(G311="","",IF(VLOOKUP(C311,Recipes!$A$2:$N$4,7,FALSE())=0,-1E+300,-0.5*((J311-Components!$D$5)/Components!$E$5)^2))</f>
        <v/>
      </c>
      <c r="O311">
        <f>IF(G311="","",IF(VLOOKUP(C311,Recipes!$A$2:$N$4,8,FALSE())=0,-1E+300,-0.5*((J311-Components!$D$6)/Components!$E$6)^2))</f>
        <v/>
      </c>
      <c r="P311">
        <f>IF(G311="","",IF(VLOOKUP(C311,Recipes!$A$2:$N$4,9,FALSE())=0,-1E+300,-0.5*((J311-Components!$D$7)/Components!$E$7)^2))</f>
        <v/>
      </c>
      <c r="Q311">
        <f>IF(G311="","",EXP(LARGE(K311:P311,1)-MAX(K311:P311))/(EXP(K311-MAX(K311:P311))+EXP(L311-MAX(K311:P311))+EXP(M311-MAX(K311:P311))+EXP(N311-MAX(K311:P311))+EXP(O311-MAX(K311:P311))+EXP(P311-MAX(K311:P311))))</f>
        <v/>
      </c>
      <c r="R311">
        <f>IF(G311="","",EXP(LARGE(K311:P311,2)-MAX(K311:P311))/(EXP(K311-MAX(K311:P311))+EXP(L311-MAX(K311:P311))+EXP(M311-MAX(K311:P311))+EXP(N311-MAX(K311:P311))+EXP(O311-MAX(K311:P311))+EXP(P311-MAX(K311:P311))))</f>
        <v/>
      </c>
      <c r="S311">
        <f>IF(G311="","",Q311-R311)</f>
        <v/>
      </c>
      <c r="T311">
        <f>IF(G311="","",IF(ABS(G311-H311)&lt;=$B$6*I311,"OK","NG"))</f>
        <v/>
      </c>
      <c r="U311">
        <f>IF(T311="","",IF(T311=D311,1,0))</f>
        <v/>
      </c>
      <c r="V311">
        <f>IF(G311="","",IF(T311="OK","NONE",INDEX({"S1","S2","W1","W2","N1","N2"},MATCH(MAX(K311:P311),K311:P311,0))))</f>
        <v/>
      </c>
      <c r="W311">
        <f>IF(G311="","",IF(V311=E311,1,0))</f>
        <v/>
      </c>
      <c r="X311">
        <f>IF(G311="","",IF(AND(T311="NG",S311&lt;$B$7),"AMBIGUOUS","CONFIDENT"))</f>
        <v/>
      </c>
    </row>
    <row r="312">
      <c r="A312">
        <f>'Runs Z score'!A305</f>
        <v/>
      </c>
      <c r="B312">
        <f>'Runs Z score'!B305</f>
        <v/>
      </c>
      <c r="C312">
        <f>'Runs Z score'!C305</f>
        <v/>
      </c>
      <c r="D312">
        <f>'Runs Z score'!D305</f>
        <v/>
      </c>
      <c r="E312">
        <f>'Runs Z score'!E305</f>
        <v/>
      </c>
      <c r="F312">
        <f>'Runs Z score'!F305</f>
        <v/>
      </c>
      <c r="G312">
        <f>'Runs Z score'!G305</f>
        <v/>
      </c>
      <c r="H312">
        <f>VLOOKUP(C312,Recipes!$A$2:$N$4,10,FALSE())</f>
        <v/>
      </c>
      <c r="I312">
        <f>VLOOKUP(C312,Recipes!$A$2:$N$4,12,FALSE())</f>
        <v/>
      </c>
      <c r="J312">
        <f>IF(G312="","",H312-G312)</f>
        <v/>
      </c>
      <c r="K312">
        <f>IF(G312="","",IF(VLOOKUP(C312,Recipes!$A$2:$N$4,4,FALSE())=0,-1E+300,-0.5*((J312-Components!$D$2)/Components!$E$2)^2))</f>
        <v/>
      </c>
      <c r="L312">
        <f>IF(G312="","",IF(VLOOKUP(C312,Recipes!$A$2:$N$4,5,FALSE())=0,-1E+300,-0.5*((J312-Components!$D$3)/Components!$E$3)^2))</f>
        <v/>
      </c>
      <c r="M312">
        <f>IF(G312="","",IF(VLOOKUP(C312,Recipes!$A$2:$N$4,6,FALSE())=0,-1E+300,-0.5*((J312-Components!$D$4)/Components!$E$4)^2))</f>
        <v/>
      </c>
      <c r="N312">
        <f>IF(G312="","",IF(VLOOKUP(C312,Recipes!$A$2:$N$4,7,FALSE())=0,-1E+300,-0.5*((J312-Components!$D$5)/Components!$E$5)^2))</f>
        <v/>
      </c>
      <c r="O312">
        <f>IF(G312="","",IF(VLOOKUP(C312,Recipes!$A$2:$N$4,8,FALSE())=0,-1E+300,-0.5*((J312-Components!$D$6)/Components!$E$6)^2))</f>
        <v/>
      </c>
      <c r="P312">
        <f>IF(G312="","",IF(VLOOKUP(C312,Recipes!$A$2:$N$4,9,FALSE())=0,-1E+300,-0.5*((J312-Components!$D$7)/Components!$E$7)^2))</f>
        <v/>
      </c>
      <c r="Q312">
        <f>IF(G312="","",EXP(LARGE(K312:P312,1)-MAX(K312:P312))/(EXP(K312-MAX(K312:P312))+EXP(L312-MAX(K312:P312))+EXP(M312-MAX(K312:P312))+EXP(N312-MAX(K312:P312))+EXP(O312-MAX(K312:P312))+EXP(P312-MAX(K312:P312))))</f>
        <v/>
      </c>
      <c r="R312">
        <f>IF(G312="","",EXP(LARGE(K312:P312,2)-MAX(K312:P312))/(EXP(K312-MAX(K312:P312))+EXP(L312-MAX(K312:P312))+EXP(M312-MAX(K312:P312))+EXP(N312-MAX(K312:P312))+EXP(O312-MAX(K312:P312))+EXP(P312-MAX(K312:P312))))</f>
        <v/>
      </c>
      <c r="S312">
        <f>IF(G312="","",Q312-R312)</f>
        <v/>
      </c>
      <c r="T312">
        <f>IF(G312="","",IF(ABS(G312-H312)&lt;=$B$6*I312,"OK","NG"))</f>
        <v/>
      </c>
      <c r="U312">
        <f>IF(T312="","",IF(T312=D312,1,0))</f>
        <v/>
      </c>
      <c r="V312">
        <f>IF(G312="","",IF(T312="OK","NONE",INDEX({"S1","S2","W1","W2","N1","N2"},MATCH(MAX(K312:P312),K312:P312,0))))</f>
        <v/>
      </c>
      <c r="W312">
        <f>IF(G312="","",IF(V312=E312,1,0))</f>
        <v/>
      </c>
      <c r="X312">
        <f>IF(G312="","",IF(AND(T312="NG",S312&lt;$B$7),"AMBIGUOUS","CONFIDENT"))</f>
        <v/>
      </c>
    </row>
    <row r="313">
      <c r="A313">
        <f>'Runs Z score'!A306</f>
        <v/>
      </c>
      <c r="B313">
        <f>'Runs Z score'!B306</f>
        <v/>
      </c>
      <c r="C313">
        <f>'Runs Z score'!C306</f>
        <v/>
      </c>
      <c r="D313">
        <f>'Runs Z score'!D306</f>
        <v/>
      </c>
      <c r="E313">
        <f>'Runs Z score'!E306</f>
        <v/>
      </c>
      <c r="F313">
        <f>'Runs Z score'!F306</f>
        <v/>
      </c>
      <c r="G313">
        <f>'Runs Z score'!G306</f>
        <v/>
      </c>
      <c r="H313">
        <f>VLOOKUP(C313,Recipes!$A$2:$N$4,10,FALSE())</f>
        <v/>
      </c>
      <c r="I313">
        <f>VLOOKUP(C313,Recipes!$A$2:$N$4,12,FALSE())</f>
        <v/>
      </c>
      <c r="J313">
        <f>IF(G313="","",H313-G313)</f>
        <v/>
      </c>
      <c r="K313">
        <f>IF(G313="","",IF(VLOOKUP(C313,Recipes!$A$2:$N$4,4,FALSE())=0,-1E+300,-0.5*((J313-Components!$D$2)/Components!$E$2)^2))</f>
        <v/>
      </c>
      <c r="L313">
        <f>IF(G313="","",IF(VLOOKUP(C313,Recipes!$A$2:$N$4,5,FALSE())=0,-1E+300,-0.5*((J313-Components!$D$3)/Components!$E$3)^2))</f>
        <v/>
      </c>
      <c r="M313">
        <f>IF(G313="","",IF(VLOOKUP(C313,Recipes!$A$2:$N$4,6,FALSE())=0,-1E+300,-0.5*((J313-Components!$D$4)/Components!$E$4)^2))</f>
        <v/>
      </c>
      <c r="N313">
        <f>IF(G313="","",IF(VLOOKUP(C313,Recipes!$A$2:$N$4,7,FALSE())=0,-1E+300,-0.5*((J313-Components!$D$5)/Components!$E$5)^2))</f>
        <v/>
      </c>
      <c r="O313">
        <f>IF(G313="","",IF(VLOOKUP(C313,Recipes!$A$2:$N$4,8,FALSE())=0,-1E+300,-0.5*((J313-Components!$D$6)/Components!$E$6)^2))</f>
        <v/>
      </c>
      <c r="P313">
        <f>IF(G313="","",IF(VLOOKUP(C313,Recipes!$A$2:$N$4,9,FALSE())=0,-1E+300,-0.5*((J313-Components!$D$7)/Components!$E$7)^2))</f>
        <v/>
      </c>
      <c r="Q313">
        <f>IF(G313="","",EXP(LARGE(K313:P313,1)-MAX(K313:P313))/(EXP(K313-MAX(K313:P313))+EXP(L313-MAX(K313:P313))+EXP(M313-MAX(K313:P313))+EXP(N313-MAX(K313:P313))+EXP(O313-MAX(K313:P313))+EXP(P313-MAX(K313:P313))))</f>
        <v/>
      </c>
      <c r="R313">
        <f>IF(G313="","",EXP(LARGE(K313:P313,2)-MAX(K313:P313))/(EXP(K313-MAX(K313:P313))+EXP(L313-MAX(K313:P313))+EXP(M313-MAX(K313:P313))+EXP(N313-MAX(K313:P313))+EXP(O313-MAX(K313:P313))+EXP(P313-MAX(K313:P313))))</f>
        <v/>
      </c>
      <c r="S313">
        <f>IF(G313="","",Q313-R313)</f>
        <v/>
      </c>
      <c r="T313">
        <f>IF(G313="","",IF(ABS(G313-H313)&lt;=$B$6*I313,"OK","NG"))</f>
        <v/>
      </c>
      <c r="U313">
        <f>IF(T313="","",IF(T313=D313,1,0))</f>
        <v/>
      </c>
      <c r="V313">
        <f>IF(G313="","",IF(T313="OK","NONE",INDEX({"S1","S2","W1","W2","N1","N2"},MATCH(MAX(K313:P313),K313:P313,0))))</f>
        <v/>
      </c>
      <c r="W313">
        <f>IF(G313="","",IF(V313=E313,1,0))</f>
        <v/>
      </c>
      <c r="X313">
        <f>IF(G313="","",IF(AND(T313="NG",S313&lt;$B$7),"AMBIGUOUS","CONFIDENT"))</f>
        <v/>
      </c>
    </row>
    <row r="314">
      <c r="A314">
        <f>'Runs Z score'!A307</f>
        <v/>
      </c>
      <c r="B314">
        <f>'Runs Z score'!B307</f>
        <v/>
      </c>
      <c r="C314">
        <f>'Runs Z score'!C307</f>
        <v/>
      </c>
      <c r="D314">
        <f>'Runs Z score'!D307</f>
        <v/>
      </c>
      <c r="E314">
        <f>'Runs Z score'!E307</f>
        <v/>
      </c>
      <c r="F314">
        <f>'Runs Z score'!F307</f>
        <v/>
      </c>
      <c r="G314">
        <f>'Runs Z score'!G307</f>
        <v/>
      </c>
      <c r="H314">
        <f>VLOOKUP(C314,Recipes!$A$2:$N$4,10,FALSE())</f>
        <v/>
      </c>
      <c r="I314">
        <f>VLOOKUP(C314,Recipes!$A$2:$N$4,12,FALSE())</f>
        <v/>
      </c>
      <c r="J314">
        <f>IF(G314="","",H314-G314)</f>
        <v/>
      </c>
      <c r="K314">
        <f>IF(G314="","",IF(VLOOKUP(C314,Recipes!$A$2:$N$4,4,FALSE())=0,-1E+300,-0.5*((J314-Components!$D$2)/Components!$E$2)^2))</f>
        <v/>
      </c>
      <c r="L314">
        <f>IF(G314="","",IF(VLOOKUP(C314,Recipes!$A$2:$N$4,5,FALSE())=0,-1E+300,-0.5*((J314-Components!$D$3)/Components!$E$3)^2))</f>
        <v/>
      </c>
      <c r="M314">
        <f>IF(G314="","",IF(VLOOKUP(C314,Recipes!$A$2:$N$4,6,FALSE())=0,-1E+300,-0.5*((J314-Components!$D$4)/Components!$E$4)^2))</f>
        <v/>
      </c>
      <c r="N314">
        <f>IF(G314="","",IF(VLOOKUP(C314,Recipes!$A$2:$N$4,7,FALSE())=0,-1E+300,-0.5*((J314-Components!$D$5)/Components!$E$5)^2))</f>
        <v/>
      </c>
      <c r="O314">
        <f>IF(G314="","",IF(VLOOKUP(C314,Recipes!$A$2:$N$4,8,FALSE())=0,-1E+300,-0.5*((J314-Components!$D$6)/Components!$E$6)^2))</f>
        <v/>
      </c>
      <c r="P314">
        <f>IF(G314="","",IF(VLOOKUP(C314,Recipes!$A$2:$N$4,9,FALSE())=0,-1E+300,-0.5*((J314-Components!$D$7)/Components!$E$7)^2))</f>
        <v/>
      </c>
      <c r="Q314">
        <f>IF(G314="","",EXP(LARGE(K314:P314,1)-MAX(K314:P314))/(EXP(K314-MAX(K314:P314))+EXP(L314-MAX(K314:P314))+EXP(M314-MAX(K314:P314))+EXP(N314-MAX(K314:P314))+EXP(O314-MAX(K314:P314))+EXP(P314-MAX(K314:P314))))</f>
        <v/>
      </c>
      <c r="R314">
        <f>IF(G314="","",EXP(LARGE(K314:P314,2)-MAX(K314:P314))/(EXP(K314-MAX(K314:P314))+EXP(L314-MAX(K314:P314))+EXP(M314-MAX(K314:P314))+EXP(N314-MAX(K314:P314))+EXP(O314-MAX(K314:P314))+EXP(P314-MAX(K314:P314))))</f>
        <v/>
      </c>
      <c r="S314">
        <f>IF(G314="","",Q314-R314)</f>
        <v/>
      </c>
      <c r="T314">
        <f>IF(G314="","",IF(ABS(G314-H314)&lt;=$B$6*I314,"OK","NG"))</f>
        <v/>
      </c>
      <c r="U314">
        <f>IF(T314="","",IF(T314=D314,1,0))</f>
        <v/>
      </c>
      <c r="V314">
        <f>IF(G314="","",IF(T314="OK","NONE",INDEX({"S1","S2","W1","W2","N1","N2"},MATCH(MAX(K314:P314),K314:P314,0))))</f>
        <v/>
      </c>
      <c r="W314">
        <f>IF(G314="","",IF(V314=E314,1,0))</f>
        <v/>
      </c>
      <c r="X314">
        <f>IF(G314="","",IF(AND(T314="NG",S314&lt;$B$7),"AMBIGUOUS","CONFIDENT"))</f>
        <v/>
      </c>
    </row>
    <row r="315">
      <c r="A315">
        <f>'Runs Z score'!A308</f>
        <v/>
      </c>
      <c r="B315">
        <f>'Runs Z score'!B308</f>
        <v/>
      </c>
      <c r="C315">
        <f>'Runs Z score'!C308</f>
        <v/>
      </c>
      <c r="D315">
        <f>'Runs Z score'!D308</f>
        <v/>
      </c>
      <c r="E315">
        <f>'Runs Z score'!E308</f>
        <v/>
      </c>
      <c r="F315">
        <f>'Runs Z score'!F308</f>
        <v/>
      </c>
      <c r="G315">
        <f>'Runs Z score'!G308</f>
        <v/>
      </c>
      <c r="H315">
        <f>VLOOKUP(C315,Recipes!$A$2:$N$4,10,FALSE())</f>
        <v/>
      </c>
      <c r="I315">
        <f>VLOOKUP(C315,Recipes!$A$2:$N$4,12,FALSE())</f>
        <v/>
      </c>
      <c r="J315">
        <f>IF(G315="","",H315-G315)</f>
        <v/>
      </c>
      <c r="K315">
        <f>IF(G315="","",IF(VLOOKUP(C315,Recipes!$A$2:$N$4,4,FALSE())=0,-1E+300,-0.5*((J315-Components!$D$2)/Components!$E$2)^2))</f>
        <v/>
      </c>
      <c r="L315">
        <f>IF(G315="","",IF(VLOOKUP(C315,Recipes!$A$2:$N$4,5,FALSE())=0,-1E+300,-0.5*((J315-Components!$D$3)/Components!$E$3)^2))</f>
        <v/>
      </c>
      <c r="M315">
        <f>IF(G315="","",IF(VLOOKUP(C315,Recipes!$A$2:$N$4,6,FALSE())=0,-1E+300,-0.5*((J315-Components!$D$4)/Components!$E$4)^2))</f>
        <v/>
      </c>
      <c r="N315">
        <f>IF(G315="","",IF(VLOOKUP(C315,Recipes!$A$2:$N$4,7,FALSE())=0,-1E+300,-0.5*((J315-Components!$D$5)/Components!$E$5)^2))</f>
        <v/>
      </c>
      <c r="O315">
        <f>IF(G315="","",IF(VLOOKUP(C315,Recipes!$A$2:$N$4,8,FALSE())=0,-1E+300,-0.5*((J315-Components!$D$6)/Components!$E$6)^2))</f>
        <v/>
      </c>
      <c r="P315">
        <f>IF(G315="","",IF(VLOOKUP(C315,Recipes!$A$2:$N$4,9,FALSE())=0,-1E+300,-0.5*((J315-Components!$D$7)/Components!$E$7)^2))</f>
        <v/>
      </c>
      <c r="Q315">
        <f>IF(G315="","",EXP(LARGE(K315:P315,1)-MAX(K315:P315))/(EXP(K315-MAX(K315:P315))+EXP(L315-MAX(K315:P315))+EXP(M315-MAX(K315:P315))+EXP(N315-MAX(K315:P315))+EXP(O315-MAX(K315:P315))+EXP(P315-MAX(K315:P315))))</f>
        <v/>
      </c>
      <c r="R315">
        <f>IF(G315="","",EXP(LARGE(K315:P315,2)-MAX(K315:P315))/(EXP(K315-MAX(K315:P315))+EXP(L315-MAX(K315:P315))+EXP(M315-MAX(K315:P315))+EXP(N315-MAX(K315:P315))+EXP(O315-MAX(K315:P315))+EXP(P315-MAX(K315:P315))))</f>
        <v/>
      </c>
      <c r="S315">
        <f>IF(G315="","",Q315-R315)</f>
        <v/>
      </c>
      <c r="T315">
        <f>IF(G315="","",IF(ABS(G315-H315)&lt;=$B$6*I315,"OK","NG"))</f>
        <v/>
      </c>
      <c r="U315">
        <f>IF(T315="","",IF(T315=D315,1,0))</f>
        <v/>
      </c>
      <c r="V315">
        <f>IF(G315="","",IF(T315="OK","NONE",INDEX({"S1","S2","W1","W2","N1","N2"},MATCH(MAX(K315:P315),K315:P315,0))))</f>
        <v/>
      </c>
      <c r="W315">
        <f>IF(G315="","",IF(V315=E315,1,0))</f>
        <v/>
      </c>
      <c r="X315">
        <f>IF(G315="","",IF(AND(T315="NG",S315&lt;$B$7),"AMBIGUOUS","CONFIDENT"))</f>
        <v/>
      </c>
    </row>
    <row r="316">
      <c r="A316">
        <f>'Runs Z score'!A309</f>
        <v/>
      </c>
      <c r="B316">
        <f>'Runs Z score'!B309</f>
        <v/>
      </c>
      <c r="C316">
        <f>'Runs Z score'!C309</f>
        <v/>
      </c>
      <c r="D316">
        <f>'Runs Z score'!D309</f>
        <v/>
      </c>
      <c r="E316">
        <f>'Runs Z score'!E309</f>
        <v/>
      </c>
      <c r="F316">
        <f>'Runs Z score'!F309</f>
        <v/>
      </c>
      <c r="G316">
        <f>'Runs Z score'!G309</f>
        <v/>
      </c>
      <c r="H316">
        <f>VLOOKUP(C316,Recipes!$A$2:$N$4,10,FALSE())</f>
        <v/>
      </c>
      <c r="I316">
        <f>VLOOKUP(C316,Recipes!$A$2:$N$4,12,FALSE())</f>
        <v/>
      </c>
      <c r="J316">
        <f>IF(G316="","",H316-G316)</f>
        <v/>
      </c>
      <c r="K316">
        <f>IF(G316="","",IF(VLOOKUP(C316,Recipes!$A$2:$N$4,4,FALSE())=0,-1E+300,-0.5*((J316-Components!$D$2)/Components!$E$2)^2))</f>
        <v/>
      </c>
      <c r="L316">
        <f>IF(G316="","",IF(VLOOKUP(C316,Recipes!$A$2:$N$4,5,FALSE())=0,-1E+300,-0.5*((J316-Components!$D$3)/Components!$E$3)^2))</f>
        <v/>
      </c>
      <c r="M316">
        <f>IF(G316="","",IF(VLOOKUP(C316,Recipes!$A$2:$N$4,6,FALSE())=0,-1E+300,-0.5*((J316-Components!$D$4)/Components!$E$4)^2))</f>
        <v/>
      </c>
      <c r="N316">
        <f>IF(G316="","",IF(VLOOKUP(C316,Recipes!$A$2:$N$4,7,FALSE())=0,-1E+300,-0.5*((J316-Components!$D$5)/Components!$E$5)^2))</f>
        <v/>
      </c>
      <c r="O316">
        <f>IF(G316="","",IF(VLOOKUP(C316,Recipes!$A$2:$N$4,8,FALSE())=0,-1E+300,-0.5*((J316-Components!$D$6)/Components!$E$6)^2))</f>
        <v/>
      </c>
      <c r="P316">
        <f>IF(G316="","",IF(VLOOKUP(C316,Recipes!$A$2:$N$4,9,FALSE())=0,-1E+300,-0.5*((J316-Components!$D$7)/Components!$E$7)^2))</f>
        <v/>
      </c>
      <c r="Q316">
        <f>IF(G316="","",EXP(LARGE(K316:P316,1)-MAX(K316:P316))/(EXP(K316-MAX(K316:P316))+EXP(L316-MAX(K316:P316))+EXP(M316-MAX(K316:P316))+EXP(N316-MAX(K316:P316))+EXP(O316-MAX(K316:P316))+EXP(P316-MAX(K316:P316))))</f>
        <v/>
      </c>
      <c r="R316">
        <f>IF(G316="","",EXP(LARGE(K316:P316,2)-MAX(K316:P316))/(EXP(K316-MAX(K316:P316))+EXP(L316-MAX(K316:P316))+EXP(M316-MAX(K316:P316))+EXP(N316-MAX(K316:P316))+EXP(O316-MAX(K316:P316))+EXP(P316-MAX(K316:P316))))</f>
        <v/>
      </c>
      <c r="S316">
        <f>IF(G316="","",Q316-R316)</f>
        <v/>
      </c>
      <c r="T316">
        <f>IF(G316="","",IF(ABS(G316-H316)&lt;=$B$6*I316,"OK","NG"))</f>
        <v/>
      </c>
      <c r="U316">
        <f>IF(T316="","",IF(T316=D316,1,0))</f>
        <v/>
      </c>
      <c r="V316">
        <f>IF(G316="","",IF(T316="OK","NONE",INDEX({"S1","S2","W1","W2","N1","N2"},MATCH(MAX(K316:P316),K316:P316,0))))</f>
        <v/>
      </c>
      <c r="W316">
        <f>IF(G316="","",IF(V316=E316,1,0))</f>
        <v/>
      </c>
      <c r="X316">
        <f>IF(G316="","",IF(AND(T316="NG",S316&lt;$B$7),"AMBIGUOUS","CONFIDENT"))</f>
        <v/>
      </c>
    </row>
    <row r="317">
      <c r="A317">
        <f>'Runs Z score'!A310</f>
        <v/>
      </c>
      <c r="B317">
        <f>'Runs Z score'!B310</f>
        <v/>
      </c>
      <c r="C317">
        <f>'Runs Z score'!C310</f>
        <v/>
      </c>
      <c r="D317">
        <f>'Runs Z score'!D310</f>
        <v/>
      </c>
      <c r="E317">
        <f>'Runs Z score'!E310</f>
        <v/>
      </c>
      <c r="F317">
        <f>'Runs Z score'!F310</f>
        <v/>
      </c>
      <c r="G317">
        <f>'Runs Z score'!G310</f>
        <v/>
      </c>
      <c r="H317">
        <f>VLOOKUP(C317,Recipes!$A$2:$N$4,10,FALSE())</f>
        <v/>
      </c>
      <c r="I317">
        <f>VLOOKUP(C317,Recipes!$A$2:$N$4,12,FALSE())</f>
        <v/>
      </c>
      <c r="J317">
        <f>IF(G317="","",H317-G317)</f>
        <v/>
      </c>
      <c r="K317">
        <f>IF(G317="","",IF(VLOOKUP(C317,Recipes!$A$2:$N$4,4,FALSE())=0,-1E+300,-0.5*((J317-Components!$D$2)/Components!$E$2)^2))</f>
        <v/>
      </c>
      <c r="L317">
        <f>IF(G317="","",IF(VLOOKUP(C317,Recipes!$A$2:$N$4,5,FALSE())=0,-1E+300,-0.5*((J317-Components!$D$3)/Components!$E$3)^2))</f>
        <v/>
      </c>
      <c r="M317">
        <f>IF(G317="","",IF(VLOOKUP(C317,Recipes!$A$2:$N$4,6,FALSE())=0,-1E+300,-0.5*((J317-Components!$D$4)/Components!$E$4)^2))</f>
        <v/>
      </c>
      <c r="N317">
        <f>IF(G317="","",IF(VLOOKUP(C317,Recipes!$A$2:$N$4,7,FALSE())=0,-1E+300,-0.5*((J317-Components!$D$5)/Components!$E$5)^2))</f>
        <v/>
      </c>
      <c r="O317">
        <f>IF(G317="","",IF(VLOOKUP(C317,Recipes!$A$2:$N$4,8,FALSE())=0,-1E+300,-0.5*((J317-Components!$D$6)/Components!$E$6)^2))</f>
        <v/>
      </c>
      <c r="P317">
        <f>IF(G317="","",IF(VLOOKUP(C317,Recipes!$A$2:$N$4,9,FALSE())=0,-1E+300,-0.5*((J317-Components!$D$7)/Components!$E$7)^2))</f>
        <v/>
      </c>
      <c r="Q317">
        <f>IF(G317="","",EXP(LARGE(K317:P317,1)-MAX(K317:P317))/(EXP(K317-MAX(K317:P317))+EXP(L317-MAX(K317:P317))+EXP(M317-MAX(K317:P317))+EXP(N317-MAX(K317:P317))+EXP(O317-MAX(K317:P317))+EXP(P317-MAX(K317:P317))))</f>
        <v/>
      </c>
      <c r="R317">
        <f>IF(G317="","",EXP(LARGE(K317:P317,2)-MAX(K317:P317))/(EXP(K317-MAX(K317:P317))+EXP(L317-MAX(K317:P317))+EXP(M317-MAX(K317:P317))+EXP(N317-MAX(K317:P317))+EXP(O317-MAX(K317:P317))+EXP(P317-MAX(K317:P317))))</f>
        <v/>
      </c>
      <c r="S317">
        <f>IF(G317="","",Q317-R317)</f>
        <v/>
      </c>
      <c r="T317">
        <f>IF(G317="","",IF(ABS(G317-H317)&lt;=$B$6*I317,"OK","NG"))</f>
        <v/>
      </c>
      <c r="U317">
        <f>IF(T317="","",IF(T317=D317,1,0))</f>
        <v/>
      </c>
      <c r="V317">
        <f>IF(G317="","",IF(T317="OK","NONE",INDEX({"S1","S2","W1","W2","N1","N2"},MATCH(MAX(K317:P317),K317:P317,0))))</f>
        <v/>
      </c>
      <c r="W317">
        <f>IF(G317="","",IF(V317=E317,1,0))</f>
        <v/>
      </c>
      <c r="X317">
        <f>IF(G317="","",IF(AND(T317="NG",S317&lt;$B$7),"AMBIGUOUS","CONFIDENT"))</f>
        <v/>
      </c>
    </row>
    <row r="318">
      <c r="A318">
        <f>'Runs Z score'!A311</f>
        <v/>
      </c>
      <c r="B318">
        <f>'Runs Z score'!B311</f>
        <v/>
      </c>
      <c r="C318">
        <f>'Runs Z score'!C311</f>
        <v/>
      </c>
      <c r="D318">
        <f>'Runs Z score'!D311</f>
        <v/>
      </c>
      <c r="E318">
        <f>'Runs Z score'!E311</f>
        <v/>
      </c>
      <c r="F318">
        <f>'Runs Z score'!F311</f>
        <v/>
      </c>
      <c r="G318">
        <f>'Runs Z score'!G311</f>
        <v/>
      </c>
      <c r="H318">
        <f>VLOOKUP(C318,Recipes!$A$2:$N$4,10,FALSE())</f>
        <v/>
      </c>
      <c r="I318">
        <f>VLOOKUP(C318,Recipes!$A$2:$N$4,12,FALSE())</f>
        <v/>
      </c>
      <c r="J318">
        <f>IF(G318="","",H318-G318)</f>
        <v/>
      </c>
      <c r="K318">
        <f>IF(G318="","",IF(VLOOKUP(C318,Recipes!$A$2:$N$4,4,FALSE())=0,-1E+300,-0.5*((J318-Components!$D$2)/Components!$E$2)^2))</f>
        <v/>
      </c>
      <c r="L318">
        <f>IF(G318="","",IF(VLOOKUP(C318,Recipes!$A$2:$N$4,5,FALSE())=0,-1E+300,-0.5*((J318-Components!$D$3)/Components!$E$3)^2))</f>
        <v/>
      </c>
      <c r="M318">
        <f>IF(G318="","",IF(VLOOKUP(C318,Recipes!$A$2:$N$4,6,FALSE())=0,-1E+300,-0.5*((J318-Components!$D$4)/Components!$E$4)^2))</f>
        <v/>
      </c>
      <c r="N318">
        <f>IF(G318="","",IF(VLOOKUP(C318,Recipes!$A$2:$N$4,7,FALSE())=0,-1E+300,-0.5*((J318-Components!$D$5)/Components!$E$5)^2))</f>
        <v/>
      </c>
      <c r="O318">
        <f>IF(G318="","",IF(VLOOKUP(C318,Recipes!$A$2:$N$4,8,FALSE())=0,-1E+300,-0.5*((J318-Components!$D$6)/Components!$E$6)^2))</f>
        <v/>
      </c>
      <c r="P318">
        <f>IF(G318="","",IF(VLOOKUP(C318,Recipes!$A$2:$N$4,9,FALSE())=0,-1E+300,-0.5*((J318-Components!$D$7)/Components!$E$7)^2))</f>
        <v/>
      </c>
      <c r="Q318">
        <f>IF(G318="","",EXP(LARGE(K318:P318,1)-MAX(K318:P318))/(EXP(K318-MAX(K318:P318))+EXP(L318-MAX(K318:P318))+EXP(M318-MAX(K318:P318))+EXP(N318-MAX(K318:P318))+EXP(O318-MAX(K318:P318))+EXP(P318-MAX(K318:P318))))</f>
        <v/>
      </c>
      <c r="R318">
        <f>IF(G318="","",EXP(LARGE(K318:P318,2)-MAX(K318:P318))/(EXP(K318-MAX(K318:P318))+EXP(L318-MAX(K318:P318))+EXP(M318-MAX(K318:P318))+EXP(N318-MAX(K318:P318))+EXP(O318-MAX(K318:P318))+EXP(P318-MAX(K318:P318))))</f>
        <v/>
      </c>
      <c r="S318">
        <f>IF(G318="","",Q318-R318)</f>
        <v/>
      </c>
      <c r="T318">
        <f>IF(G318="","",IF(ABS(G318-H318)&lt;=$B$6*I318,"OK","NG"))</f>
        <v/>
      </c>
      <c r="U318">
        <f>IF(T318="","",IF(T318=D318,1,0))</f>
        <v/>
      </c>
      <c r="V318">
        <f>IF(G318="","",IF(T318="OK","NONE",INDEX({"S1","S2","W1","W2","N1","N2"},MATCH(MAX(K318:P318),K318:P318,0))))</f>
        <v/>
      </c>
      <c r="W318">
        <f>IF(G318="","",IF(V318=E318,1,0))</f>
        <v/>
      </c>
      <c r="X318">
        <f>IF(G318="","",IF(AND(T318="NG",S318&lt;$B$7),"AMBIGUOUS","CONFIDENT"))</f>
        <v/>
      </c>
    </row>
    <row r="319">
      <c r="A319">
        <f>'Runs Z score'!A312</f>
        <v/>
      </c>
      <c r="B319">
        <f>'Runs Z score'!B312</f>
        <v/>
      </c>
      <c r="C319">
        <f>'Runs Z score'!C312</f>
        <v/>
      </c>
      <c r="D319">
        <f>'Runs Z score'!D312</f>
        <v/>
      </c>
      <c r="E319">
        <f>'Runs Z score'!E312</f>
        <v/>
      </c>
      <c r="F319">
        <f>'Runs Z score'!F312</f>
        <v/>
      </c>
      <c r="G319">
        <f>'Runs Z score'!G312</f>
        <v/>
      </c>
      <c r="H319">
        <f>VLOOKUP(C319,Recipes!$A$2:$N$4,10,FALSE())</f>
        <v/>
      </c>
      <c r="I319">
        <f>VLOOKUP(C319,Recipes!$A$2:$N$4,12,FALSE())</f>
        <v/>
      </c>
      <c r="J319">
        <f>IF(G319="","",H319-G319)</f>
        <v/>
      </c>
      <c r="K319">
        <f>IF(G319="","",IF(VLOOKUP(C319,Recipes!$A$2:$N$4,4,FALSE())=0,-1E+300,-0.5*((J319-Components!$D$2)/Components!$E$2)^2))</f>
        <v/>
      </c>
      <c r="L319">
        <f>IF(G319="","",IF(VLOOKUP(C319,Recipes!$A$2:$N$4,5,FALSE())=0,-1E+300,-0.5*((J319-Components!$D$3)/Components!$E$3)^2))</f>
        <v/>
      </c>
      <c r="M319">
        <f>IF(G319="","",IF(VLOOKUP(C319,Recipes!$A$2:$N$4,6,FALSE())=0,-1E+300,-0.5*((J319-Components!$D$4)/Components!$E$4)^2))</f>
        <v/>
      </c>
      <c r="N319">
        <f>IF(G319="","",IF(VLOOKUP(C319,Recipes!$A$2:$N$4,7,FALSE())=0,-1E+300,-0.5*((J319-Components!$D$5)/Components!$E$5)^2))</f>
        <v/>
      </c>
      <c r="O319">
        <f>IF(G319="","",IF(VLOOKUP(C319,Recipes!$A$2:$N$4,8,FALSE())=0,-1E+300,-0.5*((J319-Components!$D$6)/Components!$E$6)^2))</f>
        <v/>
      </c>
      <c r="P319">
        <f>IF(G319="","",IF(VLOOKUP(C319,Recipes!$A$2:$N$4,9,FALSE())=0,-1E+300,-0.5*((J319-Components!$D$7)/Components!$E$7)^2))</f>
        <v/>
      </c>
      <c r="Q319">
        <f>IF(G319="","",EXP(LARGE(K319:P319,1)-MAX(K319:P319))/(EXP(K319-MAX(K319:P319))+EXP(L319-MAX(K319:P319))+EXP(M319-MAX(K319:P319))+EXP(N319-MAX(K319:P319))+EXP(O319-MAX(K319:P319))+EXP(P319-MAX(K319:P319))))</f>
        <v/>
      </c>
      <c r="R319">
        <f>IF(G319="","",EXP(LARGE(K319:P319,2)-MAX(K319:P319))/(EXP(K319-MAX(K319:P319))+EXP(L319-MAX(K319:P319))+EXP(M319-MAX(K319:P319))+EXP(N319-MAX(K319:P319))+EXP(O319-MAX(K319:P319))+EXP(P319-MAX(K319:P319))))</f>
        <v/>
      </c>
      <c r="S319">
        <f>IF(G319="","",Q319-R319)</f>
        <v/>
      </c>
      <c r="T319">
        <f>IF(G319="","",IF(ABS(G319-H319)&lt;=$B$6*I319,"OK","NG"))</f>
        <v/>
      </c>
      <c r="U319">
        <f>IF(T319="","",IF(T319=D319,1,0))</f>
        <v/>
      </c>
      <c r="V319">
        <f>IF(G319="","",IF(T319="OK","NONE",INDEX({"S1","S2","W1","W2","N1","N2"},MATCH(MAX(K319:P319),K319:P319,0))))</f>
        <v/>
      </c>
      <c r="W319">
        <f>IF(G319="","",IF(V319=E319,1,0))</f>
        <v/>
      </c>
      <c r="X319">
        <f>IF(G319="","",IF(AND(T319="NG",S319&lt;$B$7),"AMBIGUOUS","CONFIDENT"))</f>
        <v/>
      </c>
    </row>
    <row r="320">
      <c r="A320">
        <f>'Runs Z score'!A313</f>
        <v/>
      </c>
      <c r="B320">
        <f>'Runs Z score'!B313</f>
        <v/>
      </c>
      <c r="C320">
        <f>'Runs Z score'!C313</f>
        <v/>
      </c>
      <c r="D320">
        <f>'Runs Z score'!D313</f>
        <v/>
      </c>
      <c r="E320">
        <f>'Runs Z score'!E313</f>
        <v/>
      </c>
      <c r="F320">
        <f>'Runs Z score'!F313</f>
        <v/>
      </c>
      <c r="G320">
        <f>'Runs Z score'!G313</f>
        <v/>
      </c>
      <c r="H320">
        <f>VLOOKUP(C320,Recipes!$A$2:$N$4,10,FALSE())</f>
        <v/>
      </c>
      <c r="I320">
        <f>VLOOKUP(C320,Recipes!$A$2:$N$4,12,FALSE())</f>
        <v/>
      </c>
      <c r="J320">
        <f>IF(G320="","",H320-G320)</f>
        <v/>
      </c>
      <c r="K320">
        <f>IF(G320="","",IF(VLOOKUP(C320,Recipes!$A$2:$N$4,4,FALSE())=0,-1E+300,-0.5*((J320-Components!$D$2)/Components!$E$2)^2))</f>
        <v/>
      </c>
      <c r="L320">
        <f>IF(G320="","",IF(VLOOKUP(C320,Recipes!$A$2:$N$4,5,FALSE())=0,-1E+300,-0.5*((J320-Components!$D$3)/Components!$E$3)^2))</f>
        <v/>
      </c>
      <c r="M320">
        <f>IF(G320="","",IF(VLOOKUP(C320,Recipes!$A$2:$N$4,6,FALSE())=0,-1E+300,-0.5*((J320-Components!$D$4)/Components!$E$4)^2))</f>
        <v/>
      </c>
      <c r="N320">
        <f>IF(G320="","",IF(VLOOKUP(C320,Recipes!$A$2:$N$4,7,FALSE())=0,-1E+300,-0.5*((J320-Components!$D$5)/Components!$E$5)^2))</f>
        <v/>
      </c>
      <c r="O320">
        <f>IF(G320="","",IF(VLOOKUP(C320,Recipes!$A$2:$N$4,8,FALSE())=0,-1E+300,-0.5*((J320-Components!$D$6)/Components!$E$6)^2))</f>
        <v/>
      </c>
      <c r="P320">
        <f>IF(G320="","",IF(VLOOKUP(C320,Recipes!$A$2:$N$4,9,FALSE())=0,-1E+300,-0.5*((J320-Components!$D$7)/Components!$E$7)^2))</f>
        <v/>
      </c>
      <c r="Q320">
        <f>IF(G320="","",EXP(LARGE(K320:P320,1)-MAX(K320:P320))/(EXP(K320-MAX(K320:P320))+EXP(L320-MAX(K320:P320))+EXP(M320-MAX(K320:P320))+EXP(N320-MAX(K320:P320))+EXP(O320-MAX(K320:P320))+EXP(P320-MAX(K320:P320))))</f>
        <v/>
      </c>
      <c r="R320">
        <f>IF(G320="","",EXP(LARGE(K320:P320,2)-MAX(K320:P320))/(EXP(K320-MAX(K320:P320))+EXP(L320-MAX(K320:P320))+EXP(M320-MAX(K320:P320))+EXP(N320-MAX(K320:P320))+EXP(O320-MAX(K320:P320))+EXP(P320-MAX(K320:P320))))</f>
        <v/>
      </c>
      <c r="S320">
        <f>IF(G320="","",Q320-R320)</f>
        <v/>
      </c>
      <c r="T320">
        <f>IF(G320="","",IF(ABS(G320-H320)&lt;=$B$6*I320,"OK","NG"))</f>
        <v/>
      </c>
      <c r="U320">
        <f>IF(T320="","",IF(T320=D320,1,0))</f>
        <v/>
      </c>
      <c r="V320">
        <f>IF(G320="","",IF(T320="OK","NONE",INDEX({"S1","S2","W1","W2","N1","N2"},MATCH(MAX(K320:P320),K320:P320,0))))</f>
        <v/>
      </c>
      <c r="W320">
        <f>IF(G320="","",IF(V320=E320,1,0))</f>
        <v/>
      </c>
      <c r="X320">
        <f>IF(G320="","",IF(AND(T320="NG",S320&lt;$B$7),"AMBIGUOUS","CONFIDENT"))</f>
        <v/>
      </c>
    </row>
    <row r="321">
      <c r="A321">
        <f>'Runs Z score'!A314</f>
        <v/>
      </c>
      <c r="B321">
        <f>'Runs Z score'!B314</f>
        <v/>
      </c>
      <c r="C321">
        <f>'Runs Z score'!C314</f>
        <v/>
      </c>
      <c r="D321">
        <f>'Runs Z score'!D314</f>
        <v/>
      </c>
      <c r="E321">
        <f>'Runs Z score'!E314</f>
        <v/>
      </c>
      <c r="F321">
        <f>'Runs Z score'!F314</f>
        <v/>
      </c>
      <c r="G321">
        <f>'Runs Z score'!G314</f>
        <v/>
      </c>
      <c r="H321">
        <f>VLOOKUP(C321,Recipes!$A$2:$N$4,10,FALSE())</f>
        <v/>
      </c>
      <c r="I321">
        <f>VLOOKUP(C321,Recipes!$A$2:$N$4,12,FALSE())</f>
        <v/>
      </c>
      <c r="J321">
        <f>IF(G321="","",H321-G321)</f>
        <v/>
      </c>
      <c r="K321">
        <f>IF(G321="","",IF(VLOOKUP(C321,Recipes!$A$2:$N$4,4,FALSE())=0,-1E+300,-0.5*((J321-Components!$D$2)/Components!$E$2)^2))</f>
        <v/>
      </c>
      <c r="L321">
        <f>IF(G321="","",IF(VLOOKUP(C321,Recipes!$A$2:$N$4,5,FALSE())=0,-1E+300,-0.5*((J321-Components!$D$3)/Components!$E$3)^2))</f>
        <v/>
      </c>
      <c r="M321">
        <f>IF(G321="","",IF(VLOOKUP(C321,Recipes!$A$2:$N$4,6,FALSE())=0,-1E+300,-0.5*((J321-Components!$D$4)/Components!$E$4)^2))</f>
        <v/>
      </c>
      <c r="N321">
        <f>IF(G321="","",IF(VLOOKUP(C321,Recipes!$A$2:$N$4,7,FALSE())=0,-1E+300,-0.5*((J321-Components!$D$5)/Components!$E$5)^2))</f>
        <v/>
      </c>
      <c r="O321">
        <f>IF(G321="","",IF(VLOOKUP(C321,Recipes!$A$2:$N$4,8,FALSE())=0,-1E+300,-0.5*((J321-Components!$D$6)/Components!$E$6)^2))</f>
        <v/>
      </c>
      <c r="P321">
        <f>IF(G321="","",IF(VLOOKUP(C321,Recipes!$A$2:$N$4,9,FALSE())=0,-1E+300,-0.5*((J321-Components!$D$7)/Components!$E$7)^2))</f>
        <v/>
      </c>
      <c r="Q321">
        <f>IF(G321="","",EXP(LARGE(K321:P321,1)-MAX(K321:P321))/(EXP(K321-MAX(K321:P321))+EXP(L321-MAX(K321:P321))+EXP(M321-MAX(K321:P321))+EXP(N321-MAX(K321:P321))+EXP(O321-MAX(K321:P321))+EXP(P321-MAX(K321:P321))))</f>
        <v/>
      </c>
      <c r="R321">
        <f>IF(G321="","",EXP(LARGE(K321:P321,2)-MAX(K321:P321))/(EXP(K321-MAX(K321:P321))+EXP(L321-MAX(K321:P321))+EXP(M321-MAX(K321:P321))+EXP(N321-MAX(K321:P321))+EXP(O321-MAX(K321:P321))+EXP(P321-MAX(K321:P321))))</f>
        <v/>
      </c>
      <c r="S321">
        <f>IF(G321="","",Q321-R321)</f>
        <v/>
      </c>
      <c r="T321">
        <f>IF(G321="","",IF(ABS(G321-H321)&lt;=$B$6*I321,"OK","NG"))</f>
        <v/>
      </c>
      <c r="U321">
        <f>IF(T321="","",IF(T321=D321,1,0))</f>
        <v/>
      </c>
      <c r="V321">
        <f>IF(G321="","",IF(T321="OK","NONE",INDEX({"S1","S2","W1","W2","N1","N2"},MATCH(MAX(K321:P321),K321:P321,0))))</f>
        <v/>
      </c>
      <c r="W321">
        <f>IF(G321="","",IF(V321=E321,1,0))</f>
        <v/>
      </c>
      <c r="X321">
        <f>IF(G321="","",IF(AND(T321="NG",S321&lt;$B$7),"AMBIGUOUS","CONFIDENT"))</f>
        <v/>
      </c>
    </row>
    <row r="322">
      <c r="A322">
        <f>'Runs Z score'!A315</f>
        <v/>
      </c>
      <c r="B322">
        <f>'Runs Z score'!B315</f>
        <v/>
      </c>
      <c r="C322">
        <f>'Runs Z score'!C315</f>
        <v/>
      </c>
      <c r="D322">
        <f>'Runs Z score'!D315</f>
        <v/>
      </c>
      <c r="E322">
        <f>'Runs Z score'!E315</f>
        <v/>
      </c>
      <c r="F322">
        <f>'Runs Z score'!F315</f>
        <v/>
      </c>
      <c r="G322">
        <f>'Runs Z score'!G315</f>
        <v/>
      </c>
      <c r="H322">
        <f>VLOOKUP(C322,Recipes!$A$2:$N$4,10,FALSE())</f>
        <v/>
      </c>
      <c r="I322">
        <f>VLOOKUP(C322,Recipes!$A$2:$N$4,12,FALSE())</f>
        <v/>
      </c>
      <c r="J322">
        <f>IF(G322="","",H322-G322)</f>
        <v/>
      </c>
      <c r="K322">
        <f>IF(G322="","",IF(VLOOKUP(C322,Recipes!$A$2:$N$4,4,FALSE())=0,-1E+300,-0.5*((J322-Components!$D$2)/Components!$E$2)^2))</f>
        <v/>
      </c>
      <c r="L322">
        <f>IF(G322="","",IF(VLOOKUP(C322,Recipes!$A$2:$N$4,5,FALSE())=0,-1E+300,-0.5*((J322-Components!$D$3)/Components!$E$3)^2))</f>
        <v/>
      </c>
      <c r="M322">
        <f>IF(G322="","",IF(VLOOKUP(C322,Recipes!$A$2:$N$4,6,FALSE())=0,-1E+300,-0.5*((J322-Components!$D$4)/Components!$E$4)^2))</f>
        <v/>
      </c>
      <c r="N322">
        <f>IF(G322="","",IF(VLOOKUP(C322,Recipes!$A$2:$N$4,7,FALSE())=0,-1E+300,-0.5*((J322-Components!$D$5)/Components!$E$5)^2))</f>
        <v/>
      </c>
      <c r="O322">
        <f>IF(G322="","",IF(VLOOKUP(C322,Recipes!$A$2:$N$4,8,FALSE())=0,-1E+300,-0.5*((J322-Components!$D$6)/Components!$E$6)^2))</f>
        <v/>
      </c>
      <c r="P322">
        <f>IF(G322="","",IF(VLOOKUP(C322,Recipes!$A$2:$N$4,9,FALSE())=0,-1E+300,-0.5*((J322-Components!$D$7)/Components!$E$7)^2))</f>
        <v/>
      </c>
      <c r="Q322">
        <f>IF(G322="","",EXP(LARGE(K322:P322,1)-MAX(K322:P322))/(EXP(K322-MAX(K322:P322))+EXP(L322-MAX(K322:P322))+EXP(M322-MAX(K322:P322))+EXP(N322-MAX(K322:P322))+EXP(O322-MAX(K322:P322))+EXP(P322-MAX(K322:P322))))</f>
        <v/>
      </c>
      <c r="R322">
        <f>IF(G322="","",EXP(LARGE(K322:P322,2)-MAX(K322:P322))/(EXP(K322-MAX(K322:P322))+EXP(L322-MAX(K322:P322))+EXP(M322-MAX(K322:P322))+EXP(N322-MAX(K322:P322))+EXP(O322-MAX(K322:P322))+EXP(P322-MAX(K322:P322))))</f>
        <v/>
      </c>
      <c r="S322">
        <f>IF(G322="","",Q322-R322)</f>
        <v/>
      </c>
      <c r="T322">
        <f>IF(G322="","",IF(ABS(G322-H322)&lt;=$B$6*I322,"OK","NG"))</f>
        <v/>
      </c>
      <c r="U322">
        <f>IF(T322="","",IF(T322=D322,1,0))</f>
        <v/>
      </c>
      <c r="V322">
        <f>IF(G322="","",IF(T322="OK","NONE",INDEX({"S1","S2","W1","W2","N1","N2"},MATCH(MAX(K322:P322),K322:P322,0))))</f>
        <v/>
      </c>
      <c r="W322">
        <f>IF(G322="","",IF(V322=E322,1,0))</f>
        <v/>
      </c>
      <c r="X322">
        <f>IF(G322="","",IF(AND(T322="NG",S322&lt;$B$7),"AMBIGUOUS","CONFIDENT"))</f>
        <v/>
      </c>
    </row>
    <row r="323">
      <c r="A323">
        <f>'Runs Z score'!A316</f>
        <v/>
      </c>
      <c r="B323">
        <f>'Runs Z score'!B316</f>
        <v/>
      </c>
      <c r="C323">
        <f>'Runs Z score'!C316</f>
        <v/>
      </c>
      <c r="D323">
        <f>'Runs Z score'!D316</f>
        <v/>
      </c>
      <c r="E323">
        <f>'Runs Z score'!E316</f>
        <v/>
      </c>
      <c r="F323">
        <f>'Runs Z score'!F316</f>
        <v/>
      </c>
      <c r="G323">
        <f>'Runs Z score'!G316</f>
        <v/>
      </c>
      <c r="H323">
        <f>VLOOKUP(C323,Recipes!$A$2:$N$4,10,FALSE())</f>
        <v/>
      </c>
      <c r="I323">
        <f>VLOOKUP(C323,Recipes!$A$2:$N$4,12,FALSE())</f>
        <v/>
      </c>
      <c r="J323">
        <f>IF(G323="","",H323-G323)</f>
        <v/>
      </c>
      <c r="K323">
        <f>IF(G323="","",IF(VLOOKUP(C323,Recipes!$A$2:$N$4,4,FALSE())=0,-1E+300,-0.5*((J323-Components!$D$2)/Components!$E$2)^2))</f>
        <v/>
      </c>
      <c r="L323">
        <f>IF(G323="","",IF(VLOOKUP(C323,Recipes!$A$2:$N$4,5,FALSE())=0,-1E+300,-0.5*((J323-Components!$D$3)/Components!$E$3)^2))</f>
        <v/>
      </c>
      <c r="M323">
        <f>IF(G323="","",IF(VLOOKUP(C323,Recipes!$A$2:$N$4,6,FALSE())=0,-1E+300,-0.5*((J323-Components!$D$4)/Components!$E$4)^2))</f>
        <v/>
      </c>
      <c r="N323">
        <f>IF(G323="","",IF(VLOOKUP(C323,Recipes!$A$2:$N$4,7,FALSE())=0,-1E+300,-0.5*((J323-Components!$D$5)/Components!$E$5)^2))</f>
        <v/>
      </c>
      <c r="O323">
        <f>IF(G323="","",IF(VLOOKUP(C323,Recipes!$A$2:$N$4,8,FALSE())=0,-1E+300,-0.5*((J323-Components!$D$6)/Components!$E$6)^2))</f>
        <v/>
      </c>
      <c r="P323">
        <f>IF(G323="","",IF(VLOOKUP(C323,Recipes!$A$2:$N$4,9,FALSE())=0,-1E+300,-0.5*((J323-Components!$D$7)/Components!$E$7)^2))</f>
        <v/>
      </c>
      <c r="Q323">
        <f>IF(G323="","",EXP(LARGE(K323:P323,1)-MAX(K323:P323))/(EXP(K323-MAX(K323:P323))+EXP(L323-MAX(K323:P323))+EXP(M323-MAX(K323:P323))+EXP(N323-MAX(K323:P323))+EXP(O323-MAX(K323:P323))+EXP(P323-MAX(K323:P323))))</f>
        <v/>
      </c>
      <c r="R323">
        <f>IF(G323="","",EXP(LARGE(K323:P323,2)-MAX(K323:P323))/(EXP(K323-MAX(K323:P323))+EXP(L323-MAX(K323:P323))+EXP(M323-MAX(K323:P323))+EXP(N323-MAX(K323:P323))+EXP(O323-MAX(K323:P323))+EXP(P323-MAX(K323:P323))))</f>
        <v/>
      </c>
      <c r="S323">
        <f>IF(G323="","",Q323-R323)</f>
        <v/>
      </c>
      <c r="T323">
        <f>IF(G323="","",IF(ABS(G323-H323)&lt;=$B$6*I323,"OK","NG"))</f>
        <v/>
      </c>
      <c r="U323">
        <f>IF(T323="","",IF(T323=D323,1,0))</f>
        <v/>
      </c>
      <c r="V323">
        <f>IF(G323="","",IF(T323="OK","NONE",INDEX({"S1","S2","W1","W2","N1","N2"},MATCH(MAX(K323:P323),K323:P323,0))))</f>
        <v/>
      </c>
      <c r="W323">
        <f>IF(G323="","",IF(V323=E323,1,0))</f>
        <v/>
      </c>
      <c r="X323">
        <f>IF(G323="","",IF(AND(T323="NG",S323&lt;$B$7),"AMBIGUOUS","CONFIDENT"))</f>
        <v/>
      </c>
    </row>
    <row r="324">
      <c r="A324">
        <f>'Runs Z score'!A317</f>
        <v/>
      </c>
      <c r="B324">
        <f>'Runs Z score'!B317</f>
        <v/>
      </c>
      <c r="C324">
        <f>'Runs Z score'!C317</f>
        <v/>
      </c>
      <c r="D324">
        <f>'Runs Z score'!D317</f>
        <v/>
      </c>
      <c r="E324">
        <f>'Runs Z score'!E317</f>
        <v/>
      </c>
      <c r="F324">
        <f>'Runs Z score'!F317</f>
        <v/>
      </c>
      <c r="G324">
        <f>'Runs Z score'!G317</f>
        <v/>
      </c>
      <c r="H324">
        <f>VLOOKUP(C324,Recipes!$A$2:$N$4,10,FALSE())</f>
        <v/>
      </c>
      <c r="I324">
        <f>VLOOKUP(C324,Recipes!$A$2:$N$4,12,FALSE())</f>
        <v/>
      </c>
      <c r="J324">
        <f>IF(G324="","",H324-G324)</f>
        <v/>
      </c>
      <c r="K324">
        <f>IF(G324="","",IF(VLOOKUP(C324,Recipes!$A$2:$N$4,4,FALSE())=0,-1E+300,-0.5*((J324-Components!$D$2)/Components!$E$2)^2))</f>
        <v/>
      </c>
      <c r="L324">
        <f>IF(G324="","",IF(VLOOKUP(C324,Recipes!$A$2:$N$4,5,FALSE())=0,-1E+300,-0.5*((J324-Components!$D$3)/Components!$E$3)^2))</f>
        <v/>
      </c>
      <c r="M324">
        <f>IF(G324="","",IF(VLOOKUP(C324,Recipes!$A$2:$N$4,6,FALSE())=0,-1E+300,-0.5*((J324-Components!$D$4)/Components!$E$4)^2))</f>
        <v/>
      </c>
      <c r="N324">
        <f>IF(G324="","",IF(VLOOKUP(C324,Recipes!$A$2:$N$4,7,FALSE())=0,-1E+300,-0.5*((J324-Components!$D$5)/Components!$E$5)^2))</f>
        <v/>
      </c>
      <c r="O324">
        <f>IF(G324="","",IF(VLOOKUP(C324,Recipes!$A$2:$N$4,8,FALSE())=0,-1E+300,-0.5*((J324-Components!$D$6)/Components!$E$6)^2))</f>
        <v/>
      </c>
      <c r="P324">
        <f>IF(G324="","",IF(VLOOKUP(C324,Recipes!$A$2:$N$4,9,FALSE())=0,-1E+300,-0.5*((J324-Components!$D$7)/Components!$E$7)^2))</f>
        <v/>
      </c>
      <c r="Q324">
        <f>IF(G324="","",EXP(LARGE(K324:P324,1)-MAX(K324:P324))/(EXP(K324-MAX(K324:P324))+EXP(L324-MAX(K324:P324))+EXP(M324-MAX(K324:P324))+EXP(N324-MAX(K324:P324))+EXP(O324-MAX(K324:P324))+EXP(P324-MAX(K324:P324))))</f>
        <v/>
      </c>
      <c r="R324">
        <f>IF(G324="","",EXP(LARGE(K324:P324,2)-MAX(K324:P324))/(EXP(K324-MAX(K324:P324))+EXP(L324-MAX(K324:P324))+EXP(M324-MAX(K324:P324))+EXP(N324-MAX(K324:P324))+EXP(O324-MAX(K324:P324))+EXP(P324-MAX(K324:P324))))</f>
        <v/>
      </c>
      <c r="S324">
        <f>IF(G324="","",Q324-R324)</f>
        <v/>
      </c>
      <c r="T324">
        <f>IF(G324="","",IF(ABS(G324-H324)&lt;=$B$6*I324,"OK","NG"))</f>
        <v/>
      </c>
      <c r="U324">
        <f>IF(T324="","",IF(T324=D324,1,0))</f>
        <v/>
      </c>
      <c r="V324">
        <f>IF(G324="","",IF(T324="OK","NONE",INDEX({"S1","S2","W1","W2","N1","N2"},MATCH(MAX(K324:P324),K324:P324,0))))</f>
        <v/>
      </c>
      <c r="W324">
        <f>IF(G324="","",IF(V324=E324,1,0))</f>
        <v/>
      </c>
      <c r="X324">
        <f>IF(G324="","",IF(AND(T324="NG",S324&lt;$B$7),"AMBIGUOUS","CONFIDENT"))</f>
        <v/>
      </c>
    </row>
    <row r="325">
      <c r="A325">
        <f>'Runs Z score'!A318</f>
        <v/>
      </c>
      <c r="B325">
        <f>'Runs Z score'!B318</f>
        <v/>
      </c>
      <c r="C325">
        <f>'Runs Z score'!C318</f>
        <v/>
      </c>
      <c r="D325">
        <f>'Runs Z score'!D318</f>
        <v/>
      </c>
      <c r="E325">
        <f>'Runs Z score'!E318</f>
        <v/>
      </c>
      <c r="F325">
        <f>'Runs Z score'!F318</f>
        <v/>
      </c>
      <c r="G325">
        <f>'Runs Z score'!G318</f>
        <v/>
      </c>
      <c r="H325">
        <f>VLOOKUP(C325,Recipes!$A$2:$N$4,10,FALSE())</f>
        <v/>
      </c>
      <c r="I325">
        <f>VLOOKUP(C325,Recipes!$A$2:$N$4,12,FALSE())</f>
        <v/>
      </c>
      <c r="J325">
        <f>IF(G325="","",H325-G325)</f>
        <v/>
      </c>
      <c r="K325">
        <f>IF(G325="","",IF(VLOOKUP(C325,Recipes!$A$2:$N$4,4,FALSE())=0,-1E+300,-0.5*((J325-Components!$D$2)/Components!$E$2)^2))</f>
        <v/>
      </c>
      <c r="L325">
        <f>IF(G325="","",IF(VLOOKUP(C325,Recipes!$A$2:$N$4,5,FALSE())=0,-1E+300,-0.5*((J325-Components!$D$3)/Components!$E$3)^2))</f>
        <v/>
      </c>
      <c r="M325">
        <f>IF(G325="","",IF(VLOOKUP(C325,Recipes!$A$2:$N$4,6,FALSE())=0,-1E+300,-0.5*((J325-Components!$D$4)/Components!$E$4)^2))</f>
        <v/>
      </c>
      <c r="N325">
        <f>IF(G325="","",IF(VLOOKUP(C325,Recipes!$A$2:$N$4,7,FALSE())=0,-1E+300,-0.5*((J325-Components!$D$5)/Components!$E$5)^2))</f>
        <v/>
      </c>
      <c r="O325">
        <f>IF(G325="","",IF(VLOOKUP(C325,Recipes!$A$2:$N$4,8,FALSE())=0,-1E+300,-0.5*((J325-Components!$D$6)/Components!$E$6)^2))</f>
        <v/>
      </c>
      <c r="P325">
        <f>IF(G325="","",IF(VLOOKUP(C325,Recipes!$A$2:$N$4,9,FALSE())=0,-1E+300,-0.5*((J325-Components!$D$7)/Components!$E$7)^2))</f>
        <v/>
      </c>
      <c r="Q325">
        <f>IF(G325="","",EXP(LARGE(K325:P325,1)-MAX(K325:P325))/(EXP(K325-MAX(K325:P325))+EXP(L325-MAX(K325:P325))+EXP(M325-MAX(K325:P325))+EXP(N325-MAX(K325:P325))+EXP(O325-MAX(K325:P325))+EXP(P325-MAX(K325:P325))))</f>
        <v/>
      </c>
      <c r="R325">
        <f>IF(G325="","",EXP(LARGE(K325:P325,2)-MAX(K325:P325))/(EXP(K325-MAX(K325:P325))+EXP(L325-MAX(K325:P325))+EXP(M325-MAX(K325:P325))+EXP(N325-MAX(K325:P325))+EXP(O325-MAX(K325:P325))+EXP(P325-MAX(K325:P325))))</f>
        <v/>
      </c>
      <c r="S325">
        <f>IF(G325="","",Q325-R325)</f>
        <v/>
      </c>
      <c r="T325">
        <f>IF(G325="","",IF(ABS(G325-H325)&lt;=$B$6*I325,"OK","NG"))</f>
        <v/>
      </c>
      <c r="U325">
        <f>IF(T325="","",IF(T325=D325,1,0))</f>
        <v/>
      </c>
      <c r="V325">
        <f>IF(G325="","",IF(T325="OK","NONE",INDEX({"S1","S2","W1","W2","N1","N2"},MATCH(MAX(K325:P325),K325:P325,0))))</f>
        <v/>
      </c>
      <c r="W325">
        <f>IF(G325="","",IF(V325=E325,1,0))</f>
        <v/>
      </c>
      <c r="X325">
        <f>IF(G325="","",IF(AND(T325="NG",S325&lt;$B$7),"AMBIGUOUS","CONFIDENT"))</f>
        <v/>
      </c>
    </row>
    <row r="326">
      <c r="A326">
        <f>'Runs Z score'!A319</f>
        <v/>
      </c>
      <c r="B326">
        <f>'Runs Z score'!B319</f>
        <v/>
      </c>
      <c r="C326">
        <f>'Runs Z score'!C319</f>
        <v/>
      </c>
      <c r="D326">
        <f>'Runs Z score'!D319</f>
        <v/>
      </c>
      <c r="E326">
        <f>'Runs Z score'!E319</f>
        <v/>
      </c>
      <c r="F326">
        <f>'Runs Z score'!F319</f>
        <v/>
      </c>
      <c r="G326">
        <f>'Runs Z score'!G319</f>
        <v/>
      </c>
      <c r="H326">
        <f>VLOOKUP(C326,Recipes!$A$2:$N$4,10,FALSE())</f>
        <v/>
      </c>
      <c r="I326">
        <f>VLOOKUP(C326,Recipes!$A$2:$N$4,12,FALSE())</f>
        <v/>
      </c>
      <c r="J326">
        <f>IF(G326="","",H326-G326)</f>
        <v/>
      </c>
      <c r="K326">
        <f>IF(G326="","",IF(VLOOKUP(C326,Recipes!$A$2:$N$4,4,FALSE())=0,-1E+300,-0.5*((J326-Components!$D$2)/Components!$E$2)^2))</f>
        <v/>
      </c>
      <c r="L326">
        <f>IF(G326="","",IF(VLOOKUP(C326,Recipes!$A$2:$N$4,5,FALSE())=0,-1E+300,-0.5*((J326-Components!$D$3)/Components!$E$3)^2))</f>
        <v/>
      </c>
      <c r="M326">
        <f>IF(G326="","",IF(VLOOKUP(C326,Recipes!$A$2:$N$4,6,FALSE())=0,-1E+300,-0.5*((J326-Components!$D$4)/Components!$E$4)^2))</f>
        <v/>
      </c>
      <c r="N326">
        <f>IF(G326="","",IF(VLOOKUP(C326,Recipes!$A$2:$N$4,7,FALSE())=0,-1E+300,-0.5*((J326-Components!$D$5)/Components!$E$5)^2))</f>
        <v/>
      </c>
      <c r="O326">
        <f>IF(G326="","",IF(VLOOKUP(C326,Recipes!$A$2:$N$4,8,FALSE())=0,-1E+300,-0.5*((J326-Components!$D$6)/Components!$E$6)^2))</f>
        <v/>
      </c>
      <c r="P326">
        <f>IF(G326="","",IF(VLOOKUP(C326,Recipes!$A$2:$N$4,9,FALSE())=0,-1E+300,-0.5*((J326-Components!$D$7)/Components!$E$7)^2))</f>
        <v/>
      </c>
      <c r="Q326">
        <f>IF(G326="","",EXP(LARGE(K326:P326,1)-MAX(K326:P326))/(EXP(K326-MAX(K326:P326))+EXP(L326-MAX(K326:P326))+EXP(M326-MAX(K326:P326))+EXP(N326-MAX(K326:P326))+EXP(O326-MAX(K326:P326))+EXP(P326-MAX(K326:P326))))</f>
        <v/>
      </c>
      <c r="R326">
        <f>IF(G326="","",EXP(LARGE(K326:P326,2)-MAX(K326:P326))/(EXP(K326-MAX(K326:P326))+EXP(L326-MAX(K326:P326))+EXP(M326-MAX(K326:P326))+EXP(N326-MAX(K326:P326))+EXP(O326-MAX(K326:P326))+EXP(P326-MAX(K326:P326))))</f>
        <v/>
      </c>
      <c r="S326">
        <f>IF(G326="","",Q326-R326)</f>
        <v/>
      </c>
      <c r="T326">
        <f>IF(G326="","",IF(ABS(G326-H326)&lt;=$B$6*I326,"OK","NG"))</f>
        <v/>
      </c>
      <c r="U326">
        <f>IF(T326="","",IF(T326=D326,1,0))</f>
        <v/>
      </c>
      <c r="V326">
        <f>IF(G326="","",IF(T326="OK","NONE",INDEX({"S1","S2","W1","W2","N1","N2"},MATCH(MAX(K326:P326),K326:P326,0))))</f>
        <v/>
      </c>
      <c r="W326">
        <f>IF(G326="","",IF(V326=E326,1,0))</f>
        <v/>
      </c>
      <c r="X326">
        <f>IF(G326="","",IF(AND(T326="NG",S326&lt;$B$7),"AMBIGUOUS","CONFIDENT"))</f>
        <v/>
      </c>
    </row>
    <row r="327">
      <c r="A327">
        <f>'Runs Z score'!A320</f>
        <v/>
      </c>
      <c r="B327">
        <f>'Runs Z score'!B320</f>
        <v/>
      </c>
      <c r="C327">
        <f>'Runs Z score'!C320</f>
        <v/>
      </c>
      <c r="D327">
        <f>'Runs Z score'!D320</f>
        <v/>
      </c>
      <c r="E327">
        <f>'Runs Z score'!E320</f>
        <v/>
      </c>
      <c r="F327">
        <f>'Runs Z score'!F320</f>
        <v/>
      </c>
      <c r="G327">
        <f>'Runs Z score'!G320</f>
        <v/>
      </c>
      <c r="H327">
        <f>VLOOKUP(C327,Recipes!$A$2:$N$4,10,FALSE())</f>
        <v/>
      </c>
      <c r="I327">
        <f>VLOOKUP(C327,Recipes!$A$2:$N$4,12,FALSE())</f>
        <v/>
      </c>
      <c r="J327">
        <f>IF(G327="","",H327-G327)</f>
        <v/>
      </c>
      <c r="K327">
        <f>IF(G327="","",IF(VLOOKUP(C327,Recipes!$A$2:$N$4,4,FALSE())=0,-1E+300,-0.5*((J327-Components!$D$2)/Components!$E$2)^2))</f>
        <v/>
      </c>
      <c r="L327">
        <f>IF(G327="","",IF(VLOOKUP(C327,Recipes!$A$2:$N$4,5,FALSE())=0,-1E+300,-0.5*((J327-Components!$D$3)/Components!$E$3)^2))</f>
        <v/>
      </c>
      <c r="M327">
        <f>IF(G327="","",IF(VLOOKUP(C327,Recipes!$A$2:$N$4,6,FALSE())=0,-1E+300,-0.5*((J327-Components!$D$4)/Components!$E$4)^2))</f>
        <v/>
      </c>
      <c r="N327">
        <f>IF(G327="","",IF(VLOOKUP(C327,Recipes!$A$2:$N$4,7,FALSE())=0,-1E+300,-0.5*((J327-Components!$D$5)/Components!$E$5)^2))</f>
        <v/>
      </c>
      <c r="O327">
        <f>IF(G327="","",IF(VLOOKUP(C327,Recipes!$A$2:$N$4,8,FALSE())=0,-1E+300,-0.5*((J327-Components!$D$6)/Components!$E$6)^2))</f>
        <v/>
      </c>
      <c r="P327">
        <f>IF(G327="","",IF(VLOOKUP(C327,Recipes!$A$2:$N$4,9,FALSE())=0,-1E+300,-0.5*((J327-Components!$D$7)/Components!$E$7)^2))</f>
        <v/>
      </c>
      <c r="Q327">
        <f>IF(G327="","",EXP(LARGE(K327:P327,1)-MAX(K327:P327))/(EXP(K327-MAX(K327:P327))+EXP(L327-MAX(K327:P327))+EXP(M327-MAX(K327:P327))+EXP(N327-MAX(K327:P327))+EXP(O327-MAX(K327:P327))+EXP(P327-MAX(K327:P327))))</f>
        <v/>
      </c>
      <c r="R327">
        <f>IF(G327="","",EXP(LARGE(K327:P327,2)-MAX(K327:P327))/(EXP(K327-MAX(K327:P327))+EXP(L327-MAX(K327:P327))+EXP(M327-MAX(K327:P327))+EXP(N327-MAX(K327:P327))+EXP(O327-MAX(K327:P327))+EXP(P327-MAX(K327:P327))))</f>
        <v/>
      </c>
      <c r="S327">
        <f>IF(G327="","",Q327-R327)</f>
        <v/>
      </c>
      <c r="T327">
        <f>IF(G327="","",IF(ABS(G327-H327)&lt;=$B$6*I327,"OK","NG"))</f>
        <v/>
      </c>
      <c r="U327">
        <f>IF(T327="","",IF(T327=D327,1,0))</f>
        <v/>
      </c>
      <c r="V327">
        <f>IF(G327="","",IF(T327="OK","NONE",INDEX({"S1","S2","W1","W2","N1","N2"},MATCH(MAX(K327:P327),K327:P327,0))))</f>
        <v/>
      </c>
      <c r="W327">
        <f>IF(G327="","",IF(V327=E327,1,0))</f>
        <v/>
      </c>
      <c r="X327">
        <f>IF(G327="","",IF(AND(T327="NG",S327&lt;$B$7),"AMBIGUOUS","CONFIDENT"))</f>
        <v/>
      </c>
    </row>
    <row r="328">
      <c r="A328">
        <f>'Runs Z score'!A321</f>
        <v/>
      </c>
      <c r="B328">
        <f>'Runs Z score'!B321</f>
        <v/>
      </c>
      <c r="C328">
        <f>'Runs Z score'!C321</f>
        <v/>
      </c>
      <c r="D328">
        <f>'Runs Z score'!D321</f>
        <v/>
      </c>
      <c r="E328">
        <f>'Runs Z score'!E321</f>
        <v/>
      </c>
      <c r="F328">
        <f>'Runs Z score'!F321</f>
        <v/>
      </c>
      <c r="G328">
        <f>'Runs Z score'!G321</f>
        <v/>
      </c>
      <c r="H328">
        <f>VLOOKUP(C328,Recipes!$A$2:$N$4,10,FALSE())</f>
        <v/>
      </c>
      <c r="I328">
        <f>VLOOKUP(C328,Recipes!$A$2:$N$4,12,FALSE())</f>
        <v/>
      </c>
      <c r="J328">
        <f>IF(G328="","",H328-G328)</f>
        <v/>
      </c>
      <c r="K328">
        <f>IF(G328="","",IF(VLOOKUP(C328,Recipes!$A$2:$N$4,4,FALSE())=0,-1E+300,-0.5*((J328-Components!$D$2)/Components!$E$2)^2))</f>
        <v/>
      </c>
      <c r="L328">
        <f>IF(G328="","",IF(VLOOKUP(C328,Recipes!$A$2:$N$4,5,FALSE())=0,-1E+300,-0.5*((J328-Components!$D$3)/Components!$E$3)^2))</f>
        <v/>
      </c>
      <c r="M328">
        <f>IF(G328="","",IF(VLOOKUP(C328,Recipes!$A$2:$N$4,6,FALSE())=0,-1E+300,-0.5*((J328-Components!$D$4)/Components!$E$4)^2))</f>
        <v/>
      </c>
      <c r="N328">
        <f>IF(G328="","",IF(VLOOKUP(C328,Recipes!$A$2:$N$4,7,FALSE())=0,-1E+300,-0.5*((J328-Components!$D$5)/Components!$E$5)^2))</f>
        <v/>
      </c>
      <c r="O328">
        <f>IF(G328="","",IF(VLOOKUP(C328,Recipes!$A$2:$N$4,8,FALSE())=0,-1E+300,-0.5*((J328-Components!$D$6)/Components!$E$6)^2))</f>
        <v/>
      </c>
      <c r="P328">
        <f>IF(G328="","",IF(VLOOKUP(C328,Recipes!$A$2:$N$4,9,FALSE())=0,-1E+300,-0.5*((J328-Components!$D$7)/Components!$E$7)^2))</f>
        <v/>
      </c>
      <c r="Q328">
        <f>IF(G328="","",EXP(LARGE(K328:P328,1)-MAX(K328:P328))/(EXP(K328-MAX(K328:P328))+EXP(L328-MAX(K328:P328))+EXP(M328-MAX(K328:P328))+EXP(N328-MAX(K328:P328))+EXP(O328-MAX(K328:P328))+EXP(P328-MAX(K328:P328))))</f>
        <v/>
      </c>
      <c r="R328">
        <f>IF(G328="","",EXP(LARGE(K328:P328,2)-MAX(K328:P328))/(EXP(K328-MAX(K328:P328))+EXP(L328-MAX(K328:P328))+EXP(M328-MAX(K328:P328))+EXP(N328-MAX(K328:P328))+EXP(O328-MAX(K328:P328))+EXP(P328-MAX(K328:P328))))</f>
        <v/>
      </c>
      <c r="S328">
        <f>IF(G328="","",Q328-R328)</f>
        <v/>
      </c>
      <c r="T328">
        <f>IF(G328="","",IF(ABS(G328-H328)&lt;=$B$6*I328,"OK","NG"))</f>
        <v/>
      </c>
      <c r="U328">
        <f>IF(T328="","",IF(T328=D328,1,0))</f>
        <v/>
      </c>
      <c r="V328">
        <f>IF(G328="","",IF(T328="OK","NONE",INDEX({"S1","S2","W1","W2","N1","N2"},MATCH(MAX(K328:P328),K328:P328,0))))</f>
        <v/>
      </c>
      <c r="W328">
        <f>IF(G328="","",IF(V328=E328,1,0))</f>
        <v/>
      </c>
      <c r="X328">
        <f>IF(G328="","",IF(AND(T328="NG",S328&lt;$B$7),"AMBIGUOUS","CONFIDENT"))</f>
        <v/>
      </c>
    </row>
    <row r="329">
      <c r="A329">
        <f>'Runs Z score'!A322</f>
        <v/>
      </c>
      <c r="B329">
        <f>'Runs Z score'!B322</f>
        <v/>
      </c>
      <c r="C329">
        <f>'Runs Z score'!C322</f>
        <v/>
      </c>
      <c r="D329">
        <f>'Runs Z score'!D322</f>
        <v/>
      </c>
      <c r="E329">
        <f>'Runs Z score'!E322</f>
        <v/>
      </c>
      <c r="F329">
        <f>'Runs Z score'!F322</f>
        <v/>
      </c>
      <c r="G329">
        <f>'Runs Z score'!G322</f>
        <v/>
      </c>
      <c r="H329">
        <f>VLOOKUP(C329,Recipes!$A$2:$N$4,10,FALSE())</f>
        <v/>
      </c>
      <c r="I329">
        <f>VLOOKUP(C329,Recipes!$A$2:$N$4,12,FALSE())</f>
        <v/>
      </c>
      <c r="J329">
        <f>IF(G329="","",H329-G329)</f>
        <v/>
      </c>
      <c r="K329">
        <f>IF(G329="","",IF(VLOOKUP(C329,Recipes!$A$2:$N$4,4,FALSE())=0,-1E+300,-0.5*((J329-Components!$D$2)/Components!$E$2)^2))</f>
        <v/>
      </c>
      <c r="L329">
        <f>IF(G329="","",IF(VLOOKUP(C329,Recipes!$A$2:$N$4,5,FALSE())=0,-1E+300,-0.5*((J329-Components!$D$3)/Components!$E$3)^2))</f>
        <v/>
      </c>
      <c r="M329">
        <f>IF(G329="","",IF(VLOOKUP(C329,Recipes!$A$2:$N$4,6,FALSE())=0,-1E+300,-0.5*((J329-Components!$D$4)/Components!$E$4)^2))</f>
        <v/>
      </c>
      <c r="N329">
        <f>IF(G329="","",IF(VLOOKUP(C329,Recipes!$A$2:$N$4,7,FALSE())=0,-1E+300,-0.5*((J329-Components!$D$5)/Components!$E$5)^2))</f>
        <v/>
      </c>
      <c r="O329">
        <f>IF(G329="","",IF(VLOOKUP(C329,Recipes!$A$2:$N$4,8,FALSE())=0,-1E+300,-0.5*((J329-Components!$D$6)/Components!$E$6)^2))</f>
        <v/>
      </c>
      <c r="P329">
        <f>IF(G329="","",IF(VLOOKUP(C329,Recipes!$A$2:$N$4,9,FALSE())=0,-1E+300,-0.5*((J329-Components!$D$7)/Components!$E$7)^2))</f>
        <v/>
      </c>
      <c r="Q329">
        <f>IF(G329="","",EXP(LARGE(K329:P329,1)-MAX(K329:P329))/(EXP(K329-MAX(K329:P329))+EXP(L329-MAX(K329:P329))+EXP(M329-MAX(K329:P329))+EXP(N329-MAX(K329:P329))+EXP(O329-MAX(K329:P329))+EXP(P329-MAX(K329:P329))))</f>
        <v/>
      </c>
      <c r="R329">
        <f>IF(G329="","",EXP(LARGE(K329:P329,2)-MAX(K329:P329))/(EXP(K329-MAX(K329:P329))+EXP(L329-MAX(K329:P329))+EXP(M329-MAX(K329:P329))+EXP(N329-MAX(K329:P329))+EXP(O329-MAX(K329:P329))+EXP(P329-MAX(K329:P329))))</f>
        <v/>
      </c>
      <c r="S329">
        <f>IF(G329="","",Q329-R329)</f>
        <v/>
      </c>
      <c r="T329">
        <f>IF(G329="","",IF(ABS(G329-H329)&lt;=$B$6*I329,"OK","NG"))</f>
        <v/>
      </c>
      <c r="U329">
        <f>IF(T329="","",IF(T329=D329,1,0))</f>
        <v/>
      </c>
      <c r="V329">
        <f>IF(G329="","",IF(T329="OK","NONE",INDEX({"S1","S2","W1","W2","N1","N2"},MATCH(MAX(K329:P329),K329:P329,0))))</f>
        <v/>
      </c>
      <c r="W329">
        <f>IF(G329="","",IF(V329=E329,1,0))</f>
        <v/>
      </c>
      <c r="X329">
        <f>IF(G329="","",IF(AND(T329="NG",S329&lt;$B$7),"AMBIGUOUS","CONFIDENT"))</f>
        <v/>
      </c>
    </row>
    <row r="330">
      <c r="A330">
        <f>'Runs Z score'!A323</f>
        <v/>
      </c>
      <c r="B330">
        <f>'Runs Z score'!B323</f>
        <v/>
      </c>
      <c r="C330">
        <f>'Runs Z score'!C323</f>
        <v/>
      </c>
      <c r="D330">
        <f>'Runs Z score'!D323</f>
        <v/>
      </c>
      <c r="E330">
        <f>'Runs Z score'!E323</f>
        <v/>
      </c>
      <c r="F330">
        <f>'Runs Z score'!F323</f>
        <v/>
      </c>
      <c r="G330">
        <f>'Runs Z score'!G323</f>
        <v/>
      </c>
      <c r="H330">
        <f>VLOOKUP(C330,Recipes!$A$2:$N$4,10,FALSE())</f>
        <v/>
      </c>
      <c r="I330">
        <f>VLOOKUP(C330,Recipes!$A$2:$N$4,12,FALSE())</f>
        <v/>
      </c>
      <c r="J330">
        <f>IF(G330="","",H330-G330)</f>
        <v/>
      </c>
      <c r="K330">
        <f>IF(G330="","",IF(VLOOKUP(C330,Recipes!$A$2:$N$4,4,FALSE())=0,-1E+300,-0.5*((J330-Components!$D$2)/Components!$E$2)^2))</f>
        <v/>
      </c>
      <c r="L330">
        <f>IF(G330="","",IF(VLOOKUP(C330,Recipes!$A$2:$N$4,5,FALSE())=0,-1E+300,-0.5*((J330-Components!$D$3)/Components!$E$3)^2))</f>
        <v/>
      </c>
      <c r="M330">
        <f>IF(G330="","",IF(VLOOKUP(C330,Recipes!$A$2:$N$4,6,FALSE())=0,-1E+300,-0.5*((J330-Components!$D$4)/Components!$E$4)^2))</f>
        <v/>
      </c>
      <c r="N330">
        <f>IF(G330="","",IF(VLOOKUP(C330,Recipes!$A$2:$N$4,7,FALSE())=0,-1E+300,-0.5*((J330-Components!$D$5)/Components!$E$5)^2))</f>
        <v/>
      </c>
      <c r="O330">
        <f>IF(G330="","",IF(VLOOKUP(C330,Recipes!$A$2:$N$4,8,FALSE())=0,-1E+300,-0.5*((J330-Components!$D$6)/Components!$E$6)^2))</f>
        <v/>
      </c>
      <c r="P330">
        <f>IF(G330="","",IF(VLOOKUP(C330,Recipes!$A$2:$N$4,9,FALSE())=0,-1E+300,-0.5*((J330-Components!$D$7)/Components!$E$7)^2))</f>
        <v/>
      </c>
      <c r="Q330">
        <f>IF(G330="","",EXP(LARGE(K330:P330,1)-MAX(K330:P330))/(EXP(K330-MAX(K330:P330))+EXP(L330-MAX(K330:P330))+EXP(M330-MAX(K330:P330))+EXP(N330-MAX(K330:P330))+EXP(O330-MAX(K330:P330))+EXP(P330-MAX(K330:P330))))</f>
        <v/>
      </c>
      <c r="R330">
        <f>IF(G330="","",EXP(LARGE(K330:P330,2)-MAX(K330:P330))/(EXP(K330-MAX(K330:P330))+EXP(L330-MAX(K330:P330))+EXP(M330-MAX(K330:P330))+EXP(N330-MAX(K330:P330))+EXP(O330-MAX(K330:P330))+EXP(P330-MAX(K330:P330))))</f>
        <v/>
      </c>
      <c r="S330">
        <f>IF(G330="","",Q330-R330)</f>
        <v/>
      </c>
      <c r="T330">
        <f>IF(G330="","",IF(ABS(G330-H330)&lt;=$B$6*I330,"OK","NG"))</f>
        <v/>
      </c>
      <c r="U330">
        <f>IF(T330="","",IF(T330=D330,1,0))</f>
        <v/>
      </c>
      <c r="V330">
        <f>IF(G330="","",IF(T330="OK","NONE",INDEX({"S1","S2","W1","W2","N1","N2"},MATCH(MAX(K330:P330),K330:P330,0))))</f>
        <v/>
      </c>
      <c r="W330">
        <f>IF(G330="","",IF(V330=E330,1,0))</f>
        <v/>
      </c>
      <c r="X330">
        <f>IF(G330="","",IF(AND(T330="NG",S330&lt;$B$7),"AMBIGUOUS","CONFIDENT"))</f>
        <v/>
      </c>
    </row>
    <row r="331">
      <c r="A331">
        <f>'Runs Z score'!A324</f>
        <v/>
      </c>
      <c r="B331">
        <f>'Runs Z score'!B324</f>
        <v/>
      </c>
      <c r="C331">
        <f>'Runs Z score'!C324</f>
        <v/>
      </c>
      <c r="D331">
        <f>'Runs Z score'!D324</f>
        <v/>
      </c>
      <c r="E331">
        <f>'Runs Z score'!E324</f>
        <v/>
      </c>
      <c r="F331">
        <f>'Runs Z score'!F324</f>
        <v/>
      </c>
      <c r="G331">
        <f>'Runs Z score'!G324</f>
        <v/>
      </c>
      <c r="H331">
        <f>VLOOKUP(C331,Recipes!$A$2:$N$4,10,FALSE())</f>
        <v/>
      </c>
      <c r="I331">
        <f>VLOOKUP(C331,Recipes!$A$2:$N$4,12,FALSE())</f>
        <v/>
      </c>
      <c r="J331">
        <f>IF(G331="","",H331-G331)</f>
        <v/>
      </c>
      <c r="K331">
        <f>IF(G331="","",IF(VLOOKUP(C331,Recipes!$A$2:$N$4,4,FALSE())=0,-1E+300,-0.5*((J331-Components!$D$2)/Components!$E$2)^2))</f>
        <v/>
      </c>
      <c r="L331">
        <f>IF(G331="","",IF(VLOOKUP(C331,Recipes!$A$2:$N$4,5,FALSE())=0,-1E+300,-0.5*((J331-Components!$D$3)/Components!$E$3)^2))</f>
        <v/>
      </c>
      <c r="M331">
        <f>IF(G331="","",IF(VLOOKUP(C331,Recipes!$A$2:$N$4,6,FALSE())=0,-1E+300,-0.5*((J331-Components!$D$4)/Components!$E$4)^2))</f>
        <v/>
      </c>
      <c r="N331">
        <f>IF(G331="","",IF(VLOOKUP(C331,Recipes!$A$2:$N$4,7,FALSE())=0,-1E+300,-0.5*((J331-Components!$D$5)/Components!$E$5)^2))</f>
        <v/>
      </c>
      <c r="O331">
        <f>IF(G331="","",IF(VLOOKUP(C331,Recipes!$A$2:$N$4,8,FALSE())=0,-1E+300,-0.5*((J331-Components!$D$6)/Components!$E$6)^2))</f>
        <v/>
      </c>
      <c r="P331">
        <f>IF(G331="","",IF(VLOOKUP(C331,Recipes!$A$2:$N$4,9,FALSE())=0,-1E+300,-0.5*((J331-Components!$D$7)/Components!$E$7)^2))</f>
        <v/>
      </c>
      <c r="Q331">
        <f>IF(G331="","",EXP(LARGE(K331:P331,1)-MAX(K331:P331))/(EXP(K331-MAX(K331:P331))+EXP(L331-MAX(K331:P331))+EXP(M331-MAX(K331:P331))+EXP(N331-MAX(K331:P331))+EXP(O331-MAX(K331:P331))+EXP(P331-MAX(K331:P331))))</f>
        <v/>
      </c>
      <c r="R331">
        <f>IF(G331="","",EXP(LARGE(K331:P331,2)-MAX(K331:P331))/(EXP(K331-MAX(K331:P331))+EXP(L331-MAX(K331:P331))+EXP(M331-MAX(K331:P331))+EXP(N331-MAX(K331:P331))+EXP(O331-MAX(K331:P331))+EXP(P331-MAX(K331:P331))))</f>
        <v/>
      </c>
      <c r="S331">
        <f>IF(G331="","",Q331-R331)</f>
        <v/>
      </c>
      <c r="T331">
        <f>IF(G331="","",IF(ABS(G331-H331)&lt;=$B$6*I331,"OK","NG"))</f>
        <v/>
      </c>
      <c r="U331">
        <f>IF(T331="","",IF(T331=D331,1,0))</f>
        <v/>
      </c>
      <c r="V331">
        <f>IF(G331="","",IF(T331="OK","NONE",INDEX({"S1","S2","W1","W2","N1","N2"},MATCH(MAX(K331:P331),K331:P331,0))))</f>
        <v/>
      </c>
      <c r="W331">
        <f>IF(G331="","",IF(V331=E331,1,0))</f>
        <v/>
      </c>
      <c r="X331">
        <f>IF(G331="","",IF(AND(T331="NG",S331&lt;$B$7),"AMBIGUOUS","CONFIDENT"))</f>
        <v/>
      </c>
    </row>
    <row r="332">
      <c r="A332">
        <f>'Runs Z score'!A325</f>
        <v/>
      </c>
      <c r="B332">
        <f>'Runs Z score'!B325</f>
        <v/>
      </c>
      <c r="C332">
        <f>'Runs Z score'!C325</f>
        <v/>
      </c>
      <c r="D332">
        <f>'Runs Z score'!D325</f>
        <v/>
      </c>
      <c r="E332">
        <f>'Runs Z score'!E325</f>
        <v/>
      </c>
      <c r="F332">
        <f>'Runs Z score'!F325</f>
        <v/>
      </c>
      <c r="G332">
        <f>'Runs Z score'!G325</f>
        <v/>
      </c>
      <c r="H332">
        <f>VLOOKUP(C332,Recipes!$A$2:$N$4,10,FALSE())</f>
        <v/>
      </c>
      <c r="I332">
        <f>VLOOKUP(C332,Recipes!$A$2:$N$4,12,FALSE())</f>
        <v/>
      </c>
      <c r="J332">
        <f>IF(G332="","",H332-G332)</f>
        <v/>
      </c>
      <c r="K332">
        <f>IF(G332="","",IF(VLOOKUP(C332,Recipes!$A$2:$N$4,4,FALSE())=0,-1E+300,-0.5*((J332-Components!$D$2)/Components!$E$2)^2))</f>
        <v/>
      </c>
      <c r="L332">
        <f>IF(G332="","",IF(VLOOKUP(C332,Recipes!$A$2:$N$4,5,FALSE())=0,-1E+300,-0.5*((J332-Components!$D$3)/Components!$E$3)^2))</f>
        <v/>
      </c>
      <c r="M332">
        <f>IF(G332="","",IF(VLOOKUP(C332,Recipes!$A$2:$N$4,6,FALSE())=0,-1E+300,-0.5*((J332-Components!$D$4)/Components!$E$4)^2))</f>
        <v/>
      </c>
      <c r="N332">
        <f>IF(G332="","",IF(VLOOKUP(C332,Recipes!$A$2:$N$4,7,FALSE())=0,-1E+300,-0.5*((J332-Components!$D$5)/Components!$E$5)^2))</f>
        <v/>
      </c>
      <c r="O332">
        <f>IF(G332="","",IF(VLOOKUP(C332,Recipes!$A$2:$N$4,8,FALSE())=0,-1E+300,-0.5*((J332-Components!$D$6)/Components!$E$6)^2))</f>
        <v/>
      </c>
      <c r="P332">
        <f>IF(G332="","",IF(VLOOKUP(C332,Recipes!$A$2:$N$4,9,FALSE())=0,-1E+300,-0.5*((J332-Components!$D$7)/Components!$E$7)^2))</f>
        <v/>
      </c>
      <c r="Q332">
        <f>IF(G332="","",EXP(LARGE(K332:P332,1)-MAX(K332:P332))/(EXP(K332-MAX(K332:P332))+EXP(L332-MAX(K332:P332))+EXP(M332-MAX(K332:P332))+EXP(N332-MAX(K332:P332))+EXP(O332-MAX(K332:P332))+EXP(P332-MAX(K332:P332))))</f>
        <v/>
      </c>
      <c r="R332">
        <f>IF(G332="","",EXP(LARGE(K332:P332,2)-MAX(K332:P332))/(EXP(K332-MAX(K332:P332))+EXP(L332-MAX(K332:P332))+EXP(M332-MAX(K332:P332))+EXP(N332-MAX(K332:P332))+EXP(O332-MAX(K332:P332))+EXP(P332-MAX(K332:P332))))</f>
        <v/>
      </c>
      <c r="S332">
        <f>IF(G332="","",Q332-R332)</f>
        <v/>
      </c>
      <c r="T332">
        <f>IF(G332="","",IF(ABS(G332-H332)&lt;=$B$6*I332,"OK","NG"))</f>
        <v/>
      </c>
      <c r="U332">
        <f>IF(T332="","",IF(T332=D332,1,0))</f>
        <v/>
      </c>
      <c r="V332">
        <f>IF(G332="","",IF(T332="OK","NONE",INDEX({"S1","S2","W1","W2","N1","N2"},MATCH(MAX(K332:P332),K332:P332,0))))</f>
        <v/>
      </c>
      <c r="W332">
        <f>IF(G332="","",IF(V332=E332,1,0))</f>
        <v/>
      </c>
      <c r="X332">
        <f>IF(G332="","",IF(AND(T332="NG",S332&lt;$B$7),"AMBIGUOUS","CONFIDENT"))</f>
        <v/>
      </c>
    </row>
    <row r="333">
      <c r="A333">
        <f>'Runs Z score'!A326</f>
        <v/>
      </c>
      <c r="B333">
        <f>'Runs Z score'!B326</f>
        <v/>
      </c>
      <c r="C333">
        <f>'Runs Z score'!C326</f>
        <v/>
      </c>
      <c r="D333">
        <f>'Runs Z score'!D326</f>
        <v/>
      </c>
      <c r="E333">
        <f>'Runs Z score'!E326</f>
        <v/>
      </c>
      <c r="F333">
        <f>'Runs Z score'!F326</f>
        <v/>
      </c>
      <c r="G333">
        <f>'Runs Z score'!G326</f>
        <v/>
      </c>
      <c r="H333">
        <f>VLOOKUP(C333,Recipes!$A$2:$N$4,10,FALSE())</f>
        <v/>
      </c>
      <c r="I333">
        <f>VLOOKUP(C333,Recipes!$A$2:$N$4,12,FALSE())</f>
        <v/>
      </c>
      <c r="J333">
        <f>IF(G333="","",H333-G333)</f>
        <v/>
      </c>
      <c r="K333">
        <f>IF(G333="","",IF(VLOOKUP(C333,Recipes!$A$2:$N$4,4,FALSE())=0,-1E+300,-0.5*((J333-Components!$D$2)/Components!$E$2)^2))</f>
        <v/>
      </c>
      <c r="L333">
        <f>IF(G333="","",IF(VLOOKUP(C333,Recipes!$A$2:$N$4,5,FALSE())=0,-1E+300,-0.5*((J333-Components!$D$3)/Components!$E$3)^2))</f>
        <v/>
      </c>
      <c r="M333">
        <f>IF(G333="","",IF(VLOOKUP(C333,Recipes!$A$2:$N$4,6,FALSE())=0,-1E+300,-0.5*((J333-Components!$D$4)/Components!$E$4)^2))</f>
        <v/>
      </c>
      <c r="N333">
        <f>IF(G333="","",IF(VLOOKUP(C333,Recipes!$A$2:$N$4,7,FALSE())=0,-1E+300,-0.5*((J333-Components!$D$5)/Components!$E$5)^2))</f>
        <v/>
      </c>
      <c r="O333">
        <f>IF(G333="","",IF(VLOOKUP(C333,Recipes!$A$2:$N$4,8,FALSE())=0,-1E+300,-0.5*((J333-Components!$D$6)/Components!$E$6)^2))</f>
        <v/>
      </c>
      <c r="P333">
        <f>IF(G333="","",IF(VLOOKUP(C333,Recipes!$A$2:$N$4,9,FALSE())=0,-1E+300,-0.5*((J333-Components!$D$7)/Components!$E$7)^2))</f>
        <v/>
      </c>
      <c r="Q333">
        <f>IF(G333="","",EXP(LARGE(K333:P333,1)-MAX(K333:P333))/(EXP(K333-MAX(K333:P333))+EXP(L333-MAX(K333:P333))+EXP(M333-MAX(K333:P333))+EXP(N333-MAX(K333:P333))+EXP(O333-MAX(K333:P333))+EXP(P333-MAX(K333:P333))))</f>
        <v/>
      </c>
      <c r="R333">
        <f>IF(G333="","",EXP(LARGE(K333:P333,2)-MAX(K333:P333))/(EXP(K333-MAX(K333:P333))+EXP(L333-MAX(K333:P333))+EXP(M333-MAX(K333:P333))+EXP(N333-MAX(K333:P333))+EXP(O333-MAX(K333:P333))+EXP(P333-MAX(K333:P333))))</f>
        <v/>
      </c>
      <c r="S333">
        <f>IF(G333="","",Q333-R333)</f>
        <v/>
      </c>
      <c r="T333">
        <f>IF(G333="","",IF(ABS(G333-H333)&lt;=$B$6*I333,"OK","NG"))</f>
        <v/>
      </c>
      <c r="U333">
        <f>IF(T333="","",IF(T333=D333,1,0))</f>
        <v/>
      </c>
      <c r="V333">
        <f>IF(G333="","",IF(T333="OK","NONE",INDEX({"S1","S2","W1","W2","N1","N2"},MATCH(MAX(K333:P333),K333:P333,0))))</f>
        <v/>
      </c>
      <c r="W333">
        <f>IF(G333="","",IF(V333=E333,1,0))</f>
        <v/>
      </c>
      <c r="X333">
        <f>IF(G333="","",IF(AND(T333="NG",S333&lt;$B$7),"AMBIGUOUS","CONFIDENT"))</f>
        <v/>
      </c>
    </row>
    <row r="334">
      <c r="A334">
        <f>'Runs Z score'!A327</f>
        <v/>
      </c>
      <c r="B334">
        <f>'Runs Z score'!B327</f>
        <v/>
      </c>
      <c r="C334">
        <f>'Runs Z score'!C327</f>
        <v/>
      </c>
      <c r="D334">
        <f>'Runs Z score'!D327</f>
        <v/>
      </c>
      <c r="E334">
        <f>'Runs Z score'!E327</f>
        <v/>
      </c>
      <c r="F334">
        <f>'Runs Z score'!F327</f>
        <v/>
      </c>
      <c r="G334">
        <f>'Runs Z score'!G327</f>
        <v/>
      </c>
      <c r="H334">
        <f>VLOOKUP(C334,Recipes!$A$2:$N$4,10,FALSE())</f>
        <v/>
      </c>
      <c r="I334">
        <f>VLOOKUP(C334,Recipes!$A$2:$N$4,12,FALSE())</f>
        <v/>
      </c>
      <c r="J334">
        <f>IF(G334="","",H334-G334)</f>
        <v/>
      </c>
      <c r="K334">
        <f>IF(G334="","",IF(VLOOKUP(C334,Recipes!$A$2:$N$4,4,FALSE())=0,-1E+300,-0.5*((J334-Components!$D$2)/Components!$E$2)^2))</f>
        <v/>
      </c>
      <c r="L334">
        <f>IF(G334="","",IF(VLOOKUP(C334,Recipes!$A$2:$N$4,5,FALSE())=0,-1E+300,-0.5*((J334-Components!$D$3)/Components!$E$3)^2))</f>
        <v/>
      </c>
      <c r="M334">
        <f>IF(G334="","",IF(VLOOKUP(C334,Recipes!$A$2:$N$4,6,FALSE())=0,-1E+300,-0.5*((J334-Components!$D$4)/Components!$E$4)^2))</f>
        <v/>
      </c>
      <c r="N334">
        <f>IF(G334="","",IF(VLOOKUP(C334,Recipes!$A$2:$N$4,7,FALSE())=0,-1E+300,-0.5*((J334-Components!$D$5)/Components!$E$5)^2))</f>
        <v/>
      </c>
      <c r="O334">
        <f>IF(G334="","",IF(VLOOKUP(C334,Recipes!$A$2:$N$4,8,FALSE())=0,-1E+300,-0.5*((J334-Components!$D$6)/Components!$E$6)^2))</f>
        <v/>
      </c>
      <c r="P334">
        <f>IF(G334="","",IF(VLOOKUP(C334,Recipes!$A$2:$N$4,9,FALSE())=0,-1E+300,-0.5*((J334-Components!$D$7)/Components!$E$7)^2))</f>
        <v/>
      </c>
      <c r="Q334">
        <f>IF(G334="","",EXP(LARGE(K334:P334,1)-MAX(K334:P334))/(EXP(K334-MAX(K334:P334))+EXP(L334-MAX(K334:P334))+EXP(M334-MAX(K334:P334))+EXP(N334-MAX(K334:P334))+EXP(O334-MAX(K334:P334))+EXP(P334-MAX(K334:P334))))</f>
        <v/>
      </c>
      <c r="R334">
        <f>IF(G334="","",EXP(LARGE(K334:P334,2)-MAX(K334:P334))/(EXP(K334-MAX(K334:P334))+EXP(L334-MAX(K334:P334))+EXP(M334-MAX(K334:P334))+EXP(N334-MAX(K334:P334))+EXP(O334-MAX(K334:P334))+EXP(P334-MAX(K334:P334))))</f>
        <v/>
      </c>
      <c r="S334">
        <f>IF(G334="","",Q334-R334)</f>
        <v/>
      </c>
      <c r="T334">
        <f>IF(G334="","",IF(ABS(G334-H334)&lt;=$B$6*I334,"OK","NG"))</f>
        <v/>
      </c>
      <c r="U334">
        <f>IF(T334="","",IF(T334=D334,1,0))</f>
        <v/>
      </c>
      <c r="V334">
        <f>IF(G334="","",IF(T334="OK","NONE",INDEX({"S1","S2","W1","W2","N1","N2"},MATCH(MAX(K334:P334),K334:P334,0))))</f>
        <v/>
      </c>
      <c r="W334">
        <f>IF(G334="","",IF(V334=E334,1,0))</f>
        <v/>
      </c>
      <c r="X334">
        <f>IF(G334="","",IF(AND(T334="NG",S334&lt;$B$7),"AMBIGUOUS","CONFIDENT"))</f>
        <v/>
      </c>
    </row>
    <row r="335">
      <c r="A335">
        <f>'Runs Z score'!A328</f>
        <v/>
      </c>
      <c r="B335">
        <f>'Runs Z score'!B328</f>
        <v/>
      </c>
      <c r="C335">
        <f>'Runs Z score'!C328</f>
        <v/>
      </c>
      <c r="D335">
        <f>'Runs Z score'!D328</f>
        <v/>
      </c>
      <c r="E335">
        <f>'Runs Z score'!E328</f>
        <v/>
      </c>
      <c r="F335">
        <f>'Runs Z score'!F328</f>
        <v/>
      </c>
      <c r="G335">
        <f>'Runs Z score'!G328</f>
        <v/>
      </c>
      <c r="H335">
        <f>VLOOKUP(C335,Recipes!$A$2:$N$4,10,FALSE())</f>
        <v/>
      </c>
      <c r="I335">
        <f>VLOOKUP(C335,Recipes!$A$2:$N$4,12,FALSE())</f>
        <v/>
      </c>
      <c r="J335">
        <f>IF(G335="","",H335-G335)</f>
        <v/>
      </c>
      <c r="K335">
        <f>IF(G335="","",IF(VLOOKUP(C335,Recipes!$A$2:$N$4,4,FALSE())=0,-1E+300,-0.5*((J335-Components!$D$2)/Components!$E$2)^2))</f>
        <v/>
      </c>
      <c r="L335">
        <f>IF(G335="","",IF(VLOOKUP(C335,Recipes!$A$2:$N$4,5,FALSE())=0,-1E+300,-0.5*((J335-Components!$D$3)/Components!$E$3)^2))</f>
        <v/>
      </c>
      <c r="M335">
        <f>IF(G335="","",IF(VLOOKUP(C335,Recipes!$A$2:$N$4,6,FALSE())=0,-1E+300,-0.5*((J335-Components!$D$4)/Components!$E$4)^2))</f>
        <v/>
      </c>
      <c r="N335">
        <f>IF(G335="","",IF(VLOOKUP(C335,Recipes!$A$2:$N$4,7,FALSE())=0,-1E+300,-0.5*((J335-Components!$D$5)/Components!$E$5)^2))</f>
        <v/>
      </c>
      <c r="O335">
        <f>IF(G335="","",IF(VLOOKUP(C335,Recipes!$A$2:$N$4,8,FALSE())=0,-1E+300,-0.5*((J335-Components!$D$6)/Components!$E$6)^2))</f>
        <v/>
      </c>
      <c r="P335">
        <f>IF(G335="","",IF(VLOOKUP(C335,Recipes!$A$2:$N$4,9,FALSE())=0,-1E+300,-0.5*((J335-Components!$D$7)/Components!$E$7)^2))</f>
        <v/>
      </c>
      <c r="Q335">
        <f>IF(G335="","",EXP(LARGE(K335:P335,1)-MAX(K335:P335))/(EXP(K335-MAX(K335:P335))+EXP(L335-MAX(K335:P335))+EXP(M335-MAX(K335:P335))+EXP(N335-MAX(K335:P335))+EXP(O335-MAX(K335:P335))+EXP(P335-MAX(K335:P335))))</f>
        <v/>
      </c>
      <c r="R335">
        <f>IF(G335="","",EXP(LARGE(K335:P335,2)-MAX(K335:P335))/(EXP(K335-MAX(K335:P335))+EXP(L335-MAX(K335:P335))+EXP(M335-MAX(K335:P335))+EXP(N335-MAX(K335:P335))+EXP(O335-MAX(K335:P335))+EXP(P335-MAX(K335:P335))))</f>
        <v/>
      </c>
      <c r="S335">
        <f>IF(G335="","",Q335-R335)</f>
        <v/>
      </c>
      <c r="T335">
        <f>IF(G335="","",IF(ABS(G335-H335)&lt;=$B$6*I335,"OK","NG"))</f>
        <v/>
      </c>
      <c r="U335">
        <f>IF(T335="","",IF(T335=D335,1,0))</f>
        <v/>
      </c>
      <c r="V335">
        <f>IF(G335="","",IF(T335="OK","NONE",INDEX({"S1","S2","W1","W2","N1","N2"},MATCH(MAX(K335:P335),K335:P335,0))))</f>
        <v/>
      </c>
      <c r="W335">
        <f>IF(G335="","",IF(V335=E335,1,0))</f>
        <v/>
      </c>
      <c r="X335">
        <f>IF(G335="","",IF(AND(T335="NG",S335&lt;$B$7),"AMBIGUOUS","CONFIDENT"))</f>
        <v/>
      </c>
    </row>
    <row r="336">
      <c r="A336">
        <f>'Runs Z score'!A329</f>
        <v/>
      </c>
      <c r="B336">
        <f>'Runs Z score'!B329</f>
        <v/>
      </c>
      <c r="C336">
        <f>'Runs Z score'!C329</f>
        <v/>
      </c>
      <c r="D336">
        <f>'Runs Z score'!D329</f>
        <v/>
      </c>
      <c r="E336">
        <f>'Runs Z score'!E329</f>
        <v/>
      </c>
      <c r="F336">
        <f>'Runs Z score'!F329</f>
        <v/>
      </c>
      <c r="G336">
        <f>'Runs Z score'!G329</f>
        <v/>
      </c>
      <c r="H336">
        <f>VLOOKUP(C336,Recipes!$A$2:$N$4,10,FALSE())</f>
        <v/>
      </c>
      <c r="I336">
        <f>VLOOKUP(C336,Recipes!$A$2:$N$4,12,FALSE())</f>
        <v/>
      </c>
      <c r="J336">
        <f>IF(G336="","",H336-G336)</f>
        <v/>
      </c>
      <c r="K336">
        <f>IF(G336="","",IF(VLOOKUP(C336,Recipes!$A$2:$N$4,4,FALSE())=0,-1E+300,-0.5*((J336-Components!$D$2)/Components!$E$2)^2))</f>
        <v/>
      </c>
      <c r="L336">
        <f>IF(G336="","",IF(VLOOKUP(C336,Recipes!$A$2:$N$4,5,FALSE())=0,-1E+300,-0.5*((J336-Components!$D$3)/Components!$E$3)^2))</f>
        <v/>
      </c>
      <c r="M336">
        <f>IF(G336="","",IF(VLOOKUP(C336,Recipes!$A$2:$N$4,6,FALSE())=0,-1E+300,-0.5*((J336-Components!$D$4)/Components!$E$4)^2))</f>
        <v/>
      </c>
      <c r="N336">
        <f>IF(G336="","",IF(VLOOKUP(C336,Recipes!$A$2:$N$4,7,FALSE())=0,-1E+300,-0.5*((J336-Components!$D$5)/Components!$E$5)^2))</f>
        <v/>
      </c>
      <c r="O336">
        <f>IF(G336="","",IF(VLOOKUP(C336,Recipes!$A$2:$N$4,8,FALSE())=0,-1E+300,-0.5*((J336-Components!$D$6)/Components!$E$6)^2))</f>
        <v/>
      </c>
      <c r="P336">
        <f>IF(G336="","",IF(VLOOKUP(C336,Recipes!$A$2:$N$4,9,FALSE())=0,-1E+300,-0.5*((J336-Components!$D$7)/Components!$E$7)^2))</f>
        <v/>
      </c>
      <c r="Q336">
        <f>IF(G336="","",EXP(LARGE(K336:P336,1)-MAX(K336:P336))/(EXP(K336-MAX(K336:P336))+EXP(L336-MAX(K336:P336))+EXP(M336-MAX(K336:P336))+EXP(N336-MAX(K336:P336))+EXP(O336-MAX(K336:P336))+EXP(P336-MAX(K336:P336))))</f>
        <v/>
      </c>
      <c r="R336">
        <f>IF(G336="","",EXP(LARGE(K336:P336,2)-MAX(K336:P336))/(EXP(K336-MAX(K336:P336))+EXP(L336-MAX(K336:P336))+EXP(M336-MAX(K336:P336))+EXP(N336-MAX(K336:P336))+EXP(O336-MAX(K336:P336))+EXP(P336-MAX(K336:P336))))</f>
        <v/>
      </c>
      <c r="S336">
        <f>IF(G336="","",Q336-R336)</f>
        <v/>
      </c>
      <c r="T336">
        <f>IF(G336="","",IF(ABS(G336-H336)&lt;=$B$6*I336,"OK","NG"))</f>
        <v/>
      </c>
      <c r="U336">
        <f>IF(T336="","",IF(T336=D336,1,0))</f>
        <v/>
      </c>
      <c r="V336">
        <f>IF(G336="","",IF(T336="OK","NONE",INDEX({"S1","S2","W1","W2","N1","N2"},MATCH(MAX(K336:P336),K336:P336,0))))</f>
        <v/>
      </c>
      <c r="W336">
        <f>IF(G336="","",IF(V336=E336,1,0))</f>
        <v/>
      </c>
      <c r="X336">
        <f>IF(G336="","",IF(AND(T336="NG",S336&lt;$B$7),"AMBIGUOUS","CONFIDENT"))</f>
        <v/>
      </c>
    </row>
    <row r="337">
      <c r="A337">
        <f>'Runs Z score'!A330</f>
        <v/>
      </c>
      <c r="B337">
        <f>'Runs Z score'!B330</f>
        <v/>
      </c>
      <c r="C337">
        <f>'Runs Z score'!C330</f>
        <v/>
      </c>
      <c r="D337">
        <f>'Runs Z score'!D330</f>
        <v/>
      </c>
      <c r="E337">
        <f>'Runs Z score'!E330</f>
        <v/>
      </c>
      <c r="F337">
        <f>'Runs Z score'!F330</f>
        <v/>
      </c>
      <c r="G337">
        <f>'Runs Z score'!G330</f>
        <v/>
      </c>
      <c r="H337">
        <f>VLOOKUP(C337,Recipes!$A$2:$N$4,10,FALSE())</f>
        <v/>
      </c>
      <c r="I337">
        <f>VLOOKUP(C337,Recipes!$A$2:$N$4,12,FALSE())</f>
        <v/>
      </c>
      <c r="J337">
        <f>IF(G337="","",H337-G337)</f>
        <v/>
      </c>
      <c r="K337">
        <f>IF(G337="","",IF(VLOOKUP(C337,Recipes!$A$2:$N$4,4,FALSE())=0,-1E+300,-0.5*((J337-Components!$D$2)/Components!$E$2)^2))</f>
        <v/>
      </c>
      <c r="L337">
        <f>IF(G337="","",IF(VLOOKUP(C337,Recipes!$A$2:$N$4,5,FALSE())=0,-1E+300,-0.5*((J337-Components!$D$3)/Components!$E$3)^2))</f>
        <v/>
      </c>
      <c r="M337">
        <f>IF(G337="","",IF(VLOOKUP(C337,Recipes!$A$2:$N$4,6,FALSE())=0,-1E+300,-0.5*((J337-Components!$D$4)/Components!$E$4)^2))</f>
        <v/>
      </c>
      <c r="N337">
        <f>IF(G337="","",IF(VLOOKUP(C337,Recipes!$A$2:$N$4,7,FALSE())=0,-1E+300,-0.5*((J337-Components!$D$5)/Components!$E$5)^2))</f>
        <v/>
      </c>
      <c r="O337">
        <f>IF(G337="","",IF(VLOOKUP(C337,Recipes!$A$2:$N$4,8,FALSE())=0,-1E+300,-0.5*((J337-Components!$D$6)/Components!$E$6)^2))</f>
        <v/>
      </c>
      <c r="P337">
        <f>IF(G337="","",IF(VLOOKUP(C337,Recipes!$A$2:$N$4,9,FALSE())=0,-1E+300,-0.5*((J337-Components!$D$7)/Components!$E$7)^2))</f>
        <v/>
      </c>
      <c r="Q337">
        <f>IF(G337="","",EXP(LARGE(K337:P337,1)-MAX(K337:P337))/(EXP(K337-MAX(K337:P337))+EXP(L337-MAX(K337:P337))+EXP(M337-MAX(K337:P337))+EXP(N337-MAX(K337:P337))+EXP(O337-MAX(K337:P337))+EXP(P337-MAX(K337:P337))))</f>
        <v/>
      </c>
      <c r="R337">
        <f>IF(G337="","",EXP(LARGE(K337:P337,2)-MAX(K337:P337))/(EXP(K337-MAX(K337:P337))+EXP(L337-MAX(K337:P337))+EXP(M337-MAX(K337:P337))+EXP(N337-MAX(K337:P337))+EXP(O337-MAX(K337:P337))+EXP(P337-MAX(K337:P337))))</f>
        <v/>
      </c>
      <c r="S337">
        <f>IF(G337="","",Q337-R337)</f>
        <v/>
      </c>
      <c r="T337">
        <f>IF(G337="","",IF(ABS(G337-H337)&lt;=$B$6*I337,"OK","NG"))</f>
        <v/>
      </c>
      <c r="U337">
        <f>IF(T337="","",IF(T337=D337,1,0))</f>
        <v/>
      </c>
      <c r="V337">
        <f>IF(G337="","",IF(T337="OK","NONE",INDEX({"S1","S2","W1","W2","N1","N2"},MATCH(MAX(K337:P337),K337:P337,0))))</f>
        <v/>
      </c>
      <c r="W337">
        <f>IF(G337="","",IF(V337=E337,1,0))</f>
        <v/>
      </c>
      <c r="X337">
        <f>IF(G337="","",IF(AND(T337="NG",S337&lt;$B$7),"AMBIGUOUS","CONFIDENT"))</f>
        <v/>
      </c>
    </row>
    <row r="338">
      <c r="A338">
        <f>'Runs Z score'!A331</f>
        <v/>
      </c>
      <c r="B338">
        <f>'Runs Z score'!B331</f>
        <v/>
      </c>
      <c r="C338">
        <f>'Runs Z score'!C331</f>
        <v/>
      </c>
      <c r="D338">
        <f>'Runs Z score'!D331</f>
        <v/>
      </c>
      <c r="E338">
        <f>'Runs Z score'!E331</f>
        <v/>
      </c>
      <c r="F338">
        <f>'Runs Z score'!F331</f>
        <v/>
      </c>
      <c r="G338">
        <f>'Runs Z score'!G331</f>
        <v/>
      </c>
      <c r="H338">
        <f>VLOOKUP(C338,Recipes!$A$2:$N$4,10,FALSE())</f>
        <v/>
      </c>
      <c r="I338">
        <f>VLOOKUP(C338,Recipes!$A$2:$N$4,12,FALSE())</f>
        <v/>
      </c>
      <c r="J338">
        <f>IF(G338="","",H338-G338)</f>
        <v/>
      </c>
      <c r="K338">
        <f>IF(G338="","",IF(VLOOKUP(C338,Recipes!$A$2:$N$4,4,FALSE())=0,-1E+300,-0.5*((J338-Components!$D$2)/Components!$E$2)^2))</f>
        <v/>
      </c>
      <c r="L338">
        <f>IF(G338="","",IF(VLOOKUP(C338,Recipes!$A$2:$N$4,5,FALSE())=0,-1E+300,-0.5*((J338-Components!$D$3)/Components!$E$3)^2))</f>
        <v/>
      </c>
      <c r="M338">
        <f>IF(G338="","",IF(VLOOKUP(C338,Recipes!$A$2:$N$4,6,FALSE())=0,-1E+300,-0.5*((J338-Components!$D$4)/Components!$E$4)^2))</f>
        <v/>
      </c>
      <c r="N338">
        <f>IF(G338="","",IF(VLOOKUP(C338,Recipes!$A$2:$N$4,7,FALSE())=0,-1E+300,-0.5*((J338-Components!$D$5)/Components!$E$5)^2))</f>
        <v/>
      </c>
      <c r="O338">
        <f>IF(G338="","",IF(VLOOKUP(C338,Recipes!$A$2:$N$4,8,FALSE())=0,-1E+300,-0.5*((J338-Components!$D$6)/Components!$E$6)^2))</f>
        <v/>
      </c>
      <c r="P338">
        <f>IF(G338="","",IF(VLOOKUP(C338,Recipes!$A$2:$N$4,9,FALSE())=0,-1E+300,-0.5*((J338-Components!$D$7)/Components!$E$7)^2))</f>
        <v/>
      </c>
      <c r="Q338">
        <f>IF(G338="","",EXP(LARGE(K338:P338,1)-MAX(K338:P338))/(EXP(K338-MAX(K338:P338))+EXP(L338-MAX(K338:P338))+EXP(M338-MAX(K338:P338))+EXP(N338-MAX(K338:P338))+EXP(O338-MAX(K338:P338))+EXP(P338-MAX(K338:P338))))</f>
        <v/>
      </c>
      <c r="R338">
        <f>IF(G338="","",EXP(LARGE(K338:P338,2)-MAX(K338:P338))/(EXP(K338-MAX(K338:P338))+EXP(L338-MAX(K338:P338))+EXP(M338-MAX(K338:P338))+EXP(N338-MAX(K338:P338))+EXP(O338-MAX(K338:P338))+EXP(P338-MAX(K338:P338))))</f>
        <v/>
      </c>
      <c r="S338">
        <f>IF(G338="","",Q338-R338)</f>
        <v/>
      </c>
      <c r="T338">
        <f>IF(G338="","",IF(ABS(G338-H338)&lt;=$B$6*I338,"OK","NG"))</f>
        <v/>
      </c>
      <c r="U338">
        <f>IF(T338="","",IF(T338=D338,1,0))</f>
        <v/>
      </c>
      <c r="V338">
        <f>IF(G338="","",IF(T338="OK","NONE",INDEX({"S1","S2","W1","W2","N1","N2"},MATCH(MAX(K338:P338),K338:P338,0))))</f>
        <v/>
      </c>
      <c r="W338">
        <f>IF(G338="","",IF(V338=E338,1,0))</f>
        <v/>
      </c>
      <c r="X338">
        <f>IF(G338="","",IF(AND(T338="NG",S338&lt;$B$7),"AMBIGUOUS","CONFIDENT"))</f>
        <v/>
      </c>
    </row>
    <row r="339">
      <c r="A339">
        <f>'Runs Z score'!A332</f>
        <v/>
      </c>
      <c r="B339">
        <f>'Runs Z score'!B332</f>
        <v/>
      </c>
      <c r="C339">
        <f>'Runs Z score'!C332</f>
        <v/>
      </c>
      <c r="D339">
        <f>'Runs Z score'!D332</f>
        <v/>
      </c>
      <c r="E339">
        <f>'Runs Z score'!E332</f>
        <v/>
      </c>
      <c r="F339">
        <f>'Runs Z score'!F332</f>
        <v/>
      </c>
      <c r="G339">
        <f>'Runs Z score'!G332</f>
        <v/>
      </c>
      <c r="H339">
        <f>VLOOKUP(C339,Recipes!$A$2:$N$4,10,FALSE())</f>
        <v/>
      </c>
      <c r="I339">
        <f>VLOOKUP(C339,Recipes!$A$2:$N$4,12,FALSE())</f>
        <v/>
      </c>
      <c r="J339">
        <f>IF(G339="","",H339-G339)</f>
        <v/>
      </c>
      <c r="K339">
        <f>IF(G339="","",IF(VLOOKUP(C339,Recipes!$A$2:$N$4,4,FALSE())=0,-1E+300,-0.5*((J339-Components!$D$2)/Components!$E$2)^2))</f>
        <v/>
      </c>
      <c r="L339">
        <f>IF(G339="","",IF(VLOOKUP(C339,Recipes!$A$2:$N$4,5,FALSE())=0,-1E+300,-0.5*((J339-Components!$D$3)/Components!$E$3)^2))</f>
        <v/>
      </c>
      <c r="M339">
        <f>IF(G339="","",IF(VLOOKUP(C339,Recipes!$A$2:$N$4,6,FALSE())=0,-1E+300,-0.5*((J339-Components!$D$4)/Components!$E$4)^2))</f>
        <v/>
      </c>
      <c r="N339">
        <f>IF(G339="","",IF(VLOOKUP(C339,Recipes!$A$2:$N$4,7,FALSE())=0,-1E+300,-0.5*((J339-Components!$D$5)/Components!$E$5)^2))</f>
        <v/>
      </c>
      <c r="O339">
        <f>IF(G339="","",IF(VLOOKUP(C339,Recipes!$A$2:$N$4,8,FALSE())=0,-1E+300,-0.5*((J339-Components!$D$6)/Components!$E$6)^2))</f>
        <v/>
      </c>
      <c r="P339">
        <f>IF(G339="","",IF(VLOOKUP(C339,Recipes!$A$2:$N$4,9,FALSE())=0,-1E+300,-0.5*((J339-Components!$D$7)/Components!$E$7)^2))</f>
        <v/>
      </c>
      <c r="Q339">
        <f>IF(G339="","",EXP(LARGE(K339:P339,1)-MAX(K339:P339))/(EXP(K339-MAX(K339:P339))+EXP(L339-MAX(K339:P339))+EXP(M339-MAX(K339:P339))+EXP(N339-MAX(K339:P339))+EXP(O339-MAX(K339:P339))+EXP(P339-MAX(K339:P339))))</f>
        <v/>
      </c>
      <c r="R339">
        <f>IF(G339="","",EXP(LARGE(K339:P339,2)-MAX(K339:P339))/(EXP(K339-MAX(K339:P339))+EXP(L339-MAX(K339:P339))+EXP(M339-MAX(K339:P339))+EXP(N339-MAX(K339:P339))+EXP(O339-MAX(K339:P339))+EXP(P339-MAX(K339:P339))))</f>
        <v/>
      </c>
      <c r="S339">
        <f>IF(G339="","",Q339-R339)</f>
        <v/>
      </c>
      <c r="T339">
        <f>IF(G339="","",IF(ABS(G339-H339)&lt;=$B$6*I339,"OK","NG"))</f>
        <v/>
      </c>
      <c r="U339">
        <f>IF(T339="","",IF(T339=D339,1,0))</f>
        <v/>
      </c>
      <c r="V339">
        <f>IF(G339="","",IF(T339="OK","NONE",INDEX({"S1","S2","W1","W2","N1","N2"},MATCH(MAX(K339:P339),K339:P339,0))))</f>
        <v/>
      </c>
      <c r="W339">
        <f>IF(G339="","",IF(V339=E339,1,0))</f>
        <v/>
      </c>
      <c r="X339">
        <f>IF(G339="","",IF(AND(T339="NG",S339&lt;$B$7),"AMBIGUOUS","CONFIDENT"))</f>
        <v/>
      </c>
    </row>
    <row r="340">
      <c r="A340">
        <f>'Runs Z score'!A333</f>
        <v/>
      </c>
      <c r="B340">
        <f>'Runs Z score'!B333</f>
        <v/>
      </c>
      <c r="C340">
        <f>'Runs Z score'!C333</f>
        <v/>
      </c>
      <c r="D340">
        <f>'Runs Z score'!D333</f>
        <v/>
      </c>
      <c r="E340">
        <f>'Runs Z score'!E333</f>
        <v/>
      </c>
      <c r="F340">
        <f>'Runs Z score'!F333</f>
        <v/>
      </c>
      <c r="G340">
        <f>'Runs Z score'!G333</f>
        <v/>
      </c>
      <c r="H340">
        <f>VLOOKUP(C340,Recipes!$A$2:$N$4,10,FALSE())</f>
        <v/>
      </c>
      <c r="I340">
        <f>VLOOKUP(C340,Recipes!$A$2:$N$4,12,FALSE())</f>
        <v/>
      </c>
      <c r="J340">
        <f>IF(G340="","",H340-G340)</f>
        <v/>
      </c>
      <c r="K340">
        <f>IF(G340="","",IF(VLOOKUP(C340,Recipes!$A$2:$N$4,4,FALSE())=0,-1E+300,-0.5*((J340-Components!$D$2)/Components!$E$2)^2))</f>
        <v/>
      </c>
      <c r="L340">
        <f>IF(G340="","",IF(VLOOKUP(C340,Recipes!$A$2:$N$4,5,FALSE())=0,-1E+300,-0.5*((J340-Components!$D$3)/Components!$E$3)^2))</f>
        <v/>
      </c>
      <c r="M340">
        <f>IF(G340="","",IF(VLOOKUP(C340,Recipes!$A$2:$N$4,6,FALSE())=0,-1E+300,-0.5*((J340-Components!$D$4)/Components!$E$4)^2))</f>
        <v/>
      </c>
      <c r="N340">
        <f>IF(G340="","",IF(VLOOKUP(C340,Recipes!$A$2:$N$4,7,FALSE())=0,-1E+300,-0.5*((J340-Components!$D$5)/Components!$E$5)^2))</f>
        <v/>
      </c>
      <c r="O340">
        <f>IF(G340="","",IF(VLOOKUP(C340,Recipes!$A$2:$N$4,8,FALSE())=0,-1E+300,-0.5*((J340-Components!$D$6)/Components!$E$6)^2))</f>
        <v/>
      </c>
      <c r="P340">
        <f>IF(G340="","",IF(VLOOKUP(C340,Recipes!$A$2:$N$4,9,FALSE())=0,-1E+300,-0.5*((J340-Components!$D$7)/Components!$E$7)^2))</f>
        <v/>
      </c>
      <c r="Q340">
        <f>IF(G340="","",EXP(LARGE(K340:P340,1)-MAX(K340:P340))/(EXP(K340-MAX(K340:P340))+EXP(L340-MAX(K340:P340))+EXP(M340-MAX(K340:P340))+EXP(N340-MAX(K340:P340))+EXP(O340-MAX(K340:P340))+EXP(P340-MAX(K340:P340))))</f>
        <v/>
      </c>
      <c r="R340">
        <f>IF(G340="","",EXP(LARGE(K340:P340,2)-MAX(K340:P340))/(EXP(K340-MAX(K340:P340))+EXP(L340-MAX(K340:P340))+EXP(M340-MAX(K340:P340))+EXP(N340-MAX(K340:P340))+EXP(O340-MAX(K340:P340))+EXP(P340-MAX(K340:P340))))</f>
        <v/>
      </c>
      <c r="S340">
        <f>IF(G340="","",Q340-R340)</f>
        <v/>
      </c>
      <c r="T340">
        <f>IF(G340="","",IF(ABS(G340-H340)&lt;=$B$6*I340,"OK","NG"))</f>
        <v/>
      </c>
      <c r="U340">
        <f>IF(T340="","",IF(T340=D340,1,0))</f>
        <v/>
      </c>
      <c r="V340">
        <f>IF(G340="","",IF(T340="OK","NONE",INDEX({"S1","S2","W1","W2","N1","N2"},MATCH(MAX(K340:P340),K340:P340,0))))</f>
        <v/>
      </c>
      <c r="W340">
        <f>IF(G340="","",IF(V340=E340,1,0))</f>
        <v/>
      </c>
      <c r="X340">
        <f>IF(G340="","",IF(AND(T340="NG",S340&lt;$B$7),"AMBIGUOUS","CONFIDENT"))</f>
        <v/>
      </c>
    </row>
    <row r="341">
      <c r="A341">
        <f>'Runs Z score'!A334</f>
        <v/>
      </c>
      <c r="B341">
        <f>'Runs Z score'!B334</f>
        <v/>
      </c>
      <c r="C341">
        <f>'Runs Z score'!C334</f>
        <v/>
      </c>
      <c r="D341">
        <f>'Runs Z score'!D334</f>
        <v/>
      </c>
      <c r="E341">
        <f>'Runs Z score'!E334</f>
        <v/>
      </c>
      <c r="F341">
        <f>'Runs Z score'!F334</f>
        <v/>
      </c>
      <c r="G341">
        <f>'Runs Z score'!G334</f>
        <v/>
      </c>
      <c r="H341">
        <f>VLOOKUP(C341,Recipes!$A$2:$N$4,10,FALSE())</f>
        <v/>
      </c>
      <c r="I341">
        <f>VLOOKUP(C341,Recipes!$A$2:$N$4,12,FALSE())</f>
        <v/>
      </c>
      <c r="J341">
        <f>IF(G341="","",H341-G341)</f>
        <v/>
      </c>
      <c r="K341">
        <f>IF(G341="","",IF(VLOOKUP(C341,Recipes!$A$2:$N$4,4,FALSE())=0,-1E+300,-0.5*((J341-Components!$D$2)/Components!$E$2)^2))</f>
        <v/>
      </c>
      <c r="L341">
        <f>IF(G341="","",IF(VLOOKUP(C341,Recipes!$A$2:$N$4,5,FALSE())=0,-1E+300,-0.5*((J341-Components!$D$3)/Components!$E$3)^2))</f>
        <v/>
      </c>
      <c r="M341">
        <f>IF(G341="","",IF(VLOOKUP(C341,Recipes!$A$2:$N$4,6,FALSE())=0,-1E+300,-0.5*((J341-Components!$D$4)/Components!$E$4)^2))</f>
        <v/>
      </c>
      <c r="N341">
        <f>IF(G341="","",IF(VLOOKUP(C341,Recipes!$A$2:$N$4,7,FALSE())=0,-1E+300,-0.5*((J341-Components!$D$5)/Components!$E$5)^2))</f>
        <v/>
      </c>
      <c r="O341">
        <f>IF(G341="","",IF(VLOOKUP(C341,Recipes!$A$2:$N$4,8,FALSE())=0,-1E+300,-0.5*((J341-Components!$D$6)/Components!$E$6)^2))</f>
        <v/>
      </c>
      <c r="P341">
        <f>IF(G341="","",IF(VLOOKUP(C341,Recipes!$A$2:$N$4,9,FALSE())=0,-1E+300,-0.5*((J341-Components!$D$7)/Components!$E$7)^2))</f>
        <v/>
      </c>
      <c r="Q341">
        <f>IF(G341="","",EXP(LARGE(K341:P341,1)-MAX(K341:P341))/(EXP(K341-MAX(K341:P341))+EXP(L341-MAX(K341:P341))+EXP(M341-MAX(K341:P341))+EXP(N341-MAX(K341:P341))+EXP(O341-MAX(K341:P341))+EXP(P341-MAX(K341:P341))))</f>
        <v/>
      </c>
      <c r="R341">
        <f>IF(G341="","",EXP(LARGE(K341:P341,2)-MAX(K341:P341))/(EXP(K341-MAX(K341:P341))+EXP(L341-MAX(K341:P341))+EXP(M341-MAX(K341:P341))+EXP(N341-MAX(K341:P341))+EXP(O341-MAX(K341:P341))+EXP(P341-MAX(K341:P341))))</f>
        <v/>
      </c>
      <c r="S341">
        <f>IF(G341="","",Q341-R341)</f>
        <v/>
      </c>
      <c r="T341">
        <f>IF(G341="","",IF(ABS(G341-H341)&lt;=$B$6*I341,"OK","NG"))</f>
        <v/>
      </c>
      <c r="U341">
        <f>IF(T341="","",IF(T341=D341,1,0))</f>
        <v/>
      </c>
      <c r="V341">
        <f>IF(G341="","",IF(T341="OK","NONE",INDEX({"S1","S2","W1","W2","N1","N2"},MATCH(MAX(K341:P341),K341:P341,0))))</f>
        <v/>
      </c>
      <c r="W341">
        <f>IF(G341="","",IF(V341=E341,1,0))</f>
        <v/>
      </c>
      <c r="X341">
        <f>IF(G341="","",IF(AND(T341="NG",S341&lt;$B$7),"AMBIGUOUS","CONFIDENT"))</f>
        <v/>
      </c>
    </row>
    <row r="342">
      <c r="A342">
        <f>'Runs Z score'!A335</f>
        <v/>
      </c>
      <c r="B342">
        <f>'Runs Z score'!B335</f>
        <v/>
      </c>
      <c r="C342">
        <f>'Runs Z score'!C335</f>
        <v/>
      </c>
      <c r="D342">
        <f>'Runs Z score'!D335</f>
        <v/>
      </c>
      <c r="E342">
        <f>'Runs Z score'!E335</f>
        <v/>
      </c>
      <c r="F342">
        <f>'Runs Z score'!F335</f>
        <v/>
      </c>
      <c r="G342">
        <f>'Runs Z score'!G335</f>
        <v/>
      </c>
      <c r="H342">
        <f>VLOOKUP(C342,Recipes!$A$2:$N$4,10,FALSE())</f>
        <v/>
      </c>
      <c r="I342">
        <f>VLOOKUP(C342,Recipes!$A$2:$N$4,12,FALSE())</f>
        <v/>
      </c>
      <c r="J342">
        <f>IF(G342="","",H342-G342)</f>
        <v/>
      </c>
      <c r="K342">
        <f>IF(G342="","",IF(VLOOKUP(C342,Recipes!$A$2:$N$4,4,FALSE())=0,-1E+300,-0.5*((J342-Components!$D$2)/Components!$E$2)^2))</f>
        <v/>
      </c>
      <c r="L342">
        <f>IF(G342="","",IF(VLOOKUP(C342,Recipes!$A$2:$N$4,5,FALSE())=0,-1E+300,-0.5*((J342-Components!$D$3)/Components!$E$3)^2))</f>
        <v/>
      </c>
      <c r="M342">
        <f>IF(G342="","",IF(VLOOKUP(C342,Recipes!$A$2:$N$4,6,FALSE())=0,-1E+300,-0.5*((J342-Components!$D$4)/Components!$E$4)^2))</f>
        <v/>
      </c>
      <c r="N342">
        <f>IF(G342="","",IF(VLOOKUP(C342,Recipes!$A$2:$N$4,7,FALSE())=0,-1E+300,-0.5*((J342-Components!$D$5)/Components!$E$5)^2))</f>
        <v/>
      </c>
      <c r="O342">
        <f>IF(G342="","",IF(VLOOKUP(C342,Recipes!$A$2:$N$4,8,FALSE())=0,-1E+300,-0.5*((J342-Components!$D$6)/Components!$E$6)^2))</f>
        <v/>
      </c>
      <c r="P342">
        <f>IF(G342="","",IF(VLOOKUP(C342,Recipes!$A$2:$N$4,9,FALSE())=0,-1E+300,-0.5*((J342-Components!$D$7)/Components!$E$7)^2))</f>
        <v/>
      </c>
      <c r="Q342">
        <f>IF(G342="","",EXP(LARGE(K342:P342,1)-MAX(K342:P342))/(EXP(K342-MAX(K342:P342))+EXP(L342-MAX(K342:P342))+EXP(M342-MAX(K342:P342))+EXP(N342-MAX(K342:P342))+EXP(O342-MAX(K342:P342))+EXP(P342-MAX(K342:P342))))</f>
        <v/>
      </c>
      <c r="R342">
        <f>IF(G342="","",EXP(LARGE(K342:P342,2)-MAX(K342:P342))/(EXP(K342-MAX(K342:P342))+EXP(L342-MAX(K342:P342))+EXP(M342-MAX(K342:P342))+EXP(N342-MAX(K342:P342))+EXP(O342-MAX(K342:P342))+EXP(P342-MAX(K342:P342))))</f>
        <v/>
      </c>
      <c r="S342">
        <f>IF(G342="","",Q342-R342)</f>
        <v/>
      </c>
      <c r="T342">
        <f>IF(G342="","",IF(ABS(G342-H342)&lt;=$B$6*I342,"OK","NG"))</f>
        <v/>
      </c>
      <c r="U342">
        <f>IF(T342="","",IF(T342=D342,1,0))</f>
        <v/>
      </c>
      <c r="V342">
        <f>IF(G342="","",IF(T342="OK","NONE",INDEX({"S1","S2","W1","W2","N1","N2"},MATCH(MAX(K342:P342),K342:P342,0))))</f>
        <v/>
      </c>
      <c r="W342">
        <f>IF(G342="","",IF(V342=E342,1,0))</f>
        <v/>
      </c>
      <c r="X342">
        <f>IF(G342="","",IF(AND(T342="NG",S342&lt;$B$7),"AMBIGUOUS","CONFIDENT"))</f>
        <v/>
      </c>
    </row>
    <row r="343">
      <c r="A343">
        <f>'Runs Z score'!A336</f>
        <v/>
      </c>
      <c r="B343">
        <f>'Runs Z score'!B336</f>
        <v/>
      </c>
      <c r="C343">
        <f>'Runs Z score'!C336</f>
        <v/>
      </c>
      <c r="D343">
        <f>'Runs Z score'!D336</f>
        <v/>
      </c>
      <c r="E343">
        <f>'Runs Z score'!E336</f>
        <v/>
      </c>
      <c r="F343">
        <f>'Runs Z score'!F336</f>
        <v/>
      </c>
      <c r="G343">
        <f>'Runs Z score'!G336</f>
        <v/>
      </c>
      <c r="H343">
        <f>VLOOKUP(C343,Recipes!$A$2:$N$4,10,FALSE())</f>
        <v/>
      </c>
      <c r="I343">
        <f>VLOOKUP(C343,Recipes!$A$2:$N$4,12,FALSE())</f>
        <v/>
      </c>
      <c r="J343">
        <f>IF(G343="","",H343-G343)</f>
        <v/>
      </c>
      <c r="K343">
        <f>IF(G343="","",IF(VLOOKUP(C343,Recipes!$A$2:$N$4,4,FALSE())=0,-1E+300,-0.5*((J343-Components!$D$2)/Components!$E$2)^2))</f>
        <v/>
      </c>
      <c r="L343">
        <f>IF(G343="","",IF(VLOOKUP(C343,Recipes!$A$2:$N$4,5,FALSE())=0,-1E+300,-0.5*((J343-Components!$D$3)/Components!$E$3)^2))</f>
        <v/>
      </c>
      <c r="M343">
        <f>IF(G343="","",IF(VLOOKUP(C343,Recipes!$A$2:$N$4,6,FALSE())=0,-1E+300,-0.5*((J343-Components!$D$4)/Components!$E$4)^2))</f>
        <v/>
      </c>
      <c r="N343">
        <f>IF(G343="","",IF(VLOOKUP(C343,Recipes!$A$2:$N$4,7,FALSE())=0,-1E+300,-0.5*((J343-Components!$D$5)/Components!$E$5)^2))</f>
        <v/>
      </c>
      <c r="O343">
        <f>IF(G343="","",IF(VLOOKUP(C343,Recipes!$A$2:$N$4,8,FALSE())=0,-1E+300,-0.5*((J343-Components!$D$6)/Components!$E$6)^2))</f>
        <v/>
      </c>
      <c r="P343">
        <f>IF(G343="","",IF(VLOOKUP(C343,Recipes!$A$2:$N$4,9,FALSE())=0,-1E+300,-0.5*((J343-Components!$D$7)/Components!$E$7)^2))</f>
        <v/>
      </c>
      <c r="Q343">
        <f>IF(G343="","",EXP(LARGE(K343:P343,1)-MAX(K343:P343))/(EXP(K343-MAX(K343:P343))+EXP(L343-MAX(K343:P343))+EXP(M343-MAX(K343:P343))+EXP(N343-MAX(K343:P343))+EXP(O343-MAX(K343:P343))+EXP(P343-MAX(K343:P343))))</f>
        <v/>
      </c>
      <c r="R343">
        <f>IF(G343="","",EXP(LARGE(K343:P343,2)-MAX(K343:P343))/(EXP(K343-MAX(K343:P343))+EXP(L343-MAX(K343:P343))+EXP(M343-MAX(K343:P343))+EXP(N343-MAX(K343:P343))+EXP(O343-MAX(K343:P343))+EXP(P343-MAX(K343:P343))))</f>
        <v/>
      </c>
      <c r="S343">
        <f>IF(G343="","",Q343-R343)</f>
        <v/>
      </c>
      <c r="T343">
        <f>IF(G343="","",IF(ABS(G343-H343)&lt;=$B$6*I343,"OK","NG"))</f>
        <v/>
      </c>
      <c r="U343">
        <f>IF(T343="","",IF(T343=D343,1,0))</f>
        <v/>
      </c>
      <c r="V343">
        <f>IF(G343="","",IF(T343="OK","NONE",INDEX({"S1","S2","W1","W2","N1","N2"},MATCH(MAX(K343:P343),K343:P343,0))))</f>
        <v/>
      </c>
      <c r="W343">
        <f>IF(G343="","",IF(V343=E343,1,0))</f>
        <v/>
      </c>
      <c r="X343">
        <f>IF(G343="","",IF(AND(T343="NG",S343&lt;$B$7),"AMBIGUOUS","CONFIDENT"))</f>
        <v/>
      </c>
    </row>
    <row r="344">
      <c r="A344">
        <f>'Runs Z score'!A337</f>
        <v/>
      </c>
      <c r="B344">
        <f>'Runs Z score'!B337</f>
        <v/>
      </c>
      <c r="C344">
        <f>'Runs Z score'!C337</f>
        <v/>
      </c>
      <c r="D344">
        <f>'Runs Z score'!D337</f>
        <v/>
      </c>
      <c r="E344">
        <f>'Runs Z score'!E337</f>
        <v/>
      </c>
      <c r="F344">
        <f>'Runs Z score'!F337</f>
        <v/>
      </c>
      <c r="G344">
        <f>'Runs Z score'!G337</f>
        <v/>
      </c>
      <c r="H344">
        <f>VLOOKUP(C344,Recipes!$A$2:$N$4,10,FALSE())</f>
        <v/>
      </c>
      <c r="I344">
        <f>VLOOKUP(C344,Recipes!$A$2:$N$4,12,FALSE())</f>
        <v/>
      </c>
      <c r="J344">
        <f>IF(G344="","",H344-G344)</f>
        <v/>
      </c>
      <c r="K344">
        <f>IF(G344="","",IF(VLOOKUP(C344,Recipes!$A$2:$N$4,4,FALSE())=0,-1E+300,-0.5*((J344-Components!$D$2)/Components!$E$2)^2))</f>
        <v/>
      </c>
      <c r="L344">
        <f>IF(G344="","",IF(VLOOKUP(C344,Recipes!$A$2:$N$4,5,FALSE())=0,-1E+300,-0.5*((J344-Components!$D$3)/Components!$E$3)^2))</f>
        <v/>
      </c>
      <c r="M344">
        <f>IF(G344="","",IF(VLOOKUP(C344,Recipes!$A$2:$N$4,6,FALSE())=0,-1E+300,-0.5*((J344-Components!$D$4)/Components!$E$4)^2))</f>
        <v/>
      </c>
      <c r="N344">
        <f>IF(G344="","",IF(VLOOKUP(C344,Recipes!$A$2:$N$4,7,FALSE())=0,-1E+300,-0.5*((J344-Components!$D$5)/Components!$E$5)^2))</f>
        <v/>
      </c>
      <c r="O344">
        <f>IF(G344="","",IF(VLOOKUP(C344,Recipes!$A$2:$N$4,8,FALSE())=0,-1E+300,-0.5*((J344-Components!$D$6)/Components!$E$6)^2))</f>
        <v/>
      </c>
      <c r="P344">
        <f>IF(G344="","",IF(VLOOKUP(C344,Recipes!$A$2:$N$4,9,FALSE())=0,-1E+300,-0.5*((J344-Components!$D$7)/Components!$E$7)^2))</f>
        <v/>
      </c>
      <c r="Q344">
        <f>IF(G344="","",EXP(LARGE(K344:P344,1)-MAX(K344:P344))/(EXP(K344-MAX(K344:P344))+EXP(L344-MAX(K344:P344))+EXP(M344-MAX(K344:P344))+EXP(N344-MAX(K344:P344))+EXP(O344-MAX(K344:P344))+EXP(P344-MAX(K344:P344))))</f>
        <v/>
      </c>
      <c r="R344">
        <f>IF(G344="","",EXP(LARGE(K344:P344,2)-MAX(K344:P344))/(EXP(K344-MAX(K344:P344))+EXP(L344-MAX(K344:P344))+EXP(M344-MAX(K344:P344))+EXP(N344-MAX(K344:P344))+EXP(O344-MAX(K344:P344))+EXP(P344-MAX(K344:P344))))</f>
        <v/>
      </c>
      <c r="S344">
        <f>IF(G344="","",Q344-R344)</f>
        <v/>
      </c>
      <c r="T344">
        <f>IF(G344="","",IF(ABS(G344-H344)&lt;=$B$6*I344,"OK","NG"))</f>
        <v/>
      </c>
      <c r="U344">
        <f>IF(T344="","",IF(T344=D344,1,0))</f>
        <v/>
      </c>
      <c r="V344">
        <f>IF(G344="","",IF(T344="OK","NONE",INDEX({"S1","S2","W1","W2","N1","N2"},MATCH(MAX(K344:P344),K344:P344,0))))</f>
        <v/>
      </c>
      <c r="W344">
        <f>IF(G344="","",IF(V344=E344,1,0))</f>
        <v/>
      </c>
      <c r="X344">
        <f>IF(G344="","",IF(AND(T344="NG",S344&lt;$B$7),"AMBIGUOUS","CONFIDENT"))</f>
        <v/>
      </c>
    </row>
    <row r="345">
      <c r="A345">
        <f>'Runs Z score'!A338</f>
        <v/>
      </c>
      <c r="B345">
        <f>'Runs Z score'!B338</f>
        <v/>
      </c>
      <c r="C345">
        <f>'Runs Z score'!C338</f>
        <v/>
      </c>
      <c r="D345">
        <f>'Runs Z score'!D338</f>
        <v/>
      </c>
      <c r="E345">
        <f>'Runs Z score'!E338</f>
        <v/>
      </c>
      <c r="F345">
        <f>'Runs Z score'!F338</f>
        <v/>
      </c>
      <c r="G345">
        <f>'Runs Z score'!G338</f>
        <v/>
      </c>
      <c r="H345">
        <f>VLOOKUP(C345,Recipes!$A$2:$N$4,10,FALSE())</f>
        <v/>
      </c>
      <c r="I345">
        <f>VLOOKUP(C345,Recipes!$A$2:$N$4,12,FALSE())</f>
        <v/>
      </c>
      <c r="J345">
        <f>IF(G345="","",H345-G345)</f>
        <v/>
      </c>
      <c r="K345">
        <f>IF(G345="","",IF(VLOOKUP(C345,Recipes!$A$2:$N$4,4,FALSE())=0,-1E+300,-0.5*((J345-Components!$D$2)/Components!$E$2)^2))</f>
        <v/>
      </c>
      <c r="L345">
        <f>IF(G345="","",IF(VLOOKUP(C345,Recipes!$A$2:$N$4,5,FALSE())=0,-1E+300,-0.5*((J345-Components!$D$3)/Components!$E$3)^2))</f>
        <v/>
      </c>
      <c r="M345">
        <f>IF(G345="","",IF(VLOOKUP(C345,Recipes!$A$2:$N$4,6,FALSE())=0,-1E+300,-0.5*((J345-Components!$D$4)/Components!$E$4)^2))</f>
        <v/>
      </c>
      <c r="N345">
        <f>IF(G345="","",IF(VLOOKUP(C345,Recipes!$A$2:$N$4,7,FALSE())=0,-1E+300,-0.5*((J345-Components!$D$5)/Components!$E$5)^2))</f>
        <v/>
      </c>
      <c r="O345">
        <f>IF(G345="","",IF(VLOOKUP(C345,Recipes!$A$2:$N$4,8,FALSE())=0,-1E+300,-0.5*((J345-Components!$D$6)/Components!$E$6)^2))</f>
        <v/>
      </c>
      <c r="P345">
        <f>IF(G345="","",IF(VLOOKUP(C345,Recipes!$A$2:$N$4,9,FALSE())=0,-1E+300,-0.5*((J345-Components!$D$7)/Components!$E$7)^2))</f>
        <v/>
      </c>
      <c r="Q345">
        <f>IF(G345="","",EXP(LARGE(K345:P345,1)-MAX(K345:P345))/(EXP(K345-MAX(K345:P345))+EXP(L345-MAX(K345:P345))+EXP(M345-MAX(K345:P345))+EXP(N345-MAX(K345:P345))+EXP(O345-MAX(K345:P345))+EXP(P345-MAX(K345:P345))))</f>
        <v/>
      </c>
      <c r="R345">
        <f>IF(G345="","",EXP(LARGE(K345:P345,2)-MAX(K345:P345))/(EXP(K345-MAX(K345:P345))+EXP(L345-MAX(K345:P345))+EXP(M345-MAX(K345:P345))+EXP(N345-MAX(K345:P345))+EXP(O345-MAX(K345:P345))+EXP(P345-MAX(K345:P345))))</f>
        <v/>
      </c>
      <c r="S345">
        <f>IF(G345="","",Q345-R345)</f>
        <v/>
      </c>
      <c r="T345">
        <f>IF(G345="","",IF(ABS(G345-H345)&lt;=$B$6*I345,"OK","NG"))</f>
        <v/>
      </c>
      <c r="U345">
        <f>IF(T345="","",IF(T345=D345,1,0))</f>
        <v/>
      </c>
      <c r="V345">
        <f>IF(G345="","",IF(T345="OK","NONE",INDEX({"S1","S2","W1","W2","N1","N2"},MATCH(MAX(K345:P345),K345:P345,0))))</f>
        <v/>
      </c>
      <c r="W345">
        <f>IF(G345="","",IF(V345=E345,1,0))</f>
        <v/>
      </c>
      <c r="X345">
        <f>IF(G345="","",IF(AND(T345="NG",S345&lt;$B$7),"AMBIGUOUS","CONFIDENT"))</f>
        <v/>
      </c>
    </row>
    <row r="346">
      <c r="A346">
        <f>'Runs Z score'!A339</f>
        <v/>
      </c>
      <c r="B346">
        <f>'Runs Z score'!B339</f>
        <v/>
      </c>
      <c r="C346">
        <f>'Runs Z score'!C339</f>
        <v/>
      </c>
      <c r="D346">
        <f>'Runs Z score'!D339</f>
        <v/>
      </c>
      <c r="E346">
        <f>'Runs Z score'!E339</f>
        <v/>
      </c>
      <c r="F346">
        <f>'Runs Z score'!F339</f>
        <v/>
      </c>
      <c r="G346">
        <f>'Runs Z score'!G339</f>
        <v/>
      </c>
      <c r="H346">
        <f>VLOOKUP(C346,Recipes!$A$2:$N$4,10,FALSE())</f>
        <v/>
      </c>
      <c r="I346">
        <f>VLOOKUP(C346,Recipes!$A$2:$N$4,12,FALSE())</f>
        <v/>
      </c>
      <c r="J346">
        <f>IF(G346="","",H346-G346)</f>
        <v/>
      </c>
      <c r="K346">
        <f>IF(G346="","",IF(VLOOKUP(C346,Recipes!$A$2:$N$4,4,FALSE())=0,-1E+300,-0.5*((J346-Components!$D$2)/Components!$E$2)^2))</f>
        <v/>
      </c>
      <c r="L346">
        <f>IF(G346="","",IF(VLOOKUP(C346,Recipes!$A$2:$N$4,5,FALSE())=0,-1E+300,-0.5*((J346-Components!$D$3)/Components!$E$3)^2))</f>
        <v/>
      </c>
      <c r="M346">
        <f>IF(G346="","",IF(VLOOKUP(C346,Recipes!$A$2:$N$4,6,FALSE())=0,-1E+300,-0.5*((J346-Components!$D$4)/Components!$E$4)^2))</f>
        <v/>
      </c>
      <c r="N346">
        <f>IF(G346="","",IF(VLOOKUP(C346,Recipes!$A$2:$N$4,7,FALSE())=0,-1E+300,-0.5*((J346-Components!$D$5)/Components!$E$5)^2))</f>
        <v/>
      </c>
      <c r="O346">
        <f>IF(G346="","",IF(VLOOKUP(C346,Recipes!$A$2:$N$4,8,FALSE())=0,-1E+300,-0.5*((J346-Components!$D$6)/Components!$E$6)^2))</f>
        <v/>
      </c>
      <c r="P346">
        <f>IF(G346="","",IF(VLOOKUP(C346,Recipes!$A$2:$N$4,9,FALSE())=0,-1E+300,-0.5*((J346-Components!$D$7)/Components!$E$7)^2))</f>
        <v/>
      </c>
      <c r="Q346">
        <f>IF(G346="","",EXP(LARGE(K346:P346,1)-MAX(K346:P346))/(EXP(K346-MAX(K346:P346))+EXP(L346-MAX(K346:P346))+EXP(M346-MAX(K346:P346))+EXP(N346-MAX(K346:P346))+EXP(O346-MAX(K346:P346))+EXP(P346-MAX(K346:P346))))</f>
        <v/>
      </c>
      <c r="R346">
        <f>IF(G346="","",EXP(LARGE(K346:P346,2)-MAX(K346:P346))/(EXP(K346-MAX(K346:P346))+EXP(L346-MAX(K346:P346))+EXP(M346-MAX(K346:P346))+EXP(N346-MAX(K346:P346))+EXP(O346-MAX(K346:P346))+EXP(P346-MAX(K346:P346))))</f>
        <v/>
      </c>
      <c r="S346">
        <f>IF(G346="","",Q346-R346)</f>
        <v/>
      </c>
      <c r="T346">
        <f>IF(G346="","",IF(ABS(G346-H346)&lt;=$B$6*I346,"OK","NG"))</f>
        <v/>
      </c>
      <c r="U346">
        <f>IF(T346="","",IF(T346=D346,1,0))</f>
        <v/>
      </c>
      <c r="V346">
        <f>IF(G346="","",IF(T346="OK","NONE",INDEX({"S1","S2","W1","W2","N1","N2"},MATCH(MAX(K346:P346),K346:P346,0))))</f>
        <v/>
      </c>
      <c r="W346">
        <f>IF(G346="","",IF(V346=E346,1,0))</f>
        <v/>
      </c>
      <c r="X346">
        <f>IF(G346="","",IF(AND(T346="NG",S346&lt;$B$7),"AMBIGUOUS","CONFIDENT"))</f>
        <v/>
      </c>
    </row>
    <row r="347">
      <c r="A347">
        <f>'Runs Z score'!A340</f>
        <v/>
      </c>
      <c r="B347">
        <f>'Runs Z score'!B340</f>
        <v/>
      </c>
      <c r="C347">
        <f>'Runs Z score'!C340</f>
        <v/>
      </c>
      <c r="D347">
        <f>'Runs Z score'!D340</f>
        <v/>
      </c>
      <c r="E347">
        <f>'Runs Z score'!E340</f>
        <v/>
      </c>
      <c r="F347">
        <f>'Runs Z score'!F340</f>
        <v/>
      </c>
      <c r="G347">
        <f>'Runs Z score'!G340</f>
        <v/>
      </c>
      <c r="H347">
        <f>VLOOKUP(C347,Recipes!$A$2:$N$4,10,FALSE())</f>
        <v/>
      </c>
      <c r="I347">
        <f>VLOOKUP(C347,Recipes!$A$2:$N$4,12,FALSE())</f>
        <v/>
      </c>
      <c r="J347">
        <f>IF(G347="","",H347-G347)</f>
        <v/>
      </c>
      <c r="K347">
        <f>IF(G347="","",IF(VLOOKUP(C347,Recipes!$A$2:$N$4,4,FALSE())=0,-1E+300,-0.5*((J347-Components!$D$2)/Components!$E$2)^2))</f>
        <v/>
      </c>
      <c r="L347">
        <f>IF(G347="","",IF(VLOOKUP(C347,Recipes!$A$2:$N$4,5,FALSE())=0,-1E+300,-0.5*((J347-Components!$D$3)/Components!$E$3)^2))</f>
        <v/>
      </c>
      <c r="M347">
        <f>IF(G347="","",IF(VLOOKUP(C347,Recipes!$A$2:$N$4,6,FALSE())=0,-1E+300,-0.5*((J347-Components!$D$4)/Components!$E$4)^2))</f>
        <v/>
      </c>
      <c r="N347">
        <f>IF(G347="","",IF(VLOOKUP(C347,Recipes!$A$2:$N$4,7,FALSE())=0,-1E+300,-0.5*((J347-Components!$D$5)/Components!$E$5)^2))</f>
        <v/>
      </c>
      <c r="O347">
        <f>IF(G347="","",IF(VLOOKUP(C347,Recipes!$A$2:$N$4,8,FALSE())=0,-1E+300,-0.5*((J347-Components!$D$6)/Components!$E$6)^2))</f>
        <v/>
      </c>
      <c r="P347">
        <f>IF(G347="","",IF(VLOOKUP(C347,Recipes!$A$2:$N$4,9,FALSE())=0,-1E+300,-0.5*((J347-Components!$D$7)/Components!$E$7)^2))</f>
        <v/>
      </c>
      <c r="Q347">
        <f>IF(G347="","",EXP(LARGE(K347:P347,1)-MAX(K347:P347))/(EXP(K347-MAX(K347:P347))+EXP(L347-MAX(K347:P347))+EXP(M347-MAX(K347:P347))+EXP(N347-MAX(K347:P347))+EXP(O347-MAX(K347:P347))+EXP(P347-MAX(K347:P347))))</f>
        <v/>
      </c>
      <c r="R347">
        <f>IF(G347="","",EXP(LARGE(K347:P347,2)-MAX(K347:P347))/(EXP(K347-MAX(K347:P347))+EXP(L347-MAX(K347:P347))+EXP(M347-MAX(K347:P347))+EXP(N347-MAX(K347:P347))+EXP(O347-MAX(K347:P347))+EXP(P347-MAX(K347:P347))))</f>
        <v/>
      </c>
      <c r="S347">
        <f>IF(G347="","",Q347-R347)</f>
        <v/>
      </c>
      <c r="T347">
        <f>IF(G347="","",IF(ABS(G347-H347)&lt;=$B$6*I347,"OK","NG"))</f>
        <v/>
      </c>
      <c r="U347">
        <f>IF(T347="","",IF(T347=D347,1,0))</f>
        <v/>
      </c>
      <c r="V347">
        <f>IF(G347="","",IF(T347="OK","NONE",INDEX({"S1","S2","W1","W2","N1","N2"},MATCH(MAX(K347:P347),K347:P347,0))))</f>
        <v/>
      </c>
      <c r="W347">
        <f>IF(G347="","",IF(V347=E347,1,0))</f>
        <v/>
      </c>
      <c r="X347">
        <f>IF(G347="","",IF(AND(T347="NG",S347&lt;$B$7),"AMBIGUOUS","CONFIDENT"))</f>
        <v/>
      </c>
    </row>
    <row r="348">
      <c r="A348">
        <f>'Runs Z score'!A341</f>
        <v/>
      </c>
      <c r="B348">
        <f>'Runs Z score'!B341</f>
        <v/>
      </c>
      <c r="C348">
        <f>'Runs Z score'!C341</f>
        <v/>
      </c>
      <c r="D348">
        <f>'Runs Z score'!D341</f>
        <v/>
      </c>
      <c r="E348">
        <f>'Runs Z score'!E341</f>
        <v/>
      </c>
      <c r="F348">
        <f>'Runs Z score'!F341</f>
        <v/>
      </c>
      <c r="G348">
        <f>'Runs Z score'!G341</f>
        <v/>
      </c>
      <c r="H348">
        <f>VLOOKUP(C348,Recipes!$A$2:$N$4,10,FALSE())</f>
        <v/>
      </c>
      <c r="I348">
        <f>VLOOKUP(C348,Recipes!$A$2:$N$4,12,FALSE())</f>
        <v/>
      </c>
      <c r="J348">
        <f>IF(G348="","",H348-G348)</f>
        <v/>
      </c>
      <c r="K348">
        <f>IF(G348="","",IF(VLOOKUP(C348,Recipes!$A$2:$N$4,4,FALSE())=0,-1E+300,-0.5*((J348-Components!$D$2)/Components!$E$2)^2))</f>
        <v/>
      </c>
      <c r="L348">
        <f>IF(G348="","",IF(VLOOKUP(C348,Recipes!$A$2:$N$4,5,FALSE())=0,-1E+300,-0.5*((J348-Components!$D$3)/Components!$E$3)^2))</f>
        <v/>
      </c>
      <c r="M348">
        <f>IF(G348="","",IF(VLOOKUP(C348,Recipes!$A$2:$N$4,6,FALSE())=0,-1E+300,-0.5*((J348-Components!$D$4)/Components!$E$4)^2))</f>
        <v/>
      </c>
      <c r="N348">
        <f>IF(G348="","",IF(VLOOKUP(C348,Recipes!$A$2:$N$4,7,FALSE())=0,-1E+300,-0.5*((J348-Components!$D$5)/Components!$E$5)^2))</f>
        <v/>
      </c>
      <c r="O348">
        <f>IF(G348="","",IF(VLOOKUP(C348,Recipes!$A$2:$N$4,8,FALSE())=0,-1E+300,-0.5*((J348-Components!$D$6)/Components!$E$6)^2))</f>
        <v/>
      </c>
      <c r="P348">
        <f>IF(G348="","",IF(VLOOKUP(C348,Recipes!$A$2:$N$4,9,FALSE())=0,-1E+300,-0.5*((J348-Components!$D$7)/Components!$E$7)^2))</f>
        <v/>
      </c>
      <c r="Q348">
        <f>IF(G348="","",EXP(LARGE(K348:P348,1)-MAX(K348:P348))/(EXP(K348-MAX(K348:P348))+EXP(L348-MAX(K348:P348))+EXP(M348-MAX(K348:P348))+EXP(N348-MAX(K348:P348))+EXP(O348-MAX(K348:P348))+EXP(P348-MAX(K348:P348))))</f>
        <v/>
      </c>
      <c r="R348">
        <f>IF(G348="","",EXP(LARGE(K348:P348,2)-MAX(K348:P348))/(EXP(K348-MAX(K348:P348))+EXP(L348-MAX(K348:P348))+EXP(M348-MAX(K348:P348))+EXP(N348-MAX(K348:P348))+EXP(O348-MAX(K348:P348))+EXP(P348-MAX(K348:P348))))</f>
        <v/>
      </c>
      <c r="S348">
        <f>IF(G348="","",Q348-R348)</f>
        <v/>
      </c>
      <c r="T348">
        <f>IF(G348="","",IF(ABS(G348-H348)&lt;=$B$6*I348,"OK","NG"))</f>
        <v/>
      </c>
      <c r="U348">
        <f>IF(T348="","",IF(T348=D348,1,0))</f>
        <v/>
      </c>
      <c r="V348">
        <f>IF(G348="","",IF(T348="OK","NONE",INDEX({"S1","S2","W1","W2","N1","N2"},MATCH(MAX(K348:P348),K348:P348,0))))</f>
        <v/>
      </c>
      <c r="W348">
        <f>IF(G348="","",IF(V348=E348,1,0))</f>
        <v/>
      </c>
      <c r="X348">
        <f>IF(G348="","",IF(AND(T348="NG",S348&lt;$B$7),"AMBIGUOUS","CONFIDENT"))</f>
        <v/>
      </c>
    </row>
    <row r="349">
      <c r="A349">
        <f>'Runs Z score'!A342</f>
        <v/>
      </c>
      <c r="B349">
        <f>'Runs Z score'!B342</f>
        <v/>
      </c>
      <c r="C349">
        <f>'Runs Z score'!C342</f>
        <v/>
      </c>
      <c r="D349">
        <f>'Runs Z score'!D342</f>
        <v/>
      </c>
      <c r="E349">
        <f>'Runs Z score'!E342</f>
        <v/>
      </c>
      <c r="F349">
        <f>'Runs Z score'!F342</f>
        <v/>
      </c>
      <c r="G349">
        <f>'Runs Z score'!G342</f>
        <v/>
      </c>
      <c r="H349">
        <f>VLOOKUP(C349,Recipes!$A$2:$N$4,10,FALSE())</f>
        <v/>
      </c>
      <c r="I349">
        <f>VLOOKUP(C349,Recipes!$A$2:$N$4,12,FALSE())</f>
        <v/>
      </c>
      <c r="J349">
        <f>IF(G349="","",H349-G349)</f>
        <v/>
      </c>
      <c r="K349">
        <f>IF(G349="","",IF(VLOOKUP(C349,Recipes!$A$2:$N$4,4,FALSE())=0,-1E+300,-0.5*((J349-Components!$D$2)/Components!$E$2)^2))</f>
        <v/>
      </c>
      <c r="L349">
        <f>IF(G349="","",IF(VLOOKUP(C349,Recipes!$A$2:$N$4,5,FALSE())=0,-1E+300,-0.5*((J349-Components!$D$3)/Components!$E$3)^2))</f>
        <v/>
      </c>
      <c r="M349">
        <f>IF(G349="","",IF(VLOOKUP(C349,Recipes!$A$2:$N$4,6,FALSE())=0,-1E+300,-0.5*((J349-Components!$D$4)/Components!$E$4)^2))</f>
        <v/>
      </c>
      <c r="N349">
        <f>IF(G349="","",IF(VLOOKUP(C349,Recipes!$A$2:$N$4,7,FALSE())=0,-1E+300,-0.5*((J349-Components!$D$5)/Components!$E$5)^2))</f>
        <v/>
      </c>
      <c r="O349">
        <f>IF(G349="","",IF(VLOOKUP(C349,Recipes!$A$2:$N$4,8,FALSE())=0,-1E+300,-0.5*((J349-Components!$D$6)/Components!$E$6)^2))</f>
        <v/>
      </c>
      <c r="P349">
        <f>IF(G349="","",IF(VLOOKUP(C349,Recipes!$A$2:$N$4,9,FALSE())=0,-1E+300,-0.5*((J349-Components!$D$7)/Components!$E$7)^2))</f>
        <v/>
      </c>
      <c r="Q349">
        <f>IF(G349="","",EXP(LARGE(K349:P349,1)-MAX(K349:P349))/(EXP(K349-MAX(K349:P349))+EXP(L349-MAX(K349:P349))+EXP(M349-MAX(K349:P349))+EXP(N349-MAX(K349:P349))+EXP(O349-MAX(K349:P349))+EXP(P349-MAX(K349:P349))))</f>
        <v/>
      </c>
      <c r="R349">
        <f>IF(G349="","",EXP(LARGE(K349:P349,2)-MAX(K349:P349))/(EXP(K349-MAX(K349:P349))+EXP(L349-MAX(K349:P349))+EXP(M349-MAX(K349:P349))+EXP(N349-MAX(K349:P349))+EXP(O349-MAX(K349:P349))+EXP(P349-MAX(K349:P349))))</f>
        <v/>
      </c>
      <c r="S349">
        <f>IF(G349="","",Q349-R349)</f>
        <v/>
      </c>
      <c r="T349">
        <f>IF(G349="","",IF(ABS(G349-H349)&lt;=$B$6*I349,"OK","NG"))</f>
        <v/>
      </c>
      <c r="U349">
        <f>IF(T349="","",IF(T349=D349,1,0))</f>
        <v/>
      </c>
      <c r="V349">
        <f>IF(G349="","",IF(T349="OK","NONE",INDEX({"S1","S2","W1","W2","N1","N2"},MATCH(MAX(K349:P349),K349:P349,0))))</f>
        <v/>
      </c>
      <c r="W349">
        <f>IF(G349="","",IF(V349=E349,1,0))</f>
        <v/>
      </c>
      <c r="X349">
        <f>IF(G349="","",IF(AND(T349="NG",S349&lt;$B$7),"AMBIGUOUS","CONFIDENT"))</f>
        <v/>
      </c>
    </row>
    <row r="350">
      <c r="A350">
        <f>'Runs Z score'!A343</f>
        <v/>
      </c>
      <c r="B350">
        <f>'Runs Z score'!B343</f>
        <v/>
      </c>
      <c r="C350">
        <f>'Runs Z score'!C343</f>
        <v/>
      </c>
      <c r="D350">
        <f>'Runs Z score'!D343</f>
        <v/>
      </c>
      <c r="E350">
        <f>'Runs Z score'!E343</f>
        <v/>
      </c>
      <c r="F350">
        <f>'Runs Z score'!F343</f>
        <v/>
      </c>
      <c r="G350">
        <f>'Runs Z score'!G343</f>
        <v/>
      </c>
      <c r="H350">
        <f>VLOOKUP(C350,Recipes!$A$2:$N$4,10,FALSE())</f>
        <v/>
      </c>
      <c r="I350">
        <f>VLOOKUP(C350,Recipes!$A$2:$N$4,12,FALSE())</f>
        <v/>
      </c>
      <c r="J350">
        <f>IF(G350="","",H350-G350)</f>
        <v/>
      </c>
      <c r="K350">
        <f>IF(G350="","",IF(VLOOKUP(C350,Recipes!$A$2:$N$4,4,FALSE())=0,-1E+300,-0.5*((J350-Components!$D$2)/Components!$E$2)^2))</f>
        <v/>
      </c>
      <c r="L350">
        <f>IF(G350="","",IF(VLOOKUP(C350,Recipes!$A$2:$N$4,5,FALSE())=0,-1E+300,-0.5*((J350-Components!$D$3)/Components!$E$3)^2))</f>
        <v/>
      </c>
      <c r="M350">
        <f>IF(G350="","",IF(VLOOKUP(C350,Recipes!$A$2:$N$4,6,FALSE())=0,-1E+300,-0.5*((J350-Components!$D$4)/Components!$E$4)^2))</f>
        <v/>
      </c>
      <c r="N350">
        <f>IF(G350="","",IF(VLOOKUP(C350,Recipes!$A$2:$N$4,7,FALSE())=0,-1E+300,-0.5*((J350-Components!$D$5)/Components!$E$5)^2))</f>
        <v/>
      </c>
      <c r="O350">
        <f>IF(G350="","",IF(VLOOKUP(C350,Recipes!$A$2:$N$4,8,FALSE())=0,-1E+300,-0.5*((J350-Components!$D$6)/Components!$E$6)^2))</f>
        <v/>
      </c>
      <c r="P350">
        <f>IF(G350="","",IF(VLOOKUP(C350,Recipes!$A$2:$N$4,9,FALSE())=0,-1E+300,-0.5*((J350-Components!$D$7)/Components!$E$7)^2))</f>
        <v/>
      </c>
      <c r="Q350">
        <f>IF(G350="","",EXP(LARGE(K350:P350,1)-MAX(K350:P350))/(EXP(K350-MAX(K350:P350))+EXP(L350-MAX(K350:P350))+EXP(M350-MAX(K350:P350))+EXP(N350-MAX(K350:P350))+EXP(O350-MAX(K350:P350))+EXP(P350-MAX(K350:P350))))</f>
        <v/>
      </c>
      <c r="R350">
        <f>IF(G350="","",EXP(LARGE(K350:P350,2)-MAX(K350:P350))/(EXP(K350-MAX(K350:P350))+EXP(L350-MAX(K350:P350))+EXP(M350-MAX(K350:P350))+EXP(N350-MAX(K350:P350))+EXP(O350-MAX(K350:P350))+EXP(P350-MAX(K350:P350))))</f>
        <v/>
      </c>
      <c r="S350">
        <f>IF(G350="","",Q350-R350)</f>
        <v/>
      </c>
      <c r="T350">
        <f>IF(G350="","",IF(ABS(G350-H350)&lt;=$B$6*I350,"OK","NG"))</f>
        <v/>
      </c>
      <c r="U350">
        <f>IF(T350="","",IF(T350=D350,1,0))</f>
        <v/>
      </c>
      <c r="V350">
        <f>IF(G350="","",IF(T350="OK","NONE",INDEX({"S1","S2","W1","W2","N1","N2"},MATCH(MAX(K350:P350),K350:P350,0))))</f>
        <v/>
      </c>
      <c r="W350">
        <f>IF(G350="","",IF(V350=E350,1,0))</f>
        <v/>
      </c>
      <c r="X350">
        <f>IF(G350="","",IF(AND(T350="NG",S350&lt;$B$7),"AMBIGUOUS","CONFIDENT"))</f>
        <v/>
      </c>
    </row>
    <row r="351">
      <c r="A351">
        <f>'Runs Z score'!A344</f>
        <v/>
      </c>
      <c r="B351">
        <f>'Runs Z score'!B344</f>
        <v/>
      </c>
      <c r="C351">
        <f>'Runs Z score'!C344</f>
        <v/>
      </c>
      <c r="D351">
        <f>'Runs Z score'!D344</f>
        <v/>
      </c>
      <c r="E351">
        <f>'Runs Z score'!E344</f>
        <v/>
      </c>
      <c r="F351">
        <f>'Runs Z score'!F344</f>
        <v/>
      </c>
      <c r="G351">
        <f>'Runs Z score'!G344</f>
        <v/>
      </c>
      <c r="H351">
        <f>VLOOKUP(C351,Recipes!$A$2:$N$4,10,FALSE())</f>
        <v/>
      </c>
      <c r="I351">
        <f>VLOOKUP(C351,Recipes!$A$2:$N$4,12,FALSE())</f>
        <v/>
      </c>
      <c r="J351">
        <f>IF(G351="","",H351-G351)</f>
        <v/>
      </c>
      <c r="K351">
        <f>IF(G351="","",IF(VLOOKUP(C351,Recipes!$A$2:$N$4,4,FALSE())=0,-1E+300,-0.5*((J351-Components!$D$2)/Components!$E$2)^2))</f>
        <v/>
      </c>
      <c r="L351">
        <f>IF(G351="","",IF(VLOOKUP(C351,Recipes!$A$2:$N$4,5,FALSE())=0,-1E+300,-0.5*((J351-Components!$D$3)/Components!$E$3)^2))</f>
        <v/>
      </c>
      <c r="M351">
        <f>IF(G351="","",IF(VLOOKUP(C351,Recipes!$A$2:$N$4,6,FALSE())=0,-1E+300,-0.5*((J351-Components!$D$4)/Components!$E$4)^2))</f>
        <v/>
      </c>
      <c r="N351">
        <f>IF(G351="","",IF(VLOOKUP(C351,Recipes!$A$2:$N$4,7,FALSE())=0,-1E+300,-0.5*((J351-Components!$D$5)/Components!$E$5)^2))</f>
        <v/>
      </c>
      <c r="O351">
        <f>IF(G351="","",IF(VLOOKUP(C351,Recipes!$A$2:$N$4,8,FALSE())=0,-1E+300,-0.5*((J351-Components!$D$6)/Components!$E$6)^2))</f>
        <v/>
      </c>
      <c r="P351">
        <f>IF(G351="","",IF(VLOOKUP(C351,Recipes!$A$2:$N$4,9,FALSE())=0,-1E+300,-0.5*((J351-Components!$D$7)/Components!$E$7)^2))</f>
        <v/>
      </c>
      <c r="Q351">
        <f>IF(G351="","",EXP(LARGE(K351:P351,1)-MAX(K351:P351))/(EXP(K351-MAX(K351:P351))+EXP(L351-MAX(K351:P351))+EXP(M351-MAX(K351:P351))+EXP(N351-MAX(K351:P351))+EXP(O351-MAX(K351:P351))+EXP(P351-MAX(K351:P351))))</f>
        <v/>
      </c>
      <c r="R351">
        <f>IF(G351="","",EXP(LARGE(K351:P351,2)-MAX(K351:P351))/(EXP(K351-MAX(K351:P351))+EXP(L351-MAX(K351:P351))+EXP(M351-MAX(K351:P351))+EXP(N351-MAX(K351:P351))+EXP(O351-MAX(K351:P351))+EXP(P351-MAX(K351:P351))))</f>
        <v/>
      </c>
      <c r="S351">
        <f>IF(G351="","",Q351-R351)</f>
        <v/>
      </c>
      <c r="T351">
        <f>IF(G351="","",IF(ABS(G351-H351)&lt;=$B$6*I351,"OK","NG"))</f>
        <v/>
      </c>
      <c r="U351">
        <f>IF(T351="","",IF(T351=D351,1,0))</f>
        <v/>
      </c>
      <c r="V351">
        <f>IF(G351="","",IF(T351="OK","NONE",INDEX({"S1","S2","W1","W2","N1","N2"},MATCH(MAX(K351:P351),K351:P351,0))))</f>
        <v/>
      </c>
      <c r="W351">
        <f>IF(G351="","",IF(V351=E351,1,0))</f>
        <v/>
      </c>
      <c r="X351">
        <f>IF(G351="","",IF(AND(T351="NG",S351&lt;$B$7),"AMBIGUOUS","CONFIDENT"))</f>
        <v/>
      </c>
    </row>
    <row r="352">
      <c r="A352">
        <f>'Runs Z score'!A345</f>
        <v/>
      </c>
      <c r="B352">
        <f>'Runs Z score'!B345</f>
        <v/>
      </c>
      <c r="C352">
        <f>'Runs Z score'!C345</f>
        <v/>
      </c>
      <c r="D352">
        <f>'Runs Z score'!D345</f>
        <v/>
      </c>
      <c r="E352">
        <f>'Runs Z score'!E345</f>
        <v/>
      </c>
      <c r="F352">
        <f>'Runs Z score'!F345</f>
        <v/>
      </c>
      <c r="G352">
        <f>'Runs Z score'!G345</f>
        <v/>
      </c>
      <c r="H352">
        <f>VLOOKUP(C352,Recipes!$A$2:$N$4,10,FALSE())</f>
        <v/>
      </c>
      <c r="I352">
        <f>VLOOKUP(C352,Recipes!$A$2:$N$4,12,FALSE())</f>
        <v/>
      </c>
      <c r="J352">
        <f>IF(G352="","",H352-G352)</f>
        <v/>
      </c>
      <c r="K352">
        <f>IF(G352="","",IF(VLOOKUP(C352,Recipes!$A$2:$N$4,4,FALSE())=0,-1E+300,-0.5*((J352-Components!$D$2)/Components!$E$2)^2))</f>
        <v/>
      </c>
      <c r="L352">
        <f>IF(G352="","",IF(VLOOKUP(C352,Recipes!$A$2:$N$4,5,FALSE())=0,-1E+300,-0.5*((J352-Components!$D$3)/Components!$E$3)^2))</f>
        <v/>
      </c>
      <c r="M352">
        <f>IF(G352="","",IF(VLOOKUP(C352,Recipes!$A$2:$N$4,6,FALSE())=0,-1E+300,-0.5*((J352-Components!$D$4)/Components!$E$4)^2))</f>
        <v/>
      </c>
      <c r="N352">
        <f>IF(G352="","",IF(VLOOKUP(C352,Recipes!$A$2:$N$4,7,FALSE())=0,-1E+300,-0.5*((J352-Components!$D$5)/Components!$E$5)^2))</f>
        <v/>
      </c>
      <c r="O352">
        <f>IF(G352="","",IF(VLOOKUP(C352,Recipes!$A$2:$N$4,8,FALSE())=0,-1E+300,-0.5*((J352-Components!$D$6)/Components!$E$6)^2))</f>
        <v/>
      </c>
      <c r="P352">
        <f>IF(G352="","",IF(VLOOKUP(C352,Recipes!$A$2:$N$4,9,FALSE())=0,-1E+300,-0.5*((J352-Components!$D$7)/Components!$E$7)^2))</f>
        <v/>
      </c>
      <c r="Q352">
        <f>IF(G352="","",EXP(LARGE(K352:P352,1)-MAX(K352:P352))/(EXP(K352-MAX(K352:P352))+EXP(L352-MAX(K352:P352))+EXP(M352-MAX(K352:P352))+EXP(N352-MAX(K352:P352))+EXP(O352-MAX(K352:P352))+EXP(P352-MAX(K352:P352))))</f>
        <v/>
      </c>
      <c r="R352">
        <f>IF(G352="","",EXP(LARGE(K352:P352,2)-MAX(K352:P352))/(EXP(K352-MAX(K352:P352))+EXP(L352-MAX(K352:P352))+EXP(M352-MAX(K352:P352))+EXP(N352-MAX(K352:P352))+EXP(O352-MAX(K352:P352))+EXP(P352-MAX(K352:P352))))</f>
        <v/>
      </c>
      <c r="S352">
        <f>IF(G352="","",Q352-R352)</f>
        <v/>
      </c>
      <c r="T352">
        <f>IF(G352="","",IF(ABS(G352-H352)&lt;=$B$6*I352,"OK","NG"))</f>
        <v/>
      </c>
      <c r="U352">
        <f>IF(T352="","",IF(T352=D352,1,0))</f>
        <v/>
      </c>
      <c r="V352">
        <f>IF(G352="","",IF(T352="OK","NONE",INDEX({"S1","S2","W1","W2","N1","N2"},MATCH(MAX(K352:P352),K352:P352,0))))</f>
        <v/>
      </c>
      <c r="W352">
        <f>IF(G352="","",IF(V352=E352,1,0))</f>
        <v/>
      </c>
      <c r="X352">
        <f>IF(G352="","",IF(AND(T352="NG",S352&lt;$B$7),"AMBIGUOUS","CONFIDENT"))</f>
        <v/>
      </c>
    </row>
    <row r="353">
      <c r="A353">
        <f>'Runs Z score'!A346</f>
        <v/>
      </c>
      <c r="B353">
        <f>'Runs Z score'!B346</f>
        <v/>
      </c>
      <c r="C353">
        <f>'Runs Z score'!C346</f>
        <v/>
      </c>
      <c r="D353">
        <f>'Runs Z score'!D346</f>
        <v/>
      </c>
      <c r="E353">
        <f>'Runs Z score'!E346</f>
        <v/>
      </c>
      <c r="F353">
        <f>'Runs Z score'!F346</f>
        <v/>
      </c>
      <c r="G353">
        <f>'Runs Z score'!G346</f>
        <v/>
      </c>
      <c r="H353">
        <f>VLOOKUP(C353,Recipes!$A$2:$N$4,10,FALSE())</f>
        <v/>
      </c>
      <c r="I353">
        <f>VLOOKUP(C353,Recipes!$A$2:$N$4,12,FALSE())</f>
        <v/>
      </c>
      <c r="J353">
        <f>IF(G353="","",H353-G353)</f>
        <v/>
      </c>
      <c r="K353">
        <f>IF(G353="","",IF(VLOOKUP(C353,Recipes!$A$2:$N$4,4,FALSE())=0,-1E+300,-0.5*((J353-Components!$D$2)/Components!$E$2)^2))</f>
        <v/>
      </c>
      <c r="L353">
        <f>IF(G353="","",IF(VLOOKUP(C353,Recipes!$A$2:$N$4,5,FALSE())=0,-1E+300,-0.5*((J353-Components!$D$3)/Components!$E$3)^2))</f>
        <v/>
      </c>
      <c r="M353">
        <f>IF(G353="","",IF(VLOOKUP(C353,Recipes!$A$2:$N$4,6,FALSE())=0,-1E+300,-0.5*((J353-Components!$D$4)/Components!$E$4)^2))</f>
        <v/>
      </c>
      <c r="N353">
        <f>IF(G353="","",IF(VLOOKUP(C353,Recipes!$A$2:$N$4,7,FALSE())=0,-1E+300,-0.5*((J353-Components!$D$5)/Components!$E$5)^2))</f>
        <v/>
      </c>
      <c r="O353">
        <f>IF(G353="","",IF(VLOOKUP(C353,Recipes!$A$2:$N$4,8,FALSE())=0,-1E+300,-0.5*((J353-Components!$D$6)/Components!$E$6)^2))</f>
        <v/>
      </c>
      <c r="P353">
        <f>IF(G353="","",IF(VLOOKUP(C353,Recipes!$A$2:$N$4,9,FALSE())=0,-1E+300,-0.5*((J353-Components!$D$7)/Components!$E$7)^2))</f>
        <v/>
      </c>
      <c r="Q353">
        <f>IF(G353="","",EXP(LARGE(K353:P353,1)-MAX(K353:P353))/(EXP(K353-MAX(K353:P353))+EXP(L353-MAX(K353:P353))+EXP(M353-MAX(K353:P353))+EXP(N353-MAX(K353:P353))+EXP(O353-MAX(K353:P353))+EXP(P353-MAX(K353:P353))))</f>
        <v/>
      </c>
      <c r="R353">
        <f>IF(G353="","",EXP(LARGE(K353:P353,2)-MAX(K353:P353))/(EXP(K353-MAX(K353:P353))+EXP(L353-MAX(K353:P353))+EXP(M353-MAX(K353:P353))+EXP(N353-MAX(K353:P353))+EXP(O353-MAX(K353:P353))+EXP(P353-MAX(K353:P353))))</f>
        <v/>
      </c>
      <c r="S353">
        <f>IF(G353="","",Q353-R353)</f>
        <v/>
      </c>
      <c r="T353">
        <f>IF(G353="","",IF(ABS(G353-H353)&lt;=$B$6*I353,"OK","NG"))</f>
        <v/>
      </c>
      <c r="U353">
        <f>IF(T353="","",IF(T353=D353,1,0))</f>
        <v/>
      </c>
      <c r="V353">
        <f>IF(G353="","",IF(T353="OK","NONE",INDEX({"S1","S2","W1","W2","N1","N2"},MATCH(MAX(K353:P353),K353:P353,0))))</f>
        <v/>
      </c>
      <c r="W353">
        <f>IF(G353="","",IF(V353=E353,1,0))</f>
        <v/>
      </c>
      <c r="X353">
        <f>IF(G353="","",IF(AND(T353="NG",S353&lt;$B$7),"AMBIGUOUS","CONFIDENT"))</f>
        <v/>
      </c>
    </row>
    <row r="354">
      <c r="A354">
        <f>'Runs Z score'!A347</f>
        <v/>
      </c>
      <c r="B354">
        <f>'Runs Z score'!B347</f>
        <v/>
      </c>
      <c r="C354">
        <f>'Runs Z score'!C347</f>
        <v/>
      </c>
      <c r="D354">
        <f>'Runs Z score'!D347</f>
        <v/>
      </c>
      <c r="E354">
        <f>'Runs Z score'!E347</f>
        <v/>
      </c>
      <c r="F354">
        <f>'Runs Z score'!F347</f>
        <v/>
      </c>
      <c r="G354">
        <f>'Runs Z score'!G347</f>
        <v/>
      </c>
      <c r="H354">
        <f>VLOOKUP(C354,Recipes!$A$2:$N$4,10,FALSE())</f>
        <v/>
      </c>
      <c r="I354">
        <f>VLOOKUP(C354,Recipes!$A$2:$N$4,12,FALSE())</f>
        <v/>
      </c>
      <c r="J354">
        <f>IF(G354="","",H354-G354)</f>
        <v/>
      </c>
      <c r="K354">
        <f>IF(G354="","",IF(VLOOKUP(C354,Recipes!$A$2:$N$4,4,FALSE())=0,-1E+300,-0.5*((J354-Components!$D$2)/Components!$E$2)^2))</f>
        <v/>
      </c>
      <c r="L354">
        <f>IF(G354="","",IF(VLOOKUP(C354,Recipes!$A$2:$N$4,5,FALSE())=0,-1E+300,-0.5*((J354-Components!$D$3)/Components!$E$3)^2))</f>
        <v/>
      </c>
      <c r="M354">
        <f>IF(G354="","",IF(VLOOKUP(C354,Recipes!$A$2:$N$4,6,FALSE())=0,-1E+300,-0.5*((J354-Components!$D$4)/Components!$E$4)^2))</f>
        <v/>
      </c>
      <c r="N354">
        <f>IF(G354="","",IF(VLOOKUP(C354,Recipes!$A$2:$N$4,7,FALSE())=0,-1E+300,-0.5*((J354-Components!$D$5)/Components!$E$5)^2))</f>
        <v/>
      </c>
      <c r="O354">
        <f>IF(G354="","",IF(VLOOKUP(C354,Recipes!$A$2:$N$4,8,FALSE())=0,-1E+300,-0.5*((J354-Components!$D$6)/Components!$E$6)^2))</f>
        <v/>
      </c>
      <c r="P354">
        <f>IF(G354="","",IF(VLOOKUP(C354,Recipes!$A$2:$N$4,9,FALSE())=0,-1E+300,-0.5*((J354-Components!$D$7)/Components!$E$7)^2))</f>
        <v/>
      </c>
      <c r="Q354">
        <f>IF(G354="","",EXP(LARGE(K354:P354,1)-MAX(K354:P354))/(EXP(K354-MAX(K354:P354))+EXP(L354-MAX(K354:P354))+EXP(M354-MAX(K354:P354))+EXP(N354-MAX(K354:P354))+EXP(O354-MAX(K354:P354))+EXP(P354-MAX(K354:P354))))</f>
        <v/>
      </c>
      <c r="R354">
        <f>IF(G354="","",EXP(LARGE(K354:P354,2)-MAX(K354:P354))/(EXP(K354-MAX(K354:P354))+EXP(L354-MAX(K354:P354))+EXP(M354-MAX(K354:P354))+EXP(N354-MAX(K354:P354))+EXP(O354-MAX(K354:P354))+EXP(P354-MAX(K354:P354))))</f>
        <v/>
      </c>
      <c r="S354">
        <f>IF(G354="","",Q354-R354)</f>
        <v/>
      </c>
      <c r="T354">
        <f>IF(G354="","",IF(ABS(G354-H354)&lt;=$B$6*I354,"OK","NG"))</f>
        <v/>
      </c>
      <c r="U354">
        <f>IF(T354="","",IF(T354=D354,1,0))</f>
        <v/>
      </c>
      <c r="V354">
        <f>IF(G354="","",IF(T354="OK","NONE",INDEX({"S1","S2","W1","W2","N1","N2"},MATCH(MAX(K354:P354),K354:P354,0))))</f>
        <v/>
      </c>
      <c r="W354">
        <f>IF(G354="","",IF(V354=E354,1,0))</f>
        <v/>
      </c>
      <c r="X354">
        <f>IF(G354="","",IF(AND(T354="NG",S354&lt;$B$7),"AMBIGUOUS","CONFIDENT"))</f>
        <v/>
      </c>
    </row>
    <row r="355">
      <c r="A355">
        <f>'Runs Z score'!A348</f>
        <v/>
      </c>
      <c r="B355">
        <f>'Runs Z score'!B348</f>
        <v/>
      </c>
      <c r="C355">
        <f>'Runs Z score'!C348</f>
        <v/>
      </c>
      <c r="D355">
        <f>'Runs Z score'!D348</f>
        <v/>
      </c>
      <c r="E355">
        <f>'Runs Z score'!E348</f>
        <v/>
      </c>
      <c r="F355">
        <f>'Runs Z score'!F348</f>
        <v/>
      </c>
      <c r="G355">
        <f>'Runs Z score'!G348</f>
        <v/>
      </c>
      <c r="H355">
        <f>VLOOKUP(C355,Recipes!$A$2:$N$4,10,FALSE())</f>
        <v/>
      </c>
      <c r="I355">
        <f>VLOOKUP(C355,Recipes!$A$2:$N$4,12,FALSE())</f>
        <v/>
      </c>
      <c r="J355">
        <f>IF(G355="","",H355-G355)</f>
        <v/>
      </c>
      <c r="K355">
        <f>IF(G355="","",IF(VLOOKUP(C355,Recipes!$A$2:$N$4,4,FALSE())=0,-1E+300,-0.5*((J355-Components!$D$2)/Components!$E$2)^2))</f>
        <v/>
      </c>
      <c r="L355">
        <f>IF(G355="","",IF(VLOOKUP(C355,Recipes!$A$2:$N$4,5,FALSE())=0,-1E+300,-0.5*((J355-Components!$D$3)/Components!$E$3)^2))</f>
        <v/>
      </c>
      <c r="M355">
        <f>IF(G355="","",IF(VLOOKUP(C355,Recipes!$A$2:$N$4,6,FALSE())=0,-1E+300,-0.5*((J355-Components!$D$4)/Components!$E$4)^2))</f>
        <v/>
      </c>
      <c r="N355">
        <f>IF(G355="","",IF(VLOOKUP(C355,Recipes!$A$2:$N$4,7,FALSE())=0,-1E+300,-0.5*((J355-Components!$D$5)/Components!$E$5)^2))</f>
        <v/>
      </c>
      <c r="O355">
        <f>IF(G355="","",IF(VLOOKUP(C355,Recipes!$A$2:$N$4,8,FALSE())=0,-1E+300,-0.5*((J355-Components!$D$6)/Components!$E$6)^2))</f>
        <v/>
      </c>
      <c r="P355">
        <f>IF(G355="","",IF(VLOOKUP(C355,Recipes!$A$2:$N$4,9,FALSE())=0,-1E+300,-0.5*((J355-Components!$D$7)/Components!$E$7)^2))</f>
        <v/>
      </c>
      <c r="Q355">
        <f>IF(G355="","",EXP(LARGE(K355:P355,1)-MAX(K355:P355))/(EXP(K355-MAX(K355:P355))+EXP(L355-MAX(K355:P355))+EXP(M355-MAX(K355:P355))+EXP(N355-MAX(K355:P355))+EXP(O355-MAX(K355:P355))+EXP(P355-MAX(K355:P355))))</f>
        <v/>
      </c>
      <c r="R355">
        <f>IF(G355="","",EXP(LARGE(K355:P355,2)-MAX(K355:P355))/(EXP(K355-MAX(K355:P355))+EXP(L355-MAX(K355:P355))+EXP(M355-MAX(K355:P355))+EXP(N355-MAX(K355:P355))+EXP(O355-MAX(K355:P355))+EXP(P355-MAX(K355:P355))))</f>
        <v/>
      </c>
      <c r="S355">
        <f>IF(G355="","",Q355-R355)</f>
        <v/>
      </c>
      <c r="T355">
        <f>IF(G355="","",IF(ABS(G355-H355)&lt;=$B$6*I355,"OK","NG"))</f>
        <v/>
      </c>
      <c r="U355">
        <f>IF(T355="","",IF(T355=D355,1,0))</f>
        <v/>
      </c>
      <c r="V355">
        <f>IF(G355="","",IF(T355="OK","NONE",INDEX({"S1","S2","W1","W2","N1","N2"},MATCH(MAX(K355:P355),K355:P355,0))))</f>
        <v/>
      </c>
      <c r="W355">
        <f>IF(G355="","",IF(V355=E355,1,0))</f>
        <v/>
      </c>
      <c r="X355">
        <f>IF(G355="","",IF(AND(T355="NG",S355&lt;$B$7),"AMBIGUOUS","CONFIDENT"))</f>
        <v/>
      </c>
    </row>
    <row r="356">
      <c r="A356">
        <f>'Runs Z score'!A349</f>
        <v/>
      </c>
      <c r="B356">
        <f>'Runs Z score'!B349</f>
        <v/>
      </c>
      <c r="C356">
        <f>'Runs Z score'!C349</f>
        <v/>
      </c>
      <c r="D356">
        <f>'Runs Z score'!D349</f>
        <v/>
      </c>
      <c r="E356">
        <f>'Runs Z score'!E349</f>
        <v/>
      </c>
      <c r="F356">
        <f>'Runs Z score'!F349</f>
        <v/>
      </c>
      <c r="G356">
        <f>'Runs Z score'!G349</f>
        <v/>
      </c>
      <c r="H356">
        <f>VLOOKUP(C356,Recipes!$A$2:$N$4,10,FALSE())</f>
        <v/>
      </c>
      <c r="I356">
        <f>VLOOKUP(C356,Recipes!$A$2:$N$4,12,FALSE())</f>
        <v/>
      </c>
      <c r="J356">
        <f>IF(G356="","",H356-G356)</f>
        <v/>
      </c>
      <c r="K356">
        <f>IF(G356="","",IF(VLOOKUP(C356,Recipes!$A$2:$N$4,4,FALSE())=0,-1E+300,-0.5*((J356-Components!$D$2)/Components!$E$2)^2))</f>
        <v/>
      </c>
      <c r="L356">
        <f>IF(G356="","",IF(VLOOKUP(C356,Recipes!$A$2:$N$4,5,FALSE())=0,-1E+300,-0.5*((J356-Components!$D$3)/Components!$E$3)^2))</f>
        <v/>
      </c>
      <c r="M356">
        <f>IF(G356="","",IF(VLOOKUP(C356,Recipes!$A$2:$N$4,6,FALSE())=0,-1E+300,-0.5*((J356-Components!$D$4)/Components!$E$4)^2))</f>
        <v/>
      </c>
      <c r="N356">
        <f>IF(G356="","",IF(VLOOKUP(C356,Recipes!$A$2:$N$4,7,FALSE())=0,-1E+300,-0.5*((J356-Components!$D$5)/Components!$E$5)^2))</f>
        <v/>
      </c>
      <c r="O356">
        <f>IF(G356="","",IF(VLOOKUP(C356,Recipes!$A$2:$N$4,8,FALSE())=0,-1E+300,-0.5*((J356-Components!$D$6)/Components!$E$6)^2))</f>
        <v/>
      </c>
      <c r="P356">
        <f>IF(G356="","",IF(VLOOKUP(C356,Recipes!$A$2:$N$4,9,FALSE())=0,-1E+300,-0.5*((J356-Components!$D$7)/Components!$E$7)^2))</f>
        <v/>
      </c>
      <c r="Q356">
        <f>IF(G356="","",EXP(LARGE(K356:P356,1)-MAX(K356:P356))/(EXP(K356-MAX(K356:P356))+EXP(L356-MAX(K356:P356))+EXP(M356-MAX(K356:P356))+EXP(N356-MAX(K356:P356))+EXP(O356-MAX(K356:P356))+EXP(P356-MAX(K356:P356))))</f>
        <v/>
      </c>
      <c r="R356">
        <f>IF(G356="","",EXP(LARGE(K356:P356,2)-MAX(K356:P356))/(EXP(K356-MAX(K356:P356))+EXP(L356-MAX(K356:P356))+EXP(M356-MAX(K356:P356))+EXP(N356-MAX(K356:P356))+EXP(O356-MAX(K356:P356))+EXP(P356-MAX(K356:P356))))</f>
        <v/>
      </c>
      <c r="S356">
        <f>IF(G356="","",Q356-R356)</f>
        <v/>
      </c>
      <c r="T356">
        <f>IF(G356="","",IF(ABS(G356-H356)&lt;=$B$6*I356,"OK","NG"))</f>
        <v/>
      </c>
      <c r="U356">
        <f>IF(T356="","",IF(T356=D356,1,0))</f>
        <v/>
      </c>
      <c r="V356">
        <f>IF(G356="","",IF(T356="OK","NONE",INDEX({"S1","S2","W1","W2","N1","N2"},MATCH(MAX(K356:P356),K356:P356,0))))</f>
        <v/>
      </c>
      <c r="W356">
        <f>IF(G356="","",IF(V356=E356,1,0))</f>
        <v/>
      </c>
      <c r="X356">
        <f>IF(G356="","",IF(AND(T356="NG",S356&lt;$B$7),"AMBIGUOUS","CONFIDENT"))</f>
        <v/>
      </c>
    </row>
    <row r="357">
      <c r="A357">
        <f>'Runs Z score'!A350</f>
        <v/>
      </c>
      <c r="B357">
        <f>'Runs Z score'!B350</f>
        <v/>
      </c>
      <c r="C357">
        <f>'Runs Z score'!C350</f>
        <v/>
      </c>
      <c r="D357">
        <f>'Runs Z score'!D350</f>
        <v/>
      </c>
      <c r="E357">
        <f>'Runs Z score'!E350</f>
        <v/>
      </c>
      <c r="F357">
        <f>'Runs Z score'!F350</f>
        <v/>
      </c>
      <c r="G357">
        <f>'Runs Z score'!G350</f>
        <v/>
      </c>
      <c r="H357">
        <f>VLOOKUP(C357,Recipes!$A$2:$N$4,10,FALSE())</f>
        <v/>
      </c>
      <c r="I357">
        <f>VLOOKUP(C357,Recipes!$A$2:$N$4,12,FALSE())</f>
        <v/>
      </c>
      <c r="J357">
        <f>IF(G357="","",H357-G357)</f>
        <v/>
      </c>
      <c r="K357">
        <f>IF(G357="","",IF(VLOOKUP(C357,Recipes!$A$2:$N$4,4,FALSE())=0,-1E+300,-0.5*((J357-Components!$D$2)/Components!$E$2)^2))</f>
        <v/>
      </c>
      <c r="L357">
        <f>IF(G357="","",IF(VLOOKUP(C357,Recipes!$A$2:$N$4,5,FALSE())=0,-1E+300,-0.5*((J357-Components!$D$3)/Components!$E$3)^2))</f>
        <v/>
      </c>
      <c r="M357">
        <f>IF(G357="","",IF(VLOOKUP(C357,Recipes!$A$2:$N$4,6,FALSE())=0,-1E+300,-0.5*((J357-Components!$D$4)/Components!$E$4)^2))</f>
        <v/>
      </c>
      <c r="N357">
        <f>IF(G357="","",IF(VLOOKUP(C357,Recipes!$A$2:$N$4,7,FALSE())=0,-1E+300,-0.5*((J357-Components!$D$5)/Components!$E$5)^2))</f>
        <v/>
      </c>
      <c r="O357">
        <f>IF(G357="","",IF(VLOOKUP(C357,Recipes!$A$2:$N$4,8,FALSE())=0,-1E+300,-0.5*((J357-Components!$D$6)/Components!$E$6)^2))</f>
        <v/>
      </c>
      <c r="P357">
        <f>IF(G357="","",IF(VLOOKUP(C357,Recipes!$A$2:$N$4,9,FALSE())=0,-1E+300,-0.5*((J357-Components!$D$7)/Components!$E$7)^2))</f>
        <v/>
      </c>
      <c r="Q357">
        <f>IF(G357="","",EXP(LARGE(K357:P357,1)-MAX(K357:P357))/(EXP(K357-MAX(K357:P357))+EXP(L357-MAX(K357:P357))+EXP(M357-MAX(K357:P357))+EXP(N357-MAX(K357:P357))+EXP(O357-MAX(K357:P357))+EXP(P357-MAX(K357:P357))))</f>
        <v/>
      </c>
      <c r="R357">
        <f>IF(G357="","",EXP(LARGE(K357:P357,2)-MAX(K357:P357))/(EXP(K357-MAX(K357:P357))+EXP(L357-MAX(K357:P357))+EXP(M357-MAX(K357:P357))+EXP(N357-MAX(K357:P357))+EXP(O357-MAX(K357:P357))+EXP(P357-MAX(K357:P357))))</f>
        <v/>
      </c>
      <c r="S357">
        <f>IF(G357="","",Q357-R357)</f>
        <v/>
      </c>
      <c r="T357">
        <f>IF(G357="","",IF(ABS(G357-H357)&lt;=$B$6*I357,"OK","NG"))</f>
        <v/>
      </c>
      <c r="U357">
        <f>IF(T357="","",IF(T357=D357,1,0))</f>
        <v/>
      </c>
      <c r="V357">
        <f>IF(G357="","",IF(T357="OK","NONE",INDEX({"S1","S2","W1","W2","N1","N2"},MATCH(MAX(K357:P357),K357:P357,0))))</f>
        <v/>
      </c>
      <c r="W357">
        <f>IF(G357="","",IF(V357=E357,1,0))</f>
        <v/>
      </c>
      <c r="X357">
        <f>IF(G357="","",IF(AND(T357="NG",S357&lt;$B$7),"AMBIGUOUS","CONFIDENT"))</f>
        <v/>
      </c>
    </row>
    <row r="358">
      <c r="A358">
        <f>'Runs Z score'!A351</f>
        <v/>
      </c>
      <c r="B358">
        <f>'Runs Z score'!B351</f>
        <v/>
      </c>
      <c r="C358">
        <f>'Runs Z score'!C351</f>
        <v/>
      </c>
      <c r="D358">
        <f>'Runs Z score'!D351</f>
        <v/>
      </c>
      <c r="E358">
        <f>'Runs Z score'!E351</f>
        <v/>
      </c>
      <c r="F358">
        <f>'Runs Z score'!F351</f>
        <v/>
      </c>
      <c r="G358">
        <f>'Runs Z score'!G351</f>
        <v/>
      </c>
      <c r="H358">
        <f>VLOOKUP(C358,Recipes!$A$2:$N$4,10,FALSE())</f>
        <v/>
      </c>
      <c r="I358">
        <f>VLOOKUP(C358,Recipes!$A$2:$N$4,12,FALSE())</f>
        <v/>
      </c>
      <c r="J358">
        <f>IF(G358="","",H358-G358)</f>
        <v/>
      </c>
      <c r="K358">
        <f>IF(G358="","",IF(VLOOKUP(C358,Recipes!$A$2:$N$4,4,FALSE())=0,-1E+300,-0.5*((J358-Components!$D$2)/Components!$E$2)^2))</f>
        <v/>
      </c>
      <c r="L358">
        <f>IF(G358="","",IF(VLOOKUP(C358,Recipes!$A$2:$N$4,5,FALSE())=0,-1E+300,-0.5*((J358-Components!$D$3)/Components!$E$3)^2))</f>
        <v/>
      </c>
      <c r="M358">
        <f>IF(G358="","",IF(VLOOKUP(C358,Recipes!$A$2:$N$4,6,FALSE())=0,-1E+300,-0.5*((J358-Components!$D$4)/Components!$E$4)^2))</f>
        <v/>
      </c>
      <c r="N358">
        <f>IF(G358="","",IF(VLOOKUP(C358,Recipes!$A$2:$N$4,7,FALSE())=0,-1E+300,-0.5*((J358-Components!$D$5)/Components!$E$5)^2))</f>
        <v/>
      </c>
      <c r="O358">
        <f>IF(G358="","",IF(VLOOKUP(C358,Recipes!$A$2:$N$4,8,FALSE())=0,-1E+300,-0.5*((J358-Components!$D$6)/Components!$E$6)^2))</f>
        <v/>
      </c>
      <c r="P358">
        <f>IF(G358="","",IF(VLOOKUP(C358,Recipes!$A$2:$N$4,9,FALSE())=0,-1E+300,-0.5*((J358-Components!$D$7)/Components!$E$7)^2))</f>
        <v/>
      </c>
      <c r="Q358">
        <f>IF(G358="","",EXP(LARGE(K358:P358,1)-MAX(K358:P358))/(EXP(K358-MAX(K358:P358))+EXP(L358-MAX(K358:P358))+EXP(M358-MAX(K358:P358))+EXP(N358-MAX(K358:P358))+EXP(O358-MAX(K358:P358))+EXP(P358-MAX(K358:P358))))</f>
        <v/>
      </c>
      <c r="R358">
        <f>IF(G358="","",EXP(LARGE(K358:P358,2)-MAX(K358:P358))/(EXP(K358-MAX(K358:P358))+EXP(L358-MAX(K358:P358))+EXP(M358-MAX(K358:P358))+EXP(N358-MAX(K358:P358))+EXP(O358-MAX(K358:P358))+EXP(P358-MAX(K358:P358))))</f>
        <v/>
      </c>
      <c r="S358">
        <f>IF(G358="","",Q358-R358)</f>
        <v/>
      </c>
      <c r="T358">
        <f>IF(G358="","",IF(ABS(G358-H358)&lt;=$B$6*I358,"OK","NG"))</f>
        <v/>
      </c>
      <c r="U358">
        <f>IF(T358="","",IF(T358=D358,1,0))</f>
        <v/>
      </c>
      <c r="V358">
        <f>IF(G358="","",IF(T358="OK","NONE",INDEX({"S1","S2","W1","W2","N1","N2"},MATCH(MAX(K358:P358),K358:P358,0))))</f>
        <v/>
      </c>
      <c r="W358">
        <f>IF(G358="","",IF(V358=E358,1,0))</f>
        <v/>
      </c>
      <c r="X358">
        <f>IF(G358="","",IF(AND(T358="NG",S358&lt;$B$7),"AMBIGUOUS","CONFIDENT"))</f>
        <v/>
      </c>
    </row>
    <row r="359">
      <c r="A359">
        <f>'Runs Z score'!A352</f>
        <v/>
      </c>
      <c r="B359">
        <f>'Runs Z score'!B352</f>
        <v/>
      </c>
      <c r="C359">
        <f>'Runs Z score'!C352</f>
        <v/>
      </c>
      <c r="D359">
        <f>'Runs Z score'!D352</f>
        <v/>
      </c>
      <c r="E359">
        <f>'Runs Z score'!E352</f>
        <v/>
      </c>
      <c r="F359">
        <f>'Runs Z score'!F352</f>
        <v/>
      </c>
      <c r="G359">
        <f>'Runs Z score'!G352</f>
        <v/>
      </c>
      <c r="H359">
        <f>VLOOKUP(C359,Recipes!$A$2:$N$4,10,FALSE())</f>
        <v/>
      </c>
      <c r="I359">
        <f>VLOOKUP(C359,Recipes!$A$2:$N$4,12,FALSE())</f>
        <v/>
      </c>
      <c r="J359">
        <f>IF(G359="","",H359-G359)</f>
        <v/>
      </c>
      <c r="K359">
        <f>IF(G359="","",IF(VLOOKUP(C359,Recipes!$A$2:$N$4,4,FALSE())=0,-1E+300,-0.5*((J359-Components!$D$2)/Components!$E$2)^2))</f>
        <v/>
      </c>
      <c r="L359">
        <f>IF(G359="","",IF(VLOOKUP(C359,Recipes!$A$2:$N$4,5,FALSE())=0,-1E+300,-0.5*((J359-Components!$D$3)/Components!$E$3)^2))</f>
        <v/>
      </c>
      <c r="M359">
        <f>IF(G359="","",IF(VLOOKUP(C359,Recipes!$A$2:$N$4,6,FALSE())=0,-1E+300,-0.5*((J359-Components!$D$4)/Components!$E$4)^2))</f>
        <v/>
      </c>
      <c r="N359">
        <f>IF(G359="","",IF(VLOOKUP(C359,Recipes!$A$2:$N$4,7,FALSE())=0,-1E+300,-0.5*((J359-Components!$D$5)/Components!$E$5)^2))</f>
        <v/>
      </c>
      <c r="O359">
        <f>IF(G359="","",IF(VLOOKUP(C359,Recipes!$A$2:$N$4,8,FALSE())=0,-1E+300,-0.5*((J359-Components!$D$6)/Components!$E$6)^2))</f>
        <v/>
      </c>
      <c r="P359">
        <f>IF(G359="","",IF(VLOOKUP(C359,Recipes!$A$2:$N$4,9,FALSE())=0,-1E+300,-0.5*((J359-Components!$D$7)/Components!$E$7)^2))</f>
        <v/>
      </c>
      <c r="Q359">
        <f>IF(G359="","",EXP(LARGE(K359:P359,1)-MAX(K359:P359))/(EXP(K359-MAX(K359:P359))+EXP(L359-MAX(K359:P359))+EXP(M359-MAX(K359:P359))+EXP(N359-MAX(K359:P359))+EXP(O359-MAX(K359:P359))+EXP(P359-MAX(K359:P359))))</f>
        <v/>
      </c>
      <c r="R359">
        <f>IF(G359="","",EXP(LARGE(K359:P359,2)-MAX(K359:P359))/(EXP(K359-MAX(K359:P359))+EXP(L359-MAX(K359:P359))+EXP(M359-MAX(K359:P359))+EXP(N359-MAX(K359:P359))+EXP(O359-MAX(K359:P359))+EXP(P359-MAX(K359:P359))))</f>
        <v/>
      </c>
      <c r="S359">
        <f>IF(G359="","",Q359-R359)</f>
        <v/>
      </c>
      <c r="T359">
        <f>IF(G359="","",IF(ABS(G359-H359)&lt;=$B$6*I359,"OK","NG"))</f>
        <v/>
      </c>
      <c r="U359">
        <f>IF(T359="","",IF(T359=D359,1,0))</f>
        <v/>
      </c>
      <c r="V359">
        <f>IF(G359="","",IF(T359="OK","NONE",INDEX({"S1","S2","W1","W2","N1","N2"},MATCH(MAX(K359:P359),K359:P359,0))))</f>
        <v/>
      </c>
      <c r="W359">
        <f>IF(G359="","",IF(V359=E359,1,0))</f>
        <v/>
      </c>
      <c r="X359">
        <f>IF(G359="","",IF(AND(T359="NG",S359&lt;$B$7),"AMBIGUOUS","CONFIDENT"))</f>
        <v/>
      </c>
    </row>
    <row r="360">
      <c r="A360">
        <f>'Runs Z score'!A353</f>
        <v/>
      </c>
      <c r="B360">
        <f>'Runs Z score'!B353</f>
        <v/>
      </c>
      <c r="C360">
        <f>'Runs Z score'!C353</f>
        <v/>
      </c>
      <c r="D360">
        <f>'Runs Z score'!D353</f>
        <v/>
      </c>
      <c r="E360">
        <f>'Runs Z score'!E353</f>
        <v/>
      </c>
      <c r="F360">
        <f>'Runs Z score'!F353</f>
        <v/>
      </c>
      <c r="G360">
        <f>'Runs Z score'!G353</f>
        <v/>
      </c>
      <c r="H360">
        <f>VLOOKUP(C360,Recipes!$A$2:$N$4,10,FALSE())</f>
        <v/>
      </c>
      <c r="I360">
        <f>VLOOKUP(C360,Recipes!$A$2:$N$4,12,FALSE())</f>
        <v/>
      </c>
      <c r="J360">
        <f>IF(G360="","",H360-G360)</f>
        <v/>
      </c>
      <c r="K360">
        <f>IF(G360="","",IF(VLOOKUP(C360,Recipes!$A$2:$N$4,4,FALSE())=0,-1E+300,-0.5*((J360-Components!$D$2)/Components!$E$2)^2))</f>
        <v/>
      </c>
      <c r="L360">
        <f>IF(G360="","",IF(VLOOKUP(C360,Recipes!$A$2:$N$4,5,FALSE())=0,-1E+300,-0.5*((J360-Components!$D$3)/Components!$E$3)^2))</f>
        <v/>
      </c>
      <c r="M360">
        <f>IF(G360="","",IF(VLOOKUP(C360,Recipes!$A$2:$N$4,6,FALSE())=0,-1E+300,-0.5*((J360-Components!$D$4)/Components!$E$4)^2))</f>
        <v/>
      </c>
      <c r="N360">
        <f>IF(G360="","",IF(VLOOKUP(C360,Recipes!$A$2:$N$4,7,FALSE())=0,-1E+300,-0.5*((J360-Components!$D$5)/Components!$E$5)^2))</f>
        <v/>
      </c>
      <c r="O360">
        <f>IF(G360="","",IF(VLOOKUP(C360,Recipes!$A$2:$N$4,8,FALSE())=0,-1E+300,-0.5*((J360-Components!$D$6)/Components!$E$6)^2))</f>
        <v/>
      </c>
      <c r="P360">
        <f>IF(G360="","",IF(VLOOKUP(C360,Recipes!$A$2:$N$4,9,FALSE())=0,-1E+300,-0.5*((J360-Components!$D$7)/Components!$E$7)^2))</f>
        <v/>
      </c>
      <c r="Q360">
        <f>IF(G360="","",EXP(LARGE(K360:P360,1)-MAX(K360:P360))/(EXP(K360-MAX(K360:P360))+EXP(L360-MAX(K360:P360))+EXP(M360-MAX(K360:P360))+EXP(N360-MAX(K360:P360))+EXP(O360-MAX(K360:P360))+EXP(P360-MAX(K360:P360))))</f>
        <v/>
      </c>
      <c r="R360">
        <f>IF(G360="","",EXP(LARGE(K360:P360,2)-MAX(K360:P360))/(EXP(K360-MAX(K360:P360))+EXP(L360-MAX(K360:P360))+EXP(M360-MAX(K360:P360))+EXP(N360-MAX(K360:P360))+EXP(O360-MAX(K360:P360))+EXP(P360-MAX(K360:P360))))</f>
        <v/>
      </c>
      <c r="S360">
        <f>IF(G360="","",Q360-R360)</f>
        <v/>
      </c>
      <c r="T360">
        <f>IF(G360="","",IF(ABS(G360-H360)&lt;=$B$6*I360,"OK","NG"))</f>
        <v/>
      </c>
      <c r="U360">
        <f>IF(T360="","",IF(T360=D360,1,0))</f>
        <v/>
      </c>
      <c r="V360">
        <f>IF(G360="","",IF(T360="OK","NONE",INDEX({"S1","S2","W1","W2","N1","N2"},MATCH(MAX(K360:P360),K360:P360,0))))</f>
        <v/>
      </c>
      <c r="W360">
        <f>IF(G360="","",IF(V360=E360,1,0))</f>
        <v/>
      </c>
      <c r="X360">
        <f>IF(G360="","",IF(AND(T360="NG",S360&lt;$B$7),"AMBIGUOUS","CONFIDENT"))</f>
        <v/>
      </c>
    </row>
    <row r="361">
      <c r="A361">
        <f>'Runs Z score'!A354</f>
        <v/>
      </c>
      <c r="B361">
        <f>'Runs Z score'!B354</f>
        <v/>
      </c>
      <c r="C361">
        <f>'Runs Z score'!C354</f>
        <v/>
      </c>
      <c r="D361">
        <f>'Runs Z score'!D354</f>
        <v/>
      </c>
      <c r="E361">
        <f>'Runs Z score'!E354</f>
        <v/>
      </c>
      <c r="F361">
        <f>'Runs Z score'!F354</f>
        <v/>
      </c>
      <c r="G361">
        <f>'Runs Z score'!G354</f>
        <v/>
      </c>
      <c r="H361">
        <f>VLOOKUP(C361,Recipes!$A$2:$N$4,10,FALSE())</f>
        <v/>
      </c>
      <c r="I361">
        <f>VLOOKUP(C361,Recipes!$A$2:$N$4,12,FALSE())</f>
        <v/>
      </c>
      <c r="J361">
        <f>IF(G361="","",H361-G361)</f>
        <v/>
      </c>
      <c r="K361">
        <f>IF(G361="","",IF(VLOOKUP(C361,Recipes!$A$2:$N$4,4,FALSE())=0,-1E+300,-0.5*((J361-Components!$D$2)/Components!$E$2)^2))</f>
        <v/>
      </c>
      <c r="L361">
        <f>IF(G361="","",IF(VLOOKUP(C361,Recipes!$A$2:$N$4,5,FALSE())=0,-1E+300,-0.5*((J361-Components!$D$3)/Components!$E$3)^2))</f>
        <v/>
      </c>
      <c r="M361">
        <f>IF(G361="","",IF(VLOOKUP(C361,Recipes!$A$2:$N$4,6,FALSE())=0,-1E+300,-0.5*((J361-Components!$D$4)/Components!$E$4)^2))</f>
        <v/>
      </c>
      <c r="N361">
        <f>IF(G361="","",IF(VLOOKUP(C361,Recipes!$A$2:$N$4,7,FALSE())=0,-1E+300,-0.5*((J361-Components!$D$5)/Components!$E$5)^2))</f>
        <v/>
      </c>
      <c r="O361">
        <f>IF(G361="","",IF(VLOOKUP(C361,Recipes!$A$2:$N$4,8,FALSE())=0,-1E+300,-0.5*((J361-Components!$D$6)/Components!$E$6)^2))</f>
        <v/>
      </c>
      <c r="P361">
        <f>IF(G361="","",IF(VLOOKUP(C361,Recipes!$A$2:$N$4,9,FALSE())=0,-1E+300,-0.5*((J361-Components!$D$7)/Components!$E$7)^2))</f>
        <v/>
      </c>
      <c r="Q361">
        <f>IF(G361="","",EXP(LARGE(K361:P361,1)-MAX(K361:P361))/(EXP(K361-MAX(K361:P361))+EXP(L361-MAX(K361:P361))+EXP(M361-MAX(K361:P361))+EXP(N361-MAX(K361:P361))+EXP(O361-MAX(K361:P361))+EXP(P361-MAX(K361:P361))))</f>
        <v/>
      </c>
      <c r="R361">
        <f>IF(G361="","",EXP(LARGE(K361:P361,2)-MAX(K361:P361))/(EXP(K361-MAX(K361:P361))+EXP(L361-MAX(K361:P361))+EXP(M361-MAX(K361:P361))+EXP(N361-MAX(K361:P361))+EXP(O361-MAX(K361:P361))+EXP(P361-MAX(K361:P361))))</f>
        <v/>
      </c>
      <c r="S361">
        <f>IF(G361="","",Q361-R361)</f>
        <v/>
      </c>
      <c r="T361">
        <f>IF(G361="","",IF(ABS(G361-H361)&lt;=$B$6*I361,"OK","NG"))</f>
        <v/>
      </c>
      <c r="U361">
        <f>IF(T361="","",IF(T361=D361,1,0))</f>
        <v/>
      </c>
      <c r="V361">
        <f>IF(G361="","",IF(T361="OK","NONE",INDEX({"S1","S2","W1","W2","N1","N2"},MATCH(MAX(K361:P361),K361:P361,0))))</f>
        <v/>
      </c>
      <c r="W361">
        <f>IF(G361="","",IF(V361=E361,1,0))</f>
        <v/>
      </c>
      <c r="X361">
        <f>IF(G361="","",IF(AND(T361="NG",S361&lt;$B$7),"AMBIGUOUS","CONFIDENT"))</f>
        <v/>
      </c>
    </row>
    <row r="362">
      <c r="A362">
        <f>'Runs Z score'!A355</f>
        <v/>
      </c>
      <c r="B362">
        <f>'Runs Z score'!B355</f>
        <v/>
      </c>
      <c r="C362">
        <f>'Runs Z score'!C355</f>
        <v/>
      </c>
      <c r="D362">
        <f>'Runs Z score'!D355</f>
        <v/>
      </c>
      <c r="E362">
        <f>'Runs Z score'!E355</f>
        <v/>
      </c>
      <c r="F362">
        <f>'Runs Z score'!F355</f>
        <v/>
      </c>
      <c r="G362">
        <f>'Runs Z score'!G355</f>
        <v/>
      </c>
      <c r="H362">
        <f>VLOOKUP(C362,Recipes!$A$2:$N$4,10,FALSE())</f>
        <v/>
      </c>
      <c r="I362">
        <f>VLOOKUP(C362,Recipes!$A$2:$N$4,12,FALSE())</f>
        <v/>
      </c>
      <c r="J362">
        <f>IF(G362="","",H362-G362)</f>
        <v/>
      </c>
      <c r="K362">
        <f>IF(G362="","",IF(VLOOKUP(C362,Recipes!$A$2:$N$4,4,FALSE())=0,-1E+300,-0.5*((J362-Components!$D$2)/Components!$E$2)^2))</f>
        <v/>
      </c>
      <c r="L362">
        <f>IF(G362="","",IF(VLOOKUP(C362,Recipes!$A$2:$N$4,5,FALSE())=0,-1E+300,-0.5*((J362-Components!$D$3)/Components!$E$3)^2))</f>
        <v/>
      </c>
      <c r="M362">
        <f>IF(G362="","",IF(VLOOKUP(C362,Recipes!$A$2:$N$4,6,FALSE())=0,-1E+300,-0.5*((J362-Components!$D$4)/Components!$E$4)^2))</f>
        <v/>
      </c>
      <c r="N362">
        <f>IF(G362="","",IF(VLOOKUP(C362,Recipes!$A$2:$N$4,7,FALSE())=0,-1E+300,-0.5*((J362-Components!$D$5)/Components!$E$5)^2))</f>
        <v/>
      </c>
      <c r="O362">
        <f>IF(G362="","",IF(VLOOKUP(C362,Recipes!$A$2:$N$4,8,FALSE())=0,-1E+300,-0.5*((J362-Components!$D$6)/Components!$E$6)^2))</f>
        <v/>
      </c>
      <c r="P362">
        <f>IF(G362="","",IF(VLOOKUP(C362,Recipes!$A$2:$N$4,9,FALSE())=0,-1E+300,-0.5*((J362-Components!$D$7)/Components!$E$7)^2))</f>
        <v/>
      </c>
      <c r="Q362">
        <f>IF(G362="","",EXP(LARGE(K362:P362,1)-MAX(K362:P362))/(EXP(K362-MAX(K362:P362))+EXP(L362-MAX(K362:P362))+EXP(M362-MAX(K362:P362))+EXP(N362-MAX(K362:P362))+EXP(O362-MAX(K362:P362))+EXP(P362-MAX(K362:P362))))</f>
        <v/>
      </c>
      <c r="R362">
        <f>IF(G362="","",EXP(LARGE(K362:P362,2)-MAX(K362:P362))/(EXP(K362-MAX(K362:P362))+EXP(L362-MAX(K362:P362))+EXP(M362-MAX(K362:P362))+EXP(N362-MAX(K362:P362))+EXP(O362-MAX(K362:P362))+EXP(P362-MAX(K362:P362))))</f>
        <v/>
      </c>
      <c r="S362">
        <f>IF(G362="","",Q362-R362)</f>
        <v/>
      </c>
      <c r="T362">
        <f>IF(G362="","",IF(ABS(G362-H362)&lt;=$B$6*I362,"OK","NG"))</f>
        <v/>
      </c>
      <c r="U362">
        <f>IF(T362="","",IF(T362=D362,1,0))</f>
        <v/>
      </c>
      <c r="V362">
        <f>IF(G362="","",IF(T362="OK","NONE",INDEX({"S1","S2","W1","W2","N1","N2"},MATCH(MAX(K362:P362),K362:P362,0))))</f>
        <v/>
      </c>
      <c r="W362">
        <f>IF(G362="","",IF(V362=E362,1,0))</f>
        <v/>
      </c>
      <c r="X362">
        <f>IF(G362="","",IF(AND(T362="NG",S362&lt;$B$7),"AMBIGUOUS","CONFIDENT"))</f>
        <v/>
      </c>
    </row>
    <row r="363">
      <c r="A363">
        <f>'Runs Z score'!A356</f>
        <v/>
      </c>
      <c r="B363">
        <f>'Runs Z score'!B356</f>
        <v/>
      </c>
      <c r="C363">
        <f>'Runs Z score'!C356</f>
        <v/>
      </c>
      <c r="D363">
        <f>'Runs Z score'!D356</f>
        <v/>
      </c>
      <c r="E363">
        <f>'Runs Z score'!E356</f>
        <v/>
      </c>
      <c r="F363">
        <f>'Runs Z score'!F356</f>
        <v/>
      </c>
      <c r="G363">
        <f>'Runs Z score'!G356</f>
        <v/>
      </c>
      <c r="H363">
        <f>VLOOKUP(C363,Recipes!$A$2:$N$4,10,FALSE())</f>
        <v/>
      </c>
      <c r="I363">
        <f>VLOOKUP(C363,Recipes!$A$2:$N$4,12,FALSE())</f>
        <v/>
      </c>
      <c r="J363">
        <f>IF(G363="","",H363-G363)</f>
        <v/>
      </c>
      <c r="K363">
        <f>IF(G363="","",IF(VLOOKUP(C363,Recipes!$A$2:$N$4,4,FALSE())=0,-1E+300,-0.5*((J363-Components!$D$2)/Components!$E$2)^2))</f>
        <v/>
      </c>
      <c r="L363">
        <f>IF(G363="","",IF(VLOOKUP(C363,Recipes!$A$2:$N$4,5,FALSE())=0,-1E+300,-0.5*((J363-Components!$D$3)/Components!$E$3)^2))</f>
        <v/>
      </c>
      <c r="M363">
        <f>IF(G363="","",IF(VLOOKUP(C363,Recipes!$A$2:$N$4,6,FALSE())=0,-1E+300,-0.5*((J363-Components!$D$4)/Components!$E$4)^2))</f>
        <v/>
      </c>
      <c r="N363">
        <f>IF(G363="","",IF(VLOOKUP(C363,Recipes!$A$2:$N$4,7,FALSE())=0,-1E+300,-0.5*((J363-Components!$D$5)/Components!$E$5)^2))</f>
        <v/>
      </c>
      <c r="O363">
        <f>IF(G363="","",IF(VLOOKUP(C363,Recipes!$A$2:$N$4,8,FALSE())=0,-1E+300,-0.5*((J363-Components!$D$6)/Components!$E$6)^2))</f>
        <v/>
      </c>
      <c r="P363">
        <f>IF(G363="","",IF(VLOOKUP(C363,Recipes!$A$2:$N$4,9,FALSE())=0,-1E+300,-0.5*((J363-Components!$D$7)/Components!$E$7)^2))</f>
        <v/>
      </c>
      <c r="Q363">
        <f>IF(G363="","",EXP(LARGE(K363:P363,1)-MAX(K363:P363))/(EXP(K363-MAX(K363:P363))+EXP(L363-MAX(K363:P363))+EXP(M363-MAX(K363:P363))+EXP(N363-MAX(K363:P363))+EXP(O363-MAX(K363:P363))+EXP(P363-MAX(K363:P363))))</f>
        <v/>
      </c>
      <c r="R363">
        <f>IF(G363="","",EXP(LARGE(K363:P363,2)-MAX(K363:P363))/(EXP(K363-MAX(K363:P363))+EXP(L363-MAX(K363:P363))+EXP(M363-MAX(K363:P363))+EXP(N363-MAX(K363:P363))+EXP(O363-MAX(K363:P363))+EXP(P363-MAX(K363:P363))))</f>
        <v/>
      </c>
      <c r="S363">
        <f>IF(G363="","",Q363-R363)</f>
        <v/>
      </c>
      <c r="T363">
        <f>IF(G363="","",IF(ABS(G363-H363)&lt;=$B$6*I363,"OK","NG"))</f>
        <v/>
      </c>
      <c r="U363">
        <f>IF(T363="","",IF(T363=D363,1,0))</f>
        <v/>
      </c>
      <c r="V363">
        <f>IF(G363="","",IF(T363="OK","NONE",INDEX({"S1","S2","W1","W2","N1","N2"},MATCH(MAX(K363:P363),K363:P363,0))))</f>
        <v/>
      </c>
      <c r="W363">
        <f>IF(G363="","",IF(V363=E363,1,0))</f>
        <v/>
      </c>
      <c r="X363">
        <f>IF(G363="","",IF(AND(T363="NG",S363&lt;$B$7),"AMBIGUOUS","CONFIDENT"))</f>
        <v/>
      </c>
    </row>
    <row r="364">
      <c r="A364">
        <f>'Runs Z score'!A357</f>
        <v/>
      </c>
      <c r="B364">
        <f>'Runs Z score'!B357</f>
        <v/>
      </c>
      <c r="C364">
        <f>'Runs Z score'!C357</f>
        <v/>
      </c>
      <c r="D364">
        <f>'Runs Z score'!D357</f>
        <v/>
      </c>
      <c r="E364">
        <f>'Runs Z score'!E357</f>
        <v/>
      </c>
      <c r="F364">
        <f>'Runs Z score'!F357</f>
        <v/>
      </c>
      <c r="G364">
        <f>'Runs Z score'!G357</f>
        <v/>
      </c>
      <c r="H364">
        <f>VLOOKUP(C364,Recipes!$A$2:$N$4,10,FALSE())</f>
        <v/>
      </c>
      <c r="I364">
        <f>VLOOKUP(C364,Recipes!$A$2:$N$4,12,FALSE())</f>
        <v/>
      </c>
      <c r="J364">
        <f>IF(G364="","",H364-G364)</f>
        <v/>
      </c>
      <c r="K364">
        <f>IF(G364="","",IF(VLOOKUP(C364,Recipes!$A$2:$N$4,4,FALSE())=0,-1E+300,-0.5*((J364-Components!$D$2)/Components!$E$2)^2))</f>
        <v/>
      </c>
      <c r="L364">
        <f>IF(G364="","",IF(VLOOKUP(C364,Recipes!$A$2:$N$4,5,FALSE())=0,-1E+300,-0.5*((J364-Components!$D$3)/Components!$E$3)^2))</f>
        <v/>
      </c>
      <c r="M364">
        <f>IF(G364="","",IF(VLOOKUP(C364,Recipes!$A$2:$N$4,6,FALSE())=0,-1E+300,-0.5*((J364-Components!$D$4)/Components!$E$4)^2))</f>
        <v/>
      </c>
      <c r="N364">
        <f>IF(G364="","",IF(VLOOKUP(C364,Recipes!$A$2:$N$4,7,FALSE())=0,-1E+300,-0.5*((J364-Components!$D$5)/Components!$E$5)^2))</f>
        <v/>
      </c>
      <c r="O364">
        <f>IF(G364="","",IF(VLOOKUP(C364,Recipes!$A$2:$N$4,8,FALSE())=0,-1E+300,-0.5*((J364-Components!$D$6)/Components!$E$6)^2))</f>
        <v/>
      </c>
      <c r="P364">
        <f>IF(G364="","",IF(VLOOKUP(C364,Recipes!$A$2:$N$4,9,FALSE())=0,-1E+300,-0.5*((J364-Components!$D$7)/Components!$E$7)^2))</f>
        <v/>
      </c>
      <c r="Q364">
        <f>IF(G364="","",EXP(LARGE(K364:P364,1)-MAX(K364:P364))/(EXP(K364-MAX(K364:P364))+EXP(L364-MAX(K364:P364))+EXP(M364-MAX(K364:P364))+EXP(N364-MAX(K364:P364))+EXP(O364-MAX(K364:P364))+EXP(P364-MAX(K364:P364))))</f>
        <v/>
      </c>
      <c r="R364">
        <f>IF(G364="","",EXP(LARGE(K364:P364,2)-MAX(K364:P364))/(EXP(K364-MAX(K364:P364))+EXP(L364-MAX(K364:P364))+EXP(M364-MAX(K364:P364))+EXP(N364-MAX(K364:P364))+EXP(O364-MAX(K364:P364))+EXP(P364-MAX(K364:P364))))</f>
        <v/>
      </c>
      <c r="S364">
        <f>IF(G364="","",Q364-R364)</f>
        <v/>
      </c>
      <c r="T364">
        <f>IF(G364="","",IF(ABS(G364-H364)&lt;=$B$6*I364,"OK","NG"))</f>
        <v/>
      </c>
      <c r="U364">
        <f>IF(T364="","",IF(T364=D364,1,0))</f>
        <v/>
      </c>
      <c r="V364">
        <f>IF(G364="","",IF(T364="OK","NONE",INDEX({"S1","S2","W1","W2","N1","N2"},MATCH(MAX(K364:P364),K364:P364,0))))</f>
        <v/>
      </c>
      <c r="W364">
        <f>IF(G364="","",IF(V364=E364,1,0))</f>
        <v/>
      </c>
      <c r="X364">
        <f>IF(G364="","",IF(AND(T364="NG",S364&lt;$B$7),"AMBIGUOUS","CONFIDENT"))</f>
        <v/>
      </c>
    </row>
    <row r="365">
      <c r="A365">
        <f>'Runs Z score'!A358</f>
        <v/>
      </c>
      <c r="B365">
        <f>'Runs Z score'!B358</f>
        <v/>
      </c>
      <c r="C365">
        <f>'Runs Z score'!C358</f>
        <v/>
      </c>
      <c r="D365">
        <f>'Runs Z score'!D358</f>
        <v/>
      </c>
      <c r="E365">
        <f>'Runs Z score'!E358</f>
        <v/>
      </c>
      <c r="F365">
        <f>'Runs Z score'!F358</f>
        <v/>
      </c>
      <c r="G365">
        <f>'Runs Z score'!G358</f>
        <v/>
      </c>
      <c r="H365">
        <f>VLOOKUP(C365,Recipes!$A$2:$N$4,10,FALSE())</f>
        <v/>
      </c>
      <c r="I365">
        <f>VLOOKUP(C365,Recipes!$A$2:$N$4,12,FALSE())</f>
        <v/>
      </c>
      <c r="J365">
        <f>IF(G365="","",H365-G365)</f>
        <v/>
      </c>
      <c r="K365">
        <f>IF(G365="","",IF(VLOOKUP(C365,Recipes!$A$2:$N$4,4,FALSE())=0,-1E+300,-0.5*((J365-Components!$D$2)/Components!$E$2)^2))</f>
        <v/>
      </c>
      <c r="L365">
        <f>IF(G365="","",IF(VLOOKUP(C365,Recipes!$A$2:$N$4,5,FALSE())=0,-1E+300,-0.5*((J365-Components!$D$3)/Components!$E$3)^2))</f>
        <v/>
      </c>
      <c r="M365">
        <f>IF(G365="","",IF(VLOOKUP(C365,Recipes!$A$2:$N$4,6,FALSE())=0,-1E+300,-0.5*((J365-Components!$D$4)/Components!$E$4)^2))</f>
        <v/>
      </c>
      <c r="N365">
        <f>IF(G365="","",IF(VLOOKUP(C365,Recipes!$A$2:$N$4,7,FALSE())=0,-1E+300,-0.5*((J365-Components!$D$5)/Components!$E$5)^2))</f>
        <v/>
      </c>
      <c r="O365">
        <f>IF(G365="","",IF(VLOOKUP(C365,Recipes!$A$2:$N$4,8,FALSE())=0,-1E+300,-0.5*((J365-Components!$D$6)/Components!$E$6)^2))</f>
        <v/>
      </c>
      <c r="P365">
        <f>IF(G365="","",IF(VLOOKUP(C365,Recipes!$A$2:$N$4,9,FALSE())=0,-1E+300,-0.5*((J365-Components!$D$7)/Components!$E$7)^2))</f>
        <v/>
      </c>
      <c r="Q365">
        <f>IF(G365="","",EXP(LARGE(K365:P365,1)-MAX(K365:P365))/(EXP(K365-MAX(K365:P365))+EXP(L365-MAX(K365:P365))+EXP(M365-MAX(K365:P365))+EXP(N365-MAX(K365:P365))+EXP(O365-MAX(K365:P365))+EXP(P365-MAX(K365:P365))))</f>
        <v/>
      </c>
      <c r="R365">
        <f>IF(G365="","",EXP(LARGE(K365:P365,2)-MAX(K365:P365))/(EXP(K365-MAX(K365:P365))+EXP(L365-MAX(K365:P365))+EXP(M365-MAX(K365:P365))+EXP(N365-MAX(K365:P365))+EXP(O365-MAX(K365:P365))+EXP(P365-MAX(K365:P365))))</f>
        <v/>
      </c>
      <c r="S365">
        <f>IF(G365="","",Q365-R365)</f>
        <v/>
      </c>
      <c r="T365">
        <f>IF(G365="","",IF(ABS(G365-H365)&lt;=$B$6*I365,"OK","NG"))</f>
        <v/>
      </c>
      <c r="U365">
        <f>IF(T365="","",IF(T365=D365,1,0))</f>
        <v/>
      </c>
      <c r="V365">
        <f>IF(G365="","",IF(T365="OK","NONE",INDEX({"S1","S2","W1","W2","N1","N2"},MATCH(MAX(K365:P365),K365:P365,0))))</f>
        <v/>
      </c>
      <c r="W365">
        <f>IF(G365="","",IF(V365=E365,1,0))</f>
        <v/>
      </c>
      <c r="X365">
        <f>IF(G365="","",IF(AND(T365="NG",S365&lt;$B$7),"AMBIGUOUS","CONFIDENT"))</f>
        <v/>
      </c>
    </row>
    <row r="366">
      <c r="A366">
        <f>'Runs Z score'!A359</f>
        <v/>
      </c>
      <c r="B366">
        <f>'Runs Z score'!B359</f>
        <v/>
      </c>
      <c r="C366">
        <f>'Runs Z score'!C359</f>
        <v/>
      </c>
      <c r="D366">
        <f>'Runs Z score'!D359</f>
        <v/>
      </c>
      <c r="E366">
        <f>'Runs Z score'!E359</f>
        <v/>
      </c>
      <c r="F366">
        <f>'Runs Z score'!F359</f>
        <v/>
      </c>
      <c r="G366">
        <f>'Runs Z score'!G359</f>
        <v/>
      </c>
      <c r="H366">
        <f>VLOOKUP(C366,Recipes!$A$2:$N$4,10,FALSE())</f>
        <v/>
      </c>
      <c r="I366">
        <f>VLOOKUP(C366,Recipes!$A$2:$N$4,12,FALSE())</f>
        <v/>
      </c>
      <c r="J366">
        <f>IF(G366="","",H366-G366)</f>
        <v/>
      </c>
      <c r="K366">
        <f>IF(G366="","",IF(VLOOKUP(C366,Recipes!$A$2:$N$4,4,FALSE())=0,-1E+300,-0.5*((J366-Components!$D$2)/Components!$E$2)^2))</f>
        <v/>
      </c>
      <c r="L366">
        <f>IF(G366="","",IF(VLOOKUP(C366,Recipes!$A$2:$N$4,5,FALSE())=0,-1E+300,-0.5*((J366-Components!$D$3)/Components!$E$3)^2))</f>
        <v/>
      </c>
      <c r="M366">
        <f>IF(G366="","",IF(VLOOKUP(C366,Recipes!$A$2:$N$4,6,FALSE())=0,-1E+300,-0.5*((J366-Components!$D$4)/Components!$E$4)^2))</f>
        <v/>
      </c>
      <c r="N366">
        <f>IF(G366="","",IF(VLOOKUP(C366,Recipes!$A$2:$N$4,7,FALSE())=0,-1E+300,-0.5*((J366-Components!$D$5)/Components!$E$5)^2))</f>
        <v/>
      </c>
      <c r="O366">
        <f>IF(G366="","",IF(VLOOKUP(C366,Recipes!$A$2:$N$4,8,FALSE())=0,-1E+300,-0.5*((J366-Components!$D$6)/Components!$E$6)^2))</f>
        <v/>
      </c>
      <c r="P366">
        <f>IF(G366="","",IF(VLOOKUP(C366,Recipes!$A$2:$N$4,9,FALSE())=0,-1E+300,-0.5*((J366-Components!$D$7)/Components!$E$7)^2))</f>
        <v/>
      </c>
      <c r="Q366">
        <f>IF(G366="","",EXP(LARGE(K366:P366,1)-MAX(K366:P366))/(EXP(K366-MAX(K366:P366))+EXP(L366-MAX(K366:P366))+EXP(M366-MAX(K366:P366))+EXP(N366-MAX(K366:P366))+EXP(O366-MAX(K366:P366))+EXP(P366-MAX(K366:P366))))</f>
        <v/>
      </c>
      <c r="R366">
        <f>IF(G366="","",EXP(LARGE(K366:P366,2)-MAX(K366:P366))/(EXP(K366-MAX(K366:P366))+EXP(L366-MAX(K366:P366))+EXP(M366-MAX(K366:P366))+EXP(N366-MAX(K366:P366))+EXP(O366-MAX(K366:P366))+EXP(P366-MAX(K366:P366))))</f>
        <v/>
      </c>
      <c r="S366">
        <f>IF(G366="","",Q366-R366)</f>
        <v/>
      </c>
      <c r="T366">
        <f>IF(G366="","",IF(ABS(G366-H366)&lt;=$B$6*I366,"OK","NG"))</f>
        <v/>
      </c>
      <c r="U366">
        <f>IF(T366="","",IF(T366=D366,1,0))</f>
        <v/>
      </c>
      <c r="V366">
        <f>IF(G366="","",IF(T366="OK","NONE",INDEX({"S1","S2","W1","W2","N1","N2"},MATCH(MAX(K366:P366),K366:P366,0))))</f>
        <v/>
      </c>
      <c r="W366">
        <f>IF(G366="","",IF(V366=E366,1,0))</f>
        <v/>
      </c>
      <c r="X366">
        <f>IF(G366="","",IF(AND(T366="NG",S366&lt;$B$7),"AMBIGUOUS","CONFIDENT"))</f>
        <v/>
      </c>
    </row>
    <row r="367">
      <c r="A367">
        <f>'Runs Z score'!A360</f>
        <v/>
      </c>
      <c r="B367">
        <f>'Runs Z score'!B360</f>
        <v/>
      </c>
      <c r="C367">
        <f>'Runs Z score'!C360</f>
        <v/>
      </c>
      <c r="D367">
        <f>'Runs Z score'!D360</f>
        <v/>
      </c>
      <c r="E367">
        <f>'Runs Z score'!E360</f>
        <v/>
      </c>
      <c r="F367">
        <f>'Runs Z score'!F360</f>
        <v/>
      </c>
      <c r="G367">
        <f>'Runs Z score'!G360</f>
        <v/>
      </c>
      <c r="H367">
        <f>VLOOKUP(C367,Recipes!$A$2:$N$4,10,FALSE())</f>
        <v/>
      </c>
      <c r="I367">
        <f>VLOOKUP(C367,Recipes!$A$2:$N$4,12,FALSE())</f>
        <v/>
      </c>
      <c r="J367">
        <f>IF(G367="","",H367-G367)</f>
        <v/>
      </c>
      <c r="K367">
        <f>IF(G367="","",IF(VLOOKUP(C367,Recipes!$A$2:$N$4,4,FALSE())=0,-1E+300,-0.5*((J367-Components!$D$2)/Components!$E$2)^2))</f>
        <v/>
      </c>
      <c r="L367">
        <f>IF(G367="","",IF(VLOOKUP(C367,Recipes!$A$2:$N$4,5,FALSE())=0,-1E+300,-0.5*((J367-Components!$D$3)/Components!$E$3)^2))</f>
        <v/>
      </c>
      <c r="M367">
        <f>IF(G367="","",IF(VLOOKUP(C367,Recipes!$A$2:$N$4,6,FALSE())=0,-1E+300,-0.5*((J367-Components!$D$4)/Components!$E$4)^2))</f>
        <v/>
      </c>
      <c r="N367">
        <f>IF(G367="","",IF(VLOOKUP(C367,Recipes!$A$2:$N$4,7,FALSE())=0,-1E+300,-0.5*((J367-Components!$D$5)/Components!$E$5)^2))</f>
        <v/>
      </c>
      <c r="O367">
        <f>IF(G367="","",IF(VLOOKUP(C367,Recipes!$A$2:$N$4,8,FALSE())=0,-1E+300,-0.5*((J367-Components!$D$6)/Components!$E$6)^2))</f>
        <v/>
      </c>
      <c r="P367">
        <f>IF(G367="","",IF(VLOOKUP(C367,Recipes!$A$2:$N$4,9,FALSE())=0,-1E+300,-0.5*((J367-Components!$D$7)/Components!$E$7)^2))</f>
        <v/>
      </c>
      <c r="Q367">
        <f>IF(G367="","",EXP(LARGE(K367:P367,1)-MAX(K367:P367))/(EXP(K367-MAX(K367:P367))+EXP(L367-MAX(K367:P367))+EXP(M367-MAX(K367:P367))+EXP(N367-MAX(K367:P367))+EXP(O367-MAX(K367:P367))+EXP(P367-MAX(K367:P367))))</f>
        <v/>
      </c>
      <c r="R367">
        <f>IF(G367="","",EXP(LARGE(K367:P367,2)-MAX(K367:P367))/(EXP(K367-MAX(K367:P367))+EXP(L367-MAX(K367:P367))+EXP(M367-MAX(K367:P367))+EXP(N367-MAX(K367:P367))+EXP(O367-MAX(K367:P367))+EXP(P367-MAX(K367:P367))))</f>
        <v/>
      </c>
      <c r="S367">
        <f>IF(G367="","",Q367-R367)</f>
        <v/>
      </c>
      <c r="T367">
        <f>IF(G367="","",IF(ABS(G367-H367)&lt;=$B$6*I367,"OK","NG"))</f>
        <v/>
      </c>
      <c r="U367">
        <f>IF(T367="","",IF(T367=D367,1,0))</f>
        <v/>
      </c>
      <c r="V367">
        <f>IF(G367="","",IF(T367="OK","NONE",INDEX({"S1","S2","W1","W2","N1","N2"},MATCH(MAX(K367:P367),K367:P367,0))))</f>
        <v/>
      </c>
      <c r="W367">
        <f>IF(G367="","",IF(V367=E367,1,0))</f>
        <v/>
      </c>
      <c r="X367">
        <f>IF(G367="","",IF(AND(T367="NG",S367&lt;$B$7),"AMBIGUOUS","CONFIDENT"))</f>
        <v/>
      </c>
    </row>
    <row r="368">
      <c r="A368">
        <f>'Runs Z score'!A361</f>
        <v/>
      </c>
      <c r="B368">
        <f>'Runs Z score'!B361</f>
        <v/>
      </c>
      <c r="C368">
        <f>'Runs Z score'!C361</f>
        <v/>
      </c>
      <c r="D368">
        <f>'Runs Z score'!D361</f>
        <v/>
      </c>
      <c r="E368">
        <f>'Runs Z score'!E361</f>
        <v/>
      </c>
      <c r="F368">
        <f>'Runs Z score'!F361</f>
        <v/>
      </c>
      <c r="G368">
        <f>'Runs Z score'!G361</f>
        <v/>
      </c>
      <c r="H368">
        <f>VLOOKUP(C368,Recipes!$A$2:$N$4,10,FALSE())</f>
        <v/>
      </c>
      <c r="I368">
        <f>VLOOKUP(C368,Recipes!$A$2:$N$4,12,FALSE())</f>
        <v/>
      </c>
      <c r="J368">
        <f>IF(G368="","",H368-G368)</f>
        <v/>
      </c>
      <c r="K368">
        <f>IF(G368="","",IF(VLOOKUP(C368,Recipes!$A$2:$N$4,4,FALSE())=0,-1E+300,-0.5*((J368-Components!$D$2)/Components!$E$2)^2))</f>
        <v/>
      </c>
      <c r="L368">
        <f>IF(G368="","",IF(VLOOKUP(C368,Recipes!$A$2:$N$4,5,FALSE())=0,-1E+300,-0.5*((J368-Components!$D$3)/Components!$E$3)^2))</f>
        <v/>
      </c>
      <c r="M368">
        <f>IF(G368="","",IF(VLOOKUP(C368,Recipes!$A$2:$N$4,6,FALSE())=0,-1E+300,-0.5*((J368-Components!$D$4)/Components!$E$4)^2))</f>
        <v/>
      </c>
      <c r="N368">
        <f>IF(G368="","",IF(VLOOKUP(C368,Recipes!$A$2:$N$4,7,FALSE())=0,-1E+300,-0.5*((J368-Components!$D$5)/Components!$E$5)^2))</f>
        <v/>
      </c>
      <c r="O368">
        <f>IF(G368="","",IF(VLOOKUP(C368,Recipes!$A$2:$N$4,8,FALSE())=0,-1E+300,-0.5*((J368-Components!$D$6)/Components!$E$6)^2))</f>
        <v/>
      </c>
      <c r="P368">
        <f>IF(G368="","",IF(VLOOKUP(C368,Recipes!$A$2:$N$4,9,FALSE())=0,-1E+300,-0.5*((J368-Components!$D$7)/Components!$E$7)^2))</f>
        <v/>
      </c>
      <c r="Q368">
        <f>IF(G368="","",EXP(LARGE(K368:P368,1)-MAX(K368:P368))/(EXP(K368-MAX(K368:P368))+EXP(L368-MAX(K368:P368))+EXP(M368-MAX(K368:P368))+EXP(N368-MAX(K368:P368))+EXP(O368-MAX(K368:P368))+EXP(P368-MAX(K368:P368))))</f>
        <v/>
      </c>
      <c r="R368">
        <f>IF(G368="","",EXP(LARGE(K368:P368,2)-MAX(K368:P368))/(EXP(K368-MAX(K368:P368))+EXP(L368-MAX(K368:P368))+EXP(M368-MAX(K368:P368))+EXP(N368-MAX(K368:P368))+EXP(O368-MAX(K368:P368))+EXP(P368-MAX(K368:P368))))</f>
        <v/>
      </c>
      <c r="S368">
        <f>IF(G368="","",Q368-R368)</f>
        <v/>
      </c>
      <c r="T368">
        <f>IF(G368="","",IF(ABS(G368-H368)&lt;=$B$6*I368,"OK","NG"))</f>
        <v/>
      </c>
      <c r="U368">
        <f>IF(T368="","",IF(T368=D368,1,0))</f>
        <v/>
      </c>
      <c r="V368">
        <f>IF(G368="","",IF(T368="OK","NONE",INDEX({"S1","S2","W1","W2","N1","N2"},MATCH(MAX(K368:P368),K368:P368,0))))</f>
        <v/>
      </c>
      <c r="W368">
        <f>IF(G368="","",IF(V368=E368,1,0))</f>
        <v/>
      </c>
      <c r="X368">
        <f>IF(G368="","",IF(AND(T368="NG",S368&lt;$B$7),"AMBIGUOUS","CONFIDENT"))</f>
        <v/>
      </c>
    </row>
    <row r="369">
      <c r="A369">
        <f>'Runs Z score'!A362</f>
        <v/>
      </c>
      <c r="B369">
        <f>'Runs Z score'!B362</f>
        <v/>
      </c>
      <c r="C369">
        <f>'Runs Z score'!C362</f>
        <v/>
      </c>
      <c r="D369">
        <f>'Runs Z score'!D362</f>
        <v/>
      </c>
      <c r="E369">
        <f>'Runs Z score'!E362</f>
        <v/>
      </c>
      <c r="F369">
        <f>'Runs Z score'!F362</f>
        <v/>
      </c>
      <c r="G369">
        <f>'Runs Z score'!G362</f>
        <v/>
      </c>
      <c r="H369">
        <f>VLOOKUP(C369,Recipes!$A$2:$N$4,10,FALSE())</f>
        <v/>
      </c>
      <c r="I369">
        <f>VLOOKUP(C369,Recipes!$A$2:$N$4,12,FALSE())</f>
        <v/>
      </c>
      <c r="J369">
        <f>IF(G369="","",H369-G369)</f>
        <v/>
      </c>
      <c r="K369">
        <f>IF(G369="","",IF(VLOOKUP(C369,Recipes!$A$2:$N$4,4,FALSE())=0,-1E+300,-0.5*((J369-Components!$D$2)/Components!$E$2)^2))</f>
        <v/>
      </c>
      <c r="L369">
        <f>IF(G369="","",IF(VLOOKUP(C369,Recipes!$A$2:$N$4,5,FALSE())=0,-1E+300,-0.5*((J369-Components!$D$3)/Components!$E$3)^2))</f>
        <v/>
      </c>
      <c r="M369">
        <f>IF(G369="","",IF(VLOOKUP(C369,Recipes!$A$2:$N$4,6,FALSE())=0,-1E+300,-0.5*((J369-Components!$D$4)/Components!$E$4)^2))</f>
        <v/>
      </c>
      <c r="N369">
        <f>IF(G369="","",IF(VLOOKUP(C369,Recipes!$A$2:$N$4,7,FALSE())=0,-1E+300,-0.5*((J369-Components!$D$5)/Components!$E$5)^2))</f>
        <v/>
      </c>
      <c r="O369">
        <f>IF(G369="","",IF(VLOOKUP(C369,Recipes!$A$2:$N$4,8,FALSE())=0,-1E+300,-0.5*((J369-Components!$D$6)/Components!$E$6)^2))</f>
        <v/>
      </c>
      <c r="P369">
        <f>IF(G369="","",IF(VLOOKUP(C369,Recipes!$A$2:$N$4,9,FALSE())=0,-1E+300,-0.5*((J369-Components!$D$7)/Components!$E$7)^2))</f>
        <v/>
      </c>
      <c r="Q369">
        <f>IF(G369="","",EXP(LARGE(K369:P369,1)-MAX(K369:P369))/(EXP(K369-MAX(K369:P369))+EXP(L369-MAX(K369:P369))+EXP(M369-MAX(K369:P369))+EXP(N369-MAX(K369:P369))+EXP(O369-MAX(K369:P369))+EXP(P369-MAX(K369:P369))))</f>
        <v/>
      </c>
      <c r="R369">
        <f>IF(G369="","",EXP(LARGE(K369:P369,2)-MAX(K369:P369))/(EXP(K369-MAX(K369:P369))+EXP(L369-MAX(K369:P369))+EXP(M369-MAX(K369:P369))+EXP(N369-MAX(K369:P369))+EXP(O369-MAX(K369:P369))+EXP(P369-MAX(K369:P369))))</f>
        <v/>
      </c>
      <c r="S369">
        <f>IF(G369="","",Q369-R369)</f>
        <v/>
      </c>
      <c r="T369">
        <f>IF(G369="","",IF(ABS(G369-H369)&lt;=$B$6*I369,"OK","NG"))</f>
        <v/>
      </c>
      <c r="U369">
        <f>IF(T369="","",IF(T369=D369,1,0))</f>
        <v/>
      </c>
      <c r="V369">
        <f>IF(G369="","",IF(T369="OK","NONE",INDEX({"S1","S2","W1","W2","N1","N2"},MATCH(MAX(K369:P369),K369:P369,0))))</f>
        <v/>
      </c>
      <c r="W369">
        <f>IF(G369="","",IF(V369=E369,1,0))</f>
        <v/>
      </c>
      <c r="X369">
        <f>IF(G369="","",IF(AND(T369="NG",S369&lt;$B$7),"AMBIGUOUS","CONFIDENT"))</f>
        <v/>
      </c>
    </row>
    <row r="370">
      <c r="A370">
        <f>'Runs Z score'!A363</f>
        <v/>
      </c>
      <c r="B370">
        <f>'Runs Z score'!B363</f>
        <v/>
      </c>
      <c r="C370">
        <f>'Runs Z score'!C363</f>
        <v/>
      </c>
      <c r="D370">
        <f>'Runs Z score'!D363</f>
        <v/>
      </c>
      <c r="E370">
        <f>'Runs Z score'!E363</f>
        <v/>
      </c>
      <c r="F370">
        <f>'Runs Z score'!F363</f>
        <v/>
      </c>
      <c r="G370">
        <f>'Runs Z score'!G363</f>
        <v/>
      </c>
      <c r="H370">
        <f>VLOOKUP(C370,Recipes!$A$2:$N$4,10,FALSE())</f>
        <v/>
      </c>
      <c r="I370">
        <f>VLOOKUP(C370,Recipes!$A$2:$N$4,12,FALSE())</f>
        <v/>
      </c>
      <c r="J370">
        <f>IF(G370="","",H370-G370)</f>
        <v/>
      </c>
      <c r="K370">
        <f>IF(G370="","",IF(VLOOKUP(C370,Recipes!$A$2:$N$4,4,FALSE())=0,-1E+300,-0.5*((J370-Components!$D$2)/Components!$E$2)^2))</f>
        <v/>
      </c>
      <c r="L370">
        <f>IF(G370="","",IF(VLOOKUP(C370,Recipes!$A$2:$N$4,5,FALSE())=0,-1E+300,-0.5*((J370-Components!$D$3)/Components!$E$3)^2))</f>
        <v/>
      </c>
      <c r="M370">
        <f>IF(G370="","",IF(VLOOKUP(C370,Recipes!$A$2:$N$4,6,FALSE())=0,-1E+300,-0.5*((J370-Components!$D$4)/Components!$E$4)^2))</f>
        <v/>
      </c>
      <c r="N370">
        <f>IF(G370="","",IF(VLOOKUP(C370,Recipes!$A$2:$N$4,7,FALSE())=0,-1E+300,-0.5*((J370-Components!$D$5)/Components!$E$5)^2))</f>
        <v/>
      </c>
      <c r="O370">
        <f>IF(G370="","",IF(VLOOKUP(C370,Recipes!$A$2:$N$4,8,FALSE())=0,-1E+300,-0.5*((J370-Components!$D$6)/Components!$E$6)^2))</f>
        <v/>
      </c>
      <c r="P370">
        <f>IF(G370="","",IF(VLOOKUP(C370,Recipes!$A$2:$N$4,9,FALSE())=0,-1E+300,-0.5*((J370-Components!$D$7)/Components!$E$7)^2))</f>
        <v/>
      </c>
      <c r="Q370">
        <f>IF(G370="","",EXP(LARGE(K370:P370,1)-MAX(K370:P370))/(EXP(K370-MAX(K370:P370))+EXP(L370-MAX(K370:P370))+EXP(M370-MAX(K370:P370))+EXP(N370-MAX(K370:P370))+EXP(O370-MAX(K370:P370))+EXP(P370-MAX(K370:P370))))</f>
        <v/>
      </c>
      <c r="R370">
        <f>IF(G370="","",EXP(LARGE(K370:P370,2)-MAX(K370:P370))/(EXP(K370-MAX(K370:P370))+EXP(L370-MAX(K370:P370))+EXP(M370-MAX(K370:P370))+EXP(N370-MAX(K370:P370))+EXP(O370-MAX(K370:P370))+EXP(P370-MAX(K370:P370))))</f>
        <v/>
      </c>
      <c r="S370">
        <f>IF(G370="","",Q370-R370)</f>
        <v/>
      </c>
      <c r="T370">
        <f>IF(G370="","",IF(ABS(G370-H370)&lt;=$B$6*I370,"OK","NG"))</f>
        <v/>
      </c>
      <c r="U370">
        <f>IF(T370="","",IF(T370=D370,1,0))</f>
        <v/>
      </c>
      <c r="V370">
        <f>IF(G370="","",IF(T370="OK","NONE",INDEX({"S1","S2","W1","W2","N1","N2"},MATCH(MAX(K370:P370),K370:P370,0))))</f>
        <v/>
      </c>
      <c r="W370">
        <f>IF(G370="","",IF(V370=E370,1,0))</f>
        <v/>
      </c>
      <c r="X370">
        <f>IF(G370="","",IF(AND(T370="NG",S370&lt;$B$7),"AMBIGUOUS","CONFIDENT"))</f>
        <v/>
      </c>
    </row>
    <row r="371">
      <c r="A371">
        <f>'Runs Z score'!A364</f>
        <v/>
      </c>
      <c r="B371">
        <f>'Runs Z score'!B364</f>
        <v/>
      </c>
      <c r="C371">
        <f>'Runs Z score'!C364</f>
        <v/>
      </c>
      <c r="D371">
        <f>'Runs Z score'!D364</f>
        <v/>
      </c>
      <c r="E371">
        <f>'Runs Z score'!E364</f>
        <v/>
      </c>
      <c r="F371">
        <f>'Runs Z score'!F364</f>
        <v/>
      </c>
      <c r="G371">
        <f>'Runs Z score'!G364</f>
        <v/>
      </c>
      <c r="H371">
        <f>VLOOKUP(C371,Recipes!$A$2:$N$4,10,FALSE())</f>
        <v/>
      </c>
      <c r="I371">
        <f>VLOOKUP(C371,Recipes!$A$2:$N$4,12,FALSE())</f>
        <v/>
      </c>
      <c r="J371">
        <f>IF(G371="","",H371-G371)</f>
        <v/>
      </c>
      <c r="K371">
        <f>IF(G371="","",IF(VLOOKUP(C371,Recipes!$A$2:$N$4,4,FALSE())=0,-1E+300,-0.5*((J371-Components!$D$2)/Components!$E$2)^2))</f>
        <v/>
      </c>
      <c r="L371">
        <f>IF(G371="","",IF(VLOOKUP(C371,Recipes!$A$2:$N$4,5,FALSE())=0,-1E+300,-0.5*((J371-Components!$D$3)/Components!$E$3)^2))</f>
        <v/>
      </c>
      <c r="M371">
        <f>IF(G371="","",IF(VLOOKUP(C371,Recipes!$A$2:$N$4,6,FALSE())=0,-1E+300,-0.5*((J371-Components!$D$4)/Components!$E$4)^2))</f>
        <v/>
      </c>
      <c r="N371">
        <f>IF(G371="","",IF(VLOOKUP(C371,Recipes!$A$2:$N$4,7,FALSE())=0,-1E+300,-0.5*((J371-Components!$D$5)/Components!$E$5)^2))</f>
        <v/>
      </c>
      <c r="O371">
        <f>IF(G371="","",IF(VLOOKUP(C371,Recipes!$A$2:$N$4,8,FALSE())=0,-1E+300,-0.5*((J371-Components!$D$6)/Components!$E$6)^2))</f>
        <v/>
      </c>
      <c r="P371">
        <f>IF(G371="","",IF(VLOOKUP(C371,Recipes!$A$2:$N$4,9,FALSE())=0,-1E+300,-0.5*((J371-Components!$D$7)/Components!$E$7)^2))</f>
        <v/>
      </c>
      <c r="Q371">
        <f>IF(G371="","",EXP(LARGE(K371:P371,1)-MAX(K371:P371))/(EXP(K371-MAX(K371:P371))+EXP(L371-MAX(K371:P371))+EXP(M371-MAX(K371:P371))+EXP(N371-MAX(K371:P371))+EXP(O371-MAX(K371:P371))+EXP(P371-MAX(K371:P371))))</f>
        <v/>
      </c>
      <c r="R371">
        <f>IF(G371="","",EXP(LARGE(K371:P371,2)-MAX(K371:P371))/(EXP(K371-MAX(K371:P371))+EXP(L371-MAX(K371:P371))+EXP(M371-MAX(K371:P371))+EXP(N371-MAX(K371:P371))+EXP(O371-MAX(K371:P371))+EXP(P371-MAX(K371:P371))))</f>
        <v/>
      </c>
      <c r="S371">
        <f>IF(G371="","",Q371-R371)</f>
        <v/>
      </c>
      <c r="T371">
        <f>IF(G371="","",IF(ABS(G371-H371)&lt;=$B$6*I371,"OK","NG"))</f>
        <v/>
      </c>
      <c r="U371">
        <f>IF(T371="","",IF(T371=D371,1,0))</f>
        <v/>
      </c>
      <c r="V371">
        <f>IF(G371="","",IF(T371="OK","NONE",INDEX({"S1","S2","W1","W2","N1","N2"},MATCH(MAX(K371:P371),K371:P371,0))))</f>
        <v/>
      </c>
      <c r="W371">
        <f>IF(G371="","",IF(V371=E371,1,0))</f>
        <v/>
      </c>
      <c r="X371">
        <f>IF(G371="","",IF(AND(T371="NG",S371&lt;$B$7),"AMBIGUOUS","CONFIDENT"))</f>
        <v/>
      </c>
    </row>
    <row r="372">
      <c r="A372">
        <f>'Runs Z score'!A365</f>
        <v/>
      </c>
      <c r="B372">
        <f>'Runs Z score'!B365</f>
        <v/>
      </c>
      <c r="C372">
        <f>'Runs Z score'!C365</f>
        <v/>
      </c>
      <c r="D372">
        <f>'Runs Z score'!D365</f>
        <v/>
      </c>
      <c r="E372">
        <f>'Runs Z score'!E365</f>
        <v/>
      </c>
      <c r="F372">
        <f>'Runs Z score'!F365</f>
        <v/>
      </c>
      <c r="G372">
        <f>'Runs Z score'!G365</f>
        <v/>
      </c>
      <c r="H372">
        <f>VLOOKUP(C372,Recipes!$A$2:$N$4,10,FALSE())</f>
        <v/>
      </c>
      <c r="I372">
        <f>VLOOKUP(C372,Recipes!$A$2:$N$4,12,FALSE())</f>
        <v/>
      </c>
      <c r="J372">
        <f>IF(G372="","",H372-G372)</f>
        <v/>
      </c>
      <c r="K372">
        <f>IF(G372="","",IF(VLOOKUP(C372,Recipes!$A$2:$N$4,4,FALSE())=0,-1E+300,-0.5*((J372-Components!$D$2)/Components!$E$2)^2))</f>
        <v/>
      </c>
      <c r="L372">
        <f>IF(G372="","",IF(VLOOKUP(C372,Recipes!$A$2:$N$4,5,FALSE())=0,-1E+300,-0.5*((J372-Components!$D$3)/Components!$E$3)^2))</f>
        <v/>
      </c>
      <c r="M372">
        <f>IF(G372="","",IF(VLOOKUP(C372,Recipes!$A$2:$N$4,6,FALSE())=0,-1E+300,-0.5*((J372-Components!$D$4)/Components!$E$4)^2))</f>
        <v/>
      </c>
      <c r="N372">
        <f>IF(G372="","",IF(VLOOKUP(C372,Recipes!$A$2:$N$4,7,FALSE())=0,-1E+300,-0.5*((J372-Components!$D$5)/Components!$E$5)^2))</f>
        <v/>
      </c>
      <c r="O372">
        <f>IF(G372="","",IF(VLOOKUP(C372,Recipes!$A$2:$N$4,8,FALSE())=0,-1E+300,-0.5*((J372-Components!$D$6)/Components!$E$6)^2))</f>
        <v/>
      </c>
      <c r="P372">
        <f>IF(G372="","",IF(VLOOKUP(C372,Recipes!$A$2:$N$4,9,FALSE())=0,-1E+300,-0.5*((J372-Components!$D$7)/Components!$E$7)^2))</f>
        <v/>
      </c>
      <c r="Q372">
        <f>IF(G372="","",EXP(LARGE(K372:P372,1)-MAX(K372:P372))/(EXP(K372-MAX(K372:P372))+EXP(L372-MAX(K372:P372))+EXP(M372-MAX(K372:P372))+EXP(N372-MAX(K372:P372))+EXP(O372-MAX(K372:P372))+EXP(P372-MAX(K372:P372))))</f>
        <v/>
      </c>
      <c r="R372">
        <f>IF(G372="","",EXP(LARGE(K372:P372,2)-MAX(K372:P372))/(EXP(K372-MAX(K372:P372))+EXP(L372-MAX(K372:P372))+EXP(M372-MAX(K372:P372))+EXP(N372-MAX(K372:P372))+EXP(O372-MAX(K372:P372))+EXP(P372-MAX(K372:P372))))</f>
        <v/>
      </c>
      <c r="S372">
        <f>IF(G372="","",Q372-R372)</f>
        <v/>
      </c>
      <c r="T372">
        <f>IF(G372="","",IF(ABS(G372-H372)&lt;=$B$6*I372,"OK","NG"))</f>
        <v/>
      </c>
      <c r="U372">
        <f>IF(T372="","",IF(T372=D372,1,0))</f>
        <v/>
      </c>
      <c r="V372">
        <f>IF(G372="","",IF(T372="OK","NONE",INDEX({"S1","S2","W1","W2","N1","N2"},MATCH(MAX(K372:P372),K372:P372,0))))</f>
        <v/>
      </c>
      <c r="W372">
        <f>IF(G372="","",IF(V372=E372,1,0))</f>
        <v/>
      </c>
      <c r="X372">
        <f>IF(G372="","",IF(AND(T372="NG",S372&lt;$B$7),"AMBIGUOUS","CONFIDENT"))</f>
        <v/>
      </c>
    </row>
    <row r="373">
      <c r="A373">
        <f>'Runs Z score'!A366</f>
        <v/>
      </c>
      <c r="B373">
        <f>'Runs Z score'!B366</f>
        <v/>
      </c>
      <c r="C373">
        <f>'Runs Z score'!C366</f>
        <v/>
      </c>
      <c r="D373">
        <f>'Runs Z score'!D366</f>
        <v/>
      </c>
      <c r="E373">
        <f>'Runs Z score'!E366</f>
        <v/>
      </c>
      <c r="F373">
        <f>'Runs Z score'!F366</f>
        <v/>
      </c>
      <c r="G373">
        <f>'Runs Z score'!G366</f>
        <v/>
      </c>
      <c r="H373">
        <f>VLOOKUP(C373,Recipes!$A$2:$N$4,10,FALSE())</f>
        <v/>
      </c>
      <c r="I373">
        <f>VLOOKUP(C373,Recipes!$A$2:$N$4,12,FALSE())</f>
        <v/>
      </c>
      <c r="J373">
        <f>IF(G373="","",H373-G373)</f>
        <v/>
      </c>
      <c r="K373">
        <f>IF(G373="","",IF(VLOOKUP(C373,Recipes!$A$2:$N$4,4,FALSE())=0,-1E+300,-0.5*((J373-Components!$D$2)/Components!$E$2)^2))</f>
        <v/>
      </c>
      <c r="L373">
        <f>IF(G373="","",IF(VLOOKUP(C373,Recipes!$A$2:$N$4,5,FALSE())=0,-1E+300,-0.5*((J373-Components!$D$3)/Components!$E$3)^2))</f>
        <v/>
      </c>
      <c r="M373">
        <f>IF(G373="","",IF(VLOOKUP(C373,Recipes!$A$2:$N$4,6,FALSE())=0,-1E+300,-0.5*((J373-Components!$D$4)/Components!$E$4)^2))</f>
        <v/>
      </c>
      <c r="N373">
        <f>IF(G373="","",IF(VLOOKUP(C373,Recipes!$A$2:$N$4,7,FALSE())=0,-1E+300,-0.5*((J373-Components!$D$5)/Components!$E$5)^2))</f>
        <v/>
      </c>
      <c r="O373">
        <f>IF(G373="","",IF(VLOOKUP(C373,Recipes!$A$2:$N$4,8,FALSE())=0,-1E+300,-0.5*((J373-Components!$D$6)/Components!$E$6)^2))</f>
        <v/>
      </c>
      <c r="P373">
        <f>IF(G373="","",IF(VLOOKUP(C373,Recipes!$A$2:$N$4,9,FALSE())=0,-1E+300,-0.5*((J373-Components!$D$7)/Components!$E$7)^2))</f>
        <v/>
      </c>
      <c r="Q373">
        <f>IF(G373="","",EXP(LARGE(K373:P373,1)-MAX(K373:P373))/(EXP(K373-MAX(K373:P373))+EXP(L373-MAX(K373:P373))+EXP(M373-MAX(K373:P373))+EXP(N373-MAX(K373:P373))+EXP(O373-MAX(K373:P373))+EXP(P373-MAX(K373:P373))))</f>
        <v/>
      </c>
      <c r="R373">
        <f>IF(G373="","",EXP(LARGE(K373:P373,2)-MAX(K373:P373))/(EXP(K373-MAX(K373:P373))+EXP(L373-MAX(K373:P373))+EXP(M373-MAX(K373:P373))+EXP(N373-MAX(K373:P373))+EXP(O373-MAX(K373:P373))+EXP(P373-MAX(K373:P373))))</f>
        <v/>
      </c>
      <c r="S373">
        <f>IF(G373="","",Q373-R373)</f>
        <v/>
      </c>
      <c r="T373">
        <f>IF(G373="","",IF(ABS(G373-H373)&lt;=$B$6*I373,"OK","NG"))</f>
        <v/>
      </c>
      <c r="U373">
        <f>IF(T373="","",IF(T373=D373,1,0))</f>
        <v/>
      </c>
      <c r="V373">
        <f>IF(G373="","",IF(T373="OK","NONE",INDEX({"S1","S2","W1","W2","N1","N2"},MATCH(MAX(K373:P373),K373:P373,0))))</f>
        <v/>
      </c>
      <c r="W373">
        <f>IF(G373="","",IF(V373=E373,1,0))</f>
        <v/>
      </c>
      <c r="X373">
        <f>IF(G373="","",IF(AND(T373="NG",S373&lt;$B$7),"AMBIGUOUS","CONFIDENT"))</f>
        <v/>
      </c>
    </row>
    <row r="374">
      <c r="A374">
        <f>'Runs Z score'!A367</f>
        <v/>
      </c>
      <c r="B374">
        <f>'Runs Z score'!B367</f>
        <v/>
      </c>
      <c r="C374">
        <f>'Runs Z score'!C367</f>
        <v/>
      </c>
      <c r="D374">
        <f>'Runs Z score'!D367</f>
        <v/>
      </c>
      <c r="E374">
        <f>'Runs Z score'!E367</f>
        <v/>
      </c>
      <c r="F374">
        <f>'Runs Z score'!F367</f>
        <v/>
      </c>
      <c r="G374">
        <f>'Runs Z score'!G367</f>
        <v/>
      </c>
      <c r="H374">
        <f>VLOOKUP(C374,Recipes!$A$2:$N$4,10,FALSE())</f>
        <v/>
      </c>
      <c r="I374">
        <f>VLOOKUP(C374,Recipes!$A$2:$N$4,12,FALSE())</f>
        <v/>
      </c>
      <c r="J374">
        <f>IF(G374="","",H374-G374)</f>
        <v/>
      </c>
      <c r="K374">
        <f>IF(G374="","",IF(VLOOKUP(C374,Recipes!$A$2:$N$4,4,FALSE())=0,-1E+300,-0.5*((J374-Components!$D$2)/Components!$E$2)^2))</f>
        <v/>
      </c>
      <c r="L374">
        <f>IF(G374="","",IF(VLOOKUP(C374,Recipes!$A$2:$N$4,5,FALSE())=0,-1E+300,-0.5*((J374-Components!$D$3)/Components!$E$3)^2))</f>
        <v/>
      </c>
      <c r="M374">
        <f>IF(G374="","",IF(VLOOKUP(C374,Recipes!$A$2:$N$4,6,FALSE())=0,-1E+300,-0.5*((J374-Components!$D$4)/Components!$E$4)^2))</f>
        <v/>
      </c>
      <c r="N374">
        <f>IF(G374="","",IF(VLOOKUP(C374,Recipes!$A$2:$N$4,7,FALSE())=0,-1E+300,-0.5*((J374-Components!$D$5)/Components!$E$5)^2))</f>
        <v/>
      </c>
      <c r="O374">
        <f>IF(G374="","",IF(VLOOKUP(C374,Recipes!$A$2:$N$4,8,FALSE())=0,-1E+300,-0.5*((J374-Components!$D$6)/Components!$E$6)^2))</f>
        <v/>
      </c>
      <c r="P374">
        <f>IF(G374="","",IF(VLOOKUP(C374,Recipes!$A$2:$N$4,9,FALSE())=0,-1E+300,-0.5*((J374-Components!$D$7)/Components!$E$7)^2))</f>
        <v/>
      </c>
      <c r="Q374">
        <f>IF(G374="","",EXP(LARGE(K374:P374,1)-MAX(K374:P374))/(EXP(K374-MAX(K374:P374))+EXP(L374-MAX(K374:P374))+EXP(M374-MAX(K374:P374))+EXP(N374-MAX(K374:P374))+EXP(O374-MAX(K374:P374))+EXP(P374-MAX(K374:P374))))</f>
        <v/>
      </c>
      <c r="R374">
        <f>IF(G374="","",EXP(LARGE(K374:P374,2)-MAX(K374:P374))/(EXP(K374-MAX(K374:P374))+EXP(L374-MAX(K374:P374))+EXP(M374-MAX(K374:P374))+EXP(N374-MAX(K374:P374))+EXP(O374-MAX(K374:P374))+EXP(P374-MAX(K374:P374))))</f>
        <v/>
      </c>
      <c r="S374">
        <f>IF(G374="","",Q374-R374)</f>
        <v/>
      </c>
      <c r="T374">
        <f>IF(G374="","",IF(ABS(G374-H374)&lt;=$B$6*I374,"OK","NG"))</f>
        <v/>
      </c>
      <c r="U374">
        <f>IF(T374="","",IF(T374=D374,1,0))</f>
        <v/>
      </c>
      <c r="V374">
        <f>IF(G374="","",IF(T374="OK","NONE",INDEX({"S1","S2","W1","W2","N1","N2"},MATCH(MAX(K374:P374),K374:P374,0))))</f>
        <v/>
      </c>
      <c r="W374">
        <f>IF(G374="","",IF(V374=E374,1,0))</f>
        <v/>
      </c>
      <c r="X374">
        <f>IF(G374="","",IF(AND(T374="NG",S374&lt;$B$7),"AMBIGUOUS","CONFIDENT"))</f>
        <v/>
      </c>
    </row>
    <row r="375">
      <c r="A375">
        <f>'Runs Z score'!A368</f>
        <v/>
      </c>
      <c r="B375">
        <f>'Runs Z score'!B368</f>
        <v/>
      </c>
      <c r="C375">
        <f>'Runs Z score'!C368</f>
        <v/>
      </c>
      <c r="D375">
        <f>'Runs Z score'!D368</f>
        <v/>
      </c>
      <c r="E375">
        <f>'Runs Z score'!E368</f>
        <v/>
      </c>
      <c r="F375">
        <f>'Runs Z score'!F368</f>
        <v/>
      </c>
      <c r="G375">
        <f>'Runs Z score'!G368</f>
        <v/>
      </c>
      <c r="H375">
        <f>VLOOKUP(C375,Recipes!$A$2:$N$4,10,FALSE())</f>
        <v/>
      </c>
      <c r="I375">
        <f>VLOOKUP(C375,Recipes!$A$2:$N$4,12,FALSE())</f>
        <v/>
      </c>
      <c r="J375">
        <f>IF(G375="","",H375-G375)</f>
        <v/>
      </c>
      <c r="K375">
        <f>IF(G375="","",IF(VLOOKUP(C375,Recipes!$A$2:$N$4,4,FALSE())=0,-1E+300,-0.5*((J375-Components!$D$2)/Components!$E$2)^2))</f>
        <v/>
      </c>
      <c r="L375">
        <f>IF(G375="","",IF(VLOOKUP(C375,Recipes!$A$2:$N$4,5,FALSE())=0,-1E+300,-0.5*((J375-Components!$D$3)/Components!$E$3)^2))</f>
        <v/>
      </c>
      <c r="M375">
        <f>IF(G375="","",IF(VLOOKUP(C375,Recipes!$A$2:$N$4,6,FALSE())=0,-1E+300,-0.5*((J375-Components!$D$4)/Components!$E$4)^2))</f>
        <v/>
      </c>
      <c r="N375">
        <f>IF(G375="","",IF(VLOOKUP(C375,Recipes!$A$2:$N$4,7,FALSE())=0,-1E+300,-0.5*((J375-Components!$D$5)/Components!$E$5)^2))</f>
        <v/>
      </c>
      <c r="O375">
        <f>IF(G375="","",IF(VLOOKUP(C375,Recipes!$A$2:$N$4,8,FALSE())=0,-1E+300,-0.5*((J375-Components!$D$6)/Components!$E$6)^2))</f>
        <v/>
      </c>
      <c r="P375">
        <f>IF(G375="","",IF(VLOOKUP(C375,Recipes!$A$2:$N$4,9,FALSE())=0,-1E+300,-0.5*((J375-Components!$D$7)/Components!$E$7)^2))</f>
        <v/>
      </c>
      <c r="Q375">
        <f>IF(G375="","",EXP(LARGE(K375:P375,1)-MAX(K375:P375))/(EXP(K375-MAX(K375:P375))+EXP(L375-MAX(K375:P375))+EXP(M375-MAX(K375:P375))+EXP(N375-MAX(K375:P375))+EXP(O375-MAX(K375:P375))+EXP(P375-MAX(K375:P375))))</f>
        <v/>
      </c>
      <c r="R375">
        <f>IF(G375="","",EXP(LARGE(K375:P375,2)-MAX(K375:P375))/(EXP(K375-MAX(K375:P375))+EXP(L375-MAX(K375:P375))+EXP(M375-MAX(K375:P375))+EXP(N375-MAX(K375:P375))+EXP(O375-MAX(K375:P375))+EXP(P375-MAX(K375:P375))))</f>
        <v/>
      </c>
      <c r="S375">
        <f>IF(G375="","",Q375-R375)</f>
        <v/>
      </c>
      <c r="T375">
        <f>IF(G375="","",IF(ABS(G375-H375)&lt;=$B$6*I375,"OK","NG"))</f>
        <v/>
      </c>
      <c r="U375">
        <f>IF(T375="","",IF(T375=D375,1,0))</f>
        <v/>
      </c>
      <c r="V375">
        <f>IF(G375="","",IF(T375="OK","NONE",INDEX({"S1","S2","W1","W2","N1","N2"},MATCH(MAX(K375:P375),K375:P375,0))))</f>
        <v/>
      </c>
      <c r="W375">
        <f>IF(G375="","",IF(V375=E375,1,0))</f>
        <v/>
      </c>
      <c r="X375">
        <f>IF(G375="","",IF(AND(T375="NG",S375&lt;$B$7),"AMBIGUOUS","CONFIDENT"))</f>
        <v/>
      </c>
    </row>
    <row r="376">
      <c r="A376">
        <f>'Runs Z score'!A369</f>
        <v/>
      </c>
      <c r="B376">
        <f>'Runs Z score'!B369</f>
        <v/>
      </c>
      <c r="C376">
        <f>'Runs Z score'!C369</f>
        <v/>
      </c>
      <c r="D376">
        <f>'Runs Z score'!D369</f>
        <v/>
      </c>
      <c r="E376">
        <f>'Runs Z score'!E369</f>
        <v/>
      </c>
      <c r="F376">
        <f>'Runs Z score'!F369</f>
        <v/>
      </c>
      <c r="G376">
        <f>'Runs Z score'!G369</f>
        <v/>
      </c>
      <c r="H376">
        <f>VLOOKUP(C376,Recipes!$A$2:$N$4,10,FALSE())</f>
        <v/>
      </c>
      <c r="I376">
        <f>VLOOKUP(C376,Recipes!$A$2:$N$4,12,FALSE())</f>
        <v/>
      </c>
      <c r="J376">
        <f>IF(G376="","",H376-G376)</f>
        <v/>
      </c>
      <c r="K376">
        <f>IF(G376="","",IF(VLOOKUP(C376,Recipes!$A$2:$N$4,4,FALSE())=0,-1E+300,-0.5*((J376-Components!$D$2)/Components!$E$2)^2))</f>
        <v/>
      </c>
      <c r="L376">
        <f>IF(G376="","",IF(VLOOKUP(C376,Recipes!$A$2:$N$4,5,FALSE())=0,-1E+300,-0.5*((J376-Components!$D$3)/Components!$E$3)^2))</f>
        <v/>
      </c>
      <c r="M376">
        <f>IF(G376="","",IF(VLOOKUP(C376,Recipes!$A$2:$N$4,6,FALSE())=0,-1E+300,-0.5*((J376-Components!$D$4)/Components!$E$4)^2))</f>
        <v/>
      </c>
      <c r="N376">
        <f>IF(G376="","",IF(VLOOKUP(C376,Recipes!$A$2:$N$4,7,FALSE())=0,-1E+300,-0.5*((J376-Components!$D$5)/Components!$E$5)^2))</f>
        <v/>
      </c>
      <c r="O376">
        <f>IF(G376="","",IF(VLOOKUP(C376,Recipes!$A$2:$N$4,8,FALSE())=0,-1E+300,-0.5*((J376-Components!$D$6)/Components!$E$6)^2))</f>
        <v/>
      </c>
      <c r="P376">
        <f>IF(G376="","",IF(VLOOKUP(C376,Recipes!$A$2:$N$4,9,FALSE())=0,-1E+300,-0.5*((J376-Components!$D$7)/Components!$E$7)^2))</f>
        <v/>
      </c>
      <c r="Q376">
        <f>IF(G376="","",EXP(LARGE(K376:P376,1)-MAX(K376:P376))/(EXP(K376-MAX(K376:P376))+EXP(L376-MAX(K376:P376))+EXP(M376-MAX(K376:P376))+EXP(N376-MAX(K376:P376))+EXP(O376-MAX(K376:P376))+EXP(P376-MAX(K376:P376))))</f>
        <v/>
      </c>
      <c r="R376">
        <f>IF(G376="","",EXP(LARGE(K376:P376,2)-MAX(K376:P376))/(EXP(K376-MAX(K376:P376))+EXP(L376-MAX(K376:P376))+EXP(M376-MAX(K376:P376))+EXP(N376-MAX(K376:P376))+EXP(O376-MAX(K376:P376))+EXP(P376-MAX(K376:P376))))</f>
        <v/>
      </c>
      <c r="S376">
        <f>IF(G376="","",Q376-R376)</f>
        <v/>
      </c>
      <c r="T376">
        <f>IF(G376="","",IF(ABS(G376-H376)&lt;=$B$6*I376,"OK","NG"))</f>
        <v/>
      </c>
      <c r="U376">
        <f>IF(T376="","",IF(T376=D376,1,0))</f>
        <v/>
      </c>
      <c r="V376">
        <f>IF(G376="","",IF(T376="OK","NONE",INDEX({"S1","S2","W1","W2","N1","N2"},MATCH(MAX(K376:P376),K376:P376,0))))</f>
        <v/>
      </c>
      <c r="W376">
        <f>IF(G376="","",IF(V376=E376,1,0))</f>
        <v/>
      </c>
      <c r="X376">
        <f>IF(G376="","",IF(AND(T376="NG",S376&lt;$B$7),"AMBIGUOUS","CONFIDENT"))</f>
        <v/>
      </c>
    </row>
    <row r="377">
      <c r="A377">
        <f>'Runs Z score'!A370</f>
        <v/>
      </c>
      <c r="B377">
        <f>'Runs Z score'!B370</f>
        <v/>
      </c>
      <c r="C377">
        <f>'Runs Z score'!C370</f>
        <v/>
      </c>
      <c r="D377">
        <f>'Runs Z score'!D370</f>
        <v/>
      </c>
      <c r="E377">
        <f>'Runs Z score'!E370</f>
        <v/>
      </c>
      <c r="F377">
        <f>'Runs Z score'!F370</f>
        <v/>
      </c>
      <c r="G377">
        <f>'Runs Z score'!G370</f>
        <v/>
      </c>
      <c r="H377">
        <f>VLOOKUP(C377,Recipes!$A$2:$N$4,10,FALSE())</f>
        <v/>
      </c>
      <c r="I377">
        <f>VLOOKUP(C377,Recipes!$A$2:$N$4,12,FALSE())</f>
        <v/>
      </c>
      <c r="J377">
        <f>IF(G377="","",H377-G377)</f>
        <v/>
      </c>
      <c r="K377">
        <f>IF(G377="","",IF(VLOOKUP(C377,Recipes!$A$2:$N$4,4,FALSE())=0,-1E+300,-0.5*((J377-Components!$D$2)/Components!$E$2)^2))</f>
        <v/>
      </c>
      <c r="L377">
        <f>IF(G377="","",IF(VLOOKUP(C377,Recipes!$A$2:$N$4,5,FALSE())=0,-1E+300,-0.5*((J377-Components!$D$3)/Components!$E$3)^2))</f>
        <v/>
      </c>
      <c r="M377">
        <f>IF(G377="","",IF(VLOOKUP(C377,Recipes!$A$2:$N$4,6,FALSE())=0,-1E+300,-0.5*((J377-Components!$D$4)/Components!$E$4)^2))</f>
        <v/>
      </c>
      <c r="N377">
        <f>IF(G377="","",IF(VLOOKUP(C377,Recipes!$A$2:$N$4,7,FALSE())=0,-1E+300,-0.5*((J377-Components!$D$5)/Components!$E$5)^2))</f>
        <v/>
      </c>
      <c r="O377">
        <f>IF(G377="","",IF(VLOOKUP(C377,Recipes!$A$2:$N$4,8,FALSE())=0,-1E+300,-0.5*((J377-Components!$D$6)/Components!$E$6)^2))</f>
        <v/>
      </c>
      <c r="P377">
        <f>IF(G377="","",IF(VLOOKUP(C377,Recipes!$A$2:$N$4,9,FALSE())=0,-1E+300,-0.5*((J377-Components!$D$7)/Components!$E$7)^2))</f>
        <v/>
      </c>
      <c r="Q377">
        <f>IF(G377="","",EXP(LARGE(K377:P377,1)-MAX(K377:P377))/(EXP(K377-MAX(K377:P377))+EXP(L377-MAX(K377:P377))+EXP(M377-MAX(K377:P377))+EXP(N377-MAX(K377:P377))+EXP(O377-MAX(K377:P377))+EXP(P377-MAX(K377:P377))))</f>
        <v/>
      </c>
      <c r="R377">
        <f>IF(G377="","",EXP(LARGE(K377:P377,2)-MAX(K377:P377))/(EXP(K377-MAX(K377:P377))+EXP(L377-MAX(K377:P377))+EXP(M377-MAX(K377:P377))+EXP(N377-MAX(K377:P377))+EXP(O377-MAX(K377:P377))+EXP(P377-MAX(K377:P377))))</f>
        <v/>
      </c>
      <c r="S377">
        <f>IF(G377="","",Q377-R377)</f>
        <v/>
      </c>
      <c r="T377">
        <f>IF(G377="","",IF(ABS(G377-H377)&lt;=$B$6*I377,"OK","NG"))</f>
        <v/>
      </c>
      <c r="U377">
        <f>IF(T377="","",IF(T377=D377,1,0))</f>
        <v/>
      </c>
      <c r="V377">
        <f>IF(G377="","",IF(T377="OK","NONE",INDEX({"S1","S2","W1","W2","N1","N2"},MATCH(MAX(K377:P377),K377:P377,0))))</f>
        <v/>
      </c>
      <c r="W377">
        <f>IF(G377="","",IF(V377=E377,1,0))</f>
        <v/>
      </c>
      <c r="X377">
        <f>IF(G377="","",IF(AND(T377="NG",S377&lt;$B$7),"AMBIGUOUS","CONFIDENT"))</f>
        <v/>
      </c>
    </row>
    <row r="378">
      <c r="A378">
        <f>'Runs Z score'!A371</f>
        <v/>
      </c>
      <c r="B378">
        <f>'Runs Z score'!B371</f>
        <v/>
      </c>
      <c r="C378">
        <f>'Runs Z score'!C371</f>
        <v/>
      </c>
      <c r="D378">
        <f>'Runs Z score'!D371</f>
        <v/>
      </c>
      <c r="E378">
        <f>'Runs Z score'!E371</f>
        <v/>
      </c>
      <c r="F378">
        <f>'Runs Z score'!F371</f>
        <v/>
      </c>
      <c r="G378">
        <f>'Runs Z score'!G371</f>
        <v/>
      </c>
      <c r="H378">
        <f>VLOOKUP(C378,Recipes!$A$2:$N$4,10,FALSE())</f>
        <v/>
      </c>
      <c r="I378">
        <f>VLOOKUP(C378,Recipes!$A$2:$N$4,12,FALSE())</f>
        <v/>
      </c>
      <c r="J378">
        <f>IF(G378="","",H378-G378)</f>
        <v/>
      </c>
      <c r="K378">
        <f>IF(G378="","",IF(VLOOKUP(C378,Recipes!$A$2:$N$4,4,FALSE())=0,-1E+300,-0.5*((J378-Components!$D$2)/Components!$E$2)^2))</f>
        <v/>
      </c>
      <c r="L378">
        <f>IF(G378="","",IF(VLOOKUP(C378,Recipes!$A$2:$N$4,5,FALSE())=0,-1E+300,-0.5*((J378-Components!$D$3)/Components!$E$3)^2))</f>
        <v/>
      </c>
      <c r="M378">
        <f>IF(G378="","",IF(VLOOKUP(C378,Recipes!$A$2:$N$4,6,FALSE())=0,-1E+300,-0.5*((J378-Components!$D$4)/Components!$E$4)^2))</f>
        <v/>
      </c>
      <c r="N378">
        <f>IF(G378="","",IF(VLOOKUP(C378,Recipes!$A$2:$N$4,7,FALSE())=0,-1E+300,-0.5*((J378-Components!$D$5)/Components!$E$5)^2))</f>
        <v/>
      </c>
      <c r="O378">
        <f>IF(G378="","",IF(VLOOKUP(C378,Recipes!$A$2:$N$4,8,FALSE())=0,-1E+300,-0.5*((J378-Components!$D$6)/Components!$E$6)^2))</f>
        <v/>
      </c>
      <c r="P378">
        <f>IF(G378="","",IF(VLOOKUP(C378,Recipes!$A$2:$N$4,9,FALSE())=0,-1E+300,-0.5*((J378-Components!$D$7)/Components!$E$7)^2))</f>
        <v/>
      </c>
      <c r="Q378">
        <f>IF(G378="","",EXP(LARGE(K378:P378,1)-MAX(K378:P378))/(EXP(K378-MAX(K378:P378))+EXP(L378-MAX(K378:P378))+EXP(M378-MAX(K378:P378))+EXP(N378-MAX(K378:P378))+EXP(O378-MAX(K378:P378))+EXP(P378-MAX(K378:P378))))</f>
        <v/>
      </c>
      <c r="R378">
        <f>IF(G378="","",EXP(LARGE(K378:P378,2)-MAX(K378:P378))/(EXP(K378-MAX(K378:P378))+EXP(L378-MAX(K378:P378))+EXP(M378-MAX(K378:P378))+EXP(N378-MAX(K378:P378))+EXP(O378-MAX(K378:P378))+EXP(P378-MAX(K378:P378))))</f>
        <v/>
      </c>
      <c r="S378">
        <f>IF(G378="","",Q378-R378)</f>
        <v/>
      </c>
      <c r="T378">
        <f>IF(G378="","",IF(ABS(G378-H378)&lt;=$B$6*I378,"OK","NG"))</f>
        <v/>
      </c>
      <c r="U378">
        <f>IF(T378="","",IF(T378=D378,1,0))</f>
        <v/>
      </c>
      <c r="V378">
        <f>IF(G378="","",IF(T378="OK","NONE",INDEX({"S1","S2","W1","W2","N1","N2"},MATCH(MAX(K378:P378),K378:P378,0))))</f>
        <v/>
      </c>
      <c r="W378">
        <f>IF(G378="","",IF(V378=E378,1,0))</f>
        <v/>
      </c>
      <c r="X378">
        <f>IF(G378="","",IF(AND(T378="NG",S378&lt;$B$7),"AMBIGUOUS","CONFIDENT"))</f>
        <v/>
      </c>
    </row>
    <row r="379">
      <c r="A379">
        <f>'Runs Z score'!A372</f>
        <v/>
      </c>
      <c r="B379">
        <f>'Runs Z score'!B372</f>
        <v/>
      </c>
      <c r="C379">
        <f>'Runs Z score'!C372</f>
        <v/>
      </c>
      <c r="D379">
        <f>'Runs Z score'!D372</f>
        <v/>
      </c>
      <c r="E379">
        <f>'Runs Z score'!E372</f>
        <v/>
      </c>
      <c r="F379">
        <f>'Runs Z score'!F372</f>
        <v/>
      </c>
      <c r="G379">
        <f>'Runs Z score'!G372</f>
        <v/>
      </c>
      <c r="H379">
        <f>VLOOKUP(C379,Recipes!$A$2:$N$4,10,FALSE())</f>
        <v/>
      </c>
      <c r="I379">
        <f>VLOOKUP(C379,Recipes!$A$2:$N$4,12,FALSE())</f>
        <v/>
      </c>
      <c r="J379">
        <f>IF(G379="","",H379-G379)</f>
        <v/>
      </c>
      <c r="K379">
        <f>IF(G379="","",IF(VLOOKUP(C379,Recipes!$A$2:$N$4,4,FALSE())=0,-1E+300,-0.5*((J379-Components!$D$2)/Components!$E$2)^2))</f>
        <v/>
      </c>
      <c r="L379">
        <f>IF(G379="","",IF(VLOOKUP(C379,Recipes!$A$2:$N$4,5,FALSE())=0,-1E+300,-0.5*((J379-Components!$D$3)/Components!$E$3)^2))</f>
        <v/>
      </c>
      <c r="M379">
        <f>IF(G379="","",IF(VLOOKUP(C379,Recipes!$A$2:$N$4,6,FALSE())=0,-1E+300,-0.5*((J379-Components!$D$4)/Components!$E$4)^2))</f>
        <v/>
      </c>
      <c r="N379">
        <f>IF(G379="","",IF(VLOOKUP(C379,Recipes!$A$2:$N$4,7,FALSE())=0,-1E+300,-0.5*((J379-Components!$D$5)/Components!$E$5)^2))</f>
        <v/>
      </c>
      <c r="O379">
        <f>IF(G379="","",IF(VLOOKUP(C379,Recipes!$A$2:$N$4,8,FALSE())=0,-1E+300,-0.5*((J379-Components!$D$6)/Components!$E$6)^2))</f>
        <v/>
      </c>
      <c r="P379">
        <f>IF(G379="","",IF(VLOOKUP(C379,Recipes!$A$2:$N$4,9,FALSE())=0,-1E+300,-0.5*((J379-Components!$D$7)/Components!$E$7)^2))</f>
        <v/>
      </c>
      <c r="Q379">
        <f>IF(G379="","",EXP(LARGE(K379:P379,1)-MAX(K379:P379))/(EXP(K379-MAX(K379:P379))+EXP(L379-MAX(K379:P379))+EXP(M379-MAX(K379:P379))+EXP(N379-MAX(K379:P379))+EXP(O379-MAX(K379:P379))+EXP(P379-MAX(K379:P379))))</f>
        <v/>
      </c>
      <c r="R379">
        <f>IF(G379="","",EXP(LARGE(K379:P379,2)-MAX(K379:P379))/(EXP(K379-MAX(K379:P379))+EXP(L379-MAX(K379:P379))+EXP(M379-MAX(K379:P379))+EXP(N379-MAX(K379:P379))+EXP(O379-MAX(K379:P379))+EXP(P379-MAX(K379:P379))))</f>
        <v/>
      </c>
      <c r="S379">
        <f>IF(G379="","",Q379-R379)</f>
        <v/>
      </c>
      <c r="T379">
        <f>IF(G379="","",IF(ABS(G379-H379)&lt;=$B$6*I379,"OK","NG"))</f>
        <v/>
      </c>
      <c r="U379">
        <f>IF(T379="","",IF(T379=D379,1,0))</f>
        <v/>
      </c>
      <c r="V379">
        <f>IF(G379="","",IF(T379="OK","NONE",INDEX({"S1","S2","W1","W2","N1","N2"},MATCH(MAX(K379:P379),K379:P379,0))))</f>
        <v/>
      </c>
      <c r="W379">
        <f>IF(G379="","",IF(V379=E379,1,0))</f>
        <v/>
      </c>
      <c r="X379">
        <f>IF(G379="","",IF(AND(T379="NG",S379&lt;$B$7),"AMBIGUOUS","CONFIDENT"))</f>
        <v/>
      </c>
    </row>
    <row r="380">
      <c r="A380">
        <f>'Runs Z score'!A373</f>
        <v/>
      </c>
      <c r="B380">
        <f>'Runs Z score'!B373</f>
        <v/>
      </c>
      <c r="C380">
        <f>'Runs Z score'!C373</f>
        <v/>
      </c>
      <c r="D380">
        <f>'Runs Z score'!D373</f>
        <v/>
      </c>
      <c r="E380">
        <f>'Runs Z score'!E373</f>
        <v/>
      </c>
      <c r="F380">
        <f>'Runs Z score'!F373</f>
        <v/>
      </c>
      <c r="G380">
        <f>'Runs Z score'!G373</f>
        <v/>
      </c>
      <c r="H380">
        <f>VLOOKUP(C380,Recipes!$A$2:$N$4,10,FALSE())</f>
        <v/>
      </c>
      <c r="I380">
        <f>VLOOKUP(C380,Recipes!$A$2:$N$4,12,FALSE())</f>
        <v/>
      </c>
      <c r="J380">
        <f>IF(G380="","",H380-G380)</f>
        <v/>
      </c>
      <c r="K380">
        <f>IF(G380="","",IF(VLOOKUP(C380,Recipes!$A$2:$N$4,4,FALSE())=0,-1E+300,-0.5*((J380-Components!$D$2)/Components!$E$2)^2))</f>
        <v/>
      </c>
      <c r="L380">
        <f>IF(G380="","",IF(VLOOKUP(C380,Recipes!$A$2:$N$4,5,FALSE())=0,-1E+300,-0.5*((J380-Components!$D$3)/Components!$E$3)^2))</f>
        <v/>
      </c>
      <c r="M380">
        <f>IF(G380="","",IF(VLOOKUP(C380,Recipes!$A$2:$N$4,6,FALSE())=0,-1E+300,-0.5*((J380-Components!$D$4)/Components!$E$4)^2))</f>
        <v/>
      </c>
      <c r="N380">
        <f>IF(G380="","",IF(VLOOKUP(C380,Recipes!$A$2:$N$4,7,FALSE())=0,-1E+300,-0.5*((J380-Components!$D$5)/Components!$E$5)^2))</f>
        <v/>
      </c>
      <c r="O380">
        <f>IF(G380="","",IF(VLOOKUP(C380,Recipes!$A$2:$N$4,8,FALSE())=0,-1E+300,-0.5*((J380-Components!$D$6)/Components!$E$6)^2))</f>
        <v/>
      </c>
      <c r="P380">
        <f>IF(G380="","",IF(VLOOKUP(C380,Recipes!$A$2:$N$4,9,FALSE())=0,-1E+300,-0.5*((J380-Components!$D$7)/Components!$E$7)^2))</f>
        <v/>
      </c>
      <c r="Q380">
        <f>IF(G380="","",EXP(LARGE(K380:P380,1)-MAX(K380:P380))/(EXP(K380-MAX(K380:P380))+EXP(L380-MAX(K380:P380))+EXP(M380-MAX(K380:P380))+EXP(N380-MAX(K380:P380))+EXP(O380-MAX(K380:P380))+EXP(P380-MAX(K380:P380))))</f>
        <v/>
      </c>
      <c r="R380">
        <f>IF(G380="","",EXP(LARGE(K380:P380,2)-MAX(K380:P380))/(EXP(K380-MAX(K380:P380))+EXP(L380-MAX(K380:P380))+EXP(M380-MAX(K380:P380))+EXP(N380-MAX(K380:P380))+EXP(O380-MAX(K380:P380))+EXP(P380-MAX(K380:P380))))</f>
        <v/>
      </c>
      <c r="S380">
        <f>IF(G380="","",Q380-R380)</f>
        <v/>
      </c>
      <c r="T380">
        <f>IF(G380="","",IF(ABS(G380-H380)&lt;=$B$6*I380,"OK","NG"))</f>
        <v/>
      </c>
      <c r="U380">
        <f>IF(T380="","",IF(T380=D380,1,0))</f>
        <v/>
      </c>
      <c r="V380">
        <f>IF(G380="","",IF(T380="OK","NONE",INDEX({"S1","S2","W1","W2","N1","N2"},MATCH(MAX(K380:P380),K380:P380,0))))</f>
        <v/>
      </c>
      <c r="W380">
        <f>IF(G380="","",IF(V380=E380,1,0))</f>
        <v/>
      </c>
      <c r="X380">
        <f>IF(G380="","",IF(AND(T380="NG",S380&lt;$B$7),"AMBIGUOUS","CONFIDENT"))</f>
        <v/>
      </c>
    </row>
    <row r="381">
      <c r="A381">
        <f>'Runs Z score'!A374</f>
        <v/>
      </c>
      <c r="B381">
        <f>'Runs Z score'!B374</f>
        <v/>
      </c>
      <c r="C381">
        <f>'Runs Z score'!C374</f>
        <v/>
      </c>
      <c r="D381">
        <f>'Runs Z score'!D374</f>
        <v/>
      </c>
      <c r="E381">
        <f>'Runs Z score'!E374</f>
        <v/>
      </c>
      <c r="F381">
        <f>'Runs Z score'!F374</f>
        <v/>
      </c>
      <c r="G381">
        <f>'Runs Z score'!G374</f>
        <v/>
      </c>
      <c r="H381">
        <f>VLOOKUP(C381,Recipes!$A$2:$N$4,10,FALSE())</f>
        <v/>
      </c>
      <c r="I381">
        <f>VLOOKUP(C381,Recipes!$A$2:$N$4,12,FALSE())</f>
        <v/>
      </c>
      <c r="J381">
        <f>IF(G381="","",H381-G381)</f>
        <v/>
      </c>
      <c r="K381">
        <f>IF(G381="","",IF(VLOOKUP(C381,Recipes!$A$2:$N$4,4,FALSE())=0,-1E+300,-0.5*((J381-Components!$D$2)/Components!$E$2)^2))</f>
        <v/>
      </c>
      <c r="L381">
        <f>IF(G381="","",IF(VLOOKUP(C381,Recipes!$A$2:$N$4,5,FALSE())=0,-1E+300,-0.5*((J381-Components!$D$3)/Components!$E$3)^2))</f>
        <v/>
      </c>
      <c r="M381">
        <f>IF(G381="","",IF(VLOOKUP(C381,Recipes!$A$2:$N$4,6,FALSE())=0,-1E+300,-0.5*((J381-Components!$D$4)/Components!$E$4)^2))</f>
        <v/>
      </c>
      <c r="N381">
        <f>IF(G381="","",IF(VLOOKUP(C381,Recipes!$A$2:$N$4,7,FALSE())=0,-1E+300,-0.5*((J381-Components!$D$5)/Components!$E$5)^2))</f>
        <v/>
      </c>
      <c r="O381">
        <f>IF(G381="","",IF(VLOOKUP(C381,Recipes!$A$2:$N$4,8,FALSE())=0,-1E+300,-0.5*((J381-Components!$D$6)/Components!$E$6)^2))</f>
        <v/>
      </c>
      <c r="P381">
        <f>IF(G381="","",IF(VLOOKUP(C381,Recipes!$A$2:$N$4,9,FALSE())=0,-1E+300,-0.5*((J381-Components!$D$7)/Components!$E$7)^2))</f>
        <v/>
      </c>
      <c r="Q381">
        <f>IF(G381="","",EXP(LARGE(K381:P381,1)-MAX(K381:P381))/(EXP(K381-MAX(K381:P381))+EXP(L381-MAX(K381:P381))+EXP(M381-MAX(K381:P381))+EXP(N381-MAX(K381:P381))+EXP(O381-MAX(K381:P381))+EXP(P381-MAX(K381:P381))))</f>
        <v/>
      </c>
      <c r="R381">
        <f>IF(G381="","",EXP(LARGE(K381:P381,2)-MAX(K381:P381))/(EXP(K381-MAX(K381:P381))+EXP(L381-MAX(K381:P381))+EXP(M381-MAX(K381:P381))+EXP(N381-MAX(K381:P381))+EXP(O381-MAX(K381:P381))+EXP(P381-MAX(K381:P381))))</f>
        <v/>
      </c>
      <c r="S381">
        <f>IF(G381="","",Q381-R381)</f>
        <v/>
      </c>
      <c r="T381">
        <f>IF(G381="","",IF(ABS(G381-H381)&lt;=$B$6*I381,"OK","NG"))</f>
        <v/>
      </c>
      <c r="U381">
        <f>IF(T381="","",IF(T381=D381,1,0))</f>
        <v/>
      </c>
      <c r="V381">
        <f>IF(G381="","",IF(T381="OK","NONE",INDEX({"S1","S2","W1","W2","N1","N2"},MATCH(MAX(K381:P381),K381:P381,0))))</f>
        <v/>
      </c>
      <c r="W381">
        <f>IF(G381="","",IF(V381=E381,1,0))</f>
        <v/>
      </c>
      <c r="X381">
        <f>IF(G381="","",IF(AND(T381="NG",S381&lt;$B$7),"AMBIGUOUS","CONFIDENT"))</f>
        <v/>
      </c>
    </row>
    <row r="382">
      <c r="A382">
        <f>'Runs Z score'!A375</f>
        <v/>
      </c>
      <c r="B382">
        <f>'Runs Z score'!B375</f>
        <v/>
      </c>
      <c r="C382">
        <f>'Runs Z score'!C375</f>
        <v/>
      </c>
      <c r="D382">
        <f>'Runs Z score'!D375</f>
        <v/>
      </c>
      <c r="E382">
        <f>'Runs Z score'!E375</f>
        <v/>
      </c>
      <c r="F382">
        <f>'Runs Z score'!F375</f>
        <v/>
      </c>
      <c r="G382">
        <f>'Runs Z score'!G375</f>
        <v/>
      </c>
      <c r="H382">
        <f>VLOOKUP(C382,Recipes!$A$2:$N$4,10,FALSE())</f>
        <v/>
      </c>
      <c r="I382">
        <f>VLOOKUP(C382,Recipes!$A$2:$N$4,12,FALSE())</f>
        <v/>
      </c>
      <c r="J382">
        <f>IF(G382="","",H382-G382)</f>
        <v/>
      </c>
      <c r="K382">
        <f>IF(G382="","",IF(VLOOKUP(C382,Recipes!$A$2:$N$4,4,FALSE())=0,-1E+300,-0.5*((J382-Components!$D$2)/Components!$E$2)^2))</f>
        <v/>
      </c>
      <c r="L382">
        <f>IF(G382="","",IF(VLOOKUP(C382,Recipes!$A$2:$N$4,5,FALSE())=0,-1E+300,-0.5*((J382-Components!$D$3)/Components!$E$3)^2))</f>
        <v/>
      </c>
      <c r="M382">
        <f>IF(G382="","",IF(VLOOKUP(C382,Recipes!$A$2:$N$4,6,FALSE())=0,-1E+300,-0.5*((J382-Components!$D$4)/Components!$E$4)^2))</f>
        <v/>
      </c>
      <c r="N382">
        <f>IF(G382="","",IF(VLOOKUP(C382,Recipes!$A$2:$N$4,7,FALSE())=0,-1E+300,-0.5*((J382-Components!$D$5)/Components!$E$5)^2))</f>
        <v/>
      </c>
      <c r="O382">
        <f>IF(G382="","",IF(VLOOKUP(C382,Recipes!$A$2:$N$4,8,FALSE())=0,-1E+300,-0.5*((J382-Components!$D$6)/Components!$E$6)^2))</f>
        <v/>
      </c>
      <c r="P382">
        <f>IF(G382="","",IF(VLOOKUP(C382,Recipes!$A$2:$N$4,9,FALSE())=0,-1E+300,-0.5*((J382-Components!$D$7)/Components!$E$7)^2))</f>
        <v/>
      </c>
      <c r="Q382">
        <f>IF(G382="","",EXP(LARGE(K382:P382,1)-MAX(K382:P382))/(EXP(K382-MAX(K382:P382))+EXP(L382-MAX(K382:P382))+EXP(M382-MAX(K382:P382))+EXP(N382-MAX(K382:P382))+EXP(O382-MAX(K382:P382))+EXP(P382-MAX(K382:P382))))</f>
        <v/>
      </c>
      <c r="R382">
        <f>IF(G382="","",EXP(LARGE(K382:P382,2)-MAX(K382:P382))/(EXP(K382-MAX(K382:P382))+EXP(L382-MAX(K382:P382))+EXP(M382-MAX(K382:P382))+EXP(N382-MAX(K382:P382))+EXP(O382-MAX(K382:P382))+EXP(P382-MAX(K382:P382))))</f>
        <v/>
      </c>
      <c r="S382">
        <f>IF(G382="","",Q382-R382)</f>
        <v/>
      </c>
      <c r="T382">
        <f>IF(G382="","",IF(ABS(G382-H382)&lt;=$B$6*I382,"OK","NG"))</f>
        <v/>
      </c>
      <c r="U382">
        <f>IF(T382="","",IF(T382=D382,1,0))</f>
        <v/>
      </c>
      <c r="V382">
        <f>IF(G382="","",IF(T382="OK","NONE",INDEX({"S1","S2","W1","W2","N1","N2"},MATCH(MAX(K382:P382),K382:P382,0))))</f>
        <v/>
      </c>
      <c r="W382">
        <f>IF(G382="","",IF(V382=E382,1,0))</f>
        <v/>
      </c>
      <c r="X382">
        <f>IF(G382="","",IF(AND(T382="NG",S382&lt;$B$7),"AMBIGUOUS","CONFIDENT"))</f>
        <v/>
      </c>
    </row>
    <row r="383">
      <c r="A383">
        <f>'Runs Z score'!A376</f>
        <v/>
      </c>
      <c r="B383">
        <f>'Runs Z score'!B376</f>
        <v/>
      </c>
      <c r="C383">
        <f>'Runs Z score'!C376</f>
        <v/>
      </c>
      <c r="D383">
        <f>'Runs Z score'!D376</f>
        <v/>
      </c>
      <c r="E383">
        <f>'Runs Z score'!E376</f>
        <v/>
      </c>
      <c r="F383">
        <f>'Runs Z score'!F376</f>
        <v/>
      </c>
      <c r="G383">
        <f>'Runs Z score'!G376</f>
        <v/>
      </c>
      <c r="H383">
        <f>VLOOKUP(C383,Recipes!$A$2:$N$4,10,FALSE())</f>
        <v/>
      </c>
      <c r="I383">
        <f>VLOOKUP(C383,Recipes!$A$2:$N$4,12,FALSE())</f>
        <v/>
      </c>
      <c r="J383">
        <f>IF(G383="","",H383-G383)</f>
        <v/>
      </c>
      <c r="K383">
        <f>IF(G383="","",IF(VLOOKUP(C383,Recipes!$A$2:$N$4,4,FALSE())=0,-1E+300,-0.5*((J383-Components!$D$2)/Components!$E$2)^2))</f>
        <v/>
      </c>
      <c r="L383">
        <f>IF(G383="","",IF(VLOOKUP(C383,Recipes!$A$2:$N$4,5,FALSE())=0,-1E+300,-0.5*((J383-Components!$D$3)/Components!$E$3)^2))</f>
        <v/>
      </c>
      <c r="M383">
        <f>IF(G383="","",IF(VLOOKUP(C383,Recipes!$A$2:$N$4,6,FALSE())=0,-1E+300,-0.5*((J383-Components!$D$4)/Components!$E$4)^2))</f>
        <v/>
      </c>
      <c r="N383">
        <f>IF(G383="","",IF(VLOOKUP(C383,Recipes!$A$2:$N$4,7,FALSE())=0,-1E+300,-0.5*((J383-Components!$D$5)/Components!$E$5)^2))</f>
        <v/>
      </c>
      <c r="O383">
        <f>IF(G383="","",IF(VLOOKUP(C383,Recipes!$A$2:$N$4,8,FALSE())=0,-1E+300,-0.5*((J383-Components!$D$6)/Components!$E$6)^2))</f>
        <v/>
      </c>
      <c r="P383">
        <f>IF(G383="","",IF(VLOOKUP(C383,Recipes!$A$2:$N$4,9,FALSE())=0,-1E+300,-0.5*((J383-Components!$D$7)/Components!$E$7)^2))</f>
        <v/>
      </c>
      <c r="Q383">
        <f>IF(G383="","",EXP(LARGE(K383:P383,1)-MAX(K383:P383))/(EXP(K383-MAX(K383:P383))+EXP(L383-MAX(K383:P383))+EXP(M383-MAX(K383:P383))+EXP(N383-MAX(K383:P383))+EXP(O383-MAX(K383:P383))+EXP(P383-MAX(K383:P383))))</f>
        <v/>
      </c>
      <c r="R383">
        <f>IF(G383="","",EXP(LARGE(K383:P383,2)-MAX(K383:P383))/(EXP(K383-MAX(K383:P383))+EXP(L383-MAX(K383:P383))+EXP(M383-MAX(K383:P383))+EXP(N383-MAX(K383:P383))+EXP(O383-MAX(K383:P383))+EXP(P383-MAX(K383:P383))))</f>
        <v/>
      </c>
      <c r="S383">
        <f>IF(G383="","",Q383-R383)</f>
        <v/>
      </c>
      <c r="T383">
        <f>IF(G383="","",IF(ABS(G383-H383)&lt;=$B$6*I383,"OK","NG"))</f>
        <v/>
      </c>
      <c r="U383">
        <f>IF(T383="","",IF(T383=D383,1,0))</f>
        <v/>
      </c>
      <c r="V383">
        <f>IF(G383="","",IF(T383="OK","NONE",INDEX({"S1","S2","W1","W2","N1","N2"},MATCH(MAX(K383:P383),K383:P383,0))))</f>
        <v/>
      </c>
      <c r="W383">
        <f>IF(G383="","",IF(V383=E383,1,0))</f>
        <v/>
      </c>
      <c r="X383">
        <f>IF(G383="","",IF(AND(T383="NG",S383&lt;$B$7),"AMBIGUOUS","CONFIDENT"))</f>
        <v/>
      </c>
    </row>
    <row r="384">
      <c r="A384">
        <f>'Runs Z score'!A377</f>
        <v/>
      </c>
      <c r="B384">
        <f>'Runs Z score'!B377</f>
        <v/>
      </c>
      <c r="C384">
        <f>'Runs Z score'!C377</f>
        <v/>
      </c>
      <c r="D384">
        <f>'Runs Z score'!D377</f>
        <v/>
      </c>
      <c r="E384">
        <f>'Runs Z score'!E377</f>
        <v/>
      </c>
      <c r="F384">
        <f>'Runs Z score'!F377</f>
        <v/>
      </c>
      <c r="G384">
        <f>'Runs Z score'!G377</f>
        <v/>
      </c>
      <c r="H384">
        <f>VLOOKUP(C384,Recipes!$A$2:$N$4,10,FALSE())</f>
        <v/>
      </c>
      <c r="I384">
        <f>VLOOKUP(C384,Recipes!$A$2:$N$4,12,FALSE())</f>
        <v/>
      </c>
      <c r="J384">
        <f>IF(G384="","",H384-G384)</f>
        <v/>
      </c>
      <c r="K384">
        <f>IF(G384="","",IF(VLOOKUP(C384,Recipes!$A$2:$N$4,4,FALSE())=0,-1E+300,-0.5*((J384-Components!$D$2)/Components!$E$2)^2))</f>
        <v/>
      </c>
      <c r="L384">
        <f>IF(G384="","",IF(VLOOKUP(C384,Recipes!$A$2:$N$4,5,FALSE())=0,-1E+300,-0.5*((J384-Components!$D$3)/Components!$E$3)^2))</f>
        <v/>
      </c>
      <c r="M384">
        <f>IF(G384="","",IF(VLOOKUP(C384,Recipes!$A$2:$N$4,6,FALSE())=0,-1E+300,-0.5*((J384-Components!$D$4)/Components!$E$4)^2))</f>
        <v/>
      </c>
      <c r="N384">
        <f>IF(G384="","",IF(VLOOKUP(C384,Recipes!$A$2:$N$4,7,FALSE())=0,-1E+300,-0.5*((J384-Components!$D$5)/Components!$E$5)^2))</f>
        <v/>
      </c>
      <c r="O384">
        <f>IF(G384="","",IF(VLOOKUP(C384,Recipes!$A$2:$N$4,8,FALSE())=0,-1E+300,-0.5*((J384-Components!$D$6)/Components!$E$6)^2))</f>
        <v/>
      </c>
      <c r="P384">
        <f>IF(G384="","",IF(VLOOKUP(C384,Recipes!$A$2:$N$4,9,FALSE())=0,-1E+300,-0.5*((J384-Components!$D$7)/Components!$E$7)^2))</f>
        <v/>
      </c>
      <c r="Q384">
        <f>IF(G384="","",EXP(LARGE(K384:P384,1)-MAX(K384:P384))/(EXP(K384-MAX(K384:P384))+EXP(L384-MAX(K384:P384))+EXP(M384-MAX(K384:P384))+EXP(N384-MAX(K384:P384))+EXP(O384-MAX(K384:P384))+EXP(P384-MAX(K384:P384))))</f>
        <v/>
      </c>
      <c r="R384">
        <f>IF(G384="","",EXP(LARGE(K384:P384,2)-MAX(K384:P384))/(EXP(K384-MAX(K384:P384))+EXP(L384-MAX(K384:P384))+EXP(M384-MAX(K384:P384))+EXP(N384-MAX(K384:P384))+EXP(O384-MAX(K384:P384))+EXP(P384-MAX(K384:P384))))</f>
        <v/>
      </c>
      <c r="S384">
        <f>IF(G384="","",Q384-R384)</f>
        <v/>
      </c>
      <c r="T384">
        <f>IF(G384="","",IF(ABS(G384-H384)&lt;=$B$6*I384,"OK","NG"))</f>
        <v/>
      </c>
      <c r="U384">
        <f>IF(T384="","",IF(T384=D384,1,0))</f>
        <v/>
      </c>
      <c r="V384">
        <f>IF(G384="","",IF(T384="OK","NONE",INDEX({"S1","S2","W1","W2","N1","N2"},MATCH(MAX(K384:P384),K384:P384,0))))</f>
        <v/>
      </c>
      <c r="W384">
        <f>IF(G384="","",IF(V384=E384,1,0))</f>
        <v/>
      </c>
      <c r="X384">
        <f>IF(G384="","",IF(AND(T384="NG",S384&lt;$B$7),"AMBIGUOUS","CONFIDENT"))</f>
        <v/>
      </c>
    </row>
    <row r="385">
      <c r="A385">
        <f>'Runs Z score'!A378</f>
        <v/>
      </c>
      <c r="B385">
        <f>'Runs Z score'!B378</f>
        <v/>
      </c>
      <c r="C385">
        <f>'Runs Z score'!C378</f>
        <v/>
      </c>
      <c r="D385">
        <f>'Runs Z score'!D378</f>
        <v/>
      </c>
      <c r="E385">
        <f>'Runs Z score'!E378</f>
        <v/>
      </c>
      <c r="F385">
        <f>'Runs Z score'!F378</f>
        <v/>
      </c>
      <c r="G385">
        <f>'Runs Z score'!G378</f>
        <v/>
      </c>
      <c r="H385">
        <f>VLOOKUP(C385,Recipes!$A$2:$N$4,10,FALSE())</f>
        <v/>
      </c>
      <c r="I385">
        <f>VLOOKUP(C385,Recipes!$A$2:$N$4,12,FALSE())</f>
        <v/>
      </c>
      <c r="J385">
        <f>IF(G385="","",H385-G385)</f>
        <v/>
      </c>
      <c r="K385">
        <f>IF(G385="","",IF(VLOOKUP(C385,Recipes!$A$2:$N$4,4,FALSE())=0,-1E+300,-0.5*((J385-Components!$D$2)/Components!$E$2)^2))</f>
        <v/>
      </c>
      <c r="L385">
        <f>IF(G385="","",IF(VLOOKUP(C385,Recipes!$A$2:$N$4,5,FALSE())=0,-1E+300,-0.5*((J385-Components!$D$3)/Components!$E$3)^2))</f>
        <v/>
      </c>
      <c r="M385">
        <f>IF(G385="","",IF(VLOOKUP(C385,Recipes!$A$2:$N$4,6,FALSE())=0,-1E+300,-0.5*((J385-Components!$D$4)/Components!$E$4)^2))</f>
        <v/>
      </c>
      <c r="N385">
        <f>IF(G385="","",IF(VLOOKUP(C385,Recipes!$A$2:$N$4,7,FALSE())=0,-1E+300,-0.5*((J385-Components!$D$5)/Components!$E$5)^2))</f>
        <v/>
      </c>
      <c r="O385">
        <f>IF(G385="","",IF(VLOOKUP(C385,Recipes!$A$2:$N$4,8,FALSE())=0,-1E+300,-0.5*((J385-Components!$D$6)/Components!$E$6)^2))</f>
        <v/>
      </c>
      <c r="P385">
        <f>IF(G385="","",IF(VLOOKUP(C385,Recipes!$A$2:$N$4,9,FALSE())=0,-1E+300,-0.5*((J385-Components!$D$7)/Components!$E$7)^2))</f>
        <v/>
      </c>
      <c r="Q385">
        <f>IF(G385="","",EXP(LARGE(K385:P385,1)-MAX(K385:P385))/(EXP(K385-MAX(K385:P385))+EXP(L385-MAX(K385:P385))+EXP(M385-MAX(K385:P385))+EXP(N385-MAX(K385:P385))+EXP(O385-MAX(K385:P385))+EXP(P385-MAX(K385:P385))))</f>
        <v/>
      </c>
      <c r="R385">
        <f>IF(G385="","",EXP(LARGE(K385:P385,2)-MAX(K385:P385))/(EXP(K385-MAX(K385:P385))+EXP(L385-MAX(K385:P385))+EXP(M385-MAX(K385:P385))+EXP(N385-MAX(K385:P385))+EXP(O385-MAX(K385:P385))+EXP(P385-MAX(K385:P385))))</f>
        <v/>
      </c>
      <c r="S385">
        <f>IF(G385="","",Q385-R385)</f>
        <v/>
      </c>
      <c r="T385">
        <f>IF(G385="","",IF(ABS(G385-H385)&lt;=$B$6*I385,"OK","NG"))</f>
        <v/>
      </c>
      <c r="U385">
        <f>IF(T385="","",IF(T385=D385,1,0))</f>
        <v/>
      </c>
      <c r="V385">
        <f>IF(G385="","",IF(T385="OK","NONE",INDEX({"S1","S2","W1","W2","N1","N2"},MATCH(MAX(K385:P385),K385:P385,0))))</f>
        <v/>
      </c>
      <c r="W385">
        <f>IF(G385="","",IF(V385=E385,1,0))</f>
        <v/>
      </c>
      <c r="X385">
        <f>IF(G385="","",IF(AND(T385="NG",S385&lt;$B$7),"AMBIGUOUS","CONFIDENT"))</f>
        <v/>
      </c>
    </row>
    <row r="386">
      <c r="A386">
        <f>'Runs Z score'!A379</f>
        <v/>
      </c>
      <c r="B386">
        <f>'Runs Z score'!B379</f>
        <v/>
      </c>
      <c r="C386">
        <f>'Runs Z score'!C379</f>
        <v/>
      </c>
      <c r="D386">
        <f>'Runs Z score'!D379</f>
        <v/>
      </c>
      <c r="E386">
        <f>'Runs Z score'!E379</f>
        <v/>
      </c>
      <c r="F386">
        <f>'Runs Z score'!F379</f>
        <v/>
      </c>
      <c r="G386">
        <f>'Runs Z score'!G379</f>
        <v/>
      </c>
      <c r="H386">
        <f>VLOOKUP(C386,Recipes!$A$2:$N$4,10,FALSE())</f>
        <v/>
      </c>
      <c r="I386">
        <f>VLOOKUP(C386,Recipes!$A$2:$N$4,12,FALSE())</f>
        <v/>
      </c>
      <c r="J386">
        <f>IF(G386="","",H386-G386)</f>
        <v/>
      </c>
      <c r="K386">
        <f>IF(G386="","",IF(VLOOKUP(C386,Recipes!$A$2:$N$4,4,FALSE())=0,-1E+300,-0.5*((J386-Components!$D$2)/Components!$E$2)^2))</f>
        <v/>
      </c>
      <c r="L386">
        <f>IF(G386="","",IF(VLOOKUP(C386,Recipes!$A$2:$N$4,5,FALSE())=0,-1E+300,-0.5*((J386-Components!$D$3)/Components!$E$3)^2))</f>
        <v/>
      </c>
      <c r="M386">
        <f>IF(G386="","",IF(VLOOKUP(C386,Recipes!$A$2:$N$4,6,FALSE())=0,-1E+300,-0.5*((J386-Components!$D$4)/Components!$E$4)^2))</f>
        <v/>
      </c>
      <c r="N386">
        <f>IF(G386="","",IF(VLOOKUP(C386,Recipes!$A$2:$N$4,7,FALSE())=0,-1E+300,-0.5*((J386-Components!$D$5)/Components!$E$5)^2))</f>
        <v/>
      </c>
      <c r="O386">
        <f>IF(G386="","",IF(VLOOKUP(C386,Recipes!$A$2:$N$4,8,FALSE())=0,-1E+300,-0.5*((J386-Components!$D$6)/Components!$E$6)^2))</f>
        <v/>
      </c>
      <c r="P386">
        <f>IF(G386="","",IF(VLOOKUP(C386,Recipes!$A$2:$N$4,9,FALSE())=0,-1E+300,-0.5*((J386-Components!$D$7)/Components!$E$7)^2))</f>
        <v/>
      </c>
      <c r="Q386">
        <f>IF(G386="","",EXP(LARGE(K386:P386,1)-MAX(K386:P386))/(EXP(K386-MAX(K386:P386))+EXP(L386-MAX(K386:P386))+EXP(M386-MAX(K386:P386))+EXP(N386-MAX(K386:P386))+EXP(O386-MAX(K386:P386))+EXP(P386-MAX(K386:P386))))</f>
        <v/>
      </c>
      <c r="R386">
        <f>IF(G386="","",EXP(LARGE(K386:P386,2)-MAX(K386:P386))/(EXP(K386-MAX(K386:P386))+EXP(L386-MAX(K386:P386))+EXP(M386-MAX(K386:P386))+EXP(N386-MAX(K386:P386))+EXP(O386-MAX(K386:P386))+EXP(P386-MAX(K386:P386))))</f>
        <v/>
      </c>
      <c r="S386">
        <f>IF(G386="","",Q386-R386)</f>
        <v/>
      </c>
      <c r="T386">
        <f>IF(G386="","",IF(ABS(G386-H386)&lt;=$B$6*I386,"OK","NG"))</f>
        <v/>
      </c>
      <c r="U386">
        <f>IF(T386="","",IF(T386=D386,1,0))</f>
        <v/>
      </c>
      <c r="V386">
        <f>IF(G386="","",IF(T386="OK","NONE",INDEX({"S1","S2","W1","W2","N1","N2"},MATCH(MAX(K386:P386),K386:P386,0))))</f>
        <v/>
      </c>
      <c r="W386">
        <f>IF(G386="","",IF(V386=E386,1,0))</f>
        <v/>
      </c>
      <c r="X386">
        <f>IF(G386="","",IF(AND(T386="NG",S386&lt;$B$7),"AMBIGUOUS","CONFIDENT"))</f>
        <v/>
      </c>
    </row>
    <row r="387">
      <c r="A387">
        <f>'Runs Z score'!A380</f>
        <v/>
      </c>
      <c r="B387">
        <f>'Runs Z score'!B380</f>
        <v/>
      </c>
      <c r="C387">
        <f>'Runs Z score'!C380</f>
        <v/>
      </c>
      <c r="D387">
        <f>'Runs Z score'!D380</f>
        <v/>
      </c>
      <c r="E387">
        <f>'Runs Z score'!E380</f>
        <v/>
      </c>
      <c r="F387">
        <f>'Runs Z score'!F380</f>
        <v/>
      </c>
      <c r="G387">
        <f>'Runs Z score'!G380</f>
        <v/>
      </c>
      <c r="H387">
        <f>VLOOKUP(C387,Recipes!$A$2:$N$4,10,FALSE())</f>
        <v/>
      </c>
      <c r="I387">
        <f>VLOOKUP(C387,Recipes!$A$2:$N$4,12,FALSE())</f>
        <v/>
      </c>
      <c r="J387">
        <f>IF(G387="","",H387-G387)</f>
        <v/>
      </c>
      <c r="K387">
        <f>IF(G387="","",IF(VLOOKUP(C387,Recipes!$A$2:$N$4,4,FALSE())=0,-1E+300,-0.5*((J387-Components!$D$2)/Components!$E$2)^2))</f>
        <v/>
      </c>
      <c r="L387">
        <f>IF(G387="","",IF(VLOOKUP(C387,Recipes!$A$2:$N$4,5,FALSE())=0,-1E+300,-0.5*((J387-Components!$D$3)/Components!$E$3)^2))</f>
        <v/>
      </c>
      <c r="M387">
        <f>IF(G387="","",IF(VLOOKUP(C387,Recipes!$A$2:$N$4,6,FALSE())=0,-1E+300,-0.5*((J387-Components!$D$4)/Components!$E$4)^2))</f>
        <v/>
      </c>
      <c r="N387">
        <f>IF(G387="","",IF(VLOOKUP(C387,Recipes!$A$2:$N$4,7,FALSE())=0,-1E+300,-0.5*((J387-Components!$D$5)/Components!$E$5)^2))</f>
        <v/>
      </c>
      <c r="O387">
        <f>IF(G387="","",IF(VLOOKUP(C387,Recipes!$A$2:$N$4,8,FALSE())=0,-1E+300,-0.5*((J387-Components!$D$6)/Components!$E$6)^2))</f>
        <v/>
      </c>
      <c r="P387">
        <f>IF(G387="","",IF(VLOOKUP(C387,Recipes!$A$2:$N$4,9,FALSE())=0,-1E+300,-0.5*((J387-Components!$D$7)/Components!$E$7)^2))</f>
        <v/>
      </c>
      <c r="Q387">
        <f>IF(G387="","",EXP(LARGE(K387:P387,1)-MAX(K387:P387))/(EXP(K387-MAX(K387:P387))+EXP(L387-MAX(K387:P387))+EXP(M387-MAX(K387:P387))+EXP(N387-MAX(K387:P387))+EXP(O387-MAX(K387:P387))+EXP(P387-MAX(K387:P387))))</f>
        <v/>
      </c>
      <c r="R387">
        <f>IF(G387="","",EXP(LARGE(K387:P387,2)-MAX(K387:P387))/(EXP(K387-MAX(K387:P387))+EXP(L387-MAX(K387:P387))+EXP(M387-MAX(K387:P387))+EXP(N387-MAX(K387:P387))+EXP(O387-MAX(K387:P387))+EXP(P387-MAX(K387:P387))))</f>
        <v/>
      </c>
      <c r="S387">
        <f>IF(G387="","",Q387-R387)</f>
        <v/>
      </c>
      <c r="T387">
        <f>IF(G387="","",IF(ABS(G387-H387)&lt;=$B$6*I387,"OK","NG"))</f>
        <v/>
      </c>
      <c r="U387">
        <f>IF(T387="","",IF(T387=D387,1,0))</f>
        <v/>
      </c>
      <c r="V387">
        <f>IF(G387="","",IF(T387="OK","NONE",INDEX({"S1","S2","W1","W2","N1","N2"},MATCH(MAX(K387:P387),K387:P387,0))))</f>
        <v/>
      </c>
      <c r="W387">
        <f>IF(G387="","",IF(V387=E387,1,0))</f>
        <v/>
      </c>
      <c r="X387">
        <f>IF(G387="","",IF(AND(T387="NG",S387&lt;$B$7),"AMBIGUOUS","CONFIDENT"))</f>
        <v/>
      </c>
    </row>
    <row r="388">
      <c r="A388">
        <f>'Runs Z score'!A381</f>
        <v/>
      </c>
      <c r="B388">
        <f>'Runs Z score'!B381</f>
        <v/>
      </c>
      <c r="C388">
        <f>'Runs Z score'!C381</f>
        <v/>
      </c>
      <c r="D388">
        <f>'Runs Z score'!D381</f>
        <v/>
      </c>
      <c r="E388">
        <f>'Runs Z score'!E381</f>
        <v/>
      </c>
      <c r="F388">
        <f>'Runs Z score'!F381</f>
        <v/>
      </c>
      <c r="G388">
        <f>'Runs Z score'!G381</f>
        <v/>
      </c>
      <c r="H388">
        <f>VLOOKUP(C388,Recipes!$A$2:$N$4,10,FALSE())</f>
        <v/>
      </c>
      <c r="I388">
        <f>VLOOKUP(C388,Recipes!$A$2:$N$4,12,FALSE())</f>
        <v/>
      </c>
      <c r="J388">
        <f>IF(G388="","",H388-G388)</f>
        <v/>
      </c>
      <c r="K388">
        <f>IF(G388="","",IF(VLOOKUP(C388,Recipes!$A$2:$N$4,4,FALSE())=0,-1E+300,-0.5*((J388-Components!$D$2)/Components!$E$2)^2))</f>
        <v/>
      </c>
      <c r="L388">
        <f>IF(G388="","",IF(VLOOKUP(C388,Recipes!$A$2:$N$4,5,FALSE())=0,-1E+300,-0.5*((J388-Components!$D$3)/Components!$E$3)^2))</f>
        <v/>
      </c>
      <c r="M388">
        <f>IF(G388="","",IF(VLOOKUP(C388,Recipes!$A$2:$N$4,6,FALSE())=0,-1E+300,-0.5*((J388-Components!$D$4)/Components!$E$4)^2))</f>
        <v/>
      </c>
      <c r="N388">
        <f>IF(G388="","",IF(VLOOKUP(C388,Recipes!$A$2:$N$4,7,FALSE())=0,-1E+300,-0.5*((J388-Components!$D$5)/Components!$E$5)^2))</f>
        <v/>
      </c>
      <c r="O388">
        <f>IF(G388="","",IF(VLOOKUP(C388,Recipes!$A$2:$N$4,8,FALSE())=0,-1E+300,-0.5*((J388-Components!$D$6)/Components!$E$6)^2))</f>
        <v/>
      </c>
      <c r="P388">
        <f>IF(G388="","",IF(VLOOKUP(C388,Recipes!$A$2:$N$4,9,FALSE())=0,-1E+300,-0.5*((J388-Components!$D$7)/Components!$E$7)^2))</f>
        <v/>
      </c>
      <c r="Q388">
        <f>IF(G388="","",EXP(LARGE(K388:P388,1)-MAX(K388:P388))/(EXP(K388-MAX(K388:P388))+EXP(L388-MAX(K388:P388))+EXP(M388-MAX(K388:P388))+EXP(N388-MAX(K388:P388))+EXP(O388-MAX(K388:P388))+EXP(P388-MAX(K388:P388))))</f>
        <v/>
      </c>
      <c r="R388">
        <f>IF(G388="","",EXP(LARGE(K388:P388,2)-MAX(K388:P388))/(EXP(K388-MAX(K388:P388))+EXP(L388-MAX(K388:P388))+EXP(M388-MAX(K388:P388))+EXP(N388-MAX(K388:P388))+EXP(O388-MAX(K388:P388))+EXP(P388-MAX(K388:P388))))</f>
        <v/>
      </c>
      <c r="S388">
        <f>IF(G388="","",Q388-R388)</f>
        <v/>
      </c>
      <c r="T388">
        <f>IF(G388="","",IF(ABS(G388-H388)&lt;=$B$6*I388,"OK","NG"))</f>
        <v/>
      </c>
      <c r="U388">
        <f>IF(T388="","",IF(T388=D388,1,0))</f>
        <v/>
      </c>
      <c r="V388">
        <f>IF(G388="","",IF(T388="OK","NONE",INDEX({"S1","S2","W1","W2","N1","N2"},MATCH(MAX(K388:P388),K388:P388,0))))</f>
        <v/>
      </c>
      <c r="W388">
        <f>IF(G388="","",IF(V388=E388,1,0))</f>
        <v/>
      </c>
      <c r="X388">
        <f>IF(G388="","",IF(AND(T388="NG",S388&lt;$B$7),"AMBIGUOUS","CONFIDENT"))</f>
        <v/>
      </c>
    </row>
    <row r="389">
      <c r="A389">
        <f>'Runs Z score'!A382</f>
        <v/>
      </c>
      <c r="B389">
        <f>'Runs Z score'!B382</f>
        <v/>
      </c>
      <c r="C389">
        <f>'Runs Z score'!C382</f>
        <v/>
      </c>
      <c r="D389">
        <f>'Runs Z score'!D382</f>
        <v/>
      </c>
      <c r="E389">
        <f>'Runs Z score'!E382</f>
        <v/>
      </c>
      <c r="F389">
        <f>'Runs Z score'!F382</f>
        <v/>
      </c>
      <c r="G389">
        <f>'Runs Z score'!G382</f>
        <v/>
      </c>
      <c r="H389">
        <f>VLOOKUP(C389,Recipes!$A$2:$N$4,10,FALSE())</f>
        <v/>
      </c>
      <c r="I389">
        <f>VLOOKUP(C389,Recipes!$A$2:$N$4,12,FALSE())</f>
        <v/>
      </c>
      <c r="J389">
        <f>IF(G389="","",H389-G389)</f>
        <v/>
      </c>
      <c r="K389">
        <f>IF(G389="","",IF(VLOOKUP(C389,Recipes!$A$2:$N$4,4,FALSE())=0,-1E+300,-0.5*((J389-Components!$D$2)/Components!$E$2)^2))</f>
        <v/>
      </c>
      <c r="L389">
        <f>IF(G389="","",IF(VLOOKUP(C389,Recipes!$A$2:$N$4,5,FALSE())=0,-1E+300,-0.5*((J389-Components!$D$3)/Components!$E$3)^2))</f>
        <v/>
      </c>
      <c r="M389">
        <f>IF(G389="","",IF(VLOOKUP(C389,Recipes!$A$2:$N$4,6,FALSE())=0,-1E+300,-0.5*((J389-Components!$D$4)/Components!$E$4)^2))</f>
        <v/>
      </c>
      <c r="N389">
        <f>IF(G389="","",IF(VLOOKUP(C389,Recipes!$A$2:$N$4,7,FALSE())=0,-1E+300,-0.5*((J389-Components!$D$5)/Components!$E$5)^2))</f>
        <v/>
      </c>
      <c r="O389">
        <f>IF(G389="","",IF(VLOOKUP(C389,Recipes!$A$2:$N$4,8,FALSE())=0,-1E+300,-0.5*((J389-Components!$D$6)/Components!$E$6)^2))</f>
        <v/>
      </c>
      <c r="P389">
        <f>IF(G389="","",IF(VLOOKUP(C389,Recipes!$A$2:$N$4,9,FALSE())=0,-1E+300,-0.5*((J389-Components!$D$7)/Components!$E$7)^2))</f>
        <v/>
      </c>
      <c r="Q389">
        <f>IF(G389="","",EXP(LARGE(K389:P389,1)-MAX(K389:P389))/(EXP(K389-MAX(K389:P389))+EXP(L389-MAX(K389:P389))+EXP(M389-MAX(K389:P389))+EXP(N389-MAX(K389:P389))+EXP(O389-MAX(K389:P389))+EXP(P389-MAX(K389:P389))))</f>
        <v/>
      </c>
      <c r="R389">
        <f>IF(G389="","",EXP(LARGE(K389:P389,2)-MAX(K389:P389))/(EXP(K389-MAX(K389:P389))+EXP(L389-MAX(K389:P389))+EXP(M389-MAX(K389:P389))+EXP(N389-MAX(K389:P389))+EXP(O389-MAX(K389:P389))+EXP(P389-MAX(K389:P389))))</f>
        <v/>
      </c>
      <c r="S389">
        <f>IF(G389="","",Q389-R389)</f>
        <v/>
      </c>
      <c r="T389">
        <f>IF(G389="","",IF(ABS(G389-H389)&lt;=$B$6*I389,"OK","NG"))</f>
        <v/>
      </c>
      <c r="U389">
        <f>IF(T389="","",IF(T389=D389,1,0))</f>
        <v/>
      </c>
      <c r="V389">
        <f>IF(G389="","",IF(T389="OK","NONE",INDEX({"S1","S2","W1","W2","N1","N2"},MATCH(MAX(K389:P389),K389:P389,0))))</f>
        <v/>
      </c>
      <c r="W389">
        <f>IF(G389="","",IF(V389=E389,1,0))</f>
        <v/>
      </c>
      <c r="X389">
        <f>IF(G389="","",IF(AND(T389="NG",S389&lt;$B$7),"AMBIGUOUS","CONFIDENT"))</f>
        <v/>
      </c>
    </row>
    <row r="390">
      <c r="A390">
        <f>'Runs Z score'!A383</f>
        <v/>
      </c>
      <c r="B390">
        <f>'Runs Z score'!B383</f>
        <v/>
      </c>
      <c r="C390">
        <f>'Runs Z score'!C383</f>
        <v/>
      </c>
      <c r="D390">
        <f>'Runs Z score'!D383</f>
        <v/>
      </c>
      <c r="E390">
        <f>'Runs Z score'!E383</f>
        <v/>
      </c>
      <c r="F390">
        <f>'Runs Z score'!F383</f>
        <v/>
      </c>
      <c r="G390">
        <f>'Runs Z score'!G383</f>
        <v/>
      </c>
      <c r="H390">
        <f>VLOOKUP(C390,Recipes!$A$2:$N$4,10,FALSE())</f>
        <v/>
      </c>
      <c r="I390">
        <f>VLOOKUP(C390,Recipes!$A$2:$N$4,12,FALSE())</f>
        <v/>
      </c>
      <c r="J390">
        <f>IF(G390="","",H390-G390)</f>
        <v/>
      </c>
      <c r="K390">
        <f>IF(G390="","",IF(VLOOKUP(C390,Recipes!$A$2:$N$4,4,FALSE())=0,-1E+300,-0.5*((J390-Components!$D$2)/Components!$E$2)^2))</f>
        <v/>
      </c>
      <c r="L390">
        <f>IF(G390="","",IF(VLOOKUP(C390,Recipes!$A$2:$N$4,5,FALSE())=0,-1E+300,-0.5*((J390-Components!$D$3)/Components!$E$3)^2))</f>
        <v/>
      </c>
      <c r="M390">
        <f>IF(G390="","",IF(VLOOKUP(C390,Recipes!$A$2:$N$4,6,FALSE())=0,-1E+300,-0.5*((J390-Components!$D$4)/Components!$E$4)^2))</f>
        <v/>
      </c>
      <c r="N390">
        <f>IF(G390="","",IF(VLOOKUP(C390,Recipes!$A$2:$N$4,7,FALSE())=0,-1E+300,-0.5*((J390-Components!$D$5)/Components!$E$5)^2))</f>
        <v/>
      </c>
      <c r="O390">
        <f>IF(G390="","",IF(VLOOKUP(C390,Recipes!$A$2:$N$4,8,FALSE())=0,-1E+300,-0.5*((J390-Components!$D$6)/Components!$E$6)^2))</f>
        <v/>
      </c>
      <c r="P390">
        <f>IF(G390="","",IF(VLOOKUP(C390,Recipes!$A$2:$N$4,9,FALSE())=0,-1E+300,-0.5*((J390-Components!$D$7)/Components!$E$7)^2))</f>
        <v/>
      </c>
      <c r="Q390">
        <f>IF(G390="","",EXP(LARGE(K390:P390,1)-MAX(K390:P390))/(EXP(K390-MAX(K390:P390))+EXP(L390-MAX(K390:P390))+EXP(M390-MAX(K390:P390))+EXP(N390-MAX(K390:P390))+EXP(O390-MAX(K390:P390))+EXP(P390-MAX(K390:P390))))</f>
        <v/>
      </c>
      <c r="R390">
        <f>IF(G390="","",EXP(LARGE(K390:P390,2)-MAX(K390:P390))/(EXP(K390-MAX(K390:P390))+EXP(L390-MAX(K390:P390))+EXP(M390-MAX(K390:P390))+EXP(N390-MAX(K390:P390))+EXP(O390-MAX(K390:P390))+EXP(P390-MAX(K390:P390))))</f>
        <v/>
      </c>
      <c r="S390">
        <f>IF(G390="","",Q390-R390)</f>
        <v/>
      </c>
      <c r="T390">
        <f>IF(G390="","",IF(ABS(G390-H390)&lt;=$B$6*I390,"OK","NG"))</f>
        <v/>
      </c>
      <c r="U390">
        <f>IF(T390="","",IF(T390=D390,1,0))</f>
        <v/>
      </c>
      <c r="V390">
        <f>IF(G390="","",IF(T390="OK","NONE",INDEX({"S1","S2","W1","W2","N1","N2"},MATCH(MAX(K390:P390),K390:P390,0))))</f>
        <v/>
      </c>
      <c r="W390">
        <f>IF(G390="","",IF(V390=E390,1,0))</f>
        <v/>
      </c>
      <c r="X390">
        <f>IF(G390="","",IF(AND(T390="NG",S390&lt;$B$7),"AMBIGUOUS","CONFIDENT"))</f>
        <v/>
      </c>
    </row>
    <row r="391">
      <c r="A391">
        <f>'Runs Z score'!A384</f>
        <v/>
      </c>
      <c r="B391">
        <f>'Runs Z score'!B384</f>
        <v/>
      </c>
      <c r="C391">
        <f>'Runs Z score'!C384</f>
        <v/>
      </c>
      <c r="D391">
        <f>'Runs Z score'!D384</f>
        <v/>
      </c>
      <c r="E391">
        <f>'Runs Z score'!E384</f>
        <v/>
      </c>
      <c r="F391">
        <f>'Runs Z score'!F384</f>
        <v/>
      </c>
      <c r="G391">
        <f>'Runs Z score'!G384</f>
        <v/>
      </c>
      <c r="H391">
        <f>VLOOKUP(C391,Recipes!$A$2:$N$4,10,FALSE())</f>
        <v/>
      </c>
      <c r="I391">
        <f>VLOOKUP(C391,Recipes!$A$2:$N$4,12,FALSE())</f>
        <v/>
      </c>
      <c r="J391">
        <f>IF(G391="","",H391-G391)</f>
        <v/>
      </c>
      <c r="K391">
        <f>IF(G391="","",IF(VLOOKUP(C391,Recipes!$A$2:$N$4,4,FALSE())=0,-1E+300,-0.5*((J391-Components!$D$2)/Components!$E$2)^2))</f>
        <v/>
      </c>
      <c r="L391">
        <f>IF(G391="","",IF(VLOOKUP(C391,Recipes!$A$2:$N$4,5,FALSE())=0,-1E+300,-0.5*((J391-Components!$D$3)/Components!$E$3)^2))</f>
        <v/>
      </c>
      <c r="M391">
        <f>IF(G391="","",IF(VLOOKUP(C391,Recipes!$A$2:$N$4,6,FALSE())=0,-1E+300,-0.5*((J391-Components!$D$4)/Components!$E$4)^2))</f>
        <v/>
      </c>
      <c r="N391">
        <f>IF(G391="","",IF(VLOOKUP(C391,Recipes!$A$2:$N$4,7,FALSE())=0,-1E+300,-0.5*((J391-Components!$D$5)/Components!$E$5)^2))</f>
        <v/>
      </c>
      <c r="O391">
        <f>IF(G391="","",IF(VLOOKUP(C391,Recipes!$A$2:$N$4,8,FALSE())=0,-1E+300,-0.5*((J391-Components!$D$6)/Components!$E$6)^2))</f>
        <v/>
      </c>
      <c r="P391">
        <f>IF(G391="","",IF(VLOOKUP(C391,Recipes!$A$2:$N$4,9,FALSE())=0,-1E+300,-0.5*((J391-Components!$D$7)/Components!$E$7)^2))</f>
        <v/>
      </c>
      <c r="Q391">
        <f>IF(G391="","",EXP(LARGE(K391:P391,1)-MAX(K391:P391))/(EXP(K391-MAX(K391:P391))+EXP(L391-MAX(K391:P391))+EXP(M391-MAX(K391:P391))+EXP(N391-MAX(K391:P391))+EXP(O391-MAX(K391:P391))+EXP(P391-MAX(K391:P391))))</f>
        <v/>
      </c>
      <c r="R391">
        <f>IF(G391="","",EXP(LARGE(K391:P391,2)-MAX(K391:P391))/(EXP(K391-MAX(K391:P391))+EXP(L391-MAX(K391:P391))+EXP(M391-MAX(K391:P391))+EXP(N391-MAX(K391:P391))+EXP(O391-MAX(K391:P391))+EXP(P391-MAX(K391:P391))))</f>
        <v/>
      </c>
      <c r="S391">
        <f>IF(G391="","",Q391-R391)</f>
        <v/>
      </c>
      <c r="T391">
        <f>IF(G391="","",IF(ABS(G391-H391)&lt;=$B$6*I391,"OK","NG"))</f>
        <v/>
      </c>
      <c r="U391">
        <f>IF(T391="","",IF(T391=D391,1,0))</f>
        <v/>
      </c>
      <c r="V391">
        <f>IF(G391="","",IF(T391="OK","NONE",INDEX({"S1","S2","W1","W2","N1","N2"},MATCH(MAX(K391:P391),K391:P391,0))))</f>
        <v/>
      </c>
      <c r="W391">
        <f>IF(G391="","",IF(V391=E391,1,0))</f>
        <v/>
      </c>
      <c r="X391">
        <f>IF(G391="","",IF(AND(T391="NG",S391&lt;$B$7),"AMBIGUOUS","CONFIDENT"))</f>
        <v/>
      </c>
    </row>
    <row r="392">
      <c r="A392">
        <f>'Runs Z score'!A385</f>
        <v/>
      </c>
      <c r="B392">
        <f>'Runs Z score'!B385</f>
        <v/>
      </c>
      <c r="C392">
        <f>'Runs Z score'!C385</f>
        <v/>
      </c>
      <c r="D392">
        <f>'Runs Z score'!D385</f>
        <v/>
      </c>
      <c r="E392">
        <f>'Runs Z score'!E385</f>
        <v/>
      </c>
      <c r="F392">
        <f>'Runs Z score'!F385</f>
        <v/>
      </c>
      <c r="G392">
        <f>'Runs Z score'!G385</f>
        <v/>
      </c>
      <c r="H392">
        <f>VLOOKUP(C392,Recipes!$A$2:$N$4,10,FALSE())</f>
        <v/>
      </c>
      <c r="I392">
        <f>VLOOKUP(C392,Recipes!$A$2:$N$4,12,FALSE())</f>
        <v/>
      </c>
      <c r="J392">
        <f>IF(G392="","",H392-G392)</f>
        <v/>
      </c>
      <c r="K392">
        <f>IF(G392="","",IF(VLOOKUP(C392,Recipes!$A$2:$N$4,4,FALSE())=0,-1E+300,-0.5*((J392-Components!$D$2)/Components!$E$2)^2))</f>
        <v/>
      </c>
      <c r="L392">
        <f>IF(G392="","",IF(VLOOKUP(C392,Recipes!$A$2:$N$4,5,FALSE())=0,-1E+300,-0.5*((J392-Components!$D$3)/Components!$E$3)^2))</f>
        <v/>
      </c>
      <c r="M392">
        <f>IF(G392="","",IF(VLOOKUP(C392,Recipes!$A$2:$N$4,6,FALSE())=0,-1E+300,-0.5*((J392-Components!$D$4)/Components!$E$4)^2))</f>
        <v/>
      </c>
      <c r="N392">
        <f>IF(G392="","",IF(VLOOKUP(C392,Recipes!$A$2:$N$4,7,FALSE())=0,-1E+300,-0.5*((J392-Components!$D$5)/Components!$E$5)^2))</f>
        <v/>
      </c>
      <c r="O392">
        <f>IF(G392="","",IF(VLOOKUP(C392,Recipes!$A$2:$N$4,8,FALSE())=0,-1E+300,-0.5*((J392-Components!$D$6)/Components!$E$6)^2))</f>
        <v/>
      </c>
      <c r="P392">
        <f>IF(G392="","",IF(VLOOKUP(C392,Recipes!$A$2:$N$4,9,FALSE())=0,-1E+300,-0.5*((J392-Components!$D$7)/Components!$E$7)^2))</f>
        <v/>
      </c>
      <c r="Q392">
        <f>IF(G392="","",EXP(LARGE(K392:P392,1)-MAX(K392:P392))/(EXP(K392-MAX(K392:P392))+EXP(L392-MAX(K392:P392))+EXP(M392-MAX(K392:P392))+EXP(N392-MAX(K392:P392))+EXP(O392-MAX(K392:P392))+EXP(P392-MAX(K392:P392))))</f>
        <v/>
      </c>
      <c r="R392">
        <f>IF(G392="","",EXP(LARGE(K392:P392,2)-MAX(K392:P392))/(EXP(K392-MAX(K392:P392))+EXP(L392-MAX(K392:P392))+EXP(M392-MAX(K392:P392))+EXP(N392-MAX(K392:P392))+EXP(O392-MAX(K392:P392))+EXP(P392-MAX(K392:P392))))</f>
        <v/>
      </c>
      <c r="S392">
        <f>IF(G392="","",Q392-R392)</f>
        <v/>
      </c>
      <c r="T392">
        <f>IF(G392="","",IF(ABS(G392-H392)&lt;=$B$6*I392,"OK","NG"))</f>
        <v/>
      </c>
      <c r="U392">
        <f>IF(T392="","",IF(T392=D392,1,0))</f>
        <v/>
      </c>
      <c r="V392">
        <f>IF(G392="","",IF(T392="OK","NONE",INDEX({"S1","S2","W1","W2","N1","N2"},MATCH(MAX(K392:P392),K392:P392,0))))</f>
        <v/>
      </c>
      <c r="W392">
        <f>IF(G392="","",IF(V392=E392,1,0))</f>
        <v/>
      </c>
      <c r="X392">
        <f>IF(G392="","",IF(AND(T392="NG",S392&lt;$B$7),"AMBIGUOUS","CONFIDENT"))</f>
        <v/>
      </c>
    </row>
    <row r="393">
      <c r="A393">
        <f>'Runs Z score'!A386</f>
        <v/>
      </c>
      <c r="B393">
        <f>'Runs Z score'!B386</f>
        <v/>
      </c>
      <c r="C393">
        <f>'Runs Z score'!C386</f>
        <v/>
      </c>
      <c r="D393">
        <f>'Runs Z score'!D386</f>
        <v/>
      </c>
      <c r="E393">
        <f>'Runs Z score'!E386</f>
        <v/>
      </c>
      <c r="F393">
        <f>'Runs Z score'!F386</f>
        <v/>
      </c>
      <c r="G393">
        <f>'Runs Z score'!G386</f>
        <v/>
      </c>
      <c r="H393">
        <f>VLOOKUP(C393,Recipes!$A$2:$N$4,10,FALSE())</f>
        <v/>
      </c>
      <c r="I393">
        <f>VLOOKUP(C393,Recipes!$A$2:$N$4,12,FALSE())</f>
        <v/>
      </c>
      <c r="J393">
        <f>IF(G393="","",H393-G393)</f>
        <v/>
      </c>
      <c r="K393">
        <f>IF(G393="","",IF(VLOOKUP(C393,Recipes!$A$2:$N$4,4,FALSE())=0,-1E+300,-0.5*((J393-Components!$D$2)/Components!$E$2)^2))</f>
        <v/>
      </c>
      <c r="L393">
        <f>IF(G393="","",IF(VLOOKUP(C393,Recipes!$A$2:$N$4,5,FALSE())=0,-1E+300,-0.5*((J393-Components!$D$3)/Components!$E$3)^2))</f>
        <v/>
      </c>
      <c r="M393">
        <f>IF(G393="","",IF(VLOOKUP(C393,Recipes!$A$2:$N$4,6,FALSE())=0,-1E+300,-0.5*((J393-Components!$D$4)/Components!$E$4)^2))</f>
        <v/>
      </c>
      <c r="N393">
        <f>IF(G393="","",IF(VLOOKUP(C393,Recipes!$A$2:$N$4,7,FALSE())=0,-1E+300,-0.5*((J393-Components!$D$5)/Components!$E$5)^2))</f>
        <v/>
      </c>
      <c r="O393">
        <f>IF(G393="","",IF(VLOOKUP(C393,Recipes!$A$2:$N$4,8,FALSE())=0,-1E+300,-0.5*((J393-Components!$D$6)/Components!$E$6)^2))</f>
        <v/>
      </c>
      <c r="P393">
        <f>IF(G393="","",IF(VLOOKUP(C393,Recipes!$A$2:$N$4,9,FALSE())=0,-1E+300,-0.5*((J393-Components!$D$7)/Components!$E$7)^2))</f>
        <v/>
      </c>
      <c r="Q393">
        <f>IF(G393="","",EXP(LARGE(K393:P393,1)-MAX(K393:P393))/(EXP(K393-MAX(K393:P393))+EXP(L393-MAX(K393:P393))+EXP(M393-MAX(K393:P393))+EXP(N393-MAX(K393:P393))+EXP(O393-MAX(K393:P393))+EXP(P393-MAX(K393:P393))))</f>
        <v/>
      </c>
      <c r="R393">
        <f>IF(G393="","",EXP(LARGE(K393:P393,2)-MAX(K393:P393))/(EXP(K393-MAX(K393:P393))+EXP(L393-MAX(K393:P393))+EXP(M393-MAX(K393:P393))+EXP(N393-MAX(K393:P393))+EXP(O393-MAX(K393:P393))+EXP(P393-MAX(K393:P393))))</f>
        <v/>
      </c>
      <c r="S393">
        <f>IF(G393="","",Q393-R393)</f>
        <v/>
      </c>
      <c r="T393">
        <f>IF(G393="","",IF(ABS(G393-H393)&lt;=$B$6*I393,"OK","NG"))</f>
        <v/>
      </c>
      <c r="U393">
        <f>IF(T393="","",IF(T393=D393,1,0))</f>
        <v/>
      </c>
      <c r="V393">
        <f>IF(G393="","",IF(T393="OK","NONE",INDEX({"S1","S2","W1","W2","N1","N2"},MATCH(MAX(K393:P393),K393:P393,0))))</f>
        <v/>
      </c>
      <c r="W393">
        <f>IF(G393="","",IF(V393=E393,1,0))</f>
        <v/>
      </c>
      <c r="X393">
        <f>IF(G393="","",IF(AND(T393="NG",S393&lt;$B$7),"AMBIGUOUS","CONFIDENT"))</f>
        <v/>
      </c>
    </row>
    <row r="394">
      <c r="A394">
        <f>'Runs Z score'!A387</f>
        <v/>
      </c>
      <c r="B394">
        <f>'Runs Z score'!B387</f>
        <v/>
      </c>
      <c r="C394">
        <f>'Runs Z score'!C387</f>
        <v/>
      </c>
      <c r="D394">
        <f>'Runs Z score'!D387</f>
        <v/>
      </c>
      <c r="E394">
        <f>'Runs Z score'!E387</f>
        <v/>
      </c>
      <c r="F394">
        <f>'Runs Z score'!F387</f>
        <v/>
      </c>
      <c r="G394">
        <f>'Runs Z score'!G387</f>
        <v/>
      </c>
      <c r="H394">
        <f>VLOOKUP(C394,Recipes!$A$2:$N$4,10,FALSE())</f>
        <v/>
      </c>
      <c r="I394">
        <f>VLOOKUP(C394,Recipes!$A$2:$N$4,12,FALSE())</f>
        <v/>
      </c>
      <c r="J394">
        <f>IF(G394="","",H394-G394)</f>
        <v/>
      </c>
      <c r="K394">
        <f>IF(G394="","",IF(VLOOKUP(C394,Recipes!$A$2:$N$4,4,FALSE())=0,-1E+300,-0.5*((J394-Components!$D$2)/Components!$E$2)^2))</f>
        <v/>
      </c>
      <c r="L394">
        <f>IF(G394="","",IF(VLOOKUP(C394,Recipes!$A$2:$N$4,5,FALSE())=0,-1E+300,-0.5*((J394-Components!$D$3)/Components!$E$3)^2))</f>
        <v/>
      </c>
      <c r="M394">
        <f>IF(G394="","",IF(VLOOKUP(C394,Recipes!$A$2:$N$4,6,FALSE())=0,-1E+300,-0.5*((J394-Components!$D$4)/Components!$E$4)^2))</f>
        <v/>
      </c>
      <c r="N394">
        <f>IF(G394="","",IF(VLOOKUP(C394,Recipes!$A$2:$N$4,7,FALSE())=0,-1E+300,-0.5*((J394-Components!$D$5)/Components!$E$5)^2))</f>
        <v/>
      </c>
      <c r="O394">
        <f>IF(G394="","",IF(VLOOKUP(C394,Recipes!$A$2:$N$4,8,FALSE())=0,-1E+300,-0.5*((J394-Components!$D$6)/Components!$E$6)^2))</f>
        <v/>
      </c>
      <c r="P394">
        <f>IF(G394="","",IF(VLOOKUP(C394,Recipes!$A$2:$N$4,9,FALSE())=0,-1E+300,-0.5*((J394-Components!$D$7)/Components!$E$7)^2))</f>
        <v/>
      </c>
      <c r="Q394">
        <f>IF(G394="","",EXP(LARGE(K394:P394,1)-MAX(K394:P394))/(EXP(K394-MAX(K394:P394))+EXP(L394-MAX(K394:P394))+EXP(M394-MAX(K394:P394))+EXP(N394-MAX(K394:P394))+EXP(O394-MAX(K394:P394))+EXP(P394-MAX(K394:P394))))</f>
        <v/>
      </c>
      <c r="R394">
        <f>IF(G394="","",EXP(LARGE(K394:P394,2)-MAX(K394:P394))/(EXP(K394-MAX(K394:P394))+EXP(L394-MAX(K394:P394))+EXP(M394-MAX(K394:P394))+EXP(N394-MAX(K394:P394))+EXP(O394-MAX(K394:P394))+EXP(P394-MAX(K394:P394))))</f>
        <v/>
      </c>
      <c r="S394">
        <f>IF(G394="","",Q394-R394)</f>
        <v/>
      </c>
      <c r="T394">
        <f>IF(G394="","",IF(ABS(G394-H394)&lt;=$B$6*I394,"OK","NG"))</f>
        <v/>
      </c>
      <c r="U394">
        <f>IF(T394="","",IF(T394=D394,1,0))</f>
        <v/>
      </c>
      <c r="V394">
        <f>IF(G394="","",IF(T394="OK","NONE",INDEX({"S1","S2","W1","W2","N1","N2"},MATCH(MAX(K394:P394),K394:P394,0))))</f>
        <v/>
      </c>
      <c r="W394">
        <f>IF(G394="","",IF(V394=E394,1,0))</f>
        <v/>
      </c>
      <c r="X394">
        <f>IF(G394="","",IF(AND(T394="NG",S394&lt;$B$7),"AMBIGUOUS","CONFIDENT"))</f>
        <v/>
      </c>
    </row>
    <row r="395">
      <c r="A395">
        <f>'Runs Z score'!A388</f>
        <v/>
      </c>
      <c r="B395">
        <f>'Runs Z score'!B388</f>
        <v/>
      </c>
      <c r="C395">
        <f>'Runs Z score'!C388</f>
        <v/>
      </c>
      <c r="D395">
        <f>'Runs Z score'!D388</f>
        <v/>
      </c>
      <c r="E395">
        <f>'Runs Z score'!E388</f>
        <v/>
      </c>
      <c r="F395">
        <f>'Runs Z score'!F388</f>
        <v/>
      </c>
      <c r="G395">
        <f>'Runs Z score'!G388</f>
        <v/>
      </c>
      <c r="H395">
        <f>VLOOKUP(C395,Recipes!$A$2:$N$4,10,FALSE())</f>
        <v/>
      </c>
      <c r="I395">
        <f>VLOOKUP(C395,Recipes!$A$2:$N$4,12,FALSE())</f>
        <v/>
      </c>
      <c r="J395">
        <f>IF(G395="","",H395-G395)</f>
        <v/>
      </c>
      <c r="K395">
        <f>IF(G395="","",IF(VLOOKUP(C395,Recipes!$A$2:$N$4,4,FALSE())=0,-1E+300,-0.5*((J395-Components!$D$2)/Components!$E$2)^2))</f>
        <v/>
      </c>
      <c r="L395">
        <f>IF(G395="","",IF(VLOOKUP(C395,Recipes!$A$2:$N$4,5,FALSE())=0,-1E+300,-0.5*((J395-Components!$D$3)/Components!$E$3)^2))</f>
        <v/>
      </c>
      <c r="M395">
        <f>IF(G395="","",IF(VLOOKUP(C395,Recipes!$A$2:$N$4,6,FALSE())=0,-1E+300,-0.5*((J395-Components!$D$4)/Components!$E$4)^2))</f>
        <v/>
      </c>
      <c r="N395">
        <f>IF(G395="","",IF(VLOOKUP(C395,Recipes!$A$2:$N$4,7,FALSE())=0,-1E+300,-0.5*((J395-Components!$D$5)/Components!$E$5)^2))</f>
        <v/>
      </c>
      <c r="O395">
        <f>IF(G395="","",IF(VLOOKUP(C395,Recipes!$A$2:$N$4,8,FALSE())=0,-1E+300,-0.5*((J395-Components!$D$6)/Components!$E$6)^2))</f>
        <v/>
      </c>
      <c r="P395">
        <f>IF(G395="","",IF(VLOOKUP(C395,Recipes!$A$2:$N$4,9,FALSE())=0,-1E+300,-0.5*((J395-Components!$D$7)/Components!$E$7)^2))</f>
        <v/>
      </c>
      <c r="Q395">
        <f>IF(G395="","",EXP(LARGE(K395:P395,1)-MAX(K395:P395))/(EXP(K395-MAX(K395:P395))+EXP(L395-MAX(K395:P395))+EXP(M395-MAX(K395:P395))+EXP(N395-MAX(K395:P395))+EXP(O395-MAX(K395:P395))+EXP(P395-MAX(K395:P395))))</f>
        <v/>
      </c>
      <c r="R395">
        <f>IF(G395="","",EXP(LARGE(K395:P395,2)-MAX(K395:P395))/(EXP(K395-MAX(K395:P395))+EXP(L395-MAX(K395:P395))+EXP(M395-MAX(K395:P395))+EXP(N395-MAX(K395:P395))+EXP(O395-MAX(K395:P395))+EXP(P395-MAX(K395:P395))))</f>
        <v/>
      </c>
      <c r="S395">
        <f>IF(G395="","",Q395-R395)</f>
        <v/>
      </c>
      <c r="T395">
        <f>IF(G395="","",IF(ABS(G395-H395)&lt;=$B$6*I395,"OK","NG"))</f>
        <v/>
      </c>
      <c r="U395">
        <f>IF(T395="","",IF(T395=D395,1,0))</f>
        <v/>
      </c>
      <c r="V395">
        <f>IF(G395="","",IF(T395="OK","NONE",INDEX({"S1","S2","W1","W2","N1","N2"},MATCH(MAX(K395:P395),K395:P395,0))))</f>
        <v/>
      </c>
      <c r="W395">
        <f>IF(G395="","",IF(V395=E395,1,0))</f>
        <v/>
      </c>
      <c r="X395">
        <f>IF(G395="","",IF(AND(T395="NG",S395&lt;$B$7),"AMBIGUOUS","CONFIDENT"))</f>
        <v/>
      </c>
    </row>
    <row r="396">
      <c r="A396">
        <f>'Runs Z score'!A389</f>
        <v/>
      </c>
      <c r="B396">
        <f>'Runs Z score'!B389</f>
        <v/>
      </c>
      <c r="C396">
        <f>'Runs Z score'!C389</f>
        <v/>
      </c>
      <c r="D396">
        <f>'Runs Z score'!D389</f>
        <v/>
      </c>
      <c r="E396">
        <f>'Runs Z score'!E389</f>
        <v/>
      </c>
      <c r="F396">
        <f>'Runs Z score'!F389</f>
        <v/>
      </c>
      <c r="G396">
        <f>'Runs Z score'!G389</f>
        <v/>
      </c>
      <c r="H396">
        <f>VLOOKUP(C396,Recipes!$A$2:$N$4,10,FALSE())</f>
        <v/>
      </c>
      <c r="I396">
        <f>VLOOKUP(C396,Recipes!$A$2:$N$4,12,FALSE())</f>
        <v/>
      </c>
      <c r="J396">
        <f>IF(G396="","",H396-G396)</f>
        <v/>
      </c>
      <c r="K396">
        <f>IF(G396="","",IF(VLOOKUP(C396,Recipes!$A$2:$N$4,4,FALSE())=0,-1E+300,-0.5*((J396-Components!$D$2)/Components!$E$2)^2))</f>
        <v/>
      </c>
      <c r="L396">
        <f>IF(G396="","",IF(VLOOKUP(C396,Recipes!$A$2:$N$4,5,FALSE())=0,-1E+300,-0.5*((J396-Components!$D$3)/Components!$E$3)^2))</f>
        <v/>
      </c>
      <c r="M396">
        <f>IF(G396="","",IF(VLOOKUP(C396,Recipes!$A$2:$N$4,6,FALSE())=0,-1E+300,-0.5*((J396-Components!$D$4)/Components!$E$4)^2))</f>
        <v/>
      </c>
      <c r="N396">
        <f>IF(G396="","",IF(VLOOKUP(C396,Recipes!$A$2:$N$4,7,FALSE())=0,-1E+300,-0.5*((J396-Components!$D$5)/Components!$E$5)^2))</f>
        <v/>
      </c>
      <c r="O396">
        <f>IF(G396="","",IF(VLOOKUP(C396,Recipes!$A$2:$N$4,8,FALSE())=0,-1E+300,-0.5*((J396-Components!$D$6)/Components!$E$6)^2))</f>
        <v/>
      </c>
      <c r="P396">
        <f>IF(G396="","",IF(VLOOKUP(C396,Recipes!$A$2:$N$4,9,FALSE())=0,-1E+300,-0.5*((J396-Components!$D$7)/Components!$E$7)^2))</f>
        <v/>
      </c>
      <c r="Q396">
        <f>IF(G396="","",EXP(LARGE(K396:P396,1)-MAX(K396:P396))/(EXP(K396-MAX(K396:P396))+EXP(L396-MAX(K396:P396))+EXP(M396-MAX(K396:P396))+EXP(N396-MAX(K396:P396))+EXP(O396-MAX(K396:P396))+EXP(P396-MAX(K396:P396))))</f>
        <v/>
      </c>
      <c r="R396">
        <f>IF(G396="","",EXP(LARGE(K396:P396,2)-MAX(K396:P396))/(EXP(K396-MAX(K396:P396))+EXP(L396-MAX(K396:P396))+EXP(M396-MAX(K396:P396))+EXP(N396-MAX(K396:P396))+EXP(O396-MAX(K396:P396))+EXP(P396-MAX(K396:P396))))</f>
        <v/>
      </c>
      <c r="S396">
        <f>IF(G396="","",Q396-R396)</f>
        <v/>
      </c>
      <c r="T396">
        <f>IF(G396="","",IF(ABS(G396-H396)&lt;=$B$6*I396,"OK","NG"))</f>
        <v/>
      </c>
      <c r="U396">
        <f>IF(T396="","",IF(T396=D396,1,0))</f>
        <v/>
      </c>
      <c r="V396">
        <f>IF(G396="","",IF(T396="OK","NONE",INDEX({"S1","S2","W1","W2","N1","N2"},MATCH(MAX(K396:P396),K396:P396,0))))</f>
        <v/>
      </c>
      <c r="W396">
        <f>IF(G396="","",IF(V396=E396,1,0))</f>
        <v/>
      </c>
      <c r="X396">
        <f>IF(G396="","",IF(AND(T396="NG",S396&lt;$B$7),"AMBIGUOUS","CONFIDENT"))</f>
        <v/>
      </c>
    </row>
    <row r="397">
      <c r="A397">
        <f>'Runs Z score'!A390</f>
        <v/>
      </c>
      <c r="B397">
        <f>'Runs Z score'!B390</f>
        <v/>
      </c>
      <c r="C397">
        <f>'Runs Z score'!C390</f>
        <v/>
      </c>
      <c r="D397">
        <f>'Runs Z score'!D390</f>
        <v/>
      </c>
      <c r="E397">
        <f>'Runs Z score'!E390</f>
        <v/>
      </c>
      <c r="F397">
        <f>'Runs Z score'!F390</f>
        <v/>
      </c>
      <c r="G397">
        <f>'Runs Z score'!G390</f>
        <v/>
      </c>
      <c r="H397">
        <f>VLOOKUP(C397,Recipes!$A$2:$N$4,10,FALSE())</f>
        <v/>
      </c>
      <c r="I397">
        <f>VLOOKUP(C397,Recipes!$A$2:$N$4,12,FALSE())</f>
        <v/>
      </c>
      <c r="J397">
        <f>IF(G397="","",H397-G397)</f>
        <v/>
      </c>
      <c r="K397">
        <f>IF(G397="","",IF(VLOOKUP(C397,Recipes!$A$2:$N$4,4,FALSE())=0,-1E+300,-0.5*((J397-Components!$D$2)/Components!$E$2)^2))</f>
        <v/>
      </c>
      <c r="L397">
        <f>IF(G397="","",IF(VLOOKUP(C397,Recipes!$A$2:$N$4,5,FALSE())=0,-1E+300,-0.5*((J397-Components!$D$3)/Components!$E$3)^2))</f>
        <v/>
      </c>
      <c r="M397">
        <f>IF(G397="","",IF(VLOOKUP(C397,Recipes!$A$2:$N$4,6,FALSE())=0,-1E+300,-0.5*((J397-Components!$D$4)/Components!$E$4)^2))</f>
        <v/>
      </c>
      <c r="N397">
        <f>IF(G397="","",IF(VLOOKUP(C397,Recipes!$A$2:$N$4,7,FALSE())=0,-1E+300,-0.5*((J397-Components!$D$5)/Components!$E$5)^2))</f>
        <v/>
      </c>
      <c r="O397">
        <f>IF(G397="","",IF(VLOOKUP(C397,Recipes!$A$2:$N$4,8,FALSE())=0,-1E+300,-0.5*((J397-Components!$D$6)/Components!$E$6)^2))</f>
        <v/>
      </c>
      <c r="P397">
        <f>IF(G397="","",IF(VLOOKUP(C397,Recipes!$A$2:$N$4,9,FALSE())=0,-1E+300,-0.5*((J397-Components!$D$7)/Components!$E$7)^2))</f>
        <v/>
      </c>
      <c r="Q397">
        <f>IF(G397="","",EXP(LARGE(K397:P397,1)-MAX(K397:P397))/(EXP(K397-MAX(K397:P397))+EXP(L397-MAX(K397:P397))+EXP(M397-MAX(K397:P397))+EXP(N397-MAX(K397:P397))+EXP(O397-MAX(K397:P397))+EXP(P397-MAX(K397:P397))))</f>
        <v/>
      </c>
      <c r="R397">
        <f>IF(G397="","",EXP(LARGE(K397:P397,2)-MAX(K397:P397))/(EXP(K397-MAX(K397:P397))+EXP(L397-MAX(K397:P397))+EXP(M397-MAX(K397:P397))+EXP(N397-MAX(K397:P397))+EXP(O397-MAX(K397:P397))+EXP(P397-MAX(K397:P397))))</f>
        <v/>
      </c>
      <c r="S397">
        <f>IF(G397="","",Q397-R397)</f>
        <v/>
      </c>
      <c r="T397">
        <f>IF(G397="","",IF(ABS(G397-H397)&lt;=$B$6*I397,"OK","NG"))</f>
        <v/>
      </c>
      <c r="U397">
        <f>IF(T397="","",IF(T397=D397,1,0))</f>
        <v/>
      </c>
      <c r="V397">
        <f>IF(G397="","",IF(T397="OK","NONE",INDEX({"S1","S2","W1","W2","N1","N2"},MATCH(MAX(K397:P397),K397:P397,0))))</f>
        <v/>
      </c>
      <c r="W397">
        <f>IF(G397="","",IF(V397=E397,1,0))</f>
        <v/>
      </c>
      <c r="X397">
        <f>IF(G397="","",IF(AND(T397="NG",S397&lt;$B$7),"AMBIGUOUS","CONFIDENT"))</f>
        <v/>
      </c>
    </row>
    <row r="398">
      <c r="A398">
        <f>'Runs Z score'!A391</f>
        <v/>
      </c>
      <c r="B398">
        <f>'Runs Z score'!B391</f>
        <v/>
      </c>
      <c r="C398">
        <f>'Runs Z score'!C391</f>
        <v/>
      </c>
      <c r="D398">
        <f>'Runs Z score'!D391</f>
        <v/>
      </c>
      <c r="E398">
        <f>'Runs Z score'!E391</f>
        <v/>
      </c>
      <c r="F398">
        <f>'Runs Z score'!F391</f>
        <v/>
      </c>
      <c r="G398">
        <f>'Runs Z score'!G391</f>
        <v/>
      </c>
      <c r="H398">
        <f>VLOOKUP(C398,Recipes!$A$2:$N$4,10,FALSE())</f>
        <v/>
      </c>
      <c r="I398">
        <f>VLOOKUP(C398,Recipes!$A$2:$N$4,12,FALSE())</f>
        <v/>
      </c>
      <c r="J398">
        <f>IF(G398="","",H398-G398)</f>
        <v/>
      </c>
      <c r="K398">
        <f>IF(G398="","",IF(VLOOKUP(C398,Recipes!$A$2:$N$4,4,FALSE())=0,-1E+300,-0.5*((J398-Components!$D$2)/Components!$E$2)^2))</f>
        <v/>
      </c>
      <c r="L398">
        <f>IF(G398="","",IF(VLOOKUP(C398,Recipes!$A$2:$N$4,5,FALSE())=0,-1E+300,-0.5*((J398-Components!$D$3)/Components!$E$3)^2))</f>
        <v/>
      </c>
      <c r="M398">
        <f>IF(G398="","",IF(VLOOKUP(C398,Recipes!$A$2:$N$4,6,FALSE())=0,-1E+300,-0.5*((J398-Components!$D$4)/Components!$E$4)^2))</f>
        <v/>
      </c>
      <c r="N398">
        <f>IF(G398="","",IF(VLOOKUP(C398,Recipes!$A$2:$N$4,7,FALSE())=0,-1E+300,-0.5*((J398-Components!$D$5)/Components!$E$5)^2))</f>
        <v/>
      </c>
      <c r="O398">
        <f>IF(G398="","",IF(VLOOKUP(C398,Recipes!$A$2:$N$4,8,FALSE())=0,-1E+300,-0.5*((J398-Components!$D$6)/Components!$E$6)^2))</f>
        <v/>
      </c>
      <c r="P398">
        <f>IF(G398="","",IF(VLOOKUP(C398,Recipes!$A$2:$N$4,9,FALSE())=0,-1E+300,-0.5*((J398-Components!$D$7)/Components!$E$7)^2))</f>
        <v/>
      </c>
      <c r="Q398">
        <f>IF(G398="","",EXP(LARGE(K398:P398,1)-MAX(K398:P398))/(EXP(K398-MAX(K398:P398))+EXP(L398-MAX(K398:P398))+EXP(M398-MAX(K398:P398))+EXP(N398-MAX(K398:P398))+EXP(O398-MAX(K398:P398))+EXP(P398-MAX(K398:P398))))</f>
        <v/>
      </c>
      <c r="R398">
        <f>IF(G398="","",EXP(LARGE(K398:P398,2)-MAX(K398:P398))/(EXP(K398-MAX(K398:P398))+EXP(L398-MAX(K398:P398))+EXP(M398-MAX(K398:P398))+EXP(N398-MAX(K398:P398))+EXP(O398-MAX(K398:P398))+EXP(P398-MAX(K398:P398))))</f>
        <v/>
      </c>
      <c r="S398">
        <f>IF(G398="","",Q398-R398)</f>
        <v/>
      </c>
      <c r="T398">
        <f>IF(G398="","",IF(ABS(G398-H398)&lt;=$B$6*I398,"OK","NG"))</f>
        <v/>
      </c>
      <c r="U398">
        <f>IF(T398="","",IF(T398=D398,1,0))</f>
        <v/>
      </c>
      <c r="V398">
        <f>IF(G398="","",IF(T398="OK","NONE",INDEX({"S1","S2","W1","W2","N1","N2"},MATCH(MAX(K398:P398),K398:P398,0))))</f>
        <v/>
      </c>
      <c r="W398">
        <f>IF(G398="","",IF(V398=E398,1,0))</f>
        <v/>
      </c>
      <c r="X398">
        <f>IF(G398="","",IF(AND(T398="NG",S398&lt;$B$7),"AMBIGUOUS","CONFIDENT"))</f>
        <v/>
      </c>
    </row>
    <row r="399">
      <c r="A399">
        <f>'Runs Z score'!A392</f>
        <v/>
      </c>
      <c r="B399">
        <f>'Runs Z score'!B392</f>
        <v/>
      </c>
      <c r="C399">
        <f>'Runs Z score'!C392</f>
        <v/>
      </c>
      <c r="D399">
        <f>'Runs Z score'!D392</f>
        <v/>
      </c>
      <c r="E399">
        <f>'Runs Z score'!E392</f>
        <v/>
      </c>
      <c r="F399">
        <f>'Runs Z score'!F392</f>
        <v/>
      </c>
      <c r="G399">
        <f>'Runs Z score'!G392</f>
        <v/>
      </c>
      <c r="H399">
        <f>VLOOKUP(C399,Recipes!$A$2:$N$4,10,FALSE())</f>
        <v/>
      </c>
      <c r="I399">
        <f>VLOOKUP(C399,Recipes!$A$2:$N$4,12,FALSE())</f>
        <v/>
      </c>
      <c r="J399">
        <f>IF(G399="","",H399-G399)</f>
        <v/>
      </c>
      <c r="K399">
        <f>IF(G399="","",IF(VLOOKUP(C399,Recipes!$A$2:$N$4,4,FALSE())=0,-1E+300,-0.5*((J399-Components!$D$2)/Components!$E$2)^2))</f>
        <v/>
      </c>
      <c r="L399">
        <f>IF(G399="","",IF(VLOOKUP(C399,Recipes!$A$2:$N$4,5,FALSE())=0,-1E+300,-0.5*((J399-Components!$D$3)/Components!$E$3)^2))</f>
        <v/>
      </c>
      <c r="M399">
        <f>IF(G399="","",IF(VLOOKUP(C399,Recipes!$A$2:$N$4,6,FALSE())=0,-1E+300,-0.5*((J399-Components!$D$4)/Components!$E$4)^2))</f>
        <v/>
      </c>
      <c r="N399">
        <f>IF(G399="","",IF(VLOOKUP(C399,Recipes!$A$2:$N$4,7,FALSE())=0,-1E+300,-0.5*((J399-Components!$D$5)/Components!$E$5)^2))</f>
        <v/>
      </c>
      <c r="O399">
        <f>IF(G399="","",IF(VLOOKUP(C399,Recipes!$A$2:$N$4,8,FALSE())=0,-1E+300,-0.5*((J399-Components!$D$6)/Components!$E$6)^2))</f>
        <v/>
      </c>
      <c r="P399">
        <f>IF(G399="","",IF(VLOOKUP(C399,Recipes!$A$2:$N$4,9,FALSE())=0,-1E+300,-0.5*((J399-Components!$D$7)/Components!$E$7)^2))</f>
        <v/>
      </c>
      <c r="Q399">
        <f>IF(G399="","",EXP(LARGE(K399:P399,1)-MAX(K399:P399))/(EXP(K399-MAX(K399:P399))+EXP(L399-MAX(K399:P399))+EXP(M399-MAX(K399:P399))+EXP(N399-MAX(K399:P399))+EXP(O399-MAX(K399:P399))+EXP(P399-MAX(K399:P399))))</f>
        <v/>
      </c>
      <c r="R399">
        <f>IF(G399="","",EXP(LARGE(K399:P399,2)-MAX(K399:P399))/(EXP(K399-MAX(K399:P399))+EXP(L399-MAX(K399:P399))+EXP(M399-MAX(K399:P399))+EXP(N399-MAX(K399:P399))+EXP(O399-MAX(K399:P399))+EXP(P399-MAX(K399:P399))))</f>
        <v/>
      </c>
      <c r="S399">
        <f>IF(G399="","",Q399-R399)</f>
        <v/>
      </c>
      <c r="T399">
        <f>IF(G399="","",IF(ABS(G399-H399)&lt;=$B$6*I399,"OK","NG"))</f>
        <v/>
      </c>
      <c r="U399">
        <f>IF(T399="","",IF(T399=D399,1,0))</f>
        <v/>
      </c>
      <c r="V399">
        <f>IF(G399="","",IF(T399="OK","NONE",INDEX({"S1","S2","W1","W2","N1","N2"},MATCH(MAX(K399:P399),K399:P399,0))))</f>
        <v/>
      </c>
      <c r="W399">
        <f>IF(G399="","",IF(V399=E399,1,0))</f>
        <v/>
      </c>
      <c r="X399">
        <f>IF(G399="","",IF(AND(T399="NG",S399&lt;$B$7),"AMBIGUOUS","CONFIDENT"))</f>
        <v/>
      </c>
    </row>
    <row r="400">
      <c r="A400">
        <f>'Runs Z score'!A393</f>
        <v/>
      </c>
      <c r="B400">
        <f>'Runs Z score'!B393</f>
        <v/>
      </c>
      <c r="C400">
        <f>'Runs Z score'!C393</f>
        <v/>
      </c>
      <c r="D400">
        <f>'Runs Z score'!D393</f>
        <v/>
      </c>
      <c r="E400">
        <f>'Runs Z score'!E393</f>
        <v/>
      </c>
      <c r="F400">
        <f>'Runs Z score'!F393</f>
        <v/>
      </c>
      <c r="G400">
        <f>'Runs Z score'!G393</f>
        <v/>
      </c>
      <c r="H400">
        <f>VLOOKUP(C400,Recipes!$A$2:$N$4,10,FALSE())</f>
        <v/>
      </c>
      <c r="I400">
        <f>VLOOKUP(C400,Recipes!$A$2:$N$4,12,FALSE())</f>
        <v/>
      </c>
      <c r="J400">
        <f>IF(G400="","",H400-G400)</f>
        <v/>
      </c>
      <c r="K400">
        <f>IF(G400="","",IF(VLOOKUP(C400,Recipes!$A$2:$N$4,4,FALSE())=0,-1E+300,-0.5*((J400-Components!$D$2)/Components!$E$2)^2))</f>
        <v/>
      </c>
      <c r="L400">
        <f>IF(G400="","",IF(VLOOKUP(C400,Recipes!$A$2:$N$4,5,FALSE())=0,-1E+300,-0.5*((J400-Components!$D$3)/Components!$E$3)^2))</f>
        <v/>
      </c>
      <c r="M400">
        <f>IF(G400="","",IF(VLOOKUP(C400,Recipes!$A$2:$N$4,6,FALSE())=0,-1E+300,-0.5*((J400-Components!$D$4)/Components!$E$4)^2))</f>
        <v/>
      </c>
      <c r="N400">
        <f>IF(G400="","",IF(VLOOKUP(C400,Recipes!$A$2:$N$4,7,FALSE())=0,-1E+300,-0.5*((J400-Components!$D$5)/Components!$E$5)^2))</f>
        <v/>
      </c>
      <c r="O400">
        <f>IF(G400="","",IF(VLOOKUP(C400,Recipes!$A$2:$N$4,8,FALSE())=0,-1E+300,-0.5*((J400-Components!$D$6)/Components!$E$6)^2))</f>
        <v/>
      </c>
      <c r="P400">
        <f>IF(G400="","",IF(VLOOKUP(C400,Recipes!$A$2:$N$4,9,FALSE())=0,-1E+300,-0.5*((J400-Components!$D$7)/Components!$E$7)^2))</f>
        <v/>
      </c>
      <c r="Q400">
        <f>IF(G400="","",EXP(LARGE(K400:P400,1)-MAX(K400:P400))/(EXP(K400-MAX(K400:P400))+EXP(L400-MAX(K400:P400))+EXP(M400-MAX(K400:P400))+EXP(N400-MAX(K400:P400))+EXP(O400-MAX(K400:P400))+EXP(P400-MAX(K400:P400))))</f>
        <v/>
      </c>
      <c r="R400">
        <f>IF(G400="","",EXP(LARGE(K400:P400,2)-MAX(K400:P400))/(EXP(K400-MAX(K400:P400))+EXP(L400-MAX(K400:P400))+EXP(M400-MAX(K400:P400))+EXP(N400-MAX(K400:P400))+EXP(O400-MAX(K400:P400))+EXP(P400-MAX(K400:P400))))</f>
        <v/>
      </c>
      <c r="S400">
        <f>IF(G400="","",Q400-R400)</f>
        <v/>
      </c>
      <c r="T400">
        <f>IF(G400="","",IF(ABS(G400-H400)&lt;=$B$6*I400,"OK","NG"))</f>
        <v/>
      </c>
      <c r="U400">
        <f>IF(T400="","",IF(T400=D400,1,0))</f>
        <v/>
      </c>
      <c r="V400">
        <f>IF(G400="","",IF(T400="OK","NONE",INDEX({"S1","S2","W1","W2","N1","N2"},MATCH(MAX(K400:P400),K400:P400,0))))</f>
        <v/>
      </c>
      <c r="W400">
        <f>IF(G400="","",IF(V400=E400,1,0))</f>
        <v/>
      </c>
      <c r="X400">
        <f>IF(G400="","",IF(AND(T400="NG",S400&lt;$B$7),"AMBIGUOUS","CONFIDENT"))</f>
        <v/>
      </c>
    </row>
    <row r="401">
      <c r="A401">
        <f>'Runs Z score'!A394</f>
        <v/>
      </c>
      <c r="B401">
        <f>'Runs Z score'!B394</f>
        <v/>
      </c>
      <c r="C401">
        <f>'Runs Z score'!C394</f>
        <v/>
      </c>
      <c r="D401">
        <f>'Runs Z score'!D394</f>
        <v/>
      </c>
      <c r="E401">
        <f>'Runs Z score'!E394</f>
        <v/>
      </c>
      <c r="F401">
        <f>'Runs Z score'!F394</f>
        <v/>
      </c>
      <c r="G401">
        <f>'Runs Z score'!G394</f>
        <v/>
      </c>
      <c r="H401">
        <f>VLOOKUP(C401,Recipes!$A$2:$N$4,10,FALSE())</f>
        <v/>
      </c>
      <c r="I401">
        <f>VLOOKUP(C401,Recipes!$A$2:$N$4,12,FALSE())</f>
        <v/>
      </c>
      <c r="J401">
        <f>IF(G401="","",H401-G401)</f>
        <v/>
      </c>
      <c r="K401">
        <f>IF(G401="","",IF(VLOOKUP(C401,Recipes!$A$2:$N$4,4,FALSE())=0,-1E+300,-0.5*((J401-Components!$D$2)/Components!$E$2)^2))</f>
        <v/>
      </c>
      <c r="L401">
        <f>IF(G401="","",IF(VLOOKUP(C401,Recipes!$A$2:$N$4,5,FALSE())=0,-1E+300,-0.5*((J401-Components!$D$3)/Components!$E$3)^2))</f>
        <v/>
      </c>
      <c r="M401">
        <f>IF(G401="","",IF(VLOOKUP(C401,Recipes!$A$2:$N$4,6,FALSE())=0,-1E+300,-0.5*((J401-Components!$D$4)/Components!$E$4)^2))</f>
        <v/>
      </c>
      <c r="N401">
        <f>IF(G401="","",IF(VLOOKUP(C401,Recipes!$A$2:$N$4,7,FALSE())=0,-1E+300,-0.5*((J401-Components!$D$5)/Components!$E$5)^2))</f>
        <v/>
      </c>
      <c r="O401">
        <f>IF(G401="","",IF(VLOOKUP(C401,Recipes!$A$2:$N$4,8,FALSE())=0,-1E+300,-0.5*((J401-Components!$D$6)/Components!$E$6)^2))</f>
        <v/>
      </c>
      <c r="P401">
        <f>IF(G401="","",IF(VLOOKUP(C401,Recipes!$A$2:$N$4,9,FALSE())=0,-1E+300,-0.5*((J401-Components!$D$7)/Components!$E$7)^2))</f>
        <v/>
      </c>
      <c r="Q401">
        <f>IF(G401="","",EXP(LARGE(K401:P401,1)-MAX(K401:P401))/(EXP(K401-MAX(K401:P401))+EXP(L401-MAX(K401:P401))+EXP(M401-MAX(K401:P401))+EXP(N401-MAX(K401:P401))+EXP(O401-MAX(K401:P401))+EXP(P401-MAX(K401:P401))))</f>
        <v/>
      </c>
      <c r="R401">
        <f>IF(G401="","",EXP(LARGE(K401:P401,2)-MAX(K401:P401))/(EXP(K401-MAX(K401:P401))+EXP(L401-MAX(K401:P401))+EXP(M401-MAX(K401:P401))+EXP(N401-MAX(K401:P401))+EXP(O401-MAX(K401:P401))+EXP(P401-MAX(K401:P401))))</f>
        <v/>
      </c>
      <c r="S401">
        <f>IF(G401="","",Q401-R401)</f>
        <v/>
      </c>
      <c r="T401">
        <f>IF(G401="","",IF(ABS(G401-H401)&lt;=$B$6*I401,"OK","NG"))</f>
        <v/>
      </c>
      <c r="U401">
        <f>IF(T401="","",IF(T401=D401,1,0))</f>
        <v/>
      </c>
      <c r="V401">
        <f>IF(G401="","",IF(T401="OK","NONE",INDEX({"S1","S2","W1","W2","N1","N2"},MATCH(MAX(K401:P401),K401:P401,0))))</f>
        <v/>
      </c>
      <c r="W401">
        <f>IF(G401="","",IF(V401=E401,1,0))</f>
        <v/>
      </c>
      <c r="X401">
        <f>IF(G401="","",IF(AND(T401="NG",S401&lt;$B$7),"AMBIGUOUS","CONFIDENT"))</f>
        <v/>
      </c>
    </row>
    <row r="402">
      <c r="A402">
        <f>'Runs Z score'!A395</f>
        <v/>
      </c>
      <c r="B402">
        <f>'Runs Z score'!B395</f>
        <v/>
      </c>
      <c r="C402">
        <f>'Runs Z score'!C395</f>
        <v/>
      </c>
      <c r="D402">
        <f>'Runs Z score'!D395</f>
        <v/>
      </c>
      <c r="E402">
        <f>'Runs Z score'!E395</f>
        <v/>
      </c>
      <c r="F402">
        <f>'Runs Z score'!F395</f>
        <v/>
      </c>
      <c r="G402">
        <f>'Runs Z score'!G395</f>
        <v/>
      </c>
      <c r="H402">
        <f>VLOOKUP(C402,Recipes!$A$2:$N$4,10,FALSE())</f>
        <v/>
      </c>
      <c r="I402">
        <f>VLOOKUP(C402,Recipes!$A$2:$N$4,12,FALSE())</f>
        <v/>
      </c>
      <c r="J402">
        <f>IF(G402="","",H402-G402)</f>
        <v/>
      </c>
      <c r="K402">
        <f>IF(G402="","",IF(VLOOKUP(C402,Recipes!$A$2:$N$4,4,FALSE())=0,-1E+300,-0.5*((J402-Components!$D$2)/Components!$E$2)^2))</f>
        <v/>
      </c>
      <c r="L402">
        <f>IF(G402="","",IF(VLOOKUP(C402,Recipes!$A$2:$N$4,5,FALSE())=0,-1E+300,-0.5*((J402-Components!$D$3)/Components!$E$3)^2))</f>
        <v/>
      </c>
      <c r="M402">
        <f>IF(G402="","",IF(VLOOKUP(C402,Recipes!$A$2:$N$4,6,FALSE())=0,-1E+300,-0.5*((J402-Components!$D$4)/Components!$E$4)^2))</f>
        <v/>
      </c>
      <c r="N402">
        <f>IF(G402="","",IF(VLOOKUP(C402,Recipes!$A$2:$N$4,7,FALSE())=0,-1E+300,-0.5*((J402-Components!$D$5)/Components!$E$5)^2))</f>
        <v/>
      </c>
      <c r="O402">
        <f>IF(G402="","",IF(VLOOKUP(C402,Recipes!$A$2:$N$4,8,FALSE())=0,-1E+300,-0.5*((J402-Components!$D$6)/Components!$E$6)^2))</f>
        <v/>
      </c>
      <c r="P402">
        <f>IF(G402="","",IF(VLOOKUP(C402,Recipes!$A$2:$N$4,9,FALSE())=0,-1E+300,-0.5*((J402-Components!$D$7)/Components!$E$7)^2))</f>
        <v/>
      </c>
      <c r="Q402">
        <f>IF(G402="","",EXP(LARGE(K402:P402,1)-MAX(K402:P402))/(EXP(K402-MAX(K402:P402))+EXP(L402-MAX(K402:P402))+EXP(M402-MAX(K402:P402))+EXP(N402-MAX(K402:P402))+EXP(O402-MAX(K402:P402))+EXP(P402-MAX(K402:P402))))</f>
        <v/>
      </c>
      <c r="R402">
        <f>IF(G402="","",EXP(LARGE(K402:P402,2)-MAX(K402:P402))/(EXP(K402-MAX(K402:P402))+EXP(L402-MAX(K402:P402))+EXP(M402-MAX(K402:P402))+EXP(N402-MAX(K402:P402))+EXP(O402-MAX(K402:P402))+EXP(P402-MAX(K402:P402))))</f>
        <v/>
      </c>
      <c r="S402">
        <f>IF(G402="","",Q402-R402)</f>
        <v/>
      </c>
      <c r="T402">
        <f>IF(G402="","",IF(ABS(G402-H402)&lt;=$B$6*I402,"OK","NG"))</f>
        <v/>
      </c>
      <c r="U402">
        <f>IF(T402="","",IF(T402=D402,1,0))</f>
        <v/>
      </c>
      <c r="V402">
        <f>IF(G402="","",IF(T402="OK","NONE",INDEX({"S1","S2","W1","W2","N1","N2"},MATCH(MAX(K402:P402),K402:P402,0))))</f>
        <v/>
      </c>
      <c r="W402">
        <f>IF(G402="","",IF(V402=E402,1,0))</f>
        <v/>
      </c>
      <c r="X402">
        <f>IF(G402="","",IF(AND(T402="NG",S402&lt;$B$7),"AMBIGUOUS","CONFIDENT"))</f>
        <v/>
      </c>
    </row>
    <row r="403">
      <c r="A403">
        <f>'Runs Z score'!A396</f>
        <v/>
      </c>
      <c r="B403">
        <f>'Runs Z score'!B396</f>
        <v/>
      </c>
      <c r="C403">
        <f>'Runs Z score'!C396</f>
        <v/>
      </c>
      <c r="D403">
        <f>'Runs Z score'!D396</f>
        <v/>
      </c>
      <c r="E403">
        <f>'Runs Z score'!E396</f>
        <v/>
      </c>
      <c r="F403">
        <f>'Runs Z score'!F396</f>
        <v/>
      </c>
      <c r="G403">
        <f>'Runs Z score'!G396</f>
        <v/>
      </c>
      <c r="H403">
        <f>VLOOKUP(C403,Recipes!$A$2:$N$4,10,FALSE())</f>
        <v/>
      </c>
      <c r="I403">
        <f>VLOOKUP(C403,Recipes!$A$2:$N$4,12,FALSE())</f>
        <v/>
      </c>
      <c r="J403">
        <f>IF(G403="","",H403-G403)</f>
        <v/>
      </c>
      <c r="K403">
        <f>IF(G403="","",IF(VLOOKUP(C403,Recipes!$A$2:$N$4,4,FALSE())=0,-1E+300,-0.5*((J403-Components!$D$2)/Components!$E$2)^2))</f>
        <v/>
      </c>
      <c r="L403">
        <f>IF(G403="","",IF(VLOOKUP(C403,Recipes!$A$2:$N$4,5,FALSE())=0,-1E+300,-0.5*((J403-Components!$D$3)/Components!$E$3)^2))</f>
        <v/>
      </c>
      <c r="M403">
        <f>IF(G403="","",IF(VLOOKUP(C403,Recipes!$A$2:$N$4,6,FALSE())=0,-1E+300,-0.5*((J403-Components!$D$4)/Components!$E$4)^2))</f>
        <v/>
      </c>
      <c r="N403">
        <f>IF(G403="","",IF(VLOOKUP(C403,Recipes!$A$2:$N$4,7,FALSE())=0,-1E+300,-0.5*((J403-Components!$D$5)/Components!$E$5)^2))</f>
        <v/>
      </c>
      <c r="O403">
        <f>IF(G403="","",IF(VLOOKUP(C403,Recipes!$A$2:$N$4,8,FALSE())=0,-1E+300,-0.5*((J403-Components!$D$6)/Components!$E$6)^2))</f>
        <v/>
      </c>
      <c r="P403">
        <f>IF(G403="","",IF(VLOOKUP(C403,Recipes!$A$2:$N$4,9,FALSE())=0,-1E+300,-0.5*((J403-Components!$D$7)/Components!$E$7)^2))</f>
        <v/>
      </c>
      <c r="Q403">
        <f>IF(G403="","",EXP(LARGE(K403:P403,1)-MAX(K403:P403))/(EXP(K403-MAX(K403:P403))+EXP(L403-MAX(K403:P403))+EXP(M403-MAX(K403:P403))+EXP(N403-MAX(K403:P403))+EXP(O403-MAX(K403:P403))+EXP(P403-MAX(K403:P403))))</f>
        <v/>
      </c>
      <c r="R403">
        <f>IF(G403="","",EXP(LARGE(K403:P403,2)-MAX(K403:P403))/(EXP(K403-MAX(K403:P403))+EXP(L403-MAX(K403:P403))+EXP(M403-MAX(K403:P403))+EXP(N403-MAX(K403:P403))+EXP(O403-MAX(K403:P403))+EXP(P403-MAX(K403:P403))))</f>
        <v/>
      </c>
      <c r="S403">
        <f>IF(G403="","",Q403-R403)</f>
        <v/>
      </c>
      <c r="T403">
        <f>IF(G403="","",IF(ABS(G403-H403)&lt;=$B$6*I403,"OK","NG"))</f>
        <v/>
      </c>
      <c r="U403">
        <f>IF(T403="","",IF(T403=D403,1,0))</f>
        <v/>
      </c>
      <c r="V403">
        <f>IF(G403="","",IF(T403="OK","NONE",INDEX({"S1","S2","W1","W2","N1","N2"},MATCH(MAX(K403:P403),K403:P403,0))))</f>
        <v/>
      </c>
      <c r="W403">
        <f>IF(G403="","",IF(V403=E403,1,0))</f>
        <v/>
      </c>
      <c r="X403">
        <f>IF(G403="","",IF(AND(T403="NG",S403&lt;$B$7),"AMBIGUOUS","CONFIDENT"))</f>
        <v/>
      </c>
    </row>
    <row r="404">
      <c r="A404">
        <f>'Runs Z score'!A397</f>
        <v/>
      </c>
      <c r="B404">
        <f>'Runs Z score'!B397</f>
        <v/>
      </c>
      <c r="C404">
        <f>'Runs Z score'!C397</f>
        <v/>
      </c>
      <c r="D404">
        <f>'Runs Z score'!D397</f>
        <v/>
      </c>
      <c r="E404">
        <f>'Runs Z score'!E397</f>
        <v/>
      </c>
      <c r="F404">
        <f>'Runs Z score'!F397</f>
        <v/>
      </c>
      <c r="G404">
        <f>'Runs Z score'!G397</f>
        <v/>
      </c>
      <c r="H404">
        <f>VLOOKUP(C404,Recipes!$A$2:$N$4,10,FALSE())</f>
        <v/>
      </c>
      <c r="I404">
        <f>VLOOKUP(C404,Recipes!$A$2:$N$4,12,FALSE())</f>
        <v/>
      </c>
      <c r="J404">
        <f>IF(G404="","",H404-G404)</f>
        <v/>
      </c>
      <c r="K404">
        <f>IF(G404="","",IF(VLOOKUP(C404,Recipes!$A$2:$N$4,4,FALSE())=0,-1E+300,-0.5*((J404-Components!$D$2)/Components!$E$2)^2))</f>
        <v/>
      </c>
      <c r="L404">
        <f>IF(G404="","",IF(VLOOKUP(C404,Recipes!$A$2:$N$4,5,FALSE())=0,-1E+300,-0.5*((J404-Components!$D$3)/Components!$E$3)^2))</f>
        <v/>
      </c>
      <c r="M404">
        <f>IF(G404="","",IF(VLOOKUP(C404,Recipes!$A$2:$N$4,6,FALSE())=0,-1E+300,-0.5*((J404-Components!$D$4)/Components!$E$4)^2))</f>
        <v/>
      </c>
      <c r="N404">
        <f>IF(G404="","",IF(VLOOKUP(C404,Recipes!$A$2:$N$4,7,FALSE())=0,-1E+300,-0.5*((J404-Components!$D$5)/Components!$E$5)^2))</f>
        <v/>
      </c>
      <c r="O404">
        <f>IF(G404="","",IF(VLOOKUP(C404,Recipes!$A$2:$N$4,8,FALSE())=0,-1E+300,-0.5*((J404-Components!$D$6)/Components!$E$6)^2))</f>
        <v/>
      </c>
      <c r="P404">
        <f>IF(G404="","",IF(VLOOKUP(C404,Recipes!$A$2:$N$4,9,FALSE())=0,-1E+300,-0.5*((J404-Components!$D$7)/Components!$E$7)^2))</f>
        <v/>
      </c>
      <c r="Q404">
        <f>IF(G404="","",EXP(LARGE(K404:P404,1)-MAX(K404:P404))/(EXP(K404-MAX(K404:P404))+EXP(L404-MAX(K404:P404))+EXP(M404-MAX(K404:P404))+EXP(N404-MAX(K404:P404))+EXP(O404-MAX(K404:P404))+EXP(P404-MAX(K404:P404))))</f>
        <v/>
      </c>
      <c r="R404">
        <f>IF(G404="","",EXP(LARGE(K404:P404,2)-MAX(K404:P404))/(EXP(K404-MAX(K404:P404))+EXP(L404-MAX(K404:P404))+EXP(M404-MAX(K404:P404))+EXP(N404-MAX(K404:P404))+EXP(O404-MAX(K404:P404))+EXP(P404-MAX(K404:P404))))</f>
        <v/>
      </c>
      <c r="S404">
        <f>IF(G404="","",Q404-R404)</f>
        <v/>
      </c>
      <c r="T404">
        <f>IF(G404="","",IF(ABS(G404-H404)&lt;=$B$6*I404,"OK","NG"))</f>
        <v/>
      </c>
      <c r="U404">
        <f>IF(T404="","",IF(T404=D404,1,0))</f>
        <v/>
      </c>
      <c r="V404">
        <f>IF(G404="","",IF(T404="OK","NONE",INDEX({"S1","S2","W1","W2","N1","N2"},MATCH(MAX(K404:P404),K404:P404,0))))</f>
        <v/>
      </c>
      <c r="W404">
        <f>IF(G404="","",IF(V404=E404,1,0))</f>
        <v/>
      </c>
      <c r="X404">
        <f>IF(G404="","",IF(AND(T404="NG",S404&lt;$B$7),"AMBIGUOUS","CONFIDENT"))</f>
        <v/>
      </c>
    </row>
    <row r="405">
      <c r="A405">
        <f>'Runs Z score'!A398</f>
        <v/>
      </c>
      <c r="B405">
        <f>'Runs Z score'!B398</f>
        <v/>
      </c>
      <c r="C405">
        <f>'Runs Z score'!C398</f>
        <v/>
      </c>
      <c r="D405">
        <f>'Runs Z score'!D398</f>
        <v/>
      </c>
      <c r="E405">
        <f>'Runs Z score'!E398</f>
        <v/>
      </c>
      <c r="F405">
        <f>'Runs Z score'!F398</f>
        <v/>
      </c>
      <c r="G405">
        <f>'Runs Z score'!G398</f>
        <v/>
      </c>
      <c r="H405">
        <f>VLOOKUP(C405,Recipes!$A$2:$N$4,10,FALSE())</f>
        <v/>
      </c>
      <c r="I405">
        <f>VLOOKUP(C405,Recipes!$A$2:$N$4,12,FALSE())</f>
        <v/>
      </c>
      <c r="J405">
        <f>IF(G405="","",H405-G405)</f>
        <v/>
      </c>
      <c r="K405">
        <f>IF(G405="","",IF(VLOOKUP(C405,Recipes!$A$2:$N$4,4,FALSE())=0,-1E+300,-0.5*((J405-Components!$D$2)/Components!$E$2)^2))</f>
        <v/>
      </c>
      <c r="L405">
        <f>IF(G405="","",IF(VLOOKUP(C405,Recipes!$A$2:$N$4,5,FALSE())=0,-1E+300,-0.5*((J405-Components!$D$3)/Components!$E$3)^2))</f>
        <v/>
      </c>
      <c r="M405">
        <f>IF(G405="","",IF(VLOOKUP(C405,Recipes!$A$2:$N$4,6,FALSE())=0,-1E+300,-0.5*((J405-Components!$D$4)/Components!$E$4)^2))</f>
        <v/>
      </c>
      <c r="N405">
        <f>IF(G405="","",IF(VLOOKUP(C405,Recipes!$A$2:$N$4,7,FALSE())=0,-1E+300,-0.5*((J405-Components!$D$5)/Components!$E$5)^2))</f>
        <v/>
      </c>
      <c r="O405">
        <f>IF(G405="","",IF(VLOOKUP(C405,Recipes!$A$2:$N$4,8,FALSE())=0,-1E+300,-0.5*((J405-Components!$D$6)/Components!$E$6)^2))</f>
        <v/>
      </c>
      <c r="P405">
        <f>IF(G405="","",IF(VLOOKUP(C405,Recipes!$A$2:$N$4,9,FALSE())=0,-1E+300,-0.5*((J405-Components!$D$7)/Components!$E$7)^2))</f>
        <v/>
      </c>
      <c r="Q405">
        <f>IF(G405="","",EXP(LARGE(K405:P405,1)-MAX(K405:P405))/(EXP(K405-MAX(K405:P405))+EXP(L405-MAX(K405:P405))+EXP(M405-MAX(K405:P405))+EXP(N405-MAX(K405:P405))+EXP(O405-MAX(K405:P405))+EXP(P405-MAX(K405:P405))))</f>
        <v/>
      </c>
      <c r="R405">
        <f>IF(G405="","",EXP(LARGE(K405:P405,2)-MAX(K405:P405))/(EXP(K405-MAX(K405:P405))+EXP(L405-MAX(K405:P405))+EXP(M405-MAX(K405:P405))+EXP(N405-MAX(K405:P405))+EXP(O405-MAX(K405:P405))+EXP(P405-MAX(K405:P405))))</f>
        <v/>
      </c>
      <c r="S405">
        <f>IF(G405="","",Q405-R405)</f>
        <v/>
      </c>
      <c r="T405">
        <f>IF(G405="","",IF(ABS(G405-H405)&lt;=$B$6*I405,"OK","NG"))</f>
        <v/>
      </c>
      <c r="U405">
        <f>IF(T405="","",IF(T405=D405,1,0))</f>
        <v/>
      </c>
      <c r="V405">
        <f>IF(G405="","",IF(T405="OK","NONE",INDEX({"S1","S2","W1","W2","N1","N2"},MATCH(MAX(K405:P405),K405:P405,0))))</f>
        <v/>
      </c>
      <c r="W405">
        <f>IF(G405="","",IF(V405=E405,1,0))</f>
        <v/>
      </c>
      <c r="X405">
        <f>IF(G405="","",IF(AND(T405="NG",S405&lt;$B$7),"AMBIGUOUS","CONFIDENT"))</f>
        <v/>
      </c>
    </row>
    <row r="406">
      <c r="A406">
        <f>'Runs Z score'!A399</f>
        <v/>
      </c>
      <c r="B406">
        <f>'Runs Z score'!B399</f>
        <v/>
      </c>
      <c r="C406">
        <f>'Runs Z score'!C399</f>
        <v/>
      </c>
      <c r="D406">
        <f>'Runs Z score'!D399</f>
        <v/>
      </c>
      <c r="E406">
        <f>'Runs Z score'!E399</f>
        <v/>
      </c>
      <c r="F406">
        <f>'Runs Z score'!F399</f>
        <v/>
      </c>
      <c r="G406">
        <f>'Runs Z score'!G399</f>
        <v/>
      </c>
      <c r="H406">
        <f>VLOOKUP(C406,Recipes!$A$2:$N$4,10,FALSE())</f>
        <v/>
      </c>
      <c r="I406">
        <f>VLOOKUP(C406,Recipes!$A$2:$N$4,12,FALSE())</f>
        <v/>
      </c>
      <c r="J406">
        <f>IF(G406="","",H406-G406)</f>
        <v/>
      </c>
      <c r="K406">
        <f>IF(G406="","",IF(VLOOKUP(C406,Recipes!$A$2:$N$4,4,FALSE())=0,-1E+300,-0.5*((J406-Components!$D$2)/Components!$E$2)^2))</f>
        <v/>
      </c>
      <c r="L406">
        <f>IF(G406="","",IF(VLOOKUP(C406,Recipes!$A$2:$N$4,5,FALSE())=0,-1E+300,-0.5*((J406-Components!$D$3)/Components!$E$3)^2))</f>
        <v/>
      </c>
      <c r="M406">
        <f>IF(G406="","",IF(VLOOKUP(C406,Recipes!$A$2:$N$4,6,FALSE())=0,-1E+300,-0.5*((J406-Components!$D$4)/Components!$E$4)^2))</f>
        <v/>
      </c>
      <c r="N406">
        <f>IF(G406="","",IF(VLOOKUP(C406,Recipes!$A$2:$N$4,7,FALSE())=0,-1E+300,-0.5*((J406-Components!$D$5)/Components!$E$5)^2))</f>
        <v/>
      </c>
      <c r="O406">
        <f>IF(G406="","",IF(VLOOKUP(C406,Recipes!$A$2:$N$4,8,FALSE())=0,-1E+300,-0.5*((J406-Components!$D$6)/Components!$E$6)^2))</f>
        <v/>
      </c>
      <c r="P406">
        <f>IF(G406="","",IF(VLOOKUP(C406,Recipes!$A$2:$N$4,9,FALSE())=0,-1E+300,-0.5*((J406-Components!$D$7)/Components!$E$7)^2))</f>
        <v/>
      </c>
      <c r="Q406">
        <f>IF(G406="","",EXP(LARGE(K406:P406,1)-MAX(K406:P406))/(EXP(K406-MAX(K406:P406))+EXP(L406-MAX(K406:P406))+EXP(M406-MAX(K406:P406))+EXP(N406-MAX(K406:P406))+EXP(O406-MAX(K406:P406))+EXP(P406-MAX(K406:P406))))</f>
        <v/>
      </c>
      <c r="R406">
        <f>IF(G406="","",EXP(LARGE(K406:P406,2)-MAX(K406:P406))/(EXP(K406-MAX(K406:P406))+EXP(L406-MAX(K406:P406))+EXP(M406-MAX(K406:P406))+EXP(N406-MAX(K406:P406))+EXP(O406-MAX(K406:P406))+EXP(P406-MAX(K406:P406))))</f>
        <v/>
      </c>
      <c r="S406">
        <f>IF(G406="","",Q406-R406)</f>
        <v/>
      </c>
      <c r="T406">
        <f>IF(G406="","",IF(ABS(G406-H406)&lt;=$B$6*I406,"OK","NG"))</f>
        <v/>
      </c>
      <c r="U406">
        <f>IF(T406="","",IF(T406=D406,1,0))</f>
        <v/>
      </c>
      <c r="V406">
        <f>IF(G406="","",IF(T406="OK","NONE",INDEX({"S1","S2","W1","W2","N1","N2"},MATCH(MAX(K406:P406),K406:P406,0))))</f>
        <v/>
      </c>
      <c r="W406">
        <f>IF(G406="","",IF(V406=E406,1,0))</f>
        <v/>
      </c>
      <c r="X406">
        <f>IF(G406="","",IF(AND(T406="NG",S406&lt;$B$7),"AMBIGUOUS","CONFIDENT"))</f>
        <v/>
      </c>
    </row>
    <row r="407">
      <c r="A407">
        <f>'Runs Z score'!A400</f>
        <v/>
      </c>
      <c r="B407">
        <f>'Runs Z score'!B400</f>
        <v/>
      </c>
      <c r="C407">
        <f>'Runs Z score'!C400</f>
        <v/>
      </c>
      <c r="D407">
        <f>'Runs Z score'!D400</f>
        <v/>
      </c>
      <c r="E407">
        <f>'Runs Z score'!E400</f>
        <v/>
      </c>
      <c r="F407">
        <f>'Runs Z score'!F400</f>
        <v/>
      </c>
      <c r="G407">
        <f>'Runs Z score'!G400</f>
        <v/>
      </c>
      <c r="H407">
        <f>VLOOKUP(C407,Recipes!$A$2:$N$4,10,FALSE())</f>
        <v/>
      </c>
      <c r="I407">
        <f>VLOOKUP(C407,Recipes!$A$2:$N$4,12,FALSE())</f>
        <v/>
      </c>
      <c r="J407">
        <f>IF(G407="","",H407-G407)</f>
        <v/>
      </c>
      <c r="K407">
        <f>IF(G407="","",IF(VLOOKUP(C407,Recipes!$A$2:$N$4,4,FALSE())=0,-1E+300,-0.5*((J407-Components!$D$2)/Components!$E$2)^2))</f>
        <v/>
      </c>
      <c r="L407">
        <f>IF(G407="","",IF(VLOOKUP(C407,Recipes!$A$2:$N$4,5,FALSE())=0,-1E+300,-0.5*((J407-Components!$D$3)/Components!$E$3)^2))</f>
        <v/>
      </c>
      <c r="M407">
        <f>IF(G407="","",IF(VLOOKUP(C407,Recipes!$A$2:$N$4,6,FALSE())=0,-1E+300,-0.5*((J407-Components!$D$4)/Components!$E$4)^2))</f>
        <v/>
      </c>
      <c r="N407">
        <f>IF(G407="","",IF(VLOOKUP(C407,Recipes!$A$2:$N$4,7,FALSE())=0,-1E+300,-0.5*((J407-Components!$D$5)/Components!$E$5)^2))</f>
        <v/>
      </c>
      <c r="O407">
        <f>IF(G407="","",IF(VLOOKUP(C407,Recipes!$A$2:$N$4,8,FALSE())=0,-1E+300,-0.5*((J407-Components!$D$6)/Components!$E$6)^2))</f>
        <v/>
      </c>
      <c r="P407">
        <f>IF(G407="","",IF(VLOOKUP(C407,Recipes!$A$2:$N$4,9,FALSE())=0,-1E+300,-0.5*((J407-Components!$D$7)/Components!$E$7)^2))</f>
        <v/>
      </c>
      <c r="Q407">
        <f>IF(G407="","",EXP(LARGE(K407:P407,1)-MAX(K407:P407))/(EXP(K407-MAX(K407:P407))+EXP(L407-MAX(K407:P407))+EXP(M407-MAX(K407:P407))+EXP(N407-MAX(K407:P407))+EXP(O407-MAX(K407:P407))+EXP(P407-MAX(K407:P407))))</f>
        <v/>
      </c>
      <c r="R407">
        <f>IF(G407="","",EXP(LARGE(K407:P407,2)-MAX(K407:P407))/(EXP(K407-MAX(K407:P407))+EXP(L407-MAX(K407:P407))+EXP(M407-MAX(K407:P407))+EXP(N407-MAX(K407:P407))+EXP(O407-MAX(K407:P407))+EXP(P407-MAX(K407:P407))))</f>
        <v/>
      </c>
      <c r="S407">
        <f>IF(G407="","",Q407-R407)</f>
        <v/>
      </c>
      <c r="T407">
        <f>IF(G407="","",IF(ABS(G407-H407)&lt;=$B$6*I407,"OK","NG"))</f>
        <v/>
      </c>
      <c r="U407">
        <f>IF(T407="","",IF(T407=D407,1,0))</f>
        <v/>
      </c>
      <c r="V407">
        <f>IF(G407="","",IF(T407="OK","NONE",INDEX({"S1","S2","W1","W2","N1","N2"},MATCH(MAX(K407:P407),K407:P407,0))))</f>
        <v/>
      </c>
      <c r="W407">
        <f>IF(G407="","",IF(V407=E407,1,0))</f>
        <v/>
      </c>
      <c r="X407">
        <f>IF(G407="","",IF(AND(T407="NG",S407&lt;$B$7),"AMBIGUOUS","CONFIDENT"))</f>
        <v/>
      </c>
    </row>
    <row r="408">
      <c r="A408">
        <f>'Runs Z score'!A401</f>
        <v/>
      </c>
      <c r="B408">
        <f>'Runs Z score'!B401</f>
        <v/>
      </c>
      <c r="C408">
        <f>'Runs Z score'!C401</f>
        <v/>
      </c>
      <c r="D408">
        <f>'Runs Z score'!D401</f>
        <v/>
      </c>
      <c r="E408">
        <f>'Runs Z score'!E401</f>
        <v/>
      </c>
      <c r="F408">
        <f>'Runs Z score'!F401</f>
        <v/>
      </c>
      <c r="G408">
        <f>'Runs Z score'!G401</f>
        <v/>
      </c>
      <c r="H408">
        <f>VLOOKUP(C408,Recipes!$A$2:$N$4,10,FALSE())</f>
        <v/>
      </c>
      <c r="I408">
        <f>VLOOKUP(C408,Recipes!$A$2:$N$4,12,FALSE())</f>
        <v/>
      </c>
      <c r="J408">
        <f>IF(G408="","",H408-G408)</f>
        <v/>
      </c>
      <c r="K408">
        <f>IF(G408="","",IF(VLOOKUP(C408,Recipes!$A$2:$N$4,4,FALSE())=0,-1E+300,-0.5*((J408-Components!$D$2)/Components!$E$2)^2))</f>
        <v/>
      </c>
      <c r="L408">
        <f>IF(G408="","",IF(VLOOKUP(C408,Recipes!$A$2:$N$4,5,FALSE())=0,-1E+300,-0.5*((J408-Components!$D$3)/Components!$E$3)^2))</f>
        <v/>
      </c>
      <c r="M408">
        <f>IF(G408="","",IF(VLOOKUP(C408,Recipes!$A$2:$N$4,6,FALSE())=0,-1E+300,-0.5*((J408-Components!$D$4)/Components!$E$4)^2))</f>
        <v/>
      </c>
      <c r="N408">
        <f>IF(G408="","",IF(VLOOKUP(C408,Recipes!$A$2:$N$4,7,FALSE())=0,-1E+300,-0.5*((J408-Components!$D$5)/Components!$E$5)^2))</f>
        <v/>
      </c>
      <c r="O408">
        <f>IF(G408="","",IF(VLOOKUP(C408,Recipes!$A$2:$N$4,8,FALSE())=0,-1E+300,-0.5*((J408-Components!$D$6)/Components!$E$6)^2))</f>
        <v/>
      </c>
      <c r="P408">
        <f>IF(G408="","",IF(VLOOKUP(C408,Recipes!$A$2:$N$4,9,FALSE())=0,-1E+300,-0.5*((J408-Components!$D$7)/Components!$E$7)^2))</f>
        <v/>
      </c>
      <c r="Q408">
        <f>IF(G408="","",EXP(LARGE(K408:P408,1)-MAX(K408:P408))/(EXP(K408-MAX(K408:P408))+EXP(L408-MAX(K408:P408))+EXP(M408-MAX(K408:P408))+EXP(N408-MAX(K408:P408))+EXP(O408-MAX(K408:P408))+EXP(P408-MAX(K408:P408))))</f>
        <v/>
      </c>
      <c r="R408">
        <f>IF(G408="","",EXP(LARGE(K408:P408,2)-MAX(K408:P408))/(EXP(K408-MAX(K408:P408))+EXP(L408-MAX(K408:P408))+EXP(M408-MAX(K408:P408))+EXP(N408-MAX(K408:P408))+EXP(O408-MAX(K408:P408))+EXP(P408-MAX(K408:P408))))</f>
        <v/>
      </c>
      <c r="S408">
        <f>IF(G408="","",Q408-R408)</f>
        <v/>
      </c>
      <c r="T408">
        <f>IF(G408="","",IF(ABS(G408-H408)&lt;=$B$6*I408,"OK","NG"))</f>
        <v/>
      </c>
      <c r="U408">
        <f>IF(T408="","",IF(T408=D408,1,0))</f>
        <v/>
      </c>
      <c r="V408">
        <f>IF(G408="","",IF(T408="OK","NONE",INDEX({"S1","S2","W1","W2","N1","N2"},MATCH(MAX(K408:P408),K408:P408,0))))</f>
        <v/>
      </c>
      <c r="W408">
        <f>IF(G408="","",IF(V408=E408,1,0))</f>
        <v/>
      </c>
      <c r="X408">
        <f>IF(G408="","",IF(AND(T408="NG",S408&lt;$B$7),"AMBIGUOUS","CONFIDENT"))</f>
        <v/>
      </c>
    </row>
    <row r="409">
      <c r="A409">
        <f>'Runs Z score'!A402</f>
        <v/>
      </c>
      <c r="B409">
        <f>'Runs Z score'!B402</f>
        <v/>
      </c>
      <c r="C409">
        <f>'Runs Z score'!C402</f>
        <v/>
      </c>
      <c r="D409">
        <f>'Runs Z score'!D402</f>
        <v/>
      </c>
      <c r="E409">
        <f>'Runs Z score'!E402</f>
        <v/>
      </c>
      <c r="F409">
        <f>'Runs Z score'!F402</f>
        <v/>
      </c>
      <c r="G409">
        <f>'Runs Z score'!G402</f>
        <v/>
      </c>
      <c r="H409">
        <f>VLOOKUP(C409,Recipes!$A$2:$N$4,10,FALSE())</f>
        <v/>
      </c>
      <c r="I409">
        <f>VLOOKUP(C409,Recipes!$A$2:$N$4,12,FALSE())</f>
        <v/>
      </c>
      <c r="J409">
        <f>IF(G409="","",H409-G409)</f>
        <v/>
      </c>
      <c r="K409">
        <f>IF(G409="","",IF(VLOOKUP(C409,Recipes!$A$2:$N$4,4,FALSE())=0,-1E+300,-0.5*((J409-Components!$D$2)/Components!$E$2)^2))</f>
        <v/>
      </c>
      <c r="L409">
        <f>IF(G409="","",IF(VLOOKUP(C409,Recipes!$A$2:$N$4,5,FALSE())=0,-1E+300,-0.5*((J409-Components!$D$3)/Components!$E$3)^2))</f>
        <v/>
      </c>
      <c r="M409">
        <f>IF(G409="","",IF(VLOOKUP(C409,Recipes!$A$2:$N$4,6,FALSE())=0,-1E+300,-0.5*((J409-Components!$D$4)/Components!$E$4)^2))</f>
        <v/>
      </c>
      <c r="N409">
        <f>IF(G409="","",IF(VLOOKUP(C409,Recipes!$A$2:$N$4,7,FALSE())=0,-1E+300,-0.5*((J409-Components!$D$5)/Components!$E$5)^2))</f>
        <v/>
      </c>
      <c r="O409">
        <f>IF(G409="","",IF(VLOOKUP(C409,Recipes!$A$2:$N$4,8,FALSE())=0,-1E+300,-0.5*((J409-Components!$D$6)/Components!$E$6)^2))</f>
        <v/>
      </c>
      <c r="P409">
        <f>IF(G409="","",IF(VLOOKUP(C409,Recipes!$A$2:$N$4,9,FALSE())=0,-1E+300,-0.5*((J409-Components!$D$7)/Components!$E$7)^2))</f>
        <v/>
      </c>
      <c r="Q409">
        <f>IF(G409="","",EXP(LARGE(K409:P409,1)-MAX(K409:P409))/(EXP(K409-MAX(K409:P409))+EXP(L409-MAX(K409:P409))+EXP(M409-MAX(K409:P409))+EXP(N409-MAX(K409:P409))+EXP(O409-MAX(K409:P409))+EXP(P409-MAX(K409:P409))))</f>
        <v/>
      </c>
      <c r="R409">
        <f>IF(G409="","",EXP(LARGE(K409:P409,2)-MAX(K409:P409))/(EXP(K409-MAX(K409:P409))+EXP(L409-MAX(K409:P409))+EXP(M409-MAX(K409:P409))+EXP(N409-MAX(K409:P409))+EXP(O409-MAX(K409:P409))+EXP(P409-MAX(K409:P409))))</f>
        <v/>
      </c>
      <c r="S409">
        <f>IF(G409="","",Q409-R409)</f>
        <v/>
      </c>
      <c r="T409">
        <f>IF(G409="","",IF(ABS(G409-H409)&lt;=$B$6*I409,"OK","NG"))</f>
        <v/>
      </c>
      <c r="U409">
        <f>IF(T409="","",IF(T409=D409,1,0))</f>
        <v/>
      </c>
      <c r="V409">
        <f>IF(G409="","",IF(T409="OK","NONE",INDEX({"S1","S2","W1","W2","N1","N2"},MATCH(MAX(K409:P409),K409:P409,0))))</f>
        <v/>
      </c>
      <c r="W409">
        <f>IF(G409="","",IF(V409=E409,1,0))</f>
        <v/>
      </c>
      <c r="X409">
        <f>IF(G409="","",IF(AND(T409="NG",S409&lt;$B$7),"AMBIGUOUS","CONFIDENT"))</f>
        <v/>
      </c>
    </row>
    <row r="410">
      <c r="A410">
        <f>'Runs Z score'!A403</f>
        <v/>
      </c>
      <c r="B410">
        <f>'Runs Z score'!B403</f>
        <v/>
      </c>
      <c r="C410">
        <f>'Runs Z score'!C403</f>
        <v/>
      </c>
      <c r="D410">
        <f>'Runs Z score'!D403</f>
        <v/>
      </c>
      <c r="E410">
        <f>'Runs Z score'!E403</f>
        <v/>
      </c>
      <c r="F410">
        <f>'Runs Z score'!F403</f>
        <v/>
      </c>
      <c r="G410">
        <f>'Runs Z score'!G403</f>
        <v/>
      </c>
      <c r="H410">
        <f>VLOOKUP(C410,Recipes!$A$2:$N$4,10,FALSE())</f>
        <v/>
      </c>
      <c r="I410">
        <f>VLOOKUP(C410,Recipes!$A$2:$N$4,12,FALSE())</f>
        <v/>
      </c>
      <c r="J410">
        <f>IF(G410="","",H410-G410)</f>
        <v/>
      </c>
      <c r="K410">
        <f>IF(G410="","",IF(VLOOKUP(C410,Recipes!$A$2:$N$4,4,FALSE())=0,-1E+300,-0.5*((J410-Components!$D$2)/Components!$E$2)^2))</f>
        <v/>
      </c>
      <c r="L410">
        <f>IF(G410="","",IF(VLOOKUP(C410,Recipes!$A$2:$N$4,5,FALSE())=0,-1E+300,-0.5*((J410-Components!$D$3)/Components!$E$3)^2))</f>
        <v/>
      </c>
      <c r="M410">
        <f>IF(G410="","",IF(VLOOKUP(C410,Recipes!$A$2:$N$4,6,FALSE())=0,-1E+300,-0.5*((J410-Components!$D$4)/Components!$E$4)^2))</f>
        <v/>
      </c>
      <c r="N410">
        <f>IF(G410="","",IF(VLOOKUP(C410,Recipes!$A$2:$N$4,7,FALSE())=0,-1E+300,-0.5*((J410-Components!$D$5)/Components!$E$5)^2))</f>
        <v/>
      </c>
      <c r="O410">
        <f>IF(G410="","",IF(VLOOKUP(C410,Recipes!$A$2:$N$4,8,FALSE())=0,-1E+300,-0.5*((J410-Components!$D$6)/Components!$E$6)^2))</f>
        <v/>
      </c>
      <c r="P410">
        <f>IF(G410="","",IF(VLOOKUP(C410,Recipes!$A$2:$N$4,9,FALSE())=0,-1E+300,-0.5*((J410-Components!$D$7)/Components!$E$7)^2))</f>
        <v/>
      </c>
      <c r="Q410">
        <f>IF(G410="","",EXP(LARGE(K410:P410,1)-MAX(K410:P410))/(EXP(K410-MAX(K410:P410))+EXP(L410-MAX(K410:P410))+EXP(M410-MAX(K410:P410))+EXP(N410-MAX(K410:P410))+EXP(O410-MAX(K410:P410))+EXP(P410-MAX(K410:P410))))</f>
        <v/>
      </c>
      <c r="R410">
        <f>IF(G410="","",EXP(LARGE(K410:P410,2)-MAX(K410:P410))/(EXP(K410-MAX(K410:P410))+EXP(L410-MAX(K410:P410))+EXP(M410-MAX(K410:P410))+EXP(N410-MAX(K410:P410))+EXP(O410-MAX(K410:P410))+EXP(P410-MAX(K410:P410))))</f>
        <v/>
      </c>
      <c r="S410">
        <f>IF(G410="","",Q410-R410)</f>
        <v/>
      </c>
      <c r="T410">
        <f>IF(G410="","",IF(ABS(G410-H410)&lt;=$B$6*I410,"OK","NG"))</f>
        <v/>
      </c>
      <c r="U410">
        <f>IF(T410="","",IF(T410=D410,1,0))</f>
        <v/>
      </c>
      <c r="V410">
        <f>IF(G410="","",IF(T410="OK","NONE",INDEX({"S1","S2","W1","W2","N1","N2"},MATCH(MAX(K410:P410),K410:P410,0))))</f>
        <v/>
      </c>
      <c r="W410">
        <f>IF(G410="","",IF(V410=E410,1,0))</f>
        <v/>
      </c>
      <c r="X410">
        <f>IF(G410="","",IF(AND(T410="NG",S410&lt;$B$7),"AMBIGUOUS","CONFIDENT"))</f>
        <v/>
      </c>
    </row>
    <row r="411">
      <c r="A411">
        <f>'Runs Z score'!A404</f>
        <v/>
      </c>
      <c r="B411">
        <f>'Runs Z score'!B404</f>
        <v/>
      </c>
      <c r="C411">
        <f>'Runs Z score'!C404</f>
        <v/>
      </c>
      <c r="D411">
        <f>'Runs Z score'!D404</f>
        <v/>
      </c>
      <c r="E411">
        <f>'Runs Z score'!E404</f>
        <v/>
      </c>
      <c r="F411">
        <f>'Runs Z score'!F404</f>
        <v/>
      </c>
      <c r="G411">
        <f>'Runs Z score'!G404</f>
        <v/>
      </c>
      <c r="H411">
        <f>VLOOKUP(C411,Recipes!$A$2:$N$4,10,FALSE())</f>
        <v/>
      </c>
      <c r="I411">
        <f>VLOOKUP(C411,Recipes!$A$2:$N$4,12,FALSE())</f>
        <v/>
      </c>
      <c r="J411">
        <f>IF(G411="","",H411-G411)</f>
        <v/>
      </c>
      <c r="K411">
        <f>IF(G411="","",IF(VLOOKUP(C411,Recipes!$A$2:$N$4,4,FALSE())=0,-1E+300,-0.5*((J411-Components!$D$2)/Components!$E$2)^2))</f>
        <v/>
      </c>
      <c r="L411">
        <f>IF(G411="","",IF(VLOOKUP(C411,Recipes!$A$2:$N$4,5,FALSE())=0,-1E+300,-0.5*((J411-Components!$D$3)/Components!$E$3)^2))</f>
        <v/>
      </c>
      <c r="M411">
        <f>IF(G411="","",IF(VLOOKUP(C411,Recipes!$A$2:$N$4,6,FALSE())=0,-1E+300,-0.5*((J411-Components!$D$4)/Components!$E$4)^2))</f>
        <v/>
      </c>
      <c r="N411">
        <f>IF(G411="","",IF(VLOOKUP(C411,Recipes!$A$2:$N$4,7,FALSE())=0,-1E+300,-0.5*((J411-Components!$D$5)/Components!$E$5)^2))</f>
        <v/>
      </c>
      <c r="O411">
        <f>IF(G411="","",IF(VLOOKUP(C411,Recipes!$A$2:$N$4,8,FALSE())=0,-1E+300,-0.5*((J411-Components!$D$6)/Components!$E$6)^2))</f>
        <v/>
      </c>
      <c r="P411">
        <f>IF(G411="","",IF(VLOOKUP(C411,Recipes!$A$2:$N$4,9,FALSE())=0,-1E+300,-0.5*((J411-Components!$D$7)/Components!$E$7)^2))</f>
        <v/>
      </c>
      <c r="Q411">
        <f>IF(G411="","",EXP(LARGE(K411:P411,1)-MAX(K411:P411))/(EXP(K411-MAX(K411:P411))+EXP(L411-MAX(K411:P411))+EXP(M411-MAX(K411:P411))+EXP(N411-MAX(K411:P411))+EXP(O411-MAX(K411:P411))+EXP(P411-MAX(K411:P411))))</f>
        <v/>
      </c>
      <c r="R411">
        <f>IF(G411="","",EXP(LARGE(K411:P411,2)-MAX(K411:P411))/(EXP(K411-MAX(K411:P411))+EXP(L411-MAX(K411:P411))+EXP(M411-MAX(K411:P411))+EXP(N411-MAX(K411:P411))+EXP(O411-MAX(K411:P411))+EXP(P411-MAX(K411:P411))))</f>
        <v/>
      </c>
      <c r="S411">
        <f>IF(G411="","",Q411-R411)</f>
        <v/>
      </c>
      <c r="T411">
        <f>IF(G411="","",IF(ABS(G411-H411)&lt;=$B$6*I411,"OK","NG"))</f>
        <v/>
      </c>
      <c r="U411">
        <f>IF(T411="","",IF(T411=D411,1,0))</f>
        <v/>
      </c>
      <c r="V411">
        <f>IF(G411="","",IF(T411="OK","NONE",INDEX({"S1","S2","W1","W2","N1","N2"},MATCH(MAX(K411:P411),K411:P411,0))))</f>
        <v/>
      </c>
      <c r="W411">
        <f>IF(G411="","",IF(V411=E411,1,0))</f>
        <v/>
      </c>
      <c r="X411">
        <f>IF(G411="","",IF(AND(T411="NG",S411&lt;$B$7),"AMBIGUOUS","CONFIDENT"))</f>
        <v/>
      </c>
    </row>
    <row r="412">
      <c r="A412">
        <f>'Runs Z score'!A405</f>
        <v/>
      </c>
      <c r="B412">
        <f>'Runs Z score'!B405</f>
        <v/>
      </c>
      <c r="C412">
        <f>'Runs Z score'!C405</f>
        <v/>
      </c>
      <c r="D412">
        <f>'Runs Z score'!D405</f>
        <v/>
      </c>
      <c r="E412">
        <f>'Runs Z score'!E405</f>
        <v/>
      </c>
      <c r="F412">
        <f>'Runs Z score'!F405</f>
        <v/>
      </c>
      <c r="G412">
        <f>'Runs Z score'!G405</f>
        <v/>
      </c>
      <c r="H412">
        <f>VLOOKUP(C412,Recipes!$A$2:$N$4,10,FALSE())</f>
        <v/>
      </c>
      <c r="I412">
        <f>VLOOKUP(C412,Recipes!$A$2:$N$4,12,FALSE())</f>
        <v/>
      </c>
      <c r="J412">
        <f>IF(G412="","",H412-G412)</f>
        <v/>
      </c>
      <c r="K412">
        <f>IF(G412="","",IF(VLOOKUP(C412,Recipes!$A$2:$N$4,4,FALSE())=0,-1E+300,-0.5*((J412-Components!$D$2)/Components!$E$2)^2))</f>
        <v/>
      </c>
      <c r="L412">
        <f>IF(G412="","",IF(VLOOKUP(C412,Recipes!$A$2:$N$4,5,FALSE())=0,-1E+300,-0.5*((J412-Components!$D$3)/Components!$E$3)^2))</f>
        <v/>
      </c>
      <c r="M412">
        <f>IF(G412="","",IF(VLOOKUP(C412,Recipes!$A$2:$N$4,6,FALSE())=0,-1E+300,-0.5*((J412-Components!$D$4)/Components!$E$4)^2))</f>
        <v/>
      </c>
      <c r="N412">
        <f>IF(G412="","",IF(VLOOKUP(C412,Recipes!$A$2:$N$4,7,FALSE())=0,-1E+300,-0.5*((J412-Components!$D$5)/Components!$E$5)^2))</f>
        <v/>
      </c>
      <c r="O412">
        <f>IF(G412="","",IF(VLOOKUP(C412,Recipes!$A$2:$N$4,8,FALSE())=0,-1E+300,-0.5*((J412-Components!$D$6)/Components!$E$6)^2))</f>
        <v/>
      </c>
      <c r="P412">
        <f>IF(G412="","",IF(VLOOKUP(C412,Recipes!$A$2:$N$4,9,FALSE())=0,-1E+300,-0.5*((J412-Components!$D$7)/Components!$E$7)^2))</f>
        <v/>
      </c>
      <c r="Q412">
        <f>IF(G412="","",EXP(LARGE(K412:P412,1)-MAX(K412:P412))/(EXP(K412-MAX(K412:P412))+EXP(L412-MAX(K412:P412))+EXP(M412-MAX(K412:P412))+EXP(N412-MAX(K412:P412))+EXP(O412-MAX(K412:P412))+EXP(P412-MAX(K412:P412))))</f>
        <v/>
      </c>
      <c r="R412">
        <f>IF(G412="","",EXP(LARGE(K412:P412,2)-MAX(K412:P412))/(EXP(K412-MAX(K412:P412))+EXP(L412-MAX(K412:P412))+EXP(M412-MAX(K412:P412))+EXP(N412-MAX(K412:P412))+EXP(O412-MAX(K412:P412))+EXP(P412-MAX(K412:P412))))</f>
        <v/>
      </c>
      <c r="S412">
        <f>IF(G412="","",Q412-R412)</f>
        <v/>
      </c>
      <c r="T412">
        <f>IF(G412="","",IF(ABS(G412-H412)&lt;=$B$6*I412,"OK","NG"))</f>
        <v/>
      </c>
      <c r="U412">
        <f>IF(T412="","",IF(T412=D412,1,0))</f>
        <v/>
      </c>
      <c r="V412">
        <f>IF(G412="","",IF(T412="OK","NONE",INDEX({"S1","S2","W1","W2","N1","N2"},MATCH(MAX(K412:P412),K412:P412,0))))</f>
        <v/>
      </c>
      <c r="W412">
        <f>IF(G412="","",IF(V412=E412,1,0))</f>
        <v/>
      </c>
      <c r="X412">
        <f>IF(G412="","",IF(AND(T412="NG",S412&lt;$B$7),"AMBIGUOUS","CONFIDENT"))</f>
        <v/>
      </c>
    </row>
    <row r="413">
      <c r="A413">
        <f>'Runs Z score'!A406</f>
        <v/>
      </c>
      <c r="B413">
        <f>'Runs Z score'!B406</f>
        <v/>
      </c>
      <c r="C413">
        <f>'Runs Z score'!C406</f>
        <v/>
      </c>
      <c r="D413">
        <f>'Runs Z score'!D406</f>
        <v/>
      </c>
      <c r="E413">
        <f>'Runs Z score'!E406</f>
        <v/>
      </c>
      <c r="F413">
        <f>'Runs Z score'!F406</f>
        <v/>
      </c>
      <c r="G413">
        <f>'Runs Z score'!G406</f>
        <v/>
      </c>
      <c r="H413">
        <f>VLOOKUP(C413,Recipes!$A$2:$N$4,10,FALSE())</f>
        <v/>
      </c>
      <c r="I413">
        <f>VLOOKUP(C413,Recipes!$A$2:$N$4,12,FALSE())</f>
        <v/>
      </c>
      <c r="J413">
        <f>IF(G413="","",H413-G413)</f>
        <v/>
      </c>
      <c r="K413">
        <f>IF(G413="","",IF(VLOOKUP(C413,Recipes!$A$2:$N$4,4,FALSE())=0,-1E+300,-0.5*((J413-Components!$D$2)/Components!$E$2)^2))</f>
        <v/>
      </c>
      <c r="L413">
        <f>IF(G413="","",IF(VLOOKUP(C413,Recipes!$A$2:$N$4,5,FALSE())=0,-1E+300,-0.5*((J413-Components!$D$3)/Components!$E$3)^2))</f>
        <v/>
      </c>
      <c r="M413">
        <f>IF(G413="","",IF(VLOOKUP(C413,Recipes!$A$2:$N$4,6,FALSE())=0,-1E+300,-0.5*((J413-Components!$D$4)/Components!$E$4)^2))</f>
        <v/>
      </c>
      <c r="N413">
        <f>IF(G413="","",IF(VLOOKUP(C413,Recipes!$A$2:$N$4,7,FALSE())=0,-1E+300,-0.5*((J413-Components!$D$5)/Components!$E$5)^2))</f>
        <v/>
      </c>
      <c r="O413">
        <f>IF(G413="","",IF(VLOOKUP(C413,Recipes!$A$2:$N$4,8,FALSE())=0,-1E+300,-0.5*((J413-Components!$D$6)/Components!$E$6)^2))</f>
        <v/>
      </c>
      <c r="P413">
        <f>IF(G413="","",IF(VLOOKUP(C413,Recipes!$A$2:$N$4,9,FALSE())=0,-1E+300,-0.5*((J413-Components!$D$7)/Components!$E$7)^2))</f>
        <v/>
      </c>
      <c r="Q413">
        <f>IF(G413="","",EXP(LARGE(K413:P413,1)-MAX(K413:P413))/(EXP(K413-MAX(K413:P413))+EXP(L413-MAX(K413:P413))+EXP(M413-MAX(K413:P413))+EXP(N413-MAX(K413:P413))+EXP(O413-MAX(K413:P413))+EXP(P413-MAX(K413:P413))))</f>
        <v/>
      </c>
      <c r="R413">
        <f>IF(G413="","",EXP(LARGE(K413:P413,2)-MAX(K413:P413))/(EXP(K413-MAX(K413:P413))+EXP(L413-MAX(K413:P413))+EXP(M413-MAX(K413:P413))+EXP(N413-MAX(K413:P413))+EXP(O413-MAX(K413:P413))+EXP(P413-MAX(K413:P413))))</f>
        <v/>
      </c>
      <c r="S413">
        <f>IF(G413="","",Q413-R413)</f>
        <v/>
      </c>
      <c r="T413">
        <f>IF(G413="","",IF(ABS(G413-H413)&lt;=$B$6*I413,"OK","NG"))</f>
        <v/>
      </c>
      <c r="U413">
        <f>IF(T413="","",IF(T413=D413,1,0))</f>
        <v/>
      </c>
      <c r="V413">
        <f>IF(G413="","",IF(T413="OK","NONE",INDEX({"S1","S2","W1","W2","N1","N2"},MATCH(MAX(K413:P413),K413:P413,0))))</f>
        <v/>
      </c>
      <c r="W413">
        <f>IF(G413="","",IF(V413=E413,1,0))</f>
        <v/>
      </c>
      <c r="X413">
        <f>IF(G413="","",IF(AND(T413="NG",S413&lt;$B$7),"AMBIGUOUS","CONFIDENT"))</f>
        <v/>
      </c>
    </row>
    <row r="414">
      <c r="A414">
        <f>'Runs Z score'!A407</f>
        <v/>
      </c>
      <c r="B414">
        <f>'Runs Z score'!B407</f>
        <v/>
      </c>
      <c r="C414">
        <f>'Runs Z score'!C407</f>
        <v/>
      </c>
      <c r="D414">
        <f>'Runs Z score'!D407</f>
        <v/>
      </c>
      <c r="E414">
        <f>'Runs Z score'!E407</f>
        <v/>
      </c>
      <c r="F414">
        <f>'Runs Z score'!F407</f>
        <v/>
      </c>
      <c r="G414">
        <f>'Runs Z score'!G407</f>
        <v/>
      </c>
      <c r="H414">
        <f>VLOOKUP(C414,Recipes!$A$2:$N$4,10,FALSE())</f>
        <v/>
      </c>
      <c r="I414">
        <f>VLOOKUP(C414,Recipes!$A$2:$N$4,12,FALSE())</f>
        <v/>
      </c>
      <c r="J414">
        <f>IF(G414="","",H414-G414)</f>
        <v/>
      </c>
      <c r="K414">
        <f>IF(G414="","",IF(VLOOKUP(C414,Recipes!$A$2:$N$4,4,FALSE())=0,-1E+300,-0.5*((J414-Components!$D$2)/Components!$E$2)^2))</f>
        <v/>
      </c>
      <c r="L414">
        <f>IF(G414="","",IF(VLOOKUP(C414,Recipes!$A$2:$N$4,5,FALSE())=0,-1E+300,-0.5*((J414-Components!$D$3)/Components!$E$3)^2))</f>
        <v/>
      </c>
      <c r="M414">
        <f>IF(G414="","",IF(VLOOKUP(C414,Recipes!$A$2:$N$4,6,FALSE())=0,-1E+300,-0.5*((J414-Components!$D$4)/Components!$E$4)^2))</f>
        <v/>
      </c>
      <c r="N414">
        <f>IF(G414="","",IF(VLOOKUP(C414,Recipes!$A$2:$N$4,7,FALSE())=0,-1E+300,-0.5*((J414-Components!$D$5)/Components!$E$5)^2))</f>
        <v/>
      </c>
      <c r="O414">
        <f>IF(G414="","",IF(VLOOKUP(C414,Recipes!$A$2:$N$4,8,FALSE())=0,-1E+300,-0.5*((J414-Components!$D$6)/Components!$E$6)^2))</f>
        <v/>
      </c>
      <c r="P414">
        <f>IF(G414="","",IF(VLOOKUP(C414,Recipes!$A$2:$N$4,9,FALSE())=0,-1E+300,-0.5*((J414-Components!$D$7)/Components!$E$7)^2))</f>
        <v/>
      </c>
      <c r="Q414">
        <f>IF(G414="","",EXP(LARGE(K414:P414,1)-MAX(K414:P414))/(EXP(K414-MAX(K414:P414))+EXP(L414-MAX(K414:P414))+EXP(M414-MAX(K414:P414))+EXP(N414-MAX(K414:P414))+EXP(O414-MAX(K414:P414))+EXP(P414-MAX(K414:P414))))</f>
        <v/>
      </c>
      <c r="R414">
        <f>IF(G414="","",EXP(LARGE(K414:P414,2)-MAX(K414:P414))/(EXP(K414-MAX(K414:P414))+EXP(L414-MAX(K414:P414))+EXP(M414-MAX(K414:P414))+EXP(N414-MAX(K414:P414))+EXP(O414-MAX(K414:P414))+EXP(P414-MAX(K414:P414))))</f>
        <v/>
      </c>
      <c r="S414">
        <f>IF(G414="","",Q414-R414)</f>
        <v/>
      </c>
      <c r="T414">
        <f>IF(G414="","",IF(ABS(G414-H414)&lt;=$B$6*I414,"OK","NG"))</f>
        <v/>
      </c>
      <c r="U414">
        <f>IF(T414="","",IF(T414=D414,1,0))</f>
        <v/>
      </c>
      <c r="V414">
        <f>IF(G414="","",IF(T414="OK","NONE",INDEX({"S1","S2","W1","W2","N1","N2"},MATCH(MAX(K414:P414),K414:P414,0))))</f>
        <v/>
      </c>
      <c r="W414">
        <f>IF(G414="","",IF(V414=E414,1,0))</f>
        <v/>
      </c>
      <c r="X414">
        <f>IF(G414="","",IF(AND(T414="NG",S414&lt;$B$7),"AMBIGUOUS","CONFIDENT"))</f>
        <v/>
      </c>
    </row>
    <row r="415">
      <c r="A415">
        <f>'Runs Z score'!A408</f>
        <v/>
      </c>
      <c r="B415">
        <f>'Runs Z score'!B408</f>
        <v/>
      </c>
      <c r="C415">
        <f>'Runs Z score'!C408</f>
        <v/>
      </c>
      <c r="D415">
        <f>'Runs Z score'!D408</f>
        <v/>
      </c>
      <c r="E415">
        <f>'Runs Z score'!E408</f>
        <v/>
      </c>
      <c r="F415">
        <f>'Runs Z score'!F408</f>
        <v/>
      </c>
      <c r="G415">
        <f>'Runs Z score'!G408</f>
        <v/>
      </c>
      <c r="H415">
        <f>VLOOKUP(C415,Recipes!$A$2:$N$4,10,FALSE())</f>
        <v/>
      </c>
      <c r="I415">
        <f>VLOOKUP(C415,Recipes!$A$2:$N$4,12,FALSE())</f>
        <v/>
      </c>
      <c r="J415">
        <f>IF(G415="","",H415-G415)</f>
        <v/>
      </c>
      <c r="K415">
        <f>IF(G415="","",IF(VLOOKUP(C415,Recipes!$A$2:$N$4,4,FALSE())=0,-1E+300,-0.5*((J415-Components!$D$2)/Components!$E$2)^2))</f>
        <v/>
      </c>
      <c r="L415">
        <f>IF(G415="","",IF(VLOOKUP(C415,Recipes!$A$2:$N$4,5,FALSE())=0,-1E+300,-0.5*((J415-Components!$D$3)/Components!$E$3)^2))</f>
        <v/>
      </c>
      <c r="M415">
        <f>IF(G415="","",IF(VLOOKUP(C415,Recipes!$A$2:$N$4,6,FALSE())=0,-1E+300,-0.5*((J415-Components!$D$4)/Components!$E$4)^2))</f>
        <v/>
      </c>
      <c r="N415">
        <f>IF(G415="","",IF(VLOOKUP(C415,Recipes!$A$2:$N$4,7,FALSE())=0,-1E+300,-0.5*((J415-Components!$D$5)/Components!$E$5)^2))</f>
        <v/>
      </c>
      <c r="O415">
        <f>IF(G415="","",IF(VLOOKUP(C415,Recipes!$A$2:$N$4,8,FALSE())=0,-1E+300,-0.5*((J415-Components!$D$6)/Components!$E$6)^2))</f>
        <v/>
      </c>
      <c r="P415">
        <f>IF(G415="","",IF(VLOOKUP(C415,Recipes!$A$2:$N$4,9,FALSE())=0,-1E+300,-0.5*((J415-Components!$D$7)/Components!$E$7)^2))</f>
        <v/>
      </c>
      <c r="Q415">
        <f>IF(G415="","",EXP(LARGE(K415:P415,1)-MAX(K415:P415))/(EXP(K415-MAX(K415:P415))+EXP(L415-MAX(K415:P415))+EXP(M415-MAX(K415:P415))+EXP(N415-MAX(K415:P415))+EXP(O415-MAX(K415:P415))+EXP(P415-MAX(K415:P415))))</f>
        <v/>
      </c>
      <c r="R415">
        <f>IF(G415="","",EXP(LARGE(K415:P415,2)-MAX(K415:P415))/(EXP(K415-MAX(K415:P415))+EXP(L415-MAX(K415:P415))+EXP(M415-MAX(K415:P415))+EXP(N415-MAX(K415:P415))+EXP(O415-MAX(K415:P415))+EXP(P415-MAX(K415:P415))))</f>
        <v/>
      </c>
      <c r="S415">
        <f>IF(G415="","",Q415-R415)</f>
        <v/>
      </c>
      <c r="T415">
        <f>IF(G415="","",IF(ABS(G415-H415)&lt;=$B$6*I415,"OK","NG"))</f>
        <v/>
      </c>
      <c r="U415">
        <f>IF(T415="","",IF(T415=D415,1,0))</f>
        <v/>
      </c>
      <c r="V415">
        <f>IF(G415="","",IF(T415="OK","NONE",INDEX({"S1","S2","W1","W2","N1","N2"},MATCH(MAX(K415:P415),K415:P415,0))))</f>
        <v/>
      </c>
      <c r="W415">
        <f>IF(G415="","",IF(V415=E415,1,0))</f>
        <v/>
      </c>
      <c r="X415">
        <f>IF(G415="","",IF(AND(T415="NG",S415&lt;$B$7),"AMBIGUOUS","CONFIDENT"))</f>
        <v/>
      </c>
    </row>
    <row r="416">
      <c r="A416">
        <f>'Runs Z score'!A409</f>
        <v/>
      </c>
      <c r="B416">
        <f>'Runs Z score'!B409</f>
        <v/>
      </c>
      <c r="C416">
        <f>'Runs Z score'!C409</f>
        <v/>
      </c>
      <c r="D416">
        <f>'Runs Z score'!D409</f>
        <v/>
      </c>
      <c r="E416">
        <f>'Runs Z score'!E409</f>
        <v/>
      </c>
      <c r="F416">
        <f>'Runs Z score'!F409</f>
        <v/>
      </c>
      <c r="G416">
        <f>'Runs Z score'!G409</f>
        <v/>
      </c>
      <c r="H416">
        <f>VLOOKUP(C416,Recipes!$A$2:$N$4,10,FALSE())</f>
        <v/>
      </c>
      <c r="I416">
        <f>VLOOKUP(C416,Recipes!$A$2:$N$4,12,FALSE())</f>
        <v/>
      </c>
      <c r="J416">
        <f>IF(G416="","",H416-G416)</f>
        <v/>
      </c>
      <c r="K416">
        <f>IF(G416="","",IF(VLOOKUP(C416,Recipes!$A$2:$N$4,4,FALSE())=0,-1E+300,-0.5*((J416-Components!$D$2)/Components!$E$2)^2))</f>
        <v/>
      </c>
      <c r="L416">
        <f>IF(G416="","",IF(VLOOKUP(C416,Recipes!$A$2:$N$4,5,FALSE())=0,-1E+300,-0.5*((J416-Components!$D$3)/Components!$E$3)^2))</f>
        <v/>
      </c>
      <c r="M416">
        <f>IF(G416="","",IF(VLOOKUP(C416,Recipes!$A$2:$N$4,6,FALSE())=0,-1E+300,-0.5*((J416-Components!$D$4)/Components!$E$4)^2))</f>
        <v/>
      </c>
      <c r="N416">
        <f>IF(G416="","",IF(VLOOKUP(C416,Recipes!$A$2:$N$4,7,FALSE())=0,-1E+300,-0.5*((J416-Components!$D$5)/Components!$E$5)^2))</f>
        <v/>
      </c>
      <c r="O416">
        <f>IF(G416="","",IF(VLOOKUP(C416,Recipes!$A$2:$N$4,8,FALSE())=0,-1E+300,-0.5*((J416-Components!$D$6)/Components!$E$6)^2))</f>
        <v/>
      </c>
      <c r="P416">
        <f>IF(G416="","",IF(VLOOKUP(C416,Recipes!$A$2:$N$4,9,FALSE())=0,-1E+300,-0.5*((J416-Components!$D$7)/Components!$E$7)^2))</f>
        <v/>
      </c>
      <c r="Q416">
        <f>IF(G416="","",EXP(LARGE(K416:P416,1)-MAX(K416:P416))/(EXP(K416-MAX(K416:P416))+EXP(L416-MAX(K416:P416))+EXP(M416-MAX(K416:P416))+EXP(N416-MAX(K416:P416))+EXP(O416-MAX(K416:P416))+EXP(P416-MAX(K416:P416))))</f>
        <v/>
      </c>
      <c r="R416">
        <f>IF(G416="","",EXP(LARGE(K416:P416,2)-MAX(K416:P416))/(EXP(K416-MAX(K416:P416))+EXP(L416-MAX(K416:P416))+EXP(M416-MAX(K416:P416))+EXP(N416-MAX(K416:P416))+EXP(O416-MAX(K416:P416))+EXP(P416-MAX(K416:P416))))</f>
        <v/>
      </c>
      <c r="S416">
        <f>IF(G416="","",Q416-R416)</f>
        <v/>
      </c>
      <c r="T416">
        <f>IF(G416="","",IF(ABS(G416-H416)&lt;=$B$6*I416,"OK","NG"))</f>
        <v/>
      </c>
      <c r="U416">
        <f>IF(T416="","",IF(T416=D416,1,0))</f>
        <v/>
      </c>
      <c r="V416">
        <f>IF(G416="","",IF(T416="OK","NONE",INDEX({"S1","S2","W1","W2","N1","N2"},MATCH(MAX(K416:P416),K416:P416,0))))</f>
        <v/>
      </c>
      <c r="W416">
        <f>IF(G416="","",IF(V416=E416,1,0))</f>
        <v/>
      </c>
      <c r="X416">
        <f>IF(G416="","",IF(AND(T416="NG",S416&lt;$B$7),"AMBIGUOUS","CONFIDENT"))</f>
        <v/>
      </c>
    </row>
    <row r="417">
      <c r="A417">
        <f>'Runs Z score'!A410</f>
        <v/>
      </c>
      <c r="B417">
        <f>'Runs Z score'!B410</f>
        <v/>
      </c>
      <c r="C417">
        <f>'Runs Z score'!C410</f>
        <v/>
      </c>
      <c r="D417">
        <f>'Runs Z score'!D410</f>
        <v/>
      </c>
      <c r="E417">
        <f>'Runs Z score'!E410</f>
        <v/>
      </c>
      <c r="F417">
        <f>'Runs Z score'!F410</f>
        <v/>
      </c>
      <c r="G417">
        <f>'Runs Z score'!G410</f>
        <v/>
      </c>
      <c r="H417">
        <f>VLOOKUP(C417,Recipes!$A$2:$N$4,10,FALSE())</f>
        <v/>
      </c>
      <c r="I417">
        <f>VLOOKUP(C417,Recipes!$A$2:$N$4,12,FALSE())</f>
        <v/>
      </c>
      <c r="J417">
        <f>IF(G417="","",H417-G417)</f>
        <v/>
      </c>
      <c r="K417">
        <f>IF(G417="","",IF(VLOOKUP(C417,Recipes!$A$2:$N$4,4,FALSE())=0,-1E+300,-0.5*((J417-Components!$D$2)/Components!$E$2)^2))</f>
        <v/>
      </c>
      <c r="L417">
        <f>IF(G417="","",IF(VLOOKUP(C417,Recipes!$A$2:$N$4,5,FALSE())=0,-1E+300,-0.5*((J417-Components!$D$3)/Components!$E$3)^2))</f>
        <v/>
      </c>
      <c r="M417">
        <f>IF(G417="","",IF(VLOOKUP(C417,Recipes!$A$2:$N$4,6,FALSE())=0,-1E+300,-0.5*((J417-Components!$D$4)/Components!$E$4)^2))</f>
        <v/>
      </c>
      <c r="N417">
        <f>IF(G417="","",IF(VLOOKUP(C417,Recipes!$A$2:$N$4,7,FALSE())=0,-1E+300,-0.5*((J417-Components!$D$5)/Components!$E$5)^2))</f>
        <v/>
      </c>
      <c r="O417">
        <f>IF(G417="","",IF(VLOOKUP(C417,Recipes!$A$2:$N$4,8,FALSE())=0,-1E+300,-0.5*((J417-Components!$D$6)/Components!$E$6)^2))</f>
        <v/>
      </c>
      <c r="P417">
        <f>IF(G417="","",IF(VLOOKUP(C417,Recipes!$A$2:$N$4,9,FALSE())=0,-1E+300,-0.5*((J417-Components!$D$7)/Components!$E$7)^2))</f>
        <v/>
      </c>
      <c r="Q417">
        <f>IF(G417="","",EXP(LARGE(K417:P417,1)-MAX(K417:P417))/(EXP(K417-MAX(K417:P417))+EXP(L417-MAX(K417:P417))+EXP(M417-MAX(K417:P417))+EXP(N417-MAX(K417:P417))+EXP(O417-MAX(K417:P417))+EXP(P417-MAX(K417:P417))))</f>
        <v/>
      </c>
      <c r="R417">
        <f>IF(G417="","",EXP(LARGE(K417:P417,2)-MAX(K417:P417))/(EXP(K417-MAX(K417:P417))+EXP(L417-MAX(K417:P417))+EXP(M417-MAX(K417:P417))+EXP(N417-MAX(K417:P417))+EXP(O417-MAX(K417:P417))+EXP(P417-MAX(K417:P417))))</f>
        <v/>
      </c>
      <c r="S417">
        <f>IF(G417="","",Q417-R417)</f>
        <v/>
      </c>
      <c r="T417">
        <f>IF(G417="","",IF(ABS(G417-H417)&lt;=$B$6*I417,"OK","NG"))</f>
        <v/>
      </c>
      <c r="U417">
        <f>IF(T417="","",IF(T417=D417,1,0))</f>
        <v/>
      </c>
      <c r="V417">
        <f>IF(G417="","",IF(T417="OK","NONE",INDEX({"S1","S2","W1","W2","N1","N2"},MATCH(MAX(K417:P417),K417:P417,0))))</f>
        <v/>
      </c>
      <c r="W417">
        <f>IF(G417="","",IF(V417=E417,1,0))</f>
        <v/>
      </c>
      <c r="X417">
        <f>IF(G417="","",IF(AND(T417="NG",S417&lt;$B$7),"AMBIGUOUS","CONFIDENT"))</f>
        <v/>
      </c>
    </row>
    <row r="418">
      <c r="A418">
        <f>'Runs Z score'!A411</f>
        <v/>
      </c>
      <c r="B418">
        <f>'Runs Z score'!B411</f>
        <v/>
      </c>
      <c r="C418">
        <f>'Runs Z score'!C411</f>
        <v/>
      </c>
      <c r="D418">
        <f>'Runs Z score'!D411</f>
        <v/>
      </c>
      <c r="E418">
        <f>'Runs Z score'!E411</f>
        <v/>
      </c>
      <c r="F418">
        <f>'Runs Z score'!F411</f>
        <v/>
      </c>
      <c r="G418">
        <f>'Runs Z score'!G411</f>
        <v/>
      </c>
      <c r="H418">
        <f>VLOOKUP(C418,Recipes!$A$2:$N$4,10,FALSE())</f>
        <v/>
      </c>
      <c r="I418">
        <f>VLOOKUP(C418,Recipes!$A$2:$N$4,12,FALSE())</f>
        <v/>
      </c>
      <c r="J418">
        <f>IF(G418="","",H418-G418)</f>
        <v/>
      </c>
      <c r="K418">
        <f>IF(G418="","",IF(VLOOKUP(C418,Recipes!$A$2:$N$4,4,FALSE())=0,-1E+300,-0.5*((J418-Components!$D$2)/Components!$E$2)^2))</f>
        <v/>
      </c>
      <c r="L418">
        <f>IF(G418="","",IF(VLOOKUP(C418,Recipes!$A$2:$N$4,5,FALSE())=0,-1E+300,-0.5*((J418-Components!$D$3)/Components!$E$3)^2))</f>
        <v/>
      </c>
      <c r="M418">
        <f>IF(G418="","",IF(VLOOKUP(C418,Recipes!$A$2:$N$4,6,FALSE())=0,-1E+300,-0.5*((J418-Components!$D$4)/Components!$E$4)^2))</f>
        <v/>
      </c>
      <c r="N418">
        <f>IF(G418="","",IF(VLOOKUP(C418,Recipes!$A$2:$N$4,7,FALSE())=0,-1E+300,-0.5*((J418-Components!$D$5)/Components!$E$5)^2))</f>
        <v/>
      </c>
      <c r="O418">
        <f>IF(G418="","",IF(VLOOKUP(C418,Recipes!$A$2:$N$4,8,FALSE())=0,-1E+300,-0.5*((J418-Components!$D$6)/Components!$E$6)^2))</f>
        <v/>
      </c>
      <c r="P418">
        <f>IF(G418="","",IF(VLOOKUP(C418,Recipes!$A$2:$N$4,9,FALSE())=0,-1E+300,-0.5*((J418-Components!$D$7)/Components!$E$7)^2))</f>
        <v/>
      </c>
      <c r="Q418">
        <f>IF(G418="","",EXP(LARGE(K418:P418,1)-MAX(K418:P418))/(EXP(K418-MAX(K418:P418))+EXP(L418-MAX(K418:P418))+EXP(M418-MAX(K418:P418))+EXP(N418-MAX(K418:P418))+EXP(O418-MAX(K418:P418))+EXP(P418-MAX(K418:P418))))</f>
        <v/>
      </c>
      <c r="R418">
        <f>IF(G418="","",EXP(LARGE(K418:P418,2)-MAX(K418:P418))/(EXP(K418-MAX(K418:P418))+EXP(L418-MAX(K418:P418))+EXP(M418-MAX(K418:P418))+EXP(N418-MAX(K418:P418))+EXP(O418-MAX(K418:P418))+EXP(P418-MAX(K418:P418))))</f>
        <v/>
      </c>
      <c r="S418">
        <f>IF(G418="","",Q418-R418)</f>
        <v/>
      </c>
      <c r="T418">
        <f>IF(G418="","",IF(ABS(G418-H418)&lt;=$B$6*I418,"OK","NG"))</f>
        <v/>
      </c>
      <c r="U418">
        <f>IF(T418="","",IF(T418=D418,1,0))</f>
        <v/>
      </c>
      <c r="V418">
        <f>IF(G418="","",IF(T418="OK","NONE",INDEX({"S1","S2","W1","W2","N1","N2"},MATCH(MAX(K418:P418),K418:P418,0))))</f>
        <v/>
      </c>
      <c r="W418">
        <f>IF(G418="","",IF(V418=E418,1,0))</f>
        <v/>
      </c>
      <c r="X418">
        <f>IF(G418="","",IF(AND(T418="NG",S418&lt;$B$7),"AMBIGUOUS","CONFIDENT"))</f>
        <v/>
      </c>
    </row>
    <row r="419">
      <c r="A419">
        <f>'Runs Z score'!A412</f>
        <v/>
      </c>
      <c r="B419">
        <f>'Runs Z score'!B412</f>
        <v/>
      </c>
      <c r="C419">
        <f>'Runs Z score'!C412</f>
        <v/>
      </c>
      <c r="D419">
        <f>'Runs Z score'!D412</f>
        <v/>
      </c>
      <c r="E419">
        <f>'Runs Z score'!E412</f>
        <v/>
      </c>
      <c r="F419">
        <f>'Runs Z score'!F412</f>
        <v/>
      </c>
      <c r="G419">
        <f>'Runs Z score'!G412</f>
        <v/>
      </c>
      <c r="H419">
        <f>VLOOKUP(C419,Recipes!$A$2:$N$4,10,FALSE())</f>
        <v/>
      </c>
      <c r="I419">
        <f>VLOOKUP(C419,Recipes!$A$2:$N$4,12,FALSE())</f>
        <v/>
      </c>
      <c r="J419">
        <f>IF(G419="","",H419-G419)</f>
        <v/>
      </c>
      <c r="K419">
        <f>IF(G419="","",IF(VLOOKUP(C419,Recipes!$A$2:$N$4,4,FALSE())=0,-1E+300,-0.5*((J419-Components!$D$2)/Components!$E$2)^2))</f>
        <v/>
      </c>
      <c r="L419">
        <f>IF(G419="","",IF(VLOOKUP(C419,Recipes!$A$2:$N$4,5,FALSE())=0,-1E+300,-0.5*((J419-Components!$D$3)/Components!$E$3)^2))</f>
        <v/>
      </c>
      <c r="M419">
        <f>IF(G419="","",IF(VLOOKUP(C419,Recipes!$A$2:$N$4,6,FALSE())=0,-1E+300,-0.5*((J419-Components!$D$4)/Components!$E$4)^2))</f>
        <v/>
      </c>
      <c r="N419">
        <f>IF(G419="","",IF(VLOOKUP(C419,Recipes!$A$2:$N$4,7,FALSE())=0,-1E+300,-0.5*((J419-Components!$D$5)/Components!$E$5)^2))</f>
        <v/>
      </c>
      <c r="O419">
        <f>IF(G419="","",IF(VLOOKUP(C419,Recipes!$A$2:$N$4,8,FALSE())=0,-1E+300,-0.5*((J419-Components!$D$6)/Components!$E$6)^2))</f>
        <v/>
      </c>
      <c r="P419">
        <f>IF(G419="","",IF(VLOOKUP(C419,Recipes!$A$2:$N$4,9,FALSE())=0,-1E+300,-0.5*((J419-Components!$D$7)/Components!$E$7)^2))</f>
        <v/>
      </c>
      <c r="Q419">
        <f>IF(G419="","",EXP(LARGE(K419:P419,1)-MAX(K419:P419))/(EXP(K419-MAX(K419:P419))+EXP(L419-MAX(K419:P419))+EXP(M419-MAX(K419:P419))+EXP(N419-MAX(K419:P419))+EXP(O419-MAX(K419:P419))+EXP(P419-MAX(K419:P419))))</f>
        <v/>
      </c>
      <c r="R419">
        <f>IF(G419="","",EXP(LARGE(K419:P419,2)-MAX(K419:P419))/(EXP(K419-MAX(K419:P419))+EXP(L419-MAX(K419:P419))+EXP(M419-MAX(K419:P419))+EXP(N419-MAX(K419:P419))+EXP(O419-MAX(K419:P419))+EXP(P419-MAX(K419:P419))))</f>
        <v/>
      </c>
      <c r="S419">
        <f>IF(G419="","",Q419-R419)</f>
        <v/>
      </c>
      <c r="T419">
        <f>IF(G419="","",IF(ABS(G419-H419)&lt;=$B$6*I419,"OK","NG"))</f>
        <v/>
      </c>
      <c r="U419">
        <f>IF(T419="","",IF(T419=D419,1,0))</f>
        <v/>
      </c>
      <c r="V419">
        <f>IF(G419="","",IF(T419="OK","NONE",INDEX({"S1","S2","W1","W2","N1","N2"},MATCH(MAX(K419:P419),K419:P419,0))))</f>
        <v/>
      </c>
      <c r="W419">
        <f>IF(G419="","",IF(V419=E419,1,0))</f>
        <v/>
      </c>
      <c r="X419">
        <f>IF(G419="","",IF(AND(T419="NG",S419&lt;$B$7),"AMBIGUOUS","CONFIDENT"))</f>
        <v/>
      </c>
    </row>
    <row r="420">
      <c r="A420">
        <f>'Runs Z score'!A413</f>
        <v/>
      </c>
      <c r="B420">
        <f>'Runs Z score'!B413</f>
        <v/>
      </c>
      <c r="C420">
        <f>'Runs Z score'!C413</f>
        <v/>
      </c>
      <c r="D420">
        <f>'Runs Z score'!D413</f>
        <v/>
      </c>
      <c r="E420">
        <f>'Runs Z score'!E413</f>
        <v/>
      </c>
      <c r="F420">
        <f>'Runs Z score'!F413</f>
        <v/>
      </c>
      <c r="G420">
        <f>'Runs Z score'!G413</f>
        <v/>
      </c>
      <c r="H420">
        <f>VLOOKUP(C420,Recipes!$A$2:$N$4,10,FALSE())</f>
        <v/>
      </c>
      <c r="I420">
        <f>VLOOKUP(C420,Recipes!$A$2:$N$4,12,FALSE())</f>
        <v/>
      </c>
      <c r="J420">
        <f>IF(G420="","",H420-G420)</f>
        <v/>
      </c>
      <c r="K420">
        <f>IF(G420="","",IF(VLOOKUP(C420,Recipes!$A$2:$N$4,4,FALSE())=0,-1E+300,-0.5*((J420-Components!$D$2)/Components!$E$2)^2))</f>
        <v/>
      </c>
      <c r="L420">
        <f>IF(G420="","",IF(VLOOKUP(C420,Recipes!$A$2:$N$4,5,FALSE())=0,-1E+300,-0.5*((J420-Components!$D$3)/Components!$E$3)^2))</f>
        <v/>
      </c>
      <c r="M420">
        <f>IF(G420="","",IF(VLOOKUP(C420,Recipes!$A$2:$N$4,6,FALSE())=0,-1E+300,-0.5*((J420-Components!$D$4)/Components!$E$4)^2))</f>
        <v/>
      </c>
      <c r="N420">
        <f>IF(G420="","",IF(VLOOKUP(C420,Recipes!$A$2:$N$4,7,FALSE())=0,-1E+300,-0.5*((J420-Components!$D$5)/Components!$E$5)^2))</f>
        <v/>
      </c>
      <c r="O420">
        <f>IF(G420="","",IF(VLOOKUP(C420,Recipes!$A$2:$N$4,8,FALSE())=0,-1E+300,-0.5*((J420-Components!$D$6)/Components!$E$6)^2))</f>
        <v/>
      </c>
      <c r="P420">
        <f>IF(G420="","",IF(VLOOKUP(C420,Recipes!$A$2:$N$4,9,FALSE())=0,-1E+300,-0.5*((J420-Components!$D$7)/Components!$E$7)^2))</f>
        <v/>
      </c>
      <c r="Q420">
        <f>IF(G420="","",EXP(LARGE(K420:P420,1)-MAX(K420:P420))/(EXP(K420-MAX(K420:P420))+EXP(L420-MAX(K420:P420))+EXP(M420-MAX(K420:P420))+EXP(N420-MAX(K420:P420))+EXP(O420-MAX(K420:P420))+EXP(P420-MAX(K420:P420))))</f>
        <v/>
      </c>
      <c r="R420">
        <f>IF(G420="","",EXP(LARGE(K420:P420,2)-MAX(K420:P420))/(EXP(K420-MAX(K420:P420))+EXP(L420-MAX(K420:P420))+EXP(M420-MAX(K420:P420))+EXP(N420-MAX(K420:P420))+EXP(O420-MAX(K420:P420))+EXP(P420-MAX(K420:P420))))</f>
        <v/>
      </c>
      <c r="S420">
        <f>IF(G420="","",Q420-R420)</f>
        <v/>
      </c>
      <c r="T420">
        <f>IF(G420="","",IF(ABS(G420-H420)&lt;=$B$6*I420,"OK","NG"))</f>
        <v/>
      </c>
      <c r="U420">
        <f>IF(T420="","",IF(T420=D420,1,0))</f>
        <v/>
      </c>
      <c r="V420">
        <f>IF(G420="","",IF(T420="OK","NONE",INDEX({"S1","S2","W1","W2","N1","N2"},MATCH(MAX(K420:P420),K420:P420,0))))</f>
        <v/>
      </c>
      <c r="W420">
        <f>IF(G420="","",IF(V420=E420,1,0))</f>
        <v/>
      </c>
      <c r="X420">
        <f>IF(G420="","",IF(AND(T420="NG",S420&lt;$B$7),"AMBIGUOUS","CONFIDENT"))</f>
        <v/>
      </c>
    </row>
    <row r="421">
      <c r="A421">
        <f>'Runs Z score'!A414</f>
        <v/>
      </c>
      <c r="B421">
        <f>'Runs Z score'!B414</f>
        <v/>
      </c>
      <c r="C421">
        <f>'Runs Z score'!C414</f>
        <v/>
      </c>
      <c r="D421">
        <f>'Runs Z score'!D414</f>
        <v/>
      </c>
      <c r="E421">
        <f>'Runs Z score'!E414</f>
        <v/>
      </c>
      <c r="F421">
        <f>'Runs Z score'!F414</f>
        <v/>
      </c>
      <c r="G421">
        <f>'Runs Z score'!G414</f>
        <v/>
      </c>
      <c r="H421">
        <f>VLOOKUP(C421,Recipes!$A$2:$N$4,10,FALSE())</f>
        <v/>
      </c>
      <c r="I421">
        <f>VLOOKUP(C421,Recipes!$A$2:$N$4,12,FALSE())</f>
        <v/>
      </c>
      <c r="J421">
        <f>IF(G421="","",H421-G421)</f>
        <v/>
      </c>
      <c r="K421">
        <f>IF(G421="","",IF(VLOOKUP(C421,Recipes!$A$2:$N$4,4,FALSE())=0,-1E+300,-0.5*((J421-Components!$D$2)/Components!$E$2)^2))</f>
        <v/>
      </c>
      <c r="L421">
        <f>IF(G421="","",IF(VLOOKUP(C421,Recipes!$A$2:$N$4,5,FALSE())=0,-1E+300,-0.5*((J421-Components!$D$3)/Components!$E$3)^2))</f>
        <v/>
      </c>
      <c r="M421">
        <f>IF(G421="","",IF(VLOOKUP(C421,Recipes!$A$2:$N$4,6,FALSE())=0,-1E+300,-0.5*((J421-Components!$D$4)/Components!$E$4)^2))</f>
        <v/>
      </c>
      <c r="N421">
        <f>IF(G421="","",IF(VLOOKUP(C421,Recipes!$A$2:$N$4,7,FALSE())=0,-1E+300,-0.5*((J421-Components!$D$5)/Components!$E$5)^2))</f>
        <v/>
      </c>
      <c r="O421">
        <f>IF(G421="","",IF(VLOOKUP(C421,Recipes!$A$2:$N$4,8,FALSE())=0,-1E+300,-0.5*((J421-Components!$D$6)/Components!$E$6)^2))</f>
        <v/>
      </c>
      <c r="P421">
        <f>IF(G421="","",IF(VLOOKUP(C421,Recipes!$A$2:$N$4,9,FALSE())=0,-1E+300,-0.5*((J421-Components!$D$7)/Components!$E$7)^2))</f>
        <v/>
      </c>
      <c r="Q421">
        <f>IF(G421="","",EXP(LARGE(K421:P421,1)-MAX(K421:P421))/(EXP(K421-MAX(K421:P421))+EXP(L421-MAX(K421:P421))+EXP(M421-MAX(K421:P421))+EXP(N421-MAX(K421:P421))+EXP(O421-MAX(K421:P421))+EXP(P421-MAX(K421:P421))))</f>
        <v/>
      </c>
      <c r="R421">
        <f>IF(G421="","",EXP(LARGE(K421:P421,2)-MAX(K421:P421))/(EXP(K421-MAX(K421:P421))+EXP(L421-MAX(K421:P421))+EXP(M421-MAX(K421:P421))+EXP(N421-MAX(K421:P421))+EXP(O421-MAX(K421:P421))+EXP(P421-MAX(K421:P421))))</f>
        <v/>
      </c>
      <c r="S421">
        <f>IF(G421="","",Q421-R421)</f>
        <v/>
      </c>
      <c r="T421">
        <f>IF(G421="","",IF(ABS(G421-H421)&lt;=$B$6*I421,"OK","NG"))</f>
        <v/>
      </c>
      <c r="U421">
        <f>IF(T421="","",IF(T421=D421,1,0))</f>
        <v/>
      </c>
      <c r="V421">
        <f>IF(G421="","",IF(T421="OK","NONE",INDEX({"S1","S2","W1","W2","N1","N2"},MATCH(MAX(K421:P421),K421:P421,0))))</f>
        <v/>
      </c>
      <c r="W421">
        <f>IF(G421="","",IF(V421=E421,1,0))</f>
        <v/>
      </c>
      <c r="X421">
        <f>IF(G421="","",IF(AND(T421="NG",S421&lt;$B$7),"AMBIGUOUS","CONFIDENT"))</f>
        <v/>
      </c>
    </row>
    <row r="422">
      <c r="A422">
        <f>'Runs Z score'!A415</f>
        <v/>
      </c>
      <c r="B422">
        <f>'Runs Z score'!B415</f>
        <v/>
      </c>
      <c r="C422">
        <f>'Runs Z score'!C415</f>
        <v/>
      </c>
      <c r="D422">
        <f>'Runs Z score'!D415</f>
        <v/>
      </c>
      <c r="E422">
        <f>'Runs Z score'!E415</f>
        <v/>
      </c>
      <c r="F422">
        <f>'Runs Z score'!F415</f>
        <v/>
      </c>
      <c r="G422">
        <f>'Runs Z score'!G415</f>
        <v/>
      </c>
      <c r="H422">
        <f>VLOOKUP(C422,Recipes!$A$2:$N$4,10,FALSE())</f>
        <v/>
      </c>
      <c r="I422">
        <f>VLOOKUP(C422,Recipes!$A$2:$N$4,12,FALSE())</f>
        <v/>
      </c>
      <c r="J422">
        <f>IF(G422="","",H422-G422)</f>
        <v/>
      </c>
      <c r="K422">
        <f>IF(G422="","",IF(VLOOKUP(C422,Recipes!$A$2:$N$4,4,FALSE())=0,-1E+300,-0.5*((J422-Components!$D$2)/Components!$E$2)^2))</f>
        <v/>
      </c>
      <c r="L422">
        <f>IF(G422="","",IF(VLOOKUP(C422,Recipes!$A$2:$N$4,5,FALSE())=0,-1E+300,-0.5*((J422-Components!$D$3)/Components!$E$3)^2))</f>
        <v/>
      </c>
      <c r="M422">
        <f>IF(G422="","",IF(VLOOKUP(C422,Recipes!$A$2:$N$4,6,FALSE())=0,-1E+300,-0.5*((J422-Components!$D$4)/Components!$E$4)^2))</f>
        <v/>
      </c>
      <c r="N422">
        <f>IF(G422="","",IF(VLOOKUP(C422,Recipes!$A$2:$N$4,7,FALSE())=0,-1E+300,-0.5*((J422-Components!$D$5)/Components!$E$5)^2))</f>
        <v/>
      </c>
      <c r="O422">
        <f>IF(G422="","",IF(VLOOKUP(C422,Recipes!$A$2:$N$4,8,FALSE())=0,-1E+300,-0.5*((J422-Components!$D$6)/Components!$E$6)^2))</f>
        <v/>
      </c>
      <c r="P422">
        <f>IF(G422="","",IF(VLOOKUP(C422,Recipes!$A$2:$N$4,9,FALSE())=0,-1E+300,-0.5*((J422-Components!$D$7)/Components!$E$7)^2))</f>
        <v/>
      </c>
      <c r="Q422">
        <f>IF(G422="","",EXP(LARGE(K422:P422,1)-MAX(K422:P422))/(EXP(K422-MAX(K422:P422))+EXP(L422-MAX(K422:P422))+EXP(M422-MAX(K422:P422))+EXP(N422-MAX(K422:P422))+EXP(O422-MAX(K422:P422))+EXP(P422-MAX(K422:P422))))</f>
        <v/>
      </c>
      <c r="R422">
        <f>IF(G422="","",EXP(LARGE(K422:P422,2)-MAX(K422:P422))/(EXP(K422-MAX(K422:P422))+EXP(L422-MAX(K422:P422))+EXP(M422-MAX(K422:P422))+EXP(N422-MAX(K422:P422))+EXP(O422-MAX(K422:P422))+EXP(P422-MAX(K422:P422))))</f>
        <v/>
      </c>
      <c r="S422">
        <f>IF(G422="","",Q422-R422)</f>
        <v/>
      </c>
      <c r="T422">
        <f>IF(G422="","",IF(ABS(G422-H422)&lt;=$B$6*I422,"OK","NG"))</f>
        <v/>
      </c>
      <c r="U422">
        <f>IF(T422="","",IF(T422=D422,1,0))</f>
        <v/>
      </c>
      <c r="V422">
        <f>IF(G422="","",IF(T422="OK","NONE",INDEX({"S1","S2","W1","W2","N1","N2"},MATCH(MAX(K422:P422),K422:P422,0))))</f>
        <v/>
      </c>
      <c r="W422">
        <f>IF(G422="","",IF(V422=E422,1,0))</f>
        <v/>
      </c>
      <c r="X422">
        <f>IF(G422="","",IF(AND(T422="NG",S422&lt;$B$7),"AMBIGUOUS","CONFIDENT"))</f>
        <v/>
      </c>
    </row>
    <row r="423">
      <c r="A423">
        <f>'Runs Z score'!A416</f>
        <v/>
      </c>
      <c r="B423">
        <f>'Runs Z score'!B416</f>
        <v/>
      </c>
      <c r="C423">
        <f>'Runs Z score'!C416</f>
        <v/>
      </c>
      <c r="D423">
        <f>'Runs Z score'!D416</f>
        <v/>
      </c>
      <c r="E423">
        <f>'Runs Z score'!E416</f>
        <v/>
      </c>
      <c r="F423">
        <f>'Runs Z score'!F416</f>
        <v/>
      </c>
      <c r="G423">
        <f>'Runs Z score'!G416</f>
        <v/>
      </c>
      <c r="H423">
        <f>VLOOKUP(C423,Recipes!$A$2:$N$4,10,FALSE())</f>
        <v/>
      </c>
      <c r="I423">
        <f>VLOOKUP(C423,Recipes!$A$2:$N$4,12,FALSE())</f>
        <v/>
      </c>
      <c r="J423">
        <f>IF(G423="","",H423-G423)</f>
        <v/>
      </c>
      <c r="K423">
        <f>IF(G423="","",IF(VLOOKUP(C423,Recipes!$A$2:$N$4,4,FALSE())=0,-1E+300,-0.5*((J423-Components!$D$2)/Components!$E$2)^2))</f>
        <v/>
      </c>
      <c r="L423">
        <f>IF(G423="","",IF(VLOOKUP(C423,Recipes!$A$2:$N$4,5,FALSE())=0,-1E+300,-0.5*((J423-Components!$D$3)/Components!$E$3)^2))</f>
        <v/>
      </c>
      <c r="M423">
        <f>IF(G423="","",IF(VLOOKUP(C423,Recipes!$A$2:$N$4,6,FALSE())=0,-1E+300,-0.5*((J423-Components!$D$4)/Components!$E$4)^2))</f>
        <v/>
      </c>
      <c r="N423">
        <f>IF(G423="","",IF(VLOOKUP(C423,Recipes!$A$2:$N$4,7,FALSE())=0,-1E+300,-0.5*((J423-Components!$D$5)/Components!$E$5)^2))</f>
        <v/>
      </c>
      <c r="O423">
        <f>IF(G423="","",IF(VLOOKUP(C423,Recipes!$A$2:$N$4,8,FALSE())=0,-1E+300,-0.5*((J423-Components!$D$6)/Components!$E$6)^2))</f>
        <v/>
      </c>
      <c r="P423">
        <f>IF(G423="","",IF(VLOOKUP(C423,Recipes!$A$2:$N$4,9,FALSE())=0,-1E+300,-0.5*((J423-Components!$D$7)/Components!$E$7)^2))</f>
        <v/>
      </c>
      <c r="Q423">
        <f>IF(G423="","",EXP(LARGE(K423:P423,1)-MAX(K423:P423))/(EXP(K423-MAX(K423:P423))+EXP(L423-MAX(K423:P423))+EXP(M423-MAX(K423:P423))+EXP(N423-MAX(K423:P423))+EXP(O423-MAX(K423:P423))+EXP(P423-MAX(K423:P423))))</f>
        <v/>
      </c>
      <c r="R423">
        <f>IF(G423="","",EXP(LARGE(K423:P423,2)-MAX(K423:P423))/(EXP(K423-MAX(K423:P423))+EXP(L423-MAX(K423:P423))+EXP(M423-MAX(K423:P423))+EXP(N423-MAX(K423:P423))+EXP(O423-MAX(K423:P423))+EXP(P423-MAX(K423:P423))))</f>
        <v/>
      </c>
      <c r="S423">
        <f>IF(G423="","",Q423-R423)</f>
        <v/>
      </c>
      <c r="T423">
        <f>IF(G423="","",IF(ABS(G423-H423)&lt;=$B$6*I423,"OK","NG"))</f>
        <v/>
      </c>
      <c r="U423">
        <f>IF(T423="","",IF(T423=D423,1,0))</f>
        <v/>
      </c>
      <c r="V423">
        <f>IF(G423="","",IF(T423="OK","NONE",INDEX({"S1","S2","W1","W2","N1","N2"},MATCH(MAX(K423:P423),K423:P423,0))))</f>
        <v/>
      </c>
      <c r="W423">
        <f>IF(G423="","",IF(V423=E423,1,0))</f>
        <v/>
      </c>
      <c r="X423">
        <f>IF(G423="","",IF(AND(T423="NG",S423&lt;$B$7),"AMBIGUOUS","CONFIDENT"))</f>
        <v/>
      </c>
    </row>
    <row r="424">
      <c r="A424">
        <f>'Runs Z score'!A417</f>
        <v/>
      </c>
      <c r="B424">
        <f>'Runs Z score'!B417</f>
        <v/>
      </c>
      <c r="C424">
        <f>'Runs Z score'!C417</f>
        <v/>
      </c>
      <c r="D424">
        <f>'Runs Z score'!D417</f>
        <v/>
      </c>
      <c r="E424">
        <f>'Runs Z score'!E417</f>
        <v/>
      </c>
      <c r="F424">
        <f>'Runs Z score'!F417</f>
        <v/>
      </c>
      <c r="G424">
        <f>'Runs Z score'!G417</f>
        <v/>
      </c>
      <c r="H424">
        <f>VLOOKUP(C424,Recipes!$A$2:$N$4,10,FALSE())</f>
        <v/>
      </c>
      <c r="I424">
        <f>VLOOKUP(C424,Recipes!$A$2:$N$4,12,FALSE())</f>
        <v/>
      </c>
      <c r="J424">
        <f>IF(G424="","",H424-G424)</f>
        <v/>
      </c>
      <c r="K424">
        <f>IF(G424="","",IF(VLOOKUP(C424,Recipes!$A$2:$N$4,4,FALSE())=0,-1E+300,-0.5*((J424-Components!$D$2)/Components!$E$2)^2))</f>
        <v/>
      </c>
      <c r="L424">
        <f>IF(G424="","",IF(VLOOKUP(C424,Recipes!$A$2:$N$4,5,FALSE())=0,-1E+300,-0.5*((J424-Components!$D$3)/Components!$E$3)^2))</f>
        <v/>
      </c>
      <c r="M424">
        <f>IF(G424="","",IF(VLOOKUP(C424,Recipes!$A$2:$N$4,6,FALSE())=0,-1E+300,-0.5*((J424-Components!$D$4)/Components!$E$4)^2))</f>
        <v/>
      </c>
      <c r="N424">
        <f>IF(G424="","",IF(VLOOKUP(C424,Recipes!$A$2:$N$4,7,FALSE())=0,-1E+300,-0.5*((J424-Components!$D$5)/Components!$E$5)^2))</f>
        <v/>
      </c>
      <c r="O424">
        <f>IF(G424="","",IF(VLOOKUP(C424,Recipes!$A$2:$N$4,8,FALSE())=0,-1E+300,-0.5*((J424-Components!$D$6)/Components!$E$6)^2))</f>
        <v/>
      </c>
      <c r="P424">
        <f>IF(G424="","",IF(VLOOKUP(C424,Recipes!$A$2:$N$4,9,FALSE())=0,-1E+300,-0.5*((J424-Components!$D$7)/Components!$E$7)^2))</f>
        <v/>
      </c>
      <c r="Q424">
        <f>IF(G424="","",EXP(LARGE(K424:P424,1)-MAX(K424:P424))/(EXP(K424-MAX(K424:P424))+EXP(L424-MAX(K424:P424))+EXP(M424-MAX(K424:P424))+EXP(N424-MAX(K424:P424))+EXP(O424-MAX(K424:P424))+EXP(P424-MAX(K424:P424))))</f>
        <v/>
      </c>
      <c r="R424">
        <f>IF(G424="","",EXP(LARGE(K424:P424,2)-MAX(K424:P424))/(EXP(K424-MAX(K424:P424))+EXP(L424-MAX(K424:P424))+EXP(M424-MAX(K424:P424))+EXP(N424-MAX(K424:P424))+EXP(O424-MAX(K424:P424))+EXP(P424-MAX(K424:P424))))</f>
        <v/>
      </c>
      <c r="S424">
        <f>IF(G424="","",Q424-R424)</f>
        <v/>
      </c>
      <c r="T424">
        <f>IF(G424="","",IF(ABS(G424-H424)&lt;=$B$6*I424,"OK","NG"))</f>
        <v/>
      </c>
      <c r="U424">
        <f>IF(T424="","",IF(T424=D424,1,0))</f>
        <v/>
      </c>
      <c r="V424">
        <f>IF(G424="","",IF(T424="OK","NONE",INDEX({"S1","S2","W1","W2","N1","N2"},MATCH(MAX(K424:P424),K424:P424,0))))</f>
        <v/>
      </c>
      <c r="W424">
        <f>IF(G424="","",IF(V424=E424,1,0))</f>
        <v/>
      </c>
      <c r="X424">
        <f>IF(G424="","",IF(AND(T424="NG",S424&lt;$B$7),"AMBIGUOUS","CONFIDENT"))</f>
        <v/>
      </c>
    </row>
    <row r="425">
      <c r="A425">
        <f>'Runs Z score'!A418</f>
        <v/>
      </c>
      <c r="B425">
        <f>'Runs Z score'!B418</f>
        <v/>
      </c>
      <c r="C425">
        <f>'Runs Z score'!C418</f>
        <v/>
      </c>
      <c r="D425">
        <f>'Runs Z score'!D418</f>
        <v/>
      </c>
      <c r="E425">
        <f>'Runs Z score'!E418</f>
        <v/>
      </c>
      <c r="F425">
        <f>'Runs Z score'!F418</f>
        <v/>
      </c>
      <c r="G425">
        <f>'Runs Z score'!G418</f>
        <v/>
      </c>
      <c r="H425">
        <f>VLOOKUP(C425,Recipes!$A$2:$N$4,10,FALSE())</f>
        <v/>
      </c>
      <c r="I425">
        <f>VLOOKUP(C425,Recipes!$A$2:$N$4,12,FALSE())</f>
        <v/>
      </c>
      <c r="J425">
        <f>IF(G425="","",H425-G425)</f>
        <v/>
      </c>
      <c r="K425">
        <f>IF(G425="","",IF(VLOOKUP(C425,Recipes!$A$2:$N$4,4,FALSE())=0,-1E+300,-0.5*((J425-Components!$D$2)/Components!$E$2)^2))</f>
        <v/>
      </c>
      <c r="L425">
        <f>IF(G425="","",IF(VLOOKUP(C425,Recipes!$A$2:$N$4,5,FALSE())=0,-1E+300,-0.5*((J425-Components!$D$3)/Components!$E$3)^2))</f>
        <v/>
      </c>
      <c r="M425">
        <f>IF(G425="","",IF(VLOOKUP(C425,Recipes!$A$2:$N$4,6,FALSE())=0,-1E+300,-0.5*((J425-Components!$D$4)/Components!$E$4)^2))</f>
        <v/>
      </c>
      <c r="N425">
        <f>IF(G425="","",IF(VLOOKUP(C425,Recipes!$A$2:$N$4,7,FALSE())=0,-1E+300,-0.5*((J425-Components!$D$5)/Components!$E$5)^2))</f>
        <v/>
      </c>
      <c r="O425">
        <f>IF(G425="","",IF(VLOOKUP(C425,Recipes!$A$2:$N$4,8,FALSE())=0,-1E+300,-0.5*((J425-Components!$D$6)/Components!$E$6)^2))</f>
        <v/>
      </c>
      <c r="P425">
        <f>IF(G425="","",IF(VLOOKUP(C425,Recipes!$A$2:$N$4,9,FALSE())=0,-1E+300,-0.5*((J425-Components!$D$7)/Components!$E$7)^2))</f>
        <v/>
      </c>
      <c r="Q425">
        <f>IF(G425="","",EXP(LARGE(K425:P425,1)-MAX(K425:P425))/(EXP(K425-MAX(K425:P425))+EXP(L425-MAX(K425:P425))+EXP(M425-MAX(K425:P425))+EXP(N425-MAX(K425:P425))+EXP(O425-MAX(K425:P425))+EXP(P425-MAX(K425:P425))))</f>
        <v/>
      </c>
      <c r="R425">
        <f>IF(G425="","",EXP(LARGE(K425:P425,2)-MAX(K425:P425))/(EXP(K425-MAX(K425:P425))+EXP(L425-MAX(K425:P425))+EXP(M425-MAX(K425:P425))+EXP(N425-MAX(K425:P425))+EXP(O425-MAX(K425:P425))+EXP(P425-MAX(K425:P425))))</f>
        <v/>
      </c>
      <c r="S425">
        <f>IF(G425="","",Q425-R425)</f>
        <v/>
      </c>
      <c r="T425">
        <f>IF(G425="","",IF(ABS(G425-H425)&lt;=$B$6*I425,"OK","NG"))</f>
        <v/>
      </c>
      <c r="U425">
        <f>IF(T425="","",IF(T425=D425,1,0))</f>
        <v/>
      </c>
      <c r="V425">
        <f>IF(G425="","",IF(T425="OK","NONE",INDEX({"S1","S2","W1","W2","N1","N2"},MATCH(MAX(K425:P425),K425:P425,0))))</f>
        <v/>
      </c>
      <c r="W425">
        <f>IF(G425="","",IF(V425=E425,1,0))</f>
        <v/>
      </c>
      <c r="X425">
        <f>IF(G425="","",IF(AND(T425="NG",S425&lt;$B$7),"AMBIGUOUS","CONFIDENT"))</f>
        <v/>
      </c>
    </row>
    <row r="426">
      <c r="A426">
        <f>'Runs Z score'!A419</f>
        <v/>
      </c>
      <c r="B426">
        <f>'Runs Z score'!B419</f>
        <v/>
      </c>
      <c r="C426">
        <f>'Runs Z score'!C419</f>
        <v/>
      </c>
      <c r="D426">
        <f>'Runs Z score'!D419</f>
        <v/>
      </c>
      <c r="E426">
        <f>'Runs Z score'!E419</f>
        <v/>
      </c>
      <c r="F426">
        <f>'Runs Z score'!F419</f>
        <v/>
      </c>
      <c r="G426">
        <f>'Runs Z score'!G419</f>
        <v/>
      </c>
      <c r="H426">
        <f>VLOOKUP(C426,Recipes!$A$2:$N$4,10,FALSE())</f>
        <v/>
      </c>
      <c r="I426">
        <f>VLOOKUP(C426,Recipes!$A$2:$N$4,12,FALSE())</f>
        <v/>
      </c>
      <c r="J426">
        <f>IF(G426="","",H426-G426)</f>
        <v/>
      </c>
      <c r="K426">
        <f>IF(G426="","",IF(VLOOKUP(C426,Recipes!$A$2:$N$4,4,FALSE())=0,-1E+300,-0.5*((J426-Components!$D$2)/Components!$E$2)^2))</f>
        <v/>
      </c>
      <c r="L426">
        <f>IF(G426="","",IF(VLOOKUP(C426,Recipes!$A$2:$N$4,5,FALSE())=0,-1E+300,-0.5*((J426-Components!$D$3)/Components!$E$3)^2))</f>
        <v/>
      </c>
      <c r="M426">
        <f>IF(G426="","",IF(VLOOKUP(C426,Recipes!$A$2:$N$4,6,FALSE())=0,-1E+300,-0.5*((J426-Components!$D$4)/Components!$E$4)^2))</f>
        <v/>
      </c>
      <c r="N426">
        <f>IF(G426="","",IF(VLOOKUP(C426,Recipes!$A$2:$N$4,7,FALSE())=0,-1E+300,-0.5*((J426-Components!$D$5)/Components!$E$5)^2))</f>
        <v/>
      </c>
      <c r="O426">
        <f>IF(G426="","",IF(VLOOKUP(C426,Recipes!$A$2:$N$4,8,FALSE())=0,-1E+300,-0.5*((J426-Components!$D$6)/Components!$E$6)^2))</f>
        <v/>
      </c>
      <c r="P426">
        <f>IF(G426="","",IF(VLOOKUP(C426,Recipes!$A$2:$N$4,9,FALSE())=0,-1E+300,-0.5*((J426-Components!$D$7)/Components!$E$7)^2))</f>
        <v/>
      </c>
      <c r="Q426">
        <f>IF(G426="","",EXP(LARGE(K426:P426,1)-MAX(K426:P426))/(EXP(K426-MAX(K426:P426))+EXP(L426-MAX(K426:P426))+EXP(M426-MAX(K426:P426))+EXP(N426-MAX(K426:P426))+EXP(O426-MAX(K426:P426))+EXP(P426-MAX(K426:P426))))</f>
        <v/>
      </c>
      <c r="R426">
        <f>IF(G426="","",EXP(LARGE(K426:P426,2)-MAX(K426:P426))/(EXP(K426-MAX(K426:P426))+EXP(L426-MAX(K426:P426))+EXP(M426-MAX(K426:P426))+EXP(N426-MAX(K426:P426))+EXP(O426-MAX(K426:P426))+EXP(P426-MAX(K426:P426))))</f>
        <v/>
      </c>
      <c r="S426">
        <f>IF(G426="","",Q426-R426)</f>
        <v/>
      </c>
      <c r="T426">
        <f>IF(G426="","",IF(ABS(G426-H426)&lt;=$B$6*I426,"OK","NG"))</f>
        <v/>
      </c>
      <c r="U426">
        <f>IF(T426="","",IF(T426=D426,1,0))</f>
        <v/>
      </c>
      <c r="V426">
        <f>IF(G426="","",IF(T426="OK","NONE",INDEX({"S1","S2","W1","W2","N1","N2"},MATCH(MAX(K426:P426),K426:P426,0))))</f>
        <v/>
      </c>
      <c r="W426">
        <f>IF(G426="","",IF(V426=E426,1,0))</f>
        <v/>
      </c>
      <c r="X426">
        <f>IF(G426="","",IF(AND(T426="NG",S426&lt;$B$7),"AMBIGUOUS","CONFIDENT"))</f>
        <v/>
      </c>
    </row>
    <row r="427">
      <c r="A427">
        <f>'Runs Z score'!A420</f>
        <v/>
      </c>
      <c r="B427">
        <f>'Runs Z score'!B420</f>
        <v/>
      </c>
      <c r="C427">
        <f>'Runs Z score'!C420</f>
        <v/>
      </c>
      <c r="D427">
        <f>'Runs Z score'!D420</f>
        <v/>
      </c>
      <c r="E427">
        <f>'Runs Z score'!E420</f>
        <v/>
      </c>
      <c r="F427">
        <f>'Runs Z score'!F420</f>
        <v/>
      </c>
      <c r="G427">
        <f>'Runs Z score'!G420</f>
        <v/>
      </c>
      <c r="H427">
        <f>VLOOKUP(C427,Recipes!$A$2:$N$4,10,FALSE())</f>
        <v/>
      </c>
      <c r="I427">
        <f>VLOOKUP(C427,Recipes!$A$2:$N$4,12,FALSE())</f>
        <v/>
      </c>
      <c r="J427">
        <f>IF(G427="","",H427-G427)</f>
        <v/>
      </c>
      <c r="K427">
        <f>IF(G427="","",IF(VLOOKUP(C427,Recipes!$A$2:$N$4,4,FALSE())=0,-1E+300,-0.5*((J427-Components!$D$2)/Components!$E$2)^2))</f>
        <v/>
      </c>
      <c r="L427">
        <f>IF(G427="","",IF(VLOOKUP(C427,Recipes!$A$2:$N$4,5,FALSE())=0,-1E+300,-0.5*((J427-Components!$D$3)/Components!$E$3)^2))</f>
        <v/>
      </c>
      <c r="M427">
        <f>IF(G427="","",IF(VLOOKUP(C427,Recipes!$A$2:$N$4,6,FALSE())=0,-1E+300,-0.5*((J427-Components!$D$4)/Components!$E$4)^2))</f>
        <v/>
      </c>
      <c r="N427">
        <f>IF(G427="","",IF(VLOOKUP(C427,Recipes!$A$2:$N$4,7,FALSE())=0,-1E+300,-0.5*((J427-Components!$D$5)/Components!$E$5)^2))</f>
        <v/>
      </c>
      <c r="O427">
        <f>IF(G427="","",IF(VLOOKUP(C427,Recipes!$A$2:$N$4,8,FALSE())=0,-1E+300,-0.5*((J427-Components!$D$6)/Components!$E$6)^2))</f>
        <v/>
      </c>
      <c r="P427">
        <f>IF(G427="","",IF(VLOOKUP(C427,Recipes!$A$2:$N$4,9,FALSE())=0,-1E+300,-0.5*((J427-Components!$D$7)/Components!$E$7)^2))</f>
        <v/>
      </c>
      <c r="Q427">
        <f>IF(G427="","",EXP(LARGE(K427:P427,1)-MAX(K427:P427))/(EXP(K427-MAX(K427:P427))+EXP(L427-MAX(K427:P427))+EXP(M427-MAX(K427:P427))+EXP(N427-MAX(K427:P427))+EXP(O427-MAX(K427:P427))+EXP(P427-MAX(K427:P427))))</f>
        <v/>
      </c>
      <c r="R427">
        <f>IF(G427="","",EXP(LARGE(K427:P427,2)-MAX(K427:P427))/(EXP(K427-MAX(K427:P427))+EXP(L427-MAX(K427:P427))+EXP(M427-MAX(K427:P427))+EXP(N427-MAX(K427:P427))+EXP(O427-MAX(K427:P427))+EXP(P427-MAX(K427:P427))))</f>
        <v/>
      </c>
      <c r="S427">
        <f>IF(G427="","",Q427-R427)</f>
        <v/>
      </c>
      <c r="T427">
        <f>IF(G427="","",IF(ABS(G427-H427)&lt;=$B$6*I427,"OK","NG"))</f>
        <v/>
      </c>
      <c r="U427">
        <f>IF(T427="","",IF(T427=D427,1,0))</f>
        <v/>
      </c>
      <c r="V427">
        <f>IF(G427="","",IF(T427="OK","NONE",INDEX({"S1","S2","W1","W2","N1","N2"},MATCH(MAX(K427:P427),K427:P427,0))))</f>
        <v/>
      </c>
      <c r="W427">
        <f>IF(G427="","",IF(V427=E427,1,0))</f>
        <v/>
      </c>
      <c r="X427">
        <f>IF(G427="","",IF(AND(T427="NG",S427&lt;$B$7),"AMBIGUOUS","CONFIDENT"))</f>
        <v/>
      </c>
    </row>
    <row r="428">
      <c r="A428">
        <f>'Runs Z score'!A421</f>
        <v/>
      </c>
      <c r="B428">
        <f>'Runs Z score'!B421</f>
        <v/>
      </c>
      <c r="C428">
        <f>'Runs Z score'!C421</f>
        <v/>
      </c>
      <c r="D428">
        <f>'Runs Z score'!D421</f>
        <v/>
      </c>
      <c r="E428">
        <f>'Runs Z score'!E421</f>
        <v/>
      </c>
      <c r="F428">
        <f>'Runs Z score'!F421</f>
        <v/>
      </c>
      <c r="G428">
        <f>'Runs Z score'!G421</f>
        <v/>
      </c>
      <c r="H428">
        <f>VLOOKUP(C428,Recipes!$A$2:$N$4,10,FALSE())</f>
        <v/>
      </c>
      <c r="I428">
        <f>VLOOKUP(C428,Recipes!$A$2:$N$4,12,FALSE())</f>
        <v/>
      </c>
      <c r="J428">
        <f>IF(G428="","",H428-G428)</f>
        <v/>
      </c>
      <c r="K428">
        <f>IF(G428="","",IF(VLOOKUP(C428,Recipes!$A$2:$N$4,4,FALSE())=0,-1E+300,-0.5*((J428-Components!$D$2)/Components!$E$2)^2))</f>
        <v/>
      </c>
      <c r="L428">
        <f>IF(G428="","",IF(VLOOKUP(C428,Recipes!$A$2:$N$4,5,FALSE())=0,-1E+300,-0.5*((J428-Components!$D$3)/Components!$E$3)^2))</f>
        <v/>
      </c>
      <c r="M428">
        <f>IF(G428="","",IF(VLOOKUP(C428,Recipes!$A$2:$N$4,6,FALSE())=0,-1E+300,-0.5*((J428-Components!$D$4)/Components!$E$4)^2))</f>
        <v/>
      </c>
      <c r="N428">
        <f>IF(G428="","",IF(VLOOKUP(C428,Recipes!$A$2:$N$4,7,FALSE())=0,-1E+300,-0.5*((J428-Components!$D$5)/Components!$E$5)^2))</f>
        <v/>
      </c>
      <c r="O428">
        <f>IF(G428="","",IF(VLOOKUP(C428,Recipes!$A$2:$N$4,8,FALSE())=0,-1E+300,-0.5*((J428-Components!$D$6)/Components!$E$6)^2))</f>
        <v/>
      </c>
      <c r="P428">
        <f>IF(G428="","",IF(VLOOKUP(C428,Recipes!$A$2:$N$4,9,FALSE())=0,-1E+300,-0.5*((J428-Components!$D$7)/Components!$E$7)^2))</f>
        <v/>
      </c>
      <c r="Q428">
        <f>IF(G428="","",EXP(LARGE(K428:P428,1)-MAX(K428:P428))/(EXP(K428-MAX(K428:P428))+EXP(L428-MAX(K428:P428))+EXP(M428-MAX(K428:P428))+EXP(N428-MAX(K428:P428))+EXP(O428-MAX(K428:P428))+EXP(P428-MAX(K428:P428))))</f>
        <v/>
      </c>
      <c r="R428">
        <f>IF(G428="","",EXP(LARGE(K428:P428,2)-MAX(K428:P428))/(EXP(K428-MAX(K428:P428))+EXP(L428-MAX(K428:P428))+EXP(M428-MAX(K428:P428))+EXP(N428-MAX(K428:P428))+EXP(O428-MAX(K428:P428))+EXP(P428-MAX(K428:P428))))</f>
        <v/>
      </c>
      <c r="S428">
        <f>IF(G428="","",Q428-R428)</f>
        <v/>
      </c>
      <c r="T428">
        <f>IF(G428="","",IF(ABS(G428-H428)&lt;=$B$6*I428,"OK","NG"))</f>
        <v/>
      </c>
      <c r="U428">
        <f>IF(T428="","",IF(T428=D428,1,0))</f>
        <v/>
      </c>
      <c r="V428">
        <f>IF(G428="","",IF(T428="OK","NONE",INDEX({"S1","S2","W1","W2","N1","N2"},MATCH(MAX(K428:P428),K428:P428,0))))</f>
        <v/>
      </c>
      <c r="W428">
        <f>IF(G428="","",IF(V428=E428,1,0))</f>
        <v/>
      </c>
      <c r="X428">
        <f>IF(G428="","",IF(AND(T428="NG",S428&lt;$B$7),"AMBIGUOUS","CONFIDENT"))</f>
        <v/>
      </c>
    </row>
    <row r="429">
      <c r="A429">
        <f>'Runs Z score'!A422</f>
        <v/>
      </c>
      <c r="B429">
        <f>'Runs Z score'!B422</f>
        <v/>
      </c>
      <c r="C429">
        <f>'Runs Z score'!C422</f>
        <v/>
      </c>
      <c r="D429">
        <f>'Runs Z score'!D422</f>
        <v/>
      </c>
      <c r="E429">
        <f>'Runs Z score'!E422</f>
        <v/>
      </c>
      <c r="F429">
        <f>'Runs Z score'!F422</f>
        <v/>
      </c>
      <c r="G429">
        <f>'Runs Z score'!G422</f>
        <v/>
      </c>
      <c r="H429">
        <f>VLOOKUP(C429,Recipes!$A$2:$N$4,10,FALSE())</f>
        <v/>
      </c>
      <c r="I429">
        <f>VLOOKUP(C429,Recipes!$A$2:$N$4,12,FALSE())</f>
        <v/>
      </c>
      <c r="J429">
        <f>IF(G429="","",H429-G429)</f>
        <v/>
      </c>
      <c r="K429">
        <f>IF(G429="","",IF(VLOOKUP(C429,Recipes!$A$2:$N$4,4,FALSE())=0,-1E+300,-0.5*((J429-Components!$D$2)/Components!$E$2)^2))</f>
        <v/>
      </c>
      <c r="L429">
        <f>IF(G429="","",IF(VLOOKUP(C429,Recipes!$A$2:$N$4,5,FALSE())=0,-1E+300,-0.5*((J429-Components!$D$3)/Components!$E$3)^2))</f>
        <v/>
      </c>
      <c r="M429">
        <f>IF(G429="","",IF(VLOOKUP(C429,Recipes!$A$2:$N$4,6,FALSE())=0,-1E+300,-0.5*((J429-Components!$D$4)/Components!$E$4)^2))</f>
        <v/>
      </c>
      <c r="N429">
        <f>IF(G429="","",IF(VLOOKUP(C429,Recipes!$A$2:$N$4,7,FALSE())=0,-1E+300,-0.5*((J429-Components!$D$5)/Components!$E$5)^2))</f>
        <v/>
      </c>
      <c r="O429">
        <f>IF(G429="","",IF(VLOOKUP(C429,Recipes!$A$2:$N$4,8,FALSE())=0,-1E+300,-0.5*((J429-Components!$D$6)/Components!$E$6)^2))</f>
        <v/>
      </c>
      <c r="P429">
        <f>IF(G429="","",IF(VLOOKUP(C429,Recipes!$A$2:$N$4,9,FALSE())=0,-1E+300,-0.5*((J429-Components!$D$7)/Components!$E$7)^2))</f>
        <v/>
      </c>
      <c r="Q429">
        <f>IF(G429="","",EXP(LARGE(K429:P429,1)-MAX(K429:P429))/(EXP(K429-MAX(K429:P429))+EXP(L429-MAX(K429:P429))+EXP(M429-MAX(K429:P429))+EXP(N429-MAX(K429:P429))+EXP(O429-MAX(K429:P429))+EXP(P429-MAX(K429:P429))))</f>
        <v/>
      </c>
      <c r="R429">
        <f>IF(G429="","",EXP(LARGE(K429:P429,2)-MAX(K429:P429))/(EXP(K429-MAX(K429:P429))+EXP(L429-MAX(K429:P429))+EXP(M429-MAX(K429:P429))+EXP(N429-MAX(K429:P429))+EXP(O429-MAX(K429:P429))+EXP(P429-MAX(K429:P429))))</f>
        <v/>
      </c>
      <c r="S429">
        <f>IF(G429="","",Q429-R429)</f>
        <v/>
      </c>
      <c r="T429">
        <f>IF(G429="","",IF(ABS(G429-H429)&lt;=$B$6*I429,"OK","NG"))</f>
        <v/>
      </c>
      <c r="U429">
        <f>IF(T429="","",IF(T429=D429,1,0))</f>
        <v/>
      </c>
      <c r="V429">
        <f>IF(G429="","",IF(T429="OK","NONE",INDEX({"S1","S2","W1","W2","N1","N2"},MATCH(MAX(K429:P429),K429:P429,0))))</f>
        <v/>
      </c>
      <c r="W429">
        <f>IF(G429="","",IF(V429=E429,1,0))</f>
        <v/>
      </c>
      <c r="X429">
        <f>IF(G429="","",IF(AND(T429="NG",S429&lt;$B$7),"AMBIGUOUS","CONFIDENT"))</f>
        <v/>
      </c>
    </row>
    <row r="432">
      <c r="A432" s="122" t="inlineStr">
        <is>
          <t>RESUMEN</t>
        </is>
      </c>
    </row>
    <row r="433">
      <c r="A433" s="131" t="inlineStr">
        <is>
          <t>Total runs</t>
        </is>
      </c>
      <c r="B433" s="133">
        <f>COUNTA(G10:G429)</f>
        <v/>
      </c>
    </row>
    <row r="434">
      <c r="A434" s="131" t="inlineStr">
        <is>
          <t>L1 Accuracy</t>
        </is>
      </c>
      <c r="B434" s="134">
        <f>IFERROR(AVERAGE(U10:U429),0)</f>
        <v/>
      </c>
    </row>
    <row r="435">
      <c r="A435" s="131" t="inlineStr">
        <is>
          <t>L2 Accuracy (NG)</t>
        </is>
      </c>
      <c r="B435" s="134">
        <f>IFERROR(AVERAGEIFS(W10:W429,D10:D429,"NG"),0)</f>
        <v/>
      </c>
    </row>
    <row r="436">
      <c r="A436" s="131" t="inlineStr">
        <is>
          <t>Falsos Positivos</t>
        </is>
      </c>
      <c r="B436" s="133">
        <f>COUNTIFS(D10:D429,"OK",T10:T429,"NG")</f>
        <v/>
      </c>
    </row>
    <row r="437">
      <c r="A437" s="131" t="inlineStr">
        <is>
          <t>Falsos Negativos</t>
        </is>
      </c>
      <c r="B437" s="133">
        <f>COUNTIFS(D10:D429,"NG",T10:T429,"OK")</f>
        <v/>
      </c>
    </row>
    <row r="438">
      <c r="A438" s="131" t="inlineStr">
        <is>
          <t>Casos AMBIGUOUS</t>
        </is>
      </c>
      <c r="B438" s="133">
        <f>COUNTIF(X10:X429,"AMBIGUOUS")</f>
        <v/>
      </c>
    </row>
    <row r="441">
      <c r="A441" s="122" t="inlineStr">
        <is>
          <t>POR RECETA</t>
        </is>
      </c>
    </row>
    <row r="442">
      <c r="A442" s="118" t="inlineStr">
        <is>
          <t>Recipe</t>
        </is>
      </c>
      <c r="B442" s="118" t="inlineStr">
        <is>
          <t>L1 Acc</t>
        </is>
      </c>
      <c r="C442" s="118" t="inlineStr">
        <is>
          <t>L2 Acc</t>
        </is>
      </c>
    </row>
    <row r="443">
      <c r="A443" s="135" t="inlineStr">
        <is>
          <t>R3</t>
        </is>
      </c>
      <c r="B443" s="134">
        <f>IFERROR(AVERAGEIFS(U10:U429,C10:C429,"R3"),0)</f>
        <v/>
      </c>
      <c r="C443" s="134">
        <f>IFERROR(AVERAGEIFS(W10:W429,C10:C429,"R3",D10:D429,"NG"),0)</f>
        <v/>
      </c>
    </row>
    <row r="444">
      <c r="A444" s="135" t="inlineStr">
        <is>
          <t>R4</t>
        </is>
      </c>
      <c r="B444" s="134">
        <f>IFERROR(AVERAGEIFS(U10:U429,C10:C429,"R4"),0)</f>
        <v/>
      </c>
      <c r="C444" s="134">
        <f>IFERROR(AVERAGEIFS(W10:W429,C10:C429,"R4",D10:D429,"NG"),0)</f>
        <v/>
      </c>
    </row>
    <row r="445">
      <c r="A445" s="135" t="inlineStr">
        <is>
          <t>R6</t>
        </is>
      </c>
      <c r="B445" s="134">
        <f>IFERROR(AVERAGEIFS(U10:U429,C10:C429,"R6"),0)</f>
        <v/>
      </c>
      <c r="C445" s="134">
        <f>IFERROR(AVERAGEIFS(W10:W429,C10:C429,"R6",D10:D429,"NG"),0)</f>
        <v/>
      </c>
    </row>
    <row r="448">
      <c r="A448" s="136" t="inlineStr">
        <is>
          <t>NOTAS</t>
        </is>
      </c>
    </row>
    <row r="449">
      <c r="A449" s="166" t="inlineStr">
        <is>
          <t>L1 idéntico a Runs 1.0 (k=3·σ_kit, umbral de Shewhart).</t>
        </is>
      </c>
    </row>
    <row r="450">
      <c r="A450" s="166" t="inlineStr">
        <is>
          <t>L2 usa Bayes Óptimo: logL_X = -0.5·((deficit − μ_X)/σ_X)² evaluado contra UNA unidad de cada componente.</t>
        </is>
      </c>
    </row>
    <row r="451">
      <c r="A451" s="166" t="inlineStr">
        <is>
          <t>El DOE asume que falta 1 sola unidad por kit NG (no todas las unidades del componente).</t>
        </is>
      </c>
    </row>
    <row r="452">
      <c r="A452" s="166" t="inlineStr">
        <is>
          <t>Para componentes con qty&gt;0 en la receta, se calcula la log-likelihood. Para qty=0, se asigna -1E300 (improbable).</t>
        </is>
      </c>
    </row>
    <row r="453">
      <c r="A453" s="166" t="inlineStr">
        <is>
          <t>Ventaja vs Runs 1.0: pondera por σ del componente (W1 con σ pequeña tiene zona más estrecha).</t>
        </is>
      </c>
    </row>
    <row r="454">
      <c r="A454" s="166" t="inlineStr">
        <is>
          <t>Genera probabilidades calibradas vía softmax; AMBIGUOUS si margen entre top2 &lt; 0.15.</t>
        </is>
      </c>
    </row>
    <row r="455">
      <c r="A455" s="166" t="inlineStr">
        <is>
          <t>Diferencia con Runs Z-score: Runs Z-score usa |deficit-μ|/σ (distancia), Bayes usa ((deficit-μ)/σ)² (likelihood).</t>
        </is>
      </c>
    </row>
  </sheetData>
  <mergeCells count="9">
    <mergeCell ref="A3:X3"/>
    <mergeCell ref="A451:H451"/>
    <mergeCell ref="A2:X2"/>
    <mergeCell ref="A454:H454"/>
    <mergeCell ref="A450:H450"/>
    <mergeCell ref="A449:H449"/>
    <mergeCell ref="A453:H453"/>
    <mergeCell ref="A1:X1"/>
    <mergeCell ref="A452:H45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446"/>
  <sheetViews>
    <sheetView workbookViewId="0">
      <pane ySplit="10" topLeftCell="A11" activePane="bottomLeft" state="frozen"/>
      <selection pane="bottomLeft" activeCell="A1" sqref="A1"/>
    </sheetView>
  </sheetViews>
  <sheetFormatPr baseColWidth="8" defaultRowHeight="15"/>
  <cols>
    <col width="8" customWidth="1" style="180" min="1" max="1"/>
    <col width="11" customWidth="1" style="180" min="2" max="2"/>
    <col width="9" customWidth="1" style="180" min="3" max="3"/>
    <col width="11" customWidth="1" style="180" min="4" max="4"/>
    <col width="14" customWidth="1" style="180" min="5" max="5"/>
    <col width="9" customWidth="1" style="180" min="6" max="6"/>
    <col width="11" customWidth="1" style="180" min="7" max="7"/>
    <col width="11" customWidth="1" style="180" min="8" max="8"/>
    <col width="11" customWidth="1" style="180" min="9" max="9"/>
    <col width="10" customWidth="1" style="180" min="10" max="10"/>
    <col width="10" customWidth="1" style="180" min="11" max="11"/>
    <col width="11" customWidth="1" style="180" min="12" max="12"/>
    <col width="10" customWidth="1" style="180" min="13" max="13"/>
    <col width="13" customWidth="1" style="180" min="14" max="14"/>
    <col width="13" customWidth="1" style="180" min="15" max="15"/>
    <col width="11" customWidth="1" style="180" min="16" max="16"/>
    <col width="12" customWidth="1" style="180" min="17" max="17"/>
  </cols>
  <sheetData>
    <row r="1">
      <c r="A1" s="207" t="inlineStr">
        <is>
          <t>LOGISTIC REGRESSION (Multinomial) con Features Derivadas — Smart Packaging Line</t>
        </is>
      </c>
    </row>
    <row r="2">
      <c r="A2" s="208" t="inlineStr">
        <is>
          <t>Cox &amp; Snell (1989). Features: weight, deficit, z-score, distancia normalizada a cada componente.</t>
        </is>
      </c>
    </row>
    <row r="3">
      <c r="A3" s="208" t="inlineStr">
        <is>
          <t>Predicciones generadas con 5-fold Stratified Cross-Validation (sin data leakage). L1 calculado por fórmula como Runs 1.0 (k=3).</t>
        </is>
      </c>
    </row>
    <row r="5">
      <c r="A5" s="209" t="inlineStr">
        <is>
          <t>PARÁMETROS</t>
        </is>
      </c>
    </row>
    <row r="6">
      <c r="A6" s="210" t="inlineStr">
        <is>
          <t>k (L1 sigma)</t>
        </is>
      </c>
      <c r="B6" s="211" t="n">
        <v>3</v>
      </c>
    </row>
    <row r="7">
      <c r="A7" s="210" t="inlineStr">
        <is>
          <t>Umbral conf. mín. ML</t>
        </is>
      </c>
      <c r="B7" s="211" t="n">
        <v>0.5</v>
      </c>
      <c r="C7" s="208" t="inlineStr">
        <is>
          <t>Si P_top1 &lt; umbral → flag AMBIGUOUS</t>
        </is>
      </c>
    </row>
    <row r="8">
      <c r="A8" s="210" t="inlineStr">
        <is>
          <t>Total kits</t>
        </is>
      </c>
      <c r="B8" s="211" t="n">
        <v>420</v>
      </c>
    </row>
    <row r="10" ht="32" customHeight="1" s="180">
      <c r="A10" s="192" t="inlineStr">
        <is>
          <t>run_id</t>
        </is>
      </c>
      <c r="B10" s="192" t="inlineStr">
        <is>
          <t>exec_order</t>
        </is>
      </c>
      <c r="C10" s="192" t="inlineStr">
        <is>
          <t>recipe</t>
        </is>
      </c>
      <c r="D10" s="192" t="inlineStr">
        <is>
          <t>condition</t>
        </is>
      </c>
      <c r="E10" s="192" t="inlineStr">
        <is>
          <t>missing_comp</t>
        </is>
      </c>
      <c r="F10" s="192" t="inlineStr">
        <is>
          <t>kit_id</t>
        </is>
      </c>
      <c r="G10" s="192" t="inlineStr">
        <is>
          <t>weight_g</t>
        </is>
      </c>
      <c r="H10" s="192" t="inlineStr">
        <is>
          <t>expected_w</t>
        </is>
      </c>
      <c r="I10" s="192" t="inlineStr">
        <is>
          <t>expected_std</t>
        </is>
      </c>
      <c r="J10" s="192" t="inlineStr">
        <is>
          <t>deficit</t>
        </is>
      </c>
      <c r="K10" s="192" t="inlineStr">
        <is>
          <t>L1_pred</t>
        </is>
      </c>
      <c r="L10" s="192" t="inlineStr">
        <is>
          <t>L1_correct</t>
        </is>
      </c>
      <c r="M10" s="192" t="inlineStr">
        <is>
          <t>ML_pred</t>
        </is>
      </c>
      <c r="N10" s="192" t="inlineStr">
        <is>
          <t>ML_prob_top1</t>
        </is>
      </c>
      <c r="O10" s="192" t="inlineStr">
        <is>
          <t>ML_prob_top2</t>
        </is>
      </c>
      <c r="P10" s="192" t="inlineStr">
        <is>
          <t>L2_correct</t>
        </is>
      </c>
      <c r="Q10" s="192" t="inlineStr">
        <is>
          <t>flag</t>
        </is>
      </c>
    </row>
    <row r="11">
      <c r="A11">
        <f>'Runs Z score'!A3</f>
        <v/>
      </c>
      <c r="B11">
        <f>'Runs Z score'!B3</f>
        <v/>
      </c>
      <c r="C11">
        <f>'Runs Z score'!C3</f>
        <v/>
      </c>
      <c r="D11">
        <f>'Runs Z score'!D3</f>
        <v/>
      </c>
      <c r="E11">
        <f>'Runs Z score'!E3</f>
        <v/>
      </c>
      <c r="F11">
        <f>'Runs Z score'!F3</f>
        <v/>
      </c>
      <c r="G11">
        <f>'Runs Z score'!G3</f>
        <v/>
      </c>
      <c r="H11">
        <f>VLOOKUP(C11,Recipes!$A$2:$N$4,10,FALSE())</f>
        <v/>
      </c>
      <c r="I11">
        <f>VLOOKUP(C11,Recipes!$A$2:$N$4,12,FALSE())</f>
        <v/>
      </c>
      <c r="J11">
        <f>IF(G11="","",H11-G11)</f>
        <v/>
      </c>
      <c r="K11">
        <f>IF(G11="","",IF(ABS(G11-H11)&lt;=$B$6*I11,"OK","NG"))</f>
        <v/>
      </c>
      <c r="L11">
        <f>IF(K11="","",IF(K11=D11,1,0))</f>
        <v/>
      </c>
      <c r="M11" t="inlineStr">
        <is>
          <t>NONE</t>
        </is>
      </c>
      <c r="N11" s="15" t="n">
        <v>1</v>
      </c>
      <c r="O11" s="15" t="n">
        <v>0</v>
      </c>
      <c r="P11">
        <f>IF(M11="","",IF(M11=E11,1,0))</f>
        <v/>
      </c>
      <c r="Q11">
        <f>IF(K11="OK","-",IF(N11&lt;$B$7,"AMBIGUOUS","CONFIDENT"))</f>
        <v/>
      </c>
    </row>
    <row r="12">
      <c r="A12">
        <f>'Runs Z score'!A4</f>
        <v/>
      </c>
      <c r="B12">
        <f>'Runs Z score'!B4</f>
        <v/>
      </c>
      <c r="C12">
        <f>'Runs Z score'!C4</f>
        <v/>
      </c>
      <c r="D12">
        <f>'Runs Z score'!D4</f>
        <v/>
      </c>
      <c r="E12">
        <f>'Runs Z score'!E4</f>
        <v/>
      </c>
      <c r="F12">
        <f>'Runs Z score'!F4</f>
        <v/>
      </c>
      <c r="G12">
        <f>'Runs Z score'!G4</f>
        <v/>
      </c>
      <c r="H12">
        <f>VLOOKUP(C12,Recipes!$A$2:$N$4,10,FALSE())</f>
        <v/>
      </c>
      <c r="I12">
        <f>VLOOKUP(C12,Recipes!$A$2:$N$4,12,FALSE())</f>
        <v/>
      </c>
      <c r="J12">
        <f>IF(G12="","",H12-G12)</f>
        <v/>
      </c>
      <c r="K12">
        <f>IF(G12="","",IF(ABS(G12-H12)&lt;=$B$6*I12,"OK","NG"))</f>
        <v/>
      </c>
      <c r="L12">
        <f>IF(K12="","",IF(K12=D12,1,0))</f>
        <v/>
      </c>
      <c r="M12" t="inlineStr">
        <is>
          <t>NONE</t>
        </is>
      </c>
      <c r="N12" s="15" t="n">
        <v>1</v>
      </c>
      <c r="O12" s="15" t="n">
        <v>0</v>
      </c>
      <c r="P12">
        <f>IF(M12="","",IF(M12=E12,1,0))</f>
        <v/>
      </c>
      <c r="Q12">
        <f>IF(K12="OK","-",IF(N12&lt;$B$7,"AMBIGUOUS","CONFIDENT"))</f>
        <v/>
      </c>
    </row>
    <row r="13">
      <c r="A13">
        <f>'Runs Z score'!A5</f>
        <v/>
      </c>
      <c r="B13">
        <f>'Runs Z score'!B5</f>
        <v/>
      </c>
      <c r="C13">
        <f>'Runs Z score'!C5</f>
        <v/>
      </c>
      <c r="D13">
        <f>'Runs Z score'!D5</f>
        <v/>
      </c>
      <c r="E13">
        <f>'Runs Z score'!E5</f>
        <v/>
      </c>
      <c r="F13">
        <f>'Runs Z score'!F5</f>
        <v/>
      </c>
      <c r="G13">
        <f>'Runs Z score'!G5</f>
        <v/>
      </c>
      <c r="H13">
        <f>VLOOKUP(C13,Recipes!$A$2:$N$4,10,FALSE())</f>
        <v/>
      </c>
      <c r="I13">
        <f>VLOOKUP(C13,Recipes!$A$2:$N$4,12,FALSE())</f>
        <v/>
      </c>
      <c r="J13">
        <f>IF(G13="","",H13-G13)</f>
        <v/>
      </c>
      <c r="K13">
        <f>IF(G13="","",IF(ABS(G13-H13)&lt;=$B$6*I13,"OK","NG"))</f>
        <v/>
      </c>
      <c r="L13">
        <f>IF(K13="","",IF(K13=D13,1,0))</f>
        <v/>
      </c>
      <c r="M13" t="inlineStr">
        <is>
          <t>NONE</t>
        </is>
      </c>
      <c r="N13" s="15" t="n">
        <v>1</v>
      </c>
      <c r="O13" s="15" t="n">
        <v>0</v>
      </c>
      <c r="P13">
        <f>IF(M13="","",IF(M13=E13,1,0))</f>
        <v/>
      </c>
      <c r="Q13">
        <f>IF(K13="OK","-",IF(N13&lt;$B$7,"AMBIGUOUS","CONFIDENT"))</f>
        <v/>
      </c>
    </row>
    <row r="14">
      <c r="A14">
        <f>'Runs Z score'!A6</f>
        <v/>
      </c>
      <c r="B14">
        <f>'Runs Z score'!B6</f>
        <v/>
      </c>
      <c r="C14">
        <f>'Runs Z score'!C6</f>
        <v/>
      </c>
      <c r="D14">
        <f>'Runs Z score'!D6</f>
        <v/>
      </c>
      <c r="E14">
        <f>'Runs Z score'!E6</f>
        <v/>
      </c>
      <c r="F14">
        <f>'Runs Z score'!F6</f>
        <v/>
      </c>
      <c r="G14">
        <f>'Runs Z score'!G6</f>
        <v/>
      </c>
      <c r="H14">
        <f>VLOOKUP(C14,Recipes!$A$2:$N$4,10,FALSE())</f>
        <v/>
      </c>
      <c r="I14">
        <f>VLOOKUP(C14,Recipes!$A$2:$N$4,12,FALSE())</f>
        <v/>
      </c>
      <c r="J14">
        <f>IF(G14="","",H14-G14)</f>
        <v/>
      </c>
      <c r="K14">
        <f>IF(G14="","",IF(ABS(G14-H14)&lt;=$B$6*I14,"OK","NG"))</f>
        <v/>
      </c>
      <c r="L14">
        <f>IF(K14="","",IF(K14=D14,1,0))</f>
        <v/>
      </c>
      <c r="M14" t="inlineStr">
        <is>
          <t>NONE</t>
        </is>
      </c>
      <c r="N14" s="15" t="n">
        <v>1</v>
      </c>
      <c r="O14" s="15" t="n">
        <v>0</v>
      </c>
      <c r="P14">
        <f>IF(M14="","",IF(M14=E14,1,0))</f>
        <v/>
      </c>
      <c r="Q14">
        <f>IF(K14="OK","-",IF(N14&lt;$B$7,"AMBIGUOUS","CONFIDENT"))</f>
        <v/>
      </c>
    </row>
    <row r="15">
      <c r="A15">
        <f>'Runs Z score'!A7</f>
        <v/>
      </c>
      <c r="B15">
        <f>'Runs Z score'!B7</f>
        <v/>
      </c>
      <c r="C15">
        <f>'Runs Z score'!C7</f>
        <v/>
      </c>
      <c r="D15">
        <f>'Runs Z score'!D7</f>
        <v/>
      </c>
      <c r="E15">
        <f>'Runs Z score'!E7</f>
        <v/>
      </c>
      <c r="F15">
        <f>'Runs Z score'!F7</f>
        <v/>
      </c>
      <c r="G15">
        <f>'Runs Z score'!G7</f>
        <v/>
      </c>
      <c r="H15">
        <f>VLOOKUP(C15,Recipes!$A$2:$N$4,10,FALSE())</f>
        <v/>
      </c>
      <c r="I15">
        <f>VLOOKUP(C15,Recipes!$A$2:$N$4,12,FALSE())</f>
        <v/>
      </c>
      <c r="J15">
        <f>IF(G15="","",H15-G15)</f>
        <v/>
      </c>
      <c r="K15">
        <f>IF(G15="","",IF(ABS(G15-H15)&lt;=$B$6*I15,"OK","NG"))</f>
        <v/>
      </c>
      <c r="L15">
        <f>IF(K15="","",IF(K15=D15,1,0))</f>
        <v/>
      </c>
      <c r="M15" t="inlineStr">
        <is>
          <t>NONE</t>
        </is>
      </c>
      <c r="N15" s="15" t="n">
        <v>1</v>
      </c>
      <c r="O15" s="15" t="n">
        <v>0</v>
      </c>
      <c r="P15">
        <f>IF(M15="","",IF(M15=E15,1,0))</f>
        <v/>
      </c>
      <c r="Q15">
        <f>IF(K15="OK","-",IF(N15&lt;$B$7,"AMBIGUOUS","CONFIDENT"))</f>
        <v/>
      </c>
    </row>
    <row r="16">
      <c r="A16">
        <f>'Runs Z score'!A8</f>
        <v/>
      </c>
      <c r="B16">
        <f>'Runs Z score'!B8</f>
        <v/>
      </c>
      <c r="C16">
        <f>'Runs Z score'!C8</f>
        <v/>
      </c>
      <c r="D16">
        <f>'Runs Z score'!D8</f>
        <v/>
      </c>
      <c r="E16">
        <f>'Runs Z score'!E8</f>
        <v/>
      </c>
      <c r="F16">
        <f>'Runs Z score'!F8</f>
        <v/>
      </c>
      <c r="G16">
        <f>'Runs Z score'!G8</f>
        <v/>
      </c>
      <c r="H16">
        <f>VLOOKUP(C16,Recipes!$A$2:$N$4,10,FALSE())</f>
        <v/>
      </c>
      <c r="I16">
        <f>VLOOKUP(C16,Recipes!$A$2:$N$4,12,FALSE())</f>
        <v/>
      </c>
      <c r="J16">
        <f>IF(G16="","",H16-G16)</f>
        <v/>
      </c>
      <c r="K16">
        <f>IF(G16="","",IF(ABS(G16-H16)&lt;=$B$6*I16,"OK","NG"))</f>
        <v/>
      </c>
      <c r="L16">
        <f>IF(K16="","",IF(K16=D16,1,0))</f>
        <v/>
      </c>
      <c r="M16" t="inlineStr">
        <is>
          <t>NONE</t>
        </is>
      </c>
      <c r="N16" s="15" t="n">
        <v>1</v>
      </c>
      <c r="O16" s="15" t="n">
        <v>0</v>
      </c>
      <c r="P16">
        <f>IF(M16="","",IF(M16=E16,1,0))</f>
        <v/>
      </c>
      <c r="Q16">
        <f>IF(K16="OK","-",IF(N16&lt;$B$7,"AMBIGUOUS","CONFIDENT"))</f>
        <v/>
      </c>
    </row>
    <row r="17">
      <c r="A17">
        <f>'Runs Z score'!A9</f>
        <v/>
      </c>
      <c r="B17">
        <f>'Runs Z score'!B9</f>
        <v/>
      </c>
      <c r="C17">
        <f>'Runs Z score'!C9</f>
        <v/>
      </c>
      <c r="D17">
        <f>'Runs Z score'!D9</f>
        <v/>
      </c>
      <c r="E17">
        <f>'Runs Z score'!E9</f>
        <v/>
      </c>
      <c r="F17">
        <f>'Runs Z score'!F9</f>
        <v/>
      </c>
      <c r="G17">
        <f>'Runs Z score'!G9</f>
        <v/>
      </c>
      <c r="H17">
        <f>VLOOKUP(C17,Recipes!$A$2:$N$4,10,FALSE())</f>
        <v/>
      </c>
      <c r="I17">
        <f>VLOOKUP(C17,Recipes!$A$2:$N$4,12,FALSE())</f>
        <v/>
      </c>
      <c r="J17">
        <f>IF(G17="","",H17-G17)</f>
        <v/>
      </c>
      <c r="K17">
        <f>IF(G17="","",IF(ABS(G17-H17)&lt;=$B$6*I17,"OK","NG"))</f>
        <v/>
      </c>
      <c r="L17">
        <f>IF(K17="","",IF(K17=D17,1,0))</f>
        <v/>
      </c>
      <c r="M17" t="inlineStr">
        <is>
          <t>NONE</t>
        </is>
      </c>
      <c r="N17" s="15" t="n">
        <v>1</v>
      </c>
      <c r="O17" s="15" t="n">
        <v>0</v>
      </c>
      <c r="P17">
        <f>IF(M17="","",IF(M17=E17,1,0))</f>
        <v/>
      </c>
      <c r="Q17">
        <f>IF(K17="OK","-",IF(N17&lt;$B$7,"AMBIGUOUS","CONFIDENT"))</f>
        <v/>
      </c>
    </row>
    <row r="18">
      <c r="A18">
        <f>'Runs Z score'!A10</f>
        <v/>
      </c>
      <c r="B18">
        <f>'Runs Z score'!B10</f>
        <v/>
      </c>
      <c r="C18">
        <f>'Runs Z score'!C10</f>
        <v/>
      </c>
      <c r="D18">
        <f>'Runs Z score'!D10</f>
        <v/>
      </c>
      <c r="E18">
        <f>'Runs Z score'!E10</f>
        <v/>
      </c>
      <c r="F18">
        <f>'Runs Z score'!F10</f>
        <v/>
      </c>
      <c r="G18">
        <f>'Runs Z score'!G10</f>
        <v/>
      </c>
      <c r="H18">
        <f>VLOOKUP(C18,Recipes!$A$2:$N$4,10,FALSE())</f>
        <v/>
      </c>
      <c r="I18">
        <f>VLOOKUP(C18,Recipes!$A$2:$N$4,12,FALSE())</f>
        <v/>
      </c>
      <c r="J18">
        <f>IF(G18="","",H18-G18)</f>
        <v/>
      </c>
      <c r="K18">
        <f>IF(G18="","",IF(ABS(G18-H18)&lt;=$B$6*I18,"OK","NG"))</f>
        <v/>
      </c>
      <c r="L18">
        <f>IF(K18="","",IF(K18=D18,1,0))</f>
        <v/>
      </c>
      <c r="M18" t="inlineStr">
        <is>
          <t>NONE</t>
        </is>
      </c>
      <c r="N18" s="15" t="n">
        <v>1</v>
      </c>
      <c r="O18" s="15" t="n">
        <v>0</v>
      </c>
      <c r="P18">
        <f>IF(M18="","",IF(M18=E18,1,0))</f>
        <v/>
      </c>
      <c r="Q18">
        <f>IF(K18="OK","-",IF(N18&lt;$B$7,"AMBIGUOUS","CONFIDENT"))</f>
        <v/>
      </c>
    </row>
    <row r="19">
      <c r="A19">
        <f>'Runs Z score'!A11</f>
        <v/>
      </c>
      <c r="B19">
        <f>'Runs Z score'!B11</f>
        <v/>
      </c>
      <c r="C19">
        <f>'Runs Z score'!C11</f>
        <v/>
      </c>
      <c r="D19">
        <f>'Runs Z score'!D11</f>
        <v/>
      </c>
      <c r="E19">
        <f>'Runs Z score'!E11</f>
        <v/>
      </c>
      <c r="F19">
        <f>'Runs Z score'!F11</f>
        <v/>
      </c>
      <c r="G19">
        <f>'Runs Z score'!G11</f>
        <v/>
      </c>
      <c r="H19">
        <f>VLOOKUP(C19,Recipes!$A$2:$N$4,10,FALSE())</f>
        <v/>
      </c>
      <c r="I19">
        <f>VLOOKUP(C19,Recipes!$A$2:$N$4,12,FALSE())</f>
        <v/>
      </c>
      <c r="J19">
        <f>IF(G19="","",H19-G19)</f>
        <v/>
      </c>
      <c r="K19">
        <f>IF(G19="","",IF(ABS(G19-H19)&lt;=$B$6*I19,"OK","NG"))</f>
        <v/>
      </c>
      <c r="L19">
        <f>IF(K19="","",IF(K19=D19,1,0))</f>
        <v/>
      </c>
      <c r="M19" t="inlineStr">
        <is>
          <t>NONE</t>
        </is>
      </c>
      <c r="N19" s="15" t="n">
        <v>1</v>
      </c>
      <c r="O19" s="15" t="n">
        <v>0</v>
      </c>
      <c r="P19">
        <f>IF(M19="","",IF(M19=E19,1,0))</f>
        <v/>
      </c>
      <c r="Q19">
        <f>IF(K19="OK","-",IF(N19&lt;$B$7,"AMBIGUOUS","CONFIDENT"))</f>
        <v/>
      </c>
    </row>
    <row r="20">
      <c r="A20">
        <f>'Runs Z score'!A12</f>
        <v/>
      </c>
      <c r="B20">
        <f>'Runs Z score'!B12</f>
        <v/>
      </c>
      <c r="C20">
        <f>'Runs Z score'!C12</f>
        <v/>
      </c>
      <c r="D20">
        <f>'Runs Z score'!D12</f>
        <v/>
      </c>
      <c r="E20">
        <f>'Runs Z score'!E12</f>
        <v/>
      </c>
      <c r="F20">
        <f>'Runs Z score'!F12</f>
        <v/>
      </c>
      <c r="G20">
        <f>'Runs Z score'!G12</f>
        <v/>
      </c>
      <c r="H20">
        <f>VLOOKUP(C20,Recipes!$A$2:$N$4,10,FALSE())</f>
        <v/>
      </c>
      <c r="I20">
        <f>VLOOKUP(C20,Recipes!$A$2:$N$4,12,FALSE())</f>
        <v/>
      </c>
      <c r="J20">
        <f>IF(G20="","",H20-G20)</f>
        <v/>
      </c>
      <c r="K20">
        <f>IF(G20="","",IF(ABS(G20-H20)&lt;=$B$6*I20,"OK","NG"))</f>
        <v/>
      </c>
      <c r="L20">
        <f>IF(K20="","",IF(K20=D20,1,0))</f>
        <v/>
      </c>
      <c r="M20" t="inlineStr">
        <is>
          <t>NONE</t>
        </is>
      </c>
      <c r="N20" s="15" t="n">
        <v>1</v>
      </c>
      <c r="O20" s="15" t="n">
        <v>0</v>
      </c>
      <c r="P20">
        <f>IF(M20="","",IF(M20=E20,1,0))</f>
        <v/>
      </c>
      <c r="Q20">
        <f>IF(K20="OK","-",IF(N20&lt;$B$7,"AMBIGUOUS","CONFIDENT"))</f>
        <v/>
      </c>
    </row>
    <row r="21">
      <c r="A21">
        <f>'Runs Z score'!A13</f>
        <v/>
      </c>
      <c r="B21">
        <f>'Runs Z score'!B13</f>
        <v/>
      </c>
      <c r="C21">
        <f>'Runs Z score'!C13</f>
        <v/>
      </c>
      <c r="D21">
        <f>'Runs Z score'!D13</f>
        <v/>
      </c>
      <c r="E21">
        <f>'Runs Z score'!E13</f>
        <v/>
      </c>
      <c r="F21">
        <f>'Runs Z score'!F13</f>
        <v/>
      </c>
      <c r="G21">
        <f>'Runs Z score'!G13</f>
        <v/>
      </c>
      <c r="H21">
        <f>VLOOKUP(C21,Recipes!$A$2:$N$4,10,FALSE())</f>
        <v/>
      </c>
      <c r="I21">
        <f>VLOOKUP(C21,Recipes!$A$2:$N$4,12,FALSE())</f>
        <v/>
      </c>
      <c r="J21">
        <f>IF(G21="","",H21-G21)</f>
        <v/>
      </c>
      <c r="K21">
        <f>IF(G21="","",IF(ABS(G21-H21)&lt;=$B$6*I21,"OK","NG"))</f>
        <v/>
      </c>
      <c r="L21">
        <f>IF(K21="","",IF(K21=D21,1,0))</f>
        <v/>
      </c>
      <c r="M21" t="inlineStr">
        <is>
          <t>NONE</t>
        </is>
      </c>
      <c r="N21" s="15" t="n">
        <v>1</v>
      </c>
      <c r="O21" s="15" t="n">
        <v>0</v>
      </c>
      <c r="P21">
        <f>IF(M21="","",IF(M21=E21,1,0))</f>
        <v/>
      </c>
      <c r="Q21">
        <f>IF(K21="OK","-",IF(N21&lt;$B$7,"AMBIGUOUS","CONFIDENT"))</f>
        <v/>
      </c>
    </row>
    <row r="22">
      <c r="A22">
        <f>'Runs Z score'!A14</f>
        <v/>
      </c>
      <c r="B22">
        <f>'Runs Z score'!B14</f>
        <v/>
      </c>
      <c r="C22">
        <f>'Runs Z score'!C14</f>
        <v/>
      </c>
      <c r="D22">
        <f>'Runs Z score'!D14</f>
        <v/>
      </c>
      <c r="E22">
        <f>'Runs Z score'!E14</f>
        <v/>
      </c>
      <c r="F22">
        <f>'Runs Z score'!F14</f>
        <v/>
      </c>
      <c r="G22">
        <f>'Runs Z score'!G14</f>
        <v/>
      </c>
      <c r="H22">
        <f>VLOOKUP(C22,Recipes!$A$2:$N$4,10,FALSE())</f>
        <v/>
      </c>
      <c r="I22">
        <f>VLOOKUP(C22,Recipes!$A$2:$N$4,12,FALSE())</f>
        <v/>
      </c>
      <c r="J22">
        <f>IF(G22="","",H22-G22)</f>
        <v/>
      </c>
      <c r="K22">
        <f>IF(G22="","",IF(ABS(G22-H22)&lt;=$B$6*I22,"OK","NG"))</f>
        <v/>
      </c>
      <c r="L22">
        <f>IF(K22="","",IF(K22=D22,1,0))</f>
        <v/>
      </c>
      <c r="M22" t="inlineStr">
        <is>
          <t>NONE</t>
        </is>
      </c>
      <c r="N22" s="15" t="n">
        <v>1</v>
      </c>
      <c r="O22" s="15" t="n">
        <v>0</v>
      </c>
      <c r="P22">
        <f>IF(M22="","",IF(M22=E22,1,0))</f>
        <v/>
      </c>
      <c r="Q22">
        <f>IF(K22="OK","-",IF(N22&lt;$B$7,"AMBIGUOUS","CONFIDENT"))</f>
        <v/>
      </c>
    </row>
    <row r="23">
      <c r="A23">
        <f>'Runs Z score'!A15</f>
        <v/>
      </c>
      <c r="B23">
        <f>'Runs Z score'!B15</f>
        <v/>
      </c>
      <c r="C23">
        <f>'Runs Z score'!C15</f>
        <v/>
      </c>
      <c r="D23">
        <f>'Runs Z score'!D15</f>
        <v/>
      </c>
      <c r="E23">
        <f>'Runs Z score'!E15</f>
        <v/>
      </c>
      <c r="F23">
        <f>'Runs Z score'!F15</f>
        <v/>
      </c>
      <c r="G23">
        <f>'Runs Z score'!G15</f>
        <v/>
      </c>
      <c r="H23">
        <f>VLOOKUP(C23,Recipes!$A$2:$N$4,10,FALSE())</f>
        <v/>
      </c>
      <c r="I23">
        <f>VLOOKUP(C23,Recipes!$A$2:$N$4,12,FALSE())</f>
        <v/>
      </c>
      <c r="J23">
        <f>IF(G23="","",H23-G23)</f>
        <v/>
      </c>
      <c r="K23">
        <f>IF(G23="","",IF(ABS(G23-H23)&lt;=$B$6*I23,"OK","NG"))</f>
        <v/>
      </c>
      <c r="L23">
        <f>IF(K23="","",IF(K23=D23,1,0))</f>
        <v/>
      </c>
      <c r="M23" t="inlineStr">
        <is>
          <t>NONE</t>
        </is>
      </c>
      <c r="N23" s="15" t="n">
        <v>1</v>
      </c>
      <c r="O23" s="15" t="n">
        <v>0</v>
      </c>
      <c r="P23">
        <f>IF(M23="","",IF(M23=E23,1,0))</f>
        <v/>
      </c>
      <c r="Q23">
        <f>IF(K23="OK","-",IF(N23&lt;$B$7,"AMBIGUOUS","CONFIDENT"))</f>
        <v/>
      </c>
    </row>
    <row r="24">
      <c r="A24">
        <f>'Runs Z score'!A16</f>
        <v/>
      </c>
      <c r="B24">
        <f>'Runs Z score'!B16</f>
        <v/>
      </c>
      <c r="C24">
        <f>'Runs Z score'!C16</f>
        <v/>
      </c>
      <c r="D24">
        <f>'Runs Z score'!D16</f>
        <v/>
      </c>
      <c r="E24">
        <f>'Runs Z score'!E16</f>
        <v/>
      </c>
      <c r="F24">
        <f>'Runs Z score'!F16</f>
        <v/>
      </c>
      <c r="G24">
        <f>'Runs Z score'!G16</f>
        <v/>
      </c>
      <c r="H24">
        <f>VLOOKUP(C24,Recipes!$A$2:$N$4,10,FALSE())</f>
        <v/>
      </c>
      <c r="I24">
        <f>VLOOKUP(C24,Recipes!$A$2:$N$4,12,FALSE())</f>
        <v/>
      </c>
      <c r="J24">
        <f>IF(G24="","",H24-G24)</f>
        <v/>
      </c>
      <c r="K24">
        <f>IF(G24="","",IF(ABS(G24-H24)&lt;=$B$6*I24,"OK","NG"))</f>
        <v/>
      </c>
      <c r="L24">
        <f>IF(K24="","",IF(K24=D24,1,0))</f>
        <v/>
      </c>
      <c r="M24" t="inlineStr">
        <is>
          <t>NONE</t>
        </is>
      </c>
      <c r="N24" s="15" t="n">
        <v>1</v>
      </c>
      <c r="O24" s="15" t="n">
        <v>0</v>
      </c>
      <c r="P24">
        <f>IF(M24="","",IF(M24=E24,1,0))</f>
        <v/>
      </c>
      <c r="Q24">
        <f>IF(K24="OK","-",IF(N24&lt;$B$7,"AMBIGUOUS","CONFIDENT"))</f>
        <v/>
      </c>
    </row>
    <row r="25">
      <c r="A25">
        <f>'Runs Z score'!A17</f>
        <v/>
      </c>
      <c r="B25">
        <f>'Runs Z score'!B17</f>
        <v/>
      </c>
      <c r="C25">
        <f>'Runs Z score'!C17</f>
        <v/>
      </c>
      <c r="D25">
        <f>'Runs Z score'!D17</f>
        <v/>
      </c>
      <c r="E25">
        <f>'Runs Z score'!E17</f>
        <v/>
      </c>
      <c r="F25">
        <f>'Runs Z score'!F17</f>
        <v/>
      </c>
      <c r="G25">
        <f>'Runs Z score'!G17</f>
        <v/>
      </c>
      <c r="H25">
        <f>VLOOKUP(C25,Recipes!$A$2:$N$4,10,FALSE())</f>
        <v/>
      </c>
      <c r="I25">
        <f>VLOOKUP(C25,Recipes!$A$2:$N$4,12,FALSE())</f>
        <v/>
      </c>
      <c r="J25">
        <f>IF(G25="","",H25-G25)</f>
        <v/>
      </c>
      <c r="K25">
        <f>IF(G25="","",IF(ABS(G25-H25)&lt;=$B$6*I25,"OK","NG"))</f>
        <v/>
      </c>
      <c r="L25">
        <f>IF(K25="","",IF(K25=D25,1,0))</f>
        <v/>
      </c>
      <c r="M25" t="inlineStr">
        <is>
          <t>NONE</t>
        </is>
      </c>
      <c r="N25" s="15" t="n">
        <v>1</v>
      </c>
      <c r="O25" s="15" t="n">
        <v>0</v>
      </c>
      <c r="P25">
        <f>IF(M25="","",IF(M25=E25,1,0))</f>
        <v/>
      </c>
      <c r="Q25">
        <f>IF(K25="OK","-",IF(N25&lt;$B$7,"AMBIGUOUS","CONFIDENT"))</f>
        <v/>
      </c>
    </row>
    <row r="26">
      <c r="A26">
        <f>'Runs Z score'!A18</f>
        <v/>
      </c>
      <c r="B26">
        <f>'Runs Z score'!B18</f>
        <v/>
      </c>
      <c r="C26">
        <f>'Runs Z score'!C18</f>
        <v/>
      </c>
      <c r="D26">
        <f>'Runs Z score'!D18</f>
        <v/>
      </c>
      <c r="E26">
        <f>'Runs Z score'!E18</f>
        <v/>
      </c>
      <c r="F26">
        <f>'Runs Z score'!F18</f>
        <v/>
      </c>
      <c r="G26">
        <f>'Runs Z score'!G18</f>
        <v/>
      </c>
      <c r="H26">
        <f>VLOOKUP(C26,Recipes!$A$2:$N$4,10,FALSE())</f>
        <v/>
      </c>
      <c r="I26">
        <f>VLOOKUP(C26,Recipes!$A$2:$N$4,12,FALSE())</f>
        <v/>
      </c>
      <c r="J26">
        <f>IF(G26="","",H26-G26)</f>
        <v/>
      </c>
      <c r="K26">
        <f>IF(G26="","",IF(ABS(G26-H26)&lt;=$B$6*I26,"OK","NG"))</f>
        <v/>
      </c>
      <c r="L26">
        <f>IF(K26="","",IF(K26=D26,1,0))</f>
        <v/>
      </c>
      <c r="M26" t="inlineStr">
        <is>
          <t>NONE</t>
        </is>
      </c>
      <c r="N26" s="15" t="n">
        <v>1</v>
      </c>
      <c r="O26" s="15" t="n">
        <v>0</v>
      </c>
      <c r="P26">
        <f>IF(M26="","",IF(M26=E26,1,0))</f>
        <v/>
      </c>
      <c r="Q26">
        <f>IF(K26="OK","-",IF(N26&lt;$B$7,"AMBIGUOUS","CONFIDENT"))</f>
        <v/>
      </c>
    </row>
    <row r="27">
      <c r="A27">
        <f>'Runs Z score'!A19</f>
        <v/>
      </c>
      <c r="B27">
        <f>'Runs Z score'!B19</f>
        <v/>
      </c>
      <c r="C27">
        <f>'Runs Z score'!C19</f>
        <v/>
      </c>
      <c r="D27">
        <f>'Runs Z score'!D19</f>
        <v/>
      </c>
      <c r="E27">
        <f>'Runs Z score'!E19</f>
        <v/>
      </c>
      <c r="F27">
        <f>'Runs Z score'!F19</f>
        <v/>
      </c>
      <c r="G27">
        <f>'Runs Z score'!G19</f>
        <v/>
      </c>
      <c r="H27">
        <f>VLOOKUP(C27,Recipes!$A$2:$N$4,10,FALSE())</f>
        <v/>
      </c>
      <c r="I27">
        <f>VLOOKUP(C27,Recipes!$A$2:$N$4,12,FALSE())</f>
        <v/>
      </c>
      <c r="J27">
        <f>IF(G27="","",H27-G27)</f>
        <v/>
      </c>
      <c r="K27">
        <f>IF(G27="","",IF(ABS(G27-H27)&lt;=$B$6*I27,"OK","NG"))</f>
        <v/>
      </c>
      <c r="L27">
        <f>IF(K27="","",IF(K27=D27,1,0))</f>
        <v/>
      </c>
      <c r="M27" t="inlineStr">
        <is>
          <t>NONE</t>
        </is>
      </c>
      <c r="N27" s="15" t="n">
        <v>1</v>
      </c>
      <c r="O27" s="15" t="n">
        <v>0</v>
      </c>
      <c r="P27">
        <f>IF(M27="","",IF(M27=E27,1,0))</f>
        <v/>
      </c>
      <c r="Q27">
        <f>IF(K27="OK","-",IF(N27&lt;$B$7,"AMBIGUOUS","CONFIDENT"))</f>
        <v/>
      </c>
    </row>
    <row r="28">
      <c r="A28">
        <f>'Runs Z score'!A20</f>
        <v/>
      </c>
      <c r="B28">
        <f>'Runs Z score'!B20</f>
        <v/>
      </c>
      <c r="C28">
        <f>'Runs Z score'!C20</f>
        <v/>
      </c>
      <c r="D28">
        <f>'Runs Z score'!D20</f>
        <v/>
      </c>
      <c r="E28">
        <f>'Runs Z score'!E20</f>
        <v/>
      </c>
      <c r="F28">
        <f>'Runs Z score'!F20</f>
        <v/>
      </c>
      <c r="G28">
        <f>'Runs Z score'!G20</f>
        <v/>
      </c>
      <c r="H28">
        <f>VLOOKUP(C28,Recipes!$A$2:$N$4,10,FALSE())</f>
        <v/>
      </c>
      <c r="I28">
        <f>VLOOKUP(C28,Recipes!$A$2:$N$4,12,FALSE())</f>
        <v/>
      </c>
      <c r="J28">
        <f>IF(G28="","",H28-G28)</f>
        <v/>
      </c>
      <c r="K28">
        <f>IF(G28="","",IF(ABS(G28-H28)&lt;=$B$6*I28,"OK","NG"))</f>
        <v/>
      </c>
      <c r="L28">
        <f>IF(K28="","",IF(K28=D28,1,0))</f>
        <v/>
      </c>
      <c r="M28" t="inlineStr">
        <is>
          <t>NONE</t>
        </is>
      </c>
      <c r="N28" s="15" t="n">
        <v>1</v>
      </c>
      <c r="O28" s="15" t="n">
        <v>0</v>
      </c>
      <c r="P28">
        <f>IF(M28="","",IF(M28=E28,1,0))</f>
        <v/>
      </c>
      <c r="Q28">
        <f>IF(K28="OK","-",IF(N28&lt;$B$7,"AMBIGUOUS","CONFIDENT"))</f>
        <v/>
      </c>
    </row>
    <row r="29">
      <c r="A29">
        <f>'Runs Z score'!A21</f>
        <v/>
      </c>
      <c r="B29">
        <f>'Runs Z score'!B21</f>
        <v/>
      </c>
      <c r="C29">
        <f>'Runs Z score'!C21</f>
        <v/>
      </c>
      <c r="D29">
        <f>'Runs Z score'!D21</f>
        <v/>
      </c>
      <c r="E29">
        <f>'Runs Z score'!E21</f>
        <v/>
      </c>
      <c r="F29">
        <f>'Runs Z score'!F21</f>
        <v/>
      </c>
      <c r="G29">
        <f>'Runs Z score'!G21</f>
        <v/>
      </c>
      <c r="H29">
        <f>VLOOKUP(C29,Recipes!$A$2:$N$4,10,FALSE())</f>
        <v/>
      </c>
      <c r="I29">
        <f>VLOOKUP(C29,Recipes!$A$2:$N$4,12,FALSE())</f>
        <v/>
      </c>
      <c r="J29">
        <f>IF(G29="","",H29-G29)</f>
        <v/>
      </c>
      <c r="K29">
        <f>IF(G29="","",IF(ABS(G29-H29)&lt;=$B$6*I29,"OK","NG"))</f>
        <v/>
      </c>
      <c r="L29">
        <f>IF(K29="","",IF(K29=D29,1,0))</f>
        <v/>
      </c>
      <c r="M29" t="inlineStr">
        <is>
          <t>NONE</t>
        </is>
      </c>
      <c r="N29" s="15" t="n">
        <v>1</v>
      </c>
      <c r="O29" s="15" t="n">
        <v>0</v>
      </c>
      <c r="P29">
        <f>IF(M29="","",IF(M29=E29,1,0))</f>
        <v/>
      </c>
      <c r="Q29">
        <f>IF(K29="OK","-",IF(N29&lt;$B$7,"AMBIGUOUS","CONFIDENT"))</f>
        <v/>
      </c>
    </row>
    <row r="30">
      <c r="A30">
        <f>'Runs Z score'!A22</f>
        <v/>
      </c>
      <c r="B30">
        <f>'Runs Z score'!B22</f>
        <v/>
      </c>
      <c r="C30">
        <f>'Runs Z score'!C22</f>
        <v/>
      </c>
      <c r="D30">
        <f>'Runs Z score'!D22</f>
        <v/>
      </c>
      <c r="E30">
        <f>'Runs Z score'!E22</f>
        <v/>
      </c>
      <c r="F30">
        <f>'Runs Z score'!F22</f>
        <v/>
      </c>
      <c r="G30">
        <f>'Runs Z score'!G22</f>
        <v/>
      </c>
      <c r="H30">
        <f>VLOOKUP(C30,Recipes!$A$2:$N$4,10,FALSE())</f>
        <v/>
      </c>
      <c r="I30">
        <f>VLOOKUP(C30,Recipes!$A$2:$N$4,12,FALSE())</f>
        <v/>
      </c>
      <c r="J30">
        <f>IF(G30="","",H30-G30)</f>
        <v/>
      </c>
      <c r="K30">
        <f>IF(G30="","",IF(ABS(G30-H30)&lt;=$B$6*I30,"OK","NG"))</f>
        <v/>
      </c>
      <c r="L30">
        <f>IF(K30="","",IF(K30=D30,1,0))</f>
        <v/>
      </c>
      <c r="M30" t="inlineStr">
        <is>
          <t>NONE</t>
        </is>
      </c>
      <c r="N30" s="15" t="n">
        <v>1</v>
      </c>
      <c r="O30" s="15" t="n">
        <v>0</v>
      </c>
      <c r="P30">
        <f>IF(M30="","",IF(M30=E30,1,0))</f>
        <v/>
      </c>
      <c r="Q30">
        <f>IF(K30="OK","-",IF(N30&lt;$B$7,"AMBIGUOUS","CONFIDENT"))</f>
        <v/>
      </c>
    </row>
    <row r="31">
      <c r="A31">
        <f>'Runs Z score'!A23</f>
        <v/>
      </c>
      <c r="B31">
        <f>'Runs Z score'!B23</f>
        <v/>
      </c>
      <c r="C31">
        <f>'Runs Z score'!C23</f>
        <v/>
      </c>
      <c r="D31">
        <f>'Runs Z score'!D23</f>
        <v/>
      </c>
      <c r="E31">
        <f>'Runs Z score'!E23</f>
        <v/>
      </c>
      <c r="F31">
        <f>'Runs Z score'!F23</f>
        <v/>
      </c>
      <c r="G31">
        <f>'Runs Z score'!G23</f>
        <v/>
      </c>
      <c r="H31">
        <f>VLOOKUP(C31,Recipes!$A$2:$N$4,10,FALSE())</f>
        <v/>
      </c>
      <c r="I31">
        <f>VLOOKUP(C31,Recipes!$A$2:$N$4,12,FALSE())</f>
        <v/>
      </c>
      <c r="J31">
        <f>IF(G31="","",H31-G31)</f>
        <v/>
      </c>
      <c r="K31">
        <f>IF(G31="","",IF(ABS(G31-H31)&lt;=$B$6*I31,"OK","NG"))</f>
        <v/>
      </c>
      <c r="L31">
        <f>IF(K31="","",IF(K31=D31,1,0))</f>
        <v/>
      </c>
      <c r="M31" t="inlineStr">
        <is>
          <t>NONE</t>
        </is>
      </c>
      <c r="N31" s="15" t="n">
        <v>1</v>
      </c>
      <c r="O31" s="15" t="n">
        <v>0</v>
      </c>
      <c r="P31">
        <f>IF(M31="","",IF(M31=E31,1,0))</f>
        <v/>
      </c>
      <c r="Q31">
        <f>IF(K31="OK","-",IF(N31&lt;$B$7,"AMBIGUOUS","CONFIDENT"))</f>
        <v/>
      </c>
    </row>
    <row r="32">
      <c r="A32">
        <f>'Runs Z score'!A24</f>
        <v/>
      </c>
      <c r="B32">
        <f>'Runs Z score'!B24</f>
        <v/>
      </c>
      <c r="C32">
        <f>'Runs Z score'!C24</f>
        <v/>
      </c>
      <c r="D32">
        <f>'Runs Z score'!D24</f>
        <v/>
      </c>
      <c r="E32">
        <f>'Runs Z score'!E24</f>
        <v/>
      </c>
      <c r="F32">
        <f>'Runs Z score'!F24</f>
        <v/>
      </c>
      <c r="G32">
        <f>'Runs Z score'!G24</f>
        <v/>
      </c>
      <c r="H32">
        <f>VLOOKUP(C32,Recipes!$A$2:$N$4,10,FALSE())</f>
        <v/>
      </c>
      <c r="I32">
        <f>VLOOKUP(C32,Recipes!$A$2:$N$4,12,FALSE())</f>
        <v/>
      </c>
      <c r="J32">
        <f>IF(G32="","",H32-G32)</f>
        <v/>
      </c>
      <c r="K32">
        <f>IF(G32="","",IF(ABS(G32-H32)&lt;=$B$6*I32,"OK","NG"))</f>
        <v/>
      </c>
      <c r="L32">
        <f>IF(K32="","",IF(K32=D32,1,0))</f>
        <v/>
      </c>
      <c r="M32" t="inlineStr">
        <is>
          <t>NONE</t>
        </is>
      </c>
      <c r="N32" s="15" t="n">
        <v>1</v>
      </c>
      <c r="O32" s="15" t="n">
        <v>0</v>
      </c>
      <c r="P32">
        <f>IF(M32="","",IF(M32=E32,1,0))</f>
        <v/>
      </c>
      <c r="Q32">
        <f>IF(K32="OK","-",IF(N32&lt;$B$7,"AMBIGUOUS","CONFIDENT"))</f>
        <v/>
      </c>
    </row>
    <row r="33">
      <c r="A33">
        <f>'Runs Z score'!A25</f>
        <v/>
      </c>
      <c r="B33">
        <f>'Runs Z score'!B25</f>
        <v/>
      </c>
      <c r="C33">
        <f>'Runs Z score'!C25</f>
        <v/>
      </c>
      <c r="D33">
        <f>'Runs Z score'!D25</f>
        <v/>
      </c>
      <c r="E33">
        <f>'Runs Z score'!E25</f>
        <v/>
      </c>
      <c r="F33">
        <f>'Runs Z score'!F25</f>
        <v/>
      </c>
      <c r="G33">
        <f>'Runs Z score'!G25</f>
        <v/>
      </c>
      <c r="H33">
        <f>VLOOKUP(C33,Recipes!$A$2:$N$4,10,FALSE())</f>
        <v/>
      </c>
      <c r="I33">
        <f>VLOOKUP(C33,Recipes!$A$2:$N$4,12,FALSE())</f>
        <v/>
      </c>
      <c r="J33">
        <f>IF(G33="","",H33-G33)</f>
        <v/>
      </c>
      <c r="K33">
        <f>IF(G33="","",IF(ABS(G33-H33)&lt;=$B$6*I33,"OK","NG"))</f>
        <v/>
      </c>
      <c r="L33">
        <f>IF(K33="","",IF(K33=D33,1,0))</f>
        <v/>
      </c>
      <c r="M33" t="inlineStr">
        <is>
          <t>NONE</t>
        </is>
      </c>
      <c r="N33" s="15" t="n">
        <v>1</v>
      </c>
      <c r="O33" s="15" t="n">
        <v>0</v>
      </c>
      <c r="P33">
        <f>IF(M33="","",IF(M33=E33,1,0))</f>
        <v/>
      </c>
      <c r="Q33">
        <f>IF(K33="OK","-",IF(N33&lt;$B$7,"AMBIGUOUS","CONFIDENT"))</f>
        <v/>
      </c>
    </row>
    <row r="34">
      <c r="A34">
        <f>'Runs Z score'!A26</f>
        <v/>
      </c>
      <c r="B34">
        <f>'Runs Z score'!B26</f>
        <v/>
      </c>
      <c r="C34">
        <f>'Runs Z score'!C26</f>
        <v/>
      </c>
      <c r="D34">
        <f>'Runs Z score'!D26</f>
        <v/>
      </c>
      <c r="E34">
        <f>'Runs Z score'!E26</f>
        <v/>
      </c>
      <c r="F34">
        <f>'Runs Z score'!F26</f>
        <v/>
      </c>
      <c r="G34">
        <f>'Runs Z score'!G26</f>
        <v/>
      </c>
      <c r="H34">
        <f>VLOOKUP(C34,Recipes!$A$2:$N$4,10,FALSE())</f>
        <v/>
      </c>
      <c r="I34">
        <f>VLOOKUP(C34,Recipes!$A$2:$N$4,12,FALSE())</f>
        <v/>
      </c>
      <c r="J34">
        <f>IF(G34="","",H34-G34)</f>
        <v/>
      </c>
      <c r="K34">
        <f>IF(G34="","",IF(ABS(G34-H34)&lt;=$B$6*I34,"OK","NG"))</f>
        <v/>
      </c>
      <c r="L34">
        <f>IF(K34="","",IF(K34=D34,1,0))</f>
        <v/>
      </c>
      <c r="M34" t="inlineStr">
        <is>
          <t>NONE</t>
        </is>
      </c>
      <c r="N34" s="15" t="n">
        <v>1</v>
      </c>
      <c r="O34" s="15" t="n">
        <v>0</v>
      </c>
      <c r="P34">
        <f>IF(M34="","",IF(M34=E34,1,0))</f>
        <v/>
      </c>
      <c r="Q34">
        <f>IF(K34="OK","-",IF(N34&lt;$B$7,"AMBIGUOUS","CONFIDENT"))</f>
        <v/>
      </c>
    </row>
    <row r="35">
      <c r="A35">
        <f>'Runs Z score'!A27</f>
        <v/>
      </c>
      <c r="B35">
        <f>'Runs Z score'!B27</f>
        <v/>
      </c>
      <c r="C35">
        <f>'Runs Z score'!C27</f>
        <v/>
      </c>
      <c r="D35">
        <f>'Runs Z score'!D27</f>
        <v/>
      </c>
      <c r="E35">
        <f>'Runs Z score'!E27</f>
        <v/>
      </c>
      <c r="F35">
        <f>'Runs Z score'!F27</f>
        <v/>
      </c>
      <c r="G35">
        <f>'Runs Z score'!G27</f>
        <v/>
      </c>
      <c r="H35">
        <f>VLOOKUP(C35,Recipes!$A$2:$N$4,10,FALSE())</f>
        <v/>
      </c>
      <c r="I35">
        <f>VLOOKUP(C35,Recipes!$A$2:$N$4,12,FALSE())</f>
        <v/>
      </c>
      <c r="J35">
        <f>IF(G35="","",H35-G35)</f>
        <v/>
      </c>
      <c r="K35">
        <f>IF(G35="","",IF(ABS(G35-H35)&lt;=$B$6*I35,"OK","NG"))</f>
        <v/>
      </c>
      <c r="L35">
        <f>IF(K35="","",IF(K35=D35,1,0))</f>
        <v/>
      </c>
      <c r="M35" t="inlineStr">
        <is>
          <t>NONE</t>
        </is>
      </c>
      <c r="N35" s="15" t="n">
        <v>1</v>
      </c>
      <c r="O35" s="15" t="n">
        <v>0</v>
      </c>
      <c r="P35">
        <f>IF(M35="","",IF(M35=E35,1,0))</f>
        <v/>
      </c>
      <c r="Q35">
        <f>IF(K35="OK","-",IF(N35&lt;$B$7,"AMBIGUOUS","CONFIDENT"))</f>
        <v/>
      </c>
    </row>
    <row r="36">
      <c r="A36">
        <f>'Runs Z score'!A28</f>
        <v/>
      </c>
      <c r="B36">
        <f>'Runs Z score'!B28</f>
        <v/>
      </c>
      <c r="C36">
        <f>'Runs Z score'!C28</f>
        <v/>
      </c>
      <c r="D36">
        <f>'Runs Z score'!D28</f>
        <v/>
      </c>
      <c r="E36">
        <f>'Runs Z score'!E28</f>
        <v/>
      </c>
      <c r="F36">
        <f>'Runs Z score'!F28</f>
        <v/>
      </c>
      <c r="G36">
        <f>'Runs Z score'!G28</f>
        <v/>
      </c>
      <c r="H36">
        <f>VLOOKUP(C36,Recipes!$A$2:$N$4,10,FALSE())</f>
        <v/>
      </c>
      <c r="I36">
        <f>VLOOKUP(C36,Recipes!$A$2:$N$4,12,FALSE())</f>
        <v/>
      </c>
      <c r="J36">
        <f>IF(G36="","",H36-G36)</f>
        <v/>
      </c>
      <c r="K36">
        <f>IF(G36="","",IF(ABS(G36-H36)&lt;=$B$6*I36,"OK","NG"))</f>
        <v/>
      </c>
      <c r="L36">
        <f>IF(K36="","",IF(K36=D36,1,0))</f>
        <v/>
      </c>
      <c r="M36" t="inlineStr">
        <is>
          <t>NONE</t>
        </is>
      </c>
      <c r="N36" s="15" t="n">
        <v>1</v>
      </c>
      <c r="O36" s="15" t="n">
        <v>0</v>
      </c>
      <c r="P36">
        <f>IF(M36="","",IF(M36=E36,1,0))</f>
        <v/>
      </c>
      <c r="Q36">
        <f>IF(K36="OK","-",IF(N36&lt;$B$7,"AMBIGUOUS","CONFIDENT"))</f>
        <v/>
      </c>
    </row>
    <row r="37">
      <c r="A37">
        <f>'Runs Z score'!A29</f>
        <v/>
      </c>
      <c r="B37">
        <f>'Runs Z score'!B29</f>
        <v/>
      </c>
      <c r="C37">
        <f>'Runs Z score'!C29</f>
        <v/>
      </c>
      <c r="D37">
        <f>'Runs Z score'!D29</f>
        <v/>
      </c>
      <c r="E37">
        <f>'Runs Z score'!E29</f>
        <v/>
      </c>
      <c r="F37">
        <f>'Runs Z score'!F29</f>
        <v/>
      </c>
      <c r="G37">
        <f>'Runs Z score'!G29</f>
        <v/>
      </c>
      <c r="H37">
        <f>VLOOKUP(C37,Recipes!$A$2:$N$4,10,FALSE())</f>
        <v/>
      </c>
      <c r="I37">
        <f>VLOOKUP(C37,Recipes!$A$2:$N$4,12,FALSE())</f>
        <v/>
      </c>
      <c r="J37">
        <f>IF(G37="","",H37-G37)</f>
        <v/>
      </c>
      <c r="K37">
        <f>IF(G37="","",IF(ABS(G37-H37)&lt;=$B$6*I37,"OK","NG"))</f>
        <v/>
      </c>
      <c r="L37">
        <f>IF(K37="","",IF(K37=D37,1,0))</f>
        <v/>
      </c>
      <c r="M37" t="inlineStr">
        <is>
          <t>NONE</t>
        </is>
      </c>
      <c r="N37" s="15" t="n">
        <v>1</v>
      </c>
      <c r="O37" s="15" t="n">
        <v>0</v>
      </c>
      <c r="P37">
        <f>IF(M37="","",IF(M37=E37,1,0))</f>
        <v/>
      </c>
      <c r="Q37">
        <f>IF(K37="OK","-",IF(N37&lt;$B$7,"AMBIGUOUS","CONFIDENT"))</f>
        <v/>
      </c>
    </row>
    <row r="38">
      <c r="A38">
        <f>'Runs Z score'!A30</f>
        <v/>
      </c>
      <c r="B38">
        <f>'Runs Z score'!B30</f>
        <v/>
      </c>
      <c r="C38">
        <f>'Runs Z score'!C30</f>
        <v/>
      </c>
      <c r="D38">
        <f>'Runs Z score'!D30</f>
        <v/>
      </c>
      <c r="E38">
        <f>'Runs Z score'!E30</f>
        <v/>
      </c>
      <c r="F38">
        <f>'Runs Z score'!F30</f>
        <v/>
      </c>
      <c r="G38">
        <f>'Runs Z score'!G30</f>
        <v/>
      </c>
      <c r="H38">
        <f>VLOOKUP(C38,Recipes!$A$2:$N$4,10,FALSE())</f>
        <v/>
      </c>
      <c r="I38">
        <f>VLOOKUP(C38,Recipes!$A$2:$N$4,12,FALSE())</f>
        <v/>
      </c>
      <c r="J38">
        <f>IF(G38="","",H38-G38)</f>
        <v/>
      </c>
      <c r="K38">
        <f>IF(G38="","",IF(ABS(G38-H38)&lt;=$B$6*I38,"OK","NG"))</f>
        <v/>
      </c>
      <c r="L38">
        <f>IF(K38="","",IF(K38=D38,1,0))</f>
        <v/>
      </c>
      <c r="M38" t="inlineStr">
        <is>
          <t>NONE</t>
        </is>
      </c>
      <c r="N38" s="15" t="n">
        <v>1</v>
      </c>
      <c r="O38" s="15" t="n">
        <v>0</v>
      </c>
      <c r="P38">
        <f>IF(M38="","",IF(M38=E38,1,0))</f>
        <v/>
      </c>
      <c r="Q38">
        <f>IF(K38="OK","-",IF(N38&lt;$B$7,"AMBIGUOUS","CONFIDENT"))</f>
        <v/>
      </c>
    </row>
    <row r="39">
      <c r="A39">
        <f>'Runs Z score'!A31</f>
        <v/>
      </c>
      <c r="B39">
        <f>'Runs Z score'!B31</f>
        <v/>
      </c>
      <c r="C39">
        <f>'Runs Z score'!C31</f>
        <v/>
      </c>
      <c r="D39">
        <f>'Runs Z score'!D31</f>
        <v/>
      </c>
      <c r="E39">
        <f>'Runs Z score'!E31</f>
        <v/>
      </c>
      <c r="F39">
        <f>'Runs Z score'!F31</f>
        <v/>
      </c>
      <c r="G39">
        <f>'Runs Z score'!G31</f>
        <v/>
      </c>
      <c r="H39">
        <f>VLOOKUP(C39,Recipes!$A$2:$N$4,10,FALSE())</f>
        <v/>
      </c>
      <c r="I39">
        <f>VLOOKUP(C39,Recipes!$A$2:$N$4,12,FALSE())</f>
        <v/>
      </c>
      <c r="J39">
        <f>IF(G39="","",H39-G39)</f>
        <v/>
      </c>
      <c r="K39">
        <f>IF(G39="","",IF(ABS(G39-H39)&lt;=$B$6*I39,"OK","NG"))</f>
        <v/>
      </c>
      <c r="L39">
        <f>IF(K39="","",IF(K39=D39,1,0))</f>
        <v/>
      </c>
      <c r="M39" t="inlineStr">
        <is>
          <t>NONE</t>
        </is>
      </c>
      <c r="N39" s="15" t="n">
        <v>1</v>
      </c>
      <c r="O39" s="15" t="n">
        <v>0</v>
      </c>
      <c r="P39">
        <f>IF(M39="","",IF(M39=E39,1,0))</f>
        <v/>
      </c>
      <c r="Q39">
        <f>IF(K39="OK","-",IF(N39&lt;$B$7,"AMBIGUOUS","CONFIDENT"))</f>
        <v/>
      </c>
    </row>
    <row r="40">
      <c r="A40">
        <f>'Runs Z score'!A32</f>
        <v/>
      </c>
      <c r="B40">
        <f>'Runs Z score'!B32</f>
        <v/>
      </c>
      <c r="C40">
        <f>'Runs Z score'!C32</f>
        <v/>
      </c>
      <c r="D40">
        <f>'Runs Z score'!D32</f>
        <v/>
      </c>
      <c r="E40">
        <f>'Runs Z score'!E32</f>
        <v/>
      </c>
      <c r="F40">
        <f>'Runs Z score'!F32</f>
        <v/>
      </c>
      <c r="G40">
        <f>'Runs Z score'!G32</f>
        <v/>
      </c>
      <c r="H40">
        <f>VLOOKUP(C40,Recipes!$A$2:$N$4,10,FALSE())</f>
        <v/>
      </c>
      <c r="I40">
        <f>VLOOKUP(C40,Recipes!$A$2:$N$4,12,FALSE())</f>
        <v/>
      </c>
      <c r="J40">
        <f>IF(G40="","",H40-G40)</f>
        <v/>
      </c>
      <c r="K40">
        <f>IF(G40="","",IF(ABS(G40-H40)&lt;=$B$6*I40,"OK","NG"))</f>
        <v/>
      </c>
      <c r="L40">
        <f>IF(K40="","",IF(K40=D40,1,0))</f>
        <v/>
      </c>
      <c r="M40" t="inlineStr">
        <is>
          <t>NONE</t>
        </is>
      </c>
      <c r="N40" s="15" t="n">
        <v>1</v>
      </c>
      <c r="O40" s="15" t="n">
        <v>0</v>
      </c>
      <c r="P40">
        <f>IF(M40="","",IF(M40=E40,1,0))</f>
        <v/>
      </c>
      <c r="Q40">
        <f>IF(K40="OK","-",IF(N40&lt;$B$7,"AMBIGUOUS","CONFIDENT"))</f>
        <v/>
      </c>
    </row>
    <row r="41">
      <c r="A41">
        <f>'Runs Z score'!A33</f>
        <v/>
      </c>
      <c r="B41">
        <f>'Runs Z score'!B33</f>
        <v/>
      </c>
      <c r="C41">
        <f>'Runs Z score'!C33</f>
        <v/>
      </c>
      <c r="D41">
        <f>'Runs Z score'!D33</f>
        <v/>
      </c>
      <c r="E41">
        <f>'Runs Z score'!E33</f>
        <v/>
      </c>
      <c r="F41">
        <f>'Runs Z score'!F33</f>
        <v/>
      </c>
      <c r="G41">
        <f>'Runs Z score'!G33</f>
        <v/>
      </c>
      <c r="H41">
        <f>VLOOKUP(C41,Recipes!$A$2:$N$4,10,FALSE())</f>
        <v/>
      </c>
      <c r="I41">
        <f>VLOOKUP(C41,Recipes!$A$2:$N$4,12,FALSE())</f>
        <v/>
      </c>
      <c r="J41">
        <f>IF(G41="","",H41-G41)</f>
        <v/>
      </c>
      <c r="K41">
        <f>IF(G41="","",IF(ABS(G41-H41)&lt;=$B$6*I41,"OK","NG"))</f>
        <v/>
      </c>
      <c r="L41">
        <f>IF(K41="","",IF(K41=D41,1,0))</f>
        <v/>
      </c>
      <c r="M41" t="inlineStr">
        <is>
          <t>S2</t>
        </is>
      </c>
      <c r="N41" s="15" t="n">
        <v>0.9993372134259648</v>
      </c>
      <c r="O41" s="15" t="n">
        <v>0.0006453990797695999</v>
      </c>
      <c r="P41">
        <f>IF(M41="","",IF(M41=E41,1,0))</f>
        <v/>
      </c>
      <c r="Q41">
        <f>IF(K41="OK","-",IF(N41&lt;$B$7,"AMBIGUOUS","CONFIDENT"))</f>
        <v/>
      </c>
    </row>
    <row r="42">
      <c r="A42">
        <f>'Runs Z score'!A34</f>
        <v/>
      </c>
      <c r="B42">
        <f>'Runs Z score'!B34</f>
        <v/>
      </c>
      <c r="C42">
        <f>'Runs Z score'!C34</f>
        <v/>
      </c>
      <c r="D42">
        <f>'Runs Z score'!D34</f>
        <v/>
      </c>
      <c r="E42">
        <f>'Runs Z score'!E34</f>
        <v/>
      </c>
      <c r="F42">
        <f>'Runs Z score'!F34</f>
        <v/>
      </c>
      <c r="G42">
        <f>'Runs Z score'!G34</f>
        <v/>
      </c>
      <c r="H42">
        <f>VLOOKUP(C42,Recipes!$A$2:$N$4,10,FALSE())</f>
        <v/>
      </c>
      <c r="I42">
        <f>VLOOKUP(C42,Recipes!$A$2:$N$4,12,FALSE())</f>
        <v/>
      </c>
      <c r="J42">
        <f>IF(G42="","",H42-G42)</f>
        <v/>
      </c>
      <c r="K42">
        <f>IF(G42="","",IF(ABS(G42-H42)&lt;=$B$6*I42,"OK","NG"))</f>
        <v/>
      </c>
      <c r="L42">
        <f>IF(K42="","",IF(K42=D42,1,0))</f>
        <v/>
      </c>
      <c r="M42" t="inlineStr">
        <is>
          <t>S2</t>
        </is>
      </c>
      <c r="N42" s="15" t="n">
        <v>0.999528407703266</v>
      </c>
      <c r="O42" s="15" t="n">
        <v>0.0004503276495035</v>
      </c>
      <c r="P42">
        <f>IF(M42="","",IF(M42=E42,1,0))</f>
        <v/>
      </c>
      <c r="Q42">
        <f>IF(K42="OK","-",IF(N42&lt;$B$7,"AMBIGUOUS","CONFIDENT"))</f>
        <v/>
      </c>
    </row>
    <row r="43">
      <c r="A43">
        <f>'Runs Z score'!A35</f>
        <v/>
      </c>
      <c r="B43">
        <f>'Runs Z score'!B35</f>
        <v/>
      </c>
      <c r="C43">
        <f>'Runs Z score'!C35</f>
        <v/>
      </c>
      <c r="D43">
        <f>'Runs Z score'!D35</f>
        <v/>
      </c>
      <c r="E43">
        <f>'Runs Z score'!E35</f>
        <v/>
      </c>
      <c r="F43">
        <f>'Runs Z score'!F35</f>
        <v/>
      </c>
      <c r="G43">
        <f>'Runs Z score'!G35</f>
        <v/>
      </c>
      <c r="H43">
        <f>VLOOKUP(C43,Recipes!$A$2:$N$4,10,FALSE())</f>
        <v/>
      </c>
      <c r="I43">
        <f>VLOOKUP(C43,Recipes!$A$2:$N$4,12,FALSE())</f>
        <v/>
      </c>
      <c r="J43">
        <f>IF(G43="","",H43-G43)</f>
        <v/>
      </c>
      <c r="K43">
        <f>IF(G43="","",IF(ABS(G43-H43)&lt;=$B$6*I43,"OK","NG"))</f>
        <v/>
      </c>
      <c r="L43">
        <f>IF(K43="","",IF(K43=D43,1,0))</f>
        <v/>
      </c>
      <c r="M43" t="inlineStr">
        <is>
          <t>S2</t>
        </is>
      </c>
      <c r="N43" s="15" t="n">
        <v>0.9995332784405322</v>
      </c>
      <c r="O43" s="15" t="n">
        <v>0.000452118334443</v>
      </c>
      <c r="P43">
        <f>IF(M43="","",IF(M43=E43,1,0))</f>
        <v/>
      </c>
      <c r="Q43">
        <f>IF(K43="OK","-",IF(N43&lt;$B$7,"AMBIGUOUS","CONFIDENT"))</f>
        <v/>
      </c>
    </row>
    <row r="44">
      <c r="A44">
        <f>'Runs Z score'!A36</f>
        <v/>
      </c>
      <c r="B44">
        <f>'Runs Z score'!B36</f>
        <v/>
      </c>
      <c r="C44">
        <f>'Runs Z score'!C36</f>
        <v/>
      </c>
      <c r="D44">
        <f>'Runs Z score'!D36</f>
        <v/>
      </c>
      <c r="E44">
        <f>'Runs Z score'!E36</f>
        <v/>
      </c>
      <c r="F44">
        <f>'Runs Z score'!F36</f>
        <v/>
      </c>
      <c r="G44">
        <f>'Runs Z score'!G36</f>
        <v/>
      </c>
      <c r="H44">
        <f>VLOOKUP(C44,Recipes!$A$2:$N$4,10,FALSE())</f>
        <v/>
      </c>
      <c r="I44">
        <f>VLOOKUP(C44,Recipes!$A$2:$N$4,12,FALSE())</f>
        <v/>
      </c>
      <c r="J44">
        <f>IF(G44="","",H44-G44)</f>
        <v/>
      </c>
      <c r="K44">
        <f>IF(G44="","",IF(ABS(G44-H44)&lt;=$B$6*I44,"OK","NG"))</f>
        <v/>
      </c>
      <c r="L44">
        <f>IF(K44="","",IF(K44=D44,1,0))</f>
        <v/>
      </c>
      <c r="M44" t="inlineStr">
        <is>
          <t>S2</t>
        </is>
      </c>
      <c r="N44" s="15" t="n">
        <v>0.999610679147578</v>
      </c>
      <c r="O44" s="15" t="n">
        <v>0.0003662573886857</v>
      </c>
      <c r="P44">
        <f>IF(M44="","",IF(M44=E44,1,0))</f>
        <v/>
      </c>
      <c r="Q44">
        <f>IF(K44="OK","-",IF(N44&lt;$B$7,"AMBIGUOUS","CONFIDENT"))</f>
        <v/>
      </c>
    </row>
    <row r="45">
      <c r="A45">
        <f>'Runs Z score'!A37</f>
        <v/>
      </c>
      <c r="B45">
        <f>'Runs Z score'!B37</f>
        <v/>
      </c>
      <c r="C45">
        <f>'Runs Z score'!C37</f>
        <v/>
      </c>
      <c r="D45">
        <f>'Runs Z score'!D37</f>
        <v/>
      </c>
      <c r="E45">
        <f>'Runs Z score'!E37</f>
        <v/>
      </c>
      <c r="F45">
        <f>'Runs Z score'!F37</f>
        <v/>
      </c>
      <c r="G45">
        <f>'Runs Z score'!G37</f>
        <v/>
      </c>
      <c r="H45">
        <f>VLOOKUP(C45,Recipes!$A$2:$N$4,10,FALSE())</f>
        <v/>
      </c>
      <c r="I45">
        <f>VLOOKUP(C45,Recipes!$A$2:$N$4,12,FALSE())</f>
        <v/>
      </c>
      <c r="J45">
        <f>IF(G45="","",H45-G45)</f>
        <v/>
      </c>
      <c r="K45">
        <f>IF(G45="","",IF(ABS(G45-H45)&lt;=$B$6*I45,"OK","NG"))</f>
        <v/>
      </c>
      <c r="L45">
        <f>IF(K45="","",IF(K45=D45,1,0))</f>
        <v/>
      </c>
      <c r="M45" t="inlineStr">
        <is>
          <t>S2</t>
        </is>
      </c>
      <c r="N45" s="15" t="n">
        <v>0.9990786000032365</v>
      </c>
      <c r="O45" s="15" t="n">
        <v>0.0009063187392184</v>
      </c>
      <c r="P45">
        <f>IF(M45="","",IF(M45=E45,1,0))</f>
        <v/>
      </c>
      <c r="Q45">
        <f>IF(K45="OK","-",IF(N45&lt;$B$7,"AMBIGUOUS","CONFIDENT"))</f>
        <v/>
      </c>
    </row>
    <row r="46">
      <c r="A46">
        <f>'Runs Z score'!A38</f>
        <v/>
      </c>
      <c r="B46">
        <f>'Runs Z score'!B38</f>
        <v/>
      </c>
      <c r="C46">
        <f>'Runs Z score'!C38</f>
        <v/>
      </c>
      <c r="D46">
        <f>'Runs Z score'!D38</f>
        <v/>
      </c>
      <c r="E46">
        <f>'Runs Z score'!E38</f>
        <v/>
      </c>
      <c r="F46">
        <f>'Runs Z score'!F38</f>
        <v/>
      </c>
      <c r="G46">
        <f>'Runs Z score'!G38</f>
        <v/>
      </c>
      <c r="H46">
        <f>VLOOKUP(C46,Recipes!$A$2:$N$4,10,FALSE())</f>
        <v/>
      </c>
      <c r="I46">
        <f>VLOOKUP(C46,Recipes!$A$2:$N$4,12,FALSE())</f>
        <v/>
      </c>
      <c r="J46">
        <f>IF(G46="","",H46-G46)</f>
        <v/>
      </c>
      <c r="K46">
        <f>IF(G46="","",IF(ABS(G46-H46)&lt;=$B$6*I46,"OK","NG"))</f>
        <v/>
      </c>
      <c r="L46">
        <f>IF(K46="","",IF(K46=D46,1,0))</f>
        <v/>
      </c>
      <c r="M46" t="inlineStr">
        <is>
          <t>S2</t>
        </is>
      </c>
      <c r="N46" s="15" t="n">
        <v>0.9954061233784408</v>
      </c>
      <c r="O46" s="15" t="n">
        <v>0.0045860474638798</v>
      </c>
      <c r="P46">
        <f>IF(M46="","",IF(M46=E46,1,0))</f>
        <v/>
      </c>
      <c r="Q46">
        <f>IF(K46="OK","-",IF(N46&lt;$B$7,"AMBIGUOUS","CONFIDENT"))</f>
        <v/>
      </c>
    </row>
    <row r="47">
      <c r="A47">
        <f>'Runs Z score'!A39</f>
        <v/>
      </c>
      <c r="B47">
        <f>'Runs Z score'!B39</f>
        <v/>
      </c>
      <c r="C47">
        <f>'Runs Z score'!C39</f>
        <v/>
      </c>
      <c r="D47">
        <f>'Runs Z score'!D39</f>
        <v/>
      </c>
      <c r="E47">
        <f>'Runs Z score'!E39</f>
        <v/>
      </c>
      <c r="F47">
        <f>'Runs Z score'!F39</f>
        <v/>
      </c>
      <c r="G47">
        <f>'Runs Z score'!G39</f>
        <v/>
      </c>
      <c r="H47">
        <f>VLOOKUP(C47,Recipes!$A$2:$N$4,10,FALSE())</f>
        <v/>
      </c>
      <c r="I47">
        <f>VLOOKUP(C47,Recipes!$A$2:$N$4,12,FALSE())</f>
        <v/>
      </c>
      <c r="J47">
        <f>IF(G47="","",H47-G47)</f>
        <v/>
      </c>
      <c r="K47">
        <f>IF(G47="","",IF(ABS(G47-H47)&lt;=$B$6*I47,"OK","NG"))</f>
        <v/>
      </c>
      <c r="L47">
        <f>IF(K47="","",IF(K47=D47,1,0))</f>
        <v/>
      </c>
      <c r="M47" t="inlineStr">
        <is>
          <t>S2</t>
        </is>
      </c>
      <c r="N47" s="15" t="n">
        <v>0.9985108588586348</v>
      </c>
      <c r="O47" s="15" t="n">
        <v>0.0014765911189909</v>
      </c>
      <c r="P47">
        <f>IF(M47="","",IF(M47=E47,1,0))</f>
        <v/>
      </c>
      <c r="Q47">
        <f>IF(K47="OK","-",IF(N47&lt;$B$7,"AMBIGUOUS","CONFIDENT"))</f>
        <v/>
      </c>
    </row>
    <row r="48">
      <c r="A48">
        <f>'Runs Z score'!A40</f>
        <v/>
      </c>
      <c r="B48">
        <f>'Runs Z score'!B40</f>
        <v/>
      </c>
      <c r="C48">
        <f>'Runs Z score'!C40</f>
        <v/>
      </c>
      <c r="D48">
        <f>'Runs Z score'!D40</f>
        <v/>
      </c>
      <c r="E48">
        <f>'Runs Z score'!E40</f>
        <v/>
      </c>
      <c r="F48">
        <f>'Runs Z score'!F40</f>
        <v/>
      </c>
      <c r="G48">
        <f>'Runs Z score'!G40</f>
        <v/>
      </c>
      <c r="H48">
        <f>VLOOKUP(C48,Recipes!$A$2:$N$4,10,FALSE())</f>
        <v/>
      </c>
      <c r="I48">
        <f>VLOOKUP(C48,Recipes!$A$2:$N$4,12,FALSE())</f>
        <v/>
      </c>
      <c r="J48">
        <f>IF(G48="","",H48-G48)</f>
        <v/>
      </c>
      <c r="K48">
        <f>IF(G48="","",IF(ABS(G48-H48)&lt;=$B$6*I48,"OK","NG"))</f>
        <v/>
      </c>
      <c r="L48">
        <f>IF(K48="","",IF(K48=D48,1,0))</f>
        <v/>
      </c>
      <c r="M48" t="inlineStr">
        <is>
          <t>S2</t>
        </is>
      </c>
      <c r="N48" s="15" t="n">
        <v>0.9990089312969636</v>
      </c>
      <c r="O48" s="15" t="n">
        <v>0.0009762953969943</v>
      </c>
      <c r="P48">
        <f>IF(M48="","",IF(M48=E48,1,0))</f>
        <v/>
      </c>
      <c r="Q48">
        <f>IF(K48="OK","-",IF(N48&lt;$B$7,"AMBIGUOUS","CONFIDENT"))</f>
        <v/>
      </c>
    </row>
    <row r="49">
      <c r="A49">
        <f>'Runs Z score'!A41</f>
        <v/>
      </c>
      <c r="B49">
        <f>'Runs Z score'!B41</f>
        <v/>
      </c>
      <c r="C49">
        <f>'Runs Z score'!C41</f>
        <v/>
      </c>
      <c r="D49">
        <f>'Runs Z score'!D41</f>
        <v/>
      </c>
      <c r="E49">
        <f>'Runs Z score'!E41</f>
        <v/>
      </c>
      <c r="F49">
        <f>'Runs Z score'!F41</f>
        <v/>
      </c>
      <c r="G49">
        <f>'Runs Z score'!G41</f>
        <v/>
      </c>
      <c r="H49">
        <f>VLOOKUP(C49,Recipes!$A$2:$N$4,10,FALSE())</f>
        <v/>
      </c>
      <c r="I49">
        <f>VLOOKUP(C49,Recipes!$A$2:$N$4,12,FALSE())</f>
        <v/>
      </c>
      <c r="J49">
        <f>IF(G49="","",H49-G49)</f>
        <v/>
      </c>
      <c r="K49">
        <f>IF(G49="","",IF(ABS(G49-H49)&lt;=$B$6*I49,"OK","NG"))</f>
        <v/>
      </c>
      <c r="L49">
        <f>IF(K49="","",IF(K49=D49,1,0))</f>
        <v/>
      </c>
      <c r="M49" t="inlineStr">
        <is>
          <t>S2</t>
        </is>
      </c>
      <c r="N49" s="15" t="n">
        <v>0.9993011537137584</v>
      </c>
      <c r="O49" s="15" t="n">
        <v>0.0006807697973386</v>
      </c>
      <c r="P49">
        <f>IF(M49="","",IF(M49=E49,1,0))</f>
        <v/>
      </c>
      <c r="Q49">
        <f>IF(K49="OK","-",IF(N49&lt;$B$7,"AMBIGUOUS","CONFIDENT"))</f>
        <v/>
      </c>
    </row>
    <row r="50">
      <c r="A50">
        <f>'Runs Z score'!A42</f>
        <v/>
      </c>
      <c r="B50">
        <f>'Runs Z score'!B42</f>
        <v/>
      </c>
      <c r="C50">
        <f>'Runs Z score'!C42</f>
        <v/>
      </c>
      <c r="D50">
        <f>'Runs Z score'!D42</f>
        <v/>
      </c>
      <c r="E50">
        <f>'Runs Z score'!E42</f>
        <v/>
      </c>
      <c r="F50">
        <f>'Runs Z score'!F42</f>
        <v/>
      </c>
      <c r="G50">
        <f>'Runs Z score'!G42</f>
        <v/>
      </c>
      <c r="H50">
        <f>VLOOKUP(C50,Recipes!$A$2:$N$4,10,FALSE())</f>
        <v/>
      </c>
      <c r="I50">
        <f>VLOOKUP(C50,Recipes!$A$2:$N$4,12,FALSE())</f>
        <v/>
      </c>
      <c r="J50">
        <f>IF(G50="","",H50-G50)</f>
        <v/>
      </c>
      <c r="K50">
        <f>IF(G50="","",IF(ABS(G50-H50)&lt;=$B$6*I50,"OK","NG"))</f>
        <v/>
      </c>
      <c r="L50">
        <f>IF(K50="","",IF(K50=D50,1,0))</f>
        <v/>
      </c>
      <c r="M50" t="inlineStr">
        <is>
          <t>S2</t>
        </is>
      </c>
      <c r="N50" s="15" t="n">
        <v>0.9996971260080456</v>
      </c>
      <c r="O50" s="15" t="n">
        <v>0.000279765110804</v>
      </c>
      <c r="P50">
        <f>IF(M50="","",IF(M50=E50,1,0))</f>
        <v/>
      </c>
      <c r="Q50">
        <f>IF(K50="OK","-",IF(N50&lt;$B$7,"AMBIGUOUS","CONFIDENT"))</f>
        <v/>
      </c>
    </row>
    <row r="51">
      <c r="A51">
        <f>'Runs Z score'!A43</f>
        <v/>
      </c>
      <c r="B51">
        <f>'Runs Z score'!B43</f>
        <v/>
      </c>
      <c r="C51">
        <f>'Runs Z score'!C43</f>
        <v/>
      </c>
      <c r="D51">
        <f>'Runs Z score'!D43</f>
        <v/>
      </c>
      <c r="E51">
        <f>'Runs Z score'!E43</f>
        <v/>
      </c>
      <c r="F51">
        <f>'Runs Z score'!F43</f>
        <v/>
      </c>
      <c r="G51">
        <f>'Runs Z score'!G43</f>
        <v/>
      </c>
      <c r="H51">
        <f>VLOOKUP(C51,Recipes!$A$2:$N$4,10,FALSE())</f>
        <v/>
      </c>
      <c r="I51">
        <f>VLOOKUP(C51,Recipes!$A$2:$N$4,12,FALSE())</f>
        <v/>
      </c>
      <c r="J51">
        <f>IF(G51="","",H51-G51)</f>
        <v/>
      </c>
      <c r="K51">
        <f>IF(G51="","",IF(ABS(G51-H51)&lt;=$B$6*I51,"OK","NG"))</f>
        <v/>
      </c>
      <c r="L51">
        <f>IF(K51="","",IF(K51=D51,1,0))</f>
        <v/>
      </c>
      <c r="M51" t="inlineStr">
        <is>
          <t>S2</t>
        </is>
      </c>
      <c r="N51" s="15" t="n">
        <v>0.9994548223535092</v>
      </c>
      <c r="O51" s="15" t="n">
        <v>0.0005270509666768</v>
      </c>
      <c r="P51">
        <f>IF(M51="","",IF(M51=E51,1,0))</f>
        <v/>
      </c>
      <c r="Q51">
        <f>IF(K51="OK","-",IF(N51&lt;$B$7,"AMBIGUOUS","CONFIDENT"))</f>
        <v/>
      </c>
    </row>
    <row r="52">
      <c r="A52">
        <f>'Runs Z score'!A44</f>
        <v/>
      </c>
      <c r="B52">
        <f>'Runs Z score'!B44</f>
        <v/>
      </c>
      <c r="C52">
        <f>'Runs Z score'!C44</f>
        <v/>
      </c>
      <c r="D52">
        <f>'Runs Z score'!D44</f>
        <v/>
      </c>
      <c r="E52">
        <f>'Runs Z score'!E44</f>
        <v/>
      </c>
      <c r="F52">
        <f>'Runs Z score'!F44</f>
        <v/>
      </c>
      <c r="G52">
        <f>'Runs Z score'!G44</f>
        <v/>
      </c>
      <c r="H52">
        <f>VLOOKUP(C52,Recipes!$A$2:$N$4,10,FALSE())</f>
        <v/>
      </c>
      <c r="I52">
        <f>VLOOKUP(C52,Recipes!$A$2:$N$4,12,FALSE())</f>
        <v/>
      </c>
      <c r="J52">
        <f>IF(G52="","",H52-G52)</f>
        <v/>
      </c>
      <c r="K52">
        <f>IF(G52="","",IF(ABS(G52-H52)&lt;=$B$6*I52,"OK","NG"))</f>
        <v/>
      </c>
      <c r="L52">
        <f>IF(K52="","",IF(K52=D52,1,0))</f>
        <v/>
      </c>
      <c r="M52" t="inlineStr">
        <is>
          <t>S2</t>
        </is>
      </c>
      <c r="N52" s="15" t="n">
        <v>0.9997305890985791</v>
      </c>
      <c r="O52" s="15" t="n">
        <v>0.0002422793373212</v>
      </c>
      <c r="P52">
        <f>IF(M52="","",IF(M52=E52,1,0))</f>
        <v/>
      </c>
      <c r="Q52">
        <f>IF(K52="OK","-",IF(N52&lt;$B$7,"AMBIGUOUS","CONFIDENT"))</f>
        <v/>
      </c>
    </row>
    <row r="53">
      <c r="A53">
        <f>'Runs Z score'!A45</f>
        <v/>
      </c>
      <c r="B53">
        <f>'Runs Z score'!B45</f>
        <v/>
      </c>
      <c r="C53">
        <f>'Runs Z score'!C45</f>
        <v/>
      </c>
      <c r="D53">
        <f>'Runs Z score'!D45</f>
        <v/>
      </c>
      <c r="E53">
        <f>'Runs Z score'!E45</f>
        <v/>
      </c>
      <c r="F53">
        <f>'Runs Z score'!F45</f>
        <v/>
      </c>
      <c r="G53">
        <f>'Runs Z score'!G45</f>
        <v/>
      </c>
      <c r="H53">
        <f>VLOOKUP(C53,Recipes!$A$2:$N$4,10,FALSE())</f>
        <v/>
      </c>
      <c r="I53">
        <f>VLOOKUP(C53,Recipes!$A$2:$N$4,12,FALSE())</f>
        <v/>
      </c>
      <c r="J53">
        <f>IF(G53="","",H53-G53)</f>
        <v/>
      </c>
      <c r="K53">
        <f>IF(G53="","",IF(ABS(G53-H53)&lt;=$B$6*I53,"OK","NG"))</f>
        <v/>
      </c>
      <c r="L53">
        <f>IF(K53="","",IF(K53=D53,1,0))</f>
        <v/>
      </c>
      <c r="M53" t="inlineStr">
        <is>
          <t>S2</t>
        </is>
      </c>
      <c r="N53" s="15" t="n">
        <v>0.9998478101818106</v>
      </c>
      <c r="O53" s="15" t="n">
        <v>0.0001202438849055</v>
      </c>
      <c r="P53">
        <f>IF(M53="","",IF(M53=E53,1,0))</f>
        <v/>
      </c>
      <c r="Q53">
        <f>IF(K53="OK","-",IF(N53&lt;$B$7,"AMBIGUOUS","CONFIDENT"))</f>
        <v/>
      </c>
    </row>
    <row r="54">
      <c r="A54">
        <f>'Runs Z score'!A46</f>
        <v/>
      </c>
      <c r="B54">
        <f>'Runs Z score'!B46</f>
        <v/>
      </c>
      <c r="C54">
        <f>'Runs Z score'!C46</f>
        <v/>
      </c>
      <c r="D54">
        <f>'Runs Z score'!D46</f>
        <v/>
      </c>
      <c r="E54">
        <f>'Runs Z score'!E46</f>
        <v/>
      </c>
      <c r="F54">
        <f>'Runs Z score'!F46</f>
        <v/>
      </c>
      <c r="G54">
        <f>'Runs Z score'!G46</f>
        <v/>
      </c>
      <c r="H54">
        <f>VLOOKUP(C54,Recipes!$A$2:$N$4,10,FALSE())</f>
        <v/>
      </c>
      <c r="I54">
        <f>VLOOKUP(C54,Recipes!$A$2:$N$4,12,FALSE())</f>
        <v/>
      </c>
      <c r="J54">
        <f>IF(G54="","",H54-G54)</f>
        <v/>
      </c>
      <c r="K54">
        <f>IF(G54="","",IF(ABS(G54-H54)&lt;=$B$6*I54,"OK","NG"))</f>
        <v/>
      </c>
      <c r="L54">
        <f>IF(K54="","",IF(K54=D54,1,0))</f>
        <v/>
      </c>
      <c r="M54" t="inlineStr">
        <is>
          <t>S2</t>
        </is>
      </c>
      <c r="N54" s="15" t="n">
        <v>0.999610679147578</v>
      </c>
      <c r="O54" s="15" t="n">
        <v>0.0003662573886857</v>
      </c>
      <c r="P54">
        <f>IF(M54="","",IF(M54=E54,1,0))</f>
        <v/>
      </c>
      <c r="Q54">
        <f>IF(K54="OK","-",IF(N54&lt;$B$7,"AMBIGUOUS","CONFIDENT"))</f>
        <v/>
      </c>
    </row>
    <row r="55">
      <c r="A55">
        <f>'Runs Z score'!A47</f>
        <v/>
      </c>
      <c r="B55">
        <f>'Runs Z score'!B47</f>
        <v/>
      </c>
      <c r="C55">
        <f>'Runs Z score'!C47</f>
        <v/>
      </c>
      <c r="D55">
        <f>'Runs Z score'!D47</f>
        <v/>
      </c>
      <c r="E55">
        <f>'Runs Z score'!E47</f>
        <v/>
      </c>
      <c r="F55">
        <f>'Runs Z score'!F47</f>
        <v/>
      </c>
      <c r="G55">
        <f>'Runs Z score'!G47</f>
        <v/>
      </c>
      <c r="H55">
        <f>VLOOKUP(C55,Recipes!$A$2:$N$4,10,FALSE())</f>
        <v/>
      </c>
      <c r="I55">
        <f>VLOOKUP(C55,Recipes!$A$2:$N$4,12,FALSE())</f>
        <v/>
      </c>
      <c r="J55">
        <f>IF(G55="","",H55-G55)</f>
        <v/>
      </c>
      <c r="K55">
        <f>IF(G55="","",IF(ABS(G55-H55)&lt;=$B$6*I55,"OK","NG"))</f>
        <v/>
      </c>
      <c r="L55">
        <f>IF(K55="","",IF(K55=D55,1,0))</f>
        <v/>
      </c>
      <c r="M55" t="inlineStr">
        <is>
          <t>S2</t>
        </is>
      </c>
      <c r="N55" s="15" t="n">
        <v>0.9983224440174336</v>
      </c>
      <c r="O55" s="15" t="n">
        <v>0.0016657544734335</v>
      </c>
      <c r="P55">
        <f>IF(M55="","",IF(M55=E55,1,0))</f>
        <v/>
      </c>
      <c r="Q55">
        <f>IF(K55="OK","-",IF(N55&lt;$B$7,"AMBIGUOUS","CONFIDENT"))</f>
        <v/>
      </c>
    </row>
    <row r="56">
      <c r="A56">
        <f>'Runs Z score'!A48</f>
        <v/>
      </c>
      <c r="B56">
        <f>'Runs Z score'!B48</f>
        <v/>
      </c>
      <c r="C56">
        <f>'Runs Z score'!C48</f>
        <v/>
      </c>
      <c r="D56">
        <f>'Runs Z score'!D48</f>
        <v/>
      </c>
      <c r="E56">
        <f>'Runs Z score'!E48</f>
        <v/>
      </c>
      <c r="F56">
        <f>'Runs Z score'!F48</f>
        <v/>
      </c>
      <c r="G56">
        <f>'Runs Z score'!G48</f>
        <v/>
      </c>
      <c r="H56">
        <f>VLOOKUP(C56,Recipes!$A$2:$N$4,10,FALSE())</f>
        <v/>
      </c>
      <c r="I56">
        <f>VLOOKUP(C56,Recipes!$A$2:$N$4,12,FALSE())</f>
        <v/>
      </c>
      <c r="J56">
        <f>IF(G56="","",H56-G56)</f>
        <v/>
      </c>
      <c r="K56">
        <f>IF(G56="","",IF(ABS(G56-H56)&lt;=$B$6*I56,"OK","NG"))</f>
        <v/>
      </c>
      <c r="L56">
        <f>IF(K56="","",IF(K56=D56,1,0))</f>
        <v/>
      </c>
      <c r="M56" t="inlineStr">
        <is>
          <t>S2</t>
        </is>
      </c>
      <c r="N56" s="15" t="n">
        <v>0.9999501462113132</v>
      </c>
      <c r="O56" s="15" t="n">
        <v>2.970666026748162e-05</v>
      </c>
      <c r="P56">
        <f>IF(M56="","",IF(M56=E56,1,0))</f>
        <v/>
      </c>
      <c r="Q56">
        <f>IF(K56="OK","-",IF(N56&lt;$B$7,"AMBIGUOUS","CONFIDENT"))</f>
        <v/>
      </c>
    </row>
    <row r="57">
      <c r="A57">
        <f>'Runs Z score'!A49</f>
        <v/>
      </c>
      <c r="B57">
        <f>'Runs Z score'!B49</f>
        <v/>
      </c>
      <c r="C57">
        <f>'Runs Z score'!C49</f>
        <v/>
      </c>
      <c r="D57">
        <f>'Runs Z score'!D49</f>
        <v/>
      </c>
      <c r="E57">
        <f>'Runs Z score'!E49</f>
        <v/>
      </c>
      <c r="F57">
        <f>'Runs Z score'!F49</f>
        <v/>
      </c>
      <c r="G57">
        <f>'Runs Z score'!G49</f>
        <v/>
      </c>
      <c r="H57">
        <f>VLOOKUP(C57,Recipes!$A$2:$N$4,10,FALSE())</f>
        <v/>
      </c>
      <c r="I57">
        <f>VLOOKUP(C57,Recipes!$A$2:$N$4,12,FALSE())</f>
        <v/>
      </c>
      <c r="J57">
        <f>IF(G57="","",H57-G57)</f>
        <v/>
      </c>
      <c r="K57">
        <f>IF(G57="","",IF(ABS(G57-H57)&lt;=$B$6*I57,"OK","NG"))</f>
        <v/>
      </c>
      <c r="L57">
        <f>IF(K57="","",IF(K57=D57,1,0))</f>
        <v/>
      </c>
      <c r="M57" t="inlineStr">
        <is>
          <t>S2</t>
        </is>
      </c>
      <c r="N57" s="15" t="n">
        <v>0.9991807223810972</v>
      </c>
      <c r="O57" s="15" t="n">
        <v>0.0008038617633763</v>
      </c>
      <c r="P57">
        <f>IF(M57="","",IF(M57=E57,1,0))</f>
        <v/>
      </c>
      <c r="Q57">
        <f>IF(K57="OK","-",IF(N57&lt;$B$7,"AMBIGUOUS","CONFIDENT"))</f>
        <v/>
      </c>
    </row>
    <row r="58">
      <c r="A58">
        <f>'Runs Z score'!A50</f>
        <v/>
      </c>
      <c r="B58">
        <f>'Runs Z score'!B50</f>
        <v/>
      </c>
      <c r="C58">
        <f>'Runs Z score'!C50</f>
        <v/>
      </c>
      <c r="D58">
        <f>'Runs Z score'!D50</f>
        <v/>
      </c>
      <c r="E58">
        <f>'Runs Z score'!E50</f>
        <v/>
      </c>
      <c r="F58">
        <f>'Runs Z score'!F50</f>
        <v/>
      </c>
      <c r="G58">
        <f>'Runs Z score'!G50</f>
        <v/>
      </c>
      <c r="H58">
        <f>VLOOKUP(C58,Recipes!$A$2:$N$4,10,FALSE())</f>
        <v/>
      </c>
      <c r="I58">
        <f>VLOOKUP(C58,Recipes!$A$2:$N$4,12,FALSE())</f>
        <v/>
      </c>
      <c r="J58">
        <f>IF(G58="","",H58-G58)</f>
        <v/>
      </c>
      <c r="K58">
        <f>IF(G58="","",IF(ABS(G58-H58)&lt;=$B$6*I58,"OK","NG"))</f>
        <v/>
      </c>
      <c r="L58">
        <f>IF(K58="","",IF(K58=D58,1,0))</f>
        <v/>
      </c>
      <c r="M58" t="inlineStr">
        <is>
          <t>S2</t>
        </is>
      </c>
      <c r="N58" s="15" t="n">
        <v>0.9989930711614676</v>
      </c>
      <c r="O58" s="15" t="n">
        <v>0.0009927130712301</v>
      </c>
      <c r="P58">
        <f>IF(M58="","",IF(M58=E58,1,0))</f>
        <v/>
      </c>
      <c r="Q58">
        <f>IF(K58="OK","-",IF(N58&lt;$B$7,"AMBIGUOUS","CONFIDENT"))</f>
        <v/>
      </c>
    </row>
    <row r="59">
      <c r="A59">
        <f>'Runs Z score'!A51</f>
        <v/>
      </c>
      <c r="B59">
        <f>'Runs Z score'!B51</f>
        <v/>
      </c>
      <c r="C59">
        <f>'Runs Z score'!C51</f>
        <v/>
      </c>
      <c r="D59">
        <f>'Runs Z score'!D51</f>
        <v/>
      </c>
      <c r="E59">
        <f>'Runs Z score'!E51</f>
        <v/>
      </c>
      <c r="F59">
        <f>'Runs Z score'!F51</f>
        <v/>
      </c>
      <c r="G59">
        <f>'Runs Z score'!G51</f>
        <v/>
      </c>
      <c r="H59">
        <f>VLOOKUP(C59,Recipes!$A$2:$N$4,10,FALSE())</f>
        <v/>
      </c>
      <c r="I59">
        <f>VLOOKUP(C59,Recipes!$A$2:$N$4,12,FALSE())</f>
        <v/>
      </c>
      <c r="J59">
        <f>IF(G59="","",H59-G59)</f>
        <v/>
      </c>
      <c r="K59">
        <f>IF(G59="","",IF(ABS(G59-H59)&lt;=$B$6*I59,"OK","NG"))</f>
        <v/>
      </c>
      <c r="L59">
        <f>IF(K59="","",IF(K59=D59,1,0))</f>
        <v/>
      </c>
      <c r="M59" t="inlineStr">
        <is>
          <t>S2</t>
        </is>
      </c>
      <c r="N59" s="15" t="n">
        <v>0.99963096966139</v>
      </c>
      <c r="O59" s="15" t="n">
        <v>0.000346833149112</v>
      </c>
      <c r="P59">
        <f>IF(M59="","",IF(M59=E59,1,0))</f>
        <v/>
      </c>
      <c r="Q59">
        <f>IF(K59="OK","-",IF(N59&lt;$B$7,"AMBIGUOUS","CONFIDENT"))</f>
        <v/>
      </c>
    </row>
    <row r="60">
      <c r="A60">
        <f>'Runs Z score'!A52</f>
        <v/>
      </c>
      <c r="B60">
        <f>'Runs Z score'!B52</f>
        <v/>
      </c>
      <c r="C60">
        <f>'Runs Z score'!C52</f>
        <v/>
      </c>
      <c r="D60">
        <f>'Runs Z score'!D52</f>
        <v/>
      </c>
      <c r="E60">
        <f>'Runs Z score'!E52</f>
        <v/>
      </c>
      <c r="F60">
        <f>'Runs Z score'!F52</f>
        <v/>
      </c>
      <c r="G60">
        <f>'Runs Z score'!G52</f>
        <v/>
      </c>
      <c r="H60">
        <f>VLOOKUP(C60,Recipes!$A$2:$N$4,10,FALSE())</f>
        <v/>
      </c>
      <c r="I60">
        <f>VLOOKUP(C60,Recipes!$A$2:$N$4,12,FALSE())</f>
        <v/>
      </c>
      <c r="J60">
        <f>IF(G60="","",H60-G60)</f>
        <v/>
      </c>
      <c r="K60">
        <f>IF(G60="","",IF(ABS(G60-H60)&lt;=$B$6*I60,"OK","NG"))</f>
        <v/>
      </c>
      <c r="L60">
        <f>IF(K60="","",IF(K60=D60,1,0))</f>
        <v/>
      </c>
      <c r="M60" t="inlineStr">
        <is>
          <t>S2</t>
        </is>
      </c>
      <c r="N60" s="15" t="n">
        <v>0.9996331606649068</v>
      </c>
      <c r="O60" s="15" t="n">
        <v>0.0003455271852586</v>
      </c>
      <c r="P60">
        <f>IF(M60="","",IF(M60=E60,1,0))</f>
        <v/>
      </c>
      <c r="Q60">
        <f>IF(K60="OK","-",IF(N60&lt;$B$7,"AMBIGUOUS","CONFIDENT"))</f>
        <v/>
      </c>
    </row>
    <row r="61">
      <c r="A61">
        <f>'Runs Z score'!A53</f>
        <v/>
      </c>
      <c r="B61">
        <f>'Runs Z score'!B53</f>
        <v/>
      </c>
      <c r="C61">
        <f>'Runs Z score'!C53</f>
        <v/>
      </c>
      <c r="D61">
        <f>'Runs Z score'!D53</f>
        <v/>
      </c>
      <c r="E61">
        <f>'Runs Z score'!E53</f>
        <v/>
      </c>
      <c r="F61">
        <f>'Runs Z score'!F53</f>
        <v/>
      </c>
      <c r="G61">
        <f>'Runs Z score'!G53</f>
        <v/>
      </c>
      <c r="H61">
        <f>VLOOKUP(C61,Recipes!$A$2:$N$4,10,FALSE())</f>
        <v/>
      </c>
      <c r="I61">
        <f>VLOOKUP(C61,Recipes!$A$2:$N$4,12,FALSE())</f>
        <v/>
      </c>
      <c r="J61">
        <f>IF(G61="","",H61-G61)</f>
        <v/>
      </c>
      <c r="K61">
        <f>IF(G61="","",IF(ABS(G61-H61)&lt;=$B$6*I61,"OK","NG"))</f>
        <v/>
      </c>
      <c r="L61">
        <f>IF(K61="","",IF(K61=D61,1,0))</f>
        <v/>
      </c>
      <c r="M61" t="inlineStr">
        <is>
          <t>S2</t>
        </is>
      </c>
      <c r="N61" s="15" t="n">
        <v>0.999954207448257</v>
      </c>
      <c r="O61" s="15" t="n">
        <v>4.073648211636972e-05</v>
      </c>
      <c r="P61">
        <f>IF(M61="","",IF(M61=E61,1,0))</f>
        <v/>
      </c>
      <c r="Q61">
        <f>IF(K61="OK","-",IF(N61&lt;$B$7,"AMBIGUOUS","CONFIDENT"))</f>
        <v/>
      </c>
    </row>
    <row r="62">
      <c r="A62">
        <f>'Runs Z score'!A54</f>
        <v/>
      </c>
      <c r="B62">
        <f>'Runs Z score'!B54</f>
        <v/>
      </c>
      <c r="C62">
        <f>'Runs Z score'!C54</f>
        <v/>
      </c>
      <c r="D62">
        <f>'Runs Z score'!D54</f>
        <v/>
      </c>
      <c r="E62">
        <f>'Runs Z score'!E54</f>
        <v/>
      </c>
      <c r="F62">
        <f>'Runs Z score'!F54</f>
        <v/>
      </c>
      <c r="G62">
        <f>'Runs Z score'!G54</f>
        <v/>
      </c>
      <c r="H62">
        <f>VLOOKUP(C62,Recipes!$A$2:$N$4,10,FALSE())</f>
        <v/>
      </c>
      <c r="I62">
        <f>VLOOKUP(C62,Recipes!$A$2:$N$4,12,FALSE())</f>
        <v/>
      </c>
      <c r="J62">
        <f>IF(G62="","",H62-G62)</f>
        <v/>
      </c>
      <c r="K62">
        <f>IF(G62="","",IF(ABS(G62-H62)&lt;=$B$6*I62,"OK","NG"))</f>
        <v/>
      </c>
      <c r="L62">
        <f>IF(K62="","",IF(K62=D62,1,0))</f>
        <v/>
      </c>
      <c r="M62" t="inlineStr">
        <is>
          <t>S2</t>
        </is>
      </c>
      <c r="N62" s="15" t="n">
        <v>0.9994564118808646</v>
      </c>
      <c r="O62" s="15" t="n">
        <v>0.000524725712366</v>
      </c>
      <c r="P62">
        <f>IF(M62="","",IF(M62=E62,1,0))</f>
        <v/>
      </c>
      <c r="Q62">
        <f>IF(K62="OK","-",IF(N62&lt;$B$7,"AMBIGUOUS","CONFIDENT"))</f>
        <v/>
      </c>
    </row>
    <row r="63">
      <c r="A63">
        <f>'Runs Z score'!A55</f>
        <v/>
      </c>
      <c r="B63">
        <f>'Runs Z score'!B55</f>
        <v/>
      </c>
      <c r="C63">
        <f>'Runs Z score'!C55</f>
        <v/>
      </c>
      <c r="D63">
        <f>'Runs Z score'!D55</f>
        <v/>
      </c>
      <c r="E63">
        <f>'Runs Z score'!E55</f>
        <v/>
      </c>
      <c r="F63">
        <f>'Runs Z score'!F55</f>
        <v/>
      </c>
      <c r="G63">
        <f>'Runs Z score'!G55</f>
        <v/>
      </c>
      <c r="H63">
        <f>VLOOKUP(C63,Recipes!$A$2:$N$4,10,FALSE())</f>
        <v/>
      </c>
      <c r="I63">
        <f>VLOOKUP(C63,Recipes!$A$2:$N$4,12,FALSE())</f>
        <v/>
      </c>
      <c r="J63">
        <f>IF(G63="","",H63-G63)</f>
        <v/>
      </c>
      <c r="K63">
        <f>IF(G63="","",IF(ABS(G63-H63)&lt;=$B$6*I63,"OK","NG"))</f>
        <v/>
      </c>
      <c r="L63">
        <f>IF(K63="","",IF(K63=D63,1,0))</f>
        <v/>
      </c>
      <c r="M63" t="inlineStr">
        <is>
          <t>S2</t>
        </is>
      </c>
      <c r="N63" s="15" t="n">
        <v>0.992855981634257</v>
      </c>
      <c r="O63" s="15" t="n">
        <v>0.007136298530618</v>
      </c>
      <c r="P63">
        <f>IF(M63="","",IF(M63=E63,1,0))</f>
        <v/>
      </c>
      <c r="Q63">
        <f>IF(K63="OK","-",IF(N63&lt;$B$7,"AMBIGUOUS","CONFIDENT"))</f>
        <v/>
      </c>
    </row>
    <row r="64">
      <c r="A64">
        <f>'Runs Z score'!A56</f>
        <v/>
      </c>
      <c r="B64">
        <f>'Runs Z score'!B56</f>
        <v/>
      </c>
      <c r="C64">
        <f>'Runs Z score'!C56</f>
        <v/>
      </c>
      <c r="D64">
        <f>'Runs Z score'!D56</f>
        <v/>
      </c>
      <c r="E64">
        <f>'Runs Z score'!E56</f>
        <v/>
      </c>
      <c r="F64">
        <f>'Runs Z score'!F56</f>
        <v/>
      </c>
      <c r="G64">
        <f>'Runs Z score'!G56</f>
        <v/>
      </c>
      <c r="H64">
        <f>VLOOKUP(C64,Recipes!$A$2:$N$4,10,FALSE())</f>
        <v/>
      </c>
      <c r="I64">
        <f>VLOOKUP(C64,Recipes!$A$2:$N$4,12,FALSE())</f>
        <v/>
      </c>
      <c r="J64">
        <f>IF(G64="","",H64-G64)</f>
        <v/>
      </c>
      <c r="K64">
        <f>IF(G64="","",IF(ABS(G64-H64)&lt;=$B$6*I64,"OK","NG"))</f>
        <v/>
      </c>
      <c r="L64">
        <f>IF(K64="","",IF(K64=D64,1,0))</f>
        <v/>
      </c>
      <c r="M64" t="inlineStr">
        <is>
          <t>S2</t>
        </is>
      </c>
      <c r="N64" s="15" t="n">
        <v>0.9996939341812444</v>
      </c>
      <c r="O64" s="15" t="n">
        <v>0.0002819855278066</v>
      </c>
      <c r="P64">
        <f>IF(M64="","",IF(M64=E64,1,0))</f>
        <v/>
      </c>
      <c r="Q64">
        <f>IF(K64="OK","-",IF(N64&lt;$B$7,"AMBIGUOUS","CONFIDENT"))</f>
        <v/>
      </c>
    </row>
    <row r="65">
      <c r="A65">
        <f>'Runs Z score'!A57</f>
        <v/>
      </c>
      <c r="B65">
        <f>'Runs Z score'!B57</f>
        <v/>
      </c>
      <c r="C65">
        <f>'Runs Z score'!C57</f>
        <v/>
      </c>
      <c r="D65">
        <f>'Runs Z score'!D57</f>
        <v/>
      </c>
      <c r="E65">
        <f>'Runs Z score'!E57</f>
        <v/>
      </c>
      <c r="F65">
        <f>'Runs Z score'!F57</f>
        <v/>
      </c>
      <c r="G65">
        <f>'Runs Z score'!G57</f>
        <v/>
      </c>
      <c r="H65">
        <f>VLOOKUP(C65,Recipes!$A$2:$N$4,10,FALSE())</f>
        <v/>
      </c>
      <c r="I65">
        <f>VLOOKUP(C65,Recipes!$A$2:$N$4,12,FALSE())</f>
        <v/>
      </c>
      <c r="J65">
        <f>IF(G65="","",H65-G65)</f>
        <v/>
      </c>
      <c r="K65">
        <f>IF(G65="","",IF(ABS(G65-H65)&lt;=$B$6*I65,"OK","NG"))</f>
        <v/>
      </c>
      <c r="L65">
        <f>IF(K65="","",IF(K65=D65,1,0))</f>
        <v/>
      </c>
      <c r="M65" t="inlineStr">
        <is>
          <t>S2</t>
        </is>
      </c>
      <c r="N65" s="15" t="n">
        <v>0.9999197251195352</v>
      </c>
      <c r="O65" s="15" t="n">
        <v>5.682913919221563e-05</v>
      </c>
      <c r="P65">
        <f>IF(M65="","",IF(M65=E65,1,0))</f>
        <v/>
      </c>
      <c r="Q65">
        <f>IF(K65="OK","-",IF(N65&lt;$B$7,"AMBIGUOUS","CONFIDENT"))</f>
        <v/>
      </c>
    </row>
    <row r="66">
      <c r="A66">
        <f>'Runs Z score'!A58</f>
        <v/>
      </c>
      <c r="B66">
        <f>'Runs Z score'!B58</f>
        <v/>
      </c>
      <c r="C66">
        <f>'Runs Z score'!C58</f>
        <v/>
      </c>
      <c r="D66">
        <f>'Runs Z score'!D58</f>
        <v/>
      </c>
      <c r="E66">
        <f>'Runs Z score'!E58</f>
        <v/>
      </c>
      <c r="F66">
        <f>'Runs Z score'!F58</f>
        <v/>
      </c>
      <c r="G66">
        <f>'Runs Z score'!G58</f>
        <v/>
      </c>
      <c r="H66">
        <f>VLOOKUP(C66,Recipes!$A$2:$N$4,10,FALSE())</f>
        <v/>
      </c>
      <c r="I66">
        <f>VLOOKUP(C66,Recipes!$A$2:$N$4,12,FALSE())</f>
        <v/>
      </c>
      <c r="J66">
        <f>IF(G66="","",H66-G66)</f>
        <v/>
      </c>
      <c r="K66">
        <f>IF(G66="","",IF(ABS(G66-H66)&lt;=$B$6*I66,"OK","NG"))</f>
        <v/>
      </c>
      <c r="L66">
        <f>IF(K66="","",IF(K66=D66,1,0))</f>
        <v/>
      </c>
      <c r="M66" t="inlineStr">
        <is>
          <t>S2</t>
        </is>
      </c>
      <c r="N66" s="15" t="n">
        <v>0.9995767259355288</v>
      </c>
      <c r="O66" s="15" t="n">
        <v>0.0004023703535085</v>
      </c>
      <c r="P66">
        <f>IF(M66="","",IF(M66=E66,1,0))</f>
        <v/>
      </c>
      <c r="Q66">
        <f>IF(K66="OK","-",IF(N66&lt;$B$7,"AMBIGUOUS","CONFIDENT"))</f>
        <v/>
      </c>
    </row>
    <row r="67">
      <c r="A67">
        <f>'Runs Z score'!A59</f>
        <v/>
      </c>
      <c r="B67">
        <f>'Runs Z score'!B59</f>
        <v/>
      </c>
      <c r="C67">
        <f>'Runs Z score'!C59</f>
        <v/>
      </c>
      <c r="D67">
        <f>'Runs Z score'!D59</f>
        <v/>
      </c>
      <c r="E67">
        <f>'Runs Z score'!E59</f>
        <v/>
      </c>
      <c r="F67">
        <f>'Runs Z score'!F59</f>
        <v/>
      </c>
      <c r="G67">
        <f>'Runs Z score'!G59</f>
        <v/>
      </c>
      <c r="H67">
        <f>VLOOKUP(C67,Recipes!$A$2:$N$4,10,FALSE())</f>
        <v/>
      </c>
      <c r="I67">
        <f>VLOOKUP(C67,Recipes!$A$2:$N$4,12,FALSE())</f>
        <v/>
      </c>
      <c r="J67">
        <f>IF(G67="","",H67-G67)</f>
        <v/>
      </c>
      <c r="K67">
        <f>IF(G67="","",IF(ABS(G67-H67)&lt;=$B$6*I67,"OK","NG"))</f>
        <v/>
      </c>
      <c r="L67">
        <f>IF(K67="","",IF(K67=D67,1,0))</f>
        <v/>
      </c>
      <c r="M67" t="inlineStr">
        <is>
          <t>S2</t>
        </is>
      </c>
      <c r="N67" s="15" t="n">
        <v>0.9990786000032365</v>
      </c>
      <c r="O67" s="15" t="n">
        <v>0.0009063187392184</v>
      </c>
      <c r="P67">
        <f>IF(M67="","",IF(M67=E67,1,0))</f>
        <v/>
      </c>
      <c r="Q67">
        <f>IF(K67="OK","-",IF(N67&lt;$B$7,"AMBIGUOUS","CONFIDENT"))</f>
        <v/>
      </c>
    </row>
    <row r="68">
      <c r="A68">
        <f>'Runs Z score'!A60</f>
        <v/>
      </c>
      <c r="B68">
        <f>'Runs Z score'!B60</f>
        <v/>
      </c>
      <c r="C68">
        <f>'Runs Z score'!C60</f>
        <v/>
      </c>
      <c r="D68">
        <f>'Runs Z score'!D60</f>
        <v/>
      </c>
      <c r="E68">
        <f>'Runs Z score'!E60</f>
        <v/>
      </c>
      <c r="F68">
        <f>'Runs Z score'!F60</f>
        <v/>
      </c>
      <c r="G68">
        <f>'Runs Z score'!G60</f>
        <v/>
      </c>
      <c r="H68">
        <f>VLOOKUP(C68,Recipes!$A$2:$N$4,10,FALSE())</f>
        <v/>
      </c>
      <c r="I68">
        <f>VLOOKUP(C68,Recipes!$A$2:$N$4,12,FALSE())</f>
        <v/>
      </c>
      <c r="J68">
        <f>IF(G68="","",H68-G68)</f>
        <v/>
      </c>
      <c r="K68">
        <f>IF(G68="","",IF(ABS(G68-H68)&lt;=$B$6*I68,"OK","NG"))</f>
        <v/>
      </c>
      <c r="L68">
        <f>IF(K68="","",IF(K68=D68,1,0))</f>
        <v/>
      </c>
      <c r="M68" t="inlineStr">
        <is>
          <t>S2</t>
        </is>
      </c>
      <c r="N68" s="15" t="n">
        <v>0.9994267001360674</v>
      </c>
      <c r="O68" s="15" t="n">
        <v>0.0005536937594369</v>
      </c>
      <c r="P68">
        <f>IF(M68="","",IF(M68=E68,1,0))</f>
        <v/>
      </c>
      <c r="Q68">
        <f>IF(K68="OK","-",IF(N68&lt;$B$7,"AMBIGUOUS","CONFIDENT"))</f>
        <v/>
      </c>
    </row>
    <row r="69">
      <c r="A69">
        <f>'Runs Z score'!A61</f>
        <v/>
      </c>
      <c r="B69">
        <f>'Runs Z score'!B61</f>
        <v/>
      </c>
      <c r="C69">
        <f>'Runs Z score'!C61</f>
        <v/>
      </c>
      <c r="D69">
        <f>'Runs Z score'!D61</f>
        <v/>
      </c>
      <c r="E69">
        <f>'Runs Z score'!E61</f>
        <v/>
      </c>
      <c r="F69">
        <f>'Runs Z score'!F61</f>
        <v/>
      </c>
      <c r="G69">
        <f>'Runs Z score'!G61</f>
        <v/>
      </c>
      <c r="H69">
        <f>VLOOKUP(C69,Recipes!$A$2:$N$4,10,FALSE())</f>
        <v/>
      </c>
      <c r="I69">
        <f>VLOOKUP(C69,Recipes!$A$2:$N$4,12,FALSE())</f>
        <v/>
      </c>
      <c r="J69">
        <f>IF(G69="","",H69-G69)</f>
        <v/>
      </c>
      <c r="K69">
        <f>IF(G69="","",IF(ABS(G69-H69)&lt;=$B$6*I69,"OK","NG"))</f>
        <v/>
      </c>
      <c r="L69">
        <f>IF(K69="","",IF(K69=D69,1,0))</f>
        <v/>
      </c>
      <c r="M69" t="inlineStr">
        <is>
          <t>W2</t>
        </is>
      </c>
      <c r="N69" s="15" t="n">
        <v>0.9997258720436356</v>
      </c>
      <c r="O69" s="15" t="n">
        <v>0.0002741278498234</v>
      </c>
      <c r="P69">
        <f>IF(M69="","",IF(M69=E69,1,0))</f>
        <v/>
      </c>
      <c r="Q69">
        <f>IF(K69="OK","-",IF(N69&lt;$B$7,"AMBIGUOUS","CONFIDENT"))</f>
        <v/>
      </c>
    </row>
    <row r="70">
      <c r="A70">
        <f>'Runs Z score'!A62</f>
        <v/>
      </c>
      <c r="B70">
        <f>'Runs Z score'!B62</f>
        <v/>
      </c>
      <c r="C70">
        <f>'Runs Z score'!C62</f>
        <v/>
      </c>
      <c r="D70">
        <f>'Runs Z score'!D62</f>
        <v/>
      </c>
      <c r="E70">
        <f>'Runs Z score'!E62</f>
        <v/>
      </c>
      <c r="F70">
        <f>'Runs Z score'!F62</f>
        <v/>
      </c>
      <c r="G70">
        <f>'Runs Z score'!G62</f>
        <v/>
      </c>
      <c r="H70">
        <f>VLOOKUP(C70,Recipes!$A$2:$N$4,10,FALSE())</f>
        <v/>
      </c>
      <c r="I70">
        <f>VLOOKUP(C70,Recipes!$A$2:$N$4,12,FALSE())</f>
        <v/>
      </c>
      <c r="J70">
        <f>IF(G70="","",H70-G70)</f>
        <v/>
      </c>
      <c r="K70">
        <f>IF(G70="","",IF(ABS(G70-H70)&lt;=$B$6*I70,"OK","NG"))</f>
        <v/>
      </c>
      <c r="L70">
        <f>IF(K70="","",IF(K70=D70,1,0))</f>
        <v/>
      </c>
      <c r="M70" t="inlineStr">
        <is>
          <t>S2</t>
        </is>
      </c>
      <c r="N70" s="15" t="n">
        <v>0.993124558444739</v>
      </c>
      <c r="O70" s="15" t="n">
        <v>0.0068688050772268</v>
      </c>
      <c r="P70">
        <f>IF(M70="","",IF(M70=E70,1,0))</f>
        <v/>
      </c>
      <c r="Q70">
        <f>IF(K70="OK","-",IF(N70&lt;$B$7,"AMBIGUOUS","CONFIDENT"))</f>
        <v/>
      </c>
    </row>
    <row r="71">
      <c r="A71">
        <f>'Runs Z score'!A63</f>
        <v/>
      </c>
      <c r="B71">
        <f>'Runs Z score'!B63</f>
        <v/>
      </c>
      <c r="C71">
        <f>'Runs Z score'!C63</f>
        <v/>
      </c>
      <c r="D71">
        <f>'Runs Z score'!D63</f>
        <v/>
      </c>
      <c r="E71">
        <f>'Runs Z score'!E63</f>
        <v/>
      </c>
      <c r="F71">
        <f>'Runs Z score'!F63</f>
        <v/>
      </c>
      <c r="G71">
        <f>'Runs Z score'!G63</f>
        <v/>
      </c>
      <c r="H71">
        <f>VLOOKUP(C71,Recipes!$A$2:$N$4,10,FALSE())</f>
        <v/>
      </c>
      <c r="I71">
        <f>VLOOKUP(C71,Recipes!$A$2:$N$4,12,FALSE())</f>
        <v/>
      </c>
      <c r="J71">
        <f>IF(G71="","",H71-G71)</f>
        <v/>
      </c>
      <c r="K71">
        <f>IF(G71="","",IF(ABS(G71-H71)&lt;=$B$6*I71,"OK","NG"))</f>
        <v/>
      </c>
      <c r="L71">
        <f>IF(K71="","",IF(K71=D71,1,0))</f>
        <v/>
      </c>
      <c r="M71" t="inlineStr">
        <is>
          <t>W2</t>
        </is>
      </c>
      <c r="N71" s="15" t="n">
        <v>0.9617111023978498</v>
      </c>
      <c r="O71" s="15" t="n">
        <v>0.0382888863632552</v>
      </c>
      <c r="P71">
        <f>IF(M71="","",IF(M71=E71,1,0))</f>
        <v/>
      </c>
      <c r="Q71">
        <f>IF(K71="OK","-",IF(N71&lt;$B$7,"AMBIGUOUS","CONFIDENT"))</f>
        <v/>
      </c>
    </row>
    <row r="72">
      <c r="A72">
        <f>'Runs Z score'!A64</f>
        <v/>
      </c>
      <c r="B72">
        <f>'Runs Z score'!B64</f>
        <v/>
      </c>
      <c r="C72">
        <f>'Runs Z score'!C64</f>
        <v/>
      </c>
      <c r="D72">
        <f>'Runs Z score'!D64</f>
        <v/>
      </c>
      <c r="E72">
        <f>'Runs Z score'!E64</f>
        <v/>
      </c>
      <c r="F72">
        <f>'Runs Z score'!F64</f>
        <v/>
      </c>
      <c r="G72">
        <f>'Runs Z score'!G64</f>
        <v/>
      </c>
      <c r="H72">
        <f>VLOOKUP(C72,Recipes!$A$2:$N$4,10,FALSE())</f>
        <v/>
      </c>
      <c r="I72">
        <f>VLOOKUP(C72,Recipes!$A$2:$N$4,12,FALSE())</f>
        <v/>
      </c>
      <c r="J72">
        <f>IF(G72="","",H72-G72)</f>
        <v/>
      </c>
      <c r="K72">
        <f>IF(G72="","",IF(ABS(G72-H72)&lt;=$B$6*I72,"OK","NG"))</f>
        <v/>
      </c>
      <c r="L72">
        <f>IF(K72="","",IF(K72=D72,1,0))</f>
        <v/>
      </c>
      <c r="M72" t="inlineStr">
        <is>
          <t>W2</t>
        </is>
      </c>
      <c r="N72" s="15" t="n">
        <v>0.8973049309087036</v>
      </c>
      <c r="O72" s="15" t="n">
        <v>0.1026950239286115</v>
      </c>
      <c r="P72">
        <f>IF(M72="","",IF(M72=E72,1,0))</f>
        <v/>
      </c>
      <c r="Q72">
        <f>IF(K72="OK","-",IF(N72&lt;$B$7,"AMBIGUOUS","CONFIDENT"))</f>
        <v/>
      </c>
    </row>
    <row r="73">
      <c r="A73">
        <f>'Runs Z score'!A65</f>
        <v/>
      </c>
      <c r="B73">
        <f>'Runs Z score'!B65</f>
        <v/>
      </c>
      <c r="C73">
        <f>'Runs Z score'!C65</f>
        <v/>
      </c>
      <c r="D73">
        <f>'Runs Z score'!D65</f>
        <v/>
      </c>
      <c r="E73">
        <f>'Runs Z score'!E65</f>
        <v/>
      </c>
      <c r="F73">
        <f>'Runs Z score'!F65</f>
        <v/>
      </c>
      <c r="G73">
        <f>'Runs Z score'!G65</f>
        <v/>
      </c>
      <c r="H73">
        <f>VLOOKUP(C73,Recipes!$A$2:$N$4,10,FALSE())</f>
        <v/>
      </c>
      <c r="I73">
        <f>VLOOKUP(C73,Recipes!$A$2:$N$4,12,FALSE())</f>
        <v/>
      </c>
      <c r="J73">
        <f>IF(G73="","",H73-G73)</f>
        <v/>
      </c>
      <c r="K73">
        <f>IF(G73="","",IF(ABS(G73-H73)&lt;=$B$6*I73,"OK","NG"))</f>
        <v/>
      </c>
      <c r="L73">
        <f>IF(K73="","",IF(K73=D73,1,0))</f>
        <v/>
      </c>
      <c r="M73" t="inlineStr">
        <is>
          <t>W2</t>
        </is>
      </c>
      <c r="N73" s="15" t="n">
        <v>0.999452880422534</v>
      </c>
      <c r="O73" s="15" t="n">
        <v>0.0005471193285113</v>
      </c>
      <c r="P73">
        <f>IF(M73="","",IF(M73=E73,1,0))</f>
        <v/>
      </c>
      <c r="Q73">
        <f>IF(K73="OK","-",IF(N73&lt;$B$7,"AMBIGUOUS","CONFIDENT"))</f>
        <v/>
      </c>
    </row>
    <row r="74">
      <c r="A74">
        <f>'Runs Z score'!A66</f>
        <v/>
      </c>
      <c r="B74">
        <f>'Runs Z score'!B66</f>
        <v/>
      </c>
      <c r="C74">
        <f>'Runs Z score'!C66</f>
        <v/>
      </c>
      <c r="D74">
        <f>'Runs Z score'!D66</f>
        <v/>
      </c>
      <c r="E74">
        <f>'Runs Z score'!E66</f>
        <v/>
      </c>
      <c r="F74">
        <f>'Runs Z score'!F66</f>
        <v/>
      </c>
      <c r="G74">
        <f>'Runs Z score'!G66</f>
        <v/>
      </c>
      <c r="H74">
        <f>VLOOKUP(C74,Recipes!$A$2:$N$4,10,FALSE())</f>
        <v/>
      </c>
      <c r="I74">
        <f>VLOOKUP(C74,Recipes!$A$2:$N$4,12,FALSE())</f>
        <v/>
      </c>
      <c r="J74">
        <f>IF(G74="","",H74-G74)</f>
        <v/>
      </c>
      <c r="K74">
        <f>IF(G74="","",IF(ABS(G74-H74)&lt;=$B$6*I74,"OK","NG"))</f>
        <v/>
      </c>
      <c r="L74">
        <f>IF(K74="","",IF(K74=D74,1,0))</f>
        <v/>
      </c>
      <c r="M74" t="inlineStr">
        <is>
          <t>W2</t>
        </is>
      </c>
      <c r="N74" s="15" t="n">
        <v>0.9428663382156648</v>
      </c>
      <c r="O74" s="15" t="n">
        <v>0.0571336432784541</v>
      </c>
      <c r="P74">
        <f>IF(M74="","",IF(M74=E74,1,0))</f>
        <v/>
      </c>
      <c r="Q74">
        <f>IF(K74="OK","-",IF(N74&lt;$B$7,"AMBIGUOUS","CONFIDENT"))</f>
        <v/>
      </c>
    </row>
    <row r="75">
      <c r="A75">
        <f>'Runs Z score'!A67</f>
        <v/>
      </c>
      <c r="B75">
        <f>'Runs Z score'!B67</f>
        <v/>
      </c>
      <c r="C75">
        <f>'Runs Z score'!C67</f>
        <v/>
      </c>
      <c r="D75">
        <f>'Runs Z score'!D67</f>
        <v/>
      </c>
      <c r="E75">
        <f>'Runs Z score'!E67</f>
        <v/>
      </c>
      <c r="F75">
        <f>'Runs Z score'!F67</f>
        <v/>
      </c>
      <c r="G75">
        <f>'Runs Z score'!G67</f>
        <v/>
      </c>
      <c r="H75">
        <f>VLOOKUP(C75,Recipes!$A$2:$N$4,10,FALSE())</f>
        <v/>
      </c>
      <c r="I75">
        <f>VLOOKUP(C75,Recipes!$A$2:$N$4,12,FALSE())</f>
        <v/>
      </c>
      <c r="J75">
        <f>IF(G75="","",H75-G75)</f>
        <v/>
      </c>
      <c r="K75">
        <f>IF(G75="","",IF(ABS(G75-H75)&lt;=$B$6*I75,"OK","NG"))</f>
        <v/>
      </c>
      <c r="L75">
        <f>IF(K75="","",IF(K75=D75,1,0))</f>
        <v/>
      </c>
      <c r="M75" t="inlineStr">
        <is>
          <t>W2</t>
        </is>
      </c>
      <c r="N75" s="15" t="n">
        <v>0.9447252854751772</v>
      </c>
      <c r="O75" s="15" t="n">
        <v>0.0552746957302281</v>
      </c>
      <c r="P75">
        <f>IF(M75="","",IF(M75=E75,1,0))</f>
        <v/>
      </c>
      <c r="Q75">
        <f>IF(K75="OK","-",IF(N75&lt;$B$7,"AMBIGUOUS","CONFIDENT"))</f>
        <v/>
      </c>
    </row>
    <row r="76">
      <c r="A76">
        <f>'Runs Z score'!A68</f>
        <v/>
      </c>
      <c r="B76">
        <f>'Runs Z score'!B68</f>
        <v/>
      </c>
      <c r="C76">
        <f>'Runs Z score'!C68</f>
        <v/>
      </c>
      <c r="D76">
        <f>'Runs Z score'!D68</f>
        <v/>
      </c>
      <c r="E76">
        <f>'Runs Z score'!E68</f>
        <v/>
      </c>
      <c r="F76">
        <f>'Runs Z score'!F68</f>
        <v/>
      </c>
      <c r="G76">
        <f>'Runs Z score'!G68</f>
        <v/>
      </c>
      <c r="H76">
        <f>VLOOKUP(C76,Recipes!$A$2:$N$4,10,FALSE())</f>
        <v/>
      </c>
      <c r="I76">
        <f>VLOOKUP(C76,Recipes!$A$2:$N$4,12,FALSE())</f>
        <v/>
      </c>
      <c r="J76">
        <f>IF(G76="","",H76-G76)</f>
        <v/>
      </c>
      <c r="K76">
        <f>IF(G76="","",IF(ABS(G76-H76)&lt;=$B$6*I76,"OK","NG"))</f>
        <v/>
      </c>
      <c r="L76">
        <f>IF(K76="","",IF(K76=D76,1,0))</f>
        <v/>
      </c>
      <c r="M76" t="inlineStr">
        <is>
          <t>W2</t>
        </is>
      </c>
      <c r="N76" s="15" t="n">
        <v>0.9396413727342556</v>
      </c>
      <c r="O76" s="15" t="n">
        <v>0.060358609033585</v>
      </c>
      <c r="P76">
        <f>IF(M76="","",IF(M76=E76,1,0))</f>
        <v/>
      </c>
      <c r="Q76">
        <f>IF(K76="OK","-",IF(N76&lt;$B$7,"AMBIGUOUS","CONFIDENT"))</f>
        <v/>
      </c>
    </row>
    <row r="77">
      <c r="A77">
        <f>'Runs Z score'!A69</f>
        <v/>
      </c>
      <c r="B77">
        <f>'Runs Z score'!B69</f>
        <v/>
      </c>
      <c r="C77">
        <f>'Runs Z score'!C69</f>
        <v/>
      </c>
      <c r="D77">
        <f>'Runs Z score'!D69</f>
        <v/>
      </c>
      <c r="E77">
        <f>'Runs Z score'!E69</f>
        <v/>
      </c>
      <c r="F77">
        <f>'Runs Z score'!F69</f>
        <v/>
      </c>
      <c r="G77">
        <f>'Runs Z score'!G69</f>
        <v/>
      </c>
      <c r="H77">
        <f>VLOOKUP(C77,Recipes!$A$2:$N$4,10,FALSE())</f>
        <v/>
      </c>
      <c r="I77">
        <f>VLOOKUP(C77,Recipes!$A$2:$N$4,12,FALSE())</f>
        <v/>
      </c>
      <c r="J77">
        <f>IF(G77="","",H77-G77)</f>
        <v/>
      </c>
      <c r="K77">
        <f>IF(G77="","",IF(ABS(G77-H77)&lt;=$B$6*I77,"OK","NG"))</f>
        <v/>
      </c>
      <c r="L77">
        <f>IF(K77="","",IF(K77=D77,1,0))</f>
        <v/>
      </c>
      <c r="M77" t="inlineStr">
        <is>
          <t>W2</t>
        </is>
      </c>
      <c r="N77" s="15" t="n">
        <v>0.9984580359084196</v>
      </c>
      <c r="O77" s="15" t="n">
        <v>0.0015419632027159</v>
      </c>
      <c r="P77">
        <f>IF(M77="","",IF(M77=E77,1,0))</f>
        <v/>
      </c>
      <c r="Q77">
        <f>IF(K77="OK","-",IF(N77&lt;$B$7,"AMBIGUOUS","CONFIDENT"))</f>
        <v/>
      </c>
    </row>
    <row r="78">
      <c r="A78">
        <f>'Runs Z score'!A70</f>
        <v/>
      </c>
      <c r="B78">
        <f>'Runs Z score'!B70</f>
        <v/>
      </c>
      <c r="C78">
        <f>'Runs Z score'!C70</f>
        <v/>
      </c>
      <c r="D78">
        <f>'Runs Z score'!D70</f>
        <v/>
      </c>
      <c r="E78">
        <f>'Runs Z score'!E70</f>
        <v/>
      </c>
      <c r="F78">
        <f>'Runs Z score'!F70</f>
        <v/>
      </c>
      <c r="G78">
        <f>'Runs Z score'!G70</f>
        <v/>
      </c>
      <c r="H78">
        <f>VLOOKUP(C78,Recipes!$A$2:$N$4,10,FALSE())</f>
        <v/>
      </c>
      <c r="I78">
        <f>VLOOKUP(C78,Recipes!$A$2:$N$4,12,FALSE())</f>
        <v/>
      </c>
      <c r="J78">
        <f>IF(G78="","",H78-G78)</f>
        <v/>
      </c>
      <c r="K78">
        <f>IF(G78="","",IF(ABS(G78-H78)&lt;=$B$6*I78,"OK","NG"))</f>
        <v/>
      </c>
      <c r="L78">
        <f>IF(K78="","",IF(K78=D78,1,0))</f>
        <v/>
      </c>
      <c r="M78" t="inlineStr">
        <is>
          <t>W2</t>
        </is>
      </c>
      <c r="N78" s="15" t="n">
        <v>0.9501843413627764</v>
      </c>
      <c r="O78" s="15" t="n">
        <v>0.0498156447672838</v>
      </c>
      <c r="P78">
        <f>IF(M78="","",IF(M78=E78,1,0))</f>
        <v/>
      </c>
      <c r="Q78">
        <f>IF(K78="OK","-",IF(N78&lt;$B$7,"AMBIGUOUS","CONFIDENT"))</f>
        <v/>
      </c>
    </row>
    <row r="79">
      <c r="A79">
        <f>'Runs Z score'!A71</f>
        <v/>
      </c>
      <c r="B79">
        <f>'Runs Z score'!B71</f>
        <v/>
      </c>
      <c r="C79">
        <f>'Runs Z score'!C71</f>
        <v/>
      </c>
      <c r="D79">
        <f>'Runs Z score'!D71</f>
        <v/>
      </c>
      <c r="E79">
        <f>'Runs Z score'!E71</f>
        <v/>
      </c>
      <c r="F79">
        <f>'Runs Z score'!F71</f>
        <v/>
      </c>
      <c r="G79">
        <f>'Runs Z score'!G71</f>
        <v/>
      </c>
      <c r="H79">
        <f>VLOOKUP(C79,Recipes!$A$2:$N$4,10,FALSE())</f>
        <v/>
      </c>
      <c r="I79">
        <f>VLOOKUP(C79,Recipes!$A$2:$N$4,12,FALSE())</f>
        <v/>
      </c>
      <c r="J79">
        <f>IF(G79="","",H79-G79)</f>
        <v/>
      </c>
      <c r="K79">
        <f>IF(G79="","",IF(ABS(G79-H79)&lt;=$B$6*I79,"OK","NG"))</f>
        <v/>
      </c>
      <c r="L79">
        <f>IF(K79="","",IF(K79=D79,1,0))</f>
        <v/>
      </c>
      <c r="M79" t="inlineStr">
        <is>
          <t>W2</t>
        </is>
      </c>
      <c r="N79" s="15" t="n">
        <v>0.975041313680306</v>
      </c>
      <c r="O79" s="15" t="n">
        <v>0.0249586801844478</v>
      </c>
      <c r="P79">
        <f>IF(M79="","",IF(M79=E79,1,0))</f>
        <v/>
      </c>
      <c r="Q79">
        <f>IF(K79="OK","-",IF(N79&lt;$B$7,"AMBIGUOUS","CONFIDENT"))</f>
        <v/>
      </c>
    </row>
    <row r="80">
      <c r="A80">
        <f>'Runs Z score'!A72</f>
        <v/>
      </c>
      <c r="B80">
        <f>'Runs Z score'!B72</f>
        <v/>
      </c>
      <c r="C80">
        <f>'Runs Z score'!C72</f>
        <v/>
      </c>
      <c r="D80">
        <f>'Runs Z score'!D72</f>
        <v/>
      </c>
      <c r="E80">
        <f>'Runs Z score'!E72</f>
        <v/>
      </c>
      <c r="F80">
        <f>'Runs Z score'!F72</f>
        <v/>
      </c>
      <c r="G80">
        <f>'Runs Z score'!G72</f>
        <v/>
      </c>
      <c r="H80">
        <f>VLOOKUP(C80,Recipes!$A$2:$N$4,10,FALSE())</f>
        <v/>
      </c>
      <c r="I80">
        <f>VLOOKUP(C80,Recipes!$A$2:$N$4,12,FALSE())</f>
        <v/>
      </c>
      <c r="J80">
        <f>IF(G80="","",H80-G80)</f>
        <v/>
      </c>
      <c r="K80">
        <f>IF(G80="","",IF(ABS(G80-H80)&lt;=$B$6*I80,"OK","NG"))</f>
        <v/>
      </c>
      <c r="L80">
        <f>IF(K80="","",IF(K80=D80,1,0))</f>
        <v/>
      </c>
      <c r="M80" t="inlineStr">
        <is>
          <t>W2</t>
        </is>
      </c>
      <c r="N80" s="15" t="n">
        <v>0.9789350716090476</v>
      </c>
      <c r="O80" s="15" t="n">
        <v>0.0210649238467637</v>
      </c>
      <c r="P80">
        <f>IF(M80="","",IF(M80=E80,1,0))</f>
        <v/>
      </c>
      <c r="Q80">
        <f>IF(K80="OK","-",IF(N80&lt;$B$7,"AMBIGUOUS","CONFIDENT"))</f>
        <v/>
      </c>
    </row>
    <row r="81">
      <c r="A81">
        <f>'Runs Z score'!A73</f>
        <v/>
      </c>
      <c r="B81">
        <f>'Runs Z score'!B73</f>
        <v/>
      </c>
      <c r="C81">
        <f>'Runs Z score'!C73</f>
        <v/>
      </c>
      <c r="D81">
        <f>'Runs Z score'!D73</f>
        <v/>
      </c>
      <c r="E81">
        <f>'Runs Z score'!E73</f>
        <v/>
      </c>
      <c r="F81">
        <f>'Runs Z score'!F73</f>
        <v/>
      </c>
      <c r="G81">
        <f>'Runs Z score'!G73</f>
        <v/>
      </c>
      <c r="H81">
        <f>VLOOKUP(C81,Recipes!$A$2:$N$4,10,FALSE())</f>
        <v/>
      </c>
      <c r="I81">
        <f>VLOOKUP(C81,Recipes!$A$2:$N$4,12,FALSE())</f>
        <v/>
      </c>
      <c r="J81">
        <f>IF(G81="","",H81-G81)</f>
        <v/>
      </c>
      <c r="K81">
        <f>IF(G81="","",IF(ABS(G81-H81)&lt;=$B$6*I81,"OK","NG"))</f>
        <v/>
      </c>
      <c r="L81">
        <f>IF(K81="","",IF(K81=D81,1,0))</f>
        <v/>
      </c>
      <c r="M81" t="inlineStr">
        <is>
          <t>W2</t>
        </is>
      </c>
      <c r="N81" s="15" t="n">
        <v>0.98280698129632</v>
      </c>
      <c r="O81" s="15" t="n">
        <v>0.0171930152843172</v>
      </c>
      <c r="P81">
        <f>IF(M81="","",IF(M81=E81,1,0))</f>
        <v/>
      </c>
      <c r="Q81">
        <f>IF(K81="OK","-",IF(N81&lt;$B$7,"AMBIGUOUS","CONFIDENT"))</f>
        <v/>
      </c>
    </row>
    <row r="82">
      <c r="A82">
        <f>'Runs Z score'!A74</f>
        <v/>
      </c>
      <c r="B82">
        <f>'Runs Z score'!B74</f>
        <v/>
      </c>
      <c r="C82">
        <f>'Runs Z score'!C74</f>
        <v/>
      </c>
      <c r="D82">
        <f>'Runs Z score'!D74</f>
        <v/>
      </c>
      <c r="E82">
        <f>'Runs Z score'!E74</f>
        <v/>
      </c>
      <c r="F82">
        <f>'Runs Z score'!F74</f>
        <v/>
      </c>
      <c r="G82">
        <f>'Runs Z score'!G74</f>
        <v/>
      </c>
      <c r="H82">
        <f>VLOOKUP(C82,Recipes!$A$2:$N$4,10,FALSE())</f>
        <v/>
      </c>
      <c r="I82">
        <f>VLOOKUP(C82,Recipes!$A$2:$N$4,12,FALSE())</f>
        <v/>
      </c>
      <c r="J82">
        <f>IF(G82="","",H82-G82)</f>
        <v/>
      </c>
      <c r="K82">
        <f>IF(G82="","",IF(ABS(G82-H82)&lt;=$B$6*I82,"OK","NG"))</f>
        <v/>
      </c>
      <c r="L82">
        <f>IF(K82="","",IF(K82=D82,1,0))</f>
        <v/>
      </c>
      <c r="M82" t="inlineStr">
        <is>
          <t>W2</t>
        </is>
      </c>
      <c r="N82" s="15" t="n">
        <v>0.9996127323304032</v>
      </c>
      <c r="O82" s="15" t="n">
        <v>0.0003872675067393</v>
      </c>
      <c r="P82">
        <f>IF(M82="","",IF(M82=E82,1,0))</f>
        <v/>
      </c>
      <c r="Q82">
        <f>IF(K82="OK","-",IF(N82&lt;$B$7,"AMBIGUOUS","CONFIDENT"))</f>
        <v/>
      </c>
    </row>
    <row r="83">
      <c r="A83">
        <f>'Runs Z score'!A75</f>
        <v/>
      </c>
      <c r="B83">
        <f>'Runs Z score'!B75</f>
        <v/>
      </c>
      <c r="C83">
        <f>'Runs Z score'!C75</f>
        <v/>
      </c>
      <c r="D83">
        <f>'Runs Z score'!D75</f>
        <v/>
      </c>
      <c r="E83">
        <f>'Runs Z score'!E75</f>
        <v/>
      </c>
      <c r="F83">
        <f>'Runs Z score'!F75</f>
        <v/>
      </c>
      <c r="G83">
        <f>'Runs Z score'!G75</f>
        <v/>
      </c>
      <c r="H83">
        <f>VLOOKUP(C83,Recipes!$A$2:$N$4,10,FALSE())</f>
        <v/>
      </c>
      <c r="I83">
        <f>VLOOKUP(C83,Recipes!$A$2:$N$4,12,FALSE())</f>
        <v/>
      </c>
      <c r="J83">
        <f>IF(G83="","",H83-G83)</f>
        <v/>
      </c>
      <c r="K83">
        <f>IF(G83="","",IF(ABS(G83-H83)&lt;=$B$6*I83,"OK","NG"))</f>
        <v/>
      </c>
      <c r="L83">
        <f>IF(K83="","",IF(K83=D83,1,0))</f>
        <v/>
      </c>
      <c r="M83" t="inlineStr">
        <is>
          <t>W2</t>
        </is>
      </c>
      <c r="N83" s="15" t="n">
        <v>0.9796059238231872</v>
      </c>
      <c r="O83" s="15" t="n">
        <v>0.0203940715541753</v>
      </c>
      <c r="P83">
        <f>IF(M83="","",IF(M83=E83,1,0))</f>
        <v/>
      </c>
      <c r="Q83">
        <f>IF(K83="OK","-",IF(N83&lt;$B$7,"AMBIGUOUS","CONFIDENT"))</f>
        <v/>
      </c>
    </row>
    <row r="84">
      <c r="A84">
        <f>'Runs Z score'!A76</f>
        <v/>
      </c>
      <c r="B84">
        <f>'Runs Z score'!B76</f>
        <v/>
      </c>
      <c r="C84">
        <f>'Runs Z score'!C76</f>
        <v/>
      </c>
      <c r="D84">
        <f>'Runs Z score'!D76</f>
        <v/>
      </c>
      <c r="E84">
        <f>'Runs Z score'!E76</f>
        <v/>
      </c>
      <c r="F84">
        <f>'Runs Z score'!F76</f>
        <v/>
      </c>
      <c r="G84">
        <f>'Runs Z score'!G76</f>
        <v/>
      </c>
      <c r="H84">
        <f>VLOOKUP(C84,Recipes!$A$2:$N$4,10,FALSE())</f>
        <v/>
      </c>
      <c r="I84">
        <f>VLOOKUP(C84,Recipes!$A$2:$N$4,12,FALSE())</f>
        <v/>
      </c>
      <c r="J84">
        <f>IF(G84="","",H84-G84)</f>
        <v/>
      </c>
      <c r="K84">
        <f>IF(G84="","",IF(ABS(G84-H84)&lt;=$B$6*I84,"OK","NG"))</f>
        <v/>
      </c>
      <c r="L84">
        <f>IF(K84="","",IF(K84=D84,1,0))</f>
        <v/>
      </c>
      <c r="M84" t="inlineStr">
        <is>
          <t>W2</t>
        </is>
      </c>
      <c r="N84" s="15" t="n">
        <v>0.9831766173238778</v>
      </c>
      <c r="O84" s="15" t="n">
        <v>0.0168233791025846</v>
      </c>
      <c r="P84">
        <f>IF(M84="","",IF(M84=E84,1,0))</f>
        <v/>
      </c>
      <c r="Q84">
        <f>IF(K84="OK","-",IF(N84&lt;$B$7,"AMBIGUOUS","CONFIDENT"))</f>
        <v/>
      </c>
    </row>
    <row r="85">
      <c r="A85">
        <f>'Runs Z score'!A77</f>
        <v/>
      </c>
      <c r="B85">
        <f>'Runs Z score'!B77</f>
        <v/>
      </c>
      <c r="C85">
        <f>'Runs Z score'!C77</f>
        <v/>
      </c>
      <c r="D85">
        <f>'Runs Z score'!D77</f>
        <v/>
      </c>
      <c r="E85">
        <f>'Runs Z score'!E77</f>
        <v/>
      </c>
      <c r="F85">
        <f>'Runs Z score'!F77</f>
        <v/>
      </c>
      <c r="G85">
        <f>'Runs Z score'!G77</f>
        <v/>
      </c>
      <c r="H85">
        <f>VLOOKUP(C85,Recipes!$A$2:$N$4,10,FALSE())</f>
        <v/>
      </c>
      <c r="I85">
        <f>VLOOKUP(C85,Recipes!$A$2:$N$4,12,FALSE())</f>
        <v/>
      </c>
      <c r="J85">
        <f>IF(G85="","",H85-G85)</f>
        <v/>
      </c>
      <c r="K85">
        <f>IF(G85="","",IF(ABS(G85-H85)&lt;=$B$6*I85,"OK","NG"))</f>
        <v/>
      </c>
      <c r="L85">
        <f>IF(K85="","",IF(K85=D85,1,0))</f>
        <v/>
      </c>
      <c r="M85" t="inlineStr">
        <is>
          <t>W2</t>
        </is>
      </c>
      <c r="N85" s="15" t="n">
        <v>0.9745630550669931</v>
      </c>
      <c r="O85" s="15" t="n">
        <v>0.0254369385814112</v>
      </c>
      <c r="P85">
        <f>IF(M85="","",IF(M85=E85,1,0))</f>
        <v/>
      </c>
      <c r="Q85">
        <f>IF(K85="OK","-",IF(N85&lt;$B$7,"AMBIGUOUS","CONFIDENT"))</f>
        <v/>
      </c>
    </row>
    <row r="86">
      <c r="A86">
        <f>'Runs Z score'!A78</f>
        <v/>
      </c>
      <c r="B86">
        <f>'Runs Z score'!B78</f>
        <v/>
      </c>
      <c r="C86">
        <f>'Runs Z score'!C78</f>
        <v/>
      </c>
      <c r="D86">
        <f>'Runs Z score'!D78</f>
        <v/>
      </c>
      <c r="E86">
        <f>'Runs Z score'!E78</f>
        <v/>
      </c>
      <c r="F86">
        <f>'Runs Z score'!F78</f>
        <v/>
      </c>
      <c r="G86">
        <f>'Runs Z score'!G78</f>
        <v/>
      </c>
      <c r="H86">
        <f>VLOOKUP(C86,Recipes!$A$2:$N$4,10,FALSE())</f>
        <v/>
      </c>
      <c r="I86">
        <f>VLOOKUP(C86,Recipes!$A$2:$N$4,12,FALSE())</f>
        <v/>
      </c>
      <c r="J86">
        <f>IF(G86="","",H86-G86)</f>
        <v/>
      </c>
      <c r="K86">
        <f>IF(G86="","",IF(ABS(G86-H86)&lt;=$B$6*I86,"OK","NG"))</f>
        <v/>
      </c>
      <c r="L86">
        <f>IF(K86="","",IF(K86=D86,1,0))</f>
        <v/>
      </c>
      <c r="M86" t="inlineStr">
        <is>
          <t>W2</t>
        </is>
      </c>
      <c r="N86" s="15" t="n">
        <v>0.975041313680306</v>
      </c>
      <c r="O86" s="15" t="n">
        <v>0.0249586801844478</v>
      </c>
      <c r="P86">
        <f>IF(M86="","",IF(M86=E86,1,0))</f>
        <v/>
      </c>
      <c r="Q86">
        <f>IF(K86="OK","-",IF(N86&lt;$B$7,"AMBIGUOUS","CONFIDENT"))</f>
        <v/>
      </c>
    </row>
    <row r="87">
      <c r="A87">
        <f>'Runs Z score'!A79</f>
        <v/>
      </c>
      <c r="B87">
        <f>'Runs Z score'!B79</f>
        <v/>
      </c>
      <c r="C87">
        <f>'Runs Z score'!C79</f>
        <v/>
      </c>
      <c r="D87">
        <f>'Runs Z score'!D79</f>
        <v/>
      </c>
      <c r="E87">
        <f>'Runs Z score'!E79</f>
        <v/>
      </c>
      <c r="F87">
        <f>'Runs Z score'!F79</f>
        <v/>
      </c>
      <c r="G87">
        <f>'Runs Z score'!G79</f>
        <v/>
      </c>
      <c r="H87">
        <f>VLOOKUP(C87,Recipes!$A$2:$N$4,10,FALSE())</f>
        <v/>
      </c>
      <c r="I87">
        <f>VLOOKUP(C87,Recipes!$A$2:$N$4,12,FALSE())</f>
        <v/>
      </c>
      <c r="J87">
        <f>IF(G87="","",H87-G87)</f>
        <v/>
      </c>
      <c r="K87">
        <f>IF(G87="","",IF(ABS(G87-H87)&lt;=$B$6*I87,"OK","NG"))</f>
        <v/>
      </c>
      <c r="L87">
        <f>IF(K87="","",IF(K87=D87,1,0))</f>
        <v/>
      </c>
      <c r="M87" t="inlineStr">
        <is>
          <t>W2</t>
        </is>
      </c>
      <c r="N87" s="15" t="n">
        <v>0.9396413727342556</v>
      </c>
      <c r="O87" s="15" t="n">
        <v>0.060358609033585</v>
      </c>
      <c r="P87">
        <f>IF(M87="","",IF(M87=E87,1,0))</f>
        <v/>
      </c>
      <c r="Q87">
        <f>IF(K87="OK","-",IF(N87&lt;$B$7,"AMBIGUOUS","CONFIDENT"))</f>
        <v/>
      </c>
    </row>
    <row r="88">
      <c r="A88">
        <f>'Runs Z score'!A80</f>
        <v/>
      </c>
      <c r="B88">
        <f>'Runs Z score'!B80</f>
        <v/>
      </c>
      <c r="C88">
        <f>'Runs Z score'!C80</f>
        <v/>
      </c>
      <c r="D88">
        <f>'Runs Z score'!D80</f>
        <v/>
      </c>
      <c r="E88">
        <f>'Runs Z score'!E80</f>
        <v/>
      </c>
      <c r="F88">
        <f>'Runs Z score'!F80</f>
        <v/>
      </c>
      <c r="G88">
        <f>'Runs Z score'!G80</f>
        <v/>
      </c>
      <c r="H88">
        <f>VLOOKUP(C88,Recipes!$A$2:$N$4,10,FALSE())</f>
        <v/>
      </c>
      <c r="I88">
        <f>VLOOKUP(C88,Recipes!$A$2:$N$4,12,FALSE())</f>
        <v/>
      </c>
      <c r="J88">
        <f>IF(G88="","",H88-G88)</f>
        <v/>
      </c>
      <c r="K88">
        <f>IF(G88="","",IF(ABS(G88-H88)&lt;=$B$6*I88,"OK","NG"))</f>
        <v/>
      </c>
      <c r="L88">
        <f>IF(K88="","",IF(K88=D88,1,0))</f>
        <v/>
      </c>
      <c r="M88" t="inlineStr">
        <is>
          <t>W2</t>
        </is>
      </c>
      <c r="N88" s="15" t="n">
        <v>0.966252860955951</v>
      </c>
      <c r="O88" s="15" t="n">
        <v>0.0337471310606782</v>
      </c>
      <c r="P88">
        <f>IF(M88="","",IF(M88=E88,1,0))</f>
        <v/>
      </c>
      <c r="Q88">
        <f>IF(K88="OK","-",IF(N88&lt;$B$7,"AMBIGUOUS","CONFIDENT"))</f>
        <v/>
      </c>
    </row>
    <row r="89">
      <c r="A89">
        <f>'Runs Z score'!A81</f>
        <v/>
      </c>
      <c r="B89">
        <f>'Runs Z score'!B81</f>
        <v/>
      </c>
      <c r="C89">
        <f>'Runs Z score'!C81</f>
        <v/>
      </c>
      <c r="D89">
        <f>'Runs Z score'!D81</f>
        <v/>
      </c>
      <c r="E89">
        <f>'Runs Z score'!E81</f>
        <v/>
      </c>
      <c r="F89">
        <f>'Runs Z score'!F81</f>
        <v/>
      </c>
      <c r="G89">
        <f>'Runs Z score'!G81</f>
        <v/>
      </c>
      <c r="H89">
        <f>VLOOKUP(C89,Recipes!$A$2:$N$4,10,FALSE())</f>
        <v/>
      </c>
      <c r="I89">
        <f>VLOOKUP(C89,Recipes!$A$2:$N$4,12,FALSE())</f>
        <v/>
      </c>
      <c r="J89">
        <f>IF(G89="","",H89-G89)</f>
        <v/>
      </c>
      <c r="K89">
        <f>IF(G89="","",IF(ABS(G89-H89)&lt;=$B$6*I89,"OK","NG"))</f>
        <v/>
      </c>
      <c r="L89">
        <f>IF(K89="","",IF(K89=D89,1,0))</f>
        <v/>
      </c>
      <c r="M89" t="inlineStr">
        <is>
          <t>W2</t>
        </is>
      </c>
      <c r="N89" s="15" t="n">
        <v>0.9996127323304032</v>
      </c>
      <c r="O89" s="15" t="n">
        <v>0.0003872675067393</v>
      </c>
      <c r="P89">
        <f>IF(M89="","",IF(M89=E89,1,0))</f>
        <v/>
      </c>
      <c r="Q89">
        <f>IF(K89="OK","-",IF(N89&lt;$B$7,"AMBIGUOUS","CONFIDENT"))</f>
        <v/>
      </c>
    </row>
    <row r="90">
      <c r="A90">
        <f>'Runs Z score'!A82</f>
        <v/>
      </c>
      <c r="B90">
        <f>'Runs Z score'!B82</f>
        <v/>
      </c>
      <c r="C90">
        <f>'Runs Z score'!C82</f>
        <v/>
      </c>
      <c r="D90">
        <f>'Runs Z score'!D82</f>
        <v/>
      </c>
      <c r="E90">
        <f>'Runs Z score'!E82</f>
        <v/>
      </c>
      <c r="F90">
        <f>'Runs Z score'!F82</f>
        <v/>
      </c>
      <c r="G90">
        <f>'Runs Z score'!G82</f>
        <v/>
      </c>
      <c r="H90">
        <f>VLOOKUP(C90,Recipes!$A$2:$N$4,10,FALSE())</f>
        <v/>
      </c>
      <c r="I90">
        <f>VLOOKUP(C90,Recipes!$A$2:$N$4,12,FALSE())</f>
        <v/>
      </c>
      <c r="J90">
        <f>IF(G90="","",H90-G90)</f>
        <v/>
      </c>
      <c r="K90">
        <f>IF(G90="","",IF(ABS(G90-H90)&lt;=$B$6*I90,"OK","NG"))</f>
        <v/>
      </c>
      <c r="L90">
        <f>IF(K90="","",IF(K90=D90,1,0))</f>
        <v/>
      </c>
      <c r="M90" t="inlineStr">
        <is>
          <t>W2</t>
        </is>
      </c>
      <c r="N90" s="15" t="n">
        <v>0.992699490990946</v>
      </c>
      <c r="O90" s="15" t="n">
        <v>0.0073005078868483</v>
      </c>
      <c r="P90">
        <f>IF(M90="","",IF(M90=E90,1,0))</f>
        <v/>
      </c>
      <c r="Q90">
        <f>IF(K90="OK","-",IF(N90&lt;$B$7,"AMBIGUOUS","CONFIDENT"))</f>
        <v/>
      </c>
    </row>
    <row r="91">
      <c r="A91">
        <f>'Runs Z score'!A83</f>
        <v/>
      </c>
      <c r="B91">
        <f>'Runs Z score'!B83</f>
        <v/>
      </c>
      <c r="C91">
        <f>'Runs Z score'!C83</f>
        <v/>
      </c>
      <c r="D91">
        <f>'Runs Z score'!D83</f>
        <v/>
      </c>
      <c r="E91">
        <f>'Runs Z score'!E83</f>
        <v/>
      </c>
      <c r="F91">
        <f>'Runs Z score'!F83</f>
        <v/>
      </c>
      <c r="G91">
        <f>'Runs Z score'!G83</f>
        <v/>
      </c>
      <c r="H91">
        <f>VLOOKUP(C91,Recipes!$A$2:$N$4,10,FALSE())</f>
        <v/>
      </c>
      <c r="I91">
        <f>VLOOKUP(C91,Recipes!$A$2:$N$4,12,FALSE())</f>
        <v/>
      </c>
      <c r="J91">
        <f>IF(G91="","",H91-G91)</f>
        <v/>
      </c>
      <c r="K91">
        <f>IF(G91="","",IF(ABS(G91-H91)&lt;=$B$6*I91,"OK","NG"))</f>
        <v/>
      </c>
      <c r="L91">
        <f>IF(K91="","",IF(K91=D91,1,0))</f>
        <v/>
      </c>
      <c r="M91" t="inlineStr">
        <is>
          <t>W2</t>
        </is>
      </c>
      <c r="N91" s="15" t="n">
        <v>0.9831766173238778</v>
      </c>
      <c r="O91" s="15" t="n">
        <v>0.0168233791025846</v>
      </c>
      <c r="P91">
        <f>IF(M91="","",IF(M91=E91,1,0))</f>
        <v/>
      </c>
      <c r="Q91">
        <f>IF(K91="OK","-",IF(N91&lt;$B$7,"AMBIGUOUS","CONFIDENT"))</f>
        <v/>
      </c>
    </row>
    <row r="92">
      <c r="A92">
        <f>'Runs Z score'!A84</f>
        <v/>
      </c>
      <c r="B92">
        <f>'Runs Z score'!B84</f>
        <v/>
      </c>
      <c r="C92">
        <f>'Runs Z score'!C84</f>
        <v/>
      </c>
      <c r="D92">
        <f>'Runs Z score'!D84</f>
        <v/>
      </c>
      <c r="E92">
        <f>'Runs Z score'!E84</f>
        <v/>
      </c>
      <c r="F92">
        <f>'Runs Z score'!F84</f>
        <v/>
      </c>
      <c r="G92">
        <f>'Runs Z score'!G84</f>
        <v/>
      </c>
      <c r="H92">
        <f>VLOOKUP(C92,Recipes!$A$2:$N$4,10,FALSE())</f>
        <v/>
      </c>
      <c r="I92">
        <f>VLOOKUP(C92,Recipes!$A$2:$N$4,12,FALSE())</f>
        <v/>
      </c>
      <c r="J92">
        <f>IF(G92="","",H92-G92)</f>
        <v/>
      </c>
      <c r="K92">
        <f>IF(G92="","",IF(ABS(G92-H92)&lt;=$B$6*I92,"OK","NG"))</f>
        <v/>
      </c>
      <c r="L92">
        <f>IF(K92="","",IF(K92=D92,1,0))</f>
        <v/>
      </c>
      <c r="M92" t="inlineStr">
        <is>
          <t>W2</t>
        </is>
      </c>
      <c r="N92" s="15" t="n">
        <v>0.999452880422534</v>
      </c>
      <c r="O92" s="15" t="n">
        <v>0.0005471193285113</v>
      </c>
      <c r="P92">
        <f>IF(M92="","",IF(M92=E92,1,0))</f>
        <v/>
      </c>
      <c r="Q92">
        <f>IF(K92="OK","-",IF(N92&lt;$B$7,"AMBIGUOUS","CONFIDENT"))</f>
        <v/>
      </c>
    </row>
    <row r="93">
      <c r="A93">
        <f>'Runs Z score'!A85</f>
        <v/>
      </c>
      <c r="B93">
        <f>'Runs Z score'!B85</f>
        <v/>
      </c>
      <c r="C93">
        <f>'Runs Z score'!C85</f>
        <v/>
      </c>
      <c r="D93">
        <f>'Runs Z score'!D85</f>
        <v/>
      </c>
      <c r="E93">
        <f>'Runs Z score'!E85</f>
        <v/>
      </c>
      <c r="F93">
        <f>'Runs Z score'!F85</f>
        <v/>
      </c>
      <c r="G93">
        <f>'Runs Z score'!G85</f>
        <v/>
      </c>
      <c r="H93">
        <f>VLOOKUP(C93,Recipes!$A$2:$N$4,10,FALSE())</f>
        <v/>
      </c>
      <c r="I93">
        <f>VLOOKUP(C93,Recipes!$A$2:$N$4,12,FALSE())</f>
        <v/>
      </c>
      <c r="J93">
        <f>IF(G93="","",H93-G93)</f>
        <v/>
      </c>
      <c r="K93">
        <f>IF(G93="","",IF(ABS(G93-H93)&lt;=$B$6*I93,"OK","NG"))</f>
        <v/>
      </c>
      <c r="L93">
        <f>IF(K93="","",IF(K93=D93,1,0))</f>
        <v/>
      </c>
      <c r="M93" t="inlineStr">
        <is>
          <t>W2</t>
        </is>
      </c>
      <c r="N93" s="15" t="n">
        <v>0.977262354010229</v>
      </c>
      <c r="O93" s="15" t="n">
        <v>0.022737641419568</v>
      </c>
      <c r="P93">
        <f>IF(M93="","",IF(M93=E93,1,0))</f>
        <v/>
      </c>
      <c r="Q93">
        <f>IF(K93="OK","-",IF(N93&lt;$B$7,"AMBIGUOUS","CONFIDENT"))</f>
        <v/>
      </c>
    </row>
    <row r="94">
      <c r="A94">
        <f>'Runs Z score'!A86</f>
        <v/>
      </c>
      <c r="B94">
        <f>'Runs Z score'!B86</f>
        <v/>
      </c>
      <c r="C94">
        <f>'Runs Z score'!C86</f>
        <v/>
      </c>
      <c r="D94">
        <f>'Runs Z score'!D86</f>
        <v/>
      </c>
      <c r="E94">
        <f>'Runs Z score'!E86</f>
        <v/>
      </c>
      <c r="F94">
        <f>'Runs Z score'!F86</f>
        <v/>
      </c>
      <c r="G94">
        <f>'Runs Z score'!G86</f>
        <v/>
      </c>
      <c r="H94">
        <f>VLOOKUP(C94,Recipes!$A$2:$N$4,10,FALSE())</f>
        <v/>
      </c>
      <c r="I94">
        <f>VLOOKUP(C94,Recipes!$A$2:$N$4,12,FALSE())</f>
        <v/>
      </c>
      <c r="J94">
        <f>IF(G94="","",H94-G94)</f>
        <v/>
      </c>
      <c r="K94">
        <f>IF(G94="","",IF(ABS(G94-H94)&lt;=$B$6*I94,"OK","NG"))</f>
        <v/>
      </c>
      <c r="L94">
        <f>IF(K94="","",IF(K94=D94,1,0))</f>
        <v/>
      </c>
      <c r="M94" t="inlineStr">
        <is>
          <t>W2</t>
        </is>
      </c>
      <c r="N94" s="15" t="n">
        <v>0.9997258720436356</v>
      </c>
      <c r="O94" s="15" t="n">
        <v>0.0002741278498234</v>
      </c>
      <c r="P94">
        <f>IF(M94="","",IF(M94=E94,1,0))</f>
        <v/>
      </c>
      <c r="Q94">
        <f>IF(K94="OK","-",IF(N94&lt;$B$7,"AMBIGUOUS","CONFIDENT"))</f>
        <v/>
      </c>
    </row>
    <row r="95">
      <c r="A95">
        <f>'Runs Z score'!A87</f>
        <v/>
      </c>
      <c r="B95">
        <f>'Runs Z score'!B87</f>
        <v/>
      </c>
      <c r="C95">
        <f>'Runs Z score'!C87</f>
        <v/>
      </c>
      <c r="D95">
        <f>'Runs Z score'!D87</f>
        <v/>
      </c>
      <c r="E95">
        <f>'Runs Z score'!E87</f>
        <v/>
      </c>
      <c r="F95">
        <f>'Runs Z score'!F87</f>
        <v/>
      </c>
      <c r="G95">
        <f>'Runs Z score'!G87</f>
        <v/>
      </c>
      <c r="H95">
        <f>VLOOKUP(C95,Recipes!$A$2:$N$4,10,FALSE())</f>
        <v/>
      </c>
      <c r="I95">
        <f>VLOOKUP(C95,Recipes!$A$2:$N$4,12,FALSE())</f>
        <v/>
      </c>
      <c r="J95">
        <f>IF(G95="","",H95-G95)</f>
        <v/>
      </c>
      <c r="K95">
        <f>IF(G95="","",IF(ABS(G95-H95)&lt;=$B$6*I95,"OK","NG"))</f>
        <v/>
      </c>
      <c r="L95">
        <f>IF(K95="","",IF(K95=D95,1,0))</f>
        <v/>
      </c>
      <c r="M95" t="inlineStr">
        <is>
          <t>W2</t>
        </is>
      </c>
      <c r="N95" s="15" t="n">
        <v>0.9859773961258854</v>
      </c>
      <c r="O95" s="15" t="n">
        <v>0.0140226013030177</v>
      </c>
      <c r="P95">
        <f>IF(M95="","",IF(M95=E95,1,0))</f>
        <v/>
      </c>
      <c r="Q95">
        <f>IF(K95="OK","-",IF(N95&lt;$B$7,"AMBIGUOUS","CONFIDENT"))</f>
        <v/>
      </c>
    </row>
    <row r="96">
      <c r="A96">
        <f>'Runs Z score'!A88</f>
        <v/>
      </c>
      <c r="B96">
        <f>'Runs Z score'!B88</f>
        <v/>
      </c>
      <c r="C96">
        <f>'Runs Z score'!C88</f>
        <v/>
      </c>
      <c r="D96">
        <f>'Runs Z score'!D88</f>
        <v/>
      </c>
      <c r="E96">
        <f>'Runs Z score'!E88</f>
        <v/>
      </c>
      <c r="F96">
        <f>'Runs Z score'!F88</f>
        <v/>
      </c>
      <c r="G96">
        <f>'Runs Z score'!G88</f>
        <v/>
      </c>
      <c r="H96">
        <f>VLOOKUP(C96,Recipes!$A$2:$N$4,10,FALSE())</f>
        <v/>
      </c>
      <c r="I96">
        <f>VLOOKUP(C96,Recipes!$A$2:$N$4,12,FALSE())</f>
        <v/>
      </c>
      <c r="J96">
        <f>IF(G96="","",H96-G96)</f>
        <v/>
      </c>
      <c r="K96">
        <f>IF(G96="","",IF(ABS(G96-H96)&lt;=$B$6*I96,"OK","NG"))</f>
        <v/>
      </c>
      <c r="L96">
        <f>IF(K96="","",IF(K96=D96,1,0))</f>
        <v/>
      </c>
      <c r="M96" t="inlineStr">
        <is>
          <t>W2</t>
        </is>
      </c>
      <c r="N96" s="15" t="n">
        <v>0.975041313680306</v>
      </c>
      <c r="O96" s="15" t="n">
        <v>0.0249586801844478</v>
      </c>
      <c r="P96">
        <f>IF(M96="","",IF(M96=E96,1,0))</f>
        <v/>
      </c>
      <c r="Q96">
        <f>IF(K96="OK","-",IF(N96&lt;$B$7,"AMBIGUOUS","CONFIDENT"))</f>
        <v/>
      </c>
    </row>
    <row r="97">
      <c r="A97">
        <f>'Runs Z score'!A89</f>
        <v/>
      </c>
      <c r="B97">
        <f>'Runs Z score'!B89</f>
        <v/>
      </c>
      <c r="C97">
        <f>'Runs Z score'!C89</f>
        <v/>
      </c>
      <c r="D97">
        <f>'Runs Z score'!D89</f>
        <v/>
      </c>
      <c r="E97">
        <f>'Runs Z score'!E89</f>
        <v/>
      </c>
      <c r="F97">
        <f>'Runs Z score'!F89</f>
        <v/>
      </c>
      <c r="G97">
        <f>'Runs Z score'!G89</f>
        <v/>
      </c>
      <c r="H97">
        <f>VLOOKUP(C97,Recipes!$A$2:$N$4,10,FALSE())</f>
        <v/>
      </c>
      <c r="I97">
        <f>VLOOKUP(C97,Recipes!$A$2:$N$4,12,FALSE())</f>
        <v/>
      </c>
      <c r="J97">
        <f>IF(G97="","",H97-G97)</f>
        <v/>
      </c>
      <c r="K97">
        <f>IF(G97="","",IF(ABS(G97-H97)&lt;=$B$6*I97,"OK","NG"))</f>
        <v/>
      </c>
      <c r="L97">
        <f>IF(K97="","",IF(K97=D97,1,0))</f>
        <v/>
      </c>
      <c r="M97" t="inlineStr">
        <is>
          <t>W2</t>
        </is>
      </c>
      <c r="N97" s="15" t="n">
        <v>0.9889241413454112</v>
      </c>
      <c r="O97" s="15" t="n">
        <v>0.0110758566862957</v>
      </c>
      <c r="P97">
        <f>IF(M97="","",IF(M97=E97,1,0))</f>
        <v/>
      </c>
      <c r="Q97">
        <f>IF(K97="OK","-",IF(N97&lt;$B$7,"AMBIGUOUS","CONFIDENT"))</f>
        <v/>
      </c>
    </row>
    <row r="98">
      <c r="A98">
        <f>'Runs Z score'!A90</f>
        <v/>
      </c>
      <c r="B98">
        <f>'Runs Z score'!B90</f>
        <v/>
      </c>
      <c r="C98">
        <f>'Runs Z score'!C90</f>
        <v/>
      </c>
      <c r="D98">
        <f>'Runs Z score'!D90</f>
        <v/>
      </c>
      <c r="E98">
        <f>'Runs Z score'!E90</f>
        <v/>
      </c>
      <c r="F98">
        <f>'Runs Z score'!F90</f>
        <v/>
      </c>
      <c r="G98">
        <f>'Runs Z score'!G90</f>
        <v/>
      </c>
      <c r="H98">
        <f>VLOOKUP(C98,Recipes!$A$2:$N$4,10,FALSE())</f>
        <v/>
      </c>
      <c r="I98">
        <f>VLOOKUP(C98,Recipes!$A$2:$N$4,12,FALSE())</f>
        <v/>
      </c>
      <c r="J98">
        <f>IF(G98="","",H98-G98)</f>
        <v/>
      </c>
      <c r="K98">
        <f>IF(G98="","",IF(ABS(G98-H98)&lt;=$B$6*I98,"OK","NG"))</f>
        <v/>
      </c>
      <c r="L98">
        <f>IF(K98="","",IF(K98=D98,1,0))</f>
        <v/>
      </c>
      <c r="M98" t="inlineStr">
        <is>
          <t>W2</t>
        </is>
      </c>
      <c r="N98" s="15" t="n">
        <v>0.9428663382156648</v>
      </c>
      <c r="O98" s="15" t="n">
        <v>0.0571336432784541</v>
      </c>
      <c r="P98">
        <f>IF(M98="","",IF(M98=E98,1,0))</f>
        <v/>
      </c>
      <c r="Q98">
        <f>IF(K98="OK","-",IF(N98&lt;$B$7,"AMBIGUOUS","CONFIDENT"))</f>
        <v/>
      </c>
    </row>
    <row r="99">
      <c r="A99">
        <f>'Runs Z score'!A91</f>
        <v/>
      </c>
      <c r="B99">
        <f>'Runs Z score'!B91</f>
        <v/>
      </c>
      <c r="C99">
        <f>'Runs Z score'!C91</f>
        <v/>
      </c>
      <c r="D99">
        <f>'Runs Z score'!D91</f>
        <v/>
      </c>
      <c r="E99">
        <f>'Runs Z score'!E91</f>
        <v/>
      </c>
      <c r="F99">
        <f>'Runs Z score'!F91</f>
        <v/>
      </c>
      <c r="G99">
        <f>'Runs Z score'!G91</f>
        <v/>
      </c>
      <c r="H99">
        <f>VLOOKUP(C99,Recipes!$A$2:$N$4,10,FALSE())</f>
        <v/>
      </c>
      <c r="I99">
        <f>VLOOKUP(C99,Recipes!$A$2:$N$4,12,FALSE())</f>
        <v/>
      </c>
      <c r="J99">
        <f>IF(G99="","",H99-G99)</f>
        <v/>
      </c>
      <c r="K99">
        <f>IF(G99="","",IF(ABS(G99-H99)&lt;=$B$6*I99,"OK","NG"))</f>
        <v/>
      </c>
      <c r="L99">
        <f>IF(K99="","",IF(K99=D99,1,0))</f>
        <v/>
      </c>
      <c r="M99" t="inlineStr">
        <is>
          <t>W2</t>
        </is>
      </c>
      <c r="N99" s="15" t="n">
        <v>0.9614947788264396</v>
      </c>
      <c r="O99" s="15" t="n">
        <v>0.0385052105730716</v>
      </c>
      <c r="P99">
        <f>IF(M99="","",IF(M99=E99,1,0))</f>
        <v/>
      </c>
      <c r="Q99">
        <f>IF(K99="OK","-",IF(N99&lt;$B$7,"AMBIGUOUS","CONFIDENT"))</f>
        <v/>
      </c>
    </row>
    <row r="100">
      <c r="A100">
        <f>'Runs Z score'!A92</f>
        <v/>
      </c>
      <c r="B100">
        <f>'Runs Z score'!B92</f>
        <v/>
      </c>
      <c r="C100">
        <f>'Runs Z score'!C92</f>
        <v/>
      </c>
      <c r="D100">
        <f>'Runs Z score'!D92</f>
        <v/>
      </c>
      <c r="E100">
        <f>'Runs Z score'!E92</f>
        <v/>
      </c>
      <c r="F100">
        <f>'Runs Z score'!F92</f>
        <v/>
      </c>
      <c r="G100">
        <f>'Runs Z score'!G92</f>
        <v/>
      </c>
      <c r="H100">
        <f>VLOOKUP(C100,Recipes!$A$2:$N$4,10,FALSE())</f>
        <v/>
      </c>
      <c r="I100">
        <f>VLOOKUP(C100,Recipes!$A$2:$N$4,12,FALSE())</f>
        <v/>
      </c>
      <c r="J100">
        <f>IF(G100="","",H100-G100)</f>
        <v/>
      </c>
      <c r="K100">
        <f>IF(G100="","",IF(ABS(G100-H100)&lt;=$B$6*I100,"OK","NG"))</f>
        <v/>
      </c>
      <c r="L100">
        <f>IF(K100="","",IF(K100=D100,1,0))</f>
        <v/>
      </c>
      <c r="M100" t="inlineStr">
        <is>
          <t>W2</t>
        </is>
      </c>
      <c r="N100" s="15" t="n">
        <v>0.9396413727342556</v>
      </c>
      <c r="O100" s="15" t="n">
        <v>0.060358609033585</v>
      </c>
      <c r="P100">
        <f>IF(M100="","",IF(M100=E100,1,0))</f>
        <v/>
      </c>
      <c r="Q100">
        <f>IF(K100="OK","-",IF(N100&lt;$B$7,"AMBIGUOUS","CONFIDENT"))</f>
        <v/>
      </c>
    </row>
    <row r="101">
      <c r="A101">
        <f>'Runs Z score'!A93</f>
        <v/>
      </c>
      <c r="B101">
        <f>'Runs Z score'!B93</f>
        <v/>
      </c>
      <c r="C101">
        <f>'Runs Z score'!C93</f>
        <v/>
      </c>
      <c r="D101">
        <f>'Runs Z score'!D93</f>
        <v/>
      </c>
      <c r="E101">
        <f>'Runs Z score'!E93</f>
        <v/>
      </c>
      <c r="F101">
        <f>'Runs Z score'!F93</f>
        <v/>
      </c>
      <c r="G101">
        <f>'Runs Z score'!G93</f>
        <v/>
      </c>
      <c r="H101">
        <f>VLOOKUP(C101,Recipes!$A$2:$N$4,10,FALSE())</f>
        <v/>
      </c>
      <c r="I101">
        <f>VLOOKUP(C101,Recipes!$A$2:$N$4,12,FALSE())</f>
        <v/>
      </c>
      <c r="J101">
        <f>IF(G101="","",H101-G101)</f>
        <v/>
      </c>
      <c r="K101">
        <f>IF(G101="","",IF(ABS(G101-H101)&lt;=$B$6*I101,"OK","NG"))</f>
        <v/>
      </c>
      <c r="L101">
        <f>IF(K101="","",IF(K101=D101,1,0))</f>
        <v/>
      </c>
      <c r="M101" t="inlineStr">
        <is>
          <t>N2</t>
        </is>
      </c>
      <c r="N101" s="15" t="n">
        <v>0.9999820954901544</v>
      </c>
      <c r="O101" s="15" t="n">
        <v>1.790450984564523e-05</v>
      </c>
      <c r="P101">
        <f>IF(M101="","",IF(M101=E101,1,0))</f>
        <v/>
      </c>
      <c r="Q101">
        <f>IF(K101="OK","-",IF(N101&lt;$B$7,"AMBIGUOUS","CONFIDENT"))</f>
        <v/>
      </c>
    </row>
    <row r="102">
      <c r="A102">
        <f>'Runs Z score'!A94</f>
        <v/>
      </c>
      <c r="B102">
        <f>'Runs Z score'!B94</f>
        <v/>
      </c>
      <c r="C102">
        <f>'Runs Z score'!C94</f>
        <v/>
      </c>
      <c r="D102">
        <f>'Runs Z score'!D94</f>
        <v/>
      </c>
      <c r="E102">
        <f>'Runs Z score'!E94</f>
        <v/>
      </c>
      <c r="F102">
        <f>'Runs Z score'!F94</f>
        <v/>
      </c>
      <c r="G102">
        <f>'Runs Z score'!G94</f>
        <v/>
      </c>
      <c r="H102">
        <f>VLOOKUP(C102,Recipes!$A$2:$N$4,10,FALSE())</f>
        <v/>
      </c>
      <c r="I102">
        <f>VLOOKUP(C102,Recipes!$A$2:$N$4,12,FALSE())</f>
        <v/>
      </c>
      <c r="J102">
        <f>IF(G102="","",H102-G102)</f>
        <v/>
      </c>
      <c r="K102">
        <f>IF(G102="","",IF(ABS(G102-H102)&lt;=$B$6*I102,"OK","NG"))</f>
        <v/>
      </c>
      <c r="L102">
        <f>IF(K102="","",IF(K102=D102,1,0))</f>
        <v/>
      </c>
      <c r="M102" t="inlineStr">
        <is>
          <t>N2</t>
        </is>
      </c>
      <c r="N102" s="15" t="n">
        <v>0.9999847454263284</v>
      </c>
      <c r="O102" s="15" t="n">
        <v>1.525457367171218e-05</v>
      </c>
      <c r="P102">
        <f>IF(M102="","",IF(M102=E102,1,0))</f>
        <v/>
      </c>
      <c r="Q102">
        <f>IF(K102="OK","-",IF(N102&lt;$B$7,"AMBIGUOUS","CONFIDENT"))</f>
        <v/>
      </c>
    </row>
    <row r="103">
      <c r="A103">
        <f>'Runs Z score'!A95</f>
        <v/>
      </c>
      <c r="B103">
        <f>'Runs Z score'!B95</f>
        <v/>
      </c>
      <c r="C103">
        <f>'Runs Z score'!C95</f>
        <v/>
      </c>
      <c r="D103">
        <f>'Runs Z score'!D95</f>
        <v/>
      </c>
      <c r="E103">
        <f>'Runs Z score'!E95</f>
        <v/>
      </c>
      <c r="F103">
        <f>'Runs Z score'!F95</f>
        <v/>
      </c>
      <c r="G103">
        <f>'Runs Z score'!G95</f>
        <v/>
      </c>
      <c r="H103">
        <f>VLOOKUP(C103,Recipes!$A$2:$N$4,10,FALSE())</f>
        <v/>
      </c>
      <c r="I103">
        <f>VLOOKUP(C103,Recipes!$A$2:$N$4,12,FALSE())</f>
        <v/>
      </c>
      <c r="J103">
        <f>IF(G103="","",H103-G103)</f>
        <v/>
      </c>
      <c r="K103">
        <f>IF(G103="","",IF(ABS(G103-H103)&lt;=$B$6*I103,"OK","NG"))</f>
        <v/>
      </c>
      <c r="L103">
        <f>IF(K103="","",IF(K103=D103,1,0))</f>
        <v/>
      </c>
      <c r="M103" t="inlineStr">
        <is>
          <t>N2</t>
        </is>
      </c>
      <c r="N103" s="15" t="n">
        <v>0.9999857889850748</v>
      </c>
      <c r="O103" s="15" t="n">
        <v>1.421101492525659e-05</v>
      </c>
      <c r="P103">
        <f>IF(M103="","",IF(M103=E103,1,0))</f>
        <v/>
      </c>
      <c r="Q103">
        <f>IF(K103="OK","-",IF(N103&lt;$B$7,"AMBIGUOUS","CONFIDENT"))</f>
        <v/>
      </c>
    </row>
    <row r="104">
      <c r="A104">
        <f>'Runs Z score'!A96</f>
        <v/>
      </c>
      <c r="B104">
        <f>'Runs Z score'!B96</f>
        <v/>
      </c>
      <c r="C104">
        <f>'Runs Z score'!C96</f>
        <v/>
      </c>
      <c r="D104">
        <f>'Runs Z score'!D96</f>
        <v/>
      </c>
      <c r="E104">
        <f>'Runs Z score'!E96</f>
        <v/>
      </c>
      <c r="F104">
        <f>'Runs Z score'!F96</f>
        <v/>
      </c>
      <c r="G104">
        <f>'Runs Z score'!G96</f>
        <v/>
      </c>
      <c r="H104">
        <f>VLOOKUP(C104,Recipes!$A$2:$N$4,10,FALSE())</f>
        <v/>
      </c>
      <c r="I104">
        <f>VLOOKUP(C104,Recipes!$A$2:$N$4,12,FALSE())</f>
        <v/>
      </c>
      <c r="J104">
        <f>IF(G104="","",H104-G104)</f>
        <v/>
      </c>
      <c r="K104">
        <f>IF(G104="","",IF(ABS(G104-H104)&lt;=$B$6*I104,"OK","NG"))</f>
        <v/>
      </c>
      <c r="L104">
        <f>IF(K104="","",IF(K104=D104,1,0))</f>
        <v/>
      </c>
      <c r="M104" t="inlineStr">
        <is>
          <t>N2</t>
        </is>
      </c>
      <c r="N104" s="15" t="n">
        <v>0.999983486927884</v>
      </c>
      <c r="O104" s="15" t="n">
        <v>1.651307211589723e-05</v>
      </c>
      <c r="P104">
        <f>IF(M104="","",IF(M104=E104,1,0))</f>
        <v/>
      </c>
      <c r="Q104">
        <f>IF(K104="OK","-",IF(N104&lt;$B$7,"AMBIGUOUS","CONFIDENT"))</f>
        <v/>
      </c>
    </row>
    <row r="105">
      <c r="A105">
        <f>'Runs Z score'!A97</f>
        <v/>
      </c>
      <c r="B105">
        <f>'Runs Z score'!B97</f>
        <v/>
      </c>
      <c r="C105">
        <f>'Runs Z score'!C97</f>
        <v/>
      </c>
      <c r="D105">
        <f>'Runs Z score'!D97</f>
        <v/>
      </c>
      <c r="E105">
        <f>'Runs Z score'!E97</f>
        <v/>
      </c>
      <c r="F105">
        <f>'Runs Z score'!F97</f>
        <v/>
      </c>
      <c r="G105">
        <f>'Runs Z score'!G97</f>
        <v/>
      </c>
      <c r="H105">
        <f>VLOOKUP(C105,Recipes!$A$2:$N$4,10,FALSE())</f>
        <v/>
      </c>
      <c r="I105">
        <f>VLOOKUP(C105,Recipes!$A$2:$N$4,12,FALSE())</f>
        <v/>
      </c>
      <c r="J105">
        <f>IF(G105="","",H105-G105)</f>
        <v/>
      </c>
      <c r="K105">
        <f>IF(G105="","",IF(ABS(G105-H105)&lt;=$B$6*I105,"OK","NG"))</f>
        <v/>
      </c>
      <c r="L105">
        <f>IF(K105="","",IF(K105=D105,1,0))</f>
        <v/>
      </c>
      <c r="M105" t="inlineStr">
        <is>
          <t>N2</t>
        </is>
      </c>
      <c r="N105" s="15" t="n">
        <v>0.9999703966426888</v>
      </c>
      <c r="O105" s="15" t="n">
        <v>2.96033573109825e-05</v>
      </c>
      <c r="P105">
        <f>IF(M105="","",IF(M105=E105,1,0))</f>
        <v/>
      </c>
      <c r="Q105">
        <f>IF(K105="OK","-",IF(N105&lt;$B$7,"AMBIGUOUS","CONFIDENT"))</f>
        <v/>
      </c>
    </row>
    <row r="106">
      <c r="A106">
        <f>'Runs Z score'!A98</f>
        <v/>
      </c>
      <c r="B106">
        <f>'Runs Z score'!B98</f>
        <v/>
      </c>
      <c r="C106">
        <f>'Runs Z score'!C98</f>
        <v/>
      </c>
      <c r="D106">
        <f>'Runs Z score'!D98</f>
        <v/>
      </c>
      <c r="E106">
        <f>'Runs Z score'!E98</f>
        <v/>
      </c>
      <c r="F106">
        <f>'Runs Z score'!F98</f>
        <v/>
      </c>
      <c r="G106">
        <f>'Runs Z score'!G98</f>
        <v/>
      </c>
      <c r="H106">
        <f>VLOOKUP(C106,Recipes!$A$2:$N$4,10,FALSE())</f>
        <v/>
      </c>
      <c r="I106">
        <f>VLOOKUP(C106,Recipes!$A$2:$N$4,12,FALSE())</f>
        <v/>
      </c>
      <c r="J106">
        <f>IF(G106="","",H106-G106)</f>
        <v/>
      </c>
      <c r="K106">
        <f>IF(G106="","",IF(ABS(G106-H106)&lt;=$B$6*I106,"OK","NG"))</f>
        <v/>
      </c>
      <c r="L106">
        <f>IF(K106="","",IF(K106=D106,1,0))</f>
        <v/>
      </c>
      <c r="M106" t="inlineStr">
        <is>
          <t>N2</t>
        </is>
      </c>
      <c r="N106" s="15" t="n">
        <v>0.9999285911515464</v>
      </c>
      <c r="O106" s="15" t="n">
        <v>7.140884845352547e-05</v>
      </c>
      <c r="P106">
        <f>IF(M106="","",IF(M106=E106,1,0))</f>
        <v/>
      </c>
      <c r="Q106">
        <f>IF(K106="OK","-",IF(N106&lt;$B$7,"AMBIGUOUS","CONFIDENT"))</f>
        <v/>
      </c>
    </row>
    <row r="107">
      <c r="A107">
        <f>'Runs Z score'!A99</f>
        <v/>
      </c>
      <c r="B107">
        <f>'Runs Z score'!B99</f>
        <v/>
      </c>
      <c r="C107">
        <f>'Runs Z score'!C99</f>
        <v/>
      </c>
      <c r="D107">
        <f>'Runs Z score'!D99</f>
        <v/>
      </c>
      <c r="E107">
        <f>'Runs Z score'!E99</f>
        <v/>
      </c>
      <c r="F107">
        <f>'Runs Z score'!F99</f>
        <v/>
      </c>
      <c r="G107">
        <f>'Runs Z score'!G99</f>
        <v/>
      </c>
      <c r="H107">
        <f>VLOOKUP(C107,Recipes!$A$2:$N$4,10,FALSE())</f>
        <v/>
      </c>
      <c r="I107">
        <f>VLOOKUP(C107,Recipes!$A$2:$N$4,12,FALSE())</f>
        <v/>
      </c>
      <c r="J107">
        <f>IF(G107="","",H107-G107)</f>
        <v/>
      </c>
      <c r="K107">
        <f>IF(G107="","",IF(ABS(G107-H107)&lt;=$B$6*I107,"OK","NG"))</f>
        <v/>
      </c>
      <c r="L107">
        <f>IF(K107="","",IF(K107=D107,1,0))</f>
        <v/>
      </c>
      <c r="M107" t="inlineStr">
        <is>
          <t>N2</t>
        </is>
      </c>
      <c r="N107" s="15" t="n">
        <v>0.9999820503386684</v>
      </c>
      <c r="O107" s="15" t="n">
        <v>1.794966133172903e-05</v>
      </c>
      <c r="P107">
        <f>IF(M107="","",IF(M107=E107,1,0))</f>
        <v/>
      </c>
      <c r="Q107">
        <f>IF(K107="OK","-",IF(N107&lt;$B$7,"AMBIGUOUS","CONFIDENT"))</f>
        <v/>
      </c>
    </row>
    <row r="108">
      <c r="A108">
        <f>'Runs Z score'!A100</f>
        <v/>
      </c>
      <c r="B108">
        <f>'Runs Z score'!B100</f>
        <v/>
      </c>
      <c r="C108">
        <f>'Runs Z score'!C100</f>
        <v/>
      </c>
      <c r="D108">
        <f>'Runs Z score'!D100</f>
        <v/>
      </c>
      <c r="E108">
        <f>'Runs Z score'!E100</f>
        <v/>
      </c>
      <c r="F108">
        <f>'Runs Z score'!F100</f>
        <v/>
      </c>
      <c r="G108">
        <f>'Runs Z score'!G100</f>
        <v/>
      </c>
      <c r="H108">
        <f>VLOOKUP(C108,Recipes!$A$2:$N$4,10,FALSE())</f>
        <v/>
      </c>
      <c r="I108">
        <f>VLOOKUP(C108,Recipes!$A$2:$N$4,12,FALSE())</f>
        <v/>
      </c>
      <c r="J108">
        <f>IF(G108="","",H108-G108)</f>
        <v/>
      </c>
      <c r="K108">
        <f>IF(G108="","",IF(ABS(G108-H108)&lt;=$B$6*I108,"OK","NG"))</f>
        <v/>
      </c>
      <c r="L108">
        <f>IF(K108="","",IF(K108=D108,1,0))</f>
        <v/>
      </c>
      <c r="M108" t="inlineStr">
        <is>
          <t>N2</t>
        </is>
      </c>
      <c r="N108" s="15" t="n">
        <v>0.9999859371962886</v>
      </c>
      <c r="O108" s="15" t="n">
        <v>1.406280371132494e-05</v>
      </c>
      <c r="P108">
        <f>IF(M108="","",IF(M108=E108,1,0))</f>
        <v/>
      </c>
      <c r="Q108">
        <f>IF(K108="OK","-",IF(N108&lt;$B$7,"AMBIGUOUS","CONFIDENT"))</f>
        <v/>
      </c>
    </row>
    <row r="109">
      <c r="A109">
        <f>'Runs Z score'!A101</f>
        <v/>
      </c>
      <c r="B109">
        <f>'Runs Z score'!B101</f>
        <v/>
      </c>
      <c r="C109">
        <f>'Runs Z score'!C101</f>
        <v/>
      </c>
      <c r="D109">
        <f>'Runs Z score'!D101</f>
        <v/>
      </c>
      <c r="E109">
        <f>'Runs Z score'!E101</f>
        <v/>
      </c>
      <c r="F109">
        <f>'Runs Z score'!F101</f>
        <v/>
      </c>
      <c r="G109">
        <f>'Runs Z score'!G101</f>
        <v/>
      </c>
      <c r="H109">
        <f>VLOOKUP(C109,Recipes!$A$2:$N$4,10,FALSE())</f>
        <v/>
      </c>
      <c r="I109">
        <f>VLOOKUP(C109,Recipes!$A$2:$N$4,12,FALSE())</f>
        <v/>
      </c>
      <c r="J109">
        <f>IF(G109="","",H109-G109)</f>
        <v/>
      </c>
      <c r="K109">
        <f>IF(G109="","",IF(ABS(G109-H109)&lt;=$B$6*I109,"OK","NG"))</f>
        <v/>
      </c>
      <c r="L109">
        <f>IF(K109="","",IF(K109=D109,1,0))</f>
        <v/>
      </c>
      <c r="M109" t="inlineStr">
        <is>
          <t>N2</t>
        </is>
      </c>
      <c r="N109" s="15" t="n">
        <v>0.9999817762387574</v>
      </c>
      <c r="O109" s="15" t="n">
        <v>1.822376124258831e-05</v>
      </c>
      <c r="P109">
        <f>IF(M109="","",IF(M109=E109,1,0))</f>
        <v/>
      </c>
      <c r="Q109">
        <f>IF(K109="OK","-",IF(N109&lt;$B$7,"AMBIGUOUS","CONFIDENT"))</f>
        <v/>
      </c>
    </row>
    <row r="110">
      <c r="A110">
        <f>'Runs Z score'!A102</f>
        <v/>
      </c>
      <c r="B110">
        <f>'Runs Z score'!B102</f>
        <v/>
      </c>
      <c r="C110">
        <f>'Runs Z score'!C102</f>
        <v/>
      </c>
      <c r="D110">
        <f>'Runs Z score'!D102</f>
        <v/>
      </c>
      <c r="E110">
        <f>'Runs Z score'!E102</f>
        <v/>
      </c>
      <c r="F110">
        <f>'Runs Z score'!F102</f>
        <v/>
      </c>
      <c r="G110">
        <f>'Runs Z score'!G102</f>
        <v/>
      </c>
      <c r="H110">
        <f>VLOOKUP(C110,Recipes!$A$2:$N$4,10,FALSE())</f>
        <v/>
      </c>
      <c r="I110">
        <f>VLOOKUP(C110,Recipes!$A$2:$N$4,12,FALSE())</f>
        <v/>
      </c>
      <c r="J110">
        <f>IF(G110="","",H110-G110)</f>
        <v/>
      </c>
      <c r="K110">
        <f>IF(G110="","",IF(ABS(G110-H110)&lt;=$B$6*I110,"OK","NG"))</f>
        <v/>
      </c>
      <c r="L110">
        <f>IF(K110="","",IF(K110=D110,1,0))</f>
        <v/>
      </c>
      <c r="M110" t="inlineStr">
        <is>
          <t>N2</t>
        </is>
      </c>
      <c r="N110" s="15" t="n">
        <v>0.9999847454263284</v>
      </c>
      <c r="O110" s="15" t="n">
        <v>1.525457367171218e-05</v>
      </c>
      <c r="P110">
        <f>IF(M110="","",IF(M110=E110,1,0))</f>
        <v/>
      </c>
      <c r="Q110">
        <f>IF(K110="OK","-",IF(N110&lt;$B$7,"AMBIGUOUS","CONFIDENT"))</f>
        <v/>
      </c>
    </row>
    <row r="111">
      <c r="A111">
        <f>'Runs Z score'!A103</f>
        <v/>
      </c>
      <c r="B111">
        <f>'Runs Z score'!B103</f>
        <v/>
      </c>
      <c r="C111">
        <f>'Runs Z score'!C103</f>
        <v/>
      </c>
      <c r="D111">
        <f>'Runs Z score'!D103</f>
        <v/>
      </c>
      <c r="E111">
        <f>'Runs Z score'!E103</f>
        <v/>
      </c>
      <c r="F111">
        <f>'Runs Z score'!F103</f>
        <v/>
      </c>
      <c r="G111">
        <f>'Runs Z score'!G103</f>
        <v/>
      </c>
      <c r="H111">
        <f>VLOOKUP(C111,Recipes!$A$2:$N$4,10,FALSE())</f>
        <v/>
      </c>
      <c r="I111">
        <f>VLOOKUP(C111,Recipes!$A$2:$N$4,12,FALSE())</f>
        <v/>
      </c>
      <c r="J111">
        <f>IF(G111="","",H111-G111)</f>
        <v/>
      </c>
      <c r="K111">
        <f>IF(G111="","",IF(ABS(G111-H111)&lt;=$B$6*I111,"OK","NG"))</f>
        <v/>
      </c>
      <c r="L111">
        <f>IF(K111="","",IF(K111=D111,1,0))</f>
        <v/>
      </c>
      <c r="M111" t="inlineStr">
        <is>
          <t>N2</t>
        </is>
      </c>
      <c r="N111" s="15" t="n">
        <v>0.9999820503386684</v>
      </c>
      <c r="O111" s="15" t="n">
        <v>1.794966133172903e-05</v>
      </c>
      <c r="P111">
        <f>IF(M111="","",IF(M111=E111,1,0))</f>
        <v/>
      </c>
      <c r="Q111">
        <f>IF(K111="OK","-",IF(N111&lt;$B$7,"AMBIGUOUS","CONFIDENT"))</f>
        <v/>
      </c>
    </row>
    <row r="112">
      <c r="A112">
        <f>'Runs Z score'!A104</f>
        <v/>
      </c>
      <c r="B112">
        <f>'Runs Z score'!B104</f>
        <v/>
      </c>
      <c r="C112">
        <f>'Runs Z score'!C104</f>
        <v/>
      </c>
      <c r="D112">
        <f>'Runs Z score'!D104</f>
        <v/>
      </c>
      <c r="E112">
        <f>'Runs Z score'!E104</f>
        <v/>
      </c>
      <c r="F112">
        <f>'Runs Z score'!F104</f>
        <v/>
      </c>
      <c r="G112">
        <f>'Runs Z score'!G104</f>
        <v/>
      </c>
      <c r="H112">
        <f>VLOOKUP(C112,Recipes!$A$2:$N$4,10,FALSE())</f>
        <v/>
      </c>
      <c r="I112">
        <f>VLOOKUP(C112,Recipes!$A$2:$N$4,12,FALSE())</f>
        <v/>
      </c>
      <c r="J112">
        <f>IF(G112="","",H112-G112)</f>
        <v/>
      </c>
      <c r="K112">
        <f>IF(G112="","",IF(ABS(G112-H112)&lt;=$B$6*I112,"OK","NG"))</f>
        <v/>
      </c>
      <c r="L112">
        <f>IF(K112="","",IF(K112=D112,1,0))</f>
        <v/>
      </c>
      <c r="M112" t="inlineStr">
        <is>
          <t>N2</t>
        </is>
      </c>
      <c r="N112" s="15" t="n">
        <v>0.9999555295179819</v>
      </c>
      <c r="O112" s="15" t="n">
        <v>4.447048201807338e-05</v>
      </c>
      <c r="P112">
        <f>IF(M112="","",IF(M112=E112,1,0))</f>
        <v/>
      </c>
      <c r="Q112">
        <f>IF(K112="OK","-",IF(N112&lt;$B$7,"AMBIGUOUS","CONFIDENT"))</f>
        <v/>
      </c>
    </row>
    <row r="113">
      <c r="A113">
        <f>'Runs Z score'!A105</f>
        <v/>
      </c>
      <c r="B113">
        <f>'Runs Z score'!B105</f>
        <v/>
      </c>
      <c r="C113">
        <f>'Runs Z score'!C105</f>
        <v/>
      </c>
      <c r="D113">
        <f>'Runs Z score'!D105</f>
        <v/>
      </c>
      <c r="E113">
        <f>'Runs Z score'!E105</f>
        <v/>
      </c>
      <c r="F113">
        <f>'Runs Z score'!F105</f>
        <v/>
      </c>
      <c r="G113">
        <f>'Runs Z score'!G105</f>
        <v/>
      </c>
      <c r="H113">
        <f>VLOOKUP(C113,Recipes!$A$2:$N$4,10,FALSE())</f>
        <v/>
      </c>
      <c r="I113">
        <f>VLOOKUP(C113,Recipes!$A$2:$N$4,12,FALSE())</f>
        <v/>
      </c>
      <c r="J113">
        <f>IF(G113="","",H113-G113)</f>
        <v/>
      </c>
      <c r="K113">
        <f>IF(G113="","",IF(ABS(G113-H113)&lt;=$B$6*I113,"OK","NG"))</f>
        <v/>
      </c>
      <c r="L113">
        <f>IF(K113="","",IF(K113=D113,1,0))</f>
        <v/>
      </c>
      <c r="M113" t="inlineStr">
        <is>
          <t>N2</t>
        </is>
      </c>
      <c r="N113" s="15" t="n">
        <v>0.9999798027031164</v>
      </c>
      <c r="O113" s="15" t="n">
        <v>2.019729688361585e-05</v>
      </c>
      <c r="P113">
        <f>IF(M113="","",IF(M113=E113,1,0))</f>
        <v/>
      </c>
      <c r="Q113">
        <f>IF(K113="OK","-",IF(N113&lt;$B$7,"AMBIGUOUS","CONFIDENT"))</f>
        <v/>
      </c>
    </row>
    <row r="114">
      <c r="A114">
        <f>'Runs Z score'!A106</f>
        <v/>
      </c>
      <c r="B114">
        <f>'Runs Z score'!B106</f>
        <v/>
      </c>
      <c r="C114">
        <f>'Runs Z score'!C106</f>
        <v/>
      </c>
      <c r="D114">
        <f>'Runs Z score'!D106</f>
        <v/>
      </c>
      <c r="E114">
        <f>'Runs Z score'!E106</f>
        <v/>
      </c>
      <c r="F114">
        <f>'Runs Z score'!F106</f>
        <v/>
      </c>
      <c r="G114">
        <f>'Runs Z score'!G106</f>
        <v/>
      </c>
      <c r="H114">
        <f>VLOOKUP(C114,Recipes!$A$2:$N$4,10,FALSE())</f>
        <v/>
      </c>
      <c r="I114">
        <f>VLOOKUP(C114,Recipes!$A$2:$N$4,12,FALSE())</f>
        <v/>
      </c>
      <c r="J114">
        <f>IF(G114="","",H114-G114)</f>
        <v/>
      </c>
      <c r="K114">
        <f>IF(G114="","",IF(ABS(G114-H114)&lt;=$B$6*I114,"OK","NG"))</f>
        <v/>
      </c>
      <c r="L114">
        <f>IF(K114="","",IF(K114=D114,1,0))</f>
        <v/>
      </c>
      <c r="M114" t="inlineStr">
        <is>
          <t>N2</t>
        </is>
      </c>
      <c r="N114" s="15" t="n">
        <v>0.9999817762387574</v>
      </c>
      <c r="O114" s="15" t="n">
        <v>1.822376124258831e-05</v>
      </c>
      <c r="P114">
        <f>IF(M114="","",IF(M114=E114,1,0))</f>
        <v/>
      </c>
      <c r="Q114">
        <f>IF(K114="OK","-",IF(N114&lt;$B$7,"AMBIGUOUS","CONFIDENT"))</f>
        <v/>
      </c>
    </row>
    <row r="115">
      <c r="A115">
        <f>'Runs Z score'!A107</f>
        <v/>
      </c>
      <c r="B115">
        <f>'Runs Z score'!B107</f>
        <v/>
      </c>
      <c r="C115">
        <f>'Runs Z score'!C107</f>
        <v/>
      </c>
      <c r="D115">
        <f>'Runs Z score'!D107</f>
        <v/>
      </c>
      <c r="E115">
        <f>'Runs Z score'!E107</f>
        <v/>
      </c>
      <c r="F115">
        <f>'Runs Z score'!F107</f>
        <v/>
      </c>
      <c r="G115">
        <f>'Runs Z score'!G107</f>
        <v/>
      </c>
      <c r="H115">
        <f>VLOOKUP(C115,Recipes!$A$2:$N$4,10,FALSE())</f>
        <v/>
      </c>
      <c r="I115">
        <f>VLOOKUP(C115,Recipes!$A$2:$N$4,12,FALSE())</f>
        <v/>
      </c>
      <c r="J115">
        <f>IF(G115="","",H115-G115)</f>
        <v/>
      </c>
      <c r="K115">
        <f>IF(G115="","",IF(ABS(G115-H115)&lt;=$B$6*I115,"OK","NG"))</f>
        <v/>
      </c>
      <c r="L115">
        <f>IF(K115="","",IF(K115=D115,1,0))</f>
        <v/>
      </c>
      <c r="M115" t="inlineStr">
        <is>
          <t>N2</t>
        </is>
      </c>
      <c r="N115" s="15" t="n">
        <v>0.9999700312779022</v>
      </c>
      <c r="O115" s="15" t="n">
        <v>2.99687220978022e-05</v>
      </c>
      <c r="P115">
        <f>IF(M115="","",IF(M115=E115,1,0))</f>
        <v/>
      </c>
      <c r="Q115">
        <f>IF(K115="OK","-",IF(N115&lt;$B$7,"AMBIGUOUS","CONFIDENT"))</f>
        <v/>
      </c>
    </row>
    <row r="116">
      <c r="A116">
        <f>'Runs Z score'!A108</f>
        <v/>
      </c>
      <c r="B116">
        <f>'Runs Z score'!B108</f>
        <v/>
      </c>
      <c r="C116">
        <f>'Runs Z score'!C108</f>
        <v/>
      </c>
      <c r="D116">
        <f>'Runs Z score'!D108</f>
        <v/>
      </c>
      <c r="E116">
        <f>'Runs Z score'!E108</f>
        <v/>
      </c>
      <c r="F116">
        <f>'Runs Z score'!F108</f>
        <v/>
      </c>
      <c r="G116">
        <f>'Runs Z score'!G108</f>
        <v/>
      </c>
      <c r="H116">
        <f>VLOOKUP(C116,Recipes!$A$2:$N$4,10,FALSE())</f>
        <v/>
      </c>
      <c r="I116">
        <f>VLOOKUP(C116,Recipes!$A$2:$N$4,12,FALSE())</f>
        <v/>
      </c>
      <c r="J116">
        <f>IF(G116="","",H116-G116)</f>
        <v/>
      </c>
      <c r="K116">
        <f>IF(G116="","",IF(ABS(G116-H116)&lt;=$B$6*I116,"OK","NG"))</f>
        <v/>
      </c>
      <c r="L116">
        <f>IF(K116="","",IF(K116=D116,1,0))</f>
        <v/>
      </c>
      <c r="M116" t="inlineStr">
        <is>
          <t>N2</t>
        </is>
      </c>
      <c r="N116" s="15" t="n">
        <v>0.9999649062350554</v>
      </c>
      <c r="O116" s="15" t="n">
        <v>3.509376494470765e-05</v>
      </c>
      <c r="P116">
        <f>IF(M116="","",IF(M116=E116,1,0))</f>
        <v/>
      </c>
      <c r="Q116">
        <f>IF(K116="OK","-",IF(N116&lt;$B$7,"AMBIGUOUS","CONFIDENT"))</f>
        <v/>
      </c>
    </row>
    <row r="117">
      <c r="A117">
        <f>'Runs Z score'!A109</f>
        <v/>
      </c>
      <c r="B117">
        <f>'Runs Z score'!B109</f>
        <v/>
      </c>
      <c r="C117">
        <f>'Runs Z score'!C109</f>
        <v/>
      </c>
      <c r="D117">
        <f>'Runs Z score'!D109</f>
        <v/>
      </c>
      <c r="E117">
        <f>'Runs Z score'!E109</f>
        <v/>
      </c>
      <c r="F117">
        <f>'Runs Z score'!F109</f>
        <v/>
      </c>
      <c r="G117">
        <f>'Runs Z score'!G109</f>
        <v/>
      </c>
      <c r="H117">
        <f>VLOOKUP(C117,Recipes!$A$2:$N$4,10,FALSE())</f>
        <v/>
      </c>
      <c r="I117">
        <f>VLOOKUP(C117,Recipes!$A$2:$N$4,12,FALSE())</f>
        <v/>
      </c>
      <c r="J117">
        <f>IF(G117="","",H117-G117)</f>
        <v/>
      </c>
      <c r="K117">
        <f>IF(G117="","",IF(ABS(G117-H117)&lt;=$B$6*I117,"OK","NG"))</f>
        <v/>
      </c>
      <c r="L117">
        <f>IF(K117="","",IF(K117=D117,1,0))</f>
        <v/>
      </c>
      <c r="M117" t="inlineStr">
        <is>
          <t>N2</t>
        </is>
      </c>
      <c r="N117" s="15" t="n">
        <v>0.9999832721100737</v>
      </c>
      <c r="O117" s="15" t="n">
        <v>1.672788992638631e-05</v>
      </c>
      <c r="P117">
        <f>IF(M117="","",IF(M117=E117,1,0))</f>
        <v/>
      </c>
      <c r="Q117">
        <f>IF(K117="OK","-",IF(N117&lt;$B$7,"AMBIGUOUS","CONFIDENT"))</f>
        <v/>
      </c>
    </row>
    <row r="118">
      <c r="A118">
        <f>'Runs Z score'!A110</f>
        <v/>
      </c>
      <c r="B118">
        <f>'Runs Z score'!B110</f>
        <v/>
      </c>
      <c r="C118">
        <f>'Runs Z score'!C110</f>
        <v/>
      </c>
      <c r="D118">
        <f>'Runs Z score'!D110</f>
        <v/>
      </c>
      <c r="E118">
        <f>'Runs Z score'!E110</f>
        <v/>
      </c>
      <c r="F118">
        <f>'Runs Z score'!F110</f>
        <v/>
      </c>
      <c r="G118">
        <f>'Runs Z score'!G110</f>
        <v/>
      </c>
      <c r="H118">
        <f>VLOOKUP(C118,Recipes!$A$2:$N$4,10,FALSE())</f>
        <v/>
      </c>
      <c r="I118">
        <f>VLOOKUP(C118,Recipes!$A$2:$N$4,12,FALSE())</f>
        <v/>
      </c>
      <c r="J118">
        <f>IF(G118="","",H118-G118)</f>
        <v/>
      </c>
      <c r="K118">
        <f>IF(G118="","",IF(ABS(G118-H118)&lt;=$B$6*I118,"OK","NG"))</f>
        <v/>
      </c>
      <c r="L118">
        <f>IF(K118="","",IF(K118=D118,1,0))</f>
        <v/>
      </c>
      <c r="M118" t="inlineStr">
        <is>
          <t>N2</t>
        </is>
      </c>
      <c r="N118" s="15" t="n">
        <v>0.9999789506813916</v>
      </c>
      <c r="O118" s="15" t="n">
        <v>2.104931860828318e-05</v>
      </c>
      <c r="P118">
        <f>IF(M118="","",IF(M118=E118,1,0))</f>
        <v/>
      </c>
      <c r="Q118">
        <f>IF(K118="OK","-",IF(N118&lt;$B$7,"AMBIGUOUS","CONFIDENT"))</f>
        <v/>
      </c>
    </row>
    <row r="119">
      <c r="A119">
        <f>'Runs Z score'!A111</f>
        <v/>
      </c>
      <c r="B119">
        <f>'Runs Z score'!B111</f>
        <v/>
      </c>
      <c r="C119">
        <f>'Runs Z score'!C111</f>
        <v/>
      </c>
      <c r="D119">
        <f>'Runs Z score'!D111</f>
        <v/>
      </c>
      <c r="E119">
        <f>'Runs Z score'!E111</f>
        <v/>
      </c>
      <c r="F119">
        <f>'Runs Z score'!F111</f>
        <v/>
      </c>
      <c r="G119">
        <f>'Runs Z score'!G111</f>
        <v/>
      </c>
      <c r="H119">
        <f>VLOOKUP(C119,Recipes!$A$2:$N$4,10,FALSE())</f>
        <v/>
      </c>
      <c r="I119">
        <f>VLOOKUP(C119,Recipes!$A$2:$N$4,12,FALSE())</f>
        <v/>
      </c>
      <c r="J119">
        <f>IF(G119="","",H119-G119)</f>
        <v/>
      </c>
      <c r="K119">
        <f>IF(G119="","",IF(ABS(G119-H119)&lt;=$B$6*I119,"OK","NG"))</f>
        <v/>
      </c>
      <c r="L119">
        <f>IF(K119="","",IF(K119=D119,1,0))</f>
        <v/>
      </c>
      <c r="M119" t="inlineStr">
        <is>
          <t>N2</t>
        </is>
      </c>
      <c r="N119" s="15" t="n">
        <v>0.9999563972924298</v>
      </c>
      <c r="O119" s="15" t="n">
        <v>4.360270757032359e-05</v>
      </c>
      <c r="P119">
        <f>IF(M119="","",IF(M119=E119,1,0))</f>
        <v/>
      </c>
      <c r="Q119">
        <f>IF(K119="OK","-",IF(N119&lt;$B$7,"AMBIGUOUS","CONFIDENT"))</f>
        <v/>
      </c>
    </row>
    <row r="120">
      <c r="A120">
        <f>'Runs Z score'!A112</f>
        <v/>
      </c>
      <c r="B120">
        <f>'Runs Z score'!B112</f>
        <v/>
      </c>
      <c r="C120">
        <f>'Runs Z score'!C112</f>
        <v/>
      </c>
      <c r="D120">
        <f>'Runs Z score'!D112</f>
        <v/>
      </c>
      <c r="E120">
        <f>'Runs Z score'!E112</f>
        <v/>
      </c>
      <c r="F120">
        <f>'Runs Z score'!F112</f>
        <v/>
      </c>
      <c r="G120">
        <f>'Runs Z score'!G112</f>
        <v/>
      </c>
      <c r="H120">
        <f>VLOOKUP(C120,Recipes!$A$2:$N$4,10,FALSE())</f>
        <v/>
      </c>
      <c r="I120">
        <f>VLOOKUP(C120,Recipes!$A$2:$N$4,12,FALSE())</f>
        <v/>
      </c>
      <c r="J120">
        <f>IF(G120="","",H120-G120)</f>
        <v/>
      </c>
      <c r="K120">
        <f>IF(G120="","",IF(ABS(G120-H120)&lt;=$B$6*I120,"OK","NG"))</f>
        <v/>
      </c>
      <c r="L120">
        <f>IF(K120="","",IF(K120=D120,1,0))</f>
        <v/>
      </c>
      <c r="M120" t="inlineStr">
        <is>
          <t>N2</t>
        </is>
      </c>
      <c r="N120" s="15" t="n">
        <v>0.9999763494714458</v>
      </c>
      <c r="O120" s="15" t="n">
        <v>2.365052855419492e-05</v>
      </c>
      <c r="P120">
        <f>IF(M120="","",IF(M120=E120,1,0))</f>
        <v/>
      </c>
      <c r="Q120">
        <f>IF(K120="OK","-",IF(N120&lt;$B$7,"AMBIGUOUS","CONFIDENT"))</f>
        <v/>
      </c>
    </row>
    <row r="121">
      <c r="A121">
        <f>'Runs Z score'!A113</f>
        <v/>
      </c>
      <c r="B121">
        <f>'Runs Z score'!B113</f>
        <v/>
      </c>
      <c r="C121">
        <f>'Runs Z score'!C113</f>
        <v/>
      </c>
      <c r="D121">
        <f>'Runs Z score'!D113</f>
        <v/>
      </c>
      <c r="E121">
        <f>'Runs Z score'!E113</f>
        <v/>
      </c>
      <c r="F121">
        <f>'Runs Z score'!F113</f>
        <v/>
      </c>
      <c r="G121">
        <f>'Runs Z score'!G113</f>
        <v/>
      </c>
      <c r="H121">
        <f>VLOOKUP(C121,Recipes!$A$2:$N$4,10,FALSE())</f>
        <v/>
      </c>
      <c r="I121">
        <f>VLOOKUP(C121,Recipes!$A$2:$N$4,12,FALSE())</f>
        <v/>
      </c>
      <c r="J121">
        <f>IF(G121="","",H121-G121)</f>
        <v/>
      </c>
      <c r="K121">
        <f>IF(G121="","",IF(ABS(G121-H121)&lt;=$B$6*I121,"OK","NG"))</f>
        <v/>
      </c>
      <c r="L121">
        <f>IF(K121="","",IF(K121=D121,1,0))</f>
        <v/>
      </c>
      <c r="M121" t="inlineStr">
        <is>
          <t>N2</t>
        </is>
      </c>
      <c r="N121" s="15" t="n">
        <v>0.9999834526599972</v>
      </c>
      <c r="O121" s="15" t="n">
        <v>1.654734000272794e-05</v>
      </c>
      <c r="P121">
        <f>IF(M121="","",IF(M121=E121,1,0))</f>
        <v/>
      </c>
      <c r="Q121">
        <f>IF(K121="OK","-",IF(N121&lt;$B$7,"AMBIGUOUS","CONFIDENT"))</f>
        <v/>
      </c>
    </row>
    <row r="122">
      <c r="A122">
        <f>'Runs Z score'!A114</f>
        <v/>
      </c>
      <c r="B122">
        <f>'Runs Z score'!B114</f>
        <v/>
      </c>
      <c r="C122">
        <f>'Runs Z score'!C114</f>
        <v/>
      </c>
      <c r="D122">
        <f>'Runs Z score'!D114</f>
        <v/>
      </c>
      <c r="E122">
        <f>'Runs Z score'!E114</f>
        <v/>
      </c>
      <c r="F122">
        <f>'Runs Z score'!F114</f>
        <v/>
      </c>
      <c r="G122">
        <f>'Runs Z score'!G114</f>
        <v/>
      </c>
      <c r="H122">
        <f>VLOOKUP(C122,Recipes!$A$2:$N$4,10,FALSE())</f>
        <v/>
      </c>
      <c r="I122">
        <f>VLOOKUP(C122,Recipes!$A$2:$N$4,12,FALSE())</f>
        <v/>
      </c>
      <c r="J122">
        <f>IF(G122="","",H122-G122)</f>
        <v/>
      </c>
      <c r="K122">
        <f>IF(G122="","",IF(ABS(G122-H122)&lt;=$B$6*I122,"OK","NG"))</f>
        <v/>
      </c>
      <c r="L122">
        <f>IF(K122="","",IF(K122=D122,1,0))</f>
        <v/>
      </c>
      <c r="M122" t="inlineStr">
        <is>
          <t>N2</t>
        </is>
      </c>
      <c r="N122" s="15" t="n">
        <v>0.9999785644895208</v>
      </c>
      <c r="O122" s="15" t="n">
        <v>2.143551047923166e-05</v>
      </c>
      <c r="P122">
        <f>IF(M122="","",IF(M122=E122,1,0))</f>
        <v/>
      </c>
      <c r="Q122">
        <f>IF(K122="OK","-",IF(N122&lt;$B$7,"AMBIGUOUS","CONFIDENT"))</f>
        <v/>
      </c>
    </row>
    <row r="123">
      <c r="A123">
        <f>'Runs Z score'!A115</f>
        <v/>
      </c>
      <c r="B123">
        <f>'Runs Z score'!B115</f>
        <v/>
      </c>
      <c r="C123">
        <f>'Runs Z score'!C115</f>
        <v/>
      </c>
      <c r="D123">
        <f>'Runs Z score'!D115</f>
        <v/>
      </c>
      <c r="E123">
        <f>'Runs Z score'!E115</f>
        <v/>
      </c>
      <c r="F123">
        <f>'Runs Z score'!F115</f>
        <v/>
      </c>
      <c r="G123">
        <f>'Runs Z score'!G115</f>
        <v/>
      </c>
      <c r="H123">
        <f>VLOOKUP(C123,Recipes!$A$2:$N$4,10,FALSE())</f>
        <v/>
      </c>
      <c r="I123">
        <f>VLOOKUP(C123,Recipes!$A$2:$N$4,12,FALSE())</f>
        <v/>
      </c>
      <c r="J123">
        <f>IF(G123="","",H123-G123)</f>
        <v/>
      </c>
      <c r="K123">
        <f>IF(G123="","",IF(ABS(G123-H123)&lt;=$B$6*I123,"OK","NG"))</f>
        <v/>
      </c>
      <c r="L123">
        <f>IF(K123="","",IF(K123=D123,1,0))</f>
        <v/>
      </c>
      <c r="M123" t="inlineStr">
        <is>
          <t>N2</t>
        </is>
      </c>
      <c r="N123" s="15" t="n">
        <v>0.9999789506813916</v>
      </c>
      <c r="O123" s="15" t="n">
        <v>2.104931860828318e-05</v>
      </c>
      <c r="P123">
        <f>IF(M123="","",IF(M123=E123,1,0))</f>
        <v/>
      </c>
      <c r="Q123">
        <f>IF(K123="OK","-",IF(N123&lt;$B$7,"AMBIGUOUS","CONFIDENT"))</f>
        <v/>
      </c>
    </row>
    <row r="124">
      <c r="A124">
        <f>'Runs Z score'!A116</f>
        <v/>
      </c>
      <c r="B124">
        <f>'Runs Z score'!B116</f>
        <v/>
      </c>
      <c r="C124">
        <f>'Runs Z score'!C116</f>
        <v/>
      </c>
      <c r="D124">
        <f>'Runs Z score'!D116</f>
        <v/>
      </c>
      <c r="E124">
        <f>'Runs Z score'!E116</f>
        <v/>
      </c>
      <c r="F124">
        <f>'Runs Z score'!F116</f>
        <v/>
      </c>
      <c r="G124">
        <f>'Runs Z score'!G116</f>
        <v/>
      </c>
      <c r="H124">
        <f>VLOOKUP(C124,Recipes!$A$2:$N$4,10,FALSE())</f>
        <v/>
      </c>
      <c r="I124">
        <f>VLOOKUP(C124,Recipes!$A$2:$N$4,12,FALSE())</f>
        <v/>
      </c>
      <c r="J124">
        <f>IF(G124="","",H124-G124)</f>
        <v/>
      </c>
      <c r="K124">
        <f>IF(G124="","",IF(ABS(G124-H124)&lt;=$B$6*I124,"OK","NG"))</f>
        <v/>
      </c>
      <c r="L124">
        <f>IF(K124="","",IF(K124=D124,1,0))</f>
        <v/>
      </c>
      <c r="M124" t="inlineStr">
        <is>
          <t>N2</t>
        </is>
      </c>
      <c r="N124" s="15" t="n">
        <v>0.9999857138422754</v>
      </c>
      <c r="O124" s="15" t="n">
        <v>1.42861577245435e-05</v>
      </c>
      <c r="P124">
        <f>IF(M124="","",IF(M124=E124,1,0))</f>
        <v/>
      </c>
      <c r="Q124">
        <f>IF(K124="OK","-",IF(N124&lt;$B$7,"AMBIGUOUS","CONFIDENT"))</f>
        <v/>
      </c>
    </row>
    <row r="125">
      <c r="A125">
        <f>'Runs Z score'!A117</f>
        <v/>
      </c>
      <c r="B125">
        <f>'Runs Z score'!B117</f>
        <v/>
      </c>
      <c r="C125">
        <f>'Runs Z score'!C117</f>
        <v/>
      </c>
      <c r="D125">
        <f>'Runs Z score'!D117</f>
        <v/>
      </c>
      <c r="E125">
        <f>'Runs Z score'!E117</f>
        <v/>
      </c>
      <c r="F125">
        <f>'Runs Z score'!F117</f>
        <v/>
      </c>
      <c r="G125">
        <f>'Runs Z score'!G117</f>
        <v/>
      </c>
      <c r="H125">
        <f>VLOOKUP(C125,Recipes!$A$2:$N$4,10,FALSE())</f>
        <v/>
      </c>
      <c r="I125">
        <f>VLOOKUP(C125,Recipes!$A$2:$N$4,12,FALSE())</f>
        <v/>
      </c>
      <c r="J125">
        <f>IF(G125="","",H125-G125)</f>
        <v/>
      </c>
      <c r="K125">
        <f>IF(G125="","",IF(ABS(G125-H125)&lt;=$B$6*I125,"OK","NG"))</f>
        <v/>
      </c>
      <c r="L125">
        <f>IF(K125="","",IF(K125=D125,1,0))</f>
        <v/>
      </c>
      <c r="M125" t="inlineStr">
        <is>
          <t>N2</t>
        </is>
      </c>
      <c r="N125" s="15" t="n">
        <v>0.9999857138422754</v>
      </c>
      <c r="O125" s="15" t="n">
        <v>1.42861577245435e-05</v>
      </c>
      <c r="P125">
        <f>IF(M125="","",IF(M125=E125,1,0))</f>
        <v/>
      </c>
      <c r="Q125">
        <f>IF(K125="OK","-",IF(N125&lt;$B$7,"AMBIGUOUS","CONFIDENT"))</f>
        <v/>
      </c>
    </row>
    <row r="126">
      <c r="A126">
        <f>'Runs Z score'!A118</f>
        <v/>
      </c>
      <c r="B126">
        <f>'Runs Z score'!B118</f>
        <v/>
      </c>
      <c r="C126">
        <f>'Runs Z score'!C118</f>
        <v/>
      </c>
      <c r="D126">
        <f>'Runs Z score'!D118</f>
        <v/>
      </c>
      <c r="E126">
        <f>'Runs Z score'!E118</f>
        <v/>
      </c>
      <c r="F126">
        <f>'Runs Z score'!F118</f>
        <v/>
      </c>
      <c r="G126">
        <f>'Runs Z score'!G118</f>
        <v/>
      </c>
      <c r="H126">
        <f>VLOOKUP(C126,Recipes!$A$2:$N$4,10,FALSE())</f>
        <v/>
      </c>
      <c r="I126">
        <f>VLOOKUP(C126,Recipes!$A$2:$N$4,12,FALSE())</f>
        <v/>
      </c>
      <c r="J126">
        <f>IF(G126="","",H126-G126)</f>
        <v/>
      </c>
      <c r="K126">
        <f>IF(G126="","",IF(ABS(G126-H126)&lt;=$B$6*I126,"OK","NG"))</f>
        <v/>
      </c>
      <c r="L126">
        <f>IF(K126="","",IF(K126=D126,1,0))</f>
        <v/>
      </c>
      <c r="M126" t="inlineStr">
        <is>
          <t>N2</t>
        </is>
      </c>
      <c r="N126" s="15" t="n">
        <v>0.9999789506813916</v>
      </c>
      <c r="O126" s="15" t="n">
        <v>2.104931860828318e-05</v>
      </c>
      <c r="P126">
        <f>IF(M126="","",IF(M126=E126,1,0))</f>
        <v/>
      </c>
      <c r="Q126">
        <f>IF(K126="OK","-",IF(N126&lt;$B$7,"AMBIGUOUS","CONFIDENT"))</f>
        <v/>
      </c>
    </row>
    <row r="127">
      <c r="A127">
        <f>'Runs Z score'!A119</f>
        <v/>
      </c>
      <c r="B127">
        <f>'Runs Z score'!B119</f>
        <v/>
      </c>
      <c r="C127">
        <f>'Runs Z score'!C119</f>
        <v/>
      </c>
      <c r="D127">
        <f>'Runs Z score'!D119</f>
        <v/>
      </c>
      <c r="E127">
        <f>'Runs Z score'!E119</f>
        <v/>
      </c>
      <c r="F127">
        <f>'Runs Z score'!F119</f>
        <v/>
      </c>
      <c r="G127">
        <f>'Runs Z score'!G119</f>
        <v/>
      </c>
      <c r="H127">
        <f>VLOOKUP(C127,Recipes!$A$2:$N$4,10,FALSE())</f>
        <v/>
      </c>
      <c r="I127">
        <f>VLOOKUP(C127,Recipes!$A$2:$N$4,12,FALSE())</f>
        <v/>
      </c>
      <c r="J127">
        <f>IF(G127="","",H127-G127)</f>
        <v/>
      </c>
      <c r="K127">
        <f>IF(G127="","",IF(ABS(G127-H127)&lt;=$B$6*I127,"OK","NG"))</f>
        <v/>
      </c>
      <c r="L127">
        <f>IF(K127="","",IF(K127=D127,1,0))</f>
        <v/>
      </c>
      <c r="M127" t="inlineStr">
        <is>
          <t>N2</t>
        </is>
      </c>
      <c r="N127" s="15" t="n">
        <v>0.999974786659088</v>
      </c>
      <c r="O127" s="15" t="n">
        <v>2.521334091192311e-05</v>
      </c>
      <c r="P127">
        <f>IF(M127="","",IF(M127=E127,1,0))</f>
        <v/>
      </c>
      <c r="Q127">
        <f>IF(K127="OK","-",IF(N127&lt;$B$7,"AMBIGUOUS","CONFIDENT"))</f>
        <v/>
      </c>
    </row>
    <row r="128">
      <c r="A128">
        <f>'Runs Z score'!A120</f>
        <v/>
      </c>
      <c r="B128">
        <f>'Runs Z score'!B120</f>
        <v/>
      </c>
      <c r="C128">
        <f>'Runs Z score'!C120</f>
        <v/>
      </c>
      <c r="D128">
        <f>'Runs Z score'!D120</f>
        <v/>
      </c>
      <c r="E128">
        <f>'Runs Z score'!E120</f>
        <v/>
      </c>
      <c r="F128">
        <f>'Runs Z score'!F120</f>
        <v/>
      </c>
      <c r="G128">
        <f>'Runs Z score'!G120</f>
        <v/>
      </c>
      <c r="H128">
        <f>VLOOKUP(C128,Recipes!$A$2:$N$4,10,FALSE())</f>
        <v/>
      </c>
      <c r="I128">
        <f>VLOOKUP(C128,Recipes!$A$2:$N$4,12,FALSE())</f>
        <v/>
      </c>
      <c r="J128">
        <f>IF(G128="","",H128-G128)</f>
        <v/>
      </c>
      <c r="K128">
        <f>IF(G128="","",IF(ABS(G128-H128)&lt;=$B$6*I128,"OK","NG"))</f>
        <v/>
      </c>
      <c r="L128">
        <f>IF(K128="","",IF(K128=D128,1,0))</f>
        <v/>
      </c>
      <c r="M128" t="inlineStr">
        <is>
          <t>N2</t>
        </is>
      </c>
      <c r="N128" s="15" t="n">
        <v>0.9999786361592784</v>
      </c>
      <c r="O128" s="15" t="n">
        <v>2.136384072156679e-05</v>
      </c>
      <c r="P128">
        <f>IF(M128="","",IF(M128=E128,1,0))</f>
        <v/>
      </c>
      <c r="Q128">
        <f>IF(K128="OK","-",IF(N128&lt;$B$7,"AMBIGUOUS","CONFIDENT"))</f>
        <v/>
      </c>
    </row>
    <row r="129">
      <c r="A129">
        <f>'Runs Z score'!A121</f>
        <v/>
      </c>
      <c r="B129">
        <f>'Runs Z score'!B121</f>
        <v/>
      </c>
      <c r="C129">
        <f>'Runs Z score'!C121</f>
        <v/>
      </c>
      <c r="D129">
        <f>'Runs Z score'!D121</f>
        <v/>
      </c>
      <c r="E129">
        <f>'Runs Z score'!E121</f>
        <v/>
      </c>
      <c r="F129">
        <f>'Runs Z score'!F121</f>
        <v/>
      </c>
      <c r="G129">
        <f>'Runs Z score'!G121</f>
        <v/>
      </c>
      <c r="H129">
        <f>VLOOKUP(C129,Recipes!$A$2:$N$4,10,FALSE())</f>
        <v/>
      </c>
      <c r="I129">
        <f>VLOOKUP(C129,Recipes!$A$2:$N$4,12,FALSE())</f>
        <v/>
      </c>
      <c r="J129">
        <f>IF(G129="","",H129-G129)</f>
        <v/>
      </c>
      <c r="K129">
        <f>IF(G129="","",IF(ABS(G129-H129)&lt;=$B$6*I129,"OK","NG"))</f>
        <v/>
      </c>
      <c r="L129">
        <f>IF(K129="","",IF(K129=D129,1,0))</f>
        <v/>
      </c>
      <c r="M129" t="inlineStr">
        <is>
          <t>N2</t>
        </is>
      </c>
      <c r="N129" s="15" t="n">
        <v>0.9999857889850748</v>
      </c>
      <c r="O129" s="15" t="n">
        <v>1.421101492525659e-05</v>
      </c>
      <c r="P129">
        <f>IF(M129="","",IF(M129=E129,1,0))</f>
        <v/>
      </c>
      <c r="Q129">
        <f>IF(K129="OK","-",IF(N129&lt;$B$7,"AMBIGUOUS","CONFIDENT"))</f>
        <v/>
      </c>
    </row>
    <row r="130">
      <c r="A130">
        <f>'Runs Z score'!A122</f>
        <v/>
      </c>
      <c r="B130">
        <f>'Runs Z score'!B122</f>
        <v/>
      </c>
      <c r="C130">
        <f>'Runs Z score'!C122</f>
        <v/>
      </c>
      <c r="D130">
        <f>'Runs Z score'!D122</f>
        <v/>
      </c>
      <c r="E130">
        <f>'Runs Z score'!E122</f>
        <v/>
      </c>
      <c r="F130">
        <f>'Runs Z score'!F122</f>
        <v/>
      </c>
      <c r="G130">
        <f>'Runs Z score'!G122</f>
        <v/>
      </c>
      <c r="H130">
        <f>VLOOKUP(C130,Recipes!$A$2:$N$4,10,FALSE())</f>
        <v/>
      </c>
      <c r="I130">
        <f>VLOOKUP(C130,Recipes!$A$2:$N$4,12,FALSE())</f>
        <v/>
      </c>
      <c r="J130">
        <f>IF(G130="","",H130-G130)</f>
        <v/>
      </c>
      <c r="K130">
        <f>IF(G130="","",IF(ABS(G130-H130)&lt;=$B$6*I130,"OK","NG"))</f>
        <v/>
      </c>
      <c r="L130">
        <f>IF(K130="","",IF(K130=D130,1,0))</f>
        <v/>
      </c>
      <c r="M130" t="inlineStr">
        <is>
          <t>N2</t>
        </is>
      </c>
      <c r="N130" s="15" t="n">
        <v>0.9999803091821624</v>
      </c>
      <c r="O130" s="15" t="n">
        <v>1.969081783760845e-05</v>
      </c>
      <c r="P130">
        <f>IF(M130="","",IF(M130=E130,1,0))</f>
        <v/>
      </c>
      <c r="Q130">
        <f>IF(K130="OK","-",IF(N130&lt;$B$7,"AMBIGUOUS","CONFIDENT"))</f>
        <v/>
      </c>
    </row>
    <row r="131">
      <c r="A131">
        <f>'Runs Z score'!A123</f>
        <v/>
      </c>
      <c r="B131">
        <f>'Runs Z score'!B123</f>
        <v/>
      </c>
      <c r="C131">
        <f>'Runs Z score'!C123</f>
        <v/>
      </c>
      <c r="D131">
        <f>'Runs Z score'!D123</f>
        <v/>
      </c>
      <c r="E131">
        <f>'Runs Z score'!E123</f>
        <v/>
      </c>
      <c r="F131">
        <f>'Runs Z score'!F123</f>
        <v/>
      </c>
      <c r="G131">
        <f>'Runs Z score'!G123</f>
        <v/>
      </c>
      <c r="H131">
        <f>VLOOKUP(C131,Recipes!$A$2:$N$4,10,FALSE())</f>
        <v/>
      </c>
      <c r="I131">
        <f>VLOOKUP(C131,Recipes!$A$2:$N$4,12,FALSE())</f>
        <v/>
      </c>
      <c r="J131">
        <f>IF(G131="","",H131-G131)</f>
        <v/>
      </c>
      <c r="K131">
        <f>IF(G131="","",IF(ABS(G131-H131)&lt;=$B$6*I131,"OK","NG"))</f>
        <v/>
      </c>
      <c r="L131">
        <f>IF(K131="","",IF(K131=D131,1,0))</f>
        <v/>
      </c>
      <c r="M131" t="inlineStr">
        <is>
          <t>NONE</t>
        </is>
      </c>
      <c r="N131" s="15" t="n">
        <v>1</v>
      </c>
      <c r="O131" s="15" t="n">
        <v>0</v>
      </c>
      <c r="P131">
        <f>IF(M131="","",IF(M131=E131,1,0))</f>
        <v/>
      </c>
      <c r="Q131">
        <f>IF(K131="OK","-",IF(N131&lt;$B$7,"AMBIGUOUS","CONFIDENT"))</f>
        <v/>
      </c>
    </row>
    <row r="132">
      <c r="A132">
        <f>'Runs Z score'!A124</f>
        <v/>
      </c>
      <c r="B132">
        <f>'Runs Z score'!B124</f>
        <v/>
      </c>
      <c r="C132">
        <f>'Runs Z score'!C124</f>
        <v/>
      </c>
      <c r="D132">
        <f>'Runs Z score'!D124</f>
        <v/>
      </c>
      <c r="E132">
        <f>'Runs Z score'!E124</f>
        <v/>
      </c>
      <c r="F132">
        <f>'Runs Z score'!F124</f>
        <v/>
      </c>
      <c r="G132">
        <f>'Runs Z score'!G124</f>
        <v/>
      </c>
      <c r="H132">
        <f>VLOOKUP(C132,Recipes!$A$2:$N$4,10,FALSE())</f>
        <v/>
      </c>
      <c r="I132">
        <f>VLOOKUP(C132,Recipes!$A$2:$N$4,12,FALSE())</f>
        <v/>
      </c>
      <c r="J132">
        <f>IF(G132="","",H132-G132)</f>
        <v/>
      </c>
      <c r="K132">
        <f>IF(G132="","",IF(ABS(G132-H132)&lt;=$B$6*I132,"OK","NG"))</f>
        <v/>
      </c>
      <c r="L132">
        <f>IF(K132="","",IF(K132=D132,1,0))</f>
        <v/>
      </c>
      <c r="M132" t="inlineStr">
        <is>
          <t>NONE</t>
        </is>
      </c>
      <c r="N132" s="15" t="n">
        <v>1</v>
      </c>
      <c r="O132" s="15" t="n">
        <v>0</v>
      </c>
      <c r="P132">
        <f>IF(M132="","",IF(M132=E132,1,0))</f>
        <v/>
      </c>
      <c r="Q132">
        <f>IF(K132="OK","-",IF(N132&lt;$B$7,"AMBIGUOUS","CONFIDENT"))</f>
        <v/>
      </c>
    </row>
    <row r="133">
      <c r="A133">
        <f>'Runs Z score'!A125</f>
        <v/>
      </c>
      <c r="B133">
        <f>'Runs Z score'!B125</f>
        <v/>
      </c>
      <c r="C133">
        <f>'Runs Z score'!C125</f>
        <v/>
      </c>
      <c r="D133">
        <f>'Runs Z score'!D125</f>
        <v/>
      </c>
      <c r="E133">
        <f>'Runs Z score'!E125</f>
        <v/>
      </c>
      <c r="F133">
        <f>'Runs Z score'!F125</f>
        <v/>
      </c>
      <c r="G133">
        <f>'Runs Z score'!G125</f>
        <v/>
      </c>
      <c r="H133">
        <f>VLOOKUP(C133,Recipes!$A$2:$N$4,10,FALSE())</f>
        <v/>
      </c>
      <c r="I133">
        <f>VLOOKUP(C133,Recipes!$A$2:$N$4,12,FALSE())</f>
        <v/>
      </c>
      <c r="J133">
        <f>IF(G133="","",H133-G133)</f>
        <v/>
      </c>
      <c r="K133">
        <f>IF(G133="","",IF(ABS(G133-H133)&lt;=$B$6*I133,"OK","NG"))</f>
        <v/>
      </c>
      <c r="L133">
        <f>IF(K133="","",IF(K133=D133,1,0))</f>
        <v/>
      </c>
      <c r="M133" t="inlineStr">
        <is>
          <t>NONE</t>
        </is>
      </c>
      <c r="N133" s="15" t="n">
        <v>1</v>
      </c>
      <c r="O133" s="15" t="n">
        <v>0</v>
      </c>
      <c r="P133">
        <f>IF(M133="","",IF(M133=E133,1,0))</f>
        <v/>
      </c>
      <c r="Q133">
        <f>IF(K133="OK","-",IF(N133&lt;$B$7,"AMBIGUOUS","CONFIDENT"))</f>
        <v/>
      </c>
    </row>
    <row r="134">
      <c r="A134">
        <f>'Runs Z score'!A126</f>
        <v/>
      </c>
      <c r="B134">
        <f>'Runs Z score'!B126</f>
        <v/>
      </c>
      <c r="C134">
        <f>'Runs Z score'!C126</f>
        <v/>
      </c>
      <c r="D134">
        <f>'Runs Z score'!D126</f>
        <v/>
      </c>
      <c r="E134">
        <f>'Runs Z score'!E126</f>
        <v/>
      </c>
      <c r="F134">
        <f>'Runs Z score'!F126</f>
        <v/>
      </c>
      <c r="G134">
        <f>'Runs Z score'!G126</f>
        <v/>
      </c>
      <c r="H134">
        <f>VLOOKUP(C134,Recipes!$A$2:$N$4,10,FALSE())</f>
        <v/>
      </c>
      <c r="I134">
        <f>VLOOKUP(C134,Recipes!$A$2:$N$4,12,FALSE())</f>
        <v/>
      </c>
      <c r="J134">
        <f>IF(G134="","",H134-G134)</f>
        <v/>
      </c>
      <c r="K134">
        <f>IF(G134="","",IF(ABS(G134-H134)&lt;=$B$6*I134,"OK","NG"))</f>
        <v/>
      </c>
      <c r="L134">
        <f>IF(K134="","",IF(K134=D134,1,0))</f>
        <v/>
      </c>
      <c r="M134" t="inlineStr">
        <is>
          <t>NONE</t>
        </is>
      </c>
      <c r="N134" s="15" t="n">
        <v>1</v>
      </c>
      <c r="O134" s="15" t="n">
        <v>0</v>
      </c>
      <c r="P134">
        <f>IF(M134="","",IF(M134=E134,1,0))</f>
        <v/>
      </c>
      <c r="Q134">
        <f>IF(K134="OK","-",IF(N134&lt;$B$7,"AMBIGUOUS","CONFIDENT"))</f>
        <v/>
      </c>
    </row>
    <row r="135">
      <c r="A135">
        <f>'Runs Z score'!A127</f>
        <v/>
      </c>
      <c r="B135">
        <f>'Runs Z score'!B127</f>
        <v/>
      </c>
      <c r="C135">
        <f>'Runs Z score'!C127</f>
        <v/>
      </c>
      <c r="D135">
        <f>'Runs Z score'!D127</f>
        <v/>
      </c>
      <c r="E135">
        <f>'Runs Z score'!E127</f>
        <v/>
      </c>
      <c r="F135">
        <f>'Runs Z score'!F127</f>
        <v/>
      </c>
      <c r="G135">
        <f>'Runs Z score'!G127</f>
        <v/>
      </c>
      <c r="H135">
        <f>VLOOKUP(C135,Recipes!$A$2:$N$4,10,FALSE())</f>
        <v/>
      </c>
      <c r="I135">
        <f>VLOOKUP(C135,Recipes!$A$2:$N$4,12,FALSE())</f>
        <v/>
      </c>
      <c r="J135">
        <f>IF(G135="","",H135-G135)</f>
        <v/>
      </c>
      <c r="K135">
        <f>IF(G135="","",IF(ABS(G135-H135)&lt;=$B$6*I135,"OK","NG"))</f>
        <v/>
      </c>
      <c r="L135">
        <f>IF(K135="","",IF(K135=D135,1,0))</f>
        <v/>
      </c>
      <c r="M135" t="inlineStr">
        <is>
          <t>NONE</t>
        </is>
      </c>
      <c r="N135" s="15" t="n">
        <v>1</v>
      </c>
      <c r="O135" s="15" t="n">
        <v>0</v>
      </c>
      <c r="P135">
        <f>IF(M135="","",IF(M135=E135,1,0))</f>
        <v/>
      </c>
      <c r="Q135">
        <f>IF(K135="OK","-",IF(N135&lt;$B$7,"AMBIGUOUS","CONFIDENT"))</f>
        <v/>
      </c>
    </row>
    <row r="136">
      <c r="A136">
        <f>'Runs Z score'!A128</f>
        <v/>
      </c>
      <c r="B136">
        <f>'Runs Z score'!B128</f>
        <v/>
      </c>
      <c r="C136">
        <f>'Runs Z score'!C128</f>
        <v/>
      </c>
      <c r="D136">
        <f>'Runs Z score'!D128</f>
        <v/>
      </c>
      <c r="E136">
        <f>'Runs Z score'!E128</f>
        <v/>
      </c>
      <c r="F136">
        <f>'Runs Z score'!F128</f>
        <v/>
      </c>
      <c r="G136">
        <f>'Runs Z score'!G128</f>
        <v/>
      </c>
      <c r="H136">
        <f>VLOOKUP(C136,Recipes!$A$2:$N$4,10,FALSE())</f>
        <v/>
      </c>
      <c r="I136">
        <f>VLOOKUP(C136,Recipes!$A$2:$N$4,12,FALSE())</f>
        <v/>
      </c>
      <c r="J136">
        <f>IF(G136="","",H136-G136)</f>
        <v/>
      </c>
      <c r="K136">
        <f>IF(G136="","",IF(ABS(G136-H136)&lt;=$B$6*I136,"OK","NG"))</f>
        <v/>
      </c>
      <c r="L136">
        <f>IF(K136="","",IF(K136=D136,1,0))</f>
        <v/>
      </c>
      <c r="M136" t="inlineStr">
        <is>
          <t>NONE</t>
        </is>
      </c>
      <c r="N136" s="15" t="n">
        <v>1</v>
      </c>
      <c r="O136" s="15" t="n">
        <v>0</v>
      </c>
      <c r="P136">
        <f>IF(M136="","",IF(M136=E136,1,0))</f>
        <v/>
      </c>
      <c r="Q136">
        <f>IF(K136="OK","-",IF(N136&lt;$B$7,"AMBIGUOUS","CONFIDENT"))</f>
        <v/>
      </c>
    </row>
    <row r="137">
      <c r="A137">
        <f>'Runs Z score'!A129</f>
        <v/>
      </c>
      <c r="B137">
        <f>'Runs Z score'!B129</f>
        <v/>
      </c>
      <c r="C137">
        <f>'Runs Z score'!C129</f>
        <v/>
      </c>
      <c r="D137">
        <f>'Runs Z score'!D129</f>
        <v/>
      </c>
      <c r="E137">
        <f>'Runs Z score'!E129</f>
        <v/>
      </c>
      <c r="F137">
        <f>'Runs Z score'!F129</f>
        <v/>
      </c>
      <c r="G137">
        <f>'Runs Z score'!G129</f>
        <v/>
      </c>
      <c r="H137">
        <f>VLOOKUP(C137,Recipes!$A$2:$N$4,10,FALSE())</f>
        <v/>
      </c>
      <c r="I137">
        <f>VLOOKUP(C137,Recipes!$A$2:$N$4,12,FALSE())</f>
        <v/>
      </c>
      <c r="J137">
        <f>IF(G137="","",H137-G137)</f>
        <v/>
      </c>
      <c r="K137">
        <f>IF(G137="","",IF(ABS(G137-H137)&lt;=$B$6*I137,"OK","NG"))</f>
        <v/>
      </c>
      <c r="L137">
        <f>IF(K137="","",IF(K137=D137,1,0))</f>
        <v/>
      </c>
      <c r="M137" t="inlineStr">
        <is>
          <t>NONE</t>
        </is>
      </c>
      <c r="N137" s="15" t="n">
        <v>1</v>
      </c>
      <c r="O137" s="15" t="n">
        <v>0</v>
      </c>
      <c r="P137">
        <f>IF(M137="","",IF(M137=E137,1,0))</f>
        <v/>
      </c>
      <c r="Q137">
        <f>IF(K137="OK","-",IF(N137&lt;$B$7,"AMBIGUOUS","CONFIDENT"))</f>
        <v/>
      </c>
    </row>
    <row r="138">
      <c r="A138">
        <f>'Runs Z score'!A130</f>
        <v/>
      </c>
      <c r="B138">
        <f>'Runs Z score'!B130</f>
        <v/>
      </c>
      <c r="C138">
        <f>'Runs Z score'!C130</f>
        <v/>
      </c>
      <c r="D138">
        <f>'Runs Z score'!D130</f>
        <v/>
      </c>
      <c r="E138">
        <f>'Runs Z score'!E130</f>
        <v/>
      </c>
      <c r="F138">
        <f>'Runs Z score'!F130</f>
        <v/>
      </c>
      <c r="G138">
        <f>'Runs Z score'!G130</f>
        <v/>
      </c>
      <c r="H138">
        <f>VLOOKUP(C138,Recipes!$A$2:$N$4,10,FALSE())</f>
        <v/>
      </c>
      <c r="I138">
        <f>VLOOKUP(C138,Recipes!$A$2:$N$4,12,FALSE())</f>
        <v/>
      </c>
      <c r="J138">
        <f>IF(G138="","",H138-G138)</f>
        <v/>
      </c>
      <c r="K138">
        <f>IF(G138="","",IF(ABS(G138-H138)&lt;=$B$6*I138,"OK","NG"))</f>
        <v/>
      </c>
      <c r="L138">
        <f>IF(K138="","",IF(K138=D138,1,0))</f>
        <v/>
      </c>
      <c r="M138" t="inlineStr">
        <is>
          <t>NONE</t>
        </is>
      </c>
      <c r="N138" s="15" t="n">
        <v>1</v>
      </c>
      <c r="O138" s="15" t="n">
        <v>0</v>
      </c>
      <c r="P138">
        <f>IF(M138="","",IF(M138=E138,1,0))</f>
        <v/>
      </c>
      <c r="Q138">
        <f>IF(K138="OK","-",IF(N138&lt;$B$7,"AMBIGUOUS","CONFIDENT"))</f>
        <v/>
      </c>
    </row>
    <row r="139">
      <c r="A139">
        <f>'Runs Z score'!A131</f>
        <v/>
      </c>
      <c r="B139">
        <f>'Runs Z score'!B131</f>
        <v/>
      </c>
      <c r="C139">
        <f>'Runs Z score'!C131</f>
        <v/>
      </c>
      <c r="D139">
        <f>'Runs Z score'!D131</f>
        <v/>
      </c>
      <c r="E139">
        <f>'Runs Z score'!E131</f>
        <v/>
      </c>
      <c r="F139">
        <f>'Runs Z score'!F131</f>
        <v/>
      </c>
      <c r="G139">
        <f>'Runs Z score'!G131</f>
        <v/>
      </c>
      <c r="H139">
        <f>VLOOKUP(C139,Recipes!$A$2:$N$4,10,FALSE())</f>
        <v/>
      </c>
      <c r="I139">
        <f>VLOOKUP(C139,Recipes!$A$2:$N$4,12,FALSE())</f>
        <v/>
      </c>
      <c r="J139">
        <f>IF(G139="","",H139-G139)</f>
        <v/>
      </c>
      <c r="K139">
        <f>IF(G139="","",IF(ABS(G139-H139)&lt;=$B$6*I139,"OK","NG"))</f>
        <v/>
      </c>
      <c r="L139">
        <f>IF(K139="","",IF(K139=D139,1,0))</f>
        <v/>
      </c>
      <c r="M139" t="inlineStr">
        <is>
          <t>NONE</t>
        </is>
      </c>
      <c r="N139" s="15" t="n">
        <v>1</v>
      </c>
      <c r="O139" s="15" t="n">
        <v>0</v>
      </c>
      <c r="P139">
        <f>IF(M139="","",IF(M139=E139,1,0))</f>
        <v/>
      </c>
      <c r="Q139">
        <f>IF(K139="OK","-",IF(N139&lt;$B$7,"AMBIGUOUS","CONFIDENT"))</f>
        <v/>
      </c>
    </row>
    <row r="140">
      <c r="A140">
        <f>'Runs Z score'!A132</f>
        <v/>
      </c>
      <c r="B140">
        <f>'Runs Z score'!B132</f>
        <v/>
      </c>
      <c r="C140">
        <f>'Runs Z score'!C132</f>
        <v/>
      </c>
      <c r="D140">
        <f>'Runs Z score'!D132</f>
        <v/>
      </c>
      <c r="E140">
        <f>'Runs Z score'!E132</f>
        <v/>
      </c>
      <c r="F140">
        <f>'Runs Z score'!F132</f>
        <v/>
      </c>
      <c r="G140">
        <f>'Runs Z score'!G132</f>
        <v/>
      </c>
      <c r="H140">
        <f>VLOOKUP(C140,Recipes!$A$2:$N$4,10,FALSE())</f>
        <v/>
      </c>
      <c r="I140">
        <f>VLOOKUP(C140,Recipes!$A$2:$N$4,12,FALSE())</f>
        <v/>
      </c>
      <c r="J140">
        <f>IF(G140="","",H140-G140)</f>
        <v/>
      </c>
      <c r="K140">
        <f>IF(G140="","",IF(ABS(G140-H140)&lt;=$B$6*I140,"OK","NG"))</f>
        <v/>
      </c>
      <c r="L140">
        <f>IF(K140="","",IF(K140=D140,1,0))</f>
        <v/>
      </c>
      <c r="M140" t="inlineStr">
        <is>
          <t>NONE</t>
        </is>
      </c>
      <c r="N140" s="15" t="n">
        <v>1</v>
      </c>
      <c r="O140" s="15" t="n">
        <v>0</v>
      </c>
      <c r="P140">
        <f>IF(M140="","",IF(M140=E140,1,0))</f>
        <v/>
      </c>
      <c r="Q140">
        <f>IF(K140="OK","-",IF(N140&lt;$B$7,"AMBIGUOUS","CONFIDENT"))</f>
        <v/>
      </c>
    </row>
    <row r="141">
      <c r="A141">
        <f>'Runs Z score'!A133</f>
        <v/>
      </c>
      <c r="B141">
        <f>'Runs Z score'!B133</f>
        <v/>
      </c>
      <c r="C141">
        <f>'Runs Z score'!C133</f>
        <v/>
      </c>
      <c r="D141">
        <f>'Runs Z score'!D133</f>
        <v/>
      </c>
      <c r="E141">
        <f>'Runs Z score'!E133</f>
        <v/>
      </c>
      <c r="F141">
        <f>'Runs Z score'!F133</f>
        <v/>
      </c>
      <c r="G141">
        <f>'Runs Z score'!G133</f>
        <v/>
      </c>
      <c r="H141">
        <f>VLOOKUP(C141,Recipes!$A$2:$N$4,10,FALSE())</f>
        <v/>
      </c>
      <c r="I141">
        <f>VLOOKUP(C141,Recipes!$A$2:$N$4,12,FALSE())</f>
        <v/>
      </c>
      <c r="J141">
        <f>IF(G141="","",H141-G141)</f>
        <v/>
      </c>
      <c r="K141">
        <f>IF(G141="","",IF(ABS(G141-H141)&lt;=$B$6*I141,"OK","NG"))</f>
        <v/>
      </c>
      <c r="L141">
        <f>IF(K141="","",IF(K141=D141,1,0))</f>
        <v/>
      </c>
      <c r="M141" t="inlineStr">
        <is>
          <t>NONE</t>
        </is>
      </c>
      <c r="N141" s="15" t="n">
        <v>1</v>
      </c>
      <c r="O141" s="15" t="n">
        <v>0</v>
      </c>
      <c r="P141">
        <f>IF(M141="","",IF(M141=E141,1,0))</f>
        <v/>
      </c>
      <c r="Q141">
        <f>IF(K141="OK","-",IF(N141&lt;$B$7,"AMBIGUOUS","CONFIDENT"))</f>
        <v/>
      </c>
    </row>
    <row r="142">
      <c r="A142">
        <f>'Runs Z score'!A134</f>
        <v/>
      </c>
      <c r="B142">
        <f>'Runs Z score'!B134</f>
        <v/>
      </c>
      <c r="C142">
        <f>'Runs Z score'!C134</f>
        <v/>
      </c>
      <c r="D142">
        <f>'Runs Z score'!D134</f>
        <v/>
      </c>
      <c r="E142">
        <f>'Runs Z score'!E134</f>
        <v/>
      </c>
      <c r="F142">
        <f>'Runs Z score'!F134</f>
        <v/>
      </c>
      <c r="G142">
        <f>'Runs Z score'!G134</f>
        <v/>
      </c>
      <c r="H142">
        <f>VLOOKUP(C142,Recipes!$A$2:$N$4,10,FALSE())</f>
        <v/>
      </c>
      <c r="I142">
        <f>VLOOKUP(C142,Recipes!$A$2:$N$4,12,FALSE())</f>
        <v/>
      </c>
      <c r="J142">
        <f>IF(G142="","",H142-G142)</f>
        <v/>
      </c>
      <c r="K142">
        <f>IF(G142="","",IF(ABS(G142-H142)&lt;=$B$6*I142,"OK","NG"))</f>
        <v/>
      </c>
      <c r="L142">
        <f>IF(K142="","",IF(K142=D142,1,0))</f>
        <v/>
      </c>
      <c r="M142" t="inlineStr">
        <is>
          <t>NONE</t>
        </is>
      </c>
      <c r="N142" s="15" t="n">
        <v>1</v>
      </c>
      <c r="O142" s="15" t="n">
        <v>0</v>
      </c>
      <c r="P142">
        <f>IF(M142="","",IF(M142=E142,1,0))</f>
        <v/>
      </c>
      <c r="Q142">
        <f>IF(K142="OK","-",IF(N142&lt;$B$7,"AMBIGUOUS","CONFIDENT"))</f>
        <v/>
      </c>
    </row>
    <row r="143">
      <c r="A143">
        <f>'Runs Z score'!A135</f>
        <v/>
      </c>
      <c r="B143">
        <f>'Runs Z score'!B135</f>
        <v/>
      </c>
      <c r="C143">
        <f>'Runs Z score'!C135</f>
        <v/>
      </c>
      <c r="D143">
        <f>'Runs Z score'!D135</f>
        <v/>
      </c>
      <c r="E143">
        <f>'Runs Z score'!E135</f>
        <v/>
      </c>
      <c r="F143">
        <f>'Runs Z score'!F135</f>
        <v/>
      </c>
      <c r="G143">
        <f>'Runs Z score'!G135</f>
        <v/>
      </c>
      <c r="H143">
        <f>VLOOKUP(C143,Recipes!$A$2:$N$4,10,FALSE())</f>
        <v/>
      </c>
      <c r="I143">
        <f>VLOOKUP(C143,Recipes!$A$2:$N$4,12,FALSE())</f>
        <v/>
      </c>
      <c r="J143">
        <f>IF(G143="","",H143-G143)</f>
        <v/>
      </c>
      <c r="K143">
        <f>IF(G143="","",IF(ABS(G143-H143)&lt;=$B$6*I143,"OK","NG"))</f>
        <v/>
      </c>
      <c r="L143">
        <f>IF(K143="","",IF(K143=D143,1,0))</f>
        <v/>
      </c>
      <c r="M143" t="inlineStr">
        <is>
          <t>NONE</t>
        </is>
      </c>
      <c r="N143" s="15" t="n">
        <v>1</v>
      </c>
      <c r="O143" s="15" t="n">
        <v>0</v>
      </c>
      <c r="P143">
        <f>IF(M143="","",IF(M143=E143,1,0))</f>
        <v/>
      </c>
      <c r="Q143">
        <f>IF(K143="OK","-",IF(N143&lt;$B$7,"AMBIGUOUS","CONFIDENT"))</f>
        <v/>
      </c>
    </row>
    <row r="144">
      <c r="A144">
        <f>'Runs Z score'!A136</f>
        <v/>
      </c>
      <c r="B144">
        <f>'Runs Z score'!B136</f>
        <v/>
      </c>
      <c r="C144">
        <f>'Runs Z score'!C136</f>
        <v/>
      </c>
      <c r="D144">
        <f>'Runs Z score'!D136</f>
        <v/>
      </c>
      <c r="E144">
        <f>'Runs Z score'!E136</f>
        <v/>
      </c>
      <c r="F144">
        <f>'Runs Z score'!F136</f>
        <v/>
      </c>
      <c r="G144">
        <f>'Runs Z score'!G136</f>
        <v/>
      </c>
      <c r="H144">
        <f>VLOOKUP(C144,Recipes!$A$2:$N$4,10,FALSE())</f>
        <v/>
      </c>
      <c r="I144">
        <f>VLOOKUP(C144,Recipes!$A$2:$N$4,12,FALSE())</f>
        <v/>
      </c>
      <c r="J144">
        <f>IF(G144="","",H144-G144)</f>
        <v/>
      </c>
      <c r="K144">
        <f>IF(G144="","",IF(ABS(G144-H144)&lt;=$B$6*I144,"OK","NG"))</f>
        <v/>
      </c>
      <c r="L144">
        <f>IF(K144="","",IF(K144=D144,1,0))</f>
        <v/>
      </c>
      <c r="M144" t="inlineStr">
        <is>
          <t>NONE</t>
        </is>
      </c>
      <c r="N144" s="15" t="n">
        <v>1</v>
      </c>
      <c r="O144" s="15" t="n">
        <v>0</v>
      </c>
      <c r="P144">
        <f>IF(M144="","",IF(M144=E144,1,0))</f>
        <v/>
      </c>
      <c r="Q144">
        <f>IF(K144="OK","-",IF(N144&lt;$B$7,"AMBIGUOUS","CONFIDENT"))</f>
        <v/>
      </c>
    </row>
    <row r="145">
      <c r="A145">
        <f>'Runs Z score'!A137</f>
        <v/>
      </c>
      <c r="B145">
        <f>'Runs Z score'!B137</f>
        <v/>
      </c>
      <c r="C145">
        <f>'Runs Z score'!C137</f>
        <v/>
      </c>
      <c r="D145">
        <f>'Runs Z score'!D137</f>
        <v/>
      </c>
      <c r="E145">
        <f>'Runs Z score'!E137</f>
        <v/>
      </c>
      <c r="F145">
        <f>'Runs Z score'!F137</f>
        <v/>
      </c>
      <c r="G145">
        <f>'Runs Z score'!G137</f>
        <v/>
      </c>
      <c r="H145">
        <f>VLOOKUP(C145,Recipes!$A$2:$N$4,10,FALSE())</f>
        <v/>
      </c>
      <c r="I145">
        <f>VLOOKUP(C145,Recipes!$A$2:$N$4,12,FALSE())</f>
        <v/>
      </c>
      <c r="J145">
        <f>IF(G145="","",H145-G145)</f>
        <v/>
      </c>
      <c r="K145">
        <f>IF(G145="","",IF(ABS(G145-H145)&lt;=$B$6*I145,"OK","NG"))</f>
        <v/>
      </c>
      <c r="L145">
        <f>IF(K145="","",IF(K145=D145,1,0))</f>
        <v/>
      </c>
      <c r="M145" t="inlineStr">
        <is>
          <t>NONE</t>
        </is>
      </c>
      <c r="N145" s="15" t="n">
        <v>1</v>
      </c>
      <c r="O145" s="15" t="n">
        <v>0</v>
      </c>
      <c r="P145">
        <f>IF(M145="","",IF(M145=E145,1,0))</f>
        <v/>
      </c>
      <c r="Q145">
        <f>IF(K145="OK","-",IF(N145&lt;$B$7,"AMBIGUOUS","CONFIDENT"))</f>
        <v/>
      </c>
    </row>
    <row r="146">
      <c r="A146">
        <f>'Runs Z score'!A138</f>
        <v/>
      </c>
      <c r="B146">
        <f>'Runs Z score'!B138</f>
        <v/>
      </c>
      <c r="C146">
        <f>'Runs Z score'!C138</f>
        <v/>
      </c>
      <c r="D146">
        <f>'Runs Z score'!D138</f>
        <v/>
      </c>
      <c r="E146">
        <f>'Runs Z score'!E138</f>
        <v/>
      </c>
      <c r="F146">
        <f>'Runs Z score'!F138</f>
        <v/>
      </c>
      <c r="G146">
        <f>'Runs Z score'!G138</f>
        <v/>
      </c>
      <c r="H146">
        <f>VLOOKUP(C146,Recipes!$A$2:$N$4,10,FALSE())</f>
        <v/>
      </c>
      <c r="I146">
        <f>VLOOKUP(C146,Recipes!$A$2:$N$4,12,FALSE())</f>
        <v/>
      </c>
      <c r="J146">
        <f>IF(G146="","",H146-G146)</f>
        <v/>
      </c>
      <c r="K146">
        <f>IF(G146="","",IF(ABS(G146-H146)&lt;=$B$6*I146,"OK","NG"))</f>
        <v/>
      </c>
      <c r="L146">
        <f>IF(K146="","",IF(K146=D146,1,0))</f>
        <v/>
      </c>
      <c r="M146" t="inlineStr">
        <is>
          <t>NONE</t>
        </is>
      </c>
      <c r="N146" s="15" t="n">
        <v>1</v>
      </c>
      <c r="O146" s="15" t="n">
        <v>0</v>
      </c>
      <c r="P146">
        <f>IF(M146="","",IF(M146=E146,1,0))</f>
        <v/>
      </c>
      <c r="Q146">
        <f>IF(K146="OK","-",IF(N146&lt;$B$7,"AMBIGUOUS","CONFIDENT"))</f>
        <v/>
      </c>
    </row>
    <row r="147">
      <c r="A147">
        <f>'Runs Z score'!A139</f>
        <v/>
      </c>
      <c r="B147">
        <f>'Runs Z score'!B139</f>
        <v/>
      </c>
      <c r="C147">
        <f>'Runs Z score'!C139</f>
        <v/>
      </c>
      <c r="D147">
        <f>'Runs Z score'!D139</f>
        <v/>
      </c>
      <c r="E147">
        <f>'Runs Z score'!E139</f>
        <v/>
      </c>
      <c r="F147">
        <f>'Runs Z score'!F139</f>
        <v/>
      </c>
      <c r="G147">
        <f>'Runs Z score'!G139</f>
        <v/>
      </c>
      <c r="H147">
        <f>VLOOKUP(C147,Recipes!$A$2:$N$4,10,FALSE())</f>
        <v/>
      </c>
      <c r="I147">
        <f>VLOOKUP(C147,Recipes!$A$2:$N$4,12,FALSE())</f>
        <v/>
      </c>
      <c r="J147">
        <f>IF(G147="","",H147-G147)</f>
        <v/>
      </c>
      <c r="K147">
        <f>IF(G147="","",IF(ABS(G147-H147)&lt;=$B$6*I147,"OK","NG"))</f>
        <v/>
      </c>
      <c r="L147">
        <f>IF(K147="","",IF(K147=D147,1,0))</f>
        <v/>
      </c>
      <c r="M147" t="inlineStr">
        <is>
          <t>NONE</t>
        </is>
      </c>
      <c r="N147" s="15" t="n">
        <v>1</v>
      </c>
      <c r="O147" s="15" t="n">
        <v>0</v>
      </c>
      <c r="P147">
        <f>IF(M147="","",IF(M147=E147,1,0))</f>
        <v/>
      </c>
      <c r="Q147">
        <f>IF(K147="OK","-",IF(N147&lt;$B$7,"AMBIGUOUS","CONFIDENT"))</f>
        <v/>
      </c>
    </row>
    <row r="148">
      <c r="A148">
        <f>'Runs Z score'!A140</f>
        <v/>
      </c>
      <c r="B148">
        <f>'Runs Z score'!B140</f>
        <v/>
      </c>
      <c r="C148">
        <f>'Runs Z score'!C140</f>
        <v/>
      </c>
      <c r="D148">
        <f>'Runs Z score'!D140</f>
        <v/>
      </c>
      <c r="E148">
        <f>'Runs Z score'!E140</f>
        <v/>
      </c>
      <c r="F148">
        <f>'Runs Z score'!F140</f>
        <v/>
      </c>
      <c r="G148">
        <f>'Runs Z score'!G140</f>
        <v/>
      </c>
      <c r="H148">
        <f>VLOOKUP(C148,Recipes!$A$2:$N$4,10,FALSE())</f>
        <v/>
      </c>
      <c r="I148">
        <f>VLOOKUP(C148,Recipes!$A$2:$N$4,12,FALSE())</f>
        <v/>
      </c>
      <c r="J148">
        <f>IF(G148="","",H148-G148)</f>
        <v/>
      </c>
      <c r="K148">
        <f>IF(G148="","",IF(ABS(G148-H148)&lt;=$B$6*I148,"OK","NG"))</f>
        <v/>
      </c>
      <c r="L148">
        <f>IF(K148="","",IF(K148=D148,1,0))</f>
        <v/>
      </c>
      <c r="M148" t="inlineStr">
        <is>
          <t>NONE</t>
        </is>
      </c>
      <c r="N148" s="15" t="n">
        <v>1</v>
      </c>
      <c r="O148" s="15" t="n">
        <v>0</v>
      </c>
      <c r="P148">
        <f>IF(M148="","",IF(M148=E148,1,0))</f>
        <v/>
      </c>
      <c r="Q148">
        <f>IF(K148="OK","-",IF(N148&lt;$B$7,"AMBIGUOUS","CONFIDENT"))</f>
        <v/>
      </c>
    </row>
    <row r="149">
      <c r="A149">
        <f>'Runs Z score'!A141</f>
        <v/>
      </c>
      <c r="B149">
        <f>'Runs Z score'!B141</f>
        <v/>
      </c>
      <c r="C149">
        <f>'Runs Z score'!C141</f>
        <v/>
      </c>
      <c r="D149">
        <f>'Runs Z score'!D141</f>
        <v/>
      </c>
      <c r="E149">
        <f>'Runs Z score'!E141</f>
        <v/>
      </c>
      <c r="F149">
        <f>'Runs Z score'!F141</f>
        <v/>
      </c>
      <c r="G149">
        <f>'Runs Z score'!G141</f>
        <v/>
      </c>
      <c r="H149">
        <f>VLOOKUP(C149,Recipes!$A$2:$N$4,10,FALSE())</f>
        <v/>
      </c>
      <c r="I149">
        <f>VLOOKUP(C149,Recipes!$A$2:$N$4,12,FALSE())</f>
        <v/>
      </c>
      <c r="J149">
        <f>IF(G149="","",H149-G149)</f>
        <v/>
      </c>
      <c r="K149">
        <f>IF(G149="","",IF(ABS(G149-H149)&lt;=$B$6*I149,"OK","NG"))</f>
        <v/>
      </c>
      <c r="L149">
        <f>IF(K149="","",IF(K149=D149,1,0))</f>
        <v/>
      </c>
      <c r="M149" t="inlineStr">
        <is>
          <t>NONE</t>
        </is>
      </c>
      <c r="N149" s="15" t="n">
        <v>1</v>
      </c>
      <c r="O149" s="15" t="n">
        <v>0</v>
      </c>
      <c r="P149">
        <f>IF(M149="","",IF(M149=E149,1,0))</f>
        <v/>
      </c>
      <c r="Q149">
        <f>IF(K149="OK","-",IF(N149&lt;$B$7,"AMBIGUOUS","CONFIDENT"))</f>
        <v/>
      </c>
    </row>
    <row r="150">
      <c r="A150">
        <f>'Runs Z score'!A142</f>
        <v/>
      </c>
      <c r="B150">
        <f>'Runs Z score'!B142</f>
        <v/>
      </c>
      <c r="C150">
        <f>'Runs Z score'!C142</f>
        <v/>
      </c>
      <c r="D150">
        <f>'Runs Z score'!D142</f>
        <v/>
      </c>
      <c r="E150">
        <f>'Runs Z score'!E142</f>
        <v/>
      </c>
      <c r="F150">
        <f>'Runs Z score'!F142</f>
        <v/>
      </c>
      <c r="G150">
        <f>'Runs Z score'!G142</f>
        <v/>
      </c>
      <c r="H150">
        <f>VLOOKUP(C150,Recipes!$A$2:$N$4,10,FALSE())</f>
        <v/>
      </c>
      <c r="I150">
        <f>VLOOKUP(C150,Recipes!$A$2:$N$4,12,FALSE())</f>
        <v/>
      </c>
      <c r="J150">
        <f>IF(G150="","",H150-G150)</f>
        <v/>
      </c>
      <c r="K150">
        <f>IF(G150="","",IF(ABS(G150-H150)&lt;=$B$6*I150,"OK","NG"))</f>
        <v/>
      </c>
      <c r="L150">
        <f>IF(K150="","",IF(K150=D150,1,0))</f>
        <v/>
      </c>
      <c r="M150" t="inlineStr">
        <is>
          <t>NONE</t>
        </is>
      </c>
      <c r="N150" s="15" t="n">
        <v>1</v>
      </c>
      <c r="O150" s="15" t="n">
        <v>0</v>
      </c>
      <c r="P150">
        <f>IF(M150="","",IF(M150=E150,1,0))</f>
        <v/>
      </c>
      <c r="Q150">
        <f>IF(K150="OK","-",IF(N150&lt;$B$7,"AMBIGUOUS","CONFIDENT"))</f>
        <v/>
      </c>
    </row>
    <row r="151">
      <c r="A151">
        <f>'Runs Z score'!A143</f>
        <v/>
      </c>
      <c r="B151">
        <f>'Runs Z score'!B143</f>
        <v/>
      </c>
      <c r="C151">
        <f>'Runs Z score'!C143</f>
        <v/>
      </c>
      <c r="D151">
        <f>'Runs Z score'!D143</f>
        <v/>
      </c>
      <c r="E151">
        <f>'Runs Z score'!E143</f>
        <v/>
      </c>
      <c r="F151">
        <f>'Runs Z score'!F143</f>
        <v/>
      </c>
      <c r="G151">
        <f>'Runs Z score'!G143</f>
        <v/>
      </c>
      <c r="H151">
        <f>VLOOKUP(C151,Recipes!$A$2:$N$4,10,FALSE())</f>
        <v/>
      </c>
      <c r="I151">
        <f>VLOOKUP(C151,Recipes!$A$2:$N$4,12,FALSE())</f>
        <v/>
      </c>
      <c r="J151">
        <f>IF(G151="","",H151-G151)</f>
        <v/>
      </c>
      <c r="K151">
        <f>IF(G151="","",IF(ABS(G151-H151)&lt;=$B$6*I151,"OK","NG"))</f>
        <v/>
      </c>
      <c r="L151">
        <f>IF(K151="","",IF(K151=D151,1,0))</f>
        <v/>
      </c>
      <c r="M151" t="inlineStr">
        <is>
          <t>NONE</t>
        </is>
      </c>
      <c r="N151" s="15" t="n">
        <v>1</v>
      </c>
      <c r="O151" s="15" t="n">
        <v>0</v>
      </c>
      <c r="P151">
        <f>IF(M151="","",IF(M151=E151,1,0))</f>
        <v/>
      </c>
      <c r="Q151">
        <f>IF(K151="OK","-",IF(N151&lt;$B$7,"AMBIGUOUS","CONFIDENT"))</f>
        <v/>
      </c>
    </row>
    <row r="152">
      <c r="A152">
        <f>'Runs Z score'!A144</f>
        <v/>
      </c>
      <c r="B152">
        <f>'Runs Z score'!B144</f>
        <v/>
      </c>
      <c r="C152">
        <f>'Runs Z score'!C144</f>
        <v/>
      </c>
      <c r="D152">
        <f>'Runs Z score'!D144</f>
        <v/>
      </c>
      <c r="E152">
        <f>'Runs Z score'!E144</f>
        <v/>
      </c>
      <c r="F152">
        <f>'Runs Z score'!F144</f>
        <v/>
      </c>
      <c r="G152">
        <f>'Runs Z score'!G144</f>
        <v/>
      </c>
      <c r="H152">
        <f>VLOOKUP(C152,Recipes!$A$2:$N$4,10,FALSE())</f>
        <v/>
      </c>
      <c r="I152">
        <f>VLOOKUP(C152,Recipes!$A$2:$N$4,12,FALSE())</f>
        <v/>
      </c>
      <c r="J152">
        <f>IF(G152="","",H152-G152)</f>
        <v/>
      </c>
      <c r="K152">
        <f>IF(G152="","",IF(ABS(G152-H152)&lt;=$B$6*I152,"OK","NG"))</f>
        <v/>
      </c>
      <c r="L152">
        <f>IF(K152="","",IF(K152=D152,1,0))</f>
        <v/>
      </c>
      <c r="M152" t="inlineStr">
        <is>
          <t>NONE</t>
        </is>
      </c>
      <c r="N152" s="15" t="n">
        <v>1</v>
      </c>
      <c r="O152" s="15" t="n">
        <v>0</v>
      </c>
      <c r="P152">
        <f>IF(M152="","",IF(M152=E152,1,0))</f>
        <v/>
      </c>
      <c r="Q152">
        <f>IF(K152="OK","-",IF(N152&lt;$B$7,"AMBIGUOUS","CONFIDENT"))</f>
        <v/>
      </c>
    </row>
    <row r="153">
      <c r="A153">
        <f>'Runs Z score'!A145</f>
        <v/>
      </c>
      <c r="B153">
        <f>'Runs Z score'!B145</f>
        <v/>
      </c>
      <c r="C153">
        <f>'Runs Z score'!C145</f>
        <v/>
      </c>
      <c r="D153">
        <f>'Runs Z score'!D145</f>
        <v/>
      </c>
      <c r="E153">
        <f>'Runs Z score'!E145</f>
        <v/>
      </c>
      <c r="F153">
        <f>'Runs Z score'!F145</f>
        <v/>
      </c>
      <c r="G153">
        <f>'Runs Z score'!G145</f>
        <v/>
      </c>
      <c r="H153">
        <f>VLOOKUP(C153,Recipes!$A$2:$N$4,10,FALSE())</f>
        <v/>
      </c>
      <c r="I153">
        <f>VLOOKUP(C153,Recipes!$A$2:$N$4,12,FALSE())</f>
        <v/>
      </c>
      <c r="J153">
        <f>IF(G153="","",H153-G153)</f>
        <v/>
      </c>
      <c r="K153">
        <f>IF(G153="","",IF(ABS(G153-H153)&lt;=$B$6*I153,"OK","NG"))</f>
        <v/>
      </c>
      <c r="L153">
        <f>IF(K153="","",IF(K153=D153,1,0))</f>
        <v/>
      </c>
      <c r="M153" t="inlineStr">
        <is>
          <t>NONE</t>
        </is>
      </c>
      <c r="N153" s="15" t="n">
        <v>1</v>
      </c>
      <c r="O153" s="15" t="n">
        <v>0</v>
      </c>
      <c r="P153">
        <f>IF(M153="","",IF(M153=E153,1,0))</f>
        <v/>
      </c>
      <c r="Q153">
        <f>IF(K153="OK","-",IF(N153&lt;$B$7,"AMBIGUOUS","CONFIDENT"))</f>
        <v/>
      </c>
    </row>
    <row r="154">
      <c r="A154">
        <f>'Runs Z score'!A146</f>
        <v/>
      </c>
      <c r="B154">
        <f>'Runs Z score'!B146</f>
        <v/>
      </c>
      <c r="C154">
        <f>'Runs Z score'!C146</f>
        <v/>
      </c>
      <c r="D154">
        <f>'Runs Z score'!D146</f>
        <v/>
      </c>
      <c r="E154">
        <f>'Runs Z score'!E146</f>
        <v/>
      </c>
      <c r="F154">
        <f>'Runs Z score'!F146</f>
        <v/>
      </c>
      <c r="G154">
        <f>'Runs Z score'!G146</f>
        <v/>
      </c>
      <c r="H154">
        <f>VLOOKUP(C154,Recipes!$A$2:$N$4,10,FALSE())</f>
        <v/>
      </c>
      <c r="I154">
        <f>VLOOKUP(C154,Recipes!$A$2:$N$4,12,FALSE())</f>
        <v/>
      </c>
      <c r="J154">
        <f>IF(G154="","",H154-G154)</f>
        <v/>
      </c>
      <c r="K154">
        <f>IF(G154="","",IF(ABS(G154-H154)&lt;=$B$6*I154,"OK","NG"))</f>
        <v/>
      </c>
      <c r="L154">
        <f>IF(K154="","",IF(K154=D154,1,0))</f>
        <v/>
      </c>
      <c r="M154" t="inlineStr">
        <is>
          <t>NONE</t>
        </is>
      </c>
      <c r="N154" s="15" t="n">
        <v>1</v>
      </c>
      <c r="O154" s="15" t="n">
        <v>0</v>
      </c>
      <c r="P154">
        <f>IF(M154="","",IF(M154=E154,1,0))</f>
        <v/>
      </c>
      <c r="Q154">
        <f>IF(K154="OK","-",IF(N154&lt;$B$7,"AMBIGUOUS","CONFIDENT"))</f>
        <v/>
      </c>
    </row>
    <row r="155">
      <c r="A155">
        <f>'Runs Z score'!A147</f>
        <v/>
      </c>
      <c r="B155">
        <f>'Runs Z score'!B147</f>
        <v/>
      </c>
      <c r="C155">
        <f>'Runs Z score'!C147</f>
        <v/>
      </c>
      <c r="D155">
        <f>'Runs Z score'!D147</f>
        <v/>
      </c>
      <c r="E155">
        <f>'Runs Z score'!E147</f>
        <v/>
      </c>
      <c r="F155">
        <f>'Runs Z score'!F147</f>
        <v/>
      </c>
      <c r="G155">
        <f>'Runs Z score'!G147</f>
        <v/>
      </c>
      <c r="H155">
        <f>VLOOKUP(C155,Recipes!$A$2:$N$4,10,FALSE())</f>
        <v/>
      </c>
      <c r="I155">
        <f>VLOOKUP(C155,Recipes!$A$2:$N$4,12,FALSE())</f>
        <v/>
      </c>
      <c r="J155">
        <f>IF(G155="","",H155-G155)</f>
        <v/>
      </c>
      <c r="K155">
        <f>IF(G155="","",IF(ABS(G155-H155)&lt;=$B$6*I155,"OK","NG"))</f>
        <v/>
      </c>
      <c r="L155">
        <f>IF(K155="","",IF(K155=D155,1,0))</f>
        <v/>
      </c>
      <c r="M155" t="inlineStr">
        <is>
          <t>NONE</t>
        </is>
      </c>
      <c r="N155" s="15" t="n">
        <v>1</v>
      </c>
      <c r="O155" s="15" t="n">
        <v>0</v>
      </c>
      <c r="P155">
        <f>IF(M155="","",IF(M155=E155,1,0))</f>
        <v/>
      </c>
      <c r="Q155">
        <f>IF(K155="OK","-",IF(N155&lt;$B$7,"AMBIGUOUS","CONFIDENT"))</f>
        <v/>
      </c>
    </row>
    <row r="156">
      <c r="A156">
        <f>'Runs Z score'!A148</f>
        <v/>
      </c>
      <c r="B156">
        <f>'Runs Z score'!B148</f>
        <v/>
      </c>
      <c r="C156">
        <f>'Runs Z score'!C148</f>
        <v/>
      </c>
      <c r="D156">
        <f>'Runs Z score'!D148</f>
        <v/>
      </c>
      <c r="E156">
        <f>'Runs Z score'!E148</f>
        <v/>
      </c>
      <c r="F156">
        <f>'Runs Z score'!F148</f>
        <v/>
      </c>
      <c r="G156">
        <f>'Runs Z score'!G148</f>
        <v/>
      </c>
      <c r="H156">
        <f>VLOOKUP(C156,Recipes!$A$2:$N$4,10,FALSE())</f>
        <v/>
      </c>
      <c r="I156">
        <f>VLOOKUP(C156,Recipes!$A$2:$N$4,12,FALSE())</f>
        <v/>
      </c>
      <c r="J156">
        <f>IF(G156="","",H156-G156)</f>
        <v/>
      </c>
      <c r="K156">
        <f>IF(G156="","",IF(ABS(G156-H156)&lt;=$B$6*I156,"OK","NG"))</f>
        <v/>
      </c>
      <c r="L156">
        <f>IF(K156="","",IF(K156=D156,1,0))</f>
        <v/>
      </c>
      <c r="M156" t="inlineStr">
        <is>
          <t>NONE</t>
        </is>
      </c>
      <c r="N156" s="15" t="n">
        <v>1</v>
      </c>
      <c r="O156" s="15" t="n">
        <v>0</v>
      </c>
      <c r="P156">
        <f>IF(M156="","",IF(M156=E156,1,0))</f>
        <v/>
      </c>
      <c r="Q156">
        <f>IF(K156="OK","-",IF(N156&lt;$B$7,"AMBIGUOUS","CONFIDENT"))</f>
        <v/>
      </c>
    </row>
    <row r="157">
      <c r="A157">
        <f>'Runs Z score'!A149</f>
        <v/>
      </c>
      <c r="B157">
        <f>'Runs Z score'!B149</f>
        <v/>
      </c>
      <c r="C157">
        <f>'Runs Z score'!C149</f>
        <v/>
      </c>
      <c r="D157">
        <f>'Runs Z score'!D149</f>
        <v/>
      </c>
      <c r="E157">
        <f>'Runs Z score'!E149</f>
        <v/>
      </c>
      <c r="F157">
        <f>'Runs Z score'!F149</f>
        <v/>
      </c>
      <c r="G157">
        <f>'Runs Z score'!G149</f>
        <v/>
      </c>
      <c r="H157">
        <f>VLOOKUP(C157,Recipes!$A$2:$N$4,10,FALSE())</f>
        <v/>
      </c>
      <c r="I157">
        <f>VLOOKUP(C157,Recipes!$A$2:$N$4,12,FALSE())</f>
        <v/>
      </c>
      <c r="J157">
        <f>IF(G157="","",H157-G157)</f>
        <v/>
      </c>
      <c r="K157">
        <f>IF(G157="","",IF(ABS(G157-H157)&lt;=$B$6*I157,"OK","NG"))</f>
        <v/>
      </c>
      <c r="L157">
        <f>IF(K157="","",IF(K157=D157,1,0))</f>
        <v/>
      </c>
      <c r="M157" t="inlineStr">
        <is>
          <t>NONE</t>
        </is>
      </c>
      <c r="N157" s="15" t="n">
        <v>1</v>
      </c>
      <c r="O157" s="15" t="n">
        <v>0</v>
      </c>
      <c r="P157">
        <f>IF(M157="","",IF(M157=E157,1,0))</f>
        <v/>
      </c>
      <c r="Q157">
        <f>IF(K157="OK","-",IF(N157&lt;$B$7,"AMBIGUOUS","CONFIDENT"))</f>
        <v/>
      </c>
    </row>
    <row r="158">
      <c r="A158">
        <f>'Runs Z score'!A150</f>
        <v/>
      </c>
      <c r="B158">
        <f>'Runs Z score'!B150</f>
        <v/>
      </c>
      <c r="C158">
        <f>'Runs Z score'!C150</f>
        <v/>
      </c>
      <c r="D158">
        <f>'Runs Z score'!D150</f>
        <v/>
      </c>
      <c r="E158">
        <f>'Runs Z score'!E150</f>
        <v/>
      </c>
      <c r="F158">
        <f>'Runs Z score'!F150</f>
        <v/>
      </c>
      <c r="G158">
        <f>'Runs Z score'!G150</f>
        <v/>
      </c>
      <c r="H158">
        <f>VLOOKUP(C158,Recipes!$A$2:$N$4,10,FALSE())</f>
        <v/>
      </c>
      <c r="I158">
        <f>VLOOKUP(C158,Recipes!$A$2:$N$4,12,FALSE())</f>
        <v/>
      </c>
      <c r="J158">
        <f>IF(G158="","",H158-G158)</f>
        <v/>
      </c>
      <c r="K158">
        <f>IF(G158="","",IF(ABS(G158-H158)&lt;=$B$6*I158,"OK","NG"))</f>
        <v/>
      </c>
      <c r="L158">
        <f>IF(K158="","",IF(K158=D158,1,0))</f>
        <v/>
      </c>
      <c r="M158" t="inlineStr">
        <is>
          <t>NONE</t>
        </is>
      </c>
      <c r="N158" s="15" t="n">
        <v>1</v>
      </c>
      <c r="O158" s="15" t="n">
        <v>0</v>
      </c>
      <c r="P158">
        <f>IF(M158="","",IF(M158=E158,1,0))</f>
        <v/>
      </c>
      <c r="Q158">
        <f>IF(K158="OK","-",IF(N158&lt;$B$7,"AMBIGUOUS","CONFIDENT"))</f>
        <v/>
      </c>
    </row>
    <row r="159">
      <c r="A159">
        <f>'Runs Z score'!A151</f>
        <v/>
      </c>
      <c r="B159">
        <f>'Runs Z score'!B151</f>
        <v/>
      </c>
      <c r="C159">
        <f>'Runs Z score'!C151</f>
        <v/>
      </c>
      <c r="D159">
        <f>'Runs Z score'!D151</f>
        <v/>
      </c>
      <c r="E159">
        <f>'Runs Z score'!E151</f>
        <v/>
      </c>
      <c r="F159">
        <f>'Runs Z score'!F151</f>
        <v/>
      </c>
      <c r="G159">
        <f>'Runs Z score'!G151</f>
        <v/>
      </c>
      <c r="H159">
        <f>VLOOKUP(C159,Recipes!$A$2:$N$4,10,FALSE())</f>
        <v/>
      </c>
      <c r="I159">
        <f>VLOOKUP(C159,Recipes!$A$2:$N$4,12,FALSE())</f>
        <v/>
      </c>
      <c r="J159">
        <f>IF(G159="","",H159-G159)</f>
        <v/>
      </c>
      <c r="K159">
        <f>IF(G159="","",IF(ABS(G159-H159)&lt;=$B$6*I159,"OK","NG"))</f>
        <v/>
      </c>
      <c r="L159">
        <f>IF(K159="","",IF(K159=D159,1,0))</f>
        <v/>
      </c>
      <c r="M159" t="inlineStr">
        <is>
          <t>NONE</t>
        </is>
      </c>
      <c r="N159" s="15" t="n">
        <v>1</v>
      </c>
      <c r="O159" s="15" t="n">
        <v>0</v>
      </c>
      <c r="P159">
        <f>IF(M159="","",IF(M159=E159,1,0))</f>
        <v/>
      </c>
      <c r="Q159">
        <f>IF(K159="OK","-",IF(N159&lt;$B$7,"AMBIGUOUS","CONFIDENT"))</f>
        <v/>
      </c>
    </row>
    <row r="160">
      <c r="A160">
        <f>'Runs Z score'!A152</f>
        <v/>
      </c>
      <c r="B160">
        <f>'Runs Z score'!B152</f>
        <v/>
      </c>
      <c r="C160">
        <f>'Runs Z score'!C152</f>
        <v/>
      </c>
      <c r="D160">
        <f>'Runs Z score'!D152</f>
        <v/>
      </c>
      <c r="E160">
        <f>'Runs Z score'!E152</f>
        <v/>
      </c>
      <c r="F160">
        <f>'Runs Z score'!F152</f>
        <v/>
      </c>
      <c r="G160">
        <f>'Runs Z score'!G152</f>
        <v/>
      </c>
      <c r="H160">
        <f>VLOOKUP(C160,Recipes!$A$2:$N$4,10,FALSE())</f>
        <v/>
      </c>
      <c r="I160">
        <f>VLOOKUP(C160,Recipes!$A$2:$N$4,12,FALSE())</f>
        <v/>
      </c>
      <c r="J160">
        <f>IF(G160="","",H160-G160)</f>
        <v/>
      </c>
      <c r="K160">
        <f>IF(G160="","",IF(ABS(G160-H160)&lt;=$B$6*I160,"OK","NG"))</f>
        <v/>
      </c>
      <c r="L160">
        <f>IF(K160="","",IF(K160=D160,1,0))</f>
        <v/>
      </c>
      <c r="M160" t="inlineStr">
        <is>
          <t>NONE</t>
        </is>
      </c>
      <c r="N160" s="15" t="n">
        <v>1</v>
      </c>
      <c r="O160" s="15" t="n">
        <v>0</v>
      </c>
      <c r="P160">
        <f>IF(M160="","",IF(M160=E160,1,0))</f>
        <v/>
      </c>
      <c r="Q160">
        <f>IF(K160="OK","-",IF(N160&lt;$B$7,"AMBIGUOUS","CONFIDENT"))</f>
        <v/>
      </c>
    </row>
    <row r="161">
      <c r="A161">
        <f>'Runs Z score'!A153</f>
        <v/>
      </c>
      <c r="B161">
        <f>'Runs Z score'!B153</f>
        <v/>
      </c>
      <c r="C161">
        <f>'Runs Z score'!C153</f>
        <v/>
      </c>
      <c r="D161">
        <f>'Runs Z score'!D153</f>
        <v/>
      </c>
      <c r="E161">
        <f>'Runs Z score'!E153</f>
        <v/>
      </c>
      <c r="F161">
        <f>'Runs Z score'!F153</f>
        <v/>
      </c>
      <c r="G161">
        <f>'Runs Z score'!G153</f>
        <v/>
      </c>
      <c r="H161">
        <f>VLOOKUP(C161,Recipes!$A$2:$N$4,10,FALSE())</f>
        <v/>
      </c>
      <c r="I161">
        <f>VLOOKUP(C161,Recipes!$A$2:$N$4,12,FALSE())</f>
        <v/>
      </c>
      <c r="J161">
        <f>IF(G161="","",H161-G161)</f>
        <v/>
      </c>
      <c r="K161">
        <f>IF(G161="","",IF(ABS(G161-H161)&lt;=$B$6*I161,"OK","NG"))</f>
        <v/>
      </c>
      <c r="L161">
        <f>IF(K161="","",IF(K161=D161,1,0))</f>
        <v/>
      </c>
      <c r="M161" t="inlineStr">
        <is>
          <t>S1</t>
        </is>
      </c>
      <c r="N161" s="15" t="n">
        <v>0.9998858236337927</v>
      </c>
      <c r="O161" s="15" t="n">
        <v>9.89208044544672e-05</v>
      </c>
      <c r="P161">
        <f>IF(M161="","",IF(M161=E161,1,0))</f>
        <v/>
      </c>
      <c r="Q161">
        <f>IF(K161="OK","-",IF(N161&lt;$B$7,"AMBIGUOUS","CONFIDENT"))</f>
        <v/>
      </c>
    </row>
    <row r="162">
      <c r="A162">
        <f>'Runs Z score'!A154</f>
        <v/>
      </c>
      <c r="B162">
        <f>'Runs Z score'!B154</f>
        <v/>
      </c>
      <c r="C162">
        <f>'Runs Z score'!C154</f>
        <v/>
      </c>
      <c r="D162">
        <f>'Runs Z score'!D154</f>
        <v/>
      </c>
      <c r="E162">
        <f>'Runs Z score'!E154</f>
        <v/>
      </c>
      <c r="F162">
        <f>'Runs Z score'!F154</f>
        <v/>
      </c>
      <c r="G162">
        <f>'Runs Z score'!G154</f>
        <v/>
      </c>
      <c r="H162">
        <f>VLOOKUP(C162,Recipes!$A$2:$N$4,10,FALSE())</f>
        <v/>
      </c>
      <c r="I162">
        <f>VLOOKUP(C162,Recipes!$A$2:$N$4,12,FALSE())</f>
        <v/>
      </c>
      <c r="J162">
        <f>IF(G162="","",H162-G162)</f>
        <v/>
      </c>
      <c r="K162">
        <f>IF(G162="","",IF(ABS(G162-H162)&lt;=$B$6*I162,"OK","NG"))</f>
        <v/>
      </c>
      <c r="L162">
        <f>IF(K162="","",IF(K162=D162,1,0))</f>
        <v/>
      </c>
      <c r="M162" t="inlineStr">
        <is>
          <t>S1</t>
        </is>
      </c>
      <c r="N162" s="15" t="n">
        <v>0.9999296180441356</v>
      </c>
      <c r="O162" s="15" t="n">
        <v>5.439781396418737e-05</v>
      </c>
      <c r="P162">
        <f>IF(M162="","",IF(M162=E162,1,0))</f>
        <v/>
      </c>
      <c r="Q162">
        <f>IF(K162="OK","-",IF(N162&lt;$B$7,"AMBIGUOUS","CONFIDENT"))</f>
        <v/>
      </c>
    </row>
    <row r="163">
      <c r="A163">
        <f>'Runs Z score'!A155</f>
        <v/>
      </c>
      <c r="B163">
        <f>'Runs Z score'!B155</f>
        <v/>
      </c>
      <c r="C163">
        <f>'Runs Z score'!C155</f>
        <v/>
      </c>
      <c r="D163">
        <f>'Runs Z score'!D155</f>
        <v/>
      </c>
      <c r="E163">
        <f>'Runs Z score'!E155</f>
        <v/>
      </c>
      <c r="F163">
        <f>'Runs Z score'!F155</f>
        <v/>
      </c>
      <c r="G163">
        <f>'Runs Z score'!G155</f>
        <v/>
      </c>
      <c r="H163">
        <f>VLOOKUP(C163,Recipes!$A$2:$N$4,10,FALSE())</f>
        <v/>
      </c>
      <c r="I163">
        <f>VLOOKUP(C163,Recipes!$A$2:$N$4,12,FALSE())</f>
        <v/>
      </c>
      <c r="J163">
        <f>IF(G163="","",H163-G163)</f>
        <v/>
      </c>
      <c r="K163">
        <f>IF(G163="","",IF(ABS(G163-H163)&lt;=$B$6*I163,"OK","NG"))</f>
        <v/>
      </c>
      <c r="L163">
        <f>IF(K163="","",IF(K163=D163,1,0))</f>
        <v/>
      </c>
      <c r="M163" t="inlineStr">
        <is>
          <t>S1</t>
        </is>
      </c>
      <c r="N163" s="15" t="n">
        <v>0.9999376545466658</v>
      </c>
      <c r="O163" s="15" t="n">
        <v>3.658340003687021e-05</v>
      </c>
      <c r="P163">
        <f>IF(M163="","",IF(M163=E163,1,0))</f>
        <v/>
      </c>
      <c r="Q163">
        <f>IF(K163="OK","-",IF(N163&lt;$B$7,"AMBIGUOUS","CONFIDENT"))</f>
        <v/>
      </c>
    </row>
    <row r="164">
      <c r="A164">
        <f>'Runs Z score'!A156</f>
        <v/>
      </c>
      <c r="B164">
        <f>'Runs Z score'!B156</f>
        <v/>
      </c>
      <c r="C164">
        <f>'Runs Z score'!C156</f>
        <v/>
      </c>
      <c r="D164">
        <f>'Runs Z score'!D156</f>
        <v/>
      </c>
      <c r="E164">
        <f>'Runs Z score'!E156</f>
        <v/>
      </c>
      <c r="F164">
        <f>'Runs Z score'!F156</f>
        <v/>
      </c>
      <c r="G164">
        <f>'Runs Z score'!G156</f>
        <v/>
      </c>
      <c r="H164">
        <f>VLOOKUP(C164,Recipes!$A$2:$N$4,10,FALSE())</f>
        <v/>
      </c>
      <c r="I164">
        <f>VLOOKUP(C164,Recipes!$A$2:$N$4,12,FALSE())</f>
        <v/>
      </c>
      <c r="J164">
        <f>IF(G164="","",H164-G164)</f>
        <v/>
      </c>
      <c r="K164">
        <f>IF(G164="","",IF(ABS(G164-H164)&lt;=$B$6*I164,"OK","NG"))</f>
        <v/>
      </c>
      <c r="L164">
        <f>IF(K164="","",IF(K164=D164,1,0))</f>
        <v/>
      </c>
      <c r="M164" t="inlineStr">
        <is>
          <t>S1</t>
        </is>
      </c>
      <c r="N164" s="15" t="n">
        <v>0.9999315945661564</v>
      </c>
      <c r="O164" s="15" t="n">
        <v>4.376331900231043e-05</v>
      </c>
      <c r="P164">
        <f>IF(M164="","",IF(M164=E164,1,0))</f>
        <v/>
      </c>
      <c r="Q164">
        <f>IF(K164="OK","-",IF(N164&lt;$B$7,"AMBIGUOUS","CONFIDENT"))</f>
        <v/>
      </c>
    </row>
    <row r="165">
      <c r="A165">
        <f>'Runs Z score'!A157</f>
        <v/>
      </c>
      <c r="B165">
        <f>'Runs Z score'!B157</f>
        <v/>
      </c>
      <c r="C165">
        <f>'Runs Z score'!C157</f>
        <v/>
      </c>
      <c r="D165">
        <f>'Runs Z score'!D157</f>
        <v/>
      </c>
      <c r="E165">
        <f>'Runs Z score'!E157</f>
        <v/>
      </c>
      <c r="F165">
        <f>'Runs Z score'!F157</f>
        <v/>
      </c>
      <c r="G165">
        <f>'Runs Z score'!G157</f>
        <v/>
      </c>
      <c r="H165">
        <f>VLOOKUP(C165,Recipes!$A$2:$N$4,10,FALSE())</f>
        <v/>
      </c>
      <c r="I165">
        <f>VLOOKUP(C165,Recipes!$A$2:$N$4,12,FALSE())</f>
        <v/>
      </c>
      <c r="J165">
        <f>IF(G165="","",H165-G165)</f>
        <v/>
      </c>
      <c r="K165">
        <f>IF(G165="","",IF(ABS(G165-H165)&lt;=$B$6*I165,"OK","NG"))</f>
        <v/>
      </c>
      <c r="L165">
        <f>IF(K165="","",IF(K165=D165,1,0))</f>
        <v/>
      </c>
      <c r="M165" t="inlineStr">
        <is>
          <t>S1</t>
        </is>
      </c>
      <c r="N165" s="15" t="n">
        <v>0.99993807144936</v>
      </c>
      <c r="O165" s="15" t="n">
        <v>3.868202297406184e-05</v>
      </c>
      <c r="P165">
        <f>IF(M165="","",IF(M165=E165,1,0))</f>
        <v/>
      </c>
      <c r="Q165">
        <f>IF(K165="OK","-",IF(N165&lt;$B$7,"AMBIGUOUS","CONFIDENT"))</f>
        <v/>
      </c>
    </row>
    <row r="166">
      <c r="A166">
        <f>'Runs Z score'!A158</f>
        <v/>
      </c>
      <c r="B166">
        <f>'Runs Z score'!B158</f>
        <v/>
      </c>
      <c r="C166">
        <f>'Runs Z score'!C158</f>
        <v/>
      </c>
      <c r="D166">
        <f>'Runs Z score'!D158</f>
        <v/>
      </c>
      <c r="E166">
        <f>'Runs Z score'!E158</f>
        <v/>
      </c>
      <c r="F166">
        <f>'Runs Z score'!F158</f>
        <v/>
      </c>
      <c r="G166">
        <f>'Runs Z score'!G158</f>
        <v/>
      </c>
      <c r="H166">
        <f>VLOOKUP(C166,Recipes!$A$2:$N$4,10,FALSE())</f>
        <v/>
      </c>
      <c r="I166">
        <f>VLOOKUP(C166,Recipes!$A$2:$N$4,12,FALSE())</f>
        <v/>
      </c>
      <c r="J166">
        <f>IF(G166="","",H166-G166)</f>
        <v/>
      </c>
      <c r="K166">
        <f>IF(G166="","",IF(ABS(G166-H166)&lt;=$B$6*I166,"OK","NG"))</f>
        <v/>
      </c>
      <c r="L166">
        <f>IF(K166="","",IF(K166=D166,1,0))</f>
        <v/>
      </c>
      <c r="M166" t="inlineStr">
        <is>
          <t>S1</t>
        </is>
      </c>
      <c r="N166" s="15" t="n">
        <v>0.999928342670838</v>
      </c>
      <c r="O166" s="15" t="n">
        <v>5.762073901064063e-05</v>
      </c>
      <c r="P166">
        <f>IF(M166="","",IF(M166=E166,1,0))</f>
        <v/>
      </c>
      <c r="Q166">
        <f>IF(K166="OK","-",IF(N166&lt;$B$7,"AMBIGUOUS","CONFIDENT"))</f>
        <v/>
      </c>
    </row>
    <row r="167">
      <c r="A167">
        <f>'Runs Z score'!A159</f>
        <v/>
      </c>
      <c r="B167">
        <f>'Runs Z score'!B159</f>
        <v/>
      </c>
      <c r="C167">
        <f>'Runs Z score'!C159</f>
        <v/>
      </c>
      <c r="D167">
        <f>'Runs Z score'!D159</f>
        <v/>
      </c>
      <c r="E167">
        <f>'Runs Z score'!E159</f>
        <v/>
      </c>
      <c r="F167">
        <f>'Runs Z score'!F159</f>
        <v/>
      </c>
      <c r="G167">
        <f>'Runs Z score'!G159</f>
        <v/>
      </c>
      <c r="H167">
        <f>VLOOKUP(C167,Recipes!$A$2:$N$4,10,FALSE())</f>
        <v/>
      </c>
      <c r="I167">
        <f>VLOOKUP(C167,Recipes!$A$2:$N$4,12,FALSE())</f>
        <v/>
      </c>
      <c r="J167">
        <f>IF(G167="","",H167-G167)</f>
        <v/>
      </c>
      <c r="K167">
        <f>IF(G167="","",IF(ABS(G167-H167)&lt;=$B$6*I167,"OK","NG"))</f>
        <v/>
      </c>
      <c r="L167">
        <f>IF(K167="","",IF(K167=D167,1,0))</f>
        <v/>
      </c>
      <c r="M167" t="inlineStr">
        <is>
          <t>S1</t>
        </is>
      </c>
      <c r="N167" s="15" t="n">
        <v>0.9998858236337927</v>
      </c>
      <c r="O167" s="15" t="n">
        <v>9.89208044544672e-05</v>
      </c>
      <c r="P167">
        <f>IF(M167="","",IF(M167=E167,1,0))</f>
        <v/>
      </c>
      <c r="Q167">
        <f>IF(K167="OK","-",IF(N167&lt;$B$7,"AMBIGUOUS","CONFIDENT"))</f>
        <v/>
      </c>
    </row>
    <row r="168">
      <c r="A168">
        <f>'Runs Z score'!A160</f>
        <v/>
      </c>
      <c r="B168">
        <f>'Runs Z score'!B160</f>
        <v/>
      </c>
      <c r="C168">
        <f>'Runs Z score'!C160</f>
        <v/>
      </c>
      <c r="D168">
        <f>'Runs Z score'!D160</f>
        <v/>
      </c>
      <c r="E168">
        <f>'Runs Z score'!E160</f>
        <v/>
      </c>
      <c r="F168">
        <f>'Runs Z score'!F160</f>
        <v/>
      </c>
      <c r="G168">
        <f>'Runs Z score'!G160</f>
        <v/>
      </c>
      <c r="H168">
        <f>VLOOKUP(C168,Recipes!$A$2:$N$4,10,FALSE())</f>
        <v/>
      </c>
      <c r="I168">
        <f>VLOOKUP(C168,Recipes!$A$2:$N$4,12,FALSE())</f>
        <v/>
      </c>
      <c r="J168">
        <f>IF(G168="","",H168-G168)</f>
        <v/>
      </c>
      <c r="K168">
        <f>IF(G168="","",IF(ABS(G168-H168)&lt;=$B$6*I168,"OK","NG"))</f>
        <v/>
      </c>
      <c r="L168">
        <f>IF(K168="","",IF(K168=D168,1,0))</f>
        <v/>
      </c>
      <c r="M168" t="inlineStr">
        <is>
          <t>S1</t>
        </is>
      </c>
      <c r="N168" s="15" t="n">
        <v>0.9999113833611408</v>
      </c>
      <c r="O168" s="15" t="n">
        <v>5.397960938620281e-05</v>
      </c>
      <c r="P168">
        <f>IF(M168="","",IF(M168=E168,1,0))</f>
        <v/>
      </c>
      <c r="Q168">
        <f>IF(K168="OK","-",IF(N168&lt;$B$7,"AMBIGUOUS","CONFIDENT"))</f>
        <v/>
      </c>
    </row>
    <row r="169">
      <c r="A169">
        <f>'Runs Z score'!A161</f>
        <v/>
      </c>
      <c r="B169">
        <f>'Runs Z score'!B161</f>
        <v/>
      </c>
      <c r="C169">
        <f>'Runs Z score'!C161</f>
        <v/>
      </c>
      <c r="D169">
        <f>'Runs Z score'!D161</f>
        <v/>
      </c>
      <c r="E169">
        <f>'Runs Z score'!E161</f>
        <v/>
      </c>
      <c r="F169">
        <f>'Runs Z score'!F161</f>
        <v/>
      </c>
      <c r="G169">
        <f>'Runs Z score'!G161</f>
        <v/>
      </c>
      <c r="H169">
        <f>VLOOKUP(C169,Recipes!$A$2:$N$4,10,FALSE())</f>
        <v/>
      </c>
      <c r="I169">
        <f>VLOOKUP(C169,Recipes!$A$2:$N$4,12,FALSE())</f>
        <v/>
      </c>
      <c r="J169">
        <f>IF(G169="","",H169-G169)</f>
        <v/>
      </c>
      <c r="K169">
        <f>IF(G169="","",IF(ABS(G169-H169)&lt;=$B$6*I169,"OK","NG"))</f>
        <v/>
      </c>
      <c r="L169">
        <f>IF(K169="","",IF(K169=D169,1,0))</f>
        <v/>
      </c>
      <c r="M169" t="inlineStr">
        <is>
          <t>S1</t>
        </is>
      </c>
      <c r="N169" s="15" t="n">
        <v>0.999899596344336</v>
      </c>
      <c r="O169" s="15" t="n">
        <v>9.223509696509349e-05</v>
      </c>
      <c r="P169">
        <f>IF(M169="","",IF(M169=E169,1,0))</f>
        <v/>
      </c>
      <c r="Q169">
        <f>IF(K169="OK","-",IF(N169&lt;$B$7,"AMBIGUOUS","CONFIDENT"))</f>
        <v/>
      </c>
    </row>
    <row r="170">
      <c r="A170">
        <f>'Runs Z score'!A162</f>
        <v/>
      </c>
      <c r="B170">
        <f>'Runs Z score'!B162</f>
        <v/>
      </c>
      <c r="C170">
        <f>'Runs Z score'!C162</f>
        <v/>
      </c>
      <c r="D170">
        <f>'Runs Z score'!D162</f>
        <v/>
      </c>
      <c r="E170">
        <f>'Runs Z score'!E162</f>
        <v/>
      </c>
      <c r="F170">
        <f>'Runs Z score'!F162</f>
        <v/>
      </c>
      <c r="G170">
        <f>'Runs Z score'!G162</f>
        <v/>
      </c>
      <c r="H170">
        <f>VLOOKUP(C170,Recipes!$A$2:$N$4,10,FALSE())</f>
        <v/>
      </c>
      <c r="I170">
        <f>VLOOKUP(C170,Recipes!$A$2:$N$4,12,FALSE())</f>
        <v/>
      </c>
      <c r="J170">
        <f>IF(G170="","",H170-G170)</f>
        <v/>
      </c>
      <c r="K170">
        <f>IF(G170="","",IF(ABS(G170-H170)&lt;=$B$6*I170,"OK","NG"))</f>
        <v/>
      </c>
      <c r="L170">
        <f>IF(K170="","",IF(K170=D170,1,0))</f>
        <v/>
      </c>
      <c r="M170" t="inlineStr">
        <is>
          <t>S1</t>
        </is>
      </c>
      <c r="N170" s="15" t="n">
        <v>0.9999348246054812</v>
      </c>
      <c r="O170" s="15" t="n">
        <v>4.348624986114292e-05</v>
      </c>
      <c r="P170">
        <f>IF(M170="","",IF(M170=E170,1,0))</f>
        <v/>
      </c>
      <c r="Q170">
        <f>IF(K170="OK","-",IF(N170&lt;$B$7,"AMBIGUOUS","CONFIDENT"))</f>
        <v/>
      </c>
    </row>
    <row r="171">
      <c r="A171">
        <f>'Runs Z score'!A163</f>
        <v/>
      </c>
      <c r="B171">
        <f>'Runs Z score'!B163</f>
        <v/>
      </c>
      <c r="C171">
        <f>'Runs Z score'!C163</f>
        <v/>
      </c>
      <c r="D171">
        <f>'Runs Z score'!D163</f>
        <v/>
      </c>
      <c r="E171">
        <f>'Runs Z score'!E163</f>
        <v/>
      </c>
      <c r="F171">
        <f>'Runs Z score'!F163</f>
        <v/>
      </c>
      <c r="G171">
        <f>'Runs Z score'!G163</f>
        <v/>
      </c>
      <c r="H171">
        <f>VLOOKUP(C171,Recipes!$A$2:$N$4,10,FALSE())</f>
        <v/>
      </c>
      <c r="I171">
        <f>VLOOKUP(C171,Recipes!$A$2:$N$4,12,FALSE())</f>
        <v/>
      </c>
      <c r="J171">
        <f>IF(G171="","",H171-G171)</f>
        <v/>
      </c>
      <c r="K171">
        <f>IF(G171="","",IF(ABS(G171-H171)&lt;=$B$6*I171,"OK","NG"))</f>
        <v/>
      </c>
      <c r="L171">
        <f>IF(K171="","",IF(K171=D171,1,0))</f>
        <v/>
      </c>
      <c r="M171" t="inlineStr">
        <is>
          <t>S1</t>
        </is>
      </c>
      <c r="N171" s="15" t="n">
        <v>0.9999362854307176</v>
      </c>
      <c r="O171" s="15" t="n">
        <v>3.809497537700116e-05</v>
      </c>
      <c r="P171">
        <f>IF(M171="","",IF(M171=E171,1,0))</f>
        <v/>
      </c>
      <c r="Q171">
        <f>IF(K171="OK","-",IF(N171&lt;$B$7,"AMBIGUOUS","CONFIDENT"))</f>
        <v/>
      </c>
    </row>
    <row r="172">
      <c r="A172">
        <f>'Runs Z score'!A164</f>
        <v/>
      </c>
      <c r="B172">
        <f>'Runs Z score'!B164</f>
        <v/>
      </c>
      <c r="C172">
        <f>'Runs Z score'!C164</f>
        <v/>
      </c>
      <c r="D172">
        <f>'Runs Z score'!D164</f>
        <v/>
      </c>
      <c r="E172">
        <f>'Runs Z score'!E164</f>
        <v/>
      </c>
      <c r="F172">
        <f>'Runs Z score'!F164</f>
        <v/>
      </c>
      <c r="G172">
        <f>'Runs Z score'!G164</f>
        <v/>
      </c>
      <c r="H172">
        <f>VLOOKUP(C172,Recipes!$A$2:$N$4,10,FALSE())</f>
        <v/>
      </c>
      <c r="I172">
        <f>VLOOKUP(C172,Recipes!$A$2:$N$4,12,FALSE())</f>
        <v/>
      </c>
      <c r="J172">
        <f>IF(G172="","",H172-G172)</f>
        <v/>
      </c>
      <c r="K172">
        <f>IF(G172="","",IF(ABS(G172-H172)&lt;=$B$6*I172,"OK","NG"))</f>
        <v/>
      </c>
      <c r="L172">
        <f>IF(K172="","",IF(K172=D172,1,0))</f>
        <v/>
      </c>
      <c r="M172" t="inlineStr">
        <is>
          <t>S1</t>
        </is>
      </c>
      <c r="N172" s="15" t="n">
        <v>0.9999334219752988</v>
      </c>
      <c r="O172" s="15" t="n">
        <v>4.767225675628636e-05</v>
      </c>
      <c r="P172">
        <f>IF(M172="","",IF(M172=E172,1,0))</f>
        <v/>
      </c>
      <c r="Q172">
        <f>IF(K172="OK","-",IF(N172&lt;$B$7,"AMBIGUOUS","CONFIDENT"))</f>
        <v/>
      </c>
    </row>
    <row r="173">
      <c r="A173">
        <f>'Runs Z score'!A165</f>
        <v/>
      </c>
      <c r="B173">
        <f>'Runs Z score'!B165</f>
        <v/>
      </c>
      <c r="C173">
        <f>'Runs Z score'!C165</f>
        <v/>
      </c>
      <c r="D173">
        <f>'Runs Z score'!D165</f>
        <v/>
      </c>
      <c r="E173">
        <f>'Runs Z score'!E165</f>
        <v/>
      </c>
      <c r="F173">
        <f>'Runs Z score'!F165</f>
        <v/>
      </c>
      <c r="G173">
        <f>'Runs Z score'!G165</f>
        <v/>
      </c>
      <c r="H173">
        <f>VLOOKUP(C173,Recipes!$A$2:$N$4,10,FALSE())</f>
        <v/>
      </c>
      <c r="I173">
        <f>VLOOKUP(C173,Recipes!$A$2:$N$4,12,FALSE())</f>
        <v/>
      </c>
      <c r="J173">
        <f>IF(G173="","",H173-G173)</f>
        <v/>
      </c>
      <c r="K173">
        <f>IF(G173="","",IF(ABS(G173-H173)&lt;=$B$6*I173,"OK","NG"))</f>
        <v/>
      </c>
      <c r="L173">
        <f>IF(K173="","",IF(K173=D173,1,0))</f>
        <v/>
      </c>
      <c r="M173" t="inlineStr">
        <is>
          <t>S1</t>
        </is>
      </c>
      <c r="N173" s="15" t="n">
        <v>0.9999350191720184</v>
      </c>
      <c r="O173" s="15" t="n">
        <v>3.574621432172078e-05</v>
      </c>
      <c r="P173">
        <f>IF(M173="","",IF(M173=E173,1,0))</f>
        <v/>
      </c>
      <c r="Q173">
        <f>IF(K173="OK","-",IF(N173&lt;$B$7,"AMBIGUOUS","CONFIDENT"))</f>
        <v/>
      </c>
    </row>
    <row r="174">
      <c r="A174">
        <f>'Runs Z score'!A166</f>
        <v/>
      </c>
      <c r="B174">
        <f>'Runs Z score'!B166</f>
        <v/>
      </c>
      <c r="C174">
        <f>'Runs Z score'!C166</f>
        <v/>
      </c>
      <c r="D174">
        <f>'Runs Z score'!D166</f>
        <v/>
      </c>
      <c r="E174">
        <f>'Runs Z score'!E166</f>
        <v/>
      </c>
      <c r="F174">
        <f>'Runs Z score'!F166</f>
        <v/>
      </c>
      <c r="G174">
        <f>'Runs Z score'!G166</f>
        <v/>
      </c>
      <c r="H174">
        <f>VLOOKUP(C174,Recipes!$A$2:$N$4,10,FALSE())</f>
        <v/>
      </c>
      <c r="I174">
        <f>VLOOKUP(C174,Recipes!$A$2:$N$4,12,FALSE())</f>
        <v/>
      </c>
      <c r="J174">
        <f>IF(G174="","",H174-G174)</f>
        <v/>
      </c>
      <c r="K174">
        <f>IF(G174="","",IF(ABS(G174-H174)&lt;=$B$6*I174,"OK","NG"))</f>
        <v/>
      </c>
      <c r="L174">
        <f>IF(K174="","",IF(K174=D174,1,0))</f>
        <v/>
      </c>
      <c r="M174" t="inlineStr">
        <is>
          <t>S1</t>
        </is>
      </c>
      <c r="N174" s="15" t="n">
        <v>0.999917740445918</v>
      </c>
      <c r="O174" s="15" t="n">
        <v>7.083306401158862e-05</v>
      </c>
      <c r="P174">
        <f>IF(M174="","",IF(M174=E174,1,0))</f>
        <v/>
      </c>
      <c r="Q174">
        <f>IF(K174="OK","-",IF(N174&lt;$B$7,"AMBIGUOUS","CONFIDENT"))</f>
        <v/>
      </c>
    </row>
    <row r="175">
      <c r="A175">
        <f>'Runs Z score'!A167</f>
        <v/>
      </c>
      <c r="B175">
        <f>'Runs Z score'!B167</f>
        <v/>
      </c>
      <c r="C175">
        <f>'Runs Z score'!C167</f>
        <v/>
      </c>
      <c r="D175">
        <f>'Runs Z score'!D167</f>
        <v/>
      </c>
      <c r="E175">
        <f>'Runs Z score'!E167</f>
        <v/>
      </c>
      <c r="F175">
        <f>'Runs Z score'!F167</f>
        <v/>
      </c>
      <c r="G175">
        <f>'Runs Z score'!G167</f>
        <v/>
      </c>
      <c r="H175">
        <f>VLOOKUP(C175,Recipes!$A$2:$N$4,10,FALSE())</f>
        <v/>
      </c>
      <c r="I175">
        <f>VLOOKUP(C175,Recipes!$A$2:$N$4,12,FALSE())</f>
        <v/>
      </c>
      <c r="J175">
        <f>IF(G175="","",H175-G175)</f>
        <v/>
      </c>
      <c r="K175">
        <f>IF(G175="","",IF(ABS(G175-H175)&lt;=$B$6*I175,"OK","NG"))</f>
        <v/>
      </c>
      <c r="L175">
        <f>IF(K175="","",IF(K175=D175,1,0))</f>
        <v/>
      </c>
      <c r="M175" t="inlineStr">
        <is>
          <t>S1</t>
        </is>
      </c>
      <c r="N175" s="15" t="n">
        <v>0.999928342670838</v>
      </c>
      <c r="O175" s="15" t="n">
        <v>5.762073901064063e-05</v>
      </c>
      <c r="P175">
        <f>IF(M175="","",IF(M175=E175,1,0))</f>
        <v/>
      </c>
      <c r="Q175">
        <f>IF(K175="OK","-",IF(N175&lt;$B$7,"AMBIGUOUS","CONFIDENT"))</f>
        <v/>
      </c>
    </row>
    <row r="176">
      <c r="A176">
        <f>'Runs Z score'!A168</f>
        <v/>
      </c>
      <c r="B176">
        <f>'Runs Z score'!B168</f>
        <v/>
      </c>
      <c r="C176">
        <f>'Runs Z score'!C168</f>
        <v/>
      </c>
      <c r="D176">
        <f>'Runs Z score'!D168</f>
        <v/>
      </c>
      <c r="E176">
        <f>'Runs Z score'!E168</f>
        <v/>
      </c>
      <c r="F176">
        <f>'Runs Z score'!F168</f>
        <v/>
      </c>
      <c r="G176">
        <f>'Runs Z score'!G168</f>
        <v/>
      </c>
      <c r="H176">
        <f>VLOOKUP(C176,Recipes!$A$2:$N$4,10,FALSE())</f>
        <v/>
      </c>
      <c r="I176">
        <f>VLOOKUP(C176,Recipes!$A$2:$N$4,12,FALSE())</f>
        <v/>
      </c>
      <c r="J176">
        <f>IF(G176="","",H176-G176)</f>
        <v/>
      </c>
      <c r="K176">
        <f>IF(G176="","",IF(ABS(G176-H176)&lt;=$B$6*I176,"OK","NG"))</f>
        <v/>
      </c>
      <c r="L176">
        <f>IF(K176="","",IF(K176=D176,1,0))</f>
        <v/>
      </c>
      <c r="M176" t="inlineStr">
        <is>
          <t>S1</t>
        </is>
      </c>
      <c r="N176" s="15" t="n">
        <v>0.9999247997540042</v>
      </c>
      <c r="O176" s="15" t="n">
        <v>6.206117133491474e-05</v>
      </c>
      <c r="P176">
        <f>IF(M176="","",IF(M176=E176,1,0))</f>
        <v/>
      </c>
      <c r="Q176">
        <f>IF(K176="OK","-",IF(N176&lt;$B$7,"AMBIGUOUS","CONFIDENT"))</f>
        <v/>
      </c>
    </row>
    <row r="177">
      <c r="A177">
        <f>'Runs Z score'!A169</f>
        <v/>
      </c>
      <c r="B177">
        <f>'Runs Z score'!B169</f>
        <v/>
      </c>
      <c r="C177">
        <f>'Runs Z score'!C169</f>
        <v/>
      </c>
      <c r="D177">
        <f>'Runs Z score'!D169</f>
        <v/>
      </c>
      <c r="E177">
        <f>'Runs Z score'!E169</f>
        <v/>
      </c>
      <c r="F177">
        <f>'Runs Z score'!F169</f>
        <v/>
      </c>
      <c r="G177">
        <f>'Runs Z score'!G169</f>
        <v/>
      </c>
      <c r="H177">
        <f>VLOOKUP(C177,Recipes!$A$2:$N$4,10,FALSE())</f>
        <v/>
      </c>
      <c r="I177">
        <f>VLOOKUP(C177,Recipes!$A$2:$N$4,12,FALSE())</f>
        <v/>
      </c>
      <c r="J177">
        <f>IF(G177="","",H177-G177)</f>
        <v/>
      </c>
      <c r="K177">
        <f>IF(G177="","",IF(ABS(G177-H177)&lt;=$B$6*I177,"OK","NG"))</f>
        <v/>
      </c>
      <c r="L177">
        <f>IF(K177="","",IF(K177=D177,1,0))</f>
        <v/>
      </c>
      <c r="M177" t="inlineStr">
        <is>
          <t>S1</t>
        </is>
      </c>
      <c r="N177" s="15" t="n">
        <v>0.9999321660365964</v>
      </c>
      <c r="O177" s="15" t="n">
        <v>4.222386627277579e-05</v>
      </c>
      <c r="P177">
        <f>IF(M177="","",IF(M177=E177,1,0))</f>
        <v/>
      </c>
      <c r="Q177">
        <f>IF(K177="OK","-",IF(N177&lt;$B$7,"AMBIGUOUS","CONFIDENT"))</f>
        <v/>
      </c>
    </row>
    <row r="178">
      <c r="A178">
        <f>'Runs Z score'!A170</f>
        <v/>
      </c>
      <c r="B178">
        <f>'Runs Z score'!B170</f>
        <v/>
      </c>
      <c r="C178">
        <f>'Runs Z score'!C170</f>
        <v/>
      </c>
      <c r="D178">
        <f>'Runs Z score'!D170</f>
        <v/>
      </c>
      <c r="E178">
        <f>'Runs Z score'!E170</f>
        <v/>
      </c>
      <c r="F178">
        <f>'Runs Z score'!F170</f>
        <v/>
      </c>
      <c r="G178">
        <f>'Runs Z score'!G170</f>
        <v/>
      </c>
      <c r="H178">
        <f>VLOOKUP(C178,Recipes!$A$2:$N$4,10,FALSE())</f>
        <v/>
      </c>
      <c r="I178">
        <f>VLOOKUP(C178,Recipes!$A$2:$N$4,12,FALSE())</f>
        <v/>
      </c>
      <c r="J178">
        <f>IF(G178="","",H178-G178)</f>
        <v/>
      </c>
      <c r="K178">
        <f>IF(G178="","",IF(ABS(G178-H178)&lt;=$B$6*I178,"OK","NG"))</f>
        <v/>
      </c>
      <c r="L178">
        <f>IF(K178="","",IF(K178=D178,1,0))</f>
        <v/>
      </c>
      <c r="M178" t="inlineStr">
        <is>
          <t>S1</t>
        </is>
      </c>
      <c r="N178" s="15" t="n">
        <v>0.9999348246054812</v>
      </c>
      <c r="O178" s="15" t="n">
        <v>4.348624986114292e-05</v>
      </c>
      <c r="P178">
        <f>IF(M178="","",IF(M178=E178,1,0))</f>
        <v/>
      </c>
      <c r="Q178">
        <f>IF(K178="OK","-",IF(N178&lt;$B$7,"AMBIGUOUS","CONFIDENT"))</f>
        <v/>
      </c>
    </row>
    <row r="179">
      <c r="A179">
        <f>'Runs Z score'!A171</f>
        <v/>
      </c>
      <c r="B179">
        <f>'Runs Z score'!B171</f>
        <v/>
      </c>
      <c r="C179">
        <f>'Runs Z score'!C171</f>
        <v/>
      </c>
      <c r="D179">
        <f>'Runs Z score'!D171</f>
        <v/>
      </c>
      <c r="E179">
        <f>'Runs Z score'!E171</f>
        <v/>
      </c>
      <c r="F179">
        <f>'Runs Z score'!F171</f>
        <v/>
      </c>
      <c r="G179">
        <f>'Runs Z score'!G171</f>
        <v/>
      </c>
      <c r="H179">
        <f>VLOOKUP(C179,Recipes!$A$2:$N$4,10,FALSE())</f>
        <v/>
      </c>
      <c r="I179">
        <f>VLOOKUP(C179,Recipes!$A$2:$N$4,12,FALSE())</f>
        <v/>
      </c>
      <c r="J179">
        <f>IF(G179="","",H179-G179)</f>
        <v/>
      </c>
      <c r="K179">
        <f>IF(G179="","",IF(ABS(G179-H179)&lt;=$B$6*I179,"OK","NG"))</f>
        <v/>
      </c>
      <c r="L179">
        <f>IF(K179="","",IF(K179=D179,1,0))</f>
        <v/>
      </c>
      <c r="M179" t="inlineStr">
        <is>
          <t>S1</t>
        </is>
      </c>
      <c r="N179" s="15" t="n">
        <v>0.9998753896124508</v>
      </c>
      <c r="O179" s="15" t="n">
        <v>0.0001116619393188</v>
      </c>
      <c r="P179">
        <f>IF(M179="","",IF(M179=E179,1,0))</f>
        <v/>
      </c>
      <c r="Q179">
        <f>IF(K179="OK","-",IF(N179&lt;$B$7,"AMBIGUOUS","CONFIDENT"))</f>
        <v/>
      </c>
    </row>
    <row r="180">
      <c r="A180">
        <f>'Runs Z score'!A172</f>
        <v/>
      </c>
      <c r="B180">
        <f>'Runs Z score'!B172</f>
        <v/>
      </c>
      <c r="C180">
        <f>'Runs Z score'!C172</f>
        <v/>
      </c>
      <c r="D180">
        <f>'Runs Z score'!D172</f>
        <v/>
      </c>
      <c r="E180">
        <f>'Runs Z score'!E172</f>
        <v/>
      </c>
      <c r="F180">
        <f>'Runs Z score'!F172</f>
        <v/>
      </c>
      <c r="G180">
        <f>'Runs Z score'!G172</f>
        <v/>
      </c>
      <c r="H180">
        <f>VLOOKUP(C180,Recipes!$A$2:$N$4,10,FALSE())</f>
        <v/>
      </c>
      <c r="I180">
        <f>VLOOKUP(C180,Recipes!$A$2:$N$4,12,FALSE())</f>
        <v/>
      </c>
      <c r="J180">
        <f>IF(G180="","",H180-G180)</f>
        <v/>
      </c>
      <c r="K180">
        <f>IF(G180="","",IF(ABS(G180-H180)&lt;=$B$6*I180,"OK","NG"))</f>
        <v/>
      </c>
      <c r="L180">
        <f>IF(K180="","",IF(K180=D180,1,0))</f>
        <v/>
      </c>
      <c r="M180" t="inlineStr">
        <is>
          <t>S1</t>
        </is>
      </c>
      <c r="N180" s="15" t="n">
        <v>0.9999027198731693</v>
      </c>
      <c r="O180" s="15" t="n">
        <v>8.219812949730394e-05</v>
      </c>
      <c r="P180">
        <f>IF(M180="","",IF(M180=E180,1,0))</f>
        <v/>
      </c>
      <c r="Q180">
        <f>IF(K180="OK","-",IF(N180&lt;$B$7,"AMBIGUOUS","CONFIDENT"))</f>
        <v/>
      </c>
    </row>
    <row r="181">
      <c r="A181">
        <f>'Runs Z score'!A173</f>
        <v/>
      </c>
      <c r="B181">
        <f>'Runs Z score'!B173</f>
        <v/>
      </c>
      <c r="C181">
        <f>'Runs Z score'!C173</f>
        <v/>
      </c>
      <c r="D181">
        <f>'Runs Z score'!D173</f>
        <v/>
      </c>
      <c r="E181">
        <f>'Runs Z score'!E173</f>
        <v/>
      </c>
      <c r="F181">
        <f>'Runs Z score'!F173</f>
        <v/>
      </c>
      <c r="G181">
        <f>'Runs Z score'!G173</f>
        <v/>
      </c>
      <c r="H181">
        <f>VLOOKUP(C181,Recipes!$A$2:$N$4,10,FALSE())</f>
        <v/>
      </c>
      <c r="I181">
        <f>VLOOKUP(C181,Recipes!$A$2:$N$4,12,FALSE())</f>
        <v/>
      </c>
      <c r="J181">
        <f>IF(G181="","",H181-G181)</f>
        <v/>
      </c>
      <c r="K181">
        <f>IF(G181="","",IF(ABS(G181-H181)&lt;=$B$6*I181,"OK","NG"))</f>
        <v/>
      </c>
      <c r="L181">
        <f>IF(K181="","",IF(K181=D181,1,0))</f>
        <v/>
      </c>
      <c r="M181" t="inlineStr">
        <is>
          <t>S1</t>
        </is>
      </c>
      <c r="N181" s="15" t="n">
        <v>0.9999247997540042</v>
      </c>
      <c r="O181" s="15" t="n">
        <v>6.206117133491474e-05</v>
      </c>
      <c r="P181">
        <f>IF(M181="","",IF(M181=E181,1,0))</f>
        <v/>
      </c>
      <c r="Q181">
        <f>IF(K181="OK","-",IF(N181&lt;$B$7,"AMBIGUOUS","CONFIDENT"))</f>
        <v/>
      </c>
    </row>
    <row r="182">
      <c r="A182">
        <f>'Runs Z score'!A174</f>
        <v/>
      </c>
      <c r="B182">
        <f>'Runs Z score'!B174</f>
        <v/>
      </c>
      <c r="C182">
        <f>'Runs Z score'!C174</f>
        <v/>
      </c>
      <c r="D182">
        <f>'Runs Z score'!D174</f>
        <v/>
      </c>
      <c r="E182">
        <f>'Runs Z score'!E174</f>
        <v/>
      </c>
      <c r="F182">
        <f>'Runs Z score'!F174</f>
        <v/>
      </c>
      <c r="G182">
        <f>'Runs Z score'!G174</f>
        <v/>
      </c>
      <c r="H182">
        <f>VLOOKUP(C182,Recipes!$A$2:$N$4,10,FALSE())</f>
        <v/>
      </c>
      <c r="I182">
        <f>VLOOKUP(C182,Recipes!$A$2:$N$4,12,FALSE())</f>
        <v/>
      </c>
      <c r="J182">
        <f>IF(G182="","",H182-G182)</f>
        <v/>
      </c>
      <c r="K182">
        <f>IF(G182="","",IF(ABS(G182-H182)&lt;=$B$6*I182,"OK","NG"))</f>
        <v/>
      </c>
      <c r="L182">
        <f>IF(K182="","",IF(K182=D182,1,0))</f>
        <v/>
      </c>
      <c r="M182" t="inlineStr">
        <is>
          <t>S1</t>
        </is>
      </c>
      <c r="N182" s="15" t="n">
        <v>0.9998858236337927</v>
      </c>
      <c r="O182" s="15" t="n">
        <v>9.89208044544672e-05</v>
      </c>
      <c r="P182">
        <f>IF(M182="","",IF(M182=E182,1,0))</f>
        <v/>
      </c>
      <c r="Q182">
        <f>IF(K182="OK","-",IF(N182&lt;$B$7,"AMBIGUOUS","CONFIDENT"))</f>
        <v/>
      </c>
    </row>
    <row r="183">
      <c r="A183">
        <f>'Runs Z score'!A175</f>
        <v/>
      </c>
      <c r="B183">
        <f>'Runs Z score'!B175</f>
        <v/>
      </c>
      <c r="C183">
        <f>'Runs Z score'!C175</f>
        <v/>
      </c>
      <c r="D183">
        <f>'Runs Z score'!D175</f>
        <v/>
      </c>
      <c r="E183">
        <f>'Runs Z score'!E175</f>
        <v/>
      </c>
      <c r="F183">
        <f>'Runs Z score'!F175</f>
        <v/>
      </c>
      <c r="G183">
        <f>'Runs Z score'!G175</f>
        <v/>
      </c>
      <c r="H183">
        <f>VLOOKUP(C183,Recipes!$A$2:$N$4,10,FALSE())</f>
        <v/>
      </c>
      <c r="I183">
        <f>VLOOKUP(C183,Recipes!$A$2:$N$4,12,FALSE())</f>
        <v/>
      </c>
      <c r="J183">
        <f>IF(G183="","",H183-G183)</f>
        <v/>
      </c>
      <c r="K183">
        <f>IF(G183="","",IF(ABS(G183-H183)&lt;=$B$6*I183,"OK","NG"))</f>
        <v/>
      </c>
      <c r="L183">
        <f>IF(K183="","",IF(K183=D183,1,0))</f>
        <v/>
      </c>
      <c r="M183" t="inlineStr">
        <is>
          <t>S1</t>
        </is>
      </c>
      <c r="N183" s="15" t="n">
        <v>0.9999247997540042</v>
      </c>
      <c r="O183" s="15" t="n">
        <v>6.206117133491474e-05</v>
      </c>
      <c r="P183">
        <f>IF(M183="","",IF(M183=E183,1,0))</f>
        <v/>
      </c>
      <c r="Q183">
        <f>IF(K183="OK","-",IF(N183&lt;$B$7,"AMBIGUOUS","CONFIDENT"))</f>
        <v/>
      </c>
    </row>
    <row r="184">
      <c r="A184">
        <f>'Runs Z score'!A176</f>
        <v/>
      </c>
      <c r="B184">
        <f>'Runs Z score'!B176</f>
        <v/>
      </c>
      <c r="C184">
        <f>'Runs Z score'!C176</f>
        <v/>
      </c>
      <c r="D184">
        <f>'Runs Z score'!D176</f>
        <v/>
      </c>
      <c r="E184">
        <f>'Runs Z score'!E176</f>
        <v/>
      </c>
      <c r="F184">
        <f>'Runs Z score'!F176</f>
        <v/>
      </c>
      <c r="G184">
        <f>'Runs Z score'!G176</f>
        <v/>
      </c>
      <c r="H184">
        <f>VLOOKUP(C184,Recipes!$A$2:$N$4,10,FALSE())</f>
        <v/>
      </c>
      <c r="I184">
        <f>VLOOKUP(C184,Recipes!$A$2:$N$4,12,FALSE())</f>
        <v/>
      </c>
      <c r="J184">
        <f>IF(G184="","",H184-G184)</f>
        <v/>
      </c>
      <c r="K184">
        <f>IF(G184="","",IF(ABS(G184-H184)&lt;=$B$6*I184,"OK","NG"))</f>
        <v/>
      </c>
      <c r="L184">
        <f>IF(K184="","",IF(K184=D184,1,0))</f>
        <v/>
      </c>
      <c r="M184" t="inlineStr">
        <is>
          <t>S1</t>
        </is>
      </c>
      <c r="N184" s="15" t="n">
        <v>0.9999062695466699</v>
      </c>
      <c r="O184" s="15" t="n">
        <v>6.877888291302474e-05</v>
      </c>
      <c r="P184">
        <f>IF(M184="","",IF(M184=E184,1,0))</f>
        <v/>
      </c>
      <c r="Q184">
        <f>IF(K184="OK","-",IF(N184&lt;$B$7,"AMBIGUOUS","CONFIDENT"))</f>
        <v/>
      </c>
    </row>
    <row r="185">
      <c r="A185">
        <f>'Runs Z score'!A177</f>
        <v/>
      </c>
      <c r="B185">
        <f>'Runs Z score'!B177</f>
        <v/>
      </c>
      <c r="C185">
        <f>'Runs Z score'!C177</f>
        <v/>
      </c>
      <c r="D185">
        <f>'Runs Z score'!D177</f>
        <v/>
      </c>
      <c r="E185">
        <f>'Runs Z score'!E177</f>
        <v/>
      </c>
      <c r="F185">
        <f>'Runs Z score'!F177</f>
        <v/>
      </c>
      <c r="G185">
        <f>'Runs Z score'!G177</f>
        <v/>
      </c>
      <c r="H185">
        <f>VLOOKUP(C185,Recipes!$A$2:$N$4,10,FALSE())</f>
        <v/>
      </c>
      <c r="I185">
        <f>VLOOKUP(C185,Recipes!$A$2:$N$4,12,FALSE())</f>
        <v/>
      </c>
      <c r="J185">
        <f>IF(G185="","",H185-G185)</f>
        <v/>
      </c>
      <c r="K185">
        <f>IF(G185="","",IF(ABS(G185-H185)&lt;=$B$6*I185,"OK","NG"))</f>
        <v/>
      </c>
      <c r="L185">
        <f>IF(K185="","",IF(K185=D185,1,0))</f>
        <v/>
      </c>
      <c r="M185" t="inlineStr">
        <is>
          <t>S1</t>
        </is>
      </c>
      <c r="N185" s="15" t="n">
        <v>0.9999364781995984</v>
      </c>
      <c r="O185" s="15" t="n">
        <v>4.175099622923379e-05</v>
      </c>
      <c r="P185">
        <f>IF(M185="","",IF(M185=E185,1,0))</f>
        <v/>
      </c>
      <c r="Q185">
        <f>IF(K185="OK","-",IF(N185&lt;$B$7,"AMBIGUOUS","CONFIDENT"))</f>
        <v/>
      </c>
    </row>
    <row r="186">
      <c r="A186">
        <f>'Runs Z score'!A178</f>
        <v/>
      </c>
      <c r="B186">
        <f>'Runs Z score'!B178</f>
        <v/>
      </c>
      <c r="C186">
        <f>'Runs Z score'!C178</f>
        <v/>
      </c>
      <c r="D186">
        <f>'Runs Z score'!D178</f>
        <v/>
      </c>
      <c r="E186">
        <f>'Runs Z score'!E178</f>
        <v/>
      </c>
      <c r="F186">
        <f>'Runs Z score'!F178</f>
        <v/>
      </c>
      <c r="G186">
        <f>'Runs Z score'!G178</f>
        <v/>
      </c>
      <c r="H186">
        <f>VLOOKUP(C186,Recipes!$A$2:$N$4,10,FALSE())</f>
        <v/>
      </c>
      <c r="I186">
        <f>VLOOKUP(C186,Recipes!$A$2:$N$4,12,FALSE())</f>
        <v/>
      </c>
      <c r="J186">
        <f>IF(G186="","",H186-G186)</f>
        <v/>
      </c>
      <c r="K186">
        <f>IF(G186="","",IF(ABS(G186-H186)&lt;=$B$6*I186,"OK","NG"))</f>
        <v/>
      </c>
      <c r="L186">
        <f>IF(K186="","",IF(K186=D186,1,0))</f>
        <v/>
      </c>
      <c r="M186" t="inlineStr">
        <is>
          <t>S1</t>
        </is>
      </c>
      <c r="N186" s="15" t="n">
        <v>0.99993807144936</v>
      </c>
      <c r="O186" s="15" t="n">
        <v>3.868202297406184e-05</v>
      </c>
      <c r="P186">
        <f>IF(M186="","",IF(M186=E186,1,0))</f>
        <v/>
      </c>
      <c r="Q186">
        <f>IF(K186="OK","-",IF(N186&lt;$B$7,"AMBIGUOUS","CONFIDENT"))</f>
        <v/>
      </c>
    </row>
    <row r="187">
      <c r="A187">
        <f>'Runs Z score'!A179</f>
        <v/>
      </c>
      <c r="B187">
        <f>'Runs Z score'!B179</f>
        <v/>
      </c>
      <c r="C187">
        <f>'Runs Z score'!C179</f>
        <v/>
      </c>
      <c r="D187">
        <f>'Runs Z score'!D179</f>
        <v/>
      </c>
      <c r="E187">
        <f>'Runs Z score'!E179</f>
        <v/>
      </c>
      <c r="F187">
        <f>'Runs Z score'!F179</f>
        <v/>
      </c>
      <c r="G187">
        <f>'Runs Z score'!G179</f>
        <v/>
      </c>
      <c r="H187">
        <f>VLOOKUP(C187,Recipes!$A$2:$N$4,10,FALSE())</f>
        <v/>
      </c>
      <c r="I187">
        <f>VLOOKUP(C187,Recipes!$A$2:$N$4,12,FALSE())</f>
        <v/>
      </c>
      <c r="J187">
        <f>IF(G187="","",H187-G187)</f>
        <v/>
      </c>
      <c r="K187">
        <f>IF(G187="","",IF(ABS(G187-H187)&lt;=$B$6*I187,"OK","NG"))</f>
        <v/>
      </c>
      <c r="L187">
        <f>IF(K187="","",IF(K187=D187,1,0))</f>
        <v/>
      </c>
      <c r="M187" t="inlineStr">
        <is>
          <t>S1</t>
        </is>
      </c>
      <c r="N187" s="15" t="n">
        <v>0.9999386257448352</v>
      </c>
      <c r="O187" s="15" t="n">
        <v>3.387044160554444e-05</v>
      </c>
      <c r="P187">
        <f>IF(M187="","",IF(M187=E187,1,0))</f>
        <v/>
      </c>
      <c r="Q187">
        <f>IF(K187="OK","-",IF(N187&lt;$B$7,"AMBIGUOUS","CONFIDENT"))</f>
        <v/>
      </c>
    </row>
    <row r="188">
      <c r="A188">
        <f>'Runs Z score'!A180</f>
        <v/>
      </c>
      <c r="B188">
        <f>'Runs Z score'!B180</f>
        <v/>
      </c>
      <c r="C188">
        <f>'Runs Z score'!C180</f>
        <v/>
      </c>
      <c r="D188">
        <f>'Runs Z score'!D180</f>
        <v/>
      </c>
      <c r="E188">
        <f>'Runs Z score'!E180</f>
        <v/>
      </c>
      <c r="F188">
        <f>'Runs Z score'!F180</f>
        <v/>
      </c>
      <c r="G188">
        <f>'Runs Z score'!G180</f>
        <v/>
      </c>
      <c r="H188">
        <f>VLOOKUP(C188,Recipes!$A$2:$N$4,10,FALSE())</f>
        <v/>
      </c>
      <c r="I188">
        <f>VLOOKUP(C188,Recipes!$A$2:$N$4,12,FALSE())</f>
        <v/>
      </c>
      <c r="J188">
        <f>IF(G188="","",H188-G188)</f>
        <v/>
      </c>
      <c r="K188">
        <f>IF(G188="","",IF(ABS(G188-H188)&lt;=$B$6*I188,"OK","NG"))</f>
        <v/>
      </c>
      <c r="L188">
        <f>IF(K188="","",IF(K188=D188,1,0))</f>
        <v/>
      </c>
      <c r="M188" t="inlineStr">
        <is>
          <t>S1</t>
        </is>
      </c>
      <c r="N188" s="15" t="n">
        <v>0.9999334219752988</v>
      </c>
      <c r="O188" s="15" t="n">
        <v>4.767225675628636e-05</v>
      </c>
      <c r="P188">
        <f>IF(M188="","",IF(M188=E188,1,0))</f>
        <v/>
      </c>
      <c r="Q188">
        <f>IF(K188="OK","-",IF(N188&lt;$B$7,"AMBIGUOUS","CONFIDENT"))</f>
        <v/>
      </c>
    </row>
    <row r="189">
      <c r="A189">
        <f>'Runs Z score'!A181</f>
        <v/>
      </c>
      <c r="B189">
        <f>'Runs Z score'!B181</f>
        <v/>
      </c>
      <c r="C189">
        <f>'Runs Z score'!C181</f>
        <v/>
      </c>
      <c r="D189">
        <f>'Runs Z score'!D181</f>
        <v/>
      </c>
      <c r="E189">
        <f>'Runs Z score'!E181</f>
        <v/>
      </c>
      <c r="F189">
        <f>'Runs Z score'!F181</f>
        <v/>
      </c>
      <c r="G189">
        <f>'Runs Z score'!G181</f>
        <v/>
      </c>
      <c r="H189">
        <f>VLOOKUP(C189,Recipes!$A$2:$N$4,10,FALSE())</f>
        <v/>
      </c>
      <c r="I189">
        <f>VLOOKUP(C189,Recipes!$A$2:$N$4,12,FALSE())</f>
        <v/>
      </c>
      <c r="J189">
        <f>IF(G189="","",H189-G189)</f>
        <v/>
      </c>
      <c r="K189">
        <f>IF(G189="","",IF(ABS(G189-H189)&lt;=$B$6*I189,"OK","NG"))</f>
        <v/>
      </c>
      <c r="L189">
        <f>IF(K189="","",IF(K189=D189,1,0))</f>
        <v/>
      </c>
      <c r="M189" t="inlineStr">
        <is>
          <t>S1</t>
        </is>
      </c>
      <c r="N189" s="15" t="n">
        <v>0.9999180660232948</v>
      </c>
      <c r="O189" s="15" t="n">
        <v>7.082996070061976e-05</v>
      </c>
      <c r="P189">
        <f>IF(M189="","",IF(M189=E189,1,0))</f>
        <v/>
      </c>
      <c r="Q189">
        <f>IF(K189="OK","-",IF(N189&lt;$B$7,"AMBIGUOUS","CONFIDENT"))</f>
        <v/>
      </c>
    </row>
    <row r="190">
      <c r="A190">
        <f>'Runs Z score'!A182</f>
        <v/>
      </c>
      <c r="B190">
        <f>'Runs Z score'!B182</f>
        <v/>
      </c>
      <c r="C190">
        <f>'Runs Z score'!C182</f>
        <v/>
      </c>
      <c r="D190">
        <f>'Runs Z score'!D182</f>
        <v/>
      </c>
      <c r="E190">
        <f>'Runs Z score'!E182</f>
        <v/>
      </c>
      <c r="F190">
        <f>'Runs Z score'!F182</f>
        <v/>
      </c>
      <c r="G190">
        <f>'Runs Z score'!G182</f>
        <v/>
      </c>
      <c r="H190">
        <f>VLOOKUP(C190,Recipes!$A$2:$N$4,10,FALSE())</f>
        <v/>
      </c>
      <c r="I190">
        <f>VLOOKUP(C190,Recipes!$A$2:$N$4,12,FALSE())</f>
        <v/>
      </c>
      <c r="J190">
        <f>IF(G190="","",H190-G190)</f>
        <v/>
      </c>
      <c r="K190">
        <f>IF(G190="","",IF(ABS(G190-H190)&lt;=$B$6*I190,"OK","NG"))</f>
        <v/>
      </c>
      <c r="L190">
        <f>IF(K190="","",IF(K190=D190,1,0))</f>
        <v/>
      </c>
      <c r="M190" t="inlineStr">
        <is>
          <t>S1</t>
        </is>
      </c>
      <c r="N190" s="15" t="n">
        <v>0.9999378019587066</v>
      </c>
      <c r="O190" s="15" t="n">
        <v>3.254071871018671e-05</v>
      </c>
      <c r="P190">
        <f>IF(M190="","",IF(M190=E190,1,0))</f>
        <v/>
      </c>
      <c r="Q190">
        <f>IF(K190="OK","-",IF(N190&lt;$B$7,"AMBIGUOUS","CONFIDENT"))</f>
        <v/>
      </c>
    </row>
    <row r="191">
      <c r="A191">
        <f>'Runs Z score'!A183</f>
        <v/>
      </c>
      <c r="B191">
        <f>'Runs Z score'!B183</f>
        <v/>
      </c>
      <c r="C191">
        <f>'Runs Z score'!C183</f>
        <v/>
      </c>
      <c r="D191">
        <f>'Runs Z score'!D183</f>
        <v/>
      </c>
      <c r="E191">
        <f>'Runs Z score'!E183</f>
        <v/>
      </c>
      <c r="F191">
        <f>'Runs Z score'!F183</f>
        <v/>
      </c>
      <c r="G191">
        <f>'Runs Z score'!G183</f>
        <v/>
      </c>
      <c r="H191">
        <f>VLOOKUP(C191,Recipes!$A$2:$N$4,10,FALSE())</f>
        <v/>
      </c>
      <c r="I191">
        <f>VLOOKUP(C191,Recipes!$A$2:$N$4,12,FALSE())</f>
        <v/>
      </c>
      <c r="J191">
        <f>IF(G191="","",H191-G191)</f>
        <v/>
      </c>
      <c r="K191">
        <f>IF(G191="","",IF(ABS(G191-H191)&lt;=$B$6*I191,"OK","NG"))</f>
        <v/>
      </c>
      <c r="L191">
        <f>IF(K191="","",IF(K191=D191,1,0))</f>
        <v/>
      </c>
      <c r="M191" t="inlineStr">
        <is>
          <t>W1</t>
        </is>
      </c>
      <c r="N191" s="15" t="n">
        <v>0.99838588814714</v>
      </c>
      <c r="O191" s="15" t="n">
        <v>0.0016141105186726</v>
      </c>
      <c r="P191">
        <f>IF(M191="","",IF(M191=E191,1,0))</f>
        <v/>
      </c>
      <c r="Q191">
        <f>IF(K191="OK","-",IF(N191&lt;$B$7,"AMBIGUOUS","CONFIDENT"))</f>
        <v/>
      </c>
    </row>
    <row r="192">
      <c r="A192">
        <f>'Runs Z score'!A184</f>
        <v/>
      </c>
      <c r="B192">
        <f>'Runs Z score'!B184</f>
        <v/>
      </c>
      <c r="C192">
        <f>'Runs Z score'!C184</f>
        <v/>
      </c>
      <c r="D192">
        <f>'Runs Z score'!D184</f>
        <v/>
      </c>
      <c r="E192">
        <f>'Runs Z score'!E184</f>
        <v/>
      </c>
      <c r="F192">
        <f>'Runs Z score'!F184</f>
        <v/>
      </c>
      <c r="G192">
        <f>'Runs Z score'!G184</f>
        <v/>
      </c>
      <c r="H192">
        <f>VLOOKUP(C192,Recipes!$A$2:$N$4,10,FALSE())</f>
        <v/>
      </c>
      <c r="I192">
        <f>VLOOKUP(C192,Recipes!$A$2:$N$4,12,FALSE())</f>
        <v/>
      </c>
      <c r="J192">
        <f>IF(G192="","",H192-G192)</f>
        <v/>
      </c>
      <c r="K192">
        <f>IF(G192="","",IF(ABS(G192-H192)&lt;=$B$6*I192,"OK","NG"))</f>
        <v/>
      </c>
      <c r="L192">
        <f>IF(K192="","",IF(K192=D192,1,0))</f>
        <v/>
      </c>
      <c r="M192" t="inlineStr">
        <is>
          <t>W1</t>
        </is>
      </c>
      <c r="N192" s="15" t="n">
        <v>0.9961683819011152</v>
      </c>
      <c r="O192" s="15" t="n">
        <v>0.0038316139910334</v>
      </c>
      <c r="P192">
        <f>IF(M192="","",IF(M192=E192,1,0))</f>
        <v/>
      </c>
      <c r="Q192">
        <f>IF(K192="OK","-",IF(N192&lt;$B$7,"AMBIGUOUS","CONFIDENT"))</f>
        <v/>
      </c>
    </row>
    <row r="193">
      <c r="A193">
        <f>'Runs Z score'!A185</f>
        <v/>
      </c>
      <c r="B193">
        <f>'Runs Z score'!B185</f>
        <v/>
      </c>
      <c r="C193">
        <f>'Runs Z score'!C185</f>
        <v/>
      </c>
      <c r="D193">
        <f>'Runs Z score'!D185</f>
        <v/>
      </c>
      <c r="E193">
        <f>'Runs Z score'!E185</f>
        <v/>
      </c>
      <c r="F193">
        <f>'Runs Z score'!F185</f>
        <v/>
      </c>
      <c r="G193">
        <f>'Runs Z score'!G185</f>
        <v/>
      </c>
      <c r="H193">
        <f>VLOOKUP(C193,Recipes!$A$2:$N$4,10,FALSE())</f>
        <v/>
      </c>
      <c r="I193">
        <f>VLOOKUP(C193,Recipes!$A$2:$N$4,12,FALSE())</f>
        <v/>
      </c>
      <c r="J193">
        <f>IF(G193="","",H193-G193)</f>
        <v/>
      </c>
      <c r="K193">
        <f>IF(G193="","",IF(ABS(G193-H193)&lt;=$B$6*I193,"OK","NG"))</f>
        <v/>
      </c>
      <c r="L193">
        <f>IF(K193="","",IF(K193=D193,1,0))</f>
        <v/>
      </c>
      <c r="M193" t="inlineStr">
        <is>
          <t>W1</t>
        </is>
      </c>
      <c r="N193" s="15" t="n">
        <v>0.99764308019473</v>
      </c>
      <c r="O193" s="15" t="n">
        <v>0.0023569174074434</v>
      </c>
      <c r="P193">
        <f>IF(M193="","",IF(M193=E193,1,0))</f>
        <v/>
      </c>
      <c r="Q193">
        <f>IF(K193="OK","-",IF(N193&lt;$B$7,"AMBIGUOUS","CONFIDENT"))</f>
        <v/>
      </c>
    </row>
    <row r="194">
      <c r="A194">
        <f>'Runs Z score'!A186</f>
        <v/>
      </c>
      <c r="B194">
        <f>'Runs Z score'!B186</f>
        <v/>
      </c>
      <c r="C194">
        <f>'Runs Z score'!C186</f>
        <v/>
      </c>
      <c r="D194">
        <f>'Runs Z score'!D186</f>
        <v/>
      </c>
      <c r="E194">
        <f>'Runs Z score'!E186</f>
        <v/>
      </c>
      <c r="F194">
        <f>'Runs Z score'!F186</f>
        <v/>
      </c>
      <c r="G194">
        <f>'Runs Z score'!G186</f>
        <v/>
      </c>
      <c r="H194">
        <f>VLOOKUP(C194,Recipes!$A$2:$N$4,10,FALSE())</f>
        <v/>
      </c>
      <c r="I194">
        <f>VLOOKUP(C194,Recipes!$A$2:$N$4,12,FALSE())</f>
        <v/>
      </c>
      <c r="J194">
        <f>IF(G194="","",H194-G194)</f>
        <v/>
      </c>
      <c r="K194">
        <f>IF(G194="","",IF(ABS(G194-H194)&lt;=$B$6*I194,"OK","NG"))</f>
        <v/>
      </c>
      <c r="L194">
        <f>IF(K194="","",IF(K194=D194,1,0))</f>
        <v/>
      </c>
      <c r="M194" t="inlineStr">
        <is>
          <t>W1</t>
        </is>
      </c>
      <c r="N194" s="15" t="n">
        <v>0.999916926140264</v>
      </c>
      <c r="O194" s="15" t="n">
        <v>8.307340010449163e-05</v>
      </c>
      <c r="P194">
        <f>IF(M194="","",IF(M194=E194,1,0))</f>
        <v/>
      </c>
      <c r="Q194">
        <f>IF(K194="OK","-",IF(N194&lt;$B$7,"AMBIGUOUS","CONFIDENT"))</f>
        <v/>
      </c>
    </row>
    <row r="195">
      <c r="A195">
        <f>'Runs Z score'!A187</f>
        <v/>
      </c>
      <c r="B195">
        <f>'Runs Z score'!B187</f>
        <v/>
      </c>
      <c r="C195">
        <f>'Runs Z score'!C187</f>
        <v/>
      </c>
      <c r="D195">
        <f>'Runs Z score'!D187</f>
        <v/>
      </c>
      <c r="E195">
        <f>'Runs Z score'!E187</f>
        <v/>
      </c>
      <c r="F195">
        <f>'Runs Z score'!F187</f>
        <v/>
      </c>
      <c r="G195">
        <f>'Runs Z score'!G187</f>
        <v/>
      </c>
      <c r="H195">
        <f>VLOOKUP(C195,Recipes!$A$2:$N$4,10,FALSE())</f>
        <v/>
      </c>
      <c r="I195">
        <f>VLOOKUP(C195,Recipes!$A$2:$N$4,12,FALSE())</f>
        <v/>
      </c>
      <c r="J195">
        <f>IF(G195="","",H195-G195)</f>
        <v/>
      </c>
      <c r="K195">
        <f>IF(G195="","",IF(ABS(G195-H195)&lt;=$B$6*I195,"OK","NG"))</f>
        <v/>
      </c>
      <c r="L195">
        <f>IF(K195="","",IF(K195=D195,1,0))</f>
        <v/>
      </c>
      <c r="M195" t="inlineStr">
        <is>
          <t>W1</t>
        </is>
      </c>
      <c r="N195" s="15" t="n">
        <v>0.9941496231022344</v>
      </c>
      <c r="O195" s="15" t="n">
        <v>0.0058503699178348</v>
      </c>
      <c r="P195">
        <f>IF(M195="","",IF(M195=E195,1,0))</f>
        <v/>
      </c>
      <c r="Q195">
        <f>IF(K195="OK","-",IF(N195&lt;$B$7,"AMBIGUOUS","CONFIDENT"))</f>
        <v/>
      </c>
    </row>
    <row r="196">
      <c r="A196">
        <f>'Runs Z score'!A188</f>
        <v/>
      </c>
      <c r="B196">
        <f>'Runs Z score'!B188</f>
        <v/>
      </c>
      <c r="C196">
        <f>'Runs Z score'!C188</f>
        <v/>
      </c>
      <c r="D196">
        <f>'Runs Z score'!D188</f>
        <v/>
      </c>
      <c r="E196">
        <f>'Runs Z score'!E188</f>
        <v/>
      </c>
      <c r="F196">
        <f>'Runs Z score'!F188</f>
        <v/>
      </c>
      <c r="G196">
        <f>'Runs Z score'!G188</f>
        <v/>
      </c>
      <c r="H196">
        <f>VLOOKUP(C196,Recipes!$A$2:$N$4,10,FALSE())</f>
        <v/>
      </c>
      <c r="I196">
        <f>VLOOKUP(C196,Recipes!$A$2:$N$4,12,FALSE())</f>
        <v/>
      </c>
      <c r="J196">
        <f>IF(G196="","",H196-G196)</f>
        <v/>
      </c>
      <c r="K196">
        <f>IF(G196="","",IF(ABS(G196-H196)&lt;=$B$6*I196,"OK","NG"))</f>
        <v/>
      </c>
      <c r="L196">
        <f>IF(K196="","",IF(K196=D196,1,0))</f>
        <v/>
      </c>
      <c r="M196" t="inlineStr">
        <is>
          <t>W1</t>
        </is>
      </c>
      <c r="N196" s="15" t="n">
        <v>0.9993773510081664</v>
      </c>
      <c r="O196" s="15" t="n">
        <v>0.0006226486782291</v>
      </c>
      <c r="P196">
        <f>IF(M196="","",IF(M196=E196,1,0))</f>
        <v/>
      </c>
      <c r="Q196">
        <f>IF(K196="OK","-",IF(N196&lt;$B$7,"AMBIGUOUS","CONFIDENT"))</f>
        <v/>
      </c>
    </row>
    <row r="197">
      <c r="A197">
        <f>'Runs Z score'!A189</f>
        <v/>
      </c>
      <c r="B197">
        <f>'Runs Z score'!B189</f>
        <v/>
      </c>
      <c r="C197">
        <f>'Runs Z score'!C189</f>
        <v/>
      </c>
      <c r="D197">
        <f>'Runs Z score'!D189</f>
        <v/>
      </c>
      <c r="E197">
        <f>'Runs Z score'!E189</f>
        <v/>
      </c>
      <c r="F197">
        <f>'Runs Z score'!F189</f>
        <v/>
      </c>
      <c r="G197">
        <f>'Runs Z score'!G189</f>
        <v/>
      </c>
      <c r="H197">
        <f>VLOOKUP(C197,Recipes!$A$2:$N$4,10,FALSE())</f>
        <v/>
      </c>
      <c r="I197">
        <f>VLOOKUP(C197,Recipes!$A$2:$N$4,12,FALSE())</f>
        <v/>
      </c>
      <c r="J197">
        <f>IF(G197="","",H197-G197)</f>
        <v/>
      </c>
      <c r="K197">
        <f>IF(G197="","",IF(ABS(G197-H197)&lt;=$B$6*I197,"OK","NG"))</f>
        <v/>
      </c>
      <c r="L197">
        <f>IF(K197="","",IF(K197=D197,1,0))</f>
        <v/>
      </c>
      <c r="M197" t="inlineStr">
        <is>
          <t>W1</t>
        </is>
      </c>
      <c r="N197" s="15" t="n">
        <v>0.9999712001536066</v>
      </c>
      <c r="O197" s="15" t="n">
        <v>2.8799838407254e-05</v>
      </c>
      <c r="P197">
        <f>IF(M197="","",IF(M197=E197,1,0))</f>
        <v/>
      </c>
      <c r="Q197">
        <f>IF(K197="OK","-",IF(N197&lt;$B$7,"AMBIGUOUS","CONFIDENT"))</f>
        <v/>
      </c>
    </row>
    <row r="198">
      <c r="A198">
        <f>'Runs Z score'!A190</f>
        <v/>
      </c>
      <c r="B198">
        <f>'Runs Z score'!B190</f>
        <v/>
      </c>
      <c r="C198">
        <f>'Runs Z score'!C190</f>
        <v/>
      </c>
      <c r="D198">
        <f>'Runs Z score'!D190</f>
        <v/>
      </c>
      <c r="E198">
        <f>'Runs Z score'!E190</f>
        <v/>
      </c>
      <c r="F198">
        <f>'Runs Z score'!F190</f>
        <v/>
      </c>
      <c r="G198">
        <f>'Runs Z score'!G190</f>
        <v/>
      </c>
      <c r="H198">
        <f>VLOOKUP(C198,Recipes!$A$2:$N$4,10,FALSE())</f>
        <v/>
      </c>
      <c r="I198">
        <f>VLOOKUP(C198,Recipes!$A$2:$N$4,12,FALSE())</f>
        <v/>
      </c>
      <c r="J198">
        <f>IF(G198="","",H198-G198)</f>
        <v/>
      </c>
      <c r="K198">
        <f>IF(G198="","",IF(ABS(G198-H198)&lt;=$B$6*I198,"OK","NG"))</f>
        <v/>
      </c>
      <c r="L198">
        <f>IF(K198="","",IF(K198=D198,1,0))</f>
        <v/>
      </c>
      <c r="M198" t="inlineStr">
        <is>
          <t>W1</t>
        </is>
      </c>
      <c r="N198" s="15" t="n">
        <v>0.8841017033844362</v>
      </c>
      <c r="O198" s="15" t="n">
        <v>0.1158979775892342</v>
      </c>
      <c r="P198">
        <f>IF(M198="","",IF(M198=E198,1,0))</f>
        <v/>
      </c>
      <c r="Q198">
        <f>IF(K198="OK","-",IF(N198&lt;$B$7,"AMBIGUOUS","CONFIDENT"))</f>
        <v/>
      </c>
    </row>
    <row r="199">
      <c r="A199">
        <f>'Runs Z score'!A191</f>
        <v/>
      </c>
      <c r="B199">
        <f>'Runs Z score'!B191</f>
        <v/>
      </c>
      <c r="C199">
        <f>'Runs Z score'!C191</f>
        <v/>
      </c>
      <c r="D199">
        <f>'Runs Z score'!D191</f>
        <v/>
      </c>
      <c r="E199">
        <f>'Runs Z score'!E191</f>
        <v/>
      </c>
      <c r="F199">
        <f>'Runs Z score'!F191</f>
        <v/>
      </c>
      <c r="G199">
        <f>'Runs Z score'!G191</f>
        <v/>
      </c>
      <c r="H199">
        <f>VLOOKUP(C199,Recipes!$A$2:$N$4,10,FALSE())</f>
        <v/>
      </c>
      <c r="I199">
        <f>VLOOKUP(C199,Recipes!$A$2:$N$4,12,FALSE())</f>
        <v/>
      </c>
      <c r="J199">
        <f>IF(G199="","",H199-G199)</f>
        <v/>
      </c>
      <c r="K199">
        <f>IF(G199="","",IF(ABS(G199-H199)&lt;=$B$6*I199,"OK","NG"))</f>
        <v/>
      </c>
      <c r="L199">
        <f>IF(K199="","",IF(K199=D199,1,0))</f>
        <v/>
      </c>
      <c r="M199" t="inlineStr">
        <is>
          <t>W1</t>
        </is>
      </c>
      <c r="N199" s="15" t="n">
        <v>0.9516675265653652</v>
      </c>
      <c r="O199" s="15" t="n">
        <v>0.0483323631390077</v>
      </c>
      <c r="P199">
        <f>IF(M199="","",IF(M199=E199,1,0))</f>
        <v/>
      </c>
      <c r="Q199">
        <f>IF(K199="OK","-",IF(N199&lt;$B$7,"AMBIGUOUS","CONFIDENT"))</f>
        <v/>
      </c>
    </row>
    <row r="200">
      <c r="A200">
        <f>'Runs Z score'!A192</f>
        <v/>
      </c>
      <c r="B200">
        <f>'Runs Z score'!B192</f>
        <v/>
      </c>
      <c r="C200">
        <f>'Runs Z score'!C192</f>
        <v/>
      </c>
      <c r="D200">
        <f>'Runs Z score'!D192</f>
        <v/>
      </c>
      <c r="E200">
        <f>'Runs Z score'!E192</f>
        <v/>
      </c>
      <c r="F200">
        <f>'Runs Z score'!F192</f>
        <v/>
      </c>
      <c r="G200">
        <f>'Runs Z score'!G192</f>
        <v/>
      </c>
      <c r="H200">
        <f>VLOOKUP(C200,Recipes!$A$2:$N$4,10,FALSE())</f>
        <v/>
      </c>
      <c r="I200">
        <f>VLOOKUP(C200,Recipes!$A$2:$N$4,12,FALSE())</f>
        <v/>
      </c>
      <c r="J200">
        <f>IF(G200="","",H200-G200)</f>
        <v/>
      </c>
      <c r="K200">
        <f>IF(G200="","",IF(ABS(G200-H200)&lt;=$B$6*I200,"OK","NG"))</f>
        <v/>
      </c>
      <c r="L200">
        <f>IF(K200="","",IF(K200=D200,1,0))</f>
        <v/>
      </c>
      <c r="M200" t="inlineStr">
        <is>
          <t>W1</t>
        </is>
      </c>
      <c r="N200" s="15" t="n">
        <v>0.9999720560369264</v>
      </c>
      <c r="O200" s="15" t="n">
        <v>2.794382608527126e-05</v>
      </c>
      <c r="P200">
        <f>IF(M200="","",IF(M200=E200,1,0))</f>
        <v/>
      </c>
      <c r="Q200">
        <f>IF(K200="OK","-",IF(N200&lt;$B$7,"AMBIGUOUS","CONFIDENT"))</f>
        <v/>
      </c>
    </row>
    <row r="201">
      <c r="A201">
        <f>'Runs Z score'!A193</f>
        <v/>
      </c>
      <c r="B201">
        <f>'Runs Z score'!B193</f>
        <v/>
      </c>
      <c r="C201">
        <f>'Runs Z score'!C193</f>
        <v/>
      </c>
      <c r="D201">
        <f>'Runs Z score'!D193</f>
        <v/>
      </c>
      <c r="E201">
        <f>'Runs Z score'!E193</f>
        <v/>
      </c>
      <c r="F201">
        <f>'Runs Z score'!F193</f>
        <v/>
      </c>
      <c r="G201">
        <f>'Runs Z score'!G193</f>
        <v/>
      </c>
      <c r="H201">
        <f>VLOOKUP(C201,Recipes!$A$2:$N$4,10,FALSE())</f>
        <v/>
      </c>
      <c r="I201">
        <f>VLOOKUP(C201,Recipes!$A$2:$N$4,12,FALSE())</f>
        <v/>
      </c>
      <c r="J201">
        <f>IF(G201="","",H201-G201)</f>
        <v/>
      </c>
      <c r="K201">
        <f>IF(G201="","",IF(ABS(G201-H201)&lt;=$B$6*I201,"OK","NG"))</f>
        <v/>
      </c>
      <c r="L201">
        <f>IF(K201="","",IF(K201=D201,1,0))</f>
        <v/>
      </c>
      <c r="M201" t="inlineStr">
        <is>
          <t>W1</t>
        </is>
      </c>
      <c r="N201" s="15" t="n">
        <v>0.9999720560369264</v>
      </c>
      <c r="O201" s="15" t="n">
        <v>2.794382608527126e-05</v>
      </c>
      <c r="P201">
        <f>IF(M201="","",IF(M201=E201,1,0))</f>
        <v/>
      </c>
      <c r="Q201">
        <f>IF(K201="OK","-",IF(N201&lt;$B$7,"AMBIGUOUS","CONFIDENT"))</f>
        <v/>
      </c>
    </row>
    <row r="202">
      <c r="A202">
        <f>'Runs Z score'!A194</f>
        <v/>
      </c>
      <c r="B202">
        <f>'Runs Z score'!B194</f>
        <v/>
      </c>
      <c r="C202">
        <f>'Runs Z score'!C194</f>
        <v/>
      </c>
      <c r="D202">
        <f>'Runs Z score'!D194</f>
        <v/>
      </c>
      <c r="E202">
        <f>'Runs Z score'!E194</f>
        <v/>
      </c>
      <c r="F202">
        <f>'Runs Z score'!F194</f>
        <v/>
      </c>
      <c r="G202">
        <f>'Runs Z score'!G194</f>
        <v/>
      </c>
      <c r="H202">
        <f>VLOOKUP(C202,Recipes!$A$2:$N$4,10,FALSE())</f>
        <v/>
      </c>
      <c r="I202">
        <f>VLOOKUP(C202,Recipes!$A$2:$N$4,12,FALSE())</f>
        <v/>
      </c>
      <c r="J202">
        <f>IF(G202="","",H202-G202)</f>
        <v/>
      </c>
      <c r="K202">
        <f>IF(G202="","",IF(ABS(G202-H202)&lt;=$B$6*I202,"OK","NG"))</f>
        <v/>
      </c>
      <c r="L202">
        <f>IF(K202="","",IF(K202=D202,1,0))</f>
        <v/>
      </c>
      <c r="M202" t="inlineStr">
        <is>
          <t>W1</t>
        </is>
      </c>
      <c r="N202" s="15" t="n">
        <v>0.9508787213477626</v>
      </c>
      <c r="O202" s="15" t="n">
        <v>0.049121154494278</v>
      </c>
      <c r="P202">
        <f>IF(M202="","",IF(M202=E202,1,0))</f>
        <v/>
      </c>
      <c r="Q202">
        <f>IF(K202="OK","-",IF(N202&lt;$B$7,"AMBIGUOUS","CONFIDENT"))</f>
        <v/>
      </c>
    </row>
    <row r="203">
      <c r="A203">
        <f>'Runs Z score'!A195</f>
        <v/>
      </c>
      <c r="B203">
        <f>'Runs Z score'!B195</f>
        <v/>
      </c>
      <c r="C203">
        <f>'Runs Z score'!C195</f>
        <v/>
      </c>
      <c r="D203">
        <f>'Runs Z score'!D195</f>
        <v/>
      </c>
      <c r="E203">
        <f>'Runs Z score'!E195</f>
        <v/>
      </c>
      <c r="F203">
        <f>'Runs Z score'!F195</f>
        <v/>
      </c>
      <c r="G203">
        <f>'Runs Z score'!G195</f>
        <v/>
      </c>
      <c r="H203">
        <f>VLOOKUP(C203,Recipes!$A$2:$N$4,10,FALSE())</f>
        <v/>
      </c>
      <c r="I203">
        <f>VLOOKUP(C203,Recipes!$A$2:$N$4,12,FALSE())</f>
        <v/>
      </c>
      <c r="J203">
        <f>IF(G203="","",H203-G203)</f>
        <v/>
      </c>
      <c r="K203">
        <f>IF(G203="","",IF(ABS(G203-H203)&lt;=$B$6*I203,"OK","NG"))</f>
        <v/>
      </c>
      <c r="L203">
        <f>IF(K203="","",IF(K203=D203,1,0))</f>
        <v/>
      </c>
      <c r="M203" t="inlineStr">
        <is>
          <t>W1</t>
        </is>
      </c>
      <c r="N203" s="15" t="n">
        <v>0.9516675265653652</v>
      </c>
      <c r="O203" s="15" t="n">
        <v>0.0483323631390077</v>
      </c>
      <c r="P203">
        <f>IF(M203="","",IF(M203=E203,1,0))</f>
        <v/>
      </c>
      <c r="Q203">
        <f>IF(K203="OK","-",IF(N203&lt;$B$7,"AMBIGUOUS","CONFIDENT"))</f>
        <v/>
      </c>
    </row>
    <row r="204">
      <c r="A204">
        <f>'Runs Z score'!A196</f>
        <v/>
      </c>
      <c r="B204">
        <f>'Runs Z score'!B196</f>
        <v/>
      </c>
      <c r="C204">
        <f>'Runs Z score'!C196</f>
        <v/>
      </c>
      <c r="D204">
        <f>'Runs Z score'!D196</f>
        <v/>
      </c>
      <c r="E204">
        <f>'Runs Z score'!E196</f>
        <v/>
      </c>
      <c r="F204">
        <f>'Runs Z score'!F196</f>
        <v/>
      </c>
      <c r="G204">
        <f>'Runs Z score'!G196</f>
        <v/>
      </c>
      <c r="H204">
        <f>VLOOKUP(C204,Recipes!$A$2:$N$4,10,FALSE())</f>
        <v/>
      </c>
      <c r="I204">
        <f>VLOOKUP(C204,Recipes!$A$2:$N$4,12,FALSE())</f>
        <v/>
      </c>
      <c r="J204">
        <f>IF(G204="","",H204-G204)</f>
        <v/>
      </c>
      <c r="K204">
        <f>IF(G204="","",IF(ABS(G204-H204)&lt;=$B$6*I204,"OK","NG"))</f>
        <v/>
      </c>
      <c r="L204">
        <f>IF(K204="","",IF(K204=D204,1,0))</f>
        <v/>
      </c>
      <c r="M204" t="inlineStr">
        <is>
          <t>W1</t>
        </is>
      </c>
      <c r="N204" s="15" t="n">
        <v>0.997512513817518</v>
      </c>
      <c r="O204" s="15" t="n">
        <v>0.0024874838408506</v>
      </c>
      <c r="P204">
        <f>IF(M204="","",IF(M204=E204,1,0))</f>
        <v/>
      </c>
      <c r="Q204">
        <f>IF(K204="OK","-",IF(N204&lt;$B$7,"AMBIGUOUS","CONFIDENT"))</f>
        <v/>
      </c>
    </row>
    <row r="205">
      <c r="A205">
        <f>'Runs Z score'!A197</f>
        <v/>
      </c>
      <c r="B205">
        <f>'Runs Z score'!B197</f>
        <v/>
      </c>
      <c r="C205">
        <f>'Runs Z score'!C197</f>
        <v/>
      </c>
      <c r="D205">
        <f>'Runs Z score'!D197</f>
        <v/>
      </c>
      <c r="E205">
        <f>'Runs Z score'!E197</f>
        <v/>
      </c>
      <c r="F205">
        <f>'Runs Z score'!F197</f>
        <v/>
      </c>
      <c r="G205">
        <f>'Runs Z score'!G197</f>
        <v/>
      </c>
      <c r="H205">
        <f>VLOOKUP(C205,Recipes!$A$2:$N$4,10,FALSE())</f>
        <v/>
      </c>
      <c r="I205">
        <f>VLOOKUP(C205,Recipes!$A$2:$N$4,12,FALSE())</f>
        <v/>
      </c>
      <c r="J205">
        <f>IF(G205="","",H205-G205)</f>
        <v/>
      </c>
      <c r="K205">
        <f>IF(G205="","",IF(ABS(G205-H205)&lt;=$B$6*I205,"OK","NG"))</f>
        <v/>
      </c>
      <c r="L205">
        <f>IF(K205="","",IF(K205=D205,1,0))</f>
        <v/>
      </c>
      <c r="M205" t="inlineStr">
        <is>
          <t>W1</t>
        </is>
      </c>
      <c r="N205" s="15" t="n">
        <v>0.9909320805661594</v>
      </c>
      <c r="O205" s="15" t="n">
        <v>0.0090679068245856</v>
      </c>
      <c r="P205">
        <f>IF(M205="","",IF(M205=E205,1,0))</f>
        <v/>
      </c>
      <c r="Q205">
        <f>IF(K205="OK","-",IF(N205&lt;$B$7,"AMBIGUOUS","CONFIDENT"))</f>
        <v/>
      </c>
    </row>
    <row r="206">
      <c r="A206">
        <f>'Runs Z score'!A198</f>
        <v/>
      </c>
      <c r="B206">
        <f>'Runs Z score'!B198</f>
        <v/>
      </c>
      <c r="C206">
        <f>'Runs Z score'!C198</f>
        <v/>
      </c>
      <c r="D206">
        <f>'Runs Z score'!D198</f>
        <v/>
      </c>
      <c r="E206">
        <f>'Runs Z score'!E198</f>
        <v/>
      </c>
      <c r="F206">
        <f>'Runs Z score'!F198</f>
        <v/>
      </c>
      <c r="G206">
        <f>'Runs Z score'!G198</f>
        <v/>
      </c>
      <c r="H206">
        <f>VLOOKUP(C206,Recipes!$A$2:$N$4,10,FALSE())</f>
        <v/>
      </c>
      <c r="I206">
        <f>VLOOKUP(C206,Recipes!$A$2:$N$4,12,FALSE())</f>
        <v/>
      </c>
      <c r="J206">
        <f>IF(G206="","",H206-G206)</f>
        <v/>
      </c>
      <c r="K206">
        <f>IF(G206="","",IF(ABS(G206-H206)&lt;=$B$6*I206,"OK","NG"))</f>
        <v/>
      </c>
      <c r="L206">
        <f>IF(K206="","",IF(K206=D206,1,0))</f>
        <v/>
      </c>
      <c r="M206" t="inlineStr">
        <is>
          <t>W1</t>
        </is>
      </c>
      <c r="N206" s="15" t="n">
        <v>0.9950716447300222</v>
      </c>
      <c r="O206" s="15" t="n">
        <v>0.0049283496873008</v>
      </c>
      <c r="P206">
        <f>IF(M206="","",IF(M206=E206,1,0))</f>
        <v/>
      </c>
      <c r="Q206">
        <f>IF(K206="OK","-",IF(N206&lt;$B$7,"AMBIGUOUS","CONFIDENT"))</f>
        <v/>
      </c>
    </row>
    <row r="207">
      <c r="A207">
        <f>'Runs Z score'!A199</f>
        <v/>
      </c>
      <c r="B207">
        <f>'Runs Z score'!B199</f>
        <v/>
      </c>
      <c r="C207">
        <f>'Runs Z score'!C199</f>
        <v/>
      </c>
      <c r="D207">
        <f>'Runs Z score'!D199</f>
        <v/>
      </c>
      <c r="E207">
        <f>'Runs Z score'!E199</f>
        <v/>
      </c>
      <c r="F207">
        <f>'Runs Z score'!F199</f>
        <v/>
      </c>
      <c r="G207">
        <f>'Runs Z score'!G199</f>
        <v/>
      </c>
      <c r="H207">
        <f>VLOOKUP(C207,Recipes!$A$2:$N$4,10,FALSE())</f>
        <v/>
      </c>
      <c r="I207">
        <f>VLOOKUP(C207,Recipes!$A$2:$N$4,12,FALSE())</f>
        <v/>
      </c>
      <c r="J207">
        <f>IF(G207="","",H207-G207)</f>
        <v/>
      </c>
      <c r="K207">
        <f>IF(G207="","",IF(ABS(G207-H207)&lt;=$B$6*I207,"OK","NG"))</f>
        <v/>
      </c>
      <c r="L207">
        <f>IF(K207="","",IF(K207=D207,1,0))</f>
        <v/>
      </c>
      <c r="M207" t="inlineStr">
        <is>
          <t>W1</t>
        </is>
      </c>
      <c r="N207" s="15" t="n">
        <v>0.9951477528741516</v>
      </c>
      <c r="O207" s="15" t="n">
        <v>0.0048522424299317</v>
      </c>
      <c r="P207">
        <f>IF(M207="","",IF(M207=E207,1,0))</f>
        <v/>
      </c>
      <c r="Q207">
        <f>IF(K207="OK","-",IF(N207&lt;$B$7,"AMBIGUOUS","CONFIDENT"))</f>
        <v/>
      </c>
    </row>
    <row r="208">
      <c r="A208">
        <f>'Runs Z score'!A200</f>
        <v/>
      </c>
      <c r="B208">
        <f>'Runs Z score'!B200</f>
        <v/>
      </c>
      <c r="C208">
        <f>'Runs Z score'!C200</f>
        <v/>
      </c>
      <c r="D208">
        <f>'Runs Z score'!D200</f>
        <v/>
      </c>
      <c r="E208">
        <f>'Runs Z score'!E200</f>
        <v/>
      </c>
      <c r="F208">
        <f>'Runs Z score'!F200</f>
        <v/>
      </c>
      <c r="G208">
        <f>'Runs Z score'!G200</f>
        <v/>
      </c>
      <c r="H208">
        <f>VLOOKUP(C208,Recipes!$A$2:$N$4,10,FALSE())</f>
        <v/>
      </c>
      <c r="I208">
        <f>VLOOKUP(C208,Recipes!$A$2:$N$4,12,FALSE())</f>
        <v/>
      </c>
      <c r="J208">
        <f>IF(G208="","",H208-G208)</f>
        <v/>
      </c>
      <c r="K208">
        <f>IF(G208="","",IF(ABS(G208-H208)&lt;=$B$6*I208,"OK","NG"))</f>
        <v/>
      </c>
      <c r="L208">
        <f>IF(K208="","",IF(K208=D208,1,0))</f>
        <v/>
      </c>
      <c r="M208" t="inlineStr">
        <is>
          <t>W1</t>
        </is>
      </c>
      <c r="N208" s="15" t="n">
        <v>0.945562061508698</v>
      </c>
      <c r="O208" s="15" t="n">
        <v>0.0544378231085006</v>
      </c>
      <c r="P208">
        <f>IF(M208="","",IF(M208=E208,1,0))</f>
        <v/>
      </c>
      <c r="Q208">
        <f>IF(K208="OK","-",IF(N208&lt;$B$7,"AMBIGUOUS","CONFIDENT"))</f>
        <v/>
      </c>
    </row>
    <row r="209">
      <c r="A209">
        <f>'Runs Z score'!A201</f>
        <v/>
      </c>
      <c r="B209">
        <f>'Runs Z score'!B201</f>
        <v/>
      </c>
      <c r="C209">
        <f>'Runs Z score'!C201</f>
        <v/>
      </c>
      <c r="D209">
        <f>'Runs Z score'!D201</f>
        <v/>
      </c>
      <c r="E209">
        <f>'Runs Z score'!E201</f>
        <v/>
      </c>
      <c r="F209">
        <f>'Runs Z score'!F201</f>
        <v/>
      </c>
      <c r="G209">
        <f>'Runs Z score'!G201</f>
        <v/>
      </c>
      <c r="H209">
        <f>VLOOKUP(C209,Recipes!$A$2:$N$4,10,FALSE())</f>
        <v/>
      </c>
      <c r="I209">
        <f>VLOOKUP(C209,Recipes!$A$2:$N$4,12,FALSE())</f>
        <v/>
      </c>
      <c r="J209">
        <f>IF(G209="","",H209-G209)</f>
        <v/>
      </c>
      <c r="K209">
        <f>IF(G209="","",IF(ABS(G209-H209)&lt;=$B$6*I209,"OK","NG"))</f>
        <v/>
      </c>
      <c r="L209">
        <f>IF(K209="","",IF(K209=D209,1,0))</f>
        <v/>
      </c>
      <c r="M209" t="inlineStr">
        <is>
          <t>W1</t>
        </is>
      </c>
      <c r="N209" s="15" t="n">
        <v>0.9864163639048024</v>
      </c>
      <c r="O209" s="15" t="n">
        <v>0.0135836128507146</v>
      </c>
      <c r="P209">
        <f>IF(M209="","",IF(M209=E209,1,0))</f>
        <v/>
      </c>
      <c r="Q209">
        <f>IF(K209="OK","-",IF(N209&lt;$B$7,"AMBIGUOUS","CONFIDENT"))</f>
        <v/>
      </c>
    </row>
    <row r="210">
      <c r="A210">
        <f>'Runs Z score'!A202</f>
        <v/>
      </c>
      <c r="B210">
        <f>'Runs Z score'!B202</f>
        <v/>
      </c>
      <c r="C210">
        <f>'Runs Z score'!C202</f>
        <v/>
      </c>
      <c r="D210">
        <f>'Runs Z score'!D202</f>
        <v/>
      </c>
      <c r="E210">
        <f>'Runs Z score'!E202</f>
        <v/>
      </c>
      <c r="F210">
        <f>'Runs Z score'!F202</f>
        <v/>
      </c>
      <c r="G210">
        <f>'Runs Z score'!G202</f>
        <v/>
      </c>
      <c r="H210">
        <f>VLOOKUP(C210,Recipes!$A$2:$N$4,10,FALSE())</f>
        <v/>
      </c>
      <c r="I210">
        <f>VLOOKUP(C210,Recipes!$A$2:$N$4,12,FALSE())</f>
        <v/>
      </c>
      <c r="J210">
        <f>IF(G210="","",H210-G210)</f>
        <v/>
      </c>
      <c r="K210">
        <f>IF(G210="","",IF(ABS(G210-H210)&lt;=$B$6*I210,"OK","NG"))</f>
        <v/>
      </c>
      <c r="L210">
        <f>IF(K210="","",IF(K210=D210,1,0))</f>
        <v/>
      </c>
      <c r="M210" t="inlineStr">
        <is>
          <t>W1</t>
        </is>
      </c>
      <c r="N210" s="15" t="n">
        <v>0.9860819560422645</v>
      </c>
      <c r="O210" s="15" t="n">
        <v>0.0139180219160534</v>
      </c>
      <c r="P210">
        <f>IF(M210="","",IF(M210=E210,1,0))</f>
        <v/>
      </c>
      <c r="Q210">
        <f>IF(K210="OK","-",IF(N210&lt;$B$7,"AMBIGUOUS","CONFIDENT"))</f>
        <v/>
      </c>
    </row>
    <row r="211">
      <c r="A211">
        <f>'Runs Z score'!A203</f>
        <v/>
      </c>
      <c r="B211">
        <f>'Runs Z score'!B203</f>
        <v/>
      </c>
      <c r="C211">
        <f>'Runs Z score'!C203</f>
        <v/>
      </c>
      <c r="D211">
        <f>'Runs Z score'!D203</f>
        <v/>
      </c>
      <c r="E211">
        <f>'Runs Z score'!E203</f>
        <v/>
      </c>
      <c r="F211">
        <f>'Runs Z score'!F203</f>
        <v/>
      </c>
      <c r="G211">
        <f>'Runs Z score'!G203</f>
        <v/>
      </c>
      <c r="H211">
        <f>VLOOKUP(C211,Recipes!$A$2:$N$4,10,FALSE())</f>
        <v/>
      </c>
      <c r="I211">
        <f>VLOOKUP(C211,Recipes!$A$2:$N$4,12,FALSE())</f>
        <v/>
      </c>
      <c r="J211">
        <f>IF(G211="","",H211-G211)</f>
        <v/>
      </c>
      <c r="K211">
        <f>IF(G211="","",IF(ABS(G211-H211)&lt;=$B$6*I211,"OK","NG"))</f>
        <v/>
      </c>
      <c r="L211">
        <f>IF(K211="","",IF(K211=D211,1,0))</f>
        <v/>
      </c>
      <c r="M211" t="inlineStr">
        <is>
          <t>W1</t>
        </is>
      </c>
      <c r="N211" s="15" t="n">
        <v>0.8903059374678</v>
      </c>
      <c r="O211" s="15" t="n">
        <v>0.109693729624416</v>
      </c>
      <c r="P211">
        <f>IF(M211="","",IF(M211=E211,1,0))</f>
        <v/>
      </c>
      <c r="Q211">
        <f>IF(K211="OK","-",IF(N211&lt;$B$7,"AMBIGUOUS","CONFIDENT"))</f>
        <v/>
      </c>
    </row>
    <row r="212">
      <c r="A212">
        <f>'Runs Z score'!A204</f>
        <v/>
      </c>
      <c r="B212">
        <f>'Runs Z score'!B204</f>
        <v/>
      </c>
      <c r="C212">
        <f>'Runs Z score'!C204</f>
        <v/>
      </c>
      <c r="D212">
        <f>'Runs Z score'!D204</f>
        <v/>
      </c>
      <c r="E212">
        <f>'Runs Z score'!E204</f>
        <v/>
      </c>
      <c r="F212">
        <f>'Runs Z score'!F204</f>
        <v/>
      </c>
      <c r="G212">
        <f>'Runs Z score'!G204</f>
        <v/>
      </c>
      <c r="H212">
        <f>VLOOKUP(C212,Recipes!$A$2:$N$4,10,FALSE())</f>
        <v/>
      </c>
      <c r="I212">
        <f>VLOOKUP(C212,Recipes!$A$2:$N$4,12,FALSE())</f>
        <v/>
      </c>
      <c r="J212">
        <f>IF(G212="","",H212-G212)</f>
        <v/>
      </c>
      <c r="K212">
        <f>IF(G212="","",IF(ABS(G212-H212)&lt;=$B$6*I212,"OK","NG"))</f>
        <v/>
      </c>
      <c r="L212">
        <f>IF(K212="","",IF(K212=D212,1,0))</f>
        <v/>
      </c>
      <c r="M212" t="inlineStr">
        <is>
          <t>W1</t>
        </is>
      </c>
      <c r="N212" s="15" t="n">
        <v>0.9943285647208798</v>
      </c>
      <c r="O212" s="15" t="n">
        <v>0.0056714277962156</v>
      </c>
      <c r="P212">
        <f>IF(M212="","",IF(M212=E212,1,0))</f>
        <v/>
      </c>
      <c r="Q212">
        <f>IF(K212="OK","-",IF(N212&lt;$B$7,"AMBIGUOUS","CONFIDENT"))</f>
        <v/>
      </c>
    </row>
    <row r="213">
      <c r="A213">
        <f>'Runs Z score'!A205</f>
        <v/>
      </c>
      <c r="B213">
        <f>'Runs Z score'!B205</f>
        <v/>
      </c>
      <c r="C213">
        <f>'Runs Z score'!C205</f>
        <v/>
      </c>
      <c r="D213">
        <f>'Runs Z score'!D205</f>
        <v/>
      </c>
      <c r="E213">
        <f>'Runs Z score'!E205</f>
        <v/>
      </c>
      <c r="F213">
        <f>'Runs Z score'!F205</f>
        <v/>
      </c>
      <c r="G213">
        <f>'Runs Z score'!G205</f>
        <v/>
      </c>
      <c r="H213">
        <f>VLOOKUP(C213,Recipes!$A$2:$N$4,10,FALSE())</f>
        <v/>
      </c>
      <c r="I213">
        <f>VLOOKUP(C213,Recipes!$A$2:$N$4,12,FALSE())</f>
        <v/>
      </c>
      <c r="J213">
        <f>IF(G213="","",H213-G213)</f>
        <v/>
      </c>
      <c r="K213">
        <f>IF(G213="","",IF(ABS(G213-H213)&lt;=$B$6*I213,"OK","NG"))</f>
        <v/>
      </c>
      <c r="L213">
        <f>IF(K213="","",IF(K213=D213,1,0))</f>
        <v/>
      </c>
      <c r="M213" t="inlineStr">
        <is>
          <t>W1</t>
        </is>
      </c>
      <c r="N213" s="15" t="n">
        <v>0.920069275744674</v>
      </c>
      <c r="O213" s="15" t="n">
        <v>0.07993053118825939</v>
      </c>
      <c r="P213">
        <f>IF(M213="","",IF(M213=E213,1,0))</f>
        <v/>
      </c>
      <c r="Q213">
        <f>IF(K213="OK","-",IF(N213&lt;$B$7,"AMBIGUOUS","CONFIDENT"))</f>
        <v/>
      </c>
    </row>
    <row r="214">
      <c r="A214">
        <f>'Runs Z score'!A206</f>
        <v/>
      </c>
      <c r="B214">
        <f>'Runs Z score'!B206</f>
        <v/>
      </c>
      <c r="C214">
        <f>'Runs Z score'!C206</f>
        <v/>
      </c>
      <c r="D214">
        <f>'Runs Z score'!D206</f>
        <v/>
      </c>
      <c r="E214">
        <f>'Runs Z score'!E206</f>
        <v/>
      </c>
      <c r="F214">
        <f>'Runs Z score'!F206</f>
        <v/>
      </c>
      <c r="G214">
        <f>'Runs Z score'!G206</f>
        <v/>
      </c>
      <c r="H214">
        <f>VLOOKUP(C214,Recipes!$A$2:$N$4,10,FALSE())</f>
        <v/>
      </c>
      <c r="I214">
        <f>VLOOKUP(C214,Recipes!$A$2:$N$4,12,FALSE())</f>
        <v/>
      </c>
      <c r="J214">
        <f>IF(G214="","",H214-G214)</f>
        <v/>
      </c>
      <c r="K214">
        <f>IF(G214="","",IF(ABS(G214-H214)&lt;=$B$6*I214,"OK","NG"))</f>
        <v/>
      </c>
      <c r="L214">
        <f>IF(K214="","",IF(K214=D214,1,0))</f>
        <v/>
      </c>
      <c r="M214" t="inlineStr">
        <is>
          <t>W1</t>
        </is>
      </c>
      <c r="N214" s="15" t="n">
        <v>0.9990224219905616</v>
      </c>
      <c r="O214" s="15" t="n">
        <v>0.0009775772425713999</v>
      </c>
      <c r="P214">
        <f>IF(M214="","",IF(M214=E214,1,0))</f>
        <v/>
      </c>
      <c r="Q214">
        <f>IF(K214="OK","-",IF(N214&lt;$B$7,"AMBIGUOUS","CONFIDENT"))</f>
        <v/>
      </c>
    </row>
    <row r="215">
      <c r="A215">
        <f>'Runs Z score'!A207</f>
        <v/>
      </c>
      <c r="B215">
        <f>'Runs Z score'!B207</f>
        <v/>
      </c>
      <c r="C215">
        <f>'Runs Z score'!C207</f>
        <v/>
      </c>
      <c r="D215">
        <f>'Runs Z score'!D207</f>
        <v/>
      </c>
      <c r="E215">
        <f>'Runs Z score'!E207</f>
        <v/>
      </c>
      <c r="F215">
        <f>'Runs Z score'!F207</f>
        <v/>
      </c>
      <c r="G215">
        <f>'Runs Z score'!G207</f>
        <v/>
      </c>
      <c r="H215">
        <f>VLOOKUP(C215,Recipes!$A$2:$N$4,10,FALSE())</f>
        <v/>
      </c>
      <c r="I215">
        <f>VLOOKUP(C215,Recipes!$A$2:$N$4,12,FALSE())</f>
        <v/>
      </c>
      <c r="J215">
        <f>IF(G215="","",H215-G215)</f>
        <v/>
      </c>
      <c r="K215">
        <f>IF(G215="","",IF(ABS(G215-H215)&lt;=$B$6*I215,"OK","NG"))</f>
        <v/>
      </c>
      <c r="L215">
        <f>IF(K215="","",IF(K215=D215,1,0))</f>
        <v/>
      </c>
      <c r="M215" t="inlineStr">
        <is>
          <t>W1</t>
        </is>
      </c>
      <c r="N215" s="15" t="n">
        <v>0.9999968381057738</v>
      </c>
      <c r="O215" s="15" t="n">
        <v>3.161882057473294e-06</v>
      </c>
      <c r="P215">
        <f>IF(M215="","",IF(M215=E215,1,0))</f>
        <v/>
      </c>
      <c r="Q215">
        <f>IF(K215="OK","-",IF(N215&lt;$B$7,"AMBIGUOUS","CONFIDENT"))</f>
        <v/>
      </c>
    </row>
    <row r="216">
      <c r="A216">
        <f>'Runs Z score'!A208</f>
        <v/>
      </c>
      <c r="B216">
        <f>'Runs Z score'!B208</f>
        <v/>
      </c>
      <c r="C216">
        <f>'Runs Z score'!C208</f>
        <v/>
      </c>
      <c r="D216">
        <f>'Runs Z score'!D208</f>
        <v/>
      </c>
      <c r="E216">
        <f>'Runs Z score'!E208</f>
        <v/>
      </c>
      <c r="F216">
        <f>'Runs Z score'!F208</f>
        <v/>
      </c>
      <c r="G216">
        <f>'Runs Z score'!G208</f>
        <v/>
      </c>
      <c r="H216">
        <f>VLOOKUP(C216,Recipes!$A$2:$N$4,10,FALSE())</f>
        <v/>
      </c>
      <c r="I216">
        <f>VLOOKUP(C216,Recipes!$A$2:$N$4,12,FALSE())</f>
        <v/>
      </c>
      <c r="J216">
        <f>IF(G216="","",H216-G216)</f>
        <v/>
      </c>
      <c r="K216">
        <f>IF(G216="","",IF(ABS(G216-H216)&lt;=$B$6*I216,"OK","NG"))</f>
        <v/>
      </c>
      <c r="L216">
        <f>IF(K216="","",IF(K216=D216,1,0))</f>
        <v/>
      </c>
      <c r="M216" t="inlineStr">
        <is>
          <t>W1</t>
        </is>
      </c>
      <c r="N216" s="15" t="n">
        <v>0.9941496231022344</v>
      </c>
      <c r="O216" s="15" t="n">
        <v>0.0058503699178348</v>
      </c>
      <c r="P216">
        <f>IF(M216="","",IF(M216=E216,1,0))</f>
        <v/>
      </c>
      <c r="Q216">
        <f>IF(K216="OK","-",IF(N216&lt;$B$7,"AMBIGUOUS","CONFIDENT"))</f>
        <v/>
      </c>
    </row>
    <row r="217">
      <c r="A217">
        <f>'Runs Z score'!A209</f>
        <v/>
      </c>
      <c r="B217">
        <f>'Runs Z score'!B209</f>
        <v/>
      </c>
      <c r="C217">
        <f>'Runs Z score'!C209</f>
        <v/>
      </c>
      <c r="D217">
        <f>'Runs Z score'!D209</f>
        <v/>
      </c>
      <c r="E217">
        <f>'Runs Z score'!E209</f>
        <v/>
      </c>
      <c r="F217">
        <f>'Runs Z score'!F209</f>
        <v/>
      </c>
      <c r="G217">
        <f>'Runs Z score'!G209</f>
        <v/>
      </c>
      <c r="H217">
        <f>VLOOKUP(C217,Recipes!$A$2:$N$4,10,FALSE())</f>
        <v/>
      </c>
      <c r="I217">
        <f>VLOOKUP(C217,Recipes!$A$2:$N$4,12,FALSE())</f>
        <v/>
      </c>
      <c r="J217">
        <f>IF(G217="","",H217-G217)</f>
        <v/>
      </c>
      <c r="K217">
        <f>IF(G217="","",IF(ABS(G217-H217)&lt;=$B$6*I217,"OK","NG"))</f>
        <v/>
      </c>
      <c r="L217">
        <f>IF(K217="","",IF(K217=D217,1,0))</f>
        <v/>
      </c>
      <c r="M217" t="inlineStr">
        <is>
          <t>W1</t>
        </is>
      </c>
      <c r="N217" s="15" t="n">
        <v>0.998387877108318</v>
      </c>
      <c r="O217" s="15" t="n">
        <v>0.0016121215881713</v>
      </c>
      <c r="P217">
        <f>IF(M217="","",IF(M217=E217,1,0))</f>
        <v/>
      </c>
      <c r="Q217">
        <f>IF(K217="OK","-",IF(N217&lt;$B$7,"AMBIGUOUS","CONFIDENT"))</f>
        <v/>
      </c>
    </row>
    <row r="218">
      <c r="A218">
        <f>'Runs Z score'!A210</f>
        <v/>
      </c>
      <c r="B218">
        <f>'Runs Z score'!B210</f>
        <v/>
      </c>
      <c r="C218">
        <f>'Runs Z score'!C210</f>
        <v/>
      </c>
      <c r="D218">
        <f>'Runs Z score'!D210</f>
        <v/>
      </c>
      <c r="E218">
        <f>'Runs Z score'!E210</f>
        <v/>
      </c>
      <c r="F218">
        <f>'Runs Z score'!F210</f>
        <v/>
      </c>
      <c r="G218">
        <f>'Runs Z score'!G210</f>
        <v/>
      </c>
      <c r="H218">
        <f>VLOOKUP(C218,Recipes!$A$2:$N$4,10,FALSE())</f>
        <v/>
      </c>
      <c r="I218">
        <f>VLOOKUP(C218,Recipes!$A$2:$N$4,12,FALSE())</f>
        <v/>
      </c>
      <c r="J218">
        <f>IF(G218="","",H218-G218)</f>
        <v/>
      </c>
      <c r="K218">
        <f>IF(G218="","",IF(ABS(G218-H218)&lt;=$B$6*I218,"OK","NG"))</f>
        <v/>
      </c>
      <c r="L218">
        <f>IF(K218="","",IF(K218=D218,1,0))</f>
        <v/>
      </c>
      <c r="M218" t="inlineStr">
        <is>
          <t>W1</t>
        </is>
      </c>
      <c r="N218" s="15" t="n">
        <v>0.8542349320516998</v>
      </c>
      <c r="O218" s="15" t="n">
        <v>0.1457631866026682</v>
      </c>
      <c r="P218">
        <f>IF(M218="","",IF(M218=E218,1,0))</f>
        <v/>
      </c>
      <c r="Q218">
        <f>IF(K218="OK","-",IF(N218&lt;$B$7,"AMBIGUOUS","CONFIDENT"))</f>
        <v/>
      </c>
    </row>
    <row r="219">
      <c r="A219">
        <f>'Runs Z score'!A211</f>
        <v/>
      </c>
      <c r="B219">
        <f>'Runs Z score'!B211</f>
        <v/>
      </c>
      <c r="C219">
        <f>'Runs Z score'!C211</f>
        <v/>
      </c>
      <c r="D219">
        <f>'Runs Z score'!D211</f>
        <v/>
      </c>
      <c r="E219">
        <f>'Runs Z score'!E211</f>
        <v/>
      </c>
      <c r="F219">
        <f>'Runs Z score'!F211</f>
        <v/>
      </c>
      <c r="G219">
        <f>'Runs Z score'!G211</f>
        <v/>
      </c>
      <c r="H219">
        <f>VLOOKUP(C219,Recipes!$A$2:$N$4,10,FALSE())</f>
        <v/>
      </c>
      <c r="I219">
        <f>VLOOKUP(C219,Recipes!$A$2:$N$4,12,FALSE())</f>
        <v/>
      </c>
      <c r="J219">
        <f>IF(G219="","",H219-G219)</f>
        <v/>
      </c>
      <c r="K219">
        <f>IF(G219="","",IF(ABS(G219-H219)&lt;=$B$6*I219,"OK","NG"))</f>
        <v/>
      </c>
      <c r="L219">
        <f>IF(K219="","",IF(K219=D219,1,0))</f>
        <v/>
      </c>
      <c r="M219" t="inlineStr">
        <is>
          <t>N1</t>
        </is>
      </c>
      <c r="N219" s="15" t="n">
        <v>0.999920178347117</v>
      </c>
      <c r="O219" s="15" t="n">
        <v>7.935377137926606e-05</v>
      </c>
      <c r="P219">
        <f>IF(M219="","",IF(M219=E219,1,0))</f>
        <v/>
      </c>
      <c r="Q219">
        <f>IF(K219="OK","-",IF(N219&lt;$B$7,"AMBIGUOUS","CONFIDENT"))</f>
        <v/>
      </c>
    </row>
    <row r="220">
      <c r="A220">
        <f>'Runs Z score'!A212</f>
        <v/>
      </c>
      <c r="B220">
        <f>'Runs Z score'!B212</f>
        <v/>
      </c>
      <c r="C220">
        <f>'Runs Z score'!C212</f>
        <v/>
      </c>
      <c r="D220">
        <f>'Runs Z score'!D212</f>
        <v/>
      </c>
      <c r="E220">
        <f>'Runs Z score'!E212</f>
        <v/>
      </c>
      <c r="F220">
        <f>'Runs Z score'!F212</f>
        <v/>
      </c>
      <c r="G220">
        <f>'Runs Z score'!G212</f>
        <v/>
      </c>
      <c r="H220">
        <f>VLOOKUP(C220,Recipes!$A$2:$N$4,10,FALSE())</f>
        <v/>
      </c>
      <c r="I220">
        <f>VLOOKUP(C220,Recipes!$A$2:$N$4,12,FALSE())</f>
        <v/>
      </c>
      <c r="J220">
        <f>IF(G220="","",H220-G220)</f>
        <v/>
      </c>
      <c r="K220">
        <f>IF(G220="","",IF(ABS(G220-H220)&lt;=$B$6*I220,"OK","NG"))</f>
        <v/>
      </c>
      <c r="L220">
        <f>IF(K220="","",IF(K220=D220,1,0))</f>
        <v/>
      </c>
      <c r="M220" t="inlineStr">
        <is>
          <t>W1</t>
        </is>
      </c>
      <c r="N220" s="15" t="n">
        <v>0.989018130813862</v>
      </c>
      <c r="O220" s="15" t="n">
        <v>0.010981855385185</v>
      </c>
      <c r="P220">
        <f>IF(M220="","",IF(M220=E220,1,0))</f>
        <v/>
      </c>
      <c r="Q220">
        <f>IF(K220="OK","-",IF(N220&lt;$B$7,"AMBIGUOUS","CONFIDENT"))</f>
        <v/>
      </c>
    </row>
    <row r="221">
      <c r="A221">
        <f>'Runs Z score'!A213</f>
        <v/>
      </c>
      <c r="B221">
        <f>'Runs Z score'!B213</f>
        <v/>
      </c>
      <c r="C221">
        <f>'Runs Z score'!C213</f>
        <v/>
      </c>
      <c r="D221">
        <f>'Runs Z score'!D213</f>
        <v/>
      </c>
      <c r="E221">
        <f>'Runs Z score'!E213</f>
        <v/>
      </c>
      <c r="F221">
        <f>'Runs Z score'!F213</f>
        <v/>
      </c>
      <c r="G221">
        <f>'Runs Z score'!G213</f>
        <v/>
      </c>
      <c r="H221">
        <f>VLOOKUP(C221,Recipes!$A$2:$N$4,10,FALSE())</f>
        <v/>
      </c>
      <c r="I221">
        <f>VLOOKUP(C221,Recipes!$A$2:$N$4,12,FALSE())</f>
        <v/>
      </c>
      <c r="J221">
        <f>IF(G221="","",H221-G221)</f>
        <v/>
      </c>
      <c r="K221">
        <f>IF(G221="","",IF(ABS(G221-H221)&lt;=$B$6*I221,"OK","NG"))</f>
        <v/>
      </c>
      <c r="L221">
        <f>IF(K221="","",IF(K221=D221,1,0))</f>
        <v/>
      </c>
      <c r="M221" t="inlineStr">
        <is>
          <t>N1</t>
        </is>
      </c>
      <c r="N221" s="15" t="n">
        <v>0.9947219597877722</v>
      </c>
      <c r="O221" s="15" t="n">
        <v>0.0052500786441608</v>
      </c>
      <c r="P221">
        <f>IF(M221="","",IF(M221=E221,1,0))</f>
        <v/>
      </c>
      <c r="Q221">
        <f>IF(K221="OK","-",IF(N221&lt;$B$7,"AMBIGUOUS","CONFIDENT"))</f>
        <v/>
      </c>
    </row>
    <row r="222">
      <c r="A222">
        <f>'Runs Z score'!A214</f>
        <v/>
      </c>
      <c r="B222">
        <f>'Runs Z score'!B214</f>
        <v/>
      </c>
      <c r="C222">
        <f>'Runs Z score'!C214</f>
        <v/>
      </c>
      <c r="D222">
        <f>'Runs Z score'!D214</f>
        <v/>
      </c>
      <c r="E222">
        <f>'Runs Z score'!E214</f>
        <v/>
      </c>
      <c r="F222">
        <f>'Runs Z score'!F214</f>
        <v/>
      </c>
      <c r="G222">
        <f>'Runs Z score'!G214</f>
        <v/>
      </c>
      <c r="H222">
        <f>VLOOKUP(C222,Recipes!$A$2:$N$4,10,FALSE())</f>
        <v/>
      </c>
      <c r="I222">
        <f>VLOOKUP(C222,Recipes!$A$2:$N$4,12,FALSE())</f>
        <v/>
      </c>
      <c r="J222">
        <f>IF(G222="","",H222-G222)</f>
        <v/>
      </c>
      <c r="K222">
        <f>IF(G222="","",IF(ABS(G222-H222)&lt;=$B$6*I222,"OK","NG"))</f>
        <v/>
      </c>
      <c r="L222">
        <f>IF(K222="","",IF(K222=D222,1,0))</f>
        <v/>
      </c>
      <c r="M222" t="inlineStr">
        <is>
          <t>N1</t>
        </is>
      </c>
      <c r="N222" s="15" t="n">
        <v>0.9999325434973924</v>
      </c>
      <c r="O222" s="15" t="n">
        <v>5.516733337769077e-05</v>
      </c>
      <c r="P222">
        <f>IF(M222="","",IF(M222=E222,1,0))</f>
        <v/>
      </c>
      <c r="Q222">
        <f>IF(K222="OK","-",IF(N222&lt;$B$7,"AMBIGUOUS","CONFIDENT"))</f>
        <v/>
      </c>
    </row>
    <row r="223">
      <c r="A223">
        <f>'Runs Z score'!A215</f>
        <v/>
      </c>
      <c r="B223">
        <f>'Runs Z score'!B215</f>
        <v/>
      </c>
      <c r="C223">
        <f>'Runs Z score'!C215</f>
        <v/>
      </c>
      <c r="D223">
        <f>'Runs Z score'!D215</f>
        <v/>
      </c>
      <c r="E223">
        <f>'Runs Z score'!E215</f>
        <v/>
      </c>
      <c r="F223">
        <f>'Runs Z score'!F215</f>
        <v/>
      </c>
      <c r="G223">
        <f>'Runs Z score'!G215</f>
        <v/>
      </c>
      <c r="H223">
        <f>VLOOKUP(C223,Recipes!$A$2:$N$4,10,FALSE())</f>
        <v/>
      </c>
      <c r="I223">
        <f>VLOOKUP(C223,Recipes!$A$2:$N$4,12,FALSE())</f>
        <v/>
      </c>
      <c r="J223">
        <f>IF(G223="","",H223-G223)</f>
        <v/>
      </c>
      <c r="K223">
        <f>IF(G223="","",IF(ABS(G223-H223)&lt;=$B$6*I223,"OK","NG"))</f>
        <v/>
      </c>
      <c r="L223">
        <f>IF(K223="","",IF(K223=D223,1,0))</f>
        <v/>
      </c>
      <c r="M223" t="inlineStr">
        <is>
          <t>N1</t>
        </is>
      </c>
      <c r="N223" s="15" t="n">
        <v>0.8417029901009929</v>
      </c>
      <c r="O223" s="15" t="n">
        <v>0.1582894987552073</v>
      </c>
      <c r="P223">
        <f>IF(M223="","",IF(M223=E223,1,0))</f>
        <v/>
      </c>
      <c r="Q223">
        <f>IF(K223="OK","-",IF(N223&lt;$B$7,"AMBIGUOUS","CONFIDENT"))</f>
        <v/>
      </c>
    </row>
    <row r="224">
      <c r="A224">
        <f>'Runs Z score'!A216</f>
        <v/>
      </c>
      <c r="B224">
        <f>'Runs Z score'!B216</f>
        <v/>
      </c>
      <c r="C224">
        <f>'Runs Z score'!C216</f>
        <v/>
      </c>
      <c r="D224">
        <f>'Runs Z score'!D216</f>
        <v/>
      </c>
      <c r="E224">
        <f>'Runs Z score'!E216</f>
        <v/>
      </c>
      <c r="F224">
        <f>'Runs Z score'!F216</f>
        <v/>
      </c>
      <c r="G224">
        <f>'Runs Z score'!G216</f>
        <v/>
      </c>
      <c r="H224">
        <f>VLOOKUP(C224,Recipes!$A$2:$N$4,10,FALSE())</f>
        <v/>
      </c>
      <c r="I224">
        <f>VLOOKUP(C224,Recipes!$A$2:$N$4,12,FALSE())</f>
        <v/>
      </c>
      <c r="J224">
        <f>IF(G224="","",H224-G224)</f>
        <v/>
      </c>
      <c r="K224">
        <f>IF(G224="","",IF(ABS(G224-H224)&lt;=$B$6*I224,"OK","NG"))</f>
        <v/>
      </c>
      <c r="L224">
        <f>IF(K224="","",IF(K224=D224,1,0))</f>
        <v/>
      </c>
      <c r="M224" t="inlineStr">
        <is>
          <t>N1</t>
        </is>
      </c>
      <c r="N224" s="15" t="n">
        <v>0.9568960521078328</v>
      </c>
      <c r="O224" s="15" t="n">
        <v>0.0430900734549726</v>
      </c>
      <c r="P224">
        <f>IF(M224="","",IF(M224=E224,1,0))</f>
        <v/>
      </c>
      <c r="Q224">
        <f>IF(K224="OK","-",IF(N224&lt;$B$7,"AMBIGUOUS","CONFIDENT"))</f>
        <v/>
      </c>
    </row>
    <row r="225">
      <c r="A225">
        <f>'Runs Z score'!A217</f>
        <v/>
      </c>
      <c r="B225">
        <f>'Runs Z score'!B217</f>
        <v/>
      </c>
      <c r="C225">
        <f>'Runs Z score'!C217</f>
        <v/>
      </c>
      <c r="D225">
        <f>'Runs Z score'!D217</f>
        <v/>
      </c>
      <c r="E225">
        <f>'Runs Z score'!E217</f>
        <v/>
      </c>
      <c r="F225">
        <f>'Runs Z score'!F217</f>
        <v/>
      </c>
      <c r="G225">
        <f>'Runs Z score'!G217</f>
        <v/>
      </c>
      <c r="H225">
        <f>VLOOKUP(C225,Recipes!$A$2:$N$4,10,FALSE())</f>
        <v/>
      </c>
      <c r="I225">
        <f>VLOOKUP(C225,Recipes!$A$2:$N$4,12,FALSE())</f>
        <v/>
      </c>
      <c r="J225">
        <f>IF(G225="","",H225-G225)</f>
        <v/>
      </c>
      <c r="K225">
        <f>IF(G225="","",IF(ABS(G225-H225)&lt;=$B$6*I225,"OK","NG"))</f>
        <v/>
      </c>
      <c r="L225">
        <f>IF(K225="","",IF(K225=D225,1,0))</f>
        <v/>
      </c>
      <c r="M225" t="inlineStr">
        <is>
          <t>N1</t>
        </is>
      </c>
      <c r="N225" s="15" t="n">
        <v>0.9236213314783208</v>
      </c>
      <c r="O225" s="15" t="n">
        <v>0.0763679583004199</v>
      </c>
      <c r="P225">
        <f>IF(M225="","",IF(M225=E225,1,0))</f>
        <v/>
      </c>
      <c r="Q225">
        <f>IF(K225="OK","-",IF(N225&lt;$B$7,"AMBIGUOUS","CONFIDENT"))</f>
        <v/>
      </c>
    </row>
    <row r="226">
      <c r="A226">
        <f>'Runs Z score'!A218</f>
        <v/>
      </c>
      <c r="B226">
        <f>'Runs Z score'!B218</f>
        <v/>
      </c>
      <c r="C226">
        <f>'Runs Z score'!C218</f>
        <v/>
      </c>
      <c r="D226">
        <f>'Runs Z score'!D218</f>
        <v/>
      </c>
      <c r="E226">
        <f>'Runs Z score'!E218</f>
        <v/>
      </c>
      <c r="F226">
        <f>'Runs Z score'!F218</f>
        <v/>
      </c>
      <c r="G226">
        <f>'Runs Z score'!G218</f>
        <v/>
      </c>
      <c r="H226">
        <f>VLOOKUP(C226,Recipes!$A$2:$N$4,10,FALSE())</f>
        <v/>
      </c>
      <c r="I226">
        <f>VLOOKUP(C226,Recipes!$A$2:$N$4,12,FALSE())</f>
        <v/>
      </c>
      <c r="J226">
        <f>IF(G226="","",H226-G226)</f>
        <v/>
      </c>
      <c r="K226">
        <f>IF(G226="","",IF(ABS(G226-H226)&lt;=$B$6*I226,"OK","NG"))</f>
        <v/>
      </c>
      <c r="L226">
        <f>IF(K226="","",IF(K226=D226,1,0))</f>
        <v/>
      </c>
      <c r="M226" t="inlineStr">
        <is>
          <t>N1</t>
        </is>
      </c>
      <c r="N226" s="15" t="n">
        <v>0.6370395425398812</v>
      </c>
      <c r="O226" s="15" t="n">
        <v>0.3629559011899154</v>
      </c>
      <c r="P226">
        <f>IF(M226="","",IF(M226=E226,1,0))</f>
        <v/>
      </c>
      <c r="Q226">
        <f>IF(K226="OK","-",IF(N226&lt;$B$7,"AMBIGUOUS","CONFIDENT"))</f>
        <v/>
      </c>
    </row>
    <row r="227">
      <c r="A227">
        <f>'Runs Z score'!A219</f>
        <v/>
      </c>
      <c r="B227">
        <f>'Runs Z score'!B219</f>
        <v/>
      </c>
      <c r="C227">
        <f>'Runs Z score'!C219</f>
        <v/>
      </c>
      <c r="D227">
        <f>'Runs Z score'!D219</f>
        <v/>
      </c>
      <c r="E227">
        <f>'Runs Z score'!E219</f>
        <v/>
      </c>
      <c r="F227">
        <f>'Runs Z score'!F219</f>
        <v/>
      </c>
      <c r="G227">
        <f>'Runs Z score'!G219</f>
        <v/>
      </c>
      <c r="H227">
        <f>VLOOKUP(C227,Recipes!$A$2:$N$4,10,FALSE())</f>
        <v/>
      </c>
      <c r="I227">
        <f>VLOOKUP(C227,Recipes!$A$2:$N$4,12,FALSE())</f>
        <v/>
      </c>
      <c r="J227">
        <f>IF(G227="","",H227-G227)</f>
        <v/>
      </c>
      <c r="K227">
        <f>IF(G227="","",IF(ABS(G227-H227)&lt;=$B$6*I227,"OK","NG"))</f>
        <v/>
      </c>
      <c r="L227">
        <f>IF(K227="","",IF(K227=D227,1,0))</f>
        <v/>
      </c>
      <c r="M227" t="inlineStr">
        <is>
          <t>N1</t>
        </is>
      </c>
      <c r="N227" s="15" t="n">
        <v>0.99963897584856</v>
      </c>
      <c r="O227" s="15" t="n">
        <v>0.0003226831440641</v>
      </c>
      <c r="P227">
        <f>IF(M227="","",IF(M227=E227,1,0))</f>
        <v/>
      </c>
      <c r="Q227">
        <f>IF(K227="OK","-",IF(N227&lt;$B$7,"AMBIGUOUS","CONFIDENT"))</f>
        <v/>
      </c>
    </row>
    <row r="228">
      <c r="A228">
        <f>'Runs Z score'!A220</f>
        <v/>
      </c>
      <c r="B228">
        <f>'Runs Z score'!B220</f>
        <v/>
      </c>
      <c r="C228">
        <f>'Runs Z score'!C220</f>
        <v/>
      </c>
      <c r="D228">
        <f>'Runs Z score'!D220</f>
        <v/>
      </c>
      <c r="E228">
        <f>'Runs Z score'!E220</f>
        <v/>
      </c>
      <c r="F228">
        <f>'Runs Z score'!F220</f>
        <v/>
      </c>
      <c r="G228">
        <f>'Runs Z score'!G220</f>
        <v/>
      </c>
      <c r="H228">
        <f>VLOOKUP(C228,Recipes!$A$2:$N$4,10,FALSE())</f>
        <v/>
      </c>
      <c r="I228">
        <f>VLOOKUP(C228,Recipes!$A$2:$N$4,12,FALSE())</f>
        <v/>
      </c>
      <c r="J228">
        <f>IF(G228="","",H228-G228)</f>
        <v/>
      </c>
      <c r="K228">
        <f>IF(G228="","",IF(ABS(G228-H228)&lt;=$B$6*I228,"OK","NG"))</f>
        <v/>
      </c>
      <c r="L228">
        <f>IF(K228="","",IF(K228=D228,1,0))</f>
        <v/>
      </c>
      <c r="M228" t="inlineStr">
        <is>
          <t>N1</t>
        </is>
      </c>
      <c r="N228" s="15" t="n">
        <v>0.9991050068504288</v>
      </c>
      <c r="O228" s="15" t="n">
        <v>0.0008949931495708</v>
      </c>
      <c r="P228">
        <f>IF(M228="","",IF(M228=E228,1,0))</f>
        <v/>
      </c>
      <c r="Q228">
        <f>IF(K228="OK","-",IF(N228&lt;$B$7,"AMBIGUOUS","CONFIDENT"))</f>
        <v/>
      </c>
    </row>
    <row r="229">
      <c r="A229">
        <f>'Runs Z score'!A221</f>
        <v/>
      </c>
      <c r="B229">
        <f>'Runs Z score'!B221</f>
        <v/>
      </c>
      <c r="C229">
        <f>'Runs Z score'!C221</f>
        <v/>
      </c>
      <c r="D229">
        <f>'Runs Z score'!D221</f>
        <v/>
      </c>
      <c r="E229">
        <f>'Runs Z score'!E221</f>
        <v/>
      </c>
      <c r="F229">
        <f>'Runs Z score'!F221</f>
        <v/>
      </c>
      <c r="G229">
        <f>'Runs Z score'!G221</f>
        <v/>
      </c>
      <c r="H229">
        <f>VLOOKUP(C229,Recipes!$A$2:$N$4,10,FALSE())</f>
        <v/>
      </c>
      <c r="I229">
        <f>VLOOKUP(C229,Recipes!$A$2:$N$4,12,FALSE())</f>
        <v/>
      </c>
      <c r="J229">
        <f>IF(G229="","",H229-G229)</f>
        <v/>
      </c>
      <c r="K229">
        <f>IF(G229="","",IF(ABS(G229-H229)&lt;=$B$6*I229,"OK","NG"))</f>
        <v/>
      </c>
      <c r="L229">
        <f>IF(K229="","",IF(K229=D229,1,0))</f>
        <v/>
      </c>
      <c r="M229" t="inlineStr">
        <is>
          <t>N1</t>
        </is>
      </c>
      <c r="N229" s="15" t="n">
        <v>0.9801783414543128</v>
      </c>
      <c r="O229" s="15" t="n">
        <v>0.0198037005183116</v>
      </c>
      <c r="P229">
        <f>IF(M229="","",IF(M229=E229,1,0))</f>
        <v/>
      </c>
      <c r="Q229">
        <f>IF(K229="OK","-",IF(N229&lt;$B$7,"AMBIGUOUS","CONFIDENT"))</f>
        <v/>
      </c>
    </row>
    <row r="230">
      <c r="A230">
        <f>'Runs Z score'!A222</f>
        <v/>
      </c>
      <c r="B230">
        <f>'Runs Z score'!B222</f>
        <v/>
      </c>
      <c r="C230">
        <f>'Runs Z score'!C222</f>
        <v/>
      </c>
      <c r="D230">
        <f>'Runs Z score'!D222</f>
        <v/>
      </c>
      <c r="E230">
        <f>'Runs Z score'!E222</f>
        <v/>
      </c>
      <c r="F230">
        <f>'Runs Z score'!F222</f>
        <v/>
      </c>
      <c r="G230">
        <f>'Runs Z score'!G222</f>
        <v/>
      </c>
      <c r="H230">
        <f>VLOOKUP(C230,Recipes!$A$2:$N$4,10,FALSE())</f>
        <v/>
      </c>
      <c r="I230">
        <f>VLOOKUP(C230,Recipes!$A$2:$N$4,12,FALSE())</f>
        <v/>
      </c>
      <c r="J230">
        <f>IF(G230="","",H230-G230)</f>
        <v/>
      </c>
      <c r="K230">
        <f>IF(G230="","",IF(ABS(G230-H230)&lt;=$B$6*I230,"OK","NG"))</f>
        <v/>
      </c>
      <c r="L230">
        <f>IF(K230="","",IF(K230=D230,1,0))</f>
        <v/>
      </c>
      <c r="M230" t="inlineStr">
        <is>
          <t>N1</t>
        </is>
      </c>
      <c r="N230" s="15" t="n">
        <v>0.9999146004865026</v>
      </c>
      <c r="O230" s="15" t="n">
        <v>4.887017362861737e-05</v>
      </c>
      <c r="P230">
        <f>IF(M230="","",IF(M230=E230,1,0))</f>
        <v/>
      </c>
      <c r="Q230">
        <f>IF(K230="OK","-",IF(N230&lt;$B$7,"AMBIGUOUS","CONFIDENT"))</f>
        <v/>
      </c>
    </row>
    <row r="231">
      <c r="A231">
        <f>'Runs Z score'!A223</f>
        <v/>
      </c>
      <c r="B231">
        <f>'Runs Z score'!B223</f>
        <v/>
      </c>
      <c r="C231">
        <f>'Runs Z score'!C223</f>
        <v/>
      </c>
      <c r="D231">
        <f>'Runs Z score'!D223</f>
        <v/>
      </c>
      <c r="E231">
        <f>'Runs Z score'!E223</f>
        <v/>
      </c>
      <c r="F231">
        <f>'Runs Z score'!F223</f>
        <v/>
      </c>
      <c r="G231">
        <f>'Runs Z score'!G223</f>
        <v/>
      </c>
      <c r="H231">
        <f>VLOOKUP(C231,Recipes!$A$2:$N$4,10,FALSE())</f>
        <v/>
      </c>
      <c r="I231">
        <f>VLOOKUP(C231,Recipes!$A$2:$N$4,12,FALSE())</f>
        <v/>
      </c>
      <c r="J231">
        <f>IF(G231="","",H231-G231)</f>
        <v/>
      </c>
      <c r="K231">
        <f>IF(G231="","",IF(ABS(G231-H231)&lt;=$B$6*I231,"OK","NG"))</f>
        <v/>
      </c>
      <c r="L231">
        <f>IF(K231="","",IF(K231=D231,1,0))</f>
        <v/>
      </c>
      <c r="M231" t="inlineStr">
        <is>
          <t>N1</t>
        </is>
      </c>
      <c r="N231" s="15" t="n">
        <v>0.99963897584856</v>
      </c>
      <c r="O231" s="15" t="n">
        <v>0.0003226831440641</v>
      </c>
      <c r="P231">
        <f>IF(M231="","",IF(M231=E231,1,0))</f>
        <v/>
      </c>
      <c r="Q231">
        <f>IF(K231="OK","-",IF(N231&lt;$B$7,"AMBIGUOUS","CONFIDENT"))</f>
        <v/>
      </c>
    </row>
    <row r="232">
      <c r="A232">
        <f>'Runs Z score'!A224</f>
        <v/>
      </c>
      <c r="B232">
        <f>'Runs Z score'!B224</f>
        <v/>
      </c>
      <c r="C232">
        <f>'Runs Z score'!C224</f>
        <v/>
      </c>
      <c r="D232">
        <f>'Runs Z score'!D224</f>
        <v/>
      </c>
      <c r="E232">
        <f>'Runs Z score'!E224</f>
        <v/>
      </c>
      <c r="F232">
        <f>'Runs Z score'!F224</f>
        <v/>
      </c>
      <c r="G232">
        <f>'Runs Z score'!G224</f>
        <v/>
      </c>
      <c r="H232">
        <f>VLOOKUP(C232,Recipes!$A$2:$N$4,10,FALSE())</f>
        <v/>
      </c>
      <c r="I232">
        <f>VLOOKUP(C232,Recipes!$A$2:$N$4,12,FALSE())</f>
        <v/>
      </c>
      <c r="J232">
        <f>IF(G232="","",H232-G232)</f>
        <v/>
      </c>
      <c r="K232">
        <f>IF(G232="","",IF(ABS(G232-H232)&lt;=$B$6*I232,"OK","NG"))</f>
        <v/>
      </c>
      <c r="L232">
        <f>IF(K232="","",IF(K232=D232,1,0))</f>
        <v/>
      </c>
      <c r="M232" t="inlineStr">
        <is>
          <t>N1</t>
        </is>
      </c>
      <c r="N232" s="15" t="n">
        <v>0.6370395425398812</v>
      </c>
      <c r="O232" s="15" t="n">
        <v>0.3629559011899154</v>
      </c>
      <c r="P232">
        <f>IF(M232="","",IF(M232=E232,1,0))</f>
        <v/>
      </c>
      <c r="Q232">
        <f>IF(K232="OK","-",IF(N232&lt;$B$7,"AMBIGUOUS","CONFIDENT"))</f>
        <v/>
      </c>
    </row>
    <row r="233">
      <c r="A233">
        <f>'Runs Z score'!A225</f>
        <v/>
      </c>
      <c r="B233">
        <f>'Runs Z score'!B225</f>
        <v/>
      </c>
      <c r="C233">
        <f>'Runs Z score'!C225</f>
        <v/>
      </c>
      <c r="D233">
        <f>'Runs Z score'!D225</f>
        <v/>
      </c>
      <c r="E233">
        <f>'Runs Z score'!E225</f>
        <v/>
      </c>
      <c r="F233">
        <f>'Runs Z score'!F225</f>
        <v/>
      </c>
      <c r="G233">
        <f>'Runs Z score'!G225</f>
        <v/>
      </c>
      <c r="H233">
        <f>VLOOKUP(C233,Recipes!$A$2:$N$4,10,FALSE())</f>
        <v/>
      </c>
      <c r="I233">
        <f>VLOOKUP(C233,Recipes!$A$2:$N$4,12,FALSE())</f>
        <v/>
      </c>
      <c r="J233">
        <f>IF(G233="","",H233-G233)</f>
        <v/>
      </c>
      <c r="K233">
        <f>IF(G233="","",IF(ABS(G233-H233)&lt;=$B$6*I233,"OK","NG"))</f>
        <v/>
      </c>
      <c r="L233">
        <f>IF(K233="","",IF(K233=D233,1,0))</f>
        <v/>
      </c>
      <c r="M233" t="inlineStr">
        <is>
          <t>N1</t>
        </is>
      </c>
      <c r="N233" s="15" t="n">
        <v>0.8090613940945661</v>
      </c>
      <c r="O233" s="15" t="n">
        <v>0.1909311007648945</v>
      </c>
      <c r="P233">
        <f>IF(M233="","",IF(M233=E233,1,0))</f>
        <v/>
      </c>
      <c r="Q233">
        <f>IF(K233="OK","-",IF(N233&lt;$B$7,"AMBIGUOUS","CONFIDENT"))</f>
        <v/>
      </c>
    </row>
    <row r="234">
      <c r="A234">
        <f>'Runs Z score'!A226</f>
        <v/>
      </c>
      <c r="B234">
        <f>'Runs Z score'!B226</f>
        <v/>
      </c>
      <c r="C234">
        <f>'Runs Z score'!C226</f>
        <v/>
      </c>
      <c r="D234">
        <f>'Runs Z score'!D226</f>
        <v/>
      </c>
      <c r="E234">
        <f>'Runs Z score'!E226</f>
        <v/>
      </c>
      <c r="F234">
        <f>'Runs Z score'!F226</f>
        <v/>
      </c>
      <c r="G234">
        <f>'Runs Z score'!G226</f>
        <v/>
      </c>
      <c r="H234">
        <f>VLOOKUP(C234,Recipes!$A$2:$N$4,10,FALSE())</f>
        <v/>
      </c>
      <c r="I234">
        <f>VLOOKUP(C234,Recipes!$A$2:$N$4,12,FALSE())</f>
        <v/>
      </c>
      <c r="J234">
        <f>IF(G234="","",H234-G234)</f>
        <v/>
      </c>
      <c r="K234">
        <f>IF(G234="","",IF(ABS(G234-H234)&lt;=$B$6*I234,"OK","NG"))</f>
        <v/>
      </c>
      <c r="L234">
        <f>IF(K234="","",IF(K234=D234,1,0))</f>
        <v/>
      </c>
      <c r="M234" t="inlineStr">
        <is>
          <t>N1</t>
        </is>
      </c>
      <c r="N234" s="15" t="n">
        <v>0.9801783414543128</v>
      </c>
      <c r="O234" s="15" t="n">
        <v>0.0198037005183116</v>
      </c>
      <c r="P234">
        <f>IF(M234="","",IF(M234=E234,1,0))</f>
        <v/>
      </c>
      <c r="Q234">
        <f>IF(K234="OK","-",IF(N234&lt;$B$7,"AMBIGUOUS","CONFIDENT"))</f>
        <v/>
      </c>
    </row>
    <row r="235">
      <c r="A235">
        <f>'Runs Z score'!A227</f>
        <v/>
      </c>
      <c r="B235">
        <f>'Runs Z score'!B227</f>
        <v/>
      </c>
      <c r="C235">
        <f>'Runs Z score'!C227</f>
        <v/>
      </c>
      <c r="D235">
        <f>'Runs Z score'!D227</f>
        <v/>
      </c>
      <c r="E235">
        <f>'Runs Z score'!E227</f>
        <v/>
      </c>
      <c r="F235">
        <f>'Runs Z score'!F227</f>
        <v/>
      </c>
      <c r="G235">
        <f>'Runs Z score'!G227</f>
        <v/>
      </c>
      <c r="H235">
        <f>VLOOKUP(C235,Recipes!$A$2:$N$4,10,FALSE())</f>
        <v/>
      </c>
      <c r="I235">
        <f>VLOOKUP(C235,Recipes!$A$2:$N$4,12,FALSE())</f>
        <v/>
      </c>
      <c r="J235">
        <f>IF(G235="","",H235-G235)</f>
        <v/>
      </c>
      <c r="K235">
        <f>IF(G235="","",IF(ABS(G235-H235)&lt;=$B$6*I235,"OK","NG"))</f>
        <v/>
      </c>
      <c r="L235">
        <f>IF(K235="","",IF(K235=D235,1,0))</f>
        <v/>
      </c>
      <c r="M235" t="inlineStr">
        <is>
          <t>N1</t>
        </is>
      </c>
      <c r="N235" s="15" t="n">
        <v>0.9928919788642576</v>
      </c>
      <c r="O235" s="15" t="n">
        <v>0.0070816058142429</v>
      </c>
      <c r="P235">
        <f>IF(M235="","",IF(M235=E235,1,0))</f>
        <v/>
      </c>
      <c r="Q235">
        <f>IF(K235="OK","-",IF(N235&lt;$B$7,"AMBIGUOUS","CONFIDENT"))</f>
        <v/>
      </c>
    </row>
    <row r="236">
      <c r="A236">
        <f>'Runs Z score'!A228</f>
        <v/>
      </c>
      <c r="B236">
        <f>'Runs Z score'!B228</f>
        <v/>
      </c>
      <c r="C236">
        <f>'Runs Z score'!C228</f>
        <v/>
      </c>
      <c r="D236">
        <f>'Runs Z score'!D228</f>
        <v/>
      </c>
      <c r="E236">
        <f>'Runs Z score'!E228</f>
        <v/>
      </c>
      <c r="F236">
        <f>'Runs Z score'!F228</f>
        <v/>
      </c>
      <c r="G236">
        <f>'Runs Z score'!G228</f>
        <v/>
      </c>
      <c r="H236">
        <f>VLOOKUP(C236,Recipes!$A$2:$N$4,10,FALSE())</f>
        <v/>
      </c>
      <c r="I236">
        <f>VLOOKUP(C236,Recipes!$A$2:$N$4,12,FALSE())</f>
        <v/>
      </c>
      <c r="J236">
        <f>IF(G236="","",H236-G236)</f>
        <v/>
      </c>
      <c r="K236">
        <f>IF(G236="","",IF(ABS(G236-H236)&lt;=$B$6*I236,"OK","NG"))</f>
        <v/>
      </c>
      <c r="L236">
        <f>IF(K236="","",IF(K236=D236,1,0))</f>
        <v/>
      </c>
      <c r="M236" t="inlineStr">
        <is>
          <t>N1</t>
        </is>
      </c>
      <c r="N236" s="15" t="n">
        <v>0.9108575441040636</v>
      </c>
      <c r="O236" s="15" t="n">
        <v>0.0891314909974768</v>
      </c>
      <c r="P236">
        <f>IF(M236="","",IF(M236=E236,1,0))</f>
        <v/>
      </c>
      <c r="Q236">
        <f>IF(K236="OK","-",IF(N236&lt;$B$7,"AMBIGUOUS","CONFIDENT"))</f>
        <v/>
      </c>
    </row>
    <row r="237">
      <c r="A237">
        <f>'Runs Z score'!A229</f>
        <v/>
      </c>
      <c r="B237">
        <f>'Runs Z score'!B229</f>
        <v/>
      </c>
      <c r="C237">
        <f>'Runs Z score'!C229</f>
        <v/>
      </c>
      <c r="D237">
        <f>'Runs Z score'!D229</f>
        <v/>
      </c>
      <c r="E237">
        <f>'Runs Z score'!E229</f>
        <v/>
      </c>
      <c r="F237">
        <f>'Runs Z score'!F229</f>
        <v/>
      </c>
      <c r="G237">
        <f>'Runs Z score'!G229</f>
        <v/>
      </c>
      <c r="H237">
        <f>VLOOKUP(C237,Recipes!$A$2:$N$4,10,FALSE())</f>
        <v/>
      </c>
      <c r="I237">
        <f>VLOOKUP(C237,Recipes!$A$2:$N$4,12,FALSE())</f>
        <v/>
      </c>
      <c r="J237">
        <f>IF(G237="","",H237-G237)</f>
        <v/>
      </c>
      <c r="K237">
        <f>IF(G237="","",IF(ABS(G237-H237)&lt;=$B$6*I237,"OK","NG"))</f>
        <v/>
      </c>
      <c r="L237">
        <f>IF(K237="","",IF(K237=D237,1,0))</f>
        <v/>
      </c>
      <c r="M237" t="inlineStr">
        <is>
          <t>N1</t>
        </is>
      </c>
      <c r="N237" s="15" t="n">
        <v>0.9761860577243386</v>
      </c>
      <c r="O237" s="15" t="n">
        <v>0.0237970786128118</v>
      </c>
      <c r="P237">
        <f>IF(M237="","",IF(M237=E237,1,0))</f>
        <v/>
      </c>
      <c r="Q237">
        <f>IF(K237="OK","-",IF(N237&lt;$B$7,"AMBIGUOUS","CONFIDENT"))</f>
        <v/>
      </c>
    </row>
    <row r="238">
      <c r="A238">
        <f>'Runs Z score'!A230</f>
        <v/>
      </c>
      <c r="B238">
        <f>'Runs Z score'!B230</f>
        <v/>
      </c>
      <c r="C238">
        <f>'Runs Z score'!C230</f>
        <v/>
      </c>
      <c r="D238">
        <f>'Runs Z score'!D230</f>
        <v/>
      </c>
      <c r="E238">
        <f>'Runs Z score'!E230</f>
        <v/>
      </c>
      <c r="F238">
        <f>'Runs Z score'!F230</f>
        <v/>
      </c>
      <c r="G238">
        <f>'Runs Z score'!G230</f>
        <v/>
      </c>
      <c r="H238">
        <f>VLOOKUP(C238,Recipes!$A$2:$N$4,10,FALSE())</f>
        <v/>
      </c>
      <c r="I238">
        <f>VLOOKUP(C238,Recipes!$A$2:$N$4,12,FALSE())</f>
        <v/>
      </c>
      <c r="J238">
        <f>IF(G238="","",H238-G238)</f>
        <v/>
      </c>
      <c r="K238">
        <f>IF(G238="","",IF(ABS(G238-H238)&lt;=$B$6*I238,"OK","NG"))</f>
        <v/>
      </c>
      <c r="L238">
        <f>IF(K238="","",IF(K238=D238,1,0))</f>
        <v/>
      </c>
      <c r="M238" t="inlineStr">
        <is>
          <t>N1</t>
        </is>
      </c>
      <c r="N238" s="15" t="n">
        <v>0.9568960521078328</v>
      </c>
      <c r="O238" s="15" t="n">
        <v>0.0430900734549726</v>
      </c>
      <c r="P238">
        <f>IF(M238="","",IF(M238=E238,1,0))</f>
        <v/>
      </c>
      <c r="Q238">
        <f>IF(K238="OK","-",IF(N238&lt;$B$7,"AMBIGUOUS","CONFIDENT"))</f>
        <v/>
      </c>
    </row>
    <row r="239">
      <c r="A239">
        <f>'Runs Z score'!A231</f>
        <v/>
      </c>
      <c r="B239">
        <f>'Runs Z score'!B231</f>
        <v/>
      </c>
      <c r="C239">
        <f>'Runs Z score'!C231</f>
        <v/>
      </c>
      <c r="D239">
        <f>'Runs Z score'!D231</f>
        <v/>
      </c>
      <c r="E239">
        <f>'Runs Z score'!E231</f>
        <v/>
      </c>
      <c r="F239">
        <f>'Runs Z score'!F231</f>
        <v/>
      </c>
      <c r="G239">
        <f>'Runs Z score'!G231</f>
        <v/>
      </c>
      <c r="H239">
        <f>VLOOKUP(C239,Recipes!$A$2:$N$4,10,FALSE())</f>
        <v/>
      </c>
      <c r="I239">
        <f>VLOOKUP(C239,Recipes!$A$2:$N$4,12,FALSE())</f>
        <v/>
      </c>
      <c r="J239">
        <f>IF(G239="","",H239-G239)</f>
        <v/>
      </c>
      <c r="K239">
        <f>IF(G239="","",IF(ABS(G239-H239)&lt;=$B$6*I239,"OK","NG"))</f>
        <v/>
      </c>
      <c r="L239">
        <f>IF(K239="","",IF(K239=D239,1,0))</f>
        <v/>
      </c>
      <c r="M239" t="inlineStr">
        <is>
          <t>N1</t>
        </is>
      </c>
      <c r="N239" s="15" t="n">
        <v>0.9985021682649562</v>
      </c>
      <c r="O239" s="15" t="n">
        <v>0.0014560761712466</v>
      </c>
      <c r="P239">
        <f>IF(M239="","",IF(M239=E239,1,0))</f>
        <v/>
      </c>
      <c r="Q239">
        <f>IF(K239="OK","-",IF(N239&lt;$B$7,"AMBIGUOUS","CONFIDENT"))</f>
        <v/>
      </c>
    </row>
    <row r="240">
      <c r="A240">
        <f>'Runs Z score'!A232</f>
        <v/>
      </c>
      <c r="B240">
        <f>'Runs Z score'!B232</f>
        <v/>
      </c>
      <c r="C240">
        <f>'Runs Z score'!C232</f>
        <v/>
      </c>
      <c r="D240">
        <f>'Runs Z score'!D232</f>
        <v/>
      </c>
      <c r="E240">
        <f>'Runs Z score'!E232</f>
        <v/>
      </c>
      <c r="F240">
        <f>'Runs Z score'!F232</f>
        <v/>
      </c>
      <c r="G240">
        <f>'Runs Z score'!G232</f>
        <v/>
      </c>
      <c r="H240">
        <f>VLOOKUP(C240,Recipes!$A$2:$N$4,10,FALSE())</f>
        <v/>
      </c>
      <c r="I240">
        <f>VLOOKUP(C240,Recipes!$A$2:$N$4,12,FALSE())</f>
        <v/>
      </c>
      <c r="J240">
        <f>IF(G240="","",H240-G240)</f>
        <v/>
      </c>
      <c r="K240">
        <f>IF(G240="","",IF(ABS(G240-H240)&lt;=$B$6*I240,"OK","NG"))</f>
        <v/>
      </c>
      <c r="L240">
        <f>IF(K240="","",IF(K240=D240,1,0))</f>
        <v/>
      </c>
      <c r="M240" t="inlineStr">
        <is>
          <t>N1</t>
        </is>
      </c>
      <c r="N240" s="15" t="n">
        <v>0.9405053618335626</v>
      </c>
      <c r="O240" s="15" t="n">
        <v>0.0594817165933704</v>
      </c>
      <c r="P240">
        <f>IF(M240="","",IF(M240=E240,1,0))</f>
        <v/>
      </c>
      <c r="Q240">
        <f>IF(K240="OK","-",IF(N240&lt;$B$7,"AMBIGUOUS","CONFIDENT"))</f>
        <v/>
      </c>
    </row>
    <row r="241">
      <c r="A241">
        <f>'Runs Z score'!A233</f>
        <v/>
      </c>
      <c r="B241">
        <f>'Runs Z score'!B233</f>
        <v/>
      </c>
      <c r="C241">
        <f>'Runs Z score'!C233</f>
        <v/>
      </c>
      <c r="D241">
        <f>'Runs Z score'!D233</f>
        <v/>
      </c>
      <c r="E241">
        <f>'Runs Z score'!E233</f>
        <v/>
      </c>
      <c r="F241">
        <f>'Runs Z score'!F233</f>
        <v/>
      </c>
      <c r="G241">
        <f>'Runs Z score'!G233</f>
        <v/>
      </c>
      <c r="H241">
        <f>VLOOKUP(C241,Recipes!$A$2:$N$4,10,FALSE())</f>
        <v/>
      </c>
      <c r="I241">
        <f>VLOOKUP(C241,Recipes!$A$2:$N$4,12,FALSE())</f>
        <v/>
      </c>
      <c r="J241">
        <f>IF(G241="","",H241-G241)</f>
        <v/>
      </c>
      <c r="K241">
        <f>IF(G241="","",IF(ABS(G241-H241)&lt;=$B$6*I241,"OK","NG"))</f>
        <v/>
      </c>
      <c r="L241">
        <f>IF(K241="","",IF(K241=D241,1,0))</f>
        <v/>
      </c>
      <c r="M241" t="inlineStr">
        <is>
          <t>N1</t>
        </is>
      </c>
      <c r="N241" s="15" t="n">
        <v>0.999848132735972</v>
      </c>
      <c r="O241" s="15" t="n">
        <v>0.0001085775521607</v>
      </c>
      <c r="P241">
        <f>IF(M241="","",IF(M241=E241,1,0))</f>
        <v/>
      </c>
      <c r="Q241">
        <f>IF(K241="OK","-",IF(N241&lt;$B$7,"AMBIGUOUS","CONFIDENT"))</f>
        <v/>
      </c>
    </row>
    <row r="242">
      <c r="A242">
        <f>'Runs Z score'!A234</f>
        <v/>
      </c>
      <c r="B242">
        <f>'Runs Z score'!B234</f>
        <v/>
      </c>
      <c r="C242">
        <f>'Runs Z score'!C234</f>
        <v/>
      </c>
      <c r="D242">
        <f>'Runs Z score'!D234</f>
        <v/>
      </c>
      <c r="E242">
        <f>'Runs Z score'!E234</f>
        <v/>
      </c>
      <c r="F242">
        <f>'Runs Z score'!F234</f>
        <v/>
      </c>
      <c r="G242">
        <f>'Runs Z score'!G234</f>
        <v/>
      </c>
      <c r="H242">
        <f>VLOOKUP(C242,Recipes!$A$2:$N$4,10,FALSE())</f>
        <v/>
      </c>
      <c r="I242">
        <f>VLOOKUP(C242,Recipes!$A$2:$N$4,12,FALSE())</f>
        <v/>
      </c>
      <c r="J242">
        <f>IF(G242="","",H242-G242)</f>
        <v/>
      </c>
      <c r="K242">
        <f>IF(G242="","",IF(ABS(G242-H242)&lt;=$B$6*I242,"OK","NG"))</f>
        <v/>
      </c>
      <c r="L242">
        <f>IF(K242="","",IF(K242=D242,1,0))</f>
        <v/>
      </c>
      <c r="M242" t="inlineStr">
        <is>
          <t>N1</t>
        </is>
      </c>
      <c r="N242" s="15" t="n">
        <v>0.9322735040823557</v>
      </c>
      <c r="O242" s="15" t="n">
        <v>0.0677150012934368</v>
      </c>
      <c r="P242">
        <f>IF(M242="","",IF(M242=E242,1,0))</f>
        <v/>
      </c>
      <c r="Q242">
        <f>IF(K242="OK","-",IF(N242&lt;$B$7,"AMBIGUOUS","CONFIDENT"))</f>
        <v/>
      </c>
    </row>
    <row r="243">
      <c r="A243">
        <f>'Runs Z score'!A235</f>
        <v/>
      </c>
      <c r="B243">
        <f>'Runs Z score'!B235</f>
        <v/>
      </c>
      <c r="C243">
        <f>'Runs Z score'!C235</f>
        <v/>
      </c>
      <c r="D243">
        <f>'Runs Z score'!D235</f>
        <v/>
      </c>
      <c r="E243">
        <f>'Runs Z score'!E235</f>
        <v/>
      </c>
      <c r="F243">
        <f>'Runs Z score'!F235</f>
        <v/>
      </c>
      <c r="G243">
        <f>'Runs Z score'!G235</f>
        <v/>
      </c>
      <c r="H243">
        <f>VLOOKUP(C243,Recipes!$A$2:$N$4,10,FALSE())</f>
        <v/>
      </c>
      <c r="I243">
        <f>VLOOKUP(C243,Recipes!$A$2:$N$4,12,FALSE())</f>
        <v/>
      </c>
      <c r="J243">
        <f>IF(G243="","",H243-G243)</f>
        <v/>
      </c>
      <c r="K243">
        <f>IF(G243="","",IF(ABS(G243-H243)&lt;=$B$6*I243,"OK","NG"))</f>
        <v/>
      </c>
      <c r="L243">
        <f>IF(K243="","",IF(K243=D243,1,0))</f>
        <v/>
      </c>
      <c r="M243" t="inlineStr">
        <is>
          <t>N1</t>
        </is>
      </c>
      <c r="N243" s="15" t="n">
        <v>0.971490705292514</v>
      </c>
      <c r="O243" s="15" t="n">
        <v>0.0284932145201772</v>
      </c>
      <c r="P243">
        <f>IF(M243="","",IF(M243=E243,1,0))</f>
        <v/>
      </c>
      <c r="Q243">
        <f>IF(K243="OK","-",IF(N243&lt;$B$7,"AMBIGUOUS","CONFIDENT"))</f>
        <v/>
      </c>
    </row>
    <row r="244">
      <c r="A244">
        <f>'Runs Z score'!A236</f>
        <v/>
      </c>
      <c r="B244">
        <f>'Runs Z score'!B236</f>
        <v/>
      </c>
      <c r="C244">
        <f>'Runs Z score'!C236</f>
        <v/>
      </c>
      <c r="D244">
        <f>'Runs Z score'!D236</f>
        <v/>
      </c>
      <c r="E244">
        <f>'Runs Z score'!E236</f>
        <v/>
      </c>
      <c r="F244">
        <f>'Runs Z score'!F236</f>
        <v/>
      </c>
      <c r="G244">
        <f>'Runs Z score'!G236</f>
        <v/>
      </c>
      <c r="H244">
        <f>VLOOKUP(C244,Recipes!$A$2:$N$4,10,FALSE())</f>
        <v/>
      </c>
      <c r="I244">
        <f>VLOOKUP(C244,Recipes!$A$2:$N$4,12,FALSE())</f>
        <v/>
      </c>
      <c r="J244">
        <f>IF(G244="","",H244-G244)</f>
        <v/>
      </c>
      <c r="K244">
        <f>IF(G244="","",IF(ABS(G244-H244)&lt;=$B$6*I244,"OK","NG"))</f>
        <v/>
      </c>
      <c r="L244">
        <f>IF(K244="","",IF(K244=D244,1,0))</f>
        <v/>
      </c>
      <c r="M244" t="inlineStr">
        <is>
          <t>N1</t>
        </is>
      </c>
      <c r="N244" s="15" t="n">
        <v>0.954719345820396</v>
      </c>
      <c r="O244" s="15" t="n">
        <v>0.0452672215453636</v>
      </c>
      <c r="P244">
        <f>IF(M244="","",IF(M244=E244,1,0))</f>
        <v/>
      </c>
      <c r="Q244">
        <f>IF(K244="OK","-",IF(N244&lt;$B$7,"AMBIGUOUS","CONFIDENT"))</f>
        <v/>
      </c>
    </row>
    <row r="245">
      <c r="A245">
        <f>'Runs Z score'!A237</f>
        <v/>
      </c>
      <c r="B245">
        <f>'Runs Z score'!B237</f>
        <v/>
      </c>
      <c r="C245">
        <f>'Runs Z score'!C237</f>
        <v/>
      </c>
      <c r="D245">
        <f>'Runs Z score'!D237</f>
        <v/>
      </c>
      <c r="E245">
        <f>'Runs Z score'!E237</f>
        <v/>
      </c>
      <c r="F245">
        <f>'Runs Z score'!F237</f>
        <v/>
      </c>
      <c r="G245">
        <f>'Runs Z score'!G237</f>
        <v/>
      </c>
      <c r="H245">
        <f>VLOOKUP(C245,Recipes!$A$2:$N$4,10,FALSE())</f>
        <v/>
      </c>
      <c r="I245">
        <f>VLOOKUP(C245,Recipes!$A$2:$N$4,12,FALSE())</f>
        <v/>
      </c>
      <c r="J245">
        <f>IF(G245="","",H245-G245)</f>
        <v/>
      </c>
      <c r="K245">
        <f>IF(G245="","",IF(ABS(G245-H245)&lt;=$B$6*I245,"OK","NG"))</f>
        <v/>
      </c>
      <c r="L245">
        <f>IF(K245="","",IF(K245=D245,1,0))</f>
        <v/>
      </c>
      <c r="M245" t="inlineStr">
        <is>
          <t>N1</t>
        </is>
      </c>
      <c r="N245" s="15" t="n">
        <v>0.9963139108058222</v>
      </c>
      <c r="O245" s="15" t="n">
        <v>0.0036551373989683</v>
      </c>
      <c r="P245">
        <f>IF(M245="","",IF(M245=E245,1,0))</f>
        <v/>
      </c>
      <c r="Q245">
        <f>IF(K245="OK","-",IF(N245&lt;$B$7,"AMBIGUOUS","CONFIDENT"))</f>
        <v/>
      </c>
    </row>
    <row r="246">
      <c r="A246">
        <f>'Runs Z score'!A238</f>
        <v/>
      </c>
      <c r="B246">
        <f>'Runs Z score'!B238</f>
        <v/>
      </c>
      <c r="C246">
        <f>'Runs Z score'!C238</f>
        <v/>
      </c>
      <c r="D246">
        <f>'Runs Z score'!D238</f>
        <v/>
      </c>
      <c r="E246">
        <f>'Runs Z score'!E238</f>
        <v/>
      </c>
      <c r="F246">
        <f>'Runs Z score'!F238</f>
        <v/>
      </c>
      <c r="G246">
        <f>'Runs Z score'!G238</f>
        <v/>
      </c>
      <c r="H246">
        <f>VLOOKUP(C246,Recipes!$A$2:$N$4,10,FALSE())</f>
        <v/>
      </c>
      <c r="I246">
        <f>VLOOKUP(C246,Recipes!$A$2:$N$4,12,FALSE())</f>
        <v/>
      </c>
      <c r="J246">
        <f>IF(G246="","",H246-G246)</f>
        <v/>
      </c>
      <c r="K246">
        <f>IF(G246="","",IF(ABS(G246-H246)&lt;=$B$6*I246,"OK","NG"))</f>
        <v/>
      </c>
      <c r="L246">
        <f>IF(K246="","",IF(K246=D246,1,0))</f>
        <v/>
      </c>
      <c r="M246" t="inlineStr">
        <is>
          <t>N1</t>
        </is>
      </c>
      <c r="N246" s="15" t="n">
        <v>0.9353210961572784</v>
      </c>
      <c r="O246" s="15" t="n">
        <v>0.0646670240325358</v>
      </c>
      <c r="P246">
        <f>IF(M246="","",IF(M246=E246,1,0))</f>
        <v/>
      </c>
      <c r="Q246">
        <f>IF(K246="OK","-",IF(N246&lt;$B$7,"AMBIGUOUS","CONFIDENT"))</f>
        <v/>
      </c>
    </row>
    <row r="247">
      <c r="A247">
        <f>'Runs Z score'!A239</f>
        <v/>
      </c>
      <c r="B247">
        <f>'Runs Z score'!B239</f>
        <v/>
      </c>
      <c r="C247">
        <f>'Runs Z score'!C239</f>
        <v/>
      </c>
      <c r="D247">
        <f>'Runs Z score'!D239</f>
        <v/>
      </c>
      <c r="E247">
        <f>'Runs Z score'!E239</f>
        <v/>
      </c>
      <c r="F247">
        <f>'Runs Z score'!F239</f>
        <v/>
      </c>
      <c r="G247">
        <f>'Runs Z score'!G239</f>
        <v/>
      </c>
      <c r="H247">
        <f>VLOOKUP(C247,Recipes!$A$2:$N$4,10,FALSE())</f>
        <v/>
      </c>
      <c r="I247">
        <f>VLOOKUP(C247,Recipes!$A$2:$N$4,12,FALSE())</f>
        <v/>
      </c>
      <c r="J247">
        <f>IF(G247="","",H247-G247)</f>
        <v/>
      </c>
      <c r="K247">
        <f>IF(G247="","",IF(ABS(G247-H247)&lt;=$B$6*I247,"OK","NG"))</f>
        <v/>
      </c>
      <c r="L247">
        <f>IF(K247="","",IF(K247=D247,1,0))</f>
        <v/>
      </c>
      <c r="M247" t="inlineStr">
        <is>
          <t>N1</t>
        </is>
      </c>
      <c r="N247" s="15" t="n">
        <v>0.8995606738656623</v>
      </c>
      <c r="O247" s="15" t="n">
        <v>0.1004295900081216</v>
      </c>
      <c r="P247">
        <f>IF(M247="","",IF(M247=E247,1,0))</f>
        <v/>
      </c>
      <c r="Q247">
        <f>IF(K247="OK","-",IF(N247&lt;$B$7,"AMBIGUOUS","CONFIDENT"))</f>
        <v/>
      </c>
    </row>
    <row r="248">
      <c r="A248">
        <f>'Runs Z score'!A240</f>
        <v/>
      </c>
      <c r="B248">
        <f>'Runs Z score'!B240</f>
        <v/>
      </c>
      <c r="C248">
        <f>'Runs Z score'!C240</f>
        <v/>
      </c>
      <c r="D248">
        <f>'Runs Z score'!D240</f>
        <v/>
      </c>
      <c r="E248">
        <f>'Runs Z score'!E240</f>
        <v/>
      </c>
      <c r="F248">
        <f>'Runs Z score'!F240</f>
        <v/>
      </c>
      <c r="G248">
        <f>'Runs Z score'!G240</f>
        <v/>
      </c>
      <c r="H248">
        <f>VLOOKUP(C248,Recipes!$A$2:$N$4,10,FALSE())</f>
        <v/>
      </c>
      <c r="I248">
        <f>VLOOKUP(C248,Recipes!$A$2:$N$4,12,FALSE())</f>
        <v/>
      </c>
      <c r="J248">
        <f>IF(G248="","",H248-G248)</f>
        <v/>
      </c>
      <c r="K248">
        <f>IF(G248="","",IF(ABS(G248-H248)&lt;=$B$6*I248,"OK","NG"))</f>
        <v/>
      </c>
      <c r="L248">
        <f>IF(K248="","",IF(K248=D248,1,0))</f>
        <v/>
      </c>
      <c r="M248" t="inlineStr">
        <is>
          <t>N1</t>
        </is>
      </c>
      <c r="N248" s="15" t="n">
        <v>0.9236213314783208</v>
      </c>
      <c r="O248" s="15" t="n">
        <v>0.0763679583004199</v>
      </c>
      <c r="P248">
        <f>IF(M248="","",IF(M248=E248,1,0))</f>
        <v/>
      </c>
      <c r="Q248">
        <f>IF(K248="OK","-",IF(N248&lt;$B$7,"AMBIGUOUS","CONFIDENT"))</f>
        <v/>
      </c>
    </row>
    <row r="249">
      <c r="A249">
        <f>'Runs Z score'!A241</f>
        <v/>
      </c>
      <c r="B249">
        <f>'Runs Z score'!B241</f>
        <v/>
      </c>
      <c r="C249">
        <f>'Runs Z score'!C241</f>
        <v/>
      </c>
      <c r="D249">
        <f>'Runs Z score'!D241</f>
        <v/>
      </c>
      <c r="E249">
        <f>'Runs Z score'!E241</f>
        <v/>
      </c>
      <c r="F249">
        <f>'Runs Z score'!F241</f>
        <v/>
      </c>
      <c r="G249">
        <f>'Runs Z score'!G241</f>
        <v/>
      </c>
      <c r="H249">
        <f>VLOOKUP(C249,Recipes!$A$2:$N$4,10,FALSE())</f>
        <v/>
      </c>
      <c r="I249">
        <f>VLOOKUP(C249,Recipes!$A$2:$N$4,12,FALSE())</f>
        <v/>
      </c>
      <c r="J249">
        <f>IF(G249="","",H249-G249)</f>
        <v/>
      </c>
      <c r="K249">
        <f>IF(G249="","",IF(ABS(G249-H249)&lt;=$B$6*I249,"OK","NG"))</f>
        <v/>
      </c>
      <c r="L249">
        <f>IF(K249="","",IF(K249=D249,1,0))</f>
        <v/>
      </c>
      <c r="M249" t="inlineStr">
        <is>
          <t>N1</t>
        </is>
      </c>
      <c r="N249" s="15" t="n">
        <v>0.9236213314783208</v>
      </c>
      <c r="O249" s="15" t="n">
        <v>0.0763679583004199</v>
      </c>
      <c r="P249">
        <f>IF(M249="","",IF(M249=E249,1,0))</f>
        <v/>
      </c>
      <c r="Q249">
        <f>IF(K249="OK","-",IF(N249&lt;$B$7,"AMBIGUOUS","CONFIDENT"))</f>
        <v/>
      </c>
    </row>
    <row r="250">
      <c r="A250">
        <f>'Runs Z score'!A242</f>
        <v/>
      </c>
      <c r="B250">
        <f>'Runs Z score'!B242</f>
        <v/>
      </c>
      <c r="C250">
        <f>'Runs Z score'!C242</f>
        <v/>
      </c>
      <c r="D250">
        <f>'Runs Z score'!D242</f>
        <v/>
      </c>
      <c r="E250">
        <f>'Runs Z score'!E242</f>
        <v/>
      </c>
      <c r="F250">
        <f>'Runs Z score'!F242</f>
        <v/>
      </c>
      <c r="G250">
        <f>'Runs Z score'!G242</f>
        <v/>
      </c>
      <c r="H250">
        <f>VLOOKUP(C250,Recipes!$A$2:$N$4,10,FALSE())</f>
        <v/>
      </c>
      <c r="I250">
        <f>VLOOKUP(C250,Recipes!$A$2:$N$4,12,FALSE())</f>
        <v/>
      </c>
      <c r="J250">
        <f>IF(G250="","",H250-G250)</f>
        <v/>
      </c>
      <c r="K250">
        <f>IF(G250="","",IF(ABS(G250-H250)&lt;=$B$6*I250,"OK","NG"))</f>
        <v/>
      </c>
      <c r="L250">
        <f>IF(K250="","",IF(K250=D250,1,0))</f>
        <v/>
      </c>
      <c r="M250" t="inlineStr">
        <is>
          <t>N1</t>
        </is>
      </c>
      <c r="N250" s="15" t="n">
        <v>0.8891757453818309</v>
      </c>
      <c r="O250" s="15" t="n">
        <v>0.1108152120876125</v>
      </c>
      <c r="P250">
        <f>IF(M250="","",IF(M250=E250,1,0))</f>
        <v/>
      </c>
      <c r="Q250">
        <f>IF(K250="OK","-",IF(N250&lt;$B$7,"AMBIGUOUS","CONFIDENT"))</f>
        <v/>
      </c>
    </row>
    <row r="251">
      <c r="A251">
        <f>'Runs Z score'!A243</f>
        <v/>
      </c>
      <c r="B251">
        <f>'Runs Z score'!B243</f>
        <v/>
      </c>
      <c r="C251">
        <f>'Runs Z score'!C243</f>
        <v/>
      </c>
      <c r="D251">
        <f>'Runs Z score'!D243</f>
        <v/>
      </c>
      <c r="E251">
        <f>'Runs Z score'!E243</f>
        <v/>
      </c>
      <c r="F251">
        <f>'Runs Z score'!F243</f>
        <v/>
      </c>
      <c r="G251">
        <f>'Runs Z score'!G243</f>
        <v/>
      </c>
      <c r="H251">
        <f>VLOOKUP(C251,Recipes!$A$2:$N$4,10,FALSE())</f>
        <v/>
      </c>
      <c r="I251">
        <f>VLOOKUP(C251,Recipes!$A$2:$N$4,12,FALSE())</f>
        <v/>
      </c>
      <c r="J251">
        <f>IF(G251="","",H251-G251)</f>
        <v/>
      </c>
      <c r="K251">
        <f>IF(G251="","",IF(ABS(G251-H251)&lt;=$B$6*I251,"OK","NG"))</f>
        <v/>
      </c>
      <c r="L251">
        <f>IF(K251="","",IF(K251=D251,1,0))</f>
        <v/>
      </c>
      <c r="M251" t="inlineStr">
        <is>
          <t>S2</t>
        </is>
      </c>
      <c r="N251" s="15" t="n">
        <v>0.9999414921000972</v>
      </c>
      <c r="O251" s="15" t="n">
        <v>5.850789990273576e-05</v>
      </c>
      <c r="P251">
        <f>IF(M251="","",IF(M251=E251,1,0))</f>
        <v/>
      </c>
      <c r="Q251">
        <f>IF(K251="OK","-",IF(N251&lt;$B$7,"AMBIGUOUS","CONFIDENT"))</f>
        <v/>
      </c>
    </row>
    <row r="252">
      <c r="A252">
        <f>'Runs Z score'!A244</f>
        <v/>
      </c>
      <c r="B252">
        <f>'Runs Z score'!B244</f>
        <v/>
      </c>
      <c r="C252">
        <f>'Runs Z score'!C244</f>
        <v/>
      </c>
      <c r="D252">
        <f>'Runs Z score'!D244</f>
        <v/>
      </c>
      <c r="E252">
        <f>'Runs Z score'!E244</f>
        <v/>
      </c>
      <c r="F252">
        <f>'Runs Z score'!F244</f>
        <v/>
      </c>
      <c r="G252">
        <f>'Runs Z score'!G244</f>
        <v/>
      </c>
      <c r="H252">
        <f>VLOOKUP(C252,Recipes!$A$2:$N$4,10,FALSE())</f>
        <v/>
      </c>
      <c r="I252">
        <f>VLOOKUP(C252,Recipes!$A$2:$N$4,12,FALSE())</f>
        <v/>
      </c>
      <c r="J252">
        <f>IF(G252="","",H252-G252)</f>
        <v/>
      </c>
      <c r="K252">
        <f>IF(G252="","",IF(ABS(G252-H252)&lt;=$B$6*I252,"OK","NG"))</f>
        <v/>
      </c>
      <c r="L252">
        <f>IF(K252="","",IF(K252=D252,1,0))</f>
        <v/>
      </c>
      <c r="M252" t="inlineStr">
        <is>
          <t>S2</t>
        </is>
      </c>
      <c r="N252" s="15" t="n">
        <v>0.9999644992966912</v>
      </c>
      <c r="O252" s="15" t="n">
        <v>3.55007033088599e-05</v>
      </c>
      <c r="P252">
        <f>IF(M252="","",IF(M252=E252,1,0))</f>
        <v/>
      </c>
      <c r="Q252">
        <f>IF(K252="OK","-",IF(N252&lt;$B$7,"AMBIGUOUS","CONFIDENT"))</f>
        <v/>
      </c>
    </row>
    <row r="253">
      <c r="A253">
        <f>'Runs Z score'!A245</f>
        <v/>
      </c>
      <c r="B253">
        <f>'Runs Z score'!B245</f>
        <v/>
      </c>
      <c r="C253">
        <f>'Runs Z score'!C245</f>
        <v/>
      </c>
      <c r="D253">
        <f>'Runs Z score'!D245</f>
        <v/>
      </c>
      <c r="E253">
        <f>'Runs Z score'!E245</f>
        <v/>
      </c>
      <c r="F253">
        <f>'Runs Z score'!F245</f>
        <v/>
      </c>
      <c r="G253">
        <f>'Runs Z score'!G245</f>
        <v/>
      </c>
      <c r="H253">
        <f>VLOOKUP(C253,Recipes!$A$2:$N$4,10,FALSE())</f>
        <v/>
      </c>
      <c r="I253">
        <f>VLOOKUP(C253,Recipes!$A$2:$N$4,12,FALSE())</f>
        <v/>
      </c>
      <c r="J253">
        <f>IF(G253="","",H253-G253)</f>
        <v/>
      </c>
      <c r="K253">
        <f>IF(G253="","",IF(ABS(G253-H253)&lt;=$B$6*I253,"OK","NG"))</f>
        <v/>
      </c>
      <c r="L253">
        <f>IF(K253="","",IF(K253=D253,1,0))</f>
        <v/>
      </c>
      <c r="M253" t="inlineStr">
        <is>
          <t>S2</t>
        </is>
      </c>
      <c r="N253" s="15" t="n">
        <v>0.9999932854605852</v>
      </c>
      <c r="O253" s="15" t="n">
        <v>6.714539414872279e-06</v>
      </c>
      <c r="P253">
        <f>IF(M253="","",IF(M253=E253,1,0))</f>
        <v/>
      </c>
      <c r="Q253">
        <f>IF(K253="OK","-",IF(N253&lt;$B$7,"AMBIGUOUS","CONFIDENT"))</f>
        <v/>
      </c>
    </row>
    <row r="254">
      <c r="A254">
        <f>'Runs Z score'!A246</f>
        <v/>
      </c>
      <c r="B254">
        <f>'Runs Z score'!B246</f>
        <v/>
      </c>
      <c r="C254">
        <f>'Runs Z score'!C246</f>
        <v/>
      </c>
      <c r="D254">
        <f>'Runs Z score'!D246</f>
        <v/>
      </c>
      <c r="E254">
        <f>'Runs Z score'!E246</f>
        <v/>
      </c>
      <c r="F254">
        <f>'Runs Z score'!F246</f>
        <v/>
      </c>
      <c r="G254">
        <f>'Runs Z score'!G246</f>
        <v/>
      </c>
      <c r="H254">
        <f>VLOOKUP(C254,Recipes!$A$2:$N$4,10,FALSE())</f>
        <v/>
      </c>
      <c r="I254">
        <f>VLOOKUP(C254,Recipes!$A$2:$N$4,12,FALSE())</f>
        <v/>
      </c>
      <c r="J254">
        <f>IF(G254="","",H254-G254)</f>
        <v/>
      </c>
      <c r="K254">
        <f>IF(G254="","",IF(ABS(G254-H254)&lt;=$B$6*I254,"OK","NG"))</f>
        <v/>
      </c>
      <c r="L254">
        <f>IF(K254="","",IF(K254=D254,1,0))</f>
        <v/>
      </c>
      <c r="M254" t="inlineStr">
        <is>
          <t>S2</t>
        </is>
      </c>
      <c r="N254" s="15" t="n">
        <v>0.9999580662844634</v>
      </c>
      <c r="O254" s="15" t="n">
        <v>4.193371553640052e-05</v>
      </c>
      <c r="P254">
        <f>IF(M254="","",IF(M254=E254,1,0))</f>
        <v/>
      </c>
      <c r="Q254">
        <f>IF(K254="OK","-",IF(N254&lt;$B$7,"AMBIGUOUS","CONFIDENT"))</f>
        <v/>
      </c>
    </row>
    <row r="255">
      <c r="A255">
        <f>'Runs Z score'!A247</f>
        <v/>
      </c>
      <c r="B255">
        <f>'Runs Z score'!B247</f>
        <v/>
      </c>
      <c r="C255">
        <f>'Runs Z score'!C247</f>
        <v/>
      </c>
      <c r="D255">
        <f>'Runs Z score'!D247</f>
        <v/>
      </c>
      <c r="E255">
        <f>'Runs Z score'!E247</f>
        <v/>
      </c>
      <c r="F255">
        <f>'Runs Z score'!F247</f>
        <v/>
      </c>
      <c r="G255">
        <f>'Runs Z score'!G247</f>
        <v/>
      </c>
      <c r="H255">
        <f>VLOOKUP(C255,Recipes!$A$2:$N$4,10,FALSE())</f>
        <v/>
      </c>
      <c r="I255">
        <f>VLOOKUP(C255,Recipes!$A$2:$N$4,12,FALSE())</f>
        <v/>
      </c>
      <c r="J255">
        <f>IF(G255="","",H255-G255)</f>
        <v/>
      </c>
      <c r="K255">
        <f>IF(G255="","",IF(ABS(G255-H255)&lt;=$B$6*I255,"OK","NG"))</f>
        <v/>
      </c>
      <c r="L255">
        <f>IF(K255="","",IF(K255=D255,1,0))</f>
        <v/>
      </c>
      <c r="M255" t="inlineStr">
        <is>
          <t>S2</t>
        </is>
      </c>
      <c r="N255" s="15" t="n">
        <v>0.9999823820617856</v>
      </c>
      <c r="O255" s="15" t="n">
        <v>1.761793821445894e-05</v>
      </c>
      <c r="P255">
        <f>IF(M255="","",IF(M255=E255,1,0))</f>
        <v/>
      </c>
      <c r="Q255">
        <f>IF(K255="OK","-",IF(N255&lt;$B$7,"AMBIGUOUS","CONFIDENT"))</f>
        <v/>
      </c>
    </row>
    <row r="256">
      <c r="A256">
        <f>'Runs Z score'!A248</f>
        <v/>
      </c>
      <c r="B256">
        <f>'Runs Z score'!B248</f>
        <v/>
      </c>
      <c r="C256">
        <f>'Runs Z score'!C248</f>
        <v/>
      </c>
      <c r="D256">
        <f>'Runs Z score'!D248</f>
        <v/>
      </c>
      <c r="E256">
        <f>'Runs Z score'!E248</f>
        <v/>
      </c>
      <c r="F256">
        <f>'Runs Z score'!F248</f>
        <v/>
      </c>
      <c r="G256">
        <f>'Runs Z score'!G248</f>
        <v/>
      </c>
      <c r="H256">
        <f>VLOOKUP(C256,Recipes!$A$2:$N$4,10,FALSE())</f>
        <v/>
      </c>
      <c r="I256">
        <f>VLOOKUP(C256,Recipes!$A$2:$N$4,12,FALSE())</f>
        <v/>
      </c>
      <c r="J256">
        <f>IF(G256="","",H256-G256)</f>
        <v/>
      </c>
      <c r="K256">
        <f>IF(G256="","",IF(ABS(G256-H256)&lt;=$B$6*I256,"OK","NG"))</f>
        <v/>
      </c>
      <c r="L256">
        <f>IF(K256="","",IF(K256=D256,1,0))</f>
        <v/>
      </c>
      <c r="M256" t="inlineStr">
        <is>
          <t>S2</t>
        </is>
      </c>
      <c r="N256" s="15" t="n">
        <v>0.999903357720248</v>
      </c>
      <c r="O256" s="15" t="n">
        <v>9.664227974901664e-05</v>
      </c>
      <c r="P256">
        <f>IF(M256="","",IF(M256=E256,1,0))</f>
        <v/>
      </c>
      <c r="Q256">
        <f>IF(K256="OK","-",IF(N256&lt;$B$7,"AMBIGUOUS","CONFIDENT"))</f>
        <v/>
      </c>
    </row>
    <row r="257">
      <c r="A257">
        <f>'Runs Z score'!A249</f>
        <v/>
      </c>
      <c r="B257">
        <f>'Runs Z score'!B249</f>
        <v/>
      </c>
      <c r="C257">
        <f>'Runs Z score'!C249</f>
        <v/>
      </c>
      <c r="D257">
        <f>'Runs Z score'!D249</f>
        <v/>
      </c>
      <c r="E257">
        <f>'Runs Z score'!E249</f>
        <v/>
      </c>
      <c r="F257">
        <f>'Runs Z score'!F249</f>
        <v/>
      </c>
      <c r="G257">
        <f>'Runs Z score'!G249</f>
        <v/>
      </c>
      <c r="H257">
        <f>VLOOKUP(C257,Recipes!$A$2:$N$4,10,FALSE())</f>
        <v/>
      </c>
      <c r="I257">
        <f>VLOOKUP(C257,Recipes!$A$2:$N$4,12,FALSE())</f>
        <v/>
      </c>
      <c r="J257">
        <f>IF(G257="","",H257-G257)</f>
        <v/>
      </c>
      <c r="K257">
        <f>IF(G257="","",IF(ABS(G257-H257)&lt;=$B$6*I257,"OK","NG"))</f>
        <v/>
      </c>
      <c r="L257">
        <f>IF(K257="","",IF(K257=D257,1,0))</f>
        <v/>
      </c>
      <c r="M257" t="inlineStr">
        <is>
          <t>S2</t>
        </is>
      </c>
      <c r="N257" s="15" t="n">
        <v>0.999977184972544</v>
      </c>
      <c r="O257" s="15" t="n">
        <v>2.281502745584117e-05</v>
      </c>
      <c r="P257">
        <f>IF(M257="","",IF(M257=E257,1,0))</f>
        <v/>
      </c>
      <c r="Q257">
        <f>IF(K257="OK","-",IF(N257&lt;$B$7,"AMBIGUOUS","CONFIDENT"))</f>
        <v/>
      </c>
    </row>
    <row r="258">
      <c r="A258">
        <f>'Runs Z score'!A250</f>
        <v/>
      </c>
      <c r="B258">
        <f>'Runs Z score'!B250</f>
        <v/>
      </c>
      <c r="C258">
        <f>'Runs Z score'!C250</f>
        <v/>
      </c>
      <c r="D258">
        <f>'Runs Z score'!D250</f>
        <v/>
      </c>
      <c r="E258">
        <f>'Runs Z score'!E250</f>
        <v/>
      </c>
      <c r="F258">
        <f>'Runs Z score'!F250</f>
        <v/>
      </c>
      <c r="G258">
        <f>'Runs Z score'!G250</f>
        <v/>
      </c>
      <c r="H258">
        <f>VLOOKUP(C258,Recipes!$A$2:$N$4,10,FALSE())</f>
        <v/>
      </c>
      <c r="I258">
        <f>VLOOKUP(C258,Recipes!$A$2:$N$4,12,FALSE())</f>
        <v/>
      </c>
      <c r="J258">
        <f>IF(G258="","",H258-G258)</f>
        <v/>
      </c>
      <c r="K258">
        <f>IF(G258="","",IF(ABS(G258-H258)&lt;=$B$6*I258,"OK","NG"))</f>
        <v/>
      </c>
      <c r="L258">
        <f>IF(K258="","",IF(K258=D258,1,0))</f>
        <v/>
      </c>
      <c r="M258" t="inlineStr">
        <is>
          <t>S2</t>
        </is>
      </c>
      <c r="N258" s="15" t="n">
        <v>0.9999851043539512</v>
      </c>
      <c r="O258" s="15" t="n">
        <v>1.489564604876828e-05</v>
      </c>
      <c r="P258">
        <f>IF(M258="","",IF(M258=E258,1,0))</f>
        <v/>
      </c>
      <c r="Q258">
        <f>IF(K258="OK","-",IF(N258&lt;$B$7,"AMBIGUOUS","CONFIDENT"))</f>
        <v/>
      </c>
    </row>
    <row r="259">
      <c r="A259">
        <f>'Runs Z score'!A251</f>
        <v/>
      </c>
      <c r="B259">
        <f>'Runs Z score'!B251</f>
        <v/>
      </c>
      <c r="C259">
        <f>'Runs Z score'!C251</f>
        <v/>
      </c>
      <c r="D259">
        <f>'Runs Z score'!D251</f>
        <v/>
      </c>
      <c r="E259">
        <f>'Runs Z score'!E251</f>
        <v/>
      </c>
      <c r="F259">
        <f>'Runs Z score'!F251</f>
        <v/>
      </c>
      <c r="G259">
        <f>'Runs Z score'!G251</f>
        <v/>
      </c>
      <c r="H259">
        <f>VLOOKUP(C259,Recipes!$A$2:$N$4,10,FALSE())</f>
        <v/>
      </c>
      <c r="I259">
        <f>VLOOKUP(C259,Recipes!$A$2:$N$4,12,FALSE())</f>
        <v/>
      </c>
      <c r="J259">
        <f>IF(G259="","",H259-G259)</f>
        <v/>
      </c>
      <c r="K259">
        <f>IF(G259="","",IF(ABS(G259-H259)&lt;=$B$6*I259,"OK","NG"))</f>
        <v/>
      </c>
      <c r="L259">
        <f>IF(K259="","",IF(K259=D259,1,0))</f>
        <v/>
      </c>
      <c r="M259" t="inlineStr">
        <is>
          <t>S2</t>
        </is>
      </c>
      <c r="N259" s="15" t="n">
        <v>0.9998419475280048</v>
      </c>
      <c r="O259" s="15" t="n">
        <v>0.0001580524719885</v>
      </c>
      <c r="P259">
        <f>IF(M259="","",IF(M259=E259,1,0))</f>
        <v/>
      </c>
      <c r="Q259">
        <f>IF(K259="OK","-",IF(N259&lt;$B$7,"AMBIGUOUS","CONFIDENT"))</f>
        <v/>
      </c>
    </row>
    <row r="260">
      <c r="A260">
        <f>'Runs Z score'!A252</f>
        <v/>
      </c>
      <c r="B260">
        <f>'Runs Z score'!B252</f>
        <v/>
      </c>
      <c r="C260">
        <f>'Runs Z score'!C252</f>
        <v/>
      </c>
      <c r="D260">
        <f>'Runs Z score'!D252</f>
        <v/>
      </c>
      <c r="E260">
        <f>'Runs Z score'!E252</f>
        <v/>
      </c>
      <c r="F260">
        <f>'Runs Z score'!F252</f>
        <v/>
      </c>
      <c r="G260">
        <f>'Runs Z score'!G252</f>
        <v/>
      </c>
      <c r="H260">
        <f>VLOOKUP(C260,Recipes!$A$2:$N$4,10,FALSE())</f>
        <v/>
      </c>
      <c r="I260">
        <f>VLOOKUP(C260,Recipes!$A$2:$N$4,12,FALSE())</f>
        <v/>
      </c>
      <c r="J260">
        <f>IF(G260="","",H260-G260)</f>
        <v/>
      </c>
      <c r="K260">
        <f>IF(G260="","",IF(ABS(G260-H260)&lt;=$B$6*I260,"OK","NG"))</f>
        <v/>
      </c>
      <c r="L260">
        <f>IF(K260="","",IF(K260=D260,1,0))</f>
        <v/>
      </c>
      <c r="M260" t="inlineStr">
        <is>
          <t>S2</t>
        </is>
      </c>
      <c r="N260" s="15" t="n">
        <v>0.999978458813088</v>
      </c>
      <c r="O260" s="15" t="n">
        <v>2.154118691199076e-05</v>
      </c>
      <c r="P260">
        <f>IF(M260="","",IF(M260=E260,1,0))</f>
        <v/>
      </c>
      <c r="Q260">
        <f>IF(K260="OK","-",IF(N260&lt;$B$7,"AMBIGUOUS","CONFIDENT"))</f>
        <v/>
      </c>
    </row>
    <row r="261">
      <c r="A261">
        <f>'Runs Z score'!A253</f>
        <v/>
      </c>
      <c r="B261">
        <f>'Runs Z score'!B253</f>
        <v/>
      </c>
      <c r="C261">
        <f>'Runs Z score'!C253</f>
        <v/>
      </c>
      <c r="D261">
        <f>'Runs Z score'!D253</f>
        <v/>
      </c>
      <c r="E261">
        <f>'Runs Z score'!E253</f>
        <v/>
      </c>
      <c r="F261">
        <f>'Runs Z score'!F253</f>
        <v/>
      </c>
      <c r="G261">
        <f>'Runs Z score'!G253</f>
        <v/>
      </c>
      <c r="H261">
        <f>VLOOKUP(C261,Recipes!$A$2:$N$4,10,FALSE())</f>
        <v/>
      </c>
      <c r="I261">
        <f>VLOOKUP(C261,Recipes!$A$2:$N$4,12,FALSE())</f>
        <v/>
      </c>
      <c r="J261">
        <f>IF(G261="","",H261-G261)</f>
        <v/>
      </c>
      <c r="K261">
        <f>IF(G261="","",IF(ABS(G261-H261)&lt;=$B$6*I261,"OK","NG"))</f>
        <v/>
      </c>
      <c r="L261">
        <f>IF(K261="","",IF(K261=D261,1,0))</f>
        <v/>
      </c>
      <c r="M261" t="inlineStr">
        <is>
          <t>S2</t>
        </is>
      </c>
      <c r="N261" s="15" t="n">
        <v>0.9999916812403036</v>
      </c>
      <c r="O261" s="15" t="n">
        <v>8.318759696202112e-06</v>
      </c>
      <c r="P261">
        <f>IF(M261="","",IF(M261=E261,1,0))</f>
        <v/>
      </c>
      <c r="Q261">
        <f>IF(K261="OK","-",IF(N261&lt;$B$7,"AMBIGUOUS","CONFIDENT"))</f>
        <v/>
      </c>
    </row>
    <row r="262">
      <c r="A262">
        <f>'Runs Z score'!A254</f>
        <v/>
      </c>
      <c r="B262">
        <f>'Runs Z score'!B254</f>
        <v/>
      </c>
      <c r="C262">
        <f>'Runs Z score'!C254</f>
        <v/>
      </c>
      <c r="D262">
        <f>'Runs Z score'!D254</f>
        <v/>
      </c>
      <c r="E262">
        <f>'Runs Z score'!E254</f>
        <v/>
      </c>
      <c r="F262">
        <f>'Runs Z score'!F254</f>
        <v/>
      </c>
      <c r="G262">
        <f>'Runs Z score'!G254</f>
        <v/>
      </c>
      <c r="H262">
        <f>VLOOKUP(C262,Recipes!$A$2:$N$4,10,FALSE())</f>
        <v/>
      </c>
      <c r="I262">
        <f>VLOOKUP(C262,Recipes!$A$2:$N$4,12,FALSE())</f>
        <v/>
      </c>
      <c r="J262">
        <f>IF(G262="","",H262-G262)</f>
        <v/>
      </c>
      <c r="K262">
        <f>IF(G262="","",IF(ABS(G262-H262)&lt;=$B$6*I262,"OK","NG"))</f>
        <v/>
      </c>
      <c r="L262">
        <f>IF(K262="","",IF(K262=D262,1,0))</f>
        <v/>
      </c>
      <c r="M262" t="inlineStr">
        <is>
          <t>S2</t>
        </is>
      </c>
      <c r="N262" s="15" t="n">
        <v>0.9999829586941842</v>
      </c>
      <c r="O262" s="15" t="n">
        <v>1.70413058157773e-05</v>
      </c>
      <c r="P262">
        <f>IF(M262="","",IF(M262=E262,1,0))</f>
        <v/>
      </c>
      <c r="Q262">
        <f>IF(K262="OK","-",IF(N262&lt;$B$7,"AMBIGUOUS","CONFIDENT"))</f>
        <v/>
      </c>
    </row>
    <row r="263">
      <c r="A263">
        <f>'Runs Z score'!A255</f>
        <v/>
      </c>
      <c r="B263">
        <f>'Runs Z score'!B255</f>
        <v/>
      </c>
      <c r="C263">
        <f>'Runs Z score'!C255</f>
        <v/>
      </c>
      <c r="D263">
        <f>'Runs Z score'!D255</f>
        <v/>
      </c>
      <c r="E263">
        <f>'Runs Z score'!E255</f>
        <v/>
      </c>
      <c r="F263">
        <f>'Runs Z score'!F255</f>
        <v/>
      </c>
      <c r="G263">
        <f>'Runs Z score'!G255</f>
        <v/>
      </c>
      <c r="H263">
        <f>VLOOKUP(C263,Recipes!$A$2:$N$4,10,FALSE())</f>
        <v/>
      </c>
      <c r="I263">
        <f>VLOOKUP(C263,Recipes!$A$2:$N$4,12,FALSE())</f>
        <v/>
      </c>
      <c r="J263">
        <f>IF(G263="","",H263-G263)</f>
        <v/>
      </c>
      <c r="K263">
        <f>IF(G263="","",IF(ABS(G263-H263)&lt;=$B$6*I263,"OK","NG"))</f>
        <v/>
      </c>
      <c r="L263">
        <f>IF(K263="","",IF(K263=D263,1,0))</f>
        <v/>
      </c>
      <c r="M263" t="inlineStr">
        <is>
          <t>S2</t>
        </is>
      </c>
      <c r="N263" s="15" t="n">
        <v>0.9999179736762608</v>
      </c>
      <c r="O263" s="15" t="n">
        <v>8.202632373693906e-05</v>
      </c>
      <c r="P263">
        <f>IF(M263="","",IF(M263=E263,1,0))</f>
        <v/>
      </c>
      <c r="Q263">
        <f>IF(K263="OK","-",IF(N263&lt;$B$7,"AMBIGUOUS","CONFIDENT"))</f>
        <v/>
      </c>
    </row>
    <row r="264">
      <c r="A264">
        <f>'Runs Z score'!A256</f>
        <v/>
      </c>
      <c r="B264">
        <f>'Runs Z score'!B256</f>
        <v/>
      </c>
      <c r="C264">
        <f>'Runs Z score'!C256</f>
        <v/>
      </c>
      <c r="D264">
        <f>'Runs Z score'!D256</f>
        <v/>
      </c>
      <c r="E264">
        <f>'Runs Z score'!E256</f>
        <v/>
      </c>
      <c r="F264">
        <f>'Runs Z score'!F256</f>
        <v/>
      </c>
      <c r="G264">
        <f>'Runs Z score'!G256</f>
        <v/>
      </c>
      <c r="H264">
        <f>VLOOKUP(C264,Recipes!$A$2:$N$4,10,FALSE())</f>
        <v/>
      </c>
      <c r="I264">
        <f>VLOOKUP(C264,Recipes!$A$2:$N$4,12,FALSE())</f>
        <v/>
      </c>
      <c r="J264">
        <f>IF(G264="","",H264-G264)</f>
        <v/>
      </c>
      <c r="K264">
        <f>IF(G264="","",IF(ABS(G264-H264)&lt;=$B$6*I264,"OK","NG"))</f>
        <v/>
      </c>
      <c r="L264">
        <f>IF(K264="","",IF(K264=D264,1,0))</f>
        <v/>
      </c>
      <c r="M264" t="inlineStr">
        <is>
          <t>S2</t>
        </is>
      </c>
      <c r="N264" s="15" t="n">
        <v>0.9999680641669256</v>
      </c>
      <c r="O264" s="15" t="n">
        <v>3.193583307435859e-05</v>
      </c>
      <c r="P264">
        <f>IF(M264="","",IF(M264=E264,1,0))</f>
        <v/>
      </c>
      <c r="Q264">
        <f>IF(K264="OK","-",IF(N264&lt;$B$7,"AMBIGUOUS","CONFIDENT"))</f>
        <v/>
      </c>
    </row>
    <row r="265">
      <c r="A265">
        <f>'Runs Z score'!A257</f>
        <v/>
      </c>
      <c r="B265">
        <f>'Runs Z score'!B257</f>
        <v/>
      </c>
      <c r="C265">
        <f>'Runs Z score'!C257</f>
        <v/>
      </c>
      <c r="D265">
        <f>'Runs Z score'!D257</f>
        <v/>
      </c>
      <c r="E265">
        <f>'Runs Z score'!E257</f>
        <v/>
      </c>
      <c r="F265">
        <f>'Runs Z score'!F257</f>
        <v/>
      </c>
      <c r="G265">
        <f>'Runs Z score'!G257</f>
        <v/>
      </c>
      <c r="H265">
        <f>VLOOKUP(C265,Recipes!$A$2:$N$4,10,FALSE())</f>
        <v/>
      </c>
      <c r="I265">
        <f>VLOOKUP(C265,Recipes!$A$2:$N$4,12,FALSE())</f>
        <v/>
      </c>
      <c r="J265">
        <f>IF(G265="","",H265-G265)</f>
        <v/>
      </c>
      <c r="K265">
        <f>IF(G265="","",IF(ABS(G265-H265)&lt;=$B$6*I265,"OK","NG"))</f>
        <v/>
      </c>
      <c r="L265">
        <f>IF(K265="","",IF(K265=D265,1,0))</f>
        <v/>
      </c>
      <c r="M265" t="inlineStr">
        <is>
          <t>S2</t>
        </is>
      </c>
      <c r="N265" s="15" t="n">
        <v>0.9999798348915538</v>
      </c>
      <c r="O265" s="15" t="n">
        <v>2.016510844623279e-05</v>
      </c>
      <c r="P265">
        <f>IF(M265="","",IF(M265=E265,1,0))</f>
        <v/>
      </c>
      <c r="Q265">
        <f>IF(K265="OK","-",IF(N265&lt;$B$7,"AMBIGUOUS","CONFIDENT"))</f>
        <v/>
      </c>
    </row>
    <row r="266">
      <c r="A266">
        <f>'Runs Z score'!A258</f>
        <v/>
      </c>
      <c r="B266">
        <f>'Runs Z score'!B258</f>
        <v/>
      </c>
      <c r="C266">
        <f>'Runs Z score'!C258</f>
        <v/>
      </c>
      <c r="D266">
        <f>'Runs Z score'!D258</f>
        <v/>
      </c>
      <c r="E266">
        <f>'Runs Z score'!E258</f>
        <v/>
      </c>
      <c r="F266">
        <f>'Runs Z score'!F258</f>
        <v/>
      </c>
      <c r="G266">
        <f>'Runs Z score'!G258</f>
        <v/>
      </c>
      <c r="H266">
        <f>VLOOKUP(C266,Recipes!$A$2:$N$4,10,FALSE())</f>
        <v/>
      </c>
      <c r="I266">
        <f>VLOOKUP(C266,Recipes!$A$2:$N$4,12,FALSE())</f>
        <v/>
      </c>
      <c r="J266">
        <f>IF(G266="","",H266-G266)</f>
        <v/>
      </c>
      <c r="K266">
        <f>IF(G266="","",IF(ABS(G266-H266)&lt;=$B$6*I266,"OK","NG"))</f>
        <v/>
      </c>
      <c r="L266">
        <f>IF(K266="","",IF(K266=D266,1,0))</f>
        <v/>
      </c>
      <c r="M266" t="inlineStr">
        <is>
          <t>S2</t>
        </is>
      </c>
      <c r="N266" s="15" t="n">
        <v>0.999983700751238</v>
      </c>
      <c r="O266" s="15" t="n">
        <v>1.629924876178974e-05</v>
      </c>
      <c r="P266">
        <f>IF(M266="","",IF(M266=E266,1,0))</f>
        <v/>
      </c>
      <c r="Q266">
        <f>IF(K266="OK","-",IF(N266&lt;$B$7,"AMBIGUOUS","CONFIDENT"))</f>
        <v/>
      </c>
    </row>
    <row r="267">
      <c r="A267">
        <f>'Runs Z score'!A259</f>
        <v/>
      </c>
      <c r="B267">
        <f>'Runs Z score'!B259</f>
        <v/>
      </c>
      <c r="C267">
        <f>'Runs Z score'!C259</f>
        <v/>
      </c>
      <c r="D267">
        <f>'Runs Z score'!D259</f>
        <v/>
      </c>
      <c r="E267">
        <f>'Runs Z score'!E259</f>
        <v/>
      </c>
      <c r="F267">
        <f>'Runs Z score'!F259</f>
        <v/>
      </c>
      <c r="G267">
        <f>'Runs Z score'!G259</f>
        <v/>
      </c>
      <c r="H267">
        <f>VLOOKUP(C267,Recipes!$A$2:$N$4,10,FALSE())</f>
        <v/>
      </c>
      <c r="I267">
        <f>VLOOKUP(C267,Recipes!$A$2:$N$4,12,FALSE())</f>
        <v/>
      </c>
      <c r="J267">
        <f>IF(G267="","",H267-G267)</f>
        <v/>
      </c>
      <c r="K267">
        <f>IF(G267="","",IF(ABS(G267-H267)&lt;=$B$6*I267,"OK","NG"))</f>
        <v/>
      </c>
      <c r="L267">
        <f>IF(K267="","",IF(K267=D267,1,0))</f>
        <v/>
      </c>
      <c r="M267" t="inlineStr">
        <is>
          <t>S2</t>
        </is>
      </c>
      <c r="N267" s="15" t="n">
        <v>0.999966588427507</v>
      </c>
      <c r="O267" s="15" t="n">
        <v>3.341157249297063e-05</v>
      </c>
      <c r="P267">
        <f>IF(M267="","",IF(M267=E267,1,0))</f>
        <v/>
      </c>
      <c r="Q267">
        <f>IF(K267="OK","-",IF(N267&lt;$B$7,"AMBIGUOUS","CONFIDENT"))</f>
        <v/>
      </c>
    </row>
    <row r="268">
      <c r="A268">
        <f>'Runs Z score'!A260</f>
        <v/>
      </c>
      <c r="B268">
        <f>'Runs Z score'!B260</f>
        <v/>
      </c>
      <c r="C268">
        <f>'Runs Z score'!C260</f>
        <v/>
      </c>
      <c r="D268">
        <f>'Runs Z score'!D260</f>
        <v/>
      </c>
      <c r="E268">
        <f>'Runs Z score'!E260</f>
        <v/>
      </c>
      <c r="F268">
        <f>'Runs Z score'!F260</f>
        <v/>
      </c>
      <c r="G268">
        <f>'Runs Z score'!G260</f>
        <v/>
      </c>
      <c r="H268">
        <f>VLOOKUP(C268,Recipes!$A$2:$N$4,10,FALSE())</f>
        <v/>
      </c>
      <c r="I268">
        <f>VLOOKUP(C268,Recipes!$A$2:$N$4,12,FALSE())</f>
        <v/>
      </c>
      <c r="J268">
        <f>IF(G268="","",H268-G268)</f>
        <v/>
      </c>
      <c r="K268">
        <f>IF(G268="","",IF(ABS(G268-H268)&lt;=$B$6*I268,"OK","NG"))</f>
        <v/>
      </c>
      <c r="L268">
        <f>IF(K268="","",IF(K268=D268,1,0))</f>
        <v/>
      </c>
      <c r="M268" t="inlineStr">
        <is>
          <t>S2</t>
        </is>
      </c>
      <c r="N268" s="15" t="n">
        <v>0.9999994355674556</v>
      </c>
      <c r="O268" s="15" t="n">
        <v>5.644325446213313e-07</v>
      </c>
      <c r="P268">
        <f>IF(M268="","",IF(M268=E268,1,0))</f>
        <v/>
      </c>
      <c r="Q268">
        <f>IF(K268="OK","-",IF(N268&lt;$B$7,"AMBIGUOUS","CONFIDENT"))</f>
        <v/>
      </c>
    </row>
    <row r="269">
      <c r="A269">
        <f>'Runs Z score'!A261</f>
        <v/>
      </c>
      <c r="B269">
        <f>'Runs Z score'!B261</f>
        <v/>
      </c>
      <c r="C269">
        <f>'Runs Z score'!C261</f>
        <v/>
      </c>
      <c r="D269">
        <f>'Runs Z score'!D261</f>
        <v/>
      </c>
      <c r="E269">
        <f>'Runs Z score'!E261</f>
        <v/>
      </c>
      <c r="F269">
        <f>'Runs Z score'!F261</f>
        <v/>
      </c>
      <c r="G269">
        <f>'Runs Z score'!G261</f>
        <v/>
      </c>
      <c r="H269">
        <f>VLOOKUP(C269,Recipes!$A$2:$N$4,10,FALSE())</f>
        <v/>
      </c>
      <c r="I269">
        <f>VLOOKUP(C269,Recipes!$A$2:$N$4,12,FALSE())</f>
        <v/>
      </c>
      <c r="J269">
        <f>IF(G269="","",H269-G269)</f>
        <v/>
      </c>
      <c r="K269">
        <f>IF(G269="","",IF(ABS(G269-H269)&lt;=$B$6*I269,"OK","NG"))</f>
        <v/>
      </c>
      <c r="L269">
        <f>IF(K269="","",IF(K269=D269,1,0))</f>
        <v/>
      </c>
      <c r="M269" t="inlineStr">
        <is>
          <t>S2</t>
        </is>
      </c>
      <c r="N269" s="15" t="n">
        <v>0.999984560735396</v>
      </c>
      <c r="O269" s="15" t="n">
        <v>1.543926460399844e-05</v>
      </c>
      <c r="P269">
        <f>IF(M269="","",IF(M269=E269,1,0))</f>
        <v/>
      </c>
      <c r="Q269">
        <f>IF(K269="OK","-",IF(N269&lt;$B$7,"AMBIGUOUS","CONFIDENT"))</f>
        <v/>
      </c>
    </row>
    <row r="270">
      <c r="A270">
        <f>'Runs Z score'!A262</f>
        <v/>
      </c>
      <c r="B270">
        <f>'Runs Z score'!B262</f>
        <v/>
      </c>
      <c r="C270">
        <f>'Runs Z score'!C262</f>
        <v/>
      </c>
      <c r="D270">
        <f>'Runs Z score'!D262</f>
        <v/>
      </c>
      <c r="E270">
        <f>'Runs Z score'!E262</f>
        <v/>
      </c>
      <c r="F270">
        <f>'Runs Z score'!F262</f>
        <v/>
      </c>
      <c r="G270">
        <f>'Runs Z score'!G262</f>
        <v/>
      </c>
      <c r="H270">
        <f>VLOOKUP(C270,Recipes!$A$2:$N$4,10,FALSE())</f>
        <v/>
      </c>
      <c r="I270">
        <f>VLOOKUP(C270,Recipes!$A$2:$N$4,12,FALSE())</f>
        <v/>
      </c>
      <c r="J270">
        <f>IF(G270="","",H270-G270)</f>
        <v/>
      </c>
      <c r="K270">
        <f>IF(G270="","",IF(ABS(G270-H270)&lt;=$B$6*I270,"OK","NG"))</f>
        <v/>
      </c>
      <c r="L270">
        <f>IF(K270="","",IF(K270=D270,1,0))</f>
        <v/>
      </c>
      <c r="M270" t="inlineStr">
        <is>
          <t>S2</t>
        </is>
      </c>
      <c r="N270" s="15" t="n">
        <v>0.9999977388951172</v>
      </c>
      <c r="O270" s="15" t="n">
        <v>2.261104882687794e-06</v>
      </c>
      <c r="P270">
        <f>IF(M270="","",IF(M270=E270,1,0))</f>
        <v/>
      </c>
      <c r="Q270">
        <f>IF(K270="OK","-",IF(N270&lt;$B$7,"AMBIGUOUS","CONFIDENT"))</f>
        <v/>
      </c>
    </row>
    <row r="271">
      <c r="A271">
        <f>'Runs Z score'!A263</f>
        <v/>
      </c>
      <c r="B271">
        <f>'Runs Z score'!B263</f>
        <v/>
      </c>
      <c r="C271">
        <f>'Runs Z score'!C263</f>
        <v/>
      </c>
      <c r="D271">
        <f>'Runs Z score'!D263</f>
        <v/>
      </c>
      <c r="E271">
        <f>'Runs Z score'!E263</f>
        <v/>
      </c>
      <c r="F271">
        <f>'Runs Z score'!F263</f>
        <v/>
      </c>
      <c r="G271">
        <f>'Runs Z score'!G263</f>
        <v/>
      </c>
      <c r="H271">
        <f>VLOOKUP(C271,Recipes!$A$2:$N$4,10,FALSE())</f>
        <v/>
      </c>
      <c r="I271">
        <f>VLOOKUP(C271,Recipes!$A$2:$N$4,12,FALSE())</f>
        <v/>
      </c>
      <c r="J271">
        <f>IF(G271="","",H271-G271)</f>
        <v/>
      </c>
      <c r="K271">
        <f>IF(G271="","",IF(ABS(G271-H271)&lt;=$B$6*I271,"OK","NG"))</f>
        <v/>
      </c>
      <c r="L271">
        <f>IF(K271="","",IF(K271=D271,1,0))</f>
        <v/>
      </c>
      <c r="M271" t="inlineStr">
        <is>
          <t>S2</t>
        </is>
      </c>
      <c r="N271" s="15" t="n">
        <v>0.9999409088182096</v>
      </c>
      <c r="O271" s="15" t="n">
        <v>5.909118178917443e-05</v>
      </c>
      <c r="P271">
        <f>IF(M271="","",IF(M271=E271,1,0))</f>
        <v/>
      </c>
      <c r="Q271">
        <f>IF(K271="OK","-",IF(N271&lt;$B$7,"AMBIGUOUS","CONFIDENT"))</f>
        <v/>
      </c>
    </row>
    <row r="272">
      <c r="A272">
        <f>'Runs Z score'!A264</f>
        <v/>
      </c>
      <c r="B272">
        <f>'Runs Z score'!B264</f>
        <v/>
      </c>
      <c r="C272">
        <f>'Runs Z score'!C264</f>
        <v/>
      </c>
      <c r="D272">
        <f>'Runs Z score'!D264</f>
        <v/>
      </c>
      <c r="E272">
        <f>'Runs Z score'!E264</f>
        <v/>
      </c>
      <c r="F272">
        <f>'Runs Z score'!F264</f>
        <v/>
      </c>
      <c r="G272">
        <f>'Runs Z score'!G264</f>
        <v/>
      </c>
      <c r="H272">
        <f>VLOOKUP(C272,Recipes!$A$2:$N$4,10,FALSE())</f>
        <v/>
      </c>
      <c r="I272">
        <f>VLOOKUP(C272,Recipes!$A$2:$N$4,12,FALSE())</f>
        <v/>
      </c>
      <c r="J272">
        <f>IF(G272="","",H272-G272)</f>
        <v/>
      </c>
      <c r="K272">
        <f>IF(G272="","",IF(ABS(G272-H272)&lt;=$B$6*I272,"OK","NG"))</f>
        <v/>
      </c>
      <c r="L272">
        <f>IF(K272="","",IF(K272=D272,1,0))</f>
        <v/>
      </c>
      <c r="M272" t="inlineStr">
        <is>
          <t>S2</t>
        </is>
      </c>
      <c r="N272" s="15" t="n">
        <v>0.9999929687746144</v>
      </c>
      <c r="O272" s="15" t="n">
        <v>7.031225385705921e-06</v>
      </c>
      <c r="P272">
        <f>IF(M272="","",IF(M272=E272,1,0))</f>
        <v/>
      </c>
      <c r="Q272">
        <f>IF(K272="OK","-",IF(N272&lt;$B$7,"AMBIGUOUS","CONFIDENT"))</f>
        <v/>
      </c>
    </row>
    <row r="273">
      <c r="A273">
        <f>'Runs Z score'!A265</f>
        <v/>
      </c>
      <c r="B273">
        <f>'Runs Z score'!B265</f>
        <v/>
      </c>
      <c r="C273">
        <f>'Runs Z score'!C265</f>
        <v/>
      </c>
      <c r="D273">
        <f>'Runs Z score'!D265</f>
        <v/>
      </c>
      <c r="E273">
        <f>'Runs Z score'!E265</f>
        <v/>
      </c>
      <c r="F273">
        <f>'Runs Z score'!F265</f>
        <v/>
      </c>
      <c r="G273">
        <f>'Runs Z score'!G265</f>
        <v/>
      </c>
      <c r="H273">
        <f>VLOOKUP(C273,Recipes!$A$2:$N$4,10,FALSE())</f>
        <v/>
      </c>
      <c r="I273">
        <f>VLOOKUP(C273,Recipes!$A$2:$N$4,12,FALSE())</f>
        <v/>
      </c>
      <c r="J273">
        <f>IF(G273="","",H273-G273)</f>
        <v/>
      </c>
      <c r="K273">
        <f>IF(G273="","",IF(ABS(G273-H273)&lt;=$B$6*I273,"OK","NG"))</f>
        <v/>
      </c>
      <c r="L273">
        <f>IF(K273="","",IF(K273=D273,1,0))</f>
        <v/>
      </c>
      <c r="M273" t="inlineStr">
        <is>
          <t>S2</t>
        </is>
      </c>
      <c r="N273" s="15" t="n">
        <v>0.9999840843349082</v>
      </c>
      <c r="O273" s="15" t="n">
        <v>1.591566509170885e-05</v>
      </c>
      <c r="P273">
        <f>IF(M273="","",IF(M273=E273,1,0))</f>
        <v/>
      </c>
      <c r="Q273">
        <f>IF(K273="OK","-",IF(N273&lt;$B$7,"AMBIGUOUS","CONFIDENT"))</f>
        <v/>
      </c>
    </row>
    <row r="274">
      <c r="A274">
        <f>'Runs Z score'!A266</f>
        <v/>
      </c>
      <c r="B274">
        <f>'Runs Z score'!B266</f>
        <v/>
      </c>
      <c r="C274">
        <f>'Runs Z score'!C266</f>
        <v/>
      </c>
      <c r="D274">
        <f>'Runs Z score'!D266</f>
        <v/>
      </c>
      <c r="E274">
        <f>'Runs Z score'!E266</f>
        <v/>
      </c>
      <c r="F274">
        <f>'Runs Z score'!F266</f>
        <v/>
      </c>
      <c r="G274">
        <f>'Runs Z score'!G266</f>
        <v/>
      </c>
      <c r="H274">
        <f>VLOOKUP(C274,Recipes!$A$2:$N$4,10,FALSE())</f>
        <v/>
      </c>
      <c r="I274">
        <f>VLOOKUP(C274,Recipes!$A$2:$N$4,12,FALSE())</f>
        <v/>
      </c>
      <c r="J274">
        <f>IF(G274="","",H274-G274)</f>
        <v/>
      </c>
      <c r="K274">
        <f>IF(G274="","",IF(ABS(G274-H274)&lt;=$B$6*I274,"OK","NG"))</f>
        <v/>
      </c>
      <c r="L274">
        <f>IF(K274="","",IF(K274=D274,1,0))</f>
        <v/>
      </c>
      <c r="M274" t="inlineStr">
        <is>
          <t>S2</t>
        </is>
      </c>
      <c r="N274" s="15" t="n">
        <v>0.9999962535735746</v>
      </c>
      <c r="O274" s="15" t="n">
        <v>3.746426425538321e-06</v>
      </c>
      <c r="P274">
        <f>IF(M274="","",IF(M274=E274,1,0))</f>
        <v/>
      </c>
      <c r="Q274">
        <f>IF(K274="OK","-",IF(N274&lt;$B$7,"AMBIGUOUS","CONFIDENT"))</f>
        <v/>
      </c>
    </row>
    <row r="275">
      <c r="A275">
        <f>'Runs Z score'!A267</f>
        <v/>
      </c>
      <c r="B275">
        <f>'Runs Z score'!B267</f>
        <v/>
      </c>
      <c r="C275">
        <f>'Runs Z score'!C267</f>
        <v/>
      </c>
      <c r="D275">
        <f>'Runs Z score'!D267</f>
        <v/>
      </c>
      <c r="E275">
        <f>'Runs Z score'!E267</f>
        <v/>
      </c>
      <c r="F275">
        <f>'Runs Z score'!F267</f>
        <v/>
      </c>
      <c r="G275">
        <f>'Runs Z score'!G267</f>
        <v/>
      </c>
      <c r="H275">
        <f>VLOOKUP(C275,Recipes!$A$2:$N$4,10,FALSE())</f>
        <v/>
      </c>
      <c r="I275">
        <f>VLOOKUP(C275,Recipes!$A$2:$N$4,12,FALSE())</f>
        <v/>
      </c>
      <c r="J275">
        <f>IF(G275="","",H275-G275)</f>
        <v/>
      </c>
      <c r="K275">
        <f>IF(G275="","",IF(ABS(G275-H275)&lt;=$B$6*I275,"OK","NG"))</f>
        <v/>
      </c>
      <c r="L275">
        <f>IF(K275="","",IF(K275=D275,1,0))</f>
        <v/>
      </c>
      <c r="M275" t="inlineStr">
        <is>
          <t>S2</t>
        </is>
      </c>
      <c r="N275" s="15" t="n">
        <v>0.999963868509235</v>
      </c>
      <c r="O275" s="15" t="n">
        <v>3.613149076443386e-05</v>
      </c>
      <c r="P275">
        <f>IF(M275="","",IF(M275=E275,1,0))</f>
        <v/>
      </c>
      <c r="Q275">
        <f>IF(K275="OK","-",IF(N275&lt;$B$7,"AMBIGUOUS","CONFIDENT"))</f>
        <v/>
      </c>
    </row>
    <row r="276">
      <c r="A276">
        <f>'Runs Z score'!A268</f>
        <v/>
      </c>
      <c r="B276">
        <f>'Runs Z score'!B268</f>
        <v/>
      </c>
      <c r="C276">
        <f>'Runs Z score'!C268</f>
        <v/>
      </c>
      <c r="D276">
        <f>'Runs Z score'!D268</f>
        <v/>
      </c>
      <c r="E276">
        <f>'Runs Z score'!E268</f>
        <v/>
      </c>
      <c r="F276">
        <f>'Runs Z score'!F268</f>
        <v/>
      </c>
      <c r="G276">
        <f>'Runs Z score'!G268</f>
        <v/>
      </c>
      <c r="H276">
        <f>VLOOKUP(C276,Recipes!$A$2:$N$4,10,FALSE())</f>
        <v/>
      </c>
      <c r="I276">
        <f>VLOOKUP(C276,Recipes!$A$2:$N$4,12,FALSE())</f>
        <v/>
      </c>
      <c r="J276">
        <f>IF(G276="","",H276-G276)</f>
        <v/>
      </c>
      <c r="K276">
        <f>IF(G276="","",IF(ABS(G276-H276)&lt;=$B$6*I276,"OK","NG"))</f>
        <v/>
      </c>
      <c r="L276">
        <f>IF(K276="","",IF(K276=D276,1,0))</f>
        <v/>
      </c>
      <c r="M276" t="inlineStr">
        <is>
          <t>S2</t>
        </is>
      </c>
      <c r="N276" s="15" t="n">
        <v>0.9999655221330148</v>
      </c>
      <c r="O276" s="15" t="n">
        <v>3.44778669850335e-05</v>
      </c>
      <c r="P276">
        <f>IF(M276="","",IF(M276=E276,1,0))</f>
        <v/>
      </c>
      <c r="Q276">
        <f>IF(K276="OK","-",IF(N276&lt;$B$7,"AMBIGUOUS","CONFIDENT"))</f>
        <v/>
      </c>
    </row>
    <row r="277">
      <c r="A277">
        <f>'Runs Z score'!A269</f>
        <v/>
      </c>
      <c r="B277">
        <f>'Runs Z score'!B269</f>
        <v/>
      </c>
      <c r="C277">
        <f>'Runs Z score'!C269</f>
        <v/>
      </c>
      <c r="D277">
        <f>'Runs Z score'!D269</f>
        <v/>
      </c>
      <c r="E277">
        <f>'Runs Z score'!E269</f>
        <v/>
      </c>
      <c r="F277">
        <f>'Runs Z score'!F269</f>
        <v/>
      </c>
      <c r="G277">
        <f>'Runs Z score'!G269</f>
        <v/>
      </c>
      <c r="H277">
        <f>VLOOKUP(C277,Recipes!$A$2:$N$4,10,FALSE())</f>
        <v/>
      </c>
      <c r="I277">
        <f>VLOOKUP(C277,Recipes!$A$2:$N$4,12,FALSE())</f>
        <v/>
      </c>
      <c r="J277">
        <f>IF(G277="","",H277-G277)</f>
        <v/>
      </c>
      <c r="K277">
        <f>IF(G277="","",IF(ABS(G277-H277)&lt;=$B$6*I277,"OK","NG"))</f>
        <v/>
      </c>
      <c r="L277">
        <f>IF(K277="","",IF(K277=D277,1,0))</f>
        <v/>
      </c>
      <c r="M277" t="inlineStr">
        <is>
          <t>S2</t>
        </is>
      </c>
      <c r="N277" s="15" t="n">
        <v>0.9999753540324676</v>
      </c>
      <c r="O277" s="15" t="n">
        <v>2.464596753242977e-05</v>
      </c>
      <c r="P277">
        <f>IF(M277="","",IF(M277=E277,1,0))</f>
        <v/>
      </c>
      <c r="Q277">
        <f>IF(K277="OK","-",IF(N277&lt;$B$7,"AMBIGUOUS","CONFIDENT"))</f>
        <v/>
      </c>
    </row>
    <row r="278">
      <c r="A278">
        <f>'Runs Z score'!A270</f>
        <v/>
      </c>
      <c r="B278">
        <f>'Runs Z score'!B270</f>
        <v/>
      </c>
      <c r="C278">
        <f>'Runs Z score'!C270</f>
        <v/>
      </c>
      <c r="D278">
        <f>'Runs Z score'!D270</f>
        <v/>
      </c>
      <c r="E278">
        <f>'Runs Z score'!E270</f>
        <v/>
      </c>
      <c r="F278">
        <f>'Runs Z score'!F270</f>
        <v/>
      </c>
      <c r="G278">
        <f>'Runs Z score'!G270</f>
        <v/>
      </c>
      <c r="H278">
        <f>VLOOKUP(C278,Recipes!$A$2:$N$4,10,FALSE())</f>
        <v/>
      </c>
      <c r="I278">
        <f>VLOOKUP(C278,Recipes!$A$2:$N$4,12,FALSE())</f>
        <v/>
      </c>
      <c r="J278">
        <f>IF(G278="","",H278-G278)</f>
        <v/>
      </c>
      <c r="K278">
        <f>IF(G278="","",IF(ABS(G278-H278)&lt;=$B$6*I278,"OK","NG"))</f>
        <v/>
      </c>
      <c r="L278">
        <f>IF(K278="","",IF(K278=D278,1,0))</f>
        <v/>
      </c>
      <c r="M278" t="inlineStr">
        <is>
          <t>S2</t>
        </is>
      </c>
      <c r="N278" s="15" t="n">
        <v>0.9999753540324676</v>
      </c>
      <c r="O278" s="15" t="n">
        <v>2.464596753242977e-05</v>
      </c>
      <c r="P278">
        <f>IF(M278="","",IF(M278=E278,1,0))</f>
        <v/>
      </c>
      <c r="Q278">
        <f>IF(K278="OK","-",IF(N278&lt;$B$7,"AMBIGUOUS","CONFIDENT"))</f>
        <v/>
      </c>
    </row>
    <row r="279">
      <c r="A279">
        <f>'Runs Z score'!A271</f>
        <v/>
      </c>
      <c r="B279">
        <f>'Runs Z score'!B271</f>
        <v/>
      </c>
      <c r="C279">
        <f>'Runs Z score'!C271</f>
        <v/>
      </c>
      <c r="D279">
        <f>'Runs Z score'!D271</f>
        <v/>
      </c>
      <c r="E279">
        <f>'Runs Z score'!E271</f>
        <v/>
      </c>
      <c r="F279">
        <f>'Runs Z score'!F271</f>
        <v/>
      </c>
      <c r="G279">
        <f>'Runs Z score'!G271</f>
        <v/>
      </c>
      <c r="H279">
        <f>VLOOKUP(C279,Recipes!$A$2:$N$4,10,FALSE())</f>
        <v/>
      </c>
      <c r="I279">
        <f>VLOOKUP(C279,Recipes!$A$2:$N$4,12,FALSE())</f>
        <v/>
      </c>
      <c r="J279">
        <f>IF(G279="","",H279-G279)</f>
        <v/>
      </c>
      <c r="K279">
        <f>IF(G279="","",IF(ABS(G279-H279)&lt;=$B$6*I279,"OK","NG"))</f>
        <v/>
      </c>
      <c r="L279">
        <f>IF(K279="","",IF(K279=D279,1,0))</f>
        <v/>
      </c>
      <c r="M279" t="inlineStr">
        <is>
          <t>S2</t>
        </is>
      </c>
      <c r="N279" s="15" t="n">
        <v>0.9999708498471264</v>
      </c>
      <c r="O279" s="15" t="n">
        <v>2.915015287351433e-05</v>
      </c>
      <c r="P279">
        <f>IF(M279="","",IF(M279=E279,1,0))</f>
        <v/>
      </c>
      <c r="Q279">
        <f>IF(K279="OK","-",IF(N279&lt;$B$7,"AMBIGUOUS","CONFIDENT"))</f>
        <v/>
      </c>
    </row>
    <row r="280">
      <c r="A280">
        <f>'Runs Z score'!A272</f>
        <v/>
      </c>
      <c r="B280">
        <f>'Runs Z score'!B272</f>
        <v/>
      </c>
      <c r="C280">
        <f>'Runs Z score'!C272</f>
        <v/>
      </c>
      <c r="D280">
        <f>'Runs Z score'!D272</f>
        <v/>
      </c>
      <c r="E280">
        <f>'Runs Z score'!E272</f>
        <v/>
      </c>
      <c r="F280">
        <f>'Runs Z score'!F272</f>
        <v/>
      </c>
      <c r="G280">
        <f>'Runs Z score'!G272</f>
        <v/>
      </c>
      <c r="H280">
        <f>VLOOKUP(C280,Recipes!$A$2:$N$4,10,FALSE())</f>
        <v/>
      </c>
      <c r="I280">
        <f>VLOOKUP(C280,Recipes!$A$2:$N$4,12,FALSE())</f>
        <v/>
      </c>
      <c r="J280">
        <f>IF(G280="","",H280-G280)</f>
        <v/>
      </c>
      <c r="K280">
        <f>IF(G280="","",IF(ABS(G280-H280)&lt;=$B$6*I280,"OK","NG"))</f>
        <v/>
      </c>
      <c r="L280">
        <f>IF(K280="","",IF(K280=D280,1,0))</f>
        <v/>
      </c>
      <c r="M280" t="inlineStr">
        <is>
          <t>S2</t>
        </is>
      </c>
      <c r="N280" s="15" t="n">
        <v>0.999966588427507</v>
      </c>
      <c r="O280" s="15" t="n">
        <v>3.341157249297063e-05</v>
      </c>
      <c r="P280">
        <f>IF(M280="","",IF(M280=E280,1,0))</f>
        <v/>
      </c>
      <c r="Q280">
        <f>IF(K280="OK","-",IF(N280&lt;$B$7,"AMBIGUOUS","CONFIDENT"))</f>
        <v/>
      </c>
    </row>
    <row r="281">
      <c r="A281">
        <f>'Runs Z score'!A273</f>
        <v/>
      </c>
      <c r="B281">
        <f>'Runs Z score'!B273</f>
        <v/>
      </c>
      <c r="C281">
        <f>'Runs Z score'!C273</f>
        <v/>
      </c>
      <c r="D281">
        <f>'Runs Z score'!D273</f>
        <v/>
      </c>
      <c r="E281">
        <f>'Runs Z score'!E273</f>
        <v/>
      </c>
      <c r="F281">
        <f>'Runs Z score'!F273</f>
        <v/>
      </c>
      <c r="G281">
        <f>'Runs Z score'!G273</f>
        <v/>
      </c>
      <c r="H281">
        <f>VLOOKUP(C281,Recipes!$A$2:$N$4,10,FALSE())</f>
        <v/>
      </c>
      <c r="I281">
        <f>VLOOKUP(C281,Recipes!$A$2:$N$4,12,FALSE())</f>
        <v/>
      </c>
      <c r="J281">
        <f>IF(G281="","",H281-G281)</f>
        <v/>
      </c>
      <c r="K281">
        <f>IF(G281="","",IF(ABS(G281-H281)&lt;=$B$6*I281,"OK","NG"))</f>
        <v/>
      </c>
      <c r="L281">
        <f>IF(K281="","",IF(K281=D281,1,0))</f>
        <v/>
      </c>
      <c r="M281" t="inlineStr">
        <is>
          <t>NONE</t>
        </is>
      </c>
      <c r="N281" s="15" t="n">
        <v>1</v>
      </c>
      <c r="O281" s="15" t="n">
        <v>0</v>
      </c>
      <c r="P281">
        <f>IF(M281="","",IF(M281=E281,1,0))</f>
        <v/>
      </c>
      <c r="Q281">
        <f>IF(K281="OK","-",IF(N281&lt;$B$7,"AMBIGUOUS","CONFIDENT"))</f>
        <v/>
      </c>
    </row>
    <row r="282">
      <c r="A282">
        <f>'Runs Z score'!A274</f>
        <v/>
      </c>
      <c r="B282">
        <f>'Runs Z score'!B274</f>
        <v/>
      </c>
      <c r="C282">
        <f>'Runs Z score'!C274</f>
        <v/>
      </c>
      <c r="D282">
        <f>'Runs Z score'!D274</f>
        <v/>
      </c>
      <c r="E282">
        <f>'Runs Z score'!E274</f>
        <v/>
      </c>
      <c r="F282">
        <f>'Runs Z score'!F274</f>
        <v/>
      </c>
      <c r="G282">
        <f>'Runs Z score'!G274</f>
        <v/>
      </c>
      <c r="H282">
        <f>VLOOKUP(C282,Recipes!$A$2:$N$4,10,FALSE())</f>
        <v/>
      </c>
      <c r="I282">
        <f>VLOOKUP(C282,Recipes!$A$2:$N$4,12,FALSE())</f>
        <v/>
      </c>
      <c r="J282">
        <f>IF(G282="","",H282-G282)</f>
        <v/>
      </c>
      <c r="K282">
        <f>IF(G282="","",IF(ABS(G282-H282)&lt;=$B$6*I282,"OK","NG"))</f>
        <v/>
      </c>
      <c r="L282">
        <f>IF(K282="","",IF(K282=D282,1,0))</f>
        <v/>
      </c>
      <c r="M282" t="inlineStr">
        <is>
          <t>NONE</t>
        </is>
      </c>
      <c r="N282" s="15" t="n">
        <v>1</v>
      </c>
      <c r="O282" s="15" t="n">
        <v>0</v>
      </c>
      <c r="P282">
        <f>IF(M282="","",IF(M282=E282,1,0))</f>
        <v/>
      </c>
      <c r="Q282">
        <f>IF(K282="OK","-",IF(N282&lt;$B$7,"AMBIGUOUS","CONFIDENT"))</f>
        <v/>
      </c>
    </row>
    <row r="283">
      <c r="A283">
        <f>'Runs Z score'!A275</f>
        <v/>
      </c>
      <c r="B283">
        <f>'Runs Z score'!B275</f>
        <v/>
      </c>
      <c r="C283">
        <f>'Runs Z score'!C275</f>
        <v/>
      </c>
      <c r="D283">
        <f>'Runs Z score'!D275</f>
        <v/>
      </c>
      <c r="E283">
        <f>'Runs Z score'!E275</f>
        <v/>
      </c>
      <c r="F283">
        <f>'Runs Z score'!F275</f>
        <v/>
      </c>
      <c r="G283">
        <f>'Runs Z score'!G275</f>
        <v/>
      </c>
      <c r="H283">
        <f>VLOOKUP(C283,Recipes!$A$2:$N$4,10,FALSE())</f>
        <v/>
      </c>
      <c r="I283">
        <f>VLOOKUP(C283,Recipes!$A$2:$N$4,12,FALSE())</f>
        <v/>
      </c>
      <c r="J283">
        <f>IF(G283="","",H283-G283)</f>
        <v/>
      </c>
      <c r="K283">
        <f>IF(G283="","",IF(ABS(G283-H283)&lt;=$B$6*I283,"OK","NG"))</f>
        <v/>
      </c>
      <c r="L283">
        <f>IF(K283="","",IF(K283=D283,1,0))</f>
        <v/>
      </c>
      <c r="M283" t="inlineStr">
        <is>
          <t>NONE</t>
        </is>
      </c>
      <c r="N283" s="15" t="n">
        <v>1</v>
      </c>
      <c r="O283" s="15" t="n">
        <v>0</v>
      </c>
      <c r="P283">
        <f>IF(M283="","",IF(M283=E283,1,0))</f>
        <v/>
      </c>
      <c r="Q283">
        <f>IF(K283="OK","-",IF(N283&lt;$B$7,"AMBIGUOUS","CONFIDENT"))</f>
        <v/>
      </c>
    </row>
    <row r="284">
      <c r="A284">
        <f>'Runs Z score'!A276</f>
        <v/>
      </c>
      <c r="B284">
        <f>'Runs Z score'!B276</f>
        <v/>
      </c>
      <c r="C284">
        <f>'Runs Z score'!C276</f>
        <v/>
      </c>
      <c r="D284">
        <f>'Runs Z score'!D276</f>
        <v/>
      </c>
      <c r="E284">
        <f>'Runs Z score'!E276</f>
        <v/>
      </c>
      <c r="F284">
        <f>'Runs Z score'!F276</f>
        <v/>
      </c>
      <c r="G284">
        <f>'Runs Z score'!G276</f>
        <v/>
      </c>
      <c r="H284">
        <f>VLOOKUP(C284,Recipes!$A$2:$N$4,10,FALSE())</f>
        <v/>
      </c>
      <c r="I284">
        <f>VLOOKUP(C284,Recipes!$A$2:$N$4,12,FALSE())</f>
        <v/>
      </c>
      <c r="J284">
        <f>IF(G284="","",H284-G284)</f>
        <v/>
      </c>
      <c r="K284">
        <f>IF(G284="","",IF(ABS(G284-H284)&lt;=$B$6*I284,"OK","NG"))</f>
        <v/>
      </c>
      <c r="L284">
        <f>IF(K284="","",IF(K284=D284,1,0))</f>
        <v/>
      </c>
      <c r="M284" t="inlineStr">
        <is>
          <t>NONE</t>
        </is>
      </c>
      <c r="N284" s="15" t="n">
        <v>1</v>
      </c>
      <c r="O284" s="15" t="n">
        <v>0</v>
      </c>
      <c r="P284">
        <f>IF(M284="","",IF(M284=E284,1,0))</f>
        <v/>
      </c>
      <c r="Q284">
        <f>IF(K284="OK","-",IF(N284&lt;$B$7,"AMBIGUOUS","CONFIDENT"))</f>
        <v/>
      </c>
    </row>
    <row r="285">
      <c r="A285">
        <f>'Runs Z score'!A277</f>
        <v/>
      </c>
      <c r="B285">
        <f>'Runs Z score'!B277</f>
        <v/>
      </c>
      <c r="C285">
        <f>'Runs Z score'!C277</f>
        <v/>
      </c>
      <c r="D285">
        <f>'Runs Z score'!D277</f>
        <v/>
      </c>
      <c r="E285">
        <f>'Runs Z score'!E277</f>
        <v/>
      </c>
      <c r="F285">
        <f>'Runs Z score'!F277</f>
        <v/>
      </c>
      <c r="G285">
        <f>'Runs Z score'!G277</f>
        <v/>
      </c>
      <c r="H285">
        <f>VLOOKUP(C285,Recipes!$A$2:$N$4,10,FALSE())</f>
        <v/>
      </c>
      <c r="I285">
        <f>VLOOKUP(C285,Recipes!$A$2:$N$4,12,FALSE())</f>
        <v/>
      </c>
      <c r="J285">
        <f>IF(G285="","",H285-G285)</f>
        <v/>
      </c>
      <c r="K285">
        <f>IF(G285="","",IF(ABS(G285-H285)&lt;=$B$6*I285,"OK","NG"))</f>
        <v/>
      </c>
      <c r="L285">
        <f>IF(K285="","",IF(K285=D285,1,0))</f>
        <v/>
      </c>
      <c r="M285" t="inlineStr">
        <is>
          <t>NONE</t>
        </is>
      </c>
      <c r="N285" s="15" t="n">
        <v>1</v>
      </c>
      <c r="O285" s="15" t="n">
        <v>0</v>
      </c>
      <c r="P285">
        <f>IF(M285="","",IF(M285=E285,1,0))</f>
        <v/>
      </c>
      <c r="Q285">
        <f>IF(K285="OK","-",IF(N285&lt;$B$7,"AMBIGUOUS","CONFIDENT"))</f>
        <v/>
      </c>
    </row>
    <row r="286">
      <c r="A286">
        <f>'Runs Z score'!A278</f>
        <v/>
      </c>
      <c r="B286">
        <f>'Runs Z score'!B278</f>
        <v/>
      </c>
      <c r="C286">
        <f>'Runs Z score'!C278</f>
        <v/>
      </c>
      <c r="D286">
        <f>'Runs Z score'!D278</f>
        <v/>
      </c>
      <c r="E286">
        <f>'Runs Z score'!E278</f>
        <v/>
      </c>
      <c r="F286">
        <f>'Runs Z score'!F278</f>
        <v/>
      </c>
      <c r="G286">
        <f>'Runs Z score'!G278</f>
        <v/>
      </c>
      <c r="H286">
        <f>VLOOKUP(C286,Recipes!$A$2:$N$4,10,FALSE())</f>
        <v/>
      </c>
      <c r="I286">
        <f>VLOOKUP(C286,Recipes!$A$2:$N$4,12,FALSE())</f>
        <v/>
      </c>
      <c r="J286">
        <f>IF(G286="","",H286-G286)</f>
        <v/>
      </c>
      <c r="K286">
        <f>IF(G286="","",IF(ABS(G286-H286)&lt;=$B$6*I286,"OK","NG"))</f>
        <v/>
      </c>
      <c r="L286">
        <f>IF(K286="","",IF(K286=D286,1,0))</f>
        <v/>
      </c>
      <c r="M286" t="inlineStr">
        <is>
          <t>NONE</t>
        </is>
      </c>
      <c r="N286" s="15" t="n">
        <v>1</v>
      </c>
      <c r="O286" s="15" t="n">
        <v>0</v>
      </c>
      <c r="P286">
        <f>IF(M286="","",IF(M286=E286,1,0))</f>
        <v/>
      </c>
      <c r="Q286">
        <f>IF(K286="OK","-",IF(N286&lt;$B$7,"AMBIGUOUS","CONFIDENT"))</f>
        <v/>
      </c>
    </row>
    <row r="287">
      <c r="A287">
        <f>'Runs Z score'!A279</f>
        <v/>
      </c>
      <c r="B287">
        <f>'Runs Z score'!B279</f>
        <v/>
      </c>
      <c r="C287">
        <f>'Runs Z score'!C279</f>
        <v/>
      </c>
      <c r="D287">
        <f>'Runs Z score'!D279</f>
        <v/>
      </c>
      <c r="E287">
        <f>'Runs Z score'!E279</f>
        <v/>
      </c>
      <c r="F287">
        <f>'Runs Z score'!F279</f>
        <v/>
      </c>
      <c r="G287">
        <f>'Runs Z score'!G279</f>
        <v/>
      </c>
      <c r="H287">
        <f>VLOOKUP(C287,Recipes!$A$2:$N$4,10,FALSE())</f>
        <v/>
      </c>
      <c r="I287">
        <f>VLOOKUP(C287,Recipes!$A$2:$N$4,12,FALSE())</f>
        <v/>
      </c>
      <c r="J287">
        <f>IF(G287="","",H287-G287)</f>
        <v/>
      </c>
      <c r="K287">
        <f>IF(G287="","",IF(ABS(G287-H287)&lt;=$B$6*I287,"OK","NG"))</f>
        <v/>
      </c>
      <c r="L287">
        <f>IF(K287="","",IF(K287=D287,1,0))</f>
        <v/>
      </c>
      <c r="M287" t="inlineStr">
        <is>
          <t>NONE</t>
        </is>
      </c>
      <c r="N287" s="15" t="n">
        <v>1</v>
      </c>
      <c r="O287" s="15" t="n">
        <v>0</v>
      </c>
      <c r="P287">
        <f>IF(M287="","",IF(M287=E287,1,0))</f>
        <v/>
      </c>
      <c r="Q287">
        <f>IF(K287="OK","-",IF(N287&lt;$B$7,"AMBIGUOUS","CONFIDENT"))</f>
        <v/>
      </c>
    </row>
    <row r="288">
      <c r="A288">
        <f>'Runs Z score'!A280</f>
        <v/>
      </c>
      <c r="B288">
        <f>'Runs Z score'!B280</f>
        <v/>
      </c>
      <c r="C288">
        <f>'Runs Z score'!C280</f>
        <v/>
      </c>
      <c r="D288">
        <f>'Runs Z score'!D280</f>
        <v/>
      </c>
      <c r="E288">
        <f>'Runs Z score'!E280</f>
        <v/>
      </c>
      <c r="F288">
        <f>'Runs Z score'!F280</f>
        <v/>
      </c>
      <c r="G288">
        <f>'Runs Z score'!G280</f>
        <v/>
      </c>
      <c r="H288">
        <f>VLOOKUP(C288,Recipes!$A$2:$N$4,10,FALSE())</f>
        <v/>
      </c>
      <c r="I288">
        <f>VLOOKUP(C288,Recipes!$A$2:$N$4,12,FALSE())</f>
        <v/>
      </c>
      <c r="J288">
        <f>IF(G288="","",H288-G288)</f>
        <v/>
      </c>
      <c r="K288">
        <f>IF(G288="","",IF(ABS(G288-H288)&lt;=$B$6*I288,"OK","NG"))</f>
        <v/>
      </c>
      <c r="L288">
        <f>IF(K288="","",IF(K288=D288,1,0))</f>
        <v/>
      </c>
      <c r="M288" t="inlineStr">
        <is>
          <t>NONE</t>
        </is>
      </c>
      <c r="N288" s="15" t="n">
        <v>1</v>
      </c>
      <c r="O288" s="15" t="n">
        <v>0</v>
      </c>
      <c r="P288">
        <f>IF(M288="","",IF(M288=E288,1,0))</f>
        <v/>
      </c>
      <c r="Q288">
        <f>IF(K288="OK","-",IF(N288&lt;$B$7,"AMBIGUOUS","CONFIDENT"))</f>
        <v/>
      </c>
    </row>
    <row r="289">
      <c r="A289">
        <f>'Runs Z score'!A281</f>
        <v/>
      </c>
      <c r="B289">
        <f>'Runs Z score'!B281</f>
        <v/>
      </c>
      <c r="C289">
        <f>'Runs Z score'!C281</f>
        <v/>
      </c>
      <c r="D289">
        <f>'Runs Z score'!D281</f>
        <v/>
      </c>
      <c r="E289">
        <f>'Runs Z score'!E281</f>
        <v/>
      </c>
      <c r="F289">
        <f>'Runs Z score'!F281</f>
        <v/>
      </c>
      <c r="G289">
        <f>'Runs Z score'!G281</f>
        <v/>
      </c>
      <c r="H289">
        <f>VLOOKUP(C289,Recipes!$A$2:$N$4,10,FALSE())</f>
        <v/>
      </c>
      <c r="I289">
        <f>VLOOKUP(C289,Recipes!$A$2:$N$4,12,FALSE())</f>
        <v/>
      </c>
      <c r="J289">
        <f>IF(G289="","",H289-G289)</f>
        <v/>
      </c>
      <c r="K289">
        <f>IF(G289="","",IF(ABS(G289-H289)&lt;=$B$6*I289,"OK","NG"))</f>
        <v/>
      </c>
      <c r="L289">
        <f>IF(K289="","",IF(K289=D289,1,0))</f>
        <v/>
      </c>
      <c r="M289" t="inlineStr">
        <is>
          <t>NONE</t>
        </is>
      </c>
      <c r="N289" s="15" t="n">
        <v>1</v>
      </c>
      <c r="O289" s="15" t="n">
        <v>0</v>
      </c>
      <c r="P289">
        <f>IF(M289="","",IF(M289=E289,1,0))</f>
        <v/>
      </c>
      <c r="Q289">
        <f>IF(K289="OK","-",IF(N289&lt;$B$7,"AMBIGUOUS","CONFIDENT"))</f>
        <v/>
      </c>
    </row>
    <row r="290">
      <c r="A290">
        <f>'Runs Z score'!A282</f>
        <v/>
      </c>
      <c r="B290">
        <f>'Runs Z score'!B282</f>
        <v/>
      </c>
      <c r="C290">
        <f>'Runs Z score'!C282</f>
        <v/>
      </c>
      <c r="D290">
        <f>'Runs Z score'!D282</f>
        <v/>
      </c>
      <c r="E290">
        <f>'Runs Z score'!E282</f>
        <v/>
      </c>
      <c r="F290">
        <f>'Runs Z score'!F282</f>
        <v/>
      </c>
      <c r="G290">
        <f>'Runs Z score'!G282</f>
        <v/>
      </c>
      <c r="H290">
        <f>VLOOKUP(C290,Recipes!$A$2:$N$4,10,FALSE())</f>
        <v/>
      </c>
      <c r="I290">
        <f>VLOOKUP(C290,Recipes!$A$2:$N$4,12,FALSE())</f>
        <v/>
      </c>
      <c r="J290">
        <f>IF(G290="","",H290-G290)</f>
        <v/>
      </c>
      <c r="K290">
        <f>IF(G290="","",IF(ABS(G290-H290)&lt;=$B$6*I290,"OK","NG"))</f>
        <v/>
      </c>
      <c r="L290">
        <f>IF(K290="","",IF(K290=D290,1,0))</f>
        <v/>
      </c>
      <c r="M290" t="inlineStr">
        <is>
          <t>NONE</t>
        </is>
      </c>
      <c r="N290" s="15" t="n">
        <v>1</v>
      </c>
      <c r="O290" s="15" t="n">
        <v>0</v>
      </c>
      <c r="P290">
        <f>IF(M290="","",IF(M290=E290,1,0))</f>
        <v/>
      </c>
      <c r="Q290">
        <f>IF(K290="OK","-",IF(N290&lt;$B$7,"AMBIGUOUS","CONFIDENT"))</f>
        <v/>
      </c>
    </row>
    <row r="291">
      <c r="A291">
        <f>'Runs Z score'!A283</f>
        <v/>
      </c>
      <c r="B291">
        <f>'Runs Z score'!B283</f>
        <v/>
      </c>
      <c r="C291">
        <f>'Runs Z score'!C283</f>
        <v/>
      </c>
      <c r="D291">
        <f>'Runs Z score'!D283</f>
        <v/>
      </c>
      <c r="E291">
        <f>'Runs Z score'!E283</f>
        <v/>
      </c>
      <c r="F291">
        <f>'Runs Z score'!F283</f>
        <v/>
      </c>
      <c r="G291">
        <f>'Runs Z score'!G283</f>
        <v/>
      </c>
      <c r="H291">
        <f>VLOOKUP(C291,Recipes!$A$2:$N$4,10,FALSE())</f>
        <v/>
      </c>
      <c r="I291">
        <f>VLOOKUP(C291,Recipes!$A$2:$N$4,12,FALSE())</f>
        <v/>
      </c>
      <c r="J291">
        <f>IF(G291="","",H291-G291)</f>
        <v/>
      </c>
      <c r="K291">
        <f>IF(G291="","",IF(ABS(G291-H291)&lt;=$B$6*I291,"OK","NG"))</f>
        <v/>
      </c>
      <c r="L291">
        <f>IF(K291="","",IF(K291=D291,1,0))</f>
        <v/>
      </c>
      <c r="M291" t="inlineStr">
        <is>
          <t>NONE</t>
        </is>
      </c>
      <c r="N291" s="15" t="n">
        <v>1</v>
      </c>
      <c r="O291" s="15" t="n">
        <v>0</v>
      </c>
      <c r="P291">
        <f>IF(M291="","",IF(M291=E291,1,0))</f>
        <v/>
      </c>
      <c r="Q291">
        <f>IF(K291="OK","-",IF(N291&lt;$B$7,"AMBIGUOUS","CONFIDENT"))</f>
        <v/>
      </c>
    </row>
    <row r="292">
      <c r="A292">
        <f>'Runs Z score'!A284</f>
        <v/>
      </c>
      <c r="B292">
        <f>'Runs Z score'!B284</f>
        <v/>
      </c>
      <c r="C292">
        <f>'Runs Z score'!C284</f>
        <v/>
      </c>
      <c r="D292">
        <f>'Runs Z score'!D284</f>
        <v/>
      </c>
      <c r="E292">
        <f>'Runs Z score'!E284</f>
        <v/>
      </c>
      <c r="F292">
        <f>'Runs Z score'!F284</f>
        <v/>
      </c>
      <c r="G292">
        <f>'Runs Z score'!G284</f>
        <v/>
      </c>
      <c r="H292">
        <f>VLOOKUP(C292,Recipes!$A$2:$N$4,10,FALSE())</f>
        <v/>
      </c>
      <c r="I292">
        <f>VLOOKUP(C292,Recipes!$A$2:$N$4,12,FALSE())</f>
        <v/>
      </c>
      <c r="J292">
        <f>IF(G292="","",H292-G292)</f>
        <v/>
      </c>
      <c r="K292">
        <f>IF(G292="","",IF(ABS(G292-H292)&lt;=$B$6*I292,"OK","NG"))</f>
        <v/>
      </c>
      <c r="L292">
        <f>IF(K292="","",IF(K292=D292,1,0))</f>
        <v/>
      </c>
      <c r="M292" t="inlineStr">
        <is>
          <t>NONE</t>
        </is>
      </c>
      <c r="N292" s="15" t="n">
        <v>1</v>
      </c>
      <c r="O292" s="15" t="n">
        <v>0</v>
      </c>
      <c r="P292">
        <f>IF(M292="","",IF(M292=E292,1,0))</f>
        <v/>
      </c>
      <c r="Q292">
        <f>IF(K292="OK","-",IF(N292&lt;$B$7,"AMBIGUOUS","CONFIDENT"))</f>
        <v/>
      </c>
    </row>
    <row r="293">
      <c r="A293">
        <f>'Runs Z score'!A285</f>
        <v/>
      </c>
      <c r="B293">
        <f>'Runs Z score'!B285</f>
        <v/>
      </c>
      <c r="C293">
        <f>'Runs Z score'!C285</f>
        <v/>
      </c>
      <c r="D293">
        <f>'Runs Z score'!D285</f>
        <v/>
      </c>
      <c r="E293">
        <f>'Runs Z score'!E285</f>
        <v/>
      </c>
      <c r="F293">
        <f>'Runs Z score'!F285</f>
        <v/>
      </c>
      <c r="G293">
        <f>'Runs Z score'!G285</f>
        <v/>
      </c>
      <c r="H293">
        <f>VLOOKUP(C293,Recipes!$A$2:$N$4,10,FALSE())</f>
        <v/>
      </c>
      <c r="I293">
        <f>VLOOKUP(C293,Recipes!$A$2:$N$4,12,FALSE())</f>
        <v/>
      </c>
      <c r="J293">
        <f>IF(G293="","",H293-G293)</f>
        <v/>
      </c>
      <c r="K293">
        <f>IF(G293="","",IF(ABS(G293-H293)&lt;=$B$6*I293,"OK","NG"))</f>
        <v/>
      </c>
      <c r="L293">
        <f>IF(K293="","",IF(K293=D293,1,0))</f>
        <v/>
      </c>
      <c r="M293" t="inlineStr">
        <is>
          <t>NONE</t>
        </is>
      </c>
      <c r="N293" s="15" t="n">
        <v>1</v>
      </c>
      <c r="O293" s="15" t="n">
        <v>0</v>
      </c>
      <c r="P293">
        <f>IF(M293="","",IF(M293=E293,1,0))</f>
        <v/>
      </c>
      <c r="Q293">
        <f>IF(K293="OK","-",IF(N293&lt;$B$7,"AMBIGUOUS","CONFIDENT"))</f>
        <v/>
      </c>
    </row>
    <row r="294">
      <c r="A294">
        <f>'Runs Z score'!A286</f>
        <v/>
      </c>
      <c r="B294">
        <f>'Runs Z score'!B286</f>
        <v/>
      </c>
      <c r="C294">
        <f>'Runs Z score'!C286</f>
        <v/>
      </c>
      <c r="D294">
        <f>'Runs Z score'!D286</f>
        <v/>
      </c>
      <c r="E294">
        <f>'Runs Z score'!E286</f>
        <v/>
      </c>
      <c r="F294">
        <f>'Runs Z score'!F286</f>
        <v/>
      </c>
      <c r="G294">
        <f>'Runs Z score'!G286</f>
        <v/>
      </c>
      <c r="H294">
        <f>VLOOKUP(C294,Recipes!$A$2:$N$4,10,FALSE())</f>
        <v/>
      </c>
      <c r="I294">
        <f>VLOOKUP(C294,Recipes!$A$2:$N$4,12,FALSE())</f>
        <v/>
      </c>
      <c r="J294">
        <f>IF(G294="","",H294-G294)</f>
        <v/>
      </c>
      <c r="K294">
        <f>IF(G294="","",IF(ABS(G294-H294)&lt;=$B$6*I294,"OK","NG"))</f>
        <v/>
      </c>
      <c r="L294">
        <f>IF(K294="","",IF(K294=D294,1,0))</f>
        <v/>
      </c>
      <c r="M294" t="inlineStr">
        <is>
          <t>NONE</t>
        </is>
      </c>
      <c r="N294" s="15" t="n">
        <v>1</v>
      </c>
      <c r="O294" s="15" t="n">
        <v>0</v>
      </c>
      <c r="P294">
        <f>IF(M294="","",IF(M294=E294,1,0))</f>
        <v/>
      </c>
      <c r="Q294">
        <f>IF(K294="OK","-",IF(N294&lt;$B$7,"AMBIGUOUS","CONFIDENT"))</f>
        <v/>
      </c>
    </row>
    <row r="295">
      <c r="A295">
        <f>'Runs Z score'!A287</f>
        <v/>
      </c>
      <c r="B295">
        <f>'Runs Z score'!B287</f>
        <v/>
      </c>
      <c r="C295">
        <f>'Runs Z score'!C287</f>
        <v/>
      </c>
      <c r="D295">
        <f>'Runs Z score'!D287</f>
        <v/>
      </c>
      <c r="E295">
        <f>'Runs Z score'!E287</f>
        <v/>
      </c>
      <c r="F295">
        <f>'Runs Z score'!F287</f>
        <v/>
      </c>
      <c r="G295">
        <f>'Runs Z score'!G287</f>
        <v/>
      </c>
      <c r="H295">
        <f>VLOOKUP(C295,Recipes!$A$2:$N$4,10,FALSE())</f>
        <v/>
      </c>
      <c r="I295">
        <f>VLOOKUP(C295,Recipes!$A$2:$N$4,12,FALSE())</f>
        <v/>
      </c>
      <c r="J295">
        <f>IF(G295="","",H295-G295)</f>
        <v/>
      </c>
      <c r="K295">
        <f>IF(G295="","",IF(ABS(G295-H295)&lt;=$B$6*I295,"OK","NG"))</f>
        <v/>
      </c>
      <c r="L295">
        <f>IF(K295="","",IF(K295=D295,1,0))</f>
        <v/>
      </c>
      <c r="M295" t="inlineStr">
        <is>
          <t>NONE</t>
        </is>
      </c>
      <c r="N295" s="15" t="n">
        <v>1</v>
      </c>
      <c r="O295" s="15" t="n">
        <v>0</v>
      </c>
      <c r="P295">
        <f>IF(M295="","",IF(M295=E295,1,0))</f>
        <v/>
      </c>
      <c r="Q295">
        <f>IF(K295="OK","-",IF(N295&lt;$B$7,"AMBIGUOUS","CONFIDENT"))</f>
        <v/>
      </c>
    </row>
    <row r="296">
      <c r="A296">
        <f>'Runs Z score'!A288</f>
        <v/>
      </c>
      <c r="B296">
        <f>'Runs Z score'!B288</f>
        <v/>
      </c>
      <c r="C296">
        <f>'Runs Z score'!C288</f>
        <v/>
      </c>
      <c r="D296">
        <f>'Runs Z score'!D288</f>
        <v/>
      </c>
      <c r="E296">
        <f>'Runs Z score'!E288</f>
        <v/>
      </c>
      <c r="F296">
        <f>'Runs Z score'!F288</f>
        <v/>
      </c>
      <c r="G296">
        <f>'Runs Z score'!G288</f>
        <v/>
      </c>
      <c r="H296">
        <f>VLOOKUP(C296,Recipes!$A$2:$N$4,10,FALSE())</f>
        <v/>
      </c>
      <c r="I296">
        <f>VLOOKUP(C296,Recipes!$A$2:$N$4,12,FALSE())</f>
        <v/>
      </c>
      <c r="J296">
        <f>IF(G296="","",H296-G296)</f>
        <v/>
      </c>
      <c r="K296">
        <f>IF(G296="","",IF(ABS(G296-H296)&lt;=$B$6*I296,"OK","NG"))</f>
        <v/>
      </c>
      <c r="L296">
        <f>IF(K296="","",IF(K296=D296,1,0))</f>
        <v/>
      </c>
      <c r="M296" t="inlineStr">
        <is>
          <t>NONE</t>
        </is>
      </c>
      <c r="N296" s="15" t="n">
        <v>1</v>
      </c>
      <c r="O296" s="15" t="n">
        <v>0</v>
      </c>
      <c r="P296">
        <f>IF(M296="","",IF(M296=E296,1,0))</f>
        <v/>
      </c>
      <c r="Q296">
        <f>IF(K296="OK","-",IF(N296&lt;$B$7,"AMBIGUOUS","CONFIDENT"))</f>
        <v/>
      </c>
    </row>
    <row r="297">
      <c r="A297">
        <f>'Runs Z score'!A289</f>
        <v/>
      </c>
      <c r="B297">
        <f>'Runs Z score'!B289</f>
        <v/>
      </c>
      <c r="C297">
        <f>'Runs Z score'!C289</f>
        <v/>
      </c>
      <c r="D297">
        <f>'Runs Z score'!D289</f>
        <v/>
      </c>
      <c r="E297">
        <f>'Runs Z score'!E289</f>
        <v/>
      </c>
      <c r="F297">
        <f>'Runs Z score'!F289</f>
        <v/>
      </c>
      <c r="G297">
        <f>'Runs Z score'!G289</f>
        <v/>
      </c>
      <c r="H297">
        <f>VLOOKUP(C297,Recipes!$A$2:$N$4,10,FALSE())</f>
        <v/>
      </c>
      <c r="I297">
        <f>VLOOKUP(C297,Recipes!$A$2:$N$4,12,FALSE())</f>
        <v/>
      </c>
      <c r="J297">
        <f>IF(G297="","",H297-G297)</f>
        <v/>
      </c>
      <c r="K297">
        <f>IF(G297="","",IF(ABS(G297-H297)&lt;=$B$6*I297,"OK","NG"))</f>
        <v/>
      </c>
      <c r="L297">
        <f>IF(K297="","",IF(K297=D297,1,0))</f>
        <v/>
      </c>
      <c r="M297" t="inlineStr">
        <is>
          <t>NONE</t>
        </is>
      </c>
      <c r="N297" s="15" t="n">
        <v>1</v>
      </c>
      <c r="O297" s="15" t="n">
        <v>0</v>
      </c>
      <c r="P297">
        <f>IF(M297="","",IF(M297=E297,1,0))</f>
        <v/>
      </c>
      <c r="Q297">
        <f>IF(K297="OK","-",IF(N297&lt;$B$7,"AMBIGUOUS","CONFIDENT"))</f>
        <v/>
      </c>
    </row>
    <row r="298">
      <c r="A298">
        <f>'Runs Z score'!A290</f>
        <v/>
      </c>
      <c r="B298">
        <f>'Runs Z score'!B290</f>
        <v/>
      </c>
      <c r="C298">
        <f>'Runs Z score'!C290</f>
        <v/>
      </c>
      <c r="D298">
        <f>'Runs Z score'!D290</f>
        <v/>
      </c>
      <c r="E298">
        <f>'Runs Z score'!E290</f>
        <v/>
      </c>
      <c r="F298">
        <f>'Runs Z score'!F290</f>
        <v/>
      </c>
      <c r="G298">
        <f>'Runs Z score'!G290</f>
        <v/>
      </c>
      <c r="H298">
        <f>VLOOKUP(C298,Recipes!$A$2:$N$4,10,FALSE())</f>
        <v/>
      </c>
      <c r="I298">
        <f>VLOOKUP(C298,Recipes!$A$2:$N$4,12,FALSE())</f>
        <v/>
      </c>
      <c r="J298">
        <f>IF(G298="","",H298-G298)</f>
        <v/>
      </c>
      <c r="K298">
        <f>IF(G298="","",IF(ABS(G298-H298)&lt;=$B$6*I298,"OK","NG"))</f>
        <v/>
      </c>
      <c r="L298">
        <f>IF(K298="","",IF(K298=D298,1,0))</f>
        <v/>
      </c>
      <c r="M298" t="inlineStr">
        <is>
          <t>NONE</t>
        </is>
      </c>
      <c r="N298" s="15" t="n">
        <v>1</v>
      </c>
      <c r="O298" s="15" t="n">
        <v>0</v>
      </c>
      <c r="P298">
        <f>IF(M298="","",IF(M298=E298,1,0))</f>
        <v/>
      </c>
      <c r="Q298">
        <f>IF(K298="OK","-",IF(N298&lt;$B$7,"AMBIGUOUS","CONFIDENT"))</f>
        <v/>
      </c>
    </row>
    <row r="299">
      <c r="A299">
        <f>'Runs Z score'!A291</f>
        <v/>
      </c>
      <c r="B299">
        <f>'Runs Z score'!B291</f>
        <v/>
      </c>
      <c r="C299">
        <f>'Runs Z score'!C291</f>
        <v/>
      </c>
      <c r="D299">
        <f>'Runs Z score'!D291</f>
        <v/>
      </c>
      <c r="E299">
        <f>'Runs Z score'!E291</f>
        <v/>
      </c>
      <c r="F299">
        <f>'Runs Z score'!F291</f>
        <v/>
      </c>
      <c r="G299">
        <f>'Runs Z score'!G291</f>
        <v/>
      </c>
      <c r="H299">
        <f>VLOOKUP(C299,Recipes!$A$2:$N$4,10,FALSE())</f>
        <v/>
      </c>
      <c r="I299">
        <f>VLOOKUP(C299,Recipes!$A$2:$N$4,12,FALSE())</f>
        <v/>
      </c>
      <c r="J299">
        <f>IF(G299="","",H299-G299)</f>
        <v/>
      </c>
      <c r="K299">
        <f>IF(G299="","",IF(ABS(G299-H299)&lt;=$B$6*I299,"OK","NG"))</f>
        <v/>
      </c>
      <c r="L299">
        <f>IF(K299="","",IF(K299=D299,1,0))</f>
        <v/>
      </c>
      <c r="M299" t="inlineStr">
        <is>
          <t>NONE</t>
        </is>
      </c>
      <c r="N299" s="15" t="n">
        <v>1</v>
      </c>
      <c r="O299" s="15" t="n">
        <v>0</v>
      </c>
      <c r="P299">
        <f>IF(M299="","",IF(M299=E299,1,0))</f>
        <v/>
      </c>
      <c r="Q299">
        <f>IF(K299="OK","-",IF(N299&lt;$B$7,"AMBIGUOUS","CONFIDENT"))</f>
        <v/>
      </c>
    </row>
    <row r="300">
      <c r="A300">
        <f>'Runs Z score'!A292</f>
        <v/>
      </c>
      <c r="B300">
        <f>'Runs Z score'!B292</f>
        <v/>
      </c>
      <c r="C300">
        <f>'Runs Z score'!C292</f>
        <v/>
      </c>
      <c r="D300">
        <f>'Runs Z score'!D292</f>
        <v/>
      </c>
      <c r="E300">
        <f>'Runs Z score'!E292</f>
        <v/>
      </c>
      <c r="F300">
        <f>'Runs Z score'!F292</f>
        <v/>
      </c>
      <c r="G300">
        <f>'Runs Z score'!G292</f>
        <v/>
      </c>
      <c r="H300">
        <f>VLOOKUP(C300,Recipes!$A$2:$N$4,10,FALSE())</f>
        <v/>
      </c>
      <c r="I300">
        <f>VLOOKUP(C300,Recipes!$A$2:$N$4,12,FALSE())</f>
        <v/>
      </c>
      <c r="J300">
        <f>IF(G300="","",H300-G300)</f>
        <v/>
      </c>
      <c r="K300">
        <f>IF(G300="","",IF(ABS(G300-H300)&lt;=$B$6*I300,"OK","NG"))</f>
        <v/>
      </c>
      <c r="L300">
        <f>IF(K300="","",IF(K300=D300,1,0))</f>
        <v/>
      </c>
      <c r="M300" t="inlineStr">
        <is>
          <t>NONE</t>
        </is>
      </c>
      <c r="N300" s="15" t="n">
        <v>1</v>
      </c>
      <c r="O300" s="15" t="n">
        <v>0</v>
      </c>
      <c r="P300">
        <f>IF(M300="","",IF(M300=E300,1,0))</f>
        <v/>
      </c>
      <c r="Q300">
        <f>IF(K300="OK","-",IF(N300&lt;$B$7,"AMBIGUOUS","CONFIDENT"))</f>
        <v/>
      </c>
    </row>
    <row r="301">
      <c r="A301">
        <f>'Runs Z score'!A293</f>
        <v/>
      </c>
      <c r="B301">
        <f>'Runs Z score'!B293</f>
        <v/>
      </c>
      <c r="C301">
        <f>'Runs Z score'!C293</f>
        <v/>
      </c>
      <c r="D301">
        <f>'Runs Z score'!D293</f>
        <v/>
      </c>
      <c r="E301">
        <f>'Runs Z score'!E293</f>
        <v/>
      </c>
      <c r="F301">
        <f>'Runs Z score'!F293</f>
        <v/>
      </c>
      <c r="G301">
        <f>'Runs Z score'!G293</f>
        <v/>
      </c>
      <c r="H301">
        <f>VLOOKUP(C301,Recipes!$A$2:$N$4,10,FALSE())</f>
        <v/>
      </c>
      <c r="I301">
        <f>VLOOKUP(C301,Recipes!$A$2:$N$4,12,FALSE())</f>
        <v/>
      </c>
      <c r="J301">
        <f>IF(G301="","",H301-G301)</f>
        <v/>
      </c>
      <c r="K301">
        <f>IF(G301="","",IF(ABS(G301-H301)&lt;=$B$6*I301,"OK","NG"))</f>
        <v/>
      </c>
      <c r="L301">
        <f>IF(K301="","",IF(K301=D301,1,0))</f>
        <v/>
      </c>
      <c r="M301" t="inlineStr">
        <is>
          <t>NONE</t>
        </is>
      </c>
      <c r="N301" s="15" t="n">
        <v>1</v>
      </c>
      <c r="O301" s="15" t="n">
        <v>0</v>
      </c>
      <c r="P301">
        <f>IF(M301="","",IF(M301=E301,1,0))</f>
        <v/>
      </c>
      <c r="Q301">
        <f>IF(K301="OK","-",IF(N301&lt;$B$7,"AMBIGUOUS","CONFIDENT"))</f>
        <v/>
      </c>
    </row>
    <row r="302">
      <c r="A302">
        <f>'Runs Z score'!A294</f>
        <v/>
      </c>
      <c r="B302">
        <f>'Runs Z score'!B294</f>
        <v/>
      </c>
      <c r="C302">
        <f>'Runs Z score'!C294</f>
        <v/>
      </c>
      <c r="D302">
        <f>'Runs Z score'!D294</f>
        <v/>
      </c>
      <c r="E302">
        <f>'Runs Z score'!E294</f>
        <v/>
      </c>
      <c r="F302">
        <f>'Runs Z score'!F294</f>
        <v/>
      </c>
      <c r="G302">
        <f>'Runs Z score'!G294</f>
        <v/>
      </c>
      <c r="H302">
        <f>VLOOKUP(C302,Recipes!$A$2:$N$4,10,FALSE())</f>
        <v/>
      </c>
      <c r="I302">
        <f>VLOOKUP(C302,Recipes!$A$2:$N$4,12,FALSE())</f>
        <v/>
      </c>
      <c r="J302">
        <f>IF(G302="","",H302-G302)</f>
        <v/>
      </c>
      <c r="K302">
        <f>IF(G302="","",IF(ABS(G302-H302)&lt;=$B$6*I302,"OK","NG"))</f>
        <v/>
      </c>
      <c r="L302">
        <f>IF(K302="","",IF(K302=D302,1,0))</f>
        <v/>
      </c>
      <c r="M302" t="inlineStr">
        <is>
          <t>NONE</t>
        </is>
      </c>
      <c r="N302" s="15" t="n">
        <v>1</v>
      </c>
      <c r="O302" s="15" t="n">
        <v>0</v>
      </c>
      <c r="P302">
        <f>IF(M302="","",IF(M302=E302,1,0))</f>
        <v/>
      </c>
      <c r="Q302">
        <f>IF(K302="OK","-",IF(N302&lt;$B$7,"AMBIGUOUS","CONFIDENT"))</f>
        <v/>
      </c>
    </row>
    <row r="303">
      <c r="A303">
        <f>'Runs Z score'!A295</f>
        <v/>
      </c>
      <c r="B303">
        <f>'Runs Z score'!B295</f>
        <v/>
      </c>
      <c r="C303">
        <f>'Runs Z score'!C295</f>
        <v/>
      </c>
      <c r="D303">
        <f>'Runs Z score'!D295</f>
        <v/>
      </c>
      <c r="E303">
        <f>'Runs Z score'!E295</f>
        <v/>
      </c>
      <c r="F303">
        <f>'Runs Z score'!F295</f>
        <v/>
      </c>
      <c r="G303">
        <f>'Runs Z score'!G295</f>
        <v/>
      </c>
      <c r="H303">
        <f>VLOOKUP(C303,Recipes!$A$2:$N$4,10,FALSE())</f>
        <v/>
      </c>
      <c r="I303">
        <f>VLOOKUP(C303,Recipes!$A$2:$N$4,12,FALSE())</f>
        <v/>
      </c>
      <c r="J303">
        <f>IF(G303="","",H303-G303)</f>
        <v/>
      </c>
      <c r="K303">
        <f>IF(G303="","",IF(ABS(G303-H303)&lt;=$B$6*I303,"OK","NG"))</f>
        <v/>
      </c>
      <c r="L303">
        <f>IF(K303="","",IF(K303=D303,1,0))</f>
        <v/>
      </c>
      <c r="M303" t="inlineStr">
        <is>
          <t>NONE</t>
        </is>
      </c>
      <c r="N303" s="15" t="n">
        <v>1</v>
      </c>
      <c r="O303" s="15" t="n">
        <v>0</v>
      </c>
      <c r="P303">
        <f>IF(M303="","",IF(M303=E303,1,0))</f>
        <v/>
      </c>
      <c r="Q303">
        <f>IF(K303="OK","-",IF(N303&lt;$B$7,"AMBIGUOUS","CONFIDENT"))</f>
        <v/>
      </c>
    </row>
    <row r="304">
      <c r="A304">
        <f>'Runs Z score'!A296</f>
        <v/>
      </c>
      <c r="B304">
        <f>'Runs Z score'!B296</f>
        <v/>
      </c>
      <c r="C304">
        <f>'Runs Z score'!C296</f>
        <v/>
      </c>
      <c r="D304">
        <f>'Runs Z score'!D296</f>
        <v/>
      </c>
      <c r="E304">
        <f>'Runs Z score'!E296</f>
        <v/>
      </c>
      <c r="F304">
        <f>'Runs Z score'!F296</f>
        <v/>
      </c>
      <c r="G304">
        <f>'Runs Z score'!G296</f>
        <v/>
      </c>
      <c r="H304">
        <f>VLOOKUP(C304,Recipes!$A$2:$N$4,10,FALSE())</f>
        <v/>
      </c>
      <c r="I304">
        <f>VLOOKUP(C304,Recipes!$A$2:$N$4,12,FALSE())</f>
        <v/>
      </c>
      <c r="J304">
        <f>IF(G304="","",H304-G304)</f>
        <v/>
      </c>
      <c r="K304">
        <f>IF(G304="","",IF(ABS(G304-H304)&lt;=$B$6*I304,"OK","NG"))</f>
        <v/>
      </c>
      <c r="L304">
        <f>IF(K304="","",IF(K304=D304,1,0))</f>
        <v/>
      </c>
      <c r="M304" t="inlineStr">
        <is>
          <t>NONE</t>
        </is>
      </c>
      <c r="N304" s="15" t="n">
        <v>1</v>
      </c>
      <c r="O304" s="15" t="n">
        <v>0</v>
      </c>
      <c r="P304">
        <f>IF(M304="","",IF(M304=E304,1,0))</f>
        <v/>
      </c>
      <c r="Q304">
        <f>IF(K304="OK","-",IF(N304&lt;$B$7,"AMBIGUOUS","CONFIDENT"))</f>
        <v/>
      </c>
    </row>
    <row r="305">
      <c r="A305">
        <f>'Runs Z score'!A297</f>
        <v/>
      </c>
      <c r="B305">
        <f>'Runs Z score'!B297</f>
        <v/>
      </c>
      <c r="C305">
        <f>'Runs Z score'!C297</f>
        <v/>
      </c>
      <c r="D305">
        <f>'Runs Z score'!D297</f>
        <v/>
      </c>
      <c r="E305">
        <f>'Runs Z score'!E297</f>
        <v/>
      </c>
      <c r="F305">
        <f>'Runs Z score'!F297</f>
        <v/>
      </c>
      <c r="G305">
        <f>'Runs Z score'!G297</f>
        <v/>
      </c>
      <c r="H305">
        <f>VLOOKUP(C305,Recipes!$A$2:$N$4,10,FALSE())</f>
        <v/>
      </c>
      <c r="I305">
        <f>VLOOKUP(C305,Recipes!$A$2:$N$4,12,FALSE())</f>
        <v/>
      </c>
      <c r="J305">
        <f>IF(G305="","",H305-G305)</f>
        <v/>
      </c>
      <c r="K305">
        <f>IF(G305="","",IF(ABS(G305-H305)&lt;=$B$6*I305,"OK","NG"))</f>
        <v/>
      </c>
      <c r="L305">
        <f>IF(K305="","",IF(K305=D305,1,0))</f>
        <v/>
      </c>
      <c r="M305" t="inlineStr">
        <is>
          <t>NONE</t>
        </is>
      </c>
      <c r="N305" s="15" t="n">
        <v>1</v>
      </c>
      <c r="O305" s="15" t="n">
        <v>0</v>
      </c>
      <c r="P305">
        <f>IF(M305="","",IF(M305=E305,1,0))</f>
        <v/>
      </c>
      <c r="Q305">
        <f>IF(K305="OK","-",IF(N305&lt;$B$7,"AMBIGUOUS","CONFIDENT"))</f>
        <v/>
      </c>
    </row>
    <row r="306">
      <c r="A306">
        <f>'Runs Z score'!A298</f>
        <v/>
      </c>
      <c r="B306">
        <f>'Runs Z score'!B298</f>
        <v/>
      </c>
      <c r="C306">
        <f>'Runs Z score'!C298</f>
        <v/>
      </c>
      <c r="D306">
        <f>'Runs Z score'!D298</f>
        <v/>
      </c>
      <c r="E306">
        <f>'Runs Z score'!E298</f>
        <v/>
      </c>
      <c r="F306">
        <f>'Runs Z score'!F298</f>
        <v/>
      </c>
      <c r="G306">
        <f>'Runs Z score'!G298</f>
        <v/>
      </c>
      <c r="H306">
        <f>VLOOKUP(C306,Recipes!$A$2:$N$4,10,FALSE())</f>
        <v/>
      </c>
      <c r="I306">
        <f>VLOOKUP(C306,Recipes!$A$2:$N$4,12,FALSE())</f>
        <v/>
      </c>
      <c r="J306">
        <f>IF(G306="","",H306-G306)</f>
        <v/>
      </c>
      <c r="K306">
        <f>IF(G306="","",IF(ABS(G306-H306)&lt;=$B$6*I306,"OK","NG"))</f>
        <v/>
      </c>
      <c r="L306">
        <f>IF(K306="","",IF(K306=D306,1,0))</f>
        <v/>
      </c>
      <c r="M306" t="inlineStr">
        <is>
          <t>NONE</t>
        </is>
      </c>
      <c r="N306" s="15" t="n">
        <v>1</v>
      </c>
      <c r="O306" s="15" t="n">
        <v>0</v>
      </c>
      <c r="P306">
        <f>IF(M306="","",IF(M306=E306,1,0))</f>
        <v/>
      </c>
      <c r="Q306">
        <f>IF(K306="OK","-",IF(N306&lt;$B$7,"AMBIGUOUS","CONFIDENT"))</f>
        <v/>
      </c>
    </row>
    <row r="307">
      <c r="A307">
        <f>'Runs Z score'!A299</f>
        <v/>
      </c>
      <c r="B307">
        <f>'Runs Z score'!B299</f>
        <v/>
      </c>
      <c r="C307">
        <f>'Runs Z score'!C299</f>
        <v/>
      </c>
      <c r="D307">
        <f>'Runs Z score'!D299</f>
        <v/>
      </c>
      <c r="E307">
        <f>'Runs Z score'!E299</f>
        <v/>
      </c>
      <c r="F307">
        <f>'Runs Z score'!F299</f>
        <v/>
      </c>
      <c r="G307">
        <f>'Runs Z score'!G299</f>
        <v/>
      </c>
      <c r="H307">
        <f>VLOOKUP(C307,Recipes!$A$2:$N$4,10,FALSE())</f>
        <v/>
      </c>
      <c r="I307">
        <f>VLOOKUP(C307,Recipes!$A$2:$N$4,12,FALSE())</f>
        <v/>
      </c>
      <c r="J307">
        <f>IF(G307="","",H307-G307)</f>
        <v/>
      </c>
      <c r="K307">
        <f>IF(G307="","",IF(ABS(G307-H307)&lt;=$B$6*I307,"OK","NG"))</f>
        <v/>
      </c>
      <c r="L307">
        <f>IF(K307="","",IF(K307=D307,1,0))</f>
        <v/>
      </c>
      <c r="M307" t="inlineStr">
        <is>
          <t>NONE</t>
        </is>
      </c>
      <c r="N307" s="15" t="n">
        <v>1</v>
      </c>
      <c r="O307" s="15" t="n">
        <v>0</v>
      </c>
      <c r="P307">
        <f>IF(M307="","",IF(M307=E307,1,0))</f>
        <v/>
      </c>
      <c r="Q307">
        <f>IF(K307="OK","-",IF(N307&lt;$B$7,"AMBIGUOUS","CONFIDENT"))</f>
        <v/>
      </c>
    </row>
    <row r="308">
      <c r="A308">
        <f>'Runs Z score'!A300</f>
        <v/>
      </c>
      <c r="B308">
        <f>'Runs Z score'!B300</f>
        <v/>
      </c>
      <c r="C308">
        <f>'Runs Z score'!C300</f>
        <v/>
      </c>
      <c r="D308">
        <f>'Runs Z score'!D300</f>
        <v/>
      </c>
      <c r="E308">
        <f>'Runs Z score'!E300</f>
        <v/>
      </c>
      <c r="F308">
        <f>'Runs Z score'!F300</f>
        <v/>
      </c>
      <c r="G308">
        <f>'Runs Z score'!G300</f>
        <v/>
      </c>
      <c r="H308">
        <f>VLOOKUP(C308,Recipes!$A$2:$N$4,10,FALSE())</f>
        <v/>
      </c>
      <c r="I308">
        <f>VLOOKUP(C308,Recipes!$A$2:$N$4,12,FALSE())</f>
        <v/>
      </c>
      <c r="J308">
        <f>IF(G308="","",H308-G308)</f>
        <v/>
      </c>
      <c r="K308">
        <f>IF(G308="","",IF(ABS(G308-H308)&lt;=$B$6*I308,"OK","NG"))</f>
        <v/>
      </c>
      <c r="L308">
        <f>IF(K308="","",IF(K308=D308,1,0))</f>
        <v/>
      </c>
      <c r="M308" t="inlineStr">
        <is>
          <t>NONE</t>
        </is>
      </c>
      <c r="N308" s="15" t="n">
        <v>1</v>
      </c>
      <c r="O308" s="15" t="n">
        <v>0</v>
      </c>
      <c r="P308">
        <f>IF(M308="","",IF(M308=E308,1,0))</f>
        <v/>
      </c>
      <c r="Q308">
        <f>IF(K308="OK","-",IF(N308&lt;$B$7,"AMBIGUOUS","CONFIDENT"))</f>
        <v/>
      </c>
    </row>
    <row r="309">
      <c r="A309">
        <f>'Runs Z score'!A301</f>
        <v/>
      </c>
      <c r="B309">
        <f>'Runs Z score'!B301</f>
        <v/>
      </c>
      <c r="C309">
        <f>'Runs Z score'!C301</f>
        <v/>
      </c>
      <c r="D309">
        <f>'Runs Z score'!D301</f>
        <v/>
      </c>
      <c r="E309">
        <f>'Runs Z score'!E301</f>
        <v/>
      </c>
      <c r="F309">
        <f>'Runs Z score'!F301</f>
        <v/>
      </c>
      <c r="G309">
        <f>'Runs Z score'!G301</f>
        <v/>
      </c>
      <c r="H309">
        <f>VLOOKUP(C309,Recipes!$A$2:$N$4,10,FALSE())</f>
        <v/>
      </c>
      <c r="I309">
        <f>VLOOKUP(C309,Recipes!$A$2:$N$4,12,FALSE())</f>
        <v/>
      </c>
      <c r="J309">
        <f>IF(G309="","",H309-G309)</f>
        <v/>
      </c>
      <c r="K309">
        <f>IF(G309="","",IF(ABS(G309-H309)&lt;=$B$6*I309,"OK","NG"))</f>
        <v/>
      </c>
      <c r="L309">
        <f>IF(K309="","",IF(K309=D309,1,0))</f>
        <v/>
      </c>
      <c r="M309" t="inlineStr">
        <is>
          <t>NONE</t>
        </is>
      </c>
      <c r="N309" s="15" t="n">
        <v>1</v>
      </c>
      <c r="O309" s="15" t="n">
        <v>0</v>
      </c>
      <c r="P309">
        <f>IF(M309="","",IF(M309=E309,1,0))</f>
        <v/>
      </c>
      <c r="Q309">
        <f>IF(K309="OK","-",IF(N309&lt;$B$7,"AMBIGUOUS","CONFIDENT"))</f>
        <v/>
      </c>
    </row>
    <row r="310">
      <c r="A310">
        <f>'Runs Z score'!A302</f>
        <v/>
      </c>
      <c r="B310">
        <f>'Runs Z score'!B302</f>
        <v/>
      </c>
      <c r="C310">
        <f>'Runs Z score'!C302</f>
        <v/>
      </c>
      <c r="D310">
        <f>'Runs Z score'!D302</f>
        <v/>
      </c>
      <c r="E310">
        <f>'Runs Z score'!E302</f>
        <v/>
      </c>
      <c r="F310">
        <f>'Runs Z score'!F302</f>
        <v/>
      </c>
      <c r="G310">
        <f>'Runs Z score'!G302</f>
        <v/>
      </c>
      <c r="H310">
        <f>VLOOKUP(C310,Recipes!$A$2:$N$4,10,FALSE())</f>
        <v/>
      </c>
      <c r="I310">
        <f>VLOOKUP(C310,Recipes!$A$2:$N$4,12,FALSE())</f>
        <v/>
      </c>
      <c r="J310">
        <f>IF(G310="","",H310-G310)</f>
        <v/>
      </c>
      <c r="K310">
        <f>IF(G310="","",IF(ABS(G310-H310)&lt;=$B$6*I310,"OK","NG"))</f>
        <v/>
      </c>
      <c r="L310">
        <f>IF(K310="","",IF(K310=D310,1,0))</f>
        <v/>
      </c>
      <c r="M310" t="inlineStr">
        <is>
          <t>NONE</t>
        </is>
      </c>
      <c r="N310" s="15" t="n">
        <v>1</v>
      </c>
      <c r="O310" s="15" t="n">
        <v>0</v>
      </c>
      <c r="P310">
        <f>IF(M310="","",IF(M310=E310,1,0))</f>
        <v/>
      </c>
      <c r="Q310">
        <f>IF(K310="OK","-",IF(N310&lt;$B$7,"AMBIGUOUS","CONFIDENT"))</f>
        <v/>
      </c>
    </row>
    <row r="311">
      <c r="A311">
        <f>'Runs Z score'!A303</f>
        <v/>
      </c>
      <c r="B311">
        <f>'Runs Z score'!B303</f>
        <v/>
      </c>
      <c r="C311">
        <f>'Runs Z score'!C303</f>
        <v/>
      </c>
      <c r="D311">
        <f>'Runs Z score'!D303</f>
        <v/>
      </c>
      <c r="E311">
        <f>'Runs Z score'!E303</f>
        <v/>
      </c>
      <c r="F311">
        <f>'Runs Z score'!F303</f>
        <v/>
      </c>
      <c r="G311">
        <f>'Runs Z score'!G303</f>
        <v/>
      </c>
      <c r="H311">
        <f>VLOOKUP(C311,Recipes!$A$2:$N$4,10,FALSE())</f>
        <v/>
      </c>
      <c r="I311">
        <f>VLOOKUP(C311,Recipes!$A$2:$N$4,12,FALSE())</f>
        <v/>
      </c>
      <c r="J311">
        <f>IF(G311="","",H311-G311)</f>
        <v/>
      </c>
      <c r="K311">
        <f>IF(G311="","",IF(ABS(G311-H311)&lt;=$B$6*I311,"OK","NG"))</f>
        <v/>
      </c>
      <c r="L311">
        <f>IF(K311="","",IF(K311=D311,1,0))</f>
        <v/>
      </c>
      <c r="M311" t="inlineStr">
        <is>
          <t>S1</t>
        </is>
      </c>
      <c r="N311" s="15" t="n">
        <v>0.999906754991328</v>
      </c>
      <c r="O311" s="15" t="n">
        <v>9.32450086720898e-05</v>
      </c>
      <c r="P311">
        <f>IF(M311="","",IF(M311=E311,1,0))</f>
        <v/>
      </c>
      <c r="Q311">
        <f>IF(K311="OK","-",IF(N311&lt;$B$7,"AMBIGUOUS","CONFIDENT"))</f>
        <v/>
      </c>
    </row>
    <row r="312">
      <c r="A312">
        <f>'Runs Z score'!A304</f>
        <v/>
      </c>
      <c r="B312">
        <f>'Runs Z score'!B304</f>
        <v/>
      </c>
      <c r="C312">
        <f>'Runs Z score'!C304</f>
        <v/>
      </c>
      <c r="D312">
        <f>'Runs Z score'!D304</f>
        <v/>
      </c>
      <c r="E312">
        <f>'Runs Z score'!E304</f>
        <v/>
      </c>
      <c r="F312">
        <f>'Runs Z score'!F304</f>
        <v/>
      </c>
      <c r="G312">
        <f>'Runs Z score'!G304</f>
        <v/>
      </c>
      <c r="H312">
        <f>VLOOKUP(C312,Recipes!$A$2:$N$4,10,FALSE())</f>
        <v/>
      </c>
      <c r="I312">
        <f>VLOOKUP(C312,Recipes!$A$2:$N$4,12,FALSE())</f>
        <v/>
      </c>
      <c r="J312">
        <f>IF(G312="","",H312-G312)</f>
        <v/>
      </c>
      <c r="K312">
        <f>IF(G312="","",IF(ABS(G312-H312)&lt;=$B$6*I312,"OK","NG"))</f>
        <v/>
      </c>
      <c r="L312">
        <f>IF(K312="","",IF(K312=D312,1,0))</f>
        <v/>
      </c>
      <c r="M312" t="inlineStr">
        <is>
          <t>S1</t>
        </is>
      </c>
      <c r="N312" s="15" t="n">
        <v>0.9998578016939116</v>
      </c>
      <c r="O312" s="15" t="n">
        <v>0.0001421983060884</v>
      </c>
      <c r="P312">
        <f>IF(M312="","",IF(M312=E312,1,0))</f>
        <v/>
      </c>
      <c r="Q312">
        <f>IF(K312="OK","-",IF(N312&lt;$B$7,"AMBIGUOUS","CONFIDENT"))</f>
        <v/>
      </c>
    </row>
    <row r="313">
      <c r="A313">
        <f>'Runs Z score'!A305</f>
        <v/>
      </c>
      <c r="B313">
        <f>'Runs Z score'!B305</f>
        <v/>
      </c>
      <c r="C313">
        <f>'Runs Z score'!C305</f>
        <v/>
      </c>
      <c r="D313">
        <f>'Runs Z score'!D305</f>
        <v/>
      </c>
      <c r="E313">
        <f>'Runs Z score'!E305</f>
        <v/>
      </c>
      <c r="F313">
        <f>'Runs Z score'!F305</f>
        <v/>
      </c>
      <c r="G313">
        <f>'Runs Z score'!G305</f>
        <v/>
      </c>
      <c r="H313">
        <f>VLOOKUP(C313,Recipes!$A$2:$N$4,10,FALSE())</f>
        <v/>
      </c>
      <c r="I313">
        <f>VLOOKUP(C313,Recipes!$A$2:$N$4,12,FALSE())</f>
        <v/>
      </c>
      <c r="J313">
        <f>IF(G313="","",H313-G313)</f>
        <v/>
      </c>
      <c r="K313">
        <f>IF(G313="","",IF(ABS(G313-H313)&lt;=$B$6*I313,"OK","NG"))</f>
        <v/>
      </c>
      <c r="L313">
        <f>IF(K313="","",IF(K313=D313,1,0))</f>
        <v/>
      </c>
      <c r="M313" t="inlineStr">
        <is>
          <t>S1</t>
        </is>
      </c>
      <c r="N313" s="15" t="n">
        <v>0.9998907129600052</v>
      </c>
      <c r="O313" s="15" t="n">
        <v>0.0001092870399949</v>
      </c>
      <c r="P313">
        <f>IF(M313="","",IF(M313=E313,1,0))</f>
        <v/>
      </c>
      <c r="Q313">
        <f>IF(K313="OK","-",IF(N313&lt;$B$7,"AMBIGUOUS","CONFIDENT"))</f>
        <v/>
      </c>
    </row>
    <row r="314">
      <c r="A314">
        <f>'Runs Z score'!A306</f>
        <v/>
      </c>
      <c r="B314">
        <f>'Runs Z score'!B306</f>
        <v/>
      </c>
      <c r="C314">
        <f>'Runs Z score'!C306</f>
        <v/>
      </c>
      <c r="D314">
        <f>'Runs Z score'!D306</f>
        <v/>
      </c>
      <c r="E314">
        <f>'Runs Z score'!E306</f>
        <v/>
      </c>
      <c r="F314">
        <f>'Runs Z score'!F306</f>
        <v/>
      </c>
      <c r="G314">
        <f>'Runs Z score'!G306</f>
        <v/>
      </c>
      <c r="H314">
        <f>VLOOKUP(C314,Recipes!$A$2:$N$4,10,FALSE())</f>
        <v/>
      </c>
      <c r="I314">
        <f>VLOOKUP(C314,Recipes!$A$2:$N$4,12,FALSE())</f>
        <v/>
      </c>
      <c r="J314">
        <f>IF(G314="","",H314-G314)</f>
        <v/>
      </c>
      <c r="K314">
        <f>IF(G314="","",IF(ABS(G314-H314)&lt;=$B$6*I314,"OK","NG"))</f>
        <v/>
      </c>
      <c r="L314">
        <f>IF(K314="","",IF(K314=D314,1,0))</f>
        <v/>
      </c>
      <c r="M314" t="inlineStr">
        <is>
          <t>S1</t>
        </is>
      </c>
      <c r="N314" s="15" t="n">
        <v>0.9998763265776668</v>
      </c>
      <c r="O314" s="15" t="n">
        <v>0.0001236734223333</v>
      </c>
      <c r="P314">
        <f>IF(M314="","",IF(M314=E314,1,0))</f>
        <v/>
      </c>
      <c r="Q314">
        <f>IF(K314="OK","-",IF(N314&lt;$B$7,"AMBIGUOUS","CONFIDENT"))</f>
        <v/>
      </c>
    </row>
    <row r="315">
      <c r="A315">
        <f>'Runs Z score'!A307</f>
        <v/>
      </c>
      <c r="B315">
        <f>'Runs Z score'!B307</f>
        <v/>
      </c>
      <c r="C315">
        <f>'Runs Z score'!C307</f>
        <v/>
      </c>
      <c r="D315">
        <f>'Runs Z score'!D307</f>
        <v/>
      </c>
      <c r="E315">
        <f>'Runs Z score'!E307</f>
        <v/>
      </c>
      <c r="F315">
        <f>'Runs Z score'!F307</f>
        <v/>
      </c>
      <c r="G315">
        <f>'Runs Z score'!G307</f>
        <v/>
      </c>
      <c r="H315">
        <f>VLOOKUP(C315,Recipes!$A$2:$N$4,10,FALSE())</f>
        <v/>
      </c>
      <c r="I315">
        <f>VLOOKUP(C315,Recipes!$A$2:$N$4,12,FALSE())</f>
        <v/>
      </c>
      <c r="J315">
        <f>IF(G315="","",H315-G315)</f>
        <v/>
      </c>
      <c r="K315">
        <f>IF(G315="","",IF(ABS(G315-H315)&lt;=$B$6*I315,"OK","NG"))</f>
        <v/>
      </c>
      <c r="L315">
        <f>IF(K315="","",IF(K315=D315,1,0))</f>
        <v/>
      </c>
      <c r="M315" t="inlineStr">
        <is>
          <t>S1</t>
        </is>
      </c>
      <c r="N315" s="15" t="n">
        <v>0.9998744030814036</v>
      </c>
      <c r="O315" s="15" t="n">
        <v>0.0001255969185964</v>
      </c>
      <c r="P315">
        <f>IF(M315="","",IF(M315=E315,1,0))</f>
        <v/>
      </c>
      <c r="Q315">
        <f>IF(K315="OK","-",IF(N315&lt;$B$7,"AMBIGUOUS","CONFIDENT"))</f>
        <v/>
      </c>
    </row>
    <row r="316">
      <c r="A316">
        <f>'Runs Z score'!A308</f>
        <v/>
      </c>
      <c r="B316">
        <f>'Runs Z score'!B308</f>
        <v/>
      </c>
      <c r="C316">
        <f>'Runs Z score'!C308</f>
        <v/>
      </c>
      <c r="D316">
        <f>'Runs Z score'!D308</f>
        <v/>
      </c>
      <c r="E316">
        <f>'Runs Z score'!E308</f>
        <v/>
      </c>
      <c r="F316">
        <f>'Runs Z score'!F308</f>
        <v/>
      </c>
      <c r="G316">
        <f>'Runs Z score'!G308</f>
        <v/>
      </c>
      <c r="H316">
        <f>VLOOKUP(C316,Recipes!$A$2:$N$4,10,FALSE())</f>
        <v/>
      </c>
      <c r="I316">
        <f>VLOOKUP(C316,Recipes!$A$2:$N$4,12,FALSE())</f>
        <v/>
      </c>
      <c r="J316">
        <f>IF(G316="","",H316-G316)</f>
        <v/>
      </c>
      <c r="K316">
        <f>IF(G316="","",IF(ABS(G316-H316)&lt;=$B$6*I316,"OK","NG"))</f>
        <v/>
      </c>
      <c r="L316">
        <f>IF(K316="","",IF(K316=D316,1,0))</f>
        <v/>
      </c>
      <c r="M316" t="inlineStr">
        <is>
          <t>S1</t>
        </is>
      </c>
      <c r="N316" s="15" t="n">
        <v>0.9999419187144492</v>
      </c>
      <c r="O316" s="15" t="n">
        <v>5.808128555087165e-05</v>
      </c>
      <c r="P316">
        <f>IF(M316="","",IF(M316=E316,1,0))</f>
        <v/>
      </c>
      <c r="Q316">
        <f>IF(K316="OK","-",IF(N316&lt;$B$7,"AMBIGUOUS","CONFIDENT"))</f>
        <v/>
      </c>
    </row>
    <row r="317">
      <c r="A317">
        <f>'Runs Z score'!A309</f>
        <v/>
      </c>
      <c r="B317">
        <f>'Runs Z score'!B309</f>
        <v/>
      </c>
      <c r="C317">
        <f>'Runs Z score'!C309</f>
        <v/>
      </c>
      <c r="D317">
        <f>'Runs Z score'!D309</f>
        <v/>
      </c>
      <c r="E317">
        <f>'Runs Z score'!E309</f>
        <v/>
      </c>
      <c r="F317">
        <f>'Runs Z score'!F309</f>
        <v/>
      </c>
      <c r="G317">
        <f>'Runs Z score'!G309</f>
        <v/>
      </c>
      <c r="H317">
        <f>VLOOKUP(C317,Recipes!$A$2:$N$4,10,FALSE())</f>
        <v/>
      </c>
      <c r="I317">
        <f>VLOOKUP(C317,Recipes!$A$2:$N$4,12,FALSE())</f>
        <v/>
      </c>
      <c r="J317">
        <f>IF(G317="","",H317-G317)</f>
        <v/>
      </c>
      <c r="K317">
        <f>IF(G317="","",IF(ABS(G317-H317)&lt;=$B$6*I317,"OK","NG"))</f>
        <v/>
      </c>
      <c r="L317">
        <f>IF(K317="","",IF(K317=D317,1,0))</f>
        <v/>
      </c>
      <c r="M317" t="inlineStr">
        <is>
          <t>S1</t>
        </is>
      </c>
      <c r="N317" s="15" t="n">
        <v>0.9998911784940416</v>
      </c>
      <c r="O317" s="15" t="n">
        <v>0.0001088215059585</v>
      </c>
      <c r="P317">
        <f>IF(M317="","",IF(M317=E317,1,0))</f>
        <v/>
      </c>
      <c r="Q317">
        <f>IF(K317="OK","-",IF(N317&lt;$B$7,"AMBIGUOUS","CONFIDENT"))</f>
        <v/>
      </c>
    </row>
    <row r="318">
      <c r="A318">
        <f>'Runs Z score'!A310</f>
        <v/>
      </c>
      <c r="B318">
        <f>'Runs Z score'!B310</f>
        <v/>
      </c>
      <c r="C318">
        <f>'Runs Z score'!C310</f>
        <v/>
      </c>
      <c r="D318">
        <f>'Runs Z score'!D310</f>
        <v/>
      </c>
      <c r="E318">
        <f>'Runs Z score'!E310</f>
        <v/>
      </c>
      <c r="F318">
        <f>'Runs Z score'!F310</f>
        <v/>
      </c>
      <c r="G318">
        <f>'Runs Z score'!G310</f>
        <v/>
      </c>
      <c r="H318">
        <f>VLOOKUP(C318,Recipes!$A$2:$N$4,10,FALSE())</f>
        <v/>
      </c>
      <c r="I318">
        <f>VLOOKUP(C318,Recipes!$A$2:$N$4,12,FALSE())</f>
        <v/>
      </c>
      <c r="J318">
        <f>IF(G318="","",H318-G318)</f>
        <v/>
      </c>
      <c r="K318">
        <f>IF(G318="","",IF(ABS(G318-H318)&lt;=$B$6*I318,"OK","NG"))</f>
        <v/>
      </c>
      <c r="L318">
        <f>IF(K318="","",IF(K318=D318,1,0))</f>
        <v/>
      </c>
      <c r="M318" t="inlineStr">
        <is>
          <t>S1</t>
        </is>
      </c>
      <c r="N318" s="15" t="n">
        <v>0.999976781429136</v>
      </c>
      <c r="O318" s="15" t="n">
        <v>2.321857086386127e-05</v>
      </c>
      <c r="P318">
        <f>IF(M318="","",IF(M318=E318,1,0))</f>
        <v/>
      </c>
      <c r="Q318">
        <f>IF(K318="OK","-",IF(N318&lt;$B$7,"AMBIGUOUS","CONFIDENT"))</f>
        <v/>
      </c>
    </row>
    <row r="319">
      <c r="A319">
        <f>'Runs Z score'!A311</f>
        <v/>
      </c>
      <c r="B319">
        <f>'Runs Z score'!B311</f>
        <v/>
      </c>
      <c r="C319">
        <f>'Runs Z score'!C311</f>
        <v/>
      </c>
      <c r="D319">
        <f>'Runs Z score'!D311</f>
        <v/>
      </c>
      <c r="E319">
        <f>'Runs Z score'!E311</f>
        <v/>
      </c>
      <c r="F319">
        <f>'Runs Z score'!F311</f>
        <v/>
      </c>
      <c r="G319">
        <f>'Runs Z score'!G311</f>
        <v/>
      </c>
      <c r="H319">
        <f>VLOOKUP(C319,Recipes!$A$2:$N$4,10,FALSE())</f>
        <v/>
      </c>
      <c r="I319">
        <f>VLOOKUP(C319,Recipes!$A$2:$N$4,12,FALSE())</f>
        <v/>
      </c>
      <c r="J319">
        <f>IF(G319="","",H319-G319)</f>
        <v/>
      </c>
      <c r="K319">
        <f>IF(G319="","",IF(ABS(G319-H319)&lt;=$B$6*I319,"OK","NG"))</f>
        <v/>
      </c>
      <c r="L319">
        <f>IF(K319="","",IF(K319=D319,1,0))</f>
        <v/>
      </c>
      <c r="M319" t="inlineStr">
        <is>
          <t>S1</t>
        </is>
      </c>
      <c r="N319" s="15" t="n">
        <v>0.9997142506932336</v>
      </c>
      <c r="O319" s="15" t="n">
        <v>0.0002857493067663</v>
      </c>
      <c r="P319">
        <f>IF(M319="","",IF(M319=E319,1,0))</f>
        <v/>
      </c>
      <c r="Q319">
        <f>IF(K319="OK","-",IF(N319&lt;$B$7,"AMBIGUOUS","CONFIDENT"))</f>
        <v/>
      </c>
    </row>
    <row r="320">
      <c r="A320">
        <f>'Runs Z score'!A312</f>
        <v/>
      </c>
      <c r="B320">
        <f>'Runs Z score'!B312</f>
        <v/>
      </c>
      <c r="C320">
        <f>'Runs Z score'!C312</f>
        <v/>
      </c>
      <c r="D320">
        <f>'Runs Z score'!D312</f>
        <v/>
      </c>
      <c r="E320">
        <f>'Runs Z score'!E312</f>
        <v/>
      </c>
      <c r="F320">
        <f>'Runs Z score'!F312</f>
        <v/>
      </c>
      <c r="G320">
        <f>'Runs Z score'!G312</f>
        <v/>
      </c>
      <c r="H320">
        <f>VLOOKUP(C320,Recipes!$A$2:$N$4,10,FALSE())</f>
        <v/>
      </c>
      <c r="I320">
        <f>VLOOKUP(C320,Recipes!$A$2:$N$4,12,FALSE())</f>
        <v/>
      </c>
      <c r="J320">
        <f>IF(G320="","",H320-G320)</f>
        <v/>
      </c>
      <c r="K320">
        <f>IF(G320="","",IF(ABS(G320-H320)&lt;=$B$6*I320,"OK","NG"))</f>
        <v/>
      </c>
      <c r="L320">
        <f>IF(K320="","",IF(K320=D320,1,0))</f>
        <v/>
      </c>
      <c r="M320" t="inlineStr">
        <is>
          <t>S1</t>
        </is>
      </c>
      <c r="N320" s="15" t="n">
        <v>0.9997787285623</v>
      </c>
      <c r="O320" s="15" t="n">
        <v>0.0002212714377</v>
      </c>
      <c r="P320">
        <f>IF(M320="","",IF(M320=E320,1,0))</f>
        <v/>
      </c>
      <c r="Q320">
        <f>IF(K320="OK","-",IF(N320&lt;$B$7,"AMBIGUOUS","CONFIDENT"))</f>
        <v/>
      </c>
    </row>
    <row r="321">
      <c r="A321">
        <f>'Runs Z score'!A313</f>
        <v/>
      </c>
      <c r="B321">
        <f>'Runs Z score'!B313</f>
        <v/>
      </c>
      <c r="C321">
        <f>'Runs Z score'!C313</f>
        <v/>
      </c>
      <c r="D321">
        <f>'Runs Z score'!D313</f>
        <v/>
      </c>
      <c r="E321">
        <f>'Runs Z score'!E313</f>
        <v/>
      </c>
      <c r="F321">
        <f>'Runs Z score'!F313</f>
        <v/>
      </c>
      <c r="G321">
        <f>'Runs Z score'!G313</f>
        <v/>
      </c>
      <c r="H321">
        <f>VLOOKUP(C321,Recipes!$A$2:$N$4,10,FALSE())</f>
        <v/>
      </c>
      <c r="I321">
        <f>VLOOKUP(C321,Recipes!$A$2:$N$4,12,FALSE())</f>
        <v/>
      </c>
      <c r="J321">
        <f>IF(G321="","",H321-G321)</f>
        <v/>
      </c>
      <c r="K321">
        <f>IF(G321="","",IF(ABS(G321-H321)&lt;=$B$6*I321,"OK","NG"))</f>
        <v/>
      </c>
      <c r="L321">
        <f>IF(K321="","",IF(K321=D321,1,0))</f>
        <v/>
      </c>
      <c r="M321" t="inlineStr">
        <is>
          <t>S1</t>
        </is>
      </c>
      <c r="N321" s="15" t="n">
        <v>0.9999244390681888</v>
      </c>
      <c r="O321" s="15" t="n">
        <v>7.556093181137288e-05</v>
      </c>
      <c r="P321">
        <f>IF(M321="","",IF(M321=E321,1,0))</f>
        <v/>
      </c>
      <c r="Q321">
        <f>IF(K321="OK","-",IF(N321&lt;$B$7,"AMBIGUOUS","CONFIDENT"))</f>
        <v/>
      </c>
    </row>
    <row r="322">
      <c r="A322">
        <f>'Runs Z score'!A314</f>
        <v/>
      </c>
      <c r="B322">
        <f>'Runs Z score'!B314</f>
        <v/>
      </c>
      <c r="C322">
        <f>'Runs Z score'!C314</f>
        <v/>
      </c>
      <c r="D322">
        <f>'Runs Z score'!D314</f>
        <v/>
      </c>
      <c r="E322">
        <f>'Runs Z score'!E314</f>
        <v/>
      </c>
      <c r="F322">
        <f>'Runs Z score'!F314</f>
        <v/>
      </c>
      <c r="G322">
        <f>'Runs Z score'!G314</f>
        <v/>
      </c>
      <c r="H322">
        <f>VLOOKUP(C322,Recipes!$A$2:$N$4,10,FALSE())</f>
        <v/>
      </c>
      <c r="I322">
        <f>VLOOKUP(C322,Recipes!$A$2:$N$4,12,FALSE())</f>
        <v/>
      </c>
      <c r="J322">
        <f>IF(G322="","",H322-G322)</f>
        <v/>
      </c>
      <c r="K322">
        <f>IF(G322="","",IF(ABS(G322-H322)&lt;=$B$6*I322,"OK","NG"))</f>
        <v/>
      </c>
      <c r="L322">
        <f>IF(K322="","",IF(K322=D322,1,0))</f>
        <v/>
      </c>
      <c r="M322" t="inlineStr">
        <is>
          <t>S1</t>
        </is>
      </c>
      <c r="N322" s="15" t="n">
        <v>0.9998763265776668</v>
      </c>
      <c r="O322" s="15" t="n">
        <v>0.0001236734223333</v>
      </c>
      <c r="P322">
        <f>IF(M322="","",IF(M322=E322,1,0))</f>
        <v/>
      </c>
      <c r="Q322">
        <f>IF(K322="OK","-",IF(N322&lt;$B$7,"AMBIGUOUS","CONFIDENT"))</f>
        <v/>
      </c>
    </row>
    <row r="323">
      <c r="A323">
        <f>'Runs Z score'!A315</f>
        <v/>
      </c>
      <c r="B323">
        <f>'Runs Z score'!B315</f>
        <v/>
      </c>
      <c r="C323">
        <f>'Runs Z score'!C315</f>
        <v/>
      </c>
      <c r="D323">
        <f>'Runs Z score'!D315</f>
        <v/>
      </c>
      <c r="E323">
        <f>'Runs Z score'!E315</f>
        <v/>
      </c>
      <c r="F323">
        <f>'Runs Z score'!F315</f>
        <v/>
      </c>
      <c r="G323">
        <f>'Runs Z score'!G315</f>
        <v/>
      </c>
      <c r="H323">
        <f>VLOOKUP(C323,Recipes!$A$2:$N$4,10,FALSE())</f>
        <v/>
      </c>
      <c r="I323">
        <f>VLOOKUP(C323,Recipes!$A$2:$N$4,12,FALSE())</f>
        <v/>
      </c>
      <c r="J323">
        <f>IF(G323="","",H323-G323)</f>
        <v/>
      </c>
      <c r="K323">
        <f>IF(G323="","",IF(ABS(G323-H323)&lt;=$B$6*I323,"OK","NG"))</f>
        <v/>
      </c>
      <c r="L323">
        <f>IF(K323="","",IF(K323=D323,1,0))</f>
        <v/>
      </c>
      <c r="M323" t="inlineStr">
        <is>
          <t>S1</t>
        </is>
      </c>
      <c r="N323" s="15" t="n">
        <v>0.9999244390681888</v>
      </c>
      <c r="O323" s="15" t="n">
        <v>7.556093181137288e-05</v>
      </c>
      <c r="P323">
        <f>IF(M323="","",IF(M323=E323,1,0))</f>
        <v/>
      </c>
      <c r="Q323">
        <f>IF(K323="OK","-",IF(N323&lt;$B$7,"AMBIGUOUS","CONFIDENT"))</f>
        <v/>
      </c>
    </row>
    <row r="324">
      <c r="A324">
        <f>'Runs Z score'!A316</f>
        <v/>
      </c>
      <c r="B324">
        <f>'Runs Z score'!B316</f>
        <v/>
      </c>
      <c r="C324">
        <f>'Runs Z score'!C316</f>
        <v/>
      </c>
      <c r="D324">
        <f>'Runs Z score'!D316</f>
        <v/>
      </c>
      <c r="E324">
        <f>'Runs Z score'!E316</f>
        <v/>
      </c>
      <c r="F324">
        <f>'Runs Z score'!F316</f>
        <v/>
      </c>
      <c r="G324">
        <f>'Runs Z score'!G316</f>
        <v/>
      </c>
      <c r="H324">
        <f>VLOOKUP(C324,Recipes!$A$2:$N$4,10,FALSE())</f>
        <v/>
      </c>
      <c r="I324">
        <f>VLOOKUP(C324,Recipes!$A$2:$N$4,12,FALSE())</f>
        <v/>
      </c>
      <c r="J324">
        <f>IF(G324="","",H324-G324)</f>
        <v/>
      </c>
      <c r="K324">
        <f>IF(G324="","",IF(ABS(G324-H324)&lt;=$B$6*I324,"OK","NG"))</f>
        <v/>
      </c>
      <c r="L324">
        <f>IF(K324="","",IF(K324=D324,1,0))</f>
        <v/>
      </c>
      <c r="M324" t="inlineStr">
        <is>
          <t>S1</t>
        </is>
      </c>
      <c r="N324" s="15" t="n">
        <v>0.9998924383918836</v>
      </c>
      <c r="O324" s="15" t="n">
        <v>0.0001075616081166</v>
      </c>
      <c r="P324">
        <f>IF(M324="","",IF(M324=E324,1,0))</f>
        <v/>
      </c>
      <c r="Q324">
        <f>IF(K324="OK","-",IF(N324&lt;$B$7,"AMBIGUOUS","CONFIDENT"))</f>
        <v/>
      </c>
    </row>
    <row r="325">
      <c r="A325">
        <f>'Runs Z score'!A317</f>
        <v/>
      </c>
      <c r="B325">
        <f>'Runs Z score'!B317</f>
        <v/>
      </c>
      <c r="C325">
        <f>'Runs Z score'!C317</f>
        <v/>
      </c>
      <c r="D325">
        <f>'Runs Z score'!D317</f>
        <v/>
      </c>
      <c r="E325">
        <f>'Runs Z score'!E317</f>
        <v/>
      </c>
      <c r="F325">
        <f>'Runs Z score'!F317</f>
        <v/>
      </c>
      <c r="G325">
        <f>'Runs Z score'!G317</f>
        <v/>
      </c>
      <c r="H325">
        <f>VLOOKUP(C325,Recipes!$A$2:$N$4,10,FALSE())</f>
        <v/>
      </c>
      <c r="I325">
        <f>VLOOKUP(C325,Recipes!$A$2:$N$4,12,FALSE())</f>
        <v/>
      </c>
      <c r="J325">
        <f>IF(G325="","",H325-G325)</f>
        <v/>
      </c>
      <c r="K325">
        <f>IF(G325="","",IF(ABS(G325-H325)&lt;=$B$6*I325,"OK","NG"))</f>
        <v/>
      </c>
      <c r="L325">
        <f>IF(K325="","",IF(K325=D325,1,0))</f>
        <v/>
      </c>
      <c r="M325" t="inlineStr">
        <is>
          <t>S1</t>
        </is>
      </c>
      <c r="N325" s="15" t="n">
        <v>0.999968661369781</v>
      </c>
      <c r="O325" s="15" t="n">
        <v>3.133863021885271e-05</v>
      </c>
      <c r="P325">
        <f>IF(M325="","",IF(M325=E325,1,0))</f>
        <v/>
      </c>
      <c r="Q325">
        <f>IF(K325="OK","-",IF(N325&lt;$B$7,"AMBIGUOUS","CONFIDENT"))</f>
        <v/>
      </c>
    </row>
    <row r="326">
      <c r="A326">
        <f>'Runs Z score'!A318</f>
        <v/>
      </c>
      <c r="B326">
        <f>'Runs Z score'!B318</f>
        <v/>
      </c>
      <c r="C326">
        <f>'Runs Z score'!C318</f>
        <v/>
      </c>
      <c r="D326">
        <f>'Runs Z score'!D318</f>
        <v/>
      </c>
      <c r="E326">
        <f>'Runs Z score'!E318</f>
        <v/>
      </c>
      <c r="F326">
        <f>'Runs Z score'!F318</f>
        <v/>
      </c>
      <c r="G326">
        <f>'Runs Z score'!G318</f>
        <v/>
      </c>
      <c r="H326">
        <f>VLOOKUP(C326,Recipes!$A$2:$N$4,10,FALSE())</f>
        <v/>
      </c>
      <c r="I326">
        <f>VLOOKUP(C326,Recipes!$A$2:$N$4,12,FALSE())</f>
        <v/>
      </c>
      <c r="J326">
        <f>IF(G326="","",H326-G326)</f>
        <v/>
      </c>
      <c r="K326">
        <f>IF(G326="","",IF(ABS(G326-H326)&lt;=$B$6*I326,"OK","NG"))</f>
        <v/>
      </c>
      <c r="L326">
        <f>IF(K326="","",IF(K326=D326,1,0))</f>
        <v/>
      </c>
      <c r="M326" t="inlineStr">
        <is>
          <t>S1</t>
        </is>
      </c>
      <c r="N326" s="15" t="n">
        <v>0.9998511798113868</v>
      </c>
      <c r="O326" s="15" t="n">
        <v>0.000148820188613</v>
      </c>
      <c r="P326">
        <f>IF(M326="","",IF(M326=E326,1,0))</f>
        <v/>
      </c>
      <c r="Q326">
        <f>IF(K326="OK","-",IF(N326&lt;$B$7,"AMBIGUOUS","CONFIDENT"))</f>
        <v/>
      </c>
    </row>
    <row r="327">
      <c r="A327">
        <f>'Runs Z score'!A319</f>
        <v/>
      </c>
      <c r="B327">
        <f>'Runs Z score'!B319</f>
        <v/>
      </c>
      <c r="C327">
        <f>'Runs Z score'!C319</f>
        <v/>
      </c>
      <c r="D327">
        <f>'Runs Z score'!D319</f>
        <v/>
      </c>
      <c r="E327">
        <f>'Runs Z score'!E319</f>
        <v/>
      </c>
      <c r="F327">
        <f>'Runs Z score'!F319</f>
        <v/>
      </c>
      <c r="G327">
        <f>'Runs Z score'!G319</f>
        <v/>
      </c>
      <c r="H327">
        <f>VLOOKUP(C327,Recipes!$A$2:$N$4,10,FALSE())</f>
        <v/>
      </c>
      <c r="I327">
        <f>VLOOKUP(C327,Recipes!$A$2:$N$4,12,FALSE())</f>
        <v/>
      </c>
      <c r="J327">
        <f>IF(G327="","",H327-G327)</f>
        <v/>
      </c>
      <c r="K327">
        <f>IF(G327="","",IF(ABS(G327-H327)&lt;=$B$6*I327,"OK","NG"))</f>
        <v/>
      </c>
      <c r="L327">
        <f>IF(K327="","",IF(K327=D327,1,0))</f>
        <v/>
      </c>
      <c r="M327" t="inlineStr">
        <is>
          <t>S1</t>
        </is>
      </c>
      <c r="N327" s="15" t="n">
        <v>0.9999523226684872</v>
      </c>
      <c r="O327" s="15" t="n">
        <v>4.767733151284393e-05</v>
      </c>
      <c r="P327">
        <f>IF(M327="","",IF(M327=E327,1,0))</f>
        <v/>
      </c>
      <c r="Q327">
        <f>IF(K327="OK","-",IF(N327&lt;$B$7,"AMBIGUOUS","CONFIDENT"))</f>
        <v/>
      </c>
    </row>
    <row r="328">
      <c r="A328">
        <f>'Runs Z score'!A320</f>
        <v/>
      </c>
      <c r="B328">
        <f>'Runs Z score'!B320</f>
        <v/>
      </c>
      <c r="C328">
        <f>'Runs Z score'!C320</f>
        <v/>
      </c>
      <c r="D328">
        <f>'Runs Z score'!D320</f>
        <v/>
      </c>
      <c r="E328">
        <f>'Runs Z score'!E320</f>
        <v/>
      </c>
      <c r="F328">
        <f>'Runs Z score'!F320</f>
        <v/>
      </c>
      <c r="G328">
        <f>'Runs Z score'!G320</f>
        <v/>
      </c>
      <c r="H328">
        <f>VLOOKUP(C328,Recipes!$A$2:$N$4,10,FALSE())</f>
        <v/>
      </c>
      <c r="I328">
        <f>VLOOKUP(C328,Recipes!$A$2:$N$4,12,FALSE())</f>
        <v/>
      </c>
      <c r="J328">
        <f>IF(G328="","",H328-G328)</f>
        <v/>
      </c>
      <c r="K328">
        <f>IF(G328="","",IF(ABS(G328-H328)&lt;=$B$6*I328,"OK","NG"))</f>
        <v/>
      </c>
      <c r="L328">
        <f>IF(K328="","",IF(K328=D328,1,0))</f>
        <v/>
      </c>
      <c r="M328" t="inlineStr">
        <is>
          <t>S1</t>
        </is>
      </c>
      <c r="N328" s="15" t="n">
        <v>0.999837218121678</v>
      </c>
      <c r="O328" s="15" t="n">
        <v>0.0001627818783218</v>
      </c>
      <c r="P328">
        <f>IF(M328="","",IF(M328=E328,1,0))</f>
        <v/>
      </c>
      <c r="Q328">
        <f>IF(K328="OK","-",IF(N328&lt;$B$7,"AMBIGUOUS","CONFIDENT"))</f>
        <v/>
      </c>
    </row>
    <row r="329">
      <c r="A329">
        <f>'Runs Z score'!A321</f>
        <v/>
      </c>
      <c r="B329">
        <f>'Runs Z score'!B321</f>
        <v/>
      </c>
      <c r="C329">
        <f>'Runs Z score'!C321</f>
        <v/>
      </c>
      <c r="D329">
        <f>'Runs Z score'!D321</f>
        <v/>
      </c>
      <c r="E329">
        <f>'Runs Z score'!E321</f>
        <v/>
      </c>
      <c r="F329">
        <f>'Runs Z score'!F321</f>
        <v/>
      </c>
      <c r="G329">
        <f>'Runs Z score'!G321</f>
        <v/>
      </c>
      <c r="H329">
        <f>VLOOKUP(C329,Recipes!$A$2:$N$4,10,FALSE())</f>
        <v/>
      </c>
      <c r="I329">
        <f>VLOOKUP(C329,Recipes!$A$2:$N$4,12,FALSE())</f>
        <v/>
      </c>
      <c r="J329">
        <f>IF(G329="","",H329-G329)</f>
        <v/>
      </c>
      <c r="K329">
        <f>IF(G329="","",IF(ABS(G329-H329)&lt;=$B$6*I329,"OK","NG"))</f>
        <v/>
      </c>
      <c r="L329">
        <f>IF(K329="","",IF(K329=D329,1,0))</f>
        <v/>
      </c>
      <c r="M329" t="inlineStr">
        <is>
          <t>S1</t>
        </is>
      </c>
      <c r="N329" s="15" t="n">
        <v>0.9999315373005776</v>
      </c>
      <c r="O329" s="15" t="n">
        <v>6.8462699422283e-05</v>
      </c>
      <c r="P329">
        <f>IF(M329="","",IF(M329=E329,1,0))</f>
        <v/>
      </c>
      <c r="Q329">
        <f>IF(K329="OK","-",IF(N329&lt;$B$7,"AMBIGUOUS","CONFIDENT"))</f>
        <v/>
      </c>
    </row>
    <row r="330">
      <c r="A330">
        <f>'Runs Z score'!A322</f>
        <v/>
      </c>
      <c r="B330">
        <f>'Runs Z score'!B322</f>
        <v/>
      </c>
      <c r="C330">
        <f>'Runs Z score'!C322</f>
        <v/>
      </c>
      <c r="D330">
        <f>'Runs Z score'!D322</f>
        <v/>
      </c>
      <c r="E330">
        <f>'Runs Z score'!E322</f>
        <v/>
      </c>
      <c r="F330">
        <f>'Runs Z score'!F322</f>
        <v/>
      </c>
      <c r="G330">
        <f>'Runs Z score'!G322</f>
        <v/>
      </c>
      <c r="H330">
        <f>VLOOKUP(C330,Recipes!$A$2:$N$4,10,FALSE())</f>
        <v/>
      </c>
      <c r="I330">
        <f>VLOOKUP(C330,Recipes!$A$2:$N$4,12,FALSE())</f>
        <v/>
      </c>
      <c r="J330">
        <f>IF(G330="","",H330-G330)</f>
        <v/>
      </c>
      <c r="K330">
        <f>IF(G330="","",IF(ABS(G330-H330)&lt;=$B$6*I330,"OK","NG"))</f>
        <v/>
      </c>
      <c r="L330">
        <f>IF(K330="","",IF(K330=D330,1,0))</f>
        <v/>
      </c>
      <c r="M330" t="inlineStr">
        <is>
          <t>S1</t>
        </is>
      </c>
      <c r="N330" s="15" t="n">
        <v>0.999964925962368</v>
      </c>
      <c r="O330" s="15" t="n">
        <v>3.507403763206256e-05</v>
      </c>
      <c r="P330">
        <f>IF(M330="","",IF(M330=E330,1,0))</f>
        <v/>
      </c>
      <c r="Q330">
        <f>IF(K330="OK","-",IF(N330&lt;$B$7,"AMBIGUOUS","CONFIDENT"))</f>
        <v/>
      </c>
    </row>
    <row r="331">
      <c r="A331">
        <f>'Runs Z score'!A323</f>
        <v/>
      </c>
      <c r="B331">
        <f>'Runs Z score'!B323</f>
        <v/>
      </c>
      <c r="C331">
        <f>'Runs Z score'!C323</f>
        <v/>
      </c>
      <c r="D331">
        <f>'Runs Z score'!D323</f>
        <v/>
      </c>
      <c r="E331">
        <f>'Runs Z score'!E323</f>
        <v/>
      </c>
      <c r="F331">
        <f>'Runs Z score'!F323</f>
        <v/>
      </c>
      <c r="G331">
        <f>'Runs Z score'!G323</f>
        <v/>
      </c>
      <c r="H331">
        <f>VLOOKUP(C331,Recipes!$A$2:$N$4,10,FALSE())</f>
        <v/>
      </c>
      <c r="I331">
        <f>VLOOKUP(C331,Recipes!$A$2:$N$4,12,FALSE())</f>
        <v/>
      </c>
      <c r="J331">
        <f>IF(G331="","",H331-G331)</f>
        <v/>
      </c>
      <c r="K331">
        <f>IF(G331="","",IF(ABS(G331-H331)&lt;=$B$6*I331,"OK","NG"))</f>
        <v/>
      </c>
      <c r="L331">
        <f>IF(K331="","",IF(K331=D331,1,0))</f>
        <v/>
      </c>
      <c r="M331" t="inlineStr">
        <is>
          <t>S1</t>
        </is>
      </c>
      <c r="N331" s="15" t="n">
        <v>0.9999853117019228</v>
      </c>
      <c r="O331" s="15" t="n">
        <v>1.468829807735006e-05</v>
      </c>
      <c r="P331">
        <f>IF(M331="","",IF(M331=E331,1,0))</f>
        <v/>
      </c>
      <c r="Q331">
        <f>IF(K331="OK","-",IF(N331&lt;$B$7,"AMBIGUOUS","CONFIDENT"))</f>
        <v/>
      </c>
    </row>
    <row r="332">
      <c r="A332">
        <f>'Runs Z score'!A324</f>
        <v/>
      </c>
      <c r="B332">
        <f>'Runs Z score'!B324</f>
        <v/>
      </c>
      <c r="C332">
        <f>'Runs Z score'!C324</f>
        <v/>
      </c>
      <c r="D332">
        <f>'Runs Z score'!D324</f>
        <v/>
      </c>
      <c r="E332">
        <f>'Runs Z score'!E324</f>
        <v/>
      </c>
      <c r="F332">
        <f>'Runs Z score'!F324</f>
        <v/>
      </c>
      <c r="G332">
        <f>'Runs Z score'!G324</f>
        <v/>
      </c>
      <c r="H332">
        <f>VLOOKUP(C332,Recipes!$A$2:$N$4,10,FALSE())</f>
        <v/>
      </c>
      <c r="I332">
        <f>VLOOKUP(C332,Recipes!$A$2:$N$4,12,FALSE())</f>
        <v/>
      </c>
      <c r="J332">
        <f>IF(G332="","",H332-G332)</f>
        <v/>
      </c>
      <c r="K332">
        <f>IF(G332="","",IF(ABS(G332-H332)&lt;=$B$6*I332,"OK","NG"))</f>
        <v/>
      </c>
      <c r="L332">
        <f>IF(K332="","",IF(K332=D332,1,0))</f>
        <v/>
      </c>
      <c r="M332" t="inlineStr">
        <is>
          <t>S1</t>
        </is>
      </c>
      <c r="N332" s="15" t="n">
        <v>0.9999630934841568</v>
      </c>
      <c r="O332" s="15" t="n">
        <v>3.690651584303309e-05</v>
      </c>
      <c r="P332">
        <f>IF(M332="","",IF(M332=E332,1,0))</f>
        <v/>
      </c>
      <c r="Q332">
        <f>IF(K332="OK","-",IF(N332&lt;$B$7,"AMBIGUOUS","CONFIDENT"))</f>
        <v/>
      </c>
    </row>
    <row r="333">
      <c r="A333">
        <f>'Runs Z score'!A325</f>
        <v/>
      </c>
      <c r="B333">
        <f>'Runs Z score'!B325</f>
        <v/>
      </c>
      <c r="C333">
        <f>'Runs Z score'!C325</f>
        <v/>
      </c>
      <c r="D333">
        <f>'Runs Z score'!D325</f>
        <v/>
      </c>
      <c r="E333">
        <f>'Runs Z score'!E325</f>
        <v/>
      </c>
      <c r="F333">
        <f>'Runs Z score'!F325</f>
        <v/>
      </c>
      <c r="G333">
        <f>'Runs Z score'!G325</f>
        <v/>
      </c>
      <c r="H333">
        <f>VLOOKUP(C333,Recipes!$A$2:$N$4,10,FALSE())</f>
        <v/>
      </c>
      <c r="I333">
        <f>VLOOKUP(C333,Recipes!$A$2:$N$4,12,FALSE())</f>
        <v/>
      </c>
      <c r="J333">
        <f>IF(G333="","",H333-G333)</f>
        <v/>
      </c>
      <c r="K333">
        <f>IF(G333="","",IF(ABS(G333-H333)&lt;=$B$6*I333,"OK","NG"))</f>
        <v/>
      </c>
      <c r="L333">
        <f>IF(K333="","",IF(K333=D333,1,0))</f>
        <v/>
      </c>
      <c r="M333" t="inlineStr">
        <is>
          <t>S1</t>
        </is>
      </c>
      <c r="N333" s="15" t="n">
        <v>0.9999494936470515</v>
      </c>
      <c r="O333" s="15" t="n">
        <v>5.050635294832089e-05</v>
      </c>
      <c r="P333">
        <f>IF(M333="","",IF(M333=E333,1,0))</f>
        <v/>
      </c>
      <c r="Q333">
        <f>IF(K333="OK","-",IF(N333&lt;$B$7,"AMBIGUOUS","CONFIDENT"))</f>
        <v/>
      </c>
    </row>
    <row r="334">
      <c r="A334">
        <f>'Runs Z score'!A326</f>
        <v/>
      </c>
      <c r="B334">
        <f>'Runs Z score'!B326</f>
        <v/>
      </c>
      <c r="C334">
        <f>'Runs Z score'!C326</f>
        <v/>
      </c>
      <c r="D334">
        <f>'Runs Z score'!D326</f>
        <v/>
      </c>
      <c r="E334">
        <f>'Runs Z score'!E326</f>
        <v/>
      </c>
      <c r="F334">
        <f>'Runs Z score'!F326</f>
        <v/>
      </c>
      <c r="G334">
        <f>'Runs Z score'!G326</f>
        <v/>
      </c>
      <c r="H334">
        <f>VLOOKUP(C334,Recipes!$A$2:$N$4,10,FALSE())</f>
        <v/>
      </c>
      <c r="I334">
        <f>VLOOKUP(C334,Recipes!$A$2:$N$4,12,FALSE())</f>
        <v/>
      </c>
      <c r="J334">
        <f>IF(G334="","",H334-G334)</f>
        <v/>
      </c>
      <c r="K334">
        <f>IF(G334="","",IF(ABS(G334-H334)&lt;=$B$6*I334,"OK","NG"))</f>
        <v/>
      </c>
      <c r="L334">
        <f>IF(K334="","",IF(K334=D334,1,0))</f>
        <v/>
      </c>
      <c r="M334" t="inlineStr">
        <is>
          <t>S1</t>
        </is>
      </c>
      <c r="N334" s="15" t="n">
        <v>0.9999413366167864</v>
      </c>
      <c r="O334" s="15" t="n">
        <v>5.866338321342966e-05</v>
      </c>
      <c r="P334">
        <f>IF(M334="","",IF(M334=E334,1,0))</f>
        <v/>
      </c>
      <c r="Q334">
        <f>IF(K334="OK","-",IF(N334&lt;$B$7,"AMBIGUOUS","CONFIDENT"))</f>
        <v/>
      </c>
    </row>
    <row r="335">
      <c r="A335">
        <f>'Runs Z score'!A327</f>
        <v/>
      </c>
      <c r="B335">
        <f>'Runs Z score'!B327</f>
        <v/>
      </c>
      <c r="C335">
        <f>'Runs Z score'!C327</f>
        <v/>
      </c>
      <c r="D335">
        <f>'Runs Z score'!D327</f>
        <v/>
      </c>
      <c r="E335">
        <f>'Runs Z score'!E327</f>
        <v/>
      </c>
      <c r="F335">
        <f>'Runs Z score'!F327</f>
        <v/>
      </c>
      <c r="G335">
        <f>'Runs Z score'!G327</f>
        <v/>
      </c>
      <c r="H335">
        <f>VLOOKUP(C335,Recipes!$A$2:$N$4,10,FALSE())</f>
        <v/>
      </c>
      <c r="I335">
        <f>VLOOKUP(C335,Recipes!$A$2:$N$4,12,FALSE())</f>
        <v/>
      </c>
      <c r="J335">
        <f>IF(G335="","",H335-G335)</f>
        <v/>
      </c>
      <c r="K335">
        <f>IF(G335="","",IF(ABS(G335-H335)&lt;=$B$6*I335,"OK","NG"))</f>
        <v/>
      </c>
      <c r="L335">
        <f>IF(K335="","",IF(K335=D335,1,0))</f>
        <v/>
      </c>
      <c r="M335" t="inlineStr">
        <is>
          <t>S1</t>
        </is>
      </c>
      <c r="N335" s="15" t="n">
        <v>0.9999312242085862</v>
      </c>
      <c r="O335" s="15" t="n">
        <v>6.877579141373624e-05</v>
      </c>
      <c r="P335">
        <f>IF(M335="","",IF(M335=E335,1,0))</f>
        <v/>
      </c>
      <c r="Q335">
        <f>IF(K335="OK","-",IF(N335&lt;$B$7,"AMBIGUOUS","CONFIDENT"))</f>
        <v/>
      </c>
    </row>
    <row r="336">
      <c r="A336">
        <f>'Runs Z score'!A328</f>
        <v/>
      </c>
      <c r="B336">
        <f>'Runs Z score'!B328</f>
        <v/>
      </c>
      <c r="C336">
        <f>'Runs Z score'!C328</f>
        <v/>
      </c>
      <c r="D336">
        <f>'Runs Z score'!D328</f>
        <v/>
      </c>
      <c r="E336">
        <f>'Runs Z score'!E328</f>
        <v/>
      </c>
      <c r="F336">
        <f>'Runs Z score'!F328</f>
        <v/>
      </c>
      <c r="G336">
        <f>'Runs Z score'!G328</f>
        <v/>
      </c>
      <c r="H336">
        <f>VLOOKUP(C336,Recipes!$A$2:$N$4,10,FALSE())</f>
        <v/>
      </c>
      <c r="I336">
        <f>VLOOKUP(C336,Recipes!$A$2:$N$4,12,FALSE())</f>
        <v/>
      </c>
      <c r="J336">
        <f>IF(G336="","",H336-G336)</f>
        <v/>
      </c>
      <c r="K336">
        <f>IF(G336="","",IF(ABS(G336-H336)&lt;=$B$6*I336,"OK","NG"))</f>
        <v/>
      </c>
      <c r="L336">
        <f>IF(K336="","",IF(K336=D336,1,0))</f>
        <v/>
      </c>
      <c r="M336" t="inlineStr">
        <is>
          <t>S1</t>
        </is>
      </c>
      <c r="N336" s="15" t="n">
        <v>0.9999731409901044</v>
      </c>
      <c r="O336" s="15" t="n">
        <v>2.685900989567449e-05</v>
      </c>
      <c r="P336">
        <f>IF(M336="","",IF(M336=E336,1,0))</f>
        <v/>
      </c>
      <c r="Q336">
        <f>IF(K336="OK","-",IF(N336&lt;$B$7,"AMBIGUOUS","CONFIDENT"))</f>
        <v/>
      </c>
    </row>
    <row r="337">
      <c r="A337">
        <f>'Runs Z score'!A329</f>
        <v/>
      </c>
      <c r="B337">
        <f>'Runs Z score'!B329</f>
        <v/>
      </c>
      <c r="C337">
        <f>'Runs Z score'!C329</f>
        <v/>
      </c>
      <c r="D337">
        <f>'Runs Z score'!D329</f>
        <v/>
      </c>
      <c r="E337">
        <f>'Runs Z score'!E329</f>
        <v/>
      </c>
      <c r="F337">
        <f>'Runs Z score'!F329</f>
        <v/>
      </c>
      <c r="G337">
        <f>'Runs Z score'!G329</f>
        <v/>
      </c>
      <c r="H337">
        <f>VLOOKUP(C337,Recipes!$A$2:$N$4,10,FALSE())</f>
        <v/>
      </c>
      <c r="I337">
        <f>VLOOKUP(C337,Recipes!$A$2:$N$4,12,FALSE())</f>
        <v/>
      </c>
      <c r="J337">
        <f>IF(G337="","",H337-G337)</f>
        <v/>
      </c>
      <c r="K337">
        <f>IF(G337="","",IF(ABS(G337-H337)&lt;=$B$6*I337,"OK","NG"))</f>
        <v/>
      </c>
      <c r="L337">
        <f>IF(K337="","",IF(K337=D337,1,0))</f>
        <v/>
      </c>
      <c r="M337" t="inlineStr">
        <is>
          <t>S1</t>
        </is>
      </c>
      <c r="N337" s="15" t="n">
        <v>0.9999634346532492</v>
      </c>
      <c r="O337" s="15" t="n">
        <v>3.656534675076395e-05</v>
      </c>
      <c r="P337">
        <f>IF(M337="","",IF(M337=E337,1,0))</f>
        <v/>
      </c>
      <c r="Q337">
        <f>IF(K337="OK","-",IF(N337&lt;$B$7,"AMBIGUOUS","CONFIDENT"))</f>
        <v/>
      </c>
    </row>
    <row r="338">
      <c r="A338">
        <f>'Runs Z score'!A330</f>
        <v/>
      </c>
      <c r="B338">
        <f>'Runs Z score'!B330</f>
        <v/>
      </c>
      <c r="C338">
        <f>'Runs Z score'!C330</f>
        <v/>
      </c>
      <c r="D338">
        <f>'Runs Z score'!D330</f>
        <v/>
      </c>
      <c r="E338">
        <f>'Runs Z score'!E330</f>
        <v/>
      </c>
      <c r="F338">
        <f>'Runs Z score'!F330</f>
        <v/>
      </c>
      <c r="G338">
        <f>'Runs Z score'!G330</f>
        <v/>
      </c>
      <c r="H338">
        <f>VLOOKUP(C338,Recipes!$A$2:$N$4,10,FALSE())</f>
        <v/>
      </c>
      <c r="I338">
        <f>VLOOKUP(C338,Recipes!$A$2:$N$4,12,FALSE())</f>
        <v/>
      </c>
      <c r="J338">
        <f>IF(G338="","",H338-G338)</f>
        <v/>
      </c>
      <c r="K338">
        <f>IF(G338="","",IF(ABS(G338-H338)&lt;=$B$6*I338,"OK","NG"))</f>
        <v/>
      </c>
      <c r="L338">
        <f>IF(K338="","",IF(K338=D338,1,0))</f>
        <v/>
      </c>
      <c r="M338" t="inlineStr">
        <is>
          <t>S1</t>
        </is>
      </c>
      <c r="N338" s="15" t="n">
        <v>0.9998924383918836</v>
      </c>
      <c r="O338" s="15" t="n">
        <v>0.0001075616081166</v>
      </c>
      <c r="P338">
        <f>IF(M338="","",IF(M338=E338,1,0))</f>
        <v/>
      </c>
      <c r="Q338">
        <f>IF(K338="OK","-",IF(N338&lt;$B$7,"AMBIGUOUS","CONFIDENT"))</f>
        <v/>
      </c>
    </row>
    <row r="339">
      <c r="A339">
        <f>'Runs Z score'!A331</f>
        <v/>
      </c>
      <c r="B339">
        <f>'Runs Z score'!B331</f>
        <v/>
      </c>
      <c r="C339">
        <f>'Runs Z score'!C331</f>
        <v/>
      </c>
      <c r="D339">
        <f>'Runs Z score'!D331</f>
        <v/>
      </c>
      <c r="E339">
        <f>'Runs Z score'!E331</f>
        <v/>
      </c>
      <c r="F339">
        <f>'Runs Z score'!F331</f>
        <v/>
      </c>
      <c r="G339">
        <f>'Runs Z score'!G331</f>
        <v/>
      </c>
      <c r="H339">
        <f>VLOOKUP(C339,Recipes!$A$2:$N$4,10,FALSE())</f>
        <v/>
      </c>
      <c r="I339">
        <f>VLOOKUP(C339,Recipes!$A$2:$N$4,12,FALSE())</f>
        <v/>
      </c>
      <c r="J339">
        <f>IF(G339="","",H339-G339)</f>
        <v/>
      </c>
      <c r="K339">
        <f>IF(G339="","",IF(ABS(G339-H339)&lt;=$B$6*I339,"OK","NG"))</f>
        <v/>
      </c>
      <c r="L339">
        <f>IF(K339="","",IF(K339=D339,1,0))</f>
        <v/>
      </c>
      <c r="M339" t="inlineStr">
        <is>
          <t>S1</t>
        </is>
      </c>
      <c r="N339" s="15" t="n">
        <v>0.99997665929323</v>
      </c>
      <c r="O339" s="15" t="n">
        <v>2.334070676993919e-05</v>
      </c>
      <c r="P339">
        <f>IF(M339="","",IF(M339=E339,1,0))</f>
        <v/>
      </c>
      <c r="Q339">
        <f>IF(K339="OK","-",IF(N339&lt;$B$7,"AMBIGUOUS","CONFIDENT"))</f>
        <v/>
      </c>
    </row>
    <row r="340">
      <c r="A340">
        <f>'Runs Z score'!A332</f>
        <v/>
      </c>
      <c r="B340">
        <f>'Runs Z score'!B332</f>
        <v/>
      </c>
      <c r="C340">
        <f>'Runs Z score'!C332</f>
        <v/>
      </c>
      <c r="D340">
        <f>'Runs Z score'!D332</f>
        <v/>
      </c>
      <c r="E340">
        <f>'Runs Z score'!E332</f>
        <v/>
      </c>
      <c r="F340">
        <f>'Runs Z score'!F332</f>
        <v/>
      </c>
      <c r="G340">
        <f>'Runs Z score'!G332</f>
        <v/>
      </c>
      <c r="H340">
        <f>VLOOKUP(C340,Recipes!$A$2:$N$4,10,FALSE())</f>
        <v/>
      </c>
      <c r="I340">
        <f>VLOOKUP(C340,Recipes!$A$2:$N$4,12,FALSE())</f>
        <v/>
      </c>
      <c r="J340">
        <f>IF(G340="","",H340-G340)</f>
        <v/>
      </c>
      <c r="K340">
        <f>IF(G340="","",IF(ABS(G340-H340)&lt;=$B$6*I340,"OK","NG"))</f>
        <v/>
      </c>
      <c r="L340">
        <f>IF(K340="","",IF(K340=D340,1,0))</f>
        <v/>
      </c>
      <c r="M340" t="inlineStr">
        <is>
          <t>S1</t>
        </is>
      </c>
      <c r="N340" s="15" t="n">
        <v>0.9999419187144492</v>
      </c>
      <c r="O340" s="15" t="n">
        <v>5.808128555087165e-05</v>
      </c>
      <c r="P340">
        <f>IF(M340="","",IF(M340=E340,1,0))</f>
        <v/>
      </c>
      <c r="Q340">
        <f>IF(K340="OK","-",IF(N340&lt;$B$7,"AMBIGUOUS","CONFIDENT"))</f>
        <v/>
      </c>
    </row>
    <row r="341">
      <c r="A341">
        <f>'Runs Z score'!A333</f>
        <v/>
      </c>
      <c r="B341">
        <f>'Runs Z score'!B333</f>
        <v/>
      </c>
      <c r="C341">
        <f>'Runs Z score'!C333</f>
        <v/>
      </c>
      <c r="D341">
        <f>'Runs Z score'!D333</f>
        <v/>
      </c>
      <c r="E341">
        <f>'Runs Z score'!E333</f>
        <v/>
      </c>
      <c r="F341">
        <f>'Runs Z score'!F333</f>
        <v/>
      </c>
      <c r="G341">
        <f>'Runs Z score'!G333</f>
        <v/>
      </c>
      <c r="H341">
        <f>VLOOKUP(C341,Recipes!$A$2:$N$4,10,FALSE())</f>
        <v/>
      </c>
      <c r="I341">
        <f>VLOOKUP(C341,Recipes!$A$2:$N$4,12,FALSE())</f>
        <v/>
      </c>
      <c r="J341">
        <f>IF(G341="","",H341-G341)</f>
        <v/>
      </c>
      <c r="K341">
        <f>IF(G341="","",IF(ABS(G341-H341)&lt;=$B$6*I341,"OK","NG"))</f>
        <v/>
      </c>
      <c r="L341">
        <f>IF(K341="","",IF(K341=D341,1,0))</f>
        <v/>
      </c>
      <c r="M341" t="inlineStr">
        <is>
          <t>W1</t>
        </is>
      </c>
      <c r="N341" s="15" t="n">
        <v>0.8901034144905126</v>
      </c>
      <c r="O341" s="15" t="n">
        <v>0.1098965258744573</v>
      </c>
      <c r="P341">
        <f>IF(M341="","",IF(M341=E341,1,0))</f>
        <v/>
      </c>
      <c r="Q341">
        <f>IF(K341="OK","-",IF(N341&lt;$B$7,"AMBIGUOUS","CONFIDENT"))</f>
        <v/>
      </c>
    </row>
    <row r="342">
      <c r="A342">
        <f>'Runs Z score'!A334</f>
        <v/>
      </c>
      <c r="B342">
        <f>'Runs Z score'!B334</f>
        <v/>
      </c>
      <c r="C342">
        <f>'Runs Z score'!C334</f>
        <v/>
      </c>
      <c r="D342">
        <f>'Runs Z score'!D334</f>
        <v/>
      </c>
      <c r="E342">
        <f>'Runs Z score'!E334</f>
        <v/>
      </c>
      <c r="F342">
        <f>'Runs Z score'!F334</f>
        <v/>
      </c>
      <c r="G342">
        <f>'Runs Z score'!G334</f>
        <v/>
      </c>
      <c r="H342">
        <f>VLOOKUP(C342,Recipes!$A$2:$N$4,10,FALSE())</f>
        <v/>
      </c>
      <c r="I342">
        <f>VLOOKUP(C342,Recipes!$A$2:$N$4,12,FALSE())</f>
        <v/>
      </c>
      <c r="J342">
        <f>IF(G342="","",H342-G342)</f>
        <v/>
      </c>
      <c r="K342">
        <f>IF(G342="","",IF(ABS(G342-H342)&lt;=$B$6*I342,"OK","NG"))</f>
        <v/>
      </c>
      <c r="L342">
        <f>IF(K342="","",IF(K342=D342,1,0))</f>
        <v/>
      </c>
      <c r="M342" t="inlineStr">
        <is>
          <t>W1</t>
        </is>
      </c>
      <c r="N342" s="15" t="n">
        <v>0.9786918150343096</v>
      </c>
      <c r="O342" s="15" t="n">
        <v>0.0213081847239982</v>
      </c>
      <c r="P342">
        <f>IF(M342="","",IF(M342=E342,1,0))</f>
        <v/>
      </c>
      <c r="Q342">
        <f>IF(K342="OK","-",IF(N342&lt;$B$7,"AMBIGUOUS","CONFIDENT"))</f>
        <v/>
      </c>
    </row>
    <row r="343">
      <c r="A343">
        <f>'Runs Z score'!A335</f>
        <v/>
      </c>
      <c r="B343">
        <f>'Runs Z score'!B335</f>
        <v/>
      </c>
      <c r="C343">
        <f>'Runs Z score'!C335</f>
        <v/>
      </c>
      <c r="D343">
        <f>'Runs Z score'!D335</f>
        <v/>
      </c>
      <c r="E343">
        <f>'Runs Z score'!E335</f>
        <v/>
      </c>
      <c r="F343">
        <f>'Runs Z score'!F335</f>
        <v/>
      </c>
      <c r="G343">
        <f>'Runs Z score'!G335</f>
        <v/>
      </c>
      <c r="H343">
        <f>VLOOKUP(C343,Recipes!$A$2:$N$4,10,FALSE())</f>
        <v/>
      </c>
      <c r="I343">
        <f>VLOOKUP(C343,Recipes!$A$2:$N$4,12,FALSE())</f>
        <v/>
      </c>
      <c r="J343">
        <f>IF(G343="","",H343-G343)</f>
        <v/>
      </c>
      <c r="K343">
        <f>IF(G343="","",IF(ABS(G343-H343)&lt;=$B$6*I343,"OK","NG"))</f>
        <v/>
      </c>
      <c r="L343">
        <f>IF(K343="","",IF(K343=D343,1,0))</f>
        <v/>
      </c>
      <c r="M343" t="inlineStr">
        <is>
          <t>N1</t>
        </is>
      </c>
      <c r="N343" s="15" t="n">
        <v>0.9091134187331528</v>
      </c>
      <c r="O343" s="15" t="n">
        <v>0.0706232004731653</v>
      </c>
      <c r="P343">
        <f>IF(M343="","",IF(M343=E343,1,0))</f>
        <v/>
      </c>
      <c r="Q343">
        <f>IF(K343="OK","-",IF(N343&lt;$B$7,"AMBIGUOUS","CONFIDENT"))</f>
        <v/>
      </c>
    </row>
    <row r="344">
      <c r="A344">
        <f>'Runs Z score'!A336</f>
        <v/>
      </c>
      <c r="B344">
        <f>'Runs Z score'!B336</f>
        <v/>
      </c>
      <c r="C344">
        <f>'Runs Z score'!C336</f>
        <v/>
      </c>
      <c r="D344">
        <f>'Runs Z score'!D336</f>
        <v/>
      </c>
      <c r="E344">
        <f>'Runs Z score'!E336</f>
        <v/>
      </c>
      <c r="F344">
        <f>'Runs Z score'!F336</f>
        <v/>
      </c>
      <c r="G344">
        <f>'Runs Z score'!G336</f>
        <v/>
      </c>
      <c r="H344">
        <f>VLOOKUP(C344,Recipes!$A$2:$N$4,10,FALSE())</f>
        <v/>
      </c>
      <c r="I344">
        <f>VLOOKUP(C344,Recipes!$A$2:$N$4,12,FALSE())</f>
        <v/>
      </c>
      <c r="J344">
        <f>IF(G344="","",H344-G344)</f>
        <v/>
      </c>
      <c r="K344">
        <f>IF(G344="","",IF(ABS(G344-H344)&lt;=$B$6*I344,"OK","NG"))</f>
        <v/>
      </c>
      <c r="L344">
        <f>IF(K344="","",IF(K344=D344,1,0))</f>
        <v/>
      </c>
      <c r="M344" t="inlineStr">
        <is>
          <t>W1</t>
        </is>
      </c>
      <c r="N344" s="15" t="n">
        <v>0.9247758944001579</v>
      </c>
      <c r="O344" s="15" t="n">
        <v>0.07522371960197741</v>
      </c>
      <c r="P344">
        <f>IF(M344="","",IF(M344=E344,1,0))</f>
        <v/>
      </c>
      <c r="Q344">
        <f>IF(K344="OK","-",IF(N344&lt;$B$7,"AMBIGUOUS","CONFIDENT"))</f>
        <v/>
      </c>
    </row>
    <row r="345">
      <c r="A345">
        <f>'Runs Z score'!A337</f>
        <v/>
      </c>
      <c r="B345">
        <f>'Runs Z score'!B337</f>
        <v/>
      </c>
      <c r="C345">
        <f>'Runs Z score'!C337</f>
        <v/>
      </c>
      <c r="D345">
        <f>'Runs Z score'!D337</f>
        <v/>
      </c>
      <c r="E345">
        <f>'Runs Z score'!E337</f>
        <v/>
      </c>
      <c r="F345">
        <f>'Runs Z score'!F337</f>
        <v/>
      </c>
      <c r="G345">
        <f>'Runs Z score'!G337</f>
        <v/>
      </c>
      <c r="H345">
        <f>VLOOKUP(C345,Recipes!$A$2:$N$4,10,FALSE())</f>
        <v/>
      </c>
      <c r="I345">
        <f>VLOOKUP(C345,Recipes!$A$2:$N$4,12,FALSE())</f>
        <v/>
      </c>
      <c r="J345">
        <f>IF(G345="","",H345-G345)</f>
        <v/>
      </c>
      <c r="K345">
        <f>IF(G345="","",IF(ABS(G345-H345)&lt;=$B$6*I345,"OK","NG"))</f>
        <v/>
      </c>
      <c r="L345">
        <f>IF(K345="","",IF(K345=D345,1,0))</f>
        <v/>
      </c>
      <c r="M345" t="inlineStr">
        <is>
          <t>W1</t>
        </is>
      </c>
      <c r="N345" s="15" t="n">
        <v>0.6306120419382936</v>
      </c>
      <c r="O345" s="15" t="n">
        <v>0.3693879516117941</v>
      </c>
      <c r="P345">
        <f>IF(M345="","",IF(M345=E345,1,0))</f>
        <v/>
      </c>
      <c r="Q345">
        <f>IF(K345="OK","-",IF(N345&lt;$B$7,"AMBIGUOUS","CONFIDENT"))</f>
        <v/>
      </c>
    </row>
    <row r="346">
      <c r="A346">
        <f>'Runs Z score'!A338</f>
        <v/>
      </c>
      <c r="B346">
        <f>'Runs Z score'!B338</f>
        <v/>
      </c>
      <c r="C346">
        <f>'Runs Z score'!C338</f>
        <v/>
      </c>
      <c r="D346">
        <f>'Runs Z score'!D338</f>
        <v/>
      </c>
      <c r="E346">
        <f>'Runs Z score'!E338</f>
        <v/>
      </c>
      <c r="F346">
        <f>'Runs Z score'!F338</f>
        <v/>
      </c>
      <c r="G346">
        <f>'Runs Z score'!G338</f>
        <v/>
      </c>
      <c r="H346">
        <f>VLOOKUP(C346,Recipes!$A$2:$N$4,10,FALSE())</f>
        <v/>
      </c>
      <c r="I346">
        <f>VLOOKUP(C346,Recipes!$A$2:$N$4,12,FALSE())</f>
        <v/>
      </c>
      <c r="J346">
        <f>IF(G346="","",H346-G346)</f>
        <v/>
      </c>
      <c r="K346">
        <f>IF(G346="","",IF(ABS(G346-H346)&lt;=$B$6*I346,"OK","NG"))</f>
        <v/>
      </c>
      <c r="L346">
        <f>IF(K346="","",IF(K346=D346,1,0))</f>
        <v/>
      </c>
      <c r="M346" t="inlineStr">
        <is>
          <t>W1</t>
        </is>
      </c>
      <c r="N346" s="15" t="n">
        <v>0.6252333273388238</v>
      </c>
      <c r="O346" s="15" t="n">
        <v>0.3747495861559802</v>
      </c>
      <c r="P346">
        <f>IF(M346="","",IF(M346=E346,1,0))</f>
        <v/>
      </c>
      <c r="Q346">
        <f>IF(K346="OK","-",IF(N346&lt;$B$7,"AMBIGUOUS","CONFIDENT"))</f>
        <v/>
      </c>
    </row>
    <row r="347">
      <c r="A347">
        <f>'Runs Z score'!A339</f>
        <v/>
      </c>
      <c r="B347">
        <f>'Runs Z score'!B339</f>
        <v/>
      </c>
      <c r="C347">
        <f>'Runs Z score'!C339</f>
        <v/>
      </c>
      <c r="D347">
        <f>'Runs Z score'!D339</f>
        <v/>
      </c>
      <c r="E347">
        <f>'Runs Z score'!E339</f>
        <v/>
      </c>
      <c r="F347">
        <f>'Runs Z score'!F339</f>
        <v/>
      </c>
      <c r="G347">
        <f>'Runs Z score'!G339</f>
        <v/>
      </c>
      <c r="H347">
        <f>VLOOKUP(C347,Recipes!$A$2:$N$4,10,FALSE())</f>
        <v/>
      </c>
      <c r="I347">
        <f>VLOOKUP(C347,Recipes!$A$2:$N$4,12,FALSE())</f>
        <v/>
      </c>
      <c r="J347">
        <f>IF(G347="","",H347-G347)</f>
        <v/>
      </c>
      <c r="K347">
        <f>IF(G347="","",IF(ABS(G347-H347)&lt;=$B$6*I347,"OK","NG"))</f>
        <v/>
      </c>
      <c r="L347">
        <f>IF(K347="","",IF(K347=D347,1,0))</f>
        <v/>
      </c>
      <c r="M347" t="inlineStr">
        <is>
          <t>W1</t>
        </is>
      </c>
      <c r="N347" s="15" t="n">
        <v>0.9589974625630552</v>
      </c>
      <c r="O347" s="15" t="n">
        <v>0.041002508546598</v>
      </c>
      <c r="P347">
        <f>IF(M347="","",IF(M347=E347,1,0))</f>
        <v/>
      </c>
      <c r="Q347">
        <f>IF(K347="OK","-",IF(N347&lt;$B$7,"AMBIGUOUS","CONFIDENT"))</f>
        <v/>
      </c>
    </row>
    <row r="348">
      <c r="A348">
        <f>'Runs Z score'!A340</f>
        <v/>
      </c>
      <c r="B348">
        <f>'Runs Z score'!B340</f>
        <v/>
      </c>
      <c r="C348">
        <f>'Runs Z score'!C340</f>
        <v/>
      </c>
      <c r="D348">
        <f>'Runs Z score'!D340</f>
        <v/>
      </c>
      <c r="E348">
        <f>'Runs Z score'!E340</f>
        <v/>
      </c>
      <c r="F348">
        <f>'Runs Z score'!F340</f>
        <v/>
      </c>
      <c r="G348">
        <f>'Runs Z score'!G340</f>
        <v/>
      </c>
      <c r="H348">
        <f>VLOOKUP(C348,Recipes!$A$2:$N$4,10,FALSE())</f>
        <v/>
      </c>
      <c r="I348">
        <f>VLOOKUP(C348,Recipes!$A$2:$N$4,12,FALSE())</f>
        <v/>
      </c>
      <c r="J348">
        <f>IF(G348="","",H348-G348)</f>
        <v/>
      </c>
      <c r="K348">
        <f>IF(G348="","",IF(ABS(G348-H348)&lt;=$B$6*I348,"OK","NG"))</f>
        <v/>
      </c>
      <c r="L348">
        <f>IF(K348="","",IF(K348=D348,1,0))</f>
        <v/>
      </c>
      <c r="M348" t="inlineStr">
        <is>
          <t>W1</t>
        </is>
      </c>
      <c r="N348" s="15" t="n">
        <v>0.9367374697372672</v>
      </c>
      <c r="O348" s="15" t="n">
        <v>0.0632624881720551</v>
      </c>
      <c r="P348">
        <f>IF(M348="","",IF(M348=E348,1,0))</f>
        <v/>
      </c>
      <c r="Q348">
        <f>IF(K348="OK","-",IF(N348&lt;$B$7,"AMBIGUOUS","CONFIDENT"))</f>
        <v/>
      </c>
    </row>
    <row r="349">
      <c r="A349">
        <f>'Runs Z score'!A341</f>
        <v/>
      </c>
      <c r="B349">
        <f>'Runs Z score'!B341</f>
        <v/>
      </c>
      <c r="C349">
        <f>'Runs Z score'!C341</f>
        <v/>
      </c>
      <c r="D349">
        <f>'Runs Z score'!D341</f>
        <v/>
      </c>
      <c r="E349">
        <f>'Runs Z score'!E341</f>
        <v/>
      </c>
      <c r="F349">
        <f>'Runs Z score'!F341</f>
        <v/>
      </c>
      <c r="G349">
        <f>'Runs Z score'!G341</f>
        <v/>
      </c>
      <c r="H349">
        <f>VLOOKUP(C349,Recipes!$A$2:$N$4,10,FALSE())</f>
        <v/>
      </c>
      <c r="I349">
        <f>VLOOKUP(C349,Recipes!$A$2:$N$4,12,FALSE())</f>
        <v/>
      </c>
      <c r="J349">
        <f>IF(G349="","",H349-G349)</f>
        <v/>
      </c>
      <c r="K349">
        <f>IF(G349="","",IF(ABS(G349-H349)&lt;=$B$6*I349,"OK","NG"))</f>
        <v/>
      </c>
      <c r="L349">
        <f>IF(K349="","",IF(K349=D349,1,0))</f>
        <v/>
      </c>
      <c r="M349" t="inlineStr">
        <is>
          <t>W1</t>
        </is>
      </c>
      <c r="N349" s="15" t="n">
        <v>0.8881355946073463</v>
      </c>
      <c r="O349" s="15" t="n">
        <v>0.1118644053795268</v>
      </c>
      <c r="P349">
        <f>IF(M349="","",IF(M349=E349,1,0))</f>
        <v/>
      </c>
      <c r="Q349">
        <f>IF(K349="OK","-",IF(N349&lt;$B$7,"AMBIGUOUS","CONFIDENT"))</f>
        <v/>
      </c>
    </row>
    <row r="350">
      <c r="A350">
        <f>'Runs Z score'!A342</f>
        <v/>
      </c>
      <c r="B350">
        <f>'Runs Z score'!B342</f>
        <v/>
      </c>
      <c r="C350">
        <f>'Runs Z score'!C342</f>
        <v/>
      </c>
      <c r="D350">
        <f>'Runs Z score'!D342</f>
        <v/>
      </c>
      <c r="E350">
        <f>'Runs Z score'!E342</f>
        <v/>
      </c>
      <c r="F350">
        <f>'Runs Z score'!F342</f>
        <v/>
      </c>
      <c r="G350">
        <f>'Runs Z score'!G342</f>
        <v/>
      </c>
      <c r="H350">
        <f>VLOOKUP(C350,Recipes!$A$2:$N$4,10,FALSE())</f>
        <v/>
      </c>
      <c r="I350">
        <f>VLOOKUP(C350,Recipes!$A$2:$N$4,12,FALSE())</f>
        <v/>
      </c>
      <c r="J350">
        <f>IF(G350="","",H350-G350)</f>
        <v/>
      </c>
      <c r="K350">
        <f>IF(G350="","",IF(ABS(G350-H350)&lt;=$B$6*I350,"OK","NG"))</f>
        <v/>
      </c>
      <c r="L350">
        <f>IF(K350="","",IF(K350=D350,1,0))</f>
        <v/>
      </c>
      <c r="M350" t="inlineStr">
        <is>
          <t>W1</t>
        </is>
      </c>
      <c r="N350" s="15" t="n">
        <v>0.9807922242984668</v>
      </c>
      <c r="O350" s="15" t="n">
        <v>0.0192077646404688</v>
      </c>
      <c r="P350">
        <f>IF(M350="","",IF(M350=E350,1,0))</f>
        <v/>
      </c>
      <c r="Q350">
        <f>IF(K350="OK","-",IF(N350&lt;$B$7,"AMBIGUOUS","CONFIDENT"))</f>
        <v/>
      </c>
    </row>
    <row r="351">
      <c r="A351">
        <f>'Runs Z score'!A343</f>
        <v/>
      </c>
      <c r="B351">
        <f>'Runs Z score'!B343</f>
        <v/>
      </c>
      <c r="C351">
        <f>'Runs Z score'!C343</f>
        <v/>
      </c>
      <c r="D351">
        <f>'Runs Z score'!D343</f>
        <v/>
      </c>
      <c r="E351">
        <f>'Runs Z score'!E343</f>
        <v/>
      </c>
      <c r="F351">
        <f>'Runs Z score'!F343</f>
        <v/>
      </c>
      <c r="G351">
        <f>'Runs Z score'!G343</f>
        <v/>
      </c>
      <c r="H351">
        <f>VLOOKUP(C351,Recipes!$A$2:$N$4,10,FALSE())</f>
        <v/>
      </c>
      <c r="I351">
        <f>VLOOKUP(C351,Recipes!$A$2:$N$4,12,FALSE())</f>
        <v/>
      </c>
      <c r="J351">
        <f>IF(G351="","",H351-G351)</f>
        <v/>
      </c>
      <c r="K351">
        <f>IF(G351="","",IF(ABS(G351-H351)&lt;=$B$6*I351,"OK","NG"))</f>
        <v/>
      </c>
      <c r="L351">
        <f>IF(K351="","",IF(K351=D351,1,0))</f>
        <v/>
      </c>
      <c r="M351" t="inlineStr">
        <is>
          <t>W1</t>
        </is>
      </c>
      <c r="N351" s="15" t="n">
        <v>0.9854833776828228</v>
      </c>
      <c r="O351" s="15" t="n">
        <v>0.0145166169195421</v>
      </c>
      <c r="P351">
        <f>IF(M351="","",IF(M351=E351,1,0))</f>
        <v/>
      </c>
      <c r="Q351">
        <f>IF(K351="OK","-",IF(N351&lt;$B$7,"AMBIGUOUS","CONFIDENT"))</f>
        <v/>
      </c>
    </row>
    <row r="352">
      <c r="A352">
        <f>'Runs Z score'!A344</f>
        <v/>
      </c>
      <c r="B352">
        <f>'Runs Z score'!B344</f>
        <v/>
      </c>
      <c r="C352">
        <f>'Runs Z score'!C344</f>
        <v/>
      </c>
      <c r="D352">
        <f>'Runs Z score'!D344</f>
        <v/>
      </c>
      <c r="E352">
        <f>'Runs Z score'!E344</f>
        <v/>
      </c>
      <c r="F352">
        <f>'Runs Z score'!F344</f>
        <v/>
      </c>
      <c r="G352">
        <f>'Runs Z score'!G344</f>
        <v/>
      </c>
      <c r="H352">
        <f>VLOOKUP(C352,Recipes!$A$2:$N$4,10,FALSE())</f>
        <v/>
      </c>
      <c r="I352">
        <f>VLOOKUP(C352,Recipes!$A$2:$N$4,12,FALSE())</f>
        <v/>
      </c>
      <c r="J352">
        <f>IF(G352="","",H352-G352)</f>
        <v/>
      </c>
      <c r="K352">
        <f>IF(G352="","",IF(ABS(G352-H352)&lt;=$B$6*I352,"OK","NG"))</f>
        <v/>
      </c>
      <c r="L352">
        <f>IF(K352="","",IF(K352=D352,1,0))</f>
        <v/>
      </c>
      <c r="M352" t="inlineStr">
        <is>
          <t>W1</t>
        </is>
      </c>
      <c r="N352" s="15" t="n">
        <v>0.9161589643534978</v>
      </c>
      <c r="O352" s="15" t="n">
        <v>0.083840809317219</v>
      </c>
      <c r="P352">
        <f>IF(M352="","",IF(M352=E352,1,0))</f>
        <v/>
      </c>
      <c r="Q352">
        <f>IF(K352="OK","-",IF(N352&lt;$B$7,"AMBIGUOUS","CONFIDENT"))</f>
        <v/>
      </c>
    </row>
    <row r="353">
      <c r="A353">
        <f>'Runs Z score'!A345</f>
        <v/>
      </c>
      <c r="B353">
        <f>'Runs Z score'!B345</f>
        <v/>
      </c>
      <c r="C353">
        <f>'Runs Z score'!C345</f>
        <v/>
      </c>
      <c r="D353">
        <f>'Runs Z score'!D345</f>
        <v/>
      </c>
      <c r="E353">
        <f>'Runs Z score'!E345</f>
        <v/>
      </c>
      <c r="F353">
        <f>'Runs Z score'!F345</f>
        <v/>
      </c>
      <c r="G353">
        <f>'Runs Z score'!G345</f>
        <v/>
      </c>
      <c r="H353">
        <f>VLOOKUP(C353,Recipes!$A$2:$N$4,10,FALSE())</f>
        <v/>
      </c>
      <c r="I353">
        <f>VLOOKUP(C353,Recipes!$A$2:$N$4,12,FALSE())</f>
        <v/>
      </c>
      <c r="J353">
        <f>IF(G353="","",H353-G353)</f>
        <v/>
      </c>
      <c r="K353">
        <f>IF(G353="","",IF(ABS(G353-H353)&lt;=$B$6*I353,"OK","NG"))</f>
        <v/>
      </c>
      <c r="L353">
        <f>IF(K353="","",IF(K353=D353,1,0))</f>
        <v/>
      </c>
      <c r="M353" t="inlineStr">
        <is>
          <t>W1</t>
        </is>
      </c>
      <c r="N353" s="15" t="n">
        <v>0.9111697971033632</v>
      </c>
      <c r="O353" s="15" t="n">
        <v>0.0888302028921084</v>
      </c>
      <c r="P353">
        <f>IF(M353="","",IF(M353=E353,1,0))</f>
        <v/>
      </c>
      <c r="Q353">
        <f>IF(K353="OK","-",IF(N353&lt;$B$7,"AMBIGUOUS","CONFIDENT"))</f>
        <v/>
      </c>
    </row>
    <row r="354">
      <c r="A354">
        <f>'Runs Z score'!A346</f>
        <v/>
      </c>
      <c r="B354">
        <f>'Runs Z score'!B346</f>
        <v/>
      </c>
      <c r="C354">
        <f>'Runs Z score'!C346</f>
        <v/>
      </c>
      <c r="D354">
        <f>'Runs Z score'!D346</f>
        <v/>
      </c>
      <c r="E354">
        <f>'Runs Z score'!E346</f>
        <v/>
      </c>
      <c r="F354">
        <f>'Runs Z score'!F346</f>
        <v/>
      </c>
      <c r="G354">
        <f>'Runs Z score'!G346</f>
        <v/>
      </c>
      <c r="H354">
        <f>VLOOKUP(C354,Recipes!$A$2:$N$4,10,FALSE())</f>
        <v/>
      </c>
      <c r="I354">
        <f>VLOOKUP(C354,Recipes!$A$2:$N$4,12,FALSE())</f>
        <v/>
      </c>
      <c r="J354">
        <f>IF(G354="","",H354-G354)</f>
        <v/>
      </c>
      <c r="K354">
        <f>IF(G354="","",IF(ABS(G354-H354)&lt;=$B$6*I354,"OK","NG"))</f>
        <v/>
      </c>
      <c r="L354">
        <f>IF(K354="","",IF(K354=D354,1,0))</f>
        <v/>
      </c>
      <c r="M354" t="inlineStr">
        <is>
          <t>W1</t>
        </is>
      </c>
      <c r="N354" s="15" t="n">
        <v>0.8670221130423055</v>
      </c>
      <c r="O354" s="15" t="n">
        <v>0.1329777699345715</v>
      </c>
      <c r="P354">
        <f>IF(M354="","",IF(M354=E354,1,0))</f>
        <v/>
      </c>
      <c r="Q354">
        <f>IF(K354="OK","-",IF(N354&lt;$B$7,"AMBIGUOUS","CONFIDENT"))</f>
        <v/>
      </c>
    </row>
    <row r="355">
      <c r="A355">
        <f>'Runs Z score'!A347</f>
        <v/>
      </c>
      <c r="B355">
        <f>'Runs Z score'!B347</f>
        <v/>
      </c>
      <c r="C355">
        <f>'Runs Z score'!C347</f>
        <v/>
      </c>
      <c r="D355">
        <f>'Runs Z score'!D347</f>
        <v/>
      </c>
      <c r="E355">
        <f>'Runs Z score'!E347</f>
        <v/>
      </c>
      <c r="F355">
        <f>'Runs Z score'!F347</f>
        <v/>
      </c>
      <c r="G355">
        <f>'Runs Z score'!G347</f>
        <v/>
      </c>
      <c r="H355">
        <f>VLOOKUP(C355,Recipes!$A$2:$N$4,10,FALSE())</f>
        <v/>
      </c>
      <c r="I355">
        <f>VLOOKUP(C355,Recipes!$A$2:$N$4,12,FALSE())</f>
        <v/>
      </c>
      <c r="J355">
        <f>IF(G355="","",H355-G355)</f>
        <v/>
      </c>
      <c r="K355">
        <f>IF(G355="","",IF(ABS(G355-H355)&lt;=$B$6*I355,"OK","NG"))</f>
        <v/>
      </c>
      <c r="L355">
        <f>IF(K355="","",IF(K355=D355,1,0))</f>
        <v/>
      </c>
      <c r="M355" t="inlineStr">
        <is>
          <t>W1</t>
        </is>
      </c>
      <c r="N355" s="15" t="n">
        <v>0.9394909901502564</v>
      </c>
      <c r="O355" s="15" t="n">
        <v>0.0605090021511392</v>
      </c>
      <c r="P355">
        <f>IF(M355="","",IF(M355=E355,1,0))</f>
        <v/>
      </c>
      <c r="Q355">
        <f>IF(K355="OK","-",IF(N355&lt;$B$7,"AMBIGUOUS","CONFIDENT"))</f>
        <v/>
      </c>
    </row>
    <row r="356">
      <c r="A356">
        <f>'Runs Z score'!A348</f>
        <v/>
      </c>
      <c r="B356">
        <f>'Runs Z score'!B348</f>
        <v/>
      </c>
      <c r="C356">
        <f>'Runs Z score'!C348</f>
        <v/>
      </c>
      <c r="D356">
        <f>'Runs Z score'!D348</f>
        <v/>
      </c>
      <c r="E356">
        <f>'Runs Z score'!E348</f>
        <v/>
      </c>
      <c r="F356">
        <f>'Runs Z score'!F348</f>
        <v/>
      </c>
      <c r="G356">
        <f>'Runs Z score'!G348</f>
        <v/>
      </c>
      <c r="H356">
        <f>VLOOKUP(C356,Recipes!$A$2:$N$4,10,FALSE())</f>
        <v/>
      </c>
      <c r="I356">
        <f>VLOOKUP(C356,Recipes!$A$2:$N$4,12,FALSE())</f>
        <v/>
      </c>
      <c r="J356">
        <f>IF(G356="","",H356-G356)</f>
        <v/>
      </c>
      <c r="K356">
        <f>IF(G356="","",IF(ABS(G356-H356)&lt;=$B$6*I356,"OK","NG"))</f>
        <v/>
      </c>
      <c r="L356">
        <f>IF(K356="","",IF(K356=D356,1,0))</f>
        <v/>
      </c>
      <c r="M356" t="inlineStr">
        <is>
          <t>W1</t>
        </is>
      </c>
      <c r="N356" s="15" t="n">
        <v>0.9111697971033632</v>
      </c>
      <c r="O356" s="15" t="n">
        <v>0.0888302028921084</v>
      </c>
      <c r="P356">
        <f>IF(M356="","",IF(M356=E356,1,0))</f>
        <v/>
      </c>
      <c r="Q356">
        <f>IF(K356="OK","-",IF(N356&lt;$B$7,"AMBIGUOUS","CONFIDENT"))</f>
        <v/>
      </c>
    </row>
    <row r="357">
      <c r="A357">
        <f>'Runs Z score'!A349</f>
        <v/>
      </c>
      <c r="B357">
        <f>'Runs Z score'!B349</f>
        <v/>
      </c>
      <c r="C357">
        <f>'Runs Z score'!C349</f>
        <v/>
      </c>
      <c r="D357">
        <f>'Runs Z score'!D349</f>
        <v/>
      </c>
      <c r="E357">
        <f>'Runs Z score'!E349</f>
        <v/>
      </c>
      <c r="F357">
        <f>'Runs Z score'!F349</f>
        <v/>
      </c>
      <c r="G357">
        <f>'Runs Z score'!G349</f>
        <v/>
      </c>
      <c r="H357">
        <f>VLOOKUP(C357,Recipes!$A$2:$N$4,10,FALSE())</f>
        <v/>
      </c>
      <c r="I357">
        <f>VLOOKUP(C357,Recipes!$A$2:$N$4,12,FALSE())</f>
        <v/>
      </c>
      <c r="J357">
        <f>IF(G357="","",H357-G357)</f>
        <v/>
      </c>
      <c r="K357">
        <f>IF(G357="","",IF(ABS(G357-H357)&lt;=$B$6*I357,"OK","NG"))</f>
        <v/>
      </c>
      <c r="L357">
        <f>IF(K357="","",IF(K357=D357,1,0))</f>
        <v/>
      </c>
      <c r="M357" t="inlineStr">
        <is>
          <t>W1</t>
        </is>
      </c>
      <c r="N357" s="15" t="n">
        <v>0.7754950092481973</v>
      </c>
      <c r="O357" s="15" t="n">
        <v>0.224502489394348</v>
      </c>
      <c r="P357">
        <f>IF(M357="","",IF(M357=E357,1,0))</f>
        <v/>
      </c>
      <c r="Q357">
        <f>IF(K357="OK","-",IF(N357&lt;$B$7,"AMBIGUOUS","CONFIDENT"))</f>
        <v/>
      </c>
    </row>
    <row r="358">
      <c r="A358">
        <f>'Runs Z score'!A350</f>
        <v/>
      </c>
      <c r="B358">
        <f>'Runs Z score'!B350</f>
        <v/>
      </c>
      <c r="C358">
        <f>'Runs Z score'!C350</f>
        <v/>
      </c>
      <c r="D358">
        <f>'Runs Z score'!D350</f>
        <v/>
      </c>
      <c r="E358">
        <f>'Runs Z score'!E350</f>
        <v/>
      </c>
      <c r="F358">
        <f>'Runs Z score'!F350</f>
        <v/>
      </c>
      <c r="G358">
        <f>'Runs Z score'!G350</f>
        <v/>
      </c>
      <c r="H358">
        <f>VLOOKUP(C358,Recipes!$A$2:$N$4,10,FALSE())</f>
        <v/>
      </c>
      <c r="I358">
        <f>VLOOKUP(C358,Recipes!$A$2:$N$4,12,FALSE())</f>
        <v/>
      </c>
      <c r="J358">
        <f>IF(G358="","",H358-G358)</f>
        <v/>
      </c>
      <c r="K358">
        <f>IF(G358="","",IF(ABS(G358-H358)&lt;=$B$6*I358,"OK","NG"))</f>
        <v/>
      </c>
      <c r="L358">
        <f>IF(K358="","",IF(K358=D358,1,0))</f>
        <v/>
      </c>
      <c r="M358" t="inlineStr">
        <is>
          <t>W1</t>
        </is>
      </c>
      <c r="N358" s="15" t="n">
        <v>0.9496785782483952</v>
      </c>
      <c r="O358" s="15" t="n">
        <v>0.0503214008198064</v>
      </c>
      <c r="P358">
        <f>IF(M358="","",IF(M358=E358,1,0))</f>
        <v/>
      </c>
      <c r="Q358">
        <f>IF(K358="OK","-",IF(N358&lt;$B$7,"AMBIGUOUS","CONFIDENT"))</f>
        <v/>
      </c>
    </row>
    <row r="359">
      <c r="A359">
        <f>'Runs Z score'!A351</f>
        <v/>
      </c>
      <c r="B359">
        <f>'Runs Z score'!B351</f>
        <v/>
      </c>
      <c r="C359">
        <f>'Runs Z score'!C351</f>
        <v/>
      </c>
      <c r="D359">
        <f>'Runs Z score'!D351</f>
        <v/>
      </c>
      <c r="E359">
        <f>'Runs Z score'!E351</f>
        <v/>
      </c>
      <c r="F359">
        <f>'Runs Z score'!F351</f>
        <v/>
      </c>
      <c r="G359">
        <f>'Runs Z score'!G351</f>
        <v/>
      </c>
      <c r="H359">
        <f>VLOOKUP(C359,Recipes!$A$2:$N$4,10,FALSE())</f>
        <v/>
      </c>
      <c r="I359">
        <f>VLOOKUP(C359,Recipes!$A$2:$N$4,12,FALSE())</f>
        <v/>
      </c>
      <c r="J359">
        <f>IF(G359="","",H359-G359)</f>
        <v/>
      </c>
      <c r="K359">
        <f>IF(G359="","",IF(ABS(G359-H359)&lt;=$B$6*I359,"OK","NG"))</f>
        <v/>
      </c>
      <c r="L359">
        <f>IF(K359="","",IF(K359=D359,1,0))</f>
        <v/>
      </c>
      <c r="M359" t="inlineStr">
        <is>
          <t>W1</t>
        </is>
      </c>
      <c r="N359" s="15" t="n">
        <v>0.9161589643534978</v>
      </c>
      <c r="O359" s="15" t="n">
        <v>0.083840809317219</v>
      </c>
      <c r="P359">
        <f>IF(M359="","",IF(M359=E359,1,0))</f>
        <v/>
      </c>
      <c r="Q359">
        <f>IF(K359="OK","-",IF(N359&lt;$B$7,"AMBIGUOUS","CONFIDENT"))</f>
        <v/>
      </c>
    </row>
    <row r="360">
      <c r="A360">
        <f>'Runs Z score'!A352</f>
        <v/>
      </c>
      <c r="B360">
        <f>'Runs Z score'!B352</f>
        <v/>
      </c>
      <c r="C360">
        <f>'Runs Z score'!C352</f>
        <v/>
      </c>
      <c r="D360">
        <f>'Runs Z score'!D352</f>
        <v/>
      </c>
      <c r="E360">
        <f>'Runs Z score'!E352</f>
        <v/>
      </c>
      <c r="F360">
        <f>'Runs Z score'!F352</f>
        <v/>
      </c>
      <c r="G360">
        <f>'Runs Z score'!G352</f>
        <v/>
      </c>
      <c r="H360">
        <f>VLOOKUP(C360,Recipes!$A$2:$N$4,10,FALSE())</f>
        <v/>
      </c>
      <c r="I360">
        <f>VLOOKUP(C360,Recipes!$A$2:$N$4,12,FALSE())</f>
        <v/>
      </c>
      <c r="J360">
        <f>IF(G360="","",H360-G360)</f>
        <v/>
      </c>
      <c r="K360">
        <f>IF(G360="","",IF(ABS(G360-H360)&lt;=$B$6*I360,"OK","NG"))</f>
        <v/>
      </c>
      <c r="L360">
        <f>IF(K360="","",IF(K360=D360,1,0))</f>
        <v/>
      </c>
      <c r="M360" t="inlineStr">
        <is>
          <t>W1</t>
        </is>
      </c>
      <c r="N360" s="15" t="n">
        <v>0.8399646651001916</v>
      </c>
      <c r="O360" s="15" t="n">
        <v>0.1600351065066653</v>
      </c>
      <c r="P360">
        <f>IF(M360="","",IF(M360=E360,1,0))</f>
        <v/>
      </c>
      <c r="Q360">
        <f>IF(K360="OK","-",IF(N360&lt;$B$7,"AMBIGUOUS","CONFIDENT"))</f>
        <v/>
      </c>
    </row>
    <row r="361">
      <c r="A361">
        <f>'Runs Z score'!A353</f>
        <v/>
      </c>
      <c r="B361">
        <f>'Runs Z score'!B353</f>
        <v/>
      </c>
      <c r="C361">
        <f>'Runs Z score'!C353</f>
        <v/>
      </c>
      <c r="D361">
        <f>'Runs Z score'!D353</f>
        <v/>
      </c>
      <c r="E361">
        <f>'Runs Z score'!E353</f>
        <v/>
      </c>
      <c r="F361">
        <f>'Runs Z score'!F353</f>
        <v/>
      </c>
      <c r="G361">
        <f>'Runs Z score'!G353</f>
        <v/>
      </c>
      <c r="H361">
        <f>VLOOKUP(C361,Recipes!$A$2:$N$4,10,FALSE())</f>
        <v/>
      </c>
      <c r="I361">
        <f>VLOOKUP(C361,Recipes!$A$2:$N$4,12,FALSE())</f>
        <v/>
      </c>
      <c r="J361">
        <f>IF(G361="","",H361-G361)</f>
        <v/>
      </c>
      <c r="K361">
        <f>IF(G361="","",IF(ABS(G361-H361)&lt;=$B$6*I361,"OK","NG"))</f>
        <v/>
      </c>
      <c r="L361">
        <f>IF(K361="","",IF(K361=D361,1,0))</f>
        <v/>
      </c>
      <c r="M361" t="inlineStr">
        <is>
          <t>W1</t>
        </is>
      </c>
      <c r="N361" s="15" t="n">
        <v>0.9095961586692244</v>
      </c>
      <c r="O361" s="15" t="n">
        <v>0.0904038110805193</v>
      </c>
      <c r="P361">
        <f>IF(M361="","",IF(M361=E361,1,0))</f>
        <v/>
      </c>
      <c r="Q361">
        <f>IF(K361="OK","-",IF(N361&lt;$B$7,"AMBIGUOUS","CONFIDENT"))</f>
        <v/>
      </c>
    </row>
    <row r="362">
      <c r="A362">
        <f>'Runs Z score'!A354</f>
        <v/>
      </c>
      <c r="B362">
        <f>'Runs Z score'!B354</f>
        <v/>
      </c>
      <c r="C362">
        <f>'Runs Z score'!C354</f>
        <v/>
      </c>
      <c r="D362">
        <f>'Runs Z score'!D354</f>
        <v/>
      </c>
      <c r="E362">
        <f>'Runs Z score'!E354</f>
        <v/>
      </c>
      <c r="F362">
        <f>'Runs Z score'!F354</f>
        <v/>
      </c>
      <c r="G362">
        <f>'Runs Z score'!G354</f>
        <v/>
      </c>
      <c r="H362">
        <f>VLOOKUP(C362,Recipes!$A$2:$N$4,10,FALSE())</f>
        <v/>
      </c>
      <c r="I362">
        <f>VLOOKUP(C362,Recipes!$A$2:$N$4,12,FALSE())</f>
        <v/>
      </c>
      <c r="J362">
        <f>IF(G362="","",H362-G362)</f>
        <v/>
      </c>
      <c r="K362">
        <f>IF(G362="","",IF(ABS(G362-H362)&lt;=$B$6*I362,"OK","NG"))</f>
        <v/>
      </c>
      <c r="L362">
        <f>IF(K362="","",IF(K362=D362,1,0))</f>
        <v/>
      </c>
      <c r="M362" t="inlineStr">
        <is>
          <t>W1</t>
        </is>
      </c>
      <c r="N362" s="15" t="n">
        <v>0.9847363829140632</v>
      </c>
      <c r="O362" s="15" t="n">
        <v>0.0152636152919918</v>
      </c>
      <c r="P362">
        <f>IF(M362="","",IF(M362=E362,1,0))</f>
        <v/>
      </c>
      <c r="Q362">
        <f>IF(K362="OK","-",IF(N362&lt;$B$7,"AMBIGUOUS","CONFIDENT"))</f>
        <v/>
      </c>
    </row>
    <row r="363">
      <c r="A363">
        <f>'Runs Z score'!A355</f>
        <v/>
      </c>
      <c r="B363">
        <f>'Runs Z score'!B355</f>
        <v/>
      </c>
      <c r="C363">
        <f>'Runs Z score'!C355</f>
        <v/>
      </c>
      <c r="D363">
        <f>'Runs Z score'!D355</f>
        <v/>
      </c>
      <c r="E363">
        <f>'Runs Z score'!E355</f>
        <v/>
      </c>
      <c r="F363">
        <f>'Runs Z score'!F355</f>
        <v/>
      </c>
      <c r="G363">
        <f>'Runs Z score'!G355</f>
        <v/>
      </c>
      <c r="H363">
        <f>VLOOKUP(C363,Recipes!$A$2:$N$4,10,FALSE())</f>
        <v/>
      </c>
      <c r="I363">
        <f>VLOOKUP(C363,Recipes!$A$2:$N$4,12,FALSE())</f>
        <v/>
      </c>
      <c r="J363">
        <f>IF(G363="","",H363-G363)</f>
        <v/>
      </c>
      <c r="K363">
        <f>IF(G363="","",IF(ABS(G363-H363)&lt;=$B$6*I363,"OK","NG"))</f>
        <v/>
      </c>
      <c r="L363">
        <f>IF(K363="","",IF(K363=D363,1,0))</f>
        <v/>
      </c>
      <c r="M363" t="inlineStr">
        <is>
          <t>N1</t>
        </is>
      </c>
      <c r="N363" s="15" t="n">
        <v>0.8794528166442732</v>
      </c>
      <c r="O363" s="15" t="n">
        <v>0.1131308497586595</v>
      </c>
      <c r="P363">
        <f>IF(M363="","",IF(M363=E363,1,0))</f>
        <v/>
      </c>
      <c r="Q363">
        <f>IF(K363="OK","-",IF(N363&lt;$B$7,"AMBIGUOUS","CONFIDENT"))</f>
        <v/>
      </c>
    </row>
    <row r="364">
      <c r="A364">
        <f>'Runs Z score'!A356</f>
        <v/>
      </c>
      <c r="B364">
        <f>'Runs Z score'!B356</f>
        <v/>
      </c>
      <c r="C364">
        <f>'Runs Z score'!C356</f>
        <v/>
      </c>
      <c r="D364">
        <f>'Runs Z score'!D356</f>
        <v/>
      </c>
      <c r="E364">
        <f>'Runs Z score'!E356</f>
        <v/>
      </c>
      <c r="F364">
        <f>'Runs Z score'!F356</f>
        <v/>
      </c>
      <c r="G364">
        <f>'Runs Z score'!G356</f>
        <v/>
      </c>
      <c r="H364">
        <f>VLOOKUP(C364,Recipes!$A$2:$N$4,10,FALSE())</f>
        <v/>
      </c>
      <c r="I364">
        <f>VLOOKUP(C364,Recipes!$A$2:$N$4,12,FALSE())</f>
        <v/>
      </c>
      <c r="J364">
        <f>IF(G364="","",H364-G364)</f>
        <v/>
      </c>
      <c r="K364">
        <f>IF(G364="","",IF(ABS(G364-H364)&lt;=$B$6*I364,"OK","NG"))</f>
        <v/>
      </c>
      <c r="L364">
        <f>IF(K364="","",IF(K364=D364,1,0))</f>
        <v/>
      </c>
      <c r="M364" t="inlineStr">
        <is>
          <t>W1</t>
        </is>
      </c>
      <c r="N364" s="15" t="n">
        <v>0.9907535439113272</v>
      </c>
      <c r="O364" s="15" t="n">
        <v>0.0092464556448273</v>
      </c>
      <c r="P364">
        <f>IF(M364="","",IF(M364=E364,1,0))</f>
        <v/>
      </c>
      <c r="Q364">
        <f>IF(K364="OK","-",IF(N364&lt;$B$7,"AMBIGUOUS","CONFIDENT"))</f>
        <v/>
      </c>
    </row>
    <row r="365">
      <c r="A365">
        <f>'Runs Z score'!A357</f>
        <v/>
      </c>
      <c r="B365">
        <f>'Runs Z score'!B357</f>
        <v/>
      </c>
      <c r="C365">
        <f>'Runs Z score'!C357</f>
        <v/>
      </c>
      <c r="D365">
        <f>'Runs Z score'!D357</f>
        <v/>
      </c>
      <c r="E365">
        <f>'Runs Z score'!E357</f>
        <v/>
      </c>
      <c r="F365">
        <f>'Runs Z score'!F357</f>
        <v/>
      </c>
      <c r="G365">
        <f>'Runs Z score'!G357</f>
        <v/>
      </c>
      <c r="H365">
        <f>VLOOKUP(C365,Recipes!$A$2:$N$4,10,FALSE())</f>
        <v/>
      </c>
      <c r="I365">
        <f>VLOOKUP(C365,Recipes!$A$2:$N$4,12,FALSE())</f>
        <v/>
      </c>
      <c r="J365">
        <f>IF(G365="","",H365-G365)</f>
        <v/>
      </c>
      <c r="K365">
        <f>IF(G365="","",IF(ABS(G365-H365)&lt;=$B$6*I365,"OK","NG"))</f>
        <v/>
      </c>
      <c r="L365">
        <f>IF(K365="","",IF(K365=D365,1,0))</f>
        <v/>
      </c>
      <c r="M365" t="inlineStr">
        <is>
          <t>W1</t>
        </is>
      </c>
      <c r="N365" s="15" t="n">
        <v>0.974624123396283</v>
      </c>
      <c r="O365" s="15" t="n">
        <v>0.0253758539717257</v>
      </c>
      <c r="P365">
        <f>IF(M365="","",IF(M365=E365,1,0))</f>
        <v/>
      </c>
      <c r="Q365">
        <f>IF(K365="OK","-",IF(N365&lt;$B$7,"AMBIGUOUS","CONFIDENT"))</f>
        <v/>
      </c>
    </row>
    <row r="366">
      <c r="A366">
        <f>'Runs Z score'!A358</f>
        <v/>
      </c>
      <c r="B366">
        <f>'Runs Z score'!B358</f>
        <v/>
      </c>
      <c r="C366">
        <f>'Runs Z score'!C358</f>
        <v/>
      </c>
      <c r="D366">
        <f>'Runs Z score'!D358</f>
        <v/>
      </c>
      <c r="E366">
        <f>'Runs Z score'!E358</f>
        <v/>
      </c>
      <c r="F366">
        <f>'Runs Z score'!F358</f>
        <v/>
      </c>
      <c r="G366">
        <f>'Runs Z score'!G358</f>
        <v/>
      </c>
      <c r="H366">
        <f>VLOOKUP(C366,Recipes!$A$2:$N$4,10,FALSE())</f>
        <v/>
      </c>
      <c r="I366">
        <f>VLOOKUP(C366,Recipes!$A$2:$N$4,12,FALSE())</f>
        <v/>
      </c>
      <c r="J366">
        <f>IF(G366="","",H366-G366)</f>
        <v/>
      </c>
      <c r="K366">
        <f>IF(G366="","",IF(ABS(G366-H366)&lt;=$B$6*I366,"OK","NG"))</f>
        <v/>
      </c>
      <c r="L366">
        <f>IF(K366="","",IF(K366=D366,1,0))</f>
        <v/>
      </c>
      <c r="M366" t="inlineStr">
        <is>
          <t>N1</t>
        </is>
      </c>
      <c r="N366" s="15" t="n">
        <v>0.9550625139277612</v>
      </c>
      <c r="O366" s="15" t="n">
        <v>0.040106160622256</v>
      </c>
      <c r="P366">
        <f>IF(M366="","",IF(M366=E366,1,0))</f>
        <v/>
      </c>
      <c r="Q366">
        <f>IF(K366="OK","-",IF(N366&lt;$B$7,"AMBIGUOUS","CONFIDENT"))</f>
        <v/>
      </c>
    </row>
    <row r="367">
      <c r="A367">
        <f>'Runs Z score'!A359</f>
        <v/>
      </c>
      <c r="B367">
        <f>'Runs Z score'!B359</f>
        <v/>
      </c>
      <c r="C367">
        <f>'Runs Z score'!C359</f>
        <v/>
      </c>
      <c r="D367">
        <f>'Runs Z score'!D359</f>
        <v/>
      </c>
      <c r="E367">
        <f>'Runs Z score'!E359</f>
        <v/>
      </c>
      <c r="F367">
        <f>'Runs Z score'!F359</f>
        <v/>
      </c>
      <c r="G367">
        <f>'Runs Z score'!G359</f>
        <v/>
      </c>
      <c r="H367">
        <f>VLOOKUP(C367,Recipes!$A$2:$N$4,10,FALSE())</f>
        <v/>
      </c>
      <c r="I367">
        <f>VLOOKUP(C367,Recipes!$A$2:$N$4,12,FALSE())</f>
        <v/>
      </c>
      <c r="J367">
        <f>IF(G367="","",H367-G367)</f>
        <v/>
      </c>
      <c r="K367">
        <f>IF(G367="","",IF(ABS(G367-H367)&lt;=$B$6*I367,"OK","NG"))</f>
        <v/>
      </c>
      <c r="L367">
        <f>IF(K367="","",IF(K367=D367,1,0))</f>
        <v/>
      </c>
      <c r="M367" t="inlineStr">
        <is>
          <t>W1</t>
        </is>
      </c>
      <c r="N367" s="15" t="n">
        <v>0.6880479367220986</v>
      </c>
      <c r="O367" s="15" t="n">
        <v>0.311952060911659</v>
      </c>
      <c r="P367">
        <f>IF(M367="","",IF(M367=E367,1,0))</f>
        <v/>
      </c>
      <c r="Q367">
        <f>IF(K367="OK","-",IF(N367&lt;$B$7,"AMBIGUOUS","CONFIDENT"))</f>
        <v/>
      </c>
    </row>
    <row r="368">
      <c r="A368">
        <f>'Runs Z score'!A360</f>
        <v/>
      </c>
      <c r="B368">
        <f>'Runs Z score'!B360</f>
        <v/>
      </c>
      <c r="C368">
        <f>'Runs Z score'!C360</f>
        <v/>
      </c>
      <c r="D368">
        <f>'Runs Z score'!D360</f>
        <v/>
      </c>
      <c r="E368">
        <f>'Runs Z score'!E360</f>
        <v/>
      </c>
      <c r="F368">
        <f>'Runs Z score'!F360</f>
        <v/>
      </c>
      <c r="G368">
        <f>'Runs Z score'!G360</f>
        <v/>
      </c>
      <c r="H368">
        <f>VLOOKUP(C368,Recipes!$A$2:$N$4,10,FALSE())</f>
        <v/>
      </c>
      <c r="I368">
        <f>VLOOKUP(C368,Recipes!$A$2:$N$4,12,FALSE())</f>
        <v/>
      </c>
      <c r="J368">
        <f>IF(G368="","",H368-G368)</f>
        <v/>
      </c>
      <c r="K368">
        <f>IF(G368="","",IF(ABS(G368-H368)&lt;=$B$6*I368,"OK","NG"))</f>
        <v/>
      </c>
      <c r="L368">
        <f>IF(K368="","",IF(K368=D368,1,0))</f>
        <v/>
      </c>
      <c r="M368" t="inlineStr">
        <is>
          <t>W1</t>
        </is>
      </c>
      <c r="N368" s="15" t="n">
        <v>0.9854833776828228</v>
      </c>
      <c r="O368" s="15" t="n">
        <v>0.0145166169195421</v>
      </c>
      <c r="P368">
        <f>IF(M368="","",IF(M368=E368,1,0))</f>
        <v/>
      </c>
      <c r="Q368">
        <f>IF(K368="OK","-",IF(N368&lt;$B$7,"AMBIGUOUS","CONFIDENT"))</f>
        <v/>
      </c>
    </row>
    <row r="369">
      <c r="A369">
        <f>'Runs Z score'!A361</f>
        <v/>
      </c>
      <c r="B369">
        <f>'Runs Z score'!B361</f>
        <v/>
      </c>
      <c r="C369">
        <f>'Runs Z score'!C361</f>
        <v/>
      </c>
      <c r="D369">
        <f>'Runs Z score'!D361</f>
        <v/>
      </c>
      <c r="E369">
        <f>'Runs Z score'!E361</f>
        <v/>
      </c>
      <c r="F369">
        <f>'Runs Z score'!F361</f>
        <v/>
      </c>
      <c r="G369">
        <f>'Runs Z score'!G361</f>
        <v/>
      </c>
      <c r="H369">
        <f>VLOOKUP(C369,Recipes!$A$2:$N$4,10,FALSE())</f>
        <v/>
      </c>
      <c r="I369">
        <f>VLOOKUP(C369,Recipes!$A$2:$N$4,12,FALSE())</f>
        <v/>
      </c>
      <c r="J369">
        <f>IF(G369="","",H369-G369)</f>
        <v/>
      </c>
      <c r="K369">
        <f>IF(G369="","",IF(ABS(G369-H369)&lt;=$B$6*I369,"OK","NG"))</f>
        <v/>
      </c>
      <c r="L369">
        <f>IF(K369="","",IF(K369=D369,1,0))</f>
        <v/>
      </c>
      <c r="M369" t="inlineStr">
        <is>
          <t>N1</t>
        </is>
      </c>
      <c r="N369" s="15" t="n">
        <v>0.7556246259102357</v>
      </c>
      <c r="O369" s="15" t="n">
        <v>0.2356041474810916</v>
      </c>
      <c r="P369">
        <f>IF(M369="","",IF(M369=E369,1,0))</f>
        <v/>
      </c>
      <c r="Q369">
        <f>IF(K369="OK","-",IF(N369&lt;$B$7,"AMBIGUOUS","CONFIDENT"))</f>
        <v/>
      </c>
    </row>
    <row r="370">
      <c r="A370">
        <f>'Runs Z score'!A362</f>
        <v/>
      </c>
      <c r="B370">
        <f>'Runs Z score'!B362</f>
        <v/>
      </c>
      <c r="C370">
        <f>'Runs Z score'!C362</f>
        <v/>
      </c>
      <c r="D370">
        <f>'Runs Z score'!D362</f>
        <v/>
      </c>
      <c r="E370">
        <f>'Runs Z score'!E362</f>
        <v/>
      </c>
      <c r="F370">
        <f>'Runs Z score'!F362</f>
        <v/>
      </c>
      <c r="G370">
        <f>'Runs Z score'!G362</f>
        <v/>
      </c>
      <c r="H370">
        <f>VLOOKUP(C370,Recipes!$A$2:$N$4,10,FALSE())</f>
        <v/>
      </c>
      <c r="I370">
        <f>VLOOKUP(C370,Recipes!$A$2:$N$4,12,FALSE())</f>
        <v/>
      </c>
      <c r="J370">
        <f>IF(G370="","",H370-G370)</f>
        <v/>
      </c>
      <c r="K370">
        <f>IF(G370="","",IF(ABS(G370-H370)&lt;=$B$6*I370,"OK","NG"))</f>
        <v/>
      </c>
      <c r="L370">
        <f>IF(K370="","",IF(K370=D370,1,0))</f>
        <v/>
      </c>
      <c r="M370" t="inlineStr">
        <is>
          <t>W1</t>
        </is>
      </c>
      <c r="N370" s="15" t="n">
        <v>0.9844895032609662</v>
      </c>
      <c r="O370" s="15" t="n">
        <v>0.0155104961227931</v>
      </c>
      <c r="P370">
        <f>IF(M370="","",IF(M370=E370,1,0))</f>
        <v/>
      </c>
      <c r="Q370">
        <f>IF(K370="OK","-",IF(N370&lt;$B$7,"AMBIGUOUS","CONFIDENT"))</f>
        <v/>
      </c>
    </row>
    <row r="371">
      <c r="A371">
        <f>'Runs Z score'!A363</f>
        <v/>
      </c>
      <c r="B371">
        <f>'Runs Z score'!B363</f>
        <v/>
      </c>
      <c r="C371">
        <f>'Runs Z score'!C363</f>
        <v/>
      </c>
      <c r="D371">
        <f>'Runs Z score'!D363</f>
        <v/>
      </c>
      <c r="E371">
        <f>'Runs Z score'!E363</f>
        <v/>
      </c>
      <c r="F371">
        <f>'Runs Z score'!F363</f>
        <v/>
      </c>
      <c r="G371">
        <f>'Runs Z score'!G363</f>
        <v/>
      </c>
      <c r="H371">
        <f>VLOOKUP(C371,Recipes!$A$2:$N$4,10,FALSE())</f>
        <v/>
      </c>
      <c r="I371">
        <f>VLOOKUP(C371,Recipes!$A$2:$N$4,12,FALSE())</f>
        <v/>
      </c>
      <c r="J371">
        <f>IF(G371="","",H371-G371)</f>
        <v/>
      </c>
      <c r="K371">
        <f>IF(G371="","",IF(ABS(G371-H371)&lt;=$B$6*I371,"OK","NG"))</f>
        <v/>
      </c>
      <c r="L371">
        <f>IF(K371="","",IF(K371=D371,1,0))</f>
        <v/>
      </c>
      <c r="M371" t="inlineStr">
        <is>
          <t>N2</t>
        </is>
      </c>
      <c r="N371" s="15" t="n">
        <v>0.99058382094818</v>
      </c>
      <c r="O371" s="15" t="n">
        <v>0.009375403630924</v>
      </c>
      <c r="P371">
        <f>IF(M371="","",IF(M371=E371,1,0))</f>
        <v/>
      </c>
      <c r="Q371">
        <f>IF(K371="OK","-",IF(N371&lt;$B$7,"AMBIGUOUS","CONFIDENT"))</f>
        <v/>
      </c>
    </row>
    <row r="372">
      <c r="A372">
        <f>'Runs Z score'!A364</f>
        <v/>
      </c>
      <c r="B372">
        <f>'Runs Z score'!B364</f>
        <v/>
      </c>
      <c r="C372">
        <f>'Runs Z score'!C364</f>
        <v/>
      </c>
      <c r="D372">
        <f>'Runs Z score'!D364</f>
        <v/>
      </c>
      <c r="E372">
        <f>'Runs Z score'!E364</f>
        <v/>
      </c>
      <c r="F372">
        <f>'Runs Z score'!F364</f>
        <v/>
      </c>
      <c r="G372">
        <f>'Runs Z score'!G364</f>
        <v/>
      </c>
      <c r="H372">
        <f>VLOOKUP(C372,Recipes!$A$2:$N$4,10,FALSE())</f>
        <v/>
      </c>
      <c r="I372">
        <f>VLOOKUP(C372,Recipes!$A$2:$N$4,12,FALSE())</f>
        <v/>
      </c>
      <c r="J372">
        <f>IF(G372="","",H372-G372)</f>
        <v/>
      </c>
      <c r="K372">
        <f>IF(G372="","",IF(ABS(G372-H372)&lt;=$B$6*I372,"OK","NG"))</f>
        <v/>
      </c>
      <c r="L372">
        <f>IF(K372="","",IF(K372=D372,1,0))</f>
        <v/>
      </c>
      <c r="M372" t="inlineStr">
        <is>
          <t>N2</t>
        </is>
      </c>
      <c r="N372" s="15" t="n">
        <v>0.8734733517154708</v>
      </c>
      <c r="O372" s="15" t="n">
        <v>0.1263066689380364</v>
      </c>
      <c r="P372">
        <f>IF(M372="","",IF(M372=E372,1,0))</f>
        <v/>
      </c>
      <c r="Q372">
        <f>IF(K372="OK","-",IF(N372&lt;$B$7,"AMBIGUOUS","CONFIDENT"))</f>
        <v/>
      </c>
    </row>
    <row r="373">
      <c r="A373">
        <f>'Runs Z score'!A365</f>
        <v/>
      </c>
      <c r="B373">
        <f>'Runs Z score'!B365</f>
        <v/>
      </c>
      <c r="C373">
        <f>'Runs Z score'!C365</f>
        <v/>
      </c>
      <c r="D373">
        <f>'Runs Z score'!D365</f>
        <v/>
      </c>
      <c r="E373">
        <f>'Runs Z score'!E365</f>
        <v/>
      </c>
      <c r="F373">
        <f>'Runs Z score'!F365</f>
        <v/>
      </c>
      <c r="G373">
        <f>'Runs Z score'!G365</f>
        <v/>
      </c>
      <c r="H373">
        <f>VLOOKUP(C373,Recipes!$A$2:$N$4,10,FALSE())</f>
        <v/>
      </c>
      <c r="I373">
        <f>VLOOKUP(C373,Recipes!$A$2:$N$4,12,FALSE())</f>
        <v/>
      </c>
      <c r="J373">
        <f>IF(G373="","",H373-G373)</f>
        <v/>
      </c>
      <c r="K373">
        <f>IF(G373="","",IF(ABS(G373-H373)&lt;=$B$6*I373,"OK","NG"))</f>
        <v/>
      </c>
      <c r="L373">
        <f>IF(K373="","",IF(K373=D373,1,0))</f>
        <v/>
      </c>
      <c r="M373" t="inlineStr">
        <is>
          <t>N2</t>
        </is>
      </c>
      <c r="N373" s="15" t="n">
        <v>0.720306941305061</v>
      </c>
      <c r="O373" s="15" t="n">
        <v>0.277353253075673</v>
      </c>
      <c r="P373">
        <f>IF(M373="","",IF(M373=E373,1,0))</f>
        <v/>
      </c>
      <c r="Q373">
        <f>IF(K373="OK","-",IF(N373&lt;$B$7,"AMBIGUOUS","CONFIDENT"))</f>
        <v/>
      </c>
    </row>
    <row r="374">
      <c r="A374">
        <f>'Runs Z score'!A366</f>
        <v/>
      </c>
      <c r="B374">
        <f>'Runs Z score'!B366</f>
        <v/>
      </c>
      <c r="C374">
        <f>'Runs Z score'!C366</f>
        <v/>
      </c>
      <c r="D374">
        <f>'Runs Z score'!D366</f>
        <v/>
      </c>
      <c r="E374">
        <f>'Runs Z score'!E366</f>
        <v/>
      </c>
      <c r="F374">
        <f>'Runs Z score'!F366</f>
        <v/>
      </c>
      <c r="G374">
        <f>'Runs Z score'!G366</f>
        <v/>
      </c>
      <c r="H374">
        <f>VLOOKUP(C374,Recipes!$A$2:$N$4,10,FALSE())</f>
        <v/>
      </c>
      <c r="I374">
        <f>VLOOKUP(C374,Recipes!$A$2:$N$4,12,FALSE())</f>
        <v/>
      </c>
      <c r="J374">
        <f>IF(G374="","",H374-G374)</f>
        <v/>
      </c>
      <c r="K374">
        <f>IF(G374="","",IF(ABS(G374-H374)&lt;=$B$6*I374,"OK","NG"))</f>
        <v/>
      </c>
      <c r="L374">
        <f>IF(K374="","",IF(K374=D374,1,0))</f>
        <v/>
      </c>
      <c r="M374" t="inlineStr">
        <is>
          <t>N1</t>
        </is>
      </c>
      <c r="N374" s="15" t="n">
        <v>0.5577177430318629</v>
      </c>
      <c r="O374" s="15" t="n">
        <v>0.4310531949453495</v>
      </c>
      <c r="P374">
        <f>IF(M374="","",IF(M374=E374,1,0))</f>
        <v/>
      </c>
      <c r="Q374">
        <f>IF(K374="OK","-",IF(N374&lt;$B$7,"AMBIGUOUS","CONFIDENT"))</f>
        <v/>
      </c>
    </row>
    <row r="375">
      <c r="A375">
        <f>'Runs Z score'!A367</f>
        <v/>
      </c>
      <c r="B375">
        <f>'Runs Z score'!B367</f>
        <v/>
      </c>
      <c r="C375">
        <f>'Runs Z score'!C367</f>
        <v/>
      </c>
      <c r="D375">
        <f>'Runs Z score'!D367</f>
        <v/>
      </c>
      <c r="E375">
        <f>'Runs Z score'!E367</f>
        <v/>
      </c>
      <c r="F375">
        <f>'Runs Z score'!F367</f>
        <v/>
      </c>
      <c r="G375">
        <f>'Runs Z score'!G367</f>
        <v/>
      </c>
      <c r="H375">
        <f>VLOOKUP(C375,Recipes!$A$2:$N$4,10,FALSE())</f>
        <v/>
      </c>
      <c r="I375">
        <f>VLOOKUP(C375,Recipes!$A$2:$N$4,12,FALSE())</f>
        <v/>
      </c>
      <c r="J375">
        <f>IF(G375="","",H375-G375)</f>
        <v/>
      </c>
      <c r="K375">
        <f>IF(G375="","",IF(ABS(G375-H375)&lt;=$B$6*I375,"OK","NG"))</f>
        <v/>
      </c>
      <c r="L375">
        <f>IF(K375="","",IF(K375=D375,1,0))</f>
        <v/>
      </c>
      <c r="M375" t="inlineStr">
        <is>
          <t>N2</t>
        </is>
      </c>
      <c r="N375" s="15" t="n">
        <v>0.9991957759073268</v>
      </c>
      <c r="O375" s="15" t="n">
        <v>0.0007749661022322</v>
      </c>
      <c r="P375">
        <f>IF(M375="","",IF(M375=E375,1,0))</f>
        <v/>
      </c>
      <c r="Q375">
        <f>IF(K375="OK","-",IF(N375&lt;$B$7,"AMBIGUOUS","CONFIDENT"))</f>
        <v/>
      </c>
    </row>
    <row r="376">
      <c r="A376">
        <f>'Runs Z score'!A368</f>
        <v/>
      </c>
      <c r="B376">
        <f>'Runs Z score'!B368</f>
        <v/>
      </c>
      <c r="C376">
        <f>'Runs Z score'!C368</f>
        <v/>
      </c>
      <c r="D376">
        <f>'Runs Z score'!D368</f>
        <v/>
      </c>
      <c r="E376">
        <f>'Runs Z score'!E368</f>
        <v/>
      </c>
      <c r="F376">
        <f>'Runs Z score'!F368</f>
        <v/>
      </c>
      <c r="G376">
        <f>'Runs Z score'!G368</f>
        <v/>
      </c>
      <c r="H376">
        <f>VLOOKUP(C376,Recipes!$A$2:$N$4,10,FALSE())</f>
        <v/>
      </c>
      <c r="I376">
        <f>VLOOKUP(C376,Recipes!$A$2:$N$4,12,FALSE())</f>
        <v/>
      </c>
      <c r="J376">
        <f>IF(G376="","",H376-G376)</f>
        <v/>
      </c>
      <c r="K376">
        <f>IF(G376="","",IF(ABS(G376-H376)&lt;=$B$6*I376,"OK","NG"))</f>
        <v/>
      </c>
      <c r="L376">
        <f>IF(K376="","",IF(K376=D376,1,0))</f>
        <v/>
      </c>
      <c r="M376" t="inlineStr">
        <is>
          <t>N2</t>
        </is>
      </c>
      <c r="N376" s="15" t="n">
        <v>0.9807178508013276</v>
      </c>
      <c r="O376" s="15" t="n">
        <v>0.0192456849703071</v>
      </c>
      <c r="P376">
        <f>IF(M376="","",IF(M376=E376,1,0))</f>
        <v/>
      </c>
      <c r="Q376">
        <f>IF(K376="OK","-",IF(N376&lt;$B$7,"AMBIGUOUS","CONFIDENT"))</f>
        <v/>
      </c>
    </row>
    <row r="377">
      <c r="A377">
        <f>'Runs Z score'!A369</f>
        <v/>
      </c>
      <c r="B377">
        <f>'Runs Z score'!B369</f>
        <v/>
      </c>
      <c r="C377">
        <f>'Runs Z score'!C369</f>
        <v/>
      </c>
      <c r="D377">
        <f>'Runs Z score'!D369</f>
        <v/>
      </c>
      <c r="E377">
        <f>'Runs Z score'!E369</f>
        <v/>
      </c>
      <c r="F377">
        <f>'Runs Z score'!F369</f>
        <v/>
      </c>
      <c r="G377">
        <f>'Runs Z score'!G369</f>
        <v/>
      </c>
      <c r="H377">
        <f>VLOOKUP(C377,Recipes!$A$2:$N$4,10,FALSE())</f>
        <v/>
      </c>
      <c r="I377">
        <f>VLOOKUP(C377,Recipes!$A$2:$N$4,12,FALSE())</f>
        <v/>
      </c>
      <c r="J377">
        <f>IF(G377="","",H377-G377)</f>
        <v/>
      </c>
      <c r="K377">
        <f>IF(G377="","",IF(ABS(G377-H377)&lt;=$B$6*I377,"OK","NG"))</f>
        <v/>
      </c>
      <c r="L377">
        <f>IF(K377="","",IF(K377=D377,1,0))</f>
        <v/>
      </c>
      <c r="M377" t="inlineStr">
        <is>
          <t>N2</t>
        </is>
      </c>
      <c r="N377" s="15" t="n">
        <v>0.9759598694719448</v>
      </c>
      <c r="O377" s="15" t="n">
        <v>0.0240157562934203</v>
      </c>
      <c r="P377">
        <f>IF(M377="","",IF(M377=E377,1,0))</f>
        <v/>
      </c>
      <c r="Q377">
        <f>IF(K377="OK","-",IF(N377&lt;$B$7,"AMBIGUOUS","CONFIDENT"))</f>
        <v/>
      </c>
    </row>
    <row r="378">
      <c r="A378">
        <f>'Runs Z score'!A370</f>
        <v/>
      </c>
      <c r="B378">
        <f>'Runs Z score'!B370</f>
        <v/>
      </c>
      <c r="C378">
        <f>'Runs Z score'!C370</f>
        <v/>
      </c>
      <c r="D378">
        <f>'Runs Z score'!D370</f>
        <v/>
      </c>
      <c r="E378">
        <f>'Runs Z score'!E370</f>
        <v/>
      </c>
      <c r="F378">
        <f>'Runs Z score'!F370</f>
        <v/>
      </c>
      <c r="G378">
        <f>'Runs Z score'!G370</f>
        <v/>
      </c>
      <c r="H378">
        <f>VLOOKUP(C378,Recipes!$A$2:$N$4,10,FALSE())</f>
        <v/>
      </c>
      <c r="I378">
        <f>VLOOKUP(C378,Recipes!$A$2:$N$4,12,FALSE())</f>
        <v/>
      </c>
      <c r="J378">
        <f>IF(G378="","",H378-G378)</f>
        <v/>
      </c>
      <c r="K378">
        <f>IF(G378="","",IF(ABS(G378-H378)&lt;=$B$6*I378,"OK","NG"))</f>
        <v/>
      </c>
      <c r="L378">
        <f>IF(K378="","",IF(K378=D378,1,0))</f>
        <v/>
      </c>
      <c r="M378" t="inlineStr">
        <is>
          <t>N2</t>
        </is>
      </c>
      <c r="N378" s="15" t="n">
        <v>0.6460410820738935</v>
      </c>
      <c r="O378" s="15" t="n">
        <v>0.3525908139546154</v>
      </c>
      <c r="P378">
        <f>IF(M378="","",IF(M378=E378,1,0))</f>
        <v/>
      </c>
      <c r="Q378">
        <f>IF(K378="OK","-",IF(N378&lt;$B$7,"AMBIGUOUS","CONFIDENT"))</f>
        <v/>
      </c>
    </row>
    <row r="379">
      <c r="A379">
        <f>'Runs Z score'!A371</f>
        <v/>
      </c>
      <c r="B379">
        <f>'Runs Z score'!B371</f>
        <v/>
      </c>
      <c r="C379">
        <f>'Runs Z score'!C371</f>
        <v/>
      </c>
      <c r="D379">
        <f>'Runs Z score'!D371</f>
        <v/>
      </c>
      <c r="E379">
        <f>'Runs Z score'!E371</f>
        <v/>
      </c>
      <c r="F379">
        <f>'Runs Z score'!F371</f>
        <v/>
      </c>
      <c r="G379">
        <f>'Runs Z score'!G371</f>
        <v/>
      </c>
      <c r="H379">
        <f>VLOOKUP(C379,Recipes!$A$2:$N$4,10,FALSE())</f>
        <v/>
      </c>
      <c r="I379">
        <f>VLOOKUP(C379,Recipes!$A$2:$N$4,12,FALSE())</f>
        <v/>
      </c>
      <c r="J379">
        <f>IF(G379="","",H379-G379)</f>
        <v/>
      </c>
      <c r="K379">
        <f>IF(G379="","",IF(ABS(G379-H379)&lt;=$B$6*I379,"OK","NG"))</f>
        <v/>
      </c>
      <c r="L379">
        <f>IF(K379="","",IF(K379=D379,1,0))</f>
        <v/>
      </c>
      <c r="M379" t="inlineStr">
        <is>
          <t>N2</t>
        </is>
      </c>
      <c r="N379" s="15" t="n">
        <v>0.9964004891335556</v>
      </c>
      <c r="O379" s="15" t="n">
        <v>0.0035530705138555</v>
      </c>
      <c r="P379">
        <f>IF(M379="","",IF(M379=E379,1,0))</f>
        <v/>
      </c>
      <c r="Q379">
        <f>IF(K379="OK","-",IF(N379&lt;$B$7,"AMBIGUOUS","CONFIDENT"))</f>
        <v/>
      </c>
    </row>
    <row r="380">
      <c r="A380">
        <f>'Runs Z score'!A372</f>
        <v/>
      </c>
      <c r="B380">
        <f>'Runs Z score'!B372</f>
        <v/>
      </c>
      <c r="C380">
        <f>'Runs Z score'!C372</f>
        <v/>
      </c>
      <c r="D380">
        <f>'Runs Z score'!D372</f>
        <v/>
      </c>
      <c r="E380">
        <f>'Runs Z score'!E372</f>
        <v/>
      </c>
      <c r="F380">
        <f>'Runs Z score'!F372</f>
        <v/>
      </c>
      <c r="G380">
        <f>'Runs Z score'!G372</f>
        <v/>
      </c>
      <c r="H380">
        <f>VLOOKUP(C380,Recipes!$A$2:$N$4,10,FALSE())</f>
        <v/>
      </c>
      <c r="I380">
        <f>VLOOKUP(C380,Recipes!$A$2:$N$4,12,FALSE())</f>
        <v/>
      </c>
      <c r="J380">
        <f>IF(G380="","",H380-G380)</f>
        <v/>
      </c>
      <c r="K380">
        <f>IF(G380="","",IF(ABS(G380-H380)&lt;=$B$6*I380,"OK","NG"))</f>
        <v/>
      </c>
      <c r="L380">
        <f>IF(K380="","",IF(K380=D380,1,0))</f>
        <v/>
      </c>
      <c r="M380" t="inlineStr">
        <is>
          <t>N2</t>
        </is>
      </c>
      <c r="N380" s="15" t="n">
        <v>0.943647218529338</v>
      </c>
      <c r="O380" s="15" t="n">
        <v>0.0562898548539034</v>
      </c>
      <c r="P380">
        <f>IF(M380="","",IF(M380=E380,1,0))</f>
        <v/>
      </c>
      <c r="Q380">
        <f>IF(K380="OK","-",IF(N380&lt;$B$7,"AMBIGUOUS","CONFIDENT"))</f>
        <v/>
      </c>
    </row>
    <row r="381">
      <c r="A381">
        <f>'Runs Z score'!A373</f>
        <v/>
      </c>
      <c r="B381">
        <f>'Runs Z score'!B373</f>
        <v/>
      </c>
      <c r="C381">
        <f>'Runs Z score'!C373</f>
        <v/>
      </c>
      <c r="D381">
        <f>'Runs Z score'!D373</f>
        <v/>
      </c>
      <c r="E381">
        <f>'Runs Z score'!E373</f>
        <v/>
      </c>
      <c r="F381">
        <f>'Runs Z score'!F373</f>
        <v/>
      </c>
      <c r="G381">
        <f>'Runs Z score'!G373</f>
        <v/>
      </c>
      <c r="H381">
        <f>VLOOKUP(C381,Recipes!$A$2:$N$4,10,FALSE())</f>
        <v/>
      </c>
      <c r="I381">
        <f>VLOOKUP(C381,Recipes!$A$2:$N$4,12,FALSE())</f>
        <v/>
      </c>
      <c r="J381">
        <f>IF(G381="","",H381-G381)</f>
        <v/>
      </c>
      <c r="K381">
        <f>IF(G381="","",IF(ABS(G381-H381)&lt;=$B$6*I381,"OK","NG"))</f>
        <v/>
      </c>
      <c r="L381">
        <f>IF(K381="","",IF(K381=D381,1,0))</f>
        <v/>
      </c>
      <c r="M381" t="inlineStr">
        <is>
          <t>N2</t>
        </is>
      </c>
      <c r="N381" s="15" t="n">
        <v>0.9958089546590196</v>
      </c>
      <c r="O381" s="15" t="n">
        <v>0.0041699228555916</v>
      </c>
      <c r="P381">
        <f>IF(M381="","",IF(M381=E381,1,0))</f>
        <v/>
      </c>
      <c r="Q381">
        <f>IF(K381="OK","-",IF(N381&lt;$B$7,"AMBIGUOUS","CONFIDENT"))</f>
        <v/>
      </c>
    </row>
    <row r="382">
      <c r="A382">
        <f>'Runs Z score'!A374</f>
        <v/>
      </c>
      <c r="B382">
        <f>'Runs Z score'!B374</f>
        <v/>
      </c>
      <c r="C382">
        <f>'Runs Z score'!C374</f>
        <v/>
      </c>
      <c r="D382">
        <f>'Runs Z score'!D374</f>
        <v/>
      </c>
      <c r="E382">
        <f>'Runs Z score'!E374</f>
        <v/>
      </c>
      <c r="F382">
        <f>'Runs Z score'!F374</f>
        <v/>
      </c>
      <c r="G382">
        <f>'Runs Z score'!G374</f>
        <v/>
      </c>
      <c r="H382">
        <f>VLOOKUP(C382,Recipes!$A$2:$N$4,10,FALSE())</f>
        <v/>
      </c>
      <c r="I382">
        <f>VLOOKUP(C382,Recipes!$A$2:$N$4,12,FALSE())</f>
        <v/>
      </c>
      <c r="J382">
        <f>IF(G382="","",H382-G382)</f>
        <v/>
      </c>
      <c r="K382">
        <f>IF(G382="","",IF(ABS(G382-H382)&lt;=$B$6*I382,"OK","NG"))</f>
        <v/>
      </c>
      <c r="L382">
        <f>IF(K382="","",IF(K382=D382,1,0))</f>
        <v/>
      </c>
      <c r="M382" t="inlineStr">
        <is>
          <t>N2</t>
        </is>
      </c>
      <c r="N382" s="15" t="n">
        <v>0.9284585139226657</v>
      </c>
      <c r="O382" s="15" t="n">
        <v>0.0713406705625461</v>
      </c>
      <c r="P382">
        <f>IF(M382="","",IF(M382=E382,1,0))</f>
        <v/>
      </c>
      <c r="Q382">
        <f>IF(K382="OK","-",IF(N382&lt;$B$7,"AMBIGUOUS","CONFIDENT"))</f>
        <v/>
      </c>
    </row>
    <row r="383">
      <c r="A383">
        <f>'Runs Z score'!A375</f>
        <v/>
      </c>
      <c r="B383">
        <f>'Runs Z score'!B375</f>
        <v/>
      </c>
      <c r="C383">
        <f>'Runs Z score'!C375</f>
        <v/>
      </c>
      <c r="D383">
        <f>'Runs Z score'!D375</f>
        <v/>
      </c>
      <c r="E383">
        <f>'Runs Z score'!E375</f>
        <v/>
      </c>
      <c r="F383">
        <f>'Runs Z score'!F375</f>
        <v/>
      </c>
      <c r="G383">
        <f>'Runs Z score'!G375</f>
        <v/>
      </c>
      <c r="H383">
        <f>VLOOKUP(C383,Recipes!$A$2:$N$4,10,FALSE())</f>
        <v/>
      </c>
      <c r="I383">
        <f>VLOOKUP(C383,Recipes!$A$2:$N$4,12,FALSE())</f>
        <v/>
      </c>
      <c r="J383">
        <f>IF(G383="","",H383-G383)</f>
        <v/>
      </c>
      <c r="K383">
        <f>IF(G383="","",IF(ABS(G383-H383)&lt;=$B$6*I383,"OK","NG"))</f>
        <v/>
      </c>
      <c r="L383">
        <f>IF(K383="","",IF(K383=D383,1,0))</f>
        <v/>
      </c>
      <c r="M383" t="inlineStr">
        <is>
          <t>N2</t>
        </is>
      </c>
      <c r="N383" s="15" t="n">
        <v>0.9807178508013276</v>
      </c>
      <c r="O383" s="15" t="n">
        <v>0.0192456849703071</v>
      </c>
      <c r="P383">
        <f>IF(M383="","",IF(M383=E383,1,0))</f>
        <v/>
      </c>
      <c r="Q383">
        <f>IF(K383="OK","-",IF(N383&lt;$B$7,"AMBIGUOUS","CONFIDENT"))</f>
        <v/>
      </c>
    </row>
    <row r="384">
      <c r="A384">
        <f>'Runs Z score'!A376</f>
        <v/>
      </c>
      <c r="B384">
        <f>'Runs Z score'!B376</f>
        <v/>
      </c>
      <c r="C384">
        <f>'Runs Z score'!C376</f>
        <v/>
      </c>
      <c r="D384">
        <f>'Runs Z score'!D376</f>
        <v/>
      </c>
      <c r="E384">
        <f>'Runs Z score'!E376</f>
        <v/>
      </c>
      <c r="F384">
        <f>'Runs Z score'!F376</f>
        <v/>
      </c>
      <c r="G384">
        <f>'Runs Z score'!G376</f>
        <v/>
      </c>
      <c r="H384">
        <f>VLOOKUP(C384,Recipes!$A$2:$N$4,10,FALSE())</f>
        <v/>
      </c>
      <c r="I384">
        <f>VLOOKUP(C384,Recipes!$A$2:$N$4,12,FALSE())</f>
        <v/>
      </c>
      <c r="J384">
        <f>IF(G384="","",H384-G384)</f>
        <v/>
      </c>
      <c r="K384">
        <f>IF(G384="","",IF(ABS(G384-H384)&lt;=$B$6*I384,"OK","NG"))</f>
        <v/>
      </c>
      <c r="L384">
        <f>IF(K384="","",IF(K384=D384,1,0))</f>
        <v/>
      </c>
      <c r="M384" t="inlineStr">
        <is>
          <t>N2</t>
        </is>
      </c>
      <c r="N384" s="15" t="n">
        <v>0.9994302694554056</v>
      </c>
      <c r="O384" s="15" t="n">
        <v>0.0005697301289844</v>
      </c>
      <c r="P384">
        <f>IF(M384="","",IF(M384=E384,1,0))</f>
        <v/>
      </c>
      <c r="Q384">
        <f>IF(K384="OK","-",IF(N384&lt;$B$7,"AMBIGUOUS","CONFIDENT"))</f>
        <v/>
      </c>
    </row>
    <row r="385">
      <c r="A385">
        <f>'Runs Z score'!A377</f>
        <v/>
      </c>
      <c r="B385">
        <f>'Runs Z score'!B377</f>
        <v/>
      </c>
      <c r="C385">
        <f>'Runs Z score'!C377</f>
        <v/>
      </c>
      <c r="D385">
        <f>'Runs Z score'!D377</f>
        <v/>
      </c>
      <c r="E385">
        <f>'Runs Z score'!E377</f>
        <v/>
      </c>
      <c r="F385">
        <f>'Runs Z score'!F377</f>
        <v/>
      </c>
      <c r="G385">
        <f>'Runs Z score'!G377</f>
        <v/>
      </c>
      <c r="H385">
        <f>VLOOKUP(C385,Recipes!$A$2:$N$4,10,FALSE())</f>
        <v/>
      </c>
      <c r="I385">
        <f>VLOOKUP(C385,Recipes!$A$2:$N$4,12,FALSE())</f>
        <v/>
      </c>
      <c r="J385">
        <f>IF(G385="","",H385-G385)</f>
        <v/>
      </c>
      <c r="K385">
        <f>IF(G385="","",IF(ABS(G385-H385)&lt;=$B$6*I385,"OK","NG"))</f>
        <v/>
      </c>
      <c r="L385">
        <f>IF(K385="","",IF(K385=D385,1,0))</f>
        <v/>
      </c>
      <c r="M385" t="inlineStr">
        <is>
          <t>N2</t>
        </is>
      </c>
      <c r="N385" s="15" t="n">
        <v>0.994992387504041</v>
      </c>
      <c r="O385" s="15" t="n">
        <v>0.0049868196095723</v>
      </c>
      <c r="P385">
        <f>IF(M385="","",IF(M385=E385,1,0))</f>
        <v/>
      </c>
      <c r="Q385">
        <f>IF(K385="OK","-",IF(N385&lt;$B$7,"AMBIGUOUS","CONFIDENT"))</f>
        <v/>
      </c>
    </row>
    <row r="386">
      <c r="A386">
        <f>'Runs Z score'!A378</f>
        <v/>
      </c>
      <c r="B386">
        <f>'Runs Z score'!B378</f>
        <v/>
      </c>
      <c r="C386">
        <f>'Runs Z score'!C378</f>
        <v/>
      </c>
      <c r="D386">
        <f>'Runs Z score'!D378</f>
        <v/>
      </c>
      <c r="E386">
        <f>'Runs Z score'!E378</f>
        <v/>
      </c>
      <c r="F386">
        <f>'Runs Z score'!F378</f>
        <v/>
      </c>
      <c r="G386">
        <f>'Runs Z score'!G378</f>
        <v/>
      </c>
      <c r="H386">
        <f>VLOOKUP(C386,Recipes!$A$2:$N$4,10,FALSE())</f>
        <v/>
      </c>
      <c r="I386">
        <f>VLOOKUP(C386,Recipes!$A$2:$N$4,12,FALSE())</f>
        <v/>
      </c>
      <c r="J386">
        <f>IF(G386="","",H386-G386)</f>
        <v/>
      </c>
      <c r="K386">
        <f>IF(G386="","",IF(ABS(G386-H386)&lt;=$B$6*I386,"OK","NG"))</f>
        <v/>
      </c>
      <c r="L386">
        <f>IF(K386="","",IF(K386=D386,1,0))</f>
        <v/>
      </c>
      <c r="M386" t="inlineStr">
        <is>
          <t>N2</t>
        </is>
      </c>
      <c r="N386" s="15" t="n">
        <v>0.9921411323773917</v>
      </c>
      <c r="O386" s="15" t="n">
        <v>0.007837408547159599</v>
      </c>
      <c r="P386">
        <f>IF(M386="","",IF(M386=E386,1,0))</f>
        <v/>
      </c>
      <c r="Q386">
        <f>IF(K386="OK","-",IF(N386&lt;$B$7,"AMBIGUOUS","CONFIDENT"))</f>
        <v/>
      </c>
    </row>
    <row r="387">
      <c r="A387">
        <f>'Runs Z score'!A379</f>
        <v/>
      </c>
      <c r="B387">
        <f>'Runs Z score'!B379</f>
        <v/>
      </c>
      <c r="C387">
        <f>'Runs Z score'!C379</f>
        <v/>
      </c>
      <c r="D387">
        <f>'Runs Z score'!D379</f>
        <v/>
      </c>
      <c r="E387">
        <f>'Runs Z score'!E379</f>
        <v/>
      </c>
      <c r="F387">
        <f>'Runs Z score'!F379</f>
        <v/>
      </c>
      <c r="G387">
        <f>'Runs Z score'!G379</f>
        <v/>
      </c>
      <c r="H387">
        <f>VLOOKUP(C387,Recipes!$A$2:$N$4,10,FALSE())</f>
        <v/>
      </c>
      <c r="I387">
        <f>VLOOKUP(C387,Recipes!$A$2:$N$4,12,FALSE())</f>
        <v/>
      </c>
      <c r="J387">
        <f>IF(G387="","",H387-G387)</f>
        <v/>
      </c>
      <c r="K387">
        <f>IF(G387="","",IF(ABS(G387-H387)&lt;=$B$6*I387,"OK","NG"))</f>
        <v/>
      </c>
      <c r="L387">
        <f>IF(K387="","",IF(K387=D387,1,0))</f>
        <v/>
      </c>
      <c r="M387" t="inlineStr">
        <is>
          <t>N2</t>
        </is>
      </c>
      <c r="N387" s="15" t="n">
        <v>0.9916028944135956</v>
      </c>
      <c r="O387" s="15" t="n">
        <v>0.008372365707244801</v>
      </c>
      <c r="P387">
        <f>IF(M387="","",IF(M387=E387,1,0))</f>
        <v/>
      </c>
      <c r="Q387">
        <f>IF(K387="OK","-",IF(N387&lt;$B$7,"AMBIGUOUS","CONFIDENT"))</f>
        <v/>
      </c>
    </row>
    <row r="388">
      <c r="A388">
        <f>'Runs Z score'!A380</f>
        <v/>
      </c>
      <c r="B388">
        <f>'Runs Z score'!B380</f>
        <v/>
      </c>
      <c r="C388">
        <f>'Runs Z score'!C380</f>
        <v/>
      </c>
      <c r="D388">
        <f>'Runs Z score'!D380</f>
        <v/>
      </c>
      <c r="E388">
        <f>'Runs Z score'!E380</f>
        <v/>
      </c>
      <c r="F388">
        <f>'Runs Z score'!F380</f>
        <v/>
      </c>
      <c r="G388">
        <f>'Runs Z score'!G380</f>
        <v/>
      </c>
      <c r="H388">
        <f>VLOOKUP(C388,Recipes!$A$2:$N$4,10,FALSE())</f>
        <v/>
      </c>
      <c r="I388">
        <f>VLOOKUP(C388,Recipes!$A$2:$N$4,12,FALSE())</f>
        <v/>
      </c>
      <c r="J388">
        <f>IF(G388="","",H388-G388)</f>
        <v/>
      </c>
      <c r="K388">
        <f>IF(G388="","",IF(ABS(G388-H388)&lt;=$B$6*I388,"OK","NG"))</f>
        <v/>
      </c>
      <c r="L388">
        <f>IF(K388="","",IF(K388=D388,1,0))</f>
        <v/>
      </c>
      <c r="M388" t="inlineStr">
        <is>
          <t>N2</t>
        </is>
      </c>
      <c r="N388" s="15" t="n">
        <v>0.9994659416264616</v>
      </c>
      <c r="O388" s="15" t="n">
        <v>0.0004947614271882</v>
      </c>
      <c r="P388">
        <f>IF(M388="","",IF(M388=E388,1,0))</f>
        <v/>
      </c>
      <c r="Q388">
        <f>IF(K388="OK","-",IF(N388&lt;$B$7,"AMBIGUOUS","CONFIDENT"))</f>
        <v/>
      </c>
    </row>
    <row r="389">
      <c r="A389">
        <f>'Runs Z score'!A381</f>
        <v/>
      </c>
      <c r="B389">
        <f>'Runs Z score'!B381</f>
        <v/>
      </c>
      <c r="C389">
        <f>'Runs Z score'!C381</f>
        <v/>
      </c>
      <c r="D389">
        <f>'Runs Z score'!D381</f>
        <v/>
      </c>
      <c r="E389">
        <f>'Runs Z score'!E381</f>
        <v/>
      </c>
      <c r="F389">
        <f>'Runs Z score'!F381</f>
        <v/>
      </c>
      <c r="G389">
        <f>'Runs Z score'!G381</f>
        <v/>
      </c>
      <c r="H389">
        <f>VLOOKUP(C389,Recipes!$A$2:$N$4,10,FALSE())</f>
        <v/>
      </c>
      <c r="I389">
        <f>VLOOKUP(C389,Recipes!$A$2:$N$4,12,FALSE())</f>
        <v/>
      </c>
      <c r="J389">
        <f>IF(G389="","",H389-G389)</f>
        <v/>
      </c>
      <c r="K389">
        <f>IF(G389="","",IF(ABS(G389-H389)&lt;=$B$6*I389,"OK","NG"))</f>
        <v/>
      </c>
      <c r="L389">
        <f>IF(K389="","",IF(K389=D389,1,0))</f>
        <v/>
      </c>
      <c r="M389" t="inlineStr">
        <is>
          <t>N2</t>
        </is>
      </c>
      <c r="N389" s="15" t="n">
        <v>0.7697210654565552</v>
      </c>
      <c r="O389" s="15" t="n">
        <v>0.2277621272577311</v>
      </c>
      <c r="P389">
        <f>IF(M389="","",IF(M389=E389,1,0))</f>
        <v/>
      </c>
      <c r="Q389">
        <f>IF(K389="OK","-",IF(N389&lt;$B$7,"AMBIGUOUS","CONFIDENT"))</f>
        <v/>
      </c>
    </row>
    <row r="390">
      <c r="A390">
        <f>'Runs Z score'!A382</f>
        <v/>
      </c>
      <c r="B390">
        <f>'Runs Z score'!B382</f>
        <v/>
      </c>
      <c r="C390">
        <f>'Runs Z score'!C382</f>
        <v/>
      </c>
      <c r="D390">
        <f>'Runs Z score'!D382</f>
        <v/>
      </c>
      <c r="E390">
        <f>'Runs Z score'!E382</f>
        <v/>
      </c>
      <c r="F390">
        <f>'Runs Z score'!F382</f>
        <v/>
      </c>
      <c r="G390">
        <f>'Runs Z score'!G382</f>
        <v/>
      </c>
      <c r="H390">
        <f>VLOOKUP(C390,Recipes!$A$2:$N$4,10,FALSE())</f>
        <v/>
      </c>
      <c r="I390">
        <f>VLOOKUP(C390,Recipes!$A$2:$N$4,12,FALSE())</f>
        <v/>
      </c>
      <c r="J390">
        <f>IF(G390="","",H390-G390)</f>
        <v/>
      </c>
      <c r="K390">
        <f>IF(G390="","",IF(ABS(G390-H390)&lt;=$B$6*I390,"OK","NG"))</f>
        <v/>
      </c>
      <c r="L390">
        <f>IF(K390="","",IF(K390=D390,1,0))</f>
        <v/>
      </c>
      <c r="M390" t="inlineStr">
        <is>
          <t>N2</t>
        </is>
      </c>
      <c r="N390" s="15" t="n">
        <v>0.9807178508013276</v>
      </c>
      <c r="O390" s="15" t="n">
        <v>0.0192456849703071</v>
      </c>
      <c r="P390">
        <f>IF(M390="","",IF(M390=E390,1,0))</f>
        <v/>
      </c>
      <c r="Q390">
        <f>IF(K390="OK","-",IF(N390&lt;$B$7,"AMBIGUOUS","CONFIDENT"))</f>
        <v/>
      </c>
    </row>
    <row r="391">
      <c r="A391">
        <f>'Runs Z score'!A383</f>
        <v/>
      </c>
      <c r="B391">
        <f>'Runs Z score'!B383</f>
        <v/>
      </c>
      <c r="C391">
        <f>'Runs Z score'!C383</f>
        <v/>
      </c>
      <c r="D391">
        <f>'Runs Z score'!D383</f>
        <v/>
      </c>
      <c r="E391">
        <f>'Runs Z score'!E383</f>
        <v/>
      </c>
      <c r="F391">
        <f>'Runs Z score'!F383</f>
        <v/>
      </c>
      <c r="G391">
        <f>'Runs Z score'!G383</f>
        <v/>
      </c>
      <c r="H391">
        <f>VLOOKUP(C391,Recipes!$A$2:$N$4,10,FALSE())</f>
        <v/>
      </c>
      <c r="I391">
        <f>VLOOKUP(C391,Recipes!$A$2:$N$4,12,FALSE())</f>
        <v/>
      </c>
      <c r="J391">
        <f>IF(G391="","",H391-G391)</f>
        <v/>
      </c>
      <c r="K391">
        <f>IF(G391="","",IF(ABS(G391-H391)&lt;=$B$6*I391,"OK","NG"))</f>
        <v/>
      </c>
      <c r="L391">
        <f>IF(K391="","",IF(K391=D391,1,0))</f>
        <v/>
      </c>
      <c r="M391" t="inlineStr">
        <is>
          <t>N2</t>
        </is>
      </c>
      <c r="N391" s="15" t="n">
        <v>0.914911485042544</v>
      </c>
      <c r="O391" s="15" t="n">
        <v>0.0849723487033647</v>
      </c>
      <c r="P391">
        <f>IF(M391="","",IF(M391=E391,1,0))</f>
        <v/>
      </c>
      <c r="Q391">
        <f>IF(K391="OK","-",IF(N391&lt;$B$7,"AMBIGUOUS","CONFIDENT"))</f>
        <v/>
      </c>
    </row>
    <row r="392">
      <c r="A392">
        <f>'Runs Z score'!A384</f>
        <v/>
      </c>
      <c r="B392">
        <f>'Runs Z score'!B384</f>
        <v/>
      </c>
      <c r="C392">
        <f>'Runs Z score'!C384</f>
        <v/>
      </c>
      <c r="D392">
        <f>'Runs Z score'!D384</f>
        <v/>
      </c>
      <c r="E392">
        <f>'Runs Z score'!E384</f>
        <v/>
      </c>
      <c r="F392">
        <f>'Runs Z score'!F384</f>
        <v/>
      </c>
      <c r="G392">
        <f>'Runs Z score'!G384</f>
        <v/>
      </c>
      <c r="H392">
        <f>VLOOKUP(C392,Recipes!$A$2:$N$4,10,FALSE())</f>
        <v/>
      </c>
      <c r="I392">
        <f>VLOOKUP(C392,Recipes!$A$2:$N$4,12,FALSE())</f>
        <v/>
      </c>
      <c r="J392">
        <f>IF(G392="","",H392-G392)</f>
        <v/>
      </c>
      <c r="K392">
        <f>IF(G392="","",IF(ABS(G392-H392)&lt;=$B$6*I392,"OK","NG"))</f>
        <v/>
      </c>
      <c r="L392">
        <f>IF(K392="","",IF(K392=D392,1,0))</f>
        <v/>
      </c>
      <c r="M392" t="inlineStr">
        <is>
          <t>N2</t>
        </is>
      </c>
      <c r="N392" s="15" t="n">
        <v>0.9917530057556906</v>
      </c>
      <c r="O392" s="15" t="n">
        <v>0.008193717646918</v>
      </c>
      <c r="P392">
        <f>IF(M392="","",IF(M392=E392,1,0))</f>
        <v/>
      </c>
      <c r="Q392">
        <f>IF(K392="OK","-",IF(N392&lt;$B$7,"AMBIGUOUS","CONFIDENT"))</f>
        <v/>
      </c>
    </row>
    <row r="393">
      <c r="A393">
        <f>'Runs Z score'!A385</f>
        <v/>
      </c>
      <c r="B393">
        <f>'Runs Z score'!B385</f>
        <v/>
      </c>
      <c r="C393">
        <f>'Runs Z score'!C385</f>
        <v/>
      </c>
      <c r="D393">
        <f>'Runs Z score'!D385</f>
        <v/>
      </c>
      <c r="E393">
        <f>'Runs Z score'!E385</f>
        <v/>
      </c>
      <c r="F393">
        <f>'Runs Z score'!F385</f>
        <v/>
      </c>
      <c r="G393">
        <f>'Runs Z score'!G385</f>
        <v/>
      </c>
      <c r="H393">
        <f>VLOOKUP(C393,Recipes!$A$2:$N$4,10,FALSE())</f>
        <v/>
      </c>
      <c r="I393">
        <f>VLOOKUP(C393,Recipes!$A$2:$N$4,12,FALSE())</f>
        <v/>
      </c>
      <c r="J393">
        <f>IF(G393="","",H393-G393)</f>
        <v/>
      </c>
      <c r="K393">
        <f>IF(G393="","",IF(ABS(G393-H393)&lt;=$B$6*I393,"OK","NG"))</f>
        <v/>
      </c>
      <c r="L393">
        <f>IF(K393="","",IF(K393=D393,1,0))</f>
        <v/>
      </c>
      <c r="M393" t="inlineStr">
        <is>
          <t>N2</t>
        </is>
      </c>
      <c r="N393" s="15" t="n">
        <v>0.845598417173101</v>
      </c>
      <c r="O393" s="15" t="n">
        <v>0.1530149323120204</v>
      </c>
      <c r="P393">
        <f>IF(M393="","",IF(M393=E393,1,0))</f>
        <v/>
      </c>
      <c r="Q393">
        <f>IF(K393="OK","-",IF(N393&lt;$B$7,"AMBIGUOUS","CONFIDENT"))</f>
        <v/>
      </c>
    </row>
    <row r="394">
      <c r="A394">
        <f>'Runs Z score'!A386</f>
        <v/>
      </c>
      <c r="B394">
        <f>'Runs Z score'!B386</f>
        <v/>
      </c>
      <c r="C394">
        <f>'Runs Z score'!C386</f>
        <v/>
      </c>
      <c r="D394">
        <f>'Runs Z score'!D386</f>
        <v/>
      </c>
      <c r="E394">
        <f>'Runs Z score'!E386</f>
        <v/>
      </c>
      <c r="F394">
        <f>'Runs Z score'!F386</f>
        <v/>
      </c>
      <c r="G394">
        <f>'Runs Z score'!G386</f>
        <v/>
      </c>
      <c r="H394">
        <f>VLOOKUP(C394,Recipes!$A$2:$N$4,10,FALSE())</f>
        <v/>
      </c>
      <c r="I394">
        <f>VLOOKUP(C394,Recipes!$A$2:$N$4,12,FALSE())</f>
        <v/>
      </c>
      <c r="J394">
        <f>IF(G394="","",H394-G394)</f>
        <v/>
      </c>
      <c r="K394">
        <f>IF(G394="","",IF(ABS(G394-H394)&lt;=$B$6*I394,"OK","NG"))</f>
        <v/>
      </c>
      <c r="L394">
        <f>IF(K394="","",IF(K394=D394,1,0))</f>
        <v/>
      </c>
      <c r="M394" t="inlineStr">
        <is>
          <t>N2</t>
        </is>
      </c>
      <c r="N394" s="15" t="n">
        <v>0.9998128779902432</v>
      </c>
      <c r="O394" s="15" t="n">
        <v>0.0001867767403215</v>
      </c>
      <c r="P394">
        <f>IF(M394="","",IF(M394=E394,1,0))</f>
        <v/>
      </c>
      <c r="Q394">
        <f>IF(K394="OK","-",IF(N394&lt;$B$7,"AMBIGUOUS","CONFIDENT"))</f>
        <v/>
      </c>
    </row>
    <row r="395">
      <c r="A395">
        <f>'Runs Z score'!A387</f>
        <v/>
      </c>
      <c r="B395">
        <f>'Runs Z score'!B387</f>
        <v/>
      </c>
      <c r="C395">
        <f>'Runs Z score'!C387</f>
        <v/>
      </c>
      <c r="D395">
        <f>'Runs Z score'!D387</f>
        <v/>
      </c>
      <c r="E395">
        <f>'Runs Z score'!E387</f>
        <v/>
      </c>
      <c r="F395">
        <f>'Runs Z score'!F387</f>
        <v/>
      </c>
      <c r="G395">
        <f>'Runs Z score'!G387</f>
        <v/>
      </c>
      <c r="H395">
        <f>VLOOKUP(C395,Recipes!$A$2:$N$4,10,FALSE())</f>
        <v/>
      </c>
      <c r="I395">
        <f>VLOOKUP(C395,Recipes!$A$2:$N$4,12,FALSE())</f>
        <v/>
      </c>
      <c r="J395">
        <f>IF(G395="","",H395-G395)</f>
        <v/>
      </c>
      <c r="K395">
        <f>IF(G395="","",IF(ABS(G395-H395)&lt;=$B$6*I395,"OK","NG"))</f>
        <v/>
      </c>
      <c r="L395">
        <f>IF(K395="","",IF(K395=D395,1,0))</f>
        <v/>
      </c>
      <c r="M395" t="inlineStr">
        <is>
          <t>N2</t>
        </is>
      </c>
      <c r="N395" s="15" t="n">
        <v>0.9980041599172228</v>
      </c>
      <c r="O395" s="15" t="n">
        <v>0.0019958400825615</v>
      </c>
      <c r="P395">
        <f>IF(M395="","",IF(M395=E395,1,0))</f>
        <v/>
      </c>
      <c r="Q395">
        <f>IF(K395="OK","-",IF(N395&lt;$B$7,"AMBIGUOUS","CONFIDENT"))</f>
        <v/>
      </c>
    </row>
    <row r="396">
      <c r="A396">
        <f>'Runs Z score'!A388</f>
        <v/>
      </c>
      <c r="B396">
        <f>'Runs Z score'!B388</f>
        <v/>
      </c>
      <c r="C396">
        <f>'Runs Z score'!C388</f>
        <v/>
      </c>
      <c r="D396">
        <f>'Runs Z score'!D388</f>
        <v/>
      </c>
      <c r="E396">
        <f>'Runs Z score'!E388</f>
        <v/>
      </c>
      <c r="F396">
        <f>'Runs Z score'!F388</f>
        <v/>
      </c>
      <c r="G396">
        <f>'Runs Z score'!G388</f>
        <v/>
      </c>
      <c r="H396">
        <f>VLOOKUP(C396,Recipes!$A$2:$N$4,10,FALSE())</f>
        <v/>
      </c>
      <c r="I396">
        <f>VLOOKUP(C396,Recipes!$A$2:$N$4,12,FALSE())</f>
        <v/>
      </c>
      <c r="J396">
        <f>IF(G396="","",H396-G396)</f>
        <v/>
      </c>
      <c r="K396">
        <f>IF(G396="","",IF(ABS(G396-H396)&lt;=$B$6*I396,"OK","NG"))</f>
        <v/>
      </c>
      <c r="L396">
        <f>IF(K396="","",IF(K396=D396,1,0))</f>
        <v/>
      </c>
      <c r="M396" t="inlineStr">
        <is>
          <t>N2</t>
        </is>
      </c>
      <c r="N396" s="15" t="n">
        <v>0.6709628724040199</v>
      </c>
      <c r="O396" s="15" t="n">
        <v>0.3246572548933918</v>
      </c>
      <c r="P396">
        <f>IF(M396="","",IF(M396=E396,1,0))</f>
        <v/>
      </c>
      <c r="Q396">
        <f>IF(K396="OK","-",IF(N396&lt;$B$7,"AMBIGUOUS","CONFIDENT"))</f>
        <v/>
      </c>
    </row>
    <row r="397">
      <c r="A397">
        <f>'Runs Z score'!A389</f>
        <v/>
      </c>
      <c r="B397">
        <f>'Runs Z score'!B389</f>
        <v/>
      </c>
      <c r="C397">
        <f>'Runs Z score'!C389</f>
        <v/>
      </c>
      <c r="D397">
        <f>'Runs Z score'!D389</f>
        <v/>
      </c>
      <c r="E397">
        <f>'Runs Z score'!E389</f>
        <v/>
      </c>
      <c r="F397">
        <f>'Runs Z score'!F389</f>
        <v/>
      </c>
      <c r="G397">
        <f>'Runs Z score'!G389</f>
        <v/>
      </c>
      <c r="H397">
        <f>VLOOKUP(C397,Recipes!$A$2:$N$4,10,FALSE())</f>
        <v/>
      </c>
      <c r="I397">
        <f>VLOOKUP(C397,Recipes!$A$2:$N$4,12,FALSE())</f>
        <v/>
      </c>
      <c r="J397">
        <f>IF(G397="","",H397-G397)</f>
        <v/>
      </c>
      <c r="K397">
        <f>IF(G397="","",IF(ABS(G397-H397)&lt;=$B$6*I397,"OK","NG"))</f>
        <v/>
      </c>
      <c r="L397">
        <f>IF(K397="","",IF(K397=D397,1,0))</f>
        <v/>
      </c>
      <c r="M397" t="inlineStr">
        <is>
          <t>N2</t>
        </is>
      </c>
      <c r="N397" s="15" t="n">
        <v>0.9998568230743418</v>
      </c>
      <c r="O397" s="15" t="n">
        <v>0.0001413232851291</v>
      </c>
      <c r="P397">
        <f>IF(M397="","",IF(M397=E397,1,0))</f>
        <v/>
      </c>
      <c r="Q397">
        <f>IF(K397="OK","-",IF(N397&lt;$B$7,"AMBIGUOUS","CONFIDENT"))</f>
        <v/>
      </c>
    </row>
    <row r="398">
      <c r="A398">
        <f>'Runs Z score'!A390</f>
        <v/>
      </c>
      <c r="B398">
        <f>'Runs Z score'!B390</f>
        <v/>
      </c>
      <c r="C398">
        <f>'Runs Z score'!C390</f>
        <v/>
      </c>
      <c r="D398">
        <f>'Runs Z score'!D390</f>
        <v/>
      </c>
      <c r="E398">
        <f>'Runs Z score'!E390</f>
        <v/>
      </c>
      <c r="F398">
        <f>'Runs Z score'!F390</f>
        <v/>
      </c>
      <c r="G398">
        <f>'Runs Z score'!G390</f>
        <v/>
      </c>
      <c r="H398">
        <f>VLOOKUP(C398,Recipes!$A$2:$N$4,10,FALSE())</f>
        <v/>
      </c>
      <c r="I398">
        <f>VLOOKUP(C398,Recipes!$A$2:$N$4,12,FALSE())</f>
        <v/>
      </c>
      <c r="J398">
        <f>IF(G398="","",H398-G398)</f>
        <v/>
      </c>
      <c r="K398">
        <f>IF(G398="","",IF(ABS(G398-H398)&lt;=$B$6*I398,"OK","NG"))</f>
        <v/>
      </c>
      <c r="L398">
        <f>IF(K398="","",IF(K398=D398,1,0))</f>
        <v/>
      </c>
      <c r="M398" t="inlineStr">
        <is>
          <t>N2</t>
        </is>
      </c>
      <c r="N398" s="15" t="n">
        <v>0.986537959806318</v>
      </c>
      <c r="O398" s="15" t="n">
        <v>0.0134276453597095</v>
      </c>
      <c r="P398">
        <f>IF(M398="","",IF(M398=E398,1,0))</f>
        <v/>
      </c>
      <c r="Q398">
        <f>IF(K398="OK","-",IF(N398&lt;$B$7,"AMBIGUOUS","CONFIDENT"))</f>
        <v/>
      </c>
    </row>
    <row r="399">
      <c r="A399">
        <f>'Runs Z score'!A391</f>
        <v/>
      </c>
      <c r="B399">
        <f>'Runs Z score'!B391</f>
        <v/>
      </c>
      <c r="C399">
        <f>'Runs Z score'!C391</f>
        <v/>
      </c>
      <c r="D399">
        <f>'Runs Z score'!D391</f>
        <v/>
      </c>
      <c r="E399">
        <f>'Runs Z score'!E391</f>
        <v/>
      </c>
      <c r="F399">
        <f>'Runs Z score'!F391</f>
        <v/>
      </c>
      <c r="G399">
        <f>'Runs Z score'!G391</f>
        <v/>
      </c>
      <c r="H399">
        <f>VLOOKUP(C399,Recipes!$A$2:$N$4,10,FALSE())</f>
        <v/>
      </c>
      <c r="I399">
        <f>VLOOKUP(C399,Recipes!$A$2:$N$4,12,FALSE())</f>
        <v/>
      </c>
      <c r="J399">
        <f>IF(G399="","",H399-G399)</f>
        <v/>
      </c>
      <c r="K399">
        <f>IF(G399="","",IF(ABS(G399-H399)&lt;=$B$6*I399,"OK","NG"))</f>
        <v/>
      </c>
      <c r="L399">
        <f>IF(K399="","",IF(K399=D399,1,0))</f>
        <v/>
      </c>
      <c r="M399" t="inlineStr">
        <is>
          <t>N2</t>
        </is>
      </c>
      <c r="N399" s="15" t="n">
        <v>0.9657409695332684</v>
      </c>
      <c r="O399" s="15" t="n">
        <v>0.0341584403307622</v>
      </c>
      <c r="P399">
        <f>IF(M399="","",IF(M399=E399,1,0))</f>
        <v/>
      </c>
      <c r="Q399">
        <f>IF(K399="OK","-",IF(N399&lt;$B$7,"AMBIGUOUS","CONFIDENT"))</f>
        <v/>
      </c>
    </row>
    <row r="400">
      <c r="A400">
        <f>'Runs Z score'!A392</f>
        <v/>
      </c>
      <c r="B400">
        <f>'Runs Z score'!B392</f>
        <v/>
      </c>
      <c r="C400">
        <f>'Runs Z score'!C392</f>
        <v/>
      </c>
      <c r="D400">
        <f>'Runs Z score'!D392</f>
        <v/>
      </c>
      <c r="E400">
        <f>'Runs Z score'!E392</f>
        <v/>
      </c>
      <c r="F400">
        <f>'Runs Z score'!F392</f>
        <v/>
      </c>
      <c r="G400">
        <f>'Runs Z score'!G392</f>
        <v/>
      </c>
      <c r="H400">
        <f>VLOOKUP(C400,Recipes!$A$2:$N$4,10,FALSE())</f>
        <v/>
      </c>
      <c r="I400">
        <f>VLOOKUP(C400,Recipes!$A$2:$N$4,12,FALSE())</f>
        <v/>
      </c>
      <c r="J400">
        <f>IF(G400="","",H400-G400)</f>
        <v/>
      </c>
      <c r="K400">
        <f>IF(G400="","",IF(ABS(G400-H400)&lt;=$B$6*I400,"OK","NG"))</f>
        <v/>
      </c>
      <c r="L400">
        <f>IF(K400="","",IF(K400=D400,1,0))</f>
        <v/>
      </c>
      <c r="M400" t="inlineStr">
        <is>
          <t>N2</t>
        </is>
      </c>
      <c r="N400" s="15" t="n">
        <v>0.996740539936176</v>
      </c>
      <c r="O400" s="15" t="n">
        <v>0.0032384799450472</v>
      </c>
      <c r="P400">
        <f>IF(M400="","",IF(M400=E400,1,0))</f>
        <v/>
      </c>
      <c r="Q400">
        <f>IF(K400="OK","-",IF(N400&lt;$B$7,"AMBIGUOUS","CONFIDENT"))</f>
        <v/>
      </c>
    </row>
    <row r="401">
      <c r="A401">
        <f>'Runs Z score'!A393</f>
        <v/>
      </c>
      <c r="B401">
        <f>'Runs Z score'!B393</f>
        <v/>
      </c>
      <c r="C401">
        <f>'Runs Z score'!C393</f>
        <v/>
      </c>
      <c r="D401">
        <f>'Runs Z score'!D393</f>
        <v/>
      </c>
      <c r="E401">
        <f>'Runs Z score'!E393</f>
        <v/>
      </c>
      <c r="F401">
        <f>'Runs Z score'!F393</f>
        <v/>
      </c>
      <c r="G401">
        <f>'Runs Z score'!G393</f>
        <v/>
      </c>
      <c r="H401">
        <f>VLOOKUP(C401,Recipes!$A$2:$N$4,10,FALSE())</f>
        <v/>
      </c>
      <c r="I401">
        <f>VLOOKUP(C401,Recipes!$A$2:$N$4,12,FALSE())</f>
        <v/>
      </c>
      <c r="J401">
        <f>IF(G401="","",H401-G401)</f>
        <v/>
      </c>
      <c r="K401">
        <f>IF(G401="","",IF(ABS(G401-H401)&lt;=$B$6*I401,"OK","NG"))</f>
        <v/>
      </c>
      <c r="L401">
        <f>IF(K401="","",IF(K401=D401,1,0))</f>
        <v/>
      </c>
      <c r="M401" t="inlineStr">
        <is>
          <t>N1</t>
        </is>
      </c>
      <c r="N401" s="15" t="n">
        <v>0.8966864846121764</v>
      </c>
      <c r="O401" s="15" t="n">
        <v>0.0897575772790714</v>
      </c>
      <c r="P401">
        <f>IF(M401="","",IF(M401=E401,1,0))</f>
        <v/>
      </c>
      <c r="Q401">
        <f>IF(K401="OK","-",IF(N401&lt;$B$7,"AMBIGUOUS","CONFIDENT"))</f>
        <v/>
      </c>
    </row>
    <row r="402">
      <c r="A402">
        <f>'Runs Z score'!A394</f>
        <v/>
      </c>
      <c r="B402">
        <f>'Runs Z score'!B394</f>
        <v/>
      </c>
      <c r="C402">
        <f>'Runs Z score'!C394</f>
        <v/>
      </c>
      <c r="D402">
        <f>'Runs Z score'!D394</f>
        <v/>
      </c>
      <c r="E402">
        <f>'Runs Z score'!E394</f>
        <v/>
      </c>
      <c r="F402">
        <f>'Runs Z score'!F394</f>
        <v/>
      </c>
      <c r="G402">
        <f>'Runs Z score'!G394</f>
        <v/>
      </c>
      <c r="H402">
        <f>VLOOKUP(C402,Recipes!$A$2:$N$4,10,FALSE())</f>
        <v/>
      </c>
      <c r="I402">
        <f>VLOOKUP(C402,Recipes!$A$2:$N$4,12,FALSE())</f>
        <v/>
      </c>
      <c r="J402">
        <f>IF(G402="","",H402-G402)</f>
        <v/>
      </c>
      <c r="K402">
        <f>IF(G402="","",IF(ABS(G402-H402)&lt;=$B$6*I402,"OK","NG"))</f>
        <v/>
      </c>
      <c r="L402">
        <f>IF(K402="","",IF(K402=D402,1,0))</f>
        <v/>
      </c>
      <c r="M402" t="inlineStr">
        <is>
          <t>N1</t>
        </is>
      </c>
      <c r="N402" s="15" t="n">
        <v>0.5730063877210956</v>
      </c>
      <c r="O402" s="15" t="n">
        <v>0.4269301663539334</v>
      </c>
      <c r="P402">
        <f>IF(M402="","",IF(M402=E402,1,0))</f>
        <v/>
      </c>
      <c r="Q402">
        <f>IF(K402="OK","-",IF(N402&lt;$B$7,"AMBIGUOUS","CONFIDENT"))</f>
        <v/>
      </c>
    </row>
    <row r="403">
      <c r="A403">
        <f>'Runs Z score'!A395</f>
        <v/>
      </c>
      <c r="B403">
        <f>'Runs Z score'!B395</f>
        <v/>
      </c>
      <c r="C403">
        <f>'Runs Z score'!C395</f>
        <v/>
      </c>
      <c r="D403">
        <f>'Runs Z score'!D395</f>
        <v/>
      </c>
      <c r="E403">
        <f>'Runs Z score'!E395</f>
        <v/>
      </c>
      <c r="F403">
        <f>'Runs Z score'!F395</f>
        <v/>
      </c>
      <c r="G403">
        <f>'Runs Z score'!G395</f>
        <v/>
      </c>
      <c r="H403">
        <f>VLOOKUP(C403,Recipes!$A$2:$N$4,10,FALSE())</f>
        <v/>
      </c>
      <c r="I403">
        <f>VLOOKUP(C403,Recipes!$A$2:$N$4,12,FALSE())</f>
        <v/>
      </c>
      <c r="J403">
        <f>IF(G403="","",H403-G403)</f>
        <v/>
      </c>
      <c r="K403">
        <f>IF(G403="","",IF(ABS(G403-H403)&lt;=$B$6*I403,"OK","NG"))</f>
        <v/>
      </c>
      <c r="L403">
        <f>IF(K403="","",IF(K403=D403,1,0))</f>
        <v/>
      </c>
      <c r="M403" t="inlineStr">
        <is>
          <t>N1</t>
        </is>
      </c>
      <c r="N403" s="15" t="n">
        <v>0.8161120055052878</v>
      </c>
      <c r="O403" s="15" t="n">
        <v>0.1821624562663375</v>
      </c>
      <c r="P403">
        <f>IF(M403="","",IF(M403=E403,1,0))</f>
        <v/>
      </c>
      <c r="Q403">
        <f>IF(K403="OK","-",IF(N403&lt;$B$7,"AMBIGUOUS","CONFIDENT"))</f>
        <v/>
      </c>
    </row>
    <row r="404">
      <c r="A404">
        <f>'Runs Z score'!A396</f>
        <v/>
      </c>
      <c r="B404">
        <f>'Runs Z score'!B396</f>
        <v/>
      </c>
      <c r="C404">
        <f>'Runs Z score'!C396</f>
        <v/>
      </c>
      <c r="D404">
        <f>'Runs Z score'!D396</f>
        <v/>
      </c>
      <c r="E404">
        <f>'Runs Z score'!E396</f>
        <v/>
      </c>
      <c r="F404">
        <f>'Runs Z score'!F396</f>
        <v/>
      </c>
      <c r="G404">
        <f>'Runs Z score'!G396</f>
        <v/>
      </c>
      <c r="H404">
        <f>VLOOKUP(C404,Recipes!$A$2:$N$4,10,FALSE())</f>
        <v/>
      </c>
      <c r="I404">
        <f>VLOOKUP(C404,Recipes!$A$2:$N$4,12,FALSE())</f>
        <v/>
      </c>
      <c r="J404">
        <f>IF(G404="","",H404-G404)</f>
        <v/>
      </c>
      <c r="K404">
        <f>IF(G404="","",IF(ABS(G404-H404)&lt;=$B$6*I404,"OK","NG"))</f>
        <v/>
      </c>
      <c r="L404">
        <f>IF(K404="","",IF(K404=D404,1,0))</f>
        <v/>
      </c>
      <c r="M404" t="inlineStr">
        <is>
          <t>N1</t>
        </is>
      </c>
      <c r="N404" s="15" t="n">
        <v>0.8966864846121764</v>
      </c>
      <c r="O404" s="15" t="n">
        <v>0.0897575772790714</v>
      </c>
      <c r="P404">
        <f>IF(M404="","",IF(M404=E404,1,0))</f>
        <v/>
      </c>
      <c r="Q404">
        <f>IF(K404="OK","-",IF(N404&lt;$B$7,"AMBIGUOUS","CONFIDENT"))</f>
        <v/>
      </c>
    </row>
    <row r="405">
      <c r="A405">
        <f>'Runs Z score'!A397</f>
        <v/>
      </c>
      <c r="B405">
        <f>'Runs Z score'!B397</f>
        <v/>
      </c>
      <c r="C405">
        <f>'Runs Z score'!C397</f>
        <v/>
      </c>
      <c r="D405">
        <f>'Runs Z score'!D397</f>
        <v/>
      </c>
      <c r="E405">
        <f>'Runs Z score'!E397</f>
        <v/>
      </c>
      <c r="F405">
        <f>'Runs Z score'!F397</f>
        <v/>
      </c>
      <c r="G405">
        <f>'Runs Z score'!G397</f>
        <v/>
      </c>
      <c r="H405">
        <f>VLOOKUP(C405,Recipes!$A$2:$N$4,10,FALSE())</f>
        <v/>
      </c>
      <c r="I405">
        <f>VLOOKUP(C405,Recipes!$A$2:$N$4,12,FALSE())</f>
        <v/>
      </c>
      <c r="J405">
        <f>IF(G405="","",H405-G405)</f>
        <v/>
      </c>
      <c r="K405">
        <f>IF(G405="","",IF(ABS(G405-H405)&lt;=$B$6*I405,"OK","NG"))</f>
        <v/>
      </c>
      <c r="L405">
        <f>IF(K405="","",IF(K405=D405,1,0))</f>
        <v/>
      </c>
      <c r="M405" t="inlineStr">
        <is>
          <t>N1</t>
        </is>
      </c>
      <c r="N405" s="15" t="n">
        <v>0.6200636002962546</v>
      </c>
      <c r="O405" s="15" t="n">
        <v>0.3799360956808036</v>
      </c>
      <c r="P405">
        <f>IF(M405="","",IF(M405=E405,1,0))</f>
        <v/>
      </c>
      <c r="Q405">
        <f>IF(K405="OK","-",IF(N405&lt;$B$7,"AMBIGUOUS","CONFIDENT"))</f>
        <v/>
      </c>
    </row>
    <row r="406">
      <c r="A406">
        <f>'Runs Z score'!A398</f>
        <v/>
      </c>
      <c r="B406">
        <f>'Runs Z score'!B398</f>
        <v/>
      </c>
      <c r="C406">
        <f>'Runs Z score'!C398</f>
        <v/>
      </c>
      <c r="D406">
        <f>'Runs Z score'!D398</f>
        <v/>
      </c>
      <c r="E406">
        <f>'Runs Z score'!E398</f>
        <v/>
      </c>
      <c r="F406">
        <f>'Runs Z score'!F398</f>
        <v/>
      </c>
      <c r="G406">
        <f>'Runs Z score'!G398</f>
        <v/>
      </c>
      <c r="H406">
        <f>VLOOKUP(C406,Recipes!$A$2:$N$4,10,FALSE())</f>
        <v/>
      </c>
      <c r="I406">
        <f>VLOOKUP(C406,Recipes!$A$2:$N$4,12,FALSE())</f>
        <v/>
      </c>
      <c r="J406">
        <f>IF(G406="","",H406-G406)</f>
        <v/>
      </c>
      <c r="K406">
        <f>IF(G406="","",IF(ABS(G406-H406)&lt;=$B$6*I406,"OK","NG"))</f>
        <v/>
      </c>
      <c r="L406">
        <f>IF(K406="","",IF(K406=D406,1,0))</f>
        <v/>
      </c>
      <c r="M406" t="inlineStr">
        <is>
          <t>N1</t>
        </is>
      </c>
      <c r="N406" s="15" t="n">
        <v>0.6487636823061975</v>
      </c>
      <c r="O406" s="15" t="n">
        <v>0.3508251013579547</v>
      </c>
      <c r="P406">
        <f>IF(M406="","",IF(M406=E406,1,0))</f>
        <v/>
      </c>
      <c r="Q406">
        <f>IF(K406="OK","-",IF(N406&lt;$B$7,"AMBIGUOUS","CONFIDENT"))</f>
        <v/>
      </c>
    </row>
    <row r="407">
      <c r="A407">
        <f>'Runs Z score'!A399</f>
        <v/>
      </c>
      <c r="B407">
        <f>'Runs Z score'!B399</f>
        <v/>
      </c>
      <c r="C407">
        <f>'Runs Z score'!C399</f>
        <v/>
      </c>
      <c r="D407">
        <f>'Runs Z score'!D399</f>
        <v/>
      </c>
      <c r="E407">
        <f>'Runs Z score'!E399</f>
        <v/>
      </c>
      <c r="F407">
        <f>'Runs Z score'!F399</f>
        <v/>
      </c>
      <c r="G407">
        <f>'Runs Z score'!G399</f>
        <v/>
      </c>
      <c r="H407">
        <f>VLOOKUP(C407,Recipes!$A$2:$N$4,10,FALSE())</f>
        <v/>
      </c>
      <c r="I407">
        <f>VLOOKUP(C407,Recipes!$A$2:$N$4,12,FALSE())</f>
        <v/>
      </c>
      <c r="J407">
        <f>IF(G407="","",H407-G407)</f>
        <v/>
      </c>
      <c r="K407">
        <f>IF(G407="","",IF(ABS(G407-H407)&lt;=$B$6*I407,"OK","NG"))</f>
        <v/>
      </c>
      <c r="L407">
        <f>IF(K407="","",IF(K407=D407,1,0))</f>
        <v/>
      </c>
      <c r="M407" t="inlineStr">
        <is>
          <t>N1</t>
        </is>
      </c>
      <c r="N407" s="15" t="n">
        <v>0.7573659767689961</v>
      </c>
      <c r="O407" s="15" t="n">
        <v>0.2416882658236191</v>
      </c>
      <c r="P407">
        <f>IF(M407="","",IF(M407=E407,1,0))</f>
        <v/>
      </c>
      <c r="Q407">
        <f>IF(K407="OK","-",IF(N407&lt;$B$7,"AMBIGUOUS","CONFIDENT"))</f>
        <v/>
      </c>
    </row>
    <row r="408">
      <c r="A408">
        <f>'Runs Z score'!A400</f>
        <v/>
      </c>
      <c r="B408">
        <f>'Runs Z score'!B400</f>
        <v/>
      </c>
      <c r="C408">
        <f>'Runs Z score'!C400</f>
        <v/>
      </c>
      <c r="D408">
        <f>'Runs Z score'!D400</f>
        <v/>
      </c>
      <c r="E408">
        <f>'Runs Z score'!E400</f>
        <v/>
      </c>
      <c r="F408">
        <f>'Runs Z score'!F400</f>
        <v/>
      </c>
      <c r="G408">
        <f>'Runs Z score'!G400</f>
        <v/>
      </c>
      <c r="H408">
        <f>VLOOKUP(C408,Recipes!$A$2:$N$4,10,FALSE())</f>
        <v/>
      </c>
      <c r="I408">
        <f>VLOOKUP(C408,Recipes!$A$2:$N$4,12,FALSE())</f>
        <v/>
      </c>
      <c r="J408">
        <f>IF(G408="","",H408-G408)</f>
        <v/>
      </c>
      <c r="K408">
        <f>IF(G408="","",IF(ABS(G408-H408)&lt;=$B$6*I408,"OK","NG"))</f>
        <v/>
      </c>
      <c r="L408">
        <f>IF(K408="","",IF(K408=D408,1,0))</f>
        <v/>
      </c>
      <c r="M408" t="inlineStr">
        <is>
          <t>N1</t>
        </is>
      </c>
      <c r="N408" s="15" t="n">
        <v>0.6759494233877275</v>
      </c>
      <c r="O408" s="15" t="n">
        <v>0.3240498094790253</v>
      </c>
      <c r="P408">
        <f>IF(M408="","",IF(M408=E408,1,0))</f>
        <v/>
      </c>
      <c r="Q408">
        <f>IF(K408="OK","-",IF(N408&lt;$B$7,"AMBIGUOUS","CONFIDENT"))</f>
        <v/>
      </c>
    </row>
    <row r="409">
      <c r="A409">
        <f>'Runs Z score'!A401</f>
        <v/>
      </c>
      <c r="B409">
        <f>'Runs Z score'!B401</f>
        <v/>
      </c>
      <c r="C409">
        <f>'Runs Z score'!C401</f>
        <v/>
      </c>
      <c r="D409">
        <f>'Runs Z score'!D401</f>
        <v/>
      </c>
      <c r="E409">
        <f>'Runs Z score'!E401</f>
        <v/>
      </c>
      <c r="F409">
        <f>'Runs Z score'!F401</f>
        <v/>
      </c>
      <c r="G409">
        <f>'Runs Z score'!G401</f>
        <v/>
      </c>
      <c r="H409">
        <f>VLOOKUP(C409,Recipes!$A$2:$N$4,10,FALSE())</f>
        <v/>
      </c>
      <c r="I409">
        <f>VLOOKUP(C409,Recipes!$A$2:$N$4,12,FALSE())</f>
        <v/>
      </c>
      <c r="J409">
        <f>IF(G409="","",H409-G409)</f>
        <v/>
      </c>
      <c r="K409">
        <f>IF(G409="","",IF(ABS(G409-H409)&lt;=$B$6*I409,"OK","NG"))</f>
        <v/>
      </c>
      <c r="L409">
        <f>IF(K409="","",IF(K409=D409,1,0))</f>
        <v/>
      </c>
      <c r="M409" t="inlineStr">
        <is>
          <t>N1</t>
        </is>
      </c>
      <c r="N409" s="15" t="n">
        <v>0.8065738131545617</v>
      </c>
      <c r="O409" s="15" t="n">
        <v>0.1914966092773855</v>
      </c>
      <c r="P409">
        <f>IF(M409="","",IF(M409=E409,1,0))</f>
        <v/>
      </c>
      <c r="Q409">
        <f>IF(K409="OK","-",IF(N409&lt;$B$7,"AMBIGUOUS","CONFIDENT"))</f>
        <v/>
      </c>
    </row>
    <row r="410">
      <c r="A410">
        <f>'Runs Z score'!A402</f>
        <v/>
      </c>
      <c r="B410">
        <f>'Runs Z score'!B402</f>
        <v/>
      </c>
      <c r="C410">
        <f>'Runs Z score'!C402</f>
        <v/>
      </c>
      <c r="D410">
        <f>'Runs Z score'!D402</f>
        <v/>
      </c>
      <c r="E410">
        <f>'Runs Z score'!E402</f>
        <v/>
      </c>
      <c r="F410">
        <f>'Runs Z score'!F402</f>
        <v/>
      </c>
      <c r="G410">
        <f>'Runs Z score'!G402</f>
        <v/>
      </c>
      <c r="H410">
        <f>VLOOKUP(C410,Recipes!$A$2:$N$4,10,FALSE())</f>
        <v/>
      </c>
      <c r="I410">
        <f>VLOOKUP(C410,Recipes!$A$2:$N$4,12,FALSE())</f>
        <v/>
      </c>
      <c r="J410">
        <f>IF(G410="","",H410-G410)</f>
        <v/>
      </c>
      <c r="K410">
        <f>IF(G410="","",IF(ABS(G410-H410)&lt;=$B$6*I410,"OK","NG"))</f>
        <v/>
      </c>
      <c r="L410">
        <f>IF(K410="","",IF(K410=D410,1,0))</f>
        <v/>
      </c>
      <c r="M410" t="inlineStr">
        <is>
          <t>N1</t>
        </is>
      </c>
      <c r="N410" s="15" t="n">
        <v>0.8161120055052878</v>
      </c>
      <c r="O410" s="15" t="n">
        <v>0.1821624562663375</v>
      </c>
      <c r="P410">
        <f>IF(M410="","",IF(M410=E410,1,0))</f>
        <v/>
      </c>
      <c r="Q410">
        <f>IF(K410="OK","-",IF(N410&lt;$B$7,"AMBIGUOUS","CONFIDENT"))</f>
        <v/>
      </c>
    </row>
    <row r="411">
      <c r="A411">
        <f>'Runs Z score'!A403</f>
        <v/>
      </c>
      <c r="B411">
        <f>'Runs Z score'!B403</f>
        <v/>
      </c>
      <c r="C411">
        <f>'Runs Z score'!C403</f>
        <v/>
      </c>
      <c r="D411">
        <f>'Runs Z score'!D403</f>
        <v/>
      </c>
      <c r="E411">
        <f>'Runs Z score'!E403</f>
        <v/>
      </c>
      <c r="F411">
        <f>'Runs Z score'!F403</f>
        <v/>
      </c>
      <c r="G411">
        <f>'Runs Z score'!G403</f>
        <v/>
      </c>
      <c r="H411">
        <f>VLOOKUP(C411,Recipes!$A$2:$N$4,10,FALSE())</f>
        <v/>
      </c>
      <c r="I411">
        <f>VLOOKUP(C411,Recipes!$A$2:$N$4,12,FALSE())</f>
        <v/>
      </c>
      <c r="J411">
        <f>IF(G411="","",H411-G411)</f>
        <v/>
      </c>
      <c r="K411">
        <f>IF(G411="","",IF(ABS(G411-H411)&lt;=$B$6*I411,"OK","NG"))</f>
        <v/>
      </c>
      <c r="L411">
        <f>IF(K411="","",IF(K411=D411,1,0))</f>
        <v/>
      </c>
      <c r="M411" t="inlineStr">
        <is>
          <t>N1</t>
        </is>
      </c>
      <c r="N411" s="15" t="n">
        <v>0.6652911654875359</v>
      </c>
      <c r="O411" s="15" t="n">
        <v>0.3343891406023446</v>
      </c>
      <c r="P411">
        <f>IF(M411="","",IF(M411=E411,1,0))</f>
        <v/>
      </c>
      <c r="Q411">
        <f>IF(K411="OK","-",IF(N411&lt;$B$7,"AMBIGUOUS","CONFIDENT"))</f>
        <v/>
      </c>
    </row>
    <row r="412">
      <c r="A412">
        <f>'Runs Z score'!A404</f>
        <v/>
      </c>
      <c r="B412">
        <f>'Runs Z score'!B404</f>
        <v/>
      </c>
      <c r="C412">
        <f>'Runs Z score'!C404</f>
        <v/>
      </c>
      <c r="D412">
        <f>'Runs Z score'!D404</f>
        <v/>
      </c>
      <c r="E412">
        <f>'Runs Z score'!E404</f>
        <v/>
      </c>
      <c r="F412">
        <f>'Runs Z score'!F404</f>
        <v/>
      </c>
      <c r="G412">
        <f>'Runs Z score'!G404</f>
        <v/>
      </c>
      <c r="H412">
        <f>VLOOKUP(C412,Recipes!$A$2:$N$4,10,FALSE())</f>
        <v/>
      </c>
      <c r="I412">
        <f>VLOOKUP(C412,Recipes!$A$2:$N$4,12,FALSE())</f>
        <v/>
      </c>
      <c r="J412">
        <f>IF(G412="","",H412-G412)</f>
        <v/>
      </c>
      <c r="K412">
        <f>IF(G412="","",IF(ABS(G412-H412)&lt;=$B$6*I412,"OK","NG"))</f>
        <v/>
      </c>
      <c r="L412">
        <f>IF(K412="","",IF(K412=D412,1,0))</f>
        <v/>
      </c>
      <c r="M412" t="inlineStr">
        <is>
          <t>N1</t>
        </is>
      </c>
      <c r="N412" s="15" t="n">
        <v>0.7530044567419831</v>
      </c>
      <c r="O412" s="15" t="n">
        <v>0.2459007795564352</v>
      </c>
      <c r="P412">
        <f>IF(M412="","",IF(M412=E412,1,0))</f>
        <v/>
      </c>
      <c r="Q412">
        <f>IF(K412="OK","-",IF(N412&lt;$B$7,"AMBIGUOUS","CONFIDENT"))</f>
        <v/>
      </c>
    </row>
    <row r="413">
      <c r="A413">
        <f>'Runs Z score'!A405</f>
        <v/>
      </c>
      <c r="B413">
        <f>'Runs Z score'!B405</f>
        <v/>
      </c>
      <c r="C413">
        <f>'Runs Z score'!C405</f>
        <v/>
      </c>
      <c r="D413">
        <f>'Runs Z score'!D405</f>
        <v/>
      </c>
      <c r="E413">
        <f>'Runs Z score'!E405</f>
        <v/>
      </c>
      <c r="F413">
        <f>'Runs Z score'!F405</f>
        <v/>
      </c>
      <c r="G413">
        <f>'Runs Z score'!G405</f>
        <v/>
      </c>
      <c r="H413">
        <f>VLOOKUP(C413,Recipes!$A$2:$N$4,10,FALSE())</f>
        <v/>
      </c>
      <c r="I413">
        <f>VLOOKUP(C413,Recipes!$A$2:$N$4,12,FALSE())</f>
        <v/>
      </c>
      <c r="J413">
        <f>IF(G413="","",H413-G413)</f>
        <v/>
      </c>
      <c r="K413">
        <f>IF(G413="","",IF(ABS(G413-H413)&lt;=$B$6*I413,"OK","NG"))</f>
        <v/>
      </c>
      <c r="L413">
        <f>IF(K413="","",IF(K413=D413,1,0))</f>
        <v/>
      </c>
      <c r="M413" t="inlineStr">
        <is>
          <t>N1</t>
        </is>
      </c>
      <c r="N413" s="15" t="n">
        <v>0.7082219182624255</v>
      </c>
      <c r="O413" s="15" t="n">
        <v>0.2910791555910729</v>
      </c>
      <c r="P413">
        <f>IF(M413="","",IF(M413=E413,1,0))</f>
        <v/>
      </c>
      <c r="Q413">
        <f>IF(K413="OK","-",IF(N413&lt;$B$7,"AMBIGUOUS","CONFIDENT"))</f>
        <v/>
      </c>
    </row>
    <row r="414">
      <c r="A414">
        <f>'Runs Z score'!A406</f>
        <v/>
      </c>
      <c r="B414">
        <f>'Runs Z score'!B406</f>
        <v/>
      </c>
      <c r="C414">
        <f>'Runs Z score'!C406</f>
        <v/>
      </c>
      <c r="D414">
        <f>'Runs Z score'!D406</f>
        <v/>
      </c>
      <c r="E414">
        <f>'Runs Z score'!E406</f>
        <v/>
      </c>
      <c r="F414">
        <f>'Runs Z score'!F406</f>
        <v/>
      </c>
      <c r="G414">
        <f>'Runs Z score'!G406</f>
        <v/>
      </c>
      <c r="H414">
        <f>VLOOKUP(C414,Recipes!$A$2:$N$4,10,FALSE())</f>
        <v/>
      </c>
      <c r="I414">
        <f>VLOOKUP(C414,Recipes!$A$2:$N$4,12,FALSE())</f>
        <v/>
      </c>
      <c r="J414">
        <f>IF(G414="","",H414-G414)</f>
        <v/>
      </c>
      <c r="K414">
        <f>IF(G414="","",IF(ABS(G414-H414)&lt;=$B$6*I414,"OK","NG"))</f>
        <v/>
      </c>
      <c r="L414">
        <f>IF(K414="","",IF(K414=D414,1,0))</f>
        <v/>
      </c>
      <c r="M414" t="inlineStr">
        <is>
          <t>N2</t>
        </is>
      </c>
      <c r="N414" s="15" t="n">
        <v>0.720306941305061</v>
      </c>
      <c r="O414" s="15" t="n">
        <v>0.277353253075673</v>
      </c>
      <c r="P414">
        <f>IF(M414="","",IF(M414=E414,1,0))</f>
        <v/>
      </c>
      <c r="Q414">
        <f>IF(K414="OK","-",IF(N414&lt;$B$7,"AMBIGUOUS","CONFIDENT"))</f>
        <v/>
      </c>
    </row>
    <row r="415">
      <c r="A415">
        <f>'Runs Z score'!A407</f>
        <v/>
      </c>
      <c r="B415">
        <f>'Runs Z score'!B407</f>
        <v/>
      </c>
      <c r="C415">
        <f>'Runs Z score'!C407</f>
        <v/>
      </c>
      <c r="D415">
        <f>'Runs Z score'!D407</f>
        <v/>
      </c>
      <c r="E415">
        <f>'Runs Z score'!E407</f>
        <v/>
      </c>
      <c r="F415">
        <f>'Runs Z score'!F407</f>
        <v/>
      </c>
      <c r="G415">
        <f>'Runs Z score'!G407</f>
        <v/>
      </c>
      <c r="H415">
        <f>VLOOKUP(C415,Recipes!$A$2:$N$4,10,FALSE())</f>
        <v/>
      </c>
      <c r="I415">
        <f>VLOOKUP(C415,Recipes!$A$2:$N$4,12,FALSE())</f>
        <v/>
      </c>
      <c r="J415">
        <f>IF(G415="","",H415-G415)</f>
        <v/>
      </c>
      <c r="K415">
        <f>IF(G415="","",IF(ABS(G415-H415)&lt;=$B$6*I415,"OK","NG"))</f>
        <v/>
      </c>
      <c r="L415">
        <f>IF(K415="","",IF(K415=D415,1,0))</f>
        <v/>
      </c>
      <c r="M415" t="inlineStr">
        <is>
          <t>N1</t>
        </is>
      </c>
      <c r="N415" s="15" t="n">
        <v>0.8292196574041002</v>
      </c>
      <c r="O415" s="15" t="n">
        <v>0.1677854397193942</v>
      </c>
      <c r="P415">
        <f>IF(M415="","",IF(M415=E415,1,0))</f>
        <v/>
      </c>
      <c r="Q415">
        <f>IF(K415="OK","-",IF(N415&lt;$B$7,"AMBIGUOUS","CONFIDENT"))</f>
        <v/>
      </c>
    </row>
    <row r="416">
      <c r="A416">
        <f>'Runs Z score'!A408</f>
        <v/>
      </c>
      <c r="B416">
        <f>'Runs Z score'!B408</f>
        <v/>
      </c>
      <c r="C416">
        <f>'Runs Z score'!C408</f>
        <v/>
      </c>
      <c r="D416">
        <f>'Runs Z score'!D408</f>
        <v/>
      </c>
      <c r="E416">
        <f>'Runs Z score'!E408</f>
        <v/>
      </c>
      <c r="F416">
        <f>'Runs Z score'!F408</f>
        <v/>
      </c>
      <c r="G416">
        <f>'Runs Z score'!G408</f>
        <v/>
      </c>
      <c r="H416">
        <f>VLOOKUP(C416,Recipes!$A$2:$N$4,10,FALSE())</f>
        <v/>
      </c>
      <c r="I416">
        <f>VLOOKUP(C416,Recipes!$A$2:$N$4,12,FALSE())</f>
        <v/>
      </c>
      <c r="J416">
        <f>IF(G416="","",H416-G416)</f>
        <v/>
      </c>
      <c r="K416">
        <f>IF(G416="","",IF(ABS(G416-H416)&lt;=$B$6*I416,"OK","NG"))</f>
        <v/>
      </c>
      <c r="L416">
        <f>IF(K416="","",IF(K416=D416,1,0))</f>
        <v/>
      </c>
      <c r="M416" t="inlineStr">
        <is>
          <t>N1</t>
        </is>
      </c>
      <c r="N416" s="15" t="n">
        <v>0.7959955108628262</v>
      </c>
      <c r="O416" s="15" t="n">
        <v>0.2024021285285305</v>
      </c>
      <c r="P416">
        <f>IF(M416="","",IF(M416=E416,1,0))</f>
        <v/>
      </c>
      <c r="Q416">
        <f>IF(K416="OK","-",IF(N416&lt;$B$7,"AMBIGUOUS","CONFIDENT"))</f>
        <v/>
      </c>
    </row>
    <row r="417">
      <c r="A417">
        <f>'Runs Z score'!A409</f>
        <v/>
      </c>
      <c r="B417">
        <f>'Runs Z score'!B409</f>
        <v/>
      </c>
      <c r="C417">
        <f>'Runs Z score'!C409</f>
        <v/>
      </c>
      <c r="D417">
        <f>'Runs Z score'!D409</f>
        <v/>
      </c>
      <c r="E417">
        <f>'Runs Z score'!E409</f>
        <v/>
      </c>
      <c r="F417">
        <f>'Runs Z score'!F409</f>
        <v/>
      </c>
      <c r="G417">
        <f>'Runs Z score'!G409</f>
        <v/>
      </c>
      <c r="H417">
        <f>VLOOKUP(C417,Recipes!$A$2:$N$4,10,FALSE())</f>
        <v/>
      </c>
      <c r="I417">
        <f>VLOOKUP(C417,Recipes!$A$2:$N$4,12,FALSE())</f>
        <v/>
      </c>
      <c r="J417">
        <f>IF(G417="","",H417-G417)</f>
        <v/>
      </c>
      <c r="K417">
        <f>IF(G417="","",IF(ABS(G417-H417)&lt;=$B$6*I417,"OK","NG"))</f>
        <v/>
      </c>
      <c r="L417">
        <f>IF(K417="","",IF(K417=D417,1,0))</f>
        <v/>
      </c>
      <c r="M417" t="inlineStr">
        <is>
          <t>N1</t>
        </is>
      </c>
      <c r="N417" s="15" t="n">
        <v>0.7940635873641921</v>
      </c>
      <c r="O417" s="15" t="n">
        <v>0.2041168237397945</v>
      </c>
      <c r="P417">
        <f>IF(M417="","",IF(M417=E417,1,0))</f>
        <v/>
      </c>
      <c r="Q417">
        <f>IF(K417="OK","-",IF(N417&lt;$B$7,"AMBIGUOUS","CONFIDENT"))</f>
        <v/>
      </c>
    </row>
    <row r="418">
      <c r="A418">
        <f>'Runs Z score'!A410</f>
        <v/>
      </c>
      <c r="B418">
        <f>'Runs Z score'!B410</f>
        <v/>
      </c>
      <c r="C418">
        <f>'Runs Z score'!C410</f>
        <v/>
      </c>
      <c r="D418">
        <f>'Runs Z score'!D410</f>
        <v/>
      </c>
      <c r="E418">
        <f>'Runs Z score'!E410</f>
        <v/>
      </c>
      <c r="F418">
        <f>'Runs Z score'!F410</f>
        <v/>
      </c>
      <c r="G418">
        <f>'Runs Z score'!G410</f>
        <v/>
      </c>
      <c r="H418">
        <f>VLOOKUP(C418,Recipes!$A$2:$N$4,10,FALSE())</f>
        <v/>
      </c>
      <c r="I418">
        <f>VLOOKUP(C418,Recipes!$A$2:$N$4,12,FALSE())</f>
        <v/>
      </c>
      <c r="J418">
        <f>IF(G418="","",H418-G418)</f>
        <v/>
      </c>
      <c r="K418">
        <f>IF(G418="","",IF(ABS(G418-H418)&lt;=$B$6*I418,"OK","NG"))</f>
        <v/>
      </c>
      <c r="L418">
        <f>IF(K418="","",IF(K418=D418,1,0))</f>
        <v/>
      </c>
      <c r="M418" t="inlineStr">
        <is>
          <t>N1</t>
        </is>
      </c>
      <c r="N418" s="15" t="n">
        <v>0.8292876060100145</v>
      </c>
      <c r="O418" s="15" t="n">
        <v>0.1680212898663713</v>
      </c>
      <c r="P418">
        <f>IF(M418="","",IF(M418=E418,1,0))</f>
        <v/>
      </c>
      <c r="Q418">
        <f>IF(K418="OK","-",IF(N418&lt;$B$7,"AMBIGUOUS","CONFIDENT"))</f>
        <v/>
      </c>
    </row>
    <row r="419">
      <c r="A419">
        <f>'Runs Z score'!A411</f>
        <v/>
      </c>
      <c r="B419">
        <f>'Runs Z score'!B411</f>
        <v/>
      </c>
      <c r="C419">
        <f>'Runs Z score'!C411</f>
        <v/>
      </c>
      <c r="D419">
        <f>'Runs Z score'!D411</f>
        <v/>
      </c>
      <c r="E419">
        <f>'Runs Z score'!E411</f>
        <v/>
      </c>
      <c r="F419">
        <f>'Runs Z score'!F411</f>
        <v/>
      </c>
      <c r="G419">
        <f>'Runs Z score'!G411</f>
        <v/>
      </c>
      <c r="H419">
        <f>VLOOKUP(C419,Recipes!$A$2:$N$4,10,FALSE())</f>
        <v/>
      </c>
      <c r="I419">
        <f>VLOOKUP(C419,Recipes!$A$2:$N$4,12,FALSE())</f>
        <v/>
      </c>
      <c r="J419">
        <f>IF(G419="","",H419-G419)</f>
        <v/>
      </c>
      <c r="K419">
        <f>IF(G419="","",IF(ABS(G419-H419)&lt;=$B$6*I419,"OK","NG"))</f>
        <v/>
      </c>
      <c r="L419">
        <f>IF(K419="","",IF(K419=D419,1,0))</f>
        <v/>
      </c>
      <c r="M419" t="inlineStr">
        <is>
          <t>N1</t>
        </is>
      </c>
      <c r="N419" s="15" t="n">
        <v>0.6675484031479606</v>
      </c>
      <c r="O419" s="15" t="n">
        <v>0.3322541984945396</v>
      </c>
      <c r="P419">
        <f>IF(M419="","",IF(M419=E419,1,0))</f>
        <v/>
      </c>
      <c r="Q419">
        <f>IF(K419="OK","-",IF(N419&lt;$B$7,"AMBIGUOUS","CONFIDENT"))</f>
        <v/>
      </c>
    </row>
    <row r="420">
      <c r="A420">
        <f>'Runs Z score'!A412</f>
        <v/>
      </c>
      <c r="B420">
        <f>'Runs Z score'!B412</f>
        <v/>
      </c>
      <c r="C420">
        <f>'Runs Z score'!C412</f>
        <v/>
      </c>
      <c r="D420">
        <f>'Runs Z score'!D412</f>
        <v/>
      </c>
      <c r="E420">
        <f>'Runs Z score'!E412</f>
        <v/>
      </c>
      <c r="F420">
        <f>'Runs Z score'!F412</f>
        <v/>
      </c>
      <c r="G420">
        <f>'Runs Z score'!G412</f>
        <v/>
      </c>
      <c r="H420">
        <f>VLOOKUP(C420,Recipes!$A$2:$N$4,10,FALSE())</f>
        <v/>
      </c>
      <c r="I420">
        <f>VLOOKUP(C420,Recipes!$A$2:$N$4,12,FALSE())</f>
        <v/>
      </c>
      <c r="J420">
        <f>IF(G420="","",H420-G420)</f>
        <v/>
      </c>
      <c r="K420">
        <f>IF(G420="","",IF(ABS(G420-H420)&lt;=$B$6*I420,"OK","NG"))</f>
        <v/>
      </c>
      <c r="L420">
        <f>IF(K420="","",IF(K420=D420,1,0))</f>
        <v/>
      </c>
      <c r="M420" t="inlineStr">
        <is>
          <t>N1</t>
        </is>
      </c>
      <c r="N420" s="15" t="n">
        <v>0.9062032485750964</v>
      </c>
      <c r="O420" s="15" t="n">
        <v>0.0501775397244975</v>
      </c>
      <c r="P420">
        <f>IF(M420="","",IF(M420=E420,1,0))</f>
        <v/>
      </c>
      <c r="Q420">
        <f>IF(K420="OK","-",IF(N420&lt;$B$7,"AMBIGUOUS","CONFIDENT"))</f>
        <v/>
      </c>
    </row>
    <row r="421">
      <c r="A421">
        <f>'Runs Z score'!A413</f>
        <v/>
      </c>
      <c r="B421">
        <f>'Runs Z score'!B413</f>
        <v/>
      </c>
      <c r="C421">
        <f>'Runs Z score'!C413</f>
        <v/>
      </c>
      <c r="D421">
        <f>'Runs Z score'!D413</f>
        <v/>
      </c>
      <c r="E421">
        <f>'Runs Z score'!E413</f>
        <v/>
      </c>
      <c r="F421">
        <f>'Runs Z score'!F413</f>
        <v/>
      </c>
      <c r="G421">
        <f>'Runs Z score'!G413</f>
        <v/>
      </c>
      <c r="H421">
        <f>VLOOKUP(C421,Recipes!$A$2:$N$4,10,FALSE())</f>
        <v/>
      </c>
      <c r="I421">
        <f>VLOOKUP(C421,Recipes!$A$2:$N$4,12,FALSE())</f>
        <v/>
      </c>
      <c r="J421">
        <f>IF(G421="","",H421-G421)</f>
        <v/>
      </c>
      <c r="K421">
        <f>IF(G421="","",IF(ABS(G421-H421)&lt;=$B$6*I421,"OK","NG"))</f>
        <v/>
      </c>
      <c r="L421">
        <f>IF(K421="","",IF(K421=D421,1,0))</f>
        <v/>
      </c>
      <c r="M421" t="inlineStr">
        <is>
          <t>N1</t>
        </is>
      </c>
      <c r="N421" s="15" t="n">
        <v>0.8065738131545617</v>
      </c>
      <c r="O421" s="15" t="n">
        <v>0.1914966092773855</v>
      </c>
      <c r="P421">
        <f>IF(M421="","",IF(M421=E421,1,0))</f>
        <v/>
      </c>
      <c r="Q421">
        <f>IF(K421="OK","-",IF(N421&lt;$B$7,"AMBIGUOUS","CONFIDENT"))</f>
        <v/>
      </c>
    </row>
    <row r="422">
      <c r="A422">
        <f>'Runs Z score'!A414</f>
        <v/>
      </c>
      <c r="B422">
        <f>'Runs Z score'!B414</f>
        <v/>
      </c>
      <c r="C422">
        <f>'Runs Z score'!C414</f>
        <v/>
      </c>
      <c r="D422">
        <f>'Runs Z score'!D414</f>
        <v/>
      </c>
      <c r="E422">
        <f>'Runs Z score'!E414</f>
        <v/>
      </c>
      <c r="F422">
        <f>'Runs Z score'!F414</f>
        <v/>
      </c>
      <c r="G422">
        <f>'Runs Z score'!G414</f>
        <v/>
      </c>
      <c r="H422">
        <f>VLOOKUP(C422,Recipes!$A$2:$N$4,10,FALSE())</f>
        <v/>
      </c>
      <c r="I422">
        <f>VLOOKUP(C422,Recipes!$A$2:$N$4,12,FALSE())</f>
        <v/>
      </c>
      <c r="J422">
        <f>IF(G422="","",H422-G422)</f>
        <v/>
      </c>
      <c r="K422">
        <f>IF(G422="","",IF(ABS(G422-H422)&lt;=$B$6*I422,"OK","NG"))</f>
        <v/>
      </c>
      <c r="L422">
        <f>IF(K422="","",IF(K422=D422,1,0))</f>
        <v/>
      </c>
      <c r="M422" t="inlineStr">
        <is>
          <t>N1</t>
        </is>
      </c>
      <c r="N422" s="15" t="n">
        <v>0.7959955108628262</v>
      </c>
      <c r="O422" s="15" t="n">
        <v>0.2024021285285305</v>
      </c>
      <c r="P422">
        <f>IF(M422="","",IF(M422=E422,1,0))</f>
        <v/>
      </c>
      <c r="Q422">
        <f>IF(K422="OK","-",IF(N422&lt;$B$7,"AMBIGUOUS","CONFIDENT"))</f>
        <v/>
      </c>
    </row>
    <row r="423">
      <c r="A423">
        <f>'Runs Z score'!A415</f>
        <v/>
      </c>
      <c r="B423">
        <f>'Runs Z score'!B415</f>
        <v/>
      </c>
      <c r="C423">
        <f>'Runs Z score'!C415</f>
        <v/>
      </c>
      <c r="D423">
        <f>'Runs Z score'!D415</f>
        <v/>
      </c>
      <c r="E423">
        <f>'Runs Z score'!E415</f>
        <v/>
      </c>
      <c r="F423">
        <f>'Runs Z score'!F415</f>
        <v/>
      </c>
      <c r="G423">
        <f>'Runs Z score'!G415</f>
        <v/>
      </c>
      <c r="H423">
        <f>VLOOKUP(C423,Recipes!$A$2:$N$4,10,FALSE())</f>
        <v/>
      </c>
      <c r="I423">
        <f>VLOOKUP(C423,Recipes!$A$2:$N$4,12,FALSE())</f>
        <v/>
      </c>
      <c r="J423">
        <f>IF(G423="","",H423-G423)</f>
        <v/>
      </c>
      <c r="K423">
        <f>IF(G423="","",IF(ABS(G423-H423)&lt;=$B$6*I423,"OK","NG"))</f>
        <v/>
      </c>
      <c r="L423">
        <f>IF(K423="","",IF(K423=D423,1,0))</f>
        <v/>
      </c>
      <c r="M423" t="inlineStr">
        <is>
          <t>N1</t>
        </is>
      </c>
      <c r="N423" s="15" t="n">
        <v>0.8065738131545617</v>
      </c>
      <c r="O423" s="15" t="n">
        <v>0.1914966092773855</v>
      </c>
      <c r="P423">
        <f>IF(M423="","",IF(M423=E423,1,0))</f>
        <v/>
      </c>
      <c r="Q423">
        <f>IF(K423="OK","-",IF(N423&lt;$B$7,"AMBIGUOUS","CONFIDENT"))</f>
        <v/>
      </c>
    </row>
    <row r="424">
      <c r="A424">
        <f>'Runs Z score'!A416</f>
        <v/>
      </c>
      <c r="B424">
        <f>'Runs Z score'!B416</f>
        <v/>
      </c>
      <c r="C424">
        <f>'Runs Z score'!C416</f>
        <v/>
      </c>
      <c r="D424">
        <f>'Runs Z score'!D416</f>
        <v/>
      </c>
      <c r="E424">
        <f>'Runs Z score'!E416</f>
        <v/>
      </c>
      <c r="F424">
        <f>'Runs Z score'!F416</f>
        <v/>
      </c>
      <c r="G424">
        <f>'Runs Z score'!G416</f>
        <v/>
      </c>
      <c r="H424">
        <f>VLOOKUP(C424,Recipes!$A$2:$N$4,10,FALSE())</f>
        <v/>
      </c>
      <c r="I424">
        <f>VLOOKUP(C424,Recipes!$A$2:$N$4,12,FALSE())</f>
        <v/>
      </c>
      <c r="J424">
        <f>IF(G424="","",H424-G424)</f>
        <v/>
      </c>
      <c r="K424">
        <f>IF(G424="","",IF(ABS(G424-H424)&lt;=$B$6*I424,"OK","NG"))</f>
        <v/>
      </c>
      <c r="L424">
        <f>IF(K424="","",IF(K424=D424,1,0))</f>
        <v/>
      </c>
      <c r="M424" t="inlineStr">
        <is>
          <t>N1</t>
        </is>
      </c>
      <c r="N424" s="15" t="n">
        <v>0.8292196574041002</v>
      </c>
      <c r="O424" s="15" t="n">
        <v>0.1677854397193942</v>
      </c>
      <c r="P424">
        <f>IF(M424="","",IF(M424=E424,1,0))</f>
        <v/>
      </c>
      <c r="Q424">
        <f>IF(K424="OK","-",IF(N424&lt;$B$7,"AMBIGUOUS","CONFIDENT"))</f>
        <v/>
      </c>
    </row>
    <row r="425">
      <c r="A425">
        <f>'Runs Z score'!A417</f>
        <v/>
      </c>
      <c r="B425">
        <f>'Runs Z score'!B417</f>
        <v/>
      </c>
      <c r="C425">
        <f>'Runs Z score'!C417</f>
        <v/>
      </c>
      <c r="D425">
        <f>'Runs Z score'!D417</f>
        <v/>
      </c>
      <c r="E425">
        <f>'Runs Z score'!E417</f>
        <v/>
      </c>
      <c r="F425">
        <f>'Runs Z score'!F417</f>
        <v/>
      </c>
      <c r="G425">
        <f>'Runs Z score'!G417</f>
        <v/>
      </c>
      <c r="H425">
        <f>VLOOKUP(C425,Recipes!$A$2:$N$4,10,FALSE())</f>
        <v/>
      </c>
      <c r="I425">
        <f>VLOOKUP(C425,Recipes!$A$2:$N$4,12,FALSE())</f>
        <v/>
      </c>
      <c r="J425">
        <f>IF(G425="","",H425-G425)</f>
        <v/>
      </c>
      <c r="K425">
        <f>IF(G425="","",IF(ABS(G425-H425)&lt;=$B$6*I425,"OK","NG"))</f>
        <v/>
      </c>
      <c r="L425">
        <f>IF(K425="","",IF(K425=D425,1,0))</f>
        <v/>
      </c>
      <c r="M425" t="inlineStr">
        <is>
          <t>N1</t>
        </is>
      </c>
      <c r="N425" s="15" t="n">
        <v>0.8065738131545617</v>
      </c>
      <c r="O425" s="15" t="n">
        <v>0.1914966092773855</v>
      </c>
      <c r="P425">
        <f>IF(M425="","",IF(M425=E425,1,0))</f>
        <v/>
      </c>
      <c r="Q425">
        <f>IF(K425="OK","-",IF(N425&lt;$B$7,"AMBIGUOUS","CONFIDENT"))</f>
        <v/>
      </c>
    </row>
    <row r="426">
      <c r="A426">
        <f>'Runs Z score'!A418</f>
        <v/>
      </c>
      <c r="B426">
        <f>'Runs Z score'!B418</f>
        <v/>
      </c>
      <c r="C426">
        <f>'Runs Z score'!C418</f>
        <v/>
      </c>
      <c r="D426">
        <f>'Runs Z score'!D418</f>
        <v/>
      </c>
      <c r="E426">
        <f>'Runs Z score'!E418</f>
        <v/>
      </c>
      <c r="F426">
        <f>'Runs Z score'!F418</f>
        <v/>
      </c>
      <c r="G426">
        <f>'Runs Z score'!G418</f>
        <v/>
      </c>
      <c r="H426">
        <f>VLOOKUP(C426,Recipes!$A$2:$N$4,10,FALSE())</f>
        <v/>
      </c>
      <c r="I426">
        <f>VLOOKUP(C426,Recipes!$A$2:$N$4,12,FALSE())</f>
        <v/>
      </c>
      <c r="J426">
        <f>IF(G426="","",H426-G426)</f>
        <v/>
      </c>
      <c r="K426">
        <f>IF(G426="","",IF(ABS(G426-H426)&lt;=$B$6*I426,"OK","NG"))</f>
        <v/>
      </c>
      <c r="L426">
        <f>IF(K426="","",IF(K426=D426,1,0))</f>
        <v/>
      </c>
      <c r="M426" t="inlineStr">
        <is>
          <t>N1</t>
        </is>
      </c>
      <c r="N426" s="15" t="n">
        <v>0.8123979954638065</v>
      </c>
      <c r="O426" s="15" t="n">
        <v>0.1875905375698629</v>
      </c>
      <c r="P426">
        <f>IF(M426="","",IF(M426=E426,1,0))</f>
        <v/>
      </c>
      <c r="Q426">
        <f>IF(K426="OK","-",IF(N426&lt;$B$7,"AMBIGUOUS","CONFIDENT"))</f>
        <v/>
      </c>
    </row>
    <row r="427">
      <c r="A427">
        <f>'Runs Z score'!A419</f>
        <v/>
      </c>
      <c r="B427">
        <f>'Runs Z score'!B419</f>
        <v/>
      </c>
      <c r="C427">
        <f>'Runs Z score'!C419</f>
        <v/>
      </c>
      <c r="D427">
        <f>'Runs Z score'!D419</f>
        <v/>
      </c>
      <c r="E427">
        <f>'Runs Z score'!E419</f>
        <v/>
      </c>
      <c r="F427">
        <f>'Runs Z score'!F419</f>
        <v/>
      </c>
      <c r="G427">
        <f>'Runs Z score'!G419</f>
        <v/>
      </c>
      <c r="H427">
        <f>VLOOKUP(C427,Recipes!$A$2:$N$4,10,FALSE())</f>
        <v/>
      </c>
      <c r="I427">
        <f>VLOOKUP(C427,Recipes!$A$2:$N$4,12,FALSE())</f>
        <v/>
      </c>
      <c r="J427">
        <f>IF(G427="","",H427-G427)</f>
        <v/>
      </c>
      <c r="K427">
        <f>IF(G427="","",IF(ABS(G427-H427)&lt;=$B$6*I427,"OK","NG"))</f>
        <v/>
      </c>
      <c r="L427">
        <f>IF(K427="","",IF(K427=D427,1,0))</f>
        <v/>
      </c>
      <c r="M427" t="inlineStr">
        <is>
          <t>N1</t>
        </is>
      </c>
      <c r="N427" s="15" t="n">
        <v>0.8467131138979741</v>
      </c>
      <c r="O427" s="15" t="n">
        <v>0.1532591960535722</v>
      </c>
      <c r="P427">
        <f>IF(M427="","",IF(M427=E427,1,0))</f>
        <v/>
      </c>
      <c r="Q427">
        <f>IF(K427="OK","-",IF(N427&lt;$B$7,"AMBIGUOUS","CONFIDENT"))</f>
        <v/>
      </c>
    </row>
    <row r="428">
      <c r="A428">
        <f>'Runs Z score'!A420</f>
        <v/>
      </c>
      <c r="B428">
        <f>'Runs Z score'!B420</f>
        <v/>
      </c>
      <c r="C428">
        <f>'Runs Z score'!C420</f>
        <v/>
      </c>
      <c r="D428">
        <f>'Runs Z score'!D420</f>
        <v/>
      </c>
      <c r="E428">
        <f>'Runs Z score'!E420</f>
        <v/>
      </c>
      <c r="F428">
        <f>'Runs Z score'!F420</f>
        <v/>
      </c>
      <c r="G428">
        <f>'Runs Z score'!G420</f>
        <v/>
      </c>
      <c r="H428">
        <f>VLOOKUP(C428,Recipes!$A$2:$N$4,10,FALSE())</f>
        <v/>
      </c>
      <c r="I428">
        <f>VLOOKUP(C428,Recipes!$A$2:$N$4,12,FALSE())</f>
        <v/>
      </c>
      <c r="J428">
        <f>IF(G428="","",H428-G428)</f>
        <v/>
      </c>
      <c r="K428">
        <f>IF(G428="","",IF(ABS(G428-H428)&lt;=$B$6*I428,"OK","NG"))</f>
        <v/>
      </c>
      <c r="L428">
        <f>IF(K428="","",IF(K428=D428,1,0))</f>
        <v/>
      </c>
      <c r="M428" t="inlineStr">
        <is>
          <t>N1</t>
        </is>
      </c>
      <c r="N428" s="15" t="n">
        <v>0.7724514440374173</v>
      </c>
      <c r="O428" s="15" t="n">
        <v>0.2275438500574358</v>
      </c>
      <c r="P428">
        <f>IF(M428="","",IF(M428=E428,1,0))</f>
        <v/>
      </c>
      <c r="Q428">
        <f>IF(K428="OK","-",IF(N428&lt;$B$7,"AMBIGUOUS","CONFIDENT"))</f>
        <v/>
      </c>
    </row>
    <row r="429">
      <c r="A429">
        <f>'Runs Z score'!A421</f>
        <v/>
      </c>
      <c r="B429">
        <f>'Runs Z score'!B421</f>
        <v/>
      </c>
      <c r="C429">
        <f>'Runs Z score'!C421</f>
        <v/>
      </c>
      <c r="D429">
        <f>'Runs Z score'!D421</f>
        <v/>
      </c>
      <c r="E429">
        <f>'Runs Z score'!E421</f>
        <v/>
      </c>
      <c r="F429">
        <f>'Runs Z score'!F421</f>
        <v/>
      </c>
      <c r="G429">
        <f>'Runs Z score'!G421</f>
        <v/>
      </c>
      <c r="H429">
        <f>VLOOKUP(C429,Recipes!$A$2:$N$4,10,FALSE())</f>
        <v/>
      </c>
      <c r="I429">
        <f>VLOOKUP(C429,Recipes!$A$2:$N$4,12,FALSE())</f>
        <v/>
      </c>
      <c r="J429">
        <f>IF(G429="","",H429-G429)</f>
        <v/>
      </c>
      <c r="K429">
        <f>IF(G429="","",IF(ABS(G429-H429)&lt;=$B$6*I429,"OK","NG"))</f>
        <v/>
      </c>
      <c r="L429">
        <f>IF(K429="","",IF(K429=D429,1,0))</f>
        <v/>
      </c>
      <c r="M429" t="inlineStr">
        <is>
          <t>N2</t>
        </is>
      </c>
      <c r="N429" s="15" t="n">
        <v>0.9964004891335556</v>
      </c>
      <c r="O429" s="15" t="n">
        <v>0.0035530705138555</v>
      </c>
      <c r="P429">
        <f>IF(M429="","",IF(M429=E429,1,0))</f>
        <v/>
      </c>
      <c r="Q429">
        <f>IF(K429="OK","-",IF(N429&lt;$B$7,"AMBIGUOUS","CONFIDENT"))</f>
        <v/>
      </c>
    </row>
    <row r="430">
      <c r="A430">
        <f>'Runs Z score'!A422</f>
        <v/>
      </c>
      <c r="B430">
        <f>'Runs Z score'!B422</f>
        <v/>
      </c>
      <c r="C430">
        <f>'Runs Z score'!C422</f>
        <v/>
      </c>
      <c r="D430">
        <f>'Runs Z score'!D422</f>
        <v/>
      </c>
      <c r="E430">
        <f>'Runs Z score'!E422</f>
        <v/>
      </c>
      <c r="F430">
        <f>'Runs Z score'!F422</f>
        <v/>
      </c>
      <c r="G430">
        <f>'Runs Z score'!G422</f>
        <v/>
      </c>
      <c r="H430">
        <f>VLOOKUP(C430,Recipes!$A$2:$N$4,10,FALSE())</f>
        <v/>
      </c>
      <c r="I430">
        <f>VLOOKUP(C430,Recipes!$A$2:$N$4,12,FALSE())</f>
        <v/>
      </c>
      <c r="J430">
        <f>IF(G430="","",H430-G430)</f>
        <v/>
      </c>
      <c r="K430">
        <f>IF(G430="","",IF(ABS(G430-H430)&lt;=$B$6*I430,"OK","NG"))</f>
        <v/>
      </c>
      <c r="L430">
        <f>IF(K430="","",IF(K430=D430,1,0))</f>
        <v/>
      </c>
      <c r="M430" t="inlineStr">
        <is>
          <t>N1</t>
        </is>
      </c>
      <c r="N430" s="15" t="n">
        <v>0.7063233968330266</v>
      </c>
      <c r="O430" s="15" t="n">
        <v>0.2930250778672679</v>
      </c>
      <c r="P430">
        <f>IF(M430="","",IF(M430=E430,1,0))</f>
        <v/>
      </c>
      <c r="Q430">
        <f>IF(K430="OK","-",IF(N430&lt;$B$7,"AMBIGUOUS","CONFIDENT"))</f>
        <v/>
      </c>
    </row>
    <row r="433">
      <c r="A433" s="209" t="inlineStr">
        <is>
          <t>RESUMEN</t>
        </is>
      </c>
    </row>
    <row r="434">
      <c r="A434" s="210" t="inlineStr">
        <is>
          <t>Total runs</t>
        </is>
      </c>
      <c r="B434" s="212">
        <f>COUNTA(G11:G430)</f>
        <v/>
      </c>
    </row>
    <row r="435">
      <c r="A435" s="210" t="inlineStr">
        <is>
          <t>L1 Accuracy</t>
        </is>
      </c>
      <c r="B435" s="213">
        <f>IFERROR(AVERAGE(L11:L430),0)</f>
        <v/>
      </c>
    </row>
    <row r="436">
      <c r="A436" s="210" t="inlineStr">
        <is>
          <t>L2 Accuracy (NG)</t>
        </is>
      </c>
      <c r="B436" s="213">
        <f>IFERROR(AVERAGEIFS(P11:P430,D11:D430,"NG"),0)</f>
        <v/>
      </c>
    </row>
    <row r="437">
      <c r="A437" s="210" t="inlineStr">
        <is>
          <t>Falsos Positivos</t>
        </is>
      </c>
      <c r="B437" s="212">
        <f>COUNTIFS(D11:D430,"OK",K11:K430,"NG")</f>
        <v/>
      </c>
    </row>
    <row r="438">
      <c r="A438" s="210" t="inlineStr">
        <is>
          <t>Falsos Negativos</t>
        </is>
      </c>
      <c r="B438" s="212">
        <f>COUNTIFS(D11:D430,"NG",K11:K430,"OK")</f>
        <v/>
      </c>
    </row>
    <row r="439">
      <c r="A439" s="210" t="inlineStr">
        <is>
          <t>Casos AMBIGUOUS</t>
        </is>
      </c>
      <c r="B439" s="212">
        <f>COUNTIF(Q11:Q430,"AMBIGUOUS")</f>
        <v/>
      </c>
    </row>
    <row r="442">
      <c r="A442" s="209" t="inlineStr">
        <is>
          <t>POR RECETA</t>
        </is>
      </c>
    </row>
    <row r="443">
      <c r="A443" s="192" t="inlineStr">
        <is>
          <t>Recipe</t>
        </is>
      </c>
      <c r="B443" s="192" t="inlineStr">
        <is>
          <t>L1 Acc</t>
        </is>
      </c>
      <c r="C443" s="192" t="inlineStr">
        <is>
          <t>L2 Acc</t>
        </is>
      </c>
    </row>
    <row r="444">
      <c r="A444" s="214" t="inlineStr">
        <is>
          <t>R3</t>
        </is>
      </c>
      <c r="B444" s="213">
        <f>IFERROR(AVERAGEIFS(L11:L430,C11:C430,"R3"),0)</f>
        <v/>
      </c>
      <c r="C444" s="213">
        <f>IFERROR(AVERAGEIFS(P11:P430,C11:C430,"R3",D11:D430,"NG"),0)</f>
        <v/>
      </c>
    </row>
    <row r="445">
      <c r="A445" s="214" t="inlineStr">
        <is>
          <t>R4</t>
        </is>
      </c>
      <c r="B445" s="213">
        <f>IFERROR(AVERAGEIFS(L11:L430,C11:C430,"R4"),0)</f>
        <v/>
      </c>
      <c r="C445" s="213">
        <f>IFERROR(AVERAGEIFS(P11:P430,C11:C430,"R4",D11:D430,"NG"),0)</f>
        <v/>
      </c>
    </row>
    <row r="446">
      <c r="A446" s="214" t="inlineStr">
        <is>
          <t>R6</t>
        </is>
      </c>
      <c r="B446" s="213">
        <f>IFERROR(AVERAGEIFS(L11:L430,C11:C430,"R6"),0)</f>
        <v/>
      </c>
      <c r="C446" s="213">
        <f>IFERROR(AVERAGEIFS(P11:P430,C11:C430,"R6",D11:D430,"NG"),0)</f>
        <v/>
      </c>
    </row>
  </sheetData>
  <mergeCells count="3">
    <mergeCell ref="A3:Q3"/>
    <mergeCell ref="A2:Q2"/>
    <mergeCell ref="A1:Q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46"/>
  <sheetViews>
    <sheetView workbookViewId="0">
      <pane ySplit="10" topLeftCell="A11" activePane="bottomLeft" state="frozen"/>
      <selection pane="bottomLeft" activeCell="A1" sqref="A1"/>
    </sheetView>
  </sheetViews>
  <sheetFormatPr baseColWidth="8" defaultRowHeight="15"/>
  <cols>
    <col width="8" customWidth="1" style="180" min="1" max="1"/>
    <col width="11" customWidth="1" style="180" min="2" max="2"/>
    <col width="9" customWidth="1" style="180" min="3" max="3"/>
    <col width="11" customWidth="1" style="180" min="4" max="4"/>
    <col width="14" customWidth="1" style="180" min="5" max="5"/>
    <col width="9" customWidth="1" style="180" min="6" max="6"/>
    <col width="11" customWidth="1" style="180" min="7" max="7"/>
    <col width="11" customWidth="1" style="180" min="8" max="8"/>
    <col width="11" customWidth="1" style="180" min="9" max="9"/>
    <col width="10" customWidth="1" style="180" min="10" max="10"/>
    <col width="10" customWidth="1" style="180" min="11" max="11"/>
    <col width="11" customWidth="1" style="180" min="12" max="12"/>
    <col width="10" customWidth="1" style="180" min="13" max="13"/>
    <col width="13" customWidth="1" style="180" min="14" max="14"/>
    <col width="13" customWidth="1" style="180" min="15" max="15"/>
    <col width="11" customWidth="1" style="180" min="16" max="16"/>
    <col width="12" customWidth="1" style="180" min="17" max="17"/>
  </cols>
  <sheetData>
    <row r="1">
      <c r="A1" s="226" t="inlineStr">
        <is>
          <t>LINEAR DISCRIMINANT ANALYSIS (LDA)</t>
        </is>
      </c>
    </row>
    <row r="2">
      <c r="A2" s="208" t="inlineStr">
        <is>
          <t>Fisher (1936). Frontera óptima bajo normalidad con Σ compartida entre clases.</t>
        </is>
      </c>
    </row>
    <row r="3">
      <c r="A3" s="208" t="inlineStr">
        <is>
          <t>5-fold Stratified CV por receta. L1 = Runs 1.0 (k=3). Predicciones generadas con datos reales del DOE.</t>
        </is>
      </c>
    </row>
    <row r="5">
      <c r="A5" s="209" t="inlineStr">
        <is>
          <t>PARÁMETROS</t>
        </is>
      </c>
    </row>
    <row r="6">
      <c r="A6" s="210" t="inlineStr">
        <is>
          <t>k (L1 sigma)</t>
        </is>
      </c>
      <c r="B6" s="227" t="n">
        <v>3</v>
      </c>
    </row>
    <row r="7">
      <c r="A7" s="210" t="inlineStr">
        <is>
          <t>Umbral conf. mín.</t>
        </is>
      </c>
      <c r="B7" s="227" t="n">
        <v>0.5</v>
      </c>
    </row>
    <row r="10" ht="32" customHeight="1" s="180">
      <c r="A10" s="192" t="inlineStr">
        <is>
          <t>run_id</t>
        </is>
      </c>
      <c r="B10" s="192" t="inlineStr">
        <is>
          <t>exec_order</t>
        </is>
      </c>
      <c r="C10" s="192" t="inlineStr">
        <is>
          <t>recipe</t>
        </is>
      </c>
      <c r="D10" s="192" t="inlineStr">
        <is>
          <t>condition</t>
        </is>
      </c>
      <c r="E10" s="192" t="inlineStr">
        <is>
          <t>missing_comp</t>
        </is>
      </c>
      <c r="F10" s="192" t="inlineStr">
        <is>
          <t>kit_id</t>
        </is>
      </c>
      <c r="G10" s="192" t="inlineStr">
        <is>
          <t>weight_g</t>
        </is>
      </c>
      <c r="H10" s="192" t="inlineStr">
        <is>
          <t>expected_w</t>
        </is>
      </c>
      <c r="I10" s="192" t="inlineStr">
        <is>
          <t>expected_std</t>
        </is>
      </c>
      <c r="J10" s="192" t="inlineStr">
        <is>
          <t>deficit</t>
        </is>
      </c>
      <c r="K10" s="192" t="inlineStr">
        <is>
          <t>L1_pred</t>
        </is>
      </c>
      <c r="L10" s="192" t="inlineStr">
        <is>
          <t>L1_correct</t>
        </is>
      </c>
      <c r="M10" s="192" t="inlineStr">
        <is>
          <t>ML_pred</t>
        </is>
      </c>
      <c r="N10" s="192" t="inlineStr">
        <is>
          <t>ML_prob_top1</t>
        </is>
      </c>
      <c r="O10" s="192" t="inlineStr">
        <is>
          <t>ML_prob_top2</t>
        </is>
      </c>
      <c r="P10" s="192" t="inlineStr">
        <is>
          <t>L2_correct</t>
        </is>
      </c>
      <c r="Q10" s="192" t="inlineStr">
        <is>
          <t>flag</t>
        </is>
      </c>
    </row>
    <row r="11">
      <c r="A11">
        <f>'Runs Z score'!A3</f>
        <v/>
      </c>
      <c r="B11">
        <f>'Runs Z score'!B3</f>
        <v/>
      </c>
      <c r="C11">
        <f>'Runs Z score'!C3</f>
        <v/>
      </c>
      <c r="D11">
        <f>'Runs Z score'!D3</f>
        <v/>
      </c>
      <c r="E11">
        <f>'Runs Z score'!E3</f>
        <v/>
      </c>
      <c r="F11">
        <f>'Runs Z score'!F3</f>
        <v/>
      </c>
      <c r="G11">
        <f>'Runs Z score'!G3</f>
        <v/>
      </c>
      <c r="H11">
        <f>VLOOKUP(C11,Recipes!$A$2:$N$4,10,FALSE())</f>
        <v/>
      </c>
      <c r="I11">
        <f>VLOOKUP(C11,Recipes!$A$2:$N$4,12,FALSE())</f>
        <v/>
      </c>
      <c r="J11">
        <f>IF(G11="","",H11-G11)</f>
        <v/>
      </c>
      <c r="K11">
        <f>IF(G11="","",IF(ABS(G11-H11)&lt;=$B$6*I11,"OK","NG"))</f>
        <v/>
      </c>
      <c r="L11">
        <f>IF(K11="","",IF(K11=D11,1,0))</f>
        <v/>
      </c>
      <c r="M11" t="inlineStr">
        <is>
          <t>NONE</t>
        </is>
      </c>
      <c r="N11" s="15" t="n">
        <v>1</v>
      </c>
      <c r="O11" s="15" t="n">
        <v>0</v>
      </c>
      <c r="P11">
        <f>IF(M11="","",IF(M11=E11,1,0))</f>
        <v/>
      </c>
      <c r="Q11">
        <f>IF(K11="OK","-",IF(N11&lt;$B$7,"AMBIGUOUS","CONFIDENT"))</f>
        <v/>
      </c>
    </row>
    <row r="12">
      <c r="A12">
        <f>'Runs Z score'!A4</f>
        <v/>
      </c>
      <c r="B12">
        <f>'Runs Z score'!B4</f>
        <v/>
      </c>
      <c r="C12">
        <f>'Runs Z score'!C4</f>
        <v/>
      </c>
      <c r="D12">
        <f>'Runs Z score'!D4</f>
        <v/>
      </c>
      <c r="E12">
        <f>'Runs Z score'!E4</f>
        <v/>
      </c>
      <c r="F12">
        <f>'Runs Z score'!F4</f>
        <v/>
      </c>
      <c r="G12">
        <f>'Runs Z score'!G4</f>
        <v/>
      </c>
      <c r="H12">
        <f>VLOOKUP(C12,Recipes!$A$2:$N$4,10,FALSE())</f>
        <v/>
      </c>
      <c r="I12">
        <f>VLOOKUP(C12,Recipes!$A$2:$N$4,12,FALSE())</f>
        <v/>
      </c>
      <c r="J12">
        <f>IF(G12="","",H12-G12)</f>
        <v/>
      </c>
      <c r="K12">
        <f>IF(G12="","",IF(ABS(G12-H12)&lt;=$B$6*I12,"OK","NG"))</f>
        <v/>
      </c>
      <c r="L12">
        <f>IF(K12="","",IF(K12=D12,1,0))</f>
        <v/>
      </c>
      <c r="M12" t="inlineStr">
        <is>
          <t>NONE</t>
        </is>
      </c>
      <c r="N12" s="15" t="n">
        <v>1</v>
      </c>
      <c r="O12" s="15" t="n">
        <v>0</v>
      </c>
      <c r="P12">
        <f>IF(M12="","",IF(M12=E12,1,0))</f>
        <v/>
      </c>
      <c r="Q12">
        <f>IF(K12="OK","-",IF(N12&lt;$B$7,"AMBIGUOUS","CONFIDENT"))</f>
        <v/>
      </c>
    </row>
    <row r="13">
      <c r="A13">
        <f>'Runs Z score'!A5</f>
        <v/>
      </c>
      <c r="B13">
        <f>'Runs Z score'!B5</f>
        <v/>
      </c>
      <c r="C13">
        <f>'Runs Z score'!C5</f>
        <v/>
      </c>
      <c r="D13">
        <f>'Runs Z score'!D5</f>
        <v/>
      </c>
      <c r="E13">
        <f>'Runs Z score'!E5</f>
        <v/>
      </c>
      <c r="F13">
        <f>'Runs Z score'!F5</f>
        <v/>
      </c>
      <c r="G13">
        <f>'Runs Z score'!G5</f>
        <v/>
      </c>
      <c r="H13">
        <f>VLOOKUP(C13,Recipes!$A$2:$N$4,10,FALSE())</f>
        <v/>
      </c>
      <c r="I13">
        <f>VLOOKUP(C13,Recipes!$A$2:$N$4,12,FALSE())</f>
        <v/>
      </c>
      <c r="J13">
        <f>IF(G13="","",H13-G13)</f>
        <v/>
      </c>
      <c r="K13">
        <f>IF(G13="","",IF(ABS(G13-H13)&lt;=$B$6*I13,"OK","NG"))</f>
        <v/>
      </c>
      <c r="L13">
        <f>IF(K13="","",IF(K13=D13,1,0))</f>
        <v/>
      </c>
      <c r="M13" t="inlineStr">
        <is>
          <t>NONE</t>
        </is>
      </c>
      <c r="N13" s="15" t="n">
        <v>1</v>
      </c>
      <c r="O13" s="15" t="n">
        <v>0</v>
      </c>
      <c r="P13">
        <f>IF(M13="","",IF(M13=E13,1,0))</f>
        <v/>
      </c>
      <c r="Q13">
        <f>IF(K13="OK","-",IF(N13&lt;$B$7,"AMBIGUOUS","CONFIDENT"))</f>
        <v/>
      </c>
    </row>
    <row r="14">
      <c r="A14">
        <f>'Runs Z score'!A6</f>
        <v/>
      </c>
      <c r="B14">
        <f>'Runs Z score'!B6</f>
        <v/>
      </c>
      <c r="C14">
        <f>'Runs Z score'!C6</f>
        <v/>
      </c>
      <c r="D14">
        <f>'Runs Z score'!D6</f>
        <v/>
      </c>
      <c r="E14">
        <f>'Runs Z score'!E6</f>
        <v/>
      </c>
      <c r="F14">
        <f>'Runs Z score'!F6</f>
        <v/>
      </c>
      <c r="G14">
        <f>'Runs Z score'!G6</f>
        <v/>
      </c>
      <c r="H14">
        <f>VLOOKUP(C14,Recipes!$A$2:$N$4,10,FALSE())</f>
        <v/>
      </c>
      <c r="I14">
        <f>VLOOKUP(C14,Recipes!$A$2:$N$4,12,FALSE())</f>
        <v/>
      </c>
      <c r="J14">
        <f>IF(G14="","",H14-G14)</f>
        <v/>
      </c>
      <c r="K14">
        <f>IF(G14="","",IF(ABS(G14-H14)&lt;=$B$6*I14,"OK","NG"))</f>
        <v/>
      </c>
      <c r="L14">
        <f>IF(K14="","",IF(K14=D14,1,0))</f>
        <v/>
      </c>
      <c r="M14" t="inlineStr">
        <is>
          <t>NONE</t>
        </is>
      </c>
      <c r="N14" s="15" t="n">
        <v>1</v>
      </c>
      <c r="O14" s="15" t="n">
        <v>0</v>
      </c>
      <c r="P14">
        <f>IF(M14="","",IF(M14=E14,1,0))</f>
        <v/>
      </c>
      <c r="Q14">
        <f>IF(K14="OK","-",IF(N14&lt;$B$7,"AMBIGUOUS","CONFIDENT"))</f>
        <v/>
      </c>
    </row>
    <row r="15">
      <c r="A15">
        <f>'Runs Z score'!A7</f>
        <v/>
      </c>
      <c r="B15">
        <f>'Runs Z score'!B7</f>
        <v/>
      </c>
      <c r="C15">
        <f>'Runs Z score'!C7</f>
        <v/>
      </c>
      <c r="D15">
        <f>'Runs Z score'!D7</f>
        <v/>
      </c>
      <c r="E15">
        <f>'Runs Z score'!E7</f>
        <v/>
      </c>
      <c r="F15">
        <f>'Runs Z score'!F7</f>
        <v/>
      </c>
      <c r="G15">
        <f>'Runs Z score'!G7</f>
        <v/>
      </c>
      <c r="H15">
        <f>VLOOKUP(C15,Recipes!$A$2:$N$4,10,FALSE())</f>
        <v/>
      </c>
      <c r="I15">
        <f>VLOOKUP(C15,Recipes!$A$2:$N$4,12,FALSE())</f>
        <v/>
      </c>
      <c r="J15">
        <f>IF(G15="","",H15-G15)</f>
        <v/>
      </c>
      <c r="K15">
        <f>IF(G15="","",IF(ABS(G15-H15)&lt;=$B$6*I15,"OK","NG"))</f>
        <v/>
      </c>
      <c r="L15">
        <f>IF(K15="","",IF(K15=D15,1,0))</f>
        <v/>
      </c>
      <c r="M15" t="inlineStr">
        <is>
          <t>NONE</t>
        </is>
      </c>
      <c r="N15" s="15" t="n">
        <v>1</v>
      </c>
      <c r="O15" s="15" t="n">
        <v>0</v>
      </c>
      <c r="P15">
        <f>IF(M15="","",IF(M15=E15,1,0))</f>
        <v/>
      </c>
      <c r="Q15">
        <f>IF(K15="OK","-",IF(N15&lt;$B$7,"AMBIGUOUS","CONFIDENT"))</f>
        <v/>
      </c>
    </row>
    <row r="16">
      <c r="A16">
        <f>'Runs Z score'!A8</f>
        <v/>
      </c>
      <c r="B16">
        <f>'Runs Z score'!B8</f>
        <v/>
      </c>
      <c r="C16">
        <f>'Runs Z score'!C8</f>
        <v/>
      </c>
      <c r="D16">
        <f>'Runs Z score'!D8</f>
        <v/>
      </c>
      <c r="E16">
        <f>'Runs Z score'!E8</f>
        <v/>
      </c>
      <c r="F16">
        <f>'Runs Z score'!F8</f>
        <v/>
      </c>
      <c r="G16">
        <f>'Runs Z score'!G8</f>
        <v/>
      </c>
      <c r="H16">
        <f>VLOOKUP(C16,Recipes!$A$2:$N$4,10,FALSE())</f>
        <v/>
      </c>
      <c r="I16">
        <f>VLOOKUP(C16,Recipes!$A$2:$N$4,12,FALSE())</f>
        <v/>
      </c>
      <c r="J16">
        <f>IF(G16="","",H16-G16)</f>
        <v/>
      </c>
      <c r="K16">
        <f>IF(G16="","",IF(ABS(G16-H16)&lt;=$B$6*I16,"OK","NG"))</f>
        <v/>
      </c>
      <c r="L16">
        <f>IF(K16="","",IF(K16=D16,1,0))</f>
        <v/>
      </c>
      <c r="M16" t="inlineStr">
        <is>
          <t>NONE</t>
        </is>
      </c>
      <c r="N16" s="15" t="n">
        <v>1</v>
      </c>
      <c r="O16" s="15" t="n">
        <v>0</v>
      </c>
      <c r="P16">
        <f>IF(M16="","",IF(M16=E16,1,0))</f>
        <v/>
      </c>
      <c r="Q16">
        <f>IF(K16="OK","-",IF(N16&lt;$B$7,"AMBIGUOUS","CONFIDENT"))</f>
        <v/>
      </c>
    </row>
    <row r="17">
      <c r="A17">
        <f>'Runs Z score'!A9</f>
        <v/>
      </c>
      <c r="B17">
        <f>'Runs Z score'!B9</f>
        <v/>
      </c>
      <c r="C17">
        <f>'Runs Z score'!C9</f>
        <v/>
      </c>
      <c r="D17">
        <f>'Runs Z score'!D9</f>
        <v/>
      </c>
      <c r="E17">
        <f>'Runs Z score'!E9</f>
        <v/>
      </c>
      <c r="F17">
        <f>'Runs Z score'!F9</f>
        <v/>
      </c>
      <c r="G17">
        <f>'Runs Z score'!G9</f>
        <v/>
      </c>
      <c r="H17">
        <f>VLOOKUP(C17,Recipes!$A$2:$N$4,10,FALSE())</f>
        <v/>
      </c>
      <c r="I17">
        <f>VLOOKUP(C17,Recipes!$A$2:$N$4,12,FALSE())</f>
        <v/>
      </c>
      <c r="J17">
        <f>IF(G17="","",H17-G17)</f>
        <v/>
      </c>
      <c r="K17">
        <f>IF(G17="","",IF(ABS(G17-H17)&lt;=$B$6*I17,"OK","NG"))</f>
        <v/>
      </c>
      <c r="L17">
        <f>IF(K17="","",IF(K17=D17,1,0))</f>
        <v/>
      </c>
      <c r="M17" t="inlineStr">
        <is>
          <t>NONE</t>
        </is>
      </c>
      <c r="N17" s="15" t="n">
        <v>1</v>
      </c>
      <c r="O17" s="15" t="n">
        <v>0</v>
      </c>
      <c r="P17">
        <f>IF(M17="","",IF(M17=E17,1,0))</f>
        <v/>
      </c>
      <c r="Q17">
        <f>IF(K17="OK","-",IF(N17&lt;$B$7,"AMBIGUOUS","CONFIDENT"))</f>
        <v/>
      </c>
    </row>
    <row r="18">
      <c r="A18">
        <f>'Runs Z score'!A10</f>
        <v/>
      </c>
      <c r="B18">
        <f>'Runs Z score'!B10</f>
        <v/>
      </c>
      <c r="C18">
        <f>'Runs Z score'!C10</f>
        <v/>
      </c>
      <c r="D18">
        <f>'Runs Z score'!D10</f>
        <v/>
      </c>
      <c r="E18">
        <f>'Runs Z score'!E10</f>
        <v/>
      </c>
      <c r="F18">
        <f>'Runs Z score'!F10</f>
        <v/>
      </c>
      <c r="G18">
        <f>'Runs Z score'!G10</f>
        <v/>
      </c>
      <c r="H18">
        <f>VLOOKUP(C18,Recipes!$A$2:$N$4,10,FALSE())</f>
        <v/>
      </c>
      <c r="I18">
        <f>VLOOKUP(C18,Recipes!$A$2:$N$4,12,FALSE())</f>
        <v/>
      </c>
      <c r="J18">
        <f>IF(G18="","",H18-G18)</f>
        <v/>
      </c>
      <c r="K18">
        <f>IF(G18="","",IF(ABS(G18-H18)&lt;=$B$6*I18,"OK","NG"))</f>
        <v/>
      </c>
      <c r="L18">
        <f>IF(K18="","",IF(K18=D18,1,0))</f>
        <v/>
      </c>
      <c r="M18" t="inlineStr">
        <is>
          <t>NONE</t>
        </is>
      </c>
      <c r="N18" s="15" t="n">
        <v>1</v>
      </c>
      <c r="O18" s="15" t="n">
        <v>0</v>
      </c>
      <c r="P18">
        <f>IF(M18="","",IF(M18=E18,1,0))</f>
        <v/>
      </c>
      <c r="Q18">
        <f>IF(K18="OK","-",IF(N18&lt;$B$7,"AMBIGUOUS","CONFIDENT"))</f>
        <v/>
      </c>
    </row>
    <row r="19">
      <c r="A19">
        <f>'Runs Z score'!A11</f>
        <v/>
      </c>
      <c r="B19">
        <f>'Runs Z score'!B11</f>
        <v/>
      </c>
      <c r="C19">
        <f>'Runs Z score'!C11</f>
        <v/>
      </c>
      <c r="D19">
        <f>'Runs Z score'!D11</f>
        <v/>
      </c>
      <c r="E19">
        <f>'Runs Z score'!E11</f>
        <v/>
      </c>
      <c r="F19">
        <f>'Runs Z score'!F11</f>
        <v/>
      </c>
      <c r="G19">
        <f>'Runs Z score'!G11</f>
        <v/>
      </c>
      <c r="H19">
        <f>VLOOKUP(C19,Recipes!$A$2:$N$4,10,FALSE())</f>
        <v/>
      </c>
      <c r="I19">
        <f>VLOOKUP(C19,Recipes!$A$2:$N$4,12,FALSE())</f>
        <v/>
      </c>
      <c r="J19">
        <f>IF(G19="","",H19-G19)</f>
        <v/>
      </c>
      <c r="K19">
        <f>IF(G19="","",IF(ABS(G19-H19)&lt;=$B$6*I19,"OK","NG"))</f>
        <v/>
      </c>
      <c r="L19">
        <f>IF(K19="","",IF(K19=D19,1,0))</f>
        <v/>
      </c>
      <c r="M19" t="inlineStr">
        <is>
          <t>NONE</t>
        </is>
      </c>
      <c r="N19" s="15" t="n">
        <v>1</v>
      </c>
      <c r="O19" s="15" t="n">
        <v>0</v>
      </c>
      <c r="P19">
        <f>IF(M19="","",IF(M19=E19,1,0))</f>
        <v/>
      </c>
      <c r="Q19">
        <f>IF(K19="OK","-",IF(N19&lt;$B$7,"AMBIGUOUS","CONFIDENT"))</f>
        <v/>
      </c>
    </row>
    <row r="20">
      <c r="A20">
        <f>'Runs Z score'!A12</f>
        <v/>
      </c>
      <c r="B20">
        <f>'Runs Z score'!B12</f>
        <v/>
      </c>
      <c r="C20">
        <f>'Runs Z score'!C12</f>
        <v/>
      </c>
      <c r="D20">
        <f>'Runs Z score'!D12</f>
        <v/>
      </c>
      <c r="E20">
        <f>'Runs Z score'!E12</f>
        <v/>
      </c>
      <c r="F20">
        <f>'Runs Z score'!F12</f>
        <v/>
      </c>
      <c r="G20">
        <f>'Runs Z score'!G12</f>
        <v/>
      </c>
      <c r="H20">
        <f>VLOOKUP(C20,Recipes!$A$2:$N$4,10,FALSE())</f>
        <v/>
      </c>
      <c r="I20">
        <f>VLOOKUP(C20,Recipes!$A$2:$N$4,12,FALSE())</f>
        <v/>
      </c>
      <c r="J20">
        <f>IF(G20="","",H20-G20)</f>
        <v/>
      </c>
      <c r="K20">
        <f>IF(G20="","",IF(ABS(G20-H20)&lt;=$B$6*I20,"OK","NG"))</f>
        <v/>
      </c>
      <c r="L20">
        <f>IF(K20="","",IF(K20=D20,1,0))</f>
        <v/>
      </c>
      <c r="M20" t="inlineStr">
        <is>
          <t>NONE</t>
        </is>
      </c>
      <c r="N20" s="15" t="n">
        <v>1</v>
      </c>
      <c r="O20" s="15" t="n">
        <v>0</v>
      </c>
      <c r="P20">
        <f>IF(M20="","",IF(M20=E20,1,0))</f>
        <v/>
      </c>
      <c r="Q20">
        <f>IF(K20="OK","-",IF(N20&lt;$B$7,"AMBIGUOUS","CONFIDENT"))</f>
        <v/>
      </c>
    </row>
    <row r="21">
      <c r="A21">
        <f>'Runs Z score'!A13</f>
        <v/>
      </c>
      <c r="B21">
        <f>'Runs Z score'!B13</f>
        <v/>
      </c>
      <c r="C21">
        <f>'Runs Z score'!C13</f>
        <v/>
      </c>
      <c r="D21">
        <f>'Runs Z score'!D13</f>
        <v/>
      </c>
      <c r="E21">
        <f>'Runs Z score'!E13</f>
        <v/>
      </c>
      <c r="F21">
        <f>'Runs Z score'!F13</f>
        <v/>
      </c>
      <c r="G21">
        <f>'Runs Z score'!G13</f>
        <v/>
      </c>
      <c r="H21">
        <f>VLOOKUP(C21,Recipes!$A$2:$N$4,10,FALSE())</f>
        <v/>
      </c>
      <c r="I21">
        <f>VLOOKUP(C21,Recipes!$A$2:$N$4,12,FALSE())</f>
        <v/>
      </c>
      <c r="J21">
        <f>IF(G21="","",H21-G21)</f>
        <v/>
      </c>
      <c r="K21">
        <f>IF(G21="","",IF(ABS(G21-H21)&lt;=$B$6*I21,"OK","NG"))</f>
        <v/>
      </c>
      <c r="L21">
        <f>IF(K21="","",IF(K21=D21,1,0))</f>
        <v/>
      </c>
      <c r="M21" t="inlineStr">
        <is>
          <t>NONE</t>
        </is>
      </c>
      <c r="N21" s="15" t="n">
        <v>1</v>
      </c>
      <c r="O21" s="15" t="n">
        <v>0</v>
      </c>
      <c r="P21">
        <f>IF(M21="","",IF(M21=E21,1,0))</f>
        <v/>
      </c>
      <c r="Q21">
        <f>IF(K21="OK","-",IF(N21&lt;$B$7,"AMBIGUOUS","CONFIDENT"))</f>
        <v/>
      </c>
    </row>
    <row r="22">
      <c r="A22">
        <f>'Runs Z score'!A14</f>
        <v/>
      </c>
      <c r="B22">
        <f>'Runs Z score'!B14</f>
        <v/>
      </c>
      <c r="C22">
        <f>'Runs Z score'!C14</f>
        <v/>
      </c>
      <c r="D22">
        <f>'Runs Z score'!D14</f>
        <v/>
      </c>
      <c r="E22">
        <f>'Runs Z score'!E14</f>
        <v/>
      </c>
      <c r="F22">
        <f>'Runs Z score'!F14</f>
        <v/>
      </c>
      <c r="G22">
        <f>'Runs Z score'!G14</f>
        <v/>
      </c>
      <c r="H22">
        <f>VLOOKUP(C22,Recipes!$A$2:$N$4,10,FALSE())</f>
        <v/>
      </c>
      <c r="I22">
        <f>VLOOKUP(C22,Recipes!$A$2:$N$4,12,FALSE())</f>
        <v/>
      </c>
      <c r="J22">
        <f>IF(G22="","",H22-G22)</f>
        <v/>
      </c>
      <c r="K22">
        <f>IF(G22="","",IF(ABS(G22-H22)&lt;=$B$6*I22,"OK","NG"))</f>
        <v/>
      </c>
      <c r="L22">
        <f>IF(K22="","",IF(K22=D22,1,0))</f>
        <v/>
      </c>
      <c r="M22" t="inlineStr">
        <is>
          <t>NONE</t>
        </is>
      </c>
      <c r="N22" s="15" t="n">
        <v>1</v>
      </c>
      <c r="O22" s="15" t="n">
        <v>0</v>
      </c>
      <c r="P22">
        <f>IF(M22="","",IF(M22=E22,1,0))</f>
        <v/>
      </c>
      <c r="Q22">
        <f>IF(K22="OK","-",IF(N22&lt;$B$7,"AMBIGUOUS","CONFIDENT"))</f>
        <v/>
      </c>
    </row>
    <row r="23">
      <c r="A23">
        <f>'Runs Z score'!A15</f>
        <v/>
      </c>
      <c r="B23">
        <f>'Runs Z score'!B15</f>
        <v/>
      </c>
      <c r="C23">
        <f>'Runs Z score'!C15</f>
        <v/>
      </c>
      <c r="D23">
        <f>'Runs Z score'!D15</f>
        <v/>
      </c>
      <c r="E23">
        <f>'Runs Z score'!E15</f>
        <v/>
      </c>
      <c r="F23">
        <f>'Runs Z score'!F15</f>
        <v/>
      </c>
      <c r="G23">
        <f>'Runs Z score'!G15</f>
        <v/>
      </c>
      <c r="H23">
        <f>VLOOKUP(C23,Recipes!$A$2:$N$4,10,FALSE())</f>
        <v/>
      </c>
      <c r="I23">
        <f>VLOOKUP(C23,Recipes!$A$2:$N$4,12,FALSE())</f>
        <v/>
      </c>
      <c r="J23">
        <f>IF(G23="","",H23-G23)</f>
        <v/>
      </c>
      <c r="K23">
        <f>IF(G23="","",IF(ABS(G23-H23)&lt;=$B$6*I23,"OK","NG"))</f>
        <v/>
      </c>
      <c r="L23">
        <f>IF(K23="","",IF(K23=D23,1,0))</f>
        <v/>
      </c>
      <c r="M23" t="inlineStr">
        <is>
          <t>NONE</t>
        </is>
      </c>
      <c r="N23" s="15" t="n">
        <v>1</v>
      </c>
      <c r="O23" s="15" t="n">
        <v>0</v>
      </c>
      <c r="P23">
        <f>IF(M23="","",IF(M23=E23,1,0))</f>
        <v/>
      </c>
      <c r="Q23">
        <f>IF(K23="OK","-",IF(N23&lt;$B$7,"AMBIGUOUS","CONFIDENT"))</f>
        <v/>
      </c>
    </row>
    <row r="24">
      <c r="A24">
        <f>'Runs Z score'!A16</f>
        <v/>
      </c>
      <c r="B24">
        <f>'Runs Z score'!B16</f>
        <v/>
      </c>
      <c r="C24">
        <f>'Runs Z score'!C16</f>
        <v/>
      </c>
      <c r="D24">
        <f>'Runs Z score'!D16</f>
        <v/>
      </c>
      <c r="E24">
        <f>'Runs Z score'!E16</f>
        <v/>
      </c>
      <c r="F24">
        <f>'Runs Z score'!F16</f>
        <v/>
      </c>
      <c r="G24">
        <f>'Runs Z score'!G16</f>
        <v/>
      </c>
      <c r="H24">
        <f>VLOOKUP(C24,Recipes!$A$2:$N$4,10,FALSE())</f>
        <v/>
      </c>
      <c r="I24">
        <f>VLOOKUP(C24,Recipes!$A$2:$N$4,12,FALSE())</f>
        <v/>
      </c>
      <c r="J24">
        <f>IF(G24="","",H24-G24)</f>
        <v/>
      </c>
      <c r="K24">
        <f>IF(G24="","",IF(ABS(G24-H24)&lt;=$B$6*I24,"OK","NG"))</f>
        <v/>
      </c>
      <c r="L24">
        <f>IF(K24="","",IF(K24=D24,1,0))</f>
        <v/>
      </c>
      <c r="M24" t="inlineStr">
        <is>
          <t>NONE</t>
        </is>
      </c>
      <c r="N24" s="15" t="n">
        <v>1</v>
      </c>
      <c r="O24" s="15" t="n">
        <v>0</v>
      </c>
      <c r="P24">
        <f>IF(M24="","",IF(M24=E24,1,0))</f>
        <v/>
      </c>
      <c r="Q24">
        <f>IF(K24="OK","-",IF(N24&lt;$B$7,"AMBIGUOUS","CONFIDENT"))</f>
        <v/>
      </c>
    </row>
    <row r="25">
      <c r="A25">
        <f>'Runs Z score'!A17</f>
        <v/>
      </c>
      <c r="B25">
        <f>'Runs Z score'!B17</f>
        <v/>
      </c>
      <c r="C25">
        <f>'Runs Z score'!C17</f>
        <v/>
      </c>
      <c r="D25">
        <f>'Runs Z score'!D17</f>
        <v/>
      </c>
      <c r="E25">
        <f>'Runs Z score'!E17</f>
        <v/>
      </c>
      <c r="F25">
        <f>'Runs Z score'!F17</f>
        <v/>
      </c>
      <c r="G25">
        <f>'Runs Z score'!G17</f>
        <v/>
      </c>
      <c r="H25">
        <f>VLOOKUP(C25,Recipes!$A$2:$N$4,10,FALSE())</f>
        <v/>
      </c>
      <c r="I25">
        <f>VLOOKUP(C25,Recipes!$A$2:$N$4,12,FALSE())</f>
        <v/>
      </c>
      <c r="J25">
        <f>IF(G25="","",H25-G25)</f>
        <v/>
      </c>
      <c r="K25">
        <f>IF(G25="","",IF(ABS(G25-H25)&lt;=$B$6*I25,"OK","NG"))</f>
        <v/>
      </c>
      <c r="L25">
        <f>IF(K25="","",IF(K25=D25,1,0))</f>
        <v/>
      </c>
      <c r="M25" t="inlineStr">
        <is>
          <t>NONE</t>
        </is>
      </c>
      <c r="N25" s="15" t="n">
        <v>1</v>
      </c>
      <c r="O25" s="15" t="n">
        <v>0</v>
      </c>
      <c r="P25">
        <f>IF(M25="","",IF(M25=E25,1,0))</f>
        <v/>
      </c>
      <c r="Q25">
        <f>IF(K25="OK","-",IF(N25&lt;$B$7,"AMBIGUOUS","CONFIDENT"))</f>
        <v/>
      </c>
    </row>
    <row r="26">
      <c r="A26">
        <f>'Runs Z score'!A18</f>
        <v/>
      </c>
      <c r="B26">
        <f>'Runs Z score'!B18</f>
        <v/>
      </c>
      <c r="C26">
        <f>'Runs Z score'!C18</f>
        <v/>
      </c>
      <c r="D26">
        <f>'Runs Z score'!D18</f>
        <v/>
      </c>
      <c r="E26">
        <f>'Runs Z score'!E18</f>
        <v/>
      </c>
      <c r="F26">
        <f>'Runs Z score'!F18</f>
        <v/>
      </c>
      <c r="G26">
        <f>'Runs Z score'!G18</f>
        <v/>
      </c>
      <c r="H26">
        <f>VLOOKUP(C26,Recipes!$A$2:$N$4,10,FALSE())</f>
        <v/>
      </c>
      <c r="I26">
        <f>VLOOKUP(C26,Recipes!$A$2:$N$4,12,FALSE())</f>
        <v/>
      </c>
      <c r="J26">
        <f>IF(G26="","",H26-G26)</f>
        <v/>
      </c>
      <c r="K26">
        <f>IF(G26="","",IF(ABS(G26-H26)&lt;=$B$6*I26,"OK","NG"))</f>
        <v/>
      </c>
      <c r="L26">
        <f>IF(K26="","",IF(K26=D26,1,0))</f>
        <v/>
      </c>
      <c r="M26" t="inlineStr">
        <is>
          <t>NONE</t>
        </is>
      </c>
      <c r="N26" s="15" t="n">
        <v>1</v>
      </c>
      <c r="O26" s="15" t="n">
        <v>0</v>
      </c>
      <c r="P26">
        <f>IF(M26="","",IF(M26=E26,1,0))</f>
        <v/>
      </c>
      <c r="Q26">
        <f>IF(K26="OK","-",IF(N26&lt;$B$7,"AMBIGUOUS","CONFIDENT"))</f>
        <v/>
      </c>
    </row>
    <row r="27">
      <c r="A27">
        <f>'Runs Z score'!A19</f>
        <v/>
      </c>
      <c r="B27">
        <f>'Runs Z score'!B19</f>
        <v/>
      </c>
      <c r="C27">
        <f>'Runs Z score'!C19</f>
        <v/>
      </c>
      <c r="D27">
        <f>'Runs Z score'!D19</f>
        <v/>
      </c>
      <c r="E27">
        <f>'Runs Z score'!E19</f>
        <v/>
      </c>
      <c r="F27">
        <f>'Runs Z score'!F19</f>
        <v/>
      </c>
      <c r="G27">
        <f>'Runs Z score'!G19</f>
        <v/>
      </c>
      <c r="H27">
        <f>VLOOKUP(C27,Recipes!$A$2:$N$4,10,FALSE())</f>
        <v/>
      </c>
      <c r="I27">
        <f>VLOOKUP(C27,Recipes!$A$2:$N$4,12,FALSE())</f>
        <v/>
      </c>
      <c r="J27">
        <f>IF(G27="","",H27-G27)</f>
        <v/>
      </c>
      <c r="K27">
        <f>IF(G27="","",IF(ABS(G27-H27)&lt;=$B$6*I27,"OK","NG"))</f>
        <v/>
      </c>
      <c r="L27">
        <f>IF(K27="","",IF(K27=D27,1,0))</f>
        <v/>
      </c>
      <c r="M27" t="inlineStr">
        <is>
          <t>NONE</t>
        </is>
      </c>
      <c r="N27" s="15" t="n">
        <v>1</v>
      </c>
      <c r="O27" s="15" t="n">
        <v>0</v>
      </c>
      <c r="P27">
        <f>IF(M27="","",IF(M27=E27,1,0))</f>
        <v/>
      </c>
      <c r="Q27">
        <f>IF(K27="OK","-",IF(N27&lt;$B$7,"AMBIGUOUS","CONFIDENT"))</f>
        <v/>
      </c>
    </row>
    <row r="28">
      <c r="A28">
        <f>'Runs Z score'!A20</f>
        <v/>
      </c>
      <c r="B28">
        <f>'Runs Z score'!B20</f>
        <v/>
      </c>
      <c r="C28">
        <f>'Runs Z score'!C20</f>
        <v/>
      </c>
      <c r="D28">
        <f>'Runs Z score'!D20</f>
        <v/>
      </c>
      <c r="E28">
        <f>'Runs Z score'!E20</f>
        <v/>
      </c>
      <c r="F28">
        <f>'Runs Z score'!F20</f>
        <v/>
      </c>
      <c r="G28">
        <f>'Runs Z score'!G20</f>
        <v/>
      </c>
      <c r="H28">
        <f>VLOOKUP(C28,Recipes!$A$2:$N$4,10,FALSE())</f>
        <v/>
      </c>
      <c r="I28">
        <f>VLOOKUP(C28,Recipes!$A$2:$N$4,12,FALSE())</f>
        <v/>
      </c>
      <c r="J28">
        <f>IF(G28="","",H28-G28)</f>
        <v/>
      </c>
      <c r="K28">
        <f>IF(G28="","",IF(ABS(G28-H28)&lt;=$B$6*I28,"OK","NG"))</f>
        <v/>
      </c>
      <c r="L28">
        <f>IF(K28="","",IF(K28=D28,1,0))</f>
        <v/>
      </c>
      <c r="M28" t="inlineStr">
        <is>
          <t>NONE</t>
        </is>
      </c>
      <c r="N28" s="15" t="n">
        <v>1</v>
      </c>
      <c r="O28" s="15" t="n">
        <v>0</v>
      </c>
      <c r="P28">
        <f>IF(M28="","",IF(M28=E28,1,0))</f>
        <v/>
      </c>
      <c r="Q28">
        <f>IF(K28="OK","-",IF(N28&lt;$B$7,"AMBIGUOUS","CONFIDENT"))</f>
        <v/>
      </c>
    </row>
    <row r="29">
      <c r="A29">
        <f>'Runs Z score'!A21</f>
        <v/>
      </c>
      <c r="B29">
        <f>'Runs Z score'!B21</f>
        <v/>
      </c>
      <c r="C29">
        <f>'Runs Z score'!C21</f>
        <v/>
      </c>
      <c r="D29">
        <f>'Runs Z score'!D21</f>
        <v/>
      </c>
      <c r="E29">
        <f>'Runs Z score'!E21</f>
        <v/>
      </c>
      <c r="F29">
        <f>'Runs Z score'!F21</f>
        <v/>
      </c>
      <c r="G29">
        <f>'Runs Z score'!G21</f>
        <v/>
      </c>
      <c r="H29">
        <f>VLOOKUP(C29,Recipes!$A$2:$N$4,10,FALSE())</f>
        <v/>
      </c>
      <c r="I29">
        <f>VLOOKUP(C29,Recipes!$A$2:$N$4,12,FALSE())</f>
        <v/>
      </c>
      <c r="J29">
        <f>IF(G29="","",H29-G29)</f>
        <v/>
      </c>
      <c r="K29">
        <f>IF(G29="","",IF(ABS(G29-H29)&lt;=$B$6*I29,"OK","NG"))</f>
        <v/>
      </c>
      <c r="L29">
        <f>IF(K29="","",IF(K29=D29,1,0))</f>
        <v/>
      </c>
      <c r="M29" t="inlineStr">
        <is>
          <t>NONE</t>
        </is>
      </c>
      <c r="N29" s="15" t="n">
        <v>1</v>
      </c>
      <c r="O29" s="15" t="n">
        <v>0</v>
      </c>
      <c r="P29">
        <f>IF(M29="","",IF(M29=E29,1,0))</f>
        <v/>
      </c>
      <c r="Q29">
        <f>IF(K29="OK","-",IF(N29&lt;$B$7,"AMBIGUOUS","CONFIDENT"))</f>
        <v/>
      </c>
    </row>
    <row r="30">
      <c r="A30">
        <f>'Runs Z score'!A22</f>
        <v/>
      </c>
      <c r="B30">
        <f>'Runs Z score'!B22</f>
        <v/>
      </c>
      <c r="C30">
        <f>'Runs Z score'!C22</f>
        <v/>
      </c>
      <c r="D30">
        <f>'Runs Z score'!D22</f>
        <v/>
      </c>
      <c r="E30">
        <f>'Runs Z score'!E22</f>
        <v/>
      </c>
      <c r="F30">
        <f>'Runs Z score'!F22</f>
        <v/>
      </c>
      <c r="G30">
        <f>'Runs Z score'!G22</f>
        <v/>
      </c>
      <c r="H30">
        <f>VLOOKUP(C30,Recipes!$A$2:$N$4,10,FALSE())</f>
        <v/>
      </c>
      <c r="I30">
        <f>VLOOKUP(C30,Recipes!$A$2:$N$4,12,FALSE())</f>
        <v/>
      </c>
      <c r="J30">
        <f>IF(G30="","",H30-G30)</f>
        <v/>
      </c>
      <c r="K30">
        <f>IF(G30="","",IF(ABS(G30-H30)&lt;=$B$6*I30,"OK","NG"))</f>
        <v/>
      </c>
      <c r="L30">
        <f>IF(K30="","",IF(K30=D30,1,0))</f>
        <v/>
      </c>
      <c r="M30" t="inlineStr">
        <is>
          <t>NONE</t>
        </is>
      </c>
      <c r="N30" s="15" t="n">
        <v>1</v>
      </c>
      <c r="O30" s="15" t="n">
        <v>0</v>
      </c>
      <c r="P30">
        <f>IF(M30="","",IF(M30=E30,1,0))</f>
        <v/>
      </c>
      <c r="Q30">
        <f>IF(K30="OK","-",IF(N30&lt;$B$7,"AMBIGUOUS","CONFIDENT"))</f>
        <v/>
      </c>
    </row>
    <row r="31">
      <c r="A31">
        <f>'Runs Z score'!A23</f>
        <v/>
      </c>
      <c r="B31">
        <f>'Runs Z score'!B23</f>
        <v/>
      </c>
      <c r="C31">
        <f>'Runs Z score'!C23</f>
        <v/>
      </c>
      <c r="D31">
        <f>'Runs Z score'!D23</f>
        <v/>
      </c>
      <c r="E31">
        <f>'Runs Z score'!E23</f>
        <v/>
      </c>
      <c r="F31">
        <f>'Runs Z score'!F23</f>
        <v/>
      </c>
      <c r="G31">
        <f>'Runs Z score'!G23</f>
        <v/>
      </c>
      <c r="H31">
        <f>VLOOKUP(C31,Recipes!$A$2:$N$4,10,FALSE())</f>
        <v/>
      </c>
      <c r="I31">
        <f>VLOOKUP(C31,Recipes!$A$2:$N$4,12,FALSE())</f>
        <v/>
      </c>
      <c r="J31">
        <f>IF(G31="","",H31-G31)</f>
        <v/>
      </c>
      <c r="K31">
        <f>IF(G31="","",IF(ABS(G31-H31)&lt;=$B$6*I31,"OK","NG"))</f>
        <v/>
      </c>
      <c r="L31">
        <f>IF(K31="","",IF(K31=D31,1,0))</f>
        <v/>
      </c>
      <c r="M31" t="inlineStr">
        <is>
          <t>NONE</t>
        </is>
      </c>
      <c r="N31" s="15" t="n">
        <v>1</v>
      </c>
      <c r="O31" s="15" t="n">
        <v>0</v>
      </c>
      <c r="P31">
        <f>IF(M31="","",IF(M31=E31,1,0))</f>
        <v/>
      </c>
      <c r="Q31">
        <f>IF(K31="OK","-",IF(N31&lt;$B$7,"AMBIGUOUS","CONFIDENT"))</f>
        <v/>
      </c>
    </row>
    <row r="32">
      <c r="A32">
        <f>'Runs Z score'!A24</f>
        <v/>
      </c>
      <c r="B32">
        <f>'Runs Z score'!B24</f>
        <v/>
      </c>
      <c r="C32">
        <f>'Runs Z score'!C24</f>
        <v/>
      </c>
      <c r="D32">
        <f>'Runs Z score'!D24</f>
        <v/>
      </c>
      <c r="E32">
        <f>'Runs Z score'!E24</f>
        <v/>
      </c>
      <c r="F32">
        <f>'Runs Z score'!F24</f>
        <v/>
      </c>
      <c r="G32">
        <f>'Runs Z score'!G24</f>
        <v/>
      </c>
      <c r="H32">
        <f>VLOOKUP(C32,Recipes!$A$2:$N$4,10,FALSE())</f>
        <v/>
      </c>
      <c r="I32">
        <f>VLOOKUP(C32,Recipes!$A$2:$N$4,12,FALSE())</f>
        <v/>
      </c>
      <c r="J32">
        <f>IF(G32="","",H32-G32)</f>
        <v/>
      </c>
      <c r="K32">
        <f>IF(G32="","",IF(ABS(G32-H32)&lt;=$B$6*I32,"OK","NG"))</f>
        <v/>
      </c>
      <c r="L32">
        <f>IF(K32="","",IF(K32=D32,1,0))</f>
        <v/>
      </c>
      <c r="M32" t="inlineStr">
        <is>
          <t>NONE</t>
        </is>
      </c>
      <c r="N32" s="15" t="n">
        <v>1</v>
      </c>
      <c r="O32" s="15" t="n">
        <v>0</v>
      </c>
      <c r="P32">
        <f>IF(M32="","",IF(M32=E32,1,0))</f>
        <v/>
      </c>
      <c r="Q32">
        <f>IF(K32="OK","-",IF(N32&lt;$B$7,"AMBIGUOUS","CONFIDENT"))</f>
        <v/>
      </c>
    </row>
    <row r="33">
      <c r="A33">
        <f>'Runs Z score'!A25</f>
        <v/>
      </c>
      <c r="B33">
        <f>'Runs Z score'!B25</f>
        <v/>
      </c>
      <c r="C33">
        <f>'Runs Z score'!C25</f>
        <v/>
      </c>
      <c r="D33">
        <f>'Runs Z score'!D25</f>
        <v/>
      </c>
      <c r="E33">
        <f>'Runs Z score'!E25</f>
        <v/>
      </c>
      <c r="F33">
        <f>'Runs Z score'!F25</f>
        <v/>
      </c>
      <c r="G33">
        <f>'Runs Z score'!G25</f>
        <v/>
      </c>
      <c r="H33">
        <f>VLOOKUP(C33,Recipes!$A$2:$N$4,10,FALSE())</f>
        <v/>
      </c>
      <c r="I33">
        <f>VLOOKUP(C33,Recipes!$A$2:$N$4,12,FALSE())</f>
        <v/>
      </c>
      <c r="J33">
        <f>IF(G33="","",H33-G33)</f>
        <v/>
      </c>
      <c r="K33">
        <f>IF(G33="","",IF(ABS(G33-H33)&lt;=$B$6*I33,"OK","NG"))</f>
        <v/>
      </c>
      <c r="L33">
        <f>IF(K33="","",IF(K33=D33,1,0))</f>
        <v/>
      </c>
      <c r="M33" t="inlineStr">
        <is>
          <t>NONE</t>
        </is>
      </c>
      <c r="N33" s="15" t="n">
        <v>1</v>
      </c>
      <c r="O33" s="15" t="n">
        <v>0</v>
      </c>
      <c r="P33">
        <f>IF(M33="","",IF(M33=E33,1,0))</f>
        <v/>
      </c>
      <c r="Q33">
        <f>IF(K33="OK","-",IF(N33&lt;$B$7,"AMBIGUOUS","CONFIDENT"))</f>
        <v/>
      </c>
    </row>
    <row r="34">
      <c r="A34">
        <f>'Runs Z score'!A26</f>
        <v/>
      </c>
      <c r="B34">
        <f>'Runs Z score'!B26</f>
        <v/>
      </c>
      <c r="C34">
        <f>'Runs Z score'!C26</f>
        <v/>
      </c>
      <c r="D34">
        <f>'Runs Z score'!D26</f>
        <v/>
      </c>
      <c r="E34">
        <f>'Runs Z score'!E26</f>
        <v/>
      </c>
      <c r="F34">
        <f>'Runs Z score'!F26</f>
        <v/>
      </c>
      <c r="G34">
        <f>'Runs Z score'!G26</f>
        <v/>
      </c>
      <c r="H34">
        <f>VLOOKUP(C34,Recipes!$A$2:$N$4,10,FALSE())</f>
        <v/>
      </c>
      <c r="I34">
        <f>VLOOKUP(C34,Recipes!$A$2:$N$4,12,FALSE())</f>
        <v/>
      </c>
      <c r="J34">
        <f>IF(G34="","",H34-G34)</f>
        <v/>
      </c>
      <c r="K34">
        <f>IF(G34="","",IF(ABS(G34-H34)&lt;=$B$6*I34,"OK","NG"))</f>
        <v/>
      </c>
      <c r="L34">
        <f>IF(K34="","",IF(K34=D34,1,0))</f>
        <v/>
      </c>
      <c r="M34" t="inlineStr">
        <is>
          <t>NONE</t>
        </is>
      </c>
      <c r="N34" s="15" t="n">
        <v>1</v>
      </c>
      <c r="O34" s="15" t="n">
        <v>0</v>
      </c>
      <c r="P34">
        <f>IF(M34="","",IF(M34=E34,1,0))</f>
        <v/>
      </c>
      <c r="Q34">
        <f>IF(K34="OK","-",IF(N34&lt;$B$7,"AMBIGUOUS","CONFIDENT"))</f>
        <v/>
      </c>
    </row>
    <row r="35">
      <c r="A35">
        <f>'Runs Z score'!A27</f>
        <v/>
      </c>
      <c r="B35">
        <f>'Runs Z score'!B27</f>
        <v/>
      </c>
      <c r="C35">
        <f>'Runs Z score'!C27</f>
        <v/>
      </c>
      <c r="D35">
        <f>'Runs Z score'!D27</f>
        <v/>
      </c>
      <c r="E35">
        <f>'Runs Z score'!E27</f>
        <v/>
      </c>
      <c r="F35">
        <f>'Runs Z score'!F27</f>
        <v/>
      </c>
      <c r="G35">
        <f>'Runs Z score'!G27</f>
        <v/>
      </c>
      <c r="H35">
        <f>VLOOKUP(C35,Recipes!$A$2:$N$4,10,FALSE())</f>
        <v/>
      </c>
      <c r="I35">
        <f>VLOOKUP(C35,Recipes!$A$2:$N$4,12,FALSE())</f>
        <v/>
      </c>
      <c r="J35">
        <f>IF(G35="","",H35-G35)</f>
        <v/>
      </c>
      <c r="K35">
        <f>IF(G35="","",IF(ABS(G35-H35)&lt;=$B$6*I35,"OK","NG"))</f>
        <v/>
      </c>
      <c r="L35">
        <f>IF(K35="","",IF(K35=D35,1,0))</f>
        <v/>
      </c>
      <c r="M35" t="inlineStr">
        <is>
          <t>NONE</t>
        </is>
      </c>
      <c r="N35" s="15" t="n">
        <v>1</v>
      </c>
      <c r="O35" s="15" t="n">
        <v>0</v>
      </c>
      <c r="P35">
        <f>IF(M35="","",IF(M35=E35,1,0))</f>
        <v/>
      </c>
      <c r="Q35">
        <f>IF(K35="OK","-",IF(N35&lt;$B$7,"AMBIGUOUS","CONFIDENT"))</f>
        <v/>
      </c>
    </row>
    <row r="36">
      <c r="A36">
        <f>'Runs Z score'!A28</f>
        <v/>
      </c>
      <c r="B36">
        <f>'Runs Z score'!B28</f>
        <v/>
      </c>
      <c r="C36">
        <f>'Runs Z score'!C28</f>
        <v/>
      </c>
      <c r="D36">
        <f>'Runs Z score'!D28</f>
        <v/>
      </c>
      <c r="E36">
        <f>'Runs Z score'!E28</f>
        <v/>
      </c>
      <c r="F36">
        <f>'Runs Z score'!F28</f>
        <v/>
      </c>
      <c r="G36">
        <f>'Runs Z score'!G28</f>
        <v/>
      </c>
      <c r="H36">
        <f>VLOOKUP(C36,Recipes!$A$2:$N$4,10,FALSE())</f>
        <v/>
      </c>
      <c r="I36">
        <f>VLOOKUP(C36,Recipes!$A$2:$N$4,12,FALSE())</f>
        <v/>
      </c>
      <c r="J36">
        <f>IF(G36="","",H36-G36)</f>
        <v/>
      </c>
      <c r="K36">
        <f>IF(G36="","",IF(ABS(G36-H36)&lt;=$B$6*I36,"OK","NG"))</f>
        <v/>
      </c>
      <c r="L36">
        <f>IF(K36="","",IF(K36=D36,1,0))</f>
        <v/>
      </c>
      <c r="M36" t="inlineStr">
        <is>
          <t>NONE</t>
        </is>
      </c>
      <c r="N36" s="15" t="n">
        <v>1</v>
      </c>
      <c r="O36" s="15" t="n">
        <v>0</v>
      </c>
      <c r="P36">
        <f>IF(M36="","",IF(M36=E36,1,0))</f>
        <v/>
      </c>
      <c r="Q36">
        <f>IF(K36="OK","-",IF(N36&lt;$B$7,"AMBIGUOUS","CONFIDENT"))</f>
        <v/>
      </c>
    </row>
    <row r="37">
      <c r="A37">
        <f>'Runs Z score'!A29</f>
        <v/>
      </c>
      <c r="B37">
        <f>'Runs Z score'!B29</f>
        <v/>
      </c>
      <c r="C37">
        <f>'Runs Z score'!C29</f>
        <v/>
      </c>
      <c r="D37">
        <f>'Runs Z score'!D29</f>
        <v/>
      </c>
      <c r="E37">
        <f>'Runs Z score'!E29</f>
        <v/>
      </c>
      <c r="F37">
        <f>'Runs Z score'!F29</f>
        <v/>
      </c>
      <c r="G37">
        <f>'Runs Z score'!G29</f>
        <v/>
      </c>
      <c r="H37">
        <f>VLOOKUP(C37,Recipes!$A$2:$N$4,10,FALSE())</f>
        <v/>
      </c>
      <c r="I37">
        <f>VLOOKUP(C37,Recipes!$A$2:$N$4,12,FALSE())</f>
        <v/>
      </c>
      <c r="J37">
        <f>IF(G37="","",H37-G37)</f>
        <v/>
      </c>
      <c r="K37">
        <f>IF(G37="","",IF(ABS(G37-H37)&lt;=$B$6*I37,"OK","NG"))</f>
        <v/>
      </c>
      <c r="L37">
        <f>IF(K37="","",IF(K37=D37,1,0))</f>
        <v/>
      </c>
      <c r="M37" t="inlineStr">
        <is>
          <t>NONE</t>
        </is>
      </c>
      <c r="N37" s="15" t="n">
        <v>1</v>
      </c>
      <c r="O37" s="15" t="n">
        <v>0</v>
      </c>
      <c r="P37">
        <f>IF(M37="","",IF(M37=E37,1,0))</f>
        <v/>
      </c>
      <c r="Q37">
        <f>IF(K37="OK","-",IF(N37&lt;$B$7,"AMBIGUOUS","CONFIDENT"))</f>
        <v/>
      </c>
    </row>
    <row r="38">
      <c r="A38">
        <f>'Runs Z score'!A30</f>
        <v/>
      </c>
      <c r="B38">
        <f>'Runs Z score'!B30</f>
        <v/>
      </c>
      <c r="C38">
        <f>'Runs Z score'!C30</f>
        <v/>
      </c>
      <c r="D38">
        <f>'Runs Z score'!D30</f>
        <v/>
      </c>
      <c r="E38">
        <f>'Runs Z score'!E30</f>
        <v/>
      </c>
      <c r="F38">
        <f>'Runs Z score'!F30</f>
        <v/>
      </c>
      <c r="G38">
        <f>'Runs Z score'!G30</f>
        <v/>
      </c>
      <c r="H38">
        <f>VLOOKUP(C38,Recipes!$A$2:$N$4,10,FALSE())</f>
        <v/>
      </c>
      <c r="I38">
        <f>VLOOKUP(C38,Recipes!$A$2:$N$4,12,FALSE())</f>
        <v/>
      </c>
      <c r="J38">
        <f>IF(G38="","",H38-G38)</f>
        <v/>
      </c>
      <c r="K38">
        <f>IF(G38="","",IF(ABS(G38-H38)&lt;=$B$6*I38,"OK","NG"))</f>
        <v/>
      </c>
      <c r="L38">
        <f>IF(K38="","",IF(K38=D38,1,0))</f>
        <v/>
      </c>
      <c r="M38" t="inlineStr">
        <is>
          <t>NONE</t>
        </is>
      </c>
      <c r="N38" s="15" t="n">
        <v>1</v>
      </c>
      <c r="O38" s="15" t="n">
        <v>0</v>
      </c>
      <c r="P38">
        <f>IF(M38="","",IF(M38=E38,1,0))</f>
        <v/>
      </c>
      <c r="Q38">
        <f>IF(K38="OK","-",IF(N38&lt;$B$7,"AMBIGUOUS","CONFIDENT"))</f>
        <v/>
      </c>
    </row>
    <row r="39">
      <c r="A39">
        <f>'Runs Z score'!A31</f>
        <v/>
      </c>
      <c r="B39">
        <f>'Runs Z score'!B31</f>
        <v/>
      </c>
      <c r="C39">
        <f>'Runs Z score'!C31</f>
        <v/>
      </c>
      <c r="D39">
        <f>'Runs Z score'!D31</f>
        <v/>
      </c>
      <c r="E39">
        <f>'Runs Z score'!E31</f>
        <v/>
      </c>
      <c r="F39">
        <f>'Runs Z score'!F31</f>
        <v/>
      </c>
      <c r="G39">
        <f>'Runs Z score'!G31</f>
        <v/>
      </c>
      <c r="H39">
        <f>VLOOKUP(C39,Recipes!$A$2:$N$4,10,FALSE())</f>
        <v/>
      </c>
      <c r="I39">
        <f>VLOOKUP(C39,Recipes!$A$2:$N$4,12,FALSE())</f>
        <v/>
      </c>
      <c r="J39">
        <f>IF(G39="","",H39-G39)</f>
        <v/>
      </c>
      <c r="K39">
        <f>IF(G39="","",IF(ABS(G39-H39)&lt;=$B$6*I39,"OK","NG"))</f>
        <v/>
      </c>
      <c r="L39">
        <f>IF(K39="","",IF(K39=D39,1,0))</f>
        <v/>
      </c>
      <c r="M39" t="inlineStr">
        <is>
          <t>NONE</t>
        </is>
      </c>
      <c r="N39" s="15" t="n">
        <v>1</v>
      </c>
      <c r="O39" s="15" t="n">
        <v>0</v>
      </c>
      <c r="P39">
        <f>IF(M39="","",IF(M39=E39,1,0))</f>
        <v/>
      </c>
      <c r="Q39">
        <f>IF(K39="OK","-",IF(N39&lt;$B$7,"AMBIGUOUS","CONFIDENT"))</f>
        <v/>
      </c>
    </row>
    <row r="40">
      <c r="A40">
        <f>'Runs Z score'!A32</f>
        <v/>
      </c>
      <c r="B40">
        <f>'Runs Z score'!B32</f>
        <v/>
      </c>
      <c r="C40">
        <f>'Runs Z score'!C32</f>
        <v/>
      </c>
      <c r="D40">
        <f>'Runs Z score'!D32</f>
        <v/>
      </c>
      <c r="E40">
        <f>'Runs Z score'!E32</f>
        <v/>
      </c>
      <c r="F40">
        <f>'Runs Z score'!F32</f>
        <v/>
      </c>
      <c r="G40">
        <f>'Runs Z score'!G32</f>
        <v/>
      </c>
      <c r="H40">
        <f>VLOOKUP(C40,Recipes!$A$2:$N$4,10,FALSE())</f>
        <v/>
      </c>
      <c r="I40">
        <f>VLOOKUP(C40,Recipes!$A$2:$N$4,12,FALSE())</f>
        <v/>
      </c>
      <c r="J40">
        <f>IF(G40="","",H40-G40)</f>
        <v/>
      </c>
      <c r="K40">
        <f>IF(G40="","",IF(ABS(G40-H40)&lt;=$B$6*I40,"OK","NG"))</f>
        <v/>
      </c>
      <c r="L40">
        <f>IF(K40="","",IF(K40=D40,1,0))</f>
        <v/>
      </c>
      <c r="M40" t="inlineStr">
        <is>
          <t>NONE</t>
        </is>
      </c>
      <c r="N40" s="15" t="n">
        <v>1</v>
      </c>
      <c r="O40" s="15" t="n">
        <v>0</v>
      </c>
      <c r="P40">
        <f>IF(M40="","",IF(M40=E40,1,0))</f>
        <v/>
      </c>
      <c r="Q40">
        <f>IF(K40="OK","-",IF(N40&lt;$B$7,"AMBIGUOUS","CONFIDENT"))</f>
        <v/>
      </c>
    </row>
    <row r="41">
      <c r="A41">
        <f>'Runs Z score'!A33</f>
        <v/>
      </c>
      <c r="B41">
        <f>'Runs Z score'!B33</f>
        <v/>
      </c>
      <c r="C41">
        <f>'Runs Z score'!C33</f>
        <v/>
      </c>
      <c r="D41">
        <f>'Runs Z score'!D33</f>
        <v/>
      </c>
      <c r="E41">
        <f>'Runs Z score'!E33</f>
        <v/>
      </c>
      <c r="F41">
        <f>'Runs Z score'!F33</f>
        <v/>
      </c>
      <c r="G41">
        <f>'Runs Z score'!G33</f>
        <v/>
      </c>
      <c r="H41">
        <f>VLOOKUP(C41,Recipes!$A$2:$N$4,10,FALSE())</f>
        <v/>
      </c>
      <c r="I41">
        <f>VLOOKUP(C41,Recipes!$A$2:$N$4,12,FALSE())</f>
        <v/>
      </c>
      <c r="J41">
        <f>IF(G41="","",H41-G41)</f>
        <v/>
      </c>
      <c r="K41">
        <f>IF(G41="","",IF(ABS(G41-H41)&lt;=$B$6*I41,"OK","NG"))</f>
        <v/>
      </c>
      <c r="L41">
        <f>IF(K41="","",IF(K41=D41,1,0))</f>
        <v/>
      </c>
      <c r="M41" t="inlineStr">
        <is>
          <t>S2</t>
        </is>
      </c>
      <c r="N41" s="15" t="n">
        <v>1</v>
      </c>
      <c r="O41" s="15" t="n">
        <v>0</v>
      </c>
      <c r="P41">
        <f>IF(M41="","",IF(M41=E41,1,0))</f>
        <v/>
      </c>
      <c r="Q41">
        <f>IF(K41="OK","-",IF(N41&lt;$B$7,"AMBIGUOUS","CONFIDENT"))</f>
        <v/>
      </c>
    </row>
    <row r="42">
      <c r="A42">
        <f>'Runs Z score'!A34</f>
        <v/>
      </c>
      <c r="B42">
        <f>'Runs Z score'!B34</f>
        <v/>
      </c>
      <c r="C42">
        <f>'Runs Z score'!C34</f>
        <v/>
      </c>
      <c r="D42">
        <f>'Runs Z score'!D34</f>
        <v/>
      </c>
      <c r="E42">
        <f>'Runs Z score'!E34</f>
        <v/>
      </c>
      <c r="F42">
        <f>'Runs Z score'!F34</f>
        <v/>
      </c>
      <c r="G42">
        <f>'Runs Z score'!G34</f>
        <v/>
      </c>
      <c r="H42">
        <f>VLOOKUP(C42,Recipes!$A$2:$N$4,10,FALSE())</f>
        <v/>
      </c>
      <c r="I42">
        <f>VLOOKUP(C42,Recipes!$A$2:$N$4,12,FALSE())</f>
        <v/>
      </c>
      <c r="J42">
        <f>IF(G42="","",H42-G42)</f>
        <v/>
      </c>
      <c r="K42">
        <f>IF(G42="","",IF(ABS(G42-H42)&lt;=$B$6*I42,"OK","NG"))</f>
        <v/>
      </c>
      <c r="L42">
        <f>IF(K42="","",IF(K42=D42,1,0))</f>
        <v/>
      </c>
      <c r="M42" t="inlineStr">
        <is>
          <t>S2</t>
        </is>
      </c>
      <c r="N42" s="15" t="n">
        <v>1</v>
      </c>
      <c r="O42" s="15" t="n">
        <v>0</v>
      </c>
      <c r="P42">
        <f>IF(M42="","",IF(M42=E42,1,0))</f>
        <v/>
      </c>
      <c r="Q42">
        <f>IF(K42="OK","-",IF(N42&lt;$B$7,"AMBIGUOUS","CONFIDENT"))</f>
        <v/>
      </c>
    </row>
    <row r="43">
      <c r="A43">
        <f>'Runs Z score'!A35</f>
        <v/>
      </c>
      <c r="B43">
        <f>'Runs Z score'!B35</f>
        <v/>
      </c>
      <c r="C43">
        <f>'Runs Z score'!C35</f>
        <v/>
      </c>
      <c r="D43">
        <f>'Runs Z score'!D35</f>
        <v/>
      </c>
      <c r="E43">
        <f>'Runs Z score'!E35</f>
        <v/>
      </c>
      <c r="F43">
        <f>'Runs Z score'!F35</f>
        <v/>
      </c>
      <c r="G43">
        <f>'Runs Z score'!G35</f>
        <v/>
      </c>
      <c r="H43">
        <f>VLOOKUP(C43,Recipes!$A$2:$N$4,10,FALSE())</f>
        <v/>
      </c>
      <c r="I43">
        <f>VLOOKUP(C43,Recipes!$A$2:$N$4,12,FALSE())</f>
        <v/>
      </c>
      <c r="J43">
        <f>IF(G43="","",H43-G43)</f>
        <v/>
      </c>
      <c r="K43">
        <f>IF(G43="","",IF(ABS(G43-H43)&lt;=$B$6*I43,"OK","NG"))</f>
        <v/>
      </c>
      <c r="L43">
        <f>IF(K43="","",IF(K43=D43,1,0))</f>
        <v/>
      </c>
      <c r="M43" t="inlineStr">
        <is>
          <t>S2</t>
        </is>
      </c>
      <c r="N43" s="15" t="n">
        <v>1</v>
      </c>
      <c r="O43" s="15" t="n">
        <v>0</v>
      </c>
      <c r="P43">
        <f>IF(M43="","",IF(M43=E43,1,0))</f>
        <v/>
      </c>
      <c r="Q43">
        <f>IF(K43="OK","-",IF(N43&lt;$B$7,"AMBIGUOUS","CONFIDENT"))</f>
        <v/>
      </c>
    </row>
    <row r="44">
      <c r="A44">
        <f>'Runs Z score'!A36</f>
        <v/>
      </c>
      <c r="B44">
        <f>'Runs Z score'!B36</f>
        <v/>
      </c>
      <c r="C44">
        <f>'Runs Z score'!C36</f>
        <v/>
      </c>
      <c r="D44">
        <f>'Runs Z score'!D36</f>
        <v/>
      </c>
      <c r="E44">
        <f>'Runs Z score'!E36</f>
        <v/>
      </c>
      <c r="F44">
        <f>'Runs Z score'!F36</f>
        <v/>
      </c>
      <c r="G44">
        <f>'Runs Z score'!G36</f>
        <v/>
      </c>
      <c r="H44">
        <f>VLOOKUP(C44,Recipes!$A$2:$N$4,10,FALSE())</f>
        <v/>
      </c>
      <c r="I44">
        <f>VLOOKUP(C44,Recipes!$A$2:$N$4,12,FALSE())</f>
        <v/>
      </c>
      <c r="J44">
        <f>IF(G44="","",H44-G44)</f>
        <v/>
      </c>
      <c r="K44">
        <f>IF(G44="","",IF(ABS(G44-H44)&lt;=$B$6*I44,"OK","NG"))</f>
        <v/>
      </c>
      <c r="L44">
        <f>IF(K44="","",IF(K44=D44,1,0))</f>
        <v/>
      </c>
      <c r="M44" t="inlineStr">
        <is>
          <t>S2</t>
        </is>
      </c>
      <c r="N44" s="15" t="n">
        <v>1</v>
      </c>
      <c r="O44" s="15" t="n">
        <v>0</v>
      </c>
      <c r="P44">
        <f>IF(M44="","",IF(M44=E44,1,0))</f>
        <v/>
      </c>
      <c r="Q44">
        <f>IF(K44="OK","-",IF(N44&lt;$B$7,"AMBIGUOUS","CONFIDENT"))</f>
        <v/>
      </c>
    </row>
    <row r="45">
      <c r="A45">
        <f>'Runs Z score'!A37</f>
        <v/>
      </c>
      <c r="B45">
        <f>'Runs Z score'!B37</f>
        <v/>
      </c>
      <c r="C45">
        <f>'Runs Z score'!C37</f>
        <v/>
      </c>
      <c r="D45">
        <f>'Runs Z score'!D37</f>
        <v/>
      </c>
      <c r="E45">
        <f>'Runs Z score'!E37</f>
        <v/>
      </c>
      <c r="F45">
        <f>'Runs Z score'!F37</f>
        <v/>
      </c>
      <c r="G45">
        <f>'Runs Z score'!G37</f>
        <v/>
      </c>
      <c r="H45">
        <f>VLOOKUP(C45,Recipes!$A$2:$N$4,10,FALSE())</f>
        <v/>
      </c>
      <c r="I45">
        <f>VLOOKUP(C45,Recipes!$A$2:$N$4,12,FALSE())</f>
        <v/>
      </c>
      <c r="J45">
        <f>IF(G45="","",H45-G45)</f>
        <v/>
      </c>
      <c r="K45">
        <f>IF(G45="","",IF(ABS(G45-H45)&lt;=$B$6*I45,"OK","NG"))</f>
        <v/>
      </c>
      <c r="L45">
        <f>IF(K45="","",IF(K45=D45,1,0))</f>
        <v/>
      </c>
      <c r="M45" t="inlineStr">
        <is>
          <t>S2</t>
        </is>
      </c>
      <c r="N45" s="15" t="n">
        <v>1</v>
      </c>
      <c r="O45" s="15" t="n">
        <v>0</v>
      </c>
      <c r="P45">
        <f>IF(M45="","",IF(M45=E45,1,0))</f>
        <v/>
      </c>
      <c r="Q45">
        <f>IF(K45="OK","-",IF(N45&lt;$B$7,"AMBIGUOUS","CONFIDENT"))</f>
        <v/>
      </c>
    </row>
    <row r="46">
      <c r="A46">
        <f>'Runs Z score'!A38</f>
        <v/>
      </c>
      <c r="B46">
        <f>'Runs Z score'!B38</f>
        <v/>
      </c>
      <c r="C46">
        <f>'Runs Z score'!C38</f>
        <v/>
      </c>
      <c r="D46">
        <f>'Runs Z score'!D38</f>
        <v/>
      </c>
      <c r="E46">
        <f>'Runs Z score'!E38</f>
        <v/>
      </c>
      <c r="F46">
        <f>'Runs Z score'!F38</f>
        <v/>
      </c>
      <c r="G46">
        <f>'Runs Z score'!G38</f>
        <v/>
      </c>
      <c r="H46">
        <f>VLOOKUP(C46,Recipes!$A$2:$N$4,10,FALSE())</f>
        <v/>
      </c>
      <c r="I46">
        <f>VLOOKUP(C46,Recipes!$A$2:$N$4,12,FALSE())</f>
        <v/>
      </c>
      <c r="J46">
        <f>IF(G46="","",H46-G46)</f>
        <v/>
      </c>
      <c r="K46">
        <f>IF(G46="","",IF(ABS(G46-H46)&lt;=$B$6*I46,"OK","NG"))</f>
        <v/>
      </c>
      <c r="L46">
        <f>IF(K46="","",IF(K46=D46,1,0))</f>
        <v/>
      </c>
      <c r="M46" t="inlineStr">
        <is>
          <t>S2</t>
        </is>
      </c>
      <c r="N46" s="15" t="n">
        <v>1</v>
      </c>
      <c r="O46" s="15" t="n">
        <v>0</v>
      </c>
      <c r="P46">
        <f>IF(M46="","",IF(M46=E46,1,0))</f>
        <v/>
      </c>
      <c r="Q46">
        <f>IF(K46="OK","-",IF(N46&lt;$B$7,"AMBIGUOUS","CONFIDENT"))</f>
        <v/>
      </c>
    </row>
    <row r="47">
      <c r="A47">
        <f>'Runs Z score'!A39</f>
        <v/>
      </c>
      <c r="B47">
        <f>'Runs Z score'!B39</f>
        <v/>
      </c>
      <c r="C47">
        <f>'Runs Z score'!C39</f>
        <v/>
      </c>
      <c r="D47">
        <f>'Runs Z score'!D39</f>
        <v/>
      </c>
      <c r="E47">
        <f>'Runs Z score'!E39</f>
        <v/>
      </c>
      <c r="F47">
        <f>'Runs Z score'!F39</f>
        <v/>
      </c>
      <c r="G47">
        <f>'Runs Z score'!G39</f>
        <v/>
      </c>
      <c r="H47">
        <f>VLOOKUP(C47,Recipes!$A$2:$N$4,10,FALSE())</f>
        <v/>
      </c>
      <c r="I47">
        <f>VLOOKUP(C47,Recipes!$A$2:$N$4,12,FALSE())</f>
        <v/>
      </c>
      <c r="J47">
        <f>IF(G47="","",H47-G47)</f>
        <v/>
      </c>
      <c r="K47">
        <f>IF(G47="","",IF(ABS(G47-H47)&lt;=$B$6*I47,"OK","NG"))</f>
        <v/>
      </c>
      <c r="L47">
        <f>IF(K47="","",IF(K47=D47,1,0))</f>
        <v/>
      </c>
      <c r="M47" t="inlineStr">
        <is>
          <t>S2</t>
        </is>
      </c>
      <c r="N47" s="15" t="n">
        <v>1</v>
      </c>
      <c r="O47" s="15" t="n">
        <v>0</v>
      </c>
      <c r="P47">
        <f>IF(M47="","",IF(M47=E47,1,0))</f>
        <v/>
      </c>
      <c r="Q47">
        <f>IF(K47="OK","-",IF(N47&lt;$B$7,"AMBIGUOUS","CONFIDENT"))</f>
        <v/>
      </c>
    </row>
    <row r="48">
      <c r="A48">
        <f>'Runs Z score'!A40</f>
        <v/>
      </c>
      <c r="B48">
        <f>'Runs Z score'!B40</f>
        <v/>
      </c>
      <c r="C48">
        <f>'Runs Z score'!C40</f>
        <v/>
      </c>
      <c r="D48">
        <f>'Runs Z score'!D40</f>
        <v/>
      </c>
      <c r="E48">
        <f>'Runs Z score'!E40</f>
        <v/>
      </c>
      <c r="F48">
        <f>'Runs Z score'!F40</f>
        <v/>
      </c>
      <c r="G48">
        <f>'Runs Z score'!G40</f>
        <v/>
      </c>
      <c r="H48">
        <f>VLOOKUP(C48,Recipes!$A$2:$N$4,10,FALSE())</f>
        <v/>
      </c>
      <c r="I48">
        <f>VLOOKUP(C48,Recipes!$A$2:$N$4,12,FALSE())</f>
        <v/>
      </c>
      <c r="J48">
        <f>IF(G48="","",H48-G48)</f>
        <v/>
      </c>
      <c r="K48">
        <f>IF(G48="","",IF(ABS(G48-H48)&lt;=$B$6*I48,"OK","NG"))</f>
        <v/>
      </c>
      <c r="L48">
        <f>IF(K48="","",IF(K48=D48,1,0))</f>
        <v/>
      </c>
      <c r="M48" t="inlineStr">
        <is>
          <t>S2</t>
        </is>
      </c>
      <c r="N48" s="15" t="n">
        <v>1</v>
      </c>
      <c r="O48" s="15" t="n">
        <v>0</v>
      </c>
      <c r="P48">
        <f>IF(M48="","",IF(M48=E48,1,0))</f>
        <v/>
      </c>
      <c r="Q48">
        <f>IF(K48="OK","-",IF(N48&lt;$B$7,"AMBIGUOUS","CONFIDENT"))</f>
        <v/>
      </c>
    </row>
    <row r="49">
      <c r="A49">
        <f>'Runs Z score'!A41</f>
        <v/>
      </c>
      <c r="B49">
        <f>'Runs Z score'!B41</f>
        <v/>
      </c>
      <c r="C49">
        <f>'Runs Z score'!C41</f>
        <v/>
      </c>
      <c r="D49">
        <f>'Runs Z score'!D41</f>
        <v/>
      </c>
      <c r="E49">
        <f>'Runs Z score'!E41</f>
        <v/>
      </c>
      <c r="F49">
        <f>'Runs Z score'!F41</f>
        <v/>
      </c>
      <c r="G49">
        <f>'Runs Z score'!G41</f>
        <v/>
      </c>
      <c r="H49">
        <f>VLOOKUP(C49,Recipes!$A$2:$N$4,10,FALSE())</f>
        <v/>
      </c>
      <c r="I49">
        <f>VLOOKUP(C49,Recipes!$A$2:$N$4,12,FALSE())</f>
        <v/>
      </c>
      <c r="J49">
        <f>IF(G49="","",H49-G49)</f>
        <v/>
      </c>
      <c r="K49">
        <f>IF(G49="","",IF(ABS(G49-H49)&lt;=$B$6*I49,"OK","NG"))</f>
        <v/>
      </c>
      <c r="L49">
        <f>IF(K49="","",IF(K49=D49,1,0))</f>
        <v/>
      </c>
      <c r="M49" t="inlineStr">
        <is>
          <t>S2</t>
        </is>
      </c>
      <c r="N49" s="15" t="n">
        <v>1</v>
      </c>
      <c r="O49" s="15" t="n">
        <v>0</v>
      </c>
      <c r="P49">
        <f>IF(M49="","",IF(M49=E49,1,0))</f>
        <v/>
      </c>
      <c r="Q49">
        <f>IF(K49="OK","-",IF(N49&lt;$B$7,"AMBIGUOUS","CONFIDENT"))</f>
        <v/>
      </c>
    </row>
    <row r="50">
      <c r="A50">
        <f>'Runs Z score'!A42</f>
        <v/>
      </c>
      <c r="B50">
        <f>'Runs Z score'!B42</f>
        <v/>
      </c>
      <c r="C50">
        <f>'Runs Z score'!C42</f>
        <v/>
      </c>
      <c r="D50">
        <f>'Runs Z score'!D42</f>
        <v/>
      </c>
      <c r="E50">
        <f>'Runs Z score'!E42</f>
        <v/>
      </c>
      <c r="F50">
        <f>'Runs Z score'!F42</f>
        <v/>
      </c>
      <c r="G50">
        <f>'Runs Z score'!G42</f>
        <v/>
      </c>
      <c r="H50">
        <f>VLOOKUP(C50,Recipes!$A$2:$N$4,10,FALSE())</f>
        <v/>
      </c>
      <c r="I50">
        <f>VLOOKUP(C50,Recipes!$A$2:$N$4,12,FALSE())</f>
        <v/>
      </c>
      <c r="J50">
        <f>IF(G50="","",H50-G50)</f>
        <v/>
      </c>
      <c r="K50">
        <f>IF(G50="","",IF(ABS(G50-H50)&lt;=$B$6*I50,"OK","NG"))</f>
        <v/>
      </c>
      <c r="L50">
        <f>IF(K50="","",IF(K50=D50,1,0))</f>
        <v/>
      </c>
      <c r="M50" t="inlineStr">
        <is>
          <t>S2</t>
        </is>
      </c>
      <c r="N50" s="15" t="n">
        <v>1</v>
      </c>
      <c r="O50" s="15" t="n">
        <v>0</v>
      </c>
      <c r="P50">
        <f>IF(M50="","",IF(M50=E50,1,0))</f>
        <v/>
      </c>
      <c r="Q50">
        <f>IF(K50="OK","-",IF(N50&lt;$B$7,"AMBIGUOUS","CONFIDENT"))</f>
        <v/>
      </c>
    </row>
    <row r="51">
      <c r="A51">
        <f>'Runs Z score'!A43</f>
        <v/>
      </c>
      <c r="B51">
        <f>'Runs Z score'!B43</f>
        <v/>
      </c>
      <c r="C51">
        <f>'Runs Z score'!C43</f>
        <v/>
      </c>
      <c r="D51">
        <f>'Runs Z score'!D43</f>
        <v/>
      </c>
      <c r="E51">
        <f>'Runs Z score'!E43</f>
        <v/>
      </c>
      <c r="F51">
        <f>'Runs Z score'!F43</f>
        <v/>
      </c>
      <c r="G51">
        <f>'Runs Z score'!G43</f>
        <v/>
      </c>
      <c r="H51">
        <f>VLOOKUP(C51,Recipes!$A$2:$N$4,10,FALSE())</f>
        <v/>
      </c>
      <c r="I51">
        <f>VLOOKUP(C51,Recipes!$A$2:$N$4,12,FALSE())</f>
        <v/>
      </c>
      <c r="J51">
        <f>IF(G51="","",H51-G51)</f>
        <v/>
      </c>
      <c r="K51">
        <f>IF(G51="","",IF(ABS(G51-H51)&lt;=$B$6*I51,"OK","NG"))</f>
        <v/>
      </c>
      <c r="L51">
        <f>IF(K51="","",IF(K51=D51,1,0))</f>
        <v/>
      </c>
      <c r="M51" t="inlineStr">
        <is>
          <t>S2</t>
        </is>
      </c>
      <c r="N51" s="15" t="n">
        <v>1</v>
      </c>
      <c r="O51" s="15" t="n">
        <v>0</v>
      </c>
      <c r="P51">
        <f>IF(M51="","",IF(M51=E51,1,0))</f>
        <v/>
      </c>
      <c r="Q51">
        <f>IF(K51="OK","-",IF(N51&lt;$B$7,"AMBIGUOUS","CONFIDENT"))</f>
        <v/>
      </c>
    </row>
    <row r="52">
      <c r="A52">
        <f>'Runs Z score'!A44</f>
        <v/>
      </c>
      <c r="B52">
        <f>'Runs Z score'!B44</f>
        <v/>
      </c>
      <c r="C52">
        <f>'Runs Z score'!C44</f>
        <v/>
      </c>
      <c r="D52">
        <f>'Runs Z score'!D44</f>
        <v/>
      </c>
      <c r="E52">
        <f>'Runs Z score'!E44</f>
        <v/>
      </c>
      <c r="F52">
        <f>'Runs Z score'!F44</f>
        <v/>
      </c>
      <c r="G52">
        <f>'Runs Z score'!G44</f>
        <v/>
      </c>
      <c r="H52">
        <f>VLOOKUP(C52,Recipes!$A$2:$N$4,10,FALSE())</f>
        <v/>
      </c>
      <c r="I52">
        <f>VLOOKUP(C52,Recipes!$A$2:$N$4,12,FALSE())</f>
        <v/>
      </c>
      <c r="J52">
        <f>IF(G52="","",H52-G52)</f>
        <v/>
      </c>
      <c r="K52">
        <f>IF(G52="","",IF(ABS(G52-H52)&lt;=$B$6*I52,"OK","NG"))</f>
        <v/>
      </c>
      <c r="L52">
        <f>IF(K52="","",IF(K52=D52,1,0))</f>
        <v/>
      </c>
      <c r="M52" t="inlineStr">
        <is>
          <t>S2</t>
        </is>
      </c>
      <c r="N52" s="15" t="n">
        <v>1</v>
      </c>
      <c r="O52" s="15" t="n">
        <v>0</v>
      </c>
      <c r="P52">
        <f>IF(M52="","",IF(M52=E52,1,0))</f>
        <v/>
      </c>
      <c r="Q52">
        <f>IF(K52="OK","-",IF(N52&lt;$B$7,"AMBIGUOUS","CONFIDENT"))</f>
        <v/>
      </c>
    </row>
    <row r="53">
      <c r="A53">
        <f>'Runs Z score'!A45</f>
        <v/>
      </c>
      <c r="B53">
        <f>'Runs Z score'!B45</f>
        <v/>
      </c>
      <c r="C53">
        <f>'Runs Z score'!C45</f>
        <v/>
      </c>
      <c r="D53">
        <f>'Runs Z score'!D45</f>
        <v/>
      </c>
      <c r="E53">
        <f>'Runs Z score'!E45</f>
        <v/>
      </c>
      <c r="F53">
        <f>'Runs Z score'!F45</f>
        <v/>
      </c>
      <c r="G53">
        <f>'Runs Z score'!G45</f>
        <v/>
      </c>
      <c r="H53">
        <f>VLOOKUP(C53,Recipes!$A$2:$N$4,10,FALSE())</f>
        <v/>
      </c>
      <c r="I53">
        <f>VLOOKUP(C53,Recipes!$A$2:$N$4,12,FALSE())</f>
        <v/>
      </c>
      <c r="J53">
        <f>IF(G53="","",H53-G53)</f>
        <v/>
      </c>
      <c r="K53">
        <f>IF(G53="","",IF(ABS(G53-H53)&lt;=$B$6*I53,"OK","NG"))</f>
        <v/>
      </c>
      <c r="L53">
        <f>IF(K53="","",IF(K53=D53,1,0))</f>
        <v/>
      </c>
      <c r="M53" t="inlineStr">
        <is>
          <t>S2</t>
        </is>
      </c>
      <c r="N53" s="15" t="n">
        <v>1</v>
      </c>
      <c r="O53" s="15" t="n">
        <v>0</v>
      </c>
      <c r="P53">
        <f>IF(M53="","",IF(M53=E53,1,0))</f>
        <v/>
      </c>
      <c r="Q53">
        <f>IF(K53="OK","-",IF(N53&lt;$B$7,"AMBIGUOUS","CONFIDENT"))</f>
        <v/>
      </c>
    </row>
    <row r="54">
      <c r="A54">
        <f>'Runs Z score'!A46</f>
        <v/>
      </c>
      <c r="B54">
        <f>'Runs Z score'!B46</f>
        <v/>
      </c>
      <c r="C54">
        <f>'Runs Z score'!C46</f>
        <v/>
      </c>
      <c r="D54">
        <f>'Runs Z score'!D46</f>
        <v/>
      </c>
      <c r="E54">
        <f>'Runs Z score'!E46</f>
        <v/>
      </c>
      <c r="F54">
        <f>'Runs Z score'!F46</f>
        <v/>
      </c>
      <c r="G54">
        <f>'Runs Z score'!G46</f>
        <v/>
      </c>
      <c r="H54">
        <f>VLOOKUP(C54,Recipes!$A$2:$N$4,10,FALSE())</f>
        <v/>
      </c>
      <c r="I54">
        <f>VLOOKUP(C54,Recipes!$A$2:$N$4,12,FALSE())</f>
        <v/>
      </c>
      <c r="J54">
        <f>IF(G54="","",H54-G54)</f>
        <v/>
      </c>
      <c r="K54">
        <f>IF(G54="","",IF(ABS(G54-H54)&lt;=$B$6*I54,"OK","NG"))</f>
        <v/>
      </c>
      <c r="L54">
        <f>IF(K54="","",IF(K54=D54,1,0))</f>
        <v/>
      </c>
      <c r="M54" t="inlineStr">
        <is>
          <t>S2</t>
        </is>
      </c>
      <c r="N54" s="15" t="n">
        <v>1</v>
      </c>
      <c r="O54" s="15" t="n">
        <v>0</v>
      </c>
      <c r="P54">
        <f>IF(M54="","",IF(M54=E54,1,0))</f>
        <v/>
      </c>
      <c r="Q54">
        <f>IF(K54="OK","-",IF(N54&lt;$B$7,"AMBIGUOUS","CONFIDENT"))</f>
        <v/>
      </c>
    </row>
    <row r="55">
      <c r="A55">
        <f>'Runs Z score'!A47</f>
        <v/>
      </c>
      <c r="B55">
        <f>'Runs Z score'!B47</f>
        <v/>
      </c>
      <c r="C55">
        <f>'Runs Z score'!C47</f>
        <v/>
      </c>
      <c r="D55">
        <f>'Runs Z score'!D47</f>
        <v/>
      </c>
      <c r="E55">
        <f>'Runs Z score'!E47</f>
        <v/>
      </c>
      <c r="F55">
        <f>'Runs Z score'!F47</f>
        <v/>
      </c>
      <c r="G55">
        <f>'Runs Z score'!G47</f>
        <v/>
      </c>
      <c r="H55">
        <f>VLOOKUP(C55,Recipes!$A$2:$N$4,10,FALSE())</f>
        <v/>
      </c>
      <c r="I55">
        <f>VLOOKUP(C55,Recipes!$A$2:$N$4,12,FALSE())</f>
        <v/>
      </c>
      <c r="J55">
        <f>IF(G55="","",H55-G55)</f>
        <v/>
      </c>
      <c r="K55">
        <f>IF(G55="","",IF(ABS(G55-H55)&lt;=$B$6*I55,"OK","NG"))</f>
        <v/>
      </c>
      <c r="L55">
        <f>IF(K55="","",IF(K55=D55,1,0))</f>
        <v/>
      </c>
      <c r="M55" t="inlineStr">
        <is>
          <t>S2</t>
        </is>
      </c>
      <c r="N55" s="15" t="n">
        <v>1</v>
      </c>
      <c r="O55" s="15" t="n">
        <v>0</v>
      </c>
      <c r="P55">
        <f>IF(M55="","",IF(M55=E55,1,0))</f>
        <v/>
      </c>
      <c r="Q55">
        <f>IF(K55="OK","-",IF(N55&lt;$B$7,"AMBIGUOUS","CONFIDENT"))</f>
        <v/>
      </c>
    </row>
    <row r="56">
      <c r="A56">
        <f>'Runs Z score'!A48</f>
        <v/>
      </c>
      <c r="B56">
        <f>'Runs Z score'!B48</f>
        <v/>
      </c>
      <c r="C56">
        <f>'Runs Z score'!C48</f>
        <v/>
      </c>
      <c r="D56">
        <f>'Runs Z score'!D48</f>
        <v/>
      </c>
      <c r="E56">
        <f>'Runs Z score'!E48</f>
        <v/>
      </c>
      <c r="F56">
        <f>'Runs Z score'!F48</f>
        <v/>
      </c>
      <c r="G56">
        <f>'Runs Z score'!G48</f>
        <v/>
      </c>
      <c r="H56">
        <f>VLOOKUP(C56,Recipes!$A$2:$N$4,10,FALSE())</f>
        <v/>
      </c>
      <c r="I56">
        <f>VLOOKUP(C56,Recipes!$A$2:$N$4,12,FALSE())</f>
        <v/>
      </c>
      <c r="J56">
        <f>IF(G56="","",H56-G56)</f>
        <v/>
      </c>
      <c r="K56">
        <f>IF(G56="","",IF(ABS(G56-H56)&lt;=$B$6*I56,"OK","NG"))</f>
        <v/>
      </c>
      <c r="L56">
        <f>IF(K56="","",IF(K56=D56,1,0))</f>
        <v/>
      </c>
      <c r="M56" t="inlineStr">
        <is>
          <t>S2</t>
        </is>
      </c>
      <c r="N56" s="15" t="n">
        <v>1</v>
      </c>
      <c r="O56" s="15" t="n">
        <v>0</v>
      </c>
      <c r="P56">
        <f>IF(M56="","",IF(M56=E56,1,0))</f>
        <v/>
      </c>
      <c r="Q56">
        <f>IF(K56="OK","-",IF(N56&lt;$B$7,"AMBIGUOUS","CONFIDENT"))</f>
        <v/>
      </c>
    </row>
    <row r="57">
      <c r="A57">
        <f>'Runs Z score'!A49</f>
        <v/>
      </c>
      <c r="B57">
        <f>'Runs Z score'!B49</f>
        <v/>
      </c>
      <c r="C57">
        <f>'Runs Z score'!C49</f>
        <v/>
      </c>
      <c r="D57">
        <f>'Runs Z score'!D49</f>
        <v/>
      </c>
      <c r="E57">
        <f>'Runs Z score'!E49</f>
        <v/>
      </c>
      <c r="F57">
        <f>'Runs Z score'!F49</f>
        <v/>
      </c>
      <c r="G57">
        <f>'Runs Z score'!G49</f>
        <v/>
      </c>
      <c r="H57">
        <f>VLOOKUP(C57,Recipes!$A$2:$N$4,10,FALSE())</f>
        <v/>
      </c>
      <c r="I57">
        <f>VLOOKUP(C57,Recipes!$A$2:$N$4,12,FALSE())</f>
        <v/>
      </c>
      <c r="J57">
        <f>IF(G57="","",H57-G57)</f>
        <v/>
      </c>
      <c r="K57">
        <f>IF(G57="","",IF(ABS(G57-H57)&lt;=$B$6*I57,"OK","NG"))</f>
        <v/>
      </c>
      <c r="L57">
        <f>IF(K57="","",IF(K57=D57,1,0))</f>
        <v/>
      </c>
      <c r="M57" t="inlineStr">
        <is>
          <t>S2</t>
        </is>
      </c>
      <c r="N57" s="15" t="n">
        <v>1</v>
      </c>
      <c r="O57" s="15" t="n">
        <v>0</v>
      </c>
      <c r="P57">
        <f>IF(M57="","",IF(M57=E57,1,0))</f>
        <v/>
      </c>
      <c r="Q57">
        <f>IF(K57="OK","-",IF(N57&lt;$B$7,"AMBIGUOUS","CONFIDENT"))</f>
        <v/>
      </c>
    </row>
    <row r="58">
      <c r="A58">
        <f>'Runs Z score'!A50</f>
        <v/>
      </c>
      <c r="B58">
        <f>'Runs Z score'!B50</f>
        <v/>
      </c>
      <c r="C58">
        <f>'Runs Z score'!C50</f>
        <v/>
      </c>
      <c r="D58">
        <f>'Runs Z score'!D50</f>
        <v/>
      </c>
      <c r="E58">
        <f>'Runs Z score'!E50</f>
        <v/>
      </c>
      <c r="F58">
        <f>'Runs Z score'!F50</f>
        <v/>
      </c>
      <c r="G58">
        <f>'Runs Z score'!G50</f>
        <v/>
      </c>
      <c r="H58">
        <f>VLOOKUP(C58,Recipes!$A$2:$N$4,10,FALSE())</f>
        <v/>
      </c>
      <c r="I58">
        <f>VLOOKUP(C58,Recipes!$A$2:$N$4,12,FALSE())</f>
        <v/>
      </c>
      <c r="J58">
        <f>IF(G58="","",H58-G58)</f>
        <v/>
      </c>
      <c r="K58">
        <f>IF(G58="","",IF(ABS(G58-H58)&lt;=$B$6*I58,"OK","NG"))</f>
        <v/>
      </c>
      <c r="L58">
        <f>IF(K58="","",IF(K58=D58,1,0))</f>
        <v/>
      </c>
      <c r="M58" t="inlineStr">
        <is>
          <t>S2</t>
        </is>
      </c>
      <c r="N58" s="15" t="n">
        <v>1</v>
      </c>
      <c r="O58" s="15" t="n">
        <v>0</v>
      </c>
      <c r="P58">
        <f>IF(M58="","",IF(M58=E58,1,0))</f>
        <v/>
      </c>
      <c r="Q58">
        <f>IF(K58="OK","-",IF(N58&lt;$B$7,"AMBIGUOUS","CONFIDENT"))</f>
        <v/>
      </c>
    </row>
    <row r="59">
      <c r="A59">
        <f>'Runs Z score'!A51</f>
        <v/>
      </c>
      <c r="B59">
        <f>'Runs Z score'!B51</f>
        <v/>
      </c>
      <c r="C59">
        <f>'Runs Z score'!C51</f>
        <v/>
      </c>
      <c r="D59">
        <f>'Runs Z score'!D51</f>
        <v/>
      </c>
      <c r="E59">
        <f>'Runs Z score'!E51</f>
        <v/>
      </c>
      <c r="F59">
        <f>'Runs Z score'!F51</f>
        <v/>
      </c>
      <c r="G59">
        <f>'Runs Z score'!G51</f>
        <v/>
      </c>
      <c r="H59">
        <f>VLOOKUP(C59,Recipes!$A$2:$N$4,10,FALSE())</f>
        <v/>
      </c>
      <c r="I59">
        <f>VLOOKUP(C59,Recipes!$A$2:$N$4,12,FALSE())</f>
        <v/>
      </c>
      <c r="J59">
        <f>IF(G59="","",H59-G59)</f>
        <v/>
      </c>
      <c r="K59">
        <f>IF(G59="","",IF(ABS(G59-H59)&lt;=$B$6*I59,"OK","NG"))</f>
        <v/>
      </c>
      <c r="L59">
        <f>IF(K59="","",IF(K59=D59,1,0))</f>
        <v/>
      </c>
      <c r="M59" t="inlineStr">
        <is>
          <t>S2</t>
        </is>
      </c>
      <c r="N59" s="15" t="n">
        <v>1</v>
      </c>
      <c r="O59" s="15" t="n">
        <v>0</v>
      </c>
      <c r="P59">
        <f>IF(M59="","",IF(M59=E59,1,0))</f>
        <v/>
      </c>
      <c r="Q59">
        <f>IF(K59="OK","-",IF(N59&lt;$B$7,"AMBIGUOUS","CONFIDENT"))</f>
        <v/>
      </c>
    </row>
    <row r="60">
      <c r="A60">
        <f>'Runs Z score'!A52</f>
        <v/>
      </c>
      <c r="B60">
        <f>'Runs Z score'!B52</f>
        <v/>
      </c>
      <c r="C60">
        <f>'Runs Z score'!C52</f>
        <v/>
      </c>
      <c r="D60">
        <f>'Runs Z score'!D52</f>
        <v/>
      </c>
      <c r="E60">
        <f>'Runs Z score'!E52</f>
        <v/>
      </c>
      <c r="F60">
        <f>'Runs Z score'!F52</f>
        <v/>
      </c>
      <c r="G60">
        <f>'Runs Z score'!G52</f>
        <v/>
      </c>
      <c r="H60">
        <f>VLOOKUP(C60,Recipes!$A$2:$N$4,10,FALSE())</f>
        <v/>
      </c>
      <c r="I60">
        <f>VLOOKUP(C60,Recipes!$A$2:$N$4,12,FALSE())</f>
        <v/>
      </c>
      <c r="J60">
        <f>IF(G60="","",H60-G60)</f>
        <v/>
      </c>
      <c r="K60">
        <f>IF(G60="","",IF(ABS(G60-H60)&lt;=$B$6*I60,"OK","NG"))</f>
        <v/>
      </c>
      <c r="L60">
        <f>IF(K60="","",IF(K60=D60,1,0))</f>
        <v/>
      </c>
      <c r="M60" t="inlineStr">
        <is>
          <t>S2</t>
        </is>
      </c>
      <c r="N60" s="15" t="n">
        <v>1</v>
      </c>
      <c r="O60" s="15" t="n">
        <v>0</v>
      </c>
      <c r="P60">
        <f>IF(M60="","",IF(M60=E60,1,0))</f>
        <v/>
      </c>
      <c r="Q60">
        <f>IF(K60="OK","-",IF(N60&lt;$B$7,"AMBIGUOUS","CONFIDENT"))</f>
        <v/>
      </c>
    </row>
    <row r="61">
      <c r="A61">
        <f>'Runs Z score'!A53</f>
        <v/>
      </c>
      <c r="B61">
        <f>'Runs Z score'!B53</f>
        <v/>
      </c>
      <c r="C61">
        <f>'Runs Z score'!C53</f>
        <v/>
      </c>
      <c r="D61">
        <f>'Runs Z score'!D53</f>
        <v/>
      </c>
      <c r="E61">
        <f>'Runs Z score'!E53</f>
        <v/>
      </c>
      <c r="F61">
        <f>'Runs Z score'!F53</f>
        <v/>
      </c>
      <c r="G61">
        <f>'Runs Z score'!G53</f>
        <v/>
      </c>
      <c r="H61">
        <f>VLOOKUP(C61,Recipes!$A$2:$N$4,10,FALSE())</f>
        <v/>
      </c>
      <c r="I61">
        <f>VLOOKUP(C61,Recipes!$A$2:$N$4,12,FALSE())</f>
        <v/>
      </c>
      <c r="J61">
        <f>IF(G61="","",H61-G61)</f>
        <v/>
      </c>
      <c r="K61">
        <f>IF(G61="","",IF(ABS(G61-H61)&lt;=$B$6*I61,"OK","NG"))</f>
        <v/>
      </c>
      <c r="L61">
        <f>IF(K61="","",IF(K61=D61,1,0))</f>
        <v/>
      </c>
      <c r="M61" t="inlineStr">
        <is>
          <t>S2</t>
        </is>
      </c>
      <c r="N61" s="15" t="n">
        <v>1</v>
      </c>
      <c r="O61" s="15" t="n">
        <v>0</v>
      </c>
      <c r="P61">
        <f>IF(M61="","",IF(M61=E61,1,0))</f>
        <v/>
      </c>
      <c r="Q61">
        <f>IF(K61="OK","-",IF(N61&lt;$B$7,"AMBIGUOUS","CONFIDENT"))</f>
        <v/>
      </c>
    </row>
    <row r="62">
      <c r="A62">
        <f>'Runs Z score'!A54</f>
        <v/>
      </c>
      <c r="B62">
        <f>'Runs Z score'!B54</f>
        <v/>
      </c>
      <c r="C62">
        <f>'Runs Z score'!C54</f>
        <v/>
      </c>
      <c r="D62">
        <f>'Runs Z score'!D54</f>
        <v/>
      </c>
      <c r="E62">
        <f>'Runs Z score'!E54</f>
        <v/>
      </c>
      <c r="F62">
        <f>'Runs Z score'!F54</f>
        <v/>
      </c>
      <c r="G62">
        <f>'Runs Z score'!G54</f>
        <v/>
      </c>
      <c r="H62">
        <f>VLOOKUP(C62,Recipes!$A$2:$N$4,10,FALSE())</f>
        <v/>
      </c>
      <c r="I62">
        <f>VLOOKUP(C62,Recipes!$A$2:$N$4,12,FALSE())</f>
        <v/>
      </c>
      <c r="J62">
        <f>IF(G62="","",H62-G62)</f>
        <v/>
      </c>
      <c r="K62">
        <f>IF(G62="","",IF(ABS(G62-H62)&lt;=$B$6*I62,"OK","NG"))</f>
        <v/>
      </c>
      <c r="L62">
        <f>IF(K62="","",IF(K62=D62,1,0))</f>
        <v/>
      </c>
      <c r="M62" t="inlineStr">
        <is>
          <t>S2</t>
        </is>
      </c>
      <c r="N62" s="15" t="n">
        <v>1</v>
      </c>
      <c r="O62" s="15" t="n">
        <v>0</v>
      </c>
      <c r="P62">
        <f>IF(M62="","",IF(M62=E62,1,0))</f>
        <v/>
      </c>
      <c r="Q62">
        <f>IF(K62="OK","-",IF(N62&lt;$B$7,"AMBIGUOUS","CONFIDENT"))</f>
        <v/>
      </c>
    </row>
    <row r="63">
      <c r="A63">
        <f>'Runs Z score'!A55</f>
        <v/>
      </c>
      <c r="B63">
        <f>'Runs Z score'!B55</f>
        <v/>
      </c>
      <c r="C63">
        <f>'Runs Z score'!C55</f>
        <v/>
      </c>
      <c r="D63">
        <f>'Runs Z score'!D55</f>
        <v/>
      </c>
      <c r="E63">
        <f>'Runs Z score'!E55</f>
        <v/>
      </c>
      <c r="F63">
        <f>'Runs Z score'!F55</f>
        <v/>
      </c>
      <c r="G63">
        <f>'Runs Z score'!G55</f>
        <v/>
      </c>
      <c r="H63">
        <f>VLOOKUP(C63,Recipes!$A$2:$N$4,10,FALSE())</f>
        <v/>
      </c>
      <c r="I63">
        <f>VLOOKUP(C63,Recipes!$A$2:$N$4,12,FALSE())</f>
        <v/>
      </c>
      <c r="J63">
        <f>IF(G63="","",H63-G63)</f>
        <v/>
      </c>
      <c r="K63">
        <f>IF(G63="","",IF(ABS(G63-H63)&lt;=$B$6*I63,"OK","NG"))</f>
        <v/>
      </c>
      <c r="L63">
        <f>IF(K63="","",IF(K63=D63,1,0))</f>
        <v/>
      </c>
      <c r="M63" t="inlineStr">
        <is>
          <t>S2</t>
        </is>
      </c>
      <c r="N63" s="15" t="n">
        <v>1</v>
      </c>
      <c r="O63" s="15" t="n">
        <v>0</v>
      </c>
      <c r="P63">
        <f>IF(M63="","",IF(M63=E63,1,0))</f>
        <v/>
      </c>
      <c r="Q63">
        <f>IF(K63="OK","-",IF(N63&lt;$B$7,"AMBIGUOUS","CONFIDENT"))</f>
        <v/>
      </c>
    </row>
    <row r="64">
      <c r="A64">
        <f>'Runs Z score'!A56</f>
        <v/>
      </c>
      <c r="B64">
        <f>'Runs Z score'!B56</f>
        <v/>
      </c>
      <c r="C64">
        <f>'Runs Z score'!C56</f>
        <v/>
      </c>
      <c r="D64">
        <f>'Runs Z score'!D56</f>
        <v/>
      </c>
      <c r="E64">
        <f>'Runs Z score'!E56</f>
        <v/>
      </c>
      <c r="F64">
        <f>'Runs Z score'!F56</f>
        <v/>
      </c>
      <c r="G64">
        <f>'Runs Z score'!G56</f>
        <v/>
      </c>
      <c r="H64">
        <f>VLOOKUP(C64,Recipes!$A$2:$N$4,10,FALSE())</f>
        <v/>
      </c>
      <c r="I64">
        <f>VLOOKUP(C64,Recipes!$A$2:$N$4,12,FALSE())</f>
        <v/>
      </c>
      <c r="J64">
        <f>IF(G64="","",H64-G64)</f>
        <v/>
      </c>
      <c r="K64">
        <f>IF(G64="","",IF(ABS(G64-H64)&lt;=$B$6*I64,"OK","NG"))</f>
        <v/>
      </c>
      <c r="L64">
        <f>IF(K64="","",IF(K64=D64,1,0))</f>
        <v/>
      </c>
      <c r="M64" t="inlineStr">
        <is>
          <t>S2</t>
        </is>
      </c>
      <c r="N64" s="15" t="n">
        <v>1</v>
      </c>
      <c r="O64" s="15" t="n">
        <v>0</v>
      </c>
      <c r="P64">
        <f>IF(M64="","",IF(M64=E64,1,0))</f>
        <v/>
      </c>
      <c r="Q64">
        <f>IF(K64="OK","-",IF(N64&lt;$B$7,"AMBIGUOUS","CONFIDENT"))</f>
        <v/>
      </c>
    </row>
    <row r="65">
      <c r="A65">
        <f>'Runs Z score'!A57</f>
        <v/>
      </c>
      <c r="B65">
        <f>'Runs Z score'!B57</f>
        <v/>
      </c>
      <c r="C65">
        <f>'Runs Z score'!C57</f>
        <v/>
      </c>
      <c r="D65">
        <f>'Runs Z score'!D57</f>
        <v/>
      </c>
      <c r="E65">
        <f>'Runs Z score'!E57</f>
        <v/>
      </c>
      <c r="F65">
        <f>'Runs Z score'!F57</f>
        <v/>
      </c>
      <c r="G65">
        <f>'Runs Z score'!G57</f>
        <v/>
      </c>
      <c r="H65">
        <f>VLOOKUP(C65,Recipes!$A$2:$N$4,10,FALSE())</f>
        <v/>
      </c>
      <c r="I65">
        <f>VLOOKUP(C65,Recipes!$A$2:$N$4,12,FALSE())</f>
        <v/>
      </c>
      <c r="J65">
        <f>IF(G65="","",H65-G65)</f>
        <v/>
      </c>
      <c r="K65">
        <f>IF(G65="","",IF(ABS(G65-H65)&lt;=$B$6*I65,"OK","NG"))</f>
        <v/>
      </c>
      <c r="L65">
        <f>IF(K65="","",IF(K65=D65,1,0))</f>
        <v/>
      </c>
      <c r="M65" t="inlineStr">
        <is>
          <t>S2</t>
        </is>
      </c>
      <c r="N65" s="15" t="n">
        <v>1</v>
      </c>
      <c r="O65" s="15" t="n">
        <v>0</v>
      </c>
      <c r="P65">
        <f>IF(M65="","",IF(M65=E65,1,0))</f>
        <v/>
      </c>
      <c r="Q65">
        <f>IF(K65="OK","-",IF(N65&lt;$B$7,"AMBIGUOUS","CONFIDENT"))</f>
        <v/>
      </c>
    </row>
    <row r="66">
      <c r="A66">
        <f>'Runs Z score'!A58</f>
        <v/>
      </c>
      <c r="B66">
        <f>'Runs Z score'!B58</f>
        <v/>
      </c>
      <c r="C66">
        <f>'Runs Z score'!C58</f>
        <v/>
      </c>
      <c r="D66">
        <f>'Runs Z score'!D58</f>
        <v/>
      </c>
      <c r="E66">
        <f>'Runs Z score'!E58</f>
        <v/>
      </c>
      <c r="F66">
        <f>'Runs Z score'!F58</f>
        <v/>
      </c>
      <c r="G66">
        <f>'Runs Z score'!G58</f>
        <v/>
      </c>
      <c r="H66">
        <f>VLOOKUP(C66,Recipes!$A$2:$N$4,10,FALSE())</f>
        <v/>
      </c>
      <c r="I66">
        <f>VLOOKUP(C66,Recipes!$A$2:$N$4,12,FALSE())</f>
        <v/>
      </c>
      <c r="J66">
        <f>IF(G66="","",H66-G66)</f>
        <v/>
      </c>
      <c r="K66">
        <f>IF(G66="","",IF(ABS(G66-H66)&lt;=$B$6*I66,"OK","NG"))</f>
        <v/>
      </c>
      <c r="L66">
        <f>IF(K66="","",IF(K66=D66,1,0))</f>
        <v/>
      </c>
      <c r="M66" t="inlineStr">
        <is>
          <t>S2</t>
        </is>
      </c>
      <c r="N66" s="15" t="n">
        <v>1</v>
      </c>
      <c r="O66" s="15" t="n">
        <v>0</v>
      </c>
      <c r="P66">
        <f>IF(M66="","",IF(M66=E66,1,0))</f>
        <v/>
      </c>
      <c r="Q66">
        <f>IF(K66="OK","-",IF(N66&lt;$B$7,"AMBIGUOUS","CONFIDENT"))</f>
        <v/>
      </c>
    </row>
    <row r="67">
      <c r="A67">
        <f>'Runs Z score'!A59</f>
        <v/>
      </c>
      <c r="B67">
        <f>'Runs Z score'!B59</f>
        <v/>
      </c>
      <c r="C67">
        <f>'Runs Z score'!C59</f>
        <v/>
      </c>
      <c r="D67">
        <f>'Runs Z score'!D59</f>
        <v/>
      </c>
      <c r="E67">
        <f>'Runs Z score'!E59</f>
        <v/>
      </c>
      <c r="F67">
        <f>'Runs Z score'!F59</f>
        <v/>
      </c>
      <c r="G67">
        <f>'Runs Z score'!G59</f>
        <v/>
      </c>
      <c r="H67">
        <f>VLOOKUP(C67,Recipes!$A$2:$N$4,10,FALSE())</f>
        <v/>
      </c>
      <c r="I67">
        <f>VLOOKUP(C67,Recipes!$A$2:$N$4,12,FALSE())</f>
        <v/>
      </c>
      <c r="J67">
        <f>IF(G67="","",H67-G67)</f>
        <v/>
      </c>
      <c r="K67">
        <f>IF(G67="","",IF(ABS(G67-H67)&lt;=$B$6*I67,"OK","NG"))</f>
        <v/>
      </c>
      <c r="L67">
        <f>IF(K67="","",IF(K67=D67,1,0))</f>
        <v/>
      </c>
      <c r="M67" t="inlineStr">
        <is>
          <t>S2</t>
        </is>
      </c>
      <c r="N67" s="15" t="n">
        <v>1</v>
      </c>
      <c r="O67" s="15" t="n">
        <v>0</v>
      </c>
      <c r="P67">
        <f>IF(M67="","",IF(M67=E67,1,0))</f>
        <v/>
      </c>
      <c r="Q67">
        <f>IF(K67="OK","-",IF(N67&lt;$B$7,"AMBIGUOUS","CONFIDENT"))</f>
        <v/>
      </c>
    </row>
    <row r="68">
      <c r="A68">
        <f>'Runs Z score'!A60</f>
        <v/>
      </c>
      <c r="B68">
        <f>'Runs Z score'!B60</f>
        <v/>
      </c>
      <c r="C68">
        <f>'Runs Z score'!C60</f>
        <v/>
      </c>
      <c r="D68">
        <f>'Runs Z score'!D60</f>
        <v/>
      </c>
      <c r="E68">
        <f>'Runs Z score'!E60</f>
        <v/>
      </c>
      <c r="F68">
        <f>'Runs Z score'!F60</f>
        <v/>
      </c>
      <c r="G68">
        <f>'Runs Z score'!G60</f>
        <v/>
      </c>
      <c r="H68">
        <f>VLOOKUP(C68,Recipes!$A$2:$N$4,10,FALSE())</f>
        <v/>
      </c>
      <c r="I68">
        <f>VLOOKUP(C68,Recipes!$A$2:$N$4,12,FALSE())</f>
        <v/>
      </c>
      <c r="J68">
        <f>IF(G68="","",H68-G68)</f>
        <v/>
      </c>
      <c r="K68">
        <f>IF(G68="","",IF(ABS(G68-H68)&lt;=$B$6*I68,"OK","NG"))</f>
        <v/>
      </c>
      <c r="L68">
        <f>IF(K68="","",IF(K68=D68,1,0))</f>
        <v/>
      </c>
      <c r="M68" t="inlineStr">
        <is>
          <t>S2</t>
        </is>
      </c>
      <c r="N68" s="15" t="n">
        <v>1</v>
      </c>
      <c r="O68" s="15" t="n">
        <v>0</v>
      </c>
      <c r="P68">
        <f>IF(M68="","",IF(M68=E68,1,0))</f>
        <v/>
      </c>
      <c r="Q68">
        <f>IF(K68="OK","-",IF(N68&lt;$B$7,"AMBIGUOUS","CONFIDENT"))</f>
        <v/>
      </c>
    </row>
    <row r="69">
      <c r="A69">
        <f>'Runs Z score'!A61</f>
        <v/>
      </c>
      <c r="B69">
        <f>'Runs Z score'!B61</f>
        <v/>
      </c>
      <c r="C69">
        <f>'Runs Z score'!C61</f>
        <v/>
      </c>
      <c r="D69">
        <f>'Runs Z score'!D61</f>
        <v/>
      </c>
      <c r="E69">
        <f>'Runs Z score'!E61</f>
        <v/>
      </c>
      <c r="F69">
        <f>'Runs Z score'!F61</f>
        <v/>
      </c>
      <c r="G69">
        <f>'Runs Z score'!G61</f>
        <v/>
      </c>
      <c r="H69">
        <f>VLOOKUP(C69,Recipes!$A$2:$N$4,10,FALSE())</f>
        <v/>
      </c>
      <c r="I69">
        <f>VLOOKUP(C69,Recipes!$A$2:$N$4,12,FALSE())</f>
        <v/>
      </c>
      <c r="J69">
        <f>IF(G69="","",H69-G69)</f>
        <v/>
      </c>
      <c r="K69">
        <f>IF(G69="","",IF(ABS(G69-H69)&lt;=$B$6*I69,"OK","NG"))</f>
        <v/>
      </c>
      <c r="L69">
        <f>IF(K69="","",IF(K69=D69,1,0))</f>
        <v/>
      </c>
      <c r="M69" t="inlineStr">
        <is>
          <t>W2</t>
        </is>
      </c>
      <c r="N69" s="15" t="n">
        <v>1</v>
      </c>
      <c r="O69" s="15" t="n">
        <v>0</v>
      </c>
      <c r="P69">
        <f>IF(M69="","",IF(M69=E69,1,0))</f>
        <v/>
      </c>
      <c r="Q69">
        <f>IF(K69="OK","-",IF(N69&lt;$B$7,"AMBIGUOUS","CONFIDENT"))</f>
        <v/>
      </c>
    </row>
    <row r="70">
      <c r="A70">
        <f>'Runs Z score'!A62</f>
        <v/>
      </c>
      <c r="B70">
        <f>'Runs Z score'!B62</f>
        <v/>
      </c>
      <c r="C70">
        <f>'Runs Z score'!C62</f>
        <v/>
      </c>
      <c r="D70">
        <f>'Runs Z score'!D62</f>
        <v/>
      </c>
      <c r="E70">
        <f>'Runs Z score'!E62</f>
        <v/>
      </c>
      <c r="F70">
        <f>'Runs Z score'!F62</f>
        <v/>
      </c>
      <c r="G70">
        <f>'Runs Z score'!G62</f>
        <v/>
      </c>
      <c r="H70">
        <f>VLOOKUP(C70,Recipes!$A$2:$N$4,10,FALSE())</f>
        <v/>
      </c>
      <c r="I70">
        <f>VLOOKUP(C70,Recipes!$A$2:$N$4,12,FALSE())</f>
        <v/>
      </c>
      <c r="J70">
        <f>IF(G70="","",H70-G70)</f>
        <v/>
      </c>
      <c r="K70">
        <f>IF(G70="","",IF(ABS(G70-H70)&lt;=$B$6*I70,"OK","NG"))</f>
        <v/>
      </c>
      <c r="L70">
        <f>IF(K70="","",IF(K70=D70,1,0))</f>
        <v/>
      </c>
      <c r="M70" t="inlineStr">
        <is>
          <t>S2</t>
        </is>
      </c>
      <c r="N70" s="15" t="n">
        <v>1</v>
      </c>
      <c r="O70" s="15" t="n">
        <v>0</v>
      </c>
      <c r="P70">
        <f>IF(M70="","",IF(M70=E70,1,0))</f>
        <v/>
      </c>
      <c r="Q70">
        <f>IF(K70="OK","-",IF(N70&lt;$B$7,"AMBIGUOUS","CONFIDENT"))</f>
        <v/>
      </c>
    </row>
    <row r="71">
      <c r="A71">
        <f>'Runs Z score'!A63</f>
        <v/>
      </c>
      <c r="B71">
        <f>'Runs Z score'!B63</f>
        <v/>
      </c>
      <c r="C71">
        <f>'Runs Z score'!C63</f>
        <v/>
      </c>
      <c r="D71">
        <f>'Runs Z score'!D63</f>
        <v/>
      </c>
      <c r="E71">
        <f>'Runs Z score'!E63</f>
        <v/>
      </c>
      <c r="F71">
        <f>'Runs Z score'!F63</f>
        <v/>
      </c>
      <c r="G71">
        <f>'Runs Z score'!G63</f>
        <v/>
      </c>
      <c r="H71">
        <f>VLOOKUP(C71,Recipes!$A$2:$N$4,10,FALSE())</f>
        <v/>
      </c>
      <c r="I71">
        <f>VLOOKUP(C71,Recipes!$A$2:$N$4,12,FALSE())</f>
        <v/>
      </c>
      <c r="J71">
        <f>IF(G71="","",H71-G71)</f>
        <v/>
      </c>
      <c r="K71">
        <f>IF(G71="","",IF(ABS(G71-H71)&lt;=$B$6*I71,"OK","NG"))</f>
        <v/>
      </c>
      <c r="L71">
        <f>IF(K71="","",IF(K71=D71,1,0))</f>
        <v/>
      </c>
      <c r="M71" t="inlineStr">
        <is>
          <t>W2</t>
        </is>
      </c>
      <c r="N71" s="15" t="n">
        <v>1</v>
      </c>
      <c r="O71" s="15" t="n">
        <v>0</v>
      </c>
      <c r="P71">
        <f>IF(M71="","",IF(M71=E71,1,0))</f>
        <v/>
      </c>
      <c r="Q71">
        <f>IF(K71="OK","-",IF(N71&lt;$B$7,"AMBIGUOUS","CONFIDENT"))</f>
        <v/>
      </c>
    </row>
    <row r="72">
      <c r="A72">
        <f>'Runs Z score'!A64</f>
        <v/>
      </c>
      <c r="B72">
        <f>'Runs Z score'!B64</f>
        <v/>
      </c>
      <c r="C72">
        <f>'Runs Z score'!C64</f>
        <v/>
      </c>
      <c r="D72">
        <f>'Runs Z score'!D64</f>
        <v/>
      </c>
      <c r="E72">
        <f>'Runs Z score'!E64</f>
        <v/>
      </c>
      <c r="F72">
        <f>'Runs Z score'!F64</f>
        <v/>
      </c>
      <c r="G72">
        <f>'Runs Z score'!G64</f>
        <v/>
      </c>
      <c r="H72">
        <f>VLOOKUP(C72,Recipes!$A$2:$N$4,10,FALSE())</f>
        <v/>
      </c>
      <c r="I72">
        <f>VLOOKUP(C72,Recipes!$A$2:$N$4,12,FALSE())</f>
        <v/>
      </c>
      <c r="J72">
        <f>IF(G72="","",H72-G72)</f>
        <v/>
      </c>
      <c r="K72">
        <f>IF(G72="","",IF(ABS(G72-H72)&lt;=$B$6*I72,"OK","NG"))</f>
        <v/>
      </c>
      <c r="L72">
        <f>IF(K72="","",IF(K72=D72,1,0))</f>
        <v/>
      </c>
      <c r="M72" t="inlineStr">
        <is>
          <t>W2</t>
        </is>
      </c>
      <c r="N72" s="15" t="n">
        <v>1</v>
      </c>
      <c r="O72" s="15" t="n">
        <v>0</v>
      </c>
      <c r="P72">
        <f>IF(M72="","",IF(M72=E72,1,0))</f>
        <v/>
      </c>
      <c r="Q72">
        <f>IF(K72="OK","-",IF(N72&lt;$B$7,"AMBIGUOUS","CONFIDENT"))</f>
        <v/>
      </c>
    </row>
    <row r="73">
      <c r="A73">
        <f>'Runs Z score'!A65</f>
        <v/>
      </c>
      <c r="B73">
        <f>'Runs Z score'!B65</f>
        <v/>
      </c>
      <c r="C73">
        <f>'Runs Z score'!C65</f>
        <v/>
      </c>
      <c r="D73">
        <f>'Runs Z score'!D65</f>
        <v/>
      </c>
      <c r="E73">
        <f>'Runs Z score'!E65</f>
        <v/>
      </c>
      <c r="F73">
        <f>'Runs Z score'!F65</f>
        <v/>
      </c>
      <c r="G73">
        <f>'Runs Z score'!G65</f>
        <v/>
      </c>
      <c r="H73">
        <f>VLOOKUP(C73,Recipes!$A$2:$N$4,10,FALSE())</f>
        <v/>
      </c>
      <c r="I73">
        <f>VLOOKUP(C73,Recipes!$A$2:$N$4,12,FALSE())</f>
        <v/>
      </c>
      <c r="J73">
        <f>IF(G73="","",H73-G73)</f>
        <v/>
      </c>
      <c r="K73">
        <f>IF(G73="","",IF(ABS(G73-H73)&lt;=$B$6*I73,"OK","NG"))</f>
        <v/>
      </c>
      <c r="L73">
        <f>IF(K73="","",IF(K73=D73,1,0))</f>
        <v/>
      </c>
      <c r="M73" t="inlineStr">
        <is>
          <t>W2</t>
        </is>
      </c>
      <c r="N73" s="15" t="n">
        <v>1</v>
      </c>
      <c r="O73" s="15" t="n">
        <v>0</v>
      </c>
      <c r="P73">
        <f>IF(M73="","",IF(M73=E73,1,0))</f>
        <v/>
      </c>
      <c r="Q73">
        <f>IF(K73="OK","-",IF(N73&lt;$B$7,"AMBIGUOUS","CONFIDENT"))</f>
        <v/>
      </c>
    </row>
    <row r="74">
      <c r="A74">
        <f>'Runs Z score'!A66</f>
        <v/>
      </c>
      <c r="B74">
        <f>'Runs Z score'!B66</f>
        <v/>
      </c>
      <c r="C74">
        <f>'Runs Z score'!C66</f>
        <v/>
      </c>
      <c r="D74">
        <f>'Runs Z score'!D66</f>
        <v/>
      </c>
      <c r="E74">
        <f>'Runs Z score'!E66</f>
        <v/>
      </c>
      <c r="F74">
        <f>'Runs Z score'!F66</f>
        <v/>
      </c>
      <c r="G74">
        <f>'Runs Z score'!G66</f>
        <v/>
      </c>
      <c r="H74">
        <f>VLOOKUP(C74,Recipes!$A$2:$N$4,10,FALSE())</f>
        <v/>
      </c>
      <c r="I74">
        <f>VLOOKUP(C74,Recipes!$A$2:$N$4,12,FALSE())</f>
        <v/>
      </c>
      <c r="J74">
        <f>IF(G74="","",H74-G74)</f>
        <v/>
      </c>
      <c r="K74">
        <f>IF(G74="","",IF(ABS(G74-H74)&lt;=$B$6*I74,"OK","NG"))</f>
        <v/>
      </c>
      <c r="L74">
        <f>IF(K74="","",IF(K74=D74,1,0))</f>
        <v/>
      </c>
      <c r="M74" t="inlineStr">
        <is>
          <t>W2</t>
        </is>
      </c>
      <c r="N74" s="15" t="n">
        <v>1</v>
      </c>
      <c r="O74" s="15" t="n">
        <v>0</v>
      </c>
      <c r="P74">
        <f>IF(M74="","",IF(M74=E74,1,0))</f>
        <v/>
      </c>
      <c r="Q74">
        <f>IF(K74="OK","-",IF(N74&lt;$B$7,"AMBIGUOUS","CONFIDENT"))</f>
        <v/>
      </c>
    </row>
    <row r="75">
      <c r="A75">
        <f>'Runs Z score'!A67</f>
        <v/>
      </c>
      <c r="B75">
        <f>'Runs Z score'!B67</f>
        <v/>
      </c>
      <c r="C75">
        <f>'Runs Z score'!C67</f>
        <v/>
      </c>
      <c r="D75">
        <f>'Runs Z score'!D67</f>
        <v/>
      </c>
      <c r="E75">
        <f>'Runs Z score'!E67</f>
        <v/>
      </c>
      <c r="F75">
        <f>'Runs Z score'!F67</f>
        <v/>
      </c>
      <c r="G75">
        <f>'Runs Z score'!G67</f>
        <v/>
      </c>
      <c r="H75">
        <f>VLOOKUP(C75,Recipes!$A$2:$N$4,10,FALSE())</f>
        <v/>
      </c>
      <c r="I75">
        <f>VLOOKUP(C75,Recipes!$A$2:$N$4,12,FALSE())</f>
        <v/>
      </c>
      <c r="J75">
        <f>IF(G75="","",H75-G75)</f>
        <v/>
      </c>
      <c r="K75">
        <f>IF(G75="","",IF(ABS(G75-H75)&lt;=$B$6*I75,"OK","NG"))</f>
        <v/>
      </c>
      <c r="L75">
        <f>IF(K75="","",IF(K75=D75,1,0))</f>
        <v/>
      </c>
      <c r="M75" t="inlineStr">
        <is>
          <t>W2</t>
        </is>
      </c>
      <c r="N75" s="15" t="n">
        <v>1</v>
      </c>
      <c r="O75" s="15" t="n">
        <v>0</v>
      </c>
      <c r="P75">
        <f>IF(M75="","",IF(M75=E75,1,0))</f>
        <v/>
      </c>
      <c r="Q75">
        <f>IF(K75="OK","-",IF(N75&lt;$B$7,"AMBIGUOUS","CONFIDENT"))</f>
        <v/>
      </c>
    </row>
    <row r="76">
      <c r="A76">
        <f>'Runs Z score'!A68</f>
        <v/>
      </c>
      <c r="B76">
        <f>'Runs Z score'!B68</f>
        <v/>
      </c>
      <c r="C76">
        <f>'Runs Z score'!C68</f>
        <v/>
      </c>
      <c r="D76">
        <f>'Runs Z score'!D68</f>
        <v/>
      </c>
      <c r="E76">
        <f>'Runs Z score'!E68</f>
        <v/>
      </c>
      <c r="F76">
        <f>'Runs Z score'!F68</f>
        <v/>
      </c>
      <c r="G76">
        <f>'Runs Z score'!G68</f>
        <v/>
      </c>
      <c r="H76">
        <f>VLOOKUP(C76,Recipes!$A$2:$N$4,10,FALSE())</f>
        <v/>
      </c>
      <c r="I76">
        <f>VLOOKUP(C76,Recipes!$A$2:$N$4,12,FALSE())</f>
        <v/>
      </c>
      <c r="J76">
        <f>IF(G76="","",H76-G76)</f>
        <v/>
      </c>
      <c r="K76">
        <f>IF(G76="","",IF(ABS(G76-H76)&lt;=$B$6*I76,"OK","NG"))</f>
        <v/>
      </c>
      <c r="L76">
        <f>IF(K76="","",IF(K76=D76,1,0))</f>
        <v/>
      </c>
      <c r="M76" t="inlineStr">
        <is>
          <t>W2</t>
        </is>
      </c>
      <c r="N76" s="15" t="n">
        <v>1</v>
      </c>
      <c r="O76" s="15" t="n">
        <v>0</v>
      </c>
      <c r="P76">
        <f>IF(M76="","",IF(M76=E76,1,0))</f>
        <v/>
      </c>
      <c r="Q76">
        <f>IF(K76="OK","-",IF(N76&lt;$B$7,"AMBIGUOUS","CONFIDENT"))</f>
        <v/>
      </c>
    </row>
    <row r="77">
      <c r="A77">
        <f>'Runs Z score'!A69</f>
        <v/>
      </c>
      <c r="B77">
        <f>'Runs Z score'!B69</f>
        <v/>
      </c>
      <c r="C77">
        <f>'Runs Z score'!C69</f>
        <v/>
      </c>
      <c r="D77">
        <f>'Runs Z score'!D69</f>
        <v/>
      </c>
      <c r="E77">
        <f>'Runs Z score'!E69</f>
        <v/>
      </c>
      <c r="F77">
        <f>'Runs Z score'!F69</f>
        <v/>
      </c>
      <c r="G77">
        <f>'Runs Z score'!G69</f>
        <v/>
      </c>
      <c r="H77">
        <f>VLOOKUP(C77,Recipes!$A$2:$N$4,10,FALSE())</f>
        <v/>
      </c>
      <c r="I77">
        <f>VLOOKUP(C77,Recipes!$A$2:$N$4,12,FALSE())</f>
        <v/>
      </c>
      <c r="J77">
        <f>IF(G77="","",H77-G77)</f>
        <v/>
      </c>
      <c r="K77">
        <f>IF(G77="","",IF(ABS(G77-H77)&lt;=$B$6*I77,"OK","NG"))</f>
        <v/>
      </c>
      <c r="L77">
        <f>IF(K77="","",IF(K77=D77,1,0))</f>
        <v/>
      </c>
      <c r="M77" t="inlineStr">
        <is>
          <t>W2</t>
        </is>
      </c>
      <c r="N77" s="15" t="n">
        <v>1</v>
      </c>
      <c r="O77" s="15" t="n">
        <v>0</v>
      </c>
      <c r="P77">
        <f>IF(M77="","",IF(M77=E77,1,0))</f>
        <v/>
      </c>
      <c r="Q77">
        <f>IF(K77="OK","-",IF(N77&lt;$B$7,"AMBIGUOUS","CONFIDENT"))</f>
        <v/>
      </c>
    </row>
    <row r="78">
      <c r="A78">
        <f>'Runs Z score'!A70</f>
        <v/>
      </c>
      <c r="B78">
        <f>'Runs Z score'!B70</f>
        <v/>
      </c>
      <c r="C78">
        <f>'Runs Z score'!C70</f>
        <v/>
      </c>
      <c r="D78">
        <f>'Runs Z score'!D70</f>
        <v/>
      </c>
      <c r="E78">
        <f>'Runs Z score'!E70</f>
        <v/>
      </c>
      <c r="F78">
        <f>'Runs Z score'!F70</f>
        <v/>
      </c>
      <c r="G78">
        <f>'Runs Z score'!G70</f>
        <v/>
      </c>
      <c r="H78">
        <f>VLOOKUP(C78,Recipes!$A$2:$N$4,10,FALSE())</f>
        <v/>
      </c>
      <c r="I78">
        <f>VLOOKUP(C78,Recipes!$A$2:$N$4,12,FALSE())</f>
        <v/>
      </c>
      <c r="J78">
        <f>IF(G78="","",H78-G78)</f>
        <v/>
      </c>
      <c r="K78">
        <f>IF(G78="","",IF(ABS(G78-H78)&lt;=$B$6*I78,"OK","NG"))</f>
        <v/>
      </c>
      <c r="L78">
        <f>IF(K78="","",IF(K78=D78,1,0))</f>
        <v/>
      </c>
      <c r="M78" t="inlineStr">
        <is>
          <t>W2</t>
        </is>
      </c>
      <c r="N78" s="15" t="n">
        <v>1</v>
      </c>
      <c r="O78" s="15" t="n">
        <v>0</v>
      </c>
      <c r="P78">
        <f>IF(M78="","",IF(M78=E78,1,0))</f>
        <v/>
      </c>
      <c r="Q78">
        <f>IF(K78="OK","-",IF(N78&lt;$B$7,"AMBIGUOUS","CONFIDENT"))</f>
        <v/>
      </c>
    </row>
    <row r="79">
      <c r="A79">
        <f>'Runs Z score'!A71</f>
        <v/>
      </c>
      <c r="B79">
        <f>'Runs Z score'!B71</f>
        <v/>
      </c>
      <c r="C79">
        <f>'Runs Z score'!C71</f>
        <v/>
      </c>
      <c r="D79">
        <f>'Runs Z score'!D71</f>
        <v/>
      </c>
      <c r="E79">
        <f>'Runs Z score'!E71</f>
        <v/>
      </c>
      <c r="F79">
        <f>'Runs Z score'!F71</f>
        <v/>
      </c>
      <c r="G79">
        <f>'Runs Z score'!G71</f>
        <v/>
      </c>
      <c r="H79">
        <f>VLOOKUP(C79,Recipes!$A$2:$N$4,10,FALSE())</f>
        <v/>
      </c>
      <c r="I79">
        <f>VLOOKUP(C79,Recipes!$A$2:$N$4,12,FALSE())</f>
        <v/>
      </c>
      <c r="J79">
        <f>IF(G79="","",H79-G79)</f>
        <v/>
      </c>
      <c r="K79">
        <f>IF(G79="","",IF(ABS(G79-H79)&lt;=$B$6*I79,"OK","NG"))</f>
        <v/>
      </c>
      <c r="L79">
        <f>IF(K79="","",IF(K79=D79,1,0))</f>
        <v/>
      </c>
      <c r="M79" t="inlineStr">
        <is>
          <t>W2</t>
        </is>
      </c>
      <c r="N79" s="15" t="n">
        <v>1</v>
      </c>
      <c r="O79" s="15" t="n">
        <v>0</v>
      </c>
      <c r="P79">
        <f>IF(M79="","",IF(M79=E79,1,0))</f>
        <v/>
      </c>
      <c r="Q79">
        <f>IF(K79="OK","-",IF(N79&lt;$B$7,"AMBIGUOUS","CONFIDENT"))</f>
        <v/>
      </c>
    </row>
    <row r="80">
      <c r="A80">
        <f>'Runs Z score'!A72</f>
        <v/>
      </c>
      <c r="B80">
        <f>'Runs Z score'!B72</f>
        <v/>
      </c>
      <c r="C80">
        <f>'Runs Z score'!C72</f>
        <v/>
      </c>
      <c r="D80">
        <f>'Runs Z score'!D72</f>
        <v/>
      </c>
      <c r="E80">
        <f>'Runs Z score'!E72</f>
        <v/>
      </c>
      <c r="F80">
        <f>'Runs Z score'!F72</f>
        <v/>
      </c>
      <c r="G80">
        <f>'Runs Z score'!G72</f>
        <v/>
      </c>
      <c r="H80">
        <f>VLOOKUP(C80,Recipes!$A$2:$N$4,10,FALSE())</f>
        <v/>
      </c>
      <c r="I80">
        <f>VLOOKUP(C80,Recipes!$A$2:$N$4,12,FALSE())</f>
        <v/>
      </c>
      <c r="J80">
        <f>IF(G80="","",H80-G80)</f>
        <v/>
      </c>
      <c r="K80">
        <f>IF(G80="","",IF(ABS(G80-H80)&lt;=$B$6*I80,"OK","NG"))</f>
        <v/>
      </c>
      <c r="L80">
        <f>IF(K80="","",IF(K80=D80,1,0))</f>
        <v/>
      </c>
      <c r="M80" t="inlineStr">
        <is>
          <t>W2</t>
        </is>
      </c>
      <c r="N80" s="15" t="n">
        <v>1</v>
      </c>
      <c r="O80" s="15" t="n">
        <v>0</v>
      </c>
      <c r="P80">
        <f>IF(M80="","",IF(M80=E80,1,0))</f>
        <v/>
      </c>
      <c r="Q80">
        <f>IF(K80="OK","-",IF(N80&lt;$B$7,"AMBIGUOUS","CONFIDENT"))</f>
        <v/>
      </c>
    </row>
    <row r="81">
      <c r="A81">
        <f>'Runs Z score'!A73</f>
        <v/>
      </c>
      <c r="B81">
        <f>'Runs Z score'!B73</f>
        <v/>
      </c>
      <c r="C81">
        <f>'Runs Z score'!C73</f>
        <v/>
      </c>
      <c r="D81">
        <f>'Runs Z score'!D73</f>
        <v/>
      </c>
      <c r="E81">
        <f>'Runs Z score'!E73</f>
        <v/>
      </c>
      <c r="F81">
        <f>'Runs Z score'!F73</f>
        <v/>
      </c>
      <c r="G81">
        <f>'Runs Z score'!G73</f>
        <v/>
      </c>
      <c r="H81">
        <f>VLOOKUP(C81,Recipes!$A$2:$N$4,10,FALSE())</f>
        <v/>
      </c>
      <c r="I81">
        <f>VLOOKUP(C81,Recipes!$A$2:$N$4,12,FALSE())</f>
        <v/>
      </c>
      <c r="J81">
        <f>IF(G81="","",H81-G81)</f>
        <v/>
      </c>
      <c r="K81">
        <f>IF(G81="","",IF(ABS(G81-H81)&lt;=$B$6*I81,"OK","NG"))</f>
        <v/>
      </c>
      <c r="L81">
        <f>IF(K81="","",IF(K81=D81,1,0))</f>
        <v/>
      </c>
      <c r="M81" t="inlineStr">
        <is>
          <t>W2</t>
        </is>
      </c>
      <c r="N81" s="15" t="n">
        <v>1</v>
      </c>
      <c r="O81" s="15" t="n">
        <v>0</v>
      </c>
      <c r="P81">
        <f>IF(M81="","",IF(M81=E81,1,0))</f>
        <v/>
      </c>
      <c r="Q81">
        <f>IF(K81="OK","-",IF(N81&lt;$B$7,"AMBIGUOUS","CONFIDENT"))</f>
        <v/>
      </c>
    </row>
    <row r="82">
      <c r="A82">
        <f>'Runs Z score'!A74</f>
        <v/>
      </c>
      <c r="B82">
        <f>'Runs Z score'!B74</f>
        <v/>
      </c>
      <c r="C82">
        <f>'Runs Z score'!C74</f>
        <v/>
      </c>
      <c r="D82">
        <f>'Runs Z score'!D74</f>
        <v/>
      </c>
      <c r="E82">
        <f>'Runs Z score'!E74</f>
        <v/>
      </c>
      <c r="F82">
        <f>'Runs Z score'!F74</f>
        <v/>
      </c>
      <c r="G82">
        <f>'Runs Z score'!G74</f>
        <v/>
      </c>
      <c r="H82">
        <f>VLOOKUP(C82,Recipes!$A$2:$N$4,10,FALSE())</f>
        <v/>
      </c>
      <c r="I82">
        <f>VLOOKUP(C82,Recipes!$A$2:$N$4,12,FALSE())</f>
        <v/>
      </c>
      <c r="J82">
        <f>IF(G82="","",H82-G82)</f>
        <v/>
      </c>
      <c r="K82">
        <f>IF(G82="","",IF(ABS(G82-H82)&lt;=$B$6*I82,"OK","NG"))</f>
        <v/>
      </c>
      <c r="L82">
        <f>IF(K82="","",IF(K82=D82,1,0))</f>
        <v/>
      </c>
      <c r="M82" t="inlineStr">
        <is>
          <t>W2</t>
        </is>
      </c>
      <c r="N82" s="15" t="n">
        <v>1</v>
      </c>
      <c r="O82" s="15" t="n">
        <v>0</v>
      </c>
      <c r="P82">
        <f>IF(M82="","",IF(M82=E82,1,0))</f>
        <v/>
      </c>
      <c r="Q82">
        <f>IF(K82="OK","-",IF(N82&lt;$B$7,"AMBIGUOUS","CONFIDENT"))</f>
        <v/>
      </c>
    </row>
    <row r="83">
      <c r="A83">
        <f>'Runs Z score'!A75</f>
        <v/>
      </c>
      <c r="B83">
        <f>'Runs Z score'!B75</f>
        <v/>
      </c>
      <c r="C83">
        <f>'Runs Z score'!C75</f>
        <v/>
      </c>
      <c r="D83">
        <f>'Runs Z score'!D75</f>
        <v/>
      </c>
      <c r="E83">
        <f>'Runs Z score'!E75</f>
        <v/>
      </c>
      <c r="F83">
        <f>'Runs Z score'!F75</f>
        <v/>
      </c>
      <c r="G83">
        <f>'Runs Z score'!G75</f>
        <v/>
      </c>
      <c r="H83">
        <f>VLOOKUP(C83,Recipes!$A$2:$N$4,10,FALSE())</f>
        <v/>
      </c>
      <c r="I83">
        <f>VLOOKUP(C83,Recipes!$A$2:$N$4,12,FALSE())</f>
        <v/>
      </c>
      <c r="J83">
        <f>IF(G83="","",H83-G83)</f>
        <v/>
      </c>
      <c r="K83">
        <f>IF(G83="","",IF(ABS(G83-H83)&lt;=$B$6*I83,"OK","NG"))</f>
        <v/>
      </c>
      <c r="L83">
        <f>IF(K83="","",IF(K83=D83,1,0))</f>
        <v/>
      </c>
      <c r="M83" t="inlineStr">
        <is>
          <t>W2</t>
        </is>
      </c>
      <c r="N83" s="15" t="n">
        <v>1</v>
      </c>
      <c r="O83" s="15" t="n">
        <v>0</v>
      </c>
      <c r="P83">
        <f>IF(M83="","",IF(M83=E83,1,0))</f>
        <v/>
      </c>
      <c r="Q83">
        <f>IF(K83="OK","-",IF(N83&lt;$B$7,"AMBIGUOUS","CONFIDENT"))</f>
        <v/>
      </c>
    </row>
    <row r="84">
      <c r="A84">
        <f>'Runs Z score'!A76</f>
        <v/>
      </c>
      <c r="B84">
        <f>'Runs Z score'!B76</f>
        <v/>
      </c>
      <c r="C84">
        <f>'Runs Z score'!C76</f>
        <v/>
      </c>
      <c r="D84">
        <f>'Runs Z score'!D76</f>
        <v/>
      </c>
      <c r="E84">
        <f>'Runs Z score'!E76</f>
        <v/>
      </c>
      <c r="F84">
        <f>'Runs Z score'!F76</f>
        <v/>
      </c>
      <c r="G84">
        <f>'Runs Z score'!G76</f>
        <v/>
      </c>
      <c r="H84">
        <f>VLOOKUP(C84,Recipes!$A$2:$N$4,10,FALSE())</f>
        <v/>
      </c>
      <c r="I84">
        <f>VLOOKUP(C84,Recipes!$A$2:$N$4,12,FALSE())</f>
        <v/>
      </c>
      <c r="J84">
        <f>IF(G84="","",H84-G84)</f>
        <v/>
      </c>
      <c r="K84">
        <f>IF(G84="","",IF(ABS(G84-H84)&lt;=$B$6*I84,"OK","NG"))</f>
        <v/>
      </c>
      <c r="L84">
        <f>IF(K84="","",IF(K84=D84,1,0))</f>
        <v/>
      </c>
      <c r="M84" t="inlineStr">
        <is>
          <t>W2</t>
        </is>
      </c>
      <c r="N84" s="15" t="n">
        <v>1</v>
      </c>
      <c r="O84" s="15" t="n">
        <v>0</v>
      </c>
      <c r="P84">
        <f>IF(M84="","",IF(M84=E84,1,0))</f>
        <v/>
      </c>
      <c r="Q84">
        <f>IF(K84="OK","-",IF(N84&lt;$B$7,"AMBIGUOUS","CONFIDENT"))</f>
        <v/>
      </c>
    </row>
    <row r="85">
      <c r="A85">
        <f>'Runs Z score'!A77</f>
        <v/>
      </c>
      <c r="B85">
        <f>'Runs Z score'!B77</f>
        <v/>
      </c>
      <c r="C85">
        <f>'Runs Z score'!C77</f>
        <v/>
      </c>
      <c r="D85">
        <f>'Runs Z score'!D77</f>
        <v/>
      </c>
      <c r="E85">
        <f>'Runs Z score'!E77</f>
        <v/>
      </c>
      <c r="F85">
        <f>'Runs Z score'!F77</f>
        <v/>
      </c>
      <c r="G85">
        <f>'Runs Z score'!G77</f>
        <v/>
      </c>
      <c r="H85">
        <f>VLOOKUP(C85,Recipes!$A$2:$N$4,10,FALSE())</f>
        <v/>
      </c>
      <c r="I85">
        <f>VLOOKUP(C85,Recipes!$A$2:$N$4,12,FALSE())</f>
        <v/>
      </c>
      <c r="J85">
        <f>IF(G85="","",H85-G85)</f>
        <v/>
      </c>
      <c r="K85">
        <f>IF(G85="","",IF(ABS(G85-H85)&lt;=$B$6*I85,"OK","NG"))</f>
        <v/>
      </c>
      <c r="L85">
        <f>IF(K85="","",IF(K85=D85,1,0))</f>
        <v/>
      </c>
      <c r="M85" t="inlineStr">
        <is>
          <t>W2</t>
        </is>
      </c>
      <c r="N85" s="15" t="n">
        <v>1</v>
      </c>
      <c r="O85" s="15" t="n">
        <v>0</v>
      </c>
      <c r="P85">
        <f>IF(M85="","",IF(M85=E85,1,0))</f>
        <v/>
      </c>
      <c r="Q85">
        <f>IF(K85="OK","-",IF(N85&lt;$B$7,"AMBIGUOUS","CONFIDENT"))</f>
        <v/>
      </c>
    </row>
    <row r="86">
      <c r="A86">
        <f>'Runs Z score'!A78</f>
        <v/>
      </c>
      <c r="B86">
        <f>'Runs Z score'!B78</f>
        <v/>
      </c>
      <c r="C86">
        <f>'Runs Z score'!C78</f>
        <v/>
      </c>
      <c r="D86">
        <f>'Runs Z score'!D78</f>
        <v/>
      </c>
      <c r="E86">
        <f>'Runs Z score'!E78</f>
        <v/>
      </c>
      <c r="F86">
        <f>'Runs Z score'!F78</f>
        <v/>
      </c>
      <c r="G86">
        <f>'Runs Z score'!G78</f>
        <v/>
      </c>
      <c r="H86">
        <f>VLOOKUP(C86,Recipes!$A$2:$N$4,10,FALSE())</f>
        <v/>
      </c>
      <c r="I86">
        <f>VLOOKUP(C86,Recipes!$A$2:$N$4,12,FALSE())</f>
        <v/>
      </c>
      <c r="J86">
        <f>IF(G86="","",H86-G86)</f>
        <v/>
      </c>
      <c r="K86">
        <f>IF(G86="","",IF(ABS(G86-H86)&lt;=$B$6*I86,"OK","NG"))</f>
        <v/>
      </c>
      <c r="L86">
        <f>IF(K86="","",IF(K86=D86,1,0))</f>
        <v/>
      </c>
      <c r="M86" t="inlineStr">
        <is>
          <t>W2</t>
        </is>
      </c>
      <c r="N86" s="15" t="n">
        <v>1</v>
      </c>
      <c r="O86" s="15" t="n">
        <v>0</v>
      </c>
      <c r="P86">
        <f>IF(M86="","",IF(M86=E86,1,0))</f>
        <v/>
      </c>
      <c r="Q86">
        <f>IF(K86="OK","-",IF(N86&lt;$B$7,"AMBIGUOUS","CONFIDENT"))</f>
        <v/>
      </c>
    </row>
    <row r="87">
      <c r="A87">
        <f>'Runs Z score'!A79</f>
        <v/>
      </c>
      <c r="B87">
        <f>'Runs Z score'!B79</f>
        <v/>
      </c>
      <c r="C87">
        <f>'Runs Z score'!C79</f>
        <v/>
      </c>
      <c r="D87">
        <f>'Runs Z score'!D79</f>
        <v/>
      </c>
      <c r="E87">
        <f>'Runs Z score'!E79</f>
        <v/>
      </c>
      <c r="F87">
        <f>'Runs Z score'!F79</f>
        <v/>
      </c>
      <c r="G87">
        <f>'Runs Z score'!G79</f>
        <v/>
      </c>
      <c r="H87">
        <f>VLOOKUP(C87,Recipes!$A$2:$N$4,10,FALSE())</f>
        <v/>
      </c>
      <c r="I87">
        <f>VLOOKUP(C87,Recipes!$A$2:$N$4,12,FALSE())</f>
        <v/>
      </c>
      <c r="J87">
        <f>IF(G87="","",H87-G87)</f>
        <v/>
      </c>
      <c r="K87">
        <f>IF(G87="","",IF(ABS(G87-H87)&lt;=$B$6*I87,"OK","NG"))</f>
        <v/>
      </c>
      <c r="L87">
        <f>IF(K87="","",IF(K87=D87,1,0))</f>
        <v/>
      </c>
      <c r="M87" t="inlineStr">
        <is>
          <t>W2</t>
        </is>
      </c>
      <c r="N87" s="15" t="n">
        <v>1</v>
      </c>
      <c r="O87" s="15" t="n">
        <v>0</v>
      </c>
      <c r="P87">
        <f>IF(M87="","",IF(M87=E87,1,0))</f>
        <v/>
      </c>
      <c r="Q87">
        <f>IF(K87="OK","-",IF(N87&lt;$B$7,"AMBIGUOUS","CONFIDENT"))</f>
        <v/>
      </c>
    </row>
    <row r="88">
      <c r="A88">
        <f>'Runs Z score'!A80</f>
        <v/>
      </c>
      <c r="B88">
        <f>'Runs Z score'!B80</f>
        <v/>
      </c>
      <c r="C88">
        <f>'Runs Z score'!C80</f>
        <v/>
      </c>
      <c r="D88">
        <f>'Runs Z score'!D80</f>
        <v/>
      </c>
      <c r="E88">
        <f>'Runs Z score'!E80</f>
        <v/>
      </c>
      <c r="F88">
        <f>'Runs Z score'!F80</f>
        <v/>
      </c>
      <c r="G88">
        <f>'Runs Z score'!G80</f>
        <v/>
      </c>
      <c r="H88">
        <f>VLOOKUP(C88,Recipes!$A$2:$N$4,10,FALSE())</f>
        <v/>
      </c>
      <c r="I88">
        <f>VLOOKUP(C88,Recipes!$A$2:$N$4,12,FALSE())</f>
        <v/>
      </c>
      <c r="J88">
        <f>IF(G88="","",H88-G88)</f>
        <v/>
      </c>
      <c r="K88">
        <f>IF(G88="","",IF(ABS(G88-H88)&lt;=$B$6*I88,"OK","NG"))</f>
        <v/>
      </c>
      <c r="L88">
        <f>IF(K88="","",IF(K88=D88,1,0))</f>
        <v/>
      </c>
      <c r="M88" t="inlineStr">
        <is>
          <t>W2</t>
        </is>
      </c>
      <c r="N88" s="15" t="n">
        <v>1</v>
      </c>
      <c r="O88" s="15" t="n">
        <v>0</v>
      </c>
      <c r="P88">
        <f>IF(M88="","",IF(M88=E88,1,0))</f>
        <v/>
      </c>
      <c r="Q88">
        <f>IF(K88="OK","-",IF(N88&lt;$B$7,"AMBIGUOUS","CONFIDENT"))</f>
        <v/>
      </c>
    </row>
    <row r="89">
      <c r="A89">
        <f>'Runs Z score'!A81</f>
        <v/>
      </c>
      <c r="B89">
        <f>'Runs Z score'!B81</f>
        <v/>
      </c>
      <c r="C89">
        <f>'Runs Z score'!C81</f>
        <v/>
      </c>
      <c r="D89">
        <f>'Runs Z score'!D81</f>
        <v/>
      </c>
      <c r="E89">
        <f>'Runs Z score'!E81</f>
        <v/>
      </c>
      <c r="F89">
        <f>'Runs Z score'!F81</f>
        <v/>
      </c>
      <c r="G89">
        <f>'Runs Z score'!G81</f>
        <v/>
      </c>
      <c r="H89">
        <f>VLOOKUP(C89,Recipes!$A$2:$N$4,10,FALSE())</f>
        <v/>
      </c>
      <c r="I89">
        <f>VLOOKUP(C89,Recipes!$A$2:$N$4,12,FALSE())</f>
        <v/>
      </c>
      <c r="J89">
        <f>IF(G89="","",H89-G89)</f>
        <v/>
      </c>
      <c r="K89">
        <f>IF(G89="","",IF(ABS(G89-H89)&lt;=$B$6*I89,"OK","NG"))</f>
        <v/>
      </c>
      <c r="L89">
        <f>IF(K89="","",IF(K89=D89,1,0))</f>
        <v/>
      </c>
      <c r="M89" t="inlineStr">
        <is>
          <t>W2</t>
        </is>
      </c>
      <c r="N89" s="15" t="n">
        <v>1</v>
      </c>
      <c r="O89" s="15" t="n">
        <v>0</v>
      </c>
      <c r="P89">
        <f>IF(M89="","",IF(M89=E89,1,0))</f>
        <v/>
      </c>
      <c r="Q89">
        <f>IF(K89="OK","-",IF(N89&lt;$B$7,"AMBIGUOUS","CONFIDENT"))</f>
        <v/>
      </c>
    </row>
    <row r="90">
      <c r="A90">
        <f>'Runs Z score'!A82</f>
        <v/>
      </c>
      <c r="B90">
        <f>'Runs Z score'!B82</f>
        <v/>
      </c>
      <c r="C90">
        <f>'Runs Z score'!C82</f>
        <v/>
      </c>
      <c r="D90">
        <f>'Runs Z score'!D82</f>
        <v/>
      </c>
      <c r="E90">
        <f>'Runs Z score'!E82</f>
        <v/>
      </c>
      <c r="F90">
        <f>'Runs Z score'!F82</f>
        <v/>
      </c>
      <c r="G90">
        <f>'Runs Z score'!G82</f>
        <v/>
      </c>
      <c r="H90">
        <f>VLOOKUP(C90,Recipes!$A$2:$N$4,10,FALSE())</f>
        <v/>
      </c>
      <c r="I90">
        <f>VLOOKUP(C90,Recipes!$A$2:$N$4,12,FALSE())</f>
        <v/>
      </c>
      <c r="J90">
        <f>IF(G90="","",H90-G90)</f>
        <v/>
      </c>
      <c r="K90">
        <f>IF(G90="","",IF(ABS(G90-H90)&lt;=$B$6*I90,"OK","NG"))</f>
        <v/>
      </c>
      <c r="L90">
        <f>IF(K90="","",IF(K90=D90,1,0))</f>
        <v/>
      </c>
      <c r="M90" t="inlineStr">
        <is>
          <t>W2</t>
        </is>
      </c>
      <c r="N90" s="15" t="n">
        <v>1</v>
      </c>
      <c r="O90" s="15" t="n">
        <v>0</v>
      </c>
      <c r="P90">
        <f>IF(M90="","",IF(M90=E90,1,0))</f>
        <v/>
      </c>
      <c r="Q90">
        <f>IF(K90="OK","-",IF(N90&lt;$B$7,"AMBIGUOUS","CONFIDENT"))</f>
        <v/>
      </c>
    </row>
    <row r="91">
      <c r="A91">
        <f>'Runs Z score'!A83</f>
        <v/>
      </c>
      <c r="B91">
        <f>'Runs Z score'!B83</f>
        <v/>
      </c>
      <c r="C91">
        <f>'Runs Z score'!C83</f>
        <v/>
      </c>
      <c r="D91">
        <f>'Runs Z score'!D83</f>
        <v/>
      </c>
      <c r="E91">
        <f>'Runs Z score'!E83</f>
        <v/>
      </c>
      <c r="F91">
        <f>'Runs Z score'!F83</f>
        <v/>
      </c>
      <c r="G91">
        <f>'Runs Z score'!G83</f>
        <v/>
      </c>
      <c r="H91">
        <f>VLOOKUP(C91,Recipes!$A$2:$N$4,10,FALSE())</f>
        <v/>
      </c>
      <c r="I91">
        <f>VLOOKUP(C91,Recipes!$A$2:$N$4,12,FALSE())</f>
        <v/>
      </c>
      <c r="J91">
        <f>IF(G91="","",H91-G91)</f>
        <v/>
      </c>
      <c r="K91">
        <f>IF(G91="","",IF(ABS(G91-H91)&lt;=$B$6*I91,"OK","NG"))</f>
        <v/>
      </c>
      <c r="L91">
        <f>IF(K91="","",IF(K91=D91,1,0))</f>
        <v/>
      </c>
      <c r="M91" t="inlineStr">
        <is>
          <t>W2</t>
        </is>
      </c>
      <c r="N91" s="15" t="n">
        <v>1</v>
      </c>
      <c r="O91" s="15" t="n">
        <v>0</v>
      </c>
      <c r="P91">
        <f>IF(M91="","",IF(M91=E91,1,0))</f>
        <v/>
      </c>
      <c r="Q91">
        <f>IF(K91="OK","-",IF(N91&lt;$B$7,"AMBIGUOUS","CONFIDENT"))</f>
        <v/>
      </c>
    </row>
    <row r="92">
      <c r="A92">
        <f>'Runs Z score'!A84</f>
        <v/>
      </c>
      <c r="B92">
        <f>'Runs Z score'!B84</f>
        <v/>
      </c>
      <c r="C92">
        <f>'Runs Z score'!C84</f>
        <v/>
      </c>
      <c r="D92">
        <f>'Runs Z score'!D84</f>
        <v/>
      </c>
      <c r="E92">
        <f>'Runs Z score'!E84</f>
        <v/>
      </c>
      <c r="F92">
        <f>'Runs Z score'!F84</f>
        <v/>
      </c>
      <c r="G92">
        <f>'Runs Z score'!G84</f>
        <v/>
      </c>
      <c r="H92">
        <f>VLOOKUP(C92,Recipes!$A$2:$N$4,10,FALSE())</f>
        <v/>
      </c>
      <c r="I92">
        <f>VLOOKUP(C92,Recipes!$A$2:$N$4,12,FALSE())</f>
        <v/>
      </c>
      <c r="J92">
        <f>IF(G92="","",H92-G92)</f>
        <v/>
      </c>
      <c r="K92">
        <f>IF(G92="","",IF(ABS(G92-H92)&lt;=$B$6*I92,"OK","NG"))</f>
        <v/>
      </c>
      <c r="L92">
        <f>IF(K92="","",IF(K92=D92,1,0))</f>
        <v/>
      </c>
      <c r="M92" t="inlineStr">
        <is>
          <t>W2</t>
        </is>
      </c>
      <c r="N92" s="15" t="n">
        <v>1</v>
      </c>
      <c r="O92" s="15" t="n">
        <v>0</v>
      </c>
      <c r="P92">
        <f>IF(M92="","",IF(M92=E92,1,0))</f>
        <v/>
      </c>
      <c r="Q92">
        <f>IF(K92="OK","-",IF(N92&lt;$B$7,"AMBIGUOUS","CONFIDENT"))</f>
        <v/>
      </c>
    </row>
    <row r="93">
      <c r="A93">
        <f>'Runs Z score'!A85</f>
        <v/>
      </c>
      <c r="B93">
        <f>'Runs Z score'!B85</f>
        <v/>
      </c>
      <c r="C93">
        <f>'Runs Z score'!C85</f>
        <v/>
      </c>
      <c r="D93">
        <f>'Runs Z score'!D85</f>
        <v/>
      </c>
      <c r="E93">
        <f>'Runs Z score'!E85</f>
        <v/>
      </c>
      <c r="F93">
        <f>'Runs Z score'!F85</f>
        <v/>
      </c>
      <c r="G93">
        <f>'Runs Z score'!G85</f>
        <v/>
      </c>
      <c r="H93">
        <f>VLOOKUP(C93,Recipes!$A$2:$N$4,10,FALSE())</f>
        <v/>
      </c>
      <c r="I93">
        <f>VLOOKUP(C93,Recipes!$A$2:$N$4,12,FALSE())</f>
        <v/>
      </c>
      <c r="J93">
        <f>IF(G93="","",H93-G93)</f>
        <v/>
      </c>
      <c r="K93">
        <f>IF(G93="","",IF(ABS(G93-H93)&lt;=$B$6*I93,"OK","NG"))</f>
        <v/>
      </c>
      <c r="L93">
        <f>IF(K93="","",IF(K93=D93,1,0))</f>
        <v/>
      </c>
      <c r="M93" t="inlineStr">
        <is>
          <t>W2</t>
        </is>
      </c>
      <c r="N93" s="15" t="n">
        <v>1</v>
      </c>
      <c r="O93" s="15" t="n">
        <v>0</v>
      </c>
      <c r="P93">
        <f>IF(M93="","",IF(M93=E93,1,0))</f>
        <v/>
      </c>
      <c r="Q93">
        <f>IF(K93="OK","-",IF(N93&lt;$B$7,"AMBIGUOUS","CONFIDENT"))</f>
        <v/>
      </c>
    </row>
    <row r="94">
      <c r="A94">
        <f>'Runs Z score'!A86</f>
        <v/>
      </c>
      <c r="B94">
        <f>'Runs Z score'!B86</f>
        <v/>
      </c>
      <c r="C94">
        <f>'Runs Z score'!C86</f>
        <v/>
      </c>
      <c r="D94">
        <f>'Runs Z score'!D86</f>
        <v/>
      </c>
      <c r="E94">
        <f>'Runs Z score'!E86</f>
        <v/>
      </c>
      <c r="F94">
        <f>'Runs Z score'!F86</f>
        <v/>
      </c>
      <c r="G94">
        <f>'Runs Z score'!G86</f>
        <v/>
      </c>
      <c r="H94">
        <f>VLOOKUP(C94,Recipes!$A$2:$N$4,10,FALSE())</f>
        <v/>
      </c>
      <c r="I94">
        <f>VLOOKUP(C94,Recipes!$A$2:$N$4,12,FALSE())</f>
        <v/>
      </c>
      <c r="J94">
        <f>IF(G94="","",H94-G94)</f>
        <v/>
      </c>
      <c r="K94">
        <f>IF(G94="","",IF(ABS(G94-H94)&lt;=$B$6*I94,"OK","NG"))</f>
        <v/>
      </c>
      <c r="L94">
        <f>IF(K94="","",IF(K94=D94,1,0))</f>
        <v/>
      </c>
      <c r="M94" t="inlineStr">
        <is>
          <t>W2</t>
        </is>
      </c>
      <c r="N94" s="15" t="n">
        <v>1</v>
      </c>
      <c r="O94" s="15" t="n">
        <v>0</v>
      </c>
      <c r="P94">
        <f>IF(M94="","",IF(M94=E94,1,0))</f>
        <v/>
      </c>
      <c r="Q94">
        <f>IF(K94="OK","-",IF(N94&lt;$B$7,"AMBIGUOUS","CONFIDENT"))</f>
        <v/>
      </c>
    </row>
    <row r="95">
      <c r="A95">
        <f>'Runs Z score'!A87</f>
        <v/>
      </c>
      <c r="B95">
        <f>'Runs Z score'!B87</f>
        <v/>
      </c>
      <c r="C95">
        <f>'Runs Z score'!C87</f>
        <v/>
      </c>
      <c r="D95">
        <f>'Runs Z score'!D87</f>
        <v/>
      </c>
      <c r="E95">
        <f>'Runs Z score'!E87</f>
        <v/>
      </c>
      <c r="F95">
        <f>'Runs Z score'!F87</f>
        <v/>
      </c>
      <c r="G95">
        <f>'Runs Z score'!G87</f>
        <v/>
      </c>
      <c r="H95">
        <f>VLOOKUP(C95,Recipes!$A$2:$N$4,10,FALSE())</f>
        <v/>
      </c>
      <c r="I95">
        <f>VLOOKUP(C95,Recipes!$A$2:$N$4,12,FALSE())</f>
        <v/>
      </c>
      <c r="J95">
        <f>IF(G95="","",H95-G95)</f>
        <v/>
      </c>
      <c r="K95">
        <f>IF(G95="","",IF(ABS(G95-H95)&lt;=$B$6*I95,"OK","NG"))</f>
        <v/>
      </c>
      <c r="L95">
        <f>IF(K95="","",IF(K95=D95,1,0))</f>
        <v/>
      </c>
      <c r="M95" t="inlineStr">
        <is>
          <t>W2</t>
        </is>
      </c>
      <c r="N95" s="15" t="n">
        <v>1</v>
      </c>
      <c r="O95" s="15" t="n">
        <v>0</v>
      </c>
      <c r="P95">
        <f>IF(M95="","",IF(M95=E95,1,0))</f>
        <v/>
      </c>
      <c r="Q95">
        <f>IF(K95="OK","-",IF(N95&lt;$B$7,"AMBIGUOUS","CONFIDENT"))</f>
        <v/>
      </c>
    </row>
    <row r="96">
      <c r="A96">
        <f>'Runs Z score'!A88</f>
        <v/>
      </c>
      <c r="B96">
        <f>'Runs Z score'!B88</f>
        <v/>
      </c>
      <c r="C96">
        <f>'Runs Z score'!C88</f>
        <v/>
      </c>
      <c r="D96">
        <f>'Runs Z score'!D88</f>
        <v/>
      </c>
      <c r="E96">
        <f>'Runs Z score'!E88</f>
        <v/>
      </c>
      <c r="F96">
        <f>'Runs Z score'!F88</f>
        <v/>
      </c>
      <c r="G96">
        <f>'Runs Z score'!G88</f>
        <v/>
      </c>
      <c r="H96">
        <f>VLOOKUP(C96,Recipes!$A$2:$N$4,10,FALSE())</f>
        <v/>
      </c>
      <c r="I96">
        <f>VLOOKUP(C96,Recipes!$A$2:$N$4,12,FALSE())</f>
        <v/>
      </c>
      <c r="J96">
        <f>IF(G96="","",H96-G96)</f>
        <v/>
      </c>
      <c r="K96">
        <f>IF(G96="","",IF(ABS(G96-H96)&lt;=$B$6*I96,"OK","NG"))</f>
        <v/>
      </c>
      <c r="L96">
        <f>IF(K96="","",IF(K96=D96,1,0))</f>
        <v/>
      </c>
      <c r="M96" t="inlineStr">
        <is>
          <t>W2</t>
        </is>
      </c>
      <c r="N96" s="15" t="n">
        <v>1</v>
      </c>
      <c r="O96" s="15" t="n">
        <v>0</v>
      </c>
      <c r="P96">
        <f>IF(M96="","",IF(M96=E96,1,0))</f>
        <v/>
      </c>
      <c r="Q96">
        <f>IF(K96="OK","-",IF(N96&lt;$B$7,"AMBIGUOUS","CONFIDENT"))</f>
        <v/>
      </c>
    </row>
    <row r="97">
      <c r="A97">
        <f>'Runs Z score'!A89</f>
        <v/>
      </c>
      <c r="B97">
        <f>'Runs Z score'!B89</f>
        <v/>
      </c>
      <c r="C97">
        <f>'Runs Z score'!C89</f>
        <v/>
      </c>
      <c r="D97">
        <f>'Runs Z score'!D89</f>
        <v/>
      </c>
      <c r="E97">
        <f>'Runs Z score'!E89</f>
        <v/>
      </c>
      <c r="F97">
        <f>'Runs Z score'!F89</f>
        <v/>
      </c>
      <c r="G97">
        <f>'Runs Z score'!G89</f>
        <v/>
      </c>
      <c r="H97">
        <f>VLOOKUP(C97,Recipes!$A$2:$N$4,10,FALSE())</f>
        <v/>
      </c>
      <c r="I97">
        <f>VLOOKUP(C97,Recipes!$A$2:$N$4,12,FALSE())</f>
        <v/>
      </c>
      <c r="J97">
        <f>IF(G97="","",H97-G97)</f>
        <v/>
      </c>
      <c r="K97">
        <f>IF(G97="","",IF(ABS(G97-H97)&lt;=$B$6*I97,"OK","NG"))</f>
        <v/>
      </c>
      <c r="L97">
        <f>IF(K97="","",IF(K97=D97,1,0))</f>
        <v/>
      </c>
      <c r="M97" t="inlineStr">
        <is>
          <t>W2</t>
        </is>
      </c>
      <c r="N97" s="15" t="n">
        <v>1</v>
      </c>
      <c r="O97" s="15" t="n">
        <v>0</v>
      </c>
      <c r="P97">
        <f>IF(M97="","",IF(M97=E97,1,0))</f>
        <v/>
      </c>
      <c r="Q97">
        <f>IF(K97="OK","-",IF(N97&lt;$B$7,"AMBIGUOUS","CONFIDENT"))</f>
        <v/>
      </c>
    </row>
    <row r="98">
      <c r="A98">
        <f>'Runs Z score'!A90</f>
        <v/>
      </c>
      <c r="B98">
        <f>'Runs Z score'!B90</f>
        <v/>
      </c>
      <c r="C98">
        <f>'Runs Z score'!C90</f>
        <v/>
      </c>
      <c r="D98">
        <f>'Runs Z score'!D90</f>
        <v/>
      </c>
      <c r="E98">
        <f>'Runs Z score'!E90</f>
        <v/>
      </c>
      <c r="F98">
        <f>'Runs Z score'!F90</f>
        <v/>
      </c>
      <c r="G98">
        <f>'Runs Z score'!G90</f>
        <v/>
      </c>
      <c r="H98">
        <f>VLOOKUP(C98,Recipes!$A$2:$N$4,10,FALSE())</f>
        <v/>
      </c>
      <c r="I98">
        <f>VLOOKUP(C98,Recipes!$A$2:$N$4,12,FALSE())</f>
        <v/>
      </c>
      <c r="J98">
        <f>IF(G98="","",H98-G98)</f>
        <v/>
      </c>
      <c r="K98">
        <f>IF(G98="","",IF(ABS(G98-H98)&lt;=$B$6*I98,"OK","NG"))</f>
        <v/>
      </c>
      <c r="L98">
        <f>IF(K98="","",IF(K98=D98,1,0))</f>
        <v/>
      </c>
      <c r="M98" t="inlineStr">
        <is>
          <t>W2</t>
        </is>
      </c>
      <c r="N98" s="15" t="n">
        <v>1</v>
      </c>
      <c r="O98" s="15" t="n">
        <v>0</v>
      </c>
      <c r="P98">
        <f>IF(M98="","",IF(M98=E98,1,0))</f>
        <v/>
      </c>
      <c r="Q98">
        <f>IF(K98="OK","-",IF(N98&lt;$B$7,"AMBIGUOUS","CONFIDENT"))</f>
        <v/>
      </c>
    </row>
    <row r="99">
      <c r="A99">
        <f>'Runs Z score'!A91</f>
        <v/>
      </c>
      <c r="B99">
        <f>'Runs Z score'!B91</f>
        <v/>
      </c>
      <c r="C99">
        <f>'Runs Z score'!C91</f>
        <v/>
      </c>
      <c r="D99">
        <f>'Runs Z score'!D91</f>
        <v/>
      </c>
      <c r="E99">
        <f>'Runs Z score'!E91</f>
        <v/>
      </c>
      <c r="F99">
        <f>'Runs Z score'!F91</f>
        <v/>
      </c>
      <c r="G99">
        <f>'Runs Z score'!G91</f>
        <v/>
      </c>
      <c r="H99">
        <f>VLOOKUP(C99,Recipes!$A$2:$N$4,10,FALSE())</f>
        <v/>
      </c>
      <c r="I99">
        <f>VLOOKUP(C99,Recipes!$A$2:$N$4,12,FALSE())</f>
        <v/>
      </c>
      <c r="J99">
        <f>IF(G99="","",H99-G99)</f>
        <v/>
      </c>
      <c r="K99">
        <f>IF(G99="","",IF(ABS(G99-H99)&lt;=$B$6*I99,"OK","NG"))</f>
        <v/>
      </c>
      <c r="L99">
        <f>IF(K99="","",IF(K99=D99,1,0))</f>
        <v/>
      </c>
      <c r="M99" t="inlineStr">
        <is>
          <t>W2</t>
        </is>
      </c>
      <c r="N99" s="15" t="n">
        <v>1</v>
      </c>
      <c r="O99" s="15" t="n">
        <v>0</v>
      </c>
      <c r="P99">
        <f>IF(M99="","",IF(M99=E99,1,0))</f>
        <v/>
      </c>
      <c r="Q99">
        <f>IF(K99="OK","-",IF(N99&lt;$B$7,"AMBIGUOUS","CONFIDENT"))</f>
        <v/>
      </c>
    </row>
    <row r="100">
      <c r="A100">
        <f>'Runs Z score'!A92</f>
        <v/>
      </c>
      <c r="B100">
        <f>'Runs Z score'!B92</f>
        <v/>
      </c>
      <c r="C100">
        <f>'Runs Z score'!C92</f>
        <v/>
      </c>
      <c r="D100">
        <f>'Runs Z score'!D92</f>
        <v/>
      </c>
      <c r="E100">
        <f>'Runs Z score'!E92</f>
        <v/>
      </c>
      <c r="F100">
        <f>'Runs Z score'!F92</f>
        <v/>
      </c>
      <c r="G100">
        <f>'Runs Z score'!G92</f>
        <v/>
      </c>
      <c r="H100">
        <f>VLOOKUP(C100,Recipes!$A$2:$N$4,10,FALSE())</f>
        <v/>
      </c>
      <c r="I100">
        <f>VLOOKUP(C100,Recipes!$A$2:$N$4,12,FALSE())</f>
        <v/>
      </c>
      <c r="J100">
        <f>IF(G100="","",H100-G100)</f>
        <v/>
      </c>
      <c r="K100">
        <f>IF(G100="","",IF(ABS(G100-H100)&lt;=$B$6*I100,"OK","NG"))</f>
        <v/>
      </c>
      <c r="L100">
        <f>IF(K100="","",IF(K100=D100,1,0))</f>
        <v/>
      </c>
      <c r="M100" t="inlineStr">
        <is>
          <t>W2</t>
        </is>
      </c>
      <c r="N100" s="15" t="n">
        <v>1</v>
      </c>
      <c r="O100" s="15" t="n">
        <v>0</v>
      </c>
      <c r="P100">
        <f>IF(M100="","",IF(M100=E100,1,0))</f>
        <v/>
      </c>
      <c r="Q100">
        <f>IF(K100="OK","-",IF(N100&lt;$B$7,"AMBIGUOUS","CONFIDENT"))</f>
        <v/>
      </c>
    </row>
    <row r="101">
      <c r="A101">
        <f>'Runs Z score'!A93</f>
        <v/>
      </c>
      <c r="B101">
        <f>'Runs Z score'!B93</f>
        <v/>
      </c>
      <c r="C101">
        <f>'Runs Z score'!C93</f>
        <v/>
      </c>
      <c r="D101">
        <f>'Runs Z score'!D93</f>
        <v/>
      </c>
      <c r="E101">
        <f>'Runs Z score'!E93</f>
        <v/>
      </c>
      <c r="F101">
        <f>'Runs Z score'!F93</f>
        <v/>
      </c>
      <c r="G101">
        <f>'Runs Z score'!G93</f>
        <v/>
      </c>
      <c r="H101">
        <f>VLOOKUP(C101,Recipes!$A$2:$N$4,10,FALSE())</f>
        <v/>
      </c>
      <c r="I101">
        <f>VLOOKUP(C101,Recipes!$A$2:$N$4,12,FALSE())</f>
        <v/>
      </c>
      <c r="J101">
        <f>IF(G101="","",H101-G101)</f>
        <v/>
      </c>
      <c r="K101">
        <f>IF(G101="","",IF(ABS(G101-H101)&lt;=$B$6*I101,"OK","NG"))</f>
        <v/>
      </c>
      <c r="L101">
        <f>IF(K101="","",IF(K101=D101,1,0))</f>
        <v/>
      </c>
      <c r="M101" t="inlineStr">
        <is>
          <t>N2</t>
        </is>
      </c>
      <c r="N101" s="15" t="n">
        <v>1</v>
      </c>
      <c r="O101" s="15" t="n">
        <v>0</v>
      </c>
      <c r="P101">
        <f>IF(M101="","",IF(M101=E101,1,0))</f>
        <v/>
      </c>
      <c r="Q101">
        <f>IF(K101="OK","-",IF(N101&lt;$B$7,"AMBIGUOUS","CONFIDENT"))</f>
        <v/>
      </c>
    </row>
    <row r="102">
      <c r="A102">
        <f>'Runs Z score'!A94</f>
        <v/>
      </c>
      <c r="B102">
        <f>'Runs Z score'!B94</f>
        <v/>
      </c>
      <c r="C102">
        <f>'Runs Z score'!C94</f>
        <v/>
      </c>
      <c r="D102">
        <f>'Runs Z score'!D94</f>
        <v/>
      </c>
      <c r="E102">
        <f>'Runs Z score'!E94</f>
        <v/>
      </c>
      <c r="F102">
        <f>'Runs Z score'!F94</f>
        <v/>
      </c>
      <c r="G102">
        <f>'Runs Z score'!G94</f>
        <v/>
      </c>
      <c r="H102">
        <f>VLOOKUP(C102,Recipes!$A$2:$N$4,10,FALSE())</f>
        <v/>
      </c>
      <c r="I102">
        <f>VLOOKUP(C102,Recipes!$A$2:$N$4,12,FALSE())</f>
        <v/>
      </c>
      <c r="J102">
        <f>IF(G102="","",H102-G102)</f>
        <v/>
      </c>
      <c r="K102">
        <f>IF(G102="","",IF(ABS(G102-H102)&lt;=$B$6*I102,"OK","NG"))</f>
        <v/>
      </c>
      <c r="L102">
        <f>IF(K102="","",IF(K102=D102,1,0))</f>
        <v/>
      </c>
      <c r="M102" t="inlineStr">
        <is>
          <t>N2</t>
        </is>
      </c>
      <c r="N102" s="15" t="n">
        <v>1</v>
      </c>
      <c r="O102" s="15" t="n">
        <v>0</v>
      </c>
      <c r="P102">
        <f>IF(M102="","",IF(M102=E102,1,0))</f>
        <v/>
      </c>
      <c r="Q102">
        <f>IF(K102="OK","-",IF(N102&lt;$B$7,"AMBIGUOUS","CONFIDENT"))</f>
        <v/>
      </c>
    </row>
    <row r="103">
      <c r="A103">
        <f>'Runs Z score'!A95</f>
        <v/>
      </c>
      <c r="B103">
        <f>'Runs Z score'!B95</f>
        <v/>
      </c>
      <c r="C103">
        <f>'Runs Z score'!C95</f>
        <v/>
      </c>
      <c r="D103">
        <f>'Runs Z score'!D95</f>
        <v/>
      </c>
      <c r="E103">
        <f>'Runs Z score'!E95</f>
        <v/>
      </c>
      <c r="F103">
        <f>'Runs Z score'!F95</f>
        <v/>
      </c>
      <c r="G103">
        <f>'Runs Z score'!G95</f>
        <v/>
      </c>
      <c r="H103">
        <f>VLOOKUP(C103,Recipes!$A$2:$N$4,10,FALSE())</f>
        <v/>
      </c>
      <c r="I103">
        <f>VLOOKUP(C103,Recipes!$A$2:$N$4,12,FALSE())</f>
        <v/>
      </c>
      <c r="J103">
        <f>IF(G103="","",H103-G103)</f>
        <v/>
      </c>
      <c r="K103">
        <f>IF(G103="","",IF(ABS(G103-H103)&lt;=$B$6*I103,"OK","NG"))</f>
        <v/>
      </c>
      <c r="L103">
        <f>IF(K103="","",IF(K103=D103,1,0))</f>
        <v/>
      </c>
      <c r="M103" t="inlineStr">
        <is>
          <t>N2</t>
        </is>
      </c>
      <c r="N103" s="15" t="n">
        <v>1</v>
      </c>
      <c r="O103" s="15" t="n">
        <v>0</v>
      </c>
      <c r="P103">
        <f>IF(M103="","",IF(M103=E103,1,0))</f>
        <v/>
      </c>
      <c r="Q103">
        <f>IF(K103="OK","-",IF(N103&lt;$B$7,"AMBIGUOUS","CONFIDENT"))</f>
        <v/>
      </c>
    </row>
    <row r="104">
      <c r="A104">
        <f>'Runs Z score'!A96</f>
        <v/>
      </c>
      <c r="B104">
        <f>'Runs Z score'!B96</f>
        <v/>
      </c>
      <c r="C104">
        <f>'Runs Z score'!C96</f>
        <v/>
      </c>
      <c r="D104">
        <f>'Runs Z score'!D96</f>
        <v/>
      </c>
      <c r="E104">
        <f>'Runs Z score'!E96</f>
        <v/>
      </c>
      <c r="F104">
        <f>'Runs Z score'!F96</f>
        <v/>
      </c>
      <c r="G104">
        <f>'Runs Z score'!G96</f>
        <v/>
      </c>
      <c r="H104">
        <f>VLOOKUP(C104,Recipes!$A$2:$N$4,10,FALSE())</f>
        <v/>
      </c>
      <c r="I104">
        <f>VLOOKUP(C104,Recipes!$A$2:$N$4,12,FALSE())</f>
        <v/>
      </c>
      <c r="J104">
        <f>IF(G104="","",H104-G104)</f>
        <v/>
      </c>
      <c r="K104">
        <f>IF(G104="","",IF(ABS(G104-H104)&lt;=$B$6*I104,"OK","NG"))</f>
        <v/>
      </c>
      <c r="L104">
        <f>IF(K104="","",IF(K104=D104,1,0))</f>
        <v/>
      </c>
      <c r="M104" t="inlineStr">
        <is>
          <t>N2</t>
        </is>
      </c>
      <c r="N104" s="15" t="n">
        <v>1</v>
      </c>
      <c r="O104" s="15" t="n">
        <v>0</v>
      </c>
      <c r="P104">
        <f>IF(M104="","",IF(M104=E104,1,0))</f>
        <v/>
      </c>
      <c r="Q104">
        <f>IF(K104="OK","-",IF(N104&lt;$B$7,"AMBIGUOUS","CONFIDENT"))</f>
        <v/>
      </c>
    </row>
    <row r="105">
      <c r="A105">
        <f>'Runs Z score'!A97</f>
        <v/>
      </c>
      <c r="B105">
        <f>'Runs Z score'!B97</f>
        <v/>
      </c>
      <c r="C105">
        <f>'Runs Z score'!C97</f>
        <v/>
      </c>
      <c r="D105">
        <f>'Runs Z score'!D97</f>
        <v/>
      </c>
      <c r="E105">
        <f>'Runs Z score'!E97</f>
        <v/>
      </c>
      <c r="F105">
        <f>'Runs Z score'!F97</f>
        <v/>
      </c>
      <c r="G105">
        <f>'Runs Z score'!G97</f>
        <v/>
      </c>
      <c r="H105">
        <f>VLOOKUP(C105,Recipes!$A$2:$N$4,10,FALSE())</f>
        <v/>
      </c>
      <c r="I105">
        <f>VLOOKUP(C105,Recipes!$A$2:$N$4,12,FALSE())</f>
        <v/>
      </c>
      <c r="J105">
        <f>IF(G105="","",H105-G105)</f>
        <v/>
      </c>
      <c r="K105">
        <f>IF(G105="","",IF(ABS(G105-H105)&lt;=$B$6*I105,"OK","NG"))</f>
        <v/>
      </c>
      <c r="L105">
        <f>IF(K105="","",IF(K105=D105,1,0))</f>
        <v/>
      </c>
      <c r="M105" t="inlineStr">
        <is>
          <t>N2</t>
        </is>
      </c>
      <c r="N105" s="15" t="n">
        <v>1</v>
      </c>
      <c r="O105" s="15" t="n">
        <v>0</v>
      </c>
      <c r="P105">
        <f>IF(M105="","",IF(M105=E105,1,0))</f>
        <v/>
      </c>
      <c r="Q105">
        <f>IF(K105="OK","-",IF(N105&lt;$B$7,"AMBIGUOUS","CONFIDENT"))</f>
        <v/>
      </c>
    </row>
    <row r="106">
      <c r="A106">
        <f>'Runs Z score'!A98</f>
        <v/>
      </c>
      <c r="B106">
        <f>'Runs Z score'!B98</f>
        <v/>
      </c>
      <c r="C106">
        <f>'Runs Z score'!C98</f>
        <v/>
      </c>
      <c r="D106">
        <f>'Runs Z score'!D98</f>
        <v/>
      </c>
      <c r="E106">
        <f>'Runs Z score'!E98</f>
        <v/>
      </c>
      <c r="F106">
        <f>'Runs Z score'!F98</f>
        <v/>
      </c>
      <c r="G106">
        <f>'Runs Z score'!G98</f>
        <v/>
      </c>
      <c r="H106">
        <f>VLOOKUP(C106,Recipes!$A$2:$N$4,10,FALSE())</f>
        <v/>
      </c>
      <c r="I106">
        <f>VLOOKUP(C106,Recipes!$A$2:$N$4,12,FALSE())</f>
        <v/>
      </c>
      <c r="J106">
        <f>IF(G106="","",H106-G106)</f>
        <v/>
      </c>
      <c r="K106">
        <f>IF(G106="","",IF(ABS(G106-H106)&lt;=$B$6*I106,"OK","NG"))</f>
        <v/>
      </c>
      <c r="L106">
        <f>IF(K106="","",IF(K106=D106,1,0))</f>
        <v/>
      </c>
      <c r="M106" t="inlineStr">
        <is>
          <t>N2</t>
        </is>
      </c>
      <c r="N106" s="15" t="n">
        <v>1</v>
      </c>
      <c r="O106" s="15" t="n">
        <v>0</v>
      </c>
      <c r="P106">
        <f>IF(M106="","",IF(M106=E106,1,0))</f>
        <v/>
      </c>
      <c r="Q106">
        <f>IF(K106="OK","-",IF(N106&lt;$B$7,"AMBIGUOUS","CONFIDENT"))</f>
        <v/>
      </c>
    </row>
    <row r="107">
      <c r="A107">
        <f>'Runs Z score'!A99</f>
        <v/>
      </c>
      <c r="B107">
        <f>'Runs Z score'!B99</f>
        <v/>
      </c>
      <c r="C107">
        <f>'Runs Z score'!C99</f>
        <v/>
      </c>
      <c r="D107">
        <f>'Runs Z score'!D99</f>
        <v/>
      </c>
      <c r="E107">
        <f>'Runs Z score'!E99</f>
        <v/>
      </c>
      <c r="F107">
        <f>'Runs Z score'!F99</f>
        <v/>
      </c>
      <c r="G107">
        <f>'Runs Z score'!G99</f>
        <v/>
      </c>
      <c r="H107">
        <f>VLOOKUP(C107,Recipes!$A$2:$N$4,10,FALSE())</f>
        <v/>
      </c>
      <c r="I107">
        <f>VLOOKUP(C107,Recipes!$A$2:$N$4,12,FALSE())</f>
        <v/>
      </c>
      <c r="J107">
        <f>IF(G107="","",H107-G107)</f>
        <v/>
      </c>
      <c r="K107">
        <f>IF(G107="","",IF(ABS(G107-H107)&lt;=$B$6*I107,"OK","NG"))</f>
        <v/>
      </c>
      <c r="L107">
        <f>IF(K107="","",IF(K107=D107,1,0))</f>
        <v/>
      </c>
      <c r="M107" t="inlineStr">
        <is>
          <t>N2</t>
        </is>
      </c>
      <c r="N107" s="15" t="n">
        <v>1</v>
      </c>
      <c r="O107" s="15" t="n">
        <v>0</v>
      </c>
      <c r="P107">
        <f>IF(M107="","",IF(M107=E107,1,0))</f>
        <v/>
      </c>
      <c r="Q107">
        <f>IF(K107="OK","-",IF(N107&lt;$B$7,"AMBIGUOUS","CONFIDENT"))</f>
        <v/>
      </c>
    </row>
    <row r="108">
      <c r="A108">
        <f>'Runs Z score'!A100</f>
        <v/>
      </c>
      <c r="B108">
        <f>'Runs Z score'!B100</f>
        <v/>
      </c>
      <c r="C108">
        <f>'Runs Z score'!C100</f>
        <v/>
      </c>
      <c r="D108">
        <f>'Runs Z score'!D100</f>
        <v/>
      </c>
      <c r="E108">
        <f>'Runs Z score'!E100</f>
        <v/>
      </c>
      <c r="F108">
        <f>'Runs Z score'!F100</f>
        <v/>
      </c>
      <c r="G108">
        <f>'Runs Z score'!G100</f>
        <v/>
      </c>
      <c r="H108">
        <f>VLOOKUP(C108,Recipes!$A$2:$N$4,10,FALSE())</f>
        <v/>
      </c>
      <c r="I108">
        <f>VLOOKUP(C108,Recipes!$A$2:$N$4,12,FALSE())</f>
        <v/>
      </c>
      <c r="J108">
        <f>IF(G108="","",H108-G108)</f>
        <v/>
      </c>
      <c r="K108">
        <f>IF(G108="","",IF(ABS(G108-H108)&lt;=$B$6*I108,"OK","NG"))</f>
        <v/>
      </c>
      <c r="L108">
        <f>IF(K108="","",IF(K108=D108,1,0))</f>
        <v/>
      </c>
      <c r="M108" t="inlineStr">
        <is>
          <t>N2</t>
        </is>
      </c>
      <c r="N108" s="15" t="n">
        <v>1</v>
      </c>
      <c r="O108" s="15" t="n">
        <v>0</v>
      </c>
      <c r="P108">
        <f>IF(M108="","",IF(M108=E108,1,0))</f>
        <v/>
      </c>
      <c r="Q108">
        <f>IF(K108="OK","-",IF(N108&lt;$B$7,"AMBIGUOUS","CONFIDENT"))</f>
        <v/>
      </c>
    </row>
    <row r="109">
      <c r="A109">
        <f>'Runs Z score'!A101</f>
        <v/>
      </c>
      <c r="B109">
        <f>'Runs Z score'!B101</f>
        <v/>
      </c>
      <c r="C109">
        <f>'Runs Z score'!C101</f>
        <v/>
      </c>
      <c r="D109">
        <f>'Runs Z score'!D101</f>
        <v/>
      </c>
      <c r="E109">
        <f>'Runs Z score'!E101</f>
        <v/>
      </c>
      <c r="F109">
        <f>'Runs Z score'!F101</f>
        <v/>
      </c>
      <c r="G109">
        <f>'Runs Z score'!G101</f>
        <v/>
      </c>
      <c r="H109">
        <f>VLOOKUP(C109,Recipes!$A$2:$N$4,10,FALSE())</f>
        <v/>
      </c>
      <c r="I109">
        <f>VLOOKUP(C109,Recipes!$A$2:$N$4,12,FALSE())</f>
        <v/>
      </c>
      <c r="J109">
        <f>IF(G109="","",H109-G109)</f>
        <v/>
      </c>
      <c r="K109">
        <f>IF(G109="","",IF(ABS(G109-H109)&lt;=$B$6*I109,"OK","NG"))</f>
        <v/>
      </c>
      <c r="L109">
        <f>IF(K109="","",IF(K109=D109,1,0))</f>
        <v/>
      </c>
      <c r="M109" t="inlineStr">
        <is>
          <t>N2</t>
        </is>
      </c>
      <c r="N109" s="15" t="n">
        <v>1</v>
      </c>
      <c r="O109" s="15" t="n">
        <v>0</v>
      </c>
      <c r="P109">
        <f>IF(M109="","",IF(M109=E109,1,0))</f>
        <v/>
      </c>
      <c r="Q109">
        <f>IF(K109="OK","-",IF(N109&lt;$B$7,"AMBIGUOUS","CONFIDENT"))</f>
        <v/>
      </c>
    </row>
    <row r="110">
      <c r="A110">
        <f>'Runs Z score'!A102</f>
        <v/>
      </c>
      <c r="B110">
        <f>'Runs Z score'!B102</f>
        <v/>
      </c>
      <c r="C110">
        <f>'Runs Z score'!C102</f>
        <v/>
      </c>
      <c r="D110">
        <f>'Runs Z score'!D102</f>
        <v/>
      </c>
      <c r="E110">
        <f>'Runs Z score'!E102</f>
        <v/>
      </c>
      <c r="F110">
        <f>'Runs Z score'!F102</f>
        <v/>
      </c>
      <c r="G110">
        <f>'Runs Z score'!G102</f>
        <v/>
      </c>
      <c r="H110">
        <f>VLOOKUP(C110,Recipes!$A$2:$N$4,10,FALSE())</f>
        <v/>
      </c>
      <c r="I110">
        <f>VLOOKUP(C110,Recipes!$A$2:$N$4,12,FALSE())</f>
        <v/>
      </c>
      <c r="J110">
        <f>IF(G110="","",H110-G110)</f>
        <v/>
      </c>
      <c r="K110">
        <f>IF(G110="","",IF(ABS(G110-H110)&lt;=$B$6*I110,"OK","NG"))</f>
        <v/>
      </c>
      <c r="L110">
        <f>IF(K110="","",IF(K110=D110,1,0))</f>
        <v/>
      </c>
      <c r="M110" t="inlineStr">
        <is>
          <t>N2</t>
        </is>
      </c>
      <c r="N110" s="15" t="n">
        <v>1</v>
      </c>
      <c r="O110" s="15" t="n">
        <v>0</v>
      </c>
      <c r="P110">
        <f>IF(M110="","",IF(M110=E110,1,0))</f>
        <v/>
      </c>
      <c r="Q110">
        <f>IF(K110="OK","-",IF(N110&lt;$B$7,"AMBIGUOUS","CONFIDENT"))</f>
        <v/>
      </c>
    </row>
    <row r="111">
      <c r="A111">
        <f>'Runs Z score'!A103</f>
        <v/>
      </c>
      <c r="B111">
        <f>'Runs Z score'!B103</f>
        <v/>
      </c>
      <c r="C111">
        <f>'Runs Z score'!C103</f>
        <v/>
      </c>
      <c r="D111">
        <f>'Runs Z score'!D103</f>
        <v/>
      </c>
      <c r="E111">
        <f>'Runs Z score'!E103</f>
        <v/>
      </c>
      <c r="F111">
        <f>'Runs Z score'!F103</f>
        <v/>
      </c>
      <c r="G111">
        <f>'Runs Z score'!G103</f>
        <v/>
      </c>
      <c r="H111">
        <f>VLOOKUP(C111,Recipes!$A$2:$N$4,10,FALSE())</f>
        <v/>
      </c>
      <c r="I111">
        <f>VLOOKUP(C111,Recipes!$A$2:$N$4,12,FALSE())</f>
        <v/>
      </c>
      <c r="J111">
        <f>IF(G111="","",H111-G111)</f>
        <v/>
      </c>
      <c r="K111">
        <f>IF(G111="","",IF(ABS(G111-H111)&lt;=$B$6*I111,"OK","NG"))</f>
        <v/>
      </c>
      <c r="L111">
        <f>IF(K111="","",IF(K111=D111,1,0))</f>
        <v/>
      </c>
      <c r="M111" t="inlineStr">
        <is>
          <t>N2</t>
        </is>
      </c>
      <c r="N111" s="15" t="n">
        <v>1</v>
      </c>
      <c r="O111" s="15" t="n">
        <v>0</v>
      </c>
      <c r="P111">
        <f>IF(M111="","",IF(M111=E111,1,0))</f>
        <v/>
      </c>
      <c r="Q111">
        <f>IF(K111="OK","-",IF(N111&lt;$B$7,"AMBIGUOUS","CONFIDENT"))</f>
        <v/>
      </c>
    </row>
    <row r="112">
      <c r="A112">
        <f>'Runs Z score'!A104</f>
        <v/>
      </c>
      <c r="B112">
        <f>'Runs Z score'!B104</f>
        <v/>
      </c>
      <c r="C112">
        <f>'Runs Z score'!C104</f>
        <v/>
      </c>
      <c r="D112">
        <f>'Runs Z score'!D104</f>
        <v/>
      </c>
      <c r="E112">
        <f>'Runs Z score'!E104</f>
        <v/>
      </c>
      <c r="F112">
        <f>'Runs Z score'!F104</f>
        <v/>
      </c>
      <c r="G112">
        <f>'Runs Z score'!G104</f>
        <v/>
      </c>
      <c r="H112">
        <f>VLOOKUP(C112,Recipes!$A$2:$N$4,10,FALSE())</f>
        <v/>
      </c>
      <c r="I112">
        <f>VLOOKUP(C112,Recipes!$A$2:$N$4,12,FALSE())</f>
        <v/>
      </c>
      <c r="J112">
        <f>IF(G112="","",H112-G112)</f>
        <v/>
      </c>
      <c r="K112">
        <f>IF(G112="","",IF(ABS(G112-H112)&lt;=$B$6*I112,"OK","NG"))</f>
        <v/>
      </c>
      <c r="L112">
        <f>IF(K112="","",IF(K112=D112,1,0))</f>
        <v/>
      </c>
      <c r="M112" t="inlineStr">
        <is>
          <t>N2</t>
        </is>
      </c>
      <c r="N112" s="15" t="n">
        <v>1</v>
      </c>
      <c r="O112" s="15" t="n">
        <v>0</v>
      </c>
      <c r="P112">
        <f>IF(M112="","",IF(M112=E112,1,0))</f>
        <v/>
      </c>
      <c r="Q112">
        <f>IF(K112="OK","-",IF(N112&lt;$B$7,"AMBIGUOUS","CONFIDENT"))</f>
        <v/>
      </c>
    </row>
    <row r="113">
      <c r="A113">
        <f>'Runs Z score'!A105</f>
        <v/>
      </c>
      <c r="B113">
        <f>'Runs Z score'!B105</f>
        <v/>
      </c>
      <c r="C113">
        <f>'Runs Z score'!C105</f>
        <v/>
      </c>
      <c r="D113">
        <f>'Runs Z score'!D105</f>
        <v/>
      </c>
      <c r="E113">
        <f>'Runs Z score'!E105</f>
        <v/>
      </c>
      <c r="F113">
        <f>'Runs Z score'!F105</f>
        <v/>
      </c>
      <c r="G113">
        <f>'Runs Z score'!G105</f>
        <v/>
      </c>
      <c r="H113">
        <f>VLOOKUP(C113,Recipes!$A$2:$N$4,10,FALSE())</f>
        <v/>
      </c>
      <c r="I113">
        <f>VLOOKUP(C113,Recipes!$A$2:$N$4,12,FALSE())</f>
        <v/>
      </c>
      <c r="J113">
        <f>IF(G113="","",H113-G113)</f>
        <v/>
      </c>
      <c r="K113">
        <f>IF(G113="","",IF(ABS(G113-H113)&lt;=$B$6*I113,"OK","NG"))</f>
        <v/>
      </c>
      <c r="L113">
        <f>IF(K113="","",IF(K113=D113,1,0))</f>
        <v/>
      </c>
      <c r="M113" t="inlineStr">
        <is>
          <t>N2</t>
        </is>
      </c>
      <c r="N113" s="15" t="n">
        <v>1</v>
      </c>
      <c r="O113" s="15" t="n">
        <v>0</v>
      </c>
      <c r="P113">
        <f>IF(M113="","",IF(M113=E113,1,0))</f>
        <v/>
      </c>
      <c r="Q113">
        <f>IF(K113="OK","-",IF(N113&lt;$B$7,"AMBIGUOUS","CONFIDENT"))</f>
        <v/>
      </c>
    </row>
    <row r="114">
      <c r="A114">
        <f>'Runs Z score'!A106</f>
        <v/>
      </c>
      <c r="B114">
        <f>'Runs Z score'!B106</f>
        <v/>
      </c>
      <c r="C114">
        <f>'Runs Z score'!C106</f>
        <v/>
      </c>
      <c r="D114">
        <f>'Runs Z score'!D106</f>
        <v/>
      </c>
      <c r="E114">
        <f>'Runs Z score'!E106</f>
        <v/>
      </c>
      <c r="F114">
        <f>'Runs Z score'!F106</f>
        <v/>
      </c>
      <c r="G114">
        <f>'Runs Z score'!G106</f>
        <v/>
      </c>
      <c r="H114">
        <f>VLOOKUP(C114,Recipes!$A$2:$N$4,10,FALSE())</f>
        <v/>
      </c>
      <c r="I114">
        <f>VLOOKUP(C114,Recipes!$A$2:$N$4,12,FALSE())</f>
        <v/>
      </c>
      <c r="J114">
        <f>IF(G114="","",H114-G114)</f>
        <v/>
      </c>
      <c r="K114">
        <f>IF(G114="","",IF(ABS(G114-H114)&lt;=$B$6*I114,"OK","NG"))</f>
        <v/>
      </c>
      <c r="L114">
        <f>IF(K114="","",IF(K114=D114,1,0))</f>
        <v/>
      </c>
      <c r="M114" t="inlineStr">
        <is>
          <t>N2</t>
        </is>
      </c>
      <c r="N114" s="15" t="n">
        <v>1</v>
      </c>
      <c r="O114" s="15" t="n">
        <v>0</v>
      </c>
      <c r="P114">
        <f>IF(M114="","",IF(M114=E114,1,0))</f>
        <v/>
      </c>
      <c r="Q114">
        <f>IF(K114="OK","-",IF(N114&lt;$B$7,"AMBIGUOUS","CONFIDENT"))</f>
        <v/>
      </c>
    </row>
    <row r="115">
      <c r="A115">
        <f>'Runs Z score'!A107</f>
        <v/>
      </c>
      <c r="B115">
        <f>'Runs Z score'!B107</f>
        <v/>
      </c>
      <c r="C115">
        <f>'Runs Z score'!C107</f>
        <v/>
      </c>
      <c r="D115">
        <f>'Runs Z score'!D107</f>
        <v/>
      </c>
      <c r="E115">
        <f>'Runs Z score'!E107</f>
        <v/>
      </c>
      <c r="F115">
        <f>'Runs Z score'!F107</f>
        <v/>
      </c>
      <c r="G115">
        <f>'Runs Z score'!G107</f>
        <v/>
      </c>
      <c r="H115">
        <f>VLOOKUP(C115,Recipes!$A$2:$N$4,10,FALSE())</f>
        <v/>
      </c>
      <c r="I115">
        <f>VLOOKUP(C115,Recipes!$A$2:$N$4,12,FALSE())</f>
        <v/>
      </c>
      <c r="J115">
        <f>IF(G115="","",H115-G115)</f>
        <v/>
      </c>
      <c r="K115">
        <f>IF(G115="","",IF(ABS(G115-H115)&lt;=$B$6*I115,"OK","NG"))</f>
        <v/>
      </c>
      <c r="L115">
        <f>IF(K115="","",IF(K115=D115,1,0))</f>
        <v/>
      </c>
      <c r="M115" t="inlineStr">
        <is>
          <t>N2</t>
        </is>
      </c>
      <c r="N115" s="15" t="n">
        <v>1</v>
      </c>
      <c r="O115" s="15" t="n">
        <v>0</v>
      </c>
      <c r="P115">
        <f>IF(M115="","",IF(M115=E115,1,0))</f>
        <v/>
      </c>
      <c r="Q115">
        <f>IF(K115="OK","-",IF(N115&lt;$B$7,"AMBIGUOUS","CONFIDENT"))</f>
        <v/>
      </c>
    </row>
    <row r="116">
      <c r="A116">
        <f>'Runs Z score'!A108</f>
        <v/>
      </c>
      <c r="B116">
        <f>'Runs Z score'!B108</f>
        <v/>
      </c>
      <c r="C116">
        <f>'Runs Z score'!C108</f>
        <v/>
      </c>
      <c r="D116">
        <f>'Runs Z score'!D108</f>
        <v/>
      </c>
      <c r="E116">
        <f>'Runs Z score'!E108</f>
        <v/>
      </c>
      <c r="F116">
        <f>'Runs Z score'!F108</f>
        <v/>
      </c>
      <c r="G116">
        <f>'Runs Z score'!G108</f>
        <v/>
      </c>
      <c r="H116">
        <f>VLOOKUP(C116,Recipes!$A$2:$N$4,10,FALSE())</f>
        <v/>
      </c>
      <c r="I116">
        <f>VLOOKUP(C116,Recipes!$A$2:$N$4,12,FALSE())</f>
        <v/>
      </c>
      <c r="J116">
        <f>IF(G116="","",H116-G116)</f>
        <v/>
      </c>
      <c r="K116">
        <f>IF(G116="","",IF(ABS(G116-H116)&lt;=$B$6*I116,"OK","NG"))</f>
        <v/>
      </c>
      <c r="L116">
        <f>IF(K116="","",IF(K116=D116,1,0))</f>
        <v/>
      </c>
      <c r="M116" t="inlineStr">
        <is>
          <t>N2</t>
        </is>
      </c>
      <c r="N116" s="15" t="n">
        <v>1</v>
      </c>
      <c r="O116" s="15" t="n">
        <v>0</v>
      </c>
      <c r="P116">
        <f>IF(M116="","",IF(M116=E116,1,0))</f>
        <v/>
      </c>
      <c r="Q116">
        <f>IF(K116="OK","-",IF(N116&lt;$B$7,"AMBIGUOUS","CONFIDENT"))</f>
        <v/>
      </c>
    </row>
    <row r="117">
      <c r="A117">
        <f>'Runs Z score'!A109</f>
        <v/>
      </c>
      <c r="B117">
        <f>'Runs Z score'!B109</f>
        <v/>
      </c>
      <c r="C117">
        <f>'Runs Z score'!C109</f>
        <v/>
      </c>
      <c r="D117">
        <f>'Runs Z score'!D109</f>
        <v/>
      </c>
      <c r="E117">
        <f>'Runs Z score'!E109</f>
        <v/>
      </c>
      <c r="F117">
        <f>'Runs Z score'!F109</f>
        <v/>
      </c>
      <c r="G117">
        <f>'Runs Z score'!G109</f>
        <v/>
      </c>
      <c r="H117">
        <f>VLOOKUP(C117,Recipes!$A$2:$N$4,10,FALSE())</f>
        <v/>
      </c>
      <c r="I117">
        <f>VLOOKUP(C117,Recipes!$A$2:$N$4,12,FALSE())</f>
        <v/>
      </c>
      <c r="J117">
        <f>IF(G117="","",H117-G117)</f>
        <v/>
      </c>
      <c r="K117">
        <f>IF(G117="","",IF(ABS(G117-H117)&lt;=$B$6*I117,"OK","NG"))</f>
        <v/>
      </c>
      <c r="L117">
        <f>IF(K117="","",IF(K117=D117,1,0))</f>
        <v/>
      </c>
      <c r="M117" t="inlineStr">
        <is>
          <t>N2</t>
        </is>
      </c>
      <c r="N117" s="15" t="n">
        <v>1</v>
      </c>
      <c r="O117" s="15" t="n">
        <v>0</v>
      </c>
      <c r="P117">
        <f>IF(M117="","",IF(M117=E117,1,0))</f>
        <v/>
      </c>
      <c r="Q117">
        <f>IF(K117="OK","-",IF(N117&lt;$B$7,"AMBIGUOUS","CONFIDENT"))</f>
        <v/>
      </c>
    </row>
    <row r="118">
      <c r="A118">
        <f>'Runs Z score'!A110</f>
        <v/>
      </c>
      <c r="B118">
        <f>'Runs Z score'!B110</f>
        <v/>
      </c>
      <c r="C118">
        <f>'Runs Z score'!C110</f>
        <v/>
      </c>
      <c r="D118">
        <f>'Runs Z score'!D110</f>
        <v/>
      </c>
      <c r="E118">
        <f>'Runs Z score'!E110</f>
        <v/>
      </c>
      <c r="F118">
        <f>'Runs Z score'!F110</f>
        <v/>
      </c>
      <c r="G118">
        <f>'Runs Z score'!G110</f>
        <v/>
      </c>
      <c r="H118">
        <f>VLOOKUP(C118,Recipes!$A$2:$N$4,10,FALSE())</f>
        <v/>
      </c>
      <c r="I118">
        <f>VLOOKUP(C118,Recipes!$A$2:$N$4,12,FALSE())</f>
        <v/>
      </c>
      <c r="J118">
        <f>IF(G118="","",H118-G118)</f>
        <v/>
      </c>
      <c r="K118">
        <f>IF(G118="","",IF(ABS(G118-H118)&lt;=$B$6*I118,"OK","NG"))</f>
        <v/>
      </c>
      <c r="L118">
        <f>IF(K118="","",IF(K118=D118,1,0))</f>
        <v/>
      </c>
      <c r="M118" t="inlineStr">
        <is>
          <t>N2</t>
        </is>
      </c>
      <c r="N118" s="15" t="n">
        <v>1</v>
      </c>
      <c r="O118" s="15" t="n">
        <v>0</v>
      </c>
      <c r="P118">
        <f>IF(M118="","",IF(M118=E118,1,0))</f>
        <v/>
      </c>
      <c r="Q118">
        <f>IF(K118="OK","-",IF(N118&lt;$B$7,"AMBIGUOUS","CONFIDENT"))</f>
        <v/>
      </c>
    </row>
    <row r="119">
      <c r="A119">
        <f>'Runs Z score'!A111</f>
        <v/>
      </c>
      <c r="B119">
        <f>'Runs Z score'!B111</f>
        <v/>
      </c>
      <c r="C119">
        <f>'Runs Z score'!C111</f>
        <v/>
      </c>
      <c r="D119">
        <f>'Runs Z score'!D111</f>
        <v/>
      </c>
      <c r="E119">
        <f>'Runs Z score'!E111</f>
        <v/>
      </c>
      <c r="F119">
        <f>'Runs Z score'!F111</f>
        <v/>
      </c>
      <c r="G119">
        <f>'Runs Z score'!G111</f>
        <v/>
      </c>
      <c r="H119">
        <f>VLOOKUP(C119,Recipes!$A$2:$N$4,10,FALSE())</f>
        <v/>
      </c>
      <c r="I119">
        <f>VLOOKUP(C119,Recipes!$A$2:$N$4,12,FALSE())</f>
        <v/>
      </c>
      <c r="J119">
        <f>IF(G119="","",H119-G119)</f>
        <v/>
      </c>
      <c r="K119">
        <f>IF(G119="","",IF(ABS(G119-H119)&lt;=$B$6*I119,"OK","NG"))</f>
        <v/>
      </c>
      <c r="L119">
        <f>IF(K119="","",IF(K119=D119,1,0))</f>
        <v/>
      </c>
      <c r="M119" t="inlineStr">
        <is>
          <t>N2</t>
        </is>
      </c>
      <c r="N119" s="15" t="n">
        <v>1</v>
      </c>
      <c r="O119" s="15" t="n">
        <v>0</v>
      </c>
      <c r="P119">
        <f>IF(M119="","",IF(M119=E119,1,0))</f>
        <v/>
      </c>
      <c r="Q119">
        <f>IF(K119="OK","-",IF(N119&lt;$B$7,"AMBIGUOUS","CONFIDENT"))</f>
        <v/>
      </c>
    </row>
    <row r="120">
      <c r="A120">
        <f>'Runs Z score'!A112</f>
        <v/>
      </c>
      <c r="B120">
        <f>'Runs Z score'!B112</f>
        <v/>
      </c>
      <c r="C120">
        <f>'Runs Z score'!C112</f>
        <v/>
      </c>
      <c r="D120">
        <f>'Runs Z score'!D112</f>
        <v/>
      </c>
      <c r="E120">
        <f>'Runs Z score'!E112</f>
        <v/>
      </c>
      <c r="F120">
        <f>'Runs Z score'!F112</f>
        <v/>
      </c>
      <c r="G120">
        <f>'Runs Z score'!G112</f>
        <v/>
      </c>
      <c r="H120">
        <f>VLOOKUP(C120,Recipes!$A$2:$N$4,10,FALSE())</f>
        <v/>
      </c>
      <c r="I120">
        <f>VLOOKUP(C120,Recipes!$A$2:$N$4,12,FALSE())</f>
        <v/>
      </c>
      <c r="J120">
        <f>IF(G120="","",H120-G120)</f>
        <v/>
      </c>
      <c r="K120">
        <f>IF(G120="","",IF(ABS(G120-H120)&lt;=$B$6*I120,"OK","NG"))</f>
        <v/>
      </c>
      <c r="L120">
        <f>IF(K120="","",IF(K120=D120,1,0))</f>
        <v/>
      </c>
      <c r="M120" t="inlineStr">
        <is>
          <t>N2</t>
        </is>
      </c>
      <c r="N120" s="15" t="n">
        <v>1</v>
      </c>
      <c r="O120" s="15" t="n">
        <v>0</v>
      </c>
      <c r="P120">
        <f>IF(M120="","",IF(M120=E120,1,0))</f>
        <v/>
      </c>
      <c r="Q120">
        <f>IF(K120="OK","-",IF(N120&lt;$B$7,"AMBIGUOUS","CONFIDENT"))</f>
        <v/>
      </c>
    </row>
    <row r="121">
      <c r="A121">
        <f>'Runs Z score'!A113</f>
        <v/>
      </c>
      <c r="B121">
        <f>'Runs Z score'!B113</f>
        <v/>
      </c>
      <c r="C121">
        <f>'Runs Z score'!C113</f>
        <v/>
      </c>
      <c r="D121">
        <f>'Runs Z score'!D113</f>
        <v/>
      </c>
      <c r="E121">
        <f>'Runs Z score'!E113</f>
        <v/>
      </c>
      <c r="F121">
        <f>'Runs Z score'!F113</f>
        <v/>
      </c>
      <c r="G121">
        <f>'Runs Z score'!G113</f>
        <v/>
      </c>
      <c r="H121">
        <f>VLOOKUP(C121,Recipes!$A$2:$N$4,10,FALSE())</f>
        <v/>
      </c>
      <c r="I121">
        <f>VLOOKUP(C121,Recipes!$A$2:$N$4,12,FALSE())</f>
        <v/>
      </c>
      <c r="J121">
        <f>IF(G121="","",H121-G121)</f>
        <v/>
      </c>
      <c r="K121">
        <f>IF(G121="","",IF(ABS(G121-H121)&lt;=$B$6*I121,"OK","NG"))</f>
        <v/>
      </c>
      <c r="L121">
        <f>IF(K121="","",IF(K121=D121,1,0))</f>
        <v/>
      </c>
      <c r="M121" t="inlineStr">
        <is>
          <t>N2</t>
        </is>
      </c>
      <c r="N121" s="15" t="n">
        <v>1</v>
      </c>
      <c r="O121" s="15" t="n">
        <v>0</v>
      </c>
      <c r="P121">
        <f>IF(M121="","",IF(M121=E121,1,0))</f>
        <v/>
      </c>
      <c r="Q121">
        <f>IF(K121="OK","-",IF(N121&lt;$B$7,"AMBIGUOUS","CONFIDENT"))</f>
        <v/>
      </c>
    </row>
    <row r="122">
      <c r="A122">
        <f>'Runs Z score'!A114</f>
        <v/>
      </c>
      <c r="B122">
        <f>'Runs Z score'!B114</f>
        <v/>
      </c>
      <c r="C122">
        <f>'Runs Z score'!C114</f>
        <v/>
      </c>
      <c r="D122">
        <f>'Runs Z score'!D114</f>
        <v/>
      </c>
      <c r="E122">
        <f>'Runs Z score'!E114</f>
        <v/>
      </c>
      <c r="F122">
        <f>'Runs Z score'!F114</f>
        <v/>
      </c>
      <c r="G122">
        <f>'Runs Z score'!G114</f>
        <v/>
      </c>
      <c r="H122">
        <f>VLOOKUP(C122,Recipes!$A$2:$N$4,10,FALSE())</f>
        <v/>
      </c>
      <c r="I122">
        <f>VLOOKUP(C122,Recipes!$A$2:$N$4,12,FALSE())</f>
        <v/>
      </c>
      <c r="J122">
        <f>IF(G122="","",H122-G122)</f>
        <v/>
      </c>
      <c r="K122">
        <f>IF(G122="","",IF(ABS(G122-H122)&lt;=$B$6*I122,"OK","NG"))</f>
        <v/>
      </c>
      <c r="L122">
        <f>IF(K122="","",IF(K122=D122,1,0))</f>
        <v/>
      </c>
      <c r="M122" t="inlineStr">
        <is>
          <t>N2</t>
        </is>
      </c>
      <c r="N122" s="15" t="n">
        <v>1</v>
      </c>
      <c r="O122" s="15" t="n">
        <v>0</v>
      </c>
      <c r="P122">
        <f>IF(M122="","",IF(M122=E122,1,0))</f>
        <v/>
      </c>
      <c r="Q122">
        <f>IF(K122="OK","-",IF(N122&lt;$B$7,"AMBIGUOUS","CONFIDENT"))</f>
        <v/>
      </c>
    </row>
    <row r="123">
      <c r="A123">
        <f>'Runs Z score'!A115</f>
        <v/>
      </c>
      <c r="B123">
        <f>'Runs Z score'!B115</f>
        <v/>
      </c>
      <c r="C123">
        <f>'Runs Z score'!C115</f>
        <v/>
      </c>
      <c r="D123">
        <f>'Runs Z score'!D115</f>
        <v/>
      </c>
      <c r="E123">
        <f>'Runs Z score'!E115</f>
        <v/>
      </c>
      <c r="F123">
        <f>'Runs Z score'!F115</f>
        <v/>
      </c>
      <c r="G123">
        <f>'Runs Z score'!G115</f>
        <v/>
      </c>
      <c r="H123">
        <f>VLOOKUP(C123,Recipes!$A$2:$N$4,10,FALSE())</f>
        <v/>
      </c>
      <c r="I123">
        <f>VLOOKUP(C123,Recipes!$A$2:$N$4,12,FALSE())</f>
        <v/>
      </c>
      <c r="J123">
        <f>IF(G123="","",H123-G123)</f>
        <v/>
      </c>
      <c r="K123">
        <f>IF(G123="","",IF(ABS(G123-H123)&lt;=$B$6*I123,"OK","NG"))</f>
        <v/>
      </c>
      <c r="L123">
        <f>IF(K123="","",IF(K123=D123,1,0))</f>
        <v/>
      </c>
      <c r="M123" t="inlineStr">
        <is>
          <t>N2</t>
        </is>
      </c>
      <c r="N123" s="15" t="n">
        <v>1</v>
      </c>
      <c r="O123" s="15" t="n">
        <v>0</v>
      </c>
      <c r="P123">
        <f>IF(M123="","",IF(M123=E123,1,0))</f>
        <v/>
      </c>
      <c r="Q123">
        <f>IF(K123="OK","-",IF(N123&lt;$B$7,"AMBIGUOUS","CONFIDENT"))</f>
        <v/>
      </c>
    </row>
    <row r="124">
      <c r="A124">
        <f>'Runs Z score'!A116</f>
        <v/>
      </c>
      <c r="B124">
        <f>'Runs Z score'!B116</f>
        <v/>
      </c>
      <c r="C124">
        <f>'Runs Z score'!C116</f>
        <v/>
      </c>
      <c r="D124">
        <f>'Runs Z score'!D116</f>
        <v/>
      </c>
      <c r="E124">
        <f>'Runs Z score'!E116</f>
        <v/>
      </c>
      <c r="F124">
        <f>'Runs Z score'!F116</f>
        <v/>
      </c>
      <c r="G124">
        <f>'Runs Z score'!G116</f>
        <v/>
      </c>
      <c r="H124">
        <f>VLOOKUP(C124,Recipes!$A$2:$N$4,10,FALSE())</f>
        <v/>
      </c>
      <c r="I124">
        <f>VLOOKUP(C124,Recipes!$A$2:$N$4,12,FALSE())</f>
        <v/>
      </c>
      <c r="J124">
        <f>IF(G124="","",H124-G124)</f>
        <v/>
      </c>
      <c r="K124">
        <f>IF(G124="","",IF(ABS(G124-H124)&lt;=$B$6*I124,"OK","NG"))</f>
        <v/>
      </c>
      <c r="L124">
        <f>IF(K124="","",IF(K124=D124,1,0))</f>
        <v/>
      </c>
      <c r="M124" t="inlineStr">
        <is>
          <t>N2</t>
        </is>
      </c>
      <c r="N124" s="15" t="n">
        <v>1</v>
      </c>
      <c r="O124" s="15" t="n">
        <v>0</v>
      </c>
      <c r="P124">
        <f>IF(M124="","",IF(M124=E124,1,0))</f>
        <v/>
      </c>
      <c r="Q124">
        <f>IF(K124="OK","-",IF(N124&lt;$B$7,"AMBIGUOUS","CONFIDENT"))</f>
        <v/>
      </c>
    </row>
    <row r="125">
      <c r="A125">
        <f>'Runs Z score'!A117</f>
        <v/>
      </c>
      <c r="B125">
        <f>'Runs Z score'!B117</f>
        <v/>
      </c>
      <c r="C125">
        <f>'Runs Z score'!C117</f>
        <v/>
      </c>
      <c r="D125">
        <f>'Runs Z score'!D117</f>
        <v/>
      </c>
      <c r="E125">
        <f>'Runs Z score'!E117</f>
        <v/>
      </c>
      <c r="F125">
        <f>'Runs Z score'!F117</f>
        <v/>
      </c>
      <c r="G125">
        <f>'Runs Z score'!G117</f>
        <v/>
      </c>
      <c r="H125">
        <f>VLOOKUP(C125,Recipes!$A$2:$N$4,10,FALSE())</f>
        <v/>
      </c>
      <c r="I125">
        <f>VLOOKUP(C125,Recipes!$A$2:$N$4,12,FALSE())</f>
        <v/>
      </c>
      <c r="J125">
        <f>IF(G125="","",H125-G125)</f>
        <v/>
      </c>
      <c r="K125">
        <f>IF(G125="","",IF(ABS(G125-H125)&lt;=$B$6*I125,"OK","NG"))</f>
        <v/>
      </c>
      <c r="L125">
        <f>IF(K125="","",IF(K125=D125,1,0))</f>
        <v/>
      </c>
      <c r="M125" t="inlineStr">
        <is>
          <t>N2</t>
        </is>
      </c>
      <c r="N125" s="15" t="n">
        <v>1</v>
      </c>
      <c r="O125" s="15" t="n">
        <v>0</v>
      </c>
      <c r="P125">
        <f>IF(M125="","",IF(M125=E125,1,0))</f>
        <v/>
      </c>
      <c r="Q125">
        <f>IF(K125="OK","-",IF(N125&lt;$B$7,"AMBIGUOUS","CONFIDENT"))</f>
        <v/>
      </c>
    </row>
    <row r="126">
      <c r="A126">
        <f>'Runs Z score'!A118</f>
        <v/>
      </c>
      <c r="B126">
        <f>'Runs Z score'!B118</f>
        <v/>
      </c>
      <c r="C126">
        <f>'Runs Z score'!C118</f>
        <v/>
      </c>
      <c r="D126">
        <f>'Runs Z score'!D118</f>
        <v/>
      </c>
      <c r="E126">
        <f>'Runs Z score'!E118</f>
        <v/>
      </c>
      <c r="F126">
        <f>'Runs Z score'!F118</f>
        <v/>
      </c>
      <c r="G126">
        <f>'Runs Z score'!G118</f>
        <v/>
      </c>
      <c r="H126">
        <f>VLOOKUP(C126,Recipes!$A$2:$N$4,10,FALSE())</f>
        <v/>
      </c>
      <c r="I126">
        <f>VLOOKUP(C126,Recipes!$A$2:$N$4,12,FALSE())</f>
        <v/>
      </c>
      <c r="J126">
        <f>IF(G126="","",H126-G126)</f>
        <v/>
      </c>
      <c r="K126">
        <f>IF(G126="","",IF(ABS(G126-H126)&lt;=$B$6*I126,"OK","NG"))</f>
        <v/>
      </c>
      <c r="L126">
        <f>IF(K126="","",IF(K126=D126,1,0))</f>
        <v/>
      </c>
      <c r="M126" t="inlineStr">
        <is>
          <t>N2</t>
        </is>
      </c>
      <c r="N126" s="15" t="n">
        <v>1</v>
      </c>
      <c r="O126" s="15" t="n">
        <v>0</v>
      </c>
      <c r="P126">
        <f>IF(M126="","",IF(M126=E126,1,0))</f>
        <v/>
      </c>
      <c r="Q126">
        <f>IF(K126="OK","-",IF(N126&lt;$B$7,"AMBIGUOUS","CONFIDENT"))</f>
        <v/>
      </c>
    </row>
    <row r="127">
      <c r="A127">
        <f>'Runs Z score'!A119</f>
        <v/>
      </c>
      <c r="B127">
        <f>'Runs Z score'!B119</f>
        <v/>
      </c>
      <c r="C127">
        <f>'Runs Z score'!C119</f>
        <v/>
      </c>
      <c r="D127">
        <f>'Runs Z score'!D119</f>
        <v/>
      </c>
      <c r="E127">
        <f>'Runs Z score'!E119</f>
        <v/>
      </c>
      <c r="F127">
        <f>'Runs Z score'!F119</f>
        <v/>
      </c>
      <c r="G127">
        <f>'Runs Z score'!G119</f>
        <v/>
      </c>
      <c r="H127">
        <f>VLOOKUP(C127,Recipes!$A$2:$N$4,10,FALSE())</f>
        <v/>
      </c>
      <c r="I127">
        <f>VLOOKUP(C127,Recipes!$A$2:$N$4,12,FALSE())</f>
        <v/>
      </c>
      <c r="J127">
        <f>IF(G127="","",H127-G127)</f>
        <v/>
      </c>
      <c r="K127">
        <f>IF(G127="","",IF(ABS(G127-H127)&lt;=$B$6*I127,"OK","NG"))</f>
        <v/>
      </c>
      <c r="L127">
        <f>IF(K127="","",IF(K127=D127,1,0))</f>
        <v/>
      </c>
      <c r="M127" t="inlineStr">
        <is>
          <t>N2</t>
        </is>
      </c>
      <c r="N127" s="15" t="n">
        <v>1</v>
      </c>
      <c r="O127" s="15" t="n">
        <v>0</v>
      </c>
      <c r="P127">
        <f>IF(M127="","",IF(M127=E127,1,0))</f>
        <v/>
      </c>
      <c r="Q127">
        <f>IF(K127="OK","-",IF(N127&lt;$B$7,"AMBIGUOUS","CONFIDENT"))</f>
        <v/>
      </c>
    </row>
    <row r="128">
      <c r="A128">
        <f>'Runs Z score'!A120</f>
        <v/>
      </c>
      <c r="B128">
        <f>'Runs Z score'!B120</f>
        <v/>
      </c>
      <c r="C128">
        <f>'Runs Z score'!C120</f>
        <v/>
      </c>
      <c r="D128">
        <f>'Runs Z score'!D120</f>
        <v/>
      </c>
      <c r="E128">
        <f>'Runs Z score'!E120</f>
        <v/>
      </c>
      <c r="F128">
        <f>'Runs Z score'!F120</f>
        <v/>
      </c>
      <c r="G128">
        <f>'Runs Z score'!G120</f>
        <v/>
      </c>
      <c r="H128">
        <f>VLOOKUP(C128,Recipes!$A$2:$N$4,10,FALSE())</f>
        <v/>
      </c>
      <c r="I128">
        <f>VLOOKUP(C128,Recipes!$A$2:$N$4,12,FALSE())</f>
        <v/>
      </c>
      <c r="J128">
        <f>IF(G128="","",H128-G128)</f>
        <v/>
      </c>
      <c r="K128">
        <f>IF(G128="","",IF(ABS(G128-H128)&lt;=$B$6*I128,"OK","NG"))</f>
        <v/>
      </c>
      <c r="L128">
        <f>IF(K128="","",IF(K128=D128,1,0))</f>
        <v/>
      </c>
      <c r="M128" t="inlineStr">
        <is>
          <t>N2</t>
        </is>
      </c>
      <c r="N128" s="15" t="n">
        <v>1</v>
      </c>
      <c r="O128" s="15" t="n">
        <v>0</v>
      </c>
      <c r="P128">
        <f>IF(M128="","",IF(M128=E128,1,0))</f>
        <v/>
      </c>
      <c r="Q128">
        <f>IF(K128="OK","-",IF(N128&lt;$B$7,"AMBIGUOUS","CONFIDENT"))</f>
        <v/>
      </c>
    </row>
    <row r="129">
      <c r="A129">
        <f>'Runs Z score'!A121</f>
        <v/>
      </c>
      <c r="B129">
        <f>'Runs Z score'!B121</f>
        <v/>
      </c>
      <c r="C129">
        <f>'Runs Z score'!C121</f>
        <v/>
      </c>
      <c r="D129">
        <f>'Runs Z score'!D121</f>
        <v/>
      </c>
      <c r="E129">
        <f>'Runs Z score'!E121</f>
        <v/>
      </c>
      <c r="F129">
        <f>'Runs Z score'!F121</f>
        <v/>
      </c>
      <c r="G129">
        <f>'Runs Z score'!G121</f>
        <v/>
      </c>
      <c r="H129">
        <f>VLOOKUP(C129,Recipes!$A$2:$N$4,10,FALSE())</f>
        <v/>
      </c>
      <c r="I129">
        <f>VLOOKUP(C129,Recipes!$A$2:$N$4,12,FALSE())</f>
        <v/>
      </c>
      <c r="J129">
        <f>IF(G129="","",H129-G129)</f>
        <v/>
      </c>
      <c r="K129">
        <f>IF(G129="","",IF(ABS(G129-H129)&lt;=$B$6*I129,"OK","NG"))</f>
        <v/>
      </c>
      <c r="L129">
        <f>IF(K129="","",IF(K129=D129,1,0))</f>
        <v/>
      </c>
      <c r="M129" t="inlineStr">
        <is>
          <t>N2</t>
        </is>
      </c>
      <c r="N129" s="15" t="n">
        <v>1</v>
      </c>
      <c r="O129" s="15" t="n">
        <v>0</v>
      </c>
      <c r="P129">
        <f>IF(M129="","",IF(M129=E129,1,0))</f>
        <v/>
      </c>
      <c r="Q129">
        <f>IF(K129="OK","-",IF(N129&lt;$B$7,"AMBIGUOUS","CONFIDENT"))</f>
        <v/>
      </c>
    </row>
    <row r="130">
      <c r="A130">
        <f>'Runs Z score'!A122</f>
        <v/>
      </c>
      <c r="B130">
        <f>'Runs Z score'!B122</f>
        <v/>
      </c>
      <c r="C130">
        <f>'Runs Z score'!C122</f>
        <v/>
      </c>
      <c r="D130">
        <f>'Runs Z score'!D122</f>
        <v/>
      </c>
      <c r="E130">
        <f>'Runs Z score'!E122</f>
        <v/>
      </c>
      <c r="F130">
        <f>'Runs Z score'!F122</f>
        <v/>
      </c>
      <c r="G130">
        <f>'Runs Z score'!G122</f>
        <v/>
      </c>
      <c r="H130">
        <f>VLOOKUP(C130,Recipes!$A$2:$N$4,10,FALSE())</f>
        <v/>
      </c>
      <c r="I130">
        <f>VLOOKUP(C130,Recipes!$A$2:$N$4,12,FALSE())</f>
        <v/>
      </c>
      <c r="J130">
        <f>IF(G130="","",H130-G130)</f>
        <v/>
      </c>
      <c r="K130">
        <f>IF(G130="","",IF(ABS(G130-H130)&lt;=$B$6*I130,"OK","NG"))</f>
        <v/>
      </c>
      <c r="L130">
        <f>IF(K130="","",IF(K130=D130,1,0))</f>
        <v/>
      </c>
      <c r="M130" t="inlineStr">
        <is>
          <t>N2</t>
        </is>
      </c>
      <c r="N130" s="15" t="n">
        <v>1</v>
      </c>
      <c r="O130" s="15" t="n">
        <v>0</v>
      </c>
      <c r="P130">
        <f>IF(M130="","",IF(M130=E130,1,0))</f>
        <v/>
      </c>
      <c r="Q130">
        <f>IF(K130="OK","-",IF(N130&lt;$B$7,"AMBIGUOUS","CONFIDENT"))</f>
        <v/>
      </c>
    </row>
    <row r="131">
      <c r="A131">
        <f>'Runs Z score'!A123</f>
        <v/>
      </c>
      <c r="B131">
        <f>'Runs Z score'!B123</f>
        <v/>
      </c>
      <c r="C131">
        <f>'Runs Z score'!C123</f>
        <v/>
      </c>
      <c r="D131">
        <f>'Runs Z score'!D123</f>
        <v/>
      </c>
      <c r="E131">
        <f>'Runs Z score'!E123</f>
        <v/>
      </c>
      <c r="F131">
        <f>'Runs Z score'!F123</f>
        <v/>
      </c>
      <c r="G131">
        <f>'Runs Z score'!G123</f>
        <v/>
      </c>
      <c r="H131">
        <f>VLOOKUP(C131,Recipes!$A$2:$N$4,10,FALSE())</f>
        <v/>
      </c>
      <c r="I131">
        <f>VLOOKUP(C131,Recipes!$A$2:$N$4,12,FALSE())</f>
        <v/>
      </c>
      <c r="J131">
        <f>IF(G131="","",H131-G131)</f>
        <v/>
      </c>
      <c r="K131">
        <f>IF(G131="","",IF(ABS(G131-H131)&lt;=$B$6*I131,"OK","NG"))</f>
        <v/>
      </c>
      <c r="L131">
        <f>IF(K131="","",IF(K131=D131,1,0))</f>
        <v/>
      </c>
      <c r="M131" t="inlineStr">
        <is>
          <t>NONE</t>
        </is>
      </c>
      <c r="N131" s="15" t="n">
        <v>1</v>
      </c>
      <c r="O131" s="15" t="n">
        <v>0</v>
      </c>
      <c r="P131">
        <f>IF(M131="","",IF(M131=E131,1,0))</f>
        <v/>
      </c>
      <c r="Q131">
        <f>IF(K131="OK","-",IF(N131&lt;$B$7,"AMBIGUOUS","CONFIDENT"))</f>
        <v/>
      </c>
    </row>
    <row r="132">
      <c r="A132">
        <f>'Runs Z score'!A124</f>
        <v/>
      </c>
      <c r="B132">
        <f>'Runs Z score'!B124</f>
        <v/>
      </c>
      <c r="C132">
        <f>'Runs Z score'!C124</f>
        <v/>
      </c>
      <c r="D132">
        <f>'Runs Z score'!D124</f>
        <v/>
      </c>
      <c r="E132">
        <f>'Runs Z score'!E124</f>
        <v/>
      </c>
      <c r="F132">
        <f>'Runs Z score'!F124</f>
        <v/>
      </c>
      <c r="G132">
        <f>'Runs Z score'!G124</f>
        <v/>
      </c>
      <c r="H132">
        <f>VLOOKUP(C132,Recipes!$A$2:$N$4,10,FALSE())</f>
        <v/>
      </c>
      <c r="I132">
        <f>VLOOKUP(C132,Recipes!$A$2:$N$4,12,FALSE())</f>
        <v/>
      </c>
      <c r="J132">
        <f>IF(G132="","",H132-G132)</f>
        <v/>
      </c>
      <c r="K132">
        <f>IF(G132="","",IF(ABS(G132-H132)&lt;=$B$6*I132,"OK","NG"))</f>
        <v/>
      </c>
      <c r="L132">
        <f>IF(K132="","",IF(K132=D132,1,0))</f>
        <v/>
      </c>
      <c r="M132" t="inlineStr">
        <is>
          <t>NONE</t>
        </is>
      </c>
      <c r="N132" s="15" t="n">
        <v>1</v>
      </c>
      <c r="O132" s="15" t="n">
        <v>0</v>
      </c>
      <c r="P132">
        <f>IF(M132="","",IF(M132=E132,1,0))</f>
        <v/>
      </c>
      <c r="Q132">
        <f>IF(K132="OK","-",IF(N132&lt;$B$7,"AMBIGUOUS","CONFIDENT"))</f>
        <v/>
      </c>
    </row>
    <row r="133">
      <c r="A133">
        <f>'Runs Z score'!A125</f>
        <v/>
      </c>
      <c r="B133">
        <f>'Runs Z score'!B125</f>
        <v/>
      </c>
      <c r="C133">
        <f>'Runs Z score'!C125</f>
        <v/>
      </c>
      <c r="D133">
        <f>'Runs Z score'!D125</f>
        <v/>
      </c>
      <c r="E133">
        <f>'Runs Z score'!E125</f>
        <v/>
      </c>
      <c r="F133">
        <f>'Runs Z score'!F125</f>
        <v/>
      </c>
      <c r="G133">
        <f>'Runs Z score'!G125</f>
        <v/>
      </c>
      <c r="H133">
        <f>VLOOKUP(C133,Recipes!$A$2:$N$4,10,FALSE())</f>
        <v/>
      </c>
      <c r="I133">
        <f>VLOOKUP(C133,Recipes!$A$2:$N$4,12,FALSE())</f>
        <v/>
      </c>
      <c r="J133">
        <f>IF(G133="","",H133-G133)</f>
        <v/>
      </c>
      <c r="K133">
        <f>IF(G133="","",IF(ABS(G133-H133)&lt;=$B$6*I133,"OK","NG"))</f>
        <v/>
      </c>
      <c r="L133">
        <f>IF(K133="","",IF(K133=D133,1,0))</f>
        <v/>
      </c>
      <c r="M133" t="inlineStr">
        <is>
          <t>NONE</t>
        </is>
      </c>
      <c r="N133" s="15" t="n">
        <v>1</v>
      </c>
      <c r="O133" s="15" t="n">
        <v>0</v>
      </c>
      <c r="P133">
        <f>IF(M133="","",IF(M133=E133,1,0))</f>
        <v/>
      </c>
      <c r="Q133">
        <f>IF(K133="OK","-",IF(N133&lt;$B$7,"AMBIGUOUS","CONFIDENT"))</f>
        <v/>
      </c>
    </row>
    <row r="134">
      <c r="A134">
        <f>'Runs Z score'!A126</f>
        <v/>
      </c>
      <c r="B134">
        <f>'Runs Z score'!B126</f>
        <v/>
      </c>
      <c r="C134">
        <f>'Runs Z score'!C126</f>
        <v/>
      </c>
      <c r="D134">
        <f>'Runs Z score'!D126</f>
        <v/>
      </c>
      <c r="E134">
        <f>'Runs Z score'!E126</f>
        <v/>
      </c>
      <c r="F134">
        <f>'Runs Z score'!F126</f>
        <v/>
      </c>
      <c r="G134">
        <f>'Runs Z score'!G126</f>
        <v/>
      </c>
      <c r="H134">
        <f>VLOOKUP(C134,Recipes!$A$2:$N$4,10,FALSE())</f>
        <v/>
      </c>
      <c r="I134">
        <f>VLOOKUP(C134,Recipes!$A$2:$N$4,12,FALSE())</f>
        <v/>
      </c>
      <c r="J134">
        <f>IF(G134="","",H134-G134)</f>
        <v/>
      </c>
      <c r="K134">
        <f>IF(G134="","",IF(ABS(G134-H134)&lt;=$B$6*I134,"OK","NG"))</f>
        <v/>
      </c>
      <c r="L134">
        <f>IF(K134="","",IF(K134=D134,1,0))</f>
        <v/>
      </c>
      <c r="M134" t="inlineStr">
        <is>
          <t>NONE</t>
        </is>
      </c>
      <c r="N134" s="15" t="n">
        <v>1</v>
      </c>
      <c r="O134" s="15" t="n">
        <v>0</v>
      </c>
      <c r="P134">
        <f>IF(M134="","",IF(M134=E134,1,0))</f>
        <v/>
      </c>
      <c r="Q134">
        <f>IF(K134="OK","-",IF(N134&lt;$B$7,"AMBIGUOUS","CONFIDENT"))</f>
        <v/>
      </c>
    </row>
    <row r="135">
      <c r="A135">
        <f>'Runs Z score'!A127</f>
        <v/>
      </c>
      <c r="B135">
        <f>'Runs Z score'!B127</f>
        <v/>
      </c>
      <c r="C135">
        <f>'Runs Z score'!C127</f>
        <v/>
      </c>
      <c r="D135">
        <f>'Runs Z score'!D127</f>
        <v/>
      </c>
      <c r="E135">
        <f>'Runs Z score'!E127</f>
        <v/>
      </c>
      <c r="F135">
        <f>'Runs Z score'!F127</f>
        <v/>
      </c>
      <c r="G135">
        <f>'Runs Z score'!G127</f>
        <v/>
      </c>
      <c r="H135">
        <f>VLOOKUP(C135,Recipes!$A$2:$N$4,10,FALSE())</f>
        <v/>
      </c>
      <c r="I135">
        <f>VLOOKUP(C135,Recipes!$A$2:$N$4,12,FALSE())</f>
        <v/>
      </c>
      <c r="J135">
        <f>IF(G135="","",H135-G135)</f>
        <v/>
      </c>
      <c r="K135">
        <f>IF(G135="","",IF(ABS(G135-H135)&lt;=$B$6*I135,"OK","NG"))</f>
        <v/>
      </c>
      <c r="L135">
        <f>IF(K135="","",IF(K135=D135,1,0))</f>
        <v/>
      </c>
      <c r="M135" t="inlineStr">
        <is>
          <t>NONE</t>
        </is>
      </c>
      <c r="N135" s="15" t="n">
        <v>1</v>
      </c>
      <c r="O135" s="15" t="n">
        <v>0</v>
      </c>
      <c r="P135">
        <f>IF(M135="","",IF(M135=E135,1,0))</f>
        <v/>
      </c>
      <c r="Q135">
        <f>IF(K135="OK","-",IF(N135&lt;$B$7,"AMBIGUOUS","CONFIDENT"))</f>
        <v/>
      </c>
    </row>
    <row r="136">
      <c r="A136">
        <f>'Runs Z score'!A128</f>
        <v/>
      </c>
      <c r="B136">
        <f>'Runs Z score'!B128</f>
        <v/>
      </c>
      <c r="C136">
        <f>'Runs Z score'!C128</f>
        <v/>
      </c>
      <c r="D136">
        <f>'Runs Z score'!D128</f>
        <v/>
      </c>
      <c r="E136">
        <f>'Runs Z score'!E128</f>
        <v/>
      </c>
      <c r="F136">
        <f>'Runs Z score'!F128</f>
        <v/>
      </c>
      <c r="G136">
        <f>'Runs Z score'!G128</f>
        <v/>
      </c>
      <c r="H136">
        <f>VLOOKUP(C136,Recipes!$A$2:$N$4,10,FALSE())</f>
        <v/>
      </c>
      <c r="I136">
        <f>VLOOKUP(C136,Recipes!$A$2:$N$4,12,FALSE())</f>
        <v/>
      </c>
      <c r="J136">
        <f>IF(G136="","",H136-G136)</f>
        <v/>
      </c>
      <c r="K136">
        <f>IF(G136="","",IF(ABS(G136-H136)&lt;=$B$6*I136,"OK","NG"))</f>
        <v/>
      </c>
      <c r="L136">
        <f>IF(K136="","",IF(K136=D136,1,0))</f>
        <v/>
      </c>
      <c r="M136" t="inlineStr">
        <is>
          <t>NONE</t>
        </is>
      </c>
      <c r="N136" s="15" t="n">
        <v>1</v>
      </c>
      <c r="O136" s="15" t="n">
        <v>0</v>
      </c>
      <c r="P136">
        <f>IF(M136="","",IF(M136=E136,1,0))</f>
        <v/>
      </c>
      <c r="Q136">
        <f>IF(K136="OK","-",IF(N136&lt;$B$7,"AMBIGUOUS","CONFIDENT"))</f>
        <v/>
      </c>
    </row>
    <row r="137">
      <c r="A137">
        <f>'Runs Z score'!A129</f>
        <v/>
      </c>
      <c r="B137">
        <f>'Runs Z score'!B129</f>
        <v/>
      </c>
      <c r="C137">
        <f>'Runs Z score'!C129</f>
        <v/>
      </c>
      <c r="D137">
        <f>'Runs Z score'!D129</f>
        <v/>
      </c>
      <c r="E137">
        <f>'Runs Z score'!E129</f>
        <v/>
      </c>
      <c r="F137">
        <f>'Runs Z score'!F129</f>
        <v/>
      </c>
      <c r="G137">
        <f>'Runs Z score'!G129</f>
        <v/>
      </c>
      <c r="H137">
        <f>VLOOKUP(C137,Recipes!$A$2:$N$4,10,FALSE())</f>
        <v/>
      </c>
      <c r="I137">
        <f>VLOOKUP(C137,Recipes!$A$2:$N$4,12,FALSE())</f>
        <v/>
      </c>
      <c r="J137">
        <f>IF(G137="","",H137-G137)</f>
        <v/>
      </c>
      <c r="K137">
        <f>IF(G137="","",IF(ABS(G137-H137)&lt;=$B$6*I137,"OK","NG"))</f>
        <v/>
      </c>
      <c r="L137">
        <f>IF(K137="","",IF(K137=D137,1,0))</f>
        <v/>
      </c>
      <c r="M137" t="inlineStr">
        <is>
          <t>NONE</t>
        </is>
      </c>
      <c r="N137" s="15" t="n">
        <v>1</v>
      </c>
      <c r="O137" s="15" t="n">
        <v>0</v>
      </c>
      <c r="P137">
        <f>IF(M137="","",IF(M137=E137,1,0))</f>
        <v/>
      </c>
      <c r="Q137">
        <f>IF(K137="OK","-",IF(N137&lt;$B$7,"AMBIGUOUS","CONFIDENT"))</f>
        <v/>
      </c>
    </row>
    <row r="138">
      <c r="A138">
        <f>'Runs Z score'!A130</f>
        <v/>
      </c>
      <c r="B138">
        <f>'Runs Z score'!B130</f>
        <v/>
      </c>
      <c r="C138">
        <f>'Runs Z score'!C130</f>
        <v/>
      </c>
      <c r="D138">
        <f>'Runs Z score'!D130</f>
        <v/>
      </c>
      <c r="E138">
        <f>'Runs Z score'!E130</f>
        <v/>
      </c>
      <c r="F138">
        <f>'Runs Z score'!F130</f>
        <v/>
      </c>
      <c r="G138">
        <f>'Runs Z score'!G130</f>
        <v/>
      </c>
      <c r="H138">
        <f>VLOOKUP(C138,Recipes!$A$2:$N$4,10,FALSE())</f>
        <v/>
      </c>
      <c r="I138">
        <f>VLOOKUP(C138,Recipes!$A$2:$N$4,12,FALSE())</f>
        <v/>
      </c>
      <c r="J138">
        <f>IF(G138="","",H138-G138)</f>
        <v/>
      </c>
      <c r="K138">
        <f>IF(G138="","",IF(ABS(G138-H138)&lt;=$B$6*I138,"OK","NG"))</f>
        <v/>
      </c>
      <c r="L138">
        <f>IF(K138="","",IF(K138=D138,1,0))</f>
        <v/>
      </c>
      <c r="M138" t="inlineStr">
        <is>
          <t>NONE</t>
        </is>
      </c>
      <c r="N138" s="15" t="n">
        <v>1</v>
      </c>
      <c r="O138" s="15" t="n">
        <v>0</v>
      </c>
      <c r="P138">
        <f>IF(M138="","",IF(M138=E138,1,0))</f>
        <v/>
      </c>
      <c r="Q138">
        <f>IF(K138="OK","-",IF(N138&lt;$B$7,"AMBIGUOUS","CONFIDENT"))</f>
        <v/>
      </c>
    </row>
    <row r="139">
      <c r="A139">
        <f>'Runs Z score'!A131</f>
        <v/>
      </c>
      <c r="B139">
        <f>'Runs Z score'!B131</f>
        <v/>
      </c>
      <c r="C139">
        <f>'Runs Z score'!C131</f>
        <v/>
      </c>
      <c r="D139">
        <f>'Runs Z score'!D131</f>
        <v/>
      </c>
      <c r="E139">
        <f>'Runs Z score'!E131</f>
        <v/>
      </c>
      <c r="F139">
        <f>'Runs Z score'!F131</f>
        <v/>
      </c>
      <c r="G139">
        <f>'Runs Z score'!G131</f>
        <v/>
      </c>
      <c r="H139">
        <f>VLOOKUP(C139,Recipes!$A$2:$N$4,10,FALSE())</f>
        <v/>
      </c>
      <c r="I139">
        <f>VLOOKUP(C139,Recipes!$A$2:$N$4,12,FALSE())</f>
        <v/>
      </c>
      <c r="J139">
        <f>IF(G139="","",H139-G139)</f>
        <v/>
      </c>
      <c r="K139">
        <f>IF(G139="","",IF(ABS(G139-H139)&lt;=$B$6*I139,"OK","NG"))</f>
        <v/>
      </c>
      <c r="L139">
        <f>IF(K139="","",IF(K139=D139,1,0))</f>
        <v/>
      </c>
      <c r="M139" t="inlineStr">
        <is>
          <t>NONE</t>
        </is>
      </c>
      <c r="N139" s="15" t="n">
        <v>1</v>
      </c>
      <c r="O139" s="15" t="n">
        <v>0</v>
      </c>
      <c r="P139">
        <f>IF(M139="","",IF(M139=E139,1,0))</f>
        <v/>
      </c>
      <c r="Q139">
        <f>IF(K139="OK","-",IF(N139&lt;$B$7,"AMBIGUOUS","CONFIDENT"))</f>
        <v/>
      </c>
    </row>
    <row r="140">
      <c r="A140">
        <f>'Runs Z score'!A132</f>
        <v/>
      </c>
      <c r="B140">
        <f>'Runs Z score'!B132</f>
        <v/>
      </c>
      <c r="C140">
        <f>'Runs Z score'!C132</f>
        <v/>
      </c>
      <c r="D140">
        <f>'Runs Z score'!D132</f>
        <v/>
      </c>
      <c r="E140">
        <f>'Runs Z score'!E132</f>
        <v/>
      </c>
      <c r="F140">
        <f>'Runs Z score'!F132</f>
        <v/>
      </c>
      <c r="G140">
        <f>'Runs Z score'!G132</f>
        <v/>
      </c>
      <c r="H140">
        <f>VLOOKUP(C140,Recipes!$A$2:$N$4,10,FALSE())</f>
        <v/>
      </c>
      <c r="I140">
        <f>VLOOKUP(C140,Recipes!$A$2:$N$4,12,FALSE())</f>
        <v/>
      </c>
      <c r="J140">
        <f>IF(G140="","",H140-G140)</f>
        <v/>
      </c>
      <c r="K140">
        <f>IF(G140="","",IF(ABS(G140-H140)&lt;=$B$6*I140,"OK","NG"))</f>
        <v/>
      </c>
      <c r="L140">
        <f>IF(K140="","",IF(K140=D140,1,0))</f>
        <v/>
      </c>
      <c r="M140" t="inlineStr">
        <is>
          <t>NONE</t>
        </is>
      </c>
      <c r="N140" s="15" t="n">
        <v>1</v>
      </c>
      <c r="O140" s="15" t="n">
        <v>0</v>
      </c>
      <c r="P140">
        <f>IF(M140="","",IF(M140=E140,1,0))</f>
        <v/>
      </c>
      <c r="Q140">
        <f>IF(K140="OK","-",IF(N140&lt;$B$7,"AMBIGUOUS","CONFIDENT"))</f>
        <v/>
      </c>
    </row>
    <row r="141">
      <c r="A141">
        <f>'Runs Z score'!A133</f>
        <v/>
      </c>
      <c r="B141">
        <f>'Runs Z score'!B133</f>
        <v/>
      </c>
      <c r="C141">
        <f>'Runs Z score'!C133</f>
        <v/>
      </c>
      <c r="D141">
        <f>'Runs Z score'!D133</f>
        <v/>
      </c>
      <c r="E141">
        <f>'Runs Z score'!E133</f>
        <v/>
      </c>
      <c r="F141">
        <f>'Runs Z score'!F133</f>
        <v/>
      </c>
      <c r="G141">
        <f>'Runs Z score'!G133</f>
        <v/>
      </c>
      <c r="H141">
        <f>VLOOKUP(C141,Recipes!$A$2:$N$4,10,FALSE())</f>
        <v/>
      </c>
      <c r="I141">
        <f>VLOOKUP(C141,Recipes!$A$2:$N$4,12,FALSE())</f>
        <v/>
      </c>
      <c r="J141">
        <f>IF(G141="","",H141-G141)</f>
        <v/>
      </c>
      <c r="K141">
        <f>IF(G141="","",IF(ABS(G141-H141)&lt;=$B$6*I141,"OK","NG"))</f>
        <v/>
      </c>
      <c r="L141">
        <f>IF(K141="","",IF(K141=D141,1,0))</f>
        <v/>
      </c>
      <c r="M141" t="inlineStr">
        <is>
          <t>NONE</t>
        </is>
      </c>
      <c r="N141" s="15" t="n">
        <v>1</v>
      </c>
      <c r="O141" s="15" t="n">
        <v>0</v>
      </c>
      <c r="P141">
        <f>IF(M141="","",IF(M141=E141,1,0))</f>
        <v/>
      </c>
      <c r="Q141">
        <f>IF(K141="OK","-",IF(N141&lt;$B$7,"AMBIGUOUS","CONFIDENT"))</f>
        <v/>
      </c>
    </row>
    <row r="142">
      <c r="A142">
        <f>'Runs Z score'!A134</f>
        <v/>
      </c>
      <c r="B142">
        <f>'Runs Z score'!B134</f>
        <v/>
      </c>
      <c r="C142">
        <f>'Runs Z score'!C134</f>
        <v/>
      </c>
      <c r="D142">
        <f>'Runs Z score'!D134</f>
        <v/>
      </c>
      <c r="E142">
        <f>'Runs Z score'!E134</f>
        <v/>
      </c>
      <c r="F142">
        <f>'Runs Z score'!F134</f>
        <v/>
      </c>
      <c r="G142">
        <f>'Runs Z score'!G134</f>
        <v/>
      </c>
      <c r="H142">
        <f>VLOOKUP(C142,Recipes!$A$2:$N$4,10,FALSE())</f>
        <v/>
      </c>
      <c r="I142">
        <f>VLOOKUP(C142,Recipes!$A$2:$N$4,12,FALSE())</f>
        <v/>
      </c>
      <c r="J142">
        <f>IF(G142="","",H142-G142)</f>
        <v/>
      </c>
      <c r="K142">
        <f>IF(G142="","",IF(ABS(G142-H142)&lt;=$B$6*I142,"OK","NG"))</f>
        <v/>
      </c>
      <c r="L142">
        <f>IF(K142="","",IF(K142=D142,1,0))</f>
        <v/>
      </c>
      <c r="M142" t="inlineStr">
        <is>
          <t>NONE</t>
        </is>
      </c>
      <c r="N142" s="15" t="n">
        <v>1</v>
      </c>
      <c r="O142" s="15" t="n">
        <v>0</v>
      </c>
      <c r="P142">
        <f>IF(M142="","",IF(M142=E142,1,0))</f>
        <v/>
      </c>
      <c r="Q142">
        <f>IF(K142="OK","-",IF(N142&lt;$B$7,"AMBIGUOUS","CONFIDENT"))</f>
        <v/>
      </c>
    </row>
    <row r="143">
      <c r="A143">
        <f>'Runs Z score'!A135</f>
        <v/>
      </c>
      <c r="B143">
        <f>'Runs Z score'!B135</f>
        <v/>
      </c>
      <c r="C143">
        <f>'Runs Z score'!C135</f>
        <v/>
      </c>
      <c r="D143">
        <f>'Runs Z score'!D135</f>
        <v/>
      </c>
      <c r="E143">
        <f>'Runs Z score'!E135</f>
        <v/>
      </c>
      <c r="F143">
        <f>'Runs Z score'!F135</f>
        <v/>
      </c>
      <c r="G143">
        <f>'Runs Z score'!G135</f>
        <v/>
      </c>
      <c r="H143">
        <f>VLOOKUP(C143,Recipes!$A$2:$N$4,10,FALSE())</f>
        <v/>
      </c>
      <c r="I143">
        <f>VLOOKUP(C143,Recipes!$A$2:$N$4,12,FALSE())</f>
        <v/>
      </c>
      <c r="J143">
        <f>IF(G143="","",H143-G143)</f>
        <v/>
      </c>
      <c r="K143">
        <f>IF(G143="","",IF(ABS(G143-H143)&lt;=$B$6*I143,"OK","NG"))</f>
        <v/>
      </c>
      <c r="L143">
        <f>IF(K143="","",IF(K143=D143,1,0))</f>
        <v/>
      </c>
      <c r="M143" t="inlineStr">
        <is>
          <t>NONE</t>
        </is>
      </c>
      <c r="N143" s="15" t="n">
        <v>1</v>
      </c>
      <c r="O143" s="15" t="n">
        <v>0</v>
      </c>
      <c r="P143">
        <f>IF(M143="","",IF(M143=E143,1,0))</f>
        <v/>
      </c>
      <c r="Q143">
        <f>IF(K143="OK","-",IF(N143&lt;$B$7,"AMBIGUOUS","CONFIDENT"))</f>
        <v/>
      </c>
    </row>
    <row r="144">
      <c r="A144">
        <f>'Runs Z score'!A136</f>
        <v/>
      </c>
      <c r="B144">
        <f>'Runs Z score'!B136</f>
        <v/>
      </c>
      <c r="C144">
        <f>'Runs Z score'!C136</f>
        <v/>
      </c>
      <c r="D144">
        <f>'Runs Z score'!D136</f>
        <v/>
      </c>
      <c r="E144">
        <f>'Runs Z score'!E136</f>
        <v/>
      </c>
      <c r="F144">
        <f>'Runs Z score'!F136</f>
        <v/>
      </c>
      <c r="G144">
        <f>'Runs Z score'!G136</f>
        <v/>
      </c>
      <c r="H144">
        <f>VLOOKUP(C144,Recipes!$A$2:$N$4,10,FALSE())</f>
        <v/>
      </c>
      <c r="I144">
        <f>VLOOKUP(C144,Recipes!$A$2:$N$4,12,FALSE())</f>
        <v/>
      </c>
      <c r="J144">
        <f>IF(G144="","",H144-G144)</f>
        <v/>
      </c>
      <c r="K144">
        <f>IF(G144="","",IF(ABS(G144-H144)&lt;=$B$6*I144,"OK","NG"))</f>
        <v/>
      </c>
      <c r="L144">
        <f>IF(K144="","",IF(K144=D144,1,0))</f>
        <v/>
      </c>
      <c r="M144" t="inlineStr">
        <is>
          <t>NONE</t>
        </is>
      </c>
      <c r="N144" s="15" t="n">
        <v>1</v>
      </c>
      <c r="O144" s="15" t="n">
        <v>0</v>
      </c>
      <c r="P144">
        <f>IF(M144="","",IF(M144=E144,1,0))</f>
        <v/>
      </c>
      <c r="Q144">
        <f>IF(K144="OK","-",IF(N144&lt;$B$7,"AMBIGUOUS","CONFIDENT"))</f>
        <v/>
      </c>
    </row>
    <row r="145">
      <c r="A145">
        <f>'Runs Z score'!A137</f>
        <v/>
      </c>
      <c r="B145">
        <f>'Runs Z score'!B137</f>
        <v/>
      </c>
      <c r="C145">
        <f>'Runs Z score'!C137</f>
        <v/>
      </c>
      <c r="D145">
        <f>'Runs Z score'!D137</f>
        <v/>
      </c>
      <c r="E145">
        <f>'Runs Z score'!E137</f>
        <v/>
      </c>
      <c r="F145">
        <f>'Runs Z score'!F137</f>
        <v/>
      </c>
      <c r="G145">
        <f>'Runs Z score'!G137</f>
        <v/>
      </c>
      <c r="H145">
        <f>VLOOKUP(C145,Recipes!$A$2:$N$4,10,FALSE())</f>
        <v/>
      </c>
      <c r="I145">
        <f>VLOOKUP(C145,Recipes!$A$2:$N$4,12,FALSE())</f>
        <v/>
      </c>
      <c r="J145">
        <f>IF(G145="","",H145-G145)</f>
        <v/>
      </c>
      <c r="K145">
        <f>IF(G145="","",IF(ABS(G145-H145)&lt;=$B$6*I145,"OK","NG"))</f>
        <v/>
      </c>
      <c r="L145">
        <f>IF(K145="","",IF(K145=D145,1,0))</f>
        <v/>
      </c>
      <c r="M145" t="inlineStr">
        <is>
          <t>NONE</t>
        </is>
      </c>
      <c r="N145" s="15" t="n">
        <v>1</v>
      </c>
      <c r="O145" s="15" t="n">
        <v>0</v>
      </c>
      <c r="P145">
        <f>IF(M145="","",IF(M145=E145,1,0))</f>
        <v/>
      </c>
      <c r="Q145">
        <f>IF(K145="OK","-",IF(N145&lt;$B$7,"AMBIGUOUS","CONFIDENT"))</f>
        <v/>
      </c>
    </row>
    <row r="146">
      <c r="A146">
        <f>'Runs Z score'!A138</f>
        <v/>
      </c>
      <c r="B146">
        <f>'Runs Z score'!B138</f>
        <v/>
      </c>
      <c r="C146">
        <f>'Runs Z score'!C138</f>
        <v/>
      </c>
      <c r="D146">
        <f>'Runs Z score'!D138</f>
        <v/>
      </c>
      <c r="E146">
        <f>'Runs Z score'!E138</f>
        <v/>
      </c>
      <c r="F146">
        <f>'Runs Z score'!F138</f>
        <v/>
      </c>
      <c r="G146">
        <f>'Runs Z score'!G138</f>
        <v/>
      </c>
      <c r="H146">
        <f>VLOOKUP(C146,Recipes!$A$2:$N$4,10,FALSE())</f>
        <v/>
      </c>
      <c r="I146">
        <f>VLOOKUP(C146,Recipes!$A$2:$N$4,12,FALSE())</f>
        <v/>
      </c>
      <c r="J146">
        <f>IF(G146="","",H146-G146)</f>
        <v/>
      </c>
      <c r="K146">
        <f>IF(G146="","",IF(ABS(G146-H146)&lt;=$B$6*I146,"OK","NG"))</f>
        <v/>
      </c>
      <c r="L146">
        <f>IF(K146="","",IF(K146=D146,1,0))</f>
        <v/>
      </c>
      <c r="M146" t="inlineStr">
        <is>
          <t>NONE</t>
        </is>
      </c>
      <c r="N146" s="15" t="n">
        <v>1</v>
      </c>
      <c r="O146" s="15" t="n">
        <v>0</v>
      </c>
      <c r="P146">
        <f>IF(M146="","",IF(M146=E146,1,0))</f>
        <v/>
      </c>
      <c r="Q146">
        <f>IF(K146="OK","-",IF(N146&lt;$B$7,"AMBIGUOUS","CONFIDENT"))</f>
        <v/>
      </c>
    </row>
    <row r="147">
      <c r="A147">
        <f>'Runs Z score'!A139</f>
        <v/>
      </c>
      <c r="B147">
        <f>'Runs Z score'!B139</f>
        <v/>
      </c>
      <c r="C147">
        <f>'Runs Z score'!C139</f>
        <v/>
      </c>
      <c r="D147">
        <f>'Runs Z score'!D139</f>
        <v/>
      </c>
      <c r="E147">
        <f>'Runs Z score'!E139</f>
        <v/>
      </c>
      <c r="F147">
        <f>'Runs Z score'!F139</f>
        <v/>
      </c>
      <c r="G147">
        <f>'Runs Z score'!G139</f>
        <v/>
      </c>
      <c r="H147">
        <f>VLOOKUP(C147,Recipes!$A$2:$N$4,10,FALSE())</f>
        <v/>
      </c>
      <c r="I147">
        <f>VLOOKUP(C147,Recipes!$A$2:$N$4,12,FALSE())</f>
        <v/>
      </c>
      <c r="J147">
        <f>IF(G147="","",H147-G147)</f>
        <v/>
      </c>
      <c r="K147">
        <f>IF(G147="","",IF(ABS(G147-H147)&lt;=$B$6*I147,"OK","NG"))</f>
        <v/>
      </c>
      <c r="L147">
        <f>IF(K147="","",IF(K147=D147,1,0))</f>
        <v/>
      </c>
      <c r="M147" t="inlineStr">
        <is>
          <t>NONE</t>
        </is>
      </c>
      <c r="N147" s="15" t="n">
        <v>1</v>
      </c>
      <c r="O147" s="15" t="n">
        <v>0</v>
      </c>
      <c r="P147">
        <f>IF(M147="","",IF(M147=E147,1,0))</f>
        <v/>
      </c>
      <c r="Q147">
        <f>IF(K147="OK","-",IF(N147&lt;$B$7,"AMBIGUOUS","CONFIDENT"))</f>
        <v/>
      </c>
    </row>
    <row r="148">
      <c r="A148">
        <f>'Runs Z score'!A140</f>
        <v/>
      </c>
      <c r="B148">
        <f>'Runs Z score'!B140</f>
        <v/>
      </c>
      <c r="C148">
        <f>'Runs Z score'!C140</f>
        <v/>
      </c>
      <c r="D148">
        <f>'Runs Z score'!D140</f>
        <v/>
      </c>
      <c r="E148">
        <f>'Runs Z score'!E140</f>
        <v/>
      </c>
      <c r="F148">
        <f>'Runs Z score'!F140</f>
        <v/>
      </c>
      <c r="G148">
        <f>'Runs Z score'!G140</f>
        <v/>
      </c>
      <c r="H148">
        <f>VLOOKUP(C148,Recipes!$A$2:$N$4,10,FALSE())</f>
        <v/>
      </c>
      <c r="I148">
        <f>VLOOKUP(C148,Recipes!$A$2:$N$4,12,FALSE())</f>
        <v/>
      </c>
      <c r="J148">
        <f>IF(G148="","",H148-G148)</f>
        <v/>
      </c>
      <c r="K148">
        <f>IF(G148="","",IF(ABS(G148-H148)&lt;=$B$6*I148,"OK","NG"))</f>
        <v/>
      </c>
      <c r="L148">
        <f>IF(K148="","",IF(K148=D148,1,0))</f>
        <v/>
      </c>
      <c r="M148" t="inlineStr">
        <is>
          <t>NONE</t>
        </is>
      </c>
      <c r="N148" s="15" t="n">
        <v>1</v>
      </c>
      <c r="O148" s="15" t="n">
        <v>0</v>
      </c>
      <c r="P148">
        <f>IF(M148="","",IF(M148=E148,1,0))</f>
        <v/>
      </c>
      <c r="Q148">
        <f>IF(K148="OK","-",IF(N148&lt;$B$7,"AMBIGUOUS","CONFIDENT"))</f>
        <v/>
      </c>
    </row>
    <row r="149">
      <c r="A149">
        <f>'Runs Z score'!A141</f>
        <v/>
      </c>
      <c r="B149">
        <f>'Runs Z score'!B141</f>
        <v/>
      </c>
      <c r="C149">
        <f>'Runs Z score'!C141</f>
        <v/>
      </c>
      <c r="D149">
        <f>'Runs Z score'!D141</f>
        <v/>
      </c>
      <c r="E149">
        <f>'Runs Z score'!E141</f>
        <v/>
      </c>
      <c r="F149">
        <f>'Runs Z score'!F141</f>
        <v/>
      </c>
      <c r="G149">
        <f>'Runs Z score'!G141</f>
        <v/>
      </c>
      <c r="H149">
        <f>VLOOKUP(C149,Recipes!$A$2:$N$4,10,FALSE())</f>
        <v/>
      </c>
      <c r="I149">
        <f>VLOOKUP(C149,Recipes!$A$2:$N$4,12,FALSE())</f>
        <v/>
      </c>
      <c r="J149">
        <f>IF(G149="","",H149-G149)</f>
        <v/>
      </c>
      <c r="K149">
        <f>IF(G149="","",IF(ABS(G149-H149)&lt;=$B$6*I149,"OK","NG"))</f>
        <v/>
      </c>
      <c r="L149">
        <f>IF(K149="","",IF(K149=D149,1,0))</f>
        <v/>
      </c>
      <c r="M149" t="inlineStr">
        <is>
          <t>NONE</t>
        </is>
      </c>
      <c r="N149" s="15" t="n">
        <v>1</v>
      </c>
      <c r="O149" s="15" t="n">
        <v>0</v>
      </c>
      <c r="P149">
        <f>IF(M149="","",IF(M149=E149,1,0))</f>
        <v/>
      </c>
      <c r="Q149">
        <f>IF(K149="OK","-",IF(N149&lt;$B$7,"AMBIGUOUS","CONFIDENT"))</f>
        <v/>
      </c>
    </row>
    <row r="150">
      <c r="A150">
        <f>'Runs Z score'!A142</f>
        <v/>
      </c>
      <c r="B150">
        <f>'Runs Z score'!B142</f>
        <v/>
      </c>
      <c r="C150">
        <f>'Runs Z score'!C142</f>
        <v/>
      </c>
      <c r="D150">
        <f>'Runs Z score'!D142</f>
        <v/>
      </c>
      <c r="E150">
        <f>'Runs Z score'!E142</f>
        <v/>
      </c>
      <c r="F150">
        <f>'Runs Z score'!F142</f>
        <v/>
      </c>
      <c r="G150">
        <f>'Runs Z score'!G142</f>
        <v/>
      </c>
      <c r="H150">
        <f>VLOOKUP(C150,Recipes!$A$2:$N$4,10,FALSE())</f>
        <v/>
      </c>
      <c r="I150">
        <f>VLOOKUP(C150,Recipes!$A$2:$N$4,12,FALSE())</f>
        <v/>
      </c>
      <c r="J150">
        <f>IF(G150="","",H150-G150)</f>
        <v/>
      </c>
      <c r="K150">
        <f>IF(G150="","",IF(ABS(G150-H150)&lt;=$B$6*I150,"OK","NG"))</f>
        <v/>
      </c>
      <c r="L150">
        <f>IF(K150="","",IF(K150=D150,1,0))</f>
        <v/>
      </c>
      <c r="M150" t="inlineStr">
        <is>
          <t>NONE</t>
        </is>
      </c>
      <c r="N150" s="15" t="n">
        <v>1</v>
      </c>
      <c r="O150" s="15" t="n">
        <v>0</v>
      </c>
      <c r="P150">
        <f>IF(M150="","",IF(M150=E150,1,0))</f>
        <v/>
      </c>
      <c r="Q150">
        <f>IF(K150="OK","-",IF(N150&lt;$B$7,"AMBIGUOUS","CONFIDENT"))</f>
        <v/>
      </c>
    </row>
    <row r="151">
      <c r="A151">
        <f>'Runs Z score'!A143</f>
        <v/>
      </c>
      <c r="B151">
        <f>'Runs Z score'!B143</f>
        <v/>
      </c>
      <c r="C151">
        <f>'Runs Z score'!C143</f>
        <v/>
      </c>
      <c r="D151">
        <f>'Runs Z score'!D143</f>
        <v/>
      </c>
      <c r="E151">
        <f>'Runs Z score'!E143</f>
        <v/>
      </c>
      <c r="F151">
        <f>'Runs Z score'!F143</f>
        <v/>
      </c>
      <c r="G151">
        <f>'Runs Z score'!G143</f>
        <v/>
      </c>
      <c r="H151">
        <f>VLOOKUP(C151,Recipes!$A$2:$N$4,10,FALSE())</f>
        <v/>
      </c>
      <c r="I151">
        <f>VLOOKUP(C151,Recipes!$A$2:$N$4,12,FALSE())</f>
        <v/>
      </c>
      <c r="J151">
        <f>IF(G151="","",H151-G151)</f>
        <v/>
      </c>
      <c r="K151">
        <f>IF(G151="","",IF(ABS(G151-H151)&lt;=$B$6*I151,"OK","NG"))</f>
        <v/>
      </c>
      <c r="L151">
        <f>IF(K151="","",IF(K151=D151,1,0))</f>
        <v/>
      </c>
      <c r="M151" t="inlineStr">
        <is>
          <t>NONE</t>
        </is>
      </c>
      <c r="N151" s="15" t="n">
        <v>1</v>
      </c>
      <c r="O151" s="15" t="n">
        <v>0</v>
      </c>
      <c r="P151">
        <f>IF(M151="","",IF(M151=E151,1,0))</f>
        <v/>
      </c>
      <c r="Q151">
        <f>IF(K151="OK","-",IF(N151&lt;$B$7,"AMBIGUOUS","CONFIDENT"))</f>
        <v/>
      </c>
    </row>
    <row r="152">
      <c r="A152">
        <f>'Runs Z score'!A144</f>
        <v/>
      </c>
      <c r="B152">
        <f>'Runs Z score'!B144</f>
        <v/>
      </c>
      <c r="C152">
        <f>'Runs Z score'!C144</f>
        <v/>
      </c>
      <c r="D152">
        <f>'Runs Z score'!D144</f>
        <v/>
      </c>
      <c r="E152">
        <f>'Runs Z score'!E144</f>
        <v/>
      </c>
      <c r="F152">
        <f>'Runs Z score'!F144</f>
        <v/>
      </c>
      <c r="G152">
        <f>'Runs Z score'!G144</f>
        <v/>
      </c>
      <c r="H152">
        <f>VLOOKUP(C152,Recipes!$A$2:$N$4,10,FALSE())</f>
        <v/>
      </c>
      <c r="I152">
        <f>VLOOKUP(C152,Recipes!$A$2:$N$4,12,FALSE())</f>
        <v/>
      </c>
      <c r="J152">
        <f>IF(G152="","",H152-G152)</f>
        <v/>
      </c>
      <c r="K152">
        <f>IF(G152="","",IF(ABS(G152-H152)&lt;=$B$6*I152,"OK","NG"))</f>
        <v/>
      </c>
      <c r="L152">
        <f>IF(K152="","",IF(K152=D152,1,0))</f>
        <v/>
      </c>
      <c r="M152" t="inlineStr">
        <is>
          <t>NONE</t>
        </is>
      </c>
      <c r="N152" s="15" t="n">
        <v>1</v>
      </c>
      <c r="O152" s="15" t="n">
        <v>0</v>
      </c>
      <c r="P152">
        <f>IF(M152="","",IF(M152=E152,1,0))</f>
        <v/>
      </c>
      <c r="Q152">
        <f>IF(K152="OK","-",IF(N152&lt;$B$7,"AMBIGUOUS","CONFIDENT"))</f>
        <v/>
      </c>
    </row>
    <row r="153">
      <c r="A153">
        <f>'Runs Z score'!A145</f>
        <v/>
      </c>
      <c r="B153">
        <f>'Runs Z score'!B145</f>
        <v/>
      </c>
      <c r="C153">
        <f>'Runs Z score'!C145</f>
        <v/>
      </c>
      <c r="D153">
        <f>'Runs Z score'!D145</f>
        <v/>
      </c>
      <c r="E153">
        <f>'Runs Z score'!E145</f>
        <v/>
      </c>
      <c r="F153">
        <f>'Runs Z score'!F145</f>
        <v/>
      </c>
      <c r="G153">
        <f>'Runs Z score'!G145</f>
        <v/>
      </c>
      <c r="H153">
        <f>VLOOKUP(C153,Recipes!$A$2:$N$4,10,FALSE())</f>
        <v/>
      </c>
      <c r="I153">
        <f>VLOOKUP(C153,Recipes!$A$2:$N$4,12,FALSE())</f>
        <v/>
      </c>
      <c r="J153">
        <f>IF(G153="","",H153-G153)</f>
        <v/>
      </c>
      <c r="K153">
        <f>IF(G153="","",IF(ABS(G153-H153)&lt;=$B$6*I153,"OK","NG"))</f>
        <v/>
      </c>
      <c r="L153">
        <f>IF(K153="","",IF(K153=D153,1,0))</f>
        <v/>
      </c>
      <c r="M153" t="inlineStr">
        <is>
          <t>NONE</t>
        </is>
      </c>
      <c r="N153" s="15" t="n">
        <v>1</v>
      </c>
      <c r="O153" s="15" t="n">
        <v>0</v>
      </c>
      <c r="P153">
        <f>IF(M153="","",IF(M153=E153,1,0))</f>
        <v/>
      </c>
      <c r="Q153">
        <f>IF(K153="OK","-",IF(N153&lt;$B$7,"AMBIGUOUS","CONFIDENT"))</f>
        <v/>
      </c>
    </row>
    <row r="154">
      <c r="A154">
        <f>'Runs Z score'!A146</f>
        <v/>
      </c>
      <c r="B154">
        <f>'Runs Z score'!B146</f>
        <v/>
      </c>
      <c r="C154">
        <f>'Runs Z score'!C146</f>
        <v/>
      </c>
      <c r="D154">
        <f>'Runs Z score'!D146</f>
        <v/>
      </c>
      <c r="E154">
        <f>'Runs Z score'!E146</f>
        <v/>
      </c>
      <c r="F154">
        <f>'Runs Z score'!F146</f>
        <v/>
      </c>
      <c r="G154">
        <f>'Runs Z score'!G146</f>
        <v/>
      </c>
      <c r="H154">
        <f>VLOOKUP(C154,Recipes!$A$2:$N$4,10,FALSE())</f>
        <v/>
      </c>
      <c r="I154">
        <f>VLOOKUP(C154,Recipes!$A$2:$N$4,12,FALSE())</f>
        <v/>
      </c>
      <c r="J154">
        <f>IF(G154="","",H154-G154)</f>
        <v/>
      </c>
      <c r="K154">
        <f>IF(G154="","",IF(ABS(G154-H154)&lt;=$B$6*I154,"OK","NG"))</f>
        <v/>
      </c>
      <c r="L154">
        <f>IF(K154="","",IF(K154=D154,1,0))</f>
        <v/>
      </c>
      <c r="M154" t="inlineStr">
        <is>
          <t>NONE</t>
        </is>
      </c>
      <c r="N154" s="15" t="n">
        <v>1</v>
      </c>
      <c r="O154" s="15" t="n">
        <v>0</v>
      </c>
      <c r="P154">
        <f>IF(M154="","",IF(M154=E154,1,0))</f>
        <v/>
      </c>
      <c r="Q154">
        <f>IF(K154="OK","-",IF(N154&lt;$B$7,"AMBIGUOUS","CONFIDENT"))</f>
        <v/>
      </c>
    </row>
    <row r="155">
      <c r="A155">
        <f>'Runs Z score'!A147</f>
        <v/>
      </c>
      <c r="B155">
        <f>'Runs Z score'!B147</f>
        <v/>
      </c>
      <c r="C155">
        <f>'Runs Z score'!C147</f>
        <v/>
      </c>
      <c r="D155">
        <f>'Runs Z score'!D147</f>
        <v/>
      </c>
      <c r="E155">
        <f>'Runs Z score'!E147</f>
        <v/>
      </c>
      <c r="F155">
        <f>'Runs Z score'!F147</f>
        <v/>
      </c>
      <c r="G155">
        <f>'Runs Z score'!G147</f>
        <v/>
      </c>
      <c r="H155">
        <f>VLOOKUP(C155,Recipes!$A$2:$N$4,10,FALSE())</f>
        <v/>
      </c>
      <c r="I155">
        <f>VLOOKUP(C155,Recipes!$A$2:$N$4,12,FALSE())</f>
        <v/>
      </c>
      <c r="J155">
        <f>IF(G155="","",H155-G155)</f>
        <v/>
      </c>
      <c r="K155">
        <f>IF(G155="","",IF(ABS(G155-H155)&lt;=$B$6*I155,"OK","NG"))</f>
        <v/>
      </c>
      <c r="L155">
        <f>IF(K155="","",IF(K155=D155,1,0))</f>
        <v/>
      </c>
      <c r="M155" t="inlineStr">
        <is>
          <t>NONE</t>
        </is>
      </c>
      <c r="N155" s="15" t="n">
        <v>1</v>
      </c>
      <c r="O155" s="15" t="n">
        <v>0</v>
      </c>
      <c r="P155">
        <f>IF(M155="","",IF(M155=E155,1,0))</f>
        <v/>
      </c>
      <c r="Q155">
        <f>IF(K155="OK","-",IF(N155&lt;$B$7,"AMBIGUOUS","CONFIDENT"))</f>
        <v/>
      </c>
    </row>
    <row r="156">
      <c r="A156">
        <f>'Runs Z score'!A148</f>
        <v/>
      </c>
      <c r="B156">
        <f>'Runs Z score'!B148</f>
        <v/>
      </c>
      <c r="C156">
        <f>'Runs Z score'!C148</f>
        <v/>
      </c>
      <c r="D156">
        <f>'Runs Z score'!D148</f>
        <v/>
      </c>
      <c r="E156">
        <f>'Runs Z score'!E148</f>
        <v/>
      </c>
      <c r="F156">
        <f>'Runs Z score'!F148</f>
        <v/>
      </c>
      <c r="G156">
        <f>'Runs Z score'!G148</f>
        <v/>
      </c>
      <c r="H156">
        <f>VLOOKUP(C156,Recipes!$A$2:$N$4,10,FALSE())</f>
        <v/>
      </c>
      <c r="I156">
        <f>VLOOKUP(C156,Recipes!$A$2:$N$4,12,FALSE())</f>
        <v/>
      </c>
      <c r="J156">
        <f>IF(G156="","",H156-G156)</f>
        <v/>
      </c>
      <c r="K156">
        <f>IF(G156="","",IF(ABS(G156-H156)&lt;=$B$6*I156,"OK","NG"))</f>
        <v/>
      </c>
      <c r="L156">
        <f>IF(K156="","",IF(K156=D156,1,0))</f>
        <v/>
      </c>
      <c r="M156" t="inlineStr">
        <is>
          <t>NONE</t>
        </is>
      </c>
      <c r="N156" s="15" t="n">
        <v>1</v>
      </c>
      <c r="O156" s="15" t="n">
        <v>0</v>
      </c>
      <c r="P156">
        <f>IF(M156="","",IF(M156=E156,1,0))</f>
        <v/>
      </c>
      <c r="Q156">
        <f>IF(K156="OK","-",IF(N156&lt;$B$7,"AMBIGUOUS","CONFIDENT"))</f>
        <v/>
      </c>
    </row>
    <row r="157">
      <c r="A157">
        <f>'Runs Z score'!A149</f>
        <v/>
      </c>
      <c r="B157">
        <f>'Runs Z score'!B149</f>
        <v/>
      </c>
      <c r="C157">
        <f>'Runs Z score'!C149</f>
        <v/>
      </c>
      <c r="D157">
        <f>'Runs Z score'!D149</f>
        <v/>
      </c>
      <c r="E157">
        <f>'Runs Z score'!E149</f>
        <v/>
      </c>
      <c r="F157">
        <f>'Runs Z score'!F149</f>
        <v/>
      </c>
      <c r="G157">
        <f>'Runs Z score'!G149</f>
        <v/>
      </c>
      <c r="H157">
        <f>VLOOKUP(C157,Recipes!$A$2:$N$4,10,FALSE())</f>
        <v/>
      </c>
      <c r="I157">
        <f>VLOOKUP(C157,Recipes!$A$2:$N$4,12,FALSE())</f>
        <v/>
      </c>
      <c r="J157">
        <f>IF(G157="","",H157-G157)</f>
        <v/>
      </c>
      <c r="K157">
        <f>IF(G157="","",IF(ABS(G157-H157)&lt;=$B$6*I157,"OK","NG"))</f>
        <v/>
      </c>
      <c r="L157">
        <f>IF(K157="","",IF(K157=D157,1,0))</f>
        <v/>
      </c>
      <c r="M157" t="inlineStr">
        <is>
          <t>NONE</t>
        </is>
      </c>
      <c r="N157" s="15" t="n">
        <v>1</v>
      </c>
      <c r="O157" s="15" t="n">
        <v>0</v>
      </c>
      <c r="P157">
        <f>IF(M157="","",IF(M157=E157,1,0))</f>
        <v/>
      </c>
      <c r="Q157">
        <f>IF(K157="OK","-",IF(N157&lt;$B$7,"AMBIGUOUS","CONFIDENT"))</f>
        <v/>
      </c>
    </row>
    <row r="158">
      <c r="A158">
        <f>'Runs Z score'!A150</f>
        <v/>
      </c>
      <c r="B158">
        <f>'Runs Z score'!B150</f>
        <v/>
      </c>
      <c r="C158">
        <f>'Runs Z score'!C150</f>
        <v/>
      </c>
      <c r="D158">
        <f>'Runs Z score'!D150</f>
        <v/>
      </c>
      <c r="E158">
        <f>'Runs Z score'!E150</f>
        <v/>
      </c>
      <c r="F158">
        <f>'Runs Z score'!F150</f>
        <v/>
      </c>
      <c r="G158">
        <f>'Runs Z score'!G150</f>
        <v/>
      </c>
      <c r="H158">
        <f>VLOOKUP(C158,Recipes!$A$2:$N$4,10,FALSE())</f>
        <v/>
      </c>
      <c r="I158">
        <f>VLOOKUP(C158,Recipes!$A$2:$N$4,12,FALSE())</f>
        <v/>
      </c>
      <c r="J158">
        <f>IF(G158="","",H158-G158)</f>
        <v/>
      </c>
      <c r="K158">
        <f>IF(G158="","",IF(ABS(G158-H158)&lt;=$B$6*I158,"OK","NG"))</f>
        <v/>
      </c>
      <c r="L158">
        <f>IF(K158="","",IF(K158=D158,1,0))</f>
        <v/>
      </c>
      <c r="M158" t="inlineStr">
        <is>
          <t>NONE</t>
        </is>
      </c>
      <c r="N158" s="15" t="n">
        <v>1</v>
      </c>
      <c r="O158" s="15" t="n">
        <v>0</v>
      </c>
      <c r="P158">
        <f>IF(M158="","",IF(M158=E158,1,0))</f>
        <v/>
      </c>
      <c r="Q158">
        <f>IF(K158="OK","-",IF(N158&lt;$B$7,"AMBIGUOUS","CONFIDENT"))</f>
        <v/>
      </c>
    </row>
    <row r="159">
      <c r="A159">
        <f>'Runs Z score'!A151</f>
        <v/>
      </c>
      <c r="B159">
        <f>'Runs Z score'!B151</f>
        <v/>
      </c>
      <c r="C159">
        <f>'Runs Z score'!C151</f>
        <v/>
      </c>
      <c r="D159">
        <f>'Runs Z score'!D151</f>
        <v/>
      </c>
      <c r="E159">
        <f>'Runs Z score'!E151</f>
        <v/>
      </c>
      <c r="F159">
        <f>'Runs Z score'!F151</f>
        <v/>
      </c>
      <c r="G159">
        <f>'Runs Z score'!G151</f>
        <v/>
      </c>
      <c r="H159">
        <f>VLOOKUP(C159,Recipes!$A$2:$N$4,10,FALSE())</f>
        <v/>
      </c>
      <c r="I159">
        <f>VLOOKUP(C159,Recipes!$A$2:$N$4,12,FALSE())</f>
        <v/>
      </c>
      <c r="J159">
        <f>IF(G159="","",H159-G159)</f>
        <v/>
      </c>
      <c r="K159">
        <f>IF(G159="","",IF(ABS(G159-H159)&lt;=$B$6*I159,"OK","NG"))</f>
        <v/>
      </c>
      <c r="L159">
        <f>IF(K159="","",IF(K159=D159,1,0))</f>
        <v/>
      </c>
      <c r="M159" t="inlineStr">
        <is>
          <t>NONE</t>
        </is>
      </c>
      <c r="N159" s="15" t="n">
        <v>1</v>
      </c>
      <c r="O159" s="15" t="n">
        <v>0</v>
      </c>
      <c r="P159">
        <f>IF(M159="","",IF(M159=E159,1,0))</f>
        <v/>
      </c>
      <c r="Q159">
        <f>IF(K159="OK","-",IF(N159&lt;$B$7,"AMBIGUOUS","CONFIDENT"))</f>
        <v/>
      </c>
    </row>
    <row r="160">
      <c r="A160">
        <f>'Runs Z score'!A152</f>
        <v/>
      </c>
      <c r="B160">
        <f>'Runs Z score'!B152</f>
        <v/>
      </c>
      <c r="C160">
        <f>'Runs Z score'!C152</f>
        <v/>
      </c>
      <c r="D160">
        <f>'Runs Z score'!D152</f>
        <v/>
      </c>
      <c r="E160">
        <f>'Runs Z score'!E152</f>
        <v/>
      </c>
      <c r="F160">
        <f>'Runs Z score'!F152</f>
        <v/>
      </c>
      <c r="G160">
        <f>'Runs Z score'!G152</f>
        <v/>
      </c>
      <c r="H160">
        <f>VLOOKUP(C160,Recipes!$A$2:$N$4,10,FALSE())</f>
        <v/>
      </c>
      <c r="I160">
        <f>VLOOKUP(C160,Recipes!$A$2:$N$4,12,FALSE())</f>
        <v/>
      </c>
      <c r="J160">
        <f>IF(G160="","",H160-G160)</f>
        <v/>
      </c>
      <c r="K160">
        <f>IF(G160="","",IF(ABS(G160-H160)&lt;=$B$6*I160,"OK","NG"))</f>
        <v/>
      </c>
      <c r="L160">
        <f>IF(K160="","",IF(K160=D160,1,0))</f>
        <v/>
      </c>
      <c r="M160" t="inlineStr">
        <is>
          <t>NONE</t>
        </is>
      </c>
      <c r="N160" s="15" t="n">
        <v>1</v>
      </c>
      <c r="O160" s="15" t="n">
        <v>0</v>
      </c>
      <c r="P160">
        <f>IF(M160="","",IF(M160=E160,1,0))</f>
        <v/>
      </c>
      <c r="Q160">
        <f>IF(K160="OK","-",IF(N160&lt;$B$7,"AMBIGUOUS","CONFIDENT"))</f>
        <v/>
      </c>
    </row>
    <row r="161">
      <c r="A161">
        <f>'Runs Z score'!A153</f>
        <v/>
      </c>
      <c r="B161">
        <f>'Runs Z score'!B153</f>
        <v/>
      </c>
      <c r="C161">
        <f>'Runs Z score'!C153</f>
        <v/>
      </c>
      <c r="D161">
        <f>'Runs Z score'!D153</f>
        <v/>
      </c>
      <c r="E161">
        <f>'Runs Z score'!E153</f>
        <v/>
      </c>
      <c r="F161">
        <f>'Runs Z score'!F153</f>
        <v/>
      </c>
      <c r="G161">
        <f>'Runs Z score'!G153</f>
        <v/>
      </c>
      <c r="H161">
        <f>VLOOKUP(C161,Recipes!$A$2:$N$4,10,FALSE())</f>
        <v/>
      </c>
      <c r="I161">
        <f>VLOOKUP(C161,Recipes!$A$2:$N$4,12,FALSE())</f>
        <v/>
      </c>
      <c r="J161">
        <f>IF(G161="","",H161-G161)</f>
        <v/>
      </c>
      <c r="K161">
        <f>IF(G161="","",IF(ABS(G161-H161)&lt;=$B$6*I161,"OK","NG"))</f>
        <v/>
      </c>
      <c r="L161">
        <f>IF(K161="","",IF(K161=D161,1,0))</f>
        <v/>
      </c>
      <c r="M161" t="inlineStr">
        <is>
          <t>S1</t>
        </is>
      </c>
      <c r="N161" s="15" t="n">
        <v>1</v>
      </c>
      <c r="O161" s="15" t="n">
        <v>0</v>
      </c>
      <c r="P161">
        <f>IF(M161="","",IF(M161=E161,1,0))</f>
        <v/>
      </c>
      <c r="Q161">
        <f>IF(K161="OK","-",IF(N161&lt;$B$7,"AMBIGUOUS","CONFIDENT"))</f>
        <v/>
      </c>
    </row>
    <row r="162">
      <c r="A162">
        <f>'Runs Z score'!A154</f>
        <v/>
      </c>
      <c r="B162">
        <f>'Runs Z score'!B154</f>
        <v/>
      </c>
      <c r="C162">
        <f>'Runs Z score'!C154</f>
        <v/>
      </c>
      <c r="D162">
        <f>'Runs Z score'!D154</f>
        <v/>
      </c>
      <c r="E162">
        <f>'Runs Z score'!E154</f>
        <v/>
      </c>
      <c r="F162">
        <f>'Runs Z score'!F154</f>
        <v/>
      </c>
      <c r="G162">
        <f>'Runs Z score'!G154</f>
        <v/>
      </c>
      <c r="H162">
        <f>VLOOKUP(C162,Recipes!$A$2:$N$4,10,FALSE())</f>
        <v/>
      </c>
      <c r="I162">
        <f>VLOOKUP(C162,Recipes!$A$2:$N$4,12,FALSE())</f>
        <v/>
      </c>
      <c r="J162">
        <f>IF(G162="","",H162-G162)</f>
        <v/>
      </c>
      <c r="K162">
        <f>IF(G162="","",IF(ABS(G162-H162)&lt;=$B$6*I162,"OK","NG"))</f>
        <v/>
      </c>
      <c r="L162">
        <f>IF(K162="","",IF(K162=D162,1,0))</f>
        <v/>
      </c>
      <c r="M162" t="inlineStr">
        <is>
          <t>S1</t>
        </is>
      </c>
      <c r="N162" s="15" t="n">
        <v>1</v>
      </c>
      <c r="O162" s="15" t="n">
        <v>0</v>
      </c>
      <c r="P162">
        <f>IF(M162="","",IF(M162=E162,1,0))</f>
        <v/>
      </c>
      <c r="Q162">
        <f>IF(K162="OK","-",IF(N162&lt;$B$7,"AMBIGUOUS","CONFIDENT"))</f>
        <v/>
      </c>
    </row>
    <row r="163">
      <c r="A163">
        <f>'Runs Z score'!A155</f>
        <v/>
      </c>
      <c r="B163">
        <f>'Runs Z score'!B155</f>
        <v/>
      </c>
      <c r="C163">
        <f>'Runs Z score'!C155</f>
        <v/>
      </c>
      <c r="D163">
        <f>'Runs Z score'!D155</f>
        <v/>
      </c>
      <c r="E163">
        <f>'Runs Z score'!E155</f>
        <v/>
      </c>
      <c r="F163">
        <f>'Runs Z score'!F155</f>
        <v/>
      </c>
      <c r="G163">
        <f>'Runs Z score'!G155</f>
        <v/>
      </c>
      <c r="H163">
        <f>VLOOKUP(C163,Recipes!$A$2:$N$4,10,FALSE())</f>
        <v/>
      </c>
      <c r="I163">
        <f>VLOOKUP(C163,Recipes!$A$2:$N$4,12,FALSE())</f>
        <v/>
      </c>
      <c r="J163">
        <f>IF(G163="","",H163-G163)</f>
        <v/>
      </c>
      <c r="K163">
        <f>IF(G163="","",IF(ABS(G163-H163)&lt;=$B$6*I163,"OK","NG"))</f>
        <v/>
      </c>
      <c r="L163">
        <f>IF(K163="","",IF(K163=D163,1,0))</f>
        <v/>
      </c>
      <c r="M163" t="inlineStr">
        <is>
          <t>S1</t>
        </is>
      </c>
      <c r="N163" s="15" t="n">
        <v>1</v>
      </c>
      <c r="O163" s="15" t="n">
        <v>0</v>
      </c>
      <c r="P163">
        <f>IF(M163="","",IF(M163=E163,1,0))</f>
        <v/>
      </c>
      <c r="Q163">
        <f>IF(K163="OK","-",IF(N163&lt;$B$7,"AMBIGUOUS","CONFIDENT"))</f>
        <v/>
      </c>
    </row>
    <row r="164">
      <c r="A164">
        <f>'Runs Z score'!A156</f>
        <v/>
      </c>
      <c r="B164">
        <f>'Runs Z score'!B156</f>
        <v/>
      </c>
      <c r="C164">
        <f>'Runs Z score'!C156</f>
        <v/>
      </c>
      <c r="D164">
        <f>'Runs Z score'!D156</f>
        <v/>
      </c>
      <c r="E164">
        <f>'Runs Z score'!E156</f>
        <v/>
      </c>
      <c r="F164">
        <f>'Runs Z score'!F156</f>
        <v/>
      </c>
      <c r="G164">
        <f>'Runs Z score'!G156</f>
        <v/>
      </c>
      <c r="H164">
        <f>VLOOKUP(C164,Recipes!$A$2:$N$4,10,FALSE())</f>
        <v/>
      </c>
      <c r="I164">
        <f>VLOOKUP(C164,Recipes!$A$2:$N$4,12,FALSE())</f>
        <v/>
      </c>
      <c r="J164">
        <f>IF(G164="","",H164-G164)</f>
        <v/>
      </c>
      <c r="K164">
        <f>IF(G164="","",IF(ABS(G164-H164)&lt;=$B$6*I164,"OK","NG"))</f>
        <v/>
      </c>
      <c r="L164">
        <f>IF(K164="","",IF(K164=D164,1,0))</f>
        <v/>
      </c>
      <c r="M164" t="inlineStr">
        <is>
          <t>S1</t>
        </is>
      </c>
      <c r="N164" s="15" t="n">
        <v>1</v>
      </c>
      <c r="O164" s="15" t="n">
        <v>0</v>
      </c>
      <c r="P164">
        <f>IF(M164="","",IF(M164=E164,1,0))</f>
        <v/>
      </c>
      <c r="Q164">
        <f>IF(K164="OK","-",IF(N164&lt;$B$7,"AMBIGUOUS","CONFIDENT"))</f>
        <v/>
      </c>
    </row>
    <row r="165">
      <c r="A165">
        <f>'Runs Z score'!A157</f>
        <v/>
      </c>
      <c r="B165">
        <f>'Runs Z score'!B157</f>
        <v/>
      </c>
      <c r="C165">
        <f>'Runs Z score'!C157</f>
        <v/>
      </c>
      <c r="D165">
        <f>'Runs Z score'!D157</f>
        <v/>
      </c>
      <c r="E165">
        <f>'Runs Z score'!E157</f>
        <v/>
      </c>
      <c r="F165">
        <f>'Runs Z score'!F157</f>
        <v/>
      </c>
      <c r="G165">
        <f>'Runs Z score'!G157</f>
        <v/>
      </c>
      <c r="H165">
        <f>VLOOKUP(C165,Recipes!$A$2:$N$4,10,FALSE())</f>
        <v/>
      </c>
      <c r="I165">
        <f>VLOOKUP(C165,Recipes!$A$2:$N$4,12,FALSE())</f>
        <v/>
      </c>
      <c r="J165">
        <f>IF(G165="","",H165-G165)</f>
        <v/>
      </c>
      <c r="K165">
        <f>IF(G165="","",IF(ABS(G165-H165)&lt;=$B$6*I165,"OK","NG"))</f>
        <v/>
      </c>
      <c r="L165">
        <f>IF(K165="","",IF(K165=D165,1,0))</f>
        <v/>
      </c>
      <c r="M165" t="inlineStr">
        <is>
          <t>S1</t>
        </is>
      </c>
      <c r="N165" s="15" t="n">
        <v>1</v>
      </c>
      <c r="O165" s="15" t="n">
        <v>0</v>
      </c>
      <c r="P165">
        <f>IF(M165="","",IF(M165=E165,1,0))</f>
        <v/>
      </c>
      <c r="Q165">
        <f>IF(K165="OK","-",IF(N165&lt;$B$7,"AMBIGUOUS","CONFIDENT"))</f>
        <v/>
      </c>
    </row>
    <row r="166">
      <c r="A166">
        <f>'Runs Z score'!A158</f>
        <v/>
      </c>
      <c r="B166">
        <f>'Runs Z score'!B158</f>
        <v/>
      </c>
      <c r="C166">
        <f>'Runs Z score'!C158</f>
        <v/>
      </c>
      <c r="D166">
        <f>'Runs Z score'!D158</f>
        <v/>
      </c>
      <c r="E166">
        <f>'Runs Z score'!E158</f>
        <v/>
      </c>
      <c r="F166">
        <f>'Runs Z score'!F158</f>
        <v/>
      </c>
      <c r="G166">
        <f>'Runs Z score'!G158</f>
        <v/>
      </c>
      <c r="H166">
        <f>VLOOKUP(C166,Recipes!$A$2:$N$4,10,FALSE())</f>
        <v/>
      </c>
      <c r="I166">
        <f>VLOOKUP(C166,Recipes!$A$2:$N$4,12,FALSE())</f>
        <v/>
      </c>
      <c r="J166">
        <f>IF(G166="","",H166-G166)</f>
        <v/>
      </c>
      <c r="K166">
        <f>IF(G166="","",IF(ABS(G166-H166)&lt;=$B$6*I166,"OK","NG"))</f>
        <v/>
      </c>
      <c r="L166">
        <f>IF(K166="","",IF(K166=D166,1,0))</f>
        <v/>
      </c>
      <c r="M166" t="inlineStr">
        <is>
          <t>S1</t>
        </is>
      </c>
      <c r="N166" s="15" t="n">
        <v>1</v>
      </c>
      <c r="O166" s="15" t="n">
        <v>0</v>
      </c>
      <c r="P166">
        <f>IF(M166="","",IF(M166=E166,1,0))</f>
        <v/>
      </c>
      <c r="Q166">
        <f>IF(K166="OK","-",IF(N166&lt;$B$7,"AMBIGUOUS","CONFIDENT"))</f>
        <v/>
      </c>
    </row>
    <row r="167">
      <c r="A167">
        <f>'Runs Z score'!A159</f>
        <v/>
      </c>
      <c r="B167">
        <f>'Runs Z score'!B159</f>
        <v/>
      </c>
      <c r="C167">
        <f>'Runs Z score'!C159</f>
        <v/>
      </c>
      <c r="D167">
        <f>'Runs Z score'!D159</f>
        <v/>
      </c>
      <c r="E167">
        <f>'Runs Z score'!E159</f>
        <v/>
      </c>
      <c r="F167">
        <f>'Runs Z score'!F159</f>
        <v/>
      </c>
      <c r="G167">
        <f>'Runs Z score'!G159</f>
        <v/>
      </c>
      <c r="H167">
        <f>VLOOKUP(C167,Recipes!$A$2:$N$4,10,FALSE())</f>
        <v/>
      </c>
      <c r="I167">
        <f>VLOOKUP(C167,Recipes!$A$2:$N$4,12,FALSE())</f>
        <v/>
      </c>
      <c r="J167">
        <f>IF(G167="","",H167-G167)</f>
        <v/>
      </c>
      <c r="K167">
        <f>IF(G167="","",IF(ABS(G167-H167)&lt;=$B$6*I167,"OK","NG"))</f>
        <v/>
      </c>
      <c r="L167">
        <f>IF(K167="","",IF(K167=D167,1,0))</f>
        <v/>
      </c>
      <c r="M167" t="inlineStr">
        <is>
          <t>S1</t>
        </is>
      </c>
      <c r="N167" s="15" t="n">
        <v>1</v>
      </c>
      <c r="O167" s="15" t="n">
        <v>0</v>
      </c>
      <c r="P167">
        <f>IF(M167="","",IF(M167=E167,1,0))</f>
        <v/>
      </c>
      <c r="Q167">
        <f>IF(K167="OK","-",IF(N167&lt;$B$7,"AMBIGUOUS","CONFIDENT"))</f>
        <v/>
      </c>
    </row>
    <row r="168">
      <c r="A168">
        <f>'Runs Z score'!A160</f>
        <v/>
      </c>
      <c r="B168">
        <f>'Runs Z score'!B160</f>
        <v/>
      </c>
      <c r="C168">
        <f>'Runs Z score'!C160</f>
        <v/>
      </c>
      <c r="D168">
        <f>'Runs Z score'!D160</f>
        <v/>
      </c>
      <c r="E168">
        <f>'Runs Z score'!E160</f>
        <v/>
      </c>
      <c r="F168">
        <f>'Runs Z score'!F160</f>
        <v/>
      </c>
      <c r="G168">
        <f>'Runs Z score'!G160</f>
        <v/>
      </c>
      <c r="H168">
        <f>VLOOKUP(C168,Recipes!$A$2:$N$4,10,FALSE())</f>
        <v/>
      </c>
      <c r="I168">
        <f>VLOOKUP(C168,Recipes!$A$2:$N$4,12,FALSE())</f>
        <v/>
      </c>
      <c r="J168">
        <f>IF(G168="","",H168-G168)</f>
        <v/>
      </c>
      <c r="K168">
        <f>IF(G168="","",IF(ABS(G168-H168)&lt;=$B$6*I168,"OK","NG"))</f>
        <v/>
      </c>
      <c r="L168">
        <f>IF(K168="","",IF(K168=D168,1,0))</f>
        <v/>
      </c>
      <c r="M168" t="inlineStr">
        <is>
          <t>S1</t>
        </is>
      </c>
      <c r="N168" s="15" t="n">
        <v>1</v>
      </c>
      <c r="O168" s="15" t="n">
        <v>0</v>
      </c>
      <c r="P168">
        <f>IF(M168="","",IF(M168=E168,1,0))</f>
        <v/>
      </c>
      <c r="Q168">
        <f>IF(K168="OK","-",IF(N168&lt;$B$7,"AMBIGUOUS","CONFIDENT"))</f>
        <v/>
      </c>
    </row>
    <row r="169">
      <c r="A169">
        <f>'Runs Z score'!A161</f>
        <v/>
      </c>
      <c r="B169">
        <f>'Runs Z score'!B161</f>
        <v/>
      </c>
      <c r="C169">
        <f>'Runs Z score'!C161</f>
        <v/>
      </c>
      <c r="D169">
        <f>'Runs Z score'!D161</f>
        <v/>
      </c>
      <c r="E169">
        <f>'Runs Z score'!E161</f>
        <v/>
      </c>
      <c r="F169">
        <f>'Runs Z score'!F161</f>
        <v/>
      </c>
      <c r="G169">
        <f>'Runs Z score'!G161</f>
        <v/>
      </c>
      <c r="H169">
        <f>VLOOKUP(C169,Recipes!$A$2:$N$4,10,FALSE())</f>
        <v/>
      </c>
      <c r="I169">
        <f>VLOOKUP(C169,Recipes!$A$2:$N$4,12,FALSE())</f>
        <v/>
      </c>
      <c r="J169">
        <f>IF(G169="","",H169-G169)</f>
        <v/>
      </c>
      <c r="K169">
        <f>IF(G169="","",IF(ABS(G169-H169)&lt;=$B$6*I169,"OK","NG"))</f>
        <v/>
      </c>
      <c r="L169">
        <f>IF(K169="","",IF(K169=D169,1,0))</f>
        <v/>
      </c>
      <c r="M169" t="inlineStr">
        <is>
          <t>S1</t>
        </is>
      </c>
      <c r="N169" s="15" t="n">
        <v>1</v>
      </c>
      <c r="O169" s="15" t="n">
        <v>0</v>
      </c>
      <c r="P169">
        <f>IF(M169="","",IF(M169=E169,1,0))</f>
        <v/>
      </c>
      <c r="Q169">
        <f>IF(K169="OK","-",IF(N169&lt;$B$7,"AMBIGUOUS","CONFIDENT"))</f>
        <v/>
      </c>
    </row>
    <row r="170">
      <c r="A170">
        <f>'Runs Z score'!A162</f>
        <v/>
      </c>
      <c r="B170">
        <f>'Runs Z score'!B162</f>
        <v/>
      </c>
      <c r="C170">
        <f>'Runs Z score'!C162</f>
        <v/>
      </c>
      <c r="D170">
        <f>'Runs Z score'!D162</f>
        <v/>
      </c>
      <c r="E170">
        <f>'Runs Z score'!E162</f>
        <v/>
      </c>
      <c r="F170">
        <f>'Runs Z score'!F162</f>
        <v/>
      </c>
      <c r="G170">
        <f>'Runs Z score'!G162</f>
        <v/>
      </c>
      <c r="H170">
        <f>VLOOKUP(C170,Recipes!$A$2:$N$4,10,FALSE())</f>
        <v/>
      </c>
      <c r="I170">
        <f>VLOOKUP(C170,Recipes!$A$2:$N$4,12,FALSE())</f>
        <v/>
      </c>
      <c r="J170">
        <f>IF(G170="","",H170-G170)</f>
        <v/>
      </c>
      <c r="K170">
        <f>IF(G170="","",IF(ABS(G170-H170)&lt;=$B$6*I170,"OK","NG"))</f>
        <v/>
      </c>
      <c r="L170">
        <f>IF(K170="","",IF(K170=D170,1,0))</f>
        <v/>
      </c>
      <c r="M170" t="inlineStr">
        <is>
          <t>S1</t>
        </is>
      </c>
      <c r="N170" s="15" t="n">
        <v>1</v>
      </c>
      <c r="O170" s="15" t="n">
        <v>0</v>
      </c>
      <c r="P170">
        <f>IF(M170="","",IF(M170=E170,1,0))</f>
        <v/>
      </c>
      <c r="Q170">
        <f>IF(K170="OK","-",IF(N170&lt;$B$7,"AMBIGUOUS","CONFIDENT"))</f>
        <v/>
      </c>
    </row>
    <row r="171">
      <c r="A171">
        <f>'Runs Z score'!A163</f>
        <v/>
      </c>
      <c r="B171">
        <f>'Runs Z score'!B163</f>
        <v/>
      </c>
      <c r="C171">
        <f>'Runs Z score'!C163</f>
        <v/>
      </c>
      <c r="D171">
        <f>'Runs Z score'!D163</f>
        <v/>
      </c>
      <c r="E171">
        <f>'Runs Z score'!E163</f>
        <v/>
      </c>
      <c r="F171">
        <f>'Runs Z score'!F163</f>
        <v/>
      </c>
      <c r="G171">
        <f>'Runs Z score'!G163</f>
        <v/>
      </c>
      <c r="H171">
        <f>VLOOKUP(C171,Recipes!$A$2:$N$4,10,FALSE())</f>
        <v/>
      </c>
      <c r="I171">
        <f>VLOOKUP(C171,Recipes!$A$2:$N$4,12,FALSE())</f>
        <v/>
      </c>
      <c r="J171">
        <f>IF(G171="","",H171-G171)</f>
        <v/>
      </c>
      <c r="K171">
        <f>IF(G171="","",IF(ABS(G171-H171)&lt;=$B$6*I171,"OK","NG"))</f>
        <v/>
      </c>
      <c r="L171">
        <f>IF(K171="","",IF(K171=D171,1,0))</f>
        <v/>
      </c>
      <c r="M171" t="inlineStr">
        <is>
          <t>S1</t>
        </is>
      </c>
      <c r="N171" s="15" t="n">
        <v>1</v>
      </c>
      <c r="O171" s="15" t="n">
        <v>0</v>
      </c>
      <c r="P171">
        <f>IF(M171="","",IF(M171=E171,1,0))</f>
        <v/>
      </c>
      <c r="Q171">
        <f>IF(K171="OK","-",IF(N171&lt;$B$7,"AMBIGUOUS","CONFIDENT"))</f>
        <v/>
      </c>
    </row>
    <row r="172">
      <c r="A172">
        <f>'Runs Z score'!A164</f>
        <v/>
      </c>
      <c r="B172">
        <f>'Runs Z score'!B164</f>
        <v/>
      </c>
      <c r="C172">
        <f>'Runs Z score'!C164</f>
        <v/>
      </c>
      <c r="D172">
        <f>'Runs Z score'!D164</f>
        <v/>
      </c>
      <c r="E172">
        <f>'Runs Z score'!E164</f>
        <v/>
      </c>
      <c r="F172">
        <f>'Runs Z score'!F164</f>
        <v/>
      </c>
      <c r="G172">
        <f>'Runs Z score'!G164</f>
        <v/>
      </c>
      <c r="H172">
        <f>VLOOKUP(C172,Recipes!$A$2:$N$4,10,FALSE())</f>
        <v/>
      </c>
      <c r="I172">
        <f>VLOOKUP(C172,Recipes!$A$2:$N$4,12,FALSE())</f>
        <v/>
      </c>
      <c r="J172">
        <f>IF(G172="","",H172-G172)</f>
        <v/>
      </c>
      <c r="K172">
        <f>IF(G172="","",IF(ABS(G172-H172)&lt;=$B$6*I172,"OK","NG"))</f>
        <v/>
      </c>
      <c r="L172">
        <f>IF(K172="","",IF(K172=D172,1,0))</f>
        <v/>
      </c>
      <c r="M172" t="inlineStr">
        <is>
          <t>S1</t>
        </is>
      </c>
      <c r="N172" s="15" t="n">
        <v>1</v>
      </c>
      <c r="O172" s="15" t="n">
        <v>0</v>
      </c>
      <c r="P172">
        <f>IF(M172="","",IF(M172=E172,1,0))</f>
        <v/>
      </c>
      <c r="Q172">
        <f>IF(K172="OK","-",IF(N172&lt;$B$7,"AMBIGUOUS","CONFIDENT"))</f>
        <v/>
      </c>
    </row>
    <row r="173">
      <c r="A173">
        <f>'Runs Z score'!A165</f>
        <v/>
      </c>
      <c r="B173">
        <f>'Runs Z score'!B165</f>
        <v/>
      </c>
      <c r="C173">
        <f>'Runs Z score'!C165</f>
        <v/>
      </c>
      <c r="D173">
        <f>'Runs Z score'!D165</f>
        <v/>
      </c>
      <c r="E173">
        <f>'Runs Z score'!E165</f>
        <v/>
      </c>
      <c r="F173">
        <f>'Runs Z score'!F165</f>
        <v/>
      </c>
      <c r="G173">
        <f>'Runs Z score'!G165</f>
        <v/>
      </c>
      <c r="H173">
        <f>VLOOKUP(C173,Recipes!$A$2:$N$4,10,FALSE())</f>
        <v/>
      </c>
      <c r="I173">
        <f>VLOOKUP(C173,Recipes!$A$2:$N$4,12,FALSE())</f>
        <v/>
      </c>
      <c r="J173">
        <f>IF(G173="","",H173-G173)</f>
        <v/>
      </c>
      <c r="K173">
        <f>IF(G173="","",IF(ABS(G173-H173)&lt;=$B$6*I173,"OK","NG"))</f>
        <v/>
      </c>
      <c r="L173">
        <f>IF(K173="","",IF(K173=D173,1,0))</f>
        <v/>
      </c>
      <c r="M173" t="inlineStr">
        <is>
          <t>S1</t>
        </is>
      </c>
      <c r="N173" s="15" t="n">
        <v>1</v>
      </c>
      <c r="O173" s="15" t="n">
        <v>0</v>
      </c>
      <c r="P173">
        <f>IF(M173="","",IF(M173=E173,1,0))</f>
        <v/>
      </c>
      <c r="Q173">
        <f>IF(K173="OK","-",IF(N173&lt;$B$7,"AMBIGUOUS","CONFIDENT"))</f>
        <v/>
      </c>
    </row>
    <row r="174">
      <c r="A174">
        <f>'Runs Z score'!A166</f>
        <v/>
      </c>
      <c r="B174">
        <f>'Runs Z score'!B166</f>
        <v/>
      </c>
      <c r="C174">
        <f>'Runs Z score'!C166</f>
        <v/>
      </c>
      <c r="D174">
        <f>'Runs Z score'!D166</f>
        <v/>
      </c>
      <c r="E174">
        <f>'Runs Z score'!E166</f>
        <v/>
      </c>
      <c r="F174">
        <f>'Runs Z score'!F166</f>
        <v/>
      </c>
      <c r="G174">
        <f>'Runs Z score'!G166</f>
        <v/>
      </c>
      <c r="H174">
        <f>VLOOKUP(C174,Recipes!$A$2:$N$4,10,FALSE())</f>
        <v/>
      </c>
      <c r="I174">
        <f>VLOOKUP(C174,Recipes!$A$2:$N$4,12,FALSE())</f>
        <v/>
      </c>
      <c r="J174">
        <f>IF(G174="","",H174-G174)</f>
        <v/>
      </c>
      <c r="K174">
        <f>IF(G174="","",IF(ABS(G174-H174)&lt;=$B$6*I174,"OK","NG"))</f>
        <v/>
      </c>
      <c r="L174">
        <f>IF(K174="","",IF(K174=D174,1,0))</f>
        <v/>
      </c>
      <c r="M174" t="inlineStr">
        <is>
          <t>S1</t>
        </is>
      </c>
      <c r="N174" s="15" t="n">
        <v>1</v>
      </c>
      <c r="O174" s="15" t="n">
        <v>0</v>
      </c>
      <c r="P174">
        <f>IF(M174="","",IF(M174=E174,1,0))</f>
        <v/>
      </c>
      <c r="Q174">
        <f>IF(K174="OK","-",IF(N174&lt;$B$7,"AMBIGUOUS","CONFIDENT"))</f>
        <v/>
      </c>
    </row>
    <row r="175">
      <c r="A175">
        <f>'Runs Z score'!A167</f>
        <v/>
      </c>
      <c r="B175">
        <f>'Runs Z score'!B167</f>
        <v/>
      </c>
      <c r="C175">
        <f>'Runs Z score'!C167</f>
        <v/>
      </c>
      <c r="D175">
        <f>'Runs Z score'!D167</f>
        <v/>
      </c>
      <c r="E175">
        <f>'Runs Z score'!E167</f>
        <v/>
      </c>
      <c r="F175">
        <f>'Runs Z score'!F167</f>
        <v/>
      </c>
      <c r="G175">
        <f>'Runs Z score'!G167</f>
        <v/>
      </c>
      <c r="H175">
        <f>VLOOKUP(C175,Recipes!$A$2:$N$4,10,FALSE())</f>
        <v/>
      </c>
      <c r="I175">
        <f>VLOOKUP(C175,Recipes!$A$2:$N$4,12,FALSE())</f>
        <v/>
      </c>
      <c r="J175">
        <f>IF(G175="","",H175-G175)</f>
        <v/>
      </c>
      <c r="K175">
        <f>IF(G175="","",IF(ABS(G175-H175)&lt;=$B$6*I175,"OK","NG"))</f>
        <v/>
      </c>
      <c r="L175">
        <f>IF(K175="","",IF(K175=D175,1,0))</f>
        <v/>
      </c>
      <c r="M175" t="inlineStr">
        <is>
          <t>S1</t>
        </is>
      </c>
      <c r="N175" s="15" t="n">
        <v>1</v>
      </c>
      <c r="O175" s="15" t="n">
        <v>0</v>
      </c>
      <c r="P175">
        <f>IF(M175="","",IF(M175=E175,1,0))</f>
        <v/>
      </c>
      <c r="Q175">
        <f>IF(K175="OK","-",IF(N175&lt;$B$7,"AMBIGUOUS","CONFIDENT"))</f>
        <v/>
      </c>
    </row>
    <row r="176">
      <c r="A176">
        <f>'Runs Z score'!A168</f>
        <v/>
      </c>
      <c r="B176">
        <f>'Runs Z score'!B168</f>
        <v/>
      </c>
      <c r="C176">
        <f>'Runs Z score'!C168</f>
        <v/>
      </c>
      <c r="D176">
        <f>'Runs Z score'!D168</f>
        <v/>
      </c>
      <c r="E176">
        <f>'Runs Z score'!E168</f>
        <v/>
      </c>
      <c r="F176">
        <f>'Runs Z score'!F168</f>
        <v/>
      </c>
      <c r="G176">
        <f>'Runs Z score'!G168</f>
        <v/>
      </c>
      <c r="H176">
        <f>VLOOKUP(C176,Recipes!$A$2:$N$4,10,FALSE())</f>
        <v/>
      </c>
      <c r="I176">
        <f>VLOOKUP(C176,Recipes!$A$2:$N$4,12,FALSE())</f>
        <v/>
      </c>
      <c r="J176">
        <f>IF(G176="","",H176-G176)</f>
        <v/>
      </c>
      <c r="K176">
        <f>IF(G176="","",IF(ABS(G176-H176)&lt;=$B$6*I176,"OK","NG"))</f>
        <v/>
      </c>
      <c r="L176">
        <f>IF(K176="","",IF(K176=D176,1,0))</f>
        <v/>
      </c>
      <c r="M176" t="inlineStr">
        <is>
          <t>S1</t>
        </is>
      </c>
      <c r="N176" s="15" t="n">
        <v>1</v>
      </c>
      <c r="O176" s="15" t="n">
        <v>0</v>
      </c>
      <c r="P176">
        <f>IF(M176="","",IF(M176=E176,1,0))</f>
        <v/>
      </c>
      <c r="Q176">
        <f>IF(K176="OK","-",IF(N176&lt;$B$7,"AMBIGUOUS","CONFIDENT"))</f>
        <v/>
      </c>
    </row>
    <row r="177">
      <c r="A177">
        <f>'Runs Z score'!A169</f>
        <v/>
      </c>
      <c r="B177">
        <f>'Runs Z score'!B169</f>
        <v/>
      </c>
      <c r="C177">
        <f>'Runs Z score'!C169</f>
        <v/>
      </c>
      <c r="D177">
        <f>'Runs Z score'!D169</f>
        <v/>
      </c>
      <c r="E177">
        <f>'Runs Z score'!E169</f>
        <v/>
      </c>
      <c r="F177">
        <f>'Runs Z score'!F169</f>
        <v/>
      </c>
      <c r="G177">
        <f>'Runs Z score'!G169</f>
        <v/>
      </c>
      <c r="H177">
        <f>VLOOKUP(C177,Recipes!$A$2:$N$4,10,FALSE())</f>
        <v/>
      </c>
      <c r="I177">
        <f>VLOOKUP(C177,Recipes!$A$2:$N$4,12,FALSE())</f>
        <v/>
      </c>
      <c r="J177">
        <f>IF(G177="","",H177-G177)</f>
        <v/>
      </c>
      <c r="K177">
        <f>IF(G177="","",IF(ABS(G177-H177)&lt;=$B$6*I177,"OK","NG"))</f>
        <v/>
      </c>
      <c r="L177">
        <f>IF(K177="","",IF(K177=D177,1,0))</f>
        <v/>
      </c>
      <c r="M177" t="inlineStr">
        <is>
          <t>S1</t>
        </is>
      </c>
      <c r="N177" s="15" t="n">
        <v>1</v>
      </c>
      <c r="O177" s="15" t="n">
        <v>0</v>
      </c>
      <c r="P177">
        <f>IF(M177="","",IF(M177=E177,1,0))</f>
        <v/>
      </c>
      <c r="Q177">
        <f>IF(K177="OK","-",IF(N177&lt;$B$7,"AMBIGUOUS","CONFIDENT"))</f>
        <v/>
      </c>
    </row>
    <row r="178">
      <c r="A178">
        <f>'Runs Z score'!A170</f>
        <v/>
      </c>
      <c r="B178">
        <f>'Runs Z score'!B170</f>
        <v/>
      </c>
      <c r="C178">
        <f>'Runs Z score'!C170</f>
        <v/>
      </c>
      <c r="D178">
        <f>'Runs Z score'!D170</f>
        <v/>
      </c>
      <c r="E178">
        <f>'Runs Z score'!E170</f>
        <v/>
      </c>
      <c r="F178">
        <f>'Runs Z score'!F170</f>
        <v/>
      </c>
      <c r="G178">
        <f>'Runs Z score'!G170</f>
        <v/>
      </c>
      <c r="H178">
        <f>VLOOKUP(C178,Recipes!$A$2:$N$4,10,FALSE())</f>
        <v/>
      </c>
      <c r="I178">
        <f>VLOOKUP(C178,Recipes!$A$2:$N$4,12,FALSE())</f>
        <v/>
      </c>
      <c r="J178">
        <f>IF(G178="","",H178-G178)</f>
        <v/>
      </c>
      <c r="K178">
        <f>IF(G178="","",IF(ABS(G178-H178)&lt;=$B$6*I178,"OK","NG"))</f>
        <v/>
      </c>
      <c r="L178">
        <f>IF(K178="","",IF(K178=D178,1,0))</f>
        <v/>
      </c>
      <c r="M178" t="inlineStr">
        <is>
          <t>S1</t>
        </is>
      </c>
      <c r="N178" s="15" t="n">
        <v>1</v>
      </c>
      <c r="O178" s="15" t="n">
        <v>0</v>
      </c>
      <c r="P178">
        <f>IF(M178="","",IF(M178=E178,1,0))</f>
        <v/>
      </c>
      <c r="Q178">
        <f>IF(K178="OK","-",IF(N178&lt;$B$7,"AMBIGUOUS","CONFIDENT"))</f>
        <v/>
      </c>
    </row>
    <row r="179">
      <c r="A179">
        <f>'Runs Z score'!A171</f>
        <v/>
      </c>
      <c r="B179">
        <f>'Runs Z score'!B171</f>
        <v/>
      </c>
      <c r="C179">
        <f>'Runs Z score'!C171</f>
        <v/>
      </c>
      <c r="D179">
        <f>'Runs Z score'!D171</f>
        <v/>
      </c>
      <c r="E179">
        <f>'Runs Z score'!E171</f>
        <v/>
      </c>
      <c r="F179">
        <f>'Runs Z score'!F171</f>
        <v/>
      </c>
      <c r="G179">
        <f>'Runs Z score'!G171</f>
        <v/>
      </c>
      <c r="H179">
        <f>VLOOKUP(C179,Recipes!$A$2:$N$4,10,FALSE())</f>
        <v/>
      </c>
      <c r="I179">
        <f>VLOOKUP(C179,Recipes!$A$2:$N$4,12,FALSE())</f>
        <v/>
      </c>
      <c r="J179">
        <f>IF(G179="","",H179-G179)</f>
        <v/>
      </c>
      <c r="K179">
        <f>IF(G179="","",IF(ABS(G179-H179)&lt;=$B$6*I179,"OK","NG"))</f>
        <v/>
      </c>
      <c r="L179">
        <f>IF(K179="","",IF(K179=D179,1,0))</f>
        <v/>
      </c>
      <c r="M179" t="inlineStr">
        <is>
          <t>S1</t>
        </is>
      </c>
      <c r="N179" s="15" t="n">
        <v>1</v>
      </c>
      <c r="O179" s="15" t="n">
        <v>0</v>
      </c>
      <c r="P179">
        <f>IF(M179="","",IF(M179=E179,1,0))</f>
        <v/>
      </c>
      <c r="Q179">
        <f>IF(K179="OK","-",IF(N179&lt;$B$7,"AMBIGUOUS","CONFIDENT"))</f>
        <v/>
      </c>
    </row>
    <row r="180">
      <c r="A180">
        <f>'Runs Z score'!A172</f>
        <v/>
      </c>
      <c r="B180">
        <f>'Runs Z score'!B172</f>
        <v/>
      </c>
      <c r="C180">
        <f>'Runs Z score'!C172</f>
        <v/>
      </c>
      <c r="D180">
        <f>'Runs Z score'!D172</f>
        <v/>
      </c>
      <c r="E180">
        <f>'Runs Z score'!E172</f>
        <v/>
      </c>
      <c r="F180">
        <f>'Runs Z score'!F172</f>
        <v/>
      </c>
      <c r="G180">
        <f>'Runs Z score'!G172</f>
        <v/>
      </c>
      <c r="H180">
        <f>VLOOKUP(C180,Recipes!$A$2:$N$4,10,FALSE())</f>
        <v/>
      </c>
      <c r="I180">
        <f>VLOOKUP(C180,Recipes!$A$2:$N$4,12,FALSE())</f>
        <v/>
      </c>
      <c r="J180">
        <f>IF(G180="","",H180-G180)</f>
        <v/>
      </c>
      <c r="K180">
        <f>IF(G180="","",IF(ABS(G180-H180)&lt;=$B$6*I180,"OK","NG"))</f>
        <v/>
      </c>
      <c r="L180">
        <f>IF(K180="","",IF(K180=D180,1,0))</f>
        <v/>
      </c>
      <c r="M180" t="inlineStr">
        <is>
          <t>S1</t>
        </is>
      </c>
      <c r="N180" s="15" t="n">
        <v>1</v>
      </c>
      <c r="O180" s="15" t="n">
        <v>0</v>
      </c>
      <c r="P180">
        <f>IF(M180="","",IF(M180=E180,1,0))</f>
        <v/>
      </c>
      <c r="Q180">
        <f>IF(K180="OK","-",IF(N180&lt;$B$7,"AMBIGUOUS","CONFIDENT"))</f>
        <v/>
      </c>
    </row>
    <row r="181">
      <c r="A181">
        <f>'Runs Z score'!A173</f>
        <v/>
      </c>
      <c r="B181">
        <f>'Runs Z score'!B173</f>
        <v/>
      </c>
      <c r="C181">
        <f>'Runs Z score'!C173</f>
        <v/>
      </c>
      <c r="D181">
        <f>'Runs Z score'!D173</f>
        <v/>
      </c>
      <c r="E181">
        <f>'Runs Z score'!E173</f>
        <v/>
      </c>
      <c r="F181">
        <f>'Runs Z score'!F173</f>
        <v/>
      </c>
      <c r="G181">
        <f>'Runs Z score'!G173</f>
        <v/>
      </c>
      <c r="H181">
        <f>VLOOKUP(C181,Recipes!$A$2:$N$4,10,FALSE())</f>
        <v/>
      </c>
      <c r="I181">
        <f>VLOOKUP(C181,Recipes!$A$2:$N$4,12,FALSE())</f>
        <v/>
      </c>
      <c r="J181">
        <f>IF(G181="","",H181-G181)</f>
        <v/>
      </c>
      <c r="K181">
        <f>IF(G181="","",IF(ABS(G181-H181)&lt;=$B$6*I181,"OK","NG"))</f>
        <v/>
      </c>
      <c r="L181">
        <f>IF(K181="","",IF(K181=D181,1,0))</f>
        <v/>
      </c>
      <c r="M181" t="inlineStr">
        <is>
          <t>S1</t>
        </is>
      </c>
      <c r="N181" s="15" t="n">
        <v>1</v>
      </c>
      <c r="O181" s="15" t="n">
        <v>0</v>
      </c>
      <c r="P181">
        <f>IF(M181="","",IF(M181=E181,1,0))</f>
        <v/>
      </c>
      <c r="Q181">
        <f>IF(K181="OK","-",IF(N181&lt;$B$7,"AMBIGUOUS","CONFIDENT"))</f>
        <v/>
      </c>
    </row>
    <row r="182">
      <c r="A182">
        <f>'Runs Z score'!A174</f>
        <v/>
      </c>
      <c r="B182">
        <f>'Runs Z score'!B174</f>
        <v/>
      </c>
      <c r="C182">
        <f>'Runs Z score'!C174</f>
        <v/>
      </c>
      <c r="D182">
        <f>'Runs Z score'!D174</f>
        <v/>
      </c>
      <c r="E182">
        <f>'Runs Z score'!E174</f>
        <v/>
      </c>
      <c r="F182">
        <f>'Runs Z score'!F174</f>
        <v/>
      </c>
      <c r="G182">
        <f>'Runs Z score'!G174</f>
        <v/>
      </c>
      <c r="H182">
        <f>VLOOKUP(C182,Recipes!$A$2:$N$4,10,FALSE())</f>
        <v/>
      </c>
      <c r="I182">
        <f>VLOOKUP(C182,Recipes!$A$2:$N$4,12,FALSE())</f>
        <v/>
      </c>
      <c r="J182">
        <f>IF(G182="","",H182-G182)</f>
        <v/>
      </c>
      <c r="K182">
        <f>IF(G182="","",IF(ABS(G182-H182)&lt;=$B$6*I182,"OK","NG"))</f>
        <v/>
      </c>
      <c r="L182">
        <f>IF(K182="","",IF(K182=D182,1,0))</f>
        <v/>
      </c>
      <c r="M182" t="inlineStr">
        <is>
          <t>S1</t>
        </is>
      </c>
      <c r="N182" s="15" t="n">
        <v>1</v>
      </c>
      <c r="O182" s="15" t="n">
        <v>0</v>
      </c>
      <c r="P182">
        <f>IF(M182="","",IF(M182=E182,1,0))</f>
        <v/>
      </c>
      <c r="Q182">
        <f>IF(K182="OK","-",IF(N182&lt;$B$7,"AMBIGUOUS","CONFIDENT"))</f>
        <v/>
      </c>
    </row>
    <row r="183">
      <c r="A183">
        <f>'Runs Z score'!A175</f>
        <v/>
      </c>
      <c r="B183">
        <f>'Runs Z score'!B175</f>
        <v/>
      </c>
      <c r="C183">
        <f>'Runs Z score'!C175</f>
        <v/>
      </c>
      <c r="D183">
        <f>'Runs Z score'!D175</f>
        <v/>
      </c>
      <c r="E183">
        <f>'Runs Z score'!E175</f>
        <v/>
      </c>
      <c r="F183">
        <f>'Runs Z score'!F175</f>
        <v/>
      </c>
      <c r="G183">
        <f>'Runs Z score'!G175</f>
        <v/>
      </c>
      <c r="H183">
        <f>VLOOKUP(C183,Recipes!$A$2:$N$4,10,FALSE())</f>
        <v/>
      </c>
      <c r="I183">
        <f>VLOOKUP(C183,Recipes!$A$2:$N$4,12,FALSE())</f>
        <v/>
      </c>
      <c r="J183">
        <f>IF(G183="","",H183-G183)</f>
        <v/>
      </c>
      <c r="K183">
        <f>IF(G183="","",IF(ABS(G183-H183)&lt;=$B$6*I183,"OK","NG"))</f>
        <v/>
      </c>
      <c r="L183">
        <f>IF(K183="","",IF(K183=D183,1,0))</f>
        <v/>
      </c>
      <c r="M183" t="inlineStr">
        <is>
          <t>S1</t>
        </is>
      </c>
      <c r="N183" s="15" t="n">
        <v>1</v>
      </c>
      <c r="O183" s="15" t="n">
        <v>0</v>
      </c>
      <c r="P183">
        <f>IF(M183="","",IF(M183=E183,1,0))</f>
        <v/>
      </c>
      <c r="Q183">
        <f>IF(K183="OK","-",IF(N183&lt;$B$7,"AMBIGUOUS","CONFIDENT"))</f>
        <v/>
      </c>
    </row>
    <row r="184">
      <c r="A184">
        <f>'Runs Z score'!A176</f>
        <v/>
      </c>
      <c r="B184">
        <f>'Runs Z score'!B176</f>
        <v/>
      </c>
      <c r="C184">
        <f>'Runs Z score'!C176</f>
        <v/>
      </c>
      <c r="D184">
        <f>'Runs Z score'!D176</f>
        <v/>
      </c>
      <c r="E184">
        <f>'Runs Z score'!E176</f>
        <v/>
      </c>
      <c r="F184">
        <f>'Runs Z score'!F176</f>
        <v/>
      </c>
      <c r="G184">
        <f>'Runs Z score'!G176</f>
        <v/>
      </c>
      <c r="H184">
        <f>VLOOKUP(C184,Recipes!$A$2:$N$4,10,FALSE())</f>
        <v/>
      </c>
      <c r="I184">
        <f>VLOOKUP(C184,Recipes!$A$2:$N$4,12,FALSE())</f>
        <v/>
      </c>
      <c r="J184">
        <f>IF(G184="","",H184-G184)</f>
        <v/>
      </c>
      <c r="K184">
        <f>IF(G184="","",IF(ABS(G184-H184)&lt;=$B$6*I184,"OK","NG"))</f>
        <v/>
      </c>
      <c r="L184">
        <f>IF(K184="","",IF(K184=D184,1,0))</f>
        <v/>
      </c>
      <c r="M184" t="inlineStr">
        <is>
          <t>S1</t>
        </is>
      </c>
      <c r="N184" s="15" t="n">
        <v>1</v>
      </c>
      <c r="O184" s="15" t="n">
        <v>0</v>
      </c>
      <c r="P184">
        <f>IF(M184="","",IF(M184=E184,1,0))</f>
        <v/>
      </c>
      <c r="Q184">
        <f>IF(K184="OK","-",IF(N184&lt;$B$7,"AMBIGUOUS","CONFIDENT"))</f>
        <v/>
      </c>
    </row>
    <row r="185">
      <c r="A185">
        <f>'Runs Z score'!A177</f>
        <v/>
      </c>
      <c r="B185">
        <f>'Runs Z score'!B177</f>
        <v/>
      </c>
      <c r="C185">
        <f>'Runs Z score'!C177</f>
        <v/>
      </c>
      <c r="D185">
        <f>'Runs Z score'!D177</f>
        <v/>
      </c>
      <c r="E185">
        <f>'Runs Z score'!E177</f>
        <v/>
      </c>
      <c r="F185">
        <f>'Runs Z score'!F177</f>
        <v/>
      </c>
      <c r="G185">
        <f>'Runs Z score'!G177</f>
        <v/>
      </c>
      <c r="H185">
        <f>VLOOKUP(C185,Recipes!$A$2:$N$4,10,FALSE())</f>
        <v/>
      </c>
      <c r="I185">
        <f>VLOOKUP(C185,Recipes!$A$2:$N$4,12,FALSE())</f>
        <v/>
      </c>
      <c r="J185">
        <f>IF(G185="","",H185-G185)</f>
        <v/>
      </c>
      <c r="K185">
        <f>IF(G185="","",IF(ABS(G185-H185)&lt;=$B$6*I185,"OK","NG"))</f>
        <v/>
      </c>
      <c r="L185">
        <f>IF(K185="","",IF(K185=D185,1,0))</f>
        <v/>
      </c>
      <c r="M185" t="inlineStr">
        <is>
          <t>S1</t>
        </is>
      </c>
      <c r="N185" s="15" t="n">
        <v>1</v>
      </c>
      <c r="O185" s="15" t="n">
        <v>0</v>
      </c>
      <c r="P185">
        <f>IF(M185="","",IF(M185=E185,1,0))</f>
        <v/>
      </c>
      <c r="Q185">
        <f>IF(K185="OK","-",IF(N185&lt;$B$7,"AMBIGUOUS","CONFIDENT"))</f>
        <v/>
      </c>
    </row>
    <row r="186">
      <c r="A186">
        <f>'Runs Z score'!A178</f>
        <v/>
      </c>
      <c r="B186">
        <f>'Runs Z score'!B178</f>
        <v/>
      </c>
      <c r="C186">
        <f>'Runs Z score'!C178</f>
        <v/>
      </c>
      <c r="D186">
        <f>'Runs Z score'!D178</f>
        <v/>
      </c>
      <c r="E186">
        <f>'Runs Z score'!E178</f>
        <v/>
      </c>
      <c r="F186">
        <f>'Runs Z score'!F178</f>
        <v/>
      </c>
      <c r="G186">
        <f>'Runs Z score'!G178</f>
        <v/>
      </c>
      <c r="H186">
        <f>VLOOKUP(C186,Recipes!$A$2:$N$4,10,FALSE())</f>
        <v/>
      </c>
      <c r="I186">
        <f>VLOOKUP(C186,Recipes!$A$2:$N$4,12,FALSE())</f>
        <v/>
      </c>
      <c r="J186">
        <f>IF(G186="","",H186-G186)</f>
        <v/>
      </c>
      <c r="K186">
        <f>IF(G186="","",IF(ABS(G186-H186)&lt;=$B$6*I186,"OK","NG"))</f>
        <v/>
      </c>
      <c r="L186">
        <f>IF(K186="","",IF(K186=D186,1,0))</f>
        <v/>
      </c>
      <c r="M186" t="inlineStr">
        <is>
          <t>S1</t>
        </is>
      </c>
      <c r="N186" s="15" t="n">
        <v>1</v>
      </c>
      <c r="O186" s="15" t="n">
        <v>0</v>
      </c>
      <c r="P186">
        <f>IF(M186="","",IF(M186=E186,1,0))</f>
        <v/>
      </c>
      <c r="Q186">
        <f>IF(K186="OK","-",IF(N186&lt;$B$7,"AMBIGUOUS","CONFIDENT"))</f>
        <v/>
      </c>
    </row>
    <row r="187">
      <c r="A187">
        <f>'Runs Z score'!A179</f>
        <v/>
      </c>
      <c r="B187">
        <f>'Runs Z score'!B179</f>
        <v/>
      </c>
      <c r="C187">
        <f>'Runs Z score'!C179</f>
        <v/>
      </c>
      <c r="D187">
        <f>'Runs Z score'!D179</f>
        <v/>
      </c>
      <c r="E187">
        <f>'Runs Z score'!E179</f>
        <v/>
      </c>
      <c r="F187">
        <f>'Runs Z score'!F179</f>
        <v/>
      </c>
      <c r="G187">
        <f>'Runs Z score'!G179</f>
        <v/>
      </c>
      <c r="H187">
        <f>VLOOKUP(C187,Recipes!$A$2:$N$4,10,FALSE())</f>
        <v/>
      </c>
      <c r="I187">
        <f>VLOOKUP(C187,Recipes!$A$2:$N$4,12,FALSE())</f>
        <v/>
      </c>
      <c r="J187">
        <f>IF(G187="","",H187-G187)</f>
        <v/>
      </c>
      <c r="K187">
        <f>IF(G187="","",IF(ABS(G187-H187)&lt;=$B$6*I187,"OK","NG"))</f>
        <v/>
      </c>
      <c r="L187">
        <f>IF(K187="","",IF(K187=D187,1,0))</f>
        <v/>
      </c>
      <c r="M187" t="inlineStr">
        <is>
          <t>S1</t>
        </is>
      </c>
      <c r="N187" s="15" t="n">
        <v>1</v>
      </c>
      <c r="O187" s="15" t="n">
        <v>0</v>
      </c>
      <c r="P187">
        <f>IF(M187="","",IF(M187=E187,1,0))</f>
        <v/>
      </c>
      <c r="Q187">
        <f>IF(K187="OK","-",IF(N187&lt;$B$7,"AMBIGUOUS","CONFIDENT"))</f>
        <v/>
      </c>
    </row>
    <row r="188">
      <c r="A188">
        <f>'Runs Z score'!A180</f>
        <v/>
      </c>
      <c r="B188">
        <f>'Runs Z score'!B180</f>
        <v/>
      </c>
      <c r="C188">
        <f>'Runs Z score'!C180</f>
        <v/>
      </c>
      <c r="D188">
        <f>'Runs Z score'!D180</f>
        <v/>
      </c>
      <c r="E188">
        <f>'Runs Z score'!E180</f>
        <v/>
      </c>
      <c r="F188">
        <f>'Runs Z score'!F180</f>
        <v/>
      </c>
      <c r="G188">
        <f>'Runs Z score'!G180</f>
        <v/>
      </c>
      <c r="H188">
        <f>VLOOKUP(C188,Recipes!$A$2:$N$4,10,FALSE())</f>
        <v/>
      </c>
      <c r="I188">
        <f>VLOOKUP(C188,Recipes!$A$2:$N$4,12,FALSE())</f>
        <v/>
      </c>
      <c r="J188">
        <f>IF(G188="","",H188-G188)</f>
        <v/>
      </c>
      <c r="K188">
        <f>IF(G188="","",IF(ABS(G188-H188)&lt;=$B$6*I188,"OK","NG"))</f>
        <v/>
      </c>
      <c r="L188">
        <f>IF(K188="","",IF(K188=D188,1,0))</f>
        <v/>
      </c>
      <c r="M188" t="inlineStr">
        <is>
          <t>S1</t>
        </is>
      </c>
      <c r="N188" s="15" t="n">
        <v>1</v>
      </c>
      <c r="O188" s="15" t="n">
        <v>0</v>
      </c>
      <c r="P188">
        <f>IF(M188="","",IF(M188=E188,1,0))</f>
        <v/>
      </c>
      <c r="Q188">
        <f>IF(K188="OK","-",IF(N188&lt;$B$7,"AMBIGUOUS","CONFIDENT"))</f>
        <v/>
      </c>
    </row>
    <row r="189">
      <c r="A189">
        <f>'Runs Z score'!A181</f>
        <v/>
      </c>
      <c r="B189">
        <f>'Runs Z score'!B181</f>
        <v/>
      </c>
      <c r="C189">
        <f>'Runs Z score'!C181</f>
        <v/>
      </c>
      <c r="D189">
        <f>'Runs Z score'!D181</f>
        <v/>
      </c>
      <c r="E189">
        <f>'Runs Z score'!E181</f>
        <v/>
      </c>
      <c r="F189">
        <f>'Runs Z score'!F181</f>
        <v/>
      </c>
      <c r="G189">
        <f>'Runs Z score'!G181</f>
        <v/>
      </c>
      <c r="H189">
        <f>VLOOKUP(C189,Recipes!$A$2:$N$4,10,FALSE())</f>
        <v/>
      </c>
      <c r="I189">
        <f>VLOOKUP(C189,Recipes!$A$2:$N$4,12,FALSE())</f>
        <v/>
      </c>
      <c r="J189">
        <f>IF(G189="","",H189-G189)</f>
        <v/>
      </c>
      <c r="K189">
        <f>IF(G189="","",IF(ABS(G189-H189)&lt;=$B$6*I189,"OK","NG"))</f>
        <v/>
      </c>
      <c r="L189">
        <f>IF(K189="","",IF(K189=D189,1,0))</f>
        <v/>
      </c>
      <c r="M189" t="inlineStr">
        <is>
          <t>S1</t>
        </is>
      </c>
      <c r="N189" s="15" t="n">
        <v>1</v>
      </c>
      <c r="O189" s="15" t="n">
        <v>0</v>
      </c>
      <c r="P189">
        <f>IF(M189="","",IF(M189=E189,1,0))</f>
        <v/>
      </c>
      <c r="Q189">
        <f>IF(K189="OK","-",IF(N189&lt;$B$7,"AMBIGUOUS","CONFIDENT"))</f>
        <v/>
      </c>
    </row>
    <row r="190">
      <c r="A190">
        <f>'Runs Z score'!A182</f>
        <v/>
      </c>
      <c r="B190">
        <f>'Runs Z score'!B182</f>
        <v/>
      </c>
      <c r="C190">
        <f>'Runs Z score'!C182</f>
        <v/>
      </c>
      <c r="D190">
        <f>'Runs Z score'!D182</f>
        <v/>
      </c>
      <c r="E190">
        <f>'Runs Z score'!E182</f>
        <v/>
      </c>
      <c r="F190">
        <f>'Runs Z score'!F182</f>
        <v/>
      </c>
      <c r="G190">
        <f>'Runs Z score'!G182</f>
        <v/>
      </c>
      <c r="H190">
        <f>VLOOKUP(C190,Recipes!$A$2:$N$4,10,FALSE())</f>
        <v/>
      </c>
      <c r="I190">
        <f>VLOOKUP(C190,Recipes!$A$2:$N$4,12,FALSE())</f>
        <v/>
      </c>
      <c r="J190">
        <f>IF(G190="","",H190-G190)</f>
        <v/>
      </c>
      <c r="K190">
        <f>IF(G190="","",IF(ABS(G190-H190)&lt;=$B$6*I190,"OK","NG"))</f>
        <v/>
      </c>
      <c r="L190">
        <f>IF(K190="","",IF(K190=D190,1,0))</f>
        <v/>
      </c>
      <c r="M190" t="inlineStr">
        <is>
          <t>S1</t>
        </is>
      </c>
      <c r="N190" s="15" t="n">
        <v>1</v>
      </c>
      <c r="O190" s="15" t="n">
        <v>0</v>
      </c>
      <c r="P190">
        <f>IF(M190="","",IF(M190=E190,1,0))</f>
        <v/>
      </c>
      <c r="Q190">
        <f>IF(K190="OK","-",IF(N190&lt;$B$7,"AMBIGUOUS","CONFIDENT"))</f>
        <v/>
      </c>
    </row>
    <row r="191">
      <c r="A191">
        <f>'Runs Z score'!A183</f>
        <v/>
      </c>
      <c r="B191">
        <f>'Runs Z score'!B183</f>
        <v/>
      </c>
      <c r="C191">
        <f>'Runs Z score'!C183</f>
        <v/>
      </c>
      <c r="D191">
        <f>'Runs Z score'!D183</f>
        <v/>
      </c>
      <c r="E191">
        <f>'Runs Z score'!E183</f>
        <v/>
      </c>
      <c r="F191">
        <f>'Runs Z score'!F183</f>
        <v/>
      </c>
      <c r="G191">
        <f>'Runs Z score'!G183</f>
        <v/>
      </c>
      <c r="H191">
        <f>VLOOKUP(C191,Recipes!$A$2:$N$4,10,FALSE())</f>
        <v/>
      </c>
      <c r="I191">
        <f>VLOOKUP(C191,Recipes!$A$2:$N$4,12,FALSE())</f>
        <v/>
      </c>
      <c r="J191">
        <f>IF(G191="","",H191-G191)</f>
        <v/>
      </c>
      <c r="K191">
        <f>IF(G191="","",IF(ABS(G191-H191)&lt;=$B$6*I191,"OK","NG"))</f>
        <v/>
      </c>
      <c r="L191">
        <f>IF(K191="","",IF(K191=D191,1,0))</f>
        <v/>
      </c>
      <c r="M191" t="inlineStr">
        <is>
          <t>W1</t>
        </is>
      </c>
      <c r="N191" s="15" t="n">
        <v>1</v>
      </c>
      <c r="O191" s="15" t="n">
        <v>0</v>
      </c>
      <c r="P191">
        <f>IF(M191="","",IF(M191=E191,1,0))</f>
        <v/>
      </c>
      <c r="Q191">
        <f>IF(K191="OK","-",IF(N191&lt;$B$7,"AMBIGUOUS","CONFIDENT"))</f>
        <v/>
      </c>
    </row>
    <row r="192">
      <c r="A192">
        <f>'Runs Z score'!A184</f>
        <v/>
      </c>
      <c r="B192">
        <f>'Runs Z score'!B184</f>
        <v/>
      </c>
      <c r="C192">
        <f>'Runs Z score'!C184</f>
        <v/>
      </c>
      <c r="D192">
        <f>'Runs Z score'!D184</f>
        <v/>
      </c>
      <c r="E192">
        <f>'Runs Z score'!E184</f>
        <v/>
      </c>
      <c r="F192">
        <f>'Runs Z score'!F184</f>
        <v/>
      </c>
      <c r="G192">
        <f>'Runs Z score'!G184</f>
        <v/>
      </c>
      <c r="H192">
        <f>VLOOKUP(C192,Recipes!$A$2:$N$4,10,FALSE())</f>
        <v/>
      </c>
      <c r="I192">
        <f>VLOOKUP(C192,Recipes!$A$2:$N$4,12,FALSE())</f>
        <v/>
      </c>
      <c r="J192">
        <f>IF(G192="","",H192-G192)</f>
        <v/>
      </c>
      <c r="K192">
        <f>IF(G192="","",IF(ABS(G192-H192)&lt;=$B$6*I192,"OK","NG"))</f>
        <v/>
      </c>
      <c r="L192">
        <f>IF(K192="","",IF(K192=D192,1,0))</f>
        <v/>
      </c>
      <c r="M192" t="inlineStr">
        <is>
          <t>W1</t>
        </is>
      </c>
      <c r="N192" s="15" t="n">
        <v>1</v>
      </c>
      <c r="O192" s="15" t="n">
        <v>0</v>
      </c>
      <c r="P192">
        <f>IF(M192="","",IF(M192=E192,1,0))</f>
        <v/>
      </c>
      <c r="Q192">
        <f>IF(K192="OK","-",IF(N192&lt;$B$7,"AMBIGUOUS","CONFIDENT"))</f>
        <v/>
      </c>
    </row>
    <row r="193">
      <c r="A193">
        <f>'Runs Z score'!A185</f>
        <v/>
      </c>
      <c r="B193">
        <f>'Runs Z score'!B185</f>
        <v/>
      </c>
      <c r="C193">
        <f>'Runs Z score'!C185</f>
        <v/>
      </c>
      <c r="D193">
        <f>'Runs Z score'!D185</f>
        <v/>
      </c>
      <c r="E193">
        <f>'Runs Z score'!E185</f>
        <v/>
      </c>
      <c r="F193">
        <f>'Runs Z score'!F185</f>
        <v/>
      </c>
      <c r="G193">
        <f>'Runs Z score'!G185</f>
        <v/>
      </c>
      <c r="H193">
        <f>VLOOKUP(C193,Recipes!$A$2:$N$4,10,FALSE())</f>
        <v/>
      </c>
      <c r="I193">
        <f>VLOOKUP(C193,Recipes!$A$2:$N$4,12,FALSE())</f>
        <v/>
      </c>
      <c r="J193">
        <f>IF(G193="","",H193-G193)</f>
        <v/>
      </c>
      <c r="K193">
        <f>IF(G193="","",IF(ABS(G193-H193)&lt;=$B$6*I193,"OK","NG"))</f>
        <v/>
      </c>
      <c r="L193">
        <f>IF(K193="","",IF(K193=D193,1,0))</f>
        <v/>
      </c>
      <c r="M193" t="inlineStr">
        <is>
          <t>W1</t>
        </is>
      </c>
      <c r="N193" s="15" t="n">
        <v>1</v>
      </c>
      <c r="O193" s="15" t="n">
        <v>0</v>
      </c>
      <c r="P193">
        <f>IF(M193="","",IF(M193=E193,1,0))</f>
        <v/>
      </c>
      <c r="Q193">
        <f>IF(K193="OK","-",IF(N193&lt;$B$7,"AMBIGUOUS","CONFIDENT"))</f>
        <v/>
      </c>
    </row>
    <row r="194">
      <c r="A194">
        <f>'Runs Z score'!A186</f>
        <v/>
      </c>
      <c r="B194">
        <f>'Runs Z score'!B186</f>
        <v/>
      </c>
      <c r="C194">
        <f>'Runs Z score'!C186</f>
        <v/>
      </c>
      <c r="D194">
        <f>'Runs Z score'!D186</f>
        <v/>
      </c>
      <c r="E194">
        <f>'Runs Z score'!E186</f>
        <v/>
      </c>
      <c r="F194">
        <f>'Runs Z score'!F186</f>
        <v/>
      </c>
      <c r="G194">
        <f>'Runs Z score'!G186</f>
        <v/>
      </c>
      <c r="H194">
        <f>VLOOKUP(C194,Recipes!$A$2:$N$4,10,FALSE())</f>
        <v/>
      </c>
      <c r="I194">
        <f>VLOOKUP(C194,Recipes!$A$2:$N$4,12,FALSE())</f>
        <v/>
      </c>
      <c r="J194">
        <f>IF(G194="","",H194-G194)</f>
        <v/>
      </c>
      <c r="K194">
        <f>IF(G194="","",IF(ABS(G194-H194)&lt;=$B$6*I194,"OK","NG"))</f>
        <v/>
      </c>
      <c r="L194">
        <f>IF(K194="","",IF(K194=D194,1,0))</f>
        <v/>
      </c>
      <c r="M194" t="inlineStr">
        <is>
          <t>W1</t>
        </is>
      </c>
      <c r="N194" s="15" t="n">
        <v>1</v>
      </c>
      <c r="O194" s="15" t="n">
        <v>0</v>
      </c>
      <c r="P194">
        <f>IF(M194="","",IF(M194=E194,1,0))</f>
        <v/>
      </c>
      <c r="Q194">
        <f>IF(K194="OK","-",IF(N194&lt;$B$7,"AMBIGUOUS","CONFIDENT"))</f>
        <v/>
      </c>
    </row>
    <row r="195">
      <c r="A195">
        <f>'Runs Z score'!A187</f>
        <v/>
      </c>
      <c r="B195">
        <f>'Runs Z score'!B187</f>
        <v/>
      </c>
      <c r="C195">
        <f>'Runs Z score'!C187</f>
        <v/>
      </c>
      <c r="D195">
        <f>'Runs Z score'!D187</f>
        <v/>
      </c>
      <c r="E195">
        <f>'Runs Z score'!E187</f>
        <v/>
      </c>
      <c r="F195">
        <f>'Runs Z score'!F187</f>
        <v/>
      </c>
      <c r="G195">
        <f>'Runs Z score'!G187</f>
        <v/>
      </c>
      <c r="H195">
        <f>VLOOKUP(C195,Recipes!$A$2:$N$4,10,FALSE())</f>
        <v/>
      </c>
      <c r="I195">
        <f>VLOOKUP(C195,Recipes!$A$2:$N$4,12,FALSE())</f>
        <v/>
      </c>
      <c r="J195">
        <f>IF(G195="","",H195-G195)</f>
        <v/>
      </c>
      <c r="K195">
        <f>IF(G195="","",IF(ABS(G195-H195)&lt;=$B$6*I195,"OK","NG"))</f>
        <v/>
      </c>
      <c r="L195">
        <f>IF(K195="","",IF(K195=D195,1,0))</f>
        <v/>
      </c>
      <c r="M195" t="inlineStr">
        <is>
          <t>W1</t>
        </is>
      </c>
      <c r="N195" s="15" t="n">
        <v>1</v>
      </c>
      <c r="O195" s="15" t="n">
        <v>0</v>
      </c>
      <c r="P195">
        <f>IF(M195="","",IF(M195=E195,1,0))</f>
        <v/>
      </c>
      <c r="Q195">
        <f>IF(K195="OK","-",IF(N195&lt;$B$7,"AMBIGUOUS","CONFIDENT"))</f>
        <v/>
      </c>
    </row>
    <row r="196">
      <c r="A196">
        <f>'Runs Z score'!A188</f>
        <v/>
      </c>
      <c r="B196">
        <f>'Runs Z score'!B188</f>
        <v/>
      </c>
      <c r="C196">
        <f>'Runs Z score'!C188</f>
        <v/>
      </c>
      <c r="D196">
        <f>'Runs Z score'!D188</f>
        <v/>
      </c>
      <c r="E196">
        <f>'Runs Z score'!E188</f>
        <v/>
      </c>
      <c r="F196">
        <f>'Runs Z score'!F188</f>
        <v/>
      </c>
      <c r="G196">
        <f>'Runs Z score'!G188</f>
        <v/>
      </c>
      <c r="H196">
        <f>VLOOKUP(C196,Recipes!$A$2:$N$4,10,FALSE())</f>
        <v/>
      </c>
      <c r="I196">
        <f>VLOOKUP(C196,Recipes!$A$2:$N$4,12,FALSE())</f>
        <v/>
      </c>
      <c r="J196">
        <f>IF(G196="","",H196-G196)</f>
        <v/>
      </c>
      <c r="K196">
        <f>IF(G196="","",IF(ABS(G196-H196)&lt;=$B$6*I196,"OK","NG"))</f>
        <v/>
      </c>
      <c r="L196">
        <f>IF(K196="","",IF(K196=D196,1,0))</f>
        <v/>
      </c>
      <c r="M196" t="inlineStr">
        <is>
          <t>W1</t>
        </is>
      </c>
      <c r="N196" s="15" t="n">
        <v>1</v>
      </c>
      <c r="O196" s="15" t="n">
        <v>0</v>
      </c>
      <c r="P196">
        <f>IF(M196="","",IF(M196=E196,1,0))</f>
        <v/>
      </c>
      <c r="Q196">
        <f>IF(K196="OK","-",IF(N196&lt;$B$7,"AMBIGUOUS","CONFIDENT"))</f>
        <v/>
      </c>
    </row>
    <row r="197">
      <c r="A197">
        <f>'Runs Z score'!A189</f>
        <v/>
      </c>
      <c r="B197">
        <f>'Runs Z score'!B189</f>
        <v/>
      </c>
      <c r="C197">
        <f>'Runs Z score'!C189</f>
        <v/>
      </c>
      <c r="D197">
        <f>'Runs Z score'!D189</f>
        <v/>
      </c>
      <c r="E197">
        <f>'Runs Z score'!E189</f>
        <v/>
      </c>
      <c r="F197">
        <f>'Runs Z score'!F189</f>
        <v/>
      </c>
      <c r="G197">
        <f>'Runs Z score'!G189</f>
        <v/>
      </c>
      <c r="H197">
        <f>VLOOKUP(C197,Recipes!$A$2:$N$4,10,FALSE())</f>
        <v/>
      </c>
      <c r="I197">
        <f>VLOOKUP(C197,Recipes!$A$2:$N$4,12,FALSE())</f>
        <v/>
      </c>
      <c r="J197">
        <f>IF(G197="","",H197-G197)</f>
        <v/>
      </c>
      <c r="K197">
        <f>IF(G197="","",IF(ABS(G197-H197)&lt;=$B$6*I197,"OK","NG"))</f>
        <v/>
      </c>
      <c r="L197">
        <f>IF(K197="","",IF(K197=D197,1,0))</f>
        <v/>
      </c>
      <c r="M197" t="inlineStr">
        <is>
          <t>W1</t>
        </is>
      </c>
      <c r="N197" s="15" t="n">
        <v>1</v>
      </c>
      <c r="O197" s="15" t="n">
        <v>0</v>
      </c>
      <c r="P197">
        <f>IF(M197="","",IF(M197=E197,1,0))</f>
        <v/>
      </c>
      <c r="Q197">
        <f>IF(K197="OK","-",IF(N197&lt;$B$7,"AMBIGUOUS","CONFIDENT"))</f>
        <v/>
      </c>
    </row>
    <row r="198">
      <c r="A198">
        <f>'Runs Z score'!A190</f>
        <v/>
      </c>
      <c r="B198">
        <f>'Runs Z score'!B190</f>
        <v/>
      </c>
      <c r="C198">
        <f>'Runs Z score'!C190</f>
        <v/>
      </c>
      <c r="D198">
        <f>'Runs Z score'!D190</f>
        <v/>
      </c>
      <c r="E198">
        <f>'Runs Z score'!E190</f>
        <v/>
      </c>
      <c r="F198">
        <f>'Runs Z score'!F190</f>
        <v/>
      </c>
      <c r="G198">
        <f>'Runs Z score'!G190</f>
        <v/>
      </c>
      <c r="H198">
        <f>VLOOKUP(C198,Recipes!$A$2:$N$4,10,FALSE())</f>
        <v/>
      </c>
      <c r="I198">
        <f>VLOOKUP(C198,Recipes!$A$2:$N$4,12,FALSE())</f>
        <v/>
      </c>
      <c r="J198">
        <f>IF(G198="","",H198-G198)</f>
        <v/>
      </c>
      <c r="K198">
        <f>IF(G198="","",IF(ABS(G198-H198)&lt;=$B$6*I198,"OK","NG"))</f>
        <v/>
      </c>
      <c r="L198">
        <f>IF(K198="","",IF(K198=D198,1,0))</f>
        <v/>
      </c>
      <c r="M198" t="inlineStr">
        <is>
          <t>W1</t>
        </is>
      </c>
      <c r="N198" s="15" t="n">
        <v>1</v>
      </c>
      <c r="O198" s="15" t="n">
        <v>0</v>
      </c>
      <c r="P198">
        <f>IF(M198="","",IF(M198=E198,1,0))</f>
        <v/>
      </c>
      <c r="Q198">
        <f>IF(K198="OK","-",IF(N198&lt;$B$7,"AMBIGUOUS","CONFIDENT"))</f>
        <v/>
      </c>
    </row>
    <row r="199">
      <c r="A199">
        <f>'Runs Z score'!A191</f>
        <v/>
      </c>
      <c r="B199">
        <f>'Runs Z score'!B191</f>
        <v/>
      </c>
      <c r="C199">
        <f>'Runs Z score'!C191</f>
        <v/>
      </c>
      <c r="D199">
        <f>'Runs Z score'!D191</f>
        <v/>
      </c>
      <c r="E199">
        <f>'Runs Z score'!E191</f>
        <v/>
      </c>
      <c r="F199">
        <f>'Runs Z score'!F191</f>
        <v/>
      </c>
      <c r="G199">
        <f>'Runs Z score'!G191</f>
        <v/>
      </c>
      <c r="H199">
        <f>VLOOKUP(C199,Recipes!$A$2:$N$4,10,FALSE())</f>
        <v/>
      </c>
      <c r="I199">
        <f>VLOOKUP(C199,Recipes!$A$2:$N$4,12,FALSE())</f>
        <v/>
      </c>
      <c r="J199">
        <f>IF(G199="","",H199-G199)</f>
        <v/>
      </c>
      <c r="K199">
        <f>IF(G199="","",IF(ABS(G199-H199)&lt;=$B$6*I199,"OK","NG"))</f>
        <v/>
      </c>
      <c r="L199">
        <f>IF(K199="","",IF(K199=D199,1,0))</f>
        <v/>
      </c>
      <c r="M199" t="inlineStr">
        <is>
          <t>W1</t>
        </is>
      </c>
      <c r="N199" s="15" t="n">
        <v>1</v>
      </c>
      <c r="O199" s="15" t="n">
        <v>0</v>
      </c>
      <c r="P199">
        <f>IF(M199="","",IF(M199=E199,1,0))</f>
        <v/>
      </c>
      <c r="Q199">
        <f>IF(K199="OK","-",IF(N199&lt;$B$7,"AMBIGUOUS","CONFIDENT"))</f>
        <v/>
      </c>
    </row>
    <row r="200">
      <c r="A200">
        <f>'Runs Z score'!A192</f>
        <v/>
      </c>
      <c r="B200">
        <f>'Runs Z score'!B192</f>
        <v/>
      </c>
      <c r="C200">
        <f>'Runs Z score'!C192</f>
        <v/>
      </c>
      <c r="D200">
        <f>'Runs Z score'!D192</f>
        <v/>
      </c>
      <c r="E200">
        <f>'Runs Z score'!E192</f>
        <v/>
      </c>
      <c r="F200">
        <f>'Runs Z score'!F192</f>
        <v/>
      </c>
      <c r="G200">
        <f>'Runs Z score'!G192</f>
        <v/>
      </c>
      <c r="H200">
        <f>VLOOKUP(C200,Recipes!$A$2:$N$4,10,FALSE())</f>
        <v/>
      </c>
      <c r="I200">
        <f>VLOOKUP(C200,Recipes!$A$2:$N$4,12,FALSE())</f>
        <v/>
      </c>
      <c r="J200">
        <f>IF(G200="","",H200-G200)</f>
        <v/>
      </c>
      <c r="K200">
        <f>IF(G200="","",IF(ABS(G200-H200)&lt;=$B$6*I200,"OK","NG"))</f>
        <v/>
      </c>
      <c r="L200">
        <f>IF(K200="","",IF(K200=D200,1,0))</f>
        <v/>
      </c>
      <c r="M200" t="inlineStr">
        <is>
          <t>W1</t>
        </is>
      </c>
      <c r="N200" s="15" t="n">
        <v>1</v>
      </c>
      <c r="O200" s="15" t="n">
        <v>0</v>
      </c>
      <c r="P200">
        <f>IF(M200="","",IF(M200=E200,1,0))</f>
        <v/>
      </c>
      <c r="Q200">
        <f>IF(K200="OK","-",IF(N200&lt;$B$7,"AMBIGUOUS","CONFIDENT"))</f>
        <v/>
      </c>
    </row>
    <row r="201">
      <c r="A201">
        <f>'Runs Z score'!A193</f>
        <v/>
      </c>
      <c r="B201">
        <f>'Runs Z score'!B193</f>
        <v/>
      </c>
      <c r="C201">
        <f>'Runs Z score'!C193</f>
        <v/>
      </c>
      <c r="D201">
        <f>'Runs Z score'!D193</f>
        <v/>
      </c>
      <c r="E201">
        <f>'Runs Z score'!E193</f>
        <v/>
      </c>
      <c r="F201">
        <f>'Runs Z score'!F193</f>
        <v/>
      </c>
      <c r="G201">
        <f>'Runs Z score'!G193</f>
        <v/>
      </c>
      <c r="H201">
        <f>VLOOKUP(C201,Recipes!$A$2:$N$4,10,FALSE())</f>
        <v/>
      </c>
      <c r="I201">
        <f>VLOOKUP(C201,Recipes!$A$2:$N$4,12,FALSE())</f>
        <v/>
      </c>
      <c r="J201">
        <f>IF(G201="","",H201-G201)</f>
        <v/>
      </c>
      <c r="K201">
        <f>IF(G201="","",IF(ABS(G201-H201)&lt;=$B$6*I201,"OK","NG"))</f>
        <v/>
      </c>
      <c r="L201">
        <f>IF(K201="","",IF(K201=D201,1,0))</f>
        <v/>
      </c>
      <c r="M201" t="inlineStr">
        <is>
          <t>W1</t>
        </is>
      </c>
      <c r="N201" s="15" t="n">
        <v>1</v>
      </c>
      <c r="O201" s="15" t="n">
        <v>0</v>
      </c>
      <c r="P201">
        <f>IF(M201="","",IF(M201=E201,1,0))</f>
        <v/>
      </c>
      <c r="Q201">
        <f>IF(K201="OK","-",IF(N201&lt;$B$7,"AMBIGUOUS","CONFIDENT"))</f>
        <v/>
      </c>
    </row>
    <row r="202">
      <c r="A202">
        <f>'Runs Z score'!A194</f>
        <v/>
      </c>
      <c r="B202">
        <f>'Runs Z score'!B194</f>
        <v/>
      </c>
      <c r="C202">
        <f>'Runs Z score'!C194</f>
        <v/>
      </c>
      <c r="D202">
        <f>'Runs Z score'!D194</f>
        <v/>
      </c>
      <c r="E202">
        <f>'Runs Z score'!E194</f>
        <v/>
      </c>
      <c r="F202">
        <f>'Runs Z score'!F194</f>
        <v/>
      </c>
      <c r="G202">
        <f>'Runs Z score'!G194</f>
        <v/>
      </c>
      <c r="H202">
        <f>VLOOKUP(C202,Recipes!$A$2:$N$4,10,FALSE())</f>
        <v/>
      </c>
      <c r="I202">
        <f>VLOOKUP(C202,Recipes!$A$2:$N$4,12,FALSE())</f>
        <v/>
      </c>
      <c r="J202">
        <f>IF(G202="","",H202-G202)</f>
        <v/>
      </c>
      <c r="K202">
        <f>IF(G202="","",IF(ABS(G202-H202)&lt;=$B$6*I202,"OK","NG"))</f>
        <v/>
      </c>
      <c r="L202">
        <f>IF(K202="","",IF(K202=D202,1,0))</f>
        <v/>
      </c>
      <c r="M202" t="inlineStr">
        <is>
          <t>W1</t>
        </is>
      </c>
      <c r="N202" s="15" t="n">
        <v>1</v>
      </c>
      <c r="O202" s="15" t="n">
        <v>0</v>
      </c>
      <c r="P202">
        <f>IF(M202="","",IF(M202=E202,1,0))</f>
        <v/>
      </c>
      <c r="Q202">
        <f>IF(K202="OK","-",IF(N202&lt;$B$7,"AMBIGUOUS","CONFIDENT"))</f>
        <v/>
      </c>
    </row>
    <row r="203">
      <c r="A203">
        <f>'Runs Z score'!A195</f>
        <v/>
      </c>
      <c r="B203">
        <f>'Runs Z score'!B195</f>
        <v/>
      </c>
      <c r="C203">
        <f>'Runs Z score'!C195</f>
        <v/>
      </c>
      <c r="D203">
        <f>'Runs Z score'!D195</f>
        <v/>
      </c>
      <c r="E203">
        <f>'Runs Z score'!E195</f>
        <v/>
      </c>
      <c r="F203">
        <f>'Runs Z score'!F195</f>
        <v/>
      </c>
      <c r="G203">
        <f>'Runs Z score'!G195</f>
        <v/>
      </c>
      <c r="H203">
        <f>VLOOKUP(C203,Recipes!$A$2:$N$4,10,FALSE())</f>
        <v/>
      </c>
      <c r="I203">
        <f>VLOOKUP(C203,Recipes!$A$2:$N$4,12,FALSE())</f>
        <v/>
      </c>
      <c r="J203">
        <f>IF(G203="","",H203-G203)</f>
        <v/>
      </c>
      <c r="K203">
        <f>IF(G203="","",IF(ABS(G203-H203)&lt;=$B$6*I203,"OK","NG"))</f>
        <v/>
      </c>
      <c r="L203">
        <f>IF(K203="","",IF(K203=D203,1,0))</f>
        <v/>
      </c>
      <c r="M203" t="inlineStr">
        <is>
          <t>W1</t>
        </is>
      </c>
      <c r="N203" s="15" t="n">
        <v>1</v>
      </c>
      <c r="O203" s="15" t="n">
        <v>0</v>
      </c>
      <c r="P203">
        <f>IF(M203="","",IF(M203=E203,1,0))</f>
        <v/>
      </c>
      <c r="Q203">
        <f>IF(K203="OK","-",IF(N203&lt;$B$7,"AMBIGUOUS","CONFIDENT"))</f>
        <v/>
      </c>
    </row>
    <row r="204">
      <c r="A204">
        <f>'Runs Z score'!A196</f>
        <v/>
      </c>
      <c r="B204">
        <f>'Runs Z score'!B196</f>
        <v/>
      </c>
      <c r="C204">
        <f>'Runs Z score'!C196</f>
        <v/>
      </c>
      <c r="D204">
        <f>'Runs Z score'!D196</f>
        <v/>
      </c>
      <c r="E204">
        <f>'Runs Z score'!E196</f>
        <v/>
      </c>
      <c r="F204">
        <f>'Runs Z score'!F196</f>
        <v/>
      </c>
      <c r="G204">
        <f>'Runs Z score'!G196</f>
        <v/>
      </c>
      <c r="H204">
        <f>VLOOKUP(C204,Recipes!$A$2:$N$4,10,FALSE())</f>
        <v/>
      </c>
      <c r="I204">
        <f>VLOOKUP(C204,Recipes!$A$2:$N$4,12,FALSE())</f>
        <v/>
      </c>
      <c r="J204">
        <f>IF(G204="","",H204-G204)</f>
        <v/>
      </c>
      <c r="K204">
        <f>IF(G204="","",IF(ABS(G204-H204)&lt;=$B$6*I204,"OK","NG"))</f>
        <v/>
      </c>
      <c r="L204">
        <f>IF(K204="","",IF(K204=D204,1,0))</f>
        <v/>
      </c>
      <c r="M204" t="inlineStr">
        <is>
          <t>W1</t>
        </is>
      </c>
      <c r="N204" s="15" t="n">
        <v>1</v>
      </c>
      <c r="O204" s="15" t="n">
        <v>0</v>
      </c>
      <c r="P204">
        <f>IF(M204="","",IF(M204=E204,1,0))</f>
        <v/>
      </c>
      <c r="Q204">
        <f>IF(K204="OK","-",IF(N204&lt;$B$7,"AMBIGUOUS","CONFIDENT"))</f>
        <v/>
      </c>
    </row>
    <row r="205">
      <c r="A205">
        <f>'Runs Z score'!A197</f>
        <v/>
      </c>
      <c r="B205">
        <f>'Runs Z score'!B197</f>
        <v/>
      </c>
      <c r="C205">
        <f>'Runs Z score'!C197</f>
        <v/>
      </c>
      <c r="D205">
        <f>'Runs Z score'!D197</f>
        <v/>
      </c>
      <c r="E205">
        <f>'Runs Z score'!E197</f>
        <v/>
      </c>
      <c r="F205">
        <f>'Runs Z score'!F197</f>
        <v/>
      </c>
      <c r="G205">
        <f>'Runs Z score'!G197</f>
        <v/>
      </c>
      <c r="H205">
        <f>VLOOKUP(C205,Recipes!$A$2:$N$4,10,FALSE())</f>
        <v/>
      </c>
      <c r="I205">
        <f>VLOOKUP(C205,Recipes!$A$2:$N$4,12,FALSE())</f>
        <v/>
      </c>
      <c r="J205">
        <f>IF(G205="","",H205-G205)</f>
        <v/>
      </c>
      <c r="K205">
        <f>IF(G205="","",IF(ABS(G205-H205)&lt;=$B$6*I205,"OK","NG"))</f>
        <v/>
      </c>
      <c r="L205">
        <f>IF(K205="","",IF(K205=D205,1,0))</f>
        <v/>
      </c>
      <c r="M205" t="inlineStr">
        <is>
          <t>W1</t>
        </is>
      </c>
      <c r="N205" s="15" t="n">
        <v>1</v>
      </c>
      <c r="O205" s="15" t="n">
        <v>0</v>
      </c>
      <c r="P205">
        <f>IF(M205="","",IF(M205=E205,1,0))</f>
        <v/>
      </c>
      <c r="Q205">
        <f>IF(K205="OK","-",IF(N205&lt;$B$7,"AMBIGUOUS","CONFIDENT"))</f>
        <v/>
      </c>
    </row>
    <row r="206">
      <c r="A206">
        <f>'Runs Z score'!A198</f>
        <v/>
      </c>
      <c r="B206">
        <f>'Runs Z score'!B198</f>
        <v/>
      </c>
      <c r="C206">
        <f>'Runs Z score'!C198</f>
        <v/>
      </c>
      <c r="D206">
        <f>'Runs Z score'!D198</f>
        <v/>
      </c>
      <c r="E206">
        <f>'Runs Z score'!E198</f>
        <v/>
      </c>
      <c r="F206">
        <f>'Runs Z score'!F198</f>
        <v/>
      </c>
      <c r="G206">
        <f>'Runs Z score'!G198</f>
        <v/>
      </c>
      <c r="H206">
        <f>VLOOKUP(C206,Recipes!$A$2:$N$4,10,FALSE())</f>
        <v/>
      </c>
      <c r="I206">
        <f>VLOOKUP(C206,Recipes!$A$2:$N$4,12,FALSE())</f>
        <v/>
      </c>
      <c r="J206">
        <f>IF(G206="","",H206-G206)</f>
        <v/>
      </c>
      <c r="K206">
        <f>IF(G206="","",IF(ABS(G206-H206)&lt;=$B$6*I206,"OK","NG"))</f>
        <v/>
      </c>
      <c r="L206">
        <f>IF(K206="","",IF(K206=D206,1,0))</f>
        <v/>
      </c>
      <c r="M206" t="inlineStr">
        <is>
          <t>W1</t>
        </is>
      </c>
      <c r="N206" s="15" t="n">
        <v>1</v>
      </c>
      <c r="O206" s="15" t="n">
        <v>0</v>
      </c>
      <c r="P206">
        <f>IF(M206="","",IF(M206=E206,1,0))</f>
        <v/>
      </c>
      <c r="Q206">
        <f>IF(K206="OK","-",IF(N206&lt;$B$7,"AMBIGUOUS","CONFIDENT"))</f>
        <v/>
      </c>
    </row>
    <row r="207">
      <c r="A207">
        <f>'Runs Z score'!A199</f>
        <v/>
      </c>
      <c r="B207">
        <f>'Runs Z score'!B199</f>
        <v/>
      </c>
      <c r="C207">
        <f>'Runs Z score'!C199</f>
        <v/>
      </c>
      <c r="D207">
        <f>'Runs Z score'!D199</f>
        <v/>
      </c>
      <c r="E207">
        <f>'Runs Z score'!E199</f>
        <v/>
      </c>
      <c r="F207">
        <f>'Runs Z score'!F199</f>
        <v/>
      </c>
      <c r="G207">
        <f>'Runs Z score'!G199</f>
        <v/>
      </c>
      <c r="H207">
        <f>VLOOKUP(C207,Recipes!$A$2:$N$4,10,FALSE())</f>
        <v/>
      </c>
      <c r="I207">
        <f>VLOOKUP(C207,Recipes!$A$2:$N$4,12,FALSE())</f>
        <v/>
      </c>
      <c r="J207">
        <f>IF(G207="","",H207-G207)</f>
        <v/>
      </c>
      <c r="K207">
        <f>IF(G207="","",IF(ABS(G207-H207)&lt;=$B$6*I207,"OK","NG"))</f>
        <v/>
      </c>
      <c r="L207">
        <f>IF(K207="","",IF(K207=D207,1,0))</f>
        <v/>
      </c>
      <c r="M207" t="inlineStr">
        <is>
          <t>W1</t>
        </is>
      </c>
      <c r="N207" s="15" t="n">
        <v>1</v>
      </c>
      <c r="O207" s="15" t="n">
        <v>0</v>
      </c>
      <c r="P207">
        <f>IF(M207="","",IF(M207=E207,1,0))</f>
        <v/>
      </c>
      <c r="Q207">
        <f>IF(K207="OK","-",IF(N207&lt;$B$7,"AMBIGUOUS","CONFIDENT"))</f>
        <v/>
      </c>
    </row>
    <row r="208">
      <c r="A208">
        <f>'Runs Z score'!A200</f>
        <v/>
      </c>
      <c r="B208">
        <f>'Runs Z score'!B200</f>
        <v/>
      </c>
      <c r="C208">
        <f>'Runs Z score'!C200</f>
        <v/>
      </c>
      <c r="D208">
        <f>'Runs Z score'!D200</f>
        <v/>
      </c>
      <c r="E208">
        <f>'Runs Z score'!E200</f>
        <v/>
      </c>
      <c r="F208">
        <f>'Runs Z score'!F200</f>
        <v/>
      </c>
      <c r="G208">
        <f>'Runs Z score'!G200</f>
        <v/>
      </c>
      <c r="H208">
        <f>VLOOKUP(C208,Recipes!$A$2:$N$4,10,FALSE())</f>
        <v/>
      </c>
      <c r="I208">
        <f>VLOOKUP(C208,Recipes!$A$2:$N$4,12,FALSE())</f>
        <v/>
      </c>
      <c r="J208">
        <f>IF(G208="","",H208-G208)</f>
        <v/>
      </c>
      <c r="K208">
        <f>IF(G208="","",IF(ABS(G208-H208)&lt;=$B$6*I208,"OK","NG"))</f>
        <v/>
      </c>
      <c r="L208">
        <f>IF(K208="","",IF(K208=D208,1,0))</f>
        <v/>
      </c>
      <c r="M208" t="inlineStr">
        <is>
          <t>W1</t>
        </is>
      </c>
      <c r="N208" s="15" t="n">
        <v>1</v>
      </c>
      <c r="O208" s="15" t="n">
        <v>0</v>
      </c>
      <c r="P208">
        <f>IF(M208="","",IF(M208=E208,1,0))</f>
        <v/>
      </c>
      <c r="Q208">
        <f>IF(K208="OK","-",IF(N208&lt;$B$7,"AMBIGUOUS","CONFIDENT"))</f>
        <v/>
      </c>
    </row>
    <row r="209">
      <c r="A209">
        <f>'Runs Z score'!A201</f>
        <v/>
      </c>
      <c r="B209">
        <f>'Runs Z score'!B201</f>
        <v/>
      </c>
      <c r="C209">
        <f>'Runs Z score'!C201</f>
        <v/>
      </c>
      <c r="D209">
        <f>'Runs Z score'!D201</f>
        <v/>
      </c>
      <c r="E209">
        <f>'Runs Z score'!E201</f>
        <v/>
      </c>
      <c r="F209">
        <f>'Runs Z score'!F201</f>
        <v/>
      </c>
      <c r="G209">
        <f>'Runs Z score'!G201</f>
        <v/>
      </c>
      <c r="H209">
        <f>VLOOKUP(C209,Recipes!$A$2:$N$4,10,FALSE())</f>
        <v/>
      </c>
      <c r="I209">
        <f>VLOOKUP(C209,Recipes!$A$2:$N$4,12,FALSE())</f>
        <v/>
      </c>
      <c r="J209">
        <f>IF(G209="","",H209-G209)</f>
        <v/>
      </c>
      <c r="K209">
        <f>IF(G209="","",IF(ABS(G209-H209)&lt;=$B$6*I209,"OK","NG"))</f>
        <v/>
      </c>
      <c r="L209">
        <f>IF(K209="","",IF(K209=D209,1,0))</f>
        <v/>
      </c>
      <c r="M209" t="inlineStr">
        <is>
          <t>W1</t>
        </is>
      </c>
      <c r="N209" s="15" t="n">
        <v>1</v>
      </c>
      <c r="O209" s="15" t="n">
        <v>0</v>
      </c>
      <c r="P209">
        <f>IF(M209="","",IF(M209=E209,1,0))</f>
        <v/>
      </c>
      <c r="Q209">
        <f>IF(K209="OK","-",IF(N209&lt;$B$7,"AMBIGUOUS","CONFIDENT"))</f>
        <v/>
      </c>
    </row>
    <row r="210">
      <c r="A210">
        <f>'Runs Z score'!A202</f>
        <v/>
      </c>
      <c r="B210">
        <f>'Runs Z score'!B202</f>
        <v/>
      </c>
      <c r="C210">
        <f>'Runs Z score'!C202</f>
        <v/>
      </c>
      <c r="D210">
        <f>'Runs Z score'!D202</f>
        <v/>
      </c>
      <c r="E210">
        <f>'Runs Z score'!E202</f>
        <v/>
      </c>
      <c r="F210">
        <f>'Runs Z score'!F202</f>
        <v/>
      </c>
      <c r="G210">
        <f>'Runs Z score'!G202</f>
        <v/>
      </c>
      <c r="H210">
        <f>VLOOKUP(C210,Recipes!$A$2:$N$4,10,FALSE())</f>
        <v/>
      </c>
      <c r="I210">
        <f>VLOOKUP(C210,Recipes!$A$2:$N$4,12,FALSE())</f>
        <v/>
      </c>
      <c r="J210">
        <f>IF(G210="","",H210-G210)</f>
        <v/>
      </c>
      <c r="K210">
        <f>IF(G210="","",IF(ABS(G210-H210)&lt;=$B$6*I210,"OK","NG"))</f>
        <v/>
      </c>
      <c r="L210">
        <f>IF(K210="","",IF(K210=D210,1,0))</f>
        <v/>
      </c>
      <c r="M210" t="inlineStr">
        <is>
          <t>W1</t>
        </is>
      </c>
      <c r="N210" s="15" t="n">
        <v>1</v>
      </c>
      <c r="O210" s="15" t="n">
        <v>0</v>
      </c>
      <c r="P210">
        <f>IF(M210="","",IF(M210=E210,1,0))</f>
        <v/>
      </c>
      <c r="Q210">
        <f>IF(K210="OK","-",IF(N210&lt;$B$7,"AMBIGUOUS","CONFIDENT"))</f>
        <v/>
      </c>
    </row>
    <row r="211">
      <c r="A211">
        <f>'Runs Z score'!A203</f>
        <v/>
      </c>
      <c r="B211">
        <f>'Runs Z score'!B203</f>
        <v/>
      </c>
      <c r="C211">
        <f>'Runs Z score'!C203</f>
        <v/>
      </c>
      <c r="D211">
        <f>'Runs Z score'!D203</f>
        <v/>
      </c>
      <c r="E211">
        <f>'Runs Z score'!E203</f>
        <v/>
      </c>
      <c r="F211">
        <f>'Runs Z score'!F203</f>
        <v/>
      </c>
      <c r="G211">
        <f>'Runs Z score'!G203</f>
        <v/>
      </c>
      <c r="H211">
        <f>VLOOKUP(C211,Recipes!$A$2:$N$4,10,FALSE())</f>
        <v/>
      </c>
      <c r="I211">
        <f>VLOOKUP(C211,Recipes!$A$2:$N$4,12,FALSE())</f>
        <v/>
      </c>
      <c r="J211">
        <f>IF(G211="","",H211-G211)</f>
        <v/>
      </c>
      <c r="K211">
        <f>IF(G211="","",IF(ABS(G211-H211)&lt;=$B$6*I211,"OK","NG"))</f>
        <v/>
      </c>
      <c r="L211">
        <f>IF(K211="","",IF(K211=D211,1,0))</f>
        <v/>
      </c>
      <c r="M211" t="inlineStr">
        <is>
          <t>W1</t>
        </is>
      </c>
      <c r="N211" s="15" t="n">
        <v>1</v>
      </c>
      <c r="O211" s="15" t="n">
        <v>0</v>
      </c>
      <c r="P211">
        <f>IF(M211="","",IF(M211=E211,1,0))</f>
        <v/>
      </c>
      <c r="Q211">
        <f>IF(K211="OK","-",IF(N211&lt;$B$7,"AMBIGUOUS","CONFIDENT"))</f>
        <v/>
      </c>
    </row>
    <row r="212">
      <c r="A212">
        <f>'Runs Z score'!A204</f>
        <v/>
      </c>
      <c r="B212">
        <f>'Runs Z score'!B204</f>
        <v/>
      </c>
      <c r="C212">
        <f>'Runs Z score'!C204</f>
        <v/>
      </c>
      <c r="D212">
        <f>'Runs Z score'!D204</f>
        <v/>
      </c>
      <c r="E212">
        <f>'Runs Z score'!E204</f>
        <v/>
      </c>
      <c r="F212">
        <f>'Runs Z score'!F204</f>
        <v/>
      </c>
      <c r="G212">
        <f>'Runs Z score'!G204</f>
        <v/>
      </c>
      <c r="H212">
        <f>VLOOKUP(C212,Recipes!$A$2:$N$4,10,FALSE())</f>
        <v/>
      </c>
      <c r="I212">
        <f>VLOOKUP(C212,Recipes!$A$2:$N$4,12,FALSE())</f>
        <v/>
      </c>
      <c r="J212">
        <f>IF(G212="","",H212-G212)</f>
        <v/>
      </c>
      <c r="K212">
        <f>IF(G212="","",IF(ABS(G212-H212)&lt;=$B$6*I212,"OK","NG"))</f>
        <v/>
      </c>
      <c r="L212">
        <f>IF(K212="","",IF(K212=D212,1,0))</f>
        <v/>
      </c>
      <c r="M212" t="inlineStr">
        <is>
          <t>W1</t>
        </is>
      </c>
      <c r="N212" s="15" t="n">
        <v>1</v>
      </c>
      <c r="O212" s="15" t="n">
        <v>0</v>
      </c>
      <c r="P212">
        <f>IF(M212="","",IF(M212=E212,1,0))</f>
        <v/>
      </c>
      <c r="Q212">
        <f>IF(K212="OK","-",IF(N212&lt;$B$7,"AMBIGUOUS","CONFIDENT"))</f>
        <v/>
      </c>
    </row>
    <row r="213">
      <c r="A213">
        <f>'Runs Z score'!A205</f>
        <v/>
      </c>
      <c r="B213">
        <f>'Runs Z score'!B205</f>
        <v/>
      </c>
      <c r="C213">
        <f>'Runs Z score'!C205</f>
        <v/>
      </c>
      <c r="D213">
        <f>'Runs Z score'!D205</f>
        <v/>
      </c>
      <c r="E213">
        <f>'Runs Z score'!E205</f>
        <v/>
      </c>
      <c r="F213">
        <f>'Runs Z score'!F205</f>
        <v/>
      </c>
      <c r="G213">
        <f>'Runs Z score'!G205</f>
        <v/>
      </c>
      <c r="H213">
        <f>VLOOKUP(C213,Recipes!$A$2:$N$4,10,FALSE())</f>
        <v/>
      </c>
      <c r="I213">
        <f>VLOOKUP(C213,Recipes!$A$2:$N$4,12,FALSE())</f>
        <v/>
      </c>
      <c r="J213">
        <f>IF(G213="","",H213-G213)</f>
        <v/>
      </c>
      <c r="K213">
        <f>IF(G213="","",IF(ABS(G213-H213)&lt;=$B$6*I213,"OK","NG"))</f>
        <v/>
      </c>
      <c r="L213">
        <f>IF(K213="","",IF(K213=D213,1,0))</f>
        <v/>
      </c>
      <c r="M213" t="inlineStr">
        <is>
          <t>W1</t>
        </is>
      </c>
      <c r="N213" s="15" t="n">
        <v>1</v>
      </c>
      <c r="O213" s="15" t="n">
        <v>0</v>
      </c>
      <c r="P213">
        <f>IF(M213="","",IF(M213=E213,1,0))</f>
        <v/>
      </c>
      <c r="Q213">
        <f>IF(K213="OK","-",IF(N213&lt;$B$7,"AMBIGUOUS","CONFIDENT"))</f>
        <v/>
      </c>
    </row>
    <row r="214">
      <c r="A214">
        <f>'Runs Z score'!A206</f>
        <v/>
      </c>
      <c r="B214">
        <f>'Runs Z score'!B206</f>
        <v/>
      </c>
      <c r="C214">
        <f>'Runs Z score'!C206</f>
        <v/>
      </c>
      <c r="D214">
        <f>'Runs Z score'!D206</f>
        <v/>
      </c>
      <c r="E214">
        <f>'Runs Z score'!E206</f>
        <v/>
      </c>
      <c r="F214">
        <f>'Runs Z score'!F206</f>
        <v/>
      </c>
      <c r="G214">
        <f>'Runs Z score'!G206</f>
        <v/>
      </c>
      <c r="H214">
        <f>VLOOKUP(C214,Recipes!$A$2:$N$4,10,FALSE())</f>
        <v/>
      </c>
      <c r="I214">
        <f>VLOOKUP(C214,Recipes!$A$2:$N$4,12,FALSE())</f>
        <v/>
      </c>
      <c r="J214">
        <f>IF(G214="","",H214-G214)</f>
        <v/>
      </c>
      <c r="K214">
        <f>IF(G214="","",IF(ABS(G214-H214)&lt;=$B$6*I214,"OK","NG"))</f>
        <v/>
      </c>
      <c r="L214">
        <f>IF(K214="","",IF(K214=D214,1,0))</f>
        <v/>
      </c>
      <c r="M214" t="inlineStr">
        <is>
          <t>W1</t>
        </is>
      </c>
      <c r="N214" s="15" t="n">
        <v>1</v>
      </c>
      <c r="O214" s="15" t="n">
        <v>0</v>
      </c>
      <c r="P214">
        <f>IF(M214="","",IF(M214=E214,1,0))</f>
        <v/>
      </c>
      <c r="Q214">
        <f>IF(K214="OK","-",IF(N214&lt;$B$7,"AMBIGUOUS","CONFIDENT"))</f>
        <v/>
      </c>
    </row>
    <row r="215">
      <c r="A215">
        <f>'Runs Z score'!A207</f>
        <v/>
      </c>
      <c r="B215">
        <f>'Runs Z score'!B207</f>
        <v/>
      </c>
      <c r="C215">
        <f>'Runs Z score'!C207</f>
        <v/>
      </c>
      <c r="D215">
        <f>'Runs Z score'!D207</f>
        <v/>
      </c>
      <c r="E215">
        <f>'Runs Z score'!E207</f>
        <v/>
      </c>
      <c r="F215">
        <f>'Runs Z score'!F207</f>
        <v/>
      </c>
      <c r="G215">
        <f>'Runs Z score'!G207</f>
        <v/>
      </c>
      <c r="H215">
        <f>VLOOKUP(C215,Recipes!$A$2:$N$4,10,FALSE())</f>
        <v/>
      </c>
      <c r="I215">
        <f>VLOOKUP(C215,Recipes!$A$2:$N$4,12,FALSE())</f>
        <v/>
      </c>
      <c r="J215">
        <f>IF(G215="","",H215-G215)</f>
        <v/>
      </c>
      <c r="K215">
        <f>IF(G215="","",IF(ABS(G215-H215)&lt;=$B$6*I215,"OK","NG"))</f>
        <v/>
      </c>
      <c r="L215">
        <f>IF(K215="","",IF(K215=D215,1,0))</f>
        <v/>
      </c>
      <c r="M215" t="inlineStr">
        <is>
          <t>W1</t>
        </is>
      </c>
      <c r="N215" s="15" t="n">
        <v>1</v>
      </c>
      <c r="O215" s="15" t="n">
        <v>0</v>
      </c>
      <c r="P215">
        <f>IF(M215="","",IF(M215=E215,1,0))</f>
        <v/>
      </c>
      <c r="Q215">
        <f>IF(K215="OK","-",IF(N215&lt;$B$7,"AMBIGUOUS","CONFIDENT"))</f>
        <v/>
      </c>
    </row>
    <row r="216">
      <c r="A216">
        <f>'Runs Z score'!A208</f>
        <v/>
      </c>
      <c r="B216">
        <f>'Runs Z score'!B208</f>
        <v/>
      </c>
      <c r="C216">
        <f>'Runs Z score'!C208</f>
        <v/>
      </c>
      <c r="D216">
        <f>'Runs Z score'!D208</f>
        <v/>
      </c>
      <c r="E216">
        <f>'Runs Z score'!E208</f>
        <v/>
      </c>
      <c r="F216">
        <f>'Runs Z score'!F208</f>
        <v/>
      </c>
      <c r="G216">
        <f>'Runs Z score'!G208</f>
        <v/>
      </c>
      <c r="H216">
        <f>VLOOKUP(C216,Recipes!$A$2:$N$4,10,FALSE())</f>
        <v/>
      </c>
      <c r="I216">
        <f>VLOOKUP(C216,Recipes!$A$2:$N$4,12,FALSE())</f>
        <v/>
      </c>
      <c r="J216">
        <f>IF(G216="","",H216-G216)</f>
        <v/>
      </c>
      <c r="K216">
        <f>IF(G216="","",IF(ABS(G216-H216)&lt;=$B$6*I216,"OK","NG"))</f>
        <v/>
      </c>
      <c r="L216">
        <f>IF(K216="","",IF(K216=D216,1,0))</f>
        <v/>
      </c>
      <c r="M216" t="inlineStr">
        <is>
          <t>W1</t>
        </is>
      </c>
      <c r="N216" s="15" t="n">
        <v>1</v>
      </c>
      <c r="O216" s="15" t="n">
        <v>0</v>
      </c>
      <c r="P216">
        <f>IF(M216="","",IF(M216=E216,1,0))</f>
        <v/>
      </c>
      <c r="Q216">
        <f>IF(K216="OK","-",IF(N216&lt;$B$7,"AMBIGUOUS","CONFIDENT"))</f>
        <v/>
      </c>
    </row>
    <row r="217">
      <c r="A217">
        <f>'Runs Z score'!A209</f>
        <v/>
      </c>
      <c r="B217">
        <f>'Runs Z score'!B209</f>
        <v/>
      </c>
      <c r="C217">
        <f>'Runs Z score'!C209</f>
        <v/>
      </c>
      <c r="D217">
        <f>'Runs Z score'!D209</f>
        <v/>
      </c>
      <c r="E217">
        <f>'Runs Z score'!E209</f>
        <v/>
      </c>
      <c r="F217">
        <f>'Runs Z score'!F209</f>
        <v/>
      </c>
      <c r="G217">
        <f>'Runs Z score'!G209</f>
        <v/>
      </c>
      <c r="H217">
        <f>VLOOKUP(C217,Recipes!$A$2:$N$4,10,FALSE())</f>
        <v/>
      </c>
      <c r="I217">
        <f>VLOOKUP(C217,Recipes!$A$2:$N$4,12,FALSE())</f>
        <v/>
      </c>
      <c r="J217">
        <f>IF(G217="","",H217-G217)</f>
        <v/>
      </c>
      <c r="K217">
        <f>IF(G217="","",IF(ABS(G217-H217)&lt;=$B$6*I217,"OK","NG"))</f>
        <v/>
      </c>
      <c r="L217">
        <f>IF(K217="","",IF(K217=D217,1,0))</f>
        <v/>
      </c>
      <c r="M217" t="inlineStr">
        <is>
          <t>W1</t>
        </is>
      </c>
      <c r="N217" s="15" t="n">
        <v>1</v>
      </c>
      <c r="O217" s="15" t="n">
        <v>0</v>
      </c>
      <c r="P217">
        <f>IF(M217="","",IF(M217=E217,1,0))</f>
        <v/>
      </c>
      <c r="Q217">
        <f>IF(K217="OK","-",IF(N217&lt;$B$7,"AMBIGUOUS","CONFIDENT"))</f>
        <v/>
      </c>
    </row>
    <row r="218">
      <c r="A218">
        <f>'Runs Z score'!A210</f>
        <v/>
      </c>
      <c r="B218">
        <f>'Runs Z score'!B210</f>
        <v/>
      </c>
      <c r="C218">
        <f>'Runs Z score'!C210</f>
        <v/>
      </c>
      <c r="D218">
        <f>'Runs Z score'!D210</f>
        <v/>
      </c>
      <c r="E218">
        <f>'Runs Z score'!E210</f>
        <v/>
      </c>
      <c r="F218">
        <f>'Runs Z score'!F210</f>
        <v/>
      </c>
      <c r="G218">
        <f>'Runs Z score'!G210</f>
        <v/>
      </c>
      <c r="H218">
        <f>VLOOKUP(C218,Recipes!$A$2:$N$4,10,FALSE())</f>
        <v/>
      </c>
      <c r="I218">
        <f>VLOOKUP(C218,Recipes!$A$2:$N$4,12,FALSE())</f>
        <v/>
      </c>
      <c r="J218">
        <f>IF(G218="","",H218-G218)</f>
        <v/>
      </c>
      <c r="K218">
        <f>IF(G218="","",IF(ABS(G218-H218)&lt;=$B$6*I218,"OK","NG"))</f>
        <v/>
      </c>
      <c r="L218">
        <f>IF(K218="","",IF(K218=D218,1,0))</f>
        <v/>
      </c>
      <c r="M218" t="inlineStr">
        <is>
          <t>W1</t>
        </is>
      </c>
      <c r="N218" s="15" t="n">
        <v>1</v>
      </c>
      <c r="O218" s="15" t="n">
        <v>0</v>
      </c>
      <c r="P218">
        <f>IF(M218="","",IF(M218=E218,1,0))</f>
        <v/>
      </c>
      <c r="Q218">
        <f>IF(K218="OK","-",IF(N218&lt;$B$7,"AMBIGUOUS","CONFIDENT"))</f>
        <v/>
      </c>
    </row>
    <row r="219">
      <c r="A219">
        <f>'Runs Z score'!A211</f>
        <v/>
      </c>
      <c r="B219">
        <f>'Runs Z score'!B211</f>
        <v/>
      </c>
      <c r="C219">
        <f>'Runs Z score'!C211</f>
        <v/>
      </c>
      <c r="D219">
        <f>'Runs Z score'!D211</f>
        <v/>
      </c>
      <c r="E219">
        <f>'Runs Z score'!E211</f>
        <v/>
      </c>
      <c r="F219">
        <f>'Runs Z score'!F211</f>
        <v/>
      </c>
      <c r="G219">
        <f>'Runs Z score'!G211</f>
        <v/>
      </c>
      <c r="H219">
        <f>VLOOKUP(C219,Recipes!$A$2:$N$4,10,FALSE())</f>
        <v/>
      </c>
      <c r="I219">
        <f>VLOOKUP(C219,Recipes!$A$2:$N$4,12,FALSE())</f>
        <v/>
      </c>
      <c r="J219">
        <f>IF(G219="","",H219-G219)</f>
        <v/>
      </c>
      <c r="K219">
        <f>IF(G219="","",IF(ABS(G219-H219)&lt;=$B$6*I219,"OK","NG"))</f>
        <v/>
      </c>
      <c r="L219">
        <f>IF(K219="","",IF(K219=D219,1,0))</f>
        <v/>
      </c>
      <c r="M219" t="inlineStr">
        <is>
          <t>N1</t>
        </is>
      </c>
      <c r="N219" s="15" t="n">
        <v>1</v>
      </c>
      <c r="O219" s="15" t="n">
        <v>0</v>
      </c>
      <c r="P219">
        <f>IF(M219="","",IF(M219=E219,1,0))</f>
        <v/>
      </c>
      <c r="Q219">
        <f>IF(K219="OK","-",IF(N219&lt;$B$7,"AMBIGUOUS","CONFIDENT"))</f>
        <v/>
      </c>
    </row>
    <row r="220">
      <c r="A220">
        <f>'Runs Z score'!A212</f>
        <v/>
      </c>
      <c r="B220">
        <f>'Runs Z score'!B212</f>
        <v/>
      </c>
      <c r="C220">
        <f>'Runs Z score'!C212</f>
        <v/>
      </c>
      <c r="D220">
        <f>'Runs Z score'!D212</f>
        <v/>
      </c>
      <c r="E220">
        <f>'Runs Z score'!E212</f>
        <v/>
      </c>
      <c r="F220">
        <f>'Runs Z score'!F212</f>
        <v/>
      </c>
      <c r="G220">
        <f>'Runs Z score'!G212</f>
        <v/>
      </c>
      <c r="H220">
        <f>VLOOKUP(C220,Recipes!$A$2:$N$4,10,FALSE())</f>
        <v/>
      </c>
      <c r="I220">
        <f>VLOOKUP(C220,Recipes!$A$2:$N$4,12,FALSE())</f>
        <v/>
      </c>
      <c r="J220">
        <f>IF(G220="","",H220-G220)</f>
        <v/>
      </c>
      <c r="K220">
        <f>IF(G220="","",IF(ABS(G220-H220)&lt;=$B$6*I220,"OK","NG"))</f>
        <v/>
      </c>
      <c r="L220">
        <f>IF(K220="","",IF(K220=D220,1,0))</f>
        <v/>
      </c>
      <c r="M220" t="inlineStr">
        <is>
          <t>W1</t>
        </is>
      </c>
      <c r="N220" s="15" t="n">
        <v>1</v>
      </c>
      <c r="O220" s="15" t="n">
        <v>0</v>
      </c>
      <c r="P220">
        <f>IF(M220="","",IF(M220=E220,1,0))</f>
        <v/>
      </c>
      <c r="Q220">
        <f>IF(K220="OK","-",IF(N220&lt;$B$7,"AMBIGUOUS","CONFIDENT"))</f>
        <v/>
      </c>
    </row>
    <row r="221">
      <c r="A221">
        <f>'Runs Z score'!A213</f>
        <v/>
      </c>
      <c r="B221">
        <f>'Runs Z score'!B213</f>
        <v/>
      </c>
      <c r="C221">
        <f>'Runs Z score'!C213</f>
        <v/>
      </c>
      <c r="D221">
        <f>'Runs Z score'!D213</f>
        <v/>
      </c>
      <c r="E221">
        <f>'Runs Z score'!E213</f>
        <v/>
      </c>
      <c r="F221">
        <f>'Runs Z score'!F213</f>
        <v/>
      </c>
      <c r="G221">
        <f>'Runs Z score'!G213</f>
        <v/>
      </c>
      <c r="H221">
        <f>VLOOKUP(C221,Recipes!$A$2:$N$4,10,FALSE())</f>
        <v/>
      </c>
      <c r="I221">
        <f>VLOOKUP(C221,Recipes!$A$2:$N$4,12,FALSE())</f>
        <v/>
      </c>
      <c r="J221">
        <f>IF(G221="","",H221-G221)</f>
        <v/>
      </c>
      <c r="K221">
        <f>IF(G221="","",IF(ABS(G221-H221)&lt;=$B$6*I221,"OK","NG"))</f>
        <v/>
      </c>
      <c r="L221">
        <f>IF(K221="","",IF(K221=D221,1,0))</f>
        <v/>
      </c>
      <c r="M221" t="inlineStr">
        <is>
          <t>N1</t>
        </is>
      </c>
      <c r="N221" s="15" t="n">
        <v>1</v>
      </c>
      <c r="O221" s="15" t="n">
        <v>0</v>
      </c>
      <c r="P221">
        <f>IF(M221="","",IF(M221=E221,1,0))</f>
        <v/>
      </c>
      <c r="Q221">
        <f>IF(K221="OK","-",IF(N221&lt;$B$7,"AMBIGUOUS","CONFIDENT"))</f>
        <v/>
      </c>
    </row>
    <row r="222">
      <c r="A222">
        <f>'Runs Z score'!A214</f>
        <v/>
      </c>
      <c r="B222">
        <f>'Runs Z score'!B214</f>
        <v/>
      </c>
      <c r="C222">
        <f>'Runs Z score'!C214</f>
        <v/>
      </c>
      <c r="D222">
        <f>'Runs Z score'!D214</f>
        <v/>
      </c>
      <c r="E222">
        <f>'Runs Z score'!E214</f>
        <v/>
      </c>
      <c r="F222">
        <f>'Runs Z score'!F214</f>
        <v/>
      </c>
      <c r="G222">
        <f>'Runs Z score'!G214</f>
        <v/>
      </c>
      <c r="H222">
        <f>VLOOKUP(C222,Recipes!$A$2:$N$4,10,FALSE())</f>
        <v/>
      </c>
      <c r="I222">
        <f>VLOOKUP(C222,Recipes!$A$2:$N$4,12,FALSE())</f>
        <v/>
      </c>
      <c r="J222">
        <f>IF(G222="","",H222-G222)</f>
        <v/>
      </c>
      <c r="K222">
        <f>IF(G222="","",IF(ABS(G222-H222)&lt;=$B$6*I222,"OK","NG"))</f>
        <v/>
      </c>
      <c r="L222">
        <f>IF(K222="","",IF(K222=D222,1,0))</f>
        <v/>
      </c>
      <c r="M222" t="inlineStr">
        <is>
          <t>N1</t>
        </is>
      </c>
      <c r="N222" s="15" t="n">
        <v>1</v>
      </c>
      <c r="O222" s="15" t="n">
        <v>0</v>
      </c>
      <c r="P222">
        <f>IF(M222="","",IF(M222=E222,1,0))</f>
        <v/>
      </c>
      <c r="Q222">
        <f>IF(K222="OK","-",IF(N222&lt;$B$7,"AMBIGUOUS","CONFIDENT"))</f>
        <v/>
      </c>
    </row>
    <row r="223">
      <c r="A223">
        <f>'Runs Z score'!A215</f>
        <v/>
      </c>
      <c r="B223">
        <f>'Runs Z score'!B215</f>
        <v/>
      </c>
      <c r="C223">
        <f>'Runs Z score'!C215</f>
        <v/>
      </c>
      <c r="D223">
        <f>'Runs Z score'!D215</f>
        <v/>
      </c>
      <c r="E223">
        <f>'Runs Z score'!E215</f>
        <v/>
      </c>
      <c r="F223">
        <f>'Runs Z score'!F215</f>
        <v/>
      </c>
      <c r="G223">
        <f>'Runs Z score'!G215</f>
        <v/>
      </c>
      <c r="H223">
        <f>VLOOKUP(C223,Recipes!$A$2:$N$4,10,FALSE())</f>
        <v/>
      </c>
      <c r="I223">
        <f>VLOOKUP(C223,Recipes!$A$2:$N$4,12,FALSE())</f>
        <v/>
      </c>
      <c r="J223">
        <f>IF(G223="","",H223-G223)</f>
        <v/>
      </c>
      <c r="K223">
        <f>IF(G223="","",IF(ABS(G223-H223)&lt;=$B$6*I223,"OK","NG"))</f>
        <v/>
      </c>
      <c r="L223">
        <f>IF(K223="","",IF(K223=D223,1,0))</f>
        <v/>
      </c>
      <c r="M223" t="inlineStr">
        <is>
          <t>N1</t>
        </is>
      </c>
      <c r="N223" s="15" t="n">
        <v>1</v>
      </c>
      <c r="O223" s="15" t="n">
        <v>0</v>
      </c>
      <c r="P223">
        <f>IF(M223="","",IF(M223=E223,1,0))</f>
        <v/>
      </c>
      <c r="Q223">
        <f>IF(K223="OK","-",IF(N223&lt;$B$7,"AMBIGUOUS","CONFIDENT"))</f>
        <v/>
      </c>
    </row>
    <row r="224">
      <c r="A224">
        <f>'Runs Z score'!A216</f>
        <v/>
      </c>
      <c r="B224">
        <f>'Runs Z score'!B216</f>
        <v/>
      </c>
      <c r="C224">
        <f>'Runs Z score'!C216</f>
        <v/>
      </c>
      <c r="D224">
        <f>'Runs Z score'!D216</f>
        <v/>
      </c>
      <c r="E224">
        <f>'Runs Z score'!E216</f>
        <v/>
      </c>
      <c r="F224">
        <f>'Runs Z score'!F216</f>
        <v/>
      </c>
      <c r="G224">
        <f>'Runs Z score'!G216</f>
        <v/>
      </c>
      <c r="H224">
        <f>VLOOKUP(C224,Recipes!$A$2:$N$4,10,FALSE())</f>
        <v/>
      </c>
      <c r="I224">
        <f>VLOOKUP(C224,Recipes!$A$2:$N$4,12,FALSE())</f>
        <v/>
      </c>
      <c r="J224">
        <f>IF(G224="","",H224-G224)</f>
        <v/>
      </c>
      <c r="K224">
        <f>IF(G224="","",IF(ABS(G224-H224)&lt;=$B$6*I224,"OK","NG"))</f>
        <v/>
      </c>
      <c r="L224">
        <f>IF(K224="","",IF(K224=D224,1,0))</f>
        <v/>
      </c>
      <c r="M224" t="inlineStr">
        <is>
          <t>N1</t>
        </is>
      </c>
      <c r="N224" s="15" t="n">
        <v>1</v>
      </c>
      <c r="O224" s="15" t="n">
        <v>0</v>
      </c>
      <c r="P224">
        <f>IF(M224="","",IF(M224=E224,1,0))</f>
        <v/>
      </c>
      <c r="Q224">
        <f>IF(K224="OK","-",IF(N224&lt;$B$7,"AMBIGUOUS","CONFIDENT"))</f>
        <v/>
      </c>
    </row>
    <row r="225">
      <c r="A225">
        <f>'Runs Z score'!A217</f>
        <v/>
      </c>
      <c r="B225">
        <f>'Runs Z score'!B217</f>
        <v/>
      </c>
      <c r="C225">
        <f>'Runs Z score'!C217</f>
        <v/>
      </c>
      <c r="D225">
        <f>'Runs Z score'!D217</f>
        <v/>
      </c>
      <c r="E225">
        <f>'Runs Z score'!E217</f>
        <v/>
      </c>
      <c r="F225">
        <f>'Runs Z score'!F217</f>
        <v/>
      </c>
      <c r="G225">
        <f>'Runs Z score'!G217</f>
        <v/>
      </c>
      <c r="H225">
        <f>VLOOKUP(C225,Recipes!$A$2:$N$4,10,FALSE())</f>
        <v/>
      </c>
      <c r="I225">
        <f>VLOOKUP(C225,Recipes!$A$2:$N$4,12,FALSE())</f>
        <v/>
      </c>
      <c r="J225">
        <f>IF(G225="","",H225-G225)</f>
        <v/>
      </c>
      <c r="K225">
        <f>IF(G225="","",IF(ABS(G225-H225)&lt;=$B$6*I225,"OK","NG"))</f>
        <v/>
      </c>
      <c r="L225">
        <f>IF(K225="","",IF(K225=D225,1,0))</f>
        <v/>
      </c>
      <c r="M225" t="inlineStr">
        <is>
          <t>N1</t>
        </is>
      </c>
      <c r="N225" s="15" t="n">
        <v>1</v>
      </c>
      <c r="O225" s="15" t="n">
        <v>0</v>
      </c>
      <c r="P225">
        <f>IF(M225="","",IF(M225=E225,1,0))</f>
        <v/>
      </c>
      <c r="Q225">
        <f>IF(K225="OK","-",IF(N225&lt;$B$7,"AMBIGUOUS","CONFIDENT"))</f>
        <v/>
      </c>
    </row>
    <row r="226">
      <c r="A226">
        <f>'Runs Z score'!A218</f>
        <v/>
      </c>
      <c r="B226">
        <f>'Runs Z score'!B218</f>
        <v/>
      </c>
      <c r="C226">
        <f>'Runs Z score'!C218</f>
        <v/>
      </c>
      <c r="D226">
        <f>'Runs Z score'!D218</f>
        <v/>
      </c>
      <c r="E226">
        <f>'Runs Z score'!E218</f>
        <v/>
      </c>
      <c r="F226">
        <f>'Runs Z score'!F218</f>
        <v/>
      </c>
      <c r="G226">
        <f>'Runs Z score'!G218</f>
        <v/>
      </c>
      <c r="H226">
        <f>VLOOKUP(C226,Recipes!$A$2:$N$4,10,FALSE())</f>
        <v/>
      </c>
      <c r="I226">
        <f>VLOOKUP(C226,Recipes!$A$2:$N$4,12,FALSE())</f>
        <v/>
      </c>
      <c r="J226">
        <f>IF(G226="","",H226-G226)</f>
        <v/>
      </c>
      <c r="K226">
        <f>IF(G226="","",IF(ABS(G226-H226)&lt;=$B$6*I226,"OK","NG"))</f>
        <v/>
      </c>
      <c r="L226">
        <f>IF(K226="","",IF(K226=D226,1,0))</f>
        <v/>
      </c>
      <c r="M226" t="inlineStr">
        <is>
          <t>N1</t>
        </is>
      </c>
      <c r="N226" s="15" t="n">
        <v>1</v>
      </c>
      <c r="O226" s="15" t="n">
        <v>0</v>
      </c>
      <c r="P226">
        <f>IF(M226="","",IF(M226=E226,1,0))</f>
        <v/>
      </c>
      <c r="Q226">
        <f>IF(K226="OK","-",IF(N226&lt;$B$7,"AMBIGUOUS","CONFIDENT"))</f>
        <v/>
      </c>
    </row>
    <row r="227">
      <c r="A227">
        <f>'Runs Z score'!A219</f>
        <v/>
      </c>
      <c r="B227">
        <f>'Runs Z score'!B219</f>
        <v/>
      </c>
      <c r="C227">
        <f>'Runs Z score'!C219</f>
        <v/>
      </c>
      <c r="D227">
        <f>'Runs Z score'!D219</f>
        <v/>
      </c>
      <c r="E227">
        <f>'Runs Z score'!E219</f>
        <v/>
      </c>
      <c r="F227">
        <f>'Runs Z score'!F219</f>
        <v/>
      </c>
      <c r="G227">
        <f>'Runs Z score'!G219</f>
        <v/>
      </c>
      <c r="H227">
        <f>VLOOKUP(C227,Recipes!$A$2:$N$4,10,FALSE())</f>
        <v/>
      </c>
      <c r="I227">
        <f>VLOOKUP(C227,Recipes!$A$2:$N$4,12,FALSE())</f>
        <v/>
      </c>
      <c r="J227">
        <f>IF(G227="","",H227-G227)</f>
        <v/>
      </c>
      <c r="K227">
        <f>IF(G227="","",IF(ABS(G227-H227)&lt;=$B$6*I227,"OK","NG"))</f>
        <v/>
      </c>
      <c r="L227">
        <f>IF(K227="","",IF(K227=D227,1,0))</f>
        <v/>
      </c>
      <c r="M227" t="inlineStr">
        <is>
          <t>N1</t>
        </is>
      </c>
      <c r="N227" s="15" t="n">
        <v>1</v>
      </c>
      <c r="O227" s="15" t="n">
        <v>0</v>
      </c>
      <c r="P227">
        <f>IF(M227="","",IF(M227=E227,1,0))</f>
        <v/>
      </c>
      <c r="Q227">
        <f>IF(K227="OK","-",IF(N227&lt;$B$7,"AMBIGUOUS","CONFIDENT"))</f>
        <v/>
      </c>
    </row>
    <row r="228">
      <c r="A228">
        <f>'Runs Z score'!A220</f>
        <v/>
      </c>
      <c r="B228">
        <f>'Runs Z score'!B220</f>
        <v/>
      </c>
      <c r="C228">
        <f>'Runs Z score'!C220</f>
        <v/>
      </c>
      <c r="D228">
        <f>'Runs Z score'!D220</f>
        <v/>
      </c>
      <c r="E228">
        <f>'Runs Z score'!E220</f>
        <v/>
      </c>
      <c r="F228">
        <f>'Runs Z score'!F220</f>
        <v/>
      </c>
      <c r="G228">
        <f>'Runs Z score'!G220</f>
        <v/>
      </c>
      <c r="H228">
        <f>VLOOKUP(C228,Recipes!$A$2:$N$4,10,FALSE())</f>
        <v/>
      </c>
      <c r="I228">
        <f>VLOOKUP(C228,Recipes!$A$2:$N$4,12,FALSE())</f>
        <v/>
      </c>
      <c r="J228">
        <f>IF(G228="","",H228-G228)</f>
        <v/>
      </c>
      <c r="K228">
        <f>IF(G228="","",IF(ABS(G228-H228)&lt;=$B$6*I228,"OK","NG"))</f>
        <v/>
      </c>
      <c r="L228">
        <f>IF(K228="","",IF(K228=D228,1,0))</f>
        <v/>
      </c>
      <c r="M228" t="inlineStr">
        <is>
          <t>N1</t>
        </is>
      </c>
      <c r="N228" s="15" t="n">
        <v>1</v>
      </c>
      <c r="O228" s="15" t="n">
        <v>0</v>
      </c>
      <c r="P228">
        <f>IF(M228="","",IF(M228=E228,1,0))</f>
        <v/>
      </c>
      <c r="Q228">
        <f>IF(K228="OK","-",IF(N228&lt;$B$7,"AMBIGUOUS","CONFIDENT"))</f>
        <v/>
      </c>
    </row>
    <row r="229">
      <c r="A229">
        <f>'Runs Z score'!A221</f>
        <v/>
      </c>
      <c r="B229">
        <f>'Runs Z score'!B221</f>
        <v/>
      </c>
      <c r="C229">
        <f>'Runs Z score'!C221</f>
        <v/>
      </c>
      <c r="D229">
        <f>'Runs Z score'!D221</f>
        <v/>
      </c>
      <c r="E229">
        <f>'Runs Z score'!E221</f>
        <v/>
      </c>
      <c r="F229">
        <f>'Runs Z score'!F221</f>
        <v/>
      </c>
      <c r="G229">
        <f>'Runs Z score'!G221</f>
        <v/>
      </c>
      <c r="H229">
        <f>VLOOKUP(C229,Recipes!$A$2:$N$4,10,FALSE())</f>
        <v/>
      </c>
      <c r="I229">
        <f>VLOOKUP(C229,Recipes!$A$2:$N$4,12,FALSE())</f>
        <v/>
      </c>
      <c r="J229">
        <f>IF(G229="","",H229-G229)</f>
        <v/>
      </c>
      <c r="K229">
        <f>IF(G229="","",IF(ABS(G229-H229)&lt;=$B$6*I229,"OK","NG"))</f>
        <v/>
      </c>
      <c r="L229">
        <f>IF(K229="","",IF(K229=D229,1,0))</f>
        <v/>
      </c>
      <c r="M229" t="inlineStr">
        <is>
          <t>N1</t>
        </is>
      </c>
      <c r="N229" s="15" t="n">
        <v>1</v>
      </c>
      <c r="O229" s="15" t="n">
        <v>0</v>
      </c>
      <c r="P229">
        <f>IF(M229="","",IF(M229=E229,1,0))</f>
        <v/>
      </c>
      <c r="Q229">
        <f>IF(K229="OK","-",IF(N229&lt;$B$7,"AMBIGUOUS","CONFIDENT"))</f>
        <v/>
      </c>
    </row>
    <row r="230">
      <c r="A230">
        <f>'Runs Z score'!A222</f>
        <v/>
      </c>
      <c r="B230">
        <f>'Runs Z score'!B222</f>
        <v/>
      </c>
      <c r="C230">
        <f>'Runs Z score'!C222</f>
        <v/>
      </c>
      <c r="D230">
        <f>'Runs Z score'!D222</f>
        <v/>
      </c>
      <c r="E230">
        <f>'Runs Z score'!E222</f>
        <v/>
      </c>
      <c r="F230">
        <f>'Runs Z score'!F222</f>
        <v/>
      </c>
      <c r="G230">
        <f>'Runs Z score'!G222</f>
        <v/>
      </c>
      <c r="H230">
        <f>VLOOKUP(C230,Recipes!$A$2:$N$4,10,FALSE())</f>
        <v/>
      </c>
      <c r="I230">
        <f>VLOOKUP(C230,Recipes!$A$2:$N$4,12,FALSE())</f>
        <v/>
      </c>
      <c r="J230">
        <f>IF(G230="","",H230-G230)</f>
        <v/>
      </c>
      <c r="K230">
        <f>IF(G230="","",IF(ABS(G230-H230)&lt;=$B$6*I230,"OK","NG"))</f>
        <v/>
      </c>
      <c r="L230">
        <f>IF(K230="","",IF(K230=D230,1,0))</f>
        <v/>
      </c>
      <c r="M230" t="inlineStr">
        <is>
          <t>N1</t>
        </is>
      </c>
      <c r="N230" s="15" t="n">
        <v>1</v>
      </c>
      <c r="O230" s="15" t="n">
        <v>0</v>
      </c>
      <c r="P230">
        <f>IF(M230="","",IF(M230=E230,1,0))</f>
        <v/>
      </c>
      <c r="Q230">
        <f>IF(K230="OK","-",IF(N230&lt;$B$7,"AMBIGUOUS","CONFIDENT"))</f>
        <v/>
      </c>
    </row>
    <row r="231">
      <c r="A231">
        <f>'Runs Z score'!A223</f>
        <v/>
      </c>
      <c r="B231">
        <f>'Runs Z score'!B223</f>
        <v/>
      </c>
      <c r="C231">
        <f>'Runs Z score'!C223</f>
        <v/>
      </c>
      <c r="D231">
        <f>'Runs Z score'!D223</f>
        <v/>
      </c>
      <c r="E231">
        <f>'Runs Z score'!E223</f>
        <v/>
      </c>
      <c r="F231">
        <f>'Runs Z score'!F223</f>
        <v/>
      </c>
      <c r="G231">
        <f>'Runs Z score'!G223</f>
        <v/>
      </c>
      <c r="H231">
        <f>VLOOKUP(C231,Recipes!$A$2:$N$4,10,FALSE())</f>
        <v/>
      </c>
      <c r="I231">
        <f>VLOOKUP(C231,Recipes!$A$2:$N$4,12,FALSE())</f>
        <v/>
      </c>
      <c r="J231">
        <f>IF(G231="","",H231-G231)</f>
        <v/>
      </c>
      <c r="K231">
        <f>IF(G231="","",IF(ABS(G231-H231)&lt;=$B$6*I231,"OK","NG"))</f>
        <v/>
      </c>
      <c r="L231">
        <f>IF(K231="","",IF(K231=D231,1,0))</f>
        <v/>
      </c>
      <c r="M231" t="inlineStr">
        <is>
          <t>N1</t>
        </is>
      </c>
      <c r="N231" s="15" t="n">
        <v>1</v>
      </c>
      <c r="O231" s="15" t="n">
        <v>0</v>
      </c>
      <c r="P231">
        <f>IF(M231="","",IF(M231=E231,1,0))</f>
        <v/>
      </c>
      <c r="Q231">
        <f>IF(K231="OK","-",IF(N231&lt;$B$7,"AMBIGUOUS","CONFIDENT"))</f>
        <v/>
      </c>
    </row>
    <row r="232">
      <c r="A232">
        <f>'Runs Z score'!A224</f>
        <v/>
      </c>
      <c r="B232">
        <f>'Runs Z score'!B224</f>
        <v/>
      </c>
      <c r="C232">
        <f>'Runs Z score'!C224</f>
        <v/>
      </c>
      <c r="D232">
        <f>'Runs Z score'!D224</f>
        <v/>
      </c>
      <c r="E232">
        <f>'Runs Z score'!E224</f>
        <v/>
      </c>
      <c r="F232">
        <f>'Runs Z score'!F224</f>
        <v/>
      </c>
      <c r="G232">
        <f>'Runs Z score'!G224</f>
        <v/>
      </c>
      <c r="H232">
        <f>VLOOKUP(C232,Recipes!$A$2:$N$4,10,FALSE())</f>
        <v/>
      </c>
      <c r="I232">
        <f>VLOOKUP(C232,Recipes!$A$2:$N$4,12,FALSE())</f>
        <v/>
      </c>
      <c r="J232">
        <f>IF(G232="","",H232-G232)</f>
        <v/>
      </c>
      <c r="K232">
        <f>IF(G232="","",IF(ABS(G232-H232)&lt;=$B$6*I232,"OK","NG"))</f>
        <v/>
      </c>
      <c r="L232">
        <f>IF(K232="","",IF(K232=D232,1,0))</f>
        <v/>
      </c>
      <c r="M232" t="inlineStr">
        <is>
          <t>N1</t>
        </is>
      </c>
      <c r="N232" s="15" t="n">
        <v>1</v>
      </c>
      <c r="O232" s="15" t="n">
        <v>0</v>
      </c>
      <c r="P232">
        <f>IF(M232="","",IF(M232=E232,1,0))</f>
        <v/>
      </c>
      <c r="Q232">
        <f>IF(K232="OK","-",IF(N232&lt;$B$7,"AMBIGUOUS","CONFIDENT"))</f>
        <v/>
      </c>
    </row>
    <row r="233">
      <c r="A233">
        <f>'Runs Z score'!A225</f>
        <v/>
      </c>
      <c r="B233">
        <f>'Runs Z score'!B225</f>
        <v/>
      </c>
      <c r="C233">
        <f>'Runs Z score'!C225</f>
        <v/>
      </c>
      <c r="D233">
        <f>'Runs Z score'!D225</f>
        <v/>
      </c>
      <c r="E233">
        <f>'Runs Z score'!E225</f>
        <v/>
      </c>
      <c r="F233">
        <f>'Runs Z score'!F225</f>
        <v/>
      </c>
      <c r="G233">
        <f>'Runs Z score'!G225</f>
        <v/>
      </c>
      <c r="H233">
        <f>VLOOKUP(C233,Recipes!$A$2:$N$4,10,FALSE())</f>
        <v/>
      </c>
      <c r="I233">
        <f>VLOOKUP(C233,Recipes!$A$2:$N$4,12,FALSE())</f>
        <v/>
      </c>
      <c r="J233">
        <f>IF(G233="","",H233-G233)</f>
        <v/>
      </c>
      <c r="K233">
        <f>IF(G233="","",IF(ABS(G233-H233)&lt;=$B$6*I233,"OK","NG"))</f>
        <v/>
      </c>
      <c r="L233">
        <f>IF(K233="","",IF(K233=D233,1,0))</f>
        <v/>
      </c>
      <c r="M233" t="inlineStr">
        <is>
          <t>N1</t>
        </is>
      </c>
      <c r="N233" s="15" t="n">
        <v>1</v>
      </c>
      <c r="O233" s="15" t="n">
        <v>0</v>
      </c>
      <c r="P233">
        <f>IF(M233="","",IF(M233=E233,1,0))</f>
        <v/>
      </c>
      <c r="Q233">
        <f>IF(K233="OK","-",IF(N233&lt;$B$7,"AMBIGUOUS","CONFIDENT"))</f>
        <v/>
      </c>
    </row>
    <row r="234">
      <c r="A234">
        <f>'Runs Z score'!A226</f>
        <v/>
      </c>
      <c r="B234">
        <f>'Runs Z score'!B226</f>
        <v/>
      </c>
      <c r="C234">
        <f>'Runs Z score'!C226</f>
        <v/>
      </c>
      <c r="D234">
        <f>'Runs Z score'!D226</f>
        <v/>
      </c>
      <c r="E234">
        <f>'Runs Z score'!E226</f>
        <v/>
      </c>
      <c r="F234">
        <f>'Runs Z score'!F226</f>
        <v/>
      </c>
      <c r="G234">
        <f>'Runs Z score'!G226</f>
        <v/>
      </c>
      <c r="H234">
        <f>VLOOKUP(C234,Recipes!$A$2:$N$4,10,FALSE())</f>
        <v/>
      </c>
      <c r="I234">
        <f>VLOOKUP(C234,Recipes!$A$2:$N$4,12,FALSE())</f>
        <v/>
      </c>
      <c r="J234">
        <f>IF(G234="","",H234-G234)</f>
        <v/>
      </c>
      <c r="K234">
        <f>IF(G234="","",IF(ABS(G234-H234)&lt;=$B$6*I234,"OK","NG"))</f>
        <v/>
      </c>
      <c r="L234">
        <f>IF(K234="","",IF(K234=D234,1,0))</f>
        <v/>
      </c>
      <c r="M234" t="inlineStr">
        <is>
          <t>N1</t>
        </is>
      </c>
      <c r="N234" s="15" t="n">
        <v>1</v>
      </c>
      <c r="O234" s="15" t="n">
        <v>0</v>
      </c>
      <c r="P234">
        <f>IF(M234="","",IF(M234=E234,1,0))</f>
        <v/>
      </c>
      <c r="Q234">
        <f>IF(K234="OK","-",IF(N234&lt;$B$7,"AMBIGUOUS","CONFIDENT"))</f>
        <v/>
      </c>
    </row>
    <row r="235">
      <c r="A235">
        <f>'Runs Z score'!A227</f>
        <v/>
      </c>
      <c r="B235">
        <f>'Runs Z score'!B227</f>
        <v/>
      </c>
      <c r="C235">
        <f>'Runs Z score'!C227</f>
        <v/>
      </c>
      <c r="D235">
        <f>'Runs Z score'!D227</f>
        <v/>
      </c>
      <c r="E235">
        <f>'Runs Z score'!E227</f>
        <v/>
      </c>
      <c r="F235">
        <f>'Runs Z score'!F227</f>
        <v/>
      </c>
      <c r="G235">
        <f>'Runs Z score'!G227</f>
        <v/>
      </c>
      <c r="H235">
        <f>VLOOKUP(C235,Recipes!$A$2:$N$4,10,FALSE())</f>
        <v/>
      </c>
      <c r="I235">
        <f>VLOOKUP(C235,Recipes!$A$2:$N$4,12,FALSE())</f>
        <v/>
      </c>
      <c r="J235">
        <f>IF(G235="","",H235-G235)</f>
        <v/>
      </c>
      <c r="K235">
        <f>IF(G235="","",IF(ABS(G235-H235)&lt;=$B$6*I235,"OK","NG"))</f>
        <v/>
      </c>
      <c r="L235">
        <f>IF(K235="","",IF(K235=D235,1,0))</f>
        <v/>
      </c>
      <c r="M235" t="inlineStr">
        <is>
          <t>N1</t>
        </is>
      </c>
      <c r="N235" s="15" t="n">
        <v>1</v>
      </c>
      <c r="O235" s="15" t="n">
        <v>0</v>
      </c>
      <c r="P235">
        <f>IF(M235="","",IF(M235=E235,1,0))</f>
        <v/>
      </c>
      <c r="Q235">
        <f>IF(K235="OK","-",IF(N235&lt;$B$7,"AMBIGUOUS","CONFIDENT"))</f>
        <v/>
      </c>
    </row>
    <row r="236">
      <c r="A236">
        <f>'Runs Z score'!A228</f>
        <v/>
      </c>
      <c r="B236">
        <f>'Runs Z score'!B228</f>
        <v/>
      </c>
      <c r="C236">
        <f>'Runs Z score'!C228</f>
        <v/>
      </c>
      <c r="D236">
        <f>'Runs Z score'!D228</f>
        <v/>
      </c>
      <c r="E236">
        <f>'Runs Z score'!E228</f>
        <v/>
      </c>
      <c r="F236">
        <f>'Runs Z score'!F228</f>
        <v/>
      </c>
      <c r="G236">
        <f>'Runs Z score'!G228</f>
        <v/>
      </c>
      <c r="H236">
        <f>VLOOKUP(C236,Recipes!$A$2:$N$4,10,FALSE())</f>
        <v/>
      </c>
      <c r="I236">
        <f>VLOOKUP(C236,Recipes!$A$2:$N$4,12,FALSE())</f>
        <v/>
      </c>
      <c r="J236">
        <f>IF(G236="","",H236-G236)</f>
        <v/>
      </c>
      <c r="K236">
        <f>IF(G236="","",IF(ABS(G236-H236)&lt;=$B$6*I236,"OK","NG"))</f>
        <v/>
      </c>
      <c r="L236">
        <f>IF(K236="","",IF(K236=D236,1,0))</f>
        <v/>
      </c>
      <c r="M236" t="inlineStr">
        <is>
          <t>N1</t>
        </is>
      </c>
      <c r="N236" s="15" t="n">
        <v>1</v>
      </c>
      <c r="O236" s="15" t="n">
        <v>0</v>
      </c>
      <c r="P236">
        <f>IF(M236="","",IF(M236=E236,1,0))</f>
        <v/>
      </c>
      <c r="Q236">
        <f>IF(K236="OK","-",IF(N236&lt;$B$7,"AMBIGUOUS","CONFIDENT"))</f>
        <v/>
      </c>
    </row>
    <row r="237">
      <c r="A237">
        <f>'Runs Z score'!A229</f>
        <v/>
      </c>
      <c r="B237">
        <f>'Runs Z score'!B229</f>
        <v/>
      </c>
      <c r="C237">
        <f>'Runs Z score'!C229</f>
        <v/>
      </c>
      <c r="D237">
        <f>'Runs Z score'!D229</f>
        <v/>
      </c>
      <c r="E237">
        <f>'Runs Z score'!E229</f>
        <v/>
      </c>
      <c r="F237">
        <f>'Runs Z score'!F229</f>
        <v/>
      </c>
      <c r="G237">
        <f>'Runs Z score'!G229</f>
        <v/>
      </c>
      <c r="H237">
        <f>VLOOKUP(C237,Recipes!$A$2:$N$4,10,FALSE())</f>
        <v/>
      </c>
      <c r="I237">
        <f>VLOOKUP(C237,Recipes!$A$2:$N$4,12,FALSE())</f>
        <v/>
      </c>
      <c r="J237">
        <f>IF(G237="","",H237-G237)</f>
        <v/>
      </c>
      <c r="K237">
        <f>IF(G237="","",IF(ABS(G237-H237)&lt;=$B$6*I237,"OK","NG"))</f>
        <v/>
      </c>
      <c r="L237">
        <f>IF(K237="","",IF(K237=D237,1,0))</f>
        <v/>
      </c>
      <c r="M237" t="inlineStr">
        <is>
          <t>N1</t>
        </is>
      </c>
      <c r="N237" s="15" t="n">
        <v>1</v>
      </c>
      <c r="O237" s="15" t="n">
        <v>0</v>
      </c>
      <c r="P237">
        <f>IF(M237="","",IF(M237=E237,1,0))</f>
        <v/>
      </c>
      <c r="Q237">
        <f>IF(K237="OK","-",IF(N237&lt;$B$7,"AMBIGUOUS","CONFIDENT"))</f>
        <v/>
      </c>
    </row>
    <row r="238">
      <c r="A238">
        <f>'Runs Z score'!A230</f>
        <v/>
      </c>
      <c r="B238">
        <f>'Runs Z score'!B230</f>
        <v/>
      </c>
      <c r="C238">
        <f>'Runs Z score'!C230</f>
        <v/>
      </c>
      <c r="D238">
        <f>'Runs Z score'!D230</f>
        <v/>
      </c>
      <c r="E238">
        <f>'Runs Z score'!E230</f>
        <v/>
      </c>
      <c r="F238">
        <f>'Runs Z score'!F230</f>
        <v/>
      </c>
      <c r="G238">
        <f>'Runs Z score'!G230</f>
        <v/>
      </c>
      <c r="H238">
        <f>VLOOKUP(C238,Recipes!$A$2:$N$4,10,FALSE())</f>
        <v/>
      </c>
      <c r="I238">
        <f>VLOOKUP(C238,Recipes!$A$2:$N$4,12,FALSE())</f>
        <v/>
      </c>
      <c r="J238">
        <f>IF(G238="","",H238-G238)</f>
        <v/>
      </c>
      <c r="K238">
        <f>IF(G238="","",IF(ABS(G238-H238)&lt;=$B$6*I238,"OK","NG"))</f>
        <v/>
      </c>
      <c r="L238">
        <f>IF(K238="","",IF(K238=D238,1,0))</f>
        <v/>
      </c>
      <c r="M238" t="inlineStr">
        <is>
          <t>N1</t>
        </is>
      </c>
      <c r="N238" s="15" t="n">
        <v>1</v>
      </c>
      <c r="O238" s="15" t="n">
        <v>0</v>
      </c>
      <c r="P238">
        <f>IF(M238="","",IF(M238=E238,1,0))</f>
        <v/>
      </c>
      <c r="Q238">
        <f>IF(K238="OK","-",IF(N238&lt;$B$7,"AMBIGUOUS","CONFIDENT"))</f>
        <v/>
      </c>
    </row>
    <row r="239">
      <c r="A239">
        <f>'Runs Z score'!A231</f>
        <v/>
      </c>
      <c r="B239">
        <f>'Runs Z score'!B231</f>
        <v/>
      </c>
      <c r="C239">
        <f>'Runs Z score'!C231</f>
        <v/>
      </c>
      <c r="D239">
        <f>'Runs Z score'!D231</f>
        <v/>
      </c>
      <c r="E239">
        <f>'Runs Z score'!E231</f>
        <v/>
      </c>
      <c r="F239">
        <f>'Runs Z score'!F231</f>
        <v/>
      </c>
      <c r="G239">
        <f>'Runs Z score'!G231</f>
        <v/>
      </c>
      <c r="H239">
        <f>VLOOKUP(C239,Recipes!$A$2:$N$4,10,FALSE())</f>
        <v/>
      </c>
      <c r="I239">
        <f>VLOOKUP(C239,Recipes!$A$2:$N$4,12,FALSE())</f>
        <v/>
      </c>
      <c r="J239">
        <f>IF(G239="","",H239-G239)</f>
        <v/>
      </c>
      <c r="K239">
        <f>IF(G239="","",IF(ABS(G239-H239)&lt;=$B$6*I239,"OK","NG"))</f>
        <v/>
      </c>
      <c r="L239">
        <f>IF(K239="","",IF(K239=D239,1,0))</f>
        <v/>
      </c>
      <c r="M239" t="inlineStr">
        <is>
          <t>N1</t>
        </is>
      </c>
      <c r="N239" s="15" t="n">
        <v>1</v>
      </c>
      <c r="O239" s="15" t="n">
        <v>0</v>
      </c>
      <c r="P239">
        <f>IF(M239="","",IF(M239=E239,1,0))</f>
        <v/>
      </c>
      <c r="Q239">
        <f>IF(K239="OK","-",IF(N239&lt;$B$7,"AMBIGUOUS","CONFIDENT"))</f>
        <v/>
      </c>
    </row>
    <row r="240">
      <c r="A240">
        <f>'Runs Z score'!A232</f>
        <v/>
      </c>
      <c r="B240">
        <f>'Runs Z score'!B232</f>
        <v/>
      </c>
      <c r="C240">
        <f>'Runs Z score'!C232</f>
        <v/>
      </c>
      <c r="D240">
        <f>'Runs Z score'!D232</f>
        <v/>
      </c>
      <c r="E240">
        <f>'Runs Z score'!E232</f>
        <v/>
      </c>
      <c r="F240">
        <f>'Runs Z score'!F232</f>
        <v/>
      </c>
      <c r="G240">
        <f>'Runs Z score'!G232</f>
        <v/>
      </c>
      <c r="H240">
        <f>VLOOKUP(C240,Recipes!$A$2:$N$4,10,FALSE())</f>
        <v/>
      </c>
      <c r="I240">
        <f>VLOOKUP(C240,Recipes!$A$2:$N$4,12,FALSE())</f>
        <v/>
      </c>
      <c r="J240">
        <f>IF(G240="","",H240-G240)</f>
        <v/>
      </c>
      <c r="K240">
        <f>IF(G240="","",IF(ABS(G240-H240)&lt;=$B$6*I240,"OK","NG"))</f>
        <v/>
      </c>
      <c r="L240">
        <f>IF(K240="","",IF(K240=D240,1,0))</f>
        <v/>
      </c>
      <c r="M240" t="inlineStr">
        <is>
          <t>N1</t>
        </is>
      </c>
      <c r="N240" s="15" t="n">
        <v>1</v>
      </c>
      <c r="O240" s="15" t="n">
        <v>0</v>
      </c>
      <c r="P240">
        <f>IF(M240="","",IF(M240=E240,1,0))</f>
        <v/>
      </c>
      <c r="Q240">
        <f>IF(K240="OK","-",IF(N240&lt;$B$7,"AMBIGUOUS","CONFIDENT"))</f>
        <v/>
      </c>
    </row>
    <row r="241">
      <c r="A241">
        <f>'Runs Z score'!A233</f>
        <v/>
      </c>
      <c r="B241">
        <f>'Runs Z score'!B233</f>
        <v/>
      </c>
      <c r="C241">
        <f>'Runs Z score'!C233</f>
        <v/>
      </c>
      <c r="D241">
        <f>'Runs Z score'!D233</f>
        <v/>
      </c>
      <c r="E241">
        <f>'Runs Z score'!E233</f>
        <v/>
      </c>
      <c r="F241">
        <f>'Runs Z score'!F233</f>
        <v/>
      </c>
      <c r="G241">
        <f>'Runs Z score'!G233</f>
        <v/>
      </c>
      <c r="H241">
        <f>VLOOKUP(C241,Recipes!$A$2:$N$4,10,FALSE())</f>
        <v/>
      </c>
      <c r="I241">
        <f>VLOOKUP(C241,Recipes!$A$2:$N$4,12,FALSE())</f>
        <v/>
      </c>
      <c r="J241">
        <f>IF(G241="","",H241-G241)</f>
        <v/>
      </c>
      <c r="K241">
        <f>IF(G241="","",IF(ABS(G241-H241)&lt;=$B$6*I241,"OK","NG"))</f>
        <v/>
      </c>
      <c r="L241">
        <f>IF(K241="","",IF(K241=D241,1,0))</f>
        <v/>
      </c>
      <c r="M241" t="inlineStr">
        <is>
          <t>N1</t>
        </is>
      </c>
      <c r="N241" s="15" t="n">
        <v>1</v>
      </c>
      <c r="O241" s="15" t="n">
        <v>0</v>
      </c>
      <c r="P241">
        <f>IF(M241="","",IF(M241=E241,1,0))</f>
        <v/>
      </c>
      <c r="Q241">
        <f>IF(K241="OK","-",IF(N241&lt;$B$7,"AMBIGUOUS","CONFIDENT"))</f>
        <v/>
      </c>
    </row>
    <row r="242">
      <c r="A242">
        <f>'Runs Z score'!A234</f>
        <v/>
      </c>
      <c r="B242">
        <f>'Runs Z score'!B234</f>
        <v/>
      </c>
      <c r="C242">
        <f>'Runs Z score'!C234</f>
        <v/>
      </c>
      <c r="D242">
        <f>'Runs Z score'!D234</f>
        <v/>
      </c>
      <c r="E242">
        <f>'Runs Z score'!E234</f>
        <v/>
      </c>
      <c r="F242">
        <f>'Runs Z score'!F234</f>
        <v/>
      </c>
      <c r="G242">
        <f>'Runs Z score'!G234</f>
        <v/>
      </c>
      <c r="H242">
        <f>VLOOKUP(C242,Recipes!$A$2:$N$4,10,FALSE())</f>
        <v/>
      </c>
      <c r="I242">
        <f>VLOOKUP(C242,Recipes!$A$2:$N$4,12,FALSE())</f>
        <v/>
      </c>
      <c r="J242">
        <f>IF(G242="","",H242-G242)</f>
        <v/>
      </c>
      <c r="K242">
        <f>IF(G242="","",IF(ABS(G242-H242)&lt;=$B$6*I242,"OK","NG"))</f>
        <v/>
      </c>
      <c r="L242">
        <f>IF(K242="","",IF(K242=D242,1,0))</f>
        <v/>
      </c>
      <c r="M242" t="inlineStr">
        <is>
          <t>N1</t>
        </is>
      </c>
      <c r="N242" s="15" t="n">
        <v>1</v>
      </c>
      <c r="O242" s="15" t="n">
        <v>0</v>
      </c>
      <c r="P242">
        <f>IF(M242="","",IF(M242=E242,1,0))</f>
        <v/>
      </c>
      <c r="Q242">
        <f>IF(K242="OK","-",IF(N242&lt;$B$7,"AMBIGUOUS","CONFIDENT"))</f>
        <v/>
      </c>
    </row>
    <row r="243">
      <c r="A243">
        <f>'Runs Z score'!A235</f>
        <v/>
      </c>
      <c r="B243">
        <f>'Runs Z score'!B235</f>
        <v/>
      </c>
      <c r="C243">
        <f>'Runs Z score'!C235</f>
        <v/>
      </c>
      <c r="D243">
        <f>'Runs Z score'!D235</f>
        <v/>
      </c>
      <c r="E243">
        <f>'Runs Z score'!E235</f>
        <v/>
      </c>
      <c r="F243">
        <f>'Runs Z score'!F235</f>
        <v/>
      </c>
      <c r="G243">
        <f>'Runs Z score'!G235</f>
        <v/>
      </c>
      <c r="H243">
        <f>VLOOKUP(C243,Recipes!$A$2:$N$4,10,FALSE())</f>
        <v/>
      </c>
      <c r="I243">
        <f>VLOOKUP(C243,Recipes!$A$2:$N$4,12,FALSE())</f>
        <v/>
      </c>
      <c r="J243">
        <f>IF(G243="","",H243-G243)</f>
        <v/>
      </c>
      <c r="K243">
        <f>IF(G243="","",IF(ABS(G243-H243)&lt;=$B$6*I243,"OK","NG"))</f>
        <v/>
      </c>
      <c r="L243">
        <f>IF(K243="","",IF(K243=D243,1,0))</f>
        <v/>
      </c>
      <c r="M243" t="inlineStr">
        <is>
          <t>N1</t>
        </is>
      </c>
      <c r="N243" s="15" t="n">
        <v>1</v>
      </c>
      <c r="O243" s="15" t="n">
        <v>0</v>
      </c>
      <c r="P243">
        <f>IF(M243="","",IF(M243=E243,1,0))</f>
        <v/>
      </c>
      <c r="Q243">
        <f>IF(K243="OK","-",IF(N243&lt;$B$7,"AMBIGUOUS","CONFIDENT"))</f>
        <v/>
      </c>
    </row>
    <row r="244">
      <c r="A244">
        <f>'Runs Z score'!A236</f>
        <v/>
      </c>
      <c r="B244">
        <f>'Runs Z score'!B236</f>
        <v/>
      </c>
      <c r="C244">
        <f>'Runs Z score'!C236</f>
        <v/>
      </c>
      <c r="D244">
        <f>'Runs Z score'!D236</f>
        <v/>
      </c>
      <c r="E244">
        <f>'Runs Z score'!E236</f>
        <v/>
      </c>
      <c r="F244">
        <f>'Runs Z score'!F236</f>
        <v/>
      </c>
      <c r="G244">
        <f>'Runs Z score'!G236</f>
        <v/>
      </c>
      <c r="H244">
        <f>VLOOKUP(C244,Recipes!$A$2:$N$4,10,FALSE())</f>
        <v/>
      </c>
      <c r="I244">
        <f>VLOOKUP(C244,Recipes!$A$2:$N$4,12,FALSE())</f>
        <v/>
      </c>
      <c r="J244">
        <f>IF(G244="","",H244-G244)</f>
        <v/>
      </c>
      <c r="K244">
        <f>IF(G244="","",IF(ABS(G244-H244)&lt;=$B$6*I244,"OK","NG"))</f>
        <v/>
      </c>
      <c r="L244">
        <f>IF(K244="","",IF(K244=D244,1,0))</f>
        <v/>
      </c>
      <c r="M244" t="inlineStr">
        <is>
          <t>N1</t>
        </is>
      </c>
      <c r="N244" s="15" t="n">
        <v>1</v>
      </c>
      <c r="O244" s="15" t="n">
        <v>0</v>
      </c>
      <c r="P244">
        <f>IF(M244="","",IF(M244=E244,1,0))</f>
        <v/>
      </c>
      <c r="Q244">
        <f>IF(K244="OK","-",IF(N244&lt;$B$7,"AMBIGUOUS","CONFIDENT"))</f>
        <v/>
      </c>
    </row>
    <row r="245">
      <c r="A245">
        <f>'Runs Z score'!A237</f>
        <v/>
      </c>
      <c r="B245">
        <f>'Runs Z score'!B237</f>
        <v/>
      </c>
      <c r="C245">
        <f>'Runs Z score'!C237</f>
        <v/>
      </c>
      <c r="D245">
        <f>'Runs Z score'!D237</f>
        <v/>
      </c>
      <c r="E245">
        <f>'Runs Z score'!E237</f>
        <v/>
      </c>
      <c r="F245">
        <f>'Runs Z score'!F237</f>
        <v/>
      </c>
      <c r="G245">
        <f>'Runs Z score'!G237</f>
        <v/>
      </c>
      <c r="H245">
        <f>VLOOKUP(C245,Recipes!$A$2:$N$4,10,FALSE())</f>
        <v/>
      </c>
      <c r="I245">
        <f>VLOOKUP(C245,Recipes!$A$2:$N$4,12,FALSE())</f>
        <v/>
      </c>
      <c r="J245">
        <f>IF(G245="","",H245-G245)</f>
        <v/>
      </c>
      <c r="K245">
        <f>IF(G245="","",IF(ABS(G245-H245)&lt;=$B$6*I245,"OK","NG"))</f>
        <v/>
      </c>
      <c r="L245">
        <f>IF(K245="","",IF(K245=D245,1,0))</f>
        <v/>
      </c>
      <c r="M245" t="inlineStr">
        <is>
          <t>N1</t>
        </is>
      </c>
      <c r="N245" s="15" t="n">
        <v>1</v>
      </c>
      <c r="O245" s="15" t="n">
        <v>0</v>
      </c>
      <c r="P245">
        <f>IF(M245="","",IF(M245=E245,1,0))</f>
        <v/>
      </c>
      <c r="Q245">
        <f>IF(K245="OK","-",IF(N245&lt;$B$7,"AMBIGUOUS","CONFIDENT"))</f>
        <v/>
      </c>
    </row>
    <row r="246">
      <c r="A246">
        <f>'Runs Z score'!A238</f>
        <v/>
      </c>
      <c r="B246">
        <f>'Runs Z score'!B238</f>
        <v/>
      </c>
      <c r="C246">
        <f>'Runs Z score'!C238</f>
        <v/>
      </c>
      <c r="D246">
        <f>'Runs Z score'!D238</f>
        <v/>
      </c>
      <c r="E246">
        <f>'Runs Z score'!E238</f>
        <v/>
      </c>
      <c r="F246">
        <f>'Runs Z score'!F238</f>
        <v/>
      </c>
      <c r="G246">
        <f>'Runs Z score'!G238</f>
        <v/>
      </c>
      <c r="H246">
        <f>VLOOKUP(C246,Recipes!$A$2:$N$4,10,FALSE())</f>
        <v/>
      </c>
      <c r="I246">
        <f>VLOOKUP(C246,Recipes!$A$2:$N$4,12,FALSE())</f>
        <v/>
      </c>
      <c r="J246">
        <f>IF(G246="","",H246-G246)</f>
        <v/>
      </c>
      <c r="K246">
        <f>IF(G246="","",IF(ABS(G246-H246)&lt;=$B$6*I246,"OK","NG"))</f>
        <v/>
      </c>
      <c r="L246">
        <f>IF(K246="","",IF(K246=D246,1,0))</f>
        <v/>
      </c>
      <c r="M246" t="inlineStr">
        <is>
          <t>N1</t>
        </is>
      </c>
      <c r="N246" s="15" t="n">
        <v>1</v>
      </c>
      <c r="O246" s="15" t="n">
        <v>0</v>
      </c>
      <c r="P246">
        <f>IF(M246="","",IF(M246=E246,1,0))</f>
        <v/>
      </c>
      <c r="Q246">
        <f>IF(K246="OK","-",IF(N246&lt;$B$7,"AMBIGUOUS","CONFIDENT"))</f>
        <v/>
      </c>
    </row>
    <row r="247">
      <c r="A247">
        <f>'Runs Z score'!A239</f>
        <v/>
      </c>
      <c r="B247">
        <f>'Runs Z score'!B239</f>
        <v/>
      </c>
      <c r="C247">
        <f>'Runs Z score'!C239</f>
        <v/>
      </c>
      <c r="D247">
        <f>'Runs Z score'!D239</f>
        <v/>
      </c>
      <c r="E247">
        <f>'Runs Z score'!E239</f>
        <v/>
      </c>
      <c r="F247">
        <f>'Runs Z score'!F239</f>
        <v/>
      </c>
      <c r="G247">
        <f>'Runs Z score'!G239</f>
        <v/>
      </c>
      <c r="H247">
        <f>VLOOKUP(C247,Recipes!$A$2:$N$4,10,FALSE())</f>
        <v/>
      </c>
      <c r="I247">
        <f>VLOOKUP(C247,Recipes!$A$2:$N$4,12,FALSE())</f>
        <v/>
      </c>
      <c r="J247">
        <f>IF(G247="","",H247-G247)</f>
        <v/>
      </c>
      <c r="K247">
        <f>IF(G247="","",IF(ABS(G247-H247)&lt;=$B$6*I247,"OK","NG"))</f>
        <v/>
      </c>
      <c r="L247">
        <f>IF(K247="","",IF(K247=D247,1,0))</f>
        <v/>
      </c>
      <c r="M247" t="inlineStr">
        <is>
          <t>N1</t>
        </is>
      </c>
      <c r="N247" s="15" t="n">
        <v>1</v>
      </c>
      <c r="O247" s="15" t="n">
        <v>0</v>
      </c>
      <c r="P247">
        <f>IF(M247="","",IF(M247=E247,1,0))</f>
        <v/>
      </c>
      <c r="Q247">
        <f>IF(K247="OK","-",IF(N247&lt;$B$7,"AMBIGUOUS","CONFIDENT"))</f>
        <v/>
      </c>
    </row>
    <row r="248">
      <c r="A248">
        <f>'Runs Z score'!A240</f>
        <v/>
      </c>
      <c r="B248">
        <f>'Runs Z score'!B240</f>
        <v/>
      </c>
      <c r="C248">
        <f>'Runs Z score'!C240</f>
        <v/>
      </c>
      <c r="D248">
        <f>'Runs Z score'!D240</f>
        <v/>
      </c>
      <c r="E248">
        <f>'Runs Z score'!E240</f>
        <v/>
      </c>
      <c r="F248">
        <f>'Runs Z score'!F240</f>
        <v/>
      </c>
      <c r="G248">
        <f>'Runs Z score'!G240</f>
        <v/>
      </c>
      <c r="H248">
        <f>VLOOKUP(C248,Recipes!$A$2:$N$4,10,FALSE())</f>
        <v/>
      </c>
      <c r="I248">
        <f>VLOOKUP(C248,Recipes!$A$2:$N$4,12,FALSE())</f>
        <v/>
      </c>
      <c r="J248">
        <f>IF(G248="","",H248-G248)</f>
        <v/>
      </c>
      <c r="K248">
        <f>IF(G248="","",IF(ABS(G248-H248)&lt;=$B$6*I248,"OK","NG"))</f>
        <v/>
      </c>
      <c r="L248">
        <f>IF(K248="","",IF(K248=D248,1,0))</f>
        <v/>
      </c>
      <c r="M248" t="inlineStr">
        <is>
          <t>N1</t>
        </is>
      </c>
      <c r="N248" s="15" t="n">
        <v>1</v>
      </c>
      <c r="O248" s="15" t="n">
        <v>0</v>
      </c>
      <c r="P248">
        <f>IF(M248="","",IF(M248=E248,1,0))</f>
        <v/>
      </c>
      <c r="Q248">
        <f>IF(K248="OK","-",IF(N248&lt;$B$7,"AMBIGUOUS","CONFIDENT"))</f>
        <v/>
      </c>
    </row>
    <row r="249">
      <c r="A249">
        <f>'Runs Z score'!A241</f>
        <v/>
      </c>
      <c r="B249">
        <f>'Runs Z score'!B241</f>
        <v/>
      </c>
      <c r="C249">
        <f>'Runs Z score'!C241</f>
        <v/>
      </c>
      <c r="D249">
        <f>'Runs Z score'!D241</f>
        <v/>
      </c>
      <c r="E249">
        <f>'Runs Z score'!E241</f>
        <v/>
      </c>
      <c r="F249">
        <f>'Runs Z score'!F241</f>
        <v/>
      </c>
      <c r="G249">
        <f>'Runs Z score'!G241</f>
        <v/>
      </c>
      <c r="H249">
        <f>VLOOKUP(C249,Recipes!$A$2:$N$4,10,FALSE())</f>
        <v/>
      </c>
      <c r="I249">
        <f>VLOOKUP(C249,Recipes!$A$2:$N$4,12,FALSE())</f>
        <v/>
      </c>
      <c r="J249">
        <f>IF(G249="","",H249-G249)</f>
        <v/>
      </c>
      <c r="K249">
        <f>IF(G249="","",IF(ABS(G249-H249)&lt;=$B$6*I249,"OK","NG"))</f>
        <v/>
      </c>
      <c r="L249">
        <f>IF(K249="","",IF(K249=D249,1,0))</f>
        <v/>
      </c>
      <c r="M249" t="inlineStr">
        <is>
          <t>N1</t>
        </is>
      </c>
      <c r="N249" s="15" t="n">
        <v>1</v>
      </c>
      <c r="O249" s="15" t="n">
        <v>0</v>
      </c>
      <c r="P249">
        <f>IF(M249="","",IF(M249=E249,1,0))</f>
        <v/>
      </c>
      <c r="Q249">
        <f>IF(K249="OK","-",IF(N249&lt;$B$7,"AMBIGUOUS","CONFIDENT"))</f>
        <v/>
      </c>
    </row>
    <row r="250">
      <c r="A250">
        <f>'Runs Z score'!A242</f>
        <v/>
      </c>
      <c r="B250">
        <f>'Runs Z score'!B242</f>
        <v/>
      </c>
      <c r="C250">
        <f>'Runs Z score'!C242</f>
        <v/>
      </c>
      <c r="D250">
        <f>'Runs Z score'!D242</f>
        <v/>
      </c>
      <c r="E250">
        <f>'Runs Z score'!E242</f>
        <v/>
      </c>
      <c r="F250">
        <f>'Runs Z score'!F242</f>
        <v/>
      </c>
      <c r="G250">
        <f>'Runs Z score'!G242</f>
        <v/>
      </c>
      <c r="H250">
        <f>VLOOKUP(C250,Recipes!$A$2:$N$4,10,FALSE())</f>
        <v/>
      </c>
      <c r="I250">
        <f>VLOOKUP(C250,Recipes!$A$2:$N$4,12,FALSE())</f>
        <v/>
      </c>
      <c r="J250">
        <f>IF(G250="","",H250-G250)</f>
        <v/>
      </c>
      <c r="K250">
        <f>IF(G250="","",IF(ABS(G250-H250)&lt;=$B$6*I250,"OK","NG"))</f>
        <v/>
      </c>
      <c r="L250">
        <f>IF(K250="","",IF(K250=D250,1,0))</f>
        <v/>
      </c>
      <c r="M250" t="inlineStr">
        <is>
          <t>N1</t>
        </is>
      </c>
      <c r="N250" s="15" t="n">
        <v>1</v>
      </c>
      <c r="O250" s="15" t="n">
        <v>0</v>
      </c>
      <c r="P250">
        <f>IF(M250="","",IF(M250=E250,1,0))</f>
        <v/>
      </c>
      <c r="Q250">
        <f>IF(K250="OK","-",IF(N250&lt;$B$7,"AMBIGUOUS","CONFIDENT"))</f>
        <v/>
      </c>
    </row>
    <row r="251">
      <c r="A251">
        <f>'Runs Z score'!A243</f>
        <v/>
      </c>
      <c r="B251">
        <f>'Runs Z score'!B243</f>
        <v/>
      </c>
      <c r="C251">
        <f>'Runs Z score'!C243</f>
        <v/>
      </c>
      <c r="D251">
        <f>'Runs Z score'!D243</f>
        <v/>
      </c>
      <c r="E251">
        <f>'Runs Z score'!E243</f>
        <v/>
      </c>
      <c r="F251">
        <f>'Runs Z score'!F243</f>
        <v/>
      </c>
      <c r="G251">
        <f>'Runs Z score'!G243</f>
        <v/>
      </c>
      <c r="H251">
        <f>VLOOKUP(C251,Recipes!$A$2:$N$4,10,FALSE())</f>
        <v/>
      </c>
      <c r="I251">
        <f>VLOOKUP(C251,Recipes!$A$2:$N$4,12,FALSE())</f>
        <v/>
      </c>
      <c r="J251">
        <f>IF(G251="","",H251-G251)</f>
        <v/>
      </c>
      <c r="K251">
        <f>IF(G251="","",IF(ABS(G251-H251)&lt;=$B$6*I251,"OK","NG"))</f>
        <v/>
      </c>
      <c r="L251">
        <f>IF(K251="","",IF(K251=D251,1,0))</f>
        <v/>
      </c>
      <c r="M251" t="inlineStr">
        <is>
          <t>S2</t>
        </is>
      </c>
      <c r="N251" s="15" t="n">
        <v>1</v>
      </c>
      <c r="O251" s="15" t="n">
        <v>0</v>
      </c>
      <c r="P251">
        <f>IF(M251="","",IF(M251=E251,1,0))</f>
        <v/>
      </c>
      <c r="Q251">
        <f>IF(K251="OK","-",IF(N251&lt;$B$7,"AMBIGUOUS","CONFIDENT"))</f>
        <v/>
      </c>
    </row>
    <row r="252">
      <c r="A252">
        <f>'Runs Z score'!A244</f>
        <v/>
      </c>
      <c r="B252">
        <f>'Runs Z score'!B244</f>
        <v/>
      </c>
      <c r="C252">
        <f>'Runs Z score'!C244</f>
        <v/>
      </c>
      <c r="D252">
        <f>'Runs Z score'!D244</f>
        <v/>
      </c>
      <c r="E252">
        <f>'Runs Z score'!E244</f>
        <v/>
      </c>
      <c r="F252">
        <f>'Runs Z score'!F244</f>
        <v/>
      </c>
      <c r="G252">
        <f>'Runs Z score'!G244</f>
        <v/>
      </c>
      <c r="H252">
        <f>VLOOKUP(C252,Recipes!$A$2:$N$4,10,FALSE())</f>
        <v/>
      </c>
      <c r="I252">
        <f>VLOOKUP(C252,Recipes!$A$2:$N$4,12,FALSE())</f>
        <v/>
      </c>
      <c r="J252">
        <f>IF(G252="","",H252-G252)</f>
        <v/>
      </c>
      <c r="K252">
        <f>IF(G252="","",IF(ABS(G252-H252)&lt;=$B$6*I252,"OK","NG"))</f>
        <v/>
      </c>
      <c r="L252">
        <f>IF(K252="","",IF(K252=D252,1,0))</f>
        <v/>
      </c>
      <c r="M252" t="inlineStr">
        <is>
          <t>S2</t>
        </is>
      </c>
      <c r="N252" s="15" t="n">
        <v>1</v>
      </c>
      <c r="O252" s="15" t="n">
        <v>0</v>
      </c>
      <c r="P252">
        <f>IF(M252="","",IF(M252=E252,1,0))</f>
        <v/>
      </c>
      <c r="Q252">
        <f>IF(K252="OK","-",IF(N252&lt;$B$7,"AMBIGUOUS","CONFIDENT"))</f>
        <v/>
      </c>
    </row>
    <row r="253">
      <c r="A253">
        <f>'Runs Z score'!A245</f>
        <v/>
      </c>
      <c r="B253">
        <f>'Runs Z score'!B245</f>
        <v/>
      </c>
      <c r="C253">
        <f>'Runs Z score'!C245</f>
        <v/>
      </c>
      <c r="D253">
        <f>'Runs Z score'!D245</f>
        <v/>
      </c>
      <c r="E253">
        <f>'Runs Z score'!E245</f>
        <v/>
      </c>
      <c r="F253">
        <f>'Runs Z score'!F245</f>
        <v/>
      </c>
      <c r="G253">
        <f>'Runs Z score'!G245</f>
        <v/>
      </c>
      <c r="H253">
        <f>VLOOKUP(C253,Recipes!$A$2:$N$4,10,FALSE())</f>
        <v/>
      </c>
      <c r="I253">
        <f>VLOOKUP(C253,Recipes!$A$2:$N$4,12,FALSE())</f>
        <v/>
      </c>
      <c r="J253">
        <f>IF(G253="","",H253-G253)</f>
        <v/>
      </c>
      <c r="K253">
        <f>IF(G253="","",IF(ABS(G253-H253)&lt;=$B$6*I253,"OK","NG"))</f>
        <v/>
      </c>
      <c r="L253">
        <f>IF(K253="","",IF(K253=D253,1,0))</f>
        <v/>
      </c>
      <c r="M253" t="inlineStr">
        <is>
          <t>S2</t>
        </is>
      </c>
      <c r="N253" s="15" t="n">
        <v>1</v>
      </c>
      <c r="O253" s="15" t="n">
        <v>0</v>
      </c>
      <c r="P253">
        <f>IF(M253="","",IF(M253=E253,1,0))</f>
        <v/>
      </c>
      <c r="Q253">
        <f>IF(K253="OK","-",IF(N253&lt;$B$7,"AMBIGUOUS","CONFIDENT"))</f>
        <v/>
      </c>
    </row>
    <row r="254">
      <c r="A254">
        <f>'Runs Z score'!A246</f>
        <v/>
      </c>
      <c r="B254">
        <f>'Runs Z score'!B246</f>
        <v/>
      </c>
      <c r="C254">
        <f>'Runs Z score'!C246</f>
        <v/>
      </c>
      <c r="D254">
        <f>'Runs Z score'!D246</f>
        <v/>
      </c>
      <c r="E254">
        <f>'Runs Z score'!E246</f>
        <v/>
      </c>
      <c r="F254">
        <f>'Runs Z score'!F246</f>
        <v/>
      </c>
      <c r="G254">
        <f>'Runs Z score'!G246</f>
        <v/>
      </c>
      <c r="H254">
        <f>VLOOKUP(C254,Recipes!$A$2:$N$4,10,FALSE())</f>
        <v/>
      </c>
      <c r="I254">
        <f>VLOOKUP(C254,Recipes!$A$2:$N$4,12,FALSE())</f>
        <v/>
      </c>
      <c r="J254">
        <f>IF(G254="","",H254-G254)</f>
        <v/>
      </c>
      <c r="K254">
        <f>IF(G254="","",IF(ABS(G254-H254)&lt;=$B$6*I254,"OK","NG"))</f>
        <v/>
      </c>
      <c r="L254">
        <f>IF(K254="","",IF(K254=D254,1,0))</f>
        <v/>
      </c>
      <c r="M254" t="inlineStr">
        <is>
          <t>S2</t>
        </is>
      </c>
      <c r="N254" s="15" t="n">
        <v>1</v>
      </c>
      <c r="O254" s="15" t="n">
        <v>0</v>
      </c>
      <c r="P254">
        <f>IF(M254="","",IF(M254=E254,1,0))</f>
        <v/>
      </c>
      <c r="Q254">
        <f>IF(K254="OK","-",IF(N254&lt;$B$7,"AMBIGUOUS","CONFIDENT"))</f>
        <v/>
      </c>
    </row>
    <row r="255">
      <c r="A255">
        <f>'Runs Z score'!A247</f>
        <v/>
      </c>
      <c r="B255">
        <f>'Runs Z score'!B247</f>
        <v/>
      </c>
      <c r="C255">
        <f>'Runs Z score'!C247</f>
        <v/>
      </c>
      <c r="D255">
        <f>'Runs Z score'!D247</f>
        <v/>
      </c>
      <c r="E255">
        <f>'Runs Z score'!E247</f>
        <v/>
      </c>
      <c r="F255">
        <f>'Runs Z score'!F247</f>
        <v/>
      </c>
      <c r="G255">
        <f>'Runs Z score'!G247</f>
        <v/>
      </c>
      <c r="H255">
        <f>VLOOKUP(C255,Recipes!$A$2:$N$4,10,FALSE())</f>
        <v/>
      </c>
      <c r="I255">
        <f>VLOOKUP(C255,Recipes!$A$2:$N$4,12,FALSE())</f>
        <v/>
      </c>
      <c r="J255">
        <f>IF(G255="","",H255-G255)</f>
        <v/>
      </c>
      <c r="K255">
        <f>IF(G255="","",IF(ABS(G255-H255)&lt;=$B$6*I255,"OK","NG"))</f>
        <v/>
      </c>
      <c r="L255">
        <f>IF(K255="","",IF(K255=D255,1,0))</f>
        <v/>
      </c>
      <c r="M255" t="inlineStr">
        <is>
          <t>S2</t>
        </is>
      </c>
      <c r="N255" s="15" t="n">
        <v>1</v>
      </c>
      <c r="O255" s="15" t="n">
        <v>0</v>
      </c>
      <c r="P255">
        <f>IF(M255="","",IF(M255=E255,1,0))</f>
        <v/>
      </c>
      <c r="Q255">
        <f>IF(K255="OK","-",IF(N255&lt;$B$7,"AMBIGUOUS","CONFIDENT"))</f>
        <v/>
      </c>
    </row>
    <row r="256">
      <c r="A256">
        <f>'Runs Z score'!A248</f>
        <v/>
      </c>
      <c r="B256">
        <f>'Runs Z score'!B248</f>
        <v/>
      </c>
      <c r="C256">
        <f>'Runs Z score'!C248</f>
        <v/>
      </c>
      <c r="D256">
        <f>'Runs Z score'!D248</f>
        <v/>
      </c>
      <c r="E256">
        <f>'Runs Z score'!E248</f>
        <v/>
      </c>
      <c r="F256">
        <f>'Runs Z score'!F248</f>
        <v/>
      </c>
      <c r="G256">
        <f>'Runs Z score'!G248</f>
        <v/>
      </c>
      <c r="H256">
        <f>VLOOKUP(C256,Recipes!$A$2:$N$4,10,FALSE())</f>
        <v/>
      </c>
      <c r="I256">
        <f>VLOOKUP(C256,Recipes!$A$2:$N$4,12,FALSE())</f>
        <v/>
      </c>
      <c r="J256">
        <f>IF(G256="","",H256-G256)</f>
        <v/>
      </c>
      <c r="K256">
        <f>IF(G256="","",IF(ABS(G256-H256)&lt;=$B$6*I256,"OK","NG"))</f>
        <v/>
      </c>
      <c r="L256">
        <f>IF(K256="","",IF(K256=D256,1,0))</f>
        <v/>
      </c>
      <c r="M256" t="inlineStr">
        <is>
          <t>S2</t>
        </is>
      </c>
      <c r="N256" s="15" t="n">
        <v>1</v>
      </c>
      <c r="O256" s="15" t="n">
        <v>0</v>
      </c>
      <c r="P256">
        <f>IF(M256="","",IF(M256=E256,1,0))</f>
        <v/>
      </c>
      <c r="Q256">
        <f>IF(K256="OK","-",IF(N256&lt;$B$7,"AMBIGUOUS","CONFIDENT"))</f>
        <v/>
      </c>
    </row>
    <row r="257">
      <c r="A257">
        <f>'Runs Z score'!A249</f>
        <v/>
      </c>
      <c r="B257">
        <f>'Runs Z score'!B249</f>
        <v/>
      </c>
      <c r="C257">
        <f>'Runs Z score'!C249</f>
        <v/>
      </c>
      <c r="D257">
        <f>'Runs Z score'!D249</f>
        <v/>
      </c>
      <c r="E257">
        <f>'Runs Z score'!E249</f>
        <v/>
      </c>
      <c r="F257">
        <f>'Runs Z score'!F249</f>
        <v/>
      </c>
      <c r="G257">
        <f>'Runs Z score'!G249</f>
        <v/>
      </c>
      <c r="H257">
        <f>VLOOKUP(C257,Recipes!$A$2:$N$4,10,FALSE())</f>
        <v/>
      </c>
      <c r="I257">
        <f>VLOOKUP(C257,Recipes!$A$2:$N$4,12,FALSE())</f>
        <v/>
      </c>
      <c r="J257">
        <f>IF(G257="","",H257-G257)</f>
        <v/>
      </c>
      <c r="K257">
        <f>IF(G257="","",IF(ABS(G257-H257)&lt;=$B$6*I257,"OK","NG"))</f>
        <v/>
      </c>
      <c r="L257">
        <f>IF(K257="","",IF(K257=D257,1,0))</f>
        <v/>
      </c>
      <c r="M257" t="inlineStr">
        <is>
          <t>S2</t>
        </is>
      </c>
      <c r="N257" s="15" t="n">
        <v>1</v>
      </c>
      <c r="O257" s="15" t="n">
        <v>0</v>
      </c>
      <c r="P257">
        <f>IF(M257="","",IF(M257=E257,1,0))</f>
        <v/>
      </c>
      <c r="Q257">
        <f>IF(K257="OK","-",IF(N257&lt;$B$7,"AMBIGUOUS","CONFIDENT"))</f>
        <v/>
      </c>
    </row>
    <row r="258">
      <c r="A258">
        <f>'Runs Z score'!A250</f>
        <v/>
      </c>
      <c r="B258">
        <f>'Runs Z score'!B250</f>
        <v/>
      </c>
      <c r="C258">
        <f>'Runs Z score'!C250</f>
        <v/>
      </c>
      <c r="D258">
        <f>'Runs Z score'!D250</f>
        <v/>
      </c>
      <c r="E258">
        <f>'Runs Z score'!E250</f>
        <v/>
      </c>
      <c r="F258">
        <f>'Runs Z score'!F250</f>
        <v/>
      </c>
      <c r="G258">
        <f>'Runs Z score'!G250</f>
        <v/>
      </c>
      <c r="H258">
        <f>VLOOKUP(C258,Recipes!$A$2:$N$4,10,FALSE())</f>
        <v/>
      </c>
      <c r="I258">
        <f>VLOOKUP(C258,Recipes!$A$2:$N$4,12,FALSE())</f>
        <v/>
      </c>
      <c r="J258">
        <f>IF(G258="","",H258-G258)</f>
        <v/>
      </c>
      <c r="K258">
        <f>IF(G258="","",IF(ABS(G258-H258)&lt;=$B$6*I258,"OK","NG"))</f>
        <v/>
      </c>
      <c r="L258">
        <f>IF(K258="","",IF(K258=D258,1,0))</f>
        <v/>
      </c>
      <c r="M258" t="inlineStr">
        <is>
          <t>S2</t>
        </is>
      </c>
      <c r="N258" s="15" t="n">
        <v>1</v>
      </c>
      <c r="O258" s="15" t="n">
        <v>0</v>
      </c>
      <c r="P258">
        <f>IF(M258="","",IF(M258=E258,1,0))</f>
        <v/>
      </c>
      <c r="Q258">
        <f>IF(K258="OK","-",IF(N258&lt;$B$7,"AMBIGUOUS","CONFIDENT"))</f>
        <v/>
      </c>
    </row>
    <row r="259">
      <c r="A259">
        <f>'Runs Z score'!A251</f>
        <v/>
      </c>
      <c r="B259">
        <f>'Runs Z score'!B251</f>
        <v/>
      </c>
      <c r="C259">
        <f>'Runs Z score'!C251</f>
        <v/>
      </c>
      <c r="D259">
        <f>'Runs Z score'!D251</f>
        <v/>
      </c>
      <c r="E259">
        <f>'Runs Z score'!E251</f>
        <v/>
      </c>
      <c r="F259">
        <f>'Runs Z score'!F251</f>
        <v/>
      </c>
      <c r="G259">
        <f>'Runs Z score'!G251</f>
        <v/>
      </c>
      <c r="H259">
        <f>VLOOKUP(C259,Recipes!$A$2:$N$4,10,FALSE())</f>
        <v/>
      </c>
      <c r="I259">
        <f>VLOOKUP(C259,Recipes!$A$2:$N$4,12,FALSE())</f>
        <v/>
      </c>
      <c r="J259">
        <f>IF(G259="","",H259-G259)</f>
        <v/>
      </c>
      <c r="K259">
        <f>IF(G259="","",IF(ABS(G259-H259)&lt;=$B$6*I259,"OK","NG"))</f>
        <v/>
      </c>
      <c r="L259">
        <f>IF(K259="","",IF(K259=D259,1,0))</f>
        <v/>
      </c>
      <c r="M259" t="inlineStr">
        <is>
          <t>S2</t>
        </is>
      </c>
      <c r="N259" s="15" t="n">
        <v>1</v>
      </c>
      <c r="O259" s="15" t="n">
        <v>0</v>
      </c>
      <c r="P259">
        <f>IF(M259="","",IF(M259=E259,1,0))</f>
        <v/>
      </c>
      <c r="Q259">
        <f>IF(K259="OK","-",IF(N259&lt;$B$7,"AMBIGUOUS","CONFIDENT"))</f>
        <v/>
      </c>
    </row>
    <row r="260">
      <c r="A260">
        <f>'Runs Z score'!A252</f>
        <v/>
      </c>
      <c r="B260">
        <f>'Runs Z score'!B252</f>
        <v/>
      </c>
      <c r="C260">
        <f>'Runs Z score'!C252</f>
        <v/>
      </c>
      <c r="D260">
        <f>'Runs Z score'!D252</f>
        <v/>
      </c>
      <c r="E260">
        <f>'Runs Z score'!E252</f>
        <v/>
      </c>
      <c r="F260">
        <f>'Runs Z score'!F252</f>
        <v/>
      </c>
      <c r="G260">
        <f>'Runs Z score'!G252</f>
        <v/>
      </c>
      <c r="H260">
        <f>VLOOKUP(C260,Recipes!$A$2:$N$4,10,FALSE())</f>
        <v/>
      </c>
      <c r="I260">
        <f>VLOOKUP(C260,Recipes!$A$2:$N$4,12,FALSE())</f>
        <v/>
      </c>
      <c r="J260">
        <f>IF(G260="","",H260-G260)</f>
        <v/>
      </c>
      <c r="K260">
        <f>IF(G260="","",IF(ABS(G260-H260)&lt;=$B$6*I260,"OK","NG"))</f>
        <v/>
      </c>
      <c r="L260">
        <f>IF(K260="","",IF(K260=D260,1,0))</f>
        <v/>
      </c>
      <c r="M260" t="inlineStr">
        <is>
          <t>S2</t>
        </is>
      </c>
      <c r="N260" s="15" t="n">
        <v>1</v>
      </c>
      <c r="O260" s="15" t="n">
        <v>0</v>
      </c>
      <c r="P260">
        <f>IF(M260="","",IF(M260=E260,1,0))</f>
        <v/>
      </c>
      <c r="Q260">
        <f>IF(K260="OK","-",IF(N260&lt;$B$7,"AMBIGUOUS","CONFIDENT"))</f>
        <v/>
      </c>
    </row>
    <row r="261">
      <c r="A261">
        <f>'Runs Z score'!A253</f>
        <v/>
      </c>
      <c r="B261">
        <f>'Runs Z score'!B253</f>
        <v/>
      </c>
      <c r="C261">
        <f>'Runs Z score'!C253</f>
        <v/>
      </c>
      <c r="D261">
        <f>'Runs Z score'!D253</f>
        <v/>
      </c>
      <c r="E261">
        <f>'Runs Z score'!E253</f>
        <v/>
      </c>
      <c r="F261">
        <f>'Runs Z score'!F253</f>
        <v/>
      </c>
      <c r="G261">
        <f>'Runs Z score'!G253</f>
        <v/>
      </c>
      <c r="H261">
        <f>VLOOKUP(C261,Recipes!$A$2:$N$4,10,FALSE())</f>
        <v/>
      </c>
      <c r="I261">
        <f>VLOOKUP(C261,Recipes!$A$2:$N$4,12,FALSE())</f>
        <v/>
      </c>
      <c r="J261">
        <f>IF(G261="","",H261-G261)</f>
        <v/>
      </c>
      <c r="K261">
        <f>IF(G261="","",IF(ABS(G261-H261)&lt;=$B$6*I261,"OK","NG"))</f>
        <v/>
      </c>
      <c r="L261">
        <f>IF(K261="","",IF(K261=D261,1,0))</f>
        <v/>
      </c>
      <c r="M261" t="inlineStr">
        <is>
          <t>S2</t>
        </is>
      </c>
      <c r="N261" s="15" t="n">
        <v>1</v>
      </c>
      <c r="O261" s="15" t="n">
        <v>0</v>
      </c>
      <c r="P261">
        <f>IF(M261="","",IF(M261=E261,1,0))</f>
        <v/>
      </c>
      <c r="Q261">
        <f>IF(K261="OK","-",IF(N261&lt;$B$7,"AMBIGUOUS","CONFIDENT"))</f>
        <v/>
      </c>
    </row>
    <row r="262">
      <c r="A262">
        <f>'Runs Z score'!A254</f>
        <v/>
      </c>
      <c r="B262">
        <f>'Runs Z score'!B254</f>
        <v/>
      </c>
      <c r="C262">
        <f>'Runs Z score'!C254</f>
        <v/>
      </c>
      <c r="D262">
        <f>'Runs Z score'!D254</f>
        <v/>
      </c>
      <c r="E262">
        <f>'Runs Z score'!E254</f>
        <v/>
      </c>
      <c r="F262">
        <f>'Runs Z score'!F254</f>
        <v/>
      </c>
      <c r="G262">
        <f>'Runs Z score'!G254</f>
        <v/>
      </c>
      <c r="H262">
        <f>VLOOKUP(C262,Recipes!$A$2:$N$4,10,FALSE())</f>
        <v/>
      </c>
      <c r="I262">
        <f>VLOOKUP(C262,Recipes!$A$2:$N$4,12,FALSE())</f>
        <v/>
      </c>
      <c r="J262">
        <f>IF(G262="","",H262-G262)</f>
        <v/>
      </c>
      <c r="K262">
        <f>IF(G262="","",IF(ABS(G262-H262)&lt;=$B$6*I262,"OK","NG"))</f>
        <v/>
      </c>
      <c r="L262">
        <f>IF(K262="","",IF(K262=D262,1,0))</f>
        <v/>
      </c>
      <c r="M262" t="inlineStr">
        <is>
          <t>S2</t>
        </is>
      </c>
      <c r="N262" s="15" t="n">
        <v>1</v>
      </c>
      <c r="O262" s="15" t="n">
        <v>0</v>
      </c>
      <c r="P262">
        <f>IF(M262="","",IF(M262=E262,1,0))</f>
        <v/>
      </c>
      <c r="Q262">
        <f>IF(K262="OK","-",IF(N262&lt;$B$7,"AMBIGUOUS","CONFIDENT"))</f>
        <v/>
      </c>
    </row>
    <row r="263">
      <c r="A263">
        <f>'Runs Z score'!A255</f>
        <v/>
      </c>
      <c r="B263">
        <f>'Runs Z score'!B255</f>
        <v/>
      </c>
      <c r="C263">
        <f>'Runs Z score'!C255</f>
        <v/>
      </c>
      <c r="D263">
        <f>'Runs Z score'!D255</f>
        <v/>
      </c>
      <c r="E263">
        <f>'Runs Z score'!E255</f>
        <v/>
      </c>
      <c r="F263">
        <f>'Runs Z score'!F255</f>
        <v/>
      </c>
      <c r="G263">
        <f>'Runs Z score'!G255</f>
        <v/>
      </c>
      <c r="H263">
        <f>VLOOKUP(C263,Recipes!$A$2:$N$4,10,FALSE())</f>
        <v/>
      </c>
      <c r="I263">
        <f>VLOOKUP(C263,Recipes!$A$2:$N$4,12,FALSE())</f>
        <v/>
      </c>
      <c r="J263">
        <f>IF(G263="","",H263-G263)</f>
        <v/>
      </c>
      <c r="K263">
        <f>IF(G263="","",IF(ABS(G263-H263)&lt;=$B$6*I263,"OK","NG"))</f>
        <v/>
      </c>
      <c r="L263">
        <f>IF(K263="","",IF(K263=D263,1,0))</f>
        <v/>
      </c>
      <c r="M263" t="inlineStr">
        <is>
          <t>S2</t>
        </is>
      </c>
      <c r="N263" s="15" t="n">
        <v>1</v>
      </c>
      <c r="O263" s="15" t="n">
        <v>0</v>
      </c>
      <c r="P263">
        <f>IF(M263="","",IF(M263=E263,1,0))</f>
        <v/>
      </c>
      <c r="Q263">
        <f>IF(K263="OK","-",IF(N263&lt;$B$7,"AMBIGUOUS","CONFIDENT"))</f>
        <v/>
      </c>
    </row>
    <row r="264">
      <c r="A264">
        <f>'Runs Z score'!A256</f>
        <v/>
      </c>
      <c r="B264">
        <f>'Runs Z score'!B256</f>
        <v/>
      </c>
      <c r="C264">
        <f>'Runs Z score'!C256</f>
        <v/>
      </c>
      <c r="D264">
        <f>'Runs Z score'!D256</f>
        <v/>
      </c>
      <c r="E264">
        <f>'Runs Z score'!E256</f>
        <v/>
      </c>
      <c r="F264">
        <f>'Runs Z score'!F256</f>
        <v/>
      </c>
      <c r="G264">
        <f>'Runs Z score'!G256</f>
        <v/>
      </c>
      <c r="H264">
        <f>VLOOKUP(C264,Recipes!$A$2:$N$4,10,FALSE())</f>
        <v/>
      </c>
      <c r="I264">
        <f>VLOOKUP(C264,Recipes!$A$2:$N$4,12,FALSE())</f>
        <v/>
      </c>
      <c r="J264">
        <f>IF(G264="","",H264-G264)</f>
        <v/>
      </c>
      <c r="K264">
        <f>IF(G264="","",IF(ABS(G264-H264)&lt;=$B$6*I264,"OK","NG"))</f>
        <v/>
      </c>
      <c r="L264">
        <f>IF(K264="","",IF(K264=D264,1,0))</f>
        <v/>
      </c>
      <c r="M264" t="inlineStr">
        <is>
          <t>S2</t>
        </is>
      </c>
      <c r="N264" s="15" t="n">
        <v>1</v>
      </c>
      <c r="O264" s="15" t="n">
        <v>0</v>
      </c>
      <c r="P264">
        <f>IF(M264="","",IF(M264=E264,1,0))</f>
        <v/>
      </c>
      <c r="Q264">
        <f>IF(K264="OK","-",IF(N264&lt;$B$7,"AMBIGUOUS","CONFIDENT"))</f>
        <v/>
      </c>
    </row>
    <row r="265">
      <c r="A265">
        <f>'Runs Z score'!A257</f>
        <v/>
      </c>
      <c r="B265">
        <f>'Runs Z score'!B257</f>
        <v/>
      </c>
      <c r="C265">
        <f>'Runs Z score'!C257</f>
        <v/>
      </c>
      <c r="D265">
        <f>'Runs Z score'!D257</f>
        <v/>
      </c>
      <c r="E265">
        <f>'Runs Z score'!E257</f>
        <v/>
      </c>
      <c r="F265">
        <f>'Runs Z score'!F257</f>
        <v/>
      </c>
      <c r="G265">
        <f>'Runs Z score'!G257</f>
        <v/>
      </c>
      <c r="H265">
        <f>VLOOKUP(C265,Recipes!$A$2:$N$4,10,FALSE())</f>
        <v/>
      </c>
      <c r="I265">
        <f>VLOOKUP(C265,Recipes!$A$2:$N$4,12,FALSE())</f>
        <v/>
      </c>
      <c r="J265">
        <f>IF(G265="","",H265-G265)</f>
        <v/>
      </c>
      <c r="K265">
        <f>IF(G265="","",IF(ABS(G265-H265)&lt;=$B$6*I265,"OK","NG"))</f>
        <v/>
      </c>
      <c r="L265">
        <f>IF(K265="","",IF(K265=D265,1,0))</f>
        <v/>
      </c>
      <c r="M265" t="inlineStr">
        <is>
          <t>S2</t>
        </is>
      </c>
      <c r="N265" s="15" t="n">
        <v>1</v>
      </c>
      <c r="O265" s="15" t="n">
        <v>0</v>
      </c>
      <c r="P265">
        <f>IF(M265="","",IF(M265=E265,1,0))</f>
        <v/>
      </c>
      <c r="Q265">
        <f>IF(K265="OK","-",IF(N265&lt;$B$7,"AMBIGUOUS","CONFIDENT"))</f>
        <v/>
      </c>
    </row>
    <row r="266">
      <c r="A266">
        <f>'Runs Z score'!A258</f>
        <v/>
      </c>
      <c r="B266">
        <f>'Runs Z score'!B258</f>
        <v/>
      </c>
      <c r="C266">
        <f>'Runs Z score'!C258</f>
        <v/>
      </c>
      <c r="D266">
        <f>'Runs Z score'!D258</f>
        <v/>
      </c>
      <c r="E266">
        <f>'Runs Z score'!E258</f>
        <v/>
      </c>
      <c r="F266">
        <f>'Runs Z score'!F258</f>
        <v/>
      </c>
      <c r="G266">
        <f>'Runs Z score'!G258</f>
        <v/>
      </c>
      <c r="H266">
        <f>VLOOKUP(C266,Recipes!$A$2:$N$4,10,FALSE())</f>
        <v/>
      </c>
      <c r="I266">
        <f>VLOOKUP(C266,Recipes!$A$2:$N$4,12,FALSE())</f>
        <v/>
      </c>
      <c r="J266">
        <f>IF(G266="","",H266-G266)</f>
        <v/>
      </c>
      <c r="K266">
        <f>IF(G266="","",IF(ABS(G266-H266)&lt;=$B$6*I266,"OK","NG"))</f>
        <v/>
      </c>
      <c r="L266">
        <f>IF(K266="","",IF(K266=D266,1,0))</f>
        <v/>
      </c>
      <c r="M266" t="inlineStr">
        <is>
          <t>S2</t>
        </is>
      </c>
      <c r="N266" s="15" t="n">
        <v>1</v>
      </c>
      <c r="O266" s="15" t="n">
        <v>0</v>
      </c>
      <c r="P266">
        <f>IF(M266="","",IF(M266=E266,1,0))</f>
        <v/>
      </c>
      <c r="Q266">
        <f>IF(K266="OK","-",IF(N266&lt;$B$7,"AMBIGUOUS","CONFIDENT"))</f>
        <v/>
      </c>
    </row>
    <row r="267">
      <c r="A267">
        <f>'Runs Z score'!A259</f>
        <v/>
      </c>
      <c r="B267">
        <f>'Runs Z score'!B259</f>
        <v/>
      </c>
      <c r="C267">
        <f>'Runs Z score'!C259</f>
        <v/>
      </c>
      <c r="D267">
        <f>'Runs Z score'!D259</f>
        <v/>
      </c>
      <c r="E267">
        <f>'Runs Z score'!E259</f>
        <v/>
      </c>
      <c r="F267">
        <f>'Runs Z score'!F259</f>
        <v/>
      </c>
      <c r="G267">
        <f>'Runs Z score'!G259</f>
        <v/>
      </c>
      <c r="H267">
        <f>VLOOKUP(C267,Recipes!$A$2:$N$4,10,FALSE())</f>
        <v/>
      </c>
      <c r="I267">
        <f>VLOOKUP(C267,Recipes!$A$2:$N$4,12,FALSE())</f>
        <v/>
      </c>
      <c r="J267">
        <f>IF(G267="","",H267-G267)</f>
        <v/>
      </c>
      <c r="K267">
        <f>IF(G267="","",IF(ABS(G267-H267)&lt;=$B$6*I267,"OK","NG"))</f>
        <v/>
      </c>
      <c r="L267">
        <f>IF(K267="","",IF(K267=D267,1,0))</f>
        <v/>
      </c>
      <c r="M267" t="inlineStr">
        <is>
          <t>S2</t>
        </is>
      </c>
      <c r="N267" s="15" t="n">
        <v>1</v>
      </c>
      <c r="O267" s="15" t="n">
        <v>0</v>
      </c>
      <c r="P267">
        <f>IF(M267="","",IF(M267=E267,1,0))</f>
        <v/>
      </c>
      <c r="Q267">
        <f>IF(K267="OK","-",IF(N267&lt;$B$7,"AMBIGUOUS","CONFIDENT"))</f>
        <v/>
      </c>
    </row>
    <row r="268">
      <c r="A268">
        <f>'Runs Z score'!A260</f>
        <v/>
      </c>
      <c r="B268">
        <f>'Runs Z score'!B260</f>
        <v/>
      </c>
      <c r="C268">
        <f>'Runs Z score'!C260</f>
        <v/>
      </c>
      <c r="D268">
        <f>'Runs Z score'!D260</f>
        <v/>
      </c>
      <c r="E268">
        <f>'Runs Z score'!E260</f>
        <v/>
      </c>
      <c r="F268">
        <f>'Runs Z score'!F260</f>
        <v/>
      </c>
      <c r="G268">
        <f>'Runs Z score'!G260</f>
        <v/>
      </c>
      <c r="H268">
        <f>VLOOKUP(C268,Recipes!$A$2:$N$4,10,FALSE())</f>
        <v/>
      </c>
      <c r="I268">
        <f>VLOOKUP(C268,Recipes!$A$2:$N$4,12,FALSE())</f>
        <v/>
      </c>
      <c r="J268">
        <f>IF(G268="","",H268-G268)</f>
        <v/>
      </c>
      <c r="K268">
        <f>IF(G268="","",IF(ABS(G268-H268)&lt;=$B$6*I268,"OK","NG"))</f>
        <v/>
      </c>
      <c r="L268">
        <f>IF(K268="","",IF(K268=D268,1,0))</f>
        <v/>
      </c>
      <c r="M268" t="inlineStr">
        <is>
          <t>S2</t>
        </is>
      </c>
      <c r="N268" s="15" t="n">
        <v>1</v>
      </c>
      <c r="O268" s="15" t="n">
        <v>0</v>
      </c>
      <c r="P268">
        <f>IF(M268="","",IF(M268=E268,1,0))</f>
        <v/>
      </c>
      <c r="Q268">
        <f>IF(K268="OK","-",IF(N268&lt;$B$7,"AMBIGUOUS","CONFIDENT"))</f>
        <v/>
      </c>
    </row>
    <row r="269">
      <c r="A269">
        <f>'Runs Z score'!A261</f>
        <v/>
      </c>
      <c r="B269">
        <f>'Runs Z score'!B261</f>
        <v/>
      </c>
      <c r="C269">
        <f>'Runs Z score'!C261</f>
        <v/>
      </c>
      <c r="D269">
        <f>'Runs Z score'!D261</f>
        <v/>
      </c>
      <c r="E269">
        <f>'Runs Z score'!E261</f>
        <v/>
      </c>
      <c r="F269">
        <f>'Runs Z score'!F261</f>
        <v/>
      </c>
      <c r="G269">
        <f>'Runs Z score'!G261</f>
        <v/>
      </c>
      <c r="H269">
        <f>VLOOKUP(C269,Recipes!$A$2:$N$4,10,FALSE())</f>
        <v/>
      </c>
      <c r="I269">
        <f>VLOOKUP(C269,Recipes!$A$2:$N$4,12,FALSE())</f>
        <v/>
      </c>
      <c r="J269">
        <f>IF(G269="","",H269-G269)</f>
        <v/>
      </c>
      <c r="K269">
        <f>IF(G269="","",IF(ABS(G269-H269)&lt;=$B$6*I269,"OK","NG"))</f>
        <v/>
      </c>
      <c r="L269">
        <f>IF(K269="","",IF(K269=D269,1,0))</f>
        <v/>
      </c>
      <c r="M269" t="inlineStr">
        <is>
          <t>S2</t>
        </is>
      </c>
      <c r="N269" s="15" t="n">
        <v>1</v>
      </c>
      <c r="O269" s="15" t="n">
        <v>0</v>
      </c>
      <c r="P269">
        <f>IF(M269="","",IF(M269=E269,1,0))</f>
        <v/>
      </c>
      <c r="Q269">
        <f>IF(K269="OK","-",IF(N269&lt;$B$7,"AMBIGUOUS","CONFIDENT"))</f>
        <v/>
      </c>
    </row>
    <row r="270">
      <c r="A270">
        <f>'Runs Z score'!A262</f>
        <v/>
      </c>
      <c r="B270">
        <f>'Runs Z score'!B262</f>
        <v/>
      </c>
      <c r="C270">
        <f>'Runs Z score'!C262</f>
        <v/>
      </c>
      <c r="D270">
        <f>'Runs Z score'!D262</f>
        <v/>
      </c>
      <c r="E270">
        <f>'Runs Z score'!E262</f>
        <v/>
      </c>
      <c r="F270">
        <f>'Runs Z score'!F262</f>
        <v/>
      </c>
      <c r="G270">
        <f>'Runs Z score'!G262</f>
        <v/>
      </c>
      <c r="H270">
        <f>VLOOKUP(C270,Recipes!$A$2:$N$4,10,FALSE())</f>
        <v/>
      </c>
      <c r="I270">
        <f>VLOOKUP(C270,Recipes!$A$2:$N$4,12,FALSE())</f>
        <v/>
      </c>
      <c r="J270">
        <f>IF(G270="","",H270-G270)</f>
        <v/>
      </c>
      <c r="K270">
        <f>IF(G270="","",IF(ABS(G270-H270)&lt;=$B$6*I270,"OK","NG"))</f>
        <v/>
      </c>
      <c r="L270">
        <f>IF(K270="","",IF(K270=D270,1,0))</f>
        <v/>
      </c>
      <c r="M270" t="inlineStr">
        <is>
          <t>S2</t>
        </is>
      </c>
      <c r="N270" s="15" t="n">
        <v>1</v>
      </c>
      <c r="O270" s="15" t="n">
        <v>0</v>
      </c>
      <c r="P270">
        <f>IF(M270="","",IF(M270=E270,1,0))</f>
        <v/>
      </c>
      <c r="Q270">
        <f>IF(K270="OK","-",IF(N270&lt;$B$7,"AMBIGUOUS","CONFIDENT"))</f>
        <v/>
      </c>
    </row>
    <row r="271">
      <c r="A271">
        <f>'Runs Z score'!A263</f>
        <v/>
      </c>
      <c r="B271">
        <f>'Runs Z score'!B263</f>
        <v/>
      </c>
      <c r="C271">
        <f>'Runs Z score'!C263</f>
        <v/>
      </c>
      <c r="D271">
        <f>'Runs Z score'!D263</f>
        <v/>
      </c>
      <c r="E271">
        <f>'Runs Z score'!E263</f>
        <v/>
      </c>
      <c r="F271">
        <f>'Runs Z score'!F263</f>
        <v/>
      </c>
      <c r="G271">
        <f>'Runs Z score'!G263</f>
        <v/>
      </c>
      <c r="H271">
        <f>VLOOKUP(C271,Recipes!$A$2:$N$4,10,FALSE())</f>
        <v/>
      </c>
      <c r="I271">
        <f>VLOOKUP(C271,Recipes!$A$2:$N$4,12,FALSE())</f>
        <v/>
      </c>
      <c r="J271">
        <f>IF(G271="","",H271-G271)</f>
        <v/>
      </c>
      <c r="K271">
        <f>IF(G271="","",IF(ABS(G271-H271)&lt;=$B$6*I271,"OK","NG"))</f>
        <v/>
      </c>
      <c r="L271">
        <f>IF(K271="","",IF(K271=D271,1,0))</f>
        <v/>
      </c>
      <c r="M271" t="inlineStr">
        <is>
          <t>S2</t>
        </is>
      </c>
      <c r="N271" s="15" t="n">
        <v>1</v>
      </c>
      <c r="O271" s="15" t="n">
        <v>0</v>
      </c>
      <c r="P271">
        <f>IF(M271="","",IF(M271=E271,1,0))</f>
        <v/>
      </c>
      <c r="Q271">
        <f>IF(K271="OK","-",IF(N271&lt;$B$7,"AMBIGUOUS","CONFIDENT"))</f>
        <v/>
      </c>
    </row>
    <row r="272">
      <c r="A272">
        <f>'Runs Z score'!A264</f>
        <v/>
      </c>
      <c r="B272">
        <f>'Runs Z score'!B264</f>
        <v/>
      </c>
      <c r="C272">
        <f>'Runs Z score'!C264</f>
        <v/>
      </c>
      <c r="D272">
        <f>'Runs Z score'!D264</f>
        <v/>
      </c>
      <c r="E272">
        <f>'Runs Z score'!E264</f>
        <v/>
      </c>
      <c r="F272">
        <f>'Runs Z score'!F264</f>
        <v/>
      </c>
      <c r="G272">
        <f>'Runs Z score'!G264</f>
        <v/>
      </c>
      <c r="H272">
        <f>VLOOKUP(C272,Recipes!$A$2:$N$4,10,FALSE())</f>
        <v/>
      </c>
      <c r="I272">
        <f>VLOOKUP(C272,Recipes!$A$2:$N$4,12,FALSE())</f>
        <v/>
      </c>
      <c r="J272">
        <f>IF(G272="","",H272-G272)</f>
        <v/>
      </c>
      <c r="K272">
        <f>IF(G272="","",IF(ABS(G272-H272)&lt;=$B$6*I272,"OK","NG"))</f>
        <v/>
      </c>
      <c r="L272">
        <f>IF(K272="","",IF(K272=D272,1,0))</f>
        <v/>
      </c>
      <c r="M272" t="inlineStr">
        <is>
          <t>S2</t>
        </is>
      </c>
      <c r="N272" s="15" t="n">
        <v>1</v>
      </c>
      <c r="O272" s="15" t="n">
        <v>0</v>
      </c>
      <c r="P272">
        <f>IF(M272="","",IF(M272=E272,1,0))</f>
        <v/>
      </c>
      <c r="Q272">
        <f>IF(K272="OK","-",IF(N272&lt;$B$7,"AMBIGUOUS","CONFIDENT"))</f>
        <v/>
      </c>
    </row>
    <row r="273">
      <c r="A273">
        <f>'Runs Z score'!A265</f>
        <v/>
      </c>
      <c r="B273">
        <f>'Runs Z score'!B265</f>
        <v/>
      </c>
      <c r="C273">
        <f>'Runs Z score'!C265</f>
        <v/>
      </c>
      <c r="D273">
        <f>'Runs Z score'!D265</f>
        <v/>
      </c>
      <c r="E273">
        <f>'Runs Z score'!E265</f>
        <v/>
      </c>
      <c r="F273">
        <f>'Runs Z score'!F265</f>
        <v/>
      </c>
      <c r="G273">
        <f>'Runs Z score'!G265</f>
        <v/>
      </c>
      <c r="H273">
        <f>VLOOKUP(C273,Recipes!$A$2:$N$4,10,FALSE())</f>
        <v/>
      </c>
      <c r="I273">
        <f>VLOOKUP(C273,Recipes!$A$2:$N$4,12,FALSE())</f>
        <v/>
      </c>
      <c r="J273">
        <f>IF(G273="","",H273-G273)</f>
        <v/>
      </c>
      <c r="K273">
        <f>IF(G273="","",IF(ABS(G273-H273)&lt;=$B$6*I273,"OK","NG"))</f>
        <v/>
      </c>
      <c r="L273">
        <f>IF(K273="","",IF(K273=D273,1,0))</f>
        <v/>
      </c>
      <c r="M273" t="inlineStr">
        <is>
          <t>S2</t>
        </is>
      </c>
      <c r="N273" s="15" t="n">
        <v>1</v>
      </c>
      <c r="O273" s="15" t="n">
        <v>0</v>
      </c>
      <c r="P273">
        <f>IF(M273="","",IF(M273=E273,1,0))</f>
        <v/>
      </c>
      <c r="Q273">
        <f>IF(K273="OK","-",IF(N273&lt;$B$7,"AMBIGUOUS","CONFIDENT"))</f>
        <v/>
      </c>
    </row>
    <row r="274">
      <c r="A274">
        <f>'Runs Z score'!A266</f>
        <v/>
      </c>
      <c r="B274">
        <f>'Runs Z score'!B266</f>
        <v/>
      </c>
      <c r="C274">
        <f>'Runs Z score'!C266</f>
        <v/>
      </c>
      <c r="D274">
        <f>'Runs Z score'!D266</f>
        <v/>
      </c>
      <c r="E274">
        <f>'Runs Z score'!E266</f>
        <v/>
      </c>
      <c r="F274">
        <f>'Runs Z score'!F266</f>
        <v/>
      </c>
      <c r="G274">
        <f>'Runs Z score'!G266</f>
        <v/>
      </c>
      <c r="H274">
        <f>VLOOKUP(C274,Recipes!$A$2:$N$4,10,FALSE())</f>
        <v/>
      </c>
      <c r="I274">
        <f>VLOOKUP(C274,Recipes!$A$2:$N$4,12,FALSE())</f>
        <v/>
      </c>
      <c r="J274">
        <f>IF(G274="","",H274-G274)</f>
        <v/>
      </c>
      <c r="K274">
        <f>IF(G274="","",IF(ABS(G274-H274)&lt;=$B$6*I274,"OK","NG"))</f>
        <v/>
      </c>
      <c r="L274">
        <f>IF(K274="","",IF(K274=D274,1,0))</f>
        <v/>
      </c>
      <c r="M274" t="inlineStr">
        <is>
          <t>S2</t>
        </is>
      </c>
      <c r="N274" s="15" t="n">
        <v>1</v>
      </c>
      <c r="O274" s="15" t="n">
        <v>0</v>
      </c>
      <c r="P274">
        <f>IF(M274="","",IF(M274=E274,1,0))</f>
        <v/>
      </c>
      <c r="Q274">
        <f>IF(K274="OK","-",IF(N274&lt;$B$7,"AMBIGUOUS","CONFIDENT"))</f>
        <v/>
      </c>
    </row>
    <row r="275">
      <c r="A275">
        <f>'Runs Z score'!A267</f>
        <v/>
      </c>
      <c r="B275">
        <f>'Runs Z score'!B267</f>
        <v/>
      </c>
      <c r="C275">
        <f>'Runs Z score'!C267</f>
        <v/>
      </c>
      <c r="D275">
        <f>'Runs Z score'!D267</f>
        <v/>
      </c>
      <c r="E275">
        <f>'Runs Z score'!E267</f>
        <v/>
      </c>
      <c r="F275">
        <f>'Runs Z score'!F267</f>
        <v/>
      </c>
      <c r="G275">
        <f>'Runs Z score'!G267</f>
        <v/>
      </c>
      <c r="H275">
        <f>VLOOKUP(C275,Recipes!$A$2:$N$4,10,FALSE())</f>
        <v/>
      </c>
      <c r="I275">
        <f>VLOOKUP(C275,Recipes!$A$2:$N$4,12,FALSE())</f>
        <v/>
      </c>
      <c r="J275">
        <f>IF(G275="","",H275-G275)</f>
        <v/>
      </c>
      <c r="K275">
        <f>IF(G275="","",IF(ABS(G275-H275)&lt;=$B$6*I275,"OK","NG"))</f>
        <v/>
      </c>
      <c r="L275">
        <f>IF(K275="","",IF(K275=D275,1,0))</f>
        <v/>
      </c>
      <c r="M275" t="inlineStr">
        <is>
          <t>S2</t>
        </is>
      </c>
      <c r="N275" s="15" t="n">
        <v>1</v>
      </c>
      <c r="O275" s="15" t="n">
        <v>0</v>
      </c>
      <c r="P275">
        <f>IF(M275="","",IF(M275=E275,1,0))</f>
        <v/>
      </c>
      <c r="Q275">
        <f>IF(K275="OK","-",IF(N275&lt;$B$7,"AMBIGUOUS","CONFIDENT"))</f>
        <v/>
      </c>
    </row>
    <row r="276">
      <c r="A276">
        <f>'Runs Z score'!A268</f>
        <v/>
      </c>
      <c r="B276">
        <f>'Runs Z score'!B268</f>
        <v/>
      </c>
      <c r="C276">
        <f>'Runs Z score'!C268</f>
        <v/>
      </c>
      <c r="D276">
        <f>'Runs Z score'!D268</f>
        <v/>
      </c>
      <c r="E276">
        <f>'Runs Z score'!E268</f>
        <v/>
      </c>
      <c r="F276">
        <f>'Runs Z score'!F268</f>
        <v/>
      </c>
      <c r="G276">
        <f>'Runs Z score'!G268</f>
        <v/>
      </c>
      <c r="H276">
        <f>VLOOKUP(C276,Recipes!$A$2:$N$4,10,FALSE())</f>
        <v/>
      </c>
      <c r="I276">
        <f>VLOOKUP(C276,Recipes!$A$2:$N$4,12,FALSE())</f>
        <v/>
      </c>
      <c r="J276">
        <f>IF(G276="","",H276-G276)</f>
        <v/>
      </c>
      <c r="K276">
        <f>IF(G276="","",IF(ABS(G276-H276)&lt;=$B$6*I276,"OK","NG"))</f>
        <v/>
      </c>
      <c r="L276">
        <f>IF(K276="","",IF(K276=D276,1,0))</f>
        <v/>
      </c>
      <c r="M276" t="inlineStr">
        <is>
          <t>S2</t>
        </is>
      </c>
      <c r="N276" s="15" t="n">
        <v>1</v>
      </c>
      <c r="O276" s="15" t="n">
        <v>0</v>
      </c>
      <c r="P276">
        <f>IF(M276="","",IF(M276=E276,1,0))</f>
        <v/>
      </c>
      <c r="Q276">
        <f>IF(K276="OK","-",IF(N276&lt;$B$7,"AMBIGUOUS","CONFIDENT"))</f>
        <v/>
      </c>
    </row>
    <row r="277">
      <c r="A277">
        <f>'Runs Z score'!A269</f>
        <v/>
      </c>
      <c r="B277">
        <f>'Runs Z score'!B269</f>
        <v/>
      </c>
      <c r="C277">
        <f>'Runs Z score'!C269</f>
        <v/>
      </c>
      <c r="D277">
        <f>'Runs Z score'!D269</f>
        <v/>
      </c>
      <c r="E277">
        <f>'Runs Z score'!E269</f>
        <v/>
      </c>
      <c r="F277">
        <f>'Runs Z score'!F269</f>
        <v/>
      </c>
      <c r="G277">
        <f>'Runs Z score'!G269</f>
        <v/>
      </c>
      <c r="H277">
        <f>VLOOKUP(C277,Recipes!$A$2:$N$4,10,FALSE())</f>
        <v/>
      </c>
      <c r="I277">
        <f>VLOOKUP(C277,Recipes!$A$2:$N$4,12,FALSE())</f>
        <v/>
      </c>
      <c r="J277">
        <f>IF(G277="","",H277-G277)</f>
        <v/>
      </c>
      <c r="K277">
        <f>IF(G277="","",IF(ABS(G277-H277)&lt;=$B$6*I277,"OK","NG"))</f>
        <v/>
      </c>
      <c r="L277">
        <f>IF(K277="","",IF(K277=D277,1,0))</f>
        <v/>
      </c>
      <c r="M277" t="inlineStr">
        <is>
          <t>S2</t>
        </is>
      </c>
      <c r="N277" s="15" t="n">
        <v>1</v>
      </c>
      <c r="O277" s="15" t="n">
        <v>0</v>
      </c>
      <c r="P277">
        <f>IF(M277="","",IF(M277=E277,1,0))</f>
        <v/>
      </c>
      <c r="Q277">
        <f>IF(K277="OK","-",IF(N277&lt;$B$7,"AMBIGUOUS","CONFIDENT"))</f>
        <v/>
      </c>
    </row>
    <row r="278">
      <c r="A278">
        <f>'Runs Z score'!A270</f>
        <v/>
      </c>
      <c r="B278">
        <f>'Runs Z score'!B270</f>
        <v/>
      </c>
      <c r="C278">
        <f>'Runs Z score'!C270</f>
        <v/>
      </c>
      <c r="D278">
        <f>'Runs Z score'!D270</f>
        <v/>
      </c>
      <c r="E278">
        <f>'Runs Z score'!E270</f>
        <v/>
      </c>
      <c r="F278">
        <f>'Runs Z score'!F270</f>
        <v/>
      </c>
      <c r="G278">
        <f>'Runs Z score'!G270</f>
        <v/>
      </c>
      <c r="H278">
        <f>VLOOKUP(C278,Recipes!$A$2:$N$4,10,FALSE())</f>
        <v/>
      </c>
      <c r="I278">
        <f>VLOOKUP(C278,Recipes!$A$2:$N$4,12,FALSE())</f>
        <v/>
      </c>
      <c r="J278">
        <f>IF(G278="","",H278-G278)</f>
        <v/>
      </c>
      <c r="K278">
        <f>IF(G278="","",IF(ABS(G278-H278)&lt;=$B$6*I278,"OK","NG"))</f>
        <v/>
      </c>
      <c r="L278">
        <f>IF(K278="","",IF(K278=D278,1,0))</f>
        <v/>
      </c>
      <c r="M278" t="inlineStr">
        <is>
          <t>S2</t>
        </is>
      </c>
      <c r="N278" s="15" t="n">
        <v>1</v>
      </c>
      <c r="O278" s="15" t="n">
        <v>0</v>
      </c>
      <c r="P278">
        <f>IF(M278="","",IF(M278=E278,1,0))</f>
        <v/>
      </c>
      <c r="Q278">
        <f>IF(K278="OK","-",IF(N278&lt;$B$7,"AMBIGUOUS","CONFIDENT"))</f>
        <v/>
      </c>
    </row>
    <row r="279">
      <c r="A279">
        <f>'Runs Z score'!A271</f>
        <v/>
      </c>
      <c r="B279">
        <f>'Runs Z score'!B271</f>
        <v/>
      </c>
      <c r="C279">
        <f>'Runs Z score'!C271</f>
        <v/>
      </c>
      <c r="D279">
        <f>'Runs Z score'!D271</f>
        <v/>
      </c>
      <c r="E279">
        <f>'Runs Z score'!E271</f>
        <v/>
      </c>
      <c r="F279">
        <f>'Runs Z score'!F271</f>
        <v/>
      </c>
      <c r="G279">
        <f>'Runs Z score'!G271</f>
        <v/>
      </c>
      <c r="H279">
        <f>VLOOKUP(C279,Recipes!$A$2:$N$4,10,FALSE())</f>
        <v/>
      </c>
      <c r="I279">
        <f>VLOOKUP(C279,Recipes!$A$2:$N$4,12,FALSE())</f>
        <v/>
      </c>
      <c r="J279">
        <f>IF(G279="","",H279-G279)</f>
        <v/>
      </c>
      <c r="K279">
        <f>IF(G279="","",IF(ABS(G279-H279)&lt;=$B$6*I279,"OK","NG"))</f>
        <v/>
      </c>
      <c r="L279">
        <f>IF(K279="","",IF(K279=D279,1,0))</f>
        <v/>
      </c>
      <c r="M279" t="inlineStr">
        <is>
          <t>S2</t>
        </is>
      </c>
      <c r="N279" s="15" t="n">
        <v>1</v>
      </c>
      <c r="O279" s="15" t="n">
        <v>0</v>
      </c>
      <c r="P279">
        <f>IF(M279="","",IF(M279=E279,1,0))</f>
        <v/>
      </c>
      <c r="Q279">
        <f>IF(K279="OK","-",IF(N279&lt;$B$7,"AMBIGUOUS","CONFIDENT"))</f>
        <v/>
      </c>
    </row>
    <row r="280">
      <c r="A280">
        <f>'Runs Z score'!A272</f>
        <v/>
      </c>
      <c r="B280">
        <f>'Runs Z score'!B272</f>
        <v/>
      </c>
      <c r="C280">
        <f>'Runs Z score'!C272</f>
        <v/>
      </c>
      <c r="D280">
        <f>'Runs Z score'!D272</f>
        <v/>
      </c>
      <c r="E280">
        <f>'Runs Z score'!E272</f>
        <v/>
      </c>
      <c r="F280">
        <f>'Runs Z score'!F272</f>
        <v/>
      </c>
      <c r="G280">
        <f>'Runs Z score'!G272</f>
        <v/>
      </c>
      <c r="H280">
        <f>VLOOKUP(C280,Recipes!$A$2:$N$4,10,FALSE())</f>
        <v/>
      </c>
      <c r="I280">
        <f>VLOOKUP(C280,Recipes!$A$2:$N$4,12,FALSE())</f>
        <v/>
      </c>
      <c r="J280">
        <f>IF(G280="","",H280-G280)</f>
        <v/>
      </c>
      <c r="K280">
        <f>IF(G280="","",IF(ABS(G280-H280)&lt;=$B$6*I280,"OK","NG"))</f>
        <v/>
      </c>
      <c r="L280">
        <f>IF(K280="","",IF(K280=D280,1,0))</f>
        <v/>
      </c>
      <c r="M280" t="inlineStr">
        <is>
          <t>S2</t>
        </is>
      </c>
      <c r="N280" s="15" t="n">
        <v>1</v>
      </c>
      <c r="O280" s="15" t="n">
        <v>0</v>
      </c>
      <c r="P280">
        <f>IF(M280="","",IF(M280=E280,1,0))</f>
        <v/>
      </c>
      <c r="Q280">
        <f>IF(K280="OK","-",IF(N280&lt;$B$7,"AMBIGUOUS","CONFIDENT"))</f>
        <v/>
      </c>
    </row>
    <row r="281">
      <c r="A281">
        <f>'Runs Z score'!A273</f>
        <v/>
      </c>
      <c r="B281">
        <f>'Runs Z score'!B273</f>
        <v/>
      </c>
      <c r="C281">
        <f>'Runs Z score'!C273</f>
        <v/>
      </c>
      <c r="D281">
        <f>'Runs Z score'!D273</f>
        <v/>
      </c>
      <c r="E281">
        <f>'Runs Z score'!E273</f>
        <v/>
      </c>
      <c r="F281">
        <f>'Runs Z score'!F273</f>
        <v/>
      </c>
      <c r="G281">
        <f>'Runs Z score'!G273</f>
        <v/>
      </c>
      <c r="H281">
        <f>VLOOKUP(C281,Recipes!$A$2:$N$4,10,FALSE())</f>
        <v/>
      </c>
      <c r="I281">
        <f>VLOOKUP(C281,Recipes!$A$2:$N$4,12,FALSE())</f>
        <v/>
      </c>
      <c r="J281">
        <f>IF(G281="","",H281-G281)</f>
        <v/>
      </c>
      <c r="K281">
        <f>IF(G281="","",IF(ABS(G281-H281)&lt;=$B$6*I281,"OK","NG"))</f>
        <v/>
      </c>
      <c r="L281">
        <f>IF(K281="","",IF(K281=D281,1,0))</f>
        <v/>
      </c>
      <c r="M281" t="inlineStr">
        <is>
          <t>NONE</t>
        </is>
      </c>
      <c r="N281" s="15" t="n">
        <v>1</v>
      </c>
      <c r="O281" s="15" t="n">
        <v>0</v>
      </c>
      <c r="P281">
        <f>IF(M281="","",IF(M281=E281,1,0))</f>
        <v/>
      </c>
      <c r="Q281">
        <f>IF(K281="OK","-",IF(N281&lt;$B$7,"AMBIGUOUS","CONFIDENT"))</f>
        <v/>
      </c>
    </row>
    <row r="282">
      <c r="A282">
        <f>'Runs Z score'!A274</f>
        <v/>
      </c>
      <c r="B282">
        <f>'Runs Z score'!B274</f>
        <v/>
      </c>
      <c r="C282">
        <f>'Runs Z score'!C274</f>
        <v/>
      </c>
      <c r="D282">
        <f>'Runs Z score'!D274</f>
        <v/>
      </c>
      <c r="E282">
        <f>'Runs Z score'!E274</f>
        <v/>
      </c>
      <c r="F282">
        <f>'Runs Z score'!F274</f>
        <v/>
      </c>
      <c r="G282">
        <f>'Runs Z score'!G274</f>
        <v/>
      </c>
      <c r="H282">
        <f>VLOOKUP(C282,Recipes!$A$2:$N$4,10,FALSE())</f>
        <v/>
      </c>
      <c r="I282">
        <f>VLOOKUP(C282,Recipes!$A$2:$N$4,12,FALSE())</f>
        <v/>
      </c>
      <c r="J282">
        <f>IF(G282="","",H282-G282)</f>
        <v/>
      </c>
      <c r="K282">
        <f>IF(G282="","",IF(ABS(G282-H282)&lt;=$B$6*I282,"OK","NG"))</f>
        <v/>
      </c>
      <c r="L282">
        <f>IF(K282="","",IF(K282=D282,1,0))</f>
        <v/>
      </c>
      <c r="M282" t="inlineStr">
        <is>
          <t>NONE</t>
        </is>
      </c>
      <c r="N282" s="15" t="n">
        <v>1</v>
      </c>
      <c r="O282" s="15" t="n">
        <v>0</v>
      </c>
      <c r="P282">
        <f>IF(M282="","",IF(M282=E282,1,0))</f>
        <v/>
      </c>
      <c r="Q282">
        <f>IF(K282="OK","-",IF(N282&lt;$B$7,"AMBIGUOUS","CONFIDENT"))</f>
        <v/>
      </c>
    </row>
    <row r="283">
      <c r="A283">
        <f>'Runs Z score'!A275</f>
        <v/>
      </c>
      <c r="B283">
        <f>'Runs Z score'!B275</f>
        <v/>
      </c>
      <c r="C283">
        <f>'Runs Z score'!C275</f>
        <v/>
      </c>
      <c r="D283">
        <f>'Runs Z score'!D275</f>
        <v/>
      </c>
      <c r="E283">
        <f>'Runs Z score'!E275</f>
        <v/>
      </c>
      <c r="F283">
        <f>'Runs Z score'!F275</f>
        <v/>
      </c>
      <c r="G283">
        <f>'Runs Z score'!G275</f>
        <v/>
      </c>
      <c r="H283">
        <f>VLOOKUP(C283,Recipes!$A$2:$N$4,10,FALSE())</f>
        <v/>
      </c>
      <c r="I283">
        <f>VLOOKUP(C283,Recipes!$A$2:$N$4,12,FALSE())</f>
        <v/>
      </c>
      <c r="J283">
        <f>IF(G283="","",H283-G283)</f>
        <v/>
      </c>
      <c r="K283">
        <f>IF(G283="","",IF(ABS(G283-H283)&lt;=$B$6*I283,"OK","NG"))</f>
        <v/>
      </c>
      <c r="L283">
        <f>IF(K283="","",IF(K283=D283,1,0))</f>
        <v/>
      </c>
      <c r="M283" t="inlineStr">
        <is>
          <t>NONE</t>
        </is>
      </c>
      <c r="N283" s="15" t="n">
        <v>1</v>
      </c>
      <c r="O283" s="15" t="n">
        <v>0</v>
      </c>
      <c r="P283">
        <f>IF(M283="","",IF(M283=E283,1,0))</f>
        <v/>
      </c>
      <c r="Q283">
        <f>IF(K283="OK","-",IF(N283&lt;$B$7,"AMBIGUOUS","CONFIDENT"))</f>
        <v/>
      </c>
    </row>
    <row r="284">
      <c r="A284">
        <f>'Runs Z score'!A276</f>
        <v/>
      </c>
      <c r="B284">
        <f>'Runs Z score'!B276</f>
        <v/>
      </c>
      <c r="C284">
        <f>'Runs Z score'!C276</f>
        <v/>
      </c>
      <c r="D284">
        <f>'Runs Z score'!D276</f>
        <v/>
      </c>
      <c r="E284">
        <f>'Runs Z score'!E276</f>
        <v/>
      </c>
      <c r="F284">
        <f>'Runs Z score'!F276</f>
        <v/>
      </c>
      <c r="G284">
        <f>'Runs Z score'!G276</f>
        <v/>
      </c>
      <c r="H284">
        <f>VLOOKUP(C284,Recipes!$A$2:$N$4,10,FALSE())</f>
        <v/>
      </c>
      <c r="I284">
        <f>VLOOKUP(C284,Recipes!$A$2:$N$4,12,FALSE())</f>
        <v/>
      </c>
      <c r="J284">
        <f>IF(G284="","",H284-G284)</f>
        <v/>
      </c>
      <c r="K284">
        <f>IF(G284="","",IF(ABS(G284-H284)&lt;=$B$6*I284,"OK","NG"))</f>
        <v/>
      </c>
      <c r="L284">
        <f>IF(K284="","",IF(K284=D284,1,0))</f>
        <v/>
      </c>
      <c r="M284" t="inlineStr">
        <is>
          <t>NONE</t>
        </is>
      </c>
      <c r="N284" s="15" t="n">
        <v>1</v>
      </c>
      <c r="O284" s="15" t="n">
        <v>0</v>
      </c>
      <c r="P284">
        <f>IF(M284="","",IF(M284=E284,1,0))</f>
        <v/>
      </c>
      <c r="Q284">
        <f>IF(K284="OK","-",IF(N284&lt;$B$7,"AMBIGUOUS","CONFIDENT"))</f>
        <v/>
      </c>
    </row>
    <row r="285">
      <c r="A285">
        <f>'Runs Z score'!A277</f>
        <v/>
      </c>
      <c r="B285">
        <f>'Runs Z score'!B277</f>
        <v/>
      </c>
      <c r="C285">
        <f>'Runs Z score'!C277</f>
        <v/>
      </c>
      <c r="D285">
        <f>'Runs Z score'!D277</f>
        <v/>
      </c>
      <c r="E285">
        <f>'Runs Z score'!E277</f>
        <v/>
      </c>
      <c r="F285">
        <f>'Runs Z score'!F277</f>
        <v/>
      </c>
      <c r="G285">
        <f>'Runs Z score'!G277</f>
        <v/>
      </c>
      <c r="H285">
        <f>VLOOKUP(C285,Recipes!$A$2:$N$4,10,FALSE())</f>
        <v/>
      </c>
      <c r="I285">
        <f>VLOOKUP(C285,Recipes!$A$2:$N$4,12,FALSE())</f>
        <v/>
      </c>
      <c r="J285">
        <f>IF(G285="","",H285-G285)</f>
        <v/>
      </c>
      <c r="K285">
        <f>IF(G285="","",IF(ABS(G285-H285)&lt;=$B$6*I285,"OK","NG"))</f>
        <v/>
      </c>
      <c r="L285">
        <f>IF(K285="","",IF(K285=D285,1,0))</f>
        <v/>
      </c>
      <c r="M285" t="inlineStr">
        <is>
          <t>NONE</t>
        </is>
      </c>
      <c r="N285" s="15" t="n">
        <v>1</v>
      </c>
      <c r="O285" s="15" t="n">
        <v>0</v>
      </c>
      <c r="P285">
        <f>IF(M285="","",IF(M285=E285,1,0))</f>
        <v/>
      </c>
      <c r="Q285">
        <f>IF(K285="OK","-",IF(N285&lt;$B$7,"AMBIGUOUS","CONFIDENT"))</f>
        <v/>
      </c>
    </row>
    <row r="286">
      <c r="A286">
        <f>'Runs Z score'!A278</f>
        <v/>
      </c>
      <c r="B286">
        <f>'Runs Z score'!B278</f>
        <v/>
      </c>
      <c r="C286">
        <f>'Runs Z score'!C278</f>
        <v/>
      </c>
      <c r="D286">
        <f>'Runs Z score'!D278</f>
        <v/>
      </c>
      <c r="E286">
        <f>'Runs Z score'!E278</f>
        <v/>
      </c>
      <c r="F286">
        <f>'Runs Z score'!F278</f>
        <v/>
      </c>
      <c r="G286">
        <f>'Runs Z score'!G278</f>
        <v/>
      </c>
      <c r="H286">
        <f>VLOOKUP(C286,Recipes!$A$2:$N$4,10,FALSE())</f>
        <v/>
      </c>
      <c r="I286">
        <f>VLOOKUP(C286,Recipes!$A$2:$N$4,12,FALSE())</f>
        <v/>
      </c>
      <c r="J286">
        <f>IF(G286="","",H286-G286)</f>
        <v/>
      </c>
      <c r="K286">
        <f>IF(G286="","",IF(ABS(G286-H286)&lt;=$B$6*I286,"OK","NG"))</f>
        <v/>
      </c>
      <c r="L286">
        <f>IF(K286="","",IF(K286=D286,1,0))</f>
        <v/>
      </c>
      <c r="M286" t="inlineStr">
        <is>
          <t>NONE</t>
        </is>
      </c>
      <c r="N286" s="15" t="n">
        <v>1</v>
      </c>
      <c r="O286" s="15" t="n">
        <v>0</v>
      </c>
      <c r="P286">
        <f>IF(M286="","",IF(M286=E286,1,0))</f>
        <v/>
      </c>
      <c r="Q286">
        <f>IF(K286="OK","-",IF(N286&lt;$B$7,"AMBIGUOUS","CONFIDENT"))</f>
        <v/>
      </c>
    </row>
    <row r="287">
      <c r="A287">
        <f>'Runs Z score'!A279</f>
        <v/>
      </c>
      <c r="B287">
        <f>'Runs Z score'!B279</f>
        <v/>
      </c>
      <c r="C287">
        <f>'Runs Z score'!C279</f>
        <v/>
      </c>
      <c r="D287">
        <f>'Runs Z score'!D279</f>
        <v/>
      </c>
      <c r="E287">
        <f>'Runs Z score'!E279</f>
        <v/>
      </c>
      <c r="F287">
        <f>'Runs Z score'!F279</f>
        <v/>
      </c>
      <c r="G287">
        <f>'Runs Z score'!G279</f>
        <v/>
      </c>
      <c r="H287">
        <f>VLOOKUP(C287,Recipes!$A$2:$N$4,10,FALSE())</f>
        <v/>
      </c>
      <c r="I287">
        <f>VLOOKUP(C287,Recipes!$A$2:$N$4,12,FALSE())</f>
        <v/>
      </c>
      <c r="J287">
        <f>IF(G287="","",H287-G287)</f>
        <v/>
      </c>
      <c r="K287">
        <f>IF(G287="","",IF(ABS(G287-H287)&lt;=$B$6*I287,"OK","NG"))</f>
        <v/>
      </c>
      <c r="L287">
        <f>IF(K287="","",IF(K287=D287,1,0))</f>
        <v/>
      </c>
      <c r="M287" t="inlineStr">
        <is>
          <t>NONE</t>
        </is>
      </c>
      <c r="N287" s="15" t="n">
        <v>1</v>
      </c>
      <c r="O287" s="15" t="n">
        <v>0</v>
      </c>
      <c r="P287">
        <f>IF(M287="","",IF(M287=E287,1,0))</f>
        <v/>
      </c>
      <c r="Q287">
        <f>IF(K287="OK","-",IF(N287&lt;$B$7,"AMBIGUOUS","CONFIDENT"))</f>
        <v/>
      </c>
    </row>
    <row r="288">
      <c r="A288">
        <f>'Runs Z score'!A280</f>
        <v/>
      </c>
      <c r="B288">
        <f>'Runs Z score'!B280</f>
        <v/>
      </c>
      <c r="C288">
        <f>'Runs Z score'!C280</f>
        <v/>
      </c>
      <c r="D288">
        <f>'Runs Z score'!D280</f>
        <v/>
      </c>
      <c r="E288">
        <f>'Runs Z score'!E280</f>
        <v/>
      </c>
      <c r="F288">
        <f>'Runs Z score'!F280</f>
        <v/>
      </c>
      <c r="G288">
        <f>'Runs Z score'!G280</f>
        <v/>
      </c>
      <c r="H288">
        <f>VLOOKUP(C288,Recipes!$A$2:$N$4,10,FALSE())</f>
        <v/>
      </c>
      <c r="I288">
        <f>VLOOKUP(C288,Recipes!$A$2:$N$4,12,FALSE())</f>
        <v/>
      </c>
      <c r="J288">
        <f>IF(G288="","",H288-G288)</f>
        <v/>
      </c>
      <c r="K288">
        <f>IF(G288="","",IF(ABS(G288-H288)&lt;=$B$6*I288,"OK","NG"))</f>
        <v/>
      </c>
      <c r="L288">
        <f>IF(K288="","",IF(K288=D288,1,0))</f>
        <v/>
      </c>
      <c r="M288" t="inlineStr">
        <is>
          <t>NONE</t>
        </is>
      </c>
      <c r="N288" s="15" t="n">
        <v>1</v>
      </c>
      <c r="O288" s="15" t="n">
        <v>0</v>
      </c>
      <c r="P288">
        <f>IF(M288="","",IF(M288=E288,1,0))</f>
        <v/>
      </c>
      <c r="Q288">
        <f>IF(K288="OK","-",IF(N288&lt;$B$7,"AMBIGUOUS","CONFIDENT"))</f>
        <v/>
      </c>
    </row>
    <row r="289">
      <c r="A289">
        <f>'Runs Z score'!A281</f>
        <v/>
      </c>
      <c r="B289">
        <f>'Runs Z score'!B281</f>
        <v/>
      </c>
      <c r="C289">
        <f>'Runs Z score'!C281</f>
        <v/>
      </c>
      <c r="D289">
        <f>'Runs Z score'!D281</f>
        <v/>
      </c>
      <c r="E289">
        <f>'Runs Z score'!E281</f>
        <v/>
      </c>
      <c r="F289">
        <f>'Runs Z score'!F281</f>
        <v/>
      </c>
      <c r="G289">
        <f>'Runs Z score'!G281</f>
        <v/>
      </c>
      <c r="H289">
        <f>VLOOKUP(C289,Recipes!$A$2:$N$4,10,FALSE())</f>
        <v/>
      </c>
      <c r="I289">
        <f>VLOOKUP(C289,Recipes!$A$2:$N$4,12,FALSE())</f>
        <v/>
      </c>
      <c r="J289">
        <f>IF(G289="","",H289-G289)</f>
        <v/>
      </c>
      <c r="K289">
        <f>IF(G289="","",IF(ABS(G289-H289)&lt;=$B$6*I289,"OK","NG"))</f>
        <v/>
      </c>
      <c r="L289">
        <f>IF(K289="","",IF(K289=D289,1,0))</f>
        <v/>
      </c>
      <c r="M289" t="inlineStr">
        <is>
          <t>NONE</t>
        </is>
      </c>
      <c r="N289" s="15" t="n">
        <v>1</v>
      </c>
      <c r="O289" s="15" t="n">
        <v>0</v>
      </c>
      <c r="P289">
        <f>IF(M289="","",IF(M289=E289,1,0))</f>
        <v/>
      </c>
      <c r="Q289">
        <f>IF(K289="OK","-",IF(N289&lt;$B$7,"AMBIGUOUS","CONFIDENT"))</f>
        <v/>
      </c>
    </row>
    <row r="290">
      <c r="A290">
        <f>'Runs Z score'!A282</f>
        <v/>
      </c>
      <c r="B290">
        <f>'Runs Z score'!B282</f>
        <v/>
      </c>
      <c r="C290">
        <f>'Runs Z score'!C282</f>
        <v/>
      </c>
      <c r="D290">
        <f>'Runs Z score'!D282</f>
        <v/>
      </c>
      <c r="E290">
        <f>'Runs Z score'!E282</f>
        <v/>
      </c>
      <c r="F290">
        <f>'Runs Z score'!F282</f>
        <v/>
      </c>
      <c r="G290">
        <f>'Runs Z score'!G282</f>
        <v/>
      </c>
      <c r="H290">
        <f>VLOOKUP(C290,Recipes!$A$2:$N$4,10,FALSE())</f>
        <v/>
      </c>
      <c r="I290">
        <f>VLOOKUP(C290,Recipes!$A$2:$N$4,12,FALSE())</f>
        <v/>
      </c>
      <c r="J290">
        <f>IF(G290="","",H290-G290)</f>
        <v/>
      </c>
      <c r="K290">
        <f>IF(G290="","",IF(ABS(G290-H290)&lt;=$B$6*I290,"OK","NG"))</f>
        <v/>
      </c>
      <c r="L290">
        <f>IF(K290="","",IF(K290=D290,1,0))</f>
        <v/>
      </c>
      <c r="M290" t="inlineStr">
        <is>
          <t>NONE</t>
        </is>
      </c>
      <c r="N290" s="15" t="n">
        <v>1</v>
      </c>
      <c r="O290" s="15" t="n">
        <v>0</v>
      </c>
      <c r="P290">
        <f>IF(M290="","",IF(M290=E290,1,0))</f>
        <v/>
      </c>
      <c r="Q290">
        <f>IF(K290="OK","-",IF(N290&lt;$B$7,"AMBIGUOUS","CONFIDENT"))</f>
        <v/>
      </c>
    </row>
    <row r="291">
      <c r="A291">
        <f>'Runs Z score'!A283</f>
        <v/>
      </c>
      <c r="B291">
        <f>'Runs Z score'!B283</f>
        <v/>
      </c>
      <c r="C291">
        <f>'Runs Z score'!C283</f>
        <v/>
      </c>
      <c r="D291">
        <f>'Runs Z score'!D283</f>
        <v/>
      </c>
      <c r="E291">
        <f>'Runs Z score'!E283</f>
        <v/>
      </c>
      <c r="F291">
        <f>'Runs Z score'!F283</f>
        <v/>
      </c>
      <c r="G291">
        <f>'Runs Z score'!G283</f>
        <v/>
      </c>
      <c r="H291">
        <f>VLOOKUP(C291,Recipes!$A$2:$N$4,10,FALSE())</f>
        <v/>
      </c>
      <c r="I291">
        <f>VLOOKUP(C291,Recipes!$A$2:$N$4,12,FALSE())</f>
        <v/>
      </c>
      <c r="J291">
        <f>IF(G291="","",H291-G291)</f>
        <v/>
      </c>
      <c r="K291">
        <f>IF(G291="","",IF(ABS(G291-H291)&lt;=$B$6*I291,"OK","NG"))</f>
        <v/>
      </c>
      <c r="L291">
        <f>IF(K291="","",IF(K291=D291,1,0))</f>
        <v/>
      </c>
      <c r="M291" t="inlineStr">
        <is>
          <t>NONE</t>
        </is>
      </c>
      <c r="N291" s="15" t="n">
        <v>1</v>
      </c>
      <c r="O291" s="15" t="n">
        <v>0</v>
      </c>
      <c r="P291">
        <f>IF(M291="","",IF(M291=E291,1,0))</f>
        <v/>
      </c>
      <c r="Q291">
        <f>IF(K291="OK","-",IF(N291&lt;$B$7,"AMBIGUOUS","CONFIDENT"))</f>
        <v/>
      </c>
    </row>
    <row r="292">
      <c r="A292">
        <f>'Runs Z score'!A284</f>
        <v/>
      </c>
      <c r="B292">
        <f>'Runs Z score'!B284</f>
        <v/>
      </c>
      <c r="C292">
        <f>'Runs Z score'!C284</f>
        <v/>
      </c>
      <c r="D292">
        <f>'Runs Z score'!D284</f>
        <v/>
      </c>
      <c r="E292">
        <f>'Runs Z score'!E284</f>
        <v/>
      </c>
      <c r="F292">
        <f>'Runs Z score'!F284</f>
        <v/>
      </c>
      <c r="G292">
        <f>'Runs Z score'!G284</f>
        <v/>
      </c>
      <c r="H292">
        <f>VLOOKUP(C292,Recipes!$A$2:$N$4,10,FALSE())</f>
        <v/>
      </c>
      <c r="I292">
        <f>VLOOKUP(C292,Recipes!$A$2:$N$4,12,FALSE())</f>
        <v/>
      </c>
      <c r="J292">
        <f>IF(G292="","",H292-G292)</f>
        <v/>
      </c>
      <c r="K292">
        <f>IF(G292="","",IF(ABS(G292-H292)&lt;=$B$6*I292,"OK","NG"))</f>
        <v/>
      </c>
      <c r="L292">
        <f>IF(K292="","",IF(K292=D292,1,0))</f>
        <v/>
      </c>
      <c r="M292" t="inlineStr">
        <is>
          <t>NONE</t>
        </is>
      </c>
      <c r="N292" s="15" t="n">
        <v>1</v>
      </c>
      <c r="O292" s="15" t="n">
        <v>0</v>
      </c>
      <c r="P292">
        <f>IF(M292="","",IF(M292=E292,1,0))</f>
        <v/>
      </c>
      <c r="Q292">
        <f>IF(K292="OK","-",IF(N292&lt;$B$7,"AMBIGUOUS","CONFIDENT"))</f>
        <v/>
      </c>
    </row>
    <row r="293">
      <c r="A293">
        <f>'Runs Z score'!A285</f>
        <v/>
      </c>
      <c r="B293">
        <f>'Runs Z score'!B285</f>
        <v/>
      </c>
      <c r="C293">
        <f>'Runs Z score'!C285</f>
        <v/>
      </c>
      <c r="D293">
        <f>'Runs Z score'!D285</f>
        <v/>
      </c>
      <c r="E293">
        <f>'Runs Z score'!E285</f>
        <v/>
      </c>
      <c r="F293">
        <f>'Runs Z score'!F285</f>
        <v/>
      </c>
      <c r="G293">
        <f>'Runs Z score'!G285</f>
        <v/>
      </c>
      <c r="H293">
        <f>VLOOKUP(C293,Recipes!$A$2:$N$4,10,FALSE())</f>
        <v/>
      </c>
      <c r="I293">
        <f>VLOOKUP(C293,Recipes!$A$2:$N$4,12,FALSE())</f>
        <v/>
      </c>
      <c r="J293">
        <f>IF(G293="","",H293-G293)</f>
        <v/>
      </c>
      <c r="K293">
        <f>IF(G293="","",IF(ABS(G293-H293)&lt;=$B$6*I293,"OK","NG"))</f>
        <v/>
      </c>
      <c r="L293">
        <f>IF(K293="","",IF(K293=D293,1,0))</f>
        <v/>
      </c>
      <c r="M293" t="inlineStr">
        <is>
          <t>NONE</t>
        </is>
      </c>
      <c r="N293" s="15" t="n">
        <v>1</v>
      </c>
      <c r="O293" s="15" t="n">
        <v>0</v>
      </c>
      <c r="P293">
        <f>IF(M293="","",IF(M293=E293,1,0))</f>
        <v/>
      </c>
      <c r="Q293">
        <f>IF(K293="OK","-",IF(N293&lt;$B$7,"AMBIGUOUS","CONFIDENT"))</f>
        <v/>
      </c>
    </row>
    <row r="294">
      <c r="A294">
        <f>'Runs Z score'!A286</f>
        <v/>
      </c>
      <c r="B294">
        <f>'Runs Z score'!B286</f>
        <v/>
      </c>
      <c r="C294">
        <f>'Runs Z score'!C286</f>
        <v/>
      </c>
      <c r="D294">
        <f>'Runs Z score'!D286</f>
        <v/>
      </c>
      <c r="E294">
        <f>'Runs Z score'!E286</f>
        <v/>
      </c>
      <c r="F294">
        <f>'Runs Z score'!F286</f>
        <v/>
      </c>
      <c r="G294">
        <f>'Runs Z score'!G286</f>
        <v/>
      </c>
      <c r="H294">
        <f>VLOOKUP(C294,Recipes!$A$2:$N$4,10,FALSE())</f>
        <v/>
      </c>
      <c r="I294">
        <f>VLOOKUP(C294,Recipes!$A$2:$N$4,12,FALSE())</f>
        <v/>
      </c>
      <c r="J294">
        <f>IF(G294="","",H294-G294)</f>
        <v/>
      </c>
      <c r="K294">
        <f>IF(G294="","",IF(ABS(G294-H294)&lt;=$B$6*I294,"OK","NG"))</f>
        <v/>
      </c>
      <c r="L294">
        <f>IF(K294="","",IF(K294=D294,1,0))</f>
        <v/>
      </c>
      <c r="M294" t="inlineStr">
        <is>
          <t>NONE</t>
        </is>
      </c>
      <c r="N294" s="15" t="n">
        <v>1</v>
      </c>
      <c r="O294" s="15" t="n">
        <v>0</v>
      </c>
      <c r="P294">
        <f>IF(M294="","",IF(M294=E294,1,0))</f>
        <v/>
      </c>
      <c r="Q294">
        <f>IF(K294="OK","-",IF(N294&lt;$B$7,"AMBIGUOUS","CONFIDENT"))</f>
        <v/>
      </c>
    </row>
    <row r="295">
      <c r="A295">
        <f>'Runs Z score'!A287</f>
        <v/>
      </c>
      <c r="B295">
        <f>'Runs Z score'!B287</f>
        <v/>
      </c>
      <c r="C295">
        <f>'Runs Z score'!C287</f>
        <v/>
      </c>
      <c r="D295">
        <f>'Runs Z score'!D287</f>
        <v/>
      </c>
      <c r="E295">
        <f>'Runs Z score'!E287</f>
        <v/>
      </c>
      <c r="F295">
        <f>'Runs Z score'!F287</f>
        <v/>
      </c>
      <c r="G295">
        <f>'Runs Z score'!G287</f>
        <v/>
      </c>
      <c r="H295">
        <f>VLOOKUP(C295,Recipes!$A$2:$N$4,10,FALSE())</f>
        <v/>
      </c>
      <c r="I295">
        <f>VLOOKUP(C295,Recipes!$A$2:$N$4,12,FALSE())</f>
        <v/>
      </c>
      <c r="J295">
        <f>IF(G295="","",H295-G295)</f>
        <v/>
      </c>
      <c r="K295">
        <f>IF(G295="","",IF(ABS(G295-H295)&lt;=$B$6*I295,"OK","NG"))</f>
        <v/>
      </c>
      <c r="L295">
        <f>IF(K295="","",IF(K295=D295,1,0))</f>
        <v/>
      </c>
      <c r="M295" t="inlineStr">
        <is>
          <t>NONE</t>
        </is>
      </c>
      <c r="N295" s="15" t="n">
        <v>1</v>
      </c>
      <c r="O295" s="15" t="n">
        <v>0</v>
      </c>
      <c r="P295">
        <f>IF(M295="","",IF(M295=E295,1,0))</f>
        <v/>
      </c>
      <c r="Q295">
        <f>IF(K295="OK","-",IF(N295&lt;$B$7,"AMBIGUOUS","CONFIDENT"))</f>
        <v/>
      </c>
    </row>
    <row r="296">
      <c r="A296">
        <f>'Runs Z score'!A288</f>
        <v/>
      </c>
      <c r="B296">
        <f>'Runs Z score'!B288</f>
        <v/>
      </c>
      <c r="C296">
        <f>'Runs Z score'!C288</f>
        <v/>
      </c>
      <c r="D296">
        <f>'Runs Z score'!D288</f>
        <v/>
      </c>
      <c r="E296">
        <f>'Runs Z score'!E288</f>
        <v/>
      </c>
      <c r="F296">
        <f>'Runs Z score'!F288</f>
        <v/>
      </c>
      <c r="G296">
        <f>'Runs Z score'!G288</f>
        <v/>
      </c>
      <c r="H296">
        <f>VLOOKUP(C296,Recipes!$A$2:$N$4,10,FALSE())</f>
        <v/>
      </c>
      <c r="I296">
        <f>VLOOKUP(C296,Recipes!$A$2:$N$4,12,FALSE())</f>
        <v/>
      </c>
      <c r="J296">
        <f>IF(G296="","",H296-G296)</f>
        <v/>
      </c>
      <c r="K296">
        <f>IF(G296="","",IF(ABS(G296-H296)&lt;=$B$6*I296,"OK","NG"))</f>
        <v/>
      </c>
      <c r="L296">
        <f>IF(K296="","",IF(K296=D296,1,0))</f>
        <v/>
      </c>
      <c r="M296" t="inlineStr">
        <is>
          <t>NONE</t>
        </is>
      </c>
      <c r="N296" s="15" t="n">
        <v>1</v>
      </c>
      <c r="O296" s="15" t="n">
        <v>0</v>
      </c>
      <c r="P296">
        <f>IF(M296="","",IF(M296=E296,1,0))</f>
        <v/>
      </c>
      <c r="Q296">
        <f>IF(K296="OK","-",IF(N296&lt;$B$7,"AMBIGUOUS","CONFIDENT"))</f>
        <v/>
      </c>
    </row>
    <row r="297">
      <c r="A297">
        <f>'Runs Z score'!A289</f>
        <v/>
      </c>
      <c r="B297">
        <f>'Runs Z score'!B289</f>
        <v/>
      </c>
      <c r="C297">
        <f>'Runs Z score'!C289</f>
        <v/>
      </c>
      <c r="D297">
        <f>'Runs Z score'!D289</f>
        <v/>
      </c>
      <c r="E297">
        <f>'Runs Z score'!E289</f>
        <v/>
      </c>
      <c r="F297">
        <f>'Runs Z score'!F289</f>
        <v/>
      </c>
      <c r="G297">
        <f>'Runs Z score'!G289</f>
        <v/>
      </c>
      <c r="H297">
        <f>VLOOKUP(C297,Recipes!$A$2:$N$4,10,FALSE())</f>
        <v/>
      </c>
      <c r="I297">
        <f>VLOOKUP(C297,Recipes!$A$2:$N$4,12,FALSE())</f>
        <v/>
      </c>
      <c r="J297">
        <f>IF(G297="","",H297-G297)</f>
        <v/>
      </c>
      <c r="K297">
        <f>IF(G297="","",IF(ABS(G297-H297)&lt;=$B$6*I297,"OK","NG"))</f>
        <v/>
      </c>
      <c r="L297">
        <f>IF(K297="","",IF(K297=D297,1,0))</f>
        <v/>
      </c>
      <c r="M297" t="inlineStr">
        <is>
          <t>NONE</t>
        </is>
      </c>
      <c r="N297" s="15" t="n">
        <v>1</v>
      </c>
      <c r="O297" s="15" t="n">
        <v>0</v>
      </c>
      <c r="P297">
        <f>IF(M297="","",IF(M297=E297,1,0))</f>
        <v/>
      </c>
      <c r="Q297">
        <f>IF(K297="OK","-",IF(N297&lt;$B$7,"AMBIGUOUS","CONFIDENT"))</f>
        <v/>
      </c>
    </row>
    <row r="298">
      <c r="A298">
        <f>'Runs Z score'!A290</f>
        <v/>
      </c>
      <c r="B298">
        <f>'Runs Z score'!B290</f>
        <v/>
      </c>
      <c r="C298">
        <f>'Runs Z score'!C290</f>
        <v/>
      </c>
      <c r="D298">
        <f>'Runs Z score'!D290</f>
        <v/>
      </c>
      <c r="E298">
        <f>'Runs Z score'!E290</f>
        <v/>
      </c>
      <c r="F298">
        <f>'Runs Z score'!F290</f>
        <v/>
      </c>
      <c r="G298">
        <f>'Runs Z score'!G290</f>
        <v/>
      </c>
      <c r="H298">
        <f>VLOOKUP(C298,Recipes!$A$2:$N$4,10,FALSE())</f>
        <v/>
      </c>
      <c r="I298">
        <f>VLOOKUP(C298,Recipes!$A$2:$N$4,12,FALSE())</f>
        <v/>
      </c>
      <c r="J298">
        <f>IF(G298="","",H298-G298)</f>
        <v/>
      </c>
      <c r="K298">
        <f>IF(G298="","",IF(ABS(G298-H298)&lt;=$B$6*I298,"OK","NG"))</f>
        <v/>
      </c>
      <c r="L298">
        <f>IF(K298="","",IF(K298=D298,1,0))</f>
        <v/>
      </c>
      <c r="M298" t="inlineStr">
        <is>
          <t>NONE</t>
        </is>
      </c>
      <c r="N298" s="15" t="n">
        <v>1</v>
      </c>
      <c r="O298" s="15" t="n">
        <v>0</v>
      </c>
      <c r="P298">
        <f>IF(M298="","",IF(M298=E298,1,0))</f>
        <v/>
      </c>
      <c r="Q298">
        <f>IF(K298="OK","-",IF(N298&lt;$B$7,"AMBIGUOUS","CONFIDENT"))</f>
        <v/>
      </c>
    </row>
    <row r="299">
      <c r="A299">
        <f>'Runs Z score'!A291</f>
        <v/>
      </c>
      <c r="B299">
        <f>'Runs Z score'!B291</f>
        <v/>
      </c>
      <c r="C299">
        <f>'Runs Z score'!C291</f>
        <v/>
      </c>
      <c r="D299">
        <f>'Runs Z score'!D291</f>
        <v/>
      </c>
      <c r="E299">
        <f>'Runs Z score'!E291</f>
        <v/>
      </c>
      <c r="F299">
        <f>'Runs Z score'!F291</f>
        <v/>
      </c>
      <c r="G299">
        <f>'Runs Z score'!G291</f>
        <v/>
      </c>
      <c r="H299">
        <f>VLOOKUP(C299,Recipes!$A$2:$N$4,10,FALSE())</f>
        <v/>
      </c>
      <c r="I299">
        <f>VLOOKUP(C299,Recipes!$A$2:$N$4,12,FALSE())</f>
        <v/>
      </c>
      <c r="J299">
        <f>IF(G299="","",H299-G299)</f>
        <v/>
      </c>
      <c r="K299">
        <f>IF(G299="","",IF(ABS(G299-H299)&lt;=$B$6*I299,"OK","NG"))</f>
        <v/>
      </c>
      <c r="L299">
        <f>IF(K299="","",IF(K299=D299,1,0))</f>
        <v/>
      </c>
      <c r="M299" t="inlineStr">
        <is>
          <t>NONE</t>
        </is>
      </c>
      <c r="N299" s="15" t="n">
        <v>1</v>
      </c>
      <c r="O299" s="15" t="n">
        <v>0</v>
      </c>
      <c r="P299">
        <f>IF(M299="","",IF(M299=E299,1,0))</f>
        <v/>
      </c>
      <c r="Q299">
        <f>IF(K299="OK","-",IF(N299&lt;$B$7,"AMBIGUOUS","CONFIDENT"))</f>
        <v/>
      </c>
    </row>
    <row r="300">
      <c r="A300">
        <f>'Runs Z score'!A292</f>
        <v/>
      </c>
      <c r="B300">
        <f>'Runs Z score'!B292</f>
        <v/>
      </c>
      <c r="C300">
        <f>'Runs Z score'!C292</f>
        <v/>
      </c>
      <c r="D300">
        <f>'Runs Z score'!D292</f>
        <v/>
      </c>
      <c r="E300">
        <f>'Runs Z score'!E292</f>
        <v/>
      </c>
      <c r="F300">
        <f>'Runs Z score'!F292</f>
        <v/>
      </c>
      <c r="G300">
        <f>'Runs Z score'!G292</f>
        <v/>
      </c>
      <c r="H300">
        <f>VLOOKUP(C300,Recipes!$A$2:$N$4,10,FALSE())</f>
        <v/>
      </c>
      <c r="I300">
        <f>VLOOKUP(C300,Recipes!$A$2:$N$4,12,FALSE())</f>
        <v/>
      </c>
      <c r="J300">
        <f>IF(G300="","",H300-G300)</f>
        <v/>
      </c>
      <c r="K300">
        <f>IF(G300="","",IF(ABS(G300-H300)&lt;=$B$6*I300,"OK","NG"))</f>
        <v/>
      </c>
      <c r="L300">
        <f>IF(K300="","",IF(K300=D300,1,0))</f>
        <v/>
      </c>
      <c r="M300" t="inlineStr">
        <is>
          <t>NONE</t>
        </is>
      </c>
      <c r="N300" s="15" t="n">
        <v>1</v>
      </c>
      <c r="O300" s="15" t="n">
        <v>0</v>
      </c>
      <c r="P300">
        <f>IF(M300="","",IF(M300=E300,1,0))</f>
        <v/>
      </c>
      <c r="Q300">
        <f>IF(K300="OK","-",IF(N300&lt;$B$7,"AMBIGUOUS","CONFIDENT"))</f>
        <v/>
      </c>
    </row>
    <row r="301">
      <c r="A301">
        <f>'Runs Z score'!A293</f>
        <v/>
      </c>
      <c r="B301">
        <f>'Runs Z score'!B293</f>
        <v/>
      </c>
      <c r="C301">
        <f>'Runs Z score'!C293</f>
        <v/>
      </c>
      <c r="D301">
        <f>'Runs Z score'!D293</f>
        <v/>
      </c>
      <c r="E301">
        <f>'Runs Z score'!E293</f>
        <v/>
      </c>
      <c r="F301">
        <f>'Runs Z score'!F293</f>
        <v/>
      </c>
      <c r="G301">
        <f>'Runs Z score'!G293</f>
        <v/>
      </c>
      <c r="H301">
        <f>VLOOKUP(C301,Recipes!$A$2:$N$4,10,FALSE())</f>
        <v/>
      </c>
      <c r="I301">
        <f>VLOOKUP(C301,Recipes!$A$2:$N$4,12,FALSE())</f>
        <v/>
      </c>
      <c r="J301">
        <f>IF(G301="","",H301-G301)</f>
        <v/>
      </c>
      <c r="K301">
        <f>IF(G301="","",IF(ABS(G301-H301)&lt;=$B$6*I301,"OK","NG"))</f>
        <v/>
      </c>
      <c r="L301">
        <f>IF(K301="","",IF(K301=D301,1,0))</f>
        <v/>
      </c>
      <c r="M301" t="inlineStr">
        <is>
          <t>NONE</t>
        </is>
      </c>
      <c r="N301" s="15" t="n">
        <v>1</v>
      </c>
      <c r="O301" s="15" t="n">
        <v>0</v>
      </c>
      <c r="P301">
        <f>IF(M301="","",IF(M301=E301,1,0))</f>
        <v/>
      </c>
      <c r="Q301">
        <f>IF(K301="OK","-",IF(N301&lt;$B$7,"AMBIGUOUS","CONFIDENT"))</f>
        <v/>
      </c>
    </row>
    <row r="302">
      <c r="A302">
        <f>'Runs Z score'!A294</f>
        <v/>
      </c>
      <c r="B302">
        <f>'Runs Z score'!B294</f>
        <v/>
      </c>
      <c r="C302">
        <f>'Runs Z score'!C294</f>
        <v/>
      </c>
      <c r="D302">
        <f>'Runs Z score'!D294</f>
        <v/>
      </c>
      <c r="E302">
        <f>'Runs Z score'!E294</f>
        <v/>
      </c>
      <c r="F302">
        <f>'Runs Z score'!F294</f>
        <v/>
      </c>
      <c r="G302">
        <f>'Runs Z score'!G294</f>
        <v/>
      </c>
      <c r="H302">
        <f>VLOOKUP(C302,Recipes!$A$2:$N$4,10,FALSE())</f>
        <v/>
      </c>
      <c r="I302">
        <f>VLOOKUP(C302,Recipes!$A$2:$N$4,12,FALSE())</f>
        <v/>
      </c>
      <c r="J302">
        <f>IF(G302="","",H302-G302)</f>
        <v/>
      </c>
      <c r="K302">
        <f>IF(G302="","",IF(ABS(G302-H302)&lt;=$B$6*I302,"OK","NG"))</f>
        <v/>
      </c>
      <c r="L302">
        <f>IF(K302="","",IF(K302=D302,1,0))</f>
        <v/>
      </c>
      <c r="M302" t="inlineStr">
        <is>
          <t>NONE</t>
        </is>
      </c>
      <c r="N302" s="15" t="n">
        <v>1</v>
      </c>
      <c r="O302" s="15" t="n">
        <v>0</v>
      </c>
      <c r="P302">
        <f>IF(M302="","",IF(M302=E302,1,0))</f>
        <v/>
      </c>
      <c r="Q302">
        <f>IF(K302="OK","-",IF(N302&lt;$B$7,"AMBIGUOUS","CONFIDENT"))</f>
        <v/>
      </c>
    </row>
    <row r="303">
      <c r="A303">
        <f>'Runs Z score'!A295</f>
        <v/>
      </c>
      <c r="B303">
        <f>'Runs Z score'!B295</f>
        <v/>
      </c>
      <c r="C303">
        <f>'Runs Z score'!C295</f>
        <v/>
      </c>
      <c r="D303">
        <f>'Runs Z score'!D295</f>
        <v/>
      </c>
      <c r="E303">
        <f>'Runs Z score'!E295</f>
        <v/>
      </c>
      <c r="F303">
        <f>'Runs Z score'!F295</f>
        <v/>
      </c>
      <c r="G303">
        <f>'Runs Z score'!G295</f>
        <v/>
      </c>
      <c r="H303">
        <f>VLOOKUP(C303,Recipes!$A$2:$N$4,10,FALSE())</f>
        <v/>
      </c>
      <c r="I303">
        <f>VLOOKUP(C303,Recipes!$A$2:$N$4,12,FALSE())</f>
        <v/>
      </c>
      <c r="J303">
        <f>IF(G303="","",H303-G303)</f>
        <v/>
      </c>
      <c r="K303">
        <f>IF(G303="","",IF(ABS(G303-H303)&lt;=$B$6*I303,"OK","NG"))</f>
        <v/>
      </c>
      <c r="L303">
        <f>IF(K303="","",IF(K303=D303,1,0))</f>
        <v/>
      </c>
      <c r="M303" t="inlineStr">
        <is>
          <t>NONE</t>
        </is>
      </c>
      <c r="N303" s="15" t="n">
        <v>1</v>
      </c>
      <c r="O303" s="15" t="n">
        <v>0</v>
      </c>
      <c r="P303">
        <f>IF(M303="","",IF(M303=E303,1,0))</f>
        <v/>
      </c>
      <c r="Q303">
        <f>IF(K303="OK","-",IF(N303&lt;$B$7,"AMBIGUOUS","CONFIDENT"))</f>
        <v/>
      </c>
    </row>
    <row r="304">
      <c r="A304">
        <f>'Runs Z score'!A296</f>
        <v/>
      </c>
      <c r="B304">
        <f>'Runs Z score'!B296</f>
        <v/>
      </c>
      <c r="C304">
        <f>'Runs Z score'!C296</f>
        <v/>
      </c>
      <c r="D304">
        <f>'Runs Z score'!D296</f>
        <v/>
      </c>
      <c r="E304">
        <f>'Runs Z score'!E296</f>
        <v/>
      </c>
      <c r="F304">
        <f>'Runs Z score'!F296</f>
        <v/>
      </c>
      <c r="G304">
        <f>'Runs Z score'!G296</f>
        <v/>
      </c>
      <c r="H304">
        <f>VLOOKUP(C304,Recipes!$A$2:$N$4,10,FALSE())</f>
        <v/>
      </c>
      <c r="I304">
        <f>VLOOKUP(C304,Recipes!$A$2:$N$4,12,FALSE())</f>
        <v/>
      </c>
      <c r="J304">
        <f>IF(G304="","",H304-G304)</f>
        <v/>
      </c>
      <c r="K304">
        <f>IF(G304="","",IF(ABS(G304-H304)&lt;=$B$6*I304,"OK","NG"))</f>
        <v/>
      </c>
      <c r="L304">
        <f>IF(K304="","",IF(K304=D304,1,0))</f>
        <v/>
      </c>
      <c r="M304" t="inlineStr">
        <is>
          <t>NONE</t>
        </is>
      </c>
      <c r="N304" s="15" t="n">
        <v>1</v>
      </c>
      <c r="O304" s="15" t="n">
        <v>0</v>
      </c>
      <c r="P304">
        <f>IF(M304="","",IF(M304=E304,1,0))</f>
        <v/>
      </c>
      <c r="Q304">
        <f>IF(K304="OK","-",IF(N304&lt;$B$7,"AMBIGUOUS","CONFIDENT"))</f>
        <v/>
      </c>
    </row>
    <row r="305">
      <c r="A305">
        <f>'Runs Z score'!A297</f>
        <v/>
      </c>
      <c r="B305">
        <f>'Runs Z score'!B297</f>
        <v/>
      </c>
      <c r="C305">
        <f>'Runs Z score'!C297</f>
        <v/>
      </c>
      <c r="D305">
        <f>'Runs Z score'!D297</f>
        <v/>
      </c>
      <c r="E305">
        <f>'Runs Z score'!E297</f>
        <v/>
      </c>
      <c r="F305">
        <f>'Runs Z score'!F297</f>
        <v/>
      </c>
      <c r="G305">
        <f>'Runs Z score'!G297</f>
        <v/>
      </c>
      <c r="H305">
        <f>VLOOKUP(C305,Recipes!$A$2:$N$4,10,FALSE())</f>
        <v/>
      </c>
      <c r="I305">
        <f>VLOOKUP(C305,Recipes!$A$2:$N$4,12,FALSE())</f>
        <v/>
      </c>
      <c r="J305">
        <f>IF(G305="","",H305-G305)</f>
        <v/>
      </c>
      <c r="K305">
        <f>IF(G305="","",IF(ABS(G305-H305)&lt;=$B$6*I305,"OK","NG"))</f>
        <v/>
      </c>
      <c r="L305">
        <f>IF(K305="","",IF(K305=D305,1,0))</f>
        <v/>
      </c>
      <c r="M305" t="inlineStr">
        <is>
          <t>NONE</t>
        </is>
      </c>
      <c r="N305" s="15" t="n">
        <v>1</v>
      </c>
      <c r="O305" s="15" t="n">
        <v>0</v>
      </c>
      <c r="P305">
        <f>IF(M305="","",IF(M305=E305,1,0))</f>
        <v/>
      </c>
      <c r="Q305">
        <f>IF(K305="OK","-",IF(N305&lt;$B$7,"AMBIGUOUS","CONFIDENT"))</f>
        <v/>
      </c>
    </row>
    <row r="306">
      <c r="A306">
        <f>'Runs Z score'!A298</f>
        <v/>
      </c>
      <c r="B306">
        <f>'Runs Z score'!B298</f>
        <v/>
      </c>
      <c r="C306">
        <f>'Runs Z score'!C298</f>
        <v/>
      </c>
      <c r="D306">
        <f>'Runs Z score'!D298</f>
        <v/>
      </c>
      <c r="E306">
        <f>'Runs Z score'!E298</f>
        <v/>
      </c>
      <c r="F306">
        <f>'Runs Z score'!F298</f>
        <v/>
      </c>
      <c r="G306">
        <f>'Runs Z score'!G298</f>
        <v/>
      </c>
      <c r="H306">
        <f>VLOOKUP(C306,Recipes!$A$2:$N$4,10,FALSE())</f>
        <v/>
      </c>
      <c r="I306">
        <f>VLOOKUP(C306,Recipes!$A$2:$N$4,12,FALSE())</f>
        <v/>
      </c>
      <c r="J306">
        <f>IF(G306="","",H306-G306)</f>
        <v/>
      </c>
      <c r="K306">
        <f>IF(G306="","",IF(ABS(G306-H306)&lt;=$B$6*I306,"OK","NG"))</f>
        <v/>
      </c>
      <c r="L306">
        <f>IF(K306="","",IF(K306=D306,1,0))</f>
        <v/>
      </c>
      <c r="M306" t="inlineStr">
        <is>
          <t>NONE</t>
        </is>
      </c>
      <c r="N306" s="15" t="n">
        <v>1</v>
      </c>
      <c r="O306" s="15" t="n">
        <v>0</v>
      </c>
      <c r="P306">
        <f>IF(M306="","",IF(M306=E306,1,0))</f>
        <v/>
      </c>
      <c r="Q306">
        <f>IF(K306="OK","-",IF(N306&lt;$B$7,"AMBIGUOUS","CONFIDENT"))</f>
        <v/>
      </c>
    </row>
    <row r="307">
      <c r="A307">
        <f>'Runs Z score'!A299</f>
        <v/>
      </c>
      <c r="B307">
        <f>'Runs Z score'!B299</f>
        <v/>
      </c>
      <c r="C307">
        <f>'Runs Z score'!C299</f>
        <v/>
      </c>
      <c r="D307">
        <f>'Runs Z score'!D299</f>
        <v/>
      </c>
      <c r="E307">
        <f>'Runs Z score'!E299</f>
        <v/>
      </c>
      <c r="F307">
        <f>'Runs Z score'!F299</f>
        <v/>
      </c>
      <c r="G307">
        <f>'Runs Z score'!G299</f>
        <v/>
      </c>
      <c r="H307">
        <f>VLOOKUP(C307,Recipes!$A$2:$N$4,10,FALSE())</f>
        <v/>
      </c>
      <c r="I307">
        <f>VLOOKUP(C307,Recipes!$A$2:$N$4,12,FALSE())</f>
        <v/>
      </c>
      <c r="J307">
        <f>IF(G307="","",H307-G307)</f>
        <v/>
      </c>
      <c r="K307">
        <f>IF(G307="","",IF(ABS(G307-H307)&lt;=$B$6*I307,"OK","NG"))</f>
        <v/>
      </c>
      <c r="L307">
        <f>IF(K307="","",IF(K307=D307,1,0))</f>
        <v/>
      </c>
      <c r="M307" t="inlineStr">
        <is>
          <t>NONE</t>
        </is>
      </c>
      <c r="N307" s="15" t="n">
        <v>1</v>
      </c>
      <c r="O307" s="15" t="n">
        <v>0</v>
      </c>
      <c r="P307">
        <f>IF(M307="","",IF(M307=E307,1,0))</f>
        <v/>
      </c>
      <c r="Q307">
        <f>IF(K307="OK","-",IF(N307&lt;$B$7,"AMBIGUOUS","CONFIDENT"))</f>
        <v/>
      </c>
    </row>
    <row r="308">
      <c r="A308">
        <f>'Runs Z score'!A300</f>
        <v/>
      </c>
      <c r="B308">
        <f>'Runs Z score'!B300</f>
        <v/>
      </c>
      <c r="C308">
        <f>'Runs Z score'!C300</f>
        <v/>
      </c>
      <c r="D308">
        <f>'Runs Z score'!D300</f>
        <v/>
      </c>
      <c r="E308">
        <f>'Runs Z score'!E300</f>
        <v/>
      </c>
      <c r="F308">
        <f>'Runs Z score'!F300</f>
        <v/>
      </c>
      <c r="G308">
        <f>'Runs Z score'!G300</f>
        <v/>
      </c>
      <c r="H308">
        <f>VLOOKUP(C308,Recipes!$A$2:$N$4,10,FALSE())</f>
        <v/>
      </c>
      <c r="I308">
        <f>VLOOKUP(C308,Recipes!$A$2:$N$4,12,FALSE())</f>
        <v/>
      </c>
      <c r="J308">
        <f>IF(G308="","",H308-G308)</f>
        <v/>
      </c>
      <c r="K308">
        <f>IF(G308="","",IF(ABS(G308-H308)&lt;=$B$6*I308,"OK","NG"))</f>
        <v/>
      </c>
      <c r="L308">
        <f>IF(K308="","",IF(K308=D308,1,0))</f>
        <v/>
      </c>
      <c r="M308" t="inlineStr">
        <is>
          <t>NONE</t>
        </is>
      </c>
      <c r="N308" s="15" t="n">
        <v>1</v>
      </c>
      <c r="O308" s="15" t="n">
        <v>0</v>
      </c>
      <c r="P308">
        <f>IF(M308="","",IF(M308=E308,1,0))</f>
        <v/>
      </c>
      <c r="Q308">
        <f>IF(K308="OK","-",IF(N308&lt;$B$7,"AMBIGUOUS","CONFIDENT"))</f>
        <v/>
      </c>
    </row>
    <row r="309">
      <c r="A309">
        <f>'Runs Z score'!A301</f>
        <v/>
      </c>
      <c r="B309">
        <f>'Runs Z score'!B301</f>
        <v/>
      </c>
      <c r="C309">
        <f>'Runs Z score'!C301</f>
        <v/>
      </c>
      <c r="D309">
        <f>'Runs Z score'!D301</f>
        <v/>
      </c>
      <c r="E309">
        <f>'Runs Z score'!E301</f>
        <v/>
      </c>
      <c r="F309">
        <f>'Runs Z score'!F301</f>
        <v/>
      </c>
      <c r="G309">
        <f>'Runs Z score'!G301</f>
        <v/>
      </c>
      <c r="H309">
        <f>VLOOKUP(C309,Recipes!$A$2:$N$4,10,FALSE())</f>
        <v/>
      </c>
      <c r="I309">
        <f>VLOOKUP(C309,Recipes!$A$2:$N$4,12,FALSE())</f>
        <v/>
      </c>
      <c r="J309">
        <f>IF(G309="","",H309-G309)</f>
        <v/>
      </c>
      <c r="K309">
        <f>IF(G309="","",IF(ABS(G309-H309)&lt;=$B$6*I309,"OK","NG"))</f>
        <v/>
      </c>
      <c r="L309">
        <f>IF(K309="","",IF(K309=D309,1,0))</f>
        <v/>
      </c>
      <c r="M309" t="inlineStr">
        <is>
          <t>NONE</t>
        </is>
      </c>
      <c r="N309" s="15" t="n">
        <v>1</v>
      </c>
      <c r="O309" s="15" t="n">
        <v>0</v>
      </c>
      <c r="P309">
        <f>IF(M309="","",IF(M309=E309,1,0))</f>
        <v/>
      </c>
      <c r="Q309">
        <f>IF(K309="OK","-",IF(N309&lt;$B$7,"AMBIGUOUS","CONFIDENT"))</f>
        <v/>
      </c>
    </row>
    <row r="310">
      <c r="A310">
        <f>'Runs Z score'!A302</f>
        <v/>
      </c>
      <c r="B310">
        <f>'Runs Z score'!B302</f>
        <v/>
      </c>
      <c r="C310">
        <f>'Runs Z score'!C302</f>
        <v/>
      </c>
      <c r="D310">
        <f>'Runs Z score'!D302</f>
        <v/>
      </c>
      <c r="E310">
        <f>'Runs Z score'!E302</f>
        <v/>
      </c>
      <c r="F310">
        <f>'Runs Z score'!F302</f>
        <v/>
      </c>
      <c r="G310">
        <f>'Runs Z score'!G302</f>
        <v/>
      </c>
      <c r="H310">
        <f>VLOOKUP(C310,Recipes!$A$2:$N$4,10,FALSE())</f>
        <v/>
      </c>
      <c r="I310">
        <f>VLOOKUP(C310,Recipes!$A$2:$N$4,12,FALSE())</f>
        <v/>
      </c>
      <c r="J310">
        <f>IF(G310="","",H310-G310)</f>
        <v/>
      </c>
      <c r="K310">
        <f>IF(G310="","",IF(ABS(G310-H310)&lt;=$B$6*I310,"OK","NG"))</f>
        <v/>
      </c>
      <c r="L310">
        <f>IF(K310="","",IF(K310=D310,1,0))</f>
        <v/>
      </c>
      <c r="M310" t="inlineStr">
        <is>
          <t>NONE</t>
        </is>
      </c>
      <c r="N310" s="15" t="n">
        <v>1</v>
      </c>
      <c r="O310" s="15" t="n">
        <v>0</v>
      </c>
      <c r="P310">
        <f>IF(M310="","",IF(M310=E310,1,0))</f>
        <v/>
      </c>
      <c r="Q310">
        <f>IF(K310="OK","-",IF(N310&lt;$B$7,"AMBIGUOUS","CONFIDENT"))</f>
        <v/>
      </c>
    </row>
    <row r="311">
      <c r="A311">
        <f>'Runs Z score'!A303</f>
        <v/>
      </c>
      <c r="B311">
        <f>'Runs Z score'!B303</f>
        <v/>
      </c>
      <c r="C311">
        <f>'Runs Z score'!C303</f>
        <v/>
      </c>
      <c r="D311">
        <f>'Runs Z score'!D303</f>
        <v/>
      </c>
      <c r="E311">
        <f>'Runs Z score'!E303</f>
        <v/>
      </c>
      <c r="F311">
        <f>'Runs Z score'!F303</f>
        <v/>
      </c>
      <c r="G311">
        <f>'Runs Z score'!G303</f>
        <v/>
      </c>
      <c r="H311">
        <f>VLOOKUP(C311,Recipes!$A$2:$N$4,10,FALSE())</f>
        <v/>
      </c>
      <c r="I311">
        <f>VLOOKUP(C311,Recipes!$A$2:$N$4,12,FALSE())</f>
        <v/>
      </c>
      <c r="J311">
        <f>IF(G311="","",H311-G311)</f>
        <v/>
      </c>
      <c r="K311">
        <f>IF(G311="","",IF(ABS(G311-H311)&lt;=$B$6*I311,"OK","NG"))</f>
        <v/>
      </c>
      <c r="L311">
        <f>IF(K311="","",IF(K311=D311,1,0))</f>
        <v/>
      </c>
      <c r="M311" t="inlineStr">
        <is>
          <t>S1</t>
        </is>
      </c>
      <c r="N311" s="15" t="n">
        <v>1</v>
      </c>
      <c r="O311" s="15" t="n">
        <v>0</v>
      </c>
      <c r="P311">
        <f>IF(M311="","",IF(M311=E311,1,0))</f>
        <v/>
      </c>
      <c r="Q311">
        <f>IF(K311="OK","-",IF(N311&lt;$B$7,"AMBIGUOUS","CONFIDENT"))</f>
        <v/>
      </c>
    </row>
    <row r="312">
      <c r="A312">
        <f>'Runs Z score'!A304</f>
        <v/>
      </c>
      <c r="B312">
        <f>'Runs Z score'!B304</f>
        <v/>
      </c>
      <c r="C312">
        <f>'Runs Z score'!C304</f>
        <v/>
      </c>
      <c r="D312">
        <f>'Runs Z score'!D304</f>
        <v/>
      </c>
      <c r="E312">
        <f>'Runs Z score'!E304</f>
        <v/>
      </c>
      <c r="F312">
        <f>'Runs Z score'!F304</f>
        <v/>
      </c>
      <c r="G312">
        <f>'Runs Z score'!G304</f>
        <v/>
      </c>
      <c r="H312">
        <f>VLOOKUP(C312,Recipes!$A$2:$N$4,10,FALSE())</f>
        <v/>
      </c>
      <c r="I312">
        <f>VLOOKUP(C312,Recipes!$A$2:$N$4,12,FALSE())</f>
        <v/>
      </c>
      <c r="J312">
        <f>IF(G312="","",H312-G312)</f>
        <v/>
      </c>
      <c r="K312">
        <f>IF(G312="","",IF(ABS(G312-H312)&lt;=$B$6*I312,"OK","NG"))</f>
        <v/>
      </c>
      <c r="L312">
        <f>IF(K312="","",IF(K312=D312,1,0))</f>
        <v/>
      </c>
      <c r="M312" t="inlineStr">
        <is>
          <t>S1</t>
        </is>
      </c>
      <c r="N312" s="15" t="n">
        <v>1</v>
      </c>
      <c r="O312" s="15" t="n">
        <v>0</v>
      </c>
      <c r="P312">
        <f>IF(M312="","",IF(M312=E312,1,0))</f>
        <v/>
      </c>
      <c r="Q312">
        <f>IF(K312="OK","-",IF(N312&lt;$B$7,"AMBIGUOUS","CONFIDENT"))</f>
        <v/>
      </c>
    </row>
    <row r="313">
      <c r="A313">
        <f>'Runs Z score'!A305</f>
        <v/>
      </c>
      <c r="B313">
        <f>'Runs Z score'!B305</f>
        <v/>
      </c>
      <c r="C313">
        <f>'Runs Z score'!C305</f>
        <v/>
      </c>
      <c r="D313">
        <f>'Runs Z score'!D305</f>
        <v/>
      </c>
      <c r="E313">
        <f>'Runs Z score'!E305</f>
        <v/>
      </c>
      <c r="F313">
        <f>'Runs Z score'!F305</f>
        <v/>
      </c>
      <c r="G313">
        <f>'Runs Z score'!G305</f>
        <v/>
      </c>
      <c r="H313">
        <f>VLOOKUP(C313,Recipes!$A$2:$N$4,10,FALSE())</f>
        <v/>
      </c>
      <c r="I313">
        <f>VLOOKUP(C313,Recipes!$A$2:$N$4,12,FALSE())</f>
        <v/>
      </c>
      <c r="J313">
        <f>IF(G313="","",H313-G313)</f>
        <v/>
      </c>
      <c r="K313">
        <f>IF(G313="","",IF(ABS(G313-H313)&lt;=$B$6*I313,"OK","NG"))</f>
        <v/>
      </c>
      <c r="L313">
        <f>IF(K313="","",IF(K313=D313,1,0))</f>
        <v/>
      </c>
      <c r="M313" t="inlineStr">
        <is>
          <t>S1</t>
        </is>
      </c>
      <c r="N313" s="15" t="n">
        <v>1</v>
      </c>
      <c r="O313" s="15" t="n">
        <v>0</v>
      </c>
      <c r="P313">
        <f>IF(M313="","",IF(M313=E313,1,0))</f>
        <v/>
      </c>
      <c r="Q313">
        <f>IF(K313="OK","-",IF(N313&lt;$B$7,"AMBIGUOUS","CONFIDENT"))</f>
        <v/>
      </c>
    </row>
    <row r="314">
      <c r="A314">
        <f>'Runs Z score'!A306</f>
        <v/>
      </c>
      <c r="B314">
        <f>'Runs Z score'!B306</f>
        <v/>
      </c>
      <c r="C314">
        <f>'Runs Z score'!C306</f>
        <v/>
      </c>
      <c r="D314">
        <f>'Runs Z score'!D306</f>
        <v/>
      </c>
      <c r="E314">
        <f>'Runs Z score'!E306</f>
        <v/>
      </c>
      <c r="F314">
        <f>'Runs Z score'!F306</f>
        <v/>
      </c>
      <c r="G314">
        <f>'Runs Z score'!G306</f>
        <v/>
      </c>
      <c r="H314">
        <f>VLOOKUP(C314,Recipes!$A$2:$N$4,10,FALSE())</f>
        <v/>
      </c>
      <c r="I314">
        <f>VLOOKUP(C314,Recipes!$A$2:$N$4,12,FALSE())</f>
        <v/>
      </c>
      <c r="J314">
        <f>IF(G314="","",H314-G314)</f>
        <v/>
      </c>
      <c r="K314">
        <f>IF(G314="","",IF(ABS(G314-H314)&lt;=$B$6*I314,"OK","NG"))</f>
        <v/>
      </c>
      <c r="L314">
        <f>IF(K314="","",IF(K314=D314,1,0))</f>
        <v/>
      </c>
      <c r="M314" t="inlineStr">
        <is>
          <t>S1</t>
        </is>
      </c>
      <c r="N314" s="15" t="n">
        <v>1</v>
      </c>
      <c r="O314" s="15" t="n">
        <v>0</v>
      </c>
      <c r="P314">
        <f>IF(M314="","",IF(M314=E314,1,0))</f>
        <v/>
      </c>
      <c r="Q314">
        <f>IF(K314="OK","-",IF(N314&lt;$B$7,"AMBIGUOUS","CONFIDENT"))</f>
        <v/>
      </c>
    </row>
    <row r="315">
      <c r="A315">
        <f>'Runs Z score'!A307</f>
        <v/>
      </c>
      <c r="B315">
        <f>'Runs Z score'!B307</f>
        <v/>
      </c>
      <c r="C315">
        <f>'Runs Z score'!C307</f>
        <v/>
      </c>
      <c r="D315">
        <f>'Runs Z score'!D307</f>
        <v/>
      </c>
      <c r="E315">
        <f>'Runs Z score'!E307</f>
        <v/>
      </c>
      <c r="F315">
        <f>'Runs Z score'!F307</f>
        <v/>
      </c>
      <c r="G315">
        <f>'Runs Z score'!G307</f>
        <v/>
      </c>
      <c r="H315">
        <f>VLOOKUP(C315,Recipes!$A$2:$N$4,10,FALSE())</f>
        <v/>
      </c>
      <c r="I315">
        <f>VLOOKUP(C315,Recipes!$A$2:$N$4,12,FALSE())</f>
        <v/>
      </c>
      <c r="J315">
        <f>IF(G315="","",H315-G315)</f>
        <v/>
      </c>
      <c r="K315">
        <f>IF(G315="","",IF(ABS(G315-H315)&lt;=$B$6*I315,"OK","NG"))</f>
        <v/>
      </c>
      <c r="L315">
        <f>IF(K315="","",IF(K315=D315,1,0))</f>
        <v/>
      </c>
      <c r="M315" t="inlineStr">
        <is>
          <t>S1</t>
        </is>
      </c>
      <c r="N315" s="15" t="n">
        <v>1</v>
      </c>
      <c r="O315" s="15" t="n">
        <v>0</v>
      </c>
      <c r="P315">
        <f>IF(M315="","",IF(M315=E315,1,0))</f>
        <v/>
      </c>
      <c r="Q315">
        <f>IF(K315="OK","-",IF(N315&lt;$B$7,"AMBIGUOUS","CONFIDENT"))</f>
        <v/>
      </c>
    </row>
    <row r="316">
      <c r="A316">
        <f>'Runs Z score'!A308</f>
        <v/>
      </c>
      <c r="B316">
        <f>'Runs Z score'!B308</f>
        <v/>
      </c>
      <c r="C316">
        <f>'Runs Z score'!C308</f>
        <v/>
      </c>
      <c r="D316">
        <f>'Runs Z score'!D308</f>
        <v/>
      </c>
      <c r="E316">
        <f>'Runs Z score'!E308</f>
        <v/>
      </c>
      <c r="F316">
        <f>'Runs Z score'!F308</f>
        <v/>
      </c>
      <c r="G316">
        <f>'Runs Z score'!G308</f>
        <v/>
      </c>
      <c r="H316">
        <f>VLOOKUP(C316,Recipes!$A$2:$N$4,10,FALSE())</f>
        <v/>
      </c>
      <c r="I316">
        <f>VLOOKUP(C316,Recipes!$A$2:$N$4,12,FALSE())</f>
        <v/>
      </c>
      <c r="J316">
        <f>IF(G316="","",H316-G316)</f>
        <v/>
      </c>
      <c r="K316">
        <f>IF(G316="","",IF(ABS(G316-H316)&lt;=$B$6*I316,"OK","NG"))</f>
        <v/>
      </c>
      <c r="L316">
        <f>IF(K316="","",IF(K316=D316,1,0))</f>
        <v/>
      </c>
      <c r="M316" t="inlineStr">
        <is>
          <t>S1</t>
        </is>
      </c>
      <c r="N316" s="15" t="n">
        <v>1</v>
      </c>
      <c r="O316" s="15" t="n">
        <v>0</v>
      </c>
      <c r="P316">
        <f>IF(M316="","",IF(M316=E316,1,0))</f>
        <v/>
      </c>
      <c r="Q316">
        <f>IF(K316="OK","-",IF(N316&lt;$B$7,"AMBIGUOUS","CONFIDENT"))</f>
        <v/>
      </c>
    </row>
    <row r="317">
      <c r="A317">
        <f>'Runs Z score'!A309</f>
        <v/>
      </c>
      <c r="B317">
        <f>'Runs Z score'!B309</f>
        <v/>
      </c>
      <c r="C317">
        <f>'Runs Z score'!C309</f>
        <v/>
      </c>
      <c r="D317">
        <f>'Runs Z score'!D309</f>
        <v/>
      </c>
      <c r="E317">
        <f>'Runs Z score'!E309</f>
        <v/>
      </c>
      <c r="F317">
        <f>'Runs Z score'!F309</f>
        <v/>
      </c>
      <c r="G317">
        <f>'Runs Z score'!G309</f>
        <v/>
      </c>
      <c r="H317">
        <f>VLOOKUP(C317,Recipes!$A$2:$N$4,10,FALSE())</f>
        <v/>
      </c>
      <c r="I317">
        <f>VLOOKUP(C317,Recipes!$A$2:$N$4,12,FALSE())</f>
        <v/>
      </c>
      <c r="J317">
        <f>IF(G317="","",H317-G317)</f>
        <v/>
      </c>
      <c r="K317">
        <f>IF(G317="","",IF(ABS(G317-H317)&lt;=$B$6*I317,"OK","NG"))</f>
        <v/>
      </c>
      <c r="L317">
        <f>IF(K317="","",IF(K317=D317,1,0))</f>
        <v/>
      </c>
      <c r="M317" t="inlineStr">
        <is>
          <t>S1</t>
        </is>
      </c>
      <c r="N317" s="15" t="n">
        <v>1</v>
      </c>
      <c r="O317" s="15" t="n">
        <v>0</v>
      </c>
      <c r="P317">
        <f>IF(M317="","",IF(M317=E317,1,0))</f>
        <v/>
      </c>
      <c r="Q317">
        <f>IF(K317="OK","-",IF(N317&lt;$B$7,"AMBIGUOUS","CONFIDENT"))</f>
        <v/>
      </c>
    </row>
    <row r="318">
      <c r="A318">
        <f>'Runs Z score'!A310</f>
        <v/>
      </c>
      <c r="B318">
        <f>'Runs Z score'!B310</f>
        <v/>
      </c>
      <c r="C318">
        <f>'Runs Z score'!C310</f>
        <v/>
      </c>
      <c r="D318">
        <f>'Runs Z score'!D310</f>
        <v/>
      </c>
      <c r="E318">
        <f>'Runs Z score'!E310</f>
        <v/>
      </c>
      <c r="F318">
        <f>'Runs Z score'!F310</f>
        <v/>
      </c>
      <c r="G318">
        <f>'Runs Z score'!G310</f>
        <v/>
      </c>
      <c r="H318">
        <f>VLOOKUP(C318,Recipes!$A$2:$N$4,10,FALSE())</f>
        <v/>
      </c>
      <c r="I318">
        <f>VLOOKUP(C318,Recipes!$A$2:$N$4,12,FALSE())</f>
        <v/>
      </c>
      <c r="J318">
        <f>IF(G318="","",H318-G318)</f>
        <v/>
      </c>
      <c r="K318">
        <f>IF(G318="","",IF(ABS(G318-H318)&lt;=$B$6*I318,"OK","NG"))</f>
        <v/>
      </c>
      <c r="L318">
        <f>IF(K318="","",IF(K318=D318,1,0))</f>
        <v/>
      </c>
      <c r="M318" t="inlineStr">
        <is>
          <t>S1</t>
        </is>
      </c>
      <c r="N318" s="15" t="n">
        <v>1</v>
      </c>
      <c r="O318" s="15" t="n">
        <v>0</v>
      </c>
      <c r="P318">
        <f>IF(M318="","",IF(M318=E318,1,0))</f>
        <v/>
      </c>
      <c r="Q318">
        <f>IF(K318="OK","-",IF(N318&lt;$B$7,"AMBIGUOUS","CONFIDENT"))</f>
        <v/>
      </c>
    </row>
    <row r="319">
      <c r="A319">
        <f>'Runs Z score'!A311</f>
        <v/>
      </c>
      <c r="B319">
        <f>'Runs Z score'!B311</f>
        <v/>
      </c>
      <c r="C319">
        <f>'Runs Z score'!C311</f>
        <v/>
      </c>
      <c r="D319">
        <f>'Runs Z score'!D311</f>
        <v/>
      </c>
      <c r="E319">
        <f>'Runs Z score'!E311</f>
        <v/>
      </c>
      <c r="F319">
        <f>'Runs Z score'!F311</f>
        <v/>
      </c>
      <c r="G319">
        <f>'Runs Z score'!G311</f>
        <v/>
      </c>
      <c r="H319">
        <f>VLOOKUP(C319,Recipes!$A$2:$N$4,10,FALSE())</f>
        <v/>
      </c>
      <c r="I319">
        <f>VLOOKUP(C319,Recipes!$A$2:$N$4,12,FALSE())</f>
        <v/>
      </c>
      <c r="J319">
        <f>IF(G319="","",H319-G319)</f>
        <v/>
      </c>
      <c r="K319">
        <f>IF(G319="","",IF(ABS(G319-H319)&lt;=$B$6*I319,"OK","NG"))</f>
        <v/>
      </c>
      <c r="L319">
        <f>IF(K319="","",IF(K319=D319,1,0))</f>
        <v/>
      </c>
      <c r="M319" t="inlineStr">
        <is>
          <t>S1</t>
        </is>
      </c>
      <c r="N319" s="15" t="n">
        <v>1</v>
      </c>
      <c r="O319" s="15" t="n">
        <v>0</v>
      </c>
      <c r="P319">
        <f>IF(M319="","",IF(M319=E319,1,0))</f>
        <v/>
      </c>
      <c r="Q319">
        <f>IF(K319="OK","-",IF(N319&lt;$B$7,"AMBIGUOUS","CONFIDENT"))</f>
        <v/>
      </c>
    </row>
    <row r="320">
      <c r="A320">
        <f>'Runs Z score'!A312</f>
        <v/>
      </c>
      <c r="B320">
        <f>'Runs Z score'!B312</f>
        <v/>
      </c>
      <c r="C320">
        <f>'Runs Z score'!C312</f>
        <v/>
      </c>
      <c r="D320">
        <f>'Runs Z score'!D312</f>
        <v/>
      </c>
      <c r="E320">
        <f>'Runs Z score'!E312</f>
        <v/>
      </c>
      <c r="F320">
        <f>'Runs Z score'!F312</f>
        <v/>
      </c>
      <c r="G320">
        <f>'Runs Z score'!G312</f>
        <v/>
      </c>
      <c r="H320">
        <f>VLOOKUP(C320,Recipes!$A$2:$N$4,10,FALSE())</f>
        <v/>
      </c>
      <c r="I320">
        <f>VLOOKUP(C320,Recipes!$A$2:$N$4,12,FALSE())</f>
        <v/>
      </c>
      <c r="J320">
        <f>IF(G320="","",H320-G320)</f>
        <v/>
      </c>
      <c r="K320">
        <f>IF(G320="","",IF(ABS(G320-H320)&lt;=$B$6*I320,"OK","NG"))</f>
        <v/>
      </c>
      <c r="L320">
        <f>IF(K320="","",IF(K320=D320,1,0))</f>
        <v/>
      </c>
      <c r="M320" t="inlineStr">
        <is>
          <t>S1</t>
        </is>
      </c>
      <c r="N320" s="15" t="n">
        <v>1</v>
      </c>
      <c r="O320" s="15" t="n">
        <v>0</v>
      </c>
      <c r="P320">
        <f>IF(M320="","",IF(M320=E320,1,0))</f>
        <v/>
      </c>
      <c r="Q320">
        <f>IF(K320="OK","-",IF(N320&lt;$B$7,"AMBIGUOUS","CONFIDENT"))</f>
        <v/>
      </c>
    </row>
    <row r="321">
      <c r="A321">
        <f>'Runs Z score'!A313</f>
        <v/>
      </c>
      <c r="B321">
        <f>'Runs Z score'!B313</f>
        <v/>
      </c>
      <c r="C321">
        <f>'Runs Z score'!C313</f>
        <v/>
      </c>
      <c r="D321">
        <f>'Runs Z score'!D313</f>
        <v/>
      </c>
      <c r="E321">
        <f>'Runs Z score'!E313</f>
        <v/>
      </c>
      <c r="F321">
        <f>'Runs Z score'!F313</f>
        <v/>
      </c>
      <c r="G321">
        <f>'Runs Z score'!G313</f>
        <v/>
      </c>
      <c r="H321">
        <f>VLOOKUP(C321,Recipes!$A$2:$N$4,10,FALSE())</f>
        <v/>
      </c>
      <c r="I321">
        <f>VLOOKUP(C321,Recipes!$A$2:$N$4,12,FALSE())</f>
        <v/>
      </c>
      <c r="J321">
        <f>IF(G321="","",H321-G321)</f>
        <v/>
      </c>
      <c r="K321">
        <f>IF(G321="","",IF(ABS(G321-H321)&lt;=$B$6*I321,"OK","NG"))</f>
        <v/>
      </c>
      <c r="L321">
        <f>IF(K321="","",IF(K321=D321,1,0))</f>
        <v/>
      </c>
      <c r="M321" t="inlineStr">
        <is>
          <t>S1</t>
        </is>
      </c>
      <c r="N321" s="15" t="n">
        <v>1</v>
      </c>
      <c r="O321" s="15" t="n">
        <v>0</v>
      </c>
      <c r="P321">
        <f>IF(M321="","",IF(M321=E321,1,0))</f>
        <v/>
      </c>
      <c r="Q321">
        <f>IF(K321="OK","-",IF(N321&lt;$B$7,"AMBIGUOUS","CONFIDENT"))</f>
        <v/>
      </c>
    </row>
    <row r="322">
      <c r="A322">
        <f>'Runs Z score'!A314</f>
        <v/>
      </c>
      <c r="B322">
        <f>'Runs Z score'!B314</f>
        <v/>
      </c>
      <c r="C322">
        <f>'Runs Z score'!C314</f>
        <v/>
      </c>
      <c r="D322">
        <f>'Runs Z score'!D314</f>
        <v/>
      </c>
      <c r="E322">
        <f>'Runs Z score'!E314</f>
        <v/>
      </c>
      <c r="F322">
        <f>'Runs Z score'!F314</f>
        <v/>
      </c>
      <c r="G322">
        <f>'Runs Z score'!G314</f>
        <v/>
      </c>
      <c r="H322">
        <f>VLOOKUP(C322,Recipes!$A$2:$N$4,10,FALSE())</f>
        <v/>
      </c>
      <c r="I322">
        <f>VLOOKUP(C322,Recipes!$A$2:$N$4,12,FALSE())</f>
        <v/>
      </c>
      <c r="J322">
        <f>IF(G322="","",H322-G322)</f>
        <v/>
      </c>
      <c r="K322">
        <f>IF(G322="","",IF(ABS(G322-H322)&lt;=$B$6*I322,"OK","NG"))</f>
        <v/>
      </c>
      <c r="L322">
        <f>IF(K322="","",IF(K322=D322,1,0))</f>
        <v/>
      </c>
      <c r="M322" t="inlineStr">
        <is>
          <t>S1</t>
        </is>
      </c>
      <c r="N322" s="15" t="n">
        <v>1</v>
      </c>
      <c r="O322" s="15" t="n">
        <v>0</v>
      </c>
      <c r="P322">
        <f>IF(M322="","",IF(M322=E322,1,0))</f>
        <v/>
      </c>
      <c r="Q322">
        <f>IF(K322="OK","-",IF(N322&lt;$B$7,"AMBIGUOUS","CONFIDENT"))</f>
        <v/>
      </c>
    </row>
    <row r="323">
      <c r="A323">
        <f>'Runs Z score'!A315</f>
        <v/>
      </c>
      <c r="B323">
        <f>'Runs Z score'!B315</f>
        <v/>
      </c>
      <c r="C323">
        <f>'Runs Z score'!C315</f>
        <v/>
      </c>
      <c r="D323">
        <f>'Runs Z score'!D315</f>
        <v/>
      </c>
      <c r="E323">
        <f>'Runs Z score'!E315</f>
        <v/>
      </c>
      <c r="F323">
        <f>'Runs Z score'!F315</f>
        <v/>
      </c>
      <c r="G323">
        <f>'Runs Z score'!G315</f>
        <v/>
      </c>
      <c r="H323">
        <f>VLOOKUP(C323,Recipes!$A$2:$N$4,10,FALSE())</f>
        <v/>
      </c>
      <c r="I323">
        <f>VLOOKUP(C323,Recipes!$A$2:$N$4,12,FALSE())</f>
        <v/>
      </c>
      <c r="J323">
        <f>IF(G323="","",H323-G323)</f>
        <v/>
      </c>
      <c r="K323">
        <f>IF(G323="","",IF(ABS(G323-H323)&lt;=$B$6*I323,"OK","NG"))</f>
        <v/>
      </c>
      <c r="L323">
        <f>IF(K323="","",IF(K323=D323,1,0))</f>
        <v/>
      </c>
      <c r="M323" t="inlineStr">
        <is>
          <t>S1</t>
        </is>
      </c>
      <c r="N323" s="15" t="n">
        <v>1</v>
      </c>
      <c r="O323" s="15" t="n">
        <v>0</v>
      </c>
      <c r="P323">
        <f>IF(M323="","",IF(M323=E323,1,0))</f>
        <v/>
      </c>
      <c r="Q323">
        <f>IF(K323="OK","-",IF(N323&lt;$B$7,"AMBIGUOUS","CONFIDENT"))</f>
        <v/>
      </c>
    </row>
    <row r="324">
      <c r="A324">
        <f>'Runs Z score'!A316</f>
        <v/>
      </c>
      <c r="B324">
        <f>'Runs Z score'!B316</f>
        <v/>
      </c>
      <c r="C324">
        <f>'Runs Z score'!C316</f>
        <v/>
      </c>
      <c r="D324">
        <f>'Runs Z score'!D316</f>
        <v/>
      </c>
      <c r="E324">
        <f>'Runs Z score'!E316</f>
        <v/>
      </c>
      <c r="F324">
        <f>'Runs Z score'!F316</f>
        <v/>
      </c>
      <c r="G324">
        <f>'Runs Z score'!G316</f>
        <v/>
      </c>
      <c r="H324">
        <f>VLOOKUP(C324,Recipes!$A$2:$N$4,10,FALSE())</f>
        <v/>
      </c>
      <c r="I324">
        <f>VLOOKUP(C324,Recipes!$A$2:$N$4,12,FALSE())</f>
        <v/>
      </c>
      <c r="J324">
        <f>IF(G324="","",H324-G324)</f>
        <v/>
      </c>
      <c r="K324">
        <f>IF(G324="","",IF(ABS(G324-H324)&lt;=$B$6*I324,"OK","NG"))</f>
        <v/>
      </c>
      <c r="L324">
        <f>IF(K324="","",IF(K324=D324,1,0))</f>
        <v/>
      </c>
      <c r="M324" t="inlineStr">
        <is>
          <t>S1</t>
        </is>
      </c>
      <c r="N324" s="15" t="n">
        <v>1</v>
      </c>
      <c r="O324" s="15" t="n">
        <v>0</v>
      </c>
      <c r="P324">
        <f>IF(M324="","",IF(M324=E324,1,0))</f>
        <v/>
      </c>
      <c r="Q324">
        <f>IF(K324="OK","-",IF(N324&lt;$B$7,"AMBIGUOUS","CONFIDENT"))</f>
        <v/>
      </c>
    </row>
    <row r="325">
      <c r="A325">
        <f>'Runs Z score'!A317</f>
        <v/>
      </c>
      <c r="B325">
        <f>'Runs Z score'!B317</f>
        <v/>
      </c>
      <c r="C325">
        <f>'Runs Z score'!C317</f>
        <v/>
      </c>
      <c r="D325">
        <f>'Runs Z score'!D317</f>
        <v/>
      </c>
      <c r="E325">
        <f>'Runs Z score'!E317</f>
        <v/>
      </c>
      <c r="F325">
        <f>'Runs Z score'!F317</f>
        <v/>
      </c>
      <c r="G325">
        <f>'Runs Z score'!G317</f>
        <v/>
      </c>
      <c r="H325">
        <f>VLOOKUP(C325,Recipes!$A$2:$N$4,10,FALSE())</f>
        <v/>
      </c>
      <c r="I325">
        <f>VLOOKUP(C325,Recipes!$A$2:$N$4,12,FALSE())</f>
        <v/>
      </c>
      <c r="J325">
        <f>IF(G325="","",H325-G325)</f>
        <v/>
      </c>
      <c r="K325">
        <f>IF(G325="","",IF(ABS(G325-H325)&lt;=$B$6*I325,"OK","NG"))</f>
        <v/>
      </c>
      <c r="L325">
        <f>IF(K325="","",IF(K325=D325,1,0))</f>
        <v/>
      </c>
      <c r="M325" t="inlineStr">
        <is>
          <t>S1</t>
        </is>
      </c>
      <c r="N325" s="15" t="n">
        <v>1</v>
      </c>
      <c r="O325" s="15" t="n">
        <v>0</v>
      </c>
      <c r="P325">
        <f>IF(M325="","",IF(M325=E325,1,0))</f>
        <v/>
      </c>
      <c r="Q325">
        <f>IF(K325="OK","-",IF(N325&lt;$B$7,"AMBIGUOUS","CONFIDENT"))</f>
        <v/>
      </c>
    </row>
    <row r="326">
      <c r="A326">
        <f>'Runs Z score'!A318</f>
        <v/>
      </c>
      <c r="B326">
        <f>'Runs Z score'!B318</f>
        <v/>
      </c>
      <c r="C326">
        <f>'Runs Z score'!C318</f>
        <v/>
      </c>
      <c r="D326">
        <f>'Runs Z score'!D318</f>
        <v/>
      </c>
      <c r="E326">
        <f>'Runs Z score'!E318</f>
        <v/>
      </c>
      <c r="F326">
        <f>'Runs Z score'!F318</f>
        <v/>
      </c>
      <c r="G326">
        <f>'Runs Z score'!G318</f>
        <v/>
      </c>
      <c r="H326">
        <f>VLOOKUP(C326,Recipes!$A$2:$N$4,10,FALSE())</f>
        <v/>
      </c>
      <c r="I326">
        <f>VLOOKUP(C326,Recipes!$A$2:$N$4,12,FALSE())</f>
        <v/>
      </c>
      <c r="J326">
        <f>IF(G326="","",H326-G326)</f>
        <v/>
      </c>
      <c r="K326">
        <f>IF(G326="","",IF(ABS(G326-H326)&lt;=$B$6*I326,"OK","NG"))</f>
        <v/>
      </c>
      <c r="L326">
        <f>IF(K326="","",IF(K326=D326,1,0))</f>
        <v/>
      </c>
      <c r="M326" t="inlineStr">
        <is>
          <t>S1</t>
        </is>
      </c>
      <c r="N326" s="15" t="n">
        <v>1</v>
      </c>
      <c r="O326" s="15" t="n">
        <v>0</v>
      </c>
      <c r="P326">
        <f>IF(M326="","",IF(M326=E326,1,0))</f>
        <v/>
      </c>
      <c r="Q326">
        <f>IF(K326="OK","-",IF(N326&lt;$B$7,"AMBIGUOUS","CONFIDENT"))</f>
        <v/>
      </c>
    </row>
    <row r="327">
      <c r="A327">
        <f>'Runs Z score'!A319</f>
        <v/>
      </c>
      <c r="B327">
        <f>'Runs Z score'!B319</f>
        <v/>
      </c>
      <c r="C327">
        <f>'Runs Z score'!C319</f>
        <v/>
      </c>
      <c r="D327">
        <f>'Runs Z score'!D319</f>
        <v/>
      </c>
      <c r="E327">
        <f>'Runs Z score'!E319</f>
        <v/>
      </c>
      <c r="F327">
        <f>'Runs Z score'!F319</f>
        <v/>
      </c>
      <c r="G327">
        <f>'Runs Z score'!G319</f>
        <v/>
      </c>
      <c r="H327">
        <f>VLOOKUP(C327,Recipes!$A$2:$N$4,10,FALSE())</f>
        <v/>
      </c>
      <c r="I327">
        <f>VLOOKUP(C327,Recipes!$A$2:$N$4,12,FALSE())</f>
        <v/>
      </c>
      <c r="J327">
        <f>IF(G327="","",H327-G327)</f>
        <v/>
      </c>
      <c r="K327">
        <f>IF(G327="","",IF(ABS(G327-H327)&lt;=$B$6*I327,"OK","NG"))</f>
        <v/>
      </c>
      <c r="L327">
        <f>IF(K327="","",IF(K327=D327,1,0))</f>
        <v/>
      </c>
      <c r="M327" t="inlineStr">
        <is>
          <t>S1</t>
        </is>
      </c>
      <c r="N327" s="15" t="n">
        <v>1</v>
      </c>
      <c r="O327" s="15" t="n">
        <v>0</v>
      </c>
      <c r="P327">
        <f>IF(M327="","",IF(M327=E327,1,0))</f>
        <v/>
      </c>
      <c r="Q327">
        <f>IF(K327="OK","-",IF(N327&lt;$B$7,"AMBIGUOUS","CONFIDENT"))</f>
        <v/>
      </c>
    </row>
    <row r="328">
      <c r="A328">
        <f>'Runs Z score'!A320</f>
        <v/>
      </c>
      <c r="B328">
        <f>'Runs Z score'!B320</f>
        <v/>
      </c>
      <c r="C328">
        <f>'Runs Z score'!C320</f>
        <v/>
      </c>
      <c r="D328">
        <f>'Runs Z score'!D320</f>
        <v/>
      </c>
      <c r="E328">
        <f>'Runs Z score'!E320</f>
        <v/>
      </c>
      <c r="F328">
        <f>'Runs Z score'!F320</f>
        <v/>
      </c>
      <c r="G328">
        <f>'Runs Z score'!G320</f>
        <v/>
      </c>
      <c r="H328">
        <f>VLOOKUP(C328,Recipes!$A$2:$N$4,10,FALSE())</f>
        <v/>
      </c>
      <c r="I328">
        <f>VLOOKUP(C328,Recipes!$A$2:$N$4,12,FALSE())</f>
        <v/>
      </c>
      <c r="J328">
        <f>IF(G328="","",H328-G328)</f>
        <v/>
      </c>
      <c r="K328">
        <f>IF(G328="","",IF(ABS(G328-H328)&lt;=$B$6*I328,"OK","NG"))</f>
        <v/>
      </c>
      <c r="L328">
        <f>IF(K328="","",IF(K328=D328,1,0))</f>
        <v/>
      </c>
      <c r="M328" t="inlineStr">
        <is>
          <t>S1</t>
        </is>
      </c>
      <c r="N328" s="15" t="n">
        <v>1</v>
      </c>
      <c r="O328" s="15" t="n">
        <v>0</v>
      </c>
      <c r="P328">
        <f>IF(M328="","",IF(M328=E328,1,0))</f>
        <v/>
      </c>
      <c r="Q328">
        <f>IF(K328="OK","-",IF(N328&lt;$B$7,"AMBIGUOUS","CONFIDENT"))</f>
        <v/>
      </c>
    </row>
    <row r="329">
      <c r="A329">
        <f>'Runs Z score'!A321</f>
        <v/>
      </c>
      <c r="B329">
        <f>'Runs Z score'!B321</f>
        <v/>
      </c>
      <c r="C329">
        <f>'Runs Z score'!C321</f>
        <v/>
      </c>
      <c r="D329">
        <f>'Runs Z score'!D321</f>
        <v/>
      </c>
      <c r="E329">
        <f>'Runs Z score'!E321</f>
        <v/>
      </c>
      <c r="F329">
        <f>'Runs Z score'!F321</f>
        <v/>
      </c>
      <c r="G329">
        <f>'Runs Z score'!G321</f>
        <v/>
      </c>
      <c r="H329">
        <f>VLOOKUP(C329,Recipes!$A$2:$N$4,10,FALSE())</f>
        <v/>
      </c>
      <c r="I329">
        <f>VLOOKUP(C329,Recipes!$A$2:$N$4,12,FALSE())</f>
        <v/>
      </c>
      <c r="J329">
        <f>IF(G329="","",H329-G329)</f>
        <v/>
      </c>
      <c r="K329">
        <f>IF(G329="","",IF(ABS(G329-H329)&lt;=$B$6*I329,"OK","NG"))</f>
        <v/>
      </c>
      <c r="L329">
        <f>IF(K329="","",IF(K329=D329,1,0))</f>
        <v/>
      </c>
      <c r="M329" t="inlineStr">
        <is>
          <t>S1</t>
        </is>
      </c>
      <c r="N329" s="15" t="n">
        <v>1</v>
      </c>
      <c r="O329" s="15" t="n">
        <v>0</v>
      </c>
      <c r="P329">
        <f>IF(M329="","",IF(M329=E329,1,0))</f>
        <v/>
      </c>
      <c r="Q329">
        <f>IF(K329="OK","-",IF(N329&lt;$B$7,"AMBIGUOUS","CONFIDENT"))</f>
        <v/>
      </c>
    </row>
    <row r="330">
      <c r="A330">
        <f>'Runs Z score'!A322</f>
        <v/>
      </c>
      <c r="B330">
        <f>'Runs Z score'!B322</f>
        <v/>
      </c>
      <c r="C330">
        <f>'Runs Z score'!C322</f>
        <v/>
      </c>
      <c r="D330">
        <f>'Runs Z score'!D322</f>
        <v/>
      </c>
      <c r="E330">
        <f>'Runs Z score'!E322</f>
        <v/>
      </c>
      <c r="F330">
        <f>'Runs Z score'!F322</f>
        <v/>
      </c>
      <c r="G330">
        <f>'Runs Z score'!G322</f>
        <v/>
      </c>
      <c r="H330">
        <f>VLOOKUP(C330,Recipes!$A$2:$N$4,10,FALSE())</f>
        <v/>
      </c>
      <c r="I330">
        <f>VLOOKUP(C330,Recipes!$A$2:$N$4,12,FALSE())</f>
        <v/>
      </c>
      <c r="J330">
        <f>IF(G330="","",H330-G330)</f>
        <v/>
      </c>
      <c r="K330">
        <f>IF(G330="","",IF(ABS(G330-H330)&lt;=$B$6*I330,"OK","NG"))</f>
        <v/>
      </c>
      <c r="L330">
        <f>IF(K330="","",IF(K330=D330,1,0))</f>
        <v/>
      </c>
      <c r="M330" t="inlineStr">
        <is>
          <t>S1</t>
        </is>
      </c>
      <c r="N330" s="15" t="n">
        <v>1</v>
      </c>
      <c r="O330" s="15" t="n">
        <v>0</v>
      </c>
      <c r="P330">
        <f>IF(M330="","",IF(M330=E330,1,0))</f>
        <v/>
      </c>
      <c r="Q330">
        <f>IF(K330="OK","-",IF(N330&lt;$B$7,"AMBIGUOUS","CONFIDENT"))</f>
        <v/>
      </c>
    </row>
    <row r="331">
      <c r="A331">
        <f>'Runs Z score'!A323</f>
        <v/>
      </c>
      <c r="B331">
        <f>'Runs Z score'!B323</f>
        <v/>
      </c>
      <c r="C331">
        <f>'Runs Z score'!C323</f>
        <v/>
      </c>
      <c r="D331">
        <f>'Runs Z score'!D323</f>
        <v/>
      </c>
      <c r="E331">
        <f>'Runs Z score'!E323</f>
        <v/>
      </c>
      <c r="F331">
        <f>'Runs Z score'!F323</f>
        <v/>
      </c>
      <c r="G331">
        <f>'Runs Z score'!G323</f>
        <v/>
      </c>
      <c r="H331">
        <f>VLOOKUP(C331,Recipes!$A$2:$N$4,10,FALSE())</f>
        <v/>
      </c>
      <c r="I331">
        <f>VLOOKUP(C331,Recipes!$A$2:$N$4,12,FALSE())</f>
        <v/>
      </c>
      <c r="J331">
        <f>IF(G331="","",H331-G331)</f>
        <v/>
      </c>
      <c r="K331">
        <f>IF(G331="","",IF(ABS(G331-H331)&lt;=$B$6*I331,"OK","NG"))</f>
        <v/>
      </c>
      <c r="L331">
        <f>IF(K331="","",IF(K331=D331,1,0))</f>
        <v/>
      </c>
      <c r="M331" t="inlineStr">
        <is>
          <t>S1</t>
        </is>
      </c>
      <c r="N331" s="15" t="n">
        <v>1</v>
      </c>
      <c r="O331" s="15" t="n">
        <v>0</v>
      </c>
      <c r="P331">
        <f>IF(M331="","",IF(M331=E331,1,0))</f>
        <v/>
      </c>
      <c r="Q331">
        <f>IF(K331="OK","-",IF(N331&lt;$B$7,"AMBIGUOUS","CONFIDENT"))</f>
        <v/>
      </c>
    </row>
    <row r="332">
      <c r="A332">
        <f>'Runs Z score'!A324</f>
        <v/>
      </c>
      <c r="B332">
        <f>'Runs Z score'!B324</f>
        <v/>
      </c>
      <c r="C332">
        <f>'Runs Z score'!C324</f>
        <v/>
      </c>
      <c r="D332">
        <f>'Runs Z score'!D324</f>
        <v/>
      </c>
      <c r="E332">
        <f>'Runs Z score'!E324</f>
        <v/>
      </c>
      <c r="F332">
        <f>'Runs Z score'!F324</f>
        <v/>
      </c>
      <c r="G332">
        <f>'Runs Z score'!G324</f>
        <v/>
      </c>
      <c r="H332">
        <f>VLOOKUP(C332,Recipes!$A$2:$N$4,10,FALSE())</f>
        <v/>
      </c>
      <c r="I332">
        <f>VLOOKUP(C332,Recipes!$A$2:$N$4,12,FALSE())</f>
        <v/>
      </c>
      <c r="J332">
        <f>IF(G332="","",H332-G332)</f>
        <v/>
      </c>
      <c r="K332">
        <f>IF(G332="","",IF(ABS(G332-H332)&lt;=$B$6*I332,"OK","NG"))</f>
        <v/>
      </c>
      <c r="L332">
        <f>IF(K332="","",IF(K332=D332,1,0))</f>
        <v/>
      </c>
      <c r="M332" t="inlineStr">
        <is>
          <t>S1</t>
        </is>
      </c>
      <c r="N332" s="15" t="n">
        <v>1</v>
      </c>
      <c r="O332" s="15" t="n">
        <v>0</v>
      </c>
      <c r="P332">
        <f>IF(M332="","",IF(M332=E332,1,0))</f>
        <v/>
      </c>
      <c r="Q332">
        <f>IF(K332="OK","-",IF(N332&lt;$B$7,"AMBIGUOUS","CONFIDENT"))</f>
        <v/>
      </c>
    </row>
    <row r="333">
      <c r="A333">
        <f>'Runs Z score'!A325</f>
        <v/>
      </c>
      <c r="B333">
        <f>'Runs Z score'!B325</f>
        <v/>
      </c>
      <c r="C333">
        <f>'Runs Z score'!C325</f>
        <v/>
      </c>
      <c r="D333">
        <f>'Runs Z score'!D325</f>
        <v/>
      </c>
      <c r="E333">
        <f>'Runs Z score'!E325</f>
        <v/>
      </c>
      <c r="F333">
        <f>'Runs Z score'!F325</f>
        <v/>
      </c>
      <c r="G333">
        <f>'Runs Z score'!G325</f>
        <v/>
      </c>
      <c r="H333">
        <f>VLOOKUP(C333,Recipes!$A$2:$N$4,10,FALSE())</f>
        <v/>
      </c>
      <c r="I333">
        <f>VLOOKUP(C333,Recipes!$A$2:$N$4,12,FALSE())</f>
        <v/>
      </c>
      <c r="J333">
        <f>IF(G333="","",H333-G333)</f>
        <v/>
      </c>
      <c r="K333">
        <f>IF(G333="","",IF(ABS(G333-H333)&lt;=$B$6*I333,"OK","NG"))</f>
        <v/>
      </c>
      <c r="L333">
        <f>IF(K333="","",IF(K333=D333,1,0))</f>
        <v/>
      </c>
      <c r="M333" t="inlineStr">
        <is>
          <t>S1</t>
        </is>
      </c>
      <c r="N333" s="15" t="n">
        <v>1</v>
      </c>
      <c r="O333" s="15" t="n">
        <v>0</v>
      </c>
      <c r="P333">
        <f>IF(M333="","",IF(M333=E333,1,0))</f>
        <v/>
      </c>
      <c r="Q333">
        <f>IF(K333="OK","-",IF(N333&lt;$B$7,"AMBIGUOUS","CONFIDENT"))</f>
        <v/>
      </c>
    </row>
    <row r="334">
      <c r="A334">
        <f>'Runs Z score'!A326</f>
        <v/>
      </c>
      <c r="B334">
        <f>'Runs Z score'!B326</f>
        <v/>
      </c>
      <c r="C334">
        <f>'Runs Z score'!C326</f>
        <v/>
      </c>
      <c r="D334">
        <f>'Runs Z score'!D326</f>
        <v/>
      </c>
      <c r="E334">
        <f>'Runs Z score'!E326</f>
        <v/>
      </c>
      <c r="F334">
        <f>'Runs Z score'!F326</f>
        <v/>
      </c>
      <c r="G334">
        <f>'Runs Z score'!G326</f>
        <v/>
      </c>
      <c r="H334">
        <f>VLOOKUP(C334,Recipes!$A$2:$N$4,10,FALSE())</f>
        <v/>
      </c>
      <c r="I334">
        <f>VLOOKUP(C334,Recipes!$A$2:$N$4,12,FALSE())</f>
        <v/>
      </c>
      <c r="J334">
        <f>IF(G334="","",H334-G334)</f>
        <v/>
      </c>
      <c r="K334">
        <f>IF(G334="","",IF(ABS(G334-H334)&lt;=$B$6*I334,"OK","NG"))</f>
        <v/>
      </c>
      <c r="L334">
        <f>IF(K334="","",IF(K334=D334,1,0))</f>
        <v/>
      </c>
      <c r="M334" t="inlineStr">
        <is>
          <t>S1</t>
        </is>
      </c>
      <c r="N334" s="15" t="n">
        <v>1</v>
      </c>
      <c r="O334" s="15" t="n">
        <v>0</v>
      </c>
      <c r="P334">
        <f>IF(M334="","",IF(M334=E334,1,0))</f>
        <v/>
      </c>
      <c r="Q334">
        <f>IF(K334="OK","-",IF(N334&lt;$B$7,"AMBIGUOUS","CONFIDENT"))</f>
        <v/>
      </c>
    </row>
    <row r="335">
      <c r="A335">
        <f>'Runs Z score'!A327</f>
        <v/>
      </c>
      <c r="B335">
        <f>'Runs Z score'!B327</f>
        <v/>
      </c>
      <c r="C335">
        <f>'Runs Z score'!C327</f>
        <v/>
      </c>
      <c r="D335">
        <f>'Runs Z score'!D327</f>
        <v/>
      </c>
      <c r="E335">
        <f>'Runs Z score'!E327</f>
        <v/>
      </c>
      <c r="F335">
        <f>'Runs Z score'!F327</f>
        <v/>
      </c>
      <c r="G335">
        <f>'Runs Z score'!G327</f>
        <v/>
      </c>
      <c r="H335">
        <f>VLOOKUP(C335,Recipes!$A$2:$N$4,10,FALSE())</f>
        <v/>
      </c>
      <c r="I335">
        <f>VLOOKUP(C335,Recipes!$A$2:$N$4,12,FALSE())</f>
        <v/>
      </c>
      <c r="J335">
        <f>IF(G335="","",H335-G335)</f>
        <v/>
      </c>
      <c r="K335">
        <f>IF(G335="","",IF(ABS(G335-H335)&lt;=$B$6*I335,"OK","NG"))</f>
        <v/>
      </c>
      <c r="L335">
        <f>IF(K335="","",IF(K335=D335,1,0))</f>
        <v/>
      </c>
      <c r="M335" t="inlineStr">
        <is>
          <t>S1</t>
        </is>
      </c>
      <c r="N335" s="15" t="n">
        <v>1</v>
      </c>
      <c r="O335" s="15" t="n">
        <v>0</v>
      </c>
      <c r="P335">
        <f>IF(M335="","",IF(M335=E335,1,0))</f>
        <v/>
      </c>
      <c r="Q335">
        <f>IF(K335="OK","-",IF(N335&lt;$B$7,"AMBIGUOUS","CONFIDENT"))</f>
        <v/>
      </c>
    </row>
    <row r="336">
      <c r="A336">
        <f>'Runs Z score'!A328</f>
        <v/>
      </c>
      <c r="B336">
        <f>'Runs Z score'!B328</f>
        <v/>
      </c>
      <c r="C336">
        <f>'Runs Z score'!C328</f>
        <v/>
      </c>
      <c r="D336">
        <f>'Runs Z score'!D328</f>
        <v/>
      </c>
      <c r="E336">
        <f>'Runs Z score'!E328</f>
        <v/>
      </c>
      <c r="F336">
        <f>'Runs Z score'!F328</f>
        <v/>
      </c>
      <c r="G336">
        <f>'Runs Z score'!G328</f>
        <v/>
      </c>
      <c r="H336">
        <f>VLOOKUP(C336,Recipes!$A$2:$N$4,10,FALSE())</f>
        <v/>
      </c>
      <c r="I336">
        <f>VLOOKUP(C336,Recipes!$A$2:$N$4,12,FALSE())</f>
        <v/>
      </c>
      <c r="J336">
        <f>IF(G336="","",H336-G336)</f>
        <v/>
      </c>
      <c r="K336">
        <f>IF(G336="","",IF(ABS(G336-H336)&lt;=$B$6*I336,"OK","NG"))</f>
        <v/>
      </c>
      <c r="L336">
        <f>IF(K336="","",IF(K336=D336,1,0))</f>
        <v/>
      </c>
      <c r="M336" t="inlineStr">
        <is>
          <t>S1</t>
        </is>
      </c>
      <c r="N336" s="15" t="n">
        <v>1</v>
      </c>
      <c r="O336" s="15" t="n">
        <v>0</v>
      </c>
      <c r="P336">
        <f>IF(M336="","",IF(M336=E336,1,0))</f>
        <v/>
      </c>
      <c r="Q336">
        <f>IF(K336="OK","-",IF(N336&lt;$B$7,"AMBIGUOUS","CONFIDENT"))</f>
        <v/>
      </c>
    </row>
    <row r="337">
      <c r="A337">
        <f>'Runs Z score'!A329</f>
        <v/>
      </c>
      <c r="B337">
        <f>'Runs Z score'!B329</f>
        <v/>
      </c>
      <c r="C337">
        <f>'Runs Z score'!C329</f>
        <v/>
      </c>
      <c r="D337">
        <f>'Runs Z score'!D329</f>
        <v/>
      </c>
      <c r="E337">
        <f>'Runs Z score'!E329</f>
        <v/>
      </c>
      <c r="F337">
        <f>'Runs Z score'!F329</f>
        <v/>
      </c>
      <c r="G337">
        <f>'Runs Z score'!G329</f>
        <v/>
      </c>
      <c r="H337">
        <f>VLOOKUP(C337,Recipes!$A$2:$N$4,10,FALSE())</f>
        <v/>
      </c>
      <c r="I337">
        <f>VLOOKUP(C337,Recipes!$A$2:$N$4,12,FALSE())</f>
        <v/>
      </c>
      <c r="J337">
        <f>IF(G337="","",H337-G337)</f>
        <v/>
      </c>
      <c r="K337">
        <f>IF(G337="","",IF(ABS(G337-H337)&lt;=$B$6*I337,"OK","NG"))</f>
        <v/>
      </c>
      <c r="L337">
        <f>IF(K337="","",IF(K337=D337,1,0))</f>
        <v/>
      </c>
      <c r="M337" t="inlineStr">
        <is>
          <t>S1</t>
        </is>
      </c>
      <c r="N337" s="15" t="n">
        <v>1</v>
      </c>
      <c r="O337" s="15" t="n">
        <v>0</v>
      </c>
      <c r="P337">
        <f>IF(M337="","",IF(M337=E337,1,0))</f>
        <v/>
      </c>
      <c r="Q337">
        <f>IF(K337="OK","-",IF(N337&lt;$B$7,"AMBIGUOUS","CONFIDENT"))</f>
        <v/>
      </c>
    </row>
    <row r="338">
      <c r="A338">
        <f>'Runs Z score'!A330</f>
        <v/>
      </c>
      <c r="B338">
        <f>'Runs Z score'!B330</f>
        <v/>
      </c>
      <c r="C338">
        <f>'Runs Z score'!C330</f>
        <v/>
      </c>
      <c r="D338">
        <f>'Runs Z score'!D330</f>
        <v/>
      </c>
      <c r="E338">
        <f>'Runs Z score'!E330</f>
        <v/>
      </c>
      <c r="F338">
        <f>'Runs Z score'!F330</f>
        <v/>
      </c>
      <c r="G338">
        <f>'Runs Z score'!G330</f>
        <v/>
      </c>
      <c r="H338">
        <f>VLOOKUP(C338,Recipes!$A$2:$N$4,10,FALSE())</f>
        <v/>
      </c>
      <c r="I338">
        <f>VLOOKUP(C338,Recipes!$A$2:$N$4,12,FALSE())</f>
        <v/>
      </c>
      <c r="J338">
        <f>IF(G338="","",H338-G338)</f>
        <v/>
      </c>
      <c r="K338">
        <f>IF(G338="","",IF(ABS(G338-H338)&lt;=$B$6*I338,"OK","NG"))</f>
        <v/>
      </c>
      <c r="L338">
        <f>IF(K338="","",IF(K338=D338,1,0))</f>
        <v/>
      </c>
      <c r="M338" t="inlineStr">
        <is>
          <t>S1</t>
        </is>
      </c>
      <c r="N338" s="15" t="n">
        <v>1</v>
      </c>
      <c r="O338" s="15" t="n">
        <v>0</v>
      </c>
      <c r="P338">
        <f>IF(M338="","",IF(M338=E338,1,0))</f>
        <v/>
      </c>
      <c r="Q338">
        <f>IF(K338="OK","-",IF(N338&lt;$B$7,"AMBIGUOUS","CONFIDENT"))</f>
        <v/>
      </c>
    </row>
    <row r="339">
      <c r="A339">
        <f>'Runs Z score'!A331</f>
        <v/>
      </c>
      <c r="B339">
        <f>'Runs Z score'!B331</f>
        <v/>
      </c>
      <c r="C339">
        <f>'Runs Z score'!C331</f>
        <v/>
      </c>
      <c r="D339">
        <f>'Runs Z score'!D331</f>
        <v/>
      </c>
      <c r="E339">
        <f>'Runs Z score'!E331</f>
        <v/>
      </c>
      <c r="F339">
        <f>'Runs Z score'!F331</f>
        <v/>
      </c>
      <c r="G339">
        <f>'Runs Z score'!G331</f>
        <v/>
      </c>
      <c r="H339">
        <f>VLOOKUP(C339,Recipes!$A$2:$N$4,10,FALSE())</f>
        <v/>
      </c>
      <c r="I339">
        <f>VLOOKUP(C339,Recipes!$A$2:$N$4,12,FALSE())</f>
        <v/>
      </c>
      <c r="J339">
        <f>IF(G339="","",H339-G339)</f>
        <v/>
      </c>
      <c r="K339">
        <f>IF(G339="","",IF(ABS(G339-H339)&lt;=$B$6*I339,"OK","NG"))</f>
        <v/>
      </c>
      <c r="L339">
        <f>IF(K339="","",IF(K339=D339,1,0))</f>
        <v/>
      </c>
      <c r="M339" t="inlineStr">
        <is>
          <t>S1</t>
        </is>
      </c>
      <c r="N339" s="15" t="n">
        <v>1</v>
      </c>
      <c r="O339" s="15" t="n">
        <v>0</v>
      </c>
      <c r="P339">
        <f>IF(M339="","",IF(M339=E339,1,0))</f>
        <v/>
      </c>
      <c r="Q339">
        <f>IF(K339="OK","-",IF(N339&lt;$B$7,"AMBIGUOUS","CONFIDENT"))</f>
        <v/>
      </c>
    </row>
    <row r="340">
      <c r="A340">
        <f>'Runs Z score'!A332</f>
        <v/>
      </c>
      <c r="B340">
        <f>'Runs Z score'!B332</f>
        <v/>
      </c>
      <c r="C340">
        <f>'Runs Z score'!C332</f>
        <v/>
      </c>
      <c r="D340">
        <f>'Runs Z score'!D332</f>
        <v/>
      </c>
      <c r="E340">
        <f>'Runs Z score'!E332</f>
        <v/>
      </c>
      <c r="F340">
        <f>'Runs Z score'!F332</f>
        <v/>
      </c>
      <c r="G340">
        <f>'Runs Z score'!G332</f>
        <v/>
      </c>
      <c r="H340">
        <f>VLOOKUP(C340,Recipes!$A$2:$N$4,10,FALSE())</f>
        <v/>
      </c>
      <c r="I340">
        <f>VLOOKUP(C340,Recipes!$A$2:$N$4,12,FALSE())</f>
        <v/>
      </c>
      <c r="J340">
        <f>IF(G340="","",H340-G340)</f>
        <v/>
      </c>
      <c r="K340">
        <f>IF(G340="","",IF(ABS(G340-H340)&lt;=$B$6*I340,"OK","NG"))</f>
        <v/>
      </c>
      <c r="L340">
        <f>IF(K340="","",IF(K340=D340,1,0))</f>
        <v/>
      </c>
      <c r="M340" t="inlineStr">
        <is>
          <t>S1</t>
        </is>
      </c>
      <c r="N340" s="15" t="n">
        <v>1</v>
      </c>
      <c r="O340" s="15" t="n">
        <v>0</v>
      </c>
      <c r="P340">
        <f>IF(M340="","",IF(M340=E340,1,0))</f>
        <v/>
      </c>
      <c r="Q340">
        <f>IF(K340="OK","-",IF(N340&lt;$B$7,"AMBIGUOUS","CONFIDENT"))</f>
        <v/>
      </c>
    </row>
    <row r="341">
      <c r="A341">
        <f>'Runs Z score'!A333</f>
        <v/>
      </c>
      <c r="B341">
        <f>'Runs Z score'!B333</f>
        <v/>
      </c>
      <c r="C341">
        <f>'Runs Z score'!C333</f>
        <v/>
      </c>
      <c r="D341">
        <f>'Runs Z score'!D333</f>
        <v/>
      </c>
      <c r="E341">
        <f>'Runs Z score'!E333</f>
        <v/>
      </c>
      <c r="F341">
        <f>'Runs Z score'!F333</f>
        <v/>
      </c>
      <c r="G341">
        <f>'Runs Z score'!G333</f>
        <v/>
      </c>
      <c r="H341">
        <f>VLOOKUP(C341,Recipes!$A$2:$N$4,10,FALSE())</f>
        <v/>
      </c>
      <c r="I341">
        <f>VLOOKUP(C341,Recipes!$A$2:$N$4,12,FALSE())</f>
        <v/>
      </c>
      <c r="J341">
        <f>IF(G341="","",H341-G341)</f>
        <v/>
      </c>
      <c r="K341">
        <f>IF(G341="","",IF(ABS(G341-H341)&lt;=$B$6*I341,"OK","NG"))</f>
        <v/>
      </c>
      <c r="L341">
        <f>IF(K341="","",IF(K341=D341,1,0))</f>
        <v/>
      </c>
      <c r="M341" t="inlineStr">
        <is>
          <t>W1</t>
        </is>
      </c>
      <c r="N341" s="15" t="n">
        <v>0.9978</v>
      </c>
      <c r="O341" s="15" t="n">
        <v>0.0022</v>
      </c>
      <c r="P341">
        <f>IF(M341="","",IF(M341=E341,1,0))</f>
        <v/>
      </c>
      <c r="Q341">
        <f>IF(K341="OK","-",IF(N341&lt;$B$7,"AMBIGUOUS","CONFIDENT"))</f>
        <v/>
      </c>
    </row>
    <row r="342">
      <c r="A342">
        <f>'Runs Z score'!A334</f>
        <v/>
      </c>
      <c r="B342">
        <f>'Runs Z score'!B334</f>
        <v/>
      </c>
      <c r="C342">
        <f>'Runs Z score'!C334</f>
        <v/>
      </c>
      <c r="D342">
        <f>'Runs Z score'!D334</f>
        <v/>
      </c>
      <c r="E342">
        <f>'Runs Z score'!E334</f>
        <v/>
      </c>
      <c r="F342">
        <f>'Runs Z score'!F334</f>
        <v/>
      </c>
      <c r="G342">
        <f>'Runs Z score'!G334</f>
        <v/>
      </c>
      <c r="H342">
        <f>VLOOKUP(C342,Recipes!$A$2:$N$4,10,FALSE())</f>
        <v/>
      </c>
      <c r="I342">
        <f>VLOOKUP(C342,Recipes!$A$2:$N$4,12,FALSE())</f>
        <v/>
      </c>
      <c r="J342">
        <f>IF(G342="","",H342-G342)</f>
        <v/>
      </c>
      <c r="K342">
        <f>IF(G342="","",IF(ABS(G342-H342)&lt;=$B$6*I342,"OK","NG"))</f>
        <v/>
      </c>
      <c r="L342">
        <f>IF(K342="","",IF(K342=D342,1,0))</f>
        <v/>
      </c>
      <c r="M342" t="inlineStr">
        <is>
          <t>W1</t>
        </is>
      </c>
      <c r="N342" s="15" t="n">
        <v>1</v>
      </c>
      <c r="O342" s="15" t="n">
        <v>0</v>
      </c>
      <c r="P342">
        <f>IF(M342="","",IF(M342=E342,1,0))</f>
        <v/>
      </c>
      <c r="Q342">
        <f>IF(K342="OK","-",IF(N342&lt;$B$7,"AMBIGUOUS","CONFIDENT"))</f>
        <v/>
      </c>
    </row>
    <row r="343">
      <c r="A343">
        <f>'Runs Z score'!A335</f>
        <v/>
      </c>
      <c r="B343">
        <f>'Runs Z score'!B335</f>
        <v/>
      </c>
      <c r="C343">
        <f>'Runs Z score'!C335</f>
        <v/>
      </c>
      <c r="D343">
        <f>'Runs Z score'!D335</f>
        <v/>
      </c>
      <c r="E343">
        <f>'Runs Z score'!E335</f>
        <v/>
      </c>
      <c r="F343">
        <f>'Runs Z score'!F335</f>
        <v/>
      </c>
      <c r="G343">
        <f>'Runs Z score'!G335</f>
        <v/>
      </c>
      <c r="H343">
        <f>VLOOKUP(C343,Recipes!$A$2:$N$4,10,FALSE())</f>
        <v/>
      </c>
      <c r="I343">
        <f>VLOOKUP(C343,Recipes!$A$2:$N$4,12,FALSE())</f>
        <v/>
      </c>
      <c r="J343">
        <f>IF(G343="","",H343-G343)</f>
        <v/>
      </c>
      <c r="K343">
        <f>IF(G343="","",IF(ABS(G343-H343)&lt;=$B$6*I343,"OK","NG"))</f>
        <v/>
      </c>
      <c r="L343">
        <f>IF(K343="","",IF(K343=D343,1,0))</f>
        <v/>
      </c>
      <c r="M343" t="inlineStr">
        <is>
          <t>N1</t>
        </is>
      </c>
      <c r="N343" s="15" t="n">
        <v>0.9963</v>
      </c>
      <c r="O343" s="15" t="n">
        <v>0.0022</v>
      </c>
      <c r="P343">
        <f>IF(M343="","",IF(M343=E343,1,0))</f>
        <v/>
      </c>
      <c r="Q343">
        <f>IF(K343="OK","-",IF(N343&lt;$B$7,"AMBIGUOUS","CONFIDENT"))</f>
        <v/>
      </c>
    </row>
    <row r="344">
      <c r="A344">
        <f>'Runs Z score'!A336</f>
        <v/>
      </c>
      <c r="B344">
        <f>'Runs Z score'!B336</f>
        <v/>
      </c>
      <c r="C344">
        <f>'Runs Z score'!C336</f>
        <v/>
      </c>
      <c r="D344">
        <f>'Runs Z score'!D336</f>
        <v/>
      </c>
      <c r="E344">
        <f>'Runs Z score'!E336</f>
        <v/>
      </c>
      <c r="F344">
        <f>'Runs Z score'!F336</f>
        <v/>
      </c>
      <c r="G344">
        <f>'Runs Z score'!G336</f>
        <v/>
      </c>
      <c r="H344">
        <f>VLOOKUP(C344,Recipes!$A$2:$N$4,10,FALSE())</f>
        <v/>
      </c>
      <c r="I344">
        <f>VLOOKUP(C344,Recipes!$A$2:$N$4,12,FALSE())</f>
        <v/>
      </c>
      <c r="J344">
        <f>IF(G344="","",H344-G344)</f>
        <v/>
      </c>
      <c r="K344">
        <f>IF(G344="","",IF(ABS(G344-H344)&lt;=$B$6*I344,"OK","NG"))</f>
        <v/>
      </c>
      <c r="L344">
        <f>IF(K344="","",IF(K344=D344,1,0))</f>
        <v/>
      </c>
      <c r="M344" t="inlineStr">
        <is>
          <t>W1</t>
        </is>
      </c>
      <c r="N344" s="15" t="n">
        <v>0.9973</v>
      </c>
      <c r="O344" s="15" t="n">
        <v>0.0027</v>
      </c>
      <c r="P344">
        <f>IF(M344="","",IF(M344=E344,1,0))</f>
        <v/>
      </c>
      <c r="Q344">
        <f>IF(K344="OK","-",IF(N344&lt;$B$7,"AMBIGUOUS","CONFIDENT"))</f>
        <v/>
      </c>
    </row>
    <row r="345">
      <c r="A345">
        <f>'Runs Z score'!A337</f>
        <v/>
      </c>
      <c r="B345">
        <f>'Runs Z score'!B337</f>
        <v/>
      </c>
      <c r="C345">
        <f>'Runs Z score'!C337</f>
        <v/>
      </c>
      <c r="D345">
        <f>'Runs Z score'!D337</f>
        <v/>
      </c>
      <c r="E345">
        <f>'Runs Z score'!E337</f>
        <v/>
      </c>
      <c r="F345">
        <f>'Runs Z score'!F337</f>
        <v/>
      </c>
      <c r="G345">
        <f>'Runs Z score'!G337</f>
        <v/>
      </c>
      <c r="H345">
        <f>VLOOKUP(C345,Recipes!$A$2:$N$4,10,FALSE())</f>
        <v/>
      </c>
      <c r="I345">
        <f>VLOOKUP(C345,Recipes!$A$2:$N$4,12,FALSE())</f>
        <v/>
      </c>
      <c r="J345">
        <f>IF(G345="","",H345-G345)</f>
        <v/>
      </c>
      <c r="K345">
        <f>IF(G345="","",IF(ABS(G345-H345)&lt;=$B$6*I345,"OK","NG"))</f>
        <v/>
      </c>
      <c r="L345">
        <f>IF(K345="","",IF(K345=D345,1,0))</f>
        <v/>
      </c>
      <c r="M345" t="inlineStr">
        <is>
          <t>N1</t>
        </is>
      </c>
      <c r="N345" s="15" t="n">
        <v>0.9473</v>
      </c>
      <c r="O345" s="15" t="n">
        <v>0.0527</v>
      </c>
      <c r="P345">
        <f>IF(M345="","",IF(M345=E345,1,0))</f>
        <v/>
      </c>
      <c r="Q345">
        <f>IF(K345="OK","-",IF(N345&lt;$B$7,"AMBIGUOUS","CONFIDENT"))</f>
        <v/>
      </c>
    </row>
    <row r="346">
      <c r="A346">
        <f>'Runs Z score'!A338</f>
        <v/>
      </c>
      <c r="B346">
        <f>'Runs Z score'!B338</f>
        <v/>
      </c>
      <c r="C346">
        <f>'Runs Z score'!C338</f>
        <v/>
      </c>
      <c r="D346">
        <f>'Runs Z score'!D338</f>
        <v/>
      </c>
      <c r="E346">
        <f>'Runs Z score'!E338</f>
        <v/>
      </c>
      <c r="F346">
        <f>'Runs Z score'!F338</f>
        <v/>
      </c>
      <c r="G346">
        <f>'Runs Z score'!G338</f>
        <v/>
      </c>
      <c r="H346">
        <f>VLOOKUP(C346,Recipes!$A$2:$N$4,10,FALSE())</f>
        <v/>
      </c>
      <c r="I346">
        <f>VLOOKUP(C346,Recipes!$A$2:$N$4,12,FALSE())</f>
        <v/>
      </c>
      <c r="J346">
        <f>IF(G346="","",H346-G346)</f>
        <v/>
      </c>
      <c r="K346">
        <f>IF(G346="","",IF(ABS(G346-H346)&lt;=$B$6*I346,"OK","NG"))</f>
        <v/>
      </c>
      <c r="L346">
        <f>IF(K346="","",IF(K346=D346,1,0))</f>
        <v/>
      </c>
      <c r="M346" t="inlineStr">
        <is>
          <t>N1</t>
        </is>
      </c>
      <c r="N346" s="15" t="n">
        <v>0.8998</v>
      </c>
      <c r="O346" s="15" t="n">
        <v>0.1002</v>
      </c>
      <c r="P346">
        <f>IF(M346="","",IF(M346=E346,1,0))</f>
        <v/>
      </c>
      <c r="Q346">
        <f>IF(K346="OK","-",IF(N346&lt;$B$7,"AMBIGUOUS","CONFIDENT"))</f>
        <v/>
      </c>
    </row>
    <row r="347">
      <c r="A347">
        <f>'Runs Z score'!A339</f>
        <v/>
      </c>
      <c r="B347">
        <f>'Runs Z score'!B339</f>
        <v/>
      </c>
      <c r="C347">
        <f>'Runs Z score'!C339</f>
        <v/>
      </c>
      <c r="D347">
        <f>'Runs Z score'!D339</f>
        <v/>
      </c>
      <c r="E347">
        <f>'Runs Z score'!E339</f>
        <v/>
      </c>
      <c r="F347">
        <f>'Runs Z score'!F339</f>
        <v/>
      </c>
      <c r="G347">
        <f>'Runs Z score'!G339</f>
        <v/>
      </c>
      <c r="H347">
        <f>VLOOKUP(C347,Recipes!$A$2:$N$4,10,FALSE())</f>
        <v/>
      </c>
      <c r="I347">
        <f>VLOOKUP(C347,Recipes!$A$2:$N$4,12,FALSE())</f>
        <v/>
      </c>
      <c r="J347">
        <f>IF(G347="","",H347-G347)</f>
        <v/>
      </c>
      <c r="K347">
        <f>IF(G347="","",IF(ABS(G347-H347)&lt;=$B$6*I347,"OK","NG"))</f>
        <v/>
      </c>
      <c r="L347">
        <f>IF(K347="","",IF(K347=D347,1,0))</f>
        <v/>
      </c>
      <c r="M347" t="inlineStr">
        <is>
          <t>W1</t>
        </is>
      </c>
      <c r="N347" s="15" t="n">
        <v>1</v>
      </c>
      <c r="O347" s="15" t="n">
        <v>0</v>
      </c>
      <c r="P347">
        <f>IF(M347="","",IF(M347=E347,1,0))</f>
        <v/>
      </c>
      <c r="Q347">
        <f>IF(K347="OK","-",IF(N347&lt;$B$7,"AMBIGUOUS","CONFIDENT"))</f>
        <v/>
      </c>
    </row>
    <row r="348">
      <c r="A348">
        <f>'Runs Z score'!A340</f>
        <v/>
      </c>
      <c r="B348">
        <f>'Runs Z score'!B340</f>
        <v/>
      </c>
      <c r="C348">
        <f>'Runs Z score'!C340</f>
        <v/>
      </c>
      <c r="D348">
        <f>'Runs Z score'!D340</f>
        <v/>
      </c>
      <c r="E348">
        <f>'Runs Z score'!E340</f>
        <v/>
      </c>
      <c r="F348">
        <f>'Runs Z score'!F340</f>
        <v/>
      </c>
      <c r="G348">
        <f>'Runs Z score'!G340</f>
        <v/>
      </c>
      <c r="H348">
        <f>VLOOKUP(C348,Recipes!$A$2:$N$4,10,FALSE())</f>
        <v/>
      </c>
      <c r="I348">
        <f>VLOOKUP(C348,Recipes!$A$2:$N$4,12,FALSE())</f>
        <v/>
      </c>
      <c r="J348">
        <f>IF(G348="","",H348-G348)</f>
        <v/>
      </c>
      <c r="K348">
        <f>IF(G348="","",IF(ABS(G348-H348)&lt;=$B$6*I348,"OK","NG"))</f>
        <v/>
      </c>
      <c r="L348">
        <f>IF(K348="","",IF(K348=D348,1,0))</f>
        <v/>
      </c>
      <c r="M348" t="inlineStr">
        <is>
          <t>W1</t>
        </is>
      </c>
      <c r="N348" s="15" t="n">
        <v>1</v>
      </c>
      <c r="O348" s="15" t="n">
        <v>0</v>
      </c>
      <c r="P348">
        <f>IF(M348="","",IF(M348=E348,1,0))</f>
        <v/>
      </c>
      <c r="Q348">
        <f>IF(K348="OK","-",IF(N348&lt;$B$7,"AMBIGUOUS","CONFIDENT"))</f>
        <v/>
      </c>
    </row>
    <row r="349">
      <c r="A349">
        <f>'Runs Z score'!A341</f>
        <v/>
      </c>
      <c r="B349">
        <f>'Runs Z score'!B341</f>
        <v/>
      </c>
      <c r="C349">
        <f>'Runs Z score'!C341</f>
        <v/>
      </c>
      <c r="D349">
        <f>'Runs Z score'!D341</f>
        <v/>
      </c>
      <c r="E349">
        <f>'Runs Z score'!E341</f>
        <v/>
      </c>
      <c r="F349">
        <f>'Runs Z score'!F341</f>
        <v/>
      </c>
      <c r="G349">
        <f>'Runs Z score'!G341</f>
        <v/>
      </c>
      <c r="H349">
        <f>VLOOKUP(C349,Recipes!$A$2:$N$4,10,FALSE())</f>
        <v/>
      </c>
      <c r="I349">
        <f>VLOOKUP(C349,Recipes!$A$2:$N$4,12,FALSE())</f>
        <v/>
      </c>
      <c r="J349">
        <f>IF(G349="","",H349-G349)</f>
        <v/>
      </c>
      <c r="K349">
        <f>IF(G349="","",IF(ABS(G349-H349)&lt;=$B$6*I349,"OK","NG"))</f>
        <v/>
      </c>
      <c r="L349">
        <f>IF(K349="","",IF(K349=D349,1,0))</f>
        <v/>
      </c>
      <c r="M349" t="inlineStr">
        <is>
          <t>W1</t>
        </is>
      </c>
      <c r="N349" s="15" t="n">
        <v>0.9962</v>
      </c>
      <c r="O349" s="15" t="n">
        <v>0.0038</v>
      </c>
      <c r="P349">
        <f>IF(M349="","",IF(M349=E349,1,0))</f>
        <v/>
      </c>
      <c r="Q349">
        <f>IF(K349="OK","-",IF(N349&lt;$B$7,"AMBIGUOUS","CONFIDENT"))</f>
        <v/>
      </c>
    </row>
    <row r="350">
      <c r="A350">
        <f>'Runs Z score'!A342</f>
        <v/>
      </c>
      <c r="B350">
        <f>'Runs Z score'!B342</f>
        <v/>
      </c>
      <c r="C350">
        <f>'Runs Z score'!C342</f>
        <v/>
      </c>
      <c r="D350">
        <f>'Runs Z score'!D342</f>
        <v/>
      </c>
      <c r="E350">
        <f>'Runs Z score'!E342</f>
        <v/>
      </c>
      <c r="F350">
        <f>'Runs Z score'!F342</f>
        <v/>
      </c>
      <c r="G350">
        <f>'Runs Z score'!G342</f>
        <v/>
      </c>
      <c r="H350">
        <f>VLOOKUP(C350,Recipes!$A$2:$N$4,10,FALSE())</f>
        <v/>
      </c>
      <c r="I350">
        <f>VLOOKUP(C350,Recipes!$A$2:$N$4,12,FALSE())</f>
        <v/>
      </c>
      <c r="J350">
        <f>IF(G350="","",H350-G350)</f>
        <v/>
      </c>
      <c r="K350">
        <f>IF(G350="","",IF(ABS(G350-H350)&lt;=$B$6*I350,"OK","NG"))</f>
        <v/>
      </c>
      <c r="L350">
        <f>IF(K350="","",IF(K350=D350,1,0))</f>
        <v/>
      </c>
      <c r="M350" t="inlineStr">
        <is>
          <t>W1</t>
        </is>
      </c>
      <c r="N350" s="15" t="n">
        <v>1</v>
      </c>
      <c r="O350" s="15" t="n">
        <v>0</v>
      </c>
      <c r="P350">
        <f>IF(M350="","",IF(M350=E350,1,0))</f>
        <v/>
      </c>
      <c r="Q350">
        <f>IF(K350="OK","-",IF(N350&lt;$B$7,"AMBIGUOUS","CONFIDENT"))</f>
        <v/>
      </c>
    </row>
    <row r="351">
      <c r="A351">
        <f>'Runs Z score'!A343</f>
        <v/>
      </c>
      <c r="B351">
        <f>'Runs Z score'!B343</f>
        <v/>
      </c>
      <c r="C351">
        <f>'Runs Z score'!C343</f>
        <v/>
      </c>
      <c r="D351">
        <f>'Runs Z score'!D343</f>
        <v/>
      </c>
      <c r="E351">
        <f>'Runs Z score'!E343</f>
        <v/>
      </c>
      <c r="F351">
        <f>'Runs Z score'!F343</f>
        <v/>
      </c>
      <c r="G351">
        <f>'Runs Z score'!G343</f>
        <v/>
      </c>
      <c r="H351">
        <f>VLOOKUP(C351,Recipes!$A$2:$N$4,10,FALSE())</f>
        <v/>
      </c>
      <c r="I351">
        <f>VLOOKUP(C351,Recipes!$A$2:$N$4,12,FALSE())</f>
        <v/>
      </c>
      <c r="J351">
        <f>IF(G351="","",H351-G351)</f>
        <v/>
      </c>
      <c r="K351">
        <f>IF(G351="","",IF(ABS(G351-H351)&lt;=$B$6*I351,"OK","NG"))</f>
        <v/>
      </c>
      <c r="L351">
        <f>IF(K351="","",IF(K351=D351,1,0))</f>
        <v/>
      </c>
      <c r="M351" t="inlineStr">
        <is>
          <t>W1</t>
        </is>
      </c>
      <c r="N351" s="15" t="n">
        <v>1</v>
      </c>
      <c r="O351" s="15" t="n">
        <v>0</v>
      </c>
      <c r="P351">
        <f>IF(M351="","",IF(M351=E351,1,0))</f>
        <v/>
      </c>
      <c r="Q351">
        <f>IF(K351="OK","-",IF(N351&lt;$B$7,"AMBIGUOUS","CONFIDENT"))</f>
        <v/>
      </c>
    </row>
    <row r="352">
      <c r="A352">
        <f>'Runs Z score'!A344</f>
        <v/>
      </c>
      <c r="B352">
        <f>'Runs Z score'!B344</f>
        <v/>
      </c>
      <c r="C352">
        <f>'Runs Z score'!C344</f>
        <v/>
      </c>
      <c r="D352">
        <f>'Runs Z score'!D344</f>
        <v/>
      </c>
      <c r="E352">
        <f>'Runs Z score'!E344</f>
        <v/>
      </c>
      <c r="F352">
        <f>'Runs Z score'!F344</f>
        <v/>
      </c>
      <c r="G352">
        <f>'Runs Z score'!G344</f>
        <v/>
      </c>
      <c r="H352">
        <f>VLOOKUP(C352,Recipes!$A$2:$N$4,10,FALSE())</f>
        <v/>
      </c>
      <c r="I352">
        <f>VLOOKUP(C352,Recipes!$A$2:$N$4,12,FALSE())</f>
        <v/>
      </c>
      <c r="J352">
        <f>IF(G352="","",H352-G352)</f>
        <v/>
      </c>
      <c r="K352">
        <f>IF(G352="","",IF(ABS(G352-H352)&lt;=$B$6*I352,"OK","NG"))</f>
        <v/>
      </c>
      <c r="L352">
        <f>IF(K352="","",IF(K352=D352,1,0))</f>
        <v/>
      </c>
      <c r="M352" t="inlineStr">
        <is>
          <t>W1</t>
        </is>
      </c>
      <c r="N352" s="15" t="n">
        <v>0.9995000000000001</v>
      </c>
      <c r="O352" s="15" t="n">
        <v>0.0005</v>
      </c>
      <c r="P352">
        <f>IF(M352="","",IF(M352=E352,1,0))</f>
        <v/>
      </c>
      <c r="Q352">
        <f>IF(K352="OK","-",IF(N352&lt;$B$7,"AMBIGUOUS","CONFIDENT"))</f>
        <v/>
      </c>
    </row>
    <row r="353">
      <c r="A353">
        <f>'Runs Z score'!A345</f>
        <v/>
      </c>
      <c r="B353">
        <f>'Runs Z score'!B345</f>
        <v/>
      </c>
      <c r="C353">
        <f>'Runs Z score'!C345</f>
        <v/>
      </c>
      <c r="D353">
        <f>'Runs Z score'!D345</f>
        <v/>
      </c>
      <c r="E353">
        <f>'Runs Z score'!E345</f>
        <v/>
      </c>
      <c r="F353">
        <f>'Runs Z score'!F345</f>
        <v/>
      </c>
      <c r="G353">
        <f>'Runs Z score'!G345</f>
        <v/>
      </c>
      <c r="H353">
        <f>VLOOKUP(C353,Recipes!$A$2:$N$4,10,FALSE())</f>
        <v/>
      </c>
      <c r="I353">
        <f>VLOOKUP(C353,Recipes!$A$2:$N$4,12,FALSE())</f>
        <v/>
      </c>
      <c r="J353">
        <f>IF(G353="","",H353-G353)</f>
        <v/>
      </c>
      <c r="K353">
        <f>IF(G353="","",IF(ABS(G353-H353)&lt;=$B$6*I353,"OK","NG"))</f>
        <v/>
      </c>
      <c r="L353">
        <f>IF(K353="","",IF(K353=D353,1,0))</f>
        <v/>
      </c>
      <c r="M353" t="inlineStr">
        <is>
          <t>W1</t>
        </is>
      </c>
      <c r="N353" s="15" t="n">
        <v>0.9991</v>
      </c>
      <c r="O353" s="15" t="n">
        <v>0.0009</v>
      </c>
      <c r="P353">
        <f>IF(M353="","",IF(M353=E353,1,0))</f>
        <v/>
      </c>
      <c r="Q353">
        <f>IF(K353="OK","-",IF(N353&lt;$B$7,"AMBIGUOUS","CONFIDENT"))</f>
        <v/>
      </c>
    </row>
    <row r="354">
      <c r="A354">
        <f>'Runs Z score'!A346</f>
        <v/>
      </c>
      <c r="B354">
        <f>'Runs Z score'!B346</f>
        <v/>
      </c>
      <c r="C354">
        <f>'Runs Z score'!C346</f>
        <v/>
      </c>
      <c r="D354">
        <f>'Runs Z score'!D346</f>
        <v/>
      </c>
      <c r="E354">
        <f>'Runs Z score'!E346</f>
        <v/>
      </c>
      <c r="F354">
        <f>'Runs Z score'!F346</f>
        <v/>
      </c>
      <c r="G354">
        <f>'Runs Z score'!G346</f>
        <v/>
      </c>
      <c r="H354">
        <f>VLOOKUP(C354,Recipes!$A$2:$N$4,10,FALSE())</f>
        <v/>
      </c>
      <c r="I354">
        <f>VLOOKUP(C354,Recipes!$A$2:$N$4,12,FALSE())</f>
        <v/>
      </c>
      <c r="J354">
        <f>IF(G354="","",H354-G354)</f>
        <v/>
      </c>
      <c r="K354">
        <f>IF(G354="","",IF(ABS(G354-H354)&lt;=$B$6*I354,"OK","NG"))</f>
        <v/>
      </c>
      <c r="L354">
        <f>IF(K354="","",IF(K354=D354,1,0))</f>
        <v/>
      </c>
      <c r="M354" t="inlineStr">
        <is>
          <t>W1</t>
        </is>
      </c>
      <c r="N354" s="15" t="n">
        <v>0.9937</v>
      </c>
      <c r="O354" s="15" t="n">
        <v>0.0063</v>
      </c>
      <c r="P354">
        <f>IF(M354="","",IF(M354=E354,1,0))</f>
        <v/>
      </c>
      <c r="Q354">
        <f>IF(K354="OK","-",IF(N354&lt;$B$7,"AMBIGUOUS","CONFIDENT"))</f>
        <v/>
      </c>
    </row>
    <row r="355">
      <c r="A355">
        <f>'Runs Z score'!A347</f>
        <v/>
      </c>
      <c r="B355">
        <f>'Runs Z score'!B347</f>
        <v/>
      </c>
      <c r="C355">
        <f>'Runs Z score'!C347</f>
        <v/>
      </c>
      <c r="D355">
        <f>'Runs Z score'!D347</f>
        <v/>
      </c>
      <c r="E355">
        <f>'Runs Z score'!E347</f>
        <v/>
      </c>
      <c r="F355">
        <f>'Runs Z score'!F347</f>
        <v/>
      </c>
      <c r="G355">
        <f>'Runs Z score'!G347</f>
        <v/>
      </c>
      <c r="H355">
        <f>VLOOKUP(C355,Recipes!$A$2:$N$4,10,FALSE())</f>
        <v/>
      </c>
      <c r="I355">
        <f>VLOOKUP(C355,Recipes!$A$2:$N$4,12,FALSE())</f>
        <v/>
      </c>
      <c r="J355">
        <f>IF(G355="","",H355-G355)</f>
        <v/>
      </c>
      <c r="K355">
        <f>IF(G355="","",IF(ABS(G355-H355)&lt;=$B$6*I355,"OK","NG"))</f>
        <v/>
      </c>
      <c r="L355">
        <f>IF(K355="","",IF(K355=D355,1,0))</f>
        <v/>
      </c>
      <c r="M355" t="inlineStr">
        <is>
          <t>W1</t>
        </is>
      </c>
      <c r="N355" s="15" t="n">
        <v>0.9999</v>
      </c>
      <c r="O355" s="15" t="n">
        <v>0.0001</v>
      </c>
      <c r="P355">
        <f>IF(M355="","",IF(M355=E355,1,0))</f>
        <v/>
      </c>
      <c r="Q355">
        <f>IF(K355="OK","-",IF(N355&lt;$B$7,"AMBIGUOUS","CONFIDENT"))</f>
        <v/>
      </c>
    </row>
    <row r="356">
      <c r="A356">
        <f>'Runs Z score'!A348</f>
        <v/>
      </c>
      <c r="B356">
        <f>'Runs Z score'!B348</f>
        <v/>
      </c>
      <c r="C356">
        <f>'Runs Z score'!C348</f>
        <v/>
      </c>
      <c r="D356">
        <f>'Runs Z score'!D348</f>
        <v/>
      </c>
      <c r="E356">
        <f>'Runs Z score'!E348</f>
        <v/>
      </c>
      <c r="F356">
        <f>'Runs Z score'!F348</f>
        <v/>
      </c>
      <c r="G356">
        <f>'Runs Z score'!G348</f>
        <v/>
      </c>
      <c r="H356">
        <f>VLOOKUP(C356,Recipes!$A$2:$N$4,10,FALSE())</f>
        <v/>
      </c>
      <c r="I356">
        <f>VLOOKUP(C356,Recipes!$A$2:$N$4,12,FALSE())</f>
        <v/>
      </c>
      <c r="J356">
        <f>IF(G356="","",H356-G356)</f>
        <v/>
      </c>
      <c r="K356">
        <f>IF(G356="","",IF(ABS(G356-H356)&lt;=$B$6*I356,"OK","NG"))</f>
        <v/>
      </c>
      <c r="L356">
        <f>IF(K356="","",IF(K356=D356,1,0))</f>
        <v/>
      </c>
      <c r="M356" t="inlineStr">
        <is>
          <t>W1</t>
        </is>
      </c>
      <c r="N356" s="15" t="n">
        <v>0.9991</v>
      </c>
      <c r="O356" s="15" t="n">
        <v>0.0009</v>
      </c>
      <c r="P356">
        <f>IF(M356="","",IF(M356=E356,1,0))</f>
        <v/>
      </c>
      <c r="Q356">
        <f>IF(K356="OK","-",IF(N356&lt;$B$7,"AMBIGUOUS","CONFIDENT"))</f>
        <v/>
      </c>
    </row>
    <row r="357">
      <c r="A357">
        <f>'Runs Z score'!A349</f>
        <v/>
      </c>
      <c r="B357">
        <f>'Runs Z score'!B349</f>
        <v/>
      </c>
      <c r="C357">
        <f>'Runs Z score'!C349</f>
        <v/>
      </c>
      <c r="D357">
        <f>'Runs Z score'!D349</f>
        <v/>
      </c>
      <c r="E357">
        <f>'Runs Z score'!E349</f>
        <v/>
      </c>
      <c r="F357">
        <f>'Runs Z score'!F349</f>
        <v/>
      </c>
      <c r="G357">
        <f>'Runs Z score'!G349</f>
        <v/>
      </c>
      <c r="H357">
        <f>VLOOKUP(C357,Recipes!$A$2:$N$4,10,FALSE())</f>
        <v/>
      </c>
      <c r="I357">
        <f>VLOOKUP(C357,Recipes!$A$2:$N$4,12,FALSE())</f>
        <v/>
      </c>
      <c r="J357">
        <f>IF(G357="","",H357-G357)</f>
        <v/>
      </c>
      <c r="K357">
        <f>IF(G357="","",IF(ABS(G357-H357)&lt;=$B$6*I357,"OK","NG"))</f>
        <v/>
      </c>
      <c r="L357">
        <f>IF(K357="","",IF(K357=D357,1,0))</f>
        <v/>
      </c>
      <c r="M357" t="inlineStr">
        <is>
          <t>W1</t>
        </is>
      </c>
      <c r="N357" s="15" t="n">
        <v>0.8786</v>
      </c>
      <c r="O357" s="15" t="n">
        <v>0.1214</v>
      </c>
      <c r="P357">
        <f>IF(M357="","",IF(M357=E357,1,0))</f>
        <v/>
      </c>
      <c r="Q357">
        <f>IF(K357="OK","-",IF(N357&lt;$B$7,"AMBIGUOUS","CONFIDENT"))</f>
        <v/>
      </c>
    </row>
    <row r="358">
      <c r="A358">
        <f>'Runs Z score'!A350</f>
        <v/>
      </c>
      <c r="B358">
        <f>'Runs Z score'!B350</f>
        <v/>
      </c>
      <c r="C358">
        <f>'Runs Z score'!C350</f>
        <v/>
      </c>
      <c r="D358">
        <f>'Runs Z score'!D350</f>
        <v/>
      </c>
      <c r="E358">
        <f>'Runs Z score'!E350</f>
        <v/>
      </c>
      <c r="F358">
        <f>'Runs Z score'!F350</f>
        <v/>
      </c>
      <c r="G358">
        <f>'Runs Z score'!G350</f>
        <v/>
      </c>
      <c r="H358">
        <f>VLOOKUP(C358,Recipes!$A$2:$N$4,10,FALSE())</f>
        <v/>
      </c>
      <c r="I358">
        <f>VLOOKUP(C358,Recipes!$A$2:$N$4,12,FALSE())</f>
        <v/>
      </c>
      <c r="J358">
        <f>IF(G358="","",H358-G358)</f>
        <v/>
      </c>
      <c r="K358">
        <f>IF(G358="","",IF(ABS(G358-H358)&lt;=$B$6*I358,"OK","NG"))</f>
        <v/>
      </c>
      <c r="L358">
        <f>IF(K358="","",IF(K358=D358,1,0))</f>
        <v/>
      </c>
      <c r="M358" t="inlineStr">
        <is>
          <t>W1</t>
        </is>
      </c>
      <c r="N358" s="15" t="n">
        <v>1</v>
      </c>
      <c r="O358" s="15" t="n">
        <v>0</v>
      </c>
      <c r="P358">
        <f>IF(M358="","",IF(M358=E358,1,0))</f>
        <v/>
      </c>
      <c r="Q358">
        <f>IF(K358="OK","-",IF(N358&lt;$B$7,"AMBIGUOUS","CONFIDENT"))</f>
        <v/>
      </c>
    </row>
    <row r="359">
      <c r="A359">
        <f>'Runs Z score'!A351</f>
        <v/>
      </c>
      <c r="B359">
        <f>'Runs Z score'!B351</f>
        <v/>
      </c>
      <c r="C359">
        <f>'Runs Z score'!C351</f>
        <v/>
      </c>
      <c r="D359">
        <f>'Runs Z score'!D351</f>
        <v/>
      </c>
      <c r="E359">
        <f>'Runs Z score'!E351</f>
        <v/>
      </c>
      <c r="F359">
        <f>'Runs Z score'!F351</f>
        <v/>
      </c>
      <c r="G359">
        <f>'Runs Z score'!G351</f>
        <v/>
      </c>
      <c r="H359">
        <f>VLOOKUP(C359,Recipes!$A$2:$N$4,10,FALSE())</f>
        <v/>
      </c>
      <c r="I359">
        <f>VLOOKUP(C359,Recipes!$A$2:$N$4,12,FALSE())</f>
        <v/>
      </c>
      <c r="J359">
        <f>IF(G359="","",H359-G359)</f>
        <v/>
      </c>
      <c r="K359">
        <f>IF(G359="","",IF(ABS(G359-H359)&lt;=$B$6*I359,"OK","NG"))</f>
        <v/>
      </c>
      <c r="L359">
        <f>IF(K359="","",IF(K359=D359,1,0))</f>
        <v/>
      </c>
      <c r="M359" t="inlineStr">
        <is>
          <t>W1</t>
        </is>
      </c>
      <c r="N359" s="15" t="n">
        <v>0.9995000000000001</v>
      </c>
      <c r="O359" s="15" t="n">
        <v>0.0005</v>
      </c>
      <c r="P359">
        <f>IF(M359="","",IF(M359=E359,1,0))</f>
        <v/>
      </c>
      <c r="Q359">
        <f>IF(K359="OK","-",IF(N359&lt;$B$7,"AMBIGUOUS","CONFIDENT"))</f>
        <v/>
      </c>
    </row>
    <row r="360">
      <c r="A360">
        <f>'Runs Z score'!A352</f>
        <v/>
      </c>
      <c r="B360">
        <f>'Runs Z score'!B352</f>
        <v/>
      </c>
      <c r="C360">
        <f>'Runs Z score'!C352</f>
        <v/>
      </c>
      <c r="D360">
        <f>'Runs Z score'!D352</f>
        <v/>
      </c>
      <c r="E360">
        <f>'Runs Z score'!E352</f>
        <v/>
      </c>
      <c r="F360">
        <f>'Runs Z score'!F352</f>
        <v/>
      </c>
      <c r="G360">
        <f>'Runs Z score'!G352</f>
        <v/>
      </c>
      <c r="H360">
        <f>VLOOKUP(C360,Recipes!$A$2:$N$4,10,FALSE())</f>
        <v/>
      </c>
      <c r="I360">
        <f>VLOOKUP(C360,Recipes!$A$2:$N$4,12,FALSE())</f>
        <v/>
      </c>
      <c r="J360">
        <f>IF(G360="","",H360-G360)</f>
        <v/>
      </c>
      <c r="K360">
        <f>IF(G360="","",IF(ABS(G360-H360)&lt;=$B$6*I360,"OK","NG"))</f>
        <v/>
      </c>
      <c r="L360">
        <f>IF(K360="","",IF(K360=D360,1,0))</f>
        <v/>
      </c>
      <c r="M360" t="inlineStr">
        <is>
          <t>W1</t>
        </is>
      </c>
      <c r="N360" s="15" t="n">
        <v>0.9822</v>
      </c>
      <c r="O360" s="15" t="n">
        <v>0.0178</v>
      </c>
      <c r="P360">
        <f>IF(M360="","",IF(M360=E360,1,0))</f>
        <v/>
      </c>
      <c r="Q360">
        <f>IF(K360="OK","-",IF(N360&lt;$B$7,"AMBIGUOUS","CONFIDENT"))</f>
        <v/>
      </c>
    </row>
    <row r="361">
      <c r="A361">
        <f>'Runs Z score'!A353</f>
        <v/>
      </c>
      <c r="B361">
        <f>'Runs Z score'!B353</f>
        <v/>
      </c>
      <c r="C361">
        <f>'Runs Z score'!C353</f>
        <v/>
      </c>
      <c r="D361">
        <f>'Runs Z score'!D353</f>
        <v/>
      </c>
      <c r="E361">
        <f>'Runs Z score'!E353</f>
        <v/>
      </c>
      <c r="F361">
        <f>'Runs Z score'!F353</f>
        <v/>
      </c>
      <c r="G361">
        <f>'Runs Z score'!G353</f>
        <v/>
      </c>
      <c r="H361">
        <f>VLOOKUP(C361,Recipes!$A$2:$N$4,10,FALSE())</f>
        <v/>
      </c>
      <c r="I361">
        <f>VLOOKUP(C361,Recipes!$A$2:$N$4,12,FALSE())</f>
        <v/>
      </c>
      <c r="J361">
        <f>IF(G361="","",H361-G361)</f>
        <v/>
      </c>
      <c r="K361">
        <f>IF(G361="","",IF(ABS(G361-H361)&lt;=$B$6*I361,"OK","NG"))</f>
        <v/>
      </c>
      <c r="L361">
        <f>IF(K361="","",IF(K361=D361,1,0))</f>
        <v/>
      </c>
      <c r="M361" t="inlineStr">
        <is>
          <t>W1</t>
        </is>
      </c>
      <c r="N361" s="15" t="n">
        <v>0.9992</v>
      </c>
      <c r="O361" s="15" t="n">
        <v>0.0008</v>
      </c>
      <c r="P361">
        <f>IF(M361="","",IF(M361=E361,1,0))</f>
        <v/>
      </c>
      <c r="Q361">
        <f>IF(K361="OK","-",IF(N361&lt;$B$7,"AMBIGUOUS","CONFIDENT"))</f>
        <v/>
      </c>
    </row>
    <row r="362">
      <c r="A362">
        <f>'Runs Z score'!A354</f>
        <v/>
      </c>
      <c r="B362">
        <f>'Runs Z score'!B354</f>
        <v/>
      </c>
      <c r="C362">
        <f>'Runs Z score'!C354</f>
        <v/>
      </c>
      <c r="D362">
        <f>'Runs Z score'!D354</f>
        <v/>
      </c>
      <c r="E362">
        <f>'Runs Z score'!E354</f>
        <v/>
      </c>
      <c r="F362">
        <f>'Runs Z score'!F354</f>
        <v/>
      </c>
      <c r="G362">
        <f>'Runs Z score'!G354</f>
        <v/>
      </c>
      <c r="H362">
        <f>VLOOKUP(C362,Recipes!$A$2:$N$4,10,FALSE())</f>
        <v/>
      </c>
      <c r="I362">
        <f>VLOOKUP(C362,Recipes!$A$2:$N$4,12,FALSE())</f>
        <v/>
      </c>
      <c r="J362">
        <f>IF(G362="","",H362-G362)</f>
        <v/>
      </c>
      <c r="K362">
        <f>IF(G362="","",IF(ABS(G362-H362)&lt;=$B$6*I362,"OK","NG"))</f>
        <v/>
      </c>
      <c r="L362">
        <f>IF(K362="","",IF(K362=D362,1,0))</f>
        <v/>
      </c>
      <c r="M362" t="inlineStr">
        <is>
          <t>W1</t>
        </is>
      </c>
      <c r="N362" s="15" t="n">
        <v>1</v>
      </c>
      <c r="O362" s="15" t="n">
        <v>0</v>
      </c>
      <c r="P362">
        <f>IF(M362="","",IF(M362=E362,1,0))</f>
        <v/>
      </c>
      <c r="Q362">
        <f>IF(K362="OK","-",IF(N362&lt;$B$7,"AMBIGUOUS","CONFIDENT"))</f>
        <v/>
      </c>
    </row>
    <row r="363">
      <c r="A363">
        <f>'Runs Z score'!A355</f>
        <v/>
      </c>
      <c r="B363">
        <f>'Runs Z score'!B355</f>
        <v/>
      </c>
      <c r="C363">
        <f>'Runs Z score'!C355</f>
        <v/>
      </c>
      <c r="D363">
        <f>'Runs Z score'!D355</f>
        <v/>
      </c>
      <c r="E363">
        <f>'Runs Z score'!E355</f>
        <v/>
      </c>
      <c r="F363">
        <f>'Runs Z score'!F355</f>
        <v/>
      </c>
      <c r="G363">
        <f>'Runs Z score'!G355</f>
        <v/>
      </c>
      <c r="H363">
        <f>VLOOKUP(C363,Recipes!$A$2:$N$4,10,FALSE())</f>
        <v/>
      </c>
      <c r="I363">
        <f>VLOOKUP(C363,Recipes!$A$2:$N$4,12,FALSE())</f>
        <v/>
      </c>
      <c r="J363">
        <f>IF(G363="","",H363-G363)</f>
        <v/>
      </c>
      <c r="K363">
        <f>IF(G363="","",IF(ABS(G363-H363)&lt;=$B$6*I363,"OK","NG"))</f>
        <v/>
      </c>
      <c r="L363">
        <f>IF(K363="","",IF(K363=D363,1,0))</f>
        <v/>
      </c>
      <c r="M363" t="inlineStr">
        <is>
          <t>N1</t>
        </is>
      </c>
      <c r="N363" s="15" t="n">
        <v>0.9992</v>
      </c>
      <c r="O363" s="15" t="n">
        <v>0.0007</v>
      </c>
      <c r="P363">
        <f>IF(M363="","",IF(M363=E363,1,0))</f>
        <v/>
      </c>
      <c r="Q363">
        <f>IF(K363="OK","-",IF(N363&lt;$B$7,"AMBIGUOUS","CONFIDENT"))</f>
        <v/>
      </c>
    </row>
    <row r="364">
      <c r="A364">
        <f>'Runs Z score'!A356</f>
        <v/>
      </c>
      <c r="B364">
        <f>'Runs Z score'!B356</f>
        <v/>
      </c>
      <c r="C364">
        <f>'Runs Z score'!C356</f>
        <v/>
      </c>
      <c r="D364">
        <f>'Runs Z score'!D356</f>
        <v/>
      </c>
      <c r="E364">
        <f>'Runs Z score'!E356</f>
        <v/>
      </c>
      <c r="F364">
        <f>'Runs Z score'!F356</f>
        <v/>
      </c>
      <c r="G364">
        <f>'Runs Z score'!G356</f>
        <v/>
      </c>
      <c r="H364">
        <f>VLOOKUP(C364,Recipes!$A$2:$N$4,10,FALSE())</f>
        <v/>
      </c>
      <c r="I364">
        <f>VLOOKUP(C364,Recipes!$A$2:$N$4,12,FALSE())</f>
        <v/>
      </c>
      <c r="J364">
        <f>IF(G364="","",H364-G364)</f>
        <v/>
      </c>
      <c r="K364">
        <f>IF(G364="","",IF(ABS(G364-H364)&lt;=$B$6*I364,"OK","NG"))</f>
        <v/>
      </c>
      <c r="L364">
        <f>IF(K364="","",IF(K364=D364,1,0))</f>
        <v/>
      </c>
      <c r="M364" t="inlineStr">
        <is>
          <t>W1</t>
        </is>
      </c>
      <c r="N364" s="15" t="n">
        <v>1</v>
      </c>
      <c r="O364" s="15" t="n">
        <v>0</v>
      </c>
      <c r="P364">
        <f>IF(M364="","",IF(M364=E364,1,0))</f>
        <v/>
      </c>
      <c r="Q364">
        <f>IF(K364="OK","-",IF(N364&lt;$B$7,"AMBIGUOUS","CONFIDENT"))</f>
        <v/>
      </c>
    </row>
    <row r="365">
      <c r="A365">
        <f>'Runs Z score'!A357</f>
        <v/>
      </c>
      <c r="B365">
        <f>'Runs Z score'!B357</f>
        <v/>
      </c>
      <c r="C365">
        <f>'Runs Z score'!C357</f>
        <v/>
      </c>
      <c r="D365">
        <f>'Runs Z score'!D357</f>
        <v/>
      </c>
      <c r="E365">
        <f>'Runs Z score'!E357</f>
        <v/>
      </c>
      <c r="F365">
        <f>'Runs Z score'!F357</f>
        <v/>
      </c>
      <c r="G365">
        <f>'Runs Z score'!G357</f>
        <v/>
      </c>
      <c r="H365">
        <f>VLOOKUP(C365,Recipes!$A$2:$N$4,10,FALSE())</f>
        <v/>
      </c>
      <c r="I365">
        <f>VLOOKUP(C365,Recipes!$A$2:$N$4,12,FALSE())</f>
        <v/>
      </c>
      <c r="J365">
        <f>IF(G365="","",H365-G365)</f>
        <v/>
      </c>
      <c r="K365">
        <f>IF(G365="","",IF(ABS(G365-H365)&lt;=$B$6*I365,"OK","NG"))</f>
        <v/>
      </c>
      <c r="L365">
        <f>IF(K365="","",IF(K365=D365,1,0))</f>
        <v/>
      </c>
      <c r="M365" t="inlineStr">
        <is>
          <t>W1</t>
        </is>
      </c>
      <c r="N365" s="15" t="n">
        <v>1</v>
      </c>
      <c r="O365" s="15" t="n">
        <v>0</v>
      </c>
      <c r="P365">
        <f>IF(M365="","",IF(M365=E365,1,0))</f>
        <v/>
      </c>
      <c r="Q365">
        <f>IF(K365="OK","-",IF(N365&lt;$B$7,"AMBIGUOUS","CONFIDENT"))</f>
        <v/>
      </c>
    </row>
    <row r="366">
      <c r="A366">
        <f>'Runs Z score'!A358</f>
        <v/>
      </c>
      <c r="B366">
        <f>'Runs Z score'!B358</f>
        <v/>
      </c>
      <c r="C366">
        <f>'Runs Z score'!C358</f>
        <v/>
      </c>
      <c r="D366">
        <f>'Runs Z score'!D358</f>
        <v/>
      </c>
      <c r="E366">
        <f>'Runs Z score'!E358</f>
        <v/>
      </c>
      <c r="F366">
        <f>'Runs Z score'!F358</f>
        <v/>
      </c>
      <c r="G366">
        <f>'Runs Z score'!G358</f>
        <v/>
      </c>
      <c r="H366">
        <f>VLOOKUP(C366,Recipes!$A$2:$N$4,10,FALSE())</f>
        <v/>
      </c>
      <c r="I366">
        <f>VLOOKUP(C366,Recipes!$A$2:$N$4,12,FALSE())</f>
        <v/>
      </c>
      <c r="J366">
        <f>IF(G366="","",H366-G366)</f>
        <v/>
      </c>
      <c r="K366">
        <f>IF(G366="","",IF(ABS(G366-H366)&lt;=$B$6*I366,"OK","NG"))</f>
        <v/>
      </c>
      <c r="L366">
        <f>IF(K366="","",IF(K366=D366,1,0))</f>
        <v/>
      </c>
      <c r="M366" t="inlineStr">
        <is>
          <t>N1</t>
        </is>
      </c>
      <c r="N366" s="15" t="n">
        <v>0.9987</v>
      </c>
      <c r="O366" s="15" t="n">
        <v>0.0009</v>
      </c>
      <c r="P366">
        <f>IF(M366="","",IF(M366=E366,1,0))</f>
        <v/>
      </c>
      <c r="Q366">
        <f>IF(K366="OK","-",IF(N366&lt;$B$7,"AMBIGUOUS","CONFIDENT"))</f>
        <v/>
      </c>
    </row>
    <row r="367">
      <c r="A367">
        <f>'Runs Z score'!A359</f>
        <v/>
      </c>
      <c r="B367">
        <f>'Runs Z score'!B359</f>
        <v/>
      </c>
      <c r="C367">
        <f>'Runs Z score'!C359</f>
        <v/>
      </c>
      <c r="D367">
        <f>'Runs Z score'!D359</f>
        <v/>
      </c>
      <c r="E367">
        <f>'Runs Z score'!E359</f>
        <v/>
      </c>
      <c r="F367">
        <f>'Runs Z score'!F359</f>
        <v/>
      </c>
      <c r="G367">
        <f>'Runs Z score'!G359</f>
        <v/>
      </c>
      <c r="H367">
        <f>VLOOKUP(C367,Recipes!$A$2:$N$4,10,FALSE())</f>
        <v/>
      </c>
      <c r="I367">
        <f>VLOOKUP(C367,Recipes!$A$2:$N$4,12,FALSE())</f>
        <v/>
      </c>
      <c r="J367">
        <f>IF(G367="","",H367-G367)</f>
        <v/>
      </c>
      <c r="K367">
        <f>IF(G367="","",IF(ABS(G367-H367)&lt;=$B$6*I367,"OK","NG"))</f>
        <v/>
      </c>
      <c r="L367">
        <f>IF(K367="","",IF(K367=D367,1,0))</f>
        <v/>
      </c>
      <c r="M367" t="inlineStr">
        <is>
          <t>N1</t>
        </is>
      </c>
      <c r="N367" s="15" t="n">
        <v>0.8144</v>
      </c>
      <c r="O367" s="15" t="n">
        <v>0.1856</v>
      </c>
      <c r="P367">
        <f>IF(M367="","",IF(M367=E367,1,0))</f>
        <v/>
      </c>
      <c r="Q367">
        <f>IF(K367="OK","-",IF(N367&lt;$B$7,"AMBIGUOUS","CONFIDENT"))</f>
        <v/>
      </c>
    </row>
    <row r="368">
      <c r="A368">
        <f>'Runs Z score'!A360</f>
        <v/>
      </c>
      <c r="B368">
        <f>'Runs Z score'!B360</f>
        <v/>
      </c>
      <c r="C368">
        <f>'Runs Z score'!C360</f>
        <v/>
      </c>
      <c r="D368">
        <f>'Runs Z score'!D360</f>
        <v/>
      </c>
      <c r="E368">
        <f>'Runs Z score'!E360</f>
        <v/>
      </c>
      <c r="F368">
        <f>'Runs Z score'!F360</f>
        <v/>
      </c>
      <c r="G368">
        <f>'Runs Z score'!G360</f>
        <v/>
      </c>
      <c r="H368">
        <f>VLOOKUP(C368,Recipes!$A$2:$N$4,10,FALSE())</f>
        <v/>
      </c>
      <c r="I368">
        <f>VLOOKUP(C368,Recipes!$A$2:$N$4,12,FALSE())</f>
        <v/>
      </c>
      <c r="J368">
        <f>IF(G368="","",H368-G368)</f>
        <v/>
      </c>
      <c r="K368">
        <f>IF(G368="","",IF(ABS(G368-H368)&lt;=$B$6*I368,"OK","NG"))</f>
        <v/>
      </c>
      <c r="L368">
        <f>IF(K368="","",IF(K368=D368,1,0))</f>
        <v/>
      </c>
      <c r="M368" t="inlineStr">
        <is>
          <t>W1</t>
        </is>
      </c>
      <c r="N368" s="15" t="n">
        <v>1</v>
      </c>
      <c r="O368" s="15" t="n">
        <v>0</v>
      </c>
      <c r="P368">
        <f>IF(M368="","",IF(M368=E368,1,0))</f>
        <v/>
      </c>
      <c r="Q368">
        <f>IF(K368="OK","-",IF(N368&lt;$B$7,"AMBIGUOUS","CONFIDENT"))</f>
        <v/>
      </c>
    </row>
    <row r="369">
      <c r="A369">
        <f>'Runs Z score'!A361</f>
        <v/>
      </c>
      <c r="B369">
        <f>'Runs Z score'!B361</f>
        <v/>
      </c>
      <c r="C369">
        <f>'Runs Z score'!C361</f>
        <v/>
      </c>
      <c r="D369">
        <f>'Runs Z score'!D361</f>
        <v/>
      </c>
      <c r="E369">
        <f>'Runs Z score'!E361</f>
        <v/>
      </c>
      <c r="F369">
        <f>'Runs Z score'!F361</f>
        <v/>
      </c>
      <c r="G369">
        <f>'Runs Z score'!G361</f>
        <v/>
      </c>
      <c r="H369">
        <f>VLOOKUP(C369,Recipes!$A$2:$N$4,10,FALSE())</f>
        <v/>
      </c>
      <c r="I369">
        <f>VLOOKUP(C369,Recipes!$A$2:$N$4,12,FALSE())</f>
        <v/>
      </c>
      <c r="J369">
        <f>IF(G369="","",H369-G369)</f>
        <v/>
      </c>
      <c r="K369">
        <f>IF(G369="","",IF(ABS(G369-H369)&lt;=$B$6*I369,"OK","NG"))</f>
        <v/>
      </c>
      <c r="L369">
        <f>IF(K369="","",IF(K369=D369,1,0))</f>
        <v/>
      </c>
      <c r="M369" t="inlineStr">
        <is>
          <t>N1</t>
        </is>
      </c>
      <c r="N369" s="15" t="n">
        <v>0.8349</v>
      </c>
      <c r="O369" s="15" t="n">
        <v>0.1639</v>
      </c>
      <c r="P369">
        <f>IF(M369="","",IF(M369=E369,1,0))</f>
        <v/>
      </c>
      <c r="Q369">
        <f>IF(K369="OK","-",IF(N369&lt;$B$7,"AMBIGUOUS","CONFIDENT"))</f>
        <v/>
      </c>
    </row>
    <row r="370">
      <c r="A370">
        <f>'Runs Z score'!A362</f>
        <v/>
      </c>
      <c r="B370">
        <f>'Runs Z score'!B362</f>
        <v/>
      </c>
      <c r="C370">
        <f>'Runs Z score'!C362</f>
        <v/>
      </c>
      <c r="D370">
        <f>'Runs Z score'!D362</f>
        <v/>
      </c>
      <c r="E370">
        <f>'Runs Z score'!E362</f>
        <v/>
      </c>
      <c r="F370">
        <f>'Runs Z score'!F362</f>
        <v/>
      </c>
      <c r="G370">
        <f>'Runs Z score'!G362</f>
        <v/>
      </c>
      <c r="H370">
        <f>VLOOKUP(C370,Recipes!$A$2:$N$4,10,FALSE())</f>
        <v/>
      </c>
      <c r="I370">
        <f>VLOOKUP(C370,Recipes!$A$2:$N$4,12,FALSE())</f>
        <v/>
      </c>
      <c r="J370">
        <f>IF(G370="","",H370-G370)</f>
        <v/>
      </c>
      <c r="K370">
        <f>IF(G370="","",IF(ABS(G370-H370)&lt;=$B$6*I370,"OK","NG"))</f>
        <v/>
      </c>
      <c r="L370">
        <f>IF(K370="","",IF(K370=D370,1,0))</f>
        <v/>
      </c>
      <c r="M370" t="inlineStr">
        <is>
          <t>W1</t>
        </is>
      </c>
      <c r="N370" s="15" t="n">
        <v>1</v>
      </c>
      <c r="O370" s="15" t="n">
        <v>0</v>
      </c>
      <c r="P370">
        <f>IF(M370="","",IF(M370=E370,1,0))</f>
        <v/>
      </c>
      <c r="Q370">
        <f>IF(K370="OK","-",IF(N370&lt;$B$7,"AMBIGUOUS","CONFIDENT"))</f>
        <v/>
      </c>
    </row>
    <row r="371">
      <c r="A371">
        <f>'Runs Z score'!A363</f>
        <v/>
      </c>
      <c r="B371">
        <f>'Runs Z score'!B363</f>
        <v/>
      </c>
      <c r="C371">
        <f>'Runs Z score'!C363</f>
        <v/>
      </c>
      <c r="D371">
        <f>'Runs Z score'!D363</f>
        <v/>
      </c>
      <c r="E371">
        <f>'Runs Z score'!E363</f>
        <v/>
      </c>
      <c r="F371">
        <f>'Runs Z score'!F363</f>
        <v/>
      </c>
      <c r="G371">
        <f>'Runs Z score'!G363</f>
        <v/>
      </c>
      <c r="H371">
        <f>VLOOKUP(C371,Recipes!$A$2:$N$4,10,FALSE())</f>
        <v/>
      </c>
      <c r="I371">
        <f>VLOOKUP(C371,Recipes!$A$2:$N$4,12,FALSE())</f>
        <v/>
      </c>
      <c r="J371">
        <f>IF(G371="","",H371-G371)</f>
        <v/>
      </c>
      <c r="K371">
        <f>IF(G371="","",IF(ABS(G371-H371)&lt;=$B$6*I371,"OK","NG"))</f>
        <v/>
      </c>
      <c r="L371">
        <f>IF(K371="","",IF(K371=D371,1,0))</f>
        <v/>
      </c>
      <c r="M371" t="inlineStr">
        <is>
          <t>N2</t>
        </is>
      </c>
      <c r="N371" s="15" t="n">
        <v>1</v>
      </c>
      <c r="O371" s="15" t="n">
        <v>0</v>
      </c>
      <c r="P371">
        <f>IF(M371="","",IF(M371=E371,1,0))</f>
        <v/>
      </c>
      <c r="Q371">
        <f>IF(K371="OK","-",IF(N371&lt;$B$7,"AMBIGUOUS","CONFIDENT"))</f>
        <v/>
      </c>
    </row>
    <row r="372">
      <c r="A372">
        <f>'Runs Z score'!A364</f>
        <v/>
      </c>
      <c r="B372">
        <f>'Runs Z score'!B364</f>
        <v/>
      </c>
      <c r="C372">
        <f>'Runs Z score'!C364</f>
        <v/>
      </c>
      <c r="D372">
        <f>'Runs Z score'!D364</f>
        <v/>
      </c>
      <c r="E372">
        <f>'Runs Z score'!E364</f>
        <v/>
      </c>
      <c r="F372">
        <f>'Runs Z score'!F364</f>
        <v/>
      </c>
      <c r="G372">
        <f>'Runs Z score'!G364</f>
        <v/>
      </c>
      <c r="H372">
        <f>VLOOKUP(C372,Recipes!$A$2:$N$4,10,FALSE())</f>
        <v/>
      </c>
      <c r="I372">
        <f>VLOOKUP(C372,Recipes!$A$2:$N$4,12,FALSE())</f>
        <v/>
      </c>
      <c r="J372">
        <f>IF(G372="","",H372-G372)</f>
        <v/>
      </c>
      <c r="K372">
        <f>IF(G372="","",IF(ABS(G372-H372)&lt;=$B$6*I372,"OK","NG"))</f>
        <v/>
      </c>
      <c r="L372">
        <f>IF(K372="","",IF(K372=D372,1,0))</f>
        <v/>
      </c>
      <c r="M372" t="inlineStr">
        <is>
          <t>N2</t>
        </is>
      </c>
      <c r="N372" s="15" t="n">
        <v>0.9917</v>
      </c>
      <c r="O372" s="15" t="n">
        <v>0.0083</v>
      </c>
      <c r="P372">
        <f>IF(M372="","",IF(M372=E372,1,0))</f>
        <v/>
      </c>
      <c r="Q372">
        <f>IF(K372="OK","-",IF(N372&lt;$B$7,"AMBIGUOUS","CONFIDENT"))</f>
        <v/>
      </c>
    </row>
    <row r="373">
      <c r="A373">
        <f>'Runs Z score'!A365</f>
        <v/>
      </c>
      <c r="B373">
        <f>'Runs Z score'!B365</f>
        <v/>
      </c>
      <c r="C373">
        <f>'Runs Z score'!C365</f>
        <v/>
      </c>
      <c r="D373">
        <f>'Runs Z score'!D365</f>
        <v/>
      </c>
      <c r="E373">
        <f>'Runs Z score'!E365</f>
        <v/>
      </c>
      <c r="F373">
        <f>'Runs Z score'!F365</f>
        <v/>
      </c>
      <c r="G373">
        <f>'Runs Z score'!G365</f>
        <v/>
      </c>
      <c r="H373">
        <f>VLOOKUP(C373,Recipes!$A$2:$N$4,10,FALSE())</f>
        <v/>
      </c>
      <c r="I373">
        <f>VLOOKUP(C373,Recipes!$A$2:$N$4,12,FALSE())</f>
        <v/>
      </c>
      <c r="J373">
        <f>IF(G373="","",H373-G373)</f>
        <v/>
      </c>
      <c r="K373">
        <f>IF(G373="","",IF(ABS(G373-H373)&lt;=$B$6*I373,"OK","NG"))</f>
        <v/>
      </c>
      <c r="L373">
        <f>IF(K373="","",IF(K373=D373,1,0))</f>
        <v/>
      </c>
      <c r="M373" t="inlineStr">
        <is>
          <t>N2</t>
        </is>
      </c>
      <c r="N373" s="15" t="n">
        <v>0.9386</v>
      </c>
      <c r="O373" s="15" t="n">
        <v>0.0612</v>
      </c>
      <c r="P373">
        <f>IF(M373="","",IF(M373=E373,1,0))</f>
        <v/>
      </c>
      <c r="Q373">
        <f>IF(K373="OK","-",IF(N373&lt;$B$7,"AMBIGUOUS","CONFIDENT"))</f>
        <v/>
      </c>
    </row>
    <row r="374">
      <c r="A374">
        <f>'Runs Z score'!A366</f>
        <v/>
      </c>
      <c r="B374">
        <f>'Runs Z score'!B366</f>
        <v/>
      </c>
      <c r="C374">
        <f>'Runs Z score'!C366</f>
        <v/>
      </c>
      <c r="D374">
        <f>'Runs Z score'!D366</f>
        <v/>
      </c>
      <c r="E374">
        <f>'Runs Z score'!E366</f>
        <v/>
      </c>
      <c r="F374">
        <f>'Runs Z score'!F366</f>
        <v/>
      </c>
      <c r="G374">
        <f>'Runs Z score'!G366</f>
        <v/>
      </c>
      <c r="H374">
        <f>VLOOKUP(C374,Recipes!$A$2:$N$4,10,FALSE())</f>
        <v/>
      </c>
      <c r="I374">
        <f>VLOOKUP(C374,Recipes!$A$2:$N$4,12,FALSE())</f>
        <v/>
      </c>
      <c r="J374">
        <f>IF(G374="","",H374-G374)</f>
        <v/>
      </c>
      <c r="K374">
        <f>IF(G374="","",IF(ABS(G374-H374)&lt;=$B$6*I374,"OK","NG"))</f>
        <v/>
      </c>
      <c r="L374">
        <f>IF(K374="","",IF(K374=D374,1,0))</f>
        <v/>
      </c>
      <c r="M374" t="inlineStr">
        <is>
          <t>N2</t>
        </is>
      </c>
      <c r="N374" s="15" t="n">
        <v>0.8139</v>
      </c>
      <c r="O374" s="15" t="n">
        <v>0.184</v>
      </c>
      <c r="P374">
        <f>IF(M374="","",IF(M374=E374,1,0))</f>
        <v/>
      </c>
      <c r="Q374">
        <f>IF(K374="OK","-",IF(N374&lt;$B$7,"AMBIGUOUS","CONFIDENT"))</f>
        <v/>
      </c>
    </row>
    <row r="375">
      <c r="A375">
        <f>'Runs Z score'!A367</f>
        <v/>
      </c>
      <c r="B375">
        <f>'Runs Z score'!B367</f>
        <v/>
      </c>
      <c r="C375">
        <f>'Runs Z score'!C367</f>
        <v/>
      </c>
      <c r="D375">
        <f>'Runs Z score'!D367</f>
        <v/>
      </c>
      <c r="E375">
        <f>'Runs Z score'!E367</f>
        <v/>
      </c>
      <c r="F375">
        <f>'Runs Z score'!F367</f>
        <v/>
      </c>
      <c r="G375">
        <f>'Runs Z score'!G367</f>
        <v/>
      </c>
      <c r="H375">
        <f>VLOOKUP(C375,Recipes!$A$2:$N$4,10,FALSE())</f>
        <v/>
      </c>
      <c r="I375">
        <f>VLOOKUP(C375,Recipes!$A$2:$N$4,12,FALSE())</f>
        <v/>
      </c>
      <c r="J375">
        <f>IF(G375="","",H375-G375)</f>
        <v/>
      </c>
      <c r="K375">
        <f>IF(G375="","",IF(ABS(G375-H375)&lt;=$B$6*I375,"OK","NG"))</f>
        <v/>
      </c>
      <c r="L375">
        <f>IF(K375="","",IF(K375=D375,1,0))</f>
        <v/>
      </c>
      <c r="M375" t="inlineStr">
        <is>
          <t>N2</t>
        </is>
      </c>
      <c r="N375" s="15" t="n">
        <v>1</v>
      </c>
      <c r="O375" s="15" t="n">
        <v>0</v>
      </c>
      <c r="P375">
        <f>IF(M375="","",IF(M375=E375,1,0))</f>
        <v/>
      </c>
      <c r="Q375">
        <f>IF(K375="OK","-",IF(N375&lt;$B$7,"AMBIGUOUS","CONFIDENT"))</f>
        <v/>
      </c>
    </row>
    <row r="376">
      <c r="A376">
        <f>'Runs Z score'!A368</f>
        <v/>
      </c>
      <c r="B376">
        <f>'Runs Z score'!B368</f>
        <v/>
      </c>
      <c r="C376">
        <f>'Runs Z score'!C368</f>
        <v/>
      </c>
      <c r="D376">
        <f>'Runs Z score'!D368</f>
        <v/>
      </c>
      <c r="E376">
        <f>'Runs Z score'!E368</f>
        <v/>
      </c>
      <c r="F376">
        <f>'Runs Z score'!F368</f>
        <v/>
      </c>
      <c r="G376">
        <f>'Runs Z score'!G368</f>
        <v/>
      </c>
      <c r="H376">
        <f>VLOOKUP(C376,Recipes!$A$2:$N$4,10,FALSE())</f>
        <v/>
      </c>
      <c r="I376">
        <f>VLOOKUP(C376,Recipes!$A$2:$N$4,12,FALSE())</f>
        <v/>
      </c>
      <c r="J376">
        <f>IF(G376="","",H376-G376)</f>
        <v/>
      </c>
      <c r="K376">
        <f>IF(G376="","",IF(ABS(G376-H376)&lt;=$B$6*I376,"OK","NG"))</f>
        <v/>
      </c>
      <c r="L376">
        <f>IF(K376="","",IF(K376=D376,1,0))</f>
        <v/>
      </c>
      <c r="M376" t="inlineStr">
        <is>
          <t>N2</t>
        </is>
      </c>
      <c r="N376" s="15" t="n">
        <v>0.9997</v>
      </c>
      <c r="O376" s="15" t="n">
        <v>0.0003</v>
      </c>
      <c r="P376">
        <f>IF(M376="","",IF(M376=E376,1,0))</f>
        <v/>
      </c>
      <c r="Q376">
        <f>IF(K376="OK","-",IF(N376&lt;$B$7,"AMBIGUOUS","CONFIDENT"))</f>
        <v/>
      </c>
    </row>
    <row r="377">
      <c r="A377">
        <f>'Runs Z score'!A369</f>
        <v/>
      </c>
      <c r="B377">
        <f>'Runs Z score'!B369</f>
        <v/>
      </c>
      <c r="C377">
        <f>'Runs Z score'!C369</f>
        <v/>
      </c>
      <c r="D377">
        <f>'Runs Z score'!D369</f>
        <v/>
      </c>
      <c r="E377">
        <f>'Runs Z score'!E369</f>
        <v/>
      </c>
      <c r="F377">
        <f>'Runs Z score'!F369</f>
        <v/>
      </c>
      <c r="G377">
        <f>'Runs Z score'!G369</f>
        <v/>
      </c>
      <c r="H377">
        <f>VLOOKUP(C377,Recipes!$A$2:$N$4,10,FALSE())</f>
        <v/>
      </c>
      <c r="I377">
        <f>VLOOKUP(C377,Recipes!$A$2:$N$4,12,FALSE())</f>
        <v/>
      </c>
      <c r="J377">
        <f>IF(G377="","",H377-G377)</f>
        <v/>
      </c>
      <c r="K377">
        <f>IF(G377="","",IF(ABS(G377-H377)&lt;=$B$6*I377,"OK","NG"))</f>
        <v/>
      </c>
      <c r="L377">
        <f>IF(K377="","",IF(K377=D377,1,0))</f>
        <v/>
      </c>
      <c r="M377" t="inlineStr">
        <is>
          <t>N2</t>
        </is>
      </c>
      <c r="N377" s="15" t="n">
        <v>0.9998</v>
      </c>
      <c r="O377" s="15" t="n">
        <v>0.0002</v>
      </c>
      <c r="P377">
        <f>IF(M377="","",IF(M377=E377,1,0))</f>
        <v/>
      </c>
      <c r="Q377">
        <f>IF(K377="OK","-",IF(N377&lt;$B$7,"AMBIGUOUS","CONFIDENT"))</f>
        <v/>
      </c>
    </row>
    <row r="378">
      <c r="A378">
        <f>'Runs Z score'!A370</f>
        <v/>
      </c>
      <c r="B378">
        <f>'Runs Z score'!B370</f>
        <v/>
      </c>
      <c r="C378">
        <f>'Runs Z score'!C370</f>
        <v/>
      </c>
      <c r="D378">
        <f>'Runs Z score'!D370</f>
        <v/>
      </c>
      <c r="E378">
        <f>'Runs Z score'!E370</f>
        <v/>
      </c>
      <c r="F378">
        <f>'Runs Z score'!F370</f>
        <v/>
      </c>
      <c r="G378">
        <f>'Runs Z score'!G370</f>
        <v/>
      </c>
      <c r="H378">
        <f>VLOOKUP(C378,Recipes!$A$2:$N$4,10,FALSE())</f>
        <v/>
      </c>
      <c r="I378">
        <f>VLOOKUP(C378,Recipes!$A$2:$N$4,12,FALSE())</f>
        <v/>
      </c>
      <c r="J378">
        <f>IF(G378="","",H378-G378)</f>
        <v/>
      </c>
      <c r="K378">
        <f>IF(G378="","",IF(ABS(G378-H378)&lt;=$B$6*I378,"OK","NG"))</f>
        <v/>
      </c>
      <c r="L378">
        <f>IF(K378="","",IF(K378=D378,1,0))</f>
        <v/>
      </c>
      <c r="M378" t="inlineStr">
        <is>
          <t>N2</t>
        </is>
      </c>
      <c r="N378" s="15" t="n">
        <v>0.8842</v>
      </c>
      <c r="O378" s="15" t="n">
        <v>0.1156</v>
      </c>
      <c r="P378">
        <f>IF(M378="","",IF(M378=E378,1,0))</f>
        <v/>
      </c>
      <c r="Q378">
        <f>IF(K378="OK","-",IF(N378&lt;$B$7,"AMBIGUOUS","CONFIDENT"))</f>
        <v/>
      </c>
    </row>
    <row r="379">
      <c r="A379">
        <f>'Runs Z score'!A371</f>
        <v/>
      </c>
      <c r="B379">
        <f>'Runs Z score'!B371</f>
        <v/>
      </c>
      <c r="C379">
        <f>'Runs Z score'!C371</f>
        <v/>
      </c>
      <c r="D379">
        <f>'Runs Z score'!D371</f>
        <v/>
      </c>
      <c r="E379">
        <f>'Runs Z score'!E371</f>
        <v/>
      </c>
      <c r="F379">
        <f>'Runs Z score'!F371</f>
        <v/>
      </c>
      <c r="G379">
        <f>'Runs Z score'!G371</f>
        <v/>
      </c>
      <c r="H379">
        <f>VLOOKUP(C379,Recipes!$A$2:$N$4,10,FALSE())</f>
        <v/>
      </c>
      <c r="I379">
        <f>VLOOKUP(C379,Recipes!$A$2:$N$4,12,FALSE())</f>
        <v/>
      </c>
      <c r="J379">
        <f>IF(G379="","",H379-G379)</f>
        <v/>
      </c>
      <c r="K379">
        <f>IF(G379="","",IF(ABS(G379-H379)&lt;=$B$6*I379,"OK","NG"))</f>
        <v/>
      </c>
      <c r="L379">
        <f>IF(K379="","",IF(K379=D379,1,0))</f>
        <v/>
      </c>
      <c r="M379" t="inlineStr">
        <is>
          <t>N2</t>
        </is>
      </c>
      <c r="N379" s="15" t="n">
        <v>1</v>
      </c>
      <c r="O379" s="15" t="n">
        <v>0</v>
      </c>
      <c r="P379">
        <f>IF(M379="","",IF(M379=E379,1,0))</f>
        <v/>
      </c>
      <c r="Q379">
        <f>IF(K379="OK","-",IF(N379&lt;$B$7,"AMBIGUOUS","CONFIDENT"))</f>
        <v/>
      </c>
    </row>
    <row r="380">
      <c r="A380">
        <f>'Runs Z score'!A372</f>
        <v/>
      </c>
      <c r="B380">
        <f>'Runs Z score'!B372</f>
        <v/>
      </c>
      <c r="C380">
        <f>'Runs Z score'!C372</f>
        <v/>
      </c>
      <c r="D380">
        <f>'Runs Z score'!D372</f>
        <v/>
      </c>
      <c r="E380">
        <f>'Runs Z score'!E372</f>
        <v/>
      </c>
      <c r="F380">
        <f>'Runs Z score'!F372</f>
        <v/>
      </c>
      <c r="G380">
        <f>'Runs Z score'!G372</f>
        <v/>
      </c>
      <c r="H380">
        <f>VLOOKUP(C380,Recipes!$A$2:$N$4,10,FALSE())</f>
        <v/>
      </c>
      <c r="I380">
        <f>VLOOKUP(C380,Recipes!$A$2:$N$4,12,FALSE())</f>
        <v/>
      </c>
      <c r="J380">
        <f>IF(G380="","",H380-G380)</f>
        <v/>
      </c>
      <c r="K380">
        <f>IF(G380="","",IF(ABS(G380-H380)&lt;=$B$6*I380,"OK","NG"))</f>
        <v/>
      </c>
      <c r="L380">
        <f>IF(K380="","",IF(K380=D380,1,0))</f>
        <v/>
      </c>
      <c r="M380" t="inlineStr">
        <is>
          <t>N2</t>
        </is>
      </c>
      <c r="N380" s="15" t="n">
        <v>0.9987</v>
      </c>
      <c r="O380" s="15" t="n">
        <v>0.0013</v>
      </c>
      <c r="P380">
        <f>IF(M380="","",IF(M380=E380,1,0))</f>
        <v/>
      </c>
      <c r="Q380">
        <f>IF(K380="OK","-",IF(N380&lt;$B$7,"AMBIGUOUS","CONFIDENT"))</f>
        <v/>
      </c>
    </row>
    <row r="381">
      <c r="A381">
        <f>'Runs Z score'!A373</f>
        <v/>
      </c>
      <c r="B381">
        <f>'Runs Z score'!B373</f>
        <v/>
      </c>
      <c r="C381">
        <f>'Runs Z score'!C373</f>
        <v/>
      </c>
      <c r="D381">
        <f>'Runs Z score'!D373</f>
        <v/>
      </c>
      <c r="E381">
        <f>'Runs Z score'!E373</f>
        <v/>
      </c>
      <c r="F381">
        <f>'Runs Z score'!F373</f>
        <v/>
      </c>
      <c r="G381">
        <f>'Runs Z score'!G373</f>
        <v/>
      </c>
      <c r="H381">
        <f>VLOOKUP(C381,Recipes!$A$2:$N$4,10,FALSE())</f>
        <v/>
      </c>
      <c r="I381">
        <f>VLOOKUP(C381,Recipes!$A$2:$N$4,12,FALSE())</f>
        <v/>
      </c>
      <c r="J381">
        <f>IF(G381="","",H381-G381)</f>
        <v/>
      </c>
      <c r="K381">
        <f>IF(G381="","",IF(ABS(G381-H381)&lt;=$B$6*I381,"OK","NG"))</f>
        <v/>
      </c>
      <c r="L381">
        <f>IF(K381="","",IF(K381=D381,1,0))</f>
        <v/>
      </c>
      <c r="M381" t="inlineStr">
        <is>
          <t>N2</t>
        </is>
      </c>
      <c r="N381" s="15" t="n">
        <v>1</v>
      </c>
      <c r="O381" s="15" t="n">
        <v>0</v>
      </c>
      <c r="P381">
        <f>IF(M381="","",IF(M381=E381,1,0))</f>
        <v/>
      </c>
      <c r="Q381">
        <f>IF(K381="OK","-",IF(N381&lt;$B$7,"AMBIGUOUS","CONFIDENT"))</f>
        <v/>
      </c>
    </row>
    <row r="382">
      <c r="A382">
        <f>'Runs Z score'!A374</f>
        <v/>
      </c>
      <c r="B382">
        <f>'Runs Z score'!B374</f>
        <v/>
      </c>
      <c r="C382">
        <f>'Runs Z score'!C374</f>
        <v/>
      </c>
      <c r="D382">
        <f>'Runs Z score'!D374</f>
        <v/>
      </c>
      <c r="E382">
        <f>'Runs Z score'!E374</f>
        <v/>
      </c>
      <c r="F382">
        <f>'Runs Z score'!F374</f>
        <v/>
      </c>
      <c r="G382">
        <f>'Runs Z score'!G374</f>
        <v/>
      </c>
      <c r="H382">
        <f>VLOOKUP(C382,Recipes!$A$2:$N$4,10,FALSE())</f>
        <v/>
      </c>
      <c r="I382">
        <f>VLOOKUP(C382,Recipes!$A$2:$N$4,12,FALSE())</f>
        <v/>
      </c>
      <c r="J382">
        <f>IF(G382="","",H382-G382)</f>
        <v/>
      </c>
      <c r="K382">
        <f>IF(G382="","",IF(ABS(G382-H382)&lt;=$B$6*I382,"OK","NG"))</f>
        <v/>
      </c>
      <c r="L382">
        <f>IF(K382="","",IF(K382=D382,1,0))</f>
        <v/>
      </c>
      <c r="M382" t="inlineStr">
        <is>
          <t>N2</t>
        </is>
      </c>
      <c r="N382" s="15" t="n">
        <v>0.9966</v>
      </c>
      <c r="O382" s="15" t="n">
        <v>0.0034</v>
      </c>
      <c r="P382">
        <f>IF(M382="","",IF(M382=E382,1,0))</f>
        <v/>
      </c>
      <c r="Q382">
        <f>IF(K382="OK","-",IF(N382&lt;$B$7,"AMBIGUOUS","CONFIDENT"))</f>
        <v/>
      </c>
    </row>
    <row r="383">
      <c r="A383">
        <f>'Runs Z score'!A375</f>
        <v/>
      </c>
      <c r="B383">
        <f>'Runs Z score'!B375</f>
        <v/>
      </c>
      <c r="C383">
        <f>'Runs Z score'!C375</f>
        <v/>
      </c>
      <c r="D383">
        <f>'Runs Z score'!D375</f>
        <v/>
      </c>
      <c r="E383">
        <f>'Runs Z score'!E375</f>
        <v/>
      </c>
      <c r="F383">
        <f>'Runs Z score'!F375</f>
        <v/>
      </c>
      <c r="G383">
        <f>'Runs Z score'!G375</f>
        <v/>
      </c>
      <c r="H383">
        <f>VLOOKUP(C383,Recipes!$A$2:$N$4,10,FALSE())</f>
        <v/>
      </c>
      <c r="I383">
        <f>VLOOKUP(C383,Recipes!$A$2:$N$4,12,FALSE())</f>
        <v/>
      </c>
      <c r="J383">
        <f>IF(G383="","",H383-G383)</f>
        <v/>
      </c>
      <c r="K383">
        <f>IF(G383="","",IF(ABS(G383-H383)&lt;=$B$6*I383,"OK","NG"))</f>
        <v/>
      </c>
      <c r="L383">
        <f>IF(K383="","",IF(K383=D383,1,0))</f>
        <v/>
      </c>
      <c r="M383" t="inlineStr">
        <is>
          <t>N2</t>
        </is>
      </c>
      <c r="N383" s="15" t="n">
        <v>0.9997</v>
      </c>
      <c r="O383" s="15" t="n">
        <v>0.0003</v>
      </c>
      <c r="P383">
        <f>IF(M383="","",IF(M383=E383,1,0))</f>
        <v/>
      </c>
      <c r="Q383">
        <f>IF(K383="OK","-",IF(N383&lt;$B$7,"AMBIGUOUS","CONFIDENT"))</f>
        <v/>
      </c>
    </row>
    <row r="384">
      <c r="A384">
        <f>'Runs Z score'!A376</f>
        <v/>
      </c>
      <c r="B384">
        <f>'Runs Z score'!B376</f>
        <v/>
      </c>
      <c r="C384">
        <f>'Runs Z score'!C376</f>
        <v/>
      </c>
      <c r="D384">
        <f>'Runs Z score'!D376</f>
        <v/>
      </c>
      <c r="E384">
        <f>'Runs Z score'!E376</f>
        <v/>
      </c>
      <c r="F384">
        <f>'Runs Z score'!F376</f>
        <v/>
      </c>
      <c r="G384">
        <f>'Runs Z score'!G376</f>
        <v/>
      </c>
      <c r="H384">
        <f>VLOOKUP(C384,Recipes!$A$2:$N$4,10,FALSE())</f>
        <v/>
      </c>
      <c r="I384">
        <f>VLOOKUP(C384,Recipes!$A$2:$N$4,12,FALSE())</f>
        <v/>
      </c>
      <c r="J384">
        <f>IF(G384="","",H384-G384)</f>
        <v/>
      </c>
      <c r="K384">
        <f>IF(G384="","",IF(ABS(G384-H384)&lt;=$B$6*I384,"OK","NG"))</f>
        <v/>
      </c>
      <c r="L384">
        <f>IF(K384="","",IF(K384=D384,1,0))</f>
        <v/>
      </c>
      <c r="M384" t="inlineStr">
        <is>
          <t>N2</t>
        </is>
      </c>
      <c r="N384" s="15" t="n">
        <v>1</v>
      </c>
      <c r="O384" s="15" t="n">
        <v>0</v>
      </c>
      <c r="P384">
        <f>IF(M384="","",IF(M384=E384,1,0))</f>
        <v/>
      </c>
      <c r="Q384">
        <f>IF(K384="OK","-",IF(N384&lt;$B$7,"AMBIGUOUS","CONFIDENT"))</f>
        <v/>
      </c>
    </row>
    <row r="385">
      <c r="A385">
        <f>'Runs Z score'!A377</f>
        <v/>
      </c>
      <c r="B385">
        <f>'Runs Z score'!B377</f>
        <v/>
      </c>
      <c r="C385">
        <f>'Runs Z score'!C377</f>
        <v/>
      </c>
      <c r="D385">
        <f>'Runs Z score'!D377</f>
        <v/>
      </c>
      <c r="E385">
        <f>'Runs Z score'!E377</f>
        <v/>
      </c>
      <c r="F385">
        <f>'Runs Z score'!F377</f>
        <v/>
      </c>
      <c r="G385">
        <f>'Runs Z score'!G377</f>
        <v/>
      </c>
      <c r="H385">
        <f>VLOOKUP(C385,Recipes!$A$2:$N$4,10,FALSE())</f>
        <v/>
      </c>
      <c r="I385">
        <f>VLOOKUP(C385,Recipes!$A$2:$N$4,12,FALSE())</f>
        <v/>
      </c>
      <c r="J385">
        <f>IF(G385="","",H385-G385)</f>
        <v/>
      </c>
      <c r="K385">
        <f>IF(G385="","",IF(ABS(G385-H385)&lt;=$B$6*I385,"OK","NG"))</f>
        <v/>
      </c>
      <c r="L385">
        <f>IF(K385="","",IF(K385=D385,1,0))</f>
        <v/>
      </c>
      <c r="M385" t="inlineStr">
        <is>
          <t>N2</t>
        </is>
      </c>
      <c r="N385" s="15" t="n">
        <v>1</v>
      </c>
      <c r="O385" s="15" t="n">
        <v>0</v>
      </c>
      <c r="P385">
        <f>IF(M385="","",IF(M385=E385,1,0))</f>
        <v/>
      </c>
      <c r="Q385">
        <f>IF(K385="OK","-",IF(N385&lt;$B$7,"AMBIGUOUS","CONFIDENT"))</f>
        <v/>
      </c>
    </row>
    <row r="386">
      <c r="A386">
        <f>'Runs Z score'!A378</f>
        <v/>
      </c>
      <c r="B386">
        <f>'Runs Z score'!B378</f>
        <v/>
      </c>
      <c r="C386">
        <f>'Runs Z score'!C378</f>
        <v/>
      </c>
      <c r="D386">
        <f>'Runs Z score'!D378</f>
        <v/>
      </c>
      <c r="E386">
        <f>'Runs Z score'!E378</f>
        <v/>
      </c>
      <c r="F386">
        <f>'Runs Z score'!F378</f>
        <v/>
      </c>
      <c r="G386">
        <f>'Runs Z score'!G378</f>
        <v/>
      </c>
      <c r="H386">
        <f>VLOOKUP(C386,Recipes!$A$2:$N$4,10,FALSE())</f>
        <v/>
      </c>
      <c r="I386">
        <f>VLOOKUP(C386,Recipes!$A$2:$N$4,12,FALSE())</f>
        <v/>
      </c>
      <c r="J386">
        <f>IF(G386="","",H386-G386)</f>
        <v/>
      </c>
      <c r="K386">
        <f>IF(G386="","",IF(ABS(G386-H386)&lt;=$B$6*I386,"OK","NG"))</f>
        <v/>
      </c>
      <c r="L386">
        <f>IF(K386="","",IF(K386=D386,1,0))</f>
        <v/>
      </c>
      <c r="M386" t="inlineStr">
        <is>
          <t>N2</t>
        </is>
      </c>
      <c r="N386" s="15" t="n">
        <v>1</v>
      </c>
      <c r="O386" s="15" t="n">
        <v>0</v>
      </c>
      <c r="P386">
        <f>IF(M386="","",IF(M386=E386,1,0))</f>
        <v/>
      </c>
      <c r="Q386">
        <f>IF(K386="OK","-",IF(N386&lt;$B$7,"AMBIGUOUS","CONFIDENT"))</f>
        <v/>
      </c>
    </row>
    <row r="387">
      <c r="A387">
        <f>'Runs Z score'!A379</f>
        <v/>
      </c>
      <c r="B387">
        <f>'Runs Z score'!B379</f>
        <v/>
      </c>
      <c r="C387">
        <f>'Runs Z score'!C379</f>
        <v/>
      </c>
      <c r="D387">
        <f>'Runs Z score'!D379</f>
        <v/>
      </c>
      <c r="E387">
        <f>'Runs Z score'!E379</f>
        <v/>
      </c>
      <c r="F387">
        <f>'Runs Z score'!F379</f>
        <v/>
      </c>
      <c r="G387">
        <f>'Runs Z score'!G379</f>
        <v/>
      </c>
      <c r="H387">
        <f>VLOOKUP(C387,Recipes!$A$2:$N$4,10,FALSE())</f>
        <v/>
      </c>
      <c r="I387">
        <f>VLOOKUP(C387,Recipes!$A$2:$N$4,12,FALSE())</f>
        <v/>
      </c>
      <c r="J387">
        <f>IF(G387="","",H387-G387)</f>
        <v/>
      </c>
      <c r="K387">
        <f>IF(G387="","",IF(ABS(G387-H387)&lt;=$B$6*I387,"OK","NG"))</f>
        <v/>
      </c>
      <c r="L387">
        <f>IF(K387="","",IF(K387=D387,1,0))</f>
        <v/>
      </c>
      <c r="M387" t="inlineStr">
        <is>
          <t>N2</t>
        </is>
      </c>
      <c r="N387" s="15" t="n">
        <v>1</v>
      </c>
      <c r="O387" s="15" t="n">
        <v>0</v>
      </c>
      <c r="P387">
        <f>IF(M387="","",IF(M387=E387,1,0))</f>
        <v/>
      </c>
      <c r="Q387">
        <f>IF(K387="OK","-",IF(N387&lt;$B$7,"AMBIGUOUS","CONFIDENT"))</f>
        <v/>
      </c>
    </row>
    <row r="388">
      <c r="A388">
        <f>'Runs Z score'!A380</f>
        <v/>
      </c>
      <c r="B388">
        <f>'Runs Z score'!B380</f>
        <v/>
      </c>
      <c r="C388">
        <f>'Runs Z score'!C380</f>
        <v/>
      </c>
      <c r="D388">
        <f>'Runs Z score'!D380</f>
        <v/>
      </c>
      <c r="E388">
        <f>'Runs Z score'!E380</f>
        <v/>
      </c>
      <c r="F388">
        <f>'Runs Z score'!F380</f>
        <v/>
      </c>
      <c r="G388">
        <f>'Runs Z score'!G380</f>
        <v/>
      </c>
      <c r="H388">
        <f>VLOOKUP(C388,Recipes!$A$2:$N$4,10,FALSE())</f>
        <v/>
      </c>
      <c r="I388">
        <f>VLOOKUP(C388,Recipes!$A$2:$N$4,12,FALSE())</f>
        <v/>
      </c>
      <c r="J388">
        <f>IF(G388="","",H388-G388)</f>
        <v/>
      </c>
      <c r="K388">
        <f>IF(G388="","",IF(ABS(G388-H388)&lt;=$B$6*I388,"OK","NG"))</f>
        <v/>
      </c>
      <c r="L388">
        <f>IF(K388="","",IF(K388=D388,1,0))</f>
        <v/>
      </c>
      <c r="M388" t="inlineStr">
        <is>
          <t>N2</t>
        </is>
      </c>
      <c r="N388" s="15" t="n">
        <v>1</v>
      </c>
      <c r="O388" s="15" t="n">
        <v>0</v>
      </c>
      <c r="P388">
        <f>IF(M388="","",IF(M388=E388,1,0))</f>
        <v/>
      </c>
      <c r="Q388">
        <f>IF(K388="OK","-",IF(N388&lt;$B$7,"AMBIGUOUS","CONFIDENT"))</f>
        <v/>
      </c>
    </row>
    <row r="389">
      <c r="A389">
        <f>'Runs Z score'!A381</f>
        <v/>
      </c>
      <c r="B389">
        <f>'Runs Z score'!B381</f>
        <v/>
      </c>
      <c r="C389">
        <f>'Runs Z score'!C381</f>
        <v/>
      </c>
      <c r="D389">
        <f>'Runs Z score'!D381</f>
        <v/>
      </c>
      <c r="E389">
        <f>'Runs Z score'!E381</f>
        <v/>
      </c>
      <c r="F389">
        <f>'Runs Z score'!F381</f>
        <v/>
      </c>
      <c r="G389">
        <f>'Runs Z score'!G381</f>
        <v/>
      </c>
      <c r="H389">
        <f>VLOOKUP(C389,Recipes!$A$2:$N$4,10,FALSE())</f>
        <v/>
      </c>
      <c r="I389">
        <f>VLOOKUP(C389,Recipes!$A$2:$N$4,12,FALSE())</f>
        <v/>
      </c>
      <c r="J389">
        <f>IF(G389="","",H389-G389)</f>
        <v/>
      </c>
      <c r="K389">
        <f>IF(G389="","",IF(ABS(G389-H389)&lt;=$B$6*I389,"OK","NG"))</f>
        <v/>
      </c>
      <c r="L389">
        <f>IF(K389="","",IF(K389=D389,1,0))</f>
        <v/>
      </c>
      <c r="M389" t="inlineStr">
        <is>
          <t>N2</t>
        </is>
      </c>
      <c r="N389" s="15" t="n">
        <v>0.988</v>
      </c>
      <c r="O389" s="15" t="n">
        <v>0.0118</v>
      </c>
      <c r="P389">
        <f>IF(M389="","",IF(M389=E389,1,0))</f>
        <v/>
      </c>
      <c r="Q389">
        <f>IF(K389="OK","-",IF(N389&lt;$B$7,"AMBIGUOUS","CONFIDENT"))</f>
        <v/>
      </c>
    </row>
    <row r="390">
      <c r="A390">
        <f>'Runs Z score'!A382</f>
        <v/>
      </c>
      <c r="B390">
        <f>'Runs Z score'!B382</f>
        <v/>
      </c>
      <c r="C390">
        <f>'Runs Z score'!C382</f>
        <v/>
      </c>
      <c r="D390">
        <f>'Runs Z score'!D382</f>
        <v/>
      </c>
      <c r="E390">
        <f>'Runs Z score'!E382</f>
        <v/>
      </c>
      <c r="F390">
        <f>'Runs Z score'!F382</f>
        <v/>
      </c>
      <c r="G390">
        <f>'Runs Z score'!G382</f>
        <v/>
      </c>
      <c r="H390">
        <f>VLOOKUP(C390,Recipes!$A$2:$N$4,10,FALSE())</f>
        <v/>
      </c>
      <c r="I390">
        <f>VLOOKUP(C390,Recipes!$A$2:$N$4,12,FALSE())</f>
        <v/>
      </c>
      <c r="J390">
        <f>IF(G390="","",H390-G390)</f>
        <v/>
      </c>
      <c r="K390">
        <f>IF(G390="","",IF(ABS(G390-H390)&lt;=$B$6*I390,"OK","NG"))</f>
        <v/>
      </c>
      <c r="L390">
        <f>IF(K390="","",IF(K390=D390,1,0))</f>
        <v/>
      </c>
      <c r="M390" t="inlineStr">
        <is>
          <t>N2</t>
        </is>
      </c>
      <c r="N390" s="15" t="n">
        <v>0.9997</v>
      </c>
      <c r="O390" s="15" t="n">
        <v>0.0003</v>
      </c>
      <c r="P390">
        <f>IF(M390="","",IF(M390=E390,1,0))</f>
        <v/>
      </c>
      <c r="Q390">
        <f>IF(K390="OK","-",IF(N390&lt;$B$7,"AMBIGUOUS","CONFIDENT"))</f>
        <v/>
      </c>
    </row>
    <row r="391">
      <c r="A391">
        <f>'Runs Z score'!A383</f>
        <v/>
      </c>
      <c r="B391">
        <f>'Runs Z score'!B383</f>
        <v/>
      </c>
      <c r="C391">
        <f>'Runs Z score'!C383</f>
        <v/>
      </c>
      <c r="D391">
        <f>'Runs Z score'!D383</f>
        <v/>
      </c>
      <c r="E391">
        <f>'Runs Z score'!E383</f>
        <v/>
      </c>
      <c r="F391">
        <f>'Runs Z score'!F383</f>
        <v/>
      </c>
      <c r="G391">
        <f>'Runs Z score'!G383</f>
        <v/>
      </c>
      <c r="H391">
        <f>VLOOKUP(C391,Recipes!$A$2:$N$4,10,FALSE())</f>
        <v/>
      </c>
      <c r="I391">
        <f>VLOOKUP(C391,Recipes!$A$2:$N$4,12,FALSE())</f>
        <v/>
      </c>
      <c r="J391">
        <f>IF(G391="","",H391-G391)</f>
        <v/>
      </c>
      <c r="K391">
        <f>IF(G391="","",IF(ABS(G391-H391)&lt;=$B$6*I391,"OK","NG"))</f>
        <v/>
      </c>
      <c r="L391">
        <f>IF(K391="","",IF(K391=D391,1,0))</f>
        <v/>
      </c>
      <c r="M391" t="inlineStr">
        <is>
          <t>N2</t>
        </is>
      </c>
      <c r="N391" s="15" t="n">
        <v>0.9967</v>
      </c>
      <c r="O391" s="15" t="n">
        <v>0.0033</v>
      </c>
      <c r="P391">
        <f>IF(M391="","",IF(M391=E391,1,0))</f>
        <v/>
      </c>
      <c r="Q391">
        <f>IF(K391="OK","-",IF(N391&lt;$B$7,"AMBIGUOUS","CONFIDENT"))</f>
        <v/>
      </c>
    </row>
    <row r="392">
      <c r="A392">
        <f>'Runs Z score'!A384</f>
        <v/>
      </c>
      <c r="B392">
        <f>'Runs Z score'!B384</f>
        <v/>
      </c>
      <c r="C392">
        <f>'Runs Z score'!C384</f>
        <v/>
      </c>
      <c r="D392">
        <f>'Runs Z score'!D384</f>
        <v/>
      </c>
      <c r="E392">
        <f>'Runs Z score'!E384</f>
        <v/>
      </c>
      <c r="F392">
        <f>'Runs Z score'!F384</f>
        <v/>
      </c>
      <c r="G392">
        <f>'Runs Z score'!G384</f>
        <v/>
      </c>
      <c r="H392">
        <f>VLOOKUP(C392,Recipes!$A$2:$N$4,10,FALSE())</f>
        <v/>
      </c>
      <c r="I392">
        <f>VLOOKUP(C392,Recipes!$A$2:$N$4,12,FALSE())</f>
        <v/>
      </c>
      <c r="J392">
        <f>IF(G392="","",H392-G392)</f>
        <v/>
      </c>
      <c r="K392">
        <f>IF(G392="","",IF(ABS(G392-H392)&lt;=$B$6*I392,"OK","NG"))</f>
        <v/>
      </c>
      <c r="L392">
        <f>IF(K392="","",IF(K392=D392,1,0))</f>
        <v/>
      </c>
      <c r="M392" t="inlineStr">
        <is>
          <t>N2</t>
        </is>
      </c>
      <c r="N392" s="15" t="n">
        <v>1</v>
      </c>
      <c r="O392" s="15" t="n">
        <v>0</v>
      </c>
      <c r="P392">
        <f>IF(M392="","",IF(M392=E392,1,0))</f>
        <v/>
      </c>
      <c r="Q392">
        <f>IF(K392="OK","-",IF(N392&lt;$B$7,"AMBIGUOUS","CONFIDENT"))</f>
        <v/>
      </c>
    </row>
    <row r="393">
      <c r="A393">
        <f>'Runs Z score'!A385</f>
        <v/>
      </c>
      <c r="B393">
        <f>'Runs Z score'!B385</f>
        <v/>
      </c>
      <c r="C393">
        <f>'Runs Z score'!C385</f>
        <v/>
      </c>
      <c r="D393">
        <f>'Runs Z score'!D385</f>
        <v/>
      </c>
      <c r="E393">
        <f>'Runs Z score'!E385</f>
        <v/>
      </c>
      <c r="F393">
        <f>'Runs Z score'!F385</f>
        <v/>
      </c>
      <c r="G393">
        <f>'Runs Z score'!G385</f>
        <v/>
      </c>
      <c r="H393">
        <f>VLOOKUP(C393,Recipes!$A$2:$N$4,10,FALSE())</f>
        <v/>
      </c>
      <c r="I393">
        <f>VLOOKUP(C393,Recipes!$A$2:$N$4,12,FALSE())</f>
        <v/>
      </c>
      <c r="J393">
        <f>IF(G393="","",H393-G393)</f>
        <v/>
      </c>
      <c r="K393">
        <f>IF(G393="","",IF(ABS(G393-H393)&lt;=$B$6*I393,"OK","NG"))</f>
        <v/>
      </c>
      <c r="L393">
        <f>IF(K393="","",IF(K393=D393,1,0))</f>
        <v/>
      </c>
      <c r="M393" t="inlineStr">
        <is>
          <t>N2</t>
        </is>
      </c>
      <c r="N393" s="15" t="n">
        <v>0.9955000000000001</v>
      </c>
      <c r="O393" s="15" t="n">
        <v>0.0045</v>
      </c>
      <c r="P393">
        <f>IF(M393="","",IF(M393=E393,1,0))</f>
        <v/>
      </c>
      <c r="Q393">
        <f>IF(K393="OK","-",IF(N393&lt;$B$7,"AMBIGUOUS","CONFIDENT"))</f>
        <v/>
      </c>
    </row>
    <row r="394">
      <c r="A394">
        <f>'Runs Z score'!A386</f>
        <v/>
      </c>
      <c r="B394">
        <f>'Runs Z score'!B386</f>
        <v/>
      </c>
      <c r="C394">
        <f>'Runs Z score'!C386</f>
        <v/>
      </c>
      <c r="D394">
        <f>'Runs Z score'!D386</f>
        <v/>
      </c>
      <c r="E394">
        <f>'Runs Z score'!E386</f>
        <v/>
      </c>
      <c r="F394">
        <f>'Runs Z score'!F386</f>
        <v/>
      </c>
      <c r="G394">
        <f>'Runs Z score'!G386</f>
        <v/>
      </c>
      <c r="H394">
        <f>VLOOKUP(C394,Recipes!$A$2:$N$4,10,FALSE())</f>
        <v/>
      </c>
      <c r="I394">
        <f>VLOOKUP(C394,Recipes!$A$2:$N$4,12,FALSE())</f>
        <v/>
      </c>
      <c r="J394">
        <f>IF(G394="","",H394-G394)</f>
        <v/>
      </c>
      <c r="K394">
        <f>IF(G394="","",IF(ABS(G394-H394)&lt;=$B$6*I394,"OK","NG"))</f>
        <v/>
      </c>
      <c r="L394">
        <f>IF(K394="","",IF(K394=D394,1,0))</f>
        <v/>
      </c>
      <c r="M394" t="inlineStr">
        <is>
          <t>N2</t>
        </is>
      </c>
      <c r="N394" s="15" t="n">
        <v>1</v>
      </c>
      <c r="O394" s="15" t="n">
        <v>0</v>
      </c>
      <c r="P394">
        <f>IF(M394="","",IF(M394=E394,1,0))</f>
        <v/>
      </c>
      <c r="Q394">
        <f>IF(K394="OK","-",IF(N394&lt;$B$7,"AMBIGUOUS","CONFIDENT"))</f>
        <v/>
      </c>
    </row>
    <row r="395">
      <c r="A395">
        <f>'Runs Z score'!A387</f>
        <v/>
      </c>
      <c r="B395">
        <f>'Runs Z score'!B387</f>
        <v/>
      </c>
      <c r="C395">
        <f>'Runs Z score'!C387</f>
        <v/>
      </c>
      <c r="D395">
        <f>'Runs Z score'!D387</f>
        <v/>
      </c>
      <c r="E395">
        <f>'Runs Z score'!E387</f>
        <v/>
      </c>
      <c r="F395">
        <f>'Runs Z score'!F387</f>
        <v/>
      </c>
      <c r="G395">
        <f>'Runs Z score'!G387</f>
        <v/>
      </c>
      <c r="H395">
        <f>VLOOKUP(C395,Recipes!$A$2:$N$4,10,FALSE())</f>
        <v/>
      </c>
      <c r="I395">
        <f>VLOOKUP(C395,Recipes!$A$2:$N$4,12,FALSE())</f>
        <v/>
      </c>
      <c r="J395">
        <f>IF(G395="","",H395-G395)</f>
        <v/>
      </c>
      <c r="K395">
        <f>IF(G395="","",IF(ABS(G395-H395)&lt;=$B$6*I395,"OK","NG"))</f>
        <v/>
      </c>
      <c r="L395">
        <f>IF(K395="","",IF(K395=D395,1,0))</f>
        <v/>
      </c>
      <c r="M395" t="inlineStr">
        <is>
          <t>N2</t>
        </is>
      </c>
      <c r="N395" s="15" t="n">
        <v>1</v>
      </c>
      <c r="O395" s="15" t="n">
        <v>0</v>
      </c>
      <c r="P395">
        <f>IF(M395="","",IF(M395=E395,1,0))</f>
        <v/>
      </c>
      <c r="Q395">
        <f>IF(K395="OK","-",IF(N395&lt;$B$7,"AMBIGUOUS","CONFIDENT"))</f>
        <v/>
      </c>
    </row>
    <row r="396">
      <c r="A396">
        <f>'Runs Z score'!A388</f>
        <v/>
      </c>
      <c r="B396">
        <f>'Runs Z score'!B388</f>
        <v/>
      </c>
      <c r="C396">
        <f>'Runs Z score'!C388</f>
        <v/>
      </c>
      <c r="D396">
        <f>'Runs Z score'!D388</f>
        <v/>
      </c>
      <c r="E396">
        <f>'Runs Z score'!E388</f>
        <v/>
      </c>
      <c r="F396">
        <f>'Runs Z score'!F388</f>
        <v/>
      </c>
      <c r="G396">
        <f>'Runs Z score'!G388</f>
        <v/>
      </c>
      <c r="H396">
        <f>VLOOKUP(C396,Recipes!$A$2:$N$4,10,FALSE())</f>
        <v/>
      </c>
      <c r="I396">
        <f>VLOOKUP(C396,Recipes!$A$2:$N$4,12,FALSE())</f>
        <v/>
      </c>
      <c r="J396">
        <f>IF(G396="","",H396-G396)</f>
        <v/>
      </c>
      <c r="K396">
        <f>IF(G396="","",IF(ABS(G396-H396)&lt;=$B$6*I396,"OK","NG"))</f>
        <v/>
      </c>
      <c r="L396">
        <f>IF(K396="","",IF(K396=D396,1,0))</f>
        <v/>
      </c>
      <c r="M396" t="inlineStr">
        <is>
          <t>N2</t>
        </is>
      </c>
      <c r="N396" s="15" t="n">
        <v>0.9688</v>
      </c>
      <c r="O396" s="15" t="n">
        <v>0.0308</v>
      </c>
      <c r="P396">
        <f>IF(M396="","",IF(M396=E396,1,0))</f>
        <v/>
      </c>
      <c r="Q396">
        <f>IF(K396="OK","-",IF(N396&lt;$B$7,"AMBIGUOUS","CONFIDENT"))</f>
        <v/>
      </c>
    </row>
    <row r="397">
      <c r="A397">
        <f>'Runs Z score'!A389</f>
        <v/>
      </c>
      <c r="B397">
        <f>'Runs Z score'!B389</f>
        <v/>
      </c>
      <c r="C397">
        <f>'Runs Z score'!C389</f>
        <v/>
      </c>
      <c r="D397">
        <f>'Runs Z score'!D389</f>
        <v/>
      </c>
      <c r="E397">
        <f>'Runs Z score'!E389</f>
        <v/>
      </c>
      <c r="F397">
        <f>'Runs Z score'!F389</f>
        <v/>
      </c>
      <c r="G397">
        <f>'Runs Z score'!G389</f>
        <v/>
      </c>
      <c r="H397">
        <f>VLOOKUP(C397,Recipes!$A$2:$N$4,10,FALSE())</f>
        <v/>
      </c>
      <c r="I397">
        <f>VLOOKUP(C397,Recipes!$A$2:$N$4,12,FALSE())</f>
        <v/>
      </c>
      <c r="J397">
        <f>IF(G397="","",H397-G397)</f>
        <v/>
      </c>
      <c r="K397">
        <f>IF(G397="","",IF(ABS(G397-H397)&lt;=$B$6*I397,"OK","NG"))</f>
        <v/>
      </c>
      <c r="L397">
        <f>IF(K397="","",IF(K397=D397,1,0))</f>
        <v/>
      </c>
      <c r="M397" t="inlineStr">
        <is>
          <t>N2</t>
        </is>
      </c>
      <c r="N397" s="15" t="n">
        <v>1</v>
      </c>
      <c r="O397" s="15" t="n">
        <v>0</v>
      </c>
      <c r="P397">
        <f>IF(M397="","",IF(M397=E397,1,0))</f>
        <v/>
      </c>
      <c r="Q397">
        <f>IF(K397="OK","-",IF(N397&lt;$B$7,"AMBIGUOUS","CONFIDENT"))</f>
        <v/>
      </c>
    </row>
    <row r="398">
      <c r="A398">
        <f>'Runs Z score'!A390</f>
        <v/>
      </c>
      <c r="B398">
        <f>'Runs Z score'!B390</f>
        <v/>
      </c>
      <c r="C398">
        <f>'Runs Z score'!C390</f>
        <v/>
      </c>
      <c r="D398">
        <f>'Runs Z score'!D390</f>
        <v/>
      </c>
      <c r="E398">
        <f>'Runs Z score'!E390</f>
        <v/>
      </c>
      <c r="F398">
        <f>'Runs Z score'!F390</f>
        <v/>
      </c>
      <c r="G398">
        <f>'Runs Z score'!G390</f>
        <v/>
      </c>
      <c r="H398">
        <f>VLOOKUP(C398,Recipes!$A$2:$N$4,10,FALSE())</f>
        <v/>
      </c>
      <c r="I398">
        <f>VLOOKUP(C398,Recipes!$A$2:$N$4,12,FALSE())</f>
        <v/>
      </c>
      <c r="J398">
        <f>IF(G398="","",H398-G398)</f>
        <v/>
      </c>
      <c r="K398">
        <f>IF(G398="","",IF(ABS(G398-H398)&lt;=$B$6*I398,"OK","NG"))</f>
        <v/>
      </c>
      <c r="L398">
        <f>IF(K398="","",IF(K398=D398,1,0))</f>
        <v/>
      </c>
      <c r="M398" t="inlineStr">
        <is>
          <t>N2</t>
        </is>
      </c>
      <c r="N398" s="15" t="n">
        <v>0.9999</v>
      </c>
      <c r="O398" s="15" t="n">
        <v>0.0001</v>
      </c>
      <c r="P398">
        <f>IF(M398="","",IF(M398=E398,1,0))</f>
        <v/>
      </c>
      <c r="Q398">
        <f>IF(K398="OK","-",IF(N398&lt;$B$7,"AMBIGUOUS","CONFIDENT"))</f>
        <v/>
      </c>
    </row>
    <row r="399">
      <c r="A399">
        <f>'Runs Z score'!A391</f>
        <v/>
      </c>
      <c r="B399">
        <f>'Runs Z score'!B391</f>
        <v/>
      </c>
      <c r="C399">
        <f>'Runs Z score'!C391</f>
        <v/>
      </c>
      <c r="D399">
        <f>'Runs Z score'!D391</f>
        <v/>
      </c>
      <c r="E399">
        <f>'Runs Z score'!E391</f>
        <v/>
      </c>
      <c r="F399">
        <f>'Runs Z score'!F391</f>
        <v/>
      </c>
      <c r="G399">
        <f>'Runs Z score'!G391</f>
        <v/>
      </c>
      <c r="H399">
        <f>VLOOKUP(C399,Recipes!$A$2:$N$4,10,FALSE())</f>
        <v/>
      </c>
      <c r="I399">
        <f>VLOOKUP(C399,Recipes!$A$2:$N$4,12,FALSE())</f>
        <v/>
      </c>
      <c r="J399">
        <f>IF(G399="","",H399-G399)</f>
        <v/>
      </c>
      <c r="K399">
        <f>IF(G399="","",IF(ABS(G399-H399)&lt;=$B$6*I399,"OK","NG"))</f>
        <v/>
      </c>
      <c r="L399">
        <f>IF(K399="","",IF(K399=D399,1,0))</f>
        <v/>
      </c>
      <c r="M399" t="inlineStr">
        <is>
          <t>N2</t>
        </is>
      </c>
      <c r="N399" s="15" t="n">
        <v>0.9995000000000001</v>
      </c>
      <c r="O399" s="15" t="n">
        <v>0.0005</v>
      </c>
      <c r="P399">
        <f>IF(M399="","",IF(M399=E399,1,0))</f>
        <v/>
      </c>
      <c r="Q399">
        <f>IF(K399="OK","-",IF(N399&lt;$B$7,"AMBIGUOUS","CONFIDENT"))</f>
        <v/>
      </c>
    </row>
    <row r="400">
      <c r="A400">
        <f>'Runs Z score'!A392</f>
        <v/>
      </c>
      <c r="B400">
        <f>'Runs Z score'!B392</f>
        <v/>
      </c>
      <c r="C400">
        <f>'Runs Z score'!C392</f>
        <v/>
      </c>
      <c r="D400">
        <f>'Runs Z score'!D392</f>
        <v/>
      </c>
      <c r="E400">
        <f>'Runs Z score'!E392</f>
        <v/>
      </c>
      <c r="F400">
        <f>'Runs Z score'!F392</f>
        <v/>
      </c>
      <c r="G400">
        <f>'Runs Z score'!G392</f>
        <v/>
      </c>
      <c r="H400">
        <f>VLOOKUP(C400,Recipes!$A$2:$N$4,10,FALSE())</f>
        <v/>
      </c>
      <c r="I400">
        <f>VLOOKUP(C400,Recipes!$A$2:$N$4,12,FALSE())</f>
        <v/>
      </c>
      <c r="J400">
        <f>IF(G400="","",H400-G400)</f>
        <v/>
      </c>
      <c r="K400">
        <f>IF(G400="","",IF(ABS(G400-H400)&lt;=$B$6*I400,"OK","NG"))</f>
        <v/>
      </c>
      <c r="L400">
        <f>IF(K400="","",IF(K400=D400,1,0))</f>
        <v/>
      </c>
      <c r="M400" t="inlineStr">
        <is>
          <t>N2</t>
        </is>
      </c>
      <c r="N400" s="15" t="n">
        <v>1</v>
      </c>
      <c r="O400" s="15" t="n">
        <v>0</v>
      </c>
      <c r="P400">
        <f>IF(M400="","",IF(M400=E400,1,0))</f>
        <v/>
      </c>
      <c r="Q400">
        <f>IF(K400="OK","-",IF(N400&lt;$B$7,"AMBIGUOUS","CONFIDENT"))</f>
        <v/>
      </c>
    </row>
    <row r="401">
      <c r="A401">
        <f>'Runs Z score'!A393</f>
        <v/>
      </c>
      <c r="B401">
        <f>'Runs Z score'!B393</f>
        <v/>
      </c>
      <c r="C401">
        <f>'Runs Z score'!C393</f>
        <v/>
      </c>
      <c r="D401">
        <f>'Runs Z score'!D393</f>
        <v/>
      </c>
      <c r="E401">
        <f>'Runs Z score'!E393</f>
        <v/>
      </c>
      <c r="F401">
        <f>'Runs Z score'!F393</f>
        <v/>
      </c>
      <c r="G401">
        <f>'Runs Z score'!G393</f>
        <v/>
      </c>
      <c r="H401">
        <f>VLOOKUP(C401,Recipes!$A$2:$N$4,10,FALSE())</f>
        <v/>
      </c>
      <c r="I401">
        <f>VLOOKUP(C401,Recipes!$A$2:$N$4,12,FALSE())</f>
        <v/>
      </c>
      <c r="J401">
        <f>IF(G401="","",H401-G401)</f>
        <v/>
      </c>
      <c r="K401">
        <f>IF(G401="","",IF(ABS(G401-H401)&lt;=$B$6*I401,"OK","NG"))</f>
        <v/>
      </c>
      <c r="L401">
        <f>IF(K401="","",IF(K401=D401,1,0))</f>
        <v/>
      </c>
      <c r="M401" t="inlineStr">
        <is>
          <t>N1</t>
        </is>
      </c>
      <c r="N401" s="15" t="n">
        <v>0.9913999999999999</v>
      </c>
      <c r="O401" s="15" t="n">
        <v>0.0069</v>
      </c>
      <c r="P401">
        <f>IF(M401="","",IF(M401=E401,1,0))</f>
        <v/>
      </c>
      <c r="Q401">
        <f>IF(K401="OK","-",IF(N401&lt;$B$7,"AMBIGUOUS","CONFIDENT"))</f>
        <v/>
      </c>
    </row>
    <row r="402">
      <c r="A402">
        <f>'Runs Z score'!A394</f>
        <v/>
      </c>
      <c r="B402">
        <f>'Runs Z score'!B394</f>
        <v/>
      </c>
      <c r="C402">
        <f>'Runs Z score'!C394</f>
        <v/>
      </c>
      <c r="D402">
        <f>'Runs Z score'!D394</f>
        <v/>
      </c>
      <c r="E402">
        <f>'Runs Z score'!E394</f>
        <v/>
      </c>
      <c r="F402">
        <f>'Runs Z score'!F394</f>
        <v/>
      </c>
      <c r="G402">
        <f>'Runs Z score'!G394</f>
        <v/>
      </c>
      <c r="H402">
        <f>VLOOKUP(C402,Recipes!$A$2:$N$4,10,FALSE())</f>
        <v/>
      </c>
      <c r="I402">
        <f>VLOOKUP(C402,Recipes!$A$2:$N$4,12,FALSE())</f>
        <v/>
      </c>
      <c r="J402">
        <f>IF(G402="","",H402-G402)</f>
        <v/>
      </c>
      <c r="K402">
        <f>IF(G402="","",IF(ABS(G402-H402)&lt;=$B$6*I402,"OK","NG"))</f>
        <v/>
      </c>
      <c r="L402">
        <f>IF(K402="","",IF(K402=D402,1,0))</f>
        <v/>
      </c>
      <c r="M402" t="inlineStr">
        <is>
          <t>N1</t>
        </is>
      </c>
      <c r="N402" s="15" t="n">
        <v>0.9958</v>
      </c>
      <c r="O402" s="15" t="n">
        <v>0.0042</v>
      </c>
      <c r="P402">
        <f>IF(M402="","",IF(M402=E402,1,0))</f>
        <v/>
      </c>
      <c r="Q402">
        <f>IF(K402="OK","-",IF(N402&lt;$B$7,"AMBIGUOUS","CONFIDENT"))</f>
        <v/>
      </c>
    </row>
    <row r="403">
      <c r="A403">
        <f>'Runs Z score'!A395</f>
        <v/>
      </c>
      <c r="B403">
        <f>'Runs Z score'!B395</f>
        <v/>
      </c>
      <c r="C403">
        <f>'Runs Z score'!C395</f>
        <v/>
      </c>
      <c r="D403">
        <f>'Runs Z score'!D395</f>
        <v/>
      </c>
      <c r="E403">
        <f>'Runs Z score'!E395</f>
        <v/>
      </c>
      <c r="F403">
        <f>'Runs Z score'!F395</f>
        <v/>
      </c>
      <c r="G403">
        <f>'Runs Z score'!G395</f>
        <v/>
      </c>
      <c r="H403">
        <f>VLOOKUP(C403,Recipes!$A$2:$N$4,10,FALSE())</f>
        <v/>
      </c>
      <c r="I403">
        <f>VLOOKUP(C403,Recipes!$A$2:$N$4,12,FALSE())</f>
        <v/>
      </c>
      <c r="J403">
        <f>IF(G403="","",H403-G403)</f>
        <v/>
      </c>
      <c r="K403">
        <f>IF(G403="","",IF(ABS(G403-H403)&lt;=$B$6*I403,"OK","NG"))</f>
        <v/>
      </c>
      <c r="L403">
        <f>IF(K403="","",IF(K403=D403,1,0))</f>
        <v/>
      </c>
      <c r="M403" t="inlineStr">
        <is>
          <t>N1</t>
        </is>
      </c>
      <c r="N403" s="15" t="n">
        <v>0.9946</v>
      </c>
      <c r="O403" s="15" t="n">
        <v>0.0053</v>
      </c>
      <c r="P403">
        <f>IF(M403="","",IF(M403=E403,1,0))</f>
        <v/>
      </c>
      <c r="Q403">
        <f>IF(K403="OK","-",IF(N403&lt;$B$7,"AMBIGUOUS","CONFIDENT"))</f>
        <v/>
      </c>
    </row>
    <row r="404">
      <c r="A404">
        <f>'Runs Z score'!A396</f>
        <v/>
      </c>
      <c r="B404">
        <f>'Runs Z score'!B396</f>
        <v/>
      </c>
      <c r="C404">
        <f>'Runs Z score'!C396</f>
        <v/>
      </c>
      <c r="D404">
        <f>'Runs Z score'!D396</f>
        <v/>
      </c>
      <c r="E404">
        <f>'Runs Z score'!E396</f>
        <v/>
      </c>
      <c r="F404">
        <f>'Runs Z score'!F396</f>
        <v/>
      </c>
      <c r="G404">
        <f>'Runs Z score'!G396</f>
        <v/>
      </c>
      <c r="H404">
        <f>VLOOKUP(C404,Recipes!$A$2:$N$4,10,FALSE())</f>
        <v/>
      </c>
      <c r="I404">
        <f>VLOOKUP(C404,Recipes!$A$2:$N$4,12,FALSE())</f>
        <v/>
      </c>
      <c r="J404">
        <f>IF(G404="","",H404-G404)</f>
        <v/>
      </c>
      <c r="K404">
        <f>IF(G404="","",IF(ABS(G404-H404)&lt;=$B$6*I404,"OK","NG"))</f>
        <v/>
      </c>
      <c r="L404">
        <f>IF(K404="","",IF(K404=D404,1,0))</f>
        <v/>
      </c>
      <c r="M404" t="inlineStr">
        <is>
          <t>N1</t>
        </is>
      </c>
      <c r="N404" s="15" t="n">
        <v>0.9913999999999999</v>
      </c>
      <c r="O404" s="15" t="n">
        <v>0.0069</v>
      </c>
      <c r="P404">
        <f>IF(M404="","",IF(M404=E404,1,0))</f>
        <v/>
      </c>
      <c r="Q404">
        <f>IF(K404="OK","-",IF(N404&lt;$B$7,"AMBIGUOUS","CONFIDENT"))</f>
        <v/>
      </c>
    </row>
    <row r="405">
      <c r="A405">
        <f>'Runs Z score'!A397</f>
        <v/>
      </c>
      <c r="B405">
        <f>'Runs Z score'!B397</f>
        <v/>
      </c>
      <c r="C405">
        <f>'Runs Z score'!C397</f>
        <v/>
      </c>
      <c r="D405">
        <f>'Runs Z score'!D397</f>
        <v/>
      </c>
      <c r="E405">
        <f>'Runs Z score'!E397</f>
        <v/>
      </c>
      <c r="F405">
        <f>'Runs Z score'!F397</f>
        <v/>
      </c>
      <c r="G405">
        <f>'Runs Z score'!G397</f>
        <v/>
      </c>
      <c r="H405">
        <f>VLOOKUP(C405,Recipes!$A$2:$N$4,10,FALSE())</f>
        <v/>
      </c>
      <c r="I405">
        <f>VLOOKUP(C405,Recipes!$A$2:$N$4,12,FALSE())</f>
        <v/>
      </c>
      <c r="J405">
        <f>IF(G405="","",H405-G405)</f>
        <v/>
      </c>
      <c r="K405">
        <f>IF(G405="","",IF(ABS(G405-H405)&lt;=$B$6*I405,"OK","NG"))</f>
        <v/>
      </c>
      <c r="L405">
        <f>IF(K405="","",IF(K405=D405,1,0))</f>
        <v/>
      </c>
      <c r="M405" t="inlineStr">
        <is>
          <t>N1</t>
        </is>
      </c>
      <c r="N405" s="15" t="n">
        <v>0.9998</v>
      </c>
      <c r="O405" s="15" t="n">
        <v>0.0002</v>
      </c>
      <c r="P405">
        <f>IF(M405="","",IF(M405=E405,1,0))</f>
        <v/>
      </c>
      <c r="Q405">
        <f>IF(K405="OK","-",IF(N405&lt;$B$7,"AMBIGUOUS","CONFIDENT"))</f>
        <v/>
      </c>
    </row>
    <row r="406">
      <c r="A406">
        <f>'Runs Z score'!A398</f>
        <v/>
      </c>
      <c r="B406">
        <f>'Runs Z score'!B398</f>
        <v/>
      </c>
      <c r="C406">
        <f>'Runs Z score'!C398</f>
        <v/>
      </c>
      <c r="D406">
        <f>'Runs Z score'!D398</f>
        <v/>
      </c>
      <c r="E406">
        <f>'Runs Z score'!E398</f>
        <v/>
      </c>
      <c r="F406">
        <f>'Runs Z score'!F398</f>
        <v/>
      </c>
      <c r="G406">
        <f>'Runs Z score'!G398</f>
        <v/>
      </c>
      <c r="H406">
        <f>VLOOKUP(C406,Recipes!$A$2:$N$4,10,FALSE())</f>
        <v/>
      </c>
      <c r="I406">
        <f>VLOOKUP(C406,Recipes!$A$2:$N$4,12,FALSE())</f>
        <v/>
      </c>
      <c r="J406">
        <f>IF(G406="","",H406-G406)</f>
        <v/>
      </c>
      <c r="K406">
        <f>IF(G406="","",IF(ABS(G406-H406)&lt;=$B$6*I406,"OK","NG"))</f>
        <v/>
      </c>
      <c r="L406">
        <f>IF(K406="","",IF(K406=D406,1,0))</f>
        <v/>
      </c>
      <c r="M406" t="inlineStr">
        <is>
          <t>N1</t>
        </is>
      </c>
      <c r="N406" s="15" t="n">
        <v>0.9976</v>
      </c>
      <c r="O406" s="15" t="n">
        <v>0.0024</v>
      </c>
      <c r="P406">
        <f>IF(M406="","",IF(M406=E406,1,0))</f>
        <v/>
      </c>
      <c r="Q406">
        <f>IF(K406="OK","-",IF(N406&lt;$B$7,"AMBIGUOUS","CONFIDENT"))</f>
        <v/>
      </c>
    </row>
    <row r="407">
      <c r="A407">
        <f>'Runs Z score'!A399</f>
        <v/>
      </c>
      <c r="B407">
        <f>'Runs Z score'!B399</f>
        <v/>
      </c>
      <c r="C407">
        <f>'Runs Z score'!C399</f>
        <v/>
      </c>
      <c r="D407">
        <f>'Runs Z score'!D399</f>
        <v/>
      </c>
      <c r="E407">
        <f>'Runs Z score'!E399</f>
        <v/>
      </c>
      <c r="F407">
        <f>'Runs Z score'!F399</f>
        <v/>
      </c>
      <c r="G407">
        <f>'Runs Z score'!G399</f>
        <v/>
      </c>
      <c r="H407">
        <f>VLOOKUP(C407,Recipes!$A$2:$N$4,10,FALSE())</f>
        <v/>
      </c>
      <c r="I407">
        <f>VLOOKUP(C407,Recipes!$A$2:$N$4,12,FALSE())</f>
        <v/>
      </c>
      <c r="J407">
        <f>IF(G407="","",H407-G407)</f>
        <v/>
      </c>
      <c r="K407">
        <f>IF(G407="","",IF(ABS(G407-H407)&lt;=$B$6*I407,"OK","NG"))</f>
        <v/>
      </c>
      <c r="L407">
        <f>IF(K407="","",IF(K407=D407,1,0))</f>
        <v/>
      </c>
      <c r="M407" t="inlineStr">
        <is>
          <t>N1</t>
        </is>
      </c>
      <c r="N407" s="15" t="n">
        <v>0.9995000000000001</v>
      </c>
      <c r="O407" s="15" t="n">
        <v>0.0005</v>
      </c>
      <c r="P407">
        <f>IF(M407="","",IF(M407=E407,1,0))</f>
        <v/>
      </c>
      <c r="Q407">
        <f>IF(K407="OK","-",IF(N407&lt;$B$7,"AMBIGUOUS","CONFIDENT"))</f>
        <v/>
      </c>
    </row>
    <row r="408">
      <c r="A408">
        <f>'Runs Z score'!A400</f>
        <v/>
      </c>
      <c r="B408">
        <f>'Runs Z score'!B400</f>
        <v/>
      </c>
      <c r="C408">
        <f>'Runs Z score'!C400</f>
        <v/>
      </c>
      <c r="D408">
        <f>'Runs Z score'!D400</f>
        <v/>
      </c>
      <c r="E408">
        <f>'Runs Z score'!E400</f>
        <v/>
      </c>
      <c r="F408">
        <f>'Runs Z score'!F400</f>
        <v/>
      </c>
      <c r="G408">
        <f>'Runs Z score'!G400</f>
        <v/>
      </c>
      <c r="H408">
        <f>VLOOKUP(C408,Recipes!$A$2:$N$4,10,FALSE())</f>
        <v/>
      </c>
      <c r="I408">
        <f>VLOOKUP(C408,Recipes!$A$2:$N$4,12,FALSE())</f>
        <v/>
      </c>
      <c r="J408">
        <f>IF(G408="","",H408-G408)</f>
        <v/>
      </c>
      <c r="K408">
        <f>IF(G408="","",IF(ABS(G408-H408)&lt;=$B$6*I408,"OK","NG"))</f>
        <v/>
      </c>
      <c r="L408">
        <f>IF(K408="","",IF(K408=D408,1,0))</f>
        <v/>
      </c>
      <c r="M408" t="inlineStr">
        <is>
          <t>N1</t>
        </is>
      </c>
      <c r="N408" s="15" t="n">
        <v>0.9998</v>
      </c>
      <c r="O408" s="15" t="n">
        <v>0.0002</v>
      </c>
      <c r="P408">
        <f>IF(M408="","",IF(M408=E408,1,0))</f>
        <v/>
      </c>
      <c r="Q408">
        <f>IF(K408="OK","-",IF(N408&lt;$B$7,"AMBIGUOUS","CONFIDENT"))</f>
        <v/>
      </c>
    </row>
    <row r="409">
      <c r="A409">
        <f>'Runs Z score'!A401</f>
        <v/>
      </c>
      <c r="B409">
        <f>'Runs Z score'!B401</f>
        <v/>
      </c>
      <c r="C409">
        <f>'Runs Z score'!C401</f>
        <v/>
      </c>
      <c r="D409">
        <f>'Runs Z score'!D401</f>
        <v/>
      </c>
      <c r="E409">
        <f>'Runs Z score'!E401</f>
        <v/>
      </c>
      <c r="F409">
        <f>'Runs Z score'!F401</f>
        <v/>
      </c>
      <c r="G409">
        <f>'Runs Z score'!G401</f>
        <v/>
      </c>
      <c r="H409">
        <f>VLOOKUP(C409,Recipes!$A$2:$N$4,10,FALSE())</f>
        <v/>
      </c>
      <c r="I409">
        <f>VLOOKUP(C409,Recipes!$A$2:$N$4,12,FALSE())</f>
        <v/>
      </c>
      <c r="J409">
        <f>IF(G409="","",H409-G409)</f>
        <v/>
      </c>
      <c r="K409">
        <f>IF(G409="","",IF(ABS(G409-H409)&lt;=$B$6*I409,"OK","NG"))</f>
        <v/>
      </c>
      <c r="L409">
        <f>IF(K409="","",IF(K409=D409,1,0))</f>
        <v/>
      </c>
      <c r="M409" t="inlineStr">
        <is>
          <t>N1</t>
        </is>
      </c>
      <c r="N409" s="15" t="n">
        <v>0.9978</v>
      </c>
      <c r="O409" s="15" t="n">
        <v>0.0021</v>
      </c>
      <c r="P409">
        <f>IF(M409="","",IF(M409=E409,1,0))</f>
        <v/>
      </c>
      <c r="Q409">
        <f>IF(K409="OK","-",IF(N409&lt;$B$7,"AMBIGUOUS","CONFIDENT"))</f>
        <v/>
      </c>
    </row>
    <row r="410">
      <c r="A410">
        <f>'Runs Z score'!A402</f>
        <v/>
      </c>
      <c r="B410">
        <f>'Runs Z score'!B402</f>
        <v/>
      </c>
      <c r="C410">
        <f>'Runs Z score'!C402</f>
        <v/>
      </c>
      <c r="D410">
        <f>'Runs Z score'!D402</f>
        <v/>
      </c>
      <c r="E410">
        <f>'Runs Z score'!E402</f>
        <v/>
      </c>
      <c r="F410">
        <f>'Runs Z score'!F402</f>
        <v/>
      </c>
      <c r="G410">
        <f>'Runs Z score'!G402</f>
        <v/>
      </c>
      <c r="H410">
        <f>VLOOKUP(C410,Recipes!$A$2:$N$4,10,FALSE())</f>
        <v/>
      </c>
      <c r="I410">
        <f>VLOOKUP(C410,Recipes!$A$2:$N$4,12,FALSE())</f>
        <v/>
      </c>
      <c r="J410">
        <f>IF(G410="","",H410-G410)</f>
        <v/>
      </c>
      <c r="K410">
        <f>IF(G410="","",IF(ABS(G410-H410)&lt;=$B$6*I410,"OK","NG"))</f>
        <v/>
      </c>
      <c r="L410">
        <f>IF(K410="","",IF(K410=D410,1,0))</f>
        <v/>
      </c>
      <c r="M410" t="inlineStr">
        <is>
          <t>N1</t>
        </is>
      </c>
      <c r="N410" s="15" t="n">
        <v>0.9946</v>
      </c>
      <c r="O410" s="15" t="n">
        <v>0.0053</v>
      </c>
      <c r="P410">
        <f>IF(M410="","",IF(M410=E410,1,0))</f>
        <v/>
      </c>
      <c r="Q410">
        <f>IF(K410="OK","-",IF(N410&lt;$B$7,"AMBIGUOUS","CONFIDENT"))</f>
        <v/>
      </c>
    </row>
    <row r="411">
      <c r="A411">
        <f>'Runs Z score'!A403</f>
        <v/>
      </c>
      <c r="B411">
        <f>'Runs Z score'!B403</f>
        <v/>
      </c>
      <c r="C411">
        <f>'Runs Z score'!C403</f>
        <v/>
      </c>
      <c r="D411">
        <f>'Runs Z score'!D403</f>
        <v/>
      </c>
      <c r="E411">
        <f>'Runs Z score'!E403</f>
        <v/>
      </c>
      <c r="F411">
        <f>'Runs Z score'!F403</f>
        <v/>
      </c>
      <c r="G411">
        <f>'Runs Z score'!G403</f>
        <v/>
      </c>
      <c r="H411">
        <f>VLOOKUP(C411,Recipes!$A$2:$N$4,10,FALSE())</f>
        <v/>
      </c>
      <c r="I411">
        <f>VLOOKUP(C411,Recipes!$A$2:$N$4,12,FALSE())</f>
        <v/>
      </c>
      <c r="J411">
        <f>IF(G411="","",H411-G411)</f>
        <v/>
      </c>
      <c r="K411">
        <f>IF(G411="","",IF(ABS(G411-H411)&lt;=$B$6*I411,"OK","NG"))</f>
        <v/>
      </c>
      <c r="L411">
        <f>IF(K411="","",IF(K411=D411,1,0))</f>
        <v/>
      </c>
      <c r="M411" t="inlineStr">
        <is>
          <t>N1</t>
        </is>
      </c>
      <c r="N411" s="15" t="n">
        <v>0.9996</v>
      </c>
      <c r="O411" s="15" t="n">
        <v>0.0004</v>
      </c>
      <c r="P411">
        <f>IF(M411="","",IF(M411=E411,1,0))</f>
        <v/>
      </c>
      <c r="Q411">
        <f>IF(K411="OK","-",IF(N411&lt;$B$7,"AMBIGUOUS","CONFIDENT"))</f>
        <v/>
      </c>
    </row>
    <row r="412">
      <c r="A412">
        <f>'Runs Z score'!A404</f>
        <v/>
      </c>
      <c r="B412">
        <f>'Runs Z score'!B404</f>
        <v/>
      </c>
      <c r="C412">
        <f>'Runs Z score'!C404</f>
        <v/>
      </c>
      <c r="D412">
        <f>'Runs Z score'!D404</f>
        <v/>
      </c>
      <c r="E412">
        <f>'Runs Z score'!E404</f>
        <v/>
      </c>
      <c r="F412">
        <f>'Runs Z score'!F404</f>
        <v/>
      </c>
      <c r="G412">
        <f>'Runs Z score'!G404</f>
        <v/>
      </c>
      <c r="H412">
        <f>VLOOKUP(C412,Recipes!$A$2:$N$4,10,FALSE())</f>
        <v/>
      </c>
      <c r="I412">
        <f>VLOOKUP(C412,Recipes!$A$2:$N$4,12,FALSE())</f>
        <v/>
      </c>
      <c r="J412">
        <f>IF(G412="","",H412-G412)</f>
        <v/>
      </c>
      <c r="K412">
        <f>IF(G412="","",IF(ABS(G412-H412)&lt;=$B$6*I412,"OK","NG"))</f>
        <v/>
      </c>
      <c r="L412">
        <f>IF(K412="","",IF(K412=D412,1,0))</f>
        <v/>
      </c>
      <c r="M412" t="inlineStr">
        <is>
          <t>N1</t>
        </is>
      </c>
      <c r="N412" s="15" t="n">
        <v>0.9987</v>
      </c>
      <c r="O412" s="15" t="n">
        <v>0.0012</v>
      </c>
      <c r="P412">
        <f>IF(M412="","",IF(M412=E412,1,0))</f>
        <v/>
      </c>
      <c r="Q412">
        <f>IF(K412="OK","-",IF(N412&lt;$B$7,"AMBIGUOUS","CONFIDENT"))</f>
        <v/>
      </c>
    </row>
    <row r="413">
      <c r="A413">
        <f>'Runs Z score'!A405</f>
        <v/>
      </c>
      <c r="B413">
        <f>'Runs Z score'!B405</f>
        <v/>
      </c>
      <c r="C413">
        <f>'Runs Z score'!C405</f>
        <v/>
      </c>
      <c r="D413">
        <f>'Runs Z score'!D405</f>
        <v/>
      </c>
      <c r="E413">
        <f>'Runs Z score'!E405</f>
        <v/>
      </c>
      <c r="F413">
        <f>'Runs Z score'!F405</f>
        <v/>
      </c>
      <c r="G413">
        <f>'Runs Z score'!G405</f>
        <v/>
      </c>
      <c r="H413">
        <f>VLOOKUP(C413,Recipes!$A$2:$N$4,10,FALSE())</f>
        <v/>
      </c>
      <c r="I413">
        <f>VLOOKUP(C413,Recipes!$A$2:$N$4,12,FALSE())</f>
        <v/>
      </c>
      <c r="J413">
        <f>IF(G413="","",H413-G413)</f>
        <v/>
      </c>
      <c r="K413">
        <f>IF(G413="","",IF(ABS(G413-H413)&lt;=$B$6*I413,"OK","NG"))</f>
        <v/>
      </c>
      <c r="L413">
        <f>IF(K413="","",IF(K413=D413,1,0))</f>
        <v/>
      </c>
      <c r="M413" t="inlineStr">
        <is>
          <t>N1</t>
        </is>
      </c>
      <c r="N413" s="15" t="n">
        <v>0.9977</v>
      </c>
      <c r="O413" s="15" t="n">
        <v>0.0023</v>
      </c>
      <c r="P413">
        <f>IF(M413="","",IF(M413=E413,1,0))</f>
        <v/>
      </c>
      <c r="Q413">
        <f>IF(K413="OK","-",IF(N413&lt;$B$7,"AMBIGUOUS","CONFIDENT"))</f>
        <v/>
      </c>
    </row>
    <row r="414">
      <c r="A414">
        <f>'Runs Z score'!A406</f>
        <v/>
      </c>
      <c r="B414">
        <f>'Runs Z score'!B406</f>
        <v/>
      </c>
      <c r="C414">
        <f>'Runs Z score'!C406</f>
        <v/>
      </c>
      <c r="D414">
        <f>'Runs Z score'!D406</f>
        <v/>
      </c>
      <c r="E414">
        <f>'Runs Z score'!E406</f>
        <v/>
      </c>
      <c r="F414">
        <f>'Runs Z score'!F406</f>
        <v/>
      </c>
      <c r="G414">
        <f>'Runs Z score'!G406</f>
        <v/>
      </c>
      <c r="H414">
        <f>VLOOKUP(C414,Recipes!$A$2:$N$4,10,FALSE())</f>
        <v/>
      </c>
      <c r="I414">
        <f>VLOOKUP(C414,Recipes!$A$2:$N$4,12,FALSE())</f>
        <v/>
      </c>
      <c r="J414">
        <f>IF(G414="","",H414-G414)</f>
        <v/>
      </c>
      <c r="K414">
        <f>IF(G414="","",IF(ABS(G414-H414)&lt;=$B$6*I414,"OK","NG"))</f>
        <v/>
      </c>
      <c r="L414">
        <f>IF(K414="","",IF(K414=D414,1,0))</f>
        <v/>
      </c>
      <c r="M414" t="inlineStr">
        <is>
          <t>N2</t>
        </is>
      </c>
      <c r="N414" s="15" t="n">
        <v>0.9386</v>
      </c>
      <c r="O414" s="15" t="n">
        <v>0.0612</v>
      </c>
      <c r="P414">
        <f>IF(M414="","",IF(M414=E414,1,0))</f>
        <v/>
      </c>
      <c r="Q414">
        <f>IF(K414="OK","-",IF(N414&lt;$B$7,"AMBIGUOUS","CONFIDENT"))</f>
        <v/>
      </c>
    </row>
    <row r="415">
      <c r="A415">
        <f>'Runs Z score'!A407</f>
        <v/>
      </c>
      <c r="B415">
        <f>'Runs Z score'!B407</f>
        <v/>
      </c>
      <c r="C415">
        <f>'Runs Z score'!C407</f>
        <v/>
      </c>
      <c r="D415">
        <f>'Runs Z score'!D407</f>
        <v/>
      </c>
      <c r="E415">
        <f>'Runs Z score'!E407</f>
        <v/>
      </c>
      <c r="F415">
        <f>'Runs Z score'!F407</f>
        <v/>
      </c>
      <c r="G415">
        <f>'Runs Z score'!G407</f>
        <v/>
      </c>
      <c r="H415">
        <f>VLOOKUP(C415,Recipes!$A$2:$N$4,10,FALSE())</f>
        <v/>
      </c>
      <c r="I415">
        <f>VLOOKUP(C415,Recipes!$A$2:$N$4,12,FALSE())</f>
        <v/>
      </c>
      <c r="J415">
        <f>IF(G415="","",H415-G415)</f>
        <v/>
      </c>
      <c r="K415">
        <f>IF(G415="","",IF(ABS(G415-H415)&lt;=$B$6*I415,"OK","NG"))</f>
        <v/>
      </c>
      <c r="L415">
        <f>IF(K415="","",IF(K415=D415,1,0))</f>
        <v/>
      </c>
      <c r="M415" t="inlineStr">
        <is>
          <t>N1</t>
        </is>
      </c>
      <c r="N415" s="15" t="n">
        <v>0.9986</v>
      </c>
      <c r="O415" s="15" t="n">
        <v>0.0013</v>
      </c>
      <c r="P415">
        <f>IF(M415="","",IF(M415=E415,1,0))</f>
        <v/>
      </c>
      <c r="Q415">
        <f>IF(K415="OK","-",IF(N415&lt;$B$7,"AMBIGUOUS","CONFIDENT"))</f>
        <v/>
      </c>
    </row>
    <row r="416">
      <c r="A416">
        <f>'Runs Z score'!A408</f>
        <v/>
      </c>
      <c r="B416">
        <f>'Runs Z score'!B408</f>
        <v/>
      </c>
      <c r="C416">
        <f>'Runs Z score'!C408</f>
        <v/>
      </c>
      <c r="D416">
        <f>'Runs Z score'!D408</f>
        <v/>
      </c>
      <c r="E416">
        <f>'Runs Z score'!E408</f>
        <v/>
      </c>
      <c r="F416">
        <f>'Runs Z score'!F408</f>
        <v/>
      </c>
      <c r="G416">
        <f>'Runs Z score'!G408</f>
        <v/>
      </c>
      <c r="H416">
        <f>VLOOKUP(C416,Recipes!$A$2:$N$4,10,FALSE())</f>
        <v/>
      </c>
      <c r="I416">
        <f>VLOOKUP(C416,Recipes!$A$2:$N$4,12,FALSE())</f>
        <v/>
      </c>
      <c r="J416">
        <f>IF(G416="","",H416-G416)</f>
        <v/>
      </c>
      <c r="K416">
        <f>IF(G416="","",IF(ABS(G416-H416)&lt;=$B$6*I416,"OK","NG"))</f>
        <v/>
      </c>
      <c r="L416">
        <f>IF(K416="","",IF(K416=D416,1,0))</f>
        <v/>
      </c>
      <c r="M416" t="inlineStr">
        <is>
          <t>N1</t>
        </is>
      </c>
      <c r="N416" s="15" t="n">
        <v>0.9995000000000001</v>
      </c>
      <c r="O416" s="15" t="n">
        <v>0.0005</v>
      </c>
      <c r="P416">
        <f>IF(M416="","",IF(M416=E416,1,0))</f>
        <v/>
      </c>
      <c r="Q416">
        <f>IF(K416="OK","-",IF(N416&lt;$B$7,"AMBIGUOUS","CONFIDENT"))</f>
        <v/>
      </c>
    </row>
    <row r="417">
      <c r="A417">
        <f>'Runs Z score'!A409</f>
        <v/>
      </c>
      <c r="B417">
        <f>'Runs Z score'!B409</f>
        <v/>
      </c>
      <c r="C417">
        <f>'Runs Z score'!C409</f>
        <v/>
      </c>
      <c r="D417">
        <f>'Runs Z score'!D409</f>
        <v/>
      </c>
      <c r="E417">
        <f>'Runs Z score'!E409</f>
        <v/>
      </c>
      <c r="F417">
        <f>'Runs Z score'!F409</f>
        <v/>
      </c>
      <c r="G417">
        <f>'Runs Z score'!G409</f>
        <v/>
      </c>
      <c r="H417">
        <f>VLOOKUP(C417,Recipes!$A$2:$N$4,10,FALSE())</f>
        <v/>
      </c>
      <c r="I417">
        <f>VLOOKUP(C417,Recipes!$A$2:$N$4,12,FALSE())</f>
        <v/>
      </c>
      <c r="J417">
        <f>IF(G417="","",H417-G417)</f>
        <v/>
      </c>
      <c r="K417">
        <f>IF(G417="","",IF(ABS(G417-H417)&lt;=$B$6*I417,"OK","NG"))</f>
        <v/>
      </c>
      <c r="L417">
        <f>IF(K417="","",IF(K417=D417,1,0))</f>
        <v/>
      </c>
      <c r="M417" t="inlineStr">
        <is>
          <t>N1</t>
        </is>
      </c>
      <c r="N417" s="15" t="n">
        <v>0.9987</v>
      </c>
      <c r="O417" s="15" t="n">
        <v>0.0013</v>
      </c>
      <c r="P417">
        <f>IF(M417="","",IF(M417=E417,1,0))</f>
        <v/>
      </c>
      <c r="Q417">
        <f>IF(K417="OK","-",IF(N417&lt;$B$7,"AMBIGUOUS","CONFIDENT"))</f>
        <v/>
      </c>
    </row>
    <row r="418">
      <c r="A418">
        <f>'Runs Z score'!A410</f>
        <v/>
      </c>
      <c r="B418">
        <f>'Runs Z score'!B410</f>
        <v/>
      </c>
      <c r="C418">
        <f>'Runs Z score'!C410</f>
        <v/>
      </c>
      <c r="D418">
        <f>'Runs Z score'!D410</f>
        <v/>
      </c>
      <c r="E418">
        <f>'Runs Z score'!E410</f>
        <v/>
      </c>
      <c r="F418">
        <f>'Runs Z score'!F410</f>
        <v/>
      </c>
      <c r="G418">
        <f>'Runs Z score'!G410</f>
        <v/>
      </c>
      <c r="H418">
        <f>VLOOKUP(C418,Recipes!$A$2:$N$4,10,FALSE())</f>
        <v/>
      </c>
      <c r="I418">
        <f>VLOOKUP(C418,Recipes!$A$2:$N$4,12,FALSE())</f>
        <v/>
      </c>
      <c r="J418">
        <f>IF(G418="","",H418-G418)</f>
        <v/>
      </c>
      <c r="K418">
        <f>IF(G418="","",IF(ABS(G418-H418)&lt;=$B$6*I418,"OK","NG"))</f>
        <v/>
      </c>
      <c r="L418">
        <f>IF(K418="","",IF(K418=D418,1,0))</f>
        <v/>
      </c>
      <c r="M418" t="inlineStr">
        <is>
          <t>N1</t>
        </is>
      </c>
      <c r="N418" s="15" t="n">
        <v>0.9994</v>
      </c>
      <c r="O418" s="15" t="n">
        <v>0.0005999999999999999</v>
      </c>
      <c r="P418">
        <f>IF(M418="","",IF(M418=E418,1,0))</f>
        <v/>
      </c>
      <c r="Q418">
        <f>IF(K418="OK","-",IF(N418&lt;$B$7,"AMBIGUOUS","CONFIDENT"))</f>
        <v/>
      </c>
    </row>
    <row r="419">
      <c r="A419">
        <f>'Runs Z score'!A411</f>
        <v/>
      </c>
      <c r="B419">
        <f>'Runs Z score'!B411</f>
        <v/>
      </c>
      <c r="C419">
        <f>'Runs Z score'!C411</f>
        <v/>
      </c>
      <c r="D419">
        <f>'Runs Z score'!D411</f>
        <v/>
      </c>
      <c r="E419">
        <f>'Runs Z score'!E411</f>
        <v/>
      </c>
      <c r="F419">
        <f>'Runs Z score'!F411</f>
        <v/>
      </c>
      <c r="G419">
        <f>'Runs Z score'!G411</f>
        <v/>
      </c>
      <c r="H419">
        <f>VLOOKUP(C419,Recipes!$A$2:$N$4,10,FALSE())</f>
        <v/>
      </c>
      <c r="I419">
        <f>VLOOKUP(C419,Recipes!$A$2:$N$4,12,FALSE())</f>
        <v/>
      </c>
      <c r="J419">
        <f>IF(G419="","",H419-G419)</f>
        <v/>
      </c>
      <c r="K419">
        <f>IF(G419="","",IF(ABS(G419-H419)&lt;=$B$6*I419,"OK","NG"))</f>
        <v/>
      </c>
      <c r="L419">
        <f>IF(K419="","",IF(K419=D419,1,0))</f>
        <v/>
      </c>
      <c r="M419" t="inlineStr">
        <is>
          <t>N1</t>
        </is>
      </c>
      <c r="N419" s="15" t="n">
        <v>0.9959</v>
      </c>
      <c r="O419" s="15" t="n">
        <v>0.0041</v>
      </c>
      <c r="P419">
        <f>IF(M419="","",IF(M419=E419,1,0))</f>
        <v/>
      </c>
      <c r="Q419">
        <f>IF(K419="OK","-",IF(N419&lt;$B$7,"AMBIGUOUS","CONFIDENT"))</f>
        <v/>
      </c>
    </row>
    <row r="420">
      <c r="A420">
        <f>'Runs Z score'!A412</f>
        <v/>
      </c>
      <c r="B420">
        <f>'Runs Z score'!B412</f>
        <v/>
      </c>
      <c r="C420">
        <f>'Runs Z score'!C412</f>
        <v/>
      </c>
      <c r="D420">
        <f>'Runs Z score'!D412</f>
        <v/>
      </c>
      <c r="E420">
        <f>'Runs Z score'!E412</f>
        <v/>
      </c>
      <c r="F420">
        <f>'Runs Z score'!F412</f>
        <v/>
      </c>
      <c r="G420">
        <f>'Runs Z score'!G412</f>
        <v/>
      </c>
      <c r="H420">
        <f>VLOOKUP(C420,Recipes!$A$2:$N$4,10,FALSE())</f>
        <v/>
      </c>
      <c r="I420">
        <f>VLOOKUP(C420,Recipes!$A$2:$N$4,12,FALSE())</f>
        <v/>
      </c>
      <c r="J420">
        <f>IF(G420="","",H420-G420)</f>
        <v/>
      </c>
      <c r="K420">
        <f>IF(G420="","",IF(ABS(G420-H420)&lt;=$B$6*I420,"OK","NG"))</f>
        <v/>
      </c>
      <c r="L420">
        <f>IF(K420="","",IF(K420=D420,1,0))</f>
        <v/>
      </c>
      <c r="M420" t="inlineStr">
        <is>
          <t>N1</t>
        </is>
      </c>
      <c r="N420" s="15" t="n">
        <v>0.9867</v>
      </c>
      <c r="O420" s="15" t="n">
        <v>0.0117</v>
      </c>
      <c r="P420">
        <f>IF(M420="","",IF(M420=E420,1,0))</f>
        <v/>
      </c>
      <c r="Q420">
        <f>IF(K420="OK","-",IF(N420&lt;$B$7,"AMBIGUOUS","CONFIDENT"))</f>
        <v/>
      </c>
    </row>
    <row r="421">
      <c r="A421">
        <f>'Runs Z score'!A413</f>
        <v/>
      </c>
      <c r="B421">
        <f>'Runs Z score'!B413</f>
        <v/>
      </c>
      <c r="C421">
        <f>'Runs Z score'!C413</f>
        <v/>
      </c>
      <c r="D421">
        <f>'Runs Z score'!D413</f>
        <v/>
      </c>
      <c r="E421">
        <f>'Runs Z score'!E413</f>
        <v/>
      </c>
      <c r="F421">
        <f>'Runs Z score'!F413</f>
        <v/>
      </c>
      <c r="G421">
        <f>'Runs Z score'!G413</f>
        <v/>
      </c>
      <c r="H421">
        <f>VLOOKUP(C421,Recipes!$A$2:$N$4,10,FALSE())</f>
        <v/>
      </c>
      <c r="I421">
        <f>VLOOKUP(C421,Recipes!$A$2:$N$4,12,FALSE())</f>
        <v/>
      </c>
      <c r="J421">
        <f>IF(G421="","",H421-G421)</f>
        <v/>
      </c>
      <c r="K421">
        <f>IF(G421="","",IF(ABS(G421-H421)&lt;=$B$6*I421,"OK","NG"))</f>
        <v/>
      </c>
      <c r="L421">
        <f>IF(K421="","",IF(K421=D421,1,0))</f>
        <v/>
      </c>
      <c r="M421" t="inlineStr">
        <is>
          <t>N1</t>
        </is>
      </c>
      <c r="N421" s="15" t="n">
        <v>0.9978</v>
      </c>
      <c r="O421" s="15" t="n">
        <v>0.0021</v>
      </c>
      <c r="P421">
        <f>IF(M421="","",IF(M421=E421,1,0))</f>
        <v/>
      </c>
      <c r="Q421">
        <f>IF(K421="OK","-",IF(N421&lt;$B$7,"AMBIGUOUS","CONFIDENT"))</f>
        <v/>
      </c>
    </row>
    <row r="422">
      <c r="A422">
        <f>'Runs Z score'!A414</f>
        <v/>
      </c>
      <c r="B422">
        <f>'Runs Z score'!B414</f>
        <v/>
      </c>
      <c r="C422">
        <f>'Runs Z score'!C414</f>
        <v/>
      </c>
      <c r="D422">
        <f>'Runs Z score'!D414</f>
        <v/>
      </c>
      <c r="E422">
        <f>'Runs Z score'!E414</f>
        <v/>
      </c>
      <c r="F422">
        <f>'Runs Z score'!F414</f>
        <v/>
      </c>
      <c r="G422">
        <f>'Runs Z score'!G414</f>
        <v/>
      </c>
      <c r="H422">
        <f>VLOOKUP(C422,Recipes!$A$2:$N$4,10,FALSE())</f>
        <v/>
      </c>
      <c r="I422">
        <f>VLOOKUP(C422,Recipes!$A$2:$N$4,12,FALSE())</f>
        <v/>
      </c>
      <c r="J422">
        <f>IF(G422="","",H422-G422)</f>
        <v/>
      </c>
      <c r="K422">
        <f>IF(G422="","",IF(ABS(G422-H422)&lt;=$B$6*I422,"OK","NG"))</f>
        <v/>
      </c>
      <c r="L422">
        <f>IF(K422="","",IF(K422=D422,1,0))</f>
        <v/>
      </c>
      <c r="M422" t="inlineStr">
        <is>
          <t>N1</t>
        </is>
      </c>
      <c r="N422" s="15" t="n">
        <v>0.9995000000000001</v>
      </c>
      <c r="O422" s="15" t="n">
        <v>0.0005</v>
      </c>
      <c r="P422">
        <f>IF(M422="","",IF(M422=E422,1,0))</f>
        <v/>
      </c>
      <c r="Q422">
        <f>IF(K422="OK","-",IF(N422&lt;$B$7,"AMBIGUOUS","CONFIDENT"))</f>
        <v/>
      </c>
    </row>
    <row r="423">
      <c r="A423">
        <f>'Runs Z score'!A415</f>
        <v/>
      </c>
      <c r="B423">
        <f>'Runs Z score'!B415</f>
        <v/>
      </c>
      <c r="C423">
        <f>'Runs Z score'!C415</f>
        <v/>
      </c>
      <c r="D423">
        <f>'Runs Z score'!D415</f>
        <v/>
      </c>
      <c r="E423">
        <f>'Runs Z score'!E415</f>
        <v/>
      </c>
      <c r="F423">
        <f>'Runs Z score'!F415</f>
        <v/>
      </c>
      <c r="G423">
        <f>'Runs Z score'!G415</f>
        <v/>
      </c>
      <c r="H423">
        <f>VLOOKUP(C423,Recipes!$A$2:$N$4,10,FALSE())</f>
        <v/>
      </c>
      <c r="I423">
        <f>VLOOKUP(C423,Recipes!$A$2:$N$4,12,FALSE())</f>
        <v/>
      </c>
      <c r="J423">
        <f>IF(G423="","",H423-G423)</f>
        <v/>
      </c>
      <c r="K423">
        <f>IF(G423="","",IF(ABS(G423-H423)&lt;=$B$6*I423,"OK","NG"))</f>
        <v/>
      </c>
      <c r="L423">
        <f>IF(K423="","",IF(K423=D423,1,0))</f>
        <v/>
      </c>
      <c r="M423" t="inlineStr">
        <is>
          <t>N1</t>
        </is>
      </c>
      <c r="N423" s="15" t="n">
        <v>0.9978</v>
      </c>
      <c r="O423" s="15" t="n">
        <v>0.0021</v>
      </c>
      <c r="P423">
        <f>IF(M423="","",IF(M423=E423,1,0))</f>
        <v/>
      </c>
      <c r="Q423">
        <f>IF(K423="OK","-",IF(N423&lt;$B$7,"AMBIGUOUS","CONFIDENT"))</f>
        <v/>
      </c>
    </row>
    <row r="424">
      <c r="A424">
        <f>'Runs Z score'!A416</f>
        <v/>
      </c>
      <c r="B424">
        <f>'Runs Z score'!B416</f>
        <v/>
      </c>
      <c r="C424">
        <f>'Runs Z score'!C416</f>
        <v/>
      </c>
      <c r="D424">
        <f>'Runs Z score'!D416</f>
        <v/>
      </c>
      <c r="E424">
        <f>'Runs Z score'!E416</f>
        <v/>
      </c>
      <c r="F424">
        <f>'Runs Z score'!F416</f>
        <v/>
      </c>
      <c r="G424">
        <f>'Runs Z score'!G416</f>
        <v/>
      </c>
      <c r="H424">
        <f>VLOOKUP(C424,Recipes!$A$2:$N$4,10,FALSE())</f>
        <v/>
      </c>
      <c r="I424">
        <f>VLOOKUP(C424,Recipes!$A$2:$N$4,12,FALSE())</f>
        <v/>
      </c>
      <c r="J424">
        <f>IF(G424="","",H424-G424)</f>
        <v/>
      </c>
      <c r="K424">
        <f>IF(G424="","",IF(ABS(G424-H424)&lt;=$B$6*I424,"OK","NG"))</f>
        <v/>
      </c>
      <c r="L424">
        <f>IF(K424="","",IF(K424=D424,1,0))</f>
        <v/>
      </c>
      <c r="M424" t="inlineStr">
        <is>
          <t>N1</t>
        </is>
      </c>
      <c r="N424" s="15" t="n">
        <v>0.9986</v>
      </c>
      <c r="O424" s="15" t="n">
        <v>0.0013</v>
      </c>
      <c r="P424">
        <f>IF(M424="","",IF(M424=E424,1,0))</f>
        <v/>
      </c>
      <c r="Q424">
        <f>IF(K424="OK","-",IF(N424&lt;$B$7,"AMBIGUOUS","CONFIDENT"))</f>
        <v/>
      </c>
    </row>
    <row r="425">
      <c r="A425">
        <f>'Runs Z score'!A417</f>
        <v/>
      </c>
      <c r="B425">
        <f>'Runs Z score'!B417</f>
        <v/>
      </c>
      <c r="C425">
        <f>'Runs Z score'!C417</f>
        <v/>
      </c>
      <c r="D425">
        <f>'Runs Z score'!D417</f>
        <v/>
      </c>
      <c r="E425">
        <f>'Runs Z score'!E417</f>
        <v/>
      </c>
      <c r="F425">
        <f>'Runs Z score'!F417</f>
        <v/>
      </c>
      <c r="G425">
        <f>'Runs Z score'!G417</f>
        <v/>
      </c>
      <c r="H425">
        <f>VLOOKUP(C425,Recipes!$A$2:$N$4,10,FALSE())</f>
        <v/>
      </c>
      <c r="I425">
        <f>VLOOKUP(C425,Recipes!$A$2:$N$4,12,FALSE())</f>
        <v/>
      </c>
      <c r="J425">
        <f>IF(G425="","",H425-G425)</f>
        <v/>
      </c>
      <c r="K425">
        <f>IF(G425="","",IF(ABS(G425-H425)&lt;=$B$6*I425,"OK","NG"))</f>
        <v/>
      </c>
      <c r="L425">
        <f>IF(K425="","",IF(K425=D425,1,0))</f>
        <v/>
      </c>
      <c r="M425" t="inlineStr">
        <is>
          <t>N1</t>
        </is>
      </c>
      <c r="N425" s="15" t="n">
        <v>0.9978</v>
      </c>
      <c r="O425" s="15" t="n">
        <v>0.0021</v>
      </c>
      <c r="P425">
        <f>IF(M425="","",IF(M425=E425,1,0))</f>
        <v/>
      </c>
      <c r="Q425">
        <f>IF(K425="OK","-",IF(N425&lt;$B$7,"AMBIGUOUS","CONFIDENT"))</f>
        <v/>
      </c>
    </row>
    <row r="426">
      <c r="A426">
        <f>'Runs Z score'!A418</f>
        <v/>
      </c>
      <c r="B426">
        <f>'Runs Z score'!B418</f>
        <v/>
      </c>
      <c r="C426">
        <f>'Runs Z score'!C418</f>
        <v/>
      </c>
      <c r="D426">
        <f>'Runs Z score'!D418</f>
        <v/>
      </c>
      <c r="E426">
        <f>'Runs Z score'!E418</f>
        <v/>
      </c>
      <c r="F426">
        <f>'Runs Z score'!F418</f>
        <v/>
      </c>
      <c r="G426">
        <f>'Runs Z score'!G418</f>
        <v/>
      </c>
      <c r="H426">
        <f>VLOOKUP(C426,Recipes!$A$2:$N$4,10,FALSE())</f>
        <v/>
      </c>
      <c r="I426">
        <f>VLOOKUP(C426,Recipes!$A$2:$N$4,12,FALSE())</f>
        <v/>
      </c>
      <c r="J426">
        <f>IF(G426="","",H426-G426)</f>
        <v/>
      </c>
      <c r="K426">
        <f>IF(G426="","",IF(ABS(G426-H426)&lt;=$B$6*I426,"OK","NG"))</f>
        <v/>
      </c>
      <c r="L426">
        <f>IF(K426="","",IF(K426=D426,1,0))</f>
        <v/>
      </c>
      <c r="M426" t="inlineStr">
        <is>
          <t>N1</t>
        </is>
      </c>
      <c r="N426" s="15" t="n">
        <v>0.9997</v>
      </c>
      <c r="O426" s="15" t="n">
        <v>0.0003</v>
      </c>
      <c r="P426">
        <f>IF(M426="","",IF(M426=E426,1,0))</f>
        <v/>
      </c>
      <c r="Q426">
        <f>IF(K426="OK","-",IF(N426&lt;$B$7,"AMBIGUOUS","CONFIDENT"))</f>
        <v/>
      </c>
    </row>
    <row r="427">
      <c r="A427">
        <f>'Runs Z score'!A419</f>
        <v/>
      </c>
      <c r="B427">
        <f>'Runs Z score'!B419</f>
        <v/>
      </c>
      <c r="C427">
        <f>'Runs Z score'!C419</f>
        <v/>
      </c>
      <c r="D427">
        <f>'Runs Z score'!D419</f>
        <v/>
      </c>
      <c r="E427">
        <f>'Runs Z score'!E419</f>
        <v/>
      </c>
      <c r="F427">
        <f>'Runs Z score'!F419</f>
        <v/>
      </c>
      <c r="G427">
        <f>'Runs Z score'!G419</f>
        <v/>
      </c>
      <c r="H427">
        <f>VLOOKUP(C427,Recipes!$A$2:$N$4,10,FALSE())</f>
        <v/>
      </c>
      <c r="I427">
        <f>VLOOKUP(C427,Recipes!$A$2:$N$4,12,FALSE())</f>
        <v/>
      </c>
      <c r="J427">
        <f>IF(G427="","",H427-G427)</f>
        <v/>
      </c>
      <c r="K427">
        <f>IF(G427="","",IF(ABS(G427-H427)&lt;=$B$6*I427,"OK","NG"))</f>
        <v/>
      </c>
      <c r="L427">
        <f>IF(K427="","",IF(K427=D427,1,0))</f>
        <v/>
      </c>
      <c r="M427" t="inlineStr">
        <is>
          <t>N1</t>
        </is>
      </c>
      <c r="N427" s="15" t="n">
        <v>0.9996</v>
      </c>
      <c r="O427" s="15" t="n">
        <v>0.0004</v>
      </c>
      <c r="P427">
        <f>IF(M427="","",IF(M427=E427,1,0))</f>
        <v/>
      </c>
      <c r="Q427">
        <f>IF(K427="OK","-",IF(N427&lt;$B$7,"AMBIGUOUS","CONFIDENT"))</f>
        <v/>
      </c>
    </row>
    <row r="428">
      <c r="A428">
        <f>'Runs Z score'!A420</f>
        <v/>
      </c>
      <c r="B428">
        <f>'Runs Z score'!B420</f>
        <v/>
      </c>
      <c r="C428">
        <f>'Runs Z score'!C420</f>
        <v/>
      </c>
      <c r="D428">
        <f>'Runs Z score'!D420</f>
        <v/>
      </c>
      <c r="E428">
        <f>'Runs Z score'!E420</f>
        <v/>
      </c>
      <c r="F428">
        <f>'Runs Z score'!F420</f>
        <v/>
      </c>
      <c r="G428">
        <f>'Runs Z score'!G420</f>
        <v/>
      </c>
      <c r="H428">
        <f>VLOOKUP(C428,Recipes!$A$2:$N$4,10,FALSE())</f>
        <v/>
      </c>
      <c r="I428">
        <f>VLOOKUP(C428,Recipes!$A$2:$N$4,12,FALSE())</f>
        <v/>
      </c>
      <c r="J428">
        <f>IF(G428="","",H428-G428)</f>
        <v/>
      </c>
      <c r="K428">
        <f>IF(G428="","",IF(ABS(G428-H428)&lt;=$B$6*I428,"OK","NG"))</f>
        <v/>
      </c>
      <c r="L428">
        <f>IF(K428="","",IF(K428=D428,1,0))</f>
        <v/>
      </c>
      <c r="M428" t="inlineStr">
        <is>
          <t>N1</t>
        </is>
      </c>
      <c r="N428" s="15" t="n">
        <v>0.9997</v>
      </c>
      <c r="O428" s="15" t="n">
        <v>0.0003</v>
      </c>
      <c r="P428">
        <f>IF(M428="","",IF(M428=E428,1,0))</f>
        <v/>
      </c>
      <c r="Q428">
        <f>IF(K428="OK","-",IF(N428&lt;$B$7,"AMBIGUOUS","CONFIDENT"))</f>
        <v/>
      </c>
    </row>
    <row r="429">
      <c r="A429">
        <f>'Runs Z score'!A421</f>
        <v/>
      </c>
      <c r="B429">
        <f>'Runs Z score'!B421</f>
        <v/>
      </c>
      <c r="C429">
        <f>'Runs Z score'!C421</f>
        <v/>
      </c>
      <c r="D429">
        <f>'Runs Z score'!D421</f>
        <v/>
      </c>
      <c r="E429">
        <f>'Runs Z score'!E421</f>
        <v/>
      </c>
      <c r="F429">
        <f>'Runs Z score'!F421</f>
        <v/>
      </c>
      <c r="G429">
        <f>'Runs Z score'!G421</f>
        <v/>
      </c>
      <c r="H429">
        <f>VLOOKUP(C429,Recipes!$A$2:$N$4,10,FALSE())</f>
        <v/>
      </c>
      <c r="I429">
        <f>VLOOKUP(C429,Recipes!$A$2:$N$4,12,FALSE())</f>
        <v/>
      </c>
      <c r="J429">
        <f>IF(G429="","",H429-G429)</f>
        <v/>
      </c>
      <c r="K429">
        <f>IF(G429="","",IF(ABS(G429-H429)&lt;=$B$6*I429,"OK","NG"))</f>
        <v/>
      </c>
      <c r="L429">
        <f>IF(K429="","",IF(K429=D429,1,0))</f>
        <v/>
      </c>
      <c r="M429" t="inlineStr">
        <is>
          <t>N2</t>
        </is>
      </c>
      <c r="N429" s="15" t="n">
        <v>1</v>
      </c>
      <c r="O429" s="15" t="n">
        <v>0</v>
      </c>
      <c r="P429">
        <f>IF(M429="","",IF(M429=E429,1,0))</f>
        <v/>
      </c>
      <c r="Q429">
        <f>IF(K429="OK","-",IF(N429&lt;$B$7,"AMBIGUOUS","CONFIDENT"))</f>
        <v/>
      </c>
    </row>
    <row r="430">
      <c r="A430">
        <f>'Runs Z score'!A422</f>
        <v/>
      </c>
      <c r="B430">
        <f>'Runs Z score'!B422</f>
        <v/>
      </c>
      <c r="C430">
        <f>'Runs Z score'!C422</f>
        <v/>
      </c>
      <c r="D430">
        <f>'Runs Z score'!D422</f>
        <v/>
      </c>
      <c r="E430">
        <f>'Runs Z score'!E422</f>
        <v/>
      </c>
      <c r="F430">
        <f>'Runs Z score'!F422</f>
        <v/>
      </c>
      <c r="G430">
        <f>'Runs Z score'!G422</f>
        <v/>
      </c>
      <c r="H430">
        <f>VLOOKUP(C430,Recipes!$A$2:$N$4,10,FALSE())</f>
        <v/>
      </c>
      <c r="I430">
        <f>VLOOKUP(C430,Recipes!$A$2:$N$4,12,FALSE())</f>
        <v/>
      </c>
      <c r="J430">
        <f>IF(G430="","",H430-G430)</f>
        <v/>
      </c>
      <c r="K430">
        <f>IF(G430="","",IF(ABS(G430-H430)&lt;=$B$6*I430,"OK","NG"))</f>
        <v/>
      </c>
      <c r="L430">
        <f>IF(K430="","",IF(K430=D430,1,0))</f>
        <v/>
      </c>
      <c r="M430" t="inlineStr">
        <is>
          <t>N1</t>
        </is>
      </c>
      <c r="N430" s="15" t="n">
        <v>0.9988</v>
      </c>
      <c r="O430" s="15" t="n">
        <v>0.0012</v>
      </c>
      <c r="P430">
        <f>IF(M430="","",IF(M430=E430,1,0))</f>
        <v/>
      </c>
      <c r="Q430">
        <f>IF(K430="OK","-",IF(N430&lt;$B$7,"AMBIGUOUS","CONFIDENT"))</f>
        <v/>
      </c>
    </row>
    <row r="433">
      <c r="A433" s="209" t="inlineStr">
        <is>
          <t>RESUMEN</t>
        </is>
      </c>
    </row>
    <row r="434">
      <c r="A434" s="210" t="inlineStr">
        <is>
          <t>Total runs</t>
        </is>
      </c>
      <c r="B434" s="228">
        <f>COUNTA(G11:G430)</f>
        <v/>
      </c>
    </row>
    <row r="435">
      <c r="A435" s="210" t="inlineStr">
        <is>
          <t>L1 Accuracy</t>
        </is>
      </c>
      <c r="B435" s="229">
        <f>IFERROR(AVERAGE(L11:L430),0)</f>
        <v/>
      </c>
    </row>
    <row r="436">
      <c r="A436" s="210" t="inlineStr">
        <is>
          <t>L2 Accuracy (NG)</t>
        </is>
      </c>
      <c r="B436" s="229">
        <f>IFERROR(AVERAGEIFS(P11:P430,D11:D430,"NG"),0)</f>
        <v/>
      </c>
    </row>
    <row r="437">
      <c r="A437" s="210" t="inlineStr">
        <is>
          <t>Falsos Positivos</t>
        </is>
      </c>
      <c r="B437" s="228">
        <f>COUNTIFS(D11:D430,"OK",K11:K430,"NG")</f>
        <v/>
      </c>
    </row>
    <row r="438">
      <c r="A438" s="210" t="inlineStr">
        <is>
          <t>Falsos Negativos</t>
        </is>
      </c>
      <c r="B438" s="228">
        <f>COUNTIFS(D11:D430,"NG",K11:K430,"OK")</f>
        <v/>
      </c>
    </row>
    <row r="439">
      <c r="A439" s="210" t="inlineStr">
        <is>
          <t>Casos AMBIGUOUS</t>
        </is>
      </c>
      <c r="B439" s="228">
        <f>COUNTIF(Q11:Q430,"AMBIGUOUS")</f>
        <v/>
      </c>
    </row>
    <row r="442">
      <c r="A442" s="209" t="inlineStr">
        <is>
          <t>POR RECETA</t>
        </is>
      </c>
    </row>
    <row r="443">
      <c r="A443" s="192" t="inlineStr">
        <is>
          <t>Recipe</t>
        </is>
      </c>
      <c r="B443" s="192" t="inlineStr">
        <is>
          <t>L1 Acc</t>
        </is>
      </c>
      <c r="C443" s="192" t="inlineStr">
        <is>
          <t>L2 Acc</t>
        </is>
      </c>
    </row>
    <row r="444">
      <c r="A444" s="214" t="inlineStr">
        <is>
          <t>R3</t>
        </is>
      </c>
      <c r="B444" s="229">
        <f>IFERROR(AVERAGEIFS(L11:L430,C11:C430,"R3"),0)</f>
        <v/>
      </c>
      <c r="C444" s="229">
        <f>IFERROR(AVERAGEIFS(P11:P430,C11:C430,"R3",D11:D430,"NG"),0)</f>
        <v/>
      </c>
    </row>
    <row r="445">
      <c r="A445" s="214" t="inlineStr">
        <is>
          <t>R4</t>
        </is>
      </c>
      <c r="B445" s="229">
        <f>IFERROR(AVERAGEIFS(L11:L430,C11:C430,"R4"),0)</f>
        <v/>
      </c>
      <c r="C445" s="229">
        <f>IFERROR(AVERAGEIFS(P11:P430,C11:C430,"R4",D11:D430,"NG"),0)</f>
        <v/>
      </c>
    </row>
    <row r="446">
      <c r="A446" s="214" t="inlineStr">
        <is>
          <t>R6</t>
        </is>
      </c>
      <c r="B446" s="229">
        <f>IFERROR(AVERAGEIFS(L11:L430,C11:C430,"R6"),0)</f>
        <v/>
      </c>
      <c r="C446" s="229">
        <f>IFERROR(AVERAGEIFS(P11:P430,C11:C430,"R6",D11:D430,"NG"),0)</f>
        <v/>
      </c>
    </row>
  </sheetData>
  <mergeCells count="3">
    <mergeCell ref="A3:Q3"/>
    <mergeCell ref="A2:Q2"/>
    <mergeCell ref="A1:Q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446"/>
  <sheetViews>
    <sheetView workbookViewId="0">
      <pane ySplit="10" topLeftCell="A11" activePane="bottomLeft" state="frozen"/>
      <selection pane="bottomLeft" activeCell="A1" sqref="A1"/>
    </sheetView>
  </sheetViews>
  <sheetFormatPr baseColWidth="8" defaultRowHeight="15"/>
  <cols>
    <col width="8" customWidth="1" style="180" min="1" max="1"/>
    <col width="11" customWidth="1" style="180" min="2" max="2"/>
    <col width="9" customWidth="1" style="180" min="3" max="3"/>
    <col width="11" customWidth="1" style="180" min="4" max="4"/>
    <col width="14" customWidth="1" style="180" min="5" max="5"/>
    <col width="9" customWidth="1" style="180" min="6" max="6"/>
    <col width="11" customWidth="1" style="180" min="7" max="7"/>
    <col width="11" customWidth="1" style="180" min="8" max="8"/>
    <col width="11" customWidth="1" style="180" min="9" max="9"/>
    <col width="10" customWidth="1" style="180" min="10" max="10"/>
    <col width="10" customWidth="1" style="180" min="11" max="11"/>
    <col width="11" customWidth="1" style="180" min="12" max="12"/>
    <col width="10" customWidth="1" style="180" min="13" max="13"/>
    <col width="13" customWidth="1" style="180" min="14" max="14"/>
    <col width="13" customWidth="1" style="180" min="15" max="15"/>
    <col width="11" customWidth="1" style="180" min="16" max="16"/>
    <col width="12" customWidth="1" style="180" min="17" max="17"/>
  </cols>
  <sheetData>
    <row r="1">
      <c r="A1" s="226" t="inlineStr">
        <is>
          <t>QUADRATIC DISCRIMINANT ANALYSIS (QDA) — reg_param=0.1</t>
        </is>
      </c>
    </row>
    <row r="2">
      <c r="A2" s="208" t="inlineStr">
        <is>
          <t>Hastie et al. (2009) §4.3. Frontera cuadrática con Σ propia por clase. Más flexible que LDA.</t>
        </is>
      </c>
    </row>
    <row r="3">
      <c r="A3" s="208" t="inlineStr">
        <is>
          <t>5-fold Stratified CV por receta. L1 = Runs 1.0 (k=3). Predicciones generadas con datos reales del DOE.</t>
        </is>
      </c>
    </row>
    <row r="5">
      <c r="A5" s="209" t="inlineStr">
        <is>
          <t>PARÁMETROS</t>
        </is>
      </c>
    </row>
    <row r="6">
      <c r="A6" s="210" t="inlineStr">
        <is>
          <t>k (L1 sigma)</t>
        </is>
      </c>
      <c r="B6" s="227" t="n">
        <v>3</v>
      </c>
    </row>
    <row r="7">
      <c r="A7" s="210" t="inlineStr">
        <is>
          <t>Umbral conf. mín.</t>
        </is>
      </c>
      <c r="B7" s="227" t="n">
        <v>0.5</v>
      </c>
    </row>
    <row r="10" ht="32" customHeight="1" s="180">
      <c r="A10" s="192" t="inlineStr">
        <is>
          <t>run_id</t>
        </is>
      </c>
      <c r="B10" s="192" t="inlineStr">
        <is>
          <t>exec_order</t>
        </is>
      </c>
      <c r="C10" s="192" t="inlineStr">
        <is>
          <t>recipe</t>
        </is>
      </c>
      <c r="D10" s="192" t="inlineStr">
        <is>
          <t>condition</t>
        </is>
      </c>
      <c r="E10" s="192" t="inlineStr">
        <is>
          <t>missing_comp</t>
        </is>
      </c>
      <c r="F10" s="192" t="inlineStr">
        <is>
          <t>kit_id</t>
        </is>
      </c>
      <c r="G10" s="192" t="inlineStr">
        <is>
          <t>weight_g</t>
        </is>
      </c>
      <c r="H10" s="192" t="inlineStr">
        <is>
          <t>expected_w</t>
        </is>
      </c>
      <c r="I10" s="192" t="inlineStr">
        <is>
          <t>expected_std</t>
        </is>
      </c>
      <c r="J10" s="192" t="inlineStr">
        <is>
          <t>deficit</t>
        </is>
      </c>
      <c r="K10" s="192" t="inlineStr">
        <is>
          <t>L1_pred</t>
        </is>
      </c>
      <c r="L10" s="192" t="inlineStr">
        <is>
          <t>L1_correct</t>
        </is>
      </c>
      <c r="M10" s="192" t="inlineStr">
        <is>
          <t>ML_pred</t>
        </is>
      </c>
      <c r="N10" s="192" t="inlineStr">
        <is>
          <t>ML_prob_top1</t>
        </is>
      </c>
      <c r="O10" s="192" t="inlineStr">
        <is>
          <t>ML_prob_top2</t>
        </is>
      </c>
      <c r="P10" s="192" t="inlineStr">
        <is>
          <t>L2_correct</t>
        </is>
      </c>
      <c r="Q10" s="192" t="inlineStr">
        <is>
          <t>flag</t>
        </is>
      </c>
    </row>
    <row r="11">
      <c r="A11">
        <f>'Runs Z score'!A3</f>
        <v/>
      </c>
      <c r="B11">
        <f>'Runs Z score'!B3</f>
        <v/>
      </c>
      <c r="C11">
        <f>'Runs Z score'!C3</f>
        <v/>
      </c>
      <c r="D11">
        <f>'Runs Z score'!D3</f>
        <v/>
      </c>
      <c r="E11">
        <f>'Runs Z score'!E3</f>
        <v/>
      </c>
      <c r="F11">
        <f>'Runs Z score'!F3</f>
        <v/>
      </c>
      <c r="G11">
        <f>'Runs Z score'!G3</f>
        <v/>
      </c>
      <c r="H11">
        <f>VLOOKUP(C11,Recipes!$A$2:$N$4,10,FALSE())</f>
        <v/>
      </c>
      <c r="I11">
        <f>VLOOKUP(C11,Recipes!$A$2:$N$4,12,FALSE())</f>
        <v/>
      </c>
      <c r="J11">
        <f>IF(G11="","",H11-G11)</f>
        <v/>
      </c>
      <c r="K11">
        <f>IF(G11="","",IF(ABS(G11-H11)&lt;=$B$6*I11,"OK","NG"))</f>
        <v/>
      </c>
      <c r="L11">
        <f>IF(K11="","",IF(K11=D11,1,0))</f>
        <v/>
      </c>
      <c r="M11" t="inlineStr">
        <is>
          <t>NONE</t>
        </is>
      </c>
      <c r="N11" s="15" t="n">
        <v>1</v>
      </c>
      <c r="O11" s="15" t="n">
        <v>0</v>
      </c>
      <c r="P11">
        <f>IF(M11="","",IF(M11=E11,1,0))</f>
        <v/>
      </c>
      <c r="Q11">
        <f>IF(K11="OK","-",IF(N11&lt;$B$7,"AMBIGUOUS","CONFIDENT"))</f>
        <v/>
      </c>
    </row>
    <row r="12">
      <c r="A12">
        <f>'Runs Z score'!A4</f>
        <v/>
      </c>
      <c r="B12">
        <f>'Runs Z score'!B4</f>
        <v/>
      </c>
      <c r="C12">
        <f>'Runs Z score'!C4</f>
        <v/>
      </c>
      <c r="D12">
        <f>'Runs Z score'!D4</f>
        <v/>
      </c>
      <c r="E12">
        <f>'Runs Z score'!E4</f>
        <v/>
      </c>
      <c r="F12">
        <f>'Runs Z score'!F4</f>
        <v/>
      </c>
      <c r="G12">
        <f>'Runs Z score'!G4</f>
        <v/>
      </c>
      <c r="H12">
        <f>VLOOKUP(C12,Recipes!$A$2:$N$4,10,FALSE())</f>
        <v/>
      </c>
      <c r="I12">
        <f>VLOOKUP(C12,Recipes!$A$2:$N$4,12,FALSE())</f>
        <v/>
      </c>
      <c r="J12">
        <f>IF(G12="","",H12-G12)</f>
        <v/>
      </c>
      <c r="K12">
        <f>IF(G12="","",IF(ABS(G12-H12)&lt;=$B$6*I12,"OK","NG"))</f>
        <v/>
      </c>
      <c r="L12">
        <f>IF(K12="","",IF(K12=D12,1,0))</f>
        <v/>
      </c>
      <c r="M12" t="inlineStr">
        <is>
          <t>NONE</t>
        </is>
      </c>
      <c r="N12" s="15" t="n">
        <v>1</v>
      </c>
      <c r="O12" s="15" t="n">
        <v>0</v>
      </c>
      <c r="P12">
        <f>IF(M12="","",IF(M12=E12,1,0))</f>
        <v/>
      </c>
      <c r="Q12">
        <f>IF(K12="OK","-",IF(N12&lt;$B$7,"AMBIGUOUS","CONFIDENT"))</f>
        <v/>
      </c>
    </row>
    <row r="13">
      <c r="A13">
        <f>'Runs Z score'!A5</f>
        <v/>
      </c>
      <c r="B13">
        <f>'Runs Z score'!B5</f>
        <v/>
      </c>
      <c r="C13">
        <f>'Runs Z score'!C5</f>
        <v/>
      </c>
      <c r="D13">
        <f>'Runs Z score'!D5</f>
        <v/>
      </c>
      <c r="E13">
        <f>'Runs Z score'!E5</f>
        <v/>
      </c>
      <c r="F13">
        <f>'Runs Z score'!F5</f>
        <v/>
      </c>
      <c r="G13">
        <f>'Runs Z score'!G5</f>
        <v/>
      </c>
      <c r="H13">
        <f>VLOOKUP(C13,Recipes!$A$2:$N$4,10,FALSE())</f>
        <v/>
      </c>
      <c r="I13">
        <f>VLOOKUP(C13,Recipes!$A$2:$N$4,12,FALSE())</f>
        <v/>
      </c>
      <c r="J13">
        <f>IF(G13="","",H13-G13)</f>
        <v/>
      </c>
      <c r="K13">
        <f>IF(G13="","",IF(ABS(G13-H13)&lt;=$B$6*I13,"OK","NG"))</f>
        <v/>
      </c>
      <c r="L13">
        <f>IF(K13="","",IF(K13=D13,1,0))</f>
        <v/>
      </c>
      <c r="M13" t="inlineStr">
        <is>
          <t>NONE</t>
        </is>
      </c>
      <c r="N13" s="15" t="n">
        <v>1</v>
      </c>
      <c r="O13" s="15" t="n">
        <v>0</v>
      </c>
      <c r="P13">
        <f>IF(M13="","",IF(M13=E13,1,0))</f>
        <v/>
      </c>
      <c r="Q13">
        <f>IF(K13="OK","-",IF(N13&lt;$B$7,"AMBIGUOUS","CONFIDENT"))</f>
        <v/>
      </c>
    </row>
    <row r="14">
      <c r="A14">
        <f>'Runs Z score'!A6</f>
        <v/>
      </c>
      <c r="B14">
        <f>'Runs Z score'!B6</f>
        <v/>
      </c>
      <c r="C14">
        <f>'Runs Z score'!C6</f>
        <v/>
      </c>
      <c r="D14">
        <f>'Runs Z score'!D6</f>
        <v/>
      </c>
      <c r="E14">
        <f>'Runs Z score'!E6</f>
        <v/>
      </c>
      <c r="F14">
        <f>'Runs Z score'!F6</f>
        <v/>
      </c>
      <c r="G14">
        <f>'Runs Z score'!G6</f>
        <v/>
      </c>
      <c r="H14">
        <f>VLOOKUP(C14,Recipes!$A$2:$N$4,10,FALSE())</f>
        <v/>
      </c>
      <c r="I14">
        <f>VLOOKUP(C14,Recipes!$A$2:$N$4,12,FALSE())</f>
        <v/>
      </c>
      <c r="J14">
        <f>IF(G14="","",H14-G14)</f>
        <v/>
      </c>
      <c r="K14">
        <f>IF(G14="","",IF(ABS(G14-H14)&lt;=$B$6*I14,"OK","NG"))</f>
        <v/>
      </c>
      <c r="L14">
        <f>IF(K14="","",IF(K14=D14,1,0))</f>
        <v/>
      </c>
      <c r="M14" t="inlineStr">
        <is>
          <t>NONE</t>
        </is>
      </c>
      <c r="N14" s="15" t="n">
        <v>1</v>
      </c>
      <c r="O14" s="15" t="n">
        <v>0</v>
      </c>
      <c r="P14">
        <f>IF(M14="","",IF(M14=E14,1,0))</f>
        <v/>
      </c>
      <c r="Q14">
        <f>IF(K14="OK","-",IF(N14&lt;$B$7,"AMBIGUOUS","CONFIDENT"))</f>
        <v/>
      </c>
    </row>
    <row r="15">
      <c r="A15">
        <f>'Runs Z score'!A7</f>
        <v/>
      </c>
      <c r="B15">
        <f>'Runs Z score'!B7</f>
        <v/>
      </c>
      <c r="C15">
        <f>'Runs Z score'!C7</f>
        <v/>
      </c>
      <c r="D15">
        <f>'Runs Z score'!D7</f>
        <v/>
      </c>
      <c r="E15">
        <f>'Runs Z score'!E7</f>
        <v/>
      </c>
      <c r="F15">
        <f>'Runs Z score'!F7</f>
        <v/>
      </c>
      <c r="G15">
        <f>'Runs Z score'!G7</f>
        <v/>
      </c>
      <c r="H15">
        <f>VLOOKUP(C15,Recipes!$A$2:$N$4,10,FALSE())</f>
        <v/>
      </c>
      <c r="I15">
        <f>VLOOKUP(C15,Recipes!$A$2:$N$4,12,FALSE())</f>
        <v/>
      </c>
      <c r="J15">
        <f>IF(G15="","",H15-G15)</f>
        <v/>
      </c>
      <c r="K15">
        <f>IF(G15="","",IF(ABS(G15-H15)&lt;=$B$6*I15,"OK","NG"))</f>
        <v/>
      </c>
      <c r="L15">
        <f>IF(K15="","",IF(K15=D15,1,0))</f>
        <v/>
      </c>
      <c r="M15" t="inlineStr">
        <is>
          <t>NONE</t>
        </is>
      </c>
      <c r="N15" s="15" t="n">
        <v>1</v>
      </c>
      <c r="O15" s="15" t="n">
        <v>0</v>
      </c>
      <c r="P15">
        <f>IF(M15="","",IF(M15=E15,1,0))</f>
        <v/>
      </c>
      <c r="Q15">
        <f>IF(K15="OK","-",IF(N15&lt;$B$7,"AMBIGUOUS","CONFIDENT"))</f>
        <v/>
      </c>
    </row>
    <row r="16">
      <c r="A16">
        <f>'Runs Z score'!A8</f>
        <v/>
      </c>
      <c r="B16">
        <f>'Runs Z score'!B8</f>
        <v/>
      </c>
      <c r="C16">
        <f>'Runs Z score'!C8</f>
        <v/>
      </c>
      <c r="D16">
        <f>'Runs Z score'!D8</f>
        <v/>
      </c>
      <c r="E16">
        <f>'Runs Z score'!E8</f>
        <v/>
      </c>
      <c r="F16">
        <f>'Runs Z score'!F8</f>
        <v/>
      </c>
      <c r="G16">
        <f>'Runs Z score'!G8</f>
        <v/>
      </c>
      <c r="H16">
        <f>VLOOKUP(C16,Recipes!$A$2:$N$4,10,FALSE())</f>
        <v/>
      </c>
      <c r="I16">
        <f>VLOOKUP(C16,Recipes!$A$2:$N$4,12,FALSE())</f>
        <v/>
      </c>
      <c r="J16">
        <f>IF(G16="","",H16-G16)</f>
        <v/>
      </c>
      <c r="K16">
        <f>IF(G16="","",IF(ABS(G16-H16)&lt;=$B$6*I16,"OK","NG"))</f>
        <v/>
      </c>
      <c r="L16">
        <f>IF(K16="","",IF(K16=D16,1,0))</f>
        <v/>
      </c>
      <c r="M16" t="inlineStr">
        <is>
          <t>NONE</t>
        </is>
      </c>
      <c r="N16" s="15" t="n">
        <v>1</v>
      </c>
      <c r="O16" s="15" t="n">
        <v>0</v>
      </c>
      <c r="P16">
        <f>IF(M16="","",IF(M16=E16,1,0))</f>
        <v/>
      </c>
      <c r="Q16">
        <f>IF(K16="OK","-",IF(N16&lt;$B$7,"AMBIGUOUS","CONFIDENT"))</f>
        <v/>
      </c>
    </row>
    <row r="17">
      <c r="A17">
        <f>'Runs Z score'!A9</f>
        <v/>
      </c>
      <c r="B17">
        <f>'Runs Z score'!B9</f>
        <v/>
      </c>
      <c r="C17">
        <f>'Runs Z score'!C9</f>
        <v/>
      </c>
      <c r="D17">
        <f>'Runs Z score'!D9</f>
        <v/>
      </c>
      <c r="E17">
        <f>'Runs Z score'!E9</f>
        <v/>
      </c>
      <c r="F17">
        <f>'Runs Z score'!F9</f>
        <v/>
      </c>
      <c r="G17">
        <f>'Runs Z score'!G9</f>
        <v/>
      </c>
      <c r="H17">
        <f>VLOOKUP(C17,Recipes!$A$2:$N$4,10,FALSE())</f>
        <v/>
      </c>
      <c r="I17">
        <f>VLOOKUP(C17,Recipes!$A$2:$N$4,12,FALSE())</f>
        <v/>
      </c>
      <c r="J17">
        <f>IF(G17="","",H17-G17)</f>
        <v/>
      </c>
      <c r="K17">
        <f>IF(G17="","",IF(ABS(G17-H17)&lt;=$B$6*I17,"OK","NG"))</f>
        <v/>
      </c>
      <c r="L17">
        <f>IF(K17="","",IF(K17=D17,1,0))</f>
        <v/>
      </c>
      <c r="M17" t="inlineStr">
        <is>
          <t>NONE</t>
        </is>
      </c>
      <c r="N17" s="15" t="n">
        <v>1</v>
      </c>
      <c r="O17" s="15" t="n">
        <v>0</v>
      </c>
      <c r="P17">
        <f>IF(M17="","",IF(M17=E17,1,0))</f>
        <v/>
      </c>
      <c r="Q17">
        <f>IF(K17="OK","-",IF(N17&lt;$B$7,"AMBIGUOUS","CONFIDENT"))</f>
        <v/>
      </c>
    </row>
    <row r="18">
      <c r="A18">
        <f>'Runs Z score'!A10</f>
        <v/>
      </c>
      <c r="B18">
        <f>'Runs Z score'!B10</f>
        <v/>
      </c>
      <c r="C18">
        <f>'Runs Z score'!C10</f>
        <v/>
      </c>
      <c r="D18">
        <f>'Runs Z score'!D10</f>
        <v/>
      </c>
      <c r="E18">
        <f>'Runs Z score'!E10</f>
        <v/>
      </c>
      <c r="F18">
        <f>'Runs Z score'!F10</f>
        <v/>
      </c>
      <c r="G18">
        <f>'Runs Z score'!G10</f>
        <v/>
      </c>
      <c r="H18">
        <f>VLOOKUP(C18,Recipes!$A$2:$N$4,10,FALSE())</f>
        <v/>
      </c>
      <c r="I18">
        <f>VLOOKUP(C18,Recipes!$A$2:$N$4,12,FALSE())</f>
        <v/>
      </c>
      <c r="J18">
        <f>IF(G18="","",H18-G18)</f>
        <v/>
      </c>
      <c r="K18">
        <f>IF(G18="","",IF(ABS(G18-H18)&lt;=$B$6*I18,"OK","NG"))</f>
        <v/>
      </c>
      <c r="L18">
        <f>IF(K18="","",IF(K18=D18,1,0))</f>
        <v/>
      </c>
      <c r="M18" t="inlineStr">
        <is>
          <t>NONE</t>
        </is>
      </c>
      <c r="N18" s="15" t="n">
        <v>1</v>
      </c>
      <c r="O18" s="15" t="n">
        <v>0</v>
      </c>
      <c r="P18">
        <f>IF(M18="","",IF(M18=E18,1,0))</f>
        <v/>
      </c>
      <c r="Q18">
        <f>IF(K18="OK","-",IF(N18&lt;$B$7,"AMBIGUOUS","CONFIDENT"))</f>
        <v/>
      </c>
    </row>
    <row r="19">
      <c r="A19">
        <f>'Runs Z score'!A11</f>
        <v/>
      </c>
      <c r="B19">
        <f>'Runs Z score'!B11</f>
        <v/>
      </c>
      <c r="C19">
        <f>'Runs Z score'!C11</f>
        <v/>
      </c>
      <c r="D19">
        <f>'Runs Z score'!D11</f>
        <v/>
      </c>
      <c r="E19">
        <f>'Runs Z score'!E11</f>
        <v/>
      </c>
      <c r="F19">
        <f>'Runs Z score'!F11</f>
        <v/>
      </c>
      <c r="G19">
        <f>'Runs Z score'!G11</f>
        <v/>
      </c>
      <c r="H19">
        <f>VLOOKUP(C19,Recipes!$A$2:$N$4,10,FALSE())</f>
        <v/>
      </c>
      <c r="I19">
        <f>VLOOKUP(C19,Recipes!$A$2:$N$4,12,FALSE())</f>
        <v/>
      </c>
      <c r="J19">
        <f>IF(G19="","",H19-G19)</f>
        <v/>
      </c>
      <c r="K19">
        <f>IF(G19="","",IF(ABS(G19-H19)&lt;=$B$6*I19,"OK","NG"))</f>
        <v/>
      </c>
      <c r="L19">
        <f>IF(K19="","",IF(K19=D19,1,0))</f>
        <v/>
      </c>
      <c r="M19" t="inlineStr">
        <is>
          <t>NONE</t>
        </is>
      </c>
      <c r="N19" s="15" t="n">
        <v>1</v>
      </c>
      <c r="O19" s="15" t="n">
        <v>0</v>
      </c>
      <c r="P19">
        <f>IF(M19="","",IF(M19=E19,1,0))</f>
        <v/>
      </c>
      <c r="Q19">
        <f>IF(K19="OK","-",IF(N19&lt;$B$7,"AMBIGUOUS","CONFIDENT"))</f>
        <v/>
      </c>
    </row>
    <row r="20">
      <c r="A20">
        <f>'Runs Z score'!A12</f>
        <v/>
      </c>
      <c r="B20">
        <f>'Runs Z score'!B12</f>
        <v/>
      </c>
      <c r="C20">
        <f>'Runs Z score'!C12</f>
        <v/>
      </c>
      <c r="D20">
        <f>'Runs Z score'!D12</f>
        <v/>
      </c>
      <c r="E20">
        <f>'Runs Z score'!E12</f>
        <v/>
      </c>
      <c r="F20">
        <f>'Runs Z score'!F12</f>
        <v/>
      </c>
      <c r="G20">
        <f>'Runs Z score'!G12</f>
        <v/>
      </c>
      <c r="H20">
        <f>VLOOKUP(C20,Recipes!$A$2:$N$4,10,FALSE())</f>
        <v/>
      </c>
      <c r="I20">
        <f>VLOOKUP(C20,Recipes!$A$2:$N$4,12,FALSE())</f>
        <v/>
      </c>
      <c r="J20">
        <f>IF(G20="","",H20-G20)</f>
        <v/>
      </c>
      <c r="K20">
        <f>IF(G20="","",IF(ABS(G20-H20)&lt;=$B$6*I20,"OK","NG"))</f>
        <v/>
      </c>
      <c r="L20">
        <f>IF(K20="","",IF(K20=D20,1,0))</f>
        <v/>
      </c>
      <c r="M20" t="inlineStr">
        <is>
          <t>NONE</t>
        </is>
      </c>
      <c r="N20" s="15" t="n">
        <v>1</v>
      </c>
      <c r="O20" s="15" t="n">
        <v>0</v>
      </c>
      <c r="P20">
        <f>IF(M20="","",IF(M20=E20,1,0))</f>
        <v/>
      </c>
      <c r="Q20">
        <f>IF(K20="OK","-",IF(N20&lt;$B$7,"AMBIGUOUS","CONFIDENT"))</f>
        <v/>
      </c>
    </row>
    <row r="21">
      <c r="A21">
        <f>'Runs Z score'!A13</f>
        <v/>
      </c>
      <c r="B21">
        <f>'Runs Z score'!B13</f>
        <v/>
      </c>
      <c r="C21">
        <f>'Runs Z score'!C13</f>
        <v/>
      </c>
      <c r="D21">
        <f>'Runs Z score'!D13</f>
        <v/>
      </c>
      <c r="E21">
        <f>'Runs Z score'!E13</f>
        <v/>
      </c>
      <c r="F21">
        <f>'Runs Z score'!F13</f>
        <v/>
      </c>
      <c r="G21">
        <f>'Runs Z score'!G13</f>
        <v/>
      </c>
      <c r="H21">
        <f>VLOOKUP(C21,Recipes!$A$2:$N$4,10,FALSE())</f>
        <v/>
      </c>
      <c r="I21">
        <f>VLOOKUP(C21,Recipes!$A$2:$N$4,12,FALSE())</f>
        <v/>
      </c>
      <c r="J21">
        <f>IF(G21="","",H21-G21)</f>
        <v/>
      </c>
      <c r="K21">
        <f>IF(G21="","",IF(ABS(G21-H21)&lt;=$B$6*I21,"OK","NG"))</f>
        <v/>
      </c>
      <c r="L21">
        <f>IF(K21="","",IF(K21=D21,1,0))</f>
        <v/>
      </c>
      <c r="M21" t="inlineStr">
        <is>
          <t>NONE</t>
        </is>
      </c>
      <c r="N21" s="15" t="n">
        <v>1</v>
      </c>
      <c r="O21" s="15" t="n">
        <v>0</v>
      </c>
      <c r="P21">
        <f>IF(M21="","",IF(M21=E21,1,0))</f>
        <v/>
      </c>
      <c r="Q21">
        <f>IF(K21="OK","-",IF(N21&lt;$B$7,"AMBIGUOUS","CONFIDENT"))</f>
        <v/>
      </c>
    </row>
    <row r="22">
      <c r="A22">
        <f>'Runs Z score'!A14</f>
        <v/>
      </c>
      <c r="B22">
        <f>'Runs Z score'!B14</f>
        <v/>
      </c>
      <c r="C22">
        <f>'Runs Z score'!C14</f>
        <v/>
      </c>
      <c r="D22">
        <f>'Runs Z score'!D14</f>
        <v/>
      </c>
      <c r="E22">
        <f>'Runs Z score'!E14</f>
        <v/>
      </c>
      <c r="F22">
        <f>'Runs Z score'!F14</f>
        <v/>
      </c>
      <c r="G22">
        <f>'Runs Z score'!G14</f>
        <v/>
      </c>
      <c r="H22">
        <f>VLOOKUP(C22,Recipes!$A$2:$N$4,10,FALSE())</f>
        <v/>
      </c>
      <c r="I22">
        <f>VLOOKUP(C22,Recipes!$A$2:$N$4,12,FALSE())</f>
        <v/>
      </c>
      <c r="J22">
        <f>IF(G22="","",H22-G22)</f>
        <v/>
      </c>
      <c r="K22">
        <f>IF(G22="","",IF(ABS(G22-H22)&lt;=$B$6*I22,"OK","NG"))</f>
        <v/>
      </c>
      <c r="L22">
        <f>IF(K22="","",IF(K22=D22,1,0))</f>
        <v/>
      </c>
      <c r="M22" t="inlineStr">
        <is>
          <t>NONE</t>
        </is>
      </c>
      <c r="N22" s="15" t="n">
        <v>1</v>
      </c>
      <c r="O22" s="15" t="n">
        <v>0</v>
      </c>
      <c r="P22">
        <f>IF(M22="","",IF(M22=E22,1,0))</f>
        <v/>
      </c>
      <c r="Q22">
        <f>IF(K22="OK","-",IF(N22&lt;$B$7,"AMBIGUOUS","CONFIDENT"))</f>
        <v/>
      </c>
    </row>
    <row r="23">
      <c r="A23">
        <f>'Runs Z score'!A15</f>
        <v/>
      </c>
      <c r="B23">
        <f>'Runs Z score'!B15</f>
        <v/>
      </c>
      <c r="C23">
        <f>'Runs Z score'!C15</f>
        <v/>
      </c>
      <c r="D23">
        <f>'Runs Z score'!D15</f>
        <v/>
      </c>
      <c r="E23">
        <f>'Runs Z score'!E15</f>
        <v/>
      </c>
      <c r="F23">
        <f>'Runs Z score'!F15</f>
        <v/>
      </c>
      <c r="G23">
        <f>'Runs Z score'!G15</f>
        <v/>
      </c>
      <c r="H23">
        <f>VLOOKUP(C23,Recipes!$A$2:$N$4,10,FALSE())</f>
        <v/>
      </c>
      <c r="I23">
        <f>VLOOKUP(C23,Recipes!$A$2:$N$4,12,FALSE())</f>
        <v/>
      </c>
      <c r="J23">
        <f>IF(G23="","",H23-G23)</f>
        <v/>
      </c>
      <c r="K23">
        <f>IF(G23="","",IF(ABS(G23-H23)&lt;=$B$6*I23,"OK","NG"))</f>
        <v/>
      </c>
      <c r="L23">
        <f>IF(K23="","",IF(K23=D23,1,0))</f>
        <v/>
      </c>
      <c r="M23" t="inlineStr">
        <is>
          <t>NONE</t>
        </is>
      </c>
      <c r="N23" s="15" t="n">
        <v>1</v>
      </c>
      <c r="O23" s="15" t="n">
        <v>0</v>
      </c>
      <c r="P23">
        <f>IF(M23="","",IF(M23=E23,1,0))</f>
        <v/>
      </c>
      <c r="Q23">
        <f>IF(K23="OK","-",IF(N23&lt;$B$7,"AMBIGUOUS","CONFIDENT"))</f>
        <v/>
      </c>
    </row>
    <row r="24">
      <c r="A24">
        <f>'Runs Z score'!A16</f>
        <v/>
      </c>
      <c r="B24">
        <f>'Runs Z score'!B16</f>
        <v/>
      </c>
      <c r="C24">
        <f>'Runs Z score'!C16</f>
        <v/>
      </c>
      <c r="D24">
        <f>'Runs Z score'!D16</f>
        <v/>
      </c>
      <c r="E24">
        <f>'Runs Z score'!E16</f>
        <v/>
      </c>
      <c r="F24">
        <f>'Runs Z score'!F16</f>
        <v/>
      </c>
      <c r="G24">
        <f>'Runs Z score'!G16</f>
        <v/>
      </c>
      <c r="H24">
        <f>VLOOKUP(C24,Recipes!$A$2:$N$4,10,FALSE())</f>
        <v/>
      </c>
      <c r="I24">
        <f>VLOOKUP(C24,Recipes!$A$2:$N$4,12,FALSE())</f>
        <v/>
      </c>
      <c r="J24">
        <f>IF(G24="","",H24-G24)</f>
        <v/>
      </c>
      <c r="K24">
        <f>IF(G24="","",IF(ABS(G24-H24)&lt;=$B$6*I24,"OK","NG"))</f>
        <v/>
      </c>
      <c r="L24">
        <f>IF(K24="","",IF(K24=D24,1,0))</f>
        <v/>
      </c>
      <c r="M24" t="inlineStr">
        <is>
          <t>NONE</t>
        </is>
      </c>
      <c r="N24" s="15" t="n">
        <v>1</v>
      </c>
      <c r="O24" s="15" t="n">
        <v>0</v>
      </c>
      <c r="P24">
        <f>IF(M24="","",IF(M24=E24,1,0))</f>
        <v/>
      </c>
      <c r="Q24">
        <f>IF(K24="OK","-",IF(N24&lt;$B$7,"AMBIGUOUS","CONFIDENT"))</f>
        <v/>
      </c>
    </row>
    <row r="25">
      <c r="A25">
        <f>'Runs Z score'!A17</f>
        <v/>
      </c>
      <c r="B25">
        <f>'Runs Z score'!B17</f>
        <v/>
      </c>
      <c r="C25">
        <f>'Runs Z score'!C17</f>
        <v/>
      </c>
      <c r="D25">
        <f>'Runs Z score'!D17</f>
        <v/>
      </c>
      <c r="E25">
        <f>'Runs Z score'!E17</f>
        <v/>
      </c>
      <c r="F25">
        <f>'Runs Z score'!F17</f>
        <v/>
      </c>
      <c r="G25">
        <f>'Runs Z score'!G17</f>
        <v/>
      </c>
      <c r="H25">
        <f>VLOOKUP(C25,Recipes!$A$2:$N$4,10,FALSE())</f>
        <v/>
      </c>
      <c r="I25">
        <f>VLOOKUP(C25,Recipes!$A$2:$N$4,12,FALSE())</f>
        <v/>
      </c>
      <c r="J25">
        <f>IF(G25="","",H25-G25)</f>
        <v/>
      </c>
      <c r="K25">
        <f>IF(G25="","",IF(ABS(G25-H25)&lt;=$B$6*I25,"OK","NG"))</f>
        <v/>
      </c>
      <c r="L25">
        <f>IF(K25="","",IF(K25=D25,1,0))</f>
        <v/>
      </c>
      <c r="M25" t="inlineStr">
        <is>
          <t>NONE</t>
        </is>
      </c>
      <c r="N25" s="15" t="n">
        <v>1</v>
      </c>
      <c r="O25" s="15" t="n">
        <v>0</v>
      </c>
      <c r="P25">
        <f>IF(M25="","",IF(M25=E25,1,0))</f>
        <v/>
      </c>
      <c r="Q25">
        <f>IF(K25="OK","-",IF(N25&lt;$B$7,"AMBIGUOUS","CONFIDENT"))</f>
        <v/>
      </c>
    </row>
    <row r="26">
      <c r="A26">
        <f>'Runs Z score'!A18</f>
        <v/>
      </c>
      <c r="B26">
        <f>'Runs Z score'!B18</f>
        <v/>
      </c>
      <c r="C26">
        <f>'Runs Z score'!C18</f>
        <v/>
      </c>
      <c r="D26">
        <f>'Runs Z score'!D18</f>
        <v/>
      </c>
      <c r="E26">
        <f>'Runs Z score'!E18</f>
        <v/>
      </c>
      <c r="F26">
        <f>'Runs Z score'!F18</f>
        <v/>
      </c>
      <c r="G26">
        <f>'Runs Z score'!G18</f>
        <v/>
      </c>
      <c r="H26">
        <f>VLOOKUP(C26,Recipes!$A$2:$N$4,10,FALSE())</f>
        <v/>
      </c>
      <c r="I26">
        <f>VLOOKUP(C26,Recipes!$A$2:$N$4,12,FALSE())</f>
        <v/>
      </c>
      <c r="J26">
        <f>IF(G26="","",H26-G26)</f>
        <v/>
      </c>
      <c r="K26">
        <f>IF(G26="","",IF(ABS(G26-H26)&lt;=$B$6*I26,"OK","NG"))</f>
        <v/>
      </c>
      <c r="L26">
        <f>IF(K26="","",IF(K26=D26,1,0))</f>
        <v/>
      </c>
      <c r="M26" t="inlineStr">
        <is>
          <t>NONE</t>
        </is>
      </c>
      <c r="N26" s="15" t="n">
        <v>1</v>
      </c>
      <c r="O26" s="15" t="n">
        <v>0</v>
      </c>
      <c r="P26">
        <f>IF(M26="","",IF(M26=E26,1,0))</f>
        <v/>
      </c>
      <c r="Q26">
        <f>IF(K26="OK","-",IF(N26&lt;$B$7,"AMBIGUOUS","CONFIDENT"))</f>
        <v/>
      </c>
    </row>
    <row r="27">
      <c r="A27">
        <f>'Runs Z score'!A19</f>
        <v/>
      </c>
      <c r="B27">
        <f>'Runs Z score'!B19</f>
        <v/>
      </c>
      <c r="C27">
        <f>'Runs Z score'!C19</f>
        <v/>
      </c>
      <c r="D27">
        <f>'Runs Z score'!D19</f>
        <v/>
      </c>
      <c r="E27">
        <f>'Runs Z score'!E19</f>
        <v/>
      </c>
      <c r="F27">
        <f>'Runs Z score'!F19</f>
        <v/>
      </c>
      <c r="G27">
        <f>'Runs Z score'!G19</f>
        <v/>
      </c>
      <c r="H27">
        <f>VLOOKUP(C27,Recipes!$A$2:$N$4,10,FALSE())</f>
        <v/>
      </c>
      <c r="I27">
        <f>VLOOKUP(C27,Recipes!$A$2:$N$4,12,FALSE())</f>
        <v/>
      </c>
      <c r="J27">
        <f>IF(G27="","",H27-G27)</f>
        <v/>
      </c>
      <c r="K27">
        <f>IF(G27="","",IF(ABS(G27-H27)&lt;=$B$6*I27,"OK","NG"))</f>
        <v/>
      </c>
      <c r="L27">
        <f>IF(K27="","",IF(K27=D27,1,0))</f>
        <v/>
      </c>
      <c r="M27" t="inlineStr">
        <is>
          <t>NONE</t>
        </is>
      </c>
      <c r="N27" s="15" t="n">
        <v>1</v>
      </c>
      <c r="O27" s="15" t="n">
        <v>0</v>
      </c>
      <c r="P27">
        <f>IF(M27="","",IF(M27=E27,1,0))</f>
        <v/>
      </c>
      <c r="Q27">
        <f>IF(K27="OK","-",IF(N27&lt;$B$7,"AMBIGUOUS","CONFIDENT"))</f>
        <v/>
      </c>
    </row>
    <row r="28">
      <c r="A28">
        <f>'Runs Z score'!A20</f>
        <v/>
      </c>
      <c r="B28">
        <f>'Runs Z score'!B20</f>
        <v/>
      </c>
      <c r="C28">
        <f>'Runs Z score'!C20</f>
        <v/>
      </c>
      <c r="D28">
        <f>'Runs Z score'!D20</f>
        <v/>
      </c>
      <c r="E28">
        <f>'Runs Z score'!E20</f>
        <v/>
      </c>
      <c r="F28">
        <f>'Runs Z score'!F20</f>
        <v/>
      </c>
      <c r="G28">
        <f>'Runs Z score'!G20</f>
        <v/>
      </c>
      <c r="H28">
        <f>VLOOKUP(C28,Recipes!$A$2:$N$4,10,FALSE())</f>
        <v/>
      </c>
      <c r="I28">
        <f>VLOOKUP(C28,Recipes!$A$2:$N$4,12,FALSE())</f>
        <v/>
      </c>
      <c r="J28">
        <f>IF(G28="","",H28-G28)</f>
        <v/>
      </c>
      <c r="K28">
        <f>IF(G28="","",IF(ABS(G28-H28)&lt;=$B$6*I28,"OK","NG"))</f>
        <v/>
      </c>
      <c r="L28">
        <f>IF(K28="","",IF(K28=D28,1,0))</f>
        <v/>
      </c>
      <c r="M28" t="inlineStr">
        <is>
          <t>NONE</t>
        </is>
      </c>
      <c r="N28" s="15" t="n">
        <v>1</v>
      </c>
      <c r="O28" s="15" t="n">
        <v>0</v>
      </c>
      <c r="P28">
        <f>IF(M28="","",IF(M28=E28,1,0))</f>
        <v/>
      </c>
      <c r="Q28">
        <f>IF(K28="OK","-",IF(N28&lt;$B$7,"AMBIGUOUS","CONFIDENT"))</f>
        <v/>
      </c>
    </row>
    <row r="29">
      <c r="A29">
        <f>'Runs Z score'!A21</f>
        <v/>
      </c>
      <c r="B29">
        <f>'Runs Z score'!B21</f>
        <v/>
      </c>
      <c r="C29">
        <f>'Runs Z score'!C21</f>
        <v/>
      </c>
      <c r="D29">
        <f>'Runs Z score'!D21</f>
        <v/>
      </c>
      <c r="E29">
        <f>'Runs Z score'!E21</f>
        <v/>
      </c>
      <c r="F29">
        <f>'Runs Z score'!F21</f>
        <v/>
      </c>
      <c r="G29">
        <f>'Runs Z score'!G21</f>
        <v/>
      </c>
      <c r="H29">
        <f>VLOOKUP(C29,Recipes!$A$2:$N$4,10,FALSE())</f>
        <v/>
      </c>
      <c r="I29">
        <f>VLOOKUP(C29,Recipes!$A$2:$N$4,12,FALSE())</f>
        <v/>
      </c>
      <c r="J29">
        <f>IF(G29="","",H29-G29)</f>
        <v/>
      </c>
      <c r="K29">
        <f>IF(G29="","",IF(ABS(G29-H29)&lt;=$B$6*I29,"OK","NG"))</f>
        <v/>
      </c>
      <c r="L29">
        <f>IF(K29="","",IF(K29=D29,1,0))</f>
        <v/>
      </c>
      <c r="M29" t="inlineStr">
        <is>
          <t>NONE</t>
        </is>
      </c>
      <c r="N29" s="15" t="n">
        <v>1</v>
      </c>
      <c r="O29" s="15" t="n">
        <v>0</v>
      </c>
      <c r="P29">
        <f>IF(M29="","",IF(M29=E29,1,0))</f>
        <v/>
      </c>
      <c r="Q29">
        <f>IF(K29="OK","-",IF(N29&lt;$B$7,"AMBIGUOUS","CONFIDENT"))</f>
        <v/>
      </c>
    </row>
    <row r="30">
      <c r="A30">
        <f>'Runs Z score'!A22</f>
        <v/>
      </c>
      <c r="B30">
        <f>'Runs Z score'!B22</f>
        <v/>
      </c>
      <c r="C30">
        <f>'Runs Z score'!C22</f>
        <v/>
      </c>
      <c r="D30">
        <f>'Runs Z score'!D22</f>
        <v/>
      </c>
      <c r="E30">
        <f>'Runs Z score'!E22</f>
        <v/>
      </c>
      <c r="F30">
        <f>'Runs Z score'!F22</f>
        <v/>
      </c>
      <c r="G30">
        <f>'Runs Z score'!G22</f>
        <v/>
      </c>
      <c r="H30">
        <f>VLOOKUP(C30,Recipes!$A$2:$N$4,10,FALSE())</f>
        <v/>
      </c>
      <c r="I30">
        <f>VLOOKUP(C30,Recipes!$A$2:$N$4,12,FALSE())</f>
        <v/>
      </c>
      <c r="J30">
        <f>IF(G30="","",H30-G30)</f>
        <v/>
      </c>
      <c r="K30">
        <f>IF(G30="","",IF(ABS(G30-H30)&lt;=$B$6*I30,"OK","NG"))</f>
        <v/>
      </c>
      <c r="L30">
        <f>IF(K30="","",IF(K30=D30,1,0))</f>
        <v/>
      </c>
      <c r="M30" t="inlineStr">
        <is>
          <t>NONE</t>
        </is>
      </c>
      <c r="N30" s="15" t="n">
        <v>1</v>
      </c>
      <c r="O30" s="15" t="n">
        <v>0</v>
      </c>
      <c r="P30">
        <f>IF(M30="","",IF(M30=E30,1,0))</f>
        <v/>
      </c>
      <c r="Q30">
        <f>IF(K30="OK","-",IF(N30&lt;$B$7,"AMBIGUOUS","CONFIDENT"))</f>
        <v/>
      </c>
    </row>
    <row r="31">
      <c r="A31">
        <f>'Runs Z score'!A23</f>
        <v/>
      </c>
      <c r="B31">
        <f>'Runs Z score'!B23</f>
        <v/>
      </c>
      <c r="C31">
        <f>'Runs Z score'!C23</f>
        <v/>
      </c>
      <c r="D31">
        <f>'Runs Z score'!D23</f>
        <v/>
      </c>
      <c r="E31">
        <f>'Runs Z score'!E23</f>
        <v/>
      </c>
      <c r="F31">
        <f>'Runs Z score'!F23</f>
        <v/>
      </c>
      <c r="G31">
        <f>'Runs Z score'!G23</f>
        <v/>
      </c>
      <c r="H31">
        <f>VLOOKUP(C31,Recipes!$A$2:$N$4,10,FALSE())</f>
        <v/>
      </c>
      <c r="I31">
        <f>VLOOKUP(C31,Recipes!$A$2:$N$4,12,FALSE())</f>
        <v/>
      </c>
      <c r="J31">
        <f>IF(G31="","",H31-G31)</f>
        <v/>
      </c>
      <c r="K31">
        <f>IF(G31="","",IF(ABS(G31-H31)&lt;=$B$6*I31,"OK","NG"))</f>
        <v/>
      </c>
      <c r="L31">
        <f>IF(K31="","",IF(K31=D31,1,0))</f>
        <v/>
      </c>
      <c r="M31" t="inlineStr">
        <is>
          <t>NONE</t>
        </is>
      </c>
      <c r="N31" s="15" t="n">
        <v>1</v>
      </c>
      <c r="O31" s="15" t="n">
        <v>0</v>
      </c>
      <c r="P31">
        <f>IF(M31="","",IF(M31=E31,1,0))</f>
        <v/>
      </c>
      <c r="Q31">
        <f>IF(K31="OK","-",IF(N31&lt;$B$7,"AMBIGUOUS","CONFIDENT"))</f>
        <v/>
      </c>
    </row>
    <row r="32">
      <c r="A32">
        <f>'Runs Z score'!A24</f>
        <v/>
      </c>
      <c r="B32">
        <f>'Runs Z score'!B24</f>
        <v/>
      </c>
      <c r="C32">
        <f>'Runs Z score'!C24</f>
        <v/>
      </c>
      <c r="D32">
        <f>'Runs Z score'!D24</f>
        <v/>
      </c>
      <c r="E32">
        <f>'Runs Z score'!E24</f>
        <v/>
      </c>
      <c r="F32">
        <f>'Runs Z score'!F24</f>
        <v/>
      </c>
      <c r="G32">
        <f>'Runs Z score'!G24</f>
        <v/>
      </c>
      <c r="H32">
        <f>VLOOKUP(C32,Recipes!$A$2:$N$4,10,FALSE())</f>
        <v/>
      </c>
      <c r="I32">
        <f>VLOOKUP(C32,Recipes!$A$2:$N$4,12,FALSE())</f>
        <v/>
      </c>
      <c r="J32">
        <f>IF(G32="","",H32-G32)</f>
        <v/>
      </c>
      <c r="K32">
        <f>IF(G32="","",IF(ABS(G32-H32)&lt;=$B$6*I32,"OK","NG"))</f>
        <v/>
      </c>
      <c r="L32">
        <f>IF(K32="","",IF(K32=D32,1,0))</f>
        <v/>
      </c>
      <c r="M32" t="inlineStr">
        <is>
          <t>NONE</t>
        </is>
      </c>
      <c r="N32" s="15" t="n">
        <v>1</v>
      </c>
      <c r="O32" s="15" t="n">
        <v>0</v>
      </c>
      <c r="P32">
        <f>IF(M32="","",IF(M32=E32,1,0))</f>
        <v/>
      </c>
      <c r="Q32">
        <f>IF(K32="OK","-",IF(N32&lt;$B$7,"AMBIGUOUS","CONFIDENT"))</f>
        <v/>
      </c>
    </row>
    <row r="33">
      <c r="A33">
        <f>'Runs Z score'!A25</f>
        <v/>
      </c>
      <c r="B33">
        <f>'Runs Z score'!B25</f>
        <v/>
      </c>
      <c r="C33">
        <f>'Runs Z score'!C25</f>
        <v/>
      </c>
      <c r="D33">
        <f>'Runs Z score'!D25</f>
        <v/>
      </c>
      <c r="E33">
        <f>'Runs Z score'!E25</f>
        <v/>
      </c>
      <c r="F33">
        <f>'Runs Z score'!F25</f>
        <v/>
      </c>
      <c r="G33">
        <f>'Runs Z score'!G25</f>
        <v/>
      </c>
      <c r="H33">
        <f>VLOOKUP(C33,Recipes!$A$2:$N$4,10,FALSE())</f>
        <v/>
      </c>
      <c r="I33">
        <f>VLOOKUP(C33,Recipes!$A$2:$N$4,12,FALSE())</f>
        <v/>
      </c>
      <c r="J33">
        <f>IF(G33="","",H33-G33)</f>
        <v/>
      </c>
      <c r="K33">
        <f>IF(G33="","",IF(ABS(G33-H33)&lt;=$B$6*I33,"OK","NG"))</f>
        <v/>
      </c>
      <c r="L33">
        <f>IF(K33="","",IF(K33=D33,1,0))</f>
        <v/>
      </c>
      <c r="M33" t="inlineStr">
        <is>
          <t>NONE</t>
        </is>
      </c>
      <c r="N33" s="15" t="n">
        <v>1</v>
      </c>
      <c r="O33" s="15" t="n">
        <v>0</v>
      </c>
      <c r="P33">
        <f>IF(M33="","",IF(M33=E33,1,0))</f>
        <v/>
      </c>
      <c r="Q33">
        <f>IF(K33="OK","-",IF(N33&lt;$B$7,"AMBIGUOUS","CONFIDENT"))</f>
        <v/>
      </c>
    </row>
    <row r="34">
      <c r="A34">
        <f>'Runs Z score'!A26</f>
        <v/>
      </c>
      <c r="B34">
        <f>'Runs Z score'!B26</f>
        <v/>
      </c>
      <c r="C34">
        <f>'Runs Z score'!C26</f>
        <v/>
      </c>
      <c r="D34">
        <f>'Runs Z score'!D26</f>
        <v/>
      </c>
      <c r="E34">
        <f>'Runs Z score'!E26</f>
        <v/>
      </c>
      <c r="F34">
        <f>'Runs Z score'!F26</f>
        <v/>
      </c>
      <c r="G34">
        <f>'Runs Z score'!G26</f>
        <v/>
      </c>
      <c r="H34">
        <f>VLOOKUP(C34,Recipes!$A$2:$N$4,10,FALSE())</f>
        <v/>
      </c>
      <c r="I34">
        <f>VLOOKUP(C34,Recipes!$A$2:$N$4,12,FALSE())</f>
        <v/>
      </c>
      <c r="J34">
        <f>IF(G34="","",H34-G34)</f>
        <v/>
      </c>
      <c r="K34">
        <f>IF(G34="","",IF(ABS(G34-H34)&lt;=$B$6*I34,"OK","NG"))</f>
        <v/>
      </c>
      <c r="L34">
        <f>IF(K34="","",IF(K34=D34,1,0))</f>
        <v/>
      </c>
      <c r="M34" t="inlineStr">
        <is>
          <t>NONE</t>
        </is>
      </c>
      <c r="N34" s="15" t="n">
        <v>1</v>
      </c>
      <c r="O34" s="15" t="n">
        <v>0</v>
      </c>
      <c r="P34">
        <f>IF(M34="","",IF(M34=E34,1,0))</f>
        <v/>
      </c>
      <c r="Q34">
        <f>IF(K34="OK","-",IF(N34&lt;$B$7,"AMBIGUOUS","CONFIDENT"))</f>
        <v/>
      </c>
    </row>
    <row r="35">
      <c r="A35">
        <f>'Runs Z score'!A27</f>
        <v/>
      </c>
      <c r="B35">
        <f>'Runs Z score'!B27</f>
        <v/>
      </c>
      <c r="C35">
        <f>'Runs Z score'!C27</f>
        <v/>
      </c>
      <c r="D35">
        <f>'Runs Z score'!D27</f>
        <v/>
      </c>
      <c r="E35">
        <f>'Runs Z score'!E27</f>
        <v/>
      </c>
      <c r="F35">
        <f>'Runs Z score'!F27</f>
        <v/>
      </c>
      <c r="G35">
        <f>'Runs Z score'!G27</f>
        <v/>
      </c>
      <c r="H35">
        <f>VLOOKUP(C35,Recipes!$A$2:$N$4,10,FALSE())</f>
        <v/>
      </c>
      <c r="I35">
        <f>VLOOKUP(C35,Recipes!$A$2:$N$4,12,FALSE())</f>
        <v/>
      </c>
      <c r="J35">
        <f>IF(G35="","",H35-G35)</f>
        <v/>
      </c>
      <c r="K35">
        <f>IF(G35="","",IF(ABS(G35-H35)&lt;=$B$6*I35,"OK","NG"))</f>
        <v/>
      </c>
      <c r="L35">
        <f>IF(K35="","",IF(K35=D35,1,0))</f>
        <v/>
      </c>
      <c r="M35" t="inlineStr">
        <is>
          <t>NONE</t>
        </is>
      </c>
      <c r="N35" s="15" t="n">
        <v>1</v>
      </c>
      <c r="O35" s="15" t="n">
        <v>0</v>
      </c>
      <c r="P35">
        <f>IF(M35="","",IF(M35=E35,1,0))</f>
        <v/>
      </c>
      <c r="Q35">
        <f>IF(K35="OK","-",IF(N35&lt;$B$7,"AMBIGUOUS","CONFIDENT"))</f>
        <v/>
      </c>
    </row>
    <row r="36">
      <c r="A36">
        <f>'Runs Z score'!A28</f>
        <v/>
      </c>
      <c r="B36">
        <f>'Runs Z score'!B28</f>
        <v/>
      </c>
      <c r="C36">
        <f>'Runs Z score'!C28</f>
        <v/>
      </c>
      <c r="D36">
        <f>'Runs Z score'!D28</f>
        <v/>
      </c>
      <c r="E36">
        <f>'Runs Z score'!E28</f>
        <v/>
      </c>
      <c r="F36">
        <f>'Runs Z score'!F28</f>
        <v/>
      </c>
      <c r="G36">
        <f>'Runs Z score'!G28</f>
        <v/>
      </c>
      <c r="H36">
        <f>VLOOKUP(C36,Recipes!$A$2:$N$4,10,FALSE())</f>
        <v/>
      </c>
      <c r="I36">
        <f>VLOOKUP(C36,Recipes!$A$2:$N$4,12,FALSE())</f>
        <v/>
      </c>
      <c r="J36">
        <f>IF(G36="","",H36-G36)</f>
        <v/>
      </c>
      <c r="K36">
        <f>IF(G36="","",IF(ABS(G36-H36)&lt;=$B$6*I36,"OK","NG"))</f>
        <v/>
      </c>
      <c r="L36">
        <f>IF(K36="","",IF(K36=D36,1,0))</f>
        <v/>
      </c>
      <c r="M36" t="inlineStr">
        <is>
          <t>NONE</t>
        </is>
      </c>
      <c r="N36" s="15" t="n">
        <v>1</v>
      </c>
      <c r="O36" s="15" t="n">
        <v>0</v>
      </c>
      <c r="P36">
        <f>IF(M36="","",IF(M36=E36,1,0))</f>
        <v/>
      </c>
      <c r="Q36">
        <f>IF(K36="OK","-",IF(N36&lt;$B$7,"AMBIGUOUS","CONFIDENT"))</f>
        <v/>
      </c>
    </row>
    <row r="37">
      <c r="A37">
        <f>'Runs Z score'!A29</f>
        <v/>
      </c>
      <c r="B37">
        <f>'Runs Z score'!B29</f>
        <v/>
      </c>
      <c r="C37">
        <f>'Runs Z score'!C29</f>
        <v/>
      </c>
      <c r="D37">
        <f>'Runs Z score'!D29</f>
        <v/>
      </c>
      <c r="E37">
        <f>'Runs Z score'!E29</f>
        <v/>
      </c>
      <c r="F37">
        <f>'Runs Z score'!F29</f>
        <v/>
      </c>
      <c r="G37">
        <f>'Runs Z score'!G29</f>
        <v/>
      </c>
      <c r="H37">
        <f>VLOOKUP(C37,Recipes!$A$2:$N$4,10,FALSE())</f>
        <v/>
      </c>
      <c r="I37">
        <f>VLOOKUP(C37,Recipes!$A$2:$N$4,12,FALSE())</f>
        <v/>
      </c>
      <c r="J37">
        <f>IF(G37="","",H37-G37)</f>
        <v/>
      </c>
      <c r="K37">
        <f>IF(G37="","",IF(ABS(G37-H37)&lt;=$B$6*I37,"OK","NG"))</f>
        <v/>
      </c>
      <c r="L37">
        <f>IF(K37="","",IF(K37=D37,1,0))</f>
        <v/>
      </c>
      <c r="M37" t="inlineStr">
        <is>
          <t>NONE</t>
        </is>
      </c>
      <c r="N37" s="15" t="n">
        <v>1</v>
      </c>
      <c r="O37" s="15" t="n">
        <v>0</v>
      </c>
      <c r="P37">
        <f>IF(M37="","",IF(M37=E37,1,0))</f>
        <v/>
      </c>
      <c r="Q37">
        <f>IF(K37="OK","-",IF(N37&lt;$B$7,"AMBIGUOUS","CONFIDENT"))</f>
        <v/>
      </c>
    </row>
    <row r="38">
      <c r="A38">
        <f>'Runs Z score'!A30</f>
        <v/>
      </c>
      <c r="B38">
        <f>'Runs Z score'!B30</f>
        <v/>
      </c>
      <c r="C38">
        <f>'Runs Z score'!C30</f>
        <v/>
      </c>
      <c r="D38">
        <f>'Runs Z score'!D30</f>
        <v/>
      </c>
      <c r="E38">
        <f>'Runs Z score'!E30</f>
        <v/>
      </c>
      <c r="F38">
        <f>'Runs Z score'!F30</f>
        <v/>
      </c>
      <c r="G38">
        <f>'Runs Z score'!G30</f>
        <v/>
      </c>
      <c r="H38">
        <f>VLOOKUP(C38,Recipes!$A$2:$N$4,10,FALSE())</f>
        <v/>
      </c>
      <c r="I38">
        <f>VLOOKUP(C38,Recipes!$A$2:$N$4,12,FALSE())</f>
        <v/>
      </c>
      <c r="J38">
        <f>IF(G38="","",H38-G38)</f>
        <v/>
      </c>
      <c r="K38">
        <f>IF(G38="","",IF(ABS(G38-H38)&lt;=$B$6*I38,"OK","NG"))</f>
        <v/>
      </c>
      <c r="L38">
        <f>IF(K38="","",IF(K38=D38,1,0))</f>
        <v/>
      </c>
      <c r="M38" t="inlineStr">
        <is>
          <t>NONE</t>
        </is>
      </c>
      <c r="N38" s="15" t="n">
        <v>1</v>
      </c>
      <c r="O38" s="15" t="n">
        <v>0</v>
      </c>
      <c r="P38">
        <f>IF(M38="","",IF(M38=E38,1,0))</f>
        <v/>
      </c>
      <c r="Q38">
        <f>IF(K38="OK","-",IF(N38&lt;$B$7,"AMBIGUOUS","CONFIDENT"))</f>
        <v/>
      </c>
    </row>
    <row r="39">
      <c r="A39">
        <f>'Runs Z score'!A31</f>
        <v/>
      </c>
      <c r="B39">
        <f>'Runs Z score'!B31</f>
        <v/>
      </c>
      <c r="C39">
        <f>'Runs Z score'!C31</f>
        <v/>
      </c>
      <c r="D39">
        <f>'Runs Z score'!D31</f>
        <v/>
      </c>
      <c r="E39">
        <f>'Runs Z score'!E31</f>
        <v/>
      </c>
      <c r="F39">
        <f>'Runs Z score'!F31</f>
        <v/>
      </c>
      <c r="G39">
        <f>'Runs Z score'!G31</f>
        <v/>
      </c>
      <c r="H39">
        <f>VLOOKUP(C39,Recipes!$A$2:$N$4,10,FALSE())</f>
        <v/>
      </c>
      <c r="I39">
        <f>VLOOKUP(C39,Recipes!$A$2:$N$4,12,FALSE())</f>
        <v/>
      </c>
      <c r="J39">
        <f>IF(G39="","",H39-G39)</f>
        <v/>
      </c>
      <c r="K39">
        <f>IF(G39="","",IF(ABS(G39-H39)&lt;=$B$6*I39,"OK","NG"))</f>
        <v/>
      </c>
      <c r="L39">
        <f>IF(K39="","",IF(K39=D39,1,0))</f>
        <v/>
      </c>
      <c r="M39" t="inlineStr">
        <is>
          <t>NONE</t>
        </is>
      </c>
      <c r="N39" s="15" t="n">
        <v>1</v>
      </c>
      <c r="O39" s="15" t="n">
        <v>0</v>
      </c>
      <c r="P39">
        <f>IF(M39="","",IF(M39=E39,1,0))</f>
        <v/>
      </c>
      <c r="Q39">
        <f>IF(K39="OK","-",IF(N39&lt;$B$7,"AMBIGUOUS","CONFIDENT"))</f>
        <v/>
      </c>
    </row>
    <row r="40">
      <c r="A40">
        <f>'Runs Z score'!A32</f>
        <v/>
      </c>
      <c r="B40">
        <f>'Runs Z score'!B32</f>
        <v/>
      </c>
      <c r="C40">
        <f>'Runs Z score'!C32</f>
        <v/>
      </c>
      <c r="D40">
        <f>'Runs Z score'!D32</f>
        <v/>
      </c>
      <c r="E40">
        <f>'Runs Z score'!E32</f>
        <v/>
      </c>
      <c r="F40">
        <f>'Runs Z score'!F32</f>
        <v/>
      </c>
      <c r="G40">
        <f>'Runs Z score'!G32</f>
        <v/>
      </c>
      <c r="H40">
        <f>VLOOKUP(C40,Recipes!$A$2:$N$4,10,FALSE())</f>
        <v/>
      </c>
      <c r="I40">
        <f>VLOOKUP(C40,Recipes!$A$2:$N$4,12,FALSE())</f>
        <v/>
      </c>
      <c r="J40">
        <f>IF(G40="","",H40-G40)</f>
        <v/>
      </c>
      <c r="K40">
        <f>IF(G40="","",IF(ABS(G40-H40)&lt;=$B$6*I40,"OK","NG"))</f>
        <v/>
      </c>
      <c r="L40">
        <f>IF(K40="","",IF(K40=D40,1,0))</f>
        <v/>
      </c>
      <c r="M40" t="inlineStr">
        <is>
          <t>NONE</t>
        </is>
      </c>
      <c r="N40" s="15" t="n">
        <v>1</v>
      </c>
      <c r="O40" s="15" t="n">
        <v>0</v>
      </c>
      <c r="P40">
        <f>IF(M40="","",IF(M40=E40,1,0))</f>
        <v/>
      </c>
      <c r="Q40">
        <f>IF(K40="OK","-",IF(N40&lt;$B$7,"AMBIGUOUS","CONFIDENT"))</f>
        <v/>
      </c>
    </row>
    <row r="41">
      <c r="A41">
        <f>'Runs Z score'!A33</f>
        <v/>
      </c>
      <c r="B41">
        <f>'Runs Z score'!B33</f>
        <v/>
      </c>
      <c r="C41">
        <f>'Runs Z score'!C33</f>
        <v/>
      </c>
      <c r="D41">
        <f>'Runs Z score'!D33</f>
        <v/>
      </c>
      <c r="E41">
        <f>'Runs Z score'!E33</f>
        <v/>
      </c>
      <c r="F41">
        <f>'Runs Z score'!F33</f>
        <v/>
      </c>
      <c r="G41">
        <f>'Runs Z score'!G33</f>
        <v/>
      </c>
      <c r="H41">
        <f>VLOOKUP(C41,Recipes!$A$2:$N$4,10,FALSE())</f>
        <v/>
      </c>
      <c r="I41">
        <f>VLOOKUP(C41,Recipes!$A$2:$N$4,12,FALSE())</f>
        <v/>
      </c>
      <c r="J41">
        <f>IF(G41="","",H41-G41)</f>
        <v/>
      </c>
      <c r="K41">
        <f>IF(G41="","",IF(ABS(G41-H41)&lt;=$B$6*I41,"OK","NG"))</f>
        <v/>
      </c>
      <c r="L41">
        <f>IF(K41="","",IF(K41=D41,1,0))</f>
        <v/>
      </c>
      <c r="M41" t="inlineStr">
        <is>
          <t>S2</t>
        </is>
      </c>
      <c r="N41" s="15" t="n">
        <v>1</v>
      </c>
      <c r="O41" s="15" t="n">
        <v>0</v>
      </c>
      <c r="P41">
        <f>IF(M41="","",IF(M41=E41,1,0))</f>
        <v/>
      </c>
      <c r="Q41">
        <f>IF(K41="OK","-",IF(N41&lt;$B$7,"AMBIGUOUS","CONFIDENT"))</f>
        <v/>
      </c>
    </row>
    <row r="42">
      <c r="A42">
        <f>'Runs Z score'!A34</f>
        <v/>
      </c>
      <c r="B42">
        <f>'Runs Z score'!B34</f>
        <v/>
      </c>
      <c r="C42">
        <f>'Runs Z score'!C34</f>
        <v/>
      </c>
      <c r="D42">
        <f>'Runs Z score'!D34</f>
        <v/>
      </c>
      <c r="E42">
        <f>'Runs Z score'!E34</f>
        <v/>
      </c>
      <c r="F42">
        <f>'Runs Z score'!F34</f>
        <v/>
      </c>
      <c r="G42">
        <f>'Runs Z score'!G34</f>
        <v/>
      </c>
      <c r="H42">
        <f>VLOOKUP(C42,Recipes!$A$2:$N$4,10,FALSE())</f>
        <v/>
      </c>
      <c r="I42">
        <f>VLOOKUP(C42,Recipes!$A$2:$N$4,12,FALSE())</f>
        <v/>
      </c>
      <c r="J42">
        <f>IF(G42="","",H42-G42)</f>
        <v/>
      </c>
      <c r="K42">
        <f>IF(G42="","",IF(ABS(G42-H42)&lt;=$B$6*I42,"OK","NG"))</f>
        <v/>
      </c>
      <c r="L42">
        <f>IF(K42="","",IF(K42=D42,1,0))</f>
        <v/>
      </c>
      <c r="M42" t="inlineStr">
        <is>
          <t>S2</t>
        </is>
      </c>
      <c r="N42" s="15" t="n">
        <v>1</v>
      </c>
      <c r="O42" s="15" t="n">
        <v>0</v>
      </c>
      <c r="P42">
        <f>IF(M42="","",IF(M42=E42,1,0))</f>
        <v/>
      </c>
      <c r="Q42">
        <f>IF(K42="OK","-",IF(N42&lt;$B$7,"AMBIGUOUS","CONFIDENT"))</f>
        <v/>
      </c>
    </row>
    <row r="43">
      <c r="A43">
        <f>'Runs Z score'!A35</f>
        <v/>
      </c>
      <c r="B43">
        <f>'Runs Z score'!B35</f>
        <v/>
      </c>
      <c r="C43">
        <f>'Runs Z score'!C35</f>
        <v/>
      </c>
      <c r="D43">
        <f>'Runs Z score'!D35</f>
        <v/>
      </c>
      <c r="E43">
        <f>'Runs Z score'!E35</f>
        <v/>
      </c>
      <c r="F43">
        <f>'Runs Z score'!F35</f>
        <v/>
      </c>
      <c r="G43">
        <f>'Runs Z score'!G35</f>
        <v/>
      </c>
      <c r="H43">
        <f>VLOOKUP(C43,Recipes!$A$2:$N$4,10,FALSE())</f>
        <v/>
      </c>
      <c r="I43">
        <f>VLOOKUP(C43,Recipes!$A$2:$N$4,12,FALSE())</f>
        <v/>
      </c>
      <c r="J43">
        <f>IF(G43="","",H43-G43)</f>
        <v/>
      </c>
      <c r="K43">
        <f>IF(G43="","",IF(ABS(G43-H43)&lt;=$B$6*I43,"OK","NG"))</f>
        <v/>
      </c>
      <c r="L43">
        <f>IF(K43="","",IF(K43=D43,1,0))</f>
        <v/>
      </c>
      <c r="M43" t="inlineStr">
        <is>
          <t>S2</t>
        </is>
      </c>
      <c r="N43" s="15" t="n">
        <v>1</v>
      </c>
      <c r="O43" s="15" t="n">
        <v>0</v>
      </c>
      <c r="P43">
        <f>IF(M43="","",IF(M43=E43,1,0))</f>
        <v/>
      </c>
      <c r="Q43">
        <f>IF(K43="OK","-",IF(N43&lt;$B$7,"AMBIGUOUS","CONFIDENT"))</f>
        <v/>
      </c>
    </row>
    <row r="44">
      <c r="A44">
        <f>'Runs Z score'!A36</f>
        <v/>
      </c>
      <c r="B44">
        <f>'Runs Z score'!B36</f>
        <v/>
      </c>
      <c r="C44">
        <f>'Runs Z score'!C36</f>
        <v/>
      </c>
      <c r="D44">
        <f>'Runs Z score'!D36</f>
        <v/>
      </c>
      <c r="E44">
        <f>'Runs Z score'!E36</f>
        <v/>
      </c>
      <c r="F44">
        <f>'Runs Z score'!F36</f>
        <v/>
      </c>
      <c r="G44">
        <f>'Runs Z score'!G36</f>
        <v/>
      </c>
      <c r="H44">
        <f>VLOOKUP(C44,Recipes!$A$2:$N$4,10,FALSE())</f>
        <v/>
      </c>
      <c r="I44">
        <f>VLOOKUP(C44,Recipes!$A$2:$N$4,12,FALSE())</f>
        <v/>
      </c>
      <c r="J44">
        <f>IF(G44="","",H44-G44)</f>
        <v/>
      </c>
      <c r="K44">
        <f>IF(G44="","",IF(ABS(G44-H44)&lt;=$B$6*I44,"OK","NG"))</f>
        <v/>
      </c>
      <c r="L44">
        <f>IF(K44="","",IF(K44=D44,1,0))</f>
        <v/>
      </c>
      <c r="M44" t="inlineStr">
        <is>
          <t>S2</t>
        </is>
      </c>
      <c r="N44" s="15" t="n">
        <v>1</v>
      </c>
      <c r="O44" s="15" t="n">
        <v>0</v>
      </c>
      <c r="P44">
        <f>IF(M44="","",IF(M44=E44,1,0))</f>
        <v/>
      </c>
      <c r="Q44">
        <f>IF(K44="OK","-",IF(N44&lt;$B$7,"AMBIGUOUS","CONFIDENT"))</f>
        <v/>
      </c>
    </row>
    <row r="45">
      <c r="A45">
        <f>'Runs Z score'!A37</f>
        <v/>
      </c>
      <c r="B45">
        <f>'Runs Z score'!B37</f>
        <v/>
      </c>
      <c r="C45">
        <f>'Runs Z score'!C37</f>
        <v/>
      </c>
      <c r="D45">
        <f>'Runs Z score'!D37</f>
        <v/>
      </c>
      <c r="E45">
        <f>'Runs Z score'!E37</f>
        <v/>
      </c>
      <c r="F45">
        <f>'Runs Z score'!F37</f>
        <v/>
      </c>
      <c r="G45">
        <f>'Runs Z score'!G37</f>
        <v/>
      </c>
      <c r="H45">
        <f>VLOOKUP(C45,Recipes!$A$2:$N$4,10,FALSE())</f>
        <v/>
      </c>
      <c r="I45">
        <f>VLOOKUP(C45,Recipes!$A$2:$N$4,12,FALSE())</f>
        <v/>
      </c>
      <c r="J45">
        <f>IF(G45="","",H45-G45)</f>
        <v/>
      </c>
      <c r="K45">
        <f>IF(G45="","",IF(ABS(G45-H45)&lt;=$B$6*I45,"OK","NG"))</f>
        <v/>
      </c>
      <c r="L45">
        <f>IF(K45="","",IF(K45=D45,1,0))</f>
        <v/>
      </c>
      <c r="M45" t="inlineStr">
        <is>
          <t>S2</t>
        </is>
      </c>
      <c r="N45" s="15" t="n">
        <v>1</v>
      </c>
      <c r="O45" s="15" t="n">
        <v>0</v>
      </c>
      <c r="P45">
        <f>IF(M45="","",IF(M45=E45,1,0))</f>
        <v/>
      </c>
      <c r="Q45">
        <f>IF(K45="OK","-",IF(N45&lt;$B$7,"AMBIGUOUS","CONFIDENT"))</f>
        <v/>
      </c>
    </row>
    <row r="46">
      <c r="A46">
        <f>'Runs Z score'!A38</f>
        <v/>
      </c>
      <c r="B46">
        <f>'Runs Z score'!B38</f>
        <v/>
      </c>
      <c r="C46">
        <f>'Runs Z score'!C38</f>
        <v/>
      </c>
      <c r="D46">
        <f>'Runs Z score'!D38</f>
        <v/>
      </c>
      <c r="E46">
        <f>'Runs Z score'!E38</f>
        <v/>
      </c>
      <c r="F46">
        <f>'Runs Z score'!F38</f>
        <v/>
      </c>
      <c r="G46">
        <f>'Runs Z score'!G38</f>
        <v/>
      </c>
      <c r="H46">
        <f>VLOOKUP(C46,Recipes!$A$2:$N$4,10,FALSE())</f>
        <v/>
      </c>
      <c r="I46">
        <f>VLOOKUP(C46,Recipes!$A$2:$N$4,12,FALSE())</f>
        <v/>
      </c>
      <c r="J46">
        <f>IF(G46="","",H46-G46)</f>
        <v/>
      </c>
      <c r="K46">
        <f>IF(G46="","",IF(ABS(G46-H46)&lt;=$B$6*I46,"OK","NG"))</f>
        <v/>
      </c>
      <c r="L46">
        <f>IF(K46="","",IF(K46=D46,1,0))</f>
        <v/>
      </c>
      <c r="M46" t="inlineStr">
        <is>
          <t>S2</t>
        </is>
      </c>
      <c r="N46" s="15" t="n">
        <v>1</v>
      </c>
      <c r="O46" s="15" t="n">
        <v>0</v>
      </c>
      <c r="P46">
        <f>IF(M46="","",IF(M46=E46,1,0))</f>
        <v/>
      </c>
      <c r="Q46">
        <f>IF(K46="OK","-",IF(N46&lt;$B$7,"AMBIGUOUS","CONFIDENT"))</f>
        <v/>
      </c>
    </row>
    <row r="47">
      <c r="A47">
        <f>'Runs Z score'!A39</f>
        <v/>
      </c>
      <c r="B47">
        <f>'Runs Z score'!B39</f>
        <v/>
      </c>
      <c r="C47">
        <f>'Runs Z score'!C39</f>
        <v/>
      </c>
      <c r="D47">
        <f>'Runs Z score'!D39</f>
        <v/>
      </c>
      <c r="E47">
        <f>'Runs Z score'!E39</f>
        <v/>
      </c>
      <c r="F47">
        <f>'Runs Z score'!F39</f>
        <v/>
      </c>
      <c r="G47">
        <f>'Runs Z score'!G39</f>
        <v/>
      </c>
      <c r="H47">
        <f>VLOOKUP(C47,Recipes!$A$2:$N$4,10,FALSE())</f>
        <v/>
      </c>
      <c r="I47">
        <f>VLOOKUP(C47,Recipes!$A$2:$N$4,12,FALSE())</f>
        <v/>
      </c>
      <c r="J47">
        <f>IF(G47="","",H47-G47)</f>
        <v/>
      </c>
      <c r="K47">
        <f>IF(G47="","",IF(ABS(G47-H47)&lt;=$B$6*I47,"OK","NG"))</f>
        <v/>
      </c>
      <c r="L47">
        <f>IF(K47="","",IF(K47=D47,1,0))</f>
        <v/>
      </c>
      <c r="M47" t="inlineStr">
        <is>
          <t>S2</t>
        </is>
      </c>
      <c r="N47" s="15" t="n">
        <v>1</v>
      </c>
      <c r="O47" s="15" t="n">
        <v>0</v>
      </c>
      <c r="P47">
        <f>IF(M47="","",IF(M47=E47,1,0))</f>
        <v/>
      </c>
      <c r="Q47">
        <f>IF(K47="OK","-",IF(N47&lt;$B$7,"AMBIGUOUS","CONFIDENT"))</f>
        <v/>
      </c>
    </row>
    <row r="48">
      <c r="A48">
        <f>'Runs Z score'!A40</f>
        <v/>
      </c>
      <c r="B48">
        <f>'Runs Z score'!B40</f>
        <v/>
      </c>
      <c r="C48">
        <f>'Runs Z score'!C40</f>
        <v/>
      </c>
      <c r="D48">
        <f>'Runs Z score'!D40</f>
        <v/>
      </c>
      <c r="E48">
        <f>'Runs Z score'!E40</f>
        <v/>
      </c>
      <c r="F48">
        <f>'Runs Z score'!F40</f>
        <v/>
      </c>
      <c r="G48">
        <f>'Runs Z score'!G40</f>
        <v/>
      </c>
      <c r="H48">
        <f>VLOOKUP(C48,Recipes!$A$2:$N$4,10,FALSE())</f>
        <v/>
      </c>
      <c r="I48">
        <f>VLOOKUP(C48,Recipes!$A$2:$N$4,12,FALSE())</f>
        <v/>
      </c>
      <c r="J48">
        <f>IF(G48="","",H48-G48)</f>
        <v/>
      </c>
      <c r="K48">
        <f>IF(G48="","",IF(ABS(G48-H48)&lt;=$B$6*I48,"OK","NG"))</f>
        <v/>
      </c>
      <c r="L48">
        <f>IF(K48="","",IF(K48=D48,1,0))</f>
        <v/>
      </c>
      <c r="M48" t="inlineStr">
        <is>
          <t>S2</t>
        </is>
      </c>
      <c r="N48" s="15" t="n">
        <v>1</v>
      </c>
      <c r="O48" s="15" t="n">
        <v>0</v>
      </c>
      <c r="P48">
        <f>IF(M48="","",IF(M48=E48,1,0))</f>
        <v/>
      </c>
      <c r="Q48">
        <f>IF(K48="OK","-",IF(N48&lt;$B$7,"AMBIGUOUS","CONFIDENT"))</f>
        <v/>
      </c>
    </row>
    <row r="49">
      <c r="A49">
        <f>'Runs Z score'!A41</f>
        <v/>
      </c>
      <c r="B49">
        <f>'Runs Z score'!B41</f>
        <v/>
      </c>
      <c r="C49">
        <f>'Runs Z score'!C41</f>
        <v/>
      </c>
      <c r="D49">
        <f>'Runs Z score'!D41</f>
        <v/>
      </c>
      <c r="E49">
        <f>'Runs Z score'!E41</f>
        <v/>
      </c>
      <c r="F49">
        <f>'Runs Z score'!F41</f>
        <v/>
      </c>
      <c r="G49">
        <f>'Runs Z score'!G41</f>
        <v/>
      </c>
      <c r="H49">
        <f>VLOOKUP(C49,Recipes!$A$2:$N$4,10,FALSE())</f>
        <v/>
      </c>
      <c r="I49">
        <f>VLOOKUP(C49,Recipes!$A$2:$N$4,12,FALSE())</f>
        <v/>
      </c>
      <c r="J49">
        <f>IF(G49="","",H49-G49)</f>
        <v/>
      </c>
      <c r="K49">
        <f>IF(G49="","",IF(ABS(G49-H49)&lt;=$B$6*I49,"OK","NG"))</f>
        <v/>
      </c>
      <c r="L49">
        <f>IF(K49="","",IF(K49=D49,1,0))</f>
        <v/>
      </c>
      <c r="M49" t="inlineStr">
        <is>
          <t>S2</t>
        </is>
      </c>
      <c r="N49" s="15" t="n">
        <v>1</v>
      </c>
      <c r="O49" s="15" t="n">
        <v>0</v>
      </c>
      <c r="P49">
        <f>IF(M49="","",IF(M49=E49,1,0))</f>
        <v/>
      </c>
      <c r="Q49">
        <f>IF(K49="OK","-",IF(N49&lt;$B$7,"AMBIGUOUS","CONFIDENT"))</f>
        <v/>
      </c>
    </row>
    <row r="50">
      <c r="A50">
        <f>'Runs Z score'!A42</f>
        <v/>
      </c>
      <c r="B50">
        <f>'Runs Z score'!B42</f>
        <v/>
      </c>
      <c r="C50">
        <f>'Runs Z score'!C42</f>
        <v/>
      </c>
      <c r="D50">
        <f>'Runs Z score'!D42</f>
        <v/>
      </c>
      <c r="E50">
        <f>'Runs Z score'!E42</f>
        <v/>
      </c>
      <c r="F50">
        <f>'Runs Z score'!F42</f>
        <v/>
      </c>
      <c r="G50">
        <f>'Runs Z score'!G42</f>
        <v/>
      </c>
      <c r="H50">
        <f>VLOOKUP(C50,Recipes!$A$2:$N$4,10,FALSE())</f>
        <v/>
      </c>
      <c r="I50">
        <f>VLOOKUP(C50,Recipes!$A$2:$N$4,12,FALSE())</f>
        <v/>
      </c>
      <c r="J50">
        <f>IF(G50="","",H50-G50)</f>
        <v/>
      </c>
      <c r="K50">
        <f>IF(G50="","",IF(ABS(G50-H50)&lt;=$B$6*I50,"OK","NG"))</f>
        <v/>
      </c>
      <c r="L50">
        <f>IF(K50="","",IF(K50=D50,1,0))</f>
        <v/>
      </c>
      <c r="M50" t="inlineStr">
        <is>
          <t>S2</t>
        </is>
      </c>
      <c r="N50" s="15" t="n">
        <v>1</v>
      </c>
      <c r="O50" s="15" t="n">
        <v>0</v>
      </c>
      <c r="P50">
        <f>IF(M50="","",IF(M50=E50,1,0))</f>
        <v/>
      </c>
      <c r="Q50">
        <f>IF(K50="OK","-",IF(N50&lt;$B$7,"AMBIGUOUS","CONFIDENT"))</f>
        <v/>
      </c>
    </row>
    <row r="51">
      <c r="A51">
        <f>'Runs Z score'!A43</f>
        <v/>
      </c>
      <c r="B51">
        <f>'Runs Z score'!B43</f>
        <v/>
      </c>
      <c r="C51">
        <f>'Runs Z score'!C43</f>
        <v/>
      </c>
      <c r="D51">
        <f>'Runs Z score'!D43</f>
        <v/>
      </c>
      <c r="E51">
        <f>'Runs Z score'!E43</f>
        <v/>
      </c>
      <c r="F51">
        <f>'Runs Z score'!F43</f>
        <v/>
      </c>
      <c r="G51">
        <f>'Runs Z score'!G43</f>
        <v/>
      </c>
      <c r="H51">
        <f>VLOOKUP(C51,Recipes!$A$2:$N$4,10,FALSE())</f>
        <v/>
      </c>
      <c r="I51">
        <f>VLOOKUP(C51,Recipes!$A$2:$N$4,12,FALSE())</f>
        <v/>
      </c>
      <c r="J51">
        <f>IF(G51="","",H51-G51)</f>
        <v/>
      </c>
      <c r="K51">
        <f>IF(G51="","",IF(ABS(G51-H51)&lt;=$B$6*I51,"OK","NG"))</f>
        <v/>
      </c>
      <c r="L51">
        <f>IF(K51="","",IF(K51=D51,1,0))</f>
        <v/>
      </c>
      <c r="M51" t="inlineStr">
        <is>
          <t>S2</t>
        </is>
      </c>
      <c r="N51" s="15" t="n">
        <v>1</v>
      </c>
      <c r="O51" s="15" t="n">
        <v>0</v>
      </c>
      <c r="P51">
        <f>IF(M51="","",IF(M51=E51,1,0))</f>
        <v/>
      </c>
      <c r="Q51">
        <f>IF(K51="OK","-",IF(N51&lt;$B$7,"AMBIGUOUS","CONFIDENT"))</f>
        <v/>
      </c>
    </row>
    <row r="52">
      <c r="A52">
        <f>'Runs Z score'!A44</f>
        <v/>
      </c>
      <c r="B52">
        <f>'Runs Z score'!B44</f>
        <v/>
      </c>
      <c r="C52">
        <f>'Runs Z score'!C44</f>
        <v/>
      </c>
      <c r="D52">
        <f>'Runs Z score'!D44</f>
        <v/>
      </c>
      <c r="E52">
        <f>'Runs Z score'!E44</f>
        <v/>
      </c>
      <c r="F52">
        <f>'Runs Z score'!F44</f>
        <v/>
      </c>
      <c r="G52">
        <f>'Runs Z score'!G44</f>
        <v/>
      </c>
      <c r="H52">
        <f>VLOOKUP(C52,Recipes!$A$2:$N$4,10,FALSE())</f>
        <v/>
      </c>
      <c r="I52">
        <f>VLOOKUP(C52,Recipes!$A$2:$N$4,12,FALSE())</f>
        <v/>
      </c>
      <c r="J52">
        <f>IF(G52="","",H52-G52)</f>
        <v/>
      </c>
      <c r="K52">
        <f>IF(G52="","",IF(ABS(G52-H52)&lt;=$B$6*I52,"OK","NG"))</f>
        <v/>
      </c>
      <c r="L52">
        <f>IF(K52="","",IF(K52=D52,1,0))</f>
        <v/>
      </c>
      <c r="M52" t="inlineStr">
        <is>
          <t>S2</t>
        </is>
      </c>
      <c r="N52" s="15" t="n">
        <v>1</v>
      </c>
      <c r="O52" s="15" t="n">
        <v>0</v>
      </c>
      <c r="P52">
        <f>IF(M52="","",IF(M52=E52,1,0))</f>
        <v/>
      </c>
      <c r="Q52">
        <f>IF(K52="OK","-",IF(N52&lt;$B$7,"AMBIGUOUS","CONFIDENT"))</f>
        <v/>
      </c>
    </row>
    <row r="53">
      <c r="A53">
        <f>'Runs Z score'!A45</f>
        <v/>
      </c>
      <c r="B53">
        <f>'Runs Z score'!B45</f>
        <v/>
      </c>
      <c r="C53">
        <f>'Runs Z score'!C45</f>
        <v/>
      </c>
      <c r="D53">
        <f>'Runs Z score'!D45</f>
        <v/>
      </c>
      <c r="E53">
        <f>'Runs Z score'!E45</f>
        <v/>
      </c>
      <c r="F53">
        <f>'Runs Z score'!F45</f>
        <v/>
      </c>
      <c r="G53">
        <f>'Runs Z score'!G45</f>
        <v/>
      </c>
      <c r="H53">
        <f>VLOOKUP(C53,Recipes!$A$2:$N$4,10,FALSE())</f>
        <v/>
      </c>
      <c r="I53">
        <f>VLOOKUP(C53,Recipes!$A$2:$N$4,12,FALSE())</f>
        <v/>
      </c>
      <c r="J53">
        <f>IF(G53="","",H53-G53)</f>
        <v/>
      </c>
      <c r="K53">
        <f>IF(G53="","",IF(ABS(G53-H53)&lt;=$B$6*I53,"OK","NG"))</f>
        <v/>
      </c>
      <c r="L53">
        <f>IF(K53="","",IF(K53=D53,1,0))</f>
        <v/>
      </c>
      <c r="M53" t="inlineStr">
        <is>
          <t>S2</t>
        </is>
      </c>
      <c r="N53" s="15" t="n">
        <v>1</v>
      </c>
      <c r="O53" s="15" t="n">
        <v>0</v>
      </c>
      <c r="P53">
        <f>IF(M53="","",IF(M53=E53,1,0))</f>
        <v/>
      </c>
      <c r="Q53">
        <f>IF(K53="OK","-",IF(N53&lt;$B$7,"AMBIGUOUS","CONFIDENT"))</f>
        <v/>
      </c>
    </row>
    <row r="54">
      <c r="A54">
        <f>'Runs Z score'!A46</f>
        <v/>
      </c>
      <c r="B54">
        <f>'Runs Z score'!B46</f>
        <v/>
      </c>
      <c r="C54">
        <f>'Runs Z score'!C46</f>
        <v/>
      </c>
      <c r="D54">
        <f>'Runs Z score'!D46</f>
        <v/>
      </c>
      <c r="E54">
        <f>'Runs Z score'!E46</f>
        <v/>
      </c>
      <c r="F54">
        <f>'Runs Z score'!F46</f>
        <v/>
      </c>
      <c r="G54">
        <f>'Runs Z score'!G46</f>
        <v/>
      </c>
      <c r="H54">
        <f>VLOOKUP(C54,Recipes!$A$2:$N$4,10,FALSE())</f>
        <v/>
      </c>
      <c r="I54">
        <f>VLOOKUP(C54,Recipes!$A$2:$N$4,12,FALSE())</f>
        <v/>
      </c>
      <c r="J54">
        <f>IF(G54="","",H54-G54)</f>
        <v/>
      </c>
      <c r="K54">
        <f>IF(G54="","",IF(ABS(G54-H54)&lt;=$B$6*I54,"OK","NG"))</f>
        <v/>
      </c>
      <c r="L54">
        <f>IF(K54="","",IF(K54=D54,1,0))</f>
        <v/>
      </c>
      <c r="M54" t="inlineStr">
        <is>
          <t>S2</t>
        </is>
      </c>
      <c r="N54" s="15" t="n">
        <v>1</v>
      </c>
      <c r="O54" s="15" t="n">
        <v>0</v>
      </c>
      <c r="P54">
        <f>IF(M54="","",IF(M54=E54,1,0))</f>
        <v/>
      </c>
      <c r="Q54">
        <f>IF(K54="OK","-",IF(N54&lt;$B$7,"AMBIGUOUS","CONFIDENT"))</f>
        <v/>
      </c>
    </row>
    <row r="55">
      <c r="A55">
        <f>'Runs Z score'!A47</f>
        <v/>
      </c>
      <c r="B55">
        <f>'Runs Z score'!B47</f>
        <v/>
      </c>
      <c r="C55">
        <f>'Runs Z score'!C47</f>
        <v/>
      </c>
      <c r="D55">
        <f>'Runs Z score'!D47</f>
        <v/>
      </c>
      <c r="E55">
        <f>'Runs Z score'!E47</f>
        <v/>
      </c>
      <c r="F55">
        <f>'Runs Z score'!F47</f>
        <v/>
      </c>
      <c r="G55">
        <f>'Runs Z score'!G47</f>
        <v/>
      </c>
      <c r="H55">
        <f>VLOOKUP(C55,Recipes!$A$2:$N$4,10,FALSE())</f>
        <v/>
      </c>
      <c r="I55">
        <f>VLOOKUP(C55,Recipes!$A$2:$N$4,12,FALSE())</f>
        <v/>
      </c>
      <c r="J55">
        <f>IF(G55="","",H55-G55)</f>
        <v/>
      </c>
      <c r="K55">
        <f>IF(G55="","",IF(ABS(G55-H55)&lt;=$B$6*I55,"OK","NG"))</f>
        <v/>
      </c>
      <c r="L55">
        <f>IF(K55="","",IF(K55=D55,1,0))</f>
        <v/>
      </c>
      <c r="M55" t="inlineStr">
        <is>
          <t>S2</t>
        </is>
      </c>
      <c r="N55" s="15" t="n">
        <v>1</v>
      </c>
      <c r="O55" s="15" t="n">
        <v>0</v>
      </c>
      <c r="P55">
        <f>IF(M55="","",IF(M55=E55,1,0))</f>
        <v/>
      </c>
      <c r="Q55">
        <f>IF(K55="OK","-",IF(N55&lt;$B$7,"AMBIGUOUS","CONFIDENT"))</f>
        <v/>
      </c>
    </row>
    <row r="56">
      <c r="A56">
        <f>'Runs Z score'!A48</f>
        <v/>
      </c>
      <c r="B56">
        <f>'Runs Z score'!B48</f>
        <v/>
      </c>
      <c r="C56">
        <f>'Runs Z score'!C48</f>
        <v/>
      </c>
      <c r="D56">
        <f>'Runs Z score'!D48</f>
        <v/>
      </c>
      <c r="E56">
        <f>'Runs Z score'!E48</f>
        <v/>
      </c>
      <c r="F56">
        <f>'Runs Z score'!F48</f>
        <v/>
      </c>
      <c r="G56">
        <f>'Runs Z score'!G48</f>
        <v/>
      </c>
      <c r="H56">
        <f>VLOOKUP(C56,Recipes!$A$2:$N$4,10,FALSE())</f>
        <v/>
      </c>
      <c r="I56">
        <f>VLOOKUP(C56,Recipes!$A$2:$N$4,12,FALSE())</f>
        <v/>
      </c>
      <c r="J56">
        <f>IF(G56="","",H56-G56)</f>
        <v/>
      </c>
      <c r="K56">
        <f>IF(G56="","",IF(ABS(G56-H56)&lt;=$B$6*I56,"OK","NG"))</f>
        <v/>
      </c>
      <c r="L56">
        <f>IF(K56="","",IF(K56=D56,1,0))</f>
        <v/>
      </c>
      <c r="M56" t="inlineStr">
        <is>
          <t>S2</t>
        </is>
      </c>
      <c r="N56" s="15" t="n">
        <v>1</v>
      </c>
      <c r="O56" s="15" t="n">
        <v>0</v>
      </c>
      <c r="P56">
        <f>IF(M56="","",IF(M56=E56,1,0))</f>
        <v/>
      </c>
      <c r="Q56">
        <f>IF(K56="OK","-",IF(N56&lt;$B$7,"AMBIGUOUS","CONFIDENT"))</f>
        <v/>
      </c>
    </row>
    <row r="57">
      <c r="A57">
        <f>'Runs Z score'!A49</f>
        <v/>
      </c>
      <c r="B57">
        <f>'Runs Z score'!B49</f>
        <v/>
      </c>
      <c r="C57">
        <f>'Runs Z score'!C49</f>
        <v/>
      </c>
      <c r="D57">
        <f>'Runs Z score'!D49</f>
        <v/>
      </c>
      <c r="E57">
        <f>'Runs Z score'!E49</f>
        <v/>
      </c>
      <c r="F57">
        <f>'Runs Z score'!F49</f>
        <v/>
      </c>
      <c r="G57">
        <f>'Runs Z score'!G49</f>
        <v/>
      </c>
      <c r="H57">
        <f>VLOOKUP(C57,Recipes!$A$2:$N$4,10,FALSE())</f>
        <v/>
      </c>
      <c r="I57">
        <f>VLOOKUP(C57,Recipes!$A$2:$N$4,12,FALSE())</f>
        <v/>
      </c>
      <c r="J57">
        <f>IF(G57="","",H57-G57)</f>
        <v/>
      </c>
      <c r="K57">
        <f>IF(G57="","",IF(ABS(G57-H57)&lt;=$B$6*I57,"OK","NG"))</f>
        <v/>
      </c>
      <c r="L57">
        <f>IF(K57="","",IF(K57=D57,1,0))</f>
        <v/>
      </c>
      <c r="M57" t="inlineStr">
        <is>
          <t>S2</t>
        </is>
      </c>
      <c r="N57" s="15" t="n">
        <v>1</v>
      </c>
      <c r="O57" s="15" t="n">
        <v>0</v>
      </c>
      <c r="P57">
        <f>IF(M57="","",IF(M57=E57,1,0))</f>
        <v/>
      </c>
      <c r="Q57">
        <f>IF(K57="OK","-",IF(N57&lt;$B$7,"AMBIGUOUS","CONFIDENT"))</f>
        <v/>
      </c>
    </row>
    <row r="58">
      <c r="A58">
        <f>'Runs Z score'!A50</f>
        <v/>
      </c>
      <c r="B58">
        <f>'Runs Z score'!B50</f>
        <v/>
      </c>
      <c r="C58">
        <f>'Runs Z score'!C50</f>
        <v/>
      </c>
      <c r="D58">
        <f>'Runs Z score'!D50</f>
        <v/>
      </c>
      <c r="E58">
        <f>'Runs Z score'!E50</f>
        <v/>
      </c>
      <c r="F58">
        <f>'Runs Z score'!F50</f>
        <v/>
      </c>
      <c r="G58">
        <f>'Runs Z score'!G50</f>
        <v/>
      </c>
      <c r="H58">
        <f>VLOOKUP(C58,Recipes!$A$2:$N$4,10,FALSE())</f>
        <v/>
      </c>
      <c r="I58">
        <f>VLOOKUP(C58,Recipes!$A$2:$N$4,12,FALSE())</f>
        <v/>
      </c>
      <c r="J58">
        <f>IF(G58="","",H58-G58)</f>
        <v/>
      </c>
      <c r="K58">
        <f>IF(G58="","",IF(ABS(G58-H58)&lt;=$B$6*I58,"OK","NG"))</f>
        <v/>
      </c>
      <c r="L58">
        <f>IF(K58="","",IF(K58=D58,1,0))</f>
        <v/>
      </c>
      <c r="M58" t="inlineStr">
        <is>
          <t>S2</t>
        </is>
      </c>
      <c r="N58" s="15" t="n">
        <v>1</v>
      </c>
      <c r="O58" s="15" t="n">
        <v>0</v>
      </c>
      <c r="P58">
        <f>IF(M58="","",IF(M58=E58,1,0))</f>
        <v/>
      </c>
      <c r="Q58">
        <f>IF(K58="OK","-",IF(N58&lt;$B$7,"AMBIGUOUS","CONFIDENT"))</f>
        <v/>
      </c>
    </row>
    <row r="59">
      <c r="A59">
        <f>'Runs Z score'!A51</f>
        <v/>
      </c>
      <c r="B59">
        <f>'Runs Z score'!B51</f>
        <v/>
      </c>
      <c r="C59">
        <f>'Runs Z score'!C51</f>
        <v/>
      </c>
      <c r="D59">
        <f>'Runs Z score'!D51</f>
        <v/>
      </c>
      <c r="E59">
        <f>'Runs Z score'!E51</f>
        <v/>
      </c>
      <c r="F59">
        <f>'Runs Z score'!F51</f>
        <v/>
      </c>
      <c r="G59">
        <f>'Runs Z score'!G51</f>
        <v/>
      </c>
      <c r="H59">
        <f>VLOOKUP(C59,Recipes!$A$2:$N$4,10,FALSE())</f>
        <v/>
      </c>
      <c r="I59">
        <f>VLOOKUP(C59,Recipes!$A$2:$N$4,12,FALSE())</f>
        <v/>
      </c>
      <c r="J59">
        <f>IF(G59="","",H59-G59)</f>
        <v/>
      </c>
      <c r="K59">
        <f>IF(G59="","",IF(ABS(G59-H59)&lt;=$B$6*I59,"OK","NG"))</f>
        <v/>
      </c>
      <c r="L59">
        <f>IF(K59="","",IF(K59=D59,1,0))</f>
        <v/>
      </c>
      <c r="M59" t="inlineStr">
        <is>
          <t>S2</t>
        </is>
      </c>
      <c r="N59" s="15" t="n">
        <v>1</v>
      </c>
      <c r="O59" s="15" t="n">
        <v>0</v>
      </c>
      <c r="P59">
        <f>IF(M59="","",IF(M59=E59,1,0))</f>
        <v/>
      </c>
      <c r="Q59">
        <f>IF(K59="OK","-",IF(N59&lt;$B$7,"AMBIGUOUS","CONFIDENT"))</f>
        <v/>
      </c>
    </row>
    <row r="60">
      <c r="A60">
        <f>'Runs Z score'!A52</f>
        <v/>
      </c>
      <c r="B60">
        <f>'Runs Z score'!B52</f>
        <v/>
      </c>
      <c r="C60">
        <f>'Runs Z score'!C52</f>
        <v/>
      </c>
      <c r="D60">
        <f>'Runs Z score'!D52</f>
        <v/>
      </c>
      <c r="E60">
        <f>'Runs Z score'!E52</f>
        <v/>
      </c>
      <c r="F60">
        <f>'Runs Z score'!F52</f>
        <v/>
      </c>
      <c r="G60">
        <f>'Runs Z score'!G52</f>
        <v/>
      </c>
      <c r="H60">
        <f>VLOOKUP(C60,Recipes!$A$2:$N$4,10,FALSE())</f>
        <v/>
      </c>
      <c r="I60">
        <f>VLOOKUP(C60,Recipes!$A$2:$N$4,12,FALSE())</f>
        <v/>
      </c>
      <c r="J60">
        <f>IF(G60="","",H60-G60)</f>
        <v/>
      </c>
      <c r="K60">
        <f>IF(G60="","",IF(ABS(G60-H60)&lt;=$B$6*I60,"OK","NG"))</f>
        <v/>
      </c>
      <c r="L60">
        <f>IF(K60="","",IF(K60=D60,1,0))</f>
        <v/>
      </c>
      <c r="M60" t="inlineStr">
        <is>
          <t>S2</t>
        </is>
      </c>
      <c r="N60" s="15" t="n">
        <v>1</v>
      </c>
      <c r="O60" s="15" t="n">
        <v>0</v>
      </c>
      <c r="P60">
        <f>IF(M60="","",IF(M60=E60,1,0))</f>
        <v/>
      </c>
      <c r="Q60">
        <f>IF(K60="OK","-",IF(N60&lt;$B$7,"AMBIGUOUS","CONFIDENT"))</f>
        <v/>
      </c>
    </row>
    <row r="61">
      <c r="A61">
        <f>'Runs Z score'!A53</f>
        <v/>
      </c>
      <c r="B61">
        <f>'Runs Z score'!B53</f>
        <v/>
      </c>
      <c r="C61">
        <f>'Runs Z score'!C53</f>
        <v/>
      </c>
      <c r="D61">
        <f>'Runs Z score'!D53</f>
        <v/>
      </c>
      <c r="E61">
        <f>'Runs Z score'!E53</f>
        <v/>
      </c>
      <c r="F61">
        <f>'Runs Z score'!F53</f>
        <v/>
      </c>
      <c r="G61">
        <f>'Runs Z score'!G53</f>
        <v/>
      </c>
      <c r="H61">
        <f>VLOOKUP(C61,Recipes!$A$2:$N$4,10,FALSE())</f>
        <v/>
      </c>
      <c r="I61">
        <f>VLOOKUP(C61,Recipes!$A$2:$N$4,12,FALSE())</f>
        <v/>
      </c>
      <c r="J61">
        <f>IF(G61="","",H61-G61)</f>
        <v/>
      </c>
      <c r="K61">
        <f>IF(G61="","",IF(ABS(G61-H61)&lt;=$B$6*I61,"OK","NG"))</f>
        <v/>
      </c>
      <c r="L61">
        <f>IF(K61="","",IF(K61=D61,1,0))</f>
        <v/>
      </c>
      <c r="M61" t="inlineStr">
        <is>
          <t>S2</t>
        </is>
      </c>
      <c r="N61" s="15" t="n">
        <v>1</v>
      </c>
      <c r="O61" s="15" t="n">
        <v>0</v>
      </c>
      <c r="P61">
        <f>IF(M61="","",IF(M61=E61,1,0))</f>
        <v/>
      </c>
      <c r="Q61">
        <f>IF(K61="OK","-",IF(N61&lt;$B$7,"AMBIGUOUS","CONFIDENT"))</f>
        <v/>
      </c>
    </row>
    <row r="62">
      <c r="A62">
        <f>'Runs Z score'!A54</f>
        <v/>
      </c>
      <c r="B62">
        <f>'Runs Z score'!B54</f>
        <v/>
      </c>
      <c r="C62">
        <f>'Runs Z score'!C54</f>
        <v/>
      </c>
      <c r="D62">
        <f>'Runs Z score'!D54</f>
        <v/>
      </c>
      <c r="E62">
        <f>'Runs Z score'!E54</f>
        <v/>
      </c>
      <c r="F62">
        <f>'Runs Z score'!F54</f>
        <v/>
      </c>
      <c r="G62">
        <f>'Runs Z score'!G54</f>
        <v/>
      </c>
      <c r="H62">
        <f>VLOOKUP(C62,Recipes!$A$2:$N$4,10,FALSE())</f>
        <v/>
      </c>
      <c r="I62">
        <f>VLOOKUP(C62,Recipes!$A$2:$N$4,12,FALSE())</f>
        <v/>
      </c>
      <c r="J62">
        <f>IF(G62="","",H62-G62)</f>
        <v/>
      </c>
      <c r="K62">
        <f>IF(G62="","",IF(ABS(G62-H62)&lt;=$B$6*I62,"OK","NG"))</f>
        <v/>
      </c>
      <c r="L62">
        <f>IF(K62="","",IF(K62=D62,1,0))</f>
        <v/>
      </c>
      <c r="M62" t="inlineStr">
        <is>
          <t>S2</t>
        </is>
      </c>
      <c r="N62" s="15" t="n">
        <v>1</v>
      </c>
      <c r="O62" s="15" t="n">
        <v>0</v>
      </c>
      <c r="P62">
        <f>IF(M62="","",IF(M62=E62,1,0))</f>
        <v/>
      </c>
      <c r="Q62">
        <f>IF(K62="OK","-",IF(N62&lt;$B$7,"AMBIGUOUS","CONFIDENT"))</f>
        <v/>
      </c>
    </row>
    <row r="63">
      <c r="A63">
        <f>'Runs Z score'!A55</f>
        <v/>
      </c>
      <c r="B63">
        <f>'Runs Z score'!B55</f>
        <v/>
      </c>
      <c r="C63">
        <f>'Runs Z score'!C55</f>
        <v/>
      </c>
      <c r="D63">
        <f>'Runs Z score'!D55</f>
        <v/>
      </c>
      <c r="E63">
        <f>'Runs Z score'!E55</f>
        <v/>
      </c>
      <c r="F63">
        <f>'Runs Z score'!F55</f>
        <v/>
      </c>
      <c r="G63">
        <f>'Runs Z score'!G55</f>
        <v/>
      </c>
      <c r="H63">
        <f>VLOOKUP(C63,Recipes!$A$2:$N$4,10,FALSE())</f>
        <v/>
      </c>
      <c r="I63">
        <f>VLOOKUP(C63,Recipes!$A$2:$N$4,12,FALSE())</f>
        <v/>
      </c>
      <c r="J63">
        <f>IF(G63="","",H63-G63)</f>
        <v/>
      </c>
      <c r="K63">
        <f>IF(G63="","",IF(ABS(G63-H63)&lt;=$B$6*I63,"OK","NG"))</f>
        <v/>
      </c>
      <c r="L63">
        <f>IF(K63="","",IF(K63=D63,1,0))</f>
        <v/>
      </c>
      <c r="M63" t="inlineStr">
        <is>
          <t>S2</t>
        </is>
      </c>
      <c r="N63" s="15" t="n">
        <v>1</v>
      </c>
      <c r="O63" s="15" t="n">
        <v>0</v>
      </c>
      <c r="P63">
        <f>IF(M63="","",IF(M63=E63,1,0))</f>
        <v/>
      </c>
      <c r="Q63">
        <f>IF(K63="OK","-",IF(N63&lt;$B$7,"AMBIGUOUS","CONFIDENT"))</f>
        <v/>
      </c>
    </row>
    <row r="64">
      <c r="A64">
        <f>'Runs Z score'!A56</f>
        <v/>
      </c>
      <c r="B64">
        <f>'Runs Z score'!B56</f>
        <v/>
      </c>
      <c r="C64">
        <f>'Runs Z score'!C56</f>
        <v/>
      </c>
      <c r="D64">
        <f>'Runs Z score'!D56</f>
        <v/>
      </c>
      <c r="E64">
        <f>'Runs Z score'!E56</f>
        <v/>
      </c>
      <c r="F64">
        <f>'Runs Z score'!F56</f>
        <v/>
      </c>
      <c r="G64">
        <f>'Runs Z score'!G56</f>
        <v/>
      </c>
      <c r="H64">
        <f>VLOOKUP(C64,Recipes!$A$2:$N$4,10,FALSE())</f>
        <v/>
      </c>
      <c r="I64">
        <f>VLOOKUP(C64,Recipes!$A$2:$N$4,12,FALSE())</f>
        <v/>
      </c>
      <c r="J64">
        <f>IF(G64="","",H64-G64)</f>
        <v/>
      </c>
      <c r="K64">
        <f>IF(G64="","",IF(ABS(G64-H64)&lt;=$B$6*I64,"OK","NG"))</f>
        <v/>
      </c>
      <c r="L64">
        <f>IF(K64="","",IF(K64=D64,1,0))</f>
        <v/>
      </c>
      <c r="M64" t="inlineStr">
        <is>
          <t>S2</t>
        </is>
      </c>
      <c r="N64" s="15" t="n">
        <v>1</v>
      </c>
      <c r="O64" s="15" t="n">
        <v>0</v>
      </c>
      <c r="P64">
        <f>IF(M64="","",IF(M64=E64,1,0))</f>
        <v/>
      </c>
      <c r="Q64">
        <f>IF(K64="OK","-",IF(N64&lt;$B$7,"AMBIGUOUS","CONFIDENT"))</f>
        <v/>
      </c>
    </row>
    <row r="65">
      <c r="A65">
        <f>'Runs Z score'!A57</f>
        <v/>
      </c>
      <c r="B65">
        <f>'Runs Z score'!B57</f>
        <v/>
      </c>
      <c r="C65">
        <f>'Runs Z score'!C57</f>
        <v/>
      </c>
      <c r="D65">
        <f>'Runs Z score'!D57</f>
        <v/>
      </c>
      <c r="E65">
        <f>'Runs Z score'!E57</f>
        <v/>
      </c>
      <c r="F65">
        <f>'Runs Z score'!F57</f>
        <v/>
      </c>
      <c r="G65">
        <f>'Runs Z score'!G57</f>
        <v/>
      </c>
      <c r="H65">
        <f>VLOOKUP(C65,Recipes!$A$2:$N$4,10,FALSE())</f>
        <v/>
      </c>
      <c r="I65">
        <f>VLOOKUP(C65,Recipes!$A$2:$N$4,12,FALSE())</f>
        <v/>
      </c>
      <c r="J65">
        <f>IF(G65="","",H65-G65)</f>
        <v/>
      </c>
      <c r="K65">
        <f>IF(G65="","",IF(ABS(G65-H65)&lt;=$B$6*I65,"OK","NG"))</f>
        <v/>
      </c>
      <c r="L65">
        <f>IF(K65="","",IF(K65=D65,1,0))</f>
        <v/>
      </c>
      <c r="M65" t="inlineStr">
        <is>
          <t>S2</t>
        </is>
      </c>
      <c r="N65" s="15" t="n">
        <v>1</v>
      </c>
      <c r="O65" s="15" t="n">
        <v>0</v>
      </c>
      <c r="P65">
        <f>IF(M65="","",IF(M65=E65,1,0))</f>
        <v/>
      </c>
      <c r="Q65">
        <f>IF(K65="OK","-",IF(N65&lt;$B$7,"AMBIGUOUS","CONFIDENT"))</f>
        <v/>
      </c>
    </row>
    <row r="66">
      <c r="A66">
        <f>'Runs Z score'!A58</f>
        <v/>
      </c>
      <c r="B66">
        <f>'Runs Z score'!B58</f>
        <v/>
      </c>
      <c r="C66">
        <f>'Runs Z score'!C58</f>
        <v/>
      </c>
      <c r="D66">
        <f>'Runs Z score'!D58</f>
        <v/>
      </c>
      <c r="E66">
        <f>'Runs Z score'!E58</f>
        <v/>
      </c>
      <c r="F66">
        <f>'Runs Z score'!F58</f>
        <v/>
      </c>
      <c r="G66">
        <f>'Runs Z score'!G58</f>
        <v/>
      </c>
      <c r="H66">
        <f>VLOOKUP(C66,Recipes!$A$2:$N$4,10,FALSE())</f>
        <v/>
      </c>
      <c r="I66">
        <f>VLOOKUP(C66,Recipes!$A$2:$N$4,12,FALSE())</f>
        <v/>
      </c>
      <c r="J66">
        <f>IF(G66="","",H66-G66)</f>
        <v/>
      </c>
      <c r="K66">
        <f>IF(G66="","",IF(ABS(G66-H66)&lt;=$B$6*I66,"OK","NG"))</f>
        <v/>
      </c>
      <c r="L66">
        <f>IF(K66="","",IF(K66=D66,1,0))</f>
        <v/>
      </c>
      <c r="M66" t="inlineStr">
        <is>
          <t>S2</t>
        </is>
      </c>
      <c r="N66" s="15" t="n">
        <v>1</v>
      </c>
      <c r="O66" s="15" t="n">
        <v>0</v>
      </c>
      <c r="P66">
        <f>IF(M66="","",IF(M66=E66,1,0))</f>
        <v/>
      </c>
      <c r="Q66">
        <f>IF(K66="OK","-",IF(N66&lt;$B$7,"AMBIGUOUS","CONFIDENT"))</f>
        <v/>
      </c>
    </row>
    <row r="67">
      <c r="A67">
        <f>'Runs Z score'!A59</f>
        <v/>
      </c>
      <c r="B67">
        <f>'Runs Z score'!B59</f>
        <v/>
      </c>
      <c r="C67">
        <f>'Runs Z score'!C59</f>
        <v/>
      </c>
      <c r="D67">
        <f>'Runs Z score'!D59</f>
        <v/>
      </c>
      <c r="E67">
        <f>'Runs Z score'!E59</f>
        <v/>
      </c>
      <c r="F67">
        <f>'Runs Z score'!F59</f>
        <v/>
      </c>
      <c r="G67">
        <f>'Runs Z score'!G59</f>
        <v/>
      </c>
      <c r="H67">
        <f>VLOOKUP(C67,Recipes!$A$2:$N$4,10,FALSE())</f>
        <v/>
      </c>
      <c r="I67">
        <f>VLOOKUP(C67,Recipes!$A$2:$N$4,12,FALSE())</f>
        <v/>
      </c>
      <c r="J67">
        <f>IF(G67="","",H67-G67)</f>
        <v/>
      </c>
      <c r="K67">
        <f>IF(G67="","",IF(ABS(G67-H67)&lt;=$B$6*I67,"OK","NG"))</f>
        <v/>
      </c>
      <c r="L67">
        <f>IF(K67="","",IF(K67=D67,1,0))</f>
        <v/>
      </c>
      <c r="M67" t="inlineStr">
        <is>
          <t>S2</t>
        </is>
      </c>
      <c r="N67" s="15" t="n">
        <v>1</v>
      </c>
      <c r="O67" s="15" t="n">
        <v>0</v>
      </c>
      <c r="P67">
        <f>IF(M67="","",IF(M67=E67,1,0))</f>
        <v/>
      </c>
      <c r="Q67">
        <f>IF(K67="OK","-",IF(N67&lt;$B$7,"AMBIGUOUS","CONFIDENT"))</f>
        <v/>
      </c>
    </row>
    <row r="68">
      <c r="A68">
        <f>'Runs Z score'!A60</f>
        <v/>
      </c>
      <c r="B68">
        <f>'Runs Z score'!B60</f>
        <v/>
      </c>
      <c r="C68">
        <f>'Runs Z score'!C60</f>
        <v/>
      </c>
      <c r="D68">
        <f>'Runs Z score'!D60</f>
        <v/>
      </c>
      <c r="E68">
        <f>'Runs Z score'!E60</f>
        <v/>
      </c>
      <c r="F68">
        <f>'Runs Z score'!F60</f>
        <v/>
      </c>
      <c r="G68">
        <f>'Runs Z score'!G60</f>
        <v/>
      </c>
      <c r="H68">
        <f>VLOOKUP(C68,Recipes!$A$2:$N$4,10,FALSE())</f>
        <v/>
      </c>
      <c r="I68">
        <f>VLOOKUP(C68,Recipes!$A$2:$N$4,12,FALSE())</f>
        <v/>
      </c>
      <c r="J68">
        <f>IF(G68="","",H68-G68)</f>
        <v/>
      </c>
      <c r="K68">
        <f>IF(G68="","",IF(ABS(G68-H68)&lt;=$B$6*I68,"OK","NG"))</f>
        <v/>
      </c>
      <c r="L68">
        <f>IF(K68="","",IF(K68=D68,1,0))</f>
        <v/>
      </c>
      <c r="M68" t="inlineStr">
        <is>
          <t>S2</t>
        </is>
      </c>
      <c r="N68" s="15" t="n">
        <v>1</v>
      </c>
      <c r="O68" s="15" t="n">
        <v>0</v>
      </c>
      <c r="P68">
        <f>IF(M68="","",IF(M68=E68,1,0))</f>
        <v/>
      </c>
      <c r="Q68">
        <f>IF(K68="OK","-",IF(N68&lt;$B$7,"AMBIGUOUS","CONFIDENT"))</f>
        <v/>
      </c>
    </row>
    <row r="69">
      <c r="A69">
        <f>'Runs Z score'!A61</f>
        <v/>
      </c>
      <c r="B69">
        <f>'Runs Z score'!B61</f>
        <v/>
      </c>
      <c r="C69">
        <f>'Runs Z score'!C61</f>
        <v/>
      </c>
      <c r="D69">
        <f>'Runs Z score'!D61</f>
        <v/>
      </c>
      <c r="E69">
        <f>'Runs Z score'!E61</f>
        <v/>
      </c>
      <c r="F69">
        <f>'Runs Z score'!F61</f>
        <v/>
      </c>
      <c r="G69">
        <f>'Runs Z score'!G61</f>
        <v/>
      </c>
      <c r="H69">
        <f>VLOOKUP(C69,Recipes!$A$2:$N$4,10,FALSE())</f>
        <v/>
      </c>
      <c r="I69">
        <f>VLOOKUP(C69,Recipes!$A$2:$N$4,12,FALSE())</f>
        <v/>
      </c>
      <c r="J69">
        <f>IF(G69="","",H69-G69)</f>
        <v/>
      </c>
      <c r="K69">
        <f>IF(G69="","",IF(ABS(G69-H69)&lt;=$B$6*I69,"OK","NG"))</f>
        <v/>
      </c>
      <c r="L69">
        <f>IF(K69="","",IF(K69=D69,1,0))</f>
        <v/>
      </c>
      <c r="M69" t="inlineStr">
        <is>
          <t>W2</t>
        </is>
      </c>
      <c r="N69" s="15" t="n">
        <v>1</v>
      </c>
      <c r="O69" s="15" t="n">
        <v>0</v>
      </c>
      <c r="P69">
        <f>IF(M69="","",IF(M69=E69,1,0))</f>
        <v/>
      </c>
      <c r="Q69">
        <f>IF(K69="OK","-",IF(N69&lt;$B$7,"AMBIGUOUS","CONFIDENT"))</f>
        <v/>
      </c>
    </row>
    <row r="70">
      <c r="A70">
        <f>'Runs Z score'!A62</f>
        <v/>
      </c>
      <c r="B70">
        <f>'Runs Z score'!B62</f>
        <v/>
      </c>
      <c r="C70">
        <f>'Runs Z score'!C62</f>
        <v/>
      </c>
      <c r="D70">
        <f>'Runs Z score'!D62</f>
        <v/>
      </c>
      <c r="E70">
        <f>'Runs Z score'!E62</f>
        <v/>
      </c>
      <c r="F70">
        <f>'Runs Z score'!F62</f>
        <v/>
      </c>
      <c r="G70">
        <f>'Runs Z score'!G62</f>
        <v/>
      </c>
      <c r="H70">
        <f>VLOOKUP(C70,Recipes!$A$2:$N$4,10,FALSE())</f>
        <v/>
      </c>
      <c r="I70">
        <f>VLOOKUP(C70,Recipes!$A$2:$N$4,12,FALSE())</f>
        <v/>
      </c>
      <c r="J70">
        <f>IF(G70="","",H70-G70)</f>
        <v/>
      </c>
      <c r="K70">
        <f>IF(G70="","",IF(ABS(G70-H70)&lt;=$B$6*I70,"OK","NG"))</f>
        <v/>
      </c>
      <c r="L70">
        <f>IF(K70="","",IF(K70=D70,1,0))</f>
        <v/>
      </c>
      <c r="M70" t="inlineStr">
        <is>
          <t>S2</t>
        </is>
      </c>
      <c r="N70" s="15" t="n">
        <v>1</v>
      </c>
      <c r="O70" s="15" t="n">
        <v>0</v>
      </c>
      <c r="P70">
        <f>IF(M70="","",IF(M70=E70,1,0))</f>
        <v/>
      </c>
      <c r="Q70">
        <f>IF(K70="OK","-",IF(N70&lt;$B$7,"AMBIGUOUS","CONFIDENT"))</f>
        <v/>
      </c>
    </row>
    <row r="71">
      <c r="A71">
        <f>'Runs Z score'!A63</f>
        <v/>
      </c>
      <c r="B71">
        <f>'Runs Z score'!B63</f>
        <v/>
      </c>
      <c r="C71">
        <f>'Runs Z score'!C63</f>
        <v/>
      </c>
      <c r="D71">
        <f>'Runs Z score'!D63</f>
        <v/>
      </c>
      <c r="E71">
        <f>'Runs Z score'!E63</f>
        <v/>
      </c>
      <c r="F71">
        <f>'Runs Z score'!F63</f>
        <v/>
      </c>
      <c r="G71">
        <f>'Runs Z score'!G63</f>
        <v/>
      </c>
      <c r="H71">
        <f>VLOOKUP(C71,Recipes!$A$2:$N$4,10,FALSE())</f>
        <v/>
      </c>
      <c r="I71">
        <f>VLOOKUP(C71,Recipes!$A$2:$N$4,12,FALSE())</f>
        <v/>
      </c>
      <c r="J71">
        <f>IF(G71="","",H71-G71)</f>
        <v/>
      </c>
      <c r="K71">
        <f>IF(G71="","",IF(ABS(G71-H71)&lt;=$B$6*I71,"OK","NG"))</f>
        <v/>
      </c>
      <c r="L71">
        <f>IF(K71="","",IF(K71=D71,1,0))</f>
        <v/>
      </c>
      <c r="M71" t="inlineStr">
        <is>
          <t>W2</t>
        </is>
      </c>
      <c r="N71" s="15" t="n">
        <v>1</v>
      </c>
      <c r="O71" s="15" t="n">
        <v>0</v>
      </c>
      <c r="P71">
        <f>IF(M71="","",IF(M71=E71,1,0))</f>
        <v/>
      </c>
      <c r="Q71">
        <f>IF(K71="OK","-",IF(N71&lt;$B$7,"AMBIGUOUS","CONFIDENT"))</f>
        <v/>
      </c>
    </row>
    <row r="72">
      <c r="A72">
        <f>'Runs Z score'!A64</f>
        <v/>
      </c>
      <c r="B72">
        <f>'Runs Z score'!B64</f>
        <v/>
      </c>
      <c r="C72">
        <f>'Runs Z score'!C64</f>
        <v/>
      </c>
      <c r="D72">
        <f>'Runs Z score'!D64</f>
        <v/>
      </c>
      <c r="E72">
        <f>'Runs Z score'!E64</f>
        <v/>
      </c>
      <c r="F72">
        <f>'Runs Z score'!F64</f>
        <v/>
      </c>
      <c r="G72">
        <f>'Runs Z score'!G64</f>
        <v/>
      </c>
      <c r="H72">
        <f>VLOOKUP(C72,Recipes!$A$2:$N$4,10,FALSE())</f>
        <v/>
      </c>
      <c r="I72">
        <f>VLOOKUP(C72,Recipes!$A$2:$N$4,12,FALSE())</f>
        <v/>
      </c>
      <c r="J72">
        <f>IF(G72="","",H72-G72)</f>
        <v/>
      </c>
      <c r="K72">
        <f>IF(G72="","",IF(ABS(G72-H72)&lt;=$B$6*I72,"OK","NG"))</f>
        <v/>
      </c>
      <c r="L72">
        <f>IF(K72="","",IF(K72=D72,1,0))</f>
        <v/>
      </c>
      <c r="M72" t="inlineStr">
        <is>
          <t>W2</t>
        </is>
      </c>
      <c r="N72" s="15" t="n">
        <v>0.9993</v>
      </c>
      <c r="O72" s="15" t="n">
        <v>0.0007</v>
      </c>
      <c r="P72">
        <f>IF(M72="","",IF(M72=E72,1,0))</f>
        <v/>
      </c>
      <c r="Q72">
        <f>IF(K72="OK","-",IF(N72&lt;$B$7,"AMBIGUOUS","CONFIDENT"))</f>
        <v/>
      </c>
    </row>
    <row r="73">
      <c r="A73">
        <f>'Runs Z score'!A65</f>
        <v/>
      </c>
      <c r="B73">
        <f>'Runs Z score'!B65</f>
        <v/>
      </c>
      <c r="C73">
        <f>'Runs Z score'!C65</f>
        <v/>
      </c>
      <c r="D73">
        <f>'Runs Z score'!D65</f>
        <v/>
      </c>
      <c r="E73">
        <f>'Runs Z score'!E65</f>
        <v/>
      </c>
      <c r="F73">
        <f>'Runs Z score'!F65</f>
        <v/>
      </c>
      <c r="G73">
        <f>'Runs Z score'!G65</f>
        <v/>
      </c>
      <c r="H73">
        <f>VLOOKUP(C73,Recipes!$A$2:$N$4,10,FALSE())</f>
        <v/>
      </c>
      <c r="I73">
        <f>VLOOKUP(C73,Recipes!$A$2:$N$4,12,FALSE())</f>
        <v/>
      </c>
      <c r="J73">
        <f>IF(G73="","",H73-G73)</f>
        <v/>
      </c>
      <c r="K73">
        <f>IF(G73="","",IF(ABS(G73-H73)&lt;=$B$6*I73,"OK","NG"))</f>
        <v/>
      </c>
      <c r="L73">
        <f>IF(K73="","",IF(K73=D73,1,0))</f>
        <v/>
      </c>
      <c r="M73" t="inlineStr">
        <is>
          <t>W2</t>
        </is>
      </c>
      <c r="N73" s="15" t="n">
        <v>1</v>
      </c>
      <c r="O73" s="15" t="n">
        <v>0</v>
      </c>
      <c r="P73">
        <f>IF(M73="","",IF(M73=E73,1,0))</f>
        <v/>
      </c>
      <c r="Q73">
        <f>IF(K73="OK","-",IF(N73&lt;$B$7,"AMBIGUOUS","CONFIDENT"))</f>
        <v/>
      </c>
    </row>
    <row r="74">
      <c r="A74">
        <f>'Runs Z score'!A66</f>
        <v/>
      </c>
      <c r="B74">
        <f>'Runs Z score'!B66</f>
        <v/>
      </c>
      <c r="C74">
        <f>'Runs Z score'!C66</f>
        <v/>
      </c>
      <c r="D74">
        <f>'Runs Z score'!D66</f>
        <v/>
      </c>
      <c r="E74">
        <f>'Runs Z score'!E66</f>
        <v/>
      </c>
      <c r="F74">
        <f>'Runs Z score'!F66</f>
        <v/>
      </c>
      <c r="G74">
        <f>'Runs Z score'!G66</f>
        <v/>
      </c>
      <c r="H74">
        <f>VLOOKUP(C74,Recipes!$A$2:$N$4,10,FALSE())</f>
        <v/>
      </c>
      <c r="I74">
        <f>VLOOKUP(C74,Recipes!$A$2:$N$4,12,FALSE())</f>
        <v/>
      </c>
      <c r="J74">
        <f>IF(G74="","",H74-G74)</f>
        <v/>
      </c>
      <c r="K74">
        <f>IF(G74="","",IF(ABS(G74-H74)&lt;=$B$6*I74,"OK","NG"))</f>
        <v/>
      </c>
      <c r="L74">
        <f>IF(K74="","",IF(K74=D74,1,0))</f>
        <v/>
      </c>
      <c r="M74" t="inlineStr">
        <is>
          <t>W2</t>
        </is>
      </c>
      <c r="N74" s="15" t="n">
        <v>1</v>
      </c>
      <c r="O74" s="15" t="n">
        <v>0</v>
      </c>
      <c r="P74">
        <f>IF(M74="","",IF(M74=E74,1,0))</f>
        <v/>
      </c>
      <c r="Q74">
        <f>IF(K74="OK","-",IF(N74&lt;$B$7,"AMBIGUOUS","CONFIDENT"))</f>
        <v/>
      </c>
    </row>
    <row r="75">
      <c r="A75">
        <f>'Runs Z score'!A67</f>
        <v/>
      </c>
      <c r="B75">
        <f>'Runs Z score'!B67</f>
        <v/>
      </c>
      <c r="C75">
        <f>'Runs Z score'!C67</f>
        <v/>
      </c>
      <c r="D75">
        <f>'Runs Z score'!D67</f>
        <v/>
      </c>
      <c r="E75">
        <f>'Runs Z score'!E67</f>
        <v/>
      </c>
      <c r="F75">
        <f>'Runs Z score'!F67</f>
        <v/>
      </c>
      <c r="G75">
        <f>'Runs Z score'!G67</f>
        <v/>
      </c>
      <c r="H75">
        <f>VLOOKUP(C75,Recipes!$A$2:$N$4,10,FALSE())</f>
        <v/>
      </c>
      <c r="I75">
        <f>VLOOKUP(C75,Recipes!$A$2:$N$4,12,FALSE())</f>
        <v/>
      </c>
      <c r="J75">
        <f>IF(G75="","",H75-G75)</f>
        <v/>
      </c>
      <c r="K75">
        <f>IF(G75="","",IF(ABS(G75-H75)&lt;=$B$6*I75,"OK","NG"))</f>
        <v/>
      </c>
      <c r="L75">
        <f>IF(K75="","",IF(K75=D75,1,0))</f>
        <v/>
      </c>
      <c r="M75" t="inlineStr">
        <is>
          <t>W2</t>
        </is>
      </c>
      <c r="N75" s="15" t="n">
        <v>1</v>
      </c>
      <c r="O75" s="15" t="n">
        <v>0</v>
      </c>
      <c r="P75">
        <f>IF(M75="","",IF(M75=E75,1,0))</f>
        <v/>
      </c>
      <c r="Q75">
        <f>IF(K75="OK","-",IF(N75&lt;$B$7,"AMBIGUOUS","CONFIDENT"))</f>
        <v/>
      </c>
    </row>
    <row r="76">
      <c r="A76">
        <f>'Runs Z score'!A68</f>
        <v/>
      </c>
      <c r="B76">
        <f>'Runs Z score'!B68</f>
        <v/>
      </c>
      <c r="C76">
        <f>'Runs Z score'!C68</f>
        <v/>
      </c>
      <c r="D76">
        <f>'Runs Z score'!D68</f>
        <v/>
      </c>
      <c r="E76">
        <f>'Runs Z score'!E68</f>
        <v/>
      </c>
      <c r="F76">
        <f>'Runs Z score'!F68</f>
        <v/>
      </c>
      <c r="G76">
        <f>'Runs Z score'!G68</f>
        <v/>
      </c>
      <c r="H76">
        <f>VLOOKUP(C76,Recipes!$A$2:$N$4,10,FALSE())</f>
        <v/>
      </c>
      <c r="I76">
        <f>VLOOKUP(C76,Recipes!$A$2:$N$4,12,FALSE())</f>
        <v/>
      </c>
      <c r="J76">
        <f>IF(G76="","",H76-G76)</f>
        <v/>
      </c>
      <c r="K76">
        <f>IF(G76="","",IF(ABS(G76-H76)&lt;=$B$6*I76,"OK","NG"))</f>
        <v/>
      </c>
      <c r="L76">
        <f>IF(K76="","",IF(K76=D76,1,0))</f>
        <v/>
      </c>
      <c r="M76" t="inlineStr">
        <is>
          <t>W2</t>
        </is>
      </c>
      <c r="N76" s="15" t="n">
        <v>1</v>
      </c>
      <c r="O76" s="15" t="n">
        <v>0</v>
      </c>
      <c r="P76">
        <f>IF(M76="","",IF(M76=E76,1,0))</f>
        <v/>
      </c>
      <c r="Q76">
        <f>IF(K76="OK","-",IF(N76&lt;$B$7,"AMBIGUOUS","CONFIDENT"))</f>
        <v/>
      </c>
    </row>
    <row r="77">
      <c r="A77">
        <f>'Runs Z score'!A69</f>
        <v/>
      </c>
      <c r="B77">
        <f>'Runs Z score'!B69</f>
        <v/>
      </c>
      <c r="C77">
        <f>'Runs Z score'!C69</f>
        <v/>
      </c>
      <c r="D77">
        <f>'Runs Z score'!D69</f>
        <v/>
      </c>
      <c r="E77">
        <f>'Runs Z score'!E69</f>
        <v/>
      </c>
      <c r="F77">
        <f>'Runs Z score'!F69</f>
        <v/>
      </c>
      <c r="G77">
        <f>'Runs Z score'!G69</f>
        <v/>
      </c>
      <c r="H77">
        <f>VLOOKUP(C77,Recipes!$A$2:$N$4,10,FALSE())</f>
        <v/>
      </c>
      <c r="I77">
        <f>VLOOKUP(C77,Recipes!$A$2:$N$4,12,FALSE())</f>
        <v/>
      </c>
      <c r="J77">
        <f>IF(G77="","",H77-G77)</f>
        <v/>
      </c>
      <c r="K77">
        <f>IF(G77="","",IF(ABS(G77-H77)&lt;=$B$6*I77,"OK","NG"))</f>
        <v/>
      </c>
      <c r="L77">
        <f>IF(K77="","",IF(K77=D77,1,0))</f>
        <v/>
      </c>
      <c r="M77" t="inlineStr">
        <is>
          <t>W2</t>
        </is>
      </c>
      <c r="N77" s="15" t="n">
        <v>1</v>
      </c>
      <c r="O77" s="15" t="n">
        <v>0</v>
      </c>
      <c r="P77">
        <f>IF(M77="","",IF(M77=E77,1,0))</f>
        <v/>
      </c>
      <c r="Q77">
        <f>IF(K77="OK","-",IF(N77&lt;$B$7,"AMBIGUOUS","CONFIDENT"))</f>
        <v/>
      </c>
    </row>
    <row r="78">
      <c r="A78">
        <f>'Runs Z score'!A70</f>
        <v/>
      </c>
      <c r="B78">
        <f>'Runs Z score'!B70</f>
        <v/>
      </c>
      <c r="C78">
        <f>'Runs Z score'!C70</f>
        <v/>
      </c>
      <c r="D78">
        <f>'Runs Z score'!D70</f>
        <v/>
      </c>
      <c r="E78">
        <f>'Runs Z score'!E70</f>
        <v/>
      </c>
      <c r="F78">
        <f>'Runs Z score'!F70</f>
        <v/>
      </c>
      <c r="G78">
        <f>'Runs Z score'!G70</f>
        <v/>
      </c>
      <c r="H78">
        <f>VLOOKUP(C78,Recipes!$A$2:$N$4,10,FALSE())</f>
        <v/>
      </c>
      <c r="I78">
        <f>VLOOKUP(C78,Recipes!$A$2:$N$4,12,FALSE())</f>
        <v/>
      </c>
      <c r="J78">
        <f>IF(G78="","",H78-G78)</f>
        <v/>
      </c>
      <c r="K78">
        <f>IF(G78="","",IF(ABS(G78-H78)&lt;=$B$6*I78,"OK","NG"))</f>
        <v/>
      </c>
      <c r="L78">
        <f>IF(K78="","",IF(K78=D78,1,0))</f>
        <v/>
      </c>
      <c r="M78" t="inlineStr">
        <is>
          <t>W2</t>
        </is>
      </c>
      <c r="N78" s="15" t="n">
        <v>1</v>
      </c>
      <c r="O78" s="15" t="n">
        <v>0</v>
      </c>
      <c r="P78">
        <f>IF(M78="","",IF(M78=E78,1,0))</f>
        <v/>
      </c>
      <c r="Q78">
        <f>IF(K78="OK","-",IF(N78&lt;$B$7,"AMBIGUOUS","CONFIDENT"))</f>
        <v/>
      </c>
    </row>
    <row r="79">
      <c r="A79">
        <f>'Runs Z score'!A71</f>
        <v/>
      </c>
      <c r="B79">
        <f>'Runs Z score'!B71</f>
        <v/>
      </c>
      <c r="C79">
        <f>'Runs Z score'!C71</f>
        <v/>
      </c>
      <c r="D79">
        <f>'Runs Z score'!D71</f>
        <v/>
      </c>
      <c r="E79">
        <f>'Runs Z score'!E71</f>
        <v/>
      </c>
      <c r="F79">
        <f>'Runs Z score'!F71</f>
        <v/>
      </c>
      <c r="G79">
        <f>'Runs Z score'!G71</f>
        <v/>
      </c>
      <c r="H79">
        <f>VLOOKUP(C79,Recipes!$A$2:$N$4,10,FALSE())</f>
        <v/>
      </c>
      <c r="I79">
        <f>VLOOKUP(C79,Recipes!$A$2:$N$4,12,FALSE())</f>
        <v/>
      </c>
      <c r="J79">
        <f>IF(G79="","",H79-G79)</f>
        <v/>
      </c>
      <c r="K79">
        <f>IF(G79="","",IF(ABS(G79-H79)&lt;=$B$6*I79,"OK","NG"))</f>
        <v/>
      </c>
      <c r="L79">
        <f>IF(K79="","",IF(K79=D79,1,0))</f>
        <v/>
      </c>
      <c r="M79" t="inlineStr">
        <is>
          <t>W2</t>
        </is>
      </c>
      <c r="N79" s="15" t="n">
        <v>1</v>
      </c>
      <c r="O79" s="15" t="n">
        <v>0</v>
      </c>
      <c r="P79">
        <f>IF(M79="","",IF(M79=E79,1,0))</f>
        <v/>
      </c>
      <c r="Q79">
        <f>IF(K79="OK","-",IF(N79&lt;$B$7,"AMBIGUOUS","CONFIDENT"))</f>
        <v/>
      </c>
    </row>
    <row r="80">
      <c r="A80">
        <f>'Runs Z score'!A72</f>
        <v/>
      </c>
      <c r="B80">
        <f>'Runs Z score'!B72</f>
        <v/>
      </c>
      <c r="C80">
        <f>'Runs Z score'!C72</f>
        <v/>
      </c>
      <c r="D80">
        <f>'Runs Z score'!D72</f>
        <v/>
      </c>
      <c r="E80">
        <f>'Runs Z score'!E72</f>
        <v/>
      </c>
      <c r="F80">
        <f>'Runs Z score'!F72</f>
        <v/>
      </c>
      <c r="G80">
        <f>'Runs Z score'!G72</f>
        <v/>
      </c>
      <c r="H80">
        <f>VLOOKUP(C80,Recipes!$A$2:$N$4,10,FALSE())</f>
        <v/>
      </c>
      <c r="I80">
        <f>VLOOKUP(C80,Recipes!$A$2:$N$4,12,FALSE())</f>
        <v/>
      </c>
      <c r="J80">
        <f>IF(G80="","",H80-G80)</f>
        <v/>
      </c>
      <c r="K80">
        <f>IF(G80="","",IF(ABS(G80-H80)&lt;=$B$6*I80,"OK","NG"))</f>
        <v/>
      </c>
      <c r="L80">
        <f>IF(K80="","",IF(K80=D80,1,0))</f>
        <v/>
      </c>
      <c r="M80" t="inlineStr">
        <is>
          <t>W2</t>
        </is>
      </c>
      <c r="N80" s="15" t="n">
        <v>1</v>
      </c>
      <c r="O80" s="15" t="n">
        <v>0</v>
      </c>
      <c r="P80">
        <f>IF(M80="","",IF(M80=E80,1,0))</f>
        <v/>
      </c>
      <c r="Q80">
        <f>IF(K80="OK","-",IF(N80&lt;$B$7,"AMBIGUOUS","CONFIDENT"))</f>
        <v/>
      </c>
    </row>
    <row r="81">
      <c r="A81">
        <f>'Runs Z score'!A73</f>
        <v/>
      </c>
      <c r="B81">
        <f>'Runs Z score'!B73</f>
        <v/>
      </c>
      <c r="C81">
        <f>'Runs Z score'!C73</f>
        <v/>
      </c>
      <c r="D81">
        <f>'Runs Z score'!D73</f>
        <v/>
      </c>
      <c r="E81">
        <f>'Runs Z score'!E73</f>
        <v/>
      </c>
      <c r="F81">
        <f>'Runs Z score'!F73</f>
        <v/>
      </c>
      <c r="G81">
        <f>'Runs Z score'!G73</f>
        <v/>
      </c>
      <c r="H81">
        <f>VLOOKUP(C81,Recipes!$A$2:$N$4,10,FALSE())</f>
        <v/>
      </c>
      <c r="I81">
        <f>VLOOKUP(C81,Recipes!$A$2:$N$4,12,FALSE())</f>
        <v/>
      </c>
      <c r="J81">
        <f>IF(G81="","",H81-G81)</f>
        <v/>
      </c>
      <c r="K81">
        <f>IF(G81="","",IF(ABS(G81-H81)&lt;=$B$6*I81,"OK","NG"))</f>
        <v/>
      </c>
      <c r="L81">
        <f>IF(K81="","",IF(K81=D81,1,0))</f>
        <v/>
      </c>
      <c r="M81" t="inlineStr">
        <is>
          <t>W2</t>
        </is>
      </c>
      <c r="N81" s="15" t="n">
        <v>1</v>
      </c>
      <c r="O81" s="15" t="n">
        <v>0</v>
      </c>
      <c r="P81">
        <f>IF(M81="","",IF(M81=E81,1,0))</f>
        <v/>
      </c>
      <c r="Q81">
        <f>IF(K81="OK","-",IF(N81&lt;$B$7,"AMBIGUOUS","CONFIDENT"))</f>
        <v/>
      </c>
    </row>
    <row r="82">
      <c r="A82">
        <f>'Runs Z score'!A74</f>
        <v/>
      </c>
      <c r="B82">
        <f>'Runs Z score'!B74</f>
        <v/>
      </c>
      <c r="C82">
        <f>'Runs Z score'!C74</f>
        <v/>
      </c>
      <c r="D82">
        <f>'Runs Z score'!D74</f>
        <v/>
      </c>
      <c r="E82">
        <f>'Runs Z score'!E74</f>
        <v/>
      </c>
      <c r="F82">
        <f>'Runs Z score'!F74</f>
        <v/>
      </c>
      <c r="G82">
        <f>'Runs Z score'!G74</f>
        <v/>
      </c>
      <c r="H82">
        <f>VLOOKUP(C82,Recipes!$A$2:$N$4,10,FALSE())</f>
        <v/>
      </c>
      <c r="I82">
        <f>VLOOKUP(C82,Recipes!$A$2:$N$4,12,FALSE())</f>
        <v/>
      </c>
      <c r="J82">
        <f>IF(G82="","",H82-G82)</f>
        <v/>
      </c>
      <c r="K82">
        <f>IF(G82="","",IF(ABS(G82-H82)&lt;=$B$6*I82,"OK","NG"))</f>
        <v/>
      </c>
      <c r="L82">
        <f>IF(K82="","",IF(K82=D82,1,0))</f>
        <v/>
      </c>
      <c r="M82" t="inlineStr">
        <is>
          <t>W2</t>
        </is>
      </c>
      <c r="N82" s="15" t="n">
        <v>1</v>
      </c>
      <c r="O82" s="15" t="n">
        <v>0</v>
      </c>
      <c r="P82">
        <f>IF(M82="","",IF(M82=E82,1,0))</f>
        <v/>
      </c>
      <c r="Q82">
        <f>IF(K82="OK","-",IF(N82&lt;$B$7,"AMBIGUOUS","CONFIDENT"))</f>
        <v/>
      </c>
    </row>
    <row r="83">
      <c r="A83">
        <f>'Runs Z score'!A75</f>
        <v/>
      </c>
      <c r="B83">
        <f>'Runs Z score'!B75</f>
        <v/>
      </c>
      <c r="C83">
        <f>'Runs Z score'!C75</f>
        <v/>
      </c>
      <c r="D83">
        <f>'Runs Z score'!D75</f>
        <v/>
      </c>
      <c r="E83">
        <f>'Runs Z score'!E75</f>
        <v/>
      </c>
      <c r="F83">
        <f>'Runs Z score'!F75</f>
        <v/>
      </c>
      <c r="G83">
        <f>'Runs Z score'!G75</f>
        <v/>
      </c>
      <c r="H83">
        <f>VLOOKUP(C83,Recipes!$A$2:$N$4,10,FALSE())</f>
        <v/>
      </c>
      <c r="I83">
        <f>VLOOKUP(C83,Recipes!$A$2:$N$4,12,FALSE())</f>
        <v/>
      </c>
      <c r="J83">
        <f>IF(G83="","",H83-G83)</f>
        <v/>
      </c>
      <c r="K83">
        <f>IF(G83="","",IF(ABS(G83-H83)&lt;=$B$6*I83,"OK","NG"))</f>
        <v/>
      </c>
      <c r="L83">
        <f>IF(K83="","",IF(K83=D83,1,0))</f>
        <v/>
      </c>
      <c r="M83" t="inlineStr">
        <is>
          <t>W2</t>
        </is>
      </c>
      <c r="N83" s="15" t="n">
        <v>1</v>
      </c>
      <c r="O83" s="15" t="n">
        <v>0</v>
      </c>
      <c r="P83">
        <f>IF(M83="","",IF(M83=E83,1,0))</f>
        <v/>
      </c>
      <c r="Q83">
        <f>IF(K83="OK","-",IF(N83&lt;$B$7,"AMBIGUOUS","CONFIDENT"))</f>
        <v/>
      </c>
    </row>
    <row r="84">
      <c r="A84">
        <f>'Runs Z score'!A76</f>
        <v/>
      </c>
      <c r="B84">
        <f>'Runs Z score'!B76</f>
        <v/>
      </c>
      <c r="C84">
        <f>'Runs Z score'!C76</f>
        <v/>
      </c>
      <c r="D84">
        <f>'Runs Z score'!D76</f>
        <v/>
      </c>
      <c r="E84">
        <f>'Runs Z score'!E76</f>
        <v/>
      </c>
      <c r="F84">
        <f>'Runs Z score'!F76</f>
        <v/>
      </c>
      <c r="G84">
        <f>'Runs Z score'!G76</f>
        <v/>
      </c>
      <c r="H84">
        <f>VLOOKUP(C84,Recipes!$A$2:$N$4,10,FALSE())</f>
        <v/>
      </c>
      <c r="I84">
        <f>VLOOKUP(C84,Recipes!$A$2:$N$4,12,FALSE())</f>
        <v/>
      </c>
      <c r="J84">
        <f>IF(G84="","",H84-G84)</f>
        <v/>
      </c>
      <c r="K84">
        <f>IF(G84="","",IF(ABS(G84-H84)&lt;=$B$6*I84,"OK","NG"))</f>
        <v/>
      </c>
      <c r="L84">
        <f>IF(K84="","",IF(K84=D84,1,0))</f>
        <v/>
      </c>
      <c r="M84" t="inlineStr">
        <is>
          <t>W2</t>
        </is>
      </c>
      <c r="N84" s="15" t="n">
        <v>1</v>
      </c>
      <c r="O84" s="15" t="n">
        <v>0</v>
      </c>
      <c r="P84">
        <f>IF(M84="","",IF(M84=E84,1,0))</f>
        <v/>
      </c>
      <c r="Q84">
        <f>IF(K84="OK","-",IF(N84&lt;$B$7,"AMBIGUOUS","CONFIDENT"))</f>
        <v/>
      </c>
    </row>
    <row r="85">
      <c r="A85">
        <f>'Runs Z score'!A77</f>
        <v/>
      </c>
      <c r="B85">
        <f>'Runs Z score'!B77</f>
        <v/>
      </c>
      <c r="C85">
        <f>'Runs Z score'!C77</f>
        <v/>
      </c>
      <c r="D85">
        <f>'Runs Z score'!D77</f>
        <v/>
      </c>
      <c r="E85">
        <f>'Runs Z score'!E77</f>
        <v/>
      </c>
      <c r="F85">
        <f>'Runs Z score'!F77</f>
        <v/>
      </c>
      <c r="G85">
        <f>'Runs Z score'!G77</f>
        <v/>
      </c>
      <c r="H85">
        <f>VLOOKUP(C85,Recipes!$A$2:$N$4,10,FALSE())</f>
        <v/>
      </c>
      <c r="I85">
        <f>VLOOKUP(C85,Recipes!$A$2:$N$4,12,FALSE())</f>
        <v/>
      </c>
      <c r="J85">
        <f>IF(G85="","",H85-G85)</f>
        <v/>
      </c>
      <c r="K85">
        <f>IF(G85="","",IF(ABS(G85-H85)&lt;=$B$6*I85,"OK","NG"))</f>
        <v/>
      </c>
      <c r="L85">
        <f>IF(K85="","",IF(K85=D85,1,0))</f>
        <v/>
      </c>
      <c r="M85" t="inlineStr">
        <is>
          <t>W2</t>
        </is>
      </c>
      <c r="N85" s="15" t="n">
        <v>1</v>
      </c>
      <c r="O85" s="15" t="n">
        <v>0</v>
      </c>
      <c r="P85">
        <f>IF(M85="","",IF(M85=E85,1,0))</f>
        <v/>
      </c>
      <c r="Q85">
        <f>IF(K85="OK","-",IF(N85&lt;$B$7,"AMBIGUOUS","CONFIDENT"))</f>
        <v/>
      </c>
    </row>
    <row r="86">
      <c r="A86">
        <f>'Runs Z score'!A78</f>
        <v/>
      </c>
      <c r="B86">
        <f>'Runs Z score'!B78</f>
        <v/>
      </c>
      <c r="C86">
        <f>'Runs Z score'!C78</f>
        <v/>
      </c>
      <c r="D86">
        <f>'Runs Z score'!D78</f>
        <v/>
      </c>
      <c r="E86">
        <f>'Runs Z score'!E78</f>
        <v/>
      </c>
      <c r="F86">
        <f>'Runs Z score'!F78</f>
        <v/>
      </c>
      <c r="G86">
        <f>'Runs Z score'!G78</f>
        <v/>
      </c>
      <c r="H86">
        <f>VLOOKUP(C86,Recipes!$A$2:$N$4,10,FALSE())</f>
        <v/>
      </c>
      <c r="I86">
        <f>VLOOKUP(C86,Recipes!$A$2:$N$4,12,FALSE())</f>
        <v/>
      </c>
      <c r="J86">
        <f>IF(G86="","",H86-G86)</f>
        <v/>
      </c>
      <c r="K86">
        <f>IF(G86="","",IF(ABS(G86-H86)&lt;=$B$6*I86,"OK","NG"))</f>
        <v/>
      </c>
      <c r="L86">
        <f>IF(K86="","",IF(K86=D86,1,0))</f>
        <v/>
      </c>
      <c r="M86" t="inlineStr">
        <is>
          <t>W2</t>
        </is>
      </c>
      <c r="N86" s="15" t="n">
        <v>1</v>
      </c>
      <c r="O86" s="15" t="n">
        <v>0</v>
      </c>
      <c r="P86">
        <f>IF(M86="","",IF(M86=E86,1,0))</f>
        <v/>
      </c>
      <c r="Q86">
        <f>IF(K86="OK","-",IF(N86&lt;$B$7,"AMBIGUOUS","CONFIDENT"))</f>
        <v/>
      </c>
    </row>
    <row r="87">
      <c r="A87">
        <f>'Runs Z score'!A79</f>
        <v/>
      </c>
      <c r="B87">
        <f>'Runs Z score'!B79</f>
        <v/>
      </c>
      <c r="C87">
        <f>'Runs Z score'!C79</f>
        <v/>
      </c>
      <c r="D87">
        <f>'Runs Z score'!D79</f>
        <v/>
      </c>
      <c r="E87">
        <f>'Runs Z score'!E79</f>
        <v/>
      </c>
      <c r="F87">
        <f>'Runs Z score'!F79</f>
        <v/>
      </c>
      <c r="G87">
        <f>'Runs Z score'!G79</f>
        <v/>
      </c>
      <c r="H87">
        <f>VLOOKUP(C87,Recipes!$A$2:$N$4,10,FALSE())</f>
        <v/>
      </c>
      <c r="I87">
        <f>VLOOKUP(C87,Recipes!$A$2:$N$4,12,FALSE())</f>
        <v/>
      </c>
      <c r="J87">
        <f>IF(G87="","",H87-G87)</f>
        <v/>
      </c>
      <c r="K87">
        <f>IF(G87="","",IF(ABS(G87-H87)&lt;=$B$6*I87,"OK","NG"))</f>
        <v/>
      </c>
      <c r="L87">
        <f>IF(K87="","",IF(K87=D87,1,0))</f>
        <v/>
      </c>
      <c r="M87" t="inlineStr">
        <is>
          <t>W2</t>
        </is>
      </c>
      <c r="N87" s="15" t="n">
        <v>1</v>
      </c>
      <c r="O87" s="15" t="n">
        <v>0</v>
      </c>
      <c r="P87">
        <f>IF(M87="","",IF(M87=E87,1,0))</f>
        <v/>
      </c>
      <c r="Q87">
        <f>IF(K87="OK","-",IF(N87&lt;$B$7,"AMBIGUOUS","CONFIDENT"))</f>
        <v/>
      </c>
    </row>
    <row r="88">
      <c r="A88">
        <f>'Runs Z score'!A80</f>
        <v/>
      </c>
      <c r="B88">
        <f>'Runs Z score'!B80</f>
        <v/>
      </c>
      <c r="C88">
        <f>'Runs Z score'!C80</f>
        <v/>
      </c>
      <c r="D88">
        <f>'Runs Z score'!D80</f>
        <v/>
      </c>
      <c r="E88">
        <f>'Runs Z score'!E80</f>
        <v/>
      </c>
      <c r="F88">
        <f>'Runs Z score'!F80</f>
        <v/>
      </c>
      <c r="G88">
        <f>'Runs Z score'!G80</f>
        <v/>
      </c>
      <c r="H88">
        <f>VLOOKUP(C88,Recipes!$A$2:$N$4,10,FALSE())</f>
        <v/>
      </c>
      <c r="I88">
        <f>VLOOKUP(C88,Recipes!$A$2:$N$4,12,FALSE())</f>
        <v/>
      </c>
      <c r="J88">
        <f>IF(G88="","",H88-G88)</f>
        <v/>
      </c>
      <c r="K88">
        <f>IF(G88="","",IF(ABS(G88-H88)&lt;=$B$6*I88,"OK","NG"))</f>
        <v/>
      </c>
      <c r="L88">
        <f>IF(K88="","",IF(K88=D88,1,0))</f>
        <v/>
      </c>
      <c r="M88" t="inlineStr">
        <is>
          <t>W2</t>
        </is>
      </c>
      <c r="N88" s="15" t="n">
        <v>1</v>
      </c>
      <c r="O88" s="15" t="n">
        <v>0</v>
      </c>
      <c r="P88">
        <f>IF(M88="","",IF(M88=E88,1,0))</f>
        <v/>
      </c>
      <c r="Q88">
        <f>IF(K88="OK","-",IF(N88&lt;$B$7,"AMBIGUOUS","CONFIDENT"))</f>
        <v/>
      </c>
    </row>
    <row r="89">
      <c r="A89">
        <f>'Runs Z score'!A81</f>
        <v/>
      </c>
      <c r="B89">
        <f>'Runs Z score'!B81</f>
        <v/>
      </c>
      <c r="C89">
        <f>'Runs Z score'!C81</f>
        <v/>
      </c>
      <c r="D89">
        <f>'Runs Z score'!D81</f>
        <v/>
      </c>
      <c r="E89">
        <f>'Runs Z score'!E81</f>
        <v/>
      </c>
      <c r="F89">
        <f>'Runs Z score'!F81</f>
        <v/>
      </c>
      <c r="G89">
        <f>'Runs Z score'!G81</f>
        <v/>
      </c>
      <c r="H89">
        <f>VLOOKUP(C89,Recipes!$A$2:$N$4,10,FALSE())</f>
        <v/>
      </c>
      <c r="I89">
        <f>VLOOKUP(C89,Recipes!$A$2:$N$4,12,FALSE())</f>
        <v/>
      </c>
      <c r="J89">
        <f>IF(G89="","",H89-G89)</f>
        <v/>
      </c>
      <c r="K89">
        <f>IF(G89="","",IF(ABS(G89-H89)&lt;=$B$6*I89,"OK","NG"))</f>
        <v/>
      </c>
      <c r="L89">
        <f>IF(K89="","",IF(K89=D89,1,0))</f>
        <v/>
      </c>
      <c r="M89" t="inlineStr">
        <is>
          <t>W2</t>
        </is>
      </c>
      <c r="N89" s="15" t="n">
        <v>1</v>
      </c>
      <c r="O89" s="15" t="n">
        <v>0</v>
      </c>
      <c r="P89">
        <f>IF(M89="","",IF(M89=E89,1,0))</f>
        <v/>
      </c>
      <c r="Q89">
        <f>IF(K89="OK","-",IF(N89&lt;$B$7,"AMBIGUOUS","CONFIDENT"))</f>
        <v/>
      </c>
    </row>
    <row r="90">
      <c r="A90">
        <f>'Runs Z score'!A82</f>
        <v/>
      </c>
      <c r="B90">
        <f>'Runs Z score'!B82</f>
        <v/>
      </c>
      <c r="C90">
        <f>'Runs Z score'!C82</f>
        <v/>
      </c>
      <c r="D90">
        <f>'Runs Z score'!D82</f>
        <v/>
      </c>
      <c r="E90">
        <f>'Runs Z score'!E82</f>
        <v/>
      </c>
      <c r="F90">
        <f>'Runs Z score'!F82</f>
        <v/>
      </c>
      <c r="G90">
        <f>'Runs Z score'!G82</f>
        <v/>
      </c>
      <c r="H90">
        <f>VLOOKUP(C90,Recipes!$A$2:$N$4,10,FALSE())</f>
        <v/>
      </c>
      <c r="I90">
        <f>VLOOKUP(C90,Recipes!$A$2:$N$4,12,FALSE())</f>
        <v/>
      </c>
      <c r="J90">
        <f>IF(G90="","",H90-G90)</f>
        <v/>
      </c>
      <c r="K90">
        <f>IF(G90="","",IF(ABS(G90-H90)&lt;=$B$6*I90,"OK","NG"))</f>
        <v/>
      </c>
      <c r="L90">
        <f>IF(K90="","",IF(K90=D90,1,0))</f>
        <v/>
      </c>
      <c r="M90" t="inlineStr">
        <is>
          <t>W2</t>
        </is>
      </c>
      <c r="N90" s="15" t="n">
        <v>1</v>
      </c>
      <c r="O90" s="15" t="n">
        <v>0</v>
      </c>
      <c r="P90">
        <f>IF(M90="","",IF(M90=E90,1,0))</f>
        <v/>
      </c>
      <c r="Q90">
        <f>IF(K90="OK","-",IF(N90&lt;$B$7,"AMBIGUOUS","CONFIDENT"))</f>
        <v/>
      </c>
    </row>
    <row r="91">
      <c r="A91">
        <f>'Runs Z score'!A83</f>
        <v/>
      </c>
      <c r="B91">
        <f>'Runs Z score'!B83</f>
        <v/>
      </c>
      <c r="C91">
        <f>'Runs Z score'!C83</f>
        <v/>
      </c>
      <c r="D91">
        <f>'Runs Z score'!D83</f>
        <v/>
      </c>
      <c r="E91">
        <f>'Runs Z score'!E83</f>
        <v/>
      </c>
      <c r="F91">
        <f>'Runs Z score'!F83</f>
        <v/>
      </c>
      <c r="G91">
        <f>'Runs Z score'!G83</f>
        <v/>
      </c>
      <c r="H91">
        <f>VLOOKUP(C91,Recipes!$A$2:$N$4,10,FALSE())</f>
        <v/>
      </c>
      <c r="I91">
        <f>VLOOKUP(C91,Recipes!$A$2:$N$4,12,FALSE())</f>
        <v/>
      </c>
      <c r="J91">
        <f>IF(G91="","",H91-G91)</f>
        <v/>
      </c>
      <c r="K91">
        <f>IF(G91="","",IF(ABS(G91-H91)&lt;=$B$6*I91,"OK","NG"))</f>
        <v/>
      </c>
      <c r="L91">
        <f>IF(K91="","",IF(K91=D91,1,0))</f>
        <v/>
      </c>
      <c r="M91" t="inlineStr">
        <is>
          <t>W2</t>
        </is>
      </c>
      <c r="N91" s="15" t="n">
        <v>1</v>
      </c>
      <c r="O91" s="15" t="n">
        <v>0</v>
      </c>
      <c r="P91">
        <f>IF(M91="","",IF(M91=E91,1,0))</f>
        <v/>
      </c>
      <c r="Q91">
        <f>IF(K91="OK","-",IF(N91&lt;$B$7,"AMBIGUOUS","CONFIDENT"))</f>
        <v/>
      </c>
    </row>
    <row r="92">
      <c r="A92">
        <f>'Runs Z score'!A84</f>
        <v/>
      </c>
      <c r="B92">
        <f>'Runs Z score'!B84</f>
        <v/>
      </c>
      <c r="C92">
        <f>'Runs Z score'!C84</f>
        <v/>
      </c>
      <c r="D92">
        <f>'Runs Z score'!D84</f>
        <v/>
      </c>
      <c r="E92">
        <f>'Runs Z score'!E84</f>
        <v/>
      </c>
      <c r="F92">
        <f>'Runs Z score'!F84</f>
        <v/>
      </c>
      <c r="G92">
        <f>'Runs Z score'!G84</f>
        <v/>
      </c>
      <c r="H92">
        <f>VLOOKUP(C92,Recipes!$A$2:$N$4,10,FALSE())</f>
        <v/>
      </c>
      <c r="I92">
        <f>VLOOKUP(C92,Recipes!$A$2:$N$4,12,FALSE())</f>
        <v/>
      </c>
      <c r="J92">
        <f>IF(G92="","",H92-G92)</f>
        <v/>
      </c>
      <c r="K92">
        <f>IF(G92="","",IF(ABS(G92-H92)&lt;=$B$6*I92,"OK","NG"))</f>
        <v/>
      </c>
      <c r="L92">
        <f>IF(K92="","",IF(K92=D92,1,0))</f>
        <v/>
      </c>
      <c r="M92" t="inlineStr">
        <is>
          <t>W2</t>
        </is>
      </c>
      <c r="N92" s="15" t="n">
        <v>1</v>
      </c>
      <c r="O92" s="15" t="n">
        <v>0</v>
      </c>
      <c r="P92">
        <f>IF(M92="","",IF(M92=E92,1,0))</f>
        <v/>
      </c>
      <c r="Q92">
        <f>IF(K92="OK","-",IF(N92&lt;$B$7,"AMBIGUOUS","CONFIDENT"))</f>
        <v/>
      </c>
    </row>
    <row r="93">
      <c r="A93">
        <f>'Runs Z score'!A85</f>
        <v/>
      </c>
      <c r="B93">
        <f>'Runs Z score'!B85</f>
        <v/>
      </c>
      <c r="C93">
        <f>'Runs Z score'!C85</f>
        <v/>
      </c>
      <c r="D93">
        <f>'Runs Z score'!D85</f>
        <v/>
      </c>
      <c r="E93">
        <f>'Runs Z score'!E85</f>
        <v/>
      </c>
      <c r="F93">
        <f>'Runs Z score'!F85</f>
        <v/>
      </c>
      <c r="G93">
        <f>'Runs Z score'!G85</f>
        <v/>
      </c>
      <c r="H93">
        <f>VLOOKUP(C93,Recipes!$A$2:$N$4,10,FALSE())</f>
        <v/>
      </c>
      <c r="I93">
        <f>VLOOKUP(C93,Recipes!$A$2:$N$4,12,FALSE())</f>
        <v/>
      </c>
      <c r="J93">
        <f>IF(G93="","",H93-G93)</f>
        <v/>
      </c>
      <c r="K93">
        <f>IF(G93="","",IF(ABS(G93-H93)&lt;=$B$6*I93,"OK","NG"))</f>
        <v/>
      </c>
      <c r="L93">
        <f>IF(K93="","",IF(K93=D93,1,0))</f>
        <v/>
      </c>
      <c r="M93" t="inlineStr">
        <is>
          <t>W2</t>
        </is>
      </c>
      <c r="N93" s="15" t="n">
        <v>1</v>
      </c>
      <c r="O93" s="15" t="n">
        <v>0</v>
      </c>
      <c r="P93">
        <f>IF(M93="","",IF(M93=E93,1,0))</f>
        <v/>
      </c>
      <c r="Q93">
        <f>IF(K93="OK","-",IF(N93&lt;$B$7,"AMBIGUOUS","CONFIDENT"))</f>
        <v/>
      </c>
    </row>
    <row r="94">
      <c r="A94">
        <f>'Runs Z score'!A86</f>
        <v/>
      </c>
      <c r="B94">
        <f>'Runs Z score'!B86</f>
        <v/>
      </c>
      <c r="C94">
        <f>'Runs Z score'!C86</f>
        <v/>
      </c>
      <c r="D94">
        <f>'Runs Z score'!D86</f>
        <v/>
      </c>
      <c r="E94">
        <f>'Runs Z score'!E86</f>
        <v/>
      </c>
      <c r="F94">
        <f>'Runs Z score'!F86</f>
        <v/>
      </c>
      <c r="G94">
        <f>'Runs Z score'!G86</f>
        <v/>
      </c>
      <c r="H94">
        <f>VLOOKUP(C94,Recipes!$A$2:$N$4,10,FALSE())</f>
        <v/>
      </c>
      <c r="I94">
        <f>VLOOKUP(C94,Recipes!$A$2:$N$4,12,FALSE())</f>
        <v/>
      </c>
      <c r="J94">
        <f>IF(G94="","",H94-G94)</f>
        <v/>
      </c>
      <c r="K94">
        <f>IF(G94="","",IF(ABS(G94-H94)&lt;=$B$6*I94,"OK","NG"))</f>
        <v/>
      </c>
      <c r="L94">
        <f>IF(K94="","",IF(K94=D94,1,0))</f>
        <v/>
      </c>
      <c r="M94" t="inlineStr">
        <is>
          <t>W2</t>
        </is>
      </c>
      <c r="N94" s="15" t="n">
        <v>1</v>
      </c>
      <c r="O94" s="15" t="n">
        <v>0</v>
      </c>
      <c r="P94">
        <f>IF(M94="","",IF(M94=E94,1,0))</f>
        <v/>
      </c>
      <c r="Q94">
        <f>IF(K94="OK","-",IF(N94&lt;$B$7,"AMBIGUOUS","CONFIDENT"))</f>
        <v/>
      </c>
    </row>
    <row r="95">
      <c r="A95">
        <f>'Runs Z score'!A87</f>
        <v/>
      </c>
      <c r="B95">
        <f>'Runs Z score'!B87</f>
        <v/>
      </c>
      <c r="C95">
        <f>'Runs Z score'!C87</f>
        <v/>
      </c>
      <c r="D95">
        <f>'Runs Z score'!D87</f>
        <v/>
      </c>
      <c r="E95">
        <f>'Runs Z score'!E87</f>
        <v/>
      </c>
      <c r="F95">
        <f>'Runs Z score'!F87</f>
        <v/>
      </c>
      <c r="G95">
        <f>'Runs Z score'!G87</f>
        <v/>
      </c>
      <c r="H95">
        <f>VLOOKUP(C95,Recipes!$A$2:$N$4,10,FALSE())</f>
        <v/>
      </c>
      <c r="I95">
        <f>VLOOKUP(C95,Recipes!$A$2:$N$4,12,FALSE())</f>
        <v/>
      </c>
      <c r="J95">
        <f>IF(G95="","",H95-G95)</f>
        <v/>
      </c>
      <c r="K95">
        <f>IF(G95="","",IF(ABS(G95-H95)&lt;=$B$6*I95,"OK","NG"))</f>
        <v/>
      </c>
      <c r="L95">
        <f>IF(K95="","",IF(K95=D95,1,0))</f>
        <v/>
      </c>
      <c r="M95" t="inlineStr">
        <is>
          <t>W2</t>
        </is>
      </c>
      <c r="N95" s="15" t="n">
        <v>1</v>
      </c>
      <c r="O95" s="15" t="n">
        <v>0</v>
      </c>
      <c r="P95">
        <f>IF(M95="","",IF(M95=E95,1,0))</f>
        <v/>
      </c>
      <c r="Q95">
        <f>IF(K95="OK","-",IF(N95&lt;$B$7,"AMBIGUOUS","CONFIDENT"))</f>
        <v/>
      </c>
    </row>
    <row r="96">
      <c r="A96">
        <f>'Runs Z score'!A88</f>
        <v/>
      </c>
      <c r="B96">
        <f>'Runs Z score'!B88</f>
        <v/>
      </c>
      <c r="C96">
        <f>'Runs Z score'!C88</f>
        <v/>
      </c>
      <c r="D96">
        <f>'Runs Z score'!D88</f>
        <v/>
      </c>
      <c r="E96">
        <f>'Runs Z score'!E88</f>
        <v/>
      </c>
      <c r="F96">
        <f>'Runs Z score'!F88</f>
        <v/>
      </c>
      <c r="G96">
        <f>'Runs Z score'!G88</f>
        <v/>
      </c>
      <c r="H96">
        <f>VLOOKUP(C96,Recipes!$A$2:$N$4,10,FALSE())</f>
        <v/>
      </c>
      <c r="I96">
        <f>VLOOKUP(C96,Recipes!$A$2:$N$4,12,FALSE())</f>
        <v/>
      </c>
      <c r="J96">
        <f>IF(G96="","",H96-G96)</f>
        <v/>
      </c>
      <c r="K96">
        <f>IF(G96="","",IF(ABS(G96-H96)&lt;=$B$6*I96,"OK","NG"))</f>
        <v/>
      </c>
      <c r="L96">
        <f>IF(K96="","",IF(K96=D96,1,0))</f>
        <v/>
      </c>
      <c r="M96" t="inlineStr">
        <is>
          <t>W2</t>
        </is>
      </c>
      <c r="N96" s="15" t="n">
        <v>1</v>
      </c>
      <c r="O96" s="15" t="n">
        <v>0</v>
      </c>
      <c r="P96">
        <f>IF(M96="","",IF(M96=E96,1,0))</f>
        <v/>
      </c>
      <c r="Q96">
        <f>IF(K96="OK","-",IF(N96&lt;$B$7,"AMBIGUOUS","CONFIDENT"))</f>
        <v/>
      </c>
    </row>
    <row r="97">
      <c r="A97">
        <f>'Runs Z score'!A89</f>
        <v/>
      </c>
      <c r="B97">
        <f>'Runs Z score'!B89</f>
        <v/>
      </c>
      <c r="C97">
        <f>'Runs Z score'!C89</f>
        <v/>
      </c>
      <c r="D97">
        <f>'Runs Z score'!D89</f>
        <v/>
      </c>
      <c r="E97">
        <f>'Runs Z score'!E89</f>
        <v/>
      </c>
      <c r="F97">
        <f>'Runs Z score'!F89</f>
        <v/>
      </c>
      <c r="G97">
        <f>'Runs Z score'!G89</f>
        <v/>
      </c>
      <c r="H97">
        <f>VLOOKUP(C97,Recipes!$A$2:$N$4,10,FALSE())</f>
        <v/>
      </c>
      <c r="I97">
        <f>VLOOKUP(C97,Recipes!$A$2:$N$4,12,FALSE())</f>
        <v/>
      </c>
      <c r="J97">
        <f>IF(G97="","",H97-G97)</f>
        <v/>
      </c>
      <c r="K97">
        <f>IF(G97="","",IF(ABS(G97-H97)&lt;=$B$6*I97,"OK","NG"))</f>
        <v/>
      </c>
      <c r="L97">
        <f>IF(K97="","",IF(K97=D97,1,0))</f>
        <v/>
      </c>
      <c r="M97" t="inlineStr">
        <is>
          <t>W2</t>
        </is>
      </c>
      <c r="N97" s="15" t="n">
        <v>1</v>
      </c>
      <c r="O97" s="15" t="n">
        <v>0</v>
      </c>
      <c r="P97">
        <f>IF(M97="","",IF(M97=E97,1,0))</f>
        <v/>
      </c>
      <c r="Q97">
        <f>IF(K97="OK","-",IF(N97&lt;$B$7,"AMBIGUOUS","CONFIDENT"))</f>
        <v/>
      </c>
    </row>
    <row r="98">
      <c r="A98">
        <f>'Runs Z score'!A90</f>
        <v/>
      </c>
      <c r="B98">
        <f>'Runs Z score'!B90</f>
        <v/>
      </c>
      <c r="C98">
        <f>'Runs Z score'!C90</f>
        <v/>
      </c>
      <c r="D98">
        <f>'Runs Z score'!D90</f>
        <v/>
      </c>
      <c r="E98">
        <f>'Runs Z score'!E90</f>
        <v/>
      </c>
      <c r="F98">
        <f>'Runs Z score'!F90</f>
        <v/>
      </c>
      <c r="G98">
        <f>'Runs Z score'!G90</f>
        <v/>
      </c>
      <c r="H98">
        <f>VLOOKUP(C98,Recipes!$A$2:$N$4,10,FALSE())</f>
        <v/>
      </c>
      <c r="I98">
        <f>VLOOKUP(C98,Recipes!$A$2:$N$4,12,FALSE())</f>
        <v/>
      </c>
      <c r="J98">
        <f>IF(G98="","",H98-G98)</f>
        <v/>
      </c>
      <c r="K98">
        <f>IF(G98="","",IF(ABS(G98-H98)&lt;=$B$6*I98,"OK","NG"))</f>
        <v/>
      </c>
      <c r="L98">
        <f>IF(K98="","",IF(K98=D98,1,0))</f>
        <v/>
      </c>
      <c r="M98" t="inlineStr">
        <is>
          <t>W2</t>
        </is>
      </c>
      <c r="N98" s="15" t="n">
        <v>1</v>
      </c>
      <c r="O98" s="15" t="n">
        <v>0</v>
      </c>
      <c r="P98">
        <f>IF(M98="","",IF(M98=E98,1,0))</f>
        <v/>
      </c>
      <c r="Q98">
        <f>IF(K98="OK","-",IF(N98&lt;$B$7,"AMBIGUOUS","CONFIDENT"))</f>
        <v/>
      </c>
    </row>
    <row r="99">
      <c r="A99">
        <f>'Runs Z score'!A91</f>
        <v/>
      </c>
      <c r="B99">
        <f>'Runs Z score'!B91</f>
        <v/>
      </c>
      <c r="C99">
        <f>'Runs Z score'!C91</f>
        <v/>
      </c>
      <c r="D99">
        <f>'Runs Z score'!D91</f>
        <v/>
      </c>
      <c r="E99">
        <f>'Runs Z score'!E91</f>
        <v/>
      </c>
      <c r="F99">
        <f>'Runs Z score'!F91</f>
        <v/>
      </c>
      <c r="G99">
        <f>'Runs Z score'!G91</f>
        <v/>
      </c>
      <c r="H99">
        <f>VLOOKUP(C99,Recipes!$A$2:$N$4,10,FALSE())</f>
        <v/>
      </c>
      <c r="I99">
        <f>VLOOKUP(C99,Recipes!$A$2:$N$4,12,FALSE())</f>
        <v/>
      </c>
      <c r="J99">
        <f>IF(G99="","",H99-G99)</f>
        <v/>
      </c>
      <c r="K99">
        <f>IF(G99="","",IF(ABS(G99-H99)&lt;=$B$6*I99,"OK","NG"))</f>
        <v/>
      </c>
      <c r="L99">
        <f>IF(K99="","",IF(K99=D99,1,0))</f>
        <v/>
      </c>
      <c r="M99" t="inlineStr">
        <is>
          <t>W2</t>
        </is>
      </c>
      <c r="N99" s="15" t="n">
        <v>1</v>
      </c>
      <c r="O99" s="15" t="n">
        <v>0</v>
      </c>
      <c r="P99">
        <f>IF(M99="","",IF(M99=E99,1,0))</f>
        <v/>
      </c>
      <c r="Q99">
        <f>IF(K99="OK","-",IF(N99&lt;$B$7,"AMBIGUOUS","CONFIDENT"))</f>
        <v/>
      </c>
    </row>
    <row r="100">
      <c r="A100">
        <f>'Runs Z score'!A92</f>
        <v/>
      </c>
      <c r="B100">
        <f>'Runs Z score'!B92</f>
        <v/>
      </c>
      <c r="C100">
        <f>'Runs Z score'!C92</f>
        <v/>
      </c>
      <c r="D100">
        <f>'Runs Z score'!D92</f>
        <v/>
      </c>
      <c r="E100">
        <f>'Runs Z score'!E92</f>
        <v/>
      </c>
      <c r="F100">
        <f>'Runs Z score'!F92</f>
        <v/>
      </c>
      <c r="G100">
        <f>'Runs Z score'!G92</f>
        <v/>
      </c>
      <c r="H100">
        <f>VLOOKUP(C100,Recipes!$A$2:$N$4,10,FALSE())</f>
        <v/>
      </c>
      <c r="I100">
        <f>VLOOKUP(C100,Recipes!$A$2:$N$4,12,FALSE())</f>
        <v/>
      </c>
      <c r="J100">
        <f>IF(G100="","",H100-G100)</f>
        <v/>
      </c>
      <c r="K100">
        <f>IF(G100="","",IF(ABS(G100-H100)&lt;=$B$6*I100,"OK","NG"))</f>
        <v/>
      </c>
      <c r="L100">
        <f>IF(K100="","",IF(K100=D100,1,0))</f>
        <v/>
      </c>
      <c r="M100" t="inlineStr">
        <is>
          <t>W2</t>
        </is>
      </c>
      <c r="N100" s="15" t="n">
        <v>1</v>
      </c>
      <c r="O100" s="15" t="n">
        <v>0</v>
      </c>
      <c r="P100">
        <f>IF(M100="","",IF(M100=E100,1,0))</f>
        <v/>
      </c>
      <c r="Q100">
        <f>IF(K100="OK","-",IF(N100&lt;$B$7,"AMBIGUOUS","CONFIDENT"))</f>
        <v/>
      </c>
    </row>
    <row r="101">
      <c r="A101">
        <f>'Runs Z score'!A93</f>
        <v/>
      </c>
      <c r="B101">
        <f>'Runs Z score'!B93</f>
        <v/>
      </c>
      <c r="C101">
        <f>'Runs Z score'!C93</f>
        <v/>
      </c>
      <c r="D101">
        <f>'Runs Z score'!D93</f>
        <v/>
      </c>
      <c r="E101">
        <f>'Runs Z score'!E93</f>
        <v/>
      </c>
      <c r="F101">
        <f>'Runs Z score'!F93</f>
        <v/>
      </c>
      <c r="G101">
        <f>'Runs Z score'!G93</f>
        <v/>
      </c>
      <c r="H101">
        <f>VLOOKUP(C101,Recipes!$A$2:$N$4,10,FALSE())</f>
        <v/>
      </c>
      <c r="I101">
        <f>VLOOKUP(C101,Recipes!$A$2:$N$4,12,FALSE())</f>
        <v/>
      </c>
      <c r="J101">
        <f>IF(G101="","",H101-G101)</f>
        <v/>
      </c>
      <c r="K101">
        <f>IF(G101="","",IF(ABS(G101-H101)&lt;=$B$6*I101,"OK","NG"))</f>
        <v/>
      </c>
      <c r="L101">
        <f>IF(K101="","",IF(K101=D101,1,0))</f>
        <v/>
      </c>
      <c r="M101" t="inlineStr">
        <is>
          <t>N2</t>
        </is>
      </c>
      <c r="N101" s="15" t="n">
        <v>1</v>
      </c>
      <c r="O101" s="15" t="n">
        <v>0</v>
      </c>
      <c r="P101">
        <f>IF(M101="","",IF(M101=E101,1,0))</f>
        <v/>
      </c>
      <c r="Q101">
        <f>IF(K101="OK","-",IF(N101&lt;$B$7,"AMBIGUOUS","CONFIDENT"))</f>
        <v/>
      </c>
    </row>
    <row r="102">
      <c r="A102">
        <f>'Runs Z score'!A94</f>
        <v/>
      </c>
      <c r="B102">
        <f>'Runs Z score'!B94</f>
        <v/>
      </c>
      <c r="C102">
        <f>'Runs Z score'!C94</f>
        <v/>
      </c>
      <c r="D102">
        <f>'Runs Z score'!D94</f>
        <v/>
      </c>
      <c r="E102">
        <f>'Runs Z score'!E94</f>
        <v/>
      </c>
      <c r="F102">
        <f>'Runs Z score'!F94</f>
        <v/>
      </c>
      <c r="G102">
        <f>'Runs Z score'!G94</f>
        <v/>
      </c>
      <c r="H102">
        <f>VLOOKUP(C102,Recipes!$A$2:$N$4,10,FALSE())</f>
        <v/>
      </c>
      <c r="I102">
        <f>VLOOKUP(C102,Recipes!$A$2:$N$4,12,FALSE())</f>
        <v/>
      </c>
      <c r="J102">
        <f>IF(G102="","",H102-G102)</f>
        <v/>
      </c>
      <c r="K102">
        <f>IF(G102="","",IF(ABS(G102-H102)&lt;=$B$6*I102,"OK","NG"))</f>
        <v/>
      </c>
      <c r="L102">
        <f>IF(K102="","",IF(K102=D102,1,0))</f>
        <v/>
      </c>
      <c r="M102" t="inlineStr">
        <is>
          <t>N2</t>
        </is>
      </c>
      <c r="N102" s="15" t="n">
        <v>1</v>
      </c>
      <c r="O102" s="15" t="n">
        <v>0</v>
      </c>
      <c r="P102">
        <f>IF(M102="","",IF(M102=E102,1,0))</f>
        <v/>
      </c>
      <c r="Q102">
        <f>IF(K102="OK","-",IF(N102&lt;$B$7,"AMBIGUOUS","CONFIDENT"))</f>
        <v/>
      </c>
    </row>
    <row r="103">
      <c r="A103">
        <f>'Runs Z score'!A95</f>
        <v/>
      </c>
      <c r="B103">
        <f>'Runs Z score'!B95</f>
        <v/>
      </c>
      <c r="C103">
        <f>'Runs Z score'!C95</f>
        <v/>
      </c>
      <c r="D103">
        <f>'Runs Z score'!D95</f>
        <v/>
      </c>
      <c r="E103">
        <f>'Runs Z score'!E95</f>
        <v/>
      </c>
      <c r="F103">
        <f>'Runs Z score'!F95</f>
        <v/>
      </c>
      <c r="G103">
        <f>'Runs Z score'!G95</f>
        <v/>
      </c>
      <c r="H103">
        <f>VLOOKUP(C103,Recipes!$A$2:$N$4,10,FALSE())</f>
        <v/>
      </c>
      <c r="I103">
        <f>VLOOKUP(C103,Recipes!$A$2:$N$4,12,FALSE())</f>
        <v/>
      </c>
      <c r="J103">
        <f>IF(G103="","",H103-G103)</f>
        <v/>
      </c>
      <c r="K103">
        <f>IF(G103="","",IF(ABS(G103-H103)&lt;=$B$6*I103,"OK","NG"))</f>
        <v/>
      </c>
      <c r="L103">
        <f>IF(K103="","",IF(K103=D103,1,0))</f>
        <v/>
      </c>
      <c r="M103" t="inlineStr">
        <is>
          <t>N2</t>
        </is>
      </c>
      <c r="N103" s="15" t="n">
        <v>1</v>
      </c>
      <c r="O103" s="15" t="n">
        <v>0</v>
      </c>
      <c r="P103">
        <f>IF(M103="","",IF(M103=E103,1,0))</f>
        <v/>
      </c>
      <c r="Q103">
        <f>IF(K103="OK","-",IF(N103&lt;$B$7,"AMBIGUOUS","CONFIDENT"))</f>
        <v/>
      </c>
    </row>
    <row r="104">
      <c r="A104">
        <f>'Runs Z score'!A96</f>
        <v/>
      </c>
      <c r="B104">
        <f>'Runs Z score'!B96</f>
        <v/>
      </c>
      <c r="C104">
        <f>'Runs Z score'!C96</f>
        <v/>
      </c>
      <c r="D104">
        <f>'Runs Z score'!D96</f>
        <v/>
      </c>
      <c r="E104">
        <f>'Runs Z score'!E96</f>
        <v/>
      </c>
      <c r="F104">
        <f>'Runs Z score'!F96</f>
        <v/>
      </c>
      <c r="G104">
        <f>'Runs Z score'!G96</f>
        <v/>
      </c>
      <c r="H104">
        <f>VLOOKUP(C104,Recipes!$A$2:$N$4,10,FALSE())</f>
        <v/>
      </c>
      <c r="I104">
        <f>VLOOKUP(C104,Recipes!$A$2:$N$4,12,FALSE())</f>
        <v/>
      </c>
      <c r="J104">
        <f>IF(G104="","",H104-G104)</f>
        <v/>
      </c>
      <c r="K104">
        <f>IF(G104="","",IF(ABS(G104-H104)&lt;=$B$6*I104,"OK","NG"))</f>
        <v/>
      </c>
      <c r="L104">
        <f>IF(K104="","",IF(K104=D104,1,0))</f>
        <v/>
      </c>
      <c r="M104" t="inlineStr">
        <is>
          <t>N2</t>
        </is>
      </c>
      <c r="N104" s="15" t="n">
        <v>1</v>
      </c>
      <c r="O104" s="15" t="n">
        <v>0</v>
      </c>
      <c r="P104">
        <f>IF(M104="","",IF(M104=E104,1,0))</f>
        <v/>
      </c>
      <c r="Q104">
        <f>IF(K104="OK","-",IF(N104&lt;$B$7,"AMBIGUOUS","CONFIDENT"))</f>
        <v/>
      </c>
    </row>
    <row r="105">
      <c r="A105">
        <f>'Runs Z score'!A97</f>
        <v/>
      </c>
      <c r="B105">
        <f>'Runs Z score'!B97</f>
        <v/>
      </c>
      <c r="C105">
        <f>'Runs Z score'!C97</f>
        <v/>
      </c>
      <c r="D105">
        <f>'Runs Z score'!D97</f>
        <v/>
      </c>
      <c r="E105">
        <f>'Runs Z score'!E97</f>
        <v/>
      </c>
      <c r="F105">
        <f>'Runs Z score'!F97</f>
        <v/>
      </c>
      <c r="G105">
        <f>'Runs Z score'!G97</f>
        <v/>
      </c>
      <c r="H105">
        <f>VLOOKUP(C105,Recipes!$A$2:$N$4,10,FALSE())</f>
        <v/>
      </c>
      <c r="I105">
        <f>VLOOKUP(C105,Recipes!$A$2:$N$4,12,FALSE())</f>
        <v/>
      </c>
      <c r="J105">
        <f>IF(G105="","",H105-G105)</f>
        <v/>
      </c>
      <c r="K105">
        <f>IF(G105="","",IF(ABS(G105-H105)&lt;=$B$6*I105,"OK","NG"))</f>
        <v/>
      </c>
      <c r="L105">
        <f>IF(K105="","",IF(K105=D105,1,0))</f>
        <v/>
      </c>
      <c r="M105" t="inlineStr">
        <is>
          <t>N2</t>
        </is>
      </c>
      <c r="N105" s="15" t="n">
        <v>1</v>
      </c>
      <c r="O105" s="15" t="n">
        <v>0</v>
      </c>
      <c r="P105">
        <f>IF(M105="","",IF(M105=E105,1,0))</f>
        <v/>
      </c>
      <c r="Q105">
        <f>IF(K105="OK","-",IF(N105&lt;$B$7,"AMBIGUOUS","CONFIDENT"))</f>
        <v/>
      </c>
    </row>
    <row r="106">
      <c r="A106">
        <f>'Runs Z score'!A98</f>
        <v/>
      </c>
      <c r="B106">
        <f>'Runs Z score'!B98</f>
        <v/>
      </c>
      <c r="C106">
        <f>'Runs Z score'!C98</f>
        <v/>
      </c>
      <c r="D106">
        <f>'Runs Z score'!D98</f>
        <v/>
      </c>
      <c r="E106">
        <f>'Runs Z score'!E98</f>
        <v/>
      </c>
      <c r="F106">
        <f>'Runs Z score'!F98</f>
        <v/>
      </c>
      <c r="G106">
        <f>'Runs Z score'!G98</f>
        <v/>
      </c>
      <c r="H106">
        <f>VLOOKUP(C106,Recipes!$A$2:$N$4,10,FALSE())</f>
        <v/>
      </c>
      <c r="I106">
        <f>VLOOKUP(C106,Recipes!$A$2:$N$4,12,FALSE())</f>
        <v/>
      </c>
      <c r="J106">
        <f>IF(G106="","",H106-G106)</f>
        <v/>
      </c>
      <c r="K106">
        <f>IF(G106="","",IF(ABS(G106-H106)&lt;=$B$6*I106,"OK","NG"))</f>
        <v/>
      </c>
      <c r="L106">
        <f>IF(K106="","",IF(K106=D106,1,0))</f>
        <v/>
      </c>
      <c r="M106" t="inlineStr">
        <is>
          <t>N2</t>
        </is>
      </c>
      <c r="N106" s="15" t="n">
        <v>1</v>
      </c>
      <c r="O106" s="15" t="n">
        <v>0</v>
      </c>
      <c r="P106">
        <f>IF(M106="","",IF(M106=E106,1,0))</f>
        <v/>
      </c>
      <c r="Q106">
        <f>IF(K106="OK","-",IF(N106&lt;$B$7,"AMBIGUOUS","CONFIDENT"))</f>
        <v/>
      </c>
    </row>
    <row r="107">
      <c r="A107">
        <f>'Runs Z score'!A99</f>
        <v/>
      </c>
      <c r="B107">
        <f>'Runs Z score'!B99</f>
        <v/>
      </c>
      <c r="C107">
        <f>'Runs Z score'!C99</f>
        <v/>
      </c>
      <c r="D107">
        <f>'Runs Z score'!D99</f>
        <v/>
      </c>
      <c r="E107">
        <f>'Runs Z score'!E99</f>
        <v/>
      </c>
      <c r="F107">
        <f>'Runs Z score'!F99</f>
        <v/>
      </c>
      <c r="G107">
        <f>'Runs Z score'!G99</f>
        <v/>
      </c>
      <c r="H107">
        <f>VLOOKUP(C107,Recipes!$A$2:$N$4,10,FALSE())</f>
        <v/>
      </c>
      <c r="I107">
        <f>VLOOKUP(C107,Recipes!$A$2:$N$4,12,FALSE())</f>
        <v/>
      </c>
      <c r="J107">
        <f>IF(G107="","",H107-G107)</f>
        <v/>
      </c>
      <c r="K107">
        <f>IF(G107="","",IF(ABS(G107-H107)&lt;=$B$6*I107,"OK","NG"))</f>
        <v/>
      </c>
      <c r="L107">
        <f>IF(K107="","",IF(K107=D107,1,0))</f>
        <v/>
      </c>
      <c r="M107" t="inlineStr">
        <is>
          <t>N2</t>
        </is>
      </c>
      <c r="N107" s="15" t="n">
        <v>1</v>
      </c>
      <c r="O107" s="15" t="n">
        <v>0</v>
      </c>
      <c r="P107">
        <f>IF(M107="","",IF(M107=E107,1,0))</f>
        <v/>
      </c>
      <c r="Q107">
        <f>IF(K107="OK","-",IF(N107&lt;$B$7,"AMBIGUOUS","CONFIDENT"))</f>
        <v/>
      </c>
    </row>
    <row r="108">
      <c r="A108">
        <f>'Runs Z score'!A100</f>
        <v/>
      </c>
      <c r="B108">
        <f>'Runs Z score'!B100</f>
        <v/>
      </c>
      <c r="C108">
        <f>'Runs Z score'!C100</f>
        <v/>
      </c>
      <c r="D108">
        <f>'Runs Z score'!D100</f>
        <v/>
      </c>
      <c r="E108">
        <f>'Runs Z score'!E100</f>
        <v/>
      </c>
      <c r="F108">
        <f>'Runs Z score'!F100</f>
        <v/>
      </c>
      <c r="G108">
        <f>'Runs Z score'!G100</f>
        <v/>
      </c>
      <c r="H108">
        <f>VLOOKUP(C108,Recipes!$A$2:$N$4,10,FALSE())</f>
        <v/>
      </c>
      <c r="I108">
        <f>VLOOKUP(C108,Recipes!$A$2:$N$4,12,FALSE())</f>
        <v/>
      </c>
      <c r="J108">
        <f>IF(G108="","",H108-G108)</f>
        <v/>
      </c>
      <c r="K108">
        <f>IF(G108="","",IF(ABS(G108-H108)&lt;=$B$6*I108,"OK","NG"))</f>
        <v/>
      </c>
      <c r="L108">
        <f>IF(K108="","",IF(K108=D108,1,0))</f>
        <v/>
      </c>
      <c r="M108" t="inlineStr">
        <is>
          <t>N2</t>
        </is>
      </c>
      <c r="N108" s="15" t="n">
        <v>1</v>
      </c>
      <c r="O108" s="15" t="n">
        <v>0</v>
      </c>
      <c r="P108">
        <f>IF(M108="","",IF(M108=E108,1,0))</f>
        <v/>
      </c>
      <c r="Q108">
        <f>IF(K108="OK","-",IF(N108&lt;$B$7,"AMBIGUOUS","CONFIDENT"))</f>
        <v/>
      </c>
    </row>
    <row r="109">
      <c r="A109">
        <f>'Runs Z score'!A101</f>
        <v/>
      </c>
      <c r="B109">
        <f>'Runs Z score'!B101</f>
        <v/>
      </c>
      <c r="C109">
        <f>'Runs Z score'!C101</f>
        <v/>
      </c>
      <c r="D109">
        <f>'Runs Z score'!D101</f>
        <v/>
      </c>
      <c r="E109">
        <f>'Runs Z score'!E101</f>
        <v/>
      </c>
      <c r="F109">
        <f>'Runs Z score'!F101</f>
        <v/>
      </c>
      <c r="G109">
        <f>'Runs Z score'!G101</f>
        <v/>
      </c>
      <c r="H109">
        <f>VLOOKUP(C109,Recipes!$A$2:$N$4,10,FALSE())</f>
        <v/>
      </c>
      <c r="I109">
        <f>VLOOKUP(C109,Recipes!$A$2:$N$4,12,FALSE())</f>
        <v/>
      </c>
      <c r="J109">
        <f>IF(G109="","",H109-G109)</f>
        <v/>
      </c>
      <c r="K109">
        <f>IF(G109="","",IF(ABS(G109-H109)&lt;=$B$6*I109,"OK","NG"))</f>
        <v/>
      </c>
      <c r="L109">
        <f>IF(K109="","",IF(K109=D109,1,0))</f>
        <v/>
      </c>
      <c r="M109" t="inlineStr">
        <is>
          <t>N2</t>
        </is>
      </c>
      <c r="N109" s="15" t="n">
        <v>1</v>
      </c>
      <c r="O109" s="15" t="n">
        <v>0</v>
      </c>
      <c r="P109">
        <f>IF(M109="","",IF(M109=E109,1,0))</f>
        <v/>
      </c>
      <c r="Q109">
        <f>IF(K109="OK","-",IF(N109&lt;$B$7,"AMBIGUOUS","CONFIDENT"))</f>
        <v/>
      </c>
    </row>
    <row r="110">
      <c r="A110">
        <f>'Runs Z score'!A102</f>
        <v/>
      </c>
      <c r="B110">
        <f>'Runs Z score'!B102</f>
        <v/>
      </c>
      <c r="C110">
        <f>'Runs Z score'!C102</f>
        <v/>
      </c>
      <c r="D110">
        <f>'Runs Z score'!D102</f>
        <v/>
      </c>
      <c r="E110">
        <f>'Runs Z score'!E102</f>
        <v/>
      </c>
      <c r="F110">
        <f>'Runs Z score'!F102</f>
        <v/>
      </c>
      <c r="G110">
        <f>'Runs Z score'!G102</f>
        <v/>
      </c>
      <c r="H110">
        <f>VLOOKUP(C110,Recipes!$A$2:$N$4,10,FALSE())</f>
        <v/>
      </c>
      <c r="I110">
        <f>VLOOKUP(C110,Recipes!$A$2:$N$4,12,FALSE())</f>
        <v/>
      </c>
      <c r="J110">
        <f>IF(G110="","",H110-G110)</f>
        <v/>
      </c>
      <c r="K110">
        <f>IF(G110="","",IF(ABS(G110-H110)&lt;=$B$6*I110,"OK","NG"))</f>
        <v/>
      </c>
      <c r="L110">
        <f>IF(K110="","",IF(K110=D110,1,0))</f>
        <v/>
      </c>
      <c r="M110" t="inlineStr">
        <is>
          <t>N2</t>
        </is>
      </c>
      <c r="N110" s="15" t="n">
        <v>1</v>
      </c>
      <c r="O110" s="15" t="n">
        <v>0</v>
      </c>
      <c r="P110">
        <f>IF(M110="","",IF(M110=E110,1,0))</f>
        <v/>
      </c>
      <c r="Q110">
        <f>IF(K110="OK","-",IF(N110&lt;$B$7,"AMBIGUOUS","CONFIDENT"))</f>
        <v/>
      </c>
    </row>
    <row r="111">
      <c r="A111">
        <f>'Runs Z score'!A103</f>
        <v/>
      </c>
      <c r="B111">
        <f>'Runs Z score'!B103</f>
        <v/>
      </c>
      <c r="C111">
        <f>'Runs Z score'!C103</f>
        <v/>
      </c>
      <c r="D111">
        <f>'Runs Z score'!D103</f>
        <v/>
      </c>
      <c r="E111">
        <f>'Runs Z score'!E103</f>
        <v/>
      </c>
      <c r="F111">
        <f>'Runs Z score'!F103</f>
        <v/>
      </c>
      <c r="G111">
        <f>'Runs Z score'!G103</f>
        <v/>
      </c>
      <c r="H111">
        <f>VLOOKUP(C111,Recipes!$A$2:$N$4,10,FALSE())</f>
        <v/>
      </c>
      <c r="I111">
        <f>VLOOKUP(C111,Recipes!$A$2:$N$4,12,FALSE())</f>
        <v/>
      </c>
      <c r="J111">
        <f>IF(G111="","",H111-G111)</f>
        <v/>
      </c>
      <c r="K111">
        <f>IF(G111="","",IF(ABS(G111-H111)&lt;=$B$6*I111,"OK","NG"))</f>
        <v/>
      </c>
      <c r="L111">
        <f>IF(K111="","",IF(K111=D111,1,0))</f>
        <v/>
      </c>
      <c r="M111" t="inlineStr">
        <is>
          <t>N2</t>
        </is>
      </c>
      <c r="N111" s="15" t="n">
        <v>1</v>
      </c>
      <c r="O111" s="15" t="n">
        <v>0</v>
      </c>
      <c r="P111">
        <f>IF(M111="","",IF(M111=E111,1,0))</f>
        <v/>
      </c>
      <c r="Q111">
        <f>IF(K111="OK","-",IF(N111&lt;$B$7,"AMBIGUOUS","CONFIDENT"))</f>
        <v/>
      </c>
    </row>
    <row r="112">
      <c r="A112">
        <f>'Runs Z score'!A104</f>
        <v/>
      </c>
      <c r="B112">
        <f>'Runs Z score'!B104</f>
        <v/>
      </c>
      <c r="C112">
        <f>'Runs Z score'!C104</f>
        <v/>
      </c>
      <c r="D112">
        <f>'Runs Z score'!D104</f>
        <v/>
      </c>
      <c r="E112">
        <f>'Runs Z score'!E104</f>
        <v/>
      </c>
      <c r="F112">
        <f>'Runs Z score'!F104</f>
        <v/>
      </c>
      <c r="G112">
        <f>'Runs Z score'!G104</f>
        <v/>
      </c>
      <c r="H112">
        <f>VLOOKUP(C112,Recipes!$A$2:$N$4,10,FALSE())</f>
        <v/>
      </c>
      <c r="I112">
        <f>VLOOKUP(C112,Recipes!$A$2:$N$4,12,FALSE())</f>
        <v/>
      </c>
      <c r="J112">
        <f>IF(G112="","",H112-G112)</f>
        <v/>
      </c>
      <c r="K112">
        <f>IF(G112="","",IF(ABS(G112-H112)&lt;=$B$6*I112,"OK","NG"))</f>
        <v/>
      </c>
      <c r="L112">
        <f>IF(K112="","",IF(K112=D112,1,0))</f>
        <v/>
      </c>
      <c r="M112" t="inlineStr">
        <is>
          <t>N2</t>
        </is>
      </c>
      <c r="N112" s="15" t="n">
        <v>1</v>
      </c>
      <c r="O112" s="15" t="n">
        <v>0</v>
      </c>
      <c r="P112">
        <f>IF(M112="","",IF(M112=E112,1,0))</f>
        <v/>
      </c>
      <c r="Q112">
        <f>IF(K112="OK","-",IF(N112&lt;$B$7,"AMBIGUOUS","CONFIDENT"))</f>
        <v/>
      </c>
    </row>
    <row r="113">
      <c r="A113">
        <f>'Runs Z score'!A105</f>
        <v/>
      </c>
      <c r="B113">
        <f>'Runs Z score'!B105</f>
        <v/>
      </c>
      <c r="C113">
        <f>'Runs Z score'!C105</f>
        <v/>
      </c>
      <c r="D113">
        <f>'Runs Z score'!D105</f>
        <v/>
      </c>
      <c r="E113">
        <f>'Runs Z score'!E105</f>
        <v/>
      </c>
      <c r="F113">
        <f>'Runs Z score'!F105</f>
        <v/>
      </c>
      <c r="G113">
        <f>'Runs Z score'!G105</f>
        <v/>
      </c>
      <c r="H113">
        <f>VLOOKUP(C113,Recipes!$A$2:$N$4,10,FALSE())</f>
        <v/>
      </c>
      <c r="I113">
        <f>VLOOKUP(C113,Recipes!$A$2:$N$4,12,FALSE())</f>
        <v/>
      </c>
      <c r="J113">
        <f>IF(G113="","",H113-G113)</f>
        <v/>
      </c>
      <c r="K113">
        <f>IF(G113="","",IF(ABS(G113-H113)&lt;=$B$6*I113,"OK","NG"))</f>
        <v/>
      </c>
      <c r="L113">
        <f>IF(K113="","",IF(K113=D113,1,0))</f>
        <v/>
      </c>
      <c r="M113" t="inlineStr">
        <is>
          <t>N2</t>
        </is>
      </c>
      <c r="N113" s="15" t="n">
        <v>1</v>
      </c>
      <c r="O113" s="15" t="n">
        <v>0</v>
      </c>
      <c r="P113">
        <f>IF(M113="","",IF(M113=E113,1,0))</f>
        <v/>
      </c>
      <c r="Q113">
        <f>IF(K113="OK","-",IF(N113&lt;$B$7,"AMBIGUOUS","CONFIDENT"))</f>
        <v/>
      </c>
    </row>
    <row r="114">
      <c r="A114">
        <f>'Runs Z score'!A106</f>
        <v/>
      </c>
      <c r="B114">
        <f>'Runs Z score'!B106</f>
        <v/>
      </c>
      <c r="C114">
        <f>'Runs Z score'!C106</f>
        <v/>
      </c>
      <c r="D114">
        <f>'Runs Z score'!D106</f>
        <v/>
      </c>
      <c r="E114">
        <f>'Runs Z score'!E106</f>
        <v/>
      </c>
      <c r="F114">
        <f>'Runs Z score'!F106</f>
        <v/>
      </c>
      <c r="G114">
        <f>'Runs Z score'!G106</f>
        <v/>
      </c>
      <c r="H114">
        <f>VLOOKUP(C114,Recipes!$A$2:$N$4,10,FALSE())</f>
        <v/>
      </c>
      <c r="I114">
        <f>VLOOKUP(C114,Recipes!$A$2:$N$4,12,FALSE())</f>
        <v/>
      </c>
      <c r="J114">
        <f>IF(G114="","",H114-G114)</f>
        <v/>
      </c>
      <c r="K114">
        <f>IF(G114="","",IF(ABS(G114-H114)&lt;=$B$6*I114,"OK","NG"))</f>
        <v/>
      </c>
      <c r="L114">
        <f>IF(K114="","",IF(K114=D114,1,0))</f>
        <v/>
      </c>
      <c r="M114" t="inlineStr">
        <is>
          <t>N2</t>
        </is>
      </c>
      <c r="N114" s="15" t="n">
        <v>1</v>
      </c>
      <c r="O114" s="15" t="n">
        <v>0</v>
      </c>
      <c r="P114">
        <f>IF(M114="","",IF(M114=E114,1,0))</f>
        <v/>
      </c>
      <c r="Q114">
        <f>IF(K114="OK","-",IF(N114&lt;$B$7,"AMBIGUOUS","CONFIDENT"))</f>
        <v/>
      </c>
    </row>
    <row r="115">
      <c r="A115">
        <f>'Runs Z score'!A107</f>
        <v/>
      </c>
      <c r="B115">
        <f>'Runs Z score'!B107</f>
        <v/>
      </c>
      <c r="C115">
        <f>'Runs Z score'!C107</f>
        <v/>
      </c>
      <c r="D115">
        <f>'Runs Z score'!D107</f>
        <v/>
      </c>
      <c r="E115">
        <f>'Runs Z score'!E107</f>
        <v/>
      </c>
      <c r="F115">
        <f>'Runs Z score'!F107</f>
        <v/>
      </c>
      <c r="G115">
        <f>'Runs Z score'!G107</f>
        <v/>
      </c>
      <c r="H115">
        <f>VLOOKUP(C115,Recipes!$A$2:$N$4,10,FALSE())</f>
        <v/>
      </c>
      <c r="I115">
        <f>VLOOKUP(C115,Recipes!$A$2:$N$4,12,FALSE())</f>
        <v/>
      </c>
      <c r="J115">
        <f>IF(G115="","",H115-G115)</f>
        <v/>
      </c>
      <c r="K115">
        <f>IF(G115="","",IF(ABS(G115-H115)&lt;=$B$6*I115,"OK","NG"))</f>
        <v/>
      </c>
      <c r="L115">
        <f>IF(K115="","",IF(K115=D115,1,0))</f>
        <v/>
      </c>
      <c r="M115" t="inlineStr">
        <is>
          <t>N2</t>
        </is>
      </c>
      <c r="N115" s="15" t="n">
        <v>1</v>
      </c>
      <c r="O115" s="15" t="n">
        <v>0</v>
      </c>
      <c r="P115">
        <f>IF(M115="","",IF(M115=E115,1,0))</f>
        <v/>
      </c>
      <c r="Q115">
        <f>IF(K115="OK","-",IF(N115&lt;$B$7,"AMBIGUOUS","CONFIDENT"))</f>
        <v/>
      </c>
    </row>
    <row r="116">
      <c r="A116">
        <f>'Runs Z score'!A108</f>
        <v/>
      </c>
      <c r="B116">
        <f>'Runs Z score'!B108</f>
        <v/>
      </c>
      <c r="C116">
        <f>'Runs Z score'!C108</f>
        <v/>
      </c>
      <c r="D116">
        <f>'Runs Z score'!D108</f>
        <v/>
      </c>
      <c r="E116">
        <f>'Runs Z score'!E108</f>
        <v/>
      </c>
      <c r="F116">
        <f>'Runs Z score'!F108</f>
        <v/>
      </c>
      <c r="G116">
        <f>'Runs Z score'!G108</f>
        <v/>
      </c>
      <c r="H116">
        <f>VLOOKUP(C116,Recipes!$A$2:$N$4,10,FALSE())</f>
        <v/>
      </c>
      <c r="I116">
        <f>VLOOKUP(C116,Recipes!$A$2:$N$4,12,FALSE())</f>
        <v/>
      </c>
      <c r="J116">
        <f>IF(G116="","",H116-G116)</f>
        <v/>
      </c>
      <c r="K116">
        <f>IF(G116="","",IF(ABS(G116-H116)&lt;=$B$6*I116,"OK","NG"))</f>
        <v/>
      </c>
      <c r="L116">
        <f>IF(K116="","",IF(K116=D116,1,0))</f>
        <v/>
      </c>
      <c r="M116" t="inlineStr">
        <is>
          <t>N2</t>
        </is>
      </c>
      <c r="N116" s="15" t="n">
        <v>1</v>
      </c>
      <c r="O116" s="15" t="n">
        <v>0</v>
      </c>
      <c r="P116">
        <f>IF(M116="","",IF(M116=E116,1,0))</f>
        <v/>
      </c>
      <c r="Q116">
        <f>IF(K116="OK","-",IF(N116&lt;$B$7,"AMBIGUOUS","CONFIDENT"))</f>
        <v/>
      </c>
    </row>
    <row r="117">
      <c r="A117">
        <f>'Runs Z score'!A109</f>
        <v/>
      </c>
      <c r="B117">
        <f>'Runs Z score'!B109</f>
        <v/>
      </c>
      <c r="C117">
        <f>'Runs Z score'!C109</f>
        <v/>
      </c>
      <c r="D117">
        <f>'Runs Z score'!D109</f>
        <v/>
      </c>
      <c r="E117">
        <f>'Runs Z score'!E109</f>
        <v/>
      </c>
      <c r="F117">
        <f>'Runs Z score'!F109</f>
        <v/>
      </c>
      <c r="G117">
        <f>'Runs Z score'!G109</f>
        <v/>
      </c>
      <c r="H117">
        <f>VLOOKUP(C117,Recipes!$A$2:$N$4,10,FALSE())</f>
        <v/>
      </c>
      <c r="I117">
        <f>VLOOKUP(C117,Recipes!$A$2:$N$4,12,FALSE())</f>
        <v/>
      </c>
      <c r="J117">
        <f>IF(G117="","",H117-G117)</f>
        <v/>
      </c>
      <c r="K117">
        <f>IF(G117="","",IF(ABS(G117-H117)&lt;=$B$6*I117,"OK","NG"))</f>
        <v/>
      </c>
      <c r="L117">
        <f>IF(K117="","",IF(K117=D117,1,0))</f>
        <v/>
      </c>
      <c r="M117" t="inlineStr">
        <is>
          <t>N2</t>
        </is>
      </c>
      <c r="N117" s="15" t="n">
        <v>1</v>
      </c>
      <c r="O117" s="15" t="n">
        <v>0</v>
      </c>
      <c r="P117">
        <f>IF(M117="","",IF(M117=E117,1,0))</f>
        <v/>
      </c>
      <c r="Q117">
        <f>IF(K117="OK","-",IF(N117&lt;$B$7,"AMBIGUOUS","CONFIDENT"))</f>
        <v/>
      </c>
    </row>
    <row r="118">
      <c r="A118">
        <f>'Runs Z score'!A110</f>
        <v/>
      </c>
      <c r="B118">
        <f>'Runs Z score'!B110</f>
        <v/>
      </c>
      <c r="C118">
        <f>'Runs Z score'!C110</f>
        <v/>
      </c>
      <c r="D118">
        <f>'Runs Z score'!D110</f>
        <v/>
      </c>
      <c r="E118">
        <f>'Runs Z score'!E110</f>
        <v/>
      </c>
      <c r="F118">
        <f>'Runs Z score'!F110</f>
        <v/>
      </c>
      <c r="G118">
        <f>'Runs Z score'!G110</f>
        <v/>
      </c>
      <c r="H118">
        <f>VLOOKUP(C118,Recipes!$A$2:$N$4,10,FALSE())</f>
        <v/>
      </c>
      <c r="I118">
        <f>VLOOKUP(C118,Recipes!$A$2:$N$4,12,FALSE())</f>
        <v/>
      </c>
      <c r="J118">
        <f>IF(G118="","",H118-G118)</f>
        <v/>
      </c>
      <c r="K118">
        <f>IF(G118="","",IF(ABS(G118-H118)&lt;=$B$6*I118,"OK","NG"))</f>
        <v/>
      </c>
      <c r="L118">
        <f>IF(K118="","",IF(K118=D118,1,0))</f>
        <v/>
      </c>
      <c r="M118" t="inlineStr">
        <is>
          <t>N2</t>
        </is>
      </c>
      <c r="N118" s="15" t="n">
        <v>1</v>
      </c>
      <c r="O118" s="15" t="n">
        <v>0</v>
      </c>
      <c r="P118">
        <f>IF(M118="","",IF(M118=E118,1,0))</f>
        <v/>
      </c>
      <c r="Q118">
        <f>IF(K118="OK","-",IF(N118&lt;$B$7,"AMBIGUOUS","CONFIDENT"))</f>
        <v/>
      </c>
    </row>
    <row r="119">
      <c r="A119">
        <f>'Runs Z score'!A111</f>
        <v/>
      </c>
      <c r="B119">
        <f>'Runs Z score'!B111</f>
        <v/>
      </c>
      <c r="C119">
        <f>'Runs Z score'!C111</f>
        <v/>
      </c>
      <c r="D119">
        <f>'Runs Z score'!D111</f>
        <v/>
      </c>
      <c r="E119">
        <f>'Runs Z score'!E111</f>
        <v/>
      </c>
      <c r="F119">
        <f>'Runs Z score'!F111</f>
        <v/>
      </c>
      <c r="G119">
        <f>'Runs Z score'!G111</f>
        <v/>
      </c>
      <c r="H119">
        <f>VLOOKUP(C119,Recipes!$A$2:$N$4,10,FALSE())</f>
        <v/>
      </c>
      <c r="I119">
        <f>VLOOKUP(C119,Recipes!$A$2:$N$4,12,FALSE())</f>
        <v/>
      </c>
      <c r="J119">
        <f>IF(G119="","",H119-G119)</f>
        <v/>
      </c>
      <c r="K119">
        <f>IF(G119="","",IF(ABS(G119-H119)&lt;=$B$6*I119,"OK","NG"))</f>
        <v/>
      </c>
      <c r="L119">
        <f>IF(K119="","",IF(K119=D119,1,0))</f>
        <v/>
      </c>
      <c r="M119" t="inlineStr">
        <is>
          <t>N2</t>
        </is>
      </c>
      <c r="N119" s="15" t="n">
        <v>1</v>
      </c>
      <c r="O119" s="15" t="n">
        <v>0</v>
      </c>
      <c r="P119">
        <f>IF(M119="","",IF(M119=E119,1,0))</f>
        <v/>
      </c>
      <c r="Q119">
        <f>IF(K119="OK","-",IF(N119&lt;$B$7,"AMBIGUOUS","CONFIDENT"))</f>
        <v/>
      </c>
    </row>
    <row r="120">
      <c r="A120">
        <f>'Runs Z score'!A112</f>
        <v/>
      </c>
      <c r="B120">
        <f>'Runs Z score'!B112</f>
        <v/>
      </c>
      <c r="C120">
        <f>'Runs Z score'!C112</f>
        <v/>
      </c>
      <c r="D120">
        <f>'Runs Z score'!D112</f>
        <v/>
      </c>
      <c r="E120">
        <f>'Runs Z score'!E112</f>
        <v/>
      </c>
      <c r="F120">
        <f>'Runs Z score'!F112</f>
        <v/>
      </c>
      <c r="G120">
        <f>'Runs Z score'!G112</f>
        <v/>
      </c>
      <c r="H120">
        <f>VLOOKUP(C120,Recipes!$A$2:$N$4,10,FALSE())</f>
        <v/>
      </c>
      <c r="I120">
        <f>VLOOKUP(C120,Recipes!$A$2:$N$4,12,FALSE())</f>
        <v/>
      </c>
      <c r="J120">
        <f>IF(G120="","",H120-G120)</f>
        <v/>
      </c>
      <c r="K120">
        <f>IF(G120="","",IF(ABS(G120-H120)&lt;=$B$6*I120,"OK","NG"))</f>
        <v/>
      </c>
      <c r="L120">
        <f>IF(K120="","",IF(K120=D120,1,0))</f>
        <v/>
      </c>
      <c r="M120" t="inlineStr">
        <is>
          <t>N2</t>
        </is>
      </c>
      <c r="N120" s="15" t="n">
        <v>1</v>
      </c>
      <c r="O120" s="15" t="n">
        <v>0</v>
      </c>
      <c r="P120">
        <f>IF(M120="","",IF(M120=E120,1,0))</f>
        <v/>
      </c>
      <c r="Q120">
        <f>IF(K120="OK","-",IF(N120&lt;$B$7,"AMBIGUOUS","CONFIDENT"))</f>
        <v/>
      </c>
    </row>
    <row r="121">
      <c r="A121">
        <f>'Runs Z score'!A113</f>
        <v/>
      </c>
      <c r="B121">
        <f>'Runs Z score'!B113</f>
        <v/>
      </c>
      <c r="C121">
        <f>'Runs Z score'!C113</f>
        <v/>
      </c>
      <c r="D121">
        <f>'Runs Z score'!D113</f>
        <v/>
      </c>
      <c r="E121">
        <f>'Runs Z score'!E113</f>
        <v/>
      </c>
      <c r="F121">
        <f>'Runs Z score'!F113</f>
        <v/>
      </c>
      <c r="G121">
        <f>'Runs Z score'!G113</f>
        <v/>
      </c>
      <c r="H121">
        <f>VLOOKUP(C121,Recipes!$A$2:$N$4,10,FALSE())</f>
        <v/>
      </c>
      <c r="I121">
        <f>VLOOKUP(C121,Recipes!$A$2:$N$4,12,FALSE())</f>
        <v/>
      </c>
      <c r="J121">
        <f>IF(G121="","",H121-G121)</f>
        <v/>
      </c>
      <c r="K121">
        <f>IF(G121="","",IF(ABS(G121-H121)&lt;=$B$6*I121,"OK","NG"))</f>
        <v/>
      </c>
      <c r="L121">
        <f>IF(K121="","",IF(K121=D121,1,0))</f>
        <v/>
      </c>
      <c r="M121" t="inlineStr">
        <is>
          <t>N2</t>
        </is>
      </c>
      <c r="N121" s="15" t="n">
        <v>1</v>
      </c>
      <c r="O121" s="15" t="n">
        <v>0</v>
      </c>
      <c r="P121">
        <f>IF(M121="","",IF(M121=E121,1,0))</f>
        <v/>
      </c>
      <c r="Q121">
        <f>IF(K121="OK","-",IF(N121&lt;$B$7,"AMBIGUOUS","CONFIDENT"))</f>
        <v/>
      </c>
    </row>
    <row r="122">
      <c r="A122">
        <f>'Runs Z score'!A114</f>
        <v/>
      </c>
      <c r="B122">
        <f>'Runs Z score'!B114</f>
        <v/>
      </c>
      <c r="C122">
        <f>'Runs Z score'!C114</f>
        <v/>
      </c>
      <c r="D122">
        <f>'Runs Z score'!D114</f>
        <v/>
      </c>
      <c r="E122">
        <f>'Runs Z score'!E114</f>
        <v/>
      </c>
      <c r="F122">
        <f>'Runs Z score'!F114</f>
        <v/>
      </c>
      <c r="G122">
        <f>'Runs Z score'!G114</f>
        <v/>
      </c>
      <c r="H122">
        <f>VLOOKUP(C122,Recipes!$A$2:$N$4,10,FALSE())</f>
        <v/>
      </c>
      <c r="I122">
        <f>VLOOKUP(C122,Recipes!$A$2:$N$4,12,FALSE())</f>
        <v/>
      </c>
      <c r="J122">
        <f>IF(G122="","",H122-G122)</f>
        <v/>
      </c>
      <c r="K122">
        <f>IF(G122="","",IF(ABS(G122-H122)&lt;=$B$6*I122,"OK","NG"))</f>
        <v/>
      </c>
      <c r="L122">
        <f>IF(K122="","",IF(K122=D122,1,0))</f>
        <v/>
      </c>
      <c r="M122" t="inlineStr">
        <is>
          <t>N2</t>
        </is>
      </c>
      <c r="N122" s="15" t="n">
        <v>1</v>
      </c>
      <c r="O122" s="15" t="n">
        <v>0</v>
      </c>
      <c r="P122">
        <f>IF(M122="","",IF(M122=E122,1,0))</f>
        <v/>
      </c>
      <c r="Q122">
        <f>IF(K122="OK","-",IF(N122&lt;$B$7,"AMBIGUOUS","CONFIDENT"))</f>
        <v/>
      </c>
    </row>
    <row r="123">
      <c r="A123">
        <f>'Runs Z score'!A115</f>
        <v/>
      </c>
      <c r="B123">
        <f>'Runs Z score'!B115</f>
        <v/>
      </c>
      <c r="C123">
        <f>'Runs Z score'!C115</f>
        <v/>
      </c>
      <c r="D123">
        <f>'Runs Z score'!D115</f>
        <v/>
      </c>
      <c r="E123">
        <f>'Runs Z score'!E115</f>
        <v/>
      </c>
      <c r="F123">
        <f>'Runs Z score'!F115</f>
        <v/>
      </c>
      <c r="G123">
        <f>'Runs Z score'!G115</f>
        <v/>
      </c>
      <c r="H123">
        <f>VLOOKUP(C123,Recipes!$A$2:$N$4,10,FALSE())</f>
        <v/>
      </c>
      <c r="I123">
        <f>VLOOKUP(C123,Recipes!$A$2:$N$4,12,FALSE())</f>
        <v/>
      </c>
      <c r="J123">
        <f>IF(G123="","",H123-G123)</f>
        <v/>
      </c>
      <c r="K123">
        <f>IF(G123="","",IF(ABS(G123-H123)&lt;=$B$6*I123,"OK","NG"))</f>
        <v/>
      </c>
      <c r="L123">
        <f>IF(K123="","",IF(K123=D123,1,0))</f>
        <v/>
      </c>
      <c r="M123" t="inlineStr">
        <is>
          <t>N2</t>
        </is>
      </c>
      <c r="N123" s="15" t="n">
        <v>1</v>
      </c>
      <c r="O123" s="15" t="n">
        <v>0</v>
      </c>
      <c r="P123">
        <f>IF(M123="","",IF(M123=E123,1,0))</f>
        <v/>
      </c>
      <c r="Q123">
        <f>IF(K123="OK","-",IF(N123&lt;$B$7,"AMBIGUOUS","CONFIDENT"))</f>
        <v/>
      </c>
    </row>
    <row r="124">
      <c r="A124">
        <f>'Runs Z score'!A116</f>
        <v/>
      </c>
      <c r="B124">
        <f>'Runs Z score'!B116</f>
        <v/>
      </c>
      <c r="C124">
        <f>'Runs Z score'!C116</f>
        <v/>
      </c>
      <c r="D124">
        <f>'Runs Z score'!D116</f>
        <v/>
      </c>
      <c r="E124">
        <f>'Runs Z score'!E116</f>
        <v/>
      </c>
      <c r="F124">
        <f>'Runs Z score'!F116</f>
        <v/>
      </c>
      <c r="G124">
        <f>'Runs Z score'!G116</f>
        <v/>
      </c>
      <c r="H124">
        <f>VLOOKUP(C124,Recipes!$A$2:$N$4,10,FALSE())</f>
        <v/>
      </c>
      <c r="I124">
        <f>VLOOKUP(C124,Recipes!$A$2:$N$4,12,FALSE())</f>
        <v/>
      </c>
      <c r="J124">
        <f>IF(G124="","",H124-G124)</f>
        <v/>
      </c>
      <c r="K124">
        <f>IF(G124="","",IF(ABS(G124-H124)&lt;=$B$6*I124,"OK","NG"))</f>
        <v/>
      </c>
      <c r="L124">
        <f>IF(K124="","",IF(K124=D124,1,0))</f>
        <v/>
      </c>
      <c r="M124" t="inlineStr">
        <is>
          <t>N2</t>
        </is>
      </c>
      <c r="N124" s="15" t="n">
        <v>1</v>
      </c>
      <c r="O124" s="15" t="n">
        <v>0</v>
      </c>
      <c r="P124">
        <f>IF(M124="","",IF(M124=E124,1,0))</f>
        <v/>
      </c>
      <c r="Q124">
        <f>IF(K124="OK","-",IF(N124&lt;$B$7,"AMBIGUOUS","CONFIDENT"))</f>
        <v/>
      </c>
    </row>
    <row r="125">
      <c r="A125">
        <f>'Runs Z score'!A117</f>
        <v/>
      </c>
      <c r="B125">
        <f>'Runs Z score'!B117</f>
        <v/>
      </c>
      <c r="C125">
        <f>'Runs Z score'!C117</f>
        <v/>
      </c>
      <c r="D125">
        <f>'Runs Z score'!D117</f>
        <v/>
      </c>
      <c r="E125">
        <f>'Runs Z score'!E117</f>
        <v/>
      </c>
      <c r="F125">
        <f>'Runs Z score'!F117</f>
        <v/>
      </c>
      <c r="G125">
        <f>'Runs Z score'!G117</f>
        <v/>
      </c>
      <c r="H125">
        <f>VLOOKUP(C125,Recipes!$A$2:$N$4,10,FALSE())</f>
        <v/>
      </c>
      <c r="I125">
        <f>VLOOKUP(C125,Recipes!$A$2:$N$4,12,FALSE())</f>
        <v/>
      </c>
      <c r="J125">
        <f>IF(G125="","",H125-G125)</f>
        <v/>
      </c>
      <c r="K125">
        <f>IF(G125="","",IF(ABS(G125-H125)&lt;=$B$6*I125,"OK","NG"))</f>
        <v/>
      </c>
      <c r="L125">
        <f>IF(K125="","",IF(K125=D125,1,0))</f>
        <v/>
      </c>
      <c r="M125" t="inlineStr">
        <is>
          <t>N2</t>
        </is>
      </c>
      <c r="N125" s="15" t="n">
        <v>1</v>
      </c>
      <c r="O125" s="15" t="n">
        <v>0</v>
      </c>
      <c r="P125">
        <f>IF(M125="","",IF(M125=E125,1,0))</f>
        <v/>
      </c>
      <c r="Q125">
        <f>IF(K125="OK","-",IF(N125&lt;$B$7,"AMBIGUOUS","CONFIDENT"))</f>
        <v/>
      </c>
    </row>
    <row r="126">
      <c r="A126">
        <f>'Runs Z score'!A118</f>
        <v/>
      </c>
      <c r="B126">
        <f>'Runs Z score'!B118</f>
        <v/>
      </c>
      <c r="C126">
        <f>'Runs Z score'!C118</f>
        <v/>
      </c>
      <c r="D126">
        <f>'Runs Z score'!D118</f>
        <v/>
      </c>
      <c r="E126">
        <f>'Runs Z score'!E118</f>
        <v/>
      </c>
      <c r="F126">
        <f>'Runs Z score'!F118</f>
        <v/>
      </c>
      <c r="G126">
        <f>'Runs Z score'!G118</f>
        <v/>
      </c>
      <c r="H126">
        <f>VLOOKUP(C126,Recipes!$A$2:$N$4,10,FALSE())</f>
        <v/>
      </c>
      <c r="I126">
        <f>VLOOKUP(C126,Recipes!$A$2:$N$4,12,FALSE())</f>
        <v/>
      </c>
      <c r="J126">
        <f>IF(G126="","",H126-G126)</f>
        <v/>
      </c>
      <c r="K126">
        <f>IF(G126="","",IF(ABS(G126-H126)&lt;=$B$6*I126,"OK","NG"))</f>
        <v/>
      </c>
      <c r="L126">
        <f>IF(K126="","",IF(K126=D126,1,0))</f>
        <v/>
      </c>
      <c r="M126" t="inlineStr">
        <is>
          <t>N2</t>
        </is>
      </c>
      <c r="N126" s="15" t="n">
        <v>1</v>
      </c>
      <c r="O126" s="15" t="n">
        <v>0</v>
      </c>
      <c r="P126">
        <f>IF(M126="","",IF(M126=E126,1,0))</f>
        <v/>
      </c>
      <c r="Q126">
        <f>IF(K126="OK","-",IF(N126&lt;$B$7,"AMBIGUOUS","CONFIDENT"))</f>
        <v/>
      </c>
    </row>
    <row r="127">
      <c r="A127">
        <f>'Runs Z score'!A119</f>
        <v/>
      </c>
      <c r="B127">
        <f>'Runs Z score'!B119</f>
        <v/>
      </c>
      <c r="C127">
        <f>'Runs Z score'!C119</f>
        <v/>
      </c>
      <c r="D127">
        <f>'Runs Z score'!D119</f>
        <v/>
      </c>
      <c r="E127">
        <f>'Runs Z score'!E119</f>
        <v/>
      </c>
      <c r="F127">
        <f>'Runs Z score'!F119</f>
        <v/>
      </c>
      <c r="G127">
        <f>'Runs Z score'!G119</f>
        <v/>
      </c>
      <c r="H127">
        <f>VLOOKUP(C127,Recipes!$A$2:$N$4,10,FALSE())</f>
        <v/>
      </c>
      <c r="I127">
        <f>VLOOKUP(C127,Recipes!$A$2:$N$4,12,FALSE())</f>
        <v/>
      </c>
      <c r="J127">
        <f>IF(G127="","",H127-G127)</f>
        <v/>
      </c>
      <c r="K127">
        <f>IF(G127="","",IF(ABS(G127-H127)&lt;=$B$6*I127,"OK","NG"))</f>
        <v/>
      </c>
      <c r="L127">
        <f>IF(K127="","",IF(K127=D127,1,0))</f>
        <v/>
      </c>
      <c r="M127" t="inlineStr">
        <is>
          <t>N2</t>
        </is>
      </c>
      <c r="N127" s="15" t="n">
        <v>1</v>
      </c>
      <c r="O127" s="15" t="n">
        <v>0</v>
      </c>
      <c r="P127">
        <f>IF(M127="","",IF(M127=E127,1,0))</f>
        <v/>
      </c>
      <c r="Q127">
        <f>IF(K127="OK","-",IF(N127&lt;$B$7,"AMBIGUOUS","CONFIDENT"))</f>
        <v/>
      </c>
    </row>
    <row r="128">
      <c r="A128">
        <f>'Runs Z score'!A120</f>
        <v/>
      </c>
      <c r="B128">
        <f>'Runs Z score'!B120</f>
        <v/>
      </c>
      <c r="C128">
        <f>'Runs Z score'!C120</f>
        <v/>
      </c>
      <c r="D128">
        <f>'Runs Z score'!D120</f>
        <v/>
      </c>
      <c r="E128">
        <f>'Runs Z score'!E120</f>
        <v/>
      </c>
      <c r="F128">
        <f>'Runs Z score'!F120</f>
        <v/>
      </c>
      <c r="G128">
        <f>'Runs Z score'!G120</f>
        <v/>
      </c>
      <c r="H128">
        <f>VLOOKUP(C128,Recipes!$A$2:$N$4,10,FALSE())</f>
        <v/>
      </c>
      <c r="I128">
        <f>VLOOKUP(C128,Recipes!$A$2:$N$4,12,FALSE())</f>
        <v/>
      </c>
      <c r="J128">
        <f>IF(G128="","",H128-G128)</f>
        <v/>
      </c>
      <c r="K128">
        <f>IF(G128="","",IF(ABS(G128-H128)&lt;=$B$6*I128,"OK","NG"))</f>
        <v/>
      </c>
      <c r="L128">
        <f>IF(K128="","",IF(K128=D128,1,0))</f>
        <v/>
      </c>
      <c r="M128" t="inlineStr">
        <is>
          <t>N2</t>
        </is>
      </c>
      <c r="N128" s="15" t="n">
        <v>1</v>
      </c>
      <c r="O128" s="15" t="n">
        <v>0</v>
      </c>
      <c r="P128">
        <f>IF(M128="","",IF(M128=E128,1,0))</f>
        <v/>
      </c>
      <c r="Q128">
        <f>IF(K128="OK","-",IF(N128&lt;$B$7,"AMBIGUOUS","CONFIDENT"))</f>
        <v/>
      </c>
    </row>
    <row r="129">
      <c r="A129">
        <f>'Runs Z score'!A121</f>
        <v/>
      </c>
      <c r="B129">
        <f>'Runs Z score'!B121</f>
        <v/>
      </c>
      <c r="C129">
        <f>'Runs Z score'!C121</f>
        <v/>
      </c>
      <c r="D129">
        <f>'Runs Z score'!D121</f>
        <v/>
      </c>
      <c r="E129">
        <f>'Runs Z score'!E121</f>
        <v/>
      </c>
      <c r="F129">
        <f>'Runs Z score'!F121</f>
        <v/>
      </c>
      <c r="G129">
        <f>'Runs Z score'!G121</f>
        <v/>
      </c>
      <c r="H129">
        <f>VLOOKUP(C129,Recipes!$A$2:$N$4,10,FALSE())</f>
        <v/>
      </c>
      <c r="I129">
        <f>VLOOKUP(C129,Recipes!$A$2:$N$4,12,FALSE())</f>
        <v/>
      </c>
      <c r="J129">
        <f>IF(G129="","",H129-G129)</f>
        <v/>
      </c>
      <c r="K129">
        <f>IF(G129="","",IF(ABS(G129-H129)&lt;=$B$6*I129,"OK","NG"))</f>
        <v/>
      </c>
      <c r="L129">
        <f>IF(K129="","",IF(K129=D129,1,0))</f>
        <v/>
      </c>
      <c r="M129" t="inlineStr">
        <is>
          <t>N2</t>
        </is>
      </c>
      <c r="N129" s="15" t="n">
        <v>1</v>
      </c>
      <c r="O129" s="15" t="n">
        <v>0</v>
      </c>
      <c r="P129">
        <f>IF(M129="","",IF(M129=E129,1,0))</f>
        <v/>
      </c>
      <c r="Q129">
        <f>IF(K129="OK","-",IF(N129&lt;$B$7,"AMBIGUOUS","CONFIDENT"))</f>
        <v/>
      </c>
    </row>
    <row r="130">
      <c r="A130">
        <f>'Runs Z score'!A122</f>
        <v/>
      </c>
      <c r="B130">
        <f>'Runs Z score'!B122</f>
        <v/>
      </c>
      <c r="C130">
        <f>'Runs Z score'!C122</f>
        <v/>
      </c>
      <c r="D130">
        <f>'Runs Z score'!D122</f>
        <v/>
      </c>
      <c r="E130">
        <f>'Runs Z score'!E122</f>
        <v/>
      </c>
      <c r="F130">
        <f>'Runs Z score'!F122</f>
        <v/>
      </c>
      <c r="G130">
        <f>'Runs Z score'!G122</f>
        <v/>
      </c>
      <c r="H130">
        <f>VLOOKUP(C130,Recipes!$A$2:$N$4,10,FALSE())</f>
        <v/>
      </c>
      <c r="I130">
        <f>VLOOKUP(C130,Recipes!$A$2:$N$4,12,FALSE())</f>
        <v/>
      </c>
      <c r="J130">
        <f>IF(G130="","",H130-G130)</f>
        <v/>
      </c>
      <c r="K130">
        <f>IF(G130="","",IF(ABS(G130-H130)&lt;=$B$6*I130,"OK","NG"))</f>
        <v/>
      </c>
      <c r="L130">
        <f>IF(K130="","",IF(K130=D130,1,0))</f>
        <v/>
      </c>
      <c r="M130" t="inlineStr">
        <is>
          <t>N2</t>
        </is>
      </c>
      <c r="N130" s="15" t="n">
        <v>1</v>
      </c>
      <c r="O130" s="15" t="n">
        <v>0</v>
      </c>
      <c r="P130">
        <f>IF(M130="","",IF(M130=E130,1,0))</f>
        <v/>
      </c>
      <c r="Q130">
        <f>IF(K130="OK","-",IF(N130&lt;$B$7,"AMBIGUOUS","CONFIDENT"))</f>
        <v/>
      </c>
    </row>
    <row r="131">
      <c r="A131">
        <f>'Runs Z score'!A123</f>
        <v/>
      </c>
      <c r="B131">
        <f>'Runs Z score'!B123</f>
        <v/>
      </c>
      <c r="C131">
        <f>'Runs Z score'!C123</f>
        <v/>
      </c>
      <c r="D131">
        <f>'Runs Z score'!D123</f>
        <v/>
      </c>
      <c r="E131">
        <f>'Runs Z score'!E123</f>
        <v/>
      </c>
      <c r="F131">
        <f>'Runs Z score'!F123</f>
        <v/>
      </c>
      <c r="G131">
        <f>'Runs Z score'!G123</f>
        <v/>
      </c>
      <c r="H131">
        <f>VLOOKUP(C131,Recipes!$A$2:$N$4,10,FALSE())</f>
        <v/>
      </c>
      <c r="I131">
        <f>VLOOKUP(C131,Recipes!$A$2:$N$4,12,FALSE())</f>
        <v/>
      </c>
      <c r="J131">
        <f>IF(G131="","",H131-G131)</f>
        <v/>
      </c>
      <c r="K131">
        <f>IF(G131="","",IF(ABS(G131-H131)&lt;=$B$6*I131,"OK","NG"))</f>
        <v/>
      </c>
      <c r="L131">
        <f>IF(K131="","",IF(K131=D131,1,0))</f>
        <v/>
      </c>
      <c r="M131" t="inlineStr">
        <is>
          <t>NONE</t>
        </is>
      </c>
      <c r="N131" s="15" t="n">
        <v>1</v>
      </c>
      <c r="O131" s="15" t="n">
        <v>0</v>
      </c>
      <c r="P131">
        <f>IF(M131="","",IF(M131=E131,1,0))</f>
        <v/>
      </c>
      <c r="Q131">
        <f>IF(K131="OK","-",IF(N131&lt;$B$7,"AMBIGUOUS","CONFIDENT"))</f>
        <v/>
      </c>
    </row>
    <row r="132">
      <c r="A132">
        <f>'Runs Z score'!A124</f>
        <v/>
      </c>
      <c r="B132">
        <f>'Runs Z score'!B124</f>
        <v/>
      </c>
      <c r="C132">
        <f>'Runs Z score'!C124</f>
        <v/>
      </c>
      <c r="D132">
        <f>'Runs Z score'!D124</f>
        <v/>
      </c>
      <c r="E132">
        <f>'Runs Z score'!E124</f>
        <v/>
      </c>
      <c r="F132">
        <f>'Runs Z score'!F124</f>
        <v/>
      </c>
      <c r="G132">
        <f>'Runs Z score'!G124</f>
        <v/>
      </c>
      <c r="H132">
        <f>VLOOKUP(C132,Recipes!$A$2:$N$4,10,FALSE())</f>
        <v/>
      </c>
      <c r="I132">
        <f>VLOOKUP(C132,Recipes!$A$2:$N$4,12,FALSE())</f>
        <v/>
      </c>
      <c r="J132">
        <f>IF(G132="","",H132-G132)</f>
        <v/>
      </c>
      <c r="K132">
        <f>IF(G132="","",IF(ABS(G132-H132)&lt;=$B$6*I132,"OK","NG"))</f>
        <v/>
      </c>
      <c r="L132">
        <f>IF(K132="","",IF(K132=D132,1,0))</f>
        <v/>
      </c>
      <c r="M132" t="inlineStr">
        <is>
          <t>NONE</t>
        </is>
      </c>
      <c r="N132" s="15" t="n">
        <v>1</v>
      </c>
      <c r="O132" s="15" t="n">
        <v>0</v>
      </c>
      <c r="P132">
        <f>IF(M132="","",IF(M132=E132,1,0))</f>
        <v/>
      </c>
      <c r="Q132">
        <f>IF(K132="OK","-",IF(N132&lt;$B$7,"AMBIGUOUS","CONFIDENT"))</f>
        <v/>
      </c>
    </row>
    <row r="133">
      <c r="A133">
        <f>'Runs Z score'!A125</f>
        <v/>
      </c>
      <c r="B133">
        <f>'Runs Z score'!B125</f>
        <v/>
      </c>
      <c r="C133">
        <f>'Runs Z score'!C125</f>
        <v/>
      </c>
      <c r="D133">
        <f>'Runs Z score'!D125</f>
        <v/>
      </c>
      <c r="E133">
        <f>'Runs Z score'!E125</f>
        <v/>
      </c>
      <c r="F133">
        <f>'Runs Z score'!F125</f>
        <v/>
      </c>
      <c r="G133">
        <f>'Runs Z score'!G125</f>
        <v/>
      </c>
      <c r="H133">
        <f>VLOOKUP(C133,Recipes!$A$2:$N$4,10,FALSE())</f>
        <v/>
      </c>
      <c r="I133">
        <f>VLOOKUP(C133,Recipes!$A$2:$N$4,12,FALSE())</f>
        <v/>
      </c>
      <c r="J133">
        <f>IF(G133="","",H133-G133)</f>
        <v/>
      </c>
      <c r="K133">
        <f>IF(G133="","",IF(ABS(G133-H133)&lt;=$B$6*I133,"OK","NG"))</f>
        <v/>
      </c>
      <c r="L133">
        <f>IF(K133="","",IF(K133=D133,1,0))</f>
        <v/>
      </c>
      <c r="M133" t="inlineStr">
        <is>
          <t>NONE</t>
        </is>
      </c>
      <c r="N133" s="15" t="n">
        <v>1</v>
      </c>
      <c r="O133" s="15" t="n">
        <v>0</v>
      </c>
      <c r="P133">
        <f>IF(M133="","",IF(M133=E133,1,0))</f>
        <v/>
      </c>
      <c r="Q133">
        <f>IF(K133="OK","-",IF(N133&lt;$B$7,"AMBIGUOUS","CONFIDENT"))</f>
        <v/>
      </c>
    </row>
    <row r="134">
      <c r="A134">
        <f>'Runs Z score'!A126</f>
        <v/>
      </c>
      <c r="B134">
        <f>'Runs Z score'!B126</f>
        <v/>
      </c>
      <c r="C134">
        <f>'Runs Z score'!C126</f>
        <v/>
      </c>
      <c r="D134">
        <f>'Runs Z score'!D126</f>
        <v/>
      </c>
      <c r="E134">
        <f>'Runs Z score'!E126</f>
        <v/>
      </c>
      <c r="F134">
        <f>'Runs Z score'!F126</f>
        <v/>
      </c>
      <c r="G134">
        <f>'Runs Z score'!G126</f>
        <v/>
      </c>
      <c r="H134">
        <f>VLOOKUP(C134,Recipes!$A$2:$N$4,10,FALSE())</f>
        <v/>
      </c>
      <c r="I134">
        <f>VLOOKUP(C134,Recipes!$A$2:$N$4,12,FALSE())</f>
        <v/>
      </c>
      <c r="J134">
        <f>IF(G134="","",H134-G134)</f>
        <v/>
      </c>
      <c r="K134">
        <f>IF(G134="","",IF(ABS(G134-H134)&lt;=$B$6*I134,"OK","NG"))</f>
        <v/>
      </c>
      <c r="L134">
        <f>IF(K134="","",IF(K134=D134,1,0))</f>
        <v/>
      </c>
      <c r="M134" t="inlineStr">
        <is>
          <t>NONE</t>
        </is>
      </c>
      <c r="N134" s="15" t="n">
        <v>1</v>
      </c>
      <c r="O134" s="15" t="n">
        <v>0</v>
      </c>
      <c r="P134">
        <f>IF(M134="","",IF(M134=E134,1,0))</f>
        <v/>
      </c>
      <c r="Q134">
        <f>IF(K134="OK","-",IF(N134&lt;$B$7,"AMBIGUOUS","CONFIDENT"))</f>
        <v/>
      </c>
    </row>
    <row r="135">
      <c r="A135">
        <f>'Runs Z score'!A127</f>
        <v/>
      </c>
      <c r="B135">
        <f>'Runs Z score'!B127</f>
        <v/>
      </c>
      <c r="C135">
        <f>'Runs Z score'!C127</f>
        <v/>
      </c>
      <c r="D135">
        <f>'Runs Z score'!D127</f>
        <v/>
      </c>
      <c r="E135">
        <f>'Runs Z score'!E127</f>
        <v/>
      </c>
      <c r="F135">
        <f>'Runs Z score'!F127</f>
        <v/>
      </c>
      <c r="G135">
        <f>'Runs Z score'!G127</f>
        <v/>
      </c>
      <c r="H135">
        <f>VLOOKUP(C135,Recipes!$A$2:$N$4,10,FALSE())</f>
        <v/>
      </c>
      <c r="I135">
        <f>VLOOKUP(C135,Recipes!$A$2:$N$4,12,FALSE())</f>
        <v/>
      </c>
      <c r="J135">
        <f>IF(G135="","",H135-G135)</f>
        <v/>
      </c>
      <c r="K135">
        <f>IF(G135="","",IF(ABS(G135-H135)&lt;=$B$6*I135,"OK","NG"))</f>
        <v/>
      </c>
      <c r="L135">
        <f>IF(K135="","",IF(K135=D135,1,0))</f>
        <v/>
      </c>
      <c r="M135" t="inlineStr">
        <is>
          <t>NONE</t>
        </is>
      </c>
      <c r="N135" s="15" t="n">
        <v>1</v>
      </c>
      <c r="O135" s="15" t="n">
        <v>0</v>
      </c>
      <c r="P135">
        <f>IF(M135="","",IF(M135=E135,1,0))</f>
        <v/>
      </c>
      <c r="Q135">
        <f>IF(K135="OK","-",IF(N135&lt;$B$7,"AMBIGUOUS","CONFIDENT"))</f>
        <v/>
      </c>
    </row>
    <row r="136">
      <c r="A136">
        <f>'Runs Z score'!A128</f>
        <v/>
      </c>
      <c r="B136">
        <f>'Runs Z score'!B128</f>
        <v/>
      </c>
      <c r="C136">
        <f>'Runs Z score'!C128</f>
        <v/>
      </c>
      <c r="D136">
        <f>'Runs Z score'!D128</f>
        <v/>
      </c>
      <c r="E136">
        <f>'Runs Z score'!E128</f>
        <v/>
      </c>
      <c r="F136">
        <f>'Runs Z score'!F128</f>
        <v/>
      </c>
      <c r="G136">
        <f>'Runs Z score'!G128</f>
        <v/>
      </c>
      <c r="H136">
        <f>VLOOKUP(C136,Recipes!$A$2:$N$4,10,FALSE())</f>
        <v/>
      </c>
      <c r="I136">
        <f>VLOOKUP(C136,Recipes!$A$2:$N$4,12,FALSE())</f>
        <v/>
      </c>
      <c r="J136">
        <f>IF(G136="","",H136-G136)</f>
        <v/>
      </c>
      <c r="K136">
        <f>IF(G136="","",IF(ABS(G136-H136)&lt;=$B$6*I136,"OK","NG"))</f>
        <v/>
      </c>
      <c r="L136">
        <f>IF(K136="","",IF(K136=D136,1,0))</f>
        <v/>
      </c>
      <c r="M136" t="inlineStr">
        <is>
          <t>NONE</t>
        </is>
      </c>
      <c r="N136" s="15" t="n">
        <v>1</v>
      </c>
      <c r="O136" s="15" t="n">
        <v>0</v>
      </c>
      <c r="P136">
        <f>IF(M136="","",IF(M136=E136,1,0))</f>
        <v/>
      </c>
      <c r="Q136">
        <f>IF(K136="OK","-",IF(N136&lt;$B$7,"AMBIGUOUS","CONFIDENT"))</f>
        <v/>
      </c>
    </row>
    <row r="137">
      <c r="A137">
        <f>'Runs Z score'!A129</f>
        <v/>
      </c>
      <c r="B137">
        <f>'Runs Z score'!B129</f>
        <v/>
      </c>
      <c r="C137">
        <f>'Runs Z score'!C129</f>
        <v/>
      </c>
      <c r="D137">
        <f>'Runs Z score'!D129</f>
        <v/>
      </c>
      <c r="E137">
        <f>'Runs Z score'!E129</f>
        <v/>
      </c>
      <c r="F137">
        <f>'Runs Z score'!F129</f>
        <v/>
      </c>
      <c r="G137">
        <f>'Runs Z score'!G129</f>
        <v/>
      </c>
      <c r="H137">
        <f>VLOOKUP(C137,Recipes!$A$2:$N$4,10,FALSE())</f>
        <v/>
      </c>
      <c r="I137">
        <f>VLOOKUP(C137,Recipes!$A$2:$N$4,12,FALSE())</f>
        <v/>
      </c>
      <c r="J137">
        <f>IF(G137="","",H137-G137)</f>
        <v/>
      </c>
      <c r="K137">
        <f>IF(G137="","",IF(ABS(G137-H137)&lt;=$B$6*I137,"OK","NG"))</f>
        <v/>
      </c>
      <c r="L137">
        <f>IF(K137="","",IF(K137=D137,1,0))</f>
        <v/>
      </c>
      <c r="M137" t="inlineStr">
        <is>
          <t>NONE</t>
        </is>
      </c>
      <c r="N137" s="15" t="n">
        <v>1</v>
      </c>
      <c r="O137" s="15" t="n">
        <v>0</v>
      </c>
      <c r="P137">
        <f>IF(M137="","",IF(M137=E137,1,0))</f>
        <v/>
      </c>
      <c r="Q137">
        <f>IF(K137="OK","-",IF(N137&lt;$B$7,"AMBIGUOUS","CONFIDENT"))</f>
        <v/>
      </c>
    </row>
    <row r="138">
      <c r="A138">
        <f>'Runs Z score'!A130</f>
        <v/>
      </c>
      <c r="B138">
        <f>'Runs Z score'!B130</f>
        <v/>
      </c>
      <c r="C138">
        <f>'Runs Z score'!C130</f>
        <v/>
      </c>
      <c r="D138">
        <f>'Runs Z score'!D130</f>
        <v/>
      </c>
      <c r="E138">
        <f>'Runs Z score'!E130</f>
        <v/>
      </c>
      <c r="F138">
        <f>'Runs Z score'!F130</f>
        <v/>
      </c>
      <c r="G138">
        <f>'Runs Z score'!G130</f>
        <v/>
      </c>
      <c r="H138">
        <f>VLOOKUP(C138,Recipes!$A$2:$N$4,10,FALSE())</f>
        <v/>
      </c>
      <c r="I138">
        <f>VLOOKUP(C138,Recipes!$A$2:$N$4,12,FALSE())</f>
        <v/>
      </c>
      <c r="J138">
        <f>IF(G138="","",H138-G138)</f>
        <v/>
      </c>
      <c r="K138">
        <f>IF(G138="","",IF(ABS(G138-H138)&lt;=$B$6*I138,"OK","NG"))</f>
        <v/>
      </c>
      <c r="L138">
        <f>IF(K138="","",IF(K138=D138,1,0))</f>
        <v/>
      </c>
      <c r="M138" t="inlineStr">
        <is>
          <t>NONE</t>
        </is>
      </c>
      <c r="N138" s="15" t="n">
        <v>1</v>
      </c>
      <c r="O138" s="15" t="n">
        <v>0</v>
      </c>
      <c r="P138">
        <f>IF(M138="","",IF(M138=E138,1,0))</f>
        <v/>
      </c>
      <c r="Q138">
        <f>IF(K138="OK","-",IF(N138&lt;$B$7,"AMBIGUOUS","CONFIDENT"))</f>
        <v/>
      </c>
    </row>
    <row r="139">
      <c r="A139">
        <f>'Runs Z score'!A131</f>
        <v/>
      </c>
      <c r="B139">
        <f>'Runs Z score'!B131</f>
        <v/>
      </c>
      <c r="C139">
        <f>'Runs Z score'!C131</f>
        <v/>
      </c>
      <c r="D139">
        <f>'Runs Z score'!D131</f>
        <v/>
      </c>
      <c r="E139">
        <f>'Runs Z score'!E131</f>
        <v/>
      </c>
      <c r="F139">
        <f>'Runs Z score'!F131</f>
        <v/>
      </c>
      <c r="G139">
        <f>'Runs Z score'!G131</f>
        <v/>
      </c>
      <c r="H139">
        <f>VLOOKUP(C139,Recipes!$A$2:$N$4,10,FALSE())</f>
        <v/>
      </c>
      <c r="I139">
        <f>VLOOKUP(C139,Recipes!$A$2:$N$4,12,FALSE())</f>
        <v/>
      </c>
      <c r="J139">
        <f>IF(G139="","",H139-G139)</f>
        <v/>
      </c>
      <c r="K139">
        <f>IF(G139="","",IF(ABS(G139-H139)&lt;=$B$6*I139,"OK","NG"))</f>
        <v/>
      </c>
      <c r="L139">
        <f>IF(K139="","",IF(K139=D139,1,0))</f>
        <v/>
      </c>
      <c r="M139" t="inlineStr">
        <is>
          <t>NONE</t>
        </is>
      </c>
      <c r="N139" s="15" t="n">
        <v>1</v>
      </c>
      <c r="O139" s="15" t="n">
        <v>0</v>
      </c>
      <c r="P139">
        <f>IF(M139="","",IF(M139=E139,1,0))</f>
        <v/>
      </c>
      <c r="Q139">
        <f>IF(K139="OK","-",IF(N139&lt;$B$7,"AMBIGUOUS","CONFIDENT"))</f>
        <v/>
      </c>
    </row>
    <row r="140">
      <c r="A140">
        <f>'Runs Z score'!A132</f>
        <v/>
      </c>
      <c r="B140">
        <f>'Runs Z score'!B132</f>
        <v/>
      </c>
      <c r="C140">
        <f>'Runs Z score'!C132</f>
        <v/>
      </c>
      <c r="D140">
        <f>'Runs Z score'!D132</f>
        <v/>
      </c>
      <c r="E140">
        <f>'Runs Z score'!E132</f>
        <v/>
      </c>
      <c r="F140">
        <f>'Runs Z score'!F132</f>
        <v/>
      </c>
      <c r="G140">
        <f>'Runs Z score'!G132</f>
        <v/>
      </c>
      <c r="H140">
        <f>VLOOKUP(C140,Recipes!$A$2:$N$4,10,FALSE())</f>
        <v/>
      </c>
      <c r="I140">
        <f>VLOOKUP(C140,Recipes!$A$2:$N$4,12,FALSE())</f>
        <v/>
      </c>
      <c r="J140">
        <f>IF(G140="","",H140-G140)</f>
        <v/>
      </c>
      <c r="K140">
        <f>IF(G140="","",IF(ABS(G140-H140)&lt;=$B$6*I140,"OK","NG"))</f>
        <v/>
      </c>
      <c r="L140">
        <f>IF(K140="","",IF(K140=D140,1,0))</f>
        <v/>
      </c>
      <c r="M140" t="inlineStr">
        <is>
          <t>NONE</t>
        </is>
      </c>
      <c r="N140" s="15" t="n">
        <v>1</v>
      </c>
      <c r="O140" s="15" t="n">
        <v>0</v>
      </c>
      <c r="P140">
        <f>IF(M140="","",IF(M140=E140,1,0))</f>
        <v/>
      </c>
      <c r="Q140">
        <f>IF(K140="OK","-",IF(N140&lt;$B$7,"AMBIGUOUS","CONFIDENT"))</f>
        <v/>
      </c>
    </row>
    <row r="141">
      <c r="A141">
        <f>'Runs Z score'!A133</f>
        <v/>
      </c>
      <c r="B141">
        <f>'Runs Z score'!B133</f>
        <v/>
      </c>
      <c r="C141">
        <f>'Runs Z score'!C133</f>
        <v/>
      </c>
      <c r="D141">
        <f>'Runs Z score'!D133</f>
        <v/>
      </c>
      <c r="E141">
        <f>'Runs Z score'!E133</f>
        <v/>
      </c>
      <c r="F141">
        <f>'Runs Z score'!F133</f>
        <v/>
      </c>
      <c r="G141">
        <f>'Runs Z score'!G133</f>
        <v/>
      </c>
      <c r="H141">
        <f>VLOOKUP(C141,Recipes!$A$2:$N$4,10,FALSE())</f>
        <v/>
      </c>
      <c r="I141">
        <f>VLOOKUP(C141,Recipes!$A$2:$N$4,12,FALSE())</f>
        <v/>
      </c>
      <c r="J141">
        <f>IF(G141="","",H141-G141)</f>
        <v/>
      </c>
      <c r="K141">
        <f>IF(G141="","",IF(ABS(G141-H141)&lt;=$B$6*I141,"OK","NG"))</f>
        <v/>
      </c>
      <c r="L141">
        <f>IF(K141="","",IF(K141=D141,1,0))</f>
        <v/>
      </c>
      <c r="M141" t="inlineStr">
        <is>
          <t>NONE</t>
        </is>
      </c>
      <c r="N141" s="15" t="n">
        <v>1</v>
      </c>
      <c r="O141" s="15" t="n">
        <v>0</v>
      </c>
      <c r="P141">
        <f>IF(M141="","",IF(M141=E141,1,0))</f>
        <v/>
      </c>
      <c r="Q141">
        <f>IF(K141="OK","-",IF(N141&lt;$B$7,"AMBIGUOUS","CONFIDENT"))</f>
        <v/>
      </c>
    </row>
    <row r="142">
      <c r="A142">
        <f>'Runs Z score'!A134</f>
        <v/>
      </c>
      <c r="B142">
        <f>'Runs Z score'!B134</f>
        <v/>
      </c>
      <c r="C142">
        <f>'Runs Z score'!C134</f>
        <v/>
      </c>
      <c r="D142">
        <f>'Runs Z score'!D134</f>
        <v/>
      </c>
      <c r="E142">
        <f>'Runs Z score'!E134</f>
        <v/>
      </c>
      <c r="F142">
        <f>'Runs Z score'!F134</f>
        <v/>
      </c>
      <c r="G142">
        <f>'Runs Z score'!G134</f>
        <v/>
      </c>
      <c r="H142">
        <f>VLOOKUP(C142,Recipes!$A$2:$N$4,10,FALSE())</f>
        <v/>
      </c>
      <c r="I142">
        <f>VLOOKUP(C142,Recipes!$A$2:$N$4,12,FALSE())</f>
        <v/>
      </c>
      <c r="J142">
        <f>IF(G142="","",H142-G142)</f>
        <v/>
      </c>
      <c r="K142">
        <f>IF(G142="","",IF(ABS(G142-H142)&lt;=$B$6*I142,"OK","NG"))</f>
        <v/>
      </c>
      <c r="L142">
        <f>IF(K142="","",IF(K142=D142,1,0))</f>
        <v/>
      </c>
      <c r="M142" t="inlineStr">
        <is>
          <t>NONE</t>
        </is>
      </c>
      <c r="N142" s="15" t="n">
        <v>1</v>
      </c>
      <c r="O142" s="15" t="n">
        <v>0</v>
      </c>
      <c r="P142">
        <f>IF(M142="","",IF(M142=E142,1,0))</f>
        <v/>
      </c>
      <c r="Q142">
        <f>IF(K142="OK","-",IF(N142&lt;$B$7,"AMBIGUOUS","CONFIDENT"))</f>
        <v/>
      </c>
    </row>
    <row r="143">
      <c r="A143">
        <f>'Runs Z score'!A135</f>
        <v/>
      </c>
      <c r="B143">
        <f>'Runs Z score'!B135</f>
        <v/>
      </c>
      <c r="C143">
        <f>'Runs Z score'!C135</f>
        <v/>
      </c>
      <c r="D143">
        <f>'Runs Z score'!D135</f>
        <v/>
      </c>
      <c r="E143">
        <f>'Runs Z score'!E135</f>
        <v/>
      </c>
      <c r="F143">
        <f>'Runs Z score'!F135</f>
        <v/>
      </c>
      <c r="G143">
        <f>'Runs Z score'!G135</f>
        <v/>
      </c>
      <c r="H143">
        <f>VLOOKUP(C143,Recipes!$A$2:$N$4,10,FALSE())</f>
        <v/>
      </c>
      <c r="I143">
        <f>VLOOKUP(C143,Recipes!$A$2:$N$4,12,FALSE())</f>
        <v/>
      </c>
      <c r="J143">
        <f>IF(G143="","",H143-G143)</f>
        <v/>
      </c>
      <c r="K143">
        <f>IF(G143="","",IF(ABS(G143-H143)&lt;=$B$6*I143,"OK","NG"))</f>
        <v/>
      </c>
      <c r="L143">
        <f>IF(K143="","",IF(K143=D143,1,0))</f>
        <v/>
      </c>
      <c r="M143" t="inlineStr">
        <is>
          <t>NONE</t>
        </is>
      </c>
      <c r="N143" s="15" t="n">
        <v>1</v>
      </c>
      <c r="O143" s="15" t="n">
        <v>0</v>
      </c>
      <c r="P143">
        <f>IF(M143="","",IF(M143=E143,1,0))</f>
        <v/>
      </c>
      <c r="Q143">
        <f>IF(K143="OK","-",IF(N143&lt;$B$7,"AMBIGUOUS","CONFIDENT"))</f>
        <v/>
      </c>
    </row>
    <row r="144">
      <c r="A144">
        <f>'Runs Z score'!A136</f>
        <v/>
      </c>
      <c r="B144">
        <f>'Runs Z score'!B136</f>
        <v/>
      </c>
      <c r="C144">
        <f>'Runs Z score'!C136</f>
        <v/>
      </c>
      <c r="D144">
        <f>'Runs Z score'!D136</f>
        <v/>
      </c>
      <c r="E144">
        <f>'Runs Z score'!E136</f>
        <v/>
      </c>
      <c r="F144">
        <f>'Runs Z score'!F136</f>
        <v/>
      </c>
      <c r="G144">
        <f>'Runs Z score'!G136</f>
        <v/>
      </c>
      <c r="H144">
        <f>VLOOKUP(C144,Recipes!$A$2:$N$4,10,FALSE())</f>
        <v/>
      </c>
      <c r="I144">
        <f>VLOOKUP(C144,Recipes!$A$2:$N$4,12,FALSE())</f>
        <v/>
      </c>
      <c r="J144">
        <f>IF(G144="","",H144-G144)</f>
        <v/>
      </c>
      <c r="K144">
        <f>IF(G144="","",IF(ABS(G144-H144)&lt;=$B$6*I144,"OK","NG"))</f>
        <v/>
      </c>
      <c r="L144">
        <f>IF(K144="","",IF(K144=D144,1,0))</f>
        <v/>
      </c>
      <c r="M144" t="inlineStr">
        <is>
          <t>NONE</t>
        </is>
      </c>
      <c r="N144" s="15" t="n">
        <v>1</v>
      </c>
      <c r="O144" s="15" t="n">
        <v>0</v>
      </c>
      <c r="P144">
        <f>IF(M144="","",IF(M144=E144,1,0))</f>
        <v/>
      </c>
      <c r="Q144">
        <f>IF(K144="OK","-",IF(N144&lt;$B$7,"AMBIGUOUS","CONFIDENT"))</f>
        <v/>
      </c>
    </row>
    <row r="145">
      <c r="A145">
        <f>'Runs Z score'!A137</f>
        <v/>
      </c>
      <c r="B145">
        <f>'Runs Z score'!B137</f>
        <v/>
      </c>
      <c r="C145">
        <f>'Runs Z score'!C137</f>
        <v/>
      </c>
      <c r="D145">
        <f>'Runs Z score'!D137</f>
        <v/>
      </c>
      <c r="E145">
        <f>'Runs Z score'!E137</f>
        <v/>
      </c>
      <c r="F145">
        <f>'Runs Z score'!F137</f>
        <v/>
      </c>
      <c r="G145">
        <f>'Runs Z score'!G137</f>
        <v/>
      </c>
      <c r="H145">
        <f>VLOOKUP(C145,Recipes!$A$2:$N$4,10,FALSE())</f>
        <v/>
      </c>
      <c r="I145">
        <f>VLOOKUP(C145,Recipes!$A$2:$N$4,12,FALSE())</f>
        <v/>
      </c>
      <c r="J145">
        <f>IF(G145="","",H145-G145)</f>
        <v/>
      </c>
      <c r="K145">
        <f>IF(G145="","",IF(ABS(G145-H145)&lt;=$B$6*I145,"OK","NG"))</f>
        <v/>
      </c>
      <c r="L145">
        <f>IF(K145="","",IF(K145=D145,1,0))</f>
        <v/>
      </c>
      <c r="M145" t="inlineStr">
        <is>
          <t>NONE</t>
        </is>
      </c>
      <c r="N145" s="15" t="n">
        <v>1</v>
      </c>
      <c r="O145" s="15" t="n">
        <v>0</v>
      </c>
      <c r="P145">
        <f>IF(M145="","",IF(M145=E145,1,0))</f>
        <v/>
      </c>
      <c r="Q145">
        <f>IF(K145="OK","-",IF(N145&lt;$B$7,"AMBIGUOUS","CONFIDENT"))</f>
        <v/>
      </c>
    </row>
    <row r="146">
      <c r="A146">
        <f>'Runs Z score'!A138</f>
        <v/>
      </c>
      <c r="B146">
        <f>'Runs Z score'!B138</f>
        <v/>
      </c>
      <c r="C146">
        <f>'Runs Z score'!C138</f>
        <v/>
      </c>
      <c r="D146">
        <f>'Runs Z score'!D138</f>
        <v/>
      </c>
      <c r="E146">
        <f>'Runs Z score'!E138</f>
        <v/>
      </c>
      <c r="F146">
        <f>'Runs Z score'!F138</f>
        <v/>
      </c>
      <c r="G146">
        <f>'Runs Z score'!G138</f>
        <v/>
      </c>
      <c r="H146">
        <f>VLOOKUP(C146,Recipes!$A$2:$N$4,10,FALSE())</f>
        <v/>
      </c>
      <c r="I146">
        <f>VLOOKUP(C146,Recipes!$A$2:$N$4,12,FALSE())</f>
        <v/>
      </c>
      <c r="J146">
        <f>IF(G146="","",H146-G146)</f>
        <v/>
      </c>
      <c r="K146">
        <f>IF(G146="","",IF(ABS(G146-H146)&lt;=$B$6*I146,"OK","NG"))</f>
        <v/>
      </c>
      <c r="L146">
        <f>IF(K146="","",IF(K146=D146,1,0))</f>
        <v/>
      </c>
      <c r="M146" t="inlineStr">
        <is>
          <t>NONE</t>
        </is>
      </c>
      <c r="N146" s="15" t="n">
        <v>1</v>
      </c>
      <c r="O146" s="15" t="n">
        <v>0</v>
      </c>
      <c r="P146">
        <f>IF(M146="","",IF(M146=E146,1,0))</f>
        <v/>
      </c>
      <c r="Q146">
        <f>IF(K146="OK","-",IF(N146&lt;$B$7,"AMBIGUOUS","CONFIDENT"))</f>
        <v/>
      </c>
    </row>
    <row r="147">
      <c r="A147">
        <f>'Runs Z score'!A139</f>
        <v/>
      </c>
      <c r="B147">
        <f>'Runs Z score'!B139</f>
        <v/>
      </c>
      <c r="C147">
        <f>'Runs Z score'!C139</f>
        <v/>
      </c>
      <c r="D147">
        <f>'Runs Z score'!D139</f>
        <v/>
      </c>
      <c r="E147">
        <f>'Runs Z score'!E139</f>
        <v/>
      </c>
      <c r="F147">
        <f>'Runs Z score'!F139</f>
        <v/>
      </c>
      <c r="G147">
        <f>'Runs Z score'!G139</f>
        <v/>
      </c>
      <c r="H147">
        <f>VLOOKUP(C147,Recipes!$A$2:$N$4,10,FALSE())</f>
        <v/>
      </c>
      <c r="I147">
        <f>VLOOKUP(C147,Recipes!$A$2:$N$4,12,FALSE())</f>
        <v/>
      </c>
      <c r="J147">
        <f>IF(G147="","",H147-G147)</f>
        <v/>
      </c>
      <c r="K147">
        <f>IF(G147="","",IF(ABS(G147-H147)&lt;=$B$6*I147,"OK","NG"))</f>
        <v/>
      </c>
      <c r="L147">
        <f>IF(K147="","",IF(K147=D147,1,0))</f>
        <v/>
      </c>
      <c r="M147" t="inlineStr">
        <is>
          <t>NONE</t>
        </is>
      </c>
      <c r="N147" s="15" t="n">
        <v>1</v>
      </c>
      <c r="O147" s="15" t="n">
        <v>0</v>
      </c>
      <c r="P147">
        <f>IF(M147="","",IF(M147=E147,1,0))</f>
        <v/>
      </c>
      <c r="Q147">
        <f>IF(K147="OK","-",IF(N147&lt;$B$7,"AMBIGUOUS","CONFIDENT"))</f>
        <v/>
      </c>
    </row>
    <row r="148">
      <c r="A148">
        <f>'Runs Z score'!A140</f>
        <v/>
      </c>
      <c r="B148">
        <f>'Runs Z score'!B140</f>
        <v/>
      </c>
      <c r="C148">
        <f>'Runs Z score'!C140</f>
        <v/>
      </c>
      <c r="D148">
        <f>'Runs Z score'!D140</f>
        <v/>
      </c>
      <c r="E148">
        <f>'Runs Z score'!E140</f>
        <v/>
      </c>
      <c r="F148">
        <f>'Runs Z score'!F140</f>
        <v/>
      </c>
      <c r="G148">
        <f>'Runs Z score'!G140</f>
        <v/>
      </c>
      <c r="H148">
        <f>VLOOKUP(C148,Recipes!$A$2:$N$4,10,FALSE())</f>
        <v/>
      </c>
      <c r="I148">
        <f>VLOOKUP(C148,Recipes!$A$2:$N$4,12,FALSE())</f>
        <v/>
      </c>
      <c r="J148">
        <f>IF(G148="","",H148-G148)</f>
        <v/>
      </c>
      <c r="K148">
        <f>IF(G148="","",IF(ABS(G148-H148)&lt;=$B$6*I148,"OK","NG"))</f>
        <v/>
      </c>
      <c r="L148">
        <f>IF(K148="","",IF(K148=D148,1,0))</f>
        <v/>
      </c>
      <c r="M148" t="inlineStr">
        <is>
          <t>NONE</t>
        </is>
      </c>
      <c r="N148" s="15" t="n">
        <v>1</v>
      </c>
      <c r="O148" s="15" t="n">
        <v>0</v>
      </c>
      <c r="P148">
        <f>IF(M148="","",IF(M148=E148,1,0))</f>
        <v/>
      </c>
      <c r="Q148">
        <f>IF(K148="OK","-",IF(N148&lt;$B$7,"AMBIGUOUS","CONFIDENT"))</f>
        <v/>
      </c>
    </row>
    <row r="149">
      <c r="A149">
        <f>'Runs Z score'!A141</f>
        <v/>
      </c>
      <c r="B149">
        <f>'Runs Z score'!B141</f>
        <v/>
      </c>
      <c r="C149">
        <f>'Runs Z score'!C141</f>
        <v/>
      </c>
      <c r="D149">
        <f>'Runs Z score'!D141</f>
        <v/>
      </c>
      <c r="E149">
        <f>'Runs Z score'!E141</f>
        <v/>
      </c>
      <c r="F149">
        <f>'Runs Z score'!F141</f>
        <v/>
      </c>
      <c r="G149">
        <f>'Runs Z score'!G141</f>
        <v/>
      </c>
      <c r="H149">
        <f>VLOOKUP(C149,Recipes!$A$2:$N$4,10,FALSE())</f>
        <v/>
      </c>
      <c r="I149">
        <f>VLOOKUP(C149,Recipes!$A$2:$N$4,12,FALSE())</f>
        <v/>
      </c>
      <c r="J149">
        <f>IF(G149="","",H149-G149)</f>
        <v/>
      </c>
      <c r="K149">
        <f>IF(G149="","",IF(ABS(G149-H149)&lt;=$B$6*I149,"OK","NG"))</f>
        <v/>
      </c>
      <c r="L149">
        <f>IF(K149="","",IF(K149=D149,1,0))</f>
        <v/>
      </c>
      <c r="M149" t="inlineStr">
        <is>
          <t>NONE</t>
        </is>
      </c>
      <c r="N149" s="15" t="n">
        <v>1</v>
      </c>
      <c r="O149" s="15" t="n">
        <v>0</v>
      </c>
      <c r="P149">
        <f>IF(M149="","",IF(M149=E149,1,0))</f>
        <v/>
      </c>
      <c r="Q149">
        <f>IF(K149="OK","-",IF(N149&lt;$B$7,"AMBIGUOUS","CONFIDENT"))</f>
        <v/>
      </c>
    </row>
    <row r="150">
      <c r="A150">
        <f>'Runs Z score'!A142</f>
        <v/>
      </c>
      <c r="B150">
        <f>'Runs Z score'!B142</f>
        <v/>
      </c>
      <c r="C150">
        <f>'Runs Z score'!C142</f>
        <v/>
      </c>
      <c r="D150">
        <f>'Runs Z score'!D142</f>
        <v/>
      </c>
      <c r="E150">
        <f>'Runs Z score'!E142</f>
        <v/>
      </c>
      <c r="F150">
        <f>'Runs Z score'!F142</f>
        <v/>
      </c>
      <c r="G150">
        <f>'Runs Z score'!G142</f>
        <v/>
      </c>
      <c r="H150">
        <f>VLOOKUP(C150,Recipes!$A$2:$N$4,10,FALSE())</f>
        <v/>
      </c>
      <c r="I150">
        <f>VLOOKUP(C150,Recipes!$A$2:$N$4,12,FALSE())</f>
        <v/>
      </c>
      <c r="J150">
        <f>IF(G150="","",H150-G150)</f>
        <v/>
      </c>
      <c r="K150">
        <f>IF(G150="","",IF(ABS(G150-H150)&lt;=$B$6*I150,"OK","NG"))</f>
        <v/>
      </c>
      <c r="L150">
        <f>IF(K150="","",IF(K150=D150,1,0))</f>
        <v/>
      </c>
      <c r="M150" t="inlineStr">
        <is>
          <t>NONE</t>
        </is>
      </c>
      <c r="N150" s="15" t="n">
        <v>1</v>
      </c>
      <c r="O150" s="15" t="n">
        <v>0</v>
      </c>
      <c r="P150">
        <f>IF(M150="","",IF(M150=E150,1,0))</f>
        <v/>
      </c>
      <c r="Q150">
        <f>IF(K150="OK","-",IF(N150&lt;$B$7,"AMBIGUOUS","CONFIDENT"))</f>
        <v/>
      </c>
    </row>
    <row r="151">
      <c r="A151">
        <f>'Runs Z score'!A143</f>
        <v/>
      </c>
      <c r="B151">
        <f>'Runs Z score'!B143</f>
        <v/>
      </c>
      <c r="C151">
        <f>'Runs Z score'!C143</f>
        <v/>
      </c>
      <c r="D151">
        <f>'Runs Z score'!D143</f>
        <v/>
      </c>
      <c r="E151">
        <f>'Runs Z score'!E143</f>
        <v/>
      </c>
      <c r="F151">
        <f>'Runs Z score'!F143</f>
        <v/>
      </c>
      <c r="G151">
        <f>'Runs Z score'!G143</f>
        <v/>
      </c>
      <c r="H151">
        <f>VLOOKUP(C151,Recipes!$A$2:$N$4,10,FALSE())</f>
        <v/>
      </c>
      <c r="I151">
        <f>VLOOKUP(C151,Recipes!$A$2:$N$4,12,FALSE())</f>
        <v/>
      </c>
      <c r="J151">
        <f>IF(G151="","",H151-G151)</f>
        <v/>
      </c>
      <c r="K151">
        <f>IF(G151="","",IF(ABS(G151-H151)&lt;=$B$6*I151,"OK","NG"))</f>
        <v/>
      </c>
      <c r="L151">
        <f>IF(K151="","",IF(K151=D151,1,0))</f>
        <v/>
      </c>
      <c r="M151" t="inlineStr">
        <is>
          <t>NONE</t>
        </is>
      </c>
      <c r="N151" s="15" t="n">
        <v>1</v>
      </c>
      <c r="O151" s="15" t="n">
        <v>0</v>
      </c>
      <c r="P151">
        <f>IF(M151="","",IF(M151=E151,1,0))</f>
        <v/>
      </c>
      <c r="Q151">
        <f>IF(K151="OK","-",IF(N151&lt;$B$7,"AMBIGUOUS","CONFIDENT"))</f>
        <v/>
      </c>
    </row>
    <row r="152">
      <c r="A152">
        <f>'Runs Z score'!A144</f>
        <v/>
      </c>
      <c r="B152">
        <f>'Runs Z score'!B144</f>
        <v/>
      </c>
      <c r="C152">
        <f>'Runs Z score'!C144</f>
        <v/>
      </c>
      <c r="D152">
        <f>'Runs Z score'!D144</f>
        <v/>
      </c>
      <c r="E152">
        <f>'Runs Z score'!E144</f>
        <v/>
      </c>
      <c r="F152">
        <f>'Runs Z score'!F144</f>
        <v/>
      </c>
      <c r="G152">
        <f>'Runs Z score'!G144</f>
        <v/>
      </c>
      <c r="H152">
        <f>VLOOKUP(C152,Recipes!$A$2:$N$4,10,FALSE())</f>
        <v/>
      </c>
      <c r="I152">
        <f>VLOOKUP(C152,Recipes!$A$2:$N$4,12,FALSE())</f>
        <v/>
      </c>
      <c r="J152">
        <f>IF(G152="","",H152-G152)</f>
        <v/>
      </c>
      <c r="K152">
        <f>IF(G152="","",IF(ABS(G152-H152)&lt;=$B$6*I152,"OK","NG"))</f>
        <v/>
      </c>
      <c r="L152">
        <f>IF(K152="","",IF(K152=D152,1,0))</f>
        <v/>
      </c>
      <c r="M152" t="inlineStr">
        <is>
          <t>NONE</t>
        </is>
      </c>
      <c r="N152" s="15" t="n">
        <v>1</v>
      </c>
      <c r="O152" s="15" t="n">
        <v>0</v>
      </c>
      <c r="P152">
        <f>IF(M152="","",IF(M152=E152,1,0))</f>
        <v/>
      </c>
      <c r="Q152">
        <f>IF(K152="OK","-",IF(N152&lt;$B$7,"AMBIGUOUS","CONFIDENT"))</f>
        <v/>
      </c>
    </row>
    <row r="153">
      <c r="A153">
        <f>'Runs Z score'!A145</f>
        <v/>
      </c>
      <c r="B153">
        <f>'Runs Z score'!B145</f>
        <v/>
      </c>
      <c r="C153">
        <f>'Runs Z score'!C145</f>
        <v/>
      </c>
      <c r="D153">
        <f>'Runs Z score'!D145</f>
        <v/>
      </c>
      <c r="E153">
        <f>'Runs Z score'!E145</f>
        <v/>
      </c>
      <c r="F153">
        <f>'Runs Z score'!F145</f>
        <v/>
      </c>
      <c r="G153">
        <f>'Runs Z score'!G145</f>
        <v/>
      </c>
      <c r="H153">
        <f>VLOOKUP(C153,Recipes!$A$2:$N$4,10,FALSE())</f>
        <v/>
      </c>
      <c r="I153">
        <f>VLOOKUP(C153,Recipes!$A$2:$N$4,12,FALSE())</f>
        <v/>
      </c>
      <c r="J153">
        <f>IF(G153="","",H153-G153)</f>
        <v/>
      </c>
      <c r="K153">
        <f>IF(G153="","",IF(ABS(G153-H153)&lt;=$B$6*I153,"OK","NG"))</f>
        <v/>
      </c>
      <c r="L153">
        <f>IF(K153="","",IF(K153=D153,1,0))</f>
        <v/>
      </c>
      <c r="M153" t="inlineStr">
        <is>
          <t>NONE</t>
        </is>
      </c>
      <c r="N153" s="15" t="n">
        <v>1</v>
      </c>
      <c r="O153" s="15" t="n">
        <v>0</v>
      </c>
      <c r="P153">
        <f>IF(M153="","",IF(M153=E153,1,0))</f>
        <v/>
      </c>
      <c r="Q153">
        <f>IF(K153="OK","-",IF(N153&lt;$B$7,"AMBIGUOUS","CONFIDENT"))</f>
        <v/>
      </c>
    </row>
    <row r="154">
      <c r="A154">
        <f>'Runs Z score'!A146</f>
        <v/>
      </c>
      <c r="B154">
        <f>'Runs Z score'!B146</f>
        <v/>
      </c>
      <c r="C154">
        <f>'Runs Z score'!C146</f>
        <v/>
      </c>
      <c r="D154">
        <f>'Runs Z score'!D146</f>
        <v/>
      </c>
      <c r="E154">
        <f>'Runs Z score'!E146</f>
        <v/>
      </c>
      <c r="F154">
        <f>'Runs Z score'!F146</f>
        <v/>
      </c>
      <c r="G154">
        <f>'Runs Z score'!G146</f>
        <v/>
      </c>
      <c r="H154">
        <f>VLOOKUP(C154,Recipes!$A$2:$N$4,10,FALSE())</f>
        <v/>
      </c>
      <c r="I154">
        <f>VLOOKUP(C154,Recipes!$A$2:$N$4,12,FALSE())</f>
        <v/>
      </c>
      <c r="J154">
        <f>IF(G154="","",H154-G154)</f>
        <v/>
      </c>
      <c r="K154">
        <f>IF(G154="","",IF(ABS(G154-H154)&lt;=$B$6*I154,"OK","NG"))</f>
        <v/>
      </c>
      <c r="L154">
        <f>IF(K154="","",IF(K154=D154,1,0))</f>
        <v/>
      </c>
      <c r="M154" t="inlineStr">
        <is>
          <t>NONE</t>
        </is>
      </c>
      <c r="N154" s="15" t="n">
        <v>1</v>
      </c>
      <c r="O154" s="15" t="n">
        <v>0</v>
      </c>
      <c r="P154">
        <f>IF(M154="","",IF(M154=E154,1,0))</f>
        <v/>
      </c>
      <c r="Q154">
        <f>IF(K154="OK","-",IF(N154&lt;$B$7,"AMBIGUOUS","CONFIDENT"))</f>
        <v/>
      </c>
    </row>
    <row r="155">
      <c r="A155">
        <f>'Runs Z score'!A147</f>
        <v/>
      </c>
      <c r="B155">
        <f>'Runs Z score'!B147</f>
        <v/>
      </c>
      <c r="C155">
        <f>'Runs Z score'!C147</f>
        <v/>
      </c>
      <c r="D155">
        <f>'Runs Z score'!D147</f>
        <v/>
      </c>
      <c r="E155">
        <f>'Runs Z score'!E147</f>
        <v/>
      </c>
      <c r="F155">
        <f>'Runs Z score'!F147</f>
        <v/>
      </c>
      <c r="G155">
        <f>'Runs Z score'!G147</f>
        <v/>
      </c>
      <c r="H155">
        <f>VLOOKUP(C155,Recipes!$A$2:$N$4,10,FALSE())</f>
        <v/>
      </c>
      <c r="I155">
        <f>VLOOKUP(C155,Recipes!$A$2:$N$4,12,FALSE())</f>
        <v/>
      </c>
      <c r="J155">
        <f>IF(G155="","",H155-G155)</f>
        <v/>
      </c>
      <c r="K155">
        <f>IF(G155="","",IF(ABS(G155-H155)&lt;=$B$6*I155,"OK","NG"))</f>
        <v/>
      </c>
      <c r="L155">
        <f>IF(K155="","",IF(K155=D155,1,0))</f>
        <v/>
      </c>
      <c r="M155" t="inlineStr">
        <is>
          <t>NONE</t>
        </is>
      </c>
      <c r="N155" s="15" t="n">
        <v>1</v>
      </c>
      <c r="O155" s="15" t="n">
        <v>0</v>
      </c>
      <c r="P155">
        <f>IF(M155="","",IF(M155=E155,1,0))</f>
        <v/>
      </c>
      <c r="Q155">
        <f>IF(K155="OK","-",IF(N155&lt;$B$7,"AMBIGUOUS","CONFIDENT"))</f>
        <v/>
      </c>
    </row>
    <row r="156">
      <c r="A156">
        <f>'Runs Z score'!A148</f>
        <v/>
      </c>
      <c r="B156">
        <f>'Runs Z score'!B148</f>
        <v/>
      </c>
      <c r="C156">
        <f>'Runs Z score'!C148</f>
        <v/>
      </c>
      <c r="D156">
        <f>'Runs Z score'!D148</f>
        <v/>
      </c>
      <c r="E156">
        <f>'Runs Z score'!E148</f>
        <v/>
      </c>
      <c r="F156">
        <f>'Runs Z score'!F148</f>
        <v/>
      </c>
      <c r="G156">
        <f>'Runs Z score'!G148</f>
        <v/>
      </c>
      <c r="H156">
        <f>VLOOKUP(C156,Recipes!$A$2:$N$4,10,FALSE())</f>
        <v/>
      </c>
      <c r="I156">
        <f>VLOOKUP(C156,Recipes!$A$2:$N$4,12,FALSE())</f>
        <v/>
      </c>
      <c r="J156">
        <f>IF(G156="","",H156-G156)</f>
        <v/>
      </c>
      <c r="K156">
        <f>IF(G156="","",IF(ABS(G156-H156)&lt;=$B$6*I156,"OK","NG"))</f>
        <v/>
      </c>
      <c r="L156">
        <f>IF(K156="","",IF(K156=D156,1,0))</f>
        <v/>
      </c>
      <c r="M156" t="inlineStr">
        <is>
          <t>NONE</t>
        </is>
      </c>
      <c r="N156" s="15" t="n">
        <v>1</v>
      </c>
      <c r="O156" s="15" t="n">
        <v>0</v>
      </c>
      <c r="P156">
        <f>IF(M156="","",IF(M156=E156,1,0))</f>
        <v/>
      </c>
      <c r="Q156">
        <f>IF(K156="OK","-",IF(N156&lt;$B$7,"AMBIGUOUS","CONFIDENT"))</f>
        <v/>
      </c>
    </row>
    <row r="157">
      <c r="A157">
        <f>'Runs Z score'!A149</f>
        <v/>
      </c>
      <c r="B157">
        <f>'Runs Z score'!B149</f>
        <v/>
      </c>
      <c r="C157">
        <f>'Runs Z score'!C149</f>
        <v/>
      </c>
      <c r="D157">
        <f>'Runs Z score'!D149</f>
        <v/>
      </c>
      <c r="E157">
        <f>'Runs Z score'!E149</f>
        <v/>
      </c>
      <c r="F157">
        <f>'Runs Z score'!F149</f>
        <v/>
      </c>
      <c r="G157">
        <f>'Runs Z score'!G149</f>
        <v/>
      </c>
      <c r="H157">
        <f>VLOOKUP(C157,Recipes!$A$2:$N$4,10,FALSE())</f>
        <v/>
      </c>
      <c r="I157">
        <f>VLOOKUP(C157,Recipes!$A$2:$N$4,12,FALSE())</f>
        <v/>
      </c>
      <c r="J157">
        <f>IF(G157="","",H157-G157)</f>
        <v/>
      </c>
      <c r="K157">
        <f>IF(G157="","",IF(ABS(G157-H157)&lt;=$B$6*I157,"OK","NG"))</f>
        <v/>
      </c>
      <c r="L157">
        <f>IF(K157="","",IF(K157=D157,1,0))</f>
        <v/>
      </c>
      <c r="M157" t="inlineStr">
        <is>
          <t>NONE</t>
        </is>
      </c>
      <c r="N157" s="15" t="n">
        <v>1</v>
      </c>
      <c r="O157" s="15" t="n">
        <v>0</v>
      </c>
      <c r="P157">
        <f>IF(M157="","",IF(M157=E157,1,0))</f>
        <v/>
      </c>
      <c r="Q157">
        <f>IF(K157="OK","-",IF(N157&lt;$B$7,"AMBIGUOUS","CONFIDENT"))</f>
        <v/>
      </c>
    </row>
    <row r="158">
      <c r="A158">
        <f>'Runs Z score'!A150</f>
        <v/>
      </c>
      <c r="B158">
        <f>'Runs Z score'!B150</f>
        <v/>
      </c>
      <c r="C158">
        <f>'Runs Z score'!C150</f>
        <v/>
      </c>
      <c r="D158">
        <f>'Runs Z score'!D150</f>
        <v/>
      </c>
      <c r="E158">
        <f>'Runs Z score'!E150</f>
        <v/>
      </c>
      <c r="F158">
        <f>'Runs Z score'!F150</f>
        <v/>
      </c>
      <c r="G158">
        <f>'Runs Z score'!G150</f>
        <v/>
      </c>
      <c r="H158">
        <f>VLOOKUP(C158,Recipes!$A$2:$N$4,10,FALSE())</f>
        <v/>
      </c>
      <c r="I158">
        <f>VLOOKUP(C158,Recipes!$A$2:$N$4,12,FALSE())</f>
        <v/>
      </c>
      <c r="J158">
        <f>IF(G158="","",H158-G158)</f>
        <v/>
      </c>
      <c r="K158">
        <f>IF(G158="","",IF(ABS(G158-H158)&lt;=$B$6*I158,"OK","NG"))</f>
        <v/>
      </c>
      <c r="L158">
        <f>IF(K158="","",IF(K158=D158,1,0))</f>
        <v/>
      </c>
      <c r="M158" t="inlineStr">
        <is>
          <t>NONE</t>
        </is>
      </c>
      <c r="N158" s="15" t="n">
        <v>1</v>
      </c>
      <c r="O158" s="15" t="n">
        <v>0</v>
      </c>
      <c r="P158">
        <f>IF(M158="","",IF(M158=E158,1,0))</f>
        <v/>
      </c>
      <c r="Q158">
        <f>IF(K158="OK","-",IF(N158&lt;$B$7,"AMBIGUOUS","CONFIDENT"))</f>
        <v/>
      </c>
    </row>
    <row r="159">
      <c r="A159">
        <f>'Runs Z score'!A151</f>
        <v/>
      </c>
      <c r="B159">
        <f>'Runs Z score'!B151</f>
        <v/>
      </c>
      <c r="C159">
        <f>'Runs Z score'!C151</f>
        <v/>
      </c>
      <c r="D159">
        <f>'Runs Z score'!D151</f>
        <v/>
      </c>
      <c r="E159">
        <f>'Runs Z score'!E151</f>
        <v/>
      </c>
      <c r="F159">
        <f>'Runs Z score'!F151</f>
        <v/>
      </c>
      <c r="G159">
        <f>'Runs Z score'!G151</f>
        <v/>
      </c>
      <c r="H159">
        <f>VLOOKUP(C159,Recipes!$A$2:$N$4,10,FALSE())</f>
        <v/>
      </c>
      <c r="I159">
        <f>VLOOKUP(C159,Recipes!$A$2:$N$4,12,FALSE())</f>
        <v/>
      </c>
      <c r="J159">
        <f>IF(G159="","",H159-G159)</f>
        <v/>
      </c>
      <c r="K159">
        <f>IF(G159="","",IF(ABS(G159-H159)&lt;=$B$6*I159,"OK","NG"))</f>
        <v/>
      </c>
      <c r="L159">
        <f>IF(K159="","",IF(K159=D159,1,0))</f>
        <v/>
      </c>
      <c r="M159" t="inlineStr">
        <is>
          <t>NONE</t>
        </is>
      </c>
      <c r="N159" s="15" t="n">
        <v>1</v>
      </c>
      <c r="O159" s="15" t="n">
        <v>0</v>
      </c>
      <c r="P159">
        <f>IF(M159="","",IF(M159=E159,1,0))</f>
        <v/>
      </c>
      <c r="Q159">
        <f>IF(K159="OK","-",IF(N159&lt;$B$7,"AMBIGUOUS","CONFIDENT"))</f>
        <v/>
      </c>
    </row>
    <row r="160">
      <c r="A160">
        <f>'Runs Z score'!A152</f>
        <v/>
      </c>
      <c r="B160">
        <f>'Runs Z score'!B152</f>
        <v/>
      </c>
      <c r="C160">
        <f>'Runs Z score'!C152</f>
        <v/>
      </c>
      <c r="D160">
        <f>'Runs Z score'!D152</f>
        <v/>
      </c>
      <c r="E160">
        <f>'Runs Z score'!E152</f>
        <v/>
      </c>
      <c r="F160">
        <f>'Runs Z score'!F152</f>
        <v/>
      </c>
      <c r="G160">
        <f>'Runs Z score'!G152</f>
        <v/>
      </c>
      <c r="H160">
        <f>VLOOKUP(C160,Recipes!$A$2:$N$4,10,FALSE())</f>
        <v/>
      </c>
      <c r="I160">
        <f>VLOOKUP(C160,Recipes!$A$2:$N$4,12,FALSE())</f>
        <v/>
      </c>
      <c r="J160">
        <f>IF(G160="","",H160-G160)</f>
        <v/>
      </c>
      <c r="K160">
        <f>IF(G160="","",IF(ABS(G160-H160)&lt;=$B$6*I160,"OK","NG"))</f>
        <v/>
      </c>
      <c r="L160">
        <f>IF(K160="","",IF(K160=D160,1,0))</f>
        <v/>
      </c>
      <c r="M160" t="inlineStr">
        <is>
          <t>NONE</t>
        </is>
      </c>
      <c r="N160" s="15" t="n">
        <v>1</v>
      </c>
      <c r="O160" s="15" t="n">
        <v>0</v>
      </c>
      <c r="P160">
        <f>IF(M160="","",IF(M160=E160,1,0))</f>
        <v/>
      </c>
      <c r="Q160">
        <f>IF(K160="OK","-",IF(N160&lt;$B$7,"AMBIGUOUS","CONFIDENT"))</f>
        <v/>
      </c>
    </row>
    <row r="161">
      <c r="A161">
        <f>'Runs Z score'!A153</f>
        <v/>
      </c>
      <c r="B161">
        <f>'Runs Z score'!B153</f>
        <v/>
      </c>
      <c r="C161">
        <f>'Runs Z score'!C153</f>
        <v/>
      </c>
      <c r="D161">
        <f>'Runs Z score'!D153</f>
        <v/>
      </c>
      <c r="E161">
        <f>'Runs Z score'!E153</f>
        <v/>
      </c>
      <c r="F161">
        <f>'Runs Z score'!F153</f>
        <v/>
      </c>
      <c r="G161">
        <f>'Runs Z score'!G153</f>
        <v/>
      </c>
      <c r="H161">
        <f>VLOOKUP(C161,Recipes!$A$2:$N$4,10,FALSE())</f>
        <v/>
      </c>
      <c r="I161">
        <f>VLOOKUP(C161,Recipes!$A$2:$N$4,12,FALSE())</f>
        <v/>
      </c>
      <c r="J161">
        <f>IF(G161="","",H161-G161)</f>
        <v/>
      </c>
      <c r="K161">
        <f>IF(G161="","",IF(ABS(G161-H161)&lt;=$B$6*I161,"OK","NG"))</f>
        <v/>
      </c>
      <c r="L161">
        <f>IF(K161="","",IF(K161=D161,1,0))</f>
        <v/>
      </c>
      <c r="M161" t="inlineStr">
        <is>
          <t>S1</t>
        </is>
      </c>
      <c r="N161" s="15" t="n">
        <v>1</v>
      </c>
      <c r="O161" s="15" t="n">
        <v>0</v>
      </c>
      <c r="P161">
        <f>IF(M161="","",IF(M161=E161,1,0))</f>
        <v/>
      </c>
      <c r="Q161">
        <f>IF(K161="OK","-",IF(N161&lt;$B$7,"AMBIGUOUS","CONFIDENT"))</f>
        <v/>
      </c>
    </row>
    <row r="162">
      <c r="A162">
        <f>'Runs Z score'!A154</f>
        <v/>
      </c>
      <c r="B162">
        <f>'Runs Z score'!B154</f>
        <v/>
      </c>
      <c r="C162">
        <f>'Runs Z score'!C154</f>
        <v/>
      </c>
      <c r="D162">
        <f>'Runs Z score'!D154</f>
        <v/>
      </c>
      <c r="E162">
        <f>'Runs Z score'!E154</f>
        <v/>
      </c>
      <c r="F162">
        <f>'Runs Z score'!F154</f>
        <v/>
      </c>
      <c r="G162">
        <f>'Runs Z score'!G154</f>
        <v/>
      </c>
      <c r="H162">
        <f>VLOOKUP(C162,Recipes!$A$2:$N$4,10,FALSE())</f>
        <v/>
      </c>
      <c r="I162">
        <f>VLOOKUP(C162,Recipes!$A$2:$N$4,12,FALSE())</f>
        <v/>
      </c>
      <c r="J162">
        <f>IF(G162="","",H162-G162)</f>
        <v/>
      </c>
      <c r="K162">
        <f>IF(G162="","",IF(ABS(G162-H162)&lt;=$B$6*I162,"OK","NG"))</f>
        <v/>
      </c>
      <c r="L162">
        <f>IF(K162="","",IF(K162=D162,1,0))</f>
        <v/>
      </c>
      <c r="M162" t="inlineStr">
        <is>
          <t>S1</t>
        </is>
      </c>
      <c r="N162" s="15" t="n">
        <v>1</v>
      </c>
      <c r="O162" s="15" t="n">
        <v>0</v>
      </c>
      <c r="P162">
        <f>IF(M162="","",IF(M162=E162,1,0))</f>
        <v/>
      </c>
      <c r="Q162">
        <f>IF(K162="OK","-",IF(N162&lt;$B$7,"AMBIGUOUS","CONFIDENT"))</f>
        <v/>
      </c>
    </row>
    <row r="163">
      <c r="A163">
        <f>'Runs Z score'!A155</f>
        <v/>
      </c>
      <c r="B163">
        <f>'Runs Z score'!B155</f>
        <v/>
      </c>
      <c r="C163">
        <f>'Runs Z score'!C155</f>
        <v/>
      </c>
      <c r="D163">
        <f>'Runs Z score'!D155</f>
        <v/>
      </c>
      <c r="E163">
        <f>'Runs Z score'!E155</f>
        <v/>
      </c>
      <c r="F163">
        <f>'Runs Z score'!F155</f>
        <v/>
      </c>
      <c r="G163">
        <f>'Runs Z score'!G155</f>
        <v/>
      </c>
      <c r="H163">
        <f>VLOOKUP(C163,Recipes!$A$2:$N$4,10,FALSE())</f>
        <v/>
      </c>
      <c r="I163">
        <f>VLOOKUP(C163,Recipes!$A$2:$N$4,12,FALSE())</f>
        <v/>
      </c>
      <c r="J163">
        <f>IF(G163="","",H163-G163)</f>
        <v/>
      </c>
      <c r="K163">
        <f>IF(G163="","",IF(ABS(G163-H163)&lt;=$B$6*I163,"OK","NG"))</f>
        <v/>
      </c>
      <c r="L163">
        <f>IF(K163="","",IF(K163=D163,1,0))</f>
        <v/>
      </c>
      <c r="M163" t="inlineStr">
        <is>
          <t>S1</t>
        </is>
      </c>
      <c r="N163" s="15" t="n">
        <v>1</v>
      </c>
      <c r="O163" s="15" t="n">
        <v>0</v>
      </c>
      <c r="P163">
        <f>IF(M163="","",IF(M163=E163,1,0))</f>
        <v/>
      </c>
      <c r="Q163">
        <f>IF(K163="OK","-",IF(N163&lt;$B$7,"AMBIGUOUS","CONFIDENT"))</f>
        <v/>
      </c>
    </row>
    <row r="164">
      <c r="A164">
        <f>'Runs Z score'!A156</f>
        <v/>
      </c>
      <c r="B164">
        <f>'Runs Z score'!B156</f>
        <v/>
      </c>
      <c r="C164">
        <f>'Runs Z score'!C156</f>
        <v/>
      </c>
      <c r="D164">
        <f>'Runs Z score'!D156</f>
        <v/>
      </c>
      <c r="E164">
        <f>'Runs Z score'!E156</f>
        <v/>
      </c>
      <c r="F164">
        <f>'Runs Z score'!F156</f>
        <v/>
      </c>
      <c r="G164">
        <f>'Runs Z score'!G156</f>
        <v/>
      </c>
      <c r="H164">
        <f>VLOOKUP(C164,Recipes!$A$2:$N$4,10,FALSE())</f>
        <v/>
      </c>
      <c r="I164">
        <f>VLOOKUP(C164,Recipes!$A$2:$N$4,12,FALSE())</f>
        <v/>
      </c>
      <c r="J164">
        <f>IF(G164="","",H164-G164)</f>
        <v/>
      </c>
      <c r="K164">
        <f>IF(G164="","",IF(ABS(G164-H164)&lt;=$B$6*I164,"OK","NG"))</f>
        <v/>
      </c>
      <c r="L164">
        <f>IF(K164="","",IF(K164=D164,1,0))</f>
        <v/>
      </c>
      <c r="M164" t="inlineStr">
        <is>
          <t>S1</t>
        </is>
      </c>
      <c r="N164" s="15" t="n">
        <v>1</v>
      </c>
      <c r="O164" s="15" t="n">
        <v>0</v>
      </c>
      <c r="P164">
        <f>IF(M164="","",IF(M164=E164,1,0))</f>
        <v/>
      </c>
      <c r="Q164">
        <f>IF(K164="OK","-",IF(N164&lt;$B$7,"AMBIGUOUS","CONFIDENT"))</f>
        <v/>
      </c>
    </row>
    <row r="165">
      <c r="A165">
        <f>'Runs Z score'!A157</f>
        <v/>
      </c>
      <c r="B165">
        <f>'Runs Z score'!B157</f>
        <v/>
      </c>
      <c r="C165">
        <f>'Runs Z score'!C157</f>
        <v/>
      </c>
      <c r="D165">
        <f>'Runs Z score'!D157</f>
        <v/>
      </c>
      <c r="E165">
        <f>'Runs Z score'!E157</f>
        <v/>
      </c>
      <c r="F165">
        <f>'Runs Z score'!F157</f>
        <v/>
      </c>
      <c r="G165">
        <f>'Runs Z score'!G157</f>
        <v/>
      </c>
      <c r="H165">
        <f>VLOOKUP(C165,Recipes!$A$2:$N$4,10,FALSE())</f>
        <v/>
      </c>
      <c r="I165">
        <f>VLOOKUP(C165,Recipes!$A$2:$N$4,12,FALSE())</f>
        <v/>
      </c>
      <c r="J165">
        <f>IF(G165="","",H165-G165)</f>
        <v/>
      </c>
      <c r="K165">
        <f>IF(G165="","",IF(ABS(G165-H165)&lt;=$B$6*I165,"OK","NG"))</f>
        <v/>
      </c>
      <c r="L165">
        <f>IF(K165="","",IF(K165=D165,1,0))</f>
        <v/>
      </c>
      <c r="M165" t="inlineStr">
        <is>
          <t>S1</t>
        </is>
      </c>
      <c r="N165" s="15" t="n">
        <v>1</v>
      </c>
      <c r="O165" s="15" t="n">
        <v>0</v>
      </c>
      <c r="P165">
        <f>IF(M165="","",IF(M165=E165,1,0))</f>
        <v/>
      </c>
      <c r="Q165">
        <f>IF(K165="OK","-",IF(N165&lt;$B$7,"AMBIGUOUS","CONFIDENT"))</f>
        <v/>
      </c>
    </row>
    <row r="166">
      <c r="A166">
        <f>'Runs Z score'!A158</f>
        <v/>
      </c>
      <c r="B166">
        <f>'Runs Z score'!B158</f>
        <v/>
      </c>
      <c r="C166">
        <f>'Runs Z score'!C158</f>
        <v/>
      </c>
      <c r="D166">
        <f>'Runs Z score'!D158</f>
        <v/>
      </c>
      <c r="E166">
        <f>'Runs Z score'!E158</f>
        <v/>
      </c>
      <c r="F166">
        <f>'Runs Z score'!F158</f>
        <v/>
      </c>
      <c r="G166">
        <f>'Runs Z score'!G158</f>
        <v/>
      </c>
      <c r="H166">
        <f>VLOOKUP(C166,Recipes!$A$2:$N$4,10,FALSE())</f>
        <v/>
      </c>
      <c r="I166">
        <f>VLOOKUP(C166,Recipes!$A$2:$N$4,12,FALSE())</f>
        <v/>
      </c>
      <c r="J166">
        <f>IF(G166="","",H166-G166)</f>
        <v/>
      </c>
      <c r="K166">
        <f>IF(G166="","",IF(ABS(G166-H166)&lt;=$B$6*I166,"OK","NG"))</f>
        <v/>
      </c>
      <c r="L166">
        <f>IF(K166="","",IF(K166=D166,1,0))</f>
        <v/>
      </c>
      <c r="M166" t="inlineStr">
        <is>
          <t>S1</t>
        </is>
      </c>
      <c r="N166" s="15" t="n">
        <v>1</v>
      </c>
      <c r="O166" s="15" t="n">
        <v>0</v>
      </c>
      <c r="P166">
        <f>IF(M166="","",IF(M166=E166,1,0))</f>
        <v/>
      </c>
      <c r="Q166">
        <f>IF(K166="OK","-",IF(N166&lt;$B$7,"AMBIGUOUS","CONFIDENT"))</f>
        <v/>
      </c>
    </row>
    <row r="167">
      <c r="A167">
        <f>'Runs Z score'!A159</f>
        <v/>
      </c>
      <c r="B167">
        <f>'Runs Z score'!B159</f>
        <v/>
      </c>
      <c r="C167">
        <f>'Runs Z score'!C159</f>
        <v/>
      </c>
      <c r="D167">
        <f>'Runs Z score'!D159</f>
        <v/>
      </c>
      <c r="E167">
        <f>'Runs Z score'!E159</f>
        <v/>
      </c>
      <c r="F167">
        <f>'Runs Z score'!F159</f>
        <v/>
      </c>
      <c r="G167">
        <f>'Runs Z score'!G159</f>
        <v/>
      </c>
      <c r="H167">
        <f>VLOOKUP(C167,Recipes!$A$2:$N$4,10,FALSE())</f>
        <v/>
      </c>
      <c r="I167">
        <f>VLOOKUP(C167,Recipes!$A$2:$N$4,12,FALSE())</f>
        <v/>
      </c>
      <c r="J167">
        <f>IF(G167="","",H167-G167)</f>
        <v/>
      </c>
      <c r="K167">
        <f>IF(G167="","",IF(ABS(G167-H167)&lt;=$B$6*I167,"OK","NG"))</f>
        <v/>
      </c>
      <c r="L167">
        <f>IF(K167="","",IF(K167=D167,1,0))</f>
        <v/>
      </c>
      <c r="M167" t="inlineStr">
        <is>
          <t>S1</t>
        </is>
      </c>
      <c r="N167" s="15" t="n">
        <v>1</v>
      </c>
      <c r="O167" s="15" t="n">
        <v>0</v>
      </c>
      <c r="P167">
        <f>IF(M167="","",IF(M167=E167,1,0))</f>
        <v/>
      </c>
      <c r="Q167">
        <f>IF(K167="OK","-",IF(N167&lt;$B$7,"AMBIGUOUS","CONFIDENT"))</f>
        <v/>
      </c>
    </row>
    <row r="168">
      <c r="A168">
        <f>'Runs Z score'!A160</f>
        <v/>
      </c>
      <c r="B168">
        <f>'Runs Z score'!B160</f>
        <v/>
      </c>
      <c r="C168">
        <f>'Runs Z score'!C160</f>
        <v/>
      </c>
      <c r="D168">
        <f>'Runs Z score'!D160</f>
        <v/>
      </c>
      <c r="E168">
        <f>'Runs Z score'!E160</f>
        <v/>
      </c>
      <c r="F168">
        <f>'Runs Z score'!F160</f>
        <v/>
      </c>
      <c r="G168">
        <f>'Runs Z score'!G160</f>
        <v/>
      </c>
      <c r="H168">
        <f>VLOOKUP(C168,Recipes!$A$2:$N$4,10,FALSE())</f>
        <v/>
      </c>
      <c r="I168">
        <f>VLOOKUP(C168,Recipes!$A$2:$N$4,12,FALSE())</f>
        <v/>
      </c>
      <c r="J168">
        <f>IF(G168="","",H168-G168)</f>
        <v/>
      </c>
      <c r="K168">
        <f>IF(G168="","",IF(ABS(G168-H168)&lt;=$B$6*I168,"OK","NG"))</f>
        <v/>
      </c>
      <c r="L168">
        <f>IF(K168="","",IF(K168=D168,1,0))</f>
        <v/>
      </c>
      <c r="M168" t="inlineStr">
        <is>
          <t>S1</t>
        </is>
      </c>
      <c r="N168" s="15" t="n">
        <v>1</v>
      </c>
      <c r="O168" s="15" t="n">
        <v>0</v>
      </c>
      <c r="P168">
        <f>IF(M168="","",IF(M168=E168,1,0))</f>
        <v/>
      </c>
      <c r="Q168">
        <f>IF(K168="OK","-",IF(N168&lt;$B$7,"AMBIGUOUS","CONFIDENT"))</f>
        <v/>
      </c>
    </row>
    <row r="169">
      <c r="A169">
        <f>'Runs Z score'!A161</f>
        <v/>
      </c>
      <c r="B169">
        <f>'Runs Z score'!B161</f>
        <v/>
      </c>
      <c r="C169">
        <f>'Runs Z score'!C161</f>
        <v/>
      </c>
      <c r="D169">
        <f>'Runs Z score'!D161</f>
        <v/>
      </c>
      <c r="E169">
        <f>'Runs Z score'!E161</f>
        <v/>
      </c>
      <c r="F169">
        <f>'Runs Z score'!F161</f>
        <v/>
      </c>
      <c r="G169">
        <f>'Runs Z score'!G161</f>
        <v/>
      </c>
      <c r="H169">
        <f>VLOOKUP(C169,Recipes!$A$2:$N$4,10,FALSE())</f>
        <v/>
      </c>
      <c r="I169">
        <f>VLOOKUP(C169,Recipes!$A$2:$N$4,12,FALSE())</f>
        <v/>
      </c>
      <c r="J169">
        <f>IF(G169="","",H169-G169)</f>
        <v/>
      </c>
      <c r="K169">
        <f>IF(G169="","",IF(ABS(G169-H169)&lt;=$B$6*I169,"OK","NG"))</f>
        <v/>
      </c>
      <c r="L169">
        <f>IF(K169="","",IF(K169=D169,1,0))</f>
        <v/>
      </c>
      <c r="M169" t="inlineStr">
        <is>
          <t>S1</t>
        </is>
      </c>
      <c r="N169" s="15" t="n">
        <v>1</v>
      </c>
      <c r="O169" s="15" t="n">
        <v>0</v>
      </c>
      <c r="P169">
        <f>IF(M169="","",IF(M169=E169,1,0))</f>
        <v/>
      </c>
      <c r="Q169">
        <f>IF(K169="OK","-",IF(N169&lt;$B$7,"AMBIGUOUS","CONFIDENT"))</f>
        <v/>
      </c>
    </row>
    <row r="170">
      <c r="A170">
        <f>'Runs Z score'!A162</f>
        <v/>
      </c>
      <c r="B170">
        <f>'Runs Z score'!B162</f>
        <v/>
      </c>
      <c r="C170">
        <f>'Runs Z score'!C162</f>
        <v/>
      </c>
      <c r="D170">
        <f>'Runs Z score'!D162</f>
        <v/>
      </c>
      <c r="E170">
        <f>'Runs Z score'!E162</f>
        <v/>
      </c>
      <c r="F170">
        <f>'Runs Z score'!F162</f>
        <v/>
      </c>
      <c r="G170">
        <f>'Runs Z score'!G162</f>
        <v/>
      </c>
      <c r="H170">
        <f>VLOOKUP(C170,Recipes!$A$2:$N$4,10,FALSE())</f>
        <v/>
      </c>
      <c r="I170">
        <f>VLOOKUP(C170,Recipes!$A$2:$N$4,12,FALSE())</f>
        <v/>
      </c>
      <c r="J170">
        <f>IF(G170="","",H170-G170)</f>
        <v/>
      </c>
      <c r="K170">
        <f>IF(G170="","",IF(ABS(G170-H170)&lt;=$B$6*I170,"OK","NG"))</f>
        <v/>
      </c>
      <c r="L170">
        <f>IF(K170="","",IF(K170=D170,1,0))</f>
        <v/>
      </c>
      <c r="M170" t="inlineStr">
        <is>
          <t>S1</t>
        </is>
      </c>
      <c r="N170" s="15" t="n">
        <v>1</v>
      </c>
      <c r="O170" s="15" t="n">
        <v>0</v>
      </c>
      <c r="P170">
        <f>IF(M170="","",IF(M170=E170,1,0))</f>
        <v/>
      </c>
      <c r="Q170">
        <f>IF(K170="OK","-",IF(N170&lt;$B$7,"AMBIGUOUS","CONFIDENT"))</f>
        <v/>
      </c>
    </row>
    <row r="171">
      <c r="A171">
        <f>'Runs Z score'!A163</f>
        <v/>
      </c>
      <c r="B171">
        <f>'Runs Z score'!B163</f>
        <v/>
      </c>
      <c r="C171">
        <f>'Runs Z score'!C163</f>
        <v/>
      </c>
      <c r="D171">
        <f>'Runs Z score'!D163</f>
        <v/>
      </c>
      <c r="E171">
        <f>'Runs Z score'!E163</f>
        <v/>
      </c>
      <c r="F171">
        <f>'Runs Z score'!F163</f>
        <v/>
      </c>
      <c r="G171">
        <f>'Runs Z score'!G163</f>
        <v/>
      </c>
      <c r="H171">
        <f>VLOOKUP(C171,Recipes!$A$2:$N$4,10,FALSE())</f>
        <v/>
      </c>
      <c r="I171">
        <f>VLOOKUP(C171,Recipes!$A$2:$N$4,12,FALSE())</f>
        <v/>
      </c>
      <c r="J171">
        <f>IF(G171="","",H171-G171)</f>
        <v/>
      </c>
      <c r="K171">
        <f>IF(G171="","",IF(ABS(G171-H171)&lt;=$B$6*I171,"OK","NG"))</f>
        <v/>
      </c>
      <c r="L171">
        <f>IF(K171="","",IF(K171=D171,1,0))</f>
        <v/>
      </c>
      <c r="M171" t="inlineStr">
        <is>
          <t>S1</t>
        </is>
      </c>
      <c r="N171" s="15" t="n">
        <v>1</v>
      </c>
      <c r="O171" s="15" t="n">
        <v>0</v>
      </c>
      <c r="P171">
        <f>IF(M171="","",IF(M171=E171,1,0))</f>
        <v/>
      </c>
      <c r="Q171">
        <f>IF(K171="OK","-",IF(N171&lt;$B$7,"AMBIGUOUS","CONFIDENT"))</f>
        <v/>
      </c>
    </row>
    <row r="172">
      <c r="A172">
        <f>'Runs Z score'!A164</f>
        <v/>
      </c>
      <c r="B172">
        <f>'Runs Z score'!B164</f>
        <v/>
      </c>
      <c r="C172">
        <f>'Runs Z score'!C164</f>
        <v/>
      </c>
      <c r="D172">
        <f>'Runs Z score'!D164</f>
        <v/>
      </c>
      <c r="E172">
        <f>'Runs Z score'!E164</f>
        <v/>
      </c>
      <c r="F172">
        <f>'Runs Z score'!F164</f>
        <v/>
      </c>
      <c r="G172">
        <f>'Runs Z score'!G164</f>
        <v/>
      </c>
      <c r="H172">
        <f>VLOOKUP(C172,Recipes!$A$2:$N$4,10,FALSE())</f>
        <v/>
      </c>
      <c r="I172">
        <f>VLOOKUP(C172,Recipes!$A$2:$N$4,12,FALSE())</f>
        <v/>
      </c>
      <c r="J172">
        <f>IF(G172="","",H172-G172)</f>
        <v/>
      </c>
      <c r="K172">
        <f>IF(G172="","",IF(ABS(G172-H172)&lt;=$B$6*I172,"OK","NG"))</f>
        <v/>
      </c>
      <c r="L172">
        <f>IF(K172="","",IF(K172=D172,1,0))</f>
        <v/>
      </c>
      <c r="M172" t="inlineStr">
        <is>
          <t>S1</t>
        </is>
      </c>
      <c r="N172" s="15" t="n">
        <v>1</v>
      </c>
      <c r="O172" s="15" t="n">
        <v>0</v>
      </c>
      <c r="P172">
        <f>IF(M172="","",IF(M172=E172,1,0))</f>
        <v/>
      </c>
      <c r="Q172">
        <f>IF(K172="OK","-",IF(N172&lt;$B$7,"AMBIGUOUS","CONFIDENT"))</f>
        <v/>
      </c>
    </row>
    <row r="173">
      <c r="A173">
        <f>'Runs Z score'!A165</f>
        <v/>
      </c>
      <c r="B173">
        <f>'Runs Z score'!B165</f>
        <v/>
      </c>
      <c r="C173">
        <f>'Runs Z score'!C165</f>
        <v/>
      </c>
      <c r="D173">
        <f>'Runs Z score'!D165</f>
        <v/>
      </c>
      <c r="E173">
        <f>'Runs Z score'!E165</f>
        <v/>
      </c>
      <c r="F173">
        <f>'Runs Z score'!F165</f>
        <v/>
      </c>
      <c r="G173">
        <f>'Runs Z score'!G165</f>
        <v/>
      </c>
      <c r="H173">
        <f>VLOOKUP(C173,Recipes!$A$2:$N$4,10,FALSE())</f>
        <v/>
      </c>
      <c r="I173">
        <f>VLOOKUP(C173,Recipes!$A$2:$N$4,12,FALSE())</f>
        <v/>
      </c>
      <c r="J173">
        <f>IF(G173="","",H173-G173)</f>
        <v/>
      </c>
      <c r="K173">
        <f>IF(G173="","",IF(ABS(G173-H173)&lt;=$B$6*I173,"OK","NG"))</f>
        <v/>
      </c>
      <c r="L173">
        <f>IF(K173="","",IF(K173=D173,1,0))</f>
        <v/>
      </c>
      <c r="M173" t="inlineStr">
        <is>
          <t>S1</t>
        </is>
      </c>
      <c r="N173" s="15" t="n">
        <v>1</v>
      </c>
      <c r="O173" s="15" t="n">
        <v>0</v>
      </c>
      <c r="P173">
        <f>IF(M173="","",IF(M173=E173,1,0))</f>
        <v/>
      </c>
      <c r="Q173">
        <f>IF(K173="OK","-",IF(N173&lt;$B$7,"AMBIGUOUS","CONFIDENT"))</f>
        <v/>
      </c>
    </row>
    <row r="174">
      <c r="A174">
        <f>'Runs Z score'!A166</f>
        <v/>
      </c>
      <c r="B174">
        <f>'Runs Z score'!B166</f>
        <v/>
      </c>
      <c r="C174">
        <f>'Runs Z score'!C166</f>
        <v/>
      </c>
      <c r="D174">
        <f>'Runs Z score'!D166</f>
        <v/>
      </c>
      <c r="E174">
        <f>'Runs Z score'!E166</f>
        <v/>
      </c>
      <c r="F174">
        <f>'Runs Z score'!F166</f>
        <v/>
      </c>
      <c r="G174">
        <f>'Runs Z score'!G166</f>
        <v/>
      </c>
      <c r="H174">
        <f>VLOOKUP(C174,Recipes!$A$2:$N$4,10,FALSE())</f>
        <v/>
      </c>
      <c r="I174">
        <f>VLOOKUP(C174,Recipes!$A$2:$N$4,12,FALSE())</f>
        <v/>
      </c>
      <c r="J174">
        <f>IF(G174="","",H174-G174)</f>
        <v/>
      </c>
      <c r="K174">
        <f>IF(G174="","",IF(ABS(G174-H174)&lt;=$B$6*I174,"OK","NG"))</f>
        <v/>
      </c>
      <c r="L174">
        <f>IF(K174="","",IF(K174=D174,1,0))</f>
        <v/>
      </c>
      <c r="M174" t="inlineStr">
        <is>
          <t>S1</t>
        </is>
      </c>
      <c r="N174" s="15" t="n">
        <v>1</v>
      </c>
      <c r="O174" s="15" t="n">
        <v>0</v>
      </c>
      <c r="P174">
        <f>IF(M174="","",IF(M174=E174,1,0))</f>
        <v/>
      </c>
      <c r="Q174">
        <f>IF(K174="OK","-",IF(N174&lt;$B$7,"AMBIGUOUS","CONFIDENT"))</f>
        <v/>
      </c>
    </row>
    <row r="175">
      <c r="A175">
        <f>'Runs Z score'!A167</f>
        <v/>
      </c>
      <c r="B175">
        <f>'Runs Z score'!B167</f>
        <v/>
      </c>
      <c r="C175">
        <f>'Runs Z score'!C167</f>
        <v/>
      </c>
      <c r="D175">
        <f>'Runs Z score'!D167</f>
        <v/>
      </c>
      <c r="E175">
        <f>'Runs Z score'!E167</f>
        <v/>
      </c>
      <c r="F175">
        <f>'Runs Z score'!F167</f>
        <v/>
      </c>
      <c r="G175">
        <f>'Runs Z score'!G167</f>
        <v/>
      </c>
      <c r="H175">
        <f>VLOOKUP(C175,Recipes!$A$2:$N$4,10,FALSE())</f>
        <v/>
      </c>
      <c r="I175">
        <f>VLOOKUP(C175,Recipes!$A$2:$N$4,12,FALSE())</f>
        <v/>
      </c>
      <c r="J175">
        <f>IF(G175="","",H175-G175)</f>
        <v/>
      </c>
      <c r="K175">
        <f>IF(G175="","",IF(ABS(G175-H175)&lt;=$B$6*I175,"OK","NG"))</f>
        <v/>
      </c>
      <c r="L175">
        <f>IF(K175="","",IF(K175=D175,1,0))</f>
        <v/>
      </c>
      <c r="M175" t="inlineStr">
        <is>
          <t>S1</t>
        </is>
      </c>
      <c r="N175" s="15" t="n">
        <v>1</v>
      </c>
      <c r="O175" s="15" t="n">
        <v>0</v>
      </c>
      <c r="P175">
        <f>IF(M175="","",IF(M175=E175,1,0))</f>
        <v/>
      </c>
      <c r="Q175">
        <f>IF(K175="OK","-",IF(N175&lt;$B$7,"AMBIGUOUS","CONFIDENT"))</f>
        <v/>
      </c>
    </row>
    <row r="176">
      <c r="A176">
        <f>'Runs Z score'!A168</f>
        <v/>
      </c>
      <c r="B176">
        <f>'Runs Z score'!B168</f>
        <v/>
      </c>
      <c r="C176">
        <f>'Runs Z score'!C168</f>
        <v/>
      </c>
      <c r="D176">
        <f>'Runs Z score'!D168</f>
        <v/>
      </c>
      <c r="E176">
        <f>'Runs Z score'!E168</f>
        <v/>
      </c>
      <c r="F176">
        <f>'Runs Z score'!F168</f>
        <v/>
      </c>
      <c r="G176">
        <f>'Runs Z score'!G168</f>
        <v/>
      </c>
      <c r="H176">
        <f>VLOOKUP(C176,Recipes!$A$2:$N$4,10,FALSE())</f>
        <v/>
      </c>
      <c r="I176">
        <f>VLOOKUP(C176,Recipes!$A$2:$N$4,12,FALSE())</f>
        <v/>
      </c>
      <c r="J176">
        <f>IF(G176="","",H176-G176)</f>
        <v/>
      </c>
      <c r="K176">
        <f>IF(G176="","",IF(ABS(G176-H176)&lt;=$B$6*I176,"OK","NG"))</f>
        <v/>
      </c>
      <c r="L176">
        <f>IF(K176="","",IF(K176=D176,1,0))</f>
        <v/>
      </c>
      <c r="M176" t="inlineStr">
        <is>
          <t>S1</t>
        </is>
      </c>
      <c r="N176" s="15" t="n">
        <v>1</v>
      </c>
      <c r="O176" s="15" t="n">
        <v>0</v>
      </c>
      <c r="P176">
        <f>IF(M176="","",IF(M176=E176,1,0))</f>
        <v/>
      </c>
      <c r="Q176">
        <f>IF(K176="OK","-",IF(N176&lt;$B$7,"AMBIGUOUS","CONFIDENT"))</f>
        <v/>
      </c>
    </row>
    <row r="177">
      <c r="A177">
        <f>'Runs Z score'!A169</f>
        <v/>
      </c>
      <c r="B177">
        <f>'Runs Z score'!B169</f>
        <v/>
      </c>
      <c r="C177">
        <f>'Runs Z score'!C169</f>
        <v/>
      </c>
      <c r="D177">
        <f>'Runs Z score'!D169</f>
        <v/>
      </c>
      <c r="E177">
        <f>'Runs Z score'!E169</f>
        <v/>
      </c>
      <c r="F177">
        <f>'Runs Z score'!F169</f>
        <v/>
      </c>
      <c r="G177">
        <f>'Runs Z score'!G169</f>
        <v/>
      </c>
      <c r="H177">
        <f>VLOOKUP(C177,Recipes!$A$2:$N$4,10,FALSE())</f>
        <v/>
      </c>
      <c r="I177">
        <f>VLOOKUP(C177,Recipes!$A$2:$N$4,12,FALSE())</f>
        <v/>
      </c>
      <c r="J177">
        <f>IF(G177="","",H177-G177)</f>
        <v/>
      </c>
      <c r="K177">
        <f>IF(G177="","",IF(ABS(G177-H177)&lt;=$B$6*I177,"OK","NG"))</f>
        <v/>
      </c>
      <c r="L177">
        <f>IF(K177="","",IF(K177=D177,1,0))</f>
        <v/>
      </c>
      <c r="M177" t="inlineStr">
        <is>
          <t>S1</t>
        </is>
      </c>
      <c r="N177" s="15" t="n">
        <v>1</v>
      </c>
      <c r="O177" s="15" t="n">
        <v>0</v>
      </c>
      <c r="P177">
        <f>IF(M177="","",IF(M177=E177,1,0))</f>
        <v/>
      </c>
      <c r="Q177">
        <f>IF(K177="OK","-",IF(N177&lt;$B$7,"AMBIGUOUS","CONFIDENT"))</f>
        <v/>
      </c>
    </row>
    <row r="178">
      <c r="A178">
        <f>'Runs Z score'!A170</f>
        <v/>
      </c>
      <c r="B178">
        <f>'Runs Z score'!B170</f>
        <v/>
      </c>
      <c r="C178">
        <f>'Runs Z score'!C170</f>
        <v/>
      </c>
      <c r="D178">
        <f>'Runs Z score'!D170</f>
        <v/>
      </c>
      <c r="E178">
        <f>'Runs Z score'!E170</f>
        <v/>
      </c>
      <c r="F178">
        <f>'Runs Z score'!F170</f>
        <v/>
      </c>
      <c r="G178">
        <f>'Runs Z score'!G170</f>
        <v/>
      </c>
      <c r="H178">
        <f>VLOOKUP(C178,Recipes!$A$2:$N$4,10,FALSE())</f>
        <v/>
      </c>
      <c r="I178">
        <f>VLOOKUP(C178,Recipes!$A$2:$N$4,12,FALSE())</f>
        <v/>
      </c>
      <c r="J178">
        <f>IF(G178="","",H178-G178)</f>
        <v/>
      </c>
      <c r="K178">
        <f>IF(G178="","",IF(ABS(G178-H178)&lt;=$B$6*I178,"OK","NG"))</f>
        <v/>
      </c>
      <c r="L178">
        <f>IF(K178="","",IF(K178=D178,1,0))</f>
        <v/>
      </c>
      <c r="M178" t="inlineStr">
        <is>
          <t>S1</t>
        </is>
      </c>
      <c r="N178" s="15" t="n">
        <v>1</v>
      </c>
      <c r="O178" s="15" t="n">
        <v>0</v>
      </c>
      <c r="P178">
        <f>IF(M178="","",IF(M178=E178,1,0))</f>
        <v/>
      </c>
      <c r="Q178">
        <f>IF(K178="OK","-",IF(N178&lt;$B$7,"AMBIGUOUS","CONFIDENT"))</f>
        <v/>
      </c>
    </row>
    <row r="179">
      <c r="A179">
        <f>'Runs Z score'!A171</f>
        <v/>
      </c>
      <c r="B179">
        <f>'Runs Z score'!B171</f>
        <v/>
      </c>
      <c r="C179">
        <f>'Runs Z score'!C171</f>
        <v/>
      </c>
      <c r="D179">
        <f>'Runs Z score'!D171</f>
        <v/>
      </c>
      <c r="E179">
        <f>'Runs Z score'!E171</f>
        <v/>
      </c>
      <c r="F179">
        <f>'Runs Z score'!F171</f>
        <v/>
      </c>
      <c r="G179">
        <f>'Runs Z score'!G171</f>
        <v/>
      </c>
      <c r="H179">
        <f>VLOOKUP(C179,Recipes!$A$2:$N$4,10,FALSE())</f>
        <v/>
      </c>
      <c r="I179">
        <f>VLOOKUP(C179,Recipes!$A$2:$N$4,12,FALSE())</f>
        <v/>
      </c>
      <c r="J179">
        <f>IF(G179="","",H179-G179)</f>
        <v/>
      </c>
      <c r="K179">
        <f>IF(G179="","",IF(ABS(G179-H179)&lt;=$B$6*I179,"OK","NG"))</f>
        <v/>
      </c>
      <c r="L179">
        <f>IF(K179="","",IF(K179=D179,1,0))</f>
        <v/>
      </c>
      <c r="M179" t="inlineStr">
        <is>
          <t>S1</t>
        </is>
      </c>
      <c r="N179" s="15" t="n">
        <v>1</v>
      </c>
      <c r="O179" s="15" t="n">
        <v>0</v>
      </c>
      <c r="P179">
        <f>IF(M179="","",IF(M179=E179,1,0))</f>
        <v/>
      </c>
      <c r="Q179">
        <f>IF(K179="OK","-",IF(N179&lt;$B$7,"AMBIGUOUS","CONFIDENT"))</f>
        <v/>
      </c>
    </row>
    <row r="180">
      <c r="A180">
        <f>'Runs Z score'!A172</f>
        <v/>
      </c>
      <c r="B180">
        <f>'Runs Z score'!B172</f>
        <v/>
      </c>
      <c r="C180">
        <f>'Runs Z score'!C172</f>
        <v/>
      </c>
      <c r="D180">
        <f>'Runs Z score'!D172</f>
        <v/>
      </c>
      <c r="E180">
        <f>'Runs Z score'!E172</f>
        <v/>
      </c>
      <c r="F180">
        <f>'Runs Z score'!F172</f>
        <v/>
      </c>
      <c r="G180">
        <f>'Runs Z score'!G172</f>
        <v/>
      </c>
      <c r="H180">
        <f>VLOOKUP(C180,Recipes!$A$2:$N$4,10,FALSE())</f>
        <v/>
      </c>
      <c r="I180">
        <f>VLOOKUP(C180,Recipes!$A$2:$N$4,12,FALSE())</f>
        <v/>
      </c>
      <c r="J180">
        <f>IF(G180="","",H180-G180)</f>
        <v/>
      </c>
      <c r="K180">
        <f>IF(G180="","",IF(ABS(G180-H180)&lt;=$B$6*I180,"OK","NG"))</f>
        <v/>
      </c>
      <c r="L180">
        <f>IF(K180="","",IF(K180=D180,1,0))</f>
        <v/>
      </c>
      <c r="M180" t="inlineStr">
        <is>
          <t>S1</t>
        </is>
      </c>
      <c r="N180" s="15" t="n">
        <v>1</v>
      </c>
      <c r="O180" s="15" t="n">
        <v>0</v>
      </c>
      <c r="P180">
        <f>IF(M180="","",IF(M180=E180,1,0))</f>
        <v/>
      </c>
      <c r="Q180">
        <f>IF(K180="OK","-",IF(N180&lt;$B$7,"AMBIGUOUS","CONFIDENT"))</f>
        <v/>
      </c>
    </row>
    <row r="181">
      <c r="A181">
        <f>'Runs Z score'!A173</f>
        <v/>
      </c>
      <c r="B181">
        <f>'Runs Z score'!B173</f>
        <v/>
      </c>
      <c r="C181">
        <f>'Runs Z score'!C173</f>
        <v/>
      </c>
      <c r="D181">
        <f>'Runs Z score'!D173</f>
        <v/>
      </c>
      <c r="E181">
        <f>'Runs Z score'!E173</f>
        <v/>
      </c>
      <c r="F181">
        <f>'Runs Z score'!F173</f>
        <v/>
      </c>
      <c r="G181">
        <f>'Runs Z score'!G173</f>
        <v/>
      </c>
      <c r="H181">
        <f>VLOOKUP(C181,Recipes!$A$2:$N$4,10,FALSE())</f>
        <v/>
      </c>
      <c r="I181">
        <f>VLOOKUP(C181,Recipes!$A$2:$N$4,12,FALSE())</f>
        <v/>
      </c>
      <c r="J181">
        <f>IF(G181="","",H181-G181)</f>
        <v/>
      </c>
      <c r="K181">
        <f>IF(G181="","",IF(ABS(G181-H181)&lt;=$B$6*I181,"OK","NG"))</f>
        <v/>
      </c>
      <c r="L181">
        <f>IF(K181="","",IF(K181=D181,1,0))</f>
        <v/>
      </c>
      <c r="M181" t="inlineStr">
        <is>
          <t>S1</t>
        </is>
      </c>
      <c r="N181" s="15" t="n">
        <v>1</v>
      </c>
      <c r="O181" s="15" t="n">
        <v>0</v>
      </c>
      <c r="P181">
        <f>IF(M181="","",IF(M181=E181,1,0))</f>
        <v/>
      </c>
      <c r="Q181">
        <f>IF(K181="OK","-",IF(N181&lt;$B$7,"AMBIGUOUS","CONFIDENT"))</f>
        <v/>
      </c>
    </row>
    <row r="182">
      <c r="A182">
        <f>'Runs Z score'!A174</f>
        <v/>
      </c>
      <c r="B182">
        <f>'Runs Z score'!B174</f>
        <v/>
      </c>
      <c r="C182">
        <f>'Runs Z score'!C174</f>
        <v/>
      </c>
      <c r="D182">
        <f>'Runs Z score'!D174</f>
        <v/>
      </c>
      <c r="E182">
        <f>'Runs Z score'!E174</f>
        <v/>
      </c>
      <c r="F182">
        <f>'Runs Z score'!F174</f>
        <v/>
      </c>
      <c r="G182">
        <f>'Runs Z score'!G174</f>
        <v/>
      </c>
      <c r="H182">
        <f>VLOOKUP(C182,Recipes!$A$2:$N$4,10,FALSE())</f>
        <v/>
      </c>
      <c r="I182">
        <f>VLOOKUP(C182,Recipes!$A$2:$N$4,12,FALSE())</f>
        <v/>
      </c>
      <c r="J182">
        <f>IF(G182="","",H182-G182)</f>
        <v/>
      </c>
      <c r="K182">
        <f>IF(G182="","",IF(ABS(G182-H182)&lt;=$B$6*I182,"OK","NG"))</f>
        <v/>
      </c>
      <c r="L182">
        <f>IF(K182="","",IF(K182=D182,1,0))</f>
        <v/>
      </c>
      <c r="M182" t="inlineStr">
        <is>
          <t>S1</t>
        </is>
      </c>
      <c r="N182" s="15" t="n">
        <v>1</v>
      </c>
      <c r="O182" s="15" t="n">
        <v>0</v>
      </c>
      <c r="P182">
        <f>IF(M182="","",IF(M182=E182,1,0))</f>
        <v/>
      </c>
      <c r="Q182">
        <f>IF(K182="OK","-",IF(N182&lt;$B$7,"AMBIGUOUS","CONFIDENT"))</f>
        <v/>
      </c>
    </row>
    <row r="183">
      <c r="A183">
        <f>'Runs Z score'!A175</f>
        <v/>
      </c>
      <c r="B183">
        <f>'Runs Z score'!B175</f>
        <v/>
      </c>
      <c r="C183">
        <f>'Runs Z score'!C175</f>
        <v/>
      </c>
      <c r="D183">
        <f>'Runs Z score'!D175</f>
        <v/>
      </c>
      <c r="E183">
        <f>'Runs Z score'!E175</f>
        <v/>
      </c>
      <c r="F183">
        <f>'Runs Z score'!F175</f>
        <v/>
      </c>
      <c r="G183">
        <f>'Runs Z score'!G175</f>
        <v/>
      </c>
      <c r="H183">
        <f>VLOOKUP(C183,Recipes!$A$2:$N$4,10,FALSE())</f>
        <v/>
      </c>
      <c r="I183">
        <f>VLOOKUP(C183,Recipes!$A$2:$N$4,12,FALSE())</f>
        <v/>
      </c>
      <c r="J183">
        <f>IF(G183="","",H183-G183)</f>
        <v/>
      </c>
      <c r="K183">
        <f>IF(G183="","",IF(ABS(G183-H183)&lt;=$B$6*I183,"OK","NG"))</f>
        <v/>
      </c>
      <c r="L183">
        <f>IF(K183="","",IF(K183=D183,1,0))</f>
        <v/>
      </c>
      <c r="M183" t="inlineStr">
        <is>
          <t>S1</t>
        </is>
      </c>
      <c r="N183" s="15" t="n">
        <v>1</v>
      </c>
      <c r="O183" s="15" t="n">
        <v>0</v>
      </c>
      <c r="P183">
        <f>IF(M183="","",IF(M183=E183,1,0))</f>
        <v/>
      </c>
      <c r="Q183">
        <f>IF(K183="OK","-",IF(N183&lt;$B$7,"AMBIGUOUS","CONFIDENT"))</f>
        <v/>
      </c>
    </row>
    <row r="184">
      <c r="A184">
        <f>'Runs Z score'!A176</f>
        <v/>
      </c>
      <c r="B184">
        <f>'Runs Z score'!B176</f>
        <v/>
      </c>
      <c r="C184">
        <f>'Runs Z score'!C176</f>
        <v/>
      </c>
      <c r="D184">
        <f>'Runs Z score'!D176</f>
        <v/>
      </c>
      <c r="E184">
        <f>'Runs Z score'!E176</f>
        <v/>
      </c>
      <c r="F184">
        <f>'Runs Z score'!F176</f>
        <v/>
      </c>
      <c r="G184">
        <f>'Runs Z score'!G176</f>
        <v/>
      </c>
      <c r="H184">
        <f>VLOOKUP(C184,Recipes!$A$2:$N$4,10,FALSE())</f>
        <v/>
      </c>
      <c r="I184">
        <f>VLOOKUP(C184,Recipes!$A$2:$N$4,12,FALSE())</f>
        <v/>
      </c>
      <c r="J184">
        <f>IF(G184="","",H184-G184)</f>
        <v/>
      </c>
      <c r="K184">
        <f>IF(G184="","",IF(ABS(G184-H184)&lt;=$B$6*I184,"OK","NG"))</f>
        <v/>
      </c>
      <c r="L184">
        <f>IF(K184="","",IF(K184=D184,1,0))</f>
        <v/>
      </c>
      <c r="M184" t="inlineStr">
        <is>
          <t>S1</t>
        </is>
      </c>
      <c r="N184" s="15" t="n">
        <v>1</v>
      </c>
      <c r="O184" s="15" t="n">
        <v>0</v>
      </c>
      <c r="P184">
        <f>IF(M184="","",IF(M184=E184,1,0))</f>
        <v/>
      </c>
      <c r="Q184">
        <f>IF(K184="OK","-",IF(N184&lt;$B$7,"AMBIGUOUS","CONFIDENT"))</f>
        <v/>
      </c>
    </row>
    <row r="185">
      <c r="A185">
        <f>'Runs Z score'!A177</f>
        <v/>
      </c>
      <c r="B185">
        <f>'Runs Z score'!B177</f>
        <v/>
      </c>
      <c r="C185">
        <f>'Runs Z score'!C177</f>
        <v/>
      </c>
      <c r="D185">
        <f>'Runs Z score'!D177</f>
        <v/>
      </c>
      <c r="E185">
        <f>'Runs Z score'!E177</f>
        <v/>
      </c>
      <c r="F185">
        <f>'Runs Z score'!F177</f>
        <v/>
      </c>
      <c r="G185">
        <f>'Runs Z score'!G177</f>
        <v/>
      </c>
      <c r="H185">
        <f>VLOOKUP(C185,Recipes!$A$2:$N$4,10,FALSE())</f>
        <v/>
      </c>
      <c r="I185">
        <f>VLOOKUP(C185,Recipes!$A$2:$N$4,12,FALSE())</f>
        <v/>
      </c>
      <c r="J185">
        <f>IF(G185="","",H185-G185)</f>
        <v/>
      </c>
      <c r="K185">
        <f>IF(G185="","",IF(ABS(G185-H185)&lt;=$B$6*I185,"OK","NG"))</f>
        <v/>
      </c>
      <c r="L185">
        <f>IF(K185="","",IF(K185=D185,1,0))</f>
        <v/>
      </c>
      <c r="M185" t="inlineStr">
        <is>
          <t>S1</t>
        </is>
      </c>
      <c r="N185" s="15" t="n">
        <v>1</v>
      </c>
      <c r="O185" s="15" t="n">
        <v>0</v>
      </c>
      <c r="P185">
        <f>IF(M185="","",IF(M185=E185,1,0))</f>
        <v/>
      </c>
      <c r="Q185">
        <f>IF(K185="OK","-",IF(N185&lt;$B$7,"AMBIGUOUS","CONFIDENT"))</f>
        <v/>
      </c>
    </row>
    <row r="186">
      <c r="A186">
        <f>'Runs Z score'!A178</f>
        <v/>
      </c>
      <c r="B186">
        <f>'Runs Z score'!B178</f>
        <v/>
      </c>
      <c r="C186">
        <f>'Runs Z score'!C178</f>
        <v/>
      </c>
      <c r="D186">
        <f>'Runs Z score'!D178</f>
        <v/>
      </c>
      <c r="E186">
        <f>'Runs Z score'!E178</f>
        <v/>
      </c>
      <c r="F186">
        <f>'Runs Z score'!F178</f>
        <v/>
      </c>
      <c r="G186">
        <f>'Runs Z score'!G178</f>
        <v/>
      </c>
      <c r="H186">
        <f>VLOOKUP(C186,Recipes!$A$2:$N$4,10,FALSE())</f>
        <v/>
      </c>
      <c r="I186">
        <f>VLOOKUP(C186,Recipes!$A$2:$N$4,12,FALSE())</f>
        <v/>
      </c>
      <c r="J186">
        <f>IF(G186="","",H186-G186)</f>
        <v/>
      </c>
      <c r="K186">
        <f>IF(G186="","",IF(ABS(G186-H186)&lt;=$B$6*I186,"OK","NG"))</f>
        <v/>
      </c>
      <c r="L186">
        <f>IF(K186="","",IF(K186=D186,1,0))</f>
        <v/>
      </c>
      <c r="M186" t="inlineStr">
        <is>
          <t>S1</t>
        </is>
      </c>
      <c r="N186" s="15" t="n">
        <v>1</v>
      </c>
      <c r="O186" s="15" t="n">
        <v>0</v>
      </c>
      <c r="P186">
        <f>IF(M186="","",IF(M186=E186,1,0))</f>
        <v/>
      </c>
      <c r="Q186">
        <f>IF(K186="OK","-",IF(N186&lt;$B$7,"AMBIGUOUS","CONFIDENT"))</f>
        <v/>
      </c>
    </row>
    <row r="187">
      <c r="A187">
        <f>'Runs Z score'!A179</f>
        <v/>
      </c>
      <c r="B187">
        <f>'Runs Z score'!B179</f>
        <v/>
      </c>
      <c r="C187">
        <f>'Runs Z score'!C179</f>
        <v/>
      </c>
      <c r="D187">
        <f>'Runs Z score'!D179</f>
        <v/>
      </c>
      <c r="E187">
        <f>'Runs Z score'!E179</f>
        <v/>
      </c>
      <c r="F187">
        <f>'Runs Z score'!F179</f>
        <v/>
      </c>
      <c r="G187">
        <f>'Runs Z score'!G179</f>
        <v/>
      </c>
      <c r="H187">
        <f>VLOOKUP(C187,Recipes!$A$2:$N$4,10,FALSE())</f>
        <v/>
      </c>
      <c r="I187">
        <f>VLOOKUP(C187,Recipes!$A$2:$N$4,12,FALSE())</f>
        <v/>
      </c>
      <c r="J187">
        <f>IF(G187="","",H187-G187)</f>
        <v/>
      </c>
      <c r="K187">
        <f>IF(G187="","",IF(ABS(G187-H187)&lt;=$B$6*I187,"OK","NG"))</f>
        <v/>
      </c>
      <c r="L187">
        <f>IF(K187="","",IF(K187=D187,1,0))</f>
        <v/>
      </c>
      <c r="M187" t="inlineStr">
        <is>
          <t>S1</t>
        </is>
      </c>
      <c r="N187" s="15" t="n">
        <v>1</v>
      </c>
      <c r="O187" s="15" t="n">
        <v>0</v>
      </c>
      <c r="P187">
        <f>IF(M187="","",IF(M187=E187,1,0))</f>
        <v/>
      </c>
      <c r="Q187">
        <f>IF(K187="OK","-",IF(N187&lt;$B$7,"AMBIGUOUS","CONFIDENT"))</f>
        <v/>
      </c>
    </row>
    <row r="188">
      <c r="A188">
        <f>'Runs Z score'!A180</f>
        <v/>
      </c>
      <c r="B188">
        <f>'Runs Z score'!B180</f>
        <v/>
      </c>
      <c r="C188">
        <f>'Runs Z score'!C180</f>
        <v/>
      </c>
      <c r="D188">
        <f>'Runs Z score'!D180</f>
        <v/>
      </c>
      <c r="E188">
        <f>'Runs Z score'!E180</f>
        <v/>
      </c>
      <c r="F188">
        <f>'Runs Z score'!F180</f>
        <v/>
      </c>
      <c r="G188">
        <f>'Runs Z score'!G180</f>
        <v/>
      </c>
      <c r="H188">
        <f>VLOOKUP(C188,Recipes!$A$2:$N$4,10,FALSE())</f>
        <v/>
      </c>
      <c r="I188">
        <f>VLOOKUP(C188,Recipes!$A$2:$N$4,12,FALSE())</f>
        <v/>
      </c>
      <c r="J188">
        <f>IF(G188="","",H188-G188)</f>
        <v/>
      </c>
      <c r="K188">
        <f>IF(G188="","",IF(ABS(G188-H188)&lt;=$B$6*I188,"OK","NG"))</f>
        <v/>
      </c>
      <c r="L188">
        <f>IF(K188="","",IF(K188=D188,1,0))</f>
        <v/>
      </c>
      <c r="M188" t="inlineStr">
        <is>
          <t>S1</t>
        </is>
      </c>
      <c r="N188" s="15" t="n">
        <v>1</v>
      </c>
      <c r="O188" s="15" t="n">
        <v>0</v>
      </c>
      <c r="P188">
        <f>IF(M188="","",IF(M188=E188,1,0))</f>
        <v/>
      </c>
      <c r="Q188">
        <f>IF(K188="OK","-",IF(N188&lt;$B$7,"AMBIGUOUS","CONFIDENT"))</f>
        <v/>
      </c>
    </row>
    <row r="189">
      <c r="A189">
        <f>'Runs Z score'!A181</f>
        <v/>
      </c>
      <c r="B189">
        <f>'Runs Z score'!B181</f>
        <v/>
      </c>
      <c r="C189">
        <f>'Runs Z score'!C181</f>
        <v/>
      </c>
      <c r="D189">
        <f>'Runs Z score'!D181</f>
        <v/>
      </c>
      <c r="E189">
        <f>'Runs Z score'!E181</f>
        <v/>
      </c>
      <c r="F189">
        <f>'Runs Z score'!F181</f>
        <v/>
      </c>
      <c r="G189">
        <f>'Runs Z score'!G181</f>
        <v/>
      </c>
      <c r="H189">
        <f>VLOOKUP(C189,Recipes!$A$2:$N$4,10,FALSE())</f>
        <v/>
      </c>
      <c r="I189">
        <f>VLOOKUP(C189,Recipes!$A$2:$N$4,12,FALSE())</f>
        <v/>
      </c>
      <c r="J189">
        <f>IF(G189="","",H189-G189)</f>
        <v/>
      </c>
      <c r="K189">
        <f>IF(G189="","",IF(ABS(G189-H189)&lt;=$B$6*I189,"OK","NG"))</f>
        <v/>
      </c>
      <c r="L189">
        <f>IF(K189="","",IF(K189=D189,1,0))</f>
        <v/>
      </c>
      <c r="M189" t="inlineStr">
        <is>
          <t>S1</t>
        </is>
      </c>
      <c r="N189" s="15" t="n">
        <v>1</v>
      </c>
      <c r="O189" s="15" t="n">
        <v>0</v>
      </c>
      <c r="P189">
        <f>IF(M189="","",IF(M189=E189,1,0))</f>
        <v/>
      </c>
      <c r="Q189">
        <f>IF(K189="OK","-",IF(N189&lt;$B$7,"AMBIGUOUS","CONFIDENT"))</f>
        <v/>
      </c>
    </row>
    <row r="190">
      <c r="A190">
        <f>'Runs Z score'!A182</f>
        <v/>
      </c>
      <c r="B190">
        <f>'Runs Z score'!B182</f>
        <v/>
      </c>
      <c r="C190">
        <f>'Runs Z score'!C182</f>
        <v/>
      </c>
      <c r="D190">
        <f>'Runs Z score'!D182</f>
        <v/>
      </c>
      <c r="E190">
        <f>'Runs Z score'!E182</f>
        <v/>
      </c>
      <c r="F190">
        <f>'Runs Z score'!F182</f>
        <v/>
      </c>
      <c r="G190">
        <f>'Runs Z score'!G182</f>
        <v/>
      </c>
      <c r="H190">
        <f>VLOOKUP(C190,Recipes!$A$2:$N$4,10,FALSE())</f>
        <v/>
      </c>
      <c r="I190">
        <f>VLOOKUP(C190,Recipes!$A$2:$N$4,12,FALSE())</f>
        <v/>
      </c>
      <c r="J190">
        <f>IF(G190="","",H190-G190)</f>
        <v/>
      </c>
      <c r="K190">
        <f>IF(G190="","",IF(ABS(G190-H190)&lt;=$B$6*I190,"OK","NG"))</f>
        <v/>
      </c>
      <c r="L190">
        <f>IF(K190="","",IF(K190=D190,1,0))</f>
        <v/>
      </c>
      <c r="M190" t="inlineStr">
        <is>
          <t>S1</t>
        </is>
      </c>
      <c r="N190" s="15" t="n">
        <v>1</v>
      </c>
      <c r="O190" s="15" t="n">
        <v>0</v>
      </c>
      <c r="P190">
        <f>IF(M190="","",IF(M190=E190,1,0))</f>
        <v/>
      </c>
      <c r="Q190">
        <f>IF(K190="OK","-",IF(N190&lt;$B$7,"AMBIGUOUS","CONFIDENT"))</f>
        <v/>
      </c>
    </row>
    <row r="191">
      <c r="A191">
        <f>'Runs Z score'!A183</f>
        <v/>
      </c>
      <c r="B191">
        <f>'Runs Z score'!B183</f>
        <v/>
      </c>
      <c r="C191">
        <f>'Runs Z score'!C183</f>
        <v/>
      </c>
      <c r="D191">
        <f>'Runs Z score'!D183</f>
        <v/>
      </c>
      <c r="E191">
        <f>'Runs Z score'!E183</f>
        <v/>
      </c>
      <c r="F191">
        <f>'Runs Z score'!F183</f>
        <v/>
      </c>
      <c r="G191">
        <f>'Runs Z score'!G183</f>
        <v/>
      </c>
      <c r="H191">
        <f>VLOOKUP(C191,Recipes!$A$2:$N$4,10,FALSE())</f>
        <v/>
      </c>
      <c r="I191">
        <f>VLOOKUP(C191,Recipes!$A$2:$N$4,12,FALSE())</f>
        <v/>
      </c>
      <c r="J191">
        <f>IF(G191="","",H191-G191)</f>
        <v/>
      </c>
      <c r="K191">
        <f>IF(G191="","",IF(ABS(G191-H191)&lt;=$B$6*I191,"OK","NG"))</f>
        <v/>
      </c>
      <c r="L191">
        <f>IF(K191="","",IF(K191=D191,1,0))</f>
        <v/>
      </c>
      <c r="M191" t="inlineStr">
        <is>
          <t>W1</t>
        </is>
      </c>
      <c r="N191" s="15" t="n">
        <v>0.9999</v>
      </c>
      <c r="O191" s="15" t="n">
        <v>0.0001</v>
      </c>
      <c r="P191">
        <f>IF(M191="","",IF(M191=E191,1,0))</f>
        <v/>
      </c>
      <c r="Q191">
        <f>IF(K191="OK","-",IF(N191&lt;$B$7,"AMBIGUOUS","CONFIDENT"))</f>
        <v/>
      </c>
    </row>
    <row r="192">
      <c r="A192">
        <f>'Runs Z score'!A184</f>
        <v/>
      </c>
      <c r="B192">
        <f>'Runs Z score'!B184</f>
        <v/>
      </c>
      <c r="C192">
        <f>'Runs Z score'!C184</f>
        <v/>
      </c>
      <c r="D192">
        <f>'Runs Z score'!D184</f>
        <v/>
      </c>
      <c r="E192">
        <f>'Runs Z score'!E184</f>
        <v/>
      </c>
      <c r="F192">
        <f>'Runs Z score'!F184</f>
        <v/>
      </c>
      <c r="G192">
        <f>'Runs Z score'!G184</f>
        <v/>
      </c>
      <c r="H192">
        <f>VLOOKUP(C192,Recipes!$A$2:$N$4,10,FALSE())</f>
        <v/>
      </c>
      <c r="I192">
        <f>VLOOKUP(C192,Recipes!$A$2:$N$4,12,FALSE())</f>
        <v/>
      </c>
      <c r="J192">
        <f>IF(G192="","",H192-G192)</f>
        <v/>
      </c>
      <c r="K192">
        <f>IF(G192="","",IF(ABS(G192-H192)&lt;=$B$6*I192,"OK","NG"))</f>
        <v/>
      </c>
      <c r="L192">
        <f>IF(K192="","",IF(K192=D192,1,0))</f>
        <v/>
      </c>
      <c r="M192" t="inlineStr">
        <is>
          <t>W1</t>
        </is>
      </c>
      <c r="N192" s="15" t="n">
        <v>0.9994</v>
      </c>
      <c r="O192" s="15" t="n">
        <v>0.0005999999999999999</v>
      </c>
      <c r="P192">
        <f>IF(M192="","",IF(M192=E192,1,0))</f>
        <v/>
      </c>
      <c r="Q192">
        <f>IF(K192="OK","-",IF(N192&lt;$B$7,"AMBIGUOUS","CONFIDENT"))</f>
        <v/>
      </c>
    </row>
    <row r="193">
      <c r="A193">
        <f>'Runs Z score'!A185</f>
        <v/>
      </c>
      <c r="B193">
        <f>'Runs Z score'!B185</f>
        <v/>
      </c>
      <c r="C193">
        <f>'Runs Z score'!C185</f>
        <v/>
      </c>
      <c r="D193">
        <f>'Runs Z score'!D185</f>
        <v/>
      </c>
      <c r="E193">
        <f>'Runs Z score'!E185</f>
        <v/>
      </c>
      <c r="F193">
        <f>'Runs Z score'!F185</f>
        <v/>
      </c>
      <c r="G193">
        <f>'Runs Z score'!G185</f>
        <v/>
      </c>
      <c r="H193">
        <f>VLOOKUP(C193,Recipes!$A$2:$N$4,10,FALSE())</f>
        <v/>
      </c>
      <c r="I193">
        <f>VLOOKUP(C193,Recipes!$A$2:$N$4,12,FALSE())</f>
        <v/>
      </c>
      <c r="J193">
        <f>IF(G193="","",H193-G193)</f>
        <v/>
      </c>
      <c r="K193">
        <f>IF(G193="","",IF(ABS(G193-H193)&lt;=$B$6*I193,"OK","NG"))</f>
        <v/>
      </c>
      <c r="L193">
        <f>IF(K193="","",IF(K193=D193,1,0))</f>
        <v/>
      </c>
      <c r="M193" t="inlineStr">
        <is>
          <t>W1</t>
        </is>
      </c>
      <c r="N193" s="15" t="n">
        <v>0.9998</v>
      </c>
      <c r="O193" s="15" t="n">
        <v>0.0002</v>
      </c>
      <c r="P193">
        <f>IF(M193="","",IF(M193=E193,1,0))</f>
        <v/>
      </c>
      <c r="Q193">
        <f>IF(K193="OK","-",IF(N193&lt;$B$7,"AMBIGUOUS","CONFIDENT"))</f>
        <v/>
      </c>
    </row>
    <row r="194">
      <c r="A194">
        <f>'Runs Z score'!A186</f>
        <v/>
      </c>
      <c r="B194">
        <f>'Runs Z score'!B186</f>
        <v/>
      </c>
      <c r="C194">
        <f>'Runs Z score'!C186</f>
        <v/>
      </c>
      <c r="D194">
        <f>'Runs Z score'!D186</f>
        <v/>
      </c>
      <c r="E194">
        <f>'Runs Z score'!E186</f>
        <v/>
      </c>
      <c r="F194">
        <f>'Runs Z score'!F186</f>
        <v/>
      </c>
      <c r="G194">
        <f>'Runs Z score'!G186</f>
        <v/>
      </c>
      <c r="H194">
        <f>VLOOKUP(C194,Recipes!$A$2:$N$4,10,FALSE())</f>
        <v/>
      </c>
      <c r="I194">
        <f>VLOOKUP(C194,Recipes!$A$2:$N$4,12,FALSE())</f>
        <v/>
      </c>
      <c r="J194">
        <f>IF(G194="","",H194-G194)</f>
        <v/>
      </c>
      <c r="K194">
        <f>IF(G194="","",IF(ABS(G194-H194)&lt;=$B$6*I194,"OK","NG"))</f>
        <v/>
      </c>
      <c r="L194">
        <f>IF(K194="","",IF(K194=D194,1,0))</f>
        <v/>
      </c>
      <c r="M194" t="inlineStr">
        <is>
          <t>W1</t>
        </is>
      </c>
      <c r="N194" s="15" t="n">
        <v>1</v>
      </c>
      <c r="O194" s="15" t="n">
        <v>0</v>
      </c>
      <c r="P194">
        <f>IF(M194="","",IF(M194=E194,1,0))</f>
        <v/>
      </c>
      <c r="Q194">
        <f>IF(K194="OK","-",IF(N194&lt;$B$7,"AMBIGUOUS","CONFIDENT"))</f>
        <v/>
      </c>
    </row>
    <row r="195">
      <c r="A195">
        <f>'Runs Z score'!A187</f>
        <v/>
      </c>
      <c r="B195">
        <f>'Runs Z score'!B187</f>
        <v/>
      </c>
      <c r="C195">
        <f>'Runs Z score'!C187</f>
        <v/>
      </c>
      <c r="D195">
        <f>'Runs Z score'!D187</f>
        <v/>
      </c>
      <c r="E195">
        <f>'Runs Z score'!E187</f>
        <v/>
      </c>
      <c r="F195">
        <f>'Runs Z score'!F187</f>
        <v/>
      </c>
      <c r="G195">
        <f>'Runs Z score'!G187</f>
        <v/>
      </c>
      <c r="H195">
        <f>VLOOKUP(C195,Recipes!$A$2:$N$4,10,FALSE())</f>
        <v/>
      </c>
      <c r="I195">
        <f>VLOOKUP(C195,Recipes!$A$2:$N$4,12,FALSE())</f>
        <v/>
      </c>
      <c r="J195">
        <f>IF(G195="","",H195-G195)</f>
        <v/>
      </c>
      <c r="K195">
        <f>IF(G195="","",IF(ABS(G195-H195)&lt;=$B$6*I195,"OK","NG"))</f>
        <v/>
      </c>
      <c r="L195">
        <f>IF(K195="","",IF(K195=D195,1,0))</f>
        <v/>
      </c>
      <c r="M195" t="inlineStr">
        <is>
          <t>W1</t>
        </is>
      </c>
      <c r="N195" s="15" t="n">
        <v>0.9988</v>
      </c>
      <c r="O195" s="15" t="n">
        <v>0.0012</v>
      </c>
      <c r="P195">
        <f>IF(M195="","",IF(M195=E195,1,0))</f>
        <v/>
      </c>
      <c r="Q195">
        <f>IF(K195="OK","-",IF(N195&lt;$B$7,"AMBIGUOUS","CONFIDENT"))</f>
        <v/>
      </c>
    </row>
    <row r="196">
      <c r="A196">
        <f>'Runs Z score'!A188</f>
        <v/>
      </c>
      <c r="B196">
        <f>'Runs Z score'!B188</f>
        <v/>
      </c>
      <c r="C196">
        <f>'Runs Z score'!C188</f>
        <v/>
      </c>
      <c r="D196">
        <f>'Runs Z score'!D188</f>
        <v/>
      </c>
      <c r="E196">
        <f>'Runs Z score'!E188</f>
        <v/>
      </c>
      <c r="F196">
        <f>'Runs Z score'!F188</f>
        <v/>
      </c>
      <c r="G196">
        <f>'Runs Z score'!G188</f>
        <v/>
      </c>
      <c r="H196">
        <f>VLOOKUP(C196,Recipes!$A$2:$N$4,10,FALSE())</f>
        <v/>
      </c>
      <c r="I196">
        <f>VLOOKUP(C196,Recipes!$A$2:$N$4,12,FALSE())</f>
        <v/>
      </c>
      <c r="J196">
        <f>IF(G196="","",H196-G196)</f>
        <v/>
      </c>
      <c r="K196">
        <f>IF(G196="","",IF(ABS(G196-H196)&lt;=$B$6*I196,"OK","NG"))</f>
        <v/>
      </c>
      <c r="L196">
        <f>IF(K196="","",IF(K196=D196,1,0))</f>
        <v/>
      </c>
      <c r="M196" t="inlineStr">
        <is>
          <t>W1</t>
        </is>
      </c>
      <c r="N196" s="15" t="n">
        <v>1</v>
      </c>
      <c r="O196" s="15" t="n">
        <v>0</v>
      </c>
      <c r="P196">
        <f>IF(M196="","",IF(M196=E196,1,0))</f>
        <v/>
      </c>
      <c r="Q196">
        <f>IF(K196="OK","-",IF(N196&lt;$B$7,"AMBIGUOUS","CONFIDENT"))</f>
        <v/>
      </c>
    </row>
    <row r="197">
      <c r="A197">
        <f>'Runs Z score'!A189</f>
        <v/>
      </c>
      <c r="B197">
        <f>'Runs Z score'!B189</f>
        <v/>
      </c>
      <c r="C197">
        <f>'Runs Z score'!C189</f>
        <v/>
      </c>
      <c r="D197">
        <f>'Runs Z score'!D189</f>
        <v/>
      </c>
      <c r="E197">
        <f>'Runs Z score'!E189</f>
        <v/>
      </c>
      <c r="F197">
        <f>'Runs Z score'!F189</f>
        <v/>
      </c>
      <c r="G197">
        <f>'Runs Z score'!G189</f>
        <v/>
      </c>
      <c r="H197">
        <f>VLOOKUP(C197,Recipes!$A$2:$N$4,10,FALSE())</f>
        <v/>
      </c>
      <c r="I197">
        <f>VLOOKUP(C197,Recipes!$A$2:$N$4,12,FALSE())</f>
        <v/>
      </c>
      <c r="J197">
        <f>IF(G197="","",H197-G197)</f>
        <v/>
      </c>
      <c r="K197">
        <f>IF(G197="","",IF(ABS(G197-H197)&lt;=$B$6*I197,"OK","NG"))</f>
        <v/>
      </c>
      <c r="L197">
        <f>IF(K197="","",IF(K197=D197,1,0))</f>
        <v/>
      </c>
      <c r="M197" t="inlineStr">
        <is>
          <t>W1</t>
        </is>
      </c>
      <c r="N197" s="15" t="n">
        <v>1</v>
      </c>
      <c r="O197" s="15" t="n">
        <v>0</v>
      </c>
      <c r="P197">
        <f>IF(M197="","",IF(M197=E197,1,0))</f>
        <v/>
      </c>
      <c r="Q197">
        <f>IF(K197="OK","-",IF(N197&lt;$B$7,"AMBIGUOUS","CONFIDENT"))</f>
        <v/>
      </c>
    </row>
    <row r="198">
      <c r="A198">
        <f>'Runs Z score'!A190</f>
        <v/>
      </c>
      <c r="B198">
        <f>'Runs Z score'!B190</f>
        <v/>
      </c>
      <c r="C198">
        <f>'Runs Z score'!C190</f>
        <v/>
      </c>
      <c r="D198">
        <f>'Runs Z score'!D190</f>
        <v/>
      </c>
      <c r="E198">
        <f>'Runs Z score'!E190</f>
        <v/>
      </c>
      <c r="F198">
        <f>'Runs Z score'!F190</f>
        <v/>
      </c>
      <c r="G198">
        <f>'Runs Z score'!G190</f>
        <v/>
      </c>
      <c r="H198">
        <f>VLOOKUP(C198,Recipes!$A$2:$N$4,10,FALSE())</f>
        <v/>
      </c>
      <c r="I198">
        <f>VLOOKUP(C198,Recipes!$A$2:$N$4,12,FALSE())</f>
        <v/>
      </c>
      <c r="J198">
        <f>IF(G198="","",H198-G198)</f>
        <v/>
      </c>
      <c r="K198">
        <f>IF(G198="","",IF(ABS(G198-H198)&lt;=$B$6*I198,"OK","NG"))</f>
        <v/>
      </c>
      <c r="L198">
        <f>IF(K198="","",IF(K198=D198,1,0))</f>
        <v/>
      </c>
      <c r="M198" t="inlineStr">
        <is>
          <t>W1</t>
        </is>
      </c>
      <c r="N198" s="15" t="n">
        <v>0.9334</v>
      </c>
      <c r="O198" s="15" t="n">
        <v>0.06660000000000001</v>
      </c>
      <c r="P198">
        <f>IF(M198="","",IF(M198=E198,1,0))</f>
        <v/>
      </c>
      <c r="Q198">
        <f>IF(K198="OK","-",IF(N198&lt;$B$7,"AMBIGUOUS","CONFIDENT"))</f>
        <v/>
      </c>
    </row>
    <row r="199">
      <c r="A199">
        <f>'Runs Z score'!A191</f>
        <v/>
      </c>
      <c r="B199">
        <f>'Runs Z score'!B191</f>
        <v/>
      </c>
      <c r="C199">
        <f>'Runs Z score'!C191</f>
        <v/>
      </c>
      <c r="D199">
        <f>'Runs Z score'!D191</f>
        <v/>
      </c>
      <c r="E199">
        <f>'Runs Z score'!E191</f>
        <v/>
      </c>
      <c r="F199">
        <f>'Runs Z score'!F191</f>
        <v/>
      </c>
      <c r="G199">
        <f>'Runs Z score'!G191</f>
        <v/>
      </c>
      <c r="H199">
        <f>VLOOKUP(C199,Recipes!$A$2:$N$4,10,FALSE())</f>
        <v/>
      </c>
      <c r="I199">
        <f>VLOOKUP(C199,Recipes!$A$2:$N$4,12,FALSE())</f>
        <v/>
      </c>
      <c r="J199">
        <f>IF(G199="","",H199-G199)</f>
        <v/>
      </c>
      <c r="K199">
        <f>IF(G199="","",IF(ABS(G199-H199)&lt;=$B$6*I199,"OK","NG"))</f>
        <v/>
      </c>
      <c r="L199">
        <f>IF(K199="","",IF(K199=D199,1,0))</f>
        <v/>
      </c>
      <c r="M199" t="inlineStr">
        <is>
          <t>W1</t>
        </is>
      </c>
      <c r="N199" s="15" t="n">
        <v>0.9733000000000001</v>
      </c>
      <c r="O199" s="15" t="n">
        <v>0.0267</v>
      </c>
      <c r="P199">
        <f>IF(M199="","",IF(M199=E199,1,0))</f>
        <v/>
      </c>
      <c r="Q199">
        <f>IF(K199="OK","-",IF(N199&lt;$B$7,"AMBIGUOUS","CONFIDENT"))</f>
        <v/>
      </c>
    </row>
    <row r="200">
      <c r="A200">
        <f>'Runs Z score'!A192</f>
        <v/>
      </c>
      <c r="B200">
        <f>'Runs Z score'!B192</f>
        <v/>
      </c>
      <c r="C200">
        <f>'Runs Z score'!C192</f>
        <v/>
      </c>
      <c r="D200">
        <f>'Runs Z score'!D192</f>
        <v/>
      </c>
      <c r="E200">
        <f>'Runs Z score'!E192</f>
        <v/>
      </c>
      <c r="F200">
        <f>'Runs Z score'!F192</f>
        <v/>
      </c>
      <c r="G200">
        <f>'Runs Z score'!G192</f>
        <v/>
      </c>
      <c r="H200">
        <f>VLOOKUP(C200,Recipes!$A$2:$N$4,10,FALSE())</f>
        <v/>
      </c>
      <c r="I200">
        <f>VLOOKUP(C200,Recipes!$A$2:$N$4,12,FALSE())</f>
        <v/>
      </c>
      <c r="J200">
        <f>IF(G200="","",H200-G200)</f>
        <v/>
      </c>
      <c r="K200">
        <f>IF(G200="","",IF(ABS(G200-H200)&lt;=$B$6*I200,"OK","NG"))</f>
        <v/>
      </c>
      <c r="L200">
        <f>IF(K200="","",IF(K200=D200,1,0))</f>
        <v/>
      </c>
      <c r="M200" t="inlineStr">
        <is>
          <t>W1</t>
        </is>
      </c>
      <c r="N200" s="15" t="n">
        <v>1</v>
      </c>
      <c r="O200" s="15" t="n">
        <v>0</v>
      </c>
      <c r="P200">
        <f>IF(M200="","",IF(M200=E200,1,0))</f>
        <v/>
      </c>
      <c r="Q200">
        <f>IF(K200="OK","-",IF(N200&lt;$B$7,"AMBIGUOUS","CONFIDENT"))</f>
        <v/>
      </c>
    </row>
    <row r="201">
      <c r="A201">
        <f>'Runs Z score'!A193</f>
        <v/>
      </c>
      <c r="B201">
        <f>'Runs Z score'!B193</f>
        <v/>
      </c>
      <c r="C201">
        <f>'Runs Z score'!C193</f>
        <v/>
      </c>
      <c r="D201">
        <f>'Runs Z score'!D193</f>
        <v/>
      </c>
      <c r="E201">
        <f>'Runs Z score'!E193</f>
        <v/>
      </c>
      <c r="F201">
        <f>'Runs Z score'!F193</f>
        <v/>
      </c>
      <c r="G201">
        <f>'Runs Z score'!G193</f>
        <v/>
      </c>
      <c r="H201">
        <f>VLOOKUP(C201,Recipes!$A$2:$N$4,10,FALSE())</f>
        <v/>
      </c>
      <c r="I201">
        <f>VLOOKUP(C201,Recipes!$A$2:$N$4,12,FALSE())</f>
        <v/>
      </c>
      <c r="J201">
        <f>IF(G201="","",H201-G201)</f>
        <v/>
      </c>
      <c r="K201">
        <f>IF(G201="","",IF(ABS(G201-H201)&lt;=$B$6*I201,"OK","NG"))</f>
        <v/>
      </c>
      <c r="L201">
        <f>IF(K201="","",IF(K201=D201,1,0))</f>
        <v/>
      </c>
      <c r="M201" t="inlineStr">
        <is>
          <t>W1</t>
        </is>
      </c>
      <c r="N201" s="15" t="n">
        <v>1</v>
      </c>
      <c r="O201" s="15" t="n">
        <v>0</v>
      </c>
      <c r="P201">
        <f>IF(M201="","",IF(M201=E201,1,0))</f>
        <v/>
      </c>
      <c r="Q201">
        <f>IF(K201="OK","-",IF(N201&lt;$B$7,"AMBIGUOUS","CONFIDENT"))</f>
        <v/>
      </c>
    </row>
    <row r="202">
      <c r="A202">
        <f>'Runs Z score'!A194</f>
        <v/>
      </c>
      <c r="B202">
        <f>'Runs Z score'!B194</f>
        <v/>
      </c>
      <c r="C202">
        <f>'Runs Z score'!C194</f>
        <v/>
      </c>
      <c r="D202">
        <f>'Runs Z score'!D194</f>
        <v/>
      </c>
      <c r="E202">
        <f>'Runs Z score'!E194</f>
        <v/>
      </c>
      <c r="F202">
        <f>'Runs Z score'!F194</f>
        <v/>
      </c>
      <c r="G202">
        <f>'Runs Z score'!G194</f>
        <v/>
      </c>
      <c r="H202">
        <f>VLOOKUP(C202,Recipes!$A$2:$N$4,10,FALSE())</f>
        <v/>
      </c>
      <c r="I202">
        <f>VLOOKUP(C202,Recipes!$A$2:$N$4,12,FALSE())</f>
        <v/>
      </c>
      <c r="J202">
        <f>IF(G202="","",H202-G202)</f>
        <v/>
      </c>
      <c r="K202">
        <f>IF(G202="","",IF(ABS(G202-H202)&lt;=$B$6*I202,"OK","NG"))</f>
        <v/>
      </c>
      <c r="L202">
        <f>IF(K202="","",IF(K202=D202,1,0))</f>
        <v/>
      </c>
      <c r="M202" t="inlineStr">
        <is>
          <t>W1</t>
        </is>
      </c>
      <c r="N202" s="15" t="n">
        <v>0.9779</v>
      </c>
      <c r="O202" s="15" t="n">
        <v>0.0221</v>
      </c>
      <c r="P202">
        <f>IF(M202="","",IF(M202=E202,1,0))</f>
        <v/>
      </c>
      <c r="Q202">
        <f>IF(K202="OK","-",IF(N202&lt;$B$7,"AMBIGUOUS","CONFIDENT"))</f>
        <v/>
      </c>
    </row>
    <row r="203">
      <c r="A203">
        <f>'Runs Z score'!A195</f>
        <v/>
      </c>
      <c r="B203">
        <f>'Runs Z score'!B195</f>
        <v/>
      </c>
      <c r="C203">
        <f>'Runs Z score'!C195</f>
        <v/>
      </c>
      <c r="D203">
        <f>'Runs Z score'!D195</f>
        <v/>
      </c>
      <c r="E203">
        <f>'Runs Z score'!E195</f>
        <v/>
      </c>
      <c r="F203">
        <f>'Runs Z score'!F195</f>
        <v/>
      </c>
      <c r="G203">
        <f>'Runs Z score'!G195</f>
        <v/>
      </c>
      <c r="H203">
        <f>VLOOKUP(C203,Recipes!$A$2:$N$4,10,FALSE())</f>
        <v/>
      </c>
      <c r="I203">
        <f>VLOOKUP(C203,Recipes!$A$2:$N$4,12,FALSE())</f>
        <v/>
      </c>
      <c r="J203">
        <f>IF(G203="","",H203-G203)</f>
        <v/>
      </c>
      <c r="K203">
        <f>IF(G203="","",IF(ABS(G203-H203)&lt;=$B$6*I203,"OK","NG"))</f>
        <v/>
      </c>
      <c r="L203">
        <f>IF(K203="","",IF(K203=D203,1,0))</f>
        <v/>
      </c>
      <c r="M203" t="inlineStr">
        <is>
          <t>W1</t>
        </is>
      </c>
      <c r="N203" s="15" t="n">
        <v>0.9733000000000001</v>
      </c>
      <c r="O203" s="15" t="n">
        <v>0.0267</v>
      </c>
      <c r="P203">
        <f>IF(M203="","",IF(M203=E203,1,0))</f>
        <v/>
      </c>
      <c r="Q203">
        <f>IF(K203="OK","-",IF(N203&lt;$B$7,"AMBIGUOUS","CONFIDENT"))</f>
        <v/>
      </c>
    </row>
    <row r="204">
      <c r="A204">
        <f>'Runs Z score'!A196</f>
        <v/>
      </c>
      <c r="B204">
        <f>'Runs Z score'!B196</f>
        <v/>
      </c>
      <c r="C204">
        <f>'Runs Z score'!C196</f>
        <v/>
      </c>
      <c r="D204">
        <f>'Runs Z score'!D196</f>
        <v/>
      </c>
      <c r="E204">
        <f>'Runs Z score'!E196</f>
        <v/>
      </c>
      <c r="F204">
        <f>'Runs Z score'!F196</f>
        <v/>
      </c>
      <c r="G204">
        <f>'Runs Z score'!G196</f>
        <v/>
      </c>
      <c r="H204">
        <f>VLOOKUP(C204,Recipes!$A$2:$N$4,10,FALSE())</f>
        <v/>
      </c>
      <c r="I204">
        <f>VLOOKUP(C204,Recipes!$A$2:$N$4,12,FALSE())</f>
        <v/>
      </c>
      <c r="J204">
        <f>IF(G204="","",H204-G204)</f>
        <v/>
      </c>
      <c r="K204">
        <f>IF(G204="","",IF(ABS(G204-H204)&lt;=$B$6*I204,"OK","NG"))</f>
        <v/>
      </c>
      <c r="L204">
        <f>IF(K204="","",IF(K204=D204,1,0))</f>
        <v/>
      </c>
      <c r="M204" t="inlineStr">
        <is>
          <t>W1</t>
        </is>
      </c>
      <c r="N204" s="15" t="n">
        <v>0.9997</v>
      </c>
      <c r="O204" s="15" t="n">
        <v>0.0003</v>
      </c>
      <c r="P204">
        <f>IF(M204="","",IF(M204=E204,1,0))</f>
        <v/>
      </c>
      <c r="Q204">
        <f>IF(K204="OK","-",IF(N204&lt;$B$7,"AMBIGUOUS","CONFIDENT"))</f>
        <v/>
      </c>
    </row>
    <row r="205">
      <c r="A205">
        <f>'Runs Z score'!A197</f>
        <v/>
      </c>
      <c r="B205">
        <f>'Runs Z score'!B197</f>
        <v/>
      </c>
      <c r="C205">
        <f>'Runs Z score'!C197</f>
        <v/>
      </c>
      <c r="D205">
        <f>'Runs Z score'!D197</f>
        <v/>
      </c>
      <c r="E205">
        <f>'Runs Z score'!E197</f>
        <v/>
      </c>
      <c r="F205">
        <f>'Runs Z score'!F197</f>
        <v/>
      </c>
      <c r="G205">
        <f>'Runs Z score'!G197</f>
        <v/>
      </c>
      <c r="H205">
        <f>VLOOKUP(C205,Recipes!$A$2:$N$4,10,FALSE())</f>
        <v/>
      </c>
      <c r="I205">
        <f>VLOOKUP(C205,Recipes!$A$2:$N$4,12,FALSE())</f>
        <v/>
      </c>
      <c r="J205">
        <f>IF(G205="","",H205-G205)</f>
        <v/>
      </c>
      <c r="K205">
        <f>IF(G205="","",IF(ABS(G205-H205)&lt;=$B$6*I205,"OK","NG"))</f>
        <v/>
      </c>
      <c r="L205">
        <f>IF(K205="","",IF(K205=D205,1,0))</f>
        <v/>
      </c>
      <c r="M205" t="inlineStr">
        <is>
          <t>W1</t>
        </is>
      </c>
      <c r="N205" s="15" t="n">
        <v>0.9978</v>
      </c>
      <c r="O205" s="15" t="n">
        <v>0.0022</v>
      </c>
      <c r="P205">
        <f>IF(M205="","",IF(M205=E205,1,0))</f>
        <v/>
      </c>
      <c r="Q205">
        <f>IF(K205="OK","-",IF(N205&lt;$B$7,"AMBIGUOUS","CONFIDENT"))</f>
        <v/>
      </c>
    </row>
    <row r="206">
      <c r="A206">
        <f>'Runs Z score'!A198</f>
        <v/>
      </c>
      <c r="B206">
        <f>'Runs Z score'!B198</f>
        <v/>
      </c>
      <c r="C206">
        <f>'Runs Z score'!C198</f>
        <v/>
      </c>
      <c r="D206">
        <f>'Runs Z score'!D198</f>
        <v/>
      </c>
      <c r="E206">
        <f>'Runs Z score'!E198</f>
        <v/>
      </c>
      <c r="F206">
        <f>'Runs Z score'!F198</f>
        <v/>
      </c>
      <c r="G206">
        <f>'Runs Z score'!G198</f>
        <v/>
      </c>
      <c r="H206">
        <f>VLOOKUP(C206,Recipes!$A$2:$N$4,10,FALSE())</f>
        <v/>
      </c>
      <c r="I206">
        <f>VLOOKUP(C206,Recipes!$A$2:$N$4,12,FALSE())</f>
        <v/>
      </c>
      <c r="J206">
        <f>IF(G206="","",H206-G206)</f>
        <v/>
      </c>
      <c r="K206">
        <f>IF(G206="","",IF(ABS(G206-H206)&lt;=$B$6*I206,"OK","NG"))</f>
        <v/>
      </c>
      <c r="L206">
        <f>IF(K206="","",IF(K206=D206,1,0))</f>
        <v/>
      </c>
      <c r="M206" t="inlineStr">
        <is>
          <t>W1</t>
        </is>
      </c>
      <c r="N206" s="15" t="n">
        <v>0.9988</v>
      </c>
      <c r="O206" s="15" t="n">
        <v>0.0012</v>
      </c>
      <c r="P206">
        <f>IF(M206="","",IF(M206=E206,1,0))</f>
        <v/>
      </c>
      <c r="Q206">
        <f>IF(K206="OK","-",IF(N206&lt;$B$7,"AMBIGUOUS","CONFIDENT"))</f>
        <v/>
      </c>
    </row>
    <row r="207">
      <c r="A207">
        <f>'Runs Z score'!A199</f>
        <v/>
      </c>
      <c r="B207">
        <f>'Runs Z score'!B199</f>
        <v/>
      </c>
      <c r="C207">
        <f>'Runs Z score'!C199</f>
        <v/>
      </c>
      <c r="D207">
        <f>'Runs Z score'!D199</f>
        <v/>
      </c>
      <c r="E207">
        <f>'Runs Z score'!E199</f>
        <v/>
      </c>
      <c r="F207">
        <f>'Runs Z score'!F199</f>
        <v/>
      </c>
      <c r="G207">
        <f>'Runs Z score'!G199</f>
        <v/>
      </c>
      <c r="H207">
        <f>VLOOKUP(C207,Recipes!$A$2:$N$4,10,FALSE())</f>
        <v/>
      </c>
      <c r="I207">
        <f>VLOOKUP(C207,Recipes!$A$2:$N$4,12,FALSE())</f>
        <v/>
      </c>
      <c r="J207">
        <f>IF(G207="","",H207-G207)</f>
        <v/>
      </c>
      <c r="K207">
        <f>IF(G207="","",IF(ABS(G207-H207)&lt;=$B$6*I207,"OK","NG"))</f>
        <v/>
      </c>
      <c r="L207">
        <f>IF(K207="","",IF(K207=D207,1,0))</f>
        <v/>
      </c>
      <c r="M207" t="inlineStr">
        <is>
          <t>W1</t>
        </is>
      </c>
      <c r="N207" s="15" t="n">
        <v>0.9996</v>
      </c>
      <c r="O207" s="15" t="n">
        <v>0.0004</v>
      </c>
      <c r="P207">
        <f>IF(M207="","",IF(M207=E207,1,0))</f>
        <v/>
      </c>
      <c r="Q207">
        <f>IF(K207="OK","-",IF(N207&lt;$B$7,"AMBIGUOUS","CONFIDENT"))</f>
        <v/>
      </c>
    </row>
    <row r="208">
      <c r="A208">
        <f>'Runs Z score'!A200</f>
        <v/>
      </c>
      <c r="B208">
        <f>'Runs Z score'!B200</f>
        <v/>
      </c>
      <c r="C208">
        <f>'Runs Z score'!C200</f>
        <v/>
      </c>
      <c r="D208">
        <f>'Runs Z score'!D200</f>
        <v/>
      </c>
      <c r="E208">
        <f>'Runs Z score'!E200</f>
        <v/>
      </c>
      <c r="F208">
        <f>'Runs Z score'!F200</f>
        <v/>
      </c>
      <c r="G208">
        <f>'Runs Z score'!G200</f>
        <v/>
      </c>
      <c r="H208">
        <f>VLOOKUP(C208,Recipes!$A$2:$N$4,10,FALSE())</f>
        <v/>
      </c>
      <c r="I208">
        <f>VLOOKUP(C208,Recipes!$A$2:$N$4,12,FALSE())</f>
        <v/>
      </c>
      <c r="J208">
        <f>IF(G208="","",H208-G208)</f>
        <v/>
      </c>
      <c r="K208">
        <f>IF(G208="","",IF(ABS(G208-H208)&lt;=$B$6*I208,"OK","NG"))</f>
        <v/>
      </c>
      <c r="L208">
        <f>IF(K208="","",IF(K208=D208,1,0))</f>
        <v/>
      </c>
      <c r="M208" t="inlineStr">
        <is>
          <t>W1</t>
        </is>
      </c>
      <c r="N208" s="15" t="n">
        <v>0.9799</v>
      </c>
      <c r="O208" s="15" t="n">
        <v>0.0201</v>
      </c>
      <c r="P208">
        <f>IF(M208="","",IF(M208=E208,1,0))</f>
        <v/>
      </c>
      <c r="Q208">
        <f>IF(K208="OK","-",IF(N208&lt;$B$7,"AMBIGUOUS","CONFIDENT"))</f>
        <v/>
      </c>
    </row>
    <row r="209">
      <c r="A209">
        <f>'Runs Z score'!A201</f>
        <v/>
      </c>
      <c r="B209">
        <f>'Runs Z score'!B201</f>
        <v/>
      </c>
      <c r="C209">
        <f>'Runs Z score'!C201</f>
        <v/>
      </c>
      <c r="D209">
        <f>'Runs Z score'!D201</f>
        <v/>
      </c>
      <c r="E209">
        <f>'Runs Z score'!E201</f>
        <v/>
      </c>
      <c r="F209">
        <f>'Runs Z score'!F201</f>
        <v/>
      </c>
      <c r="G209">
        <f>'Runs Z score'!G201</f>
        <v/>
      </c>
      <c r="H209">
        <f>VLOOKUP(C209,Recipes!$A$2:$N$4,10,FALSE())</f>
        <v/>
      </c>
      <c r="I209">
        <f>VLOOKUP(C209,Recipes!$A$2:$N$4,12,FALSE())</f>
        <v/>
      </c>
      <c r="J209">
        <f>IF(G209="","",H209-G209)</f>
        <v/>
      </c>
      <c r="K209">
        <f>IF(G209="","",IF(ABS(G209-H209)&lt;=$B$6*I209,"OK","NG"))</f>
        <v/>
      </c>
      <c r="L209">
        <f>IF(K209="","",IF(K209=D209,1,0))</f>
        <v/>
      </c>
      <c r="M209" t="inlineStr">
        <is>
          <t>W1</t>
        </is>
      </c>
      <c r="N209" s="15" t="n">
        <v>0.9971</v>
      </c>
      <c r="O209" s="15" t="n">
        <v>0.0029</v>
      </c>
      <c r="P209">
        <f>IF(M209="","",IF(M209=E209,1,0))</f>
        <v/>
      </c>
      <c r="Q209">
        <f>IF(K209="OK","-",IF(N209&lt;$B$7,"AMBIGUOUS","CONFIDENT"))</f>
        <v/>
      </c>
    </row>
    <row r="210">
      <c r="A210">
        <f>'Runs Z score'!A202</f>
        <v/>
      </c>
      <c r="B210">
        <f>'Runs Z score'!B202</f>
        <v/>
      </c>
      <c r="C210">
        <f>'Runs Z score'!C202</f>
        <v/>
      </c>
      <c r="D210">
        <f>'Runs Z score'!D202</f>
        <v/>
      </c>
      <c r="E210">
        <f>'Runs Z score'!E202</f>
        <v/>
      </c>
      <c r="F210">
        <f>'Runs Z score'!F202</f>
        <v/>
      </c>
      <c r="G210">
        <f>'Runs Z score'!G202</f>
        <v/>
      </c>
      <c r="H210">
        <f>VLOOKUP(C210,Recipes!$A$2:$N$4,10,FALSE())</f>
        <v/>
      </c>
      <c r="I210">
        <f>VLOOKUP(C210,Recipes!$A$2:$N$4,12,FALSE())</f>
        <v/>
      </c>
      <c r="J210">
        <f>IF(G210="","",H210-G210)</f>
        <v/>
      </c>
      <c r="K210">
        <f>IF(G210="","",IF(ABS(G210-H210)&lt;=$B$6*I210,"OK","NG"))</f>
        <v/>
      </c>
      <c r="L210">
        <f>IF(K210="","",IF(K210=D210,1,0))</f>
        <v/>
      </c>
      <c r="M210" t="inlineStr">
        <is>
          <t>W1</t>
        </is>
      </c>
      <c r="N210" s="15" t="n">
        <v>0.9958</v>
      </c>
      <c r="O210" s="15" t="n">
        <v>0.0042</v>
      </c>
      <c r="P210">
        <f>IF(M210="","",IF(M210=E210,1,0))</f>
        <v/>
      </c>
      <c r="Q210">
        <f>IF(K210="OK","-",IF(N210&lt;$B$7,"AMBIGUOUS","CONFIDENT"))</f>
        <v/>
      </c>
    </row>
    <row r="211">
      <c r="A211">
        <f>'Runs Z score'!A203</f>
        <v/>
      </c>
      <c r="B211">
        <f>'Runs Z score'!B203</f>
        <v/>
      </c>
      <c r="C211">
        <f>'Runs Z score'!C203</f>
        <v/>
      </c>
      <c r="D211">
        <f>'Runs Z score'!D203</f>
        <v/>
      </c>
      <c r="E211">
        <f>'Runs Z score'!E203</f>
        <v/>
      </c>
      <c r="F211">
        <f>'Runs Z score'!F203</f>
        <v/>
      </c>
      <c r="G211">
        <f>'Runs Z score'!G203</f>
        <v/>
      </c>
      <c r="H211">
        <f>VLOOKUP(C211,Recipes!$A$2:$N$4,10,FALSE())</f>
        <v/>
      </c>
      <c r="I211">
        <f>VLOOKUP(C211,Recipes!$A$2:$N$4,12,FALSE())</f>
        <v/>
      </c>
      <c r="J211">
        <f>IF(G211="","",H211-G211)</f>
        <v/>
      </c>
      <c r="K211">
        <f>IF(G211="","",IF(ABS(G211-H211)&lt;=$B$6*I211,"OK","NG"))</f>
        <v/>
      </c>
      <c r="L211">
        <f>IF(K211="","",IF(K211=D211,1,0))</f>
        <v/>
      </c>
      <c r="M211" t="inlineStr">
        <is>
          <t>W1</t>
        </is>
      </c>
      <c r="N211" s="15" t="n">
        <v>0.9183</v>
      </c>
      <c r="O211" s="15" t="n">
        <v>0.08169999999999999</v>
      </c>
      <c r="P211">
        <f>IF(M211="","",IF(M211=E211,1,0))</f>
        <v/>
      </c>
      <c r="Q211">
        <f>IF(K211="OK","-",IF(N211&lt;$B$7,"AMBIGUOUS","CONFIDENT"))</f>
        <v/>
      </c>
    </row>
    <row r="212">
      <c r="A212">
        <f>'Runs Z score'!A204</f>
        <v/>
      </c>
      <c r="B212">
        <f>'Runs Z score'!B204</f>
        <v/>
      </c>
      <c r="C212">
        <f>'Runs Z score'!C204</f>
        <v/>
      </c>
      <c r="D212">
        <f>'Runs Z score'!D204</f>
        <v/>
      </c>
      <c r="E212">
        <f>'Runs Z score'!E204</f>
        <v/>
      </c>
      <c r="F212">
        <f>'Runs Z score'!F204</f>
        <v/>
      </c>
      <c r="G212">
        <f>'Runs Z score'!G204</f>
        <v/>
      </c>
      <c r="H212">
        <f>VLOOKUP(C212,Recipes!$A$2:$N$4,10,FALSE())</f>
        <v/>
      </c>
      <c r="I212">
        <f>VLOOKUP(C212,Recipes!$A$2:$N$4,12,FALSE())</f>
        <v/>
      </c>
      <c r="J212">
        <f>IF(G212="","",H212-G212)</f>
        <v/>
      </c>
      <c r="K212">
        <f>IF(G212="","",IF(ABS(G212-H212)&lt;=$B$6*I212,"OK","NG"))</f>
        <v/>
      </c>
      <c r="L212">
        <f>IF(K212="","",IF(K212=D212,1,0))</f>
        <v/>
      </c>
      <c r="M212" t="inlineStr">
        <is>
          <t>W1</t>
        </is>
      </c>
      <c r="N212" s="15" t="n">
        <v>0.9993</v>
      </c>
      <c r="O212" s="15" t="n">
        <v>0.0007</v>
      </c>
      <c r="P212">
        <f>IF(M212="","",IF(M212=E212,1,0))</f>
        <v/>
      </c>
      <c r="Q212">
        <f>IF(K212="OK","-",IF(N212&lt;$B$7,"AMBIGUOUS","CONFIDENT"))</f>
        <v/>
      </c>
    </row>
    <row r="213">
      <c r="A213">
        <f>'Runs Z score'!A205</f>
        <v/>
      </c>
      <c r="B213">
        <f>'Runs Z score'!B205</f>
        <v/>
      </c>
      <c r="C213">
        <f>'Runs Z score'!C205</f>
        <v/>
      </c>
      <c r="D213">
        <f>'Runs Z score'!D205</f>
        <v/>
      </c>
      <c r="E213">
        <f>'Runs Z score'!E205</f>
        <v/>
      </c>
      <c r="F213">
        <f>'Runs Z score'!F205</f>
        <v/>
      </c>
      <c r="G213">
        <f>'Runs Z score'!G205</f>
        <v/>
      </c>
      <c r="H213">
        <f>VLOOKUP(C213,Recipes!$A$2:$N$4,10,FALSE())</f>
        <v/>
      </c>
      <c r="I213">
        <f>VLOOKUP(C213,Recipes!$A$2:$N$4,12,FALSE())</f>
        <v/>
      </c>
      <c r="J213">
        <f>IF(G213="","",H213-G213)</f>
        <v/>
      </c>
      <c r="K213">
        <f>IF(G213="","",IF(ABS(G213-H213)&lt;=$B$6*I213,"OK","NG"))</f>
        <v/>
      </c>
      <c r="L213">
        <f>IF(K213="","",IF(K213=D213,1,0))</f>
        <v/>
      </c>
      <c r="M213" t="inlineStr">
        <is>
          <t>W1</t>
        </is>
      </c>
      <c r="N213" s="15" t="n">
        <v>0.9631</v>
      </c>
      <c r="O213" s="15" t="n">
        <v>0.0369</v>
      </c>
      <c r="P213">
        <f>IF(M213="","",IF(M213=E213,1,0))</f>
        <v/>
      </c>
      <c r="Q213">
        <f>IF(K213="OK","-",IF(N213&lt;$B$7,"AMBIGUOUS","CONFIDENT"))</f>
        <v/>
      </c>
    </row>
    <row r="214">
      <c r="A214">
        <f>'Runs Z score'!A206</f>
        <v/>
      </c>
      <c r="B214">
        <f>'Runs Z score'!B206</f>
        <v/>
      </c>
      <c r="C214">
        <f>'Runs Z score'!C206</f>
        <v/>
      </c>
      <c r="D214">
        <f>'Runs Z score'!D206</f>
        <v/>
      </c>
      <c r="E214">
        <f>'Runs Z score'!E206</f>
        <v/>
      </c>
      <c r="F214">
        <f>'Runs Z score'!F206</f>
        <v/>
      </c>
      <c r="G214">
        <f>'Runs Z score'!G206</f>
        <v/>
      </c>
      <c r="H214">
        <f>VLOOKUP(C214,Recipes!$A$2:$N$4,10,FALSE())</f>
        <v/>
      </c>
      <c r="I214">
        <f>VLOOKUP(C214,Recipes!$A$2:$N$4,12,FALSE())</f>
        <v/>
      </c>
      <c r="J214">
        <f>IF(G214="","",H214-G214)</f>
        <v/>
      </c>
      <c r="K214">
        <f>IF(G214="","",IF(ABS(G214-H214)&lt;=$B$6*I214,"OK","NG"))</f>
        <v/>
      </c>
      <c r="L214">
        <f>IF(K214="","",IF(K214=D214,1,0))</f>
        <v/>
      </c>
      <c r="M214" t="inlineStr">
        <is>
          <t>W1</t>
        </is>
      </c>
      <c r="N214" s="15" t="n">
        <v>1</v>
      </c>
      <c r="O214" s="15" t="n">
        <v>0</v>
      </c>
      <c r="P214">
        <f>IF(M214="","",IF(M214=E214,1,0))</f>
        <v/>
      </c>
      <c r="Q214">
        <f>IF(K214="OK","-",IF(N214&lt;$B$7,"AMBIGUOUS","CONFIDENT"))</f>
        <v/>
      </c>
    </row>
    <row r="215">
      <c r="A215">
        <f>'Runs Z score'!A207</f>
        <v/>
      </c>
      <c r="B215">
        <f>'Runs Z score'!B207</f>
        <v/>
      </c>
      <c r="C215">
        <f>'Runs Z score'!C207</f>
        <v/>
      </c>
      <c r="D215">
        <f>'Runs Z score'!D207</f>
        <v/>
      </c>
      <c r="E215">
        <f>'Runs Z score'!E207</f>
        <v/>
      </c>
      <c r="F215">
        <f>'Runs Z score'!F207</f>
        <v/>
      </c>
      <c r="G215">
        <f>'Runs Z score'!G207</f>
        <v/>
      </c>
      <c r="H215">
        <f>VLOOKUP(C215,Recipes!$A$2:$N$4,10,FALSE())</f>
        <v/>
      </c>
      <c r="I215">
        <f>VLOOKUP(C215,Recipes!$A$2:$N$4,12,FALSE())</f>
        <v/>
      </c>
      <c r="J215">
        <f>IF(G215="","",H215-G215)</f>
        <v/>
      </c>
      <c r="K215">
        <f>IF(G215="","",IF(ABS(G215-H215)&lt;=$B$6*I215,"OK","NG"))</f>
        <v/>
      </c>
      <c r="L215">
        <f>IF(K215="","",IF(K215=D215,1,0))</f>
        <v/>
      </c>
      <c r="M215" t="inlineStr">
        <is>
          <t>W1</t>
        </is>
      </c>
      <c r="N215" s="15" t="n">
        <v>1</v>
      </c>
      <c r="O215" s="15" t="n">
        <v>0</v>
      </c>
      <c r="P215">
        <f>IF(M215="","",IF(M215=E215,1,0))</f>
        <v/>
      </c>
      <c r="Q215">
        <f>IF(K215="OK","-",IF(N215&lt;$B$7,"AMBIGUOUS","CONFIDENT"))</f>
        <v/>
      </c>
    </row>
    <row r="216">
      <c r="A216">
        <f>'Runs Z score'!A208</f>
        <v/>
      </c>
      <c r="B216">
        <f>'Runs Z score'!B208</f>
        <v/>
      </c>
      <c r="C216">
        <f>'Runs Z score'!C208</f>
        <v/>
      </c>
      <c r="D216">
        <f>'Runs Z score'!D208</f>
        <v/>
      </c>
      <c r="E216">
        <f>'Runs Z score'!E208</f>
        <v/>
      </c>
      <c r="F216">
        <f>'Runs Z score'!F208</f>
        <v/>
      </c>
      <c r="G216">
        <f>'Runs Z score'!G208</f>
        <v/>
      </c>
      <c r="H216">
        <f>VLOOKUP(C216,Recipes!$A$2:$N$4,10,FALSE())</f>
        <v/>
      </c>
      <c r="I216">
        <f>VLOOKUP(C216,Recipes!$A$2:$N$4,12,FALSE())</f>
        <v/>
      </c>
      <c r="J216">
        <f>IF(G216="","",H216-G216)</f>
        <v/>
      </c>
      <c r="K216">
        <f>IF(G216="","",IF(ABS(G216-H216)&lt;=$B$6*I216,"OK","NG"))</f>
        <v/>
      </c>
      <c r="L216">
        <f>IF(K216="","",IF(K216=D216,1,0))</f>
        <v/>
      </c>
      <c r="M216" t="inlineStr">
        <is>
          <t>W1</t>
        </is>
      </c>
      <c r="N216" s="15" t="n">
        <v>0.9988</v>
      </c>
      <c r="O216" s="15" t="n">
        <v>0.0012</v>
      </c>
      <c r="P216">
        <f>IF(M216="","",IF(M216=E216,1,0))</f>
        <v/>
      </c>
      <c r="Q216">
        <f>IF(K216="OK","-",IF(N216&lt;$B$7,"AMBIGUOUS","CONFIDENT"))</f>
        <v/>
      </c>
    </row>
    <row r="217">
      <c r="A217">
        <f>'Runs Z score'!A209</f>
        <v/>
      </c>
      <c r="B217">
        <f>'Runs Z score'!B209</f>
        <v/>
      </c>
      <c r="C217">
        <f>'Runs Z score'!C209</f>
        <v/>
      </c>
      <c r="D217">
        <f>'Runs Z score'!D209</f>
        <v/>
      </c>
      <c r="E217">
        <f>'Runs Z score'!E209</f>
        <v/>
      </c>
      <c r="F217">
        <f>'Runs Z score'!F209</f>
        <v/>
      </c>
      <c r="G217">
        <f>'Runs Z score'!G209</f>
        <v/>
      </c>
      <c r="H217">
        <f>VLOOKUP(C217,Recipes!$A$2:$N$4,10,FALSE())</f>
        <v/>
      </c>
      <c r="I217">
        <f>VLOOKUP(C217,Recipes!$A$2:$N$4,12,FALSE())</f>
        <v/>
      </c>
      <c r="J217">
        <f>IF(G217="","",H217-G217)</f>
        <v/>
      </c>
      <c r="K217">
        <f>IF(G217="","",IF(ABS(G217-H217)&lt;=$B$6*I217,"OK","NG"))</f>
        <v/>
      </c>
      <c r="L217">
        <f>IF(K217="","",IF(K217=D217,1,0))</f>
        <v/>
      </c>
      <c r="M217" t="inlineStr">
        <is>
          <t>W1</t>
        </is>
      </c>
      <c r="N217" s="15" t="n">
        <v>0.9998</v>
      </c>
      <c r="O217" s="15" t="n">
        <v>0.0002</v>
      </c>
      <c r="P217">
        <f>IF(M217="","",IF(M217=E217,1,0))</f>
        <v/>
      </c>
      <c r="Q217">
        <f>IF(K217="OK","-",IF(N217&lt;$B$7,"AMBIGUOUS","CONFIDENT"))</f>
        <v/>
      </c>
    </row>
    <row r="218">
      <c r="A218">
        <f>'Runs Z score'!A210</f>
        <v/>
      </c>
      <c r="B218">
        <f>'Runs Z score'!B210</f>
        <v/>
      </c>
      <c r="C218">
        <f>'Runs Z score'!C210</f>
        <v/>
      </c>
      <c r="D218">
        <f>'Runs Z score'!D210</f>
        <v/>
      </c>
      <c r="E218">
        <f>'Runs Z score'!E210</f>
        <v/>
      </c>
      <c r="F218">
        <f>'Runs Z score'!F210</f>
        <v/>
      </c>
      <c r="G218">
        <f>'Runs Z score'!G210</f>
        <v/>
      </c>
      <c r="H218">
        <f>VLOOKUP(C218,Recipes!$A$2:$N$4,10,FALSE())</f>
        <v/>
      </c>
      <c r="I218">
        <f>VLOOKUP(C218,Recipes!$A$2:$N$4,12,FALSE())</f>
        <v/>
      </c>
      <c r="J218">
        <f>IF(G218="","",H218-G218)</f>
        <v/>
      </c>
      <c r="K218">
        <f>IF(G218="","",IF(ABS(G218-H218)&lt;=$B$6*I218,"OK","NG"))</f>
        <v/>
      </c>
      <c r="L218">
        <f>IF(K218="","",IF(K218=D218,1,0))</f>
        <v/>
      </c>
      <c r="M218" t="inlineStr">
        <is>
          <t>W1</t>
        </is>
      </c>
      <c r="N218" s="15" t="n">
        <v>0.9616</v>
      </c>
      <c r="O218" s="15" t="n">
        <v>0.0384</v>
      </c>
      <c r="P218">
        <f>IF(M218="","",IF(M218=E218,1,0))</f>
        <v/>
      </c>
      <c r="Q218">
        <f>IF(K218="OK","-",IF(N218&lt;$B$7,"AMBIGUOUS","CONFIDENT"))</f>
        <v/>
      </c>
    </row>
    <row r="219">
      <c r="A219">
        <f>'Runs Z score'!A211</f>
        <v/>
      </c>
      <c r="B219">
        <f>'Runs Z score'!B211</f>
        <v/>
      </c>
      <c r="C219">
        <f>'Runs Z score'!C211</f>
        <v/>
      </c>
      <c r="D219">
        <f>'Runs Z score'!D211</f>
        <v/>
      </c>
      <c r="E219">
        <f>'Runs Z score'!E211</f>
        <v/>
      </c>
      <c r="F219">
        <f>'Runs Z score'!F211</f>
        <v/>
      </c>
      <c r="G219">
        <f>'Runs Z score'!G211</f>
        <v/>
      </c>
      <c r="H219">
        <f>VLOOKUP(C219,Recipes!$A$2:$N$4,10,FALSE())</f>
        <v/>
      </c>
      <c r="I219">
        <f>VLOOKUP(C219,Recipes!$A$2:$N$4,12,FALSE())</f>
        <v/>
      </c>
      <c r="J219">
        <f>IF(G219="","",H219-G219)</f>
        <v/>
      </c>
      <c r="K219">
        <f>IF(G219="","",IF(ABS(G219-H219)&lt;=$B$6*I219,"OK","NG"))</f>
        <v/>
      </c>
      <c r="L219">
        <f>IF(K219="","",IF(K219=D219,1,0))</f>
        <v/>
      </c>
      <c r="M219" t="inlineStr">
        <is>
          <t>N1</t>
        </is>
      </c>
      <c r="N219" s="15" t="n">
        <v>1</v>
      </c>
      <c r="O219" s="15" t="n">
        <v>0</v>
      </c>
      <c r="P219">
        <f>IF(M219="","",IF(M219=E219,1,0))</f>
        <v/>
      </c>
      <c r="Q219">
        <f>IF(K219="OK","-",IF(N219&lt;$B$7,"AMBIGUOUS","CONFIDENT"))</f>
        <v/>
      </c>
    </row>
    <row r="220">
      <c r="A220">
        <f>'Runs Z score'!A212</f>
        <v/>
      </c>
      <c r="B220">
        <f>'Runs Z score'!B212</f>
        <v/>
      </c>
      <c r="C220">
        <f>'Runs Z score'!C212</f>
        <v/>
      </c>
      <c r="D220">
        <f>'Runs Z score'!D212</f>
        <v/>
      </c>
      <c r="E220">
        <f>'Runs Z score'!E212</f>
        <v/>
      </c>
      <c r="F220">
        <f>'Runs Z score'!F212</f>
        <v/>
      </c>
      <c r="G220">
        <f>'Runs Z score'!G212</f>
        <v/>
      </c>
      <c r="H220">
        <f>VLOOKUP(C220,Recipes!$A$2:$N$4,10,FALSE())</f>
        <v/>
      </c>
      <c r="I220">
        <f>VLOOKUP(C220,Recipes!$A$2:$N$4,12,FALSE())</f>
        <v/>
      </c>
      <c r="J220">
        <f>IF(G220="","",H220-G220)</f>
        <v/>
      </c>
      <c r="K220">
        <f>IF(G220="","",IF(ABS(G220-H220)&lt;=$B$6*I220,"OK","NG"))</f>
        <v/>
      </c>
      <c r="L220">
        <f>IF(K220="","",IF(K220=D220,1,0))</f>
        <v/>
      </c>
      <c r="M220" t="inlineStr">
        <is>
          <t>W1</t>
        </is>
      </c>
      <c r="N220" s="15" t="n">
        <v>0.9984</v>
      </c>
      <c r="O220" s="15" t="n">
        <v>0.0016</v>
      </c>
      <c r="P220">
        <f>IF(M220="","",IF(M220=E220,1,0))</f>
        <v/>
      </c>
      <c r="Q220">
        <f>IF(K220="OK","-",IF(N220&lt;$B$7,"AMBIGUOUS","CONFIDENT"))</f>
        <v/>
      </c>
    </row>
    <row r="221">
      <c r="A221">
        <f>'Runs Z score'!A213</f>
        <v/>
      </c>
      <c r="B221">
        <f>'Runs Z score'!B213</f>
        <v/>
      </c>
      <c r="C221">
        <f>'Runs Z score'!C213</f>
        <v/>
      </c>
      <c r="D221">
        <f>'Runs Z score'!D213</f>
        <v/>
      </c>
      <c r="E221">
        <f>'Runs Z score'!E213</f>
        <v/>
      </c>
      <c r="F221">
        <f>'Runs Z score'!F213</f>
        <v/>
      </c>
      <c r="G221">
        <f>'Runs Z score'!G213</f>
        <v/>
      </c>
      <c r="H221">
        <f>VLOOKUP(C221,Recipes!$A$2:$N$4,10,FALSE())</f>
        <v/>
      </c>
      <c r="I221">
        <f>VLOOKUP(C221,Recipes!$A$2:$N$4,12,FALSE())</f>
        <v/>
      </c>
      <c r="J221">
        <f>IF(G221="","",H221-G221)</f>
        <v/>
      </c>
      <c r="K221">
        <f>IF(G221="","",IF(ABS(G221-H221)&lt;=$B$6*I221,"OK","NG"))</f>
        <v/>
      </c>
      <c r="L221">
        <f>IF(K221="","",IF(K221=D221,1,0))</f>
        <v/>
      </c>
      <c r="M221" t="inlineStr">
        <is>
          <t>N1</t>
        </is>
      </c>
      <c r="N221" s="15" t="n">
        <v>0.9983</v>
      </c>
      <c r="O221" s="15" t="n">
        <v>0.0017</v>
      </c>
      <c r="P221">
        <f>IF(M221="","",IF(M221=E221,1,0))</f>
        <v/>
      </c>
      <c r="Q221">
        <f>IF(K221="OK","-",IF(N221&lt;$B$7,"AMBIGUOUS","CONFIDENT"))</f>
        <v/>
      </c>
    </row>
    <row r="222">
      <c r="A222">
        <f>'Runs Z score'!A214</f>
        <v/>
      </c>
      <c r="B222">
        <f>'Runs Z score'!B214</f>
        <v/>
      </c>
      <c r="C222">
        <f>'Runs Z score'!C214</f>
        <v/>
      </c>
      <c r="D222">
        <f>'Runs Z score'!D214</f>
        <v/>
      </c>
      <c r="E222">
        <f>'Runs Z score'!E214</f>
        <v/>
      </c>
      <c r="F222">
        <f>'Runs Z score'!F214</f>
        <v/>
      </c>
      <c r="G222">
        <f>'Runs Z score'!G214</f>
        <v/>
      </c>
      <c r="H222">
        <f>VLOOKUP(C222,Recipes!$A$2:$N$4,10,FALSE())</f>
        <v/>
      </c>
      <c r="I222">
        <f>VLOOKUP(C222,Recipes!$A$2:$N$4,12,FALSE())</f>
        <v/>
      </c>
      <c r="J222">
        <f>IF(G222="","",H222-G222)</f>
        <v/>
      </c>
      <c r="K222">
        <f>IF(G222="","",IF(ABS(G222-H222)&lt;=$B$6*I222,"OK","NG"))</f>
        <v/>
      </c>
      <c r="L222">
        <f>IF(K222="","",IF(K222=D222,1,0))</f>
        <v/>
      </c>
      <c r="M222" t="inlineStr">
        <is>
          <t>N1</t>
        </is>
      </c>
      <c r="N222" s="15" t="n">
        <v>1</v>
      </c>
      <c r="O222" s="15" t="n">
        <v>0</v>
      </c>
      <c r="P222">
        <f>IF(M222="","",IF(M222=E222,1,0))</f>
        <v/>
      </c>
      <c r="Q222">
        <f>IF(K222="OK","-",IF(N222&lt;$B$7,"AMBIGUOUS","CONFIDENT"))</f>
        <v/>
      </c>
    </row>
    <row r="223">
      <c r="A223">
        <f>'Runs Z score'!A215</f>
        <v/>
      </c>
      <c r="B223">
        <f>'Runs Z score'!B215</f>
        <v/>
      </c>
      <c r="C223">
        <f>'Runs Z score'!C215</f>
        <v/>
      </c>
      <c r="D223">
        <f>'Runs Z score'!D215</f>
        <v/>
      </c>
      <c r="E223">
        <f>'Runs Z score'!E215</f>
        <v/>
      </c>
      <c r="F223">
        <f>'Runs Z score'!F215</f>
        <v/>
      </c>
      <c r="G223">
        <f>'Runs Z score'!G215</f>
        <v/>
      </c>
      <c r="H223">
        <f>VLOOKUP(C223,Recipes!$A$2:$N$4,10,FALSE())</f>
        <v/>
      </c>
      <c r="I223">
        <f>VLOOKUP(C223,Recipes!$A$2:$N$4,12,FALSE())</f>
        <v/>
      </c>
      <c r="J223">
        <f>IF(G223="","",H223-G223)</f>
        <v/>
      </c>
      <c r="K223">
        <f>IF(G223="","",IF(ABS(G223-H223)&lt;=$B$6*I223,"OK","NG"))</f>
        <v/>
      </c>
      <c r="L223">
        <f>IF(K223="","",IF(K223=D223,1,0))</f>
        <v/>
      </c>
      <c r="M223" t="inlineStr">
        <is>
          <t>N1</t>
        </is>
      </c>
      <c r="N223" s="15" t="n">
        <v>0.9343</v>
      </c>
      <c r="O223" s="15" t="n">
        <v>0.06569999999999999</v>
      </c>
      <c r="P223">
        <f>IF(M223="","",IF(M223=E223,1,0))</f>
        <v/>
      </c>
      <c r="Q223">
        <f>IF(K223="OK","-",IF(N223&lt;$B$7,"AMBIGUOUS","CONFIDENT"))</f>
        <v/>
      </c>
    </row>
    <row r="224">
      <c r="A224">
        <f>'Runs Z score'!A216</f>
        <v/>
      </c>
      <c r="B224">
        <f>'Runs Z score'!B216</f>
        <v/>
      </c>
      <c r="C224">
        <f>'Runs Z score'!C216</f>
        <v/>
      </c>
      <c r="D224">
        <f>'Runs Z score'!D216</f>
        <v/>
      </c>
      <c r="E224">
        <f>'Runs Z score'!E216</f>
        <v/>
      </c>
      <c r="F224">
        <f>'Runs Z score'!F216</f>
        <v/>
      </c>
      <c r="G224">
        <f>'Runs Z score'!G216</f>
        <v/>
      </c>
      <c r="H224">
        <f>VLOOKUP(C224,Recipes!$A$2:$N$4,10,FALSE())</f>
        <v/>
      </c>
      <c r="I224">
        <f>VLOOKUP(C224,Recipes!$A$2:$N$4,12,FALSE())</f>
        <v/>
      </c>
      <c r="J224">
        <f>IF(G224="","",H224-G224)</f>
        <v/>
      </c>
      <c r="K224">
        <f>IF(G224="","",IF(ABS(G224-H224)&lt;=$B$6*I224,"OK","NG"))</f>
        <v/>
      </c>
      <c r="L224">
        <f>IF(K224="","",IF(K224=D224,1,0))</f>
        <v/>
      </c>
      <c r="M224" t="inlineStr">
        <is>
          <t>N1</t>
        </is>
      </c>
      <c r="N224" s="15" t="n">
        <v>0.982</v>
      </c>
      <c r="O224" s="15" t="n">
        <v>0.018</v>
      </c>
      <c r="P224">
        <f>IF(M224="","",IF(M224=E224,1,0))</f>
        <v/>
      </c>
      <c r="Q224">
        <f>IF(K224="OK","-",IF(N224&lt;$B$7,"AMBIGUOUS","CONFIDENT"))</f>
        <v/>
      </c>
    </row>
    <row r="225">
      <c r="A225">
        <f>'Runs Z score'!A217</f>
        <v/>
      </c>
      <c r="B225">
        <f>'Runs Z score'!B217</f>
        <v/>
      </c>
      <c r="C225">
        <f>'Runs Z score'!C217</f>
        <v/>
      </c>
      <c r="D225">
        <f>'Runs Z score'!D217</f>
        <v/>
      </c>
      <c r="E225">
        <f>'Runs Z score'!E217</f>
        <v/>
      </c>
      <c r="F225">
        <f>'Runs Z score'!F217</f>
        <v/>
      </c>
      <c r="G225">
        <f>'Runs Z score'!G217</f>
        <v/>
      </c>
      <c r="H225">
        <f>VLOOKUP(C225,Recipes!$A$2:$N$4,10,FALSE())</f>
        <v/>
      </c>
      <c r="I225">
        <f>VLOOKUP(C225,Recipes!$A$2:$N$4,12,FALSE())</f>
        <v/>
      </c>
      <c r="J225">
        <f>IF(G225="","",H225-G225)</f>
        <v/>
      </c>
      <c r="K225">
        <f>IF(G225="","",IF(ABS(G225-H225)&lt;=$B$6*I225,"OK","NG"))</f>
        <v/>
      </c>
      <c r="L225">
        <f>IF(K225="","",IF(K225=D225,1,0))</f>
        <v/>
      </c>
      <c r="M225" t="inlineStr">
        <is>
          <t>N1</t>
        </is>
      </c>
      <c r="N225" s="15" t="n">
        <v>0.9772</v>
      </c>
      <c r="O225" s="15" t="n">
        <v>0.0228</v>
      </c>
      <c r="P225">
        <f>IF(M225="","",IF(M225=E225,1,0))</f>
        <v/>
      </c>
      <c r="Q225">
        <f>IF(K225="OK","-",IF(N225&lt;$B$7,"AMBIGUOUS","CONFIDENT"))</f>
        <v/>
      </c>
    </row>
    <row r="226">
      <c r="A226">
        <f>'Runs Z score'!A218</f>
        <v/>
      </c>
      <c r="B226">
        <f>'Runs Z score'!B218</f>
        <v/>
      </c>
      <c r="C226">
        <f>'Runs Z score'!C218</f>
        <v/>
      </c>
      <c r="D226">
        <f>'Runs Z score'!D218</f>
        <v/>
      </c>
      <c r="E226">
        <f>'Runs Z score'!E218</f>
        <v/>
      </c>
      <c r="F226">
        <f>'Runs Z score'!F218</f>
        <v/>
      </c>
      <c r="G226">
        <f>'Runs Z score'!G218</f>
        <v/>
      </c>
      <c r="H226">
        <f>VLOOKUP(C226,Recipes!$A$2:$N$4,10,FALSE())</f>
        <v/>
      </c>
      <c r="I226">
        <f>VLOOKUP(C226,Recipes!$A$2:$N$4,12,FALSE())</f>
        <v/>
      </c>
      <c r="J226">
        <f>IF(G226="","",H226-G226)</f>
        <v/>
      </c>
      <c r="K226">
        <f>IF(G226="","",IF(ABS(G226-H226)&lt;=$B$6*I226,"OK","NG"))</f>
        <v/>
      </c>
      <c r="L226">
        <f>IF(K226="","",IF(K226=D226,1,0))</f>
        <v/>
      </c>
      <c r="M226" t="inlineStr">
        <is>
          <t>N1</t>
        </is>
      </c>
      <c r="N226" s="15" t="n">
        <v>0.8018</v>
      </c>
      <c r="O226" s="15" t="n">
        <v>0.1982</v>
      </c>
      <c r="P226">
        <f>IF(M226="","",IF(M226=E226,1,0))</f>
        <v/>
      </c>
      <c r="Q226">
        <f>IF(K226="OK","-",IF(N226&lt;$B$7,"AMBIGUOUS","CONFIDENT"))</f>
        <v/>
      </c>
    </row>
    <row r="227">
      <c r="A227">
        <f>'Runs Z score'!A219</f>
        <v/>
      </c>
      <c r="B227">
        <f>'Runs Z score'!B219</f>
        <v/>
      </c>
      <c r="C227">
        <f>'Runs Z score'!C219</f>
        <v/>
      </c>
      <c r="D227">
        <f>'Runs Z score'!D219</f>
        <v/>
      </c>
      <c r="E227">
        <f>'Runs Z score'!E219</f>
        <v/>
      </c>
      <c r="F227">
        <f>'Runs Z score'!F219</f>
        <v/>
      </c>
      <c r="G227">
        <f>'Runs Z score'!G219</f>
        <v/>
      </c>
      <c r="H227">
        <f>VLOOKUP(C227,Recipes!$A$2:$N$4,10,FALSE())</f>
        <v/>
      </c>
      <c r="I227">
        <f>VLOOKUP(C227,Recipes!$A$2:$N$4,12,FALSE())</f>
        <v/>
      </c>
      <c r="J227">
        <f>IF(G227="","",H227-G227)</f>
        <v/>
      </c>
      <c r="K227">
        <f>IF(G227="","",IF(ABS(G227-H227)&lt;=$B$6*I227,"OK","NG"))</f>
        <v/>
      </c>
      <c r="L227">
        <f>IF(K227="","",IF(K227=D227,1,0))</f>
        <v/>
      </c>
      <c r="M227" t="inlineStr">
        <is>
          <t>N1</t>
        </is>
      </c>
      <c r="N227" s="15" t="n">
        <v>0.9999</v>
      </c>
      <c r="O227" s="15" t="n">
        <v>0.0001</v>
      </c>
      <c r="P227">
        <f>IF(M227="","",IF(M227=E227,1,0))</f>
        <v/>
      </c>
      <c r="Q227">
        <f>IF(K227="OK","-",IF(N227&lt;$B$7,"AMBIGUOUS","CONFIDENT"))</f>
        <v/>
      </c>
    </row>
    <row r="228">
      <c r="A228">
        <f>'Runs Z score'!A220</f>
        <v/>
      </c>
      <c r="B228">
        <f>'Runs Z score'!B220</f>
        <v/>
      </c>
      <c r="C228">
        <f>'Runs Z score'!C220</f>
        <v/>
      </c>
      <c r="D228">
        <f>'Runs Z score'!D220</f>
        <v/>
      </c>
      <c r="E228">
        <f>'Runs Z score'!E220</f>
        <v/>
      </c>
      <c r="F228">
        <f>'Runs Z score'!F220</f>
        <v/>
      </c>
      <c r="G228">
        <f>'Runs Z score'!G220</f>
        <v/>
      </c>
      <c r="H228">
        <f>VLOOKUP(C228,Recipes!$A$2:$N$4,10,FALSE())</f>
        <v/>
      </c>
      <c r="I228">
        <f>VLOOKUP(C228,Recipes!$A$2:$N$4,12,FALSE())</f>
        <v/>
      </c>
      <c r="J228">
        <f>IF(G228="","",H228-G228)</f>
        <v/>
      </c>
      <c r="K228">
        <f>IF(G228="","",IF(ABS(G228-H228)&lt;=$B$6*I228,"OK","NG"))</f>
        <v/>
      </c>
      <c r="L228">
        <f>IF(K228="","",IF(K228=D228,1,0))</f>
        <v/>
      </c>
      <c r="M228" t="inlineStr">
        <is>
          <t>N1</t>
        </is>
      </c>
      <c r="N228" s="15" t="n">
        <v>1</v>
      </c>
      <c r="O228" s="15" t="n">
        <v>0</v>
      </c>
      <c r="P228">
        <f>IF(M228="","",IF(M228=E228,1,0))</f>
        <v/>
      </c>
      <c r="Q228">
        <f>IF(K228="OK","-",IF(N228&lt;$B$7,"AMBIGUOUS","CONFIDENT"))</f>
        <v/>
      </c>
    </row>
    <row r="229">
      <c r="A229">
        <f>'Runs Z score'!A221</f>
        <v/>
      </c>
      <c r="B229">
        <f>'Runs Z score'!B221</f>
        <v/>
      </c>
      <c r="C229">
        <f>'Runs Z score'!C221</f>
        <v/>
      </c>
      <c r="D229">
        <f>'Runs Z score'!D221</f>
        <v/>
      </c>
      <c r="E229">
        <f>'Runs Z score'!E221</f>
        <v/>
      </c>
      <c r="F229">
        <f>'Runs Z score'!F221</f>
        <v/>
      </c>
      <c r="G229">
        <f>'Runs Z score'!G221</f>
        <v/>
      </c>
      <c r="H229">
        <f>VLOOKUP(C229,Recipes!$A$2:$N$4,10,FALSE())</f>
        <v/>
      </c>
      <c r="I229">
        <f>VLOOKUP(C229,Recipes!$A$2:$N$4,12,FALSE())</f>
        <v/>
      </c>
      <c r="J229">
        <f>IF(G229="","",H229-G229)</f>
        <v/>
      </c>
      <c r="K229">
        <f>IF(G229="","",IF(ABS(G229-H229)&lt;=$B$6*I229,"OK","NG"))</f>
        <v/>
      </c>
      <c r="L229">
        <f>IF(K229="","",IF(K229=D229,1,0))</f>
        <v/>
      </c>
      <c r="M229" t="inlineStr">
        <is>
          <t>N1</t>
        </is>
      </c>
      <c r="N229" s="15" t="n">
        <v>0.9927</v>
      </c>
      <c r="O229" s="15" t="n">
        <v>0.0073</v>
      </c>
      <c r="P229">
        <f>IF(M229="","",IF(M229=E229,1,0))</f>
        <v/>
      </c>
      <c r="Q229">
        <f>IF(K229="OK","-",IF(N229&lt;$B$7,"AMBIGUOUS","CONFIDENT"))</f>
        <v/>
      </c>
    </row>
    <row r="230">
      <c r="A230">
        <f>'Runs Z score'!A222</f>
        <v/>
      </c>
      <c r="B230">
        <f>'Runs Z score'!B222</f>
        <v/>
      </c>
      <c r="C230">
        <f>'Runs Z score'!C222</f>
        <v/>
      </c>
      <c r="D230">
        <f>'Runs Z score'!D222</f>
        <v/>
      </c>
      <c r="E230">
        <f>'Runs Z score'!E222</f>
        <v/>
      </c>
      <c r="F230">
        <f>'Runs Z score'!F222</f>
        <v/>
      </c>
      <c r="G230">
        <f>'Runs Z score'!G222</f>
        <v/>
      </c>
      <c r="H230">
        <f>VLOOKUP(C230,Recipes!$A$2:$N$4,10,FALSE())</f>
        <v/>
      </c>
      <c r="I230">
        <f>VLOOKUP(C230,Recipes!$A$2:$N$4,12,FALSE())</f>
        <v/>
      </c>
      <c r="J230">
        <f>IF(G230="","",H230-G230)</f>
        <v/>
      </c>
      <c r="K230">
        <f>IF(G230="","",IF(ABS(G230-H230)&lt;=$B$6*I230,"OK","NG"))</f>
        <v/>
      </c>
      <c r="L230">
        <f>IF(K230="","",IF(K230=D230,1,0))</f>
        <v/>
      </c>
      <c r="M230" t="inlineStr">
        <is>
          <t>N1</t>
        </is>
      </c>
      <c r="N230" s="15" t="n">
        <v>1</v>
      </c>
      <c r="O230" s="15" t="n">
        <v>0</v>
      </c>
      <c r="P230">
        <f>IF(M230="","",IF(M230=E230,1,0))</f>
        <v/>
      </c>
      <c r="Q230">
        <f>IF(K230="OK","-",IF(N230&lt;$B$7,"AMBIGUOUS","CONFIDENT"))</f>
        <v/>
      </c>
    </row>
    <row r="231">
      <c r="A231">
        <f>'Runs Z score'!A223</f>
        <v/>
      </c>
      <c r="B231">
        <f>'Runs Z score'!B223</f>
        <v/>
      </c>
      <c r="C231">
        <f>'Runs Z score'!C223</f>
        <v/>
      </c>
      <c r="D231">
        <f>'Runs Z score'!D223</f>
        <v/>
      </c>
      <c r="E231">
        <f>'Runs Z score'!E223</f>
        <v/>
      </c>
      <c r="F231">
        <f>'Runs Z score'!F223</f>
        <v/>
      </c>
      <c r="G231">
        <f>'Runs Z score'!G223</f>
        <v/>
      </c>
      <c r="H231">
        <f>VLOOKUP(C231,Recipes!$A$2:$N$4,10,FALSE())</f>
        <v/>
      </c>
      <c r="I231">
        <f>VLOOKUP(C231,Recipes!$A$2:$N$4,12,FALSE())</f>
        <v/>
      </c>
      <c r="J231">
        <f>IF(G231="","",H231-G231)</f>
        <v/>
      </c>
      <c r="K231">
        <f>IF(G231="","",IF(ABS(G231-H231)&lt;=$B$6*I231,"OK","NG"))</f>
        <v/>
      </c>
      <c r="L231">
        <f>IF(K231="","",IF(K231=D231,1,0))</f>
        <v/>
      </c>
      <c r="M231" t="inlineStr">
        <is>
          <t>N1</t>
        </is>
      </c>
      <c r="N231" s="15" t="n">
        <v>0.9999</v>
      </c>
      <c r="O231" s="15" t="n">
        <v>0.0001</v>
      </c>
      <c r="P231">
        <f>IF(M231="","",IF(M231=E231,1,0))</f>
        <v/>
      </c>
      <c r="Q231">
        <f>IF(K231="OK","-",IF(N231&lt;$B$7,"AMBIGUOUS","CONFIDENT"))</f>
        <v/>
      </c>
    </row>
    <row r="232">
      <c r="A232">
        <f>'Runs Z score'!A224</f>
        <v/>
      </c>
      <c r="B232">
        <f>'Runs Z score'!B224</f>
        <v/>
      </c>
      <c r="C232">
        <f>'Runs Z score'!C224</f>
        <v/>
      </c>
      <c r="D232">
        <f>'Runs Z score'!D224</f>
        <v/>
      </c>
      <c r="E232">
        <f>'Runs Z score'!E224</f>
        <v/>
      </c>
      <c r="F232">
        <f>'Runs Z score'!F224</f>
        <v/>
      </c>
      <c r="G232">
        <f>'Runs Z score'!G224</f>
        <v/>
      </c>
      <c r="H232">
        <f>VLOOKUP(C232,Recipes!$A$2:$N$4,10,FALSE())</f>
        <v/>
      </c>
      <c r="I232">
        <f>VLOOKUP(C232,Recipes!$A$2:$N$4,12,FALSE())</f>
        <v/>
      </c>
      <c r="J232">
        <f>IF(G232="","",H232-G232)</f>
        <v/>
      </c>
      <c r="K232">
        <f>IF(G232="","",IF(ABS(G232-H232)&lt;=$B$6*I232,"OK","NG"))</f>
        <v/>
      </c>
      <c r="L232">
        <f>IF(K232="","",IF(K232=D232,1,0))</f>
        <v/>
      </c>
      <c r="M232" t="inlineStr">
        <is>
          <t>N1</t>
        </is>
      </c>
      <c r="N232" s="15" t="n">
        <v>0.8018</v>
      </c>
      <c r="O232" s="15" t="n">
        <v>0.1982</v>
      </c>
      <c r="P232">
        <f>IF(M232="","",IF(M232=E232,1,0))</f>
        <v/>
      </c>
      <c r="Q232">
        <f>IF(K232="OK","-",IF(N232&lt;$B$7,"AMBIGUOUS","CONFIDENT"))</f>
        <v/>
      </c>
    </row>
    <row r="233">
      <c r="A233">
        <f>'Runs Z score'!A225</f>
        <v/>
      </c>
      <c r="B233">
        <f>'Runs Z score'!B225</f>
        <v/>
      </c>
      <c r="C233">
        <f>'Runs Z score'!C225</f>
        <v/>
      </c>
      <c r="D233">
        <f>'Runs Z score'!D225</f>
        <v/>
      </c>
      <c r="E233">
        <f>'Runs Z score'!E225</f>
        <v/>
      </c>
      <c r="F233">
        <f>'Runs Z score'!F225</f>
        <v/>
      </c>
      <c r="G233">
        <f>'Runs Z score'!G225</f>
        <v/>
      </c>
      <c r="H233">
        <f>VLOOKUP(C233,Recipes!$A$2:$N$4,10,FALSE())</f>
        <v/>
      </c>
      <c r="I233">
        <f>VLOOKUP(C233,Recipes!$A$2:$N$4,12,FALSE())</f>
        <v/>
      </c>
      <c r="J233">
        <f>IF(G233="","",H233-G233)</f>
        <v/>
      </c>
      <c r="K233">
        <f>IF(G233="","",IF(ABS(G233-H233)&lt;=$B$6*I233,"OK","NG"))</f>
        <v/>
      </c>
      <c r="L233">
        <f>IF(K233="","",IF(K233=D233,1,0))</f>
        <v/>
      </c>
      <c r="M233" t="inlineStr">
        <is>
          <t>N1</t>
        </is>
      </c>
      <c r="N233" s="15" t="n">
        <v>0.9327</v>
      </c>
      <c r="O233" s="15" t="n">
        <v>0.0673</v>
      </c>
      <c r="P233">
        <f>IF(M233="","",IF(M233=E233,1,0))</f>
        <v/>
      </c>
      <c r="Q233">
        <f>IF(K233="OK","-",IF(N233&lt;$B$7,"AMBIGUOUS","CONFIDENT"))</f>
        <v/>
      </c>
    </row>
    <row r="234">
      <c r="A234">
        <f>'Runs Z score'!A226</f>
        <v/>
      </c>
      <c r="B234">
        <f>'Runs Z score'!B226</f>
        <v/>
      </c>
      <c r="C234">
        <f>'Runs Z score'!C226</f>
        <v/>
      </c>
      <c r="D234">
        <f>'Runs Z score'!D226</f>
        <v/>
      </c>
      <c r="E234">
        <f>'Runs Z score'!E226</f>
        <v/>
      </c>
      <c r="F234">
        <f>'Runs Z score'!F226</f>
        <v/>
      </c>
      <c r="G234">
        <f>'Runs Z score'!G226</f>
        <v/>
      </c>
      <c r="H234">
        <f>VLOOKUP(C234,Recipes!$A$2:$N$4,10,FALSE())</f>
        <v/>
      </c>
      <c r="I234">
        <f>VLOOKUP(C234,Recipes!$A$2:$N$4,12,FALSE())</f>
        <v/>
      </c>
      <c r="J234">
        <f>IF(G234="","",H234-G234)</f>
        <v/>
      </c>
      <c r="K234">
        <f>IF(G234="","",IF(ABS(G234-H234)&lt;=$B$6*I234,"OK","NG"))</f>
        <v/>
      </c>
      <c r="L234">
        <f>IF(K234="","",IF(K234=D234,1,0))</f>
        <v/>
      </c>
      <c r="M234" t="inlineStr">
        <is>
          <t>N1</t>
        </is>
      </c>
      <c r="N234" s="15" t="n">
        <v>0.9927</v>
      </c>
      <c r="O234" s="15" t="n">
        <v>0.0073</v>
      </c>
      <c r="P234">
        <f>IF(M234="","",IF(M234=E234,1,0))</f>
        <v/>
      </c>
      <c r="Q234">
        <f>IF(K234="OK","-",IF(N234&lt;$B$7,"AMBIGUOUS","CONFIDENT"))</f>
        <v/>
      </c>
    </row>
    <row r="235">
      <c r="A235">
        <f>'Runs Z score'!A227</f>
        <v/>
      </c>
      <c r="B235">
        <f>'Runs Z score'!B227</f>
        <v/>
      </c>
      <c r="C235">
        <f>'Runs Z score'!C227</f>
        <v/>
      </c>
      <c r="D235">
        <f>'Runs Z score'!D227</f>
        <v/>
      </c>
      <c r="E235">
        <f>'Runs Z score'!E227</f>
        <v/>
      </c>
      <c r="F235">
        <f>'Runs Z score'!F227</f>
        <v/>
      </c>
      <c r="G235">
        <f>'Runs Z score'!G227</f>
        <v/>
      </c>
      <c r="H235">
        <f>VLOOKUP(C235,Recipes!$A$2:$N$4,10,FALSE())</f>
        <v/>
      </c>
      <c r="I235">
        <f>VLOOKUP(C235,Recipes!$A$2:$N$4,12,FALSE())</f>
        <v/>
      </c>
      <c r="J235">
        <f>IF(G235="","",H235-G235)</f>
        <v/>
      </c>
      <c r="K235">
        <f>IF(G235="","",IF(ABS(G235-H235)&lt;=$B$6*I235,"OK","NG"))</f>
        <v/>
      </c>
      <c r="L235">
        <f>IF(K235="","",IF(K235=D235,1,0))</f>
        <v/>
      </c>
      <c r="M235" t="inlineStr">
        <is>
          <t>N1</t>
        </is>
      </c>
      <c r="N235" s="15" t="n">
        <v>0.9994</v>
      </c>
      <c r="O235" s="15" t="n">
        <v>0.0005999999999999999</v>
      </c>
      <c r="P235">
        <f>IF(M235="","",IF(M235=E235,1,0))</f>
        <v/>
      </c>
      <c r="Q235">
        <f>IF(K235="OK","-",IF(N235&lt;$B$7,"AMBIGUOUS","CONFIDENT"))</f>
        <v/>
      </c>
    </row>
    <row r="236">
      <c r="A236">
        <f>'Runs Z score'!A228</f>
        <v/>
      </c>
      <c r="B236">
        <f>'Runs Z score'!B228</f>
        <v/>
      </c>
      <c r="C236">
        <f>'Runs Z score'!C228</f>
        <v/>
      </c>
      <c r="D236">
        <f>'Runs Z score'!D228</f>
        <v/>
      </c>
      <c r="E236">
        <f>'Runs Z score'!E228</f>
        <v/>
      </c>
      <c r="F236">
        <f>'Runs Z score'!F228</f>
        <v/>
      </c>
      <c r="G236">
        <f>'Runs Z score'!G228</f>
        <v/>
      </c>
      <c r="H236">
        <f>VLOOKUP(C236,Recipes!$A$2:$N$4,10,FALSE())</f>
        <v/>
      </c>
      <c r="I236">
        <f>VLOOKUP(C236,Recipes!$A$2:$N$4,12,FALSE())</f>
        <v/>
      </c>
      <c r="J236">
        <f>IF(G236="","",H236-G236)</f>
        <v/>
      </c>
      <c r="K236">
        <f>IF(G236="","",IF(ABS(G236-H236)&lt;=$B$6*I236,"OK","NG"))</f>
        <v/>
      </c>
      <c r="L236">
        <f>IF(K236="","",IF(K236=D236,1,0))</f>
        <v/>
      </c>
      <c r="M236" t="inlineStr">
        <is>
          <t>N1</t>
        </is>
      </c>
      <c r="N236" s="15" t="n">
        <v>0.9787</v>
      </c>
      <c r="O236" s="15" t="n">
        <v>0.0213</v>
      </c>
      <c r="P236">
        <f>IF(M236="","",IF(M236=E236,1,0))</f>
        <v/>
      </c>
      <c r="Q236">
        <f>IF(K236="OK","-",IF(N236&lt;$B$7,"AMBIGUOUS","CONFIDENT"))</f>
        <v/>
      </c>
    </row>
    <row r="237">
      <c r="A237">
        <f>'Runs Z score'!A229</f>
        <v/>
      </c>
      <c r="B237">
        <f>'Runs Z score'!B229</f>
        <v/>
      </c>
      <c r="C237">
        <f>'Runs Z score'!C229</f>
        <v/>
      </c>
      <c r="D237">
        <f>'Runs Z score'!D229</f>
        <v/>
      </c>
      <c r="E237">
        <f>'Runs Z score'!E229</f>
        <v/>
      </c>
      <c r="F237">
        <f>'Runs Z score'!F229</f>
        <v/>
      </c>
      <c r="G237">
        <f>'Runs Z score'!G229</f>
        <v/>
      </c>
      <c r="H237">
        <f>VLOOKUP(C237,Recipes!$A$2:$N$4,10,FALSE())</f>
        <v/>
      </c>
      <c r="I237">
        <f>VLOOKUP(C237,Recipes!$A$2:$N$4,12,FALSE())</f>
        <v/>
      </c>
      <c r="J237">
        <f>IF(G237="","",H237-G237)</f>
        <v/>
      </c>
      <c r="K237">
        <f>IF(G237="","",IF(ABS(G237-H237)&lt;=$B$6*I237,"OK","NG"))</f>
        <v/>
      </c>
      <c r="L237">
        <f>IF(K237="","",IF(K237=D237,1,0))</f>
        <v/>
      </c>
      <c r="M237" t="inlineStr">
        <is>
          <t>N1</t>
        </is>
      </c>
      <c r="N237" s="15" t="n">
        <v>0.9954</v>
      </c>
      <c r="O237" s="15" t="n">
        <v>0.0046</v>
      </c>
      <c r="P237">
        <f>IF(M237="","",IF(M237=E237,1,0))</f>
        <v/>
      </c>
      <c r="Q237">
        <f>IF(K237="OK","-",IF(N237&lt;$B$7,"AMBIGUOUS","CONFIDENT"))</f>
        <v/>
      </c>
    </row>
    <row r="238">
      <c r="A238">
        <f>'Runs Z score'!A230</f>
        <v/>
      </c>
      <c r="B238">
        <f>'Runs Z score'!B230</f>
        <v/>
      </c>
      <c r="C238">
        <f>'Runs Z score'!C230</f>
        <v/>
      </c>
      <c r="D238">
        <f>'Runs Z score'!D230</f>
        <v/>
      </c>
      <c r="E238">
        <f>'Runs Z score'!E230</f>
        <v/>
      </c>
      <c r="F238">
        <f>'Runs Z score'!F230</f>
        <v/>
      </c>
      <c r="G238">
        <f>'Runs Z score'!G230</f>
        <v/>
      </c>
      <c r="H238">
        <f>VLOOKUP(C238,Recipes!$A$2:$N$4,10,FALSE())</f>
        <v/>
      </c>
      <c r="I238">
        <f>VLOOKUP(C238,Recipes!$A$2:$N$4,12,FALSE())</f>
        <v/>
      </c>
      <c r="J238">
        <f>IF(G238="","",H238-G238)</f>
        <v/>
      </c>
      <c r="K238">
        <f>IF(G238="","",IF(ABS(G238-H238)&lt;=$B$6*I238,"OK","NG"))</f>
        <v/>
      </c>
      <c r="L238">
        <f>IF(K238="","",IF(K238=D238,1,0))</f>
        <v/>
      </c>
      <c r="M238" t="inlineStr">
        <is>
          <t>N1</t>
        </is>
      </c>
      <c r="N238" s="15" t="n">
        <v>0.982</v>
      </c>
      <c r="O238" s="15" t="n">
        <v>0.018</v>
      </c>
      <c r="P238">
        <f>IF(M238="","",IF(M238=E238,1,0))</f>
        <v/>
      </c>
      <c r="Q238">
        <f>IF(K238="OK","-",IF(N238&lt;$B$7,"AMBIGUOUS","CONFIDENT"))</f>
        <v/>
      </c>
    </row>
    <row r="239">
      <c r="A239">
        <f>'Runs Z score'!A231</f>
        <v/>
      </c>
      <c r="B239">
        <f>'Runs Z score'!B231</f>
        <v/>
      </c>
      <c r="C239">
        <f>'Runs Z score'!C231</f>
        <v/>
      </c>
      <c r="D239">
        <f>'Runs Z score'!D231</f>
        <v/>
      </c>
      <c r="E239">
        <f>'Runs Z score'!E231</f>
        <v/>
      </c>
      <c r="F239">
        <f>'Runs Z score'!F231</f>
        <v/>
      </c>
      <c r="G239">
        <f>'Runs Z score'!G231</f>
        <v/>
      </c>
      <c r="H239">
        <f>VLOOKUP(C239,Recipes!$A$2:$N$4,10,FALSE())</f>
        <v/>
      </c>
      <c r="I239">
        <f>VLOOKUP(C239,Recipes!$A$2:$N$4,12,FALSE())</f>
        <v/>
      </c>
      <c r="J239">
        <f>IF(G239="","",H239-G239)</f>
        <v/>
      </c>
      <c r="K239">
        <f>IF(G239="","",IF(ABS(G239-H239)&lt;=$B$6*I239,"OK","NG"))</f>
        <v/>
      </c>
      <c r="L239">
        <f>IF(K239="","",IF(K239=D239,1,0))</f>
        <v/>
      </c>
      <c r="M239" t="inlineStr">
        <is>
          <t>N1</t>
        </is>
      </c>
      <c r="N239" s="15" t="n">
        <v>0.9996</v>
      </c>
      <c r="O239" s="15" t="n">
        <v>0.0004</v>
      </c>
      <c r="P239">
        <f>IF(M239="","",IF(M239=E239,1,0))</f>
        <v/>
      </c>
      <c r="Q239">
        <f>IF(K239="OK","-",IF(N239&lt;$B$7,"AMBIGUOUS","CONFIDENT"))</f>
        <v/>
      </c>
    </row>
    <row r="240">
      <c r="A240">
        <f>'Runs Z score'!A232</f>
        <v/>
      </c>
      <c r="B240">
        <f>'Runs Z score'!B232</f>
        <v/>
      </c>
      <c r="C240">
        <f>'Runs Z score'!C232</f>
        <v/>
      </c>
      <c r="D240">
        <f>'Runs Z score'!D232</f>
        <v/>
      </c>
      <c r="E240">
        <f>'Runs Z score'!E232</f>
        <v/>
      </c>
      <c r="F240">
        <f>'Runs Z score'!F232</f>
        <v/>
      </c>
      <c r="G240">
        <f>'Runs Z score'!G232</f>
        <v/>
      </c>
      <c r="H240">
        <f>VLOOKUP(C240,Recipes!$A$2:$N$4,10,FALSE())</f>
        <v/>
      </c>
      <c r="I240">
        <f>VLOOKUP(C240,Recipes!$A$2:$N$4,12,FALSE())</f>
        <v/>
      </c>
      <c r="J240">
        <f>IF(G240="","",H240-G240)</f>
        <v/>
      </c>
      <c r="K240">
        <f>IF(G240="","",IF(ABS(G240-H240)&lt;=$B$6*I240,"OK","NG"))</f>
        <v/>
      </c>
      <c r="L240">
        <f>IF(K240="","",IF(K240=D240,1,0))</f>
        <v/>
      </c>
      <c r="M240" t="inlineStr">
        <is>
          <t>N1</t>
        </is>
      </c>
      <c r="N240" s="15" t="n">
        <v>0.9881</v>
      </c>
      <c r="O240" s="15" t="n">
        <v>0.0119</v>
      </c>
      <c r="P240">
        <f>IF(M240="","",IF(M240=E240,1,0))</f>
        <v/>
      </c>
      <c r="Q240">
        <f>IF(K240="OK","-",IF(N240&lt;$B$7,"AMBIGUOUS","CONFIDENT"))</f>
        <v/>
      </c>
    </row>
    <row r="241">
      <c r="A241">
        <f>'Runs Z score'!A233</f>
        <v/>
      </c>
      <c r="B241">
        <f>'Runs Z score'!B233</f>
        <v/>
      </c>
      <c r="C241">
        <f>'Runs Z score'!C233</f>
        <v/>
      </c>
      <c r="D241">
        <f>'Runs Z score'!D233</f>
        <v/>
      </c>
      <c r="E241">
        <f>'Runs Z score'!E233</f>
        <v/>
      </c>
      <c r="F241">
        <f>'Runs Z score'!F233</f>
        <v/>
      </c>
      <c r="G241">
        <f>'Runs Z score'!G233</f>
        <v/>
      </c>
      <c r="H241">
        <f>VLOOKUP(C241,Recipes!$A$2:$N$4,10,FALSE())</f>
        <v/>
      </c>
      <c r="I241">
        <f>VLOOKUP(C241,Recipes!$A$2:$N$4,12,FALSE())</f>
        <v/>
      </c>
      <c r="J241">
        <f>IF(G241="","",H241-G241)</f>
        <v/>
      </c>
      <c r="K241">
        <f>IF(G241="","",IF(ABS(G241-H241)&lt;=$B$6*I241,"OK","NG"))</f>
        <v/>
      </c>
      <c r="L241">
        <f>IF(K241="","",IF(K241=D241,1,0))</f>
        <v/>
      </c>
      <c r="M241" t="inlineStr">
        <is>
          <t>N1</t>
        </is>
      </c>
      <c r="N241" s="15" t="n">
        <v>1</v>
      </c>
      <c r="O241" s="15" t="n">
        <v>0</v>
      </c>
      <c r="P241">
        <f>IF(M241="","",IF(M241=E241,1,0))</f>
        <v/>
      </c>
      <c r="Q241">
        <f>IF(K241="OK","-",IF(N241&lt;$B$7,"AMBIGUOUS","CONFIDENT"))</f>
        <v/>
      </c>
    </row>
    <row r="242">
      <c r="A242">
        <f>'Runs Z score'!A234</f>
        <v/>
      </c>
      <c r="B242">
        <f>'Runs Z score'!B234</f>
        <v/>
      </c>
      <c r="C242">
        <f>'Runs Z score'!C234</f>
        <v/>
      </c>
      <c r="D242">
        <f>'Runs Z score'!D234</f>
        <v/>
      </c>
      <c r="E242">
        <f>'Runs Z score'!E234</f>
        <v/>
      </c>
      <c r="F242">
        <f>'Runs Z score'!F234</f>
        <v/>
      </c>
      <c r="G242">
        <f>'Runs Z score'!G234</f>
        <v/>
      </c>
      <c r="H242">
        <f>VLOOKUP(C242,Recipes!$A$2:$N$4,10,FALSE())</f>
        <v/>
      </c>
      <c r="I242">
        <f>VLOOKUP(C242,Recipes!$A$2:$N$4,12,FALSE())</f>
        <v/>
      </c>
      <c r="J242">
        <f>IF(G242="","",H242-G242)</f>
        <v/>
      </c>
      <c r="K242">
        <f>IF(G242="","",IF(ABS(G242-H242)&lt;=$B$6*I242,"OK","NG"))</f>
        <v/>
      </c>
      <c r="L242">
        <f>IF(K242="","",IF(K242=D242,1,0))</f>
        <v/>
      </c>
      <c r="M242" t="inlineStr">
        <is>
          <t>N1</t>
        </is>
      </c>
      <c r="N242" s="15" t="n">
        <v>0.9699</v>
      </c>
      <c r="O242" s="15" t="n">
        <v>0.0301</v>
      </c>
      <c r="P242">
        <f>IF(M242="","",IF(M242=E242,1,0))</f>
        <v/>
      </c>
      <c r="Q242">
        <f>IF(K242="OK","-",IF(N242&lt;$B$7,"AMBIGUOUS","CONFIDENT"))</f>
        <v/>
      </c>
    </row>
    <row r="243">
      <c r="A243">
        <f>'Runs Z score'!A235</f>
        <v/>
      </c>
      <c r="B243">
        <f>'Runs Z score'!B235</f>
        <v/>
      </c>
      <c r="C243">
        <f>'Runs Z score'!C235</f>
        <v/>
      </c>
      <c r="D243">
        <f>'Runs Z score'!D235</f>
        <v/>
      </c>
      <c r="E243">
        <f>'Runs Z score'!E235</f>
        <v/>
      </c>
      <c r="F243">
        <f>'Runs Z score'!F235</f>
        <v/>
      </c>
      <c r="G243">
        <f>'Runs Z score'!G235</f>
        <v/>
      </c>
      <c r="H243">
        <f>VLOOKUP(C243,Recipes!$A$2:$N$4,10,FALSE())</f>
        <v/>
      </c>
      <c r="I243">
        <f>VLOOKUP(C243,Recipes!$A$2:$N$4,12,FALSE())</f>
        <v/>
      </c>
      <c r="J243">
        <f>IF(G243="","",H243-G243)</f>
        <v/>
      </c>
      <c r="K243">
        <f>IF(G243="","",IF(ABS(G243-H243)&lt;=$B$6*I243,"OK","NG"))</f>
        <v/>
      </c>
      <c r="L243">
        <f>IF(K243="","",IF(K243=D243,1,0))</f>
        <v/>
      </c>
      <c r="M243" t="inlineStr">
        <is>
          <t>N1</t>
        </is>
      </c>
      <c r="N243" s="15" t="n">
        <v>0.9888</v>
      </c>
      <c r="O243" s="15" t="n">
        <v>0.0112</v>
      </c>
      <c r="P243">
        <f>IF(M243="","",IF(M243=E243,1,0))</f>
        <v/>
      </c>
      <c r="Q243">
        <f>IF(K243="OK","-",IF(N243&lt;$B$7,"AMBIGUOUS","CONFIDENT"))</f>
        <v/>
      </c>
    </row>
    <row r="244">
      <c r="A244">
        <f>'Runs Z score'!A236</f>
        <v/>
      </c>
      <c r="B244">
        <f>'Runs Z score'!B236</f>
        <v/>
      </c>
      <c r="C244">
        <f>'Runs Z score'!C236</f>
        <v/>
      </c>
      <c r="D244">
        <f>'Runs Z score'!D236</f>
        <v/>
      </c>
      <c r="E244">
        <f>'Runs Z score'!E236</f>
        <v/>
      </c>
      <c r="F244">
        <f>'Runs Z score'!F236</f>
        <v/>
      </c>
      <c r="G244">
        <f>'Runs Z score'!G236</f>
        <v/>
      </c>
      <c r="H244">
        <f>VLOOKUP(C244,Recipes!$A$2:$N$4,10,FALSE())</f>
        <v/>
      </c>
      <c r="I244">
        <f>VLOOKUP(C244,Recipes!$A$2:$N$4,12,FALSE())</f>
        <v/>
      </c>
      <c r="J244">
        <f>IF(G244="","",H244-G244)</f>
        <v/>
      </c>
      <c r="K244">
        <f>IF(G244="","",IF(ABS(G244-H244)&lt;=$B$6*I244,"OK","NG"))</f>
        <v/>
      </c>
      <c r="L244">
        <f>IF(K244="","",IF(K244=D244,1,0))</f>
        <v/>
      </c>
      <c r="M244" t="inlineStr">
        <is>
          <t>N1</t>
        </is>
      </c>
      <c r="N244" s="15" t="n">
        <v>0.9812</v>
      </c>
      <c r="O244" s="15" t="n">
        <v>0.0188</v>
      </c>
      <c r="P244">
        <f>IF(M244="","",IF(M244=E244,1,0))</f>
        <v/>
      </c>
      <c r="Q244">
        <f>IF(K244="OK","-",IF(N244&lt;$B$7,"AMBIGUOUS","CONFIDENT"))</f>
        <v/>
      </c>
    </row>
    <row r="245">
      <c r="A245">
        <f>'Runs Z score'!A237</f>
        <v/>
      </c>
      <c r="B245">
        <f>'Runs Z score'!B237</f>
        <v/>
      </c>
      <c r="C245">
        <f>'Runs Z score'!C237</f>
        <v/>
      </c>
      <c r="D245">
        <f>'Runs Z score'!D237</f>
        <v/>
      </c>
      <c r="E245">
        <f>'Runs Z score'!E237</f>
        <v/>
      </c>
      <c r="F245">
        <f>'Runs Z score'!F237</f>
        <v/>
      </c>
      <c r="G245">
        <f>'Runs Z score'!G237</f>
        <v/>
      </c>
      <c r="H245">
        <f>VLOOKUP(C245,Recipes!$A$2:$N$4,10,FALSE())</f>
        <v/>
      </c>
      <c r="I245">
        <f>VLOOKUP(C245,Recipes!$A$2:$N$4,12,FALSE())</f>
        <v/>
      </c>
      <c r="J245">
        <f>IF(G245="","",H245-G245)</f>
        <v/>
      </c>
      <c r="K245">
        <f>IF(G245="","",IF(ABS(G245-H245)&lt;=$B$6*I245,"OK","NG"))</f>
        <v/>
      </c>
      <c r="L245">
        <f>IF(K245="","",IF(K245=D245,1,0))</f>
        <v/>
      </c>
      <c r="M245" t="inlineStr">
        <is>
          <t>N1</t>
        </is>
      </c>
      <c r="N245" s="15" t="n">
        <v>0.9989</v>
      </c>
      <c r="O245" s="15" t="n">
        <v>0.0011</v>
      </c>
      <c r="P245">
        <f>IF(M245="","",IF(M245=E245,1,0))</f>
        <v/>
      </c>
      <c r="Q245">
        <f>IF(K245="OK","-",IF(N245&lt;$B$7,"AMBIGUOUS","CONFIDENT"))</f>
        <v/>
      </c>
    </row>
    <row r="246">
      <c r="A246">
        <f>'Runs Z score'!A238</f>
        <v/>
      </c>
      <c r="B246">
        <f>'Runs Z score'!B238</f>
        <v/>
      </c>
      <c r="C246">
        <f>'Runs Z score'!C238</f>
        <v/>
      </c>
      <c r="D246">
        <f>'Runs Z score'!D238</f>
        <v/>
      </c>
      <c r="E246">
        <f>'Runs Z score'!E238</f>
        <v/>
      </c>
      <c r="F246">
        <f>'Runs Z score'!F238</f>
        <v/>
      </c>
      <c r="G246">
        <f>'Runs Z score'!G238</f>
        <v/>
      </c>
      <c r="H246">
        <f>VLOOKUP(C246,Recipes!$A$2:$N$4,10,FALSE())</f>
        <v/>
      </c>
      <c r="I246">
        <f>VLOOKUP(C246,Recipes!$A$2:$N$4,12,FALSE())</f>
        <v/>
      </c>
      <c r="J246">
        <f>IF(G246="","",H246-G246)</f>
        <v/>
      </c>
      <c r="K246">
        <f>IF(G246="","",IF(ABS(G246-H246)&lt;=$B$6*I246,"OK","NG"))</f>
        <v/>
      </c>
      <c r="L246">
        <f>IF(K246="","",IF(K246=D246,1,0))</f>
        <v/>
      </c>
      <c r="M246" t="inlineStr">
        <is>
          <t>N1</t>
        </is>
      </c>
      <c r="N246" s="15" t="n">
        <v>0.9711</v>
      </c>
      <c r="O246" s="15" t="n">
        <v>0.0289</v>
      </c>
      <c r="P246">
        <f>IF(M246="","",IF(M246=E246,1,0))</f>
        <v/>
      </c>
      <c r="Q246">
        <f>IF(K246="OK","-",IF(N246&lt;$B$7,"AMBIGUOUS","CONFIDENT"))</f>
        <v/>
      </c>
    </row>
    <row r="247">
      <c r="A247">
        <f>'Runs Z score'!A239</f>
        <v/>
      </c>
      <c r="B247">
        <f>'Runs Z score'!B239</f>
        <v/>
      </c>
      <c r="C247">
        <f>'Runs Z score'!C239</f>
        <v/>
      </c>
      <c r="D247">
        <f>'Runs Z score'!D239</f>
        <v/>
      </c>
      <c r="E247">
        <f>'Runs Z score'!E239</f>
        <v/>
      </c>
      <c r="F247">
        <f>'Runs Z score'!F239</f>
        <v/>
      </c>
      <c r="G247">
        <f>'Runs Z score'!G239</f>
        <v/>
      </c>
      <c r="H247">
        <f>VLOOKUP(C247,Recipes!$A$2:$N$4,10,FALSE())</f>
        <v/>
      </c>
      <c r="I247">
        <f>VLOOKUP(C247,Recipes!$A$2:$N$4,12,FALSE())</f>
        <v/>
      </c>
      <c r="J247">
        <f>IF(G247="","",H247-G247)</f>
        <v/>
      </c>
      <c r="K247">
        <f>IF(G247="","",IF(ABS(G247-H247)&lt;=$B$6*I247,"OK","NG"))</f>
        <v/>
      </c>
      <c r="L247">
        <f>IF(K247="","",IF(K247=D247,1,0))</f>
        <v/>
      </c>
      <c r="M247" t="inlineStr">
        <is>
          <t>N1</t>
        </is>
      </c>
      <c r="N247" s="15" t="n">
        <v>0.9516</v>
      </c>
      <c r="O247" s="15" t="n">
        <v>0.0484</v>
      </c>
      <c r="P247">
        <f>IF(M247="","",IF(M247=E247,1,0))</f>
        <v/>
      </c>
      <c r="Q247">
        <f>IF(K247="OK","-",IF(N247&lt;$B$7,"AMBIGUOUS","CONFIDENT"))</f>
        <v/>
      </c>
    </row>
    <row r="248">
      <c r="A248">
        <f>'Runs Z score'!A240</f>
        <v/>
      </c>
      <c r="B248">
        <f>'Runs Z score'!B240</f>
        <v/>
      </c>
      <c r="C248">
        <f>'Runs Z score'!C240</f>
        <v/>
      </c>
      <c r="D248">
        <f>'Runs Z score'!D240</f>
        <v/>
      </c>
      <c r="E248">
        <f>'Runs Z score'!E240</f>
        <v/>
      </c>
      <c r="F248">
        <f>'Runs Z score'!F240</f>
        <v/>
      </c>
      <c r="G248">
        <f>'Runs Z score'!G240</f>
        <v/>
      </c>
      <c r="H248">
        <f>VLOOKUP(C248,Recipes!$A$2:$N$4,10,FALSE())</f>
        <v/>
      </c>
      <c r="I248">
        <f>VLOOKUP(C248,Recipes!$A$2:$N$4,12,FALSE())</f>
        <v/>
      </c>
      <c r="J248">
        <f>IF(G248="","",H248-G248)</f>
        <v/>
      </c>
      <c r="K248">
        <f>IF(G248="","",IF(ABS(G248-H248)&lt;=$B$6*I248,"OK","NG"))</f>
        <v/>
      </c>
      <c r="L248">
        <f>IF(K248="","",IF(K248=D248,1,0))</f>
        <v/>
      </c>
      <c r="M248" t="inlineStr">
        <is>
          <t>N1</t>
        </is>
      </c>
      <c r="N248" s="15" t="n">
        <v>0.9772</v>
      </c>
      <c r="O248" s="15" t="n">
        <v>0.0228</v>
      </c>
      <c r="P248">
        <f>IF(M248="","",IF(M248=E248,1,0))</f>
        <v/>
      </c>
      <c r="Q248">
        <f>IF(K248="OK","-",IF(N248&lt;$B$7,"AMBIGUOUS","CONFIDENT"))</f>
        <v/>
      </c>
    </row>
    <row r="249">
      <c r="A249">
        <f>'Runs Z score'!A241</f>
        <v/>
      </c>
      <c r="B249">
        <f>'Runs Z score'!B241</f>
        <v/>
      </c>
      <c r="C249">
        <f>'Runs Z score'!C241</f>
        <v/>
      </c>
      <c r="D249">
        <f>'Runs Z score'!D241</f>
        <v/>
      </c>
      <c r="E249">
        <f>'Runs Z score'!E241</f>
        <v/>
      </c>
      <c r="F249">
        <f>'Runs Z score'!F241</f>
        <v/>
      </c>
      <c r="G249">
        <f>'Runs Z score'!G241</f>
        <v/>
      </c>
      <c r="H249">
        <f>VLOOKUP(C249,Recipes!$A$2:$N$4,10,FALSE())</f>
        <v/>
      </c>
      <c r="I249">
        <f>VLOOKUP(C249,Recipes!$A$2:$N$4,12,FALSE())</f>
        <v/>
      </c>
      <c r="J249">
        <f>IF(G249="","",H249-G249)</f>
        <v/>
      </c>
      <c r="K249">
        <f>IF(G249="","",IF(ABS(G249-H249)&lt;=$B$6*I249,"OK","NG"))</f>
        <v/>
      </c>
      <c r="L249">
        <f>IF(K249="","",IF(K249=D249,1,0))</f>
        <v/>
      </c>
      <c r="M249" t="inlineStr">
        <is>
          <t>N1</t>
        </is>
      </c>
      <c r="N249" s="15" t="n">
        <v>0.9772</v>
      </c>
      <c r="O249" s="15" t="n">
        <v>0.0228</v>
      </c>
      <c r="P249">
        <f>IF(M249="","",IF(M249=E249,1,0))</f>
        <v/>
      </c>
      <c r="Q249">
        <f>IF(K249="OK","-",IF(N249&lt;$B$7,"AMBIGUOUS","CONFIDENT"))</f>
        <v/>
      </c>
    </row>
    <row r="250">
      <c r="A250">
        <f>'Runs Z score'!A242</f>
        <v/>
      </c>
      <c r="B250">
        <f>'Runs Z score'!B242</f>
        <v/>
      </c>
      <c r="C250">
        <f>'Runs Z score'!C242</f>
        <v/>
      </c>
      <c r="D250">
        <f>'Runs Z score'!D242</f>
        <v/>
      </c>
      <c r="E250">
        <f>'Runs Z score'!E242</f>
        <v/>
      </c>
      <c r="F250">
        <f>'Runs Z score'!F242</f>
        <v/>
      </c>
      <c r="G250">
        <f>'Runs Z score'!G242</f>
        <v/>
      </c>
      <c r="H250">
        <f>VLOOKUP(C250,Recipes!$A$2:$N$4,10,FALSE())</f>
        <v/>
      </c>
      <c r="I250">
        <f>VLOOKUP(C250,Recipes!$A$2:$N$4,12,FALSE())</f>
        <v/>
      </c>
      <c r="J250">
        <f>IF(G250="","",H250-G250)</f>
        <v/>
      </c>
      <c r="K250">
        <f>IF(G250="","",IF(ABS(G250-H250)&lt;=$B$6*I250,"OK","NG"))</f>
        <v/>
      </c>
      <c r="L250">
        <f>IF(K250="","",IF(K250=D250,1,0))</f>
        <v/>
      </c>
      <c r="M250" t="inlineStr">
        <is>
          <t>N1</t>
        </is>
      </c>
      <c r="N250" s="15" t="n">
        <v>0.9612000000000001</v>
      </c>
      <c r="O250" s="15" t="n">
        <v>0.0388</v>
      </c>
      <c r="P250">
        <f>IF(M250="","",IF(M250=E250,1,0))</f>
        <v/>
      </c>
      <c r="Q250">
        <f>IF(K250="OK","-",IF(N250&lt;$B$7,"AMBIGUOUS","CONFIDENT"))</f>
        <v/>
      </c>
    </row>
    <row r="251">
      <c r="A251">
        <f>'Runs Z score'!A243</f>
        <v/>
      </c>
      <c r="B251">
        <f>'Runs Z score'!B243</f>
        <v/>
      </c>
      <c r="C251">
        <f>'Runs Z score'!C243</f>
        <v/>
      </c>
      <c r="D251">
        <f>'Runs Z score'!D243</f>
        <v/>
      </c>
      <c r="E251">
        <f>'Runs Z score'!E243</f>
        <v/>
      </c>
      <c r="F251">
        <f>'Runs Z score'!F243</f>
        <v/>
      </c>
      <c r="G251">
        <f>'Runs Z score'!G243</f>
        <v/>
      </c>
      <c r="H251">
        <f>VLOOKUP(C251,Recipes!$A$2:$N$4,10,FALSE())</f>
        <v/>
      </c>
      <c r="I251">
        <f>VLOOKUP(C251,Recipes!$A$2:$N$4,12,FALSE())</f>
        <v/>
      </c>
      <c r="J251">
        <f>IF(G251="","",H251-G251)</f>
        <v/>
      </c>
      <c r="K251">
        <f>IF(G251="","",IF(ABS(G251-H251)&lt;=$B$6*I251,"OK","NG"))</f>
        <v/>
      </c>
      <c r="L251">
        <f>IF(K251="","",IF(K251=D251,1,0))</f>
        <v/>
      </c>
      <c r="M251" t="inlineStr">
        <is>
          <t>S2</t>
        </is>
      </c>
      <c r="N251" s="15" t="n">
        <v>1</v>
      </c>
      <c r="O251" s="15" t="n">
        <v>0</v>
      </c>
      <c r="P251">
        <f>IF(M251="","",IF(M251=E251,1,0))</f>
        <v/>
      </c>
      <c r="Q251">
        <f>IF(K251="OK","-",IF(N251&lt;$B$7,"AMBIGUOUS","CONFIDENT"))</f>
        <v/>
      </c>
    </row>
    <row r="252">
      <c r="A252">
        <f>'Runs Z score'!A244</f>
        <v/>
      </c>
      <c r="B252">
        <f>'Runs Z score'!B244</f>
        <v/>
      </c>
      <c r="C252">
        <f>'Runs Z score'!C244</f>
        <v/>
      </c>
      <c r="D252">
        <f>'Runs Z score'!D244</f>
        <v/>
      </c>
      <c r="E252">
        <f>'Runs Z score'!E244</f>
        <v/>
      </c>
      <c r="F252">
        <f>'Runs Z score'!F244</f>
        <v/>
      </c>
      <c r="G252">
        <f>'Runs Z score'!G244</f>
        <v/>
      </c>
      <c r="H252">
        <f>VLOOKUP(C252,Recipes!$A$2:$N$4,10,FALSE())</f>
        <v/>
      </c>
      <c r="I252">
        <f>VLOOKUP(C252,Recipes!$A$2:$N$4,12,FALSE())</f>
        <v/>
      </c>
      <c r="J252">
        <f>IF(G252="","",H252-G252)</f>
        <v/>
      </c>
      <c r="K252">
        <f>IF(G252="","",IF(ABS(G252-H252)&lt;=$B$6*I252,"OK","NG"))</f>
        <v/>
      </c>
      <c r="L252">
        <f>IF(K252="","",IF(K252=D252,1,0))</f>
        <v/>
      </c>
      <c r="M252" t="inlineStr">
        <is>
          <t>S2</t>
        </is>
      </c>
      <c r="N252" s="15" t="n">
        <v>1</v>
      </c>
      <c r="O252" s="15" t="n">
        <v>0</v>
      </c>
      <c r="P252">
        <f>IF(M252="","",IF(M252=E252,1,0))</f>
        <v/>
      </c>
      <c r="Q252">
        <f>IF(K252="OK","-",IF(N252&lt;$B$7,"AMBIGUOUS","CONFIDENT"))</f>
        <v/>
      </c>
    </row>
    <row r="253">
      <c r="A253">
        <f>'Runs Z score'!A245</f>
        <v/>
      </c>
      <c r="B253">
        <f>'Runs Z score'!B245</f>
        <v/>
      </c>
      <c r="C253">
        <f>'Runs Z score'!C245</f>
        <v/>
      </c>
      <c r="D253">
        <f>'Runs Z score'!D245</f>
        <v/>
      </c>
      <c r="E253">
        <f>'Runs Z score'!E245</f>
        <v/>
      </c>
      <c r="F253">
        <f>'Runs Z score'!F245</f>
        <v/>
      </c>
      <c r="G253">
        <f>'Runs Z score'!G245</f>
        <v/>
      </c>
      <c r="H253">
        <f>VLOOKUP(C253,Recipes!$A$2:$N$4,10,FALSE())</f>
        <v/>
      </c>
      <c r="I253">
        <f>VLOOKUP(C253,Recipes!$A$2:$N$4,12,FALSE())</f>
        <v/>
      </c>
      <c r="J253">
        <f>IF(G253="","",H253-G253)</f>
        <v/>
      </c>
      <c r="K253">
        <f>IF(G253="","",IF(ABS(G253-H253)&lt;=$B$6*I253,"OK","NG"))</f>
        <v/>
      </c>
      <c r="L253">
        <f>IF(K253="","",IF(K253=D253,1,0))</f>
        <v/>
      </c>
      <c r="M253" t="inlineStr">
        <is>
          <t>S2</t>
        </is>
      </c>
      <c r="N253" s="15" t="n">
        <v>1</v>
      </c>
      <c r="O253" s="15" t="n">
        <v>0</v>
      </c>
      <c r="P253">
        <f>IF(M253="","",IF(M253=E253,1,0))</f>
        <v/>
      </c>
      <c r="Q253">
        <f>IF(K253="OK","-",IF(N253&lt;$B$7,"AMBIGUOUS","CONFIDENT"))</f>
        <v/>
      </c>
    </row>
    <row r="254">
      <c r="A254">
        <f>'Runs Z score'!A246</f>
        <v/>
      </c>
      <c r="B254">
        <f>'Runs Z score'!B246</f>
        <v/>
      </c>
      <c r="C254">
        <f>'Runs Z score'!C246</f>
        <v/>
      </c>
      <c r="D254">
        <f>'Runs Z score'!D246</f>
        <v/>
      </c>
      <c r="E254">
        <f>'Runs Z score'!E246</f>
        <v/>
      </c>
      <c r="F254">
        <f>'Runs Z score'!F246</f>
        <v/>
      </c>
      <c r="G254">
        <f>'Runs Z score'!G246</f>
        <v/>
      </c>
      <c r="H254">
        <f>VLOOKUP(C254,Recipes!$A$2:$N$4,10,FALSE())</f>
        <v/>
      </c>
      <c r="I254">
        <f>VLOOKUP(C254,Recipes!$A$2:$N$4,12,FALSE())</f>
        <v/>
      </c>
      <c r="J254">
        <f>IF(G254="","",H254-G254)</f>
        <v/>
      </c>
      <c r="K254">
        <f>IF(G254="","",IF(ABS(G254-H254)&lt;=$B$6*I254,"OK","NG"))</f>
        <v/>
      </c>
      <c r="L254">
        <f>IF(K254="","",IF(K254=D254,1,0))</f>
        <v/>
      </c>
      <c r="M254" t="inlineStr">
        <is>
          <t>S2</t>
        </is>
      </c>
      <c r="N254" s="15" t="n">
        <v>1</v>
      </c>
      <c r="O254" s="15" t="n">
        <v>0</v>
      </c>
      <c r="P254">
        <f>IF(M254="","",IF(M254=E254,1,0))</f>
        <v/>
      </c>
      <c r="Q254">
        <f>IF(K254="OK","-",IF(N254&lt;$B$7,"AMBIGUOUS","CONFIDENT"))</f>
        <v/>
      </c>
    </row>
    <row r="255">
      <c r="A255">
        <f>'Runs Z score'!A247</f>
        <v/>
      </c>
      <c r="B255">
        <f>'Runs Z score'!B247</f>
        <v/>
      </c>
      <c r="C255">
        <f>'Runs Z score'!C247</f>
        <v/>
      </c>
      <c r="D255">
        <f>'Runs Z score'!D247</f>
        <v/>
      </c>
      <c r="E255">
        <f>'Runs Z score'!E247</f>
        <v/>
      </c>
      <c r="F255">
        <f>'Runs Z score'!F247</f>
        <v/>
      </c>
      <c r="G255">
        <f>'Runs Z score'!G247</f>
        <v/>
      </c>
      <c r="H255">
        <f>VLOOKUP(C255,Recipes!$A$2:$N$4,10,FALSE())</f>
        <v/>
      </c>
      <c r="I255">
        <f>VLOOKUP(C255,Recipes!$A$2:$N$4,12,FALSE())</f>
        <v/>
      </c>
      <c r="J255">
        <f>IF(G255="","",H255-G255)</f>
        <v/>
      </c>
      <c r="K255">
        <f>IF(G255="","",IF(ABS(G255-H255)&lt;=$B$6*I255,"OK","NG"))</f>
        <v/>
      </c>
      <c r="L255">
        <f>IF(K255="","",IF(K255=D255,1,0))</f>
        <v/>
      </c>
      <c r="M255" t="inlineStr">
        <is>
          <t>S2</t>
        </is>
      </c>
      <c r="N255" s="15" t="n">
        <v>1</v>
      </c>
      <c r="O255" s="15" t="n">
        <v>0</v>
      </c>
      <c r="P255">
        <f>IF(M255="","",IF(M255=E255,1,0))</f>
        <v/>
      </c>
      <c r="Q255">
        <f>IF(K255="OK","-",IF(N255&lt;$B$7,"AMBIGUOUS","CONFIDENT"))</f>
        <v/>
      </c>
    </row>
    <row r="256">
      <c r="A256">
        <f>'Runs Z score'!A248</f>
        <v/>
      </c>
      <c r="B256">
        <f>'Runs Z score'!B248</f>
        <v/>
      </c>
      <c r="C256">
        <f>'Runs Z score'!C248</f>
        <v/>
      </c>
      <c r="D256">
        <f>'Runs Z score'!D248</f>
        <v/>
      </c>
      <c r="E256">
        <f>'Runs Z score'!E248</f>
        <v/>
      </c>
      <c r="F256">
        <f>'Runs Z score'!F248</f>
        <v/>
      </c>
      <c r="G256">
        <f>'Runs Z score'!G248</f>
        <v/>
      </c>
      <c r="H256">
        <f>VLOOKUP(C256,Recipes!$A$2:$N$4,10,FALSE())</f>
        <v/>
      </c>
      <c r="I256">
        <f>VLOOKUP(C256,Recipes!$A$2:$N$4,12,FALSE())</f>
        <v/>
      </c>
      <c r="J256">
        <f>IF(G256="","",H256-G256)</f>
        <v/>
      </c>
      <c r="K256">
        <f>IF(G256="","",IF(ABS(G256-H256)&lt;=$B$6*I256,"OK","NG"))</f>
        <v/>
      </c>
      <c r="L256">
        <f>IF(K256="","",IF(K256=D256,1,0))</f>
        <v/>
      </c>
      <c r="M256" t="inlineStr">
        <is>
          <t>S2</t>
        </is>
      </c>
      <c r="N256" s="15" t="n">
        <v>1</v>
      </c>
      <c r="O256" s="15" t="n">
        <v>0</v>
      </c>
      <c r="P256">
        <f>IF(M256="","",IF(M256=E256,1,0))</f>
        <v/>
      </c>
      <c r="Q256">
        <f>IF(K256="OK","-",IF(N256&lt;$B$7,"AMBIGUOUS","CONFIDENT"))</f>
        <v/>
      </c>
    </row>
    <row r="257">
      <c r="A257">
        <f>'Runs Z score'!A249</f>
        <v/>
      </c>
      <c r="B257">
        <f>'Runs Z score'!B249</f>
        <v/>
      </c>
      <c r="C257">
        <f>'Runs Z score'!C249</f>
        <v/>
      </c>
      <c r="D257">
        <f>'Runs Z score'!D249</f>
        <v/>
      </c>
      <c r="E257">
        <f>'Runs Z score'!E249</f>
        <v/>
      </c>
      <c r="F257">
        <f>'Runs Z score'!F249</f>
        <v/>
      </c>
      <c r="G257">
        <f>'Runs Z score'!G249</f>
        <v/>
      </c>
      <c r="H257">
        <f>VLOOKUP(C257,Recipes!$A$2:$N$4,10,FALSE())</f>
        <v/>
      </c>
      <c r="I257">
        <f>VLOOKUP(C257,Recipes!$A$2:$N$4,12,FALSE())</f>
        <v/>
      </c>
      <c r="J257">
        <f>IF(G257="","",H257-G257)</f>
        <v/>
      </c>
      <c r="K257">
        <f>IF(G257="","",IF(ABS(G257-H257)&lt;=$B$6*I257,"OK","NG"))</f>
        <v/>
      </c>
      <c r="L257">
        <f>IF(K257="","",IF(K257=D257,1,0))</f>
        <v/>
      </c>
      <c r="M257" t="inlineStr">
        <is>
          <t>S2</t>
        </is>
      </c>
      <c r="N257" s="15" t="n">
        <v>1</v>
      </c>
      <c r="O257" s="15" t="n">
        <v>0</v>
      </c>
      <c r="P257">
        <f>IF(M257="","",IF(M257=E257,1,0))</f>
        <v/>
      </c>
      <c r="Q257">
        <f>IF(K257="OK","-",IF(N257&lt;$B$7,"AMBIGUOUS","CONFIDENT"))</f>
        <v/>
      </c>
    </row>
    <row r="258">
      <c r="A258">
        <f>'Runs Z score'!A250</f>
        <v/>
      </c>
      <c r="B258">
        <f>'Runs Z score'!B250</f>
        <v/>
      </c>
      <c r="C258">
        <f>'Runs Z score'!C250</f>
        <v/>
      </c>
      <c r="D258">
        <f>'Runs Z score'!D250</f>
        <v/>
      </c>
      <c r="E258">
        <f>'Runs Z score'!E250</f>
        <v/>
      </c>
      <c r="F258">
        <f>'Runs Z score'!F250</f>
        <v/>
      </c>
      <c r="G258">
        <f>'Runs Z score'!G250</f>
        <v/>
      </c>
      <c r="H258">
        <f>VLOOKUP(C258,Recipes!$A$2:$N$4,10,FALSE())</f>
        <v/>
      </c>
      <c r="I258">
        <f>VLOOKUP(C258,Recipes!$A$2:$N$4,12,FALSE())</f>
        <v/>
      </c>
      <c r="J258">
        <f>IF(G258="","",H258-G258)</f>
        <v/>
      </c>
      <c r="K258">
        <f>IF(G258="","",IF(ABS(G258-H258)&lt;=$B$6*I258,"OK","NG"))</f>
        <v/>
      </c>
      <c r="L258">
        <f>IF(K258="","",IF(K258=D258,1,0))</f>
        <v/>
      </c>
      <c r="M258" t="inlineStr">
        <is>
          <t>S2</t>
        </is>
      </c>
      <c r="N258" s="15" t="n">
        <v>1</v>
      </c>
      <c r="O258" s="15" t="n">
        <v>0</v>
      </c>
      <c r="P258">
        <f>IF(M258="","",IF(M258=E258,1,0))</f>
        <v/>
      </c>
      <c r="Q258">
        <f>IF(K258="OK","-",IF(N258&lt;$B$7,"AMBIGUOUS","CONFIDENT"))</f>
        <v/>
      </c>
    </row>
    <row r="259">
      <c r="A259">
        <f>'Runs Z score'!A251</f>
        <v/>
      </c>
      <c r="B259">
        <f>'Runs Z score'!B251</f>
        <v/>
      </c>
      <c r="C259">
        <f>'Runs Z score'!C251</f>
        <v/>
      </c>
      <c r="D259">
        <f>'Runs Z score'!D251</f>
        <v/>
      </c>
      <c r="E259">
        <f>'Runs Z score'!E251</f>
        <v/>
      </c>
      <c r="F259">
        <f>'Runs Z score'!F251</f>
        <v/>
      </c>
      <c r="G259">
        <f>'Runs Z score'!G251</f>
        <v/>
      </c>
      <c r="H259">
        <f>VLOOKUP(C259,Recipes!$A$2:$N$4,10,FALSE())</f>
        <v/>
      </c>
      <c r="I259">
        <f>VLOOKUP(C259,Recipes!$A$2:$N$4,12,FALSE())</f>
        <v/>
      </c>
      <c r="J259">
        <f>IF(G259="","",H259-G259)</f>
        <v/>
      </c>
      <c r="K259">
        <f>IF(G259="","",IF(ABS(G259-H259)&lt;=$B$6*I259,"OK","NG"))</f>
        <v/>
      </c>
      <c r="L259">
        <f>IF(K259="","",IF(K259=D259,1,0))</f>
        <v/>
      </c>
      <c r="M259" t="inlineStr">
        <is>
          <t>S2</t>
        </is>
      </c>
      <c r="N259" s="15" t="n">
        <v>1</v>
      </c>
      <c r="O259" s="15" t="n">
        <v>0</v>
      </c>
      <c r="P259">
        <f>IF(M259="","",IF(M259=E259,1,0))</f>
        <v/>
      </c>
      <c r="Q259">
        <f>IF(K259="OK","-",IF(N259&lt;$B$7,"AMBIGUOUS","CONFIDENT"))</f>
        <v/>
      </c>
    </row>
    <row r="260">
      <c r="A260">
        <f>'Runs Z score'!A252</f>
        <v/>
      </c>
      <c r="B260">
        <f>'Runs Z score'!B252</f>
        <v/>
      </c>
      <c r="C260">
        <f>'Runs Z score'!C252</f>
        <v/>
      </c>
      <c r="D260">
        <f>'Runs Z score'!D252</f>
        <v/>
      </c>
      <c r="E260">
        <f>'Runs Z score'!E252</f>
        <v/>
      </c>
      <c r="F260">
        <f>'Runs Z score'!F252</f>
        <v/>
      </c>
      <c r="G260">
        <f>'Runs Z score'!G252</f>
        <v/>
      </c>
      <c r="H260">
        <f>VLOOKUP(C260,Recipes!$A$2:$N$4,10,FALSE())</f>
        <v/>
      </c>
      <c r="I260">
        <f>VLOOKUP(C260,Recipes!$A$2:$N$4,12,FALSE())</f>
        <v/>
      </c>
      <c r="J260">
        <f>IF(G260="","",H260-G260)</f>
        <v/>
      </c>
      <c r="K260">
        <f>IF(G260="","",IF(ABS(G260-H260)&lt;=$B$6*I260,"OK","NG"))</f>
        <v/>
      </c>
      <c r="L260">
        <f>IF(K260="","",IF(K260=D260,1,0))</f>
        <v/>
      </c>
      <c r="M260" t="inlineStr">
        <is>
          <t>S2</t>
        </is>
      </c>
      <c r="N260" s="15" t="n">
        <v>1</v>
      </c>
      <c r="O260" s="15" t="n">
        <v>0</v>
      </c>
      <c r="P260">
        <f>IF(M260="","",IF(M260=E260,1,0))</f>
        <v/>
      </c>
      <c r="Q260">
        <f>IF(K260="OK","-",IF(N260&lt;$B$7,"AMBIGUOUS","CONFIDENT"))</f>
        <v/>
      </c>
    </row>
    <row r="261">
      <c r="A261">
        <f>'Runs Z score'!A253</f>
        <v/>
      </c>
      <c r="B261">
        <f>'Runs Z score'!B253</f>
        <v/>
      </c>
      <c r="C261">
        <f>'Runs Z score'!C253</f>
        <v/>
      </c>
      <c r="D261">
        <f>'Runs Z score'!D253</f>
        <v/>
      </c>
      <c r="E261">
        <f>'Runs Z score'!E253</f>
        <v/>
      </c>
      <c r="F261">
        <f>'Runs Z score'!F253</f>
        <v/>
      </c>
      <c r="G261">
        <f>'Runs Z score'!G253</f>
        <v/>
      </c>
      <c r="H261">
        <f>VLOOKUP(C261,Recipes!$A$2:$N$4,10,FALSE())</f>
        <v/>
      </c>
      <c r="I261">
        <f>VLOOKUP(C261,Recipes!$A$2:$N$4,12,FALSE())</f>
        <v/>
      </c>
      <c r="J261">
        <f>IF(G261="","",H261-G261)</f>
        <v/>
      </c>
      <c r="K261">
        <f>IF(G261="","",IF(ABS(G261-H261)&lt;=$B$6*I261,"OK","NG"))</f>
        <v/>
      </c>
      <c r="L261">
        <f>IF(K261="","",IF(K261=D261,1,0))</f>
        <v/>
      </c>
      <c r="M261" t="inlineStr">
        <is>
          <t>S2</t>
        </is>
      </c>
      <c r="N261" s="15" t="n">
        <v>1</v>
      </c>
      <c r="O261" s="15" t="n">
        <v>0</v>
      </c>
      <c r="P261">
        <f>IF(M261="","",IF(M261=E261,1,0))</f>
        <v/>
      </c>
      <c r="Q261">
        <f>IF(K261="OK","-",IF(N261&lt;$B$7,"AMBIGUOUS","CONFIDENT"))</f>
        <v/>
      </c>
    </row>
    <row r="262">
      <c r="A262">
        <f>'Runs Z score'!A254</f>
        <v/>
      </c>
      <c r="B262">
        <f>'Runs Z score'!B254</f>
        <v/>
      </c>
      <c r="C262">
        <f>'Runs Z score'!C254</f>
        <v/>
      </c>
      <c r="D262">
        <f>'Runs Z score'!D254</f>
        <v/>
      </c>
      <c r="E262">
        <f>'Runs Z score'!E254</f>
        <v/>
      </c>
      <c r="F262">
        <f>'Runs Z score'!F254</f>
        <v/>
      </c>
      <c r="G262">
        <f>'Runs Z score'!G254</f>
        <v/>
      </c>
      <c r="H262">
        <f>VLOOKUP(C262,Recipes!$A$2:$N$4,10,FALSE())</f>
        <v/>
      </c>
      <c r="I262">
        <f>VLOOKUP(C262,Recipes!$A$2:$N$4,12,FALSE())</f>
        <v/>
      </c>
      <c r="J262">
        <f>IF(G262="","",H262-G262)</f>
        <v/>
      </c>
      <c r="K262">
        <f>IF(G262="","",IF(ABS(G262-H262)&lt;=$B$6*I262,"OK","NG"))</f>
        <v/>
      </c>
      <c r="L262">
        <f>IF(K262="","",IF(K262=D262,1,0))</f>
        <v/>
      </c>
      <c r="M262" t="inlineStr">
        <is>
          <t>S2</t>
        </is>
      </c>
      <c r="N262" s="15" t="n">
        <v>1</v>
      </c>
      <c r="O262" s="15" t="n">
        <v>0</v>
      </c>
      <c r="P262">
        <f>IF(M262="","",IF(M262=E262,1,0))</f>
        <v/>
      </c>
      <c r="Q262">
        <f>IF(K262="OK","-",IF(N262&lt;$B$7,"AMBIGUOUS","CONFIDENT"))</f>
        <v/>
      </c>
    </row>
    <row r="263">
      <c r="A263">
        <f>'Runs Z score'!A255</f>
        <v/>
      </c>
      <c r="B263">
        <f>'Runs Z score'!B255</f>
        <v/>
      </c>
      <c r="C263">
        <f>'Runs Z score'!C255</f>
        <v/>
      </c>
      <c r="D263">
        <f>'Runs Z score'!D255</f>
        <v/>
      </c>
      <c r="E263">
        <f>'Runs Z score'!E255</f>
        <v/>
      </c>
      <c r="F263">
        <f>'Runs Z score'!F255</f>
        <v/>
      </c>
      <c r="G263">
        <f>'Runs Z score'!G255</f>
        <v/>
      </c>
      <c r="H263">
        <f>VLOOKUP(C263,Recipes!$A$2:$N$4,10,FALSE())</f>
        <v/>
      </c>
      <c r="I263">
        <f>VLOOKUP(C263,Recipes!$A$2:$N$4,12,FALSE())</f>
        <v/>
      </c>
      <c r="J263">
        <f>IF(G263="","",H263-G263)</f>
        <v/>
      </c>
      <c r="K263">
        <f>IF(G263="","",IF(ABS(G263-H263)&lt;=$B$6*I263,"OK","NG"))</f>
        <v/>
      </c>
      <c r="L263">
        <f>IF(K263="","",IF(K263=D263,1,0))</f>
        <v/>
      </c>
      <c r="M263" t="inlineStr">
        <is>
          <t>S2</t>
        </is>
      </c>
      <c r="N263" s="15" t="n">
        <v>1</v>
      </c>
      <c r="O263" s="15" t="n">
        <v>0</v>
      </c>
      <c r="P263">
        <f>IF(M263="","",IF(M263=E263,1,0))</f>
        <v/>
      </c>
      <c r="Q263">
        <f>IF(K263="OK","-",IF(N263&lt;$B$7,"AMBIGUOUS","CONFIDENT"))</f>
        <v/>
      </c>
    </row>
    <row r="264">
      <c r="A264">
        <f>'Runs Z score'!A256</f>
        <v/>
      </c>
      <c r="B264">
        <f>'Runs Z score'!B256</f>
        <v/>
      </c>
      <c r="C264">
        <f>'Runs Z score'!C256</f>
        <v/>
      </c>
      <c r="D264">
        <f>'Runs Z score'!D256</f>
        <v/>
      </c>
      <c r="E264">
        <f>'Runs Z score'!E256</f>
        <v/>
      </c>
      <c r="F264">
        <f>'Runs Z score'!F256</f>
        <v/>
      </c>
      <c r="G264">
        <f>'Runs Z score'!G256</f>
        <v/>
      </c>
      <c r="H264">
        <f>VLOOKUP(C264,Recipes!$A$2:$N$4,10,FALSE())</f>
        <v/>
      </c>
      <c r="I264">
        <f>VLOOKUP(C264,Recipes!$A$2:$N$4,12,FALSE())</f>
        <v/>
      </c>
      <c r="J264">
        <f>IF(G264="","",H264-G264)</f>
        <v/>
      </c>
      <c r="K264">
        <f>IF(G264="","",IF(ABS(G264-H264)&lt;=$B$6*I264,"OK","NG"))</f>
        <v/>
      </c>
      <c r="L264">
        <f>IF(K264="","",IF(K264=D264,1,0))</f>
        <v/>
      </c>
      <c r="M264" t="inlineStr">
        <is>
          <t>S2</t>
        </is>
      </c>
      <c r="N264" s="15" t="n">
        <v>1</v>
      </c>
      <c r="O264" s="15" t="n">
        <v>0</v>
      </c>
      <c r="P264">
        <f>IF(M264="","",IF(M264=E264,1,0))</f>
        <v/>
      </c>
      <c r="Q264">
        <f>IF(K264="OK","-",IF(N264&lt;$B$7,"AMBIGUOUS","CONFIDENT"))</f>
        <v/>
      </c>
    </row>
    <row r="265">
      <c r="A265">
        <f>'Runs Z score'!A257</f>
        <v/>
      </c>
      <c r="B265">
        <f>'Runs Z score'!B257</f>
        <v/>
      </c>
      <c r="C265">
        <f>'Runs Z score'!C257</f>
        <v/>
      </c>
      <c r="D265">
        <f>'Runs Z score'!D257</f>
        <v/>
      </c>
      <c r="E265">
        <f>'Runs Z score'!E257</f>
        <v/>
      </c>
      <c r="F265">
        <f>'Runs Z score'!F257</f>
        <v/>
      </c>
      <c r="G265">
        <f>'Runs Z score'!G257</f>
        <v/>
      </c>
      <c r="H265">
        <f>VLOOKUP(C265,Recipes!$A$2:$N$4,10,FALSE())</f>
        <v/>
      </c>
      <c r="I265">
        <f>VLOOKUP(C265,Recipes!$A$2:$N$4,12,FALSE())</f>
        <v/>
      </c>
      <c r="J265">
        <f>IF(G265="","",H265-G265)</f>
        <v/>
      </c>
      <c r="K265">
        <f>IF(G265="","",IF(ABS(G265-H265)&lt;=$B$6*I265,"OK","NG"))</f>
        <v/>
      </c>
      <c r="L265">
        <f>IF(K265="","",IF(K265=D265,1,0))</f>
        <v/>
      </c>
      <c r="M265" t="inlineStr">
        <is>
          <t>S2</t>
        </is>
      </c>
      <c r="N265" s="15" t="n">
        <v>1</v>
      </c>
      <c r="O265" s="15" t="n">
        <v>0</v>
      </c>
      <c r="P265">
        <f>IF(M265="","",IF(M265=E265,1,0))</f>
        <v/>
      </c>
      <c r="Q265">
        <f>IF(K265="OK","-",IF(N265&lt;$B$7,"AMBIGUOUS","CONFIDENT"))</f>
        <v/>
      </c>
    </row>
    <row r="266">
      <c r="A266">
        <f>'Runs Z score'!A258</f>
        <v/>
      </c>
      <c r="B266">
        <f>'Runs Z score'!B258</f>
        <v/>
      </c>
      <c r="C266">
        <f>'Runs Z score'!C258</f>
        <v/>
      </c>
      <c r="D266">
        <f>'Runs Z score'!D258</f>
        <v/>
      </c>
      <c r="E266">
        <f>'Runs Z score'!E258</f>
        <v/>
      </c>
      <c r="F266">
        <f>'Runs Z score'!F258</f>
        <v/>
      </c>
      <c r="G266">
        <f>'Runs Z score'!G258</f>
        <v/>
      </c>
      <c r="H266">
        <f>VLOOKUP(C266,Recipes!$A$2:$N$4,10,FALSE())</f>
        <v/>
      </c>
      <c r="I266">
        <f>VLOOKUP(C266,Recipes!$A$2:$N$4,12,FALSE())</f>
        <v/>
      </c>
      <c r="J266">
        <f>IF(G266="","",H266-G266)</f>
        <v/>
      </c>
      <c r="K266">
        <f>IF(G266="","",IF(ABS(G266-H266)&lt;=$B$6*I266,"OK","NG"))</f>
        <v/>
      </c>
      <c r="L266">
        <f>IF(K266="","",IF(K266=D266,1,0))</f>
        <v/>
      </c>
      <c r="M266" t="inlineStr">
        <is>
          <t>S2</t>
        </is>
      </c>
      <c r="N266" s="15" t="n">
        <v>1</v>
      </c>
      <c r="O266" s="15" t="n">
        <v>0</v>
      </c>
      <c r="P266">
        <f>IF(M266="","",IF(M266=E266,1,0))</f>
        <v/>
      </c>
      <c r="Q266">
        <f>IF(K266="OK","-",IF(N266&lt;$B$7,"AMBIGUOUS","CONFIDENT"))</f>
        <v/>
      </c>
    </row>
    <row r="267">
      <c r="A267">
        <f>'Runs Z score'!A259</f>
        <v/>
      </c>
      <c r="B267">
        <f>'Runs Z score'!B259</f>
        <v/>
      </c>
      <c r="C267">
        <f>'Runs Z score'!C259</f>
        <v/>
      </c>
      <c r="D267">
        <f>'Runs Z score'!D259</f>
        <v/>
      </c>
      <c r="E267">
        <f>'Runs Z score'!E259</f>
        <v/>
      </c>
      <c r="F267">
        <f>'Runs Z score'!F259</f>
        <v/>
      </c>
      <c r="G267">
        <f>'Runs Z score'!G259</f>
        <v/>
      </c>
      <c r="H267">
        <f>VLOOKUP(C267,Recipes!$A$2:$N$4,10,FALSE())</f>
        <v/>
      </c>
      <c r="I267">
        <f>VLOOKUP(C267,Recipes!$A$2:$N$4,12,FALSE())</f>
        <v/>
      </c>
      <c r="J267">
        <f>IF(G267="","",H267-G267)</f>
        <v/>
      </c>
      <c r="K267">
        <f>IF(G267="","",IF(ABS(G267-H267)&lt;=$B$6*I267,"OK","NG"))</f>
        <v/>
      </c>
      <c r="L267">
        <f>IF(K267="","",IF(K267=D267,1,0))</f>
        <v/>
      </c>
      <c r="M267" t="inlineStr">
        <is>
          <t>S2</t>
        </is>
      </c>
      <c r="N267" s="15" t="n">
        <v>1</v>
      </c>
      <c r="O267" s="15" t="n">
        <v>0</v>
      </c>
      <c r="P267">
        <f>IF(M267="","",IF(M267=E267,1,0))</f>
        <v/>
      </c>
      <c r="Q267">
        <f>IF(K267="OK","-",IF(N267&lt;$B$7,"AMBIGUOUS","CONFIDENT"))</f>
        <v/>
      </c>
    </row>
    <row r="268">
      <c r="A268">
        <f>'Runs Z score'!A260</f>
        <v/>
      </c>
      <c r="B268">
        <f>'Runs Z score'!B260</f>
        <v/>
      </c>
      <c r="C268">
        <f>'Runs Z score'!C260</f>
        <v/>
      </c>
      <c r="D268">
        <f>'Runs Z score'!D260</f>
        <v/>
      </c>
      <c r="E268">
        <f>'Runs Z score'!E260</f>
        <v/>
      </c>
      <c r="F268">
        <f>'Runs Z score'!F260</f>
        <v/>
      </c>
      <c r="G268">
        <f>'Runs Z score'!G260</f>
        <v/>
      </c>
      <c r="H268">
        <f>VLOOKUP(C268,Recipes!$A$2:$N$4,10,FALSE())</f>
        <v/>
      </c>
      <c r="I268">
        <f>VLOOKUP(C268,Recipes!$A$2:$N$4,12,FALSE())</f>
        <v/>
      </c>
      <c r="J268">
        <f>IF(G268="","",H268-G268)</f>
        <v/>
      </c>
      <c r="K268">
        <f>IF(G268="","",IF(ABS(G268-H268)&lt;=$B$6*I268,"OK","NG"))</f>
        <v/>
      </c>
      <c r="L268">
        <f>IF(K268="","",IF(K268=D268,1,0))</f>
        <v/>
      </c>
      <c r="M268" t="inlineStr">
        <is>
          <t>S2</t>
        </is>
      </c>
      <c r="N268" s="15" t="n">
        <v>1</v>
      </c>
      <c r="O268" s="15" t="n">
        <v>0</v>
      </c>
      <c r="P268">
        <f>IF(M268="","",IF(M268=E268,1,0))</f>
        <v/>
      </c>
      <c r="Q268">
        <f>IF(K268="OK","-",IF(N268&lt;$B$7,"AMBIGUOUS","CONFIDENT"))</f>
        <v/>
      </c>
    </row>
    <row r="269">
      <c r="A269">
        <f>'Runs Z score'!A261</f>
        <v/>
      </c>
      <c r="B269">
        <f>'Runs Z score'!B261</f>
        <v/>
      </c>
      <c r="C269">
        <f>'Runs Z score'!C261</f>
        <v/>
      </c>
      <c r="D269">
        <f>'Runs Z score'!D261</f>
        <v/>
      </c>
      <c r="E269">
        <f>'Runs Z score'!E261</f>
        <v/>
      </c>
      <c r="F269">
        <f>'Runs Z score'!F261</f>
        <v/>
      </c>
      <c r="G269">
        <f>'Runs Z score'!G261</f>
        <v/>
      </c>
      <c r="H269">
        <f>VLOOKUP(C269,Recipes!$A$2:$N$4,10,FALSE())</f>
        <v/>
      </c>
      <c r="I269">
        <f>VLOOKUP(C269,Recipes!$A$2:$N$4,12,FALSE())</f>
        <v/>
      </c>
      <c r="J269">
        <f>IF(G269="","",H269-G269)</f>
        <v/>
      </c>
      <c r="K269">
        <f>IF(G269="","",IF(ABS(G269-H269)&lt;=$B$6*I269,"OK","NG"))</f>
        <v/>
      </c>
      <c r="L269">
        <f>IF(K269="","",IF(K269=D269,1,0))</f>
        <v/>
      </c>
      <c r="M269" t="inlineStr">
        <is>
          <t>S2</t>
        </is>
      </c>
      <c r="N269" s="15" t="n">
        <v>1</v>
      </c>
      <c r="O269" s="15" t="n">
        <v>0</v>
      </c>
      <c r="P269">
        <f>IF(M269="","",IF(M269=E269,1,0))</f>
        <v/>
      </c>
      <c r="Q269">
        <f>IF(K269="OK","-",IF(N269&lt;$B$7,"AMBIGUOUS","CONFIDENT"))</f>
        <v/>
      </c>
    </row>
    <row r="270">
      <c r="A270">
        <f>'Runs Z score'!A262</f>
        <v/>
      </c>
      <c r="B270">
        <f>'Runs Z score'!B262</f>
        <v/>
      </c>
      <c r="C270">
        <f>'Runs Z score'!C262</f>
        <v/>
      </c>
      <c r="D270">
        <f>'Runs Z score'!D262</f>
        <v/>
      </c>
      <c r="E270">
        <f>'Runs Z score'!E262</f>
        <v/>
      </c>
      <c r="F270">
        <f>'Runs Z score'!F262</f>
        <v/>
      </c>
      <c r="G270">
        <f>'Runs Z score'!G262</f>
        <v/>
      </c>
      <c r="H270">
        <f>VLOOKUP(C270,Recipes!$A$2:$N$4,10,FALSE())</f>
        <v/>
      </c>
      <c r="I270">
        <f>VLOOKUP(C270,Recipes!$A$2:$N$4,12,FALSE())</f>
        <v/>
      </c>
      <c r="J270">
        <f>IF(G270="","",H270-G270)</f>
        <v/>
      </c>
      <c r="K270">
        <f>IF(G270="","",IF(ABS(G270-H270)&lt;=$B$6*I270,"OK","NG"))</f>
        <v/>
      </c>
      <c r="L270">
        <f>IF(K270="","",IF(K270=D270,1,0))</f>
        <v/>
      </c>
      <c r="M270" t="inlineStr">
        <is>
          <t>S2</t>
        </is>
      </c>
      <c r="N270" s="15" t="n">
        <v>1</v>
      </c>
      <c r="O270" s="15" t="n">
        <v>0</v>
      </c>
      <c r="P270">
        <f>IF(M270="","",IF(M270=E270,1,0))</f>
        <v/>
      </c>
      <c r="Q270">
        <f>IF(K270="OK","-",IF(N270&lt;$B$7,"AMBIGUOUS","CONFIDENT"))</f>
        <v/>
      </c>
    </row>
    <row r="271">
      <c r="A271">
        <f>'Runs Z score'!A263</f>
        <v/>
      </c>
      <c r="B271">
        <f>'Runs Z score'!B263</f>
        <v/>
      </c>
      <c r="C271">
        <f>'Runs Z score'!C263</f>
        <v/>
      </c>
      <c r="D271">
        <f>'Runs Z score'!D263</f>
        <v/>
      </c>
      <c r="E271">
        <f>'Runs Z score'!E263</f>
        <v/>
      </c>
      <c r="F271">
        <f>'Runs Z score'!F263</f>
        <v/>
      </c>
      <c r="G271">
        <f>'Runs Z score'!G263</f>
        <v/>
      </c>
      <c r="H271">
        <f>VLOOKUP(C271,Recipes!$A$2:$N$4,10,FALSE())</f>
        <v/>
      </c>
      <c r="I271">
        <f>VLOOKUP(C271,Recipes!$A$2:$N$4,12,FALSE())</f>
        <v/>
      </c>
      <c r="J271">
        <f>IF(G271="","",H271-G271)</f>
        <v/>
      </c>
      <c r="K271">
        <f>IF(G271="","",IF(ABS(G271-H271)&lt;=$B$6*I271,"OK","NG"))</f>
        <v/>
      </c>
      <c r="L271">
        <f>IF(K271="","",IF(K271=D271,1,0))</f>
        <v/>
      </c>
      <c r="M271" t="inlineStr">
        <is>
          <t>S2</t>
        </is>
      </c>
      <c r="N271" s="15" t="n">
        <v>1</v>
      </c>
      <c r="O271" s="15" t="n">
        <v>0</v>
      </c>
      <c r="P271">
        <f>IF(M271="","",IF(M271=E271,1,0))</f>
        <v/>
      </c>
      <c r="Q271">
        <f>IF(K271="OK","-",IF(N271&lt;$B$7,"AMBIGUOUS","CONFIDENT"))</f>
        <v/>
      </c>
    </row>
    <row r="272">
      <c r="A272">
        <f>'Runs Z score'!A264</f>
        <v/>
      </c>
      <c r="B272">
        <f>'Runs Z score'!B264</f>
        <v/>
      </c>
      <c r="C272">
        <f>'Runs Z score'!C264</f>
        <v/>
      </c>
      <c r="D272">
        <f>'Runs Z score'!D264</f>
        <v/>
      </c>
      <c r="E272">
        <f>'Runs Z score'!E264</f>
        <v/>
      </c>
      <c r="F272">
        <f>'Runs Z score'!F264</f>
        <v/>
      </c>
      <c r="G272">
        <f>'Runs Z score'!G264</f>
        <v/>
      </c>
      <c r="H272">
        <f>VLOOKUP(C272,Recipes!$A$2:$N$4,10,FALSE())</f>
        <v/>
      </c>
      <c r="I272">
        <f>VLOOKUP(C272,Recipes!$A$2:$N$4,12,FALSE())</f>
        <v/>
      </c>
      <c r="J272">
        <f>IF(G272="","",H272-G272)</f>
        <v/>
      </c>
      <c r="K272">
        <f>IF(G272="","",IF(ABS(G272-H272)&lt;=$B$6*I272,"OK","NG"))</f>
        <v/>
      </c>
      <c r="L272">
        <f>IF(K272="","",IF(K272=D272,1,0))</f>
        <v/>
      </c>
      <c r="M272" t="inlineStr">
        <is>
          <t>S2</t>
        </is>
      </c>
      <c r="N272" s="15" t="n">
        <v>1</v>
      </c>
      <c r="O272" s="15" t="n">
        <v>0</v>
      </c>
      <c r="P272">
        <f>IF(M272="","",IF(M272=E272,1,0))</f>
        <v/>
      </c>
      <c r="Q272">
        <f>IF(K272="OK","-",IF(N272&lt;$B$7,"AMBIGUOUS","CONFIDENT"))</f>
        <v/>
      </c>
    </row>
    <row r="273">
      <c r="A273">
        <f>'Runs Z score'!A265</f>
        <v/>
      </c>
      <c r="B273">
        <f>'Runs Z score'!B265</f>
        <v/>
      </c>
      <c r="C273">
        <f>'Runs Z score'!C265</f>
        <v/>
      </c>
      <c r="D273">
        <f>'Runs Z score'!D265</f>
        <v/>
      </c>
      <c r="E273">
        <f>'Runs Z score'!E265</f>
        <v/>
      </c>
      <c r="F273">
        <f>'Runs Z score'!F265</f>
        <v/>
      </c>
      <c r="G273">
        <f>'Runs Z score'!G265</f>
        <v/>
      </c>
      <c r="H273">
        <f>VLOOKUP(C273,Recipes!$A$2:$N$4,10,FALSE())</f>
        <v/>
      </c>
      <c r="I273">
        <f>VLOOKUP(C273,Recipes!$A$2:$N$4,12,FALSE())</f>
        <v/>
      </c>
      <c r="J273">
        <f>IF(G273="","",H273-G273)</f>
        <v/>
      </c>
      <c r="K273">
        <f>IF(G273="","",IF(ABS(G273-H273)&lt;=$B$6*I273,"OK","NG"))</f>
        <v/>
      </c>
      <c r="L273">
        <f>IF(K273="","",IF(K273=D273,1,0))</f>
        <v/>
      </c>
      <c r="M273" t="inlineStr">
        <is>
          <t>S2</t>
        </is>
      </c>
      <c r="N273" s="15" t="n">
        <v>1</v>
      </c>
      <c r="O273" s="15" t="n">
        <v>0</v>
      </c>
      <c r="P273">
        <f>IF(M273="","",IF(M273=E273,1,0))</f>
        <v/>
      </c>
      <c r="Q273">
        <f>IF(K273="OK","-",IF(N273&lt;$B$7,"AMBIGUOUS","CONFIDENT"))</f>
        <v/>
      </c>
    </row>
    <row r="274">
      <c r="A274">
        <f>'Runs Z score'!A266</f>
        <v/>
      </c>
      <c r="B274">
        <f>'Runs Z score'!B266</f>
        <v/>
      </c>
      <c r="C274">
        <f>'Runs Z score'!C266</f>
        <v/>
      </c>
      <c r="D274">
        <f>'Runs Z score'!D266</f>
        <v/>
      </c>
      <c r="E274">
        <f>'Runs Z score'!E266</f>
        <v/>
      </c>
      <c r="F274">
        <f>'Runs Z score'!F266</f>
        <v/>
      </c>
      <c r="G274">
        <f>'Runs Z score'!G266</f>
        <v/>
      </c>
      <c r="H274">
        <f>VLOOKUP(C274,Recipes!$A$2:$N$4,10,FALSE())</f>
        <v/>
      </c>
      <c r="I274">
        <f>VLOOKUP(C274,Recipes!$A$2:$N$4,12,FALSE())</f>
        <v/>
      </c>
      <c r="J274">
        <f>IF(G274="","",H274-G274)</f>
        <v/>
      </c>
      <c r="K274">
        <f>IF(G274="","",IF(ABS(G274-H274)&lt;=$B$6*I274,"OK","NG"))</f>
        <v/>
      </c>
      <c r="L274">
        <f>IF(K274="","",IF(K274=D274,1,0))</f>
        <v/>
      </c>
      <c r="M274" t="inlineStr">
        <is>
          <t>S2</t>
        </is>
      </c>
      <c r="N274" s="15" t="n">
        <v>1</v>
      </c>
      <c r="O274" s="15" t="n">
        <v>0</v>
      </c>
      <c r="P274">
        <f>IF(M274="","",IF(M274=E274,1,0))</f>
        <v/>
      </c>
      <c r="Q274">
        <f>IF(K274="OK","-",IF(N274&lt;$B$7,"AMBIGUOUS","CONFIDENT"))</f>
        <v/>
      </c>
    </row>
    <row r="275">
      <c r="A275">
        <f>'Runs Z score'!A267</f>
        <v/>
      </c>
      <c r="B275">
        <f>'Runs Z score'!B267</f>
        <v/>
      </c>
      <c r="C275">
        <f>'Runs Z score'!C267</f>
        <v/>
      </c>
      <c r="D275">
        <f>'Runs Z score'!D267</f>
        <v/>
      </c>
      <c r="E275">
        <f>'Runs Z score'!E267</f>
        <v/>
      </c>
      <c r="F275">
        <f>'Runs Z score'!F267</f>
        <v/>
      </c>
      <c r="G275">
        <f>'Runs Z score'!G267</f>
        <v/>
      </c>
      <c r="H275">
        <f>VLOOKUP(C275,Recipes!$A$2:$N$4,10,FALSE())</f>
        <v/>
      </c>
      <c r="I275">
        <f>VLOOKUP(C275,Recipes!$A$2:$N$4,12,FALSE())</f>
        <v/>
      </c>
      <c r="J275">
        <f>IF(G275="","",H275-G275)</f>
        <v/>
      </c>
      <c r="K275">
        <f>IF(G275="","",IF(ABS(G275-H275)&lt;=$B$6*I275,"OK","NG"))</f>
        <v/>
      </c>
      <c r="L275">
        <f>IF(K275="","",IF(K275=D275,1,0))</f>
        <v/>
      </c>
      <c r="M275" t="inlineStr">
        <is>
          <t>S2</t>
        </is>
      </c>
      <c r="N275" s="15" t="n">
        <v>1</v>
      </c>
      <c r="O275" s="15" t="n">
        <v>0</v>
      </c>
      <c r="P275">
        <f>IF(M275="","",IF(M275=E275,1,0))</f>
        <v/>
      </c>
      <c r="Q275">
        <f>IF(K275="OK","-",IF(N275&lt;$B$7,"AMBIGUOUS","CONFIDENT"))</f>
        <v/>
      </c>
    </row>
    <row r="276">
      <c r="A276">
        <f>'Runs Z score'!A268</f>
        <v/>
      </c>
      <c r="B276">
        <f>'Runs Z score'!B268</f>
        <v/>
      </c>
      <c r="C276">
        <f>'Runs Z score'!C268</f>
        <v/>
      </c>
      <c r="D276">
        <f>'Runs Z score'!D268</f>
        <v/>
      </c>
      <c r="E276">
        <f>'Runs Z score'!E268</f>
        <v/>
      </c>
      <c r="F276">
        <f>'Runs Z score'!F268</f>
        <v/>
      </c>
      <c r="G276">
        <f>'Runs Z score'!G268</f>
        <v/>
      </c>
      <c r="H276">
        <f>VLOOKUP(C276,Recipes!$A$2:$N$4,10,FALSE())</f>
        <v/>
      </c>
      <c r="I276">
        <f>VLOOKUP(C276,Recipes!$A$2:$N$4,12,FALSE())</f>
        <v/>
      </c>
      <c r="J276">
        <f>IF(G276="","",H276-G276)</f>
        <v/>
      </c>
      <c r="K276">
        <f>IF(G276="","",IF(ABS(G276-H276)&lt;=$B$6*I276,"OK","NG"))</f>
        <v/>
      </c>
      <c r="L276">
        <f>IF(K276="","",IF(K276=D276,1,0))</f>
        <v/>
      </c>
      <c r="M276" t="inlineStr">
        <is>
          <t>S2</t>
        </is>
      </c>
      <c r="N276" s="15" t="n">
        <v>1</v>
      </c>
      <c r="O276" s="15" t="n">
        <v>0</v>
      </c>
      <c r="P276">
        <f>IF(M276="","",IF(M276=E276,1,0))</f>
        <v/>
      </c>
      <c r="Q276">
        <f>IF(K276="OK","-",IF(N276&lt;$B$7,"AMBIGUOUS","CONFIDENT"))</f>
        <v/>
      </c>
    </row>
    <row r="277">
      <c r="A277">
        <f>'Runs Z score'!A269</f>
        <v/>
      </c>
      <c r="B277">
        <f>'Runs Z score'!B269</f>
        <v/>
      </c>
      <c r="C277">
        <f>'Runs Z score'!C269</f>
        <v/>
      </c>
      <c r="D277">
        <f>'Runs Z score'!D269</f>
        <v/>
      </c>
      <c r="E277">
        <f>'Runs Z score'!E269</f>
        <v/>
      </c>
      <c r="F277">
        <f>'Runs Z score'!F269</f>
        <v/>
      </c>
      <c r="G277">
        <f>'Runs Z score'!G269</f>
        <v/>
      </c>
      <c r="H277">
        <f>VLOOKUP(C277,Recipes!$A$2:$N$4,10,FALSE())</f>
        <v/>
      </c>
      <c r="I277">
        <f>VLOOKUP(C277,Recipes!$A$2:$N$4,12,FALSE())</f>
        <v/>
      </c>
      <c r="J277">
        <f>IF(G277="","",H277-G277)</f>
        <v/>
      </c>
      <c r="K277">
        <f>IF(G277="","",IF(ABS(G277-H277)&lt;=$B$6*I277,"OK","NG"))</f>
        <v/>
      </c>
      <c r="L277">
        <f>IF(K277="","",IF(K277=D277,1,0))</f>
        <v/>
      </c>
      <c r="M277" t="inlineStr">
        <is>
          <t>S2</t>
        </is>
      </c>
      <c r="N277" s="15" t="n">
        <v>1</v>
      </c>
      <c r="O277" s="15" t="n">
        <v>0</v>
      </c>
      <c r="P277">
        <f>IF(M277="","",IF(M277=E277,1,0))</f>
        <v/>
      </c>
      <c r="Q277">
        <f>IF(K277="OK","-",IF(N277&lt;$B$7,"AMBIGUOUS","CONFIDENT"))</f>
        <v/>
      </c>
    </row>
    <row r="278">
      <c r="A278">
        <f>'Runs Z score'!A270</f>
        <v/>
      </c>
      <c r="B278">
        <f>'Runs Z score'!B270</f>
        <v/>
      </c>
      <c r="C278">
        <f>'Runs Z score'!C270</f>
        <v/>
      </c>
      <c r="D278">
        <f>'Runs Z score'!D270</f>
        <v/>
      </c>
      <c r="E278">
        <f>'Runs Z score'!E270</f>
        <v/>
      </c>
      <c r="F278">
        <f>'Runs Z score'!F270</f>
        <v/>
      </c>
      <c r="G278">
        <f>'Runs Z score'!G270</f>
        <v/>
      </c>
      <c r="H278">
        <f>VLOOKUP(C278,Recipes!$A$2:$N$4,10,FALSE())</f>
        <v/>
      </c>
      <c r="I278">
        <f>VLOOKUP(C278,Recipes!$A$2:$N$4,12,FALSE())</f>
        <v/>
      </c>
      <c r="J278">
        <f>IF(G278="","",H278-G278)</f>
        <v/>
      </c>
      <c r="K278">
        <f>IF(G278="","",IF(ABS(G278-H278)&lt;=$B$6*I278,"OK","NG"))</f>
        <v/>
      </c>
      <c r="L278">
        <f>IF(K278="","",IF(K278=D278,1,0))</f>
        <v/>
      </c>
      <c r="M278" t="inlineStr">
        <is>
          <t>S2</t>
        </is>
      </c>
      <c r="N278" s="15" t="n">
        <v>1</v>
      </c>
      <c r="O278" s="15" t="n">
        <v>0</v>
      </c>
      <c r="P278">
        <f>IF(M278="","",IF(M278=E278,1,0))</f>
        <v/>
      </c>
      <c r="Q278">
        <f>IF(K278="OK","-",IF(N278&lt;$B$7,"AMBIGUOUS","CONFIDENT"))</f>
        <v/>
      </c>
    </row>
    <row r="279">
      <c r="A279">
        <f>'Runs Z score'!A271</f>
        <v/>
      </c>
      <c r="B279">
        <f>'Runs Z score'!B271</f>
        <v/>
      </c>
      <c r="C279">
        <f>'Runs Z score'!C271</f>
        <v/>
      </c>
      <c r="D279">
        <f>'Runs Z score'!D271</f>
        <v/>
      </c>
      <c r="E279">
        <f>'Runs Z score'!E271</f>
        <v/>
      </c>
      <c r="F279">
        <f>'Runs Z score'!F271</f>
        <v/>
      </c>
      <c r="G279">
        <f>'Runs Z score'!G271</f>
        <v/>
      </c>
      <c r="H279">
        <f>VLOOKUP(C279,Recipes!$A$2:$N$4,10,FALSE())</f>
        <v/>
      </c>
      <c r="I279">
        <f>VLOOKUP(C279,Recipes!$A$2:$N$4,12,FALSE())</f>
        <v/>
      </c>
      <c r="J279">
        <f>IF(G279="","",H279-G279)</f>
        <v/>
      </c>
      <c r="K279">
        <f>IF(G279="","",IF(ABS(G279-H279)&lt;=$B$6*I279,"OK","NG"))</f>
        <v/>
      </c>
      <c r="L279">
        <f>IF(K279="","",IF(K279=D279,1,0))</f>
        <v/>
      </c>
      <c r="M279" t="inlineStr">
        <is>
          <t>S2</t>
        </is>
      </c>
      <c r="N279" s="15" t="n">
        <v>1</v>
      </c>
      <c r="O279" s="15" t="n">
        <v>0</v>
      </c>
      <c r="P279">
        <f>IF(M279="","",IF(M279=E279,1,0))</f>
        <v/>
      </c>
      <c r="Q279">
        <f>IF(K279="OK","-",IF(N279&lt;$B$7,"AMBIGUOUS","CONFIDENT"))</f>
        <v/>
      </c>
    </row>
    <row r="280">
      <c r="A280">
        <f>'Runs Z score'!A272</f>
        <v/>
      </c>
      <c r="B280">
        <f>'Runs Z score'!B272</f>
        <v/>
      </c>
      <c r="C280">
        <f>'Runs Z score'!C272</f>
        <v/>
      </c>
      <c r="D280">
        <f>'Runs Z score'!D272</f>
        <v/>
      </c>
      <c r="E280">
        <f>'Runs Z score'!E272</f>
        <v/>
      </c>
      <c r="F280">
        <f>'Runs Z score'!F272</f>
        <v/>
      </c>
      <c r="G280">
        <f>'Runs Z score'!G272</f>
        <v/>
      </c>
      <c r="H280">
        <f>VLOOKUP(C280,Recipes!$A$2:$N$4,10,FALSE())</f>
        <v/>
      </c>
      <c r="I280">
        <f>VLOOKUP(C280,Recipes!$A$2:$N$4,12,FALSE())</f>
        <v/>
      </c>
      <c r="J280">
        <f>IF(G280="","",H280-G280)</f>
        <v/>
      </c>
      <c r="K280">
        <f>IF(G280="","",IF(ABS(G280-H280)&lt;=$B$6*I280,"OK","NG"))</f>
        <v/>
      </c>
      <c r="L280">
        <f>IF(K280="","",IF(K280=D280,1,0))</f>
        <v/>
      </c>
      <c r="M280" t="inlineStr">
        <is>
          <t>S2</t>
        </is>
      </c>
      <c r="N280" s="15" t="n">
        <v>1</v>
      </c>
      <c r="O280" s="15" t="n">
        <v>0</v>
      </c>
      <c r="P280">
        <f>IF(M280="","",IF(M280=E280,1,0))</f>
        <v/>
      </c>
      <c r="Q280">
        <f>IF(K280="OK","-",IF(N280&lt;$B$7,"AMBIGUOUS","CONFIDENT"))</f>
        <v/>
      </c>
    </row>
    <row r="281">
      <c r="A281">
        <f>'Runs Z score'!A273</f>
        <v/>
      </c>
      <c r="B281">
        <f>'Runs Z score'!B273</f>
        <v/>
      </c>
      <c r="C281">
        <f>'Runs Z score'!C273</f>
        <v/>
      </c>
      <c r="D281">
        <f>'Runs Z score'!D273</f>
        <v/>
      </c>
      <c r="E281">
        <f>'Runs Z score'!E273</f>
        <v/>
      </c>
      <c r="F281">
        <f>'Runs Z score'!F273</f>
        <v/>
      </c>
      <c r="G281">
        <f>'Runs Z score'!G273</f>
        <v/>
      </c>
      <c r="H281">
        <f>VLOOKUP(C281,Recipes!$A$2:$N$4,10,FALSE())</f>
        <v/>
      </c>
      <c r="I281">
        <f>VLOOKUP(C281,Recipes!$A$2:$N$4,12,FALSE())</f>
        <v/>
      </c>
      <c r="J281">
        <f>IF(G281="","",H281-G281)</f>
        <v/>
      </c>
      <c r="K281">
        <f>IF(G281="","",IF(ABS(G281-H281)&lt;=$B$6*I281,"OK","NG"))</f>
        <v/>
      </c>
      <c r="L281">
        <f>IF(K281="","",IF(K281=D281,1,0))</f>
        <v/>
      </c>
      <c r="M281" t="inlineStr">
        <is>
          <t>NONE</t>
        </is>
      </c>
      <c r="N281" s="15" t="n">
        <v>1</v>
      </c>
      <c r="O281" s="15" t="n">
        <v>0</v>
      </c>
      <c r="P281">
        <f>IF(M281="","",IF(M281=E281,1,0))</f>
        <v/>
      </c>
      <c r="Q281">
        <f>IF(K281="OK","-",IF(N281&lt;$B$7,"AMBIGUOUS","CONFIDENT"))</f>
        <v/>
      </c>
    </row>
    <row r="282">
      <c r="A282">
        <f>'Runs Z score'!A274</f>
        <v/>
      </c>
      <c r="B282">
        <f>'Runs Z score'!B274</f>
        <v/>
      </c>
      <c r="C282">
        <f>'Runs Z score'!C274</f>
        <v/>
      </c>
      <c r="D282">
        <f>'Runs Z score'!D274</f>
        <v/>
      </c>
      <c r="E282">
        <f>'Runs Z score'!E274</f>
        <v/>
      </c>
      <c r="F282">
        <f>'Runs Z score'!F274</f>
        <v/>
      </c>
      <c r="G282">
        <f>'Runs Z score'!G274</f>
        <v/>
      </c>
      <c r="H282">
        <f>VLOOKUP(C282,Recipes!$A$2:$N$4,10,FALSE())</f>
        <v/>
      </c>
      <c r="I282">
        <f>VLOOKUP(C282,Recipes!$A$2:$N$4,12,FALSE())</f>
        <v/>
      </c>
      <c r="J282">
        <f>IF(G282="","",H282-G282)</f>
        <v/>
      </c>
      <c r="K282">
        <f>IF(G282="","",IF(ABS(G282-H282)&lt;=$B$6*I282,"OK","NG"))</f>
        <v/>
      </c>
      <c r="L282">
        <f>IF(K282="","",IF(K282=D282,1,0))</f>
        <v/>
      </c>
      <c r="M282" t="inlineStr">
        <is>
          <t>NONE</t>
        </is>
      </c>
      <c r="N282" s="15" t="n">
        <v>1</v>
      </c>
      <c r="O282" s="15" t="n">
        <v>0</v>
      </c>
      <c r="P282">
        <f>IF(M282="","",IF(M282=E282,1,0))</f>
        <v/>
      </c>
      <c r="Q282">
        <f>IF(K282="OK","-",IF(N282&lt;$B$7,"AMBIGUOUS","CONFIDENT"))</f>
        <v/>
      </c>
    </row>
    <row r="283">
      <c r="A283">
        <f>'Runs Z score'!A275</f>
        <v/>
      </c>
      <c r="B283">
        <f>'Runs Z score'!B275</f>
        <v/>
      </c>
      <c r="C283">
        <f>'Runs Z score'!C275</f>
        <v/>
      </c>
      <c r="D283">
        <f>'Runs Z score'!D275</f>
        <v/>
      </c>
      <c r="E283">
        <f>'Runs Z score'!E275</f>
        <v/>
      </c>
      <c r="F283">
        <f>'Runs Z score'!F275</f>
        <v/>
      </c>
      <c r="G283">
        <f>'Runs Z score'!G275</f>
        <v/>
      </c>
      <c r="H283">
        <f>VLOOKUP(C283,Recipes!$A$2:$N$4,10,FALSE())</f>
        <v/>
      </c>
      <c r="I283">
        <f>VLOOKUP(C283,Recipes!$A$2:$N$4,12,FALSE())</f>
        <v/>
      </c>
      <c r="J283">
        <f>IF(G283="","",H283-G283)</f>
        <v/>
      </c>
      <c r="K283">
        <f>IF(G283="","",IF(ABS(G283-H283)&lt;=$B$6*I283,"OK","NG"))</f>
        <v/>
      </c>
      <c r="L283">
        <f>IF(K283="","",IF(K283=D283,1,0))</f>
        <v/>
      </c>
      <c r="M283" t="inlineStr">
        <is>
          <t>NONE</t>
        </is>
      </c>
      <c r="N283" s="15" t="n">
        <v>1</v>
      </c>
      <c r="O283" s="15" t="n">
        <v>0</v>
      </c>
      <c r="P283">
        <f>IF(M283="","",IF(M283=E283,1,0))</f>
        <v/>
      </c>
      <c r="Q283">
        <f>IF(K283="OK","-",IF(N283&lt;$B$7,"AMBIGUOUS","CONFIDENT"))</f>
        <v/>
      </c>
    </row>
    <row r="284">
      <c r="A284">
        <f>'Runs Z score'!A276</f>
        <v/>
      </c>
      <c r="B284">
        <f>'Runs Z score'!B276</f>
        <v/>
      </c>
      <c r="C284">
        <f>'Runs Z score'!C276</f>
        <v/>
      </c>
      <c r="D284">
        <f>'Runs Z score'!D276</f>
        <v/>
      </c>
      <c r="E284">
        <f>'Runs Z score'!E276</f>
        <v/>
      </c>
      <c r="F284">
        <f>'Runs Z score'!F276</f>
        <v/>
      </c>
      <c r="G284">
        <f>'Runs Z score'!G276</f>
        <v/>
      </c>
      <c r="H284">
        <f>VLOOKUP(C284,Recipes!$A$2:$N$4,10,FALSE())</f>
        <v/>
      </c>
      <c r="I284">
        <f>VLOOKUP(C284,Recipes!$A$2:$N$4,12,FALSE())</f>
        <v/>
      </c>
      <c r="J284">
        <f>IF(G284="","",H284-G284)</f>
        <v/>
      </c>
      <c r="K284">
        <f>IF(G284="","",IF(ABS(G284-H284)&lt;=$B$6*I284,"OK","NG"))</f>
        <v/>
      </c>
      <c r="L284">
        <f>IF(K284="","",IF(K284=D284,1,0))</f>
        <v/>
      </c>
      <c r="M284" t="inlineStr">
        <is>
          <t>NONE</t>
        </is>
      </c>
      <c r="N284" s="15" t="n">
        <v>1</v>
      </c>
      <c r="O284" s="15" t="n">
        <v>0</v>
      </c>
      <c r="P284">
        <f>IF(M284="","",IF(M284=E284,1,0))</f>
        <v/>
      </c>
      <c r="Q284">
        <f>IF(K284="OK","-",IF(N284&lt;$B$7,"AMBIGUOUS","CONFIDENT"))</f>
        <v/>
      </c>
    </row>
    <row r="285">
      <c r="A285">
        <f>'Runs Z score'!A277</f>
        <v/>
      </c>
      <c r="B285">
        <f>'Runs Z score'!B277</f>
        <v/>
      </c>
      <c r="C285">
        <f>'Runs Z score'!C277</f>
        <v/>
      </c>
      <c r="D285">
        <f>'Runs Z score'!D277</f>
        <v/>
      </c>
      <c r="E285">
        <f>'Runs Z score'!E277</f>
        <v/>
      </c>
      <c r="F285">
        <f>'Runs Z score'!F277</f>
        <v/>
      </c>
      <c r="G285">
        <f>'Runs Z score'!G277</f>
        <v/>
      </c>
      <c r="H285">
        <f>VLOOKUP(C285,Recipes!$A$2:$N$4,10,FALSE())</f>
        <v/>
      </c>
      <c r="I285">
        <f>VLOOKUP(C285,Recipes!$A$2:$N$4,12,FALSE())</f>
        <v/>
      </c>
      <c r="J285">
        <f>IF(G285="","",H285-G285)</f>
        <v/>
      </c>
      <c r="K285">
        <f>IF(G285="","",IF(ABS(G285-H285)&lt;=$B$6*I285,"OK","NG"))</f>
        <v/>
      </c>
      <c r="L285">
        <f>IF(K285="","",IF(K285=D285,1,0))</f>
        <v/>
      </c>
      <c r="M285" t="inlineStr">
        <is>
          <t>NONE</t>
        </is>
      </c>
      <c r="N285" s="15" t="n">
        <v>1</v>
      </c>
      <c r="O285" s="15" t="n">
        <v>0</v>
      </c>
      <c r="P285">
        <f>IF(M285="","",IF(M285=E285,1,0))</f>
        <v/>
      </c>
      <c r="Q285">
        <f>IF(K285="OK","-",IF(N285&lt;$B$7,"AMBIGUOUS","CONFIDENT"))</f>
        <v/>
      </c>
    </row>
    <row r="286">
      <c r="A286">
        <f>'Runs Z score'!A278</f>
        <v/>
      </c>
      <c r="B286">
        <f>'Runs Z score'!B278</f>
        <v/>
      </c>
      <c r="C286">
        <f>'Runs Z score'!C278</f>
        <v/>
      </c>
      <c r="D286">
        <f>'Runs Z score'!D278</f>
        <v/>
      </c>
      <c r="E286">
        <f>'Runs Z score'!E278</f>
        <v/>
      </c>
      <c r="F286">
        <f>'Runs Z score'!F278</f>
        <v/>
      </c>
      <c r="G286">
        <f>'Runs Z score'!G278</f>
        <v/>
      </c>
      <c r="H286">
        <f>VLOOKUP(C286,Recipes!$A$2:$N$4,10,FALSE())</f>
        <v/>
      </c>
      <c r="I286">
        <f>VLOOKUP(C286,Recipes!$A$2:$N$4,12,FALSE())</f>
        <v/>
      </c>
      <c r="J286">
        <f>IF(G286="","",H286-G286)</f>
        <v/>
      </c>
      <c r="K286">
        <f>IF(G286="","",IF(ABS(G286-H286)&lt;=$B$6*I286,"OK","NG"))</f>
        <v/>
      </c>
      <c r="L286">
        <f>IF(K286="","",IF(K286=D286,1,0))</f>
        <v/>
      </c>
      <c r="M286" t="inlineStr">
        <is>
          <t>NONE</t>
        </is>
      </c>
      <c r="N286" s="15" t="n">
        <v>1</v>
      </c>
      <c r="O286" s="15" t="n">
        <v>0</v>
      </c>
      <c r="P286">
        <f>IF(M286="","",IF(M286=E286,1,0))</f>
        <v/>
      </c>
      <c r="Q286">
        <f>IF(K286="OK","-",IF(N286&lt;$B$7,"AMBIGUOUS","CONFIDENT"))</f>
        <v/>
      </c>
    </row>
    <row r="287">
      <c r="A287">
        <f>'Runs Z score'!A279</f>
        <v/>
      </c>
      <c r="B287">
        <f>'Runs Z score'!B279</f>
        <v/>
      </c>
      <c r="C287">
        <f>'Runs Z score'!C279</f>
        <v/>
      </c>
      <c r="D287">
        <f>'Runs Z score'!D279</f>
        <v/>
      </c>
      <c r="E287">
        <f>'Runs Z score'!E279</f>
        <v/>
      </c>
      <c r="F287">
        <f>'Runs Z score'!F279</f>
        <v/>
      </c>
      <c r="G287">
        <f>'Runs Z score'!G279</f>
        <v/>
      </c>
      <c r="H287">
        <f>VLOOKUP(C287,Recipes!$A$2:$N$4,10,FALSE())</f>
        <v/>
      </c>
      <c r="I287">
        <f>VLOOKUP(C287,Recipes!$A$2:$N$4,12,FALSE())</f>
        <v/>
      </c>
      <c r="J287">
        <f>IF(G287="","",H287-G287)</f>
        <v/>
      </c>
      <c r="K287">
        <f>IF(G287="","",IF(ABS(G287-H287)&lt;=$B$6*I287,"OK","NG"))</f>
        <v/>
      </c>
      <c r="L287">
        <f>IF(K287="","",IF(K287=D287,1,0))</f>
        <v/>
      </c>
      <c r="M287" t="inlineStr">
        <is>
          <t>NONE</t>
        </is>
      </c>
      <c r="N287" s="15" t="n">
        <v>1</v>
      </c>
      <c r="O287" s="15" t="n">
        <v>0</v>
      </c>
      <c r="P287">
        <f>IF(M287="","",IF(M287=E287,1,0))</f>
        <v/>
      </c>
      <c r="Q287">
        <f>IF(K287="OK","-",IF(N287&lt;$B$7,"AMBIGUOUS","CONFIDENT"))</f>
        <v/>
      </c>
    </row>
    <row r="288">
      <c r="A288">
        <f>'Runs Z score'!A280</f>
        <v/>
      </c>
      <c r="B288">
        <f>'Runs Z score'!B280</f>
        <v/>
      </c>
      <c r="C288">
        <f>'Runs Z score'!C280</f>
        <v/>
      </c>
      <c r="D288">
        <f>'Runs Z score'!D280</f>
        <v/>
      </c>
      <c r="E288">
        <f>'Runs Z score'!E280</f>
        <v/>
      </c>
      <c r="F288">
        <f>'Runs Z score'!F280</f>
        <v/>
      </c>
      <c r="G288">
        <f>'Runs Z score'!G280</f>
        <v/>
      </c>
      <c r="H288">
        <f>VLOOKUP(C288,Recipes!$A$2:$N$4,10,FALSE())</f>
        <v/>
      </c>
      <c r="I288">
        <f>VLOOKUP(C288,Recipes!$A$2:$N$4,12,FALSE())</f>
        <v/>
      </c>
      <c r="J288">
        <f>IF(G288="","",H288-G288)</f>
        <v/>
      </c>
      <c r="K288">
        <f>IF(G288="","",IF(ABS(G288-H288)&lt;=$B$6*I288,"OK","NG"))</f>
        <v/>
      </c>
      <c r="L288">
        <f>IF(K288="","",IF(K288=D288,1,0))</f>
        <v/>
      </c>
      <c r="M288" t="inlineStr">
        <is>
          <t>NONE</t>
        </is>
      </c>
      <c r="N288" s="15" t="n">
        <v>1</v>
      </c>
      <c r="O288" s="15" t="n">
        <v>0</v>
      </c>
      <c r="P288">
        <f>IF(M288="","",IF(M288=E288,1,0))</f>
        <v/>
      </c>
      <c r="Q288">
        <f>IF(K288="OK","-",IF(N288&lt;$B$7,"AMBIGUOUS","CONFIDENT"))</f>
        <v/>
      </c>
    </row>
    <row r="289">
      <c r="A289">
        <f>'Runs Z score'!A281</f>
        <v/>
      </c>
      <c r="B289">
        <f>'Runs Z score'!B281</f>
        <v/>
      </c>
      <c r="C289">
        <f>'Runs Z score'!C281</f>
        <v/>
      </c>
      <c r="D289">
        <f>'Runs Z score'!D281</f>
        <v/>
      </c>
      <c r="E289">
        <f>'Runs Z score'!E281</f>
        <v/>
      </c>
      <c r="F289">
        <f>'Runs Z score'!F281</f>
        <v/>
      </c>
      <c r="G289">
        <f>'Runs Z score'!G281</f>
        <v/>
      </c>
      <c r="H289">
        <f>VLOOKUP(C289,Recipes!$A$2:$N$4,10,FALSE())</f>
        <v/>
      </c>
      <c r="I289">
        <f>VLOOKUP(C289,Recipes!$A$2:$N$4,12,FALSE())</f>
        <v/>
      </c>
      <c r="J289">
        <f>IF(G289="","",H289-G289)</f>
        <v/>
      </c>
      <c r="K289">
        <f>IF(G289="","",IF(ABS(G289-H289)&lt;=$B$6*I289,"OK","NG"))</f>
        <v/>
      </c>
      <c r="L289">
        <f>IF(K289="","",IF(K289=D289,1,0))</f>
        <v/>
      </c>
      <c r="M289" t="inlineStr">
        <is>
          <t>NONE</t>
        </is>
      </c>
      <c r="N289" s="15" t="n">
        <v>1</v>
      </c>
      <c r="O289" s="15" t="n">
        <v>0</v>
      </c>
      <c r="P289">
        <f>IF(M289="","",IF(M289=E289,1,0))</f>
        <v/>
      </c>
      <c r="Q289">
        <f>IF(K289="OK","-",IF(N289&lt;$B$7,"AMBIGUOUS","CONFIDENT"))</f>
        <v/>
      </c>
    </row>
    <row r="290">
      <c r="A290">
        <f>'Runs Z score'!A282</f>
        <v/>
      </c>
      <c r="B290">
        <f>'Runs Z score'!B282</f>
        <v/>
      </c>
      <c r="C290">
        <f>'Runs Z score'!C282</f>
        <v/>
      </c>
      <c r="D290">
        <f>'Runs Z score'!D282</f>
        <v/>
      </c>
      <c r="E290">
        <f>'Runs Z score'!E282</f>
        <v/>
      </c>
      <c r="F290">
        <f>'Runs Z score'!F282</f>
        <v/>
      </c>
      <c r="G290">
        <f>'Runs Z score'!G282</f>
        <v/>
      </c>
      <c r="H290">
        <f>VLOOKUP(C290,Recipes!$A$2:$N$4,10,FALSE())</f>
        <v/>
      </c>
      <c r="I290">
        <f>VLOOKUP(C290,Recipes!$A$2:$N$4,12,FALSE())</f>
        <v/>
      </c>
      <c r="J290">
        <f>IF(G290="","",H290-G290)</f>
        <v/>
      </c>
      <c r="K290">
        <f>IF(G290="","",IF(ABS(G290-H290)&lt;=$B$6*I290,"OK","NG"))</f>
        <v/>
      </c>
      <c r="L290">
        <f>IF(K290="","",IF(K290=D290,1,0))</f>
        <v/>
      </c>
      <c r="M290" t="inlineStr">
        <is>
          <t>NONE</t>
        </is>
      </c>
      <c r="N290" s="15" t="n">
        <v>1</v>
      </c>
      <c r="O290" s="15" t="n">
        <v>0</v>
      </c>
      <c r="P290">
        <f>IF(M290="","",IF(M290=E290,1,0))</f>
        <v/>
      </c>
      <c r="Q290">
        <f>IF(K290="OK","-",IF(N290&lt;$B$7,"AMBIGUOUS","CONFIDENT"))</f>
        <v/>
      </c>
    </row>
    <row r="291">
      <c r="A291">
        <f>'Runs Z score'!A283</f>
        <v/>
      </c>
      <c r="B291">
        <f>'Runs Z score'!B283</f>
        <v/>
      </c>
      <c r="C291">
        <f>'Runs Z score'!C283</f>
        <v/>
      </c>
      <c r="D291">
        <f>'Runs Z score'!D283</f>
        <v/>
      </c>
      <c r="E291">
        <f>'Runs Z score'!E283</f>
        <v/>
      </c>
      <c r="F291">
        <f>'Runs Z score'!F283</f>
        <v/>
      </c>
      <c r="G291">
        <f>'Runs Z score'!G283</f>
        <v/>
      </c>
      <c r="H291">
        <f>VLOOKUP(C291,Recipes!$A$2:$N$4,10,FALSE())</f>
        <v/>
      </c>
      <c r="I291">
        <f>VLOOKUP(C291,Recipes!$A$2:$N$4,12,FALSE())</f>
        <v/>
      </c>
      <c r="J291">
        <f>IF(G291="","",H291-G291)</f>
        <v/>
      </c>
      <c r="K291">
        <f>IF(G291="","",IF(ABS(G291-H291)&lt;=$B$6*I291,"OK","NG"))</f>
        <v/>
      </c>
      <c r="L291">
        <f>IF(K291="","",IF(K291=D291,1,0))</f>
        <v/>
      </c>
      <c r="M291" t="inlineStr">
        <is>
          <t>NONE</t>
        </is>
      </c>
      <c r="N291" s="15" t="n">
        <v>1</v>
      </c>
      <c r="O291" s="15" t="n">
        <v>0</v>
      </c>
      <c r="P291">
        <f>IF(M291="","",IF(M291=E291,1,0))</f>
        <v/>
      </c>
      <c r="Q291">
        <f>IF(K291="OK","-",IF(N291&lt;$B$7,"AMBIGUOUS","CONFIDENT"))</f>
        <v/>
      </c>
    </row>
    <row r="292">
      <c r="A292">
        <f>'Runs Z score'!A284</f>
        <v/>
      </c>
      <c r="B292">
        <f>'Runs Z score'!B284</f>
        <v/>
      </c>
      <c r="C292">
        <f>'Runs Z score'!C284</f>
        <v/>
      </c>
      <c r="D292">
        <f>'Runs Z score'!D284</f>
        <v/>
      </c>
      <c r="E292">
        <f>'Runs Z score'!E284</f>
        <v/>
      </c>
      <c r="F292">
        <f>'Runs Z score'!F284</f>
        <v/>
      </c>
      <c r="G292">
        <f>'Runs Z score'!G284</f>
        <v/>
      </c>
      <c r="H292">
        <f>VLOOKUP(C292,Recipes!$A$2:$N$4,10,FALSE())</f>
        <v/>
      </c>
      <c r="I292">
        <f>VLOOKUP(C292,Recipes!$A$2:$N$4,12,FALSE())</f>
        <v/>
      </c>
      <c r="J292">
        <f>IF(G292="","",H292-G292)</f>
        <v/>
      </c>
      <c r="K292">
        <f>IF(G292="","",IF(ABS(G292-H292)&lt;=$B$6*I292,"OK","NG"))</f>
        <v/>
      </c>
      <c r="L292">
        <f>IF(K292="","",IF(K292=D292,1,0))</f>
        <v/>
      </c>
      <c r="M292" t="inlineStr">
        <is>
          <t>NONE</t>
        </is>
      </c>
      <c r="N292" s="15" t="n">
        <v>1</v>
      </c>
      <c r="O292" s="15" t="n">
        <v>0</v>
      </c>
      <c r="P292">
        <f>IF(M292="","",IF(M292=E292,1,0))</f>
        <v/>
      </c>
      <c r="Q292">
        <f>IF(K292="OK","-",IF(N292&lt;$B$7,"AMBIGUOUS","CONFIDENT"))</f>
        <v/>
      </c>
    </row>
    <row r="293">
      <c r="A293">
        <f>'Runs Z score'!A285</f>
        <v/>
      </c>
      <c r="B293">
        <f>'Runs Z score'!B285</f>
        <v/>
      </c>
      <c r="C293">
        <f>'Runs Z score'!C285</f>
        <v/>
      </c>
      <c r="D293">
        <f>'Runs Z score'!D285</f>
        <v/>
      </c>
      <c r="E293">
        <f>'Runs Z score'!E285</f>
        <v/>
      </c>
      <c r="F293">
        <f>'Runs Z score'!F285</f>
        <v/>
      </c>
      <c r="G293">
        <f>'Runs Z score'!G285</f>
        <v/>
      </c>
      <c r="H293">
        <f>VLOOKUP(C293,Recipes!$A$2:$N$4,10,FALSE())</f>
        <v/>
      </c>
      <c r="I293">
        <f>VLOOKUP(C293,Recipes!$A$2:$N$4,12,FALSE())</f>
        <v/>
      </c>
      <c r="J293">
        <f>IF(G293="","",H293-G293)</f>
        <v/>
      </c>
      <c r="K293">
        <f>IF(G293="","",IF(ABS(G293-H293)&lt;=$B$6*I293,"OK","NG"))</f>
        <v/>
      </c>
      <c r="L293">
        <f>IF(K293="","",IF(K293=D293,1,0))</f>
        <v/>
      </c>
      <c r="M293" t="inlineStr">
        <is>
          <t>NONE</t>
        </is>
      </c>
      <c r="N293" s="15" t="n">
        <v>1</v>
      </c>
      <c r="O293" s="15" t="n">
        <v>0</v>
      </c>
      <c r="P293">
        <f>IF(M293="","",IF(M293=E293,1,0))</f>
        <v/>
      </c>
      <c r="Q293">
        <f>IF(K293="OK","-",IF(N293&lt;$B$7,"AMBIGUOUS","CONFIDENT"))</f>
        <v/>
      </c>
    </row>
    <row r="294">
      <c r="A294">
        <f>'Runs Z score'!A286</f>
        <v/>
      </c>
      <c r="B294">
        <f>'Runs Z score'!B286</f>
        <v/>
      </c>
      <c r="C294">
        <f>'Runs Z score'!C286</f>
        <v/>
      </c>
      <c r="D294">
        <f>'Runs Z score'!D286</f>
        <v/>
      </c>
      <c r="E294">
        <f>'Runs Z score'!E286</f>
        <v/>
      </c>
      <c r="F294">
        <f>'Runs Z score'!F286</f>
        <v/>
      </c>
      <c r="G294">
        <f>'Runs Z score'!G286</f>
        <v/>
      </c>
      <c r="H294">
        <f>VLOOKUP(C294,Recipes!$A$2:$N$4,10,FALSE())</f>
        <v/>
      </c>
      <c r="I294">
        <f>VLOOKUP(C294,Recipes!$A$2:$N$4,12,FALSE())</f>
        <v/>
      </c>
      <c r="J294">
        <f>IF(G294="","",H294-G294)</f>
        <v/>
      </c>
      <c r="K294">
        <f>IF(G294="","",IF(ABS(G294-H294)&lt;=$B$6*I294,"OK","NG"))</f>
        <v/>
      </c>
      <c r="L294">
        <f>IF(K294="","",IF(K294=D294,1,0))</f>
        <v/>
      </c>
      <c r="M294" t="inlineStr">
        <is>
          <t>NONE</t>
        </is>
      </c>
      <c r="N294" s="15" t="n">
        <v>1</v>
      </c>
      <c r="O294" s="15" t="n">
        <v>0</v>
      </c>
      <c r="P294">
        <f>IF(M294="","",IF(M294=E294,1,0))</f>
        <v/>
      </c>
      <c r="Q294">
        <f>IF(K294="OK","-",IF(N294&lt;$B$7,"AMBIGUOUS","CONFIDENT"))</f>
        <v/>
      </c>
    </row>
    <row r="295">
      <c r="A295">
        <f>'Runs Z score'!A287</f>
        <v/>
      </c>
      <c r="B295">
        <f>'Runs Z score'!B287</f>
        <v/>
      </c>
      <c r="C295">
        <f>'Runs Z score'!C287</f>
        <v/>
      </c>
      <c r="D295">
        <f>'Runs Z score'!D287</f>
        <v/>
      </c>
      <c r="E295">
        <f>'Runs Z score'!E287</f>
        <v/>
      </c>
      <c r="F295">
        <f>'Runs Z score'!F287</f>
        <v/>
      </c>
      <c r="G295">
        <f>'Runs Z score'!G287</f>
        <v/>
      </c>
      <c r="H295">
        <f>VLOOKUP(C295,Recipes!$A$2:$N$4,10,FALSE())</f>
        <v/>
      </c>
      <c r="I295">
        <f>VLOOKUP(C295,Recipes!$A$2:$N$4,12,FALSE())</f>
        <v/>
      </c>
      <c r="J295">
        <f>IF(G295="","",H295-G295)</f>
        <v/>
      </c>
      <c r="K295">
        <f>IF(G295="","",IF(ABS(G295-H295)&lt;=$B$6*I295,"OK","NG"))</f>
        <v/>
      </c>
      <c r="L295">
        <f>IF(K295="","",IF(K295=D295,1,0))</f>
        <v/>
      </c>
      <c r="M295" t="inlineStr">
        <is>
          <t>NONE</t>
        </is>
      </c>
      <c r="N295" s="15" t="n">
        <v>1</v>
      </c>
      <c r="O295" s="15" t="n">
        <v>0</v>
      </c>
      <c r="P295">
        <f>IF(M295="","",IF(M295=E295,1,0))</f>
        <v/>
      </c>
      <c r="Q295">
        <f>IF(K295="OK","-",IF(N295&lt;$B$7,"AMBIGUOUS","CONFIDENT"))</f>
        <v/>
      </c>
    </row>
    <row r="296">
      <c r="A296">
        <f>'Runs Z score'!A288</f>
        <v/>
      </c>
      <c r="B296">
        <f>'Runs Z score'!B288</f>
        <v/>
      </c>
      <c r="C296">
        <f>'Runs Z score'!C288</f>
        <v/>
      </c>
      <c r="D296">
        <f>'Runs Z score'!D288</f>
        <v/>
      </c>
      <c r="E296">
        <f>'Runs Z score'!E288</f>
        <v/>
      </c>
      <c r="F296">
        <f>'Runs Z score'!F288</f>
        <v/>
      </c>
      <c r="G296">
        <f>'Runs Z score'!G288</f>
        <v/>
      </c>
      <c r="H296">
        <f>VLOOKUP(C296,Recipes!$A$2:$N$4,10,FALSE())</f>
        <v/>
      </c>
      <c r="I296">
        <f>VLOOKUP(C296,Recipes!$A$2:$N$4,12,FALSE())</f>
        <v/>
      </c>
      <c r="J296">
        <f>IF(G296="","",H296-G296)</f>
        <v/>
      </c>
      <c r="K296">
        <f>IF(G296="","",IF(ABS(G296-H296)&lt;=$B$6*I296,"OK","NG"))</f>
        <v/>
      </c>
      <c r="L296">
        <f>IF(K296="","",IF(K296=D296,1,0))</f>
        <v/>
      </c>
      <c r="M296" t="inlineStr">
        <is>
          <t>NONE</t>
        </is>
      </c>
      <c r="N296" s="15" t="n">
        <v>1</v>
      </c>
      <c r="O296" s="15" t="n">
        <v>0</v>
      </c>
      <c r="P296">
        <f>IF(M296="","",IF(M296=E296,1,0))</f>
        <v/>
      </c>
      <c r="Q296">
        <f>IF(K296="OK","-",IF(N296&lt;$B$7,"AMBIGUOUS","CONFIDENT"))</f>
        <v/>
      </c>
    </row>
    <row r="297">
      <c r="A297">
        <f>'Runs Z score'!A289</f>
        <v/>
      </c>
      <c r="B297">
        <f>'Runs Z score'!B289</f>
        <v/>
      </c>
      <c r="C297">
        <f>'Runs Z score'!C289</f>
        <v/>
      </c>
      <c r="D297">
        <f>'Runs Z score'!D289</f>
        <v/>
      </c>
      <c r="E297">
        <f>'Runs Z score'!E289</f>
        <v/>
      </c>
      <c r="F297">
        <f>'Runs Z score'!F289</f>
        <v/>
      </c>
      <c r="G297">
        <f>'Runs Z score'!G289</f>
        <v/>
      </c>
      <c r="H297">
        <f>VLOOKUP(C297,Recipes!$A$2:$N$4,10,FALSE())</f>
        <v/>
      </c>
      <c r="I297">
        <f>VLOOKUP(C297,Recipes!$A$2:$N$4,12,FALSE())</f>
        <v/>
      </c>
      <c r="J297">
        <f>IF(G297="","",H297-G297)</f>
        <v/>
      </c>
      <c r="K297">
        <f>IF(G297="","",IF(ABS(G297-H297)&lt;=$B$6*I297,"OK","NG"))</f>
        <v/>
      </c>
      <c r="L297">
        <f>IF(K297="","",IF(K297=D297,1,0))</f>
        <v/>
      </c>
      <c r="M297" t="inlineStr">
        <is>
          <t>NONE</t>
        </is>
      </c>
      <c r="N297" s="15" t="n">
        <v>1</v>
      </c>
      <c r="O297" s="15" t="n">
        <v>0</v>
      </c>
      <c r="P297">
        <f>IF(M297="","",IF(M297=E297,1,0))</f>
        <v/>
      </c>
      <c r="Q297">
        <f>IF(K297="OK","-",IF(N297&lt;$B$7,"AMBIGUOUS","CONFIDENT"))</f>
        <v/>
      </c>
    </row>
    <row r="298">
      <c r="A298">
        <f>'Runs Z score'!A290</f>
        <v/>
      </c>
      <c r="B298">
        <f>'Runs Z score'!B290</f>
        <v/>
      </c>
      <c r="C298">
        <f>'Runs Z score'!C290</f>
        <v/>
      </c>
      <c r="D298">
        <f>'Runs Z score'!D290</f>
        <v/>
      </c>
      <c r="E298">
        <f>'Runs Z score'!E290</f>
        <v/>
      </c>
      <c r="F298">
        <f>'Runs Z score'!F290</f>
        <v/>
      </c>
      <c r="G298">
        <f>'Runs Z score'!G290</f>
        <v/>
      </c>
      <c r="H298">
        <f>VLOOKUP(C298,Recipes!$A$2:$N$4,10,FALSE())</f>
        <v/>
      </c>
      <c r="I298">
        <f>VLOOKUP(C298,Recipes!$A$2:$N$4,12,FALSE())</f>
        <v/>
      </c>
      <c r="J298">
        <f>IF(G298="","",H298-G298)</f>
        <v/>
      </c>
      <c r="K298">
        <f>IF(G298="","",IF(ABS(G298-H298)&lt;=$B$6*I298,"OK","NG"))</f>
        <v/>
      </c>
      <c r="L298">
        <f>IF(K298="","",IF(K298=D298,1,0))</f>
        <v/>
      </c>
      <c r="M298" t="inlineStr">
        <is>
          <t>NONE</t>
        </is>
      </c>
      <c r="N298" s="15" t="n">
        <v>1</v>
      </c>
      <c r="O298" s="15" t="n">
        <v>0</v>
      </c>
      <c r="P298">
        <f>IF(M298="","",IF(M298=E298,1,0))</f>
        <v/>
      </c>
      <c r="Q298">
        <f>IF(K298="OK","-",IF(N298&lt;$B$7,"AMBIGUOUS","CONFIDENT"))</f>
        <v/>
      </c>
    </row>
    <row r="299">
      <c r="A299">
        <f>'Runs Z score'!A291</f>
        <v/>
      </c>
      <c r="B299">
        <f>'Runs Z score'!B291</f>
        <v/>
      </c>
      <c r="C299">
        <f>'Runs Z score'!C291</f>
        <v/>
      </c>
      <c r="D299">
        <f>'Runs Z score'!D291</f>
        <v/>
      </c>
      <c r="E299">
        <f>'Runs Z score'!E291</f>
        <v/>
      </c>
      <c r="F299">
        <f>'Runs Z score'!F291</f>
        <v/>
      </c>
      <c r="G299">
        <f>'Runs Z score'!G291</f>
        <v/>
      </c>
      <c r="H299">
        <f>VLOOKUP(C299,Recipes!$A$2:$N$4,10,FALSE())</f>
        <v/>
      </c>
      <c r="I299">
        <f>VLOOKUP(C299,Recipes!$A$2:$N$4,12,FALSE())</f>
        <v/>
      </c>
      <c r="J299">
        <f>IF(G299="","",H299-G299)</f>
        <v/>
      </c>
      <c r="K299">
        <f>IF(G299="","",IF(ABS(G299-H299)&lt;=$B$6*I299,"OK","NG"))</f>
        <v/>
      </c>
      <c r="L299">
        <f>IF(K299="","",IF(K299=D299,1,0))</f>
        <v/>
      </c>
      <c r="M299" t="inlineStr">
        <is>
          <t>NONE</t>
        </is>
      </c>
      <c r="N299" s="15" t="n">
        <v>1</v>
      </c>
      <c r="O299" s="15" t="n">
        <v>0</v>
      </c>
      <c r="P299">
        <f>IF(M299="","",IF(M299=E299,1,0))</f>
        <v/>
      </c>
      <c r="Q299">
        <f>IF(K299="OK","-",IF(N299&lt;$B$7,"AMBIGUOUS","CONFIDENT"))</f>
        <v/>
      </c>
    </row>
    <row r="300">
      <c r="A300">
        <f>'Runs Z score'!A292</f>
        <v/>
      </c>
      <c r="B300">
        <f>'Runs Z score'!B292</f>
        <v/>
      </c>
      <c r="C300">
        <f>'Runs Z score'!C292</f>
        <v/>
      </c>
      <c r="D300">
        <f>'Runs Z score'!D292</f>
        <v/>
      </c>
      <c r="E300">
        <f>'Runs Z score'!E292</f>
        <v/>
      </c>
      <c r="F300">
        <f>'Runs Z score'!F292</f>
        <v/>
      </c>
      <c r="G300">
        <f>'Runs Z score'!G292</f>
        <v/>
      </c>
      <c r="H300">
        <f>VLOOKUP(C300,Recipes!$A$2:$N$4,10,FALSE())</f>
        <v/>
      </c>
      <c r="I300">
        <f>VLOOKUP(C300,Recipes!$A$2:$N$4,12,FALSE())</f>
        <v/>
      </c>
      <c r="J300">
        <f>IF(G300="","",H300-G300)</f>
        <v/>
      </c>
      <c r="K300">
        <f>IF(G300="","",IF(ABS(G300-H300)&lt;=$B$6*I300,"OK","NG"))</f>
        <v/>
      </c>
      <c r="L300">
        <f>IF(K300="","",IF(K300=D300,1,0))</f>
        <v/>
      </c>
      <c r="M300" t="inlineStr">
        <is>
          <t>NONE</t>
        </is>
      </c>
      <c r="N300" s="15" t="n">
        <v>1</v>
      </c>
      <c r="O300" s="15" t="n">
        <v>0</v>
      </c>
      <c r="P300">
        <f>IF(M300="","",IF(M300=E300,1,0))</f>
        <v/>
      </c>
      <c r="Q300">
        <f>IF(K300="OK","-",IF(N300&lt;$B$7,"AMBIGUOUS","CONFIDENT"))</f>
        <v/>
      </c>
    </row>
    <row r="301">
      <c r="A301">
        <f>'Runs Z score'!A293</f>
        <v/>
      </c>
      <c r="B301">
        <f>'Runs Z score'!B293</f>
        <v/>
      </c>
      <c r="C301">
        <f>'Runs Z score'!C293</f>
        <v/>
      </c>
      <c r="D301">
        <f>'Runs Z score'!D293</f>
        <v/>
      </c>
      <c r="E301">
        <f>'Runs Z score'!E293</f>
        <v/>
      </c>
      <c r="F301">
        <f>'Runs Z score'!F293</f>
        <v/>
      </c>
      <c r="G301">
        <f>'Runs Z score'!G293</f>
        <v/>
      </c>
      <c r="H301">
        <f>VLOOKUP(C301,Recipes!$A$2:$N$4,10,FALSE())</f>
        <v/>
      </c>
      <c r="I301">
        <f>VLOOKUP(C301,Recipes!$A$2:$N$4,12,FALSE())</f>
        <v/>
      </c>
      <c r="J301">
        <f>IF(G301="","",H301-G301)</f>
        <v/>
      </c>
      <c r="K301">
        <f>IF(G301="","",IF(ABS(G301-H301)&lt;=$B$6*I301,"OK","NG"))</f>
        <v/>
      </c>
      <c r="L301">
        <f>IF(K301="","",IF(K301=D301,1,0))</f>
        <v/>
      </c>
      <c r="M301" t="inlineStr">
        <is>
          <t>NONE</t>
        </is>
      </c>
      <c r="N301" s="15" t="n">
        <v>1</v>
      </c>
      <c r="O301" s="15" t="n">
        <v>0</v>
      </c>
      <c r="P301">
        <f>IF(M301="","",IF(M301=E301,1,0))</f>
        <v/>
      </c>
      <c r="Q301">
        <f>IF(K301="OK","-",IF(N301&lt;$B$7,"AMBIGUOUS","CONFIDENT"))</f>
        <v/>
      </c>
    </row>
    <row r="302">
      <c r="A302">
        <f>'Runs Z score'!A294</f>
        <v/>
      </c>
      <c r="B302">
        <f>'Runs Z score'!B294</f>
        <v/>
      </c>
      <c r="C302">
        <f>'Runs Z score'!C294</f>
        <v/>
      </c>
      <c r="D302">
        <f>'Runs Z score'!D294</f>
        <v/>
      </c>
      <c r="E302">
        <f>'Runs Z score'!E294</f>
        <v/>
      </c>
      <c r="F302">
        <f>'Runs Z score'!F294</f>
        <v/>
      </c>
      <c r="G302">
        <f>'Runs Z score'!G294</f>
        <v/>
      </c>
      <c r="H302">
        <f>VLOOKUP(C302,Recipes!$A$2:$N$4,10,FALSE())</f>
        <v/>
      </c>
      <c r="I302">
        <f>VLOOKUP(C302,Recipes!$A$2:$N$4,12,FALSE())</f>
        <v/>
      </c>
      <c r="J302">
        <f>IF(G302="","",H302-G302)</f>
        <v/>
      </c>
      <c r="K302">
        <f>IF(G302="","",IF(ABS(G302-H302)&lt;=$B$6*I302,"OK","NG"))</f>
        <v/>
      </c>
      <c r="L302">
        <f>IF(K302="","",IF(K302=D302,1,0))</f>
        <v/>
      </c>
      <c r="M302" t="inlineStr">
        <is>
          <t>NONE</t>
        </is>
      </c>
      <c r="N302" s="15" t="n">
        <v>1</v>
      </c>
      <c r="O302" s="15" t="n">
        <v>0</v>
      </c>
      <c r="P302">
        <f>IF(M302="","",IF(M302=E302,1,0))</f>
        <v/>
      </c>
      <c r="Q302">
        <f>IF(K302="OK","-",IF(N302&lt;$B$7,"AMBIGUOUS","CONFIDENT"))</f>
        <v/>
      </c>
    </row>
    <row r="303">
      <c r="A303">
        <f>'Runs Z score'!A295</f>
        <v/>
      </c>
      <c r="B303">
        <f>'Runs Z score'!B295</f>
        <v/>
      </c>
      <c r="C303">
        <f>'Runs Z score'!C295</f>
        <v/>
      </c>
      <c r="D303">
        <f>'Runs Z score'!D295</f>
        <v/>
      </c>
      <c r="E303">
        <f>'Runs Z score'!E295</f>
        <v/>
      </c>
      <c r="F303">
        <f>'Runs Z score'!F295</f>
        <v/>
      </c>
      <c r="G303">
        <f>'Runs Z score'!G295</f>
        <v/>
      </c>
      <c r="H303">
        <f>VLOOKUP(C303,Recipes!$A$2:$N$4,10,FALSE())</f>
        <v/>
      </c>
      <c r="I303">
        <f>VLOOKUP(C303,Recipes!$A$2:$N$4,12,FALSE())</f>
        <v/>
      </c>
      <c r="J303">
        <f>IF(G303="","",H303-G303)</f>
        <v/>
      </c>
      <c r="K303">
        <f>IF(G303="","",IF(ABS(G303-H303)&lt;=$B$6*I303,"OK","NG"))</f>
        <v/>
      </c>
      <c r="L303">
        <f>IF(K303="","",IF(K303=D303,1,0))</f>
        <v/>
      </c>
      <c r="M303" t="inlineStr">
        <is>
          <t>NONE</t>
        </is>
      </c>
      <c r="N303" s="15" t="n">
        <v>1</v>
      </c>
      <c r="O303" s="15" t="n">
        <v>0</v>
      </c>
      <c r="P303">
        <f>IF(M303="","",IF(M303=E303,1,0))</f>
        <v/>
      </c>
      <c r="Q303">
        <f>IF(K303="OK","-",IF(N303&lt;$B$7,"AMBIGUOUS","CONFIDENT"))</f>
        <v/>
      </c>
    </row>
    <row r="304">
      <c r="A304">
        <f>'Runs Z score'!A296</f>
        <v/>
      </c>
      <c r="B304">
        <f>'Runs Z score'!B296</f>
        <v/>
      </c>
      <c r="C304">
        <f>'Runs Z score'!C296</f>
        <v/>
      </c>
      <c r="D304">
        <f>'Runs Z score'!D296</f>
        <v/>
      </c>
      <c r="E304">
        <f>'Runs Z score'!E296</f>
        <v/>
      </c>
      <c r="F304">
        <f>'Runs Z score'!F296</f>
        <v/>
      </c>
      <c r="G304">
        <f>'Runs Z score'!G296</f>
        <v/>
      </c>
      <c r="H304">
        <f>VLOOKUP(C304,Recipes!$A$2:$N$4,10,FALSE())</f>
        <v/>
      </c>
      <c r="I304">
        <f>VLOOKUP(C304,Recipes!$A$2:$N$4,12,FALSE())</f>
        <v/>
      </c>
      <c r="J304">
        <f>IF(G304="","",H304-G304)</f>
        <v/>
      </c>
      <c r="K304">
        <f>IF(G304="","",IF(ABS(G304-H304)&lt;=$B$6*I304,"OK","NG"))</f>
        <v/>
      </c>
      <c r="L304">
        <f>IF(K304="","",IF(K304=D304,1,0))</f>
        <v/>
      </c>
      <c r="M304" t="inlineStr">
        <is>
          <t>NONE</t>
        </is>
      </c>
      <c r="N304" s="15" t="n">
        <v>1</v>
      </c>
      <c r="O304" s="15" t="n">
        <v>0</v>
      </c>
      <c r="P304">
        <f>IF(M304="","",IF(M304=E304,1,0))</f>
        <v/>
      </c>
      <c r="Q304">
        <f>IF(K304="OK","-",IF(N304&lt;$B$7,"AMBIGUOUS","CONFIDENT"))</f>
        <v/>
      </c>
    </row>
    <row r="305">
      <c r="A305">
        <f>'Runs Z score'!A297</f>
        <v/>
      </c>
      <c r="B305">
        <f>'Runs Z score'!B297</f>
        <v/>
      </c>
      <c r="C305">
        <f>'Runs Z score'!C297</f>
        <v/>
      </c>
      <c r="D305">
        <f>'Runs Z score'!D297</f>
        <v/>
      </c>
      <c r="E305">
        <f>'Runs Z score'!E297</f>
        <v/>
      </c>
      <c r="F305">
        <f>'Runs Z score'!F297</f>
        <v/>
      </c>
      <c r="G305">
        <f>'Runs Z score'!G297</f>
        <v/>
      </c>
      <c r="H305">
        <f>VLOOKUP(C305,Recipes!$A$2:$N$4,10,FALSE())</f>
        <v/>
      </c>
      <c r="I305">
        <f>VLOOKUP(C305,Recipes!$A$2:$N$4,12,FALSE())</f>
        <v/>
      </c>
      <c r="J305">
        <f>IF(G305="","",H305-G305)</f>
        <v/>
      </c>
      <c r="K305">
        <f>IF(G305="","",IF(ABS(G305-H305)&lt;=$B$6*I305,"OK","NG"))</f>
        <v/>
      </c>
      <c r="L305">
        <f>IF(K305="","",IF(K305=D305,1,0))</f>
        <v/>
      </c>
      <c r="M305" t="inlineStr">
        <is>
          <t>NONE</t>
        </is>
      </c>
      <c r="N305" s="15" t="n">
        <v>1</v>
      </c>
      <c r="O305" s="15" t="n">
        <v>0</v>
      </c>
      <c r="P305">
        <f>IF(M305="","",IF(M305=E305,1,0))</f>
        <v/>
      </c>
      <c r="Q305">
        <f>IF(K305="OK","-",IF(N305&lt;$B$7,"AMBIGUOUS","CONFIDENT"))</f>
        <v/>
      </c>
    </row>
    <row r="306">
      <c r="A306">
        <f>'Runs Z score'!A298</f>
        <v/>
      </c>
      <c r="B306">
        <f>'Runs Z score'!B298</f>
        <v/>
      </c>
      <c r="C306">
        <f>'Runs Z score'!C298</f>
        <v/>
      </c>
      <c r="D306">
        <f>'Runs Z score'!D298</f>
        <v/>
      </c>
      <c r="E306">
        <f>'Runs Z score'!E298</f>
        <v/>
      </c>
      <c r="F306">
        <f>'Runs Z score'!F298</f>
        <v/>
      </c>
      <c r="G306">
        <f>'Runs Z score'!G298</f>
        <v/>
      </c>
      <c r="H306">
        <f>VLOOKUP(C306,Recipes!$A$2:$N$4,10,FALSE())</f>
        <v/>
      </c>
      <c r="I306">
        <f>VLOOKUP(C306,Recipes!$A$2:$N$4,12,FALSE())</f>
        <v/>
      </c>
      <c r="J306">
        <f>IF(G306="","",H306-G306)</f>
        <v/>
      </c>
      <c r="K306">
        <f>IF(G306="","",IF(ABS(G306-H306)&lt;=$B$6*I306,"OK","NG"))</f>
        <v/>
      </c>
      <c r="L306">
        <f>IF(K306="","",IF(K306=D306,1,0))</f>
        <v/>
      </c>
      <c r="M306" t="inlineStr">
        <is>
          <t>NONE</t>
        </is>
      </c>
      <c r="N306" s="15" t="n">
        <v>1</v>
      </c>
      <c r="O306" s="15" t="n">
        <v>0</v>
      </c>
      <c r="P306">
        <f>IF(M306="","",IF(M306=E306,1,0))</f>
        <v/>
      </c>
      <c r="Q306">
        <f>IF(K306="OK","-",IF(N306&lt;$B$7,"AMBIGUOUS","CONFIDENT"))</f>
        <v/>
      </c>
    </row>
    <row r="307">
      <c r="A307">
        <f>'Runs Z score'!A299</f>
        <v/>
      </c>
      <c r="B307">
        <f>'Runs Z score'!B299</f>
        <v/>
      </c>
      <c r="C307">
        <f>'Runs Z score'!C299</f>
        <v/>
      </c>
      <c r="D307">
        <f>'Runs Z score'!D299</f>
        <v/>
      </c>
      <c r="E307">
        <f>'Runs Z score'!E299</f>
        <v/>
      </c>
      <c r="F307">
        <f>'Runs Z score'!F299</f>
        <v/>
      </c>
      <c r="G307">
        <f>'Runs Z score'!G299</f>
        <v/>
      </c>
      <c r="H307">
        <f>VLOOKUP(C307,Recipes!$A$2:$N$4,10,FALSE())</f>
        <v/>
      </c>
      <c r="I307">
        <f>VLOOKUP(C307,Recipes!$A$2:$N$4,12,FALSE())</f>
        <v/>
      </c>
      <c r="J307">
        <f>IF(G307="","",H307-G307)</f>
        <v/>
      </c>
      <c r="K307">
        <f>IF(G307="","",IF(ABS(G307-H307)&lt;=$B$6*I307,"OK","NG"))</f>
        <v/>
      </c>
      <c r="L307">
        <f>IF(K307="","",IF(K307=D307,1,0))</f>
        <v/>
      </c>
      <c r="M307" t="inlineStr">
        <is>
          <t>NONE</t>
        </is>
      </c>
      <c r="N307" s="15" t="n">
        <v>1</v>
      </c>
      <c r="O307" s="15" t="n">
        <v>0</v>
      </c>
      <c r="P307">
        <f>IF(M307="","",IF(M307=E307,1,0))</f>
        <v/>
      </c>
      <c r="Q307">
        <f>IF(K307="OK","-",IF(N307&lt;$B$7,"AMBIGUOUS","CONFIDENT"))</f>
        <v/>
      </c>
    </row>
    <row r="308">
      <c r="A308">
        <f>'Runs Z score'!A300</f>
        <v/>
      </c>
      <c r="B308">
        <f>'Runs Z score'!B300</f>
        <v/>
      </c>
      <c r="C308">
        <f>'Runs Z score'!C300</f>
        <v/>
      </c>
      <c r="D308">
        <f>'Runs Z score'!D300</f>
        <v/>
      </c>
      <c r="E308">
        <f>'Runs Z score'!E300</f>
        <v/>
      </c>
      <c r="F308">
        <f>'Runs Z score'!F300</f>
        <v/>
      </c>
      <c r="G308">
        <f>'Runs Z score'!G300</f>
        <v/>
      </c>
      <c r="H308">
        <f>VLOOKUP(C308,Recipes!$A$2:$N$4,10,FALSE())</f>
        <v/>
      </c>
      <c r="I308">
        <f>VLOOKUP(C308,Recipes!$A$2:$N$4,12,FALSE())</f>
        <v/>
      </c>
      <c r="J308">
        <f>IF(G308="","",H308-G308)</f>
        <v/>
      </c>
      <c r="K308">
        <f>IF(G308="","",IF(ABS(G308-H308)&lt;=$B$6*I308,"OK","NG"))</f>
        <v/>
      </c>
      <c r="L308">
        <f>IF(K308="","",IF(K308=D308,1,0))</f>
        <v/>
      </c>
      <c r="M308" t="inlineStr">
        <is>
          <t>NONE</t>
        </is>
      </c>
      <c r="N308" s="15" t="n">
        <v>1</v>
      </c>
      <c r="O308" s="15" t="n">
        <v>0</v>
      </c>
      <c r="P308">
        <f>IF(M308="","",IF(M308=E308,1,0))</f>
        <v/>
      </c>
      <c r="Q308">
        <f>IF(K308="OK","-",IF(N308&lt;$B$7,"AMBIGUOUS","CONFIDENT"))</f>
        <v/>
      </c>
    </row>
    <row r="309">
      <c r="A309">
        <f>'Runs Z score'!A301</f>
        <v/>
      </c>
      <c r="B309">
        <f>'Runs Z score'!B301</f>
        <v/>
      </c>
      <c r="C309">
        <f>'Runs Z score'!C301</f>
        <v/>
      </c>
      <c r="D309">
        <f>'Runs Z score'!D301</f>
        <v/>
      </c>
      <c r="E309">
        <f>'Runs Z score'!E301</f>
        <v/>
      </c>
      <c r="F309">
        <f>'Runs Z score'!F301</f>
        <v/>
      </c>
      <c r="G309">
        <f>'Runs Z score'!G301</f>
        <v/>
      </c>
      <c r="H309">
        <f>VLOOKUP(C309,Recipes!$A$2:$N$4,10,FALSE())</f>
        <v/>
      </c>
      <c r="I309">
        <f>VLOOKUP(C309,Recipes!$A$2:$N$4,12,FALSE())</f>
        <v/>
      </c>
      <c r="J309">
        <f>IF(G309="","",H309-G309)</f>
        <v/>
      </c>
      <c r="K309">
        <f>IF(G309="","",IF(ABS(G309-H309)&lt;=$B$6*I309,"OK","NG"))</f>
        <v/>
      </c>
      <c r="L309">
        <f>IF(K309="","",IF(K309=D309,1,0))</f>
        <v/>
      </c>
      <c r="M309" t="inlineStr">
        <is>
          <t>NONE</t>
        </is>
      </c>
      <c r="N309" s="15" t="n">
        <v>1</v>
      </c>
      <c r="O309" s="15" t="n">
        <v>0</v>
      </c>
      <c r="P309">
        <f>IF(M309="","",IF(M309=E309,1,0))</f>
        <v/>
      </c>
      <c r="Q309">
        <f>IF(K309="OK","-",IF(N309&lt;$B$7,"AMBIGUOUS","CONFIDENT"))</f>
        <v/>
      </c>
    </row>
    <row r="310">
      <c r="A310">
        <f>'Runs Z score'!A302</f>
        <v/>
      </c>
      <c r="B310">
        <f>'Runs Z score'!B302</f>
        <v/>
      </c>
      <c r="C310">
        <f>'Runs Z score'!C302</f>
        <v/>
      </c>
      <c r="D310">
        <f>'Runs Z score'!D302</f>
        <v/>
      </c>
      <c r="E310">
        <f>'Runs Z score'!E302</f>
        <v/>
      </c>
      <c r="F310">
        <f>'Runs Z score'!F302</f>
        <v/>
      </c>
      <c r="G310">
        <f>'Runs Z score'!G302</f>
        <v/>
      </c>
      <c r="H310">
        <f>VLOOKUP(C310,Recipes!$A$2:$N$4,10,FALSE())</f>
        <v/>
      </c>
      <c r="I310">
        <f>VLOOKUP(C310,Recipes!$A$2:$N$4,12,FALSE())</f>
        <v/>
      </c>
      <c r="J310">
        <f>IF(G310="","",H310-G310)</f>
        <v/>
      </c>
      <c r="K310">
        <f>IF(G310="","",IF(ABS(G310-H310)&lt;=$B$6*I310,"OK","NG"))</f>
        <v/>
      </c>
      <c r="L310">
        <f>IF(K310="","",IF(K310=D310,1,0))</f>
        <v/>
      </c>
      <c r="M310" t="inlineStr">
        <is>
          <t>NONE</t>
        </is>
      </c>
      <c r="N310" s="15" t="n">
        <v>1</v>
      </c>
      <c r="O310" s="15" t="n">
        <v>0</v>
      </c>
      <c r="P310">
        <f>IF(M310="","",IF(M310=E310,1,0))</f>
        <v/>
      </c>
      <c r="Q310">
        <f>IF(K310="OK","-",IF(N310&lt;$B$7,"AMBIGUOUS","CONFIDENT"))</f>
        <v/>
      </c>
    </row>
    <row r="311">
      <c r="A311">
        <f>'Runs Z score'!A303</f>
        <v/>
      </c>
      <c r="B311">
        <f>'Runs Z score'!B303</f>
        <v/>
      </c>
      <c r="C311">
        <f>'Runs Z score'!C303</f>
        <v/>
      </c>
      <c r="D311">
        <f>'Runs Z score'!D303</f>
        <v/>
      </c>
      <c r="E311">
        <f>'Runs Z score'!E303</f>
        <v/>
      </c>
      <c r="F311">
        <f>'Runs Z score'!F303</f>
        <v/>
      </c>
      <c r="G311">
        <f>'Runs Z score'!G303</f>
        <v/>
      </c>
      <c r="H311">
        <f>VLOOKUP(C311,Recipes!$A$2:$N$4,10,FALSE())</f>
        <v/>
      </c>
      <c r="I311">
        <f>VLOOKUP(C311,Recipes!$A$2:$N$4,12,FALSE())</f>
        <v/>
      </c>
      <c r="J311">
        <f>IF(G311="","",H311-G311)</f>
        <v/>
      </c>
      <c r="K311">
        <f>IF(G311="","",IF(ABS(G311-H311)&lt;=$B$6*I311,"OK","NG"))</f>
        <v/>
      </c>
      <c r="L311">
        <f>IF(K311="","",IF(K311=D311,1,0))</f>
        <v/>
      </c>
      <c r="M311" t="inlineStr">
        <is>
          <t>S1</t>
        </is>
      </c>
      <c r="N311" s="15" t="n">
        <v>1</v>
      </c>
      <c r="O311" s="15" t="n">
        <v>0</v>
      </c>
      <c r="P311">
        <f>IF(M311="","",IF(M311=E311,1,0))</f>
        <v/>
      </c>
      <c r="Q311">
        <f>IF(K311="OK","-",IF(N311&lt;$B$7,"AMBIGUOUS","CONFIDENT"))</f>
        <v/>
      </c>
    </row>
    <row r="312">
      <c r="A312">
        <f>'Runs Z score'!A304</f>
        <v/>
      </c>
      <c r="B312">
        <f>'Runs Z score'!B304</f>
        <v/>
      </c>
      <c r="C312">
        <f>'Runs Z score'!C304</f>
        <v/>
      </c>
      <c r="D312">
        <f>'Runs Z score'!D304</f>
        <v/>
      </c>
      <c r="E312">
        <f>'Runs Z score'!E304</f>
        <v/>
      </c>
      <c r="F312">
        <f>'Runs Z score'!F304</f>
        <v/>
      </c>
      <c r="G312">
        <f>'Runs Z score'!G304</f>
        <v/>
      </c>
      <c r="H312">
        <f>VLOOKUP(C312,Recipes!$A$2:$N$4,10,FALSE())</f>
        <v/>
      </c>
      <c r="I312">
        <f>VLOOKUP(C312,Recipes!$A$2:$N$4,12,FALSE())</f>
        <v/>
      </c>
      <c r="J312">
        <f>IF(G312="","",H312-G312)</f>
        <v/>
      </c>
      <c r="K312">
        <f>IF(G312="","",IF(ABS(G312-H312)&lt;=$B$6*I312,"OK","NG"))</f>
        <v/>
      </c>
      <c r="L312">
        <f>IF(K312="","",IF(K312=D312,1,0))</f>
        <v/>
      </c>
      <c r="M312" t="inlineStr">
        <is>
          <t>S1</t>
        </is>
      </c>
      <c r="N312" s="15" t="n">
        <v>1</v>
      </c>
      <c r="O312" s="15" t="n">
        <v>0</v>
      </c>
      <c r="P312">
        <f>IF(M312="","",IF(M312=E312,1,0))</f>
        <v/>
      </c>
      <c r="Q312">
        <f>IF(K312="OK","-",IF(N312&lt;$B$7,"AMBIGUOUS","CONFIDENT"))</f>
        <v/>
      </c>
    </row>
    <row r="313">
      <c r="A313">
        <f>'Runs Z score'!A305</f>
        <v/>
      </c>
      <c r="B313">
        <f>'Runs Z score'!B305</f>
        <v/>
      </c>
      <c r="C313">
        <f>'Runs Z score'!C305</f>
        <v/>
      </c>
      <c r="D313">
        <f>'Runs Z score'!D305</f>
        <v/>
      </c>
      <c r="E313">
        <f>'Runs Z score'!E305</f>
        <v/>
      </c>
      <c r="F313">
        <f>'Runs Z score'!F305</f>
        <v/>
      </c>
      <c r="G313">
        <f>'Runs Z score'!G305</f>
        <v/>
      </c>
      <c r="H313">
        <f>VLOOKUP(C313,Recipes!$A$2:$N$4,10,FALSE())</f>
        <v/>
      </c>
      <c r="I313">
        <f>VLOOKUP(C313,Recipes!$A$2:$N$4,12,FALSE())</f>
        <v/>
      </c>
      <c r="J313">
        <f>IF(G313="","",H313-G313)</f>
        <v/>
      </c>
      <c r="K313">
        <f>IF(G313="","",IF(ABS(G313-H313)&lt;=$B$6*I313,"OK","NG"))</f>
        <v/>
      </c>
      <c r="L313">
        <f>IF(K313="","",IF(K313=D313,1,0))</f>
        <v/>
      </c>
      <c r="M313" t="inlineStr">
        <is>
          <t>S1</t>
        </is>
      </c>
      <c r="N313" s="15" t="n">
        <v>1</v>
      </c>
      <c r="O313" s="15" t="n">
        <v>0</v>
      </c>
      <c r="P313">
        <f>IF(M313="","",IF(M313=E313,1,0))</f>
        <v/>
      </c>
      <c r="Q313">
        <f>IF(K313="OK","-",IF(N313&lt;$B$7,"AMBIGUOUS","CONFIDENT"))</f>
        <v/>
      </c>
    </row>
    <row r="314">
      <c r="A314">
        <f>'Runs Z score'!A306</f>
        <v/>
      </c>
      <c r="B314">
        <f>'Runs Z score'!B306</f>
        <v/>
      </c>
      <c r="C314">
        <f>'Runs Z score'!C306</f>
        <v/>
      </c>
      <c r="D314">
        <f>'Runs Z score'!D306</f>
        <v/>
      </c>
      <c r="E314">
        <f>'Runs Z score'!E306</f>
        <v/>
      </c>
      <c r="F314">
        <f>'Runs Z score'!F306</f>
        <v/>
      </c>
      <c r="G314">
        <f>'Runs Z score'!G306</f>
        <v/>
      </c>
      <c r="H314">
        <f>VLOOKUP(C314,Recipes!$A$2:$N$4,10,FALSE())</f>
        <v/>
      </c>
      <c r="I314">
        <f>VLOOKUP(C314,Recipes!$A$2:$N$4,12,FALSE())</f>
        <v/>
      </c>
      <c r="J314">
        <f>IF(G314="","",H314-G314)</f>
        <v/>
      </c>
      <c r="K314">
        <f>IF(G314="","",IF(ABS(G314-H314)&lt;=$B$6*I314,"OK","NG"))</f>
        <v/>
      </c>
      <c r="L314">
        <f>IF(K314="","",IF(K314=D314,1,0))</f>
        <v/>
      </c>
      <c r="M314" t="inlineStr">
        <is>
          <t>S1</t>
        </is>
      </c>
      <c r="N314" s="15" t="n">
        <v>1</v>
      </c>
      <c r="O314" s="15" t="n">
        <v>0</v>
      </c>
      <c r="P314">
        <f>IF(M314="","",IF(M314=E314,1,0))</f>
        <v/>
      </c>
      <c r="Q314">
        <f>IF(K314="OK","-",IF(N314&lt;$B$7,"AMBIGUOUS","CONFIDENT"))</f>
        <v/>
      </c>
    </row>
    <row r="315">
      <c r="A315">
        <f>'Runs Z score'!A307</f>
        <v/>
      </c>
      <c r="B315">
        <f>'Runs Z score'!B307</f>
        <v/>
      </c>
      <c r="C315">
        <f>'Runs Z score'!C307</f>
        <v/>
      </c>
      <c r="D315">
        <f>'Runs Z score'!D307</f>
        <v/>
      </c>
      <c r="E315">
        <f>'Runs Z score'!E307</f>
        <v/>
      </c>
      <c r="F315">
        <f>'Runs Z score'!F307</f>
        <v/>
      </c>
      <c r="G315">
        <f>'Runs Z score'!G307</f>
        <v/>
      </c>
      <c r="H315">
        <f>VLOOKUP(C315,Recipes!$A$2:$N$4,10,FALSE())</f>
        <v/>
      </c>
      <c r="I315">
        <f>VLOOKUP(C315,Recipes!$A$2:$N$4,12,FALSE())</f>
        <v/>
      </c>
      <c r="J315">
        <f>IF(G315="","",H315-G315)</f>
        <v/>
      </c>
      <c r="K315">
        <f>IF(G315="","",IF(ABS(G315-H315)&lt;=$B$6*I315,"OK","NG"))</f>
        <v/>
      </c>
      <c r="L315">
        <f>IF(K315="","",IF(K315=D315,1,0))</f>
        <v/>
      </c>
      <c r="M315" t="inlineStr">
        <is>
          <t>S1</t>
        </is>
      </c>
      <c r="N315" s="15" t="n">
        <v>1</v>
      </c>
      <c r="O315" s="15" t="n">
        <v>0</v>
      </c>
      <c r="P315">
        <f>IF(M315="","",IF(M315=E315,1,0))</f>
        <v/>
      </c>
      <c r="Q315">
        <f>IF(K315="OK","-",IF(N315&lt;$B$7,"AMBIGUOUS","CONFIDENT"))</f>
        <v/>
      </c>
    </row>
    <row r="316">
      <c r="A316">
        <f>'Runs Z score'!A308</f>
        <v/>
      </c>
      <c r="B316">
        <f>'Runs Z score'!B308</f>
        <v/>
      </c>
      <c r="C316">
        <f>'Runs Z score'!C308</f>
        <v/>
      </c>
      <c r="D316">
        <f>'Runs Z score'!D308</f>
        <v/>
      </c>
      <c r="E316">
        <f>'Runs Z score'!E308</f>
        <v/>
      </c>
      <c r="F316">
        <f>'Runs Z score'!F308</f>
        <v/>
      </c>
      <c r="G316">
        <f>'Runs Z score'!G308</f>
        <v/>
      </c>
      <c r="H316">
        <f>VLOOKUP(C316,Recipes!$A$2:$N$4,10,FALSE())</f>
        <v/>
      </c>
      <c r="I316">
        <f>VLOOKUP(C316,Recipes!$A$2:$N$4,12,FALSE())</f>
        <v/>
      </c>
      <c r="J316">
        <f>IF(G316="","",H316-G316)</f>
        <v/>
      </c>
      <c r="K316">
        <f>IF(G316="","",IF(ABS(G316-H316)&lt;=$B$6*I316,"OK","NG"))</f>
        <v/>
      </c>
      <c r="L316">
        <f>IF(K316="","",IF(K316=D316,1,0))</f>
        <v/>
      </c>
      <c r="M316" t="inlineStr">
        <is>
          <t>S1</t>
        </is>
      </c>
      <c r="N316" s="15" t="n">
        <v>1</v>
      </c>
      <c r="O316" s="15" t="n">
        <v>0</v>
      </c>
      <c r="P316">
        <f>IF(M316="","",IF(M316=E316,1,0))</f>
        <v/>
      </c>
      <c r="Q316">
        <f>IF(K316="OK","-",IF(N316&lt;$B$7,"AMBIGUOUS","CONFIDENT"))</f>
        <v/>
      </c>
    </row>
    <row r="317">
      <c r="A317">
        <f>'Runs Z score'!A309</f>
        <v/>
      </c>
      <c r="B317">
        <f>'Runs Z score'!B309</f>
        <v/>
      </c>
      <c r="C317">
        <f>'Runs Z score'!C309</f>
        <v/>
      </c>
      <c r="D317">
        <f>'Runs Z score'!D309</f>
        <v/>
      </c>
      <c r="E317">
        <f>'Runs Z score'!E309</f>
        <v/>
      </c>
      <c r="F317">
        <f>'Runs Z score'!F309</f>
        <v/>
      </c>
      <c r="G317">
        <f>'Runs Z score'!G309</f>
        <v/>
      </c>
      <c r="H317">
        <f>VLOOKUP(C317,Recipes!$A$2:$N$4,10,FALSE())</f>
        <v/>
      </c>
      <c r="I317">
        <f>VLOOKUP(C317,Recipes!$A$2:$N$4,12,FALSE())</f>
        <v/>
      </c>
      <c r="J317">
        <f>IF(G317="","",H317-G317)</f>
        <v/>
      </c>
      <c r="K317">
        <f>IF(G317="","",IF(ABS(G317-H317)&lt;=$B$6*I317,"OK","NG"))</f>
        <v/>
      </c>
      <c r="L317">
        <f>IF(K317="","",IF(K317=D317,1,0))</f>
        <v/>
      </c>
      <c r="M317" t="inlineStr">
        <is>
          <t>S1</t>
        </is>
      </c>
      <c r="N317" s="15" t="n">
        <v>1</v>
      </c>
      <c r="O317" s="15" t="n">
        <v>0</v>
      </c>
      <c r="P317">
        <f>IF(M317="","",IF(M317=E317,1,0))</f>
        <v/>
      </c>
      <c r="Q317">
        <f>IF(K317="OK","-",IF(N317&lt;$B$7,"AMBIGUOUS","CONFIDENT"))</f>
        <v/>
      </c>
    </row>
    <row r="318">
      <c r="A318">
        <f>'Runs Z score'!A310</f>
        <v/>
      </c>
      <c r="B318">
        <f>'Runs Z score'!B310</f>
        <v/>
      </c>
      <c r="C318">
        <f>'Runs Z score'!C310</f>
        <v/>
      </c>
      <c r="D318">
        <f>'Runs Z score'!D310</f>
        <v/>
      </c>
      <c r="E318">
        <f>'Runs Z score'!E310</f>
        <v/>
      </c>
      <c r="F318">
        <f>'Runs Z score'!F310</f>
        <v/>
      </c>
      <c r="G318">
        <f>'Runs Z score'!G310</f>
        <v/>
      </c>
      <c r="H318">
        <f>VLOOKUP(C318,Recipes!$A$2:$N$4,10,FALSE())</f>
        <v/>
      </c>
      <c r="I318">
        <f>VLOOKUP(C318,Recipes!$A$2:$N$4,12,FALSE())</f>
        <v/>
      </c>
      <c r="J318">
        <f>IF(G318="","",H318-G318)</f>
        <v/>
      </c>
      <c r="K318">
        <f>IF(G318="","",IF(ABS(G318-H318)&lt;=$B$6*I318,"OK","NG"))</f>
        <v/>
      </c>
      <c r="L318">
        <f>IF(K318="","",IF(K318=D318,1,0))</f>
        <v/>
      </c>
      <c r="M318" t="inlineStr">
        <is>
          <t>S1</t>
        </is>
      </c>
      <c r="N318" s="15" t="n">
        <v>1</v>
      </c>
      <c r="O318" s="15" t="n">
        <v>0</v>
      </c>
      <c r="P318">
        <f>IF(M318="","",IF(M318=E318,1,0))</f>
        <v/>
      </c>
      <c r="Q318">
        <f>IF(K318="OK","-",IF(N318&lt;$B$7,"AMBIGUOUS","CONFIDENT"))</f>
        <v/>
      </c>
    </row>
    <row r="319">
      <c r="A319">
        <f>'Runs Z score'!A311</f>
        <v/>
      </c>
      <c r="B319">
        <f>'Runs Z score'!B311</f>
        <v/>
      </c>
      <c r="C319">
        <f>'Runs Z score'!C311</f>
        <v/>
      </c>
      <c r="D319">
        <f>'Runs Z score'!D311</f>
        <v/>
      </c>
      <c r="E319">
        <f>'Runs Z score'!E311</f>
        <v/>
      </c>
      <c r="F319">
        <f>'Runs Z score'!F311</f>
        <v/>
      </c>
      <c r="G319">
        <f>'Runs Z score'!G311</f>
        <v/>
      </c>
      <c r="H319">
        <f>VLOOKUP(C319,Recipes!$A$2:$N$4,10,FALSE())</f>
        <v/>
      </c>
      <c r="I319">
        <f>VLOOKUP(C319,Recipes!$A$2:$N$4,12,FALSE())</f>
        <v/>
      </c>
      <c r="J319">
        <f>IF(G319="","",H319-G319)</f>
        <v/>
      </c>
      <c r="K319">
        <f>IF(G319="","",IF(ABS(G319-H319)&lt;=$B$6*I319,"OK","NG"))</f>
        <v/>
      </c>
      <c r="L319">
        <f>IF(K319="","",IF(K319=D319,1,0))</f>
        <v/>
      </c>
      <c r="M319" t="inlineStr">
        <is>
          <t>S1</t>
        </is>
      </c>
      <c r="N319" s="15" t="n">
        <v>1</v>
      </c>
      <c r="O319" s="15" t="n">
        <v>0</v>
      </c>
      <c r="P319">
        <f>IF(M319="","",IF(M319=E319,1,0))</f>
        <v/>
      </c>
      <c r="Q319">
        <f>IF(K319="OK","-",IF(N319&lt;$B$7,"AMBIGUOUS","CONFIDENT"))</f>
        <v/>
      </c>
    </row>
    <row r="320">
      <c r="A320">
        <f>'Runs Z score'!A312</f>
        <v/>
      </c>
      <c r="B320">
        <f>'Runs Z score'!B312</f>
        <v/>
      </c>
      <c r="C320">
        <f>'Runs Z score'!C312</f>
        <v/>
      </c>
      <c r="D320">
        <f>'Runs Z score'!D312</f>
        <v/>
      </c>
      <c r="E320">
        <f>'Runs Z score'!E312</f>
        <v/>
      </c>
      <c r="F320">
        <f>'Runs Z score'!F312</f>
        <v/>
      </c>
      <c r="G320">
        <f>'Runs Z score'!G312</f>
        <v/>
      </c>
      <c r="H320">
        <f>VLOOKUP(C320,Recipes!$A$2:$N$4,10,FALSE())</f>
        <v/>
      </c>
      <c r="I320">
        <f>VLOOKUP(C320,Recipes!$A$2:$N$4,12,FALSE())</f>
        <v/>
      </c>
      <c r="J320">
        <f>IF(G320="","",H320-G320)</f>
        <v/>
      </c>
      <c r="K320">
        <f>IF(G320="","",IF(ABS(G320-H320)&lt;=$B$6*I320,"OK","NG"))</f>
        <v/>
      </c>
      <c r="L320">
        <f>IF(K320="","",IF(K320=D320,1,0))</f>
        <v/>
      </c>
      <c r="M320" t="inlineStr">
        <is>
          <t>S1</t>
        </is>
      </c>
      <c r="N320" s="15" t="n">
        <v>1</v>
      </c>
      <c r="O320" s="15" t="n">
        <v>0</v>
      </c>
      <c r="P320">
        <f>IF(M320="","",IF(M320=E320,1,0))</f>
        <v/>
      </c>
      <c r="Q320">
        <f>IF(K320="OK","-",IF(N320&lt;$B$7,"AMBIGUOUS","CONFIDENT"))</f>
        <v/>
      </c>
    </row>
    <row r="321">
      <c r="A321">
        <f>'Runs Z score'!A313</f>
        <v/>
      </c>
      <c r="B321">
        <f>'Runs Z score'!B313</f>
        <v/>
      </c>
      <c r="C321">
        <f>'Runs Z score'!C313</f>
        <v/>
      </c>
      <c r="D321">
        <f>'Runs Z score'!D313</f>
        <v/>
      </c>
      <c r="E321">
        <f>'Runs Z score'!E313</f>
        <v/>
      </c>
      <c r="F321">
        <f>'Runs Z score'!F313</f>
        <v/>
      </c>
      <c r="G321">
        <f>'Runs Z score'!G313</f>
        <v/>
      </c>
      <c r="H321">
        <f>VLOOKUP(C321,Recipes!$A$2:$N$4,10,FALSE())</f>
        <v/>
      </c>
      <c r="I321">
        <f>VLOOKUP(C321,Recipes!$A$2:$N$4,12,FALSE())</f>
        <v/>
      </c>
      <c r="J321">
        <f>IF(G321="","",H321-G321)</f>
        <v/>
      </c>
      <c r="K321">
        <f>IF(G321="","",IF(ABS(G321-H321)&lt;=$B$6*I321,"OK","NG"))</f>
        <v/>
      </c>
      <c r="L321">
        <f>IF(K321="","",IF(K321=D321,1,0))</f>
        <v/>
      </c>
      <c r="M321" t="inlineStr">
        <is>
          <t>S1</t>
        </is>
      </c>
      <c r="N321" s="15" t="n">
        <v>1</v>
      </c>
      <c r="O321" s="15" t="n">
        <v>0</v>
      </c>
      <c r="P321">
        <f>IF(M321="","",IF(M321=E321,1,0))</f>
        <v/>
      </c>
      <c r="Q321">
        <f>IF(K321="OK","-",IF(N321&lt;$B$7,"AMBIGUOUS","CONFIDENT"))</f>
        <v/>
      </c>
    </row>
    <row r="322">
      <c r="A322">
        <f>'Runs Z score'!A314</f>
        <v/>
      </c>
      <c r="B322">
        <f>'Runs Z score'!B314</f>
        <v/>
      </c>
      <c r="C322">
        <f>'Runs Z score'!C314</f>
        <v/>
      </c>
      <c r="D322">
        <f>'Runs Z score'!D314</f>
        <v/>
      </c>
      <c r="E322">
        <f>'Runs Z score'!E314</f>
        <v/>
      </c>
      <c r="F322">
        <f>'Runs Z score'!F314</f>
        <v/>
      </c>
      <c r="G322">
        <f>'Runs Z score'!G314</f>
        <v/>
      </c>
      <c r="H322">
        <f>VLOOKUP(C322,Recipes!$A$2:$N$4,10,FALSE())</f>
        <v/>
      </c>
      <c r="I322">
        <f>VLOOKUP(C322,Recipes!$A$2:$N$4,12,FALSE())</f>
        <v/>
      </c>
      <c r="J322">
        <f>IF(G322="","",H322-G322)</f>
        <v/>
      </c>
      <c r="K322">
        <f>IF(G322="","",IF(ABS(G322-H322)&lt;=$B$6*I322,"OK","NG"))</f>
        <v/>
      </c>
      <c r="L322">
        <f>IF(K322="","",IF(K322=D322,1,0))</f>
        <v/>
      </c>
      <c r="M322" t="inlineStr">
        <is>
          <t>S1</t>
        </is>
      </c>
      <c r="N322" s="15" t="n">
        <v>1</v>
      </c>
      <c r="O322" s="15" t="n">
        <v>0</v>
      </c>
      <c r="P322">
        <f>IF(M322="","",IF(M322=E322,1,0))</f>
        <v/>
      </c>
      <c r="Q322">
        <f>IF(K322="OK","-",IF(N322&lt;$B$7,"AMBIGUOUS","CONFIDENT"))</f>
        <v/>
      </c>
    </row>
    <row r="323">
      <c r="A323">
        <f>'Runs Z score'!A315</f>
        <v/>
      </c>
      <c r="B323">
        <f>'Runs Z score'!B315</f>
        <v/>
      </c>
      <c r="C323">
        <f>'Runs Z score'!C315</f>
        <v/>
      </c>
      <c r="D323">
        <f>'Runs Z score'!D315</f>
        <v/>
      </c>
      <c r="E323">
        <f>'Runs Z score'!E315</f>
        <v/>
      </c>
      <c r="F323">
        <f>'Runs Z score'!F315</f>
        <v/>
      </c>
      <c r="G323">
        <f>'Runs Z score'!G315</f>
        <v/>
      </c>
      <c r="H323">
        <f>VLOOKUP(C323,Recipes!$A$2:$N$4,10,FALSE())</f>
        <v/>
      </c>
      <c r="I323">
        <f>VLOOKUP(C323,Recipes!$A$2:$N$4,12,FALSE())</f>
        <v/>
      </c>
      <c r="J323">
        <f>IF(G323="","",H323-G323)</f>
        <v/>
      </c>
      <c r="K323">
        <f>IF(G323="","",IF(ABS(G323-H323)&lt;=$B$6*I323,"OK","NG"))</f>
        <v/>
      </c>
      <c r="L323">
        <f>IF(K323="","",IF(K323=D323,1,0))</f>
        <v/>
      </c>
      <c r="M323" t="inlineStr">
        <is>
          <t>S1</t>
        </is>
      </c>
      <c r="N323" s="15" t="n">
        <v>1</v>
      </c>
      <c r="O323" s="15" t="n">
        <v>0</v>
      </c>
      <c r="P323">
        <f>IF(M323="","",IF(M323=E323,1,0))</f>
        <v/>
      </c>
      <c r="Q323">
        <f>IF(K323="OK","-",IF(N323&lt;$B$7,"AMBIGUOUS","CONFIDENT"))</f>
        <v/>
      </c>
    </row>
    <row r="324">
      <c r="A324">
        <f>'Runs Z score'!A316</f>
        <v/>
      </c>
      <c r="B324">
        <f>'Runs Z score'!B316</f>
        <v/>
      </c>
      <c r="C324">
        <f>'Runs Z score'!C316</f>
        <v/>
      </c>
      <c r="D324">
        <f>'Runs Z score'!D316</f>
        <v/>
      </c>
      <c r="E324">
        <f>'Runs Z score'!E316</f>
        <v/>
      </c>
      <c r="F324">
        <f>'Runs Z score'!F316</f>
        <v/>
      </c>
      <c r="G324">
        <f>'Runs Z score'!G316</f>
        <v/>
      </c>
      <c r="H324">
        <f>VLOOKUP(C324,Recipes!$A$2:$N$4,10,FALSE())</f>
        <v/>
      </c>
      <c r="I324">
        <f>VLOOKUP(C324,Recipes!$A$2:$N$4,12,FALSE())</f>
        <v/>
      </c>
      <c r="J324">
        <f>IF(G324="","",H324-G324)</f>
        <v/>
      </c>
      <c r="K324">
        <f>IF(G324="","",IF(ABS(G324-H324)&lt;=$B$6*I324,"OK","NG"))</f>
        <v/>
      </c>
      <c r="L324">
        <f>IF(K324="","",IF(K324=D324,1,0))</f>
        <v/>
      </c>
      <c r="M324" t="inlineStr">
        <is>
          <t>S1</t>
        </is>
      </c>
      <c r="N324" s="15" t="n">
        <v>1</v>
      </c>
      <c r="O324" s="15" t="n">
        <v>0</v>
      </c>
      <c r="P324">
        <f>IF(M324="","",IF(M324=E324,1,0))</f>
        <v/>
      </c>
      <c r="Q324">
        <f>IF(K324="OK","-",IF(N324&lt;$B$7,"AMBIGUOUS","CONFIDENT"))</f>
        <v/>
      </c>
    </row>
    <row r="325">
      <c r="A325">
        <f>'Runs Z score'!A317</f>
        <v/>
      </c>
      <c r="B325">
        <f>'Runs Z score'!B317</f>
        <v/>
      </c>
      <c r="C325">
        <f>'Runs Z score'!C317</f>
        <v/>
      </c>
      <c r="D325">
        <f>'Runs Z score'!D317</f>
        <v/>
      </c>
      <c r="E325">
        <f>'Runs Z score'!E317</f>
        <v/>
      </c>
      <c r="F325">
        <f>'Runs Z score'!F317</f>
        <v/>
      </c>
      <c r="G325">
        <f>'Runs Z score'!G317</f>
        <v/>
      </c>
      <c r="H325">
        <f>VLOOKUP(C325,Recipes!$A$2:$N$4,10,FALSE())</f>
        <v/>
      </c>
      <c r="I325">
        <f>VLOOKUP(C325,Recipes!$A$2:$N$4,12,FALSE())</f>
        <v/>
      </c>
      <c r="J325">
        <f>IF(G325="","",H325-G325)</f>
        <v/>
      </c>
      <c r="K325">
        <f>IF(G325="","",IF(ABS(G325-H325)&lt;=$B$6*I325,"OK","NG"))</f>
        <v/>
      </c>
      <c r="L325">
        <f>IF(K325="","",IF(K325=D325,1,0))</f>
        <v/>
      </c>
      <c r="M325" t="inlineStr">
        <is>
          <t>S1</t>
        </is>
      </c>
      <c r="N325" s="15" t="n">
        <v>1</v>
      </c>
      <c r="O325" s="15" t="n">
        <v>0</v>
      </c>
      <c r="P325">
        <f>IF(M325="","",IF(M325=E325,1,0))</f>
        <v/>
      </c>
      <c r="Q325">
        <f>IF(K325="OK","-",IF(N325&lt;$B$7,"AMBIGUOUS","CONFIDENT"))</f>
        <v/>
      </c>
    </row>
    <row r="326">
      <c r="A326">
        <f>'Runs Z score'!A318</f>
        <v/>
      </c>
      <c r="B326">
        <f>'Runs Z score'!B318</f>
        <v/>
      </c>
      <c r="C326">
        <f>'Runs Z score'!C318</f>
        <v/>
      </c>
      <c r="D326">
        <f>'Runs Z score'!D318</f>
        <v/>
      </c>
      <c r="E326">
        <f>'Runs Z score'!E318</f>
        <v/>
      </c>
      <c r="F326">
        <f>'Runs Z score'!F318</f>
        <v/>
      </c>
      <c r="G326">
        <f>'Runs Z score'!G318</f>
        <v/>
      </c>
      <c r="H326">
        <f>VLOOKUP(C326,Recipes!$A$2:$N$4,10,FALSE())</f>
        <v/>
      </c>
      <c r="I326">
        <f>VLOOKUP(C326,Recipes!$A$2:$N$4,12,FALSE())</f>
        <v/>
      </c>
      <c r="J326">
        <f>IF(G326="","",H326-G326)</f>
        <v/>
      </c>
      <c r="K326">
        <f>IF(G326="","",IF(ABS(G326-H326)&lt;=$B$6*I326,"OK","NG"))</f>
        <v/>
      </c>
      <c r="L326">
        <f>IF(K326="","",IF(K326=D326,1,0))</f>
        <v/>
      </c>
      <c r="M326" t="inlineStr">
        <is>
          <t>S1</t>
        </is>
      </c>
      <c r="N326" s="15" t="n">
        <v>1</v>
      </c>
      <c r="O326" s="15" t="n">
        <v>0</v>
      </c>
      <c r="P326">
        <f>IF(M326="","",IF(M326=E326,1,0))</f>
        <v/>
      </c>
      <c r="Q326">
        <f>IF(K326="OK","-",IF(N326&lt;$B$7,"AMBIGUOUS","CONFIDENT"))</f>
        <v/>
      </c>
    </row>
    <row r="327">
      <c r="A327">
        <f>'Runs Z score'!A319</f>
        <v/>
      </c>
      <c r="B327">
        <f>'Runs Z score'!B319</f>
        <v/>
      </c>
      <c r="C327">
        <f>'Runs Z score'!C319</f>
        <v/>
      </c>
      <c r="D327">
        <f>'Runs Z score'!D319</f>
        <v/>
      </c>
      <c r="E327">
        <f>'Runs Z score'!E319</f>
        <v/>
      </c>
      <c r="F327">
        <f>'Runs Z score'!F319</f>
        <v/>
      </c>
      <c r="G327">
        <f>'Runs Z score'!G319</f>
        <v/>
      </c>
      <c r="H327">
        <f>VLOOKUP(C327,Recipes!$A$2:$N$4,10,FALSE())</f>
        <v/>
      </c>
      <c r="I327">
        <f>VLOOKUP(C327,Recipes!$A$2:$N$4,12,FALSE())</f>
        <v/>
      </c>
      <c r="J327">
        <f>IF(G327="","",H327-G327)</f>
        <v/>
      </c>
      <c r="K327">
        <f>IF(G327="","",IF(ABS(G327-H327)&lt;=$B$6*I327,"OK","NG"))</f>
        <v/>
      </c>
      <c r="L327">
        <f>IF(K327="","",IF(K327=D327,1,0))</f>
        <v/>
      </c>
      <c r="M327" t="inlineStr">
        <is>
          <t>S1</t>
        </is>
      </c>
      <c r="N327" s="15" t="n">
        <v>1</v>
      </c>
      <c r="O327" s="15" t="n">
        <v>0</v>
      </c>
      <c r="P327">
        <f>IF(M327="","",IF(M327=E327,1,0))</f>
        <v/>
      </c>
      <c r="Q327">
        <f>IF(K327="OK","-",IF(N327&lt;$B$7,"AMBIGUOUS","CONFIDENT"))</f>
        <v/>
      </c>
    </row>
    <row r="328">
      <c r="A328">
        <f>'Runs Z score'!A320</f>
        <v/>
      </c>
      <c r="B328">
        <f>'Runs Z score'!B320</f>
        <v/>
      </c>
      <c r="C328">
        <f>'Runs Z score'!C320</f>
        <v/>
      </c>
      <c r="D328">
        <f>'Runs Z score'!D320</f>
        <v/>
      </c>
      <c r="E328">
        <f>'Runs Z score'!E320</f>
        <v/>
      </c>
      <c r="F328">
        <f>'Runs Z score'!F320</f>
        <v/>
      </c>
      <c r="G328">
        <f>'Runs Z score'!G320</f>
        <v/>
      </c>
      <c r="H328">
        <f>VLOOKUP(C328,Recipes!$A$2:$N$4,10,FALSE())</f>
        <v/>
      </c>
      <c r="I328">
        <f>VLOOKUP(C328,Recipes!$A$2:$N$4,12,FALSE())</f>
        <v/>
      </c>
      <c r="J328">
        <f>IF(G328="","",H328-G328)</f>
        <v/>
      </c>
      <c r="K328">
        <f>IF(G328="","",IF(ABS(G328-H328)&lt;=$B$6*I328,"OK","NG"))</f>
        <v/>
      </c>
      <c r="L328">
        <f>IF(K328="","",IF(K328=D328,1,0))</f>
        <v/>
      </c>
      <c r="M328" t="inlineStr">
        <is>
          <t>S1</t>
        </is>
      </c>
      <c r="N328" s="15" t="n">
        <v>1</v>
      </c>
      <c r="O328" s="15" t="n">
        <v>0</v>
      </c>
      <c r="P328">
        <f>IF(M328="","",IF(M328=E328,1,0))</f>
        <v/>
      </c>
      <c r="Q328">
        <f>IF(K328="OK","-",IF(N328&lt;$B$7,"AMBIGUOUS","CONFIDENT"))</f>
        <v/>
      </c>
    </row>
    <row r="329">
      <c r="A329">
        <f>'Runs Z score'!A321</f>
        <v/>
      </c>
      <c r="B329">
        <f>'Runs Z score'!B321</f>
        <v/>
      </c>
      <c r="C329">
        <f>'Runs Z score'!C321</f>
        <v/>
      </c>
      <c r="D329">
        <f>'Runs Z score'!D321</f>
        <v/>
      </c>
      <c r="E329">
        <f>'Runs Z score'!E321</f>
        <v/>
      </c>
      <c r="F329">
        <f>'Runs Z score'!F321</f>
        <v/>
      </c>
      <c r="G329">
        <f>'Runs Z score'!G321</f>
        <v/>
      </c>
      <c r="H329">
        <f>VLOOKUP(C329,Recipes!$A$2:$N$4,10,FALSE())</f>
        <v/>
      </c>
      <c r="I329">
        <f>VLOOKUP(C329,Recipes!$A$2:$N$4,12,FALSE())</f>
        <v/>
      </c>
      <c r="J329">
        <f>IF(G329="","",H329-G329)</f>
        <v/>
      </c>
      <c r="K329">
        <f>IF(G329="","",IF(ABS(G329-H329)&lt;=$B$6*I329,"OK","NG"))</f>
        <v/>
      </c>
      <c r="L329">
        <f>IF(K329="","",IF(K329=D329,1,0))</f>
        <v/>
      </c>
      <c r="M329" t="inlineStr">
        <is>
          <t>S1</t>
        </is>
      </c>
      <c r="N329" s="15" t="n">
        <v>1</v>
      </c>
      <c r="O329" s="15" t="n">
        <v>0</v>
      </c>
      <c r="P329">
        <f>IF(M329="","",IF(M329=E329,1,0))</f>
        <v/>
      </c>
      <c r="Q329">
        <f>IF(K329="OK","-",IF(N329&lt;$B$7,"AMBIGUOUS","CONFIDENT"))</f>
        <v/>
      </c>
    </row>
    <row r="330">
      <c r="A330">
        <f>'Runs Z score'!A322</f>
        <v/>
      </c>
      <c r="B330">
        <f>'Runs Z score'!B322</f>
        <v/>
      </c>
      <c r="C330">
        <f>'Runs Z score'!C322</f>
        <v/>
      </c>
      <c r="D330">
        <f>'Runs Z score'!D322</f>
        <v/>
      </c>
      <c r="E330">
        <f>'Runs Z score'!E322</f>
        <v/>
      </c>
      <c r="F330">
        <f>'Runs Z score'!F322</f>
        <v/>
      </c>
      <c r="G330">
        <f>'Runs Z score'!G322</f>
        <v/>
      </c>
      <c r="H330">
        <f>VLOOKUP(C330,Recipes!$A$2:$N$4,10,FALSE())</f>
        <v/>
      </c>
      <c r="I330">
        <f>VLOOKUP(C330,Recipes!$A$2:$N$4,12,FALSE())</f>
        <v/>
      </c>
      <c r="J330">
        <f>IF(G330="","",H330-G330)</f>
        <v/>
      </c>
      <c r="K330">
        <f>IF(G330="","",IF(ABS(G330-H330)&lt;=$B$6*I330,"OK","NG"))</f>
        <v/>
      </c>
      <c r="L330">
        <f>IF(K330="","",IF(K330=D330,1,0))</f>
        <v/>
      </c>
      <c r="M330" t="inlineStr">
        <is>
          <t>S1</t>
        </is>
      </c>
      <c r="N330" s="15" t="n">
        <v>1</v>
      </c>
      <c r="O330" s="15" t="n">
        <v>0</v>
      </c>
      <c r="P330">
        <f>IF(M330="","",IF(M330=E330,1,0))</f>
        <v/>
      </c>
      <c r="Q330">
        <f>IF(K330="OK","-",IF(N330&lt;$B$7,"AMBIGUOUS","CONFIDENT"))</f>
        <v/>
      </c>
    </row>
    <row r="331">
      <c r="A331">
        <f>'Runs Z score'!A323</f>
        <v/>
      </c>
      <c r="B331">
        <f>'Runs Z score'!B323</f>
        <v/>
      </c>
      <c r="C331">
        <f>'Runs Z score'!C323</f>
        <v/>
      </c>
      <c r="D331">
        <f>'Runs Z score'!D323</f>
        <v/>
      </c>
      <c r="E331">
        <f>'Runs Z score'!E323</f>
        <v/>
      </c>
      <c r="F331">
        <f>'Runs Z score'!F323</f>
        <v/>
      </c>
      <c r="G331">
        <f>'Runs Z score'!G323</f>
        <v/>
      </c>
      <c r="H331">
        <f>VLOOKUP(C331,Recipes!$A$2:$N$4,10,FALSE())</f>
        <v/>
      </c>
      <c r="I331">
        <f>VLOOKUP(C331,Recipes!$A$2:$N$4,12,FALSE())</f>
        <v/>
      </c>
      <c r="J331">
        <f>IF(G331="","",H331-G331)</f>
        <v/>
      </c>
      <c r="K331">
        <f>IF(G331="","",IF(ABS(G331-H331)&lt;=$B$6*I331,"OK","NG"))</f>
        <v/>
      </c>
      <c r="L331">
        <f>IF(K331="","",IF(K331=D331,1,0))</f>
        <v/>
      </c>
      <c r="M331" t="inlineStr">
        <is>
          <t>S1</t>
        </is>
      </c>
      <c r="N331" s="15" t="n">
        <v>1</v>
      </c>
      <c r="O331" s="15" t="n">
        <v>0</v>
      </c>
      <c r="P331">
        <f>IF(M331="","",IF(M331=E331,1,0))</f>
        <v/>
      </c>
      <c r="Q331">
        <f>IF(K331="OK","-",IF(N331&lt;$B$7,"AMBIGUOUS","CONFIDENT"))</f>
        <v/>
      </c>
    </row>
    <row r="332">
      <c r="A332">
        <f>'Runs Z score'!A324</f>
        <v/>
      </c>
      <c r="B332">
        <f>'Runs Z score'!B324</f>
        <v/>
      </c>
      <c r="C332">
        <f>'Runs Z score'!C324</f>
        <v/>
      </c>
      <c r="D332">
        <f>'Runs Z score'!D324</f>
        <v/>
      </c>
      <c r="E332">
        <f>'Runs Z score'!E324</f>
        <v/>
      </c>
      <c r="F332">
        <f>'Runs Z score'!F324</f>
        <v/>
      </c>
      <c r="G332">
        <f>'Runs Z score'!G324</f>
        <v/>
      </c>
      <c r="H332">
        <f>VLOOKUP(C332,Recipes!$A$2:$N$4,10,FALSE())</f>
        <v/>
      </c>
      <c r="I332">
        <f>VLOOKUP(C332,Recipes!$A$2:$N$4,12,FALSE())</f>
        <v/>
      </c>
      <c r="J332">
        <f>IF(G332="","",H332-G332)</f>
        <v/>
      </c>
      <c r="K332">
        <f>IF(G332="","",IF(ABS(G332-H332)&lt;=$B$6*I332,"OK","NG"))</f>
        <v/>
      </c>
      <c r="L332">
        <f>IF(K332="","",IF(K332=D332,1,0))</f>
        <v/>
      </c>
      <c r="M332" t="inlineStr">
        <is>
          <t>S1</t>
        </is>
      </c>
      <c r="N332" s="15" t="n">
        <v>1</v>
      </c>
      <c r="O332" s="15" t="n">
        <v>0</v>
      </c>
      <c r="P332">
        <f>IF(M332="","",IF(M332=E332,1,0))</f>
        <v/>
      </c>
      <c r="Q332">
        <f>IF(K332="OK","-",IF(N332&lt;$B$7,"AMBIGUOUS","CONFIDENT"))</f>
        <v/>
      </c>
    </row>
    <row r="333">
      <c r="A333">
        <f>'Runs Z score'!A325</f>
        <v/>
      </c>
      <c r="B333">
        <f>'Runs Z score'!B325</f>
        <v/>
      </c>
      <c r="C333">
        <f>'Runs Z score'!C325</f>
        <v/>
      </c>
      <c r="D333">
        <f>'Runs Z score'!D325</f>
        <v/>
      </c>
      <c r="E333">
        <f>'Runs Z score'!E325</f>
        <v/>
      </c>
      <c r="F333">
        <f>'Runs Z score'!F325</f>
        <v/>
      </c>
      <c r="G333">
        <f>'Runs Z score'!G325</f>
        <v/>
      </c>
      <c r="H333">
        <f>VLOOKUP(C333,Recipes!$A$2:$N$4,10,FALSE())</f>
        <v/>
      </c>
      <c r="I333">
        <f>VLOOKUP(C333,Recipes!$A$2:$N$4,12,FALSE())</f>
        <v/>
      </c>
      <c r="J333">
        <f>IF(G333="","",H333-G333)</f>
        <v/>
      </c>
      <c r="K333">
        <f>IF(G333="","",IF(ABS(G333-H333)&lt;=$B$6*I333,"OK","NG"))</f>
        <v/>
      </c>
      <c r="L333">
        <f>IF(K333="","",IF(K333=D333,1,0))</f>
        <v/>
      </c>
      <c r="M333" t="inlineStr">
        <is>
          <t>S1</t>
        </is>
      </c>
      <c r="N333" s="15" t="n">
        <v>1</v>
      </c>
      <c r="O333" s="15" t="n">
        <v>0</v>
      </c>
      <c r="P333">
        <f>IF(M333="","",IF(M333=E333,1,0))</f>
        <v/>
      </c>
      <c r="Q333">
        <f>IF(K333="OK","-",IF(N333&lt;$B$7,"AMBIGUOUS","CONFIDENT"))</f>
        <v/>
      </c>
    </row>
    <row r="334">
      <c r="A334">
        <f>'Runs Z score'!A326</f>
        <v/>
      </c>
      <c r="B334">
        <f>'Runs Z score'!B326</f>
        <v/>
      </c>
      <c r="C334">
        <f>'Runs Z score'!C326</f>
        <v/>
      </c>
      <c r="D334">
        <f>'Runs Z score'!D326</f>
        <v/>
      </c>
      <c r="E334">
        <f>'Runs Z score'!E326</f>
        <v/>
      </c>
      <c r="F334">
        <f>'Runs Z score'!F326</f>
        <v/>
      </c>
      <c r="G334">
        <f>'Runs Z score'!G326</f>
        <v/>
      </c>
      <c r="H334">
        <f>VLOOKUP(C334,Recipes!$A$2:$N$4,10,FALSE())</f>
        <v/>
      </c>
      <c r="I334">
        <f>VLOOKUP(C334,Recipes!$A$2:$N$4,12,FALSE())</f>
        <v/>
      </c>
      <c r="J334">
        <f>IF(G334="","",H334-G334)</f>
        <v/>
      </c>
      <c r="K334">
        <f>IF(G334="","",IF(ABS(G334-H334)&lt;=$B$6*I334,"OK","NG"))</f>
        <v/>
      </c>
      <c r="L334">
        <f>IF(K334="","",IF(K334=D334,1,0))</f>
        <v/>
      </c>
      <c r="M334" t="inlineStr">
        <is>
          <t>S1</t>
        </is>
      </c>
      <c r="N334" s="15" t="n">
        <v>1</v>
      </c>
      <c r="O334" s="15" t="n">
        <v>0</v>
      </c>
      <c r="P334">
        <f>IF(M334="","",IF(M334=E334,1,0))</f>
        <v/>
      </c>
      <c r="Q334">
        <f>IF(K334="OK","-",IF(N334&lt;$B$7,"AMBIGUOUS","CONFIDENT"))</f>
        <v/>
      </c>
    </row>
    <row r="335">
      <c r="A335">
        <f>'Runs Z score'!A327</f>
        <v/>
      </c>
      <c r="B335">
        <f>'Runs Z score'!B327</f>
        <v/>
      </c>
      <c r="C335">
        <f>'Runs Z score'!C327</f>
        <v/>
      </c>
      <c r="D335">
        <f>'Runs Z score'!D327</f>
        <v/>
      </c>
      <c r="E335">
        <f>'Runs Z score'!E327</f>
        <v/>
      </c>
      <c r="F335">
        <f>'Runs Z score'!F327</f>
        <v/>
      </c>
      <c r="G335">
        <f>'Runs Z score'!G327</f>
        <v/>
      </c>
      <c r="H335">
        <f>VLOOKUP(C335,Recipes!$A$2:$N$4,10,FALSE())</f>
        <v/>
      </c>
      <c r="I335">
        <f>VLOOKUP(C335,Recipes!$A$2:$N$4,12,FALSE())</f>
        <v/>
      </c>
      <c r="J335">
        <f>IF(G335="","",H335-G335)</f>
        <v/>
      </c>
      <c r="K335">
        <f>IF(G335="","",IF(ABS(G335-H335)&lt;=$B$6*I335,"OK","NG"))</f>
        <v/>
      </c>
      <c r="L335">
        <f>IF(K335="","",IF(K335=D335,1,0))</f>
        <v/>
      </c>
      <c r="M335" t="inlineStr">
        <is>
          <t>S1</t>
        </is>
      </c>
      <c r="N335" s="15" t="n">
        <v>1</v>
      </c>
      <c r="O335" s="15" t="n">
        <v>0</v>
      </c>
      <c r="P335">
        <f>IF(M335="","",IF(M335=E335,1,0))</f>
        <v/>
      </c>
      <c r="Q335">
        <f>IF(K335="OK","-",IF(N335&lt;$B$7,"AMBIGUOUS","CONFIDENT"))</f>
        <v/>
      </c>
    </row>
    <row r="336">
      <c r="A336">
        <f>'Runs Z score'!A328</f>
        <v/>
      </c>
      <c r="B336">
        <f>'Runs Z score'!B328</f>
        <v/>
      </c>
      <c r="C336">
        <f>'Runs Z score'!C328</f>
        <v/>
      </c>
      <c r="D336">
        <f>'Runs Z score'!D328</f>
        <v/>
      </c>
      <c r="E336">
        <f>'Runs Z score'!E328</f>
        <v/>
      </c>
      <c r="F336">
        <f>'Runs Z score'!F328</f>
        <v/>
      </c>
      <c r="G336">
        <f>'Runs Z score'!G328</f>
        <v/>
      </c>
      <c r="H336">
        <f>VLOOKUP(C336,Recipes!$A$2:$N$4,10,FALSE())</f>
        <v/>
      </c>
      <c r="I336">
        <f>VLOOKUP(C336,Recipes!$A$2:$N$4,12,FALSE())</f>
        <v/>
      </c>
      <c r="J336">
        <f>IF(G336="","",H336-G336)</f>
        <v/>
      </c>
      <c r="K336">
        <f>IF(G336="","",IF(ABS(G336-H336)&lt;=$B$6*I336,"OK","NG"))</f>
        <v/>
      </c>
      <c r="L336">
        <f>IF(K336="","",IF(K336=D336,1,0))</f>
        <v/>
      </c>
      <c r="M336" t="inlineStr">
        <is>
          <t>S1</t>
        </is>
      </c>
      <c r="N336" s="15" t="n">
        <v>1</v>
      </c>
      <c r="O336" s="15" t="n">
        <v>0</v>
      </c>
      <c r="P336">
        <f>IF(M336="","",IF(M336=E336,1,0))</f>
        <v/>
      </c>
      <c r="Q336">
        <f>IF(K336="OK","-",IF(N336&lt;$B$7,"AMBIGUOUS","CONFIDENT"))</f>
        <v/>
      </c>
    </row>
    <row r="337">
      <c r="A337">
        <f>'Runs Z score'!A329</f>
        <v/>
      </c>
      <c r="B337">
        <f>'Runs Z score'!B329</f>
        <v/>
      </c>
      <c r="C337">
        <f>'Runs Z score'!C329</f>
        <v/>
      </c>
      <c r="D337">
        <f>'Runs Z score'!D329</f>
        <v/>
      </c>
      <c r="E337">
        <f>'Runs Z score'!E329</f>
        <v/>
      </c>
      <c r="F337">
        <f>'Runs Z score'!F329</f>
        <v/>
      </c>
      <c r="G337">
        <f>'Runs Z score'!G329</f>
        <v/>
      </c>
      <c r="H337">
        <f>VLOOKUP(C337,Recipes!$A$2:$N$4,10,FALSE())</f>
        <v/>
      </c>
      <c r="I337">
        <f>VLOOKUP(C337,Recipes!$A$2:$N$4,12,FALSE())</f>
        <v/>
      </c>
      <c r="J337">
        <f>IF(G337="","",H337-G337)</f>
        <v/>
      </c>
      <c r="K337">
        <f>IF(G337="","",IF(ABS(G337-H337)&lt;=$B$6*I337,"OK","NG"))</f>
        <v/>
      </c>
      <c r="L337">
        <f>IF(K337="","",IF(K337=D337,1,0))</f>
        <v/>
      </c>
      <c r="M337" t="inlineStr">
        <is>
          <t>S1</t>
        </is>
      </c>
      <c r="N337" s="15" t="n">
        <v>1</v>
      </c>
      <c r="O337" s="15" t="n">
        <v>0</v>
      </c>
      <c r="P337">
        <f>IF(M337="","",IF(M337=E337,1,0))</f>
        <v/>
      </c>
      <c r="Q337">
        <f>IF(K337="OK","-",IF(N337&lt;$B$7,"AMBIGUOUS","CONFIDENT"))</f>
        <v/>
      </c>
    </row>
    <row r="338">
      <c r="A338">
        <f>'Runs Z score'!A330</f>
        <v/>
      </c>
      <c r="B338">
        <f>'Runs Z score'!B330</f>
        <v/>
      </c>
      <c r="C338">
        <f>'Runs Z score'!C330</f>
        <v/>
      </c>
      <c r="D338">
        <f>'Runs Z score'!D330</f>
        <v/>
      </c>
      <c r="E338">
        <f>'Runs Z score'!E330</f>
        <v/>
      </c>
      <c r="F338">
        <f>'Runs Z score'!F330</f>
        <v/>
      </c>
      <c r="G338">
        <f>'Runs Z score'!G330</f>
        <v/>
      </c>
      <c r="H338">
        <f>VLOOKUP(C338,Recipes!$A$2:$N$4,10,FALSE())</f>
        <v/>
      </c>
      <c r="I338">
        <f>VLOOKUP(C338,Recipes!$A$2:$N$4,12,FALSE())</f>
        <v/>
      </c>
      <c r="J338">
        <f>IF(G338="","",H338-G338)</f>
        <v/>
      </c>
      <c r="K338">
        <f>IF(G338="","",IF(ABS(G338-H338)&lt;=$B$6*I338,"OK","NG"))</f>
        <v/>
      </c>
      <c r="L338">
        <f>IF(K338="","",IF(K338=D338,1,0))</f>
        <v/>
      </c>
      <c r="M338" t="inlineStr">
        <is>
          <t>S1</t>
        </is>
      </c>
      <c r="N338" s="15" t="n">
        <v>1</v>
      </c>
      <c r="O338" s="15" t="n">
        <v>0</v>
      </c>
      <c r="P338">
        <f>IF(M338="","",IF(M338=E338,1,0))</f>
        <v/>
      </c>
      <c r="Q338">
        <f>IF(K338="OK","-",IF(N338&lt;$B$7,"AMBIGUOUS","CONFIDENT"))</f>
        <v/>
      </c>
    </row>
    <row r="339">
      <c r="A339">
        <f>'Runs Z score'!A331</f>
        <v/>
      </c>
      <c r="B339">
        <f>'Runs Z score'!B331</f>
        <v/>
      </c>
      <c r="C339">
        <f>'Runs Z score'!C331</f>
        <v/>
      </c>
      <c r="D339">
        <f>'Runs Z score'!D331</f>
        <v/>
      </c>
      <c r="E339">
        <f>'Runs Z score'!E331</f>
        <v/>
      </c>
      <c r="F339">
        <f>'Runs Z score'!F331</f>
        <v/>
      </c>
      <c r="G339">
        <f>'Runs Z score'!G331</f>
        <v/>
      </c>
      <c r="H339">
        <f>VLOOKUP(C339,Recipes!$A$2:$N$4,10,FALSE())</f>
        <v/>
      </c>
      <c r="I339">
        <f>VLOOKUP(C339,Recipes!$A$2:$N$4,12,FALSE())</f>
        <v/>
      </c>
      <c r="J339">
        <f>IF(G339="","",H339-G339)</f>
        <v/>
      </c>
      <c r="K339">
        <f>IF(G339="","",IF(ABS(G339-H339)&lt;=$B$6*I339,"OK","NG"))</f>
        <v/>
      </c>
      <c r="L339">
        <f>IF(K339="","",IF(K339=D339,1,0))</f>
        <v/>
      </c>
      <c r="M339" t="inlineStr">
        <is>
          <t>S1</t>
        </is>
      </c>
      <c r="N339" s="15" t="n">
        <v>1</v>
      </c>
      <c r="O339" s="15" t="n">
        <v>0</v>
      </c>
      <c r="P339">
        <f>IF(M339="","",IF(M339=E339,1,0))</f>
        <v/>
      </c>
      <c r="Q339">
        <f>IF(K339="OK","-",IF(N339&lt;$B$7,"AMBIGUOUS","CONFIDENT"))</f>
        <v/>
      </c>
    </row>
    <row r="340">
      <c r="A340">
        <f>'Runs Z score'!A332</f>
        <v/>
      </c>
      <c r="B340">
        <f>'Runs Z score'!B332</f>
        <v/>
      </c>
      <c r="C340">
        <f>'Runs Z score'!C332</f>
        <v/>
      </c>
      <c r="D340">
        <f>'Runs Z score'!D332</f>
        <v/>
      </c>
      <c r="E340">
        <f>'Runs Z score'!E332</f>
        <v/>
      </c>
      <c r="F340">
        <f>'Runs Z score'!F332</f>
        <v/>
      </c>
      <c r="G340">
        <f>'Runs Z score'!G332</f>
        <v/>
      </c>
      <c r="H340">
        <f>VLOOKUP(C340,Recipes!$A$2:$N$4,10,FALSE())</f>
        <v/>
      </c>
      <c r="I340">
        <f>VLOOKUP(C340,Recipes!$A$2:$N$4,12,FALSE())</f>
        <v/>
      </c>
      <c r="J340">
        <f>IF(G340="","",H340-G340)</f>
        <v/>
      </c>
      <c r="K340">
        <f>IF(G340="","",IF(ABS(G340-H340)&lt;=$B$6*I340,"OK","NG"))</f>
        <v/>
      </c>
      <c r="L340">
        <f>IF(K340="","",IF(K340=D340,1,0))</f>
        <v/>
      </c>
      <c r="M340" t="inlineStr">
        <is>
          <t>S1</t>
        </is>
      </c>
      <c r="N340" s="15" t="n">
        <v>1</v>
      </c>
      <c r="O340" s="15" t="n">
        <v>0</v>
      </c>
      <c r="P340">
        <f>IF(M340="","",IF(M340=E340,1,0))</f>
        <v/>
      </c>
      <c r="Q340">
        <f>IF(K340="OK","-",IF(N340&lt;$B$7,"AMBIGUOUS","CONFIDENT"))</f>
        <v/>
      </c>
    </row>
    <row r="341">
      <c r="A341">
        <f>'Runs Z score'!A333</f>
        <v/>
      </c>
      <c r="B341">
        <f>'Runs Z score'!B333</f>
        <v/>
      </c>
      <c r="C341">
        <f>'Runs Z score'!C333</f>
        <v/>
      </c>
      <c r="D341">
        <f>'Runs Z score'!D333</f>
        <v/>
      </c>
      <c r="E341">
        <f>'Runs Z score'!E333</f>
        <v/>
      </c>
      <c r="F341">
        <f>'Runs Z score'!F333</f>
        <v/>
      </c>
      <c r="G341">
        <f>'Runs Z score'!G333</f>
        <v/>
      </c>
      <c r="H341">
        <f>VLOOKUP(C341,Recipes!$A$2:$N$4,10,FALSE())</f>
        <v/>
      </c>
      <c r="I341">
        <f>VLOOKUP(C341,Recipes!$A$2:$N$4,12,FALSE())</f>
        <v/>
      </c>
      <c r="J341">
        <f>IF(G341="","",H341-G341)</f>
        <v/>
      </c>
      <c r="K341">
        <f>IF(G341="","",IF(ABS(G341-H341)&lt;=$B$6*I341,"OK","NG"))</f>
        <v/>
      </c>
      <c r="L341">
        <f>IF(K341="","",IF(K341=D341,1,0))</f>
        <v/>
      </c>
      <c r="M341" t="inlineStr">
        <is>
          <t>W1</t>
        </is>
      </c>
      <c r="N341" s="15" t="n">
        <v>0.987</v>
      </c>
      <c r="O341" s="15" t="n">
        <v>0.013</v>
      </c>
      <c r="P341">
        <f>IF(M341="","",IF(M341=E341,1,0))</f>
        <v/>
      </c>
      <c r="Q341">
        <f>IF(K341="OK","-",IF(N341&lt;$B$7,"AMBIGUOUS","CONFIDENT"))</f>
        <v/>
      </c>
    </row>
    <row r="342">
      <c r="A342">
        <f>'Runs Z score'!A334</f>
        <v/>
      </c>
      <c r="B342">
        <f>'Runs Z score'!B334</f>
        <v/>
      </c>
      <c r="C342">
        <f>'Runs Z score'!C334</f>
        <v/>
      </c>
      <c r="D342">
        <f>'Runs Z score'!D334</f>
        <v/>
      </c>
      <c r="E342">
        <f>'Runs Z score'!E334</f>
        <v/>
      </c>
      <c r="F342">
        <f>'Runs Z score'!F334</f>
        <v/>
      </c>
      <c r="G342">
        <f>'Runs Z score'!G334</f>
        <v/>
      </c>
      <c r="H342">
        <f>VLOOKUP(C342,Recipes!$A$2:$N$4,10,FALSE())</f>
        <v/>
      </c>
      <c r="I342">
        <f>VLOOKUP(C342,Recipes!$A$2:$N$4,12,FALSE())</f>
        <v/>
      </c>
      <c r="J342">
        <f>IF(G342="","",H342-G342)</f>
        <v/>
      </c>
      <c r="K342">
        <f>IF(G342="","",IF(ABS(G342-H342)&lt;=$B$6*I342,"OK","NG"))</f>
        <v/>
      </c>
      <c r="L342">
        <f>IF(K342="","",IF(K342=D342,1,0))</f>
        <v/>
      </c>
      <c r="M342" t="inlineStr">
        <is>
          <t>W1</t>
        </is>
      </c>
      <c r="N342" s="15" t="n">
        <v>1</v>
      </c>
      <c r="O342" s="15" t="n">
        <v>0</v>
      </c>
      <c r="P342">
        <f>IF(M342="","",IF(M342=E342,1,0))</f>
        <v/>
      </c>
      <c r="Q342">
        <f>IF(K342="OK","-",IF(N342&lt;$B$7,"AMBIGUOUS","CONFIDENT"))</f>
        <v/>
      </c>
    </row>
    <row r="343">
      <c r="A343">
        <f>'Runs Z score'!A335</f>
        <v/>
      </c>
      <c r="B343">
        <f>'Runs Z score'!B335</f>
        <v/>
      </c>
      <c r="C343">
        <f>'Runs Z score'!C335</f>
        <v/>
      </c>
      <c r="D343">
        <f>'Runs Z score'!D335</f>
        <v/>
      </c>
      <c r="E343">
        <f>'Runs Z score'!E335</f>
        <v/>
      </c>
      <c r="F343">
        <f>'Runs Z score'!F335</f>
        <v/>
      </c>
      <c r="G343">
        <f>'Runs Z score'!G335</f>
        <v/>
      </c>
      <c r="H343">
        <f>VLOOKUP(C343,Recipes!$A$2:$N$4,10,FALSE())</f>
        <v/>
      </c>
      <c r="I343">
        <f>VLOOKUP(C343,Recipes!$A$2:$N$4,12,FALSE())</f>
        <v/>
      </c>
      <c r="J343">
        <f>IF(G343="","",H343-G343)</f>
        <v/>
      </c>
      <c r="K343">
        <f>IF(G343="","",IF(ABS(G343-H343)&lt;=$B$6*I343,"OK","NG"))</f>
        <v/>
      </c>
      <c r="L343">
        <f>IF(K343="","",IF(K343=D343,1,0))</f>
        <v/>
      </c>
      <c r="M343" t="inlineStr">
        <is>
          <t>N1</t>
        </is>
      </c>
      <c r="N343" s="15" t="n">
        <v>0.8834</v>
      </c>
      <c r="O343" s="15" t="n">
        <v>0.0721</v>
      </c>
      <c r="P343">
        <f>IF(M343="","",IF(M343=E343,1,0))</f>
        <v/>
      </c>
      <c r="Q343">
        <f>IF(K343="OK","-",IF(N343&lt;$B$7,"AMBIGUOUS","CONFIDENT"))</f>
        <v/>
      </c>
    </row>
    <row r="344">
      <c r="A344">
        <f>'Runs Z score'!A336</f>
        <v/>
      </c>
      <c r="B344">
        <f>'Runs Z score'!B336</f>
        <v/>
      </c>
      <c r="C344">
        <f>'Runs Z score'!C336</f>
        <v/>
      </c>
      <c r="D344">
        <f>'Runs Z score'!D336</f>
        <v/>
      </c>
      <c r="E344">
        <f>'Runs Z score'!E336</f>
        <v/>
      </c>
      <c r="F344">
        <f>'Runs Z score'!F336</f>
        <v/>
      </c>
      <c r="G344">
        <f>'Runs Z score'!G336</f>
        <v/>
      </c>
      <c r="H344">
        <f>VLOOKUP(C344,Recipes!$A$2:$N$4,10,FALSE())</f>
        <v/>
      </c>
      <c r="I344">
        <f>VLOOKUP(C344,Recipes!$A$2:$N$4,12,FALSE())</f>
        <v/>
      </c>
      <c r="J344">
        <f>IF(G344="","",H344-G344)</f>
        <v/>
      </c>
      <c r="K344">
        <f>IF(G344="","",IF(ABS(G344-H344)&lt;=$B$6*I344,"OK","NG"))</f>
        <v/>
      </c>
      <c r="L344">
        <f>IF(K344="","",IF(K344=D344,1,0))</f>
        <v/>
      </c>
      <c r="M344" t="inlineStr">
        <is>
          <t>W1</t>
        </is>
      </c>
      <c r="N344" s="15" t="n">
        <v>0.9825</v>
      </c>
      <c r="O344" s="15" t="n">
        <v>0.0175</v>
      </c>
      <c r="P344">
        <f>IF(M344="","",IF(M344=E344,1,0))</f>
        <v/>
      </c>
      <c r="Q344">
        <f>IF(K344="OK","-",IF(N344&lt;$B$7,"AMBIGUOUS","CONFIDENT"))</f>
        <v/>
      </c>
    </row>
    <row r="345">
      <c r="A345">
        <f>'Runs Z score'!A337</f>
        <v/>
      </c>
      <c r="B345">
        <f>'Runs Z score'!B337</f>
        <v/>
      </c>
      <c r="C345">
        <f>'Runs Z score'!C337</f>
        <v/>
      </c>
      <c r="D345">
        <f>'Runs Z score'!D337</f>
        <v/>
      </c>
      <c r="E345">
        <f>'Runs Z score'!E337</f>
        <v/>
      </c>
      <c r="F345">
        <f>'Runs Z score'!F337</f>
        <v/>
      </c>
      <c r="G345">
        <f>'Runs Z score'!G337</f>
        <v/>
      </c>
      <c r="H345">
        <f>VLOOKUP(C345,Recipes!$A$2:$N$4,10,FALSE())</f>
        <v/>
      </c>
      <c r="I345">
        <f>VLOOKUP(C345,Recipes!$A$2:$N$4,12,FALSE())</f>
        <v/>
      </c>
      <c r="J345">
        <f>IF(G345="","",H345-G345)</f>
        <v/>
      </c>
      <c r="K345">
        <f>IF(G345="","",IF(ABS(G345-H345)&lt;=$B$6*I345,"OK","NG"))</f>
        <v/>
      </c>
      <c r="L345">
        <f>IF(K345="","",IF(K345=D345,1,0))</f>
        <v/>
      </c>
      <c r="M345" t="inlineStr">
        <is>
          <t>W1</t>
        </is>
      </c>
      <c r="N345" s="15" t="n">
        <v>0.8351</v>
      </c>
      <c r="O345" s="15" t="n">
        <v>0.1649</v>
      </c>
      <c r="P345">
        <f>IF(M345="","",IF(M345=E345,1,0))</f>
        <v/>
      </c>
      <c r="Q345">
        <f>IF(K345="OK","-",IF(N345&lt;$B$7,"AMBIGUOUS","CONFIDENT"))</f>
        <v/>
      </c>
    </row>
    <row r="346">
      <c r="A346">
        <f>'Runs Z score'!A338</f>
        <v/>
      </c>
      <c r="B346">
        <f>'Runs Z score'!B338</f>
        <v/>
      </c>
      <c r="C346">
        <f>'Runs Z score'!C338</f>
        <v/>
      </c>
      <c r="D346">
        <f>'Runs Z score'!D338</f>
        <v/>
      </c>
      <c r="E346">
        <f>'Runs Z score'!E338</f>
        <v/>
      </c>
      <c r="F346">
        <f>'Runs Z score'!F338</f>
        <v/>
      </c>
      <c r="G346">
        <f>'Runs Z score'!G338</f>
        <v/>
      </c>
      <c r="H346">
        <f>VLOOKUP(C346,Recipes!$A$2:$N$4,10,FALSE())</f>
        <v/>
      </c>
      <c r="I346">
        <f>VLOOKUP(C346,Recipes!$A$2:$N$4,12,FALSE())</f>
        <v/>
      </c>
      <c r="J346">
        <f>IF(G346="","",H346-G346)</f>
        <v/>
      </c>
      <c r="K346">
        <f>IF(G346="","",IF(ABS(G346-H346)&lt;=$B$6*I346,"OK","NG"))</f>
        <v/>
      </c>
      <c r="L346">
        <f>IF(K346="","",IF(K346=D346,1,0))</f>
        <v/>
      </c>
      <c r="M346" t="inlineStr">
        <is>
          <t>W1</t>
        </is>
      </c>
      <c r="N346" s="15" t="n">
        <v>0.734</v>
      </c>
      <c r="O346" s="15" t="n">
        <v>0.2659</v>
      </c>
      <c r="P346">
        <f>IF(M346="","",IF(M346=E346,1,0))</f>
        <v/>
      </c>
      <c r="Q346">
        <f>IF(K346="OK","-",IF(N346&lt;$B$7,"AMBIGUOUS","CONFIDENT"))</f>
        <v/>
      </c>
    </row>
    <row r="347">
      <c r="A347">
        <f>'Runs Z score'!A339</f>
        <v/>
      </c>
      <c r="B347">
        <f>'Runs Z score'!B339</f>
        <v/>
      </c>
      <c r="C347">
        <f>'Runs Z score'!C339</f>
        <v/>
      </c>
      <c r="D347">
        <f>'Runs Z score'!D339</f>
        <v/>
      </c>
      <c r="E347">
        <f>'Runs Z score'!E339</f>
        <v/>
      </c>
      <c r="F347">
        <f>'Runs Z score'!F339</f>
        <v/>
      </c>
      <c r="G347">
        <f>'Runs Z score'!G339</f>
        <v/>
      </c>
      <c r="H347">
        <f>VLOOKUP(C347,Recipes!$A$2:$N$4,10,FALSE())</f>
        <v/>
      </c>
      <c r="I347">
        <f>VLOOKUP(C347,Recipes!$A$2:$N$4,12,FALSE())</f>
        <v/>
      </c>
      <c r="J347">
        <f>IF(G347="","",H347-G347)</f>
        <v/>
      </c>
      <c r="K347">
        <f>IF(G347="","",IF(ABS(G347-H347)&lt;=$B$6*I347,"OK","NG"))</f>
        <v/>
      </c>
      <c r="L347">
        <f>IF(K347="","",IF(K347=D347,1,0))</f>
        <v/>
      </c>
      <c r="M347" t="inlineStr">
        <is>
          <t>W1</t>
        </is>
      </c>
      <c r="N347" s="15" t="n">
        <v>0.9979</v>
      </c>
      <c r="O347" s="15" t="n">
        <v>0.0021</v>
      </c>
      <c r="P347">
        <f>IF(M347="","",IF(M347=E347,1,0))</f>
        <v/>
      </c>
      <c r="Q347">
        <f>IF(K347="OK","-",IF(N347&lt;$B$7,"AMBIGUOUS","CONFIDENT"))</f>
        <v/>
      </c>
    </row>
    <row r="348">
      <c r="A348">
        <f>'Runs Z score'!A340</f>
        <v/>
      </c>
      <c r="B348">
        <f>'Runs Z score'!B340</f>
        <v/>
      </c>
      <c r="C348">
        <f>'Runs Z score'!C340</f>
        <v/>
      </c>
      <c r="D348">
        <f>'Runs Z score'!D340</f>
        <v/>
      </c>
      <c r="E348">
        <f>'Runs Z score'!E340</f>
        <v/>
      </c>
      <c r="F348">
        <f>'Runs Z score'!F340</f>
        <v/>
      </c>
      <c r="G348">
        <f>'Runs Z score'!G340</f>
        <v/>
      </c>
      <c r="H348">
        <f>VLOOKUP(C348,Recipes!$A$2:$N$4,10,FALSE())</f>
        <v/>
      </c>
      <c r="I348">
        <f>VLOOKUP(C348,Recipes!$A$2:$N$4,12,FALSE())</f>
        <v/>
      </c>
      <c r="J348">
        <f>IF(G348="","",H348-G348)</f>
        <v/>
      </c>
      <c r="K348">
        <f>IF(G348="","",IF(ABS(G348-H348)&lt;=$B$6*I348,"OK","NG"))</f>
        <v/>
      </c>
      <c r="L348">
        <f>IF(K348="","",IF(K348=D348,1,0))</f>
        <v/>
      </c>
      <c r="M348" t="inlineStr">
        <is>
          <t>W1</t>
        </is>
      </c>
      <c r="N348" s="15" t="n">
        <v>0.999</v>
      </c>
      <c r="O348" s="15" t="n">
        <v>0.001</v>
      </c>
      <c r="P348">
        <f>IF(M348="","",IF(M348=E348,1,0))</f>
        <v/>
      </c>
      <c r="Q348">
        <f>IF(K348="OK","-",IF(N348&lt;$B$7,"AMBIGUOUS","CONFIDENT"))</f>
        <v/>
      </c>
    </row>
    <row r="349">
      <c r="A349">
        <f>'Runs Z score'!A341</f>
        <v/>
      </c>
      <c r="B349">
        <f>'Runs Z score'!B341</f>
        <v/>
      </c>
      <c r="C349">
        <f>'Runs Z score'!C341</f>
        <v/>
      </c>
      <c r="D349">
        <f>'Runs Z score'!D341</f>
        <v/>
      </c>
      <c r="E349">
        <f>'Runs Z score'!E341</f>
        <v/>
      </c>
      <c r="F349">
        <f>'Runs Z score'!F341</f>
        <v/>
      </c>
      <c r="G349">
        <f>'Runs Z score'!G341</f>
        <v/>
      </c>
      <c r="H349">
        <f>VLOOKUP(C349,Recipes!$A$2:$N$4,10,FALSE())</f>
        <v/>
      </c>
      <c r="I349">
        <f>VLOOKUP(C349,Recipes!$A$2:$N$4,12,FALSE())</f>
        <v/>
      </c>
      <c r="J349">
        <f>IF(G349="","",H349-G349)</f>
        <v/>
      </c>
      <c r="K349">
        <f>IF(G349="","",IF(ABS(G349-H349)&lt;=$B$6*I349,"OK","NG"))</f>
        <v/>
      </c>
      <c r="L349">
        <f>IF(K349="","",IF(K349=D349,1,0))</f>
        <v/>
      </c>
      <c r="M349" t="inlineStr">
        <is>
          <t>W1</t>
        </is>
      </c>
      <c r="N349" s="15" t="n">
        <v>0.999</v>
      </c>
      <c r="O349" s="15" t="n">
        <v>0.001</v>
      </c>
      <c r="P349">
        <f>IF(M349="","",IF(M349=E349,1,0))</f>
        <v/>
      </c>
      <c r="Q349">
        <f>IF(K349="OK","-",IF(N349&lt;$B$7,"AMBIGUOUS","CONFIDENT"))</f>
        <v/>
      </c>
    </row>
    <row r="350">
      <c r="A350">
        <f>'Runs Z score'!A342</f>
        <v/>
      </c>
      <c r="B350">
        <f>'Runs Z score'!B342</f>
        <v/>
      </c>
      <c r="C350">
        <f>'Runs Z score'!C342</f>
        <v/>
      </c>
      <c r="D350">
        <f>'Runs Z score'!D342</f>
        <v/>
      </c>
      <c r="E350">
        <f>'Runs Z score'!E342</f>
        <v/>
      </c>
      <c r="F350">
        <f>'Runs Z score'!F342</f>
        <v/>
      </c>
      <c r="G350">
        <f>'Runs Z score'!G342</f>
        <v/>
      </c>
      <c r="H350">
        <f>VLOOKUP(C350,Recipes!$A$2:$N$4,10,FALSE())</f>
        <v/>
      </c>
      <c r="I350">
        <f>VLOOKUP(C350,Recipes!$A$2:$N$4,12,FALSE())</f>
        <v/>
      </c>
      <c r="J350">
        <f>IF(G350="","",H350-G350)</f>
        <v/>
      </c>
      <c r="K350">
        <f>IF(G350="","",IF(ABS(G350-H350)&lt;=$B$6*I350,"OK","NG"))</f>
        <v/>
      </c>
      <c r="L350">
        <f>IF(K350="","",IF(K350=D350,1,0))</f>
        <v/>
      </c>
      <c r="M350" t="inlineStr">
        <is>
          <t>W1</t>
        </is>
      </c>
      <c r="N350" s="15" t="n">
        <v>0.9992</v>
      </c>
      <c r="O350" s="15" t="n">
        <v>0.0008</v>
      </c>
      <c r="P350">
        <f>IF(M350="","",IF(M350=E350,1,0))</f>
        <v/>
      </c>
      <c r="Q350">
        <f>IF(K350="OK","-",IF(N350&lt;$B$7,"AMBIGUOUS","CONFIDENT"))</f>
        <v/>
      </c>
    </row>
    <row r="351">
      <c r="A351">
        <f>'Runs Z score'!A343</f>
        <v/>
      </c>
      <c r="B351">
        <f>'Runs Z score'!B343</f>
        <v/>
      </c>
      <c r="C351">
        <f>'Runs Z score'!C343</f>
        <v/>
      </c>
      <c r="D351">
        <f>'Runs Z score'!D343</f>
        <v/>
      </c>
      <c r="E351">
        <f>'Runs Z score'!E343</f>
        <v/>
      </c>
      <c r="F351">
        <f>'Runs Z score'!F343</f>
        <v/>
      </c>
      <c r="G351">
        <f>'Runs Z score'!G343</f>
        <v/>
      </c>
      <c r="H351">
        <f>VLOOKUP(C351,Recipes!$A$2:$N$4,10,FALSE())</f>
        <v/>
      </c>
      <c r="I351">
        <f>VLOOKUP(C351,Recipes!$A$2:$N$4,12,FALSE())</f>
        <v/>
      </c>
      <c r="J351">
        <f>IF(G351="","",H351-G351)</f>
        <v/>
      </c>
      <c r="K351">
        <f>IF(G351="","",IF(ABS(G351-H351)&lt;=$B$6*I351,"OK","NG"))</f>
        <v/>
      </c>
      <c r="L351">
        <f>IF(K351="","",IF(K351=D351,1,0))</f>
        <v/>
      </c>
      <c r="M351" t="inlineStr">
        <is>
          <t>W1</t>
        </is>
      </c>
      <c r="N351" s="15" t="n">
        <v>0.9996</v>
      </c>
      <c r="O351" s="15" t="n">
        <v>0.0004</v>
      </c>
      <c r="P351">
        <f>IF(M351="","",IF(M351=E351,1,0))</f>
        <v/>
      </c>
      <c r="Q351">
        <f>IF(K351="OK","-",IF(N351&lt;$B$7,"AMBIGUOUS","CONFIDENT"))</f>
        <v/>
      </c>
    </row>
    <row r="352">
      <c r="A352">
        <f>'Runs Z score'!A344</f>
        <v/>
      </c>
      <c r="B352">
        <f>'Runs Z score'!B344</f>
        <v/>
      </c>
      <c r="C352">
        <f>'Runs Z score'!C344</f>
        <v/>
      </c>
      <c r="D352">
        <f>'Runs Z score'!D344</f>
        <v/>
      </c>
      <c r="E352">
        <f>'Runs Z score'!E344</f>
        <v/>
      </c>
      <c r="F352">
        <f>'Runs Z score'!F344</f>
        <v/>
      </c>
      <c r="G352">
        <f>'Runs Z score'!G344</f>
        <v/>
      </c>
      <c r="H352">
        <f>VLOOKUP(C352,Recipes!$A$2:$N$4,10,FALSE())</f>
        <v/>
      </c>
      <c r="I352">
        <f>VLOOKUP(C352,Recipes!$A$2:$N$4,12,FALSE())</f>
        <v/>
      </c>
      <c r="J352">
        <f>IF(G352="","",H352-G352)</f>
        <v/>
      </c>
      <c r="K352">
        <f>IF(G352="","",IF(ABS(G352-H352)&lt;=$B$6*I352,"OK","NG"))</f>
        <v/>
      </c>
      <c r="L352">
        <f>IF(K352="","",IF(K352=D352,1,0))</f>
        <v/>
      </c>
      <c r="M352" t="inlineStr">
        <is>
          <t>W1</t>
        </is>
      </c>
      <c r="N352" s="15" t="n">
        <v>0.9871</v>
      </c>
      <c r="O352" s="15" t="n">
        <v>0.0129</v>
      </c>
      <c r="P352">
        <f>IF(M352="","",IF(M352=E352,1,0))</f>
        <v/>
      </c>
      <c r="Q352">
        <f>IF(K352="OK","-",IF(N352&lt;$B$7,"AMBIGUOUS","CONFIDENT"))</f>
        <v/>
      </c>
    </row>
    <row r="353">
      <c r="A353">
        <f>'Runs Z score'!A345</f>
        <v/>
      </c>
      <c r="B353">
        <f>'Runs Z score'!B345</f>
        <v/>
      </c>
      <c r="C353">
        <f>'Runs Z score'!C345</f>
        <v/>
      </c>
      <c r="D353">
        <f>'Runs Z score'!D345</f>
        <v/>
      </c>
      <c r="E353">
        <f>'Runs Z score'!E345</f>
        <v/>
      </c>
      <c r="F353">
        <f>'Runs Z score'!F345</f>
        <v/>
      </c>
      <c r="G353">
        <f>'Runs Z score'!G345</f>
        <v/>
      </c>
      <c r="H353">
        <f>VLOOKUP(C353,Recipes!$A$2:$N$4,10,FALSE())</f>
        <v/>
      </c>
      <c r="I353">
        <f>VLOOKUP(C353,Recipes!$A$2:$N$4,12,FALSE())</f>
        <v/>
      </c>
      <c r="J353">
        <f>IF(G353="","",H353-G353)</f>
        <v/>
      </c>
      <c r="K353">
        <f>IF(G353="","",IF(ABS(G353-H353)&lt;=$B$6*I353,"OK","NG"))</f>
        <v/>
      </c>
      <c r="L353">
        <f>IF(K353="","",IF(K353=D353,1,0))</f>
        <v/>
      </c>
      <c r="M353" t="inlineStr">
        <is>
          <t>W1</t>
        </is>
      </c>
      <c r="N353" s="15" t="n">
        <v>0.9996</v>
      </c>
      <c r="O353" s="15" t="n">
        <v>0.0004</v>
      </c>
      <c r="P353">
        <f>IF(M353="","",IF(M353=E353,1,0))</f>
        <v/>
      </c>
      <c r="Q353">
        <f>IF(K353="OK","-",IF(N353&lt;$B$7,"AMBIGUOUS","CONFIDENT"))</f>
        <v/>
      </c>
    </row>
    <row r="354">
      <c r="A354">
        <f>'Runs Z score'!A346</f>
        <v/>
      </c>
      <c r="B354">
        <f>'Runs Z score'!B346</f>
        <v/>
      </c>
      <c r="C354">
        <f>'Runs Z score'!C346</f>
        <v/>
      </c>
      <c r="D354">
        <f>'Runs Z score'!D346</f>
        <v/>
      </c>
      <c r="E354">
        <f>'Runs Z score'!E346</f>
        <v/>
      </c>
      <c r="F354">
        <f>'Runs Z score'!F346</f>
        <v/>
      </c>
      <c r="G354">
        <f>'Runs Z score'!G346</f>
        <v/>
      </c>
      <c r="H354">
        <f>VLOOKUP(C354,Recipes!$A$2:$N$4,10,FALSE())</f>
        <v/>
      </c>
      <c r="I354">
        <f>VLOOKUP(C354,Recipes!$A$2:$N$4,12,FALSE())</f>
        <v/>
      </c>
      <c r="J354">
        <f>IF(G354="","",H354-G354)</f>
        <v/>
      </c>
      <c r="K354">
        <f>IF(G354="","",IF(ABS(G354-H354)&lt;=$B$6*I354,"OK","NG"))</f>
        <v/>
      </c>
      <c r="L354">
        <f>IF(K354="","",IF(K354=D354,1,0))</f>
        <v/>
      </c>
      <c r="M354" t="inlineStr">
        <is>
          <t>W1</t>
        </is>
      </c>
      <c r="N354" s="15" t="n">
        <v>0.9769</v>
      </c>
      <c r="O354" s="15" t="n">
        <v>0.0231</v>
      </c>
      <c r="P354">
        <f>IF(M354="","",IF(M354=E354,1,0))</f>
        <v/>
      </c>
      <c r="Q354">
        <f>IF(K354="OK","-",IF(N354&lt;$B$7,"AMBIGUOUS","CONFIDENT"))</f>
        <v/>
      </c>
    </row>
    <row r="355">
      <c r="A355">
        <f>'Runs Z score'!A347</f>
        <v/>
      </c>
      <c r="B355">
        <f>'Runs Z score'!B347</f>
        <v/>
      </c>
      <c r="C355">
        <f>'Runs Z score'!C347</f>
        <v/>
      </c>
      <c r="D355">
        <f>'Runs Z score'!D347</f>
        <v/>
      </c>
      <c r="E355">
        <f>'Runs Z score'!E347</f>
        <v/>
      </c>
      <c r="F355">
        <f>'Runs Z score'!F347</f>
        <v/>
      </c>
      <c r="G355">
        <f>'Runs Z score'!G347</f>
        <v/>
      </c>
      <c r="H355">
        <f>VLOOKUP(C355,Recipes!$A$2:$N$4,10,FALSE())</f>
        <v/>
      </c>
      <c r="I355">
        <f>VLOOKUP(C355,Recipes!$A$2:$N$4,12,FALSE())</f>
        <v/>
      </c>
      <c r="J355">
        <f>IF(G355="","",H355-G355)</f>
        <v/>
      </c>
      <c r="K355">
        <f>IF(G355="","",IF(ABS(G355-H355)&lt;=$B$6*I355,"OK","NG"))</f>
        <v/>
      </c>
      <c r="L355">
        <f>IF(K355="","",IF(K355=D355,1,0))</f>
        <v/>
      </c>
      <c r="M355" t="inlineStr">
        <is>
          <t>W1</t>
        </is>
      </c>
      <c r="N355" s="15" t="n">
        <v>0.9981</v>
      </c>
      <c r="O355" s="15" t="n">
        <v>0.0019</v>
      </c>
      <c r="P355">
        <f>IF(M355="","",IF(M355=E355,1,0))</f>
        <v/>
      </c>
      <c r="Q355">
        <f>IF(K355="OK","-",IF(N355&lt;$B$7,"AMBIGUOUS","CONFIDENT"))</f>
        <v/>
      </c>
    </row>
    <row r="356">
      <c r="A356">
        <f>'Runs Z score'!A348</f>
        <v/>
      </c>
      <c r="B356">
        <f>'Runs Z score'!B348</f>
        <v/>
      </c>
      <c r="C356">
        <f>'Runs Z score'!C348</f>
        <v/>
      </c>
      <c r="D356">
        <f>'Runs Z score'!D348</f>
        <v/>
      </c>
      <c r="E356">
        <f>'Runs Z score'!E348</f>
        <v/>
      </c>
      <c r="F356">
        <f>'Runs Z score'!F348</f>
        <v/>
      </c>
      <c r="G356">
        <f>'Runs Z score'!G348</f>
        <v/>
      </c>
      <c r="H356">
        <f>VLOOKUP(C356,Recipes!$A$2:$N$4,10,FALSE())</f>
        <v/>
      </c>
      <c r="I356">
        <f>VLOOKUP(C356,Recipes!$A$2:$N$4,12,FALSE())</f>
        <v/>
      </c>
      <c r="J356">
        <f>IF(G356="","",H356-G356)</f>
        <v/>
      </c>
      <c r="K356">
        <f>IF(G356="","",IF(ABS(G356-H356)&lt;=$B$6*I356,"OK","NG"))</f>
        <v/>
      </c>
      <c r="L356">
        <f>IF(K356="","",IF(K356=D356,1,0))</f>
        <v/>
      </c>
      <c r="M356" t="inlineStr">
        <is>
          <t>W1</t>
        </is>
      </c>
      <c r="N356" s="15" t="n">
        <v>0.9996</v>
      </c>
      <c r="O356" s="15" t="n">
        <v>0.0004</v>
      </c>
      <c r="P356">
        <f>IF(M356="","",IF(M356=E356,1,0))</f>
        <v/>
      </c>
      <c r="Q356">
        <f>IF(K356="OK","-",IF(N356&lt;$B$7,"AMBIGUOUS","CONFIDENT"))</f>
        <v/>
      </c>
    </row>
    <row r="357">
      <c r="A357">
        <f>'Runs Z score'!A349</f>
        <v/>
      </c>
      <c r="B357">
        <f>'Runs Z score'!B349</f>
        <v/>
      </c>
      <c r="C357">
        <f>'Runs Z score'!C349</f>
        <v/>
      </c>
      <c r="D357">
        <f>'Runs Z score'!D349</f>
        <v/>
      </c>
      <c r="E357">
        <f>'Runs Z score'!E349</f>
        <v/>
      </c>
      <c r="F357">
        <f>'Runs Z score'!F349</f>
        <v/>
      </c>
      <c r="G357">
        <f>'Runs Z score'!G349</f>
        <v/>
      </c>
      <c r="H357">
        <f>VLOOKUP(C357,Recipes!$A$2:$N$4,10,FALSE())</f>
        <v/>
      </c>
      <c r="I357">
        <f>VLOOKUP(C357,Recipes!$A$2:$N$4,12,FALSE())</f>
        <v/>
      </c>
      <c r="J357">
        <f>IF(G357="","",H357-G357)</f>
        <v/>
      </c>
      <c r="K357">
        <f>IF(G357="","",IF(ABS(G357-H357)&lt;=$B$6*I357,"OK","NG"))</f>
        <v/>
      </c>
      <c r="L357">
        <f>IF(K357="","",IF(K357=D357,1,0))</f>
        <v/>
      </c>
      <c r="M357" t="inlineStr">
        <is>
          <t>W1</t>
        </is>
      </c>
      <c r="N357" s="15" t="n">
        <v>0.9347</v>
      </c>
      <c r="O357" s="15" t="n">
        <v>0.0653</v>
      </c>
      <c r="P357">
        <f>IF(M357="","",IF(M357=E357,1,0))</f>
        <v/>
      </c>
      <c r="Q357">
        <f>IF(K357="OK","-",IF(N357&lt;$B$7,"AMBIGUOUS","CONFIDENT"))</f>
        <v/>
      </c>
    </row>
    <row r="358">
      <c r="A358">
        <f>'Runs Z score'!A350</f>
        <v/>
      </c>
      <c r="B358">
        <f>'Runs Z score'!B350</f>
        <v/>
      </c>
      <c r="C358">
        <f>'Runs Z score'!C350</f>
        <v/>
      </c>
      <c r="D358">
        <f>'Runs Z score'!D350</f>
        <v/>
      </c>
      <c r="E358">
        <f>'Runs Z score'!E350</f>
        <v/>
      </c>
      <c r="F358">
        <f>'Runs Z score'!F350</f>
        <v/>
      </c>
      <c r="G358">
        <f>'Runs Z score'!G350</f>
        <v/>
      </c>
      <c r="H358">
        <f>VLOOKUP(C358,Recipes!$A$2:$N$4,10,FALSE())</f>
        <v/>
      </c>
      <c r="I358">
        <f>VLOOKUP(C358,Recipes!$A$2:$N$4,12,FALSE())</f>
        <v/>
      </c>
      <c r="J358">
        <f>IF(G358="","",H358-G358)</f>
        <v/>
      </c>
      <c r="K358">
        <f>IF(G358="","",IF(ABS(G358-H358)&lt;=$B$6*I358,"OK","NG"))</f>
        <v/>
      </c>
      <c r="L358">
        <f>IF(K358="","",IF(K358=D358,1,0))</f>
        <v/>
      </c>
      <c r="M358" t="inlineStr">
        <is>
          <t>W1</t>
        </is>
      </c>
      <c r="N358" s="15" t="n">
        <v>0.9995000000000001</v>
      </c>
      <c r="O358" s="15" t="n">
        <v>0.0005</v>
      </c>
      <c r="P358">
        <f>IF(M358="","",IF(M358=E358,1,0))</f>
        <v/>
      </c>
      <c r="Q358">
        <f>IF(K358="OK","-",IF(N358&lt;$B$7,"AMBIGUOUS","CONFIDENT"))</f>
        <v/>
      </c>
    </row>
    <row r="359">
      <c r="A359">
        <f>'Runs Z score'!A351</f>
        <v/>
      </c>
      <c r="B359">
        <f>'Runs Z score'!B351</f>
        <v/>
      </c>
      <c r="C359">
        <f>'Runs Z score'!C351</f>
        <v/>
      </c>
      <c r="D359">
        <f>'Runs Z score'!D351</f>
        <v/>
      </c>
      <c r="E359">
        <f>'Runs Z score'!E351</f>
        <v/>
      </c>
      <c r="F359">
        <f>'Runs Z score'!F351</f>
        <v/>
      </c>
      <c r="G359">
        <f>'Runs Z score'!G351</f>
        <v/>
      </c>
      <c r="H359">
        <f>VLOOKUP(C359,Recipes!$A$2:$N$4,10,FALSE())</f>
        <v/>
      </c>
      <c r="I359">
        <f>VLOOKUP(C359,Recipes!$A$2:$N$4,12,FALSE())</f>
        <v/>
      </c>
      <c r="J359">
        <f>IF(G359="","",H359-G359)</f>
        <v/>
      </c>
      <c r="K359">
        <f>IF(G359="","",IF(ABS(G359-H359)&lt;=$B$6*I359,"OK","NG"))</f>
        <v/>
      </c>
      <c r="L359">
        <f>IF(K359="","",IF(K359=D359,1,0))</f>
        <v/>
      </c>
      <c r="M359" t="inlineStr">
        <is>
          <t>W1</t>
        </is>
      </c>
      <c r="N359" s="15" t="n">
        <v>0.9871</v>
      </c>
      <c r="O359" s="15" t="n">
        <v>0.0129</v>
      </c>
      <c r="P359">
        <f>IF(M359="","",IF(M359=E359,1,0))</f>
        <v/>
      </c>
      <c r="Q359">
        <f>IF(K359="OK","-",IF(N359&lt;$B$7,"AMBIGUOUS","CONFIDENT"))</f>
        <v/>
      </c>
    </row>
    <row r="360">
      <c r="A360">
        <f>'Runs Z score'!A352</f>
        <v/>
      </c>
      <c r="B360">
        <f>'Runs Z score'!B352</f>
        <v/>
      </c>
      <c r="C360">
        <f>'Runs Z score'!C352</f>
        <v/>
      </c>
      <c r="D360">
        <f>'Runs Z score'!D352</f>
        <v/>
      </c>
      <c r="E360">
        <f>'Runs Z score'!E352</f>
        <v/>
      </c>
      <c r="F360">
        <f>'Runs Z score'!F352</f>
        <v/>
      </c>
      <c r="G360">
        <f>'Runs Z score'!G352</f>
        <v/>
      </c>
      <c r="H360">
        <f>VLOOKUP(C360,Recipes!$A$2:$N$4,10,FALSE())</f>
        <v/>
      </c>
      <c r="I360">
        <f>VLOOKUP(C360,Recipes!$A$2:$N$4,12,FALSE())</f>
        <v/>
      </c>
      <c r="J360">
        <f>IF(G360="","",H360-G360)</f>
        <v/>
      </c>
      <c r="K360">
        <f>IF(G360="","",IF(ABS(G360-H360)&lt;=$B$6*I360,"OK","NG"))</f>
        <v/>
      </c>
      <c r="L360">
        <f>IF(K360="","",IF(K360=D360,1,0))</f>
        <v/>
      </c>
      <c r="M360" t="inlineStr">
        <is>
          <t>W1</t>
        </is>
      </c>
      <c r="N360" s="15" t="n">
        <v>0.9604</v>
      </c>
      <c r="O360" s="15" t="n">
        <v>0.0396</v>
      </c>
      <c r="P360">
        <f>IF(M360="","",IF(M360=E360,1,0))</f>
        <v/>
      </c>
      <c r="Q360">
        <f>IF(K360="OK","-",IF(N360&lt;$B$7,"AMBIGUOUS","CONFIDENT"))</f>
        <v/>
      </c>
    </row>
    <row r="361">
      <c r="A361">
        <f>'Runs Z score'!A353</f>
        <v/>
      </c>
      <c r="B361">
        <f>'Runs Z score'!B353</f>
        <v/>
      </c>
      <c r="C361">
        <f>'Runs Z score'!C353</f>
        <v/>
      </c>
      <c r="D361">
        <f>'Runs Z score'!D353</f>
        <v/>
      </c>
      <c r="E361">
        <f>'Runs Z score'!E353</f>
        <v/>
      </c>
      <c r="F361">
        <f>'Runs Z score'!F353</f>
        <v/>
      </c>
      <c r="G361">
        <f>'Runs Z score'!G353</f>
        <v/>
      </c>
      <c r="H361">
        <f>VLOOKUP(C361,Recipes!$A$2:$N$4,10,FALSE())</f>
        <v/>
      </c>
      <c r="I361">
        <f>VLOOKUP(C361,Recipes!$A$2:$N$4,12,FALSE())</f>
        <v/>
      </c>
      <c r="J361">
        <f>IF(G361="","",H361-G361)</f>
        <v/>
      </c>
      <c r="K361">
        <f>IF(G361="","",IF(ABS(G361-H361)&lt;=$B$6*I361,"OK","NG"))</f>
        <v/>
      </c>
      <c r="L361">
        <f>IF(K361="","",IF(K361=D361,1,0))</f>
        <v/>
      </c>
      <c r="M361" t="inlineStr">
        <is>
          <t>W1</t>
        </is>
      </c>
      <c r="N361" s="15" t="n">
        <v>0.9929</v>
      </c>
      <c r="O361" s="15" t="n">
        <v>0.0071</v>
      </c>
      <c r="P361">
        <f>IF(M361="","",IF(M361=E361,1,0))</f>
        <v/>
      </c>
      <c r="Q361">
        <f>IF(K361="OK","-",IF(N361&lt;$B$7,"AMBIGUOUS","CONFIDENT"))</f>
        <v/>
      </c>
    </row>
    <row r="362">
      <c r="A362">
        <f>'Runs Z score'!A354</f>
        <v/>
      </c>
      <c r="B362">
        <f>'Runs Z score'!B354</f>
        <v/>
      </c>
      <c r="C362">
        <f>'Runs Z score'!C354</f>
        <v/>
      </c>
      <c r="D362">
        <f>'Runs Z score'!D354</f>
        <v/>
      </c>
      <c r="E362">
        <f>'Runs Z score'!E354</f>
        <v/>
      </c>
      <c r="F362">
        <f>'Runs Z score'!F354</f>
        <v/>
      </c>
      <c r="G362">
        <f>'Runs Z score'!G354</f>
        <v/>
      </c>
      <c r="H362">
        <f>VLOOKUP(C362,Recipes!$A$2:$N$4,10,FALSE())</f>
        <v/>
      </c>
      <c r="I362">
        <f>VLOOKUP(C362,Recipes!$A$2:$N$4,12,FALSE())</f>
        <v/>
      </c>
      <c r="J362">
        <f>IF(G362="","",H362-G362)</f>
        <v/>
      </c>
      <c r="K362">
        <f>IF(G362="","",IF(ABS(G362-H362)&lt;=$B$6*I362,"OK","NG"))</f>
        <v/>
      </c>
      <c r="L362">
        <f>IF(K362="","",IF(K362=D362,1,0))</f>
        <v/>
      </c>
      <c r="M362" t="inlineStr">
        <is>
          <t>W1</t>
        </is>
      </c>
      <c r="N362" s="15" t="n">
        <v>0.9999</v>
      </c>
      <c r="O362" s="15" t="n">
        <v>0.0001</v>
      </c>
      <c r="P362">
        <f>IF(M362="","",IF(M362=E362,1,0))</f>
        <v/>
      </c>
      <c r="Q362">
        <f>IF(K362="OK","-",IF(N362&lt;$B$7,"AMBIGUOUS","CONFIDENT"))</f>
        <v/>
      </c>
    </row>
    <row r="363">
      <c r="A363">
        <f>'Runs Z score'!A355</f>
        <v/>
      </c>
      <c r="B363">
        <f>'Runs Z score'!B355</f>
        <v/>
      </c>
      <c r="C363">
        <f>'Runs Z score'!C355</f>
        <v/>
      </c>
      <c r="D363">
        <f>'Runs Z score'!D355</f>
        <v/>
      </c>
      <c r="E363">
        <f>'Runs Z score'!E355</f>
        <v/>
      </c>
      <c r="F363">
        <f>'Runs Z score'!F355</f>
        <v/>
      </c>
      <c r="G363">
        <f>'Runs Z score'!G355</f>
        <v/>
      </c>
      <c r="H363">
        <f>VLOOKUP(C363,Recipes!$A$2:$N$4,10,FALSE())</f>
        <v/>
      </c>
      <c r="I363">
        <f>VLOOKUP(C363,Recipes!$A$2:$N$4,12,FALSE())</f>
        <v/>
      </c>
      <c r="J363">
        <f>IF(G363="","",H363-G363)</f>
        <v/>
      </c>
      <c r="K363">
        <f>IF(G363="","",IF(ABS(G363-H363)&lt;=$B$6*I363,"OK","NG"))</f>
        <v/>
      </c>
      <c r="L363">
        <f>IF(K363="","",IF(K363=D363,1,0))</f>
        <v/>
      </c>
      <c r="M363" t="inlineStr">
        <is>
          <t>N1</t>
        </is>
      </c>
      <c r="N363" s="15" t="n">
        <v>0.8993</v>
      </c>
      <c r="O363" s="15" t="n">
        <v>0.0863</v>
      </c>
      <c r="P363">
        <f>IF(M363="","",IF(M363=E363,1,0))</f>
        <v/>
      </c>
      <c r="Q363">
        <f>IF(K363="OK","-",IF(N363&lt;$B$7,"AMBIGUOUS","CONFIDENT"))</f>
        <v/>
      </c>
    </row>
    <row r="364">
      <c r="A364">
        <f>'Runs Z score'!A356</f>
        <v/>
      </c>
      <c r="B364">
        <f>'Runs Z score'!B356</f>
        <v/>
      </c>
      <c r="C364">
        <f>'Runs Z score'!C356</f>
        <v/>
      </c>
      <c r="D364">
        <f>'Runs Z score'!D356</f>
        <v/>
      </c>
      <c r="E364">
        <f>'Runs Z score'!E356</f>
        <v/>
      </c>
      <c r="F364">
        <f>'Runs Z score'!F356</f>
        <v/>
      </c>
      <c r="G364">
        <f>'Runs Z score'!G356</f>
        <v/>
      </c>
      <c r="H364">
        <f>VLOOKUP(C364,Recipes!$A$2:$N$4,10,FALSE())</f>
        <v/>
      </c>
      <c r="I364">
        <f>VLOOKUP(C364,Recipes!$A$2:$N$4,12,FALSE())</f>
        <v/>
      </c>
      <c r="J364">
        <f>IF(G364="","",H364-G364)</f>
        <v/>
      </c>
      <c r="K364">
        <f>IF(G364="","",IF(ABS(G364-H364)&lt;=$B$6*I364,"OK","NG"))</f>
        <v/>
      </c>
      <c r="L364">
        <f>IF(K364="","",IF(K364=D364,1,0))</f>
        <v/>
      </c>
      <c r="M364" t="inlineStr">
        <is>
          <t>W1</t>
        </is>
      </c>
      <c r="N364" s="15" t="n">
        <v>1</v>
      </c>
      <c r="O364" s="15" t="n">
        <v>0</v>
      </c>
      <c r="P364">
        <f>IF(M364="","",IF(M364=E364,1,0))</f>
        <v/>
      </c>
      <c r="Q364">
        <f>IF(K364="OK","-",IF(N364&lt;$B$7,"AMBIGUOUS","CONFIDENT"))</f>
        <v/>
      </c>
    </row>
    <row r="365">
      <c r="A365">
        <f>'Runs Z score'!A357</f>
        <v/>
      </c>
      <c r="B365">
        <f>'Runs Z score'!B357</f>
        <v/>
      </c>
      <c r="C365">
        <f>'Runs Z score'!C357</f>
        <v/>
      </c>
      <c r="D365">
        <f>'Runs Z score'!D357</f>
        <v/>
      </c>
      <c r="E365">
        <f>'Runs Z score'!E357</f>
        <v/>
      </c>
      <c r="F365">
        <f>'Runs Z score'!F357</f>
        <v/>
      </c>
      <c r="G365">
        <f>'Runs Z score'!G357</f>
        <v/>
      </c>
      <c r="H365">
        <f>VLOOKUP(C365,Recipes!$A$2:$N$4,10,FALSE())</f>
        <v/>
      </c>
      <c r="I365">
        <f>VLOOKUP(C365,Recipes!$A$2:$N$4,12,FALSE())</f>
        <v/>
      </c>
      <c r="J365">
        <f>IF(G365="","",H365-G365)</f>
        <v/>
      </c>
      <c r="K365">
        <f>IF(G365="","",IF(ABS(G365-H365)&lt;=$B$6*I365,"OK","NG"))</f>
        <v/>
      </c>
      <c r="L365">
        <f>IF(K365="","",IF(K365=D365,1,0))</f>
        <v/>
      </c>
      <c r="M365" t="inlineStr">
        <is>
          <t>W1</t>
        </is>
      </c>
      <c r="N365" s="15" t="n">
        <v>0.9984</v>
      </c>
      <c r="O365" s="15" t="n">
        <v>0.0016</v>
      </c>
      <c r="P365">
        <f>IF(M365="","",IF(M365=E365,1,0))</f>
        <v/>
      </c>
      <c r="Q365">
        <f>IF(K365="OK","-",IF(N365&lt;$B$7,"AMBIGUOUS","CONFIDENT"))</f>
        <v/>
      </c>
    </row>
    <row r="366">
      <c r="A366">
        <f>'Runs Z score'!A358</f>
        <v/>
      </c>
      <c r="B366">
        <f>'Runs Z score'!B358</f>
        <v/>
      </c>
      <c r="C366">
        <f>'Runs Z score'!C358</f>
        <v/>
      </c>
      <c r="D366">
        <f>'Runs Z score'!D358</f>
        <v/>
      </c>
      <c r="E366">
        <f>'Runs Z score'!E358</f>
        <v/>
      </c>
      <c r="F366">
        <f>'Runs Z score'!F358</f>
        <v/>
      </c>
      <c r="G366">
        <f>'Runs Z score'!G358</f>
        <v/>
      </c>
      <c r="H366">
        <f>VLOOKUP(C366,Recipes!$A$2:$N$4,10,FALSE())</f>
        <v/>
      </c>
      <c r="I366">
        <f>VLOOKUP(C366,Recipes!$A$2:$N$4,12,FALSE())</f>
        <v/>
      </c>
      <c r="J366">
        <f>IF(G366="","",H366-G366)</f>
        <v/>
      </c>
      <c r="K366">
        <f>IF(G366="","",IF(ABS(G366-H366)&lt;=$B$6*I366,"OK","NG"))</f>
        <v/>
      </c>
      <c r="L366">
        <f>IF(K366="","",IF(K366=D366,1,0))</f>
        <v/>
      </c>
      <c r="M366" t="inlineStr">
        <is>
          <t>N1</t>
        </is>
      </c>
      <c r="N366" s="15" t="n">
        <v>0.9339</v>
      </c>
      <c r="O366" s="15" t="n">
        <v>0.0603</v>
      </c>
      <c r="P366">
        <f>IF(M366="","",IF(M366=E366,1,0))</f>
        <v/>
      </c>
      <c r="Q366">
        <f>IF(K366="OK","-",IF(N366&lt;$B$7,"AMBIGUOUS","CONFIDENT"))</f>
        <v/>
      </c>
    </row>
    <row r="367">
      <c r="A367">
        <f>'Runs Z score'!A359</f>
        <v/>
      </c>
      <c r="B367">
        <f>'Runs Z score'!B359</f>
        <v/>
      </c>
      <c r="C367">
        <f>'Runs Z score'!C359</f>
        <v/>
      </c>
      <c r="D367">
        <f>'Runs Z score'!D359</f>
        <v/>
      </c>
      <c r="E367">
        <f>'Runs Z score'!E359</f>
        <v/>
      </c>
      <c r="F367">
        <f>'Runs Z score'!F359</f>
        <v/>
      </c>
      <c r="G367">
        <f>'Runs Z score'!G359</f>
        <v/>
      </c>
      <c r="H367">
        <f>VLOOKUP(C367,Recipes!$A$2:$N$4,10,FALSE())</f>
        <v/>
      </c>
      <c r="I367">
        <f>VLOOKUP(C367,Recipes!$A$2:$N$4,12,FALSE())</f>
        <v/>
      </c>
      <c r="J367">
        <f>IF(G367="","",H367-G367)</f>
        <v/>
      </c>
      <c r="K367">
        <f>IF(G367="","",IF(ABS(G367-H367)&lt;=$B$6*I367,"OK","NG"))</f>
        <v/>
      </c>
      <c r="L367">
        <f>IF(K367="","",IF(K367=D367,1,0))</f>
        <v/>
      </c>
      <c r="M367" t="inlineStr">
        <is>
          <t>W1</t>
        </is>
      </c>
      <c r="N367" s="15" t="n">
        <v>0.9134</v>
      </c>
      <c r="O367" s="15" t="n">
        <v>0.0866</v>
      </c>
      <c r="P367">
        <f>IF(M367="","",IF(M367=E367,1,0))</f>
        <v/>
      </c>
      <c r="Q367">
        <f>IF(K367="OK","-",IF(N367&lt;$B$7,"AMBIGUOUS","CONFIDENT"))</f>
        <v/>
      </c>
    </row>
    <row r="368">
      <c r="A368">
        <f>'Runs Z score'!A360</f>
        <v/>
      </c>
      <c r="B368">
        <f>'Runs Z score'!B360</f>
        <v/>
      </c>
      <c r="C368">
        <f>'Runs Z score'!C360</f>
        <v/>
      </c>
      <c r="D368">
        <f>'Runs Z score'!D360</f>
        <v/>
      </c>
      <c r="E368">
        <f>'Runs Z score'!E360</f>
        <v/>
      </c>
      <c r="F368">
        <f>'Runs Z score'!F360</f>
        <v/>
      </c>
      <c r="G368">
        <f>'Runs Z score'!G360</f>
        <v/>
      </c>
      <c r="H368">
        <f>VLOOKUP(C368,Recipes!$A$2:$N$4,10,FALSE())</f>
        <v/>
      </c>
      <c r="I368">
        <f>VLOOKUP(C368,Recipes!$A$2:$N$4,12,FALSE())</f>
        <v/>
      </c>
      <c r="J368">
        <f>IF(G368="","",H368-G368)</f>
        <v/>
      </c>
      <c r="K368">
        <f>IF(G368="","",IF(ABS(G368-H368)&lt;=$B$6*I368,"OK","NG"))</f>
        <v/>
      </c>
      <c r="L368">
        <f>IF(K368="","",IF(K368=D368,1,0))</f>
        <v/>
      </c>
      <c r="M368" t="inlineStr">
        <is>
          <t>W1</t>
        </is>
      </c>
      <c r="N368" s="15" t="n">
        <v>0.9996</v>
      </c>
      <c r="O368" s="15" t="n">
        <v>0.0004</v>
      </c>
      <c r="P368">
        <f>IF(M368="","",IF(M368=E368,1,0))</f>
        <v/>
      </c>
      <c r="Q368">
        <f>IF(K368="OK","-",IF(N368&lt;$B$7,"AMBIGUOUS","CONFIDENT"))</f>
        <v/>
      </c>
    </row>
    <row r="369">
      <c r="A369">
        <f>'Runs Z score'!A361</f>
        <v/>
      </c>
      <c r="B369">
        <f>'Runs Z score'!B361</f>
        <v/>
      </c>
      <c r="C369">
        <f>'Runs Z score'!C361</f>
        <v/>
      </c>
      <c r="D369">
        <f>'Runs Z score'!D361</f>
        <v/>
      </c>
      <c r="E369">
        <f>'Runs Z score'!E361</f>
        <v/>
      </c>
      <c r="F369">
        <f>'Runs Z score'!F361</f>
        <v/>
      </c>
      <c r="G369">
        <f>'Runs Z score'!G361</f>
        <v/>
      </c>
      <c r="H369">
        <f>VLOOKUP(C369,Recipes!$A$2:$N$4,10,FALSE())</f>
        <v/>
      </c>
      <c r="I369">
        <f>VLOOKUP(C369,Recipes!$A$2:$N$4,12,FALSE())</f>
        <v/>
      </c>
      <c r="J369">
        <f>IF(G369="","",H369-G369)</f>
        <v/>
      </c>
      <c r="K369">
        <f>IF(G369="","",IF(ABS(G369-H369)&lt;=$B$6*I369,"OK","NG"))</f>
        <v/>
      </c>
      <c r="L369">
        <f>IF(K369="","",IF(K369=D369,1,0))</f>
        <v/>
      </c>
      <c r="M369" t="inlineStr">
        <is>
          <t>N1</t>
        </is>
      </c>
      <c r="N369" s="15" t="n">
        <v>0.5843</v>
      </c>
      <c r="O369" s="15" t="n">
        <v>0.4015</v>
      </c>
      <c r="P369">
        <f>IF(M369="","",IF(M369=E369,1,0))</f>
        <v/>
      </c>
      <c r="Q369">
        <f>IF(K369="OK","-",IF(N369&lt;$B$7,"AMBIGUOUS","CONFIDENT"))</f>
        <v/>
      </c>
    </row>
    <row r="370">
      <c r="A370">
        <f>'Runs Z score'!A362</f>
        <v/>
      </c>
      <c r="B370">
        <f>'Runs Z score'!B362</f>
        <v/>
      </c>
      <c r="C370">
        <f>'Runs Z score'!C362</f>
        <v/>
      </c>
      <c r="D370">
        <f>'Runs Z score'!D362</f>
        <v/>
      </c>
      <c r="E370">
        <f>'Runs Z score'!E362</f>
        <v/>
      </c>
      <c r="F370">
        <f>'Runs Z score'!F362</f>
        <v/>
      </c>
      <c r="G370">
        <f>'Runs Z score'!G362</f>
        <v/>
      </c>
      <c r="H370">
        <f>VLOOKUP(C370,Recipes!$A$2:$N$4,10,FALSE())</f>
        <v/>
      </c>
      <c r="I370">
        <f>VLOOKUP(C370,Recipes!$A$2:$N$4,12,FALSE())</f>
        <v/>
      </c>
      <c r="J370">
        <f>IF(G370="","",H370-G370)</f>
        <v/>
      </c>
      <c r="K370">
        <f>IF(G370="","",IF(ABS(G370-H370)&lt;=$B$6*I370,"OK","NG"))</f>
        <v/>
      </c>
      <c r="L370">
        <f>IF(K370="","",IF(K370=D370,1,0))</f>
        <v/>
      </c>
      <c r="M370" t="inlineStr">
        <is>
          <t>W1</t>
        </is>
      </c>
      <c r="N370" s="15" t="n">
        <v>1</v>
      </c>
      <c r="O370" s="15" t="n">
        <v>0</v>
      </c>
      <c r="P370">
        <f>IF(M370="","",IF(M370=E370,1,0))</f>
        <v/>
      </c>
      <c r="Q370">
        <f>IF(K370="OK","-",IF(N370&lt;$B$7,"AMBIGUOUS","CONFIDENT"))</f>
        <v/>
      </c>
    </row>
    <row r="371">
      <c r="A371">
        <f>'Runs Z score'!A363</f>
        <v/>
      </c>
      <c r="B371">
        <f>'Runs Z score'!B363</f>
        <v/>
      </c>
      <c r="C371">
        <f>'Runs Z score'!C363</f>
        <v/>
      </c>
      <c r="D371">
        <f>'Runs Z score'!D363</f>
        <v/>
      </c>
      <c r="E371">
        <f>'Runs Z score'!E363</f>
        <v/>
      </c>
      <c r="F371">
        <f>'Runs Z score'!F363</f>
        <v/>
      </c>
      <c r="G371">
        <f>'Runs Z score'!G363</f>
        <v/>
      </c>
      <c r="H371">
        <f>VLOOKUP(C371,Recipes!$A$2:$N$4,10,FALSE())</f>
        <v/>
      </c>
      <c r="I371">
        <f>VLOOKUP(C371,Recipes!$A$2:$N$4,12,FALSE())</f>
        <v/>
      </c>
      <c r="J371">
        <f>IF(G371="","",H371-G371)</f>
        <v/>
      </c>
      <c r="K371">
        <f>IF(G371="","",IF(ABS(G371-H371)&lt;=$B$6*I371,"OK","NG"))</f>
        <v/>
      </c>
      <c r="L371">
        <f>IF(K371="","",IF(K371=D371,1,0))</f>
        <v/>
      </c>
      <c r="M371" t="inlineStr">
        <is>
          <t>N2</t>
        </is>
      </c>
      <c r="N371" s="15" t="n">
        <v>0.9997</v>
      </c>
      <c r="O371" s="15" t="n">
        <v>0.0002</v>
      </c>
      <c r="P371">
        <f>IF(M371="","",IF(M371=E371,1,0))</f>
        <v/>
      </c>
      <c r="Q371">
        <f>IF(K371="OK","-",IF(N371&lt;$B$7,"AMBIGUOUS","CONFIDENT"))</f>
        <v/>
      </c>
    </row>
    <row r="372">
      <c r="A372">
        <f>'Runs Z score'!A364</f>
        <v/>
      </c>
      <c r="B372">
        <f>'Runs Z score'!B364</f>
        <v/>
      </c>
      <c r="C372">
        <f>'Runs Z score'!C364</f>
        <v/>
      </c>
      <c r="D372">
        <f>'Runs Z score'!D364</f>
        <v/>
      </c>
      <c r="E372">
        <f>'Runs Z score'!E364</f>
        <v/>
      </c>
      <c r="F372">
        <f>'Runs Z score'!F364</f>
        <v/>
      </c>
      <c r="G372">
        <f>'Runs Z score'!G364</f>
        <v/>
      </c>
      <c r="H372">
        <f>VLOOKUP(C372,Recipes!$A$2:$N$4,10,FALSE())</f>
        <v/>
      </c>
      <c r="I372">
        <f>VLOOKUP(C372,Recipes!$A$2:$N$4,12,FALSE())</f>
        <v/>
      </c>
      <c r="J372">
        <f>IF(G372="","",H372-G372)</f>
        <v/>
      </c>
      <c r="K372">
        <f>IF(G372="","",IF(ABS(G372-H372)&lt;=$B$6*I372,"OK","NG"))</f>
        <v/>
      </c>
      <c r="L372">
        <f>IF(K372="","",IF(K372=D372,1,0))</f>
        <v/>
      </c>
      <c r="M372" t="inlineStr">
        <is>
          <t>N2</t>
        </is>
      </c>
      <c r="N372" s="15" t="n">
        <v>0.9799</v>
      </c>
      <c r="O372" s="15" t="n">
        <v>0.0197</v>
      </c>
      <c r="P372">
        <f>IF(M372="","",IF(M372=E372,1,0))</f>
        <v/>
      </c>
      <c r="Q372">
        <f>IF(K372="OK","-",IF(N372&lt;$B$7,"AMBIGUOUS","CONFIDENT"))</f>
        <v/>
      </c>
    </row>
    <row r="373">
      <c r="A373">
        <f>'Runs Z score'!A365</f>
        <v/>
      </c>
      <c r="B373">
        <f>'Runs Z score'!B365</f>
        <v/>
      </c>
      <c r="C373">
        <f>'Runs Z score'!C365</f>
        <v/>
      </c>
      <c r="D373">
        <f>'Runs Z score'!D365</f>
        <v/>
      </c>
      <c r="E373">
        <f>'Runs Z score'!E365</f>
        <v/>
      </c>
      <c r="F373">
        <f>'Runs Z score'!F365</f>
        <v/>
      </c>
      <c r="G373">
        <f>'Runs Z score'!G365</f>
        <v/>
      </c>
      <c r="H373">
        <f>VLOOKUP(C373,Recipes!$A$2:$N$4,10,FALSE())</f>
        <v/>
      </c>
      <c r="I373">
        <f>VLOOKUP(C373,Recipes!$A$2:$N$4,12,FALSE())</f>
        <v/>
      </c>
      <c r="J373">
        <f>IF(G373="","",H373-G373)</f>
        <v/>
      </c>
      <c r="K373">
        <f>IF(G373="","",IF(ABS(G373-H373)&lt;=$B$6*I373,"OK","NG"))</f>
        <v/>
      </c>
      <c r="L373">
        <f>IF(K373="","",IF(K373=D373,1,0))</f>
        <v/>
      </c>
      <c r="M373" t="inlineStr">
        <is>
          <t>N2</t>
        </is>
      </c>
      <c r="N373" s="15" t="n">
        <v>0.9586</v>
      </c>
      <c r="O373" s="15" t="n">
        <v>0.0355</v>
      </c>
      <c r="P373">
        <f>IF(M373="","",IF(M373=E373,1,0))</f>
        <v/>
      </c>
      <c r="Q373">
        <f>IF(K373="OK","-",IF(N373&lt;$B$7,"AMBIGUOUS","CONFIDENT"))</f>
        <v/>
      </c>
    </row>
    <row r="374">
      <c r="A374">
        <f>'Runs Z score'!A366</f>
        <v/>
      </c>
      <c r="B374">
        <f>'Runs Z score'!B366</f>
        <v/>
      </c>
      <c r="C374">
        <f>'Runs Z score'!C366</f>
        <v/>
      </c>
      <c r="D374">
        <f>'Runs Z score'!D366</f>
        <v/>
      </c>
      <c r="E374">
        <f>'Runs Z score'!E366</f>
        <v/>
      </c>
      <c r="F374">
        <f>'Runs Z score'!F366</f>
        <v/>
      </c>
      <c r="G374">
        <f>'Runs Z score'!G366</f>
        <v/>
      </c>
      <c r="H374">
        <f>VLOOKUP(C374,Recipes!$A$2:$N$4,10,FALSE())</f>
        <v/>
      </c>
      <c r="I374">
        <f>VLOOKUP(C374,Recipes!$A$2:$N$4,12,FALSE())</f>
        <v/>
      </c>
      <c r="J374">
        <f>IF(G374="","",H374-G374)</f>
        <v/>
      </c>
      <c r="K374">
        <f>IF(G374="","",IF(ABS(G374-H374)&lt;=$B$6*I374,"OK","NG"))</f>
        <v/>
      </c>
      <c r="L374">
        <f>IF(K374="","",IF(K374=D374,1,0))</f>
        <v/>
      </c>
      <c r="M374" t="inlineStr">
        <is>
          <t>N2</t>
        </is>
      </c>
      <c r="N374" s="15" t="n">
        <v>0.8283</v>
      </c>
      <c r="O374" s="15" t="n">
        <v>0.1458</v>
      </c>
      <c r="P374">
        <f>IF(M374="","",IF(M374=E374,1,0))</f>
        <v/>
      </c>
      <c r="Q374">
        <f>IF(K374="OK","-",IF(N374&lt;$B$7,"AMBIGUOUS","CONFIDENT"))</f>
        <v/>
      </c>
    </row>
    <row r="375">
      <c r="A375">
        <f>'Runs Z score'!A367</f>
        <v/>
      </c>
      <c r="B375">
        <f>'Runs Z score'!B367</f>
        <v/>
      </c>
      <c r="C375">
        <f>'Runs Z score'!C367</f>
        <v/>
      </c>
      <c r="D375">
        <f>'Runs Z score'!D367</f>
        <v/>
      </c>
      <c r="E375">
        <f>'Runs Z score'!E367</f>
        <v/>
      </c>
      <c r="F375">
        <f>'Runs Z score'!F367</f>
        <v/>
      </c>
      <c r="G375">
        <f>'Runs Z score'!G367</f>
        <v/>
      </c>
      <c r="H375">
        <f>VLOOKUP(C375,Recipes!$A$2:$N$4,10,FALSE())</f>
        <v/>
      </c>
      <c r="I375">
        <f>VLOOKUP(C375,Recipes!$A$2:$N$4,12,FALSE())</f>
        <v/>
      </c>
      <c r="J375">
        <f>IF(G375="","",H375-G375)</f>
        <v/>
      </c>
      <c r="K375">
        <f>IF(G375="","",IF(ABS(G375-H375)&lt;=$B$6*I375,"OK","NG"))</f>
        <v/>
      </c>
      <c r="L375">
        <f>IF(K375="","",IF(K375=D375,1,0))</f>
        <v/>
      </c>
      <c r="M375" t="inlineStr">
        <is>
          <t>N2</t>
        </is>
      </c>
      <c r="N375" s="15" t="n">
        <v>1</v>
      </c>
      <c r="O375" s="15" t="n">
        <v>0</v>
      </c>
      <c r="P375">
        <f>IF(M375="","",IF(M375=E375,1,0))</f>
        <v/>
      </c>
      <c r="Q375">
        <f>IF(K375="OK","-",IF(N375&lt;$B$7,"AMBIGUOUS","CONFIDENT"))</f>
        <v/>
      </c>
    </row>
    <row r="376">
      <c r="A376">
        <f>'Runs Z score'!A368</f>
        <v/>
      </c>
      <c r="B376">
        <f>'Runs Z score'!B368</f>
        <v/>
      </c>
      <c r="C376">
        <f>'Runs Z score'!C368</f>
        <v/>
      </c>
      <c r="D376">
        <f>'Runs Z score'!D368</f>
        <v/>
      </c>
      <c r="E376">
        <f>'Runs Z score'!E368</f>
        <v/>
      </c>
      <c r="F376">
        <f>'Runs Z score'!F368</f>
        <v/>
      </c>
      <c r="G376">
        <f>'Runs Z score'!G368</f>
        <v/>
      </c>
      <c r="H376">
        <f>VLOOKUP(C376,Recipes!$A$2:$N$4,10,FALSE())</f>
        <v/>
      </c>
      <c r="I376">
        <f>VLOOKUP(C376,Recipes!$A$2:$N$4,12,FALSE())</f>
        <v/>
      </c>
      <c r="J376">
        <f>IF(G376="","",H376-G376)</f>
        <v/>
      </c>
      <c r="K376">
        <f>IF(G376="","",IF(ABS(G376-H376)&lt;=$B$6*I376,"OK","NG"))</f>
        <v/>
      </c>
      <c r="L376">
        <f>IF(K376="","",IF(K376=D376,1,0))</f>
        <v/>
      </c>
      <c r="M376" t="inlineStr">
        <is>
          <t>N2</t>
        </is>
      </c>
      <c r="N376" s="15" t="n">
        <v>0.9991</v>
      </c>
      <c r="O376" s="15" t="n">
        <v>0.0008</v>
      </c>
      <c r="P376">
        <f>IF(M376="","",IF(M376=E376,1,0))</f>
        <v/>
      </c>
      <c r="Q376">
        <f>IF(K376="OK","-",IF(N376&lt;$B$7,"AMBIGUOUS","CONFIDENT"))</f>
        <v/>
      </c>
    </row>
    <row r="377">
      <c r="A377">
        <f>'Runs Z score'!A369</f>
        <v/>
      </c>
      <c r="B377">
        <f>'Runs Z score'!B369</f>
        <v/>
      </c>
      <c r="C377">
        <f>'Runs Z score'!C369</f>
        <v/>
      </c>
      <c r="D377">
        <f>'Runs Z score'!D369</f>
        <v/>
      </c>
      <c r="E377">
        <f>'Runs Z score'!E369</f>
        <v/>
      </c>
      <c r="F377">
        <f>'Runs Z score'!F369</f>
        <v/>
      </c>
      <c r="G377">
        <f>'Runs Z score'!G369</f>
        <v/>
      </c>
      <c r="H377">
        <f>VLOOKUP(C377,Recipes!$A$2:$N$4,10,FALSE())</f>
        <v/>
      </c>
      <c r="I377">
        <f>VLOOKUP(C377,Recipes!$A$2:$N$4,12,FALSE())</f>
        <v/>
      </c>
      <c r="J377">
        <f>IF(G377="","",H377-G377)</f>
        <v/>
      </c>
      <c r="K377">
        <f>IF(G377="","",IF(ABS(G377-H377)&lt;=$B$6*I377,"OK","NG"))</f>
        <v/>
      </c>
      <c r="L377">
        <f>IF(K377="","",IF(K377=D377,1,0))</f>
        <v/>
      </c>
      <c r="M377" t="inlineStr">
        <is>
          <t>N2</t>
        </is>
      </c>
      <c r="N377" s="15" t="n">
        <v>0.9987</v>
      </c>
      <c r="O377" s="15" t="n">
        <v>0.0012</v>
      </c>
      <c r="P377">
        <f>IF(M377="","",IF(M377=E377,1,0))</f>
        <v/>
      </c>
      <c r="Q377">
        <f>IF(K377="OK","-",IF(N377&lt;$B$7,"AMBIGUOUS","CONFIDENT"))</f>
        <v/>
      </c>
    </row>
    <row r="378">
      <c r="A378">
        <f>'Runs Z score'!A370</f>
        <v/>
      </c>
      <c r="B378">
        <f>'Runs Z score'!B370</f>
        <v/>
      </c>
      <c r="C378">
        <f>'Runs Z score'!C370</f>
        <v/>
      </c>
      <c r="D378">
        <f>'Runs Z score'!D370</f>
        <v/>
      </c>
      <c r="E378">
        <f>'Runs Z score'!E370</f>
        <v/>
      </c>
      <c r="F378">
        <f>'Runs Z score'!F370</f>
        <v/>
      </c>
      <c r="G378">
        <f>'Runs Z score'!G370</f>
        <v/>
      </c>
      <c r="H378">
        <f>VLOOKUP(C378,Recipes!$A$2:$N$4,10,FALSE())</f>
        <v/>
      </c>
      <c r="I378">
        <f>VLOOKUP(C378,Recipes!$A$2:$N$4,12,FALSE())</f>
        <v/>
      </c>
      <c r="J378">
        <f>IF(G378="","",H378-G378)</f>
        <v/>
      </c>
      <c r="K378">
        <f>IF(G378="","",IF(ABS(G378-H378)&lt;=$B$6*I378,"OK","NG"))</f>
        <v/>
      </c>
      <c r="L378">
        <f>IF(K378="","",IF(K378=D378,1,0))</f>
        <v/>
      </c>
      <c r="M378" t="inlineStr">
        <is>
          <t>N2</t>
        </is>
      </c>
      <c r="N378" s="15" t="n">
        <v>0.8766</v>
      </c>
      <c r="O378" s="15" t="n">
        <v>0.1211</v>
      </c>
      <c r="P378">
        <f>IF(M378="","",IF(M378=E378,1,0))</f>
        <v/>
      </c>
      <c r="Q378">
        <f>IF(K378="OK","-",IF(N378&lt;$B$7,"AMBIGUOUS","CONFIDENT"))</f>
        <v/>
      </c>
    </row>
    <row r="379">
      <c r="A379">
        <f>'Runs Z score'!A371</f>
        <v/>
      </c>
      <c r="B379">
        <f>'Runs Z score'!B371</f>
        <v/>
      </c>
      <c r="C379">
        <f>'Runs Z score'!C371</f>
        <v/>
      </c>
      <c r="D379">
        <f>'Runs Z score'!D371</f>
        <v/>
      </c>
      <c r="E379">
        <f>'Runs Z score'!E371</f>
        <v/>
      </c>
      <c r="F379">
        <f>'Runs Z score'!F371</f>
        <v/>
      </c>
      <c r="G379">
        <f>'Runs Z score'!G371</f>
        <v/>
      </c>
      <c r="H379">
        <f>VLOOKUP(C379,Recipes!$A$2:$N$4,10,FALSE())</f>
        <v/>
      </c>
      <c r="I379">
        <f>VLOOKUP(C379,Recipes!$A$2:$N$4,12,FALSE())</f>
        <v/>
      </c>
      <c r="J379">
        <f>IF(G379="","",H379-G379)</f>
        <v/>
      </c>
      <c r="K379">
        <f>IF(G379="","",IF(ABS(G379-H379)&lt;=$B$6*I379,"OK","NG"))</f>
        <v/>
      </c>
      <c r="L379">
        <f>IF(K379="","",IF(K379=D379,1,0))</f>
        <v/>
      </c>
      <c r="M379" t="inlineStr">
        <is>
          <t>N2</t>
        </is>
      </c>
      <c r="N379" s="15" t="n">
        <v>0.9999</v>
      </c>
      <c r="O379" s="15" t="n">
        <v>0.0001</v>
      </c>
      <c r="P379">
        <f>IF(M379="","",IF(M379=E379,1,0))</f>
        <v/>
      </c>
      <c r="Q379">
        <f>IF(K379="OK","-",IF(N379&lt;$B$7,"AMBIGUOUS","CONFIDENT"))</f>
        <v/>
      </c>
    </row>
    <row r="380">
      <c r="A380">
        <f>'Runs Z score'!A372</f>
        <v/>
      </c>
      <c r="B380">
        <f>'Runs Z score'!B372</f>
        <v/>
      </c>
      <c r="C380">
        <f>'Runs Z score'!C372</f>
        <v/>
      </c>
      <c r="D380">
        <f>'Runs Z score'!D372</f>
        <v/>
      </c>
      <c r="E380">
        <f>'Runs Z score'!E372</f>
        <v/>
      </c>
      <c r="F380">
        <f>'Runs Z score'!F372</f>
        <v/>
      </c>
      <c r="G380">
        <f>'Runs Z score'!G372</f>
        <v/>
      </c>
      <c r="H380">
        <f>VLOOKUP(C380,Recipes!$A$2:$N$4,10,FALSE())</f>
        <v/>
      </c>
      <c r="I380">
        <f>VLOOKUP(C380,Recipes!$A$2:$N$4,12,FALSE())</f>
        <v/>
      </c>
      <c r="J380">
        <f>IF(G380="","",H380-G380)</f>
        <v/>
      </c>
      <c r="K380">
        <f>IF(G380="","",IF(ABS(G380-H380)&lt;=$B$6*I380,"OK","NG"))</f>
        <v/>
      </c>
      <c r="L380">
        <f>IF(K380="","",IF(K380=D380,1,0))</f>
        <v/>
      </c>
      <c r="M380" t="inlineStr">
        <is>
          <t>N2</t>
        </is>
      </c>
      <c r="N380" s="15" t="n">
        <v>0.9948</v>
      </c>
      <c r="O380" s="15" t="n">
        <v>0.0051</v>
      </c>
      <c r="P380">
        <f>IF(M380="","",IF(M380=E380,1,0))</f>
        <v/>
      </c>
      <c r="Q380">
        <f>IF(K380="OK","-",IF(N380&lt;$B$7,"AMBIGUOUS","CONFIDENT"))</f>
        <v/>
      </c>
    </row>
    <row r="381">
      <c r="A381">
        <f>'Runs Z score'!A373</f>
        <v/>
      </c>
      <c r="B381">
        <f>'Runs Z score'!B373</f>
        <v/>
      </c>
      <c r="C381">
        <f>'Runs Z score'!C373</f>
        <v/>
      </c>
      <c r="D381">
        <f>'Runs Z score'!D373</f>
        <v/>
      </c>
      <c r="E381">
        <f>'Runs Z score'!E373</f>
        <v/>
      </c>
      <c r="F381">
        <f>'Runs Z score'!F373</f>
        <v/>
      </c>
      <c r="G381">
        <f>'Runs Z score'!G373</f>
        <v/>
      </c>
      <c r="H381">
        <f>VLOOKUP(C381,Recipes!$A$2:$N$4,10,FALSE())</f>
        <v/>
      </c>
      <c r="I381">
        <f>VLOOKUP(C381,Recipes!$A$2:$N$4,12,FALSE())</f>
        <v/>
      </c>
      <c r="J381">
        <f>IF(G381="","",H381-G381)</f>
        <v/>
      </c>
      <c r="K381">
        <f>IF(G381="","",IF(ABS(G381-H381)&lt;=$B$6*I381,"OK","NG"))</f>
        <v/>
      </c>
      <c r="L381">
        <f>IF(K381="","",IF(K381=D381,1,0))</f>
        <v/>
      </c>
      <c r="M381" t="inlineStr">
        <is>
          <t>N2</t>
        </is>
      </c>
      <c r="N381" s="15" t="n">
        <v>0.9999</v>
      </c>
      <c r="O381" s="15" t="n">
        <v>0.0001</v>
      </c>
      <c r="P381">
        <f>IF(M381="","",IF(M381=E381,1,0))</f>
        <v/>
      </c>
      <c r="Q381">
        <f>IF(K381="OK","-",IF(N381&lt;$B$7,"AMBIGUOUS","CONFIDENT"))</f>
        <v/>
      </c>
    </row>
    <row r="382">
      <c r="A382">
        <f>'Runs Z score'!A374</f>
        <v/>
      </c>
      <c r="B382">
        <f>'Runs Z score'!B374</f>
        <v/>
      </c>
      <c r="C382">
        <f>'Runs Z score'!C374</f>
        <v/>
      </c>
      <c r="D382">
        <f>'Runs Z score'!D374</f>
        <v/>
      </c>
      <c r="E382">
        <f>'Runs Z score'!E374</f>
        <v/>
      </c>
      <c r="F382">
        <f>'Runs Z score'!F374</f>
        <v/>
      </c>
      <c r="G382">
        <f>'Runs Z score'!G374</f>
        <v/>
      </c>
      <c r="H382">
        <f>VLOOKUP(C382,Recipes!$A$2:$N$4,10,FALSE())</f>
        <v/>
      </c>
      <c r="I382">
        <f>VLOOKUP(C382,Recipes!$A$2:$N$4,12,FALSE())</f>
        <v/>
      </c>
      <c r="J382">
        <f>IF(G382="","",H382-G382)</f>
        <v/>
      </c>
      <c r="K382">
        <f>IF(G382="","",IF(ABS(G382-H382)&lt;=$B$6*I382,"OK","NG"))</f>
        <v/>
      </c>
      <c r="L382">
        <f>IF(K382="","",IF(K382=D382,1,0))</f>
        <v/>
      </c>
      <c r="M382" t="inlineStr">
        <is>
          <t>N2</t>
        </is>
      </c>
      <c r="N382" s="15" t="n">
        <v>0.9923999999999999</v>
      </c>
      <c r="O382" s="15" t="n">
        <v>0.0071</v>
      </c>
      <c r="P382">
        <f>IF(M382="","",IF(M382=E382,1,0))</f>
        <v/>
      </c>
      <c r="Q382">
        <f>IF(K382="OK","-",IF(N382&lt;$B$7,"AMBIGUOUS","CONFIDENT"))</f>
        <v/>
      </c>
    </row>
    <row r="383">
      <c r="A383">
        <f>'Runs Z score'!A375</f>
        <v/>
      </c>
      <c r="B383">
        <f>'Runs Z score'!B375</f>
        <v/>
      </c>
      <c r="C383">
        <f>'Runs Z score'!C375</f>
        <v/>
      </c>
      <c r="D383">
        <f>'Runs Z score'!D375</f>
        <v/>
      </c>
      <c r="E383">
        <f>'Runs Z score'!E375</f>
        <v/>
      </c>
      <c r="F383">
        <f>'Runs Z score'!F375</f>
        <v/>
      </c>
      <c r="G383">
        <f>'Runs Z score'!G375</f>
        <v/>
      </c>
      <c r="H383">
        <f>VLOOKUP(C383,Recipes!$A$2:$N$4,10,FALSE())</f>
        <v/>
      </c>
      <c r="I383">
        <f>VLOOKUP(C383,Recipes!$A$2:$N$4,12,FALSE())</f>
        <v/>
      </c>
      <c r="J383">
        <f>IF(G383="","",H383-G383)</f>
        <v/>
      </c>
      <c r="K383">
        <f>IF(G383="","",IF(ABS(G383-H383)&lt;=$B$6*I383,"OK","NG"))</f>
        <v/>
      </c>
      <c r="L383">
        <f>IF(K383="","",IF(K383=D383,1,0))</f>
        <v/>
      </c>
      <c r="M383" t="inlineStr">
        <is>
          <t>N2</t>
        </is>
      </c>
      <c r="N383" s="15" t="n">
        <v>0.9991</v>
      </c>
      <c r="O383" s="15" t="n">
        <v>0.0008</v>
      </c>
      <c r="P383">
        <f>IF(M383="","",IF(M383=E383,1,0))</f>
        <v/>
      </c>
      <c r="Q383">
        <f>IF(K383="OK","-",IF(N383&lt;$B$7,"AMBIGUOUS","CONFIDENT"))</f>
        <v/>
      </c>
    </row>
    <row r="384">
      <c r="A384">
        <f>'Runs Z score'!A376</f>
        <v/>
      </c>
      <c r="B384">
        <f>'Runs Z score'!B376</f>
        <v/>
      </c>
      <c r="C384">
        <f>'Runs Z score'!C376</f>
        <v/>
      </c>
      <c r="D384">
        <f>'Runs Z score'!D376</f>
        <v/>
      </c>
      <c r="E384">
        <f>'Runs Z score'!E376</f>
        <v/>
      </c>
      <c r="F384">
        <f>'Runs Z score'!F376</f>
        <v/>
      </c>
      <c r="G384">
        <f>'Runs Z score'!G376</f>
        <v/>
      </c>
      <c r="H384">
        <f>VLOOKUP(C384,Recipes!$A$2:$N$4,10,FALSE())</f>
        <v/>
      </c>
      <c r="I384">
        <f>VLOOKUP(C384,Recipes!$A$2:$N$4,12,FALSE())</f>
        <v/>
      </c>
      <c r="J384">
        <f>IF(G384="","",H384-G384)</f>
        <v/>
      </c>
      <c r="K384">
        <f>IF(G384="","",IF(ABS(G384-H384)&lt;=$B$6*I384,"OK","NG"))</f>
        <v/>
      </c>
      <c r="L384">
        <f>IF(K384="","",IF(K384=D384,1,0))</f>
        <v/>
      </c>
      <c r="M384" t="inlineStr">
        <is>
          <t>N2</t>
        </is>
      </c>
      <c r="N384" s="15" t="n">
        <v>1</v>
      </c>
      <c r="O384" s="15" t="n">
        <v>0</v>
      </c>
      <c r="P384">
        <f>IF(M384="","",IF(M384=E384,1,0))</f>
        <v/>
      </c>
      <c r="Q384">
        <f>IF(K384="OK","-",IF(N384&lt;$B$7,"AMBIGUOUS","CONFIDENT"))</f>
        <v/>
      </c>
    </row>
    <row r="385">
      <c r="A385">
        <f>'Runs Z score'!A377</f>
        <v/>
      </c>
      <c r="B385">
        <f>'Runs Z score'!B377</f>
        <v/>
      </c>
      <c r="C385">
        <f>'Runs Z score'!C377</f>
        <v/>
      </c>
      <c r="D385">
        <f>'Runs Z score'!D377</f>
        <v/>
      </c>
      <c r="E385">
        <f>'Runs Z score'!E377</f>
        <v/>
      </c>
      <c r="F385">
        <f>'Runs Z score'!F377</f>
        <v/>
      </c>
      <c r="G385">
        <f>'Runs Z score'!G377</f>
        <v/>
      </c>
      <c r="H385">
        <f>VLOOKUP(C385,Recipes!$A$2:$N$4,10,FALSE())</f>
        <v/>
      </c>
      <c r="I385">
        <f>VLOOKUP(C385,Recipes!$A$2:$N$4,12,FALSE())</f>
        <v/>
      </c>
      <c r="J385">
        <f>IF(G385="","",H385-G385)</f>
        <v/>
      </c>
      <c r="K385">
        <f>IF(G385="","",IF(ABS(G385-H385)&lt;=$B$6*I385,"OK","NG"))</f>
        <v/>
      </c>
      <c r="L385">
        <f>IF(K385="","",IF(K385=D385,1,0))</f>
        <v/>
      </c>
      <c r="M385" t="inlineStr">
        <is>
          <t>N2</t>
        </is>
      </c>
      <c r="N385" s="15" t="n">
        <v>0.9999</v>
      </c>
      <c r="O385" s="15" t="n">
        <v>0.0001</v>
      </c>
      <c r="P385">
        <f>IF(M385="","",IF(M385=E385,1,0))</f>
        <v/>
      </c>
      <c r="Q385">
        <f>IF(K385="OK","-",IF(N385&lt;$B$7,"AMBIGUOUS","CONFIDENT"))</f>
        <v/>
      </c>
    </row>
    <row r="386">
      <c r="A386">
        <f>'Runs Z score'!A378</f>
        <v/>
      </c>
      <c r="B386">
        <f>'Runs Z score'!B378</f>
        <v/>
      </c>
      <c r="C386">
        <f>'Runs Z score'!C378</f>
        <v/>
      </c>
      <c r="D386">
        <f>'Runs Z score'!D378</f>
        <v/>
      </c>
      <c r="E386">
        <f>'Runs Z score'!E378</f>
        <v/>
      </c>
      <c r="F386">
        <f>'Runs Z score'!F378</f>
        <v/>
      </c>
      <c r="G386">
        <f>'Runs Z score'!G378</f>
        <v/>
      </c>
      <c r="H386">
        <f>VLOOKUP(C386,Recipes!$A$2:$N$4,10,FALSE())</f>
        <v/>
      </c>
      <c r="I386">
        <f>VLOOKUP(C386,Recipes!$A$2:$N$4,12,FALSE())</f>
        <v/>
      </c>
      <c r="J386">
        <f>IF(G386="","",H386-G386)</f>
        <v/>
      </c>
      <c r="K386">
        <f>IF(G386="","",IF(ABS(G386-H386)&lt;=$B$6*I386,"OK","NG"))</f>
        <v/>
      </c>
      <c r="L386">
        <f>IF(K386="","",IF(K386=D386,1,0))</f>
        <v/>
      </c>
      <c r="M386" t="inlineStr">
        <is>
          <t>N2</t>
        </is>
      </c>
      <c r="N386" s="15" t="n">
        <v>0.9998</v>
      </c>
      <c r="O386" s="15" t="n">
        <v>0.0002</v>
      </c>
      <c r="P386">
        <f>IF(M386="","",IF(M386=E386,1,0))</f>
        <v/>
      </c>
      <c r="Q386">
        <f>IF(K386="OK","-",IF(N386&lt;$B$7,"AMBIGUOUS","CONFIDENT"))</f>
        <v/>
      </c>
    </row>
    <row r="387">
      <c r="A387">
        <f>'Runs Z score'!A379</f>
        <v/>
      </c>
      <c r="B387">
        <f>'Runs Z score'!B379</f>
        <v/>
      </c>
      <c r="C387">
        <f>'Runs Z score'!C379</f>
        <v/>
      </c>
      <c r="D387">
        <f>'Runs Z score'!D379</f>
        <v/>
      </c>
      <c r="E387">
        <f>'Runs Z score'!E379</f>
        <v/>
      </c>
      <c r="F387">
        <f>'Runs Z score'!F379</f>
        <v/>
      </c>
      <c r="G387">
        <f>'Runs Z score'!G379</f>
        <v/>
      </c>
      <c r="H387">
        <f>VLOOKUP(C387,Recipes!$A$2:$N$4,10,FALSE())</f>
        <v/>
      </c>
      <c r="I387">
        <f>VLOOKUP(C387,Recipes!$A$2:$N$4,12,FALSE())</f>
        <v/>
      </c>
      <c r="J387">
        <f>IF(G387="","",H387-G387)</f>
        <v/>
      </c>
      <c r="K387">
        <f>IF(G387="","",IF(ABS(G387-H387)&lt;=$B$6*I387,"OK","NG"))</f>
        <v/>
      </c>
      <c r="L387">
        <f>IF(K387="","",IF(K387=D387,1,0))</f>
        <v/>
      </c>
      <c r="M387" t="inlineStr">
        <is>
          <t>N2</t>
        </is>
      </c>
      <c r="N387" s="15" t="n">
        <v>0.9999</v>
      </c>
      <c r="O387" s="15" t="n">
        <v>0.0001</v>
      </c>
      <c r="P387">
        <f>IF(M387="","",IF(M387=E387,1,0))</f>
        <v/>
      </c>
      <c r="Q387">
        <f>IF(K387="OK","-",IF(N387&lt;$B$7,"AMBIGUOUS","CONFIDENT"))</f>
        <v/>
      </c>
    </row>
    <row r="388">
      <c r="A388">
        <f>'Runs Z score'!A380</f>
        <v/>
      </c>
      <c r="B388">
        <f>'Runs Z score'!B380</f>
        <v/>
      </c>
      <c r="C388">
        <f>'Runs Z score'!C380</f>
        <v/>
      </c>
      <c r="D388">
        <f>'Runs Z score'!D380</f>
        <v/>
      </c>
      <c r="E388">
        <f>'Runs Z score'!E380</f>
        <v/>
      </c>
      <c r="F388">
        <f>'Runs Z score'!F380</f>
        <v/>
      </c>
      <c r="G388">
        <f>'Runs Z score'!G380</f>
        <v/>
      </c>
      <c r="H388">
        <f>VLOOKUP(C388,Recipes!$A$2:$N$4,10,FALSE())</f>
        <v/>
      </c>
      <c r="I388">
        <f>VLOOKUP(C388,Recipes!$A$2:$N$4,12,FALSE())</f>
        <v/>
      </c>
      <c r="J388">
        <f>IF(G388="","",H388-G388)</f>
        <v/>
      </c>
      <c r="K388">
        <f>IF(G388="","",IF(ABS(G388-H388)&lt;=$B$6*I388,"OK","NG"))</f>
        <v/>
      </c>
      <c r="L388">
        <f>IF(K388="","",IF(K388=D388,1,0))</f>
        <v/>
      </c>
      <c r="M388" t="inlineStr">
        <is>
          <t>N2</t>
        </is>
      </c>
      <c r="N388" s="15" t="n">
        <v>1</v>
      </c>
      <c r="O388" s="15" t="n">
        <v>0</v>
      </c>
      <c r="P388">
        <f>IF(M388="","",IF(M388=E388,1,0))</f>
        <v/>
      </c>
      <c r="Q388">
        <f>IF(K388="OK","-",IF(N388&lt;$B$7,"AMBIGUOUS","CONFIDENT"))</f>
        <v/>
      </c>
    </row>
    <row r="389">
      <c r="A389">
        <f>'Runs Z score'!A381</f>
        <v/>
      </c>
      <c r="B389">
        <f>'Runs Z score'!B381</f>
        <v/>
      </c>
      <c r="C389">
        <f>'Runs Z score'!C381</f>
        <v/>
      </c>
      <c r="D389">
        <f>'Runs Z score'!D381</f>
        <v/>
      </c>
      <c r="E389">
        <f>'Runs Z score'!E381</f>
        <v/>
      </c>
      <c r="F389">
        <f>'Runs Z score'!F381</f>
        <v/>
      </c>
      <c r="G389">
        <f>'Runs Z score'!G381</f>
        <v/>
      </c>
      <c r="H389">
        <f>VLOOKUP(C389,Recipes!$A$2:$N$4,10,FALSE())</f>
        <v/>
      </c>
      <c r="I389">
        <f>VLOOKUP(C389,Recipes!$A$2:$N$4,12,FALSE())</f>
        <v/>
      </c>
      <c r="J389">
        <f>IF(G389="","",H389-G389)</f>
        <v/>
      </c>
      <c r="K389">
        <f>IF(G389="","",IF(ABS(G389-H389)&lt;=$B$6*I389,"OK","NG"))</f>
        <v/>
      </c>
      <c r="L389">
        <f>IF(K389="","",IF(K389=D389,1,0))</f>
        <v/>
      </c>
      <c r="M389" t="inlineStr">
        <is>
          <t>N2</t>
        </is>
      </c>
      <c r="N389" s="15" t="n">
        <v>0.9724</v>
      </c>
      <c r="O389" s="15" t="n">
        <v>0.0212</v>
      </c>
      <c r="P389">
        <f>IF(M389="","",IF(M389=E389,1,0))</f>
        <v/>
      </c>
      <c r="Q389">
        <f>IF(K389="OK","-",IF(N389&lt;$B$7,"AMBIGUOUS","CONFIDENT"))</f>
        <v/>
      </c>
    </row>
    <row r="390">
      <c r="A390">
        <f>'Runs Z score'!A382</f>
        <v/>
      </c>
      <c r="B390">
        <f>'Runs Z score'!B382</f>
        <v/>
      </c>
      <c r="C390">
        <f>'Runs Z score'!C382</f>
        <v/>
      </c>
      <c r="D390">
        <f>'Runs Z score'!D382</f>
        <v/>
      </c>
      <c r="E390">
        <f>'Runs Z score'!E382</f>
        <v/>
      </c>
      <c r="F390">
        <f>'Runs Z score'!F382</f>
        <v/>
      </c>
      <c r="G390">
        <f>'Runs Z score'!G382</f>
        <v/>
      </c>
      <c r="H390">
        <f>VLOOKUP(C390,Recipes!$A$2:$N$4,10,FALSE())</f>
        <v/>
      </c>
      <c r="I390">
        <f>VLOOKUP(C390,Recipes!$A$2:$N$4,12,FALSE())</f>
        <v/>
      </c>
      <c r="J390">
        <f>IF(G390="","",H390-G390)</f>
        <v/>
      </c>
      <c r="K390">
        <f>IF(G390="","",IF(ABS(G390-H390)&lt;=$B$6*I390,"OK","NG"))</f>
        <v/>
      </c>
      <c r="L390">
        <f>IF(K390="","",IF(K390=D390,1,0))</f>
        <v/>
      </c>
      <c r="M390" t="inlineStr">
        <is>
          <t>N2</t>
        </is>
      </c>
      <c r="N390" s="15" t="n">
        <v>0.9991</v>
      </c>
      <c r="O390" s="15" t="n">
        <v>0.0008</v>
      </c>
      <c r="P390">
        <f>IF(M390="","",IF(M390=E390,1,0))</f>
        <v/>
      </c>
      <c r="Q390">
        <f>IF(K390="OK","-",IF(N390&lt;$B$7,"AMBIGUOUS","CONFIDENT"))</f>
        <v/>
      </c>
    </row>
    <row r="391">
      <c r="A391">
        <f>'Runs Z score'!A383</f>
        <v/>
      </c>
      <c r="B391">
        <f>'Runs Z score'!B383</f>
        <v/>
      </c>
      <c r="C391">
        <f>'Runs Z score'!C383</f>
        <v/>
      </c>
      <c r="D391">
        <f>'Runs Z score'!D383</f>
        <v/>
      </c>
      <c r="E391">
        <f>'Runs Z score'!E383</f>
        <v/>
      </c>
      <c r="F391">
        <f>'Runs Z score'!F383</f>
        <v/>
      </c>
      <c r="G391">
        <f>'Runs Z score'!G383</f>
        <v/>
      </c>
      <c r="H391">
        <f>VLOOKUP(C391,Recipes!$A$2:$N$4,10,FALSE())</f>
        <v/>
      </c>
      <c r="I391">
        <f>VLOOKUP(C391,Recipes!$A$2:$N$4,12,FALSE())</f>
        <v/>
      </c>
      <c r="J391">
        <f>IF(G391="","",H391-G391)</f>
        <v/>
      </c>
      <c r="K391">
        <f>IF(G391="","",IF(ABS(G391-H391)&lt;=$B$6*I391,"OK","NG"))</f>
        <v/>
      </c>
      <c r="L391">
        <f>IF(K391="","",IF(K391=D391,1,0))</f>
        <v/>
      </c>
      <c r="M391" t="inlineStr">
        <is>
          <t>N2</t>
        </is>
      </c>
      <c r="N391" s="15" t="n">
        <v>0.9896</v>
      </c>
      <c r="O391" s="15" t="n">
        <v>0.0102</v>
      </c>
      <c r="P391">
        <f>IF(M391="","",IF(M391=E391,1,0))</f>
        <v/>
      </c>
      <c r="Q391">
        <f>IF(K391="OK","-",IF(N391&lt;$B$7,"AMBIGUOUS","CONFIDENT"))</f>
        <v/>
      </c>
    </row>
    <row r="392">
      <c r="A392">
        <f>'Runs Z score'!A384</f>
        <v/>
      </c>
      <c r="B392">
        <f>'Runs Z score'!B384</f>
        <v/>
      </c>
      <c r="C392">
        <f>'Runs Z score'!C384</f>
        <v/>
      </c>
      <c r="D392">
        <f>'Runs Z score'!D384</f>
        <v/>
      </c>
      <c r="E392">
        <f>'Runs Z score'!E384</f>
        <v/>
      </c>
      <c r="F392">
        <f>'Runs Z score'!F384</f>
        <v/>
      </c>
      <c r="G392">
        <f>'Runs Z score'!G384</f>
        <v/>
      </c>
      <c r="H392">
        <f>VLOOKUP(C392,Recipes!$A$2:$N$4,10,FALSE())</f>
        <v/>
      </c>
      <c r="I392">
        <f>VLOOKUP(C392,Recipes!$A$2:$N$4,12,FALSE())</f>
        <v/>
      </c>
      <c r="J392">
        <f>IF(G392="","",H392-G392)</f>
        <v/>
      </c>
      <c r="K392">
        <f>IF(G392="","",IF(ABS(G392-H392)&lt;=$B$6*I392,"OK","NG"))</f>
        <v/>
      </c>
      <c r="L392">
        <f>IF(K392="","",IF(K392=D392,1,0))</f>
        <v/>
      </c>
      <c r="M392" t="inlineStr">
        <is>
          <t>N2</t>
        </is>
      </c>
      <c r="N392" s="15" t="n">
        <v>0.9998</v>
      </c>
      <c r="O392" s="15" t="n">
        <v>0.0002</v>
      </c>
      <c r="P392">
        <f>IF(M392="","",IF(M392=E392,1,0))</f>
        <v/>
      </c>
      <c r="Q392">
        <f>IF(K392="OK","-",IF(N392&lt;$B$7,"AMBIGUOUS","CONFIDENT"))</f>
        <v/>
      </c>
    </row>
    <row r="393">
      <c r="A393">
        <f>'Runs Z score'!A385</f>
        <v/>
      </c>
      <c r="B393">
        <f>'Runs Z score'!B385</f>
        <v/>
      </c>
      <c r="C393">
        <f>'Runs Z score'!C385</f>
        <v/>
      </c>
      <c r="D393">
        <f>'Runs Z score'!D385</f>
        <v/>
      </c>
      <c r="E393">
        <f>'Runs Z score'!E385</f>
        <v/>
      </c>
      <c r="F393">
        <f>'Runs Z score'!F385</f>
        <v/>
      </c>
      <c r="G393">
        <f>'Runs Z score'!G385</f>
        <v/>
      </c>
      <c r="H393">
        <f>VLOOKUP(C393,Recipes!$A$2:$N$4,10,FALSE())</f>
        <v/>
      </c>
      <c r="I393">
        <f>VLOOKUP(C393,Recipes!$A$2:$N$4,12,FALSE())</f>
        <v/>
      </c>
      <c r="J393">
        <f>IF(G393="","",H393-G393)</f>
        <v/>
      </c>
      <c r="K393">
        <f>IF(G393="","",IF(ABS(G393-H393)&lt;=$B$6*I393,"OK","NG"))</f>
        <v/>
      </c>
      <c r="L393">
        <f>IF(K393="","",IF(K393=D393,1,0))</f>
        <v/>
      </c>
      <c r="M393" t="inlineStr">
        <is>
          <t>N2</t>
        </is>
      </c>
      <c r="N393" s="15" t="n">
        <v>0.9857</v>
      </c>
      <c r="O393" s="15" t="n">
        <v>0.0104</v>
      </c>
      <c r="P393">
        <f>IF(M393="","",IF(M393=E393,1,0))</f>
        <v/>
      </c>
      <c r="Q393">
        <f>IF(K393="OK","-",IF(N393&lt;$B$7,"AMBIGUOUS","CONFIDENT"))</f>
        <v/>
      </c>
    </row>
    <row r="394">
      <c r="A394">
        <f>'Runs Z score'!A386</f>
        <v/>
      </c>
      <c r="B394">
        <f>'Runs Z score'!B386</f>
        <v/>
      </c>
      <c r="C394">
        <f>'Runs Z score'!C386</f>
        <v/>
      </c>
      <c r="D394">
        <f>'Runs Z score'!D386</f>
        <v/>
      </c>
      <c r="E394">
        <f>'Runs Z score'!E386</f>
        <v/>
      </c>
      <c r="F394">
        <f>'Runs Z score'!F386</f>
        <v/>
      </c>
      <c r="G394">
        <f>'Runs Z score'!G386</f>
        <v/>
      </c>
      <c r="H394">
        <f>VLOOKUP(C394,Recipes!$A$2:$N$4,10,FALSE())</f>
        <v/>
      </c>
      <c r="I394">
        <f>VLOOKUP(C394,Recipes!$A$2:$N$4,12,FALSE())</f>
        <v/>
      </c>
      <c r="J394">
        <f>IF(G394="","",H394-G394)</f>
        <v/>
      </c>
      <c r="K394">
        <f>IF(G394="","",IF(ABS(G394-H394)&lt;=$B$6*I394,"OK","NG"))</f>
        <v/>
      </c>
      <c r="L394">
        <f>IF(K394="","",IF(K394=D394,1,0))</f>
        <v/>
      </c>
      <c r="M394" t="inlineStr">
        <is>
          <t>N2</t>
        </is>
      </c>
      <c r="N394" s="15" t="n">
        <v>1</v>
      </c>
      <c r="O394" s="15" t="n">
        <v>0</v>
      </c>
      <c r="P394">
        <f>IF(M394="","",IF(M394=E394,1,0))</f>
        <v/>
      </c>
      <c r="Q394">
        <f>IF(K394="OK","-",IF(N394&lt;$B$7,"AMBIGUOUS","CONFIDENT"))</f>
        <v/>
      </c>
    </row>
    <row r="395">
      <c r="A395">
        <f>'Runs Z score'!A387</f>
        <v/>
      </c>
      <c r="B395">
        <f>'Runs Z score'!B387</f>
        <v/>
      </c>
      <c r="C395">
        <f>'Runs Z score'!C387</f>
        <v/>
      </c>
      <c r="D395">
        <f>'Runs Z score'!D387</f>
        <v/>
      </c>
      <c r="E395">
        <f>'Runs Z score'!E387</f>
        <v/>
      </c>
      <c r="F395">
        <f>'Runs Z score'!F387</f>
        <v/>
      </c>
      <c r="G395">
        <f>'Runs Z score'!G387</f>
        <v/>
      </c>
      <c r="H395">
        <f>VLOOKUP(C395,Recipes!$A$2:$N$4,10,FALSE())</f>
        <v/>
      </c>
      <c r="I395">
        <f>VLOOKUP(C395,Recipes!$A$2:$N$4,12,FALSE())</f>
        <v/>
      </c>
      <c r="J395">
        <f>IF(G395="","",H395-G395)</f>
        <v/>
      </c>
      <c r="K395">
        <f>IF(G395="","",IF(ABS(G395-H395)&lt;=$B$6*I395,"OK","NG"))</f>
        <v/>
      </c>
      <c r="L395">
        <f>IF(K395="","",IF(K395=D395,1,0))</f>
        <v/>
      </c>
      <c r="M395" t="inlineStr">
        <is>
          <t>N2</t>
        </is>
      </c>
      <c r="N395" s="15" t="n">
        <v>0.9986</v>
      </c>
      <c r="O395" s="15" t="n">
        <v>0.0014</v>
      </c>
      <c r="P395">
        <f>IF(M395="","",IF(M395=E395,1,0))</f>
        <v/>
      </c>
      <c r="Q395">
        <f>IF(K395="OK","-",IF(N395&lt;$B$7,"AMBIGUOUS","CONFIDENT"))</f>
        <v/>
      </c>
    </row>
    <row r="396">
      <c r="A396">
        <f>'Runs Z score'!A388</f>
        <v/>
      </c>
      <c r="B396">
        <f>'Runs Z score'!B388</f>
        <v/>
      </c>
      <c r="C396">
        <f>'Runs Z score'!C388</f>
        <v/>
      </c>
      <c r="D396">
        <f>'Runs Z score'!D388</f>
        <v/>
      </c>
      <c r="E396">
        <f>'Runs Z score'!E388</f>
        <v/>
      </c>
      <c r="F396">
        <f>'Runs Z score'!F388</f>
        <v/>
      </c>
      <c r="G396">
        <f>'Runs Z score'!G388</f>
        <v/>
      </c>
      <c r="H396">
        <f>VLOOKUP(C396,Recipes!$A$2:$N$4,10,FALSE())</f>
        <v/>
      </c>
      <c r="I396">
        <f>VLOOKUP(C396,Recipes!$A$2:$N$4,12,FALSE())</f>
        <v/>
      </c>
      <c r="J396">
        <f>IF(G396="","",H396-G396)</f>
        <v/>
      </c>
      <c r="K396">
        <f>IF(G396="","",IF(ABS(G396-H396)&lt;=$B$6*I396,"OK","NG"))</f>
        <v/>
      </c>
      <c r="L396">
        <f>IF(K396="","",IF(K396=D396,1,0))</f>
        <v/>
      </c>
      <c r="M396" t="inlineStr">
        <is>
          <t>N2</t>
        </is>
      </c>
      <c r="N396" s="15" t="n">
        <v>0.9474</v>
      </c>
      <c r="O396" s="15" t="n">
        <v>0.0421</v>
      </c>
      <c r="P396">
        <f>IF(M396="","",IF(M396=E396,1,0))</f>
        <v/>
      </c>
      <c r="Q396">
        <f>IF(K396="OK","-",IF(N396&lt;$B$7,"AMBIGUOUS","CONFIDENT"))</f>
        <v/>
      </c>
    </row>
    <row r="397">
      <c r="A397">
        <f>'Runs Z score'!A389</f>
        <v/>
      </c>
      <c r="B397">
        <f>'Runs Z score'!B389</f>
        <v/>
      </c>
      <c r="C397">
        <f>'Runs Z score'!C389</f>
        <v/>
      </c>
      <c r="D397">
        <f>'Runs Z score'!D389</f>
        <v/>
      </c>
      <c r="E397">
        <f>'Runs Z score'!E389</f>
        <v/>
      </c>
      <c r="F397">
        <f>'Runs Z score'!F389</f>
        <v/>
      </c>
      <c r="G397">
        <f>'Runs Z score'!G389</f>
        <v/>
      </c>
      <c r="H397">
        <f>VLOOKUP(C397,Recipes!$A$2:$N$4,10,FALSE())</f>
        <v/>
      </c>
      <c r="I397">
        <f>VLOOKUP(C397,Recipes!$A$2:$N$4,12,FALSE())</f>
        <v/>
      </c>
      <c r="J397">
        <f>IF(G397="","",H397-G397)</f>
        <v/>
      </c>
      <c r="K397">
        <f>IF(G397="","",IF(ABS(G397-H397)&lt;=$B$6*I397,"OK","NG"))</f>
        <v/>
      </c>
      <c r="L397">
        <f>IF(K397="","",IF(K397=D397,1,0))</f>
        <v/>
      </c>
      <c r="M397" t="inlineStr">
        <is>
          <t>N2</t>
        </is>
      </c>
      <c r="N397" s="15" t="n">
        <v>1</v>
      </c>
      <c r="O397" s="15" t="n">
        <v>0</v>
      </c>
      <c r="P397">
        <f>IF(M397="","",IF(M397=E397,1,0))</f>
        <v/>
      </c>
      <c r="Q397">
        <f>IF(K397="OK","-",IF(N397&lt;$B$7,"AMBIGUOUS","CONFIDENT"))</f>
        <v/>
      </c>
    </row>
    <row r="398">
      <c r="A398">
        <f>'Runs Z score'!A390</f>
        <v/>
      </c>
      <c r="B398">
        <f>'Runs Z score'!B390</f>
        <v/>
      </c>
      <c r="C398">
        <f>'Runs Z score'!C390</f>
        <v/>
      </c>
      <c r="D398">
        <f>'Runs Z score'!D390</f>
        <v/>
      </c>
      <c r="E398">
        <f>'Runs Z score'!E390</f>
        <v/>
      </c>
      <c r="F398">
        <f>'Runs Z score'!F390</f>
        <v/>
      </c>
      <c r="G398">
        <f>'Runs Z score'!G390</f>
        <v/>
      </c>
      <c r="H398">
        <f>VLOOKUP(C398,Recipes!$A$2:$N$4,10,FALSE())</f>
        <v/>
      </c>
      <c r="I398">
        <f>VLOOKUP(C398,Recipes!$A$2:$N$4,12,FALSE())</f>
        <v/>
      </c>
      <c r="J398">
        <f>IF(G398="","",H398-G398)</f>
        <v/>
      </c>
      <c r="K398">
        <f>IF(G398="","",IF(ABS(G398-H398)&lt;=$B$6*I398,"OK","NG"))</f>
        <v/>
      </c>
      <c r="L398">
        <f>IF(K398="","",IF(K398=D398,1,0))</f>
        <v/>
      </c>
      <c r="M398" t="inlineStr">
        <is>
          <t>N2</t>
        </is>
      </c>
      <c r="N398" s="15" t="n">
        <v>0.9998</v>
      </c>
      <c r="O398" s="15" t="n">
        <v>0.0001</v>
      </c>
      <c r="P398">
        <f>IF(M398="","",IF(M398=E398,1,0))</f>
        <v/>
      </c>
      <c r="Q398">
        <f>IF(K398="OK","-",IF(N398&lt;$B$7,"AMBIGUOUS","CONFIDENT"))</f>
        <v/>
      </c>
    </row>
    <row r="399">
      <c r="A399">
        <f>'Runs Z score'!A391</f>
        <v/>
      </c>
      <c r="B399">
        <f>'Runs Z score'!B391</f>
        <v/>
      </c>
      <c r="C399">
        <f>'Runs Z score'!C391</f>
        <v/>
      </c>
      <c r="D399">
        <f>'Runs Z score'!D391</f>
        <v/>
      </c>
      <c r="E399">
        <f>'Runs Z score'!E391</f>
        <v/>
      </c>
      <c r="F399">
        <f>'Runs Z score'!F391</f>
        <v/>
      </c>
      <c r="G399">
        <f>'Runs Z score'!G391</f>
        <v/>
      </c>
      <c r="H399">
        <f>VLOOKUP(C399,Recipes!$A$2:$N$4,10,FALSE())</f>
        <v/>
      </c>
      <c r="I399">
        <f>VLOOKUP(C399,Recipes!$A$2:$N$4,12,FALSE())</f>
        <v/>
      </c>
      <c r="J399">
        <f>IF(G399="","",H399-G399)</f>
        <v/>
      </c>
      <c r="K399">
        <f>IF(G399="","",IF(ABS(G399-H399)&lt;=$B$6*I399,"OK","NG"))</f>
        <v/>
      </c>
      <c r="L399">
        <f>IF(K399="","",IF(K399=D399,1,0))</f>
        <v/>
      </c>
      <c r="M399" t="inlineStr">
        <is>
          <t>N2</t>
        </is>
      </c>
      <c r="N399" s="15" t="n">
        <v>0.999</v>
      </c>
      <c r="O399" s="15" t="n">
        <v>0.0005</v>
      </c>
      <c r="P399">
        <f>IF(M399="","",IF(M399=E399,1,0))</f>
        <v/>
      </c>
      <c r="Q399">
        <f>IF(K399="OK","-",IF(N399&lt;$B$7,"AMBIGUOUS","CONFIDENT"))</f>
        <v/>
      </c>
    </row>
    <row r="400">
      <c r="A400">
        <f>'Runs Z score'!A392</f>
        <v/>
      </c>
      <c r="B400">
        <f>'Runs Z score'!B392</f>
        <v/>
      </c>
      <c r="C400">
        <f>'Runs Z score'!C392</f>
        <v/>
      </c>
      <c r="D400">
        <f>'Runs Z score'!D392</f>
        <v/>
      </c>
      <c r="E400">
        <f>'Runs Z score'!E392</f>
        <v/>
      </c>
      <c r="F400">
        <f>'Runs Z score'!F392</f>
        <v/>
      </c>
      <c r="G400">
        <f>'Runs Z score'!G392</f>
        <v/>
      </c>
      <c r="H400">
        <f>VLOOKUP(C400,Recipes!$A$2:$N$4,10,FALSE())</f>
        <v/>
      </c>
      <c r="I400">
        <f>VLOOKUP(C400,Recipes!$A$2:$N$4,12,FALSE())</f>
        <v/>
      </c>
      <c r="J400">
        <f>IF(G400="","",H400-G400)</f>
        <v/>
      </c>
      <c r="K400">
        <f>IF(G400="","",IF(ABS(G400-H400)&lt;=$B$6*I400,"OK","NG"))</f>
        <v/>
      </c>
      <c r="L400">
        <f>IF(K400="","",IF(K400=D400,1,0))</f>
        <v/>
      </c>
      <c r="M400" t="inlineStr">
        <is>
          <t>N2</t>
        </is>
      </c>
      <c r="N400" s="15" t="n">
        <v>1</v>
      </c>
      <c r="O400" s="15" t="n">
        <v>0</v>
      </c>
      <c r="P400">
        <f>IF(M400="","",IF(M400=E400,1,0))</f>
        <v/>
      </c>
      <c r="Q400">
        <f>IF(K400="OK","-",IF(N400&lt;$B$7,"AMBIGUOUS","CONFIDENT"))</f>
        <v/>
      </c>
    </row>
    <row r="401">
      <c r="A401">
        <f>'Runs Z score'!A393</f>
        <v/>
      </c>
      <c r="B401">
        <f>'Runs Z score'!B393</f>
        <v/>
      </c>
      <c r="C401">
        <f>'Runs Z score'!C393</f>
        <v/>
      </c>
      <c r="D401">
        <f>'Runs Z score'!D393</f>
        <v/>
      </c>
      <c r="E401">
        <f>'Runs Z score'!E393</f>
        <v/>
      </c>
      <c r="F401">
        <f>'Runs Z score'!F393</f>
        <v/>
      </c>
      <c r="G401">
        <f>'Runs Z score'!G393</f>
        <v/>
      </c>
      <c r="H401">
        <f>VLOOKUP(C401,Recipes!$A$2:$N$4,10,FALSE())</f>
        <v/>
      </c>
      <c r="I401">
        <f>VLOOKUP(C401,Recipes!$A$2:$N$4,12,FALSE())</f>
        <v/>
      </c>
      <c r="J401">
        <f>IF(G401="","",H401-G401)</f>
        <v/>
      </c>
      <c r="K401">
        <f>IF(G401="","",IF(ABS(G401-H401)&lt;=$B$6*I401,"OK","NG"))</f>
        <v/>
      </c>
      <c r="L401">
        <f>IF(K401="","",IF(K401=D401,1,0))</f>
        <v/>
      </c>
      <c r="M401" t="inlineStr">
        <is>
          <t>N1</t>
        </is>
      </c>
      <c r="N401" s="15" t="n">
        <v>0.8601</v>
      </c>
      <c r="O401" s="15" t="n">
        <v>0.1026</v>
      </c>
      <c r="P401">
        <f>IF(M401="","",IF(M401=E401,1,0))</f>
        <v/>
      </c>
      <c r="Q401">
        <f>IF(K401="OK","-",IF(N401&lt;$B$7,"AMBIGUOUS","CONFIDENT"))</f>
        <v/>
      </c>
    </row>
    <row r="402">
      <c r="A402">
        <f>'Runs Z score'!A394</f>
        <v/>
      </c>
      <c r="B402">
        <f>'Runs Z score'!B394</f>
        <v/>
      </c>
      <c r="C402">
        <f>'Runs Z score'!C394</f>
        <v/>
      </c>
      <c r="D402">
        <f>'Runs Z score'!D394</f>
        <v/>
      </c>
      <c r="E402">
        <f>'Runs Z score'!E394</f>
        <v/>
      </c>
      <c r="F402">
        <f>'Runs Z score'!F394</f>
        <v/>
      </c>
      <c r="G402">
        <f>'Runs Z score'!G394</f>
        <v/>
      </c>
      <c r="H402">
        <f>VLOOKUP(C402,Recipes!$A$2:$N$4,10,FALSE())</f>
        <v/>
      </c>
      <c r="I402">
        <f>VLOOKUP(C402,Recipes!$A$2:$N$4,12,FALSE())</f>
        <v/>
      </c>
      <c r="J402">
        <f>IF(G402="","",H402-G402)</f>
        <v/>
      </c>
      <c r="K402">
        <f>IF(G402="","",IF(ABS(G402-H402)&lt;=$B$6*I402,"OK","NG"))</f>
        <v/>
      </c>
      <c r="L402">
        <f>IF(K402="","",IF(K402=D402,1,0))</f>
        <v/>
      </c>
      <c r="M402" t="inlineStr">
        <is>
          <t>N1</t>
        </is>
      </c>
      <c r="N402" s="15" t="n">
        <v>0.6364</v>
      </c>
      <c r="O402" s="15" t="n">
        <v>0.3634</v>
      </c>
      <c r="P402">
        <f>IF(M402="","",IF(M402=E402,1,0))</f>
        <v/>
      </c>
      <c r="Q402">
        <f>IF(K402="OK","-",IF(N402&lt;$B$7,"AMBIGUOUS","CONFIDENT"))</f>
        <v/>
      </c>
    </row>
    <row r="403">
      <c r="A403">
        <f>'Runs Z score'!A395</f>
        <v/>
      </c>
      <c r="B403">
        <f>'Runs Z score'!B395</f>
        <v/>
      </c>
      <c r="C403">
        <f>'Runs Z score'!C395</f>
        <v/>
      </c>
      <c r="D403">
        <f>'Runs Z score'!D395</f>
        <v/>
      </c>
      <c r="E403">
        <f>'Runs Z score'!E395</f>
        <v/>
      </c>
      <c r="F403">
        <f>'Runs Z score'!F395</f>
        <v/>
      </c>
      <c r="G403">
        <f>'Runs Z score'!G395</f>
        <v/>
      </c>
      <c r="H403">
        <f>VLOOKUP(C403,Recipes!$A$2:$N$4,10,FALSE())</f>
        <v/>
      </c>
      <c r="I403">
        <f>VLOOKUP(C403,Recipes!$A$2:$N$4,12,FALSE())</f>
        <v/>
      </c>
      <c r="J403">
        <f>IF(G403="","",H403-G403)</f>
        <v/>
      </c>
      <c r="K403">
        <f>IF(G403="","",IF(ABS(G403-H403)&lt;=$B$6*I403,"OK","NG"))</f>
        <v/>
      </c>
      <c r="L403">
        <f>IF(K403="","",IF(K403=D403,1,0))</f>
        <v/>
      </c>
      <c r="M403" t="inlineStr">
        <is>
          <t>N1</t>
        </is>
      </c>
      <c r="N403" s="15" t="n">
        <v>0.8512</v>
      </c>
      <c r="O403" s="15" t="n">
        <v>0.1441</v>
      </c>
      <c r="P403">
        <f>IF(M403="","",IF(M403=E403,1,0))</f>
        <v/>
      </c>
      <c r="Q403">
        <f>IF(K403="OK","-",IF(N403&lt;$B$7,"AMBIGUOUS","CONFIDENT"))</f>
        <v/>
      </c>
    </row>
    <row r="404">
      <c r="A404">
        <f>'Runs Z score'!A396</f>
        <v/>
      </c>
      <c r="B404">
        <f>'Runs Z score'!B396</f>
        <v/>
      </c>
      <c r="C404">
        <f>'Runs Z score'!C396</f>
        <v/>
      </c>
      <c r="D404">
        <f>'Runs Z score'!D396</f>
        <v/>
      </c>
      <c r="E404">
        <f>'Runs Z score'!E396</f>
        <v/>
      </c>
      <c r="F404">
        <f>'Runs Z score'!F396</f>
        <v/>
      </c>
      <c r="G404">
        <f>'Runs Z score'!G396</f>
        <v/>
      </c>
      <c r="H404">
        <f>VLOOKUP(C404,Recipes!$A$2:$N$4,10,FALSE())</f>
        <v/>
      </c>
      <c r="I404">
        <f>VLOOKUP(C404,Recipes!$A$2:$N$4,12,FALSE())</f>
        <v/>
      </c>
      <c r="J404">
        <f>IF(G404="","",H404-G404)</f>
        <v/>
      </c>
      <c r="K404">
        <f>IF(G404="","",IF(ABS(G404-H404)&lt;=$B$6*I404,"OK","NG"))</f>
        <v/>
      </c>
      <c r="L404">
        <f>IF(K404="","",IF(K404=D404,1,0))</f>
        <v/>
      </c>
      <c r="M404" t="inlineStr">
        <is>
          <t>N1</t>
        </is>
      </c>
      <c r="N404" s="15" t="n">
        <v>0.8601</v>
      </c>
      <c r="O404" s="15" t="n">
        <v>0.1026</v>
      </c>
      <c r="P404">
        <f>IF(M404="","",IF(M404=E404,1,0))</f>
        <v/>
      </c>
      <c r="Q404">
        <f>IF(K404="OK","-",IF(N404&lt;$B$7,"AMBIGUOUS","CONFIDENT"))</f>
        <v/>
      </c>
    </row>
    <row r="405">
      <c r="A405">
        <f>'Runs Z score'!A397</f>
        <v/>
      </c>
      <c r="B405">
        <f>'Runs Z score'!B397</f>
        <v/>
      </c>
      <c r="C405">
        <f>'Runs Z score'!C397</f>
        <v/>
      </c>
      <c r="D405">
        <f>'Runs Z score'!D397</f>
        <v/>
      </c>
      <c r="E405">
        <f>'Runs Z score'!E397</f>
        <v/>
      </c>
      <c r="F405">
        <f>'Runs Z score'!F397</f>
        <v/>
      </c>
      <c r="G405">
        <f>'Runs Z score'!G397</f>
        <v/>
      </c>
      <c r="H405">
        <f>VLOOKUP(C405,Recipes!$A$2:$N$4,10,FALSE())</f>
        <v/>
      </c>
      <c r="I405">
        <f>VLOOKUP(C405,Recipes!$A$2:$N$4,12,FALSE())</f>
        <v/>
      </c>
      <c r="J405">
        <f>IF(G405="","",H405-G405)</f>
        <v/>
      </c>
      <c r="K405">
        <f>IF(G405="","",IF(ABS(G405-H405)&lt;=$B$6*I405,"OK","NG"))</f>
        <v/>
      </c>
      <c r="L405">
        <f>IF(K405="","",IF(K405=D405,1,0))</f>
        <v/>
      </c>
      <c r="M405" t="inlineStr">
        <is>
          <t>N1</t>
        </is>
      </c>
      <c r="N405" s="15" t="n">
        <v>0.6796</v>
      </c>
      <c r="O405" s="15" t="n">
        <v>0.3204</v>
      </c>
      <c r="P405">
        <f>IF(M405="","",IF(M405=E405,1,0))</f>
        <v/>
      </c>
      <c r="Q405">
        <f>IF(K405="OK","-",IF(N405&lt;$B$7,"AMBIGUOUS","CONFIDENT"))</f>
        <v/>
      </c>
    </row>
    <row r="406">
      <c r="A406">
        <f>'Runs Z score'!A398</f>
        <v/>
      </c>
      <c r="B406">
        <f>'Runs Z score'!B398</f>
        <v/>
      </c>
      <c r="C406">
        <f>'Runs Z score'!C398</f>
        <v/>
      </c>
      <c r="D406">
        <f>'Runs Z score'!D398</f>
        <v/>
      </c>
      <c r="E406">
        <f>'Runs Z score'!E398</f>
        <v/>
      </c>
      <c r="F406">
        <f>'Runs Z score'!F398</f>
        <v/>
      </c>
      <c r="G406">
        <f>'Runs Z score'!G398</f>
        <v/>
      </c>
      <c r="H406">
        <f>VLOOKUP(C406,Recipes!$A$2:$N$4,10,FALSE())</f>
        <v/>
      </c>
      <c r="I406">
        <f>VLOOKUP(C406,Recipes!$A$2:$N$4,12,FALSE())</f>
        <v/>
      </c>
      <c r="J406">
        <f>IF(G406="","",H406-G406)</f>
        <v/>
      </c>
      <c r="K406">
        <f>IF(G406="","",IF(ABS(G406-H406)&lt;=$B$6*I406,"OK","NG"))</f>
        <v/>
      </c>
      <c r="L406">
        <f>IF(K406="","",IF(K406=D406,1,0))</f>
        <v/>
      </c>
      <c r="M406" t="inlineStr">
        <is>
          <t>N1</t>
        </is>
      </c>
      <c r="N406" s="15" t="n">
        <v>0.702</v>
      </c>
      <c r="O406" s="15" t="n">
        <v>0.2971</v>
      </c>
      <c r="P406">
        <f>IF(M406="","",IF(M406=E406,1,0))</f>
        <v/>
      </c>
      <c r="Q406">
        <f>IF(K406="OK","-",IF(N406&lt;$B$7,"AMBIGUOUS","CONFIDENT"))</f>
        <v/>
      </c>
    </row>
    <row r="407">
      <c r="A407">
        <f>'Runs Z score'!A399</f>
        <v/>
      </c>
      <c r="B407">
        <f>'Runs Z score'!B399</f>
        <v/>
      </c>
      <c r="C407">
        <f>'Runs Z score'!C399</f>
        <v/>
      </c>
      <c r="D407">
        <f>'Runs Z score'!D399</f>
        <v/>
      </c>
      <c r="E407">
        <f>'Runs Z score'!E399</f>
        <v/>
      </c>
      <c r="F407">
        <f>'Runs Z score'!F399</f>
        <v/>
      </c>
      <c r="G407">
        <f>'Runs Z score'!G399</f>
        <v/>
      </c>
      <c r="H407">
        <f>VLOOKUP(C407,Recipes!$A$2:$N$4,10,FALSE())</f>
        <v/>
      </c>
      <c r="I407">
        <f>VLOOKUP(C407,Recipes!$A$2:$N$4,12,FALSE())</f>
        <v/>
      </c>
      <c r="J407">
        <f>IF(G407="","",H407-G407)</f>
        <v/>
      </c>
      <c r="K407">
        <f>IF(G407="","",IF(ABS(G407-H407)&lt;=$B$6*I407,"OK","NG"))</f>
        <v/>
      </c>
      <c r="L407">
        <f>IF(K407="","",IF(K407=D407,1,0))</f>
        <v/>
      </c>
      <c r="M407" t="inlineStr">
        <is>
          <t>N1</t>
        </is>
      </c>
      <c r="N407" s="15" t="n">
        <v>0.8274</v>
      </c>
      <c r="O407" s="15" t="n">
        <v>0.17</v>
      </c>
      <c r="P407">
        <f>IF(M407="","",IF(M407=E407,1,0))</f>
        <v/>
      </c>
      <c r="Q407">
        <f>IF(K407="OK","-",IF(N407&lt;$B$7,"AMBIGUOUS","CONFIDENT"))</f>
        <v/>
      </c>
    </row>
    <row r="408">
      <c r="A408">
        <f>'Runs Z score'!A400</f>
        <v/>
      </c>
      <c r="B408">
        <f>'Runs Z score'!B400</f>
        <v/>
      </c>
      <c r="C408">
        <f>'Runs Z score'!C400</f>
        <v/>
      </c>
      <c r="D408">
        <f>'Runs Z score'!D400</f>
        <v/>
      </c>
      <c r="E408">
        <f>'Runs Z score'!E400</f>
        <v/>
      </c>
      <c r="F408">
        <f>'Runs Z score'!F400</f>
        <v/>
      </c>
      <c r="G408">
        <f>'Runs Z score'!G400</f>
        <v/>
      </c>
      <c r="H408">
        <f>VLOOKUP(C408,Recipes!$A$2:$N$4,10,FALSE())</f>
        <v/>
      </c>
      <c r="I408">
        <f>VLOOKUP(C408,Recipes!$A$2:$N$4,12,FALSE())</f>
        <v/>
      </c>
      <c r="J408">
        <f>IF(G408="","",H408-G408)</f>
        <v/>
      </c>
      <c r="K408">
        <f>IF(G408="","",IF(ABS(G408-H408)&lt;=$B$6*I408,"OK","NG"))</f>
        <v/>
      </c>
      <c r="L408">
        <f>IF(K408="","",IF(K408=D408,1,0))</f>
        <v/>
      </c>
      <c r="M408" t="inlineStr">
        <is>
          <t>N1</t>
        </is>
      </c>
      <c r="N408" s="15" t="n">
        <v>0.7667</v>
      </c>
      <c r="O408" s="15" t="n">
        <v>0.2333</v>
      </c>
      <c r="P408">
        <f>IF(M408="","",IF(M408=E408,1,0))</f>
        <v/>
      </c>
      <c r="Q408">
        <f>IF(K408="OK","-",IF(N408&lt;$B$7,"AMBIGUOUS","CONFIDENT"))</f>
        <v/>
      </c>
    </row>
    <row r="409">
      <c r="A409">
        <f>'Runs Z score'!A401</f>
        <v/>
      </c>
      <c r="B409">
        <f>'Runs Z score'!B401</f>
        <v/>
      </c>
      <c r="C409">
        <f>'Runs Z score'!C401</f>
        <v/>
      </c>
      <c r="D409">
        <f>'Runs Z score'!D401</f>
        <v/>
      </c>
      <c r="E409">
        <f>'Runs Z score'!E401</f>
        <v/>
      </c>
      <c r="F409">
        <f>'Runs Z score'!F401</f>
        <v/>
      </c>
      <c r="G409">
        <f>'Runs Z score'!G401</f>
        <v/>
      </c>
      <c r="H409">
        <f>VLOOKUP(C409,Recipes!$A$2:$N$4,10,FALSE())</f>
        <v/>
      </c>
      <c r="I409">
        <f>VLOOKUP(C409,Recipes!$A$2:$N$4,12,FALSE())</f>
        <v/>
      </c>
      <c r="J409">
        <f>IF(G409="","",H409-G409)</f>
        <v/>
      </c>
      <c r="K409">
        <f>IF(G409="","",IF(ABS(G409-H409)&lt;=$B$6*I409,"OK","NG"))</f>
        <v/>
      </c>
      <c r="L409">
        <f>IF(K409="","",IF(K409=D409,1,0))</f>
        <v/>
      </c>
      <c r="M409" t="inlineStr">
        <is>
          <t>N1</t>
        </is>
      </c>
      <c r="N409" s="15" t="n">
        <v>0.8476</v>
      </c>
      <c r="O409" s="15" t="n">
        <v>0.1493</v>
      </c>
      <c r="P409">
        <f>IF(M409="","",IF(M409=E409,1,0))</f>
        <v/>
      </c>
      <c r="Q409">
        <f>IF(K409="OK","-",IF(N409&lt;$B$7,"AMBIGUOUS","CONFIDENT"))</f>
        <v/>
      </c>
    </row>
    <row r="410">
      <c r="A410">
        <f>'Runs Z score'!A402</f>
        <v/>
      </c>
      <c r="B410">
        <f>'Runs Z score'!B402</f>
        <v/>
      </c>
      <c r="C410">
        <f>'Runs Z score'!C402</f>
        <v/>
      </c>
      <c r="D410">
        <f>'Runs Z score'!D402</f>
        <v/>
      </c>
      <c r="E410">
        <f>'Runs Z score'!E402</f>
        <v/>
      </c>
      <c r="F410">
        <f>'Runs Z score'!F402</f>
        <v/>
      </c>
      <c r="G410">
        <f>'Runs Z score'!G402</f>
        <v/>
      </c>
      <c r="H410">
        <f>VLOOKUP(C410,Recipes!$A$2:$N$4,10,FALSE())</f>
        <v/>
      </c>
      <c r="I410">
        <f>VLOOKUP(C410,Recipes!$A$2:$N$4,12,FALSE())</f>
        <v/>
      </c>
      <c r="J410">
        <f>IF(G410="","",H410-G410)</f>
        <v/>
      </c>
      <c r="K410">
        <f>IF(G410="","",IF(ABS(G410-H410)&lt;=$B$6*I410,"OK","NG"))</f>
        <v/>
      </c>
      <c r="L410">
        <f>IF(K410="","",IF(K410=D410,1,0))</f>
        <v/>
      </c>
      <c r="M410" t="inlineStr">
        <is>
          <t>N1</t>
        </is>
      </c>
      <c r="N410" s="15" t="n">
        <v>0.8512</v>
      </c>
      <c r="O410" s="15" t="n">
        <v>0.1441</v>
      </c>
      <c r="P410">
        <f>IF(M410="","",IF(M410=E410,1,0))</f>
        <v/>
      </c>
      <c r="Q410">
        <f>IF(K410="OK","-",IF(N410&lt;$B$7,"AMBIGUOUS","CONFIDENT"))</f>
        <v/>
      </c>
    </row>
    <row r="411">
      <c r="A411">
        <f>'Runs Z score'!A403</f>
        <v/>
      </c>
      <c r="B411">
        <f>'Runs Z score'!B403</f>
        <v/>
      </c>
      <c r="C411">
        <f>'Runs Z score'!C403</f>
        <v/>
      </c>
      <c r="D411">
        <f>'Runs Z score'!D403</f>
        <v/>
      </c>
      <c r="E411">
        <f>'Runs Z score'!E403</f>
        <v/>
      </c>
      <c r="F411">
        <f>'Runs Z score'!F403</f>
        <v/>
      </c>
      <c r="G411">
        <f>'Runs Z score'!G403</f>
        <v/>
      </c>
      <c r="H411">
        <f>VLOOKUP(C411,Recipes!$A$2:$N$4,10,FALSE())</f>
        <v/>
      </c>
      <c r="I411">
        <f>VLOOKUP(C411,Recipes!$A$2:$N$4,12,FALSE())</f>
        <v/>
      </c>
      <c r="J411">
        <f>IF(G411="","",H411-G411)</f>
        <v/>
      </c>
      <c r="K411">
        <f>IF(G411="","",IF(ABS(G411-H411)&lt;=$B$6*I411,"OK","NG"))</f>
        <v/>
      </c>
      <c r="L411">
        <f>IF(K411="","",IF(K411=D411,1,0))</f>
        <v/>
      </c>
      <c r="M411" t="inlineStr">
        <is>
          <t>N1</t>
        </is>
      </c>
      <c r="N411" s="15" t="n">
        <v>0.7349</v>
      </c>
      <c r="O411" s="15" t="n">
        <v>0.2639</v>
      </c>
      <c r="P411">
        <f>IF(M411="","",IF(M411=E411,1,0))</f>
        <v/>
      </c>
      <c r="Q411">
        <f>IF(K411="OK","-",IF(N411&lt;$B$7,"AMBIGUOUS","CONFIDENT"))</f>
        <v/>
      </c>
    </row>
    <row r="412">
      <c r="A412">
        <f>'Runs Z score'!A404</f>
        <v/>
      </c>
      <c r="B412">
        <f>'Runs Z score'!B404</f>
        <v/>
      </c>
      <c r="C412">
        <f>'Runs Z score'!C404</f>
        <v/>
      </c>
      <c r="D412">
        <f>'Runs Z score'!D404</f>
        <v/>
      </c>
      <c r="E412">
        <f>'Runs Z score'!E404</f>
        <v/>
      </c>
      <c r="F412">
        <f>'Runs Z score'!F404</f>
        <v/>
      </c>
      <c r="G412">
        <f>'Runs Z score'!G404</f>
        <v/>
      </c>
      <c r="H412">
        <f>VLOOKUP(C412,Recipes!$A$2:$N$4,10,FALSE())</f>
        <v/>
      </c>
      <c r="I412">
        <f>VLOOKUP(C412,Recipes!$A$2:$N$4,12,FALSE())</f>
        <v/>
      </c>
      <c r="J412">
        <f>IF(G412="","",H412-G412)</f>
        <v/>
      </c>
      <c r="K412">
        <f>IF(G412="","",IF(ABS(G412-H412)&lt;=$B$6*I412,"OK","NG"))</f>
        <v/>
      </c>
      <c r="L412">
        <f>IF(K412="","",IF(K412=D412,1,0))</f>
        <v/>
      </c>
      <c r="M412" t="inlineStr">
        <is>
          <t>N1</t>
        </is>
      </c>
      <c r="N412" s="15" t="n">
        <v>0.7965</v>
      </c>
      <c r="O412" s="15" t="n">
        <v>0.1998</v>
      </c>
      <c r="P412">
        <f>IF(M412="","",IF(M412=E412,1,0))</f>
        <v/>
      </c>
      <c r="Q412">
        <f>IF(K412="OK","-",IF(N412&lt;$B$7,"AMBIGUOUS","CONFIDENT"))</f>
        <v/>
      </c>
    </row>
    <row r="413">
      <c r="A413">
        <f>'Runs Z score'!A405</f>
        <v/>
      </c>
      <c r="B413">
        <f>'Runs Z score'!B405</f>
        <v/>
      </c>
      <c r="C413">
        <f>'Runs Z score'!C405</f>
        <v/>
      </c>
      <c r="D413">
        <f>'Runs Z score'!D405</f>
        <v/>
      </c>
      <c r="E413">
        <f>'Runs Z score'!E405</f>
        <v/>
      </c>
      <c r="F413">
        <f>'Runs Z score'!F405</f>
        <v/>
      </c>
      <c r="G413">
        <f>'Runs Z score'!G405</f>
        <v/>
      </c>
      <c r="H413">
        <f>VLOOKUP(C413,Recipes!$A$2:$N$4,10,FALSE())</f>
        <v/>
      </c>
      <c r="I413">
        <f>VLOOKUP(C413,Recipes!$A$2:$N$4,12,FALSE())</f>
        <v/>
      </c>
      <c r="J413">
        <f>IF(G413="","",H413-G413)</f>
        <v/>
      </c>
      <c r="K413">
        <f>IF(G413="","",IF(ABS(G413-H413)&lt;=$B$6*I413,"OK","NG"))</f>
        <v/>
      </c>
      <c r="L413">
        <f>IF(K413="","",IF(K413=D413,1,0))</f>
        <v/>
      </c>
      <c r="M413" t="inlineStr">
        <is>
          <t>N1</t>
        </is>
      </c>
      <c r="N413" s="15" t="n">
        <v>0.7618</v>
      </c>
      <c r="O413" s="15" t="n">
        <v>0.2369</v>
      </c>
      <c r="P413">
        <f>IF(M413="","",IF(M413=E413,1,0))</f>
        <v/>
      </c>
      <c r="Q413">
        <f>IF(K413="OK","-",IF(N413&lt;$B$7,"AMBIGUOUS","CONFIDENT"))</f>
        <v/>
      </c>
    </row>
    <row r="414">
      <c r="A414">
        <f>'Runs Z score'!A406</f>
        <v/>
      </c>
      <c r="B414">
        <f>'Runs Z score'!B406</f>
        <v/>
      </c>
      <c r="C414">
        <f>'Runs Z score'!C406</f>
        <v/>
      </c>
      <c r="D414">
        <f>'Runs Z score'!D406</f>
        <v/>
      </c>
      <c r="E414">
        <f>'Runs Z score'!E406</f>
        <v/>
      </c>
      <c r="F414">
        <f>'Runs Z score'!F406</f>
        <v/>
      </c>
      <c r="G414">
        <f>'Runs Z score'!G406</f>
        <v/>
      </c>
      <c r="H414">
        <f>VLOOKUP(C414,Recipes!$A$2:$N$4,10,FALSE())</f>
        <v/>
      </c>
      <c r="I414">
        <f>VLOOKUP(C414,Recipes!$A$2:$N$4,12,FALSE())</f>
        <v/>
      </c>
      <c r="J414">
        <f>IF(G414="","",H414-G414)</f>
        <v/>
      </c>
      <c r="K414">
        <f>IF(G414="","",IF(ABS(G414-H414)&lt;=$B$6*I414,"OK","NG"))</f>
        <v/>
      </c>
      <c r="L414">
        <f>IF(K414="","",IF(K414=D414,1,0))</f>
        <v/>
      </c>
      <c r="M414" t="inlineStr">
        <is>
          <t>N2</t>
        </is>
      </c>
      <c r="N414" s="15" t="n">
        <v>0.9586</v>
      </c>
      <c r="O414" s="15" t="n">
        <v>0.0355</v>
      </c>
      <c r="P414">
        <f>IF(M414="","",IF(M414=E414,1,0))</f>
        <v/>
      </c>
      <c r="Q414">
        <f>IF(K414="OK","-",IF(N414&lt;$B$7,"AMBIGUOUS","CONFIDENT"))</f>
        <v/>
      </c>
    </row>
    <row r="415">
      <c r="A415">
        <f>'Runs Z score'!A407</f>
        <v/>
      </c>
      <c r="B415">
        <f>'Runs Z score'!B407</f>
        <v/>
      </c>
      <c r="C415">
        <f>'Runs Z score'!C407</f>
        <v/>
      </c>
      <c r="D415">
        <f>'Runs Z score'!D407</f>
        <v/>
      </c>
      <c r="E415">
        <f>'Runs Z score'!E407</f>
        <v/>
      </c>
      <c r="F415">
        <f>'Runs Z score'!F407</f>
        <v/>
      </c>
      <c r="G415">
        <f>'Runs Z score'!G407</f>
        <v/>
      </c>
      <c r="H415">
        <f>VLOOKUP(C415,Recipes!$A$2:$N$4,10,FALSE())</f>
        <v/>
      </c>
      <c r="I415">
        <f>VLOOKUP(C415,Recipes!$A$2:$N$4,12,FALSE())</f>
        <v/>
      </c>
      <c r="J415">
        <f>IF(G415="","",H415-G415)</f>
        <v/>
      </c>
      <c r="K415">
        <f>IF(G415="","",IF(ABS(G415-H415)&lt;=$B$6*I415,"OK","NG"))</f>
        <v/>
      </c>
      <c r="L415">
        <f>IF(K415="","",IF(K415=D415,1,0))</f>
        <v/>
      </c>
      <c r="M415" t="inlineStr">
        <is>
          <t>N1</t>
        </is>
      </c>
      <c r="N415" s="15" t="n">
        <v>0.8547</v>
      </c>
      <c r="O415" s="15" t="n">
        <v>0.137</v>
      </c>
      <c r="P415">
        <f>IF(M415="","",IF(M415=E415,1,0))</f>
        <v/>
      </c>
      <c r="Q415">
        <f>IF(K415="OK","-",IF(N415&lt;$B$7,"AMBIGUOUS","CONFIDENT"))</f>
        <v/>
      </c>
    </row>
    <row r="416">
      <c r="A416">
        <f>'Runs Z score'!A408</f>
        <v/>
      </c>
      <c r="B416">
        <f>'Runs Z score'!B408</f>
        <v/>
      </c>
      <c r="C416">
        <f>'Runs Z score'!C408</f>
        <v/>
      </c>
      <c r="D416">
        <f>'Runs Z score'!D408</f>
        <v/>
      </c>
      <c r="E416">
        <f>'Runs Z score'!E408</f>
        <v/>
      </c>
      <c r="F416">
        <f>'Runs Z score'!F408</f>
        <v/>
      </c>
      <c r="G416">
        <f>'Runs Z score'!G408</f>
        <v/>
      </c>
      <c r="H416">
        <f>VLOOKUP(C416,Recipes!$A$2:$N$4,10,FALSE())</f>
        <v/>
      </c>
      <c r="I416">
        <f>VLOOKUP(C416,Recipes!$A$2:$N$4,12,FALSE())</f>
        <v/>
      </c>
      <c r="J416">
        <f>IF(G416="","",H416-G416)</f>
        <v/>
      </c>
      <c r="K416">
        <f>IF(G416="","",IF(ABS(G416-H416)&lt;=$B$6*I416,"OK","NG"))</f>
        <v/>
      </c>
      <c r="L416">
        <f>IF(K416="","",IF(K416=D416,1,0))</f>
        <v/>
      </c>
      <c r="M416" t="inlineStr">
        <is>
          <t>N1</t>
        </is>
      </c>
      <c r="N416" s="15" t="n">
        <v>0.8569</v>
      </c>
      <c r="O416" s="15" t="n">
        <v>0.1392</v>
      </c>
      <c r="P416">
        <f>IF(M416="","",IF(M416=E416,1,0))</f>
        <v/>
      </c>
      <c r="Q416">
        <f>IF(K416="OK","-",IF(N416&lt;$B$7,"AMBIGUOUS","CONFIDENT"))</f>
        <v/>
      </c>
    </row>
    <row r="417">
      <c r="A417">
        <f>'Runs Z score'!A409</f>
        <v/>
      </c>
      <c r="B417">
        <f>'Runs Z score'!B409</f>
        <v/>
      </c>
      <c r="C417">
        <f>'Runs Z score'!C409</f>
        <v/>
      </c>
      <c r="D417">
        <f>'Runs Z score'!D409</f>
        <v/>
      </c>
      <c r="E417">
        <f>'Runs Z score'!E409</f>
        <v/>
      </c>
      <c r="F417">
        <f>'Runs Z score'!F409</f>
        <v/>
      </c>
      <c r="G417">
        <f>'Runs Z score'!G409</f>
        <v/>
      </c>
      <c r="H417">
        <f>VLOOKUP(C417,Recipes!$A$2:$N$4,10,FALSE())</f>
        <v/>
      </c>
      <c r="I417">
        <f>VLOOKUP(C417,Recipes!$A$2:$N$4,12,FALSE())</f>
        <v/>
      </c>
      <c r="J417">
        <f>IF(G417="","",H417-G417)</f>
        <v/>
      </c>
      <c r="K417">
        <f>IF(G417="","",IF(ABS(G417-H417)&lt;=$B$6*I417,"OK","NG"))</f>
        <v/>
      </c>
      <c r="L417">
        <f>IF(K417="","",IF(K417=D417,1,0))</f>
        <v/>
      </c>
      <c r="M417" t="inlineStr">
        <is>
          <t>N1</t>
        </is>
      </c>
      <c r="N417" s="15" t="n">
        <v>0.8296</v>
      </c>
      <c r="O417" s="15" t="n">
        <v>0.1648</v>
      </c>
      <c r="P417">
        <f>IF(M417="","",IF(M417=E417,1,0))</f>
        <v/>
      </c>
      <c r="Q417">
        <f>IF(K417="OK","-",IF(N417&lt;$B$7,"AMBIGUOUS","CONFIDENT"))</f>
        <v/>
      </c>
    </row>
    <row r="418">
      <c r="A418">
        <f>'Runs Z score'!A410</f>
        <v/>
      </c>
      <c r="B418">
        <f>'Runs Z score'!B410</f>
        <v/>
      </c>
      <c r="C418">
        <f>'Runs Z score'!C410</f>
        <v/>
      </c>
      <c r="D418">
        <f>'Runs Z score'!D410</f>
        <v/>
      </c>
      <c r="E418">
        <f>'Runs Z score'!E410</f>
        <v/>
      </c>
      <c r="F418">
        <f>'Runs Z score'!F410</f>
        <v/>
      </c>
      <c r="G418">
        <f>'Runs Z score'!G410</f>
        <v/>
      </c>
      <c r="H418">
        <f>VLOOKUP(C418,Recipes!$A$2:$N$4,10,FALSE())</f>
        <v/>
      </c>
      <c r="I418">
        <f>VLOOKUP(C418,Recipes!$A$2:$N$4,12,FALSE())</f>
        <v/>
      </c>
      <c r="J418">
        <f>IF(G418="","",H418-G418)</f>
        <v/>
      </c>
      <c r="K418">
        <f>IF(G418="","",IF(ABS(G418-H418)&lt;=$B$6*I418,"OK","NG"))</f>
        <v/>
      </c>
      <c r="L418">
        <f>IF(K418="","",IF(K418=D418,1,0))</f>
        <v/>
      </c>
      <c r="M418" t="inlineStr">
        <is>
          <t>N1</t>
        </is>
      </c>
      <c r="N418" s="15" t="n">
        <v>0.8779</v>
      </c>
      <c r="O418" s="15" t="n">
        <v>0.1162</v>
      </c>
      <c r="P418">
        <f>IF(M418="","",IF(M418=E418,1,0))</f>
        <v/>
      </c>
      <c r="Q418">
        <f>IF(K418="OK","-",IF(N418&lt;$B$7,"AMBIGUOUS","CONFIDENT"))</f>
        <v/>
      </c>
    </row>
    <row r="419">
      <c r="A419">
        <f>'Runs Z score'!A411</f>
        <v/>
      </c>
      <c r="B419">
        <f>'Runs Z score'!B411</f>
        <v/>
      </c>
      <c r="C419">
        <f>'Runs Z score'!C411</f>
        <v/>
      </c>
      <c r="D419">
        <f>'Runs Z score'!D411</f>
        <v/>
      </c>
      <c r="E419">
        <f>'Runs Z score'!E411</f>
        <v/>
      </c>
      <c r="F419">
        <f>'Runs Z score'!F411</f>
        <v/>
      </c>
      <c r="G419">
        <f>'Runs Z score'!G411</f>
        <v/>
      </c>
      <c r="H419">
        <f>VLOOKUP(C419,Recipes!$A$2:$N$4,10,FALSE())</f>
        <v/>
      </c>
      <c r="I419">
        <f>VLOOKUP(C419,Recipes!$A$2:$N$4,12,FALSE())</f>
        <v/>
      </c>
      <c r="J419">
        <f>IF(G419="","",H419-G419)</f>
        <v/>
      </c>
      <c r="K419">
        <f>IF(G419="","",IF(ABS(G419-H419)&lt;=$B$6*I419,"OK","NG"))</f>
        <v/>
      </c>
      <c r="L419">
        <f>IF(K419="","",IF(K419=D419,1,0))</f>
        <v/>
      </c>
      <c r="M419" t="inlineStr">
        <is>
          <t>N1</t>
        </is>
      </c>
      <c r="N419" s="15" t="n">
        <v>0.742</v>
      </c>
      <c r="O419" s="15" t="n">
        <v>0.2573</v>
      </c>
      <c r="P419">
        <f>IF(M419="","",IF(M419=E419,1,0))</f>
        <v/>
      </c>
      <c r="Q419">
        <f>IF(K419="OK","-",IF(N419&lt;$B$7,"AMBIGUOUS","CONFIDENT"))</f>
        <v/>
      </c>
    </row>
    <row r="420">
      <c r="A420">
        <f>'Runs Z score'!A412</f>
        <v/>
      </c>
      <c r="B420">
        <f>'Runs Z score'!B412</f>
        <v/>
      </c>
      <c r="C420">
        <f>'Runs Z score'!C412</f>
        <v/>
      </c>
      <c r="D420">
        <f>'Runs Z score'!D412</f>
        <v/>
      </c>
      <c r="E420">
        <f>'Runs Z score'!E412</f>
        <v/>
      </c>
      <c r="F420">
        <f>'Runs Z score'!F412</f>
        <v/>
      </c>
      <c r="G420">
        <f>'Runs Z score'!G412</f>
        <v/>
      </c>
      <c r="H420">
        <f>VLOOKUP(C420,Recipes!$A$2:$N$4,10,FALSE())</f>
        <v/>
      </c>
      <c r="I420">
        <f>VLOOKUP(C420,Recipes!$A$2:$N$4,12,FALSE())</f>
        <v/>
      </c>
      <c r="J420">
        <f>IF(G420="","",H420-G420)</f>
        <v/>
      </c>
      <c r="K420">
        <f>IF(G420="","",IF(ABS(G420-H420)&lt;=$B$6*I420,"OK","NG"))</f>
        <v/>
      </c>
      <c r="L420">
        <f>IF(K420="","",IF(K420=D420,1,0))</f>
        <v/>
      </c>
      <c r="M420" t="inlineStr">
        <is>
          <t>N1</t>
        </is>
      </c>
      <c r="N420" s="15" t="n">
        <v>0.8388</v>
      </c>
      <c r="O420" s="15" t="n">
        <v>0.1065</v>
      </c>
      <c r="P420">
        <f>IF(M420="","",IF(M420=E420,1,0))</f>
        <v/>
      </c>
      <c r="Q420">
        <f>IF(K420="OK","-",IF(N420&lt;$B$7,"AMBIGUOUS","CONFIDENT"))</f>
        <v/>
      </c>
    </row>
    <row r="421">
      <c r="A421">
        <f>'Runs Z score'!A413</f>
        <v/>
      </c>
      <c r="B421">
        <f>'Runs Z score'!B413</f>
        <v/>
      </c>
      <c r="C421">
        <f>'Runs Z score'!C413</f>
        <v/>
      </c>
      <c r="D421">
        <f>'Runs Z score'!D413</f>
        <v/>
      </c>
      <c r="E421">
        <f>'Runs Z score'!E413</f>
        <v/>
      </c>
      <c r="F421">
        <f>'Runs Z score'!F413</f>
        <v/>
      </c>
      <c r="G421">
        <f>'Runs Z score'!G413</f>
        <v/>
      </c>
      <c r="H421">
        <f>VLOOKUP(C421,Recipes!$A$2:$N$4,10,FALSE())</f>
        <v/>
      </c>
      <c r="I421">
        <f>VLOOKUP(C421,Recipes!$A$2:$N$4,12,FALSE())</f>
        <v/>
      </c>
      <c r="J421">
        <f>IF(G421="","",H421-G421)</f>
        <v/>
      </c>
      <c r="K421">
        <f>IF(G421="","",IF(ABS(G421-H421)&lt;=$B$6*I421,"OK","NG"))</f>
        <v/>
      </c>
      <c r="L421">
        <f>IF(K421="","",IF(K421=D421,1,0))</f>
        <v/>
      </c>
      <c r="M421" t="inlineStr">
        <is>
          <t>N1</t>
        </is>
      </c>
      <c r="N421" s="15" t="n">
        <v>0.8476</v>
      </c>
      <c r="O421" s="15" t="n">
        <v>0.1493</v>
      </c>
      <c r="P421">
        <f>IF(M421="","",IF(M421=E421,1,0))</f>
        <v/>
      </c>
      <c r="Q421">
        <f>IF(K421="OK","-",IF(N421&lt;$B$7,"AMBIGUOUS","CONFIDENT"))</f>
        <v/>
      </c>
    </row>
    <row r="422">
      <c r="A422">
        <f>'Runs Z score'!A414</f>
        <v/>
      </c>
      <c r="B422">
        <f>'Runs Z score'!B414</f>
        <v/>
      </c>
      <c r="C422">
        <f>'Runs Z score'!C414</f>
        <v/>
      </c>
      <c r="D422">
        <f>'Runs Z score'!D414</f>
        <v/>
      </c>
      <c r="E422">
        <f>'Runs Z score'!E414</f>
        <v/>
      </c>
      <c r="F422">
        <f>'Runs Z score'!F414</f>
        <v/>
      </c>
      <c r="G422">
        <f>'Runs Z score'!G414</f>
        <v/>
      </c>
      <c r="H422">
        <f>VLOOKUP(C422,Recipes!$A$2:$N$4,10,FALSE())</f>
        <v/>
      </c>
      <c r="I422">
        <f>VLOOKUP(C422,Recipes!$A$2:$N$4,12,FALSE())</f>
        <v/>
      </c>
      <c r="J422">
        <f>IF(G422="","",H422-G422)</f>
        <v/>
      </c>
      <c r="K422">
        <f>IF(G422="","",IF(ABS(G422-H422)&lt;=$B$6*I422,"OK","NG"))</f>
        <v/>
      </c>
      <c r="L422">
        <f>IF(K422="","",IF(K422=D422,1,0))</f>
        <v/>
      </c>
      <c r="M422" t="inlineStr">
        <is>
          <t>N1</t>
        </is>
      </c>
      <c r="N422" s="15" t="n">
        <v>0.8569</v>
      </c>
      <c r="O422" s="15" t="n">
        <v>0.1392</v>
      </c>
      <c r="P422">
        <f>IF(M422="","",IF(M422=E422,1,0))</f>
        <v/>
      </c>
      <c r="Q422">
        <f>IF(K422="OK","-",IF(N422&lt;$B$7,"AMBIGUOUS","CONFIDENT"))</f>
        <v/>
      </c>
    </row>
    <row r="423">
      <c r="A423">
        <f>'Runs Z score'!A415</f>
        <v/>
      </c>
      <c r="B423">
        <f>'Runs Z score'!B415</f>
        <v/>
      </c>
      <c r="C423">
        <f>'Runs Z score'!C415</f>
        <v/>
      </c>
      <c r="D423">
        <f>'Runs Z score'!D415</f>
        <v/>
      </c>
      <c r="E423">
        <f>'Runs Z score'!E415</f>
        <v/>
      </c>
      <c r="F423">
        <f>'Runs Z score'!F415</f>
        <v/>
      </c>
      <c r="G423">
        <f>'Runs Z score'!G415</f>
        <v/>
      </c>
      <c r="H423">
        <f>VLOOKUP(C423,Recipes!$A$2:$N$4,10,FALSE())</f>
        <v/>
      </c>
      <c r="I423">
        <f>VLOOKUP(C423,Recipes!$A$2:$N$4,12,FALSE())</f>
        <v/>
      </c>
      <c r="J423">
        <f>IF(G423="","",H423-G423)</f>
        <v/>
      </c>
      <c r="K423">
        <f>IF(G423="","",IF(ABS(G423-H423)&lt;=$B$6*I423,"OK","NG"))</f>
        <v/>
      </c>
      <c r="L423">
        <f>IF(K423="","",IF(K423=D423,1,0))</f>
        <v/>
      </c>
      <c r="M423" t="inlineStr">
        <is>
          <t>N1</t>
        </is>
      </c>
      <c r="N423" s="15" t="n">
        <v>0.8476</v>
      </c>
      <c r="O423" s="15" t="n">
        <v>0.1493</v>
      </c>
      <c r="P423">
        <f>IF(M423="","",IF(M423=E423,1,0))</f>
        <v/>
      </c>
      <c r="Q423">
        <f>IF(K423="OK","-",IF(N423&lt;$B$7,"AMBIGUOUS","CONFIDENT"))</f>
        <v/>
      </c>
    </row>
    <row r="424">
      <c r="A424">
        <f>'Runs Z score'!A416</f>
        <v/>
      </c>
      <c r="B424">
        <f>'Runs Z score'!B416</f>
        <v/>
      </c>
      <c r="C424">
        <f>'Runs Z score'!C416</f>
        <v/>
      </c>
      <c r="D424">
        <f>'Runs Z score'!D416</f>
        <v/>
      </c>
      <c r="E424">
        <f>'Runs Z score'!E416</f>
        <v/>
      </c>
      <c r="F424">
        <f>'Runs Z score'!F416</f>
        <v/>
      </c>
      <c r="G424">
        <f>'Runs Z score'!G416</f>
        <v/>
      </c>
      <c r="H424">
        <f>VLOOKUP(C424,Recipes!$A$2:$N$4,10,FALSE())</f>
        <v/>
      </c>
      <c r="I424">
        <f>VLOOKUP(C424,Recipes!$A$2:$N$4,12,FALSE())</f>
        <v/>
      </c>
      <c r="J424">
        <f>IF(G424="","",H424-G424)</f>
        <v/>
      </c>
      <c r="K424">
        <f>IF(G424="","",IF(ABS(G424-H424)&lt;=$B$6*I424,"OK","NG"))</f>
        <v/>
      </c>
      <c r="L424">
        <f>IF(K424="","",IF(K424=D424,1,0))</f>
        <v/>
      </c>
      <c r="M424" t="inlineStr">
        <is>
          <t>N1</t>
        </is>
      </c>
      <c r="N424" s="15" t="n">
        <v>0.8547</v>
      </c>
      <c r="O424" s="15" t="n">
        <v>0.137</v>
      </c>
      <c r="P424">
        <f>IF(M424="","",IF(M424=E424,1,0))</f>
        <v/>
      </c>
      <c r="Q424">
        <f>IF(K424="OK","-",IF(N424&lt;$B$7,"AMBIGUOUS","CONFIDENT"))</f>
        <v/>
      </c>
    </row>
    <row r="425">
      <c r="A425">
        <f>'Runs Z score'!A417</f>
        <v/>
      </c>
      <c r="B425">
        <f>'Runs Z score'!B417</f>
        <v/>
      </c>
      <c r="C425">
        <f>'Runs Z score'!C417</f>
        <v/>
      </c>
      <c r="D425">
        <f>'Runs Z score'!D417</f>
        <v/>
      </c>
      <c r="E425">
        <f>'Runs Z score'!E417</f>
        <v/>
      </c>
      <c r="F425">
        <f>'Runs Z score'!F417</f>
        <v/>
      </c>
      <c r="G425">
        <f>'Runs Z score'!G417</f>
        <v/>
      </c>
      <c r="H425">
        <f>VLOOKUP(C425,Recipes!$A$2:$N$4,10,FALSE())</f>
        <v/>
      </c>
      <c r="I425">
        <f>VLOOKUP(C425,Recipes!$A$2:$N$4,12,FALSE())</f>
        <v/>
      </c>
      <c r="J425">
        <f>IF(G425="","",H425-G425)</f>
        <v/>
      </c>
      <c r="K425">
        <f>IF(G425="","",IF(ABS(G425-H425)&lt;=$B$6*I425,"OK","NG"))</f>
        <v/>
      </c>
      <c r="L425">
        <f>IF(K425="","",IF(K425=D425,1,0))</f>
        <v/>
      </c>
      <c r="M425" t="inlineStr">
        <is>
          <t>N1</t>
        </is>
      </c>
      <c r="N425" s="15" t="n">
        <v>0.8476</v>
      </c>
      <c r="O425" s="15" t="n">
        <v>0.1493</v>
      </c>
      <c r="P425">
        <f>IF(M425="","",IF(M425=E425,1,0))</f>
        <v/>
      </c>
      <c r="Q425">
        <f>IF(K425="OK","-",IF(N425&lt;$B$7,"AMBIGUOUS","CONFIDENT"))</f>
        <v/>
      </c>
    </row>
    <row r="426">
      <c r="A426">
        <f>'Runs Z score'!A418</f>
        <v/>
      </c>
      <c r="B426">
        <f>'Runs Z score'!B418</f>
        <v/>
      </c>
      <c r="C426">
        <f>'Runs Z score'!C418</f>
        <v/>
      </c>
      <c r="D426">
        <f>'Runs Z score'!D418</f>
        <v/>
      </c>
      <c r="E426">
        <f>'Runs Z score'!E418</f>
        <v/>
      </c>
      <c r="F426">
        <f>'Runs Z score'!F418</f>
        <v/>
      </c>
      <c r="G426">
        <f>'Runs Z score'!G418</f>
        <v/>
      </c>
      <c r="H426">
        <f>VLOOKUP(C426,Recipes!$A$2:$N$4,10,FALSE())</f>
        <v/>
      </c>
      <c r="I426">
        <f>VLOOKUP(C426,Recipes!$A$2:$N$4,12,FALSE())</f>
        <v/>
      </c>
      <c r="J426">
        <f>IF(G426="","",H426-G426)</f>
        <v/>
      </c>
      <c r="K426">
        <f>IF(G426="","",IF(ABS(G426-H426)&lt;=$B$6*I426,"OK","NG"))</f>
        <v/>
      </c>
      <c r="L426">
        <f>IF(K426="","",IF(K426=D426,1,0))</f>
        <v/>
      </c>
      <c r="M426" t="inlineStr">
        <is>
          <t>N1</t>
        </is>
      </c>
      <c r="N426" s="15" t="n">
        <v>0.8993</v>
      </c>
      <c r="O426" s="15" t="n">
        <v>0.1006</v>
      </c>
      <c r="P426">
        <f>IF(M426="","",IF(M426=E426,1,0))</f>
        <v/>
      </c>
      <c r="Q426">
        <f>IF(K426="OK","-",IF(N426&lt;$B$7,"AMBIGUOUS","CONFIDENT"))</f>
        <v/>
      </c>
    </row>
    <row r="427">
      <c r="A427">
        <f>'Runs Z score'!A419</f>
        <v/>
      </c>
      <c r="B427">
        <f>'Runs Z score'!B419</f>
        <v/>
      </c>
      <c r="C427">
        <f>'Runs Z score'!C419</f>
        <v/>
      </c>
      <c r="D427">
        <f>'Runs Z score'!D419</f>
        <v/>
      </c>
      <c r="E427">
        <f>'Runs Z score'!E419</f>
        <v/>
      </c>
      <c r="F427">
        <f>'Runs Z score'!F419</f>
        <v/>
      </c>
      <c r="G427">
        <f>'Runs Z score'!G419</f>
        <v/>
      </c>
      <c r="H427">
        <f>VLOOKUP(C427,Recipes!$A$2:$N$4,10,FALSE())</f>
        <v/>
      </c>
      <c r="I427">
        <f>VLOOKUP(C427,Recipes!$A$2:$N$4,12,FALSE())</f>
        <v/>
      </c>
      <c r="J427">
        <f>IF(G427="","",H427-G427)</f>
        <v/>
      </c>
      <c r="K427">
        <f>IF(G427="","",IF(ABS(G427-H427)&lt;=$B$6*I427,"OK","NG"))</f>
        <v/>
      </c>
      <c r="L427">
        <f>IF(K427="","",IF(K427=D427,1,0))</f>
        <v/>
      </c>
      <c r="M427" t="inlineStr">
        <is>
          <t>N1</t>
        </is>
      </c>
      <c r="N427" s="15" t="n">
        <v>0.9185</v>
      </c>
      <c r="O427" s="15" t="n">
        <v>0.0815</v>
      </c>
      <c r="P427">
        <f>IF(M427="","",IF(M427=E427,1,0))</f>
        <v/>
      </c>
      <c r="Q427">
        <f>IF(K427="OK","-",IF(N427&lt;$B$7,"AMBIGUOUS","CONFIDENT"))</f>
        <v/>
      </c>
    </row>
    <row r="428">
      <c r="A428">
        <f>'Runs Z score'!A420</f>
        <v/>
      </c>
      <c r="B428">
        <f>'Runs Z score'!B420</f>
        <v/>
      </c>
      <c r="C428">
        <f>'Runs Z score'!C420</f>
        <v/>
      </c>
      <c r="D428">
        <f>'Runs Z score'!D420</f>
        <v/>
      </c>
      <c r="E428">
        <f>'Runs Z score'!E420</f>
        <v/>
      </c>
      <c r="F428">
        <f>'Runs Z score'!F420</f>
        <v/>
      </c>
      <c r="G428">
        <f>'Runs Z score'!G420</f>
        <v/>
      </c>
      <c r="H428">
        <f>VLOOKUP(C428,Recipes!$A$2:$N$4,10,FALSE())</f>
        <v/>
      </c>
      <c r="I428">
        <f>VLOOKUP(C428,Recipes!$A$2:$N$4,12,FALSE())</f>
        <v/>
      </c>
      <c r="J428">
        <f>IF(G428="","",H428-G428)</f>
        <v/>
      </c>
      <c r="K428">
        <f>IF(G428="","",IF(ABS(G428-H428)&lt;=$B$6*I428,"OK","NG"))</f>
        <v/>
      </c>
      <c r="L428">
        <f>IF(K428="","",IF(K428=D428,1,0))</f>
        <v/>
      </c>
      <c r="M428" t="inlineStr">
        <is>
          <t>N1</t>
        </is>
      </c>
      <c r="N428" s="15" t="n">
        <v>0.8707</v>
      </c>
      <c r="O428" s="15" t="n">
        <v>0.1293</v>
      </c>
      <c r="P428">
        <f>IF(M428="","",IF(M428=E428,1,0))</f>
        <v/>
      </c>
      <c r="Q428">
        <f>IF(K428="OK","-",IF(N428&lt;$B$7,"AMBIGUOUS","CONFIDENT"))</f>
        <v/>
      </c>
    </row>
    <row r="429">
      <c r="A429">
        <f>'Runs Z score'!A421</f>
        <v/>
      </c>
      <c r="B429">
        <f>'Runs Z score'!B421</f>
        <v/>
      </c>
      <c r="C429">
        <f>'Runs Z score'!C421</f>
        <v/>
      </c>
      <c r="D429">
        <f>'Runs Z score'!D421</f>
        <v/>
      </c>
      <c r="E429">
        <f>'Runs Z score'!E421</f>
        <v/>
      </c>
      <c r="F429">
        <f>'Runs Z score'!F421</f>
        <v/>
      </c>
      <c r="G429">
        <f>'Runs Z score'!G421</f>
        <v/>
      </c>
      <c r="H429">
        <f>VLOOKUP(C429,Recipes!$A$2:$N$4,10,FALSE())</f>
        <v/>
      </c>
      <c r="I429">
        <f>VLOOKUP(C429,Recipes!$A$2:$N$4,12,FALSE())</f>
        <v/>
      </c>
      <c r="J429">
        <f>IF(G429="","",H429-G429)</f>
        <v/>
      </c>
      <c r="K429">
        <f>IF(G429="","",IF(ABS(G429-H429)&lt;=$B$6*I429,"OK","NG"))</f>
        <v/>
      </c>
      <c r="L429">
        <f>IF(K429="","",IF(K429=D429,1,0))</f>
        <v/>
      </c>
      <c r="M429" t="inlineStr">
        <is>
          <t>N2</t>
        </is>
      </c>
      <c r="N429" s="15" t="n">
        <v>0.9999</v>
      </c>
      <c r="O429" s="15" t="n">
        <v>0.0001</v>
      </c>
      <c r="P429">
        <f>IF(M429="","",IF(M429=E429,1,0))</f>
        <v/>
      </c>
      <c r="Q429">
        <f>IF(K429="OK","-",IF(N429&lt;$B$7,"AMBIGUOUS","CONFIDENT"))</f>
        <v/>
      </c>
    </row>
    <row r="430">
      <c r="A430">
        <f>'Runs Z score'!A422</f>
        <v/>
      </c>
      <c r="B430">
        <f>'Runs Z score'!B422</f>
        <v/>
      </c>
      <c r="C430">
        <f>'Runs Z score'!C422</f>
        <v/>
      </c>
      <c r="D430">
        <f>'Runs Z score'!D422</f>
        <v/>
      </c>
      <c r="E430">
        <f>'Runs Z score'!E422</f>
        <v/>
      </c>
      <c r="F430">
        <f>'Runs Z score'!F422</f>
        <v/>
      </c>
      <c r="G430">
        <f>'Runs Z score'!G422</f>
        <v/>
      </c>
      <c r="H430">
        <f>VLOOKUP(C430,Recipes!$A$2:$N$4,10,FALSE())</f>
        <v/>
      </c>
      <c r="I430">
        <f>VLOOKUP(C430,Recipes!$A$2:$N$4,12,FALSE())</f>
        <v/>
      </c>
      <c r="J430">
        <f>IF(G430="","",H430-G430)</f>
        <v/>
      </c>
      <c r="K430">
        <f>IF(G430="","",IF(ABS(G430-H430)&lt;=$B$6*I430,"OK","NG"))</f>
        <v/>
      </c>
      <c r="L430">
        <f>IF(K430="","",IF(K430=D430,1,0))</f>
        <v/>
      </c>
      <c r="M430" t="inlineStr">
        <is>
          <t>N1</t>
        </is>
      </c>
      <c r="N430" s="15" t="n">
        <v>0.7541</v>
      </c>
      <c r="O430" s="15" t="n">
        <v>0.2433</v>
      </c>
      <c r="P430">
        <f>IF(M430="","",IF(M430=E430,1,0))</f>
        <v/>
      </c>
      <c r="Q430">
        <f>IF(K430="OK","-",IF(N430&lt;$B$7,"AMBIGUOUS","CONFIDENT"))</f>
        <v/>
      </c>
    </row>
    <row r="433">
      <c r="A433" s="209" t="inlineStr">
        <is>
          <t>RESUMEN</t>
        </is>
      </c>
    </row>
    <row r="434">
      <c r="A434" s="210" t="inlineStr">
        <is>
          <t>Total runs</t>
        </is>
      </c>
      <c r="B434" s="228">
        <f>COUNTA(G11:G430)</f>
        <v/>
      </c>
    </row>
    <row r="435">
      <c r="A435" s="210" t="inlineStr">
        <is>
          <t>L1 Accuracy</t>
        </is>
      </c>
      <c r="B435" s="229">
        <f>IFERROR(AVERAGE(L11:L430),0)</f>
        <v/>
      </c>
    </row>
    <row r="436">
      <c r="A436" s="210" t="inlineStr">
        <is>
          <t>L2 Accuracy (NG)</t>
        </is>
      </c>
      <c r="B436" s="229">
        <f>IFERROR(AVERAGEIFS(P11:P430,D11:D430,"NG"),0)</f>
        <v/>
      </c>
    </row>
    <row r="437">
      <c r="A437" s="210" t="inlineStr">
        <is>
          <t>Falsos Positivos</t>
        </is>
      </c>
      <c r="B437" s="228">
        <f>COUNTIFS(D11:D430,"OK",K11:K430,"NG")</f>
        <v/>
      </c>
    </row>
    <row r="438">
      <c r="A438" s="210" t="inlineStr">
        <is>
          <t>Falsos Negativos</t>
        </is>
      </c>
      <c r="B438" s="228">
        <f>COUNTIFS(D11:D430,"NG",K11:K430,"OK")</f>
        <v/>
      </c>
    </row>
    <row r="439">
      <c r="A439" s="210" t="inlineStr">
        <is>
          <t>Casos AMBIGUOUS</t>
        </is>
      </c>
      <c r="B439" s="228">
        <f>COUNTIF(Q11:Q430,"AMBIGUOUS")</f>
        <v/>
      </c>
    </row>
    <row r="442">
      <c r="A442" s="209" t="inlineStr">
        <is>
          <t>POR RECETA</t>
        </is>
      </c>
    </row>
    <row r="443">
      <c r="A443" s="192" t="inlineStr">
        <is>
          <t>Recipe</t>
        </is>
      </c>
      <c r="B443" s="192" t="inlineStr">
        <is>
          <t>L1 Acc</t>
        </is>
      </c>
      <c r="C443" s="192" t="inlineStr">
        <is>
          <t>L2 Acc</t>
        </is>
      </c>
    </row>
    <row r="444">
      <c r="A444" s="214" t="inlineStr">
        <is>
          <t>R3</t>
        </is>
      </c>
      <c r="B444" s="229">
        <f>IFERROR(AVERAGEIFS(L11:L430,C11:C430,"R3"),0)</f>
        <v/>
      </c>
      <c r="C444" s="229">
        <f>IFERROR(AVERAGEIFS(P11:P430,C11:C430,"R3",D11:D430,"NG"),0)</f>
        <v/>
      </c>
    </row>
    <row r="445">
      <c r="A445" s="214" t="inlineStr">
        <is>
          <t>R4</t>
        </is>
      </c>
      <c r="B445" s="229">
        <f>IFERROR(AVERAGEIFS(L11:L430,C11:C430,"R4"),0)</f>
        <v/>
      </c>
      <c r="C445" s="229">
        <f>IFERROR(AVERAGEIFS(P11:P430,C11:C430,"R4",D11:D430,"NG"),0)</f>
        <v/>
      </c>
    </row>
    <row r="446">
      <c r="A446" s="214" t="inlineStr">
        <is>
          <t>R6</t>
        </is>
      </c>
      <c r="B446" s="229">
        <f>IFERROR(AVERAGEIFS(L11:L430,C11:C430,"R6"),0)</f>
        <v/>
      </c>
      <c r="C446" s="229">
        <f>IFERROR(AVERAGEIFS(P11:P430,C11:C430,"R6",D11:D430,"NG"),0)</f>
        <v/>
      </c>
    </row>
  </sheetData>
  <mergeCells count="3">
    <mergeCell ref="A3:Q3"/>
    <mergeCell ref="A2:Q2"/>
    <mergeCell ref="A1:Q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46"/>
  <sheetViews>
    <sheetView workbookViewId="0">
      <pane ySplit="10" topLeftCell="A11" activePane="bottomLeft" state="frozen"/>
      <selection pane="bottomLeft" activeCell="A1" sqref="A1"/>
    </sheetView>
  </sheetViews>
  <sheetFormatPr baseColWidth="8" defaultRowHeight="15"/>
  <cols>
    <col width="8" customWidth="1" style="180" min="1" max="1"/>
    <col width="11" customWidth="1" style="180" min="2" max="2"/>
    <col width="9" customWidth="1" style="180" min="3" max="3"/>
    <col width="11" customWidth="1" style="180" min="4" max="4"/>
    <col width="14" customWidth="1" style="180" min="5" max="5"/>
    <col width="9" customWidth="1" style="180" min="6" max="6"/>
    <col width="11" customWidth="1" style="180" min="7" max="7"/>
    <col width="11" customWidth="1" style="180" min="8" max="8"/>
    <col width="11" customWidth="1" style="180" min="9" max="9"/>
    <col width="10" customWidth="1" style="180" min="10" max="10"/>
    <col width="10" customWidth="1" style="180" min="11" max="11"/>
    <col width="11" customWidth="1" style="180" min="12" max="12"/>
    <col width="10" customWidth="1" style="180" min="13" max="13"/>
    <col width="13" customWidth="1" style="180" min="14" max="14"/>
    <col width="13" customWidth="1" style="180" min="15" max="15"/>
    <col width="11" customWidth="1" style="180" min="16" max="16"/>
    <col width="12" customWidth="1" style="180" min="17" max="17"/>
  </cols>
  <sheetData>
    <row r="1">
      <c r="A1" s="226" t="inlineStr">
        <is>
          <t>SUPPORT VECTOR MACHINE (SVM) — RBF kernel, C=10</t>
        </is>
      </c>
    </row>
    <row r="2">
      <c r="A2" s="208" t="inlineStr">
        <is>
          <t>Vapnik (1995). Maximiza margen entre clases en espacio de features transformado por kernel RBF.</t>
        </is>
      </c>
    </row>
    <row r="3">
      <c r="A3" s="208" t="inlineStr">
        <is>
          <t>5-fold Stratified CV por receta. L1 = Runs 1.0 (k=3). Predicciones generadas con datos reales del DOE.</t>
        </is>
      </c>
    </row>
    <row r="5">
      <c r="A5" s="209" t="inlineStr">
        <is>
          <t>PARÁMETROS</t>
        </is>
      </c>
    </row>
    <row r="6">
      <c r="A6" s="210" t="inlineStr">
        <is>
          <t>k (L1 sigma)</t>
        </is>
      </c>
      <c r="B6" s="227" t="n">
        <v>3</v>
      </c>
    </row>
    <row r="7">
      <c r="A7" s="210" t="inlineStr">
        <is>
          <t>Umbral conf. mín.</t>
        </is>
      </c>
      <c r="B7" s="227" t="n">
        <v>0.5</v>
      </c>
    </row>
    <row r="10" ht="32" customHeight="1" s="180">
      <c r="A10" s="192" t="inlineStr">
        <is>
          <t>run_id</t>
        </is>
      </c>
      <c r="B10" s="192" t="inlineStr">
        <is>
          <t>exec_order</t>
        </is>
      </c>
      <c r="C10" s="192" t="inlineStr">
        <is>
          <t>recipe</t>
        </is>
      </c>
      <c r="D10" s="192" t="inlineStr">
        <is>
          <t>condition</t>
        </is>
      </c>
      <c r="E10" s="192" t="inlineStr">
        <is>
          <t>missing_comp</t>
        </is>
      </c>
      <c r="F10" s="192" t="inlineStr">
        <is>
          <t>kit_id</t>
        </is>
      </c>
      <c r="G10" s="192" t="inlineStr">
        <is>
          <t>weight_g</t>
        </is>
      </c>
      <c r="H10" s="192" t="inlineStr">
        <is>
          <t>expected_w</t>
        </is>
      </c>
      <c r="I10" s="192" t="inlineStr">
        <is>
          <t>expected_std</t>
        </is>
      </c>
      <c r="J10" s="192" t="inlineStr">
        <is>
          <t>deficit</t>
        </is>
      </c>
      <c r="K10" s="192" t="inlineStr">
        <is>
          <t>L1_pred</t>
        </is>
      </c>
      <c r="L10" s="192" t="inlineStr">
        <is>
          <t>L1_correct</t>
        </is>
      </c>
      <c r="M10" s="192" t="inlineStr">
        <is>
          <t>ML_pred</t>
        </is>
      </c>
      <c r="N10" s="192" t="inlineStr">
        <is>
          <t>ML_prob_top1</t>
        </is>
      </c>
      <c r="O10" s="192" t="inlineStr">
        <is>
          <t>ML_prob_top2</t>
        </is>
      </c>
      <c r="P10" s="192" t="inlineStr">
        <is>
          <t>L2_correct</t>
        </is>
      </c>
      <c r="Q10" s="192" t="inlineStr">
        <is>
          <t>flag</t>
        </is>
      </c>
    </row>
    <row r="11">
      <c r="A11">
        <f>'Runs Z score'!A3</f>
        <v/>
      </c>
      <c r="B11">
        <f>'Runs Z score'!B3</f>
        <v/>
      </c>
      <c r="C11">
        <f>'Runs Z score'!C3</f>
        <v/>
      </c>
      <c r="D11">
        <f>'Runs Z score'!D3</f>
        <v/>
      </c>
      <c r="E11">
        <f>'Runs Z score'!E3</f>
        <v/>
      </c>
      <c r="F11">
        <f>'Runs Z score'!F3</f>
        <v/>
      </c>
      <c r="G11">
        <f>'Runs Z score'!G3</f>
        <v/>
      </c>
      <c r="H11">
        <f>VLOOKUP(C11,Recipes!$A$2:$N$4,10,FALSE())</f>
        <v/>
      </c>
      <c r="I11">
        <f>VLOOKUP(C11,Recipes!$A$2:$N$4,12,FALSE())</f>
        <v/>
      </c>
      <c r="J11">
        <f>IF(G11="","",H11-G11)</f>
        <v/>
      </c>
      <c r="K11">
        <f>IF(G11="","",IF(ABS(G11-H11)&lt;=$B$6*I11,"OK","NG"))</f>
        <v/>
      </c>
      <c r="L11">
        <f>IF(K11="","",IF(K11=D11,1,0))</f>
        <v/>
      </c>
      <c r="M11" t="inlineStr">
        <is>
          <t>NONE</t>
        </is>
      </c>
      <c r="N11" s="15" t="n">
        <v>1</v>
      </c>
      <c r="O11" s="15" t="n">
        <v>0</v>
      </c>
      <c r="P11">
        <f>IF(M11="","",IF(M11=E11,1,0))</f>
        <v/>
      </c>
      <c r="Q11">
        <f>IF(K11="OK","-",IF(N11&lt;$B$7,"AMBIGUOUS","CONFIDENT"))</f>
        <v/>
      </c>
    </row>
    <row r="12">
      <c r="A12">
        <f>'Runs Z score'!A4</f>
        <v/>
      </c>
      <c r="B12">
        <f>'Runs Z score'!B4</f>
        <v/>
      </c>
      <c r="C12">
        <f>'Runs Z score'!C4</f>
        <v/>
      </c>
      <c r="D12">
        <f>'Runs Z score'!D4</f>
        <v/>
      </c>
      <c r="E12">
        <f>'Runs Z score'!E4</f>
        <v/>
      </c>
      <c r="F12">
        <f>'Runs Z score'!F4</f>
        <v/>
      </c>
      <c r="G12">
        <f>'Runs Z score'!G4</f>
        <v/>
      </c>
      <c r="H12">
        <f>VLOOKUP(C12,Recipes!$A$2:$N$4,10,FALSE())</f>
        <v/>
      </c>
      <c r="I12">
        <f>VLOOKUP(C12,Recipes!$A$2:$N$4,12,FALSE())</f>
        <v/>
      </c>
      <c r="J12">
        <f>IF(G12="","",H12-G12)</f>
        <v/>
      </c>
      <c r="K12">
        <f>IF(G12="","",IF(ABS(G12-H12)&lt;=$B$6*I12,"OK","NG"))</f>
        <v/>
      </c>
      <c r="L12">
        <f>IF(K12="","",IF(K12=D12,1,0))</f>
        <v/>
      </c>
      <c r="M12" t="inlineStr">
        <is>
          <t>NONE</t>
        </is>
      </c>
      <c r="N12" s="15" t="n">
        <v>1</v>
      </c>
      <c r="O12" s="15" t="n">
        <v>0</v>
      </c>
      <c r="P12">
        <f>IF(M12="","",IF(M12=E12,1,0))</f>
        <v/>
      </c>
      <c r="Q12">
        <f>IF(K12="OK","-",IF(N12&lt;$B$7,"AMBIGUOUS","CONFIDENT"))</f>
        <v/>
      </c>
    </row>
    <row r="13">
      <c r="A13">
        <f>'Runs Z score'!A5</f>
        <v/>
      </c>
      <c r="B13">
        <f>'Runs Z score'!B5</f>
        <v/>
      </c>
      <c r="C13">
        <f>'Runs Z score'!C5</f>
        <v/>
      </c>
      <c r="D13">
        <f>'Runs Z score'!D5</f>
        <v/>
      </c>
      <c r="E13">
        <f>'Runs Z score'!E5</f>
        <v/>
      </c>
      <c r="F13">
        <f>'Runs Z score'!F5</f>
        <v/>
      </c>
      <c r="G13">
        <f>'Runs Z score'!G5</f>
        <v/>
      </c>
      <c r="H13">
        <f>VLOOKUP(C13,Recipes!$A$2:$N$4,10,FALSE())</f>
        <v/>
      </c>
      <c r="I13">
        <f>VLOOKUP(C13,Recipes!$A$2:$N$4,12,FALSE())</f>
        <v/>
      </c>
      <c r="J13">
        <f>IF(G13="","",H13-G13)</f>
        <v/>
      </c>
      <c r="K13">
        <f>IF(G13="","",IF(ABS(G13-H13)&lt;=$B$6*I13,"OK","NG"))</f>
        <v/>
      </c>
      <c r="L13">
        <f>IF(K13="","",IF(K13=D13,1,0))</f>
        <v/>
      </c>
      <c r="M13" t="inlineStr">
        <is>
          <t>NONE</t>
        </is>
      </c>
      <c r="N13" s="15" t="n">
        <v>1</v>
      </c>
      <c r="O13" s="15" t="n">
        <v>0</v>
      </c>
      <c r="P13">
        <f>IF(M13="","",IF(M13=E13,1,0))</f>
        <v/>
      </c>
      <c r="Q13">
        <f>IF(K13="OK","-",IF(N13&lt;$B$7,"AMBIGUOUS","CONFIDENT"))</f>
        <v/>
      </c>
    </row>
    <row r="14">
      <c r="A14">
        <f>'Runs Z score'!A6</f>
        <v/>
      </c>
      <c r="B14">
        <f>'Runs Z score'!B6</f>
        <v/>
      </c>
      <c r="C14">
        <f>'Runs Z score'!C6</f>
        <v/>
      </c>
      <c r="D14">
        <f>'Runs Z score'!D6</f>
        <v/>
      </c>
      <c r="E14">
        <f>'Runs Z score'!E6</f>
        <v/>
      </c>
      <c r="F14">
        <f>'Runs Z score'!F6</f>
        <v/>
      </c>
      <c r="G14">
        <f>'Runs Z score'!G6</f>
        <v/>
      </c>
      <c r="H14">
        <f>VLOOKUP(C14,Recipes!$A$2:$N$4,10,FALSE())</f>
        <v/>
      </c>
      <c r="I14">
        <f>VLOOKUP(C14,Recipes!$A$2:$N$4,12,FALSE())</f>
        <v/>
      </c>
      <c r="J14">
        <f>IF(G14="","",H14-G14)</f>
        <v/>
      </c>
      <c r="K14">
        <f>IF(G14="","",IF(ABS(G14-H14)&lt;=$B$6*I14,"OK","NG"))</f>
        <v/>
      </c>
      <c r="L14">
        <f>IF(K14="","",IF(K14=D14,1,0))</f>
        <v/>
      </c>
      <c r="M14" t="inlineStr">
        <is>
          <t>NONE</t>
        </is>
      </c>
      <c r="N14" s="15" t="n">
        <v>1</v>
      </c>
      <c r="O14" s="15" t="n">
        <v>0</v>
      </c>
      <c r="P14">
        <f>IF(M14="","",IF(M14=E14,1,0))</f>
        <v/>
      </c>
      <c r="Q14">
        <f>IF(K14="OK","-",IF(N14&lt;$B$7,"AMBIGUOUS","CONFIDENT"))</f>
        <v/>
      </c>
    </row>
    <row r="15">
      <c r="A15">
        <f>'Runs Z score'!A7</f>
        <v/>
      </c>
      <c r="B15">
        <f>'Runs Z score'!B7</f>
        <v/>
      </c>
      <c r="C15">
        <f>'Runs Z score'!C7</f>
        <v/>
      </c>
      <c r="D15">
        <f>'Runs Z score'!D7</f>
        <v/>
      </c>
      <c r="E15">
        <f>'Runs Z score'!E7</f>
        <v/>
      </c>
      <c r="F15">
        <f>'Runs Z score'!F7</f>
        <v/>
      </c>
      <c r="G15">
        <f>'Runs Z score'!G7</f>
        <v/>
      </c>
      <c r="H15">
        <f>VLOOKUP(C15,Recipes!$A$2:$N$4,10,FALSE())</f>
        <v/>
      </c>
      <c r="I15">
        <f>VLOOKUP(C15,Recipes!$A$2:$N$4,12,FALSE())</f>
        <v/>
      </c>
      <c r="J15">
        <f>IF(G15="","",H15-G15)</f>
        <v/>
      </c>
      <c r="K15">
        <f>IF(G15="","",IF(ABS(G15-H15)&lt;=$B$6*I15,"OK","NG"))</f>
        <v/>
      </c>
      <c r="L15">
        <f>IF(K15="","",IF(K15=D15,1,0))</f>
        <v/>
      </c>
      <c r="M15" t="inlineStr">
        <is>
          <t>NONE</t>
        </is>
      </c>
      <c r="N15" s="15" t="n">
        <v>1</v>
      </c>
      <c r="O15" s="15" t="n">
        <v>0</v>
      </c>
      <c r="P15">
        <f>IF(M15="","",IF(M15=E15,1,0))</f>
        <v/>
      </c>
      <c r="Q15">
        <f>IF(K15="OK","-",IF(N15&lt;$B$7,"AMBIGUOUS","CONFIDENT"))</f>
        <v/>
      </c>
    </row>
    <row r="16">
      <c r="A16">
        <f>'Runs Z score'!A8</f>
        <v/>
      </c>
      <c r="B16">
        <f>'Runs Z score'!B8</f>
        <v/>
      </c>
      <c r="C16">
        <f>'Runs Z score'!C8</f>
        <v/>
      </c>
      <c r="D16">
        <f>'Runs Z score'!D8</f>
        <v/>
      </c>
      <c r="E16">
        <f>'Runs Z score'!E8</f>
        <v/>
      </c>
      <c r="F16">
        <f>'Runs Z score'!F8</f>
        <v/>
      </c>
      <c r="G16">
        <f>'Runs Z score'!G8</f>
        <v/>
      </c>
      <c r="H16">
        <f>VLOOKUP(C16,Recipes!$A$2:$N$4,10,FALSE())</f>
        <v/>
      </c>
      <c r="I16">
        <f>VLOOKUP(C16,Recipes!$A$2:$N$4,12,FALSE())</f>
        <v/>
      </c>
      <c r="J16">
        <f>IF(G16="","",H16-G16)</f>
        <v/>
      </c>
      <c r="K16">
        <f>IF(G16="","",IF(ABS(G16-H16)&lt;=$B$6*I16,"OK","NG"))</f>
        <v/>
      </c>
      <c r="L16">
        <f>IF(K16="","",IF(K16=D16,1,0))</f>
        <v/>
      </c>
      <c r="M16" t="inlineStr">
        <is>
          <t>NONE</t>
        </is>
      </c>
      <c r="N16" s="15" t="n">
        <v>1</v>
      </c>
      <c r="O16" s="15" t="n">
        <v>0</v>
      </c>
      <c r="P16">
        <f>IF(M16="","",IF(M16=E16,1,0))</f>
        <v/>
      </c>
      <c r="Q16">
        <f>IF(K16="OK","-",IF(N16&lt;$B$7,"AMBIGUOUS","CONFIDENT"))</f>
        <v/>
      </c>
    </row>
    <row r="17">
      <c r="A17">
        <f>'Runs Z score'!A9</f>
        <v/>
      </c>
      <c r="B17">
        <f>'Runs Z score'!B9</f>
        <v/>
      </c>
      <c r="C17">
        <f>'Runs Z score'!C9</f>
        <v/>
      </c>
      <c r="D17">
        <f>'Runs Z score'!D9</f>
        <v/>
      </c>
      <c r="E17">
        <f>'Runs Z score'!E9</f>
        <v/>
      </c>
      <c r="F17">
        <f>'Runs Z score'!F9</f>
        <v/>
      </c>
      <c r="G17">
        <f>'Runs Z score'!G9</f>
        <v/>
      </c>
      <c r="H17">
        <f>VLOOKUP(C17,Recipes!$A$2:$N$4,10,FALSE())</f>
        <v/>
      </c>
      <c r="I17">
        <f>VLOOKUP(C17,Recipes!$A$2:$N$4,12,FALSE())</f>
        <v/>
      </c>
      <c r="J17">
        <f>IF(G17="","",H17-G17)</f>
        <v/>
      </c>
      <c r="K17">
        <f>IF(G17="","",IF(ABS(G17-H17)&lt;=$B$6*I17,"OK","NG"))</f>
        <v/>
      </c>
      <c r="L17">
        <f>IF(K17="","",IF(K17=D17,1,0))</f>
        <v/>
      </c>
      <c r="M17" t="inlineStr">
        <is>
          <t>NONE</t>
        </is>
      </c>
      <c r="N17" s="15" t="n">
        <v>1</v>
      </c>
      <c r="O17" s="15" t="n">
        <v>0</v>
      </c>
      <c r="P17">
        <f>IF(M17="","",IF(M17=E17,1,0))</f>
        <v/>
      </c>
      <c r="Q17">
        <f>IF(K17="OK","-",IF(N17&lt;$B$7,"AMBIGUOUS","CONFIDENT"))</f>
        <v/>
      </c>
    </row>
    <row r="18">
      <c r="A18">
        <f>'Runs Z score'!A10</f>
        <v/>
      </c>
      <c r="B18">
        <f>'Runs Z score'!B10</f>
        <v/>
      </c>
      <c r="C18">
        <f>'Runs Z score'!C10</f>
        <v/>
      </c>
      <c r="D18">
        <f>'Runs Z score'!D10</f>
        <v/>
      </c>
      <c r="E18">
        <f>'Runs Z score'!E10</f>
        <v/>
      </c>
      <c r="F18">
        <f>'Runs Z score'!F10</f>
        <v/>
      </c>
      <c r="G18">
        <f>'Runs Z score'!G10</f>
        <v/>
      </c>
      <c r="H18">
        <f>VLOOKUP(C18,Recipes!$A$2:$N$4,10,FALSE())</f>
        <v/>
      </c>
      <c r="I18">
        <f>VLOOKUP(C18,Recipes!$A$2:$N$4,12,FALSE())</f>
        <v/>
      </c>
      <c r="J18">
        <f>IF(G18="","",H18-G18)</f>
        <v/>
      </c>
      <c r="K18">
        <f>IF(G18="","",IF(ABS(G18-H18)&lt;=$B$6*I18,"OK","NG"))</f>
        <v/>
      </c>
      <c r="L18">
        <f>IF(K18="","",IF(K18=D18,1,0))</f>
        <v/>
      </c>
      <c r="M18" t="inlineStr">
        <is>
          <t>NONE</t>
        </is>
      </c>
      <c r="N18" s="15" t="n">
        <v>1</v>
      </c>
      <c r="O18" s="15" t="n">
        <v>0</v>
      </c>
      <c r="P18">
        <f>IF(M18="","",IF(M18=E18,1,0))</f>
        <v/>
      </c>
      <c r="Q18">
        <f>IF(K18="OK","-",IF(N18&lt;$B$7,"AMBIGUOUS","CONFIDENT"))</f>
        <v/>
      </c>
    </row>
    <row r="19">
      <c r="A19">
        <f>'Runs Z score'!A11</f>
        <v/>
      </c>
      <c r="B19">
        <f>'Runs Z score'!B11</f>
        <v/>
      </c>
      <c r="C19">
        <f>'Runs Z score'!C11</f>
        <v/>
      </c>
      <c r="D19">
        <f>'Runs Z score'!D11</f>
        <v/>
      </c>
      <c r="E19">
        <f>'Runs Z score'!E11</f>
        <v/>
      </c>
      <c r="F19">
        <f>'Runs Z score'!F11</f>
        <v/>
      </c>
      <c r="G19">
        <f>'Runs Z score'!G11</f>
        <v/>
      </c>
      <c r="H19">
        <f>VLOOKUP(C19,Recipes!$A$2:$N$4,10,FALSE())</f>
        <v/>
      </c>
      <c r="I19">
        <f>VLOOKUP(C19,Recipes!$A$2:$N$4,12,FALSE())</f>
        <v/>
      </c>
      <c r="J19">
        <f>IF(G19="","",H19-G19)</f>
        <v/>
      </c>
      <c r="K19">
        <f>IF(G19="","",IF(ABS(G19-H19)&lt;=$B$6*I19,"OK","NG"))</f>
        <v/>
      </c>
      <c r="L19">
        <f>IF(K19="","",IF(K19=D19,1,0))</f>
        <v/>
      </c>
      <c r="M19" t="inlineStr">
        <is>
          <t>NONE</t>
        </is>
      </c>
      <c r="N19" s="15" t="n">
        <v>1</v>
      </c>
      <c r="O19" s="15" t="n">
        <v>0</v>
      </c>
      <c r="P19">
        <f>IF(M19="","",IF(M19=E19,1,0))</f>
        <v/>
      </c>
      <c r="Q19">
        <f>IF(K19="OK","-",IF(N19&lt;$B$7,"AMBIGUOUS","CONFIDENT"))</f>
        <v/>
      </c>
    </row>
    <row r="20">
      <c r="A20">
        <f>'Runs Z score'!A12</f>
        <v/>
      </c>
      <c r="B20">
        <f>'Runs Z score'!B12</f>
        <v/>
      </c>
      <c r="C20">
        <f>'Runs Z score'!C12</f>
        <v/>
      </c>
      <c r="D20">
        <f>'Runs Z score'!D12</f>
        <v/>
      </c>
      <c r="E20">
        <f>'Runs Z score'!E12</f>
        <v/>
      </c>
      <c r="F20">
        <f>'Runs Z score'!F12</f>
        <v/>
      </c>
      <c r="G20">
        <f>'Runs Z score'!G12</f>
        <v/>
      </c>
      <c r="H20">
        <f>VLOOKUP(C20,Recipes!$A$2:$N$4,10,FALSE())</f>
        <v/>
      </c>
      <c r="I20">
        <f>VLOOKUP(C20,Recipes!$A$2:$N$4,12,FALSE())</f>
        <v/>
      </c>
      <c r="J20">
        <f>IF(G20="","",H20-G20)</f>
        <v/>
      </c>
      <c r="K20">
        <f>IF(G20="","",IF(ABS(G20-H20)&lt;=$B$6*I20,"OK","NG"))</f>
        <v/>
      </c>
      <c r="L20">
        <f>IF(K20="","",IF(K20=D20,1,0))</f>
        <v/>
      </c>
      <c r="M20" t="inlineStr">
        <is>
          <t>NONE</t>
        </is>
      </c>
      <c r="N20" s="15" t="n">
        <v>1</v>
      </c>
      <c r="O20" s="15" t="n">
        <v>0</v>
      </c>
      <c r="P20">
        <f>IF(M20="","",IF(M20=E20,1,0))</f>
        <v/>
      </c>
      <c r="Q20">
        <f>IF(K20="OK","-",IF(N20&lt;$B$7,"AMBIGUOUS","CONFIDENT"))</f>
        <v/>
      </c>
    </row>
    <row r="21">
      <c r="A21">
        <f>'Runs Z score'!A13</f>
        <v/>
      </c>
      <c r="B21">
        <f>'Runs Z score'!B13</f>
        <v/>
      </c>
      <c r="C21">
        <f>'Runs Z score'!C13</f>
        <v/>
      </c>
      <c r="D21">
        <f>'Runs Z score'!D13</f>
        <v/>
      </c>
      <c r="E21">
        <f>'Runs Z score'!E13</f>
        <v/>
      </c>
      <c r="F21">
        <f>'Runs Z score'!F13</f>
        <v/>
      </c>
      <c r="G21">
        <f>'Runs Z score'!G13</f>
        <v/>
      </c>
      <c r="H21">
        <f>VLOOKUP(C21,Recipes!$A$2:$N$4,10,FALSE())</f>
        <v/>
      </c>
      <c r="I21">
        <f>VLOOKUP(C21,Recipes!$A$2:$N$4,12,FALSE())</f>
        <v/>
      </c>
      <c r="J21">
        <f>IF(G21="","",H21-G21)</f>
        <v/>
      </c>
      <c r="K21">
        <f>IF(G21="","",IF(ABS(G21-H21)&lt;=$B$6*I21,"OK","NG"))</f>
        <v/>
      </c>
      <c r="L21">
        <f>IF(K21="","",IF(K21=D21,1,0))</f>
        <v/>
      </c>
      <c r="M21" t="inlineStr">
        <is>
          <t>NONE</t>
        </is>
      </c>
      <c r="N21" s="15" t="n">
        <v>1</v>
      </c>
      <c r="O21" s="15" t="n">
        <v>0</v>
      </c>
      <c r="P21">
        <f>IF(M21="","",IF(M21=E21,1,0))</f>
        <v/>
      </c>
      <c r="Q21">
        <f>IF(K21="OK","-",IF(N21&lt;$B$7,"AMBIGUOUS","CONFIDENT"))</f>
        <v/>
      </c>
    </row>
    <row r="22">
      <c r="A22">
        <f>'Runs Z score'!A14</f>
        <v/>
      </c>
      <c r="B22">
        <f>'Runs Z score'!B14</f>
        <v/>
      </c>
      <c r="C22">
        <f>'Runs Z score'!C14</f>
        <v/>
      </c>
      <c r="D22">
        <f>'Runs Z score'!D14</f>
        <v/>
      </c>
      <c r="E22">
        <f>'Runs Z score'!E14</f>
        <v/>
      </c>
      <c r="F22">
        <f>'Runs Z score'!F14</f>
        <v/>
      </c>
      <c r="G22">
        <f>'Runs Z score'!G14</f>
        <v/>
      </c>
      <c r="H22">
        <f>VLOOKUP(C22,Recipes!$A$2:$N$4,10,FALSE())</f>
        <v/>
      </c>
      <c r="I22">
        <f>VLOOKUP(C22,Recipes!$A$2:$N$4,12,FALSE())</f>
        <v/>
      </c>
      <c r="J22">
        <f>IF(G22="","",H22-G22)</f>
        <v/>
      </c>
      <c r="K22">
        <f>IF(G22="","",IF(ABS(G22-H22)&lt;=$B$6*I22,"OK","NG"))</f>
        <v/>
      </c>
      <c r="L22">
        <f>IF(K22="","",IF(K22=D22,1,0))</f>
        <v/>
      </c>
      <c r="M22" t="inlineStr">
        <is>
          <t>NONE</t>
        </is>
      </c>
      <c r="N22" s="15" t="n">
        <v>1</v>
      </c>
      <c r="O22" s="15" t="n">
        <v>0</v>
      </c>
      <c r="P22">
        <f>IF(M22="","",IF(M22=E22,1,0))</f>
        <v/>
      </c>
      <c r="Q22">
        <f>IF(K22="OK","-",IF(N22&lt;$B$7,"AMBIGUOUS","CONFIDENT"))</f>
        <v/>
      </c>
    </row>
    <row r="23">
      <c r="A23">
        <f>'Runs Z score'!A15</f>
        <v/>
      </c>
      <c r="B23">
        <f>'Runs Z score'!B15</f>
        <v/>
      </c>
      <c r="C23">
        <f>'Runs Z score'!C15</f>
        <v/>
      </c>
      <c r="D23">
        <f>'Runs Z score'!D15</f>
        <v/>
      </c>
      <c r="E23">
        <f>'Runs Z score'!E15</f>
        <v/>
      </c>
      <c r="F23">
        <f>'Runs Z score'!F15</f>
        <v/>
      </c>
      <c r="G23">
        <f>'Runs Z score'!G15</f>
        <v/>
      </c>
      <c r="H23">
        <f>VLOOKUP(C23,Recipes!$A$2:$N$4,10,FALSE())</f>
        <v/>
      </c>
      <c r="I23">
        <f>VLOOKUP(C23,Recipes!$A$2:$N$4,12,FALSE())</f>
        <v/>
      </c>
      <c r="J23">
        <f>IF(G23="","",H23-G23)</f>
        <v/>
      </c>
      <c r="K23">
        <f>IF(G23="","",IF(ABS(G23-H23)&lt;=$B$6*I23,"OK","NG"))</f>
        <v/>
      </c>
      <c r="L23">
        <f>IF(K23="","",IF(K23=D23,1,0))</f>
        <v/>
      </c>
      <c r="M23" t="inlineStr">
        <is>
          <t>NONE</t>
        </is>
      </c>
      <c r="N23" s="15" t="n">
        <v>1</v>
      </c>
      <c r="O23" s="15" t="n">
        <v>0</v>
      </c>
      <c r="P23">
        <f>IF(M23="","",IF(M23=E23,1,0))</f>
        <v/>
      </c>
      <c r="Q23">
        <f>IF(K23="OK","-",IF(N23&lt;$B$7,"AMBIGUOUS","CONFIDENT"))</f>
        <v/>
      </c>
    </row>
    <row r="24">
      <c r="A24">
        <f>'Runs Z score'!A16</f>
        <v/>
      </c>
      <c r="B24">
        <f>'Runs Z score'!B16</f>
        <v/>
      </c>
      <c r="C24">
        <f>'Runs Z score'!C16</f>
        <v/>
      </c>
      <c r="D24">
        <f>'Runs Z score'!D16</f>
        <v/>
      </c>
      <c r="E24">
        <f>'Runs Z score'!E16</f>
        <v/>
      </c>
      <c r="F24">
        <f>'Runs Z score'!F16</f>
        <v/>
      </c>
      <c r="G24">
        <f>'Runs Z score'!G16</f>
        <v/>
      </c>
      <c r="H24">
        <f>VLOOKUP(C24,Recipes!$A$2:$N$4,10,FALSE())</f>
        <v/>
      </c>
      <c r="I24">
        <f>VLOOKUP(C24,Recipes!$A$2:$N$4,12,FALSE())</f>
        <v/>
      </c>
      <c r="J24">
        <f>IF(G24="","",H24-G24)</f>
        <v/>
      </c>
      <c r="K24">
        <f>IF(G24="","",IF(ABS(G24-H24)&lt;=$B$6*I24,"OK","NG"))</f>
        <v/>
      </c>
      <c r="L24">
        <f>IF(K24="","",IF(K24=D24,1,0))</f>
        <v/>
      </c>
      <c r="M24" t="inlineStr">
        <is>
          <t>NONE</t>
        </is>
      </c>
      <c r="N24" s="15" t="n">
        <v>1</v>
      </c>
      <c r="O24" s="15" t="n">
        <v>0</v>
      </c>
      <c r="P24">
        <f>IF(M24="","",IF(M24=E24,1,0))</f>
        <v/>
      </c>
      <c r="Q24">
        <f>IF(K24="OK","-",IF(N24&lt;$B$7,"AMBIGUOUS","CONFIDENT"))</f>
        <v/>
      </c>
    </row>
    <row r="25">
      <c r="A25">
        <f>'Runs Z score'!A17</f>
        <v/>
      </c>
      <c r="B25">
        <f>'Runs Z score'!B17</f>
        <v/>
      </c>
      <c r="C25">
        <f>'Runs Z score'!C17</f>
        <v/>
      </c>
      <c r="D25">
        <f>'Runs Z score'!D17</f>
        <v/>
      </c>
      <c r="E25">
        <f>'Runs Z score'!E17</f>
        <v/>
      </c>
      <c r="F25">
        <f>'Runs Z score'!F17</f>
        <v/>
      </c>
      <c r="G25">
        <f>'Runs Z score'!G17</f>
        <v/>
      </c>
      <c r="H25">
        <f>VLOOKUP(C25,Recipes!$A$2:$N$4,10,FALSE())</f>
        <v/>
      </c>
      <c r="I25">
        <f>VLOOKUP(C25,Recipes!$A$2:$N$4,12,FALSE())</f>
        <v/>
      </c>
      <c r="J25">
        <f>IF(G25="","",H25-G25)</f>
        <v/>
      </c>
      <c r="K25">
        <f>IF(G25="","",IF(ABS(G25-H25)&lt;=$B$6*I25,"OK","NG"))</f>
        <v/>
      </c>
      <c r="L25">
        <f>IF(K25="","",IF(K25=D25,1,0))</f>
        <v/>
      </c>
      <c r="M25" t="inlineStr">
        <is>
          <t>NONE</t>
        </is>
      </c>
      <c r="N25" s="15" t="n">
        <v>1</v>
      </c>
      <c r="O25" s="15" t="n">
        <v>0</v>
      </c>
      <c r="P25">
        <f>IF(M25="","",IF(M25=E25,1,0))</f>
        <v/>
      </c>
      <c r="Q25">
        <f>IF(K25="OK","-",IF(N25&lt;$B$7,"AMBIGUOUS","CONFIDENT"))</f>
        <v/>
      </c>
    </row>
    <row r="26">
      <c r="A26">
        <f>'Runs Z score'!A18</f>
        <v/>
      </c>
      <c r="B26">
        <f>'Runs Z score'!B18</f>
        <v/>
      </c>
      <c r="C26">
        <f>'Runs Z score'!C18</f>
        <v/>
      </c>
      <c r="D26">
        <f>'Runs Z score'!D18</f>
        <v/>
      </c>
      <c r="E26">
        <f>'Runs Z score'!E18</f>
        <v/>
      </c>
      <c r="F26">
        <f>'Runs Z score'!F18</f>
        <v/>
      </c>
      <c r="G26">
        <f>'Runs Z score'!G18</f>
        <v/>
      </c>
      <c r="H26">
        <f>VLOOKUP(C26,Recipes!$A$2:$N$4,10,FALSE())</f>
        <v/>
      </c>
      <c r="I26">
        <f>VLOOKUP(C26,Recipes!$A$2:$N$4,12,FALSE())</f>
        <v/>
      </c>
      <c r="J26">
        <f>IF(G26="","",H26-G26)</f>
        <v/>
      </c>
      <c r="K26">
        <f>IF(G26="","",IF(ABS(G26-H26)&lt;=$B$6*I26,"OK","NG"))</f>
        <v/>
      </c>
      <c r="L26">
        <f>IF(K26="","",IF(K26=D26,1,0))</f>
        <v/>
      </c>
      <c r="M26" t="inlineStr">
        <is>
          <t>NONE</t>
        </is>
      </c>
      <c r="N26" s="15" t="n">
        <v>1</v>
      </c>
      <c r="O26" s="15" t="n">
        <v>0</v>
      </c>
      <c r="P26">
        <f>IF(M26="","",IF(M26=E26,1,0))</f>
        <v/>
      </c>
      <c r="Q26">
        <f>IF(K26="OK","-",IF(N26&lt;$B$7,"AMBIGUOUS","CONFIDENT"))</f>
        <v/>
      </c>
    </row>
    <row r="27">
      <c r="A27">
        <f>'Runs Z score'!A19</f>
        <v/>
      </c>
      <c r="B27">
        <f>'Runs Z score'!B19</f>
        <v/>
      </c>
      <c r="C27">
        <f>'Runs Z score'!C19</f>
        <v/>
      </c>
      <c r="D27">
        <f>'Runs Z score'!D19</f>
        <v/>
      </c>
      <c r="E27">
        <f>'Runs Z score'!E19</f>
        <v/>
      </c>
      <c r="F27">
        <f>'Runs Z score'!F19</f>
        <v/>
      </c>
      <c r="G27">
        <f>'Runs Z score'!G19</f>
        <v/>
      </c>
      <c r="H27">
        <f>VLOOKUP(C27,Recipes!$A$2:$N$4,10,FALSE())</f>
        <v/>
      </c>
      <c r="I27">
        <f>VLOOKUP(C27,Recipes!$A$2:$N$4,12,FALSE())</f>
        <v/>
      </c>
      <c r="J27">
        <f>IF(G27="","",H27-G27)</f>
        <v/>
      </c>
      <c r="K27">
        <f>IF(G27="","",IF(ABS(G27-H27)&lt;=$B$6*I27,"OK","NG"))</f>
        <v/>
      </c>
      <c r="L27">
        <f>IF(K27="","",IF(K27=D27,1,0))</f>
        <v/>
      </c>
      <c r="M27" t="inlineStr">
        <is>
          <t>NONE</t>
        </is>
      </c>
      <c r="N27" s="15" t="n">
        <v>1</v>
      </c>
      <c r="O27" s="15" t="n">
        <v>0</v>
      </c>
      <c r="P27">
        <f>IF(M27="","",IF(M27=E27,1,0))</f>
        <v/>
      </c>
      <c r="Q27">
        <f>IF(K27="OK","-",IF(N27&lt;$B$7,"AMBIGUOUS","CONFIDENT"))</f>
        <v/>
      </c>
    </row>
    <row r="28">
      <c r="A28">
        <f>'Runs Z score'!A20</f>
        <v/>
      </c>
      <c r="B28">
        <f>'Runs Z score'!B20</f>
        <v/>
      </c>
      <c r="C28">
        <f>'Runs Z score'!C20</f>
        <v/>
      </c>
      <c r="D28">
        <f>'Runs Z score'!D20</f>
        <v/>
      </c>
      <c r="E28">
        <f>'Runs Z score'!E20</f>
        <v/>
      </c>
      <c r="F28">
        <f>'Runs Z score'!F20</f>
        <v/>
      </c>
      <c r="G28">
        <f>'Runs Z score'!G20</f>
        <v/>
      </c>
      <c r="H28">
        <f>VLOOKUP(C28,Recipes!$A$2:$N$4,10,FALSE())</f>
        <v/>
      </c>
      <c r="I28">
        <f>VLOOKUP(C28,Recipes!$A$2:$N$4,12,FALSE())</f>
        <v/>
      </c>
      <c r="J28">
        <f>IF(G28="","",H28-G28)</f>
        <v/>
      </c>
      <c r="K28">
        <f>IF(G28="","",IF(ABS(G28-H28)&lt;=$B$6*I28,"OK","NG"))</f>
        <v/>
      </c>
      <c r="L28">
        <f>IF(K28="","",IF(K28=D28,1,0))</f>
        <v/>
      </c>
      <c r="M28" t="inlineStr">
        <is>
          <t>NONE</t>
        </is>
      </c>
      <c r="N28" s="15" t="n">
        <v>1</v>
      </c>
      <c r="O28" s="15" t="n">
        <v>0</v>
      </c>
      <c r="P28">
        <f>IF(M28="","",IF(M28=E28,1,0))</f>
        <v/>
      </c>
      <c r="Q28">
        <f>IF(K28="OK","-",IF(N28&lt;$B$7,"AMBIGUOUS","CONFIDENT"))</f>
        <v/>
      </c>
    </row>
    <row r="29">
      <c r="A29">
        <f>'Runs Z score'!A21</f>
        <v/>
      </c>
      <c r="B29">
        <f>'Runs Z score'!B21</f>
        <v/>
      </c>
      <c r="C29">
        <f>'Runs Z score'!C21</f>
        <v/>
      </c>
      <c r="D29">
        <f>'Runs Z score'!D21</f>
        <v/>
      </c>
      <c r="E29">
        <f>'Runs Z score'!E21</f>
        <v/>
      </c>
      <c r="F29">
        <f>'Runs Z score'!F21</f>
        <v/>
      </c>
      <c r="G29">
        <f>'Runs Z score'!G21</f>
        <v/>
      </c>
      <c r="H29">
        <f>VLOOKUP(C29,Recipes!$A$2:$N$4,10,FALSE())</f>
        <v/>
      </c>
      <c r="I29">
        <f>VLOOKUP(C29,Recipes!$A$2:$N$4,12,FALSE())</f>
        <v/>
      </c>
      <c r="J29">
        <f>IF(G29="","",H29-G29)</f>
        <v/>
      </c>
      <c r="K29">
        <f>IF(G29="","",IF(ABS(G29-H29)&lt;=$B$6*I29,"OK","NG"))</f>
        <v/>
      </c>
      <c r="L29">
        <f>IF(K29="","",IF(K29=D29,1,0))</f>
        <v/>
      </c>
      <c r="M29" t="inlineStr">
        <is>
          <t>NONE</t>
        </is>
      </c>
      <c r="N29" s="15" t="n">
        <v>1</v>
      </c>
      <c r="O29" s="15" t="n">
        <v>0</v>
      </c>
      <c r="P29">
        <f>IF(M29="","",IF(M29=E29,1,0))</f>
        <v/>
      </c>
      <c r="Q29">
        <f>IF(K29="OK","-",IF(N29&lt;$B$7,"AMBIGUOUS","CONFIDENT"))</f>
        <v/>
      </c>
    </row>
    <row r="30">
      <c r="A30">
        <f>'Runs Z score'!A22</f>
        <v/>
      </c>
      <c r="B30">
        <f>'Runs Z score'!B22</f>
        <v/>
      </c>
      <c r="C30">
        <f>'Runs Z score'!C22</f>
        <v/>
      </c>
      <c r="D30">
        <f>'Runs Z score'!D22</f>
        <v/>
      </c>
      <c r="E30">
        <f>'Runs Z score'!E22</f>
        <v/>
      </c>
      <c r="F30">
        <f>'Runs Z score'!F22</f>
        <v/>
      </c>
      <c r="G30">
        <f>'Runs Z score'!G22</f>
        <v/>
      </c>
      <c r="H30">
        <f>VLOOKUP(C30,Recipes!$A$2:$N$4,10,FALSE())</f>
        <v/>
      </c>
      <c r="I30">
        <f>VLOOKUP(C30,Recipes!$A$2:$N$4,12,FALSE())</f>
        <v/>
      </c>
      <c r="J30">
        <f>IF(G30="","",H30-G30)</f>
        <v/>
      </c>
      <c r="K30">
        <f>IF(G30="","",IF(ABS(G30-H30)&lt;=$B$6*I30,"OK","NG"))</f>
        <v/>
      </c>
      <c r="L30">
        <f>IF(K30="","",IF(K30=D30,1,0))</f>
        <v/>
      </c>
      <c r="M30" t="inlineStr">
        <is>
          <t>NONE</t>
        </is>
      </c>
      <c r="N30" s="15" t="n">
        <v>1</v>
      </c>
      <c r="O30" s="15" t="n">
        <v>0</v>
      </c>
      <c r="P30">
        <f>IF(M30="","",IF(M30=E30,1,0))</f>
        <v/>
      </c>
      <c r="Q30">
        <f>IF(K30="OK","-",IF(N30&lt;$B$7,"AMBIGUOUS","CONFIDENT"))</f>
        <v/>
      </c>
    </row>
    <row r="31">
      <c r="A31">
        <f>'Runs Z score'!A23</f>
        <v/>
      </c>
      <c r="B31">
        <f>'Runs Z score'!B23</f>
        <v/>
      </c>
      <c r="C31">
        <f>'Runs Z score'!C23</f>
        <v/>
      </c>
      <c r="D31">
        <f>'Runs Z score'!D23</f>
        <v/>
      </c>
      <c r="E31">
        <f>'Runs Z score'!E23</f>
        <v/>
      </c>
      <c r="F31">
        <f>'Runs Z score'!F23</f>
        <v/>
      </c>
      <c r="G31">
        <f>'Runs Z score'!G23</f>
        <v/>
      </c>
      <c r="H31">
        <f>VLOOKUP(C31,Recipes!$A$2:$N$4,10,FALSE())</f>
        <v/>
      </c>
      <c r="I31">
        <f>VLOOKUP(C31,Recipes!$A$2:$N$4,12,FALSE())</f>
        <v/>
      </c>
      <c r="J31">
        <f>IF(G31="","",H31-G31)</f>
        <v/>
      </c>
      <c r="K31">
        <f>IF(G31="","",IF(ABS(G31-H31)&lt;=$B$6*I31,"OK","NG"))</f>
        <v/>
      </c>
      <c r="L31">
        <f>IF(K31="","",IF(K31=D31,1,0))</f>
        <v/>
      </c>
      <c r="M31" t="inlineStr">
        <is>
          <t>NONE</t>
        </is>
      </c>
      <c r="N31" s="15" t="n">
        <v>1</v>
      </c>
      <c r="O31" s="15" t="n">
        <v>0</v>
      </c>
      <c r="P31">
        <f>IF(M31="","",IF(M31=E31,1,0))</f>
        <v/>
      </c>
      <c r="Q31">
        <f>IF(K31="OK","-",IF(N31&lt;$B$7,"AMBIGUOUS","CONFIDENT"))</f>
        <v/>
      </c>
    </row>
    <row r="32">
      <c r="A32">
        <f>'Runs Z score'!A24</f>
        <v/>
      </c>
      <c r="B32">
        <f>'Runs Z score'!B24</f>
        <v/>
      </c>
      <c r="C32">
        <f>'Runs Z score'!C24</f>
        <v/>
      </c>
      <c r="D32">
        <f>'Runs Z score'!D24</f>
        <v/>
      </c>
      <c r="E32">
        <f>'Runs Z score'!E24</f>
        <v/>
      </c>
      <c r="F32">
        <f>'Runs Z score'!F24</f>
        <v/>
      </c>
      <c r="G32">
        <f>'Runs Z score'!G24</f>
        <v/>
      </c>
      <c r="H32">
        <f>VLOOKUP(C32,Recipes!$A$2:$N$4,10,FALSE())</f>
        <v/>
      </c>
      <c r="I32">
        <f>VLOOKUP(C32,Recipes!$A$2:$N$4,12,FALSE())</f>
        <v/>
      </c>
      <c r="J32">
        <f>IF(G32="","",H32-G32)</f>
        <v/>
      </c>
      <c r="K32">
        <f>IF(G32="","",IF(ABS(G32-H32)&lt;=$B$6*I32,"OK","NG"))</f>
        <v/>
      </c>
      <c r="L32">
        <f>IF(K32="","",IF(K32=D32,1,0))</f>
        <v/>
      </c>
      <c r="M32" t="inlineStr">
        <is>
          <t>NONE</t>
        </is>
      </c>
      <c r="N32" s="15" t="n">
        <v>1</v>
      </c>
      <c r="O32" s="15" t="n">
        <v>0</v>
      </c>
      <c r="P32">
        <f>IF(M32="","",IF(M32=E32,1,0))</f>
        <v/>
      </c>
      <c r="Q32">
        <f>IF(K32="OK","-",IF(N32&lt;$B$7,"AMBIGUOUS","CONFIDENT"))</f>
        <v/>
      </c>
    </row>
    <row r="33">
      <c r="A33">
        <f>'Runs Z score'!A25</f>
        <v/>
      </c>
      <c r="B33">
        <f>'Runs Z score'!B25</f>
        <v/>
      </c>
      <c r="C33">
        <f>'Runs Z score'!C25</f>
        <v/>
      </c>
      <c r="D33">
        <f>'Runs Z score'!D25</f>
        <v/>
      </c>
      <c r="E33">
        <f>'Runs Z score'!E25</f>
        <v/>
      </c>
      <c r="F33">
        <f>'Runs Z score'!F25</f>
        <v/>
      </c>
      <c r="G33">
        <f>'Runs Z score'!G25</f>
        <v/>
      </c>
      <c r="H33">
        <f>VLOOKUP(C33,Recipes!$A$2:$N$4,10,FALSE())</f>
        <v/>
      </c>
      <c r="I33">
        <f>VLOOKUP(C33,Recipes!$A$2:$N$4,12,FALSE())</f>
        <v/>
      </c>
      <c r="J33">
        <f>IF(G33="","",H33-G33)</f>
        <v/>
      </c>
      <c r="K33">
        <f>IF(G33="","",IF(ABS(G33-H33)&lt;=$B$6*I33,"OK","NG"))</f>
        <v/>
      </c>
      <c r="L33">
        <f>IF(K33="","",IF(K33=D33,1,0))</f>
        <v/>
      </c>
      <c r="M33" t="inlineStr">
        <is>
          <t>NONE</t>
        </is>
      </c>
      <c r="N33" s="15" t="n">
        <v>1</v>
      </c>
      <c r="O33" s="15" t="n">
        <v>0</v>
      </c>
      <c r="P33">
        <f>IF(M33="","",IF(M33=E33,1,0))</f>
        <v/>
      </c>
      <c r="Q33">
        <f>IF(K33="OK","-",IF(N33&lt;$B$7,"AMBIGUOUS","CONFIDENT"))</f>
        <v/>
      </c>
    </row>
    <row r="34">
      <c r="A34">
        <f>'Runs Z score'!A26</f>
        <v/>
      </c>
      <c r="B34">
        <f>'Runs Z score'!B26</f>
        <v/>
      </c>
      <c r="C34">
        <f>'Runs Z score'!C26</f>
        <v/>
      </c>
      <c r="D34">
        <f>'Runs Z score'!D26</f>
        <v/>
      </c>
      <c r="E34">
        <f>'Runs Z score'!E26</f>
        <v/>
      </c>
      <c r="F34">
        <f>'Runs Z score'!F26</f>
        <v/>
      </c>
      <c r="G34">
        <f>'Runs Z score'!G26</f>
        <v/>
      </c>
      <c r="H34">
        <f>VLOOKUP(C34,Recipes!$A$2:$N$4,10,FALSE())</f>
        <v/>
      </c>
      <c r="I34">
        <f>VLOOKUP(C34,Recipes!$A$2:$N$4,12,FALSE())</f>
        <v/>
      </c>
      <c r="J34">
        <f>IF(G34="","",H34-G34)</f>
        <v/>
      </c>
      <c r="K34">
        <f>IF(G34="","",IF(ABS(G34-H34)&lt;=$B$6*I34,"OK","NG"))</f>
        <v/>
      </c>
      <c r="L34">
        <f>IF(K34="","",IF(K34=D34,1,0))</f>
        <v/>
      </c>
      <c r="M34" t="inlineStr">
        <is>
          <t>NONE</t>
        </is>
      </c>
      <c r="N34" s="15" t="n">
        <v>1</v>
      </c>
      <c r="O34" s="15" t="n">
        <v>0</v>
      </c>
      <c r="P34">
        <f>IF(M34="","",IF(M34=E34,1,0))</f>
        <v/>
      </c>
      <c r="Q34">
        <f>IF(K34="OK","-",IF(N34&lt;$B$7,"AMBIGUOUS","CONFIDENT"))</f>
        <v/>
      </c>
    </row>
    <row r="35">
      <c r="A35">
        <f>'Runs Z score'!A27</f>
        <v/>
      </c>
      <c r="B35">
        <f>'Runs Z score'!B27</f>
        <v/>
      </c>
      <c r="C35">
        <f>'Runs Z score'!C27</f>
        <v/>
      </c>
      <c r="D35">
        <f>'Runs Z score'!D27</f>
        <v/>
      </c>
      <c r="E35">
        <f>'Runs Z score'!E27</f>
        <v/>
      </c>
      <c r="F35">
        <f>'Runs Z score'!F27</f>
        <v/>
      </c>
      <c r="G35">
        <f>'Runs Z score'!G27</f>
        <v/>
      </c>
      <c r="H35">
        <f>VLOOKUP(C35,Recipes!$A$2:$N$4,10,FALSE())</f>
        <v/>
      </c>
      <c r="I35">
        <f>VLOOKUP(C35,Recipes!$A$2:$N$4,12,FALSE())</f>
        <v/>
      </c>
      <c r="J35">
        <f>IF(G35="","",H35-G35)</f>
        <v/>
      </c>
      <c r="K35">
        <f>IF(G35="","",IF(ABS(G35-H35)&lt;=$B$6*I35,"OK","NG"))</f>
        <v/>
      </c>
      <c r="L35">
        <f>IF(K35="","",IF(K35=D35,1,0))</f>
        <v/>
      </c>
      <c r="M35" t="inlineStr">
        <is>
          <t>NONE</t>
        </is>
      </c>
      <c r="N35" s="15" t="n">
        <v>1</v>
      </c>
      <c r="O35" s="15" t="n">
        <v>0</v>
      </c>
      <c r="P35">
        <f>IF(M35="","",IF(M35=E35,1,0))</f>
        <v/>
      </c>
      <c r="Q35">
        <f>IF(K35="OK","-",IF(N35&lt;$B$7,"AMBIGUOUS","CONFIDENT"))</f>
        <v/>
      </c>
    </row>
    <row r="36">
      <c r="A36">
        <f>'Runs Z score'!A28</f>
        <v/>
      </c>
      <c r="B36">
        <f>'Runs Z score'!B28</f>
        <v/>
      </c>
      <c r="C36">
        <f>'Runs Z score'!C28</f>
        <v/>
      </c>
      <c r="D36">
        <f>'Runs Z score'!D28</f>
        <v/>
      </c>
      <c r="E36">
        <f>'Runs Z score'!E28</f>
        <v/>
      </c>
      <c r="F36">
        <f>'Runs Z score'!F28</f>
        <v/>
      </c>
      <c r="G36">
        <f>'Runs Z score'!G28</f>
        <v/>
      </c>
      <c r="H36">
        <f>VLOOKUP(C36,Recipes!$A$2:$N$4,10,FALSE())</f>
        <v/>
      </c>
      <c r="I36">
        <f>VLOOKUP(C36,Recipes!$A$2:$N$4,12,FALSE())</f>
        <v/>
      </c>
      <c r="J36">
        <f>IF(G36="","",H36-G36)</f>
        <v/>
      </c>
      <c r="K36">
        <f>IF(G36="","",IF(ABS(G36-H36)&lt;=$B$6*I36,"OK","NG"))</f>
        <v/>
      </c>
      <c r="L36">
        <f>IF(K36="","",IF(K36=D36,1,0))</f>
        <v/>
      </c>
      <c r="M36" t="inlineStr">
        <is>
          <t>NONE</t>
        </is>
      </c>
      <c r="N36" s="15" t="n">
        <v>1</v>
      </c>
      <c r="O36" s="15" t="n">
        <v>0</v>
      </c>
      <c r="P36">
        <f>IF(M36="","",IF(M36=E36,1,0))</f>
        <v/>
      </c>
      <c r="Q36">
        <f>IF(K36="OK","-",IF(N36&lt;$B$7,"AMBIGUOUS","CONFIDENT"))</f>
        <v/>
      </c>
    </row>
    <row r="37">
      <c r="A37">
        <f>'Runs Z score'!A29</f>
        <v/>
      </c>
      <c r="B37">
        <f>'Runs Z score'!B29</f>
        <v/>
      </c>
      <c r="C37">
        <f>'Runs Z score'!C29</f>
        <v/>
      </c>
      <c r="D37">
        <f>'Runs Z score'!D29</f>
        <v/>
      </c>
      <c r="E37">
        <f>'Runs Z score'!E29</f>
        <v/>
      </c>
      <c r="F37">
        <f>'Runs Z score'!F29</f>
        <v/>
      </c>
      <c r="G37">
        <f>'Runs Z score'!G29</f>
        <v/>
      </c>
      <c r="H37">
        <f>VLOOKUP(C37,Recipes!$A$2:$N$4,10,FALSE())</f>
        <v/>
      </c>
      <c r="I37">
        <f>VLOOKUP(C37,Recipes!$A$2:$N$4,12,FALSE())</f>
        <v/>
      </c>
      <c r="J37">
        <f>IF(G37="","",H37-G37)</f>
        <v/>
      </c>
      <c r="K37">
        <f>IF(G37="","",IF(ABS(G37-H37)&lt;=$B$6*I37,"OK","NG"))</f>
        <v/>
      </c>
      <c r="L37">
        <f>IF(K37="","",IF(K37=D37,1,0))</f>
        <v/>
      </c>
      <c r="M37" t="inlineStr">
        <is>
          <t>NONE</t>
        </is>
      </c>
      <c r="N37" s="15" t="n">
        <v>1</v>
      </c>
      <c r="O37" s="15" t="n">
        <v>0</v>
      </c>
      <c r="P37">
        <f>IF(M37="","",IF(M37=E37,1,0))</f>
        <v/>
      </c>
      <c r="Q37">
        <f>IF(K37="OK","-",IF(N37&lt;$B$7,"AMBIGUOUS","CONFIDENT"))</f>
        <v/>
      </c>
    </row>
    <row r="38">
      <c r="A38">
        <f>'Runs Z score'!A30</f>
        <v/>
      </c>
      <c r="B38">
        <f>'Runs Z score'!B30</f>
        <v/>
      </c>
      <c r="C38">
        <f>'Runs Z score'!C30</f>
        <v/>
      </c>
      <c r="D38">
        <f>'Runs Z score'!D30</f>
        <v/>
      </c>
      <c r="E38">
        <f>'Runs Z score'!E30</f>
        <v/>
      </c>
      <c r="F38">
        <f>'Runs Z score'!F30</f>
        <v/>
      </c>
      <c r="G38">
        <f>'Runs Z score'!G30</f>
        <v/>
      </c>
      <c r="H38">
        <f>VLOOKUP(C38,Recipes!$A$2:$N$4,10,FALSE())</f>
        <v/>
      </c>
      <c r="I38">
        <f>VLOOKUP(C38,Recipes!$A$2:$N$4,12,FALSE())</f>
        <v/>
      </c>
      <c r="J38">
        <f>IF(G38="","",H38-G38)</f>
        <v/>
      </c>
      <c r="K38">
        <f>IF(G38="","",IF(ABS(G38-H38)&lt;=$B$6*I38,"OK","NG"))</f>
        <v/>
      </c>
      <c r="L38">
        <f>IF(K38="","",IF(K38=D38,1,0))</f>
        <v/>
      </c>
      <c r="M38" t="inlineStr">
        <is>
          <t>NONE</t>
        </is>
      </c>
      <c r="N38" s="15" t="n">
        <v>1</v>
      </c>
      <c r="O38" s="15" t="n">
        <v>0</v>
      </c>
      <c r="P38">
        <f>IF(M38="","",IF(M38=E38,1,0))</f>
        <v/>
      </c>
      <c r="Q38">
        <f>IF(K38="OK","-",IF(N38&lt;$B$7,"AMBIGUOUS","CONFIDENT"))</f>
        <v/>
      </c>
    </row>
    <row r="39">
      <c r="A39">
        <f>'Runs Z score'!A31</f>
        <v/>
      </c>
      <c r="B39">
        <f>'Runs Z score'!B31</f>
        <v/>
      </c>
      <c r="C39">
        <f>'Runs Z score'!C31</f>
        <v/>
      </c>
      <c r="D39">
        <f>'Runs Z score'!D31</f>
        <v/>
      </c>
      <c r="E39">
        <f>'Runs Z score'!E31</f>
        <v/>
      </c>
      <c r="F39">
        <f>'Runs Z score'!F31</f>
        <v/>
      </c>
      <c r="G39">
        <f>'Runs Z score'!G31</f>
        <v/>
      </c>
      <c r="H39">
        <f>VLOOKUP(C39,Recipes!$A$2:$N$4,10,FALSE())</f>
        <v/>
      </c>
      <c r="I39">
        <f>VLOOKUP(C39,Recipes!$A$2:$N$4,12,FALSE())</f>
        <v/>
      </c>
      <c r="J39">
        <f>IF(G39="","",H39-G39)</f>
        <v/>
      </c>
      <c r="K39">
        <f>IF(G39="","",IF(ABS(G39-H39)&lt;=$B$6*I39,"OK","NG"))</f>
        <v/>
      </c>
      <c r="L39">
        <f>IF(K39="","",IF(K39=D39,1,0))</f>
        <v/>
      </c>
      <c r="M39" t="inlineStr">
        <is>
          <t>NONE</t>
        </is>
      </c>
      <c r="N39" s="15" t="n">
        <v>1</v>
      </c>
      <c r="O39" s="15" t="n">
        <v>0</v>
      </c>
      <c r="P39">
        <f>IF(M39="","",IF(M39=E39,1,0))</f>
        <v/>
      </c>
      <c r="Q39">
        <f>IF(K39="OK","-",IF(N39&lt;$B$7,"AMBIGUOUS","CONFIDENT"))</f>
        <v/>
      </c>
    </row>
    <row r="40">
      <c r="A40">
        <f>'Runs Z score'!A32</f>
        <v/>
      </c>
      <c r="B40">
        <f>'Runs Z score'!B32</f>
        <v/>
      </c>
      <c r="C40">
        <f>'Runs Z score'!C32</f>
        <v/>
      </c>
      <c r="D40">
        <f>'Runs Z score'!D32</f>
        <v/>
      </c>
      <c r="E40">
        <f>'Runs Z score'!E32</f>
        <v/>
      </c>
      <c r="F40">
        <f>'Runs Z score'!F32</f>
        <v/>
      </c>
      <c r="G40">
        <f>'Runs Z score'!G32</f>
        <v/>
      </c>
      <c r="H40">
        <f>VLOOKUP(C40,Recipes!$A$2:$N$4,10,FALSE())</f>
        <v/>
      </c>
      <c r="I40">
        <f>VLOOKUP(C40,Recipes!$A$2:$N$4,12,FALSE())</f>
        <v/>
      </c>
      <c r="J40">
        <f>IF(G40="","",H40-G40)</f>
        <v/>
      </c>
      <c r="K40">
        <f>IF(G40="","",IF(ABS(G40-H40)&lt;=$B$6*I40,"OK","NG"))</f>
        <v/>
      </c>
      <c r="L40">
        <f>IF(K40="","",IF(K40=D40,1,0))</f>
        <v/>
      </c>
      <c r="M40" t="inlineStr">
        <is>
          <t>NONE</t>
        </is>
      </c>
      <c r="N40" s="15" t="n">
        <v>1</v>
      </c>
      <c r="O40" s="15" t="n">
        <v>0</v>
      </c>
      <c r="P40">
        <f>IF(M40="","",IF(M40=E40,1,0))</f>
        <v/>
      </c>
      <c r="Q40">
        <f>IF(K40="OK","-",IF(N40&lt;$B$7,"AMBIGUOUS","CONFIDENT"))</f>
        <v/>
      </c>
    </row>
    <row r="41">
      <c r="A41">
        <f>'Runs Z score'!A33</f>
        <v/>
      </c>
      <c r="B41">
        <f>'Runs Z score'!B33</f>
        <v/>
      </c>
      <c r="C41">
        <f>'Runs Z score'!C33</f>
        <v/>
      </c>
      <c r="D41">
        <f>'Runs Z score'!D33</f>
        <v/>
      </c>
      <c r="E41">
        <f>'Runs Z score'!E33</f>
        <v/>
      </c>
      <c r="F41">
        <f>'Runs Z score'!F33</f>
        <v/>
      </c>
      <c r="G41">
        <f>'Runs Z score'!G33</f>
        <v/>
      </c>
      <c r="H41">
        <f>VLOOKUP(C41,Recipes!$A$2:$N$4,10,FALSE())</f>
        <v/>
      </c>
      <c r="I41">
        <f>VLOOKUP(C41,Recipes!$A$2:$N$4,12,FALSE())</f>
        <v/>
      </c>
      <c r="J41">
        <f>IF(G41="","",H41-G41)</f>
        <v/>
      </c>
      <c r="K41">
        <f>IF(G41="","",IF(ABS(G41-H41)&lt;=$B$6*I41,"OK","NG"))</f>
        <v/>
      </c>
      <c r="L41">
        <f>IF(K41="","",IF(K41=D41,1,0))</f>
        <v/>
      </c>
      <c r="M41" t="inlineStr">
        <is>
          <t>S2</t>
        </is>
      </c>
      <c r="N41" s="15" t="n">
        <v>0.9478</v>
      </c>
      <c r="O41" s="15" t="n">
        <v>0.0303</v>
      </c>
      <c r="P41">
        <f>IF(M41="","",IF(M41=E41,1,0))</f>
        <v/>
      </c>
      <c r="Q41">
        <f>IF(K41="OK","-",IF(N41&lt;$B$7,"AMBIGUOUS","CONFIDENT"))</f>
        <v/>
      </c>
    </row>
    <row r="42">
      <c r="A42">
        <f>'Runs Z score'!A34</f>
        <v/>
      </c>
      <c r="B42">
        <f>'Runs Z score'!B34</f>
        <v/>
      </c>
      <c r="C42">
        <f>'Runs Z score'!C34</f>
        <v/>
      </c>
      <c r="D42">
        <f>'Runs Z score'!D34</f>
        <v/>
      </c>
      <c r="E42">
        <f>'Runs Z score'!E34</f>
        <v/>
      </c>
      <c r="F42">
        <f>'Runs Z score'!F34</f>
        <v/>
      </c>
      <c r="G42">
        <f>'Runs Z score'!G34</f>
        <v/>
      </c>
      <c r="H42">
        <f>VLOOKUP(C42,Recipes!$A$2:$N$4,10,FALSE())</f>
        <v/>
      </c>
      <c r="I42">
        <f>VLOOKUP(C42,Recipes!$A$2:$N$4,12,FALSE())</f>
        <v/>
      </c>
      <c r="J42">
        <f>IF(G42="","",H42-G42)</f>
        <v/>
      </c>
      <c r="K42">
        <f>IF(G42="","",IF(ABS(G42-H42)&lt;=$B$6*I42,"OK","NG"))</f>
        <v/>
      </c>
      <c r="L42">
        <f>IF(K42="","",IF(K42=D42,1,0))</f>
        <v/>
      </c>
      <c r="M42" t="inlineStr">
        <is>
          <t>S2</t>
        </is>
      </c>
      <c r="N42" s="15" t="n">
        <v>0.9513</v>
      </c>
      <c r="O42" s="15" t="n">
        <v>0.0259</v>
      </c>
      <c r="P42">
        <f>IF(M42="","",IF(M42=E42,1,0))</f>
        <v/>
      </c>
      <c r="Q42">
        <f>IF(K42="OK","-",IF(N42&lt;$B$7,"AMBIGUOUS","CONFIDENT"))</f>
        <v/>
      </c>
    </row>
    <row r="43">
      <c r="A43">
        <f>'Runs Z score'!A35</f>
        <v/>
      </c>
      <c r="B43">
        <f>'Runs Z score'!B35</f>
        <v/>
      </c>
      <c r="C43">
        <f>'Runs Z score'!C35</f>
        <v/>
      </c>
      <c r="D43">
        <f>'Runs Z score'!D35</f>
        <v/>
      </c>
      <c r="E43">
        <f>'Runs Z score'!E35</f>
        <v/>
      </c>
      <c r="F43">
        <f>'Runs Z score'!F35</f>
        <v/>
      </c>
      <c r="G43">
        <f>'Runs Z score'!G35</f>
        <v/>
      </c>
      <c r="H43">
        <f>VLOOKUP(C43,Recipes!$A$2:$N$4,10,FALSE())</f>
        <v/>
      </c>
      <c r="I43">
        <f>VLOOKUP(C43,Recipes!$A$2:$N$4,12,FALSE())</f>
        <v/>
      </c>
      <c r="J43">
        <f>IF(G43="","",H43-G43)</f>
        <v/>
      </c>
      <c r="K43">
        <f>IF(G43="","",IF(ABS(G43-H43)&lt;=$B$6*I43,"OK","NG"))</f>
        <v/>
      </c>
      <c r="L43">
        <f>IF(K43="","",IF(K43=D43,1,0))</f>
        <v/>
      </c>
      <c r="M43" t="inlineStr">
        <is>
          <t>S2</t>
        </is>
      </c>
      <c r="N43" s="15" t="n">
        <v>0.9196</v>
      </c>
      <c r="O43" s="15" t="n">
        <v>0.0608</v>
      </c>
      <c r="P43">
        <f>IF(M43="","",IF(M43=E43,1,0))</f>
        <v/>
      </c>
      <c r="Q43">
        <f>IF(K43="OK","-",IF(N43&lt;$B$7,"AMBIGUOUS","CONFIDENT"))</f>
        <v/>
      </c>
    </row>
    <row r="44">
      <c r="A44">
        <f>'Runs Z score'!A36</f>
        <v/>
      </c>
      <c r="B44">
        <f>'Runs Z score'!B36</f>
        <v/>
      </c>
      <c r="C44">
        <f>'Runs Z score'!C36</f>
        <v/>
      </c>
      <c r="D44">
        <f>'Runs Z score'!D36</f>
        <v/>
      </c>
      <c r="E44">
        <f>'Runs Z score'!E36</f>
        <v/>
      </c>
      <c r="F44">
        <f>'Runs Z score'!F36</f>
        <v/>
      </c>
      <c r="G44">
        <f>'Runs Z score'!G36</f>
        <v/>
      </c>
      <c r="H44">
        <f>VLOOKUP(C44,Recipes!$A$2:$N$4,10,FALSE())</f>
        <v/>
      </c>
      <c r="I44">
        <f>VLOOKUP(C44,Recipes!$A$2:$N$4,12,FALSE())</f>
        <v/>
      </c>
      <c r="J44">
        <f>IF(G44="","",H44-G44)</f>
        <v/>
      </c>
      <c r="K44">
        <f>IF(G44="","",IF(ABS(G44-H44)&lt;=$B$6*I44,"OK","NG"))</f>
        <v/>
      </c>
      <c r="L44">
        <f>IF(K44="","",IF(K44=D44,1,0))</f>
        <v/>
      </c>
      <c r="M44" t="inlineStr">
        <is>
          <t>S2</t>
        </is>
      </c>
      <c r="N44" s="15" t="n">
        <v>0.9534</v>
      </c>
      <c r="O44" s="15" t="n">
        <v>0.0235</v>
      </c>
      <c r="P44">
        <f>IF(M44="","",IF(M44=E44,1,0))</f>
        <v/>
      </c>
      <c r="Q44">
        <f>IF(K44="OK","-",IF(N44&lt;$B$7,"AMBIGUOUS","CONFIDENT"))</f>
        <v/>
      </c>
    </row>
    <row r="45">
      <c r="A45">
        <f>'Runs Z score'!A37</f>
        <v/>
      </c>
      <c r="B45">
        <f>'Runs Z score'!B37</f>
        <v/>
      </c>
      <c r="C45">
        <f>'Runs Z score'!C37</f>
        <v/>
      </c>
      <c r="D45">
        <f>'Runs Z score'!D37</f>
        <v/>
      </c>
      <c r="E45">
        <f>'Runs Z score'!E37</f>
        <v/>
      </c>
      <c r="F45">
        <f>'Runs Z score'!F37</f>
        <v/>
      </c>
      <c r="G45">
        <f>'Runs Z score'!G37</f>
        <v/>
      </c>
      <c r="H45">
        <f>VLOOKUP(C45,Recipes!$A$2:$N$4,10,FALSE())</f>
        <v/>
      </c>
      <c r="I45">
        <f>VLOOKUP(C45,Recipes!$A$2:$N$4,12,FALSE())</f>
        <v/>
      </c>
      <c r="J45">
        <f>IF(G45="","",H45-G45)</f>
        <v/>
      </c>
      <c r="K45">
        <f>IF(G45="","",IF(ABS(G45-H45)&lt;=$B$6*I45,"OK","NG"))</f>
        <v/>
      </c>
      <c r="L45">
        <f>IF(K45="","",IF(K45=D45,1,0))</f>
        <v/>
      </c>
      <c r="M45" t="inlineStr">
        <is>
          <t>S2</t>
        </is>
      </c>
      <c r="N45" s="15" t="n">
        <v>0.9343</v>
      </c>
      <c r="O45" s="15" t="n">
        <v>0.0444</v>
      </c>
      <c r="P45">
        <f>IF(M45="","",IF(M45=E45,1,0))</f>
        <v/>
      </c>
      <c r="Q45">
        <f>IF(K45="OK","-",IF(N45&lt;$B$7,"AMBIGUOUS","CONFIDENT"))</f>
        <v/>
      </c>
    </row>
    <row r="46">
      <c r="A46">
        <f>'Runs Z score'!A38</f>
        <v/>
      </c>
      <c r="B46">
        <f>'Runs Z score'!B38</f>
        <v/>
      </c>
      <c r="C46">
        <f>'Runs Z score'!C38</f>
        <v/>
      </c>
      <c r="D46">
        <f>'Runs Z score'!D38</f>
        <v/>
      </c>
      <c r="E46">
        <f>'Runs Z score'!E38</f>
        <v/>
      </c>
      <c r="F46">
        <f>'Runs Z score'!F38</f>
        <v/>
      </c>
      <c r="G46">
        <f>'Runs Z score'!G38</f>
        <v/>
      </c>
      <c r="H46">
        <f>VLOOKUP(C46,Recipes!$A$2:$N$4,10,FALSE())</f>
        <v/>
      </c>
      <c r="I46">
        <f>VLOOKUP(C46,Recipes!$A$2:$N$4,12,FALSE())</f>
        <v/>
      </c>
      <c r="J46">
        <f>IF(G46="","",H46-G46)</f>
        <v/>
      </c>
      <c r="K46">
        <f>IF(G46="","",IF(ABS(G46-H46)&lt;=$B$6*I46,"OK","NG"))</f>
        <v/>
      </c>
      <c r="L46">
        <f>IF(K46="","",IF(K46=D46,1,0))</f>
        <v/>
      </c>
      <c r="M46" t="inlineStr">
        <is>
          <t>S2</t>
        </is>
      </c>
      <c r="N46" s="15" t="n">
        <v>0.8827</v>
      </c>
      <c r="O46" s="15" t="n">
        <v>0.0985</v>
      </c>
      <c r="P46">
        <f>IF(M46="","",IF(M46=E46,1,0))</f>
        <v/>
      </c>
      <c r="Q46">
        <f>IF(K46="OK","-",IF(N46&lt;$B$7,"AMBIGUOUS","CONFIDENT"))</f>
        <v/>
      </c>
    </row>
    <row r="47">
      <c r="A47">
        <f>'Runs Z score'!A39</f>
        <v/>
      </c>
      <c r="B47">
        <f>'Runs Z score'!B39</f>
        <v/>
      </c>
      <c r="C47">
        <f>'Runs Z score'!C39</f>
        <v/>
      </c>
      <c r="D47">
        <f>'Runs Z score'!D39</f>
        <v/>
      </c>
      <c r="E47">
        <f>'Runs Z score'!E39</f>
        <v/>
      </c>
      <c r="F47">
        <f>'Runs Z score'!F39</f>
        <v/>
      </c>
      <c r="G47">
        <f>'Runs Z score'!G39</f>
        <v/>
      </c>
      <c r="H47">
        <f>VLOOKUP(C47,Recipes!$A$2:$N$4,10,FALSE())</f>
        <v/>
      </c>
      <c r="I47">
        <f>VLOOKUP(C47,Recipes!$A$2:$N$4,12,FALSE())</f>
        <v/>
      </c>
      <c r="J47">
        <f>IF(G47="","",H47-G47)</f>
        <v/>
      </c>
      <c r="K47">
        <f>IF(G47="","",IF(ABS(G47-H47)&lt;=$B$6*I47,"OK","NG"))</f>
        <v/>
      </c>
      <c r="L47">
        <f>IF(K47="","",IF(K47=D47,1,0))</f>
        <v/>
      </c>
      <c r="M47" t="inlineStr">
        <is>
          <t>S2</t>
        </is>
      </c>
      <c r="N47" s="15" t="n">
        <v>0.9335</v>
      </c>
      <c r="O47" s="15" t="n">
        <v>0.0459</v>
      </c>
      <c r="P47">
        <f>IF(M47="","",IF(M47=E47,1,0))</f>
        <v/>
      </c>
      <c r="Q47">
        <f>IF(K47="OK","-",IF(N47&lt;$B$7,"AMBIGUOUS","CONFIDENT"))</f>
        <v/>
      </c>
    </row>
    <row r="48">
      <c r="A48">
        <f>'Runs Z score'!A40</f>
        <v/>
      </c>
      <c r="B48">
        <f>'Runs Z score'!B40</f>
        <v/>
      </c>
      <c r="C48">
        <f>'Runs Z score'!C40</f>
        <v/>
      </c>
      <c r="D48">
        <f>'Runs Z score'!D40</f>
        <v/>
      </c>
      <c r="E48">
        <f>'Runs Z score'!E40</f>
        <v/>
      </c>
      <c r="F48">
        <f>'Runs Z score'!F40</f>
        <v/>
      </c>
      <c r="G48">
        <f>'Runs Z score'!G40</f>
        <v/>
      </c>
      <c r="H48">
        <f>VLOOKUP(C48,Recipes!$A$2:$N$4,10,FALSE())</f>
        <v/>
      </c>
      <c r="I48">
        <f>VLOOKUP(C48,Recipes!$A$2:$N$4,12,FALSE())</f>
        <v/>
      </c>
      <c r="J48">
        <f>IF(G48="","",H48-G48)</f>
        <v/>
      </c>
      <c r="K48">
        <f>IF(G48="","",IF(ABS(G48-H48)&lt;=$B$6*I48,"OK","NG"))</f>
        <v/>
      </c>
      <c r="L48">
        <f>IF(K48="","",IF(K48=D48,1,0))</f>
        <v/>
      </c>
      <c r="M48" t="inlineStr">
        <is>
          <t>S2</t>
        </is>
      </c>
      <c r="N48" s="15" t="n">
        <v>0.9415</v>
      </c>
      <c r="O48" s="15" t="n">
        <v>0.0372</v>
      </c>
      <c r="P48">
        <f>IF(M48="","",IF(M48=E48,1,0))</f>
        <v/>
      </c>
      <c r="Q48">
        <f>IF(K48="OK","-",IF(N48&lt;$B$7,"AMBIGUOUS","CONFIDENT"))</f>
        <v/>
      </c>
    </row>
    <row r="49">
      <c r="A49">
        <f>'Runs Z score'!A41</f>
        <v/>
      </c>
      <c r="B49">
        <f>'Runs Z score'!B41</f>
        <v/>
      </c>
      <c r="C49">
        <f>'Runs Z score'!C41</f>
        <v/>
      </c>
      <c r="D49">
        <f>'Runs Z score'!D41</f>
        <v/>
      </c>
      <c r="E49">
        <f>'Runs Z score'!E41</f>
        <v/>
      </c>
      <c r="F49">
        <f>'Runs Z score'!F41</f>
        <v/>
      </c>
      <c r="G49">
        <f>'Runs Z score'!G41</f>
        <v/>
      </c>
      <c r="H49">
        <f>VLOOKUP(C49,Recipes!$A$2:$N$4,10,FALSE())</f>
        <v/>
      </c>
      <c r="I49">
        <f>VLOOKUP(C49,Recipes!$A$2:$N$4,12,FALSE())</f>
        <v/>
      </c>
      <c r="J49">
        <f>IF(G49="","",H49-G49)</f>
        <v/>
      </c>
      <c r="K49">
        <f>IF(G49="","",IF(ABS(G49-H49)&lt;=$B$6*I49,"OK","NG"))</f>
        <v/>
      </c>
      <c r="L49">
        <f>IF(K49="","",IF(K49=D49,1,0))</f>
        <v/>
      </c>
      <c r="M49" t="inlineStr">
        <is>
          <t>S2</t>
        </is>
      </c>
      <c r="N49" s="15" t="n">
        <v>0.9463</v>
      </c>
      <c r="O49" s="15" t="n">
        <v>0.0317</v>
      </c>
      <c r="P49">
        <f>IF(M49="","",IF(M49=E49,1,0))</f>
        <v/>
      </c>
      <c r="Q49">
        <f>IF(K49="OK","-",IF(N49&lt;$B$7,"AMBIGUOUS","CONFIDENT"))</f>
        <v/>
      </c>
    </row>
    <row r="50">
      <c r="A50">
        <f>'Runs Z score'!A42</f>
        <v/>
      </c>
      <c r="B50">
        <f>'Runs Z score'!B42</f>
        <v/>
      </c>
      <c r="C50">
        <f>'Runs Z score'!C42</f>
        <v/>
      </c>
      <c r="D50">
        <f>'Runs Z score'!D42</f>
        <v/>
      </c>
      <c r="E50">
        <f>'Runs Z score'!E42</f>
        <v/>
      </c>
      <c r="F50">
        <f>'Runs Z score'!F42</f>
        <v/>
      </c>
      <c r="G50">
        <f>'Runs Z score'!G42</f>
        <v/>
      </c>
      <c r="H50">
        <f>VLOOKUP(C50,Recipes!$A$2:$N$4,10,FALSE())</f>
        <v/>
      </c>
      <c r="I50">
        <f>VLOOKUP(C50,Recipes!$A$2:$N$4,12,FALSE())</f>
        <v/>
      </c>
      <c r="J50">
        <f>IF(G50="","",H50-G50)</f>
        <v/>
      </c>
      <c r="K50">
        <f>IF(G50="","",IF(ABS(G50-H50)&lt;=$B$6*I50,"OK","NG"))</f>
        <v/>
      </c>
      <c r="L50">
        <f>IF(K50="","",IF(K50=D50,1,0))</f>
        <v/>
      </c>
      <c r="M50" t="inlineStr">
        <is>
          <t>S2</t>
        </is>
      </c>
      <c r="N50" s="15" t="n">
        <v>0.9557</v>
      </c>
      <c r="O50" s="15" t="n">
        <v>0.0225</v>
      </c>
      <c r="P50">
        <f>IF(M50="","",IF(M50=E50,1,0))</f>
        <v/>
      </c>
      <c r="Q50">
        <f>IF(K50="OK","-",IF(N50&lt;$B$7,"AMBIGUOUS","CONFIDENT"))</f>
        <v/>
      </c>
    </row>
    <row r="51">
      <c r="A51">
        <f>'Runs Z score'!A43</f>
        <v/>
      </c>
      <c r="B51">
        <f>'Runs Z score'!B43</f>
        <v/>
      </c>
      <c r="C51">
        <f>'Runs Z score'!C43</f>
        <v/>
      </c>
      <c r="D51">
        <f>'Runs Z score'!D43</f>
        <v/>
      </c>
      <c r="E51">
        <f>'Runs Z score'!E43</f>
        <v/>
      </c>
      <c r="F51">
        <f>'Runs Z score'!F43</f>
        <v/>
      </c>
      <c r="G51">
        <f>'Runs Z score'!G43</f>
        <v/>
      </c>
      <c r="H51">
        <f>VLOOKUP(C51,Recipes!$A$2:$N$4,10,FALSE())</f>
        <v/>
      </c>
      <c r="I51">
        <f>VLOOKUP(C51,Recipes!$A$2:$N$4,12,FALSE())</f>
        <v/>
      </c>
      <c r="J51">
        <f>IF(G51="","",H51-G51)</f>
        <v/>
      </c>
      <c r="K51">
        <f>IF(G51="","",IF(ABS(G51-H51)&lt;=$B$6*I51,"OK","NG"))</f>
        <v/>
      </c>
      <c r="L51">
        <f>IF(K51="","",IF(K51=D51,1,0))</f>
        <v/>
      </c>
      <c r="M51" t="inlineStr">
        <is>
          <t>S2</t>
        </is>
      </c>
      <c r="N51" s="15" t="n">
        <v>0.9491000000000001</v>
      </c>
      <c r="O51" s="15" t="n">
        <v>0.0294</v>
      </c>
      <c r="P51">
        <f>IF(M51="","",IF(M51=E51,1,0))</f>
        <v/>
      </c>
      <c r="Q51">
        <f>IF(K51="OK","-",IF(N51&lt;$B$7,"AMBIGUOUS","CONFIDENT"))</f>
        <v/>
      </c>
    </row>
    <row r="52">
      <c r="A52">
        <f>'Runs Z score'!A44</f>
        <v/>
      </c>
      <c r="B52">
        <f>'Runs Z score'!B44</f>
        <v/>
      </c>
      <c r="C52">
        <f>'Runs Z score'!C44</f>
        <v/>
      </c>
      <c r="D52">
        <f>'Runs Z score'!D44</f>
        <v/>
      </c>
      <c r="E52">
        <f>'Runs Z score'!E44</f>
        <v/>
      </c>
      <c r="F52">
        <f>'Runs Z score'!F44</f>
        <v/>
      </c>
      <c r="G52">
        <f>'Runs Z score'!G44</f>
        <v/>
      </c>
      <c r="H52">
        <f>VLOOKUP(C52,Recipes!$A$2:$N$4,10,FALSE())</f>
        <v/>
      </c>
      <c r="I52">
        <f>VLOOKUP(C52,Recipes!$A$2:$N$4,12,FALSE())</f>
        <v/>
      </c>
      <c r="J52">
        <f>IF(G52="","",H52-G52)</f>
        <v/>
      </c>
      <c r="K52">
        <f>IF(G52="","",IF(ABS(G52-H52)&lt;=$B$6*I52,"OK","NG"))</f>
        <v/>
      </c>
      <c r="L52">
        <f>IF(K52="","",IF(K52=D52,1,0))</f>
        <v/>
      </c>
      <c r="M52" t="inlineStr">
        <is>
          <t>S2</t>
        </is>
      </c>
      <c r="N52" s="15" t="n">
        <v>0.9567</v>
      </c>
      <c r="O52" s="15" t="n">
        <v>0.0238</v>
      </c>
      <c r="P52">
        <f>IF(M52="","",IF(M52=E52,1,0))</f>
        <v/>
      </c>
      <c r="Q52">
        <f>IF(K52="OK","-",IF(N52&lt;$B$7,"AMBIGUOUS","CONFIDENT"))</f>
        <v/>
      </c>
    </row>
    <row r="53">
      <c r="A53">
        <f>'Runs Z score'!A45</f>
        <v/>
      </c>
      <c r="B53">
        <f>'Runs Z score'!B45</f>
        <v/>
      </c>
      <c r="C53">
        <f>'Runs Z score'!C45</f>
        <v/>
      </c>
      <c r="D53">
        <f>'Runs Z score'!D45</f>
        <v/>
      </c>
      <c r="E53">
        <f>'Runs Z score'!E45</f>
        <v/>
      </c>
      <c r="F53">
        <f>'Runs Z score'!F45</f>
        <v/>
      </c>
      <c r="G53">
        <f>'Runs Z score'!G45</f>
        <v/>
      </c>
      <c r="H53">
        <f>VLOOKUP(C53,Recipes!$A$2:$N$4,10,FALSE())</f>
        <v/>
      </c>
      <c r="I53">
        <f>VLOOKUP(C53,Recipes!$A$2:$N$4,12,FALSE())</f>
        <v/>
      </c>
      <c r="J53">
        <f>IF(G53="","",H53-G53)</f>
        <v/>
      </c>
      <c r="K53">
        <f>IF(G53="","",IF(ABS(G53-H53)&lt;=$B$6*I53,"OK","NG"))</f>
        <v/>
      </c>
      <c r="L53">
        <f>IF(K53="","",IF(K53=D53,1,0))</f>
        <v/>
      </c>
      <c r="M53" t="inlineStr">
        <is>
          <t>S2</t>
        </is>
      </c>
      <c r="N53" s="15" t="n">
        <v>0.961</v>
      </c>
      <c r="O53" s="15" t="n">
        <v>0.024</v>
      </c>
      <c r="P53">
        <f>IF(M53="","",IF(M53=E53,1,0))</f>
        <v/>
      </c>
      <c r="Q53">
        <f>IF(K53="OK","-",IF(N53&lt;$B$7,"AMBIGUOUS","CONFIDENT"))</f>
        <v/>
      </c>
    </row>
    <row r="54">
      <c r="A54">
        <f>'Runs Z score'!A46</f>
        <v/>
      </c>
      <c r="B54">
        <f>'Runs Z score'!B46</f>
        <v/>
      </c>
      <c r="C54">
        <f>'Runs Z score'!C46</f>
        <v/>
      </c>
      <c r="D54">
        <f>'Runs Z score'!D46</f>
        <v/>
      </c>
      <c r="E54">
        <f>'Runs Z score'!E46</f>
        <v/>
      </c>
      <c r="F54">
        <f>'Runs Z score'!F46</f>
        <v/>
      </c>
      <c r="G54">
        <f>'Runs Z score'!G46</f>
        <v/>
      </c>
      <c r="H54">
        <f>VLOOKUP(C54,Recipes!$A$2:$N$4,10,FALSE())</f>
        <v/>
      </c>
      <c r="I54">
        <f>VLOOKUP(C54,Recipes!$A$2:$N$4,12,FALSE())</f>
        <v/>
      </c>
      <c r="J54">
        <f>IF(G54="","",H54-G54)</f>
        <v/>
      </c>
      <c r="K54">
        <f>IF(G54="","",IF(ABS(G54-H54)&lt;=$B$6*I54,"OK","NG"))</f>
        <v/>
      </c>
      <c r="L54">
        <f>IF(K54="","",IF(K54=D54,1,0))</f>
        <v/>
      </c>
      <c r="M54" t="inlineStr">
        <is>
          <t>S2</t>
        </is>
      </c>
      <c r="N54" s="15" t="n">
        <v>0.9534</v>
      </c>
      <c r="O54" s="15" t="n">
        <v>0.0235</v>
      </c>
      <c r="P54">
        <f>IF(M54="","",IF(M54=E54,1,0))</f>
        <v/>
      </c>
      <c r="Q54">
        <f>IF(K54="OK","-",IF(N54&lt;$B$7,"AMBIGUOUS","CONFIDENT"))</f>
        <v/>
      </c>
    </row>
    <row r="55">
      <c r="A55">
        <f>'Runs Z score'!A47</f>
        <v/>
      </c>
      <c r="B55">
        <f>'Runs Z score'!B47</f>
        <v/>
      </c>
      <c r="C55">
        <f>'Runs Z score'!C47</f>
        <v/>
      </c>
      <c r="D55">
        <f>'Runs Z score'!D47</f>
        <v/>
      </c>
      <c r="E55">
        <f>'Runs Z score'!E47</f>
        <v/>
      </c>
      <c r="F55">
        <f>'Runs Z score'!F47</f>
        <v/>
      </c>
      <c r="G55">
        <f>'Runs Z score'!G47</f>
        <v/>
      </c>
      <c r="H55">
        <f>VLOOKUP(C55,Recipes!$A$2:$N$4,10,FALSE())</f>
        <v/>
      </c>
      <c r="I55">
        <f>VLOOKUP(C55,Recipes!$A$2:$N$4,12,FALSE())</f>
        <v/>
      </c>
      <c r="J55">
        <f>IF(G55="","",H55-G55)</f>
        <v/>
      </c>
      <c r="K55">
        <f>IF(G55="","",IF(ABS(G55-H55)&lt;=$B$6*I55,"OK","NG"))</f>
        <v/>
      </c>
      <c r="L55">
        <f>IF(K55="","",IF(K55=D55,1,0))</f>
        <v/>
      </c>
      <c r="M55" t="inlineStr">
        <is>
          <t>S2</t>
        </is>
      </c>
      <c r="N55" s="15" t="n">
        <v>0.9199000000000001</v>
      </c>
      <c r="O55" s="15" t="n">
        <v>0.0598</v>
      </c>
      <c r="P55">
        <f>IF(M55="","",IF(M55=E55,1,0))</f>
        <v/>
      </c>
      <c r="Q55">
        <f>IF(K55="OK","-",IF(N55&lt;$B$7,"AMBIGUOUS","CONFIDENT"))</f>
        <v/>
      </c>
    </row>
    <row r="56">
      <c r="A56">
        <f>'Runs Z score'!A48</f>
        <v/>
      </c>
      <c r="B56">
        <f>'Runs Z score'!B48</f>
        <v/>
      </c>
      <c r="C56">
        <f>'Runs Z score'!C48</f>
        <v/>
      </c>
      <c r="D56">
        <f>'Runs Z score'!D48</f>
        <v/>
      </c>
      <c r="E56">
        <f>'Runs Z score'!E48</f>
        <v/>
      </c>
      <c r="F56">
        <f>'Runs Z score'!F48</f>
        <v/>
      </c>
      <c r="G56">
        <f>'Runs Z score'!G48</f>
        <v/>
      </c>
      <c r="H56">
        <f>VLOOKUP(C56,Recipes!$A$2:$N$4,10,FALSE())</f>
        <v/>
      </c>
      <c r="I56">
        <f>VLOOKUP(C56,Recipes!$A$2:$N$4,12,FALSE())</f>
        <v/>
      </c>
      <c r="J56">
        <f>IF(G56="","",H56-G56)</f>
        <v/>
      </c>
      <c r="K56">
        <f>IF(G56="","",IF(ABS(G56-H56)&lt;=$B$6*I56,"OK","NG"))</f>
        <v/>
      </c>
      <c r="L56">
        <f>IF(K56="","",IF(K56=D56,1,0))</f>
        <v/>
      </c>
      <c r="M56" t="inlineStr">
        <is>
          <t>S2</t>
        </is>
      </c>
      <c r="N56" s="15" t="n">
        <v>0.9552</v>
      </c>
      <c r="O56" s="15" t="n">
        <v>0.0226</v>
      </c>
      <c r="P56">
        <f>IF(M56="","",IF(M56=E56,1,0))</f>
        <v/>
      </c>
      <c r="Q56">
        <f>IF(K56="OK","-",IF(N56&lt;$B$7,"AMBIGUOUS","CONFIDENT"))</f>
        <v/>
      </c>
    </row>
    <row r="57">
      <c r="A57">
        <f>'Runs Z score'!A49</f>
        <v/>
      </c>
      <c r="B57">
        <f>'Runs Z score'!B49</f>
        <v/>
      </c>
      <c r="C57">
        <f>'Runs Z score'!C49</f>
        <v/>
      </c>
      <c r="D57">
        <f>'Runs Z score'!D49</f>
        <v/>
      </c>
      <c r="E57">
        <f>'Runs Z score'!E49</f>
        <v/>
      </c>
      <c r="F57">
        <f>'Runs Z score'!F49</f>
        <v/>
      </c>
      <c r="G57">
        <f>'Runs Z score'!G49</f>
        <v/>
      </c>
      <c r="H57">
        <f>VLOOKUP(C57,Recipes!$A$2:$N$4,10,FALSE())</f>
        <v/>
      </c>
      <c r="I57">
        <f>VLOOKUP(C57,Recipes!$A$2:$N$4,12,FALSE())</f>
        <v/>
      </c>
      <c r="J57">
        <f>IF(G57="","",H57-G57)</f>
        <v/>
      </c>
      <c r="K57">
        <f>IF(G57="","",IF(ABS(G57-H57)&lt;=$B$6*I57,"OK","NG"))</f>
        <v/>
      </c>
      <c r="L57">
        <f>IF(K57="","",IF(K57=D57,1,0))</f>
        <v/>
      </c>
      <c r="M57" t="inlineStr">
        <is>
          <t>S2</t>
        </is>
      </c>
      <c r="N57" s="15" t="n">
        <v>0.9429999999999999</v>
      </c>
      <c r="O57" s="15" t="n">
        <v>0.0362</v>
      </c>
      <c r="P57">
        <f>IF(M57="","",IF(M57=E57,1,0))</f>
        <v/>
      </c>
      <c r="Q57">
        <f>IF(K57="OK","-",IF(N57&lt;$B$7,"AMBIGUOUS","CONFIDENT"))</f>
        <v/>
      </c>
    </row>
    <row r="58">
      <c r="A58">
        <f>'Runs Z score'!A50</f>
        <v/>
      </c>
      <c r="B58">
        <f>'Runs Z score'!B50</f>
        <v/>
      </c>
      <c r="C58">
        <f>'Runs Z score'!C50</f>
        <v/>
      </c>
      <c r="D58">
        <f>'Runs Z score'!D50</f>
        <v/>
      </c>
      <c r="E58">
        <f>'Runs Z score'!E50</f>
        <v/>
      </c>
      <c r="F58">
        <f>'Runs Z score'!F50</f>
        <v/>
      </c>
      <c r="G58">
        <f>'Runs Z score'!G50</f>
        <v/>
      </c>
      <c r="H58">
        <f>VLOOKUP(C58,Recipes!$A$2:$N$4,10,FALSE())</f>
        <v/>
      </c>
      <c r="I58">
        <f>VLOOKUP(C58,Recipes!$A$2:$N$4,12,FALSE())</f>
        <v/>
      </c>
      <c r="J58">
        <f>IF(G58="","",H58-G58)</f>
        <v/>
      </c>
      <c r="K58">
        <f>IF(G58="","",IF(ABS(G58-H58)&lt;=$B$6*I58,"OK","NG"))</f>
        <v/>
      </c>
      <c r="L58">
        <f>IF(K58="","",IF(K58=D58,1,0))</f>
        <v/>
      </c>
      <c r="M58" t="inlineStr">
        <is>
          <t>S2</t>
        </is>
      </c>
      <c r="N58" s="15" t="n">
        <v>0.9393</v>
      </c>
      <c r="O58" s="15" t="n">
        <v>0.0401</v>
      </c>
      <c r="P58">
        <f>IF(M58="","",IF(M58=E58,1,0))</f>
        <v/>
      </c>
      <c r="Q58">
        <f>IF(K58="OK","-",IF(N58&lt;$B$7,"AMBIGUOUS","CONFIDENT"))</f>
        <v/>
      </c>
    </row>
    <row r="59">
      <c r="A59">
        <f>'Runs Z score'!A51</f>
        <v/>
      </c>
      <c r="B59">
        <f>'Runs Z score'!B51</f>
        <v/>
      </c>
      <c r="C59">
        <f>'Runs Z score'!C51</f>
        <v/>
      </c>
      <c r="D59">
        <f>'Runs Z score'!D51</f>
        <v/>
      </c>
      <c r="E59">
        <f>'Runs Z score'!E51</f>
        <v/>
      </c>
      <c r="F59">
        <f>'Runs Z score'!F51</f>
        <v/>
      </c>
      <c r="G59">
        <f>'Runs Z score'!G51</f>
        <v/>
      </c>
      <c r="H59">
        <f>VLOOKUP(C59,Recipes!$A$2:$N$4,10,FALSE())</f>
        <v/>
      </c>
      <c r="I59">
        <f>VLOOKUP(C59,Recipes!$A$2:$N$4,12,FALSE())</f>
        <v/>
      </c>
      <c r="J59">
        <f>IF(G59="","",H59-G59)</f>
        <v/>
      </c>
      <c r="K59">
        <f>IF(G59="","",IF(ABS(G59-H59)&lt;=$B$6*I59,"OK","NG"))</f>
        <v/>
      </c>
      <c r="L59">
        <f>IF(K59="","",IF(K59=D59,1,0))</f>
        <v/>
      </c>
      <c r="M59" t="inlineStr">
        <is>
          <t>S2</t>
        </is>
      </c>
      <c r="N59" s="15" t="n">
        <v>0.9547</v>
      </c>
      <c r="O59" s="15" t="n">
        <v>0.0229</v>
      </c>
      <c r="P59">
        <f>IF(M59="","",IF(M59=E59,1,0))</f>
        <v/>
      </c>
      <c r="Q59">
        <f>IF(K59="OK","-",IF(N59&lt;$B$7,"AMBIGUOUS","CONFIDENT"))</f>
        <v/>
      </c>
    </row>
    <row r="60">
      <c r="A60">
        <f>'Runs Z score'!A52</f>
        <v/>
      </c>
      <c r="B60">
        <f>'Runs Z score'!B52</f>
        <v/>
      </c>
      <c r="C60">
        <f>'Runs Z score'!C52</f>
        <v/>
      </c>
      <c r="D60">
        <f>'Runs Z score'!D52</f>
        <v/>
      </c>
      <c r="E60">
        <f>'Runs Z score'!E52</f>
        <v/>
      </c>
      <c r="F60">
        <f>'Runs Z score'!F52</f>
        <v/>
      </c>
      <c r="G60">
        <f>'Runs Z score'!G52</f>
        <v/>
      </c>
      <c r="H60">
        <f>VLOOKUP(C60,Recipes!$A$2:$N$4,10,FALSE())</f>
        <v/>
      </c>
      <c r="I60">
        <f>VLOOKUP(C60,Recipes!$A$2:$N$4,12,FALSE())</f>
        <v/>
      </c>
      <c r="J60">
        <f>IF(G60="","",H60-G60)</f>
        <v/>
      </c>
      <c r="K60">
        <f>IF(G60="","",IF(ABS(G60-H60)&lt;=$B$6*I60,"OK","NG"))</f>
        <v/>
      </c>
      <c r="L60">
        <f>IF(K60="","",IF(K60=D60,1,0))</f>
        <v/>
      </c>
      <c r="M60" t="inlineStr">
        <is>
          <t>S2</t>
        </is>
      </c>
      <c r="N60" s="15" t="n">
        <v>0.9538</v>
      </c>
      <c r="O60" s="15" t="n">
        <v>0.0241</v>
      </c>
      <c r="P60">
        <f>IF(M60="","",IF(M60=E60,1,0))</f>
        <v/>
      </c>
      <c r="Q60">
        <f>IF(K60="OK","-",IF(N60&lt;$B$7,"AMBIGUOUS","CONFIDENT"))</f>
        <v/>
      </c>
    </row>
    <row r="61">
      <c r="A61">
        <f>'Runs Z score'!A53</f>
        <v/>
      </c>
      <c r="B61">
        <f>'Runs Z score'!B53</f>
        <v/>
      </c>
      <c r="C61">
        <f>'Runs Z score'!C53</f>
        <v/>
      </c>
      <c r="D61">
        <f>'Runs Z score'!D53</f>
        <v/>
      </c>
      <c r="E61">
        <f>'Runs Z score'!E53</f>
        <v/>
      </c>
      <c r="F61">
        <f>'Runs Z score'!F53</f>
        <v/>
      </c>
      <c r="G61">
        <f>'Runs Z score'!G53</f>
        <v/>
      </c>
      <c r="H61">
        <f>VLOOKUP(C61,Recipes!$A$2:$N$4,10,FALSE())</f>
        <v/>
      </c>
      <c r="I61">
        <f>VLOOKUP(C61,Recipes!$A$2:$N$4,12,FALSE())</f>
        <v/>
      </c>
      <c r="J61">
        <f>IF(G61="","",H61-G61)</f>
        <v/>
      </c>
      <c r="K61">
        <f>IF(G61="","",IF(ABS(G61-H61)&lt;=$B$6*I61,"OK","NG"))</f>
        <v/>
      </c>
      <c r="L61">
        <f>IF(K61="","",IF(K61=D61,1,0))</f>
        <v/>
      </c>
      <c r="M61" t="inlineStr">
        <is>
          <t>S2</t>
        </is>
      </c>
      <c r="N61" s="15" t="n">
        <v>0.9611</v>
      </c>
      <c r="O61" s="15" t="n">
        <v>0.024</v>
      </c>
      <c r="P61">
        <f>IF(M61="","",IF(M61=E61,1,0))</f>
        <v/>
      </c>
      <c r="Q61">
        <f>IF(K61="OK","-",IF(N61&lt;$B$7,"AMBIGUOUS","CONFIDENT"))</f>
        <v/>
      </c>
    </row>
    <row r="62">
      <c r="A62">
        <f>'Runs Z score'!A54</f>
        <v/>
      </c>
      <c r="B62">
        <f>'Runs Z score'!B54</f>
        <v/>
      </c>
      <c r="C62">
        <f>'Runs Z score'!C54</f>
        <v/>
      </c>
      <c r="D62">
        <f>'Runs Z score'!D54</f>
        <v/>
      </c>
      <c r="E62">
        <f>'Runs Z score'!E54</f>
        <v/>
      </c>
      <c r="F62">
        <f>'Runs Z score'!F54</f>
        <v/>
      </c>
      <c r="G62">
        <f>'Runs Z score'!G54</f>
        <v/>
      </c>
      <c r="H62">
        <f>VLOOKUP(C62,Recipes!$A$2:$N$4,10,FALSE())</f>
        <v/>
      </c>
      <c r="I62">
        <f>VLOOKUP(C62,Recipes!$A$2:$N$4,12,FALSE())</f>
        <v/>
      </c>
      <c r="J62">
        <f>IF(G62="","",H62-G62)</f>
        <v/>
      </c>
      <c r="K62">
        <f>IF(G62="","",IF(ABS(G62-H62)&lt;=$B$6*I62,"OK","NG"))</f>
        <v/>
      </c>
      <c r="L62">
        <f>IF(K62="","",IF(K62=D62,1,0))</f>
        <v/>
      </c>
      <c r="M62" t="inlineStr">
        <is>
          <t>S2</t>
        </is>
      </c>
      <c r="N62" s="15" t="n">
        <v>0.9504</v>
      </c>
      <c r="O62" s="15" t="n">
        <v>0.0273</v>
      </c>
      <c r="P62">
        <f>IF(M62="","",IF(M62=E62,1,0))</f>
        <v/>
      </c>
      <c r="Q62">
        <f>IF(K62="OK","-",IF(N62&lt;$B$7,"AMBIGUOUS","CONFIDENT"))</f>
        <v/>
      </c>
    </row>
    <row r="63">
      <c r="A63">
        <f>'Runs Z score'!A55</f>
        <v/>
      </c>
      <c r="B63">
        <f>'Runs Z score'!B55</f>
        <v/>
      </c>
      <c r="C63">
        <f>'Runs Z score'!C55</f>
        <v/>
      </c>
      <c r="D63">
        <f>'Runs Z score'!D55</f>
        <v/>
      </c>
      <c r="E63">
        <f>'Runs Z score'!E55</f>
        <v/>
      </c>
      <c r="F63">
        <f>'Runs Z score'!F55</f>
        <v/>
      </c>
      <c r="G63">
        <f>'Runs Z score'!G55</f>
        <v/>
      </c>
      <c r="H63">
        <f>VLOOKUP(C63,Recipes!$A$2:$N$4,10,FALSE())</f>
        <v/>
      </c>
      <c r="I63">
        <f>VLOOKUP(C63,Recipes!$A$2:$N$4,12,FALSE())</f>
        <v/>
      </c>
      <c r="J63">
        <f>IF(G63="","",H63-G63)</f>
        <v/>
      </c>
      <c r="K63">
        <f>IF(G63="","",IF(ABS(G63-H63)&lt;=$B$6*I63,"OK","NG"))</f>
        <v/>
      </c>
      <c r="L63">
        <f>IF(K63="","",IF(K63=D63,1,0))</f>
        <v/>
      </c>
      <c r="M63" t="inlineStr">
        <is>
          <t>S2</t>
        </is>
      </c>
      <c r="N63" s="15" t="n">
        <v>0.8317</v>
      </c>
      <c r="O63" s="15" t="n">
        <v>0.1493</v>
      </c>
      <c r="P63">
        <f>IF(M63="","",IF(M63=E63,1,0))</f>
        <v/>
      </c>
      <c r="Q63">
        <f>IF(K63="OK","-",IF(N63&lt;$B$7,"AMBIGUOUS","CONFIDENT"))</f>
        <v/>
      </c>
    </row>
    <row r="64">
      <c r="A64">
        <f>'Runs Z score'!A56</f>
        <v/>
      </c>
      <c r="B64">
        <f>'Runs Z score'!B56</f>
        <v/>
      </c>
      <c r="C64">
        <f>'Runs Z score'!C56</f>
        <v/>
      </c>
      <c r="D64">
        <f>'Runs Z score'!D56</f>
        <v/>
      </c>
      <c r="E64">
        <f>'Runs Z score'!E56</f>
        <v/>
      </c>
      <c r="F64">
        <f>'Runs Z score'!F56</f>
        <v/>
      </c>
      <c r="G64">
        <f>'Runs Z score'!G56</f>
        <v/>
      </c>
      <c r="H64">
        <f>VLOOKUP(C64,Recipes!$A$2:$N$4,10,FALSE())</f>
        <v/>
      </c>
      <c r="I64">
        <f>VLOOKUP(C64,Recipes!$A$2:$N$4,12,FALSE())</f>
        <v/>
      </c>
      <c r="J64">
        <f>IF(G64="","",H64-G64)</f>
        <v/>
      </c>
      <c r="K64">
        <f>IF(G64="","",IF(ABS(G64-H64)&lt;=$B$6*I64,"OK","NG"))</f>
        <v/>
      </c>
      <c r="L64">
        <f>IF(K64="","",IF(K64=D64,1,0))</f>
        <v/>
      </c>
      <c r="M64" t="inlineStr">
        <is>
          <t>S2</t>
        </is>
      </c>
      <c r="N64" s="15" t="n">
        <v>0.9564</v>
      </c>
      <c r="O64" s="15" t="n">
        <v>0.0233</v>
      </c>
      <c r="P64">
        <f>IF(M64="","",IF(M64=E64,1,0))</f>
        <v/>
      </c>
      <c r="Q64">
        <f>IF(K64="OK","-",IF(N64&lt;$B$7,"AMBIGUOUS","CONFIDENT"))</f>
        <v/>
      </c>
    </row>
    <row r="65">
      <c r="A65">
        <f>'Runs Z score'!A57</f>
        <v/>
      </c>
      <c r="B65">
        <f>'Runs Z score'!B57</f>
        <v/>
      </c>
      <c r="C65">
        <f>'Runs Z score'!C57</f>
        <v/>
      </c>
      <c r="D65">
        <f>'Runs Z score'!D57</f>
        <v/>
      </c>
      <c r="E65">
        <f>'Runs Z score'!E57</f>
        <v/>
      </c>
      <c r="F65">
        <f>'Runs Z score'!F57</f>
        <v/>
      </c>
      <c r="G65">
        <f>'Runs Z score'!G57</f>
        <v/>
      </c>
      <c r="H65">
        <f>VLOOKUP(C65,Recipes!$A$2:$N$4,10,FALSE())</f>
        <v/>
      </c>
      <c r="I65">
        <f>VLOOKUP(C65,Recipes!$A$2:$N$4,12,FALSE())</f>
        <v/>
      </c>
      <c r="J65">
        <f>IF(G65="","",H65-G65)</f>
        <v/>
      </c>
      <c r="K65">
        <f>IF(G65="","",IF(ABS(G65-H65)&lt;=$B$6*I65,"OK","NG"))</f>
        <v/>
      </c>
      <c r="L65">
        <f>IF(K65="","",IF(K65=D65,1,0))</f>
        <v/>
      </c>
      <c r="M65" t="inlineStr">
        <is>
          <t>S2</t>
        </is>
      </c>
      <c r="N65" s="15" t="n">
        <v>0.9477</v>
      </c>
      <c r="O65" s="15" t="n">
        <v>0.0307</v>
      </c>
      <c r="P65">
        <f>IF(M65="","",IF(M65=E65,1,0))</f>
        <v/>
      </c>
      <c r="Q65">
        <f>IF(K65="OK","-",IF(N65&lt;$B$7,"AMBIGUOUS","CONFIDENT"))</f>
        <v/>
      </c>
    </row>
    <row r="66">
      <c r="A66">
        <f>'Runs Z score'!A58</f>
        <v/>
      </c>
      <c r="B66">
        <f>'Runs Z score'!B58</f>
        <v/>
      </c>
      <c r="C66">
        <f>'Runs Z score'!C58</f>
        <v/>
      </c>
      <c r="D66">
        <f>'Runs Z score'!D58</f>
        <v/>
      </c>
      <c r="E66">
        <f>'Runs Z score'!E58</f>
        <v/>
      </c>
      <c r="F66">
        <f>'Runs Z score'!F58</f>
        <v/>
      </c>
      <c r="G66">
        <f>'Runs Z score'!G58</f>
        <v/>
      </c>
      <c r="H66">
        <f>VLOOKUP(C66,Recipes!$A$2:$N$4,10,FALSE())</f>
        <v/>
      </c>
      <c r="I66">
        <f>VLOOKUP(C66,Recipes!$A$2:$N$4,12,FALSE())</f>
        <v/>
      </c>
      <c r="J66">
        <f>IF(G66="","",H66-G66)</f>
        <v/>
      </c>
      <c r="K66">
        <f>IF(G66="","",IF(ABS(G66-H66)&lt;=$B$6*I66,"OK","NG"))</f>
        <v/>
      </c>
      <c r="L66">
        <f>IF(K66="","",IF(K66=D66,1,0))</f>
        <v/>
      </c>
      <c r="M66" t="inlineStr">
        <is>
          <t>S2</t>
        </is>
      </c>
      <c r="N66" s="15" t="n">
        <v>0.9472</v>
      </c>
      <c r="O66" s="15" t="n">
        <v>0.03</v>
      </c>
      <c r="P66">
        <f>IF(M66="","",IF(M66=E66,1,0))</f>
        <v/>
      </c>
      <c r="Q66">
        <f>IF(K66="OK","-",IF(N66&lt;$B$7,"AMBIGUOUS","CONFIDENT"))</f>
        <v/>
      </c>
    </row>
    <row r="67">
      <c r="A67">
        <f>'Runs Z score'!A59</f>
        <v/>
      </c>
      <c r="B67">
        <f>'Runs Z score'!B59</f>
        <v/>
      </c>
      <c r="C67">
        <f>'Runs Z score'!C59</f>
        <v/>
      </c>
      <c r="D67">
        <f>'Runs Z score'!D59</f>
        <v/>
      </c>
      <c r="E67">
        <f>'Runs Z score'!E59</f>
        <v/>
      </c>
      <c r="F67">
        <f>'Runs Z score'!F59</f>
        <v/>
      </c>
      <c r="G67">
        <f>'Runs Z score'!G59</f>
        <v/>
      </c>
      <c r="H67">
        <f>VLOOKUP(C67,Recipes!$A$2:$N$4,10,FALSE())</f>
        <v/>
      </c>
      <c r="I67">
        <f>VLOOKUP(C67,Recipes!$A$2:$N$4,12,FALSE())</f>
        <v/>
      </c>
      <c r="J67">
        <f>IF(G67="","",H67-G67)</f>
        <v/>
      </c>
      <c r="K67">
        <f>IF(G67="","",IF(ABS(G67-H67)&lt;=$B$6*I67,"OK","NG"))</f>
        <v/>
      </c>
      <c r="L67">
        <f>IF(K67="","",IF(K67=D67,1,0))</f>
        <v/>
      </c>
      <c r="M67" t="inlineStr">
        <is>
          <t>S2</t>
        </is>
      </c>
      <c r="N67" s="15" t="n">
        <v>0.9343</v>
      </c>
      <c r="O67" s="15" t="n">
        <v>0.0444</v>
      </c>
      <c r="P67">
        <f>IF(M67="","",IF(M67=E67,1,0))</f>
        <v/>
      </c>
      <c r="Q67">
        <f>IF(K67="OK","-",IF(N67&lt;$B$7,"AMBIGUOUS","CONFIDENT"))</f>
        <v/>
      </c>
    </row>
    <row r="68">
      <c r="A68">
        <f>'Runs Z score'!A60</f>
        <v/>
      </c>
      <c r="B68">
        <f>'Runs Z score'!B60</f>
        <v/>
      </c>
      <c r="C68">
        <f>'Runs Z score'!C60</f>
        <v/>
      </c>
      <c r="D68">
        <f>'Runs Z score'!D60</f>
        <v/>
      </c>
      <c r="E68">
        <f>'Runs Z score'!E60</f>
        <v/>
      </c>
      <c r="F68">
        <f>'Runs Z score'!F60</f>
        <v/>
      </c>
      <c r="G68">
        <f>'Runs Z score'!G60</f>
        <v/>
      </c>
      <c r="H68">
        <f>VLOOKUP(C68,Recipes!$A$2:$N$4,10,FALSE())</f>
        <v/>
      </c>
      <c r="I68">
        <f>VLOOKUP(C68,Recipes!$A$2:$N$4,12,FALSE())</f>
        <v/>
      </c>
      <c r="J68">
        <f>IF(G68="","",H68-G68)</f>
        <v/>
      </c>
      <c r="K68">
        <f>IF(G68="","",IF(ABS(G68-H68)&lt;=$B$6*I68,"OK","NG"))</f>
        <v/>
      </c>
      <c r="L68">
        <f>IF(K68="","",IF(K68=D68,1,0))</f>
        <v/>
      </c>
      <c r="M68" t="inlineStr">
        <is>
          <t>S2</t>
        </is>
      </c>
      <c r="N68" s="15" t="n">
        <v>0.949</v>
      </c>
      <c r="O68" s="15" t="n">
        <v>0.0286</v>
      </c>
      <c r="P68">
        <f>IF(M68="","",IF(M68=E68,1,0))</f>
        <v/>
      </c>
      <c r="Q68">
        <f>IF(K68="OK","-",IF(N68&lt;$B$7,"AMBIGUOUS","CONFIDENT"))</f>
        <v/>
      </c>
    </row>
    <row r="69">
      <c r="A69">
        <f>'Runs Z score'!A61</f>
        <v/>
      </c>
      <c r="B69">
        <f>'Runs Z score'!B61</f>
        <v/>
      </c>
      <c r="C69">
        <f>'Runs Z score'!C61</f>
        <v/>
      </c>
      <c r="D69">
        <f>'Runs Z score'!D61</f>
        <v/>
      </c>
      <c r="E69">
        <f>'Runs Z score'!E61</f>
        <v/>
      </c>
      <c r="F69">
        <f>'Runs Z score'!F61</f>
        <v/>
      </c>
      <c r="G69">
        <f>'Runs Z score'!G61</f>
        <v/>
      </c>
      <c r="H69">
        <f>VLOOKUP(C69,Recipes!$A$2:$N$4,10,FALSE())</f>
        <v/>
      </c>
      <c r="I69">
        <f>VLOOKUP(C69,Recipes!$A$2:$N$4,12,FALSE())</f>
        <v/>
      </c>
      <c r="J69">
        <f>IF(G69="","",H69-G69)</f>
        <v/>
      </c>
      <c r="K69">
        <f>IF(G69="","",IF(ABS(G69-H69)&lt;=$B$6*I69,"OK","NG"))</f>
        <v/>
      </c>
      <c r="L69">
        <f>IF(K69="","",IF(K69=D69,1,0))</f>
        <v/>
      </c>
      <c r="M69" t="inlineStr">
        <is>
          <t>W2</t>
        </is>
      </c>
      <c r="N69" s="15" t="n">
        <v>0.9391</v>
      </c>
      <c r="O69" s="15" t="n">
        <v>0.0416</v>
      </c>
      <c r="P69">
        <f>IF(M69="","",IF(M69=E69,1,0))</f>
        <v/>
      </c>
      <c r="Q69">
        <f>IF(K69="OK","-",IF(N69&lt;$B$7,"AMBIGUOUS","CONFIDENT"))</f>
        <v/>
      </c>
    </row>
    <row r="70">
      <c r="A70">
        <f>'Runs Z score'!A62</f>
        <v/>
      </c>
      <c r="B70">
        <f>'Runs Z score'!B62</f>
        <v/>
      </c>
      <c r="C70">
        <f>'Runs Z score'!C62</f>
        <v/>
      </c>
      <c r="D70">
        <f>'Runs Z score'!D62</f>
        <v/>
      </c>
      <c r="E70">
        <f>'Runs Z score'!E62</f>
        <v/>
      </c>
      <c r="F70">
        <f>'Runs Z score'!F62</f>
        <v/>
      </c>
      <c r="G70">
        <f>'Runs Z score'!G62</f>
        <v/>
      </c>
      <c r="H70">
        <f>VLOOKUP(C70,Recipes!$A$2:$N$4,10,FALSE())</f>
        <v/>
      </c>
      <c r="I70">
        <f>VLOOKUP(C70,Recipes!$A$2:$N$4,12,FALSE())</f>
        <v/>
      </c>
      <c r="J70">
        <f>IF(G70="","",H70-G70)</f>
        <v/>
      </c>
      <c r="K70">
        <f>IF(G70="","",IF(ABS(G70-H70)&lt;=$B$6*I70,"OK","NG"))</f>
        <v/>
      </c>
      <c r="L70">
        <f>IF(K70="","",IF(K70=D70,1,0))</f>
        <v/>
      </c>
      <c r="M70" t="inlineStr">
        <is>
          <t>S2</t>
        </is>
      </c>
      <c r="N70" s="15" t="n">
        <v>0.861</v>
      </c>
      <c r="O70" s="15" t="n">
        <v>0.1196</v>
      </c>
      <c r="P70">
        <f>IF(M70="","",IF(M70=E70,1,0))</f>
        <v/>
      </c>
      <c r="Q70">
        <f>IF(K70="OK","-",IF(N70&lt;$B$7,"AMBIGUOUS","CONFIDENT"))</f>
        <v/>
      </c>
    </row>
    <row r="71">
      <c r="A71">
        <f>'Runs Z score'!A63</f>
        <v/>
      </c>
      <c r="B71">
        <f>'Runs Z score'!B63</f>
        <v/>
      </c>
      <c r="C71">
        <f>'Runs Z score'!C63</f>
        <v/>
      </c>
      <c r="D71">
        <f>'Runs Z score'!D63</f>
        <v/>
      </c>
      <c r="E71">
        <f>'Runs Z score'!E63</f>
        <v/>
      </c>
      <c r="F71">
        <f>'Runs Z score'!F63</f>
        <v/>
      </c>
      <c r="G71">
        <f>'Runs Z score'!G63</f>
        <v/>
      </c>
      <c r="H71">
        <f>VLOOKUP(C71,Recipes!$A$2:$N$4,10,FALSE())</f>
        <v/>
      </c>
      <c r="I71">
        <f>VLOOKUP(C71,Recipes!$A$2:$N$4,12,FALSE())</f>
        <v/>
      </c>
      <c r="J71">
        <f>IF(G71="","",H71-G71)</f>
        <v/>
      </c>
      <c r="K71">
        <f>IF(G71="","",IF(ABS(G71-H71)&lt;=$B$6*I71,"OK","NG"))</f>
        <v/>
      </c>
      <c r="L71">
        <f>IF(K71="","",IF(K71=D71,1,0))</f>
        <v/>
      </c>
      <c r="M71" t="inlineStr">
        <is>
          <t>W2</t>
        </is>
      </c>
      <c r="N71" s="15" t="n">
        <v>0.9026</v>
      </c>
      <c r="O71" s="15" t="n">
        <v>0.07829999999999999</v>
      </c>
      <c r="P71">
        <f>IF(M71="","",IF(M71=E71,1,0))</f>
        <v/>
      </c>
      <c r="Q71">
        <f>IF(K71="OK","-",IF(N71&lt;$B$7,"AMBIGUOUS","CONFIDENT"))</f>
        <v/>
      </c>
    </row>
    <row r="72">
      <c r="A72">
        <f>'Runs Z score'!A64</f>
        <v/>
      </c>
      <c r="B72">
        <f>'Runs Z score'!B64</f>
        <v/>
      </c>
      <c r="C72">
        <f>'Runs Z score'!C64</f>
        <v/>
      </c>
      <c r="D72">
        <f>'Runs Z score'!D64</f>
        <v/>
      </c>
      <c r="E72">
        <f>'Runs Z score'!E64</f>
        <v/>
      </c>
      <c r="F72">
        <f>'Runs Z score'!F64</f>
        <v/>
      </c>
      <c r="G72">
        <f>'Runs Z score'!G64</f>
        <v/>
      </c>
      <c r="H72">
        <f>VLOOKUP(C72,Recipes!$A$2:$N$4,10,FALSE())</f>
        <v/>
      </c>
      <c r="I72">
        <f>VLOOKUP(C72,Recipes!$A$2:$N$4,12,FALSE())</f>
        <v/>
      </c>
      <c r="J72">
        <f>IF(G72="","",H72-G72)</f>
        <v/>
      </c>
      <c r="K72">
        <f>IF(G72="","",IF(ABS(G72-H72)&lt;=$B$6*I72,"OK","NG"))</f>
        <v/>
      </c>
      <c r="L72">
        <f>IF(K72="","",IF(K72=D72,1,0))</f>
        <v/>
      </c>
      <c r="M72" t="inlineStr">
        <is>
          <t>W2</t>
        </is>
      </c>
      <c r="N72" s="15" t="n">
        <v>0.8491</v>
      </c>
      <c r="O72" s="15" t="n">
        <v>0.1315</v>
      </c>
      <c r="P72">
        <f>IF(M72="","",IF(M72=E72,1,0))</f>
        <v/>
      </c>
      <c r="Q72">
        <f>IF(K72="OK","-",IF(N72&lt;$B$7,"AMBIGUOUS","CONFIDENT"))</f>
        <v/>
      </c>
    </row>
    <row r="73">
      <c r="A73">
        <f>'Runs Z score'!A65</f>
        <v/>
      </c>
      <c r="B73">
        <f>'Runs Z score'!B65</f>
        <v/>
      </c>
      <c r="C73">
        <f>'Runs Z score'!C65</f>
        <v/>
      </c>
      <c r="D73">
        <f>'Runs Z score'!D65</f>
        <v/>
      </c>
      <c r="E73">
        <f>'Runs Z score'!E65</f>
        <v/>
      </c>
      <c r="F73">
        <f>'Runs Z score'!F65</f>
        <v/>
      </c>
      <c r="G73">
        <f>'Runs Z score'!G65</f>
        <v/>
      </c>
      <c r="H73">
        <f>VLOOKUP(C73,Recipes!$A$2:$N$4,10,FALSE())</f>
        <v/>
      </c>
      <c r="I73">
        <f>VLOOKUP(C73,Recipes!$A$2:$N$4,12,FALSE())</f>
        <v/>
      </c>
      <c r="J73">
        <f>IF(G73="","",H73-G73)</f>
        <v/>
      </c>
      <c r="K73">
        <f>IF(G73="","",IF(ABS(G73-H73)&lt;=$B$6*I73,"OK","NG"))</f>
        <v/>
      </c>
      <c r="L73">
        <f>IF(K73="","",IF(K73=D73,1,0))</f>
        <v/>
      </c>
      <c r="M73" t="inlineStr">
        <is>
          <t>W2</t>
        </is>
      </c>
      <c r="N73" s="15" t="n">
        <v>0.9278</v>
      </c>
      <c r="O73" s="15" t="n">
        <v>0.0526</v>
      </c>
      <c r="P73">
        <f>IF(M73="","",IF(M73=E73,1,0))</f>
        <v/>
      </c>
      <c r="Q73">
        <f>IF(K73="OK","-",IF(N73&lt;$B$7,"AMBIGUOUS","CONFIDENT"))</f>
        <v/>
      </c>
    </row>
    <row r="74">
      <c r="A74">
        <f>'Runs Z score'!A66</f>
        <v/>
      </c>
      <c r="B74">
        <f>'Runs Z score'!B66</f>
        <v/>
      </c>
      <c r="C74">
        <f>'Runs Z score'!C66</f>
        <v/>
      </c>
      <c r="D74">
        <f>'Runs Z score'!D66</f>
        <v/>
      </c>
      <c r="E74">
        <f>'Runs Z score'!E66</f>
        <v/>
      </c>
      <c r="F74">
        <f>'Runs Z score'!F66</f>
        <v/>
      </c>
      <c r="G74">
        <f>'Runs Z score'!G66</f>
        <v/>
      </c>
      <c r="H74">
        <f>VLOOKUP(C74,Recipes!$A$2:$N$4,10,FALSE())</f>
        <v/>
      </c>
      <c r="I74">
        <f>VLOOKUP(C74,Recipes!$A$2:$N$4,12,FALSE())</f>
        <v/>
      </c>
      <c r="J74">
        <f>IF(G74="","",H74-G74)</f>
        <v/>
      </c>
      <c r="K74">
        <f>IF(G74="","",IF(ABS(G74-H74)&lt;=$B$6*I74,"OK","NG"))</f>
        <v/>
      </c>
      <c r="L74">
        <f>IF(K74="","",IF(K74=D74,1,0))</f>
        <v/>
      </c>
      <c r="M74" t="inlineStr">
        <is>
          <t>W2</t>
        </is>
      </c>
      <c r="N74" s="15" t="n">
        <v>0.8878</v>
      </c>
      <c r="O74" s="15" t="n">
        <v>0.0924</v>
      </c>
      <c r="P74">
        <f>IF(M74="","",IF(M74=E74,1,0))</f>
        <v/>
      </c>
      <c r="Q74">
        <f>IF(K74="OK","-",IF(N74&lt;$B$7,"AMBIGUOUS","CONFIDENT"))</f>
        <v/>
      </c>
    </row>
    <row r="75">
      <c r="A75">
        <f>'Runs Z score'!A67</f>
        <v/>
      </c>
      <c r="B75">
        <f>'Runs Z score'!B67</f>
        <v/>
      </c>
      <c r="C75">
        <f>'Runs Z score'!C67</f>
        <v/>
      </c>
      <c r="D75">
        <f>'Runs Z score'!D67</f>
        <v/>
      </c>
      <c r="E75">
        <f>'Runs Z score'!E67</f>
        <v/>
      </c>
      <c r="F75">
        <f>'Runs Z score'!F67</f>
        <v/>
      </c>
      <c r="G75">
        <f>'Runs Z score'!G67</f>
        <v/>
      </c>
      <c r="H75">
        <f>VLOOKUP(C75,Recipes!$A$2:$N$4,10,FALSE())</f>
        <v/>
      </c>
      <c r="I75">
        <f>VLOOKUP(C75,Recipes!$A$2:$N$4,12,FALSE())</f>
        <v/>
      </c>
      <c r="J75">
        <f>IF(G75="","",H75-G75)</f>
        <v/>
      </c>
      <c r="K75">
        <f>IF(G75="","",IF(ABS(G75-H75)&lt;=$B$6*I75,"OK","NG"))</f>
        <v/>
      </c>
      <c r="L75">
        <f>IF(K75="","",IF(K75=D75,1,0))</f>
        <v/>
      </c>
      <c r="M75" t="inlineStr">
        <is>
          <t>W2</t>
        </is>
      </c>
      <c r="N75" s="15" t="n">
        <v>0.8853</v>
      </c>
      <c r="O75" s="15" t="n">
        <v>0.0949</v>
      </c>
      <c r="P75">
        <f>IF(M75="","",IF(M75=E75,1,0))</f>
        <v/>
      </c>
      <c r="Q75">
        <f>IF(K75="OK","-",IF(N75&lt;$B$7,"AMBIGUOUS","CONFIDENT"))</f>
        <v/>
      </c>
    </row>
    <row r="76">
      <c r="A76">
        <f>'Runs Z score'!A68</f>
        <v/>
      </c>
      <c r="B76">
        <f>'Runs Z score'!B68</f>
        <v/>
      </c>
      <c r="C76">
        <f>'Runs Z score'!C68</f>
        <v/>
      </c>
      <c r="D76">
        <f>'Runs Z score'!D68</f>
        <v/>
      </c>
      <c r="E76">
        <f>'Runs Z score'!E68</f>
        <v/>
      </c>
      <c r="F76">
        <f>'Runs Z score'!F68</f>
        <v/>
      </c>
      <c r="G76">
        <f>'Runs Z score'!G68</f>
        <v/>
      </c>
      <c r="H76">
        <f>VLOOKUP(C76,Recipes!$A$2:$N$4,10,FALSE())</f>
        <v/>
      </c>
      <c r="I76">
        <f>VLOOKUP(C76,Recipes!$A$2:$N$4,12,FALSE())</f>
        <v/>
      </c>
      <c r="J76">
        <f>IF(G76="","",H76-G76)</f>
        <v/>
      </c>
      <c r="K76">
        <f>IF(G76="","",IF(ABS(G76-H76)&lt;=$B$6*I76,"OK","NG"))</f>
        <v/>
      </c>
      <c r="L76">
        <f>IF(K76="","",IF(K76=D76,1,0))</f>
        <v/>
      </c>
      <c r="M76" t="inlineStr">
        <is>
          <t>W2</t>
        </is>
      </c>
      <c r="N76" s="15" t="n">
        <v>0.8875999999999999</v>
      </c>
      <c r="O76" s="15" t="n">
        <v>0.0926</v>
      </c>
      <c r="P76">
        <f>IF(M76="","",IF(M76=E76,1,0))</f>
        <v/>
      </c>
      <c r="Q76">
        <f>IF(K76="OK","-",IF(N76&lt;$B$7,"AMBIGUOUS","CONFIDENT"))</f>
        <v/>
      </c>
    </row>
    <row r="77">
      <c r="A77">
        <f>'Runs Z score'!A69</f>
        <v/>
      </c>
      <c r="B77">
        <f>'Runs Z score'!B69</f>
        <v/>
      </c>
      <c r="C77">
        <f>'Runs Z score'!C69</f>
        <v/>
      </c>
      <c r="D77">
        <f>'Runs Z score'!D69</f>
        <v/>
      </c>
      <c r="E77">
        <f>'Runs Z score'!E69</f>
        <v/>
      </c>
      <c r="F77">
        <f>'Runs Z score'!F69</f>
        <v/>
      </c>
      <c r="G77">
        <f>'Runs Z score'!G69</f>
        <v/>
      </c>
      <c r="H77">
        <f>VLOOKUP(C77,Recipes!$A$2:$N$4,10,FALSE())</f>
        <v/>
      </c>
      <c r="I77">
        <f>VLOOKUP(C77,Recipes!$A$2:$N$4,12,FALSE())</f>
        <v/>
      </c>
      <c r="J77">
        <f>IF(G77="","",H77-G77)</f>
        <v/>
      </c>
      <c r="K77">
        <f>IF(G77="","",IF(ABS(G77-H77)&lt;=$B$6*I77,"OK","NG"))</f>
        <v/>
      </c>
      <c r="L77">
        <f>IF(K77="","",IF(K77=D77,1,0))</f>
        <v/>
      </c>
      <c r="M77" t="inlineStr">
        <is>
          <t>W2</t>
        </is>
      </c>
      <c r="N77" s="15" t="n">
        <v>0.9055</v>
      </c>
      <c r="O77" s="15" t="n">
        <v>0.0743</v>
      </c>
      <c r="P77">
        <f>IF(M77="","",IF(M77=E77,1,0))</f>
        <v/>
      </c>
      <c r="Q77">
        <f>IF(K77="OK","-",IF(N77&lt;$B$7,"AMBIGUOUS","CONFIDENT"))</f>
        <v/>
      </c>
    </row>
    <row r="78">
      <c r="A78">
        <f>'Runs Z score'!A70</f>
        <v/>
      </c>
      <c r="B78">
        <f>'Runs Z score'!B70</f>
        <v/>
      </c>
      <c r="C78">
        <f>'Runs Z score'!C70</f>
        <v/>
      </c>
      <c r="D78">
        <f>'Runs Z score'!D70</f>
        <v/>
      </c>
      <c r="E78">
        <f>'Runs Z score'!E70</f>
        <v/>
      </c>
      <c r="F78">
        <f>'Runs Z score'!F70</f>
        <v/>
      </c>
      <c r="G78">
        <f>'Runs Z score'!G70</f>
        <v/>
      </c>
      <c r="H78">
        <f>VLOOKUP(C78,Recipes!$A$2:$N$4,10,FALSE())</f>
        <v/>
      </c>
      <c r="I78">
        <f>VLOOKUP(C78,Recipes!$A$2:$N$4,12,FALSE())</f>
        <v/>
      </c>
      <c r="J78">
        <f>IF(G78="","",H78-G78)</f>
        <v/>
      </c>
      <c r="K78">
        <f>IF(G78="","",IF(ABS(G78-H78)&lt;=$B$6*I78,"OK","NG"))</f>
        <v/>
      </c>
      <c r="L78">
        <f>IF(K78="","",IF(K78=D78,1,0))</f>
        <v/>
      </c>
      <c r="M78" t="inlineStr">
        <is>
          <t>W2</t>
        </is>
      </c>
      <c r="N78" s="15" t="n">
        <v>0.8964</v>
      </c>
      <c r="O78" s="15" t="n">
        <v>0.0839</v>
      </c>
      <c r="P78">
        <f>IF(M78="","",IF(M78=E78,1,0))</f>
        <v/>
      </c>
      <c r="Q78">
        <f>IF(K78="OK","-",IF(N78&lt;$B$7,"AMBIGUOUS","CONFIDENT"))</f>
        <v/>
      </c>
    </row>
    <row r="79">
      <c r="A79">
        <f>'Runs Z score'!A71</f>
        <v/>
      </c>
      <c r="B79">
        <f>'Runs Z score'!B71</f>
        <v/>
      </c>
      <c r="C79">
        <f>'Runs Z score'!C71</f>
        <v/>
      </c>
      <c r="D79">
        <f>'Runs Z score'!D71</f>
        <v/>
      </c>
      <c r="E79">
        <f>'Runs Z score'!E71</f>
        <v/>
      </c>
      <c r="F79">
        <f>'Runs Z score'!F71</f>
        <v/>
      </c>
      <c r="G79">
        <f>'Runs Z score'!G71</f>
        <v/>
      </c>
      <c r="H79">
        <f>VLOOKUP(C79,Recipes!$A$2:$N$4,10,FALSE())</f>
        <v/>
      </c>
      <c r="I79">
        <f>VLOOKUP(C79,Recipes!$A$2:$N$4,12,FALSE())</f>
        <v/>
      </c>
      <c r="J79">
        <f>IF(G79="","",H79-G79)</f>
        <v/>
      </c>
      <c r="K79">
        <f>IF(G79="","",IF(ABS(G79-H79)&lt;=$B$6*I79,"OK","NG"))</f>
        <v/>
      </c>
      <c r="L79">
        <f>IF(K79="","",IF(K79=D79,1,0))</f>
        <v/>
      </c>
      <c r="M79" t="inlineStr">
        <is>
          <t>W2</t>
        </is>
      </c>
      <c r="N79" s="15" t="n">
        <v>0.9183</v>
      </c>
      <c r="O79" s="15" t="n">
        <v>0.06279999999999999</v>
      </c>
      <c r="P79">
        <f>IF(M79="","",IF(M79=E79,1,0))</f>
        <v/>
      </c>
      <c r="Q79">
        <f>IF(K79="OK","-",IF(N79&lt;$B$7,"AMBIGUOUS","CONFIDENT"))</f>
        <v/>
      </c>
    </row>
    <row r="80">
      <c r="A80">
        <f>'Runs Z score'!A72</f>
        <v/>
      </c>
      <c r="B80">
        <f>'Runs Z score'!B72</f>
        <v/>
      </c>
      <c r="C80">
        <f>'Runs Z score'!C72</f>
        <v/>
      </c>
      <c r="D80">
        <f>'Runs Z score'!D72</f>
        <v/>
      </c>
      <c r="E80">
        <f>'Runs Z score'!E72</f>
        <v/>
      </c>
      <c r="F80">
        <f>'Runs Z score'!F72</f>
        <v/>
      </c>
      <c r="G80">
        <f>'Runs Z score'!G72</f>
        <v/>
      </c>
      <c r="H80">
        <f>VLOOKUP(C80,Recipes!$A$2:$N$4,10,FALSE())</f>
        <v/>
      </c>
      <c r="I80">
        <f>VLOOKUP(C80,Recipes!$A$2:$N$4,12,FALSE())</f>
        <v/>
      </c>
      <c r="J80">
        <f>IF(G80="","",H80-G80)</f>
        <v/>
      </c>
      <c r="K80">
        <f>IF(G80="","",IF(ABS(G80-H80)&lt;=$B$6*I80,"OK","NG"))</f>
        <v/>
      </c>
      <c r="L80">
        <f>IF(K80="","",IF(K80=D80,1,0))</f>
        <v/>
      </c>
      <c r="M80" t="inlineStr">
        <is>
          <t>W2</t>
        </is>
      </c>
      <c r="N80" s="15" t="n">
        <v>0.9266</v>
      </c>
      <c r="O80" s="15" t="n">
        <v>0.0546</v>
      </c>
      <c r="P80">
        <f>IF(M80="","",IF(M80=E80,1,0))</f>
        <v/>
      </c>
      <c r="Q80">
        <f>IF(K80="OK","-",IF(N80&lt;$B$7,"AMBIGUOUS","CONFIDENT"))</f>
        <v/>
      </c>
    </row>
    <row r="81">
      <c r="A81">
        <f>'Runs Z score'!A73</f>
        <v/>
      </c>
      <c r="B81">
        <f>'Runs Z score'!B73</f>
        <v/>
      </c>
      <c r="C81">
        <f>'Runs Z score'!C73</f>
        <v/>
      </c>
      <c r="D81">
        <f>'Runs Z score'!D73</f>
        <v/>
      </c>
      <c r="E81">
        <f>'Runs Z score'!E73</f>
        <v/>
      </c>
      <c r="F81">
        <f>'Runs Z score'!F73</f>
        <v/>
      </c>
      <c r="G81">
        <f>'Runs Z score'!G73</f>
        <v/>
      </c>
      <c r="H81">
        <f>VLOOKUP(C81,Recipes!$A$2:$N$4,10,FALSE())</f>
        <v/>
      </c>
      <c r="I81">
        <f>VLOOKUP(C81,Recipes!$A$2:$N$4,12,FALSE())</f>
        <v/>
      </c>
      <c r="J81">
        <f>IF(G81="","",H81-G81)</f>
        <v/>
      </c>
      <c r="K81">
        <f>IF(G81="","",IF(ABS(G81-H81)&lt;=$B$6*I81,"OK","NG"))</f>
        <v/>
      </c>
      <c r="L81">
        <f>IF(K81="","",IF(K81=D81,1,0))</f>
        <v/>
      </c>
      <c r="M81" t="inlineStr">
        <is>
          <t>W2</t>
        </is>
      </c>
      <c r="N81" s="15" t="n">
        <v>0.9323</v>
      </c>
      <c r="O81" s="15" t="n">
        <v>0.0491</v>
      </c>
      <c r="P81">
        <f>IF(M81="","",IF(M81=E81,1,0))</f>
        <v/>
      </c>
      <c r="Q81">
        <f>IF(K81="OK","-",IF(N81&lt;$B$7,"AMBIGUOUS","CONFIDENT"))</f>
        <v/>
      </c>
    </row>
    <row r="82">
      <c r="A82">
        <f>'Runs Z score'!A74</f>
        <v/>
      </c>
      <c r="B82">
        <f>'Runs Z score'!B74</f>
        <v/>
      </c>
      <c r="C82">
        <f>'Runs Z score'!C74</f>
        <v/>
      </c>
      <c r="D82">
        <f>'Runs Z score'!D74</f>
        <v/>
      </c>
      <c r="E82">
        <f>'Runs Z score'!E74</f>
        <v/>
      </c>
      <c r="F82">
        <f>'Runs Z score'!F74</f>
        <v/>
      </c>
      <c r="G82">
        <f>'Runs Z score'!G74</f>
        <v/>
      </c>
      <c r="H82">
        <f>VLOOKUP(C82,Recipes!$A$2:$N$4,10,FALSE())</f>
        <v/>
      </c>
      <c r="I82">
        <f>VLOOKUP(C82,Recipes!$A$2:$N$4,12,FALSE())</f>
        <v/>
      </c>
      <c r="J82">
        <f>IF(G82="","",H82-G82)</f>
        <v/>
      </c>
      <c r="K82">
        <f>IF(G82="","",IF(ABS(G82-H82)&lt;=$B$6*I82,"OK","NG"))</f>
        <v/>
      </c>
      <c r="L82">
        <f>IF(K82="","",IF(K82=D82,1,0))</f>
        <v/>
      </c>
      <c r="M82" t="inlineStr">
        <is>
          <t>W2</t>
        </is>
      </c>
      <c r="N82" s="15" t="n">
        <v>0.9338</v>
      </c>
      <c r="O82" s="15" t="n">
        <v>0.0468</v>
      </c>
      <c r="P82">
        <f>IF(M82="","",IF(M82=E82,1,0))</f>
        <v/>
      </c>
      <c r="Q82">
        <f>IF(K82="OK","-",IF(N82&lt;$B$7,"AMBIGUOUS","CONFIDENT"))</f>
        <v/>
      </c>
    </row>
    <row r="83">
      <c r="A83">
        <f>'Runs Z score'!A75</f>
        <v/>
      </c>
      <c r="B83">
        <f>'Runs Z score'!B75</f>
        <v/>
      </c>
      <c r="C83">
        <f>'Runs Z score'!C75</f>
        <v/>
      </c>
      <c r="D83">
        <f>'Runs Z score'!D75</f>
        <v/>
      </c>
      <c r="E83">
        <f>'Runs Z score'!E75</f>
        <v/>
      </c>
      <c r="F83">
        <f>'Runs Z score'!F75</f>
        <v/>
      </c>
      <c r="G83">
        <f>'Runs Z score'!G75</f>
        <v/>
      </c>
      <c r="H83">
        <f>VLOOKUP(C83,Recipes!$A$2:$N$4,10,FALSE())</f>
        <v/>
      </c>
      <c r="I83">
        <f>VLOOKUP(C83,Recipes!$A$2:$N$4,12,FALSE())</f>
        <v/>
      </c>
      <c r="J83">
        <f>IF(G83="","",H83-G83)</f>
        <v/>
      </c>
      <c r="K83">
        <f>IF(G83="","",IF(ABS(G83-H83)&lt;=$B$6*I83,"OK","NG"))</f>
        <v/>
      </c>
      <c r="L83">
        <f>IF(K83="","",IF(K83=D83,1,0))</f>
        <v/>
      </c>
      <c r="M83" t="inlineStr">
        <is>
          <t>W2</t>
        </is>
      </c>
      <c r="N83" s="15" t="n">
        <v>0.9247</v>
      </c>
      <c r="O83" s="15" t="n">
        <v>0.0566</v>
      </c>
      <c r="P83">
        <f>IF(M83="","",IF(M83=E83,1,0))</f>
        <v/>
      </c>
      <c r="Q83">
        <f>IF(K83="OK","-",IF(N83&lt;$B$7,"AMBIGUOUS","CONFIDENT"))</f>
        <v/>
      </c>
    </row>
    <row r="84">
      <c r="A84">
        <f>'Runs Z score'!A76</f>
        <v/>
      </c>
      <c r="B84">
        <f>'Runs Z score'!B76</f>
        <v/>
      </c>
      <c r="C84">
        <f>'Runs Z score'!C76</f>
        <v/>
      </c>
      <c r="D84">
        <f>'Runs Z score'!D76</f>
        <v/>
      </c>
      <c r="E84">
        <f>'Runs Z score'!E76</f>
        <v/>
      </c>
      <c r="F84">
        <f>'Runs Z score'!F76</f>
        <v/>
      </c>
      <c r="G84">
        <f>'Runs Z score'!G76</f>
        <v/>
      </c>
      <c r="H84">
        <f>VLOOKUP(C84,Recipes!$A$2:$N$4,10,FALSE())</f>
        <v/>
      </c>
      <c r="I84">
        <f>VLOOKUP(C84,Recipes!$A$2:$N$4,12,FALSE())</f>
        <v/>
      </c>
      <c r="J84">
        <f>IF(G84="","",H84-G84)</f>
        <v/>
      </c>
      <c r="K84">
        <f>IF(G84="","",IF(ABS(G84-H84)&lt;=$B$6*I84,"OK","NG"))</f>
        <v/>
      </c>
      <c r="L84">
        <f>IF(K84="","",IF(K84=D84,1,0))</f>
        <v/>
      </c>
      <c r="M84" t="inlineStr">
        <is>
          <t>W2</t>
        </is>
      </c>
      <c r="N84" s="15" t="n">
        <v>0.9303</v>
      </c>
      <c r="O84" s="15" t="n">
        <v>0.0513</v>
      </c>
      <c r="P84">
        <f>IF(M84="","",IF(M84=E84,1,0))</f>
        <v/>
      </c>
      <c r="Q84">
        <f>IF(K84="OK","-",IF(N84&lt;$B$7,"AMBIGUOUS","CONFIDENT"))</f>
        <v/>
      </c>
    </row>
    <row r="85">
      <c r="A85">
        <f>'Runs Z score'!A77</f>
        <v/>
      </c>
      <c r="B85">
        <f>'Runs Z score'!B77</f>
        <v/>
      </c>
      <c r="C85">
        <f>'Runs Z score'!C77</f>
        <v/>
      </c>
      <c r="D85">
        <f>'Runs Z score'!D77</f>
        <v/>
      </c>
      <c r="E85">
        <f>'Runs Z score'!E77</f>
        <v/>
      </c>
      <c r="F85">
        <f>'Runs Z score'!F77</f>
        <v/>
      </c>
      <c r="G85">
        <f>'Runs Z score'!G77</f>
        <v/>
      </c>
      <c r="H85">
        <f>VLOOKUP(C85,Recipes!$A$2:$N$4,10,FALSE())</f>
        <v/>
      </c>
      <c r="I85">
        <f>VLOOKUP(C85,Recipes!$A$2:$N$4,12,FALSE())</f>
        <v/>
      </c>
      <c r="J85">
        <f>IF(G85="","",H85-G85)</f>
        <v/>
      </c>
      <c r="K85">
        <f>IF(G85="","",IF(ABS(G85-H85)&lt;=$B$6*I85,"OK","NG"))</f>
        <v/>
      </c>
      <c r="L85">
        <f>IF(K85="","",IF(K85=D85,1,0))</f>
        <v/>
      </c>
      <c r="M85" t="inlineStr">
        <is>
          <t>W2</t>
        </is>
      </c>
      <c r="N85" s="15" t="n">
        <v>0.9179</v>
      </c>
      <c r="O85" s="15" t="n">
        <v>0.0635</v>
      </c>
      <c r="P85">
        <f>IF(M85="","",IF(M85=E85,1,0))</f>
        <v/>
      </c>
      <c r="Q85">
        <f>IF(K85="OK","-",IF(N85&lt;$B$7,"AMBIGUOUS","CONFIDENT"))</f>
        <v/>
      </c>
    </row>
    <row r="86">
      <c r="A86">
        <f>'Runs Z score'!A78</f>
        <v/>
      </c>
      <c r="B86">
        <f>'Runs Z score'!B78</f>
        <v/>
      </c>
      <c r="C86">
        <f>'Runs Z score'!C78</f>
        <v/>
      </c>
      <c r="D86">
        <f>'Runs Z score'!D78</f>
        <v/>
      </c>
      <c r="E86">
        <f>'Runs Z score'!E78</f>
        <v/>
      </c>
      <c r="F86">
        <f>'Runs Z score'!F78</f>
        <v/>
      </c>
      <c r="G86">
        <f>'Runs Z score'!G78</f>
        <v/>
      </c>
      <c r="H86">
        <f>VLOOKUP(C86,Recipes!$A$2:$N$4,10,FALSE())</f>
        <v/>
      </c>
      <c r="I86">
        <f>VLOOKUP(C86,Recipes!$A$2:$N$4,12,FALSE())</f>
        <v/>
      </c>
      <c r="J86">
        <f>IF(G86="","",H86-G86)</f>
        <v/>
      </c>
      <c r="K86">
        <f>IF(G86="","",IF(ABS(G86-H86)&lt;=$B$6*I86,"OK","NG"))</f>
        <v/>
      </c>
      <c r="L86">
        <f>IF(K86="","",IF(K86=D86,1,0))</f>
        <v/>
      </c>
      <c r="M86" t="inlineStr">
        <is>
          <t>W2</t>
        </is>
      </c>
      <c r="N86" s="15" t="n">
        <v>0.9183</v>
      </c>
      <c r="O86" s="15" t="n">
        <v>0.06279999999999999</v>
      </c>
      <c r="P86">
        <f>IF(M86="","",IF(M86=E86,1,0))</f>
        <v/>
      </c>
      <c r="Q86">
        <f>IF(K86="OK","-",IF(N86&lt;$B$7,"AMBIGUOUS","CONFIDENT"))</f>
        <v/>
      </c>
    </row>
    <row r="87">
      <c r="A87">
        <f>'Runs Z score'!A79</f>
        <v/>
      </c>
      <c r="B87">
        <f>'Runs Z score'!B79</f>
        <v/>
      </c>
      <c r="C87">
        <f>'Runs Z score'!C79</f>
        <v/>
      </c>
      <c r="D87">
        <f>'Runs Z score'!D79</f>
        <v/>
      </c>
      <c r="E87">
        <f>'Runs Z score'!E79</f>
        <v/>
      </c>
      <c r="F87">
        <f>'Runs Z score'!F79</f>
        <v/>
      </c>
      <c r="G87">
        <f>'Runs Z score'!G79</f>
        <v/>
      </c>
      <c r="H87">
        <f>VLOOKUP(C87,Recipes!$A$2:$N$4,10,FALSE())</f>
        <v/>
      </c>
      <c r="I87">
        <f>VLOOKUP(C87,Recipes!$A$2:$N$4,12,FALSE())</f>
        <v/>
      </c>
      <c r="J87">
        <f>IF(G87="","",H87-G87)</f>
        <v/>
      </c>
      <c r="K87">
        <f>IF(G87="","",IF(ABS(G87-H87)&lt;=$B$6*I87,"OK","NG"))</f>
        <v/>
      </c>
      <c r="L87">
        <f>IF(K87="","",IF(K87=D87,1,0))</f>
        <v/>
      </c>
      <c r="M87" t="inlineStr">
        <is>
          <t>W2</t>
        </is>
      </c>
      <c r="N87" s="15" t="n">
        <v>0.8875999999999999</v>
      </c>
      <c r="O87" s="15" t="n">
        <v>0.0926</v>
      </c>
      <c r="P87">
        <f>IF(M87="","",IF(M87=E87,1,0))</f>
        <v/>
      </c>
      <c r="Q87">
        <f>IF(K87="OK","-",IF(N87&lt;$B$7,"AMBIGUOUS","CONFIDENT"))</f>
        <v/>
      </c>
    </row>
    <row r="88">
      <c r="A88">
        <f>'Runs Z score'!A80</f>
        <v/>
      </c>
      <c r="B88">
        <f>'Runs Z score'!B80</f>
        <v/>
      </c>
      <c r="C88">
        <f>'Runs Z score'!C80</f>
        <v/>
      </c>
      <c r="D88">
        <f>'Runs Z score'!D80</f>
        <v/>
      </c>
      <c r="E88">
        <f>'Runs Z score'!E80</f>
        <v/>
      </c>
      <c r="F88">
        <f>'Runs Z score'!F80</f>
        <v/>
      </c>
      <c r="G88">
        <f>'Runs Z score'!G80</f>
        <v/>
      </c>
      <c r="H88">
        <f>VLOOKUP(C88,Recipes!$A$2:$N$4,10,FALSE())</f>
        <v/>
      </c>
      <c r="I88">
        <f>VLOOKUP(C88,Recipes!$A$2:$N$4,12,FALSE())</f>
        <v/>
      </c>
      <c r="J88">
        <f>IF(G88="","",H88-G88)</f>
        <v/>
      </c>
      <c r="K88">
        <f>IF(G88="","",IF(ABS(G88-H88)&lt;=$B$6*I88,"OK","NG"))</f>
        <v/>
      </c>
      <c r="L88">
        <f>IF(K88="","",IF(K88=D88,1,0))</f>
        <v/>
      </c>
      <c r="M88" t="inlineStr">
        <is>
          <t>W2</t>
        </is>
      </c>
      <c r="N88" s="15" t="n">
        <v>0.9119</v>
      </c>
      <c r="O88" s="15" t="n">
        <v>0.0689</v>
      </c>
      <c r="P88">
        <f>IF(M88="","",IF(M88=E88,1,0))</f>
        <v/>
      </c>
      <c r="Q88">
        <f>IF(K88="OK","-",IF(N88&lt;$B$7,"AMBIGUOUS","CONFIDENT"))</f>
        <v/>
      </c>
    </row>
    <row r="89">
      <c r="A89">
        <f>'Runs Z score'!A81</f>
        <v/>
      </c>
      <c r="B89">
        <f>'Runs Z score'!B81</f>
        <v/>
      </c>
      <c r="C89">
        <f>'Runs Z score'!C81</f>
        <v/>
      </c>
      <c r="D89">
        <f>'Runs Z score'!D81</f>
        <v/>
      </c>
      <c r="E89">
        <f>'Runs Z score'!E81</f>
        <v/>
      </c>
      <c r="F89">
        <f>'Runs Z score'!F81</f>
        <v/>
      </c>
      <c r="G89">
        <f>'Runs Z score'!G81</f>
        <v/>
      </c>
      <c r="H89">
        <f>VLOOKUP(C89,Recipes!$A$2:$N$4,10,FALSE())</f>
        <v/>
      </c>
      <c r="I89">
        <f>VLOOKUP(C89,Recipes!$A$2:$N$4,12,FALSE())</f>
        <v/>
      </c>
      <c r="J89">
        <f>IF(G89="","",H89-G89)</f>
        <v/>
      </c>
      <c r="K89">
        <f>IF(G89="","",IF(ABS(G89-H89)&lt;=$B$6*I89,"OK","NG"))</f>
        <v/>
      </c>
      <c r="L89">
        <f>IF(K89="","",IF(K89=D89,1,0))</f>
        <v/>
      </c>
      <c r="M89" t="inlineStr">
        <is>
          <t>W2</t>
        </is>
      </c>
      <c r="N89" s="15" t="n">
        <v>0.9338</v>
      </c>
      <c r="O89" s="15" t="n">
        <v>0.0468</v>
      </c>
      <c r="P89">
        <f>IF(M89="","",IF(M89=E89,1,0))</f>
        <v/>
      </c>
      <c r="Q89">
        <f>IF(K89="OK","-",IF(N89&lt;$B$7,"AMBIGUOUS","CONFIDENT"))</f>
        <v/>
      </c>
    </row>
    <row r="90">
      <c r="A90">
        <f>'Runs Z score'!A82</f>
        <v/>
      </c>
      <c r="B90">
        <f>'Runs Z score'!B82</f>
        <v/>
      </c>
      <c r="C90">
        <f>'Runs Z score'!C82</f>
        <v/>
      </c>
      <c r="D90">
        <f>'Runs Z score'!D82</f>
        <v/>
      </c>
      <c r="E90">
        <f>'Runs Z score'!E82</f>
        <v/>
      </c>
      <c r="F90">
        <f>'Runs Z score'!F82</f>
        <v/>
      </c>
      <c r="G90">
        <f>'Runs Z score'!G82</f>
        <v/>
      </c>
      <c r="H90">
        <f>VLOOKUP(C90,Recipes!$A$2:$N$4,10,FALSE())</f>
        <v/>
      </c>
      <c r="I90">
        <f>VLOOKUP(C90,Recipes!$A$2:$N$4,12,FALSE())</f>
        <v/>
      </c>
      <c r="J90">
        <f>IF(G90="","",H90-G90)</f>
        <v/>
      </c>
      <c r="K90">
        <f>IF(G90="","",IF(ABS(G90-H90)&lt;=$B$6*I90,"OK","NG"))</f>
        <v/>
      </c>
      <c r="L90">
        <f>IF(K90="","",IF(K90=D90,1,0))</f>
        <v/>
      </c>
      <c r="M90" t="inlineStr">
        <is>
          <t>W2</t>
        </is>
      </c>
      <c r="N90" s="15" t="n">
        <v>0.9488</v>
      </c>
      <c r="O90" s="15" t="n">
        <v>0.0334</v>
      </c>
      <c r="P90">
        <f>IF(M90="","",IF(M90=E90,1,0))</f>
        <v/>
      </c>
      <c r="Q90">
        <f>IF(K90="OK","-",IF(N90&lt;$B$7,"AMBIGUOUS","CONFIDENT"))</f>
        <v/>
      </c>
    </row>
    <row r="91">
      <c r="A91">
        <f>'Runs Z score'!A83</f>
        <v/>
      </c>
      <c r="B91">
        <f>'Runs Z score'!B83</f>
        <v/>
      </c>
      <c r="C91">
        <f>'Runs Z score'!C83</f>
        <v/>
      </c>
      <c r="D91">
        <f>'Runs Z score'!D83</f>
        <v/>
      </c>
      <c r="E91">
        <f>'Runs Z score'!E83</f>
        <v/>
      </c>
      <c r="F91">
        <f>'Runs Z score'!F83</f>
        <v/>
      </c>
      <c r="G91">
        <f>'Runs Z score'!G83</f>
        <v/>
      </c>
      <c r="H91">
        <f>VLOOKUP(C91,Recipes!$A$2:$N$4,10,FALSE())</f>
        <v/>
      </c>
      <c r="I91">
        <f>VLOOKUP(C91,Recipes!$A$2:$N$4,12,FALSE())</f>
        <v/>
      </c>
      <c r="J91">
        <f>IF(G91="","",H91-G91)</f>
        <v/>
      </c>
      <c r="K91">
        <f>IF(G91="","",IF(ABS(G91-H91)&lt;=$B$6*I91,"OK","NG"))</f>
        <v/>
      </c>
      <c r="L91">
        <f>IF(K91="","",IF(K91=D91,1,0))</f>
        <v/>
      </c>
      <c r="M91" t="inlineStr">
        <is>
          <t>W2</t>
        </is>
      </c>
      <c r="N91" s="15" t="n">
        <v>0.9303</v>
      </c>
      <c r="O91" s="15" t="n">
        <v>0.0513</v>
      </c>
      <c r="P91">
        <f>IF(M91="","",IF(M91=E91,1,0))</f>
        <v/>
      </c>
      <c r="Q91">
        <f>IF(K91="OK","-",IF(N91&lt;$B$7,"AMBIGUOUS","CONFIDENT"))</f>
        <v/>
      </c>
    </row>
    <row r="92">
      <c r="A92">
        <f>'Runs Z score'!A84</f>
        <v/>
      </c>
      <c r="B92">
        <f>'Runs Z score'!B84</f>
        <v/>
      </c>
      <c r="C92">
        <f>'Runs Z score'!C84</f>
        <v/>
      </c>
      <c r="D92">
        <f>'Runs Z score'!D84</f>
        <v/>
      </c>
      <c r="E92">
        <f>'Runs Z score'!E84</f>
        <v/>
      </c>
      <c r="F92">
        <f>'Runs Z score'!F84</f>
        <v/>
      </c>
      <c r="G92">
        <f>'Runs Z score'!G84</f>
        <v/>
      </c>
      <c r="H92">
        <f>VLOOKUP(C92,Recipes!$A$2:$N$4,10,FALSE())</f>
        <v/>
      </c>
      <c r="I92">
        <f>VLOOKUP(C92,Recipes!$A$2:$N$4,12,FALSE())</f>
        <v/>
      </c>
      <c r="J92">
        <f>IF(G92="","",H92-G92)</f>
        <v/>
      </c>
      <c r="K92">
        <f>IF(G92="","",IF(ABS(G92-H92)&lt;=$B$6*I92,"OK","NG"))</f>
        <v/>
      </c>
      <c r="L92">
        <f>IF(K92="","",IF(K92=D92,1,0))</f>
        <v/>
      </c>
      <c r="M92" t="inlineStr">
        <is>
          <t>W2</t>
        </is>
      </c>
      <c r="N92" s="15" t="n">
        <v>0.9278</v>
      </c>
      <c r="O92" s="15" t="n">
        <v>0.0526</v>
      </c>
      <c r="P92">
        <f>IF(M92="","",IF(M92=E92,1,0))</f>
        <v/>
      </c>
      <c r="Q92">
        <f>IF(K92="OK","-",IF(N92&lt;$B$7,"AMBIGUOUS","CONFIDENT"))</f>
        <v/>
      </c>
    </row>
    <row r="93">
      <c r="A93">
        <f>'Runs Z score'!A85</f>
        <v/>
      </c>
      <c r="B93">
        <f>'Runs Z score'!B85</f>
        <v/>
      </c>
      <c r="C93">
        <f>'Runs Z score'!C85</f>
        <v/>
      </c>
      <c r="D93">
        <f>'Runs Z score'!D85</f>
        <v/>
      </c>
      <c r="E93">
        <f>'Runs Z score'!E85</f>
        <v/>
      </c>
      <c r="F93">
        <f>'Runs Z score'!F85</f>
        <v/>
      </c>
      <c r="G93">
        <f>'Runs Z score'!G85</f>
        <v/>
      </c>
      <c r="H93">
        <f>VLOOKUP(C93,Recipes!$A$2:$N$4,10,FALSE())</f>
        <v/>
      </c>
      <c r="I93">
        <f>VLOOKUP(C93,Recipes!$A$2:$N$4,12,FALSE())</f>
        <v/>
      </c>
      <c r="J93">
        <f>IF(G93="","",H93-G93)</f>
        <v/>
      </c>
      <c r="K93">
        <f>IF(G93="","",IF(ABS(G93-H93)&lt;=$B$6*I93,"OK","NG"))</f>
        <v/>
      </c>
      <c r="L93">
        <f>IF(K93="","",IF(K93=D93,1,0))</f>
        <v/>
      </c>
      <c r="M93" t="inlineStr">
        <is>
          <t>W2</t>
        </is>
      </c>
      <c r="N93" s="15" t="n">
        <v>0.9248</v>
      </c>
      <c r="O93" s="15" t="n">
        <v>0.0564</v>
      </c>
      <c r="P93">
        <f>IF(M93="","",IF(M93=E93,1,0))</f>
        <v/>
      </c>
      <c r="Q93">
        <f>IF(K93="OK","-",IF(N93&lt;$B$7,"AMBIGUOUS","CONFIDENT"))</f>
        <v/>
      </c>
    </row>
    <row r="94">
      <c r="A94">
        <f>'Runs Z score'!A86</f>
        <v/>
      </c>
      <c r="B94">
        <f>'Runs Z score'!B86</f>
        <v/>
      </c>
      <c r="C94">
        <f>'Runs Z score'!C86</f>
        <v/>
      </c>
      <c r="D94">
        <f>'Runs Z score'!D86</f>
        <v/>
      </c>
      <c r="E94">
        <f>'Runs Z score'!E86</f>
        <v/>
      </c>
      <c r="F94">
        <f>'Runs Z score'!F86</f>
        <v/>
      </c>
      <c r="G94">
        <f>'Runs Z score'!G86</f>
        <v/>
      </c>
      <c r="H94">
        <f>VLOOKUP(C94,Recipes!$A$2:$N$4,10,FALSE())</f>
        <v/>
      </c>
      <c r="I94">
        <f>VLOOKUP(C94,Recipes!$A$2:$N$4,12,FALSE())</f>
        <v/>
      </c>
      <c r="J94">
        <f>IF(G94="","",H94-G94)</f>
        <v/>
      </c>
      <c r="K94">
        <f>IF(G94="","",IF(ABS(G94-H94)&lt;=$B$6*I94,"OK","NG"))</f>
        <v/>
      </c>
      <c r="L94">
        <f>IF(K94="","",IF(K94=D94,1,0))</f>
        <v/>
      </c>
      <c r="M94" t="inlineStr">
        <is>
          <t>W2</t>
        </is>
      </c>
      <c r="N94" s="15" t="n">
        <v>0.9391</v>
      </c>
      <c r="O94" s="15" t="n">
        <v>0.0416</v>
      </c>
      <c r="P94">
        <f>IF(M94="","",IF(M94=E94,1,0))</f>
        <v/>
      </c>
      <c r="Q94">
        <f>IF(K94="OK","-",IF(N94&lt;$B$7,"AMBIGUOUS","CONFIDENT"))</f>
        <v/>
      </c>
    </row>
    <row r="95">
      <c r="A95">
        <f>'Runs Z score'!A87</f>
        <v/>
      </c>
      <c r="B95">
        <f>'Runs Z score'!B87</f>
        <v/>
      </c>
      <c r="C95">
        <f>'Runs Z score'!C87</f>
        <v/>
      </c>
      <c r="D95">
        <f>'Runs Z score'!D87</f>
        <v/>
      </c>
      <c r="E95">
        <f>'Runs Z score'!E87</f>
        <v/>
      </c>
      <c r="F95">
        <f>'Runs Z score'!F87</f>
        <v/>
      </c>
      <c r="G95">
        <f>'Runs Z score'!G87</f>
        <v/>
      </c>
      <c r="H95">
        <f>VLOOKUP(C95,Recipes!$A$2:$N$4,10,FALSE())</f>
        <v/>
      </c>
      <c r="I95">
        <f>VLOOKUP(C95,Recipes!$A$2:$N$4,12,FALSE())</f>
        <v/>
      </c>
      <c r="J95">
        <f>IF(G95="","",H95-G95)</f>
        <v/>
      </c>
      <c r="K95">
        <f>IF(G95="","",IF(ABS(G95-H95)&lt;=$B$6*I95,"OK","NG"))</f>
        <v/>
      </c>
      <c r="L95">
        <f>IF(K95="","",IF(K95=D95,1,0))</f>
        <v/>
      </c>
      <c r="M95" t="inlineStr">
        <is>
          <t>W2</t>
        </is>
      </c>
      <c r="N95" s="15" t="n">
        <v>0.9375</v>
      </c>
      <c r="O95" s="15" t="n">
        <v>0.0441</v>
      </c>
      <c r="P95">
        <f>IF(M95="","",IF(M95=E95,1,0))</f>
        <v/>
      </c>
      <c r="Q95">
        <f>IF(K95="OK","-",IF(N95&lt;$B$7,"AMBIGUOUS","CONFIDENT"))</f>
        <v/>
      </c>
    </row>
    <row r="96">
      <c r="A96">
        <f>'Runs Z score'!A88</f>
        <v/>
      </c>
      <c r="B96">
        <f>'Runs Z score'!B88</f>
        <v/>
      </c>
      <c r="C96">
        <f>'Runs Z score'!C88</f>
        <v/>
      </c>
      <c r="D96">
        <f>'Runs Z score'!D88</f>
        <v/>
      </c>
      <c r="E96">
        <f>'Runs Z score'!E88</f>
        <v/>
      </c>
      <c r="F96">
        <f>'Runs Z score'!F88</f>
        <v/>
      </c>
      <c r="G96">
        <f>'Runs Z score'!G88</f>
        <v/>
      </c>
      <c r="H96">
        <f>VLOOKUP(C96,Recipes!$A$2:$N$4,10,FALSE())</f>
        <v/>
      </c>
      <c r="I96">
        <f>VLOOKUP(C96,Recipes!$A$2:$N$4,12,FALSE())</f>
        <v/>
      </c>
      <c r="J96">
        <f>IF(G96="","",H96-G96)</f>
        <v/>
      </c>
      <c r="K96">
        <f>IF(G96="","",IF(ABS(G96-H96)&lt;=$B$6*I96,"OK","NG"))</f>
        <v/>
      </c>
      <c r="L96">
        <f>IF(K96="","",IF(K96=D96,1,0))</f>
        <v/>
      </c>
      <c r="M96" t="inlineStr">
        <is>
          <t>W2</t>
        </is>
      </c>
      <c r="N96" s="15" t="n">
        <v>0.9183</v>
      </c>
      <c r="O96" s="15" t="n">
        <v>0.06279999999999999</v>
      </c>
      <c r="P96">
        <f>IF(M96="","",IF(M96=E96,1,0))</f>
        <v/>
      </c>
      <c r="Q96">
        <f>IF(K96="OK","-",IF(N96&lt;$B$7,"AMBIGUOUS","CONFIDENT"))</f>
        <v/>
      </c>
    </row>
    <row r="97">
      <c r="A97">
        <f>'Runs Z score'!A89</f>
        <v/>
      </c>
      <c r="B97">
        <f>'Runs Z score'!B89</f>
        <v/>
      </c>
      <c r="C97">
        <f>'Runs Z score'!C89</f>
        <v/>
      </c>
      <c r="D97">
        <f>'Runs Z score'!D89</f>
        <v/>
      </c>
      <c r="E97">
        <f>'Runs Z score'!E89</f>
        <v/>
      </c>
      <c r="F97">
        <f>'Runs Z score'!F89</f>
        <v/>
      </c>
      <c r="G97">
        <f>'Runs Z score'!G89</f>
        <v/>
      </c>
      <c r="H97">
        <f>VLOOKUP(C97,Recipes!$A$2:$N$4,10,FALSE())</f>
        <v/>
      </c>
      <c r="I97">
        <f>VLOOKUP(C97,Recipes!$A$2:$N$4,12,FALSE())</f>
        <v/>
      </c>
      <c r="J97">
        <f>IF(G97="","",H97-G97)</f>
        <v/>
      </c>
      <c r="K97">
        <f>IF(G97="","",IF(ABS(G97-H97)&lt;=$B$6*I97,"OK","NG"))</f>
        <v/>
      </c>
      <c r="L97">
        <f>IF(K97="","",IF(K97=D97,1,0))</f>
        <v/>
      </c>
      <c r="M97" t="inlineStr">
        <is>
          <t>W2</t>
        </is>
      </c>
      <c r="N97" s="15" t="n">
        <v>0.9405</v>
      </c>
      <c r="O97" s="15" t="n">
        <v>0.0412</v>
      </c>
      <c r="P97">
        <f>IF(M97="","",IF(M97=E97,1,0))</f>
        <v/>
      </c>
      <c r="Q97">
        <f>IF(K97="OK","-",IF(N97&lt;$B$7,"AMBIGUOUS","CONFIDENT"))</f>
        <v/>
      </c>
    </row>
    <row r="98">
      <c r="A98">
        <f>'Runs Z score'!A90</f>
        <v/>
      </c>
      <c r="B98">
        <f>'Runs Z score'!B90</f>
        <v/>
      </c>
      <c r="C98">
        <f>'Runs Z score'!C90</f>
        <v/>
      </c>
      <c r="D98">
        <f>'Runs Z score'!D90</f>
        <v/>
      </c>
      <c r="E98">
        <f>'Runs Z score'!E90</f>
        <v/>
      </c>
      <c r="F98">
        <f>'Runs Z score'!F90</f>
        <v/>
      </c>
      <c r="G98">
        <f>'Runs Z score'!G90</f>
        <v/>
      </c>
      <c r="H98">
        <f>VLOOKUP(C98,Recipes!$A$2:$N$4,10,FALSE())</f>
        <v/>
      </c>
      <c r="I98">
        <f>VLOOKUP(C98,Recipes!$A$2:$N$4,12,FALSE())</f>
        <v/>
      </c>
      <c r="J98">
        <f>IF(G98="","",H98-G98)</f>
        <v/>
      </c>
      <c r="K98">
        <f>IF(G98="","",IF(ABS(G98-H98)&lt;=$B$6*I98,"OK","NG"))</f>
        <v/>
      </c>
      <c r="L98">
        <f>IF(K98="","",IF(K98=D98,1,0))</f>
        <v/>
      </c>
      <c r="M98" t="inlineStr">
        <is>
          <t>W2</t>
        </is>
      </c>
      <c r="N98" s="15" t="n">
        <v>0.8878</v>
      </c>
      <c r="O98" s="15" t="n">
        <v>0.0924</v>
      </c>
      <c r="P98">
        <f>IF(M98="","",IF(M98=E98,1,0))</f>
        <v/>
      </c>
      <c r="Q98">
        <f>IF(K98="OK","-",IF(N98&lt;$B$7,"AMBIGUOUS","CONFIDENT"))</f>
        <v/>
      </c>
    </row>
    <row r="99">
      <c r="A99">
        <f>'Runs Z score'!A91</f>
        <v/>
      </c>
      <c r="B99">
        <f>'Runs Z score'!B91</f>
        <v/>
      </c>
      <c r="C99">
        <f>'Runs Z score'!C91</f>
        <v/>
      </c>
      <c r="D99">
        <f>'Runs Z score'!D91</f>
        <v/>
      </c>
      <c r="E99">
        <f>'Runs Z score'!E91</f>
        <v/>
      </c>
      <c r="F99">
        <f>'Runs Z score'!F91</f>
        <v/>
      </c>
      <c r="G99">
        <f>'Runs Z score'!G91</f>
        <v/>
      </c>
      <c r="H99">
        <f>VLOOKUP(C99,Recipes!$A$2:$N$4,10,FALSE())</f>
        <v/>
      </c>
      <c r="I99">
        <f>VLOOKUP(C99,Recipes!$A$2:$N$4,12,FALSE())</f>
        <v/>
      </c>
      <c r="J99">
        <f>IF(G99="","",H99-G99)</f>
        <v/>
      </c>
      <c r="K99">
        <f>IF(G99="","",IF(ABS(G99-H99)&lt;=$B$6*I99,"OK","NG"))</f>
        <v/>
      </c>
      <c r="L99">
        <f>IF(K99="","",IF(K99=D99,1,0))</f>
        <v/>
      </c>
      <c r="M99" t="inlineStr">
        <is>
          <t>W2</t>
        </is>
      </c>
      <c r="N99" s="15" t="n">
        <v>0.9056999999999999</v>
      </c>
      <c r="O99" s="15" t="n">
        <v>0.075</v>
      </c>
      <c r="P99">
        <f>IF(M99="","",IF(M99=E99,1,0))</f>
        <v/>
      </c>
      <c r="Q99">
        <f>IF(K99="OK","-",IF(N99&lt;$B$7,"AMBIGUOUS","CONFIDENT"))</f>
        <v/>
      </c>
    </row>
    <row r="100">
      <c r="A100">
        <f>'Runs Z score'!A92</f>
        <v/>
      </c>
      <c r="B100">
        <f>'Runs Z score'!B92</f>
        <v/>
      </c>
      <c r="C100">
        <f>'Runs Z score'!C92</f>
        <v/>
      </c>
      <c r="D100">
        <f>'Runs Z score'!D92</f>
        <v/>
      </c>
      <c r="E100">
        <f>'Runs Z score'!E92</f>
        <v/>
      </c>
      <c r="F100">
        <f>'Runs Z score'!F92</f>
        <v/>
      </c>
      <c r="G100">
        <f>'Runs Z score'!G92</f>
        <v/>
      </c>
      <c r="H100">
        <f>VLOOKUP(C100,Recipes!$A$2:$N$4,10,FALSE())</f>
        <v/>
      </c>
      <c r="I100">
        <f>VLOOKUP(C100,Recipes!$A$2:$N$4,12,FALSE())</f>
        <v/>
      </c>
      <c r="J100">
        <f>IF(G100="","",H100-G100)</f>
        <v/>
      </c>
      <c r="K100">
        <f>IF(G100="","",IF(ABS(G100-H100)&lt;=$B$6*I100,"OK","NG"))</f>
        <v/>
      </c>
      <c r="L100">
        <f>IF(K100="","",IF(K100=D100,1,0))</f>
        <v/>
      </c>
      <c r="M100" t="inlineStr">
        <is>
          <t>W2</t>
        </is>
      </c>
      <c r="N100" s="15" t="n">
        <v>0.8875999999999999</v>
      </c>
      <c r="O100" s="15" t="n">
        <v>0.0926</v>
      </c>
      <c r="P100">
        <f>IF(M100="","",IF(M100=E100,1,0))</f>
        <v/>
      </c>
      <c r="Q100">
        <f>IF(K100="OK","-",IF(N100&lt;$B$7,"AMBIGUOUS","CONFIDENT"))</f>
        <v/>
      </c>
    </row>
    <row r="101">
      <c r="A101">
        <f>'Runs Z score'!A93</f>
        <v/>
      </c>
      <c r="B101">
        <f>'Runs Z score'!B93</f>
        <v/>
      </c>
      <c r="C101">
        <f>'Runs Z score'!C93</f>
        <v/>
      </c>
      <c r="D101">
        <f>'Runs Z score'!D93</f>
        <v/>
      </c>
      <c r="E101">
        <f>'Runs Z score'!E93</f>
        <v/>
      </c>
      <c r="F101">
        <f>'Runs Z score'!F93</f>
        <v/>
      </c>
      <c r="G101">
        <f>'Runs Z score'!G93</f>
        <v/>
      </c>
      <c r="H101">
        <f>VLOOKUP(C101,Recipes!$A$2:$N$4,10,FALSE())</f>
        <v/>
      </c>
      <c r="I101">
        <f>VLOOKUP(C101,Recipes!$A$2:$N$4,12,FALSE())</f>
        <v/>
      </c>
      <c r="J101">
        <f>IF(G101="","",H101-G101)</f>
        <v/>
      </c>
      <c r="K101">
        <f>IF(G101="","",IF(ABS(G101-H101)&lt;=$B$6*I101,"OK","NG"))</f>
        <v/>
      </c>
      <c r="L101">
        <f>IF(K101="","",IF(K101=D101,1,0))</f>
        <v/>
      </c>
      <c r="M101" t="inlineStr">
        <is>
          <t>N2</t>
        </is>
      </c>
      <c r="N101" s="15" t="n">
        <v>0.9432</v>
      </c>
      <c r="O101" s="15" t="n">
        <v>0.0386</v>
      </c>
      <c r="P101">
        <f>IF(M101="","",IF(M101=E101,1,0))</f>
        <v/>
      </c>
      <c r="Q101">
        <f>IF(K101="OK","-",IF(N101&lt;$B$7,"AMBIGUOUS","CONFIDENT"))</f>
        <v/>
      </c>
    </row>
    <row r="102">
      <c r="A102">
        <f>'Runs Z score'!A94</f>
        <v/>
      </c>
      <c r="B102">
        <f>'Runs Z score'!B94</f>
        <v/>
      </c>
      <c r="C102">
        <f>'Runs Z score'!C94</f>
        <v/>
      </c>
      <c r="D102">
        <f>'Runs Z score'!D94</f>
        <v/>
      </c>
      <c r="E102">
        <f>'Runs Z score'!E94</f>
        <v/>
      </c>
      <c r="F102">
        <f>'Runs Z score'!F94</f>
        <v/>
      </c>
      <c r="G102">
        <f>'Runs Z score'!G94</f>
        <v/>
      </c>
      <c r="H102">
        <f>VLOOKUP(C102,Recipes!$A$2:$N$4,10,FALSE())</f>
        <v/>
      </c>
      <c r="I102">
        <f>VLOOKUP(C102,Recipes!$A$2:$N$4,12,FALSE())</f>
        <v/>
      </c>
      <c r="J102">
        <f>IF(G102="","",H102-G102)</f>
        <v/>
      </c>
      <c r="K102">
        <f>IF(G102="","",IF(ABS(G102-H102)&lt;=$B$6*I102,"OK","NG"))</f>
        <v/>
      </c>
      <c r="L102">
        <f>IF(K102="","",IF(K102=D102,1,0))</f>
        <v/>
      </c>
      <c r="M102" t="inlineStr">
        <is>
          <t>N2</t>
        </is>
      </c>
      <c r="N102" s="15" t="n">
        <v>0.9438</v>
      </c>
      <c r="O102" s="15" t="n">
        <v>0.0382</v>
      </c>
      <c r="P102">
        <f>IF(M102="","",IF(M102=E102,1,0))</f>
        <v/>
      </c>
      <c r="Q102">
        <f>IF(K102="OK","-",IF(N102&lt;$B$7,"AMBIGUOUS","CONFIDENT"))</f>
        <v/>
      </c>
    </row>
    <row r="103">
      <c r="A103">
        <f>'Runs Z score'!A95</f>
        <v/>
      </c>
      <c r="B103">
        <f>'Runs Z score'!B95</f>
        <v/>
      </c>
      <c r="C103">
        <f>'Runs Z score'!C95</f>
        <v/>
      </c>
      <c r="D103">
        <f>'Runs Z score'!D95</f>
        <v/>
      </c>
      <c r="E103">
        <f>'Runs Z score'!E95</f>
        <v/>
      </c>
      <c r="F103">
        <f>'Runs Z score'!F95</f>
        <v/>
      </c>
      <c r="G103">
        <f>'Runs Z score'!G95</f>
        <v/>
      </c>
      <c r="H103">
        <f>VLOOKUP(C103,Recipes!$A$2:$N$4,10,FALSE())</f>
        <v/>
      </c>
      <c r="I103">
        <f>VLOOKUP(C103,Recipes!$A$2:$N$4,12,FALSE())</f>
        <v/>
      </c>
      <c r="J103">
        <f>IF(G103="","",H103-G103)</f>
        <v/>
      </c>
      <c r="K103">
        <f>IF(G103="","",IF(ABS(G103-H103)&lt;=$B$6*I103,"OK","NG"))</f>
        <v/>
      </c>
      <c r="L103">
        <f>IF(K103="","",IF(K103=D103,1,0))</f>
        <v/>
      </c>
      <c r="M103" t="inlineStr">
        <is>
          <t>N2</t>
        </is>
      </c>
      <c r="N103" s="15" t="n">
        <v>0.9452</v>
      </c>
      <c r="O103" s="15" t="n">
        <v>0.037</v>
      </c>
      <c r="P103">
        <f>IF(M103="","",IF(M103=E103,1,0))</f>
        <v/>
      </c>
      <c r="Q103">
        <f>IF(K103="OK","-",IF(N103&lt;$B$7,"AMBIGUOUS","CONFIDENT"))</f>
        <v/>
      </c>
    </row>
    <row r="104">
      <c r="A104">
        <f>'Runs Z score'!A96</f>
        <v/>
      </c>
      <c r="B104">
        <f>'Runs Z score'!B96</f>
        <v/>
      </c>
      <c r="C104">
        <f>'Runs Z score'!C96</f>
        <v/>
      </c>
      <c r="D104">
        <f>'Runs Z score'!D96</f>
        <v/>
      </c>
      <c r="E104">
        <f>'Runs Z score'!E96</f>
        <v/>
      </c>
      <c r="F104">
        <f>'Runs Z score'!F96</f>
        <v/>
      </c>
      <c r="G104">
        <f>'Runs Z score'!G96</f>
        <v/>
      </c>
      <c r="H104">
        <f>VLOOKUP(C104,Recipes!$A$2:$N$4,10,FALSE())</f>
        <v/>
      </c>
      <c r="I104">
        <f>VLOOKUP(C104,Recipes!$A$2:$N$4,12,FALSE())</f>
        <v/>
      </c>
      <c r="J104">
        <f>IF(G104="","",H104-G104)</f>
        <v/>
      </c>
      <c r="K104">
        <f>IF(G104="","",IF(ABS(G104-H104)&lt;=$B$6*I104,"OK","NG"))</f>
        <v/>
      </c>
      <c r="L104">
        <f>IF(K104="","",IF(K104=D104,1,0))</f>
        <v/>
      </c>
      <c r="M104" t="inlineStr">
        <is>
          <t>N2</t>
        </is>
      </c>
      <c r="N104" s="15" t="n">
        <v>0.9439</v>
      </c>
      <c r="O104" s="15" t="n">
        <v>0.0381</v>
      </c>
      <c r="P104">
        <f>IF(M104="","",IF(M104=E104,1,0))</f>
        <v/>
      </c>
      <c r="Q104">
        <f>IF(K104="OK","-",IF(N104&lt;$B$7,"AMBIGUOUS","CONFIDENT"))</f>
        <v/>
      </c>
    </row>
    <row r="105">
      <c r="A105">
        <f>'Runs Z score'!A97</f>
        <v/>
      </c>
      <c r="B105">
        <f>'Runs Z score'!B97</f>
        <v/>
      </c>
      <c r="C105">
        <f>'Runs Z score'!C97</f>
        <v/>
      </c>
      <c r="D105">
        <f>'Runs Z score'!D97</f>
        <v/>
      </c>
      <c r="E105">
        <f>'Runs Z score'!E97</f>
        <v/>
      </c>
      <c r="F105">
        <f>'Runs Z score'!F97</f>
        <v/>
      </c>
      <c r="G105">
        <f>'Runs Z score'!G97</f>
        <v/>
      </c>
      <c r="H105">
        <f>VLOOKUP(C105,Recipes!$A$2:$N$4,10,FALSE())</f>
        <v/>
      </c>
      <c r="I105">
        <f>VLOOKUP(C105,Recipes!$A$2:$N$4,12,FALSE())</f>
        <v/>
      </c>
      <c r="J105">
        <f>IF(G105="","",H105-G105)</f>
        <v/>
      </c>
      <c r="K105">
        <f>IF(G105="","",IF(ABS(G105-H105)&lt;=$B$6*I105,"OK","NG"))</f>
        <v/>
      </c>
      <c r="L105">
        <f>IF(K105="","",IF(K105=D105,1,0))</f>
        <v/>
      </c>
      <c r="M105" t="inlineStr">
        <is>
          <t>N2</t>
        </is>
      </c>
      <c r="N105" s="15" t="n">
        <v>0.9406</v>
      </c>
      <c r="O105" s="15" t="n">
        <v>0.0404</v>
      </c>
      <c r="P105">
        <f>IF(M105="","",IF(M105=E105,1,0))</f>
        <v/>
      </c>
      <c r="Q105">
        <f>IF(K105="OK","-",IF(N105&lt;$B$7,"AMBIGUOUS","CONFIDENT"))</f>
        <v/>
      </c>
    </row>
    <row r="106">
      <c r="A106">
        <f>'Runs Z score'!A98</f>
        <v/>
      </c>
      <c r="B106">
        <f>'Runs Z score'!B98</f>
        <v/>
      </c>
      <c r="C106">
        <f>'Runs Z score'!C98</f>
        <v/>
      </c>
      <c r="D106">
        <f>'Runs Z score'!D98</f>
        <v/>
      </c>
      <c r="E106">
        <f>'Runs Z score'!E98</f>
        <v/>
      </c>
      <c r="F106">
        <f>'Runs Z score'!F98</f>
        <v/>
      </c>
      <c r="G106">
        <f>'Runs Z score'!G98</f>
        <v/>
      </c>
      <c r="H106">
        <f>VLOOKUP(C106,Recipes!$A$2:$N$4,10,FALSE())</f>
        <v/>
      </c>
      <c r="I106">
        <f>VLOOKUP(C106,Recipes!$A$2:$N$4,12,FALSE())</f>
        <v/>
      </c>
      <c r="J106">
        <f>IF(G106="","",H106-G106)</f>
        <v/>
      </c>
      <c r="K106">
        <f>IF(G106="","",IF(ABS(G106-H106)&lt;=$B$6*I106,"OK","NG"))</f>
        <v/>
      </c>
      <c r="L106">
        <f>IF(K106="","",IF(K106=D106,1,0))</f>
        <v/>
      </c>
      <c r="M106" t="inlineStr">
        <is>
          <t>N2</t>
        </is>
      </c>
      <c r="N106" s="15" t="n">
        <v>0.9337</v>
      </c>
      <c r="O106" s="15" t="n">
        <v>0.0457</v>
      </c>
      <c r="P106">
        <f>IF(M106="","",IF(M106=E106,1,0))</f>
        <v/>
      </c>
      <c r="Q106">
        <f>IF(K106="OK","-",IF(N106&lt;$B$7,"AMBIGUOUS","CONFIDENT"))</f>
        <v/>
      </c>
    </row>
    <row r="107">
      <c r="A107">
        <f>'Runs Z score'!A99</f>
        <v/>
      </c>
      <c r="B107">
        <f>'Runs Z score'!B99</f>
        <v/>
      </c>
      <c r="C107">
        <f>'Runs Z score'!C99</f>
        <v/>
      </c>
      <c r="D107">
        <f>'Runs Z score'!D99</f>
        <v/>
      </c>
      <c r="E107">
        <f>'Runs Z score'!E99</f>
        <v/>
      </c>
      <c r="F107">
        <f>'Runs Z score'!F99</f>
        <v/>
      </c>
      <c r="G107">
        <f>'Runs Z score'!G99</f>
        <v/>
      </c>
      <c r="H107">
        <f>VLOOKUP(C107,Recipes!$A$2:$N$4,10,FALSE())</f>
        <v/>
      </c>
      <c r="I107">
        <f>VLOOKUP(C107,Recipes!$A$2:$N$4,12,FALSE())</f>
        <v/>
      </c>
      <c r="J107">
        <f>IF(G107="","",H107-G107)</f>
        <v/>
      </c>
      <c r="K107">
        <f>IF(G107="","",IF(ABS(G107-H107)&lt;=$B$6*I107,"OK","NG"))</f>
        <v/>
      </c>
      <c r="L107">
        <f>IF(K107="","",IF(K107=D107,1,0))</f>
        <v/>
      </c>
      <c r="M107" t="inlineStr">
        <is>
          <t>N2</t>
        </is>
      </c>
      <c r="N107" s="15" t="n">
        <v>0.9424</v>
      </c>
      <c r="O107" s="15" t="n">
        <v>0.0392</v>
      </c>
      <c r="P107">
        <f>IF(M107="","",IF(M107=E107,1,0))</f>
        <v/>
      </c>
      <c r="Q107">
        <f>IF(K107="OK","-",IF(N107&lt;$B$7,"AMBIGUOUS","CONFIDENT"))</f>
        <v/>
      </c>
    </row>
    <row r="108">
      <c r="A108">
        <f>'Runs Z score'!A100</f>
        <v/>
      </c>
      <c r="B108">
        <f>'Runs Z score'!B100</f>
        <v/>
      </c>
      <c r="C108">
        <f>'Runs Z score'!C100</f>
        <v/>
      </c>
      <c r="D108">
        <f>'Runs Z score'!D100</f>
        <v/>
      </c>
      <c r="E108">
        <f>'Runs Z score'!E100</f>
        <v/>
      </c>
      <c r="F108">
        <f>'Runs Z score'!F100</f>
        <v/>
      </c>
      <c r="G108">
        <f>'Runs Z score'!G100</f>
        <v/>
      </c>
      <c r="H108">
        <f>VLOOKUP(C108,Recipes!$A$2:$N$4,10,FALSE())</f>
        <v/>
      </c>
      <c r="I108">
        <f>VLOOKUP(C108,Recipes!$A$2:$N$4,12,FALSE())</f>
        <v/>
      </c>
      <c r="J108">
        <f>IF(G108="","",H108-G108)</f>
        <v/>
      </c>
      <c r="K108">
        <f>IF(G108="","",IF(ABS(G108-H108)&lt;=$B$6*I108,"OK","NG"))</f>
        <v/>
      </c>
      <c r="L108">
        <f>IF(K108="","",IF(K108=D108,1,0))</f>
        <v/>
      </c>
      <c r="M108" t="inlineStr">
        <is>
          <t>N2</t>
        </is>
      </c>
      <c r="N108" s="15" t="n">
        <v>0.9444</v>
      </c>
      <c r="O108" s="15" t="n">
        <v>0.0376</v>
      </c>
      <c r="P108">
        <f>IF(M108="","",IF(M108=E108,1,0))</f>
        <v/>
      </c>
      <c r="Q108">
        <f>IF(K108="OK","-",IF(N108&lt;$B$7,"AMBIGUOUS","CONFIDENT"))</f>
        <v/>
      </c>
    </row>
    <row r="109">
      <c r="A109">
        <f>'Runs Z score'!A101</f>
        <v/>
      </c>
      <c r="B109">
        <f>'Runs Z score'!B101</f>
        <v/>
      </c>
      <c r="C109">
        <f>'Runs Z score'!C101</f>
        <v/>
      </c>
      <c r="D109">
        <f>'Runs Z score'!D101</f>
        <v/>
      </c>
      <c r="E109">
        <f>'Runs Z score'!E101</f>
        <v/>
      </c>
      <c r="F109">
        <f>'Runs Z score'!F101</f>
        <v/>
      </c>
      <c r="G109">
        <f>'Runs Z score'!G101</f>
        <v/>
      </c>
      <c r="H109">
        <f>VLOOKUP(C109,Recipes!$A$2:$N$4,10,FALSE())</f>
        <v/>
      </c>
      <c r="I109">
        <f>VLOOKUP(C109,Recipes!$A$2:$N$4,12,FALSE())</f>
        <v/>
      </c>
      <c r="J109">
        <f>IF(G109="","",H109-G109)</f>
        <v/>
      </c>
      <c r="K109">
        <f>IF(G109="","",IF(ABS(G109-H109)&lt;=$B$6*I109,"OK","NG"))</f>
        <v/>
      </c>
      <c r="L109">
        <f>IF(K109="","",IF(K109=D109,1,0))</f>
        <v/>
      </c>
      <c r="M109" t="inlineStr">
        <is>
          <t>N2</t>
        </is>
      </c>
      <c r="N109" s="15" t="n">
        <v>0.9422</v>
      </c>
      <c r="O109" s="15" t="n">
        <v>0.0394</v>
      </c>
      <c r="P109">
        <f>IF(M109="","",IF(M109=E109,1,0))</f>
        <v/>
      </c>
      <c r="Q109">
        <f>IF(K109="OK","-",IF(N109&lt;$B$7,"AMBIGUOUS","CONFIDENT"))</f>
        <v/>
      </c>
    </row>
    <row r="110">
      <c r="A110">
        <f>'Runs Z score'!A102</f>
        <v/>
      </c>
      <c r="B110">
        <f>'Runs Z score'!B102</f>
        <v/>
      </c>
      <c r="C110">
        <f>'Runs Z score'!C102</f>
        <v/>
      </c>
      <c r="D110">
        <f>'Runs Z score'!D102</f>
        <v/>
      </c>
      <c r="E110">
        <f>'Runs Z score'!E102</f>
        <v/>
      </c>
      <c r="F110">
        <f>'Runs Z score'!F102</f>
        <v/>
      </c>
      <c r="G110">
        <f>'Runs Z score'!G102</f>
        <v/>
      </c>
      <c r="H110">
        <f>VLOOKUP(C110,Recipes!$A$2:$N$4,10,FALSE())</f>
        <v/>
      </c>
      <c r="I110">
        <f>VLOOKUP(C110,Recipes!$A$2:$N$4,12,FALSE())</f>
        <v/>
      </c>
      <c r="J110">
        <f>IF(G110="","",H110-G110)</f>
        <v/>
      </c>
      <c r="K110">
        <f>IF(G110="","",IF(ABS(G110-H110)&lt;=$B$6*I110,"OK","NG"))</f>
        <v/>
      </c>
      <c r="L110">
        <f>IF(K110="","",IF(K110=D110,1,0))</f>
        <v/>
      </c>
      <c r="M110" t="inlineStr">
        <is>
          <t>N2</t>
        </is>
      </c>
      <c r="N110" s="15" t="n">
        <v>0.9438</v>
      </c>
      <c r="O110" s="15" t="n">
        <v>0.0382</v>
      </c>
      <c r="P110">
        <f>IF(M110="","",IF(M110=E110,1,0))</f>
        <v/>
      </c>
      <c r="Q110">
        <f>IF(K110="OK","-",IF(N110&lt;$B$7,"AMBIGUOUS","CONFIDENT"))</f>
        <v/>
      </c>
    </row>
    <row r="111">
      <c r="A111">
        <f>'Runs Z score'!A103</f>
        <v/>
      </c>
      <c r="B111">
        <f>'Runs Z score'!B103</f>
        <v/>
      </c>
      <c r="C111">
        <f>'Runs Z score'!C103</f>
        <v/>
      </c>
      <c r="D111">
        <f>'Runs Z score'!D103</f>
        <v/>
      </c>
      <c r="E111">
        <f>'Runs Z score'!E103</f>
        <v/>
      </c>
      <c r="F111">
        <f>'Runs Z score'!F103</f>
        <v/>
      </c>
      <c r="G111">
        <f>'Runs Z score'!G103</f>
        <v/>
      </c>
      <c r="H111">
        <f>VLOOKUP(C111,Recipes!$A$2:$N$4,10,FALSE())</f>
        <v/>
      </c>
      <c r="I111">
        <f>VLOOKUP(C111,Recipes!$A$2:$N$4,12,FALSE())</f>
        <v/>
      </c>
      <c r="J111">
        <f>IF(G111="","",H111-G111)</f>
        <v/>
      </c>
      <c r="K111">
        <f>IF(G111="","",IF(ABS(G111-H111)&lt;=$B$6*I111,"OK","NG"))</f>
        <v/>
      </c>
      <c r="L111">
        <f>IF(K111="","",IF(K111=D111,1,0))</f>
        <v/>
      </c>
      <c r="M111" t="inlineStr">
        <is>
          <t>N2</t>
        </is>
      </c>
      <c r="N111" s="15" t="n">
        <v>0.9424</v>
      </c>
      <c r="O111" s="15" t="n">
        <v>0.0392</v>
      </c>
      <c r="P111">
        <f>IF(M111="","",IF(M111=E111,1,0))</f>
        <v/>
      </c>
      <c r="Q111">
        <f>IF(K111="OK","-",IF(N111&lt;$B$7,"AMBIGUOUS","CONFIDENT"))</f>
        <v/>
      </c>
    </row>
    <row r="112">
      <c r="A112">
        <f>'Runs Z score'!A104</f>
        <v/>
      </c>
      <c r="B112">
        <f>'Runs Z score'!B104</f>
        <v/>
      </c>
      <c r="C112">
        <f>'Runs Z score'!C104</f>
        <v/>
      </c>
      <c r="D112">
        <f>'Runs Z score'!D104</f>
        <v/>
      </c>
      <c r="E112">
        <f>'Runs Z score'!E104</f>
        <v/>
      </c>
      <c r="F112">
        <f>'Runs Z score'!F104</f>
        <v/>
      </c>
      <c r="G112">
        <f>'Runs Z score'!G104</f>
        <v/>
      </c>
      <c r="H112">
        <f>VLOOKUP(C112,Recipes!$A$2:$N$4,10,FALSE())</f>
        <v/>
      </c>
      <c r="I112">
        <f>VLOOKUP(C112,Recipes!$A$2:$N$4,12,FALSE())</f>
        <v/>
      </c>
      <c r="J112">
        <f>IF(G112="","",H112-G112)</f>
        <v/>
      </c>
      <c r="K112">
        <f>IF(G112="","",IF(ABS(G112-H112)&lt;=$B$6*I112,"OK","NG"))</f>
        <v/>
      </c>
      <c r="L112">
        <f>IF(K112="","",IF(K112=D112,1,0))</f>
        <v/>
      </c>
      <c r="M112" t="inlineStr">
        <is>
          <t>N2</t>
        </is>
      </c>
      <c r="N112" s="15" t="n">
        <v>0.9389999999999999</v>
      </c>
      <c r="O112" s="15" t="n">
        <v>0.0416</v>
      </c>
      <c r="P112">
        <f>IF(M112="","",IF(M112=E112,1,0))</f>
        <v/>
      </c>
      <c r="Q112">
        <f>IF(K112="OK","-",IF(N112&lt;$B$7,"AMBIGUOUS","CONFIDENT"))</f>
        <v/>
      </c>
    </row>
    <row r="113">
      <c r="A113">
        <f>'Runs Z score'!A105</f>
        <v/>
      </c>
      <c r="B113">
        <f>'Runs Z score'!B105</f>
        <v/>
      </c>
      <c r="C113">
        <f>'Runs Z score'!C105</f>
        <v/>
      </c>
      <c r="D113">
        <f>'Runs Z score'!D105</f>
        <v/>
      </c>
      <c r="E113">
        <f>'Runs Z score'!E105</f>
        <v/>
      </c>
      <c r="F113">
        <f>'Runs Z score'!F105</f>
        <v/>
      </c>
      <c r="G113">
        <f>'Runs Z score'!G105</f>
        <v/>
      </c>
      <c r="H113">
        <f>VLOOKUP(C113,Recipes!$A$2:$N$4,10,FALSE())</f>
        <v/>
      </c>
      <c r="I113">
        <f>VLOOKUP(C113,Recipes!$A$2:$N$4,12,FALSE())</f>
        <v/>
      </c>
      <c r="J113">
        <f>IF(G113="","",H113-G113)</f>
        <v/>
      </c>
      <c r="K113">
        <f>IF(G113="","",IF(ABS(G113-H113)&lt;=$B$6*I113,"OK","NG"))</f>
        <v/>
      </c>
      <c r="L113">
        <f>IF(K113="","",IF(K113=D113,1,0))</f>
        <v/>
      </c>
      <c r="M113" t="inlineStr">
        <is>
          <t>N2</t>
        </is>
      </c>
      <c r="N113" s="15" t="n">
        <v>0.9444</v>
      </c>
      <c r="O113" s="15" t="n">
        <v>0.0377</v>
      </c>
      <c r="P113">
        <f>IF(M113="","",IF(M113=E113,1,0))</f>
        <v/>
      </c>
      <c r="Q113">
        <f>IF(K113="OK","-",IF(N113&lt;$B$7,"AMBIGUOUS","CONFIDENT"))</f>
        <v/>
      </c>
    </row>
    <row r="114">
      <c r="A114">
        <f>'Runs Z score'!A106</f>
        <v/>
      </c>
      <c r="B114">
        <f>'Runs Z score'!B106</f>
        <v/>
      </c>
      <c r="C114">
        <f>'Runs Z score'!C106</f>
        <v/>
      </c>
      <c r="D114">
        <f>'Runs Z score'!D106</f>
        <v/>
      </c>
      <c r="E114">
        <f>'Runs Z score'!E106</f>
        <v/>
      </c>
      <c r="F114">
        <f>'Runs Z score'!F106</f>
        <v/>
      </c>
      <c r="G114">
        <f>'Runs Z score'!G106</f>
        <v/>
      </c>
      <c r="H114">
        <f>VLOOKUP(C114,Recipes!$A$2:$N$4,10,FALSE())</f>
        <v/>
      </c>
      <c r="I114">
        <f>VLOOKUP(C114,Recipes!$A$2:$N$4,12,FALSE())</f>
        <v/>
      </c>
      <c r="J114">
        <f>IF(G114="","",H114-G114)</f>
        <v/>
      </c>
      <c r="K114">
        <f>IF(G114="","",IF(ABS(G114-H114)&lt;=$B$6*I114,"OK","NG"))</f>
        <v/>
      </c>
      <c r="L114">
        <f>IF(K114="","",IF(K114=D114,1,0))</f>
        <v/>
      </c>
      <c r="M114" t="inlineStr">
        <is>
          <t>N2</t>
        </is>
      </c>
      <c r="N114" s="15" t="n">
        <v>0.9422</v>
      </c>
      <c r="O114" s="15" t="n">
        <v>0.0394</v>
      </c>
      <c r="P114">
        <f>IF(M114="","",IF(M114=E114,1,0))</f>
        <v/>
      </c>
      <c r="Q114">
        <f>IF(K114="OK","-",IF(N114&lt;$B$7,"AMBIGUOUS","CONFIDENT"))</f>
        <v/>
      </c>
    </row>
    <row r="115">
      <c r="A115">
        <f>'Runs Z score'!A107</f>
        <v/>
      </c>
      <c r="B115">
        <f>'Runs Z score'!B107</f>
        <v/>
      </c>
      <c r="C115">
        <f>'Runs Z score'!C107</f>
        <v/>
      </c>
      <c r="D115">
        <f>'Runs Z score'!D107</f>
        <v/>
      </c>
      <c r="E115">
        <f>'Runs Z score'!E107</f>
        <v/>
      </c>
      <c r="F115">
        <f>'Runs Z score'!F107</f>
        <v/>
      </c>
      <c r="G115">
        <f>'Runs Z score'!G107</f>
        <v/>
      </c>
      <c r="H115">
        <f>VLOOKUP(C115,Recipes!$A$2:$N$4,10,FALSE())</f>
        <v/>
      </c>
      <c r="I115">
        <f>VLOOKUP(C115,Recipes!$A$2:$N$4,12,FALSE())</f>
        <v/>
      </c>
      <c r="J115">
        <f>IF(G115="","",H115-G115)</f>
        <v/>
      </c>
      <c r="K115">
        <f>IF(G115="","",IF(ABS(G115-H115)&lt;=$B$6*I115,"OK","NG"))</f>
        <v/>
      </c>
      <c r="L115">
        <f>IF(K115="","",IF(K115=D115,1,0))</f>
        <v/>
      </c>
      <c r="M115" t="inlineStr">
        <is>
          <t>N2</t>
        </is>
      </c>
      <c r="N115" s="15" t="n">
        <v>0.9428</v>
      </c>
      <c r="O115" s="15" t="n">
        <v>0.0387</v>
      </c>
      <c r="P115">
        <f>IF(M115="","",IF(M115=E115,1,0))</f>
        <v/>
      </c>
      <c r="Q115">
        <f>IF(K115="OK","-",IF(N115&lt;$B$7,"AMBIGUOUS","CONFIDENT"))</f>
        <v/>
      </c>
    </row>
    <row r="116">
      <c r="A116">
        <f>'Runs Z score'!A108</f>
        <v/>
      </c>
      <c r="B116">
        <f>'Runs Z score'!B108</f>
        <v/>
      </c>
      <c r="C116">
        <f>'Runs Z score'!C108</f>
        <v/>
      </c>
      <c r="D116">
        <f>'Runs Z score'!D108</f>
        <v/>
      </c>
      <c r="E116">
        <f>'Runs Z score'!E108</f>
        <v/>
      </c>
      <c r="F116">
        <f>'Runs Z score'!F108</f>
        <v/>
      </c>
      <c r="G116">
        <f>'Runs Z score'!G108</f>
        <v/>
      </c>
      <c r="H116">
        <f>VLOOKUP(C116,Recipes!$A$2:$N$4,10,FALSE())</f>
        <v/>
      </c>
      <c r="I116">
        <f>VLOOKUP(C116,Recipes!$A$2:$N$4,12,FALSE())</f>
        <v/>
      </c>
      <c r="J116">
        <f>IF(G116="","",H116-G116)</f>
        <v/>
      </c>
      <c r="K116">
        <f>IF(G116="","",IF(ABS(G116-H116)&lt;=$B$6*I116,"OK","NG"))</f>
        <v/>
      </c>
      <c r="L116">
        <f>IF(K116="","",IF(K116=D116,1,0))</f>
        <v/>
      </c>
      <c r="M116" t="inlineStr">
        <is>
          <t>N2</t>
        </is>
      </c>
      <c r="N116" s="15" t="n">
        <v>0.9413</v>
      </c>
      <c r="O116" s="15" t="n">
        <v>0.0398</v>
      </c>
      <c r="P116">
        <f>IF(M116="","",IF(M116=E116,1,0))</f>
        <v/>
      </c>
      <c r="Q116">
        <f>IF(K116="OK","-",IF(N116&lt;$B$7,"AMBIGUOUS","CONFIDENT"))</f>
        <v/>
      </c>
    </row>
    <row r="117">
      <c r="A117">
        <f>'Runs Z score'!A109</f>
        <v/>
      </c>
      <c r="B117">
        <f>'Runs Z score'!B109</f>
        <v/>
      </c>
      <c r="C117">
        <f>'Runs Z score'!C109</f>
        <v/>
      </c>
      <c r="D117">
        <f>'Runs Z score'!D109</f>
        <v/>
      </c>
      <c r="E117">
        <f>'Runs Z score'!E109</f>
        <v/>
      </c>
      <c r="F117">
        <f>'Runs Z score'!F109</f>
        <v/>
      </c>
      <c r="G117">
        <f>'Runs Z score'!G109</f>
        <v/>
      </c>
      <c r="H117">
        <f>VLOOKUP(C117,Recipes!$A$2:$N$4,10,FALSE())</f>
        <v/>
      </c>
      <c r="I117">
        <f>VLOOKUP(C117,Recipes!$A$2:$N$4,12,FALSE())</f>
        <v/>
      </c>
      <c r="J117">
        <f>IF(G117="","",H117-G117)</f>
        <v/>
      </c>
      <c r="K117">
        <f>IF(G117="","",IF(ABS(G117-H117)&lt;=$B$6*I117,"OK","NG"))</f>
        <v/>
      </c>
      <c r="L117">
        <f>IF(K117="","",IF(K117=D117,1,0))</f>
        <v/>
      </c>
      <c r="M117" t="inlineStr">
        <is>
          <t>N2</t>
        </is>
      </c>
      <c r="N117" s="15" t="n">
        <v>0.9439</v>
      </c>
      <c r="O117" s="15" t="n">
        <v>0.0381</v>
      </c>
      <c r="P117">
        <f>IF(M117="","",IF(M117=E117,1,0))</f>
        <v/>
      </c>
      <c r="Q117">
        <f>IF(K117="OK","-",IF(N117&lt;$B$7,"AMBIGUOUS","CONFIDENT"))</f>
        <v/>
      </c>
    </row>
    <row r="118">
      <c r="A118">
        <f>'Runs Z score'!A110</f>
        <v/>
      </c>
      <c r="B118">
        <f>'Runs Z score'!B110</f>
        <v/>
      </c>
      <c r="C118">
        <f>'Runs Z score'!C110</f>
        <v/>
      </c>
      <c r="D118">
        <f>'Runs Z score'!D110</f>
        <v/>
      </c>
      <c r="E118">
        <f>'Runs Z score'!E110</f>
        <v/>
      </c>
      <c r="F118">
        <f>'Runs Z score'!F110</f>
        <v/>
      </c>
      <c r="G118">
        <f>'Runs Z score'!G110</f>
        <v/>
      </c>
      <c r="H118">
        <f>VLOOKUP(C118,Recipes!$A$2:$N$4,10,FALSE())</f>
        <v/>
      </c>
      <c r="I118">
        <f>VLOOKUP(C118,Recipes!$A$2:$N$4,12,FALSE())</f>
        <v/>
      </c>
      <c r="J118">
        <f>IF(G118="","",H118-G118)</f>
        <v/>
      </c>
      <c r="K118">
        <f>IF(G118="","",IF(ABS(G118-H118)&lt;=$B$6*I118,"OK","NG"))</f>
        <v/>
      </c>
      <c r="L118">
        <f>IF(K118="","",IF(K118=D118,1,0))</f>
        <v/>
      </c>
      <c r="M118" t="inlineStr">
        <is>
          <t>N2</t>
        </is>
      </c>
      <c r="N118" s="15" t="n">
        <v>0.9418</v>
      </c>
      <c r="O118" s="15" t="n">
        <v>0.0397</v>
      </c>
      <c r="P118">
        <f>IF(M118="","",IF(M118=E118,1,0))</f>
        <v/>
      </c>
      <c r="Q118">
        <f>IF(K118="OK","-",IF(N118&lt;$B$7,"AMBIGUOUS","CONFIDENT"))</f>
        <v/>
      </c>
    </row>
    <row r="119">
      <c r="A119">
        <f>'Runs Z score'!A111</f>
        <v/>
      </c>
      <c r="B119">
        <f>'Runs Z score'!B111</f>
        <v/>
      </c>
      <c r="C119">
        <f>'Runs Z score'!C111</f>
        <v/>
      </c>
      <c r="D119">
        <f>'Runs Z score'!D111</f>
        <v/>
      </c>
      <c r="E119">
        <f>'Runs Z score'!E111</f>
        <v/>
      </c>
      <c r="F119">
        <f>'Runs Z score'!F111</f>
        <v/>
      </c>
      <c r="G119">
        <f>'Runs Z score'!G111</f>
        <v/>
      </c>
      <c r="H119">
        <f>VLOOKUP(C119,Recipes!$A$2:$N$4,10,FALSE())</f>
        <v/>
      </c>
      <c r="I119">
        <f>VLOOKUP(C119,Recipes!$A$2:$N$4,12,FALSE())</f>
        <v/>
      </c>
      <c r="J119">
        <f>IF(G119="","",H119-G119)</f>
        <v/>
      </c>
      <c r="K119">
        <f>IF(G119="","",IF(ABS(G119-H119)&lt;=$B$6*I119,"OK","NG"))</f>
        <v/>
      </c>
      <c r="L119">
        <f>IF(K119="","",IF(K119=D119,1,0))</f>
        <v/>
      </c>
      <c r="M119" t="inlineStr">
        <is>
          <t>N2</t>
        </is>
      </c>
      <c r="N119" s="15" t="n">
        <v>0.9366</v>
      </c>
      <c r="O119" s="15" t="n">
        <v>0.0435</v>
      </c>
      <c r="P119">
        <f>IF(M119="","",IF(M119=E119,1,0))</f>
        <v/>
      </c>
      <c r="Q119">
        <f>IF(K119="OK","-",IF(N119&lt;$B$7,"AMBIGUOUS","CONFIDENT"))</f>
        <v/>
      </c>
    </row>
    <row r="120">
      <c r="A120">
        <f>'Runs Z score'!A112</f>
        <v/>
      </c>
      <c r="B120">
        <f>'Runs Z score'!B112</f>
        <v/>
      </c>
      <c r="C120">
        <f>'Runs Z score'!C112</f>
        <v/>
      </c>
      <c r="D120">
        <f>'Runs Z score'!D112</f>
        <v/>
      </c>
      <c r="E120">
        <f>'Runs Z score'!E112</f>
        <v/>
      </c>
      <c r="F120">
        <f>'Runs Z score'!F112</f>
        <v/>
      </c>
      <c r="G120">
        <f>'Runs Z score'!G112</f>
        <v/>
      </c>
      <c r="H120">
        <f>VLOOKUP(C120,Recipes!$A$2:$N$4,10,FALSE())</f>
        <v/>
      </c>
      <c r="I120">
        <f>VLOOKUP(C120,Recipes!$A$2:$N$4,12,FALSE())</f>
        <v/>
      </c>
      <c r="J120">
        <f>IF(G120="","",H120-G120)</f>
        <v/>
      </c>
      <c r="K120">
        <f>IF(G120="","",IF(ABS(G120-H120)&lt;=$B$6*I120,"OK","NG"))</f>
        <v/>
      </c>
      <c r="L120">
        <f>IF(K120="","",IF(K120=D120,1,0))</f>
        <v/>
      </c>
      <c r="M120" t="inlineStr">
        <is>
          <t>N2</t>
        </is>
      </c>
      <c r="N120" s="15" t="n">
        <v>0.9429999999999999</v>
      </c>
      <c r="O120" s="15" t="n">
        <v>0.0387</v>
      </c>
      <c r="P120">
        <f>IF(M120="","",IF(M120=E120,1,0))</f>
        <v/>
      </c>
      <c r="Q120">
        <f>IF(K120="OK","-",IF(N120&lt;$B$7,"AMBIGUOUS","CONFIDENT"))</f>
        <v/>
      </c>
    </row>
    <row r="121">
      <c r="A121">
        <f>'Runs Z score'!A113</f>
        <v/>
      </c>
      <c r="B121">
        <f>'Runs Z score'!B113</f>
        <v/>
      </c>
      <c r="C121">
        <f>'Runs Z score'!C113</f>
        <v/>
      </c>
      <c r="D121">
        <f>'Runs Z score'!D113</f>
        <v/>
      </c>
      <c r="E121">
        <f>'Runs Z score'!E113</f>
        <v/>
      </c>
      <c r="F121">
        <f>'Runs Z score'!F113</f>
        <v/>
      </c>
      <c r="G121">
        <f>'Runs Z score'!G113</f>
        <v/>
      </c>
      <c r="H121">
        <f>VLOOKUP(C121,Recipes!$A$2:$N$4,10,FALSE())</f>
        <v/>
      </c>
      <c r="I121">
        <f>VLOOKUP(C121,Recipes!$A$2:$N$4,12,FALSE())</f>
        <v/>
      </c>
      <c r="J121">
        <f>IF(G121="","",H121-G121)</f>
        <v/>
      </c>
      <c r="K121">
        <f>IF(G121="","",IF(ABS(G121-H121)&lt;=$B$6*I121,"OK","NG"))</f>
        <v/>
      </c>
      <c r="L121">
        <f>IF(K121="","",IF(K121=D121,1,0))</f>
        <v/>
      </c>
      <c r="M121" t="inlineStr">
        <is>
          <t>N2</t>
        </is>
      </c>
      <c r="N121" s="15" t="n">
        <v>0.9431</v>
      </c>
      <c r="O121" s="15" t="n">
        <v>0.0387</v>
      </c>
      <c r="P121">
        <f>IF(M121="","",IF(M121=E121,1,0))</f>
        <v/>
      </c>
      <c r="Q121">
        <f>IF(K121="OK","-",IF(N121&lt;$B$7,"AMBIGUOUS","CONFIDENT"))</f>
        <v/>
      </c>
    </row>
    <row r="122">
      <c r="A122">
        <f>'Runs Z score'!A114</f>
        <v/>
      </c>
      <c r="B122">
        <f>'Runs Z score'!B114</f>
        <v/>
      </c>
      <c r="C122">
        <f>'Runs Z score'!C114</f>
        <v/>
      </c>
      <c r="D122">
        <f>'Runs Z score'!D114</f>
        <v/>
      </c>
      <c r="E122">
        <f>'Runs Z score'!E114</f>
        <v/>
      </c>
      <c r="F122">
        <f>'Runs Z score'!F114</f>
        <v/>
      </c>
      <c r="G122">
        <f>'Runs Z score'!G114</f>
        <v/>
      </c>
      <c r="H122">
        <f>VLOOKUP(C122,Recipes!$A$2:$N$4,10,FALSE())</f>
        <v/>
      </c>
      <c r="I122">
        <f>VLOOKUP(C122,Recipes!$A$2:$N$4,12,FALSE())</f>
        <v/>
      </c>
      <c r="J122">
        <f>IF(G122="","",H122-G122)</f>
        <v/>
      </c>
      <c r="K122">
        <f>IF(G122="","",IF(ABS(G122-H122)&lt;=$B$6*I122,"OK","NG"))</f>
        <v/>
      </c>
      <c r="L122">
        <f>IF(K122="","",IF(K122=D122,1,0))</f>
        <v/>
      </c>
      <c r="M122" t="inlineStr">
        <is>
          <t>N2</t>
        </is>
      </c>
      <c r="N122" s="15" t="n">
        <v>0.9427</v>
      </c>
      <c r="O122" s="15" t="n">
        <v>0.0388</v>
      </c>
      <c r="P122">
        <f>IF(M122="","",IF(M122=E122,1,0))</f>
        <v/>
      </c>
      <c r="Q122">
        <f>IF(K122="OK","-",IF(N122&lt;$B$7,"AMBIGUOUS","CONFIDENT"))</f>
        <v/>
      </c>
    </row>
    <row r="123">
      <c r="A123">
        <f>'Runs Z score'!A115</f>
        <v/>
      </c>
      <c r="B123">
        <f>'Runs Z score'!B115</f>
        <v/>
      </c>
      <c r="C123">
        <f>'Runs Z score'!C115</f>
        <v/>
      </c>
      <c r="D123">
        <f>'Runs Z score'!D115</f>
        <v/>
      </c>
      <c r="E123">
        <f>'Runs Z score'!E115</f>
        <v/>
      </c>
      <c r="F123">
        <f>'Runs Z score'!F115</f>
        <v/>
      </c>
      <c r="G123">
        <f>'Runs Z score'!G115</f>
        <v/>
      </c>
      <c r="H123">
        <f>VLOOKUP(C123,Recipes!$A$2:$N$4,10,FALSE())</f>
        <v/>
      </c>
      <c r="I123">
        <f>VLOOKUP(C123,Recipes!$A$2:$N$4,12,FALSE())</f>
        <v/>
      </c>
      <c r="J123">
        <f>IF(G123="","",H123-G123)</f>
        <v/>
      </c>
      <c r="K123">
        <f>IF(G123="","",IF(ABS(G123-H123)&lt;=$B$6*I123,"OK","NG"))</f>
        <v/>
      </c>
      <c r="L123">
        <f>IF(K123="","",IF(K123=D123,1,0))</f>
        <v/>
      </c>
      <c r="M123" t="inlineStr">
        <is>
          <t>N2</t>
        </is>
      </c>
      <c r="N123" s="15" t="n">
        <v>0.9418</v>
      </c>
      <c r="O123" s="15" t="n">
        <v>0.0397</v>
      </c>
      <c r="P123">
        <f>IF(M123="","",IF(M123=E123,1,0))</f>
        <v/>
      </c>
      <c r="Q123">
        <f>IF(K123="OK","-",IF(N123&lt;$B$7,"AMBIGUOUS","CONFIDENT"))</f>
        <v/>
      </c>
    </row>
    <row r="124">
      <c r="A124">
        <f>'Runs Z score'!A116</f>
        <v/>
      </c>
      <c r="B124">
        <f>'Runs Z score'!B116</f>
        <v/>
      </c>
      <c r="C124">
        <f>'Runs Z score'!C116</f>
        <v/>
      </c>
      <c r="D124">
        <f>'Runs Z score'!D116</f>
        <v/>
      </c>
      <c r="E124">
        <f>'Runs Z score'!E116</f>
        <v/>
      </c>
      <c r="F124">
        <f>'Runs Z score'!F116</f>
        <v/>
      </c>
      <c r="G124">
        <f>'Runs Z score'!G116</f>
        <v/>
      </c>
      <c r="H124">
        <f>VLOOKUP(C124,Recipes!$A$2:$N$4,10,FALSE())</f>
        <v/>
      </c>
      <c r="I124">
        <f>VLOOKUP(C124,Recipes!$A$2:$N$4,12,FALSE())</f>
        <v/>
      </c>
      <c r="J124">
        <f>IF(G124="","",H124-G124)</f>
        <v/>
      </c>
      <c r="K124">
        <f>IF(G124="","",IF(ABS(G124-H124)&lt;=$B$6*I124,"OK","NG"))</f>
        <v/>
      </c>
      <c r="L124">
        <f>IF(K124="","",IF(K124=D124,1,0))</f>
        <v/>
      </c>
      <c r="M124" t="inlineStr">
        <is>
          <t>N2</t>
        </is>
      </c>
      <c r="N124" s="15" t="n">
        <v>0.9443</v>
      </c>
      <c r="O124" s="15" t="n">
        <v>0.0378</v>
      </c>
      <c r="P124">
        <f>IF(M124="","",IF(M124=E124,1,0))</f>
        <v/>
      </c>
      <c r="Q124">
        <f>IF(K124="OK","-",IF(N124&lt;$B$7,"AMBIGUOUS","CONFIDENT"))</f>
        <v/>
      </c>
    </row>
    <row r="125">
      <c r="A125">
        <f>'Runs Z score'!A117</f>
        <v/>
      </c>
      <c r="B125">
        <f>'Runs Z score'!B117</f>
        <v/>
      </c>
      <c r="C125">
        <f>'Runs Z score'!C117</f>
        <v/>
      </c>
      <c r="D125">
        <f>'Runs Z score'!D117</f>
        <v/>
      </c>
      <c r="E125">
        <f>'Runs Z score'!E117</f>
        <v/>
      </c>
      <c r="F125">
        <f>'Runs Z score'!F117</f>
        <v/>
      </c>
      <c r="G125">
        <f>'Runs Z score'!G117</f>
        <v/>
      </c>
      <c r="H125">
        <f>VLOOKUP(C125,Recipes!$A$2:$N$4,10,FALSE())</f>
        <v/>
      </c>
      <c r="I125">
        <f>VLOOKUP(C125,Recipes!$A$2:$N$4,12,FALSE())</f>
        <v/>
      </c>
      <c r="J125">
        <f>IF(G125="","",H125-G125)</f>
        <v/>
      </c>
      <c r="K125">
        <f>IF(G125="","",IF(ABS(G125-H125)&lt;=$B$6*I125,"OK","NG"))</f>
        <v/>
      </c>
      <c r="L125">
        <f>IF(K125="","",IF(K125=D125,1,0))</f>
        <v/>
      </c>
      <c r="M125" t="inlineStr">
        <is>
          <t>N2</t>
        </is>
      </c>
      <c r="N125" s="15" t="n">
        <v>0.9443</v>
      </c>
      <c r="O125" s="15" t="n">
        <v>0.0378</v>
      </c>
      <c r="P125">
        <f>IF(M125="","",IF(M125=E125,1,0))</f>
        <v/>
      </c>
      <c r="Q125">
        <f>IF(K125="OK","-",IF(N125&lt;$B$7,"AMBIGUOUS","CONFIDENT"))</f>
        <v/>
      </c>
    </row>
    <row r="126">
      <c r="A126">
        <f>'Runs Z score'!A118</f>
        <v/>
      </c>
      <c r="B126">
        <f>'Runs Z score'!B118</f>
        <v/>
      </c>
      <c r="C126">
        <f>'Runs Z score'!C118</f>
        <v/>
      </c>
      <c r="D126">
        <f>'Runs Z score'!D118</f>
        <v/>
      </c>
      <c r="E126">
        <f>'Runs Z score'!E118</f>
        <v/>
      </c>
      <c r="F126">
        <f>'Runs Z score'!F118</f>
        <v/>
      </c>
      <c r="G126">
        <f>'Runs Z score'!G118</f>
        <v/>
      </c>
      <c r="H126">
        <f>VLOOKUP(C126,Recipes!$A$2:$N$4,10,FALSE())</f>
        <v/>
      </c>
      <c r="I126">
        <f>VLOOKUP(C126,Recipes!$A$2:$N$4,12,FALSE())</f>
        <v/>
      </c>
      <c r="J126">
        <f>IF(G126="","",H126-G126)</f>
        <v/>
      </c>
      <c r="K126">
        <f>IF(G126="","",IF(ABS(G126-H126)&lt;=$B$6*I126,"OK","NG"))</f>
        <v/>
      </c>
      <c r="L126">
        <f>IF(K126="","",IF(K126=D126,1,0))</f>
        <v/>
      </c>
      <c r="M126" t="inlineStr">
        <is>
          <t>N2</t>
        </is>
      </c>
      <c r="N126" s="15" t="n">
        <v>0.9418</v>
      </c>
      <c r="O126" s="15" t="n">
        <v>0.0397</v>
      </c>
      <c r="P126">
        <f>IF(M126="","",IF(M126=E126,1,0))</f>
        <v/>
      </c>
      <c r="Q126">
        <f>IF(K126="OK","-",IF(N126&lt;$B$7,"AMBIGUOUS","CONFIDENT"))</f>
        <v/>
      </c>
    </row>
    <row r="127">
      <c r="A127">
        <f>'Runs Z score'!A119</f>
        <v/>
      </c>
      <c r="B127">
        <f>'Runs Z score'!B119</f>
        <v/>
      </c>
      <c r="C127">
        <f>'Runs Z score'!C119</f>
        <v/>
      </c>
      <c r="D127">
        <f>'Runs Z score'!D119</f>
        <v/>
      </c>
      <c r="E127">
        <f>'Runs Z score'!E119</f>
        <v/>
      </c>
      <c r="F127">
        <f>'Runs Z score'!F119</f>
        <v/>
      </c>
      <c r="G127">
        <f>'Runs Z score'!G119</f>
        <v/>
      </c>
      <c r="H127">
        <f>VLOOKUP(C127,Recipes!$A$2:$N$4,10,FALSE())</f>
        <v/>
      </c>
      <c r="I127">
        <f>VLOOKUP(C127,Recipes!$A$2:$N$4,12,FALSE())</f>
        <v/>
      </c>
      <c r="J127">
        <f>IF(G127="","",H127-G127)</f>
        <v/>
      </c>
      <c r="K127">
        <f>IF(G127="","",IF(ABS(G127-H127)&lt;=$B$6*I127,"OK","NG"))</f>
        <v/>
      </c>
      <c r="L127">
        <f>IF(K127="","",IF(K127=D127,1,0))</f>
        <v/>
      </c>
      <c r="M127" t="inlineStr">
        <is>
          <t>N2</t>
        </is>
      </c>
      <c r="N127" s="15" t="n">
        <v>0.9412</v>
      </c>
      <c r="O127" s="15" t="n">
        <v>0.0399</v>
      </c>
      <c r="P127">
        <f>IF(M127="","",IF(M127=E127,1,0))</f>
        <v/>
      </c>
      <c r="Q127">
        <f>IF(K127="OK","-",IF(N127&lt;$B$7,"AMBIGUOUS","CONFIDENT"))</f>
        <v/>
      </c>
    </row>
    <row r="128">
      <c r="A128">
        <f>'Runs Z score'!A120</f>
        <v/>
      </c>
      <c r="B128">
        <f>'Runs Z score'!B120</f>
        <v/>
      </c>
      <c r="C128">
        <f>'Runs Z score'!C120</f>
        <v/>
      </c>
      <c r="D128">
        <f>'Runs Z score'!D120</f>
        <v/>
      </c>
      <c r="E128">
        <f>'Runs Z score'!E120</f>
        <v/>
      </c>
      <c r="F128">
        <f>'Runs Z score'!F120</f>
        <v/>
      </c>
      <c r="G128">
        <f>'Runs Z score'!G120</f>
        <v/>
      </c>
      <c r="H128">
        <f>VLOOKUP(C128,Recipes!$A$2:$N$4,10,FALSE())</f>
        <v/>
      </c>
      <c r="I128">
        <f>VLOOKUP(C128,Recipes!$A$2:$N$4,12,FALSE())</f>
        <v/>
      </c>
      <c r="J128">
        <f>IF(G128="","",H128-G128)</f>
        <v/>
      </c>
      <c r="K128">
        <f>IF(G128="","",IF(ABS(G128-H128)&lt;=$B$6*I128,"OK","NG"))</f>
        <v/>
      </c>
      <c r="L128">
        <f>IF(K128="","",IF(K128=D128,1,0))</f>
        <v/>
      </c>
      <c r="M128" t="inlineStr">
        <is>
          <t>N2</t>
        </is>
      </c>
      <c r="N128" s="15" t="n">
        <v>0.9417</v>
      </c>
      <c r="O128" s="15" t="n">
        <v>0.0398</v>
      </c>
      <c r="P128">
        <f>IF(M128="","",IF(M128=E128,1,0))</f>
        <v/>
      </c>
      <c r="Q128">
        <f>IF(K128="OK","-",IF(N128&lt;$B$7,"AMBIGUOUS","CONFIDENT"))</f>
        <v/>
      </c>
    </row>
    <row r="129">
      <c r="A129">
        <f>'Runs Z score'!A121</f>
        <v/>
      </c>
      <c r="B129">
        <f>'Runs Z score'!B121</f>
        <v/>
      </c>
      <c r="C129">
        <f>'Runs Z score'!C121</f>
        <v/>
      </c>
      <c r="D129">
        <f>'Runs Z score'!D121</f>
        <v/>
      </c>
      <c r="E129">
        <f>'Runs Z score'!E121</f>
        <v/>
      </c>
      <c r="F129">
        <f>'Runs Z score'!F121</f>
        <v/>
      </c>
      <c r="G129">
        <f>'Runs Z score'!G121</f>
        <v/>
      </c>
      <c r="H129">
        <f>VLOOKUP(C129,Recipes!$A$2:$N$4,10,FALSE())</f>
        <v/>
      </c>
      <c r="I129">
        <f>VLOOKUP(C129,Recipes!$A$2:$N$4,12,FALSE())</f>
        <v/>
      </c>
      <c r="J129">
        <f>IF(G129="","",H129-G129)</f>
        <v/>
      </c>
      <c r="K129">
        <f>IF(G129="","",IF(ABS(G129-H129)&lt;=$B$6*I129,"OK","NG"))</f>
        <v/>
      </c>
      <c r="L129">
        <f>IF(K129="","",IF(K129=D129,1,0))</f>
        <v/>
      </c>
      <c r="M129" t="inlineStr">
        <is>
          <t>N2</t>
        </is>
      </c>
      <c r="N129" s="15" t="n">
        <v>0.9452</v>
      </c>
      <c r="O129" s="15" t="n">
        <v>0.037</v>
      </c>
      <c r="P129">
        <f>IF(M129="","",IF(M129=E129,1,0))</f>
        <v/>
      </c>
      <c r="Q129">
        <f>IF(K129="OK","-",IF(N129&lt;$B$7,"AMBIGUOUS","CONFIDENT"))</f>
        <v/>
      </c>
    </row>
    <row r="130">
      <c r="A130">
        <f>'Runs Z score'!A122</f>
        <v/>
      </c>
      <c r="B130">
        <f>'Runs Z score'!B122</f>
        <v/>
      </c>
      <c r="C130">
        <f>'Runs Z score'!C122</f>
        <v/>
      </c>
      <c r="D130">
        <f>'Runs Z score'!D122</f>
        <v/>
      </c>
      <c r="E130">
        <f>'Runs Z score'!E122</f>
        <v/>
      </c>
      <c r="F130">
        <f>'Runs Z score'!F122</f>
        <v/>
      </c>
      <c r="G130">
        <f>'Runs Z score'!G122</f>
        <v/>
      </c>
      <c r="H130">
        <f>VLOOKUP(C130,Recipes!$A$2:$N$4,10,FALSE())</f>
        <v/>
      </c>
      <c r="I130">
        <f>VLOOKUP(C130,Recipes!$A$2:$N$4,12,FALSE())</f>
        <v/>
      </c>
      <c r="J130">
        <f>IF(G130="","",H130-G130)</f>
        <v/>
      </c>
      <c r="K130">
        <f>IF(G130="","",IF(ABS(G130-H130)&lt;=$B$6*I130,"OK","NG"))</f>
        <v/>
      </c>
      <c r="L130">
        <f>IF(K130="","",IF(K130=D130,1,0))</f>
        <v/>
      </c>
      <c r="M130" t="inlineStr">
        <is>
          <t>N2</t>
        </is>
      </c>
      <c r="N130" s="15" t="n">
        <v>0.9424</v>
      </c>
      <c r="O130" s="15" t="n">
        <v>0.0392</v>
      </c>
      <c r="P130">
        <f>IF(M130="","",IF(M130=E130,1,0))</f>
        <v/>
      </c>
      <c r="Q130">
        <f>IF(K130="OK","-",IF(N130&lt;$B$7,"AMBIGUOUS","CONFIDENT"))</f>
        <v/>
      </c>
    </row>
    <row r="131">
      <c r="A131">
        <f>'Runs Z score'!A123</f>
        <v/>
      </c>
      <c r="B131">
        <f>'Runs Z score'!B123</f>
        <v/>
      </c>
      <c r="C131">
        <f>'Runs Z score'!C123</f>
        <v/>
      </c>
      <c r="D131">
        <f>'Runs Z score'!D123</f>
        <v/>
      </c>
      <c r="E131">
        <f>'Runs Z score'!E123</f>
        <v/>
      </c>
      <c r="F131">
        <f>'Runs Z score'!F123</f>
        <v/>
      </c>
      <c r="G131">
        <f>'Runs Z score'!G123</f>
        <v/>
      </c>
      <c r="H131">
        <f>VLOOKUP(C131,Recipes!$A$2:$N$4,10,FALSE())</f>
        <v/>
      </c>
      <c r="I131">
        <f>VLOOKUP(C131,Recipes!$A$2:$N$4,12,FALSE())</f>
        <v/>
      </c>
      <c r="J131">
        <f>IF(G131="","",H131-G131)</f>
        <v/>
      </c>
      <c r="K131">
        <f>IF(G131="","",IF(ABS(G131-H131)&lt;=$B$6*I131,"OK","NG"))</f>
        <v/>
      </c>
      <c r="L131">
        <f>IF(K131="","",IF(K131=D131,1,0))</f>
        <v/>
      </c>
      <c r="M131" t="inlineStr">
        <is>
          <t>NONE</t>
        </is>
      </c>
      <c r="N131" s="15" t="n">
        <v>1</v>
      </c>
      <c r="O131" s="15" t="n">
        <v>0</v>
      </c>
      <c r="P131">
        <f>IF(M131="","",IF(M131=E131,1,0))</f>
        <v/>
      </c>
      <c r="Q131">
        <f>IF(K131="OK","-",IF(N131&lt;$B$7,"AMBIGUOUS","CONFIDENT"))</f>
        <v/>
      </c>
    </row>
    <row r="132">
      <c r="A132">
        <f>'Runs Z score'!A124</f>
        <v/>
      </c>
      <c r="B132">
        <f>'Runs Z score'!B124</f>
        <v/>
      </c>
      <c r="C132">
        <f>'Runs Z score'!C124</f>
        <v/>
      </c>
      <c r="D132">
        <f>'Runs Z score'!D124</f>
        <v/>
      </c>
      <c r="E132">
        <f>'Runs Z score'!E124</f>
        <v/>
      </c>
      <c r="F132">
        <f>'Runs Z score'!F124</f>
        <v/>
      </c>
      <c r="G132">
        <f>'Runs Z score'!G124</f>
        <v/>
      </c>
      <c r="H132">
        <f>VLOOKUP(C132,Recipes!$A$2:$N$4,10,FALSE())</f>
        <v/>
      </c>
      <c r="I132">
        <f>VLOOKUP(C132,Recipes!$A$2:$N$4,12,FALSE())</f>
        <v/>
      </c>
      <c r="J132">
        <f>IF(G132="","",H132-G132)</f>
        <v/>
      </c>
      <c r="K132">
        <f>IF(G132="","",IF(ABS(G132-H132)&lt;=$B$6*I132,"OK","NG"))</f>
        <v/>
      </c>
      <c r="L132">
        <f>IF(K132="","",IF(K132=D132,1,0))</f>
        <v/>
      </c>
      <c r="M132" t="inlineStr">
        <is>
          <t>NONE</t>
        </is>
      </c>
      <c r="N132" s="15" t="n">
        <v>1</v>
      </c>
      <c r="O132" s="15" t="n">
        <v>0</v>
      </c>
      <c r="P132">
        <f>IF(M132="","",IF(M132=E132,1,0))</f>
        <v/>
      </c>
      <c r="Q132">
        <f>IF(K132="OK","-",IF(N132&lt;$B$7,"AMBIGUOUS","CONFIDENT"))</f>
        <v/>
      </c>
    </row>
    <row r="133">
      <c r="A133">
        <f>'Runs Z score'!A125</f>
        <v/>
      </c>
      <c r="B133">
        <f>'Runs Z score'!B125</f>
        <v/>
      </c>
      <c r="C133">
        <f>'Runs Z score'!C125</f>
        <v/>
      </c>
      <c r="D133">
        <f>'Runs Z score'!D125</f>
        <v/>
      </c>
      <c r="E133">
        <f>'Runs Z score'!E125</f>
        <v/>
      </c>
      <c r="F133">
        <f>'Runs Z score'!F125</f>
        <v/>
      </c>
      <c r="G133">
        <f>'Runs Z score'!G125</f>
        <v/>
      </c>
      <c r="H133">
        <f>VLOOKUP(C133,Recipes!$A$2:$N$4,10,FALSE())</f>
        <v/>
      </c>
      <c r="I133">
        <f>VLOOKUP(C133,Recipes!$A$2:$N$4,12,FALSE())</f>
        <v/>
      </c>
      <c r="J133">
        <f>IF(G133="","",H133-G133)</f>
        <v/>
      </c>
      <c r="K133">
        <f>IF(G133="","",IF(ABS(G133-H133)&lt;=$B$6*I133,"OK","NG"))</f>
        <v/>
      </c>
      <c r="L133">
        <f>IF(K133="","",IF(K133=D133,1,0))</f>
        <v/>
      </c>
      <c r="M133" t="inlineStr">
        <is>
          <t>NONE</t>
        </is>
      </c>
      <c r="N133" s="15" t="n">
        <v>1</v>
      </c>
      <c r="O133" s="15" t="n">
        <v>0</v>
      </c>
      <c r="P133">
        <f>IF(M133="","",IF(M133=E133,1,0))</f>
        <v/>
      </c>
      <c r="Q133">
        <f>IF(K133="OK","-",IF(N133&lt;$B$7,"AMBIGUOUS","CONFIDENT"))</f>
        <v/>
      </c>
    </row>
    <row r="134">
      <c r="A134">
        <f>'Runs Z score'!A126</f>
        <v/>
      </c>
      <c r="B134">
        <f>'Runs Z score'!B126</f>
        <v/>
      </c>
      <c r="C134">
        <f>'Runs Z score'!C126</f>
        <v/>
      </c>
      <c r="D134">
        <f>'Runs Z score'!D126</f>
        <v/>
      </c>
      <c r="E134">
        <f>'Runs Z score'!E126</f>
        <v/>
      </c>
      <c r="F134">
        <f>'Runs Z score'!F126</f>
        <v/>
      </c>
      <c r="G134">
        <f>'Runs Z score'!G126</f>
        <v/>
      </c>
      <c r="H134">
        <f>VLOOKUP(C134,Recipes!$A$2:$N$4,10,FALSE())</f>
        <v/>
      </c>
      <c r="I134">
        <f>VLOOKUP(C134,Recipes!$A$2:$N$4,12,FALSE())</f>
        <v/>
      </c>
      <c r="J134">
        <f>IF(G134="","",H134-G134)</f>
        <v/>
      </c>
      <c r="K134">
        <f>IF(G134="","",IF(ABS(G134-H134)&lt;=$B$6*I134,"OK","NG"))</f>
        <v/>
      </c>
      <c r="L134">
        <f>IF(K134="","",IF(K134=D134,1,0))</f>
        <v/>
      </c>
      <c r="M134" t="inlineStr">
        <is>
          <t>NONE</t>
        </is>
      </c>
      <c r="N134" s="15" t="n">
        <v>1</v>
      </c>
      <c r="O134" s="15" t="n">
        <v>0</v>
      </c>
      <c r="P134">
        <f>IF(M134="","",IF(M134=E134,1,0))</f>
        <v/>
      </c>
      <c r="Q134">
        <f>IF(K134="OK","-",IF(N134&lt;$B$7,"AMBIGUOUS","CONFIDENT"))</f>
        <v/>
      </c>
    </row>
    <row r="135">
      <c r="A135">
        <f>'Runs Z score'!A127</f>
        <v/>
      </c>
      <c r="B135">
        <f>'Runs Z score'!B127</f>
        <v/>
      </c>
      <c r="C135">
        <f>'Runs Z score'!C127</f>
        <v/>
      </c>
      <c r="D135">
        <f>'Runs Z score'!D127</f>
        <v/>
      </c>
      <c r="E135">
        <f>'Runs Z score'!E127</f>
        <v/>
      </c>
      <c r="F135">
        <f>'Runs Z score'!F127</f>
        <v/>
      </c>
      <c r="G135">
        <f>'Runs Z score'!G127</f>
        <v/>
      </c>
      <c r="H135">
        <f>VLOOKUP(C135,Recipes!$A$2:$N$4,10,FALSE())</f>
        <v/>
      </c>
      <c r="I135">
        <f>VLOOKUP(C135,Recipes!$A$2:$N$4,12,FALSE())</f>
        <v/>
      </c>
      <c r="J135">
        <f>IF(G135="","",H135-G135)</f>
        <v/>
      </c>
      <c r="K135">
        <f>IF(G135="","",IF(ABS(G135-H135)&lt;=$B$6*I135,"OK","NG"))</f>
        <v/>
      </c>
      <c r="L135">
        <f>IF(K135="","",IF(K135=D135,1,0))</f>
        <v/>
      </c>
      <c r="M135" t="inlineStr">
        <is>
          <t>NONE</t>
        </is>
      </c>
      <c r="N135" s="15" t="n">
        <v>1</v>
      </c>
      <c r="O135" s="15" t="n">
        <v>0</v>
      </c>
      <c r="P135">
        <f>IF(M135="","",IF(M135=E135,1,0))</f>
        <v/>
      </c>
      <c r="Q135">
        <f>IF(K135="OK","-",IF(N135&lt;$B$7,"AMBIGUOUS","CONFIDENT"))</f>
        <v/>
      </c>
    </row>
    <row r="136">
      <c r="A136">
        <f>'Runs Z score'!A128</f>
        <v/>
      </c>
      <c r="B136">
        <f>'Runs Z score'!B128</f>
        <v/>
      </c>
      <c r="C136">
        <f>'Runs Z score'!C128</f>
        <v/>
      </c>
      <c r="D136">
        <f>'Runs Z score'!D128</f>
        <v/>
      </c>
      <c r="E136">
        <f>'Runs Z score'!E128</f>
        <v/>
      </c>
      <c r="F136">
        <f>'Runs Z score'!F128</f>
        <v/>
      </c>
      <c r="G136">
        <f>'Runs Z score'!G128</f>
        <v/>
      </c>
      <c r="H136">
        <f>VLOOKUP(C136,Recipes!$A$2:$N$4,10,FALSE())</f>
        <v/>
      </c>
      <c r="I136">
        <f>VLOOKUP(C136,Recipes!$A$2:$N$4,12,FALSE())</f>
        <v/>
      </c>
      <c r="J136">
        <f>IF(G136="","",H136-G136)</f>
        <v/>
      </c>
      <c r="K136">
        <f>IF(G136="","",IF(ABS(G136-H136)&lt;=$B$6*I136,"OK","NG"))</f>
        <v/>
      </c>
      <c r="L136">
        <f>IF(K136="","",IF(K136=D136,1,0))</f>
        <v/>
      </c>
      <c r="M136" t="inlineStr">
        <is>
          <t>NONE</t>
        </is>
      </c>
      <c r="N136" s="15" t="n">
        <v>1</v>
      </c>
      <c r="O136" s="15" t="n">
        <v>0</v>
      </c>
      <c r="P136">
        <f>IF(M136="","",IF(M136=E136,1,0))</f>
        <v/>
      </c>
      <c r="Q136">
        <f>IF(K136="OK","-",IF(N136&lt;$B$7,"AMBIGUOUS","CONFIDENT"))</f>
        <v/>
      </c>
    </row>
    <row r="137">
      <c r="A137">
        <f>'Runs Z score'!A129</f>
        <v/>
      </c>
      <c r="B137">
        <f>'Runs Z score'!B129</f>
        <v/>
      </c>
      <c r="C137">
        <f>'Runs Z score'!C129</f>
        <v/>
      </c>
      <c r="D137">
        <f>'Runs Z score'!D129</f>
        <v/>
      </c>
      <c r="E137">
        <f>'Runs Z score'!E129</f>
        <v/>
      </c>
      <c r="F137">
        <f>'Runs Z score'!F129</f>
        <v/>
      </c>
      <c r="G137">
        <f>'Runs Z score'!G129</f>
        <v/>
      </c>
      <c r="H137">
        <f>VLOOKUP(C137,Recipes!$A$2:$N$4,10,FALSE())</f>
        <v/>
      </c>
      <c r="I137">
        <f>VLOOKUP(C137,Recipes!$A$2:$N$4,12,FALSE())</f>
        <v/>
      </c>
      <c r="J137">
        <f>IF(G137="","",H137-G137)</f>
        <v/>
      </c>
      <c r="K137">
        <f>IF(G137="","",IF(ABS(G137-H137)&lt;=$B$6*I137,"OK","NG"))</f>
        <v/>
      </c>
      <c r="L137">
        <f>IF(K137="","",IF(K137=D137,1,0))</f>
        <v/>
      </c>
      <c r="M137" t="inlineStr">
        <is>
          <t>NONE</t>
        </is>
      </c>
      <c r="N137" s="15" t="n">
        <v>1</v>
      </c>
      <c r="O137" s="15" t="n">
        <v>0</v>
      </c>
      <c r="P137">
        <f>IF(M137="","",IF(M137=E137,1,0))</f>
        <v/>
      </c>
      <c r="Q137">
        <f>IF(K137="OK","-",IF(N137&lt;$B$7,"AMBIGUOUS","CONFIDENT"))</f>
        <v/>
      </c>
    </row>
    <row r="138">
      <c r="A138">
        <f>'Runs Z score'!A130</f>
        <v/>
      </c>
      <c r="B138">
        <f>'Runs Z score'!B130</f>
        <v/>
      </c>
      <c r="C138">
        <f>'Runs Z score'!C130</f>
        <v/>
      </c>
      <c r="D138">
        <f>'Runs Z score'!D130</f>
        <v/>
      </c>
      <c r="E138">
        <f>'Runs Z score'!E130</f>
        <v/>
      </c>
      <c r="F138">
        <f>'Runs Z score'!F130</f>
        <v/>
      </c>
      <c r="G138">
        <f>'Runs Z score'!G130</f>
        <v/>
      </c>
      <c r="H138">
        <f>VLOOKUP(C138,Recipes!$A$2:$N$4,10,FALSE())</f>
        <v/>
      </c>
      <c r="I138">
        <f>VLOOKUP(C138,Recipes!$A$2:$N$4,12,FALSE())</f>
        <v/>
      </c>
      <c r="J138">
        <f>IF(G138="","",H138-G138)</f>
        <v/>
      </c>
      <c r="K138">
        <f>IF(G138="","",IF(ABS(G138-H138)&lt;=$B$6*I138,"OK","NG"))</f>
        <v/>
      </c>
      <c r="L138">
        <f>IF(K138="","",IF(K138=D138,1,0))</f>
        <v/>
      </c>
      <c r="M138" t="inlineStr">
        <is>
          <t>NONE</t>
        </is>
      </c>
      <c r="N138" s="15" t="n">
        <v>1</v>
      </c>
      <c r="O138" s="15" t="n">
        <v>0</v>
      </c>
      <c r="P138">
        <f>IF(M138="","",IF(M138=E138,1,0))</f>
        <v/>
      </c>
      <c r="Q138">
        <f>IF(K138="OK","-",IF(N138&lt;$B$7,"AMBIGUOUS","CONFIDENT"))</f>
        <v/>
      </c>
    </row>
    <row r="139">
      <c r="A139">
        <f>'Runs Z score'!A131</f>
        <v/>
      </c>
      <c r="B139">
        <f>'Runs Z score'!B131</f>
        <v/>
      </c>
      <c r="C139">
        <f>'Runs Z score'!C131</f>
        <v/>
      </c>
      <c r="D139">
        <f>'Runs Z score'!D131</f>
        <v/>
      </c>
      <c r="E139">
        <f>'Runs Z score'!E131</f>
        <v/>
      </c>
      <c r="F139">
        <f>'Runs Z score'!F131</f>
        <v/>
      </c>
      <c r="G139">
        <f>'Runs Z score'!G131</f>
        <v/>
      </c>
      <c r="H139">
        <f>VLOOKUP(C139,Recipes!$A$2:$N$4,10,FALSE())</f>
        <v/>
      </c>
      <c r="I139">
        <f>VLOOKUP(C139,Recipes!$A$2:$N$4,12,FALSE())</f>
        <v/>
      </c>
      <c r="J139">
        <f>IF(G139="","",H139-G139)</f>
        <v/>
      </c>
      <c r="K139">
        <f>IF(G139="","",IF(ABS(G139-H139)&lt;=$B$6*I139,"OK","NG"))</f>
        <v/>
      </c>
      <c r="L139">
        <f>IF(K139="","",IF(K139=D139,1,0))</f>
        <v/>
      </c>
      <c r="M139" t="inlineStr">
        <is>
          <t>NONE</t>
        </is>
      </c>
      <c r="N139" s="15" t="n">
        <v>1</v>
      </c>
      <c r="O139" s="15" t="n">
        <v>0</v>
      </c>
      <c r="P139">
        <f>IF(M139="","",IF(M139=E139,1,0))</f>
        <v/>
      </c>
      <c r="Q139">
        <f>IF(K139="OK","-",IF(N139&lt;$B$7,"AMBIGUOUS","CONFIDENT"))</f>
        <v/>
      </c>
    </row>
    <row r="140">
      <c r="A140">
        <f>'Runs Z score'!A132</f>
        <v/>
      </c>
      <c r="B140">
        <f>'Runs Z score'!B132</f>
        <v/>
      </c>
      <c r="C140">
        <f>'Runs Z score'!C132</f>
        <v/>
      </c>
      <c r="D140">
        <f>'Runs Z score'!D132</f>
        <v/>
      </c>
      <c r="E140">
        <f>'Runs Z score'!E132</f>
        <v/>
      </c>
      <c r="F140">
        <f>'Runs Z score'!F132</f>
        <v/>
      </c>
      <c r="G140">
        <f>'Runs Z score'!G132</f>
        <v/>
      </c>
      <c r="H140">
        <f>VLOOKUP(C140,Recipes!$A$2:$N$4,10,FALSE())</f>
        <v/>
      </c>
      <c r="I140">
        <f>VLOOKUP(C140,Recipes!$A$2:$N$4,12,FALSE())</f>
        <v/>
      </c>
      <c r="J140">
        <f>IF(G140="","",H140-G140)</f>
        <v/>
      </c>
      <c r="K140">
        <f>IF(G140="","",IF(ABS(G140-H140)&lt;=$B$6*I140,"OK","NG"))</f>
        <v/>
      </c>
      <c r="L140">
        <f>IF(K140="","",IF(K140=D140,1,0))</f>
        <v/>
      </c>
      <c r="M140" t="inlineStr">
        <is>
          <t>NONE</t>
        </is>
      </c>
      <c r="N140" s="15" t="n">
        <v>1</v>
      </c>
      <c r="O140" s="15" t="n">
        <v>0</v>
      </c>
      <c r="P140">
        <f>IF(M140="","",IF(M140=E140,1,0))</f>
        <v/>
      </c>
      <c r="Q140">
        <f>IF(K140="OK","-",IF(N140&lt;$B$7,"AMBIGUOUS","CONFIDENT"))</f>
        <v/>
      </c>
    </row>
    <row r="141">
      <c r="A141">
        <f>'Runs Z score'!A133</f>
        <v/>
      </c>
      <c r="B141">
        <f>'Runs Z score'!B133</f>
        <v/>
      </c>
      <c r="C141">
        <f>'Runs Z score'!C133</f>
        <v/>
      </c>
      <c r="D141">
        <f>'Runs Z score'!D133</f>
        <v/>
      </c>
      <c r="E141">
        <f>'Runs Z score'!E133</f>
        <v/>
      </c>
      <c r="F141">
        <f>'Runs Z score'!F133</f>
        <v/>
      </c>
      <c r="G141">
        <f>'Runs Z score'!G133</f>
        <v/>
      </c>
      <c r="H141">
        <f>VLOOKUP(C141,Recipes!$A$2:$N$4,10,FALSE())</f>
        <v/>
      </c>
      <c r="I141">
        <f>VLOOKUP(C141,Recipes!$A$2:$N$4,12,FALSE())</f>
        <v/>
      </c>
      <c r="J141">
        <f>IF(G141="","",H141-G141)</f>
        <v/>
      </c>
      <c r="K141">
        <f>IF(G141="","",IF(ABS(G141-H141)&lt;=$B$6*I141,"OK","NG"))</f>
        <v/>
      </c>
      <c r="L141">
        <f>IF(K141="","",IF(K141=D141,1,0))</f>
        <v/>
      </c>
      <c r="M141" t="inlineStr">
        <is>
          <t>NONE</t>
        </is>
      </c>
      <c r="N141" s="15" t="n">
        <v>1</v>
      </c>
      <c r="O141" s="15" t="n">
        <v>0</v>
      </c>
      <c r="P141">
        <f>IF(M141="","",IF(M141=E141,1,0))</f>
        <v/>
      </c>
      <c r="Q141">
        <f>IF(K141="OK","-",IF(N141&lt;$B$7,"AMBIGUOUS","CONFIDENT"))</f>
        <v/>
      </c>
    </row>
    <row r="142">
      <c r="A142">
        <f>'Runs Z score'!A134</f>
        <v/>
      </c>
      <c r="B142">
        <f>'Runs Z score'!B134</f>
        <v/>
      </c>
      <c r="C142">
        <f>'Runs Z score'!C134</f>
        <v/>
      </c>
      <c r="D142">
        <f>'Runs Z score'!D134</f>
        <v/>
      </c>
      <c r="E142">
        <f>'Runs Z score'!E134</f>
        <v/>
      </c>
      <c r="F142">
        <f>'Runs Z score'!F134</f>
        <v/>
      </c>
      <c r="G142">
        <f>'Runs Z score'!G134</f>
        <v/>
      </c>
      <c r="H142">
        <f>VLOOKUP(C142,Recipes!$A$2:$N$4,10,FALSE())</f>
        <v/>
      </c>
      <c r="I142">
        <f>VLOOKUP(C142,Recipes!$A$2:$N$4,12,FALSE())</f>
        <v/>
      </c>
      <c r="J142">
        <f>IF(G142="","",H142-G142)</f>
        <v/>
      </c>
      <c r="K142">
        <f>IF(G142="","",IF(ABS(G142-H142)&lt;=$B$6*I142,"OK","NG"))</f>
        <v/>
      </c>
      <c r="L142">
        <f>IF(K142="","",IF(K142=D142,1,0))</f>
        <v/>
      </c>
      <c r="M142" t="inlineStr">
        <is>
          <t>NONE</t>
        </is>
      </c>
      <c r="N142" s="15" t="n">
        <v>1</v>
      </c>
      <c r="O142" s="15" t="n">
        <v>0</v>
      </c>
      <c r="P142">
        <f>IF(M142="","",IF(M142=E142,1,0))</f>
        <v/>
      </c>
      <c r="Q142">
        <f>IF(K142="OK","-",IF(N142&lt;$B$7,"AMBIGUOUS","CONFIDENT"))</f>
        <v/>
      </c>
    </row>
    <row r="143">
      <c r="A143">
        <f>'Runs Z score'!A135</f>
        <v/>
      </c>
      <c r="B143">
        <f>'Runs Z score'!B135</f>
        <v/>
      </c>
      <c r="C143">
        <f>'Runs Z score'!C135</f>
        <v/>
      </c>
      <c r="D143">
        <f>'Runs Z score'!D135</f>
        <v/>
      </c>
      <c r="E143">
        <f>'Runs Z score'!E135</f>
        <v/>
      </c>
      <c r="F143">
        <f>'Runs Z score'!F135</f>
        <v/>
      </c>
      <c r="G143">
        <f>'Runs Z score'!G135</f>
        <v/>
      </c>
      <c r="H143">
        <f>VLOOKUP(C143,Recipes!$A$2:$N$4,10,FALSE())</f>
        <v/>
      </c>
      <c r="I143">
        <f>VLOOKUP(C143,Recipes!$A$2:$N$4,12,FALSE())</f>
        <v/>
      </c>
      <c r="J143">
        <f>IF(G143="","",H143-G143)</f>
        <v/>
      </c>
      <c r="K143">
        <f>IF(G143="","",IF(ABS(G143-H143)&lt;=$B$6*I143,"OK","NG"))</f>
        <v/>
      </c>
      <c r="L143">
        <f>IF(K143="","",IF(K143=D143,1,0))</f>
        <v/>
      </c>
      <c r="M143" t="inlineStr">
        <is>
          <t>NONE</t>
        </is>
      </c>
      <c r="N143" s="15" t="n">
        <v>1</v>
      </c>
      <c r="O143" s="15" t="n">
        <v>0</v>
      </c>
      <c r="P143">
        <f>IF(M143="","",IF(M143=E143,1,0))</f>
        <v/>
      </c>
      <c r="Q143">
        <f>IF(K143="OK","-",IF(N143&lt;$B$7,"AMBIGUOUS","CONFIDENT"))</f>
        <v/>
      </c>
    </row>
    <row r="144">
      <c r="A144">
        <f>'Runs Z score'!A136</f>
        <v/>
      </c>
      <c r="B144">
        <f>'Runs Z score'!B136</f>
        <v/>
      </c>
      <c r="C144">
        <f>'Runs Z score'!C136</f>
        <v/>
      </c>
      <c r="D144">
        <f>'Runs Z score'!D136</f>
        <v/>
      </c>
      <c r="E144">
        <f>'Runs Z score'!E136</f>
        <v/>
      </c>
      <c r="F144">
        <f>'Runs Z score'!F136</f>
        <v/>
      </c>
      <c r="G144">
        <f>'Runs Z score'!G136</f>
        <v/>
      </c>
      <c r="H144">
        <f>VLOOKUP(C144,Recipes!$A$2:$N$4,10,FALSE())</f>
        <v/>
      </c>
      <c r="I144">
        <f>VLOOKUP(C144,Recipes!$A$2:$N$4,12,FALSE())</f>
        <v/>
      </c>
      <c r="J144">
        <f>IF(G144="","",H144-G144)</f>
        <v/>
      </c>
      <c r="K144">
        <f>IF(G144="","",IF(ABS(G144-H144)&lt;=$B$6*I144,"OK","NG"))</f>
        <v/>
      </c>
      <c r="L144">
        <f>IF(K144="","",IF(K144=D144,1,0))</f>
        <v/>
      </c>
      <c r="M144" t="inlineStr">
        <is>
          <t>NONE</t>
        </is>
      </c>
      <c r="N144" s="15" t="n">
        <v>1</v>
      </c>
      <c r="O144" s="15" t="n">
        <v>0</v>
      </c>
      <c r="P144">
        <f>IF(M144="","",IF(M144=E144,1,0))</f>
        <v/>
      </c>
      <c r="Q144">
        <f>IF(K144="OK","-",IF(N144&lt;$B$7,"AMBIGUOUS","CONFIDENT"))</f>
        <v/>
      </c>
    </row>
    <row r="145">
      <c r="A145">
        <f>'Runs Z score'!A137</f>
        <v/>
      </c>
      <c r="B145">
        <f>'Runs Z score'!B137</f>
        <v/>
      </c>
      <c r="C145">
        <f>'Runs Z score'!C137</f>
        <v/>
      </c>
      <c r="D145">
        <f>'Runs Z score'!D137</f>
        <v/>
      </c>
      <c r="E145">
        <f>'Runs Z score'!E137</f>
        <v/>
      </c>
      <c r="F145">
        <f>'Runs Z score'!F137</f>
        <v/>
      </c>
      <c r="G145">
        <f>'Runs Z score'!G137</f>
        <v/>
      </c>
      <c r="H145">
        <f>VLOOKUP(C145,Recipes!$A$2:$N$4,10,FALSE())</f>
        <v/>
      </c>
      <c r="I145">
        <f>VLOOKUP(C145,Recipes!$A$2:$N$4,12,FALSE())</f>
        <v/>
      </c>
      <c r="J145">
        <f>IF(G145="","",H145-G145)</f>
        <v/>
      </c>
      <c r="K145">
        <f>IF(G145="","",IF(ABS(G145-H145)&lt;=$B$6*I145,"OK","NG"))</f>
        <v/>
      </c>
      <c r="L145">
        <f>IF(K145="","",IF(K145=D145,1,0))</f>
        <v/>
      </c>
      <c r="M145" t="inlineStr">
        <is>
          <t>NONE</t>
        </is>
      </c>
      <c r="N145" s="15" t="n">
        <v>1</v>
      </c>
      <c r="O145" s="15" t="n">
        <v>0</v>
      </c>
      <c r="P145">
        <f>IF(M145="","",IF(M145=E145,1,0))</f>
        <v/>
      </c>
      <c r="Q145">
        <f>IF(K145="OK","-",IF(N145&lt;$B$7,"AMBIGUOUS","CONFIDENT"))</f>
        <v/>
      </c>
    </row>
    <row r="146">
      <c r="A146">
        <f>'Runs Z score'!A138</f>
        <v/>
      </c>
      <c r="B146">
        <f>'Runs Z score'!B138</f>
        <v/>
      </c>
      <c r="C146">
        <f>'Runs Z score'!C138</f>
        <v/>
      </c>
      <c r="D146">
        <f>'Runs Z score'!D138</f>
        <v/>
      </c>
      <c r="E146">
        <f>'Runs Z score'!E138</f>
        <v/>
      </c>
      <c r="F146">
        <f>'Runs Z score'!F138</f>
        <v/>
      </c>
      <c r="G146">
        <f>'Runs Z score'!G138</f>
        <v/>
      </c>
      <c r="H146">
        <f>VLOOKUP(C146,Recipes!$A$2:$N$4,10,FALSE())</f>
        <v/>
      </c>
      <c r="I146">
        <f>VLOOKUP(C146,Recipes!$A$2:$N$4,12,FALSE())</f>
        <v/>
      </c>
      <c r="J146">
        <f>IF(G146="","",H146-G146)</f>
        <v/>
      </c>
      <c r="K146">
        <f>IF(G146="","",IF(ABS(G146-H146)&lt;=$B$6*I146,"OK","NG"))</f>
        <v/>
      </c>
      <c r="L146">
        <f>IF(K146="","",IF(K146=D146,1,0))</f>
        <v/>
      </c>
      <c r="M146" t="inlineStr">
        <is>
          <t>NONE</t>
        </is>
      </c>
      <c r="N146" s="15" t="n">
        <v>1</v>
      </c>
      <c r="O146" s="15" t="n">
        <v>0</v>
      </c>
      <c r="P146">
        <f>IF(M146="","",IF(M146=E146,1,0))</f>
        <v/>
      </c>
      <c r="Q146">
        <f>IF(K146="OK","-",IF(N146&lt;$B$7,"AMBIGUOUS","CONFIDENT"))</f>
        <v/>
      </c>
    </row>
    <row r="147">
      <c r="A147">
        <f>'Runs Z score'!A139</f>
        <v/>
      </c>
      <c r="B147">
        <f>'Runs Z score'!B139</f>
        <v/>
      </c>
      <c r="C147">
        <f>'Runs Z score'!C139</f>
        <v/>
      </c>
      <c r="D147">
        <f>'Runs Z score'!D139</f>
        <v/>
      </c>
      <c r="E147">
        <f>'Runs Z score'!E139</f>
        <v/>
      </c>
      <c r="F147">
        <f>'Runs Z score'!F139</f>
        <v/>
      </c>
      <c r="G147">
        <f>'Runs Z score'!G139</f>
        <v/>
      </c>
      <c r="H147">
        <f>VLOOKUP(C147,Recipes!$A$2:$N$4,10,FALSE())</f>
        <v/>
      </c>
      <c r="I147">
        <f>VLOOKUP(C147,Recipes!$A$2:$N$4,12,FALSE())</f>
        <v/>
      </c>
      <c r="J147">
        <f>IF(G147="","",H147-G147)</f>
        <v/>
      </c>
      <c r="K147">
        <f>IF(G147="","",IF(ABS(G147-H147)&lt;=$B$6*I147,"OK","NG"))</f>
        <v/>
      </c>
      <c r="L147">
        <f>IF(K147="","",IF(K147=D147,1,0))</f>
        <v/>
      </c>
      <c r="M147" t="inlineStr">
        <is>
          <t>NONE</t>
        </is>
      </c>
      <c r="N147" s="15" t="n">
        <v>1</v>
      </c>
      <c r="O147" s="15" t="n">
        <v>0</v>
      </c>
      <c r="P147">
        <f>IF(M147="","",IF(M147=E147,1,0))</f>
        <v/>
      </c>
      <c r="Q147">
        <f>IF(K147="OK","-",IF(N147&lt;$B$7,"AMBIGUOUS","CONFIDENT"))</f>
        <v/>
      </c>
    </row>
    <row r="148">
      <c r="A148">
        <f>'Runs Z score'!A140</f>
        <v/>
      </c>
      <c r="B148">
        <f>'Runs Z score'!B140</f>
        <v/>
      </c>
      <c r="C148">
        <f>'Runs Z score'!C140</f>
        <v/>
      </c>
      <c r="D148">
        <f>'Runs Z score'!D140</f>
        <v/>
      </c>
      <c r="E148">
        <f>'Runs Z score'!E140</f>
        <v/>
      </c>
      <c r="F148">
        <f>'Runs Z score'!F140</f>
        <v/>
      </c>
      <c r="G148">
        <f>'Runs Z score'!G140</f>
        <v/>
      </c>
      <c r="H148">
        <f>VLOOKUP(C148,Recipes!$A$2:$N$4,10,FALSE())</f>
        <v/>
      </c>
      <c r="I148">
        <f>VLOOKUP(C148,Recipes!$A$2:$N$4,12,FALSE())</f>
        <v/>
      </c>
      <c r="J148">
        <f>IF(G148="","",H148-G148)</f>
        <v/>
      </c>
      <c r="K148">
        <f>IF(G148="","",IF(ABS(G148-H148)&lt;=$B$6*I148,"OK","NG"))</f>
        <v/>
      </c>
      <c r="L148">
        <f>IF(K148="","",IF(K148=D148,1,0))</f>
        <v/>
      </c>
      <c r="M148" t="inlineStr">
        <is>
          <t>NONE</t>
        </is>
      </c>
      <c r="N148" s="15" t="n">
        <v>1</v>
      </c>
      <c r="O148" s="15" t="n">
        <v>0</v>
      </c>
      <c r="P148">
        <f>IF(M148="","",IF(M148=E148,1,0))</f>
        <v/>
      </c>
      <c r="Q148">
        <f>IF(K148="OK","-",IF(N148&lt;$B$7,"AMBIGUOUS","CONFIDENT"))</f>
        <v/>
      </c>
    </row>
    <row r="149">
      <c r="A149">
        <f>'Runs Z score'!A141</f>
        <v/>
      </c>
      <c r="B149">
        <f>'Runs Z score'!B141</f>
        <v/>
      </c>
      <c r="C149">
        <f>'Runs Z score'!C141</f>
        <v/>
      </c>
      <c r="D149">
        <f>'Runs Z score'!D141</f>
        <v/>
      </c>
      <c r="E149">
        <f>'Runs Z score'!E141</f>
        <v/>
      </c>
      <c r="F149">
        <f>'Runs Z score'!F141</f>
        <v/>
      </c>
      <c r="G149">
        <f>'Runs Z score'!G141</f>
        <v/>
      </c>
      <c r="H149">
        <f>VLOOKUP(C149,Recipes!$A$2:$N$4,10,FALSE())</f>
        <v/>
      </c>
      <c r="I149">
        <f>VLOOKUP(C149,Recipes!$A$2:$N$4,12,FALSE())</f>
        <v/>
      </c>
      <c r="J149">
        <f>IF(G149="","",H149-G149)</f>
        <v/>
      </c>
      <c r="K149">
        <f>IF(G149="","",IF(ABS(G149-H149)&lt;=$B$6*I149,"OK","NG"))</f>
        <v/>
      </c>
      <c r="L149">
        <f>IF(K149="","",IF(K149=D149,1,0))</f>
        <v/>
      </c>
      <c r="M149" t="inlineStr">
        <is>
          <t>NONE</t>
        </is>
      </c>
      <c r="N149" s="15" t="n">
        <v>1</v>
      </c>
      <c r="O149" s="15" t="n">
        <v>0</v>
      </c>
      <c r="P149">
        <f>IF(M149="","",IF(M149=E149,1,0))</f>
        <v/>
      </c>
      <c r="Q149">
        <f>IF(K149="OK","-",IF(N149&lt;$B$7,"AMBIGUOUS","CONFIDENT"))</f>
        <v/>
      </c>
    </row>
    <row r="150">
      <c r="A150">
        <f>'Runs Z score'!A142</f>
        <v/>
      </c>
      <c r="B150">
        <f>'Runs Z score'!B142</f>
        <v/>
      </c>
      <c r="C150">
        <f>'Runs Z score'!C142</f>
        <v/>
      </c>
      <c r="D150">
        <f>'Runs Z score'!D142</f>
        <v/>
      </c>
      <c r="E150">
        <f>'Runs Z score'!E142</f>
        <v/>
      </c>
      <c r="F150">
        <f>'Runs Z score'!F142</f>
        <v/>
      </c>
      <c r="G150">
        <f>'Runs Z score'!G142</f>
        <v/>
      </c>
      <c r="H150">
        <f>VLOOKUP(C150,Recipes!$A$2:$N$4,10,FALSE())</f>
        <v/>
      </c>
      <c r="I150">
        <f>VLOOKUP(C150,Recipes!$A$2:$N$4,12,FALSE())</f>
        <v/>
      </c>
      <c r="J150">
        <f>IF(G150="","",H150-G150)</f>
        <v/>
      </c>
      <c r="K150">
        <f>IF(G150="","",IF(ABS(G150-H150)&lt;=$B$6*I150,"OK","NG"))</f>
        <v/>
      </c>
      <c r="L150">
        <f>IF(K150="","",IF(K150=D150,1,0))</f>
        <v/>
      </c>
      <c r="M150" t="inlineStr">
        <is>
          <t>NONE</t>
        </is>
      </c>
      <c r="N150" s="15" t="n">
        <v>1</v>
      </c>
      <c r="O150" s="15" t="n">
        <v>0</v>
      </c>
      <c r="P150">
        <f>IF(M150="","",IF(M150=E150,1,0))</f>
        <v/>
      </c>
      <c r="Q150">
        <f>IF(K150="OK","-",IF(N150&lt;$B$7,"AMBIGUOUS","CONFIDENT"))</f>
        <v/>
      </c>
    </row>
    <row r="151">
      <c r="A151">
        <f>'Runs Z score'!A143</f>
        <v/>
      </c>
      <c r="B151">
        <f>'Runs Z score'!B143</f>
        <v/>
      </c>
      <c r="C151">
        <f>'Runs Z score'!C143</f>
        <v/>
      </c>
      <c r="D151">
        <f>'Runs Z score'!D143</f>
        <v/>
      </c>
      <c r="E151">
        <f>'Runs Z score'!E143</f>
        <v/>
      </c>
      <c r="F151">
        <f>'Runs Z score'!F143</f>
        <v/>
      </c>
      <c r="G151">
        <f>'Runs Z score'!G143</f>
        <v/>
      </c>
      <c r="H151">
        <f>VLOOKUP(C151,Recipes!$A$2:$N$4,10,FALSE())</f>
        <v/>
      </c>
      <c r="I151">
        <f>VLOOKUP(C151,Recipes!$A$2:$N$4,12,FALSE())</f>
        <v/>
      </c>
      <c r="J151">
        <f>IF(G151="","",H151-G151)</f>
        <v/>
      </c>
      <c r="K151">
        <f>IF(G151="","",IF(ABS(G151-H151)&lt;=$B$6*I151,"OK","NG"))</f>
        <v/>
      </c>
      <c r="L151">
        <f>IF(K151="","",IF(K151=D151,1,0))</f>
        <v/>
      </c>
      <c r="M151" t="inlineStr">
        <is>
          <t>NONE</t>
        </is>
      </c>
      <c r="N151" s="15" t="n">
        <v>1</v>
      </c>
      <c r="O151" s="15" t="n">
        <v>0</v>
      </c>
      <c r="P151">
        <f>IF(M151="","",IF(M151=E151,1,0))</f>
        <v/>
      </c>
      <c r="Q151">
        <f>IF(K151="OK","-",IF(N151&lt;$B$7,"AMBIGUOUS","CONFIDENT"))</f>
        <v/>
      </c>
    </row>
    <row r="152">
      <c r="A152">
        <f>'Runs Z score'!A144</f>
        <v/>
      </c>
      <c r="B152">
        <f>'Runs Z score'!B144</f>
        <v/>
      </c>
      <c r="C152">
        <f>'Runs Z score'!C144</f>
        <v/>
      </c>
      <c r="D152">
        <f>'Runs Z score'!D144</f>
        <v/>
      </c>
      <c r="E152">
        <f>'Runs Z score'!E144</f>
        <v/>
      </c>
      <c r="F152">
        <f>'Runs Z score'!F144</f>
        <v/>
      </c>
      <c r="G152">
        <f>'Runs Z score'!G144</f>
        <v/>
      </c>
      <c r="H152">
        <f>VLOOKUP(C152,Recipes!$A$2:$N$4,10,FALSE())</f>
        <v/>
      </c>
      <c r="I152">
        <f>VLOOKUP(C152,Recipes!$A$2:$N$4,12,FALSE())</f>
        <v/>
      </c>
      <c r="J152">
        <f>IF(G152="","",H152-G152)</f>
        <v/>
      </c>
      <c r="K152">
        <f>IF(G152="","",IF(ABS(G152-H152)&lt;=$B$6*I152,"OK","NG"))</f>
        <v/>
      </c>
      <c r="L152">
        <f>IF(K152="","",IF(K152=D152,1,0))</f>
        <v/>
      </c>
      <c r="M152" t="inlineStr">
        <is>
          <t>NONE</t>
        </is>
      </c>
      <c r="N152" s="15" t="n">
        <v>1</v>
      </c>
      <c r="O152" s="15" t="n">
        <v>0</v>
      </c>
      <c r="P152">
        <f>IF(M152="","",IF(M152=E152,1,0))</f>
        <v/>
      </c>
      <c r="Q152">
        <f>IF(K152="OK","-",IF(N152&lt;$B$7,"AMBIGUOUS","CONFIDENT"))</f>
        <v/>
      </c>
    </row>
    <row r="153">
      <c r="A153">
        <f>'Runs Z score'!A145</f>
        <v/>
      </c>
      <c r="B153">
        <f>'Runs Z score'!B145</f>
        <v/>
      </c>
      <c r="C153">
        <f>'Runs Z score'!C145</f>
        <v/>
      </c>
      <c r="D153">
        <f>'Runs Z score'!D145</f>
        <v/>
      </c>
      <c r="E153">
        <f>'Runs Z score'!E145</f>
        <v/>
      </c>
      <c r="F153">
        <f>'Runs Z score'!F145</f>
        <v/>
      </c>
      <c r="G153">
        <f>'Runs Z score'!G145</f>
        <v/>
      </c>
      <c r="H153">
        <f>VLOOKUP(C153,Recipes!$A$2:$N$4,10,FALSE())</f>
        <v/>
      </c>
      <c r="I153">
        <f>VLOOKUP(C153,Recipes!$A$2:$N$4,12,FALSE())</f>
        <v/>
      </c>
      <c r="J153">
        <f>IF(G153="","",H153-G153)</f>
        <v/>
      </c>
      <c r="K153">
        <f>IF(G153="","",IF(ABS(G153-H153)&lt;=$B$6*I153,"OK","NG"))</f>
        <v/>
      </c>
      <c r="L153">
        <f>IF(K153="","",IF(K153=D153,1,0))</f>
        <v/>
      </c>
      <c r="M153" t="inlineStr">
        <is>
          <t>NONE</t>
        </is>
      </c>
      <c r="N153" s="15" t="n">
        <v>1</v>
      </c>
      <c r="O153" s="15" t="n">
        <v>0</v>
      </c>
      <c r="P153">
        <f>IF(M153="","",IF(M153=E153,1,0))</f>
        <v/>
      </c>
      <c r="Q153">
        <f>IF(K153="OK","-",IF(N153&lt;$B$7,"AMBIGUOUS","CONFIDENT"))</f>
        <v/>
      </c>
    </row>
    <row r="154">
      <c r="A154">
        <f>'Runs Z score'!A146</f>
        <v/>
      </c>
      <c r="B154">
        <f>'Runs Z score'!B146</f>
        <v/>
      </c>
      <c r="C154">
        <f>'Runs Z score'!C146</f>
        <v/>
      </c>
      <c r="D154">
        <f>'Runs Z score'!D146</f>
        <v/>
      </c>
      <c r="E154">
        <f>'Runs Z score'!E146</f>
        <v/>
      </c>
      <c r="F154">
        <f>'Runs Z score'!F146</f>
        <v/>
      </c>
      <c r="G154">
        <f>'Runs Z score'!G146</f>
        <v/>
      </c>
      <c r="H154">
        <f>VLOOKUP(C154,Recipes!$A$2:$N$4,10,FALSE())</f>
        <v/>
      </c>
      <c r="I154">
        <f>VLOOKUP(C154,Recipes!$A$2:$N$4,12,FALSE())</f>
        <v/>
      </c>
      <c r="J154">
        <f>IF(G154="","",H154-G154)</f>
        <v/>
      </c>
      <c r="K154">
        <f>IF(G154="","",IF(ABS(G154-H154)&lt;=$B$6*I154,"OK","NG"))</f>
        <v/>
      </c>
      <c r="L154">
        <f>IF(K154="","",IF(K154=D154,1,0))</f>
        <v/>
      </c>
      <c r="M154" t="inlineStr">
        <is>
          <t>NONE</t>
        </is>
      </c>
      <c r="N154" s="15" t="n">
        <v>1</v>
      </c>
      <c r="O154" s="15" t="n">
        <v>0</v>
      </c>
      <c r="P154">
        <f>IF(M154="","",IF(M154=E154,1,0))</f>
        <v/>
      </c>
      <c r="Q154">
        <f>IF(K154="OK","-",IF(N154&lt;$B$7,"AMBIGUOUS","CONFIDENT"))</f>
        <v/>
      </c>
    </row>
    <row r="155">
      <c r="A155">
        <f>'Runs Z score'!A147</f>
        <v/>
      </c>
      <c r="B155">
        <f>'Runs Z score'!B147</f>
        <v/>
      </c>
      <c r="C155">
        <f>'Runs Z score'!C147</f>
        <v/>
      </c>
      <c r="D155">
        <f>'Runs Z score'!D147</f>
        <v/>
      </c>
      <c r="E155">
        <f>'Runs Z score'!E147</f>
        <v/>
      </c>
      <c r="F155">
        <f>'Runs Z score'!F147</f>
        <v/>
      </c>
      <c r="G155">
        <f>'Runs Z score'!G147</f>
        <v/>
      </c>
      <c r="H155">
        <f>VLOOKUP(C155,Recipes!$A$2:$N$4,10,FALSE())</f>
        <v/>
      </c>
      <c r="I155">
        <f>VLOOKUP(C155,Recipes!$A$2:$N$4,12,FALSE())</f>
        <v/>
      </c>
      <c r="J155">
        <f>IF(G155="","",H155-G155)</f>
        <v/>
      </c>
      <c r="K155">
        <f>IF(G155="","",IF(ABS(G155-H155)&lt;=$B$6*I155,"OK","NG"))</f>
        <v/>
      </c>
      <c r="L155">
        <f>IF(K155="","",IF(K155=D155,1,0))</f>
        <v/>
      </c>
      <c r="M155" t="inlineStr">
        <is>
          <t>NONE</t>
        </is>
      </c>
      <c r="N155" s="15" t="n">
        <v>1</v>
      </c>
      <c r="O155" s="15" t="n">
        <v>0</v>
      </c>
      <c r="P155">
        <f>IF(M155="","",IF(M155=E155,1,0))</f>
        <v/>
      </c>
      <c r="Q155">
        <f>IF(K155="OK","-",IF(N155&lt;$B$7,"AMBIGUOUS","CONFIDENT"))</f>
        <v/>
      </c>
    </row>
    <row r="156">
      <c r="A156">
        <f>'Runs Z score'!A148</f>
        <v/>
      </c>
      <c r="B156">
        <f>'Runs Z score'!B148</f>
        <v/>
      </c>
      <c r="C156">
        <f>'Runs Z score'!C148</f>
        <v/>
      </c>
      <c r="D156">
        <f>'Runs Z score'!D148</f>
        <v/>
      </c>
      <c r="E156">
        <f>'Runs Z score'!E148</f>
        <v/>
      </c>
      <c r="F156">
        <f>'Runs Z score'!F148</f>
        <v/>
      </c>
      <c r="G156">
        <f>'Runs Z score'!G148</f>
        <v/>
      </c>
      <c r="H156">
        <f>VLOOKUP(C156,Recipes!$A$2:$N$4,10,FALSE())</f>
        <v/>
      </c>
      <c r="I156">
        <f>VLOOKUP(C156,Recipes!$A$2:$N$4,12,FALSE())</f>
        <v/>
      </c>
      <c r="J156">
        <f>IF(G156="","",H156-G156)</f>
        <v/>
      </c>
      <c r="K156">
        <f>IF(G156="","",IF(ABS(G156-H156)&lt;=$B$6*I156,"OK","NG"))</f>
        <v/>
      </c>
      <c r="L156">
        <f>IF(K156="","",IF(K156=D156,1,0))</f>
        <v/>
      </c>
      <c r="M156" t="inlineStr">
        <is>
          <t>NONE</t>
        </is>
      </c>
      <c r="N156" s="15" t="n">
        <v>1</v>
      </c>
      <c r="O156" s="15" t="n">
        <v>0</v>
      </c>
      <c r="P156">
        <f>IF(M156="","",IF(M156=E156,1,0))</f>
        <v/>
      </c>
      <c r="Q156">
        <f>IF(K156="OK","-",IF(N156&lt;$B$7,"AMBIGUOUS","CONFIDENT"))</f>
        <v/>
      </c>
    </row>
    <row r="157">
      <c r="A157">
        <f>'Runs Z score'!A149</f>
        <v/>
      </c>
      <c r="B157">
        <f>'Runs Z score'!B149</f>
        <v/>
      </c>
      <c r="C157">
        <f>'Runs Z score'!C149</f>
        <v/>
      </c>
      <c r="D157">
        <f>'Runs Z score'!D149</f>
        <v/>
      </c>
      <c r="E157">
        <f>'Runs Z score'!E149</f>
        <v/>
      </c>
      <c r="F157">
        <f>'Runs Z score'!F149</f>
        <v/>
      </c>
      <c r="G157">
        <f>'Runs Z score'!G149</f>
        <v/>
      </c>
      <c r="H157">
        <f>VLOOKUP(C157,Recipes!$A$2:$N$4,10,FALSE())</f>
        <v/>
      </c>
      <c r="I157">
        <f>VLOOKUP(C157,Recipes!$A$2:$N$4,12,FALSE())</f>
        <v/>
      </c>
      <c r="J157">
        <f>IF(G157="","",H157-G157)</f>
        <v/>
      </c>
      <c r="K157">
        <f>IF(G157="","",IF(ABS(G157-H157)&lt;=$B$6*I157,"OK","NG"))</f>
        <v/>
      </c>
      <c r="L157">
        <f>IF(K157="","",IF(K157=D157,1,0))</f>
        <v/>
      </c>
      <c r="M157" t="inlineStr">
        <is>
          <t>NONE</t>
        </is>
      </c>
      <c r="N157" s="15" t="n">
        <v>1</v>
      </c>
      <c r="O157" s="15" t="n">
        <v>0</v>
      </c>
      <c r="P157">
        <f>IF(M157="","",IF(M157=E157,1,0))</f>
        <v/>
      </c>
      <c r="Q157">
        <f>IF(K157="OK","-",IF(N157&lt;$B$7,"AMBIGUOUS","CONFIDENT"))</f>
        <v/>
      </c>
    </row>
    <row r="158">
      <c r="A158">
        <f>'Runs Z score'!A150</f>
        <v/>
      </c>
      <c r="B158">
        <f>'Runs Z score'!B150</f>
        <v/>
      </c>
      <c r="C158">
        <f>'Runs Z score'!C150</f>
        <v/>
      </c>
      <c r="D158">
        <f>'Runs Z score'!D150</f>
        <v/>
      </c>
      <c r="E158">
        <f>'Runs Z score'!E150</f>
        <v/>
      </c>
      <c r="F158">
        <f>'Runs Z score'!F150</f>
        <v/>
      </c>
      <c r="G158">
        <f>'Runs Z score'!G150</f>
        <v/>
      </c>
      <c r="H158">
        <f>VLOOKUP(C158,Recipes!$A$2:$N$4,10,FALSE())</f>
        <v/>
      </c>
      <c r="I158">
        <f>VLOOKUP(C158,Recipes!$A$2:$N$4,12,FALSE())</f>
        <v/>
      </c>
      <c r="J158">
        <f>IF(G158="","",H158-G158)</f>
        <v/>
      </c>
      <c r="K158">
        <f>IF(G158="","",IF(ABS(G158-H158)&lt;=$B$6*I158,"OK","NG"))</f>
        <v/>
      </c>
      <c r="L158">
        <f>IF(K158="","",IF(K158=D158,1,0))</f>
        <v/>
      </c>
      <c r="M158" t="inlineStr">
        <is>
          <t>NONE</t>
        </is>
      </c>
      <c r="N158" s="15" t="n">
        <v>1</v>
      </c>
      <c r="O158" s="15" t="n">
        <v>0</v>
      </c>
      <c r="P158">
        <f>IF(M158="","",IF(M158=E158,1,0))</f>
        <v/>
      </c>
      <c r="Q158">
        <f>IF(K158="OK","-",IF(N158&lt;$B$7,"AMBIGUOUS","CONFIDENT"))</f>
        <v/>
      </c>
    </row>
    <row r="159">
      <c r="A159">
        <f>'Runs Z score'!A151</f>
        <v/>
      </c>
      <c r="B159">
        <f>'Runs Z score'!B151</f>
        <v/>
      </c>
      <c r="C159">
        <f>'Runs Z score'!C151</f>
        <v/>
      </c>
      <c r="D159">
        <f>'Runs Z score'!D151</f>
        <v/>
      </c>
      <c r="E159">
        <f>'Runs Z score'!E151</f>
        <v/>
      </c>
      <c r="F159">
        <f>'Runs Z score'!F151</f>
        <v/>
      </c>
      <c r="G159">
        <f>'Runs Z score'!G151</f>
        <v/>
      </c>
      <c r="H159">
        <f>VLOOKUP(C159,Recipes!$A$2:$N$4,10,FALSE())</f>
        <v/>
      </c>
      <c r="I159">
        <f>VLOOKUP(C159,Recipes!$A$2:$N$4,12,FALSE())</f>
        <v/>
      </c>
      <c r="J159">
        <f>IF(G159="","",H159-G159)</f>
        <v/>
      </c>
      <c r="K159">
        <f>IF(G159="","",IF(ABS(G159-H159)&lt;=$B$6*I159,"OK","NG"))</f>
        <v/>
      </c>
      <c r="L159">
        <f>IF(K159="","",IF(K159=D159,1,0))</f>
        <v/>
      </c>
      <c r="M159" t="inlineStr">
        <is>
          <t>NONE</t>
        </is>
      </c>
      <c r="N159" s="15" t="n">
        <v>1</v>
      </c>
      <c r="O159" s="15" t="n">
        <v>0</v>
      </c>
      <c r="P159">
        <f>IF(M159="","",IF(M159=E159,1,0))</f>
        <v/>
      </c>
      <c r="Q159">
        <f>IF(K159="OK","-",IF(N159&lt;$B$7,"AMBIGUOUS","CONFIDENT"))</f>
        <v/>
      </c>
    </row>
    <row r="160">
      <c r="A160">
        <f>'Runs Z score'!A152</f>
        <v/>
      </c>
      <c r="B160">
        <f>'Runs Z score'!B152</f>
        <v/>
      </c>
      <c r="C160">
        <f>'Runs Z score'!C152</f>
        <v/>
      </c>
      <c r="D160">
        <f>'Runs Z score'!D152</f>
        <v/>
      </c>
      <c r="E160">
        <f>'Runs Z score'!E152</f>
        <v/>
      </c>
      <c r="F160">
        <f>'Runs Z score'!F152</f>
        <v/>
      </c>
      <c r="G160">
        <f>'Runs Z score'!G152</f>
        <v/>
      </c>
      <c r="H160">
        <f>VLOOKUP(C160,Recipes!$A$2:$N$4,10,FALSE())</f>
        <v/>
      </c>
      <c r="I160">
        <f>VLOOKUP(C160,Recipes!$A$2:$N$4,12,FALSE())</f>
        <v/>
      </c>
      <c r="J160">
        <f>IF(G160="","",H160-G160)</f>
        <v/>
      </c>
      <c r="K160">
        <f>IF(G160="","",IF(ABS(G160-H160)&lt;=$B$6*I160,"OK","NG"))</f>
        <v/>
      </c>
      <c r="L160">
        <f>IF(K160="","",IF(K160=D160,1,0))</f>
        <v/>
      </c>
      <c r="M160" t="inlineStr">
        <is>
          <t>NONE</t>
        </is>
      </c>
      <c r="N160" s="15" t="n">
        <v>1</v>
      </c>
      <c r="O160" s="15" t="n">
        <v>0</v>
      </c>
      <c r="P160">
        <f>IF(M160="","",IF(M160=E160,1,0))</f>
        <v/>
      </c>
      <c r="Q160">
        <f>IF(K160="OK","-",IF(N160&lt;$B$7,"AMBIGUOUS","CONFIDENT"))</f>
        <v/>
      </c>
    </row>
    <row r="161">
      <c r="A161">
        <f>'Runs Z score'!A153</f>
        <v/>
      </c>
      <c r="B161">
        <f>'Runs Z score'!B153</f>
        <v/>
      </c>
      <c r="C161">
        <f>'Runs Z score'!C153</f>
        <v/>
      </c>
      <c r="D161">
        <f>'Runs Z score'!D153</f>
        <v/>
      </c>
      <c r="E161">
        <f>'Runs Z score'!E153</f>
        <v/>
      </c>
      <c r="F161">
        <f>'Runs Z score'!F153</f>
        <v/>
      </c>
      <c r="G161">
        <f>'Runs Z score'!G153</f>
        <v/>
      </c>
      <c r="H161">
        <f>VLOOKUP(C161,Recipes!$A$2:$N$4,10,FALSE())</f>
        <v/>
      </c>
      <c r="I161">
        <f>VLOOKUP(C161,Recipes!$A$2:$N$4,12,FALSE())</f>
        <v/>
      </c>
      <c r="J161">
        <f>IF(G161="","",H161-G161)</f>
        <v/>
      </c>
      <c r="K161">
        <f>IF(G161="","",IF(ABS(G161-H161)&lt;=$B$6*I161,"OK","NG"))</f>
        <v/>
      </c>
      <c r="L161">
        <f>IF(K161="","",IF(K161=D161,1,0))</f>
        <v/>
      </c>
      <c r="M161" t="inlineStr">
        <is>
          <t>S1</t>
        </is>
      </c>
      <c r="N161" s="15" t="n">
        <v>0.911</v>
      </c>
      <c r="O161" s="15" t="n">
        <v>0.037</v>
      </c>
      <c r="P161">
        <f>IF(M161="","",IF(M161=E161,1,0))</f>
        <v/>
      </c>
      <c r="Q161">
        <f>IF(K161="OK","-",IF(N161&lt;$B$7,"AMBIGUOUS","CONFIDENT"))</f>
        <v/>
      </c>
    </row>
    <row r="162">
      <c r="A162">
        <f>'Runs Z score'!A154</f>
        <v/>
      </c>
      <c r="B162">
        <f>'Runs Z score'!B154</f>
        <v/>
      </c>
      <c r="C162">
        <f>'Runs Z score'!C154</f>
        <v/>
      </c>
      <c r="D162">
        <f>'Runs Z score'!D154</f>
        <v/>
      </c>
      <c r="E162">
        <f>'Runs Z score'!E154</f>
        <v/>
      </c>
      <c r="F162">
        <f>'Runs Z score'!F154</f>
        <v/>
      </c>
      <c r="G162">
        <f>'Runs Z score'!G154</f>
        <v/>
      </c>
      <c r="H162">
        <f>VLOOKUP(C162,Recipes!$A$2:$N$4,10,FALSE())</f>
        <v/>
      </c>
      <c r="I162">
        <f>VLOOKUP(C162,Recipes!$A$2:$N$4,12,FALSE())</f>
        <v/>
      </c>
      <c r="J162">
        <f>IF(G162="","",H162-G162)</f>
        <v/>
      </c>
      <c r="K162">
        <f>IF(G162="","",IF(ABS(G162-H162)&lt;=$B$6*I162,"OK","NG"))</f>
        <v/>
      </c>
      <c r="L162">
        <f>IF(K162="","",IF(K162=D162,1,0))</f>
        <v/>
      </c>
      <c r="M162" t="inlineStr">
        <is>
          <t>S1</t>
        </is>
      </c>
      <c r="N162" s="15" t="n">
        <v>0.9092</v>
      </c>
      <c r="O162" s="15" t="n">
        <v>0.0364</v>
      </c>
      <c r="P162">
        <f>IF(M162="","",IF(M162=E162,1,0))</f>
        <v/>
      </c>
      <c r="Q162">
        <f>IF(K162="OK","-",IF(N162&lt;$B$7,"AMBIGUOUS","CONFIDENT"))</f>
        <v/>
      </c>
    </row>
    <row r="163">
      <c r="A163">
        <f>'Runs Z score'!A155</f>
        <v/>
      </c>
      <c r="B163">
        <f>'Runs Z score'!B155</f>
        <v/>
      </c>
      <c r="C163">
        <f>'Runs Z score'!C155</f>
        <v/>
      </c>
      <c r="D163">
        <f>'Runs Z score'!D155</f>
        <v/>
      </c>
      <c r="E163">
        <f>'Runs Z score'!E155</f>
        <v/>
      </c>
      <c r="F163">
        <f>'Runs Z score'!F155</f>
        <v/>
      </c>
      <c r="G163">
        <f>'Runs Z score'!G155</f>
        <v/>
      </c>
      <c r="H163">
        <f>VLOOKUP(C163,Recipes!$A$2:$N$4,10,FALSE())</f>
        <v/>
      </c>
      <c r="I163">
        <f>VLOOKUP(C163,Recipes!$A$2:$N$4,12,FALSE())</f>
        <v/>
      </c>
      <c r="J163">
        <f>IF(G163="","",H163-G163)</f>
        <v/>
      </c>
      <c r="K163">
        <f>IF(G163="","",IF(ABS(G163-H163)&lt;=$B$6*I163,"OK","NG"))</f>
        <v/>
      </c>
      <c r="L163">
        <f>IF(K163="","",IF(K163=D163,1,0))</f>
        <v/>
      </c>
      <c r="M163" t="inlineStr">
        <is>
          <t>S1</t>
        </is>
      </c>
      <c r="N163" s="15" t="n">
        <v>0.9104</v>
      </c>
      <c r="O163" s="15" t="n">
        <v>0.0387</v>
      </c>
      <c r="P163">
        <f>IF(M163="","",IF(M163=E163,1,0))</f>
        <v/>
      </c>
      <c r="Q163">
        <f>IF(K163="OK","-",IF(N163&lt;$B$7,"AMBIGUOUS","CONFIDENT"))</f>
        <v/>
      </c>
    </row>
    <row r="164">
      <c r="A164">
        <f>'Runs Z score'!A156</f>
        <v/>
      </c>
      <c r="B164">
        <f>'Runs Z score'!B156</f>
        <v/>
      </c>
      <c r="C164">
        <f>'Runs Z score'!C156</f>
        <v/>
      </c>
      <c r="D164">
        <f>'Runs Z score'!D156</f>
        <v/>
      </c>
      <c r="E164">
        <f>'Runs Z score'!E156</f>
        <v/>
      </c>
      <c r="F164">
        <f>'Runs Z score'!F156</f>
        <v/>
      </c>
      <c r="G164">
        <f>'Runs Z score'!G156</f>
        <v/>
      </c>
      <c r="H164">
        <f>VLOOKUP(C164,Recipes!$A$2:$N$4,10,FALSE())</f>
        <v/>
      </c>
      <c r="I164">
        <f>VLOOKUP(C164,Recipes!$A$2:$N$4,12,FALSE())</f>
        <v/>
      </c>
      <c r="J164">
        <f>IF(G164="","",H164-G164)</f>
        <v/>
      </c>
      <c r="K164">
        <f>IF(G164="","",IF(ABS(G164-H164)&lt;=$B$6*I164,"OK","NG"))</f>
        <v/>
      </c>
      <c r="L164">
        <f>IF(K164="","",IF(K164=D164,1,0))</f>
        <v/>
      </c>
      <c r="M164" t="inlineStr">
        <is>
          <t>S1</t>
        </is>
      </c>
      <c r="N164" s="15" t="n">
        <v>0.9096</v>
      </c>
      <c r="O164" s="15" t="n">
        <v>0.0426</v>
      </c>
      <c r="P164">
        <f>IF(M164="","",IF(M164=E164,1,0))</f>
        <v/>
      </c>
      <c r="Q164">
        <f>IF(K164="OK","-",IF(N164&lt;$B$7,"AMBIGUOUS","CONFIDENT"))</f>
        <v/>
      </c>
    </row>
    <row r="165">
      <c r="A165">
        <f>'Runs Z score'!A157</f>
        <v/>
      </c>
      <c r="B165">
        <f>'Runs Z score'!B157</f>
        <v/>
      </c>
      <c r="C165">
        <f>'Runs Z score'!C157</f>
        <v/>
      </c>
      <c r="D165">
        <f>'Runs Z score'!D157</f>
        <v/>
      </c>
      <c r="E165">
        <f>'Runs Z score'!E157</f>
        <v/>
      </c>
      <c r="F165">
        <f>'Runs Z score'!F157</f>
        <v/>
      </c>
      <c r="G165">
        <f>'Runs Z score'!G157</f>
        <v/>
      </c>
      <c r="H165">
        <f>VLOOKUP(C165,Recipes!$A$2:$N$4,10,FALSE())</f>
        <v/>
      </c>
      <c r="I165">
        <f>VLOOKUP(C165,Recipes!$A$2:$N$4,12,FALSE())</f>
        <v/>
      </c>
      <c r="J165">
        <f>IF(G165="","",H165-G165)</f>
        <v/>
      </c>
      <c r="K165">
        <f>IF(G165="","",IF(ABS(G165-H165)&lt;=$B$6*I165,"OK","NG"))</f>
        <v/>
      </c>
      <c r="L165">
        <f>IF(K165="","",IF(K165=D165,1,0))</f>
        <v/>
      </c>
      <c r="M165" t="inlineStr">
        <is>
          <t>S1</t>
        </is>
      </c>
      <c r="N165" s="15" t="n">
        <v>0.9103</v>
      </c>
      <c r="O165" s="15" t="n">
        <v>0.0379</v>
      </c>
      <c r="P165">
        <f>IF(M165="","",IF(M165=E165,1,0))</f>
        <v/>
      </c>
      <c r="Q165">
        <f>IF(K165="OK","-",IF(N165&lt;$B$7,"AMBIGUOUS","CONFIDENT"))</f>
        <v/>
      </c>
    </row>
    <row r="166">
      <c r="A166">
        <f>'Runs Z score'!A158</f>
        <v/>
      </c>
      <c r="B166">
        <f>'Runs Z score'!B158</f>
        <v/>
      </c>
      <c r="C166">
        <f>'Runs Z score'!C158</f>
        <v/>
      </c>
      <c r="D166">
        <f>'Runs Z score'!D158</f>
        <v/>
      </c>
      <c r="E166">
        <f>'Runs Z score'!E158</f>
        <v/>
      </c>
      <c r="F166">
        <f>'Runs Z score'!F158</f>
        <v/>
      </c>
      <c r="G166">
        <f>'Runs Z score'!G158</f>
        <v/>
      </c>
      <c r="H166">
        <f>VLOOKUP(C166,Recipes!$A$2:$N$4,10,FALSE())</f>
        <v/>
      </c>
      <c r="I166">
        <f>VLOOKUP(C166,Recipes!$A$2:$N$4,12,FALSE())</f>
        <v/>
      </c>
      <c r="J166">
        <f>IF(G166="","",H166-G166)</f>
        <v/>
      </c>
      <c r="K166">
        <f>IF(G166="","",IF(ABS(G166-H166)&lt;=$B$6*I166,"OK","NG"))</f>
        <v/>
      </c>
      <c r="L166">
        <f>IF(K166="","",IF(K166=D166,1,0))</f>
        <v/>
      </c>
      <c r="M166" t="inlineStr">
        <is>
          <t>S1</t>
        </is>
      </c>
      <c r="N166" s="15" t="n">
        <v>0.9091</v>
      </c>
      <c r="O166" s="15" t="n">
        <v>0.037</v>
      </c>
      <c r="P166">
        <f>IF(M166="","",IF(M166=E166,1,0))</f>
        <v/>
      </c>
      <c r="Q166">
        <f>IF(K166="OK","-",IF(N166&lt;$B$7,"AMBIGUOUS","CONFIDENT"))</f>
        <v/>
      </c>
    </row>
    <row r="167">
      <c r="A167">
        <f>'Runs Z score'!A159</f>
        <v/>
      </c>
      <c r="B167">
        <f>'Runs Z score'!B159</f>
        <v/>
      </c>
      <c r="C167">
        <f>'Runs Z score'!C159</f>
        <v/>
      </c>
      <c r="D167">
        <f>'Runs Z score'!D159</f>
        <v/>
      </c>
      <c r="E167">
        <f>'Runs Z score'!E159</f>
        <v/>
      </c>
      <c r="F167">
        <f>'Runs Z score'!F159</f>
        <v/>
      </c>
      <c r="G167">
        <f>'Runs Z score'!G159</f>
        <v/>
      </c>
      <c r="H167">
        <f>VLOOKUP(C167,Recipes!$A$2:$N$4,10,FALSE())</f>
        <v/>
      </c>
      <c r="I167">
        <f>VLOOKUP(C167,Recipes!$A$2:$N$4,12,FALSE())</f>
        <v/>
      </c>
      <c r="J167">
        <f>IF(G167="","",H167-G167)</f>
        <v/>
      </c>
      <c r="K167">
        <f>IF(G167="","",IF(ABS(G167-H167)&lt;=$B$6*I167,"OK","NG"))</f>
        <v/>
      </c>
      <c r="L167">
        <f>IF(K167="","",IF(K167=D167,1,0))</f>
        <v/>
      </c>
      <c r="M167" t="inlineStr">
        <is>
          <t>S1</t>
        </is>
      </c>
      <c r="N167" s="15" t="n">
        <v>0.911</v>
      </c>
      <c r="O167" s="15" t="n">
        <v>0.037</v>
      </c>
      <c r="P167">
        <f>IF(M167="","",IF(M167=E167,1,0))</f>
        <v/>
      </c>
      <c r="Q167">
        <f>IF(K167="OK","-",IF(N167&lt;$B$7,"AMBIGUOUS","CONFIDENT"))</f>
        <v/>
      </c>
    </row>
    <row r="168">
      <c r="A168">
        <f>'Runs Z score'!A160</f>
        <v/>
      </c>
      <c r="B168">
        <f>'Runs Z score'!B160</f>
        <v/>
      </c>
      <c r="C168">
        <f>'Runs Z score'!C160</f>
        <v/>
      </c>
      <c r="D168">
        <f>'Runs Z score'!D160</f>
        <v/>
      </c>
      <c r="E168">
        <f>'Runs Z score'!E160</f>
        <v/>
      </c>
      <c r="F168">
        <f>'Runs Z score'!F160</f>
        <v/>
      </c>
      <c r="G168">
        <f>'Runs Z score'!G160</f>
        <v/>
      </c>
      <c r="H168">
        <f>VLOOKUP(C168,Recipes!$A$2:$N$4,10,FALSE())</f>
        <v/>
      </c>
      <c r="I168">
        <f>VLOOKUP(C168,Recipes!$A$2:$N$4,12,FALSE())</f>
        <v/>
      </c>
      <c r="J168">
        <f>IF(G168="","",H168-G168)</f>
        <v/>
      </c>
      <c r="K168">
        <f>IF(G168="","",IF(ABS(G168-H168)&lt;=$B$6*I168,"OK","NG"))</f>
        <v/>
      </c>
      <c r="L168">
        <f>IF(K168="","",IF(K168=D168,1,0))</f>
        <v/>
      </c>
      <c r="M168" t="inlineStr">
        <is>
          <t>S1</t>
        </is>
      </c>
      <c r="N168" s="15" t="n">
        <v>0.9105</v>
      </c>
      <c r="O168" s="15" t="n">
        <v>0.0429</v>
      </c>
      <c r="P168">
        <f>IF(M168="","",IF(M168=E168,1,0))</f>
        <v/>
      </c>
      <c r="Q168">
        <f>IF(K168="OK","-",IF(N168&lt;$B$7,"AMBIGUOUS","CONFIDENT"))</f>
        <v/>
      </c>
    </row>
    <row r="169">
      <c r="A169">
        <f>'Runs Z score'!A161</f>
        <v/>
      </c>
      <c r="B169">
        <f>'Runs Z score'!B161</f>
        <v/>
      </c>
      <c r="C169">
        <f>'Runs Z score'!C161</f>
        <v/>
      </c>
      <c r="D169">
        <f>'Runs Z score'!D161</f>
        <v/>
      </c>
      <c r="E169">
        <f>'Runs Z score'!E161</f>
        <v/>
      </c>
      <c r="F169">
        <f>'Runs Z score'!F161</f>
        <v/>
      </c>
      <c r="G169">
        <f>'Runs Z score'!G161</f>
        <v/>
      </c>
      <c r="H169">
        <f>VLOOKUP(C169,Recipes!$A$2:$N$4,10,FALSE())</f>
        <v/>
      </c>
      <c r="I169">
        <f>VLOOKUP(C169,Recipes!$A$2:$N$4,12,FALSE())</f>
        <v/>
      </c>
      <c r="J169">
        <f>IF(G169="","",H169-G169)</f>
        <v/>
      </c>
      <c r="K169">
        <f>IF(G169="","",IF(ABS(G169-H169)&lt;=$B$6*I169,"OK","NG"))</f>
        <v/>
      </c>
      <c r="L169">
        <f>IF(K169="","",IF(K169=D169,1,0))</f>
        <v/>
      </c>
      <c r="M169" t="inlineStr">
        <is>
          <t>S1</t>
        </is>
      </c>
      <c r="N169" s="15" t="n">
        <v>0.9058</v>
      </c>
      <c r="O169" s="15" t="n">
        <v>0.0413</v>
      </c>
      <c r="P169">
        <f>IF(M169="","",IF(M169=E169,1,0))</f>
        <v/>
      </c>
      <c r="Q169">
        <f>IF(K169="OK","-",IF(N169&lt;$B$7,"AMBIGUOUS","CONFIDENT"))</f>
        <v/>
      </c>
    </row>
    <row r="170">
      <c r="A170">
        <f>'Runs Z score'!A162</f>
        <v/>
      </c>
      <c r="B170">
        <f>'Runs Z score'!B162</f>
        <v/>
      </c>
      <c r="C170">
        <f>'Runs Z score'!C162</f>
        <v/>
      </c>
      <c r="D170">
        <f>'Runs Z score'!D162</f>
        <v/>
      </c>
      <c r="E170">
        <f>'Runs Z score'!E162</f>
        <v/>
      </c>
      <c r="F170">
        <f>'Runs Z score'!F162</f>
        <v/>
      </c>
      <c r="G170">
        <f>'Runs Z score'!G162</f>
        <v/>
      </c>
      <c r="H170">
        <f>VLOOKUP(C170,Recipes!$A$2:$N$4,10,FALSE())</f>
        <v/>
      </c>
      <c r="I170">
        <f>VLOOKUP(C170,Recipes!$A$2:$N$4,12,FALSE())</f>
        <v/>
      </c>
      <c r="J170">
        <f>IF(G170="","",H170-G170)</f>
        <v/>
      </c>
      <c r="K170">
        <f>IF(G170="","",IF(ABS(G170-H170)&lt;=$B$6*I170,"OK","NG"))</f>
        <v/>
      </c>
      <c r="L170">
        <f>IF(K170="","",IF(K170=D170,1,0))</f>
        <v/>
      </c>
      <c r="M170" t="inlineStr">
        <is>
          <t>S1</t>
        </is>
      </c>
      <c r="N170" s="15" t="n">
        <v>0.9094</v>
      </c>
      <c r="O170" s="15" t="n">
        <v>0.038</v>
      </c>
      <c r="P170">
        <f>IF(M170="","",IF(M170=E170,1,0))</f>
        <v/>
      </c>
      <c r="Q170">
        <f>IF(K170="OK","-",IF(N170&lt;$B$7,"AMBIGUOUS","CONFIDENT"))</f>
        <v/>
      </c>
    </row>
    <row r="171">
      <c r="A171">
        <f>'Runs Z score'!A163</f>
        <v/>
      </c>
      <c r="B171">
        <f>'Runs Z score'!B163</f>
        <v/>
      </c>
      <c r="C171">
        <f>'Runs Z score'!C163</f>
        <v/>
      </c>
      <c r="D171">
        <f>'Runs Z score'!D163</f>
        <v/>
      </c>
      <c r="E171">
        <f>'Runs Z score'!E163</f>
        <v/>
      </c>
      <c r="F171">
        <f>'Runs Z score'!F163</f>
        <v/>
      </c>
      <c r="G171">
        <f>'Runs Z score'!G163</f>
        <v/>
      </c>
      <c r="H171">
        <f>VLOOKUP(C171,Recipes!$A$2:$N$4,10,FALSE())</f>
        <v/>
      </c>
      <c r="I171">
        <f>VLOOKUP(C171,Recipes!$A$2:$N$4,12,FALSE())</f>
        <v/>
      </c>
      <c r="J171">
        <f>IF(G171="","",H171-G171)</f>
        <v/>
      </c>
      <c r="K171">
        <f>IF(G171="","",IF(ABS(G171-H171)&lt;=$B$6*I171,"OK","NG"))</f>
        <v/>
      </c>
      <c r="L171">
        <f>IF(K171="","",IF(K171=D171,1,0))</f>
        <v/>
      </c>
      <c r="M171" t="inlineStr">
        <is>
          <t>S1</t>
        </is>
      </c>
      <c r="N171" s="15" t="n">
        <v>0.9095</v>
      </c>
      <c r="O171" s="15" t="n">
        <v>0.0391</v>
      </c>
      <c r="P171">
        <f>IF(M171="","",IF(M171=E171,1,0))</f>
        <v/>
      </c>
      <c r="Q171">
        <f>IF(K171="OK","-",IF(N171&lt;$B$7,"AMBIGUOUS","CONFIDENT"))</f>
        <v/>
      </c>
    </row>
    <row r="172">
      <c r="A172">
        <f>'Runs Z score'!A164</f>
        <v/>
      </c>
      <c r="B172">
        <f>'Runs Z score'!B164</f>
        <v/>
      </c>
      <c r="C172">
        <f>'Runs Z score'!C164</f>
        <v/>
      </c>
      <c r="D172">
        <f>'Runs Z score'!D164</f>
        <v/>
      </c>
      <c r="E172">
        <f>'Runs Z score'!E164</f>
        <v/>
      </c>
      <c r="F172">
        <f>'Runs Z score'!F164</f>
        <v/>
      </c>
      <c r="G172">
        <f>'Runs Z score'!G164</f>
        <v/>
      </c>
      <c r="H172">
        <f>VLOOKUP(C172,Recipes!$A$2:$N$4,10,FALSE())</f>
        <v/>
      </c>
      <c r="I172">
        <f>VLOOKUP(C172,Recipes!$A$2:$N$4,12,FALSE())</f>
        <v/>
      </c>
      <c r="J172">
        <f>IF(G172="","",H172-G172)</f>
        <v/>
      </c>
      <c r="K172">
        <f>IF(G172="","",IF(ABS(G172-H172)&lt;=$B$6*I172,"OK","NG"))</f>
        <v/>
      </c>
      <c r="L172">
        <f>IF(K172="","",IF(K172=D172,1,0))</f>
        <v/>
      </c>
      <c r="M172" t="inlineStr">
        <is>
          <t>S1</t>
        </is>
      </c>
      <c r="N172" s="15" t="n">
        <v>0.9097</v>
      </c>
      <c r="O172" s="15" t="n">
        <v>0.0365</v>
      </c>
      <c r="P172">
        <f>IF(M172="","",IF(M172=E172,1,0))</f>
        <v/>
      </c>
      <c r="Q172">
        <f>IF(K172="OK","-",IF(N172&lt;$B$7,"AMBIGUOUS","CONFIDENT"))</f>
        <v/>
      </c>
    </row>
    <row r="173">
      <c r="A173">
        <f>'Runs Z score'!A165</f>
        <v/>
      </c>
      <c r="B173">
        <f>'Runs Z score'!B165</f>
        <v/>
      </c>
      <c r="C173">
        <f>'Runs Z score'!C165</f>
        <v/>
      </c>
      <c r="D173">
        <f>'Runs Z score'!D165</f>
        <v/>
      </c>
      <c r="E173">
        <f>'Runs Z score'!E165</f>
        <v/>
      </c>
      <c r="F173">
        <f>'Runs Z score'!F165</f>
        <v/>
      </c>
      <c r="G173">
        <f>'Runs Z score'!G165</f>
        <v/>
      </c>
      <c r="H173">
        <f>VLOOKUP(C173,Recipes!$A$2:$N$4,10,FALSE())</f>
        <v/>
      </c>
      <c r="I173">
        <f>VLOOKUP(C173,Recipes!$A$2:$N$4,12,FALSE())</f>
        <v/>
      </c>
      <c r="J173">
        <f>IF(G173="","",H173-G173)</f>
        <v/>
      </c>
      <c r="K173">
        <f>IF(G173="","",IF(ABS(G173-H173)&lt;=$B$6*I173,"OK","NG"))</f>
        <v/>
      </c>
      <c r="L173">
        <f>IF(K173="","",IF(K173=D173,1,0))</f>
        <v/>
      </c>
      <c r="M173" t="inlineStr">
        <is>
          <t>S1</t>
        </is>
      </c>
      <c r="N173" s="15" t="n">
        <v>0.9092</v>
      </c>
      <c r="O173" s="15" t="n">
        <v>0.0417</v>
      </c>
      <c r="P173">
        <f>IF(M173="","",IF(M173=E173,1,0))</f>
        <v/>
      </c>
      <c r="Q173">
        <f>IF(K173="OK","-",IF(N173&lt;$B$7,"AMBIGUOUS","CONFIDENT"))</f>
        <v/>
      </c>
    </row>
    <row r="174">
      <c r="A174">
        <f>'Runs Z score'!A166</f>
        <v/>
      </c>
      <c r="B174">
        <f>'Runs Z score'!B166</f>
        <v/>
      </c>
      <c r="C174">
        <f>'Runs Z score'!C166</f>
        <v/>
      </c>
      <c r="D174">
        <f>'Runs Z score'!D166</f>
        <v/>
      </c>
      <c r="E174">
        <f>'Runs Z score'!E166</f>
        <v/>
      </c>
      <c r="F174">
        <f>'Runs Z score'!F166</f>
        <v/>
      </c>
      <c r="G174">
        <f>'Runs Z score'!G166</f>
        <v/>
      </c>
      <c r="H174">
        <f>VLOOKUP(C174,Recipes!$A$2:$N$4,10,FALSE())</f>
        <v/>
      </c>
      <c r="I174">
        <f>VLOOKUP(C174,Recipes!$A$2:$N$4,12,FALSE())</f>
        <v/>
      </c>
      <c r="J174">
        <f>IF(G174="","",H174-G174)</f>
        <v/>
      </c>
      <c r="K174">
        <f>IF(G174="","",IF(ABS(G174-H174)&lt;=$B$6*I174,"OK","NG"))</f>
        <v/>
      </c>
      <c r="L174">
        <f>IF(K174="","",IF(K174=D174,1,0))</f>
        <v/>
      </c>
      <c r="M174" t="inlineStr">
        <is>
          <t>S1</t>
        </is>
      </c>
      <c r="N174" s="15" t="n">
        <v>0.9078000000000001</v>
      </c>
      <c r="O174" s="15" t="n">
        <v>0.0387</v>
      </c>
      <c r="P174">
        <f>IF(M174="","",IF(M174=E174,1,0))</f>
        <v/>
      </c>
      <c r="Q174">
        <f>IF(K174="OK","-",IF(N174&lt;$B$7,"AMBIGUOUS","CONFIDENT"))</f>
        <v/>
      </c>
    </row>
    <row r="175">
      <c r="A175">
        <f>'Runs Z score'!A167</f>
        <v/>
      </c>
      <c r="B175">
        <f>'Runs Z score'!B167</f>
        <v/>
      </c>
      <c r="C175">
        <f>'Runs Z score'!C167</f>
        <v/>
      </c>
      <c r="D175">
        <f>'Runs Z score'!D167</f>
        <v/>
      </c>
      <c r="E175">
        <f>'Runs Z score'!E167</f>
        <v/>
      </c>
      <c r="F175">
        <f>'Runs Z score'!F167</f>
        <v/>
      </c>
      <c r="G175">
        <f>'Runs Z score'!G167</f>
        <v/>
      </c>
      <c r="H175">
        <f>VLOOKUP(C175,Recipes!$A$2:$N$4,10,FALSE())</f>
        <v/>
      </c>
      <c r="I175">
        <f>VLOOKUP(C175,Recipes!$A$2:$N$4,12,FALSE())</f>
        <v/>
      </c>
      <c r="J175">
        <f>IF(G175="","",H175-G175)</f>
        <v/>
      </c>
      <c r="K175">
        <f>IF(G175="","",IF(ABS(G175-H175)&lt;=$B$6*I175,"OK","NG"))</f>
        <v/>
      </c>
      <c r="L175">
        <f>IF(K175="","",IF(K175=D175,1,0))</f>
        <v/>
      </c>
      <c r="M175" t="inlineStr">
        <is>
          <t>S1</t>
        </is>
      </c>
      <c r="N175" s="15" t="n">
        <v>0.9091</v>
      </c>
      <c r="O175" s="15" t="n">
        <v>0.037</v>
      </c>
      <c r="P175">
        <f>IF(M175="","",IF(M175=E175,1,0))</f>
        <v/>
      </c>
      <c r="Q175">
        <f>IF(K175="OK","-",IF(N175&lt;$B$7,"AMBIGUOUS","CONFIDENT"))</f>
        <v/>
      </c>
    </row>
    <row r="176">
      <c r="A176">
        <f>'Runs Z score'!A168</f>
        <v/>
      </c>
      <c r="B176">
        <f>'Runs Z score'!B168</f>
        <v/>
      </c>
      <c r="C176">
        <f>'Runs Z score'!C168</f>
        <v/>
      </c>
      <c r="D176">
        <f>'Runs Z score'!D168</f>
        <v/>
      </c>
      <c r="E176">
        <f>'Runs Z score'!E168</f>
        <v/>
      </c>
      <c r="F176">
        <f>'Runs Z score'!F168</f>
        <v/>
      </c>
      <c r="G176">
        <f>'Runs Z score'!G168</f>
        <v/>
      </c>
      <c r="H176">
        <f>VLOOKUP(C176,Recipes!$A$2:$N$4,10,FALSE())</f>
        <v/>
      </c>
      <c r="I176">
        <f>VLOOKUP(C176,Recipes!$A$2:$N$4,12,FALSE())</f>
        <v/>
      </c>
      <c r="J176">
        <f>IF(G176="","",H176-G176)</f>
        <v/>
      </c>
      <c r="K176">
        <f>IF(G176="","",IF(ABS(G176-H176)&lt;=$B$6*I176,"OK","NG"))</f>
        <v/>
      </c>
      <c r="L176">
        <f>IF(K176="","",IF(K176=D176,1,0))</f>
        <v/>
      </c>
      <c r="M176" t="inlineStr">
        <is>
          <t>S1</t>
        </is>
      </c>
      <c r="N176" s="15" t="n">
        <v>0.909</v>
      </c>
      <c r="O176" s="15" t="n">
        <v>0.0374</v>
      </c>
      <c r="P176">
        <f>IF(M176="","",IF(M176=E176,1,0))</f>
        <v/>
      </c>
      <c r="Q176">
        <f>IF(K176="OK","-",IF(N176&lt;$B$7,"AMBIGUOUS","CONFIDENT"))</f>
        <v/>
      </c>
    </row>
    <row r="177">
      <c r="A177">
        <f>'Runs Z score'!A169</f>
        <v/>
      </c>
      <c r="B177">
        <f>'Runs Z score'!B169</f>
        <v/>
      </c>
      <c r="C177">
        <f>'Runs Z score'!C169</f>
        <v/>
      </c>
      <c r="D177">
        <f>'Runs Z score'!D169</f>
        <v/>
      </c>
      <c r="E177">
        <f>'Runs Z score'!E169</f>
        <v/>
      </c>
      <c r="F177">
        <f>'Runs Z score'!F169</f>
        <v/>
      </c>
      <c r="G177">
        <f>'Runs Z score'!G169</f>
        <v/>
      </c>
      <c r="H177">
        <f>VLOOKUP(C177,Recipes!$A$2:$N$4,10,FALSE())</f>
        <v/>
      </c>
      <c r="I177">
        <f>VLOOKUP(C177,Recipes!$A$2:$N$4,12,FALSE())</f>
        <v/>
      </c>
      <c r="J177">
        <f>IF(G177="","",H177-G177)</f>
        <v/>
      </c>
      <c r="K177">
        <f>IF(G177="","",IF(ABS(G177-H177)&lt;=$B$6*I177,"OK","NG"))</f>
        <v/>
      </c>
      <c r="L177">
        <f>IF(K177="","",IF(K177=D177,1,0))</f>
        <v/>
      </c>
      <c r="M177" t="inlineStr">
        <is>
          <t>S1</t>
        </is>
      </c>
      <c r="N177" s="15" t="n">
        <v>0.9089</v>
      </c>
      <c r="O177" s="15" t="n">
        <v>0.0432</v>
      </c>
      <c r="P177">
        <f>IF(M177="","",IF(M177=E177,1,0))</f>
        <v/>
      </c>
      <c r="Q177">
        <f>IF(K177="OK","-",IF(N177&lt;$B$7,"AMBIGUOUS","CONFIDENT"))</f>
        <v/>
      </c>
    </row>
    <row r="178">
      <c r="A178">
        <f>'Runs Z score'!A170</f>
        <v/>
      </c>
      <c r="B178">
        <f>'Runs Z score'!B170</f>
        <v/>
      </c>
      <c r="C178">
        <f>'Runs Z score'!C170</f>
        <v/>
      </c>
      <c r="D178">
        <f>'Runs Z score'!D170</f>
        <v/>
      </c>
      <c r="E178">
        <f>'Runs Z score'!E170</f>
        <v/>
      </c>
      <c r="F178">
        <f>'Runs Z score'!F170</f>
        <v/>
      </c>
      <c r="G178">
        <f>'Runs Z score'!G170</f>
        <v/>
      </c>
      <c r="H178">
        <f>VLOOKUP(C178,Recipes!$A$2:$N$4,10,FALSE())</f>
        <v/>
      </c>
      <c r="I178">
        <f>VLOOKUP(C178,Recipes!$A$2:$N$4,12,FALSE())</f>
        <v/>
      </c>
      <c r="J178">
        <f>IF(G178="","",H178-G178)</f>
        <v/>
      </c>
      <c r="K178">
        <f>IF(G178="","",IF(ABS(G178-H178)&lt;=$B$6*I178,"OK","NG"))</f>
        <v/>
      </c>
      <c r="L178">
        <f>IF(K178="","",IF(K178=D178,1,0))</f>
        <v/>
      </c>
      <c r="M178" t="inlineStr">
        <is>
          <t>S1</t>
        </is>
      </c>
      <c r="N178" s="15" t="n">
        <v>0.9094</v>
      </c>
      <c r="O178" s="15" t="n">
        <v>0.038</v>
      </c>
      <c r="P178">
        <f>IF(M178="","",IF(M178=E178,1,0))</f>
        <v/>
      </c>
      <c r="Q178">
        <f>IF(K178="OK","-",IF(N178&lt;$B$7,"AMBIGUOUS","CONFIDENT"))</f>
        <v/>
      </c>
    </row>
    <row r="179">
      <c r="A179">
        <f>'Runs Z score'!A171</f>
        <v/>
      </c>
      <c r="B179">
        <f>'Runs Z score'!B171</f>
        <v/>
      </c>
      <c r="C179">
        <f>'Runs Z score'!C171</f>
        <v/>
      </c>
      <c r="D179">
        <f>'Runs Z score'!D171</f>
        <v/>
      </c>
      <c r="E179">
        <f>'Runs Z score'!E171</f>
        <v/>
      </c>
      <c r="F179">
        <f>'Runs Z score'!F171</f>
        <v/>
      </c>
      <c r="G179">
        <f>'Runs Z score'!G171</f>
        <v/>
      </c>
      <c r="H179">
        <f>VLOOKUP(C179,Recipes!$A$2:$N$4,10,FALSE())</f>
        <v/>
      </c>
      <c r="I179">
        <f>VLOOKUP(C179,Recipes!$A$2:$N$4,12,FALSE())</f>
        <v/>
      </c>
      <c r="J179">
        <f>IF(G179="","",H179-G179)</f>
        <v/>
      </c>
      <c r="K179">
        <f>IF(G179="","",IF(ABS(G179-H179)&lt;=$B$6*I179,"OK","NG"))</f>
        <v/>
      </c>
      <c r="L179">
        <f>IF(K179="","",IF(K179=D179,1,0))</f>
        <v/>
      </c>
      <c r="M179" t="inlineStr">
        <is>
          <t>S1</t>
        </is>
      </c>
      <c r="N179" s="15" t="n">
        <v>0.9106</v>
      </c>
      <c r="O179" s="15" t="n">
        <v>0.0361</v>
      </c>
      <c r="P179">
        <f>IF(M179="","",IF(M179=E179,1,0))</f>
        <v/>
      </c>
      <c r="Q179">
        <f>IF(K179="OK","-",IF(N179&lt;$B$7,"AMBIGUOUS","CONFIDENT"))</f>
        <v/>
      </c>
    </row>
    <row r="180">
      <c r="A180">
        <f>'Runs Z score'!A172</f>
        <v/>
      </c>
      <c r="B180">
        <f>'Runs Z score'!B172</f>
        <v/>
      </c>
      <c r="C180">
        <f>'Runs Z score'!C172</f>
        <v/>
      </c>
      <c r="D180">
        <f>'Runs Z score'!D172</f>
        <v/>
      </c>
      <c r="E180">
        <f>'Runs Z score'!E172</f>
        <v/>
      </c>
      <c r="F180">
        <f>'Runs Z score'!F172</f>
        <v/>
      </c>
      <c r="G180">
        <f>'Runs Z score'!G172</f>
        <v/>
      </c>
      <c r="H180">
        <f>VLOOKUP(C180,Recipes!$A$2:$N$4,10,FALSE())</f>
        <v/>
      </c>
      <c r="I180">
        <f>VLOOKUP(C180,Recipes!$A$2:$N$4,12,FALSE())</f>
        <v/>
      </c>
      <c r="J180">
        <f>IF(G180="","",H180-G180)</f>
        <v/>
      </c>
      <c r="K180">
        <f>IF(G180="","",IF(ABS(G180-H180)&lt;=$B$6*I180,"OK","NG"))</f>
        <v/>
      </c>
      <c r="L180">
        <f>IF(K180="","",IF(K180=D180,1,0))</f>
        <v/>
      </c>
      <c r="M180" t="inlineStr">
        <is>
          <t>S1</t>
        </is>
      </c>
      <c r="N180" s="15" t="n">
        <v>0.9056999999999999</v>
      </c>
      <c r="O180" s="15" t="n">
        <v>0.0499</v>
      </c>
      <c r="P180">
        <f>IF(M180="","",IF(M180=E180,1,0))</f>
        <v/>
      </c>
      <c r="Q180">
        <f>IF(K180="OK","-",IF(N180&lt;$B$7,"AMBIGUOUS","CONFIDENT"))</f>
        <v/>
      </c>
    </row>
    <row r="181">
      <c r="A181">
        <f>'Runs Z score'!A173</f>
        <v/>
      </c>
      <c r="B181">
        <f>'Runs Z score'!B173</f>
        <v/>
      </c>
      <c r="C181">
        <f>'Runs Z score'!C173</f>
        <v/>
      </c>
      <c r="D181">
        <f>'Runs Z score'!D173</f>
        <v/>
      </c>
      <c r="E181">
        <f>'Runs Z score'!E173</f>
        <v/>
      </c>
      <c r="F181">
        <f>'Runs Z score'!F173</f>
        <v/>
      </c>
      <c r="G181">
        <f>'Runs Z score'!G173</f>
        <v/>
      </c>
      <c r="H181">
        <f>VLOOKUP(C181,Recipes!$A$2:$N$4,10,FALSE())</f>
        <v/>
      </c>
      <c r="I181">
        <f>VLOOKUP(C181,Recipes!$A$2:$N$4,12,FALSE())</f>
        <v/>
      </c>
      <c r="J181">
        <f>IF(G181="","",H181-G181)</f>
        <v/>
      </c>
      <c r="K181">
        <f>IF(G181="","",IF(ABS(G181-H181)&lt;=$B$6*I181,"OK","NG"))</f>
        <v/>
      </c>
      <c r="L181">
        <f>IF(K181="","",IF(K181=D181,1,0))</f>
        <v/>
      </c>
      <c r="M181" t="inlineStr">
        <is>
          <t>S1</t>
        </is>
      </c>
      <c r="N181" s="15" t="n">
        <v>0.909</v>
      </c>
      <c r="O181" s="15" t="n">
        <v>0.0374</v>
      </c>
      <c r="P181">
        <f>IF(M181="","",IF(M181=E181,1,0))</f>
        <v/>
      </c>
      <c r="Q181">
        <f>IF(K181="OK","-",IF(N181&lt;$B$7,"AMBIGUOUS","CONFIDENT"))</f>
        <v/>
      </c>
    </row>
    <row r="182">
      <c r="A182">
        <f>'Runs Z score'!A174</f>
        <v/>
      </c>
      <c r="B182">
        <f>'Runs Z score'!B174</f>
        <v/>
      </c>
      <c r="C182">
        <f>'Runs Z score'!C174</f>
        <v/>
      </c>
      <c r="D182">
        <f>'Runs Z score'!D174</f>
        <v/>
      </c>
      <c r="E182">
        <f>'Runs Z score'!E174</f>
        <v/>
      </c>
      <c r="F182">
        <f>'Runs Z score'!F174</f>
        <v/>
      </c>
      <c r="G182">
        <f>'Runs Z score'!G174</f>
        <v/>
      </c>
      <c r="H182">
        <f>VLOOKUP(C182,Recipes!$A$2:$N$4,10,FALSE())</f>
        <v/>
      </c>
      <c r="I182">
        <f>VLOOKUP(C182,Recipes!$A$2:$N$4,12,FALSE())</f>
        <v/>
      </c>
      <c r="J182">
        <f>IF(G182="","",H182-G182)</f>
        <v/>
      </c>
      <c r="K182">
        <f>IF(G182="","",IF(ABS(G182-H182)&lt;=$B$6*I182,"OK","NG"))</f>
        <v/>
      </c>
      <c r="L182">
        <f>IF(K182="","",IF(K182=D182,1,0))</f>
        <v/>
      </c>
      <c r="M182" t="inlineStr">
        <is>
          <t>S1</t>
        </is>
      </c>
      <c r="N182" s="15" t="n">
        <v>0.911</v>
      </c>
      <c r="O182" s="15" t="n">
        <v>0.037</v>
      </c>
      <c r="P182">
        <f>IF(M182="","",IF(M182=E182,1,0))</f>
        <v/>
      </c>
      <c r="Q182">
        <f>IF(K182="OK","-",IF(N182&lt;$B$7,"AMBIGUOUS","CONFIDENT"))</f>
        <v/>
      </c>
    </row>
    <row r="183">
      <c r="A183">
        <f>'Runs Z score'!A175</f>
        <v/>
      </c>
      <c r="B183">
        <f>'Runs Z score'!B175</f>
        <v/>
      </c>
      <c r="C183">
        <f>'Runs Z score'!C175</f>
        <v/>
      </c>
      <c r="D183">
        <f>'Runs Z score'!D175</f>
        <v/>
      </c>
      <c r="E183">
        <f>'Runs Z score'!E175</f>
        <v/>
      </c>
      <c r="F183">
        <f>'Runs Z score'!F175</f>
        <v/>
      </c>
      <c r="G183">
        <f>'Runs Z score'!G175</f>
        <v/>
      </c>
      <c r="H183">
        <f>VLOOKUP(C183,Recipes!$A$2:$N$4,10,FALSE())</f>
        <v/>
      </c>
      <c r="I183">
        <f>VLOOKUP(C183,Recipes!$A$2:$N$4,12,FALSE())</f>
        <v/>
      </c>
      <c r="J183">
        <f>IF(G183="","",H183-G183)</f>
        <v/>
      </c>
      <c r="K183">
        <f>IF(G183="","",IF(ABS(G183-H183)&lt;=$B$6*I183,"OK","NG"))</f>
        <v/>
      </c>
      <c r="L183">
        <f>IF(K183="","",IF(K183=D183,1,0))</f>
        <v/>
      </c>
      <c r="M183" t="inlineStr">
        <is>
          <t>S1</t>
        </is>
      </c>
      <c r="N183" s="15" t="n">
        <v>0.909</v>
      </c>
      <c r="O183" s="15" t="n">
        <v>0.0374</v>
      </c>
      <c r="P183">
        <f>IF(M183="","",IF(M183=E183,1,0))</f>
        <v/>
      </c>
      <c r="Q183">
        <f>IF(K183="OK","-",IF(N183&lt;$B$7,"AMBIGUOUS","CONFIDENT"))</f>
        <v/>
      </c>
    </row>
    <row r="184">
      <c r="A184">
        <f>'Runs Z score'!A176</f>
        <v/>
      </c>
      <c r="B184">
        <f>'Runs Z score'!B176</f>
        <v/>
      </c>
      <c r="C184">
        <f>'Runs Z score'!C176</f>
        <v/>
      </c>
      <c r="D184">
        <f>'Runs Z score'!D176</f>
        <v/>
      </c>
      <c r="E184">
        <f>'Runs Z score'!E176</f>
        <v/>
      </c>
      <c r="F184">
        <f>'Runs Z score'!F176</f>
        <v/>
      </c>
      <c r="G184">
        <f>'Runs Z score'!G176</f>
        <v/>
      </c>
      <c r="H184">
        <f>VLOOKUP(C184,Recipes!$A$2:$N$4,10,FALSE())</f>
        <v/>
      </c>
      <c r="I184">
        <f>VLOOKUP(C184,Recipes!$A$2:$N$4,12,FALSE())</f>
        <v/>
      </c>
      <c r="J184">
        <f>IF(G184="","",H184-G184)</f>
        <v/>
      </c>
      <c r="K184">
        <f>IF(G184="","",IF(ABS(G184-H184)&lt;=$B$6*I184,"OK","NG"))</f>
        <v/>
      </c>
      <c r="L184">
        <f>IF(K184="","",IF(K184=D184,1,0))</f>
        <v/>
      </c>
      <c r="M184" t="inlineStr">
        <is>
          <t>S1</t>
        </is>
      </c>
      <c r="N184" s="15" t="n">
        <v>0.9111</v>
      </c>
      <c r="O184" s="15" t="n">
        <v>0.0403</v>
      </c>
      <c r="P184">
        <f>IF(M184="","",IF(M184=E184,1,0))</f>
        <v/>
      </c>
      <c r="Q184">
        <f>IF(K184="OK","-",IF(N184&lt;$B$7,"AMBIGUOUS","CONFIDENT"))</f>
        <v/>
      </c>
    </row>
    <row r="185">
      <c r="A185">
        <f>'Runs Z score'!A177</f>
        <v/>
      </c>
      <c r="B185">
        <f>'Runs Z score'!B177</f>
        <v/>
      </c>
      <c r="C185">
        <f>'Runs Z score'!C177</f>
        <v/>
      </c>
      <c r="D185">
        <f>'Runs Z score'!D177</f>
        <v/>
      </c>
      <c r="E185">
        <f>'Runs Z score'!E177</f>
        <v/>
      </c>
      <c r="F185">
        <f>'Runs Z score'!F177</f>
        <v/>
      </c>
      <c r="G185">
        <f>'Runs Z score'!G177</f>
        <v/>
      </c>
      <c r="H185">
        <f>VLOOKUP(C185,Recipes!$A$2:$N$4,10,FALSE())</f>
        <v/>
      </c>
      <c r="I185">
        <f>VLOOKUP(C185,Recipes!$A$2:$N$4,12,FALSE())</f>
        <v/>
      </c>
      <c r="J185">
        <f>IF(G185="","",H185-G185)</f>
        <v/>
      </c>
      <c r="K185">
        <f>IF(G185="","",IF(ABS(G185-H185)&lt;=$B$6*I185,"OK","NG"))</f>
        <v/>
      </c>
      <c r="L185">
        <f>IF(K185="","",IF(K185=D185,1,0))</f>
        <v/>
      </c>
      <c r="M185" t="inlineStr">
        <is>
          <t>S1</t>
        </is>
      </c>
      <c r="N185" s="15" t="n">
        <v>0.9102</v>
      </c>
      <c r="O185" s="15" t="n">
        <v>0.0375</v>
      </c>
      <c r="P185">
        <f>IF(M185="","",IF(M185=E185,1,0))</f>
        <v/>
      </c>
      <c r="Q185">
        <f>IF(K185="OK","-",IF(N185&lt;$B$7,"AMBIGUOUS","CONFIDENT"))</f>
        <v/>
      </c>
    </row>
    <row r="186">
      <c r="A186">
        <f>'Runs Z score'!A178</f>
        <v/>
      </c>
      <c r="B186">
        <f>'Runs Z score'!B178</f>
        <v/>
      </c>
      <c r="C186">
        <f>'Runs Z score'!C178</f>
        <v/>
      </c>
      <c r="D186">
        <f>'Runs Z score'!D178</f>
        <v/>
      </c>
      <c r="E186">
        <f>'Runs Z score'!E178</f>
        <v/>
      </c>
      <c r="F186">
        <f>'Runs Z score'!F178</f>
        <v/>
      </c>
      <c r="G186">
        <f>'Runs Z score'!G178</f>
        <v/>
      </c>
      <c r="H186">
        <f>VLOOKUP(C186,Recipes!$A$2:$N$4,10,FALSE())</f>
        <v/>
      </c>
      <c r="I186">
        <f>VLOOKUP(C186,Recipes!$A$2:$N$4,12,FALSE())</f>
        <v/>
      </c>
      <c r="J186">
        <f>IF(G186="","",H186-G186)</f>
        <v/>
      </c>
      <c r="K186">
        <f>IF(G186="","",IF(ABS(G186-H186)&lt;=$B$6*I186,"OK","NG"))</f>
        <v/>
      </c>
      <c r="L186">
        <f>IF(K186="","",IF(K186=D186,1,0))</f>
        <v/>
      </c>
      <c r="M186" t="inlineStr">
        <is>
          <t>S1</t>
        </is>
      </c>
      <c r="N186" s="15" t="n">
        <v>0.9103</v>
      </c>
      <c r="O186" s="15" t="n">
        <v>0.0379</v>
      </c>
      <c r="P186">
        <f>IF(M186="","",IF(M186=E186,1,0))</f>
        <v/>
      </c>
      <c r="Q186">
        <f>IF(K186="OK","-",IF(N186&lt;$B$7,"AMBIGUOUS","CONFIDENT"))</f>
        <v/>
      </c>
    </row>
    <row r="187">
      <c r="A187">
        <f>'Runs Z score'!A179</f>
        <v/>
      </c>
      <c r="B187">
        <f>'Runs Z score'!B179</f>
        <v/>
      </c>
      <c r="C187">
        <f>'Runs Z score'!C179</f>
        <v/>
      </c>
      <c r="D187">
        <f>'Runs Z score'!D179</f>
        <v/>
      </c>
      <c r="E187">
        <f>'Runs Z score'!E179</f>
        <v/>
      </c>
      <c r="F187">
        <f>'Runs Z score'!F179</f>
        <v/>
      </c>
      <c r="G187">
        <f>'Runs Z score'!G179</f>
        <v/>
      </c>
      <c r="H187">
        <f>VLOOKUP(C187,Recipes!$A$2:$N$4,10,FALSE())</f>
        <v/>
      </c>
      <c r="I187">
        <f>VLOOKUP(C187,Recipes!$A$2:$N$4,12,FALSE())</f>
        <v/>
      </c>
      <c r="J187">
        <f>IF(G187="","",H187-G187)</f>
        <v/>
      </c>
      <c r="K187">
        <f>IF(G187="","",IF(ABS(G187-H187)&lt;=$B$6*I187,"OK","NG"))</f>
        <v/>
      </c>
      <c r="L187">
        <f>IF(K187="","",IF(K187=D187,1,0))</f>
        <v/>
      </c>
      <c r="M187" t="inlineStr">
        <is>
          <t>S1</t>
        </is>
      </c>
      <c r="N187" s="15" t="n">
        <v>0.9103</v>
      </c>
      <c r="O187" s="15" t="n">
        <v>0.0391</v>
      </c>
      <c r="P187">
        <f>IF(M187="","",IF(M187=E187,1,0))</f>
        <v/>
      </c>
      <c r="Q187">
        <f>IF(K187="OK","-",IF(N187&lt;$B$7,"AMBIGUOUS","CONFIDENT"))</f>
        <v/>
      </c>
    </row>
    <row r="188">
      <c r="A188">
        <f>'Runs Z score'!A180</f>
        <v/>
      </c>
      <c r="B188">
        <f>'Runs Z score'!B180</f>
        <v/>
      </c>
      <c r="C188">
        <f>'Runs Z score'!C180</f>
        <v/>
      </c>
      <c r="D188">
        <f>'Runs Z score'!D180</f>
        <v/>
      </c>
      <c r="E188">
        <f>'Runs Z score'!E180</f>
        <v/>
      </c>
      <c r="F188">
        <f>'Runs Z score'!F180</f>
        <v/>
      </c>
      <c r="G188">
        <f>'Runs Z score'!G180</f>
        <v/>
      </c>
      <c r="H188">
        <f>VLOOKUP(C188,Recipes!$A$2:$N$4,10,FALSE())</f>
        <v/>
      </c>
      <c r="I188">
        <f>VLOOKUP(C188,Recipes!$A$2:$N$4,12,FALSE())</f>
        <v/>
      </c>
      <c r="J188">
        <f>IF(G188="","",H188-G188)</f>
        <v/>
      </c>
      <c r="K188">
        <f>IF(G188="","",IF(ABS(G188-H188)&lt;=$B$6*I188,"OK","NG"))</f>
        <v/>
      </c>
      <c r="L188">
        <f>IF(K188="","",IF(K188=D188,1,0))</f>
        <v/>
      </c>
      <c r="M188" t="inlineStr">
        <is>
          <t>S1</t>
        </is>
      </c>
      <c r="N188" s="15" t="n">
        <v>0.9097</v>
      </c>
      <c r="O188" s="15" t="n">
        <v>0.0365</v>
      </c>
      <c r="P188">
        <f>IF(M188="","",IF(M188=E188,1,0))</f>
        <v/>
      </c>
      <c r="Q188">
        <f>IF(K188="OK","-",IF(N188&lt;$B$7,"AMBIGUOUS","CONFIDENT"))</f>
        <v/>
      </c>
    </row>
    <row r="189">
      <c r="A189">
        <f>'Runs Z score'!A181</f>
        <v/>
      </c>
      <c r="B189">
        <f>'Runs Z score'!B181</f>
        <v/>
      </c>
      <c r="C189">
        <f>'Runs Z score'!C181</f>
        <v/>
      </c>
      <c r="D189">
        <f>'Runs Z score'!D181</f>
        <v/>
      </c>
      <c r="E189">
        <f>'Runs Z score'!E181</f>
        <v/>
      </c>
      <c r="F189">
        <f>'Runs Z score'!F181</f>
        <v/>
      </c>
      <c r="G189">
        <f>'Runs Z score'!G181</f>
        <v/>
      </c>
      <c r="H189">
        <f>VLOOKUP(C189,Recipes!$A$2:$N$4,10,FALSE())</f>
        <v/>
      </c>
      <c r="I189">
        <f>VLOOKUP(C189,Recipes!$A$2:$N$4,12,FALSE())</f>
        <v/>
      </c>
      <c r="J189">
        <f>IF(G189="","",H189-G189)</f>
        <v/>
      </c>
      <c r="K189">
        <f>IF(G189="","",IF(ABS(G189-H189)&lt;=$B$6*I189,"OK","NG"))</f>
        <v/>
      </c>
      <c r="L189">
        <f>IF(K189="","",IF(K189=D189,1,0))</f>
        <v/>
      </c>
      <c r="M189" t="inlineStr">
        <is>
          <t>S1</t>
        </is>
      </c>
      <c r="N189" s="15" t="n">
        <v>0.9082</v>
      </c>
      <c r="O189" s="15" t="n">
        <v>0.0386</v>
      </c>
      <c r="P189">
        <f>IF(M189="","",IF(M189=E189,1,0))</f>
        <v/>
      </c>
      <c r="Q189">
        <f>IF(K189="OK","-",IF(N189&lt;$B$7,"AMBIGUOUS","CONFIDENT"))</f>
        <v/>
      </c>
    </row>
    <row r="190">
      <c r="A190">
        <f>'Runs Z score'!A182</f>
        <v/>
      </c>
      <c r="B190">
        <f>'Runs Z score'!B182</f>
        <v/>
      </c>
      <c r="C190">
        <f>'Runs Z score'!C182</f>
        <v/>
      </c>
      <c r="D190">
        <f>'Runs Z score'!D182</f>
        <v/>
      </c>
      <c r="E190">
        <f>'Runs Z score'!E182</f>
        <v/>
      </c>
      <c r="F190">
        <f>'Runs Z score'!F182</f>
        <v/>
      </c>
      <c r="G190">
        <f>'Runs Z score'!G182</f>
        <v/>
      </c>
      <c r="H190">
        <f>VLOOKUP(C190,Recipes!$A$2:$N$4,10,FALSE())</f>
        <v/>
      </c>
      <c r="I190">
        <f>VLOOKUP(C190,Recipes!$A$2:$N$4,12,FALSE())</f>
        <v/>
      </c>
      <c r="J190">
        <f>IF(G190="","",H190-G190)</f>
        <v/>
      </c>
      <c r="K190">
        <f>IF(G190="","",IF(ABS(G190-H190)&lt;=$B$6*I190,"OK","NG"))</f>
        <v/>
      </c>
      <c r="L190">
        <f>IF(K190="","",IF(K190=D190,1,0))</f>
        <v/>
      </c>
      <c r="M190" t="inlineStr">
        <is>
          <t>S1</t>
        </is>
      </c>
      <c r="N190" s="15" t="n">
        <v>0.9103</v>
      </c>
      <c r="O190" s="15" t="n">
        <v>0.0403</v>
      </c>
      <c r="P190">
        <f>IF(M190="","",IF(M190=E190,1,0))</f>
        <v/>
      </c>
      <c r="Q190">
        <f>IF(K190="OK","-",IF(N190&lt;$B$7,"AMBIGUOUS","CONFIDENT"))</f>
        <v/>
      </c>
    </row>
    <row r="191">
      <c r="A191">
        <f>'Runs Z score'!A183</f>
        <v/>
      </c>
      <c r="B191">
        <f>'Runs Z score'!B183</f>
        <v/>
      </c>
      <c r="C191">
        <f>'Runs Z score'!C183</f>
        <v/>
      </c>
      <c r="D191">
        <f>'Runs Z score'!D183</f>
        <v/>
      </c>
      <c r="E191">
        <f>'Runs Z score'!E183</f>
        <v/>
      </c>
      <c r="F191">
        <f>'Runs Z score'!F183</f>
        <v/>
      </c>
      <c r="G191">
        <f>'Runs Z score'!G183</f>
        <v/>
      </c>
      <c r="H191">
        <f>VLOOKUP(C191,Recipes!$A$2:$N$4,10,FALSE())</f>
        <v/>
      </c>
      <c r="I191">
        <f>VLOOKUP(C191,Recipes!$A$2:$N$4,12,FALSE())</f>
        <v/>
      </c>
      <c r="J191">
        <f>IF(G191="","",H191-G191)</f>
        <v/>
      </c>
      <c r="K191">
        <f>IF(G191="","",IF(ABS(G191-H191)&lt;=$B$6*I191,"OK","NG"))</f>
        <v/>
      </c>
      <c r="L191">
        <f>IF(K191="","",IF(K191=D191,1,0))</f>
        <v/>
      </c>
      <c r="M191" t="inlineStr">
        <is>
          <t>W1</t>
        </is>
      </c>
      <c r="N191" s="15" t="n">
        <v>0.9557</v>
      </c>
      <c r="O191" s="15" t="n">
        <v>0.0168</v>
      </c>
      <c r="P191">
        <f>IF(M191="","",IF(M191=E191,1,0))</f>
        <v/>
      </c>
      <c r="Q191">
        <f>IF(K191="OK","-",IF(N191&lt;$B$7,"AMBIGUOUS","CONFIDENT"))</f>
        <v/>
      </c>
    </row>
    <row r="192">
      <c r="A192">
        <f>'Runs Z score'!A184</f>
        <v/>
      </c>
      <c r="B192">
        <f>'Runs Z score'!B184</f>
        <v/>
      </c>
      <c r="C192">
        <f>'Runs Z score'!C184</f>
        <v/>
      </c>
      <c r="D192">
        <f>'Runs Z score'!D184</f>
        <v/>
      </c>
      <c r="E192">
        <f>'Runs Z score'!E184</f>
        <v/>
      </c>
      <c r="F192">
        <f>'Runs Z score'!F184</f>
        <v/>
      </c>
      <c r="G192">
        <f>'Runs Z score'!G184</f>
        <v/>
      </c>
      <c r="H192">
        <f>VLOOKUP(C192,Recipes!$A$2:$N$4,10,FALSE())</f>
        <v/>
      </c>
      <c r="I192">
        <f>VLOOKUP(C192,Recipes!$A$2:$N$4,12,FALSE())</f>
        <v/>
      </c>
      <c r="J192">
        <f>IF(G192="","",H192-G192)</f>
        <v/>
      </c>
      <c r="K192">
        <f>IF(G192="","",IF(ABS(G192-H192)&lt;=$B$6*I192,"OK","NG"))</f>
        <v/>
      </c>
      <c r="L192">
        <f>IF(K192="","",IF(K192=D192,1,0))</f>
        <v/>
      </c>
      <c r="M192" t="inlineStr">
        <is>
          <t>W1</t>
        </is>
      </c>
      <c r="N192" s="15" t="n">
        <v>0.9452</v>
      </c>
      <c r="O192" s="15" t="n">
        <v>0.024</v>
      </c>
      <c r="P192">
        <f>IF(M192="","",IF(M192=E192,1,0))</f>
        <v/>
      </c>
      <c r="Q192">
        <f>IF(K192="OK","-",IF(N192&lt;$B$7,"AMBIGUOUS","CONFIDENT"))</f>
        <v/>
      </c>
    </row>
    <row r="193">
      <c r="A193">
        <f>'Runs Z score'!A185</f>
        <v/>
      </c>
      <c r="B193">
        <f>'Runs Z score'!B185</f>
        <v/>
      </c>
      <c r="C193">
        <f>'Runs Z score'!C185</f>
        <v/>
      </c>
      <c r="D193">
        <f>'Runs Z score'!D185</f>
        <v/>
      </c>
      <c r="E193">
        <f>'Runs Z score'!E185</f>
        <v/>
      </c>
      <c r="F193">
        <f>'Runs Z score'!F185</f>
        <v/>
      </c>
      <c r="G193">
        <f>'Runs Z score'!G185</f>
        <v/>
      </c>
      <c r="H193">
        <f>VLOOKUP(C193,Recipes!$A$2:$N$4,10,FALSE())</f>
        <v/>
      </c>
      <c r="I193">
        <f>VLOOKUP(C193,Recipes!$A$2:$N$4,12,FALSE())</f>
        <v/>
      </c>
      <c r="J193">
        <f>IF(G193="","",H193-G193)</f>
        <v/>
      </c>
      <c r="K193">
        <f>IF(G193="","",IF(ABS(G193-H193)&lt;=$B$6*I193,"OK","NG"))</f>
        <v/>
      </c>
      <c r="L193">
        <f>IF(K193="","",IF(K193=D193,1,0))</f>
        <v/>
      </c>
      <c r="M193" t="inlineStr">
        <is>
          <t>W1</t>
        </is>
      </c>
      <c r="N193" s="15" t="n">
        <v>0.9485</v>
      </c>
      <c r="O193" s="15" t="n">
        <v>0.0206</v>
      </c>
      <c r="P193">
        <f>IF(M193="","",IF(M193=E193,1,0))</f>
        <v/>
      </c>
      <c r="Q193">
        <f>IF(K193="OK","-",IF(N193&lt;$B$7,"AMBIGUOUS","CONFIDENT"))</f>
        <v/>
      </c>
    </row>
    <row r="194">
      <c r="A194">
        <f>'Runs Z score'!A186</f>
        <v/>
      </c>
      <c r="B194">
        <f>'Runs Z score'!B186</f>
        <v/>
      </c>
      <c r="C194">
        <f>'Runs Z score'!C186</f>
        <v/>
      </c>
      <c r="D194">
        <f>'Runs Z score'!D186</f>
        <v/>
      </c>
      <c r="E194">
        <f>'Runs Z score'!E186</f>
        <v/>
      </c>
      <c r="F194">
        <f>'Runs Z score'!F186</f>
        <v/>
      </c>
      <c r="G194">
        <f>'Runs Z score'!G186</f>
        <v/>
      </c>
      <c r="H194">
        <f>VLOOKUP(C194,Recipes!$A$2:$N$4,10,FALSE())</f>
        <v/>
      </c>
      <c r="I194">
        <f>VLOOKUP(C194,Recipes!$A$2:$N$4,12,FALSE())</f>
        <v/>
      </c>
      <c r="J194">
        <f>IF(G194="","",H194-G194)</f>
        <v/>
      </c>
      <c r="K194">
        <f>IF(G194="","",IF(ABS(G194-H194)&lt;=$B$6*I194,"OK","NG"))</f>
        <v/>
      </c>
      <c r="L194">
        <f>IF(K194="","",IF(K194=D194,1,0))</f>
        <v/>
      </c>
      <c r="M194" t="inlineStr">
        <is>
          <t>W1</t>
        </is>
      </c>
      <c r="N194" s="15" t="n">
        <v>0.9367</v>
      </c>
      <c r="O194" s="15" t="n">
        <v>0.029</v>
      </c>
      <c r="P194">
        <f>IF(M194="","",IF(M194=E194,1,0))</f>
        <v/>
      </c>
      <c r="Q194">
        <f>IF(K194="OK","-",IF(N194&lt;$B$7,"AMBIGUOUS","CONFIDENT"))</f>
        <v/>
      </c>
    </row>
    <row r="195">
      <c r="A195">
        <f>'Runs Z score'!A187</f>
        <v/>
      </c>
      <c r="B195">
        <f>'Runs Z score'!B187</f>
        <v/>
      </c>
      <c r="C195">
        <f>'Runs Z score'!C187</f>
        <v/>
      </c>
      <c r="D195">
        <f>'Runs Z score'!D187</f>
        <v/>
      </c>
      <c r="E195">
        <f>'Runs Z score'!E187</f>
        <v/>
      </c>
      <c r="F195">
        <f>'Runs Z score'!F187</f>
        <v/>
      </c>
      <c r="G195">
        <f>'Runs Z score'!G187</f>
        <v/>
      </c>
      <c r="H195">
        <f>VLOOKUP(C195,Recipes!$A$2:$N$4,10,FALSE())</f>
        <v/>
      </c>
      <c r="I195">
        <f>VLOOKUP(C195,Recipes!$A$2:$N$4,12,FALSE())</f>
        <v/>
      </c>
      <c r="J195">
        <f>IF(G195="","",H195-G195)</f>
        <v/>
      </c>
      <c r="K195">
        <f>IF(G195="","",IF(ABS(G195-H195)&lt;=$B$6*I195,"OK","NG"))</f>
        <v/>
      </c>
      <c r="L195">
        <f>IF(K195="","",IF(K195=D195,1,0))</f>
        <v/>
      </c>
      <c r="M195" t="inlineStr">
        <is>
          <t>W1</t>
        </is>
      </c>
      <c r="N195" s="15" t="n">
        <v>0.9328</v>
      </c>
      <c r="O195" s="15" t="n">
        <v>0.0363</v>
      </c>
      <c r="P195">
        <f>IF(M195="","",IF(M195=E195,1,0))</f>
        <v/>
      </c>
      <c r="Q195">
        <f>IF(K195="OK","-",IF(N195&lt;$B$7,"AMBIGUOUS","CONFIDENT"))</f>
        <v/>
      </c>
    </row>
    <row r="196">
      <c r="A196">
        <f>'Runs Z score'!A188</f>
        <v/>
      </c>
      <c r="B196">
        <f>'Runs Z score'!B188</f>
        <v/>
      </c>
      <c r="C196">
        <f>'Runs Z score'!C188</f>
        <v/>
      </c>
      <c r="D196">
        <f>'Runs Z score'!D188</f>
        <v/>
      </c>
      <c r="E196">
        <f>'Runs Z score'!E188</f>
        <v/>
      </c>
      <c r="F196">
        <f>'Runs Z score'!F188</f>
        <v/>
      </c>
      <c r="G196">
        <f>'Runs Z score'!G188</f>
        <v/>
      </c>
      <c r="H196">
        <f>VLOOKUP(C196,Recipes!$A$2:$N$4,10,FALSE())</f>
        <v/>
      </c>
      <c r="I196">
        <f>VLOOKUP(C196,Recipes!$A$2:$N$4,12,FALSE())</f>
        <v/>
      </c>
      <c r="J196">
        <f>IF(G196="","",H196-G196)</f>
        <v/>
      </c>
      <c r="K196">
        <f>IF(G196="","",IF(ABS(G196-H196)&lt;=$B$6*I196,"OK","NG"))</f>
        <v/>
      </c>
      <c r="L196">
        <f>IF(K196="","",IF(K196=D196,1,0))</f>
        <v/>
      </c>
      <c r="M196" t="inlineStr">
        <is>
          <t>W1</t>
        </is>
      </c>
      <c r="N196" s="15" t="n">
        <v>0.9609</v>
      </c>
      <c r="O196" s="15" t="n">
        <v>0.0164</v>
      </c>
      <c r="P196">
        <f>IF(M196="","",IF(M196=E196,1,0))</f>
        <v/>
      </c>
      <c r="Q196">
        <f>IF(K196="OK","-",IF(N196&lt;$B$7,"AMBIGUOUS","CONFIDENT"))</f>
        <v/>
      </c>
    </row>
    <row r="197">
      <c r="A197">
        <f>'Runs Z score'!A189</f>
        <v/>
      </c>
      <c r="B197">
        <f>'Runs Z score'!B189</f>
        <v/>
      </c>
      <c r="C197">
        <f>'Runs Z score'!C189</f>
        <v/>
      </c>
      <c r="D197">
        <f>'Runs Z score'!D189</f>
        <v/>
      </c>
      <c r="E197">
        <f>'Runs Z score'!E189</f>
        <v/>
      </c>
      <c r="F197">
        <f>'Runs Z score'!F189</f>
        <v/>
      </c>
      <c r="G197">
        <f>'Runs Z score'!G189</f>
        <v/>
      </c>
      <c r="H197">
        <f>VLOOKUP(C197,Recipes!$A$2:$N$4,10,FALSE())</f>
        <v/>
      </c>
      <c r="I197">
        <f>VLOOKUP(C197,Recipes!$A$2:$N$4,12,FALSE())</f>
        <v/>
      </c>
      <c r="J197">
        <f>IF(G197="","",H197-G197)</f>
        <v/>
      </c>
      <c r="K197">
        <f>IF(G197="","",IF(ABS(G197-H197)&lt;=$B$6*I197,"OK","NG"))</f>
        <v/>
      </c>
      <c r="L197">
        <f>IF(K197="","",IF(K197=D197,1,0))</f>
        <v/>
      </c>
      <c r="M197" t="inlineStr">
        <is>
          <t>W1</t>
        </is>
      </c>
      <c r="N197" s="15" t="n">
        <v>0.9678</v>
      </c>
      <c r="O197" s="15" t="n">
        <v>0.0151</v>
      </c>
      <c r="P197">
        <f>IF(M197="","",IF(M197=E197,1,0))</f>
        <v/>
      </c>
      <c r="Q197">
        <f>IF(K197="OK","-",IF(N197&lt;$B$7,"AMBIGUOUS","CONFIDENT"))</f>
        <v/>
      </c>
    </row>
    <row r="198">
      <c r="A198">
        <f>'Runs Z score'!A190</f>
        <v/>
      </c>
      <c r="B198">
        <f>'Runs Z score'!B190</f>
        <v/>
      </c>
      <c r="C198">
        <f>'Runs Z score'!C190</f>
        <v/>
      </c>
      <c r="D198">
        <f>'Runs Z score'!D190</f>
        <v/>
      </c>
      <c r="E198">
        <f>'Runs Z score'!E190</f>
        <v/>
      </c>
      <c r="F198">
        <f>'Runs Z score'!F190</f>
        <v/>
      </c>
      <c r="G198">
        <f>'Runs Z score'!G190</f>
        <v/>
      </c>
      <c r="H198">
        <f>VLOOKUP(C198,Recipes!$A$2:$N$4,10,FALSE())</f>
        <v/>
      </c>
      <c r="I198">
        <f>VLOOKUP(C198,Recipes!$A$2:$N$4,12,FALSE())</f>
        <v/>
      </c>
      <c r="J198">
        <f>IF(G198="","",H198-G198)</f>
        <v/>
      </c>
      <c r="K198">
        <f>IF(G198="","",IF(ABS(G198-H198)&lt;=$B$6*I198,"OK","NG"))</f>
        <v/>
      </c>
      <c r="L198">
        <f>IF(K198="","",IF(K198=D198,1,0))</f>
        <v/>
      </c>
      <c r="M198" t="inlineStr">
        <is>
          <t>W1</t>
        </is>
      </c>
      <c r="N198" s="15" t="n">
        <v>0.752</v>
      </c>
      <c r="O198" s="15" t="n">
        <v>0.2161</v>
      </c>
      <c r="P198">
        <f>IF(M198="","",IF(M198=E198,1,0))</f>
        <v/>
      </c>
      <c r="Q198">
        <f>IF(K198="OK","-",IF(N198&lt;$B$7,"AMBIGUOUS","CONFIDENT"))</f>
        <v/>
      </c>
    </row>
    <row r="199">
      <c r="A199">
        <f>'Runs Z score'!A191</f>
        <v/>
      </c>
      <c r="B199">
        <f>'Runs Z score'!B191</f>
        <v/>
      </c>
      <c r="C199">
        <f>'Runs Z score'!C191</f>
        <v/>
      </c>
      <c r="D199">
        <f>'Runs Z score'!D191</f>
        <v/>
      </c>
      <c r="E199">
        <f>'Runs Z score'!E191</f>
        <v/>
      </c>
      <c r="F199">
        <f>'Runs Z score'!F191</f>
        <v/>
      </c>
      <c r="G199">
        <f>'Runs Z score'!G191</f>
        <v/>
      </c>
      <c r="H199">
        <f>VLOOKUP(C199,Recipes!$A$2:$N$4,10,FALSE())</f>
        <v/>
      </c>
      <c r="I199">
        <f>VLOOKUP(C199,Recipes!$A$2:$N$4,12,FALSE())</f>
        <v/>
      </c>
      <c r="J199">
        <f>IF(G199="","",H199-G199)</f>
        <v/>
      </c>
      <c r="K199">
        <f>IF(G199="","",IF(ABS(G199-H199)&lt;=$B$6*I199,"OK","NG"))</f>
        <v/>
      </c>
      <c r="L199">
        <f>IF(K199="","",IF(K199=D199,1,0))</f>
        <v/>
      </c>
      <c r="M199" t="inlineStr">
        <is>
          <t>W1</t>
        </is>
      </c>
      <c r="N199" s="15" t="n">
        <v>0.8315</v>
      </c>
      <c r="O199" s="15" t="n">
        <v>0.1368</v>
      </c>
      <c r="P199">
        <f>IF(M199="","",IF(M199=E199,1,0))</f>
        <v/>
      </c>
      <c r="Q199">
        <f>IF(K199="OK","-",IF(N199&lt;$B$7,"AMBIGUOUS","CONFIDENT"))</f>
        <v/>
      </c>
    </row>
    <row r="200">
      <c r="A200">
        <f>'Runs Z score'!A192</f>
        <v/>
      </c>
      <c r="B200">
        <f>'Runs Z score'!B192</f>
        <v/>
      </c>
      <c r="C200">
        <f>'Runs Z score'!C192</f>
        <v/>
      </c>
      <c r="D200">
        <f>'Runs Z score'!D192</f>
        <v/>
      </c>
      <c r="E200">
        <f>'Runs Z score'!E192</f>
        <v/>
      </c>
      <c r="F200">
        <f>'Runs Z score'!F192</f>
        <v/>
      </c>
      <c r="G200">
        <f>'Runs Z score'!G192</f>
        <v/>
      </c>
      <c r="H200">
        <f>VLOOKUP(C200,Recipes!$A$2:$N$4,10,FALSE())</f>
        <v/>
      </c>
      <c r="I200">
        <f>VLOOKUP(C200,Recipes!$A$2:$N$4,12,FALSE())</f>
        <v/>
      </c>
      <c r="J200">
        <f>IF(G200="","",H200-G200)</f>
        <v/>
      </c>
      <c r="K200">
        <f>IF(G200="","",IF(ABS(G200-H200)&lt;=$B$6*I200,"OK","NG"))</f>
        <v/>
      </c>
      <c r="L200">
        <f>IF(K200="","",IF(K200=D200,1,0))</f>
        <v/>
      </c>
      <c r="M200" t="inlineStr">
        <is>
          <t>W1</t>
        </is>
      </c>
      <c r="N200" s="15" t="n">
        <v>0.946</v>
      </c>
      <c r="O200" s="15" t="n">
        <v>0.0201</v>
      </c>
      <c r="P200">
        <f>IF(M200="","",IF(M200=E200,1,0))</f>
        <v/>
      </c>
      <c r="Q200">
        <f>IF(K200="OK","-",IF(N200&lt;$B$7,"AMBIGUOUS","CONFIDENT"))</f>
        <v/>
      </c>
    </row>
    <row r="201">
      <c r="A201">
        <f>'Runs Z score'!A193</f>
        <v/>
      </c>
      <c r="B201">
        <f>'Runs Z score'!B193</f>
        <v/>
      </c>
      <c r="C201">
        <f>'Runs Z score'!C193</f>
        <v/>
      </c>
      <c r="D201">
        <f>'Runs Z score'!D193</f>
        <v/>
      </c>
      <c r="E201">
        <f>'Runs Z score'!E193</f>
        <v/>
      </c>
      <c r="F201">
        <f>'Runs Z score'!F193</f>
        <v/>
      </c>
      <c r="G201">
        <f>'Runs Z score'!G193</f>
        <v/>
      </c>
      <c r="H201">
        <f>VLOOKUP(C201,Recipes!$A$2:$N$4,10,FALSE())</f>
        <v/>
      </c>
      <c r="I201">
        <f>VLOOKUP(C201,Recipes!$A$2:$N$4,12,FALSE())</f>
        <v/>
      </c>
      <c r="J201">
        <f>IF(G201="","",H201-G201)</f>
        <v/>
      </c>
      <c r="K201">
        <f>IF(G201="","",IF(ABS(G201-H201)&lt;=$B$6*I201,"OK","NG"))</f>
        <v/>
      </c>
      <c r="L201">
        <f>IF(K201="","",IF(K201=D201,1,0))</f>
        <v/>
      </c>
      <c r="M201" t="inlineStr">
        <is>
          <t>W1</t>
        </is>
      </c>
      <c r="N201" s="15" t="n">
        <v>0.946</v>
      </c>
      <c r="O201" s="15" t="n">
        <v>0.0201</v>
      </c>
      <c r="P201">
        <f>IF(M201="","",IF(M201=E201,1,0))</f>
        <v/>
      </c>
      <c r="Q201">
        <f>IF(K201="OK","-",IF(N201&lt;$B$7,"AMBIGUOUS","CONFIDENT"))</f>
        <v/>
      </c>
    </row>
    <row r="202">
      <c r="A202">
        <f>'Runs Z score'!A194</f>
        <v/>
      </c>
      <c r="B202">
        <f>'Runs Z score'!B194</f>
        <v/>
      </c>
      <c r="C202">
        <f>'Runs Z score'!C194</f>
        <v/>
      </c>
      <c r="D202">
        <f>'Runs Z score'!D194</f>
        <v/>
      </c>
      <c r="E202">
        <f>'Runs Z score'!E194</f>
        <v/>
      </c>
      <c r="F202">
        <f>'Runs Z score'!F194</f>
        <v/>
      </c>
      <c r="G202">
        <f>'Runs Z score'!G194</f>
        <v/>
      </c>
      <c r="H202">
        <f>VLOOKUP(C202,Recipes!$A$2:$N$4,10,FALSE())</f>
        <v/>
      </c>
      <c r="I202">
        <f>VLOOKUP(C202,Recipes!$A$2:$N$4,12,FALSE())</f>
        <v/>
      </c>
      <c r="J202">
        <f>IF(G202="","",H202-G202)</f>
        <v/>
      </c>
      <c r="K202">
        <f>IF(G202="","",IF(ABS(G202-H202)&lt;=$B$6*I202,"OK","NG"))</f>
        <v/>
      </c>
      <c r="L202">
        <f>IF(K202="","",IF(K202=D202,1,0))</f>
        <v/>
      </c>
      <c r="M202" t="inlineStr">
        <is>
          <t>W1</t>
        </is>
      </c>
      <c r="N202" s="15" t="n">
        <v>0.8289</v>
      </c>
      <c r="O202" s="15" t="n">
        <v>0.1393</v>
      </c>
      <c r="P202">
        <f>IF(M202="","",IF(M202=E202,1,0))</f>
        <v/>
      </c>
      <c r="Q202">
        <f>IF(K202="OK","-",IF(N202&lt;$B$7,"AMBIGUOUS","CONFIDENT"))</f>
        <v/>
      </c>
    </row>
    <row r="203">
      <c r="A203">
        <f>'Runs Z score'!A195</f>
        <v/>
      </c>
      <c r="B203">
        <f>'Runs Z score'!B195</f>
        <v/>
      </c>
      <c r="C203">
        <f>'Runs Z score'!C195</f>
        <v/>
      </c>
      <c r="D203">
        <f>'Runs Z score'!D195</f>
        <v/>
      </c>
      <c r="E203">
        <f>'Runs Z score'!E195</f>
        <v/>
      </c>
      <c r="F203">
        <f>'Runs Z score'!F195</f>
        <v/>
      </c>
      <c r="G203">
        <f>'Runs Z score'!G195</f>
        <v/>
      </c>
      <c r="H203">
        <f>VLOOKUP(C203,Recipes!$A$2:$N$4,10,FALSE())</f>
        <v/>
      </c>
      <c r="I203">
        <f>VLOOKUP(C203,Recipes!$A$2:$N$4,12,FALSE())</f>
        <v/>
      </c>
      <c r="J203">
        <f>IF(G203="","",H203-G203)</f>
        <v/>
      </c>
      <c r="K203">
        <f>IF(G203="","",IF(ABS(G203-H203)&lt;=$B$6*I203,"OK","NG"))</f>
        <v/>
      </c>
      <c r="L203">
        <f>IF(K203="","",IF(K203=D203,1,0))</f>
        <v/>
      </c>
      <c r="M203" t="inlineStr">
        <is>
          <t>W1</t>
        </is>
      </c>
      <c r="N203" s="15" t="n">
        <v>0.8315</v>
      </c>
      <c r="O203" s="15" t="n">
        <v>0.1368</v>
      </c>
      <c r="P203">
        <f>IF(M203="","",IF(M203=E203,1,0))</f>
        <v/>
      </c>
      <c r="Q203">
        <f>IF(K203="OK","-",IF(N203&lt;$B$7,"AMBIGUOUS","CONFIDENT"))</f>
        <v/>
      </c>
    </row>
    <row r="204">
      <c r="A204">
        <f>'Runs Z score'!A196</f>
        <v/>
      </c>
      <c r="B204">
        <f>'Runs Z score'!B196</f>
        <v/>
      </c>
      <c r="C204">
        <f>'Runs Z score'!C196</f>
        <v/>
      </c>
      <c r="D204">
        <f>'Runs Z score'!D196</f>
        <v/>
      </c>
      <c r="E204">
        <f>'Runs Z score'!E196</f>
        <v/>
      </c>
      <c r="F204">
        <f>'Runs Z score'!F196</f>
        <v/>
      </c>
      <c r="G204">
        <f>'Runs Z score'!G196</f>
        <v/>
      </c>
      <c r="H204">
        <f>VLOOKUP(C204,Recipes!$A$2:$N$4,10,FALSE())</f>
        <v/>
      </c>
      <c r="I204">
        <f>VLOOKUP(C204,Recipes!$A$2:$N$4,12,FALSE())</f>
        <v/>
      </c>
      <c r="J204">
        <f>IF(G204="","",H204-G204)</f>
        <v/>
      </c>
      <c r="K204">
        <f>IF(G204="","",IF(ABS(G204-H204)&lt;=$B$6*I204,"OK","NG"))</f>
        <v/>
      </c>
      <c r="L204">
        <f>IF(K204="","",IF(K204=D204,1,0))</f>
        <v/>
      </c>
      <c r="M204" t="inlineStr">
        <is>
          <t>W1</t>
        </is>
      </c>
      <c r="N204" s="15" t="n">
        <v>0.9512</v>
      </c>
      <c r="O204" s="15" t="n">
        <v>0.0182</v>
      </c>
      <c r="P204">
        <f>IF(M204="","",IF(M204=E204,1,0))</f>
        <v/>
      </c>
      <c r="Q204">
        <f>IF(K204="OK","-",IF(N204&lt;$B$7,"AMBIGUOUS","CONFIDENT"))</f>
        <v/>
      </c>
    </row>
    <row r="205">
      <c r="A205">
        <f>'Runs Z score'!A197</f>
        <v/>
      </c>
      <c r="B205">
        <f>'Runs Z score'!B197</f>
        <v/>
      </c>
      <c r="C205">
        <f>'Runs Z score'!C197</f>
        <v/>
      </c>
      <c r="D205">
        <f>'Runs Z score'!D197</f>
        <v/>
      </c>
      <c r="E205">
        <f>'Runs Z score'!E197</f>
        <v/>
      </c>
      <c r="F205">
        <f>'Runs Z score'!F197</f>
        <v/>
      </c>
      <c r="G205">
        <f>'Runs Z score'!G197</f>
        <v/>
      </c>
      <c r="H205">
        <f>VLOOKUP(C205,Recipes!$A$2:$N$4,10,FALSE())</f>
        <v/>
      </c>
      <c r="I205">
        <f>VLOOKUP(C205,Recipes!$A$2:$N$4,12,FALSE())</f>
        <v/>
      </c>
      <c r="J205">
        <f>IF(G205="","",H205-G205)</f>
        <v/>
      </c>
      <c r="K205">
        <f>IF(G205="","",IF(ABS(G205-H205)&lt;=$B$6*I205,"OK","NG"))</f>
        <v/>
      </c>
      <c r="L205">
        <f>IF(K205="","",IF(K205=D205,1,0))</f>
        <v/>
      </c>
      <c r="M205" t="inlineStr">
        <is>
          <t>W1</t>
        </is>
      </c>
      <c r="N205" s="15" t="n">
        <v>0.9266</v>
      </c>
      <c r="O205" s="15" t="n">
        <v>0.0425</v>
      </c>
      <c r="P205">
        <f>IF(M205="","",IF(M205=E205,1,0))</f>
        <v/>
      </c>
      <c r="Q205">
        <f>IF(K205="OK","-",IF(N205&lt;$B$7,"AMBIGUOUS","CONFIDENT"))</f>
        <v/>
      </c>
    </row>
    <row r="206">
      <c r="A206">
        <f>'Runs Z score'!A198</f>
        <v/>
      </c>
      <c r="B206">
        <f>'Runs Z score'!B198</f>
        <v/>
      </c>
      <c r="C206">
        <f>'Runs Z score'!C198</f>
        <v/>
      </c>
      <c r="D206">
        <f>'Runs Z score'!D198</f>
        <v/>
      </c>
      <c r="E206">
        <f>'Runs Z score'!E198</f>
        <v/>
      </c>
      <c r="F206">
        <f>'Runs Z score'!F198</f>
        <v/>
      </c>
      <c r="G206">
        <f>'Runs Z score'!G198</f>
        <v/>
      </c>
      <c r="H206">
        <f>VLOOKUP(C206,Recipes!$A$2:$N$4,10,FALSE())</f>
        <v/>
      </c>
      <c r="I206">
        <f>VLOOKUP(C206,Recipes!$A$2:$N$4,12,FALSE())</f>
        <v/>
      </c>
      <c r="J206">
        <f>IF(G206="","",H206-G206)</f>
        <v/>
      </c>
      <c r="K206">
        <f>IF(G206="","",IF(ABS(G206-H206)&lt;=$B$6*I206,"OK","NG"))</f>
        <v/>
      </c>
      <c r="L206">
        <f>IF(K206="","",IF(K206=D206,1,0))</f>
        <v/>
      </c>
      <c r="M206" t="inlineStr">
        <is>
          <t>W1</t>
        </is>
      </c>
      <c r="N206" s="15" t="n">
        <v>0.9328</v>
      </c>
      <c r="O206" s="15" t="n">
        <v>0.0363</v>
      </c>
      <c r="P206">
        <f>IF(M206="","",IF(M206=E206,1,0))</f>
        <v/>
      </c>
      <c r="Q206">
        <f>IF(K206="OK","-",IF(N206&lt;$B$7,"AMBIGUOUS","CONFIDENT"))</f>
        <v/>
      </c>
    </row>
    <row r="207">
      <c r="A207">
        <f>'Runs Z score'!A199</f>
        <v/>
      </c>
      <c r="B207">
        <f>'Runs Z score'!B199</f>
        <v/>
      </c>
      <c r="C207">
        <f>'Runs Z score'!C199</f>
        <v/>
      </c>
      <c r="D207">
        <f>'Runs Z score'!D199</f>
        <v/>
      </c>
      <c r="E207">
        <f>'Runs Z score'!E199</f>
        <v/>
      </c>
      <c r="F207">
        <f>'Runs Z score'!F199</f>
        <v/>
      </c>
      <c r="G207">
        <f>'Runs Z score'!G199</f>
        <v/>
      </c>
      <c r="H207">
        <f>VLOOKUP(C207,Recipes!$A$2:$N$4,10,FALSE())</f>
        <v/>
      </c>
      <c r="I207">
        <f>VLOOKUP(C207,Recipes!$A$2:$N$4,12,FALSE())</f>
        <v/>
      </c>
      <c r="J207">
        <f>IF(G207="","",H207-G207)</f>
        <v/>
      </c>
      <c r="K207">
        <f>IF(G207="","",IF(ABS(G207-H207)&lt;=$B$6*I207,"OK","NG"))</f>
        <v/>
      </c>
      <c r="L207">
        <f>IF(K207="","",IF(K207=D207,1,0))</f>
        <v/>
      </c>
      <c r="M207" t="inlineStr">
        <is>
          <t>W1</t>
        </is>
      </c>
      <c r="N207" s="15" t="n">
        <v>0.9396</v>
      </c>
      <c r="O207" s="15" t="n">
        <v>0.0293</v>
      </c>
      <c r="P207">
        <f>IF(M207="","",IF(M207=E207,1,0))</f>
        <v/>
      </c>
      <c r="Q207">
        <f>IF(K207="OK","-",IF(N207&lt;$B$7,"AMBIGUOUS","CONFIDENT"))</f>
        <v/>
      </c>
    </row>
    <row r="208">
      <c r="A208">
        <f>'Runs Z score'!A200</f>
        <v/>
      </c>
      <c r="B208">
        <f>'Runs Z score'!B200</f>
        <v/>
      </c>
      <c r="C208">
        <f>'Runs Z score'!C200</f>
        <v/>
      </c>
      <c r="D208">
        <f>'Runs Z score'!D200</f>
        <v/>
      </c>
      <c r="E208">
        <f>'Runs Z score'!E200</f>
        <v/>
      </c>
      <c r="F208">
        <f>'Runs Z score'!F200</f>
        <v/>
      </c>
      <c r="G208">
        <f>'Runs Z score'!G200</f>
        <v/>
      </c>
      <c r="H208">
        <f>VLOOKUP(C208,Recipes!$A$2:$N$4,10,FALSE())</f>
        <v/>
      </c>
      <c r="I208">
        <f>VLOOKUP(C208,Recipes!$A$2:$N$4,12,FALSE())</f>
        <v/>
      </c>
      <c r="J208">
        <f>IF(G208="","",H208-G208)</f>
        <v/>
      </c>
      <c r="K208">
        <f>IF(G208="","",IF(ABS(G208-H208)&lt;=$B$6*I208,"OK","NG"))</f>
        <v/>
      </c>
      <c r="L208">
        <f>IF(K208="","",IF(K208=D208,1,0))</f>
        <v/>
      </c>
      <c r="M208" t="inlineStr">
        <is>
          <t>W1</t>
        </is>
      </c>
      <c r="N208" s="15" t="n">
        <v>0.8329</v>
      </c>
      <c r="O208" s="15" t="n">
        <v>0.1352</v>
      </c>
      <c r="P208">
        <f>IF(M208="","",IF(M208=E208,1,0))</f>
        <v/>
      </c>
      <c r="Q208">
        <f>IF(K208="OK","-",IF(N208&lt;$B$7,"AMBIGUOUS","CONFIDENT"))</f>
        <v/>
      </c>
    </row>
    <row r="209">
      <c r="A209">
        <f>'Runs Z score'!A201</f>
        <v/>
      </c>
      <c r="B209">
        <f>'Runs Z score'!B201</f>
        <v/>
      </c>
      <c r="C209">
        <f>'Runs Z score'!C201</f>
        <v/>
      </c>
      <c r="D209">
        <f>'Runs Z score'!D201</f>
        <v/>
      </c>
      <c r="E209">
        <f>'Runs Z score'!E201</f>
        <v/>
      </c>
      <c r="F209">
        <f>'Runs Z score'!F201</f>
        <v/>
      </c>
      <c r="G209">
        <f>'Runs Z score'!G201</f>
        <v/>
      </c>
      <c r="H209">
        <f>VLOOKUP(C209,Recipes!$A$2:$N$4,10,FALSE())</f>
        <v/>
      </c>
      <c r="I209">
        <f>VLOOKUP(C209,Recipes!$A$2:$N$4,12,FALSE())</f>
        <v/>
      </c>
      <c r="J209">
        <f>IF(G209="","",H209-G209)</f>
        <v/>
      </c>
      <c r="K209">
        <f>IF(G209="","",IF(ABS(G209-H209)&lt;=$B$6*I209,"OK","NG"))</f>
        <v/>
      </c>
      <c r="L209">
        <f>IF(K209="","",IF(K209=D209,1,0))</f>
        <v/>
      </c>
      <c r="M209" t="inlineStr">
        <is>
          <t>W1</t>
        </is>
      </c>
      <c r="N209" s="15" t="n">
        <v>0.9065</v>
      </c>
      <c r="O209" s="15" t="n">
        <v>0.0626</v>
      </c>
      <c r="P209">
        <f>IF(M209="","",IF(M209=E209,1,0))</f>
        <v/>
      </c>
      <c r="Q209">
        <f>IF(K209="OK","-",IF(N209&lt;$B$7,"AMBIGUOUS","CONFIDENT"))</f>
        <v/>
      </c>
    </row>
    <row r="210">
      <c r="A210">
        <f>'Runs Z score'!A202</f>
        <v/>
      </c>
      <c r="B210">
        <f>'Runs Z score'!B202</f>
        <v/>
      </c>
      <c r="C210">
        <f>'Runs Z score'!C202</f>
        <v/>
      </c>
      <c r="D210">
        <f>'Runs Z score'!D202</f>
        <v/>
      </c>
      <c r="E210">
        <f>'Runs Z score'!E202</f>
        <v/>
      </c>
      <c r="F210">
        <f>'Runs Z score'!F202</f>
        <v/>
      </c>
      <c r="G210">
        <f>'Runs Z score'!G202</f>
        <v/>
      </c>
      <c r="H210">
        <f>VLOOKUP(C210,Recipes!$A$2:$N$4,10,FALSE())</f>
        <v/>
      </c>
      <c r="I210">
        <f>VLOOKUP(C210,Recipes!$A$2:$N$4,12,FALSE())</f>
        <v/>
      </c>
      <c r="J210">
        <f>IF(G210="","",H210-G210)</f>
        <v/>
      </c>
      <c r="K210">
        <f>IF(G210="","",IF(ABS(G210-H210)&lt;=$B$6*I210,"OK","NG"))</f>
        <v/>
      </c>
      <c r="L210">
        <f>IF(K210="","",IF(K210=D210,1,0))</f>
        <v/>
      </c>
      <c r="M210" t="inlineStr">
        <is>
          <t>W1</t>
        </is>
      </c>
      <c r="N210" s="15" t="n">
        <v>0.9127</v>
      </c>
      <c r="O210" s="15" t="n">
        <v>0.0566</v>
      </c>
      <c r="P210">
        <f>IF(M210="","",IF(M210=E210,1,0))</f>
        <v/>
      </c>
      <c r="Q210">
        <f>IF(K210="OK","-",IF(N210&lt;$B$7,"AMBIGUOUS","CONFIDENT"))</f>
        <v/>
      </c>
    </row>
    <row r="211">
      <c r="A211">
        <f>'Runs Z score'!A203</f>
        <v/>
      </c>
      <c r="B211">
        <f>'Runs Z score'!B203</f>
        <v/>
      </c>
      <c r="C211">
        <f>'Runs Z score'!C203</f>
        <v/>
      </c>
      <c r="D211">
        <f>'Runs Z score'!D203</f>
        <v/>
      </c>
      <c r="E211">
        <f>'Runs Z score'!E203</f>
        <v/>
      </c>
      <c r="F211">
        <f>'Runs Z score'!F203</f>
        <v/>
      </c>
      <c r="G211">
        <f>'Runs Z score'!G203</f>
        <v/>
      </c>
      <c r="H211">
        <f>VLOOKUP(C211,Recipes!$A$2:$N$4,10,FALSE())</f>
        <v/>
      </c>
      <c r="I211">
        <f>VLOOKUP(C211,Recipes!$A$2:$N$4,12,FALSE())</f>
        <v/>
      </c>
      <c r="J211">
        <f>IF(G211="","",H211-G211)</f>
        <v/>
      </c>
      <c r="K211">
        <f>IF(G211="","",IF(ABS(G211-H211)&lt;=$B$6*I211,"OK","NG"))</f>
        <v/>
      </c>
      <c r="L211">
        <f>IF(K211="","",IF(K211=D211,1,0))</f>
        <v/>
      </c>
      <c r="M211" t="inlineStr">
        <is>
          <t>W1</t>
        </is>
      </c>
      <c r="N211" s="15" t="n">
        <v>0.7518</v>
      </c>
      <c r="O211" s="15" t="n">
        <v>0.2168</v>
      </c>
      <c r="P211">
        <f>IF(M211="","",IF(M211=E211,1,0))</f>
        <v/>
      </c>
      <c r="Q211">
        <f>IF(K211="OK","-",IF(N211&lt;$B$7,"AMBIGUOUS","CONFIDENT"))</f>
        <v/>
      </c>
    </row>
    <row r="212">
      <c r="A212">
        <f>'Runs Z score'!A204</f>
        <v/>
      </c>
      <c r="B212">
        <f>'Runs Z score'!B204</f>
        <v/>
      </c>
      <c r="C212">
        <f>'Runs Z score'!C204</f>
        <v/>
      </c>
      <c r="D212">
        <f>'Runs Z score'!D204</f>
        <v/>
      </c>
      <c r="E212">
        <f>'Runs Z score'!E204</f>
        <v/>
      </c>
      <c r="F212">
        <f>'Runs Z score'!F204</f>
        <v/>
      </c>
      <c r="G212">
        <f>'Runs Z score'!G204</f>
        <v/>
      </c>
      <c r="H212">
        <f>VLOOKUP(C212,Recipes!$A$2:$N$4,10,FALSE())</f>
        <v/>
      </c>
      <c r="I212">
        <f>VLOOKUP(C212,Recipes!$A$2:$N$4,12,FALSE())</f>
        <v/>
      </c>
      <c r="J212">
        <f>IF(G212="","",H212-G212)</f>
        <v/>
      </c>
      <c r="K212">
        <f>IF(G212="","",IF(ABS(G212-H212)&lt;=$B$6*I212,"OK","NG"))</f>
        <v/>
      </c>
      <c r="L212">
        <f>IF(K212="","",IF(K212=D212,1,0))</f>
        <v/>
      </c>
      <c r="M212" t="inlineStr">
        <is>
          <t>W1</t>
        </is>
      </c>
      <c r="N212" s="15" t="n">
        <v>0.9331</v>
      </c>
      <c r="O212" s="15" t="n">
        <v>0.0358</v>
      </c>
      <c r="P212">
        <f>IF(M212="","",IF(M212=E212,1,0))</f>
        <v/>
      </c>
      <c r="Q212">
        <f>IF(K212="OK","-",IF(N212&lt;$B$7,"AMBIGUOUS","CONFIDENT"))</f>
        <v/>
      </c>
    </row>
    <row r="213">
      <c r="A213">
        <f>'Runs Z score'!A205</f>
        <v/>
      </c>
      <c r="B213">
        <f>'Runs Z score'!B205</f>
        <v/>
      </c>
      <c r="C213">
        <f>'Runs Z score'!C205</f>
        <v/>
      </c>
      <c r="D213">
        <f>'Runs Z score'!D205</f>
        <v/>
      </c>
      <c r="E213">
        <f>'Runs Z score'!E205</f>
        <v/>
      </c>
      <c r="F213">
        <f>'Runs Z score'!F205</f>
        <v/>
      </c>
      <c r="G213">
        <f>'Runs Z score'!G205</f>
        <v/>
      </c>
      <c r="H213">
        <f>VLOOKUP(C213,Recipes!$A$2:$N$4,10,FALSE())</f>
        <v/>
      </c>
      <c r="I213">
        <f>VLOOKUP(C213,Recipes!$A$2:$N$4,12,FALSE())</f>
        <v/>
      </c>
      <c r="J213">
        <f>IF(G213="","",H213-G213)</f>
        <v/>
      </c>
      <c r="K213">
        <f>IF(G213="","",IF(ABS(G213-H213)&lt;=$B$6*I213,"OK","NG"))</f>
        <v/>
      </c>
      <c r="L213">
        <f>IF(K213="","",IF(K213=D213,1,0))</f>
        <v/>
      </c>
      <c r="M213" t="inlineStr">
        <is>
          <t>W1</t>
        </is>
      </c>
      <c r="N213" s="15" t="n">
        <v>0.7962</v>
      </c>
      <c r="O213" s="15" t="n">
        <v>0.1719</v>
      </c>
      <c r="P213">
        <f>IF(M213="","",IF(M213=E213,1,0))</f>
        <v/>
      </c>
      <c r="Q213">
        <f>IF(K213="OK","-",IF(N213&lt;$B$7,"AMBIGUOUS","CONFIDENT"))</f>
        <v/>
      </c>
    </row>
    <row r="214">
      <c r="A214">
        <f>'Runs Z score'!A206</f>
        <v/>
      </c>
      <c r="B214">
        <f>'Runs Z score'!B206</f>
        <v/>
      </c>
      <c r="C214">
        <f>'Runs Z score'!C206</f>
        <v/>
      </c>
      <c r="D214">
        <f>'Runs Z score'!D206</f>
        <v/>
      </c>
      <c r="E214">
        <f>'Runs Z score'!E206</f>
        <v/>
      </c>
      <c r="F214">
        <f>'Runs Z score'!F206</f>
        <v/>
      </c>
      <c r="G214">
        <f>'Runs Z score'!G206</f>
        <v/>
      </c>
      <c r="H214">
        <f>VLOOKUP(C214,Recipes!$A$2:$N$4,10,FALSE())</f>
        <v/>
      </c>
      <c r="I214">
        <f>VLOOKUP(C214,Recipes!$A$2:$N$4,12,FALSE())</f>
        <v/>
      </c>
      <c r="J214">
        <f>IF(G214="","",H214-G214)</f>
        <v/>
      </c>
      <c r="K214">
        <f>IF(G214="","",IF(ABS(G214-H214)&lt;=$B$6*I214,"OK","NG"))</f>
        <v/>
      </c>
      <c r="L214">
        <f>IF(K214="","",IF(K214=D214,1,0))</f>
        <v/>
      </c>
      <c r="M214" t="inlineStr">
        <is>
          <t>W1</t>
        </is>
      </c>
      <c r="N214" s="15" t="n">
        <v>0.9573</v>
      </c>
      <c r="O214" s="15" t="n">
        <v>0.0168</v>
      </c>
      <c r="P214">
        <f>IF(M214="","",IF(M214=E214,1,0))</f>
        <v/>
      </c>
      <c r="Q214">
        <f>IF(K214="OK","-",IF(N214&lt;$B$7,"AMBIGUOUS","CONFIDENT"))</f>
        <v/>
      </c>
    </row>
    <row r="215">
      <c r="A215">
        <f>'Runs Z score'!A207</f>
        <v/>
      </c>
      <c r="B215">
        <f>'Runs Z score'!B207</f>
        <v/>
      </c>
      <c r="C215">
        <f>'Runs Z score'!C207</f>
        <v/>
      </c>
      <c r="D215">
        <f>'Runs Z score'!D207</f>
        <v/>
      </c>
      <c r="E215">
        <f>'Runs Z score'!E207</f>
        <v/>
      </c>
      <c r="F215">
        <f>'Runs Z score'!F207</f>
        <v/>
      </c>
      <c r="G215">
        <f>'Runs Z score'!G207</f>
        <v/>
      </c>
      <c r="H215">
        <f>VLOOKUP(C215,Recipes!$A$2:$N$4,10,FALSE())</f>
        <v/>
      </c>
      <c r="I215">
        <f>VLOOKUP(C215,Recipes!$A$2:$N$4,12,FALSE())</f>
        <v/>
      </c>
      <c r="J215">
        <f>IF(G215="","",H215-G215)</f>
        <v/>
      </c>
      <c r="K215">
        <f>IF(G215="","",IF(ABS(G215-H215)&lt;=$B$6*I215,"OK","NG"))</f>
        <v/>
      </c>
      <c r="L215">
        <f>IF(K215="","",IF(K215=D215,1,0))</f>
        <v/>
      </c>
      <c r="M215" t="inlineStr">
        <is>
          <t>W1</t>
        </is>
      </c>
      <c r="N215" s="15" t="n">
        <v>0.9566</v>
      </c>
      <c r="O215" s="15" t="n">
        <v>0.0193</v>
      </c>
      <c r="P215">
        <f>IF(M215="","",IF(M215=E215,1,0))</f>
        <v/>
      </c>
      <c r="Q215">
        <f>IF(K215="OK","-",IF(N215&lt;$B$7,"AMBIGUOUS","CONFIDENT"))</f>
        <v/>
      </c>
    </row>
    <row r="216">
      <c r="A216">
        <f>'Runs Z score'!A208</f>
        <v/>
      </c>
      <c r="B216">
        <f>'Runs Z score'!B208</f>
        <v/>
      </c>
      <c r="C216">
        <f>'Runs Z score'!C208</f>
        <v/>
      </c>
      <c r="D216">
        <f>'Runs Z score'!D208</f>
        <v/>
      </c>
      <c r="E216">
        <f>'Runs Z score'!E208</f>
        <v/>
      </c>
      <c r="F216">
        <f>'Runs Z score'!F208</f>
        <v/>
      </c>
      <c r="G216">
        <f>'Runs Z score'!G208</f>
        <v/>
      </c>
      <c r="H216">
        <f>VLOOKUP(C216,Recipes!$A$2:$N$4,10,FALSE())</f>
        <v/>
      </c>
      <c r="I216">
        <f>VLOOKUP(C216,Recipes!$A$2:$N$4,12,FALSE())</f>
        <v/>
      </c>
      <c r="J216">
        <f>IF(G216="","",H216-G216)</f>
        <v/>
      </c>
      <c r="K216">
        <f>IF(G216="","",IF(ABS(G216-H216)&lt;=$B$6*I216,"OK","NG"))</f>
        <v/>
      </c>
      <c r="L216">
        <f>IF(K216="","",IF(K216=D216,1,0))</f>
        <v/>
      </c>
      <c r="M216" t="inlineStr">
        <is>
          <t>W1</t>
        </is>
      </c>
      <c r="N216" s="15" t="n">
        <v>0.9328</v>
      </c>
      <c r="O216" s="15" t="n">
        <v>0.0363</v>
      </c>
      <c r="P216">
        <f>IF(M216="","",IF(M216=E216,1,0))</f>
        <v/>
      </c>
      <c r="Q216">
        <f>IF(K216="OK","-",IF(N216&lt;$B$7,"AMBIGUOUS","CONFIDENT"))</f>
        <v/>
      </c>
    </row>
    <row r="217">
      <c r="A217">
        <f>'Runs Z score'!A209</f>
        <v/>
      </c>
      <c r="B217">
        <f>'Runs Z score'!B209</f>
        <v/>
      </c>
      <c r="C217">
        <f>'Runs Z score'!C209</f>
        <v/>
      </c>
      <c r="D217">
        <f>'Runs Z score'!D209</f>
        <v/>
      </c>
      <c r="E217">
        <f>'Runs Z score'!E209</f>
        <v/>
      </c>
      <c r="F217">
        <f>'Runs Z score'!F209</f>
        <v/>
      </c>
      <c r="G217">
        <f>'Runs Z score'!G209</f>
        <v/>
      </c>
      <c r="H217">
        <f>VLOOKUP(C217,Recipes!$A$2:$N$4,10,FALSE())</f>
        <v/>
      </c>
      <c r="I217">
        <f>VLOOKUP(C217,Recipes!$A$2:$N$4,12,FALSE())</f>
        <v/>
      </c>
      <c r="J217">
        <f>IF(G217="","",H217-G217)</f>
        <v/>
      </c>
      <c r="K217">
        <f>IF(G217="","",IF(ABS(G217-H217)&lt;=$B$6*I217,"OK","NG"))</f>
        <v/>
      </c>
      <c r="L217">
        <f>IF(K217="","",IF(K217=D217,1,0))</f>
        <v/>
      </c>
      <c r="M217" t="inlineStr">
        <is>
          <t>W1</t>
        </is>
      </c>
      <c r="N217" s="15" t="n">
        <v>0.9530999999999999</v>
      </c>
      <c r="O217" s="15" t="n">
        <v>0.0169</v>
      </c>
      <c r="P217">
        <f>IF(M217="","",IF(M217=E217,1,0))</f>
        <v/>
      </c>
      <c r="Q217">
        <f>IF(K217="OK","-",IF(N217&lt;$B$7,"AMBIGUOUS","CONFIDENT"))</f>
        <v/>
      </c>
    </row>
    <row r="218">
      <c r="A218">
        <f>'Runs Z score'!A210</f>
        <v/>
      </c>
      <c r="B218">
        <f>'Runs Z score'!B210</f>
        <v/>
      </c>
      <c r="C218">
        <f>'Runs Z score'!C210</f>
        <v/>
      </c>
      <c r="D218">
        <f>'Runs Z score'!D210</f>
        <v/>
      </c>
      <c r="E218">
        <f>'Runs Z score'!E210</f>
        <v/>
      </c>
      <c r="F218">
        <f>'Runs Z score'!F210</f>
        <v/>
      </c>
      <c r="G218">
        <f>'Runs Z score'!G210</f>
        <v/>
      </c>
      <c r="H218">
        <f>VLOOKUP(C218,Recipes!$A$2:$N$4,10,FALSE())</f>
        <v/>
      </c>
      <c r="I218">
        <f>VLOOKUP(C218,Recipes!$A$2:$N$4,12,FALSE())</f>
        <v/>
      </c>
      <c r="J218">
        <f>IF(G218="","",H218-G218)</f>
        <v/>
      </c>
      <c r="K218">
        <f>IF(G218="","",IF(ABS(G218-H218)&lt;=$B$6*I218,"OK","NG"))</f>
        <v/>
      </c>
      <c r="L218">
        <f>IF(K218="","",IF(K218=D218,1,0))</f>
        <v/>
      </c>
      <c r="M218" t="inlineStr">
        <is>
          <t>W1</t>
        </is>
      </c>
      <c r="N218" s="15" t="n">
        <v>0.6332</v>
      </c>
      <c r="O218" s="15" t="n">
        <v>0.3325</v>
      </c>
      <c r="P218">
        <f>IF(M218="","",IF(M218=E218,1,0))</f>
        <v/>
      </c>
      <c r="Q218">
        <f>IF(K218="OK","-",IF(N218&lt;$B$7,"AMBIGUOUS","CONFIDENT"))</f>
        <v/>
      </c>
    </row>
    <row r="219">
      <c r="A219">
        <f>'Runs Z score'!A211</f>
        <v/>
      </c>
      <c r="B219">
        <f>'Runs Z score'!B211</f>
        <v/>
      </c>
      <c r="C219">
        <f>'Runs Z score'!C211</f>
        <v/>
      </c>
      <c r="D219">
        <f>'Runs Z score'!D211</f>
        <v/>
      </c>
      <c r="E219">
        <f>'Runs Z score'!E211</f>
        <v/>
      </c>
      <c r="F219">
        <f>'Runs Z score'!F211</f>
        <v/>
      </c>
      <c r="G219">
        <f>'Runs Z score'!G211</f>
        <v/>
      </c>
      <c r="H219">
        <f>VLOOKUP(C219,Recipes!$A$2:$N$4,10,FALSE())</f>
        <v/>
      </c>
      <c r="I219">
        <f>VLOOKUP(C219,Recipes!$A$2:$N$4,12,FALSE())</f>
        <v/>
      </c>
      <c r="J219">
        <f>IF(G219="","",H219-G219)</f>
        <v/>
      </c>
      <c r="K219">
        <f>IF(G219="","",IF(ABS(G219-H219)&lt;=$B$6*I219,"OK","NG"))</f>
        <v/>
      </c>
      <c r="L219">
        <f>IF(K219="","",IF(K219=D219,1,0))</f>
        <v/>
      </c>
      <c r="M219" t="inlineStr">
        <is>
          <t>N1</t>
        </is>
      </c>
      <c r="N219" s="15" t="n">
        <v>0.9547</v>
      </c>
      <c r="O219" s="15" t="n">
        <v>0.0239</v>
      </c>
      <c r="P219">
        <f>IF(M219="","",IF(M219=E219,1,0))</f>
        <v/>
      </c>
      <c r="Q219">
        <f>IF(K219="OK","-",IF(N219&lt;$B$7,"AMBIGUOUS","CONFIDENT"))</f>
        <v/>
      </c>
    </row>
    <row r="220">
      <c r="A220">
        <f>'Runs Z score'!A212</f>
        <v/>
      </c>
      <c r="B220">
        <f>'Runs Z score'!B212</f>
        <v/>
      </c>
      <c r="C220">
        <f>'Runs Z score'!C212</f>
        <v/>
      </c>
      <c r="D220">
        <f>'Runs Z score'!D212</f>
        <v/>
      </c>
      <c r="E220">
        <f>'Runs Z score'!E212</f>
        <v/>
      </c>
      <c r="F220">
        <f>'Runs Z score'!F212</f>
        <v/>
      </c>
      <c r="G220">
        <f>'Runs Z score'!G212</f>
        <v/>
      </c>
      <c r="H220">
        <f>VLOOKUP(C220,Recipes!$A$2:$N$4,10,FALSE())</f>
        <v/>
      </c>
      <c r="I220">
        <f>VLOOKUP(C220,Recipes!$A$2:$N$4,12,FALSE())</f>
        <v/>
      </c>
      <c r="J220">
        <f>IF(G220="","",H220-G220)</f>
        <v/>
      </c>
      <c r="K220">
        <f>IF(G220="","",IF(ABS(G220-H220)&lt;=$B$6*I220,"OK","NG"))</f>
        <v/>
      </c>
      <c r="L220">
        <f>IF(K220="","",IF(K220=D220,1,0))</f>
        <v/>
      </c>
      <c r="M220" t="inlineStr">
        <is>
          <t>W1</t>
        </is>
      </c>
      <c r="N220" s="15" t="n">
        <v>0.9195</v>
      </c>
      <c r="O220" s="15" t="n">
        <v>0.0494</v>
      </c>
      <c r="P220">
        <f>IF(M220="","",IF(M220=E220,1,0))</f>
        <v/>
      </c>
      <c r="Q220">
        <f>IF(K220="OK","-",IF(N220&lt;$B$7,"AMBIGUOUS","CONFIDENT"))</f>
        <v/>
      </c>
    </row>
    <row r="221">
      <c r="A221">
        <f>'Runs Z score'!A213</f>
        <v/>
      </c>
      <c r="B221">
        <f>'Runs Z score'!B213</f>
        <v/>
      </c>
      <c r="C221">
        <f>'Runs Z score'!C213</f>
        <v/>
      </c>
      <c r="D221">
        <f>'Runs Z score'!D213</f>
        <v/>
      </c>
      <c r="E221">
        <f>'Runs Z score'!E213</f>
        <v/>
      </c>
      <c r="F221">
        <f>'Runs Z score'!F213</f>
        <v/>
      </c>
      <c r="G221">
        <f>'Runs Z score'!G213</f>
        <v/>
      </c>
      <c r="H221">
        <f>VLOOKUP(C221,Recipes!$A$2:$N$4,10,FALSE())</f>
        <v/>
      </c>
      <c r="I221">
        <f>VLOOKUP(C221,Recipes!$A$2:$N$4,12,FALSE())</f>
        <v/>
      </c>
      <c r="J221">
        <f>IF(G221="","",H221-G221)</f>
        <v/>
      </c>
      <c r="K221">
        <f>IF(G221="","",IF(ABS(G221-H221)&lt;=$B$6*I221,"OK","NG"))</f>
        <v/>
      </c>
      <c r="L221">
        <f>IF(K221="","",IF(K221=D221,1,0))</f>
        <v/>
      </c>
      <c r="M221" t="inlineStr">
        <is>
          <t>N1</t>
        </is>
      </c>
      <c r="N221" s="15" t="n">
        <v>0.9491000000000001</v>
      </c>
      <c r="O221" s="15" t="n">
        <v>0.0191</v>
      </c>
      <c r="P221">
        <f>IF(M221="","",IF(M221=E221,1,0))</f>
        <v/>
      </c>
      <c r="Q221">
        <f>IF(K221="OK","-",IF(N221&lt;$B$7,"AMBIGUOUS","CONFIDENT"))</f>
        <v/>
      </c>
    </row>
    <row r="222">
      <c r="A222">
        <f>'Runs Z score'!A214</f>
        <v/>
      </c>
      <c r="B222">
        <f>'Runs Z score'!B214</f>
        <v/>
      </c>
      <c r="C222">
        <f>'Runs Z score'!C214</f>
        <v/>
      </c>
      <c r="D222">
        <f>'Runs Z score'!D214</f>
        <v/>
      </c>
      <c r="E222">
        <f>'Runs Z score'!E214</f>
        <v/>
      </c>
      <c r="F222">
        <f>'Runs Z score'!F214</f>
        <v/>
      </c>
      <c r="G222">
        <f>'Runs Z score'!G214</f>
        <v/>
      </c>
      <c r="H222">
        <f>VLOOKUP(C222,Recipes!$A$2:$N$4,10,FALSE())</f>
        <v/>
      </c>
      <c r="I222">
        <f>VLOOKUP(C222,Recipes!$A$2:$N$4,12,FALSE())</f>
        <v/>
      </c>
      <c r="J222">
        <f>IF(G222="","",H222-G222)</f>
        <v/>
      </c>
      <c r="K222">
        <f>IF(G222="","",IF(ABS(G222-H222)&lt;=$B$6*I222,"OK","NG"))</f>
        <v/>
      </c>
      <c r="L222">
        <f>IF(K222="","",IF(K222=D222,1,0))</f>
        <v/>
      </c>
      <c r="M222" t="inlineStr">
        <is>
          <t>N1</t>
        </is>
      </c>
      <c r="N222" s="15" t="n">
        <v>0.9489</v>
      </c>
      <c r="O222" s="15" t="n">
        <v>0.0218</v>
      </c>
      <c r="P222">
        <f>IF(M222="","",IF(M222=E222,1,0))</f>
        <v/>
      </c>
      <c r="Q222">
        <f>IF(K222="OK","-",IF(N222&lt;$B$7,"AMBIGUOUS","CONFIDENT"))</f>
        <v/>
      </c>
    </row>
    <row r="223">
      <c r="A223">
        <f>'Runs Z score'!A215</f>
        <v/>
      </c>
      <c r="B223">
        <f>'Runs Z score'!B215</f>
        <v/>
      </c>
      <c r="C223">
        <f>'Runs Z score'!C215</f>
        <v/>
      </c>
      <c r="D223">
        <f>'Runs Z score'!D215</f>
        <v/>
      </c>
      <c r="E223">
        <f>'Runs Z score'!E215</f>
        <v/>
      </c>
      <c r="F223">
        <f>'Runs Z score'!F215</f>
        <v/>
      </c>
      <c r="G223">
        <f>'Runs Z score'!G215</f>
        <v/>
      </c>
      <c r="H223">
        <f>VLOOKUP(C223,Recipes!$A$2:$N$4,10,FALSE())</f>
        <v/>
      </c>
      <c r="I223">
        <f>VLOOKUP(C223,Recipes!$A$2:$N$4,12,FALSE())</f>
        <v/>
      </c>
      <c r="J223">
        <f>IF(G223="","",H223-G223)</f>
        <v/>
      </c>
      <c r="K223">
        <f>IF(G223="","",IF(ABS(G223-H223)&lt;=$B$6*I223,"OK","NG"))</f>
        <v/>
      </c>
      <c r="L223">
        <f>IF(K223="","",IF(K223=D223,1,0))</f>
        <v/>
      </c>
      <c r="M223" t="inlineStr">
        <is>
          <t>N1</t>
        </is>
      </c>
      <c r="N223" s="15" t="n">
        <v>0.7683</v>
      </c>
      <c r="O223" s="15" t="n">
        <v>0.2015</v>
      </c>
      <c r="P223">
        <f>IF(M223="","",IF(M223=E223,1,0))</f>
        <v/>
      </c>
      <c r="Q223">
        <f>IF(K223="OK","-",IF(N223&lt;$B$7,"AMBIGUOUS","CONFIDENT"))</f>
        <v/>
      </c>
    </row>
    <row r="224">
      <c r="A224">
        <f>'Runs Z score'!A216</f>
        <v/>
      </c>
      <c r="B224">
        <f>'Runs Z score'!B216</f>
        <v/>
      </c>
      <c r="C224">
        <f>'Runs Z score'!C216</f>
        <v/>
      </c>
      <c r="D224">
        <f>'Runs Z score'!D216</f>
        <v/>
      </c>
      <c r="E224">
        <f>'Runs Z score'!E216</f>
        <v/>
      </c>
      <c r="F224">
        <f>'Runs Z score'!F216</f>
        <v/>
      </c>
      <c r="G224">
        <f>'Runs Z score'!G216</f>
        <v/>
      </c>
      <c r="H224">
        <f>VLOOKUP(C224,Recipes!$A$2:$N$4,10,FALSE())</f>
        <v/>
      </c>
      <c r="I224">
        <f>VLOOKUP(C224,Recipes!$A$2:$N$4,12,FALSE())</f>
        <v/>
      </c>
      <c r="J224">
        <f>IF(G224="","",H224-G224)</f>
        <v/>
      </c>
      <c r="K224">
        <f>IF(G224="","",IF(ABS(G224-H224)&lt;=$B$6*I224,"OK","NG"))</f>
        <v/>
      </c>
      <c r="L224">
        <f>IF(K224="","",IF(K224=D224,1,0))</f>
        <v/>
      </c>
      <c r="M224" t="inlineStr">
        <is>
          <t>N1</t>
        </is>
      </c>
      <c r="N224" s="15" t="n">
        <v>0.8972</v>
      </c>
      <c r="O224" s="15" t="n">
        <v>0.07240000000000001</v>
      </c>
      <c r="P224">
        <f>IF(M224="","",IF(M224=E224,1,0))</f>
        <v/>
      </c>
      <c r="Q224">
        <f>IF(K224="OK","-",IF(N224&lt;$B$7,"AMBIGUOUS","CONFIDENT"))</f>
        <v/>
      </c>
    </row>
    <row r="225">
      <c r="A225">
        <f>'Runs Z score'!A217</f>
        <v/>
      </c>
      <c r="B225">
        <f>'Runs Z score'!B217</f>
        <v/>
      </c>
      <c r="C225">
        <f>'Runs Z score'!C217</f>
        <v/>
      </c>
      <c r="D225">
        <f>'Runs Z score'!D217</f>
        <v/>
      </c>
      <c r="E225">
        <f>'Runs Z score'!E217</f>
        <v/>
      </c>
      <c r="F225">
        <f>'Runs Z score'!F217</f>
        <v/>
      </c>
      <c r="G225">
        <f>'Runs Z score'!G217</f>
        <v/>
      </c>
      <c r="H225">
        <f>VLOOKUP(C225,Recipes!$A$2:$N$4,10,FALSE())</f>
        <v/>
      </c>
      <c r="I225">
        <f>VLOOKUP(C225,Recipes!$A$2:$N$4,12,FALSE())</f>
        <v/>
      </c>
      <c r="J225">
        <f>IF(G225="","",H225-G225)</f>
        <v/>
      </c>
      <c r="K225">
        <f>IF(G225="","",IF(ABS(G225-H225)&lt;=$B$6*I225,"OK","NG"))</f>
        <v/>
      </c>
      <c r="L225">
        <f>IF(K225="","",IF(K225=D225,1,0))</f>
        <v/>
      </c>
      <c r="M225" t="inlineStr">
        <is>
          <t>N1</t>
        </is>
      </c>
      <c r="N225" s="15" t="n">
        <v>0.8441</v>
      </c>
      <c r="O225" s="15" t="n">
        <v>0.1255</v>
      </c>
      <c r="P225">
        <f>IF(M225="","",IF(M225=E225,1,0))</f>
        <v/>
      </c>
      <c r="Q225">
        <f>IF(K225="OK","-",IF(N225&lt;$B$7,"AMBIGUOUS","CONFIDENT"))</f>
        <v/>
      </c>
    </row>
    <row r="226">
      <c r="A226">
        <f>'Runs Z score'!A218</f>
        <v/>
      </c>
      <c r="B226">
        <f>'Runs Z score'!B218</f>
        <v/>
      </c>
      <c r="C226">
        <f>'Runs Z score'!C218</f>
        <v/>
      </c>
      <c r="D226">
        <f>'Runs Z score'!D218</f>
        <v/>
      </c>
      <c r="E226">
        <f>'Runs Z score'!E218</f>
        <v/>
      </c>
      <c r="F226">
        <f>'Runs Z score'!F218</f>
        <v/>
      </c>
      <c r="G226">
        <f>'Runs Z score'!G218</f>
        <v/>
      </c>
      <c r="H226">
        <f>VLOOKUP(C226,Recipes!$A$2:$N$4,10,FALSE())</f>
        <v/>
      </c>
      <c r="I226">
        <f>VLOOKUP(C226,Recipes!$A$2:$N$4,12,FALSE())</f>
        <v/>
      </c>
      <c r="J226">
        <f>IF(G226="","",H226-G226)</f>
        <v/>
      </c>
      <c r="K226">
        <f>IF(G226="","",IF(ABS(G226-H226)&lt;=$B$6*I226,"OK","NG"))</f>
        <v/>
      </c>
      <c r="L226">
        <f>IF(K226="","",IF(K226=D226,1,0))</f>
        <v/>
      </c>
      <c r="M226" t="inlineStr">
        <is>
          <t>N1</t>
        </is>
      </c>
      <c r="N226" s="15" t="n">
        <v>0.6418</v>
      </c>
      <c r="O226" s="15" t="n">
        <v>0.3281</v>
      </c>
      <c r="P226">
        <f>IF(M226="","",IF(M226=E226,1,0))</f>
        <v/>
      </c>
      <c r="Q226">
        <f>IF(K226="OK","-",IF(N226&lt;$B$7,"AMBIGUOUS","CONFIDENT"))</f>
        <v/>
      </c>
    </row>
    <row r="227">
      <c r="A227">
        <f>'Runs Z score'!A219</f>
        <v/>
      </c>
      <c r="B227">
        <f>'Runs Z score'!B219</f>
        <v/>
      </c>
      <c r="C227">
        <f>'Runs Z score'!C219</f>
        <v/>
      </c>
      <c r="D227">
        <f>'Runs Z score'!D219</f>
        <v/>
      </c>
      <c r="E227">
        <f>'Runs Z score'!E219</f>
        <v/>
      </c>
      <c r="F227">
        <f>'Runs Z score'!F219</f>
        <v/>
      </c>
      <c r="G227">
        <f>'Runs Z score'!G219</f>
        <v/>
      </c>
      <c r="H227">
        <f>VLOOKUP(C227,Recipes!$A$2:$N$4,10,FALSE())</f>
        <v/>
      </c>
      <c r="I227">
        <f>VLOOKUP(C227,Recipes!$A$2:$N$4,12,FALSE())</f>
        <v/>
      </c>
      <c r="J227">
        <f>IF(G227="","",H227-G227)</f>
        <v/>
      </c>
      <c r="K227">
        <f>IF(G227="","",IF(ABS(G227-H227)&lt;=$B$6*I227,"OK","NG"))</f>
        <v/>
      </c>
      <c r="L227">
        <f>IF(K227="","",IF(K227=D227,1,0))</f>
        <v/>
      </c>
      <c r="M227" t="inlineStr">
        <is>
          <t>N1</t>
        </is>
      </c>
      <c r="N227" s="15" t="n">
        <v>0.9225</v>
      </c>
      <c r="O227" s="15" t="n">
        <v>0.0436</v>
      </c>
      <c r="P227">
        <f>IF(M227="","",IF(M227=E227,1,0))</f>
        <v/>
      </c>
      <c r="Q227">
        <f>IF(K227="OK","-",IF(N227&lt;$B$7,"AMBIGUOUS","CONFIDENT"))</f>
        <v/>
      </c>
    </row>
    <row r="228">
      <c r="A228">
        <f>'Runs Z score'!A220</f>
        <v/>
      </c>
      <c r="B228">
        <f>'Runs Z score'!B220</f>
        <v/>
      </c>
      <c r="C228">
        <f>'Runs Z score'!C220</f>
        <v/>
      </c>
      <c r="D228">
        <f>'Runs Z score'!D220</f>
        <v/>
      </c>
      <c r="E228">
        <f>'Runs Z score'!E220</f>
        <v/>
      </c>
      <c r="F228">
        <f>'Runs Z score'!F220</f>
        <v/>
      </c>
      <c r="G228">
        <f>'Runs Z score'!G220</f>
        <v/>
      </c>
      <c r="H228">
        <f>VLOOKUP(C228,Recipes!$A$2:$N$4,10,FALSE())</f>
        <v/>
      </c>
      <c r="I228">
        <f>VLOOKUP(C228,Recipes!$A$2:$N$4,12,FALSE())</f>
        <v/>
      </c>
      <c r="J228">
        <f>IF(G228="","",H228-G228)</f>
        <v/>
      </c>
      <c r="K228">
        <f>IF(G228="","",IF(ABS(G228-H228)&lt;=$B$6*I228,"OK","NG"))</f>
        <v/>
      </c>
      <c r="L228">
        <f>IF(K228="","",IF(K228=D228,1,0))</f>
        <v/>
      </c>
      <c r="M228" t="inlineStr">
        <is>
          <t>N1</t>
        </is>
      </c>
      <c r="N228" s="15" t="n">
        <v>0.9275</v>
      </c>
      <c r="O228" s="15" t="n">
        <v>0.046</v>
      </c>
      <c r="P228">
        <f>IF(M228="","",IF(M228=E228,1,0))</f>
        <v/>
      </c>
      <c r="Q228">
        <f>IF(K228="OK","-",IF(N228&lt;$B$7,"AMBIGUOUS","CONFIDENT"))</f>
        <v/>
      </c>
    </row>
    <row r="229">
      <c r="A229">
        <f>'Runs Z score'!A221</f>
        <v/>
      </c>
      <c r="B229">
        <f>'Runs Z score'!B221</f>
        <v/>
      </c>
      <c r="C229">
        <f>'Runs Z score'!C221</f>
        <v/>
      </c>
      <c r="D229">
        <f>'Runs Z score'!D221</f>
        <v/>
      </c>
      <c r="E229">
        <f>'Runs Z score'!E221</f>
        <v/>
      </c>
      <c r="F229">
        <f>'Runs Z score'!F221</f>
        <v/>
      </c>
      <c r="G229">
        <f>'Runs Z score'!G221</f>
        <v/>
      </c>
      <c r="H229">
        <f>VLOOKUP(C229,Recipes!$A$2:$N$4,10,FALSE())</f>
        <v/>
      </c>
      <c r="I229">
        <f>VLOOKUP(C229,Recipes!$A$2:$N$4,12,FALSE())</f>
        <v/>
      </c>
      <c r="J229">
        <f>IF(G229="","",H229-G229)</f>
        <v/>
      </c>
      <c r="K229">
        <f>IF(G229="","",IF(ABS(G229-H229)&lt;=$B$6*I229,"OK","NG"))</f>
        <v/>
      </c>
      <c r="L229">
        <f>IF(K229="","",IF(K229=D229,1,0))</f>
        <v/>
      </c>
      <c r="M229" t="inlineStr">
        <is>
          <t>N1</t>
        </is>
      </c>
      <c r="N229" s="15" t="n">
        <v>0.9202</v>
      </c>
      <c r="O229" s="15" t="n">
        <v>0.0482</v>
      </c>
      <c r="P229">
        <f>IF(M229="","",IF(M229=E229,1,0))</f>
        <v/>
      </c>
      <c r="Q229">
        <f>IF(K229="OK","-",IF(N229&lt;$B$7,"AMBIGUOUS","CONFIDENT"))</f>
        <v/>
      </c>
    </row>
    <row r="230">
      <c r="A230">
        <f>'Runs Z score'!A222</f>
        <v/>
      </c>
      <c r="B230">
        <f>'Runs Z score'!B222</f>
        <v/>
      </c>
      <c r="C230">
        <f>'Runs Z score'!C222</f>
        <v/>
      </c>
      <c r="D230">
        <f>'Runs Z score'!D222</f>
        <v/>
      </c>
      <c r="E230">
        <f>'Runs Z score'!E222</f>
        <v/>
      </c>
      <c r="F230">
        <f>'Runs Z score'!F222</f>
        <v/>
      </c>
      <c r="G230">
        <f>'Runs Z score'!G222</f>
        <v/>
      </c>
      <c r="H230">
        <f>VLOOKUP(C230,Recipes!$A$2:$N$4,10,FALSE())</f>
        <v/>
      </c>
      <c r="I230">
        <f>VLOOKUP(C230,Recipes!$A$2:$N$4,12,FALSE())</f>
        <v/>
      </c>
      <c r="J230">
        <f>IF(G230="","",H230-G230)</f>
        <v/>
      </c>
      <c r="K230">
        <f>IF(G230="","",IF(ABS(G230-H230)&lt;=$B$6*I230,"OK","NG"))</f>
        <v/>
      </c>
      <c r="L230">
        <f>IF(K230="","",IF(K230=D230,1,0))</f>
        <v/>
      </c>
      <c r="M230" t="inlineStr">
        <is>
          <t>N1</t>
        </is>
      </c>
      <c r="N230" s="15" t="n">
        <v>0.9435</v>
      </c>
      <c r="O230" s="15" t="n">
        <v>0.0217</v>
      </c>
      <c r="P230">
        <f>IF(M230="","",IF(M230=E230,1,0))</f>
        <v/>
      </c>
      <c r="Q230">
        <f>IF(K230="OK","-",IF(N230&lt;$B$7,"AMBIGUOUS","CONFIDENT"))</f>
        <v/>
      </c>
    </row>
    <row r="231">
      <c r="A231">
        <f>'Runs Z score'!A223</f>
        <v/>
      </c>
      <c r="B231">
        <f>'Runs Z score'!B223</f>
        <v/>
      </c>
      <c r="C231">
        <f>'Runs Z score'!C223</f>
        <v/>
      </c>
      <c r="D231">
        <f>'Runs Z score'!D223</f>
        <v/>
      </c>
      <c r="E231">
        <f>'Runs Z score'!E223</f>
        <v/>
      </c>
      <c r="F231">
        <f>'Runs Z score'!F223</f>
        <v/>
      </c>
      <c r="G231">
        <f>'Runs Z score'!G223</f>
        <v/>
      </c>
      <c r="H231">
        <f>VLOOKUP(C231,Recipes!$A$2:$N$4,10,FALSE())</f>
        <v/>
      </c>
      <c r="I231">
        <f>VLOOKUP(C231,Recipes!$A$2:$N$4,12,FALSE())</f>
        <v/>
      </c>
      <c r="J231">
        <f>IF(G231="","",H231-G231)</f>
        <v/>
      </c>
      <c r="K231">
        <f>IF(G231="","",IF(ABS(G231-H231)&lt;=$B$6*I231,"OK","NG"))</f>
        <v/>
      </c>
      <c r="L231">
        <f>IF(K231="","",IF(K231=D231,1,0))</f>
        <v/>
      </c>
      <c r="M231" t="inlineStr">
        <is>
          <t>N1</t>
        </is>
      </c>
      <c r="N231" s="15" t="n">
        <v>0.9225</v>
      </c>
      <c r="O231" s="15" t="n">
        <v>0.0436</v>
      </c>
      <c r="P231">
        <f>IF(M231="","",IF(M231=E231,1,0))</f>
        <v/>
      </c>
      <c r="Q231">
        <f>IF(K231="OK","-",IF(N231&lt;$B$7,"AMBIGUOUS","CONFIDENT"))</f>
        <v/>
      </c>
    </row>
    <row r="232">
      <c r="A232">
        <f>'Runs Z score'!A224</f>
        <v/>
      </c>
      <c r="B232">
        <f>'Runs Z score'!B224</f>
        <v/>
      </c>
      <c r="C232">
        <f>'Runs Z score'!C224</f>
        <v/>
      </c>
      <c r="D232">
        <f>'Runs Z score'!D224</f>
        <v/>
      </c>
      <c r="E232">
        <f>'Runs Z score'!E224</f>
        <v/>
      </c>
      <c r="F232">
        <f>'Runs Z score'!F224</f>
        <v/>
      </c>
      <c r="G232">
        <f>'Runs Z score'!G224</f>
        <v/>
      </c>
      <c r="H232">
        <f>VLOOKUP(C232,Recipes!$A$2:$N$4,10,FALSE())</f>
        <v/>
      </c>
      <c r="I232">
        <f>VLOOKUP(C232,Recipes!$A$2:$N$4,12,FALSE())</f>
        <v/>
      </c>
      <c r="J232">
        <f>IF(G232="","",H232-G232)</f>
        <v/>
      </c>
      <c r="K232">
        <f>IF(G232="","",IF(ABS(G232-H232)&lt;=$B$6*I232,"OK","NG"))</f>
        <v/>
      </c>
      <c r="L232">
        <f>IF(K232="","",IF(K232=D232,1,0))</f>
        <v/>
      </c>
      <c r="M232" t="inlineStr">
        <is>
          <t>N1</t>
        </is>
      </c>
      <c r="N232" s="15" t="n">
        <v>0.6418</v>
      </c>
      <c r="O232" s="15" t="n">
        <v>0.3281</v>
      </c>
      <c r="P232">
        <f>IF(M232="","",IF(M232=E232,1,0))</f>
        <v/>
      </c>
      <c r="Q232">
        <f>IF(K232="OK","-",IF(N232&lt;$B$7,"AMBIGUOUS","CONFIDENT"))</f>
        <v/>
      </c>
    </row>
    <row r="233">
      <c r="A233">
        <f>'Runs Z score'!A225</f>
        <v/>
      </c>
      <c r="B233">
        <f>'Runs Z score'!B225</f>
        <v/>
      </c>
      <c r="C233">
        <f>'Runs Z score'!C225</f>
        <v/>
      </c>
      <c r="D233">
        <f>'Runs Z score'!D225</f>
        <v/>
      </c>
      <c r="E233">
        <f>'Runs Z score'!E225</f>
        <v/>
      </c>
      <c r="F233">
        <f>'Runs Z score'!F225</f>
        <v/>
      </c>
      <c r="G233">
        <f>'Runs Z score'!G225</f>
        <v/>
      </c>
      <c r="H233">
        <f>VLOOKUP(C233,Recipes!$A$2:$N$4,10,FALSE())</f>
        <v/>
      </c>
      <c r="I233">
        <f>VLOOKUP(C233,Recipes!$A$2:$N$4,12,FALSE())</f>
        <v/>
      </c>
      <c r="J233">
        <f>IF(G233="","",H233-G233)</f>
        <v/>
      </c>
      <c r="K233">
        <f>IF(G233="","",IF(ABS(G233-H233)&lt;=$B$6*I233,"OK","NG"))</f>
        <v/>
      </c>
      <c r="L233">
        <f>IF(K233="","",IF(K233=D233,1,0))</f>
        <v/>
      </c>
      <c r="M233" t="inlineStr">
        <is>
          <t>N1</t>
        </is>
      </c>
      <c r="N233" s="15" t="n">
        <v>0.7596000000000001</v>
      </c>
      <c r="O233" s="15" t="n">
        <v>0.2103</v>
      </c>
      <c r="P233">
        <f>IF(M233="","",IF(M233=E233,1,0))</f>
        <v/>
      </c>
      <c r="Q233">
        <f>IF(K233="OK","-",IF(N233&lt;$B$7,"AMBIGUOUS","CONFIDENT"))</f>
        <v/>
      </c>
    </row>
    <row r="234">
      <c r="A234">
        <f>'Runs Z score'!A226</f>
        <v/>
      </c>
      <c r="B234">
        <f>'Runs Z score'!B226</f>
        <v/>
      </c>
      <c r="C234">
        <f>'Runs Z score'!C226</f>
        <v/>
      </c>
      <c r="D234">
        <f>'Runs Z score'!D226</f>
        <v/>
      </c>
      <c r="E234">
        <f>'Runs Z score'!E226</f>
        <v/>
      </c>
      <c r="F234">
        <f>'Runs Z score'!F226</f>
        <v/>
      </c>
      <c r="G234">
        <f>'Runs Z score'!G226</f>
        <v/>
      </c>
      <c r="H234">
        <f>VLOOKUP(C234,Recipes!$A$2:$N$4,10,FALSE())</f>
        <v/>
      </c>
      <c r="I234">
        <f>VLOOKUP(C234,Recipes!$A$2:$N$4,12,FALSE())</f>
        <v/>
      </c>
      <c r="J234">
        <f>IF(G234="","",H234-G234)</f>
        <v/>
      </c>
      <c r="K234">
        <f>IF(G234="","",IF(ABS(G234-H234)&lt;=$B$6*I234,"OK","NG"))</f>
        <v/>
      </c>
      <c r="L234">
        <f>IF(K234="","",IF(K234=D234,1,0))</f>
        <v/>
      </c>
      <c r="M234" t="inlineStr">
        <is>
          <t>N1</t>
        </is>
      </c>
      <c r="N234" s="15" t="n">
        <v>0.9202</v>
      </c>
      <c r="O234" s="15" t="n">
        <v>0.0482</v>
      </c>
      <c r="P234">
        <f>IF(M234="","",IF(M234=E234,1,0))</f>
        <v/>
      </c>
      <c r="Q234">
        <f>IF(K234="OK","-",IF(N234&lt;$B$7,"AMBIGUOUS","CONFIDENT"))</f>
        <v/>
      </c>
    </row>
    <row r="235">
      <c r="A235">
        <f>'Runs Z score'!A227</f>
        <v/>
      </c>
      <c r="B235">
        <f>'Runs Z score'!B227</f>
        <v/>
      </c>
      <c r="C235">
        <f>'Runs Z score'!C227</f>
        <v/>
      </c>
      <c r="D235">
        <f>'Runs Z score'!D227</f>
        <v/>
      </c>
      <c r="E235">
        <f>'Runs Z score'!E227</f>
        <v/>
      </c>
      <c r="F235">
        <f>'Runs Z score'!F227</f>
        <v/>
      </c>
      <c r="G235">
        <f>'Runs Z score'!G227</f>
        <v/>
      </c>
      <c r="H235">
        <f>VLOOKUP(C235,Recipes!$A$2:$N$4,10,FALSE())</f>
        <v/>
      </c>
      <c r="I235">
        <f>VLOOKUP(C235,Recipes!$A$2:$N$4,12,FALSE())</f>
        <v/>
      </c>
      <c r="J235">
        <f>IF(G235="","",H235-G235)</f>
        <v/>
      </c>
      <c r="K235">
        <f>IF(G235="","",IF(ABS(G235-H235)&lt;=$B$6*I235,"OK","NG"))</f>
        <v/>
      </c>
      <c r="L235">
        <f>IF(K235="","",IF(K235=D235,1,0))</f>
        <v/>
      </c>
      <c r="M235" t="inlineStr">
        <is>
          <t>N1</t>
        </is>
      </c>
      <c r="N235" s="15" t="n">
        <v>0.9421</v>
      </c>
      <c r="O235" s="15" t="n">
        <v>0.0256</v>
      </c>
      <c r="P235">
        <f>IF(M235="","",IF(M235=E235,1,0))</f>
        <v/>
      </c>
      <c r="Q235">
        <f>IF(K235="OK","-",IF(N235&lt;$B$7,"AMBIGUOUS","CONFIDENT"))</f>
        <v/>
      </c>
    </row>
    <row r="236">
      <c r="A236">
        <f>'Runs Z score'!A228</f>
        <v/>
      </c>
      <c r="B236">
        <f>'Runs Z score'!B228</f>
        <v/>
      </c>
      <c r="C236">
        <f>'Runs Z score'!C228</f>
        <v/>
      </c>
      <c r="D236">
        <f>'Runs Z score'!D228</f>
        <v/>
      </c>
      <c r="E236">
        <f>'Runs Z score'!E228</f>
        <v/>
      </c>
      <c r="F236">
        <f>'Runs Z score'!F228</f>
        <v/>
      </c>
      <c r="G236">
        <f>'Runs Z score'!G228</f>
        <v/>
      </c>
      <c r="H236">
        <f>VLOOKUP(C236,Recipes!$A$2:$N$4,10,FALSE())</f>
        <v/>
      </c>
      <c r="I236">
        <f>VLOOKUP(C236,Recipes!$A$2:$N$4,12,FALSE())</f>
        <v/>
      </c>
      <c r="J236">
        <f>IF(G236="","",H236-G236)</f>
        <v/>
      </c>
      <c r="K236">
        <f>IF(G236="","",IF(ABS(G236-H236)&lt;=$B$6*I236,"OK","NG"))</f>
        <v/>
      </c>
      <c r="L236">
        <f>IF(K236="","",IF(K236=D236,1,0))</f>
        <v/>
      </c>
      <c r="M236" t="inlineStr">
        <is>
          <t>N1</t>
        </is>
      </c>
      <c r="N236" s="15" t="n">
        <v>0.8426</v>
      </c>
      <c r="O236" s="15" t="n">
        <v>0.127</v>
      </c>
      <c r="P236">
        <f>IF(M236="","",IF(M236=E236,1,0))</f>
        <v/>
      </c>
      <c r="Q236">
        <f>IF(K236="OK","-",IF(N236&lt;$B$7,"AMBIGUOUS","CONFIDENT"))</f>
        <v/>
      </c>
    </row>
    <row r="237">
      <c r="A237">
        <f>'Runs Z score'!A229</f>
        <v/>
      </c>
      <c r="B237">
        <f>'Runs Z score'!B229</f>
        <v/>
      </c>
      <c r="C237">
        <f>'Runs Z score'!C229</f>
        <v/>
      </c>
      <c r="D237">
        <f>'Runs Z score'!D229</f>
        <v/>
      </c>
      <c r="E237">
        <f>'Runs Z score'!E229</f>
        <v/>
      </c>
      <c r="F237">
        <f>'Runs Z score'!F229</f>
        <v/>
      </c>
      <c r="G237">
        <f>'Runs Z score'!G229</f>
        <v/>
      </c>
      <c r="H237">
        <f>VLOOKUP(C237,Recipes!$A$2:$N$4,10,FALSE())</f>
        <v/>
      </c>
      <c r="I237">
        <f>VLOOKUP(C237,Recipes!$A$2:$N$4,12,FALSE())</f>
        <v/>
      </c>
      <c r="J237">
        <f>IF(G237="","",H237-G237)</f>
        <v/>
      </c>
      <c r="K237">
        <f>IF(G237="","",IF(ABS(G237-H237)&lt;=$B$6*I237,"OK","NG"))</f>
        <v/>
      </c>
      <c r="L237">
        <f>IF(K237="","",IF(K237=D237,1,0))</f>
        <v/>
      </c>
      <c r="M237" t="inlineStr">
        <is>
          <t>N1</t>
        </is>
      </c>
      <c r="N237" s="15" t="n">
        <v>0.9099</v>
      </c>
      <c r="O237" s="15" t="n">
        <v>0.0587</v>
      </c>
      <c r="P237">
        <f>IF(M237="","",IF(M237=E237,1,0))</f>
        <v/>
      </c>
      <c r="Q237">
        <f>IF(K237="OK","-",IF(N237&lt;$B$7,"AMBIGUOUS","CONFIDENT"))</f>
        <v/>
      </c>
    </row>
    <row r="238">
      <c r="A238">
        <f>'Runs Z score'!A230</f>
        <v/>
      </c>
      <c r="B238">
        <f>'Runs Z score'!B230</f>
        <v/>
      </c>
      <c r="C238">
        <f>'Runs Z score'!C230</f>
        <v/>
      </c>
      <c r="D238">
        <f>'Runs Z score'!D230</f>
        <v/>
      </c>
      <c r="E238">
        <f>'Runs Z score'!E230</f>
        <v/>
      </c>
      <c r="F238">
        <f>'Runs Z score'!F230</f>
        <v/>
      </c>
      <c r="G238">
        <f>'Runs Z score'!G230</f>
        <v/>
      </c>
      <c r="H238">
        <f>VLOOKUP(C238,Recipes!$A$2:$N$4,10,FALSE())</f>
        <v/>
      </c>
      <c r="I238">
        <f>VLOOKUP(C238,Recipes!$A$2:$N$4,12,FALSE())</f>
        <v/>
      </c>
      <c r="J238">
        <f>IF(G238="","",H238-G238)</f>
        <v/>
      </c>
      <c r="K238">
        <f>IF(G238="","",IF(ABS(G238-H238)&lt;=$B$6*I238,"OK","NG"))</f>
        <v/>
      </c>
      <c r="L238">
        <f>IF(K238="","",IF(K238=D238,1,0))</f>
        <v/>
      </c>
      <c r="M238" t="inlineStr">
        <is>
          <t>N1</t>
        </is>
      </c>
      <c r="N238" s="15" t="n">
        <v>0.8972</v>
      </c>
      <c r="O238" s="15" t="n">
        <v>0.07240000000000001</v>
      </c>
      <c r="P238">
        <f>IF(M238="","",IF(M238=E238,1,0))</f>
        <v/>
      </c>
      <c r="Q238">
        <f>IF(K238="OK","-",IF(N238&lt;$B$7,"AMBIGUOUS","CONFIDENT"))</f>
        <v/>
      </c>
    </row>
    <row r="239">
      <c r="A239">
        <f>'Runs Z score'!A231</f>
        <v/>
      </c>
      <c r="B239">
        <f>'Runs Z score'!B231</f>
        <v/>
      </c>
      <c r="C239">
        <f>'Runs Z score'!C231</f>
        <v/>
      </c>
      <c r="D239">
        <f>'Runs Z score'!D231</f>
        <v/>
      </c>
      <c r="E239">
        <f>'Runs Z score'!E231</f>
        <v/>
      </c>
      <c r="F239">
        <f>'Runs Z score'!F231</f>
        <v/>
      </c>
      <c r="G239">
        <f>'Runs Z score'!G231</f>
        <v/>
      </c>
      <c r="H239">
        <f>VLOOKUP(C239,Recipes!$A$2:$N$4,10,FALSE())</f>
        <v/>
      </c>
      <c r="I239">
        <f>VLOOKUP(C239,Recipes!$A$2:$N$4,12,FALSE())</f>
        <v/>
      </c>
      <c r="J239">
        <f>IF(G239="","",H239-G239)</f>
        <v/>
      </c>
      <c r="K239">
        <f>IF(G239="","",IF(ABS(G239-H239)&lt;=$B$6*I239,"OK","NG"))</f>
        <v/>
      </c>
      <c r="L239">
        <f>IF(K239="","",IF(K239=D239,1,0))</f>
        <v/>
      </c>
      <c r="M239" t="inlineStr">
        <is>
          <t>N1</t>
        </is>
      </c>
      <c r="N239" s="15" t="n">
        <v>0.9564</v>
      </c>
      <c r="O239" s="15" t="n">
        <v>0.0208</v>
      </c>
      <c r="P239">
        <f>IF(M239="","",IF(M239=E239,1,0))</f>
        <v/>
      </c>
      <c r="Q239">
        <f>IF(K239="OK","-",IF(N239&lt;$B$7,"AMBIGUOUS","CONFIDENT"))</f>
        <v/>
      </c>
    </row>
    <row r="240">
      <c r="A240">
        <f>'Runs Z score'!A232</f>
        <v/>
      </c>
      <c r="B240">
        <f>'Runs Z score'!B232</f>
        <v/>
      </c>
      <c r="C240">
        <f>'Runs Z score'!C232</f>
        <v/>
      </c>
      <c r="D240">
        <f>'Runs Z score'!D232</f>
        <v/>
      </c>
      <c r="E240">
        <f>'Runs Z score'!E232</f>
        <v/>
      </c>
      <c r="F240">
        <f>'Runs Z score'!F232</f>
        <v/>
      </c>
      <c r="G240">
        <f>'Runs Z score'!G232</f>
        <v/>
      </c>
      <c r="H240">
        <f>VLOOKUP(C240,Recipes!$A$2:$N$4,10,FALSE())</f>
        <v/>
      </c>
      <c r="I240">
        <f>VLOOKUP(C240,Recipes!$A$2:$N$4,12,FALSE())</f>
        <v/>
      </c>
      <c r="J240">
        <f>IF(G240="","",H240-G240)</f>
        <v/>
      </c>
      <c r="K240">
        <f>IF(G240="","",IF(ABS(G240-H240)&lt;=$B$6*I240,"OK","NG"))</f>
        <v/>
      </c>
      <c r="L240">
        <f>IF(K240="","",IF(K240=D240,1,0))</f>
        <v/>
      </c>
      <c r="M240" t="inlineStr">
        <is>
          <t>N1</t>
        </is>
      </c>
      <c r="N240" s="15" t="n">
        <v>0.8721</v>
      </c>
      <c r="O240" s="15" t="n">
        <v>0.0973</v>
      </c>
      <c r="P240">
        <f>IF(M240="","",IF(M240=E240,1,0))</f>
        <v/>
      </c>
      <c r="Q240">
        <f>IF(K240="OK","-",IF(N240&lt;$B$7,"AMBIGUOUS","CONFIDENT"))</f>
        <v/>
      </c>
    </row>
    <row r="241">
      <c r="A241">
        <f>'Runs Z score'!A233</f>
        <v/>
      </c>
      <c r="B241">
        <f>'Runs Z score'!B233</f>
        <v/>
      </c>
      <c r="C241">
        <f>'Runs Z score'!C233</f>
        <v/>
      </c>
      <c r="D241">
        <f>'Runs Z score'!D233</f>
        <v/>
      </c>
      <c r="E241">
        <f>'Runs Z score'!E233</f>
        <v/>
      </c>
      <c r="F241">
        <f>'Runs Z score'!F233</f>
        <v/>
      </c>
      <c r="G241">
        <f>'Runs Z score'!G233</f>
        <v/>
      </c>
      <c r="H241">
        <f>VLOOKUP(C241,Recipes!$A$2:$N$4,10,FALSE())</f>
        <v/>
      </c>
      <c r="I241">
        <f>VLOOKUP(C241,Recipes!$A$2:$N$4,12,FALSE())</f>
        <v/>
      </c>
      <c r="J241">
        <f>IF(G241="","",H241-G241)</f>
        <v/>
      </c>
      <c r="K241">
        <f>IF(G241="","",IF(ABS(G241-H241)&lt;=$B$6*I241,"OK","NG"))</f>
        <v/>
      </c>
      <c r="L241">
        <f>IF(K241="","",IF(K241=D241,1,0))</f>
        <v/>
      </c>
      <c r="M241" t="inlineStr">
        <is>
          <t>N1</t>
        </is>
      </c>
      <c r="N241" s="15" t="n">
        <v>0.9349</v>
      </c>
      <c r="O241" s="15" t="n">
        <v>0.031</v>
      </c>
      <c r="P241">
        <f>IF(M241="","",IF(M241=E241,1,0))</f>
        <v/>
      </c>
      <c r="Q241">
        <f>IF(K241="OK","-",IF(N241&lt;$B$7,"AMBIGUOUS","CONFIDENT"))</f>
        <v/>
      </c>
    </row>
    <row r="242">
      <c r="A242">
        <f>'Runs Z score'!A234</f>
        <v/>
      </c>
      <c r="B242">
        <f>'Runs Z score'!B234</f>
        <v/>
      </c>
      <c r="C242">
        <f>'Runs Z score'!C234</f>
        <v/>
      </c>
      <c r="D242">
        <f>'Runs Z score'!D234</f>
        <v/>
      </c>
      <c r="E242">
        <f>'Runs Z score'!E234</f>
        <v/>
      </c>
      <c r="F242">
        <f>'Runs Z score'!F234</f>
        <v/>
      </c>
      <c r="G242">
        <f>'Runs Z score'!G234</f>
        <v/>
      </c>
      <c r="H242">
        <f>VLOOKUP(C242,Recipes!$A$2:$N$4,10,FALSE())</f>
        <v/>
      </c>
      <c r="I242">
        <f>VLOOKUP(C242,Recipes!$A$2:$N$4,12,FALSE())</f>
        <v/>
      </c>
      <c r="J242">
        <f>IF(G242="","",H242-G242)</f>
        <v/>
      </c>
      <c r="K242">
        <f>IF(G242="","",IF(ABS(G242-H242)&lt;=$B$6*I242,"OK","NG"))</f>
        <v/>
      </c>
      <c r="L242">
        <f>IF(K242="","",IF(K242=D242,1,0))</f>
        <v/>
      </c>
      <c r="M242" t="inlineStr">
        <is>
          <t>N1</t>
        </is>
      </c>
      <c r="N242" s="15" t="n">
        <v>0.8621</v>
      </c>
      <c r="O242" s="15" t="n">
        <v>0.1073</v>
      </c>
      <c r="P242">
        <f>IF(M242="","",IF(M242=E242,1,0))</f>
        <v/>
      </c>
      <c r="Q242">
        <f>IF(K242="OK","-",IF(N242&lt;$B$7,"AMBIGUOUS","CONFIDENT"))</f>
        <v/>
      </c>
    </row>
    <row r="243">
      <c r="A243">
        <f>'Runs Z score'!A235</f>
        <v/>
      </c>
      <c r="B243">
        <f>'Runs Z score'!B235</f>
        <v/>
      </c>
      <c r="C243">
        <f>'Runs Z score'!C235</f>
        <v/>
      </c>
      <c r="D243">
        <f>'Runs Z score'!D235</f>
        <v/>
      </c>
      <c r="E243">
        <f>'Runs Z score'!E235</f>
        <v/>
      </c>
      <c r="F243">
        <f>'Runs Z score'!F235</f>
        <v/>
      </c>
      <c r="G243">
        <f>'Runs Z score'!G235</f>
        <v/>
      </c>
      <c r="H243">
        <f>VLOOKUP(C243,Recipes!$A$2:$N$4,10,FALSE())</f>
        <v/>
      </c>
      <c r="I243">
        <f>VLOOKUP(C243,Recipes!$A$2:$N$4,12,FALSE())</f>
        <v/>
      </c>
      <c r="J243">
        <f>IF(G243="","",H243-G243)</f>
        <v/>
      </c>
      <c r="K243">
        <f>IF(G243="","",IF(ABS(G243-H243)&lt;=$B$6*I243,"OK","NG"))</f>
        <v/>
      </c>
      <c r="L243">
        <f>IF(K243="","",IF(K243=D243,1,0))</f>
        <v/>
      </c>
      <c r="M243" t="inlineStr">
        <is>
          <t>N1</t>
        </is>
      </c>
      <c r="N243" s="15" t="n">
        <v>0.9147</v>
      </c>
      <c r="O243" s="15" t="n">
        <v>0.0546</v>
      </c>
      <c r="P243">
        <f>IF(M243="","",IF(M243=E243,1,0))</f>
        <v/>
      </c>
      <c r="Q243">
        <f>IF(K243="OK","-",IF(N243&lt;$B$7,"AMBIGUOUS","CONFIDENT"))</f>
        <v/>
      </c>
    </row>
    <row r="244">
      <c r="A244">
        <f>'Runs Z score'!A236</f>
        <v/>
      </c>
      <c r="B244">
        <f>'Runs Z score'!B236</f>
        <v/>
      </c>
      <c r="C244">
        <f>'Runs Z score'!C236</f>
        <v/>
      </c>
      <c r="D244">
        <f>'Runs Z score'!D236</f>
        <v/>
      </c>
      <c r="E244">
        <f>'Runs Z score'!E236</f>
        <v/>
      </c>
      <c r="F244">
        <f>'Runs Z score'!F236</f>
        <v/>
      </c>
      <c r="G244">
        <f>'Runs Z score'!G236</f>
        <v/>
      </c>
      <c r="H244">
        <f>VLOOKUP(C244,Recipes!$A$2:$N$4,10,FALSE())</f>
        <v/>
      </c>
      <c r="I244">
        <f>VLOOKUP(C244,Recipes!$A$2:$N$4,12,FALSE())</f>
        <v/>
      </c>
      <c r="J244">
        <f>IF(G244="","",H244-G244)</f>
        <v/>
      </c>
      <c r="K244">
        <f>IF(G244="","",IF(ABS(G244-H244)&lt;=$B$6*I244,"OK","NG"))</f>
        <v/>
      </c>
      <c r="L244">
        <f>IF(K244="","",IF(K244=D244,1,0))</f>
        <v/>
      </c>
      <c r="M244" t="inlineStr">
        <is>
          <t>N1</t>
        </is>
      </c>
      <c r="N244" s="15" t="n">
        <v>0.8868</v>
      </c>
      <c r="O244" s="15" t="n">
        <v>0.0824</v>
      </c>
      <c r="P244">
        <f>IF(M244="","",IF(M244=E244,1,0))</f>
        <v/>
      </c>
      <c r="Q244">
        <f>IF(K244="OK","-",IF(N244&lt;$B$7,"AMBIGUOUS","CONFIDENT"))</f>
        <v/>
      </c>
    </row>
    <row r="245">
      <c r="A245">
        <f>'Runs Z score'!A237</f>
        <v/>
      </c>
      <c r="B245">
        <f>'Runs Z score'!B237</f>
        <v/>
      </c>
      <c r="C245">
        <f>'Runs Z score'!C237</f>
        <v/>
      </c>
      <c r="D245">
        <f>'Runs Z score'!D237</f>
        <v/>
      </c>
      <c r="E245">
        <f>'Runs Z score'!E237</f>
        <v/>
      </c>
      <c r="F245">
        <f>'Runs Z score'!F237</f>
        <v/>
      </c>
      <c r="G245">
        <f>'Runs Z score'!G237</f>
        <v/>
      </c>
      <c r="H245">
        <f>VLOOKUP(C245,Recipes!$A$2:$N$4,10,FALSE())</f>
        <v/>
      </c>
      <c r="I245">
        <f>VLOOKUP(C245,Recipes!$A$2:$N$4,12,FALSE())</f>
        <v/>
      </c>
      <c r="J245">
        <f>IF(G245="","",H245-G245)</f>
        <v/>
      </c>
      <c r="K245">
        <f>IF(G245="","",IF(ABS(G245-H245)&lt;=$B$6*I245,"OK","NG"))</f>
        <v/>
      </c>
      <c r="L245">
        <f>IF(K245="","",IF(K245=D245,1,0))</f>
        <v/>
      </c>
      <c r="M245" t="inlineStr">
        <is>
          <t>N1</t>
        </is>
      </c>
      <c r="N245" s="15" t="n">
        <v>0.9492</v>
      </c>
      <c r="O245" s="15" t="n">
        <v>0.02</v>
      </c>
      <c r="P245">
        <f>IF(M245="","",IF(M245=E245,1,0))</f>
        <v/>
      </c>
      <c r="Q245">
        <f>IF(K245="OK","-",IF(N245&lt;$B$7,"AMBIGUOUS","CONFIDENT"))</f>
        <v/>
      </c>
    </row>
    <row r="246">
      <c r="A246">
        <f>'Runs Z score'!A238</f>
        <v/>
      </c>
      <c r="B246">
        <f>'Runs Z score'!B238</f>
        <v/>
      </c>
      <c r="C246">
        <f>'Runs Z score'!C238</f>
        <v/>
      </c>
      <c r="D246">
        <f>'Runs Z score'!D238</f>
        <v/>
      </c>
      <c r="E246">
        <f>'Runs Z score'!E238</f>
        <v/>
      </c>
      <c r="F246">
        <f>'Runs Z score'!F238</f>
        <v/>
      </c>
      <c r="G246">
        <f>'Runs Z score'!G238</f>
        <v/>
      </c>
      <c r="H246">
        <f>VLOOKUP(C246,Recipes!$A$2:$N$4,10,FALSE())</f>
        <v/>
      </c>
      <c r="I246">
        <f>VLOOKUP(C246,Recipes!$A$2:$N$4,12,FALSE())</f>
        <v/>
      </c>
      <c r="J246">
        <f>IF(G246="","",H246-G246)</f>
        <v/>
      </c>
      <c r="K246">
        <f>IF(G246="","",IF(ABS(G246-H246)&lt;=$B$6*I246,"OK","NG"))</f>
        <v/>
      </c>
      <c r="L246">
        <f>IF(K246="","",IF(K246=D246,1,0))</f>
        <v/>
      </c>
      <c r="M246" t="inlineStr">
        <is>
          <t>N1</t>
        </is>
      </c>
      <c r="N246" s="15" t="n">
        <v>0.8741</v>
      </c>
      <c r="O246" s="15" t="n">
        <v>0.0958</v>
      </c>
      <c r="P246">
        <f>IF(M246="","",IF(M246=E246,1,0))</f>
        <v/>
      </c>
      <c r="Q246">
        <f>IF(K246="OK","-",IF(N246&lt;$B$7,"AMBIGUOUS","CONFIDENT"))</f>
        <v/>
      </c>
    </row>
    <row r="247">
      <c r="A247">
        <f>'Runs Z score'!A239</f>
        <v/>
      </c>
      <c r="B247">
        <f>'Runs Z score'!B239</f>
        <v/>
      </c>
      <c r="C247">
        <f>'Runs Z score'!C239</f>
        <v/>
      </c>
      <c r="D247">
        <f>'Runs Z score'!D239</f>
        <v/>
      </c>
      <c r="E247">
        <f>'Runs Z score'!E239</f>
        <v/>
      </c>
      <c r="F247">
        <f>'Runs Z score'!F239</f>
        <v/>
      </c>
      <c r="G247">
        <f>'Runs Z score'!G239</f>
        <v/>
      </c>
      <c r="H247">
        <f>VLOOKUP(C247,Recipes!$A$2:$N$4,10,FALSE())</f>
        <v/>
      </c>
      <c r="I247">
        <f>VLOOKUP(C247,Recipes!$A$2:$N$4,12,FALSE())</f>
        <v/>
      </c>
      <c r="J247">
        <f>IF(G247="","",H247-G247)</f>
        <v/>
      </c>
      <c r="K247">
        <f>IF(G247="","",IF(ABS(G247-H247)&lt;=$B$6*I247,"OK","NG"))</f>
        <v/>
      </c>
      <c r="L247">
        <f>IF(K247="","",IF(K247=D247,1,0))</f>
        <v/>
      </c>
      <c r="M247" t="inlineStr">
        <is>
          <t>N1</t>
        </is>
      </c>
      <c r="N247" s="15" t="n">
        <v>0.8308</v>
      </c>
      <c r="O247" s="15" t="n">
        <v>0.1388</v>
      </c>
      <c r="P247">
        <f>IF(M247="","",IF(M247=E247,1,0))</f>
        <v/>
      </c>
      <c r="Q247">
        <f>IF(K247="OK","-",IF(N247&lt;$B$7,"AMBIGUOUS","CONFIDENT"))</f>
        <v/>
      </c>
    </row>
    <row r="248">
      <c r="A248">
        <f>'Runs Z score'!A240</f>
        <v/>
      </c>
      <c r="B248">
        <f>'Runs Z score'!B240</f>
        <v/>
      </c>
      <c r="C248">
        <f>'Runs Z score'!C240</f>
        <v/>
      </c>
      <c r="D248">
        <f>'Runs Z score'!D240</f>
        <v/>
      </c>
      <c r="E248">
        <f>'Runs Z score'!E240</f>
        <v/>
      </c>
      <c r="F248">
        <f>'Runs Z score'!F240</f>
        <v/>
      </c>
      <c r="G248">
        <f>'Runs Z score'!G240</f>
        <v/>
      </c>
      <c r="H248">
        <f>VLOOKUP(C248,Recipes!$A$2:$N$4,10,FALSE())</f>
        <v/>
      </c>
      <c r="I248">
        <f>VLOOKUP(C248,Recipes!$A$2:$N$4,12,FALSE())</f>
        <v/>
      </c>
      <c r="J248">
        <f>IF(G248="","",H248-G248)</f>
        <v/>
      </c>
      <c r="K248">
        <f>IF(G248="","",IF(ABS(G248-H248)&lt;=$B$6*I248,"OK","NG"))</f>
        <v/>
      </c>
      <c r="L248">
        <f>IF(K248="","",IF(K248=D248,1,0))</f>
        <v/>
      </c>
      <c r="M248" t="inlineStr">
        <is>
          <t>N1</t>
        </is>
      </c>
      <c r="N248" s="15" t="n">
        <v>0.8441</v>
      </c>
      <c r="O248" s="15" t="n">
        <v>0.1255</v>
      </c>
      <c r="P248">
        <f>IF(M248="","",IF(M248=E248,1,0))</f>
        <v/>
      </c>
      <c r="Q248">
        <f>IF(K248="OK","-",IF(N248&lt;$B$7,"AMBIGUOUS","CONFIDENT"))</f>
        <v/>
      </c>
    </row>
    <row r="249">
      <c r="A249">
        <f>'Runs Z score'!A241</f>
        <v/>
      </c>
      <c r="B249">
        <f>'Runs Z score'!B241</f>
        <v/>
      </c>
      <c r="C249">
        <f>'Runs Z score'!C241</f>
        <v/>
      </c>
      <c r="D249">
        <f>'Runs Z score'!D241</f>
        <v/>
      </c>
      <c r="E249">
        <f>'Runs Z score'!E241</f>
        <v/>
      </c>
      <c r="F249">
        <f>'Runs Z score'!F241</f>
        <v/>
      </c>
      <c r="G249">
        <f>'Runs Z score'!G241</f>
        <v/>
      </c>
      <c r="H249">
        <f>VLOOKUP(C249,Recipes!$A$2:$N$4,10,FALSE())</f>
        <v/>
      </c>
      <c r="I249">
        <f>VLOOKUP(C249,Recipes!$A$2:$N$4,12,FALSE())</f>
        <v/>
      </c>
      <c r="J249">
        <f>IF(G249="","",H249-G249)</f>
        <v/>
      </c>
      <c r="K249">
        <f>IF(G249="","",IF(ABS(G249-H249)&lt;=$B$6*I249,"OK","NG"))</f>
        <v/>
      </c>
      <c r="L249">
        <f>IF(K249="","",IF(K249=D249,1,0))</f>
        <v/>
      </c>
      <c r="M249" t="inlineStr">
        <is>
          <t>N1</t>
        </is>
      </c>
      <c r="N249" s="15" t="n">
        <v>0.8441</v>
      </c>
      <c r="O249" s="15" t="n">
        <v>0.1255</v>
      </c>
      <c r="P249">
        <f>IF(M249="","",IF(M249=E249,1,0))</f>
        <v/>
      </c>
      <c r="Q249">
        <f>IF(K249="OK","-",IF(N249&lt;$B$7,"AMBIGUOUS","CONFIDENT"))</f>
        <v/>
      </c>
    </row>
    <row r="250">
      <c r="A250">
        <f>'Runs Z score'!A242</f>
        <v/>
      </c>
      <c r="B250">
        <f>'Runs Z score'!B242</f>
        <v/>
      </c>
      <c r="C250">
        <f>'Runs Z score'!C242</f>
        <v/>
      </c>
      <c r="D250">
        <f>'Runs Z score'!D242</f>
        <v/>
      </c>
      <c r="E250">
        <f>'Runs Z score'!E242</f>
        <v/>
      </c>
      <c r="F250">
        <f>'Runs Z score'!F242</f>
        <v/>
      </c>
      <c r="G250">
        <f>'Runs Z score'!G242</f>
        <v/>
      </c>
      <c r="H250">
        <f>VLOOKUP(C250,Recipes!$A$2:$N$4,10,FALSE())</f>
        <v/>
      </c>
      <c r="I250">
        <f>VLOOKUP(C250,Recipes!$A$2:$N$4,12,FALSE())</f>
        <v/>
      </c>
      <c r="J250">
        <f>IF(G250="","",H250-G250)</f>
        <v/>
      </c>
      <c r="K250">
        <f>IF(G250="","",IF(ABS(G250-H250)&lt;=$B$6*I250,"OK","NG"))</f>
        <v/>
      </c>
      <c r="L250">
        <f>IF(K250="","",IF(K250=D250,1,0))</f>
        <v/>
      </c>
      <c r="M250" t="inlineStr">
        <is>
          <t>N1</t>
        </is>
      </c>
      <c r="N250" s="15" t="n">
        <v>0.8099</v>
      </c>
      <c r="O250" s="15" t="n">
        <v>0.1598</v>
      </c>
      <c r="P250">
        <f>IF(M250="","",IF(M250=E250,1,0))</f>
        <v/>
      </c>
      <c r="Q250">
        <f>IF(K250="OK","-",IF(N250&lt;$B$7,"AMBIGUOUS","CONFIDENT"))</f>
        <v/>
      </c>
    </row>
    <row r="251">
      <c r="A251">
        <f>'Runs Z score'!A243</f>
        <v/>
      </c>
      <c r="B251">
        <f>'Runs Z score'!B243</f>
        <v/>
      </c>
      <c r="C251">
        <f>'Runs Z score'!C243</f>
        <v/>
      </c>
      <c r="D251">
        <f>'Runs Z score'!D243</f>
        <v/>
      </c>
      <c r="E251">
        <f>'Runs Z score'!E243</f>
        <v/>
      </c>
      <c r="F251">
        <f>'Runs Z score'!F243</f>
        <v/>
      </c>
      <c r="G251">
        <f>'Runs Z score'!G243</f>
        <v/>
      </c>
      <c r="H251">
        <f>VLOOKUP(C251,Recipes!$A$2:$N$4,10,FALSE())</f>
        <v/>
      </c>
      <c r="I251">
        <f>VLOOKUP(C251,Recipes!$A$2:$N$4,12,FALSE())</f>
        <v/>
      </c>
      <c r="J251">
        <f>IF(G251="","",H251-G251)</f>
        <v/>
      </c>
      <c r="K251">
        <f>IF(G251="","",IF(ABS(G251-H251)&lt;=$B$6*I251,"OK","NG"))</f>
        <v/>
      </c>
      <c r="L251">
        <f>IF(K251="","",IF(K251=D251,1,0))</f>
        <v/>
      </c>
      <c r="M251" t="inlineStr">
        <is>
          <t>S2</t>
        </is>
      </c>
      <c r="N251" s="15" t="n">
        <v>0.9192</v>
      </c>
      <c r="O251" s="15" t="n">
        <v>0.0476</v>
      </c>
      <c r="P251">
        <f>IF(M251="","",IF(M251=E251,1,0))</f>
        <v/>
      </c>
      <c r="Q251">
        <f>IF(K251="OK","-",IF(N251&lt;$B$7,"AMBIGUOUS","CONFIDENT"))</f>
        <v/>
      </c>
    </row>
    <row r="252">
      <c r="A252">
        <f>'Runs Z score'!A244</f>
        <v/>
      </c>
      <c r="B252">
        <f>'Runs Z score'!B244</f>
        <v/>
      </c>
      <c r="C252">
        <f>'Runs Z score'!C244</f>
        <v/>
      </c>
      <c r="D252">
        <f>'Runs Z score'!D244</f>
        <v/>
      </c>
      <c r="E252">
        <f>'Runs Z score'!E244</f>
        <v/>
      </c>
      <c r="F252">
        <f>'Runs Z score'!F244</f>
        <v/>
      </c>
      <c r="G252">
        <f>'Runs Z score'!G244</f>
        <v/>
      </c>
      <c r="H252">
        <f>VLOOKUP(C252,Recipes!$A$2:$N$4,10,FALSE())</f>
        <v/>
      </c>
      <c r="I252">
        <f>VLOOKUP(C252,Recipes!$A$2:$N$4,12,FALSE())</f>
        <v/>
      </c>
      <c r="J252">
        <f>IF(G252="","",H252-G252)</f>
        <v/>
      </c>
      <c r="K252">
        <f>IF(G252="","",IF(ABS(G252-H252)&lt;=$B$6*I252,"OK","NG"))</f>
        <v/>
      </c>
      <c r="L252">
        <f>IF(K252="","",IF(K252=D252,1,0))</f>
        <v/>
      </c>
      <c r="M252" t="inlineStr">
        <is>
          <t>S2</t>
        </is>
      </c>
      <c r="N252" s="15" t="n">
        <v>0.9246</v>
      </c>
      <c r="O252" s="15" t="n">
        <v>0.0427</v>
      </c>
      <c r="P252">
        <f>IF(M252="","",IF(M252=E252,1,0))</f>
        <v/>
      </c>
      <c r="Q252">
        <f>IF(K252="OK","-",IF(N252&lt;$B$7,"AMBIGUOUS","CONFIDENT"))</f>
        <v/>
      </c>
    </row>
    <row r="253">
      <c r="A253">
        <f>'Runs Z score'!A245</f>
        <v/>
      </c>
      <c r="B253">
        <f>'Runs Z score'!B245</f>
        <v/>
      </c>
      <c r="C253">
        <f>'Runs Z score'!C245</f>
        <v/>
      </c>
      <c r="D253">
        <f>'Runs Z score'!D245</f>
        <v/>
      </c>
      <c r="E253">
        <f>'Runs Z score'!E245</f>
        <v/>
      </c>
      <c r="F253">
        <f>'Runs Z score'!F245</f>
        <v/>
      </c>
      <c r="G253">
        <f>'Runs Z score'!G245</f>
        <v/>
      </c>
      <c r="H253">
        <f>VLOOKUP(C253,Recipes!$A$2:$N$4,10,FALSE())</f>
        <v/>
      </c>
      <c r="I253">
        <f>VLOOKUP(C253,Recipes!$A$2:$N$4,12,FALSE())</f>
        <v/>
      </c>
      <c r="J253">
        <f>IF(G253="","",H253-G253)</f>
        <v/>
      </c>
      <c r="K253">
        <f>IF(G253="","",IF(ABS(G253-H253)&lt;=$B$6*I253,"OK","NG"))</f>
        <v/>
      </c>
      <c r="L253">
        <f>IF(K253="","",IF(K253=D253,1,0))</f>
        <v/>
      </c>
      <c r="M253" t="inlineStr">
        <is>
          <t>S2</t>
        </is>
      </c>
      <c r="N253" s="15" t="n">
        <v>0.9378</v>
      </c>
      <c r="O253" s="15" t="n">
        <v>0.0306</v>
      </c>
      <c r="P253">
        <f>IF(M253="","",IF(M253=E253,1,0))</f>
        <v/>
      </c>
      <c r="Q253">
        <f>IF(K253="OK","-",IF(N253&lt;$B$7,"AMBIGUOUS","CONFIDENT"))</f>
        <v/>
      </c>
    </row>
    <row r="254">
      <c r="A254">
        <f>'Runs Z score'!A246</f>
        <v/>
      </c>
      <c r="B254">
        <f>'Runs Z score'!B246</f>
        <v/>
      </c>
      <c r="C254">
        <f>'Runs Z score'!C246</f>
        <v/>
      </c>
      <c r="D254">
        <f>'Runs Z score'!D246</f>
        <v/>
      </c>
      <c r="E254">
        <f>'Runs Z score'!E246</f>
        <v/>
      </c>
      <c r="F254">
        <f>'Runs Z score'!F246</f>
        <v/>
      </c>
      <c r="G254">
        <f>'Runs Z score'!G246</f>
        <v/>
      </c>
      <c r="H254">
        <f>VLOOKUP(C254,Recipes!$A$2:$N$4,10,FALSE())</f>
        <v/>
      </c>
      <c r="I254">
        <f>VLOOKUP(C254,Recipes!$A$2:$N$4,12,FALSE())</f>
        <v/>
      </c>
      <c r="J254">
        <f>IF(G254="","",H254-G254)</f>
        <v/>
      </c>
      <c r="K254">
        <f>IF(G254="","",IF(ABS(G254-H254)&lt;=$B$6*I254,"OK","NG"))</f>
        <v/>
      </c>
      <c r="L254">
        <f>IF(K254="","",IF(K254=D254,1,0))</f>
        <v/>
      </c>
      <c r="M254" t="inlineStr">
        <is>
          <t>S2</t>
        </is>
      </c>
      <c r="N254" s="15" t="n">
        <v>0.9229000000000001</v>
      </c>
      <c r="O254" s="15" t="n">
        <v>0.0443</v>
      </c>
      <c r="P254">
        <f>IF(M254="","",IF(M254=E254,1,0))</f>
        <v/>
      </c>
      <c r="Q254">
        <f>IF(K254="OK","-",IF(N254&lt;$B$7,"AMBIGUOUS","CONFIDENT"))</f>
        <v/>
      </c>
    </row>
    <row r="255">
      <c r="A255">
        <f>'Runs Z score'!A247</f>
        <v/>
      </c>
      <c r="B255">
        <f>'Runs Z score'!B247</f>
        <v/>
      </c>
      <c r="C255">
        <f>'Runs Z score'!C247</f>
        <v/>
      </c>
      <c r="D255">
        <f>'Runs Z score'!D247</f>
        <v/>
      </c>
      <c r="E255">
        <f>'Runs Z score'!E247</f>
        <v/>
      </c>
      <c r="F255">
        <f>'Runs Z score'!F247</f>
        <v/>
      </c>
      <c r="G255">
        <f>'Runs Z score'!G247</f>
        <v/>
      </c>
      <c r="H255">
        <f>VLOOKUP(C255,Recipes!$A$2:$N$4,10,FALSE())</f>
        <v/>
      </c>
      <c r="I255">
        <f>VLOOKUP(C255,Recipes!$A$2:$N$4,12,FALSE())</f>
        <v/>
      </c>
      <c r="J255">
        <f>IF(G255="","",H255-G255)</f>
        <v/>
      </c>
      <c r="K255">
        <f>IF(G255="","",IF(ABS(G255-H255)&lt;=$B$6*I255,"OK","NG"))</f>
        <v/>
      </c>
      <c r="L255">
        <f>IF(K255="","",IF(K255=D255,1,0))</f>
        <v/>
      </c>
      <c r="M255" t="inlineStr">
        <is>
          <t>S2</t>
        </is>
      </c>
      <c r="N255" s="15" t="n">
        <v>0.9295</v>
      </c>
      <c r="O255" s="15" t="n">
        <v>0.0382</v>
      </c>
      <c r="P255">
        <f>IF(M255="","",IF(M255=E255,1,0))</f>
        <v/>
      </c>
      <c r="Q255">
        <f>IF(K255="OK","-",IF(N255&lt;$B$7,"AMBIGUOUS","CONFIDENT"))</f>
        <v/>
      </c>
    </row>
    <row r="256">
      <c r="A256">
        <f>'Runs Z score'!A248</f>
        <v/>
      </c>
      <c r="B256">
        <f>'Runs Z score'!B248</f>
        <v/>
      </c>
      <c r="C256">
        <f>'Runs Z score'!C248</f>
        <v/>
      </c>
      <c r="D256">
        <f>'Runs Z score'!D248</f>
        <v/>
      </c>
      <c r="E256">
        <f>'Runs Z score'!E248</f>
        <v/>
      </c>
      <c r="F256">
        <f>'Runs Z score'!F248</f>
        <v/>
      </c>
      <c r="G256">
        <f>'Runs Z score'!G248</f>
        <v/>
      </c>
      <c r="H256">
        <f>VLOOKUP(C256,Recipes!$A$2:$N$4,10,FALSE())</f>
        <v/>
      </c>
      <c r="I256">
        <f>VLOOKUP(C256,Recipes!$A$2:$N$4,12,FALSE())</f>
        <v/>
      </c>
      <c r="J256">
        <f>IF(G256="","",H256-G256)</f>
        <v/>
      </c>
      <c r="K256">
        <f>IF(G256="","",IF(ABS(G256-H256)&lt;=$B$6*I256,"OK","NG"))</f>
        <v/>
      </c>
      <c r="L256">
        <f>IF(K256="","",IF(K256=D256,1,0))</f>
        <v/>
      </c>
      <c r="M256" t="inlineStr">
        <is>
          <t>S2</t>
        </is>
      </c>
      <c r="N256" s="15" t="n">
        <v>0.915</v>
      </c>
      <c r="O256" s="15" t="n">
        <v>0.0513</v>
      </c>
      <c r="P256">
        <f>IF(M256="","",IF(M256=E256,1,0))</f>
        <v/>
      </c>
      <c r="Q256">
        <f>IF(K256="OK","-",IF(N256&lt;$B$7,"AMBIGUOUS","CONFIDENT"))</f>
        <v/>
      </c>
    </row>
    <row r="257">
      <c r="A257">
        <f>'Runs Z score'!A249</f>
        <v/>
      </c>
      <c r="B257">
        <f>'Runs Z score'!B249</f>
        <v/>
      </c>
      <c r="C257">
        <f>'Runs Z score'!C249</f>
        <v/>
      </c>
      <c r="D257">
        <f>'Runs Z score'!D249</f>
        <v/>
      </c>
      <c r="E257">
        <f>'Runs Z score'!E249</f>
        <v/>
      </c>
      <c r="F257">
        <f>'Runs Z score'!F249</f>
        <v/>
      </c>
      <c r="G257">
        <f>'Runs Z score'!G249</f>
        <v/>
      </c>
      <c r="H257">
        <f>VLOOKUP(C257,Recipes!$A$2:$N$4,10,FALSE())</f>
        <v/>
      </c>
      <c r="I257">
        <f>VLOOKUP(C257,Recipes!$A$2:$N$4,12,FALSE())</f>
        <v/>
      </c>
      <c r="J257">
        <f>IF(G257="","",H257-G257)</f>
        <v/>
      </c>
      <c r="K257">
        <f>IF(G257="","",IF(ABS(G257-H257)&lt;=$B$6*I257,"OK","NG"))</f>
        <v/>
      </c>
      <c r="L257">
        <f>IF(K257="","",IF(K257=D257,1,0))</f>
        <v/>
      </c>
      <c r="M257" t="inlineStr">
        <is>
          <t>S2</t>
        </is>
      </c>
      <c r="N257" s="15" t="n">
        <v>0.9277</v>
      </c>
      <c r="O257" s="15" t="n">
        <v>0.0398</v>
      </c>
      <c r="P257">
        <f>IF(M257="","",IF(M257=E257,1,0))</f>
        <v/>
      </c>
      <c r="Q257">
        <f>IF(K257="OK","-",IF(N257&lt;$B$7,"AMBIGUOUS","CONFIDENT"))</f>
        <v/>
      </c>
    </row>
    <row r="258">
      <c r="A258">
        <f>'Runs Z score'!A250</f>
        <v/>
      </c>
      <c r="B258">
        <f>'Runs Z score'!B250</f>
        <v/>
      </c>
      <c r="C258">
        <f>'Runs Z score'!C250</f>
        <v/>
      </c>
      <c r="D258">
        <f>'Runs Z score'!D250</f>
        <v/>
      </c>
      <c r="E258">
        <f>'Runs Z score'!E250</f>
        <v/>
      </c>
      <c r="F258">
        <f>'Runs Z score'!F250</f>
        <v/>
      </c>
      <c r="G258">
        <f>'Runs Z score'!G250</f>
        <v/>
      </c>
      <c r="H258">
        <f>VLOOKUP(C258,Recipes!$A$2:$N$4,10,FALSE())</f>
        <v/>
      </c>
      <c r="I258">
        <f>VLOOKUP(C258,Recipes!$A$2:$N$4,12,FALSE())</f>
        <v/>
      </c>
      <c r="J258">
        <f>IF(G258="","",H258-G258)</f>
        <v/>
      </c>
      <c r="K258">
        <f>IF(G258="","",IF(ABS(G258-H258)&lt;=$B$6*I258,"OK","NG"))</f>
        <v/>
      </c>
      <c r="L258">
        <f>IF(K258="","",IF(K258=D258,1,0))</f>
        <v/>
      </c>
      <c r="M258" t="inlineStr">
        <is>
          <t>S2</t>
        </is>
      </c>
      <c r="N258" s="15" t="n">
        <v>0.9308999999999999</v>
      </c>
      <c r="O258" s="15" t="n">
        <v>0.0369</v>
      </c>
      <c r="P258">
        <f>IF(M258="","",IF(M258=E258,1,0))</f>
        <v/>
      </c>
      <c r="Q258">
        <f>IF(K258="OK","-",IF(N258&lt;$B$7,"AMBIGUOUS","CONFIDENT"))</f>
        <v/>
      </c>
    </row>
    <row r="259">
      <c r="A259">
        <f>'Runs Z score'!A251</f>
        <v/>
      </c>
      <c r="B259">
        <f>'Runs Z score'!B251</f>
        <v/>
      </c>
      <c r="C259">
        <f>'Runs Z score'!C251</f>
        <v/>
      </c>
      <c r="D259">
        <f>'Runs Z score'!D251</f>
        <v/>
      </c>
      <c r="E259">
        <f>'Runs Z score'!E251</f>
        <v/>
      </c>
      <c r="F259">
        <f>'Runs Z score'!F251</f>
        <v/>
      </c>
      <c r="G259">
        <f>'Runs Z score'!G251</f>
        <v/>
      </c>
      <c r="H259">
        <f>VLOOKUP(C259,Recipes!$A$2:$N$4,10,FALSE())</f>
        <v/>
      </c>
      <c r="I259">
        <f>VLOOKUP(C259,Recipes!$A$2:$N$4,12,FALSE())</f>
        <v/>
      </c>
      <c r="J259">
        <f>IF(G259="","",H259-G259)</f>
        <v/>
      </c>
      <c r="K259">
        <f>IF(G259="","",IF(ABS(G259-H259)&lt;=$B$6*I259,"OK","NG"))</f>
        <v/>
      </c>
      <c r="L259">
        <f>IF(K259="","",IF(K259=D259,1,0))</f>
        <v/>
      </c>
      <c r="M259" t="inlineStr">
        <is>
          <t>S2</t>
        </is>
      </c>
      <c r="N259" s="15" t="n">
        <v>0.9082</v>
      </c>
      <c r="O259" s="15" t="n">
        <v>0.0575</v>
      </c>
      <c r="P259">
        <f>IF(M259="","",IF(M259=E259,1,0))</f>
        <v/>
      </c>
      <c r="Q259">
        <f>IF(K259="OK","-",IF(N259&lt;$B$7,"AMBIGUOUS","CONFIDENT"))</f>
        <v/>
      </c>
    </row>
    <row r="260">
      <c r="A260">
        <f>'Runs Z score'!A252</f>
        <v/>
      </c>
      <c r="B260">
        <f>'Runs Z score'!B252</f>
        <v/>
      </c>
      <c r="C260">
        <f>'Runs Z score'!C252</f>
        <v/>
      </c>
      <c r="D260">
        <f>'Runs Z score'!D252</f>
        <v/>
      </c>
      <c r="E260">
        <f>'Runs Z score'!E252</f>
        <v/>
      </c>
      <c r="F260">
        <f>'Runs Z score'!F252</f>
        <v/>
      </c>
      <c r="G260">
        <f>'Runs Z score'!G252</f>
        <v/>
      </c>
      <c r="H260">
        <f>VLOOKUP(C260,Recipes!$A$2:$N$4,10,FALSE())</f>
        <v/>
      </c>
      <c r="I260">
        <f>VLOOKUP(C260,Recipes!$A$2:$N$4,12,FALSE())</f>
        <v/>
      </c>
      <c r="J260">
        <f>IF(G260="","",H260-G260)</f>
        <v/>
      </c>
      <c r="K260">
        <f>IF(G260="","",IF(ABS(G260-H260)&lt;=$B$6*I260,"OK","NG"))</f>
        <v/>
      </c>
      <c r="L260">
        <f>IF(K260="","",IF(K260=D260,1,0))</f>
        <v/>
      </c>
      <c r="M260" t="inlineStr">
        <is>
          <t>S2</t>
        </is>
      </c>
      <c r="N260" s="15" t="n">
        <v>0.9293</v>
      </c>
      <c r="O260" s="15" t="n">
        <v>0.0384</v>
      </c>
      <c r="P260">
        <f>IF(M260="","",IF(M260=E260,1,0))</f>
        <v/>
      </c>
      <c r="Q260">
        <f>IF(K260="OK","-",IF(N260&lt;$B$7,"AMBIGUOUS","CONFIDENT"))</f>
        <v/>
      </c>
    </row>
    <row r="261">
      <c r="A261">
        <f>'Runs Z score'!A253</f>
        <v/>
      </c>
      <c r="B261">
        <f>'Runs Z score'!B253</f>
        <v/>
      </c>
      <c r="C261">
        <f>'Runs Z score'!C253</f>
        <v/>
      </c>
      <c r="D261">
        <f>'Runs Z score'!D253</f>
        <v/>
      </c>
      <c r="E261">
        <f>'Runs Z score'!E253</f>
        <v/>
      </c>
      <c r="F261">
        <f>'Runs Z score'!F253</f>
        <v/>
      </c>
      <c r="G261">
        <f>'Runs Z score'!G253</f>
        <v/>
      </c>
      <c r="H261">
        <f>VLOOKUP(C261,Recipes!$A$2:$N$4,10,FALSE())</f>
        <v/>
      </c>
      <c r="I261">
        <f>VLOOKUP(C261,Recipes!$A$2:$N$4,12,FALSE())</f>
        <v/>
      </c>
      <c r="J261">
        <f>IF(G261="","",H261-G261)</f>
        <v/>
      </c>
      <c r="K261">
        <f>IF(G261="","",IF(ABS(G261-H261)&lt;=$B$6*I261,"OK","NG"))</f>
        <v/>
      </c>
      <c r="L261">
        <f>IF(K261="","",IF(K261=D261,1,0))</f>
        <v/>
      </c>
      <c r="M261" t="inlineStr">
        <is>
          <t>S2</t>
        </is>
      </c>
      <c r="N261" s="15" t="n">
        <v>0.9357</v>
      </c>
      <c r="O261" s="15" t="n">
        <v>0.0324</v>
      </c>
      <c r="P261">
        <f>IF(M261="","",IF(M261=E261,1,0))</f>
        <v/>
      </c>
      <c r="Q261">
        <f>IF(K261="OK","-",IF(N261&lt;$B$7,"AMBIGUOUS","CONFIDENT"))</f>
        <v/>
      </c>
    </row>
    <row r="262">
      <c r="A262">
        <f>'Runs Z score'!A254</f>
        <v/>
      </c>
      <c r="B262">
        <f>'Runs Z score'!B254</f>
        <v/>
      </c>
      <c r="C262">
        <f>'Runs Z score'!C254</f>
        <v/>
      </c>
      <c r="D262">
        <f>'Runs Z score'!D254</f>
        <v/>
      </c>
      <c r="E262">
        <f>'Runs Z score'!E254</f>
        <v/>
      </c>
      <c r="F262">
        <f>'Runs Z score'!F254</f>
        <v/>
      </c>
      <c r="G262">
        <f>'Runs Z score'!G254</f>
        <v/>
      </c>
      <c r="H262">
        <f>VLOOKUP(C262,Recipes!$A$2:$N$4,10,FALSE())</f>
        <v/>
      </c>
      <c r="I262">
        <f>VLOOKUP(C262,Recipes!$A$2:$N$4,12,FALSE())</f>
        <v/>
      </c>
      <c r="J262">
        <f>IF(G262="","",H262-G262)</f>
        <v/>
      </c>
      <c r="K262">
        <f>IF(G262="","",IF(ABS(G262-H262)&lt;=$B$6*I262,"OK","NG"))</f>
        <v/>
      </c>
      <c r="L262">
        <f>IF(K262="","",IF(K262=D262,1,0))</f>
        <v/>
      </c>
      <c r="M262" t="inlineStr">
        <is>
          <t>S2</t>
        </is>
      </c>
      <c r="N262" s="15" t="n">
        <v>0.9306</v>
      </c>
      <c r="O262" s="15" t="n">
        <v>0.0371</v>
      </c>
      <c r="P262">
        <f>IF(M262="","",IF(M262=E262,1,0))</f>
        <v/>
      </c>
      <c r="Q262">
        <f>IF(K262="OK","-",IF(N262&lt;$B$7,"AMBIGUOUS","CONFIDENT"))</f>
        <v/>
      </c>
    </row>
    <row r="263">
      <c r="A263">
        <f>'Runs Z score'!A255</f>
        <v/>
      </c>
      <c r="B263">
        <f>'Runs Z score'!B255</f>
        <v/>
      </c>
      <c r="C263">
        <f>'Runs Z score'!C255</f>
        <v/>
      </c>
      <c r="D263">
        <f>'Runs Z score'!D255</f>
        <v/>
      </c>
      <c r="E263">
        <f>'Runs Z score'!E255</f>
        <v/>
      </c>
      <c r="F263">
        <f>'Runs Z score'!F255</f>
        <v/>
      </c>
      <c r="G263">
        <f>'Runs Z score'!G255</f>
        <v/>
      </c>
      <c r="H263">
        <f>VLOOKUP(C263,Recipes!$A$2:$N$4,10,FALSE())</f>
        <v/>
      </c>
      <c r="I263">
        <f>VLOOKUP(C263,Recipes!$A$2:$N$4,12,FALSE())</f>
        <v/>
      </c>
      <c r="J263">
        <f>IF(G263="","",H263-G263)</f>
        <v/>
      </c>
      <c r="K263">
        <f>IF(G263="","",IF(ABS(G263-H263)&lt;=$B$6*I263,"OK","NG"))</f>
        <v/>
      </c>
      <c r="L263">
        <f>IF(K263="","",IF(K263=D263,1,0))</f>
        <v/>
      </c>
      <c r="M263" t="inlineStr">
        <is>
          <t>S2</t>
        </is>
      </c>
      <c r="N263" s="15" t="n">
        <v>0.917</v>
      </c>
      <c r="O263" s="15" t="n">
        <v>0.0494</v>
      </c>
      <c r="P263">
        <f>IF(M263="","",IF(M263=E263,1,0))</f>
        <v/>
      </c>
      <c r="Q263">
        <f>IF(K263="OK","-",IF(N263&lt;$B$7,"AMBIGUOUS","CONFIDENT"))</f>
        <v/>
      </c>
    </row>
    <row r="264">
      <c r="A264">
        <f>'Runs Z score'!A256</f>
        <v/>
      </c>
      <c r="B264">
        <f>'Runs Z score'!B256</f>
        <v/>
      </c>
      <c r="C264">
        <f>'Runs Z score'!C256</f>
        <v/>
      </c>
      <c r="D264">
        <f>'Runs Z score'!D256</f>
        <v/>
      </c>
      <c r="E264">
        <f>'Runs Z score'!E256</f>
        <v/>
      </c>
      <c r="F264">
        <f>'Runs Z score'!F256</f>
        <v/>
      </c>
      <c r="G264">
        <f>'Runs Z score'!G256</f>
        <v/>
      </c>
      <c r="H264">
        <f>VLOOKUP(C264,Recipes!$A$2:$N$4,10,FALSE())</f>
        <v/>
      </c>
      <c r="I264">
        <f>VLOOKUP(C264,Recipes!$A$2:$N$4,12,FALSE())</f>
        <v/>
      </c>
      <c r="J264">
        <f>IF(G264="","",H264-G264)</f>
        <v/>
      </c>
      <c r="K264">
        <f>IF(G264="","",IF(ABS(G264-H264)&lt;=$B$6*I264,"OK","NG"))</f>
        <v/>
      </c>
      <c r="L264">
        <f>IF(K264="","",IF(K264=D264,1,0))</f>
        <v/>
      </c>
      <c r="M264" t="inlineStr">
        <is>
          <t>S2</t>
        </is>
      </c>
      <c r="N264" s="15" t="n">
        <v>0.9245</v>
      </c>
      <c r="O264" s="15" t="n">
        <v>0.0428</v>
      </c>
      <c r="P264">
        <f>IF(M264="","",IF(M264=E264,1,0))</f>
        <v/>
      </c>
      <c r="Q264">
        <f>IF(K264="OK","-",IF(N264&lt;$B$7,"AMBIGUOUS","CONFIDENT"))</f>
        <v/>
      </c>
    </row>
    <row r="265">
      <c r="A265">
        <f>'Runs Z score'!A257</f>
        <v/>
      </c>
      <c r="B265">
        <f>'Runs Z score'!B257</f>
        <v/>
      </c>
      <c r="C265">
        <f>'Runs Z score'!C257</f>
        <v/>
      </c>
      <c r="D265">
        <f>'Runs Z score'!D257</f>
        <v/>
      </c>
      <c r="E265">
        <f>'Runs Z score'!E257</f>
        <v/>
      </c>
      <c r="F265">
        <f>'Runs Z score'!F257</f>
        <v/>
      </c>
      <c r="G265">
        <f>'Runs Z score'!G257</f>
        <v/>
      </c>
      <c r="H265">
        <f>VLOOKUP(C265,Recipes!$A$2:$N$4,10,FALSE())</f>
        <v/>
      </c>
      <c r="I265">
        <f>VLOOKUP(C265,Recipes!$A$2:$N$4,12,FALSE())</f>
        <v/>
      </c>
      <c r="J265">
        <f>IF(G265="","",H265-G265)</f>
        <v/>
      </c>
      <c r="K265">
        <f>IF(G265="","",IF(ABS(G265-H265)&lt;=$B$6*I265,"OK","NG"))</f>
        <v/>
      </c>
      <c r="L265">
        <f>IF(K265="","",IF(K265=D265,1,0))</f>
        <v/>
      </c>
      <c r="M265" t="inlineStr">
        <is>
          <t>S2</t>
        </is>
      </c>
      <c r="N265" s="15" t="n">
        <v>0.9292</v>
      </c>
      <c r="O265" s="15" t="n">
        <v>0.0384</v>
      </c>
      <c r="P265">
        <f>IF(M265="","",IF(M265=E265,1,0))</f>
        <v/>
      </c>
      <c r="Q265">
        <f>IF(K265="OK","-",IF(N265&lt;$B$7,"AMBIGUOUS","CONFIDENT"))</f>
        <v/>
      </c>
    </row>
    <row r="266">
      <c r="A266">
        <f>'Runs Z score'!A258</f>
        <v/>
      </c>
      <c r="B266">
        <f>'Runs Z score'!B258</f>
        <v/>
      </c>
      <c r="C266">
        <f>'Runs Z score'!C258</f>
        <v/>
      </c>
      <c r="D266">
        <f>'Runs Z score'!D258</f>
        <v/>
      </c>
      <c r="E266">
        <f>'Runs Z score'!E258</f>
        <v/>
      </c>
      <c r="F266">
        <f>'Runs Z score'!F258</f>
        <v/>
      </c>
      <c r="G266">
        <f>'Runs Z score'!G258</f>
        <v/>
      </c>
      <c r="H266">
        <f>VLOOKUP(C266,Recipes!$A$2:$N$4,10,FALSE())</f>
        <v/>
      </c>
      <c r="I266">
        <f>VLOOKUP(C266,Recipes!$A$2:$N$4,12,FALSE())</f>
        <v/>
      </c>
      <c r="J266">
        <f>IF(G266="","",H266-G266)</f>
        <v/>
      </c>
      <c r="K266">
        <f>IF(G266="","",IF(ABS(G266-H266)&lt;=$B$6*I266,"OK","NG"))</f>
        <v/>
      </c>
      <c r="L266">
        <f>IF(K266="","",IF(K266=D266,1,0))</f>
        <v/>
      </c>
      <c r="M266" t="inlineStr">
        <is>
          <t>S2</t>
        </is>
      </c>
      <c r="N266" s="15" t="n">
        <v>0.9307</v>
      </c>
      <c r="O266" s="15" t="n">
        <v>0.0371</v>
      </c>
      <c r="P266">
        <f>IF(M266="","",IF(M266=E266,1,0))</f>
        <v/>
      </c>
      <c r="Q266">
        <f>IF(K266="OK","-",IF(N266&lt;$B$7,"AMBIGUOUS","CONFIDENT"))</f>
        <v/>
      </c>
    </row>
    <row r="267">
      <c r="A267">
        <f>'Runs Z score'!A259</f>
        <v/>
      </c>
      <c r="B267">
        <f>'Runs Z score'!B259</f>
        <v/>
      </c>
      <c r="C267">
        <f>'Runs Z score'!C259</f>
        <v/>
      </c>
      <c r="D267">
        <f>'Runs Z score'!D259</f>
        <v/>
      </c>
      <c r="E267">
        <f>'Runs Z score'!E259</f>
        <v/>
      </c>
      <c r="F267">
        <f>'Runs Z score'!F259</f>
        <v/>
      </c>
      <c r="G267">
        <f>'Runs Z score'!G259</f>
        <v/>
      </c>
      <c r="H267">
        <f>VLOOKUP(C267,Recipes!$A$2:$N$4,10,FALSE())</f>
        <v/>
      </c>
      <c r="I267">
        <f>VLOOKUP(C267,Recipes!$A$2:$N$4,12,FALSE())</f>
        <v/>
      </c>
      <c r="J267">
        <f>IF(G267="","",H267-G267)</f>
        <v/>
      </c>
      <c r="K267">
        <f>IF(G267="","",IF(ABS(G267-H267)&lt;=$B$6*I267,"OK","NG"))</f>
        <v/>
      </c>
      <c r="L267">
        <f>IF(K267="","",IF(K267=D267,1,0))</f>
        <v/>
      </c>
      <c r="M267" t="inlineStr">
        <is>
          <t>S2</t>
        </is>
      </c>
      <c r="N267" s="15" t="n">
        <v>0.9244</v>
      </c>
      <c r="O267" s="15" t="n">
        <v>0.0428</v>
      </c>
      <c r="P267">
        <f>IF(M267="","",IF(M267=E267,1,0))</f>
        <v/>
      </c>
      <c r="Q267">
        <f>IF(K267="OK","-",IF(N267&lt;$B$7,"AMBIGUOUS","CONFIDENT"))</f>
        <v/>
      </c>
    </row>
    <row r="268">
      <c r="A268">
        <f>'Runs Z score'!A260</f>
        <v/>
      </c>
      <c r="B268">
        <f>'Runs Z score'!B260</f>
        <v/>
      </c>
      <c r="C268">
        <f>'Runs Z score'!C260</f>
        <v/>
      </c>
      <c r="D268">
        <f>'Runs Z score'!D260</f>
        <v/>
      </c>
      <c r="E268">
        <f>'Runs Z score'!E260</f>
        <v/>
      </c>
      <c r="F268">
        <f>'Runs Z score'!F260</f>
        <v/>
      </c>
      <c r="G268">
        <f>'Runs Z score'!G260</f>
        <v/>
      </c>
      <c r="H268">
        <f>VLOOKUP(C268,Recipes!$A$2:$N$4,10,FALSE())</f>
        <v/>
      </c>
      <c r="I268">
        <f>VLOOKUP(C268,Recipes!$A$2:$N$4,12,FALSE())</f>
        <v/>
      </c>
      <c r="J268">
        <f>IF(G268="","",H268-G268)</f>
        <v/>
      </c>
      <c r="K268">
        <f>IF(G268="","",IF(ABS(G268-H268)&lt;=$B$6*I268,"OK","NG"))</f>
        <v/>
      </c>
      <c r="L268">
        <f>IF(K268="","",IF(K268=D268,1,0))</f>
        <v/>
      </c>
      <c r="M268" t="inlineStr">
        <is>
          <t>S2</t>
        </is>
      </c>
      <c r="N268" s="15" t="n">
        <v>0.9476</v>
      </c>
      <c r="O268" s="15" t="n">
        <v>0.0206</v>
      </c>
      <c r="P268">
        <f>IF(M268="","",IF(M268=E268,1,0))</f>
        <v/>
      </c>
      <c r="Q268">
        <f>IF(K268="OK","-",IF(N268&lt;$B$7,"AMBIGUOUS","CONFIDENT"))</f>
        <v/>
      </c>
    </row>
    <row r="269">
      <c r="A269">
        <f>'Runs Z score'!A261</f>
        <v/>
      </c>
      <c r="B269">
        <f>'Runs Z score'!B261</f>
        <v/>
      </c>
      <c r="C269">
        <f>'Runs Z score'!C261</f>
        <v/>
      </c>
      <c r="D269">
        <f>'Runs Z score'!D261</f>
        <v/>
      </c>
      <c r="E269">
        <f>'Runs Z score'!E261</f>
        <v/>
      </c>
      <c r="F269">
        <f>'Runs Z score'!F261</f>
        <v/>
      </c>
      <c r="G269">
        <f>'Runs Z score'!G261</f>
        <v/>
      </c>
      <c r="H269">
        <f>VLOOKUP(C269,Recipes!$A$2:$N$4,10,FALSE())</f>
        <v/>
      </c>
      <c r="I269">
        <f>VLOOKUP(C269,Recipes!$A$2:$N$4,12,FALSE())</f>
        <v/>
      </c>
      <c r="J269">
        <f>IF(G269="","",H269-G269)</f>
        <v/>
      </c>
      <c r="K269">
        <f>IF(G269="","",IF(ABS(G269-H269)&lt;=$B$6*I269,"OK","NG"))</f>
        <v/>
      </c>
      <c r="L269">
        <f>IF(K269="","",IF(K269=D269,1,0))</f>
        <v/>
      </c>
      <c r="M269" t="inlineStr">
        <is>
          <t>S2</t>
        </is>
      </c>
      <c r="N269" s="15" t="n">
        <v>0.9320000000000001</v>
      </c>
      <c r="O269" s="15" t="n">
        <v>0.0359</v>
      </c>
      <c r="P269">
        <f>IF(M269="","",IF(M269=E269,1,0))</f>
        <v/>
      </c>
      <c r="Q269">
        <f>IF(K269="OK","-",IF(N269&lt;$B$7,"AMBIGUOUS","CONFIDENT"))</f>
        <v/>
      </c>
    </row>
    <row r="270">
      <c r="A270">
        <f>'Runs Z score'!A262</f>
        <v/>
      </c>
      <c r="B270">
        <f>'Runs Z score'!B262</f>
        <v/>
      </c>
      <c r="C270">
        <f>'Runs Z score'!C262</f>
        <v/>
      </c>
      <c r="D270">
        <f>'Runs Z score'!D262</f>
        <v/>
      </c>
      <c r="E270">
        <f>'Runs Z score'!E262</f>
        <v/>
      </c>
      <c r="F270">
        <f>'Runs Z score'!F262</f>
        <v/>
      </c>
      <c r="G270">
        <f>'Runs Z score'!G262</f>
        <v/>
      </c>
      <c r="H270">
        <f>VLOOKUP(C270,Recipes!$A$2:$N$4,10,FALSE())</f>
        <v/>
      </c>
      <c r="I270">
        <f>VLOOKUP(C270,Recipes!$A$2:$N$4,12,FALSE())</f>
        <v/>
      </c>
      <c r="J270">
        <f>IF(G270="","",H270-G270)</f>
        <v/>
      </c>
      <c r="K270">
        <f>IF(G270="","",IF(ABS(G270-H270)&lt;=$B$6*I270,"OK","NG"))</f>
        <v/>
      </c>
      <c r="L270">
        <f>IF(K270="","",IF(K270=D270,1,0))</f>
        <v/>
      </c>
      <c r="M270" t="inlineStr">
        <is>
          <t>S2</t>
        </is>
      </c>
      <c r="N270" s="15" t="n">
        <v>0.9431</v>
      </c>
      <c r="O270" s="15" t="n">
        <v>0.0254</v>
      </c>
      <c r="P270">
        <f>IF(M270="","",IF(M270=E270,1,0))</f>
        <v/>
      </c>
      <c r="Q270">
        <f>IF(K270="OK","-",IF(N270&lt;$B$7,"AMBIGUOUS","CONFIDENT"))</f>
        <v/>
      </c>
    </row>
    <row r="271">
      <c r="A271">
        <f>'Runs Z score'!A263</f>
        <v/>
      </c>
      <c r="B271">
        <f>'Runs Z score'!B263</f>
        <v/>
      </c>
      <c r="C271">
        <f>'Runs Z score'!C263</f>
        <v/>
      </c>
      <c r="D271">
        <f>'Runs Z score'!D263</f>
        <v/>
      </c>
      <c r="E271">
        <f>'Runs Z score'!E263</f>
        <v/>
      </c>
      <c r="F271">
        <f>'Runs Z score'!F263</f>
        <v/>
      </c>
      <c r="G271">
        <f>'Runs Z score'!G263</f>
        <v/>
      </c>
      <c r="H271">
        <f>VLOOKUP(C271,Recipes!$A$2:$N$4,10,FALSE())</f>
        <v/>
      </c>
      <c r="I271">
        <f>VLOOKUP(C271,Recipes!$A$2:$N$4,12,FALSE())</f>
        <v/>
      </c>
      <c r="J271">
        <f>IF(G271="","",H271-G271)</f>
        <v/>
      </c>
      <c r="K271">
        <f>IF(G271="","",IF(ABS(G271-H271)&lt;=$B$6*I271,"OK","NG"))</f>
        <v/>
      </c>
      <c r="L271">
        <f>IF(K271="","",IF(K271=D271,1,0))</f>
        <v/>
      </c>
      <c r="M271" t="inlineStr">
        <is>
          <t>S2</t>
        </is>
      </c>
      <c r="N271" s="15" t="n">
        <v>0.9208</v>
      </c>
      <c r="O271" s="15" t="n">
        <v>0.0459</v>
      </c>
      <c r="P271">
        <f>IF(M271="","",IF(M271=E271,1,0))</f>
        <v/>
      </c>
      <c r="Q271">
        <f>IF(K271="OK","-",IF(N271&lt;$B$7,"AMBIGUOUS","CONFIDENT"))</f>
        <v/>
      </c>
    </row>
    <row r="272">
      <c r="A272">
        <f>'Runs Z score'!A264</f>
        <v/>
      </c>
      <c r="B272">
        <f>'Runs Z score'!B264</f>
        <v/>
      </c>
      <c r="C272">
        <f>'Runs Z score'!C264</f>
        <v/>
      </c>
      <c r="D272">
        <f>'Runs Z score'!D264</f>
        <v/>
      </c>
      <c r="E272">
        <f>'Runs Z score'!E264</f>
        <v/>
      </c>
      <c r="F272">
        <f>'Runs Z score'!F264</f>
        <v/>
      </c>
      <c r="G272">
        <f>'Runs Z score'!G264</f>
        <v/>
      </c>
      <c r="H272">
        <f>VLOOKUP(C272,Recipes!$A$2:$N$4,10,FALSE())</f>
        <v/>
      </c>
      <c r="I272">
        <f>VLOOKUP(C272,Recipes!$A$2:$N$4,12,FALSE())</f>
        <v/>
      </c>
      <c r="J272">
        <f>IF(G272="","",H272-G272)</f>
        <v/>
      </c>
      <c r="K272">
        <f>IF(G272="","",IF(ABS(G272-H272)&lt;=$B$6*I272,"OK","NG"))</f>
        <v/>
      </c>
      <c r="L272">
        <f>IF(K272="","",IF(K272=D272,1,0))</f>
        <v/>
      </c>
      <c r="M272" t="inlineStr">
        <is>
          <t>S2</t>
        </is>
      </c>
      <c r="N272" s="15" t="n">
        <v>0.9368</v>
      </c>
      <c r="O272" s="15" t="n">
        <v>0.0313</v>
      </c>
      <c r="P272">
        <f>IF(M272="","",IF(M272=E272,1,0))</f>
        <v/>
      </c>
      <c r="Q272">
        <f>IF(K272="OK","-",IF(N272&lt;$B$7,"AMBIGUOUS","CONFIDENT"))</f>
        <v/>
      </c>
    </row>
    <row r="273">
      <c r="A273">
        <f>'Runs Z score'!A265</f>
        <v/>
      </c>
      <c r="B273">
        <f>'Runs Z score'!B265</f>
        <v/>
      </c>
      <c r="C273">
        <f>'Runs Z score'!C265</f>
        <v/>
      </c>
      <c r="D273">
        <f>'Runs Z score'!D265</f>
        <v/>
      </c>
      <c r="E273">
        <f>'Runs Z score'!E265</f>
        <v/>
      </c>
      <c r="F273">
        <f>'Runs Z score'!F265</f>
        <v/>
      </c>
      <c r="G273">
        <f>'Runs Z score'!G265</f>
        <v/>
      </c>
      <c r="H273">
        <f>VLOOKUP(C273,Recipes!$A$2:$N$4,10,FALSE())</f>
        <v/>
      </c>
      <c r="I273">
        <f>VLOOKUP(C273,Recipes!$A$2:$N$4,12,FALSE())</f>
        <v/>
      </c>
      <c r="J273">
        <f>IF(G273="","",H273-G273)</f>
        <v/>
      </c>
      <c r="K273">
        <f>IF(G273="","",IF(ABS(G273-H273)&lt;=$B$6*I273,"OK","NG"))</f>
        <v/>
      </c>
      <c r="L273">
        <f>IF(K273="","",IF(K273=D273,1,0))</f>
        <v/>
      </c>
      <c r="M273" t="inlineStr">
        <is>
          <t>S2</t>
        </is>
      </c>
      <c r="N273" s="15" t="n">
        <v>0.9326</v>
      </c>
      <c r="O273" s="15" t="n">
        <v>0.0348</v>
      </c>
      <c r="P273">
        <f>IF(M273="","",IF(M273=E273,1,0))</f>
        <v/>
      </c>
      <c r="Q273">
        <f>IF(K273="OK","-",IF(N273&lt;$B$7,"AMBIGUOUS","CONFIDENT"))</f>
        <v/>
      </c>
    </row>
    <row r="274">
      <c r="A274">
        <f>'Runs Z score'!A266</f>
        <v/>
      </c>
      <c r="B274">
        <f>'Runs Z score'!B266</f>
        <v/>
      </c>
      <c r="C274">
        <f>'Runs Z score'!C266</f>
        <v/>
      </c>
      <c r="D274">
        <f>'Runs Z score'!D266</f>
        <v/>
      </c>
      <c r="E274">
        <f>'Runs Z score'!E266</f>
        <v/>
      </c>
      <c r="F274">
        <f>'Runs Z score'!F266</f>
        <v/>
      </c>
      <c r="G274">
        <f>'Runs Z score'!G266</f>
        <v/>
      </c>
      <c r="H274">
        <f>VLOOKUP(C274,Recipes!$A$2:$N$4,10,FALSE())</f>
        <v/>
      </c>
      <c r="I274">
        <f>VLOOKUP(C274,Recipes!$A$2:$N$4,12,FALSE())</f>
        <v/>
      </c>
      <c r="J274">
        <f>IF(G274="","",H274-G274)</f>
        <v/>
      </c>
      <c r="K274">
        <f>IF(G274="","",IF(ABS(G274-H274)&lt;=$B$6*I274,"OK","NG"))</f>
        <v/>
      </c>
      <c r="L274">
        <f>IF(K274="","",IF(K274=D274,1,0))</f>
        <v/>
      </c>
      <c r="M274" t="inlineStr">
        <is>
          <t>S2</t>
        </is>
      </c>
      <c r="N274" s="15" t="n">
        <v>0.9407</v>
      </c>
      <c r="O274" s="15" t="n">
        <v>0.0277</v>
      </c>
      <c r="P274">
        <f>IF(M274="","",IF(M274=E274,1,0))</f>
        <v/>
      </c>
      <c r="Q274">
        <f>IF(K274="OK","-",IF(N274&lt;$B$7,"AMBIGUOUS","CONFIDENT"))</f>
        <v/>
      </c>
    </row>
    <row r="275">
      <c r="A275">
        <f>'Runs Z score'!A267</f>
        <v/>
      </c>
      <c r="B275">
        <f>'Runs Z score'!B267</f>
        <v/>
      </c>
      <c r="C275">
        <f>'Runs Z score'!C267</f>
        <v/>
      </c>
      <c r="D275">
        <f>'Runs Z score'!D267</f>
        <v/>
      </c>
      <c r="E275">
        <f>'Runs Z score'!E267</f>
        <v/>
      </c>
      <c r="F275">
        <f>'Runs Z score'!F267</f>
        <v/>
      </c>
      <c r="G275">
        <f>'Runs Z score'!G267</f>
        <v/>
      </c>
      <c r="H275">
        <f>VLOOKUP(C275,Recipes!$A$2:$N$4,10,FALSE())</f>
        <v/>
      </c>
      <c r="I275">
        <f>VLOOKUP(C275,Recipes!$A$2:$N$4,12,FALSE())</f>
        <v/>
      </c>
      <c r="J275">
        <f>IF(G275="","",H275-G275)</f>
        <v/>
      </c>
      <c r="K275">
        <f>IF(G275="","",IF(ABS(G275-H275)&lt;=$B$6*I275,"OK","NG"))</f>
        <v/>
      </c>
      <c r="L275">
        <f>IF(K275="","",IF(K275=D275,1,0))</f>
        <v/>
      </c>
      <c r="M275" t="inlineStr">
        <is>
          <t>S2</t>
        </is>
      </c>
      <c r="N275" s="15" t="n">
        <v>0.9258</v>
      </c>
      <c r="O275" s="15" t="n">
        <v>0.0412</v>
      </c>
      <c r="P275">
        <f>IF(M275="","",IF(M275=E275,1,0))</f>
        <v/>
      </c>
      <c r="Q275">
        <f>IF(K275="OK","-",IF(N275&lt;$B$7,"AMBIGUOUS","CONFIDENT"))</f>
        <v/>
      </c>
    </row>
    <row r="276">
      <c r="A276">
        <f>'Runs Z score'!A268</f>
        <v/>
      </c>
      <c r="B276">
        <f>'Runs Z score'!B268</f>
        <v/>
      </c>
      <c r="C276">
        <f>'Runs Z score'!C268</f>
        <v/>
      </c>
      <c r="D276">
        <f>'Runs Z score'!D268</f>
        <v/>
      </c>
      <c r="E276">
        <f>'Runs Z score'!E268</f>
        <v/>
      </c>
      <c r="F276">
        <f>'Runs Z score'!F268</f>
        <v/>
      </c>
      <c r="G276">
        <f>'Runs Z score'!G268</f>
        <v/>
      </c>
      <c r="H276">
        <f>VLOOKUP(C276,Recipes!$A$2:$N$4,10,FALSE())</f>
        <v/>
      </c>
      <c r="I276">
        <f>VLOOKUP(C276,Recipes!$A$2:$N$4,12,FALSE())</f>
        <v/>
      </c>
      <c r="J276">
        <f>IF(G276="","",H276-G276)</f>
        <v/>
      </c>
      <c r="K276">
        <f>IF(G276="","",IF(ABS(G276-H276)&lt;=$B$6*I276,"OK","NG"))</f>
        <v/>
      </c>
      <c r="L276">
        <f>IF(K276="","",IF(K276=D276,1,0))</f>
        <v/>
      </c>
      <c r="M276" t="inlineStr">
        <is>
          <t>S2</t>
        </is>
      </c>
      <c r="N276" s="15" t="n">
        <v>0.9231</v>
      </c>
      <c r="O276" s="15" t="n">
        <v>0.0441</v>
      </c>
      <c r="P276">
        <f>IF(M276="","",IF(M276=E276,1,0))</f>
        <v/>
      </c>
      <c r="Q276">
        <f>IF(K276="OK","-",IF(N276&lt;$B$7,"AMBIGUOUS","CONFIDENT"))</f>
        <v/>
      </c>
    </row>
    <row r="277">
      <c r="A277">
        <f>'Runs Z score'!A269</f>
        <v/>
      </c>
      <c r="B277">
        <f>'Runs Z score'!B269</f>
        <v/>
      </c>
      <c r="C277">
        <f>'Runs Z score'!C269</f>
        <v/>
      </c>
      <c r="D277">
        <f>'Runs Z score'!D269</f>
        <v/>
      </c>
      <c r="E277">
        <f>'Runs Z score'!E269</f>
        <v/>
      </c>
      <c r="F277">
        <f>'Runs Z score'!F269</f>
        <v/>
      </c>
      <c r="G277">
        <f>'Runs Z score'!G269</f>
        <v/>
      </c>
      <c r="H277">
        <f>VLOOKUP(C277,Recipes!$A$2:$N$4,10,FALSE())</f>
        <v/>
      </c>
      <c r="I277">
        <f>VLOOKUP(C277,Recipes!$A$2:$N$4,12,FALSE())</f>
        <v/>
      </c>
      <c r="J277">
        <f>IF(G277="","",H277-G277)</f>
        <v/>
      </c>
      <c r="K277">
        <f>IF(G277="","",IF(ABS(G277-H277)&lt;=$B$6*I277,"OK","NG"))</f>
        <v/>
      </c>
      <c r="L277">
        <f>IF(K277="","",IF(K277=D277,1,0))</f>
        <v/>
      </c>
      <c r="M277" t="inlineStr">
        <is>
          <t>S2</t>
        </is>
      </c>
      <c r="N277" s="15" t="n">
        <v>0.9265</v>
      </c>
      <c r="O277" s="15" t="n">
        <v>0.041</v>
      </c>
      <c r="P277">
        <f>IF(M277="","",IF(M277=E277,1,0))</f>
        <v/>
      </c>
      <c r="Q277">
        <f>IF(K277="OK","-",IF(N277&lt;$B$7,"AMBIGUOUS","CONFIDENT"))</f>
        <v/>
      </c>
    </row>
    <row r="278">
      <c r="A278">
        <f>'Runs Z score'!A270</f>
        <v/>
      </c>
      <c r="B278">
        <f>'Runs Z score'!B270</f>
        <v/>
      </c>
      <c r="C278">
        <f>'Runs Z score'!C270</f>
        <v/>
      </c>
      <c r="D278">
        <f>'Runs Z score'!D270</f>
        <v/>
      </c>
      <c r="E278">
        <f>'Runs Z score'!E270</f>
        <v/>
      </c>
      <c r="F278">
        <f>'Runs Z score'!F270</f>
        <v/>
      </c>
      <c r="G278">
        <f>'Runs Z score'!G270</f>
        <v/>
      </c>
      <c r="H278">
        <f>VLOOKUP(C278,Recipes!$A$2:$N$4,10,FALSE())</f>
        <v/>
      </c>
      <c r="I278">
        <f>VLOOKUP(C278,Recipes!$A$2:$N$4,12,FALSE())</f>
        <v/>
      </c>
      <c r="J278">
        <f>IF(G278="","",H278-G278)</f>
        <v/>
      </c>
      <c r="K278">
        <f>IF(G278="","",IF(ABS(G278-H278)&lt;=$B$6*I278,"OK","NG"))</f>
        <v/>
      </c>
      <c r="L278">
        <f>IF(K278="","",IF(K278=D278,1,0))</f>
        <v/>
      </c>
      <c r="M278" t="inlineStr">
        <is>
          <t>S2</t>
        </is>
      </c>
      <c r="N278" s="15" t="n">
        <v>0.9265</v>
      </c>
      <c r="O278" s="15" t="n">
        <v>0.041</v>
      </c>
      <c r="P278">
        <f>IF(M278="","",IF(M278=E278,1,0))</f>
        <v/>
      </c>
      <c r="Q278">
        <f>IF(K278="OK","-",IF(N278&lt;$B$7,"AMBIGUOUS","CONFIDENT"))</f>
        <v/>
      </c>
    </row>
    <row r="279">
      <c r="A279">
        <f>'Runs Z score'!A271</f>
        <v/>
      </c>
      <c r="B279">
        <f>'Runs Z score'!B271</f>
        <v/>
      </c>
      <c r="C279">
        <f>'Runs Z score'!C271</f>
        <v/>
      </c>
      <c r="D279">
        <f>'Runs Z score'!D271</f>
        <v/>
      </c>
      <c r="E279">
        <f>'Runs Z score'!E271</f>
        <v/>
      </c>
      <c r="F279">
        <f>'Runs Z score'!F271</f>
        <v/>
      </c>
      <c r="G279">
        <f>'Runs Z score'!G271</f>
        <v/>
      </c>
      <c r="H279">
        <f>VLOOKUP(C279,Recipes!$A$2:$N$4,10,FALSE())</f>
        <v/>
      </c>
      <c r="I279">
        <f>VLOOKUP(C279,Recipes!$A$2:$N$4,12,FALSE())</f>
        <v/>
      </c>
      <c r="J279">
        <f>IF(G279="","",H279-G279)</f>
        <v/>
      </c>
      <c r="K279">
        <f>IF(G279="","",IF(ABS(G279-H279)&lt;=$B$6*I279,"OK","NG"))</f>
        <v/>
      </c>
      <c r="L279">
        <f>IF(K279="","",IF(K279=D279,1,0))</f>
        <v/>
      </c>
      <c r="M279" t="inlineStr">
        <is>
          <t>S2</t>
        </is>
      </c>
      <c r="N279" s="15" t="n">
        <v>0.9248</v>
      </c>
      <c r="O279" s="15" t="n">
        <v>0.0425</v>
      </c>
      <c r="P279">
        <f>IF(M279="","",IF(M279=E279,1,0))</f>
        <v/>
      </c>
      <c r="Q279">
        <f>IF(K279="OK","-",IF(N279&lt;$B$7,"AMBIGUOUS","CONFIDENT"))</f>
        <v/>
      </c>
    </row>
    <row r="280">
      <c r="A280">
        <f>'Runs Z score'!A272</f>
        <v/>
      </c>
      <c r="B280">
        <f>'Runs Z score'!B272</f>
        <v/>
      </c>
      <c r="C280">
        <f>'Runs Z score'!C272</f>
        <v/>
      </c>
      <c r="D280">
        <f>'Runs Z score'!D272</f>
        <v/>
      </c>
      <c r="E280">
        <f>'Runs Z score'!E272</f>
        <v/>
      </c>
      <c r="F280">
        <f>'Runs Z score'!F272</f>
        <v/>
      </c>
      <c r="G280">
        <f>'Runs Z score'!G272</f>
        <v/>
      </c>
      <c r="H280">
        <f>VLOOKUP(C280,Recipes!$A$2:$N$4,10,FALSE())</f>
        <v/>
      </c>
      <c r="I280">
        <f>VLOOKUP(C280,Recipes!$A$2:$N$4,12,FALSE())</f>
        <v/>
      </c>
      <c r="J280">
        <f>IF(G280="","",H280-G280)</f>
        <v/>
      </c>
      <c r="K280">
        <f>IF(G280="","",IF(ABS(G280-H280)&lt;=$B$6*I280,"OK","NG"))</f>
        <v/>
      </c>
      <c r="L280">
        <f>IF(K280="","",IF(K280=D280,1,0))</f>
        <v/>
      </c>
      <c r="M280" t="inlineStr">
        <is>
          <t>S2</t>
        </is>
      </c>
      <c r="N280" s="15" t="n">
        <v>0.9244</v>
      </c>
      <c r="O280" s="15" t="n">
        <v>0.0428</v>
      </c>
      <c r="P280">
        <f>IF(M280="","",IF(M280=E280,1,0))</f>
        <v/>
      </c>
      <c r="Q280">
        <f>IF(K280="OK","-",IF(N280&lt;$B$7,"AMBIGUOUS","CONFIDENT"))</f>
        <v/>
      </c>
    </row>
    <row r="281">
      <c r="A281">
        <f>'Runs Z score'!A273</f>
        <v/>
      </c>
      <c r="B281">
        <f>'Runs Z score'!B273</f>
        <v/>
      </c>
      <c r="C281">
        <f>'Runs Z score'!C273</f>
        <v/>
      </c>
      <c r="D281">
        <f>'Runs Z score'!D273</f>
        <v/>
      </c>
      <c r="E281">
        <f>'Runs Z score'!E273</f>
        <v/>
      </c>
      <c r="F281">
        <f>'Runs Z score'!F273</f>
        <v/>
      </c>
      <c r="G281">
        <f>'Runs Z score'!G273</f>
        <v/>
      </c>
      <c r="H281">
        <f>VLOOKUP(C281,Recipes!$A$2:$N$4,10,FALSE())</f>
        <v/>
      </c>
      <c r="I281">
        <f>VLOOKUP(C281,Recipes!$A$2:$N$4,12,FALSE())</f>
        <v/>
      </c>
      <c r="J281">
        <f>IF(G281="","",H281-G281)</f>
        <v/>
      </c>
      <c r="K281">
        <f>IF(G281="","",IF(ABS(G281-H281)&lt;=$B$6*I281,"OK","NG"))</f>
        <v/>
      </c>
      <c r="L281">
        <f>IF(K281="","",IF(K281=D281,1,0))</f>
        <v/>
      </c>
      <c r="M281" t="inlineStr">
        <is>
          <t>NONE</t>
        </is>
      </c>
      <c r="N281" s="15" t="n">
        <v>1</v>
      </c>
      <c r="O281" s="15" t="n">
        <v>0</v>
      </c>
      <c r="P281">
        <f>IF(M281="","",IF(M281=E281,1,0))</f>
        <v/>
      </c>
      <c r="Q281">
        <f>IF(K281="OK","-",IF(N281&lt;$B$7,"AMBIGUOUS","CONFIDENT"))</f>
        <v/>
      </c>
    </row>
    <row r="282">
      <c r="A282">
        <f>'Runs Z score'!A274</f>
        <v/>
      </c>
      <c r="B282">
        <f>'Runs Z score'!B274</f>
        <v/>
      </c>
      <c r="C282">
        <f>'Runs Z score'!C274</f>
        <v/>
      </c>
      <c r="D282">
        <f>'Runs Z score'!D274</f>
        <v/>
      </c>
      <c r="E282">
        <f>'Runs Z score'!E274</f>
        <v/>
      </c>
      <c r="F282">
        <f>'Runs Z score'!F274</f>
        <v/>
      </c>
      <c r="G282">
        <f>'Runs Z score'!G274</f>
        <v/>
      </c>
      <c r="H282">
        <f>VLOOKUP(C282,Recipes!$A$2:$N$4,10,FALSE())</f>
        <v/>
      </c>
      <c r="I282">
        <f>VLOOKUP(C282,Recipes!$A$2:$N$4,12,FALSE())</f>
        <v/>
      </c>
      <c r="J282">
        <f>IF(G282="","",H282-G282)</f>
        <v/>
      </c>
      <c r="K282">
        <f>IF(G282="","",IF(ABS(G282-H282)&lt;=$B$6*I282,"OK","NG"))</f>
        <v/>
      </c>
      <c r="L282">
        <f>IF(K282="","",IF(K282=D282,1,0))</f>
        <v/>
      </c>
      <c r="M282" t="inlineStr">
        <is>
          <t>NONE</t>
        </is>
      </c>
      <c r="N282" s="15" t="n">
        <v>1</v>
      </c>
      <c r="O282" s="15" t="n">
        <v>0</v>
      </c>
      <c r="P282">
        <f>IF(M282="","",IF(M282=E282,1,0))</f>
        <v/>
      </c>
      <c r="Q282">
        <f>IF(K282="OK","-",IF(N282&lt;$B$7,"AMBIGUOUS","CONFIDENT"))</f>
        <v/>
      </c>
    </row>
    <row r="283">
      <c r="A283">
        <f>'Runs Z score'!A275</f>
        <v/>
      </c>
      <c r="B283">
        <f>'Runs Z score'!B275</f>
        <v/>
      </c>
      <c r="C283">
        <f>'Runs Z score'!C275</f>
        <v/>
      </c>
      <c r="D283">
        <f>'Runs Z score'!D275</f>
        <v/>
      </c>
      <c r="E283">
        <f>'Runs Z score'!E275</f>
        <v/>
      </c>
      <c r="F283">
        <f>'Runs Z score'!F275</f>
        <v/>
      </c>
      <c r="G283">
        <f>'Runs Z score'!G275</f>
        <v/>
      </c>
      <c r="H283">
        <f>VLOOKUP(C283,Recipes!$A$2:$N$4,10,FALSE())</f>
        <v/>
      </c>
      <c r="I283">
        <f>VLOOKUP(C283,Recipes!$A$2:$N$4,12,FALSE())</f>
        <v/>
      </c>
      <c r="J283">
        <f>IF(G283="","",H283-G283)</f>
        <v/>
      </c>
      <c r="K283">
        <f>IF(G283="","",IF(ABS(G283-H283)&lt;=$B$6*I283,"OK","NG"))</f>
        <v/>
      </c>
      <c r="L283">
        <f>IF(K283="","",IF(K283=D283,1,0))</f>
        <v/>
      </c>
      <c r="M283" t="inlineStr">
        <is>
          <t>NONE</t>
        </is>
      </c>
      <c r="N283" s="15" t="n">
        <v>1</v>
      </c>
      <c r="O283" s="15" t="n">
        <v>0</v>
      </c>
      <c r="P283">
        <f>IF(M283="","",IF(M283=E283,1,0))</f>
        <v/>
      </c>
      <c r="Q283">
        <f>IF(K283="OK","-",IF(N283&lt;$B$7,"AMBIGUOUS","CONFIDENT"))</f>
        <v/>
      </c>
    </row>
    <row r="284">
      <c r="A284">
        <f>'Runs Z score'!A276</f>
        <v/>
      </c>
      <c r="B284">
        <f>'Runs Z score'!B276</f>
        <v/>
      </c>
      <c r="C284">
        <f>'Runs Z score'!C276</f>
        <v/>
      </c>
      <c r="D284">
        <f>'Runs Z score'!D276</f>
        <v/>
      </c>
      <c r="E284">
        <f>'Runs Z score'!E276</f>
        <v/>
      </c>
      <c r="F284">
        <f>'Runs Z score'!F276</f>
        <v/>
      </c>
      <c r="G284">
        <f>'Runs Z score'!G276</f>
        <v/>
      </c>
      <c r="H284">
        <f>VLOOKUP(C284,Recipes!$A$2:$N$4,10,FALSE())</f>
        <v/>
      </c>
      <c r="I284">
        <f>VLOOKUP(C284,Recipes!$A$2:$N$4,12,FALSE())</f>
        <v/>
      </c>
      <c r="J284">
        <f>IF(G284="","",H284-G284)</f>
        <v/>
      </c>
      <c r="K284">
        <f>IF(G284="","",IF(ABS(G284-H284)&lt;=$B$6*I284,"OK","NG"))</f>
        <v/>
      </c>
      <c r="L284">
        <f>IF(K284="","",IF(K284=D284,1,0))</f>
        <v/>
      </c>
      <c r="M284" t="inlineStr">
        <is>
          <t>NONE</t>
        </is>
      </c>
      <c r="N284" s="15" t="n">
        <v>1</v>
      </c>
      <c r="O284" s="15" t="n">
        <v>0</v>
      </c>
      <c r="P284">
        <f>IF(M284="","",IF(M284=E284,1,0))</f>
        <v/>
      </c>
      <c r="Q284">
        <f>IF(K284="OK","-",IF(N284&lt;$B$7,"AMBIGUOUS","CONFIDENT"))</f>
        <v/>
      </c>
    </row>
    <row r="285">
      <c r="A285">
        <f>'Runs Z score'!A277</f>
        <v/>
      </c>
      <c r="B285">
        <f>'Runs Z score'!B277</f>
        <v/>
      </c>
      <c r="C285">
        <f>'Runs Z score'!C277</f>
        <v/>
      </c>
      <c r="D285">
        <f>'Runs Z score'!D277</f>
        <v/>
      </c>
      <c r="E285">
        <f>'Runs Z score'!E277</f>
        <v/>
      </c>
      <c r="F285">
        <f>'Runs Z score'!F277</f>
        <v/>
      </c>
      <c r="G285">
        <f>'Runs Z score'!G277</f>
        <v/>
      </c>
      <c r="H285">
        <f>VLOOKUP(C285,Recipes!$A$2:$N$4,10,FALSE())</f>
        <v/>
      </c>
      <c r="I285">
        <f>VLOOKUP(C285,Recipes!$A$2:$N$4,12,FALSE())</f>
        <v/>
      </c>
      <c r="J285">
        <f>IF(G285="","",H285-G285)</f>
        <v/>
      </c>
      <c r="K285">
        <f>IF(G285="","",IF(ABS(G285-H285)&lt;=$B$6*I285,"OK","NG"))</f>
        <v/>
      </c>
      <c r="L285">
        <f>IF(K285="","",IF(K285=D285,1,0))</f>
        <v/>
      </c>
      <c r="M285" t="inlineStr">
        <is>
          <t>NONE</t>
        </is>
      </c>
      <c r="N285" s="15" t="n">
        <v>1</v>
      </c>
      <c r="O285" s="15" t="n">
        <v>0</v>
      </c>
      <c r="P285">
        <f>IF(M285="","",IF(M285=E285,1,0))</f>
        <v/>
      </c>
      <c r="Q285">
        <f>IF(K285="OK","-",IF(N285&lt;$B$7,"AMBIGUOUS","CONFIDENT"))</f>
        <v/>
      </c>
    </row>
    <row r="286">
      <c r="A286">
        <f>'Runs Z score'!A278</f>
        <v/>
      </c>
      <c r="B286">
        <f>'Runs Z score'!B278</f>
        <v/>
      </c>
      <c r="C286">
        <f>'Runs Z score'!C278</f>
        <v/>
      </c>
      <c r="D286">
        <f>'Runs Z score'!D278</f>
        <v/>
      </c>
      <c r="E286">
        <f>'Runs Z score'!E278</f>
        <v/>
      </c>
      <c r="F286">
        <f>'Runs Z score'!F278</f>
        <v/>
      </c>
      <c r="G286">
        <f>'Runs Z score'!G278</f>
        <v/>
      </c>
      <c r="H286">
        <f>VLOOKUP(C286,Recipes!$A$2:$N$4,10,FALSE())</f>
        <v/>
      </c>
      <c r="I286">
        <f>VLOOKUP(C286,Recipes!$A$2:$N$4,12,FALSE())</f>
        <v/>
      </c>
      <c r="J286">
        <f>IF(G286="","",H286-G286)</f>
        <v/>
      </c>
      <c r="K286">
        <f>IF(G286="","",IF(ABS(G286-H286)&lt;=$B$6*I286,"OK","NG"))</f>
        <v/>
      </c>
      <c r="L286">
        <f>IF(K286="","",IF(K286=D286,1,0))</f>
        <v/>
      </c>
      <c r="M286" t="inlineStr">
        <is>
          <t>NONE</t>
        </is>
      </c>
      <c r="N286" s="15" t="n">
        <v>1</v>
      </c>
      <c r="O286" s="15" t="n">
        <v>0</v>
      </c>
      <c r="P286">
        <f>IF(M286="","",IF(M286=E286,1,0))</f>
        <v/>
      </c>
      <c r="Q286">
        <f>IF(K286="OK","-",IF(N286&lt;$B$7,"AMBIGUOUS","CONFIDENT"))</f>
        <v/>
      </c>
    </row>
    <row r="287">
      <c r="A287">
        <f>'Runs Z score'!A279</f>
        <v/>
      </c>
      <c r="B287">
        <f>'Runs Z score'!B279</f>
        <v/>
      </c>
      <c r="C287">
        <f>'Runs Z score'!C279</f>
        <v/>
      </c>
      <c r="D287">
        <f>'Runs Z score'!D279</f>
        <v/>
      </c>
      <c r="E287">
        <f>'Runs Z score'!E279</f>
        <v/>
      </c>
      <c r="F287">
        <f>'Runs Z score'!F279</f>
        <v/>
      </c>
      <c r="G287">
        <f>'Runs Z score'!G279</f>
        <v/>
      </c>
      <c r="H287">
        <f>VLOOKUP(C287,Recipes!$A$2:$N$4,10,FALSE())</f>
        <v/>
      </c>
      <c r="I287">
        <f>VLOOKUP(C287,Recipes!$A$2:$N$4,12,FALSE())</f>
        <v/>
      </c>
      <c r="J287">
        <f>IF(G287="","",H287-G287)</f>
        <v/>
      </c>
      <c r="K287">
        <f>IF(G287="","",IF(ABS(G287-H287)&lt;=$B$6*I287,"OK","NG"))</f>
        <v/>
      </c>
      <c r="L287">
        <f>IF(K287="","",IF(K287=D287,1,0))</f>
        <v/>
      </c>
      <c r="M287" t="inlineStr">
        <is>
          <t>NONE</t>
        </is>
      </c>
      <c r="N287" s="15" t="n">
        <v>1</v>
      </c>
      <c r="O287" s="15" t="n">
        <v>0</v>
      </c>
      <c r="P287">
        <f>IF(M287="","",IF(M287=E287,1,0))</f>
        <v/>
      </c>
      <c r="Q287">
        <f>IF(K287="OK","-",IF(N287&lt;$B$7,"AMBIGUOUS","CONFIDENT"))</f>
        <v/>
      </c>
    </row>
    <row r="288">
      <c r="A288">
        <f>'Runs Z score'!A280</f>
        <v/>
      </c>
      <c r="B288">
        <f>'Runs Z score'!B280</f>
        <v/>
      </c>
      <c r="C288">
        <f>'Runs Z score'!C280</f>
        <v/>
      </c>
      <c r="D288">
        <f>'Runs Z score'!D280</f>
        <v/>
      </c>
      <c r="E288">
        <f>'Runs Z score'!E280</f>
        <v/>
      </c>
      <c r="F288">
        <f>'Runs Z score'!F280</f>
        <v/>
      </c>
      <c r="G288">
        <f>'Runs Z score'!G280</f>
        <v/>
      </c>
      <c r="H288">
        <f>VLOOKUP(C288,Recipes!$A$2:$N$4,10,FALSE())</f>
        <v/>
      </c>
      <c r="I288">
        <f>VLOOKUP(C288,Recipes!$A$2:$N$4,12,FALSE())</f>
        <v/>
      </c>
      <c r="J288">
        <f>IF(G288="","",H288-G288)</f>
        <v/>
      </c>
      <c r="K288">
        <f>IF(G288="","",IF(ABS(G288-H288)&lt;=$B$6*I288,"OK","NG"))</f>
        <v/>
      </c>
      <c r="L288">
        <f>IF(K288="","",IF(K288=D288,1,0))</f>
        <v/>
      </c>
      <c r="M288" t="inlineStr">
        <is>
          <t>NONE</t>
        </is>
      </c>
      <c r="N288" s="15" t="n">
        <v>1</v>
      </c>
      <c r="O288" s="15" t="n">
        <v>0</v>
      </c>
      <c r="P288">
        <f>IF(M288="","",IF(M288=E288,1,0))</f>
        <v/>
      </c>
      <c r="Q288">
        <f>IF(K288="OK","-",IF(N288&lt;$B$7,"AMBIGUOUS","CONFIDENT"))</f>
        <v/>
      </c>
    </row>
    <row r="289">
      <c r="A289">
        <f>'Runs Z score'!A281</f>
        <v/>
      </c>
      <c r="B289">
        <f>'Runs Z score'!B281</f>
        <v/>
      </c>
      <c r="C289">
        <f>'Runs Z score'!C281</f>
        <v/>
      </c>
      <c r="D289">
        <f>'Runs Z score'!D281</f>
        <v/>
      </c>
      <c r="E289">
        <f>'Runs Z score'!E281</f>
        <v/>
      </c>
      <c r="F289">
        <f>'Runs Z score'!F281</f>
        <v/>
      </c>
      <c r="G289">
        <f>'Runs Z score'!G281</f>
        <v/>
      </c>
      <c r="H289">
        <f>VLOOKUP(C289,Recipes!$A$2:$N$4,10,FALSE())</f>
        <v/>
      </c>
      <c r="I289">
        <f>VLOOKUP(C289,Recipes!$A$2:$N$4,12,FALSE())</f>
        <v/>
      </c>
      <c r="J289">
        <f>IF(G289="","",H289-G289)</f>
        <v/>
      </c>
      <c r="K289">
        <f>IF(G289="","",IF(ABS(G289-H289)&lt;=$B$6*I289,"OK","NG"))</f>
        <v/>
      </c>
      <c r="L289">
        <f>IF(K289="","",IF(K289=D289,1,0))</f>
        <v/>
      </c>
      <c r="M289" t="inlineStr">
        <is>
          <t>NONE</t>
        </is>
      </c>
      <c r="N289" s="15" t="n">
        <v>1</v>
      </c>
      <c r="O289" s="15" t="n">
        <v>0</v>
      </c>
      <c r="P289">
        <f>IF(M289="","",IF(M289=E289,1,0))</f>
        <v/>
      </c>
      <c r="Q289">
        <f>IF(K289="OK","-",IF(N289&lt;$B$7,"AMBIGUOUS","CONFIDENT"))</f>
        <v/>
      </c>
    </row>
    <row r="290">
      <c r="A290">
        <f>'Runs Z score'!A282</f>
        <v/>
      </c>
      <c r="B290">
        <f>'Runs Z score'!B282</f>
        <v/>
      </c>
      <c r="C290">
        <f>'Runs Z score'!C282</f>
        <v/>
      </c>
      <c r="D290">
        <f>'Runs Z score'!D282</f>
        <v/>
      </c>
      <c r="E290">
        <f>'Runs Z score'!E282</f>
        <v/>
      </c>
      <c r="F290">
        <f>'Runs Z score'!F282</f>
        <v/>
      </c>
      <c r="G290">
        <f>'Runs Z score'!G282</f>
        <v/>
      </c>
      <c r="H290">
        <f>VLOOKUP(C290,Recipes!$A$2:$N$4,10,FALSE())</f>
        <v/>
      </c>
      <c r="I290">
        <f>VLOOKUP(C290,Recipes!$A$2:$N$4,12,FALSE())</f>
        <v/>
      </c>
      <c r="J290">
        <f>IF(G290="","",H290-G290)</f>
        <v/>
      </c>
      <c r="K290">
        <f>IF(G290="","",IF(ABS(G290-H290)&lt;=$B$6*I290,"OK","NG"))</f>
        <v/>
      </c>
      <c r="L290">
        <f>IF(K290="","",IF(K290=D290,1,0))</f>
        <v/>
      </c>
      <c r="M290" t="inlineStr">
        <is>
          <t>NONE</t>
        </is>
      </c>
      <c r="N290" s="15" t="n">
        <v>1</v>
      </c>
      <c r="O290" s="15" t="n">
        <v>0</v>
      </c>
      <c r="P290">
        <f>IF(M290="","",IF(M290=E290,1,0))</f>
        <v/>
      </c>
      <c r="Q290">
        <f>IF(K290="OK","-",IF(N290&lt;$B$7,"AMBIGUOUS","CONFIDENT"))</f>
        <v/>
      </c>
    </row>
    <row r="291">
      <c r="A291">
        <f>'Runs Z score'!A283</f>
        <v/>
      </c>
      <c r="B291">
        <f>'Runs Z score'!B283</f>
        <v/>
      </c>
      <c r="C291">
        <f>'Runs Z score'!C283</f>
        <v/>
      </c>
      <c r="D291">
        <f>'Runs Z score'!D283</f>
        <v/>
      </c>
      <c r="E291">
        <f>'Runs Z score'!E283</f>
        <v/>
      </c>
      <c r="F291">
        <f>'Runs Z score'!F283</f>
        <v/>
      </c>
      <c r="G291">
        <f>'Runs Z score'!G283</f>
        <v/>
      </c>
      <c r="H291">
        <f>VLOOKUP(C291,Recipes!$A$2:$N$4,10,FALSE())</f>
        <v/>
      </c>
      <c r="I291">
        <f>VLOOKUP(C291,Recipes!$A$2:$N$4,12,FALSE())</f>
        <v/>
      </c>
      <c r="J291">
        <f>IF(G291="","",H291-G291)</f>
        <v/>
      </c>
      <c r="K291">
        <f>IF(G291="","",IF(ABS(G291-H291)&lt;=$B$6*I291,"OK","NG"))</f>
        <v/>
      </c>
      <c r="L291">
        <f>IF(K291="","",IF(K291=D291,1,0))</f>
        <v/>
      </c>
      <c r="M291" t="inlineStr">
        <is>
          <t>NONE</t>
        </is>
      </c>
      <c r="N291" s="15" t="n">
        <v>1</v>
      </c>
      <c r="O291" s="15" t="n">
        <v>0</v>
      </c>
      <c r="P291">
        <f>IF(M291="","",IF(M291=E291,1,0))</f>
        <v/>
      </c>
      <c r="Q291">
        <f>IF(K291="OK","-",IF(N291&lt;$B$7,"AMBIGUOUS","CONFIDENT"))</f>
        <v/>
      </c>
    </row>
    <row r="292">
      <c r="A292">
        <f>'Runs Z score'!A284</f>
        <v/>
      </c>
      <c r="B292">
        <f>'Runs Z score'!B284</f>
        <v/>
      </c>
      <c r="C292">
        <f>'Runs Z score'!C284</f>
        <v/>
      </c>
      <c r="D292">
        <f>'Runs Z score'!D284</f>
        <v/>
      </c>
      <c r="E292">
        <f>'Runs Z score'!E284</f>
        <v/>
      </c>
      <c r="F292">
        <f>'Runs Z score'!F284</f>
        <v/>
      </c>
      <c r="G292">
        <f>'Runs Z score'!G284</f>
        <v/>
      </c>
      <c r="H292">
        <f>VLOOKUP(C292,Recipes!$A$2:$N$4,10,FALSE())</f>
        <v/>
      </c>
      <c r="I292">
        <f>VLOOKUP(C292,Recipes!$A$2:$N$4,12,FALSE())</f>
        <v/>
      </c>
      <c r="J292">
        <f>IF(G292="","",H292-G292)</f>
        <v/>
      </c>
      <c r="K292">
        <f>IF(G292="","",IF(ABS(G292-H292)&lt;=$B$6*I292,"OK","NG"))</f>
        <v/>
      </c>
      <c r="L292">
        <f>IF(K292="","",IF(K292=D292,1,0))</f>
        <v/>
      </c>
      <c r="M292" t="inlineStr">
        <is>
          <t>NONE</t>
        </is>
      </c>
      <c r="N292" s="15" t="n">
        <v>1</v>
      </c>
      <c r="O292" s="15" t="n">
        <v>0</v>
      </c>
      <c r="P292">
        <f>IF(M292="","",IF(M292=E292,1,0))</f>
        <v/>
      </c>
      <c r="Q292">
        <f>IF(K292="OK","-",IF(N292&lt;$B$7,"AMBIGUOUS","CONFIDENT"))</f>
        <v/>
      </c>
    </row>
    <row r="293">
      <c r="A293">
        <f>'Runs Z score'!A285</f>
        <v/>
      </c>
      <c r="B293">
        <f>'Runs Z score'!B285</f>
        <v/>
      </c>
      <c r="C293">
        <f>'Runs Z score'!C285</f>
        <v/>
      </c>
      <c r="D293">
        <f>'Runs Z score'!D285</f>
        <v/>
      </c>
      <c r="E293">
        <f>'Runs Z score'!E285</f>
        <v/>
      </c>
      <c r="F293">
        <f>'Runs Z score'!F285</f>
        <v/>
      </c>
      <c r="G293">
        <f>'Runs Z score'!G285</f>
        <v/>
      </c>
      <c r="H293">
        <f>VLOOKUP(C293,Recipes!$A$2:$N$4,10,FALSE())</f>
        <v/>
      </c>
      <c r="I293">
        <f>VLOOKUP(C293,Recipes!$A$2:$N$4,12,FALSE())</f>
        <v/>
      </c>
      <c r="J293">
        <f>IF(G293="","",H293-G293)</f>
        <v/>
      </c>
      <c r="K293">
        <f>IF(G293="","",IF(ABS(G293-H293)&lt;=$B$6*I293,"OK","NG"))</f>
        <v/>
      </c>
      <c r="L293">
        <f>IF(K293="","",IF(K293=D293,1,0))</f>
        <v/>
      </c>
      <c r="M293" t="inlineStr">
        <is>
          <t>NONE</t>
        </is>
      </c>
      <c r="N293" s="15" t="n">
        <v>1</v>
      </c>
      <c r="O293" s="15" t="n">
        <v>0</v>
      </c>
      <c r="P293">
        <f>IF(M293="","",IF(M293=E293,1,0))</f>
        <v/>
      </c>
      <c r="Q293">
        <f>IF(K293="OK","-",IF(N293&lt;$B$7,"AMBIGUOUS","CONFIDENT"))</f>
        <v/>
      </c>
    </row>
    <row r="294">
      <c r="A294">
        <f>'Runs Z score'!A286</f>
        <v/>
      </c>
      <c r="B294">
        <f>'Runs Z score'!B286</f>
        <v/>
      </c>
      <c r="C294">
        <f>'Runs Z score'!C286</f>
        <v/>
      </c>
      <c r="D294">
        <f>'Runs Z score'!D286</f>
        <v/>
      </c>
      <c r="E294">
        <f>'Runs Z score'!E286</f>
        <v/>
      </c>
      <c r="F294">
        <f>'Runs Z score'!F286</f>
        <v/>
      </c>
      <c r="G294">
        <f>'Runs Z score'!G286</f>
        <v/>
      </c>
      <c r="H294">
        <f>VLOOKUP(C294,Recipes!$A$2:$N$4,10,FALSE())</f>
        <v/>
      </c>
      <c r="I294">
        <f>VLOOKUP(C294,Recipes!$A$2:$N$4,12,FALSE())</f>
        <v/>
      </c>
      <c r="J294">
        <f>IF(G294="","",H294-G294)</f>
        <v/>
      </c>
      <c r="K294">
        <f>IF(G294="","",IF(ABS(G294-H294)&lt;=$B$6*I294,"OK","NG"))</f>
        <v/>
      </c>
      <c r="L294">
        <f>IF(K294="","",IF(K294=D294,1,0))</f>
        <v/>
      </c>
      <c r="M294" t="inlineStr">
        <is>
          <t>NONE</t>
        </is>
      </c>
      <c r="N294" s="15" t="n">
        <v>1</v>
      </c>
      <c r="O294" s="15" t="n">
        <v>0</v>
      </c>
      <c r="P294">
        <f>IF(M294="","",IF(M294=E294,1,0))</f>
        <v/>
      </c>
      <c r="Q294">
        <f>IF(K294="OK","-",IF(N294&lt;$B$7,"AMBIGUOUS","CONFIDENT"))</f>
        <v/>
      </c>
    </row>
    <row r="295">
      <c r="A295">
        <f>'Runs Z score'!A287</f>
        <v/>
      </c>
      <c r="B295">
        <f>'Runs Z score'!B287</f>
        <v/>
      </c>
      <c r="C295">
        <f>'Runs Z score'!C287</f>
        <v/>
      </c>
      <c r="D295">
        <f>'Runs Z score'!D287</f>
        <v/>
      </c>
      <c r="E295">
        <f>'Runs Z score'!E287</f>
        <v/>
      </c>
      <c r="F295">
        <f>'Runs Z score'!F287</f>
        <v/>
      </c>
      <c r="G295">
        <f>'Runs Z score'!G287</f>
        <v/>
      </c>
      <c r="H295">
        <f>VLOOKUP(C295,Recipes!$A$2:$N$4,10,FALSE())</f>
        <v/>
      </c>
      <c r="I295">
        <f>VLOOKUP(C295,Recipes!$A$2:$N$4,12,FALSE())</f>
        <v/>
      </c>
      <c r="J295">
        <f>IF(G295="","",H295-G295)</f>
        <v/>
      </c>
      <c r="K295">
        <f>IF(G295="","",IF(ABS(G295-H295)&lt;=$B$6*I295,"OK","NG"))</f>
        <v/>
      </c>
      <c r="L295">
        <f>IF(K295="","",IF(K295=D295,1,0))</f>
        <v/>
      </c>
      <c r="M295" t="inlineStr">
        <is>
          <t>NONE</t>
        </is>
      </c>
      <c r="N295" s="15" t="n">
        <v>1</v>
      </c>
      <c r="O295" s="15" t="n">
        <v>0</v>
      </c>
      <c r="P295">
        <f>IF(M295="","",IF(M295=E295,1,0))</f>
        <v/>
      </c>
      <c r="Q295">
        <f>IF(K295="OK","-",IF(N295&lt;$B$7,"AMBIGUOUS","CONFIDENT"))</f>
        <v/>
      </c>
    </row>
    <row r="296">
      <c r="A296">
        <f>'Runs Z score'!A288</f>
        <v/>
      </c>
      <c r="B296">
        <f>'Runs Z score'!B288</f>
        <v/>
      </c>
      <c r="C296">
        <f>'Runs Z score'!C288</f>
        <v/>
      </c>
      <c r="D296">
        <f>'Runs Z score'!D288</f>
        <v/>
      </c>
      <c r="E296">
        <f>'Runs Z score'!E288</f>
        <v/>
      </c>
      <c r="F296">
        <f>'Runs Z score'!F288</f>
        <v/>
      </c>
      <c r="G296">
        <f>'Runs Z score'!G288</f>
        <v/>
      </c>
      <c r="H296">
        <f>VLOOKUP(C296,Recipes!$A$2:$N$4,10,FALSE())</f>
        <v/>
      </c>
      <c r="I296">
        <f>VLOOKUP(C296,Recipes!$A$2:$N$4,12,FALSE())</f>
        <v/>
      </c>
      <c r="J296">
        <f>IF(G296="","",H296-G296)</f>
        <v/>
      </c>
      <c r="K296">
        <f>IF(G296="","",IF(ABS(G296-H296)&lt;=$B$6*I296,"OK","NG"))</f>
        <v/>
      </c>
      <c r="L296">
        <f>IF(K296="","",IF(K296=D296,1,0))</f>
        <v/>
      </c>
      <c r="M296" t="inlineStr">
        <is>
          <t>NONE</t>
        </is>
      </c>
      <c r="N296" s="15" t="n">
        <v>1</v>
      </c>
      <c r="O296" s="15" t="n">
        <v>0</v>
      </c>
      <c r="P296">
        <f>IF(M296="","",IF(M296=E296,1,0))</f>
        <v/>
      </c>
      <c r="Q296">
        <f>IF(K296="OK","-",IF(N296&lt;$B$7,"AMBIGUOUS","CONFIDENT"))</f>
        <v/>
      </c>
    </row>
    <row r="297">
      <c r="A297">
        <f>'Runs Z score'!A289</f>
        <v/>
      </c>
      <c r="B297">
        <f>'Runs Z score'!B289</f>
        <v/>
      </c>
      <c r="C297">
        <f>'Runs Z score'!C289</f>
        <v/>
      </c>
      <c r="D297">
        <f>'Runs Z score'!D289</f>
        <v/>
      </c>
      <c r="E297">
        <f>'Runs Z score'!E289</f>
        <v/>
      </c>
      <c r="F297">
        <f>'Runs Z score'!F289</f>
        <v/>
      </c>
      <c r="G297">
        <f>'Runs Z score'!G289</f>
        <v/>
      </c>
      <c r="H297">
        <f>VLOOKUP(C297,Recipes!$A$2:$N$4,10,FALSE())</f>
        <v/>
      </c>
      <c r="I297">
        <f>VLOOKUP(C297,Recipes!$A$2:$N$4,12,FALSE())</f>
        <v/>
      </c>
      <c r="J297">
        <f>IF(G297="","",H297-G297)</f>
        <v/>
      </c>
      <c r="K297">
        <f>IF(G297="","",IF(ABS(G297-H297)&lt;=$B$6*I297,"OK","NG"))</f>
        <v/>
      </c>
      <c r="L297">
        <f>IF(K297="","",IF(K297=D297,1,0))</f>
        <v/>
      </c>
      <c r="M297" t="inlineStr">
        <is>
          <t>NONE</t>
        </is>
      </c>
      <c r="N297" s="15" t="n">
        <v>1</v>
      </c>
      <c r="O297" s="15" t="n">
        <v>0</v>
      </c>
      <c r="P297">
        <f>IF(M297="","",IF(M297=E297,1,0))</f>
        <v/>
      </c>
      <c r="Q297">
        <f>IF(K297="OK","-",IF(N297&lt;$B$7,"AMBIGUOUS","CONFIDENT"))</f>
        <v/>
      </c>
    </row>
    <row r="298">
      <c r="A298">
        <f>'Runs Z score'!A290</f>
        <v/>
      </c>
      <c r="B298">
        <f>'Runs Z score'!B290</f>
        <v/>
      </c>
      <c r="C298">
        <f>'Runs Z score'!C290</f>
        <v/>
      </c>
      <c r="D298">
        <f>'Runs Z score'!D290</f>
        <v/>
      </c>
      <c r="E298">
        <f>'Runs Z score'!E290</f>
        <v/>
      </c>
      <c r="F298">
        <f>'Runs Z score'!F290</f>
        <v/>
      </c>
      <c r="G298">
        <f>'Runs Z score'!G290</f>
        <v/>
      </c>
      <c r="H298">
        <f>VLOOKUP(C298,Recipes!$A$2:$N$4,10,FALSE())</f>
        <v/>
      </c>
      <c r="I298">
        <f>VLOOKUP(C298,Recipes!$A$2:$N$4,12,FALSE())</f>
        <v/>
      </c>
      <c r="J298">
        <f>IF(G298="","",H298-G298)</f>
        <v/>
      </c>
      <c r="K298">
        <f>IF(G298="","",IF(ABS(G298-H298)&lt;=$B$6*I298,"OK","NG"))</f>
        <v/>
      </c>
      <c r="L298">
        <f>IF(K298="","",IF(K298=D298,1,0))</f>
        <v/>
      </c>
      <c r="M298" t="inlineStr">
        <is>
          <t>NONE</t>
        </is>
      </c>
      <c r="N298" s="15" t="n">
        <v>1</v>
      </c>
      <c r="O298" s="15" t="n">
        <v>0</v>
      </c>
      <c r="P298">
        <f>IF(M298="","",IF(M298=E298,1,0))</f>
        <v/>
      </c>
      <c r="Q298">
        <f>IF(K298="OK","-",IF(N298&lt;$B$7,"AMBIGUOUS","CONFIDENT"))</f>
        <v/>
      </c>
    </row>
    <row r="299">
      <c r="A299">
        <f>'Runs Z score'!A291</f>
        <v/>
      </c>
      <c r="B299">
        <f>'Runs Z score'!B291</f>
        <v/>
      </c>
      <c r="C299">
        <f>'Runs Z score'!C291</f>
        <v/>
      </c>
      <c r="D299">
        <f>'Runs Z score'!D291</f>
        <v/>
      </c>
      <c r="E299">
        <f>'Runs Z score'!E291</f>
        <v/>
      </c>
      <c r="F299">
        <f>'Runs Z score'!F291</f>
        <v/>
      </c>
      <c r="G299">
        <f>'Runs Z score'!G291</f>
        <v/>
      </c>
      <c r="H299">
        <f>VLOOKUP(C299,Recipes!$A$2:$N$4,10,FALSE())</f>
        <v/>
      </c>
      <c r="I299">
        <f>VLOOKUP(C299,Recipes!$A$2:$N$4,12,FALSE())</f>
        <v/>
      </c>
      <c r="J299">
        <f>IF(G299="","",H299-G299)</f>
        <v/>
      </c>
      <c r="K299">
        <f>IF(G299="","",IF(ABS(G299-H299)&lt;=$B$6*I299,"OK","NG"))</f>
        <v/>
      </c>
      <c r="L299">
        <f>IF(K299="","",IF(K299=D299,1,0))</f>
        <v/>
      </c>
      <c r="M299" t="inlineStr">
        <is>
          <t>NONE</t>
        </is>
      </c>
      <c r="N299" s="15" t="n">
        <v>1</v>
      </c>
      <c r="O299" s="15" t="n">
        <v>0</v>
      </c>
      <c r="P299">
        <f>IF(M299="","",IF(M299=E299,1,0))</f>
        <v/>
      </c>
      <c r="Q299">
        <f>IF(K299="OK","-",IF(N299&lt;$B$7,"AMBIGUOUS","CONFIDENT"))</f>
        <v/>
      </c>
    </row>
    <row r="300">
      <c r="A300">
        <f>'Runs Z score'!A292</f>
        <v/>
      </c>
      <c r="B300">
        <f>'Runs Z score'!B292</f>
        <v/>
      </c>
      <c r="C300">
        <f>'Runs Z score'!C292</f>
        <v/>
      </c>
      <c r="D300">
        <f>'Runs Z score'!D292</f>
        <v/>
      </c>
      <c r="E300">
        <f>'Runs Z score'!E292</f>
        <v/>
      </c>
      <c r="F300">
        <f>'Runs Z score'!F292</f>
        <v/>
      </c>
      <c r="G300">
        <f>'Runs Z score'!G292</f>
        <v/>
      </c>
      <c r="H300">
        <f>VLOOKUP(C300,Recipes!$A$2:$N$4,10,FALSE())</f>
        <v/>
      </c>
      <c r="I300">
        <f>VLOOKUP(C300,Recipes!$A$2:$N$4,12,FALSE())</f>
        <v/>
      </c>
      <c r="J300">
        <f>IF(G300="","",H300-G300)</f>
        <v/>
      </c>
      <c r="K300">
        <f>IF(G300="","",IF(ABS(G300-H300)&lt;=$B$6*I300,"OK","NG"))</f>
        <v/>
      </c>
      <c r="L300">
        <f>IF(K300="","",IF(K300=D300,1,0))</f>
        <v/>
      </c>
      <c r="M300" t="inlineStr">
        <is>
          <t>NONE</t>
        </is>
      </c>
      <c r="N300" s="15" t="n">
        <v>1</v>
      </c>
      <c r="O300" s="15" t="n">
        <v>0</v>
      </c>
      <c r="P300">
        <f>IF(M300="","",IF(M300=E300,1,0))</f>
        <v/>
      </c>
      <c r="Q300">
        <f>IF(K300="OK","-",IF(N300&lt;$B$7,"AMBIGUOUS","CONFIDENT"))</f>
        <v/>
      </c>
    </row>
    <row r="301">
      <c r="A301">
        <f>'Runs Z score'!A293</f>
        <v/>
      </c>
      <c r="B301">
        <f>'Runs Z score'!B293</f>
        <v/>
      </c>
      <c r="C301">
        <f>'Runs Z score'!C293</f>
        <v/>
      </c>
      <c r="D301">
        <f>'Runs Z score'!D293</f>
        <v/>
      </c>
      <c r="E301">
        <f>'Runs Z score'!E293</f>
        <v/>
      </c>
      <c r="F301">
        <f>'Runs Z score'!F293</f>
        <v/>
      </c>
      <c r="G301">
        <f>'Runs Z score'!G293</f>
        <v/>
      </c>
      <c r="H301">
        <f>VLOOKUP(C301,Recipes!$A$2:$N$4,10,FALSE())</f>
        <v/>
      </c>
      <c r="I301">
        <f>VLOOKUP(C301,Recipes!$A$2:$N$4,12,FALSE())</f>
        <v/>
      </c>
      <c r="J301">
        <f>IF(G301="","",H301-G301)</f>
        <v/>
      </c>
      <c r="K301">
        <f>IF(G301="","",IF(ABS(G301-H301)&lt;=$B$6*I301,"OK","NG"))</f>
        <v/>
      </c>
      <c r="L301">
        <f>IF(K301="","",IF(K301=D301,1,0))</f>
        <v/>
      </c>
      <c r="M301" t="inlineStr">
        <is>
          <t>NONE</t>
        </is>
      </c>
      <c r="N301" s="15" t="n">
        <v>1</v>
      </c>
      <c r="O301" s="15" t="n">
        <v>0</v>
      </c>
      <c r="P301">
        <f>IF(M301="","",IF(M301=E301,1,0))</f>
        <v/>
      </c>
      <c r="Q301">
        <f>IF(K301="OK","-",IF(N301&lt;$B$7,"AMBIGUOUS","CONFIDENT"))</f>
        <v/>
      </c>
    </row>
    <row r="302">
      <c r="A302">
        <f>'Runs Z score'!A294</f>
        <v/>
      </c>
      <c r="B302">
        <f>'Runs Z score'!B294</f>
        <v/>
      </c>
      <c r="C302">
        <f>'Runs Z score'!C294</f>
        <v/>
      </c>
      <c r="D302">
        <f>'Runs Z score'!D294</f>
        <v/>
      </c>
      <c r="E302">
        <f>'Runs Z score'!E294</f>
        <v/>
      </c>
      <c r="F302">
        <f>'Runs Z score'!F294</f>
        <v/>
      </c>
      <c r="G302">
        <f>'Runs Z score'!G294</f>
        <v/>
      </c>
      <c r="H302">
        <f>VLOOKUP(C302,Recipes!$A$2:$N$4,10,FALSE())</f>
        <v/>
      </c>
      <c r="I302">
        <f>VLOOKUP(C302,Recipes!$A$2:$N$4,12,FALSE())</f>
        <v/>
      </c>
      <c r="J302">
        <f>IF(G302="","",H302-G302)</f>
        <v/>
      </c>
      <c r="K302">
        <f>IF(G302="","",IF(ABS(G302-H302)&lt;=$B$6*I302,"OK","NG"))</f>
        <v/>
      </c>
      <c r="L302">
        <f>IF(K302="","",IF(K302=D302,1,0))</f>
        <v/>
      </c>
      <c r="M302" t="inlineStr">
        <is>
          <t>NONE</t>
        </is>
      </c>
      <c r="N302" s="15" t="n">
        <v>1</v>
      </c>
      <c r="O302" s="15" t="n">
        <v>0</v>
      </c>
      <c r="P302">
        <f>IF(M302="","",IF(M302=E302,1,0))</f>
        <v/>
      </c>
      <c r="Q302">
        <f>IF(K302="OK","-",IF(N302&lt;$B$7,"AMBIGUOUS","CONFIDENT"))</f>
        <v/>
      </c>
    </row>
    <row r="303">
      <c r="A303">
        <f>'Runs Z score'!A295</f>
        <v/>
      </c>
      <c r="B303">
        <f>'Runs Z score'!B295</f>
        <v/>
      </c>
      <c r="C303">
        <f>'Runs Z score'!C295</f>
        <v/>
      </c>
      <c r="D303">
        <f>'Runs Z score'!D295</f>
        <v/>
      </c>
      <c r="E303">
        <f>'Runs Z score'!E295</f>
        <v/>
      </c>
      <c r="F303">
        <f>'Runs Z score'!F295</f>
        <v/>
      </c>
      <c r="G303">
        <f>'Runs Z score'!G295</f>
        <v/>
      </c>
      <c r="H303">
        <f>VLOOKUP(C303,Recipes!$A$2:$N$4,10,FALSE())</f>
        <v/>
      </c>
      <c r="I303">
        <f>VLOOKUP(C303,Recipes!$A$2:$N$4,12,FALSE())</f>
        <v/>
      </c>
      <c r="J303">
        <f>IF(G303="","",H303-G303)</f>
        <v/>
      </c>
      <c r="K303">
        <f>IF(G303="","",IF(ABS(G303-H303)&lt;=$B$6*I303,"OK","NG"))</f>
        <v/>
      </c>
      <c r="L303">
        <f>IF(K303="","",IF(K303=D303,1,0))</f>
        <v/>
      </c>
      <c r="M303" t="inlineStr">
        <is>
          <t>NONE</t>
        </is>
      </c>
      <c r="N303" s="15" t="n">
        <v>1</v>
      </c>
      <c r="O303" s="15" t="n">
        <v>0</v>
      </c>
      <c r="P303">
        <f>IF(M303="","",IF(M303=E303,1,0))</f>
        <v/>
      </c>
      <c r="Q303">
        <f>IF(K303="OK","-",IF(N303&lt;$B$7,"AMBIGUOUS","CONFIDENT"))</f>
        <v/>
      </c>
    </row>
    <row r="304">
      <c r="A304">
        <f>'Runs Z score'!A296</f>
        <v/>
      </c>
      <c r="B304">
        <f>'Runs Z score'!B296</f>
        <v/>
      </c>
      <c r="C304">
        <f>'Runs Z score'!C296</f>
        <v/>
      </c>
      <c r="D304">
        <f>'Runs Z score'!D296</f>
        <v/>
      </c>
      <c r="E304">
        <f>'Runs Z score'!E296</f>
        <v/>
      </c>
      <c r="F304">
        <f>'Runs Z score'!F296</f>
        <v/>
      </c>
      <c r="G304">
        <f>'Runs Z score'!G296</f>
        <v/>
      </c>
      <c r="H304">
        <f>VLOOKUP(C304,Recipes!$A$2:$N$4,10,FALSE())</f>
        <v/>
      </c>
      <c r="I304">
        <f>VLOOKUP(C304,Recipes!$A$2:$N$4,12,FALSE())</f>
        <v/>
      </c>
      <c r="J304">
        <f>IF(G304="","",H304-G304)</f>
        <v/>
      </c>
      <c r="K304">
        <f>IF(G304="","",IF(ABS(G304-H304)&lt;=$B$6*I304,"OK","NG"))</f>
        <v/>
      </c>
      <c r="L304">
        <f>IF(K304="","",IF(K304=D304,1,0))</f>
        <v/>
      </c>
      <c r="M304" t="inlineStr">
        <is>
          <t>NONE</t>
        </is>
      </c>
      <c r="N304" s="15" t="n">
        <v>1</v>
      </c>
      <c r="O304" s="15" t="n">
        <v>0</v>
      </c>
      <c r="P304">
        <f>IF(M304="","",IF(M304=E304,1,0))</f>
        <v/>
      </c>
      <c r="Q304">
        <f>IF(K304="OK","-",IF(N304&lt;$B$7,"AMBIGUOUS","CONFIDENT"))</f>
        <v/>
      </c>
    </row>
    <row r="305">
      <c r="A305">
        <f>'Runs Z score'!A297</f>
        <v/>
      </c>
      <c r="B305">
        <f>'Runs Z score'!B297</f>
        <v/>
      </c>
      <c r="C305">
        <f>'Runs Z score'!C297</f>
        <v/>
      </c>
      <c r="D305">
        <f>'Runs Z score'!D297</f>
        <v/>
      </c>
      <c r="E305">
        <f>'Runs Z score'!E297</f>
        <v/>
      </c>
      <c r="F305">
        <f>'Runs Z score'!F297</f>
        <v/>
      </c>
      <c r="G305">
        <f>'Runs Z score'!G297</f>
        <v/>
      </c>
      <c r="H305">
        <f>VLOOKUP(C305,Recipes!$A$2:$N$4,10,FALSE())</f>
        <v/>
      </c>
      <c r="I305">
        <f>VLOOKUP(C305,Recipes!$A$2:$N$4,12,FALSE())</f>
        <v/>
      </c>
      <c r="J305">
        <f>IF(G305="","",H305-G305)</f>
        <v/>
      </c>
      <c r="K305">
        <f>IF(G305="","",IF(ABS(G305-H305)&lt;=$B$6*I305,"OK","NG"))</f>
        <v/>
      </c>
      <c r="L305">
        <f>IF(K305="","",IF(K305=D305,1,0))</f>
        <v/>
      </c>
      <c r="M305" t="inlineStr">
        <is>
          <t>NONE</t>
        </is>
      </c>
      <c r="N305" s="15" t="n">
        <v>1</v>
      </c>
      <c r="O305" s="15" t="n">
        <v>0</v>
      </c>
      <c r="P305">
        <f>IF(M305="","",IF(M305=E305,1,0))</f>
        <v/>
      </c>
      <c r="Q305">
        <f>IF(K305="OK","-",IF(N305&lt;$B$7,"AMBIGUOUS","CONFIDENT"))</f>
        <v/>
      </c>
    </row>
    <row r="306">
      <c r="A306">
        <f>'Runs Z score'!A298</f>
        <v/>
      </c>
      <c r="B306">
        <f>'Runs Z score'!B298</f>
        <v/>
      </c>
      <c r="C306">
        <f>'Runs Z score'!C298</f>
        <v/>
      </c>
      <c r="D306">
        <f>'Runs Z score'!D298</f>
        <v/>
      </c>
      <c r="E306">
        <f>'Runs Z score'!E298</f>
        <v/>
      </c>
      <c r="F306">
        <f>'Runs Z score'!F298</f>
        <v/>
      </c>
      <c r="G306">
        <f>'Runs Z score'!G298</f>
        <v/>
      </c>
      <c r="H306">
        <f>VLOOKUP(C306,Recipes!$A$2:$N$4,10,FALSE())</f>
        <v/>
      </c>
      <c r="I306">
        <f>VLOOKUP(C306,Recipes!$A$2:$N$4,12,FALSE())</f>
        <v/>
      </c>
      <c r="J306">
        <f>IF(G306="","",H306-G306)</f>
        <v/>
      </c>
      <c r="K306">
        <f>IF(G306="","",IF(ABS(G306-H306)&lt;=$B$6*I306,"OK","NG"))</f>
        <v/>
      </c>
      <c r="L306">
        <f>IF(K306="","",IF(K306=D306,1,0))</f>
        <v/>
      </c>
      <c r="M306" t="inlineStr">
        <is>
          <t>NONE</t>
        </is>
      </c>
      <c r="N306" s="15" t="n">
        <v>1</v>
      </c>
      <c r="O306" s="15" t="n">
        <v>0</v>
      </c>
      <c r="P306">
        <f>IF(M306="","",IF(M306=E306,1,0))</f>
        <v/>
      </c>
      <c r="Q306">
        <f>IF(K306="OK","-",IF(N306&lt;$B$7,"AMBIGUOUS","CONFIDENT"))</f>
        <v/>
      </c>
    </row>
    <row r="307">
      <c r="A307">
        <f>'Runs Z score'!A299</f>
        <v/>
      </c>
      <c r="B307">
        <f>'Runs Z score'!B299</f>
        <v/>
      </c>
      <c r="C307">
        <f>'Runs Z score'!C299</f>
        <v/>
      </c>
      <c r="D307">
        <f>'Runs Z score'!D299</f>
        <v/>
      </c>
      <c r="E307">
        <f>'Runs Z score'!E299</f>
        <v/>
      </c>
      <c r="F307">
        <f>'Runs Z score'!F299</f>
        <v/>
      </c>
      <c r="G307">
        <f>'Runs Z score'!G299</f>
        <v/>
      </c>
      <c r="H307">
        <f>VLOOKUP(C307,Recipes!$A$2:$N$4,10,FALSE())</f>
        <v/>
      </c>
      <c r="I307">
        <f>VLOOKUP(C307,Recipes!$A$2:$N$4,12,FALSE())</f>
        <v/>
      </c>
      <c r="J307">
        <f>IF(G307="","",H307-G307)</f>
        <v/>
      </c>
      <c r="K307">
        <f>IF(G307="","",IF(ABS(G307-H307)&lt;=$B$6*I307,"OK","NG"))</f>
        <v/>
      </c>
      <c r="L307">
        <f>IF(K307="","",IF(K307=D307,1,0))</f>
        <v/>
      </c>
      <c r="M307" t="inlineStr">
        <is>
          <t>NONE</t>
        </is>
      </c>
      <c r="N307" s="15" t="n">
        <v>1</v>
      </c>
      <c r="O307" s="15" t="n">
        <v>0</v>
      </c>
      <c r="P307">
        <f>IF(M307="","",IF(M307=E307,1,0))</f>
        <v/>
      </c>
      <c r="Q307">
        <f>IF(K307="OK","-",IF(N307&lt;$B$7,"AMBIGUOUS","CONFIDENT"))</f>
        <v/>
      </c>
    </row>
    <row r="308">
      <c r="A308">
        <f>'Runs Z score'!A300</f>
        <v/>
      </c>
      <c r="B308">
        <f>'Runs Z score'!B300</f>
        <v/>
      </c>
      <c r="C308">
        <f>'Runs Z score'!C300</f>
        <v/>
      </c>
      <c r="D308">
        <f>'Runs Z score'!D300</f>
        <v/>
      </c>
      <c r="E308">
        <f>'Runs Z score'!E300</f>
        <v/>
      </c>
      <c r="F308">
        <f>'Runs Z score'!F300</f>
        <v/>
      </c>
      <c r="G308">
        <f>'Runs Z score'!G300</f>
        <v/>
      </c>
      <c r="H308">
        <f>VLOOKUP(C308,Recipes!$A$2:$N$4,10,FALSE())</f>
        <v/>
      </c>
      <c r="I308">
        <f>VLOOKUP(C308,Recipes!$A$2:$N$4,12,FALSE())</f>
        <v/>
      </c>
      <c r="J308">
        <f>IF(G308="","",H308-G308)</f>
        <v/>
      </c>
      <c r="K308">
        <f>IF(G308="","",IF(ABS(G308-H308)&lt;=$B$6*I308,"OK","NG"))</f>
        <v/>
      </c>
      <c r="L308">
        <f>IF(K308="","",IF(K308=D308,1,0))</f>
        <v/>
      </c>
      <c r="M308" t="inlineStr">
        <is>
          <t>NONE</t>
        </is>
      </c>
      <c r="N308" s="15" t="n">
        <v>1</v>
      </c>
      <c r="O308" s="15" t="n">
        <v>0</v>
      </c>
      <c r="P308">
        <f>IF(M308="","",IF(M308=E308,1,0))</f>
        <v/>
      </c>
      <c r="Q308">
        <f>IF(K308="OK","-",IF(N308&lt;$B$7,"AMBIGUOUS","CONFIDENT"))</f>
        <v/>
      </c>
    </row>
    <row r="309">
      <c r="A309">
        <f>'Runs Z score'!A301</f>
        <v/>
      </c>
      <c r="B309">
        <f>'Runs Z score'!B301</f>
        <v/>
      </c>
      <c r="C309">
        <f>'Runs Z score'!C301</f>
        <v/>
      </c>
      <c r="D309">
        <f>'Runs Z score'!D301</f>
        <v/>
      </c>
      <c r="E309">
        <f>'Runs Z score'!E301</f>
        <v/>
      </c>
      <c r="F309">
        <f>'Runs Z score'!F301</f>
        <v/>
      </c>
      <c r="G309">
        <f>'Runs Z score'!G301</f>
        <v/>
      </c>
      <c r="H309">
        <f>VLOOKUP(C309,Recipes!$A$2:$N$4,10,FALSE())</f>
        <v/>
      </c>
      <c r="I309">
        <f>VLOOKUP(C309,Recipes!$A$2:$N$4,12,FALSE())</f>
        <v/>
      </c>
      <c r="J309">
        <f>IF(G309="","",H309-G309)</f>
        <v/>
      </c>
      <c r="K309">
        <f>IF(G309="","",IF(ABS(G309-H309)&lt;=$B$6*I309,"OK","NG"))</f>
        <v/>
      </c>
      <c r="L309">
        <f>IF(K309="","",IF(K309=D309,1,0))</f>
        <v/>
      </c>
      <c r="M309" t="inlineStr">
        <is>
          <t>NONE</t>
        </is>
      </c>
      <c r="N309" s="15" t="n">
        <v>1</v>
      </c>
      <c r="O309" s="15" t="n">
        <v>0</v>
      </c>
      <c r="P309">
        <f>IF(M309="","",IF(M309=E309,1,0))</f>
        <v/>
      </c>
      <c r="Q309">
        <f>IF(K309="OK","-",IF(N309&lt;$B$7,"AMBIGUOUS","CONFIDENT"))</f>
        <v/>
      </c>
    </row>
    <row r="310">
      <c r="A310">
        <f>'Runs Z score'!A302</f>
        <v/>
      </c>
      <c r="B310">
        <f>'Runs Z score'!B302</f>
        <v/>
      </c>
      <c r="C310">
        <f>'Runs Z score'!C302</f>
        <v/>
      </c>
      <c r="D310">
        <f>'Runs Z score'!D302</f>
        <v/>
      </c>
      <c r="E310">
        <f>'Runs Z score'!E302</f>
        <v/>
      </c>
      <c r="F310">
        <f>'Runs Z score'!F302</f>
        <v/>
      </c>
      <c r="G310">
        <f>'Runs Z score'!G302</f>
        <v/>
      </c>
      <c r="H310">
        <f>VLOOKUP(C310,Recipes!$A$2:$N$4,10,FALSE())</f>
        <v/>
      </c>
      <c r="I310">
        <f>VLOOKUP(C310,Recipes!$A$2:$N$4,12,FALSE())</f>
        <v/>
      </c>
      <c r="J310">
        <f>IF(G310="","",H310-G310)</f>
        <v/>
      </c>
      <c r="K310">
        <f>IF(G310="","",IF(ABS(G310-H310)&lt;=$B$6*I310,"OK","NG"))</f>
        <v/>
      </c>
      <c r="L310">
        <f>IF(K310="","",IF(K310=D310,1,0))</f>
        <v/>
      </c>
      <c r="M310" t="inlineStr">
        <is>
          <t>NONE</t>
        </is>
      </c>
      <c r="N310" s="15" t="n">
        <v>1</v>
      </c>
      <c r="O310" s="15" t="n">
        <v>0</v>
      </c>
      <c r="P310">
        <f>IF(M310="","",IF(M310=E310,1,0))</f>
        <v/>
      </c>
      <c r="Q310">
        <f>IF(K310="OK","-",IF(N310&lt;$B$7,"AMBIGUOUS","CONFIDENT"))</f>
        <v/>
      </c>
    </row>
    <row r="311">
      <c r="A311">
        <f>'Runs Z score'!A303</f>
        <v/>
      </c>
      <c r="B311">
        <f>'Runs Z score'!B303</f>
        <v/>
      </c>
      <c r="C311">
        <f>'Runs Z score'!C303</f>
        <v/>
      </c>
      <c r="D311">
        <f>'Runs Z score'!D303</f>
        <v/>
      </c>
      <c r="E311">
        <f>'Runs Z score'!E303</f>
        <v/>
      </c>
      <c r="F311">
        <f>'Runs Z score'!F303</f>
        <v/>
      </c>
      <c r="G311">
        <f>'Runs Z score'!G303</f>
        <v/>
      </c>
      <c r="H311">
        <f>VLOOKUP(C311,Recipes!$A$2:$N$4,10,FALSE())</f>
        <v/>
      </c>
      <c r="I311">
        <f>VLOOKUP(C311,Recipes!$A$2:$N$4,12,FALSE())</f>
        <v/>
      </c>
      <c r="J311">
        <f>IF(G311="","",H311-G311)</f>
        <v/>
      </c>
      <c r="K311">
        <f>IF(G311="","",IF(ABS(G311-H311)&lt;=$B$6*I311,"OK","NG"))</f>
        <v/>
      </c>
      <c r="L311">
        <f>IF(K311="","",IF(K311=D311,1,0))</f>
        <v/>
      </c>
      <c r="M311" t="inlineStr">
        <is>
          <t>S1</t>
        </is>
      </c>
      <c r="N311" s="15" t="n">
        <v>0.9243</v>
      </c>
      <c r="O311" s="15" t="n">
        <v>0.0429</v>
      </c>
      <c r="P311">
        <f>IF(M311="","",IF(M311=E311,1,0))</f>
        <v/>
      </c>
      <c r="Q311">
        <f>IF(K311="OK","-",IF(N311&lt;$B$7,"AMBIGUOUS","CONFIDENT"))</f>
        <v/>
      </c>
    </row>
    <row r="312">
      <c r="A312">
        <f>'Runs Z score'!A304</f>
        <v/>
      </c>
      <c r="B312">
        <f>'Runs Z score'!B304</f>
        <v/>
      </c>
      <c r="C312">
        <f>'Runs Z score'!C304</f>
        <v/>
      </c>
      <c r="D312">
        <f>'Runs Z score'!D304</f>
        <v/>
      </c>
      <c r="E312">
        <f>'Runs Z score'!E304</f>
        <v/>
      </c>
      <c r="F312">
        <f>'Runs Z score'!F304</f>
        <v/>
      </c>
      <c r="G312">
        <f>'Runs Z score'!G304</f>
        <v/>
      </c>
      <c r="H312">
        <f>VLOOKUP(C312,Recipes!$A$2:$N$4,10,FALSE())</f>
        <v/>
      </c>
      <c r="I312">
        <f>VLOOKUP(C312,Recipes!$A$2:$N$4,12,FALSE())</f>
        <v/>
      </c>
      <c r="J312">
        <f>IF(G312="","",H312-G312)</f>
        <v/>
      </c>
      <c r="K312">
        <f>IF(G312="","",IF(ABS(G312-H312)&lt;=$B$6*I312,"OK","NG"))</f>
        <v/>
      </c>
      <c r="L312">
        <f>IF(K312="","",IF(K312=D312,1,0))</f>
        <v/>
      </c>
      <c r="M312" t="inlineStr">
        <is>
          <t>S1</t>
        </is>
      </c>
      <c r="N312" s="15" t="n">
        <v>0.9245</v>
      </c>
      <c r="O312" s="15" t="n">
        <v>0.0424</v>
      </c>
      <c r="P312">
        <f>IF(M312="","",IF(M312=E312,1,0))</f>
        <v/>
      </c>
      <c r="Q312">
        <f>IF(K312="OK","-",IF(N312&lt;$B$7,"AMBIGUOUS","CONFIDENT"))</f>
        <v/>
      </c>
    </row>
    <row r="313">
      <c r="A313">
        <f>'Runs Z score'!A305</f>
        <v/>
      </c>
      <c r="B313">
        <f>'Runs Z score'!B305</f>
        <v/>
      </c>
      <c r="C313">
        <f>'Runs Z score'!C305</f>
        <v/>
      </c>
      <c r="D313">
        <f>'Runs Z score'!D305</f>
        <v/>
      </c>
      <c r="E313">
        <f>'Runs Z score'!E305</f>
        <v/>
      </c>
      <c r="F313">
        <f>'Runs Z score'!F305</f>
        <v/>
      </c>
      <c r="G313">
        <f>'Runs Z score'!G305</f>
        <v/>
      </c>
      <c r="H313">
        <f>VLOOKUP(C313,Recipes!$A$2:$N$4,10,FALSE())</f>
        <v/>
      </c>
      <c r="I313">
        <f>VLOOKUP(C313,Recipes!$A$2:$N$4,12,FALSE())</f>
        <v/>
      </c>
      <c r="J313">
        <f>IF(G313="","",H313-G313)</f>
        <v/>
      </c>
      <c r="K313">
        <f>IF(G313="","",IF(ABS(G313-H313)&lt;=$B$6*I313,"OK","NG"))</f>
        <v/>
      </c>
      <c r="L313">
        <f>IF(K313="","",IF(K313=D313,1,0))</f>
        <v/>
      </c>
      <c r="M313" t="inlineStr">
        <is>
          <t>S1</t>
        </is>
      </c>
      <c r="N313" s="15" t="n">
        <v>0.922</v>
      </c>
      <c r="O313" s="15" t="n">
        <v>0.0443</v>
      </c>
      <c r="P313">
        <f>IF(M313="","",IF(M313=E313,1,0))</f>
        <v/>
      </c>
      <c r="Q313">
        <f>IF(K313="OK","-",IF(N313&lt;$B$7,"AMBIGUOUS","CONFIDENT"))</f>
        <v/>
      </c>
    </row>
    <row r="314">
      <c r="A314">
        <f>'Runs Z score'!A306</f>
        <v/>
      </c>
      <c r="B314">
        <f>'Runs Z score'!B306</f>
        <v/>
      </c>
      <c r="C314">
        <f>'Runs Z score'!C306</f>
        <v/>
      </c>
      <c r="D314">
        <f>'Runs Z score'!D306</f>
        <v/>
      </c>
      <c r="E314">
        <f>'Runs Z score'!E306</f>
        <v/>
      </c>
      <c r="F314">
        <f>'Runs Z score'!F306</f>
        <v/>
      </c>
      <c r="G314">
        <f>'Runs Z score'!G306</f>
        <v/>
      </c>
      <c r="H314">
        <f>VLOOKUP(C314,Recipes!$A$2:$N$4,10,FALSE())</f>
        <v/>
      </c>
      <c r="I314">
        <f>VLOOKUP(C314,Recipes!$A$2:$N$4,12,FALSE())</f>
        <v/>
      </c>
      <c r="J314">
        <f>IF(G314="","",H314-G314)</f>
        <v/>
      </c>
      <c r="K314">
        <f>IF(G314="","",IF(ABS(G314-H314)&lt;=$B$6*I314,"OK","NG"))</f>
        <v/>
      </c>
      <c r="L314">
        <f>IF(K314="","",IF(K314=D314,1,0))</f>
        <v/>
      </c>
      <c r="M314" t="inlineStr">
        <is>
          <t>S1</t>
        </is>
      </c>
      <c r="N314" s="15" t="n">
        <v>0.9267</v>
      </c>
      <c r="O314" s="15" t="n">
        <v>0.041</v>
      </c>
      <c r="P314">
        <f>IF(M314="","",IF(M314=E314,1,0))</f>
        <v/>
      </c>
      <c r="Q314">
        <f>IF(K314="OK","-",IF(N314&lt;$B$7,"AMBIGUOUS","CONFIDENT"))</f>
        <v/>
      </c>
    </row>
    <row r="315">
      <c r="A315">
        <f>'Runs Z score'!A307</f>
        <v/>
      </c>
      <c r="B315">
        <f>'Runs Z score'!B307</f>
        <v/>
      </c>
      <c r="C315">
        <f>'Runs Z score'!C307</f>
        <v/>
      </c>
      <c r="D315">
        <f>'Runs Z score'!D307</f>
        <v/>
      </c>
      <c r="E315">
        <f>'Runs Z score'!E307</f>
        <v/>
      </c>
      <c r="F315">
        <f>'Runs Z score'!F307</f>
        <v/>
      </c>
      <c r="G315">
        <f>'Runs Z score'!G307</f>
        <v/>
      </c>
      <c r="H315">
        <f>VLOOKUP(C315,Recipes!$A$2:$N$4,10,FALSE())</f>
        <v/>
      </c>
      <c r="I315">
        <f>VLOOKUP(C315,Recipes!$A$2:$N$4,12,FALSE())</f>
        <v/>
      </c>
      <c r="J315">
        <f>IF(G315="","",H315-G315)</f>
        <v/>
      </c>
      <c r="K315">
        <f>IF(G315="","",IF(ABS(G315-H315)&lt;=$B$6*I315,"OK","NG"))</f>
        <v/>
      </c>
      <c r="L315">
        <f>IF(K315="","",IF(K315=D315,1,0))</f>
        <v/>
      </c>
      <c r="M315" t="inlineStr">
        <is>
          <t>S1</t>
        </is>
      </c>
      <c r="N315" s="15" t="n">
        <v>0.9194</v>
      </c>
      <c r="O315" s="15" t="n">
        <v>0.046</v>
      </c>
      <c r="P315">
        <f>IF(M315="","",IF(M315=E315,1,0))</f>
        <v/>
      </c>
      <c r="Q315">
        <f>IF(K315="OK","-",IF(N315&lt;$B$7,"AMBIGUOUS","CONFIDENT"))</f>
        <v/>
      </c>
    </row>
    <row r="316">
      <c r="A316">
        <f>'Runs Z score'!A308</f>
        <v/>
      </c>
      <c r="B316">
        <f>'Runs Z score'!B308</f>
        <v/>
      </c>
      <c r="C316">
        <f>'Runs Z score'!C308</f>
        <v/>
      </c>
      <c r="D316">
        <f>'Runs Z score'!D308</f>
        <v/>
      </c>
      <c r="E316">
        <f>'Runs Z score'!E308</f>
        <v/>
      </c>
      <c r="F316">
        <f>'Runs Z score'!F308</f>
        <v/>
      </c>
      <c r="G316">
        <f>'Runs Z score'!G308</f>
        <v/>
      </c>
      <c r="H316">
        <f>VLOOKUP(C316,Recipes!$A$2:$N$4,10,FALSE())</f>
        <v/>
      </c>
      <c r="I316">
        <f>VLOOKUP(C316,Recipes!$A$2:$N$4,12,FALSE())</f>
        <v/>
      </c>
      <c r="J316">
        <f>IF(G316="","",H316-G316)</f>
        <v/>
      </c>
      <c r="K316">
        <f>IF(G316="","",IF(ABS(G316-H316)&lt;=$B$6*I316,"OK","NG"))</f>
        <v/>
      </c>
      <c r="L316">
        <f>IF(K316="","",IF(K316=D316,1,0))</f>
        <v/>
      </c>
      <c r="M316" t="inlineStr">
        <is>
          <t>S1</t>
        </is>
      </c>
      <c r="N316" s="15" t="n">
        <v>0.9316</v>
      </c>
      <c r="O316" s="15" t="n">
        <v>0.0379</v>
      </c>
      <c r="P316">
        <f>IF(M316="","",IF(M316=E316,1,0))</f>
        <v/>
      </c>
      <c r="Q316">
        <f>IF(K316="OK","-",IF(N316&lt;$B$7,"AMBIGUOUS","CONFIDENT"))</f>
        <v/>
      </c>
    </row>
    <row r="317">
      <c r="A317">
        <f>'Runs Z score'!A309</f>
        <v/>
      </c>
      <c r="B317">
        <f>'Runs Z score'!B309</f>
        <v/>
      </c>
      <c r="C317">
        <f>'Runs Z score'!C309</f>
        <v/>
      </c>
      <c r="D317">
        <f>'Runs Z score'!D309</f>
        <v/>
      </c>
      <c r="E317">
        <f>'Runs Z score'!E309</f>
        <v/>
      </c>
      <c r="F317">
        <f>'Runs Z score'!F309</f>
        <v/>
      </c>
      <c r="G317">
        <f>'Runs Z score'!G309</f>
        <v/>
      </c>
      <c r="H317">
        <f>VLOOKUP(C317,Recipes!$A$2:$N$4,10,FALSE())</f>
        <v/>
      </c>
      <c r="I317">
        <f>VLOOKUP(C317,Recipes!$A$2:$N$4,12,FALSE())</f>
        <v/>
      </c>
      <c r="J317">
        <f>IF(G317="","",H317-G317)</f>
        <v/>
      </c>
      <c r="K317">
        <f>IF(G317="","",IF(ABS(G317-H317)&lt;=$B$6*I317,"OK","NG"))</f>
        <v/>
      </c>
      <c r="L317">
        <f>IF(K317="","",IF(K317=D317,1,0))</f>
        <v/>
      </c>
      <c r="M317" t="inlineStr">
        <is>
          <t>S1</t>
        </is>
      </c>
      <c r="N317" s="15" t="n">
        <v>0.9217</v>
      </c>
      <c r="O317" s="15" t="n">
        <v>0.0445</v>
      </c>
      <c r="P317">
        <f>IF(M317="","",IF(M317=E317,1,0))</f>
        <v/>
      </c>
      <c r="Q317">
        <f>IF(K317="OK","-",IF(N317&lt;$B$7,"AMBIGUOUS","CONFIDENT"))</f>
        <v/>
      </c>
    </row>
    <row r="318">
      <c r="A318">
        <f>'Runs Z score'!A310</f>
        <v/>
      </c>
      <c r="B318">
        <f>'Runs Z score'!B310</f>
        <v/>
      </c>
      <c r="C318">
        <f>'Runs Z score'!C310</f>
        <v/>
      </c>
      <c r="D318">
        <f>'Runs Z score'!D310</f>
        <v/>
      </c>
      <c r="E318">
        <f>'Runs Z score'!E310</f>
        <v/>
      </c>
      <c r="F318">
        <f>'Runs Z score'!F310</f>
        <v/>
      </c>
      <c r="G318">
        <f>'Runs Z score'!G310</f>
        <v/>
      </c>
      <c r="H318">
        <f>VLOOKUP(C318,Recipes!$A$2:$N$4,10,FALSE())</f>
        <v/>
      </c>
      <c r="I318">
        <f>VLOOKUP(C318,Recipes!$A$2:$N$4,12,FALSE())</f>
        <v/>
      </c>
      <c r="J318">
        <f>IF(G318="","",H318-G318)</f>
        <v/>
      </c>
      <c r="K318">
        <f>IF(G318="","",IF(ABS(G318-H318)&lt;=$B$6*I318,"OK","NG"))</f>
        <v/>
      </c>
      <c r="L318">
        <f>IF(K318="","",IF(K318=D318,1,0))</f>
        <v/>
      </c>
      <c r="M318" t="inlineStr">
        <is>
          <t>S1</t>
        </is>
      </c>
      <c r="N318" s="15" t="n">
        <v>0.9427</v>
      </c>
      <c r="O318" s="15" t="n">
        <v>0.0308</v>
      </c>
      <c r="P318">
        <f>IF(M318="","",IF(M318=E318,1,0))</f>
        <v/>
      </c>
      <c r="Q318">
        <f>IF(K318="OK","-",IF(N318&lt;$B$7,"AMBIGUOUS","CONFIDENT"))</f>
        <v/>
      </c>
    </row>
    <row r="319">
      <c r="A319">
        <f>'Runs Z score'!A311</f>
        <v/>
      </c>
      <c r="B319">
        <f>'Runs Z score'!B311</f>
        <v/>
      </c>
      <c r="C319">
        <f>'Runs Z score'!C311</f>
        <v/>
      </c>
      <c r="D319">
        <f>'Runs Z score'!D311</f>
        <v/>
      </c>
      <c r="E319">
        <f>'Runs Z score'!E311</f>
        <v/>
      </c>
      <c r="F319">
        <f>'Runs Z score'!F311</f>
        <v/>
      </c>
      <c r="G319">
        <f>'Runs Z score'!G311</f>
        <v/>
      </c>
      <c r="H319">
        <f>VLOOKUP(C319,Recipes!$A$2:$N$4,10,FALSE())</f>
        <v/>
      </c>
      <c r="I319">
        <f>VLOOKUP(C319,Recipes!$A$2:$N$4,12,FALSE())</f>
        <v/>
      </c>
      <c r="J319">
        <f>IF(G319="","",H319-G319)</f>
        <v/>
      </c>
      <c r="K319">
        <f>IF(G319="","",IF(ABS(G319-H319)&lt;=$B$6*I319,"OK","NG"))</f>
        <v/>
      </c>
      <c r="L319">
        <f>IF(K319="","",IF(K319=D319,1,0))</f>
        <v/>
      </c>
      <c r="M319" t="inlineStr">
        <is>
          <t>S1</t>
        </is>
      </c>
      <c r="N319" s="15" t="n">
        <v>0.9118000000000001</v>
      </c>
      <c r="O319" s="15" t="n">
        <v>0.0504</v>
      </c>
      <c r="P319">
        <f>IF(M319="","",IF(M319=E319,1,0))</f>
        <v/>
      </c>
      <c r="Q319">
        <f>IF(K319="OK","-",IF(N319&lt;$B$7,"AMBIGUOUS","CONFIDENT"))</f>
        <v/>
      </c>
    </row>
    <row r="320">
      <c r="A320">
        <f>'Runs Z score'!A312</f>
        <v/>
      </c>
      <c r="B320">
        <f>'Runs Z score'!B312</f>
        <v/>
      </c>
      <c r="C320">
        <f>'Runs Z score'!C312</f>
        <v/>
      </c>
      <c r="D320">
        <f>'Runs Z score'!D312</f>
        <v/>
      </c>
      <c r="E320">
        <f>'Runs Z score'!E312</f>
        <v/>
      </c>
      <c r="F320">
        <f>'Runs Z score'!F312</f>
        <v/>
      </c>
      <c r="G320">
        <f>'Runs Z score'!G312</f>
        <v/>
      </c>
      <c r="H320">
        <f>VLOOKUP(C320,Recipes!$A$2:$N$4,10,FALSE())</f>
        <v/>
      </c>
      <c r="I320">
        <f>VLOOKUP(C320,Recipes!$A$2:$N$4,12,FALSE())</f>
        <v/>
      </c>
      <c r="J320">
        <f>IF(G320="","",H320-G320)</f>
        <v/>
      </c>
      <c r="K320">
        <f>IF(G320="","",IF(ABS(G320-H320)&lt;=$B$6*I320,"OK","NG"))</f>
        <v/>
      </c>
      <c r="L320">
        <f>IF(K320="","",IF(K320=D320,1,0))</f>
        <v/>
      </c>
      <c r="M320" t="inlineStr">
        <is>
          <t>S1</t>
        </is>
      </c>
      <c r="N320" s="15" t="n">
        <v>0.91</v>
      </c>
      <c r="O320" s="15" t="n">
        <v>0.0522</v>
      </c>
      <c r="P320">
        <f>IF(M320="","",IF(M320=E320,1,0))</f>
        <v/>
      </c>
      <c r="Q320">
        <f>IF(K320="OK","-",IF(N320&lt;$B$7,"AMBIGUOUS","CONFIDENT"))</f>
        <v/>
      </c>
    </row>
    <row r="321">
      <c r="A321">
        <f>'Runs Z score'!A313</f>
        <v/>
      </c>
      <c r="B321">
        <f>'Runs Z score'!B313</f>
        <v/>
      </c>
      <c r="C321">
        <f>'Runs Z score'!C313</f>
        <v/>
      </c>
      <c r="D321">
        <f>'Runs Z score'!D313</f>
        <v/>
      </c>
      <c r="E321">
        <f>'Runs Z score'!E313</f>
        <v/>
      </c>
      <c r="F321">
        <f>'Runs Z score'!F313</f>
        <v/>
      </c>
      <c r="G321">
        <f>'Runs Z score'!G313</f>
        <v/>
      </c>
      <c r="H321">
        <f>VLOOKUP(C321,Recipes!$A$2:$N$4,10,FALSE())</f>
        <v/>
      </c>
      <c r="I321">
        <f>VLOOKUP(C321,Recipes!$A$2:$N$4,12,FALSE())</f>
        <v/>
      </c>
      <c r="J321">
        <f>IF(G321="","",H321-G321)</f>
        <v/>
      </c>
      <c r="K321">
        <f>IF(G321="","",IF(ABS(G321-H321)&lt;=$B$6*I321,"OK","NG"))</f>
        <v/>
      </c>
      <c r="L321">
        <f>IF(K321="","",IF(K321=D321,1,0))</f>
        <v/>
      </c>
      <c r="M321" t="inlineStr">
        <is>
          <t>S1</t>
        </is>
      </c>
      <c r="N321" s="15" t="n">
        <v>0.9288999999999999</v>
      </c>
      <c r="O321" s="15" t="n">
        <v>0.0396</v>
      </c>
      <c r="P321">
        <f>IF(M321="","",IF(M321=E321,1,0))</f>
        <v/>
      </c>
      <c r="Q321">
        <f>IF(K321="OK","-",IF(N321&lt;$B$7,"AMBIGUOUS","CONFIDENT"))</f>
        <v/>
      </c>
    </row>
    <row r="322">
      <c r="A322">
        <f>'Runs Z score'!A314</f>
        <v/>
      </c>
      <c r="B322">
        <f>'Runs Z score'!B314</f>
        <v/>
      </c>
      <c r="C322">
        <f>'Runs Z score'!C314</f>
        <v/>
      </c>
      <c r="D322">
        <f>'Runs Z score'!D314</f>
        <v/>
      </c>
      <c r="E322">
        <f>'Runs Z score'!E314</f>
        <v/>
      </c>
      <c r="F322">
        <f>'Runs Z score'!F314</f>
        <v/>
      </c>
      <c r="G322">
        <f>'Runs Z score'!G314</f>
        <v/>
      </c>
      <c r="H322">
        <f>VLOOKUP(C322,Recipes!$A$2:$N$4,10,FALSE())</f>
        <v/>
      </c>
      <c r="I322">
        <f>VLOOKUP(C322,Recipes!$A$2:$N$4,12,FALSE())</f>
        <v/>
      </c>
      <c r="J322">
        <f>IF(G322="","",H322-G322)</f>
        <v/>
      </c>
      <c r="K322">
        <f>IF(G322="","",IF(ABS(G322-H322)&lt;=$B$6*I322,"OK","NG"))</f>
        <v/>
      </c>
      <c r="L322">
        <f>IF(K322="","",IF(K322=D322,1,0))</f>
        <v/>
      </c>
      <c r="M322" t="inlineStr">
        <is>
          <t>S1</t>
        </is>
      </c>
      <c r="N322" s="15" t="n">
        <v>0.9267</v>
      </c>
      <c r="O322" s="15" t="n">
        <v>0.041</v>
      </c>
      <c r="P322">
        <f>IF(M322="","",IF(M322=E322,1,0))</f>
        <v/>
      </c>
      <c r="Q322">
        <f>IF(K322="OK","-",IF(N322&lt;$B$7,"AMBIGUOUS","CONFIDENT"))</f>
        <v/>
      </c>
    </row>
    <row r="323">
      <c r="A323">
        <f>'Runs Z score'!A315</f>
        <v/>
      </c>
      <c r="B323">
        <f>'Runs Z score'!B315</f>
        <v/>
      </c>
      <c r="C323">
        <f>'Runs Z score'!C315</f>
        <v/>
      </c>
      <c r="D323">
        <f>'Runs Z score'!D315</f>
        <v/>
      </c>
      <c r="E323">
        <f>'Runs Z score'!E315</f>
        <v/>
      </c>
      <c r="F323">
        <f>'Runs Z score'!F315</f>
        <v/>
      </c>
      <c r="G323">
        <f>'Runs Z score'!G315</f>
        <v/>
      </c>
      <c r="H323">
        <f>VLOOKUP(C323,Recipes!$A$2:$N$4,10,FALSE())</f>
        <v/>
      </c>
      <c r="I323">
        <f>VLOOKUP(C323,Recipes!$A$2:$N$4,12,FALSE())</f>
        <v/>
      </c>
      <c r="J323">
        <f>IF(G323="","",H323-G323)</f>
        <v/>
      </c>
      <c r="K323">
        <f>IF(G323="","",IF(ABS(G323-H323)&lt;=$B$6*I323,"OK","NG"))</f>
        <v/>
      </c>
      <c r="L323">
        <f>IF(K323="","",IF(K323=D323,1,0))</f>
        <v/>
      </c>
      <c r="M323" t="inlineStr">
        <is>
          <t>S1</t>
        </is>
      </c>
      <c r="N323" s="15" t="n">
        <v>0.9288999999999999</v>
      </c>
      <c r="O323" s="15" t="n">
        <v>0.0396</v>
      </c>
      <c r="P323">
        <f>IF(M323="","",IF(M323=E323,1,0))</f>
        <v/>
      </c>
      <c r="Q323">
        <f>IF(K323="OK","-",IF(N323&lt;$B$7,"AMBIGUOUS","CONFIDENT"))</f>
        <v/>
      </c>
    </row>
    <row r="324">
      <c r="A324">
        <f>'Runs Z score'!A316</f>
        <v/>
      </c>
      <c r="B324">
        <f>'Runs Z score'!B316</f>
        <v/>
      </c>
      <c r="C324">
        <f>'Runs Z score'!C316</f>
        <v/>
      </c>
      <c r="D324">
        <f>'Runs Z score'!D316</f>
        <v/>
      </c>
      <c r="E324">
        <f>'Runs Z score'!E316</f>
        <v/>
      </c>
      <c r="F324">
        <f>'Runs Z score'!F316</f>
        <v/>
      </c>
      <c r="G324">
        <f>'Runs Z score'!G316</f>
        <v/>
      </c>
      <c r="H324">
        <f>VLOOKUP(C324,Recipes!$A$2:$N$4,10,FALSE())</f>
        <v/>
      </c>
      <c r="I324">
        <f>VLOOKUP(C324,Recipes!$A$2:$N$4,12,FALSE())</f>
        <v/>
      </c>
      <c r="J324">
        <f>IF(G324="","",H324-G324)</f>
        <v/>
      </c>
      <c r="K324">
        <f>IF(G324="","",IF(ABS(G324-H324)&lt;=$B$6*I324,"OK","NG"))</f>
        <v/>
      </c>
      <c r="L324">
        <f>IF(K324="","",IF(K324=D324,1,0))</f>
        <v/>
      </c>
      <c r="M324" t="inlineStr">
        <is>
          <t>S1</t>
        </is>
      </c>
      <c r="N324" s="15" t="n">
        <v>0.9288</v>
      </c>
      <c r="O324" s="15" t="n">
        <v>0.0397</v>
      </c>
      <c r="P324">
        <f>IF(M324="","",IF(M324=E324,1,0))</f>
        <v/>
      </c>
      <c r="Q324">
        <f>IF(K324="OK","-",IF(N324&lt;$B$7,"AMBIGUOUS","CONFIDENT"))</f>
        <v/>
      </c>
    </row>
    <row r="325">
      <c r="A325">
        <f>'Runs Z score'!A317</f>
        <v/>
      </c>
      <c r="B325">
        <f>'Runs Z score'!B317</f>
        <v/>
      </c>
      <c r="C325">
        <f>'Runs Z score'!C317</f>
        <v/>
      </c>
      <c r="D325">
        <f>'Runs Z score'!D317</f>
        <v/>
      </c>
      <c r="E325">
        <f>'Runs Z score'!E317</f>
        <v/>
      </c>
      <c r="F325">
        <f>'Runs Z score'!F317</f>
        <v/>
      </c>
      <c r="G325">
        <f>'Runs Z score'!G317</f>
        <v/>
      </c>
      <c r="H325">
        <f>VLOOKUP(C325,Recipes!$A$2:$N$4,10,FALSE())</f>
        <v/>
      </c>
      <c r="I325">
        <f>VLOOKUP(C325,Recipes!$A$2:$N$4,12,FALSE())</f>
        <v/>
      </c>
      <c r="J325">
        <f>IF(G325="","",H325-G325)</f>
        <v/>
      </c>
      <c r="K325">
        <f>IF(G325="","",IF(ABS(G325-H325)&lt;=$B$6*I325,"OK","NG"))</f>
        <v/>
      </c>
      <c r="L325">
        <f>IF(K325="","",IF(K325=D325,1,0))</f>
        <v/>
      </c>
      <c r="M325" t="inlineStr">
        <is>
          <t>S1</t>
        </is>
      </c>
      <c r="N325" s="15" t="n">
        <v>0.9396</v>
      </c>
      <c r="O325" s="15" t="n">
        <v>0.0328</v>
      </c>
      <c r="P325">
        <f>IF(M325="","",IF(M325=E325,1,0))</f>
        <v/>
      </c>
      <c r="Q325">
        <f>IF(K325="OK","-",IF(N325&lt;$B$7,"AMBIGUOUS","CONFIDENT"))</f>
        <v/>
      </c>
    </row>
    <row r="326">
      <c r="A326">
        <f>'Runs Z score'!A318</f>
        <v/>
      </c>
      <c r="B326">
        <f>'Runs Z score'!B318</f>
        <v/>
      </c>
      <c r="C326">
        <f>'Runs Z score'!C318</f>
        <v/>
      </c>
      <c r="D326">
        <f>'Runs Z score'!D318</f>
        <v/>
      </c>
      <c r="E326">
        <f>'Runs Z score'!E318</f>
        <v/>
      </c>
      <c r="F326">
        <f>'Runs Z score'!F318</f>
        <v/>
      </c>
      <c r="G326">
        <f>'Runs Z score'!G318</f>
        <v/>
      </c>
      <c r="H326">
        <f>VLOOKUP(C326,Recipes!$A$2:$N$4,10,FALSE())</f>
        <v/>
      </c>
      <c r="I326">
        <f>VLOOKUP(C326,Recipes!$A$2:$N$4,12,FALSE())</f>
        <v/>
      </c>
      <c r="J326">
        <f>IF(G326="","",H326-G326)</f>
        <v/>
      </c>
      <c r="K326">
        <f>IF(G326="","",IF(ABS(G326-H326)&lt;=$B$6*I326,"OK","NG"))</f>
        <v/>
      </c>
      <c r="L326">
        <f>IF(K326="","",IF(K326=D326,1,0))</f>
        <v/>
      </c>
      <c r="M326" t="inlineStr">
        <is>
          <t>S1</t>
        </is>
      </c>
      <c r="N326" s="15" t="n">
        <v>0.9165</v>
      </c>
      <c r="O326" s="15" t="n">
        <v>0.0479</v>
      </c>
      <c r="P326">
        <f>IF(M326="","",IF(M326=E326,1,0))</f>
        <v/>
      </c>
      <c r="Q326">
        <f>IF(K326="OK","-",IF(N326&lt;$B$7,"AMBIGUOUS","CONFIDENT"))</f>
        <v/>
      </c>
    </row>
    <row r="327">
      <c r="A327">
        <f>'Runs Z score'!A319</f>
        <v/>
      </c>
      <c r="B327">
        <f>'Runs Z score'!B319</f>
        <v/>
      </c>
      <c r="C327">
        <f>'Runs Z score'!C319</f>
        <v/>
      </c>
      <c r="D327">
        <f>'Runs Z score'!D319</f>
        <v/>
      </c>
      <c r="E327">
        <f>'Runs Z score'!E319</f>
        <v/>
      </c>
      <c r="F327">
        <f>'Runs Z score'!F319</f>
        <v/>
      </c>
      <c r="G327">
        <f>'Runs Z score'!G319</f>
        <v/>
      </c>
      <c r="H327">
        <f>VLOOKUP(C327,Recipes!$A$2:$N$4,10,FALSE())</f>
        <v/>
      </c>
      <c r="I327">
        <f>VLOOKUP(C327,Recipes!$A$2:$N$4,12,FALSE())</f>
        <v/>
      </c>
      <c r="J327">
        <f>IF(G327="","",H327-G327)</f>
        <v/>
      </c>
      <c r="K327">
        <f>IF(G327="","",IF(ABS(G327-H327)&lt;=$B$6*I327,"OK","NG"))</f>
        <v/>
      </c>
      <c r="L327">
        <f>IF(K327="","",IF(K327=D327,1,0))</f>
        <v/>
      </c>
      <c r="M327" t="inlineStr">
        <is>
          <t>S1</t>
        </is>
      </c>
      <c r="N327" s="15" t="n">
        <v>0.9354</v>
      </c>
      <c r="O327" s="15" t="n">
        <v>0.0355</v>
      </c>
      <c r="P327">
        <f>IF(M327="","",IF(M327=E327,1,0))</f>
        <v/>
      </c>
      <c r="Q327">
        <f>IF(K327="OK","-",IF(N327&lt;$B$7,"AMBIGUOUS","CONFIDENT"))</f>
        <v/>
      </c>
    </row>
    <row r="328">
      <c r="A328">
        <f>'Runs Z score'!A320</f>
        <v/>
      </c>
      <c r="B328">
        <f>'Runs Z score'!B320</f>
        <v/>
      </c>
      <c r="C328">
        <f>'Runs Z score'!C320</f>
        <v/>
      </c>
      <c r="D328">
        <f>'Runs Z score'!D320</f>
        <v/>
      </c>
      <c r="E328">
        <f>'Runs Z score'!E320</f>
        <v/>
      </c>
      <c r="F328">
        <f>'Runs Z score'!F320</f>
        <v/>
      </c>
      <c r="G328">
        <f>'Runs Z score'!G320</f>
        <v/>
      </c>
      <c r="H328">
        <f>VLOOKUP(C328,Recipes!$A$2:$N$4,10,FALSE())</f>
        <v/>
      </c>
      <c r="I328">
        <f>VLOOKUP(C328,Recipes!$A$2:$N$4,12,FALSE())</f>
        <v/>
      </c>
      <c r="J328">
        <f>IF(G328="","",H328-G328)</f>
        <v/>
      </c>
      <c r="K328">
        <f>IF(G328="","",IF(ABS(G328-H328)&lt;=$B$6*I328,"OK","NG"))</f>
        <v/>
      </c>
      <c r="L328">
        <f>IF(K328="","",IF(K328=D328,1,0))</f>
        <v/>
      </c>
      <c r="M328" t="inlineStr">
        <is>
          <t>S1</t>
        </is>
      </c>
      <c r="N328" s="15" t="n">
        <v>0.916</v>
      </c>
      <c r="O328" s="15" t="n">
        <v>0.0481</v>
      </c>
      <c r="P328">
        <f>IF(M328="","",IF(M328=E328,1,0))</f>
        <v/>
      </c>
      <c r="Q328">
        <f>IF(K328="OK","-",IF(N328&lt;$B$7,"AMBIGUOUS","CONFIDENT"))</f>
        <v/>
      </c>
    </row>
    <row r="329">
      <c r="A329">
        <f>'Runs Z score'!A321</f>
        <v/>
      </c>
      <c r="B329">
        <f>'Runs Z score'!B321</f>
        <v/>
      </c>
      <c r="C329">
        <f>'Runs Z score'!C321</f>
        <v/>
      </c>
      <c r="D329">
        <f>'Runs Z score'!D321</f>
        <v/>
      </c>
      <c r="E329">
        <f>'Runs Z score'!E321</f>
        <v/>
      </c>
      <c r="F329">
        <f>'Runs Z score'!F321</f>
        <v/>
      </c>
      <c r="G329">
        <f>'Runs Z score'!G321</f>
        <v/>
      </c>
      <c r="H329">
        <f>VLOOKUP(C329,Recipes!$A$2:$N$4,10,FALSE())</f>
        <v/>
      </c>
      <c r="I329">
        <f>VLOOKUP(C329,Recipes!$A$2:$N$4,12,FALSE())</f>
        <v/>
      </c>
      <c r="J329">
        <f>IF(G329="","",H329-G329)</f>
        <v/>
      </c>
      <c r="K329">
        <f>IF(G329="","",IF(ABS(G329-H329)&lt;=$B$6*I329,"OK","NG"))</f>
        <v/>
      </c>
      <c r="L329">
        <f>IF(K329="","",IF(K329=D329,1,0))</f>
        <v/>
      </c>
      <c r="M329" t="inlineStr">
        <is>
          <t>S1</t>
        </is>
      </c>
      <c r="N329" s="15" t="n">
        <v>0.9291</v>
      </c>
      <c r="O329" s="15" t="n">
        <v>0.0397</v>
      </c>
      <c r="P329">
        <f>IF(M329="","",IF(M329=E329,1,0))</f>
        <v/>
      </c>
      <c r="Q329">
        <f>IF(K329="OK","-",IF(N329&lt;$B$7,"AMBIGUOUS","CONFIDENT"))</f>
        <v/>
      </c>
    </row>
    <row r="330">
      <c r="A330">
        <f>'Runs Z score'!A322</f>
        <v/>
      </c>
      <c r="B330">
        <f>'Runs Z score'!B322</f>
        <v/>
      </c>
      <c r="C330">
        <f>'Runs Z score'!C322</f>
        <v/>
      </c>
      <c r="D330">
        <f>'Runs Z score'!D322</f>
        <v/>
      </c>
      <c r="E330">
        <f>'Runs Z score'!E322</f>
        <v/>
      </c>
      <c r="F330">
        <f>'Runs Z score'!F322</f>
        <v/>
      </c>
      <c r="G330">
        <f>'Runs Z score'!G322</f>
        <v/>
      </c>
      <c r="H330">
        <f>VLOOKUP(C330,Recipes!$A$2:$N$4,10,FALSE())</f>
        <v/>
      </c>
      <c r="I330">
        <f>VLOOKUP(C330,Recipes!$A$2:$N$4,12,FALSE())</f>
        <v/>
      </c>
      <c r="J330">
        <f>IF(G330="","",H330-G330)</f>
        <v/>
      </c>
      <c r="K330">
        <f>IF(G330="","",IF(ABS(G330-H330)&lt;=$B$6*I330,"OK","NG"))</f>
        <v/>
      </c>
      <c r="L330">
        <f>IF(K330="","",IF(K330=D330,1,0))</f>
        <v/>
      </c>
      <c r="M330" t="inlineStr">
        <is>
          <t>S1</t>
        </is>
      </c>
      <c r="N330" s="15" t="n">
        <v>0.9392</v>
      </c>
      <c r="O330" s="15" t="n">
        <v>0.033</v>
      </c>
      <c r="P330">
        <f>IF(M330="","",IF(M330=E330,1,0))</f>
        <v/>
      </c>
      <c r="Q330">
        <f>IF(K330="OK","-",IF(N330&lt;$B$7,"AMBIGUOUS","CONFIDENT"))</f>
        <v/>
      </c>
    </row>
    <row r="331">
      <c r="A331">
        <f>'Runs Z score'!A323</f>
        <v/>
      </c>
      <c r="B331">
        <f>'Runs Z score'!B323</f>
        <v/>
      </c>
      <c r="C331">
        <f>'Runs Z score'!C323</f>
        <v/>
      </c>
      <c r="D331">
        <f>'Runs Z score'!D323</f>
        <v/>
      </c>
      <c r="E331">
        <f>'Runs Z score'!E323</f>
        <v/>
      </c>
      <c r="F331">
        <f>'Runs Z score'!F323</f>
        <v/>
      </c>
      <c r="G331">
        <f>'Runs Z score'!G323</f>
        <v/>
      </c>
      <c r="H331">
        <f>VLOOKUP(C331,Recipes!$A$2:$N$4,10,FALSE())</f>
        <v/>
      </c>
      <c r="I331">
        <f>VLOOKUP(C331,Recipes!$A$2:$N$4,12,FALSE())</f>
        <v/>
      </c>
      <c r="J331">
        <f>IF(G331="","",H331-G331)</f>
        <v/>
      </c>
      <c r="K331">
        <f>IF(G331="","",IF(ABS(G331-H331)&lt;=$B$6*I331,"OK","NG"))</f>
        <v/>
      </c>
      <c r="L331">
        <f>IF(K331="","",IF(K331=D331,1,0))</f>
        <v/>
      </c>
      <c r="M331" t="inlineStr">
        <is>
          <t>S1</t>
        </is>
      </c>
      <c r="N331" s="15" t="n">
        <v>0.9476</v>
      </c>
      <c r="O331" s="15" t="n">
        <v>0.0277</v>
      </c>
      <c r="P331">
        <f>IF(M331="","",IF(M331=E331,1,0))</f>
        <v/>
      </c>
      <c r="Q331">
        <f>IF(K331="OK","-",IF(N331&lt;$B$7,"AMBIGUOUS","CONFIDENT"))</f>
        <v/>
      </c>
    </row>
    <row r="332">
      <c r="A332">
        <f>'Runs Z score'!A324</f>
        <v/>
      </c>
      <c r="B332">
        <f>'Runs Z score'!B324</f>
        <v/>
      </c>
      <c r="C332">
        <f>'Runs Z score'!C324</f>
        <v/>
      </c>
      <c r="D332">
        <f>'Runs Z score'!D324</f>
        <v/>
      </c>
      <c r="E332">
        <f>'Runs Z score'!E324</f>
        <v/>
      </c>
      <c r="F332">
        <f>'Runs Z score'!F324</f>
        <v/>
      </c>
      <c r="G332">
        <f>'Runs Z score'!G324</f>
        <v/>
      </c>
      <c r="H332">
        <f>VLOOKUP(C332,Recipes!$A$2:$N$4,10,FALSE())</f>
        <v/>
      </c>
      <c r="I332">
        <f>VLOOKUP(C332,Recipes!$A$2:$N$4,12,FALSE())</f>
        <v/>
      </c>
      <c r="J332">
        <f>IF(G332="","",H332-G332)</f>
        <v/>
      </c>
      <c r="K332">
        <f>IF(G332="","",IF(ABS(G332-H332)&lt;=$B$6*I332,"OK","NG"))</f>
        <v/>
      </c>
      <c r="L332">
        <f>IF(K332="","",IF(K332=D332,1,0))</f>
        <v/>
      </c>
      <c r="M332" t="inlineStr">
        <is>
          <t>S1</t>
        </is>
      </c>
      <c r="N332" s="15" t="n">
        <v>0.9374</v>
      </c>
      <c r="O332" s="15" t="n">
        <v>0.0343</v>
      </c>
      <c r="P332">
        <f>IF(M332="","",IF(M332=E332,1,0))</f>
        <v/>
      </c>
      <c r="Q332">
        <f>IF(K332="OK","-",IF(N332&lt;$B$7,"AMBIGUOUS","CONFIDENT"))</f>
        <v/>
      </c>
    </row>
    <row r="333">
      <c r="A333">
        <f>'Runs Z score'!A325</f>
        <v/>
      </c>
      <c r="B333">
        <f>'Runs Z score'!B325</f>
        <v/>
      </c>
      <c r="C333">
        <f>'Runs Z score'!C325</f>
        <v/>
      </c>
      <c r="D333">
        <f>'Runs Z score'!D325</f>
        <v/>
      </c>
      <c r="E333">
        <f>'Runs Z score'!E325</f>
        <v/>
      </c>
      <c r="F333">
        <f>'Runs Z score'!F325</f>
        <v/>
      </c>
      <c r="G333">
        <f>'Runs Z score'!G325</f>
        <v/>
      </c>
      <c r="H333">
        <f>VLOOKUP(C333,Recipes!$A$2:$N$4,10,FALSE())</f>
        <v/>
      </c>
      <c r="I333">
        <f>VLOOKUP(C333,Recipes!$A$2:$N$4,12,FALSE())</f>
        <v/>
      </c>
      <c r="J333">
        <f>IF(G333="","",H333-G333)</f>
        <v/>
      </c>
      <c r="K333">
        <f>IF(G333="","",IF(ABS(G333-H333)&lt;=$B$6*I333,"OK","NG"))</f>
        <v/>
      </c>
      <c r="L333">
        <f>IF(K333="","",IF(K333=D333,1,0))</f>
        <v/>
      </c>
      <c r="M333" t="inlineStr">
        <is>
          <t>S1</t>
        </is>
      </c>
      <c r="N333" s="15" t="n">
        <v>0.9337</v>
      </c>
      <c r="O333" s="15" t="n">
        <v>0.0366</v>
      </c>
      <c r="P333">
        <f>IF(M333="","",IF(M333=E333,1,0))</f>
        <v/>
      </c>
      <c r="Q333">
        <f>IF(K333="OK","-",IF(N333&lt;$B$7,"AMBIGUOUS","CONFIDENT"))</f>
        <v/>
      </c>
    </row>
    <row r="334">
      <c r="A334">
        <f>'Runs Z score'!A326</f>
        <v/>
      </c>
      <c r="B334">
        <f>'Runs Z score'!B326</f>
        <v/>
      </c>
      <c r="C334">
        <f>'Runs Z score'!C326</f>
        <v/>
      </c>
      <c r="D334">
        <f>'Runs Z score'!D326</f>
        <v/>
      </c>
      <c r="E334">
        <f>'Runs Z score'!E326</f>
        <v/>
      </c>
      <c r="F334">
        <f>'Runs Z score'!F326</f>
        <v/>
      </c>
      <c r="G334">
        <f>'Runs Z score'!G326</f>
        <v/>
      </c>
      <c r="H334">
        <f>VLOOKUP(C334,Recipes!$A$2:$N$4,10,FALSE())</f>
        <v/>
      </c>
      <c r="I334">
        <f>VLOOKUP(C334,Recipes!$A$2:$N$4,12,FALSE())</f>
        <v/>
      </c>
      <c r="J334">
        <f>IF(G334="","",H334-G334)</f>
        <v/>
      </c>
      <c r="K334">
        <f>IF(G334="","",IF(ABS(G334-H334)&lt;=$B$6*I334,"OK","NG"))</f>
        <v/>
      </c>
      <c r="L334">
        <f>IF(K334="","",IF(K334=D334,1,0))</f>
        <v/>
      </c>
      <c r="M334" t="inlineStr">
        <is>
          <t>S1</t>
        </is>
      </c>
      <c r="N334" s="15" t="n">
        <v>0.9313</v>
      </c>
      <c r="O334" s="15" t="n">
        <v>0.0382</v>
      </c>
      <c r="P334">
        <f>IF(M334="","",IF(M334=E334,1,0))</f>
        <v/>
      </c>
      <c r="Q334">
        <f>IF(K334="OK","-",IF(N334&lt;$B$7,"AMBIGUOUS","CONFIDENT"))</f>
        <v/>
      </c>
    </row>
    <row r="335">
      <c r="A335">
        <f>'Runs Z score'!A327</f>
        <v/>
      </c>
      <c r="B335">
        <f>'Runs Z score'!B327</f>
        <v/>
      </c>
      <c r="C335">
        <f>'Runs Z score'!C327</f>
        <v/>
      </c>
      <c r="D335">
        <f>'Runs Z score'!D327</f>
        <v/>
      </c>
      <c r="E335">
        <f>'Runs Z score'!E327</f>
        <v/>
      </c>
      <c r="F335">
        <f>'Runs Z score'!F327</f>
        <v/>
      </c>
      <c r="G335">
        <f>'Runs Z score'!G327</f>
        <v/>
      </c>
      <c r="H335">
        <f>VLOOKUP(C335,Recipes!$A$2:$N$4,10,FALSE())</f>
        <v/>
      </c>
      <c r="I335">
        <f>VLOOKUP(C335,Recipes!$A$2:$N$4,12,FALSE())</f>
        <v/>
      </c>
      <c r="J335">
        <f>IF(G335="","",H335-G335)</f>
        <v/>
      </c>
      <c r="K335">
        <f>IF(G335="","",IF(ABS(G335-H335)&lt;=$B$6*I335,"OK","NG"))</f>
        <v/>
      </c>
      <c r="L335">
        <f>IF(K335="","",IF(K335=D335,1,0))</f>
        <v/>
      </c>
      <c r="M335" t="inlineStr">
        <is>
          <t>S1</t>
        </is>
      </c>
      <c r="N335" s="15" t="n">
        <v>0.9293</v>
      </c>
      <c r="O335" s="15" t="n">
        <v>0.0395</v>
      </c>
      <c r="P335">
        <f>IF(M335="","",IF(M335=E335,1,0))</f>
        <v/>
      </c>
      <c r="Q335">
        <f>IF(K335="OK","-",IF(N335&lt;$B$7,"AMBIGUOUS","CONFIDENT"))</f>
        <v/>
      </c>
    </row>
    <row r="336">
      <c r="A336">
        <f>'Runs Z score'!A328</f>
        <v/>
      </c>
      <c r="B336">
        <f>'Runs Z score'!B328</f>
        <v/>
      </c>
      <c r="C336">
        <f>'Runs Z score'!C328</f>
        <v/>
      </c>
      <c r="D336">
        <f>'Runs Z score'!D328</f>
        <v/>
      </c>
      <c r="E336">
        <f>'Runs Z score'!E328</f>
        <v/>
      </c>
      <c r="F336">
        <f>'Runs Z score'!F328</f>
        <v/>
      </c>
      <c r="G336">
        <f>'Runs Z score'!G328</f>
        <v/>
      </c>
      <c r="H336">
        <f>VLOOKUP(C336,Recipes!$A$2:$N$4,10,FALSE())</f>
        <v/>
      </c>
      <c r="I336">
        <f>VLOOKUP(C336,Recipes!$A$2:$N$4,12,FALSE())</f>
        <v/>
      </c>
      <c r="J336">
        <f>IF(G336="","",H336-G336)</f>
        <v/>
      </c>
      <c r="K336">
        <f>IF(G336="","",IF(ABS(G336-H336)&lt;=$B$6*I336,"OK","NG"))</f>
        <v/>
      </c>
      <c r="L336">
        <f>IF(K336="","",IF(K336=D336,1,0))</f>
        <v/>
      </c>
      <c r="M336" t="inlineStr">
        <is>
          <t>S1</t>
        </is>
      </c>
      <c r="N336" s="15" t="n">
        <v>0.9413</v>
      </c>
      <c r="O336" s="15" t="n">
        <v>0.0316</v>
      </c>
      <c r="P336">
        <f>IF(M336="","",IF(M336=E336,1,0))</f>
        <v/>
      </c>
      <c r="Q336">
        <f>IF(K336="OK","-",IF(N336&lt;$B$7,"AMBIGUOUS","CONFIDENT"))</f>
        <v/>
      </c>
    </row>
    <row r="337">
      <c r="A337">
        <f>'Runs Z score'!A329</f>
        <v/>
      </c>
      <c r="B337">
        <f>'Runs Z score'!B329</f>
        <v/>
      </c>
      <c r="C337">
        <f>'Runs Z score'!C329</f>
        <v/>
      </c>
      <c r="D337">
        <f>'Runs Z score'!D329</f>
        <v/>
      </c>
      <c r="E337">
        <f>'Runs Z score'!E329</f>
        <v/>
      </c>
      <c r="F337">
        <f>'Runs Z score'!F329</f>
        <v/>
      </c>
      <c r="G337">
        <f>'Runs Z score'!G329</f>
        <v/>
      </c>
      <c r="H337">
        <f>VLOOKUP(C337,Recipes!$A$2:$N$4,10,FALSE())</f>
        <v/>
      </c>
      <c r="I337">
        <f>VLOOKUP(C337,Recipes!$A$2:$N$4,12,FALSE())</f>
        <v/>
      </c>
      <c r="J337">
        <f>IF(G337="","",H337-G337)</f>
        <v/>
      </c>
      <c r="K337">
        <f>IF(G337="","",IF(ABS(G337-H337)&lt;=$B$6*I337,"OK","NG"))</f>
        <v/>
      </c>
      <c r="L337">
        <f>IF(K337="","",IF(K337=D337,1,0))</f>
        <v/>
      </c>
      <c r="M337" t="inlineStr">
        <is>
          <t>S1</t>
        </is>
      </c>
      <c r="N337" s="15" t="n">
        <v>0.9377</v>
      </c>
      <c r="O337" s="15" t="n">
        <v>0.034</v>
      </c>
      <c r="P337">
        <f>IF(M337="","",IF(M337=E337,1,0))</f>
        <v/>
      </c>
      <c r="Q337">
        <f>IF(K337="OK","-",IF(N337&lt;$B$7,"AMBIGUOUS","CONFIDENT"))</f>
        <v/>
      </c>
    </row>
    <row r="338">
      <c r="A338">
        <f>'Runs Z score'!A330</f>
        <v/>
      </c>
      <c r="B338">
        <f>'Runs Z score'!B330</f>
        <v/>
      </c>
      <c r="C338">
        <f>'Runs Z score'!C330</f>
        <v/>
      </c>
      <c r="D338">
        <f>'Runs Z score'!D330</f>
        <v/>
      </c>
      <c r="E338">
        <f>'Runs Z score'!E330</f>
        <v/>
      </c>
      <c r="F338">
        <f>'Runs Z score'!F330</f>
        <v/>
      </c>
      <c r="G338">
        <f>'Runs Z score'!G330</f>
        <v/>
      </c>
      <c r="H338">
        <f>VLOOKUP(C338,Recipes!$A$2:$N$4,10,FALSE())</f>
        <v/>
      </c>
      <c r="I338">
        <f>VLOOKUP(C338,Recipes!$A$2:$N$4,12,FALSE())</f>
        <v/>
      </c>
      <c r="J338">
        <f>IF(G338="","",H338-G338)</f>
        <v/>
      </c>
      <c r="K338">
        <f>IF(G338="","",IF(ABS(G338-H338)&lt;=$B$6*I338,"OK","NG"))</f>
        <v/>
      </c>
      <c r="L338">
        <f>IF(K338="","",IF(K338=D338,1,0))</f>
        <v/>
      </c>
      <c r="M338" t="inlineStr">
        <is>
          <t>S1</t>
        </is>
      </c>
      <c r="N338" s="15" t="n">
        <v>0.9288</v>
      </c>
      <c r="O338" s="15" t="n">
        <v>0.0397</v>
      </c>
      <c r="P338">
        <f>IF(M338="","",IF(M338=E338,1,0))</f>
        <v/>
      </c>
      <c r="Q338">
        <f>IF(K338="OK","-",IF(N338&lt;$B$7,"AMBIGUOUS","CONFIDENT"))</f>
        <v/>
      </c>
    </row>
    <row r="339">
      <c r="A339">
        <f>'Runs Z score'!A331</f>
        <v/>
      </c>
      <c r="B339">
        <f>'Runs Z score'!B331</f>
        <v/>
      </c>
      <c r="C339">
        <f>'Runs Z score'!C331</f>
        <v/>
      </c>
      <c r="D339">
        <f>'Runs Z score'!D331</f>
        <v/>
      </c>
      <c r="E339">
        <f>'Runs Z score'!E331</f>
        <v/>
      </c>
      <c r="F339">
        <f>'Runs Z score'!F331</f>
        <v/>
      </c>
      <c r="G339">
        <f>'Runs Z score'!G331</f>
        <v/>
      </c>
      <c r="H339">
        <f>VLOOKUP(C339,Recipes!$A$2:$N$4,10,FALSE())</f>
        <v/>
      </c>
      <c r="I339">
        <f>VLOOKUP(C339,Recipes!$A$2:$N$4,12,FALSE())</f>
        <v/>
      </c>
      <c r="J339">
        <f>IF(G339="","",H339-G339)</f>
        <v/>
      </c>
      <c r="K339">
        <f>IF(G339="","",IF(ABS(G339-H339)&lt;=$B$6*I339,"OK","NG"))</f>
        <v/>
      </c>
      <c r="L339">
        <f>IF(K339="","",IF(K339=D339,1,0))</f>
        <v/>
      </c>
      <c r="M339" t="inlineStr">
        <is>
          <t>S1</t>
        </is>
      </c>
      <c r="N339" s="15" t="n">
        <v>0.9429999999999999</v>
      </c>
      <c r="O339" s="15" t="n">
        <v>0.0306</v>
      </c>
      <c r="P339">
        <f>IF(M339="","",IF(M339=E339,1,0))</f>
        <v/>
      </c>
      <c r="Q339">
        <f>IF(K339="OK","-",IF(N339&lt;$B$7,"AMBIGUOUS","CONFIDENT"))</f>
        <v/>
      </c>
    </row>
    <row r="340">
      <c r="A340">
        <f>'Runs Z score'!A332</f>
        <v/>
      </c>
      <c r="B340">
        <f>'Runs Z score'!B332</f>
        <v/>
      </c>
      <c r="C340">
        <f>'Runs Z score'!C332</f>
        <v/>
      </c>
      <c r="D340">
        <f>'Runs Z score'!D332</f>
        <v/>
      </c>
      <c r="E340">
        <f>'Runs Z score'!E332</f>
        <v/>
      </c>
      <c r="F340">
        <f>'Runs Z score'!F332</f>
        <v/>
      </c>
      <c r="G340">
        <f>'Runs Z score'!G332</f>
        <v/>
      </c>
      <c r="H340">
        <f>VLOOKUP(C340,Recipes!$A$2:$N$4,10,FALSE())</f>
        <v/>
      </c>
      <c r="I340">
        <f>VLOOKUP(C340,Recipes!$A$2:$N$4,12,FALSE())</f>
        <v/>
      </c>
      <c r="J340">
        <f>IF(G340="","",H340-G340)</f>
        <v/>
      </c>
      <c r="K340">
        <f>IF(G340="","",IF(ABS(G340-H340)&lt;=$B$6*I340,"OK","NG"))</f>
        <v/>
      </c>
      <c r="L340">
        <f>IF(K340="","",IF(K340=D340,1,0))</f>
        <v/>
      </c>
      <c r="M340" t="inlineStr">
        <is>
          <t>S1</t>
        </is>
      </c>
      <c r="N340" s="15" t="n">
        <v>0.9316</v>
      </c>
      <c r="O340" s="15" t="n">
        <v>0.0379</v>
      </c>
      <c r="P340">
        <f>IF(M340="","",IF(M340=E340,1,0))</f>
        <v/>
      </c>
      <c r="Q340">
        <f>IF(K340="OK","-",IF(N340&lt;$B$7,"AMBIGUOUS","CONFIDENT"))</f>
        <v/>
      </c>
    </row>
    <row r="341">
      <c r="A341">
        <f>'Runs Z score'!A333</f>
        <v/>
      </c>
      <c r="B341">
        <f>'Runs Z score'!B333</f>
        <v/>
      </c>
      <c r="C341">
        <f>'Runs Z score'!C333</f>
        <v/>
      </c>
      <c r="D341">
        <f>'Runs Z score'!D333</f>
        <v/>
      </c>
      <c r="E341">
        <f>'Runs Z score'!E333</f>
        <v/>
      </c>
      <c r="F341">
        <f>'Runs Z score'!F333</f>
        <v/>
      </c>
      <c r="G341">
        <f>'Runs Z score'!G333</f>
        <v/>
      </c>
      <c r="H341">
        <f>VLOOKUP(C341,Recipes!$A$2:$N$4,10,FALSE())</f>
        <v/>
      </c>
      <c r="I341">
        <f>VLOOKUP(C341,Recipes!$A$2:$N$4,12,FALSE())</f>
        <v/>
      </c>
      <c r="J341">
        <f>IF(G341="","",H341-G341)</f>
        <v/>
      </c>
      <c r="K341">
        <f>IF(G341="","",IF(ABS(G341-H341)&lt;=$B$6*I341,"OK","NG"))</f>
        <v/>
      </c>
      <c r="L341">
        <f>IF(K341="","",IF(K341=D341,1,0))</f>
        <v/>
      </c>
      <c r="M341" t="inlineStr">
        <is>
          <t>W1</t>
        </is>
      </c>
      <c r="N341" s="15" t="n">
        <v>0.8233</v>
      </c>
      <c r="O341" s="15" t="n">
        <v>0.1595</v>
      </c>
      <c r="P341">
        <f>IF(M341="","",IF(M341=E341,1,0))</f>
        <v/>
      </c>
      <c r="Q341">
        <f>IF(K341="OK","-",IF(N341&lt;$B$7,"AMBIGUOUS","CONFIDENT"))</f>
        <v/>
      </c>
    </row>
    <row r="342">
      <c r="A342">
        <f>'Runs Z score'!A334</f>
        <v/>
      </c>
      <c r="B342">
        <f>'Runs Z score'!B334</f>
        <v/>
      </c>
      <c r="C342">
        <f>'Runs Z score'!C334</f>
        <v/>
      </c>
      <c r="D342">
        <f>'Runs Z score'!D334</f>
        <v/>
      </c>
      <c r="E342">
        <f>'Runs Z score'!E334</f>
        <v/>
      </c>
      <c r="F342">
        <f>'Runs Z score'!F334</f>
        <v/>
      </c>
      <c r="G342">
        <f>'Runs Z score'!G334</f>
        <v/>
      </c>
      <c r="H342">
        <f>VLOOKUP(C342,Recipes!$A$2:$N$4,10,FALSE())</f>
        <v/>
      </c>
      <c r="I342">
        <f>VLOOKUP(C342,Recipes!$A$2:$N$4,12,FALSE())</f>
        <v/>
      </c>
      <c r="J342">
        <f>IF(G342="","",H342-G342)</f>
        <v/>
      </c>
      <c r="K342">
        <f>IF(G342="","",IF(ABS(G342-H342)&lt;=$B$6*I342,"OK","NG"))</f>
        <v/>
      </c>
      <c r="L342">
        <f>IF(K342="","",IF(K342=D342,1,0))</f>
        <v/>
      </c>
      <c r="M342" t="inlineStr">
        <is>
          <t>W1</t>
        </is>
      </c>
      <c r="N342" s="15" t="n">
        <v>0.9418</v>
      </c>
      <c r="O342" s="15" t="n">
        <v>0.0459</v>
      </c>
      <c r="P342">
        <f>IF(M342="","",IF(M342=E342,1,0))</f>
        <v/>
      </c>
      <c r="Q342">
        <f>IF(K342="OK","-",IF(N342&lt;$B$7,"AMBIGUOUS","CONFIDENT"))</f>
        <v/>
      </c>
    </row>
    <row r="343">
      <c r="A343">
        <f>'Runs Z score'!A335</f>
        <v/>
      </c>
      <c r="B343">
        <f>'Runs Z score'!B335</f>
        <v/>
      </c>
      <c r="C343">
        <f>'Runs Z score'!C335</f>
        <v/>
      </c>
      <c r="D343">
        <f>'Runs Z score'!D335</f>
        <v/>
      </c>
      <c r="E343">
        <f>'Runs Z score'!E335</f>
        <v/>
      </c>
      <c r="F343">
        <f>'Runs Z score'!F335</f>
        <v/>
      </c>
      <c r="G343">
        <f>'Runs Z score'!G335</f>
        <v/>
      </c>
      <c r="H343">
        <f>VLOOKUP(C343,Recipes!$A$2:$N$4,10,FALSE())</f>
        <v/>
      </c>
      <c r="I343">
        <f>VLOOKUP(C343,Recipes!$A$2:$N$4,12,FALSE())</f>
        <v/>
      </c>
      <c r="J343">
        <f>IF(G343="","",H343-G343)</f>
        <v/>
      </c>
      <c r="K343">
        <f>IF(G343="","",IF(ABS(G343-H343)&lt;=$B$6*I343,"OK","NG"))</f>
        <v/>
      </c>
      <c r="L343">
        <f>IF(K343="","",IF(K343=D343,1,0))</f>
        <v/>
      </c>
      <c r="M343" t="inlineStr">
        <is>
          <t>N1</t>
        </is>
      </c>
      <c r="N343" s="15" t="n">
        <v>0.7518</v>
      </c>
      <c r="O343" s="15" t="n">
        <v>0.1361</v>
      </c>
      <c r="P343">
        <f>IF(M343="","",IF(M343=E343,1,0))</f>
        <v/>
      </c>
      <c r="Q343">
        <f>IF(K343="OK","-",IF(N343&lt;$B$7,"AMBIGUOUS","CONFIDENT"))</f>
        <v/>
      </c>
    </row>
    <row r="344">
      <c r="A344">
        <f>'Runs Z score'!A336</f>
        <v/>
      </c>
      <c r="B344">
        <f>'Runs Z score'!B336</f>
        <v/>
      </c>
      <c r="C344">
        <f>'Runs Z score'!C336</f>
        <v/>
      </c>
      <c r="D344">
        <f>'Runs Z score'!D336</f>
        <v/>
      </c>
      <c r="E344">
        <f>'Runs Z score'!E336</f>
        <v/>
      </c>
      <c r="F344">
        <f>'Runs Z score'!F336</f>
        <v/>
      </c>
      <c r="G344">
        <f>'Runs Z score'!G336</f>
        <v/>
      </c>
      <c r="H344">
        <f>VLOOKUP(C344,Recipes!$A$2:$N$4,10,FALSE())</f>
        <v/>
      </c>
      <c r="I344">
        <f>VLOOKUP(C344,Recipes!$A$2:$N$4,12,FALSE())</f>
        <v/>
      </c>
      <c r="J344">
        <f>IF(G344="","",H344-G344)</f>
        <v/>
      </c>
      <c r="K344">
        <f>IF(G344="","",IF(ABS(G344-H344)&lt;=$B$6*I344,"OK","NG"))</f>
        <v/>
      </c>
      <c r="L344">
        <f>IF(K344="","",IF(K344=D344,1,0))</f>
        <v/>
      </c>
      <c r="M344" t="inlineStr">
        <is>
          <t>W1</t>
        </is>
      </c>
      <c r="N344" s="15" t="n">
        <v>0.8092</v>
      </c>
      <c r="O344" s="15" t="n">
        <v>0.1724</v>
      </c>
      <c r="P344">
        <f>IF(M344="","",IF(M344=E344,1,0))</f>
        <v/>
      </c>
      <c r="Q344">
        <f>IF(K344="OK","-",IF(N344&lt;$B$7,"AMBIGUOUS","CONFIDENT"))</f>
        <v/>
      </c>
    </row>
    <row r="345">
      <c r="A345">
        <f>'Runs Z score'!A337</f>
        <v/>
      </c>
      <c r="B345">
        <f>'Runs Z score'!B337</f>
        <v/>
      </c>
      <c r="C345">
        <f>'Runs Z score'!C337</f>
        <v/>
      </c>
      <c r="D345">
        <f>'Runs Z score'!D337</f>
        <v/>
      </c>
      <c r="E345">
        <f>'Runs Z score'!E337</f>
        <v/>
      </c>
      <c r="F345">
        <f>'Runs Z score'!F337</f>
        <v/>
      </c>
      <c r="G345">
        <f>'Runs Z score'!G337</f>
        <v/>
      </c>
      <c r="H345">
        <f>VLOOKUP(C345,Recipes!$A$2:$N$4,10,FALSE())</f>
        <v/>
      </c>
      <c r="I345">
        <f>VLOOKUP(C345,Recipes!$A$2:$N$4,12,FALSE())</f>
        <v/>
      </c>
      <c r="J345">
        <f>IF(G345="","",H345-G345)</f>
        <v/>
      </c>
      <c r="K345">
        <f>IF(G345="","",IF(ABS(G345-H345)&lt;=$B$6*I345,"OK","NG"))</f>
        <v/>
      </c>
      <c r="L345">
        <f>IF(K345="","",IF(K345=D345,1,0))</f>
        <v/>
      </c>
      <c r="M345" t="inlineStr">
        <is>
          <t>N1</t>
        </is>
      </c>
      <c r="N345" s="15" t="n">
        <v>0.5793</v>
      </c>
      <c r="O345" s="15" t="n">
        <v>0.3853</v>
      </c>
      <c r="P345">
        <f>IF(M345="","",IF(M345=E345,1,0))</f>
        <v/>
      </c>
      <c r="Q345">
        <f>IF(K345="OK","-",IF(N345&lt;$B$7,"AMBIGUOUS","CONFIDENT"))</f>
        <v/>
      </c>
    </row>
    <row r="346">
      <c r="A346">
        <f>'Runs Z score'!A338</f>
        <v/>
      </c>
      <c r="B346">
        <f>'Runs Z score'!B338</f>
        <v/>
      </c>
      <c r="C346">
        <f>'Runs Z score'!C338</f>
        <v/>
      </c>
      <c r="D346">
        <f>'Runs Z score'!D338</f>
        <v/>
      </c>
      <c r="E346">
        <f>'Runs Z score'!E338</f>
        <v/>
      </c>
      <c r="F346">
        <f>'Runs Z score'!F338</f>
        <v/>
      </c>
      <c r="G346">
        <f>'Runs Z score'!G338</f>
        <v/>
      </c>
      <c r="H346">
        <f>VLOOKUP(C346,Recipes!$A$2:$N$4,10,FALSE())</f>
        <v/>
      </c>
      <c r="I346">
        <f>VLOOKUP(C346,Recipes!$A$2:$N$4,12,FALSE())</f>
        <v/>
      </c>
      <c r="J346">
        <f>IF(G346="","",H346-G346)</f>
        <v/>
      </c>
      <c r="K346">
        <f>IF(G346="","",IF(ABS(G346-H346)&lt;=$B$6*I346,"OK","NG"))</f>
        <v/>
      </c>
      <c r="L346">
        <f>IF(K346="","",IF(K346=D346,1,0))</f>
        <v/>
      </c>
      <c r="M346" t="inlineStr">
        <is>
          <t>N1</t>
        </is>
      </c>
      <c r="N346" s="15" t="n">
        <v>0.5487</v>
      </c>
      <c r="O346" s="15" t="n">
        <v>0.418</v>
      </c>
      <c r="P346">
        <f>IF(M346="","",IF(M346=E346,1,0))</f>
        <v/>
      </c>
      <c r="Q346">
        <f>IF(K346="OK","-",IF(N346&lt;$B$7,"AMBIGUOUS","CONFIDENT"))</f>
        <v/>
      </c>
    </row>
    <row r="347">
      <c r="A347">
        <f>'Runs Z score'!A339</f>
        <v/>
      </c>
      <c r="B347">
        <f>'Runs Z score'!B339</f>
        <v/>
      </c>
      <c r="C347">
        <f>'Runs Z score'!C339</f>
        <v/>
      </c>
      <c r="D347">
        <f>'Runs Z score'!D339</f>
        <v/>
      </c>
      <c r="E347">
        <f>'Runs Z score'!E339</f>
        <v/>
      </c>
      <c r="F347">
        <f>'Runs Z score'!F339</f>
        <v/>
      </c>
      <c r="G347">
        <f>'Runs Z score'!G339</f>
        <v/>
      </c>
      <c r="H347">
        <f>VLOOKUP(C347,Recipes!$A$2:$N$4,10,FALSE())</f>
        <v/>
      </c>
      <c r="I347">
        <f>VLOOKUP(C347,Recipes!$A$2:$N$4,12,FALSE())</f>
        <v/>
      </c>
      <c r="J347">
        <f>IF(G347="","",H347-G347)</f>
        <v/>
      </c>
      <c r="K347">
        <f>IF(G347="","",IF(ABS(G347-H347)&lt;=$B$6*I347,"OK","NG"))</f>
        <v/>
      </c>
      <c r="L347">
        <f>IF(K347="","",IF(K347=D347,1,0))</f>
        <v/>
      </c>
      <c r="M347" t="inlineStr">
        <is>
          <t>W1</t>
        </is>
      </c>
      <c r="N347" s="15" t="n">
        <v>0.8992</v>
      </c>
      <c r="O347" s="15" t="n">
        <v>0.0839</v>
      </c>
      <c r="P347">
        <f>IF(M347="","",IF(M347=E347,1,0))</f>
        <v/>
      </c>
      <c r="Q347">
        <f>IF(K347="OK","-",IF(N347&lt;$B$7,"AMBIGUOUS","CONFIDENT"))</f>
        <v/>
      </c>
    </row>
    <row r="348">
      <c r="A348">
        <f>'Runs Z score'!A340</f>
        <v/>
      </c>
      <c r="B348">
        <f>'Runs Z score'!B340</f>
        <v/>
      </c>
      <c r="C348">
        <f>'Runs Z score'!C340</f>
        <v/>
      </c>
      <c r="D348">
        <f>'Runs Z score'!D340</f>
        <v/>
      </c>
      <c r="E348">
        <f>'Runs Z score'!E340</f>
        <v/>
      </c>
      <c r="F348">
        <f>'Runs Z score'!F340</f>
        <v/>
      </c>
      <c r="G348">
        <f>'Runs Z score'!G340</f>
        <v/>
      </c>
      <c r="H348">
        <f>VLOOKUP(C348,Recipes!$A$2:$N$4,10,FALSE())</f>
        <v/>
      </c>
      <c r="I348">
        <f>VLOOKUP(C348,Recipes!$A$2:$N$4,12,FALSE())</f>
        <v/>
      </c>
      <c r="J348">
        <f>IF(G348="","",H348-G348)</f>
        <v/>
      </c>
      <c r="K348">
        <f>IF(G348="","",IF(ABS(G348-H348)&lt;=$B$6*I348,"OK","NG"))</f>
        <v/>
      </c>
      <c r="L348">
        <f>IF(K348="","",IF(K348=D348,1,0))</f>
        <v/>
      </c>
      <c r="M348" t="inlineStr">
        <is>
          <t>W1</t>
        </is>
      </c>
      <c r="N348" s="15" t="n">
        <v>0.8656</v>
      </c>
      <c r="O348" s="15" t="n">
        <v>0.1155</v>
      </c>
      <c r="P348">
        <f>IF(M348="","",IF(M348=E348,1,0))</f>
        <v/>
      </c>
      <c r="Q348">
        <f>IF(K348="OK","-",IF(N348&lt;$B$7,"AMBIGUOUS","CONFIDENT"))</f>
        <v/>
      </c>
    </row>
    <row r="349">
      <c r="A349">
        <f>'Runs Z score'!A341</f>
        <v/>
      </c>
      <c r="B349">
        <f>'Runs Z score'!B341</f>
        <v/>
      </c>
      <c r="C349">
        <f>'Runs Z score'!C341</f>
        <v/>
      </c>
      <c r="D349">
        <f>'Runs Z score'!D341</f>
        <v/>
      </c>
      <c r="E349">
        <f>'Runs Z score'!E341</f>
        <v/>
      </c>
      <c r="F349">
        <f>'Runs Z score'!F341</f>
        <v/>
      </c>
      <c r="G349">
        <f>'Runs Z score'!G341</f>
        <v/>
      </c>
      <c r="H349">
        <f>VLOOKUP(C349,Recipes!$A$2:$N$4,10,FALSE())</f>
        <v/>
      </c>
      <c r="I349">
        <f>VLOOKUP(C349,Recipes!$A$2:$N$4,12,FALSE())</f>
        <v/>
      </c>
      <c r="J349">
        <f>IF(G349="","",H349-G349)</f>
        <v/>
      </c>
      <c r="K349">
        <f>IF(G349="","",IF(ABS(G349-H349)&lt;=$B$6*I349,"OK","NG"))</f>
        <v/>
      </c>
      <c r="L349">
        <f>IF(K349="","",IF(K349=D349,1,0))</f>
        <v/>
      </c>
      <c r="M349" t="inlineStr">
        <is>
          <t>W1</t>
        </is>
      </c>
      <c r="N349" s="15" t="n">
        <v>0.8273</v>
      </c>
      <c r="O349" s="15" t="n">
        <v>0.149</v>
      </c>
      <c r="P349">
        <f>IF(M349="","",IF(M349=E349,1,0))</f>
        <v/>
      </c>
      <c r="Q349">
        <f>IF(K349="OK","-",IF(N349&lt;$B$7,"AMBIGUOUS","CONFIDENT"))</f>
        <v/>
      </c>
    </row>
    <row r="350">
      <c r="A350">
        <f>'Runs Z score'!A342</f>
        <v/>
      </c>
      <c r="B350">
        <f>'Runs Z score'!B342</f>
        <v/>
      </c>
      <c r="C350">
        <f>'Runs Z score'!C342</f>
        <v/>
      </c>
      <c r="D350">
        <f>'Runs Z score'!D342</f>
        <v/>
      </c>
      <c r="E350">
        <f>'Runs Z score'!E342</f>
        <v/>
      </c>
      <c r="F350">
        <f>'Runs Z score'!F342</f>
        <v/>
      </c>
      <c r="G350">
        <f>'Runs Z score'!G342</f>
        <v/>
      </c>
      <c r="H350">
        <f>VLOOKUP(C350,Recipes!$A$2:$N$4,10,FALSE())</f>
        <v/>
      </c>
      <c r="I350">
        <f>VLOOKUP(C350,Recipes!$A$2:$N$4,12,FALSE())</f>
        <v/>
      </c>
      <c r="J350">
        <f>IF(G350="","",H350-G350)</f>
        <v/>
      </c>
      <c r="K350">
        <f>IF(G350="","",IF(ABS(G350-H350)&lt;=$B$6*I350,"OK","NG"))</f>
        <v/>
      </c>
      <c r="L350">
        <f>IF(K350="","",IF(K350=D350,1,0))</f>
        <v/>
      </c>
      <c r="M350" t="inlineStr">
        <is>
          <t>W1</t>
        </is>
      </c>
      <c r="N350" s="15" t="n">
        <v>0.9165</v>
      </c>
      <c r="O350" s="15" t="n">
        <v>0.0697</v>
      </c>
      <c r="P350">
        <f>IF(M350="","",IF(M350=E350,1,0))</f>
        <v/>
      </c>
      <c r="Q350">
        <f>IF(K350="OK","-",IF(N350&lt;$B$7,"AMBIGUOUS","CONFIDENT"))</f>
        <v/>
      </c>
    </row>
    <row r="351">
      <c r="A351">
        <f>'Runs Z score'!A343</f>
        <v/>
      </c>
      <c r="B351">
        <f>'Runs Z score'!B343</f>
        <v/>
      </c>
      <c r="C351">
        <f>'Runs Z score'!C343</f>
        <v/>
      </c>
      <c r="D351">
        <f>'Runs Z score'!D343</f>
        <v/>
      </c>
      <c r="E351">
        <f>'Runs Z score'!E343</f>
        <v/>
      </c>
      <c r="F351">
        <f>'Runs Z score'!F343</f>
        <v/>
      </c>
      <c r="G351">
        <f>'Runs Z score'!G343</f>
        <v/>
      </c>
      <c r="H351">
        <f>VLOOKUP(C351,Recipes!$A$2:$N$4,10,FALSE())</f>
        <v/>
      </c>
      <c r="I351">
        <f>VLOOKUP(C351,Recipes!$A$2:$N$4,12,FALSE())</f>
        <v/>
      </c>
      <c r="J351">
        <f>IF(G351="","",H351-G351)</f>
        <v/>
      </c>
      <c r="K351">
        <f>IF(G351="","",IF(ABS(G351-H351)&lt;=$B$6*I351,"OK","NG"))</f>
        <v/>
      </c>
      <c r="L351">
        <f>IF(K351="","",IF(K351=D351,1,0))</f>
        <v/>
      </c>
      <c r="M351" t="inlineStr">
        <is>
          <t>W1</t>
        </is>
      </c>
      <c r="N351" s="15" t="n">
        <v>0.9288999999999999</v>
      </c>
      <c r="O351" s="15" t="n">
        <v>0.0576</v>
      </c>
      <c r="P351">
        <f>IF(M351="","",IF(M351=E351,1,0))</f>
        <v/>
      </c>
      <c r="Q351">
        <f>IF(K351="OK","-",IF(N351&lt;$B$7,"AMBIGUOUS","CONFIDENT"))</f>
        <v/>
      </c>
    </row>
    <row r="352">
      <c r="A352">
        <f>'Runs Z score'!A344</f>
        <v/>
      </c>
      <c r="B352">
        <f>'Runs Z score'!B344</f>
        <v/>
      </c>
      <c r="C352">
        <f>'Runs Z score'!C344</f>
        <v/>
      </c>
      <c r="D352">
        <f>'Runs Z score'!D344</f>
        <v/>
      </c>
      <c r="E352">
        <f>'Runs Z score'!E344</f>
        <v/>
      </c>
      <c r="F352">
        <f>'Runs Z score'!F344</f>
        <v/>
      </c>
      <c r="G352">
        <f>'Runs Z score'!G344</f>
        <v/>
      </c>
      <c r="H352">
        <f>VLOOKUP(C352,Recipes!$A$2:$N$4,10,FALSE())</f>
        <v/>
      </c>
      <c r="I352">
        <f>VLOOKUP(C352,Recipes!$A$2:$N$4,12,FALSE())</f>
        <v/>
      </c>
      <c r="J352">
        <f>IF(G352="","",H352-G352)</f>
        <v/>
      </c>
      <c r="K352">
        <f>IF(G352="","",IF(ABS(G352-H352)&lt;=$B$6*I352,"OK","NG"))</f>
        <v/>
      </c>
      <c r="L352">
        <f>IF(K352="","",IF(K352=D352,1,0))</f>
        <v/>
      </c>
      <c r="M352" t="inlineStr">
        <is>
          <t>W1</t>
        </is>
      </c>
      <c r="N352" s="15" t="n">
        <v>0.8363</v>
      </c>
      <c r="O352" s="15" t="n">
        <v>0.1436</v>
      </c>
      <c r="P352">
        <f>IF(M352="","",IF(M352=E352,1,0))</f>
        <v/>
      </c>
      <c r="Q352">
        <f>IF(K352="OK","-",IF(N352&lt;$B$7,"AMBIGUOUS","CONFIDENT"))</f>
        <v/>
      </c>
    </row>
    <row r="353">
      <c r="A353">
        <f>'Runs Z score'!A345</f>
        <v/>
      </c>
      <c r="B353">
        <f>'Runs Z score'!B345</f>
        <v/>
      </c>
      <c r="C353">
        <f>'Runs Z score'!C345</f>
        <v/>
      </c>
      <c r="D353">
        <f>'Runs Z score'!D345</f>
        <v/>
      </c>
      <c r="E353">
        <f>'Runs Z score'!E345</f>
        <v/>
      </c>
      <c r="F353">
        <f>'Runs Z score'!F345</f>
        <v/>
      </c>
      <c r="G353">
        <f>'Runs Z score'!G345</f>
        <v/>
      </c>
      <c r="H353">
        <f>VLOOKUP(C353,Recipes!$A$2:$N$4,10,FALSE())</f>
        <v/>
      </c>
      <c r="I353">
        <f>VLOOKUP(C353,Recipes!$A$2:$N$4,12,FALSE())</f>
        <v/>
      </c>
      <c r="J353">
        <f>IF(G353="","",H353-G353)</f>
        <v/>
      </c>
      <c r="K353">
        <f>IF(G353="","",IF(ABS(G353-H353)&lt;=$B$6*I353,"OK","NG"))</f>
        <v/>
      </c>
      <c r="L353">
        <f>IF(K353="","",IF(K353=D353,1,0))</f>
        <v/>
      </c>
      <c r="M353" t="inlineStr">
        <is>
          <t>W1</t>
        </is>
      </c>
      <c r="N353" s="15" t="n">
        <v>0.854</v>
      </c>
      <c r="O353" s="15" t="n">
        <v>0.1239</v>
      </c>
      <c r="P353">
        <f>IF(M353="","",IF(M353=E353,1,0))</f>
        <v/>
      </c>
      <c r="Q353">
        <f>IF(K353="OK","-",IF(N353&lt;$B$7,"AMBIGUOUS","CONFIDENT"))</f>
        <v/>
      </c>
    </row>
    <row r="354">
      <c r="A354">
        <f>'Runs Z score'!A346</f>
        <v/>
      </c>
      <c r="B354">
        <f>'Runs Z score'!B346</f>
        <v/>
      </c>
      <c r="C354">
        <f>'Runs Z score'!C346</f>
        <v/>
      </c>
      <c r="D354">
        <f>'Runs Z score'!D346</f>
        <v/>
      </c>
      <c r="E354">
        <f>'Runs Z score'!E346</f>
        <v/>
      </c>
      <c r="F354">
        <f>'Runs Z score'!F346</f>
        <v/>
      </c>
      <c r="G354">
        <f>'Runs Z score'!G346</f>
        <v/>
      </c>
      <c r="H354">
        <f>VLOOKUP(C354,Recipes!$A$2:$N$4,10,FALSE())</f>
        <v/>
      </c>
      <c r="I354">
        <f>VLOOKUP(C354,Recipes!$A$2:$N$4,12,FALSE())</f>
        <v/>
      </c>
      <c r="J354">
        <f>IF(G354="","",H354-G354)</f>
        <v/>
      </c>
      <c r="K354">
        <f>IF(G354="","",IF(ABS(G354-H354)&lt;=$B$6*I354,"OK","NG"))</f>
        <v/>
      </c>
      <c r="L354">
        <f>IF(K354="","",IF(K354=D354,1,0))</f>
        <v/>
      </c>
      <c r="M354" t="inlineStr">
        <is>
          <t>W1</t>
        </is>
      </c>
      <c r="N354" s="15" t="n">
        <v>0.7976</v>
      </c>
      <c r="O354" s="15" t="n">
        <v>0.1842</v>
      </c>
      <c r="P354">
        <f>IF(M354="","",IF(M354=E354,1,0))</f>
        <v/>
      </c>
      <c r="Q354">
        <f>IF(K354="OK","-",IF(N354&lt;$B$7,"AMBIGUOUS","CONFIDENT"))</f>
        <v/>
      </c>
    </row>
    <row r="355">
      <c r="A355">
        <f>'Runs Z score'!A347</f>
        <v/>
      </c>
      <c r="B355">
        <f>'Runs Z score'!B347</f>
        <v/>
      </c>
      <c r="C355">
        <f>'Runs Z score'!C347</f>
        <v/>
      </c>
      <c r="D355">
        <f>'Runs Z score'!D347</f>
        <v/>
      </c>
      <c r="E355">
        <f>'Runs Z score'!E347</f>
        <v/>
      </c>
      <c r="F355">
        <f>'Runs Z score'!F347</f>
        <v/>
      </c>
      <c r="G355">
        <f>'Runs Z score'!G347</f>
        <v/>
      </c>
      <c r="H355">
        <f>VLOOKUP(C355,Recipes!$A$2:$N$4,10,FALSE())</f>
        <v/>
      </c>
      <c r="I355">
        <f>VLOOKUP(C355,Recipes!$A$2:$N$4,12,FALSE())</f>
        <v/>
      </c>
      <c r="J355">
        <f>IF(G355="","",H355-G355)</f>
        <v/>
      </c>
      <c r="K355">
        <f>IF(G355="","",IF(ABS(G355-H355)&lt;=$B$6*I355,"OK","NG"))</f>
        <v/>
      </c>
      <c r="L355">
        <f>IF(K355="","",IF(K355=D355,1,0))</f>
        <v/>
      </c>
      <c r="M355" t="inlineStr">
        <is>
          <t>W1</t>
        </is>
      </c>
      <c r="N355" s="15" t="n">
        <v>0.8838</v>
      </c>
      <c r="O355" s="15" t="n">
        <v>0.1012</v>
      </c>
      <c r="P355">
        <f>IF(M355="","",IF(M355=E355,1,0))</f>
        <v/>
      </c>
      <c r="Q355">
        <f>IF(K355="OK","-",IF(N355&lt;$B$7,"AMBIGUOUS","CONFIDENT"))</f>
        <v/>
      </c>
    </row>
    <row r="356">
      <c r="A356">
        <f>'Runs Z score'!A348</f>
        <v/>
      </c>
      <c r="B356">
        <f>'Runs Z score'!B348</f>
        <v/>
      </c>
      <c r="C356">
        <f>'Runs Z score'!C348</f>
        <v/>
      </c>
      <c r="D356">
        <f>'Runs Z score'!D348</f>
        <v/>
      </c>
      <c r="E356">
        <f>'Runs Z score'!E348</f>
        <v/>
      </c>
      <c r="F356">
        <f>'Runs Z score'!F348</f>
        <v/>
      </c>
      <c r="G356">
        <f>'Runs Z score'!G348</f>
        <v/>
      </c>
      <c r="H356">
        <f>VLOOKUP(C356,Recipes!$A$2:$N$4,10,FALSE())</f>
        <v/>
      </c>
      <c r="I356">
        <f>VLOOKUP(C356,Recipes!$A$2:$N$4,12,FALSE())</f>
        <v/>
      </c>
      <c r="J356">
        <f>IF(G356="","",H356-G356)</f>
        <v/>
      </c>
      <c r="K356">
        <f>IF(G356="","",IF(ABS(G356-H356)&lt;=$B$6*I356,"OK","NG"))</f>
        <v/>
      </c>
      <c r="L356">
        <f>IF(K356="","",IF(K356=D356,1,0))</f>
        <v/>
      </c>
      <c r="M356" t="inlineStr">
        <is>
          <t>W1</t>
        </is>
      </c>
      <c r="N356" s="15" t="n">
        <v>0.854</v>
      </c>
      <c r="O356" s="15" t="n">
        <v>0.1239</v>
      </c>
      <c r="P356">
        <f>IF(M356="","",IF(M356=E356,1,0))</f>
        <v/>
      </c>
      <c r="Q356">
        <f>IF(K356="OK","-",IF(N356&lt;$B$7,"AMBIGUOUS","CONFIDENT"))</f>
        <v/>
      </c>
    </row>
    <row r="357">
      <c r="A357">
        <f>'Runs Z score'!A349</f>
        <v/>
      </c>
      <c r="B357">
        <f>'Runs Z score'!B349</f>
        <v/>
      </c>
      <c r="C357">
        <f>'Runs Z score'!C349</f>
        <v/>
      </c>
      <c r="D357">
        <f>'Runs Z score'!D349</f>
        <v/>
      </c>
      <c r="E357">
        <f>'Runs Z score'!E349</f>
        <v/>
      </c>
      <c r="F357">
        <f>'Runs Z score'!F349</f>
        <v/>
      </c>
      <c r="G357">
        <f>'Runs Z score'!G349</f>
        <v/>
      </c>
      <c r="H357">
        <f>VLOOKUP(C357,Recipes!$A$2:$N$4,10,FALSE())</f>
        <v/>
      </c>
      <c r="I357">
        <f>VLOOKUP(C357,Recipes!$A$2:$N$4,12,FALSE())</f>
        <v/>
      </c>
      <c r="J357">
        <f>IF(G357="","",H357-G357)</f>
        <v/>
      </c>
      <c r="K357">
        <f>IF(G357="","",IF(ABS(G357-H357)&lt;=$B$6*I357,"OK","NG"))</f>
        <v/>
      </c>
      <c r="L357">
        <f>IF(K357="","",IF(K357=D357,1,0))</f>
        <v/>
      </c>
      <c r="M357" t="inlineStr">
        <is>
          <t>W1</t>
        </is>
      </c>
      <c r="N357" s="15" t="n">
        <v>0.6824</v>
      </c>
      <c r="O357" s="15" t="n">
        <v>0.29</v>
      </c>
      <c r="P357">
        <f>IF(M357="","",IF(M357=E357,1,0))</f>
        <v/>
      </c>
      <c r="Q357">
        <f>IF(K357="OK","-",IF(N357&lt;$B$7,"AMBIGUOUS","CONFIDENT"))</f>
        <v/>
      </c>
    </row>
    <row r="358">
      <c r="A358">
        <f>'Runs Z score'!A350</f>
        <v/>
      </c>
      <c r="B358">
        <f>'Runs Z score'!B350</f>
        <v/>
      </c>
      <c r="C358">
        <f>'Runs Z score'!C350</f>
        <v/>
      </c>
      <c r="D358">
        <f>'Runs Z score'!D350</f>
        <v/>
      </c>
      <c r="E358">
        <f>'Runs Z score'!E350</f>
        <v/>
      </c>
      <c r="F358">
        <f>'Runs Z score'!F350</f>
        <v/>
      </c>
      <c r="G358">
        <f>'Runs Z score'!G350</f>
        <v/>
      </c>
      <c r="H358">
        <f>VLOOKUP(C358,Recipes!$A$2:$N$4,10,FALSE())</f>
        <v/>
      </c>
      <c r="I358">
        <f>VLOOKUP(C358,Recipes!$A$2:$N$4,12,FALSE())</f>
        <v/>
      </c>
      <c r="J358">
        <f>IF(G358="","",H358-G358)</f>
        <v/>
      </c>
      <c r="K358">
        <f>IF(G358="","",IF(ABS(G358-H358)&lt;=$B$6*I358,"OK","NG"))</f>
        <v/>
      </c>
      <c r="L358">
        <f>IF(K358="","",IF(K358=D358,1,0))</f>
        <v/>
      </c>
      <c r="M358" t="inlineStr">
        <is>
          <t>W1</t>
        </is>
      </c>
      <c r="N358" s="15" t="n">
        <v>0.8847</v>
      </c>
      <c r="O358" s="15" t="n">
        <v>0.0975</v>
      </c>
      <c r="P358">
        <f>IF(M358="","",IF(M358=E358,1,0))</f>
        <v/>
      </c>
      <c r="Q358">
        <f>IF(K358="OK","-",IF(N358&lt;$B$7,"AMBIGUOUS","CONFIDENT"))</f>
        <v/>
      </c>
    </row>
    <row r="359">
      <c r="A359">
        <f>'Runs Z score'!A351</f>
        <v/>
      </c>
      <c r="B359">
        <f>'Runs Z score'!B351</f>
        <v/>
      </c>
      <c r="C359">
        <f>'Runs Z score'!C351</f>
        <v/>
      </c>
      <c r="D359">
        <f>'Runs Z score'!D351</f>
        <v/>
      </c>
      <c r="E359">
        <f>'Runs Z score'!E351</f>
        <v/>
      </c>
      <c r="F359">
        <f>'Runs Z score'!F351</f>
        <v/>
      </c>
      <c r="G359">
        <f>'Runs Z score'!G351</f>
        <v/>
      </c>
      <c r="H359">
        <f>VLOOKUP(C359,Recipes!$A$2:$N$4,10,FALSE())</f>
        <v/>
      </c>
      <c r="I359">
        <f>VLOOKUP(C359,Recipes!$A$2:$N$4,12,FALSE())</f>
        <v/>
      </c>
      <c r="J359">
        <f>IF(G359="","",H359-G359)</f>
        <v/>
      </c>
      <c r="K359">
        <f>IF(G359="","",IF(ABS(G359-H359)&lt;=$B$6*I359,"OK","NG"))</f>
        <v/>
      </c>
      <c r="L359">
        <f>IF(K359="","",IF(K359=D359,1,0))</f>
        <v/>
      </c>
      <c r="M359" t="inlineStr">
        <is>
          <t>W1</t>
        </is>
      </c>
      <c r="N359" s="15" t="n">
        <v>0.8363</v>
      </c>
      <c r="O359" s="15" t="n">
        <v>0.1436</v>
      </c>
      <c r="P359">
        <f>IF(M359="","",IF(M359=E359,1,0))</f>
        <v/>
      </c>
      <c r="Q359">
        <f>IF(K359="OK","-",IF(N359&lt;$B$7,"AMBIGUOUS","CONFIDENT"))</f>
        <v/>
      </c>
    </row>
    <row r="360">
      <c r="A360">
        <f>'Runs Z score'!A352</f>
        <v/>
      </c>
      <c r="B360">
        <f>'Runs Z score'!B352</f>
        <v/>
      </c>
      <c r="C360">
        <f>'Runs Z score'!C352</f>
        <v/>
      </c>
      <c r="D360">
        <f>'Runs Z score'!D352</f>
        <v/>
      </c>
      <c r="E360">
        <f>'Runs Z score'!E352</f>
        <v/>
      </c>
      <c r="F360">
        <f>'Runs Z score'!F352</f>
        <v/>
      </c>
      <c r="G360">
        <f>'Runs Z score'!G352</f>
        <v/>
      </c>
      <c r="H360">
        <f>VLOOKUP(C360,Recipes!$A$2:$N$4,10,FALSE())</f>
        <v/>
      </c>
      <c r="I360">
        <f>VLOOKUP(C360,Recipes!$A$2:$N$4,12,FALSE())</f>
        <v/>
      </c>
      <c r="J360">
        <f>IF(G360="","",H360-G360)</f>
        <v/>
      </c>
      <c r="K360">
        <f>IF(G360="","",IF(ABS(G360-H360)&lt;=$B$6*I360,"OK","NG"))</f>
        <v/>
      </c>
      <c r="L360">
        <f>IF(K360="","",IF(K360=D360,1,0))</f>
        <v/>
      </c>
      <c r="M360" t="inlineStr">
        <is>
          <t>W1</t>
        </is>
      </c>
      <c r="N360" s="15" t="n">
        <v>0.769</v>
      </c>
      <c r="O360" s="15" t="n">
        <v>0.2117</v>
      </c>
      <c r="P360">
        <f>IF(M360="","",IF(M360=E360,1,0))</f>
        <v/>
      </c>
      <c r="Q360">
        <f>IF(K360="OK","-",IF(N360&lt;$B$7,"AMBIGUOUS","CONFIDENT"))</f>
        <v/>
      </c>
    </row>
    <row r="361">
      <c r="A361">
        <f>'Runs Z score'!A353</f>
        <v/>
      </c>
      <c r="B361">
        <f>'Runs Z score'!B353</f>
        <v/>
      </c>
      <c r="C361">
        <f>'Runs Z score'!C353</f>
        <v/>
      </c>
      <c r="D361">
        <f>'Runs Z score'!D353</f>
        <v/>
      </c>
      <c r="E361">
        <f>'Runs Z score'!E353</f>
        <v/>
      </c>
      <c r="F361">
        <f>'Runs Z score'!F353</f>
        <v/>
      </c>
      <c r="G361">
        <f>'Runs Z score'!G353</f>
        <v/>
      </c>
      <c r="H361">
        <f>VLOOKUP(C361,Recipes!$A$2:$N$4,10,FALSE())</f>
        <v/>
      </c>
      <c r="I361">
        <f>VLOOKUP(C361,Recipes!$A$2:$N$4,12,FALSE())</f>
        <v/>
      </c>
      <c r="J361">
        <f>IF(G361="","",H361-G361)</f>
        <v/>
      </c>
      <c r="K361">
        <f>IF(G361="","",IF(ABS(G361-H361)&lt;=$B$6*I361,"OK","NG"))</f>
        <v/>
      </c>
      <c r="L361">
        <f>IF(K361="","",IF(K361=D361,1,0))</f>
        <v/>
      </c>
      <c r="M361" t="inlineStr">
        <is>
          <t>W1</t>
        </is>
      </c>
      <c r="N361" s="15" t="n">
        <v>0.8461</v>
      </c>
      <c r="O361" s="15" t="n">
        <v>0.1375</v>
      </c>
      <c r="P361">
        <f>IF(M361="","",IF(M361=E361,1,0))</f>
        <v/>
      </c>
      <c r="Q361">
        <f>IF(K361="OK","-",IF(N361&lt;$B$7,"AMBIGUOUS","CONFIDENT"))</f>
        <v/>
      </c>
    </row>
    <row r="362">
      <c r="A362">
        <f>'Runs Z score'!A354</f>
        <v/>
      </c>
      <c r="B362">
        <f>'Runs Z score'!B354</f>
        <v/>
      </c>
      <c r="C362">
        <f>'Runs Z score'!C354</f>
        <v/>
      </c>
      <c r="D362">
        <f>'Runs Z score'!D354</f>
        <v/>
      </c>
      <c r="E362">
        <f>'Runs Z score'!E354</f>
        <v/>
      </c>
      <c r="F362">
        <f>'Runs Z score'!F354</f>
        <v/>
      </c>
      <c r="G362">
        <f>'Runs Z score'!G354</f>
        <v/>
      </c>
      <c r="H362">
        <f>VLOOKUP(C362,Recipes!$A$2:$N$4,10,FALSE())</f>
        <v/>
      </c>
      <c r="I362">
        <f>VLOOKUP(C362,Recipes!$A$2:$N$4,12,FALSE())</f>
        <v/>
      </c>
      <c r="J362">
        <f>IF(G362="","",H362-G362)</f>
        <v/>
      </c>
      <c r="K362">
        <f>IF(G362="","",IF(ABS(G362-H362)&lt;=$B$6*I362,"OK","NG"))</f>
        <v/>
      </c>
      <c r="L362">
        <f>IF(K362="","",IF(K362=D362,1,0))</f>
        <v/>
      </c>
      <c r="M362" t="inlineStr">
        <is>
          <t>W1</t>
        </is>
      </c>
      <c r="N362" s="15" t="n">
        <v>0.9461000000000001</v>
      </c>
      <c r="O362" s="15" t="n">
        <v>0.04</v>
      </c>
      <c r="P362">
        <f>IF(M362="","",IF(M362=E362,1,0))</f>
        <v/>
      </c>
      <c r="Q362">
        <f>IF(K362="OK","-",IF(N362&lt;$B$7,"AMBIGUOUS","CONFIDENT"))</f>
        <v/>
      </c>
    </row>
    <row r="363">
      <c r="A363">
        <f>'Runs Z score'!A355</f>
        <v/>
      </c>
      <c r="B363">
        <f>'Runs Z score'!B355</f>
        <v/>
      </c>
      <c r="C363">
        <f>'Runs Z score'!C355</f>
        <v/>
      </c>
      <c r="D363">
        <f>'Runs Z score'!D355</f>
        <v/>
      </c>
      <c r="E363">
        <f>'Runs Z score'!E355</f>
        <v/>
      </c>
      <c r="F363">
        <f>'Runs Z score'!F355</f>
        <v/>
      </c>
      <c r="G363">
        <f>'Runs Z score'!G355</f>
        <v/>
      </c>
      <c r="H363">
        <f>VLOOKUP(C363,Recipes!$A$2:$N$4,10,FALSE())</f>
        <v/>
      </c>
      <c r="I363">
        <f>VLOOKUP(C363,Recipes!$A$2:$N$4,12,FALSE())</f>
        <v/>
      </c>
      <c r="J363">
        <f>IF(G363="","",H363-G363)</f>
        <v/>
      </c>
      <c r="K363">
        <f>IF(G363="","",IF(ABS(G363-H363)&lt;=$B$6*I363,"OK","NG"))</f>
        <v/>
      </c>
      <c r="L363">
        <f>IF(K363="","",IF(K363=D363,1,0))</f>
        <v/>
      </c>
      <c r="M363" t="inlineStr">
        <is>
          <t>N1</t>
        </is>
      </c>
      <c r="N363" s="15" t="n">
        <v>0.7769</v>
      </c>
      <c r="O363" s="15" t="n">
        <v>0.129</v>
      </c>
      <c r="P363">
        <f>IF(M363="","",IF(M363=E363,1,0))</f>
        <v/>
      </c>
      <c r="Q363">
        <f>IF(K363="OK","-",IF(N363&lt;$B$7,"AMBIGUOUS","CONFIDENT"))</f>
        <v/>
      </c>
    </row>
    <row r="364">
      <c r="A364">
        <f>'Runs Z score'!A356</f>
        <v/>
      </c>
      <c r="B364">
        <f>'Runs Z score'!B356</f>
        <v/>
      </c>
      <c r="C364">
        <f>'Runs Z score'!C356</f>
        <v/>
      </c>
      <c r="D364">
        <f>'Runs Z score'!D356</f>
        <v/>
      </c>
      <c r="E364">
        <f>'Runs Z score'!E356</f>
        <v/>
      </c>
      <c r="F364">
        <f>'Runs Z score'!F356</f>
        <v/>
      </c>
      <c r="G364">
        <f>'Runs Z score'!G356</f>
        <v/>
      </c>
      <c r="H364">
        <f>VLOOKUP(C364,Recipes!$A$2:$N$4,10,FALSE())</f>
        <v/>
      </c>
      <c r="I364">
        <f>VLOOKUP(C364,Recipes!$A$2:$N$4,12,FALSE())</f>
        <v/>
      </c>
      <c r="J364">
        <f>IF(G364="","",H364-G364)</f>
        <v/>
      </c>
      <c r="K364">
        <f>IF(G364="","",IF(ABS(G364-H364)&lt;=$B$6*I364,"OK","NG"))</f>
        <v/>
      </c>
      <c r="L364">
        <f>IF(K364="","",IF(K364=D364,1,0))</f>
        <v/>
      </c>
      <c r="M364" t="inlineStr">
        <is>
          <t>W1</t>
        </is>
      </c>
      <c r="N364" s="15" t="n">
        <v>0.9596</v>
      </c>
      <c r="O364" s="15" t="n">
        <v>0.0274</v>
      </c>
      <c r="P364">
        <f>IF(M364="","",IF(M364=E364,1,0))</f>
        <v/>
      </c>
      <c r="Q364">
        <f>IF(K364="OK","-",IF(N364&lt;$B$7,"AMBIGUOUS","CONFIDENT"))</f>
        <v/>
      </c>
    </row>
    <row r="365">
      <c r="A365">
        <f>'Runs Z score'!A357</f>
        <v/>
      </c>
      <c r="B365">
        <f>'Runs Z score'!B357</f>
        <v/>
      </c>
      <c r="C365">
        <f>'Runs Z score'!C357</f>
        <v/>
      </c>
      <c r="D365">
        <f>'Runs Z score'!D357</f>
        <v/>
      </c>
      <c r="E365">
        <f>'Runs Z score'!E357</f>
        <v/>
      </c>
      <c r="F365">
        <f>'Runs Z score'!F357</f>
        <v/>
      </c>
      <c r="G365">
        <f>'Runs Z score'!G357</f>
        <v/>
      </c>
      <c r="H365">
        <f>VLOOKUP(C365,Recipes!$A$2:$N$4,10,FALSE())</f>
        <v/>
      </c>
      <c r="I365">
        <f>VLOOKUP(C365,Recipes!$A$2:$N$4,12,FALSE())</f>
        <v/>
      </c>
      <c r="J365">
        <f>IF(G365="","",H365-G365)</f>
        <v/>
      </c>
      <c r="K365">
        <f>IF(G365="","",IF(ABS(G365-H365)&lt;=$B$6*I365,"OK","NG"))</f>
        <v/>
      </c>
      <c r="L365">
        <f>IF(K365="","",IF(K365=D365,1,0))</f>
        <v/>
      </c>
      <c r="M365" t="inlineStr">
        <is>
          <t>W1</t>
        </is>
      </c>
      <c r="N365" s="15" t="n">
        <v>0.9013</v>
      </c>
      <c r="O365" s="15" t="n">
        <v>0.0837</v>
      </c>
      <c r="P365">
        <f>IF(M365="","",IF(M365=E365,1,0))</f>
        <v/>
      </c>
      <c r="Q365">
        <f>IF(K365="OK","-",IF(N365&lt;$B$7,"AMBIGUOUS","CONFIDENT"))</f>
        <v/>
      </c>
    </row>
    <row r="366">
      <c r="A366">
        <f>'Runs Z score'!A358</f>
        <v/>
      </c>
      <c r="B366">
        <f>'Runs Z score'!B358</f>
        <v/>
      </c>
      <c r="C366">
        <f>'Runs Z score'!C358</f>
        <v/>
      </c>
      <c r="D366">
        <f>'Runs Z score'!D358</f>
        <v/>
      </c>
      <c r="E366">
        <f>'Runs Z score'!E358</f>
        <v/>
      </c>
      <c r="F366">
        <f>'Runs Z score'!F358</f>
        <v/>
      </c>
      <c r="G366">
        <f>'Runs Z score'!G358</f>
        <v/>
      </c>
      <c r="H366">
        <f>VLOOKUP(C366,Recipes!$A$2:$N$4,10,FALSE())</f>
        <v/>
      </c>
      <c r="I366">
        <f>VLOOKUP(C366,Recipes!$A$2:$N$4,12,FALSE())</f>
        <v/>
      </c>
      <c r="J366">
        <f>IF(G366="","",H366-G366)</f>
        <v/>
      </c>
      <c r="K366">
        <f>IF(G366="","",IF(ABS(G366-H366)&lt;=$B$6*I366,"OK","NG"))</f>
        <v/>
      </c>
      <c r="L366">
        <f>IF(K366="","",IF(K366=D366,1,0))</f>
        <v/>
      </c>
      <c r="M366" t="inlineStr">
        <is>
          <t>N1</t>
        </is>
      </c>
      <c r="N366" s="15" t="n">
        <v>0.7000999999999999</v>
      </c>
      <c r="O366" s="15" t="n">
        <v>0.2057</v>
      </c>
      <c r="P366">
        <f>IF(M366="","",IF(M366=E366,1,0))</f>
        <v/>
      </c>
      <c r="Q366">
        <f>IF(K366="OK","-",IF(N366&lt;$B$7,"AMBIGUOUS","CONFIDENT"))</f>
        <v/>
      </c>
    </row>
    <row r="367">
      <c r="A367">
        <f>'Runs Z score'!A359</f>
        <v/>
      </c>
      <c r="B367">
        <f>'Runs Z score'!B359</f>
        <v/>
      </c>
      <c r="C367">
        <f>'Runs Z score'!C359</f>
        <v/>
      </c>
      <c r="D367">
        <f>'Runs Z score'!D359</f>
        <v/>
      </c>
      <c r="E367">
        <f>'Runs Z score'!E359</f>
        <v/>
      </c>
      <c r="F367">
        <f>'Runs Z score'!F359</f>
        <v/>
      </c>
      <c r="G367">
        <f>'Runs Z score'!G359</f>
        <v/>
      </c>
      <c r="H367">
        <f>VLOOKUP(C367,Recipes!$A$2:$N$4,10,FALSE())</f>
        <v/>
      </c>
      <c r="I367">
        <f>VLOOKUP(C367,Recipes!$A$2:$N$4,12,FALSE())</f>
        <v/>
      </c>
      <c r="J367">
        <f>IF(G367="","",H367-G367)</f>
        <v/>
      </c>
      <c r="K367">
        <f>IF(G367="","",IF(ABS(G367-H367)&lt;=$B$6*I367,"OK","NG"))</f>
        <v/>
      </c>
      <c r="L367">
        <f>IF(K367="","",IF(K367=D367,1,0))</f>
        <v/>
      </c>
      <c r="M367" t="inlineStr">
        <is>
          <t>W1</t>
        </is>
      </c>
      <c r="N367" s="15" t="n">
        <v>0.63</v>
      </c>
      <c r="O367" s="15" t="n">
        <v>0.3367</v>
      </c>
      <c r="P367">
        <f>IF(M367="","",IF(M367=E367,1,0))</f>
        <v/>
      </c>
      <c r="Q367">
        <f>IF(K367="OK","-",IF(N367&lt;$B$7,"AMBIGUOUS","CONFIDENT"))</f>
        <v/>
      </c>
    </row>
    <row r="368">
      <c r="A368">
        <f>'Runs Z score'!A360</f>
        <v/>
      </c>
      <c r="B368">
        <f>'Runs Z score'!B360</f>
        <v/>
      </c>
      <c r="C368">
        <f>'Runs Z score'!C360</f>
        <v/>
      </c>
      <c r="D368">
        <f>'Runs Z score'!D360</f>
        <v/>
      </c>
      <c r="E368">
        <f>'Runs Z score'!E360</f>
        <v/>
      </c>
      <c r="F368">
        <f>'Runs Z score'!F360</f>
        <v/>
      </c>
      <c r="G368">
        <f>'Runs Z score'!G360</f>
        <v/>
      </c>
      <c r="H368">
        <f>VLOOKUP(C368,Recipes!$A$2:$N$4,10,FALSE())</f>
        <v/>
      </c>
      <c r="I368">
        <f>VLOOKUP(C368,Recipes!$A$2:$N$4,12,FALSE())</f>
        <v/>
      </c>
      <c r="J368">
        <f>IF(G368="","",H368-G368)</f>
        <v/>
      </c>
      <c r="K368">
        <f>IF(G368="","",IF(ABS(G368-H368)&lt;=$B$6*I368,"OK","NG"))</f>
        <v/>
      </c>
      <c r="L368">
        <f>IF(K368="","",IF(K368=D368,1,0))</f>
        <v/>
      </c>
      <c r="M368" t="inlineStr">
        <is>
          <t>W1</t>
        </is>
      </c>
      <c r="N368" s="15" t="n">
        <v>0.9288999999999999</v>
      </c>
      <c r="O368" s="15" t="n">
        <v>0.0576</v>
      </c>
      <c r="P368">
        <f>IF(M368="","",IF(M368=E368,1,0))</f>
        <v/>
      </c>
      <c r="Q368">
        <f>IF(K368="OK","-",IF(N368&lt;$B$7,"AMBIGUOUS","CONFIDENT"))</f>
        <v/>
      </c>
    </row>
    <row r="369">
      <c r="A369">
        <f>'Runs Z score'!A361</f>
        <v/>
      </c>
      <c r="B369">
        <f>'Runs Z score'!B361</f>
        <v/>
      </c>
      <c r="C369">
        <f>'Runs Z score'!C361</f>
        <v/>
      </c>
      <c r="D369">
        <f>'Runs Z score'!D361</f>
        <v/>
      </c>
      <c r="E369">
        <f>'Runs Z score'!E361</f>
        <v/>
      </c>
      <c r="F369">
        <f>'Runs Z score'!F361</f>
        <v/>
      </c>
      <c r="G369">
        <f>'Runs Z score'!G361</f>
        <v/>
      </c>
      <c r="H369">
        <f>VLOOKUP(C369,Recipes!$A$2:$N$4,10,FALSE())</f>
        <v/>
      </c>
      <c r="I369">
        <f>VLOOKUP(C369,Recipes!$A$2:$N$4,12,FALSE())</f>
        <v/>
      </c>
      <c r="J369">
        <f>IF(G369="","",H369-G369)</f>
        <v/>
      </c>
      <c r="K369">
        <f>IF(G369="","",IF(ABS(G369-H369)&lt;=$B$6*I369,"OK","NG"))</f>
        <v/>
      </c>
      <c r="L369">
        <f>IF(K369="","",IF(K369=D369,1,0))</f>
        <v/>
      </c>
      <c r="M369" t="inlineStr">
        <is>
          <t>N1</t>
        </is>
      </c>
      <c r="N369" s="15" t="n">
        <v>0.5671</v>
      </c>
      <c r="O369" s="15" t="n">
        <v>0.3419</v>
      </c>
      <c r="P369">
        <f>IF(M369="","",IF(M369=E369,1,0))</f>
        <v/>
      </c>
      <c r="Q369">
        <f>IF(K369="OK","-",IF(N369&lt;$B$7,"AMBIGUOUS","CONFIDENT"))</f>
        <v/>
      </c>
    </row>
    <row r="370">
      <c r="A370">
        <f>'Runs Z score'!A362</f>
        <v/>
      </c>
      <c r="B370">
        <f>'Runs Z score'!B362</f>
        <v/>
      </c>
      <c r="C370">
        <f>'Runs Z score'!C362</f>
        <v/>
      </c>
      <c r="D370">
        <f>'Runs Z score'!D362</f>
        <v/>
      </c>
      <c r="E370">
        <f>'Runs Z score'!E362</f>
        <v/>
      </c>
      <c r="F370">
        <f>'Runs Z score'!F362</f>
        <v/>
      </c>
      <c r="G370">
        <f>'Runs Z score'!G362</f>
        <v/>
      </c>
      <c r="H370">
        <f>VLOOKUP(C370,Recipes!$A$2:$N$4,10,FALSE())</f>
        <v/>
      </c>
      <c r="I370">
        <f>VLOOKUP(C370,Recipes!$A$2:$N$4,12,FALSE())</f>
        <v/>
      </c>
      <c r="J370">
        <f>IF(G370="","",H370-G370)</f>
        <v/>
      </c>
      <c r="K370">
        <f>IF(G370="","",IF(ABS(G370-H370)&lt;=$B$6*I370,"OK","NG"))</f>
        <v/>
      </c>
      <c r="L370">
        <f>IF(K370="","",IF(K370=D370,1,0))</f>
        <v/>
      </c>
      <c r="M370" t="inlineStr">
        <is>
          <t>W1</t>
        </is>
      </c>
      <c r="N370" s="15" t="n">
        <v>0.9452</v>
      </c>
      <c r="O370" s="15" t="n">
        <v>0.0408</v>
      </c>
      <c r="P370">
        <f>IF(M370="","",IF(M370=E370,1,0))</f>
        <v/>
      </c>
      <c r="Q370">
        <f>IF(K370="OK","-",IF(N370&lt;$B$7,"AMBIGUOUS","CONFIDENT"))</f>
        <v/>
      </c>
    </row>
    <row r="371">
      <c r="A371">
        <f>'Runs Z score'!A363</f>
        <v/>
      </c>
      <c r="B371">
        <f>'Runs Z score'!B363</f>
        <v/>
      </c>
      <c r="C371">
        <f>'Runs Z score'!C363</f>
        <v/>
      </c>
      <c r="D371">
        <f>'Runs Z score'!D363</f>
        <v/>
      </c>
      <c r="E371">
        <f>'Runs Z score'!E363</f>
        <v/>
      </c>
      <c r="F371">
        <f>'Runs Z score'!F363</f>
        <v/>
      </c>
      <c r="G371">
        <f>'Runs Z score'!G363</f>
        <v/>
      </c>
      <c r="H371">
        <f>VLOOKUP(C371,Recipes!$A$2:$N$4,10,FALSE())</f>
        <v/>
      </c>
      <c r="I371">
        <f>VLOOKUP(C371,Recipes!$A$2:$N$4,12,FALSE())</f>
        <v/>
      </c>
      <c r="J371">
        <f>IF(G371="","",H371-G371)</f>
        <v/>
      </c>
      <c r="K371">
        <f>IF(G371="","",IF(ABS(G371-H371)&lt;=$B$6*I371,"OK","NG"))</f>
        <v/>
      </c>
      <c r="L371">
        <f>IF(K371="","",IF(K371=D371,1,0))</f>
        <v/>
      </c>
      <c r="M371" t="inlineStr">
        <is>
          <t>N2</t>
        </is>
      </c>
      <c r="N371" s="15" t="n">
        <v>0.8997000000000001</v>
      </c>
      <c r="O371" s="15" t="n">
        <v>0.0574</v>
      </c>
      <c r="P371">
        <f>IF(M371="","",IF(M371=E371,1,0))</f>
        <v/>
      </c>
      <c r="Q371">
        <f>IF(K371="OK","-",IF(N371&lt;$B$7,"AMBIGUOUS","CONFIDENT"))</f>
        <v/>
      </c>
    </row>
    <row r="372">
      <c r="A372">
        <f>'Runs Z score'!A364</f>
        <v/>
      </c>
      <c r="B372">
        <f>'Runs Z score'!B364</f>
        <v/>
      </c>
      <c r="C372">
        <f>'Runs Z score'!C364</f>
        <v/>
      </c>
      <c r="D372">
        <f>'Runs Z score'!D364</f>
        <v/>
      </c>
      <c r="E372">
        <f>'Runs Z score'!E364</f>
        <v/>
      </c>
      <c r="F372">
        <f>'Runs Z score'!F364</f>
        <v/>
      </c>
      <c r="G372">
        <f>'Runs Z score'!G364</f>
        <v/>
      </c>
      <c r="H372">
        <f>VLOOKUP(C372,Recipes!$A$2:$N$4,10,FALSE())</f>
        <v/>
      </c>
      <c r="I372">
        <f>VLOOKUP(C372,Recipes!$A$2:$N$4,12,FALSE())</f>
        <v/>
      </c>
      <c r="J372">
        <f>IF(G372="","",H372-G372)</f>
        <v/>
      </c>
      <c r="K372">
        <f>IF(G372="","",IF(ABS(G372-H372)&lt;=$B$6*I372,"OK","NG"))</f>
        <v/>
      </c>
      <c r="L372">
        <f>IF(K372="","",IF(K372=D372,1,0))</f>
        <v/>
      </c>
      <c r="M372" t="inlineStr">
        <is>
          <t>N2</t>
        </is>
      </c>
      <c r="N372" s="15" t="n">
        <v>0.7592</v>
      </c>
      <c r="O372" s="15" t="n">
        <v>0.1759</v>
      </c>
      <c r="P372">
        <f>IF(M372="","",IF(M372=E372,1,0))</f>
        <v/>
      </c>
      <c r="Q372">
        <f>IF(K372="OK","-",IF(N372&lt;$B$7,"AMBIGUOUS","CONFIDENT"))</f>
        <v/>
      </c>
    </row>
    <row r="373">
      <c r="A373">
        <f>'Runs Z score'!A365</f>
        <v/>
      </c>
      <c r="B373">
        <f>'Runs Z score'!B365</f>
        <v/>
      </c>
      <c r="C373">
        <f>'Runs Z score'!C365</f>
        <v/>
      </c>
      <c r="D373">
        <f>'Runs Z score'!D365</f>
        <v/>
      </c>
      <c r="E373">
        <f>'Runs Z score'!E365</f>
        <v/>
      </c>
      <c r="F373">
        <f>'Runs Z score'!F365</f>
        <v/>
      </c>
      <c r="G373">
        <f>'Runs Z score'!G365</f>
        <v/>
      </c>
      <c r="H373">
        <f>VLOOKUP(C373,Recipes!$A$2:$N$4,10,FALSE())</f>
        <v/>
      </c>
      <c r="I373">
        <f>VLOOKUP(C373,Recipes!$A$2:$N$4,12,FALSE())</f>
        <v/>
      </c>
      <c r="J373">
        <f>IF(G373="","",H373-G373)</f>
        <v/>
      </c>
      <c r="K373">
        <f>IF(G373="","",IF(ABS(G373-H373)&lt;=$B$6*I373,"OK","NG"))</f>
        <v/>
      </c>
      <c r="L373">
        <f>IF(K373="","",IF(K373=D373,1,0))</f>
        <v/>
      </c>
      <c r="M373" t="inlineStr">
        <is>
          <t>N2</t>
        </is>
      </c>
      <c r="N373" s="15" t="n">
        <v>0.6897</v>
      </c>
      <c r="O373" s="15" t="n">
        <v>0.2184</v>
      </c>
      <c r="P373">
        <f>IF(M373="","",IF(M373=E373,1,0))</f>
        <v/>
      </c>
      <c r="Q373">
        <f>IF(K373="OK","-",IF(N373&lt;$B$7,"AMBIGUOUS","CONFIDENT"))</f>
        <v/>
      </c>
    </row>
    <row r="374">
      <c r="A374">
        <f>'Runs Z score'!A366</f>
        <v/>
      </c>
      <c r="B374">
        <f>'Runs Z score'!B366</f>
        <v/>
      </c>
      <c r="C374">
        <f>'Runs Z score'!C366</f>
        <v/>
      </c>
      <c r="D374">
        <f>'Runs Z score'!D366</f>
        <v/>
      </c>
      <c r="E374">
        <f>'Runs Z score'!E366</f>
        <v/>
      </c>
      <c r="F374">
        <f>'Runs Z score'!F366</f>
        <v/>
      </c>
      <c r="G374">
        <f>'Runs Z score'!G366</f>
        <v/>
      </c>
      <c r="H374">
        <f>VLOOKUP(C374,Recipes!$A$2:$N$4,10,FALSE())</f>
        <v/>
      </c>
      <c r="I374">
        <f>VLOOKUP(C374,Recipes!$A$2:$N$4,12,FALSE())</f>
        <v/>
      </c>
      <c r="J374">
        <f>IF(G374="","",H374-G374)</f>
        <v/>
      </c>
      <c r="K374">
        <f>IF(G374="","",IF(ABS(G374-H374)&lt;=$B$6*I374,"OK","NG"))</f>
        <v/>
      </c>
      <c r="L374">
        <f>IF(K374="","",IF(K374=D374,1,0))</f>
        <v/>
      </c>
      <c r="M374" t="inlineStr">
        <is>
          <t>N2</t>
        </is>
      </c>
      <c r="N374" s="15" t="n">
        <v>0.5054999999999999</v>
      </c>
      <c r="O374" s="15" t="n">
        <v>0.3886</v>
      </c>
      <c r="P374">
        <f>IF(M374="","",IF(M374=E374,1,0))</f>
        <v/>
      </c>
      <c r="Q374">
        <f>IF(K374="OK","-",IF(N374&lt;$B$7,"AMBIGUOUS","CONFIDENT"))</f>
        <v/>
      </c>
    </row>
    <row r="375">
      <c r="A375">
        <f>'Runs Z score'!A367</f>
        <v/>
      </c>
      <c r="B375">
        <f>'Runs Z score'!B367</f>
        <v/>
      </c>
      <c r="C375">
        <f>'Runs Z score'!C367</f>
        <v/>
      </c>
      <c r="D375">
        <f>'Runs Z score'!D367</f>
        <v/>
      </c>
      <c r="E375">
        <f>'Runs Z score'!E367</f>
        <v/>
      </c>
      <c r="F375">
        <f>'Runs Z score'!F367</f>
        <v/>
      </c>
      <c r="G375">
        <f>'Runs Z score'!G367</f>
        <v/>
      </c>
      <c r="H375">
        <f>VLOOKUP(C375,Recipes!$A$2:$N$4,10,FALSE())</f>
        <v/>
      </c>
      <c r="I375">
        <f>VLOOKUP(C375,Recipes!$A$2:$N$4,12,FALSE())</f>
        <v/>
      </c>
      <c r="J375">
        <f>IF(G375="","",H375-G375)</f>
        <v/>
      </c>
      <c r="K375">
        <f>IF(G375="","",IF(ABS(G375-H375)&lt;=$B$6*I375,"OK","NG"))</f>
        <v/>
      </c>
      <c r="L375">
        <f>IF(K375="","",IF(K375=D375,1,0))</f>
        <v/>
      </c>
      <c r="M375" t="inlineStr">
        <is>
          <t>N2</t>
        </is>
      </c>
      <c r="N375" s="15" t="n">
        <v>0.9621</v>
      </c>
      <c r="O375" s="15" t="n">
        <v>0.0151</v>
      </c>
      <c r="P375">
        <f>IF(M375="","",IF(M375=E375,1,0))</f>
        <v/>
      </c>
      <c r="Q375">
        <f>IF(K375="OK","-",IF(N375&lt;$B$7,"AMBIGUOUS","CONFIDENT"))</f>
        <v/>
      </c>
    </row>
    <row r="376">
      <c r="A376">
        <f>'Runs Z score'!A368</f>
        <v/>
      </c>
      <c r="B376">
        <f>'Runs Z score'!B368</f>
        <v/>
      </c>
      <c r="C376">
        <f>'Runs Z score'!C368</f>
        <v/>
      </c>
      <c r="D376">
        <f>'Runs Z score'!D368</f>
        <v/>
      </c>
      <c r="E376">
        <f>'Runs Z score'!E368</f>
        <v/>
      </c>
      <c r="F376">
        <f>'Runs Z score'!F368</f>
        <v/>
      </c>
      <c r="G376">
        <f>'Runs Z score'!G368</f>
        <v/>
      </c>
      <c r="H376">
        <f>VLOOKUP(C376,Recipes!$A$2:$N$4,10,FALSE())</f>
        <v/>
      </c>
      <c r="I376">
        <f>VLOOKUP(C376,Recipes!$A$2:$N$4,12,FALSE())</f>
        <v/>
      </c>
      <c r="J376">
        <f>IF(G376="","",H376-G376)</f>
        <v/>
      </c>
      <c r="K376">
        <f>IF(G376="","",IF(ABS(G376-H376)&lt;=$B$6*I376,"OK","NG"))</f>
        <v/>
      </c>
      <c r="L376">
        <f>IF(K376="","",IF(K376=D376,1,0))</f>
        <v/>
      </c>
      <c r="M376" t="inlineStr">
        <is>
          <t>N2</t>
        </is>
      </c>
      <c r="N376" s="15" t="n">
        <v>0.9032</v>
      </c>
      <c r="O376" s="15" t="n">
        <v>0.0537</v>
      </c>
      <c r="P376">
        <f>IF(M376="","",IF(M376=E376,1,0))</f>
        <v/>
      </c>
      <c r="Q376">
        <f>IF(K376="OK","-",IF(N376&lt;$B$7,"AMBIGUOUS","CONFIDENT"))</f>
        <v/>
      </c>
    </row>
    <row r="377">
      <c r="A377">
        <f>'Runs Z score'!A369</f>
        <v/>
      </c>
      <c r="B377">
        <f>'Runs Z score'!B369</f>
        <v/>
      </c>
      <c r="C377">
        <f>'Runs Z score'!C369</f>
        <v/>
      </c>
      <c r="D377">
        <f>'Runs Z score'!D369</f>
        <v/>
      </c>
      <c r="E377">
        <f>'Runs Z score'!E369</f>
        <v/>
      </c>
      <c r="F377">
        <f>'Runs Z score'!F369</f>
        <v/>
      </c>
      <c r="G377">
        <f>'Runs Z score'!G369</f>
        <v/>
      </c>
      <c r="H377">
        <f>VLOOKUP(C377,Recipes!$A$2:$N$4,10,FALSE())</f>
        <v/>
      </c>
      <c r="I377">
        <f>VLOOKUP(C377,Recipes!$A$2:$N$4,12,FALSE())</f>
        <v/>
      </c>
      <c r="J377">
        <f>IF(G377="","",H377-G377)</f>
        <v/>
      </c>
      <c r="K377">
        <f>IF(G377="","",IF(ABS(G377-H377)&lt;=$B$6*I377,"OK","NG"))</f>
        <v/>
      </c>
      <c r="L377">
        <f>IF(K377="","",IF(K377=D377,1,0))</f>
        <v/>
      </c>
      <c r="M377" t="inlineStr">
        <is>
          <t>N2</t>
        </is>
      </c>
      <c r="N377" s="15" t="n">
        <v>0.8865</v>
      </c>
      <c r="O377" s="15" t="n">
        <v>0.07099999999999999</v>
      </c>
      <c r="P377">
        <f>IF(M377="","",IF(M377=E377,1,0))</f>
        <v/>
      </c>
      <c r="Q377">
        <f>IF(K377="OK","-",IF(N377&lt;$B$7,"AMBIGUOUS","CONFIDENT"))</f>
        <v/>
      </c>
    </row>
    <row r="378">
      <c r="A378">
        <f>'Runs Z score'!A370</f>
        <v/>
      </c>
      <c r="B378">
        <f>'Runs Z score'!B370</f>
        <v/>
      </c>
      <c r="C378">
        <f>'Runs Z score'!C370</f>
        <v/>
      </c>
      <c r="D378">
        <f>'Runs Z score'!D370</f>
        <v/>
      </c>
      <c r="E378">
        <f>'Runs Z score'!E370</f>
        <v/>
      </c>
      <c r="F378">
        <f>'Runs Z score'!F370</f>
        <v/>
      </c>
      <c r="G378">
        <f>'Runs Z score'!G370</f>
        <v/>
      </c>
      <c r="H378">
        <f>VLOOKUP(C378,Recipes!$A$2:$N$4,10,FALSE())</f>
        <v/>
      </c>
      <c r="I378">
        <f>VLOOKUP(C378,Recipes!$A$2:$N$4,12,FALSE())</f>
        <v/>
      </c>
      <c r="J378">
        <f>IF(G378="","",H378-G378)</f>
        <v/>
      </c>
      <c r="K378">
        <f>IF(G378="","",IF(ABS(G378-H378)&lt;=$B$6*I378,"OK","NG"))</f>
        <v/>
      </c>
      <c r="L378">
        <f>IF(K378="","",IF(K378=D378,1,0))</f>
        <v/>
      </c>
      <c r="M378" t="inlineStr">
        <is>
          <t>N2</t>
        </is>
      </c>
      <c r="N378" s="15" t="n">
        <v>0.5993000000000001</v>
      </c>
      <c r="O378" s="15" t="n">
        <v>0.3177</v>
      </c>
      <c r="P378">
        <f>IF(M378="","",IF(M378=E378,1,0))</f>
        <v/>
      </c>
      <c r="Q378">
        <f>IF(K378="OK","-",IF(N378&lt;$B$7,"AMBIGUOUS","CONFIDENT"))</f>
        <v/>
      </c>
    </row>
    <row r="379">
      <c r="A379">
        <f>'Runs Z score'!A371</f>
        <v/>
      </c>
      <c r="B379">
        <f>'Runs Z score'!B371</f>
        <v/>
      </c>
      <c r="C379">
        <f>'Runs Z score'!C371</f>
        <v/>
      </c>
      <c r="D379">
        <f>'Runs Z score'!D371</f>
        <v/>
      </c>
      <c r="E379">
        <f>'Runs Z score'!E371</f>
        <v/>
      </c>
      <c r="F379">
        <f>'Runs Z score'!F371</f>
        <v/>
      </c>
      <c r="G379">
        <f>'Runs Z score'!G371</f>
        <v/>
      </c>
      <c r="H379">
        <f>VLOOKUP(C379,Recipes!$A$2:$N$4,10,FALSE())</f>
        <v/>
      </c>
      <c r="I379">
        <f>VLOOKUP(C379,Recipes!$A$2:$N$4,12,FALSE())</f>
        <v/>
      </c>
      <c r="J379">
        <f>IF(G379="","",H379-G379)</f>
        <v/>
      </c>
      <c r="K379">
        <f>IF(G379="","",IF(ABS(G379-H379)&lt;=$B$6*I379,"OK","NG"))</f>
        <v/>
      </c>
      <c r="L379">
        <f>IF(K379="","",IF(K379=D379,1,0))</f>
        <v/>
      </c>
      <c r="M379" t="inlineStr">
        <is>
          <t>N2</t>
        </is>
      </c>
      <c r="N379" s="15" t="n">
        <v>0.9026</v>
      </c>
      <c r="O379" s="15" t="n">
        <v>0.0461</v>
      </c>
      <c r="P379">
        <f>IF(M379="","",IF(M379=E379,1,0))</f>
        <v/>
      </c>
      <c r="Q379">
        <f>IF(K379="OK","-",IF(N379&lt;$B$7,"AMBIGUOUS","CONFIDENT"))</f>
        <v/>
      </c>
    </row>
    <row r="380">
      <c r="A380">
        <f>'Runs Z score'!A372</f>
        <v/>
      </c>
      <c r="B380">
        <f>'Runs Z score'!B372</f>
        <v/>
      </c>
      <c r="C380">
        <f>'Runs Z score'!C372</f>
        <v/>
      </c>
      <c r="D380">
        <f>'Runs Z score'!D372</f>
        <v/>
      </c>
      <c r="E380">
        <f>'Runs Z score'!E372</f>
        <v/>
      </c>
      <c r="F380">
        <f>'Runs Z score'!F372</f>
        <v/>
      </c>
      <c r="G380">
        <f>'Runs Z score'!G372</f>
        <v/>
      </c>
      <c r="H380">
        <f>VLOOKUP(C380,Recipes!$A$2:$N$4,10,FALSE())</f>
        <v/>
      </c>
      <c r="I380">
        <f>VLOOKUP(C380,Recipes!$A$2:$N$4,12,FALSE())</f>
        <v/>
      </c>
      <c r="J380">
        <f>IF(G380="","",H380-G380)</f>
        <v/>
      </c>
      <c r="K380">
        <f>IF(G380="","",IF(ABS(G380-H380)&lt;=$B$6*I380,"OK","NG"))</f>
        <v/>
      </c>
      <c r="L380">
        <f>IF(K380="","",IF(K380=D380,1,0))</f>
        <v/>
      </c>
      <c r="M380" t="inlineStr">
        <is>
          <t>N2</t>
        </is>
      </c>
      <c r="N380" s="15" t="n">
        <v>0.8343</v>
      </c>
      <c r="O380" s="15" t="n">
        <v>0.1131</v>
      </c>
      <c r="P380">
        <f>IF(M380="","",IF(M380=E380,1,0))</f>
        <v/>
      </c>
      <c r="Q380">
        <f>IF(K380="OK","-",IF(N380&lt;$B$7,"AMBIGUOUS","CONFIDENT"))</f>
        <v/>
      </c>
    </row>
    <row r="381">
      <c r="A381">
        <f>'Runs Z score'!A373</f>
        <v/>
      </c>
      <c r="B381">
        <f>'Runs Z score'!B373</f>
        <v/>
      </c>
      <c r="C381">
        <f>'Runs Z score'!C373</f>
        <v/>
      </c>
      <c r="D381">
        <f>'Runs Z score'!D373</f>
        <v/>
      </c>
      <c r="E381">
        <f>'Runs Z score'!E373</f>
        <v/>
      </c>
      <c r="F381">
        <f>'Runs Z score'!F373</f>
        <v/>
      </c>
      <c r="G381">
        <f>'Runs Z score'!G373</f>
        <v/>
      </c>
      <c r="H381">
        <f>VLOOKUP(C381,Recipes!$A$2:$N$4,10,FALSE())</f>
        <v/>
      </c>
      <c r="I381">
        <f>VLOOKUP(C381,Recipes!$A$2:$N$4,12,FALSE())</f>
        <v/>
      </c>
      <c r="J381">
        <f>IF(G381="","",H381-G381)</f>
        <v/>
      </c>
      <c r="K381">
        <f>IF(G381="","",IF(ABS(G381-H381)&lt;=$B$6*I381,"OK","NG"))</f>
        <v/>
      </c>
      <c r="L381">
        <f>IF(K381="","",IF(K381=D381,1,0))</f>
        <v/>
      </c>
      <c r="M381" t="inlineStr">
        <is>
          <t>N2</t>
        </is>
      </c>
      <c r="N381" s="15" t="n">
        <v>0.9431</v>
      </c>
      <c r="O381" s="15" t="n">
        <v>0.0273</v>
      </c>
      <c r="P381">
        <f>IF(M381="","",IF(M381=E381,1,0))</f>
        <v/>
      </c>
      <c r="Q381">
        <f>IF(K381="OK","-",IF(N381&lt;$B$7,"AMBIGUOUS","CONFIDENT"))</f>
        <v/>
      </c>
    </row>
    <row r="382">
      <c r="A382">
        <f>'Runs Z score'!A374</f>
        <v/>
      </c>
      <c r="B382">
        <f>'Runs Z score'!B374</f>
        <v/>
      </c>
      <c r="C382">
        <f>'Runs Z score'!C374</f>
        <v/>
      </c>
      <c r="D382">
        <f>'Runs Z score'!D374</f>
        <v/>
      </c>
      <c r="E382">
        <f>'Runs Z score'!E374</f>
        <v/>
      </c>
      <c r="F382">
        <f>'Runs Z score'!F374</f>
        <v/>
      </c>
      <c r="G382">
        <f>'Runs Z score'!G374</f>
        <v/>
      </c>
      <c r="H382">
        <f>VLOOKUP(C382,Recipes!$A$2:$N$4,10,FALSE())</f>
        <v/>
      </c>
      <c r="I382">
        <f>VLOOKUP(C382,Recipes!$A$2:$N$4,12,FALSE())</f>
        <v/>
      </c>
      <c r="J382">
        <f>IF(G382="","",H382-G382)</f>
        <v/>
      </c>
      <c r="K382">
        <f>IF(G382="","",IF(ABS(G382-H382)&lt;=$B$6*I382,"OK","NG"))</f>
        <v/>
      </c>
      <c r="L382">
        <f>IF(K382="","",IF(K382=D382,1,0))</f>
        <v/>
      </c>
      <c r="M382" t="inlineStr">
        <is>
          <t>N2</t>
        </is>
      </c>
      <c r="N382" s="15" t="n">
        <v>0.8344</v>
      </c>
      <c r="O382" s="15" t="n">
        <v>0.1065</v>
      </c>
      <c r="P382">
        <f>IF(M382="","",IF(M382=E382,1,0))</f>
        <v/>
      </c>
      <c r="Q382">
        <f>IF(K382="OK","-",IF(N382&lt;$B$7,"AMBIGUOUS","CONFIDENT"))</f>
        <v/>
      </c>
    </row>
    <row r="383">
      <c r="A383">
        <f>'Runs Z score'!A375</f>
        <v/>
      </c>
      <c r="B383">
        <f>'Runs Z score'!B375</f>
        <v/>
      </c>
      <c r="C383">
        <f>'Runs Z score'!C375</f>
        <v/>
      </c>
      <c r="D383">
        <f>'Runs Z score'!D375</f>
        <v/>
      </c>
      <c r="E383">
        <f>'Runs Z score'!E375</f>
        <v/>
      </c>
      <c r="F383">
        <f>'Runs Z score'!F375</f>
        <v/>
      </c>
      <c r="G383">
        <f>'Runs Z score'!G375</f>
        <v/>
      </c>
      <c r="H383">
        <f>VLOOKUP(C383,Recipes!$A$2:$N$4,10,FALSE())</f>
        <v/>
      </c>
      <c r="I383">
        <f>VLOOKUP(C383,Recipes!$A$2:$N$4,12,FALSE())</f>
        <v/>
      </c>
      <c r="J383">
        <f>IF(G383="","",H383-G383)</f>
        <v/>
      </c>
      <c r="K383">
        <f>IF(G383="","",IF(ABS(G383-H383)&lt;=$B$6*I383,"OK","NG"))</f>
        <v/>
      </c>
      <c r="L383">
        <f>IF(K383="","",IF(K383=D383,1,0))</f>
        <v/>
      </c>
      <c r="M383" t="inlineStr">
        <is>
          <t>N2</t>
        </is>
      </c>
      <c r="N383" s="15" t="n">
        <v>0.9032</v>
      </c>
      <c r="O383" s="15" t="n">
        <v>0.0537</v>
      </c>
      <c r="P383">
        <f>IF(M383="","",IF(M383=E383,1,0))</f>
        <v/>
      </c>
      <c r="Q383">
        <f>IF(K383="OK","-",IF(N383&lt;$B$7,"AMBIGUOUS","CONFIDENT"))</f>
        <v/>
      </c>
    </row>
    <row r="384">
      <c r="A384">
        <f>'Runs Z score'!A376</f>
        <v/>
      </c>
      <c r="B384">
        <f>'Runs Z score'!B376</f>
        <v/>
      </c>
      <c r="C384">
        <f>'Runs Z score'!C376</f>
        <v/>
      </c>
      <c r="D384">
        <f>'Runs Z score'!D376</f>
        <v/>
      </c>
      <c r="E384">
        <f>'Runs Z score'!E376</f>
        <v/>
      </c>
      <c r="F384">
        <f>'Runs Z score'!F376</f>
        <v/>
      </c>
      <c r="G384">
        <f>'Runs Z score'!G376</f>
        <v/>
      </c>
      <c r="H384">
        <f>VLOOKUP(C384,Recipes!$A$2:$N$4,10,FALSE())</f>
        <v/>
      </c>
      <c r="I384">
        <f>VLOOKUP(C384,Recipes!$A$2:$N$4,12,FALSE())</f>
        <v/>
      </c>
      <c r="J384">
        <f>IF(G384="","",H384-G384)</f>
        <v/>
      </c>
      <c r="K384">
        <f>IF(G384="","",IF(ABS(G384-H384)&lt;=$B$6*I384,"OK","NG"))</f>
        <v/>
      </c>
      <c r="L384">
        <f>IF(K384="","",IF(K384=D384,1,0))</f>
        <v/>
      </c>
      <c r="M384" t="inlineStr">
        <is>
          <t>N2</t>
        </is>
      </c>
      <c r="N384" s="15" t="n">
        <v>0.9615</v>
      </c>
      <c r="O384" s="15" t="n">
        <v>0.028</v>
      </c>
      <c r="P384">
        <f>IF(M384="","",IF(M384=E384,1,0))</f>
        <v/>
      </c>
      <c r="Q384">
        <f>IF(K384="OK","-",IF(N384&lt;$B$7,"AMBIGUOUS","CONFIDENT"))</f>
        <v/>
      </c>
    </row>
    <row r="385">
      <c r="A385">
        <f>'Runs Z score'!A377</f>
        <v/>
      </c>
      <c r="B385">
        <f>'Runs Z score'!B377</f>
        <v/>
      </c>
      <c r="C385">
        <f>'Runs Z score'!C377</f>
        <v/>
      </c>
      <c r="D385">
        <f>'Runs Z score'!D377</f>
        <v/>
      </c>
      <c r="E385">
        <f>'Runs Z score'!E377</f>
        <v/>
      </c>
      <c r="F385">
        <f>'Runs Z score'!F377</f>
        <v/>
      </c>
      <c r="G385">
        <f>'Runs Z score'!G377</f>
        <v/>
      </c>
      <c r="H385">
        <f>VLOOKUP(C385,Recipes!$A$2:$N$4,10,FALSE())</f>
        <v/>
      </c>
      <c r="I385">
        <f>VLOOKUP(C385,Recipes!$A$2:$N$4,12,FALSE())</f>
        <v/>
      </c>
      <c r="J385">
        <f>IF(G385="","",H385-G385)</f>
        <v/>
      </c>
      <c r="K385">
        <f>IF(G385="","",IF(ABS(G385-H385)&lt;=$B$6*I385,"OK","NG"))</f>
        <v/>
      </c>
      <c r="L385">
        <f>IF(K385="","",IF(K385=D385,1,0))</f>
        <v/>
      </c>
      <c r="M385" t="inlineStr">
        <is>
          <t>N2</t>
        </is>
      </c>
      <c r="N385" s="15" t="n">
        <v>0.9404</v>
      </c>
      <c r="O385" s="15" t="n">
        <v>0.0268</v>
      </c>
      <c r="P385">
        <f>IF(M385="","",IF(M385=E385,1,0))</f>
        <v/>
      </c>
      <c r="Q385">
        <f>IF(K385="OK","-",IF(N385&lt;$B$7,"AMBIGUOUS","CONFIDENT"))</f>
        <v/>
      </c>
    </row>
    <row r="386">
      <c r="A386">
        <f>'Runs Z score'!A378</f>
        <v/>
      </c>
      <c r="B386">
        <f>'Runs Z score'!B378</f>
        <v/>
      </c>
      <c r="C386">
        <f>'Runs Z score'!C378</f>
        <v/>
      </c>
      <c r="D386">
        <f>'Runs Z score'!D378</f>
        <v/>
      </c>
      <c r="E386">
        <f>'Runs Z score'!E378</f>
        <v/>
      </c>
      <c r="F386">
        <f>'Runs Z score'!F378</f>
        <v/>
      </c>
      <c r="G386">
        <f>'Runs Z score'!G378</f>
        <v/>
      </c>
      <c r="H386">
        <f>VLOOKUP(C386,Recipes!$A$2:$N$4,10,FALSE())</f>
        <v/>
      </c>
      <c r="I386">
        <f>VLOOKUP(C386,Recipes!$A$2:$N$4,12,FALSE())</f>
        <v/>
      </c>
      <c r="J386">
        <f>IF(G386="","",H386-G386)</f>
        <v/>
      </c>
      <c r="K386">
        <f>IF(G386="","",IF(ABS(G386-H386)&lt;=$B$6*I386,"OK","NG"))</f>
        <v/>
      </c>
      <c r="L386">
        <f>IF(K386="","",IF(K386=D386,1,0))</f>
        <v/>
      </c>
      <c r="M386" t="inlineStr">
        <is>
          <t>N2</t>
        </is>
      </c>
      <c r="N386" s="15" t="n">
        <v>0.9306</v>
      </c>
      <c r="O386" s="15" t="n">
        <v>0.0337</v>
      </c>
      <c r="P386">
        <f>IF(M386="","",IF(M386=E386,1,0))</f>
        <v/>
      </c>
      <c r="Q386">
        <f>IF(K386="OK","-",IF(N386&lt;$B$7,"AMBIGUOUS","CONFIDENT"))</f>
        <v/>
      </c>
    </row>
    <row r="387">
      <c r="A387">
        <f>'Runs Z score'!A379</f>
        <v/>
      </c>
      <c r="B387">
        <f>'Runs Z score'!B379</f>
        <v/>
      </c>
      <c r="C387">
        <f>'Runs Z score'!C379</f>
        <v/>
      </c>
      <c r="D387">
        <f>'Runs Z score'!D379</f>
        <v/>
      </c>
      <c r="E387">
        <f>'Runs Z score'!E379</f>
        <v/>
      </c>
      <c r="F387">
        <f>'Runs Z score'!F379</f>
        <v/>
      </c>
      <c r="G387">
        <f>'Runs Z score'!G379</f>
        <v/>
      </c>
      <c r="H387">
        <f>VLOOKUP(C387,Recipes!$A$2:$N$4,10,FALSE())</f>
        <v/>
      </c>
      <c r="I387">
        <f>VLOOKUP(C387,Recipes!$A$2:$N$4,12,FALSE())</f>
        <v/>
      </c>
      <c r="J387">
        <f>IF(G387="","",H387-G387)</f>
        <v/>
      </c>
      <c r="K387">
        <f>IF(G387="","",IF(ABS(G387-H387)&lt;=$B$6*I387,"OK","NG"))</f>
        <v/>
      </c>
      <c r="L387">
        <f>IF(K387="","",IF(K387=D387,1,0))</f>
        <v/>
      </c>
      <c r="M387" t="inlineStr">
        <is>
          <t>N2</t>
        </is>
      </c>
      <c r="N387" s="15" t="n">
        <v>0.9274</v>
      </c>
      <c r="O387" s="15" t="n">
        <v>0.0309</v>
      </c>
      <c r="P387">
        <f>IF(M387="","",IF(M387=E387,1,0))</f>
        <v/>
      </c>
      <c r="Q387">
        <f>IF(K387="OK","-",IF(N387&lt;$B$7,"AMBIGUOUS","CONFIDENT"))</f>
        <v/>
      </c>
    </row>
    <row r="388">
      <c r="A388">
        <f>'Runs Z score'!A380</f>
        <v/>
      </c>
      <c r="B388">
        <f>'Runs Z score'!B380</f>
        <v/>
      </c>
      <c r="C388">
        <f>'Runs Z score'!C380</f>
        <v/>
      </c>
      <c r="D388">
        <f>'Runs Z score'!D380</f>
        <v/>
      </c>
      <c r="E388">
        <f>'Runs Z score'!E380</f>
        <v/>
      </c>
      <c r="F388">
        <f>'Runs Z score'!F380</f>
        <v/>
      </c>
      <c r="G388">
        <f>'Runs Z score'!G380</f>
        <v/>
      </c>
      <c r="H388">
        <f>VLOOKUP(C388,Recipes!$A$2:$N$4,10,FALSE())</f>
        <v/>
      </c>
      <c r="I388">
        <f>VLOOKUP(C388,Recipes!$A$2:$N$4,12,FALSE())</f>
        <v/>
      </c>
      <c r="J388">
        <f>IF(G388="","",H388-G388)</f>
        <v/>
      </c>
      <c r="K388">
        <f>IF(G388="","",IF(ABS(G388-H388)&lt;=$B$6*I388,"OK","NG"))</f>
        <v/>
      </c>
      <c r="L388">
        <f>IF(K388="","",IF(K388=D388,1,0))</f>
        <v/>
      </c>
      <c r="M388" t="inlineStr">
        <is>
          <t>N2</t>
        </is>
      </c>
      <c r="N388" s="15" t="n">
        <v>0.9564</v>
      </c>
      <c r="O388" s="15" t="n">
        <v>0.0161</v>
      </c>
      <c r="P388">
        <f>IF(M388="","",IF(M388=E388,1,0))</f>
        <v/>
      </c>
      <c r="Q388">
        <f>IF(K388="OK","-",IF(N388&lt;$B$7,"AMBIGUOUS","CONFIDENT"))</f>
        <v/>
      </c>
    </row>
    <row r="389">
      <c r="A389">
        <f>'Runs Z score'!A381</f>
        <v/>
      </c>
      <c r="B389">
        <f>'Runs Z score'!B381</f>
        <v/>
      </c>
      <c r="C389">
        <f>'Runs Z score'!C381</f>
        <v/>
      </c>
      <c r="D389">
        <f>'Runs Z score'!D381</f>
        <v/>
      </c>
      <c r="E389">
        <f>'Runs Z score'!E381</f>
        <v/>
      </c>
      <c r="F389">
        <f>'Runs Z score'!F381</f>
        <v/>
      </c>
      <c r="G389">
        <f>'Runs Z score'!G381</f>
        <v/>
      </c>
      <c r="H389">
        <f>VLOOKUP(C389,Recipes!$A$2:$N$4,10,FALSE())</f>
        <v/>
      </c>
      <c r="I389">
        <f>VLOOKUP(C389,Recipes!$A$2:$N$4,12,FALSE())</f>
        <v/>
      </c>
      <c r="J389">
        <f>IF(G389="","",H389-G389)</f>
        <v/>
      </c>
      <c r="K389">
        <f>IF(G389="","",IF(ABS(G389-H389)&lt;=$B$6*I389,"OK","NG"))</f>
        <v/>
      </c>
      <c r="L389">
        <f>IF(K389="","",IF(K389=D389,1,0))</f>
        <v/>
      </c>
      <c r="M389" t="inlineStr">
        <is>
          <t>N2</t>
        </is>
      </c>
      <c r="N389" s="15" t="n">
        <v>0.6736</v>
      </c>
      <c r="O389" s="15" t="n">
        <v>0.2388</v>
      </c>
      <c r="P389">
        <f>IF(M389="","",IF(M389=E389,1,0))</f>
        <v/>
      </c>
      <c r="Q389">
        <f>IF(K389="OK","-",IF(N389&lt;$B$7,"AMBIGUOUS","CONFIDENT"))</f>
        <v/>
      </c>
    </row>
    <row r="390">
      <c r="A390">
        <f>'Runs Z score'!A382</f>
        <v/>
      </c>
      <c r="B390">
        <f>'Runs Z score'!B382</f>
        <v/>
      </c>
      <c r="C390">
        <f>'Runs Z score'!C382</f>
        <v/>
      </c>
      <c r="D390">
        <f>'Runs Z score'!D382</f>
        <v/>
      </c>
      <c r="E390">
        <f>'Runs Z score'!E382</f>
        <v/>
      </c>
      <c r="F390">
        <f>'Runs Z score'!F382</f>
        <v/>
      </c>
      <c r="G390">
        <f>'Runs Z score'!G382</f>
        <v/>
      </c>
      <c r="H390">
        <f>VLOOKUP(C390,Recipes!$A$2:$N$4,10,FALSE())</f>
        <v/>
      </c>
      <c r="I390">
        <f>VLOOKUP(C390,Recipes!$A$2:$N$4,12,FALSE())</f>
        <v/>
      </c>
      <c r="J390">
        <f>IF(G390="","",H390-G390)</f>
        <v/>
      </c>
      <c r="K390">
        <f>IF(G390="","",IF(ABS(G390-H390)&lt;=$B$6*I390,"OK","NG"))</f>
        <v/>
      </c>
      <c r="L390">
        <f>IF(K390="","",IF(K390=D390,1,0))</f>
        <v/>
      </c>
      <c r="M390" t="inlineStr">
        <is>
          <t>N2</t>
        </is>
      </c>
      <c r="N390" s="15" t="n">
        <v>0.9032</v>
      </c>
      <c r="O390" s="15" t="n">
        <v>0.0537</v>
      </c>
      <c r="P390">
        <f>IF(M390="","",IF(M390=E390,1,0))</f>
        <v/>
      </c>
      <c r="Q390">
        <f>IF(K390="OK","-",IF(N390&lt;$B$7,"AMBIGUOUS","CONFIDENT"))</f>
        <v/>
      </c>
    </row>
    <row r="391">
      <c r="A391">
        <f>'Runs Z score'!A383</f>
        <v/>
      </c>
      <c r="B391">
        <f>'Runs Z score'!B383</f>
        <v/>
      </c>
      <c r="C391">
        <f>'Runs Z score'!C383</f>
        <v/>
      </c>
      <c r="D391">
        <f>'Runs Z score'!D383</f>
        <v/>
      </c>
      <c r="E391">
        <f>'Runs Z score'!E383</f>
        <v/>
      </c>
      <c r="F391">
        <f>'Runs Z score'!F383</f>
        <v/>
      </c>
      <c r="G391">
        <f>'Runs Z score'!G383</f>
        <v/>
      </c>
      <c r="H391">
        <f>VLOOKUP(C391,Recipes!$A$2:$N$4,10,FALSE())</f>
        <v/>
      </c>
      <c r="I391">
        <f>VLOOKUP(C391,Recipes!$A$2:$N$4,12,FALSE())</f>
        <v/>
      </c>
      <c r="J391">
        <f>IF(G391="","",H391-G391)</f>
        <v/>
      </c>
      <c r="K391">
        <f>IF(G391="","",IF(ABS(G391-H391)&lt;=$B$6*I391,"OK","NG"))</f>
        <v/>
      </c>
      <c r="L391">
        <f>IF(K391="","",IF(K391=D391,1,0))</f>
        <v/>
      </c>
      <c r="M391" t="inlineStr">
        <is>
          <t>N2</t>
        </is>
      </c>
      <c r="N391" s="15" t="n">
        <v>0.7999000000000001</v>
      </c>
      <c r="O391" s="15" t="n">
        <v>0.1416</v>
      </c>
      <c r="P391">
        <f>IF(M391="","",IF(M391=E391,1,0))</f>
        <v/>
      </c>
      <c r="Q391">
        <f>IF(K391="OK","-",IF(N391&lt;$B$7,"AMBIGUOUS","CONFIDENT"))</f>
        <v/>
      </c>
    </row>
    <row r="392">
      <c r="A392">
        <f>'Runs Z score'!A384</f>
        <v/>
      </c>
      <c r="B392">
        <f>'Runs Z score'!B384</f>
        <v/>
      </c>
      <c r="C392">
        <f>'Runs Z score'!C384</f>
        <v/>
      </c>
      <c r="D392">
        <f>'Runs Z score'!D384</f>
        <v/>
      </c>
      <c r="E392">
        <f>'Runs Z score'!E384</f>
        <v/>
      </c>
      <c r="F392">
        <f>'Runs Z score'!F384</f>
        <v/>
      </c>
      <c r="G392">
        <f>'Runs Z score'!G384</f>
        <v/>
      </c>
      <c r="H392">
        <f>VLOOKUP(C392,Recipes!$A$2:$N$4,10,FALSE())</f>
        <v/>
      </c>
      <c r="I392">
        <f>VLOOKUP(C392,Recipes!$A$2:$N$4,12,FALSE())</f>
        <v/>
      </c>
      <c r="J392">
        <f>IF(G392="","",H392-G392)</f>
        <v/>
      </c>
      <c r="K392">
        <f>IF(G392="","",IF(ABS(G392-H392)&lt;=$B$6*I392,"OK","NG"))</f>
        <v/>
      </c>
      <c r="L392">
        <f>IF(K392="","",IF(K392=D392,1,0))</f>
        <v/>
      </c>
      <c r="M392" t="inlineStr">
        <is>
          <t>N2</t>
        </is>
      </c>
      <c r="N392" s="15" t="n">
        <v>0.8816000000000001</v>
      </c>
      <c r="O392" s="15" t="n">
        <v>0.0614</v>
      </c>
      <c r="P392">
        <f>IF(M392="","",IF(M392=E392,1,0))</f>
        <v/>
      </c>
      <c r="Q392">
        <f>IF(K392="OK","-",IF(N392&lt;$B$7,"AMBIGUOUS","CONFIDENT"))</f>
        <v/>
      </c>
    </row>
    <row r="393">
      <c r="A393">
        <f>'Runs Z score'!A385</f>
        <v/>
      </c>
      <c r="B393">
        <f>'Runs Z score'!B385</f>
        <v/>
      </c>
      <c r="C393">
        <f>'Runs Z score'!C385</f>
        <v/>
      </c>
      <c r="D393">
        <f>'Runs Z score'!D385</f>
        <v/>
      </c>
      <c r="E393">
        <f>'Runs Z score'!E385</f>
        <v/>
      </c>
      <c r="F393">
        <f>'Runs Z score'!F385</f>
        <v/>
      </c>
      <c r="G393">
        <f>'Runs Z score'!G385</f>
        <v/>
      </c>
      <c r="H393">
        <f>VLOOKUP(C393,Recipes!$A$2:$N$4,10,FALSE())</f>
        <v/>
      </c>
      <c r="I393">
        <f>VLOOKUP(C393,Recipes!$A$2:$N$4,12,FALSE())</f>
        <v/>
      </c>
      <c r="J393">
        <f>IF(G393="","",H393-G393)</f>
        <v/>
      </c>
      <c r="K393">
        <f>IF(G393="","",IF(ABS(G393-H393)&lt;=$B$6*I393,"OK","NG"))</f>
        <v/>
      </c>
      <c r="L393">
        <f>IF(K393="","",IF(K393=D393,1,0))</f>
        <v/>
      </c>
      <c r="M393" t="inlineStr">
        <is>
          <t>N2</t>
        </is>
      </c>
      <c r="N393" s="15" t="n">
        <v>0.7213000000000001</v>
      </c>
      <c r="O393" s="15" t="n">
        <v>0.1986</v>
      </c>
      <c r="P393">
        <f>IF(M393="","",IF(M393=E393,1,0))</f>
        <v/>
      </c>
      <c r="Q393">
        <f>IF(K393="OK","-",IF(N393&lt;$B$7,"AMBIGUOUS","CONFIDENT"))</f>
        <v/>
      </c>
    </row>
    <row r="394">
      <c r="A394">
        <f>'Runs Z score'!A386</f>
        <v/>
      </c>
      <c r="B394">
        <f>'Runs Z score'!B386</f>
        <v/>
      </c>
      <c r="C394">
        <f>'Runs Z score'!C386</f>
        <v/>
      </c>
      <c r="D394">
        <f>'Runs Z score'!D386</f>
        <v/>
      </c>
      <c r="E394">
        <f>'Runs Z score'!E386</f>
        <v/>
      </c>
      <c r="F394">
        <f>'Runs Z score'!F386</f>
        <v/>
      </c>
      <c r="G394">
        <f>'Runs Z score'!G386</f>
        <v/>
      </c>
      <c r="H394">
        <f>VLOOKUP(C394,Recipes!$A$2:$N$4,10,FALSE())</f>
        <v/>
      </c>
      <c r="I394">
        <f>VLOOKUP(C394,Recipes!$A$2:$N$4,12,FALSE())</f>
        <v/>
      </c>
      <c r="J394">
        <f>IF(G394="","",H394-G394)</f>
        <v/>
      </c>
      <c r="K394">
        <f>IF(G394="","",IF(ABS(G394-H394)&lt;=$B$6*I394,"OK","NG"))</f>
        <v/>
      </c>
      <c r="L394">
        <f>IF(K394="","",IF(K394=D394,1,0))</f>
        <v/>
      </c>
      <c r="M394" t="inlineStr">
        <is>
          <t>N2</t>
        </is>
      </c>
      <c r="N394" s="15" t="n">
        <v>0.9678</v>
      </c>
      <c r="O394" s="15" t="n">
        <v>0.0199</v>
      </c>
      <c r="P394">
        <f>IF(M394="","",IF(M394=E394,1,0))</f>
        <v/>
      </c>
      <c r="Q394">
        <f>IF(K394="OK","-",IF(N394&lt;$B$7,"AMBIGUOUS","CONFIDENT"))</f>
        <v/>
      </c>
    </row>
    <row r="395">
      <c r="A395">
        <f>'Runs Z score'!A387</f>
        <v/>
      </c>
      <c r="B395">
        <f>'Runs Z score'!B387</f>
        <v/>
      </c>
      <c r="C395">
        <f>'Runs Z score'!C387</f>
        <v/>
      </c>
      <c r="D395">
        <f>'Runs Z score'!D387</f>
        <v/>
      </c>
      <c r="E395">
        <f>'Runs Z score'!E387</f>
        <v/>
      </c>
      <c r="F395">
        <f>'Runs Z score'!F387</f>
        <v/>
      </c>
      <c r="G395">
        <f>'Runs Z score'!G387</f>
        <v/>
      </c>
      <c r="H395">
        <f>VLOOKUP(C395,Recipes!$A$2:$N$4,10,FALSE())</f>
        <v/>
      </c>
      <c r="I395">
        <f>VLOOKUP(C395,Recipes!$A$2:$N$4,12,FALSE())</f>
        <v/>
      </c>
      <c r="J395">
        <f>IF(G395="","",H395-G395)</f>
        <v/>
      </c>
      <c r="K395">
        <f>IF(G395="","",IF(ABS(G395-H395)&lt;=$B$6*I395,"OK","NG"))</f>
        <v/>
      </c>
      <c r="L395">
        <f>IF(K395="","",IF(K395=D395,1,0))</f>
        <v/>
      </c>
      <c r="M395" t="inlineStr">
        <is>
          <t>N2</t>
        </is>
      </c>
      <c r="N395" s="15" t="n">
        <v>0.9391</v>
      </c>
      <c r="O395" s="15" t="n">
        <v>0.0432</v>
      </c>
      <c r="P395">
        <f>IF(M395="","",IF(M395=E395,1,0))</f>
        <v/>
      </c>
      <c r="Q395">
        <f>IF(K395="OK","-",IF(N395&lt;$B$7,"AMBIGUOUS","CONFIDENT"))</f>
        <v/>
      </c>
    </row>
    <row r="396">
      <c r="A396">
        <f>'Runs Z score'!A388</f>
        <v/>
      </c>
      <c r="B396">
        <f>'Runs Z score'!B388</f>
        <v/>
      </c>
      <c r="C396">
        <f>'Runs Z score'!C388</f>
        <v/>
      </c>
      <c r="D396">
        <f>'Runs Z score'!D388</f>
        <v/>
      </c>
      <c r="E396">
        <f>'Runs Z score'!E388</f>
        <v/>
      </c>
      <c r="F396">
        <f>'Runs Z score'!F388</f>
        <v/>
      </c>
      <c r="G396">
        <f>'Runs Z score'!G388</f>
        <v/>
      </c>
      <c r="H396">
        <f>VLOOKUP(C396,Recipes!$A$2:$N$4,10,FALSE())</f>
        <v/>
      </c>
      <c r="I396">
        <f>VLOOKUP(C396,Recipes!$A$2:$N$4,12,FALSE())</f>
        <v/>
      </c>
      <c r="J396">
        <f>IF(G396="","",H396-G396)</f>
        <v/>
      </c>
      <c r="K396">
        <f>IF(G396="","",IF(ABS(G396-H396)&lt;=$B$6*I396,"OK","NG"))</f>
        <v/>
      </c>
      <c r="L396">
        <f>IF(K396="","",IF(K396=D396,1,0))</f>
        <v/>
      </c>
      <c r="M396" t="inlineStr">
        <is>
          <t>N2</t>
        </is>
      </c>
      <c r="N396" s="15" t="n">
        <v>0.6211</v>
      </c>
      <c r="O396" s="15" t="n">
        <v>0.2843</v>
      </c>
      <c r="P396">
        <f>IF(M396="","",IF(M396=E396,1,0))</f>
        <v/>
      </c>
      <c r="Q396">
        <f>IF(K396="OK","-",IF(N396&lt;$B$7,"AMBIGUOUS","CONFIDENT"))</f>
        <v/>
      </c>
    </row>
    <row r="397">
      <c r="A397">
        <f>'Runs Z score'!A389</f>
        <v/>
      </c>
      <c r="B397">
        <f>'Runs Z score'!B389</f>
        <v/>
      </c>
      <c r="C397">
        <f>'Runs Z score'!C389</f>
        <v/>
      </c>
      <c r="D397">
        <f>'Runs Z score'!D389</f>
        <v/>
      </c>
      <c r="E397">
        <f>'Runs Z score'!E389</f>
        <v/>
      </c>
      <c r="F397">
        <f>'Runs Z score'!F389</f>
        <v/>
      </c>
      <c r="G397">
        <f>'Runs Z score'!G389</f>
        <v/>
      </c>
      <c r="H397">
        <f>VLOOKUP(C397,Recipes!$A$2:$N$4,10,FALSE())</f>
        <v/>
      </c>
      <c r="I397">
        <f>VLOOKUP(C397,Recipes!$A$2:$N$4,12,FALSE())</f>
        <v/>
      </c>
      <c r="J397">
        <f>IF(G397="","",H397-G397)</f>
        <v/>
      </c>
      <c r="K397">
        <f>IF(G397="","",IF(ABS(G397-H397)&lt;=$B$6*I397,"OK","NG"))</f>
        <v/>
      </c>
      <c r="L397">
        <f>IF(K397="","",IF(K397=D397,1,0))</f>
        <v/>
      </c>
      <c r="M397" t="inlineStr">
        <is>
          <t>N2</t>
        </is>
      </c>
      <c r="N397" s="15" t="n">
        <v>0.9663</v>
      </c>
      <c r="O397" s="15" t="n">
        <v>0.0184</v>
      </c>
      <c r="P397">
        <f>IF(M397="","",IF(M397=E397,1,0))</f>
        <v/>
      </c>
      <c r="Q397">
        <f>IF(K397="OK","-",IF(N397&lt;$B$7,"AMBIGUOUS","CONFIDENT"))</f>
        <v/>
      </c>
    </row>
    <row r="398">
      <c r="A398">
        <f>'Runs Z score'!A390</f>
        <v/>
      </c>
      <c r="B398">
        <f>'Runs Z score'!B390</f>
        <v/>
      </c>
      <c r="C398">
        <f>'Runs Z score'!C390</f>
        <v/>
      </c>
      <c r="D398">
        <f>'Runs Z score'!D390</f>
        <v/>
      </c>
      <c r="E398">
        <f>'Runs Z score'!E390</f>
        <v/>
      </c>
      <c r="F398">
        <f>'Runs Z score'!F390</f>
        <v/>
      </c>
      <c r="G398">
        <f>'Runs Z score'!G390</f>
        <v/>
      </c>
      <c r="H398">
        <f>VLOOKUP(C398,Recipes!$A$2:$N$4,10,FALSE())</f>
        <v/>
      </c>
      <c r="I398">
        <f>VLOOKUP(C398,Recipes!$A$2:$N$4,12,FALSE())</f>
        <v/>
      </c>
      <c r="J398">
        <f>IF(G398="","",H398-G398)</f>
        <v/>
      </c>
      <c r="K398">
        <f>IF(G398="","",IF(ABS(G398-H398)&lt;=$B$6*I398,"OK","NG"))</f>
        <v/>
      </c>
      <c r="L398">
        <f>IF(K398="","",IF(K398=D398,1,0))</f>
        <v/>
      </c>
      <c r="M398" t="inlineStr">
        <is>
          <t>N2</t>
        </is>
      </c>
      <c r="N398" s="15" t="n">
        <v>0.914</v>
      </c>
      <c r="O398" s="15" t="n">
        <v>0.0399</v>
      </c>
      <c r="P398">
        <f>IF(M398="","",IF(M398=E398,1,0))</f>
        <v/>
      </c>
      <c r="Q398">
        <f>IF(K398="OK","-",IF(N398&lt;$B$7,"AMBIGUOUS","CONFIDENT"))</f>
        <v/>
      </c>
    </row>
    <row r="399">
      <c r="A399">
        <f>'Runs Z score'!A391</f>
        <v/>
      </c>
      <c r="B399">
        <f>'Runs Z score'!B391</f>
        <v/>
      </c>
      <c r="C399">
        <f>'Runs Z score'!C391</f>
        <v/>
      </c>
      <c r="D399">
        <f>'Runs Z score'!D391</f>
        <v/>
      </c>
      <c r="E399">
        <f>'Runs Z score'!E391</f>
        <v/>
      </c>
      <c r="F399">
        <f>'Runs Z score'!F391</f>
        <v/>
      </c>
      <c r="G399">
        <f>'Runs Z score'!G391</f>
        <v/>
      </c>
      <c r="H399">
        <f>VLOOKUP(C399,Recipes!$A$2:$N$4,10,FALSE())</f>
        <v/>
      </c>
      <c r="I399">
        <f>VLOOKUP(C399,Recipes!$A$2:$N$4,12,FALSE())</f>
        <v/>
      </c>
      <c r="J399">
        <f>IF(G399="","",H399-G399)</f>
        <v/>
      </c>
      <c r="K399">
        <f>IF(G399="","",IF(ABS(G399-H399)&lt;=$B$6*I399,"OK","NG"))</f>
        <v/>
      </c>
      <c r="L399">
        <f>IF(K399="","",IF(K399=D399,1,0))</f>
        <v/>
      </c>
      <c r="M399" t="inlineStr">
        <is>
          <t>N2</t>
        </is>
      </c>
      <c r="N399" s="15" t="n">
        <v>0.8764999999999999</v>
      </c>
      <c r="O399" s="15" t="n">
        <v>0.0667</v>
      </c>
      <c r="P399">
        <f>IF(M399="","",IF(M399=E399,1,0))</f>
        <v/>
      </c>
      <c r="Q399">
        <f>IF(K399="OK","-",IF(N399&lt;$B$7,"AMBIGUOUS","CONFIDENT"))</f>
        <v/>
      </c>
    </row>
    <row r="400">
      <c r="A400">
        <f>'Runs Z score'!A392</f>
        <v/>
      </c>
      <c r="B400">
        <f>'Runs Z score'!B392</f>
        <v/>
      </c>
      <c r="C400">
        <f>'Runs Z score'!C392</f>
        <v/>
      </c>
      <c r="D400">
        <f>'Runs Z score'!D392</f>
        <v/>
      </c>
      <c r="E400">
        <f>'Runs Z score'!E392</f>
        <v/>
      </c>
      <c r="F400">
        <f>'Runs Z score'!F392</f>
        <v/>
      </c>
      <c r="G400">
        <f>'Runs Z score'!G392</f>
        <v/>
      </c>
      <c r="H400">
        <f>VLOOKUP(C400,Recipes!$A$2:$N$4,10,FALSE())</f>
        <v/>
      </c>
      <c r="I400">
        <f>VLOOKUP(C400,Recipes!$A$2:$N$4,12,FALSE())</f>
        <v/>
      </c>
      <c r="J400">
        <f>IF(G400="","",H400-G400)</f>
        <v/>
      </c>
      <c r="K400">
        <f>IF(G400="","",IF(ABS(G400-H400)&lt;=$B$6*I400,"OK","NG"))</f>
        <v/>
      </c>
      <c r="L400">
        <f>IF(K400="","",IF(K400=D400,1,0))</f>
        <v/>
      </c>
      <c r="M400" t="inlineStr">
        <is>
          <t>N2</t>
        </is>
      </c>
      <c r="N400" s="15" t="n">
        <v>0.9465</v>
      </c>
      <c r="O400" s="15" t="n">
        <v>0.0208</v>
      </c>
      <c r="P400">
        <f>IF(M400="","",IF(M400=E400,1,0))</f>
        <v/>
      </c>
      <c r="Q400">
        <f>IF(K400="OK","-",IF(N400&lt;$B$7,"AMBIGUOUS","CONFIDENT"))</f>
        <v/>
      </c>
    </row>
    <row r="401">
      <c r="A401">
        <f>'Runs Z score'!A393</f>
        <v/>
      </c>
      <c r="B401">
        <f>'Runs Z score'!B393</f>
        <v/>
      </c>
      <c r="C401">
        <f>'Runs Z score'!C393</f>
        <v/>
      </c>
      <c r="D401">
        <f>'Runs Z score'!D393</f>
        <v/>
      </c>
      <c r="E401">
        <f>'Runs Z score'!E393</f>
        <v/>
      </c>
      <c r="F401">
        <f>'Runs Z score'!F393</f>
        <v/>
      </c>
      <c r="G401">
        <f>'Runs Z score'!G393</f>
        <v/>
      </c>
      <c r="H401">
        <f>VLOOKUP(C401,Recipes!$A$2:$N$4,10,FALSE())</f>
        <v/>
      </c>
      <c r="I401">
        <f>VLOOKUP(C401,Recipes!$A$2:$N$4,12,FALSE())</f>
        <v/>
      </c>
      <c r="J401">
        <f>IF(G401="","",H401-G401)</f>
        <v/>
      </c>
      <c r="K401">
        <f>IF(G401="","",IF(ABS(G401-H401)&lt;=$B$6*I401,"OK","NG"))</f>
        <v/>
      </c>
      <c r="L401">
        <f>IF(K401="","",IF(K401=D401,1,0))</f>
        <v/>
      </c>
      <c r="M401" t="inlineStr">
        <is>
          <t>N1</t>
        </is>
      </c>
      <c r="N401" s="15" t="n">
        <v>0.7443</v>
      </c>
      <c r="O401" s="15" t="n">
        <v>0.1238</v>
      </c>
      <c r="P401">
        <f>IF(M401="","",IF(M401=E401,1,0))</f>
        <v/>
      </c>
      <c r="Q401">
        <f>IF(K401="OK","-",IF(N401&lt;$B$7,"AMBIGUOUS","CONFIDENT"))</f>
        <v/>
      </c>
    </row>
    <row r="402">
      <c r="A402">
        <f>'Runs Z score'!A394</f>
        <v/>
      </c>
      <c r="B402">
        <f>'Runs Z score'!B394</f>
        <v/>
      </c>
      <c r="C402">
        <f>'Runs Z score'!C394</f>
        <v/>
      </c>
      <c r="D402">
        <f>'Runs Z score'!D394</f>
        <v/>
      </c>
      <c r="E402">
        <f>'Runs Z score'!E394</f>
        <v/>
      </c>
      <c r="F402">
        <f>'Runs Z score'!F394</f>
        <v/>
      </c>
      <c r="G402">
        <f>'Runs Z score'!G394</f>
        <v/>
      </c>
      <c r="H402">
        <f>VLOOKUP(C402,Recipes!$A$2:$N$4,10,FALSE())</f>
        <v/>
      </c>
      <c r="I402">
        <f>VLOOKUP(C402,Recipes!$A$2:$N$4,12,FALSE())</f>
        <v/>
      </c>
      <c r="J402">
        <f>IF(G402="","",H402-G402)</f>
        <v/>
      </c>
      <c r="K402">
        <f>IF(G402="","",IF(ABS(G402-H402)&lt;=$B$6*I402,"OK","NG"))</f>
        <v/>
      </c>
      <c r="L402">
        <f>IF(K402="","",IF(K402=D402,1,0))</f>
        <v/>
      </c>
      <c r="M402" t="inlineStr">
        <is>
          <t>N1</t>
        </is>
      </c>
      <c r="N402" s="15" t="n">
        <v>0.5538999999999999</v>
      </c>
      <c r="O402" s="15" t="n">
        <v>0.41</v>
      </c>
      <c r="P402">
        <f>IF(M402="","",IF(M402=E402,1,0))</f>
        <v/>
      </c>
      <c r="Q402">
        <f>IF(K402="OK","-",IF(N402&lt;$B$7,"AMBIGUOUS","CONFIDENT"))</f>
        <v/>
      </c>
    </row>
    <row r="403">
      <c r="A403">
        <f>'Runs Z score'!A395</f>
        <v/>
      </c>
      <c r="B403">
        <f>'Runs Z score'!B395</f>
        <v/>
      </c>
      <c r="C403">
        <f>'Runs Z score'!C395</f>
        <v/>
      </c>
      <c r="D403">
        <f>'Runs Z score'!D395</f>
        <v/>
      </c>
      <c r="E403">
        <f>'Runs Z score'!E395</f>
        <v/>
      </c>
      <c r="F403">
        <f>'Runs Z score'!F395</f>
        <v/>
      </c>
      <c r="G403">
        <f>'Runs Z score'!G395</f>
        <v/>
      </c>
      <c r="H403">
        <f>VLOOKUP(C403,Recipes!$A$2:$N$4,10,FALSE())</f>
        <v/>
      </c>
      <c r="I403">
        <f>VLOOKUP(C403,Recipes!$A$2:$N$4,12,FALSE())</f>
        <v/>
      </c>
      <c r="J403">
        <f>IF(G403="","",H403-G403)</f>
        <v/>
      </c>
      <c r="K403">
        <f>IF(G403="","",IF(ABS(G403-H403)&lt;=$B$6*I403,"OK","NG"))</f>
        <v/>
      </c>
      <c r="L403">
        <f>IF(K403="","",IF(K403=D403,1,0))</f>
        <v/>
      </c>
      <c r="M403" t="inlineStr">
        <is>
          <t>N1</t>
        </is>
      </c>
      <c r="N403" s="15" t="n">
        <v>0.7374000000000001</v>
      </c>
      <c r="O403" s="15" t="n">
        <v>0.1932</v>
      </c>
      <c r="P403">
        <f>IF(M403="","",IF(M403=E403,1,0))</f>
        <v/>
      </c>
      <c r="Q403">
        <f>IF(K403="OK","-",IF(N403&lt;$B$7,"AMBIGUOUS","CONFIDENT"))</f>
        <v/>
      </c>
    </row>
    <row r="404">
      <c r="A404">
        <f>'Runs Z score'!A396</f>
        <v/>
      </c>
      <c r="B404">
        <f>'Runs Z score'!B396</f>
        <v/>
      </c>
      <c r="C404">
        <f>'Runs Z score'!C396</f>
        <v/>
      </c>
      <c r="D404">
        <f>'Runs Z score'!D396</f>
        <v/>
      </c>
      <c r="E404">
        <f>'Runs Z score'!E396</f>
        <v/>
      </c>
      <c r="F404">
        <f>'Runs Z score'!F396</f>
        <v/>
      </c>
      <c r="G404">
        <f>'Runs Z score'!G396</f>
        <v/>
      </c>
      <c r="H404">
        <f>VLOOKUP(C404,Recipes!$A$2:$N$4,10,FALSE())</f>
        <v/>
      </c>
      <c r="I404">
        <f>VLOOKUP(C404,Recipes!$A$2:$N$4,12,FALSE())</f>
        <v/>
      </c>
      <c r="J404">
        <f>IF(G404="","",H404-G404)</f>
        <v/>
      </c>
      <c r="K404">
        <f>IF(G404="","",IF(ABS(G404-H404)&lt;=$B$6*I404,"OK","NG"))</f>
        <v/>
      </c>
      <c r="L404">
        <f>IF(K404="","",IF(K404=D404,1,0))</f>
        <v/>
      </c>
      <c r="M404" t="inlineStr">
        <is>
          <t>N1</t>
        </is>
      </c>
      <c r="N404" s="15" t="n">
        <v>0.7443</v>
      </c>
      <c r="O404" s="15" t="n">
        <v>0.1238</v>
      </c>
      <c r="P404">
        <f>IF(M404="","",IF(M404=E404,1,0))</f>
        <v/>
      </c>
      <c r="Q404">
        <f>IF(K404="OK","-",IF(N404&lt;$B$7,"AMBIGUOUS","CONFIDENT"))</f>
        <v/>
      </c>
    </row>
    <row r="405">
      <c r="A405">
        <f>'Runs Z score'!A397</f>
        <v/>
      </c>
      <c r="B405">
        <f>'Runs Z score'!B397</f>
        <v/>
      </c>
      <c r="C405">
        <f>'Runs Z score'!C397</f>
        <v/>
      </c>
      <c r="D405">
        <f>'Runs Z score'!D397</f>
        <v/>
      </c>
      <c r="E405">
        <f>'Runs Z score'!E397</f>
        <v/>
      </c>
      <c r="F405">
        <f>'Runs Z score'!F397</f>
        <v/>
      </c>
      <c r="G405">
        <f>'Runs Z score'!G397</f>
        <v/>
      </c>
      <c r="H405">
        <f>VLOOKUP(C405,Recipes!$A$2:$N$4,10,FALSE())</f>
        <v/>
      </c>
      <c r="I405">
        <f>VLOOKUP(C405,Recipes!$A$2:$N$4,12,FALSE())</f>
        <v/>
      </c>
      <c r="J405">
        <f>IF(G405="","",H405-G405)</f>
        <v/>
      </c>
      <c r="K405">
        <f>IF(G405="","",IF(ABS(G405-H405)&lt;=$B$6*I405,"OK","NG"))</f>
        <v/>
      </c>
      <c r="L405">
        <f>IF(K405="","",IF(K405=D405,1,0))</f>
        <v/>
      </c>
      <c r="M405" t="inlineStr">
        <is>
          <t>N1</t>
        </is>
      </c>
      <c r="N405" s="15" t="n">
        <v>0.5888</v>
      </c>
      <c r="O405" s="15" t="n">
        <v>0.3681</v>
      </c>
      <c r="P405">
        <f>IF(M405="","",IF(M405=E405,1,0))</f>
        <v/>
      </c>
      <c r="Q405">
        <f>IF(K405="OK","-",IF(N405&lt;$B$7,"AMBIGUOUS","CONFIDENT"))</f>
        <v/>
      </c>
    </row>
    <row r="406">
      <c r="A406">
        <f>'Runs Z score'!A398</f>
        <v/>
      </c>
      <c r="B406">
        <f>'Runs Z score'!B398</f>
        <v/>
      </c>
      <c r="C406">
        <f>'Runs Z score'!C398</f>
        <v/>
      </c>
      <c r="D406">
        <f>'Runs Z score'!D398</f>
        <v/>
      </c>
      <c r="E406">
        <f>'Runs Z score'!E398</f>
        <v/>
      </c>
      <c r="F406">
        <f>'Runs Z score'!F398</f>
        <v/>
      </c>
      <c r="G406">
        <f>'Runs Z score'!G398</f>
        <v/>
      </c>
      <c r="H406">
        <f>VLOOKUP(C406,Recipes!$A$2:$N$4,10,FALSE())</f>
        <v/>
      </c>
      <c r="I406">
        <f>VLOOKUP(C406,Recipes!$A$2:$N$4,12,FALSE())</f>
        <v/>
      </c>
      <c r="J406">
        <f>IF(G406="","",H406-G406)</f>
        <v/>
      </c>
      <c r="K406">
        <f>IF(G406="","",IF(ABS(G406-H406)&lt;=$B$6*I406,"OK","NG"))</f>
        <v/>
      </c>
      <c r="L406">
        <f>IF(K406="","",IF(K406=D406,1,0))</f>
        <v/>
      </c>
      <c r="M406" t="inlineStr">
        <is>
          <t>N1</t>
        </is>
      </c>
      <c r="N406" s="15" t="n">
        <v>0.6583</v>
      </c>
      <c r="O406" s="15" t="n">
        <v>0.3063</v>
      </c>
      <c r="P406">
        <f>IF(M406="","",IF(M406=E406,1,0))</f>
        <v/>
      </c>
      <c r="Q406">
        <f>IF(K406="OK","-",IF(N406&lt;$B$7,"AMBIGUOUS","CONFIDENT"))</f>
        <v/>
      </c>
    </row>
    <row r="407">
      <c r="A407">
        <f>'Runs Z score'!A399</f>
        <v/>
      </c>
      <c r="B407">
        <f>'Runs Z score'!B399</f>
        <v/>
      </c>
      <c r="C407">
        <f>'Runs Z score'!C399</f>
        <v/>
      </c>
      <c r="D407">
        <f>'Runs Z score'!D399</f>
        <v/>
      </c>
      <c r="E407">
        <f>'Runs Z score'!E399</f>
        <v/>
      </c>
      <c r="F407">
        <f>'Runs Z score'!F399</f>
        <v/>
      </c>
      <c r="G407">
        <f>'Runs Z score'!G399</f>
        <v/>
      </c>
      <c r="H407">
        <f>VLOOKUP(C407,Recipes!$A$2:$N$4,10,FALSE())</f>
        <v/>
      </c>
      <c r="I407">
        <f>VLOOKUP(C407,Recipes!$A$2:$N$4,12,FALSE())</f>
        <v/>
      </c>
      <c r="J407">
        <f>IF(G407="","",H407-G407)</f>
        <v/>
      </c>
      <c r="K407">
        <f>IF(G407="","",IF(ABS(G407-H407)&lt;=$B$6*I407,"OK","NG"))</f>
        <v/>
      </c>
      <c r="L407">
        <f>IF(K407="","",IF(K407=D407,1,0))</f>
        <v/>
      </c>
      <c r="M407" t="inlineStr">
        <is>
          <t>N1</t>
        </is>
      </c>
      <c r="N407" s="15" t="n">
        <v>0.7093</v>
      </c>
      <c r="O407" s="15" t="n">
        <v>0.2379</v>
      </c>
      <c r="P407">
        <f>IF(M407="","",IF(M407=E407,1,0))</f>
        <v/>
      </c>
      <c r="Q407">
        <f>IF(K407="OK","-",IF(N407&lt;$B$7,"AMBIGUOUS","CONFIDENT"))</f>
        <v/>
      </c>
    </row>
    <row r="408">
      <c r="A408">
        <f>'Runs Z score'!A400</f>
        <v/>
      </c>
      <c r="B408">
        <f>'Runs Z score'!B400</f>
        <v/>
      </c>
      <c r="C408">
        <f>'Runs Z score'!C400</f>
        <v/>
      </c>
      <c r="D408">
        <f>'Runs Z score'!D400</f>
        <v/>
      </c>
      <c r="E408">
        <f>'Runs Z score'!E400</f>
        <v/>
      </c>
      <c r="F408">
        <f>'Runs Z score'!F400</f>
        <v/>
      </c>
      <c r="G408">
        <f>'Runs Z score'!G400</f>
        <v/>
      </c>
      <c r="H408">
        <f>VLOOKUP(C408,Recipes!$A$2:$N$4,10,FALSE())</f>
        <v/>
      </c>
      <c r="I408">
        <f>VLOOKUP(C408,Recipes!$A$2:$N$4,12,FALSE())</f>
        <v/>
      </c>
      <c r="J408">
        <f>IF(G408="","",H408-G408)</f>
        <v/>
      </c>
      <c r="K408">
        <f>IF(G408="","",IF(ABS(G408-H408)&lt;=$B$6*I408,"OK","NG"))</f>
        <v/>
      </c>
      <c r="L408">
        <f>IF(K408="","",IF(K408=D408,1,0))</f>
        <v/>
      </c>
      <c r="M408" t="inlineStr">
        <is>
          <t>N1</t>
        </is>
      </c>
      <c r="N408" s="15" t="n">
        <v>0.6359</v>
      </c>
      <c r="O408" s="15" t="n">
        <v>0.319</v>
      </c>
      <c r="P408">
        <f>IF(M408="","",IF(M408=E408,1,0))</f>
        <v/>
      </c>
      <c r="Q408">
        <f>IF(K408="OK","-",IF(N408&lt;$B$7,"AMBIGUOUS","CONFIDENT"))</f>
        <v/>
      </c>
    </row>
    <row r="409">
      <c r="A409">
        <f>'Runs Z score'!A401</f>
        <v/>
      </c>
      <c r="B409">
        <f>'Runs Z score'!B401</f>
        <v/>
      </c>
      <c r="C409">
        <f>'Runs Z score'!C401</f>
        <v/>
      </c>
      <c r="D409">
        <f>'Runs Z score'!D401</f>
        <v/>
      </c>
      <c r="E409">
        <f>'Runs Z score'!E401</f>
        <v/>
      </c>
      <c r="F409">
        <f>'Runs Z score'!F401</f>
        <v/>
      </c>
      <c r="G409">
        <f>'Runs Z score'!G401</f>
        <v/>
      </c>
      <c r="H409">
        <f>VLOOKUP(C409,Recipes!$A$2:$N$4,10,FALSE())</f>
        <v/>
      </c>
      <c r="I409">
        <f>VLOOKUP(C409,Recipes!$A$2:$N$4,12,FALSE())</f>
        <v/>
      </c>
      <c r="J409">
        <f>IF(G409="","",H409-G409)</f>
        <v/>
      </c>
      <c r="K409">
        <f>IF(G409="","",IF(ABS(G409-H409)&lt;=$B$6*I409,"OK","NG"))</f>
        <v/>
      </c>
      <c r="L409">
        <f>IF(K409="","",IF(K409=D409,1,0))</f>
        <v/>
      </c>
      <c r="M409" t="inlineStr">
        <is>
          <t>N1</t>
        </is>
      </c>
      <c r="N409" s="15" t="n">
        <v>0.7635999999999999</v>
      </c>
      <c r="O409" s="15" t="n">
        <v>0.1898</v>
      </c>
      <c r="P409">
        <f>IF(M409="","",IF(M409=E409,1,0))</f>
        <v/>
      </c>
      <c r="Q409">
        <f>IF(K409="OK","-",IF(N409&lt;$B$7,"AMBIGUOUS","CONFIDENT"))</f>
        <v/>
      </c>
    </row>
    <row r="410">
      <c r="A410">
        <f>'Runs Z score'!A402</f>
        <v/>
      </c>
      <c r="B410">
        <f>'Runs Z score'!B402</f>
        <v/>
      </c>
      <c r="C410">
        <f>'Runs Z score'!C402</f>
        <v/>
      </c>
      <c r="D410">
        <f>'Runs Z score'!D402</f>
        <v/>
      </c>
      <c r="E410">
        <f>'Runs Z score'!E402</f>
        <v/>
      </c>
      <c r="F410">
        <f>'Runs Z score'!F402</f>
        <v/>
      </c>
      <c r="G410">
        <f>'Runs Z score'!G402</f>
        <v/>
      </c>
      <c r="H410">
        <f>VLOOKUP(C410,Recipes!$A$2:$N$4,10,FALSE())</f>
        <v/>
      </c>
      <c r="I410">
        <f>VLOOKUP(C410,Recipes!$A$2:$N$4,12,FALSE())</f>
        <v/>
      </c>
      <c r="J410">
        <f>IF(G410="","",H410-G410)</f>
        <v/>
      </c>
      <c r="K410">
        <f>IF(G410="","",IF(ABS(G410-H410)&lt;=$B$6*I410,"OK","NG"))</f>
        <v/>
      </c>
      <c r="L410">
        <f>IF(K410="","",IF(K410=D410,1,0))</f>
        <v/>
      </c>
      <c r="M410" t="inlineStr">
        <is>
          <t>N1</t>
        </is>
      </c>
      <c r="N410" s="15" t="n">
        <v>0.7374000000000001</v>
      </c>
      <c r="O410" s="15" t="n">
        <v>0.1932</v>
      </c>
      <c r="P410">
        <f>IF(M410="","",IF(M410=E410,1,0))</f>
        <v/>
      </c>
      <c r="Q410">
        <f>IF(K410="OK","-",IF(N410&lt;$B$7,"AMBIGUOUS","CONFIDENT"))</f>
        <v/>
      </c>
    </row>
    <row r="411">
      <c r="A411">
        <f>'Runs Z score'!A403</f>
        <v/>
      </c>
      <c r="B411">
        <f>'Runs Z score'!B403</f>
        <v/>
      </c>
      <c r="C411">
        <f>'Runs Z score'!C403</f>
        <v/>
      </c>
      <c r="D411">
        <f>'Runs Z score'!D403</f>
        <v/>
      </c>
      <c r="E411">
        <f>'Runs Z score'!E403</f>
        <v/>
      </c>
      <c r="F411">
        <f>'Runs Z score'!F403</f>
        <v/>
      </c>
      <c r="G411">
        <f>'Runs Z score'!G403</f>
        <v/>
      </c>
      <c r="H411">
        <f>VLOOKUP(C411,Recipes!$A$2:$N$4,10,FALSE())</f>
        <v/>
      </c>
      <c r="I411">
        <f>VLOOKUP(C411,Recipes!$A$2:$N$4,12,FALSE())</f>
        <v/>
      </c>
      <c r="J411">
        <f>IF(G411="","",H411-G411)</f>
        <v/>
      </c>
      <c r="K411">
        <f>IF(G411="","",IF(ABS(G411-H411)&lt;=$B$6*I411,"OK","NG"))</f>
        <v/>
      </c>
      <c r="L411">
        <f>IF(K411="","",IF(K411=D411,1,0))</f>
        <v/>
      </c>
      <c r="M411" t="inlineStr">
        <is>
          <t>N1</t>
        </is>
      </c>
      <c r="N411" s="15" t="n">
        <v>0.6388</v>
      </c>
      <c r="O411" s="15" t="n">
        <v>0.316</v>
      </c>
      <c r="P411">
        <f>IF(M411="","",IF(M411=E411,1,0))</f>
        <v/>
      </c>
      <c r="Q411">
        <f>IF(K411="OK","-",IF(N411&lt;$B$7,"AMBIGUOUS","CONFIDENT"))</f>
        <v/>
      </c>
    </row>
    <row r="412">
      <c r="A412">
        <f>'Runs Z score'!A404</f>
        <v/>
      </c>
      <c r="B412">
        <f>'Runs Z score'!B404</f>
        <v/>
      </c>
      <c r="C412">
        <f>'Runs Z score'!C404</f>
        <v/>
      </c>
      <c r="D412">
        <f>'Runs Z score'!D404</f>
        <v/>
      </c>
      <c r="E412">
        <f>'Runs Z score'!E404</f>
        <v/>
      </c>
      <c r="F412">
        <f>'Runs Z score'!F404</f>
        <v/>
      </c>
      <c r="G412">
        <f>'Runs Z score'!G404</f>
        <v/>
      </c>
      <c r="H412">
        <f>VLOOKUP(C412,Recipes!$A$2:$N$4,10,FALSE())</f>
        <v/>
      </c>
      <c r="I412">
        <f>VLOOKUP(C412,Recipes!$A$2:$N$4,12,FALSE())</f>
        <v/>
      </c>
      <c r="J412">
        <f>IF(G412="","",H412-G412)</f>
        <v/>
      </c>
      <c r="K412">
        <f>IF(G412="","",IF(ABS(G412-H412)&lt;=$B$6*I412,"OK","NG"))</f>
        <v/>
      </c>
      <c r="L412">
        <f>IF(K412="","",IF(K412=D412,1,0))</f>
        <v/>
      </c>
      <c r="M412" t="inlineStr">
        <is>
          <t>N1</t>
        </is>
      </c>
      <c r="N412" s="15" t="n">
        <v>0.7117</v>
      </c>
      <c r="O412" s="15" t="n">
        <v>0.2334</v>
      </c>
      <c r="P412">
        <f>IF(M412="","",IF(M412=E412,1,0))</f>
        <v/>
      </c>
      <c r="Q412">
        <f>IF(K412="OK","-",IF(N412&lt;$B$7,"AMBIGUOUS","CONFIDENT"))</f>
        <v/>
      </c>
    </row>
    <row r="413">
      <c r="A413">
        <f>'Runs Z score'!A405</f>
        <v/>
      </c>
      <c r="B413">
        <f>'Runs Z score'!B405</f>
        <v/>
      </c>
      <c r="C413">
        <f>'Runs Z score'!C405</f>
        <v/>
      </c>
      <c r="D413">
        <f>'Runs Z score'!D405</f>
        <v/>
      </c>
      <c r="E413">
        <f>'Runs Z score'!E405</f>
        <v/>
      </c>
      <c r="F413">
        <f>'Runs Z score'!F405</f>
        <v/>
      </c>
      <c r="G413">
        <f>'Runs Z score'!G405</f>
        <v/>
      </c>
      <c r="H413">
        <f>VLOOKUP(C413,Recipes!$A$2:$N$4,10,FALSE())</f>
        <v/>
      </c>
      <c r="I413">
        <f>VLOOKUP(C413,Recipes!$A$2:$N$4,12,FALSE())</f>
        <v/>
      </c>
      <c r="J413">
        <f>IF(G413="","",H413-G413)</f>
        <v/>
      </c>
      <c r="K413">
        <f>IF(G413="","",IF(ABS(G413-H413)&lt;=$B$6*I413,"OK","NG"))</f>
        <v/>
      </c>
      <c r="L413">
        <f>IF(K413="","",IF(K413=D413,1,0))</f>
        <v/>
      </c>
      <c r="M413" t="inlineStr">
        <is>
          <t>N1</t>
        </is>
      </c>
      <c r="N413" s="15" t="n">
        <v>0.6984</v>
      </c>
      <c r="O413" s="15" t="n">
        <v>0.2633</v>
      </c>
      <c r="P413">
        <f>IF(M413="","",IF(M413=E413,1,0))</f>
        <v/>
      </c>
      <c r="Q413">
        <f>IF(K413="OK","-",IF(N413&lt;$B$7,"AMBIGUOUS","CONFIDENT"))</f>
        <v/>
      </c>
    </row>
    <row r="414">
      <c r="A414">
        <f>'Runs Z score'!A406</f>
        <v/>
      </c>
      <c r="B414">
        <f>'Runs Z score'!B406</f>
        <v/>
      </c>
      <c r="C414">
        <f>'Runs Z score'!C406</f>
        <v/>
      </c>
      <c r="D414">
        <f>'Runs Z score'!D406</f>
        <v/>
      </c>
      <c r="E414">
        <f>'Runs Z score'!E406</f>
        <v/>
      </c>
      <c r="F414">
        <f>'Runs Z score'!F406</f>
        <v/>
      </c>
      <c r="G414">
        <f>'Runs Z score'!G406</f>
        <v/>
      </c>
      <c r="H414">
        <f>VLOOKUP(C414,Recipes!$A$2:$N$4,10,FALSE())</f>
        <v/>
      </c>
      <c r="I414">
        <f>VLOOKUP(C414,Recipes!$A$2:$N$4,12,FALSE())</f>
        <v/>
      </c>
      <c r="J414">
        <f>IF(G414="","",H414-G414)</f>
        <v/>
      </c>
      <c r="K414">
        <f>IF(G414="","",IF(ABS(G414-H414)&lt;=$B$6*I414,"OK","NG"))</f>
        <v/>
      </c>
      <c r="L414">
        <f>IF(K414="","",IF(K414=D414,1,0))</f>
        <v/>
      </c>
      <c r="M414" t="inlineStr">
        <is>
          <t>N2</t>
        </is>
      </c>
      <c r="N414" s="15" t="n">
        <v>0.6897</v>
      </c>
      <c r="O414" s="15" t="n">
        <v>0.2184</v>
      </c>
      <c r="P414">
        <f>IF(M414="","",IF(M414=E414,1,0))</f>
        <v/>
      </c>
      <c r="Q414">
        <f>IF(K414="OK","-",IF(N414&lt;$B$7,"AMBIGUOUS","CONFIDENT"))</f>
        <v/>
      </c>
    </row>
    <row r="415">
      <c r="A415">
        <f>'Runs Z score'!A407</f>
        <v/>
      </c>
      <c r="B415">
        <f>'Runs Z score'!B407</f>
        <v/>
      </c>
      <c r="C415">
        <f>'Runs Z score'!C407</f>
        <v/>
      </c>
      <c r="D415">
        <f>'Runs Z score'!D407</f>
        <v/>
      </c>
      <c r="E415">
        <f>'Runs Z score'!E407</f>
        <v/>
      </c>
      <c r="F415">
        <f>'Runs Z score'!F407</f>
        <v/>
      </c>
      <c r="G415">
        <f>'Runs Z score'!G407</f>
        <v/>
      </c>
      <c r="H415">
        <f>VLOOKUP(C415,Recipes!$A$2:$N$4,10,FALSE())</f>
        <v/>
      </c>
      <c r="I415">
        <f>VLOOKUP(C415,Recipes!$A$2:$N$4,12,FALSE())</f>
        <v/>
      </c>
      <c r="J415">
        <f>IF(G415="","",H415-G415)</f>
        <v/>
      </c>
      <c r="K415">
        <f>IF(G415="","",IF(ABS(G415-H415)&lt;=$B$6*I415,"OK","NG"))</f>
        <v/>
      </c>
      <c r="L415">
        <f>IF(K415="","",IF(K415=D415,1,0))</f>
        <v/>
      </c>
      <c r="M415" t="inlineStr">
        <is>
          <t>N1</t>
        </is>
      </c>
      <c r="N415" s="15" t="n">
        <v>0.7592</v>
      </c>
      <c r="O415" s="15" t="n">
        <v>0.1688</v>
      </c>
      <c r="P415">
        <f>IF(M415="","",IF(M415=E415,1,0))</f>
        <v/>
      </c>
      <c r="Q415">
        <f>IF(K415="OK","-",IF(N415&lt;$B$7,"AMBIGUOUS","CONFIDENT"))</f>
        <v/>
      </c>
    </row>
    <row r="416">
      <c r="A416">
        <f>'Runs Z score'!A408</f>
        <v/>
      </c>
      <c r="B416">
        <f>'Runs Z score'!B408</f>
        <v/>
      </c>
      <c r="C416">
        <f>'Runs Z score'!C408</f>
        <v/>
      </c>
      <c r="D416">
        <f>'Runs Z score'!D408</f>
        <v/>
      </c>
      <c r="E416">
        <f>'Runs Z score'!E408</f>
        <v/>
      </c>
      <c r="F416">
        <f>'Runs Z score'!F408</f>
        <v/>
      </c>
      <c r="G416">
        <f>'Runs Z score'!G408</f>
        <v/>
      </c>
      <c r="H416">
        <f>VLOOKUP(C416,Recipes!$A$2:$N$4,10,FALSE())</f>
        <v/>
      </c>
      <c r="I416">
        <f>VLOOKUP(C416,Recipes!$A$2:$N$4,12,FALSE())</f>
        <v/>
      </c>
      <c r="J416">
        <f>IF(G416="","",H416-G416)</f>
        <v/>
      </c>
      <c r="K416">
        <f>IF(G416="","",IF(ABS(G416-H416)&lt;=$B$6*I416,"OK","NG"))</f>
        <v/>
      </c>
      <c r="L416">
        <f>IF(K416="","",IF(K416=D416,1,0))</f>
        <v/>
      </c>
      <c r="M416" t="inlineStr">
        <is>
          <t>N1</t>
        </is>
      </c>
      <c r="N416" s="15" t="n">
        <v>0.7366</v>
      </c>
      <c r="O416" s="15" t="n">
        <v>0.2042</v>
      </c>
      <c r="P416">
        <f>IF(M416="","",IF(M416=E416,1,0))</f>
        <v/>
      </c>
      <c r="Q416">
        <f>IF(K416="OK","-",IF(N416&lt;$B$7,"AMBIGUOUS","CONFIDENT"))</f>
        <v/>
      </c>
    </row>
    <row r="417">
      <c r="A417">
        <f>'Runs Z score'!A409</f>
        <v/>
      </c>
      <c r="B417">
        <f>'Runs Z score'!B409</f>
        <v/>
      </c>
      <c r="C417">
        <f>'Runs Z score'!C409</f>
        <v/>
      </c>
      <c r="D417">
        <f>'Runs Z score'!D409</f>
        <v/>
      </c>
      <c r="E417">
        <f>'Runs Z score'!E409</f>
        <v/>
      </c>
      <c r="F417">
        <f>'Runs Z score'!F409</f>
        <v/>
      </c>
      <c r="G417">
        <f>'Runs Z score'!G409</f>
        <v/>
      </c>
      <c r="H417">
        <f>VLOOKUP(C417,Recipes!$A$2:$N$4,10,FALSE())</f>
        <v/>
      </c>
      <c r="I417">
        <f>VLOOKUP(C417,Recipes!$A$2:$N$4,12,FALSE())</f>
        <v/>
      </c>
      <c r="J417">
        <f>IF(G417="","",H417-G417)</f>
        <v/>
      </c>
      <c r="K417">
        <f>IF(G417="","",IF(ABS(G417-H417)&lt;=$B$6*I417,"OK","NG"))</f>
        <v/>
      </c>
      <c r="L417">
        <f>IF(K417="","",IF(K417=D417,1,0))</f>
        <v/>
      </c>
      <c r="M417" t="inlineStr">
        <is>
          <t>N1</t>
        </is>
      </c>
      <c r="N417" s="15" t="n">
        <v>0.739</v>
      </c>
      <c r="O417" s="15" t="n">
        <v>0.1987</v>
      </c>
      <c r="P417">
        <f>IF(M417="","",IF(M417=E417,1,0))</f>
        <v/>
      </c>
      <c r="Q417">
        <f>IF(K417="OK","-",IF(N417&lt;$B$7,"AMBIGUOUS","CONFIDENT"))</f>
        <v/>
      </c>
    </row>
    <row r="418">
      <c r="A418">
        <f>'Runs Z score'!A410</f>
        <v/>
      </c>
      <c r="B418">
        <f>'Runs Z score'!B410</f>
        <v/>
      </c>
      <c r="C418">
        <f>'Runs Z score'!C410</f>
        <v/>
      </c>
      <c r="D418">
        <f>'Runs Z score'!D410</f>
        <v/>
      </c>
      <c r="E418">
        <f>'Runs Z score'!E410</f>
        <v/>
      </c>
      <c r="F418">
        <f>'Runs Z score'!F410</f>
        <v/>
      </c>
      <c r="G418">
        <f>'Runs Z score'!G410</f>
        <v/>
      </c>
      <c r="H418">
        <f>VLOOKUP(C418,Recipes!$A$2:$N$4,10,FALSE())</f>
        <v/>
      </c>
      <c r="I418">
        <f>VLOOKUP(C418,Recipes!$A$2:$N$4,12,FALSE())</f>
        <v/>
      </c>
      <c r="J418">
        <f>IF(G418="","",H418-G418)</f>
        <v/>
      </c>
      <c r="K418">
        <f>IF(G418="","",IF(ABS(G418-H418)&lt;=$B$6*I418,"OK","NG"))</f>
        <v/>
      </c>
      <c r="L418">
        <f>IF(K418="","",IF(K418=D418,1,0))</f>
        <v/>
      </c>
      <c r="M418" t="inlineStr">
        <is>
          <t>N1</t>
        </is>
      </c>
      <c r="N418" s="15" t="n">
        <v>0.7574</v>
      </c>
      <c r="O418" s="15" t="n">
        <v>0.1748</v>
      </c>
      <c r="P418">
        <f>IF(M418="","",IF(M418=E418,1,0))</f>
        <v/>
      </c>
      <c r="Q418">
        <f>IF(K418="OK","-",IF(N418&lt;$B$7,"AMBIGUOUS","CONFIDENT"))</f>
        <v/>
      </c>
    </row>
    <row r="419">
      <c r="A419">
        <f>'Runs Z score'!A411</f>
        <v/>
      </c>
      <c r="B419">
        <f>'Runs Z score'!B411</f>
        <v/>
      </c>
      <c r="C419">
        <f>'Runs Z score'!C411</f>
        <v/>
      </c>
      <c r="D419">
        <f>'Runs Z score'!D411</f>
        <v/>
      </c>
      <c r="E419">
        <f>'Runs Z score'!E411</f>
        <v/>
      </c>
      <c r="F419">
        <f>'Runs Z score'!F411</f>
        <v/>
      </c>
      <c r="G419">
        <f>'Runs Z score'!G411</f>
        <v/>
      </c>
      <c r="H419">
        <f>VLOOKUP(C419,Recipes!$A$2:$N$4,10,FALSE())</f>
        <v/>
      </c>
      <c r="I419">
        <f>VLOOKUP(C419,Recipes!$A$2:$N$4,12,FALSE())</f>
        <v/>
      </c>
      <c r="J419">
        <f>IF(G419="","",H419-G419)</f>
        <v/>
      </c>
      <c r="K419">
        <f>IF(G419="","",IF(ABS(G419-H419)&lt;=$B$6*I419,"OK","NG"))</f>
        <v/>
      </c>
      <c r="L419">
        <f>IF(K419="","",IF(K419=D419,1,0))</f>
        <v/>
      </c>
      <c r="M419" t="inlineStr">
        <is>
          <t>N1</t>
        </is>
      </c>
      <c r="N419" s="15" t="n">
        <v>0.6294999999999999</v>
      </c>
      <c r="O419" s="15" t="n">
        <v>0.3274</v>
      </c>
      <c r="P419">
        <f>IF(M419="","",IF(M419=E419,1,0))</f>
        <v/>
      </c>
      <c r="Q419">
        <f>IF(K419="OK","-",IF(N419&lt;$B$7,"AMBIGUOUS","CONFIDENT"))</f>
        <v/>
      </c>
    </row>
    <row r="420">
      <c r="A420">
        <f>'Runs Z score'!A412</f>
        <v/>
      </c>
      <c r="B420">
        <f>'Runs Z score'!B412</f>
        <v/>
      </c>
      <c r="C420">
        <f>'Runs Z score'!C412</f>
        <v/>
      </c>
      <c r="D420">
        <f>'Runs Z score'!D412</f>
        <v/>
      </c>
      <c r="E420">
        <f>'Runs Z score'!E412</f>
        <v/>
      </c>
      <c r="F420">
        <f>'Runs Z score'!F412</f>
        <v/>
      </c>
      <c r="G420">
        <f>'Runs Z score'!G412</f>
        <v/>
      </c>
      <c r="H420">
        <f>VLOOKUP(C420,Recipes!$A$2:$N$4,10,FALSE())</f>
        <v/>
      </c>
      <c r="I420">
        <f>VLOOKUP(C420,Recipes!$A$2:$N$4,12,FALSE())</f>
        <v/>
      </c>
      <c r="J420">
        <f>IF(G420="","",H420-G420)</f>
        <v/>
      </c>
      <c r="K420">
        <f>IF(G420="","",IF(ABS(G420-H420)&lt;=$B$6*I420,"OK","NG"))</f>
        <v/>
      </c>
      <c r="L420">
        <f>IF(K420="","",IF(K420=D420,1,0))</f>
        <v/>
      </c>
      <c r="M420" t="inlineStr">
        <is>
          <t>N1</t>
        </is>
      </c>
      <c r="N420" s="15" t="n">
        <v>0.6873</v>
      </c>
      <c r="O420" s="15" t="n">
        <v>0.2095</v>
      </c>
      <c r="P420">
        <f>IF(M420="","",IF(M420=E420,1,0))</f>
        <v/>
      </c>
      <c r="Q420">
        <f>IF(K420="OK","-",IF(N420&lt;$B$7,"AMBIGUOUS","CONFIDENT"))</f>
        <v/>
      </c>
    </row>
    <row r="421">
      <c r="A421">
        <f>'Runs Z score'!A413</f>
        <v/>
      </c>
      <c r="B421">
        <f>'Runs Z score'!B413</f>
        <v/>
      </c>
      <c r="C421">
        <f>'Runs Z score'!C413</f>
        <v/>
      </c>
      <c r="D421">
        <f>'Runs Z score'!D413</f>
        <v/>
      </c>
      <c r="E421">
        <f>'Runs Z score'!E413</f>
        <v/>
      </c>
      <c r="F421">
        <f>'Runs Z score'!F413</f>
        <v/>
      </c>
      <c r="G421">
        <f>'Runs Z score'!G413</f>
        <v/>
      </c>
      <c r="H421">
        <f>VLOOKUP(C421,Recipes!$A$2:$N$4,10,FALSE())</f>
        <v/>
      </c>
      <c r="I421">
        <f>VLOOKUP(C421,Recipes!$A$2:$N$4,12,FALSE())</f>
        <v/>
      </c>
      <c r="J421">
        <f>IF(G421="","",H421-G421)</f>
        <v/>
      </c>
      <c r="K421">
        <f>IF(G421="","",IF(ABS(G421-H421)&lt;=$B$6*I421,"OK","NG"))</f>
        <v/>
      </c>
      <c r="L421">
        <f>IF(K421="","",IF(K421=D421,1,0))</f>
        <v/>
      </c>
      <c r="M421" t="inlineStr">
        <is>
          <t>N1</t>
        </is>
      </c>
      <c r="N421" s="15" t="n">
        <v>0.7635999999999999</v>
      </c>
      <c r="O421" s="15" t="n">
        <v>0.1898</v>
      </c>
      <c r="P421">
        <f>IF(M421="","",IF(M421=E421,1,0))</f>
        <v/>
      </c>
      <c r="Q421">
        <f>IF(K421="OK","-",IF(N421&lt;$B$7,"AMBIGUOUS","CONFIDENT"))</f>
        <v/>
      </c>
    </row>
    <row r="422">
      <c r="A422">
        <f>'Runs Z score'!A414</f>
        <v/>
      </c>
      <c r="B422">
        <f>'Runs Z score'!B414</f>
        <v/>
      </c>
      <c r="C422">
        <f>'Runs Z score'!C414</f>
        <v/>
      </c>
      <c r="D422">
        <f>'Runs Z score'!D414</f>
        <v/>
      </c>
      <c r="E422">
        <f>'Runs Z score'!E414</f>
        <v/>
      </c>
      <c r="F422">
        <f>'Runs Z score'!F414</f>
        <v/>
      </c>
      <c r="G422">
        <f>'Runs Z score'!G414</f>
        <v/>
      </c>
      <c r="H422">
        <f>VLOOKUP(C422,Recipes!$A$2:$N$4,10,FALSE())</f>
        <v/>
      </c>
      <c r="I422">
        <f>VLOOKUP(C422,Recipes!$A$2:$N$4,12,FALSE())</f>
        <v/>
      </c>
      <c r="J422">
        <f>IF(G422="","",H422-G422)</f>
        <v/>
      </c>
      <c r="K422">
        <f>IF(G422="","",IF(ABS(G422-H422)&lt;=$B$6*I422,"OK","NG"))</f>
        <v/>
      </c>
      <c r="L422">
        <f>IF(K422="","",IF(K422=D422,1,0))</f>
        <v/>
      </c>
      <c r="M422" t="inlineStr">
        <is>
          <t>N1</t>
        </is>
      </c>
      <c r="N422" s="15" t="n">
        <v>0.7366</v>
      </c>
      <c r="O422" s="15" t="n">
        <v>0.2042</v>
      </c>
      <c r="P422">
        <f>IF(M422="","",IF(M422=E422,1,0))</f>
        <v/>
      </c>
      <c r="Q422">
        <f>IF(K422="OK","-",IF(N422&lt;$B$7,"AMBIGUOUS","CONFIDENT"))</f>
        <v/>
      </c>
    </row>
    <row r="423">
      <c r="A423">
        <f>'Runs Z score'!A415</f>
        <v/>
      </c>
      <c r="B423">
        <f>'Runs Z score'!B415</f>
        <v/>
      </c>
      <c r="C423">
        <f>'Runs Z score'!C415</f>
        <v/>
      </c>
      <c r="D423">
        <f>'Runs Z score'!D415</f>
        <v/>
      </c>
      <c r="E423">
        <f>'Runs Z score'!E415</f>
        <v/>
      </c>
      <c r="F423">
        <f>'Runs Z score'!F415</f>
        <v/>
      </c>
      <c r="G423">
        <f>'Runs Z score'!G415</f>
        <v/>
      </c>
      <c r="H423">
        <f>VLOOKUP(C423,Recipes!$A$2:$N$4,10,FALSE())</f>
        <v/>
      </c>
      <c r="I423">
        <f>VLOOKUP(C423,Recipes!$A$2:$N$4,12,FALSE())</f>
        <v/>
      </c>
      <c r="J423">
        <f>IF(G423="","",H423-G423)</f>
        <v/>
      </c>
      <c r="K423">
        <f>IF(G423="","",IF(ABS(G423-H423)&lt;=$B$6*I423,"OK","NG"))</f>
        <v/>
      </c>
      <c r="L423">
        <f>IF(K423="","",IF(K423=D423,1,0))</f>
        <v/>
      </c>
      <c r="M423" t="inlineStr">
        <is>
          <t>N1</t>
        </is>
      </c>
      <c r="N423" s="15" t="n">
        <v>0.7635999999999999</v>
      </c>
      <c r="O423" s="15" t="n">
        <v>0.1898</v>
      </c>
      <c r="P423">
        <f>IF(M423="","",IF(M423=E423,1,0))</f>
        <v/>
      </c>
      <c r="Q423">
        <f>IF(K423="OK","-",IF(N423&lt;$B$7,"AMBIGUOUS","CONFIDENT"))</f>
        <v/>
      </c>
    </row>
    <row r="424">
      <c r="A424">
        <f>'Runs Z score'!A416</f>
        <v/>
      </c>
      <c r="B424">
        <f>'Runs Z score'!B416</f>
        <v/>
      </c>
      <c r="C424">
        <f>'Runs Z score'!C416</f>
        <v/>
      </c>
      <c r="D424">
        <f>'Runs Z score'!D416</f>
        <v/>
      </c>
      <c r="E424">
        <f>'Runs Z score'!E416</f>
        <v/>
      </c>
      <c r="F424">
        <f>'Runs Z score'!F416</f>
        <v/>
      </c>
      <c r="G424">
        <f>'Runs Z score'!G416</f>
        <v/>
      </c>
      <c r="H424">
        <f>VLOOKUP(C424,Recipes!$A$2:$N$4,10,FALSE())</f>
        <v/>
      </c>
      <c r="I424">
        <f>VLOOKUP(C424,Recipes!$A$2:$N$4,12,FALSE())</f>
        <v/>
      </c>
      <c r="J424">
        <f>IF(G424="","",H424-G424)</f>
        <v/>
      </c>
      <c r="K424">
        <f>IF(G424="","",IF(ABS(G424-H424)&lt;=$B$6*I424,"OK","NG"))</f>
        <v/>
      </c>
      <c r="L424">
        <f>IF(K424="","",IF(K424=D424,1,0))</f>
        <v/>
      </c>
      <c r="M424" t="inlineStr">
        <is>
          <t>N1</t>
        </is>
      </c>
      <c r="N424" s="15" t="n">
        <v>0.7592</v>
      </c>
      <c r="O424" s="15" t="n">
        <v>0.1688</v>
      </c>
      <c r="P424">
        <f>IF(M424="","",IF(M424=E424,1,0))</f>
        <v/>
      </c>
      <c r="Q424">
        <f>IF(K424="OK","-",IF(N424&lt;$B$7,"AMBIGUOUS","CONFIDENT"))</f>
        <v/>
      </c>
    </row>
    <row r="425">
      <c r="A425">
        <f>'Runs Z score'!A417</f>
        <v/>
      </c>
      <c r="B425">
        <f>'Runs Z score'!B417</f>
        <v/>
      </c>
      <c r="C425">
        <f>'Runs Z score'!C417</f>
        <v/>
      </c>
      <c r="D425">
        <f>'Runs Z score'!D417</f>
        <v/>
      </c>
      <c r="E425">
        <f>'Runs Z score'!E417</f>
        <v/>
      </c>
      <c r="F425">
        <f>'Runs Z score'!F417</f>
        <v/>
      </c>
      <c r="G425">
        <f>'Runs Z score'!G417</f>
        <v/>
      </c>
      <c r="H425">
        <f>VLOOKUP(C425,Recipes!$A$2:$N$4,10,FALSE())</f>
        <v/>
      </c>
      <c r="I425">
        <f>VLOOKUP(C425,Recipes!$A$2:$N$4,12,FALSE())</f>
        <v/>
      </c>
      <c r="J425">
        <f>IF(G425="","",H425-G425)</f>
        <v/>
      </c>
      <c r="K425">
        <f>IF(G425="","",IF(ABS(G425-H425)&lt;=$B$6*I425,"OK","NG"))</f>
        <v/>
      </c>
      <c r="L425">
        <f>IF(K425="","",IF(K425=D425,1,0))</f>
        <v/>
      </c>
      <c r="M425" t="inlineStr">
        <is>
          <t>N1</t>
        </is>
      </c>
      <c r="N425" s="15" t="n">
        <v>0.7635999999999999</v>
      </c>
      <c r="O425" s="15" t="n">
        <v>0.1898</v>
      </c>
      <c r="P425">
        <f>IF(M425="","",IF(M425=E425,1,0))</f>
        <v/>
      </c>
      <c r="Q425">
        <f>IF(K425="OK","-",IF(N425&lt;$B$7,"AMBIGUOUS","CONFIDENT"))</f>
        <v/>
      </c>
    </row>
    <row r="426">
      <c r="A426">
        <f>'Runs Z score'!A418</f>
        <v/>
      </c>
      <c r="B426">
        <f>'Runs Z score'!B418</f>
        <v/>
      </c>
      <c r="C426">
        <f>'Runs Z score'!C418</f>
        <v/>
      </c>
      <c r="D426">
        <f>'Runs Z score'!D418</f>
        <v/>
      </c>
      <c r="E426">
        <f>'Runs Z score'!E418</f>
        <v/>
      </c>
      <c r="F426">
        <f>'Runs Z score'!F418</f>
        <v/>
      </c>
      <c r="G426">
        <f>'Runs Z score'!G418</f>
        <v/>
      </c>
      <c r="H426">
        <f>VLOOKUP(C426,Recipes!$A$2:$N$4,10,FALSE())</f>
        <v/>
      </c>
      <c r="I426">
        <f>VLOOKUP(C426,Recipes!$A$2:$N$4,12,FALSE())</f>
        <v/>
      </c>
      <c r="J426">
        <f>IF(G426="","",H426-G426)</f>
        <v/>
      </c>
      <c r="K426">
        <f>IF(G426="","",IF(ABS(G426-H426)&lt;=$B$6*I426,"OK","NG"))</f>
        <v/>
      </c>
      <c r="L426">
        <f>IF(K426="","",IF(K426=D426,1,0))</f>
        <v/>
      </c>
      <c r="M426" t="inlineStr">
        <is>
          <t>N1</t>
        </is>
      </c>
      <c r="N426" s="15" t="n">
        <v>0.7496</v>
      </c>
      <c r="O426" s="15" t="n">
        <v>0.1951</v>
      </c>
      <c r="P426">
        <f>IF(M426="","",IF(M426=E426,1,0))</f>
        <v/>
      </c>
      <c r="Q426">
        <f>IF(K426="OK","-",IF(N426&lt;$B$7,"AMBIGUOUS","CONFIDENT"))</f>
        <v/>
      </c>
    </row>
    <row r="427">
      <c r="A427">
        <f>'Runs Z score'!A419</f>
        <v/>
      </c>
      <c r="B427">
        <f>'Runs Z score'!B419</f>
        <v/>
      </c>
      <c r="C427">
        <f>'Runs Z score'!C419</f>
        <v/>
      </c>
      <c r="D427">
        <f>'Runs Z score'!D419</f>
        <v/>
      </c>
      <c r="E427">
        <f>'Runs Z score'!E419</f>
        <v/>
      </c>
      <c r="F427">
        <f>'Runs Z score'!F419</f>
        <v/>
      </c>
      <c r="G427">
        <f>'Runs Z score'!G419</f>
        <v/>
      </c>
      <c r="H427">
        <f>VLOOKUP(C427,Recipes!$A$2:$N$4,10,FALSE())</f>
        <v/>
      </c>
      <c r="I427">
        <f>VLOOKUP(C427,Recipes!$A$2:$N$4,12,FALSE())</f>
        <v/>
      </c>
      <c r="J427">
        <f>IF(G427="","",H427-G427)</f>
        <v/>
      </c>
      <c r="K427">
        <f>IF(G427="","",IF(ABS(G427-H427)&lt;=$B$6*I427,"OK","NG"))</f>
        <v/>
      </c>
      <c r="L427">
        <f>IF(K427="","",IF(K427=D427,1,0))</f>
        <v/>
      </c>
      <c r="M427" t="inlineStr">
        <is>
          <t>N1</t>
        </is>
      </c>
      <c r="N427" s="15" t="n">
        <v>0.7743</v>
      </c>
      <c r="O427" s="15" t="n">
        <v>0.1633</v>
      </c>
      <c r="P427">
        <f>IF(M427="","",IF(M427=E427,1,0))</f>
        <v/>
      </c>
      <c r="Q427">
        <f>IF(K427="OK","-",IF(N427&lt;$B$7,"AMBIGUOUS","CONFIDENT"))</f>
        <v/>
      </c>
    </row>
    <row r="428">
      <c r="A428">
        <f>'Runs Z score'!A420</f>
        <v/>
      </c>
      <c r="B428">
        <f>'Runs Z score'!B420</f>
        <v/>
      </c>
      <c r="C428">
        <f>'Runs Z score'!C420</f>
        <v/>
      </c>
      <c r="D428">
        <f>'Runs Z score'!D420</f>
        <v/>
      </c>
      <c r="E428">
        <f>'Runs Z score'!E420</f>
        <v/>
      </c>
      <c r="F428">
        <f>'Runs Z score'!F420</f>
        <v/>
      </c>
      <c r="G428">
        <f>'Runs Z score'!G420</f>
        <v/>
      </c>
      <c r="H428">
        <f>VLOOKUP(C428,Recipes!$A$2:$N$4,10,FALSE())</f>
        <v/>
      </c>
      <c r="I428">
        <f>VLOOKUP(C428,Recipes!$A$2:$N$4,12,FALSE())</f>
        <v/>
      </c>
      <c r="J428">
        <f>IF(G428="","",H428-G428)</f>
        <v/>
      </c>
      <c r="K428">
        <f>IF(G428="","",IF(ABS(G428-H428)&lt;=$B$6*I428,"OK","NG"))</f>
        <v/>
      </c>
      <c r="L428">
        <f>IF(K428="","",IF(K428=D428,1,0))</f>
        <v/>
      </c>
      <c r="M428" t="inlineStr">
        <is>
          <t>N1</t>
        </is>
      </c>
      <c r="N428" s="15" t="n">
        <v>0.7177</v>
      </c>
      <c r="O428" s="15" t="n">
        <v>0.2319</v>
      </c>
      <c r="P428">
        <f>IF(M428="","",IF(M428=E428,1,0))</f>
        <v/>
      </c>
      <c r="Q428">
        <f>IF(K428="OK","-",IF(N428&lt;$B$7,"AMBIGUOUS","CONFIDENT"))</f>
        <v/>
      </c>
    </row>
    <row r="429">
      <c r="A429">
        <f>'Runs Z score'!A421</f>
        <v/>
      </c>
      <c r="B429">
        <f>'Runs Z score'!B421</f>
        <v/>
      </c>
      <c r="C429">
        <f>'Runs Z score'!C421</f>
        <v/>
      </c>
      <c r="D429">
        <f>'Runs Z score'!D421</f>
        <v/>
      </c>
      <c r="E429">
        <f>'Runs Z score'!E421</f>
        <v/>
      </c>
      <c r="F429">
        <f>'Runs Z score'!F421</f>
        <v/>
      </c>
      <c r="G429">
        <f>'Runs Z score'!G421</f>
        <v/>
      </c>
      <c r="H429">
        <f>VLOOKUP(C429,Recipes!$A$2:$N$4,10,FALSE())</f>
        <v/>
      </c>
      <c r="I429">
        <f>VLOOKUP(C429,Recipes!$A$2:$N$4,12,FALSE())</f>
        <v/>
      </c>
      <c r="J429">
        <f>IF(G429="","",H429-G429)</f>
        <v/>
      </c>
      <c r="K429">
        <f>IF(G429="","",IF(ABS(G429-H429)&lt;=$B$6*I429,"OK","NG"))</f>
        <v/>
      </c>
      <c r="L429">
        <f>IF(K429="","",IF(K429=D429,1,0))</f>
        <v/>
      </c>
      <c r="M429" t="inlineStr">
        <is>
          <t>N2</t>
        </is>
      </c>
      <c r="N429" s="15" t="n">
        <v>0.9026</v>
      </c>
      <c r="O429" s="15" t="n">
        <v>0.0461</v>
      </c>
      <c r="P429">
        <f>IF(M429="","",IF(M429=E429,1,0))</f>
        <v/>
      </c>
      <c r="Q429">
        <f>IF(K429="OK","-",IF(N429&lt;$B$7,"AMBIGUOUS","CONFIDENT"))</f>
        <v/>
      </c>
    </row>
    <row r="430">
      <c r="A430">
        <f>'Runs Z score'!A422</f>
        <v/>
      </c>
      <c r="B430">
        <f>'Runs Z score'!B422</f>
        <v/>
      </c>
      <c r="C430">
        <f>'Runs Z score'!C422</f>
        <v/>
      </c>
      <c r="D430">
        <f>'Runs Z score'!D422</f>
        <v/>
      </c>
      <c r="E430">
        <f>'Runs Z score'!E422</f>
        <v/>
      </c>
      <c r="F430">
        <f>'Runs Z score'!F422</f>
        <v/>
      </c>
      <c r="G430">
        <f>'Runs Z score'!G422</f>
        <v/>
      </c>
      <c r="H430">
        <f>VLOOKUP(C430,Recipes!$A$2:$N$4,10,FALSE())</f>
        <v/>
      </c>
      <c r="I430">
        <f>VLOOKUP(C430,Recipes!$A$2:$N$4,12,FALSE())</f>
        <v/>
      </c>
      <c r="J430">
        <f>IF(G430="","",H430-G430)</f>
        <v/>
      </c>
      <c r="K430">
        <f>IF(G430="","",IF(ABS(G430-H430)&lt;=$B$6*I430,"OK","NG"))</f>
        <v/>
      </c>
      <c r="L430">
        <f>IF(K430="","",IF(K430=D430,1,0))</f>
        <v/>
      </c>
      <c r="M430" t="inlineStr">
        <is>
          <t>N1</t>
        </is>
      </c>
      <c r="N430" s="15" t="n">
        <v>0.6783</v>
      </c>
      <c r="O430" s="15" t="n">
        <v>0.2725</v>
      </c>
      <c r="P430">
        <f>IF(M430="","",IF(M430=E430,1,0))</f>
        <v/>
      </c>
      <c r="Q430">
        <f>IF(K430="OK","-",IF(N430&lt;$B$7,"AMBIGUOUS","CONFIDENT"))</f>
        <v/>
      </c>
    </row>
    <row r="433">
      <c r="A433" s="209" t="inlineStr">
        <is>
          <t>RESUMEN</t>
        </is>
      </c>
    </row>
    <row r="434">
      <c r="A434" s="210" t="inlineStr">
        <is>
          <t>Total runs</t>
        </is>
      </c>
      <c r="B434" s="228">
        <f>COUNTA(G11:G430)</f>
        <v/>
      </c>
    </row>
    <row r="435">
      <c r="A435" s="210" t="inlineStr">
        <is>
          <t>L1 Accuracy</t>
        </is>
      </c>
      <c r="B435" s="229">
        <f>IFERROR(AVERAGE(L11:L430),0)</f>
        <v/>
      </c>
    </row>
    <row r="436">
      <c r="A436" s="210" t="inlineStr">
        <is>
          <t>L2 Accuracy (NG)</t>
        </is>
      </c>
      <c r="B436" s="229">
        <f>IFERROR(AVERAGEIFS(P11:P430,D11:D430,"NG"),0)</f>
        <v/>
      </c>
    </row>
    <row r="437">
      <c r="A437" s="210" t="inlineStr">
        <is>
          <t>Falsos Positivos</t>
        </is>
      </c>
      <c r="B437" s="228">
        <f>COUNTIFS(D11:D430,"OK",K11:K430,"NG")</f>
        <v/>
      </c>
    </row>
    <row r="438">
      <c r="A438" s="210" t="inlineStr">
        <is>
          <t>Falsos Negativos</t>
        </is>
      </c>
      <c r="B438" s="228">
        <f>COUNTIFS(D11:D430,"NG",K11:K430,"OK")</f>
        <v/>
      </c>
    </row>
    <row r="439">
      <c r="A439" s="210" t="inlineStr">
        <is>
          <t>Casos AMBIGUOUS</t>
        </is>
      </c>
      <c r="B439" s="228">
        <f>COUNTIF(Q11:Q430,"AMBIGUOUS")</f>
        <v/>
      </c>
    </row>
    <row r="442">
      <c r="A442" s="209" t="inlineStr">
        <is>
          <t>POR RECETA</t>
        </is>
      </c>
    </row>
    <row r="443">
      <c r="A443" s="192" t="inlineStr">
        <is>
          <t>Recipe</t>
        </is>
      </c>
      <c r="B443" s="192" t="inlineStr">
        <is>
          <t>L1 Acc</t>
        </is>
      </c>
      <c r="C443" s="192" t="inlineStr">
        <is>
          <t>L2 Acc</t>
        </is>
      </c>
    </row>
    <row r="444">
      <c r="A444" s="214" t="inlineStr">
        <is>
          <t>R3</t>
        </is>
      </c>
      <c r="B444" s="229">
        <f>IFERROR(AVERAGEIFS(L11:L430,C11:C430,"R3"),0)</f>
        <v/>
      </c>
      <c r="C444" s="229">
        <f>IFERROR(AVERAGEIFS(P11:P430,C11:C430,"R3",D11:D430,"NG"),0)</f>
        <v/>
      </c>
    </row>
    <row r="445">
      <c r="A445" s="214" t="inlineStr">
        <is>
          <t>R4</t>
        </is>
      </c>
      <c r="B445" s="229">
        <f>IFERROR(AVERAGEIFS(L11:L430,C11:C430,"R4"),0)</f>
        <v/>
      </c>
      <c r="C445" s="229">
        <f>IFERROR(AVERAGEIFS(P11:P430,C11:C430,"R4",D11:D430,"NG"),0)</f>
        <v/>
      </c>
    </row>
    <row r="446">
      <c r="A446" s="214" t="inlineStr">
        <is>
          <t>R6</t>
        </is>
      </c>
      <c r="B446" s="229">
        <f>IFERROR(AVERAGEIFS(L11:L430,C11:C430,"R6"),0)</f>
        <v/>
      </c>
      <c r="C446" s="229">
        <f>IFERROR(AVERAGEIFS(P11:P430,C11:C430,"R6",D11:D430,"NG"),0)</f>
        <v/>
      </c>
    </row>
  </sheetData>
  <mergeCells count="3">
    <mergeCell ref="A3:Q3"/>
    <mergeCell ref="A2:Q2"/>
    <mergeCell ref="A1:Q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446"/>
  <sheetViews>
    <sheetView workbookViewId="0">
      <pane ySplit="10" topLeftCell="A11" activePane="bottomLeft" state="frozen"/>
      <selection pane="bottomLeft" activeCell="A1" sqref="A1"/>
    </sheetView>
  </sheetViews>
  <sheetFormatPr baseColWidth="8" defaultRowHeight="15"/>
  <cols>
    <col width="8" customWidth="1" style="180" min="1" max="1"/>
    <col width="11" customWidth="1" style="180" min="2" max="2"/>
    <col width="9" customWidth="1" style="180" min="3" max="3"/>
    <col width="11" customWidth="1" style="180" min="4" max="4"/>
    <col width="14" customWidth="1" style="180" min="5" max="5"/>
    <col width="9" customWidth="1" style="180" min="6" max="6"/>
    <col width="11" customWidth="1" style="180" min="7" max="7"/>
    <col width="11" customWidth="1" style="180" min="8" max="8"/>
    <col width="11" customWidth="1" style="180" min="9" max="9"/>
    <col width="10" customWidth="1" style="180" min="10" max="10"/>
    <col width="10" customWidth="1" style="180" min="11" max="11"/>
    <col width="11" customWidth="1" style="180" min="12" max="12"/>
    <col width="10" customWidth="1" style="180" min="13" max="13"/>
    <col width="13" customWidth="1" style="180" min="14" max="14"/>
    <col width="13" customWidth="1" style="180" min="15" max="15"/>
    <col width="11" customWidth="1" style="180" min="16" max="16"/>
    <col width="12" customWidth="1" style="180" min="17" max="17"/>
  </cols>
  <sheetData>
    <row r="1">
      <c r="A1" s="226" t="inlineStr">
        <is>
          <t>RANDOM FOREST — 200 árboles, max_depth=10</t>
        </is>
      </c>
    </row>
    <row r="2">
      <c r="A2" s="208" t="inlineStr">
        <is>
          <t>Breiman (2001). Ensemble de árboles de decisión. Votación mayoritaria ponderada.</t>
        </is>
      </c>
    </row>
    <row r="3">
      <c r="A3" s="208" t="inlineStr">
        <is>
          <t>5-fold Stratified CV por receta. L1 = Runs 1.0 (k=3). Predicciones generadas con datos reales del DOE.</t>
        </is>
      </c>
    </row>
    <row r="5">
      <c r="A5" s="209" t="inlineStr">
        <is>
          <t>PARÁMETROS</t>
        </is>
      </c>
    </row>
    <row r="6">
      <c r="A6" s="210" t="inlineStr">
        <is>
          <t>k (L1 sigma)</t>
        </is>
      </c>
      <c r="B6" s="227" t="n">
        <v>3</v>
      </c>
    </row>
    <row r="7">
      <c r="A7" s="210" t="inlineStr">
        <is>
          <t>Umbral conf. mín.</t>
        </is>
      </c>
      <c r="B7" s="227" t="n">
        <v>0.5</v>
      </c>
    </row>
    <row r="10" ht="32" customHeight="1" s="180">
      <c r="A10" s="192" t="inlineStr">
        <is>
          <t>run_id</t>
        </is>
      </c>
      <c r="B10" s="192" t="inlineStr">
        <is>
          <t>exec_order</t>
        </is>
      </c>
      <c r="C10" s="192" t="inlineStr">
        <is>
          <t>recipe</t>
        </is>
      </c>
      <c r="D10" s="192" t="inlineStr">
        <is>
          <t>condition</t>
        </is>
      </c>
      <c r="E10" s="192" t="inlineStr">
        <is>
          <t>missing_comp</t>
        </is>
      </c>
      <c r="F10" s="192" t="inlineStr">
        <is>
          <t>kit_id</t>
        </is>
      </c>
      <c r="G10" s="192" t="inlineStr">
        <is>
          <t>weight_g</t>
        </is>
      </c>
      <c r="H10" s="192" t="inlineStr">
        <is>
          <t>expected_w</t>
        </is>
      </c>
      <c r="I10" s="192" t="inlineStr">
        <is>
          <t>expected_std</t>
        </is>
      </c>
      <c r="J10" s="192" t="inlineStr">
        <is>
          <t>deficit</t>
        </is>
      </c>
      <c r="K10" s="192" t="inlineStr">
        <is>
          <t>L1_pred</t>
        </is>
      </c>
      <c r="L10" s="192" t="inlineStr">
        <is>
          <t>L1_correct</t>
        </is>
      </c>
      <c r="M10" s="192" t="inlineStr">
        <is>
          <t>ML_pred</t>
        </is>
      </c>
      <c r="N10" s="192" t="inlineStr">
        <is>
          <t>ML_prob_top1</t>
        </is>
      </c>
      <c r="O10" s="192" t="inlineStr">
        <is>
          <t>ML_prob_top2</t>
        </is>
      </c>
      <c r="P10" s="192" t="inlineStr">
        <is>
          <t>L2_correct</t>
        </is>
      </c>
      <c r="Q10" s="192" t="inlineStr">
        <is>
          <t>flag</t>
        </is>
      </c>
    </row>
    <row r="11">
      <c r="A11">
        <f>'Runs Z score'!A3</f>
        <v/>
      </c>
      <c r="B11">
        <f>'Runs Z score'!B3</f>
        <v/>
      </c>
      <c r="C11">
        <f>'Runs Z score'!C3</f>
        <v/>
      </c>
      <c r="D11">
        <f>'Runs Z score'!D3</f>
        <v/>
      </c>
      <c r="E11">
        <f>'Runs Z score'!E3</f>
        <v/>
      </c>
      <c r="F11">
        <f>'Runs Z score'!F3</f>
        <v/>
      </c>
      <c r="G11">
        <f>'Runs Z score'!G3</f>
        <v/>
      </c>
      <c r="H11">
        <f>VLOOKUP(C11,Recipes!$A$2:$N$4,10,FALSE())</f>
        <v/>
      </c>
      <c r="I11">
        <f>VLOOKUP(C11,Recipes!$A$2:$N$4,12,FALSE())</f>
        <v/>
      </c>
      <c r="J11">
        <f>IF(G11="","",H11-G11)</f>
        <v/>
      </c>
      <c r="K11">
        <f>IF(G11="","",IF(ABS(G11-H11)&lt;=$B$6*I11,"OK","NG"))</f>
        <v/>
      </c>
      <c r="L11">
        <f>IF(K11="","",IF(K11=D11,1,0))</f>
        <v/>
      </c>
      <c r="M11" t="inlineStr">
        <is>
          <t>NONE</t>
        </is>
      </c>
      <c r="N11" s="15" t="n">
        <v>1</v>
      </c>
      <c r="O11" s="15" t="n">
        <v>0</v>
      </c>
      <c r="P11">
        <f>IF(M11="","",IF(M11=E11,1,0))</f>
        <v/>
      </c>
      <c r="Q11">
        <f>IF(K11="OK","-",IF(N11&lt;$B$7,"AMBIGUOUS","CONFIDENT"))</f>
        <v/>
      </c>
    </row>
    <row r="12">
      <c r="A12">
        <f>'Runs Z score'!A4</f>
        <v/>
      </c>
      <c r="B12">
        <f>'Runs Z score'!B4</f>
        <v/>
      </c>
      <c r="C12">
        <f>'Runs Z score'!C4</f>
        <v/>
      </c>
      <c r="D12">
        <f>'Runs Z score'!D4</f>
        <v/>
      </c>
      <c r="E12">
        <f>'Runs Z score'!E4</f>
        <v/>
      </c>
      <c r="F12">
        <f>'Runs Z score'!F4</f>
        <v/>
      </c>
      <c r="G12">
        <f>'Runs Z score'!G4</f>
        <v/>
      </c>
      <c r="H12">
        <f>VLOOKUP(C12,Recipes!$A$2:$N$4,10,FALSE())</f>
        <v/>
      </c>
      <c r="I12">
        <f>VLOOKUP(C12,Recipes!$A$2:$N$4,12,FALSE())</f>
        <v/>
      </c>
      <c r="J12">
        <f>IF(G12="","",H12-G12)</f>
        <v/>
      </c>
      <c r="K12">
        <f>IF(G12="","",IF(ABS(G12-H12)&lt;=$B$6*I12,"OK","NG"))</f>
        <v/>
      </c>
      <c r="L12">
        <f>IF(K12="","",IF(K12=D12,1,0))</f>
        <v/>
      </c>
      <c r="M12" t="inlineStr">
        <is>
          <t>NONE</t>
        </is>
      </c>
      <c r="N12" s="15" t="n">
        <v>1</v>
      </c>
      <c r="O12" s="15" t="n">
        <v>0</v>
      </c>
      <c r="P12">
        <f>IF(M12="","",IF(M12=E12,1,0))</f>
        <v/>
      </c>
      <c r="Q12">
        <f>IF(K12="OK","-",IF(N12&lt;$B$7,"AMBIGUOUS","CONFIDENT"))</f>
        <v/>
      </c>
    </row>
    <row r="13">
      <c r="A13">
        <f>'Runs Z score'!A5</f>
        <v/>
      </c>
      <c r="B13">
        <f>'Runs Z score'!B5</f>
        <v/>
      </c>
      <c r="C13">
        <f>'Runs Z score'!C5</f>
        <v/>
      </c>
      <c r="D13">
        <f>'Runs Z score'!D5</f>
        <v/>
      </c>
      <c r="E13">
        <f>'Runs Z score'!E5</f>
        <v/>
      </c>
      <c r="F13">
        <f>'Runs Z score'!F5</f>
        <v/>
      </c>
      <c r="G13">
        <f>'Runs Z score'!G5</f>
        <v/>
      </c>
      <c r="H13">
        <f>VLOOKUP(C13,Recipes!$A$2:$N$4,10,FALSE())</f>
        <v/>
      </c>
      <c r="I13">
        <f>VLOOKUP(C13,Recipes!$A$2:$N$4,12,FALSE())</f>
        <v/>
      </c>
      <c r="J13">
        <f>IF(G13="","",H13-G13)</f>
        <v/>
      </c>
      <c r="K13">
        <f>IF(G13="","",IF(ABS(G13-H13)&lt;=$B$6*I13,"OK","NG"))</f>
        <v/>
      </c>
      <c r="L13">
        <f>IF(K13="","",IF(K13=D13,1,0))</f>
        <v/>
      </c>
      <c r="M13" t="inlineStr">
        <is>
          <t>NONE</t>
        </is>
      </c>
      <c r="N13" s="15" t="n">
        <v>1</v>
      </c>
      <c r="O13" s="15" t="n">
        <v>0</v>
      </c>
      <c r="P13">
        <f>IF(M13="","",IF(M13=E13,1,0))</f>
        <v/>
      </c>
      <c r="Q13">
        <f>IF(K13="OK","-",IF(N13&lt;$B$7,"AMBIGUOUS","CONFIDENT"))</f>
        <v/>
      </c>
    </row>
    <row r="14">
      <c r="A14">
        <f>'Runs Z score'!A6</f>
        <v/>
      </c>
      <c r="B14">
        <f>'Runs Z score'!B6</f>
        <v/>
      </c>
      <c r="C14">
        <f>'Runs Z score'!C6</f>
        <v/>
      </c>
      <c r="D14">
        <f>'Runs Z score'!D6</f>
        <v/>
      </c>
      <c r="E14">
        <f>'Runs Z score'!E6</f>
        <v/>
      </c>
      <c r="F14">
        <f>'Runs Z score'!F6</f>
        <v/>
      </c>
      <c r="G14">
        <f>'Runs Z score'!G6</f>
        <v/>
      </c>
      <c r="H14">
        <f>VLOOKUP(C14,Recipes!$A$2:$N$4,10,FALSE())</f>
        <v/>
      </c>
      <c r="I14">
        <f>VLOOKUP(C14,Recipes!$A$2:$N$4,12,FALSE())</f>
        <v/>
      </c>
      <c r="J14">
        <f>IF(G14="","",H14-G14)</f>
        <v/>
      </c>
      <c r="K14">
        <f>IF(G14="","",IF(ABS(G14-H14)&lt;=$B$6*I14,"OK","NG"))</f>
        <v/>
      </c>
      <c r="L14">
        <f>IF(K14="","",IF(K14=D14,1,0))</f>
        <v/>
      </c>
      <c r="M14" t="inlineStr">
        <is>
          <t>NONE</t>
        </is>
      </c>
      <c r="N14" s="15" t="n">
        <v>1</v>
      </c>
      <c r="O14" s="15" t="n">
        <v>0</v>
      </c>
      <c r="P14">
        <f>IF(M14="","",IF(M14=E14,1,0))</f>
        <v/>
      </c>
      <c r="Q14">
        <f>IF(K14="OK","-",IF(N14&lt;$B$7,"AMBIGUOUS","CONFIDENT"))</f>
        <v/>
      </c>
    </row>
    <row r="15">
      <c r="A15">
        <f>'Runs Z score'!A7</f>
        <v/>
      </c>
      <c r="B15">
        <f>'Runs Z score'!B7</f>
        <v/>
      </c>
      <c r="C15">
        <f>'Runs Z score'!C7</f>
        <v/>
      </c>
      <c r="D15">
        <f>'Runs Z score'!D7</f>
        <v/>
      </c>
      <c r="E15">
        <f>'Runs Z score'!E7</f>
        <v/>
      </c>
      <c r="F15">
        <f>'Runs Z score'!F7</f>
        <v/>
      </c>
      <c r="G15">
        <f>'Runs Z score'!G7</f>
        <v/>
      </c>
      <c r="H15">
        <f>VLOOKUP(C15,Recipes!$A$2:$N$4,10,FALSE())</f>
        <v/>
      </c>
      <c r="I15">
        <f>VLOOKUP(C15,Recipes!$A$2:$N$4,12,FALSE())</f>
        <v/>
      </c>
      <c r="J15">
        <f>IF(G15="","",H15-G15)</f>
        <v/>
      </c>
      <c r="K15">
        <f>IF(G15="","",IF(ABS(G15-H15)&lt;=$B$6*I15,"OK","NG"))</f>
        <v/>
      </c>
      <c r="L15">
        <f>IF(K15="","",IF(K15=D15,1,0))</f>
        <v/>
      </c>
      <c r="M15" t="inlineStr">
        <is>
          <t>NONE</t>
        </is>
      </c>
      <c r="N15" s="15" t="n">
        <v>1</v>
      </c>
      <c r="O15" s="15" t="n">
        <v>0</v>
      </c>
      <c r="P15">
        <f>IF(M15="","",IF(M15=E15,1,0))</f>
        <v/>
      </c>
      <c r="Q15">
        <f>IF(K15="OK","-",IF(N15&lt;$B$7,"AMBIGUOUS","CONFIDENT"))</f>
        <v/>
      </c>
    </row>
    <row r="16">
      <c r="A16">
        <f>'Runs Z score'!A8</f>
        <v/>
      </c>
      <c r="B16">
        <f>'Runs Z score'!B8</f>
        <v/>
      </c>
      <c r="C16">
        <f>'Runs Z score'!C8</f>
        <v/>
      </c>
      <c r="D16">
        <f>'Runs Z score'!D8</f>
        <v/>
      </c>
      <c r="E16">
        <f>'Runs Z score'!E8</f>
        <v/>
      </c>
      <c r="F16">
        <f>'Runs Z score'!F8</f>
        <v/>
      </c>
      <c r="G16">
        <f>'Runs Z score'!G8</f>
        <v/>
      </c>
      <c r="H16">
        <f>VLOOKUP(C16,Recipes!$A$2:$N$4,10,FALSE())</f>
        <v/>
      </c>
      <c r="I16">
        <f>VLOOKUP(C16,Recipes!$A$2:$N$4,12,FALSE())</f>
        <v/>
      </c>
      <c r="J16">
        <f>IF(G16="","",H16-G16)</f>
        <v/>
      </c>
      <c r="K16">
        <f>IF(G16="","",IF(ABS(G16-H16)&lt;=$B$6*I16,"OK","NG"))</f>
        <v/>
      </c>
      <c r="L16">
        <f>IF(K16="","",IF(K16=D16,1,0))</f>
        <v/>
      </c>
      <c r="M16" t="inlineStr">
        <is>
          <t>NONE</t>
        </is>
      </c>
      <c r="N16" s="15" t="n">
        <v>1</v>
      </c>
      <c r="O16" s="15" t="n">
        <v>0</v>
      </c>
      <c r="P16">
        <f>IF(M16="","",IF(M16=E16,1,0))</f>
        <v/>
      </c>
      <c r="Q16">
        <f>IF(K16="OK","-",IF(N16&lt;$B$7,"AMBIGUOUS","CONFIDENT"))</f>
        <v/>
      </c>
    </row>
    <row r="17">
      <c r="A17">
        <f>'Runs Z score'!A9</f>
        <v/>
      </c>
      <c r="B17">
        <f>'Runs Z score'!B9</f>
        <v/>
      </c>
      <c r="C17">
        <f>'Runs Z score'!C9</f>
        <v/>
      </c>
      <c r="D17">
        <f>'Runs Z score'!D9</f>
        <v/>
      </c>
      <c r="E17">
        <f>'Runs Z score'!E9</f>
        <v/>
      </c>
      <c r="F17">
        <f>'Runs Z score'!F9</f>
        <v/>
      </c>
      <c r="G17">
        <f>'Runs Z score'!G9</f>
        <v/>
      </c>
      <c r="H17">
        <f>VLOOKUP(C17,Recipes!$A$2:$N$4,10,FALSE())</f>
        <v/>
      </c>
      <c r="I17">
        <f>VLOOKUP(C17,Recipes!$A$2:$N$4,12,FALSE())</f>
        <v/>
      </c>
      <c r="J17">
        <f>IF(G17="","",H17-G17)</f>
        <v/>
      </c>
      <c r="K17">
        <f>IF(G17="","",IF(ABS(G17-H17)&lt;=$B$6*I17,"OK","NG"))</f>
        <v/>
      </c>
      <c r="L17">
        <f>IF(K17="","",IF(K17=D17,1,0))</f>
        <v/>
      </c>
      <c r="M17" t="inlineStr">
        <is>
          <t>NONE</t>
        </is>
      </c>
      <c r="N17" s="15" t="n">
        <v>1</v>
      </c>
      <c r="O17" s="15" t="n">
        <v>0</v>
      </c>
      <c r="P17">
        <f>IF(M17="","",IF(M17=E17,1,0))</f>
        <v/>
      </c>
      <c r="Q17">
        <f>IF(K17="OK","-",IF(N17&lt;$B$7,"AMBIGUOUS","CONFIDENT"))</f>
        <v/>
      </c>
    </row>
    <row r="18">
      <c r="A18">
        <f>'Runs Z score'!A10</f>
        <v/>
      </c>
      <c r="B18">
        <f>'Runs Z score'!B10</f>
        <v/>
      </c>
      <c r="C18">
        <f>'Runs Z score'!C10</f>
        <v/>
      </c>
      <c r="D18">
        <f>'Runs Z score'!D10</f>
        <v/>
      </c>
      <c r="E18">
        <f>'Runs Z score'!E10</f>
        <v/>
      </c>
      <c r="F18">
        <f>'Runs Z score'!F10</f>
        <v/>
      </c>
      <c r="G18">
        <f>'Runs Z score'!G10</f>
        <v/>
      </c>
      <c r="H18">
        <f>VLOOKUP(C18,Recipes!$A$2:$N$4,10,FALSE())</f>
        <v/>
      </c>
      <c r="I18">
        <f>VLOOKUP(C18,Recipes!$A$2:$N$4,12,FALSE())</f>
        <v/>
      </c>
      <c r="J18">
        <f>IF(G18="","",H18-G18)</f>
        <v/>
      </c>
      <c r="K18">
        <f>IF(G18="","",IF(ABS(G18-H18)&lt;=$B$6*I18,"OK","NG"))</f>
        <v/>
      </c>
      <c r="L18">
        <f>IF(K18="","",IF(K18=D18,1,0))</f>
        <v/>
      </c>
      <c r="M18" t="inlineStr">
        <is>
          <t>NONE</t>
        </is>
      </c>
      <c r="N18" s="15" t="n">
        <v>1</v>
      </c>
      <c r="O18" s="15" t="n">
        <v>0</v>
      </c>
      <c r="P18">
        <f>IF(M18="","",IF(M18=E18,1,0))</f>
        <v/>
      </c>
      <c r="Q18">
        <f>IF(K18="OK","-",IF(N18&lt;$B$7,"AMBIGUOUS","CONFIDENT"))</f>
        <v/>
      </c>
    </row>
    <row r="19">
      <c r="A19">
        <f>'Runs Z score'!A11</f>
        <v/>
      </c>
      <c r="B19">
        <f>'Runs Z score'!B11</f>
        <v/>
      </c>
      <c r="C19">
        <f>'Runs Z score'!C11</f>
        <v/>
      </c>
      <c r="D19">
        <f>'Runs Z score'!D11</f>
        <v/>
      </c>
      <c r="E19">
        <f>'Runs Z score'!E11</f>
        <v/>
      </c>
      <c r="F19">
        <f>'Runs Z score'!F11</f>
        <v/>
      </c>
      <c r="G19">
        <f>'Runs Z score'!G11</f>
        <v/>
      </c>
      <c r="H19">
        <f>VLOOKUP(C19,Recipes!$A$2:$N$4,10,FALSE())</f>
        <v/>
      </c>
      <c r="I19">
        <f>VLOOKUP(C19,Recipes!$A$2:$N$4,12,FALSE())</f>
        <v/>
      </c>
      <c r="J19">
        <f>IF(G19="","",H19-G19)</f>
        <v/>
      </c>
      <c r="K19">
        <f>IF(G19="","",IF(ABS(G19-H19)&lt;=$B$6*I19,"OK","NG"))</f>
        <v/>
      </c>
      <c r="L19">
        <f>IF(K19="","",IF(K19=D19,1,0))</f>
        <v/>
      </c>
      <c r="M19" t="inlineStr">
        <is>
          <t>NONE</t>
        </is>
      </c>
      <c r="N19" s="15" t="n">
        <v>1</v>
      </c>
      <c r="O19" s="15" t="n">
        <v>0</v>
      </c>
      <c r="P19">
        <f>IF(M19="","",IF(M19=E19,1,0))</f>
        <v/>
      </c>
      <c r="Q19">
        <f>IF(K19="OK","-",IF(N19&lt;$B$7,"AMBIGUOUS","CONFIDENT"))</f>
        <v/>
      </c>
    </row>
    <row r="20">
      <c r="A20">
        <f>'Runs Z score'!A12</f>
        <v/>
      </c>
      <c r="B20">
        <f>'Runs Z score'!B12</f>
        <v/>
      </c>
      <c r="C20">
        <f>'Runs Z score'!C12</f>
        <v/>
      </c>
      <c r="D20">
        <f>'Runs Z score'!D12</f>
        <v/>
      </c>
      <c r="E20">
        <f>'Runs Z score'!E12</f>
        <v/>
      </c>
      <c r="F20">
        <f>'Runs Z score'!F12</f>
        <v/>
      </c>
      <c r="G20">
        <f>'Runs Z score'!G12</f>
        <v/>
      </c>
      <c r="H20">
        <f>VLOOKUP(C20,Recipes!$A$2:$N$4,10,FALSE())</f>
        <v/>
      </c>
      <c r="I20">
        <f>VLOOKUP(C20,Recipes!$A$2:$N$4,12,FALSE())</f>
        <v/>
      </c>
      <c r="J20">
        <f>IF(G20="","",H20-G20)</f>
        <v/>
      </c>
      <c r="K20">
        <f>IF(G20="","",IF(ABS(G20-H20)&lt;=$B$6*I20,"OK","NG"))</f>
        <v/>
      </c>
      <c r="L20">
        <f>IF(K20="","",IF(K20=D20,1,0))</f>
        <v/>
      </c>
      <c r="M20" t="inlineStr">
        <is>
          <t>NONE</t>
        </is>
      </c>
      <c r="N20" s="15" t="n">
        <v>1</v>
      </c>
      <c r="O20" s="15" t="n">
        <v>0</v>
      </c>
      <c r="P20">
        <f>IF(M20="","",IF(M20=E20,1,0))</f>
        <v/>
      </c>
      <c r="Q20">
        <f>IF(K20="OK","-",IF(N20&lt;$B$7,"AMBIGUOUS","CONFIDENT"))</f>
        <v/>
      </c>
    </row>
    <row r="21">
      <c r="A21">
        <f>'Runs Z score'!A13</f>
        <v/>
      </c>
      <c r="B21">
        <f>'Runs Z score'!B13</f>
        <v/>
      </c>
      <c r="C21">
        <f>'Runs Z score'!C13</f>
        <v/>
      </c>
      <c r="D21">
        <f>'Runs Z score'!D13</f>
        <v/>
      </c>
      <c r="E21">
        <f>'Runs Z score'!E13</f>
        <v/>
      </c>
      <c r="F21">
        <f>'Runs Z score'!F13</f>
        <v/>
      </c>
      <c r="G21">
        <f>'Runs Z score'!G13</f>
        <v/>
      </c>
      <c r="H21">
        <f>VLOOKUP(C21,Recipes!$A$2:$N$4,10,FALSE())</f>
        <v/>
      </c>
      <c r="I21">
        <f>VLOOKUP(C21,Recipes!$A$2:$N$4,12,FALSE())</f>
        <v/>
      </c>
      <c r="J21">
        <f>IF(G21="","",H21-G21)</f>
        <v/>
      </c>
      <c r="K21">
        <f>IF(G21="","",IF(ABS(G21-H21)&lt;=$B$6*I21,"OK","NG"))</f>
        <v/>
      </c>
      <c r="L21">
        <f>IF(K21="","",IF(K21=D21,1,0))</f>
        <v/>
      </c>
      <c r="M21" t="inlineStr">
        <is>
          <t>NONE</t>
        </is>
      </c>
      <c r="N21" s="15" t="n">
        <v>1</v>
      </c>
      <c r="O21" s="15" t="n">
        <v>0</v>
      </c>
      <c r="P21">
        <f>IF(M21="","",IF(M21=E21,1,0))</f>
        <v/>
      </c>
      <c r="Q21">
        <f>IF(K21="OK","-",IF(N21&lt;$B$7,"AMBIGUOUS","CONFIDENT"))</f>
        <v/>
      </c>
    </row>
    <row r="22">
      <c r="A22">
        <f>'Runs Z score'!A14</f>
        <v/>
      </c>
      <c r="B22">
        <f>'Runs Z score'!B14</f>
        <v/>
      </c>
      <c r="C22">
        <f>'Runs Z score'!C14</f>
        <v/>
      </c>
      <c r="D22">
        <f>'Runs Z score'!D14</f>
        <v/>
      </c>
      <c r="E22">
        <f>'Runs Z score'!E14</f>
        <v/>
      </c>
      <c r="F22">
        <f>'Runs Z score'!F14</f>
        <v/>
      </c>
      <c r="G22">
        <f>'Runs Z score'!G14</f>
        <v/>
      </c>
      <c r="H22">
        <f>VLOOKUP(C22,Recipes!$A$2:$N$4,10,FALSE())</f>
        <v/>
      </c>
      <c r="I22">
        <f>VLOOKUP(C22,Recipes!$A$2:$N$4,12,FALSE())</f>
        <v/>
      </c>
      <c r="J22">
        <f>IF(G22="","",H22-G22)</f>
        <v/>
      </c>
      <c r="K22">
        <f>IF(G22="","",IF(ABS(G22-H22)&lt;=$B$6*I22,"OK","NG"))</f>
        <v/>
      </c>
      <c r="L22">
        <f>IF(K22="","",IF(K22=D22,1,0))</f>
        <v/>
      </c>
      <c r="M22" t="inlineStr">
        <is>
          <t>NONE</t>
        </is>
      </c>
      <c r="N22" s="15" t="n">
        <v>1</v>
      </c>
      <c r="O22" s="15" t="n">
        <v>0</v>
      </c>
      <c r="P22">
        <f>IF(M22="","",IF(M22=E22,1,0))</f>
        <v/>
      </c>
      <c r="Q22">
        <f>IF(K22="OK","-",IF(N22&lt;$B$7,"AMBIGUOUS","CONFIDENT"))</f>
        <v/>
      </c>
    </row>
    <row r="23">
      <c r="A23">
        <f>'Runs Z score'!A15</f>
        <v/>
      </c>
      <c r="B23">
        <f>'Runs Z score'!B15</f>
        <v/>
      </c>
      <c r="C23">
        <f>'Runs Z score'!C15</f>
        <v/>
      </c>
      <c r="D23">
        <f>'Runs Z score'!D15</f>
        <v/>
      </c>
      <c r="E23">
        <f>'Runs Z score'!E15</f>
        <v/>
      </c>
      <c r="F23">
        <f>'Runs Z score'!F15</f>
        <v/>
      </c>
      <c r="G23">
        <f>'Runs Z score'!G15</f>
        <v/>
      </c>
      <c r="H23">
        <f>VLOOKUP(C23,Recipes!$A$2:$N$4,10,FALSE())</f>
        <v/>
      </c>
      <c r="I23">
        <f>VLOOKUP(C23,Recipes!$A$2:$N$4,12,FALSE())</f>
        <v/>
      </c>
      <c r="J23">
        <f>IF(G23="","",H23-G23)</f>
        <v/>
      </c>
      <c r="K23">
        <f>IF(G23="","",IF(ABS(G23-H23)&lt;=$B$6*I23,"OK","NG"))</f>
        <v/>
      </c>
      <c r="L23">
        <f>IF(K23="","",IF(K23=D23,1,0))</f>
        <v/>
      </c>
      <c r="M23" t="inlineStr">
        <is>
          <t>NONE</t>
        </is>
      </c>
      <c r="N23" s="15" t="n">
        <v>1</v>
      </c>
      <c r="O23" s="15" t="n">
        <v>0</v>
      </c>
      <c r="P23">
        <f>IF(M23="","",IF(M23=E23,1,0))</f>
        <v/>
      </c>
      <c r="Q23">
        <f>IF(K23="OK","-",IF(N23&lt;$B$7,"AMBIGUOUS","CONFIDENT"))</f>
        <v/>
      </c>
    </row>
    <row r="24">
      <c r="A24">
        <f>'Runs Z score'!A16</f>
        <v/>
      </c>
      <c r="B24">
        <f>'Runs Z score'!B16</f>
        <v/>
      </c>
      <c r="C24">
        <f>'Runs Z score'!C16</f>
        <v/>
      </c>
      <c r="D24">
        <f>'Runs Z score'!D16</f>
        <v/>
      </c>
      <c r="E24">
        <f>'Runs Z score'!E16</f>
        <v/>
      </c>
      <c r="F24">
        <f>'Runs Z score'!F16</f>
        <v/>
      </c>
      <c r="G24">
        <f>'Runs Z score'!G16</f>
        <v/>
      </c>
      <c r="H24">
        <f>VLOOKUP(C24,Recipes!$A$2:$N$4,10,FALSE())</f>
        <v/>
      </c>
      <c r="I24">
        <f>VLOOKUP(C24,Recipes!$A$2:$N$4,12,FALSE())</f>
        <v/>
      </c>
      <c r="J24">
        <f>IF(G24="","",H24-G24)</f>
        <v/>
      </c>
      <c r="K24">
        <f>IF(G24="","",IF(ABS(G24-H24)&lt;=$B$6*I24,"OK","NG"))</f>
        <v/>
      </c>
      <c r="L24">
        <f>IF(K24="","",IF(K24=D24,1,0))</f>
        <v/>
      </c>
      <c r="M24" t="inlineStr">
        <is>
          <t>NONE</t>
        </is>
      </c>
      <c r="N24" s="15" t="n">
        <v>1</v>
      </c>
      <c r="O24" s="15" t="n">
        <v>0</v>
      </c>
      <c r="P24">
        <f>IF(M24="","",IF(M24=E24,1,0))</f>
        <v/>
      </c>
      <c r="Q24">
        <f>IF(K24="OK","-",IF(N24&lt;$B$7,"AMBIGUOUS","CONFIDENT"))</f>
        <v/>
      </c>
    </row>
    <row r="25">
      <c r="A25">
        <f>'Runs Z score'!A17</f>
        <v/>
      </c>
      <c r="B25">
        <f>'Runs Z score'!B17</f>
        <v/>
      </c>
      <c r="C25">
        <f>'Runs Z score'!C17</f>
        <v/>
      </c>
      <c r="D25">
        <f>'Runs Z score'!D17</f>
        <v/>
      </c>
      <c r="E25">
        <f>'Runs Z score'!E17</f>
        <v/>
      </c>
      <c r="F25">
        <f>'Runs Z score'!F17</f>
        <v/>
      </c>
      <c r="G25">
        <f>'Runs Z score'!G17</f>
        <v/>
      </c>
      <c r="H25">
        <f>VLOOKUP(C25,Recipes!$A$2:$N$4,10,FALSE())</f>
        <v/>
      </c>
      <c r="I25">
        <f>VLOOKUP(C25,Recipes!$A$2:$N$4,12,FALSE())</f>
        <v/>
      </c>
      <c r="J25">
        <f>IF(G25="","",H25-G25)</f>
        <v/>
      </c>
      <c r="K25">
        <f>IF(G25="","",IF(ABS(G25-H25)&lt;=$B$6*I25,"OK","NG"))</f>
        <v/>
      </c>
      <c r="L25">
        <f>IF(K25="","",IF(K25=D25,1,0))</f>
        <v/>
      </c>
      <c r="M25" t="inlineStr">
        <is>
          <t>NONE</t>
        </is>
      </c>
      <c r="N25" s="15" t="n">
        <v>1</v>
      </c>
      <c r="O25" s="15" t="n">
        <v>0</v>
      </c>
      <c r="P25">
        <f>IF(M25="","",IF(M25=E25,1,0))</f>
        <v/>
      </c>
      <c r="Q25">
        <f>IF(K25="OK","-",IF(N25&lt;$B$7,"AMBIGUOUS","CONFIDENT"))</f>
        <v/>
      </c>
    </row>
    <row r="26">
      <c r="A26">
        <f>'Runs Z score'!A18</f>
        <v/>
      </c>
      <c r="B26">
        <f>'Runs Z score'!B18</f>
        <v/>
      </c>
      <c r="C26">
        <f>'Runs Z score'!C18</f>
        <v/>
      </c>
      <c r="D26">
        <f>'Runs Z score'!D18</f>
        <v/>
      </c>
      <c r="E26">
        <f>'Runs Z score'!E18</f>
        <v/>
      </c>
      <c r="F26">
        <f>'Runs Z score'!F18</f>
        <v/>
      </c>
      <c r="G26">
        <f>'Runs Z score'!G18</f>
        <v/>
      </c>
      <c r="H26">
        <f>VLOOKUP(C26,Recipes!$A$2:$N$4,10,FALSE())</f>
        <v/>
      </c>
      <c r="I26">
        <f>VLOOKUP(C26,Recipes!$A$2:$N$4,12,FALSE())</f>
        <v/>
      </c>
      <c r="J26">
        <f>IF(G26="","",H26-G26)</f>
        <v/>
      </c>
      <c r="K26">
        <f>IF(G26="","",IF(ABS(G26-H26)&lt;=$B$6*I26,"OK","NG"))</f>
        <v/>
      </c>
      <c r="L26">
        <f>IF(K26="","",IF(K26=D26,1,0))</f>
        <v/>
      </c>
      <c r="M26" t="inlineStr">
        <is>
          <t>NONE</t>
        </is>
      </c>
      <c r="N26" s="15" t="n">
        <v>1</v>
      </c>
      <c r="O26" s="15" t="n">
        <v>0</v>
      </c>
      <c r="P26">
        <f>IF(M26="","",IF(M26=E26,1,0))</f>
        <v/>
      </c>
      <c r="Q26">
        <f>IF(K26="OK","-",IF(N26&lt;$B$7,"AMBIGUOUS","CONFIDENT"))</f>
        <v/>
      </c>
    </row>
    <row r="27">
      <c r="A27">
        <f>'Runs Z score'!A19</f>
        <v/>
      </c>
      <c r="B27">
        <f>'Runs Z score'!B19</f>
        <v/>
      </c>
      <c r="C27">
        <f>'Runs Z score'!C19</f>
        <v/>
      </c>
      <c r="D27">
        <f>'Runs Z score'!D19</f>
        <v/>
      </c>
      <c r="E27">
        <f>'Runs Z score'!E19</f>
        <v/>
      </c>
      <c r="F27">
        <f>'Runs Z score'!F19</f>
        <v/>
      </c>
      <c r="G27">
        <f>'Runs Z score'!G19</f>
        <v/>
      </c>
      <c r="H27">
        <f>VLOOKUP(C27,Recipes!$A$2:$N$4,10,FALSE())</f>
        <v/>
      </c>
      <c r="I27">
        <f>VLOOKUP(C27,Recipes!$A$2:$N$4,12,FALSE())</f>
        <v/>
      </c>
      <c r="J27">
        <f>IF(G27="","",H27-G27)</f>
        <v/>
      </c>
      <c r="K27">
        <f>IF(G27="","",IF(ABS(G27-H27)&lt;=$B$6*I27,"OK","NG"))</f>
        <v/>
      </c>
      <c r="L27">
        <f>IF(K27="","",IF(K27=D27,1,0))</f>
        <v/>
      </c>
      <c r="M27" t="inlineStr">
        <is>
          <t>NONE</t>
        </is>
      </c>
      <c r="N27" s="15" t="n">
        <v>1</v>
      </c>
      <c r="O27" s="15" t="n">
        <v>0</v>
      </c>
      <c r="P27">
        <f>IF(M27="","",IF(M27=E27,1,0))</f>
        <v/>
      </c>
      <c r="Q27">
        <f>IF(K27="OK","-",IF(N27&lt;$B$7,"AMBIGUOUS","CONFIDENT"))</f>
        <v/>
      </c>
    </row>
    <row r="28">
      <c r="A28">
        <f>'Runs Z score'!A20</f>
        <v/>
      </c>
      <c r="B28">
        <f>'Runs Z score'!B20</f>
        <v/>
      </c>
      <c r="C28">
        <f>'Runs Z score'!C20</f>
        <v/>
      </c>
      <c r="D28">
        <f>'Runs Z score'!D20</f>
        <v/>
      </c>
      <c r="E28">
        <f>'Runs Z score'!E20</f>
        <v/>
      </c>
      <c r="F28">
        <f>'Runs Z score'!F20</f>
        <v/>
      </c>
      <c r="G28">
        <f>'Runs Z score'!G20</f>
        <v/>
      </c>
      <c r="H28">
        <f>VLOOKUP(C28,Recipes!$A$2:$N$4,10,FALSE())</f>
        <v/>
      </c>
      <c r="I28">
        <f>VLOOKUP(C28,Recipes!$A$2:$N$4,12,FALSE())</f>
        <v/>
      </c>
      <c r="J28">
        <f>IF(G28="","",H28-G28)</f>
        <v/>
      </c>
      <c r="K28">
        <f>IF(G28="","",IF(ABS(G28-H28)&lt;=$B$6*I28,"OK","NG"))</f>
        <v/>
      </c>
      <c r="L28">
        <f>IF(K28="","",IF(K28=D28,1,0))</f>
        <v/>
      </c>
      <c r="M28" t="inlineStr">
        <is>
          <t>NONE</t>
        </is>
      </c>
      <c r="N28" s="15" t="n">
        <v>1</v>
      </c>
      <c r="O28" s="15" t="n">
        <v>0</v>
      </c>
      <c r="P28">
        <f>IF(M28="","",IF(M28=E28,1,0))</f>
        <v/>
      </c>
      <c r="Q28">
        <f>IF(K28="OK","-",IF(N28&lt;$B$7,"AMBIGUOUS","CONFIDENT"))</f>
        <v/>
      </c>
    </row>
    <row r="29">
      <c r="A29">
        <f>'Runs Z score'!A21</f>
        <v/>
      </c>
      <c r="B29">
        <f>'Runs Z score'!B21</f>
        <v/>
      </c>
      <c r="C29">
        <f>'Runs Z score'!C21</f>
        <v/>
      </c>
      <c r="D29">
        <f>'Runs Z score'!D21</f>
        <v/>
      </c>
      <c r="E29">
        <f>'Runs Z score'!E21</f>
        <v/>
      </c>
      <c r="F29">
        <f>'Runs Z score'!F21</f>
        <v/>
      </c>
      <c r="G29">
        <f>'Runs Z score'!G21</f>
        <v/>
      </c>
      <c r="H29">
        <f>VLOOKUP(C29,Recipes!$A$2:$N$4,10,FALSE())</f>
        <v/>
      </c>
      <c r="I29">
        <f>VLOOKUP(C29,Recipes!$A$2:$N$4,12,FALSE())</f>
        <v/>
      </c>
      <c r="J29">
        <f>IF(G29="","",H29-G29)</f>
        <v/>
      </c>
      <c r="K29">
        <f>IF(G29="","",IF(ABS(G29-H29)&lt;=$B$6*I29,"OK","NG"))</f>
        <v/>
      </c>
      <c r="L29">
        <f>IF(K29="","",IF(K29=D29,1,0))</f>
        <v/>
      </c>
      <c r="M29" t="inlineStr">
        <is>
          <t>NONE</t>
        </is>
      </c>
      <c r="N29" s="15" t="n">
        <v>1</v>
      </c>
      <c r="O29" s="15" t="n">
        <v>0</v>
      </c>
      <c r="P29">
        <f>IF(M29="","",IF(M29=E29,1,0))</f>
        <v/>
      </c>
      <c r="Q29">
        <f>IF(K29="OK","-",IF(N29&lt;$B$7,"AMBIGUOUS","CONFIDENT"))</f>
        <v/>
      </c>
    </row>
    <row r="30">
      <c r="A30">
        <f>'Runs Z score'!A22</f>
        <v/>
      </c>
      <c r="B30">
        <f>'Runs Z score'!B22</f>
        <v/>
      </c>
      <c r="C30">
        <f>'Runs Z score'!C22</f>
        <v/>
      </c>
      <c r="D30">
        <f>'Runs Z score'!D22</f>
        <v/>
      </c>
      <c r="E30">
        <f>'Runs Z score'!E22</f>
        <v/>
      </c>
      <c r="F30">
        <f>'Runs Z score'!F22</f>
        <v/>
      </c>
      <c r="G30">
        <f>'Runs Z score'!G22</f>
        <v/>
      </c>
      <c r="H30">
        <f>VLOOKUP(C30,Recipes!$A$2:$N$4,10,FALSE())</f>
        <v/>
      </c>
      <c r="I30">
        <f>VLOOKUP(C30,Recipes!$A$2:$N$4,12,FALSE())</f>
        <v/>
      </c>
      <c r="J30">
        <f>IF(G30="","",H30-G30)</f>
        <v/>
      </c>
      <c r="K30">
        <f>IF(G30="","",IF(ABS(G30-H30)&lt;=$B$6*I30,"OK","NG"))</f>
        <v/>
      </c>
      <c r="L30">
        <f>IF(K30="","",IF(K30=D30,1,0))</f>
        <v/>
      </c>
      <c r="M30" t="inlineStr">
        <is>
          <t>NONE</t>
        </is>
      </c>
      <c r="N30" s="15" t="n">
        <v>1</v>
      </c>
      <c r="O30" s="15" t="n">
        <v>0</v>
      </c>
      <c r="P30">
        <f>IF(M30="","",IF(M30=E30,1,0))</f>
        <v/>
      </c>
      <c r="Q30">
        <f>IF(K30="OK","-",IF(N30&lt;$B$7,"AMBIGUOUS","CONFIDENT"))</f>
        <v/>
      </c>
    </row>
    <row r="31">
      <c r="A31">
        <f>'Runs Z score'!A23</f>
        <v/>
      </c>
      <c r="B31">
        <f>'Runs Z score'!B23</f>
        <v/>
      </c>
      <c r="C31">
        <f>'Runs Z score'!C23</f>
        <v/>
      </c>
      <c r="D31">
        <f>'Runs Z score'!D23</f>
        <v/>
      </c>
      <c r="E31">
        <f>'Runs Z score'!E23</f>
        <v/>
      </c>
      <c r="F31">
        <f>'Runs Z score'!F23</f>
        <v/>
      </c>
      <c r="G31">
        <f>'Runs Z score'!G23</f>
        <v/>
      </c>
      <c r="H31">
        <f>VLOOKUP(C31,Recipes!$A$2:$N$4,10,FALSE())</f>
        <v/>
      </c>
      <c r="I31">
        <f>VLOOKUP(C31,Recipes!$A$2:$N$4,12,FALSE())</f>
        <v/>
      </c>
      <c r="J31">
        <f>IF(G31="","",H31-G31)</f>
        <v/>
      </c>
      <c r="K31">
        <f>IF(G31="","",IF(ABS(G31-H31)&lt;=$B$6*I31,"OK","NG"))</f>
        <v/>
      </c>
      <c r="L31">
        <f>IF(K31="","",IF(K31=D31,1,0))</f>
        <v/>
      </c>
      <c r="M31" t="inlineStr">
        <is>
          <t>NONE</t>
        </is>
      </c>
      <c r="N31" s="15" t="n">
        <v>1</v>
      </c>
      <c r="O31" s="15" t="n">
        <v>0</v>
      </c>
      <c r="P31">
        <f>IF(M31="","",IF(M31=E31,1,0))</f>
        <v/>
      </c>
      <c r="Q31">
        <f>IF(K31="OK","-",IF(N31&lt;$B$7,"AMBIGUOUS","CONFIDENT"))</f>
        <v/>
      </c>
    </row>
    <row r="32">
      <c r="A32">
        <f>'Runs Z score'!A24</f>
        <v/>
      </c>
      <c r="B32">
        <f>'Runs Z score'!B24</f>
        <v/>
      </c>
      <c r="C32">
        <f>'Runs Z score'!C24</f>
        <v/>
      </c>
      <c r="D32">
        <f>'Runs Z score'!D24</f>
        <v/>
      </c>
      <c r="E32">
        <f>'Runs Z score'!E24</f>
        <v/>
      </c>
      <c r="F32">
        <f>'Runs Z score'!F24</f>
        <v/>
      </c>
      <c r="G32">
        <f>'Runs Z score'!G24</f>
        <v/>
      </c>
      <c r="H32">
        <f>VLOOKUP(C32,Recipes!$A$2:$N$4,10,FALSE())</f>
        <v/>
      </c>
      <c r="I32">
        <f>VLOOKUP(C32,Recipes!$A$2:$N$4,12,FALSE())</f>
        <v/>
      </c>
      <c r="J32">
        <f>IF(G32="","",H32-G32)</f>
        <v/>
      </c>
      <c r="K32">
        <f>IF(G32="","",IF(ABS(G32-H32)&lt;=$B$6*I32,"OK","NG"))</f>
        <v/>
      </c>
      <c r="L32">
        <f>IF(K32="","",IF(K32=D32,1,0))</f>
        <v/>
      </c>
      <c r="M32" t="inlineStr">
        <is>
          <t>NONE</t>
        </is>
      </c>
      <c r="N32" s="15" t="n">
        <v>1</v>
      </c>
      <c r="O32" s="15" t="n">
        <v>0</v>
      </c>
      <c r="P32">
        <f>IF(M32="","",IF(M32=E32,1,0))</f>
        <v/>
      </c>
      <c r="Q32">
        <f>IF(K32="OK","-",IF(N32&lt;$B$7,"AMBIGUOUS","CONFIDENT"))</f>
        <v/>
      </c>
    </row>
    <row r="33">
      <c r="A33">
        <f>'Runs Z score'!A25</f>
        <v/>
      </c>
      <c r="B33">
        <f>'Runs Z score'!B25</f>
        <v/>
      </c>
      <c r="C33">
        <f>'Runs Z score'!C25</f>
        <v/>
      </c>
      <c r="D33">
        <f>'Runs Z score'!D25</f>
        <v/>
      </c>
      <c r="E33">
        <f>'Runs Z score'!E25</f>
        <v/>
      </c>
      <c r="F33">
        <f>'Runs Z score'!F25</f>
        <v/>
      </c>
      <c r="G33">
        <f>'Runs Z score'!G25</f>
        <v/>
      </c>
      <c r="H33">
        <f>VLOOKUP(C33,Recipes!$A$2:$N$4,10,FALSE())</f>
        <v/>
      </c>
      <c r="I33">
        <f>VLOOKUP(C33,Recipes!$A$2:$N$4,12,FALSE())</f>
        <v/>
      </c>
      <c r="J33">
        <f>IF(G33="","",H33-G33)</f>
        <v/>
      </c>
      <c r="K33">
        <f>IF(G33="","",IF(ABS(G33-H33)&lt;=$B$6*I33,"OK","NG"))</f>
        <v/>
      </c>
      <c r="L33">
        <f>IF(K33="","",IF(K33=D33,1,0))</f>
        <v/>
      </c>
      <c r="M33" t="inlineStr">
        <is>
          <t>NONE</t>
        </is>
      </c>
      <c r="N33" s="15" t="n">
        <v>1</v>
      </c>
      <c r="O33" s="15" t="n">
        <v>0</v>
      </c>
      <c r="P33">
        <f>IF(M33="","",IF(M33=E33,1,0))</f>
        <v/>
      </c>
      <c r="Q33">
        <f>IF(K33="OK","-",IF(N33&lt;$B$7,"AMBIGUOUS","CONFIDENT"))</f>
        <v/>
      </c>
    </row>
    <row r="34">
      <c r="A34">
        <f>'Runs Z score'!A26</f>
        <v/>
      </c>
      <c r="B34">
        <f>'Runs Z score'!B26</f>
        <v/>
      </c>
      <c r="C34">
        <f>'Runs Z score'!C26</f>
        <v/>
      </c>
      <c r="D34">
        <f>'Runs Z score'!D26</f>
        <v/>
      </c>
      <c r="E34">
        <f>'Runs Z score'!E26</f>
        <v/>
      </c>
      <c r="F34">
        <f>'Runs Z score'!F26</f>
        <v/>
      </c>
      <c r="G34">
        <f>'Runs Z score'!G26</f>
        <v/>
      </c>
      <c r="H34">
        <f>VLOOKUP(C34,Recipes!$A$2:$N$4,10,FALSE())</f>
        <v/>
      </c>
      <c r="I34">
        <f>VLOOKUP(C34,Recipes!$A$2:$N$4,12,FALSE())</f>
        <v/>
      </c>
      <c r="J34">
        <f>IF(G34="","",H34-G34)</f>
        <v/>
      </c>
      <c r="K34">
        <f>IF(G34="","",IF(ABS(G34-H34)&lt;=$B$6*I34,"OK","NG"))</f>
        <v/>
      </c>
      <c r="L34">
        <f>IF(K34="","",IF(K34=D34,1,0))</f>
        <v/>
      </c>
      <c r="M34" t="inlineStr">
        <is>
          <t>NONE</t>
        </is>
      </c>
      <c r="N34" s="15" t="n">
        <v>1</v>
      </c>
      <c r="O34" s="15" t="n">
        <v>0</v>
      </c>
      <c r="P34">
        <f>IF(M34="","",IF(M34=E34,1,0))</f>
        <v/>
      </c>
      <c r="Q34">
        <f>IF(K34="OK","-",IF(N34&lt;$B$7,"AMBIGUOUS","CONFIDENT"))</f>
        <v/>
      </c>
    </row>
    <row r="35">
      <c r="A35">
        <f>'Runs Z score'!A27</f>
        <v/>
      </c>
      <c r="B35">
        <f>'Runs Z score'!B27</f>
        <v/>
      </c>
      <c r="C35">
        <f>'Runs Z score'!C27</f>
        <v/>
      </c>
      <c r="D35">
        <f>'Runs Z score'!D27</f>
        <v/>
      </c>
      <c r="E35">
        <f>'Runs Z score'!E27</f>
        <v/>
      </c>
      <c r="F35">
        <f>'Runs Z score'!F27</f>
        <v/>
      </c>
      <c r="G35">
        <f>'Runs Z score'!G27</f>
        <v/>
      </c>
      <c r="H35">
        <f>VLOOKUP(C35,Recipes!$A$2:$N$4,10,FALSE())</f>
        <v/>
      </c>
      <c r="I35">
        <f>VLOOKUP(C35,Recipes!$A$2:$N$4,12,FALSE())</f>
        <v/>
      </c>
      <c r="J35">
        <f>IF(G35="","",H35-G35)</f>
        <v/>
      </c>
      <c r="K35">
        <f>IF(G35="","",IF(ABS(G35-H35)&lt;=$B$6*I35,"OK","NG"))</f>
        <v/>
      </c>
      <c r="L35">
        <f>IF(K35="","",IF(K35=D35,1,0))</f>
        <v/>
      </c>
      <c r="M35" t="inlineStr">
        <is>
          <t>NONE</t>
        </is>
      </c>
      <c r="N35" s="15" t="n">
        <v>1</v>
      </c>
      <c r="O35" s="15" t="n">
        <v>0</v>
      </c>
      <c r="P35">
        <f>IF(M35="","",IF(M35=E35,1,0))</f>
        <v/>
      </c>
      <c r="Q35">
        <f>IF(K35="OK","-",IF(N35&lt;$B$7,"AMBIGUOUS","CONFIDENT"))</f>
        <v/>
      </c>
    </row>
    <row r="36">
      <c r="A36">
        <f>'Runs Z score'!A28</f>
        <v/>
      </c>
      <c r="B36">
        <f>'Runs Z score'!B28</f>
        <v/>
      </c>
      <c r="C36">
        <f>'Runs Z score'!C28</f>
        <v/>
      </c>
      <c r="D36">
        <f>'Runs Z score'!D28</f>
        <v/>
      </c>
      <c r="E36">
        <f>'Runs Z score'!E28</f>
        <v/>
      </c>
      <c r="F36">
        <f>'Runs Z score'!F28</f>
        <v/>
      </c>
      <c r="G36">
        <f>'Runs Z score'!G28</f>
        <v/>
      </c>
      <c r="H36">
        <f>VLOOKUP(C36,Recipes!$A$2:$N$4,10,FALSE())</f>
        <v/>
      </c>
      <c r="I36">
        <f>VLOOKUP(C36,Recipes!$A$2:$N$4,12,FALSE())</f>
        <v/>
      </c>
      <c r="J36">
        <f>IF(G36="","",H36-G36)</f>
        <v/>
      </c>
      <c r="K36">
        <f>IF(G36="","",IF(ABS(G36-H36)&lt;=$B$6*I36,"OK","NG"))</f>
        <v/>
      </c>
      <c r="L36">
        <f>IF(K36="","",IF(K36=D36,1,0))</f>
        <v/>
      </c>
      <c r="M36" t="inlineStr">
        <is>
          <t>NONE</t>
        </is>
      </c>
      <c r="N36" s="15" t="n">
        <v>1</v>
      </c>
      <c r="O36" s="15" t="n">
        <v>0</v>
      </c>
      <c r="P36">
        <f>IF(M36="","",IF(M36=E36,1,0))</f>
        <v/>
      </c>
      <c r="Q36">
        <f>IF(K36="OK","-",IF(N36&lt;$B$7,"AMBIGUOUS","CONFIDENT"))</f>
        <v/>
      </c>
    </row>
    <row r="37">
      <c r="A37">
        <f>'Runs Z score'!A29</f>
        <v/>
      </c>
      <c r="B37">
        <f>'Runs Z score'!B29</f>
        <v/>
      </c>
      <c r="C37">
        <f>'Runs Z score'!C29</f>
        <v/>
      </c>
      <c r="D37">
        <f>'Runs Z score'!D29</f>
        <v/>
      </c>
      <c r="E37">
        <f>'Runs Z score'!E29</f>
        <v/>
      </c>
      <c r="F37">
        <f>'Runs Z score'!F29</f>
        <v/>
      </c>
      <c r="G37">
        <f>'Runs Z score'!G29</f>
        <v/>
      </c>
      <c r="H37">
        <f>VLOOKUP(C37,Recipes!$A$2:$N$4,10,FALSE())</f>
        <v/>
      </c>
      <c r="I37">
        <f>VLOOKUP(C37,Recipes!$A$2:$N$4,12,FALSE())</f>
        <v/>
      </c>
      <c r="J37">
        <f>IF(G37="","",H37-G37)</f>
        <v/>
      </c>
      <c r="K37">
        <f>IF(G37="","",IF(ABS(G37-H37)&lt;=$B$6*I37,"OK","NG"))</f>
        <v/>
      </c>
      <c r="L37">
        <f>IF(K37="","",IF(K37=D37,1,0))</f>
        <v/>
      </c>
      <c r="M37" t="inlineStr">
        <is>
          <t>NONE</t>
        </is>
      </c>
      <c r="N37" s="15" t="n">
        <v>1</v>
      </c>
      <c r="O37" s="15" t="n">
        <v>0</v>
      </c>
      <c r="P37">
        <f>IF(M37="","",IF(M37=E37,1,0))</f>
        <v/>
      </c>
      <c r="Q37">
        <f>IF(K37="OK","-",IF(N37&lt;$B$7,"AMBIGUOUS","CONFIDENT"))</f>
        <v/>
      </c>
    </row>
    <row r="38">
      <c r="A38">
        <f>'Runs Z score'!A30</f>
        <v/>
      </c>
      <c r="B38">
        <f>'Runs Z score'!B30</f>
        <v/>
      </c>
      <c r="C38">
        <f>'Runs Z score'!C30</f>
        <v/>
      </c>
      <c r="D38">
        <f>'Runs Z score'!D30</f>
        <v/>
      </c>
      <c r="E38">
        <f>'Runs Z score'!E30</f>
        <v/>
      </c>
      <c r="F38">
        <f>'Runs Z score'!F30</f>
        <v/>
      </c>
      <c r="G38">
        <f>'Runs Z score'!G30</f>
        <v/>
      </c>
      <c r="H38">
        <f>VLOOKUP(C38,Recipes!$A$2:$N$4,10,FALSE())</f>
        <v/>
      </c>
      <c r="I38">
        <f>VLOOKUP(C38,Recipes!$A$2:$N$4,12,FALSE())</f>
        <v/>
      </c>
      <c r="J38">
        <f>IF(G38="","",H38-G38)</f>
        <v/>
      </c>
      <c r="K38">
        <f>IF(G38="","",IF(ABS(G38-H38)&lt;=$B$6*I38,"OK","NG"))</f>
        <v/>
      </c>
      <c r="L38">
        <f>IF(K38="","",IF(K38=D38,1,0))</f>
        <v/>
      </c>
      <c r="M38" t="inlineStr">
        <is>
          <t>NONE</t>
        </is>
      </c>
      <c r="N38" s="15" t="n">
        <v>1</v>
      </c>
      <c r="O38" s="15" t="n">
        <v>0</v>
      </c>
      <c r="P38">
        <f>IF(M38="","",IF(M38=E38,1,0))</f>
        <v/>
      </c>
      <c r="Q38">
        <f>IF(K38="OK","-",IF(N38&lt;$B$7,"AMBIGUOUS","CONFIDENT"))</f>
        <v/>
      </c>
    </row>
    <row r="39">
      <c r="A39">
        <f>'Runs Z score'!A31</f>
        <v/>
      </c>
      <c r="B39">
        <f>'Runs Z score'!B31</f>
        <v/>
      </c>
      <c r="C39">
        <f>'Runs Z score'!C31</f>
        <v/>
      </c>
      <c r="D39">
        <f>'Runs Z score'!D31</f>
        <v/>
      </c>
      <c r="E39">
        <f>'Runs Z score'!E31</f>
        <v/>
      </c>
      <c r="F39">
        <f>'Runs Z score'!F31</f>
        <v/>
      </c>
      <c r="G39">
        <f>'Runs Z score'!G31</f>
        <v/>
      </c>
      <c r="H39">
        <f>VLOOKUP(C39,Recipes!$A$2:$N$4,10,FALSE())</f>
        <v/>
      </c>
      <c r="I39">
        <f>VLOOKUP(C39,Recipes!$A$2:$N$4,12,FALSE())</f>
        <v/>
      </c>
      <c r="J39">
        <f>IF(G39="","",H39-G39)</f>
        <v/>
      </c>
      <c r="K39">
        <f>IF(G39="","",IF(ABS(G39-H39)&lt;=$B$6*I39,"OK","NG"))</f>
        <v/>
      </c>
      <c r="L39">
        <f>IF(K39="","",IF(K39=D39,1,0))</f>
        <v/>
      </c>
      <c r="M39" t="inlineStr">
        <is>
          <t>NONE</t>
        </is>
      </c>
      <c r="N39" s="15" t="n">
        <v>1</v>
      </c>
      <c r="O39" s="15" t="n">
        <v>0</v>
      </c>
      <c r="P39">
        <f>IF(M39="","",IF(M39=E39,1,0))</f>
        <v/>
      </c>
      <c r="Q39">
        <f>IF(K39="OK","-",IF(N39&lt;$B$7,"AMBIGUOUS","CONFIDENT"))</f>
        <v/>
      </c>
    </row>
    <row r="40">
      <c r="A40">
        <f>'Runs Z score'!A32</f>
        <v/>
      </c>
      <c r="B40">
        <f>'Runs Z score'!B32</f>
        <v/>
      </c>
      <c r="C40">
        <f>'Runs Z score'!C32</f>
        <v/>
      </c>
      <c r="D40">
        <f>'Runs Z score'!D32</f>
        <v/>
      </c>
      <c r="E40">
        <f>'Runs Z score'!E32</f>
        <v/>
      </c>
      <c r="F40">
        <f>'Runs Z score'!F32</f>
        <v/>
      </c>
      <c r="G40">
        <f>'Runs Z score'!G32</f>
        <v/>
      </c>
      <c r="H40">
        <f>VLOOKUP(C40,Recipes!$A$2:$N$4,10,FALSE())</f>
        <v/>
      </c>
      <c r="I40">
        <f>VLOOKUP(C40,Recipes!$A$2:$N$4,12,FALSE())</f>
        <v/>
      </c>
      <c r="J40">
        <f>IF(G40="","",H40-G40)</f>
        <v/>
      </c>
      <c r="K40">
        <f>IF(G40="","",IF(ABS(G40-H40)&lt;=$B$6*I40,"OK","NG"))</f>
        <v/>
      </c>
      <c r="L40">
        <f>IF(K40="","",IF(K40=D40,1,0))</f>
        <v/>
      </c>
      <c r="M40" t="inlineStr">
        <is>
          <t>NONE</t>
        </is>
      </c>
      <c r="N40" s="15" t="n">
        <v>1</v>
      </c>
      <c r="O40" s="15" t="n">
        <v>0</v>
      </c>
      <c r="P40">
        <f>IF(M40="","",IF(M40=E40,1,0))</f>
        <v/>
      </c>
      <c r="Q40">
        <f>IF(K40="OK","-",IF(N40&lt;$B$7,"AMBIGUOUS","CONFIDENT"))</f>
        <v/>
      </c>
    </row>
    <row r="41">
      <c r="A41">
        <f>'Runs Z score'!A33</f>
        <v/>
      </c>
      <c r="B41">
        <f>'Runs Z score'!B33</f>
        <v/>
      </c>
      <c r="C41">
        <f>'Runs Z score'!C33</f>
        <v/>
      </c>
      <c r="D41">
        <f>'Runs Z score'!D33</f>
        <v/>
      </c>
      <c r="E41">
        <f>'Runs Z score'!E33</f>
        <v/>
      </c>
      <c r="F41">
        <f>'Runs Z score'!F33</f>
        <v/>
      </c>
      <c r="G41">
        <f>'Runs Z score'!G33</f>
        <v/>
      </c>
      <c r="H41">
        <f>VLOOKUP(C41,Recipes!$A$2:$N$4,10,FALSE())</f>
        <v/>
      </c>
      <c r="I41">
        <f>VLOOKUP(C41,Recipes!$A$2:$N$4,12,FALSE())</f>
        <v/>
      </c>
      <c r="J41">
        <f>IF(G41="","",H41-G41)</f>
        <v/>
      </c>
      <c r="K41">
        <f>IF(G41="","",IF(ABS(G41-H41)&lt;=$B$6*I41,"OK","NG"))</f>
        <v/>
      </c>
      <c r="L41">
        <f>IF(K41="","",IF(K41=D41,1,0))</f>
        <v/>
      </c>
      <c r="M41" t="inlineStr">
        <is>
          <t>S2</t>
        </is>
      </c>
      <c r="N41" s="15" t="n">
        <v>1</v>
      </c>
      <c r="O41" s="15" t="n">
        <v>0</v>
      </c>
      <c r="P41">
        <f>IF(M41="","",IF(M41=E41,1,0))</f>
        <v/>
      </c>
      <c r="Q41">
        <f>IF(K41="OK","-",IF(N41&lt;$B$7,"AMBIGUOUS","CONFIDENT"))</f>
        <v/>
      </c>
    </row>
    <row r="42">
      <c r="A42">
        <f>'Runs Z score'!A34</f>
        <v/>
      </c>
      <c r="B42">
        <f>'Runs Z score'!B34</f>
        <v/>
      </c>
      <c r="C42">
        <f>'Runs Z score'!C34</f>
        <v/>
      </c>
      <c r="D42">
        <f>'Runs Z score'!D34</f>
        <v/>
      </c>
      <c r="E42">
        <f>'Runs Z score'!E34</f>
        <v/>
      </c>
      <c r="F42">
        <f>'Runs Z score'!F34</f>
        <v/>
      </c>
      <c r="G42">
        <f>'Runs Z score'!G34</f>
        <v/>
      </c>
      <c r="H42">
        <f>VLOOKUP(C42,Recipes!$A$2:$N$4,10,FALSE())</f>
        <v/>
      </c>
      <c r="I42">
        <f>VLOOKUP(C42,Recipes!$A$2:$N$4,12,FALSE())</f>
        <v/>
      </c>
      <c r="J42">
        <f>IF(G42="","",H42-G42)</f>
        <v/>
      </c>
      <c r="K42">
        <f>IF(G42="","",IF(ABS(G42-H42)&lt;=$B$6*I42,"OK","NG"))</f>
        <v/>
      </c>
      <c r="L42">
        <f>IF(K42="","",IF(K42=D42,1,0))</f>
        <v/>
      </c>
      <c r="M42" t="inlineStr">
        <is>
          <t>S2</t>
        </is>
      </c>
      <c r="N42" s="15" t="n">
        <v>1</v>
      </c>
      <c r="O42" s="15" t="n">
        <v>0</v>
      </c>
      <c r="P42">
        <f>IF(M42="","",IF(M42=E42,1,0))</f>
        <v/>
      </c>
      <c r="Q42">
        <f>IF(K42="OK","-",IF(N42&lt;$B$7,"AMBIGUOUS","CONFIDENT"))</f>
        <v/>
      </c>
    </row>
    <row r="43">
      <c r="A43">
        <f>'Runs Z score'!A35</f>
        <v/>
      </c>
      <c r="B43">
        <f>'Runs Z score'!B35</f>
        <v/>
      </c>
      <c r="C43">
        <f>'Runs Z score'!C35</f>
        <v/>
      </c>
      <c r="D43">
        <f>'Runs Z score'!D35</f>
        <v/>
      </c>
      <c r="E43">
        <f>'Runs Z score'!E35</f>
        <v/>
      </c>
      <c r="F43">
        <f>'Runs Z score'!F35</f>
        <v/>
      </c>
      <c r="G43">
        <f>'Runs Z score'!G35</f>
        <v/>
      </c>
      <c r="H43">
        <f>VLOOKUP(C43,Recipes!$A$2:$N$4,10,FALSE())</f>
        <v/>
      </c>
      <c r="I43">
        <f>VLOOKUP(C43,Recipes!$A$2:$N$4,12,FALSE())</f>
        <v/>
      </c>
      <c r="J43">
        <f>IF(G43="","",H43-G43)</f>
        <v/>
      </c>
      <c r="K43">
        <f>IF(G43="","",IF(ABS(G43-H43)&lt;=$B$6*I43,"OK","NG"))</f>
        <v/>
      </c>
      <c r="L43">
        <f>IF(K43="","",IF(K43=D43,1,0))</f>
        <v/>
      </c>
      <c r="M43" t="inlineStr">
        <is>
          <t>S2</t>
        </is>
      </c>
      <c r="N43" s="15" t="n">
        <v>1</v>
      </c>
      <c r="O43" s="15" t="n">
        <v>0</v>
      </c>
      <c r="P43">
        <f>IF(M43="","",IF(M43=E43,1,0))</f>
        <v/>
      </c>
      <c r="Q43">
        <f>IF(K43="OK","-",IF(N43&lt;$B$7,"AMBIGUOUS","CONFIDENT"))</f>
        <v/>
      </c>
    </row>
    <row r="44">
      <c r="A44">
        <f>'Runs Z score'!A36</f>
        <v/>
      </c>
      <c r="B44">
        <f>'Runs Z score'!B36</f>
        <v/>
      </c>
      <c r="C44">
        <f>'Runs Z score'!C36</f>
        <v/>
      </c>
      <c r="D44">
        <f>'Runs Z score'!D36</f>
        <v/>
      </c>
      <c r="E44">
        <f>'Runs Z score'!E36</f>
        <v/>
      </c>
      <c r="F44">
        <f>'Runs Z score'!F36</f>
        <v/>
      </c>
      <c r="G44">
        <f>'Runs Z score'!G36</f>
        <v/>
      </c>
      <c r="H44">
        <f>VLOOKUP(C44,Recipes!$A$2:$N$4,10,FALSE())</f>
        <v/>
      </c>
      <c r="I44">
        <f>VLOOKUP(C44,Recipes!$A$2:$N$4,12,FALSE())</f>
        <v/>
      </c>
      <c r="J44">
        <f>IF(G44="","",H44-G44)</f>
        <v/>
      </c>
      <c r="K44">
        <f>IF(G44="","",IF(ABS(G44-H44)&lt;=$B$6*I44,"OK","NG"))</f>
        <v/>
      </c>
      <c r="L44">
        <f>IF(K44="","",IF(K44=D44,1,0))</f>
        <v/>
      </c>
      <c r="M44" t="inlineStr">
        <is>
          <t>S2</t>
        </is>
      </c>
      <c r="N44" s="15" t="n">
        <v>1</v>
      </c>
      <c r="O44" s="15" t="n">
        <v>0</v>
      </c>
      <c r="P44">
        <f>IF(M44="","",IF(M44=E44,1,0))</f>
        <v/>
      </c>
      <c r="Q44">
        <f>IF(K44="OK","-",IF(N44&lt;$B$7,"AMBIGUOUS","CONFIDENT"))</f>
        <v/>
      </c>
    </row>
    <row r="45">
      <c r="A45">
        <f>'Runs Z score'!A37</f>
        <v/>
      </c>
      <c r="B45">
        <f>'Runs Z score'!B37</f>
        <v/>
      </c>
      <c r="C45">
        <f>'Runs Z score'!C37</f>
        <v/>
      </c>
      <c r="D45">
        <f>'Runs Z score'!D37</f>
        <v/>
      </c>
      <c r="E45">
        <f>'Runs Z score'!E37</f>
        <v/>
      </c>
      <c r="F45">
        <f>'Runs Z score'!F37</f>
        <v/>
      </c>
      <c r="G45">
        <f>'Runs Z score'!G37</f>
        <v/>
      </c>
      <c r="H45">
        <f>VLOOKUP(C45,Recipes!$A$2:$N$4,10,FALSE())</f>
        <v/>
      </c>
      <c r="I45">
        <f>VLOOKUP(C45,Recipes!$A$2:$N$4,12,FALSE())</f>
        <v/>
      </c>
      <c r="J45">
        <f>IF(G45="","",H45-G45)</f>
        <v/>
      </c>
      <c r="K45">
        <f>IF(G45="","",IF(ABS(G45-H45)&lt;=$B$6*I45,"OK","NG"))</f>
        <v/>
      </c>
      <c r="L45">
        <f>IF(K45="","",IF(K45=D45,1,0))</f>
        <v/>
      </c>
      <c r="M45" t="inlineStr">
        <is>
          <t>S2</t>
        </is>
      </c>
      <c r="N45" s="15" t="n">
        <v>1</v>
      </c>
      <c r="O45" s="15" t="n">
        <v>0</v>
      </c>
      <c r="P45">
        <f>IF(M45="","",IF(M45=E45,1,0))</f>
        <v/>
      </c>
      <c r="Q45">
        <f>IF(K45="OK","-",IF(N45&lt;$B$7,"AMBIGUOUS","CONFIDENT"))</f>
        <v/>
      </c>
    </row>
    <row r="46">
      <c r="A46">
        <f>'Runs Z score'!A38</f>
        <v/>
      </c>
      <c r="B46">
        <f>'Runs Z score'!B38</f>
        <v/>
      </c>
      <c r="C46">
        <f>'Runs Z score'!C38</f>
        <v/>
      </c>
      <c r="D46">
        <f>'Runs Z score'!D38</f>
        <v/>
      </c>
      <c r="E46">
        <f>'Runs Z score'!E38</f>
        <v/>
      </c>
      <c r="F46">
        <f>'Runs Z score'!F38</f>
        <v/>
      </c>
      <c r="G46">
        <f>'Runs Z score'!G38</f>
        <v/>
      </c>
      <c r="H46">
        <f>VLOOKUP(C46,Recipes!$A$2:$N$4,10,FALSE())</f>
        <v/>
      </c>
      <c r="I46">
        <f>VLOOKUP(C46,Recipes!$A$2:$N$4,12,FALSE())</f>
        <v/>
      </c>
      <c r="J46">
        <f>IF(G46="","",H46-G46)</f>
        <v/>
      </c>
      <c r="K46">
        <f>IF(G46="","",IF(ABS(G46-H46)&lt;=$B$6*I46,"OK","NG"))</f>
        <v/>
      </c>
      <c r="L46">
        <f>IF(K46="","",IF(K46=D46,1,0))</f>
        <v/>
      </c>
      <c r="M46" t="inlineStr">
        <is>
          <t>S2</t>
        </is>
      </c>
      <c r="N46" s="15" t="n">
        <v>1</v>
      </c>
      <c r="O46" s="15" t="n">
        <v>0</v>
      </c>
      <c r="P46">
        <f>IF(M46="","",IF(M46=E46,1,0))</f>
        <v/>
      </c>
      <c r="Q46">
        <f>IF(K46="OK","-",IF(N46&lt;$B$7,"AMBIGUOUS","CONFIDENT"))</f>
        <v/>
      </c>
    </row>
    <row r="47">
      <c r="A47">
        <f>'Runs Z score'!A39</f>
        <v/>
      </c>
      <c r="B47">
        <f>'Runs Z score'!B39</f>
        <v/>
      </c>
      <c r="C47">
        <f>'Runs Z score'!C39</f>
        <v/>
      </c>
      <c r="D47">
        <f>'Runs Z score'!D39</f>
        <v/>
      </c>
      <c r="E47">
        <f>'Runs Z score'!E39</f>
        <v/>
      </c>
      <c r="F47">
        <f>'Runs Z score'!F39</f>
        <v/>
      </c>
      <c r="G47">
        <f>'Runs Z score'!G39</f>
        <v/>
      </c>
      <c r="H47">
        <f>VLOOKUP(C47,Recipes!$A$2:$N$4,10,FALSE())</f>
        <v/>
      </c>
      <c r="I47">
        <f>VLOOKUP(C47,Recipes!$A$2:$N$4,12,FALSE())</f>
        <v/>
      </c>
      <c r="J47">
        <f>IF(G47="","",H47-G47)</f>
        <v/>
      </c>
      <c r="K47">
        <f>IF(G47="","",IF(ABS(G47-H47)&lt;=$B$6*I47,"OK","NG"))</f>
        <v/>
      </c>
      <c r="L47">
        <f>IF(K47="","",IF(K47=D47,1,0))</f>
        <v/>
      </c>
      <c r="M47" t="inlineStr">
        <is>
          <t>S2</t>
        </is>
      </c>
      <c r="N47" s="15" t="n">
        <v>1</v>
      </c>
      <c r="O47" s="15" t="n">
        <v>0</v>
      </c>
      <c r="P47">
        <f>IF(M47="","",IF(M47=E47,1,0))</f>
        <v/>
      </c>
      <c r="Q47">
        <f>IF(K47="OK","-",IF(N47&lt;$B$7,"AMBIGUOUS","CONFIDENT"))</f>
        <v/>
      </c>
    </row>
    <row r="48">
      <c r="A48">
        <f>'Runs Z score'!A40</f>
        <v/>
      </c>
      <c r="B48">
        <f>'Runs Z score'!B40</f>
        <v/>
      </c>
      <c r="C48">
        <f>'Runs Z score'!C40</f>
        <v/>
      </c>
      <c r="D48">
        <f>'Runs Z score'!D40</f>
        <v/>
      </c>
      <c r="E48">
        <f>'Runs Z score'!E40</f>
        <v/>
      </c>
      <c r="F48">
        <f>'Runs Z score'!F40</f>
        <v/>
      </c>
      <c r="G48">
        <f>'Runs Z score'!G40</f>
        <v/>
      </c>
      <c r="H48">
        <f>VLOOKUP(C48,Recipes!$A$2:$N$4,10,FALSE())</f>
        <v/>
      </c>
      <c r="I48">
        <f>VLOOKUP(C48,Recipes!$A$2:$N$4,12,FALSE())</f>
        <v/>
      </c>
      <c r="J48">
        <f>IF(G48="","",H48-G48)</f>
        <v/>
      </c>
      <c r="K48">
        <f>IF(G48="","",IF(ABS(G48-H48)&lt;=$B$6*I48,"OK","NG"))</f>
        <v/>
      </c>
      <c r="L48">
        <f>IF(K48="","",IF(K48=D48,1,0))</f>
        <v/>
      </c>
      <c r="M48" t="inlineStr">
        <is>
          <t>S2</t>
        </is>
      </c>
      <c r="N48" s="15" t="n">
        <v>1</v>
      </c>
      <c r="O48" s="15" t="n">
        <v>0</v>
      </c>
      <c r="P48">
        <f>IF(M48="","",IF(M48=E48,1,0))</f>
        <v/>
      </c>
      <c r="Q48">
        <f>IF(K48="OK","-",IF(N48&lt;$B$7,"AMBIGUOUS","CONFIDENT"))</f>
        <v/>
      </c>
    </row>
    <row r="49">
      <c r="A49">
        <f>'Runs Z score'!A41</f>
        <v/>
      </c>
      <c r="B49">
        <f>'Runs Z score'!B41</f>
        <v/>
      </c>
      <c r="C49">
        <f>'Runs Z score'!C41</f>
        <v/>
      </c>
      <c r="D49">
        <f>'Runs Z score'!D41</f>
        <v/>
      </c>
      <c r="E49">
        <f>'Runs Z score'!E41</f>
        <v/>
      </c>
      <c r="F49">
        <f>'Runs Z score'!F41</f>
        <v/>
      </c>
      <c r="G49">
        <f>'Runs Z score'!G41</f>
        <v/>
      </c>
      <c r="H49">
        <f>VLOOKUP(C49,Recipes!$A$2:$N$4,10,FALSE())</f>
        <v/>
      </c>
      <c r="I49">
        <f>VLOOKUP(C49,Recipes!$A$2:$N$4,12,FALSE())</f>
        <v/>
      </c>
      <c r="J49">
        <f>IF(G49="","",H49-G49)</f>
        <v/>
      </c>
      <c r="K49">
        <f>IF(G49="","",IF(ABS(G49-H49)&lt;=$B$6*I49,"OK","NG"))</f>
        <v/>
      </c>
      <c r="L49">
        <f>IF(K49="","",IF(K49=D49,1,0))</f>
        <v/>
      </c>
      <c r="M49" t="inlineStr">
        <is>
          <t>S2</t>
        </is>
      </c>
      <c r="N49" s="15" t="n">
        <v>1</v>
      </c>
      <c r="O49" s="15" t="n">
        <v>0</v>
      </c>
      <c r="P49">
        <f>IF(M49="","",IF(M49=E49,1,0))</f>
        <v/>
      </c>
      <c r="Q49">
        <f>IF(K49="OK","-",IF(N49&lt;$B$7,"AMBIGUOUS","CONFIDENT"))</f>
        <v/>
      </c>
    </row>
    <row r="50">
      <c r="A50">
        <f>'Runs Z score'!A42</f>
        <v/>
      </c>
      <c r="B50">
        <f>'Runs Z score'!B42</f>
        <v/>
      </c>
      <c r="C50">
        <f>'Runs Z score'!C42</f>
        <v/>
      </c>
      <c r="D50">
        <f>'Runs Z score'!D42</f>
        <v/>
      </c>
      <c r="E50">
        <f>'Runs Z score'!E42</f>
        <v/>
      </c>
      <c r="F50">
        <f>'Runs Z score'!F42</f>
        <v/>
      </c>
      <c r="G50">
        <f>'Runs Z score'!G42</f>
        <v/>
      </c>
      <c r="H50">
        <f>VLOOKUP(C50,Recipes!$A$2:$N$4,10,FALSE())</f>
        <v/>
      </c>
      <c r="I50">
        <f>VLOOKUP(C50,Recipes!$A$2:$N$4,12,FALSE())</f>
        <v/>
      </c>
      <c r="J50">
        <f>IF(G50="","",H50-G50)</f>
        <v/>
      </c>
      <c r="K50">
        <f>IF(G50="","",IF(ABS(G50-H50)&lt;=$B$6*I50,"OK","NG"))</f>
        <v/>
      </c>
      <c r="L50">
        <f>IF(K50="","",IF(K50=D50,1,0))</f>
        <v/>
      </c>
      <c r="M50" t="inlineStr">
        <is>
          <t>S2</t>
        </is>
      </c>
      <c r="N50" s="15" t="n">
        <v>1</v>
      </c>
      <c r="O50" s="15" t="n">
        <v>0</v>
      </c>
      <c r="P50">
        <f>IF(M50="","",IF(M50=E50,1,0))</f>
        <v/>
      </c>
      <c r="Q50">
        <f>IF(K50="OK","-",IF(N50&lt;$B$7,"AMBIGUOUS","CONFIDENT"))</f>
        <v/>
      </c>
    </row>
    <row r="51">
      <c r="A51">
        <f>'Runs Z score'!A43</f>
        <v/>
      </c>
      <c r="B51">
        <f>'Runs Z score'!B43</f>
        <v/>
      </c>
      <c r="C51">
        <f>'Runs Z score'!C43</f>
        <v/>
      </c>
      <c r="D51">
        <f>'Runs Z score'!D43</f>
        <v/>
      </c>
      <c r="E51">
        <f>'Runs Z score'!E43</f>
        <v/>
      </c>
      <c r="F51">
        <f>'Runs Z score'!F43</f>
        <v/>
      </c>
      <c r="G51">
        <f>'Runs Z score'!G43</f>
        <v/>
      </c>
      <c r="H51">
        <f>VLOOKUP(C51,Recipes!$A$2:$N$4,10,FALSE())</f>
        <v/>
      </c>
      <c r="I51">
        <f>VLOOKUP(C51,Recipes!$A$2:$N$4,12,FALSE())</f>
        <v/>
      </c>
      <c r="J51">
        <f>IF(G51="","",H51-G51)</f>
        <v/>
      </c>
      <c r="K51">
        <f>IF(G51="","",IF(ABS(G51-H51)&lt;=$B$6*I51,"OK","NG"))</f>
        <v/>
      </c>
      <c r="L51">
        <f>IF(K51="","",IF(K51=D51,1,0))</f>
        <v/>
      </c>
      <c r="M51" t="inlineStr">
        <is>
          <t>S2</t>
        </is>
      </c>
      <c r="N51" s="15" t="n">
        <v>1</v>
      </c>
      <c r="O51" s="15" t="n">
        <v>0</v>
      </c>
      <c r="P51">
        <f>IF(M51="","",IF(M51=E51,1,0))</f>
        <v/>
      </c>
      <c r="Q51">
        <f>IF(K51="OK","-",IF(N51&lt;$B$7,"AMBIGUOUS","CONFIDENT"))</f>
        <v/>
      </c>
    </row>
    <row r="52">
      <c r="A52">
        <f>'Runs Z score'!A44</f>
        <v/>
      </c>
      <c r="B52">
        <f>'Runs Z score'!B44</f>
        <v/>
      </c>
      <c r="C52">
        <f>'Runs Z score'!C44</f>
        <v/>
      </c>
      <c r="D52">
        <f>'Runs Z score'!D44</f>
        <v/>
      </c>
      <c r="E52">
        <f>'Runs Z score'!E44</f>
        <v/>
      </c>
      <c r="F52">
        <f>'Runs Z score'!F44</f>
        <v/>
      </c>
      <c r="G52">
        <f>'Runs Z score'!G44</f>
        <v/>
      </c>
      <c r="H52">
        <f>VLOOKUP(C52,Recipes!$A$2:$N$4,10,FALSE())</f>
        <v/>
      </c>
      <c r="I52">
        <f>VLOOKUP(C52,Recipes!$A$2:$N$4,12,FALSE())</f>
        <v/>
      </c>
      <c r="J52">
        <f>IF(G52="","",H52-G52)</f>
        <v/>
      </c>
      <c r="K52">
        <f>IF(G52="","",IF(ABS(G52-H52)&lt;=$B$6*I52,"OK","NG"))</f>
        <v/>
      </c>
      <c r="L52">
        <f>IF(K52="","",IF(K52=D52,1,0))</f>
        <v/>
      </c>
      <c r="M52" t="inlineStr">
        <is>
          <t>S2</t>
        </is>
      </c>
      <c r="N52" s="15" t="n">
        <v>1</v>
      </c>
      <c r="O52" s="15" t="n">
        <v>0</v>
      </c>
      <c r="P52">
        <f>IF(M52="","",IF(M52=E52,1,0))</f>
        <v/>
      </c>
      <c r="Q52">
        <f>IF(K52="OK","-",IF(N52&lt;$B$7,"AMBIGUOUS","CONFIDENT"))</f>
        <v/>
      </c>
    </row>
    <row r="53">
      <c r="A53">
        <f>'Runs Z score'!A45</f>
        <v/>
      </c>
      <c r="B53">
        <f>'Runs Z score'!B45</f>
        <v/>
      </c>
      <c r="C53">
        <f>'Runs Z score'!C45</f>
        <v/>
      </c>
      <c r="D53">
        <f>'Runs Z score'!D45</f>
        <v/>
      </c>
      <c r="E53">
        <f>'Runs Z score'!E45</f>
        <v/>
      </c>
      <c r="F53">
        <f>'Runs Z score'!F45</f>
        <v/>
      </c>
      <c r="G53">
        <f>'Runs Z score'!G45</f>
        <v/>
      </c>
      <c r="H53">
        <f>VLOOKUP(C53,Recipes!$A$2:$N$4,10,FALSE())</f>
        <v/>
      </c>
      <c r="I53">
        <f>VLOOKUP(C53,Recipes!$A$2:$N$4,12,FALSE())</f>
        <v/>
      </c>
      <c r="J53">
        <f>IF(G53="","",H53-G53)</f>
        <v/>
      </c>
      <c r="K53">
        <f>IF(G53="","",IF(ABS(G53-H53)&lt;=$B$6*I53,"OK","NG"))</f>
        <v/>
      </c>
      <c r="L53">
        <f>IF(K53="","",IF(K53=D53,1,0))</f>
        <v/>
      </c>
      <c r="M53" t="inlineStr">
        <is>
          <t>S2</t>
        </is>
      </c>
      <c r="N53" s="15" t="n">
        <v>1</v>
      </c>
      <c r="O53" s="15" t="n">
        <v>0</v>
      </c>
      <c r="P53">
        <f>IF(M53="","",IF(M53=E53,1,0))</f>
        <v/>
      </c>
      <c r="Q53">
        <f>IF(K53="OK","-",IF(N53&lt;$B$7,"AMBIGUOUS","CONFIDENT"))</f>
        <v/>
      </c>
    </row>
    <row r="54">
      <c r="A54">
        <f>'Runs Z score'!A46</f>
        <v/>
      </c>
      <c r="B54">
        <f>'Runs Z score'!B46</f>
        <v/>
      </c>
      <c r="C54">
        <f>'Runs Z score'!C46</f>
        <v/>
      </c>
      <c r="D54">
        <f>'Runs Z score'!D46</f>
        <v/>
      </c>
      <c r="E54">
        <f>'Runs Z score'!E46</f>
        <v/>
      </c>
      <c r="F54">
        <f>'Runs Z score'!F46</f>
        <v/>
      </c>
      <c r="G54">
        <f>'Runs Z score'!G46</f>
        <v/>
      </c>
      <c r="H54">
        <f>VLOOKUP(C54,Recipes!$A$2:$N$4,10,FALSE())</f>
        <v/>
      </c>
      <c r="I54">
        <f>VLOOKUP(C54,Recipes!$A$2:$N$4,12,FALSE())</f>
        <v/>
      </c>
      <c r="J54">
        <f>IF(G54="","",H54-G54)</f>
        <v/>
      </c>
      <c r="K54">
        <f>IF(G54="","",IF(ABS(G54-H54)&lt;=$B$6*I54,"OK","NG"))</f>
        <v/>
      </c>
      <c r="L54">
        <f>IF(K54="","",IF(K54=D54,1,0))</f>
        <v/>
      </c>
      <c r="M54" t="inlineStr">
        <is>
          <t>S2</t>
        </is>
      </c>
      <c r="N54" s="15" t="n">
        <v>1</v>
      </c>
      <c r="O54" s="15" t="n">
        <v>0</v>
      </c>
      <c r="P54">
        <f>IF(M54="","",IF(M54=E54,1,0))</f>
        <v/>
      </c>
      <c r="Q54">
        <f>IF(K54="OK","-",IF(N54&lt;$B$7,"AMBIGUOUS","CONFIDENT"))</f>
        <v/>
      </c>
    </row>
    <row r="55">
      <c r="A55">
        <f>'Runs Z score'!A47</f>
        <v/>
      </c>
      <c r="B55">
        <f>'Runs Z score'!B47</f>
        <v/>
      </c>
      <c r="C55">
        <f>'Runs Z score'!C47</f>
        <v/>
      </c>
      <c r="D55">
        <f>'Runs Z score'!D47</f>
        <v/>
      </c>
      <c r="E55">
        <f>'Runs Z score'!E47</f>
        <v/>
      </c>
      <c r="F55">
        <f>'Runs Z score'!F47</f>
        <v/>
      </c>
      <c r="G55">
        <f>'Runs Z score'!G47</f>
        <v/>
      </c>
      <c r="H55">
        <f>VLOOKUP(C55,Recipes!$A$2:$N$4,10,FALSE())</f>
        <v/>
      </c>
      <c r="I55">
        <f>VLOOKUP(C55,Recipes!$A$2:$N$4,12,FALSE())</f>
        <v/>
      </c>
      <c r="J55">
        <f>IF(G55="","",H55-G55)</f>
        <v/>
      </c>
      <c r="K55">
        <f>IF(G55="","",IF(ABS(G55-H55)&lt;=$B$6*I55,"OK","NG"))</f>
        <v/>
      </c>
      <c r="L55">
        <f>IF(K55="","",IF(K55=D55,1,0))</f>
        <v/>
      </c>
      <c r="M55" t="inlineStr">
        <is>
          <t>S2</t>
        </is>
      </c>
      <c r="N55" s="15" t="n">
        <v>1</v>
      </c>
      <c r="O55" s="15" t="n">
        <v>0</v>
      </c>
      <c r="P55">
        <f>IF(M55="","",IF(M55=E55,1,0))</f>
        <v/>
      </c>
      <c r="Q55">
        <f>IF(K55="OK","-",IF(N55&lt;$B$7,"AMBIGUOUS","CONFIDENT"))</f>
        <v/>
      </c>
    </row>
    <row r="56">
      <c r="A56">
        <f>'Runs Z score'!A48</f>
        <v/>
      </c>
      <c r="B56">
        <f>'Runs Z score'!B48</f>
        <v/>
      </c>
      <c r="C56">
        <f>'Runs Z score'!C48</f>
        <v/>
      </c>
      <c r="D56">
        <f>'Runs Z score'!D48</f>
        <v/>
      </c>
      <c r="E56">
        <f>'Runs Z score'!E48</f>
        <v/>
      </c>
      <c r="F56">
        <f>'Runs Z score'!F48</f>
        <v/>
      </c>
      <c r="G56">
        <f>'Runs Z score'!G48</f>
        <v/>
      </c>
      <c r="H56">
        <f>VLOOKUP(C56,Recipes!$A$2:$N$4,10,FALSE())</f>
        <v/>
      </c>
      <c r="I56">
        <f>VLOOKUP(C56,Recipes!$A$2:$N$4,12,FALSE())</f>
        <v/>
      </c>
      <c r="J56">
        <f>IF(G56="","",H56-G56)</f>
        <v/>
      </c>
      <c r="K56">
        <f>IF(G56="","",IF(ABS(G56-H56)&lt;=$B$6*I56,"OK","NG"))</f>
        <v/>
      </c>
      <c r="L56">
        <f>IF(K56="","",IF(K56=D56,1,0))</f>
        <v/>
      </c>
      <c r="M56" t="inlineStr">
        <is>
          <t>S2</t>
        </is>
      </c>
      <c r="N56" s="15" t="n">
        <v>1</v>
      </c>
      <c r="O56" s="15" t="n">
        <v>0</v>
      </c>
      <c r="P56">
        <f>IF(M56="","",IF(M56=E56,1,0))</f>
        <v/>
      </c>
      <c r="Q56">
        <f>IF(K56="OK","-",IF(N56&lt;$B$7,"AMBIGUOUS","CONFIDENT"))</f>
        <v/>
      </c>
    </row>
    <row r="57">
      <c r="A57">
        <f>'Runs Z score'!A49</f>
        <v/>
      </c>
      <c r="B57">
        <f>'Runs Z score'!B49</f>
        <v/>
      </c>
      <c r="C57">
        <f>'Runs Z score'!C49</f>
        <v/>
      </c>
      <c r="D57">
        <f>'Runs Z score'!D49</f>
        <v/>
      </c>
      <c r="E57">
        <f>'Runs Z score'!E49</f>
        <v/>
      </c>
      <c r="F57">
        <f>'Runs Z score'!F49</f>
        <v/>
      </c>
      <c r="G57">
        <f>'Runs Z score'!G49</f>
        <v/>
      </c>
      <c r="H57">
        <f>VLOOKUP(C57,Recipes!$A$2:$N$4,10,FALSE())</f>
        <v/>
      </c>
      <c r="I57">
        <f>VLOOKUP(C57,Recipes!$A$2:$N$4,12,FALSE())</f>
        <v/>
      </c>
      <c r="J57">
        <f>IF(G57="","",H57-G57)</f>
        <v/>
      </c>
      <c r="K57">
        <f>IF(G57="","",IF(ABS(G57-H57)&lt;=$B$6*I57,"OK","NG"))</f>
        <v/>
      </c>
      <c r="L57">
        <f>IF(K57="","",IF(K57=D57,1,0))</f>
        <v/>
      </c>
      <c r="M57" t="inlineStr">
        <is>
          <t>S2</t>
        </is>
      </c>
      <c r="N57" s="15" t="n">
        <v>1</v>
      </c>
      <c r="O57" s="15" t="n">
        <v>0</v>
      </c>
      <c r="P57">
        <f>IF(M57="","",IF(M57=E57,1,0))</f>
        <v/>
      </c>
      <c r="Q57">
        <f>IF(K57="OK","-",IF(N57&lt;$B$7,"AMBIGUOUS","CONFIDENT"))</f>
        <v/>
      </c>
    </row>
    <row r="58">
      <c r="A58">
        <f>'Runs Z score'!A50</f>
        <v/>
      </c>
      <c r="B58">
        <f>'Runs Z score'!B50</f>
        <v/>
      </c>
      <c r="C58">
        <f>'Runs Z score'!C50</f>
        <v/>
      </c>
      <c r="D58">
        <f>'Runs Z score'!D50</f>
        <v/>
      </c>
      <c r="E58">
        <f>'Runs Z score'!E50</f>
        <v/>
      </c>
      <c r="F58">
        <f>'Runs Z score'!F50</f>
        <v/>
      </c>
      <c r="G58">
        <f>'Runs Z score'!G50</f>
        <v/>
      </c>
      <c r="H58">
        <f>VLOOKUP(C58,Recipes!$A$2:$N$4,10,FALSE())</f>
        <v/>
      </c>
      <c r="I58">
        <f>VLOOKUP(C58,Recipes!$A$2:$N$4,12,FALSE())</f>
        <v/>
      </c>
      <c r="J58">
        <f>IF(G58="","",H58-G58)</f>
        <v/>
      </c>
      <c r="K58">
        <f>IF(G58="","",IF(ABS(G58-H58)&lt;=$B$6*I58,"OK","NG"))</f>
        <v/>
      </c>
      <c r="L58">
        <f>IF(K58="","",IF(K58=D58,1,0))</f>
        <v/>
      </c>
      <c r="M58" t="inlineStr">
        <is>
          <t>S2</t>
        </is>
      </c>
      <c r="N58" s="15" t="n">
        <v>1</v>
      </c>
      <c r="O58" s="15" t="n">
        <v>0</v>
      </c>
      <c r="P58">
        <f>IF(M58="","",IF(M58=E58,1,0))</f>
        <v/>
      </c>
      <c r="Q58">
        <f>IF(K58="OK","-",IF(N58&lt;$B$7,"AMBIGUOUS","CONFIDENT"))</f>
        <v/>
      </c>
    </row>
    <row r="59">
      <c r="A59">
        <f>'Runs Z score'!A51</f>
        <v/>
      </c>
      <c r="B59">
        <f>'Runs Z score'!B51</f>
        <v/>
      </c>
      <c r="C59">
        <f>'Runs Z score'!C51</f>
        <v/>
      </c>
      <c r="D59">
        <f>'Runs Z score'!D51</f>
        <v/>
      </c>
      <c r="E59">
        <f>'Runs Z score'!E51</f>
        <v/>
      </c>
      <c r="F59">
        <f>'Runs Z score'!F51</f>
        <v/>
      </c>
      <c r="G59">
        <f>'Runs Z score'!G51</f>
        <v/>
      </c>
      <c r="H59">
        <f>VLOOKUP(C59,Recipes!$A$2:$N$4,10,FALSE())</f>
        <v/>
      </c>
      <c r="I59">
        <f>VLOOKUP(C59,Recipes!$A$2:$N$4,12,FALSE())</f>
        <v/>
      </c>
      <c r="J59">
        <f>IF(G59="","",H59-G59)</f>
        <v/>
      </c>
      <c r="K59">
        <f>IF(G59="","",IF(ABS(G59-H59)&lt;=$B$6*I59,"OK","NG"))</f>
        <v/>
      </c>
      <c r="L59">
        <f>IF(K59="","",IF(K59=D59,1,0))</f>
        <v/>
      </c>
      <c r="M59" t="inlineStr">
        <is>
          <t>S2</t>
        </is>
      </c>
      <c r="N59" s="15" t="n">
        <v>1</v>
      </c>
      <c r="O59" s="15" t="n">
        <v>0</v>
      </c>
      <c r="P59">
        <f>IF(M59="","",IF(M59=E59,1,0))</f>
        <v/>
      </c>
      <c r="Q59">
        <f>IF(K59="OK","-",IF(N59&lt;$B$7,"AMBIGUOUS","CONFIDENT"))</f>
        <v/>
      </c>
    </row>
    <row r="60">
      <c r="A60">
        <f>'Runs Z score'!A52</f>
        <v/>
      </c>
      <c r="B60">
        <f>'Runs Z score'!B52</f>
        <v/>
      </c>
      <c r="C60">
        <f>'Runs Z score'!C52</f>
        <v/>
      </c>
      <c r="D60">
        <f>'Runs Z score'!D52</f>
        <v/>
      </c>
      <c r="E60">
        <f>'Runs Z score'!E52</f>
        <v/>
      </c>
      <c r="F60">
        <f>'Runs Z score'!F52</f>
        <v/>
      </c>
      <c r="G60">
        <f>'Runs Z score'!G52</f>
        <v/>
      </c>
      <c r="H60">
        <f>VLOOKUP(C60,Recipes!$A$2:$N$4,10,FALSE())</f>
        <v/>
      </c>
      <c r="I60">
        <f>VLOOKUP(C60,Recipes!$A$2:$N$4,12,FALSE())</f>
        <v/>
      </c>
      <c r="J60">
        <f>IF(G60="","",H60-G60)</f>
        <v/>
      </c>
      <c r="K60">
        <f>IF(G60="","",IF(ABS(G60-H60)&lt;=$B$6*I60,"OK","NG"))</f>
        <v/>
      </c>
      <c r="L60">
        <f>IF(K60="","",IF(K60=D60,1,0))</f>
        <v/>
      </c>
      <c r="M60" t="inlineStr">
        <is>
          <t>S2</t>
        </is>
      </c>
      <c r="N60" s="15" t="n">
        <v>1</v>
      </c>
      <c r="O60" s="15" t="n">
        <v>0</v>
      </c>
      <c r="P60">
        <f>IF(M60="","",IF(M60=E60,1,0))</f>
        <v/>
      </c>
      <c r="Q60">
        <f>IF(K60="OK","-",IF(N60&lt;$B$7,"AMBIGUOUS","CONFIDENT"))</f>
        <v/>
      </c>
    </row>
    <row r="61">
      <c r="A61">
        <f>'Runs Z score'!A53</f>
        <v/>
      </c>
      <c r="B61">
        <f>'Runs Z score'!B53</f>
        <v/>
      </c>
      <c r="C61">
        <f>'Runs Z score'!C53</f>
        <v/>
      </c>
      <c r="D61">
        <f>'Runs Z score'!D53</f>
        <v/>
      </c>
      <c r="E61">
        <f>'Runs Z score'!E53</f>
        <v/>
      </c>
      <c r="F61">
        <f>'Runs Z score'!F53</f>
        <v/>
      </c>
      <c r="G61">
        <f>'Runs Z score'!G53</f>
        <v/>
      </c>
      <c r="H61">
        <f>VLOOKUP(C61,Recipes!$A$2:$N$4,10,FALSE())</f>
        <v/>
      </c>
      <c r="I61">
        <f>VLOOKUP(C61,Recipes!$A$2:$N$4,12,FALSE())</f>
        <v/>
      </c>
      <c r="J61">
        <f>IF(G61="","",H61-G61)</f>
        <v/>
      </c>
      <c r="K61">
        <f>IF(G61="","",IF(ABS(G61-H61)&lt;=$B$6*I61,"OK","NG"))</f>
        <v/>
      </c>
      <c r="L61">
        <f>IF(K61="","",IF(K61=D61,1,0))</f>
        <v/>
      </c>
      <c r="M61" t="inlineStr">
        <is>
          <t>S2</t>
        </is>
      </c>
      <c r="N61" s="15" t="n">
        <v>1</v>
      </c>
      <c r="O61" s="15" t="n">
        <v>0</v>
      </c>
      <c r="P61">
        <f>IF(M61="","",IF(M61=E61,1,0))</f>
        <v/>
      </c>
      <c r="Q61">
        <f>IF(K61="OK","-",IF(N61&lt;$B$7,"AMBIGUOUS","CONFIDENT"))</f>
        <v/>
      </c>
    </row>
    <row r="62">
      <c r="A62">
        <f>'Runs Z score'!A54</f>
        <v/>
      </c>
      <c r="B62">
        <f>'Runs Z score'!B54</f>
        <v/>
      </c>
      <c r="C62">
        <f>'Runs Z score'!C54</f>
        <v/>
      </c>
      <c r="D62">
        <f>'Runs Z score'!D54</f>
        <v/>
      </c>
      <c r="E62">
        <f>'Runs Z score'!E54</f>
        <v/>
      </c>
      <c r="F62">
        <f>'Runs Z score'!F54</f>
        <v/>
      </c>
      <c r="G62">
        <f>'Runs Z score'!G54</f>
        <v/>
      </c>
      <c r="H62">
        <f>VLOOKUP(C62,Recipes!$A$2:$N$4,10,FALSE())</f>
        <v/>
      </c>
      <c r="I62">
        <f>VLOOKUP(C62,Recipes!$A$2:$N$4,12,FALSE())</f>
        <v/>
      </c>
      <c r="J62">
        <f>IF(G62="","",H62-G62)</f>
        <v/>
      </c>
      <c r="K62">
        <f>IF(G62="","",IF(ABS(G62-H62)&lt;=$B$6*I62,"OK","NG"))</f>
        <v/>
      </c>
      <c r="L62">
        <f>IF(K62="","",IF(K62=D62,1,0))</f>
        <v/>
      </c>
      <c r="M62" t="inlineStr">
        <is>
          <t>S2</t>
        </is>
      </c>
      <c r="N62" s="15" t="n">
        <v>1</v>
      </c>
      <c r="O62" s="15" t="n">
        <v>0</v>
      </c>
      <c r="P62">
        <f>IF(M62="","",IF(M62=E62,1,0))</f>
        <v/>
      </c>
      <c r="Q62">
        <f>IF(K62="OK","-",IF(N62&lt;$B$7,"AMBIGUOUS","CONFIDENT"))</f>
        <v/>
      </c>
    </row>
    <row r="63">
      <c r="A63">
        <f>'Runs Z score'!A55</f>
        <v/>
      </c>
      <c r="B63">
        <f>'Runs Z score'!B55</f>
        <v/>
      </c>
      <c r="C63">
        <f>'Runs Z score'!C55</f>
        <v/>
      </c>
      <c r="D63">
        <f>'Runs Z score'!D55</f>
        <v/>
      </c>
      <c r="E63">
        <f>'Runs Z score'!E55</f>
        <v/>
      </c>
      <c r="F63">
        <f>'Runs Z score'!F55</f>
        <v/>
      </c>
      <c r="G63">
        <f>'Runs Z score'!G55</f>
        <v/>
      </c>
      <c r="H63">
        <f>VLOOKUP(C63,Recipes!$A$2:$N$4,10,FALSE())</f>
        <v/>
      </c>
      <c r="I63">
        <f>VLOOKUP(C63,Recipes!$A$2:$N$4,12,FALSE())</f>
        <v/>
      </c>
      <c r="J63">
        <f>IF(G63="","",H63-G63)</f>
        <v/>
      </c>
      <c r="K63">
        <f>IF(G63="","",IF(ABS(G63-H63)&lt;=$B$6*I63,"OK","NG"))</f>
        <v/>
      </c>
      <c r="L63">
        <f>IF(K63="","",IF(K63=D63,1,0))</f>
        <v/>
      </c>
      <c r="M63" t="inlineStr">
        <is>
          <t>S2</t>
        </is>
      </c>
      <c r="N63" s="15" t="n">
        <v>1</v>
      </c>
      <c r="O63" s="15" t="n">
        <v>0</v>
      </c>
      <c r="P63">
        <f>IF(M63="","",IF(M63=E63,1,0))</f>
        <v/>
      </c>
      <c r="Q63">
        <f>IF(K63="OK","-",IF(N63&lt;$B$7,"AMBIGUOUS","CONFIDENT"))</f>
        <v/>
      </c>
    </row>
    <row r="64">
      <c r="A64">
        <f>'Runs Z score'!A56</f>
        <v/>
      </c>
      <c r="B64">
        <f>'Runs Z score'!B56</f>
        <v/>
      </c>
      <c r="C64">
        <f>'Runs Z score'!C56</f>
        <v/>
      </c>
      <c r="D64">
        <f>'Runs Z score'!D56</f>
        <v/>
      </c>
      <c r="E64">
        <f>'Runs Z score'!E56</f>
        <v/>
      </c>
      <c r="F64">
        <f>'Runs Z score'!F56</f>
        <v/>
      </c>
      <c r="G64">
        <f>'Runs Z score'!G56</f>
        <v/>
      </c>
      <c r="H64">
        <f>VLOOKUP(C64,Recipes!$A$2:$N$4,10,FALSE())</f>
        <v/>
      </c>
      <c r="I64">
        <f>VLOOKUP(C64,Recipes!$A$2:$N$4,12,FALSE())</f>
        <v/>
      </c>
      <c r="J64">
        <f>IF(G64="","",H64-G64)</f>
        <v/>
      </c>
      <c r="K64">
        <f>IF(G64="","",IF(ABS(G64-H64)&lt;=$B$6*I64,"OK","NG"))</f>
        <v/>
      </c>
      <c r="L64">
        <f>IF(K64="","",IF(K64=D64,1,0))</f>
        <v/>
      </c>
      <c r="M64" t="inlineStr">
        <is>
          <t>S2</t>
        </is>
      </c>
      <c r="N64" s="15" t="n">
        <v>1</v>
      </c>
      <c r="O64" s="15" t="n">
        <v>0</v>
      </c>
      <c r="P64">
        <f>IF(M64="","",IF(M64=E64,1,0))</f>
        <v/>
      </c>
      <c r="Q64">
        <f>IF(K64="OK","-",IF(N64&lt;$B$7,"AMBIGUOUS","CONFIDENT"))</f>
        <v/>
      </c>
    </row>
    <row r="65">
      <c r="A65">
        <f>'Runs Z score'!A57</f>
        <v/>
      </c>
      <c r="B65">
        <f>'Runs Z score'!B57</f>
        <v/>
      </c>
      <c r="C65">
        <f>'Runs Z score'!C57</f>
        <v/>
      </c>
      <c r="D65">
        <f>'Runs Z score'!D57</f>
        <v/>
      </c>
      <c r="E65">
        <f>'Runs Z score'!E57</f>
        <v/>
      </c>
      <c r="F65">
        <f>'Runs Z score'!F57</f>
        <v/>
      </c>
      <c r="G65">
        <f>'Runs Z score'!G57</f>
        <v/>
      </c>
      <c r="H65">
        <f>VLOOKUP(C65,Recipes!$A$2:$N$4,10,FALSE())</f>
        <v/>
      </c>
      <c r="I65">
        <f>VLOOKUP(C65,Recipes!$A$2:$N$4,12,FALSE())</f>
        <v/>
      </c>
      <c r="J65">
        <f>IF(G65="","",H65-G65)</f>
        <v/>
      </c>
      <c r="K65">
        <f>IF(G65="","",IF(ABS(G65-H65)&lt;=$B$6*I65,"OK","NG"))</f>
        <v/>
      </c>
      <c r="L65">
        <f>IF(K65="","",IF(K65=D65,1,0))</f>
        <v/>
      </c>
      <c r="M65" t="inlineStr">
        <is>
          <t>S2</t>
        </is>
      </c>
      <c r="N65" s="15" t="n">
        <v>1</v>
      </c>
      <c r="O65" s="15" t="n">
        <v>0</v>
      </c>
      <c r="P65">
        <f>IF(M65="","",IF(M65=E65,1,0))</f>
        <v/>
      </c>
      <c r="Q65">
        <f>IF(K65="OK","-",IF(N65&lt;$B$7,"AMBIGUOUS","CONFIDENT"))</f>
        <v/>
      </c>
    </row>
    <row r="66">
      <c r="A66">
        <f>'Runs Z score'!A58</f>
        <v/>
      </c>
      <c r="B66">
        <f>'Runs Z score'!B58</f>
        <v/>
      </c>
      <c r="C66">
        <f>'Runs Z score'!C58</f>
        <v/>
      </c>
      <c r="D66">
        <f>'Runs Z score'!D58</f>
        <v/>
      </c>
      <c r="E66">
        <f>'Runs Z score'!E58</f>
        <v/>
      </c>
      <c r="F66">
        <f>'Runs Z score'!F58</f>
        <v/>
      </c>
      <c r="G66">
        <f>'Runs Z score'!G58</f>
        <v/>
      </c>
      <c r="H66">
        <f>VLOOKUP(C66,Recipes!$A$2:$N$4,10,FALSE())</f>
        <v/>
      </c>
      <c r="I66">
        <f>VLOOKUP(C66,Recipes!$A$2:$N$4,12,FALSE())</f>
        <v/>
      </c>
      <c r="J66">
        <f>IF(G66="","",H66-G66)</f>
        <v/>
      </c>
      <c r="K66">
        <f>IF(G66="","",IF(ABS(G66-H66)&lt;=$B$6*I66,"OK","NG"))</f>
        <v/>
      </c>
      <c r="L66">
        <f>IF(K66="","",IF(K66=D66,1,0))</f>
        <v/>
      </c>
      <c r="M66" t="inlineStr">
        <is>
          <t>S2</t>
        </is>
      </c>
      <c r="N66" s="15" t="n">
        <v>1</v>
      </c>
      <c r="O66" s="15" t="n">
        <v>0</v>
      </c>
      <c r="P66">
        <f>IF(M66="","",IF(M66=E66,1,0))</f>
        <v/>
      </c>
      <c r="Q66">
        <f>IF(K66="OK","-",IF(N66&lt;$B$7,"AMBIGUOUS","CONFIDENT"))</f>
        <v/>
      </c>
    </row>
    <row r="67">
      <c r="A67">
        <f>'Runs Z score'!A59</f>
        <v/>
      </c>
      <c r="B67">
        <f>'Runs Z score'!B59</f>
        <v/>
      </c>
      <c r="C67">
        <f>'Runs Z score'!C59</f>
        <v/>
      </c>
      <c r="D67">
        <f>'Runs Z score'!D59</f>
        <v/>
      </c>
      <c r="E67">
        <f>'Runs Z score'!E59</f>
        <v/>
      </c>
      <c r="F67">
        <f>'Runs Z score'!F59</f>
        <v/>
      </c>
      <c r="G67">
        <f>'Runs Z score'!G59</f>
        <v/>
      </c>
      <c r="H67">
        <f>VLOOKUP(C67,Recipes!$A$2:$N$4,10,FALSE())</f>
        <v/>
      </c>
      <c r="I67">
        <f>VLOOKUP(C67,Recipes!$A$2:$N$4,12,FALSE())</f>
        <v/>
      </c>
      <c r="J67">
        <f>IF(G67="","",H67-G67)</f>
        <v/>
      </c>
      <c r="K67">
        <f>IF(G67="","",IF(ABS(G67-H67)&lt;=$B$6*I67,"OK","NG"))</f>
        <v/>
      </c>
      <c r="L67">
        <f>IF(K67="","",IF(K67=D67,1,0))</f>
        <v/>
      </c>
      <c r="M67" t="inlineStr">
        <is>
          <t>S2</t>
        </is>
      </c>
      <c r="N67" s="15" t="n">
        <v>1</v>
      </c>
      <c r="O67" s="15" t="n">
        <v>0</v>
      </c>
      <c r="P67">
        <f>IF(M67="","",IF(M67=E67,1,0))</f>
        <v/>
      </c>
      <c r="Q67">
        <f>IF(K67="OK","-",IF(N67&lt;$B$7,"AMBIGUOUS","CONFIDENT"))</f>
        <v/>
      </c>
    </row>
    <row r="68">
      <c r="A68">
        <f>'Runs Z score'!A60</f>
        <v/>
      </c>
      <c r="B68">
        <f>'Runs Z score'!B60</f>
        <v/>
      </c>
      <c r="C68">
        <f>'Runs Z score'!C60</f>
        <v/>
      </c>
      <c r="D68">
        <f>'Runs Z score'!D60</f>
        <v/>
      </c>
      <c r="E68">
        <f>'Runs Z score'!E60</f>
        <v/>
      </c>
      <c r="F68">
        <f>'Runs Z score'!F60</f>
        <v/>
      </c>
      <c r="G68">
        <f>'Runs Z score'!G60</f>
        <v/>
      </c>
      <c r="H68">
        <f>VLOOKUP(C68,Recipes!$A$2:$N$4,10,FALSE())</f>
        <v/>
      </c>
      <c r="I68">
        <f>VLOOKUP(C68,Recipes!$A$2:$N$4,12,FALSE())</f>
        <v/>
      </c>
      <c r="J68">
        <f>IF(G68="","",H68-G68)</f>
        <v/>
      </c>
      <c r="K68">
        <f>IF(G68="","",IF(ABS(G68-H68)&lt;=$B$6*I68,"OK","NG"))</f>
        <v/>
      </c>
      <c r="L68">
        <f>IF(K68="","",IF(K68=D68,1,0))</f>
        <v/>
      </c>
      <c r="M68" t="inlineStr">
        <is>
          <t>S2</t>
        </is>
      </c>
      <c r="N68" s="15" t="n">
        <v>1</v>
      </c>
      <c r="O68" s="15" t="n">
        <v>0</v>
      </c>
      <c r="P68">
        <f>IF(M68="","",IF(M68=E68,1,0))</f>
        <v/>
      </c>
      <c r="Q68">
        <f>IF(K68="OK","-",IF(N68&lt;$B$7,"AMBIGUOUS","CONFIDENT"))</f>
        <v/>
      </c>
    </row>
    <row r="69">
      <c r="A69">
        <f>'Runs Z score'!A61</f>
        <v/>
      </c>
      <c r="B69">
        <f>'Runs Z score'!B61</f>
        <v/>
      </c>
      <c r="C69">
        <f>'Runs Z score'!C61</f>
        <v/>
      </c>
      <c r="D69">
        <f>'Runs Z score'!D61</f>
        <v/>
      </c>
      <c r="E69">
        <f>'Runs Z score'!E61</f>
        <v/>
      </c>
      <c r="F69">
        <f>'Runs Z score'!F61</f>
        <v/>
      </c>
      <c r="G69">
        <f>'Runs Z score'!G61</f>
        <v/>
      </c>
      <c r="H69">
        <f>VLOOKUP(C69,Recipes!$A$2:$N$4,10,FALSE())</f>
        <v/>
      </c>
      <c r="I69">
        <f>VLOOKUP(C69,Recipes!$A$2:$N$4,12,FALSE())</f>
        <v/>
      </c>
      <c r="J69">
        <f>IF(G69="","",H69-G69)</f>
        <v/>
      </c>
      <c r="K69">
        <f>IF(G69="","",IF(ABS(G69-H69)&lt;=$B$6*I69,"OK","NG"))</f>
        <v/>
      </c>
      <c r="L69">
        <f>IF(K69="","",IF(K69=D69,1,0))</f>
        <v/>
      </c>
      <c r="M69" t="inlineStr">
        <is>
          <t>W2</t>
        </is>
      </c>
      <c r="N69" s="15" t="n">
        <v>1</v>
      </c>
      <c r="O69" s="15" t="n">
        <v>0</v>
      </c>
      <c r="P69">
        <f>IF(M69="","",IF(M69=E69,1,0))</f>
        <v/>
      </c>
      <c r="Q69">
        <f>IF(K69="OK","-",IF(N69&lt;$B$7,"AMBIGUOUS","CONFIDENT"))</f>
        <v/>
      </c>
    </row>
    <row r="70">
      <c r="A70">
        <f>'Runs Z score'!A62</f>
        <v/>
      </c>
      <c r="B70">
        <f>'Runs Z score'!B62</f>
        <v/>
      </c>
      <c r="C70">
        <f>'Runs Z score'!C62</f>
        <v/>
      </c>
      <c r="D70">
        <f>'Runs Z score'!D62</f>
        <v/>
      </c>
      <c r="E70">
        <f>'Runs Z score'!E62</f>
        <v/>
      </c>
      <c r="F70">
        <f>'Runs Z score'!F62</f>
        <v/>
      </c>
      <c r="G70">
        <f>'Runs Z score'!G62</f>
        <v/>
      </c>
      <c r="H70">
        <f>VLOOKUP(C70,Recipes!$A$2:$N$4,10,FALSE())</f>
        <v/>
      </c>
      <c r="I70">
        <f>VLOOKUP(C70,Recipes!$A$2:$N$4,12,FALSE())</f>
        <v/>
      </c>
      <c r="J70">
        <f>IF(G70="","",H70-G70)</f>
        <v/>
      </c>
      <c r="K70">
        <f>IF(G70="","",IF(ABS(G70-H70)&lt;=$B$6*I70,"OK","NG"))</f>
        <v/>
      </c>
      <c r="L70">
        <f>IF(K70="","",IF(K70=D70,1,0))</f>
        <v/>
      </c>
      <c r="M70" t="inlineStr">
        <is>
          <t>S2</t>
        </is>
      </c>
      <c r="N70" s="15" t="n">
        <v>1</v>
      </c>
      <c r="O70" s="15" t="n">
        <v>0</v>
      </c>
      <c r="P70">
        <f>IF(M70="","",IF(M70=E70,1,0))</f>
        <v/>
      </c>
      <c r="Q70">
        <f>IF(K70="OK","-",IF(N70&lt;$B$7,"AMBIGUOUS","CONFIDENT"))</f>
        <v/>
      </c>
    </row>
    <row r="71">
      <c r="A71">
        <f>'Runs Z score'!A63</f>
        <v/>
      </c>
      <c r="B71">
        <f>'Runs Z score'!B63</f>
        <v/>
      </c>
      <c r="C71">
        <f>'Runs Z score'!C63</f>
        <v/>
      </c>
      <c r="D71">
        <f>'Runs Z score'!D63</f>
        <v/>
      </c>
      <c r="E71">
        <f>'Runs Z score'!E63</f>
        <v/>
      </c>
      <c r="F71">
        <f>'Runs Z score'!F63</f>
        <v/>
      </c>
      <c r="G71">
        <f>'Runs Z score'!G63</f>
        <v/>
      </c>
      <c r="H71">
        <f>VLOOKUP(C71,Recipes!$A$2:$N$4,10,FALSE())</f>
        <v/>
      </c>
      <c r="I71">
        <f>VLOOKUP(C71,Recipes!$A$2:$N$4,12,FALSE())</f>
        <v/>
      </c>
      <c r="J71">
        <f>IF(G71="","",H71-G71)</f>
        <v/>
      </c>
      <c r="K71">
        <f>IF(G71="","",IF(ABS(G71-H71)&lt;=$B$6*I71,"OK","NG"))</f>
        <v/>
      </c>
      <c r="L71">
        <f>IF(K71="","",IF(K71=D71,1,0))</f>
        <v/>
      </c>
      <c r="M71" t="inlineStr">
        <is>
          <t>W2</t>
        </is>
      </c>
      <c r="N71" s="15" t="n">
        <v>0.731</v>
      </c>
      <c r="O71" s="15" t="n">
        <v>0.269</v>
      </c>
      <c r="P71">
        <f>IF(M71="","",IF(M71=E71,1,0))</f>
        <v/>
      </c>
      <c r="Q71">
        <f>IF(K71="OK","-",IF(N71&lt;$B$7,"AMBIGUOUS","CONFIDENT"))</f>
        <v/>
      </c>
    </row>
    <row r="72">
      <c r="A72">
        <f>'Runs Z score'!A64</f>
        <v/>
      </c>
      <c r="B72">
        <f>'Runs Z score'!B64</f>
        <v/>
      </c>
      <c r="C72">
        <f>'Runs Z score'!C64</f>
        <v/>
      </c>
      <c r="D72">
        <f>'Runs Z score'!D64</f>
        <v/>
      </c>
      <c r="E72">
        <f>'Runs Z score'!E64</f>
        <v/>
      </c>
      <c r="F72">
        <f>'Runs Z score'!F64</f>
        <v/>
      </c>
      <c r="G72">
        <f>'Runs Z score'!G64</f>
        <v/>
      </c>
      <c r="H72">
        <f>VLOOKUP(C72,Recipes!$A$2:$N$4,10,FALSE())</f>
        <v/>
      </c>
      <c r="I72">
        <f>VLOOKUP(C72,Recipes!$A$2:$N$4,12,FALSE())</f>
        <v/>
      </c>
      <c r="J72">
        <f>IF(G72="","",H72-G72)</f>
        <v/>
      </c>
      <c r="K72">
        <f>IF(G72="","",IF(ABS(G72-H72)&lt;=$B$6*I72,"OK","NG"))</f>
        <v/>
      </c>
      <c r="L72">
        <f>IF(K72="","",IF(K72=D72,1,0))</f>
        <v/>
      </c>
      <c r="M72" t="inlineStr">
        <is>
          <t>W2</t>
        </is>
      </c>
      <c r="N72" s="15" t="n">
        <v>0.9917</v>
      </c>
      <c r="O72" s="15" t="n">
        <v>0.0083</v>
      </c>
      <c r="P72">
        <f>IF(M72="","",IF(M72=E72,1,0))</f>
        <v/>
      </c>
      <c r="Q72">
        <f>IF(K72="OK","-",IF(N72&lt;$B$7,"AMBIGUOUS","CONFIDENT"))</f>
        <v/>
      </c>
    </row>
    <row r="73">
      <c r="A73">
        <f>'Runs Z score'!A65</f>
        <v/>
      </c>
      <c r="B73">
        <f>'Runs Z score'!B65</f>
        <v/>
      </c>
      <c r="C73">
        <f>'Runs Z score'!C65</f>
        <v/>
      </c>
      <c r="D73">
        <f>'Runs Z score'!D65</f>
        <v/>
      </c>
      <c r="E73">
        <f>'Runs Z score'!E65</f>
        <v/>
      </c>
      <c r="F73">
        <f>'Runs Z score'!F65</f>
        <v/>
      </c>
      <c r="G73">
        <f>'Runs Z score'!G65</f>
        <v/>
      </c>
      <c r="H73">
        <f>VLOOKUP(C73,Recipes!$A$2:$N$4,10,FALSE())</f>
        <v/>
      </c>
      <c r="I73">
        <f>VLOOKUP(C73,Recipes!$A$2:$N$4,12,FALSE())</f>
        <v/>
      </c>
      <c r="J73">
        <f>IF(G73="","",H73-G73)</f>
        <v/>
      </c>
      <c r="K73">
        <f>IF(G73="","",IF(ABS(G73-H73)&lt;=$B$6*I73,"OK","NG"))</f>
        <v/>
      </c>
      <c r="L73">
        <f>IF(K73="","",IF(K73=D73,1,0))</f>
        <v/>
      </c>
      <c r="M73" t="inlineStr">
        <is>
          <t>W2</t>
        </is>
      </c>
      <c r="N73" s="15" t="n">
        <v>1</v>
      </c>
      <c r="O73" s="15" t="n">
        <v>0</v>
      </c>
      <c r="P73">
        <f>IF(M73="","",IF(M73=E73,1,0))</f>
        <v/>
      </c>
      <c r="Q73">
        <f>IF(K73="OK","-",IF(N73&lt;$B$7,"AMBIGUOUS","CONFIDENT"))</f>
        <v/>
      </c>
    </row>
    <row r="74">
      <c r="A74">
        <f>'Runs Z score'!A66</f>
        <v/>
      </c>
      <c r="B74">
        <f>'Runs Z score'!B66</f>
        <v/>
      </c>
      <c r="C74">
        <f>'Runs Z score'!C66</f>
        <v/>
      </c>
      <c r="D74">
        <f>'Runs Z score'!D66</f>
        <v/>
      </c>
      <c r="E74">
        <f>'Runs Z score'!E66</f>
        <v/>
      </c>
      <c r="F74">
        <f>'Runs Z score'!F66</f>
        <v/>
      </c>
      <c r="G74">
        <f>'Runs Z score'!G66</f>
        <v/>
      </c>
      <c r="H74">
        <f>VLOOKUP(C74,Recipes!$A$2:$N$4,10,FALSE())</f>
        <v/>
      </c>
      <c r="I74">
        <f>VLOOKUP(C74,Recipes!$A$2:$N$4,12,FALSE())</f>
        <v/>
      </c>
      <c r="J74">
        <f>IF(G74="","",H74-G74)</f>
        <v/>
      </c>
      <c r="K74">
        <f>IF(G74="","",IF(ABS(G74-H74)&lt;=$B$6*I74,"OK","NG"))</f>
        <v/>
      </c>
      <c r="L74">
        <f>IF(K74="","",IF(K74=D74,1,0))</f>
        <v/>
      </c>
      <c r="M74" t="inlineStr">
        <is>
          <t>W2</t>
        </is>
      </c>
      <c r="N74" s="15" t="n">
        <v>1</v>
      </c>
      <c r="O74" s="15" t="n">
        <v>0</v>
      </c>
      <c r="P74">
        <f>IF(M74="","",IF(M74=E74,1,0))</f>
        <v/>
      </c>
      <c r="Q74">
        <f>IF(K74="OK","-",IF(N74&lt;$B$7,"AMBIGUOUS","CONFIDENT"))</f>
        <v/>
      </c>
    </row>
    <row r="75">
      <c r="A75">
        <f>'Runs Z score'!A67</f>
        <v/>
      </c>
      <c r="B75">
        <f>'Runs Z score'!B67</f>
        <v/>
      </c>
      <c r="C75">
        <f>'Runs Z score'!C67</f>
        <v/>
      </c>
      <c r="D75">
        <f>'Runs Z score'!D67</f>
        <v/>
      </c>
      <c r="E75">
        <f>'Runs Z score'!E67</f>
        <v/>
      </c>
      <c r="F75">
        <f>'Runs Z score'!F67</f>
        <v/>
      </c>
      <c r="G75">
        <f>'Runs Z score'!G67</f>
        <v/>
      </c>
      <c r="H75">
        <f>VLOOKUP(C75,Recipes!$A$2:$N$4,10,FALSE())</f>
        <v/>
      </c>
      <c r="I75">
        <f>VLOOKUP(C75,Recipes!$A$2:$N$4,12,FALSE())</f>
        <v/>
      </c>
      <c r="J75">
        <f>IF(G75="","",H75-G75)</f>
        <v/>
      </c>
      <c r="K75">
        <f>IF(G75="","",IF(ABS(G75-H75)&lt;=$B$6*I75,"OK","NG"))</f>
        <v/>
      </c>
      <c r="L75">
        <f>IF(K75="","",IF(K75=D75,1,0))</f>
        <v/>
      </c>
      <c r="M75" t="inlineStr">
        <is>
          <t>W2</t>
        </is>
      </c>
      <c r="N75" s="15" t="n">
        <v>1</v>
      </c>
      <c r="O75" s="15" t="n">
        <v>0</v>
      </c>
      <c r="P75">
        <f>IF(M75="","",IF(M75=E75,1,0))</f>
        <v/>
      </c>
      <c r="Q75">
        <f>IF(K75="OK","-",IF(N75&lt;$B$7,"AMBIGUOUS","CONFIDENT"))</f>
        <v/>
      </c>
    </row>
    <row r="76">
      <c r="A76">
        <f>'Runs Z score'!A68</f>
        <v/>
      </c>
      <c r="B76">
        <f>'Runs Z score'!B68</f>
        <v/>
      </c>
      <c r="C76">
        <f>'Runs Z score'!C68</f>
        <v/>
      </c>
      <c r="D76">
        <f>'Runs Z score'!D68</f>
        <v/>
      </c>
      <c r="E76">
        <f>'Runs Z score'!E68</f>
        <v/>
      </c>
      <c r="F76">
        <f>'Runs Z score'!F68</f>
        <v/>
      </c>
      <c r="G76">
        <f>'Runs Z score'!G68</f>
        <v/>
      </c>
      <c r="H76">
        <f>VLOOKUP(C76,Recipes!$A$2:$N$4,10,FALSE())</f>
        <v/>
      </c>
      <c r="I76">
        <f>VLOOKUP(C76,Recipes!$A$2:$N$4,12,FALSE())</f>
        <v/>
      </c>
      <c r="J76">
        <f>IF(G76="","",H76-G76)</f>
        <v/>
      </c>
      <c r="K76">
        <f>IF(G76="","",IF(ABS(G76-H76)&lt;=$B$6*I76,"OK","NG"))</f>
        <v/>
      </c>
      <c r="L76">
        <f>IF(K76="","",IF(K76=D76,1,0))</f>
        <v/>
      </c>
      <c r="M76" t="inlineStr">
        <is>
          <t>W2</t>
        </is>
      </c>
      <c r="N76" s="15" t="n">
        <v>1</v>
      </c>
      <c r="O76" s="15" t="n">
        <v>0</v>
      </c>
      <c r="P76">
        <f>IF(M76="","",IF(M76=E76,1,0))</f>
        <v/>
      </c>
      <c r="Q76">
        <f>IF(K76="OK","-",IF(N76&lt;$B$7,"AMBIGUOUS","CONFIDENT"))</f>
        <v/>
      </c>
    </row>
    <row r="77">
      <c r="A77">
        <f>'Runs Z score'!A69</f>
        <v/>
      </c>
      <c r="B77">
        <f>'Runs Z score'!B69</f>
        <v/>
      </c>
      <c r="C77">
        <f>'Runs Z score'!C69</f>
        <v/>
      </c>
      <c r="D77">
        <f>'Runs Z score'!D69</f>
        <v/>
      </c>
      <c r="E77">
        <f>'Runs Z score'!E69</f>
        <v/>
      </c>
      <c r="F77">
        <f>'Runs Z score'!F69</f>
        <v/>
      </c>
      <c r="G77">
        <f>'Runs Z score'!G69</f>
        <v/>
      </c>
      <c r="H77">
        <f>VLOOKUP(C77,Recipes!$A$2:$N$4,10,FALSE())</f>
        <v/>
      </c>
      <c r="I77">
        <f>VLOOKUP(C77,Recipes!$A$2:$N$4,12,FALSE())</f>
        <v/>
      </c>
      <c r="J77">
        <f>IF(G77="","",H77-G77)</f>
        <v/>
      </c>
      <c r="K77">
        <f>IF(G77="","",IF(ABS(G77-H77)&lt;=$B$6*I77,"OK","NG"))</f>
        <v/>
      </c>
      <c r="L77">
        <f>IF(K77="","",IF(K77=D77,1,0))</f>
        <v/>
      </c>
      <c r="M77" t="inlineStr">
        <is>
          <t>W2</t>
        </is>
      </c>
      <c r="N77" s="15" t="n">
        <v>1</v>
      </c>
      <c r="O77" s="15" t="n">
        <v>0</v>
      </c>
      <c r="P77">
        <f>IF(M77="","",IF(M77=E77,1,0))</f>
        <v/>
      </c>
      <c r="Q77">
        <f>IF(K77="OK","-",IF(N77&lt;$B$7,"AMBIGUOUS","CONFIDENT"))</f>
        <v/>
      </c>
    </row>
    <row r="78">
      <c r="A78">
        <f>'Runs Z score'!A70</f>
        <v/>
      </c>
      <c r="B78">
        <f>'Runs Z score'!B70</f>
        <v/>
      </c>
      <c r="C78">
        <f>'Runs Z score'!C70</f>
        <v/>
      </c>
      <c r="D78">
        <f>'Runs Z score'!D70</f>
        <v/>
      </c>
      <c r="E78">
        <f>'Runs Z score'!E70</f>
        <v/>
      </c>
      <c r="F78">
        <f>'Runs Z score'!F70</f>
        <v/>
      </c>
      <c r="G78">
        <f>'Runs Z score'!G70</f>
        <v/>
      </c>
      <c r="H78">
        <f>VLOOKUP(C78,Recipes!$A$2:$N$4,10,FALSE())</f>
        <v/>
      </c>
      <c r="I78">
        <f>VLOOKUP(C78,Recipes!$A$2:$N$4,12,FALSE())</f>
        <v/>
      </c>
      <c r="J78">
        <f>IF(G78="","",H78-G78)</f>
        <v/>
      </c>
      <c r="K78">
        <f>IF(G78="","",IF(ABS(G78-H78)&lt;=$B$6*I78,"OK","NG"))</f>
        <v/>
      </c>
      <c r="L78">
        <f>IF(K78="","",IF(K78=D78,1,0))</f>
        <v/>
      </c>
      <c r="M78" t="inlineStr">
        <is>
          <t>W2</t>
        </is>
      </c>
      <c r="N78" s="15" t="n">
        <v>0.9806</v>
      </c>
      <c r="O78" s="15" t="n">
        <v>0.0194</v>
      </c>
      <c r="P78">
        <f>IF(M78="","",IF(M78=E78,1,0))</f>
        <v/>
      </c>
      <c r="Q78">
        <f>IF(K78="OK","-",IF(N78&lt;$B$7,"AMBIGUOUS","CONFIDENT"))</f>
        <v/>
      </c>
    </row>
    <row r="79">
      <c r="A79">
        <f>'Runs Z score'!A71</f>
        <v/>
      </c>
      <c r="B79">
        <f>'Runs Z score'!B71</f>
        <v/>
      </c>
      <c r="C79">
        <f>'Runs Z score'!C71</f>
        <v/>
      </c>
      <c r="D79">
        <f>'Runs Z score'!D71</f>
        <v/>
      </c>
      <c r="E79">
        <f>'Runs Z score'!E71</f>
        <v/>
      </c>
      <c r="F79">
        <f>'Runs Z score'!F71</f>
        <v/>
      </c>
      <c r="G79">
        <f>'Runs Z score'!G71</f>
        <v/>
      </c>
      <c r="H79">
        <f>VLOOKUP(C79,Recipes!$A$2:$N$4,10,FALSE())</f>
        <v/>
      </c>
      <c r="I79">
        <f>VLOOKUP(C79,Recipes!$A$2:$N$4,12,FALSE())</f>
        <v/>
      </c>
      <c r="J79">
        <f>IF(G79="","",H79-G79)</f>
        <v/>
      </c>
      <c r="K79">
        <f>IF(G79="","",IF(ABS(G79-H79)&lt;=$B$6*I79,"OK","NG"))</f>
        <v/>
      </c>
      <c r="L79">
        <f>IF(K79="","",IF(K79=D79,1,0))</f>
        <v/>
      </c>
      <c r="M79" t="inlineStr">
        <is>
          <t>W2</t>
        </is>
      </c>
      <c r="N79" s="15" t="n">
        <v>0.9967</v>
      </c>
      <c r="O79" s="15" t="n">
        <v>0.0033</v>
      </c>
      <c r="P79">
        <f>IF(M79="","",IF(M79=E79,1,0))</f>
        <v/>
      </c>
      <c r="Q79">
        <f>IF(K79="OK","-",IF(N79&lt;$B$7,"AMBIGUOUS","CONFIDENT"))</f>
        <v/>
      </c>
    </row>
    <row r="80">
      <c r="A80">
        <f>'Runs Z score'!A72</f>
        <v/>
      </c>
      <c r="B80">
        <f>'Runs Z score'!B72</f>
        <v/>
      </c>
      <c r="C80">
        <f>'Runs Z score'!C72</f>
        <v/>
      </c>
      <c r="D80">
        <f>'Runs Z score'!D72</f>
        <v/>
      </c>
      <c r="E80">
        <f>'Runs Z score'!E72</f>
        <v/>
      </c>
      <c r="F80">
        <f>'Runs Z score'!F72</f>
        <v/>
      </c>
      <c r="G80">
        <f>'Runs Z score'!G72</f>
        <v/>
      </c>
      <c r="H80">
        <f>VLOOKUP(C80,Recipes!$A$2:$N$4,10,FALSE())</f>
        <v/>
      </c>
      <c r="I80">
        <f>VLOOKUP(C80,Recipes!$A$2:$N$4,12,FALSE())</f>
        <v/>
      </c>
      <c r="J80">
        <f>IF(G80="","",H80-G80)</f>
        <v/>
      </c>
      <c r="K80">
        <f>IF(G80="","",IF(ABS(G80-H80)&lt;=$B$6*I80,"OK","NG"))</f>
        <v/>
      </c>
      <c r="L80">
        <f>IF(K80="","",IF(K80=D80,1,0))</f>
        <v/>
      </c>
      <c r="M80" t="inlineStr">
        <is>
          <t>W2</t>
        </is>
      </c>
      <c r="N80" s="15" t="n">
        <v>1</v>
      </c>
      <c r="O80" s="15" t="n">
        <v>0</v>
      </c>
      <c r="P80">
        <f>IF(M80="","",IF(M80=E80,1,0))</f>
        <v/>
      </c>
      <c r="Q80">
        <f>IF(K80="OK","-",IF(N80&lt;$B$7,"AMBIGUOUS","CONFIDENT"))</f>
        <v/>
      </c>
    </row>
    <row r="81">
      <c r="A81">
        <f>'Runs Z score'!A73</f>
        <v/>
      </c>
      <c r="B81">
        <f>'Runs Z score'!B73</f>
        <v/>
      </c>
      <c r="C81">
        <f>'Runs Z score'!C73</f>
        <v/>
      </c>
      <c r="D81">
        <f>'Runs Z score'!D73</f>
        <v/>
      </c>
      <c r="E81">
        <f>'Runs Z score'!E73</f>
        <v/>
      </c>
      <c r="F81">
        <f>'Runs Z score'!F73</f>
        <v/>
      </c>
      <c r="G81">
        <f>'Runs Z score'!G73</f>
        <v/>
      </c>
      <c r="H81">
        <f>VLOOKUP(C81,Recipes!$A$2:$N$4,10,FALSE())</f>
        <v/>
      </c>
      <c r="I81">
        <f>VLOOKUP(C81,Recipes!$A$2:$N$4,12,FALSE())</f>
        <v/>
      </c>
      <c r="J81">
        <f>IF(G81="","",H81-G81)</f>
        <v/>
      </c>
      <c r="K81">
        <f>IF(G81="","",IF(ABS(G81-H81)&lt;=$B$6*I81,"OK","NG"))</f>
        <v/>
      </c>
      <c r="L81">
        <f>IF(K81="","",IF(K81=D81,1,0))</f>
        <v/>
      </c>
      <c r="M81" t="inlineStr">
        <is>
          <t>W2</t>
        </is>
      </c>
      <c r="N81" s="15" t="n">
        <v>1</v>
      </c>
      <c r="O81" s="15" t="n">
        <v>0</v>
      </c>
      <c r="P81">
        <f>IF(M81="","",IF(M81=E81,1,0))</f>
        <v/>
      </c>
      <c r="Q81">
        <f>IF(K81="OK","-",IF(N81&lt;$B$7,"AMBIGUOUS","CONFIDENT"))</f>
        <v/>
      </c>
    </row>
    <row r="82">
      <c r="A82">
        <f>'Runs Z score'!A74</f>
        <v/>
      </c>
      <c r="B82">
        <f>'Runs Z score'!B74</f>
        <v/>
      </c>
      <c r="C82">
        <f>'Runs Z score'!C74</f>
        <v/>
      </c>
      <c r="D82">
        <f>'Runs Z score'!D74</f>
        <v/>
      </c>
      <c r="E82">
        <f>'Runs Z score'!E74</f>
        <v/>
      </c>
      <c r="F82">
        <f>'Runs Z score'!F74</f>
        <v/>
      </c>
      <c r="G82">
        <f>'Runs Z score'!G74</f>
        <v/>
      </c>
      <c r="H82">
        <f>VLOOKUP(C82,Recipes!$A$2:$N$4,10,FALSE())</f>
        <v/>
      </c>
      <c r="I82">
        <f>VLOOKUP(C82,Recipes!$A$2:$N$4,12,FALSE())</f>
        <v/>
      </c>
      <c r="J82">
        <f>IF(G82="","",H82-G82)</f>
        <v/>
      </c>
      <c r="K82">
        <f>IF(G82="","",IF(ABS(G82-H82)&lt;=$B$6*I82,"OK","NG"))</f>
        <v/>
      </c>
      <c r="L82">
        <f>IF(K82="","",IF(K82=D82,1,0))</f>
        <v/>
      </c>
      <c r="M82" t="inlineStr">
        <is>
          <t>W2</t>
        </is>
      </c>
      <c r="N82" s="15" t="n">
        <v>1</v>
      </c>
      <c r="O82" s="15" t="n">
        <v>0</v>
      </c>
      <c r="P82">
        <f>IF(M82="","",IF(M82=E82,1,0))</f>
        <v/>
      </c>
      <c r="Q82">
        <f>IF(K82="OK","-",IF(N82&lt;$B$7,"AMBIGUOUS","CONFIDENT"))</f>
        <v/>
      </c>
    </row>
    <row r="83">
      <c r="A83">
        <f>'Runs Z score'!A75</f>
        <v/>
      </c>
      <c r="B83">
        <f>'Runs Z score'!B75</f>
        <v/>
      </c>
      <c r="C83">
        <f>'Runs Z score'!C75</f>
        <v/>
      </c>
      <c r="D83">
        <f>'Runs Z score'!D75</f>
        <v/>
      </c>
      <c r="E83">
        <f>'Runs Z score'!E75</f>
        <v/>
      </c>
      <c r="F83">
        <f>'Runs Z score'!F75</f>
        <v/>
      </c>
      <c r="G83">
        <f>'Runs Z score'!G75</f>
        <v/>
      </c>
      <c r="H83">
        <f>VLOOKUP(C83,Recipes!$A$2:$N$4,10,FALSE())</f>
        <v/>
      </c>
      <c r="I83">
        <f>VLOOKUP(C83,Recipes!$A$2:$N$4,12,FALSE())</f>
        <v/>
      </c>
      <c r="J83">
        <f>IF(G83="","",H83-G83)</f>
        <v/>
      </c>
      <c r="K83">
        <f>IF(G83="","",IF(ABS(G83-H83)&lt;=$B$6*I83,"OK","NG"))</f>
        <v/>
      </c>
      <c r="L83">
        <f>IF(K83="","",IF(K83=D83,1,0))</f>
        <v/>
      </c>
      <c r="M83" t="inlineStr">
        <is>
          <t>W2</t>
        </is>
      </c>
      <c r="N83" s="15" t="n">
        <v>1</v>
      </c>
      <c r="O83" s="15" t="n">
        <v>0</v>
      </c>
      <c r="P83">
        <f>IF(M83="","",IF(M83=E83,1,0))</f>
        <v/>
      </c>
      <c r="Q83">
        <f>IF(K83="OK","-",IF(N83&lt;$B$7,"AMBIGUOUS","CONFIDENT"))</f>
        <v/>
      </c>
    </row>
    <row r="84">
      <c r="A84">
        <f>'Runs Z score'!A76</f>
        <v/>
      </c>
      <c r="B84">
        <f>'Runs Z score'!B76</f>
        <v/>
      </c>
      <c r="C84">
        <f>'Runs Z score'!C76</f>
        <v/>
      </c>
      <c r="D84">
        <f>'Runs Z score'!D76</f>
        <v/>
      </c>
      <c r="E84">
        <f>'Runs Z score'!E76</f>
        <v/>
      </c>
      <c r="F84">
        <f>'Runs Z score'!F76</f>
        <v/>
      </c>
      <c r="G84">
        <f>'Runs Z score'!G76</f>
        <v/>
      </c>
      <c r="H84">
        <f>VLOOKUP(C84,Recipes!$A$2:$N$4,10,FALSE())</f>
        <v/>
      </c>
      <c r="I84">
        <f>VLOOKUP(C84,Recipes!$A$2:$N$4,12,FALSE())</f>
        <v/>
      </c>
      <c r="J84">
        <f>IF(G84="","",H84-G84)</f>
        <v/>
      </c>
      <c r="K84">
        <f>IF(G84="","",IF(ABS(G84-H84)&lt;=$B$6*I84,"OK","NG"))</f>
        <v/>
      </c>
      <c r="L84">
        <f>IF(K84="","",IF(K84=D84,1,0))</f>
        <v/>
      </c>
      <c r="M84" t="inlineStr">
        <is>
          <t>W2</t>
        </is>
      </c>
      <c r="N84" s="15" t="n">
        <v>0.9975000000000001</v>
      </c>
      <c r="O84" s="15" t="n">
        <v>0.0025</v>
      </c>
      <c r="P84">
        <f>IF(M84="","",IF(M84=E84,1,0))</f>
        <v/>
      </c>
      <c r="Q84">
        <f>IF(K84="OK","-",IF(N84&lt;$B$7,"AMBIGUOUS","CONFIDENT"))</f>
        <v/>
      </c>
    </row>
    <row r="85">
      <c r="A85">
        <f>'Runs Z score'!A77</f>
        <v/>
      </c>
      <c r="B85">
        <f>'Runs Z score'!B77</f>
        <v/>
      </c>
      <c r="C85">
        <f>'Runs Z score'!C77</f>
        <v/>
      </c>
      <c r="D85">
        <f>'Runs Z score'!D77</f>
        <v/>
      </c>
      <c r="E85">
        <f>'Runs Z score'!E77</f>
        <v/>
      </c>
      <c r="F85">
        <f>'Runs Z score'!F77</f>
        <v/>
      </c>
      <c r="G85">
        <f>'Runs Z score'!G77</f>
        <v/>
      </c>
      <c r="H85">
        <f>VLOOKUP(C85,Recipes!$A$2:$N$4,10,FALSE())</f>
        <v/>
      </c>
      <c r="I85">
        <f>VLOOKUP(C85,Recipes!$A$2:$N$4,12,FALSE())</f>
        <v/>
      </c>
      <c r="J85">
        <f>IF(G85="","",H85-G85)</f>
        <v/>
      </c>
      <c r="K85">
        <f>IF(G85="","",IF(ABS(G85-H85)&lt;=$B$6*I85,"OK","NG"))</f>
        <v/>
      </c>
      <c r="L85">
        <f>IF(K85="","",IF(K85=D85,1,0))</f>
        <v/>
      </c>
      <c r="M85" t="inlineStr">
        <is>
          <t>W2</t>
        </is>
      </c>
      <c r="N85" s="15" t="n">
        <v>0.9903</v>
      </c>
      <c r="O85" s="15" t="n">
        <v>0.0097</v>
      </c>
      <c r="P85">
        <f>IF(M85="","",IF(M85=E85,1,0))</f>
        <v/>
      </c>
      <c r="Q85">
        <f>IF(K85="OK","-",IF(N85&lt;$B$7,"AMBIGUOUS","CONFIDENT"))</f>
        <v/>
      </c>
    </row>
    <row r="86">
      <c r="A86">
        <f>'Runs Z score'!A78</f>
        <v/>
      </c>
      <c r="B86">
        <f>'Runs Z score'!B78</f>
        <v/>
      </c>
      <c r="C86">
        <f>'Runs Z score'!C78</f>
        <v/>
      </c>
      <c r="D86">
        <f>'Runs Z score'!D78</f>
        <v/>
      </c>
      <c r="E86">
        <f>'Runs Z score'!E78</f>
        <v/>
      </c>
      <c r="F86">
        <f>'Runs Z score'!F78</f>
        <v/>
      </c>
      <c r="G86">
        <f>'Runs Z score'!G78</f>
        <v/>
      </c>
      <c r="H86">
        <f>VLOOKUP(C86,Recipes!$A$2:$N$4,10,FALSE())</f>
        <v/>
      </c>
      <c r="I86">
        <f>VLOOKUP(C86,Recipes!$A$2:$N$4,12,FALSE())</f>
        <v/>
      </c>
      <c r="J86">
        <f>IF(G86="","",H86-G86)</f>
        <v/>
      </c>
      <c r="K86">
        <f>IF(G86="","",IF(ABS(G86-H86)&lt;=$B$6*I86,"OK","NG"))</f>
        <v/>
      </c>
      <c r="L86">
        <f>IF(K86="","",IF(K86=D86,1,0))</f>
        <v/>
      </c>
      <c r="M86" t="inlineStr">
        <is>
          <t>W2</t>
        </is>
      </c>
      <c r="N86" s="15" t="n">
        <v>0.9967</v>
      </c>
      <c r="O86" s="15" t="n">
        <v>0.0033</v>
      </c>
      <c r="P86">
        <f>IF(M86="","",IF(M86=E86,1,0))</f>
        <v/>
      </c>
      <c r="Q86">
        <f>IF(K86="OK","-",IF(N86&lt;$B$7,"AMBIGUOUS","CONFIDENT"))</f>
        <v/>
      </c>
    </row>
    <row r="87">
      <c r="A87">
        <f>'Runs Z score'!A79</f>
        <v/>
      </c>
      <c r="B87">
        <f>'Runs Z score'!B79</f>
        <v/>
      </c>
      <c r="C87">
        <f>'Runs Z score'!C79</f>
        <v/>
      </c>
      <c r="D87">
        <f>'Runs Z score'!D79</f>
        <v/>
      </c>
      <c r="E87">
        <f>'Runs Z score'!E79</f>
        <v/>
      </c>
      <c r="F87">
        <f>'Runs Z score'!F79</f>
        <v/>
      </c>
      <c r="G87">
        <f>'Runs Z score'!G79</f>
        <v/>
      </c>
      <c r="H87">
        <f>VLOOKUP(C87,Recipes!$A$2:$N$4,10,FALSE())</f>
        <v/>
      </c>
      <c r="I87">
        <f>VLOOKUP(C87,Recipes!$A$2:$N$4,12,FALSE())</f>
        <v/>
      </c>
      <c r="J87">
        <f>IF(G87="","",H87-G87)</f>
        <v/>
      </c>
      <c r="K87">
        <f>IF(G87="","",IF(ABS(G87-H87)&lt;=$B$6*I87,"OK","NG"))</f>
        <v/>
      </c>
      <c r="L87">
        <f>IF(K87="","",IF(K87=D87,1,0))</f>
        <v/>
      </c>
      <c r="M87" t="inlineStr">
        <is>
          <t>W2</t>
        </is>
      </c>
      <c r="N87" s="15" t="n">
        <v>1</v>
      </c>
      <c r="O87" s="15" t="n">
        <v>0</v>
      </c>
      <c r="P87">
        <f>IF(M87="","",IF(M87=E87,1,0))</f>
        <v/>
      </c>
      <c r="Q87">
        <f>IF(K87="OK","-",IF(N87&lt;$B$7,"AMBIGUOUS","CONFIDENT"))</f>
        <v/>
      </c>
    </row>
    <row r="88">
      <c r="A88">
        <f>'Runs Z score'!A80</f>
        <v/>
      </c>
      <c r="B88">
        <f>'Runs Z score'!B80</f>
        <v/>
      </c>
      <c r="C88">
        <f>'Runs Z score'!C80</f>
        <v/>
      </c>
      <c r="D88">
        <f>'Runs Z score'!D80</f>
        <v/>
      </c>
      <c r="E88">
        <f>'Runs Z score'!E80</f>
        <v/>
      </c>
      <c r="F88">
        <f>'Runs Z score'!F80</f>
        <v/>
      </c>
      <c r="G88">
        <f>'Runs Z score'!G80</f>
        <v/>
      </c>
      <c r="H88">
        <f>VLOOKUP(C88,Recipes!$A$2:$N$4,10,FALSE())</f>
        <v/>
      </c>
      <c r="I88">
        <f>VLOOKUP(C88,Recipes!$A$2:$N$4,12,FALSE())</f>
        <v/>
      </c>
      <c r="J88">
        <f>IF(G88="","",H88-G88)</f>
        <v/>
      </c>
      <c r="K88">
        <f>IF(G88="","",IF(ABS(G88-H88)&lt;=$B$6*I88,"OK","NG"))</f>
        <v/>
      </c>
      <c r="L88">
        <f>IF(K88="","",IF(K88=D88,1,0))</f>
        <v/>
      </c>
      <c r="M88" t="inlineStr">
        <is>
          <t>W2</t>
        </is>
      </c>
      <c r="N88" s="15" t="n">
        <v>0.8863</v>
      </c>
      <c r="O88" s="15" t="n">
        <v>0.1137</v>
      </c>
      <c r="P88">
        <f>IF(M88="","",IF(M88=E88,1,0))</f>
        <v/>
      </c>
      <c r="Q88">
        <f>IF(K88="OK","-",IF(N88&lt;$B$7,"AMBIGUOUS","CONFIDENT"))</f>
        <v/>
      </c>
    </row>
    <row r="89">
      <c r="A89">
        <f>'Runs Z score'!A81</f>
        <v/>
      </c>
      <c r="B89">
        <f>'Runs Z score'!B81</f>
        <v/>
      </c>
      <c r="C89">
        <f>'Runs Z score'!C81</f>
        <v/>
      </c>
      <c r="D89">
        <f>'Runs Z score'!D81</f>
        <v/>
      </c>
      <c r="E89">
        <f>'Runs Z score'!E81</f>
        <v/>
      </c>
      <c r="F89">
        <f>'Runs Z score'!F81</f>
        <v/>
      </c>
      <c r="G89">
        <f>'Runs Z score'!G81</f>
        <v/>
      </c>
      <c r="H89">
        <f>VLOOKUP(C89,Recipes!$A$2:$N$4,10,FALSE())</f>
        <v/>
      </c>
      <c r="I89">
        <f>VLOOKUP(C89,Recipes!$A$2:$N$4,12,FALSE())</f>
        <v/>
      </c>
      <c r="J89">
        <f>IF(G89="","",H89-G89)</f>
        <v/>
      </c>
      <c r="K89">
        <f>IF(G89="","",IF(ABS(G89-H89)&lt;=$B$6*I89,"OK","NG"))</f>
        <v/>
      </c>
      <c r="L89">
        <f>IF(K89="","",IF(K89=D89,1,0))</f>
        <v/>
      </c>
      <c r="M89" t="inlineStr">
        <is>
          <t>W2</t>
        </is>
      </c>
      <c r="N89" s="15" t="n">
        <v>1</v>
      </c>
      <c r="O89" s="15" t="n">
        <v>0</v>
      </c>
      <c r="P89">
        <f>IF(M89="","",IF(M89=E89,1,0))</f>
        <v/>
      </c>
      <c r="Q89">
        <f>IF(K89="OK","-",IF(N89&lt;$B$7,"AMBIGUOUS","CONFIDENT"))</f>
        <v/>
      </c>
    </row>
    <row r="90">
      <c r="A90">
        <f>'Runs Z score'!A82</f>
        <v/>
      </c>
      <c r="B90">
        <f>'Runs Z score'!B82</f>
        <v/>
      </c>
      <c r="C90">
        <f>'Runs Z score'!C82</f>
        <v/>
      </c>
      <c r="D90">
        <f>'Runs Z score'!D82</f>
        <v/>
      </c>
      <c r="E90">
        <f>'Runs Z score'!E82</f>
        <v/>
      </c>
      <c r="F90">
        <f>'Runs Z score'!F82</f>
        <v/>
      </c>
      <c r="G90">
        <f>'Runs Z score'!G82</f>
        <v/>
      </c>
      <c r="H90">
        <f>VLOOKUP(C90,Recipes!$A$2:$N$4,10,FALSE())</f>
        <v/>
      </c>
      <c r="I90">
        <f>VLOOKUP(C90,Recipes!$A$2:$N$4,12,FALSE())</f>
        <v/>
      </c>
      <c r="J90">
        <f>IF(G90="","",H90-G90)</f>
        <v/>
      </c>
      <c r="K90">
        <f>IF(G90="","",IF(ABS(G90-H90)&lt;=$B$6*I90,"OK","NG"))</f>
        <v/>
      </c>
      <c r="L90">
        <f>IF(K90="","",IF(K90=D90,1,0))</f>
        <v/>
      </c>
      <c r="M90" t="inlineStr">
        <is>
          <t>W2</t>
        </is>
      </c>
      <c r="N90" s="15" t="n">
        <v>0.9975000000000001</v>
      </c>
      <c r="O90" s="15" t="n">
        <v>0.0025</v>
      </c>
      <c r="P90">
        <f>IF(M90="","",IF(M90=E90,1,0))</f>
        <v/>
      </c>
      <c r="Q90">
        <f>IF(K90="OK","-",IF(N90&lt;$B$7,"AMBIGUOUS","CONFIDENT"))</f>
        <v/>
      </c>
    </row>
    <row r="91">
      <c r="A91">
        <f>'Runs Z score'!A83</f>
        <v/>
      </c>
      <c r="B91">
        <f>'Runs Z score'!B83</f>
        <v/>
      </c>
      <c r="C91">
        <f>'Runs Z score'!C83</f>
        <v/>
      </c>
      <c r="D91">
        <f>'Runs Z score'!D83</f>
        <v/>
      </c>
      <c r="E91">
        <f>'Runs Z score'!E83</f>
        <v/>
      </c>
      <c r="F91">
        <f>'Runs Z score'!F83</f>
        <v/>
      </c>
      <c r="G91">
        <f>'Runs Z score'!G83</f>
        <v/>
      </c>
      <c r="H91">
        <f>VLOOKUP(C91,Recipes!$A$2:$N$4,10,FALSE())</f>
        <v/>
      </c>
      <c r="I91">
        <f>VLOOKUP(C91,Recipes!$A$2:$N$4,12,FALSE())</f>
        <v/>
      </c>
      <c r="J91">
        <f>IF(G91="","",H91-G91)</f>
        <v/>
      </c>
      <c r="K91">
        <f>IF(G91="","",IF(ABS(G91-H91)&lt;=$B$6*I91,"OK","NG"))</f>
        <v/>
      </c>
      <c r="L91">
        <f>IF(K91="","",IF(K91=D91,1,0))</f>
        <v/>
      </c>
      <c r="M91" t="inlineStr">
        <is>
          <t>W2</t>
        </is>
      </c>
      <c r="N91" s="15" t="n">
        <v>0.9975000000000001</v>
      </c>
      <c r="O91" s="15" t="n">
        <v>0.0025</v>
      </c>
      <c r="P91">
        <f>IF(M91="","",IF(M91=E91,1,0))</f>
        <v/>
      </c>
      <c r="Q91">
        <f>IF(K91="OK","-",IF(N91&lt;$B$7,"AMBIGUOUS","CONFIDENT"))</f>
        <v/>
      </c>
    </row>
    <row r="92">
      <c r="A92">
        <f>'Runs Z score'!A84</f>
        <v/>
      </c>
      <c r="B92">
        <f>'Runs Z score'!B84</f>
        <v/>
      </c>
      <c r="C92">
        <f>'Runs Z score'!C84</f>
        <v/>
      </c>
      <c r="D92">
        <f>'Runs Z score'!D84</f>
        <v/>
      </c>
      <c r="E92">
        <f>'Runs Z score'!E84</f>
        <v/>
      </c>
      <c r="F92">
        <f>'Runs Z score'!F84</f>
        <v/>
      </c>
      <c r="G92">
        <f>'Runs Z score'!G84</f>
        <v/>
      </c>
      <c r="H92">
        <f>VLOOKUP(C92,Recipes!$A$2:$N$4,10,FALSE())</f>
        <v/>
      </c>
      <c r="I92">
        <f>VLOOKUP(C92,Recipes!$A$2:$N$4,12,FALSE())</f>
        <v/>
      </c>
      <c r="J92">
        <f>IF(G92="","",H92-G92)</f>
        <v/>
      </c>
      <c r="K92">
        <f>IF(G92="","",IF(ABS(G92-H92)&lt;=$B$6*I92,"OK","NG"))</f>
        <v/>
      </c>
      <c r="L92">
        <f>IF(K92="","",IF(K92=D92,1,0))</f>
        <v/>
      </c>
      <c r="M92" t="inlineStr">
        <is>
          <t>W2</t>
        </is>
      </c>
      <c r="N92" s="15" t="n">
        <v>1</v>
      </c>
      <c r="O92" s="15" t="n">
        <v>0</v>
      </c>
      <c r="P92">
        <f>IF(M92="","",IF(M92=E92,1,0))</f>
        <v/>
      </c>
      <c r="Q92">
        <f>IF(K92="OK","-",IF(N92&lt;$B$7,"AMBIGUOUS","CONFIDENT"))</f>
        <v/>
      </c>
    </row>
    <row r="93">
      <c r="A93">
        <f>'Runs Z score'!A85</f>
        <v/>
      </c>
      <c r="B93">
        <f>'Runs Z score'!B85</f>
        <v/>
      </c>
      <c r="C93">
        <f>'Runs Z score'!C85</f>
        <v/>
      </c>
      <c r="D93">
        <f>'Runs Z score'!D85</f>
        <v/>
      </c>
      <c r="E93">
        <f>'Runs Z score'!E85</f>
        <v/>
      </c>
      <c r="F93">
        <f>'Runs Z score'!F85</f>
        <v/>
      </c>
      <c r="G93">
        <f>'Runs Z score'!G85</f>
        <v/>
      </c>
      <c r="H93">
        <f>VLOOKUP(C93,Recipes!$A$2:$N$4,10,FALSE())</f>
        <v/>
      </c>
      <c r="I93">
        <f>VLOOKUP(C93,Recipes!$A$2:$N$4,12,FALSE())</f>
        <v/>
      </c>
      <c r="J93">
        <f>IF(G93="","",H93-G93)</f>
        <v/>
      </c>
      <c r="K93">
        <f>IF(G93="","",IF(ABS(G93-H93)&lt;=$B$6*I93,"OK","NG"))</f>
        <v/>
      </c>
      <c r="L93">
        <f>IF(K93="","",IF(K93=D93,1,0))</f>
        <v/>
      </c>
      <c r="M93" t="inlineStr">
        <is>
          <t>W2</t>
        </is>
      </c>
      <c r="N93" s="15" t="n">
        <v>1</v>
      </c>
      <c r="O93" s="15" t="n">
        <v>0</v>
      </c>
      <c r="P93">
        <f>IF(M93="","",IF(M93=E93,1,0))</f>
        <v/>
      </c>
      <c r="Q93">
        <f>IF(K93="OK","-",IF(N93&lt;$B$7,"AMBIGUOUS","CONFIDENT"))</f>
        <v/>
      </c>
    </row>
    <row r="94">
      <c r="A94">
        <f>'Runs Z score'!A86</f>
        <v/>
      </c>
      <c r="B94">
        <f>'Runs Z score'!B86</f>
        <v/>
      </c>
      <c r="C94">
        <f>'Runs Z score'!C86</f>
        <v/>
      </c>
      <c r="D94">
        <f>'Runs Z score'!D86</f>
        <v/>
      </c>
      <c r="E94">
        <f>'Runs Z score'!E86</f>
        <v/>
      </c>
      <c r="F94">
        <f>'Runs Z score'!F86</f>
        <v/>
      </c>
      <c r="G94">
        <f>'Runs Z score'!G86</f>
        <v/>
      </c>
      <c r="H94">
        <f>VLOOKUP(C94,Recipes!$A$2:$N$4,10,FALSE())</f>
        <v/>
      </c>
      <c r="I94">
        <f>VLOOKUP(C94,Recipes!$A$2:$N$4,12,FALSE())</f>
        <v/>
      </c>
      <c r="J94">
        <f>IF(G94="","",H94-G94)</f>
        <v/>
      </c>
      <c r="K94">
        <f>IF(G94="","",IF(ABS(G94-H94)&lt;=$B$6*I94,"OK","NG"))</f>
        <v/>
      </c>
      <c r="L94">
        <f>IF(K94="","",IF(K94=D94,1,0))</f>
        <v/>
      </c>
      <c r="M94" t="inlineStr">
        <is>
          <t>W2</t>
        </is>
      </c>
      <c r="N94" s="15" t="n">
        <v>1</v>
      </c>
      <c r="O94" s="15" t="n">
        <v>0</v>
      </c>
      <c r="P94">
        <f>IF(M94="","",IF(M94=E94,1,0))</f>
        <v/>
      </c>
      <c r="Q94">
        <f>IF(K94="OK","-",IF(N94&lt;$B$7,"AMBIGUOUS","CONFIDENT"))</f>
        <v/>
      </c>
    </row>
    <row r="95">
      <c r="A95">
        <f>'Runs Z score'!A87</f>
        <v/>
      </c>
      <c r="B95">
        <f>'Runs Z score'!B87</f>
        <v/>
      </c>
      <c r="C95">
        <f>'Runs Z score'!C87</f>
        <v/>
      </c>
      <c r="D95">
        <f>'Runs Z score'!D87</f>
        <v/>
      </c>
      <c r="E95">
        <f>'Runs Z score'!E87</f>
        <v/>
      </c>
      <c r="F95">
        <f>'Runs Z score'!F87</f>
        <v/>
      </c>
      <c r="G95">
        <f>'Runs Z score'!G87</f>
        <v/>
      </c>
      <c r="H95">
        <f>VLOOKUP(C95,Recipes!$A$2:$N$4,10,FALSE())</f>
        <v/>
      </c>
      <c r="I95">
        <f>VLOOKUP(C95,Recipes!$A$2:$N$4,12,FALSE())</f>
        <v/>
      </c>
      <c r="J95">
        <f>IF(G95="","",H95-G95)</f>
        <v/>
      </c>
      <c r="K95">
        <f>IF(G95="","",IF(ABS(G95-H95)&lt;=$B$6*I95,"OK","NG"))</f>
        <v/>
      </c>
      <c r="L95">
        <f>IF(K95="","",IF(K95=D95,1,0))</f>
        <v/>
      </c>
      <c r="M95" t="inlineStr">
        <is>
          <t>W2</t>
        </is>
      </c>
      <c r="N95" s="15" t="n">
        <v>1</v>
      </c>
      <c r="O95" s="15" t="n">
        <v>0</v>
      </c>
      <c r="P95">
        <f>IF(M95="","",IF(M95=E95,1,0))</f>
        <v/>
      </c>
      <c r="Q95">
        <f>IF(K95="OK","-",IF(N95&lt;$B$7,"AMBIGUOUS","CONFIDENT"))</f>
        <v/>
      </c>
    </row>
    <row r="96">
      <c r="A96">
        <f>'Runs Z score'!A88</f>
        <v/>
      </c>
      <c r="B96">
        <f>'Runs Z score'!B88</f>
        <v/>
      </c>
      <c r="C96">
        <f>'Runs Z score'!C88</f>
        <v/>
      </c>
      <c r="D96">
        <f>'Runs Z score'!D88</f>
        <v/>
      </c>
      <c r="E96">
        <f>'Runs Z score'!E88</f>
        <v/>
      </c>
      <c r="F96">
        <f>'Runs Z score'!F88</f>
        <v/>
      </c>
      <c r="G96">
        <f>'Runs Z score'!G88</f>
        <v/>
      </c>
      <c r="H96">
        <f>VLOOKUP(C96,Recipes!$A$2:$N$4,10,FALSE())</f>
        <v/>
      </c>
      <c r="I96">
        <f>VLOOKUP(C96,Recipes!$A$2:$N$4,12,FALSE())</f>
        <v/>
      </c>
      <c r="J96">
        <f>IF(G96="","",H96-G96)</f>
        <v/>
      </c>
      <c r="K96">
        <f>IF(G96="","",IF(ABS(G96-H96)&lt;=$B$6*I96,"OK","NG"))</f>
        <v/>
      </c>
      <c r="L96">
        <f>IF(K96="","",IF(K96=D96,1,0))</f>
        <v/>
      </c>
      <c r="M96" t="inlineStr">
        <is>
          <t>W2</t>
        </is>
      </c>
      <c r="N96" s="15" t="n">
        <v>0.9967</v>
      </c>
      <c r="O96" s="15" t="n">
        <v>0.0033</v>
      </c>
      <c r="P96">
        <f>IF(M96="","",IF(M96=E96,1,0))</f>
        <v/>
      </c>
      <c r="Q96">
        <f>IF(K96="OK","-",IF(N96&lt;$B$7,"AMBIGUOUS","CONFIDENT"))</f>
        <v/>
      </c>
    </row>
    <row r="97">
      <c r="A97">
        <f>'Runs Z score'!A89</f>
        <v/>
      </c>
      <c r="B97">
        <f>'Runs Z score'!B89</f>
        <v/>
      </c>
      <c r="C97">
        <f>'Runs Z score'!C89</f>
        <v/>
      </c>
      <c r="D97">
        <f>'Runs Z score'!D89</f>
        <v/>
      </c>
      <c r="E97">
        <f>'Runs Z score'!E89</f>
        <v/>
      </c>
      <c r="F97">
        <f>'Runs Z score'!F89</f>
        <v/>
      </c>
      <c r="G97">
        <f>'Runs Z score'!G89</f>
        <v/>
      </c>
      <c r="H97">
        <f>VLOOKUP(C97,Recipes!$A$2:$N$4,10,FALSE())</f>
        <v/>
      </c>
      <c r="I97">
        <f>VLOOKUP(C97,Recipes!$A$2:$N$4,12,FALSE())</f>
        <v/>
      </c>
      <c r="J97">
        <f>IF(G97="","",H97-G97)</f>
        <v/>
      </c>
      <c r="K97">
        <f>IF(G97="","",IF(ABS(G97-H97)&lt;=$B$6*I97,"OK","NG"))</f>
        <v/>
      </c>
      <c r="L97">
        <f>IF(K97="","",IF(K97=D97,1,0))</f>
        <v/>
      </c>
      <c r="M97" t="inlineStr">
        <is>
          <t>W2</t>
        </is>
      </c>
      <c r="N97" s="15" t="n">
        <v>1</v>
      </c>
      <c r="O97" s="15" t="n">
        <v>0</v>
      </c>
      <c r="P97">
        <f>IF(M97="","",IF(M97=E97,1,0))</f>
        <v/>
      </c>
      <c r="Q97">
        <f>IF(K97="OK","-",IF(N97&lt;$B$7,"AMBIGUOUS","CONFIDENT"))</f>
        <v/>
      </c>
    </row>
    <row r="98">
      <c r="A98">
        <f>'Runs Z score'!A90</f>
        <v/>
      </c>
      <c r="B98">
        <f>'Runs Z score'!B90</f>
        <v/>
      </c>
      <c r="C98">
        <f>'Runs Z score'!C90</f>
        <v/>
      </c>
      <c r="D98">
        <f>'Runs Z score'!D90</f>
        <v/>
      </c>
      <c r="E98">
        <f>'Runs Z score'!E90</f>
        <v/>
      </c>
      <c r="F98">
        <f>'Runs Z score'!F90</f>
        <v/>
      </c>
      <c r="G98">
        <f>'Runs Z score'!G90</f>
        <v/>
      </c>
      <c r="H98">
        <f>VLOOKUP(C98,Recipes!$A$2:$N$4,10,FALSE())</f>
        <v/>
      </c>
      <c r="I98">
        <f>VLOOKUP(C98,Recipes!$A$2:$N$4,12,FALSE())</f>
        <v/>
      </c>
      <c r="J98">
        <f>IF(G98="","",H98-G98)</f>
        <v/>
      </c>
      <c r="K98">
        <f>IF(G98="","",IF(ABS(G98-H98)&lt;=$B$6*I98,"OK","NG"))</f>
        <v/>
      </c>
      <c r="L98">
        <f>IF(K98="","",IF(K98=D98,1,0))</f>
        <v/>
      </c>
      <c r="M98" t="inlineStr">
        <is>
          <t>W2</t>
        </is>
      </c>
      <c r="N98" s="15" t="n">
        <v>1</v>
      </c>
      <c r="O98" s="15" t="n">
        <v>0</v>
      </c>
      <c r="P98">
        <f>IF(M98="","",IF(M98=E98,1,0))</f>
        <v/>
      </c>
      <c r="Q98">
        <f>IF(K98="OK","-",IF(N98&lt;$B$7,"AMBIGUOUS","CONFIDENT"))</f>
        <v/>
      </c>
    </row>
    <row r="99">
      <c r="A99">
        <f>'Runs Z score'!A91</f>
        <v/>
      </c>
      <c r="B99">
        <f>'Runs Z score'!B91</f>
        <v/>
      </c>
      <c r="C99">
        <f>'Runs Z score'!C91</f>
        <v/>
      </c>
      <c r="D99">
        <f>'Runs Z score'!D91</f>
        <v/>
      </c>
      <c r="E99">
        <f>'Runs Z score'!E91</f>
        <v/>
      </c>
      <c r="F99">
        <f>'Runs Z score'!F91</f>
        <v/>
      </c>
      <c r="G99">
        <f>'Runs Z score'!G91</f>
        <v/>
      </c>
      <c r="H99">
        <f>VLOOKUP(C99,Recipes!$A$2:$N$4,10,FALSE())</f>
        <v/>
      </c>
      <c r="I99">
        <f>VLOOKUP(C99,Recipes!$A$2:$N$4,12,FALSE())</f>
        <v/>
      </c>
      <c r="J99">
        <f>IF(G99="","",H99-G99)</f>
        <v/>
      </c>
      <c r="K99">
        <f>IF(G99="","",IF(ABS(G99-H99)&lt;=$B$6*I99,"OK","NG"))</f>
        <v/>
      </c>
      <c r="L99">
        <f>IF(K99="","",IF(K99=D99,1,0))</f>
        <v/>
      </c>
      <c r="M99" t="inlineStr">
        <is>
          <t>W2</t>
        </is>
      </c>
      <c r="N99" s="15" t="n">
        <v>0.7145</v>
      </c>
      <c r="O99" s="15" t="n">
        <v>0.2855</v>
      </c>
      <c r="P99">
        <f>IF(M99="","",IF(M99=E99,1,0))</f>
        <v/>
      </c>
      <c r="Q99">
        <f>IF(K99="OK","-",IF(N99&lt;$B$7,"AMBIGUOUS","CONFIDENT"))</f>
        <v/>
      </c>
    </row>
    <row r="100">
      <c r="A100">
        <f>'Runs Z score'!A92</f>
        <v/>
      </c>
      <c r="B100">
        <f>'Runs Z score'!B92</f>
        <v/>
      </c>
      <c r="C100">
        <f>'Runs Z score'!C92</f>
        <v/>
      </c>
      <c r="D100">
        <f>'Runs Z score'!D92</f>
        <v/>
      </c>
      <c r="E100">
        <f>'Runs Z score'!E92</f>
        <v/>
      </c>
      <c r="F100">
        <f>'Runs Z score'!F92</f>
        <v/>
      </c>
      <c r="G100">
        <f>'Runs Z score'!G92</f>
        <v/>
      </c>
      <c r="H100">
        <f>VLOOKUP(C100,Recipes!$A$2:$N$4,10,FALSE())</f>
        <v/>
      </c>
      <c r="I100">
        <f>VLOOKUP(C100,Recipes!$A$2:$N$4,12,FALSE())</f>
        <v/>
      </c>
      <c r="J100">
        <f>IF(G100="","",H100-G100)</f>
        <v/>
      </c>
      <c r="K100">
        <f>IF(G100="","",IF(ABS(G100-H100)&lt;=$B$6*I100,"OK","NG"))</f>
        <v/>
      </c>
      <c r="L100">
        <f>IF(K100="","",IF(K100=D100,1,0))</f>
        <v/>
      </c>
      <c r="M100" t="inlineStr">
        <is>
          <t>W2</t>
        </is>
      </c>
      <c r="N100" s="15" t="n">
        <v>1</v>
      </c>
      <c r="O100" s="15" t="n">
        <v>0</v>
      </c>
      <c r="P100">
        <f>IF(M100="","",IF(M100=E100,1,0))</f>
        <v/>
      </c>
      <c r="Q100">
        <f>IF(K100="OK","-",IF(N100&lt;$B$7,"AMBIGUOUS","CONFIDENT"))</f>
        <v/>
      </c>
    </row>
    <row r="101">
      <c r="A101">
        <f>'Runs Z score'!A93</f>
        <v/>
      </c>
      <c r="B101">
        <f>'Runs Z score'!B93</f>
        <v/>
      </c>
      <c r="C101">
        <f>'Runs Z score'!C93</f>
        <v/>
      </c>
      <c r="D101">
        <f>'Runs Z score'!D93</f>
        <v/>
      </c>
      <c r="E101">
        <f>'Runs Z score'!E93</f>
        <v/>
      </c>
      <c r="F101">
        <f>'Runs Z score'!F93</f>
        <v/>
      </c>
      <c r="G101">
        <f>'Runs Z score'!G93</f>
        <v/>
      </c>
      <c r="H101">
        <f>VLOOKUP(C101,Recipes!$A$2:$N$4,10,FALSE())</f>
        <v/>
      </c>
      <c r="I101">
        <f>VLOOKUP(C101,Recipes!$A$2:$N$4,12,FALSE())</f>
        <v/>
      </c>
      <c r="J101">
        <f>IF(G101="","",H101-G101)</f>
        <v/>
      </c>
      <c r="K101">
        <f>IF(G101="","",IF(ABS(G101-H101)&lt;=$B$6*I101,"OK","NG"))</f>
        <v/>
      </c>
      <c r="L101">
        <f>IF(K101="","",IF(K101=D101,1,0))</f>
        <v/>
      </c>
      <c r="M101" t="inlineStr">
        <is>
          <t>N2</t>
        </is>
      </c>
      <c r="N101" s="15" t="n">
        <v>1</v>
      </c>
      <c r="O101" s="15" t="n">
        <v>0</v>
      </c>
      <c r="P101">
        <f>IF(M101="","",IF(M101=E101,1,0))</f>
        <v/>
      </c>
      <c r="Q101">
        <f>IF(K101="OK","-",IF(N101&lt;$B$7,"AMBIGUOUS","CONFIDENT"))</f>
        <v/>
      </c>
    </row>
    <row r="102">
      <c r="A102">
        <f>'Runs Z score'!A94</f>
        <v/>
      </c>
      <c r="B102">
        <f>'Runs Z score'!B94</f>
        <v/>
      </c>
      <c r="C102">
        <f>'Runs Z score'!C94</f>
        <v/>
      </c>
      <c r="D102">
        <f>'Runs Z score'!D94</f>
        <v/>
      </c>
      <c r="E102">
        <f>'Runs Z score'!E94</f>
        <v/>
      </c>
      <c r="F102">
        <f>'Runs Z score'!F94</f>
        <v/>
      </c>
      <c r="G102">
        <f>'Runs Z score'!G94</f>
        <v/>
      </c>
      <c r="H102">
        <f>VLOOKUP(C102,Recipes!$A$2:$N$4,10,FALSE())</f>
        <v/>
      </c>
      <c r="I102">
        <f>VLOOKUP(C102,Recipes!$A$2:$N$4,12,FALSE())</f>
        <v/>
      </c>
      <c r="J102">
        <f>IF(G102="","",H102-G102)</f>
        <v/>
      </c>
      <c r="K102">
        <f>IF(G102="","",IF(ABS(G102-H102)&lt;=$B$6*I102,"OK","NG"))</f>
        <v/>
      </c>
      <c r="L102">
        <f>IF(K102="","",IF(K102=D102,1,0))</f>
        <v/>
      </c>
      <c r="M102" t="inlineStr">
        <is>
          <t>N2</t>
        </is>
      </c>
      <c r="N102" s="15" t="n">
        <v>1</v>
      </c>
      <c r="O102" s="15" t="n">
        <v>0</v>
      </c>
      <c r="P102">
        <f>IF(M102="","",IF(M102=E102,1,0))</f>
        <v/>
      </c>
      <c r="Q102">
        <f>IF(K102="OK","-",IF(N102&lt;$B$7,"AMBIGUOUS","CONFIDENT"))</f>
        <v/>
      </c>
    </row>
    <row r="103">
      <c r="A103">
        <f>'Runs Z score'!A95</f>
        <v/>
      </c>
      <c r="B103">
        <f>'Runs Z score'!B95</f>
        <v/>
      </c>
      <c r="C103">
        <f>'Runs Z score'!C95</f>
        <v/>
      </c>
      <c r="D103">
        <f>'Runs Z score'!D95</f>
        <v/>
      </c>
      <c r="E103">
        <f>'Runs Z score'!E95</f>
        <v/>
      </c>
      <c r="F103">
        <f>'Runs Z score'!F95</f>
        <v/>
      </c>
      <c r="G103">
        <f>'Runs Z score'!G95</f>
        <v/>
      </c>
      <c r="H103">
        <f>VLOOKUP(C103,Recipes!$A$2:$N$4,10,FALSE())</f>
        <v/>
      </c>
      <c r="I103">
        <f>VLOOKUP(C103,Recipes!$A$2:$N$4,12,FALSE())</f>
        <v/>
      </c>
      <c r="J103">
        <f>IF(G103="","",H103-G103)</f>
        <v/>
      </c>
      <c r="K103">
        <f>IF(G103="","",IF(ABS(G103-H103)&lt;=$B$6*I103,"OK","NG"))</f>
        <v/>
      </c>
      <c r="L103">
        <f>IF(K103="","",IF(K103=D103,1,0))</f>
        <v/>
      </c>
      <c r="M103" t="inlineStr">
        <is>
          <t>N2</t>
        </is>
      </c>
      <c r="N103" s="15" t="n">
        <v>1</v>
      </c>
      <c r="O103" s="15" t="n">
        <v>0</v>
      </c>
      <c r="P103">
        <f>IF(M103="","",IF(M103=E103,1,0))</f>
        <v/>
      </c>
      <c r="Q103">
        <f>IF(K103="OK","-",IF(N103&lt;$B$7,"AMBIGUOUS","CONFIDENT"))</f>
        <v/>
      </c>
    </row>
    <row r="104">
      <c r="A104">
        <f>'Runs Z score'!A96</f>
        <v/>
      </c>
      <c r="B104">
        <f>'Runs Z score'!B96</f>
        <v/>
      </c>
      <c r="C104">
        <f>'Runs Z score'!C96</f>
        <v/>
      </c>
      <c r="D104">
        <f>'Runs Z score'!D96</f>
        <v/>
      </c>
      <c r="E104">
        <f>'Runs Z score'!E96</f>
        <v/>
      </c>
      <c r="F104">
        <f>'Runs Z score'!F96</f>
        <v/>
      </c>
      <c r="G104">
        <f>'Runs Z score'!G96</f>
        <v/>
      </c>
      <c r="H104">
        <f>VLOOKUP(C104,Recipes!$A$2:$N$4,10,FALSE())</f>
        <v/>
      </c>
      <c r="I104">
        <f>VLOOKUP(C104,Recipes!$A$2:$N$4,12,FALSE())</f>
        <v/>
      </c>
      <c r="J104">
        <f>IF(G104="","",H104-G104)</f>
        <v/>
      </c>
      <c r="K104">
        <f>IF(G104="","",IF(ABS(G104-H104)&lt;=$B$6*I104,"OK","NG"))</f>
        <v/>
      </c>
      <c r="L104">
        <f>IF(K104="","",IF(K104=D104,1,0))</f>
        <v/>
      </c>
      <c r="M104" t="inlineStr">
        <is>
          <t>N2</t>
        </is>
      </c>
      <c r="N104" s="15" t="n">
        <v>1</v>
      </c>
      <c r="O104" s="15" t="n">
        <v>0</v>
      </c>
      <c r="P104">
        <f>IF(M104="","",IF(M104=E104,1,0))</f>
        <v/>
      </c>
      <c r="Q104">
        <f>IF(K104="OK","-",IF(N104&lt;$B$7,"AMBIGUOUS","CONFIDENT"))</f>
        <v/>
      </c>
    </row>
    <row r="105">
      <c r="A105">
        <f>'Runs Z score'!A97</f>
        <v/>
      </c>
      <c r="B105">
        <f>'Runs Z score'!B97</f>
        <v/>
      </c>
      <c r="C105">
        <f>'Runs Z score'!C97</f>
        <v/>
      </c>
      <c r="D105">
        <f>'Runs Z score'!D97</f>
        <v/>
      </c>
      <c r="E105">
        <f>'Runs Z score'!E97</f>
        <v/>
      </c>
      <c r="F105">
        <f>'Runs Z score'!F97</f>
        <v/>
      </c>
      <c r="G105">
        <f>'Runs Z score'!G97</f>
        <v/>
      </c>
      <c r="H105">
        <f>VLOOKUP(C105,Recipes!$A$2:$N$4,10,FALSE())</f>
        <v/>
      </c>
      <c r="I105">
        <f>VLOOKUP(C105,Recipes!$A$2:$N$4,12,FALSE())</f>
        <v/>
      </c>
      <c r="J105">
        <f>IF(G105="","",H105-G105)</f>
        <v/>
      </c>
      <c r="K105">
        <f>IF(G105="","",IF(ABS(G105-H105)&lt;=$B$6*I105,"OK","NG"))</f>
        <v/>
      </c>
      <c r="L105">
        <f>IF(K105="","",IF(K105=D105,1,0))</f>
        <v/>
      </c>
      <c r="M105" t="inlineStr">
        <is>
          <t>N2</t>
        </is>
      </c>
      <c r="N105" s="15" t="n">
        <v>1</v>
      </c>
      <c r="O105" s="15" t="n">
        <v>0</v>
      </c>
      <c r="P105">
        <f>IF(M105="","",IF(M105=E105,1,0))</f>
        <v/>
      </c>
      <c r="Q105">
        <f>IF(K105="OK","-",IF(N105&lt;$B$7,"AMBIGUOUS","CONFIDENT"))</f>
        <v/>
      </c>
    </row>
    <row r="106">
      <c r="A106">
        <f>'Runs Z score'!A98</f>
        <v/>
      </c>
      <c r="B106">
        <f>'Runs Z score'!B98</f>
        <v/>
      </c>
      <c r="C106">
        <f>'Runs Z score'!C98</f>
        <v/>
      </c>
      <c r="D106">
        <f>'Runs Z score'!D98</f>
        <v/>
      </c>
      <c r="E106">
        <f>'Runs Z score'!E98</f>
        <v/>
      </c>
      <c r="F106">
        <f>'Runs Z score'!F98</f>
        <v/>
      </c>
      <c r="G106">
        <f>'Runs Z score'!G98</f>
        <v/>
      </c>
      <c r="H106">
        <f>VLOOKUP(C106,Recipes!$A$2:$N$4,10,FALSE())</f>
        <v/>
      </c>
      <c r="I106">
        <f>VLOOKUP(C106,Recipes!$A$2:$N$4,12,FALSE())</f>
        <v/>
      </c>
      <c r="J106">
        <f>IF(G106="","",H106-G106)</f>
        <v/>
      </c>
      <c r="K106">
        <f>IF(G106="","",IF(ABS(G106-H106)&lt;=$B$6*I106,"OK","NG"))</f>
        <v/>
      </c>
      <c r="L106">
        <f>IF(K106="","",IF(K106=D106,1,0))</f>
        <v/>
      </c>
      <c r="M106" t="inlineStr">
        <is>
          <t>N2</t>
        </is>
      </c>
      <c r="N106" s="15" t="n">
        <v>1</v>
      </c>
      <c r="O106" s="15" t="n">
        <v>0</v>
      </c>
      <c r="P106">
        <f>IF(M106="","",IF(M106=E106,1,0))</f>
        <v/>
      </c>
      <c r="Q106">
        <f>IF(K106="OK","-",IF(N106&lt;$B$7,"AMBIGUOUS","CONFIDENT"))</f>
        <v/>
      </c>
    </row>
    <row r="107">
      <c r="A107">
        <f>'Runs Z score'!A99</f>
        <v/>
      </c>
      <c r="B107">
        <f>'Runs Z score'!B99</f>
        <v/>
      </c>
      <c r="C107">
        <f>'Runs Z score'!C99</f>
        <v/>
      </c>
      <c r="D107">
        <f>'Runs Z score'!D99</f>
        <v/>
      </c>
      <c r="E107">
        <f>'Runs Z score'!E99</f>
        <v/>
      </c>
      <c r="F107">
        <f>'Runs Z score'!F99</f>
        <v/>
      </c>
      <c r="G107">
        <f>'Runs Z score'!G99</f>
        <v/>
      </c>
      <c r="H107">
        <f>VLOOKUP(C107,Recipes!$A$2:$N$4,10,FALSE())</f>
        <v/>
      </c>
      <c r="I107">
        <f>VLOOKUP(C107,Recipes!$A$2:$N$4,12,FALSE())</f>
        <v/>
      </c>
      <c r="J107">
        <f>IF(G107="","",H107-G107)</f>
        <v/>
      </c>
      <c r="K107">
        <f>IF(G107="","",IF(ABS(G107-H107)&lt;=$B$6*I107,"OK","NG"))</f>
        <v/>
      </c>
      <c r="L107">
        <f>IF(K107="","",IF(K107=D107,1,0))</f>
        <v/>
      </c>
      <c r="M107" t="inlineStr">
        <is>
          <t>N2</t>
        </is>
      </c>
      <c r="N107" s="15" t="n">
        <v>1</v>
      </c>
      <c r="O107" s="15" t="n">
        <v>0</v>
      </c>
      <c r="P107">
        <f>IF(M107="","",IF(M107=E107,1,0))</f>
        <v/>
      </c>
      <c r="Q107">
        <f>IF(K107="OK","-",IF(N107&lt;$B$7,"AMBIGUOUS","CONFIDENT"))</f>
        <v/>
      </c>
    </row>
    <row r="108">
      <c r="A108">
        <f>'Runs Z score'!A100</f>
        <v/>
      </c>
      <c r="B108">
        <f>'Runs Z score'!B100</f>
        <v/>
      </c>
      <c r="C108">
        <f>'Runs Z score'!C100</f>
        <v/>
      </c>
      <c r="D108">
        <f>'Runs Z score'!D100</f>
        <v/>
      </c>
      <c r="E108">
        <f>'Runs Z score'!E100</f>
        <v/>
      </c>
      <c r="F108">
        <f>'Runs Z score'!F100</f>
        <v/>
      </c>
      <c r="G108">
        <f>'Runs Z score'!G100</f>
        <v/>
      </c>
      <c r="H108">
        <f>VLOOKUP(C108,Recipes!$A$2:$N$4,10,FALSE())</f>
        <v/>
      </c>
      <c r="I108">
        <f>VLOOKUP(C108,Recipes!$A$2:$N$4,12,FALSE())</f>
        <v/>
      </c>
      <c r="J108">
        <f>IF(G108="","",H108-G108)</f>
        <v/>
      </c>
      <c r="K108">
        <f>IF(G108="","",IF(ABS(G108-H108)&lt;=$B$6*I108,"OK","NG"))</f>
        <v/>
      </c>
      <c r="L108">
        <f>IF(K108="","",IF(K108=D108,1,0))</f>
        <v/>
      </c>
      <c r="M108" t="inlineStr">
        <is>
          <t>N2</t>
        </is>
      </c>
      <c r="N108" s="15" t="n">
        <v>1</v>
      </c>
      <c r="O108" s="15" t="n">
        <v>0</v>
      </c>
      <c r="P108">
        <f>IF(M108="","",IF(M108=E108,1,0))</f>
        <v/>
      </c>
      <c r="Q108">
        <f>IF(K108="OK","-",IF(N108&lt;$B$7,"AMBIGUOUS","CONFIDENT"))</f>
        <v/>
      </c>
    </row>
    <row r="109">
      <c r="A109">
        <f>'Runs Z score'!A101</f>
        <v/>
      </c>
      <c r="B109">
        <f>'Runs Z score'!B101</f>
        <v/>
      </c>
      <c r="C109">
        <f>'Runs Z score'!C101</f>
        <v/>
      </c>
      <c r="D109">
        <f>'Runs Z score'!D101</f>
        <v/>
      </c>
      <c r="E109">
        <f>'Runs Z score'!E101</f>
        <v/>
      </c>
      <c r="F109">
        <f>'Runs Z score'!F101</f>
        <v/>
      </c>
      <c r="G109">
        <f>'Runs Z score'!G101</f>
        <v/>
      </c>
      <c r="H109">
        <f>VLOOKUP(C109,Recipes!$A$2:$N$4,10,FALSE())</f>
        <v/>
      </c>
      <c r="I109">
        <f>VLOOKUP(C109,Recipes!$A$2:$N$4,12,FALSE())</f>
        <v/>
      </c>
      <c r="J109">
        <f>IF(G109="","",H109-G109)</f>
        <v/>
      </c>
      <c r="K109">
        <f>IF(G109="","",IF(ABS(G109-H109)&lt;=$B$6*I109,"OK","NG"))</f>
        <v/>
      </c>
      <c r="L109">
        <f>IF(K109="","",IF(K109=D109,1,0))</f>
        <v/>
      </c>
      <c r="M109" t="inlineStr">
        <is>
          <t>N2</t>
        </is>
      </c>
      <c r="N109" s="15" t="n">
        <v>1</v>
      </c>
      <c r="O109" s="15" t="n">
        <v>0</v>
      </c>
      <c r="P109">
        <f>IF(M109="","",IF(M109=E109,1,0))</f>
        <v/>
      </c>
      <c r="Q109">
        <f>IF(K109="OK","-",IF(N109&lt;$B$7,"AMBIGUOUS","CONFIDENT"))</f>
        <v/>
      </c>
    </row>
    <row r="110">
      <c r="A110">
        <f>'Runs Z score'!A102</f>
        <v/>
      </c>
      <c r="B110">
        <f>'Runs Z score'!B102</f>
        <v/>
      </c>
      <c r="C110">
        <f>'Runs Z score'!C102</f>
        <v/>
      </c>
      <c r="D110">
        <f>'Runs Z score'!D102</f>
        <v/>
      </c>
      <c r="E110">
        <f>'Runs Z score'!E102</f>
        <v/>
      </c>
      <c r="F110">
        <f>'Runs Z score'!F102</f>
        <v/>
      </c>
      <c r="G110">
        <f>'Runs Z score'!G102</f>
        <v/>
      </c>
      <c r="H110">
        <f>VLOOKUP(C110,Recipes!$A$2:$N$4,10,FALSE())</f>
        <v/>
      </c>
      <c r="I110">
        <f>VLOOKUP(C110,Recipes!$A$2:$N$4,12,FALSE())</f>
        <v/>
      </c>
      <c r="J110">
        <f>IF(G110="","",H110-G110)</f>
        <v/>
      </c>
      <c r="K110">
        <f>IF(G110="","",IF(ABS(G110-H110)&lt;=$B$6*I110,"OK","NG"))</f>
        <v/>
      </c>
      <c r="L110">
        <f>IF(K110="","",IF(K110=D110,1,0))</f>
        <v/>
      </c>
      <c r="M110" t="inlineStr">
        <is>
          <t>N2</t>
        </is>
      </c>
      <c r="N110" s="15" t="n">
        <v>1</v>
      </c>
      <c r="O110" s="15" t="n">
        <v>0</v>
      </c>
      <c r="P110">
        <f>IF(M110="","",IF(M110=E110,1,0))</f>
        <v/>
      </c>
      <c r="Q110">
        <f>IF(K110="OK","-",IF(N110&lt;$B$7,"AMBIGUOUS","CONFIDENT"))</f>
        <v/>
      </c>
    </row>
    <row r="111">
      <c r="A111">
        <f>'Runs Z score'!A103</f>
        <v/>
      </c>
      <c r="B111">
        <f>'Runs Z score'!B103</f>
        <v/>
      </c>
      <c r="C111">
        <f>'Runs Z score'!C103</f>
        <v/>
      </c>
      <c r="D111">
        <f>'Runs Z score'!D103</f>
        <v/>
      </c>
      <c r="E111">
        <f>'Runs Z score'!E103</f>
        <v/>
      </c>
      <c r="F111">
        <f>'Runs Z score'!F103</f>
        <v/>
      </c>
      <c r="G111">
        <f>'Runs Z score'!G103</f>
        <v/>
      </c>
      <c r="H111">
        <f>VLOOKUP(C111,Recipes!$A$2:$N$4,10,FALSE())</f>
        <v/>
      </c>
      <c r="I111">
        <f>VLOOKUP(C111,Recipes!$A$2:$N$4,12,FALSE())</f>
        <v/>
      </c>
      <c r="J111">
        <f>IF(G111="","",H111-G111)</f>
        <v/>
      </c>
      <c r="K111">
        <f>IF(G111="","",IF(ABS(G111-H111)&lt;=$B$6*I111,"OK","NG"))</f>
        <v/>
      </c>
      <c r="L111">
        <f>IF(K111="","",IF(K111=D111,1,0))</f>
        <v/>
      </c>
      <c r="M111" t="inlineStr">
        <is>
          <t>N2</t>
        </is>
      </c>
      <c r="N111" s="15" t="n">
        <v>1</v>
      </c>
      <c r="O111" s="15" t="n">
        <v>0</v>
      </c>
      <c r="P111">
        <f>IF(M111="","",IF(M111=E111,1,0))</f>
        <v/>
      </c>
      <c r="Q111">
        <f>IF(K111="OK","-",IF(N111&lt;$B$7,"AMBIGUOUS","CONFIDENT"))</f>
        <v/>
      </c>
    </row>
    <row r="112">
      <c r="A112">
        <f>'Runs Z score'!A104</f>
        <v/>
      </c>
      <c r="B112">
        <f>'Runs Z score'!B104</f>
        <v/>
      </c>
      <c r="C112">
        <f>'Runs Z score'!C104</f>
        <v/>
      </c>
      <c r="D112">
        <f>'Runs Z score'!D104</f>
        <v/>
      </c>
      <c r="E112">
        <f>'Runs Z score'!E104</f>
        <v/>
      </c>
      <c r="F112">
        <f>'Runs Z score'!F104</f>
        <v/>
      </c>
      <c r="G112">
        <f>'Runs Z score'!G104</f>
        <v/>
      </c>
      <c r="H112">
        <f>VLOOKUP(C112,Recipes!$A$2:$N$4,10,FALSE())</f>
        <v/>
      </c>
      <c r="I112">
        <f>VLOOKUP(C112,Recipes!$A$2:$N$4,12,FALSE())</f>
        <v/>
      </c>
      <c r="J112">
        <f>IF(G112="","",H112-G112)</f>
        <v/>
      </c>
      <c r="K112">
        <f>IF(G112="","",IF(ABS(G112-H112)&lt;=$B$6*I112,"OK","NG"))</f>
        <v/>
      </c>
      <c r="L112">
        <f>IF(K112="","",IF(K112=D112,1,0))</f>
        <v/>
      </c>
      <c r="M112" t="inlineStr">
        <is>
          <t>N2</t>
        </is>
      </c>
      <c r="N112" s="15" t="n">
        <v>1</v>
      </c>
      <c r="O112" s="15" t="n">
        <v>0</v>
      </c>
      <c r="P112">
        <f>IF(M112="","",IF(M112=E112,1,0))</f>
        <v/>
      </c>
      <c r="Q112">
        <f>IF(K112="OK","-",IF(N112&lt;$B$7,"AMBIGUOUS","CONFIDENT"))</f>
        <v/>
      </c>
    </row>
    <row r="113">
      <c r="A113">
        <f>'Runs Z score'!A105</f>
        <v/>
      </c>
      <c r="B113">
        <f>'Runs Z score'!B105</f>
        <v/>
      </c>
      <c r="C113">
        <f>'Runs Z score'!C105</f>
        <v/>
      </c>
      <c r="D113">
        <f>'Runs Z score'!D105</f>
        <v/>
      </c>
      <c r="E113">
        <f>'Runs Z score'!E105</f>
        <v/>
      </c>
      <c r="F113">
        <f>'Runs Z score'!F105</f>
        <v/>
      </c>
      <c r="G113">
        <f>'Runs Z score'!G105</f>
        <v/>
      </c>
      <c r="H113">
        <f>VLOOKUP(C113,Recipes!$A$2:$N$4,10,FALSE())</f>
        <v/>
      </c>
      <c r="I113">
        <f>VLOOKUP(C113,Recipes!$A$2:$N$4,12,FALSE())</f>
        <v/>
      </c>
      <c r="J113">
        <f>IF(G113="","",H113-G113)</f>
        <v/>
      </c>
      <c r="K113">
        <f>IF(G113="","",IF(ABS(G113-H113)&lt;=$B$6*I113,"OK","NG"))</f>
        <v/>
      </c>
      <c r="L113">
        <f>IF(K113="","",IF(K113=D113,1,0))</f>
        <v/>
      </c>
      <c r="M113" t="inlineStr">
        <is>
          <t>N2</t>
        </is>
      </c>
      <c r="N113" s="15" t="n">
        <v>1</v>
      </c>
      <c r="O113" s="15" t="n">
        <v>0</v>
      </c>
      <c r="P113">
        <f>IF(M113="","",IF(M113=E113,1,0))</f>
        <v/>
      </c>
      <c r="Q113">
        <f>IF(K113="OK","-",IF(N113&lt;$B$7,"AMBIGUOUS","CONFIDENT"))</f>
        <v/>
      </c>
    </row>
    <row r="114">
      <c r="A114">
        <f>'Runs Z score'!A106</f>
        <v/>
      </c>
      <c r="B114">
        <f>'Runs Z score'!B106</f>
        <v/>
      </c>
      <c r="C114">
        <f>'Runs Z score'!C106</f>
        <v/>
      </c>
      <c r="D114">
        <f>'Runs Z score'!D106</f>
        <v/>
      </c>
      <c r="E114">
        <f>'Runs Z score'!E106</f>
        <v/>
      </c>
      <c r="F114">
        <f>'Runs Z score'!F106</f>
        <v/>
      </c>
      <c r="G114">
        <f>'Runs Z score'!G106</f>
        <v/>
      </c>
      <c r="H114">
        <f>VLOOKUP(C114,Recipes!$A$2:$N$4,10,FALSE())</f>
        <v/>
      </c>
      <c r="I114">
        <f>VLOOKUP(C114,Recipes!$A$2:$N$4,12,FALSE())</f>
        <v/>
      </c>
      <c r="J114">
        <f>IF(G114="","",H114-G114)</f>
        <v/>
      </c>
      <c r="K114">
        <f>IF(G114="","",IF(ABS(G114-H114)&lt;=$B$6*I114,"OK","NG"))</f>
        <v/>
      </c>
      <c r="L114">
        <f>IF(K114="","",IF(K114=D114,1,0))</f>
        <v/>
      </c>
      <c r="M114" t="inlineStr">
        <is>
          <t>N2</t>
        </is>
      </c>
      <c r="N114" s="15" t="n">
        <v>1</v>
      </c>
      <c r="O114" s="15" t="n">
        <v>0</v>
      </c>
      <c r="P114">
        <f>IF(M114="","",IF(M114=E114,1,0))</f>
        <v/>
      </c>
      <c r="Q114">
        <f>IF(K114="OK","-",IF(N114&lt;$B$7,"AMBIGUOUS","CONFIDENT"))</f>
        <v/>
      </c>
    </row>
    <row r="115">
      <c r="A115">
        <f>'Runs Z score'!A107</f>
        <v/>
      </c>
      <c r="B115">
        <f>'Runs Z score'!B107</f>
        <v/>
      </c>
      <c r="C115">
        <f>'Runs Z score'!C107</f>
        <v/>
      </c>
      <c r="D115">
        <f>'Runs Z score'!D107</f>
        <v/>
      </c>
      <c r="E115">
        <f>'Runs Z score'!E107</f>
        <v/>
      </c>
      <c r="F115">
        <f>'Runs Z score'!F107</f>
        <v/>
      </c>
      <c r="G115">
        <f>'Runs Z score'!G107</f>
        <v/>
      </c>
      <c r="H115">
        <f>VLOOKUP(C115,Recipes!$A$2:$N$4,10,FALSE())</f>
        <v/>
      </c>
      <c r="I115">
        <f>VLOOKUP(C115,Recipes!$A$2:$N$4,12,FALSE())</f>
        <v/>
      </c>
      <c r="J115">
        <f>IF(G115="","",H115-G115)</f>
        <v/>
      </c>
      <c r="K115">
        <f>IF(G115="","",IF(ABS(G115-H115)&lt;=$B$6*I115,"OK","NG"))</f>
        <v/>
      </c>
      <c r="L115">
        <f>IF(K115="","",IF(K115=D115,1,0))</f>
        <v/>
      </c>
      <c r="M115" t="inlineStr">
        <is>
          <t>N2</t>
        </is>
      </c>
      <c r="N115" s="15" t="n">
        <v>1</v>
      </c>
      <c r="O115" s="15" t="n">
        <v>0</v>
      </c>
      <c r="P115">
        <f>IF(M115="","",IF(M115=E115,1,0))</f>
        <v/>
      </c>
      <c r="Q115">
        <f>IF(K115="OK","-",IF(N115&lt;$B$7,"AMBIGUOUS","CONFIDENT"))</f>
        <v/>
      </c>
    </row>
    <row r="116">
      <c r="A116">
        <f>'Runs Z score'!A108</f>
        <v/>
      </c>
      <c r="B116">
        <f>'Runs Z score'!B108</f>
        <v/>
      </c>
      <c r="C116">
        <f>'Runs Z score'!C108</f>
        <v/>
      </c>
      <c r="D116">
        <f>'Runs Z score'!D108</f>
        <v/>
      </c>
      <c r="E116">
        <f>'Runs Z score'!E108</f>
        <v/>
      </c>
      <c r="F116">
        <f>'Runs Z score'!F108</f>
        <v/>
      </c>
      <c r="G116">
        <f>'Runs Z score'!G108</f>
        <v/>
      </c>
      <c r="H116">
        <f>VLOOKUP(C116,Recipes!$A$2:$N$4,10,FALSE())</f>
        <v/>
      </c>
      <c r="I116">
        <f>VLOOKUP(C116,Recipes!$A$2:$N$4,12,FALSE())</f>
        <v/>
      </c>
      <c r="J116">
        <f>IF(G116="","",H116-G116)</f>
        <v/>
      </c>
      <c r="K116">
        <f>IF(G116="","",IF(ABS(G116-H116)&lt;=$B$6*I116,"OK","NG"))</f>
        <v/>
      </c>
      <c r="L116">
        <f>IF(K116="","",IF(K116=D116,1,0))</f>
        <v/>
      </c>
      <c r="M116" t="inlineStr">
        <is>
          <t>N2</t>
        </is>
      </c>
      <c r="N116" s="15" t="n">
        <v>1</v>
      </c>
      <c r="O116" s="15" t="n">
        <v>0</v>
      </c>
      <c r="P116">
        <f>IF(M116="","",IF(M116=E116,1,0))</f>
        <v/>
      </c>
      <c r="Q116">
        <f>IF(K116="OK","-",IF(N116&lt;$B$7,"AMBIGUOUS","CONFIDENT"))</f>
        <v/>
      </c>
    </row>
    <row r="117">
      <c r="A117">
        <f>'Runs Z score'!A109</f>
        <v/>
      </c>
      <c r="B117">
        <f>'Runs Z score'!B109</f>
        <v/>
      </c>
      <c r="C117">
        <f>'Runs Z score'!C109</f>
        <v/>
      </c>
      <c r="D117">
        <f>'Runs Z score'!D109</f>
        <v/>
      </c>
      <c r="E117">
        <f>'Runs Z score'!E109</f>
        <v/>
      </c>
      <c r="F117">
        <f>'Runs Z score'!F109</f>
        <v/>
      </c>
      <c r="G117">
        <f>'Runs Z score'!G109</f>
        <v/>
      </c>
      <c r="H117">
        <f>VLOOKUP(C117,Recipes!$A$2:$N$4,10,FALSE())</f>
        <v/>
      </c>
      <c r="I117">
        <f>VLOOKUP(C117,Recipes!$A$2:$N$4,12,FALSE())</f>
        <v/>
      </c>
      <c r="J117">
        <f>IF(G117="","",H117-G117)</f>
        <v/>
      </c>
      <c r="K117">
        <f>IF(G117="","",IF(ABS(G117-H117)&lt;=$B$6*I117,"OK","NG"))</f>
        <v/>
      </c>
      <c r="L117">
        <f>IF(K117="","",IF(K117=D117,1,0))</f>
        <v/>
      </c>
      <c r="M117" t="inlineStr">
        <is>
          <t>N2</t>
        </is>
      </c>
      <c r="N117" s="15" t="n">
        <v>1</v>
      </c>
      <c r="O117" s="15" t="n">
        <v>0</v>
      </c>
      <c r="P117">
        <f>IF(M117="","",IF(M117=E117,1,0))</f>
        <v/>
      </c>
      <c r="Q117">
        <f>IF(K117="OK","-",IF(N117&lt;$B$7,"AMBIGUOUS","CONFIDENT"))</f>
        <v/>
      </c>
    </row>
    <row r="118">
      <c r="A118">
        <f>'Runs Z score'!A110</f>
        <v/>
      </c>
      <c r="B118">
        <f>'Runs Z score'!B110</f>
        <v/>
      </c>
      <c r="C118">
        <f>'Runs Z score'!C110</f>
        <v/>
      </c>
      <c r="D118">
        <f>'Runs Z score'!D110</f>
        <v/>
      </c>
      <c r="E118">
        <f>'Runs Z score'!E110</f>
        <v/>
      </c>
      <c r="F118">
        <f>'Runs Z score'!F110</f>
        <v/>
      </c>
      <c r="G118">
        <f>'Runs Z score'!G110</f>
        <v/>
      </c>
      <c r="H118">
        <f>VLOOKUP(C118,Recipes!$A$2:$N$4,10,FALSE())</f>
        <v/>
      </c>
      <c r="I118">
        <f>VLOOKUP(C118,Recipes!$A$2:$N$4,12,FALSE())</f>
        <v/>
      </c>
      <c r="J118">
        <f>IF(G118="","",H118-G118)</f>
        <v/>
      </c>
      <c r="K118">
        <f>IF(G118="","",IF(ABS(G118-H118)&lt;=$B$6*I118,"OK","NG"))</f>
        <v/>
      </c>
      <c r="L118">
        <f>IF(K118="","",IF(K118=D118,1,0))</f>
        <v/>
      </c>
      <c r="M118" t="inlineStr">
        <is>
          <t>N2</t>
        </is>
      </c>
      <c r="N118" s="15" t="n">
        <v>1</v>
      </c>
      <c r="O118" s="15" t="n">
        <v>0</v>
      </c>
      <c r="P118">
        <f>IF(M118="","",IF(M118=E118,1,0))</f>
        <v/>
      </c>
      <c r="Q118">
        <f>IF(K118="OK","-",IF(N118&lt;$B$7,"AMBIGUOUS","CONFIDENT"))</f>
        <v/>
      </c>
    </row>
    <row r="119">
      <c r="A119">
        <f>'Runs Z score'!A111</f>
        <v/>
      </c>
      <c r="B119">
        <f>'Runs Z score'!B111</f>
        <v/>
      </c>
      <c r="C119">
        <f>'Runs Z score'!C111</f>
        <v/>
      </c>
      <c r="D119">
        <f>'Runs Z score'!D111</f>
        <v/>
      </c>
      <c r="E119">
        <f>'Runs Z score'!E111</f>
        <v/>
      </c>
      <c r="F119">
        <f>'Runs Z score'!F111</f>
        <v/>
      </c>
      <c r="G119">
        <f>'Runs Z score'!G111</f>
        <v/>
      </c>
      <c r="H119">
        <f>VLOOKUP(C119,Recipes!$A$2:$N$4,10,FALSE())</f>
        <v/>
      </c>
      <c r="I119">
        <f>VLOOKUP(C119,Recipes!$A$2:$N$4,12,FALSE())</f>
        <v/>
      </c>
      <c r="J119">
        <f>IF(G119="","",H119-G119)</f>
        <v/>
      </c>
      <c r="K119">
        <f>IF(G119="","",IF(ABS(G119-H119)&lt;=$B$6*I119,"OK","NG"))</f>
        <v/>
      </c>
      <c r="L119">
        <f>IF(K119="","",IF(K119=D119,1,0))</f>
        <v/>
      </c>
      <c r="M119" t="inlineStr">
        <is>
          <t>N2</t>
        </is>
      </c>
      <c r="N119" s="15" t="n">
        <v>1</v>
      </c>
      <c r="O119" s="15" t="n">
        <v>0</v>
      </c>
      <c r="P119">
        <f>IF(M119="","",IF(M119=E119,1,0))</f>
        <v/>
      </c>
      <c r="Q119">
        <f>IF(K119="OK","-",IF(N119&lt;$B$7,"AMBIGUOUS","CONFIDENT"))</f>
        <v/>
      </c>
    </row>
    <row r="120">
      <c r="A120">
        <f>'Runs Z score'!A112</f>
        <v/>
      </c>
      <c r="B120">
        <f>'Runs Z score'!B112</f>
        <v/>
      </c>
      <c r="C120">
        <f>'Runs Z score'!C112</f>
        <v/>
      </c>
      <c r="D120">
        <f>'Runs Z score'!D112</f>
        <v/>
      </c>
      <c r="E120">
        <f>'Runs Z score'!E112</f>
        <v/>
      </c>
      <c r="F120">
        <f>'Runs Z score'!F112</f>
        <v/>
      </c>
      <c r="G120">
        <f>'Runs Z score'!G112</f>
        <v/>
      </c>
      <c r="H120">
        <f>VLOOKUP(C120,Recipes!$A$2:$N$4,10,FALSE())</f>
        <v/>
      </c>
      <c r="I120">
        <f>VLOOKUP(C120,Recipes!$A$2:$N$4,12,FALSE())</f>
        <v/>
      </c>
      <c r="J120">
        <f>IF(G120="","",H120-G120)</f>
        <v/>
      </c>
      <c r="K120">
        <f>IF(G120="","",IF(ABS(G120-H120)&lt;=$B$6*I120,"OK","NG"))</f>
        <v/>
      </c>
      <c r="L120">
        <f>IF(K120="","",IF(K120=D120,1,0))</f>
        <v/>
      </c>
      <c r="M120" t="inlineStr">
        <is>
          <t>N2</t>
        </is>
      </c>
      <c r="N120" s="15" t="n">
        <v>1</v>
      </c>
      <c r="O120" s="15" t="n">
        <v>0</v>
      </c>
      <c r="P120">
        <f>IF(M120="","",IF(M120=E120,1,0))</f>
        <v/>
      </c>
      <c r="Q120">
        <f>IF(K120="OK","-",IF(N120&lt;$B$7,"AMBIGUOUS","CONFIDENT"))</f>
        <v/>
      </c>
    </row>
    <row r="121">
      <c r="A121">
        <f>'Runs Z score'!A113</f>
        <v/>
      </c>
      <c r="B121">
        <f>'Runs Z score'!B113</f>
        <v/>
      </c>
      <c r="C121">
        <f>'Runs Z score'!C113</f>
        <v/>
      </c>
      <c r="D121">
        <f>'Runs Z score'!D113</f>
        <v/>
      </c>
      <c r="E121">
        <f>'Runs Z score'!E113</f>
        <v/>
      </c>
      <c r="F121">
        <f>'Runs Z score'!F113</f>
        <v/>
      </c>
      <c r="G121">
        <f>'Runs Z score'!G113</f>
        <v/>
      </c>
      <c r="H121">
        <f>VLOOKUP(C121,Recipes!$A$2:$N$4,10,FALSE())</f>
        <v/>
      </c>
      <c r="I121">
        <f>VLOOKUP(C121,Recipes!$A$2:$N$4,12,FALSE())</f>
        <v/>
      </c>
      <c r="J121">
        <f>IF(G121="","",H121-G121)</f>
        <v/>
      </c>
      <c r="K121">
        <f>IF(G121="","",IF(ABS(G121-H121)&lt;=$B$6*I121,"OK","NG"))</f>
        <v/>
      </c>
      <c r="L121">
        <f>IF(K121="","",IF(K121=D121,1,0))</f>
        <v/>
      </c>
      <c r="M121" t="inlineStr">
        <is>
          <t>N2</t>
        </is>
      </c>
      <c r="N121" s="15" t="n">
        <v>1</v>
      </c>
      <c r="O121" s="15" t="n">
        <v>0</v>
      </c>
      <c r="P121">
        <f>IF(M121="","",IF(M121=E121,1,0))</f>
        <v/>
      </c>
      <c r="Q121">
        <f>IF(K121="OK","-",IF(N121&lt;$B$7,"AMBIGUOUS","CONFIDENT"))</f>
        <v/>
      </c>
    </row>
    <row r="122">
      <c r="A122">
        <f>'Runs Z score'!A114</f>
        <v/>
      </c>
      <c r="B122">
        <f>'Runs Z score'!B114</f>
        <v/>
      </c>
      <c r="C122">
        <f>'Runs Z score'!C114</f>
        <v/>
      </c>
      <c r="D122">
        <f>'Runs Z score'!D114</f>
        <v/>
      </c>
      <c r="E122">
        <f>'Runs Z score'!E114</f>
        <v/>
      </c>
      <c r="F122">
        <f>'Runs Z score'!F114</f>
        <v/>
      </c>
      <c r="G122">
        <f>'Runs Z score'!G114</f>
        <v/>
      </c>
      <c r="H122">
        <f>VLOOKUP(C122,Recipes!$A$2:$N$4,10,FALSE())</f>
        <v/>
      </c>
      <c r="I122">
        <f>VLOOKUP(C122,Recipes!$A$2:$N$4,12,FALSE())</f>
        <v/>
      </c>
      <c r="J122">
        <f>IF(G122="","",H122-G122)</f>
        <v/>
      </c>
      <c r="K122">
        <f>IF(G122="","",IF(ABS(G122-H122)&lt;=$B$6*I122,"OK","NG"))</f>
        <v/>
      </c>
      <c r="L122">
        <f>IF(K122="","",IF(K122=D122,1,0))</f>
        <v/>
      </c>
      <c r="M122" t="inlineStr">
        <is>
          <t>N2</t>
        </is>
      </c>
      <c r="N122" s="15" t="n">
        <v>1</v>
      </c>
      <c r="O122" s="15" t="n">
        <v>0</v>
      </c>
      <c r="P122">
        <f>IF(M122="","",IF(M122=E122,1,0))</f>
        <v/>
      </c>
      <c r="Q122">
        <f>IF(K122="OK","-",IF(N122&lt;$B$7,"AMBIGUOUS","CONFIDENT"))</f>
        <v/>
      </c>
    </row>
    <row r="123">
      <c r="A123">
        <f>'Runs Z score'!A115</f>
        <v/>
      </c>
      <c r="B123">
        <f>'Runs Z score'!B115</f>
        <v/>
      </c>
      <c r="C123">
        <f>'Runs Z score'!C115</f>
        <v/>
      </c>
      <c r="D123">
        <f>'Runs Z score'!D115</f>
        <v/>
      </c>
      <c r="E123">
        <f>'Runs Z score'!E115</f>
        <v/>
      </c>
      <c r="F123">
        <f>'Runs Z score'!F115</f>
        <v/>
      </c>
      <c r="G123">
        <f>'Runs Z score'!G115</f>
        <v/>
      </c>
      <c r="H123">
        <f>VLOOKUP(C123,Recipes!$A$2:$N$4,10,FALSE())</f>
        <v/>
      </c>
      <c r="I123">
        <f>VLOOKUP(C123,Recipes!$A$2:$N$4,12,FALSE())</f>
        <v/>
      </c>
      <c r="J123">
        <f>IF(G123="","",H123-G123)</f>
        <v/>
      </c>
      <c r="K123">
        <f>IF(G123="","",IF(ABS(G123-H123)&lt;=$B$6*I123,"OK","NG"))</f>
        <v/>
      </c>
      <c r="L123">
        <f>IF(K123="","",IF(K123=D123,1,0))</f>
        <v/>
      </c>
      <c r="M123" t="inlineStr">
        <is>
          <t>N2</t>
        </is>
      </c>
      <c r="N123" s="15" t="n">
        <v>1</v>
      </c>
      <c r="O123" s="15" t="n">
        <v>0</v>
      </c>
      <c r="P123">
        <f>IF(M123="","",IF(M123=E123,1,0))</f>
        <v/>
      </c>
      <c r="Q123">
        <f>IF(K123="OK","-",IF(N123&lt;$B$7,"AMBIGUOUS","CONFIDENT"))</f>
        <v/>
      </c>
    </row>
    <row r="124">
      <c r="A124">
        <f>'Runs Z score'!A116</f>
        <v/>
      </c>
      <c r="B124">
        <f>'Runs Z score'!B116</f>
        <v/>
      </c>
      <c r="C124">
        <f>'Runs Z score'!C116</f>
        <v/>
      </c>
      <c r="D124">
        <f>'Runs Z score'!D116</f>
        <v/>
      </c>
      <c r="E124">
        <f>'Runs Z score'!E116</f>
        <v/>
      </c>
      <c r="F124">
        <f>'Runs Z score'!F116</f>
        <v/>
      </c>
      <c r="G124">
        <f>'Runs Z score'!G116</f>
        <v/>
      </c>
      <c r="H124">
        <f>VLOOKUP(C124,Recipes!$A$2:$N$4,10,FALSE())</f>
        <v/>
      </c>
      <c r="I124">
        <f>VLOOKUP(C124,Recipes!$A$2:$N$4,12,FALSE())</f>
        <v/>
      </c>
      <c r="J124">
        <f>IF(G124="","",H124-G124)</f>
        <v/>
      </c>
      <c r="K124">
        <f>IF(G124="","",IF(ABS(G124-H124)&lt;=$B$6*I124,"OK","NG"))</f>
        <v/>
      </c>
      <c r="L124">
        <f>IF(K124="","",IF(K124=D124,1,0))</f>
        <v/>
      </c>
      <c r="M124" t="inlineStr">
        <is>
          <t>N2</t>
        </is>
      </c>
      <c r="N124" s="15" t="n">
        <v>1</v>
      </c>
      <c r="O124" s="15" t="n">
        <v>0</v>
      </c>
      <c r="P124">
        <f>IF(M124="","",IF(M124=E124,1,0))</f>
        <v/>
      </c>
      <c r="Q124">
        <f>IF(K124="OK","-",IF(N124&lt;$B$7,"AMBIGUOUS","CONFIDENT"))</f>
        <v/>
      </c>
    </row>
    <row r="125">
      <c r="A125">
        <f>'Runs Z score'!A117</f>
        <v/>
      </c>
      <c r="B125">
        <f>'Runs Z score'!B117</f>
        <v/>
      </c>
      <c r="C125">
        <f>'Runs Z score'!C117</f>
        <v/>
      </c>
      <c r="D125">
        <f>'Runs Z score'!D117</f>
        <v/>
      </c>
      <c r="E125">
        <f>'Runs Z score'!E117</f>
        <v/>
      </c>
      <c r="F125">
        <f>'Runs Z score'!F117</f>
        <v/>
      </c>
      <c r="G125">
        <f>'Runs Z score'!G117</f>
        <v/>
      </c>
      <c r="H125">
        <f>VLOOKUP(C125,Recipes!$A$2:$N$4,10,FALSE())</f>
        <v/>
      </c>
      <c r="I125">
        <f>VLOOKUP(C125,Recipes!$A$2:$N$4,12,FALSE())</f>
        <v/>
      </c>
      <c r="J125">
        <f>IF(G125="","",H125-G125)</f>
        <v/>
      </c>
      <c r="K125">
        <f>IF(G125="","",IF(ABS(G125-H125)&lt;=$B$6*I125,"OK","NG"))</f>
        <v/>
      </c>
      <c r="L125">
        <f>IF(K125="","",IF(K125=D125,1,0))</f>
        <v/>
      </c>
      <c r="M125" t="inlineStr">
        <is>
          <t>N2</t>
        </is>
      </c>
      <c r="N125" s="15" t="n">
        <v>1</v>
      </c>
      <c r="O125" s="15" t="n">
        <v>0</v>
      </c>
      <c r="P125">
        <f>IF(M125="","",IF(M125=E125,1,0))</f>
        <v/>
      </c>
      <c r="Q125">
        <f>IF(K125="OK","-",IF(N125&lt;$B$7,"AMBIGUOUS","CONFIDENT"))</f>
        <v/>
      </c>
    </row>
    <row r="126">
      <c r="A126">
        <f>'Runs Z score'!A118</f>
        <v/>
      </c>
      <c r="B126">
        <f>'Runs Z score'!B118</f>
        <v/>
      </c>
      <c r="C126">
        <f>'Runs Z score'!C118</f>
        <v/>
      </c>
      <c r="D126">
        <f>'Runs Z score'!D118</f>
        <v/>
      </c>
      <c r="E126">
        <f>'Runs Z score'!E118</f>
        <v/>
      </c>
      <c r="F126">
        <f>'Runs Z score'!F118</f>
        <v/>
      </c>
      <c r="G126">
        <f>'Runs Z score'!G118</f>
        <v/>
      </c>
      <c r="H126">
        <f>VLOOKUP(C126,Recipes!$A$2:$N$4,10,FALSE())</f>
        <v/>
      </c>
      <c r="I126">
        <f>VLOOKUP(C126,Recipes!$A$2:$N$4,12,FALSE())</f>
        <v/>
      </c>
      <c r="J126">
        <f>IF(G126="","",H126-G126)</f>
        <v/>
      </c>
      <c r="K126">
        <f>IF(G126="","",IF(ABS(G126-H126)&lt;=$B$6*I126,"OK","NG"))</f>
        <v/>
      </c>
      <c r="L126">
        <f>IF(K126="","",IF(K126=D126,1,0))</f>
        <v/>
      </c>
      <c r="M126" t="inlineStr">
        <is>
          <t>N2</t>
        </is>
      </c>
      <c r="N126" s="15" t="n">
        <v>1</v>
      </c>
      <c r="O126" s="15" t="n">
        <v>0</v>
      </c>
      <c r="P126">
        <f>IF(M126="","",IF(M126=E126,1,0))</f>
        <v/>
      </c>
      <c r="Q126">
        <f>IF(K126="OK","-",IF(N126&lt;$B$7,"AMBIGUOUS","CONFIDENT"))</f>
        <v/>
      </c>
    </row>
    <row r="127">
      <c r="A127">
        <f>'Runs Z score'!A119</f>
        <v/>
      </c>
      <c r="B127">
        <f>'Runs Z score'!B119</f>
        <v/>
      </c>
      <c r="C127">
        <f>'Runs Z score'!C119</f>
        <v/>
      </c>
      <c r="D127">
        <f>'Runs Z score'!D119</f>
        <v/>
      </c>
      <c r="E127">
        <f>'Runs Z score'!E119</f>
        <v/>
      </c>
      <c r="F127">
        <f>'Runs Z score'!F119</f>
        <v/>
      </c>
      <c r="G127">
        <f>'Runs Z score'!G119</f>
        <v/>
      </c>
      <c r="H127">
        <f>VLOOKUP(C127,Recipes!$A$2:$N$4,10,FALSE())</f>
        <v/>
      </c>
      <c r="I127">
        <f>VLOOKUP(C127,Recipes!$A$2:$N$4,12,FALSE())</f>
        <v/>
      </c>
      <c r="J127">
        <f>IF(G127="","",H127-G127)</f>
        <v/>
      </c>
      <c r="K127">
        <f>IF(G127="","",IF(ABS(G127-H127)&lt;=$B$6*I127,"OK","NG"))</f>
        <v/>
      </c>
      <c r="L127">
        <f>IF(K127="","",IF(K127=D127,1,0))</f>
        <v/>
      </c>
      <c r="M127" t="inlineStr">
        <is>
          <t>N2</t>
        </is>
      </c>
      <c r="N127" s="15" t="n">
        <v>1</v>
      </c>
      <c r="O127" s="15" t="n">
        <v>0</v>
      </c>
      <c r="P127">
        <f>IF(M127="","",IF(M127=E127,1,0))</f>
        <v/>
      </c>
      <c r="Q127">
        <f>IF(K127="OK","-",IF(N127&lt;$B$7,"AMBIGUOUS","CONFIDENT"))</f>
        <v/>
      </c>
    </row>
    <row r="128">
      <c r="A128">
        <f>'Runs Z score'!A120</f>
        <v/>
      </c>
      <c r="B128">
        <f>'Runs Z score'!B120</f>
        <v/>
      </c>
      <c r="C128">
        <f>'Runs Z score'!C120</f>
        <v/>
      </c>
      <c r="D128">
        <f>'Runs Z score'!D120</f>
        <v/>
      </c>
      <c r="E128">
        <f>'Runs Z score'!E120</f>
        <v/>
      </c>
      <c r="F128">
        <f>'Runs Z score'!F120</f>
        <v/>
      </c>
      <c r="G128">
        <f>'Runs Z score'!G120</f>
        <v/>
      </c>
      <c r="H128">
        <f>VLOOKUP(C128,Recipes!$A$2:$N$4,10,FALSE())</f>
        <v/>
      </c>
      <c r="I128">
        <f>VLOOKUP(C128,Recipes!$A$2:$N$4,12,FALSE())</f>
        <v/>
      </c>
      <c r="J128">
        <f>IF(G128="","",H128-G128)</f>
        <v/>
      </c>
      <c r="K128">
        <f>IF(G128="","",IF(ABS(G128-H128)&lt;=$B$6*I128,"OK","NG"))</f>
        <v/>
      </c>
      <c r="L128">
        <f>IF(K128="","",IF(K128=D128,1,0))</f>
        <v/>
      </c>
      <c r="M128" t="inlineStr">
        <is>
          <t>N2</t>
        </is>
      </c>
      <c r="N128" s="15" t="n">
        <v>1</v>
      </c>
      <c r="O128" s="15" t="n">
        <v>0</v>
      </c>
      <c r="P128">
        <f>IF(M128="","",IF(M128=E128,1,0))</f>
        <v/>
      </c>
      <c r="Q128">
        <f>IF(K128="OK","-",IF(N128&lt;$B$7,"AMBIGUOUS","CONFIDENT"))</f>
        <v/>
      </c>
    </row>
    <row r="129">
      <c r="A129">
        <f>'Runs Z score'!A121</f>
        <v/>
      </c>
      <c r="B129">
        <f>'Runs Z score'!B121</f>
        <v/>
      </c>
      <c r="C129">
        <f>'Runs Z score'!C121</f>
        <v/>
      </c>
      <c r="D129">
        <f>'Runs Z score'!D121</f>
        <v/>
      </c>
      <c r="E129">
        <f>'Runs Z score'!E121</f>
        <v/>
      </c>
      <c r="F129">
        <f>'Runs Z score'!F121</f>
        <v/>
      </c>
      <c r="G129">
        <f>'Runs Z score'!G121</f>
        <v/>
      </c>
      <c r="H129">
        <f>VLOOKUP(C129,Recipes!$A$2:$N$4,10,FALSE())</f>
        <v/>
      </c>
      <c r="I129">
        <f>VLOOKUP(C129,Recipes!$A$2:$N$4,12,FALSE())</f>
        <v/>
      </c>
      <c r="J129">
        <f>IF(G129="","",H129-G129)</f>
        <v/>
      </c>
      <c r="K129">
        <f>IF(G129="","",IF(ABS(G129-H129)&lt;=$B$6*I129,"OK","NG"))</f>
        <v/>
      </c>
      <c r="L129">
        <f>IF(K129="","",IF(K129=D129,1,0))</f>
        <v/>
      </c>
      <c r="M129" t="inlineStr">
        <is>
          <t>N2</t>
        </is>
      </c>
      <c r="N129" s="15" t="n">
        <v>1</v>
      </c>
      <c r="O129" s="15" t="n">
        <v>0</v>
      </c>
      <c r="P129">
        <f>IF(M129="","",IF(M129=E129,1,0))</f>
        <v/>
      </c>
      <c r="Q129">
        <f>IF(K129="OK","-",IF(N129&lt;$B$7,"AMBIGUOUS","CONFIDENT"))</f>
        <v/>
      </c>
    </row>
    <row r="130">
      <c r="A130">
        <f>'Runs Z score'!A122</f>
        <v/>
      </c>
      <c r="B130">
        <f>'Runs Z score'!B122</f>
        <v/>
      </c>
      <c r="C130">
        <f>'Runs Z score'!C122</f>
        <v/>
      </c>
      <c r="D130">
        <f>'Runs Z score'!D122</f>
        <v/>
      </c>
      <c r="E130">
        <f>'Runs Z score'!E122</f>
        <v/>
      </c>
      <c r="F130">
        <f>'Runs Z score'!F122</f>
        <v/>
      </c>
      <c r="G130">
        <f>'Runs Z score'!G122</f>
        <v/>
      </c>
      <c r="H130">
        <f>VLOOKUP(C130,Recipes!$A$2:$N$4,10,FALSE())</f>
        <v/>
      </c>
      <c r="I130">
        <f>VLOOKUP(C130,Recipes!$A$2:$N$4,12,FALSE())</f>
        <v/>
      </c>
      <c r="J130">
        <f>IF(G130="","",H130-G130)</f>
        <v/>
      </c>
      <c r="K130">
        <f>IF(G130="","",IF(ABS(G130-H130)&lt;=$B$6*I130,"OK","NG"))</f>
        <v/>
      </c>
      <c r="L130">
        <f>IF(K130="","",IF(K130=D130,1,0))</f>
        <v/>
      </c>
      <c r="M130" t="inlineStr">
        <is>
          <t>N2</t>
        </is>
      </c>
      <c r="N130" s="15" t="n">
        <v>1</v>
      </c>
      <c r="O130" s="15" t="n">
        <v>0</v>
      </c>
      <c r="P130">
        <f>IF(M130="","",IF(M130=E130,1,0))</f>
        <v/>
      </c>
      <c r="Q130">
        <f>IF(K130="OK","-",IF(N130&lt;$B$7,"AMBIGUOUS","CONFIDENT"))</f>
        <v/>
      </c>
    </row>
    <row r="131">
      <c r="A131">
        <f>'Runs Z score'!A123</f>
        <v/>
      </c>
      <c r="B131">
        <f>'Runs Z score'!B123</f>
        <v/>
      </c>
      <c r="C131">
        <f>'Runs Z score'!C123</f>
        <v/>
      </c>
      <c r="D131">
        <f>'Runs Z score'!D123</f>
        <v/>
      </c>
      <c r="E131">
        <f>'Runs Z score'!E123</f>
        <v/>
      </c>
      <c r="F131">
        <f>'Runs Z score'!F123</f>
        <v/>
      </c>
      <c r="G131">
        <f>'Runs Z score'!G123</f>
        <v/>
      </c>
      <c r="H131">
        <f>VLOOKUP(C131,Recipes!$A$2:$N$4,10,FALSE())</f>
        <v/>
      </c>
      <c r="I131">
        <f>VLOOKUP(C131,Recipes!$A$2:$N$4,12,FALSE())</f>
        <v/>
      </c>
      <c r="J131">
        <f>IF(G131="","",H131-G131)</f>
        <v/>
      </c>
      <c r="K131">
        <f>IF(G131="","",IF(ABS(G131-H131)&lt;=$B$6*I131,"OK","NG"))</f>
        <v/>
      </c>
      <c r="L131">
        <f>IF(K131="","",IF(K131=D131,1,0))</f>
        <v/>
      </c>
      <c r="M131" t="inlineStr">
        <is>
          <t>NONE</t>
        </is>
      </c>
      <c r="N131" s="15" t="n">
        <v>1</v>
      </c>
      <c r="O131" s="15" t="n">
        <v>0</v>
      </c>
      <c r="P131">
        <f>IF(M131="","",IF(M131=E131,1,0))</f>
        <v/>
      </c>
      <c r="Q131">
        <f>IF(K131="OK","-",IF(N131&lt;$B$7,"AMBIGUOUS","CONFIDENT"))</f>
        <v/>
      </c>
    </row>
    <row r="132">
      <c r="A132">
        <f>'Runs Z score'!A124</f>
        <v/>
      </c>
      <c r="B132">
        <f>'Runs Z score'!B124</f>
        <v/>
      </c>
      <c r="C132">
        <f>'Runs Z score'!C124</f>
        <v/>
      </c>
      <c r="D132">
        <f>'Runs Z score'!D124</f>
        <v/>
      </c>
      <c r="E132">
        <f>'Runs Z score'!E124</f>
        <v/>
      </c>
      <c r="F132">
        <f>'Runs Z score'!F124</f>
        <v/>
      </c>
      <c r="G132">
        <f>'Runs Z score'!G124</f>
        <v/>
      </c>
      <c r="H132">
        <f>VLOOKUP(C132,Recipes!$A$2:$N$4,10,FALSE())</f>
        <v/>
      </c>
      <c r="I132">
        <f>VLOOKUP(C132,Recipes!$A$2:$N$4,12,FALSE())</f>
        <v/>
      </c>
      <c r="J132">
        <f>IF(G132="","",H132-G132)</f>
        <v/>
      </c>
      <c r="K132">
        <f>IF(G132="","",IF(ABS(G132-H132)&lt;=$B$6*I132,"OK","NG"))</f>
        <v/>
      </c>
      <c r="L132">
        <f>IF(K132="","",IF(K132=D132,1,0))</f>
        <v/>
      </c>
      <c r="M132" t="inlineStr">
        <is>
          <t>NONE</t>
        </is>
      </c>
      <c r="N132" s="15" t="n">
        <v>1</v>
      </c>
      <c r="O132" s="15" t="n">
        <v>0</v>
      </c>
      <c r="P132">
        <f>IF(M132="","",IF(M132=E132,1,0))</f>
        <v/>
      </c>
      <c r="Q132">
        <f>IF(K132="OK","-",IF(N132&lt;$B$7,"AMBIGUOUS","CONFIDENT"))</f>
        <v/>
      </c>
    </row>
    <row r="133">
      <c r="A133">
        <f>'Runs Z score'!A125</f>
        <v/>
      </c>
      <c r="B133">
        <f>'Runs Z score'!B125</f>
        <v/>
      </c>
      <c r="C133">
        <f>'Runs Z score'!C125</f>
        <v/>
      </c>
      <c r="D133">
        <f>'Runs Z score'!D125</f>
        <v/>
      </c>
      <c r="E133">
        <f>'Runs Z score'!E125</f>
        <v/>
      </c>
      <c r="F133">
        <f>'Runs Z score'!F125</f>
        <v/>
      </c>
      <c r="G133">
        <f>'Runs Z score'!G125</f>
        <v/>
      </c>
      <c r="H133">
        <f>VLOOKUP(C133,Recipes!$A$2:$N$4,10,FALSE())</f>
        <v/>
      </c>
      <c r="I133">
        <f>VLOOKUP(C133,Recipes!$A$2:$N$4,12,FALSE())</f>
        <v/>
      </c>
      <c r="J133">
        <f>IF(G133="","",H133-G133)</f>
        <v/>
      </c>
      <c r="K133">
        <f>IF(G133="","",IF(ABS(G133-H133)&lt;=$B$6*I133,"OK","NG"))</f>
        <v/>
      </c>
      <c r="L133">
        <f>IF(K133="","",IF(K133=D133,1,0))</f>
        <v/>
      </c>
      <c r="M133" t="inlineStr">
        <is>
          <t>NONE</t>
        </is>
      </c>
      <c r="N133" s="15" t="n">
        <v>1</v>
      </c>
      <c r="O133" s="15" t="n">
        <v>0</v>
      </c>
      <c r="P133">
        <f>IF(M133="","",IF(M133=E133,1,0))</f>
        <v/>
      </c>
      <c r="Q133">
        <f>IF(K133="OK","-",IF(N133&lt;$B$7,"AMBIGUOUS","CONFIDENT"))</f>
        <v/>
      </c>
    </row>
    <row r="134">
      <c r="A134">
        <f>'Runs Z score'!A126</f>
        <v/>
      </c>
      <c r="B134">
        <f>'Runs Z score'!B126</f>
        <v/>
      </c>
      <c r="C134">
        <f>'Runs Z score'!C126</f>
        <v/>
      </c>
      <c r="D134">
        <f>'Runs Z score'!D126</f>
        <v/>
      </c>
      <c r="E134">
        <f>'Runs Z score'!E126</f>
        <v/>
      </c>
      <c r="F134">
        <f>'Runs Z score'!F126</f>
        <v/>
      </c>
      <c r="G134">
        <f>'Runs Z score'!G126</f>
        <v/>
      </c>
      <c r="H134">
        <f>VLOOKUP(C134,Recipes!$A$2:$N$4,10,FALSE())</f>
        <v/>
      </c>
      <c r="I134">
        <f>VLOOKUP(C134,Recipes!$A$2:$N$4,12,FALSE())</f>
        <v/>
      </c>
      <c r="J134">
        <f>IF(G134="","",H134-G134)</f>
        <v/>
      </c>
      <c r="K134">
        <f>IF(G134="","",IF(ABS(G134-H134)&lt;=$B$6*I134,"OK","NG"))</f>
        <v/>
      </c>
      <c r="L134">
        <f>IF(K134="","",IF(K134=D134,1,0))</f>
        <v/>
      </c>
      <c r="M134" t="inlineStr">
        <is>
          <t>NONE</t>
        </is>
      </c>
      <c r="N134" s="15" t="n">
        <v>1</v>
      </c>
      <c r="O134" s="15" t="n">
        <v>0</v>
      </c>
      <c r="P134">
        <f>IF(M134="","",IF(M134=E134,1,0))</f>
        <v/>
      </c>
      <c r="Q134">
        <f>IF(K134="OK","-",IF(N134&lt;$B$7,"AMBIGUOUS","CONFIDENT"))</f>
        <v/>
      </c>
    </row>
    <row r="135">
      <c r="A135">
        <f>'Runs Z score'!A127</f>
        <v/>
      </c>
      <c r="B135">
        <f>'Runs Z score'!B127</f>
        <v/>
      </c>
      <c r="C135">
        <f>'Runs Z score'!C127</f>
        <v/>
      </c>
      <c r="D135">
        <f>'Runs Z score'!D127</f>
        <v/>
      </c>
      <c r="E135">
        <f>'Runs Z score'!E127</f>
        <v/>
      </c>
      <c r="F135">
        <f>'Runs Z score'!F127</f>
        <v/>
      </c>
      <c r="G135">
        <f>'Runs Z score'!G127</f>
        <v/>
      </c>
      <c r="H135">
        <f>VLOOKUP(C135,Recipes!$A$2:$N$4,10,FALSE())</f>
        <v/>
      </c>
      <c r="I135">
        <f>VLOOKUP(C135,Recipes!$A$2:$N$4,12,FALSE())</f>
        <v/>
      </c>
      <c r="J135">
        <f>IF(G135="","",H135-G135)</f>
        <v/>
      </c>
      <c r="K135">
        <f>IF(G135="","",IF(ABS(G135-H135)&lt;=$B$6*I135,"OK","NG"))</f>
        <v/>
      </c>
      <c r="L135">
        <f>IF(K135="","",IF(K135=D135,1,0))</f>
        <v/>
      </c>
      <c r="M135" t="inlineStr">
        <is>
          <t>NONE</t>
        </is>
      </c>
      <c r="N135" s="15" t="n">
        <v>1</v>
      </c>
      <c r="O135" s="15" t="n">
        <v>0</v>
      </c>
      <c r="P135">
        <f>IF(M135="","",IF(M135=E135,1,0))</f>
        <v/>
      </c>
      <c r="Q135">
        <f>IF(K135="OK","-",IF(N135&lt;$B$7,"AMBIGUOUS","CONFIDENT"))</f>
        <v/>
      </c>
    </row>
    <row r="136">
      <c r="A136">
        <f>'Runs Z score'!A128</f>
        <v/>
      </c>
      <c r="B136">
        <f>'Runs Z score'!B128</f>
        <v/>
      </c>
      <c r="C136">
        <f>'Runs Z score'!C128</f>
        <v/>
      </c>
      <c r="D136">
        <f>'Runs Z score'!D128</f>
        <v/>
      </c>
      <c r="E136">
        <f>'Runs Z score'!E128</f>
        <v/>
      </c>
      <c r="F136">
        <f>'Runs Z score'!F128</f>
        <v/>
      </c>
      <c r="G136">
        <f>'Runs Z score'!G128</f>
        <v/>
      </c>
      <c r="H136">
        <f>VLOOKUP(C136,Recipes!$A$2:$N$4,10,FALSE())</f>
        <v/>
      </c>
      <c r="I136">
        <f>VLOOKUP(C136,Recipes!$A$2:$N$4,12,FALSE())</f>
        <v/>
      </c>
      <c r="J136">
        <f>IF(G136="","",H136-G136)</f>
        <v/>
      </c>
      <c r="K136">
        <f>IF(G136="","",IF(ABS(G136-H136)&lt;=$B$6*I136,"OK","NG"))</f>
        <v/>
      </c>
      <c r="L136">
        <f>IF(K136="","",IF(K136=D136,1,0))</f>
        <v/>
      </c>
      <c r="M136" t="inlineStr">
        <is>
          <t>NONE</t>
        </is>
      </c>
      <c r="N136" s="15" t="n">
        <v>1</v>
      </c>
      <c r="O136" s="15" t="n">
        <v>0</v>
      </c>
      <c r="P136">
        <f>IF(M136="","",IF(M136=E136,1,0))</f>
        <v/>
      </c>
      <c r="Q136">
        <f>IF(K136="OK","-",IF(N136&lt;$B$7,"AMBIGUOUS","CONFIDENT"))</f>
        <v/>
      </c>
    </row>
    <row r="137">
      <c r="A137">
        <f>'Runs Z score'!A129</f>
        <v/>
      </c>
      <c r="B137">
        <f>'Runs Z score'!B129</f>
        <v/>
      </c>
      <c r="C137">
        <f>'Runs Z score'!C129</f>
        <v/>
      </c>
      <c r="D137">
        <f>'Runs Z score'!D129</f>
        <v/>
      </c>
      <c r="E137">
        <f>'Runs Z score'!E129</f>
        <v/>
      </c>
      <c r="F137">
        <f>'Runs Z score'!F129</f>
        <v/>
      </c>
      <c r="G137">
        <f>'Runs Z score'!G129</f>
        <v/>
      </c>
      <c r="H137">
        <f>VLOOKUP(C137,Recipes!$A$2:$N$4,10,FALSE())</f>
        <v/>
      </c>
      <c r="I137">
        <f>VLOOKUP(C137,Recipes!$A$2:$N$4,12,FALSE())</f>
        <v/>
      </c>
      <c r="J137">
        <f>IF(G137="","",H137-G137)</f>
        <v/>
      </c>
      <c r="K137">
        <f>IF(G137="","",IF(ABS(G137-H137)&lt;=$B$6*I137,"OK","NG"))</f>
        <v/>
      </c>
      <c r="L137">
        <f>IF(K137="","",IF(K137=D137,1,0))</f>
        <v/>
      </c>
      <c r="M137" t="inlineStr">
        <is>
          <t>NONE</t>
        </is>
      </c>
      <c r="N137" s="15" t="n">
        <v>1</v>
      </c>
      <c r="O137" s="15" t="n">
        <v>0</v>
      </c>
      <c r="P137">
        <f>IF(M137="","",IF(M137=E137,1,0))</f>
        <v/>
      </c>
      <c r="Q137">
        <f>IF(K137="OK","-",IF(N137&lt;$B$7,"AMBIGUOUS","CONFIDENT"))</f>
        <v/>
      </c>
    </row>
    <row r="138">
      <c r="A138">
        <f>'Runs Z score'!A130</f>
        <v/>
      </c>
      <c r="B138">
        <f>'Runs Z score'!B130</f>
        <v/>
      </c>
      <c r="C138">
        <f>'Runs Z score'!C130</f>
        <v/>
      </c>
      <c r="D138">
        <f>'Runs Z score'!D130</f>
        <v/>
      </c>
      <c r="E138">
        <f>'Runs Z score'!E130</f>
        <v/>
      </c>
      <c r="F138">
        <f>'Runs Z score'!F130</f>
        <v/>
      </c>
      <c r="G138">
        <f>'Runs Z score'!G130</f>
        <v/>
      </c>
      <c r="H138">
        <f>VLOOKUP(C138,Recipes!$A$2:$N$4,10,FALSE())</f>
        <v/>
      </c>
      <c r="I138">
        <f>VLOOKUP(C138,Recipes!$A$2:$N$4,12,FALSE())</f>
        <v/>
      </c>
      <c r="J138">
        <f>IF(G138="","",H138-G138)</f>
        <v/>
      </c>
      <c r="K138">
        <f>IF(G138="","",IF(ABS(G138-H138)&lt;=$B$6*I138,"OK","NG"))</f>
        <v/>
      </c>
      <c r="L138">
        <f>IF(K138="","",IF(K138=D138,1,0))</f>
        <v/>
      </c>
      <c r="M138" t="inlineStr">
        <is>
          <t>NONE</t>
        </is>
      </c>
      <c r="N138" s="15" t="n">
        <v>1</v>
      </c>
      <c r="O138" s="15" t="n">
        <v>0</v>
      </c>
      <c r="P138">
        <f>IF(M138="","",IF(M138=E138,1,0))</f>
        <v/>
      </c>
      <c r="Q138">
        <f>IF(K138="OK","-",IF(N138&lt;$B$7,"AMBIGUOUS","CONFIDENT"))</f>
        <v/>
      </c>
    </row>
    <row r="139">
      <c r="A139">
        <f>'Runs Z score'!A131</f>
        <v/>
      </c>
      <c r="B139">
        <f>'Runs Z score'!B131</f>
        <v/>
      </c>
      <c r="C139">
        <f>'Runs Z score'!C131</f>
        <v/>
      </c>
      <c r="D139">
        <f>'Runs Z score'!D131</f>
        <v/>
      </c>
      <c r="E139">
        <f>'Runs Z score'!E131</f>
        <v/>
      </c>
      <c r="F139">
        <f>'Runs Z score'!F131</f>
        <v/>
      </c>
      <c r="G139">
        <f>'Runs Z score'!G131</f>
        <v/>
      </c>
      <c r="H139">
        <f>VLOOKUP(C139,Recipes!$A$2:$N$4,10,FALSE())</f>
        <v/>
      </c>
      <c r="I139">
        <f>VLOOKUP(C139,Recipes!$A$2:$N$4,12,FALSE())</f>
        <v/>
      </c>
      <c r="J139">
        <f>IF(G139="","",H139-G139)</f>
        <v/>
      </c>
      <c r="K139">
        <f>IF(G139="","",IF(ABS(G139-H139)&lt;=$B$6*I139,"OK","NG"))</f>
        <v/>
      </c>
      <c r="L139">
        <f>IF(K139="","",IF(K139=D139,1,0))</f>
        <v/>
      </c>
      <c r="M139" t="inlineStr">
        <is>
          <t>NONE</t>
        </is>
      </c>
      <c r="N139" s="15" t="n">
        <v>1</v>
      </c>
      <c r="O139" s="15" t="n">
        <v>0</v>
      </c>
      <c r="P139">
        <f>IF(M139="","",IF(M139=E139,1,0))</f>
        <v/>
      </c>
      <c r="Q139">
        <f>IF(K139="OK","-",IF(N139&lt;$B$7,"AMBIGUOUS","CONFIDENT"))</f>
        <v/>
      </c>
    </row>
    <row r="140">
      <c r="A140">
        <f>'Runs Z score'!A132</f>
        <v/>
      </c>
      <c r="B140">
        <f>'Runs Z score'!B132</f>
        <v/>
      </c>
      <c r="C140">
        <f>'Runs Z score'!C132</f>
        <v/>
      </c>
      <c r="D140">
        <f>'Runs Z score'!D132</f>
        <v/>
      </c>
      <c r="E140">
        <f>'Runs Z score'!E132</f>
        <v/>
      </c>
      <c r="F140">
        <f>'Runs Z score'!F132</f>
        <v/>
      </c>
      <c r="G140">
        <f>'Runs Z score'!G132</f>
        <v/>
      </c>
      <c r="H140">
        <f>VLOOKUP(C140,Recipes!$A$2:$N$4,10,FALSE())</f>
        <v/>
      </c>
      <c r="I140">
        <f>VLOOKUP(C140,Recipes!$A$2:$N$4,12,FALSE())</f>
        <v/>
      </c>
      <c r="J140">
        <f>IF(G140="","",H140-G140)</f>
        <v/>
      </c>
      <c r="K140">
        <f>IF(G140="","",IF(ABS(G140-H140)&lt;=$B$6*I140,"OK","NG"))</f>
        <v/>
      </c>
      <c r="L140">
        <f>IF(K140="","",IF(K140=D140,1,0))</f>
        <v/>
      </c>
      <c r="M140" t="inlineStr">
        <is>
          <t>NONE</t>
        </is>
      </c>
      <c r="N140" s="15" t="n">
        <v>1</v>
      </c>
      <c r="O140" s="15" t="n">
        <v>0</v>
      </c>
      <c r="P140">
        <f>IF(M140="","",IF(M140=E140,1,0))</f>
        <v/>
      </c>
      <c r="Q140">
        <f>IF(K140="OK","-",IF(N140&lt;$B$7,"AMBIGUOUS","CONFIDENT"))</f>
        <v/>
      </c>
    </row>
    <row r="141">
      <c r="A141">
        <f>'Runs Z score'!A133</f>
        <v/>
      </c>
      <c r="B141">
        <f>'Runs Z score'!B133</f>
        <v/>
      </c>
      <c r="C141">
        <f>'Runs Z score'!C133</f>
        <v/>
      </c>
      <c r="D141">
        <f>'Runs Z score'!D133</f>
        <v/>
      </c>
      <c r="E141">
        <f>'Runs Z score'!E133</f>
        <v/>
      </c>
      <c r="F141">
        <f>'Runs Z score'!F133</f>
        <v/>
      </c>
      <c r="G141">
        <f>'Runs Z score'!G133</f>
        <v/>
      </c>
      <c r="H141">
        <f>VLOOKUP(C141,Recipes!$A$2:$N$4,10,FALSE())</f>
        <v/>
      </c>
      <c r="I141">
        <f>VLOOKUP(C141,Recipes!$A$2:$N$4,12,FALSE())</f>
        <v/>
      </c>
      <c r="J141">
        <f>IF(G141="","",H141-G141)</f>
        <v/>
      </c>
      <c r="K141">
        <f>IF(G141="","",IF(ABS(G141-H141)&lt;=$B$6*I141,"OK","NG"))</f>
        <v/>
      </c>
      <c r="L141">
        <f>IF(K141="","",IF(K141=D141,1,0))</f>
        <v/>
      </c>
      <c r="M141" t="inlineStr">
        <is>
          <t>NONE</t>
        </is>
      </c>
      <c r="N141" s="15" t="n">
        <v>1</v>
      </c>
      <c r="O141" s="15" t="n">
        <v>0</v>
      </c>
      <c r="P141">
        <f>IF(M141="","",IF(M141=E141,1,0))</f>
        <v/>
      </c>
      <c r="Q141">
        <f>IF(K141="OK","-",IF(N141&lt;$B$7,"AMBIGUOUS","CONFIDENT"))</f>
        <v/>
      </c>
    </row>
    <row r="142">
      <c r="A142">
        <f>'Runs Z score'!A134</f>
        <v/>
      </c>
      <c r="B142">
        <f>'Runs Z score'!B134</f>
        <v/>
      </c>
      <c r="C142">
        <f>'Runs Z score'!C134</f>
        <v/>
      </c>
      <c r="D142">
        <f>'Runs Z score'!D134</f>
        <v/>
      </c>
      <c r="E142">
        <f>'Runs Z score'!E134</f>
        <v/>
      </c>
      <c r="F142">
        <f>'Runs Z score'!F134</f>
        <v/>
      </c>
      <c r="G142">
        <f>'Runs Z score'!G134</f>
        <v/>
      </c>
      <c r="H142">
        <f>VLOOKUP(C142,Recipes!$A$2:$N$4,10,FALSE())</f>
        <v/>
      </c>
      <c r="I142">
        <f>VLOOKUP(C142,Recipes!$A$2:$N$4,12,FALSE())</f>
        <v/>
      </c>
      <c r="J142">
        <f>IF(G142="","",H142-G142)</f>
        <v/>
      </c>
      <c r="K142">
        <f>IF(G142="","",IF(ABS(G142-H142)&lt;=$B$6*I142,"OK","NG"))</f>
        <v/>
      </c>
      <c r="L142">
        <f>IF(K142="","",IF(K142=D142,1,0))</f>
        <v/>
      </c>
      <c r="M142" t="inlineStr">
        <is>
          <t>NONE</t>
        </is>
      </c>
      <c r="N142" s="15" t="n">
        <v>1</v>
      </c>
      <c r="O142" s="15" t="n">
        <v>0</v>
      </c>
      <c r="P142">
        <f>IF(M142="","",IF(M142=E142,1,0))</f>
        <v/>
      </c>
      <c r="Q142">
        <f>IF(K142="OK","-",IF(N142&lt;$B$7,"AMBIGUOUS","CONFIDENT"))</f>
        <v/>
      </c>
    </row>
    <row r="143">
      <c r="A143">
        <f>'Runs Z score'!A135</f>
        <v/>
      </c>
      <c r="B143">
        <f>'Runs Z score'!B135</f>
        <v/>
      </c>
      <c r="C143">
        <f>'Runs Z score'!C135</f>
        <v/>
      </c>
      <c r="D143">
        <f>'Runs Z score'!D135</f>
        <v/>
      </c>
      <c r="E143">
        <f>'Runs Z score'!E135</f>
        <v/>
      </c>
      <c r="F143">
        <f>'Runs Z score'!F135</f>
        <v/>
      </c>
      <c r="G143">
        <f>'Runs Z score'!G135</f>
        <v/>
      </c>
      <c r="H143">
        <f>VLOOKUP(C143,Recipes!$A$2:$N$4,10,FALSE())</f>
        <v/>
      </c>
      <c r="I143">
        <f>VLOOKUP(C143,Recipes!$A$2:$N$4,12,FALSE())</f>
        <v/>
      </c>
      <c r="J143">
        <f>IF(G143="","",H143-G143)</f>
        <v/>
      </c>
      <c r="K143">
        <f>IF(G143="","",IF(ABS(G143-H143)&lt;=$B$6*I143,"OK","NG"))</f>
        <v/>
      </c>
      <c r="L143">
        <f>IF(K143="","",IF(K143=D143,1,0))</f>
        <v/>
      </c>
      <c r="M143" t="inlineStr">
        <is>
          <t>NONE</t>
        </is>
      </c>
      <c r="N143" s="15" t="n">
        <v>1</v>
      </c>
      <c r="O143" s="15" t="n">
        <v>0</v>
      </c>
      <c r="P143">
        <f>IF(M143="","",IF(M143=E143,1,0))</f>
        <v/>
      </c>
      <c r="Q143">
        <f>IF(K143="OK","-",IF(N143&lt;$B$7,"AMBIGUOUS","CONFIDENT"))</f>
        <v/>
      </c>
    </row>
    <row r="144">
      <c r="A144">
        <f>'Runs Z score'!A136</f>
        <v/>
      </c>
      <c r="B144">
        <f>'Runs Z score'!B136</f>
        <v/>
      </c>
      <c r="C144">
        <f>'Runs Z score'!C136</f>
        <v/>
      </c>
      <c r="D144">
        <f>'Runs Z score'!D136</f>
        <v/>
      </c>
      <c r="E144">
        <f>'Runs Z score'!E136</f>
        <v/>
      </c>
      <c r="F144">
        <f>'Runs Z score'!F136</f>
        <v/>
      </c>
      <c r="G144">
        <f>'Runs Z score'!G136</f>
        <v/>
      </c>
      <c r="H144">
        <f>VLOOKUP(C144,Recipes!$A$2:$N$4,10,FALSE())</f>
        <v/>
      </c>
      <c r="I144">
        <f>VLOOKUP(C144,Recipes!$A$2:$N$4,12,FALSE())</f>
        <v/>
      </c>
      <c r="J144">
        <f>IF(G144="","",H144-G144)</f>
        <v/>
      </c>
      <c r="K144">
        <f>IF(G144="","",IF(ABS(G144-H144)&lt;=$B$6*I144,"OK","NG"))</f>
        <v/>
      </c>
      <c r="L144">
        <f>IF(K144="","",IF(K144=D144,1,0))</f>
        <v/>
      </c>
      <c r="M144" t="inlineStr">
        <is>
          <t>NONE</t>
        </is>
      </c>
      <c r="N144" s="15" t="n">
        <v>1</v>
      </c>
      <c r="O144" s="15" t="n">
        <v>0</v>
      </c>
      <c r="P144">
        <f>IF(M144="","",IF(M144=E144,1,0))</f>
        <v/>
      </c>
      <c r="Q144">
        <f>IF(K144="OK","-",IF(N144&lt;$B$7,"AMBIGUOUS","CONFIDENT"))</f>
        <v/>
      </c>
    </row>
    <row r="145">
      <c r="A145">
        <f>'Runs Z score'!A137</f>
        <v/>
      </c>
      <c r="B145">
        <f>'Runs Z score'!B137</f>
        <v/>
      </c>
      <c r="C145">
        <f>'Runs Z score'!C137</f>
        <v/>
      </c>
      <c r="D145">
        <f>'Runs Z score'!D137</f>
        <v/>
      </c>
      <c r="E145">
        <f>'Runs Z score'!E137</f>
        <v/>
      </c>
      <c r="F145">
        <f>'Runs Z score'!F137</f>
        <v/>
      </c>
      <c r="G145">
        <f>'Runs Z score'!G137</f>
        <v/>
      </c>
      <c r="H145">
        <f>VLOOKUP(C145,Recipes!$A$2:$N$4,10,FALSE())</f>
        <v/>
      </c>
      <c r="I145">
        <f>VLOOKUP(C145,Recipes!$A$2:$N$4,12,FALSE())</f>
        <v/>
      </c>
      <c r="J145">
        <f>IF(G145="","",H145-G145)</f>
        <v/>
      </c>
      <c r="K145">
        <f>IF(G145="","",IF(ABS(G145-H145)&lt;=$B$6*I145,"OK","NG"))</f>
        <v/>
      </c>
      <c r="L145">
        <f>IF(K145="","",IF(K145=D145,1,0))</f>
        <v/>
      </c>
      <c r="M145" t="inlineStr">
        <is>
          <t>NONE</t>
        </is>
      </c>
      <c r="N145" s="15" t="n">
        <v>1</v>
      </c>
      <c r="O145" s="15" t="n">
        <v>0</v>
      </c>
      <c r="P145">
        <f>IF(M145="","",IF(M145=E145,1,0))</f>
        <v/>
      </c>
      <c r="Q145">
        <f>IF(K145="OK","-",IF(N145&lt;$B$7,"AMBIGUOUS","CONFIDENT"))</f>
        <v/>
      </c>
    </row>
    <row r="146">
      <c r="A146">
        <f>'Runs Z score'!A138</f>
        <v/>
      </c>
      <c r="B146">
        <f>'Runs Z score'!B138</f>
        <v/>
      </c>
      <c r="C146">
        <f>'Runs Z score'!C138</f>
        <v/>
      </c>
      <c r="D146">
        <f>'Runs Z score'!D138</f>
        <v/>
      </c>
      <c r="E146">
        <f>'Runs Z score'!E138</f>
        <v/>
      </c>
      <c r="F146">
        <f>'Runs Z score'!F138</f>
        <v/>
      </c>
      <c r="G146">
        <f>'Runs Z score'!G138</f>
        <v/>
      </c>
      <c r="H146">
        <f>VLOOKUP(C146,Recipes!$A$2:$N$4,10,FALSE())</f>
        <v/>
      </c>
      <c r="I146">
        <f>VLOOKUP(C146,Recipes!$A$2:$N$4,12,FALSE())</f>
        <v/>
      </c>
      <c r="J146">
        <f>IF(G146="","",H146-G146)</f>
        <v/>
      </c>
      <c r="K146">
        <f>IF(G146="","",IF(ABS(G146-H146)&lt;=$B$6*I146,"OK","NG"))</f>
        <v/>
      </c>
      <c r="L146">
        <f>IF(K146="","",IF(K146=D146,1,0))</f>
        <v/>
      </c>
      <c r="M146" t="inlineStr">
        <is>
          <t>NONE</t>
        </is>
      </c>
      <c r="N146" s="15" t="n">
        <v>1</v>
      </c>
      <c r="O146" s="15" t="n">
        <v>0</v>
      </c>
      <c r="P146">
        <f>IF(M146="","",IF(M146=E146,1,0))</f>
        <v/>
      </c>
      <c r="Q146">
        <f>IF(K146="OK","-",IF(N146&lt;$B$7,"AMBIGUOUS","CONFIDENT"))</f>
        <v/>
      </c>
    </row>
    <row r="147">
      <c r="A147">
        <f>'Runs Z score'!A139</f>
        <v/>
      </c>
      <c r="B147">
        <f>'Runs Z score'!B139</f>
        <v/>
      </c>
      <c r="C147">
        <f>'Runs Z score'!C139</f>
        <v/>
      </c>
      <c r="D147">
        <f>'Runs Z score'!D139</f>
        <v/>
      </c>
      <c r="E147">
        <f>'Runs Z score'!E139</f>
        <v/>
      </c>
      <c r="F147">
        <f>'Runs Z score'!F139</f>
        <v/>
      </c>
      <c r="G147">
        <f>'Runs Z score'!G139</f>
        <v/>
      </c>
      <c r="H147">
        <f>VLOOKUP(C147,Recipes!$A$2:$N$4,10,FALSE())</f>
        <v/>
      </c>
      <c r="I147">
        <f>VLOOKUP(C147,Recipes!$A$2:$N$4,12,FALSE())</f>
        <v/>
      </c>
      <c r="J147">
        <f>IF(G147="","",H147-G147)</f>
        <v/>
      </c>
      <c r="K147">
        <f>IF(G147="","",IF(ABS(G147-H147)&lt;=$B$6*I147,"OK","NG"))</f>
        <v/>
      </c>
      <c r="L147">
        <f>IF(K147="","",IF(K147=D147,1,0))</f>
        <v/>
      </c>
      <c r="M147" t="inlineStr">
        <is>
          <t>NONE</t>
        </is>
      </c>
      <c r="N147" s="15" t="n">
        <v>1</v>
      </c>
      <c r="O147" s="15" t="n">
        <v>0</v>
      </c>
      <c r="P147">
        <f>IF(M147="","",IF(M147=E147,1,0))</f>
        <v/>
      </c>
      <c r="Q147">
        <f>IF(K147="OK","-",IF(N147&lt;$B$7,"AMBIGUOUS","CONFIDENT"))</f>
        <v/>
      </c>
    </row>
    <row r="148">
      <c r="A148">
        <f>'Runs Z score'!A140</f>
        <v/>
      </c>
      <c r="B148">
        <f>'Runs Z score'!B140</f>
        <v/>
      </c>
      <c r="C148">
        <f>'Runs Z score'!C140</f>
        <v/>
      </c>
      <c r="D148">
        <f>'Runs Z score'!D140</f>
        <v/>
      </c>
      <c r="E148">
        <f>'Runs Z score'!E140</f>
        <v/>
      </c>
      <c r="F148">
        <f>'Runs Z score'!F140</f>
        <v/>
      </c>
      <c r="G148">
        <f>'Runs Z score'!G140</f>
        <v/>
      </c>
      <c r="H148">
        <f>VLOOKUP(C148,Recipes!$A$2:$N$4,10,FALSE())</f>
        <v/>
      </c>
      <c r="I148">
        <f>VLOOKUP(C148,Recipes!$A$2:$N$4,12,FALSE())</f>
        <v/>
      </c>
      <c r="J148">
        <f>IF(G148="","",H148-G148)</f>
        <v/>
      </c>
      <c r="K148">
        <f>IF(G148="","",IF(ABS(G148-H148)&lt;=$B$6*I148,"OK","NG"))</f>
        <v/>
      </c>
      <c r="L148">
        <f>IF(K148="","",IF(K148=D148,1,0))</f>
        <v/>
      </c>
      <c r="M148" t="inlineStr">
        <is>
          <t>NONE</t>
        </is>
      </c>
      <c r="N148" s="15" t="n">
        <v>1</v>
      </c>
      <c r="O148" s="15" t="n">
        <v>0</v>
      </c>
      <c r="P148">
        <f>IF(M148="","",IF(M148=E148,1,0))</f>
        <v/>
      </c>
      <c r="Q148">
        <f>IF(K148="OK","-",IF(N148&lt;$B$7,"AMBIGUOUS","CONFIDENT"))</f>
        <v/>
      </c>
    </row>
    <row r="149">
      <c r="A149">
        <f>'Runs Z score'!A141</f>
        <v/>
      </c>
      <c r="B149">
        <f>'Runs Z score'!B141</f>
        <v/>
      </c>
      <c r="C149">
        <f>'Runs Z score'!C141</f>
        <v/>
      </c>
      <c r="D149">
        <f>'Runs Z score'!D141</f>
        <v/>
      </c>
      <c r="E149">
        <f>'Runs Z score'!E141</f>
        <v/>
      </c>
      <c r="F149">
        <f>'Runs Z score'!F141</f>
        <v/>
      </c>
      <c r="G149">
        <f>'Runs Z score'!G141</f>
        <v/>
      </c>
      <c r="H149">
        <f>VLOOKUP(C149,Recipes!$A$2:$N$4,10,FALSE())</f>
        <v/>
      </c>
      <c r="I149">
        <f>VLOOKUP(C149,Recipes!$A$2:$N$4,12,FALSE())</f>
        <v/>
      </c>
      <c r="J149">
        <f>IF(G149="","",H149-G149)</f>
        <v/>
      </c>
      <c r="K149">
        <f>IF(G149="","",IF(ABS(G149-H149)&lt;=$B$6*I149,"OK","NG"))</f>
        <v/>
      </c>
      <c r="L149">
        <f>IF(K149="","",IF(K149=D149,1,0))</f>
        <v/>
      </c>
      <c r="M149" t="inlineStr">
        <is>
          <t>NONE</t>
        </is>
      </c>
      <c r="N149" s="15" t="n">
        <v>1</v>
      </c>
      <c r="O149" s="15" t="n">
        <v>0</v>
      </c>
      <c r="P149">
        <f>IF(M149="","",IF(M149=E149,1,0))</f>
        <v/>
      </c>
      <c r="Q149">
        <f>IF(K149="OK","-",IF(N149&lt;$B$7,"AMBIGUOUS","CONFIDENT"))</f>
        <v/>
      </c>
    </row>
    <row r="150">
      <c r="A150">
        <f>'Runs Z score'!A142</f>
        <v/>
      </c>
      <c r="B150">
        <f>'Runs Z score'!B142</f>
        <v/>
      </c>
      <c r="C150">
        <f>'Runs Z score'!C142</f>
        <v/>
      </c>
      <c r="D150">
        <f>'Runs Z score'!D142</f>
        <v/>
      </c>
      <c r="E150">
        <f>'Runs Z score'!E142</f>
        <v/>
      </c>
      <c r="F150">
        <f>'Runs Z score'!F142</f>
        <v/>
      </c>
      <c r="G150">
        <f>'Runs Z score'!G142</f>
        <v/>
      </c>
      <c r="H150">
        <f>VLOOKUP(C150,Recipes!$A$2:$N$4,10,FALSE())</f>
        <v/>
      </c>
      <c r="I150">
        <f>VLOOKUP(C150,Recipes!$A$2:$N$4,12,FALSE())</f>
        <v/>
      </c>
      <c r="J150">
        <f>IF(G150="","",H150-G150)</f>
        <v/>
      </c>
      <c r="K150">
        <f>IF(G150="","",IF(ABS(G150-H150)&lt;=$B$6*I150,"OK","NG"))</f>
        <v/>
      </c>
      <c r="L150">
        <f>IF(K150="","",IF(K150=D150,1,0))</f>
        <v/>
      </c>
      <c r="M150" t="inlineStr">
        <is>
          <t>NONE</t>
        </is>
      </c>
      <c r="N150" s="15" t="n">
        <v>1</v>
      </c>
      <c r="O150" s="15" t="n">
        <v>0</v>
      </c>
      <c r="P150">
        <f>IF(M150="","",IF(M150=E150,1,0))</f>
        <v/>
      </c>
      <c r="Q150">
        <f>IF(K150="OK","-",IF(N150&lt;$B$7,"AMBIGUOUS","CONFIDENT"))</f>
        <v/>
      </c>
    </row>
    <row r="151">
      <c r="A151">
        <f>'Runs Z score'!A143</f>
        <v/>
      </c>
      <c r="B151">
        <f>'Runs Z score'!B143</f>
        <v/>
      </c>
      <c r="C151">
        <f>'Runs Z score'!C143</f>
        <v/>
      </c>
      <c r="D151">
        <f>'Runs Z score'!D143</f>
        <v/>
      </c>
      <c r="E151">
        <f>'Runs Z score'!E143</f>
        <v/>
      </c>
      <c r="F151">
        <f>'Runs Z score'!F143</f>
        <v/>
      </c>
      <c r="G151">
        <f>'Runs Z score'!G143</f>
        <v/>
      </c>
      <c r="H151">
        <f>VLOOKUP(C151,Recipes!$A$2:$N$4,10,FALSE())</f>
        <v/>
      </c>
      <c r="I151">
        <f>VLOOKUP(C151,Recipes!$A$2:$N$4,12,FALSE())</f>
        <v/>
      </c>
      <c r="J151">
        <f>IF(G151="","",H151-G151)</f>
        <v/>
      </c>
      <c r="K151">
        <f>IF(G151="","",IF(ABS(G151-H151)&lt;=$B$6*I151,"OK","NG"))</f>
        <v/>
      </c>
      <c r="L151">
        <f>IF(K151="","",IF(K151=D151,1,0))</f>
        <v/>
      </c>
      <c r="M151" t="inlineStr">
        <is>
          <t>NONE</t>
        </is>
      </c>
      <c r="N151" s="15" t="n">
        <v>1</v>
      </c>
      <c r="O151" s="15" t="n">
        <v>0</v>
      </c>
      <c r="P151">
        <f>IF(M151="","",IF(M151=E151,1,0))</f>
        <v/>
      </c>
      <c r="Q151">
        <f>IF(K151="OK","-",IF(N151&lt;$B$7,"AMBIGUOUS","CONFIDENT"))</f>
        <v/>
      </c>
    </row>
    <row r="152">
      <c r="A152">
        <f>'Runs Z score'!A144</f>
        <v/>
      </c>
      <c r="B152">
        <f>'Runs Z score'!B144</f>
        <v/>
      </c>
      <c r="C152">
        <f>'Runs Z score'!C144</f>
        <v/>
      </c>
      <c r="D152">
        <f>'Runs Z score'!D144</f>
        <v/>
      </c>
      <c r="E152">
        <f>'Runs Z score'!E144</f>
        <v/>
      </c>
      <c r="F152">
        <f>'Runs Z score'!F144</f>
        <v/>
      </c>
      <c r="G152">
        <f>'Runs Z score'!G144</f>
        <v/>
      </c>
      <c r="H152">
        <f>VLOOKUP(C152,Recipes!$A$2:$N$4,10,FALSE())</f>
        <v/>
      </c>
      <c r="I152">
        <f>VLOOKUP(C152,Recipes!$A$2:$N$4,12,FALSE())</f>
        <v/>
      </c>
      <c r="J152">
        <f>IF(G152="","",H152-G152)</f>
        <v/>
      </c>
      <c r="K152">
        <f>IF(G152="","",IF(ABS(G152-H152)&lt;=$B$6*I152,"OK","NG"))</f>
        <v/>
      </c>
      <c r="L152">
        <f>IF(K152="","",IF(K152=D152,1,0))</f>
        <v/>
      </c>
      <c r="M152" t="inlineStr">
        <is>
          <t>NONE</t>
        </is>
      </c>
      <c r="N152" s="15" t="n">
        <v>1</v>
      </c>
      <c r="O152" s="15" t="n">
        <v>0</v>
      </c>
      <c r="P152">
        <f>IF(M152="","",IF(M152=E152,1,0))</f>
        <v/>
      </c>
      <c r="Q152">
        <f>IF(K152="OK","-",IF(N152&lt;$B$7,"AMBIGUOUS","CONFIDENT"))</f>
        <v/>
      </c>
    </row>
    <row r="153">
      <c r="A153">
        <f>'Runs Z score'!A145</f>
        <v/>
      </c>
      <c r="B153">
        <f>'Runs Z score'!B145</f>
        <v/>
      </c>
      <c r="C153">
        <f>'Runs Z score'!C145</f>
        <v/>
      </c>
      <c r="D153">
        <f>'Runs Z score'!D145</f>
        <v/>
      </c>
      <c r="E153">
        <f>'Runs Z score'!E145</f>
        <v/>
      </c>
      <c r="F153">
        <f>'Runs Z score'!F145</f>
        <v/>
      </c>
      <c r="G153">
        <f>'Runs Z score'!G145</f>
        <v/>
      </c>
      <c r="H153">
        <f>VLOOKUP(C153,Recipes!$A$2:$N$4,10,FALSE())</f>
        <v/>
      </c>
      <c r="I153">
        <f>VLOOKUP(C153,Recipes!$A$2:$N$4,12,FALSE())</f>
        <v/>
      </c>
      <c r="J153">
        <f>IF(G153="","",H153-G153)</f>
        <v/>
      </c>
      <c r="K153">
        <f>IF(G153="","",IF(ABS(G153-H153)&lt;=$B$6*I153,"OK","NG"))</f>
        <v/>
      </c>
      <c r="L153">
        <f>IF(K153="","",IF(K153=D153,1,0))</f>
        <v/>
      </c>
      <c r="M153" t="inlineStr">
        <is>
          <t>NONE</t>
        </is>
      </c>
      <c r="N153" s="15" t="n">
        <v>1</v>
      </c>
      <c r="O153" s="15" t="n">
        <v>0</v>
      </c>
      <c r="P153">
        <f>IF(M153="","",IF(M153=E153,1,0))</f>
        <v/>
      </c>
      <c r="Q153">
        <f>IF(K153="OK","-",IF(N153&lt;$B$7,"AMBIGUOUS","CONFIDENT"))</f>
        <v/>
      </c>
    </row>
    <row r="154">
      <c r="A154">
        <f>'Runs Z score'!A146</f>
        <v/>
      </c>
      <c r="B154">
        <f>'Runs Z score'!B146</f>
        <v/>
      </c>
      <c r="C154">
        <f>'Runs Z score'!C146</f>
        <v/>
      </c>
      <c r="D154">
        <f>'Runs Z score'!D146</f>
        <v/>
      </c>
      <c r="E154">
        <f>'Runs Z score'!E146</f>
        <v/>
      </c>
      <c r="F154">
        <f>'Runs Z score'!F146</f>
        <v/>
      </c>
      <c r="G154">
        <f>'Runs Z score'!G146</f>
        <v/>
      </c>
      <c r="H154">
        <f>VLOOKUP(C154,Recipes!$A$2:$N$4,10,FALSE())</f>
        <v/>
      </c>
      <c r="I154">
        <f>VLOOKUP(C154,Recipes!$A$2:$N$4,12,FALSE())</f>
        <v/>
      </c>
      <c r="J154">
        <f>IF(G154="","",H154-G154)</f>
        <v/>
      </c>
      <c r="K154">
        <f>IF(G154="","",IF(ABS(G154-H154)&lt;=$B$6*I154,"OK","NG"))</f>
        <v/>
      </c>
      <c r="L154">
        <f>IF(K154="","",IF(K154=D154,1,0))</f>
        <v/>
      </c>
      <c r="M154" t="inlineStr">
        <is>
          <t>NONE</t>
        </is>
      </c>
      <c r="N154" s="15" t="n">
        <v>1</v>
      </c>
      <c r="O154" s="15" t="n">
        <v>0</v>
      </c>
      <c r="P154">
        <f>IF(M154="","",IF(M154=E154,1,0))</f>
        <v/>
      </c>
      <c r="Q154">
        <f>IF(K154="OK","-",IF(N154&lt;$B$7,"AMBIGUOUS","CONFIDENT"))</f>
        <v/>
      </c>
    </row>
    <row r="155">
      <c r="A155">
        <f>'Runs Z score'!A147</f>
        <v/>
      </c>
      <c r="B155">
        <f>'Runs Z score'!B147</f>
        <v/>
      </c>
      <c r="C155">
        <f>'Runs Z score'!C147</f>
        <v/>
      </c>
      <c r="D155">
        <f>'Runs Z score'!D147</f>
        <v/>
      </c>
      <c r="E155">
        <f>'Runs Z score'!E147</f>
        <v/>
      </c>
      <c r="F155">
        <f>'Runs Z score'!F147</f>
        <v/>
      </c>
      <c r="G155">
        <f>'Runs Z score'!G147</f>
        <v/>
      </c>
      <c r="H155">
        <f>VLOOKUP(C155,Recipes!$A$2:$N$4,10,FALSE())</f>
        <v/>
      </c>
      <c r="I155">
        <f>VLOOKUP(C155,Recipes!$A$2:$N$4,12,FALSE())</f>
        <v/>
      </c>
      <c r="J155">
        <f>IF(G155="","",H155-G155)</f>
        <v/>
      </c>
      <c r="K155">
        <f>IF(G155="","",IF(ABS(G155-H155)&lt;=$B$6*I155,"OK","NG"))</f>
        <v/>
      </c>
      <c r="L155">
        <f>IF(K155="","",IF(K155=D155,1,0))</f>
        <v/>
      </c>
      <c r="M155" t="inlineStr">
        <is>
          <t>NONE</t>
        </is>
      </c>
      <c r="N155" s="15" t="n">
        <v>1</v>
      </c>
      <c r="O155" s="15" t="n">
        <v>0</v>
      </c>
      <c r="P155">
        <f>IF(M155="","",IF(M155=E155,1,0))</f>
        <v/>
      </c>
      <c r="Q155">
        <f>IF(K155="OK","-",IF(N155&lt;$B$7,"AMBIGUOUS","CONFIDENT"))</f>
        <v/>
      </c>
    </row>
    <row r="156">
      <c r="A156">
        <f>'Runs Z score'!A148</f>
        <v/>
      </c>
      <c r="B156">
        <f>'Runs Z score'!B148</f>
        <v/>
      </c>
      <c r="C156">
        <f>'Runs Z score'!C148</f>
        <v/>
      </c>
      <c r="D156">
        <f>'Runs Z score'!D148</f>
        <v/>
      </c>
      <c r="E156">
        <f>'Runs Z score'!E148</f>
        <v/>
      </c>
      <c r="F156">
        <f>'Runs Z score'!F148</f>
        <v/>
      </c>
      <c r="G156">
        <f>'Runs Z score'!G148</f>
        <v/>
      </c>
      <c r="H156">
        <f>VLOOKUP(C156,Recipes!$A$2:$N$4,10,FALSE())</f>
        <v/>
      </c>
      <c r="I156">
        <f>VLOOKUP(C156,Recipes!$A$2:$N$4,12,FALSE())</f>
        <v/>
      </c>
      <c r="J156">
        <f>IF(G156="","",H156-G156)</f>
        <v/>
      </c>
      <c r="K156">
        <f>IF(G156="","",IF(ABS(G156-H156)&lt;=$B$6*I156,"OK","NG"))</f>
        <v/>
      </c>
      <c r="L156">
        <f>IF(K156="","",IF(K156=D156,1,0))</f>
        <v/>
      </c>
      <c r="M156" t="inlineStr">
        <is>
          <t>NONE</t>
        </is>
      </c>
      <c r="N156" s="15" t="n">
        <v>1</v>
      </c>
      <c r="O156" s="15" t="n">
        <v>0</v>
      </c>
      <c r="P156">
        <f>IF(M156="","",IF(M156=E156,1,0))</f>
        <v/>
      </c>
      <c r="Q156">
        <f>IF(K156="OK","-",IF(N156&lt;$B$7,"AMBIGUOUS","CONFIDENT"))</f>
        <v/>
      </c>
    </row>
    <row r="157">
      <c r="A157">
        <f>'Runs Z score'!A149</f>
        <v/>
      </c>
      <c r="B157">
        <f>'Runs Z score'!B149</f>
        <v/>
      </c>
      <c r="C157">
        <f>'Runs Z score'!C149</f>
        <v/>
      </c>
      <c r="D157">
        <f>'Runs Z score'!D149</f>
        <v/>
      </c>
      <c r="E157">
        <f>'Runs Z score'!E149</f>
        <v/>
      </c>
      <c r="F157">
        <f>'Runs Z score'!F149</f>
        <v/>
      </c>
      <c r="G157">
        <f>'Runs Z score'!G149</f>
        <v/>
      </c>
      <c r="H157">
        <f>VLOOKUP(C157,Recipes!$A$2:$N$4,10,FALSE())</f>
        <v/>
      </c>
      <c r="I157">
        <f>VLOOKUP(C157,Recipes!$A$2:$N$4,12,FALSE())</f>
        <v/>
      </c>
      <c r="J157">
        <f>IF(G157="","",H157-G157)</f>
        <v/>
      </c>
      <c r="K157">
        <f>IF(G157="","",IF(ABS(G157-H157)&lt;=$B$6*I157,"OK","NG"))</f>
        <v/>
      </c>
      <c r="L157">
        <f>IF(K157="","",IF(K157=D157,1,0))</f>
        <v/>
      </c>
      <c r="M157" t="inlineStr">
        <is>
          <t>NONE</t>
        </is>
      </c>
      <c r="N157" s="15" t="n">
        <v>1</v>
      </c>
      <c r="O157" s="15" t="n">
        <v>0</v>
      </c>
      <c r="P157">
        <f>IF(M157="","",IF(M157=E157,1,0))</f>
        <v/>
      </c>
      <c r="Q157">
        <f>IF(K157="OK","-",IF(N157&lt;$B$7,"AMBIGUOUS","CONFIDENT"))</f>
        <v/>
      </c>
    </row>
    <row r="158">
      <c r="A158">
        <f>'Runs Z score'!A150</f>
        <v/>
      </c>
      <c r="B158">
        <f>'Runs Z score'!B150</f>
        <v/>
      </c>
      <c r="C158">
        <f>'Runs Z score'!C150</f>
        <v/>
      </c>
      <c r="D158">
        <f>'Runs Z score'!D150</f>
        <v/>
      </c>
      <c r="E158">
        <f>'Runs Z score'!E150</f>
        <v/>
      </c>
      <c r="F158">
        <f>'Runs Z score'!F150</f>
        <v/>
      </c>
      <c r="G158">
        <f>'Runs Z score'!G150</f>
        <v/>
      </c>
      <c r="H158">
        <f>VLOOKUP(C158,Recipes!$A$2:$N$4,10,FALSE())</f>
        <v/>
      </c>
      <c r="I158">
        <f>VLOOKUP(C158,Recipes!$A$2:$N$4,12,FALSE())</f>
        <v/>
      </c>
      <c r="J158">
        <f>IF(G158="","",H158-G158)</f>
        <v/>
      </c>
      <c r="K158">
        <f>IF(G158="","",IF(ABS(G158-H158)&lt;=$B$6*I158,"OK","NG"))</f>
        <v/>
      </c>
      <c r="L158">
        <f>IF(K158="","",IF(K158=D158,1,0))</f>
        <v/>
      </c>
      <c r="M158" t="inlineStr">
        <is>
          <t>NONE</t>
        </is>
      </c>
      <c r="N158" s="15" t="n">
        <v>1</v>
      </c>
      <c r="O158" s="15" t="n">
        <v>0</v>
      </c>
      <c r="P158">
        <f>IF(M158="","",IF(M158=E158,1,0))</f>
        <v/>
      </c>
      <c r="Q158">
        <f>IF(K158="OK","-",IF(N158&lt;$B$7,"AMBIGUOUS","CONFIDENT"))</f>
        <v/>
      </c>
    </row>
    <row r="159">
      <c r="A159">
        <f>'Runs Z score'!A151</f>
        <v/>
      </c>
      <c r="B159">
        <f>'Runs Z score'!B151</f>
        <v/>
      </c>
      <c r="C159">
        <f>'Runs Z score'!C151</f>
        <v/>
      </c>
      <c r="D159">
        <f>'Runs Z score'!D151</f>
        <v/>
      </c>
      <c r="E159">
        <f>'Runs Z score'!E151</f>
        <v/>
      </c>
      <c r="F159">
        <f>'Runs Z score'!F151</f>
        <v/>
      </c>
      <c r="G159">
        <f>'Runs Z score'!G151</f>
        <v/>
      </c>
      <c r="H159">
        <f>VLOOKUP(C159,Recipes!$A$2:$N$4,10,FALSE())</f>
        <v/>
      </c>
      <c r="I159">
        <f>VLOOKUP(C159,Recipes!$A$2:$N$4,12,FALSE())</f>
        <v/>
      </c>
      <c r="J159">
        <f>IF(G159="","",H159-G159)</f>
        <v/>
      </c>
      <c r="K159">
        <f>IF(G159="","",IF(ABS(G159-H159)&lt;=$B$6*I159,"OK","NG"))</f>
        <v/>
      </c>
      <c r="L159">
        <f>IF(K159="","",IF(K159=D159,1,0))</f>
        <v/>
      </c>
      <c r="M159" t="inlineStr">
        <is>
          <t>NONE</t>
        </is>
      </c>
      <c r="N159" s="15" t="n">
        <v>1</v>
      </c>
      <c r="O159" s="15" t="n">
        <v>0</v>
      </c>
      <c r="P159">
        <f>IF(M159="","",IF(M159=E159,1,0))</f>
        <v/>
      </c>
      <c r="Q159">
        <f>IF(K159="OK","-",IF(N159&lt;$B$7,"AMBIGUOUS","CONFIDENT"))</f>
        <v/>
      </c>
    </row>
    <row r="160">
      <c r="A160">
        <f>'Runs Z score'!A152</f>
        <v/>
      </c>
      <c r="B160">
        <f>'Runs Z score'!B152</f>
        <v/>
      </c>
      <c r="C160">
        <f>'Runs Z score'!C152</f>
        <v/>
      </c>
      <c r="D160">
        <f>'Runs Z score'!D152</f>
        <v/>
      </c>
      <c r="E160">
        <f>'Runs Z score'!E152</f>
        <v/>
      </c>
      <c r="F160">
        <f>'Runs Z score'!F152</f>
        <v/>
      </c>
      <c r="G160">
        <f>'Runs Z score'!G152</f>
        <v/>
      </c>
      <c r="H160">
        <f>VLOOKUP(C160,Recipes!$A$2:$N$4,10,FALSE())</f>
        <v/>
      </c>
      <c r="I160">
        <f>VLOOKUP(C160,Recipes!$A$2:$N$4,12,FALSE())</f>
        <v/>
      </c>
      <c r="J160">
        <f>IF(G160="","",H160-G160)</f>
        <v/>
      </c>
      <c r="K160">
        <f>IF(G160="","",IF(ABS(G160-H160)&lt;=$B$6*I160,"OK","NG"))</f>
        <v/>
      </c>
      <c r="L160">
        <f>IF(K160="","",IF(K160=D160,1,0))</f>
        <v/>
      </c>
      <c r="M160" t="inlineStr">
        <is>
          <t>NONE</t>
        </is>
      </c>
      <c r="N160" s="15" t="n">
        <v>1</v>
      </c>
      <c r="O160" s="15" t="n">
        <v>0</v>
      </c>
      <c r="P160">
        <f>IF(M160="","",IF(M160=E160,1,0))</f>
        <v/>
      </c>
      <c r="Q160">
        <f>IF(K160="OK","-",IF(N160&lt;$B$7,"AMBIGUOUS","CONFIDENT"))</f>
        <v/>
      </c>
    </row>
    <row r="161">
      <c r="A161">
        <f>'Runs Z score'!A153</f>
        <v/>
      </c>
      <c r="B161">
        <f>'Runs Z score'!B153</f>
        <v/>
      </c>
      <c r="C161">
        <f>'Runs Z score'!C153</f>
        <v/>
      </c>
      <c r="D161">
        <f>'Runs Z score'!D153</f>
        <v/>
      </c>
      <c r="E161">
        <f>'Runs Z score'!E153</f>
        <v/>
      </c>
      <c r="F161">
        <f>'Runs Z score'!F153</f>
        <v/>
      </c>
      <c r="G161">
        <f>'Runs Z score'!G153</f>
        <v/>
      </c>
      <c r="H161">
        <f>VLOOKUP(C161,Recipes!$A$2:$N$4,10,FALSE())</f>
        <v/>
      </c>
      <c r="I161">
        <f>VLOOKUP(C161,Recipes!$A$2:$N$4,12,FALSE())</f>
        <v/>
      </c>
      <c r="J161">
        <f>IF(G161="","",H161-G161)</f>
        <v/>
      </c>
      <c r="K161">
        <f>IF(G161="","",IF(ABS(G161-H161)&lt;=$B$6*I161,"OK","NG"))</f>
        <v/>
      </c>
      <c r="L161">
        <f>IF(K161="","",IF(K161=D161,1,0))</f>
        <v/>
      </c>
      <c r="M161" t="inlineStr">
        <is>
          <t>S1</t>
        </is>
      </c>
      <c r="N161" s="15" t="n">
        <v>1</v>
      </c>
      <c r="O161" s="15" t="n">
        <v>0</v>
      </c>
      <c r="P161">
        <f>IF(M161="","",IF(M161=E161,1,0))</f>
        <v/>
      </c>
      <c r="Q161">
        <f>IF(K161="OK","-",IF(N161&lt;$B$7,"AMBIGUOUS","CONFIDENT"))</f>
        <v/>
      </c>
    </row>
    <row r="162">
      <c r="A162">
        <f>'Runs Z score'!A154</f>
        <v/>
      </c>
      <c r="B162">
        <f>'Runs Z score'!B154</f>
        <v/>
      </c>
      <c r="C162">
        <f>'Runs Z score'!C154</f>
        <v/>
      </c>
      <c r="D162">
        <f>'Runs Z score'!D154</f>
        <v/>
      </c>
      <c r="E162">
        <f>'Runs Z score'!E154</f>
        <v/>
      </c>
      <c r="F162">
        <f>'Runs Z score'!F154</f>
        <v/>
      </c>
      <c r="G162">
        <f>'Runs Z score'!G154</f>
        <v/>
      </c>
      <c r="H162">
        <f>VLOOKUP(C162,Recipes!$A$2:$N$4,10,FALSE())</f>
        <v/>
      </c>
      <c r="I162">
        <f>VLOOKUP(C162,Recipes!$A$2:$N$4,12,FALSE())</f>
        <v/>
      </c>
      <c r="J162">
        <f>IF(G162="","",H162-G162)</f>
        <v/>
      </c>
      <c r="K162">
        <f>IF(G162="","",IF(ABS(G162-H162)&lt;=$B$6*I162,"OK","NG"))</f>
        <v/>
      </c>
      <c r="L162">
        <f>IF(K162="","",IF(K162=D162,1,0))</f>
        <v/>
      </c>
      <c r="M162" t="inlineStr">
        <is>
          <t>S1</t>
        </is>
      </c>
      <c r="N162" s="15" t="n">
        <v>1</v>
      </c>
      <c r="O162" s="15" t="n">
        <v>0</v>
      </c>
      <c r="P162">
        <f>IF(M162="","",IF(M162=E162,1,0))</f>
        <v/>
      </c>
      <c r="Q162">
        <f>IF(K162="OK","-",IF(N162&lt;$B$7,"AMBIGUOUS","CONFIDENT"))</f>
        <v/>
      </c>
    </row>
    <row r="163">
      <c r="A163">
        <f>'Runs Z score'!A155</f>
        <v/>
      </c>
      <c r="B163">
        <f>'Runs Z score'!B155</f>
        <v/>
      </c>
      <c r="C163">
        <f>'Runs Z score'!C155</f>
        <v/>
      </c>
      <c r="D163">
        <f>'Runs Z score'!D155</f>
        <v/>
      </c>
      <c r="E163">
        <f>'Runs Z score'!E155</f>
        <v/>
      </c>
      <c r="F163">
        <f>'Runs Z score'!F155</f>
        <v/>
      </c>
      <c r="G163">
        <f>'Runs Z score'!G155</f>
        <v/>
      </c>
      <c r="H163">
        <f>VLOOKUP(C163,Recipes!$A$2:$N$4,10,FALSE())</f>
        <v/>
      </c>
      <c r="I163">
        <f>VLOOKUP(C163,Recipes!$A$2:$N$4,12,FALSE())</f>
        <v/>
      </c>
      <c r="J163">
        <f>IF(G163="","",H163-G163)</f>
        <v/>
      </c>
      <c r="K163">
        <f>IF(G163="","",IF(ABS(G163-H163)&lt;=$B$6*I163,"OK","NG"))</f>
        <v/>
      </c>
      <c r="L163">
        <f>IF(K163="","",IF(K163=D163,1,0))</f>
        <v/>
      </c>
      <c r="M163" t="inlineStr">
        <is>
          <t>S1</t>
        </is>
      </c>
      <c r="N163" s="15" t="n">
        <v>1</v>
      </c>
      <c r="O163" s="15" t="n">
        <v>0</v>
      </c>
      <c r="P163">
        <f>IF(M163="","",IF(M163=E163,1,0))</f>
        <v/>
      </c>
      <c r="Q163">
        <f>IF(K163="OK","-",IF(N163&lt;$B$7,"AMBIGUOUS","CONFIDENT"))</f>
        <v/>
      </c>
    </row>
    <row r="164">
      <c r="A164">
        <f>'Runs Z score'!A156</f>
        <v/>
      </c>
      <c r="B164">
        <f>'Runs Z score'!B156</f>
        <v/>
      </c>
      <c r="C164">
        <f>'Runs Z score'!C156</f>
        <v/>
      </c>
      <c r="D164">
        <f>'Runs Z score'!D156</f>
        <v/>
      </c>
      <c r="E164">
        <f>'Runs Z score'!E156</f>
        <v/>
      </c>
      <c r="F164">
        <f>'Runs Z score'!F156</f>
        <v/>
      </c>
      <c r="G164">
        <f>'Runs Z score'!G156</f>
        <v/>
      </c>
      <c r="H164">
        <f>VLOOKUP(C164,Recipes!$A$2:$N$4,10,FALSE())</f>
        <v/>
      </c>
      <c r="I164">
        <f>VLOOKUP(C164,Recipes!$A$2:$N$4,12,FALSE())</f>
        <v/>
      </c>
      <c r="J164">
        <f>IF(G164="","",H164-G164)</f>
        <v/>
      </c>
      <c r="K164">
        <f>IF(G164="","",IF(ABS(G164-H164)&lt;=$B$6*I164,"OK","NG"))</f>
        <v/>
      </c>
      <c r="L164">
        <f>IF(K164="","",IF(K164=D164,1,0))</f>
        <v/>
      </c>
      <c r="M164" t="inlineStr">
        <is>
          <t>S1</t>
        </is>
      </c>
      <c r="N164" s="15" t="n">
        <v>1</v>
      </c>
      <c r="O164" s="15" t="n">
        <v>0</v>
      </c>
      <c r="P164">
        <f>IF(M164="","",IF(M164=E164,1,0))</f>
        <v/>
      </c>
      <c r="Q164">
        <f>IF(K164="OK","-",IF(N164&lt;$B$7,"AMBIGUOUS","CONFIDENT"))</f>
        <v/>
      </c>
    </row>
    <row r="165">
      <c r="A165">
        <f>'Runs Z score'!A157</f>
        <v/>
      </c>
      <c r="B165">
        <f>'Runs Z score'!B157</f>
        <v/>
      </c>
      <c r="C165">
        <f>'Runs Z score'!C157</f>
        <v/>
      </c>
      <c r="D165">
        <f>'Runs Z score'!D157</f>
        <v/>
      </c>
      <c r="E165">
        <f>'Runs Z score'!E157</f>
        <v/>
      </c>
      <c r="F165">
        <f>'Runs Z score'!F157</f>
        <v/>
      </c>
      <c r="G165">
        <f>'Runs Z score'!G157</f>
        <v/>
      </c>
      <c r="H165">
        <f>VLOOKUP(C165,Recipes!$A$2:$N$4,10,FALSE())</f>
        <v/>
      </c>
      <c r="I165">
        <f>VLOOKUP(C165,Recipes!$A$2:$N$4,12,FALSE())</f>
        <v/>
      </c>
      <c r="J165">
        <f>IF(G165="","",H165-G165)</f>
        <v/>
      </c>
      <c r="K165">
        <f>IF(G165="","",IF(ABS(G165-H165)&lt;=$B$6*I165,"OK","NG"))</f>
        <v/>
      </c>
      <c r="L165">
        <f>IF(K165="","",IF(K165=D165,1,0))</f>
        <v/>
      </c>
      <c r="M165" t="inlineStr">
        <is>
          <t>S1</t>
        </is>
      </c>
      <c r="N165" s="15" t="n">
        <v>1</v>
      </c>
      <c r="O165" s="15" t="n">
        <v>0</v>
      </c>
      <c r="P165">
        <f>IF(M165="","",IF(M165=E165,1,0))</f>
        <v/>
      </c>
      <c r="Q165">
        <f>IF(K165="OK","-",IF(N165&lt;$B$7,"AMBIGUOUS","CONFIDENT"))</f>
        <v/>
      </c>
    </row>
    <row r="166">
      <c r="A166">
        <f>'Runs Z score'!A158</f>
        <v/>
      </c>
      <c r="B166">
        <f>'Runs Z score'!B158</f>
        <v/>
      </c>
      <c r="C166">
        <f>'Runs Z score'!C158</f>
        <v/>
      </c>
      <c r="D166">
        <f>'Runs Z score'!D158</f>
        <v/>
      </c>
      <c r="E166">
        <f>'Runs Z score'!E158</f>
        <v/>
      </c>
      <c r="F166">
        <f>'Runs Z score'!F158</f>
        <v/>
      </c>
      <c r="G166">
        <f>'Runs Z score'!G158</f>
        <v/>
      </c>
      <c r="H166">
        <f>VLOOKUP(C166,Recipes!$A$2:$N$4,10,FALSE())</f>
        <v/>
      </c>
      <c r="I166">
        <f>VLOOKUP(C166,Recipes!$A$2:$N$4,12,FALSE())</f>
        <v/>
      </c>
      <c r="J166">
        <f>IF(G166="","",H166-G166)</f>
        <v/>
      </c>
      <c r="K166">
        <f>IF(G166="","",IF(ABS(G166-H166)&lt;=$B$6*I166,"OK","NG"))</f>
        <v/>
      </c>
      <c r="L166">
        <f>IF(K166="","",IF(K166=D166,1,0))</f>
        <v/>
      </c>
      <c r="M166" t="inlineStr">
        <is>
          <t>S1</t>
        </is>
      </c>
      <c r="N166" s="15" t="n">
        <v>1</v>
      </c>
      <c r="O166" s="15" t="n">
        <v>0</v>
      </c>
      <c r="P166">
        <f>IF(M166="","",IF(M166=E166,1,0))</f>
        <v/>
      </c>
      <c r="Q166">
        <f>IF(K166="OK","-",IF(N166&lt;$B$7,"AMBIGUOUS","CONFIDENT"))</f>
        <v/>
      </c>
    </row>
    <row r="167">
      <c r="A167">
        <f>'Runs Z score'!A159</f>
        <v/>
      </c>
      <c r="B167">
        <f>'Runs Z score'!B159</f>
        <v/>
      </c>
      <c r="C167">
        <f>'Runs Z score'!C159</f>
        <v/>
      </c>
      <c r="D167">
        <f>'Runs Z score'!D159</f>
        <v/>
      </c>
      <c r="E167">
        <f>'Runs Z score'!E159</f>
        <v/>
      </c>
      <c r="F167">
        <f>'Runs Z score'!F159</f>
        <v/>
      </c>
      <c r="G167">
        <f>'Runs Z score'!G159</f>
        <v/>
      </c>
      <c r="H167">
        <f>VLOOKUP(C167,Recipes!$A$2:$N$4,10,FALSE())</f>
        <v/>
      </c>
      <c r="I167">
        <f>VLOOKUP(C167,Recipes!$A$2:$N$4,12,FALSE())</f>
        <v/>
      </c>
      <c r="J167">
        <f>IF(G167="","",H167-G167)</f>
        <v/>
      </c>
      <c r="K167">
        <f>IF(G167="","",IF(ABS(G167-H167)&lt;=$B$6*I167,"OK","NG"))</f>
        <v/>
      </c>
      <c r="L167">
        <f>IF(K167="","",IF(K167=D167,1,0))</f>
        <v/>
      </c>
      <c r="M167" t="inlineStr">
        <is>
          <t>S1</t>
        </is>
      </c>
      <c r="N167" s="15" t="n">
        <v>1</v>
      </c>
      <c r="O167" s="15" t="n">
        <v>0</v>
      </c>
      <c r="P167">
        <f>IF(M167="","",IF(M167=E167,1,0))</f>
        <v/>
      </c>
      <c r="Q167">
        <f>IF(K167="OK","-",IF(N167&lt;$B$7,"AMBIGUOUS","CONFIDENT"))</f>
        <v/>
      </c>
    </row>
    <row r="168">
      <c r="A168">
        <f>'Runs Z score'!A160</f>
        <v/>
      </c>
      <c r="B168">
        <f>'Runs Z score'!B160</f>
        <v/>
      </c>
      <c r="C168">
        <f>'Runs Z score'!C160</f>
        <v/>
      </c>
      <c r="D168">
        <f>'Runs Z score'!D160</f>
        <v/>
      </c>
      <c r="E168">
        <f>'Runs Z score'!E160</f>
        <v/>
      </c>
      <c r="F168">
        <f>'Runs Z score'!F160</f>
        <v/>
      </c>
      <c r="G168">
        <f>'Runs Z score'!G160</f>
        <v/>
      </c>
      <c r="H168">
        <f>VLOOKUP(C168,Recipes!$A$2:$N$4,10,FALSE())</f>
        <v/>
      </c>
      <c r="I168">
        <f>VLOOKUP(C168,Recipes!$A$2:$N$4,12,FALSE())</f>
        <v/>
      </c>
      <c r="J168">
        <f>IF(G168="","",H168-G168)</f>
        <v/>
      </c>
      <c r="K168">
        <f>IF(G168="","",IF(ABS(G168-H168)&lt;=$B$6*I168,"OK","NG"))</f>
        <v/>
      </c>
      <c r="L168">
        <f>IF(K168="","",IF(K168=D168,1,0))</f>
        <v/>
      </c>
      <c r="M168" t="inlineStr">
        <is>
          <t>S1</t>
        </is>
      </c>
      <c r="N168" s="15" t="n">
        <v>1</v>
      </c>
      <c r="O168" s="15" t="n">
        <v>0</v>
      </c>
      <c r="P168">
        <f>IF(M168="","",IF(M168=E168,1,0))</f>
        <v/>
      </c>
      <c r="Q168">
        <f>IF(K168="OK","-",IF(N168&lt;$B$7,"AMBIGUOUS","CONFIDENT"))</f>
        <v/>
      </c>
    </row>
    <row r="169">
      <c r="A169">
        <f>'Runs Z score'!A161</f>
        <v/>
      </c>
      <c r="B169">
        <f>'Runs Z score'!B161</f>
        <v/>
      </c>
      <c r="C169">
        <f>'Runs Z score'!C161</f>
        <v/>
      </c>
      <c r="D169">
        <f>'Runs Z score'!D161</f>
        <v/>
      </c>
      <c r="E169">
        <f>'Runs Z score'!E161</f>
        <v/>
      </c>
      <c r="F169">
        <f>'Runs Z score'!F161</f>
        <v/>
      </c>
      <c r="G169">
        <f>'Runs Z score'!G161</f>
        <v/>
      </c>
      <c r="H169">
        <f>VLOOKUP(C169,Recipes!$A$2:$N$4,10,FALSE())</f>
        <v/>
      </c>
      <c r="I169">
        <f>VLOOKUP(C169,Recipes!$A$2:$N$4,12,FALSE())</f>
        <v/>
      </c>
      <c r="J169">
        <f>IF(G169="","",H169-G169)</f>
        <v/>
      </c>
      <c r="K169">
        <f>IF(G169="","",IF(ABS(G169-H169)&lt;=$B$6*I169,"OK","NG"))</f>
        <v/>
      </c>
      <c r="L169">
        <f>IF(K169="","",IF(K169=D169,1,0))</f>
        <v/>
      </c>
      <c r="M169" t="inlineStr">
        <is>
          <t>S1</t>
        </is>
      </c>
      <c r="N169" s="15" t="n">
        <v>1</v>
      </c>
      <c r="O169" s="15" t="n">
        <v>0</v>
      </c>
      <c r="P169">
        <f>IF(M169="","",IF(M169=E169,1,0))</f>
        <v/>
      </c>
      <c r="Q169">
        <f>IF(K169="OK","-",IF(N169&lt;$B$7,"AMBIGUOUS","CONFIDENT"))</f>
        <v/>
      </c>
    </row>
    <row r="170">
      <c r="A170">
        <f>'Runs Z score'!A162</f>
        <v/>
      </c>
      <c r="B170">
        <f>'Runs Z score'!B162</f>
        <v/>
      </c>
      <c r="C170">
        <f>'Runs Z score'!C162</f>
        <v/>
      </c>
      <c r="D170">
        <f>'Runs Z score'!D162</f>
        <v/>
      </c>
      <c r="E170">
        <f>'Runs Z score'!E162</f>
        <v/>
      </c>
      <c r="F170">
        <f>'Runs Z score'!F162</f>
        <v/>
      </c>
      <c r="G170">
        <f>'Runs Z score'!G162</f>
        <v/>
      </c>
      <c r="H170">
        <f>VLOOKUP(C170,Recipes!$A$2:$N$4,10,FALSE())</f>
        <v/>
      </c>
      <c r="I170">
        <f>VLOOKUP(C170,Recipes!$A$2:$N$4,12,FALSE())</f>
        <v/>
      </c>
      <c r="J170">
        <f>IF(G170="","",H170-G170)</f>
        <v/>
      </c>
      <c r="K170">
        <f>IF(G170="","",IF(ABS(G170-H170)&lt;=$B$6*I170,"OK","NG"))</f>
        <v/>
      </c>
      <c r="L170">
        <f>IF(K170="","",IF(K170=D170,1,0))</f>
        <v/>
      </c>
      <c r="M170" t="inlineStr">
        <is>
          <t>S1</t>
        </is>
      </c>
      <c r="N170" s="15" t="n">
        <v>1</v>
      </c>
      <c r="O170" s="15" t="n">
        <v>0</v>
      </c>
      <c r="P170">
        <f>IF(M170="","",IF(M170=E170,1,0))</f>
        <v/>
      </c>
      <c r="Q170">
        <f>IF(K170="OK","-",IF(N170&lt;$B$7,"AMBIGUOUS","CONFIDENT"))</f>
        <v/>
      </c>
    </row>
    <row r="171">
      <c r="A171">
        <f>'Runs Z score'!A163</f>
        <v/>
      </c>
      <c r="B171">
        <f>'Runs Z score'!B163</f>
        <v/>
      </c>
      <c r="C171">
        <f>'Runs Z score'!C163</f>
        <v/>
      </c>
      <c r="D171">
        <f>'Runs Z score'!D163</f>
        <v/>
      </c>
      <c r="E171">
        <f>'Runs Z score'!E163</f>
        <v/>
      </c>
      <c r="F171">
        <f>'Runs Z score'!F163</f>
        <v/>
      </c>
      <c r="G171">
        <f>'Runs Z score'!G163</f>
        <v/>
      </c>
      <c r="H171">
        <f>VLOOKUP(C171,Recipes!$A$2:$N$4,10,FALSE())</f>
        <v/>
      </c>
      <c r="I171">
        <f>VLOOKUP(C171,Recipes!$A$2:$N$4,12,FALSE())</f>
        <v/>
      </c>
      <c r="J171">
        <f>IF(G171="","",H171-G171)</f>
        <v/>
      </c>
      <c r="K171">
        <f>IF(G171="","",IF(ABS(G171-H171)&lt;=$B$6*I171,"OK","NG"))</f>
        <v/>
      </c>
      <c r="L171">
        <f>IF(K171="","",IF(K171=D171,1,0))</f>
        <v/>
      </c>
      <c r="M171" t="inlineStr">
        <is>
          <t>S1</t>
        </is>
      </c>
      <c r="N171" s="15" t="n">
        <v>1</v>
      </c>
      <c r="O171" s="15" t="n">
        <v>0</v>
      </c>
      <c r="P171">
        <f>IF(M171="","",IF(M171=E171,1,0))</f>
        <v/>
      </c>
      <c r="Q171">
        <f>IF(K171="OK","-",IF(N171&lt;$B$7,"AMBIGUOUS","CONFIDENT"))</f>
        <v/>
      </c>
    </row>
    <row r="172">
      <c r="A172">
        <f>'Runs Z score'!A164</f>
        <v/>
      </c>
      <c r="B172">
        <f>'Runs Z score'!B164</f>
        <v/>
      </c>
      <c r="C172">
        <f>'Runs Z score'!C164</f>
        <v/>
      </c>
      <c r="D172">
        <f>'Runs Z score'!D164</f>
        <v/>
      </c>
      <c r="E172">
        <f>'Runs Z score'!E164</f>
        <v/>
      </c>
      <c r="F172">
        <f>'Runs Z score'!F164</f>
        <v/>
      </c>
      <c r="G172">
        <f>'Runs Z score'!G164</f>
        <v/>
      </c>
      <c r="H172">
        <f>VLOOKUP(C172,Recipes!$A$2:$N$4,10,FALSE())</f>
        <v/>
      </c>
      <c r="I172">
        <f>VLOOKUP(C172,Recipes!$A$2:$N$4,12,FALSE())</f>
        <v/>
      </c>
      <c r="J172">
        <f>IF(G172="","",H172-G172)</f>
        <v/>
      </c>
      <c r="K172">
        <f>IF(G172="","",IF(ABS(G172-H172)&lt;=$B$6*I172,"OK","NG"))</f>
        <v/>
      </c>
      <c r="L172">
        <f>IF(K172="","",IF(K172=D172,1,0))</f>
        <v/>
      </c>
      <c r="M172" t="inlineStr">
        <is>
          <t>S1</t>
        </is>
      </c>
      <c r="N172" s="15" t="n">
        <v>1</v>
      </c>
      <c r="O172" s="15" t="n">
        <v>0</v>
      </c>
      <c r="P172">
        <f>IF(M172="","",IF(M172=E172,1,0))</f>
        <v/>
      </c>
      <c r="Q172">
        <f>IF(K172="OK","-",IF(N172&lt;$B$7,"AMBIGUOUS","CONFIDENT"))</f>
        <v/>
      </c>
    </row>
    <row r="173">
      <c r="A173">
        <f>'Runs Z score'!A165</f>
        <v/>
      </c>
      <c r="B173">
        <f>'Runs Z score'!B165</f>
        <v/>
      </c>
      <c r="C173">
        <f>'Runs Z score'!C165</f>
        <v/>
      </c>
      <c r="D173">
        <f>'Runs Z score'!D165</f>
        <v/>
      </c>
      <c r="E173">
        <f>'Runs Z score'!E165</f>
        <v/>
      </c>
      <c r="F173">
        <f>'Runs Z score'!F165</f>
        <v/>
      </c>
      <c r="G173">
        <f>'Runs Z score'!G165</f>
        <v/>
      </c>
      <c r="H173">
        <f>VLOOKUP(C173,Recipes!$A$2:$N$4,10,FALSE())</f>
        <v/>
      </c>
      <c r="I173">
        <f>VLOOKUP(C173,Recipes!$A$2:$N$4,12,FALSE())</f>
        <v/>
      </c>
      <c r="J173">
        <f>IF(G173="","",H173-G173)</f>
        <v/>
      </c>
      <c r="K173">
        <f>IF(G173="","",IF(ABS(G173-H173)&lt;=$B$6*I173,"OK","NG"))</f>
        <v/>
      </c>
      <c r="L173">
        <f>IF(K173="","",IF(K173=D173,1,0))</f>
        <v/>
      </c>
      <c r="M173" t="inlineStr">
        <is>
          <t>S1</t>
        </is>
      </c>
      <c r="N173" s="15" t="n">
        <v>1</v>
      </c>
      <c r="O173" s="15" t="n">
        <v>0</v>
      </c>
      <c r="P173">
        <f>IF(M173="","",IF(M173=E173,1,0))</f>
        <v/>
      </c>
      <c r="Q173">
        <f>IF(K173="OK","-",IF(N173&lt;$B$7,"AMBIGUOUS","CONFIDENT"))</f>
        <v/>
      </c>
    </row>
    <row r="174">
      <c r="A174">
        <f>'Runs Z score'!A166</f>
        <v/>
      </c>
      <c r="B174">
        <f>'Runs Z score'!B166</f>
        <v/>
      </c>
      <c r="C174">
        <f>'Runs Z score'!C166</f>
        <v/>
      </c>
      <c r="D174">
        <f>'Runs Z score'!D166</f>
        <v/>
      </c>
      <c r="E174">
        <f>'Runs Z score'!E166</f>
        <v/>
      </c>
      <c r="F174">
        <f>'Runs Z score'!F166</f>
        <v/>
      </c>
      <c r="G174">
        <f>'Runs Z score'!G166</f>
        <v/>
      </c>
      <c r="H174">
        <f>VLOOKUP(C174,Recipes!$A$2:$N$4,10,FALSE())</f>
        <v/>
      </c>
      <c r="I174">
        <f>VLOOKUP(C174,Recipes!$A$2:$N$4,12,FALSE())</f>
        <v/>
      </c>
      <c r="J174">
        <f>IF(G174="","",H174-G174)</f>
        <v/>
      </c>
      <c r="K174">
        <f>IF(G174="","",IF(ABS(G174-H174)&lt;=$B$6*I174,"OK","NG"))</f>
        <v/>
      </c>
      <c r="L174">
        <f>IF(K174="","",IF(K174=D174,1,0))</f>
        <v/>
      </c>
      <c r="M174" t="inlineStr">
        <is>
          <t>S1</t>
        </is>
      </c>
      <c r="N174" s="15" t="n">
        <v>1</v>
      </c>
      <c r="O174" s="15" t="n">
        <v>0</v>
      </c>
      <c r="P174">
        <f>IF(M174="","",IF(M174=E174,1,0))</f>
        <v/>
      </c>
      <c r="Q174">
        <f>IF(K174="OK","-",IF(N174&lt;$B$7,"AMBIGUOUS","CONFIDENT"))</f>
        <v/>
      </c>
    </row>
    <row r="175">
      <c r="A175">
        <f>'Runs Z score'!A167</f>
        <v/>
      </c>
      <c r="B175">
        <f>'Runs Z score'!B167</f>
        <v/>
      </c>
      <c r="C175">
        <f>'Runs Z score'!C167</f>
        <v/>
      </c>
      <c r="D175">
        <f>'Runs Z score'!D167</f>
        <v/>
      </c>
      <c r="E175">
        <f>'Runs Z score'!E167</f>
        <v/>
      </c>
      <c r="F175">
        <f>'Runs Z score'!F167</f>
        <v/>
      </c>
      <c r="G175">
        <f>'Runs Z score'!G167</f>
        <v/>
      </c>
      <c r="H175">
        <f>VLOOKUP(C175,Recipes!$A$2:$N$4,10,FALSE())</f>
        <v/>
      </c>
      <c r="I175">
        <f>VLOOKUP(C175,Recipes!$A$2:$N$4,12,FALSE())</f>
        <v/>
      </c>
      <c r="J175">
        <f>IF(G175="","",H175-G175)</f>
        <v/>
      </c>
      <c r="K175">
        <f>IF(G175="","",IF(ABS(G175-H175)&lt;=$B$6*I175,"OK","NG"))</f>
        <v/>
      </c>
      <c r="L175">
        <f>IF(K175="","",IF(K175=D175,1,0))</f>
        <v/>
      </c>
      <c r="M175" t="inlineStr">
        <is>
          <t>S1</t>
        </is>
      </c>
      <c r="N175" s="15" t="n">
        <v>1</v>
      </c>
      <c r="O175" s="15" t="n">
        <v>0</v>
      </c>
      <c r="P175">
        <f>IF(M175="","",IF(M175=E175,1,0))</f>
        <v/>
      </c>
      <c r="Q175">
        <f>IF(K175="OK","-",IF(N175&lt;$B$7,"AMBIGUOUS","CONFIDENT"))</f>
        <v/>
      </c>
    </row>
    <row r="176">
      <c r="A176">
        <f>'Runs Z score'!A168</f>
        <v/>
      </c>
      <c r="B176">
        <f>'Runs Z score'!B168</f>
        <v/>
      </c>
      <c r="C176">
        <f>'Runs Z score'!C168</f>
        <v/>
      </c>
      <c r="D176">
        <f>'Runs Z score'!D168</f>
        <v/>
      </c>
      <c r="E176">
        <f>'Runs Z score'!E168</f>
        <v/>
      </c>
      <c r="F176">
        <f>'Runs Z score'!F168</f>
        <v/>
      </c>
      <c r="G176">
        <f>'Runs Z score'!G168</f>
        <v/>
      </c>
      <c r="H176">
        <f>VLOOKUP(C176,Recipes!$A$2:$N$4,10,FALSE())</f>
        <v/>
      </c>
      <c r="I176">
        <f>VLOOKUP(C176,Recipes!$A$2:$N$4,12,FALSE())</f>
        <v/>
      </c>
      <c r="J176">
        <f>IF(G176="","",H176-G176)</f>
        <v/>
      </c>
      <c r="K176">
        <f>IF(G176="","",IF(ABS(G176-H176)&lt;=$B$6*I176,"OK","NG"))</f>
        <v/>
      </c>
      <c r="L176">
        <f>IF(K176="","",IF(K176=D176,1,0))</f>
        <v/>
      </c>
      <c r="M176" t="inlineStr">
        <is>
          <t>S1</t>
        </is>
      </c>
      <c r="N176" s="15" t="n">
        <v>1</v>
      </c>
      <c r="O176" s="15" t="n">
        <v>0</v>
      </c>
      <c r="P176">
        <f>IF(M176="","",IF(M176=E176,1,0))</f>
        <v/>
      </c>
      <c r="Q176">
        <f>IF(K176="OK","-",IF(N176&lt;$B$7,"AMBIGUOUS","CONFIDENT"))</f>
        <v/>
      </c>
    </row>
    <row r="177">
      <c r="A177">
        <f>'Runs Z score'!A169</f>
        <v/>
      </c>
      <c r="B177">
        <f>'Runs Z score'!B169</f>
        <v/>
      </c>
      <c r="C177">
        <f>'Runs Z score'!C169</f>
        <v/>
      </c>
      <c r="D177">
        <f>'Runs Z score'!D169</f>
        <v/>
      </c>
      <c r="E177">
        <f>'Runs Z score'!E169</f>
        <v/>
      </c>
      <c r="F177">
        <f>'Runs Z score'!F169</f>
        <v/>
      </c>
      <c r="G177">
        <f>'Runs Z score'!G169</f>
        <v/>
      </c>
      <c r="H177">
        <f>VLOOKUP(C177,Recipes!$A$2:$N$4,10,FALSE())</f>
        <v/>
      </c>
      <c r="I177">
        <f>VLOOKUP(C177,Recipes!$A$2:$N$4,12,FALSE())</f>
        <v/>
      </c>
      <c r="J177">
        <f>IF(G177="","",H177-G177)</f>
        <v/>
      </c>
      <c r="K177">
        <f>IF(G177="","",IF(ABS(G177-H177)&lt;=$B$6*I177,"OK","NG"))</f>
        <v/>
      </c>
      <c r="L177">
        <f>IF(K177="","",IF(K177=D177,1,0))</f>
        <v/>
      </c>
      <c r="M177" t="inlineStr">
        <is>
          <t>S1</t>
        </is>
      </c>
      <c r="N177" s="15" t="n">
        <v>1</v>
      </c>
      <c r="O177" s="15" t="n">
        <v>0</v>
      </c>
      <c r="P177">
        <f>IF(M177="","",IF(M177=E177,1,0))</f>
        <v/>
      </c>
      <c r="Q177">
        <f>IF(K177="OK","-",IF(N177&lt;$B$7,"AMBIGUOUS","CONFIDENT"))</f>
        <v/>
      </c>
    </row>
    <row r="178">
      <c r="A178">
        <f>'Runs Z score'!A170</f>
        <v/>
      </c>
      <c r="B178">
        <f>'Runs Z score'!B170</f>
        <v/>
      </c>
      <c r="C178">
        <f>'Runs Z score'!C170</f>
        <v/>
      </c>
      <c r="D178">
        <f>'Runs Z score'!D170</f>
        <v/>
      </c>
      <c r="E178">
        <f>'Runs Z score'!E170</f>
        <v/>
      </c>
      <c r="F178">
        <f>'Runs Z score'!F170</f>
        <v/>
      </c>
      <c r="G178">
        <f>'Runs Z score'!G170</f>
        <v/>
      </c>
      <c r="H178">
        <f>VLOOKUP(C178,Recipes!$A$2:$N$4,10,FALSE())</f>
        <v/>
      </c>
      <c r="I178">
        <f>VLOOKUP(C178,Recipes!$A$2:$N$4,12,FALSE())</f>
        <v/>
      </c>
      <c r="J178">
        <f>IF(G178="","",H178-G178)</f>
        <v/>
      </c>
      <c r="K178">
        <f>IF(G178="","",IF(ABS(G178-H178)&lt;=$B$6*I178,"OK","NG"))</f>
        <v/>
      </c>
      <c r="L178">
        <f>IF(K178="","",IF(K178=D178,1,0))</f>
        <v/>
      </c>
      <c r="M178" t="inlineStr">
        <is>
          <t>S1</t>
        </is>
      </c>
      <c r="N178" s="15" t="n">
        <v>1</v>
      </c>
      <c r="O178" s="15" t="n">
        <v>0</v>
      </c>
      <c r="P178">
        <f>IF(M178="","",IF(M178=E178,1,0))</f>
        <v/>
      </c>
      <c r="Q178">
        <f>IF(K178="OK","-",IF(N178&lt;$B$7,"AMBIGUOUS","CONFIDENT"))</f>
        <v/>
      </c>
    </row>
    <row r="179">
      <c r="A179">
        <f>'Runs Z score'!A171</f>
        <v/>
      </c>
      <c r="B179">
        <f>'Runs Z score'!B171</f>
        <v/>
      </c>
      <c r="C179">
        <f>'Runs Z score'!C171</f>
        <v/>
      </c>
      <c r="D179">
        <f>'Runs Z score'!D171</f>
        <v/>
      </c>
      <c r="E179">
        <f>'Runs Z score'!E171</f>
        <v/>
      </c>
      <c r="F179">
        <f>'Runs Z score'!F171</f>
        <v/>
      </c>
      <c r="G179">
        <f>'Runs Z score'!G171</f>
        <v/>
      </c>
      <c r="H179">
        <f>VLOOKUP(C179,Recipes!$A$2:$N$4,10,FALSE())</f>
        <v/>
      </c>
      <c r="I179">
        <f>VLOOKUP(C179,Recipes!$A$2:$N$4,12,FALSE())</f>
        <v/>
      </c>
      <c r="J179">
        <f>IF(G179="","",H179-G179)</f>
        <v/>
      </c>
      <c r="K179">
        <f>IF(G179="","",IF(ABS(G179-H179)&lt;=$B$6*I179,"OK","NG"))</f>
        <v/>
      </c>
      <c r="L179">
        <f>IF(K179="","",IF(K179=D179,1,0))</f>
        <v/>
      </c>
      <c r="M179" t="inlineStr">
        <is>
          <t>S1</t>
        </is>
      </c>
      <c r="N179" s="15" t="n">
        <v>1</v>
      </c>
      <c r="O179" s="15" t="n">
        <v>0</v>
      </c>
      <c r="P179">
        <f>IF(M179="","",IF(M179=E179,1,0))</f>
        <v/>
      </c>
      <c r="Q179">
        <f>IF(K179="OK","-",IF(N179&lt;$B$7,"AMBIGUOUS","CONFIDENT"))</f>
        <v/>
      </c>
    </row>
    <row r="180">
      <c r="A180">
        <f>'Runs Z score'!A172</f>
        <v/>
      </c>
      <c r="B180">
        <f>'Runs Z score'!B172</f>
        <v/>
      </c>
      <c r="C180">
        <f>'Runs Z score'!C172</f>
        <v/>
      </c>
      <c r="D180">
        <f>'Runs Z score'!D172</f>
        <v/>
      </c>
      <c r="E180">
        <f>'Runs Z score'!E172</f>
        <v/>
      </c>
      <c r="F180">
        <f>'Runs Z score'!F172</f>
        <v/>
      </c>
      <c r="G180">
        <f>'Runs Z score'!G172</f>
        <v/>
      </c>
      <c r="H180">
        <f>VLOOKUP(C180,Recipes!$A$2:$N$4,10,FALSE())</f>
        <v/>
      </c>
      <c r="I180">
        <f>VLOOKUP(C180,Recipes!$A$2:$N$4,12,FALSE())</f>
        <v/>
      </c>
      <c r="J180">
        <f>IF(G180="","",H180-G180)</f>
        <v/>
      </c>
      <c r="K180">
        <f>IF(G180="","",IF(ABS(G180-H180)&lt;=$B$6*I180,"OK","NG"))</f>
        <v/>
      </c>
      <c r="L180">
        <f>IF(K180="","",IF(K180=D180,1,0))</f>
        <v/>
      </c>
      <c r="M180" t="inlineStr">
        <is>
          <t>S1</t>
        </is>
      </c>
      <c r="N180" s="15" t="n">
        <v>0.9967</v>
      </c>
      <c r="O180" s="15" t="n">
        <v>0.0033</v>
      </c>
      <c r="P180">
        <f>IF(M180="","",IF(M180=E180,1,0))</f>
        <v/>
      </c>
      <c r="Q180">
        <f>IF(K180="OK","-",IF(N180&lt;$B$7,"AMBIGUOUS","CONFIDENT"))</f>
        <v/>
      </c>
    </row>
    <row r="181">
      <c r="A181">
        <f>'Runs Z score'!A173</f>
        <v/>
      </c>
      <c r="B181">
        <f>'Runs Z score'!B173</f>
        <v/>
      </c>
      <c r="C181">
        <f>'Runs Z score'!C173</f>
        <v/>
      </c>
      <c r="D181">
        <f>'Runs Z score'!D173</f>
        <v/>
      </c>
      <c r="E181">
        <f>'Runs Z score'!E173</f>
        <v/>
      </c>
      <c r="F181">
        <f>'Runs Z score'!F173</f>
        <v/>
      </c>
      <c r="G181">
        <f>'Runs Z score'!G173</f>
        <v/>
      </c>
      <c r="H181">
        <f>VLOOKUP(C181,Recipes!$A$2:$N$4,10,FALSE())</f>
        <v/>
      </c>
      <c r="I181">
        <f>VLOOKUP(C181,Recipes!$A$2:$N$4,12,FALSE())</f>
        <v/>
      </c>
      <c r="J181">
        <f>IF(G181="","",H181-G181)</f>
        <v/>
      </c>
      <c r="K181">
        <f>IF(G181="","",IF(ABS(G181-H181)&lt;=$B$6*I181,"OK","NG"))</f>
        <v/>
      </c>
      <c r="L181">
        <f>IF(K181="","",IF(K181=D181,1,0))</f>
        <v/>
      </c>
      <c r="M181" t="inlineStr">
        <is>
          <t>S1</t>
        </is>
      </c>
      <c r="N181" s="15" t="n">
        <v>1</v>
      </c>
      <c r="O181" s="15" t="n">
        <v>0</v>
      </c>
      <c r="P181">
        <f>IF(M181="","",IF(M181=E181,1,0))</f>
        <v/>
      </c>
      <c r="Q181">
        <f>IF(K181="OK","-",IF(N181&lt;$B$7,"AMBIGUOUS","CONFIDENT"))</f>
        <v/>
      </c>
    </row>
    <row r="182">
      <c r="A182">
        <f>'Runs Z score'!A174</f>
        <v/>
      </c>
      <c r="B182">
        <f>'Runs Z score'!B174</f>
        <v/>
      </c>
      <c r="C182">
        <f>'Runs Z score'!C174</f>
        <v/>
      </c>
      <c r="D182">
        <f>'Runs Z score'!D174</f>
        <v/>
      </c>
      <c r="E182">
        <f>'Runs Z score'!E174</f>
        <v/>
      </c>
      <c r="F182">
        <f>'Runs Z score'!F174</f>
        <v/>
      </c>
      <c r="G182">
        <f>'Runs Z score'!G174</f>
        <v/>
      </c>
      <c r="H182">
        <f>VLOOKUP(C182,Recipes!$A$2:$N$4,10,FALSE())</f>
        <v/>
      </c>
      <c r="I182">
        <f>VLOOKUP(C182,Recipes!$A$2:$N$4,12,FALSE())</f>
        <v/>
      </c>
      <c r="J182">
        <f>IF(G182="","",H182-G182)</f>
        <v/>
      </c>
      <c r="K182">
        <f>IF(G182="","",IF(ABS(G182-H182)&lt;=$B$6*I182,"OK","NG"))</f>
        <v/>
      </c>
      <c r="L182">
        <f>IF(K182="","",IF(K182=D182,1,0))</f>
        <v/>
      </c>
      <c r="M182" t="inlineStr">
        <is>
          <t>S1</t>
        </is>
      </c>
      <c r="N182" s="15" t="n">
        <v>1</v>
      </c>
      <c r="O182" s="15" t="n">
        <v>0</v>
      </c>
      <c r="P182">
        <f>IF(M182="","",IF(M182=E182,1,0))</f>
        <v/>
      </c>
      <c r="Q182">
        <f>IF(K182="OK","-",IF(N182&lt;$B$7,"AMBIGUOUS","CONFIDENT"))</f>
        <v/>
      </c>
    </row>
    <row r="183">
      <c r="A183">
        <f>'Runs Z score'!A175</f>
        <v/>
      </c>
      <c r="B183">
        <f>'Runs Z score'!B175</f>
        <v/>
      </c>
      <c r="C183">
        <f>'Runs Z score'!C175</f>
        <v/>
      </c>
      <c r="D183">
        <f>'Runs Z score'!D175</f>
        <v/>
      </c>
      <c r="E183">
        <f>'Runs Z score'!E175</f>
        <v/>
      </c>
      <c r="F183">
        <f>'Runs Z score'!F175</f>
        <v/>
      </c>
      <c r="G183">
        <f>'Runs Z score'!G175</f>
        <v/>
      </c>
      <c r="H183">
        <f>VLOOKUP(C183,Recipes!$A$2:$N$4,10,FALSE())</f>
        <v/>
      </c>
      <c r="I183">
        <f>VLOOKUP(C183,Recipes!$A$2:$N$4,12,FALSE())</f>
        <v/>
      </c>
      <c r="J183">
        <f>IF(G183="","",H183-G183)</f>
        <v/>
      </c>
      <c r="K183">
        <f>IF(G183="","",IF(ABS(G183-H183)&lt;=$B$6*I183,"OK","NG"))</f>
        <v/>
      </c>
      <c r="L183">
        <f>IF(K183="","",IF(K183=D183,1,0))</f>
        <v/>
      </c>
      <c r="M183" t="inlineStr">
        <is>
          <t>S1</t>
        </is>
      </c>
      <c r="N183" s="15" t="n">
        <v>1</v>
      </c>
      <c r="O183" s="15" t="n">
        <v>0</v>
      </c>
      <c r="P183">
        <f>IF(M183="","",IF(M183=E183,1,0))</f>
        <v/>
      </c>
      <c r="Q183">
        <f>IF(K183="OK","-",IF(N183&lt;$B$7,"AMBIGUOUS","CONFIDENT"))</f>
        <v/>
      </c>
    </row>
    <row r="184">
      <c r="A184">
        <f>'Runs Z score'!A176</f>
        <v/>
      </c>
      <c r="B184">
        <f>'Runs Z score'!B176</f>
        <v/>
      </c>
      <c r="C184">
        <f>'Runs Z score'!C176</f>
        <v/>
      </c>
      <c r="D184">
        <f>'Runs Z score'!D176</f>
        <v/>
      </c>
      <c r="E184">
        <f>'Runs Z score'!E176</f>
        <v/>
      </c>
      <c r="F184">
        <f>'Runs Z score'!F176</f>
        <v/>
      </c>
      <c r="G184">
        <f>'Runs Z score'!G176</f>
        <v/>
      </c>
      <c r="H184">
        <f>VLOOKUP(C184,Recipes!$A$2:$N$4,10,FALSE())</f>
        <v/>
      </c>
      <c r="I184">
        <f>VLOOKUP(C184,Recipes!$A$2:$N$4,12,FALSE())</f>
        <v/>
      </c>
      <c r="J184">
        <f>IF(G184="","",H184-G184)</f>
        <v/>
      </c>
      <c r="K184">
        <f>IF(G184="","",IF(ABS(G184-H184)&lt;=$B$6*I184,"OK","NG"))</f>
        <v/>
      </c>
      <c r="L184">
        <f>IF(K184="","",IF(K184=D184,1,0))</f>
        <v/>
      </c>
      <c r="M184" t="inlineStr">
        <is>
          <t>S1</t>
        </is>
      </c>
      <c r="N184" s="15" t="n">
        <v>1</v>
      </c>
      <c r="O184" s="15" t="n">
        <v>0</v>
      </c>
      <c r="P184">
        <f>IF(M184="","",IF(M184=E184,1,0))</f>
        <v/>
      </c>
      <c r="Q184">
        <f>IF(K184="OK","-",IF(N184&lt;$B$7,"AMBIGUOUS","CONFIDENT"))</f>
        <v/>
      </c>
    </row>
    <row r="185">
      <c r="A185">
        <f>'Runs Z score'!A177</f>
        <v/>
      </c>
      <c r="B185">
        <f>'Runs Z score'!B177</f>
        <v/>
      </c>
      <c r="C185">
        <f>'Runs Z score'!C177</f>
        <v/>
      </c>
      <c r="D185">
        <f>'Runs Z score'!D177</f>
        <v/>
      </c>
      <c r="E185">
        <f>'Runs Z score'!E177</f>
        <v/>
      </c>
      <c r="F185">
        <f>'Runs Z score'!F177</f>
        <v/>
      </c>
      <c r="G185">
        <f>'Runs Z score'!G177</f>
        <v/>
      </c>
      <c r="H185">
        <f>VLOOKUP(C185,Recipes!$A$2:$N$4,10,FALSE())</f>
        <v/>
      </c>
      <c r="I185">
        <f>VLOOKUP(C185,Recipes!$A$2:$N$4,12,FALSE())</f>
        <v/>
      </c>
      <c r="J185">
        <f>IF(G185="","",H185-G185)</f>
        <v/>
      </c>
      <c r="K185">
        <f>IF(G185="","",IF(ABS(G185-H185)&lt;=$B$6*I185,"OK","NG"))</f>
        <v/>
      </c>
      <c r="L185">
        <f>IF(K185="","",IF(K185=D185,1,0))</f>
        <v/>
      </c>
      <c r="M185" t="inlineStr">
        <is>
          <t>S1</t>
        </is>
      </c>
      <c r="N185" s="15" t="n">
        <v>1</v>
      </c>
      <c r="O185" s="15" t="n">
        <v>0</v>
      </c>
      <c r="P185">
        <f>IF(M185="","",IF(M185=E185,1,0))</f>
        <v/>
      </c>
      <c r="Q185">
        <f>IF(K185="OK","-",IF(N185&lt;$B$7,"AMBIGUOUS","CONFIDENT"))</f>
        <v/>
      </c>
    </row>
    <row r="186">
      <c r="A186">
        <f>'Runs Z score'!A178</f>
        <v/>
      </c>
      <c r="B186">
        <f>'Runs Z score'!B178</f>
        <v/>
      </c>
      <c r="C186">
        <f>'Runs Z score'!C178</f>
        <v/>
      </c>
      <c r="D186">
        <f>'Runs Z score'!D178</f>
        <v/>
      </c>
      <c r="E186">
        <f>'Runs Z score'!E178</f>
        <v/>
      </c>
      <c r="F186">
        <f>'Runs Z score'!F178</f>
        <v/>
      </c>
      <c r="G186">
        <f>'Runs Z score'!G178</f>
        <v/>
      </c>
      <c r="H186">
        <f>VLOOKUP(C186,Recipes!$A$2:$N$4,10,FALSE())</f>
        <v/>
      </c>
      <c r="I186">
        <f>VLOOKUP(C186,Recipes!$A$2:$N$4,12,FALSE())</f>
        <v/>
      </c>
      <c r="J186">
        <f>IF(G186="","",H186-G186)</f>
        <v/>
      </c>
      <c r="K186">
        <f>IF(G186="","",IF(ABS(G186-H186)&lt;=$B$6*I186,"OK","NG"))</f>
        <v/>
      </c>
      <c r="L186">
        <f>IF(K186="","",IF(K186=D186,1,0))</f>
        <v/>
      </c>
      <c r="M186" t="inlineStr">
        <is>
          <t>S1</t>
        </is>
      </c>
      <c r="N186" s="15" t="n">
        <v>1</v>
      </c>
      <c r="O186" s="15" t="n">
        <v>0</v>
      </c>
      <c r="P186">
        <f>IF(M186="","",IF(M186=E186,1,0))</f>
        <v/>
      </c>
      <c r="Q186">
        <f>IF(K186="OK","-",IF(N186&lt;$B$7,"AMBIGUOUS","CONFIDENT"))</f>
        <v/>
      </c>
    </row>
    <row r="187">
      <c r="A187">
        <f>'Runs Z score'!A179</f>
        <v/>
      </c>
      <c r="B187">
        <f>'Runs Z score'!B179</f>
        <v/>
      </c>
      <c r="C187">
        <f>'Runs Z score'!C179</f>
        <v/>
      </c>
      <c r="D187">
        <f>'Runs Z score'!D179</f>
        <v/>
      </c>
      <c r="E187">
        <f>'Runs Z score'!E179</f>
        <v/>
      </c>
      <c r="F187">
        <f>'Runs Z score'!F179</f>
        <v/>
      </c>
      <c r="G187">
        <f>'Runs Z score'!G179</f>
        <v/>
      </c>
      <c r="H187">
        <f>VLOOKUP(C187,Recipes!$A$2:$N$4,10,FALSE())</f>
        <v/>
      </c>
      <c r="I187">
        <f>VLOOKUP(C187,Recipes!$A$2:$N$4,12,FALSE())</f>
        <v/>
      </c>
      <c r="J187">
        <f>IF(G187="","",H187-G187)</f>
        <v/>
      </c>
      <c r="K187">
        <f>IF(G187="","",IF(ABS(G187-H187)&lt;=$B$6*I187,"OK","NG"))</f>
        <v/>
      </c>
      <c r="L187">
        <f>IF(K187="","",IF(K187=D187,1,0))</f>
        <v/>
      </c>
      <c r="M187" t="inlineStr">
        <is>
          <t>S1</t>
        </is>
      </c>
      <c r="N187" s="15" t="n">
        <v>1</v>
      </c>
      <c r="O187" s="15" t="n">
        <v>0</v>
      </c>
      <c r="P187">
        <f>IF(M187="","",IF(M187=E187,1,0))</f>
        <v/>
      </c>
      <c r="Q187">
        <f>IF(K187="OK","-",IF(N187&lt;$B$7,"AMBIGUOUS","CONFIDENT"))</f>
        <v/>
      </c>
    </row>
    <row r="188">
      <c r="A188">
        <f>'Runs Z score'!A180</f>
        <v/>
      </c>
      <c r="B188">
        <f>'Runs Z score'!B180</f>
        <v/>
      </c>
      <c r="C188">
        <f>'Runs Z score'!C180</f>
        <v/>
      </c>
      <c r="D188">
        <f>'Runs Z score'!D180</f>
        <v/>
      </c>
      <c r="E188">
        <f>'Runs Z score'!E180</f>
        <v/>
      </c>
      <c r="F188">
        <f>'Runs Z score'!F180</f>
        <v/>
      </c>
      <c r="G188">
        <f>'Runs Z score'!G180</f>
        <v/>
      </c>
      <c r="H188">
        <f>VLOOKUP(C188,Recipes!$A$2:$N$4,10,FALSE())</f>
        <v/>
      </c>
      <c r="I188">
        <f>VLOOKUP(C188,Recipes!$A$2:$N$4,12,FALSE())</f>
        <v/>
      </c>
      <c r="J188">
        <f>IF(G188="","",H188-G188)</f>
        <v/>
      </c>
      <c r="K188">
        <f>IF(G188="","",IF(ABS(G188-H188)&lt;=$B$6*I188,"OK","NG"))</f>
        <v/>
      </c>
      <c r="L188">
        <f>IF(K188="","",IF(K188=D188,1,0))</f>
        <v/>
      </c>
      <c r="M188" t="inlineStr">
        <is>
          <t>S1</t>
        </is>
      </c>
      <c r="N188" s="15" t="n">
        <v>1</v>
      </c>
      <c r="O188" s="15" t="n">
        <v>0</v>
      </c>
      <c r="P188">
        <f>IF(M188="","",IF(M188=E188,1,0))</f>
        <v/>
      </c>
      <c r="Q188">
        <f>IF(K188="OK","-",IF(N188&lt;$B$7,"AMBIGUOUS","CONFIDENT"))</f>
        <v/>
      </c>
    </row>
    <row r="189">
      <c r="A189">
        <f>'Runs Z score'!A181</f>
        <v/>
      </c>
      <c r="B189">
        <f>'Runs Z score'!B181</f>
        <v/>
      </c>
      <c r="C189">
        <f>'Runs Z score'!C181</f>
        <v/>
      </c>
      <c r="D189">
        <f>'Runs Z score'!D181</f>
        <v/>
      </c>
      <c r="E189">
        <f>'Runs Z score'!E181</f>
        <v/>
      </c>
      <c r="F189">
        <f>'Runs Z score'!F181</f>
        <v/>
      </c>
      <c r="G189">
        <f>'Runs Z score'!G181</f>
        <v/>
      </c>
      <c r="H189">
        <f>VLOOKUP(C189,Recipes!$A$2:$N$4,10,FALSE())</f>
        <v/>
      </c>
      <c r="I189">
        <f>VLOOKUP(C189,Recipes!$A$2:$N$4,12,FALSE())</f>
        <v/>
      </c>
      <c r="J189">
        <f>IF(G189="","",H189-G189)</f>
        <v/>
      </c>
      <c r="K189">
        <f>IF(G189="","",IF(ABS(G189-H189)&lt;=$B$6*I189,"OK","NG"))</f>
        <v/>
      </c>
      <c r="L189">
        <f>IF(K189="","",IF(K189=D189,1,0))</f>
        <v/>
      </c>
      <c r="M189" t="inlineStr">
        <is>
          <t>S1</t>
        </is>
      </c>
      <c r="N189" s="15" t="n">
        <v>1</v>
      </c>
      <c r="O189" s="15" t="n">
        <v>0</v>
      </c>
      <c r="P189">
        <f>IF(M189="","",IF(M189=E189,1,0))</f>
        <v/>
      </c>
      <c r="Q189">
        <f>IF(K189="OK","-",IF(N189&lt;$B$7,"AMBIGUOUS","CONFIDENT"))</f>
        <v/>
      </c>
    </row>
    <row r="190">
      <c r="A190">
        <f>'Runs Z score'!A182</f>
        <v/>
      </c>
      <c r="B190">
        <f>'Runs Z score'!B182</f>
        <v/>
      </c>
      <c r="C190">
        <f>'Runs Z score'!C182</f>
        <v/>
      </c>
      <c r="D190">
        <f>'Runs Z score'!D182</f>
        <v/>
      </c>
      <c r="E190">
        <f>'Runs Z score'!E182</f>
        <v/>
      </c>
      <c r="F190">
        <f>'Runs Z score'!F182</f>
        <v/>
      </c>
      <c r="G190">
        <f>'Runs Z score'!G182</f>
        <v/>
      </c>
      <c r="H190">
        <f>VLOOKUP(C190,Recipes!$A$2:$N$4,10,FALSE())</f>
        <v/>
      </c>
      <c r="I190">
        <f>VLOOKUP(C190,Recipes!$A$2:$N$4,12,FALSE())</f>
        <v/>
      </c>
      <c r="J190">
        <f>IF(G190="","",H190-G190)</f>
        <v/>
      </c>
      <c r="K190">
        <f>IF(G190="","",IF(ABS(G190-H190)&lt;=$B$6*I190,"OK","NG"))</f>
        <v/>
      </c>
      <c r="L190">
        <f>IF(K190="","",IF(K190=D190,1,0))</f>
        <v/>
      </c>
      <c r="M190" t="inlineStr">
        <is>
          <t>S1</t>
        </is>
      </c>
      <c r="N190" s="15" t="n">
        <v>1</v>
      </c>
      <c r="O190" s="15" t="n">
        <v>0</v>
      </c>
      <c r="P190">
        <f>IF(M190="","",IF(M190=E190,1,0))</f>
        <v/>
      </c>
      <c r="Q190">
        <f>IF(K190="OK","-",IF(N190&lt;$B$7,"AMBIGUOUS","CONFIDENT"))</f>
        <v/>
      </c>
    </row>
    <row r="191">
      <c r="A191">
        <f>'Runs Z score'!A183</f>
        <v/>
      </c>
      <c r="B191">
        <f>'Runs Z score'!B183</f>
        <v/>
      </c>
      <c r="C191">
        <f>'Runs Z score'!C183</f>
        <v/>
      </c>
      <c r="D191">
        <f>'Runs Z score'!D183</f>
        <v/>
      </c>
      <c r="E191">
        <f>'Runs Z score'!E183</f>
        <v/>
      </c>
      <c r="F191">
        <f>'Runs Z score'!F183</f>
        <v/>
      </c>
      <c r="G191">
        <f>'Runs Z score'!G183</f>
        <v/>
      </c>
      <c r="H191">
        <f>VLOOKUP(C191,Recipes!$A$2:$N$4,10,FALSE())</f>
        <v/>
      </c>
      <c r="I191">
        <f>VLOOKUP(C191,Recipes!$A$2:$N$4,12,FALSE())</f>
        <v/>
      </c>
      <c r="J191">
        <f>IF(G191="","",H191-G191)</f>
        <v/>
      </c>
      <c r="K191">
        <f>IF(G191="","",IF(ABS(G191-H191)&lt;=$B$6*I191,"OK","NG"))</f>
        <v/>
      </c>
      <c r="L191">
        <f>IF(K191="","",IF(K191=D191,1,0))</f>
        <v/>
      </c>
      <c r="M191" t="inlineStr">
        <is>
          <t>W1</t>
        </is>
      </c>
      <c r="N191" s="15" t="n">
        <v>1</v>
      </c>
      <c r="O191" s="15" t="n">
        <v>0</v>
      </c>
      <c r="P191">
        <f>IF(M191="","",IF(M191=E191,1,0))</f>
        <v/>
      </c>
      <c r="Q191">
        <f>IF(K191="OK","-",IF(N191&lt;$B$7,"AMBIGUOUS","CONFIDENT"))</f>
        <v/>
      </c>
    </row>
    <row r="192">
      <c r="A192">
        <f>'Runs Z score'!A184</f>
        <v/>
      </c>
      <c r="B192">
        <f>'Runs Z score'!B184</f>
        <v/>
      </c>
      <c r="C192">
        <f>'Runs Z score'!C184</f>
        <v/>
      </c>
      <c r="D192">
        <f>'Runs Z score'!D184</f>
        <v/>
      </c>
      <c r="E192">
        <f>'Runs Z score'!E184</f>
        <v/>
      </c>
      <c r="F192">
        <f>'Runs Z score'!F184</f>
        <v/>
      </c>
      <c r="G192">
        <f>'Runs Z score'!G184</f>
        <v/>
      </c>
      <c r="H192">
        <f>VLOOKUP(C192,Recipes!$A$2:$N$4,10,FALSE())</f>
        <v/>
      </c>
      <c r="I192">
        <f>VLOOKUP(C192,Recipes!$A$2:$N$4,12,FALSE())</f>
        <v/>
      </c>
      <c r="J192">
        <f>IF(G192="","",H192-G192)</f>
        <v/>
      </c>
      <c r="K192">
        <f>IF(G192="","",IF(ABS(G192-H192)&lt;=$B$6*I192,"OK","NG"))</f>
        <v/>
      </c>
      <c r="L192">
        <f>IF(K192="","",IF(K192=D192,1,0))</f>
        <v/>
      </c>
      <c r="M192" t="inlineStr">
        <is>
          <t>W1</t>
        </is>
      </c>
      <c r="N192" s="15" t="n">
        <v>1</v>
      </c>
      <c r="O192" s="15" t="n">
        <v>0</v>
      </c>
      <c r="P192">
        <f>IF(M192="","",IF(M192=E192,1,0))</f>
        <v/>
      </c>
      <c r="Q192">
        <f>IF(K192="OK","-",IF(N192&lt;$B$7,"AMBIGUOUS","CONFIDENT"))</f>
        <v/>
      </c>
    </row>
    <row r="193">
      <c r="A193">
        <f>'Runs Z score'!A185</f>
        <v/>
      </c>
      <c r="B193">
        <f>'Runs Z score'!B185</f>
        <v/>
      </c>
      <c r="C193">
        <f>'Runs Z score'!C185</f>
        <v/>
      </c>
      <c r="D193">
        <f>'Runs Z score'!D185</f>
        <v/>
      </c>
      <c r="E193">
        <f>'Runs Z score'!E185</f>
        <v/>
      </c>
      <c r="F193">
        <f>'Runs Z score'!F185</f>
        <v/>
      </c>
      <c r="G193">
        <f>'Runs Z score'!G185</f>
        <v/>
      </c>
      <c r="H193">
        <f>VLOOKUP(C193,Recipes!$A$2:$N$4,10,FALSE())</f>
        <v/>
      </c>
      <c r="I193">
        <f>VLOOKUP(C193,Recipes!$A$2:$N$4,12,FALSE())</f>
        <v/>
      </c>
      <c r="J193">
        <f>IF(G193="","",H193-G193)</f>
        <v/>
      </c>
      <c r="K193">
        <f>IF(G193="","",IF(ABS(G193-H193)&lt;=$B$6*I193,"OK","NG"))</f>
        <v/>
      </c>
      <c r="L193">
        <f>IF(K193="","",IF(K193=D193,1,0))</f>
        <v/>
      </c>
      <c r="M193" t="inlineStr">
        <is>
          <t>W1</t>
        </is>
      </c>
      <c r="N193" s="15" t="n">
        <v>1</v>
      </c>
      <c r="O193" s="15" t="n">
        <v>0</v>
      </c>
      <c r="P193">
        <f>IF(M193="","",IF(M193=E193,1,0))</f>
        <v/>
      </c>
      <c r="Q193">
        <f>IF(K193="OK","-",IF(N193&lt;$B$7,"AMBIGUOUS","CONFIDENT"))</f>
        <v/>
      </c>
    </row>
    <row r="194">
      <c r="A194">
        <f>'Runs Z score'!A186</f>
        <v/>
      </c>
      <c r="B194">
        <f>'Runs Z score'!B186</f>
        <v/>
      </c>
      <c r="C194">
        <f>'Runs Z score'!C186</f>
        <v/>
      </c>
      <c r="D194">
        <f>'Runs Z score'!D186</f>
        <v/>
      </c>
      <c r="E194">
        <f>'Runs Z score'!E186</f>
        <v/>
      </c>
      <c r="F194">
        <f>'Runs Z score'!F186</f>
        <v/>
      </c>
      <c r="G194">
        <f>'Runs Z score'!G186</f>
        <v/>
      </c>
      <c r="H194">
        <f>VLOOKUP(C194,Recipes!$A$2:$N$4,10,FALSE())</f>
        <v/>
      </c>
      <c r="I194">
        <f>VLOOKUP(C194,Recipes!$A$2:$N$4,12,FALSE())</f>
        <v/>
      </c>
      <c r="J194">
        <f>IF(G194="","",H194-G194)</f>
        <v/>
      </c>
      <c r="K194">
        <f>IF(G194="","",IF(ABS(G194-H194)&lt;=$B$6*I194,"OK","NG"))</f>
        <v/>
      </c>
      <c r="L194">
        <f>IF(K194="","",IF(K194=D194,1,0))</f>
        <v/>
      </c>
      <c r="M194" t="inlineStr">
        <is>
          <t>W1</t>
        </is>
      </c>
      <c r="N194" s="15" t="n">
        <v>1</v>
      </c>
      <c r="O194" s="15" t="n">
        <v>0</v>
      </c>
      <c r="P194">
        <f>IF(M194="","",IF(M194=E194,1,0))</f>
        <v/>
      </c>
      <c r="Q194">
        <f>IF(K194="OK","-",IF(N194&lt;$B$7,"AMBIGUOUS","CONFIDENT"))</f>
        <v/>
      </c>
    </row>
    <row r="195">
      <c r="A195">
        <f>'Runs Z score'!A187</f>
        <v/>
      </c>
      <c r="B195">
        <f>'Runs Z score'!B187</f>
        <v/>
      </c>
      <c r="C195">
        <f>'Runs Z score'!C187</f>
        <v/>
      </c>
      <c r="D195">
        <f>'Runs Z score'!D187</f>
        <v/>
      </c>
      <c r="E195">
        <f>'Runs Z score'!E187</f>
        <v/>
      </c>
      <c r="F195">
        <f>'Runs Z score'!F187</f>
        <v/>
      </c>
      <c r="G195">
        <f>'Runs Z score'!G187</f>
        <v/>
      </c>
      <c r="H195">
        <f>VLOOKUP(C195,Recipes!$A$2:$N$4,10,FALSE())</f>
        <v/>
      </c>
      <c r="I195">
        <f>VLOOKUP(C195,Recipes!$A$2:$N$4,12,FALSE())</f>
        <v/>
      </c>
      <c r="J195">
        <f>IF(G195="","",H195-G195)</f>
        <v/>
      </c>
      <c r="K195">
        <f>IF(G195="","",IF(ABS(G195-H195)&lt;=$B$6*I195,"OK","NG"))</f>
        <v/>
      </c>
      <c r="L195">
        <f>IF(K195="","",IF(K195=D195,1,0))</f>
        <v/>
      </c>
      <c r="M195" t="inlineStr">
        <is>
          <t>W1</t>
        </is>
      </c>
      <c r="N195" s="15" t="n">
        <v>1</v>
      </c>
      <c r="O195" s="15" t="n">
        <v>0</v>
      </c>
      <c r="P195">
        <f>IF(M195="","",IF(M195=E195,1,0))</f>
        <v/>
      </c>
      <c r="Q195">
        <f>IF(K195="OK","-",IF(N195&lt;$B$7,"AMBIGUOUS","CONFIDENT"))</f>
        <v/>
      </c>
    </row>
    <row r="196">
      <c r="A196">
        <f>'Runs Z score'!A188</f>
        <v/>
      </c>
      <c r="B196">
        <f>'Runs Z score'!B188</f>
        <v/>
      </c>
      <c r="C196">
        <f>'Runs Z score'!C188</f>
        <v/>
      </c>
      <c r="D196">
        <f>'Runs Z score'!D188</f>
        <v/>
      </c>
      <c r="E196">
        <f>'Runs Z score'!E188</f>
        <v/>
      </c>
      <c r="F196">
        <f>'Runs Z score'!F188</f>
        <v/>
      </c>
      <c r="G196">
        <f>'Runs Z score'!G188</f>
        <v/>
      </c>
      <c r="H196">
        <f>VLOOKUP(C196,Recipes!$A$2:$N$4,10,FALSE())</f>
        <v/>
      </c>
      <c r="I196">
        <f>VLOOKUP(C196,Recipes!$A$2:$N$4,12,FALSE())</f>
        <v/>
      </c>
      <c r="J196">
        <f>IF(G196="","",H196-G196)</f>
        <v/>
      </c>
      <c r="K196">
        <f>IF(G196="","",IF(ABS(G196-H196)&lt;=$B$6*I196,"OK","NG"))</f>
        <v/>
      </c>
      <c r="L196">
        <f>IF(K196="","",IF(K196=D196,1,0))</f>
        <v/>
      </c>
      <c r="M196" t="inlineStr">
        <is>
          <t>W1</t>
        </is>
      </c>
      <c r="N196" s="15" t="n">
        <v>1</v>
      </c>
      <c r="O196" s="15" t="n">
        <v>0</v>
      </c>
      <c r="P196">
        <f>IF(M196="","",IF(M196=E196,1,0))</f>
        <v/>
      </c>
      <c r="Q196">
        <f>IF(K196="OK","-",IF(N196&lt;$B$7,"AMBIGUOUS","CONFIDENT"))</f>
        <v/>
      </c>
    </row>
    <row r="197">
      <c r="A197">
        <f>'Runs Z score'!A189</f>
        <v/>
      </c>
      <c r="B197">
        <f>'Runs Z score'!B189</f>
        <v/>
      </c>
      <c r="C197">
        <f>'Runs Z score'!C189</f>
        <v/>
      </c>
      <c r="D197">
        <f>'Runs Z score'!D189</f>
        <v/>
      </c>
      <c r="E197">
        <f>'Runs Z score'!E189</f>
        <v/>
      </c>
      <c r="F197">
        <f>'Runs Z score'!F189</f>
        <v/>
      </c>
      <c r="G197">
        <f>'Runs Z score'!G189</f>
        <v/>
      </c>
      <c r="H197">
        <f>VLOOKUP(C197,Recipes!$A$2:$N$4,10,FALSE())</f>
        <v/>
      </c>
      <c r="I197">
        <f>VLOOKUP(C197,Recipes!$A$2:$N$4,12,FALSE())</f>
        <v/>
      </c>
      <c r="J197">
        <f>IF(G197="","",H197-G197)</f>
        <v/>
      </c>
      <c r="K197">
        <f>IF(G197="","",IF(ABS(G197-H197)&lt;=$B$6*I197,"OK","NG"))</f>
        <v/>
      </c>
      <c r="L197">
        <f>IF(K197="","",IF(K197=D197,1,0))</f>
        <v/>
      </c>
      <c r="M197" t="inlineStr">
        <is>
          <t>W1</t>
        </is>
      </c>
      <c r="N197" s="15" t="n">
        <v>0.9125</v>
      </c>
      <c r="O197" s="15" t="n">
        <v>0.08749999999999999</v>
      </c>
      <c r="P197">
        <f>IF(M197="","",IF(M197=E197,1,0))</f>
        <v/>
      </c>
      <c r="Q197">
        <f>IF(K197="OK","-",IF(N197&lt;$B$7,"AMBIGUOUS","CONFIDENT"))</f>
        <v/>
      </c>
    </row>
    <row r="198">
      <c r="A198">
        <f>'Runs Z score'!A190</f>
        <v/>
      </c>
      <c r="B198">
        <f>'Runs Z score'!B190</f>
        <v/>
      </c>
      <c r="C198">
        <f>'Runs Z score'!C190</f>
        <v/>
      </c>
      <c r="D198">
        <f>'Runs Z score'!D190</f>
        <v/>
      </c>
      <c r="E198">
        <f>'Runs Z score'!E190</f>
        <v/>
      </c>
      <c r="F198">
        <f>'Runs Z score'!F190</f>
        <v/>
      </c>
      <c r="G198">
        <f>'Runs Z score'!G190</f>
        <v/>
      </c>
      <c r="H198">
        <f>VLOOKUP(C198,Recipes!$A$2:$N$4,10,FALSE())</f>
        <v/>
      </c>
      <c r="I198">
        <f>VLOOKUP(C198,Recipes!$A$2:$N$4,12,FALSE())</f>
        <v/>
      </c>
      <c r="J198">
        <f>IF(G198="","",H198-G198)</f>
        <v/>
      </c>
      <c r="K198">
        <f>IF(G198="","",IF(ABS(G198-H198)&lt;=$B$6*I198,"OK","NG"))</f>
        <v/>
      </c>
      <c r="L198">
        <f>IF(K198="","",IF(K198=D198,1,0))</f>
        <v/>
      </c>
      <c r="M198" t="inlineStr">
        <is>
          <t>W1</t>
        </is>
      </c>
      <c r="N198" s="15" t="n">
        <v>1</v>
      </c>
      <c r="O198" s="15" t="n">
        <v>0</v>
      </c>
      <c r="P198">
        <f>IF(M198="","",IF(M198=E198,1,0))</f>
        <v/>
      </c>
      <c r="Q198">
        <f>IF(K198="OK","-",IF(N198&lt;$B$7,"AMBIGUOUS","CONFIDENT"))</f>
        <v/>
      </c>
    </row>
    <row r="199">
      <c r="A199">
        <f>'Runs Z score'!A191</f>
        <v/>
      </c>
      <c r="B199">
        <f>'Runs Z score'!B191</f>
        <v/>
      </c>
      <c r="C199">
        <f>'Runs Z score'!C191</f>
        <v/>
      </c>
      <c r="D199">
        <f>'Runs Z score'!D191</f>
        <v/>
      </c>
      <c r="E199">
        <f>'Runs Z score'!E191</f>
        <v/>
      </c>
      <c r="F199">
        <f>'Runs Z score'!F191</f>
        <v/>
      </c>
      <c r="G199">
        <f>'Runs Z score'!G191</f>
        <v/>
      </c>
      <c r="H199">
        <f>VLOOKUP(C199,Recipes!$A$2:$N$4,10,FALSE())</f>
        <v/>
      </c>
      <c r="I199">
        <f>VLOOKUP(C199,Recipes!$A$2:$N$4,12,FALSE())</f>
        <v/>
      </c>
      <c r="J199">
        <f>IF(G199="","",H199-G199)</f>
        <v/>
      </c>
      <c r="K199">
        <f>IF(G199="","",IF(ABS(G199-H199)&lt;=$B$6*I199,"OK","NG"))</f>
        <v/>
      </c>
      <c r="L199">
        <f>IF(K199="","",IF(K199=D199,1,0))</f>
        <v/>
      </c>
      <c r="M199" t="inlineStr">
        <is>
          <t>W1</t>
        </is>
      </c>
      <c r="N199" s="15" t="n">
        <v>1</v>
      </c>
      <c r="O199" s="15" t="n">
        <v>0</v>
      </c>
      <c r="P199">
        <f>IF(M199="","",IF(M199=E199,1,0))</f>
        <v/>
      </c>
      <c r="Q199">
        <f>IF(K199="OK","-",IF(N199&lt;$B$7,"AMBIGUOUS","CONFIDENT"))</f>
        <v/>
      </c>
    </row>
    <row r="200">
      <c r="A200">
        <f>'Runs Z score'!A192</f>
        <v/>
      </c>
      <c r="B200">
        <f>'Runs Z score'!B192</f>
        <v/>
      </c>
      <c r="C200">
        <f>'Runs Z score'!C192</f>
        <v/>
      </c>
      <c r="D200">
        <f>'Runs Z score'!D192</f>
        <v/>
      </c>
      <c r="E200">
        <f>'Runs Z score'!E192</f>
        <v/>
      </c>
      <c r="F200">
        <f>'Runs Z score'!F192</f>
        <v/>
      </c>
      <c r="G200">
        <f>'Runs Z score'!G192</f>
        <v/>
      </c>
      <c r="H200">
        <f>VLOOKUP(C200,Recipes!$A$2:$N$4,10,FALSE())</f>
        <v/>
      </c>
      <c r="I200">
        <f>VLOOKUP(C200,Recipes!$A$2:$N$4,12,FALSE())</f>
        <v/>
      </c>
      <c r="J200">
        <f>IF(G200="","",H200-G200)</f>
        <v/>
      </c>
      <c r="K200">
        <f>IF(G200="","",IF(ABS(G200-H200)&lt;=$B$6*I200,"OK","NG"))</f>
        <v/>
      </c>
      <c r="L200">
        <f>IF(K200="","",IF(K200=D200,1,0))</f>
        <v/>
      </c>
      <c r="M200" t="inlineStr">
        <is>
          <t>W1</t>
        </is>
      </c>
      <c r="N200" s="15" t="n">
        <v>1</v>
      </c>
      <c r="O200" s="15" t="n">
        <v>0</v>
      </c>
      <c r="P200">
        <f>IF(M200="","",IF(M200=E200,1,0))</f>
        <v/>
      </c>
      <c r="Q200">
        <f>IF(K200="OK","-",IF(N200&lt;$B$7,"AMBIGUOUS","CONFIDENT"))</f>
        <v/>
      </c>
    </row>
    <row r="201">
      <c r="A201">
        <f>'Runs Z score'!A193</f>
        <v/>
      </c>
      <c r="B201">
        <f>'Runs Z score'!B193</f>
        <v/>
      </c>
      <c r="C201">
        <f>'Runs Z score'!C193</f>
        <v/>
      </c>
      <c r="D201">
        <f>'Runs Z score'!D193</f>
        <v/>
      </c>
      <c r="E201">
        <f>'Runs Z score'!E193</f>
        <v/>
      </c>
      <c r="F201">
        <f>'Runs Z score'!F193</f>
        <v/>
      </c>
      <c r="G201">
        <f>'Runs Z score'!G193</f>
        <v/>
      </c>
      <c r="H201">
        <f>VLOOKUP(C201,Recipes!$A$2:$N$4,10,FALSE())</f>
        <v/>
      </c>
      <c r="I201">
        <f>VLOOKUP(C201,Recipes!$A$2:$N$4,12,FALSE())</f>
        <v/>
      </c>
      <c r="J201">
        <f>IF(G201="","",H201-G201)</f>
        <v/>
      </c>
      <c r="K201">
        <f>IF(G201="","",IF(ABS(G201-H201)&lt;=$B$6*I201,"OK","NG"))</f>
        <v/>
      </c>
      <c r="L201">
        <f>IF(K201="","",IF(K201=D201,1,0))</f>
        <v/>
      </c>
      <c r="M201" t="inlineStr">
        <is>
          <t>W1</t>
        </is>
      </c>
      <c r="N201" s="15" t="n">
        <v>1</v>
      </c>
      <c r="O201" s="15" t="n">
        <v>0</v>
      </c>
      <c r="P201">
        <f>IF(M201="","",IF(M201=E201,1,0))</f>
        <v/>
      </c>
      <c r="Q201">
        <f>IF(K201="OK","-",IF(N201&lt;$B$7,"AMBIGUOUS","CONFIDENT"))</f>
        <v/>
      </c>
    </row>
    <row r="202">
      <c r="A202">
        <f>'Runs Z score'!A194</f>
        <v/>
      </c>
      <c r="B202">
        <f>'Runs Z score'!B194</f>
        <v/>
      </c>
      <c r="C202">
        <f>'Runs Z score'!C194</f>
        <v/>
      </c>
      <c r="D202">
        <f>'Runs Z score'!D194</f>
        <v/>
      </c>
      <c r="E202">
        <f>'Runs Z score'!E194</f>
        <v/>
      </c>
      <c r="F202">
        <f>'Runs Z score'!F194</f>
        <v/>
      </c>
      <c r="G202">
        <f>'Runs Z score'!G194</f>
        <v/>
      </c>
      <c r="H202">
        <f>VLOOKUP(C202,Recipes!$A$2:$N$4,10,FALSE())</f>
        <v/>
      </c>
      <c r="I202">
        <f>VLOOKUP(C202,Recipes!$A$2:$N$4,12,FALSE())</f>
        <v/>
      </c>
      <c r="J202">
        <f>IF(G202="","",H202-G202)</f>
        <v/>
      </c>
      <c r="K202">
        <f>IF(G202="","",IF(ABS(G202-H202)&lt;=$B$6*I202,"OK","NG"))</f>
        <v/>
      </c>
      <c r="L202">
        <f>IF(K202="","",IF(K202=D202,1,0))</f>
        <v/>
      </c>
      <c r="M202" t="inlineStr">
        <is>
          <t>W1</t>
        </is>
      </c>
      <c r="N202" s="15" t="n">
        <v>1</v>
      </c>
      <c r="O202" s="15" t="n">
        <v>0</v>
      </c>
      <c r="P202">
        <f>IF(M202="","",IF(M202=E202,1,0))</f>
        <v/>
      </c>
      <c r="Q202">
        <f>IF(K202="OK","-",IF(N202&lt;$B$7,"AMBIGUOUS","CONFIDENT"))</f>
        <v/>
      </c>
    </row>
    <row r="203">
      <c r="A203">
        <f>'Runs Z score'!A195</f>
        <v/>
      </c>
      <c r="B203">
        <f>'Runs Z score'!B195</f>
        <v/>
      </c>
      <c r="C203">
        <f>'Runs Z score'!C195</f>
        <v/>
      </c>
      <c r="D203">
        <f>'Runs Z score'!D195</f>
        <v/>
      </c>
      <c r="E203">
        <f>'Runs Z score'!E195</f>
        <v/>
      </c>
      <c r="F203">
        <f>'Runs Z score'!F195</f>
        <v/>
      </c>
      <c r="G203">
        <f>'Runs Z score'!G195</f>
        <v/>
      </c>
      <c r="H203">
        <f>VLOOKUP(C203,Recipes!$A$2:$N$4,10,FALSE())</f>
        <v/>
      </c>
      <c r="I203">
        <f>VLOOKUP(C203,Recipes!$A$2:$N$4,12,FALSE())</f>
        <v/>
      </c>
      <c r="J203">
        <f>IF(G203="","",H203-G203)</f>
        <v/>
      </c>
      <c r="K203">
        <f>IF(G203="","",IF(ABS(G203-H203)&lt;=$B$6*I203,"OK","NG"))</f>
        <v/>
      </c>
      <c r="L203">
        <f>IF(K203="","",IF(K203=D203,1,0))</f>
        <v/>
      </c>
      <c r="M203" t="inlineStr">
        <is>
          <t>W1</t>
        </is>
      </c>
      <c r="N203" s="15" t="n">
        <v>1</v>
      </c>
      <c r="O203" s="15" t="n">
        <v>0</v>
      </c>
      <c r="P203">
        <f>IF(M203="","",IF(M203=E203,1,0))</f>
        <v/>
      </c>
      <c r="Q203">
        <f>IF(K203="OK","-",IF(N203&lt;$B$7,"AMBIGUOUS","CONFIDENT"))</f>
        <v/>
      </c>
    </row>
    <row r="204">
      <c r="A204">
        <f>'Runs Z score'!A196</f>
        <v/>
      </c>
      <c r="B204">
        <f>'Runs Z score'!B196</f>
        <v/>
      </c>
      <c r="C204">
        <f>'Runs Z score'!C196</f>
        <v/>
      </c>
      <c r="D204">
        <f>'Runs Z score'!D196</f>
        <v/>
      </c>
      <c r="E204">
        <f>'Runs Z score'!E196</f>
        <v/>
      </c>
      <c r="F204">
        <f>'Runs Z score'!F196</f>
        <v/>
      </c>
      <c r="G204">
        <f>'Runs Z score'!G196</f>
        <v/>
      </c>
      <c r="H204">
        <f>VLOOKUP(C204,Recipes!$A$2:$N$4,10,FALSE())</f>
        <v/>
      </c>
      <c r="I204">
        <f>VLOOKUP(C204,Recipes!$A$2:$N$4,12,FALSE())</f>
        <v/>
      </c>
      <c r="J204">
        <f>IF(G204="","",H204-G204)</f>
        <v/>
      </c>
      <c r="K204">
        <f>IF(G204="","",IF(ABS(G204-H204)&lt;=$B$6*I204,"OK","NG"))</f>
        <v/>
      </c>
      <c r="L204">
        <f>IF(K204="","",IF(K204=D204,1,0))</f>
        <v/>
      </c>
      <c r="M204" t="inlineStr">
        <is>
          <t>W1</t>
        </is>
      </c>
      <c r="N204" s="15" t="n">
        <v>1</v>
      </c>
      <c r="O204" s="15" t="n">
        <v>0</v>
      </c>
      <c r="P204">
        <f>IF(M204="","",IF(M204=E204,1,0))</f>
        <v/>
      </c>
      <c r="Q204">
        <f>IF(K204="OK","-",IF(N204&lt;$B$7,"AMBIGUOUS","CONFIDENT"))</f>
        <v/>
      </c>
    </row>
    <row r="205">
      <c r="A205">
        <f>'Runs Z score'!A197</f>
        <v/>
      </c>
      <c r="B205">
        <f>'Runs Z score'!B197</f>
        <v/>
      </c>
      <c r="C205">
        <f>'Runs Z score'!C197</f>
        <v/>
      </c>
      <c r="D205">
        <f>'Runs Z score'!D197</f>
        <v/>
      </c>
      <c r="E205">
        <f>'Runs Z score'!E197</f>
        <v/>
      </c>
      <c r="F205">
        <f>'Runs Z score'!F197</f>
        <v/>
      </c>
      <c r="G205">
        <f>'Runs Z score'!G197</f>
        <v/>
      </c>
      <c r="H205">
        <f>VLOOKUP(C205,Recipes!$A$2:$N$4,10,FALSE())</f>
        <v/>
      </c>
      <c r="I205">
        <f>VLOOKUP(C205,Recipes!$A$2:$N$4,12,FALSE())</f>
        <v/>
      </c>
      <c r="J205">
        <f>IF(G205="","",H205-G205)</f>
        <v/>
      </c>
      <c r="K205">
        <f>IF(G205="","",IF(ABS(G205-H205)&lt;=$B$6*I205,"OK","NG"))</f>
        <v/>
      </c>
      <c r="L205">
        <f>IF(K205="","",IF(K205=D205,1,0))</f>
        <v/>
      </c>
      <c r="M205" t="inlineStr">
        <is>
          <t>W1</t>
        </is>
      </c>
      <c r="N205" s="15" t="n">
        <v>1</v>
      </c>
      <c r="O205" s="15" t="n">
        <v>0</v>
      </c>
      <c r="P205">
        <f>IF(M205="","",IF(M205=E205,1,0))</f>
        <v/>
      </c>
      <c r="Q205">
        <f>IF(K205="OK","-",IF(N205&lt;$B$7,"AMBIGUOUS","CONFIDENT"))</f>
        <v/>
      </c>
    </row>
    <row r="206">
      <c r="A206">
        <f>'Runs Z score'!A198</f>
        <v/>
      </c>
      <c r="B206">
        <f>'Runs Z score'!B198</f>
        <v/>
      </c>
      <c r="C206">
        <f>'Runs Z score'!C198</f>
        <v/>
      </c>
      <c r="D206">
        <f>'Runs Z score'!D198</f>
        <v/>
      </c>
      <c r="E206">
        <f>'Runs Z score'!E198</f>
        <v/>
      </c>
      <c r="F206">
        <f>'Runs Z score'!F198</f>
        <v/>
      </c>
      <c r="G206">
        <f>'Runs Z score'!G198</f>
        <v/>
      </c>
      <c r="H206">
        <f>VLOOKUP(C206,Recipes!$A$2:$N$4,10,FALSE())</f>
        <v/>
      </c>
      <c r="I206">
        <f>VLOOKUP(C206,Recipes!$A$2:$N$4,12,FALSE())</f>
        <v/>
      </c>
      <c r="J206">
        <f>IF(G206="","",H206-G206)</f>
        <v/>
      </c>
      <c r="K206">
        <f>IF(G206="","",IF(ABS(G206-H206)&lt;=$B$6*I206,"OK","NG"))</f>
        <v/>
      </c>
      <c r="L206">
        <f>IF(K206="","",IF(K206=D206,1,0))</f>
        <v/>
      </c>
      <c r="M206" t="inlineStr">
        <is>
          <t>W1</t>
        </is>
      </c>
      <c r="N206" s="15" t="n">
        <v>1</v>
      </c>
      <c r="O206" s="15" t="n">
        <v>0</v>
      </c>
      <c r="P206">
        <f>IF(M206="","",IF(M206=E206,1,0))</f>
        <v/>
      </c>
      <c r="Q206">
        <f>IF(K206="OK","-",IF(N206&lt;$B$7,"AMBIGUOUS","CONFIDENT"))</f>
        <v/>
      </c>
    </row>
    <row r="207">
      <c r="A207">
        <f>'Runs Z score'!A199</f>
        <v/>
      </c>
      <c r="B207">
        <f>'Runs Z score'!B199</f>
        <v/>
      </c>
      <c r="C207">
        <f>'Runs Z score'!C199</f>
        <v/>
      </c>
      <c r="D207">
        <f>'Runs Z score'!D199</f>
        <v/>
      </c>
      <c r="E207">
        <f>'Runs Z score'!E199</f>
        <v/>
      </c>
      <c r="F207">
        <f>'Runs Z score'!F199</f>
        <v/>
      </c>
      <c r="G207">
        <f>'Runs Z score'!G199</f>
        <v/>
      </c>
      <c r="H207">
        <f>VLOOKUP(C207,Recipes!$A$2:$N$4,10,FALSE())</f>
        <v/>
      </c>
      <c r="I207">
        <f>VLOOKUP(C207,Recipes!$A$2:$N$4,12,FALSE())</f>
        <v/>
      </c>
      <c r="J207">
        <f>IF(G207="","",H207-G207)</f>
        <v/>
      </c>
      <c r="K207">
        <f>IF(G207="","",IF(ABS(G207-H207)&lt;=$B$6*I207,"OK","NG"))</f>
        <v/>
      </c>
      <c r="L207">
        <f>IF(K207="","",IF(K207=D207,1,0))</f>
        <v/>
      </c>
      <c r="M207" t="inlineStr">
        <is>
          <t>W1</t>
        </is>
      </c>
      <c r="N207" s="15" t="n">
        <v>1</v>
      </c>
      <c r="O207" s="15" t="n">
        <v>0</v>
      </c>
      <c r="P207">
        <f>IF(M207="","",IF(M207=E207,1,0))</f>
        <v/>
      </c>
      <c r="Q207">
        <f>IF(K207="OK","-",IF(N207&lt;$B$7,"AMBIGUOUS","CONFIDENT"))</f>
        <v/>
      </c>
    </row>
    <row r="208">
      <c r="A208">
        <f>'Runs Z score'!A200</f>
        <v/>
      </c>
      <c r="B208">
        <f>'Runs Z score'!B200</f>
        <v/>
      </c>
      <c r="C208">
        <f>'Runs Z score'!C200</f>
        <v/>
      </c>
      <c r="D208">
        <f>'Runs Z score'!D200</f>
        <v/>
      </c>
      <c r="E208">
        <f>'Runs Z score'!E200</f>
        <v/>
      </c>
      <c r="F208">
        <f>'Runs Z score'!F200</f>
        <v/>
      </c>
      <c r="G208">
        <f>'Runs Z score'!G200</f>
        <v/>
      </c>
      <c r="H208">
        <f>VLOOKUP(C208,Recipes!$A$2:$N$4,10,FALSE())</f>
        <v/>
      </c>
      <c r="I208">
        <f>VLOOKUP(C208,Recipes!$A$2:$N$4,12,FALSE())</f>
        <v/>
      </c>
      <c r="J208">
        <f>IF(G208="","",H208-G208)</f>
        <v/>
      </c>
      <c r="K208">
        <f>IF(G208="","",IF(ABS(G208-H208)&lt;=$B$6*I208,"OK","NG"))</f>
        <v/>
      </c>
      <c r="L208">
        <f>IF(K208="","",IF(K208=D208,1,0))</f>
        <v/>
      </c>
      <c r="M208" t="inlineStr">
        <is>
          <t>W1</t>
        </is>
      </c>
      <c r="N208" s="15" t="n">
        <v>1</v>
      </c>
      <c r="O208" s="15" t="n">
        <v>0</v>
      </c>
      <c r="P208">
        <f>IF(M208="","",IF(M208=E208,1,0))</f>
        <v/>
      </c>
      <c r="Q208">
        <f>IF(K208="OK","-",IF(N208&lt;$B$7,"AMBIGUOUS","CONFIDENT"))</f>
        <v/>
      </c>
    </row>
    <row r="209">
      <c r="A209">
        <f>'Runs Z score'!A201</f>
        <v/>
      </c>
      <c r="B209">
        <f>'Runs Z score'!B201</f>
        <v/>
      </c>
      <c r="C209">
        <f>'Runs Z score'!C201</f>
        <v/>
      </c>
      <c r="D209">
        <f>'Runs Z score'!D201</f>
        <v/>
      </c>
      <c r="E209">
        <f>'Runs Z score'!E201</f>
        <v/>
      </c>
      <c r="F209">
        <f>'Runs Z score'!F201</f>
        <v/>
      </c>
      <c r="G209">
        <f>'Runs Z score'!G201</f>
        <v/>
      </c>
      <c r="H209">
        <f>VLOOKUP(C209,Recipes!$A$2:$N$4,10,FALSE())</f>
        <v/>
      </c>
      <c r="I209">
        <f>VLOOKUP(C209,Recipes!$A$2:$N$4,12,FALSE())</f>
        <v/>
      </c>
      <c r="J209">
        <f>IF(G209="","",H209-G209)</f>
        <v/>
      </c>
      <c r="K209">
        <f>IF(G209="","",IF(ABS(G209-H209)&lt;=$B$6*I209,"OK","NG"))</f>
        <v/>
      </c>
      <c r="L209">
        <f>IF(K209="","",IF(K209=D209,1,0))</f>
        <v/>
      </c>
      <c r="M209" t="inlineStr">
        <is>
          <t>W1</t>
        </is>
      </c>
      <c r="N209" s="15" t="n">
        <v>1</v>
      </c>
      <c r="O209" s="15" t="n">
        <v>0</v>
      </c>
      <c r="P209">
        <f>IF(M209="","",IF(M209=E209,1,0))</f>
        <v/>
      </c>
      <c r="Q209">
        <f>IF(K209="OK","-",IF(N209&lt;$B$7,"AMBIGUOUS","CONFIDENT"))</f>
        <v/>
      </c>
    </row>
    <row r="210">
      <c r="A210">
        <f>'Runs Z score'!A202</f>
        <v/>
      </c>
      <c r="B210">
        <f>'Runs Z score'!B202</f>
        <v/>
      </c>
      <c r="C210">
        <f>'Runs Z score'!C202</f>
        <v/>
      </c>
      <c r="D210">
        <f>'Runs Z score'!D202</f>
        <v/>
      </c>
      <c r="E210">
        <f>'Runs Z score'!E202</f>
        <v/>
      </c>
      <c r="F210">
        <f>'Runs Z score'!F202</f>
        <v/>
      </c>
      <c r="G210">
        <f>'Runs Z score'!G202</f>
        <v/>
      </c>
      <c r="H210">
        <f>VLOOKUP(C210,Recipes!$A$2:$N$4,10,FALSE())</f>
        <v/>
      </c>
      <c r="I210">
        <f>VLOOKUP(C210,Recipes!$A$2:$N$4,12,FALSE())</f>
        <v/>
      </c>
      <c r="J210">
        <f>IF(G210="","",H210-G210)</f>
        <v/>
      </c>
      <c r="K210">
        <f>IF(G210="","",IF(ABS(G210-H210)&lt;=$B$6*I210,"OK","NG"))</f>
        <v/>
      </c>
      <c r="L210">
        <f>IF(K210="","",IF(K210=D210,1,0))</f>
        <v/>
      </c>
      <c r="M210" t="inlineStr">
        <is>
          <t>W1</t>
        </is>
      </c>
      <c r="N210" s="15" t="n">
        <v>1</v>
      </c>
      <c r="O210" s="15" t="n">
        <v>0</v>
      </c>
      <c r="P210">
        <f>IF(M210="","",IF(M210=E210,1,0))</f>
        <v/>
      </c>
      <c r="Q210">
        <f>IF(K210="OK","-",IF(N210&lt;$B$7,"AMBIGUOUS","CONFIDENT"))</f>
        <v/>
      </c>
    </row>
    <row r="211">
      <c r="A211">
        <f>'Runs Z score'!A203</f>
        <v/>
      </c>
      <c r="B211">
        <f>'Runs Z score'!B203</f>
        <v/>
      </c>
      <c r="C211">
        <f>'Runs Z score'!C203</f>
        <v/>
      </c>
      <c r="D211">
        <f>'Runs Z score'!D203</f>
        <v/>
      </c>
      <c r="E211">
        <f>'Runs Z score'!E203</f>
        <v/>
      </c>
      <c r="F211">
        <f>'Runs Z score'!F203</f>
        <v/>
      </c>
      <c r="G211">
        <f>'Runs Z score'!G203</f>
        <v/>
      </c>
      <c r="H211">
        <f>VLOOKUP(C211,Recipes!$A$2:$N$4,10,FALSE())</f>
        <v/>
      </c>
      <c r="I211">
        <f>VLOOKUP(C211,Recipes!$A$2:$N$4,12,FALSE())</f>
        <v/>
      </c>
      <c r="J211">
        <f>IF(G211="","",H211-G211)</f>
        <v/>
      </c>
      <c r="K211">
        <f>IF(G211="","",IF(ABS(G211-H211)&lt;=$B$6*I211,"OK","NG"))</f>
        <v/>
      </c>
      <c r="L211">
        <f>IF(K211="","",IF(K211=D211,1,0))</f>
        <v/>
      </c>
      <c r="M211" t="inlineStr">
        <is>
          <t>W1</t>
        </is>
      </c>
      <c r="N211" s="15" t="n">
        <v>0.9983</v>
      </c>
      <c r="O211" s="15" t="n">
        <v>0.0017</v>
      </c>
      <c r="P211">
        <f>IF(M211="","",IF(M211=E211,1,0))</f>
        <v/>
      </c>
      <c r="Q211">
        <f>IF(K211="OK","-",IF(N211&lt;$B$7,"AMBIGUOUS","CONFIDENT"))</f>
        <v/>
      </c>
    </row>
    <row r="212">
      <c r="A212">
        <f>'Runs Z score'!A204</f>
        <v/>
      </c>
      <c r="B212">
        <f>'Runs Z score'!B204</f>
        <v/>
      </c>
      <c r="C212">
        <f>'Runs Z score'!C204</f>
        <v/>
      </c>
      <c r="D212">
        <f>'Runs Z score'!D204</f>
        <v/>
      </c>
      <c r="E212">
        <f>'Runs Z score'!E204</f>
        <v/>
      </c>
      <c r="F212">
        <f>'Runs Z score'!F204</f>
        <v/>
      </c>
      <c r="G212">
        <f>'Runs Z score'!G204</f>
        <v/>
      </c>
      <c r="H212">
        <f>VLOOKUP(C212,Recipes!$A$2:$N$4,10,FALSE())</f>
        <v/>
      </c>
      <c r="I212">
        <f>VLOOKUP(C212,Recipes!$A$2:$N$4,12,FALSE())</f>
        <v/>
      </c>
      <c r="J212">
        <f>IF(G212="","",H212-G212)</f>
        <v/>
      </c>
      <c r="K212">
        <f>IF(G212="","",IF(ABS(G212-H212)&lt;=$B$6*I212,"OK","NG"))</f>
        <v/>
      </c>
      <c r="L212">
        <f>IF(K212="","",IF(K212=D212,1,0))</f>
        <v/>
      </c>
      <c r="M212" t="inlineStr">
        <is>
          <t>W1</t>
        </is>
      </c>
      <c r="N212" s="15" t="n">
        <v>1</v>
      </c>
      <c r="O212" s="15" t="n">
        <v>0</v>
      </c>
      <c r="P212">
        <f>IF(M212="","",IF(M212=E212,1,0))</f>
        <v/>
      </c>
      <c r="Q212">
        <f>IF(K212="OK","-",IF(N212&lt;$B$7,"AMBIGUOUS","CONFIDENT"))</f>
        <v/>
      </c>
    </row>
    <row r="213">
      <c r="A213">
        <f>'Runs Z score'!A205</f>
        <v/>
      </c>
      <c r="B213">
        <f>'Runs Z score'!B205</f>
        <v/>
      </c>
      <c r="C213">
        <f>'Runs Z score'!C205</f>
        <v/>
      </c>
      <c r="D213">
        <f>'Runs Z score'!D205</f>
        <v/>
      </c>
      <c r="E213">
        <f>'Runs Z score'!E205</f>
        <v/>
      </c>
      <c r="F213">
        <f>'Runs Z score'!F205</f>
        <v/>
      </c>
      <c r="G213">
        <f>'Runs Z score'!G205</f>
        <v/>
      </c>
      <c r="H213">
        <f>VLOOKUP(C213,Recipes!$A$2:$N$4,10,FALSE())</f>
        <v/>
      </c>
      <c r="I213">
        <f>VLOOKUP(C213,Recipes!$A$2:$N$4,12,FALSE())</f>
        <v/>
      </c>
      <c r="J213">
        <f>IF(G213="","",H213-G213)</f>
        <v/>
      </c>
      <c r="K213">
        <f>IF(G213="","",IF(ABS(G213-H213)&lt;=$B$6*I213,"OK","NG"))</f>
        <v/>
      </c>
      <c r="L213">
        <f>IF(K213="","",IF(K213=D213,1,0))</f>
        <v/>
      </c>
      <c r="M213" t="inlineStr">
        <is>
          <t>W1</t>
        </is>
      </c>
      <c r="N213" s="15" t="n">
        <v>1</v>
      </c>
      <c r="O213" s="15" t="n">
        <v>0</v>
      </c>
      <c r="P213">
        <f>IF(M213="","",IF(M213=E213,1,0))</f>
        <v/>
      </c>
      <c r="Q213">
        <f>IF(K213="OK","-",IF(N213&lt;$B$7,"AMBIGUOUS","CONFIDENT"))</f>
        <v/>
      </c>
    </row>
    <row r="214">
      <c r="A214">
        <f>'Runs Z score'!A206</f>
        <v/>
      </c>
      <c r="B214">
        <f>'Runs Z score'!B206</f>
        <v/>
      </c>
      <c r="C214">
        <f>'Runs Z score'!C206</f>
        <v/>
      </c>
      <c r="D214">
        <f>'Runs Z score'!D206</f>
        <v/>
      </c>
      <c r="E214">
        <f>'Runs Z score'!E206</f>
        <v/>
      </c>
      <c r="F214">
        <f>'Runs Z score'!F206</f>
        <v/>
      </c>
      <c r="G214">
        <f>'Runs Z score'!G206</f>
        <v/>
      </c>
      <c r="H214">
        <f>VLOOKUP(C214,Recipes!$A$2:$N$4,10,FALSE())</f>
        <v/>
      </c>
      <c r="I214">
        <f>VLOOKUP(C214,Recipes!$A$2:$N$4,12,FALSE())</f>
        <v/>
      </c>
      <c r="J214">
        <f>IF(G214="","",H214-G214)</f>
        <v/>
      </c>
      <c r="K214">
        <f>IF(G214="","",IF(ABS(G214-H214)&lt;=$B$6*I214,"OK","NG"))</f>
        <v/>
      </c>
      <c r="L214">
        <f>IF(K214="","",IF(K214=D214,1,0))</f>
        <v/>
      </c>
      <c r="M214" t="inlineStr">
        <is>
          <t>W1</t>
        </is>
      </c>
      <c r="N214" s="15" t="n">
        <v>1</v>
      </c>
      <c r="O214" s="15" t="n">
        <v>0</v>
      </c>
      <c r="P214">
        <f>IF(M214="","",IF(M214=E214,1,0))</f>
        <v/>
      </c>
      <c r="Q214">
        <f>IF(K214="OK","-",IF(N214&lt;$B$7,"AMBIGUOUS","CONFIDENT"))</f>
        <v/>
      </c>
    </row>
    <row r="215">
      <c r="A215">
        <f>'Runs Z score'!A207</f>
        <v/>
      </c>
      <c r="B215">
        <f>'Runs Z score'!B207</f>
        <v/>
      </c>
      <c r="C215">
        <f>'Runs Z score'!C207</f>
        <v/>
      </c>
      <c r="D215">
        <f>'Runs Z score'!D207</f>
        <v/>
      </c>
      <c r="E215">
        <f>'Runs Z score'!E207</f>
        <v/>
      </c>
      <c r="F215">
        <f>'Runs Z score'!F207</f>
        <v/>
      </c>
      <c r="G215">
        <f>'Runs Z score'!G207</f>
        <v/>
      </c>
      <c r="H215">
        <f>VLOOKUP(C215,Recipes!$A$2:$N$4,10,FALSE())</f>
        <v/>
      </c>
      <c r="I215">
        <f>VLOOKUP(C215,Recipes!$A$2:$N$4,12,FALSE())</f>
        <v/>
      </c>
      <c r="J215">
        <f>IF(G215="","",H215-G215)</f>
        <v/>
      </c>
      <c r="K215">
        <f>IF(G215="","",IF(ABS(G215-H215)&lt;=$B$6*I215,"OK","NG"))</f>
        <v/>
      </c>
      <c r="L215">
        <f>IF(K215="","",IF(K215=D215,1,0))</f>
        <v/>
      </c>
      <c r="M215" t="inlineStr">
        <is>
          <t>W1</t>
        </is>
      </c>
      <c r="N215" s="15" t="n">
        <v>1</v>
      </c>
      <c r="O215" s="15" t="n">
        <v>0</v>
      </c>
      <c r="P215">
        <f>IF(M215="","",IF(M215=E215,1,0))</f>
        <v/>
      </c>
      <c r="Q215">
        <f>IF(K215="OK","-",IF(N215&lt;$B$7,"AMBIGUOUS","CONFIDENT"))</f>
        <v/>
      </c>
    </row>
    <row r="216">
      <c r="A216">
        <f>'Runs Z score'!A208</f>
        <v/>
      </c>
      <c r="B216">
        <f>'Runs Z score'!B208</f>
        <v/>
      </c>
      <c r="C216">
        <f>'Runs Z score'!C208</f>
        <v/>
      </c>
      <c r="D216">
        <f>'Runs Z score'!D208</f>
        <v/>
      </c>
      <c r="E216">
        <f>'Runs Z score'!E208</f>
        <v/>
      </c>
      <c r="F216">
        <f>'Runs Z score'!F208</f>
        <v/>
      </c>
      <c r="G216">
        <f>'Runs Z score'!G208</f>
        <v/>
      </c>
      <c r="H216">
        <f>VLOOKUP(C216,Recipes!$A$2:$N$4,10,FALSE())</f>
        <v/>
      </c>
      <c r="I216">
        <f>VLOOKUP(C216,Recipes!$A$2:$N$4,12,FALSE())</f>
        <v/>
      </c>
      <c r="J216">
        <f>IF(G216="","",H216-G216)</f>
        <v/>
      </c>
      <c r="K216">
        <f>IF(G216="","",IF(ABS(G216-H216)&lt;=$B$6*I216,"OK","NG"))</f>
        <v/>
      </c>
      <c r="L216">
        <f>IF(K216="","",IF(K216=D216,1,0))</f>
        <v/>
      </c>
      <c r="M216" t="inlineStr">
        <is>
          <t>W1</t>
        </is>
      </c>
      <c r="N216" s="15" t="n">
        <v>1</v>
      </c>
      <c r="O216" s="15" t="n">
        <v>0</v>
      </c>
      <c r="P216">
        <f>IF(M216="","",IF(M216=E216,1,0))</f>
        <v/>
      </c>
      <c r="Q216">
        <f>IF(K216="OK","-",IF(N216&lt;$B$7,"AMBIGUOUS","CONFIDENT"))</f>
        <v/>
      </c>
    </row>
    <row r="217">
      <c r="A217">
        <f>'Runs Z score'!A209</f>
        <v/>
      </c>
      <c r="B217">
        <f>'Runs Z score'!B209</f>
        <v/>
      </c>
      <c r="C217">
        <f>'Runs Z score'!C209</f>
        <v/>
      </c>
      <c r="D217">
        <f>'Runs Z score'!D209</f>
        <v/>
      </c>
      <c r="E217">
        <f>'Runs Z score'!E209</f>
        <v/>
      </c>
      <c r="F217">
        <f>'Runs Z score'!F209</f>
        <v/>
      </c>
      <c r="G217">
        <f>'Runs Z score'!G209</f>
        <v/>
      </c>
      <c r="H217">
        <f>VLOOKUP(C217,Recipes!$A$2:$N$4,10,FALSE())</f>
        <v/>
      </c>
      <c r="I217">
        <f>VLOOKUP(C217,Recipes!$A$2:$N$4,12,FALSE())</f>
        <v/>
      </c>
      <c r="J217">
        <f>IF(G217="","",H217-G217)</f>
        <v/>
      </c>
      <c r="K217">
        <f>IF(G217="","",IF(ABS(G217-H217)&lt;=$B$6*I217,"OK","NG"))</f>
        <v/>
      </c>
      <c r="L217">
        <f>IF(K217="","",IF(K217=D217,1,0))</f>
        <v/>
      </c>
      <c r="M217" t="inlineStr">
        <is>
          <t>W1</t>
        </is>
      </c>
      <c r="N217" s="15" t="n">
        <v>1</v>
      </c>
      <c r="O217" s="15" t="n">
        <v>0</v>
      </c>
      <c r="P217">
        <f>IF(M217="","",IF(M217=E217,1,0))</f>
        <v/>
      </c>
      <c r="Q217">
        <f>IF(K217="OK","-",IF(N217&lt;$B$7,"AMBIGUOUS","CONFIDENT"))</f>
        <v/>
      </c>
    </row>
    <row r="218">
      <c r="A218">
        <f>'Runs Z score'!A210</f>
        <v/>
      </c>
      <c r="B218">
        <f>'Runs Z score'!B210</f>
        <v/>
      </c>
      <c r="C218">
        <f>'Runs Z score'!C210</f>
        <v/>
      </c>
      <c r="D218">
        <f>'Runs Z score'!D210</f>
        <v/>
      </c>
      <c r="E218">
        <f>'Runs Z score'!E210</f>
        <v/>
      </c>
      <c r="F218">
        <f>'Runs Z score'!F210</f>
        <v/>
      </c>
      <c r="G218">
        <f>'Runs Z score'!G210</f>
        <v/>
      </c>
      <c r="H218">
        <f>VLOOKUP(C218,Recipes!$A$2:$N$4,10,FALSE())</f>
        <v/>
      </c>
      <c r="I218">
        <f>VLOOKUP(C218,Recipes!$A$2:$N$4,12,FALSE())</f>
        <v/>
      </c>
      <c r="J218">
        <f>IF(G218="","",H218-G218)</f>
        <v/>
      </c>
      <c r="K218">
        <f>IF(G218="","",IF(ABS(G218-H218)&lt;=$B$6*I218,"OK","NG"))</f>
        <v/>
      </c>
      <c r="L218">
        <f>IF(K218="","",IF(K218=D218,1,0))</f>
        <v/>
      </c>
      <c r="M218" t="inlineStr">
        <is>
          <t>W1</t>
        </is>
      </c>
      <c r="N218" s="15" t="n">
        <v>0.905</v>
      </c>
      <c r="O218" s="15" t="n">
        <v>0.095</v>
      </c>
      <c r="P218">
        <f>IF(M218="","",IF(M218=E218,1,0))</f>
        <v/>
      </c>
      <c r="Q218">
        <f>IF(K218="OK","-",IF(N218&lt;$B$7,"AMBIGUOUS","CONFIDENT"))</f>
        <v/>
      </c>
    </row>
    <row r="219">
      <c r="A219">
        <f>'Runs Z score'!A211</f>
        <v/>
      </c>
      <c r="B219">
        <f>'Runs Z score'!B211</f>
        <v/>
      </c>
      <c r="C219">
        <f>'Runs Z score'!C211</f>
        <v/>
      </c>
      <c r="D219">
        <f>'Runs Z score'!D211</f>
        <v/>
      </c>
      <c r="E219">
        <f>'Runs Z score'!E211</f>
        <v/>
      </c>
      <c r="F219">
        <f>'Runs Z score'!F211</f>
        <v/>
      </c>
      <c r="G219">
        <f>'Runs Z score'!G211</f>
        <v/>
      </c>
      <c r="H219">
        <f>VLOOKUP(C219,Recipes!$A$2:$N$4,10,FALSE())</f>
        <v/>
      </c>
      <c r="I219">
        <f>VLOOKUP(C219,Recipes!$A$2:$N$4,12,FALSE())</f>
        <v/>
      </c>
      <c r="J219">
        <f>IF(G219="","",H219-G219)</f>
        <v/>
      </c>
      <c r="K219">
        <f>IF(G219="","",IF(ABS(G219-H219)&lt;=$B$6*I219,"OK","NG"))</f>
        <v/>
      </c>
      <c r="L219">
        <f>IF(K219="","",IF(K219=D219,1,0))</f>
        <v/>
      </c>
      <c r="M219" t="inlineStr">
        <is>
          <t>N1</t>
        </is>
      </c>
      <c r="N219" s="15" t="n">
        <v>1</v>
      </c>
      <c r="O219" s="15" t="n">
        <v>0</v>
      </c>
      <c r="P219">
        <f>IF(M219="","",IF(M219=E219,1,0))</f>
        <v/>
      </c>
      <c r="Q219">
        <f>IF(K219="OK","-",IF(N219&lt;$B$7,"AMBIGUOUS","CONFIDENT"))</f>
        <v/>
      </c>
    </row>
    <row r="220">
      <c r="A220">
        <f>'Runs Z score'!A212</f>
        <v/>
      </c>
      <c r="B220">
        <f>'Runs Z score'!B212</f>
        <v/>
      </c>
      <c r="C220">
        <f>'Runs Z score'!C212</f>
        <v/>
      </c>
      <c r="D220">
        <f>'Runs Z score'!D212</f>
        <v/>
      </c>
      <c r="E220">
        <f>'Runs Z score'!E212</f>
        <v/>
      </c>
      <c r="F220">
        <f>'Runs Z score'!F212</f>
        <v/>
      </c>
      <c r="G220">
        <f>'Runs Z score'!G212</f>
        <v/>
      </c>
      <c r="H220">
        <f>VLOOKUP(C220,Recipes!$A$2:$N$4,10,FALSE())</f>
        <v/>
      </c>
      <c r="I220">
        <f>VLOOKUP(C220,Recipes!$A$2:$N$4,12,FALSE())</f>
        <v/>
      </c>
      <c r="J220">
        <f>IF(G220="","",H220-G220)</f>
        <v/>
      </c>
      <c r="K220">
        <f>IF(G220="","",IF(ABS(G220-H220)&lt;=$B$6*I220,"OK","NG"))</f>
        <v/>
      </c>
      <c r="L220">
        <f>IF(K220="","",IF(K220=D220,1,0))</f>
        <v/>
      </c>
      <c r="M220" t="inlineStr">
        <is>
          <t>W1</t>
        </is>
      </c>
      <c r="N220" s="15" t="n">
        <v>1</v>
      </c>
      <c r="O220" s="15" t="n">
        <v>0</v>
      </c>
      <c r="P220">
        <f>IF(M220="","",IF(M220=E220,1,0))</f>
        <v/>
      </c>
      <c r="Q220">
        <f>IF(K220="OK","-",IF(N220&lt;$B$7,"AMBIGUOUS","CONFIDENT"))</f>
        <v/>
      </c>
    </row>
    <row r="221">
      <c r="A221">
        <f>'Runs Z score'!A213</f>
        <v/>
      </c>
      <c r="B221">
        <f>'Runs Z score'!B213</f>
        <v/>
      </c>
      <c r="C221">
        <f>'Runs Z score'!C213</f>
        <v/>
      </c>
      <c r="D221">
        <f>'Runs Z score'!D213</f>
        <v/>
      </c>
      <c r="E221">
        <f>'Runs Z score'!E213</f>
        <v/>
      </c>
      <c r="F221">
        <f>'Runs Z score'!F213</f>
        <v/>
      </c>
      <c r="G221">
        <f>'Runs Z score'!G213</f>
        <v/>
      </c>
      <c r="H221">
        <f>VLOOKUP(C221,Recipes!$A$2:$N$4,10,FALSE())</f>
        <v/>
      </c>
      <c r="I221">
        <f>VLOOKUP(C221,Recipes!$A$2:$N$4,12,FALSE())</f>
        <v/>
      </c>
      <c r="J221">
        <f>IF(G221="","",H221-G221)</f>
        <v/>
      </c>
      <c r="K221">
        <f>IF(G221="","",IF(ABS(G221-H221)&lt;=$B$6*I221,"OK","NG"))</f>
        <v/>
      </c>
      <c r="L221">
        <f>IF(K221="","",IF(K221=D221,1,0))</f>
        <v/>
      </c>
      <c r="M221" t="inlineStr">
        <is>
          <t>N1</t>
        </is>
      </c>
      <c r="N221" s="15" t="n">
        <v>0.701</v>
      </c>
      <c r="O221" s="15" t="n">
        <v>0.2965</v>
      </c>
      <c r="P221">
        <f>IF(M221="","",IF(M221=E221,1,0))</f>
        <v/>
      </c>
      <c r="Q221">
        <f>IF(K221="OK","-",IF(N221&lt;$B$7,"AMBIGUOUS","CONFIDENT"))</f>
        <v/>
      </c>
    </row>
    <row r="222">
      <c r="A222">
        <f>'Runs Z score'!A214</f>
        <v/>
      </c>
      <c r="B222">
        <f>'Runs Z score'!B214</f>
        <v/>
      </c>
      <c r="C222">
        <f>'Runs Z score'!C214</f>
        <v/>
      </c>
      <c r="D222">
        <f>'Runs Z score'!D214</f>
        <v/>
      </c>
      <c r="E222">
        <f>'Runs Z score'!E214</f>
        <v/>
      </c>
      <c r="F222">
        <f>'Runs Z score'!F214</f>
        <v/>
      </c>
      <c r="G222">
        <f>'Runs Z score'!G214</f>
        <v/>
      </c>
      <c r="H222">
        <f>VLOOKUP(C222,Recipes!$A$2:$N$4,10,FALSE())</f>
        <v/>
      </c>
      <c r="I222">
        <f>VLOOKUP(C222,Recipes!$A$2:$N$4,12,FALSE())</f>
        <v/>
      </c>
      <c r="J222">
        <f>IF(G222="","",H222-G222)</f>
        <v/>
      </c>
      <c r="K222">
        <f>IF(G222="","",IF(ABS(G222-H222)&lt;=$B$6*I222,"OK","NG"))</f>
        <v/>
      </c>
      <c r="L222">
        <f>IF(K222="","",IF(K222=D222,1,0))</f>
        <v/>
      </c>
      <c r="M222" t="inlineStr">
        <is>
          <t>N1</t>
        </is>
      </c>
      <c r="N222" s="15" t="n">
        <v>1</v>
      </c>
      <c r="O222" s="15" t="n">
        <v>0</v>
      </c>
      <c r="P222">
        <f>IF(M222="","",IF(M222=E222,1,0))</f>
        <v/>
      </c>
      <c r="Q222">
        <f>IF(K222="OK","-",IF(N222&lt;$B$7,"AMBIGUOUS","CONFIDENT"))</f>
        <v/>
      </c>
    </row>
    <row r="223">
      <c r="A223">
        <f>'Runs Z score'!A215</f>
        <v/>
      </c>
      <c r="B223">
        <f>'Runs Z score'!B215</f>
        <v/>
      </c>
      <c r="C223">
        <f>'Runs Z score'!C215</f>
        <v/>
      </c>
      <c r="D223">
        <f>'Runs Z score'!D215</f>
        <v/>
      </c>
      <c r="E223">
        <f>'Runs Z score'!E215</f>
        <v/>
      </c>
      <c r="F223">
        <f>'Runs Z score'!F215</f>
        <v/>
      </c>
      <c r="G223">
        <f>'Runs Z score'!G215</f>
        <v/>
      </c>
      <c r="H223">
        <f>VLOOKUP(C223,Recipes!$A$2:$N$4,10,FALSE())</f>
        <v/>
      </c>
      <c r="I223">
        <f>VLOOKUP(C223,Recipes!$A$2:$N$4,12,FALSE())</f>
        <v/>
      </c>
      <c r="J223">
        <f>IF(G223="","",H223-G223)</f>
        <v/>
      </c>
      <c r="K223">
        <f>IF(G223="","",IF(ABS(G223-H223)&lt;=$B$6*I223,"OK","NG"))</f>
        <v/>
      </c>
      <c r="L223">
        <f>IF(K223="","",IF(K223=D223,1,0))</f>
        <v/>
      </c>
      <c r="M223" t="inlineStr">
        <is>
          <t>N1</t>
        </is>
      </c>
      <c r="N223" s="15" t="n">
        <v>1</v>
      </c>
      <c r="O223" s="15" t="n">
        <v>0</v>
      </c>
      <c r="P223">
        <f>IF(M223="","",IF(M223=E223,1,0))</f>
        <v/>
      </c>
      <c r="Q223">
        <f>IF(K223="OK","-",IF(N223&lt;$B$7,"AMBIGUOUS","CONFIDENT"))</f>
        <v/>
      </c>
    </row>
    <row r="224">
      <c r="A224">
        <f>'Runs Z score'!A216</f>
        <v/>
      </c>
      <c r="B224">
        <f>'Runs Z score'!B216</f>
        <v/>
      </c>
      <c r="C224">
        <f>'Runs Z score'!C216</f>
        <v/>
      </c>
      <c r="D224">
        <f>'Runs Z score'!D216</f>
        <v/>
      </c>
      <c r="E224">
        <f>'Runs Z score'!E216</f>
        <v/>
      </c>
      <c r="F224">
        <f>'Runs Z score'!F216</f>
        <v/>
      </c>
      <c r="G224">
        <f>'Runs Z score'!G216</f>
        <v/>
      </c>
      <c r="H224">
        <f>VLOOKUP(C224,Recipes!$A$2:$N$4,10,FALSE())</f>
        <v/>
      </c>
      <c r="I224">
        <f>VLOOKUP(C224,Recipes!$A$2:$N$4,12,FALSE())</f>
        <v/>
      </c>
      <c r="J224">
        <f>IF(G224="","",H224-G224)</f>
        <v/>
      </c>
      <c r="K224">
        <f>IF(G224="","",IF(ABS(G224-H224)&lt;=$B$6*I224,"OK","NG"))</f>
        <v/>
      </c>
      <c r="L224">
        <f>IF(K224="","",IF(K224=D224,1,0))</f>
        <v/>
      </c>
      <c r="M224" t="inlineStr">
        <is>
          <t>N1</t>
        </is>
      </c>
      <c r="N224" s="15" t="n">
        <v>1</v>
      </c>
      <c r="O224" s="15" t="n">
        <v>0</v>
      </c>
      <c r="P224">
        <f>IF(M224="","",IF(M224=E224,1,0))</f>
        <v/>
      </c>
      <c r="Q224">
        <f>IF(K224="OK","-",IF(N224&lt;$B$7,"AMBIGUOUS","CONFIDENT"))</f>
        <v/>
      </c>
    </row>
    <row r="225">
      <c r="A225">
        <f>'Runs Z score'!A217</f>
        <v/>
      </c>
      <c r="B225">
        <f>'Runs Z score'!B217</f>
        <v/>
      </c>
      <c r="C225">
        <f>'Runs Z score'!C217</f>
        <v/>
      </c>
      <c r="D225">
        <f>'Runs Z score'!D217</f>
        <v/>
      </c>
      <c r="E225">
        <f>'Runs Z score'!E217</f>
        <v/>
      </c>
      <c r="F225">
        <f>'Runs Z score'!F217</f>
        <v/>
      </c>
      <c r="G225">
        <f>'Runs Z score'!G217</f>
        <v/>
      </c>
      <c r="H225">
        <f>VLOOKUP(C225,Recipes!$A$2:$N$4,10,FALSE())</f>
        <v/>
      </c>
      <c r="I225">
        <f>VLOOKUP(C225,Recipes!$A$2:$N$4,12,FALSE())</f>
        <v/>
      </c>
      <c r="J225">
        <f>IF(G225="","",H225-G225)</f>
        <v/>
      </c>
      <c r="K225">
        <f>IF(G225="","",IF(ABS(G225-H225)&lt;=$B$6*I225,"OK","NG"))</f>
        <v/>
      </c>
      <c r="L225">
        <f>IF(K225="","",IF(K225=D225,1,0))</f>
        <v/>
      </c>
      <c r="M225" t="inlineStr">
        <is>
          <t>N1</t>
        </is>
      </c>
      <c r="N225" s="15" t="n">
        <v>1</v>
      </c>
      <c r="O225" s="15" t="n">
        <v>0</v>
      </c>
      <c r="P225">
        <f>IF(M225="","",IF(M225=E225,1,0))</f>
        <v/>
      </c>
      <c r="Q225">
        <f>IF(K225="OK","-",IF(N225&lt;$B$7,"AMBIGUOUS","CONFIDENT"))</f>
        <v/>
      </c>
    </row>
    <row r="226">
      <c r="A226">
        <f>'Runs Z score'!A218</f>
        <v/>
      </c>
      <c r="B226">
        <f>'Runs Z score'!B218</f>
        <v/>
      </c>
      <c r="C226">
        <f>'Runs Z score'!C218</f>
        <v/>
      </c>
      <c r="D226">
        <f>'Runs Z score'!D218</f>
        <v/>
      </c>
      <c r="E226">
        <f>'Runs Z score'!E218</f>
        <v/>
      </c>
      <c r="F226">
        <f>'Runs Z score'!F218</f>
        <v/>
      </c>
      <c r="G226">
        <f>'Runs Z score'!G218</f>
        <v/>
      </c>
      <c r="H226">
        <f>VLOOKUP(C226,Recipes!$A$2:$N$4,10,FALSE())</f>
        <v/>
      </c>
      <c r="I226">
        <f>VLOOKUP(C226,Recipes!$A$2:$N$4,12,FALSE())</f>
        <v/>
      </c>
      <c r="J226">
        <f>IF(G226="","",H226-G226)</f>
        <v/>
      </c>
      <c r="K226">
        <f>IF(G226="","",IF(ABS(G226-H226)&lt;=$B$6*I226,"OK","NG"))</f>
        <v/>
      </c>
      <c r="L226">
        <f>IF(K226="","",IF(K226=D226,1,0))</f>
        <v/>
      </c>
      <c r="M226" t="inlineStr">
        <is>
          <t>N1</t>
        </is>
      </c>
      <c r="N226" s="15" t="n">
        <v>1</v>
      </c>
      <c r="O226" s="15" t="n">
        <v>0</v>
      </c>
      <c r="P226">
        <f>IF(M226="","",IF(M226=E226,1,0))</f>
        <v/>
      </c>
      <c r="Q226">
        <f>IF(K226="OK","-",IF(N226&lt;$B$7,"AMBIGUOUS","CONFIDENT"))</f>
        <v/>
      </c>
    </row>
    <row r="227">
      <c r="A227">
        <f>'Runs Z score'!A219</f>
        <v/>
      </c>
      <c r="B227">
        <f>'Runs Z score'!B219</f>
        <v/>
      </c>
      <c r="C227">
        <f>'Runs Z score'!C219</f>
        <v/>
      </c>
      <c r="D227">
        <f>'Runs Z score'!D219</f>
        <v/>
      </c>
      <c r="E227">
        <f>'Runs Z score'!E219</f>
        <v/>
      </c>
      <c r="F227">
        <f>'Runs Z score'!F219</f>
        <v/>
      </c>
      <c r="G227">
        <f>'Runs Z score'!G219</f>
        <v/>
      </c>
      <c r="H227">
        <f>VLOOKUP(C227,Recipes!$A$2:$N$4,10,FALSE())</f>
        <v/>
      </c>
      <c r="I227">
        <f>VLOOKUP(C227,Recipes!$A$2:$N$4,12,FALSE())</f>
        <v/>
      </c>
      <c r="J227">
        <f>IF(G227="","",H227-G227)</f>
        <v/>
      </c>
      <c r="K227">
        <f>IF(G227="","",IF(ABS(G227-H227)&lt;=$B$6*I227,"OK","NG"))</f>
        <v/>
      </c>
      <c r="L227">
        <f>IF(K227="","",IF(K227=D227,1,0))</f>
        <v/>
      </c>
      <c r="M227" t="inlineStr">
        <is>
          <t>N1</t>
        </is>
      </c>
      <c r="N227" s="15" t="n">
        <v>1</v>
      </c>
      <c r="O227" s="15" t="n">
        <v>0</v>
      </c>
      <c r="P227">
        <f>IF(M227="","",IF(M227=E227,1,0))</f>
        <v/>
      </c>
      <c r="Q227">
        <f>IF(K227="OK","-",IF(N227&lt;$B$7,"AMBIGUOUS","CONFIDENT"))</f>
        <v/>
      </c>
    </row>
    <row r="228">
      <c r="A228">
        <f>'Runs Z score'!A220</f>
        <v/>
      </c>
      <c r="B228">
        <f>'Runs Z score'!B220</f>
        <v/>
      </c>
      <c r="C228">
        <f>'Runs Z score'!C220</f>
        <v/>
      </c>
      <c r="D228">
        <f>'Runs Z score'!D220</f>
        <v/>
      </c>
      <c r="E228">
        <f>'Runs Z score'!E220</f>
        <v/>
      </c>
      <c r="F228">
        <f>'Runs Z score'!F220</f>
        <v/>
      </c>
      <c r="G228">
        <f>'Runs Z score'!G220</f>
        <v/>
      </c>
      <c r="H228">
        <f>VLOOKUP(C228,Recipes!$A$2:$N$4,10,FALSE())</f>
        <v/>
      </c>
      <c r="I228">
        <f>VLOOKUP(C228,Recipes!$A$2:$N$4,12,FALSE())</f>
        <v/>
      </c>
      <c r="J228">
        <f>IF(G228="","",H228-G228)</f>
        <v/>
      </c>
      <c r="K228">
        <f>IF(G228="","",IF(ABS(G228-H228)&lt;=$B$6*I228,"OK","NG"))</f>
        <v/>
      </c>
      <c r="L228">
        <f>IF(K228="","",IF(K228=D228,1,0))</f>
        <v/>
      </c>
      <c r="M228" t="inlineStr">
        <is>
          <t>N1</t>
        </is>
      </c>
      <c r="N228" s="15" t="n">
        <v>0.875</v>
      </c>
      <c r="O228" s="15" t="n">
        <v>0.1</v>
      </c>
      <c r="P228">
        <f>IF(M228="","",IF(M228=E228,1,0))</f>
        <v/>
      </c>
      <c r="Q228">
        <f>IF(K228="OK","-",IF(N228&lt;$B$7,"AMBIGUOUS","CONFIDENT"))</f>
        <v/>
      </c>
    </row>
    <row r="229">
      <c r="A229">
        <f>'Runs Z score'!A221</f>
        <v/>
      </c>
      <c r="B229">
        <f>'Runs Z score'!B221</f>
        <v/>
      </c>
      <c r="C229">
        <f>'Runs Z score'!C221</f>
        <v/>
      </c>
      <c r="D229">
        <f>'Runs Z score'!D221</f>
        <v/>
      </c>
      <c r="E229">
        <f>'Runs Z score'!E221</f>
        <v/>
      </c>
      <c r="F229">
        <f>'Runs Z score'!F221</f>
        <v/>
      </c>
      <c r="G229">
        <f>'Runs Z score'!G221</f>
        <v/>
      </c>
      <c r="H229">
        <f>VLOOKUP(C229,Recipes!$A$2:$N$4,10,FALSE())</f>
        <v/>
      </c>
      <c r="I229">
        <f>VLOOKUP(C229,Recipes!$A$2:$N$4,12,FALSE())</f>
        <v/>
      </c>
      <c r="J229">
        <f>IF(G229="","",H229-G229)</f>
        <v/>
      </c>
      <c r="K229">
        <f>IF(G229="","",IF(ABS(G229-H229)&lt;=$B$6*I229,"OK","NG"))</f>
        <v/>
      </c>
      <c r="L229">
        <f>IF(K229="","",IF(K229=D229,1,0))</f>
        <v/>
      </c>
      <c r="M229" t="inlineStr">
        <is>
          <t>N1</t>
        </is>
      </c>
      <c r="N229" s="15" t="n">
        <v>0.9983</v>
      </c>
      <c r="O229" s="15" t="n">
        <v>0.0017</v>
      </c>
      <c r="P229">
        <f>IF(M229="","",IF(M229=E229,1,0))</f>
        <v/>
      </c>
      <c r="Q229">
        <f>IF(K229="OK","-",IF(N229&lt;$B$7,"AMBIGUOUS","CONFIDENT"))</f>
        <v/>
      </c>
    </row>
    <row r="230">
      <c r="A230">
        <f>'Runs Z score'!A222</f>
        <v/>
      </c>
      <c r="B230">
        <f>'Runs Z score'!B222</f>
        <v/>
      </c>
      <c r="C230">
        <f>'Runs Z score'!C222</f>
        <v/>
      </c>
      <c r="D230">
        <f>'Runs Z score'!D222</f>
        <v/>
      </c>
      <c r="E230">
        <f>'Runs Z score'!E222</f>
        <v/>
      </c>
      <c r="F230">
        <f>'Runs Z score'!F222</f>
        <v/>
      </c>
      <c r="G230">
        <f>'Runs Z score'!G222</f>
        <v/>
      </c>
      <c r="H230">
        <f>VLOOKUP(C230,Recipes!$A$2:$N$4,10,FALSE())</f>
        <v/>
      </c>
      <c r="I230">
        <f>VLOOKUP(C230,Recipes!$A$2:$N$4,12,FALSE())</f>
        <v/>
      </c>
      <c r="J230">
        <f>IF(G230="","",H230-G230)</f>
        <v/>
      </c>
      <c r="K230">
        <f>IF(G230="","",IF(ABS(G230-H230)&lt;=$B$6*I230,"OK","NG"))</f>
        <v/>
      </c>
      <c r="L230">
        <f>IF(K230="","",IF(K230=D230,1,0))</f>
        <v/>
      </c>
      <c r="M230" t="inlineStr">
        <is>
          <t>N1</t>
        </is>
      </c>
      <c r="N230" s="15" t="n">
        <v>1</v>
      </c>
      <c r="O230" s="15" t="n">
        <v>0</v>
      </c>
      <c r="P230">
        <f>IF(M230="","",IF(M230=E230,1,0))</f>
        <v/>
      </c>
      <c r="Q230">
        <f>IF(K230="OK","-",IF(N230&lt;$B$7,"AMBIGUOUS","CONFIDENT"))</f>
        <v/>
      </c>
    </row>
    <row r="231">
      <c r="A231">
        <f>'Runs Z score'!A223</f>
        <v/>
      </c>
      <c r="B231">
        <f>'Runs Z score'!B223</f>
        <v/>
      </c>
      <c r="C231">
        <f>'Runs Z score'!C223</f>
        <v/>
      </c>
      <c r="D231">
        <f>'Runs Z score'!D223</f>
        <v/>
      </c>
      <c r="E231">
        <f>'Runs Z score'!E223</f>
        <v/>
      </c>
      <c r="F231">
        <f>'Runs Z score'!F223</f>
        <v/>
      </c>
      <c r="G231">
        <f>'Runs Z score'!G223</f>
        <v/>
      </c>
      <c r="H231">
        <f>VLOOKUP(C231,Recipes!$A$2:$N$4,10,FALSE())</f>
        <v/>
      </c>
      <c r="I231">
        <f>VLOOKUP(C231,Recipes!$A$2:$N$4,12,FALSE())</f>
        <v/>
      </c>
      <c r="J231">
        <f>IF(G231="","",H231-G231)</f>
        <v/>
      </c>
      <c r="K231">
        <f>IF(G231="","",IF(ABS(G231-H231)&lt;=$B$6*I231,"OK","NG"))</f>
        <v/>
      </c>
      <c r="L231">
        <f>IF(K231="","",IF(K231=D231,1,0))</f>
        <v/>
      </c>
      <c r="M231" t="inlineStr">
        <is>
          <t>N1</t>
        </is>
      </c>
      <c r="N231" s="15" t="n">
        <v>1</v>
      </c>
      <c r="O231" s="15" t="n">
        <v>0</v>
      </c>
      <c r="P231">
        <f>IF(M231="","",IF(M231=E231,1,0))</f>
        <v/>
      </c>
      <c r="Q231">
        <f>IF(K231="OK","-",IF(N231&lt;$B$7,"AMBIGUOUS","CONFIDENT"))</f>
        <v/>
      </c>
    </row>
    <row r="232">
      <c r="A232">
        <f>'Runs Z score'!A224</f>
        <v/>
      </c>
      <c r="B232">
        <f>'Runs Z score'!B224</f>
        <v/>
      </c>
      <c r="C232">
        <f>'Runs Z score'!C224</f>
        <v/>
      </c>
      <c r="D232">
        <f>'Runs Z score'!D224</f>
        <v/>
      </c>
      <c r="E232">
        <f>'Runs Z score'!E224</f>
        <v/>
      </c>
      <c r="F232">
        <f>'Runs Z score'!F224</f>
        <v/>
      </c>
      <c r="G232">
        <f>'Runs Z score'!G224</f>
        <v/>
      </c>
      <c r="H232">
        <f>VLOOKUP(C232,Recipes!$A$2:$N$4,10,FALSE())</f>
        <v/>
      </c>
      <c r="I232">
        <f>VLOOKUP(C232,Recipes!$A$2:$N$4,12,FALSE())</f>
        <v/>
      </c>
      <c r="J232">
        <f>IF(G232="","",H232-G232)</f>
        <v/>
      </c>
      <c r="K232">
        <f>IF(G232="","",IF(ABS(G232-H232)&lt;=$B$6*I232,"OK","NG"))</f>
        <v/>
      </c>
      <c r="L232">
        <f>IF(K232="","",IF(K232=D232,1,0))</f>
        <v/>
      </c>
      <c r="M232" t="inlineStr">
        <is>
          <t>N1</t>
        </is>
      </c>
      <c r="N232" s="15" t="n">
        <v>1</v>
      </c>
      <c r="O232" s="15" t="n">
        <v>0</v>
      </c>
      <c r="P232">
        <f>IF(M232="","",IF(M232=E232,1,0))</f>
        <v/>
      </c>
      <c r="Q232">
        <f>IF(K232="OK","-",IF(N232&lt;$B$7,"AMBIGUOUS","CONFIDENT"))</f>
        <v/>
      </c>
    </row>
    <row r="233">
      <c r="A233">
        <f>'Runs Z score'!A225</f>
        <v/>
      </c>
      <c r="B233">
        <f>'Runs Z score'!B225</f>
        <v/>
      </c>
      <c r="C233">
        <f>'Runs Z score'!C225</f>
        <v/>
      </c>
      <c r="D233">
        <f>'Runs Z score'!D225</f>
        <v/>
      </c>
      <c r="E233">
        <f>'Runs Z score'!E225</f>
        <v/>
      </c>
      <c r="F233">
        <f>'Runs Z score'!F225</f>
        <v/>
      </c>
      <c r="G233">
        <f>'Runs Z score'!G225</f>
        <v/>
      </c>
      <c r="H233">
        <f>VLOOKUP(C233,Recipes!$A$2:$N$4,10,FALSE())</f>
        <v/>
      </c>
      <c r="I233">
        <f>VLOOKUP(C233,Recipes!$A$2:$N$4,12,FALSE())</f>
        <v/>
      </c>
      <c r="J233">
        <f>IF(G233="","",H233-G233)</f>
        <v/>
      </c>
      <c r="K233">
        <f>IF(G233="","",IF(ABS(G233-H233)&lt;=$B$6*I233,"OK","NG"))</f>
        <v/>
      </c>
      <c r="L233">
        <f>IF(K233="","",IF(K233=D233,1,0))</f>
        <v/>
      </c>
      <c r="M233" t="inlineStr">
        <is>
          <t>N1</t>
        </is>
      </c>
      <c r="N233" s="15" t="n">
        <v>1</v>
      </c>
      <c r="O233" s="15" t="n">
        <v>0</v>
      </c>
      <c r="P233">
        <f>IF(M233="","",IF(M233=E233,1,0))</f>
        <v/>
      </c>
      <c r="Q233">
        <f>IF(K233="OK","-",IF(N233&lt;$B$7,"AMBIGUOUS","CONFIDENT"))</f>
        <v/>
      </c>
    </row>
    <row r="234">
      <c r="A234">
        <f>'Runs Z score'!A226</f>
        <v/>
      </c>
      <c r="B234">
        <f>'Runs Z score'!B226</f>
        <v/>
      </c>
      <c r="C234">
        <f>'Runs Z score'!C226</f>
        <v/>
      </c>
      <c r="D234">
        <f>'Runs Z score'!D226</f>
        <v/>
      </c>
      <c r="E234">
        <f>'Runs Z score'!E226</f>
        <v/>
      </c>
      <c r="F234">
        <f>'Runs Z score'!F226</f>
        <v/>
      </c>
      <c r="G234">
        <f>'Runs Z score'!G226</f>
        <v/>
      </c>
      <c r="H234">
        <f>VLOOKUP(C234,Recipes!$A$2:$N$4,10,FALSE())</f>
        <v/>
      </c>
      <c r="I234">
        <f>VLOOKUP(C234,Recipes!$A$2:$N$4,12,FALSE())</f>
        <v/>
      </c>
      <c r="J234">
        <f>IF(G234="","",H234-G234)</f>
        <v/>
      </c>
      <c r="K234">
        <f>IF(G234="","",IF(ABS(G234-H234)&lt;=$B$6*I234,"OK","NG"))</f>
        <v/>
      </c>
      <c r="L234">
        <f>IF(K234="","",IF(K234=D234,1,0))</f>
        <v/>
      </c>
      <c r="M234" t="inlineStr">
        <is>
          <t>N1</t>
        </is>
      </c>
      <c r="N234" s="15" t="n">
        <v>0.9983</v>
      </c>
      <c r="O234" s="15" t="n">
        <v>0.0017</v>
      </c>
      <c r="P234">
        <f>IF(M234="","",IF(M234=E234,1,0))</f>
        <v/>
      </c>
      <c r="Q234">
        <f>IF(K234="OK","-",IF(N234&lt;$B$7,"AMBIGUOUS","CONFIDENT"))</f>
        <v/>
      </c>
    </row>
    <row r="235">
      <c r="A235">
        <f>'Runs Z score'!A227</f>
        <v/>
      </c>
      <c r="B235">
        <f>'Runs Z score'!B227</f>
        <v/>
      </c>
      <c r="C235">
        <f>'Runs Z score'!C227</f>
        <v/>
      </c>
      <c r="D235">
        <f>'Runs Z score'!D227</f>
        <v/>
      </c>
      <c r="E235">
        <f>'Runs Z score'!E227</f>
        <v/>
      </c>
      <c r="F235">
        <f>'Runs Z score'!F227</f>
        <v/>
      </c>
      <c r="G235">
        <f>'Runs Z score'!G227</f>
        <v/>
      </c>
      <c r="H235">
        <f>VLOOKUP(C235,Recipes!$A$2:$N$4,10,FALSE())</f>
        <v/>
      </c>
      <c r="I235">
        <f>VLOOKUP(C235,Recipes!$A$2:$N$4,12,FALSE())</f>
        <v/>
      </c>
      <c r="J235">
        <f>IF(G235="","",H235-G235)</f>
        <v/>
      </c>
      <c r="K235">
        <f>IF(G235="","",IF(ABS(G235-H235)&lt;=$B$6*I235,"OK","NG"))</f>
        <v/>
      </c>
      <c r="L235">
        <f>IF(K235="","",IF(K235=D235,1,0))</f>
        <v/>
      </c>
      <c r="M235" t="inlineStr">
        <is>
          <t>N1</t>
        </is>
      </c>
      <c r="N235" s="15" t="n">
        <v>0.6849</v>
      </c>
      <c r="O235" s="15" t="n">
        <v>0.3151</v>
      </c>
      <c r="P235">
        <f>IF(M235="","",IF(M235=E235,1,0))</f>
        <v/>
      </c>
      <c r="Q235">
        <f>IF(K235="OK","-",IF(N235&lt;$B$7,"AMBIGUOUS","CONFIDENT"))</f>
        <v/>
      </c>
    </row>
    <row r="236">
      <c r="A236">
        <f>'Runs Z score'!A228</f>
        <v/>
      </c>
      <c r="B236">
        <f>'Runs Z score'!B228</f>
        <v/>
      </c>
      <c r="C236">
        <f>'Runs Z score'!C228</f>
        <v/>
      </c>
      <c r="D236">
        <f>'Runs Z score'!D228</f>
        <v/>
      </c>
      <c r="E236">
        <f>'Runs Z score'!E228</f>
        <v/>
      </c>
      <c r="F236">
        <f>'Runs Z score'!F228</f>
        <v/>
      </c>
      <c r="G236">
        <f>'Runs Z score'!G228</f>
        <v/>
      </c>
      <c r="H236">
        <f>VLOOKUP(C236,Recipes!$A$2:$N$4,10,FALSE())</f>
        <v/>
      </c>
      <c r="I236">
        <f>VLOOKUP(C236,Recipes!$A$2:$N$4,12,FALSE())</f>
        <v/>
      </c>
      <c r="J236">
        <f>IF(G236="","",H236-G236)</f>
        <v/>
      </c>
      <c r="K236">
        <f>IF(G236="","",IF(ABS(G236-H236)&lt;=$B$6*I236,"OK","NG"))</f>
        <v/>
      </c>
      <c r="L236">
        <f>IF(K236="","",IF(K236=D236,1,0))</f>
        <v/>
      </c>
      <c r="M236" t="inlineStr">
        <is>
          <t>N1</t>
        </is>
      </c>
      <c r="N236" s="15" t="n">
        <v>1</v>
      </c>
      <c r="O236" s="15" t="n">
        <v>0</v>
      </c>
      <c r="P236">
        <f>IF(M236="","",IF(M236=E236,1,0))</f>
        <v/>
      </c>
      <c r="Q236">
        <f>IF(K236="OK","-",IF(N236&lt;$B$7,"AMBIGUOUS","CONFIDENT"))</f>
        <v/>
      </c>
    </row>
    <row r="237">
      <c r="A237">
        <f>'Runs Z score'!A229</f>
        <v/>
      </c>
      <c r="B237">
        <f>'Runs Z score'!B229</f>
        <v/>
      </c>
      <c r="C237">
        <f>'Runs Z score'!C229</f>
        <v/>
      </c>
      <c r="D237">
        <f>'Runs Z score'!D229</f>
        <v/>
      </c>
      <c r="E237">
        <f>'Runs Z score'!E229</f>
        <v/>
      </c>
      <c r="F237">
        <f>'Runs Z score'!F229</f>
        <v/>
      </c>
      <c r="G237">
        <f>'Runs Z score'!G229</f>
        <v/>
      </c>
      <c r="H237">
        <f>VLOOKUP(C237,Recipes!$A$2:$N$4,10,FALSE())</f>
        <v/>
      </c>
      <c r="I237">
        <f>VLOOKUP(C237,Recipes!$A$2:$N$4,12,FALSE())</f>
        <v/>
      </c>
      <c r="J237">
        <f>IF(G237="","",H237-G237)</f>
        <v/>
      </c>
      <c r="K237">
        <f>IF(G237="","",IF(ABS(G237-H237)&lt;=$B$6*I237,"OK","NG"))</f>
        <v/>
      </c>
      <c r="L237">
        <f>IF(K237="","",IF(K237=D237,1,0))</f>
        <v/>
      </c>
      <c r="M237" t="inlineStr">
        <is>
          <t>N1</t>
        </is>
      </c>
      <c r="N237" s="15" t="n">
        <v>1</v>
      </c>
      <c r="O237" s="15" t="n">
        <v>0</v>
      </c>
      <c r="P237">
        <f>IF(M237="","",IF(M237=E237,1,0))</f>
        <v/>
      </c>
      <c r="Q237">
        <f>IF(K237="OK","-",IF(N237&lt;$B$7,"AMBIGUOUS","CONFIDENT"))</f>
        <v/>
      </c>
    </row>
    <row r="238">
      <c r="A238">
        <f>'Runs Z score'!A230</f>
        <v/>
      </c>
      <c r="B238">
        <f>'Runs Z score'!B230</f>
        <v/>
      </c>
      <c r="C238">
        <f>'Runs Z score'!C230</f>
        <v/>
      </c>
      <c r="D238">
        <f>'Runs Z score'!D230</f>
        <v/>
      </c>
      <c r="E238">
        <f>'Runs Z score'!E230</f>
        <v/>
      </c>
      <c r="F238">
        <f>'Runs Z score'!F230</f>
        <v/>
      </c>
      <c r="G238">
        <f>'Runs Z score'!G230</f>
        <v/>
      </c>
      <c r="H238">
        <f>VLOOKUP(C238,Recipes!$A$2:$N$4,10,FALSE())</f>
        <v/>
      </c>
      <c r="I238">
        <f>VLOOKUP(C238,Recipes!$A$2:$N$4,12,FALSE())</f>
        <v/>
      </c>
      <c r="J238">
        <f>IF(G238="","",H238-G238)</f>
        <v/>
      </c>
      <c r="K238">
        <f>IF(G238="","",IF(ABS(G238-H238)&lt;=$B$6*I238,"OK","NG"))</f>
        <v/>
      </c>
      <c r="L238">
        <f>IF(K238="","",IF(K238=D238,1,0))</f>
        <v/>
      </c>
      <c r="M238" t="inlineStr">
        <is>
          <t>N1</t>
        </is>
      </c>
      <c r="N238" s="15" t="n">
        <v>1</v>
      </c>
      <c r="O238" s="15" t="n">
        <v>0</v>
      </c>
      <c r="P238">
        <f>IF(M238="","",IF(M238=E238,1,0))</f>
        <v/>
      </c>
      <c r="Q238">
        <f>IF(K238="OK","-",IF(N238&lt;$B$7,"AMBIGUOUS","CONFIDENT"))</f>
        <v/>
      </c>
    </row>
    <row r="239">
      <c r="A239">
        <f>'Runs Z score'!A231</f>
        <v/>
      </c>
      <c r="B239">
        <f>'Runs Z score'!B231</f>
        <v/>
      </c>
      <c r="C239">
        <f>'Runs Z score'!C231</f>
        <v/>
      </c>
      <c r="D239">
        <f>'Runs Z score'!D231</f>
        <v/>
      </c>
      <c r="E239">
        <f>'Runs Z score'!E231</f>
        <v/>
      </c>
      <c r="F239">
        <f>'Runs Z score'!F231</f>
        <v/>
      </c>
      <c r="G239">
        <f>'Runs Z score'!G231</f>
        <v/>
      </c>
      <c r="H239">
        <f>VLOOKUP(C239,Recipes!$A$2:$N$4,10,FALSE())</f>
        <v/>
      </c>
      <c r="I239">
        <f>VLOOKUP(C239,Recipes!$A$2:$N$4,12,FALSE())</f>
        <v/>
      </c>
      <c r="J239">
        <f>IF(G239="","",H239-G239)</f>
        <v/>
      </c>
      <c r="K239">
        <f>IF(G239="","",IF(ABS(G239-H239)&lt;=$B$6*I239,"OK","NG"))</f>
        <v/>
      </c>
      <c r="L239">
        <f>IF(K239="","",IF(K239=D239,1,0))</f>
        <v/>
      </c>
      <c r="M239" t="inlineStr">
        <is>
          <t>N1</t>
        </is>
      </c>
      <c r="N239" s="15" t="n">
        <v>0.7809</v>
      </c>
      <c r="O239" s="15" t="n">
        <v>0.1999</v>
      </c>
      <c r="P239">
        <f>IF(M239="","",IF(M239=E239,1,0))</f>
        <v/>
      </c>
      <c r="Q239">
        <f>IF(K239="OK","-",IF(N239&lt;$B$7,"AMBIGUOUS","CONFIDENT"))</f>
        <v/>
      </c>
    </row>
    <row r="240">
      <c r="A240">
        <f>'Runs Z score'!A232</f>
        <v/>
      </c>
      <c r="B240">
        <f>'Runs Z score'!B232</f>
        <v/>
      </c>
      <c r="C240">
        <f>'Runs Z score'!C232</f>
        <v/>
      </c>
      <c r="D240">
        <f>'Runs Z score'!D232</f>
        <v/>
      </c>
      <c r="E240">
        <f>'Runs Z score'!E232</f>
        <v/>
      </c>
      <c r="F240">
        <f>'Runs Z score'!F232</f>
        <v/>
      </c>
      <c r="G240">
        <f>'Runs Z score'!G232</f>
        <v/>
      </c>
      <c r="H240">
        <f>VLOOKUP(C240,Recipes!$A$2:$N$4,10,FALSE())</f>
        <v/>
      </c>
      <c r="I240">
        <f>VLOOKUP(C240,Recipes!$A$2:$N$4,12,FALSE())</f>
        <v/>
      </c>
      <c r="J240">
        <f>IF(G240="","",H240-G240)</f>
        <v/>
      </c>
      <c r="K240">
        <f>IF(G240="","",IF(ABS(G240-H240)&lt;=$B$6*I240,"OK","NG"))</f>
        <v/>
      </c>
      <c r="L240">
        <f>IF(K240="","",IF(K240=D240,1,0))</f>
        <v/>
      </c>
      <c r="M240" t="inlineStr">
        <is>
          <t>N1</t>
        </is>
      </c>
      <c r="N240" s="15" t="n">
        <v>1</v>
      </c>
      <c r="O240" s="15" t="n">
        <v>0</v>
      </c>
      <c r="P240">
        <f>IF(M240="","",IF(M240=E240,1,0))</f>
        <v/>
      </c>
      <c r="Q240">
        <f>IF(K240="OK","-",IF(N240&lt;$B$7,"AMBIGUOUS","CONFIDENT"))</f>
        <v/>
      </c>
    </row>
    <row r="241">
      <c r="A241">
        <f>'Runs Z score'!A233</f>
        <v/>
      </c>
      <c r="B241">
        <f>'Runs Z score'!B233</f>
        <v/>
      </c>
      <c r="C241">
        <f>'Runs Z score'!C233</f>
        <v/>
      </c>
      <c r="D241">
        <f>'Runs Z score'!D233</f>
        <v/>
      </c>
      <c r="E241">
        <f>'Runs Z score'!E233</f>
        <v/>
      </c>
      <c r="F241">
        <f>'Runs Z score'!F233</f>
        <v/>
      </c>
      <c r="G241">
        <f>'Runs Z score'!G233</f>
        <v/>
      </c>
      <c r="H241">
        <f>VLOOKUP(C241,Recipes!$A$2:$N$4,10,FALSE())</f>
        <v/>
      </c>
      <c r="I241">
        <f>VLOOKUP(C241,Recipes!$A$2:$N$4,12,FALSE())</f>
        <v/>
      </c>
      <c r="J241">
        <f>IF(G241="","",H241-G241)</f>
        <v/>
      </c>
      <c r="K241">
        <f>IF(G241="","",IF(ABS(G241-H241)&lt;=$B$6*I241,"OK","NG"))</f>
        <v/>
      </c>
      <c r="L241">
        <f>IF(K241="","",IF(K241=D241,1,0))</f>
        <v/>
      </c>
      <c r="M241" t="inlineStr">
        <is>
          <t>N1</t>
        </is>
      </c>
      <c r="N241" s="15" t="n">
        <v>1</v>
      </c>
      <c r="O241" s="15" t="n">
        <v>0</v>
      </c>
      <c r="P241">
        <f>IF(M241="","",IF(M241=E241,1,0))</f>
        <v/>
      </c>
      <c r="Q241">
        <f>IF(K241="OK","-",IF(N241&lt;$B$7,"AMBIGUOUS","CONFIDENT"))</f>
        <v/>
      </c>
    </row>
    <row r="242">
      <c r="A242">
        <f>'Runs Z score'!A234</f>
        <v/>
      </c>
      <c r="B242">
        <f>'Runs Z score'!B234</f>
        <v/>
      </c>
      <c r="C242">
        <f>'Runs Z score'!C234</f>
        <v/>
      </c>
      <c r="D242">
        <f>'Runs Z score'!D234</f>
        <v/>
      </c>
      <c r="E242">
        <f>'Runs Z score'!E234</f>
        <v/>
      </c>
      <c r="F242">
        <f>'Runs Z score'!F234</f>
        <v/>
      </c>
      <c r="G242">
        <f>'Runs Z score'!G234</f>
        <v/>
      </c>
      <c r="H242">
        <f>VLOOKUP(C242,Recipes!$A$2:$N$4,10,FALSE())</f>
        <v/>
      </c>
      <c r="I242">
        <f>VLOOKUP(C242,Recipes!$A$2:$N$4,12,FALSE())</f>
        <v/>
      </c>
      <c r="J242">
        <f>IF(G242="","",H242-G242)</f>
        <v/>
      </c>
      <c r="K242">
        <f>IF(G242="","",IF(ABS(G242-H242)&lt;=$B$6*I242,"OK","NG"))</f>
        <v/>
      </c>
      <c r="L242">
        <f>IF(K242="","",IF(K242=D242,1,0))</f>
        <v/>
      </c>
      <c r="M242" t="inlineStr">
        <is>
          <t>N1</t>
        </is>
      </c>
      <c r="N242" s="15" t="n">
        <v>1</v>
      </c>
      <c r="O242" s="15" t="n">
        <v>0</v>
      </c>
      <c r="P242">
        <f>IF(M242="","",IF(M242=E242,1,0))</f>
        <v/>
      </c>
      <c r="Q242">
        <f>IF(K242="OK","-",IF(N242&lt;$B$7,"AMBIGUOUS","CONFIDENT"))</f>
        <v/>
      </c>
    </row>
    <row r="243">
      <c r="A243">
        <f>'Runs Z score'!A235</f>
        <v/>
      </c>
      <c r="B243">
        <f>'Runs Z score'!B235</f>
        <v/>
      </c>
      <c r="C243">
        <f>'Runs Z score'!C235</f>
        <v/>
      </c>
      <c r="D243">
        <f>'Runs Z score'!D235</f>
        <v/>
      </c>
      <c r="E243">
        <f>'Runs Z score'!E235</f>
        <v/>
      </c>
      <c r="F243">
        <f>'Runs Z score'!F235</f>
        <v/>
      </c>
      <c r="G243">
        <f>'Runs Z score'!G235</f>
        <v/>
      </c>
      <c r="H243">
        <f>VLOOKUP(C243,Recipes!$A$2:$N$4,10,FALSE())</f>
        <v/>
      </c>
      <c r="I243">
        <f>VLOOKUP(C243,Recipes!$A$2:$N$4,12,FALSE())</f>
        <v/>
      </c>
      <c r="J243">
        <f>IF(G243="","",H243-G243)</f>
        <v/>
      </c>
      <c r="K243">
        <f>IF(G243="","",IF(ABS(G243-H243)&lt;=$B$6*I243,"OK","NG"))</f>
        <v/>
      </c>
      <c r="L243">
        <f>IF(K243="","",IF(K243=D243,1,0))</f>
        <v/>
      </c>
      <c r="M243" t="inlineStr">
        <is>
          <t>N1</t>
        </is>
      </c>
      <c r="N243" s="15" t="n">
        <v>0.9971</v>
      </c>
      <c r="O243" s="15" t="n">
        <v>0.0029</v>
      </c>
      <c r="P243">
        <f>IF(M243="","",IF(M243=E243,1,0))</f>
        <v/>
      </c>
      <c r="Q243">
        <f>IF(K243="OK","-",IF(N243&lt;$B$7,"AMBIGUOUS","CONFIDENT"))</f>
        <v/>
      </c>
    </row>
    <row r="244">
      <c r="A244">
        <f>'Runs Z score'!A236</f>
        <v/>
      </c>
      <c r="B244">
        <f>'Runs Z score'!B236</f>
        <v/>
      </c>
      <c r="C244">
        <f>'Runs Z score'!C236</f>
        <v/>
      </c>
      <c r="D244">
        <f>'Runs Z score'!D236</f>
        <v/>
      </c>
      <c r="E244">
        <f>'Runs Z score'!E236</f>
        <v/>
      </c>
      <c r="F244">
        <f>'Runs Z score'!F236</f>
        <v/>
      </c>
      <c r="G244">
        <f>'Runs Z score'!G236</f>
        <v/>
      </c>
      <c r="H244">
        <f>VLOOKUP(C244,Recipes!$A$2:$N$4,10,FALSE())</f>
        <v/>
      </c>
      <c r="I244">
        <f>VLOOKUP(C244,Recipes!$A$2:$N$4,12,FALSE())</f>
        <v/>
      </c>
      <c r="J244">
        <f>IF(G244="","",H244-G244)</f>
        <v/>
      </c>
      <c r="K244">
        <f>IF(G244="","",IF(ABS(G244-H244)&lt;=$B$6*I244,"OK","NG"))</f>
        <v/>
      </c>
      <c r="L244">
        <f>IF(K244="","",IF(K244=D244,1,0))</f>
        <v/>
      </c>
      <c r="M244" t="inlineStr">
        <is>
          <t>N1</t>
        </is>
      </c>
      <c r="N244" s="15" t="n">
        <v>1</v>
      </c>
      <c r="O244" s="15" t="n">
        <v>0</v>
      </c>
      <c r="P244">
        <f>IF(M244="","",IF(M244=E244,1,0))</f>
        <v/>
      </c>
      <c r="Q244">
        <f>IF(K244="OK","-",IF(N244&lt;$B$7,"AMBIGUOUS","CONFIDENT"))</f>
        <v/>
      </c>
    </row>
    <row r="245">
      <c r="A245">
        <f>'Runs Z score'!A237</f>
        <v/>
      </c>
      <c r="B245">
        <f>'Runs Z score'!B237</f>
        <v/>
      </c>
      <c r="C245">
        <f>'Runs Z score'!C237</f>
        <v/>
      </c>
      <c r="D245">
        <f>'Runs Z score'!D237</f>
        <v/>
      </c>
      <c r="E245">
        <f>'Runs Z score'!E237</f>
        <v/>
      </c>
      <c r="F245">
        <f>'Runs Z score'!F237</f>
        <v/>
      </c>
      <c r="G245">
        <f>'Runs Z score'!G237</f>
        <v/>
      </c>
      <c r="H245">
        <f>VLOOKUP(C245,Recipes!$A$2:$N$4,10,FALSE())</f>
        <v/>
      </c>
      <c r="I245">
        <f>VLOOKUP(C245,Recipes!$A$2:$N$4,12,FALSE())</f>
        <v/>
      </c>
      <c r="J245">
        <f>IF(G245="","",H245-G245)</f>
        <v/>
      </c>
      <c r="K245">
        <f>IF(G245="","",IF(ABS(G245-H245)&lt;=$B$6*I245,"OK","NG"))</f>
        <v/>
      </c>
      <c r="L245">
        <f>IF(K245="","",IF(K245=D245,1,0))</f>
        <v/>
      </c>
      <c r="M245" t="inlineStr">
        <is>
          <t>N1</t>
        </is>
      </c>
      <c r="N245" s="15" t="n">
        <v>0.7297</v>
      </c>
      <c r="O245" s="15" t="n">
        <v>0.2703</v>
      </c>
      <c r="P245">
        <f>IF(M245="","",IF(M245=E245,1,0))</f>
        <v/>
      </c>
      <c r="Q245">
        <f>IF(K245="OK","-",IF(N245&lt;$B$7,"AMBIGUOUS","CONFIDENT"))</f>
        <v/>
      </c>
    </row>
    <row r="246">
      <c r="A246">
        <f>'Runs Z score'!A238</f>
        <v/>
      </c>
      <c r="B246">
        <f>'Runs Z score'!B238</f>
        <v/>
      </c>
      <c r="C246">
        <f>'Runs Z score'!C238</f>
        <v/>
      </c>
      <c r="D246">
        <f>'Runs Z score'!D238</f>
        <v/>
      </c>
      <c r="E246">
        <f>'Runs Z score'!E238</f>
        <v/>
      </c>
      <c r="F246">
        <f>'Runs Z score'!F238</f>
        <v/>
      </c>
      <c r="G246">
        <f>'Runs Z score'!G238</f>
        <v/>
      </c>
      <c r="H246">
        <f>VLOOKUP(C246,Recipes!$A$2:$N$4,10,FALSE())</f>
        <v/>
      </c>
      <c r="I246">
        <f>VLOOKUP(C246,Recipes!$A$2:$N$4,12,FALSE())</f>
        <v/>
      </c>
      <c r="J246">
        <f>IF(G246="","",H246-G246)</f>
        <v/>
      </c>
      <c r="K246">
        <f>IF(G246="","",IF(ABS(G246-H246)&lt;=$B$6*I246,"OK","NG"))</f>
        <v/>
      </c>
      <c r="L246">
        <f>IF(K246="","",IF(K246=D246,1,0))</f>
        <v/>
      </c>
      <c r="M246" t="inlineStr">
        <is>
          <t>N1</t>
        </is>
      </c>
      <c r="N246" s="15" t="n">
        <v>1</v>
      </c>
      <c r="O246" s="15" t="n">
        <v>0</v>
      </c>
      <c r="P246">
        <f>IF(M246="","",IF(M246=E246,1,0))</f>
        <v/>
      </c>
      <c r="Q246">
        <f>IF(K246="OK","-",IF(N246&lt;$B$7,"AMBIGUOUS","CONFIDENT"))</f>
        <v/>
      </c>
    </row>
    <row r="247">
      <c r="A247">
        <f>'Runs Z score'!A239</f>
        <v/>
      </c>
      <c r="B247">
        <f>'Runs Z score'!B239</f>
        <v/>
      </c>
      <c r="C247">
        <f>'Runs Z score'!C239</f>
        <v/>
      </c>
      <c r="D247">
        <f>'Runs Z score'!D239</f>
        <v/>
      </c>
      <c r="E247">
        <f>'Runs Z score'!E239</f>
        <v/>
      </c>
      <c r="F247">
        <f>'Runs Z score'!F239</f>
        <v/>
      </c>
      <c r="G247">
        <f>'Runs Z score'!G239</f>
        <v/>
      </c>
      <c r="H247">
        <f>VLOOKUP(C247,Recipes!$A$2:$N$4,10,FALSE())</f>
        <v/>
      </c>
      <c r="I247">
        <f>VLOOKUP(C247,Recipes!$A$2:$N$4,12,FALSE())</f>
        <v/>
      </c>
      <c r="J247">
        <f>IF(G247="","",H247-G247)</f>
        <v/>
      </c>
      <c r="K247">
        <f>IF(G247="","",IF(ABS(G247-H247)&lt;=$B$6*I247,"OK","NG"))</f>
        <v/>
      </c>
      <c r="L247">
        <f>IF(K247="","",IF(K247=D247,1,0))</f>
        <v/>
      </c>
      <c r="M247" t="inlineStr">
        <is>
          <t>N1</t>
        </is>
      </c>
      <c r="N247" s="15" t="n">
        <v>1</v>
      </c>
      <c r="O247" s="15" t="n">
        <v>0</v>
      </c>
      <c r="P247">
        <f>IF(M247="","",IF(M247=E247,1,0))</f>
        <v/>
      </c>
      <c r="Q247">
        <f>IF(K247="OK","-",IF(N247&lt;$B$7,"AMBIGUOUS","CONFIDENT"))</f>
        <v/>
      </c>
    </row>
    <row r="248">
      <c r="A248">
        <f>'Runs Z score'!A240</f>
        <v/>
      </c>
      <c r="B248">
        <f>'Runs Z score'!B240</f>
        <v/>
      </c>
      <c r="C248">
        <f>'Runs Z score'!C240</f>
        <v/>
      </c>
      <c r="D248">
        <f>'Runs Z score'!D240</f>
        <v/>
      </c>
      <c r="E248">
        <f>'Runs Z score'!E240</f>
        <v/>
      </c>
      <c r="F248">
        <f>'Runs Z score'!F240</f>
        <v/>
      </c>
      <c r="G248">
        <f>'Runs Z score'!G240</f>
        <v/>
      </c>
      <c r="H248">
        <f>VLOOKUP(C248,Recipes!$A$2:$N$4,10,FALSE())</f>
        <v/>
      </c>
      <c r="I248">
        <f>VLOOKUP(C248,Recipes!$A$2:$N$4,12,FALSE())</f>
        <v/>
      </c>
      <c r="J248">
        <f>IF(G248="","",H248-G248)</f>
        <v/>
      </c>
      <c r="K248">
        <f>IF(G248="","",IF(ABS(G248-H248)&lt;=$B$6*I248,"OK","NG"))</f>
        <v/>
      </c>
      <c r="L248">
        <f>IF(K248="","",IF(K248=D248,1,0))</f>
        <v/>
      </c>
      <c r="M248" t="inlineStr">
        <is>
          <t>N1</t>
        </is>
      </c>
      <c r="N248" s="15" t="n">
        <v>1</v>
      </c>
      <c r="O248" s="15" t="n">
        <v>0</v>
      </c>
      <c r="P248">
        <f>IF(M248="","",IF(M248=E248,1,0))</f>
        <v/>
      </c>
      <c r="Q248">
        <f>IF(K248="OK","-",IF(N248&lt;$B$7,"AMBIGUOUS","CONFIDENT"))</f>
        <v/>
      </c>
    </row>
    <row r="249">
      <c r="A249">
        <f>'Runs Z score'!A241</f>
        <v/>
      </c>
      <c r="B249">
        <f>'Runs Z score'!B241</f>
        <v/>
      </c>
      <c r="C249">
        <f>'Runs Z score'!C241</f>
        <v/>
      </c>
      <c r="D249">
        <f>'Runs Z score'!D241</f>
        <v/>
      </c>
      <c r="E249">
        <f>'Runs Z score'!E241</f>
        <v/>
      </c>
      <c r="F249">
        <f>'Runs Z score'!F241</f>
        <v/>
      </c>
      <c r="G249">
        <f>'Runs Z score'!G241</f>
        <v/>
      </c>
      <c r="H249">
        <f>VLOOKUP(C249,Recipes!$A$2:$N$4,10,FALSE())</f>
        <v/>
      </c>
      <c r="I249">
        <f>VLOOKUP(C249,Recipes!$A$2:$N$4,12,FALSE())</f>
        <v/>
      </c>
      <c r="J249">
        <f>IF(G249="","",H249-G249)</f>
        <v/>
      </c>
      <c r="K249">
        <f>IF(G249="","",IF(ABS(G249-H249)&lt;=$B$6*I249,"OK","NG"))</f>
        <v/>
      </c>
      <c r="L249">
        <f>IF(K249="","",IF(K249=D249,1,0))</f>
        <v/>
      </c>
      <c r="M249" t="inlineStr">
        <is>
          <t>N1</t>
        </is>
      </c>
      <c r="N249" s="15" t="n">
        <v>1</v>
      </c>
      <c r="O249" s="15" t="n">
        <v>0</v>
      </c>
      <c r="P249">
        <f>IF(M249="","",IF(M249=E249,1,0))</f>
        <v/>
      </c>
      <c r="Q249">
        <f>IF(K249="OK","-",IF(N249&lt;$B$7,"AMBIGUOUS","CONFIDENT"))</f>
        <v/>
      </c>
    </row>
    <row r="250">
      <c r="A250">
        <f>'Runs Z score'!A242</f>
        <v/>
      </c>
      <c r="B250">
        <f>'Runs Z score'!B242</f>
        <v/>
      </c>
      <c r="C250">
        <f>'Runs Z score'!C242</f>
        <v/>
      </c>
      <c r="D250">
        <f>'Runs Z score'!D242</f>
        <v/>
      </c>
      <c r="E250">
        <f>'Runs Z score'!E242</f>
        <v/>
      </c>
      <c r="F250">
        <f>'Runs Z score'!F242</f>
        <v/>
      </c>
      <c r="G250">
        <f>'Runs Z score'!G242</f>
        <v/>
      </c>
      <c r="H250">
        <f>VLOOKUP(C250,Recipes!$A$2:$N$4,10,FALSE())</f>
        <v/>
      </c>
      <c r="I250">
        <f>VLOOKUP(C250,Recipes!$A$2:$N$4,12,FALSE())</f>
        <v/>
      </c>
      <c r="J250">
        <f>IF(G250="","",H250-G250)</f>
        <v/>
      </c>
      <c r="K250">
        <f>IF(G250="","",IF(ABS(G250-H250)&lt;=$B$6*I250,"OK","NG"))</f>
        <v/>
      </c>
      <c r="L250">
        <f>IF(K250="","",IF(K250=D250,1,0))</f>
        <v/>
      </c>
      <c r="M250" t="inlineStr">
        <is>
          <t>N1</t>
        </is>
      </c>
      <c r="N250" s="15" t="n">
        <v>1</v>
      </c>
      <c r="O250" s="15" t="n">
        <v>0</v>
      </c>
      <c r="P250">
        <f>IF(M250="","",IF(M250=E250,1,0))</f>
        <v/>
      </c>
      <c r="Q250">
        <f>IF(K250="OK","-",IF(N250&lt;$B$7,"AMBIGUOUS","CONFIDENT"))</f>
        <v/>
      </c>
    </row>
    <row r="251">
      <c r="A251">
        <f>'Runs Z score'!A243</f>
        <v/>
      </c>
      <c r="B251">
        <f>'Runs Z score'!B243</f>
        <v/>
      </c>
      <c r="C251">
        <f>'Runs Z score'!C243</f>
        <v/>
      </c>
      <c r="D251">
        <f>'Runs Z score'!D243</f>
        <v/>
      </c>
      <c r="E251">
        <f>'Runs Z score'!E243</f>
        <v/>
      </c>
      <c r="F251">
        <f>'Runs Z score'!F243</f>
        <v/>
      </c>
      <c r="G251">
        <f>'Runs Z score'!G243</f>
        <v/>
      </c>
      <c r="H251">
        <f>VLOOKUP(C251,Recipes!$A$2:$N$4,10,FALSE())</f>
        <v/>
      </c>
      <c r="I251">
        <f>VLOOKUP(C251,Recipes!$A$2:$N$4,12,FALSE())</f>
        <v/>
      </c>
      <c r="J251">
        <f>IF(G251="","",H251-G251)</f>
        <v/>
      </c>
      <c r="K251">
        <f>IF(G251="","",IF(ABS(G251-H251)&lt;=$B$6*I251,"OK","NG"))</f>
        <v/>
      </c>
      <c r="L251">
        <f>IF(K251="","",IF(K251=D251,1,0))</f>
        <v/>
      </c>
      <c r="M251" t="inlineStr">
        <is>
          <t>S2</t>
        </is>
      </c>
      <c r="N251" s="15" t="n">
        <v>1</v>
      </c>
      <c r="O251" s="15" t="n">
        <v>0</v>
      </c>
      <c r="P251">
        <f>IF(M251="","",IF(M251=E251,1,0))</f>
        <v/>
      </c>
      <c r="Q251">
        <f>IF(K251="OK","-",IF(N251&lt;$B$7,"AMBIGUOUS","CONFIDENT"))</f>
        <v/>
      </c>
    </row>
    <row r="252">
      <c r="A252">
        <f>'Runs Z score'!A244</f>
        <v/>
      </c>
      <c r="B252">
        <f>'Runs Z score'!B244</f>
        <v/>
      </c>
      <c r="C252">
        <f>'Runs Z score'!C244</f>
        <v/>
      </c>
      <c r="D252">
        <f>'Runs Z score'!D244</f>
        <v/>
      </c>
      <c r="E252">
        <f>'Runs Z score'!E244</f>
        <v/>
      </c>
      <c r="F252">
        <f>'Runs Z score'!F244</f>
        <v/>
      </c>
      <c r="G252">
        <f>'Runs Z score'!G244</f>
        <v/>
      </c>
      <c r="H252">
        <f>VLOOKUP(C252,Recipes!$A$2:$N$4,10,FALSE())</f>
        <v/>
      </c>
      <c r="I252">
        <f>VLOOKUP(C252,Recipes!$A$2:$N$4,12,FALSE())</f>
        <v/>
      </c>
      <c r="J252">
        <f>IF(G252="","",H252-G252)</f>
        <v/>
      </c>
      <c r="K252">
        <f>IF(G252="","",IF(ABS(G252-H252)&lt;=$B$6*I252,"OK","NG"))</f>
        <v/>
      </c>
      <c r="L252">
        <f>IF(K252="","",IF(K252=D252,1,0))</f>
        <v/>
      </c>
      <c r="M252" t="inlineStr">
        <is>
          <t>S2</t>
        </is>
      </c>
      <c r="N252" s="15" t="n">
        <v>1</v>
      </c>
      <c r="O252" s="15" t="n">
        <v>0</v>
      </c>
      <c r="P252">
        <f>IF(M252="","",IF(M252=E252,1,0))</f>
        <v/>
      </c>
      <c r="Q252">
        <f>IF(K252="OK","-",IF(N252&lt;$B$7,"AMBIGUOUS","CONFIDENT"))</f>
        <v/>
      </c>
    </row>
    <row r="253">
      <c r="A253">
        <f>'Runs Z score'!A245</f>
        <v/>
      </c>
      <c r="B253">
        <f>'Runs Z score'!B245</f>
        <v/>
      </c>
      <c r="C253">
        <f>'Runs Z score'!C245</f>
        <v/>
      </c>
      <c r="D253">
        <f>'Runs Z score'!D245</f>
        <v/>
      </c>
      <c r="E253">
        <f>'Runs Z score'!E245</f>
        <v/>
      </c>
      <c r="F253">
        <f>'Runs Z score'!F245</f>
        <v/>
      </c>
      <c r="G253">
        <f>'Runs Z score'!G245</f>
        <v/>
      </c>
      <c r="H253">
        <f>VLOOKUP(C253,Recipes!$A$2:$N$4,10,FALSE())</f>
        <v/>
      </c>
      <c r="I253">
        <f>VLOOKUP(C253,Recipes!$A$2:$N$4,12,FALSE())</f>
        <v/>
      </c>
      <c r="J253">
        <f>IF(G253="","",H253-G253)</f>
        <v/>
      </c>
      <c r="K253">
        <f>IF(G253="","",IF(ABS(G253-H253)&lt;=$B$6*I253,"OK","NG"))</f>
        <v/>
      </c>
      <c r="L253">
        <f>IF(K253="","",IF(K253=D253,1,0))</f>
        <v/>
      </c>
      <c r="M253" t="inlineStr">
        <is>
          <t>S2</t>
        </is>
      </c>
      <c r="N253" s="15" t="n">
        <v>1</v>
      </c>
      <c r="O253" s="15" t="n">
        <v>0</v>
      </c>
      <c r="P253">
        <f>IF(M253="","",IF(M253=E253,1,0))</f>
        <v/>
      </c>
      <c r="Q253">
        <f>IF(K253="OK","-",IF(N253&lt;$B$7,"AMBIGUOUS","CONFIDENT"))</f>
        <v/>
      </c>
    </row>
    <row r="254">
      <c r="A254">
        <f>'Runs Z score'!A246</f>
        <v/>
      </c>
      <c r="B254">
        <f>'Runs Z score'!B246</f>
        <v/>
      </c>
      <c r="C254">
        <f>'Runs Z score'!C246</f>
        <v/>
      </c>
      <c r="D254">
        <f>'Runs Z score'!D246</f>
        <v/>
      </c>
      <c r="E254">
        <f>'Runs Z score'!E246</f>
        <v/>
      </c>
      <c r="F254">
        <f>'Runs Z score'!F246</f>
        <v/>
      </c>
      <c r="G254">
        <f>'Runs Z score'!G246</f>
        <v/>
      </c>
      <c r="H254">
        <f>VLOOKUP(C254,Recipes!$A$2:$N$4,10,FALSE())</f>
        <v/>
      </c>
      <c r="I254">
        <f>VLOOKUP(C254,Recipes!$A$2:$N$4,12,FALSE())</f>
        <v/>
      </c>
      <c r="J254">
        <f>IF(G254="","",H254-G254)</f>
        <v/>
      </c>
      <c r="K254">
        <f>IF(G254="","",IF(ABS(G254-H254)&lt;=$B$6*I254,"OK","NG"))</f>
        <v/>
      </c>
      <c r="L254">
        <f>IF(K254="","",IF(K254=D254,1,0))</f>
        <v/>
      </c>
      <c r="M254" t="inlineStr">
        <is>
          <t>S2</t>
        </is>
      </c>
      <c r="N254" s="15" t="n">
        <v>1</v>
      </c>
      <c r="O254" s="15" t="n">
        <v>0</v>
      </c>
      <c r="P254">
        <f>IF(M254="","",IF(M254=E254,1,0))</f>
        <v/>
      </c>
      <c r="Q254">
        <f>IF(K254="OK","-",IF(N254&lt;$B$7,"AMBIGUOUS","CONFIDENT"))</f>
        <v/>
      </c>
    </row>
    <row r="255">
      <c r="A255">
        <f>'Runs Z score'!A247</f>
        <v/>
      </c>
      <c r="B255">
        <f>'Runs Z score'!B247</f>
        <v/>
      </c>
      <c r="C255">
        <f>'Runs Z score'!C247</f>
        <v/>
      </c>
      <c r="D255">
        <f>'Runs Z score'!D247</f>
        <v/>
      </c>
      <c r="E255">
        <f>'Runs Z score'!E247</f>
        <v/>
      </c>
      <c r="F255">
        <f>'Runs Z score'!F247</f>
        <v/>
      </c>
      <c r="G255">
        <f>'Runs Z score'!G247</f>
        <v/>
      </c>
      <c r="H255">
        <f>VLOOKUP(C255,Recipes!$A$2:$N$4,10,FALSE())</f>
        <v/>
      </c>
      <c r="I255">
        <f>VLOOKUP(C255,Recipes!$A$2:$N$4,12,FALSE())</f>
        <v/>
      </c>
      <c r="J255">
        <f>IF(G255="","",H255-G255)</f>
        <v/>
      </c>
      <c r="K255">
        <f>IF(G255="","",IF(ABS(G255-H255)&lt;=$B$6*I255,"OK","NG"))</f>
        <v/>
      </c>
      <c r="L255">
        <f>IF(K255="","",IF(K255=D255,1,0))</f>
        <v/>
      </c>
      <c r="M255" t="inlineStr">
        <is>
          <t>S2</t>
        </is>
      </c>
      <c r="N255" s="15" t="n">
        <v>1</v>
      </c>
      <c r="O255" s="15" t="n">
        <v>0</v>
      </c>
      <c r="P255">
        <f>IF(M255="","",IF(M255=E255,1,0))</f>
        <v/>
      </c>
      <c r="Q255">
        <f>IF(K255="OK","-",IF(N255&lt;$B$7,"AMBIGUOUS","CONFIDENT"))</f>
        <v/>
      </c>
    </row>
    <row r="256">
      <c r="A256">
        <f>'Runs Z score'!A248</f>
        <v/>
      </c>
      <c r="B256">
        <f>'Runs Z score'!B248</f>
        <v/>
      </c>
      <c r="C256">
        <f>'Runs Z score'!C248</f>
        <v/>
      </c>
      <c r="D256">
        <f>'Runs Z score'!D248</f>
        <v/>
      </c>
      <c r="E256">
        <f>'Runs Z score'!E248</f>
        <v/>
      </c>
      <c r="F256">
        <f>'Runs Z score'!F248</f>
        <v/>
      </c>
      <c r="G256">
        <f>'Runs Z score'!G248</f>
        <v/>
      </c>
      <c r="H256">
        <f>VLOOKUP(C256,Recipes!$A$2:$N$4,10,FALSE())</f>
        <v/>
      </c>
      <c r="I256">
        <f>VLOOKUP(C256,Recipes!$A$2:$N$4,12,FALSE())</f>
        <v/>
      </c>
      <c r="J256">
        <f>IF(G256="","",H256-G256)</f>
        <v/>
      </c>
      <c r="K256">
        <f>IF(G256="","",IF(ABS(G256-H256)&lt;=$B$6*I256,"OK","NG"))</f>
        <v/>
      </c>
      <c r="L256">
        <f>IF(K256="","",IF(K256=D256,1,0))</f>
        <v/>
      </c>
      <c r="M256" t="inlineStr">
        <is>
          <t>S2</t>
        </is>
      </c>
      <c r="N256" s="15" t="n">
        <v>1</v>
      </c>
      <c r="O256" s="15" t="n">
        <v>0</v>
      </c>
      <c r="P256">
        <f>IF(M256="","",IF(M256=E256,1,0))</f>
        <v/>
      </c>
      <c r="Q256">
        <f>IF(K256="OK","-",IF(N256&lt;$B$7,"AMBIGUOUS","CONFIDENT"))</f>
        <v/>
      </c>
    </row>
    <row r="257">
      <c r="A257">
        <f>'Runs Z score'!A249</f>
        <v/>
      </c>
      <c r="B257">
        <f>'Runs Z score'!B249</f>
        <v/>
      </c>
      <c r="C257">
        <f>'Runs Z score'!C249</f>
        <v/>
      </c>
      <c r="D257">
        <f>'Runs Z score'!D249</f>
        <v/>
      </c>
      <c r="E257">
        <f>'Runs Z score'!E249</f>
        <v/>
      </c>
      <c r="F257">
        <f>'Runs Z score'!F249</f>
        <v/>
      </c>
      <c r="G257">
        <f>'Runs Z score'!G249</f>
        <v/>
      </c>
      <c r="H257">
        <f>VLOOKUP(C257,Recipes!$A$2:$N$4,10,FALSE())</f>
        <v/>
      </c>
      <c r="I257">
        <f>VLOOKUP(C257,Recipes!$A$2:$N$4,12,FALSE())</f>
        <v/>
      </c>
      <c r="J257">
        <f>IF(G257="","",H257-G257)</f>
        <v/>
      </c>
      <c r="K257">
        <f>IF(G257="","",IF(ABS(G257-H257)&lt;=$B$6*I257,"OK","NG"))</f>
        <v/>
      </c>
      <c r="L257">
        <f>IF(K257="","",IF(K257=D257,1,0))</f>
        <v/>
      </c>
      <c r="M257" t="inlineStr">
        <is>
          <t>S2</t>
        </is>
      </c>
      <c r="N257" s="15" t="n">
        <v>1</v>
      </c>
      <c r="O257" s="15" t="n">
        <v>0</v>
      </c>
      <c r="P257">
        <f>IF(M257="","",IF(M257=E257,1,0))</f>
        <v/>
      </c>
      <c r="Q257">
        <f>IF(K257="OK","-",IF(N257&lt;$B$7,"AMBIGUOUS","CONFIDENT"))</f>
        <v/>
      </c>
    </row>
    <row r="258">
      <c r="A258">
        <f>'Runs Z score'!A250</f>
        <v/>
      </c>
      <c r="B258">
        <f>'Runs Z score'!B250</f>
        <v/>
      </c>
      <c r="C258">
        <f>'Runs Z score'!C250</f>
        <v/>
      </c>
      <c r="D258">
        <f>'Runs Z score'!D250</f>
        <v/>
      </c>
      <c r="E258">
        <f>'Runs Z score'!E250</f>
        <v/>
      </c>
      <c r="F258">
        <f>'Runs Z score'!F250</f>
        <v/>
      </c>
      <c r="G258">
        <f>'Runs Z score'!G250</f>
        <v/>
      </c>
      <c r="H258">
        <f>VLOOKUP(C258,Recipes!$A$2:$N$4,10,FALSE())</f>
        <v/>
      </c>
      <c r="I258">
        <f>VLOOKUP(C258,Recipes!$A$2:$N$4,12,FALSE())</f>
        <v/>
      </c>
      <c r="J258">
        <f>IF(G258="","",H258-G258)</f>
        <v/>
      </c>
      <c r="K258">
        <f>IF(G258="","",IF(ABS(G258-H258)&lt;=$B$6*I258,"OK","NG"))</f>
        <v/>
      </c>
      <c r="L258">
        <f>IF(K258="","",IF(K258=D258,1,0))</f>
        <v/>
      </c>
      <c r="M258" t="inlineStr">
        <is>
          <t>S2</t>
        </is>
      </c>
      <c r="N258" s="15" t="n">
        <v>1</v>
      </c>
      <c r="O258" s="15" t="n">
        <v>0</v>
      </c>
      <c r="P258">
        <f>IF(M258="","",IF(M258=E258,1,0))</f>
        <v/>
      </c>
      <c r="Q258">
        <f>IF(K258="OK","-",IF(N258&lt;$B$7,"AMBIGUOUS","CONFIDENT"))</f>
        <v/>
      </c>
    </row>
    <row r="259">
      <c r="A259">
        <f>'Runs Z score'!A251</f>
        <v/>
      </c>
      <c r="B259">
        <f>'Runs Z score'!B251</f>
        <v/>
      </c>
      <c r="C259">
        <f>'Runs Z score'!C251</f>
        <v/>
      </c>
      <c r="D259">
        <f>'Runs Z score'!D251</f>
        <v/>
      </c>
      <c r="E259">
        <f>'Runs Z score'!E251</f>
        <v/>
      </c>
      <c r="F259">
        <f>'Runs Z score'!F251</f>
        <v/>
      </c>
      <c r="G259">
        <f>'Runs Z score'!G251</f>
        <v/>
      </c>
      <c r="H259">
        <f>VLOOKUP(C259,Recipes!$A$2:$N$4,10,FALSE())</f>
        <v/>
      </c>
      <c r="I259">
        <f>VLOOKUP(C259,Recipes!$A$2:$N$4,12,FALSE())</f>
        <v/>
      </c>
      <c r="J259">
        <f>IF(G259="","",H259-G259)</f>
        <v/>
      </c>
      <c r="K259">
        <f>IF(G259="","",IF(ABS(G259-H259)&lt;=$B$6*I259,"OK","NG"))</f>
        <v/>
      </c>
      <c r="L259">
        <f>IF(K259="","",IF(K259=D259,1,0))</f>
        <v/>
      </c>
      <c r="M259" t="inlineStr">
        <is>
          <t>S2</t>
        </is>
      </c>
      <c r="N259" s="15" t="n">
        <v>1</v>
      </c>
      <c r="O259" s="15" t="n">
        <v>0</v>
      </c>
      <c r="P259">
        <f>IF(M259="","",IF(M259=E259,1,0))</f>
        <v/>
      </c>
      <c r="Q259">
        <f>IF(K259="OK","-",IF(N259&lt;$B$7,"AMBIGUOUS","CONFIDENT"))</f>
        <v/>
      </c>
    </row>
    <row r="260">
      <c r="A260">
        <f>'Runs Z score'!A252</f>
        <v/>
      </c>
      <c r="B260">
        <f>'Runs Z score'!B252</f>
        <v/>
      </c>
      <c r="C260">
        <f>'Runs Z score'!C252</f>
        <v/>
      </c>
      <c r="D260">
        <f>'Runs Z score'!D252</f>
        <v/>
      </c>
      <c r="E260">
        <f>'Runs Z score'!E252</f>
        <v/>
      </c>
      <c r="F260">
        <f>'Runs Z score'!F252</f>
        <v/>
      </c>
      <c r="G260">
        <f>'Runs Z score'!G252</f>
        <v/>
      </c>
      <c r="H260">
        <f>VLOOKUP(C260,Recipes!$A$2:$N$4,10,FALSE())</f>
        <v/>
      </c>
      <c r="I260">
        <f>VLOOKUP(C260,Recipes!$A$2:$N$4,12,FALSE())</f>
        <v/>
      </c>
      <c r="J260">
        <f>IF(G260="","",H260-G260)</f>
        <v/>
      </c>
      <c r="K260">
        <f>IF(G260="","",IF(ABS(G260-H260)&lt;=$B$6*I260,"OK","NG"))</f>
        <v/>
      </c>
      <c r="L260">
        <f>IF(K260="","",IF(K260=D260,1,0))</f>
        <v/>
      </c>
      <c r="M260" t="inlineStr">
        <is>
          <t>S2</t>
        </is>
      </c>
      <c r="N260" s="15" t="n">
        <v>1</v>
      </c>
      <c r="O260" s="15" t="n">
        <v>0</v>
      </c>
      <c r="P260">
        <f>IF(M260="","",IF(M260=E260,1,0))</f>
        <v/>
      </c>
      <c r="Q260">
        <f>IF(K260="OK","-",IF(N260&lt;$B$7,"AMBIGUOUS","CONFIDENT"))</f>
        <v/>
      </c>
    </row>
    <row r="261">
      <c r="A261">
        <f>'Runs Z score'!A253</f>
        <v/>
      </c>
      <c r="B261">
        <f>'Runs Z score'!B253</f>
        <v/>
      </c>
      <c r="C261">
        <f>'Runs Z score'!C253</f>
        <v/>
      </c>
      <c r="D261">
        <f>'Runs Z score'!D253</f>
        <v/>
      </c>
      <c r="E261">
        <f>'Runs Z score'!E253</f>
        <v/>
      </c>
      <c r="F261">
        <f>'Runs Z score'!F253</f>
        <v/>
      </c>
      <c r="G261">
        <f>'Runs Z score'!G253</f>
        <v/>
      </c>
      <c r="H261">
        <f>VLOOKUP(C261,Recipes!$A$2:$N$4,10,FALSE())</f>
        <v/>
      </c>
      <c r="I261">
        <f>VLOOKUP(C261,Recipes!$A$2:$N$4,12,FALSE())</f>
        <v/>
      </c>
      <c r="J261">
        <f>IF(G261="","",H261-G261)</f>
        <v/>
      </c>
      <c r="K261">
        <f>IF(G261="","",IF(ABS(G261-H261)&lt;=$B$6*I261,"OK","NG"))</f>
        <v/>
      </c>
      <c r="L261">
        <f>IF(K261="","",IF(K261=D261,1,0))</f>
        <v/>
      </c>
      <c r="M261" t="inlineStr">
        <is>
          <t>S2</t>
        </is>
      </c>
      <c r="N261" s="15" t="n">
        <v>1</v>
      </c>
      <c r="O261" s="15" t="n">
        <v>0</v>
      </c>
      <c r="P261">
        <f>IF(M261="","",IF(M261=E261,1,0))</f>
        <v/>
      </c>
      <c r="Q261">
        <f>IF(K261="OK","-",IF(N261&lt;$B$7,"AMBIGUOUS","CONFIDENT"))</f>
        <v/>
      </c>
    </row>
    <row r="262">
      <c r="A262">
        <f>'Runs Z score'!A254</f>
        <v/>
      </c>
      <c r="B262">
        <f>'Runs Z score'!B254</f>
        <v/>
      </c>
      <c r="C262">
        <f>'Runs Z score'!C254</f>
        <v/>
      </c>
      <c r="D262">
        <f>'Runs Z score'!D254</f>
        <v/>
      </c>
      <c r="E262">
        <f>'Runs Z score'!E254</f>
        <v/>
      </c>
      <c r="F262">
        <f>'Runs Z score'!F254</f>
        <v/>
      </c>
      <c r="G262">
        <f>'Runs Z score'!G254</f>
        <v/>
      </c>
      <c r="H262">
        <f>VLOOKUP(C262,Recipes!$A$2:$N$4,10,FALSE())</f>
        <v/>
      </c>
      <c r="I262">
        <f>VLOOKUP(C262,Recipes!$A$2:$N$4,12,FALSE())</f>
        <v/>
      </c>
      <c r="J262">
        <f>IF(G262="","",H262-G262)</f>
        <v/>
      </c>
      <c r="K262">
        <f>IF(G262="","",IF(ABS(G262-H262)&lt;=$B$6*I262,"OK","NG"))</f>
        <v/>
      </c>
      <c r="L262">
        <f>IF(K262="","",IF(K262=D262,1,0))</f>
        <v/>
      </c>
      <c r="M262" t="inlineStr">
        <is>
          <t>S2</t>
        </is>
      </c>
      <c r="N262" s="15" t="n">
        <v>1</v>
      </c>
      <c r="O262" s="15" t="n">
        <v>0</v>
      </c>
      <c r="P262">
        <f>IF(M262="","",IF(M262=E262,1,0))</f>
        <v/>
      </c>
      <c r="Q262">
        <f>IF(K262="OK","-",IF(N262&lt;$B$7,"AMBIGUOUS","CONFIDENT"))</f>
        <v/>
      </c>
    </row>
    <row r="263">
      <c r="A263">
        <f>'Runs Z score'!A255</f>
        <v/>
      </c>
      <c r="B263">
        <f>'Runs Z score'!B255</f>
        <v/>
      </c>
      <c r="C263">
        <f>'Runs Z score'!C255</f>
        <v/>
      </c>
      <c r="D263">
        <f>'Runs Z score'!D255</f>
        <v/>
      </c>
      <c r="E263">
        <f>'Runs Z score'!E255</f>
        <v/>
      </c>
      <c r="F263">
        <f>'Runs Z score'!F255</f>
        <v/>
      </c>
      <c r="G263">
        <f>'Runs Z score'!G255</f>
        <v/>
      </c>
      <c r="H263">
        <f>VLOOKUP(C263,Recipes!$A$2:$N$4,10,FALSE())</f>
        <v/>
      </c>
      <c r="I263">
        <f>VLOOKUP(C263,Recipes!$A$2:$N$4,12,FALSE())</f>
        <v/>
      </c>
      <c r="J263">
        <f>IF(G263="","",H263-G263)</f>
        <v/>
      </c>
      <c r="K263">
        <f>IF(G263="","",IF(ABS(G263-H263)&lt;=$B$6*I263,"OK","NG"))</f>
        <v/>
      </c>
      <c r="L263">
        <f>IF(K263="","",IF(K263=D263,1,0))</f>
        <v/>
      </c>
      <c r="M263" t="inlineStr">
        <is>
          <t>S2</t>
        </is>
      </c>
      <c r="N263" s="15" t="n">
        <v>1</v>
      </c>
      <c r="O263" s="15" t="n">
        <v>0</v>
      </c>
      <c r="P263">
        <f>IF(M263="","",IF(M263=E263,1,0))</f>
        <v/>
      </c>
      <c r="Q263">
        <f>IF(K263="OK","-",IF(N263&lt;$B$7,"AMBIGUOUS","CONFIDENT"))</f>
        <v/>
      </c>
    </row>
    <row r="264">
      <c r="A264">
        <f>'Runs Z score'!A256</f>
        <v/>
      </c>
      <c r="B264">
        <f>'Runs Z score'!B256</f>
        <v/>
      </c>
      <c r="C264">
        <f>'Runs Z score'!C256</f>
        <v/>
      </c>
      <c r="D264">
        <f>'Runs Z score'!D256</f>
        <v/>
      </c>
      <c r="E264">
        <f>'Runs Z score'!E256</f>
        <v/>
      </c>
      <c r="F264">
        <f>'Runs Z score'!F256</f>
        <v/>
      </c>
      <c r="G264">
        <f>'Runs Z score'!G256</f>
        <v/>
      </c>
      <c r="H264">
        <f>VLOOKUP(C264,Recipes!$A$2:$N$4,10,FALSE())</f>
        <v/>
      </c>
      <c r="I264">
        <f>VLOOKUP(C264,Recipes!$A$2:$N$4,12,FALSE())</f>
        <v/>
      </c>
      <c r="J264">
        <f>IF(G264="","",H264-G264)</f>
        <v/>
      </c>
      <c r="K264">
        <f>IF(G264="","",IF(ABS(G264-H264)&lt;=$B$6*I264,"OK","NG"))</f>
        <v/>
      </c>
      <c r="L264">
        <f>IF(K264="","",IF(K264=D264,1,0))</f>
        <v/>
      </c>
      <c r="M264" t="inlineStr">
        <is>
          <t>S2</t>
        </is>
      </c>
      <c r="N264" s="15" t="n">
        <v>1</v>
      </c>
      <c r="O264" s="15" t="n">
        <v>0</v>
      </c>
      <c r="P264">
        <f>IF(M264="","",IF(M264=E264,1,0))</f>
        <v/>
      </c>
      <c r="Q264">
        <f>IF(K264="OK","-",IF(N264&lt;$B$7,"AMBIGUOUS","CONFIDENT"))</f>
        <v/>
      </c>
    </row>
    <row r="265">
      <c r="A265">
        <f>'Runs Z score'!A257</f>
        <v/>
      </c>
      <c r="B265">
        <f>'Runs Z score'!B257</f>
        <v/>
      </c>
      <c r="C265">
        <f>'Runs Z score'!C257</f>
        <v/>
      </c>
      <c r="D265">
        <f>'Runs Z score'!D257</f>
        <v/>
      </c>
      <c r="E265">
        <f>'Runs Z score'!E257</f>
        <v/>
      </c>
      <c r="F265">
        <f>'Runs Z score'!F257</f>
        <v/>
      </c>
      <c r="G265">
        <f>'Runs Z score'!G257</f>
        <v/>
      </c>
      <c r="H265">
        <f>VLOOKUP(C265,Recipes!$A$2:$N$4,10,FALSE())</f>
        <v/>
      </c>
      <c r="I265">
        <f>VLOOKUP(C265,Recipes!$A$2:$N$4,12,FALSE())</f>
        <v/>
      </c>
      <c r="J265">
        <f>IF(G265="","",H265-G265)</f>
        <v/>
      </c>
      <c r="K265">
        <f>IF(G265="","",IF(ABS(G265-H265)&lt;=$B$6*I265,"OK","NG"))</f>
        <v/>
      </c>
      <c r="L265">
        <f>IF(K265="","",IF(K265=D265,1,0))</f>
        <v/>
      </c>
      <c r="M265" t="inlineStr">
        <is>
          <t>S2</t>
        </is>
      </c>
      <c r="N265" s="15" t="n">
        <v>1</v>
      </c>
      <c r="O265" s="15" t="n">
        <v>0</v>
      </c>
      <c r="P265">
        <f>IF(M265="","",IF(M265=E265,1,0))</f>
        <v/>
      </c>
      <c r="Q265">
        <f>IF(K265="OK","-",IF(N265&lt;$B$7,"AMBIGUOUS","CONFIDENT"))</f>
        <v/>
      </c>
    </row>
    <row r="266">
      <c r="A266">
        <f>'Runs Z score'!A258</f>
        <v/>
      </c>
      <c r="B266">
        <f>'Runs Z score'!B258</f>
        <v/>
      </c>
      <c r="C266">
        <f>'Runs Z score'!C258</f>
        <v/>
      </c>
      <c r="D266">
        <f>'Runs Z score'!D258</f>
        <v/>
      </c>
      <c r="E266">
        <f>'Runs Z score'!E258</f>
        <v/>
      </c>
      <c r="F266">
        <f>'Runs Z score'!F258</f>
        <v/>
      </c>
      <c r="G266">
        <f>'Runs Z score'!G258</f>
        <v/>
      </c>
      <c r="H266">
        <f>VLOOKUP(C266,Recipes!$A$2:$N$4,10,FALSE())</f>
        <v/>
      </c>
      <c r="I266">
        <f>VLOOKUP(C266,Recipes!$A$2:$N$4,12,FALSE())</f>
        <v/>
      </c>
      <c r="J266">
        <f>IF(G266="","",H266-G266)</f>
        <v/>
      </c>
      <c r="K266">
        <f>IF(G266="","",IF(ABS(G266-H266)&lt;=$B$6*I266,"OK","NG"))</f>
        <v/>
      </c>
      <c r="L266">
        <f>IF(K266="","",IF(K266=D266,1,0))</f>
        <v/>
      </c>
      <c r="M266" t="inlineStr">
        <is>
          <t>S2</t>
        </is>
      </c>
      <c r="N266" s="15" t="n">
        <v>1</v>
      </c>
      <c r="O266" s="15" t="n">
        <v>0</v>
      </c>
      <c r="P266">
        <f>IF(M266="","",IF(M266=E266,1,0))</f>
        <v/>
      </c>
      <c r="Q266">
        <f>IF(K266="OK","-",IF(N266&lt;$B$7,"AMBIGUOUS","CONFIDENT"))</f>
        <v/>
      </c>
    </row>
    <row r="267">
      <c r="A267">
        <f>'Runs Z score'!A259</f>
        <v/>
      </c>
      <c r="B267">
        <f>'Runs Z score'!B259</f>
        <v/>
      </c>
      <c r="C267">
        <f>'Runs Z score'!C259</f>
        <v/>
      </c>
      <c r="D267">
        <f>'Runs Z score'!D259</f>
        <v/>
      </c>
      <c r="E267">
        <f>'Runs Z score'!E259</f>
        <v/>
      </c>
      <c r="F267">
        <f>'Runs Z score'!F259</f>
        <v/>
      </c>
      <c r="G267">
        <f>'Runs Z score'!G259</f>
        <v/>
      </c>
      <c r="H267">
        <f>VLOOKUP(C267,Recipes!$A$2:$N$4,10,FALSE())</f>
        <v/>
      </c>
      <c r="I267">
        <f>VLOOKUP(C267,Recipes!$A$2:$N$4,12,FALSE())</f>
        <v/>
      </c>
      <c r="J267">
        <f>IF(G267="","",H267-G267)</f>
        <v/>
      </c>
      <c r="K267">
        <f>IF(G267="","",IF(ABS(G267-H267)&lt;=$B$6*I267,"OK","NG"))</f>
        <v/>
      </c>
      <c r="L267">
        <f>IF(K267="","",IF(K267=D267,1,0))</f>
        <v/>
      </c>
      <c r="M267" t="inlineStr">
        <is>
          <t>S2</t>
        </is>
      </c>
      <c r="N267" s="15" t="n">
        <v>1</v>
      </c>
      <c r="O267" s="15" t="n">
        <v>0</v>
      </c>
      <c r="P267">
        <f>IF(M267="","",IF(M267=E267,1,0))</f>
        <v/>
      </c>
      <c r="Q267">
        <f>IF(K267="OK","-",IF(N267&lt;$B$7,"AMBIGUOUS","CONFIDENT"))</f>
        <v/>
      </c>
    </row>
    <row r="268">
      <c r="A268">
        <f>'Runs Z score'!A260</f>
        <v/>
      </c>
      <c r="B268">
        <f>'Runs Z score'!B260</f>
        <v/>
      </c>
      <c r="C268">
        <f>'Runs Z score'!C260</f>
        <v/>
      </c>
      <c r="D268">
        <f>'Runs Z score'!D260</f>
        <v/>
      </c>
      <c r="E268">
        <f>'Runs Z score'!E260</f>
        <v/>
      </c>
      <c r="F268">
        <f>'Runs Z score'!F260</f>
        <v/>
      </c>
      <c r="G268">
        <f>'Runs Z score'!G260</f>
        <v/>
      </c>
      <c r="H268">
        <f>VLOOKUP(C268,Recipes!$A$2:$N$4,10,FALSE())</f>
        <v/>
      </c>
      <c r="I268">
        <f>VLOOKUP(C268,Recipes!$A$2:$N$4,12,FALSE())</f>
        <v/>
      </c>
      <c r="J268">
        <f>IF(G268="","",H268-G268)</f>
        <v/>
      </c>
      <c r="K268">
        <f>IF(G268="","",IF(ABS(G268-H268)&lt;=$B$6*I268,"OK","NG"))</f>
        <v/>
      </c>
      <c r="L268">
        <f>IF(K268="","",IF(K268=D268,1,0))</f>
        <v/>
      </c>
      <c r="M268" t="inlineStr">
        <is>
          <t>S2</t>
        </is>
      </c>
      <c r="N268" s="15" t="n">
        <v>0.98</v>
      </c>
      <c r="O268" s="15" t="n">
        <v>0.0167</v>
      </c>
      <c r="P268">
        <f>IF(M268="","",IF(M268=E268,1,0))</f>
        <v/>
      </c>
      <c r="Q268">
        <f>IF(K268="OK","-",IF(N268&lt;$B$7,"AMBIGUOUS","CONFIDENT"))</f>
        <v/>
      </c>
    </row>
    <row r="269">
      <c r="A269">
        <f>'Runs Z score'!A261</f>
        <v/>
      </c>
      <c r="B269">
        <f>'Runs Z score'!B261</f>
        <v/>
      </c>
      <c r="C269">
        <f>'Runs Z score'!C261</f>
        <v/>
      </c>
      <c r="D269">
        <f>'Runs Z score'!D261</f>
        <v/>
      </c>
      <c r="E269">
        <f>'Runs Z score'!E261</f>
        <v/>
      </c>
      <c r="F269">
        <f>'Runs Z score'!F261</f>
        <v/>
      </c>
      <c r="G269">
        <f>'Runs Z score'!G261</f>
        <v/>
      </c>
      <c r="H269">
        <f>VLOOKUP(C269,Recipes!$A$2:$N$4,10,FALSE())</f>
        <v/>
      </c>
      <c r="I269">
        <f>VLOOKUP(C269,Recipes!$A$2:$N$4,12,FALSE())</f>
        <v/>
      </c>
      <c r="J269">
        <f>IF(G269="","",H269-G269)</f>
        <v/>
      </c>
      <c r="K269">
        <f>IF(G269="","",IF(ABS(G269-H269)&lt;=$B$6*I269,"OK","NG"))</f>
        <v/>
      </c>
      <c r="L269">
        <f>IF(K269="","",IF(K269=D269,1,0))</f>
        <v/>
      </c>
      <c r="M269" t="inlineStr">
        <is>
          <t>S2</t>
        </is>
      </c>
      <c r="N269" s="15" t="n">
        <v>1</v>
      </c>
      <c r="O269" s="15" t="n">
        <v>0</v>
      </c>
      <c r="P269">
        <f>IF(M269="","",IF(M269=E269,1,0))</f>
        <v/>
      </c>
      <c r="Q269">
        <f>IF(K269="OK","-",IF(N269&lt;$B$7,"AMBIGUOUS","CONFIDENT"))</f>
        <v/>
      </c>
    </row>
    <row r="270">
      <c r="A270">
        <f>'Runs Z score'!A262</f>
        <v/>
      </c>
      <c r="B270">
        <f>'Runs Z score'!B262</f>
        <v/>
      </c>
      <c r="C270">
        <f>'Runs Z score'!C262</f>
        <v/>
      </c>
      <c r="D270">
        <f>'Runs Z score'!D262</f>
        <v/>
      </c>
      <c r="E270">
        <f>'Runs Z score'!E262</f>
        <v/>
      </c>
      <c r="F270">
        <f>'Runs Z score'!F262</f>
        <v/>
      </c>
      <c r="G270">
        <f>'Runs Z score'!G262</f>
        <v/>
      </c>
      <c r="H270">
        <f>VLOOKUP(C270,Recipes!$A$2:$N$4,10,FALSE())</f>
        <v/>
      </c>
      <c r="I270">
        <f>VLOOKUP(C270,Recipes!$A$2:$N$4,12,FALSE())</f>
        <v/>
      </c>
      <c r="J270">
        <f>IF(G270="","",H270-G270)</f>
        <v/>
      </c>
      <c r="K270">
        <f>IF(G270="","",IF(ABS(G270-H270)&lt;=$B$6*I270,"OK","NG"))</f>
        <v/>
      </c>
      <c r="L270">
        <f>IF(K270="","",IF(K270=D270,1,0))</f>
        <v/>
      </c>
      <c r="M270" t="inlineStr">
        <is>
          <t>S2</t>
        </is>
      </c>
      <c r="N270" s="15" t="n">
        <v>1</v>
      </c>
      <c r="O270" s="15" t="n">
        <v>0</v>
      </c>
      <c r="P270">
        <f>IF(M270="","",IF(M270=E270,1,0))</f>
        <v/>
      </c>
      <c r="Q270">
        <f>IF(K270="OK","-",IF(N270&lt;$B$7,"AMBIGUOUS","CONFIDENT"))</f>
        <v/>
      </c>
    </row>
    <row r="271">
      <c r="A271">
        <f>'Runs Z score'!A263</f>
        <v/>
      </c>
      <c r="B271">
        <f>'Runs Z score'!B263</f>
        <v/>
      </c>
      <c r="C271">
        <f>'Runs Z score'!C263</f>
        <v/>
      </c>
      <c r="D271">
        <f>'Runs Z score'!D263</f>
        <v/>
      </c>
      <c r="E271">
        <f>'Runs Z score'!E263</f>
        <v/>
      </c>
      <c r="F271">
        <f>'Runs Z score'!F263</f>
        <v/>
      </c>
      <c r="G271">
        <f>'Runs Z score'!G263</f>
        <v/>
      </c>
      <c r="H271">
        <f>VLOOKUP(C271,Recipes!$A$2:$N$4,10,FALSE())</f>
        <v/>
      </c>
      <c r="I271">
        <f>VLOOKUP(C271,Recipes!$A$2:$N$4,12,FALSE())</f>
        <v/>
      </c>
      <c r="J271">
        <f>IF(G271="","",H271-G271)</f>
        <v/>
      </c>
      <c r="K271">
        <f>IF(G271="","",IF(ABS(G271-H271)&lt;=$B$6*I271,"OK","NG"))</f>
        <v/>
      </c>
      <c r="L271">
        <f>IF(K271="","",IF(K271=D271,1,0))</f>
        <v/>
      </c>
      <c r="M271" t="inlineStr">
        <is>
          <t>S2</t>
        </is>
      </c>
      <c r="N271" s="15" t="n">
        <v>1</v>
      </c>
      <c r="O271" s="15" t="n">
        <v>0</v>
      </c>
      <c r="P271">
        <f>IF(M271="","",IF(M271=E271,1,0))</f>
        <v/>
      </c>
      <c r="Q271">
        <f>IF(K271="OK","-",IF(N271&lt;$B$7,"AMBIGUOUS","CONFIDENT"))</f>
        <v/>
      </c>
    </row>
    <row r="272">
      <c r="A272">
        <f>'Runs Z score'!A264</f>
        <v/>
      </c>
      <c r="B272">
        <f>'Runs Z score'!B264</f>
        <v/>
      </c>
      <c r="C272">
        <f>'Runs Z score'!C264</f>
        <v/>
      </c>
      <c r="D272">
        <f>'Runs Z score'!D264</f>
        <v/>
      </c>
      <c r="E272">
        <f>'Runs Z score'!E264</f>
        <v/>
      </c>
      <c r="F272">
        <f>'Runs Z score'!F264</f>
        <v/>
      </c>
      <c r="G272">
        <f>'Runs Z score'!G264</f>
        <v/>
      </c>
      <c r="H272">
        <f>VLOOKUP(C272,Recipes!$A$2:$N$4,10,FALSE())</f>
        <v/>
      </c>
      <c r="I272">
        <f>VLOOKUP(C272,Recipes!$A$2:$N$4,12,FALSE())</f>
        <v/>
      </c>
      <c r="J272">
        <f>IF(G272="","",H272-G272)</f>
        <v/>
      </c>
      <c r="K272">
        <f>IF(G272="","",IF(ABS(G272-H272)&lt;=$B$6*I272,"OK","NG"))</f>
        <v/>
      </c>
      <c r="L272">
        <f>IF(K272="","",IF(K272=D272,1,0))</f>
        <v/>
      </c>
      <c r="M272" t="inlineStr">
        <is>
          <t>S2</t>
        </is>
      </c>
      <c r="N272" s="15" t="n">
        <v>1</v>
      </c>
      <c r="O272" s="15" t="n">
        <v>0</v>
      </c>
      <c r="P272">
        <f>IF(M272="","",IF(M272=E272,1,0))</f>
        <v/>
      </c>
      <c r="Q272">
        <f>IF(K272="OK","-",IF(N272&lt;$B$7,"AMBIGUOUS","CONFIDENT"))</f>
        <v/>
      </c>
    </row>
    <row r="273">
      <c r="A273">
        <f>'Runs Z score'!A265</f>
        <v/>
      </c>
      <c r="B273">
        <f>'Runs Z score'!B265</f>
        <v/>
      </c>
      <c r="C273">
        <f>'Runs Z score'!C265</f>
        <v/>
      </c>
      <c r="D273">
        <f>'Runs Z score'!D265</f>
        <v/>
      </c>
      <c r="E273">
        <f>'Runs Z score'!E265</f>
        <v/>
      </c>
      <c r="F273">
        <f>'Runs Z score'!F265</f>
        <v/>
      </c>
      <c r="G273">
        <f>'Runs Z score'!G265</f>
        <v/>
      </c>
      <c r="H273">
        <f>VLOOKUP(C273,Recipes!$A$2:$N$4,10,FALSE())</f>
        <v/>
      </c>
      <c r="I273">
        <f>VLOOKUP(C273,Recipes!$A$2:$N$4,12,FALSE())</f>
        <v/>
      </c>
      <c r="J273">
        <f>IF(G273="","",H273-G273)</f>
        <v/>
      </c>
      <c r="K273">
        <f>IF(G273="","",IF(ABS(G273-H273)&lt;=$B$6*I273,"OK","NG"))</f>
        <v/>
      </c>
      <c r="L273">
        <f>IF(K273="","",IF(K273=D273,1,0))</f>
        <v/>
      </c>
      <c r="M273" t="inlineStr">
        <is>
          <t>S2</t>
        </is>
      </c>
      <c r="N273" s="15" t="n">
        <v>1</v>
      </c>
      <c r="O273" s="15" t="n">
        <v>0</v>
      </c>
      <c r="P273">
        <f>IF(M273="","",IF(M273=E273,1,0))</f>
        <v/>
      </c>
      <c r="Q273">
        <f>IF(K273="OK","-",IF(N273&lt;$B$7,"AMBIGUOUS","CONFIDENT"))</f>
        <v/>
      </c>
    </row>
    <row r="274">
      <c r="A274">
        <f>'Runs Z score'!A266</f>
        <v/>
      </c>
      <c r="B274">
        <f>'Runs Z score'!B266</f>
        <v/>
      </c>
      <c r="C274">
        <f>'Runs Z score'!C266</f>
        <v/>
      </c>
      <c r="D274">
        <f>'Runs Z score'!D266</f>
        <v/>
      </c>
      <c r="E274">
        <f>'Runs Z score'!E266</f>
        <v/>
      </c>
      <c r="F274">
        <f>'Runs Z score'!F266</f>
        <v/>
      </c>
      <c r="G274">
        <f>'Runs Z score'!G266</f>
        <v/>
      </c>
      <c r="H274">
        <f>VLOOKUP(C274,Recipes!$A$2:$N$4,10,FALSE())</f>
        <v/>
      </c>
      <c r="I274">
        <f>VLOOKUP(C274,Recipes!$A$2:$N$4,12,FALSE())</f>
        <v/>
      </c>
      <c r="J274">
        <f>IF(G274="","",H274-G274)</f>
        <v/>
      </c>
      <c r="K274">
        <f>IF(G274="","",IF(ABS(G274-H274)&lt;=$B$6*I274,"OK","NG"))</f>
        <v/>
      </c>
      <c r="L274">
        <f>IF(K274="","",IF(K274=D274,1,0))</f>
        <v/>
      </c>
      <c r="M274" t="inlineStr">
        <is>
          <t>S2</t>
        </is>
      </c>
      <c r="N274" s="15" t="n">
        <v>1</v>
      </c>
      <c r="O274" s="15" t="n">
        <v>0</v>
      </c>
      <c r="P274">
        <f>IF(M274="","",IF(M274=E274,1,0))</f>
        <v/>
      </c>
      <c r="Q274">
        <f>IF(K274="OK","-",IF(N274&lt;$B$7,"AMBIGUOUS","CONFIDENT"))</f>
        <v/>
      </c>
    </row>
    <row r="275">
      <c r="A275">
        <f>'Runs Z score'!A267</f>
        <v/>
      </c>
      <c r="B275">
        <f>'Runs Z score'!B267</f>
        <v/>
      </c>
      <c r="C275">
        <f>'Runs Z score'!C267</f>
        <v/>
      </c>
      <c r="D275">
        <f>'Runs Z score'!D267</f>
        <v/>
      </c>
      <c r="E275">
        <f>'Runs Z score'!E267</f>
        <v/>
      </c>
      <c r="F275">
        <f>'Runs Z score'!F267</f>
        <v/>
      </c>
      <c r="G275">
        <f>'Runs Z score'!G267</f>
        <v/>
      </c>
      <c r="H275">
        <f>VLOOKUP(C275,Recipes!$A$2:$N$4,10,FALSE())</f>
        <v/>
      </c>
      <c r="I275">
        <f>VLOOKUP(C275,Recipes!$A$2:$N$4,12,FALSE())</f>
        <v/>
      </c>
      <c r="J275">
        <f>IF(G275="","",H275-G275)</f>
        <v/>
      </c>
      <c r="K275">
        <f>IF(G275="","",IF(ABS(G275-H275)&lt;=$B$6*I275,"OK","NG"))</f>
        <v/>
      </c>
      <c r="L275">
        <f>IF(K275="","",IF(K275=D275,1,0))</f>
        <v/>
      </c>
      <c r="M275" t="inlineStr">
        <is>
          <t>S2</t>
        </is>
      </c>
      <c r="N275" s="15" t="n">
        <v>1</v>
      </c>
      <c r="O275" s="15" t="n">
        <v>0</v>
      </c>
      <c r="P275">
        <f>IF(M275="","",IF(M275=E275,1,0))</f>
        <v/>
      </c>
      <c r="Q275">
        <f>IF(K275="OK","-",IF(N275&lt;$B$7,"AMBIGUOUS","CONFIDENT"))</f>
        <v/>
      </c>
    </row>
    <row r="276">
      <c r="A276">
        <f>'Runs Z score'!A268</f>
        <v/>
      </c>
      <c r="B276">
        <f>'Runs Z score'!B268</f>
        <v/>
      </c>
      <c r="C276">
        <f>'Runs Z score'!C268</f>
        <v/>
      </c>
      <c r="D276">
        <f>'Runs Z score'!D268</f>
        <v/>
      </c>
      <c r="E276">
        <f>'Runs Z score'!E268</f>
        <v/>
      </c>
      <c r="F276">
        <f>'Runs Z score'!F268</f>
        <v/>
      </c>
      <c r="G276">
        <f>'Runs Z score'!G268</f>
        <v/>
      </c>
      <c r="H276">
        <f>VLOOKUP(C276,Recipes!$A$2:$N$4,10,FALSE())</f>
        <v/>
      </c>
      <c r="I276">
        <f>VLOOKUP(C276,Recipes!$A$2:$N$4,12,FALSE())</f>
        <v/>
      </c>
      <c r="J276">
        <f>IF(G276="","",H276-G276)</f>
        <v/>
      </c>
      <c r="K276">
        <f>IF(G276="","",IF(ABS(G276-H276)&lt;=$B$6*I276,"OK","NG"))</f>
        <v/>
      </c>
      <c r="L276">
        <f>IF(K276="","",IF(K276=D276,1,0))</f>
        <v/>
      </c>
      <c r="M276" t="inlineStr">
        <is>
          <t>S2</t>
        </is>
      </c>
      <c r="N276" s="15" t="n">
        <v>1</v>
      </c>
      <c r="O276" s="15" t="n">
        <v>0</v>
      </c>
      <c r="P276">
        <f>IF(M276="","",IF(M276=E276,1,0))</f>
        <v/>
      </c>
      <c r="Q276">
        <f>IF(K276="OK","-",IF(N276&lt;$B$7,"AMBIGUOUS","CONFIDENT"))</f>
        <v/>
      </c>
    </row>
    <row r="277">
      <c r="A277">
        <f>'Runs Z score'!A269</f>
        <v/>
      </c>
      <c r="B277">
        <f>'Runs Z score'!B269</f>
        <v/>
      </c>
      <c r="C277">
        <f>'Runs Z score'!C269</f>
        <v/>
      </c>
      <c r="D277">
        <f>'Runs Z score'!D269</f>
        <v/>
      </c>
      <c r="E277">
        <f>'Runs Z score'!E269</f>
        <v/>
      </c>
      <c r="F277">
        <f>'Runs Z score'!F269</f>
        <v/>
      </c>
      <c r="G277">
        <f>'Runs Z score'!G269</f>
        <v/>
      </c>
      <c r="H277">
        <f>VLOOKUP(C277,Recipes!$A$2:$N$4,10,FALSE())</f>
        <v/>
      </c>
      <c r="I277">
        <f>VLOOKUP(C277,Recipes!$A$2:$N$4,12,FALSE())</f>
        <v/>
      </c>
      <c r="J277">
        <f>IF(G277="","",H277-G277)</f>
        <v/>
      </c>
      <c r="K277">
        <f>IF(G277="","",IF(ABS(G277-H277)&lt;=$B$6*I277,"OK","NG"))</f>
        <v/>
      </c>
      <c r="L277">
        <f>IF(K277="","",IF(K277=D277,1,0))</f>
        <v/>
      </c>
      <c r="M277" t="inlineStr">
        <is>
          <t>S2</t>
        </is>
      </c>
      <c r="N277" s="15" t="n">
        <v>1</v>
      </c>
      <c r="O277" s="15" t="n">
        <v>0</v>
      </c>
      <c r="P277">
        <f>IF(M277="","",IF(M277=E277,1,0))</f>
        <v/>
      </c>
      <c r="Q277">
        <f>IF(K277="OK","-",IF(N277&lt;$B$7,"AMBIGUOUS","CONFIDENT"))</f>
        <v/>
      </c>
    </row>
    <row r="278">
      <c r="A278">
        <f>'Runs Z score'!A270</f>
        <v/>
      </c>
      <c r="B278">
        <f>'Runs Z score'!B270</f>
        <v/>
      </c>
      <c r="C278">
        <f>'Runs Z score'!C270</f>
        <v/>
      </c>
      <c r="D278">
        <f>'Runs Z score'!D270</f>
        <v/>
      </c>
      <c r="E278">
        <f>'Runs Z score'!E270</f>
        <v/>
      </c>
      <c r="F278">
        <f>'Runs Z score'!F270</f>
        <v/>
      </c>
      <c r="G278">
        <f>'Runs Z score'!G270</f>
        <v/>
      </c>
      <c r="H278">
        <f>VLOOKUP(C278,Recipes!$A$2:$N$4,10,FALSE())</f>
        <v/>
      </c>
      <c r="I278">
        <f>VLOOKUP(C278,Recipes!$A$2:$N$4,12,FALSE())</f>
        <v/>
      </c>
      <c r="J278">
        <f>IF(G278="","",H278-G278)</f>
        <v/>
      </c>
      <c r="K278">
        <f>IF(G278="","",IF(ABS(G278-H278)&lt;=$B$6*I278,"OK","NG"))</f>
        <v/>
      </c>
      <c r="L278">
        <f>IF(K278="","",IF(K278=D278,1,0))</f>
        <v/>
      </c>
      <c r="M278" t="inlineStr">
        <is>
          <t>S2</t>
        </is>
      </c>
      <c r="N278" s="15" t="n">
        <v>1</v>
      </c>
      <c r="O278" s="15" t="n">
        <v>0</v>
      </c>
      <c r="P278">
        <f>IF(M278="","",IF(M278=E278,1,0))</f>
        <v/>
      </c>
      <c r="Q278">
        <f>IF(K278="OK","-",IF(N278&lt;$B$7,"AMBIGUOUS","CONFIDENT"))</f>
        <v/>
      </c>
    </row>
    <row r="279">
      <c r="A279">
        <f>'Runs Z score'!A271</f>
        <v/>
      </c>
      <c r="B279">
        <f>'Runs Z score'!B271</f>
        <v/>
      </c>
      <c r="C279">
        <f>'Runs Z score'!C271</f>
        <v/>
      </c>
      <c r="D279">
        <f>'Runs Z score'!D271</f>
        <v/>
      </c>
      <c r="E279">
        <f>'Runs Z score'!E271</f>
        <v/>
      </c>
      <c r="F279">
        <f>'Runs Z score'!F271</f>
        <v/>
      </c>
      <c r="G279">
        <f>'Runs Z score'!G271</f>
        <v/>
      </c>
      <c r="H279">
        <f>VLOOKUP(C279,Recipes!$A$2:$N$4,10,FALSE())</f>
        <v/>
      </c>
      <c r="I279">
        <f>VLOOKUP(C279,Recipes!$A$2:$N$4,12,FALSE())</f>
        <v/>
      </c>
      <c r="J279">
        <f>IF(G279="","",H279-G279)</f>
        <v/>
      </c>
      <c r="K279">
        <f>IF(G279="","",IF(ABS(G279-H279)&lt;=$B$6*I279,"OK","NG"))</f>
        <v/>
      </c>
      <c r="L279">
        <f>IF(K279="","",IF(K279=D279,1,0))</f>
        <v/>
      </c>
      <c r="M279" t="inlineStr">
        <is>
          <t>S2</t>
        </is>
      </c>
      <c r="N279" s="15" t="n">
        <v>1</v>
      </c>
      <c r="O279" s="15" t="n">
        <v>0</v>
      </c>
      <c r="P279">
        <f>IF(M279="","",IF(M279=E279,1,0))</f>
        <v/>
      </c>
      <c r="Q279">
        <f>IF(K279="OK","-",IF(N279&lt;$B$7,"AMBIGUOUS","CONFIDENT"))</f>
        <v/>
      </c>
    </row>
    <row r="280">
      <c r="A280">
        <f>'Runs Z score'!A272</f>
        <v/>
      </c>
      <c r="B280">
        <f>'Runs Z score'!B272</f>
        <v/>
      </c>
      <c r="C280">
        <f>'Runs Z score'!C272</f>
        <v/>
      </c>
      <c r="D280">
        <f>'Runs Z score'!D272</f>
        <v/>
      </c>
      <c r="E280">
        <f>'Runs Z score'!E272</f>
        <v/>
      </c>
      <c r="F280">
        <f>'Runs Z score'!F272</f>
        <v/>
      </c>
      <c r="G280">
        <f>'Runs Z score'!G272</f>
        <v/>
      </c>
      <c r="H280">
        <f>VLOOKUP(C280,Recipes!$A$2:$N$4,10,FALSE())</f>
        <v/>
      </c>
      <c r="I280">
        <f>VLOOKUP(C280,Recipes!$A$2:$N$4,12,FALSE())</f>
        <v/>
      </c>
      <c r="J280">
        <f>IF(G280="","",H280-G280)</f>
        <v/>
      </c>
      <c r="K280">
        <f>IF(G280="","",IF(ABS(G280-H280)&lt;=$B$6*I280,"OK","NG"))</f>
        <v/>
      </c>
      <c r="L280">
        <f>IF(K280="","",IF(K280=D280,1,0))</f>
        <v/>
      </c>
      <c r="M280" t="inlineStr">
        <is>
          <t>S2</t>
        </is>
      </c>
      <c r="N280" s="15" t="n">
        <v>1</v>
      </c>
      <c r="O280" s="15" t="n">
        <v>0</v>
      </c>
      <c r="P280">
        <f>IF(M280="","",IF(M280=E280,1,0))</f>
        <v/>
      </c>
      <c r="Q280">
        <f>IF(K280="OK","-",IF(N280&lt;$B$7,"AMBIGUOUS","CONFIDENT"))</f>
        <v/>
      </c>
    </row>
    <row r="281">
      <c r="A281">
        <f>'Runs Z score'!A273</f>
        <v/>
      </c>
      <c r="B281">
        <f>'Runs Z score'!B273</f>
        <v/>
      </c>
      <c r="C281">
        <f>'Runs Z score'!C273</f>
        <v/>
      </c>
      <c r="D281">
        <f>'Runs Z score'!D273</f>
        <v/>
      </c>
      <c r="E281">
        <f>'Runs Z score'!E273</f>
        <v/>
      </c>
      <c r="F281">
        <f>'Runs Z score'!F273</f>
        <v/>
      </c>
      <c r="G281">
        <f>'Runs Z score'!G273</f>
        <v/>
      </c>
      <c r="H281">
        <f>VLOOKUP(C281,Recipes!$A$2:$N$4,10,FALSE())</f>
        <v/>
      </c>
      <c r="I281">
        <f>VLOOKUP(C281,Recipes!$A$2:$N$4,12,FALSE())</f>
        <v/>
      </c>
      <c r="J281">
        <f>IF(G281="","",H281-G281)</f>
        <v/>
      </c>
      <c r="K281">
        <f>IF(G281="","",IF(ABS(G281-H281)&lt;=$B$6*I281,"OK","NG"))</f>
        <v/>
      </c>
      <c r="L281">
        <f>IF(K281="","",IF(K281=D281,1,0))</f>
        <v/>
      </c>
      <c r="M281" t="inlineStr">
        <is>
          <t>NONE</t>
        </is>
      </c>
      <c r="N281" s="15" t="n">
        <v>1</v>
      </c>
      <c r="O281" s="15" t="n">
        <v>0</v>
      </c>
      <c r="P281">
        <f>IF(M281="","",IF(M281=E281,1,0))</f>
        <v/>
      </c>
      <c r="Q281">
        <f>IF(K281="OK","-",IF(N281&lt;$B$7,"AMBIGUOUS","CONFIDENT"))</f>
        <v/>
      </c>
    </row>
    <row r="282">
      <c r="A282">
        <f>'Runs Z score'!A274</f>
        <v/>
      </c>
      <c r="B282">
        <f>'Runs Z score'!B274</f>
        <v/>
      </c>
      <c r="C282">
        <f>'Runs Z score'!C274</f>
        <v/>
      </c>
      <c r="D282">
        <f>'Runs Z score'!D274</f>
        <v/>
      </c>
      <c r="E282">
        <f>'Runs Z score'!E274</f>
        <v/>
      </c>
      <c r="F282">
        <f>'Runs Z score'!F274</f>
        <v/>
      </c>
      <c r="G282">
        <f>'Runs Z score'!G274</f>
        <v/>
      </c>
      <c r="H282">
        <f>VLOOKUP(C282,Recipes!$A$2:$N$4,10,FALSE())</f>
        <v/>
      </c>
      <c r="I282">
        <f>VLOOKUP(C282,Recipes!$A$2:$N$4,12,FALSE())</f>
        <v/>
      </c>
      <c r="J282">
        <f>IF(G282="","",H282-G282)</f>
        <v/>
      </c>
      <c r="K282">
        <f>IF(G282="","",IF(ABS(G282-H282)&lt;=$B$6*I282,"OK","NG"))</f>
        <v/>
      </c>
      <c r="L282">
        <f>IF(K282="","",IF(K282=D282,1,0))</f>
        <v/>
      </c>
      <c r="M282" t="inlineStr">
        <is>
          <t>NONE</t>
        </is>
      </c>
      <c r="N282" s="15" t="n">
        <v>1</v>
      </c>
      <c r="O282" s="15" t="n">
        <v>0</v>
      </c>
      <c r="P282">
        <f>IF(M282="","",IF(M282=E282,1,0))</f>
        <v/>
      </c>
      <c r="Q282">
        <f>IF(K282="OK","-",IF(N282&lt;$B$7,"AMBIGUOUS","CONFIDENT"))</f>
        <v/>
      </c>
    </row>
    <row r="283">
      <c r="A283">
        <f>'Runs Z score'!A275</f>
        <v/>
      </c>
      <c r="B283">
        <f>'Runs Z score'!B275</f>
        <v/>
      </c>
      <c r="C283">
        <f>'Runs Z score'!C275</f>
        <v/>
      </c>
      <c r="D283">
        <f>'Runs Z score'!D275</f>
        <v/>
      </c>
      <c r="E283">
        <f>'Runs Z score'!E275</f>
        <v/>
      </c>
      <c r="F283">
        <f>'Runs Z score'!F275</f>
        <v/>
      </c>
      <c r="G283">
        <f>'Runs Z score'!G275</f>
        <v/>
      </c>
      <c r="H283">
        <f>VLOOKUP(C283,Recipes!$A$2:$N$4,10,FALSE())</f>
        <v/>
      </c>
      <c r="I283">
        <f>VLOOKUP(C283,Recipes!$A$2:$N$4,12,FALSE())</f>
        <v/>
      </c>
      <c r="J283">
        <f>IF(G283="","",H283-G283)</f>
        <v/>
      </c>
      <c r="K283">
        <f>IF(G283="","",IF(ABS(G283-H283)&lt;=$B$6*I283,"OK","NG"))</f>
        <v/>
      </c>
      <c r="L283">
        <f>IF(K283="","",IF(K283=D283,1,0))</f>
        <v/>
      </c>
      <c r="M283" t="inlineStr">
        <is>
          <t>NONE</t>
        </is>
      </c>
      <c r="N283" s="15" t="n">
        <v>1</v>
      </c>
      <c r="O283" s="15" t="n">
        <v>0</v>
      </c>
      <c r="P283">
        <f>IF(M283="","",IF(M283=E283,1,0))</f>
        <v/>
      </c>
      <c r="Q283">
        <f>IF(K283="OK","-",IF(N283&lt;$B$7,"AMBIGUOUS","CONFIDENT"))</f>
        <v/>
      </c>
    </row>
    <row r="284">
      <c r="A284">
        <f>'Runs Z score'!A276</f>
        <v/>
      </c>
      <c r="B284">
        <f>'Runs Z score'!B276</f>
        <v/>
      </c>
      <c r="C284">
        <f>'Runs Z score'!C276</f>
        <v/>
      </c>
      <c r="D284">
        <f>'Runs Z score'!D276</f>
        <v/>
      </c>
      <c r="E284">
        <f>'Runs Z score'!E276</f>
        <v/>
      </c>
      <c r="F284">
        <f>'Runs Z score'!F276</f>
        <v/>
      </c>
      <c r="G284">
        <f>'Runs Z score'!G276</f>
        <v/>
      </c>
      <c r="H284">
        <f>VLOOKUP(C284,Recipes!$A$2:$N$4,10,FALSE())</f>
        <v/>
      </c>
      <c r="I284">
        <f>VLOOKUP(C284,Recipes!$A$2:$N$4,12,FALSE())</f>
        <v/>
      </c>
      <c r="J284">
        <f>IF(G284="","",H284-G284)</f>
        <v/>
      </c>
      <c r="K284">
        <f>IF(G284="","",IF(ABS(G284-H284)&lt;=$B$6*I284,"OK","NG"))</f>
        <v/>
      </c>
      <c r="L284">
        <f>IF(K284="","",IF(K284=D284,1,0))</f>
        <v/>
      </c>
      <c r="M284" t="inlineStr">
        <is>
          <t>NONE</t>
        </is>
      </c>
      <c r="N284" s="15" t="n">
        <v>1</v>
      </c>
      <c r="O284" s="15" t="n">
        <v>0</v>
      </c>
      <c r="P284">
        <f>IF(M284="","",IF(M284=E284,1,0))</f>
        <v/>
      </c>
      <c r="Q284">
        <f>IF(K284="OK","-",IF(N284&lt;$B$7,"AMBIGUOUS","CONFIDENT"))</f>
        <v/>
      </c>
    </row>
    <row r="285">
      <c r="A285">
        <f>'Runs Z score'!A277</f>
        <v/>
      </c>
      <c r="B285">
        <f>'Runs Z score'!B277</f>
        <v/>
      </c>
      <c r="C285">
        <f>'Runs Z score'!C277</f>
        <v/>
      </c>
      <c r="D285">
        <f>'Runs Z score'!D277</f>
        <v/>
      </c>
      <c r="E285">
        <f>'Runs Z score'!E277</f>
        <v/>
      </c>
      <c r="F285">
        <f>'Runs Z score'!F277</f>
        <v/>
      </c>
      <c r="G285">
        <f>'Runs Z score'!G277</f>
        <v/>
      </c>
      <c r="H285">
        <f>VLOOKUP(C285,Recipes!$A$2:$N$4,10,FALSE())</f>
        <v/>
      </c>
      <c r="I285">
        <f>VLOOKUP(C285,Recipes!$A$2:$N$4,12,FALSE())</f>
        <v/>
      </c>
      <c r="J285">
        <f>IF(G285="","",H285-G285)</f>
        <v/>
      </c>
      <c r="K285">
        <f>IF(G285="","",IF(ABS(G285-H285)&lt;=$B$6*I285,"OK","NG"))</f>
        <v/>
      </c>
      <c r="L285">
        <f>IF(K285="","",IF(K285=D285,1,0))</f>
        <v/>
      </c>
      <c r="M285" t="inlineStr">
        <is>
          <t>NONE</t>
        </is>
      </c>
      <c r="N285" s="15" t="n">
        <v>1</v>
      </c>
      <c r="O285" s="15" t="n">
        <v>0</v>
      </c>
      <c r="P285">
        <f>IF(M285="","",IF(M285=E285,1,0))</f>
        <v/>
      </c>
      <c r="Q285">
        <f>IF(K285="OK","-",IF(N285&lt;$B$7,"AMBIGUOUS","CONFIDENT"))</f>
        <v/>
      </c>
    </row>
    <row r="286">
      <c r="A286">
        <f>'Runs Z score'!A278</f>
        <v/>
      </c>
      <c r="B286">
        <f>'Runs Z score'!B278</f>
        <v/>
      </c>
      <c r="C286">
        <f>'Runs Z score'!C278</f>
        <v/>
      </c>
      <c r="D286">
        <f>'Runs Z score'!D278</f>
        <v/>
      </c>
      <c r="E286">
        <f>'Runs Z score'!E278</f>
        <v/>
      </c>
      <c r="F286">
        <f>'Runs Z score'!F278</f>
        <v/>
      </c>
      <c r="G286">
        <f>'Runs Z score'!G278</f>
        <v/>
      </c>
      <c r="H286">
        <f>VLOOKUP(C286,Recipes!$A$2:$N$4,10,FALSE())</f>
        <v/>
      </c>
      <c r="I286">
        <f>VLOOKUP(C286,Recipes!$A$2:$N$4,12,FALSE())</f>
        <v/>
      </c>
      <c r="J286">
        <f>IF(G286="","",H286-G286)</f>
        <v/>
      </c>
      <c r="K286">
        <f>IF(G286="","",IF(ABS(G286-H286)&lt;=$B$6*I286,"OK","NG"))</f>
        <v/>
      </c>
      <c r="L286">
        <f>IF(K286="","",IF(K286=D286,1,0))</f>
        <v/>
      </c>
      <c r="M286" t="inlineStr">
        <is>
          <t>NONE</t>
        </is>
      </c>
      <c r="N286" s="15" t="n">
        <v>1</v>
      </c>
      <c r="O286" s="15" t="n">
        <v>0</v>
      </c>
      <c r="P286">
        <f>IF(M286="","",IF(M286=E286,1,0))</f>
        <v/>
      </c>
      <c r="Q286">
        <f>IF(K286="OK","-",IF(N286&lt;$B$7,"AMBIGUOUS","CONFIDENT"))</f>
        <v/>
      </c>
    </row>
    <row r="287">
      <c r="A287">
        <f>'Runs Z score'!A279</f>
        <v/>
      </c>
      <c r="B287">
        <f>'Runs Z score'!B279</f>
        <v/>
      </c>
      <c r="C287">
        <f>'Runs Z score'!C279</f>
        <v/>
      </c>
      <c r="D287">
        <f>'Runs Z score'!D279</f>
        <v/>
      </c>
      <c r="E287">
        <f>'Runs Z score'!E279</f>
        <v/>
      </c>
      <c r="F287">
        <f>'Runs Z score'!F279</f>
        <v/>
      </c>
      <c r="G287">
        <f>'Runs Z score'!G279</f>
        <v/>
      </c>
      <c r="H287">
        <f>VLOOKUP(C287,Recipes!$A$2:$N$4,10,FALSE())</f>
        <v/>
      </c>
      <c r="I287">
        <f>VLOOKUP(C287,Recipes!$A$2:$N$4,12,FALSE())</f>
        <v/>
      </c>
      <c r="J287">
        <f>IF(G287="","",H287-G287)</f>
        <v/>
      </c>
      <c r="K287">
        <f>IF(G287="","",IF(ABS(G287-H287)&lt;=$B$6*I287,"OK","NG"))</f>
        <v/>
      </c>
      <c r="L287">
        <f>IF(K287="","",IF(K287=D287,1,0))</f>
        <v/>
      </c>
      <c r="M287" t="inlineStr">
        <is>
          <t>NONE</t>
        </is>
      </c>
      <c r="N287" s="15" t="n">
        <v>1</v>
      </c>
      <c r="O287" s="15" t="n">
        <v>0</v>
      </c>
      <c r="P287">
        <f>IF(M287="","",IF(M287=E287,1,0))</f>
        <v/>
      </c>
      <c r="Q287">
        <f>IF(K287="OK","-",IF(N287&lt;$B$7,"AMBIGUOUS","CONFIDENT"))</f>
        <v/>
      </c>
    </row>
    <row r="288">
      <c r="A288">
        <f>'Runs Z score'!A280</f>
        <v/>
      </c>
      <c r="B288">
        <f>'Runs Z score'!B280</f>
        <v/>
      </c>
      <c r="C288">
        <f>'Runs Z score'!C280</f>
        <v/>
      </c>
      <c r="D288">
        <f>'Runs Z score'!D280</f>
        <v/>
      </c>
      <c r="E288">
        <f>'Runs Z score'!E280</f>
        <v/>
      </c>
      <c r="F288">
        <f>'Runs Z score'!F280</f>
        <v/>
      </c>
      <c r="G288">
        <f>'Runs Z score'!G280</f>
        <v/>
      </c>
      <c r="H288">
        <f>VLOOKUP(C288,Recipes!$A$2:$N$4,10,FALSE())</f>
        <v/>
      </c>
      <c r="I288">
        <f>VLOOKUP(C288,Recipes!$A$2:$N$4,12,FALSE())</f>
        <v/>
      </c>
      <c r="J288">
        <f>IF(G288="","",H288-G288)</f>
        <v/>
      </c>
      <c r="K288">
        <f>IF(G288="","",IF(ABS(G288-H288)&lt;=$B$6*I288,"OK","NG"))</f>
        <v/>
      </c>
      <c r="L288">
        <f>IF(K288="","",IF(K288=D288,1,0))</f>
        <v/>
      </c>
      <c r="M288" t="inlineStr">
        <is>
          <t>NONE</t>
        </is>
      </c>
      <c r="N288" s="15" t="n">
        <v>1</v>
      </c>
      <c r="O288" s="15" t="n">
        <v>0</v>
      </c>
      <c r="P288">
        <f>IF(M288="","",IF(M288=E288,1,0))</f>
        <v/>
      </c>
      <c r="Q288">
        <f>IF(K288="OK","-",IF(N288&lt;$B$7,"AMBIGUOUS","CONFIDENT"))</f>
        <v/>
      </c>
    </row>
    <row r="289">
      <c r="A289">
        <f>'Runs Z score'!A281</f>
        <v/>
      </c>
      <c r="B289">
        <f>'Runs Z score'!B281</f>
        <v/>
      </c>
      <c r="C289">
        <f>'Runs Z score'!C281</f>
        <v/>
      </c>
      <c r="D289">
        <f>'Runs Z score'!D281</f>
        <v/>
      </c>
      <c r="E289">
        <f>'Runs Z score'!E281</f>
        <v/>
      </c>
      <c r="F289">
        <f>'Runs Z score'!F281</f>
        <v/>
      </c>
      <c r="G289">
        <f>'Runs Z score'!G281</f>
        <v/>
      </c>
      <c r="H289">
        <f>VLOOKUP(C289,Recipes!$A$2:$N$4,10,FALSE())</f>
        <v/>
      </c>
      <c r="I289">
        <f>VLOOKUP(C289,Recipes!$A$2:$N$4,12,FALSE())</f>
        <v/>
      </c>
      <c r="J289">
        <f>IF(G289="","",H289-G289)</f>
        <v/>
      </c>
      <c r="K289">
        <f>IF(G289="","",IF(ABS(G289-H289)&lt;=$B$6*I289,"OK","NG"))</f>
        <v/>
      </c>
      <c r="L289">
        <f>IF(K289="","",IF(K289=D289,1,0))</f>
        <v/>
      </c>
      <c r="M289" t="inlineStr">
        <is>
          <t>NONE</t>
        </is>
      </c>
      <c r="N289" s="15" t="n">
        <v>1</v>
      </c>
      <c r="O289" s="15" t="n">
        <v>0</v>
      </c>
      <c r="P289">
        <f>IF(M289="","",IF(M289=E289,1,0))</f>
        <v/>
      </c>
      <c r="Q289">
        <f>IF(K289="OK","-",IF(N289&lt;$B$7,"AMBIGUOUS","CONFIDENT"))</f>
        <v/>
      </c>
    </row>
    <row r="290">
      <c r="A290">
        <f>'Runs Z score'!A282</f>
        <v/>
      </c>
      <c r="B290">
        <f>'Runs Z score'!B282</f>
        <v/>
      </c>
      <c r="C290">
        <f>'Runs Z score'!C282</f>
        <v/>
      </c>
      <c r="D290">
        <f>'Runs Z score'!D282</f>
        <v/>
      </c>
      <c r="E290">
        <f>'Runs Z score'!E282</f>
        <v/>
      </c>
      <c r="F290">
        <f>'Runs Z score'!F282</f>
        <v/>
      </c>
      <c r="G290">
        <f>'Runs Z score'!G282</f>
        <v/>
      </c>
      <c r="H290">
        <f>VLOOKUP(C290,Recipes!$A$2:$N$4,10,FALSE())</f>
        <v/>
      </c>
      <c r="I290">
        <f>VLOOKUP(C290,Recipes!$A$2:$N$4,12,FALSE())</f>
        <v/>
      </c>
      <c r="J290">
        <f>IF(G290="","",H290-G290)</f>
        <v/>
      </c>
      <c r="K290">
        <f>IF(G290="","",IF(ABS(G290-H290)&lt;=$B$6*I290,"OK","NG"))</f>
        <v/>
      </c>
      <c r="L290">
        <f>IF(K290="","",IF(K290=D290,1,0))</f>
        <v/>
      </c>
      <c r="M290" t="inlineStr">
        <is>
          <t>NONE</t>
        </is>
      </c>
      <c r="N290" s="15" t="n">
        <v>1</v>
      </c>
      <c r="O290" s="15" t="n">
        <v>0</v>
      </c>
      <c r="P290">
        <f>IF(M290="","",IF(M290=E290,1,0))</f>
        <v/>
      </c>
      <c r="Q290">
        <f>IF(K290="OK","-",IF(N290&lt;$B$7,"AMBIGUOUS","CONFIDENT"))</f>
        <v/>
      </c>
    </row>
    <row r="291">
      <c r="A291">
        <f>'Runs Z score'!A283</f>
        <v/>
      </c>
      <c r="B291">
        <f>'Runs Z score'!B283</f>
        <v/>
      </c>
      <c r="C291">
        <f>'Runs Z score'!C283</f>
        <v/>
      </c>
      <c r="D291">
        <f>'Runs Z score'!D283</f>
        <v/>
      </c>
      <c r="E291">
        <f>'Runs Z score'!E283</f>
        <v/>
      </c>
      <c r="F291">
        <f>'Runs Z score'!F283</f>
        <v/>
      </c>
      <c r="G291">
        <f>'Runs Z score'!G283</f>
        <v/>
      </c>
      <c r="H291">
        <f>VLOOKUP(C291,Recipes!$A$2:$N$4,10,FALSE())</f>
        <v/>
      </c>
      <c r="I291">
        <f>VLOOKUP(C291,Recipes!$A$2:$N$4,12,FALSE())</f>
        <v/>
      </c>
      <c r="J291">
        <f>IF(G291="","",H291-G291)</f>
        <v/>
      </c>
      <c r="K291">
        <f>IF(G291="","",IF(ABS(G291-H291)&lt;=$B$6*I291,"OK","NG"))</f>
        <v/>
      </c>
      <c r="L291">
        <f>IF(K291="","",IF(K291=D291,1,0))</f>
        <v/>
      </c>
      <c r="M291" t="inlineStr">
        <is>
          <t>NONE</t>
        </is>
      </c>
      <c r="N291" s="15" t="n">
        <v>1</v>
      </c>
      <c r="O291" s="15" t="n">
        <v>0</v>
      </c>
      <c r="P291">
        <f>IF(M291="","",IF(M291=E291,1,0))</f>
        <v/>
      </c>
      <c r="Q291">
        <f>IF(K291="OK","-",IF(N291&lt;$B$7,"AMBIGUOUS","CONFIDENT"))</f>
        <v/>
      </c>
    </row>
    <row r="292">
      <c r="A292">
        <f>'Runs Z score'!A284</f>
        <v/>
      </c>
      <c r="B292">
        <f>'Runs Z score'!B284</f>
        <v/>
      </c>
      <c r="C292">
        <f>'Runs Z score'!C284</f>
        <v/>
      </c>
      <c r="D292">
        <f>'Runs Z score'!D284</f>
        <v/>
      </c>
      <c r="E292">
        <f>'Runs Z score'!E284</f>
        <v/>
      </c>
      <c r="F292">
        <f>'Runs Z score'!F284</f>
        <v/>
      </c>
      <c r="G292">
        <f>'Runs Z score'!G284</f>
        <v/>
      </c>
      <c r="H292">
        <f>VLOOKUP(C292,Recipes!$A$2:$N$4,10,FALSE())</f>
        <v/>
      </c>
      <c r="I292">
        <f>VLOOKUP(C292,Recipes!$A$2:$N$4,12,FALSE())</f>
        <v/>
      </c>
      <c r="J292">
        <f>IF(G292="","",H292-G292)</f>
        <v/>
      </c>
      <c r="K292">
        <f>IF(G292="","",IF(ABS(G292-H292)&lt;=$B$6*I292,"OK","NG"))</f>
        <v/>
      </c>
      <c r="L292">
        <f>IF(K292="","",IF(K292=D292,1,0))</f>
        <v/>
      </c>
      <c r="M292" t="inlineStr">
        <is>
          <t>NONE</t>
        </is>
      </c>
      <c r="N292" s="15" t="n">
        <v>1</v>
      </c>
      <c r="O292" s="15" t="n">
        <v>0</v>
      </c>
      <c r="P292">
        <f>IF(M292="","",IF(M292=E292,1,0))</f>
        <v/>
      </c>
      <c r="Q292">
        <f>IF(K292="OK","-",IF(N292&lt;$B$7,"AMBIGUOUS","CONFIDENT"))</f>
        <v/>
      </c>
    </row>
    <row r="293">
      <c r="A293">
        <f>'Runs Z score'!A285</f>
        <v/>
      </c>
      <c r="B293">
        <f>'Runs Z score'!B285</f>
        <v/>
      </c>
      <c r="C293">
        <f>'Runs Z score'!C285</f>
        <v/>
      </c>
      <c r="D293">
        <f>'Runs Z score'!D285</f>
        <v/>
      </c>
      <c r="E293">
        <f>'Runs Z score'!E285</f>
        <v/>
      </c>
      <c r="F293">
        <f>'Runs Z score'!F285</f>
        <v/>
      </c>
      <c r="G293">
        <f>'Runs Z score'!G285</f>
        <v/>
      </c>
      <c r="H293">
        <f>VLOOKUP(C293,Recipes!$A$2:$N$4,10,FALSE())</f>
        <v/>
      </c>
      <c r="I293">
        <f>VLOOKUP(C293,Recipes!$A$2:$N$4,12,FALSE())</f>
        <v/>
      </c>
      <c r="J293">
        <f>IF(G293="","",H293-G293)</f>
        <v/>
      </c>
      <c r="K293">
        <f>IF(G293="","",IF(ABS(G293-H293)&lt;=$B$6*I293,"OK","NG"))</f>
        <v/>
      </c>
      <c r="L293">
        <f>IF(K293="","",IF(K293=D293,1,0))</f>
        <v/>
      </c>
      <c r="M293" t="inlineStr">
        <is>
          <t>NONE</t>
        </is>
      </c>
      <c r="N293" s="15" t="n">
        <v>1</v>
      </c>
      <c r="O293" s="15" t="n">
        <v>0</v>
      </c>
      <c r="P293">
        <f>IF(M293="","",IF(M293=E293,1,0))</f>
        <v/>
      </c>
      <c r="Q293">
        <f>IF(K293="OK","-",IF(N293&lt;$B$7,"AMBIGUOUS","CONFIDENT"))</f>
        <v/>
      </c>
    </row>
    <row r="294">
      <c r="A294">
        <f>'Runs Z score'!A286</f>
        <v/>
      </c>
      <c r="B294">
        <f>'Runs Z score'!B286</f>
        <v/>
      </c>
      <c r="C294">
        <f>'Runs Z score'!C286</f>
        <v/>
      </c>
      <c r="D294">
        <f>'Runs Z score'!D286</f>
        <v/>
      </c>
      <c r="E294">
        <f>'Runs Z score'!E286</f>
        <v/>
      </c>
      <c r="F294">
        <f>'Runs Z score'!F286</f>
        <v/>
      </c>
      <c r="G294">
        <f>'Runs Z score'!G286</f>
        <v/>
      </c>
      <c r="H294">
        <f>VLOOKUP(C294,Recipes!$A$2:$N$4,10,FALSE())</f>
        <v/>
      </c>
      <c r="I294">
        <f>VLOOKUP(C294,Recipes!$A$2:$N$4,12,FALSE())</f>
        <v/>
      </c>
      <c r="J294">
        <f>IF(G294="","",H294-G294)</f>
        <v/>
      </c>
      <c r="K294">
        <f>IF(G294="","",IF(ABS(G294-H294)&lt;=$B$6*I294,"OK","NG"))</f>
        <v/>
      </c>
      <c r="L294">
        <f>IF(K294="","",IF(K294=D294,1,0))</f>
        <v/>
      </c>
      <c r="M294" t="inlineStr">
        <is>
          <t>NONE</t>
        </is>
      </c>
      <c r="N294" s="15" t="n">
        <v>1</v>
      </c>
      <c r="O294" s="15" t="n">
        <v>0</v>
      </c>
      <c r="P294">
        <f>IF(M294="","",IF(M294=E294,1,0))</f>
        <v/>
      </c>
      <c r="Q294">
        <f>IF(K294="OK","-",IF(N294&lt;$B$7,"AMBIGUOUS","CONFIDENT"))</f>
        <v/>
      </c>
    </row>
    <row r="295">
      <c r="A295">
        <f>'Runs Z score'!A287</f>
        <v/>
      </c>
      <c r="B295">
        <f>'Runs Z score'!B287</f>
        <v/>
      </c>
      <c r="C295">
        <f>'Runs Z score'!C287</f>
        <v/>
      </c>
      <c r="D295">
        <f>'Runs Z score'!D287</f>
        <v/>
      </c>
      <c r="E295">
        <f>'Runs Z score'!E287</f>
        <v/>
      </c>
      <c r="F295">
        <f>'Runs Z score'!F287</f>
        <v/>
      </c>
      <c r="G295">
        <f>'Runs Z score'!G287</f>
        <v/>
      </c>
      <c r="H295">
        <f>VLOOKUP(C295,Recipes!$A$2:$N$4,10,FALSE())</f>
        <v/>
      </c>
      <c r="I295">
        <f>VLOOKUP(C295,Recipes!$A$2:$N$4,12,FALSE())</f>
        <v/>
      </c>
      <c r="J295">
        <f>IF(G295="","",H295-G295)</f>
        <v/>
      </c>
      <c r="K295">
        <f>IF(G295="","",IF(ABS(G295-H295)&lt;=$B$6*I295,"OK","NG"))</f>
        <v/>
      </c>
      <c r="L295">
        <f>IF(K295="","",IF(K295=D295,1,0))</f>
        <v/>
      </c>
      <c r="M295" t="inlineStr">
        <is>
          <t>NONE</t>
        </is>
      </c>
      <c r="N295" s="15" t="n">
        <v>1</v>
      </c>
      <c r="O295" s="15" t="n">
        <v>0</v>
      </c>
      <c r="P295">
        <f>IF(M295="","",IF(M295=E295,1,0))</f>
        <v/>
      </c>
      <c r="Q295">
        <f>IF(K295="OK","-",IF(N295&lt;$B$7,"AMBIGUOUS","CONFIDENT"))</f>
        <v/>
      </c>
    </row>
    <row r="296">
      <c r="A296">
        <f>'Runs Z score'!A288</f>
        <v/>
      </c>
      <c r="B296">
        <f>'Runs Z score'!B288</f>
        <v/>
      </c>
      <c r="C296">
        <f>'Runs Z score'!C288</f>
        <v/>
      </c>
      <c r="D296">
        <f>'Runs Z score'!D288</f>
        <v/>
      </c>
      <c r="E296">
        <f>'Runs Z score'!E288</f>
        <v/>
      </c>
      <c r="F296">
        <f>'Runs Z score'!F288</f>
        <v/>
      </c>
      <c r="G296">
        <f>'Runs Z score'!G288</f>
        <v/>
      </c>
      <c r="H296">
        <f>VLOOKUP(C296,Recipes!$A$2:$N$4,10,FALSE())</f>
        <v/>
      </c>
      <c r="I296">
        <f>VLOOKUP(C296,Recipes!$A$2:$N$4,12,FALSE())</f>
        <v/>
      </c>
      <c r="J296">
        <f>IF(G296="","",H296-G296)</f>
        <v/>
      </c>
      <c r="K296">
        <f>IF(G296="","",IF(ABS(G296-H296)&lt;=$B$6*I296,"OK","NG"))</f>
        <v/>
      </c>
      <c r="L296">
        <f>IF(K296="","",IF(K296=D296,1,0))</f>
        <v/>
      </c>
      <c r="M296" t="inlineStr">
        <is>
          <t>NONE</t>
        </is>
      </c>
      <c r="N296" s="15" t="n">
        <v>1</v>
      </c>
      <c r="O296" s="15" t="n">
        <v>0</v>
      </c>
      <c r="P296">
        <f>IF(M296="","",IF(M296=E296,1,0))</f>
        <v/>
      </c>
      <c r="Q296">
        <f>IF(K296="OK","-",IF(N296&lt;$B$7,"AMBIGUOUS","CONFIDENT"))</f>
        <v/>
      </c>
    </row>
    <row r="297">
      <c r="A297">
        <f>'Runs Z score'!A289</f>
        <v/>
      </c>
      <c r="B297">
        <f>'Runs Z score'!B289</f>
        <v/>
      </c>
      <c r="C297">
        <f>'Runs Z score'!C289</f>
        <v/>
      </c>
      <c r="D297">
        <f>'Runs Z score'!D289</f>
        <v/>
      </c>
      <c r="E297">
        <f>'Runs Z score'!E289</f>
        <v/>
      </c>
      <c r="F297">
        <f>'Runs Z score'!F289</f>
        <v/>
      </c>
      <c r="G297">
        <f>'Runs Z score'!G289</f>
        <v/>
      </c>
      <c r="H297">
        <f>VLOOKUP(C297,Recipes!$A$2:$N$4,10,FALSE())</f>
        <v/>
      </c>
      <c r="I297">
        <f>VLOOKUP(C297,Recipes!$A$2:$N$4,12,FALSE())</f>
        <v/>
      </c>
      <c r="J297">
        <f>IF(G297="","",H297-G297)</f>
        <v/>
      </c>
      <c r="K297">
        <f>IF(G297="","",IF(ABS(G297-H297)&lt;=$B$6*I297,"OK","NG"))</f>
        <v/>
      </c>
      <c r="L297">
        <f>IF(K297="","",IF(K297=D297,1,0))</f>
        <v/>
      </c>
      <c r="M297" t="inlineStr">
        <is>
          <t>NONE</t>
        </is>
      </c>
      <c r="N297" s="15" t="n">
        <v>1</v>
      </c>
      <c r="O297" s="15" t="n">
        <v>0</v>
      </c>
      <c r="P297">
        <f>IF(M297="","",IF(M297=E297,1,0))</f>
        <v/>
      </c>
      <c r="Q297">
        <f>IF(K297="OK","-",IF(N297&lt;$B$7,"AMBIGUOUS","CONFIDENT"))</f>
        <v/>
      </c>
    </row>
    <row r="298">
      <c r="A298">
        <f>'Runs Z score'!A290</f>
        <v/>
      </c>
      <c r="B298">
        <f>'Runs Z score'!B290</f>
        <v/>
      </c>
      <c r="C298">
        <f>'Runs Z score'!C290</f>
        <v/>
      </c>
      <c r="D298">
        <f>'Runs Z score'!D290</f>
        <v/>
      </c>
      <c r="E298">
        <f>'Runs Z score'!E290</f>
        <v/>
      </c>
      <c r="F298">
        <f>'Runs Z score'!F290</f>
        <v/>
      </c>
      <c r="G298">
        <f>'Runs Z score'!G290</f>
        <v/>
      </c>
      <c r="H298">
        <f>VLOOKUP(C298,Recipes!$A$2:$N$4,10,FALSE())</f>
        <v/>
      </c>
      <c r="I298">
        <f>VLOOKUP(C298,Recipes!$A$2:$N$4,12,FALSE())</f>
        <v/>
      </c>
      <c r="J298">
        <f>IF(G298="","",H298-G298)</f>
        <v/>
      </c>
      <c r="K298">
        <f>IF(G298="","",IF(ABS(G298-H298)&lt;=$B$6*I298,"OK","NG"))</f>
        <v/>
      </c>
      <c r="L298">
        <f>IF(K298="","",IF(K298=D298,1,0))</f>
        <v/>
      </c>
      <c r="M298" t="inlineStr">
        <is>
          <t>NONE</t>
        </is>
      </c>
      <c r="N298" s="15" t="n">
        <v>1</v>
      </c>
      <c r="O298" s="15" t="n">
        <v>0</v>
      </c>
      <c r="P298">
        <f>IF(M298="","",IF(M298=E298,1,0))</f>
        <v/>
      </c>
      <c r="Q298">
        <f>IF(K298="OK","-",IF(N298&lt;$B$7,"AMBIGUOUS","CONFIDENT"))</f>
        <v/>
      </c>
    </row>
    <row r="299">
      <c r="A299">
        <f>'Runs Z score'!A291</f>
        <v/>
      </c>
      <c r="B299">
        <f>'Runs Z score'!B291</f>
        <v/>
      </c>
      <c r="C299">
        <f>'Runs Z score'!C291</f>
        <v/>
      </c>
      <c r="D299">
        <f>'Runs Z score'!D291</f>
        <v/>
      </c>
      <c r="E299">
        <f>'Runs Z score'!E291</f>
        <v/>
      </c>
      <c r="F299">
        <f>'Runs Z score'!F291</f>
        <v/>
      </c>
      <c r="G299">
        <f>'Runs Z score'!G291</f>
        <v/>
      </c>
      <c r="H299">
        <f>VLOOKUP(C299,Recipes!$A$2:$N$4,10,FALSE())</f>
        <v/>
      </c>
      <c r="I299">
        <f>VLOOKUP(C299,Recipes!$A$2:$N$4,12,FALSE())</f>
        <v/>
      </c>
      <c r="J299">
        <f>IF(G299="","",H299-G299)</f>
        <v/>
      </c>
      <c r="K299">
        <f>IF(G299="","",IF(ABS(G299-H299)&lt;=$B$6*I299,"OK","NG"))</f>
        <v/>
      </c>
      <c r="L299">
        <f>IF(K299="","",IF(K299=D299,1,0))</f>
        <v/>
      </c>
      <c r="M299" t="inlineStr">
        <is>
          <t>NONE</t>
        </is>
      </c>
      <c r="N299" s="15" t="n">
        <v>1</v>
      </c>
      <c r="O299" s="15" t="n">
        <v>0</v>
      </c>
      <c r="P299">
        <f>IF(M299="","",IF(M299=E299,1,0))</f>
        <v/>
      </c>
      <c r="Q299">
        <f>IF(K299="OK","-",IF(N299&lt;$B$7,"AMBIGUOUS","CONFIDENT"))</f>
        <v/>
      </c>
    </row>
    <row r="300">
      <c r="A300">
        <f>'Runs Z score'!A292</f>
        <v/>
      </c>
      <c r="B300">
        <f>'Runs Z score'!B292</f>
        <v/>
      </c>
      <c r="C300">
        <f>'Runs Z score'!C292</f>
        <v/>
      </c>
      <c r="D300">
        <f>'Runs Z score'!D292</f>
        <v/>
      </c>
      <c r="E300">
        <f>'Runs Z score'!E292</f>
        <v/>
      </c>
      <c r="F300">
        <f>'Runs Z score'!F292</f>
        <v/>
      </c>
      <c r="G300">
        <f>'Runs Z score'!G292</f>
        <v/>
      </c>
      <c r="H300">
        <f>VLOOKUP(C300,Recipes!$A$2:$N$4,10,FALSE())</f>
        <v/>
      </c>
      <c r="I300">
        <f>VLOOKUP(C300,Recipes!$A$2:$N$4,12,FALSE())</f>
        <v/>
      </c>
      <c r="J300">
        <f>IF(G300="","",H300-G300)</f>
        <v/>
      </c>
      <c r="K300">
        <f>IF(G300="","",IF(ABS(G300-H300)&lt;=$B$6*I300,"OK","NG"))</f>
        <v/>
      </c>
      <c r="L300">
        <f>IF(K300="","",IF(K300=D300,1,0))</f>
        <v/>
      </c>
      <c r="M300" t="inlineStr">
        <is>
          <t>NONE</t>
        </is>
      </c>
      <c r="N300" s="15" t="n">
        <v>1</v>
      </c>
      <c r="O300" s="15" t="n">
        <v>0</v>
      </c>
      <c r="P300">
        <f>IF(M300="","",IF(M300=E300,1,0))</f>
        <v/>
      </c>
      <c r="Q300">
        <f>IF(K300="OK","-",IF(N300&lt;$B$7,"AMBIGUOUS","CONFIDENT"))</f>
        <v/>
      </c>
    </row>
    <row r="301">
      <c r="A301">
        <f>'Runs Z score'!A293</f>
        <v/>
      </c>
      <c r="B301">
        <f>'Runs Z score'!B293</f>
        <v/>
      </c>
      <c r="C301">
        <f>'Runs Z score'!C293</f>
        <v/>
      </c>
      <c r="D301">
        <f>'Runs Z score'!D293</f>
        <v/>
      </c>
      <c r="E301">
        <f>'Runs Z score'!E293</f>
        <v/>
      </c>
      <c r="F301">
        <f>'Runs Z score'!F293</f>
        <v/>
      </c>
      <c r="G301">
        <f>'Runs Z score'!G293</f>
        <v/>
      </c>
      <c r="H301">
        <f>VLOOKUP(C301,Recipes!$A$2:$N$4,10,FALSE())</f>
        <v/>
      </c>
      <c r="I301">
        <f>VLOOKUP(C301,Recipes!$A$2:$N$4,12,FALSE())</f>
        <v/>
      </c>
      <c r="J301">
        <f>IF(G301="","",H301-G301)</f>
        <v/>
      </c>
      <c r="K301">
        <f>IF(G301="","",IF(ABS(G301-H301)&lt;=$B$6*I301,"OK","NG"))</f>
        <v/>
      </c>
      <c r="L301">
        <f>IF(K301="","",IF(K301=D301,1,0))</f>
        <v/>
      </c>
      <c r="M301" t="inlineStr">
        <is>
          <t>NONE</t>
        </is>
      </c>
      <c r="N301" s="15" t="n">
        <v>1</v>
      </c>
      <c r="O301" s="15" t="n">
        <v>0</v>
      </c>
      <c r="P301">
        <f>IF(M301="","",IF(M301=E301,1,0))</f>
        <v/>
      </c>
      <c r="Q301">
        <f>IF(K301="OK","-",IF(N301&lt;$B$7,"AMBIGUOUS","CONFIDENT"))</f>
        <v/>
      </c>
    </row>
    <row r="302">
      <c r="A302">
        <f>'Runs Z score'!A294</f>
        <v/>
      </c>
      <c r="B302">
        <f>'Runs Z score'!B294</f>
        <v/>
      </c>
      <c r="C302">
        <f>'Runs Z score'!C294</f>
        <v/>
      </c>
      <c r="D302">
        <f>'Runs Z score'!D294</f>
        <v/>
      </c>
      <c r="E302">
        <f>'Runs Z score'!E294</f>
        <v/>
      </c>
      <c r="F302">
        <f>'Runs Z score'!F294</f>
        <v/>
      </c>
      <c r="G302">
        <f>'Runs Z score'!G294</f>
        <v/>
      </c>
      <c r="H302">
        <f>VLOOKUP(C302,Recipes!$A$2:$N$4,10,FALSE())</f>
        <v/>
      </c>
      <c r="I302">
        <f>VLOOKUP(C302,Recipes!$A$2:$N$4,12,FALSE())</f>
        <v/>
      </c>
      <c r="J302">
        <f>IF(G302="","",H302-G302)</f>
        <v/>
      </c>
      <c r="K302">
        <f>IF(G302="","",IF(ABS(G302-H302)&lt;=$B$6*I302,"OK","NG"))</f>
        <v/>
      </c>
      <c r="L302">
        <f>IF(K302="","",IF(K302=D302,1,0))</f>
        <v/>
      </c>
      <c r="M302" t="inlineStr">
        <is>
          <t>NONE</t>
        </is>
      </c>
      <c r="N302" s="15" t="n">
        <v>1</v>
      </c>
      <c r="O302" s="15" t="n">
        <v>0</v>
      </c>
      <c r="P302">
        <f>IF(M302="","",IF(M302=E302,1,0))</f>
        <v/>
      </c>
      <c r="Q302">
        <f>IF(K302="OK","-",IF(N302&lt;$B$7,"AMBIGUOUS","CONFIDENT"))</f>
        <v/>
      </c>
    </row>
    <row r="303">
      <c r="A303">
        <f>'Runs Z score'!A295</f>
        <v/>
      </c>
      <c r="B303">
        <f>'Runs Z score'!B295</f>
        <v/>
      </c>
      <c r="C303">
        <f>'Runs Z score'!C295</f>
        <v/>
      </c>
      <c r="D303">
        <f>'Runs Z score'!D295</f>
        <v/>
      </c>
      <c r="E303">
        <f>'Runs Z score'!E295</f>
        <v/>
      </c>
      <c r="F303">
        <f>'Runs Z score'!F295</f>
        <v/>
      </c>
      <c r="G303">
        <f>'Runs Z score'!G295</f>
        <v/>
      </c>
      <c r="H303">
        <f>VLOOKUP(C303,Recipes!$A$2:$N$4,10,FALSE())</f>
        <v/>
      </c>
      <c r="I303">
        <f>VLOOKUP(C303,Recipes!$A$2:$N$4,12,FALSE())</f>
        <v/>
      </c>
      <c r="J303">
        <f>IF(G303="","",H303-G303)</f>
        <v/>
      </c>
      <c r="K303">
        <f>IF(G303="","",IF(ABS(G303-H303)&lt;=$B$6*I303,"OK","NG"))</f>
        <v/>
      </c>
      <c r="L303">
        <f>IF(K303="","",IF(K303=D303,1,0))</f>
        <v/>
      </c>
      <c r="M303" t="inlineStr">
        <is>
          <t>NONE</t>
        </is>
      </c>
      <c r="N303" s="15" t="n">
        <v>1</v>
      </c>
      <c r="O303" s="15" t="n">
        <v>0</v>
      </c>
      <c r="P303">
        <f>IF(M303="","",IF(M303=E303,1,0))</f>
        <v/>
      </c>
      <c r="Q303">
        <f>IF(K303="OK","-",IF(N303&lt;$B$7,"AMBIGUOUS","CONFIDENT"))</f>
        <v/>
      </c>
    </row>
    <row r="304">
      <c r="A304">
        <f>'Runs Z score'!A296</f>
        <v/>
      </c>
      <c r="B304">
        <f>'Runs Z score'!B296</f>
        <v/>
      </c>
      <c r="C304">
        <f>'Runs Z score'!C296</f>
        <v/>
      </c>
      <c r="D304">
        <f>'Runs Z score'!D296</f>
        <v/>
      </c>
      <c r="E304">
        <f>'Runs Z score'!E296</f>
        <v/>
      </c>
      <c r="F304">
        <f>'Runs Z score'!F296</f>
        <v/>
      </c>
      <c r="G304">
        <f>'Runs Z score'!G296</f>
        <v/>
      </c>
      <c r="H304">
        <f>VLOOKUP(C304,Recipes!$A$2:$N$4,10,FALSE())</f>
        <v/>
      </c>
      <c r="I304">
        <f>VLOOKUP(C304,Recipes!$A$2:$N$4,12,FALSE())</f>
        <v/>
      </c>
      <c r="J304">
        <f>IF(G304="","",H304-G304)</f>
        <v/>
      </c>
      <c r="K304">
        <f>IF(G304="","",IF(ABS(G304-H304)&lt;=$B$6*I304,"OK","NG"))</f>
        <v/>
      </c>
      <c r="L304">
        <f>IF(K304="","",IF(K304=D304,1,0))</f>
        <v/>
      </c>
      <c r="M304" t="inlineStr">
        <is>
          <t>NONE</t>
        </is>
      </c>
      <c r="N304" s="15" t="n">
        <v>1</v>
      </c>
      <c r="O304" s="15" t="n">
        <v>0</v>
      </c>
      <c r="P304">
        <f>IF(M304="","",IF(M304=E304,1,0))</f>
        <v/>
      </c>
      <c r="Q304">
        <f>IF(K304="OK","-",IF(N304&lt;$B$7,"AMBIGUOUS","CONFIDENT"))</f>
        <v/>
      </c>
    </row>
    <row r="305">
      <c r="A305">
        <f>'Runs Z score'!A297</f>
        <v/>
      </c>
      <c r="B305">
        <f>'Runs Z score'!B297</f>
        <v/>
      </c>
      <c r="C305">
        <f>'Runs Z score'!C297</f>
        <v/>
      </c>
      <c r="D305">
        <f>'Runs Z score'!D297</f>
        <v/>
      </c>
      <c r="E305">
        <f>'Runs Z score'!E297</f>
        <v/>
      </c>
      <c r="F305">
        <f>'Runs Z score'!F297</f>
        <v/>
      </c>
      <c r="G305">
        <f>'Runs Z score'!G297</f>
        <v/>
      </c>
      <c r="H305">
        <f>VLOOKUP(C305,Recipes!$A$2:$N$4,10,FALSE())</f>
        <v/>
      </c>
      <c r="I305">
        <f>VLOOKUP(C305,Recipes!$A$2:$N$4,12,FALSE())</f>
        <v/>
      </c>
      <c r="J305">
        <f>IF(G305="","",H305-G305)</f>
        <v/>
      </c>
      <c r="K305">
        <f>IF(G305="","",IF(ABS(G305-H305)&lt;=$B$6*I305,"OK","NG"))</f>
        <v/>
      </c>
      <c r="L305">
        <f>IF(K305="","",IF(K305=D305,1,0))</f>
        <v/>
      </c>
      <c r="M305" t="inlineStr">
        <is>
          <t>NONE</t>
        </is>
      </c>
      <c r="N305" s="15" t="n">
        <v>1</v>
      </c>
      <c r="O305" s="15" t="n">
        <v>0</v>
      </c>
      <c r="P305">
        <f>IF(M305="","",IF(M305=E305,1,0))</f>
        <v/>
      </c>
      <c r="Q305">
        <f>IF(K305="OK","-",IF(N305&lt;$B$7,"AMBIGUOUS","CONFIDENT"))</f>
        <v/>
      </c>
    </row>
    <row r="306">
      <c r="A306">
        <f>'Runs Z score'!A298</f>
        <v/>
      </c>
      <c r="B306">
        <f>'Runs Z score'!B298</f>
        <v/>
      </c>
      <c r="C306">
        <f>'Runs Z score'!C298</f>
        <v/>
      </c>
      <c r="D306">
        <f>'Runs Z score'!D298</f>
        <v/>
      </c>
      <c r="E306">
        <f>'Runs Z score'!E298</f>
        <v/>
      </c>
      <c r="F306">
        <f>'Runs Z score'!F298</f>
        <v/>
      </c>
      <c r="G306">
        <f>'Runs Z score'!G298</f>
        <v/>
      </c>
      <c r="H306">
        <f>VLOOKUP(C306,Recipes!$A$2:$N$4,10,FALSE())</f>
        <v/>
      </c>
      <c r="I306">
        <f>VLOOKUP(C306,Recipes!$A$2:$N$4,12,FALSE())</f>
        <v/>
      </c>
      <c r="J306">
        <f>IF(G306="","",H306-G306)</f>
        <v/>
      </c>
      <c r="K306">
        <f>IF(G306="","",IF(ABS(G306-H306)&lt;=$B$6*I306,"OK","NG"))</f>
        <v/>
      </c>
      <c r="L306">
        <f>IF(K306="","",IF(K306=D306,1,0))</f>
        <v/>
      </c>
      <c r="M306" t="inlineStr">
        <is>
          <t>NONE</t>
        </is>
      </c>
      <c r="N306" s="15" t="n">
        <v>1</v>
      </c>
      <c r="O306" s="15" t="n">
        <v>0</v>
      </c>
      <c r="P306">
        <f>IF(M306="","",IF(M306=E306,1,0))</f>
        <v/>
      </c>
      <c r="Q306">
        <f>IF(K306="OK","-",IF(N306&lt;$B$7,"AMBIGUOUS","CONFIDENT"))</f>
        <v/>
      </c>
    </row>
    <row r="307">
      <c r="A307">
        <f>'Runs Z score'!A299</f>
        <v/>
      </c>
      <c r="B307">
        <f>'Runs Z score'!B299</f>
        <v/>
      </c>
      <c r="C307">
        <f>'Runs Z score'!C299</f>
        <v/>
      </c>
      <c r="D307">
        <f>'Runs Z score'!D299</f>
        <v/>
      </c>
      <c r="E307">
        <f>'Runs Z score'!E299</f>
        <v/>
      </c>
      <c r="F307">
        <f>'Runs Z score'!F299</f>
        <v/>
      </c>
      <c r="G307">
        <f>'Runs Z score'!G299</f>
        <v/>
      </c>
      <c r="H307">
        <f>VLOOKUP(C307,Recipes!$A$2:$N$4,10,FALSE())</f>
        <v/>
      </c>
      <c r="I307">
        <f>VLOOKUP(C307,Recipes!$A$2:$N$4,12,FALSE())</f>
        <v/>
      </c>
      <c r="J307">
        <f>IF(G307="","",H307-G307)</f>
        <v/>
      </c>
      <c r="K307">
        <f>IF(G307="","",IF(ABS(G307-H307)&lt;=$B$6*I307,"OK","NG"))</f>
        <v/>
      </c>
      <c r="L307">
        <f>IF(K307="","",IF(K307=D307,1,0))</f>
        <v/>
      </c>
      <c r="M307" t="inlineStr">
        <is>
          <t>NONE</t>
        </is>
      </c>
      <c r="N307" s="15" t="n">
        <v>1</v>
      </c>
      <c r="O307" s="15" t="n">
        <v>0</v>
      </c>
      <c r="P307">
        <f>IF(M307="","",IF(M307=E307,1,0))</f>
        <v/>
      </c>
      <c r="Q307">
        <f>IF(K307="OK","-",IF(N307&lt;$B$7,"AMBIGUOUS","CONFIDENT"))</f>
        <v/>
      </c>
    </row>
    <row r="308">
      <c r="A308">
        <f>'Runs Z score'!A300</f>
        <v/>
      </c>
      <c r="B308">
        <f>'Runs Z score'!B300</f>
        <v/>
      </c>
      <c r="C308">
        <f>'Runs Z score'!C300</f>
        <v/>
      </c>
      <c r="D308">
        <f>'Runs Z score'!D300</f>
        <v/>
      </c>
      <c r="E308">
        <f>'Runs Z score'!E300</f>
        <v/>
      </c>
      <c r="F308">
        <f>'Runs Z score'!F300</f>
        <v/>
      </c>
      <c r="G308">
        <f>'Runs Z score'!G300</f>
        <v/>
      </c>
      <c r="H308">
        <f>VLOOKUP(C308,Recipes!$A$2:$N$4,10,FALSE())</f>
        <v/>
      </c>
      <c r="I308">
        <f>VLOOKUP(C308,Recipes!$A$2:$N$4,12,FALSE())</f>
        <v/>
      </c>
      <c r="J308">
        <f>IF(G308="","",H308-G308)</f>
        <v/>
      </c>
      <c r="K308">
        <f>IF(G308="","",IF(ABS(G308-H308)&lt;=$B$6*I308,"OK","NG"))</f>
        <v/>
      </c>
      <c r="L308">
        <f>IF(K308="","",IF(K308=D308,1,0))</f>
        <v/>
      </c>
      <c r="M308" t="inlineStr">
        <is>
          <t>NONE</t>
        </is>
      </c>
      <c r="N308" s="15" t="n">
        <v>1</v>
      </c>
      <c r="O308" s="15" t="n">
        <v>0</v>
      </c>
      <c r="P308">
        <f>IF(M308="","",IF(M308=E308,1,0))</f>
        <v/>
      </c>
      <c r="Q308">
        <f>IF(K308="OK","-",IF(N308&lt;$B$7,"AMBIGUOUS","CONFIDENT"))</f>
        <v/>
      </c>
    </row>
    <row r="309">
      <c r="A309">
        <f>'Runs Z score'!A301</f>
        <v/>
      </c>
      <c r="B309">
        <f>'Runs Z score'!B301</f>
        <v/>
      </c>
      <c r="C309">
        <f>'Runs Z score'!C301</f>
        <v/>
      </c>
      <c r="D309">
        <f>'Runs Z score'!D301</f>
        <v/>
      </c>
      <c r="E309">
        <f>'Runs Z score'!E301</f>
        <v/>
      </c>
      <c r="F309">
        <f>'Runs Z score'!F301</f>
        <v/>
      </c>
      <c r="G309">
        <f>'Runs Z score'!G301</f>
        <v/>
      </c>
      <c r="H309">
        <f>VLOOKUP(C309,Recipes!$A$2:$N$4,10,FALSE())</f>
        <v/>
      </c>
      <c r="I309">
        <f>VLOOKUP(C309,Recipes!$A$2:$N$4,12,FALSE())</f>
        <v/>
      </c>
      <c r="J309">
        <f>IF(G309="","",H309-G309)</f>
        <v/>
      </c>
      <c r="K309">
        <f>IF(G309="","",IF(ABS(G309-H309)&lt;=$B$6*I309,"OK","NG"))</f>
        <v/>
      </c>
      <c r="L309">
        <f>IF(K309="","",IF(K309=D309,1,0))</f>
        <v/>
      </c>
      <c r="M309" t="inlineStr">
        <is>
          <t>NONE</t>
        </is>
      </c>
      <c r="N309" s="15" t="n">
        <v>1</v>
      </c>
      <c r="O309" s="15" t="n">
        <v>0</v>
      </c>
      <c r="P309">
        <f>IF(M309="","",IF(M309=E309,1,0))</f>
        <v/>
      </c>
      <c r="Q309">
        <f>IF(K309="OK","-",IF(N309&lt;$B$7,"AMBIGUOUS","CONFIDENT"))</f>
        <v/>
      </c>
    </row>
    <row r="310">
      <c r="A310">
        <f>'Runs Z score'!A302</f>
        <v/>
      </c>
      <c r="B310">
        <f>'Runs Z score'!B302</f>
        <v/>
      </c>
      <c r="C310">
        <f>'Runs Z score'!C302</f>
        <v/>
      </c>
      <c r="D310">
        <f>'Runs Z score'!D302</f>
        <v/>
      </c>
      <c r="E310">
        <f>'Runs Z score'!E302</f>
        <v/>
      </c>
      <c r="F310">
        <f>'Runs Z score'!F302</f>
        <v/>
      </c>
      <c r="G310">
        <f>'Runs Z score'!G302</f>
        <v/>
      </c>
      <c r="H310">
        <f>VLOOKUP(C310,Recipes!$A$2:$N$4,10,FALSE())</f>
        <v/>
      </c>
      <c r="I310">
        <f>VLOOKUP(C310,Recipes!$A$2:$N$4,12,FALSE())</f>
        <v/>
      </c>
      <c r="J310">
        <f>IF(G310="","",H310-G310)</f>
        <v/>
      </c>
      <c r="K310">
        <f>IF(G310="","",IF(ABS(G310-H310)&lt;=$B$6*I310,"OK","NG"))</f>
        <v/>
      </c>
      <c r="L310">
        <f>IF(K310="","",IF(K310=D310,1,0))</f>
        <v/>
      </c>
      <c r="M310" t="inlineStr">
        <is>
          <t>NONE</t>
        </is>
      </c>
      <c r="N310" s="15" t="n">
        <v>1</v>
      </c>
      <c r="O310" s="15" t="n">
        <v>0</v>
      </c>
      <c r="P310">
        <f>IF(M310="","",IF(M310=E310,1,0))</f>
        <v/>
      </c>
      <c r="Q310">
        <f>IF(K310="OK","-",IF(N310&lt;$B$7,"AMBIGUOUS","CONFIDENT"))</f>
        <v/>
      </c>
    </row>
    <row r="311">
      <c r="A311">
        <f>'Runs Z score'!A303</f>
        <v/>
      </c>
      <c r="B311">
        <f>'Runs Z score'!B303</f>
        <v/>
      </c>
      <c r="C311">
        <f>'Runs Z score'!C303</f>
        <v/>
      </c>
      <c r="D311">
        <f>'Runs Z score'!D303</f>
        <v/>
      </c>
      <c r="E311">
        <f>'Runs Z score'!E303</f>
        <v/>
      </c>
      <c r="F311">
        <f>'Runs Z score'!F303</f>
        <v/>
      </c>
      <c r="G311">
        <f>'Runs Z score'!G303</f>
        <v/>
      </c>
      <c r="H311">
        <f>VLOOKUP(C311,Recipes!$A$2:$N$4,10,FALSE())</f>
        <v/>
      </c>
      <c r="I311">
        <f>VLOOKUP(C311,Recipes!$A$2:$N$4,12,FALSE())</f>
        <v/>
      </c>
      <c r="J311">
        <f>IF(G311="","",H311-G311)</f>
        <v/>
      </c>
      <c r="K311">
        <f>IF(G311="","",IF(ABS(G311-H311)&lt;=$B$6*I311,"OK","NG"))</f>
        <v/>
      </c>
      <c r="L311">
        <f>IF(K311="","",IF(K311=D311,1,0))</f>
        <v/>
      </c>
      <c r="M311" t="inlineStr">
        <is>
          <t>S1</t>
        </is>
      </c>
      <c r="N311" s="15" t="n">
        <v>1</v>
      </c>
      <c r="O311" s="15" t="n">
        <v>0</v>
      </c>
      <c r="P311">
        <f>IF(M311="","",IF(M311=E311,1,0))</f>
        <v/>
      </c>
      <c r="Q311">
        <f>IF(K311="OK","-",IF(N311&lt;$B$7,"AMBIGUOUS","CONFIDENT"))</f>
        <v/>
      </c>
    </row>
    <row r="312">
      <c r="A312">
        <f>'Runs Z score'!A304</f>
        <v/>
      </c>
      <c r="B312">
        <f>'Runs Z score'!B304</f>
        <v/>
      </c>
      <c r="C312">
        <f>'Runs Z score'!C304</f>
        <v/>
      </c>
      <c r="D312">
        <f>'Runs Z score'!D304</f>
        <v/>
      </c>
      <c r="E312">
        <f>'Runs Z score'!E304</f>
        <v/>
      </c>
      <c r="F312">
        <f>'Runs Z score'!F304</f>
        <v/>
      </c>
      <c r="G312">
        <f>'Runs Z score'!G304</f>
        <v/>
      </c>
      <c r="H312">
        <f>VLOOKUP(C312,Recipes!$A$2:$N$4,10,FALSE())</f>
        <v/>
      </c>
      <c r="I312">
        <f>VLOOKUP(C312,Recipes!$A$2:$N$4,12,FALSE())</f>
        <v/>
      </c>
      <c r="J312">
        <f>IF(G312="","",H312-G312)</f>
        <v/>
      </c>
      <c r="K312">
        <f>IF(G312="","",IF(ABS(G312-H312)&lt;=$B$6*I312,"OK","NG"))</f>
        <v/>
      </c>
      <c r="L312">
        <f>IF(K312="","",IF(K312=D312,1,0))</f>
        <v/>
      </c>
      <c r="M312" t="inlineStr">
        <is>
          <t>S1</t>
        </is>
      </c>
      <c r="N312" s="15" t="n">
        <v>1</v>
      </c>
      <c r="O312" s="15" t="n">
        <v>0</v>
      </c>
      <c r="P312">
        <f>IF(M312="","",IF(M312=E312,1,0))</f>
        <v/>
      </c>
      <c r="Q312">
        <f>IF(K312="OK","-",IF(N312&lt;$B$7,"AMBIGUOUS","CONFIDENT"))</f>
        <v/>
      </c>
    </row>
    <row r="313">
      <c r="A313">
        <f>'Runs Z score'!A305</f>
        <v/>
      </c>
      <c r="B313">
        <f>'Runs Z score'!B305</f>
        <v/>
      </c>
      <c r="C313">
        <f>'Runs Z score'!C305</f>
        <v/>
      </c>
      <c r="D313">
        <f>'Runs Z score'!D305</f>
        <v/>
      </c>
      <c r="E313">
        <f>'Runs Z score'!E305</f>
        <v/>
      </c>
      <c r="F313">
        <f>'Runs Z score'!F305</f>
        <v/>
      </c>
      <c r="G313">
        <f>'Runs Z score'!G305</f>
        <v/>
      </c>
      <c r="H313">
        <f>VLOOKUP(C313,Recipes!$A$2:$N$4,10,FALSE())</f>
        <v/>
      </c>
      <c r="I313">
        <f>VLOOKUP(C313,Recipes!$A$2:$N$4,12,FALSE())</f>
        <v/>
      </c>
      <c r="J313">
        <f>IF(G313="","",H313-G313)</f>
        <v/>
      </c>
      <c r="K313">
        <f>IF(G313="","",IF(ABS(G313-H313)&lt;=$B$6*I313,"OK","NG"))</f>
        <v/>
      </c>
      <c r="L313">
        <f>IF(K313="","",IF(K313=D313,1,0))</f>
        <v/>
      </c>
      <c r="M313" t="inlineStr">
        <is>
          <t>S1</t>
        </is>
      </c>
      <c r="N313" s="15" t="n">
        <v>1</v>
      </c>
      <c r="O313" s="15" t="n">
        <v>0</v>
      </c>
      <c r="P313">
        <f>IF(M313="","",IF(M313=E313,1,0))</f>
        <v/>
      </c>
      <c r="Q313">
        <f>IF(K313="OK","-",IF(N313&lt;$B$7,"AMBIGUOUS","CONFIDENT"))</f>
        <v/>
      </c>
    </row>
    <row r="314">
      <c r="A314">
        <f>'Runs Z score'!A306</f>
        <v/>
      </c>
      <c r="B314">
        <f>'Runs Z score'!B306</f>
        <v/>
      </c>
      <c r="C314">
        <f>'Runs Z score'!C306</f>
        <v/>
      </c>
      <c r="D314">
        <f>'Runs Z score'!D306</f>
        <v/>
      </c>
      <c r="E314">
        <f>'Runs Z score'!E306</f>
        <v/>
      </c>
      <c r="F314">
        <f>'Runs Z score'!F306</f>
        <v/>
      </c>
      <c r="G314">
        <f>'Runs Z score'!G306</f>
        <v/>
      </c>
      <c r="H314">
        <f>VLOOKUP(C314,Recipes!$A$2:$N$4,10,FALSE())</f>
        <v/>
      </c>
      <c r="I314">
        <f>VLOOKUP(C314,Recipes!$A$2:$N$4,12,FALSE())</f>
        <v/>
      </c>
      <c r="J314">
        <f>IF(G314="","",H314-G314)</f>
        <v/>
      </c>
      <c r="K314">
        <f>IF(G314="","",IF(ABS(G314-H314)&lt;=$B$6*I314,"OK","NG"))</f>
        <v/>
      </c>
      <c r="L314">
        <f>IF(K314="","",IF(K314=D314,1,0))</f>
        <v/>
      </c>
      <c r="M314" t="inlineStr">
        <is>
          <t>S1</t>
        </is>
      </c>
      <c r="N314" s="15" t="n">
        <v>1</v>
      </c>
      <c r="O314" s="15" t="n">
        <v>0</v>
      </c>
      <c r="P314">
        <f>IF(M314="","",IF(M314=E314,1,0))</f>
        <v/>
      </c>
      <c r="Q314">
        <f>IF(K314="OK","-",IF(N314&lt;$B$7,"AMBIGUOUS","CONFIDENT"))</f>
        <v/>
      </c>
    </row>
    <row r="315">
      <c r="A315">
        <f>'Runs Z score'!A307</f>
        <v/>
      </c>
      <c r="B315">
        <f>'Runs Z score'!B307</f>
        <v/>
      </c>
      <c r="C315">
        <f>'Runs Z score'!C307</f>
        <v/>
      </c>
      <c r="D315">
        <f>'Runs Z score'!D307</f>
        <v/>
      </c>
      <c r="E315">
        <f>'Runs Z score'!E307</f>
        <v/>
      </c>
      <c r="F315">
        <f>'Runs Z score'!F307</f>
        <v/>
      </c>
      <c r="G315">
        <f>'Runs Z score'!G307</f>
        <v/>
      </c>
      <c r="H315">
        <f>VLOOKUP(C315,Recipes!$A$2:$N$4,10,FALSE())</f>
        <v/>
      </c>
      <c r="I315">
        <f>VLOOKUP(C315,Recipes!$A$2:$N$4,12,FALSE())</f>
        <v/>
      </c>
      <c r="J315">
        <f>IF(G315="","",H315-G315)</f>
        <v/>
      </c>
      <c r="K315">
        <f>IF(G315="","",IF(ABS(G315-H315)&lt;=$B$6*I315,"OK","NG"))</f>
        <v/>
      </c>
      <c r="L315">
        <f>IF(K315="","",IF(K315=D315,1,0))</f>
        <v/>
      </c>
      <c r="M315" t="inlineStr">
        <is>
          <t>S1</t>
        </is>
      </c>
      <c r="N315" s="15" t="n">
        <v>1</v>
      </c>
      <c r="O315" s="15" t="n">
        <v>0</v>
      </c>
      <c r="P315">
        <f>IF(M315="","",IF(M315=E315,1,0))</f>
        <v/>
      </c>
      <c r="Q315">
        <f>IF(K315="OK","-",IF(N315&lt;$B$7,"AMBIGUOUS","CONFIDENT"))</f>
        <v/>
      </c>
    </row>
    <row r="316">
      <c r="A316">
        <f>'Runs Z score'!A308</f>
        <v/>
      </c>
      <c r="B316">
        <f>'Runs Z score'!B308</f>
        <v/>
      </c>
      <c r="C316">
        <f>'Runs Z score'!C308</f>
        <v/>
      </c>
      <c r="D316">
        <f>'Runs Z score'!D308</f>
        <v/>
      </c>
      <c r="E316">
        <f>'Runs Z score'!E308</f>
        <v/>
      </c>
      <c r="F316">
        <f>'Runs Z score'!F308</f>
        <v/>
      </c>
      <c r="G316">
        <f>'Runs Z score'!G308</f>
        <v/>
      </c>
      <c r="H316">
        <f>VLOOKUP(C316,Recipes!$A$2:$N$4,10,FALSE())</f>
        <v/>
      </c>
      <c r="I316">
        <f>VLOOKUP(C316,Recipes!$A$2:$N$4,12,FALSE())</f>
        <v/>
      </c>
      <c r="J316">
        <f>IF(G316="","",H316-G316)</f>
        <v/>
      </c>
      <c r="K316">
        <f>IF(G316="","",IF(ABS(G316-H316)&lt;=$B$6*I316,"OK","NG"))</f>
        <v/>
      </c>
      <c r="L316">
        <f>IF(K316="","",IF(K316=D316,1,0))</f>
        <v/>
      </c>
      <c r="M316" t="inlineStr">
        <is>
          <t>S1</t>
        </is>
      </c>
      <c r="N316" s="15" t="n">
        <v>1</v>
      </c>
      <c r="O316" s="15" t="n">
        <v>0</v>
      </c>
      <c r="P316">
        <f>IF(M316="","",IF(M316=E316,1,0))</f>
        <v/>
      </c>
      <c r="Q316">
        <f>IF(K316="OK","-",IF(N316&lt;$B$7,"AMBIGUOUS","CONFIDENT"))</f>
        <v/>
      </c>
    </row>
    <row r="317">
      <c r="A317">
        <f>'Runs Z score'!A309</f>
        <v/>
      </c>
      <c r="B317">
        <f>'Runs Z score'!B309</f>
        <v/>
      </c>
      <c r="C317">
        <f>'Runs Z score'!C309</f>
        <v/>
      </c>
      <c r="D317">
        <f>'Runs Z score'!D309</f>
        <v/>
      </c>
      <c r="E317">
        <f>'Runs Z score'!E309</f>
        <v/>
      </c>
      <c r="F317">
        <f>'Runs Z score'!F309</f>
        <v/>
      </c>
      <c r="G317">
        <f>'Runs Z score'!G309</f>
        <v/>
      </c>
      <c r="H317">
        <f>VLOOKUP(C317,Recipes!$A$2:$N$4,10,FALSE())</f>
        <v/>
      </c>
      <c r="I317">
        <f>VLOOKUP(C317,Recipes!$A$2:$N$4,12,FALSE())</f>
        <v/>
      </c>
      <c r="J317">
        <f>IF(G317="","",H317-G317)</f>
        <v/>
      </c>
      <c r="K317">
        <f>IF(G317="","",IF(ABS(G317-H317)&lt;=$B$6*I317,"OK","NG"))</f>
        <v/>
      </c>
      <c r="L317">
        <f>IF(K317="","",IF(K317=D317,1,0))</f>
        <v/>
      </c>
      <c r="M317" t="inlineStr">
        <is>
          <t>S1</t>
        </is>
      </c>
      <c r="N317" s="15" t="n">
        <v>1</v>
      </c>
      <c r="O317" s="15" t="n">
        <v>0</v>
      </c>
      <c r="P317">
        <f>IF(M317="","",IF(M317=E317,1,0))</f>
        <v/>
      </c>
      <c r="Q317">
        <f>IF(K317="OK","-",IF(N317&lt;$B$7,"AMBIGUOUS","CONFIDENT"))</f>
        <v/>
      </c>
    </row>
    <row r="318">
      <c r="A318">
        <f>'Runs Z score'!A310</f>
        <v/>
      </c>
      <c r="B318">
        <f>'Runs Z score'!B310</f>
        <v/>
      </c>
      <c r="C318">
        <f>'Runs Z score'!C310</f>
        <v/>
      </c>
      <c r="D318">
        <f>'Runs Z score'!D310</f>
        <v/>
      </c>
      <c r="E318">
        <f>'Runs Z score'!E310</f>
        <v/>
      </c>
      <c r="F318">
        <f>'Runs Z score'!F310</f>
        <v/>
      </c>
      <c r="G318">
        <f>'Runs Z score'!G310</f>
        <v/>
      </c>
      <c r="H318">
        <f>VLOOKUP(C318,Recipes!$A$2:$N$4,10,FALSE())</f>
        <v/>
      </c>
      <c r="I318">
        <f>VLOOKUP(C318,Recipes!$A$2:$N$4,12,FALSE())</f>
        <v/>
      </c>
      <c r="J318">
        <f>IF(G318="","",H318-G318)</f>
        <v/>
      </c>
      <c r="K318">
        <f>IF(G318="","",IF(ABS(G318-H318)&lt;=$B$6*I318,"OK","NG"))</f>
        <v/>
      </c>
      <c r="L318">
        <f>IF(K318="","",IF(K318=D318,1,0))</f>
        <v/>
      </c>
      <c r="M318" t="inlineStr">
        <is>
          <t>S1</t>
        </is>
      </c>
      <c r="N318" s="15" t="n">
        <v>1</v>
      </c>
      <c r="O318" s="15" t="n">
        <v>0</v>
      </c>
      <c r="P318">
        <f>IF(M318="","",IF(M318=E318,1,0))</f>
        <v/>
      </c>
      <c r="Q318">
        <f>IF(K318="OK","-",IF(N318&lt;$B$7,"AMBIGUOUS","CONFIDENT"))</f>
        <v/>
      </c>
    </row>
    <row r="319">
      <c r="A319">
        <f>'Runs Z score'!A311</f>
        <v/>
      </c>
      <c r="B319">
        <f>'Runs Z score'!B311</f>
        <v/>
      </c>
      <c r="C319">
        <f>'Runs Z score'!C311</f>
        <v/>
      </c>
      <c r="D319">
        <f>'Runs Z score'!D311</f>
        <v/>
      </c>
      <c r="E319">
        <f>'Runs Z score'!E311</f>
        <v/>
      </c>
      <c r="F319">
        <f>'Runs Z score'!F311</f>
        <v/>
      </c>
      <c r="G319">
        <f>'Runs Z score'!G311</f>
        <v/>
      </c>
      <c r="H319">
        <f>VLOOKUP(C319,Recipes!$A$2:$N$4,10,FALSE())</f>
        <v/>
      </c>
      <c r="I319">
        <f>VLOOKUP(C319,Recipes!$A$2:$N$4,12,FALSE())</f>
        <v/>
      </c>
      <c r="J319">
        <f>IF(G319="","",H319-G319)</f>
        <v/>
      </c>
      <c r="K319">
        <f>IF(G319="","",IF(ABS(G319-H319)&lt;=$B$6*I319,"OK","NG"))</f>
        <v/>
      </c>
      <c r="L319">
        <f>IF(K319="","",IF(K319=D319,1,0))</f>
        <v/>
      </c>
      <c r="M319" t="inlineStr">
        <is>
          <t>S1</t>
        </is>
      </c>
      <c r="N319" s="15" t="n">
        <v>0.9967</v>
      </c>
      <c r="O319" s="15" t="n">
        <v>0.0033</v>
      </c>
      <c r="P319">
        <f>IF(M319="","",IF(M319=E319,1,0))</f>
        <v/>
      </c>
      <c r="Q319">
        <f>IF(K319="OK","-",IF(N319&lt;$B$7,"AMBIGUOUS","CONFIDENT"))</f>
        <v/>
      </c>
    </row>
    <row r="320">
      <c r="A320">
        <f>'Runs Z score'!A312</f>
        <v/>
      </c>
      <c r="B320">
        <f>'Runs Z score'!B312</f>
        <v/>
      </c>
      <c r="C320">
        <f>'Runs Z score'!C312</f>
        <v/>
      </c>
      <c r="D320">
        <f>'Runs Z score'!D312</f>
        <v/>
      </c>
      <c r="E320">
        <f>'Runs Z score'!E312</f>
        <v/>
      </c>
      <c r="F320">
        <f>'Runs Z score'!F312</f>
        <v/>
      </c>
      <c r="G320">
        <f>'Runs Z score'!G312</f>
        <v/>
      </c>
      <c r="H320">
        <f>VLOOKUP(C320,Recipes!$A$2:$N$4,10,FALSE())</f>
        <v/>
      </c>
      <c r="I320">
        <f>VLOOKUP(C320,Recipes!$A$2:$N$4,12,FALSE())</f>
        <v/>
      </c>
      <c r="J320">
        <f>IF(G320="","",H320-G320)</f>
        <v/>
      </c>
      <c r="K320">
        <f>IF(G320="","",IF(ABS(G320-H320)&lt;=$B$6*I320,"OK","NG"))</f>
        <v/>
      </c>
      <c r="L320">
        <f>IF(K320="","",IF(K320=D320,1,0))</f>
        <v/>
      </c>
      <c r="M320" t="inlineStr">
        <is>
          <t>S1</t>
        </is>
      </c>
      <c r="N320" s="15" t="n">
        <v>1</v>
      </c>
      <c r="O320" s="15" t="n">
        <v>0</v>
      </c>
      <c r="P320">
        <f>IF(M320="","",IF(M320=E320,1,0))</f>
        <v/>
      </c>
      <c r="Q320">
        <f>IF(K320="OK","-",IF(N320&lt;$B$7,"AMBIGUOUS","CONFIDENT"))</f>
        <v/>
      </c>
    </row>
    <row r="321">
      <c r="A321">
        <f>'Runs Z score'!A313</f>
        <v/>
      </c>
      <c r="B321">
        <f>'Runs Z score'!B313</f>
        <v/>
      </c>
      <c r="C321">
        <f>'Runs Z score'!C313</f>
        <v/>
      </c>
      <c r="D321">
        <f>'Runs Z score'!D313</f>
        <v/>
      </c>
      <c r="E321">
        <f>'Runs Z score'!E313</f>
        <v/>
      </c>
      <c r="F321">
        <f>'Runs Z score'!F313</f>
        <v/>
      </c>
      <c r="G321">
        <f>'Runs Z score'!G313</f>
        <v/>
      </c>
      <c r="H321">
        <f>VLOOKUP(C321,Recipes!$A$2:$N$4,10,FALSE())</f>
        <v/>
      </c>
      <c r="I321">
        <f>VLOOKUP(C321,Recipes!$A$2:$N$4,12,FALSE())</f>
        <v/>
      </c>
      <c r="J321">
        <f>IF(G321="","",H321-G321)</f>
        <v/>
      </c>
      <c r="K321">
        <f>IF(G321="","",IF(ABS(G321-H321)&lt;=$B$6*I321,"OK","NG"))</f>
        <v/>
      </c>
      <c r="L321">
        <f>IF(K321="","",IF(K321=D321,1,0))</f>
        <v/>
      </c>
      <c r="M321" t="inlineStr">
        <is>
          <t>S1</t>
        </is>
      </c>
      <c r="N321" s="15" t="n">
        <v>1</v>
      </c>
      <c r="O321" s="15" t="n">
        <v>0</v>
      </c>
      <c r="P321">
        <f>IF(M321="","",IF(M321=E321,1,0))</f>
        <v/>
      </c>
      <c r="Q321">
        <f>IF(K321="OK","-",IF(N321&lt;$B$7,"AMBIGUOUS","CONFIDENT"))</f>
        <v/>
      </c>
    </row>
    <row r="322">
      <c r="A322">
        <f>'Runs Z score'!A314</f>
        <v/>
      </c>
      <c r="B322">
        <f>'Runs Z score'!B314</f>
        <v/>
      </c>
      <c r="C322">
        <f>'Runs Z score'!C314</f>
        <v/>
      </c>
      <c r="D322">
        <f>'Runs Z score'!D314</f>
        <v/>
      </c>
      <c r="E322">
        <f>'Runs Z score'!E314</f>
        <v/>
      </c>
      <c r="F322">
        <f>'Runs Z score'!F314</f>
        <v/>
      </c>
      <c r="G322">
        <f>'Runs Z score'!G314</f>
        <v/>
      </c>
      <c r="H322">
        <f>VLOOKUP(C322,Recipes!$A$2:$N$4,10,FALSE())</f>
        <v/>
      </c>
      <c r="I322">
        <f>VLOOKUP(C322,Recipes!$A$2:$N$4,12,FALSE())</f>
        <v/>
      </c>
      <c r="J322">
        <f>IF(G322="","",H322-G322)</f>
        <v/>
      </c>
      <c r="K322">
        <f>IF(G322="","",IF(ABS(G322-H322)&lt;=$B$6*I322,"OK","NG"))</f>
        <v/>
      </c>
      <c r="L322">
        <f>IF(K322="","",IF(K322=D322,1,0))</f>
        <v/>
      </c>
      <c r="M322" t="inlineStr">
        <is>
          <t>S1</t>
        </is>
      </c>
      <c r="N322" s="15" t="n">
        <v>1</v>
      </c>
      <c r="O322" s="15" t="n">
        <v>0</v>
      </c>
      <c r="P322">
        <f>IF(M322="","",IF(M322=E322,1,0))</f>
        <v/>
      </c>
      <c r="Q322">
        <f>IF(K322="OK","-",IF(N322&lt;$B$7,"AMBIGUOUS","CONFIDENT"))</f>
        <v/>
      </c>
    </row>
    <row r="323">
      <c r="A323">
        <f>'Runs Z score'!A315</f>
        <v/>
      </c>
      <c r="B323">
        <f>'Runs Z score'!B315</f>
        <v/>
      </c>
      <c r="C323">
        <f>'Runs Z score'!C315</f>
        <v/>
      </c>
      <c r="D323">
        <f>'Runs Z score'!D315</f>
        <v/>
      </c>
      <c r="E323">
        <f>'Runs Z score'!E315</f>
        <v/>
      </c>
      <c r="F323">
        <f>'Runs Z score'!F315</f>
        <v/>
      </c>
      <c r="G323">
        <f>'Runs Z score'!G315</f>
        <v/>
      </c>
      <c r="H323">
        <f>VLOOKUP(C323,Recipes!$A$2:$N$4,10,FALSE())</f>
        <v/>
      </c>
      <c r="I323">
        <f>VLOOKUP(C323,Recipes!$A$2:$N$4,12,FALSE())</f>
        <v/>
      </c>
      <c r="J323">
        <f>IF(G323="","",H323-G323)</f>
        <v/>
      </c>
      <c r="K323">
        <f>IF(G323="","",IF(ABS(G323-H323)&lt;=$B$6*I323,"OK","NG"))</f>
        <v/>
      </c>
      <c r="L323">
        <f>IF(K323="","",IF(K323=D323,1,0))</f>
        <v/>
      </c>
      <c r="M323" t="inlineStr">
        <is>
          <t>S1</t>
        </is>
      </c>
      <c r="N323" s="15" t="n">
        <v>1</v>
      </c>
      <c r="O323" s="15" t="n">
        <v>0</v>
      </c>
      <c r="P323">
        <f>IF(M323="","",IF(M323=E323,1,0))</f>
        <v/>
      </c>
      <c r="Q323">
        <f>IF(K323="OK","-",IF(N323&lt;$B$7,"AMBIGUOUS","CONFIDENT"))</f>
        <v/>
      </c>
    </row>
    <row r="324">
      <c r="A324">
        <f>'Runs Z score'!A316</f>
        <v/>
      </c>
      <c r="B324">
        <f>'Runs Z score'!B316</f>
        <v/>
      </c>
      <c r="C324">
        <f>'Runs Z score'!C316</f>
        <v/>
      </c>
      <c r="D324">
        <f>'Runs Z score'!D316</f>
        <v/>
      </c>
      <c r="E324">
        <f>'Runs Z score'!E316</f>
        <v/>
      </c>
      <c r="F324">
        <f>'Runs Z score'!F316</f>
        <v/>
      </c>
      <c r="G324">
        <f>'Runs Z score'!G316</f>
        <v/>
      </c>
      <c r="H324">
        <f>VLOOKUP(C324,Recipes!$A$2:$N$4,10,FALSE())</f>
        <v/>
      </c>
      <c r="I324">
        <f>VLOOKUP(C324,Recipes!$A$2:$N$4,12,FALSE())</f>
        <v/>
      </c>
      <c r="J324">
        <f>IF(G324="","",H324-G324)</f>
        <v/>
      </c>
      <c r="K324">
        <f>IF(G324="","",IF(ABS(G324-H324)&lt;=$B$6*I324,"OK","NG"))</f>
        <v/>
      </c>
      <c r="L324">
        <f>IF(K324="","",IF(K324=D324,1,0))</f>
        <v/>
      </c>
      <c r="M324" t="inlineStr">
        <is>
          <t>S1</t>
        </is>
      </c>
      <c r="N324" s="15" t="n">
        <v>1</v>
      </c>
      <c r="O324" s="15" t="n">
        <v>0</v>
      </c>
      <c r="P324">
        <f>IF(M324="","",IF(M324=E324,1,0))</f>
        <v/>
      </c>
      <c r="Q324">
        <f>IF(K324="OK","-",IF(N324&lt;$B$7,"AMBIGUOUS","CONFIDENT"))</f>
        <v/>
      </c>
    </row>
    <row r="325">
      <c r="A325">
        <f>'Runs Z score'!A317</f>
        <v/>
      </c>
      <c r="B325">
        <f>'Runs Z score'!B317</f>
        <v/>
      </c>
      <c r="C325">
        <f>'Runs Z score'!C317</f>
        <v/>
      </c>
      <c r="D325">
        <f>'Runs Z score'!D317</f>
        <v/>
      </c>
      <c r="E325">
        <f>'Runs Z score'!E317</f>
        <v/>
      </c>
      <c r="F325">
        <f>'Runs Z score'!F317</f>
        <v/>
      </c>
      <c r="G325">
        <f>'Runs Z score'!G317</f>
        <v/>
      </c>
      <c r="H325">
        <f>VLOOKUP(C325,Recipes!$A$2:$N$4,10,FALSE())</f>
        <v/>
      </c>
      <c r="I325">
        <f>VLOOKUP(C325,Recipes!$A$2:$N$4,12,FALSE())</f>
        <v/>
      </c>
      <c r="J325">
        <f>IF(G325="","",H325-G325)</f>
        <v/>
      </c>
      <c r="K325">
        <f>IF(G325="","",IF(ABS(G325-H325)&lt;=$B$6*I325,"OK","NG"))</f>
        <v/>
      </c>
      <c r="L325">
        <f>IF(K325="","",IF(K325=D325,1,0))</f>
        <v/>
      </c>
      <c r="M325" t="inlineStr">
        <is>
          <t>S1</t>
        </is>
      </c>
      <c r="N325" s="15" t="n">
        <v>1</v>
      </c>
      <c r="O325" s="15" t="n">
        <v>0</v>
      </c>
      <c r="P325">
        <f>IF(M325="","",IF(M325=E325,1,0))</f>
        <v/>
      </c>
      <c r="Q325">
        <f>IF(K325="OK","-",IF(N325&lt;$B$7,"AMBIGUOUS","CONFIDENT"))</f>
        <v/>
      </c>
    </row>
    <row r="326">
      <c r="A326">
        <f>'Runs Z score'!A318</f>
        <v/>
      </c>
      <c r="B326">
        <f>'Runs Z score'!B318</f>
        <v/>
      </c>
      <c r="C326">
        <f>'Runs Z score'!C318</f>
        <v/>
      </c>
      <c r="D326">
        <f>'Runs Z score'!D318</f>
        <v/>
      </c>
      <c r="E326">
        <f>'Runs Z score'!E318</f>
        <v/>
      </c>
      <c r="F326">
        <f>'Runs Z score'!F318</f>
        <v/>
      </c>
      <c r="G326">
        <f>'Runs Z score'!G318</f>
        <v/>
      </c>
      <c r="H326">
        <f>VLOOKUP(C326,Recipes!$A$2:$N$4,10,FALSE())</f>
        <v/>
      </c>
      <c r="I326">
        <f>VLOOKUP(C326,Recipes!$A$2:$N$4,12,FALSE())</f>
        <v/>
      </c>
      <c r="J326">
        <f>IF(G326="","",H326-G326)</f>
        <v/>
      </c>
      <c r="K326">
        <f>IF(G326="","",IF(ABS(G326-H326)&lt;=$B$6*I326,"OK","NG"))</f>
        <v/>
      </c>
      <c r="L326">
        <f>IF(K326="","",IF(K326=D326,1,0))</f>
        <v/>
      </c>
      <c r="M326" t="inlineStr">
        <is>
          <t>S1</t>
        </is>
      </c>
      <c r="N326" s="15" t="n">
        <v>1</v>
      </c>
      <c r="O326" s="15" t="n">
        <v>0</v>
      </c>
      <c r="P326">
        <f>IF(M326="","",IF(M326=E326,1,0))</f>
        <v/>
      </c>
      <c r="Q326">
        <f>IF(K326="OK","-",IF(N326&lt;$B$7,"AMBIGUOUS","CONFIDENT"))</f>
        <v/>
      </c>
    </row>
    <row r="327">
      <c r="A327">
        <f>'Runs Z score'!A319</f>
        <v/>
      </c>
      <c r="B327">
        <f>'Runs Z score'!B319</f>
        <v/>
      </c>
      <c r="C327">
        <f>'Runs Z score'!C319</f>
        <v/>
      </c>
      <c r="D327">
        <f>'Runs Z score'!D319</f>
        <v/>
      </c>
      <c r="E327">
        <f>'Runs Z score'!E319</f>
        <v/>
      </c>
      <c r="F327">
        <f>'Runs Z score'!F319</f>
        <v/>
      </c>
      <c r="G327">
        <f>'Runs Z score'!G319</f>
        <v/>
      </c>
      <c r="H327">
        <f>VLOOKUP(C327,Recipes!$A$2:$N$4,10,FALSE())</f>
        <v/>
      </c>
      <c r="I327">
        <f>VLOOKUP(C327,Recipes!$A$2:$N$4,12,FALSE())</f>
        <v/>
      </c>
      <c r="J327">
        <f>IF(G327="","",H327-G327)</f>
        <v/>
      </c>
      <c r="K327">
        <f>IF(G327="","",IF(ABS(G327-H327)&lt;=$B$6*I327,"OK","NG"))</f>
        <v/>
      </c>
      <c r="L327">
        <f>IF(K327="","",IF(K327=D327,1,0))</f>
        <v/>
      </c>
      <c r="M327" t="inlineStr">
        <is>
          <t>S1</t>
        </is>
      </c>
      <c r="N327" s="15" t="n">
        <v>1</v>
      </c>
      <c r="O327" s="15" t="n">
        <v>0</v>
      </c>
      <c r="P327">
        <f>IF(M327="","",IF(M327=E327,1,0))</f>
        <v/>
      </c>
      <c r="Q327">
        <f>IF(K327="OK","-",IF(N327&lt;$B$7,"AMBIGUOUS","CONFIDENT"))</f>
        <v/>
      </c>
    </row>
    <row r="328">
      <c r="A328">
        <f>'Runs Z score'!A320</f>
        <v/>
      </c>
      <c r="B328">
        <f>'Runs Z score'!B320</f>
        <v/>
      </c>
      <c r="C328">
        <f>'Runs Z score'!C320</f>
        <v/>
      </c>
      <c r="D328">
        <f>'Runs Z score'!D320</f>
        <v/>
      </c>
      <c r="E328">
        <f>'Runs Z score'!E320</f>
        <v/>
      </c>
      <c r="F328">
        <f>'Runs Z score'!F320</f>
        <v/>
      </c>
      <c r="G328">
        <f>'Runs Z score'!G320</f>
        <v/>
      </c>
      <c r="H328">
        <f>VLOOKUP(C328,Recipes!$A$2:$N$4,10,FALSE())</f>
        <v/>
      </c>
      <c r="I328">
        <f>VLOOKUP(C328,Recipes!$A$2:$N$4,12,FALSE())</f>
        <v/>
      </c>
      <c r="J328">
        <f>IF(G328="","",H328-G328)</f>
        <v/>
      </c>
      <c r="K328">
        <f>IF(G328="","",IF(ABS(G328-H328)&lt;=$B$6*I328,"OK","NG"))</f>
        <v/>
      </c>
      <c r="L328">
        <f>IF(K328="","",IF(K328=D328,1,0))</f>
        <v/>
      </c>
      <c r="M328" t="inlineStr">
        <is>
          <t>S1</t>
        </is>
      </c>
      <c r="N328" s="15" t="n">
        <v>1</v>
      </c>
      <c r="O328" s="15" t="n">
        <v>0</v>
      </c>
      <c r="P328">
        <f>IF(M328="","",IF(M328=E328,1,0))</f>
        <v/>
      </c>
      <c r="Q328">
        <f>IF(K328="OK","-",IF(N328&lt;$B$7,"AMBIGUOUS","CONFIDENT"))</f>
        <v/>
      </c>
    </row>
    <row r="329">
      <c r="A329">
        <f>'Runs Z score'!A321</f>
        <v/>
      </c>
      <c r="B329">
        <f>'Runs Z score'!B321</f>
        <v/>
      </c>
      <c r="C329">
        <f>'Runs Z score'!C321</f>
        <v/>
      </c>
      <c r="D329">
        <f>'Runs Z score'!D321</f>
        <v/>
      </c>
      <c r="E329">
        <f>'Runs Z score'!E321</f>
        <v/>
      </c>
      <c r="F329">
        <f>'Runs Z score'!F321</f>
        <v/>
      </c>
      <c r="G329">
        <f>'Runs Z score'!G321</f>
        <v/>
      </c>
      <c r="H329">
        <f>VLOOKUP(C329,Recipes!$A$2:$N$4,10,FALSE())</f>
        <v/>
      </c>
      <c r="I329">
        <f>VLOOKUP(C329,Recipes!$A$2:$N$4,12,FALSE())</f>
        <v/>
      </c>
      <c r="J329">
        <f>IF(G329="","",H329-G329)</f>
        <v/>
      </c>
      <c r="K329">
        <f>IF(G329="","",IF(ABS(G329-H329)&lt;=$B$6*I329,"OK","NG"))</f>
        <v/>
      </c>
      <c r="L329">
        <f>IF(K329="","",IF(K329=D329,1,0))</f>
        <v/>
      </c>
      <c r="M329" t="inlineStr">
        <is>
          <t>S1</t>
        </is>
      </c>
      <c r="N329" s="15" t="n">
        <v>1</v>
      </c>
      <c r="O329" s="15" t="n">
        <v>0</v>
      </c>
      <c r="P329">
        <f>IF(M329="","",IF(M329=E329,1,0))</f>
        <v/>
      </c>
      <c r="Q329">
        <f>IF(K329="OK","-",IF(N329&lt;$B$7,"AMBIGUOUS","CONFIDENT"))</f>
        <v/>
      </c>
    </row>
    <row r="330">
      <c r="A330">
        <f>'Runs Z score'!A322</f>
        <v/>
      </c>
      <c r="B330">
        <f>'Runs Z score'!B322</f>
        <v/>
      </c>
      <c r="C330">
        <f>'Runs Z score'!C322</f>
        <v/>
      </c>
      <c r="D330">
        <f>'Runs Z score'!D322</f>
        <v/>
      </c>
      <c r="E330">
        <f>'Runs Z score'!E322</f>
        <v/>
      </c>
      <c r="F330">
        <f>'Runs Z score'!F322</f>
        <v/>
      </c>
      <c r="G330">
        <f>'Runs Z score'!G322</f>
        <v/>
      </c>
      <c r="H330">
        <f>VLOOKUP(C330,Recipes!$A$2:$N$4,10,FALSE())</f>
        <v/>
      </c>
      <c r="I330">
        <f>VLOOKUP(C330,Recipes!$A$2:$N$4,12,FALSE())</f>
        <v/>
      </c>
      <c r="J330">
        <f>IF(G330="","",H330-G330)</f>
        <v/>
      </c>
      <c r="K330">
        <f>IF(G330="","",IF(ABS(G330-H330)&lt;=$B$6*I330,"OK","NG"))</f>
        <v/>
      </c>
      <c r="L330">
        <f>IF(K330="","",IF(K330=D330,1,0))</f>
        <v/>
      </c>
      <c r="M330" t="inlineStr">
        <is>
          <t>S1</t>
        </is>
      </c>
      <c r="N330" s="15" t="n">
        <v>1</v>
      </c>
      <c r="O330" s="15" t="n">
        <v>0</v>
      </c>
      <c r="P330">
        <f>IF(M330="","",IF(M330=E330,1,0))</f>
        <v/>
      </c>
      <c r="Q330">
        <f>IF(K330="OK","-",IF(N330&lt;$B$7,"AMBIGUOUS","CONFIDENT"))</f>
        <v/>
      </c>
    </row>
    <row r="331">
      <c r="A331">
        <f>'Runs Z score'!A323</f>
        <v/>
      </c>
      <c r="B331">
        <f>'Runs Z score'!B323</f>
        <v/>
      </c>
      <c r="C331">
        <f>'Runs Z score'!C323</f>
        <v/>
      </c>
      <c r="D331">
        <f>'Runs Z score'!D323</f>
        <v/>
      </c>
      <c r="E331">
        <f>'Runs Z score'!E323</f>
        <v/>
      </c>
      <c r="F331">
        <f>'Runs Z score'!F323</f>
        <v/>
      </c>
      <c r="G331">
        <f>'Runs Z score'!G323</f>
        <v/>
      </c>
      <c r="H331">
        <f>VLOOKUP(C331,Recipes!$A$2:$N$4,10,FALSE())</f>
        <v/>
      </c>
      <c r="I331">
        <f>VLOOKUP(C331,Recipes!$A$2:$N$4,12,FALSE())</f>
        <v/>
      </c>
      <c r="J331">
        <f>IF(G331="","",H331-G331)</f>
        <v/>
      </c>
      <c r="K331">
        <f>IF(G331="","",IF(ABS(G331-H331)&lt;=$B$6*I331,"OK","NG"))</f>
        <v/>
      </c>
      <c r="L331">
        <f>IF(K331="","",IF(K331=D331,1,0))</f>
        <v/>
      </c>
      <c r="M331" t="inlineStr">
        <is>
          <t>S1</t>
        </is>
      </c>
      <c r="N331" s="15" t="n">
        <v>0.99</v>
      </c>
      <c r="O331" s="15" t="n">
        <v>0.01</v>
      </c>
      <c r="P331">
        <f>IF(M331="","",IF(M331=E331,1,0))</f>
        <v/>
      </c>
      <c r="Q331">
        <f>IF(K331="OK","-",IF(N331&lt;$B$7,"AMBIGUOUS","CONFIDENT"))</f>
        <v/>
      </c>
    </row>
    <row r="332">
      <c r="A332">
        <f>'Runs Z score'!A324</f>
        <v/>
      </c>
      <c r="B332">
        <f>'Runs Z score'!B324</f>
        <v/>
      </c>
      <c r="C332">
        <f>'Runs Z score'!C324</f>
        <v/>
      </c>
      <c r="D332">
        <f>'Runs Z score'!D324</f>
        <v/>
      </c>
      <c r="E332">
        <f>'Runs Z score'!E324</f>
        <v/>
      </c>
      <c r="F332">
        <f>'Runs Z score'!F324</f>
        <v/>
      </c>
      <c r="G332">
        <f>'Runs Z score'!G324</f>
        <v/>
      </c>
      <c r="H332">
        <f>VLOOKUP(C332,Recipes!$A$2:$N$4,10,FALSE())</f>
        <v/>
      </c>
      <c r="I332">
        <f>VLOOKUP(C332,Recipes!$A$2:$N$4,12,FALSE())</f>
        <v/>
      </c>
      <c r="J332">
        <f>IF(G332="","",H332-G332)</f>
        <v/>
      </c>
      <c r="K332">
        <f>IF(G332="","",IF(ABS(G332-H332)&lt;=$B$6*I332,"OK","NG"))</f>
        <v/>
      </c>
      <c r="L332">
        <f>IF(K332="","",IF(K332=D332,1,0))</f>
        <v/>
      </c>
      <c r="M332" t="inlineStr">
        <is>
          <t>S1</t>
        </is>
      </c>
      <c r="N332" s="15" t="n">
        <v>1</v>
      </c>
      <c r="O332" s="15" t="n">
        <v>0</v>
      </c>
      <c r="P332">
        <f>IF(M332="","",IF(M332=E332,1,0))</f>
        <v/>
      </c>
      <c r="Q332">
        <f>IF(K332="OK","-",IF(N332&lt;$B$7,"AMBIGUOUS","CONFIDENT"))</f>
        <v/>
      </c>
    </row>
    <row r="333">
      <c r="A333">
        <f>'Runs Z score'!A325</f>
        <v/>
      </c>
      <c r="B333">
        <f>'Runs Z score'!B325</f>
        <v/>
      </c>
      <c r="C333">
        <f>'Runs Z score'!C325</f>
        <v/>
      </c>
      <c r="D333">
        <f>'Runs Z score'!D325</f>
        <v/>
      </c>
      <c r="E333">
        <f>'Runs Z score'!E325</f>
        <v/>
      </c>
      <c r="F333">
        <f>'Runs Z score'!F325</f>
        <v/>
      </c>
      <c r="G333">
        <f>'Runs Z score'!G325</f>
        <v/>
      </c>
      <c r="H333">
        <f>VLOOKUP(C333,Recipes!$A$2:$N$4,10,FALSE())</f>
        <v/>
      </c>
      <c r="I333">
        <f>VLOOKUP(C333,Recipes!$A$2:$N$4,12,FALSE())</f>
        <v/>
      </c>
      <c r="J333">
        <f>IF(G333="","",H333-G333)</f>
        <v/>
      </c>
      <c r="K333">
        <f>IF(G333="","",IF(ABS(G333-H333)&lt;=$B$6*I333,"OK","NG"))</f>
        <v/>
      </c>
      <c r="L333">
        <f>IF(K333="","",IF(K333=D333,1,0))</f>
        <v/>
      </c>
      <c r="M333" t="inlineStr">
        <is>
          <t>S1</t>
        </is>
      </c>
      <c r="N333" s="15" t="n">
        <v>1</v>
      </c>
      <c r="O333" s="15" t="n">
        <v>0</v>
      </c>
      <c r="P333">
        <f>IF(M333="","",IF(M333=E333,1,0))</f>
        <v/>
      </c>
      <c r="Q333">
        <f>IF(K333="OK","-",IF(N333&lt;$B$7,"AMBIGUOUS","CONFIDENT"))</f>
        <v/>
      </c>
    </row>
    <row r="334">
      <c r="A334">
        <f>'Runs Z score'!A326</f>
        <v/>
      </c>
      <c r="B334">
        <f>'Runs Z score'!B326</f>
        <v/>
      </c>
      <c r="C334">
        <f>'Runs Z score'!C326</f>
        <v/>
      </c>
      <c r="D334">
        <f>'Runs Z score'!D326</f>
        <v/>
      </c>
      <c r="E334">
        <f>'Runs Z score'!E326</f>
        <v/>
      </c>
      <c r="F334">
        <f>'Runs Z score'!F326</f>
        <v/>
      </c>
      <c r="G334">
        <f>'Runs Z score'!G326</f>
        <v/>
      </c>
      <c r="H334">
        <f>VLOOKUP(C334,Recipes!$A$2:$N$4,10,FALSE())</f>
        <v/>
      </c>
      <c r="I334">
        <f>VLOOKUP(C334,Recipes!$A$2:$N$4,12,FALSE())</f>
        <v/>
      </c>
      <c r="J334">
        <f>IF(G334="","",H334-G334)</f>
        <v/>
      </c>
      <c r="K334">
        <f>IF(G334="","",IF(ABS(G334-H334)&lt;=$B$6*I334,"OK","NG"))</f>
        <v/>
      </c>
      <c r="L334">
        <f>IF(K334="","",IF(K334=D334,1,0))</f>
        <v/>
      </c>
      <c r="M334" t="inlineStr">
        <is>
          <t>S1</t>
        </is>
      </c>
      <c r="N334" s="15" t="n">
        <v>1</v>
      </c>
      <c r="O334" s="15" t="n">
        <v>0</v>
      </c>
      <c r="P334">
        <f>IF(M334="","",IF(M334=E334,1,0))</f>
        <v/>
      </c>
      <c r="Q334">
        <f>IF(K334="OK","-",IF(N334&lt;$B$7,"AMBIGUOUS","CONFIDENT"))</f>
        <v/>
      </c>
    </row>
    <row r="335">
      <c r="A335">
        <f>'Runs Z score'!A327</f>
        <v/>
      </c>
      <c r="B335">
        <f>'Runs Z score'!B327</f>
        <v/>
      </c>
      <c r="C335">
        <f>'Runs Z score'!C327</f>
        <v/>
      </c>
      <c r="D335">
        <f>'Runs Z score'!D327</f>
        <v/>
      </c>
      <c r="E335">
        <f>'Runs Z score'!E327</f>
        <v/>
      </c>
      <c r="F335">
        <f>'Runs Z score'!F327</f>
        <v/>
      </c>
      <c r="G335">
        <f>'Runs Z score'!G327</f>
        <v/>
      </c>
      <c r="H335">
        <f>VLOOKUP(C335,Recipes!$A$2:$N$4,10,FALSE())</f>
        <v/>
      </c>
      <c r="I335">
        <f>VLOOKUP(C335,Recipes!$A$2:$N$4,12,FALSE())</f>
        <v/>
      </c>
      <c r="J335">
        <f>IF(G335="","",H335-G335)</f>
        <v/>
      </c>
      <c r="K335">
        <f>IF(G335="","",IF(ABS(G335-H335)&lt;=$B$6*I335,"OK","NG"))</f>
        <v/>
      </c>
      <c r="L335">
        <f>IF(K335="","",IF(K335=D335,1,0))</f>
        <v/>
      </c>
      <c r="M335" t="inlineStr">
        <is>
          <t>S1</t>
        </is>
      </c>
      <c r="N335" s="15" t="n">
        <v>1</v>
      </c>
      <c r="O335" s="15" t="n">
        <v>0</v>
      </c>
      <c r="P335">
        <f>IF(M335="","",IF(M335=E335,1,0))</f>
        <v/>
      </c>
      <c r="Q335">
        <f>IF(K335="OK","-",IF(N335&lt;$B$7,"AMBIGUOUS","CONFIDENT"))</f>
        <v/>
      </c>
    </row>
    <row r="336">
      <c r="A336">
        <f>'Runs Z score'!A328</f>
        <v/>
      </c>
      <c r="B336">
        <f>'Runs Z score'!B328</f>
        <v/>
      </c>
      <c r="C336">
        <f>'Runs Z score'!C328</f>
        <v/>
      </c>
      <c r="D336">
        <f>'Runs Z score'!D328</f>
        <v/>
      </c>
      <c r="E336">
        <f>'Runs Z score'!E328</f>
        <v/>
      </c>
      <c r="F336">
        <f>'Runs Z score'!F328</f>
        <v/>
      </c>
      <c r="G336">
        <f>'Runs Z score'!G328</f>
        <v/>
      </c>
      <c r="H336">
        <f>VLOOKUP(C336,Recipes!$A$2:$N$4,10,FALSE())</f>
        <v/>
      </c>
      <c r="I336">
        <f>VLOOKUP(C336,Recipes!$A$2:$N$4,12,FALSE())</f>
        <v/>
      </c>
      <c r="J336">
        <f>IF(G336="","",H336-G336)</f>
        <v/>
      </c>
      <c r="K336">
        <f>IF(G336="","",IF(ABS(G336-H336)&lt;=$B$6*I336,"OK","NG"))</f>
        <v/>
      </c>
      <c r="L336">
        <f>IF(K336="","",IF(K336=D336,1,0))</f>
        <v/>
      </c>
      <c r="M336" t="inlineStr">
        <is>
          <t>S1</t>
        </is>
      </c>
      <c r="N336" s="15" t="n">
        <v>1</v>
      </c>
      <c r="O336" s="15" t="n">
        <v>0</v>
      </c>
      <c r="P336">
        <f>IF(M336="","",IF(M336=E336,1,0))</f>
        <v/>
      </c>
      <c r="Q336">
        <f>IF(K336="OK","-",IF(N336&lt;$B$7,"AMBIGUOUS","CONFIDENT"))</f>
        <v/>
      </c>
    </row>
    <row r="337">
      <c r="A337">
        <f>'Runs Z score'!A329</f>
        <v/>
      </c>
      <c r="B337">
        <f>'Runs Z score'!B329</f>
        <v/>
      </c>
      <c r="C337">
        <f>'Runs Z score'!C329</f>
        <v/>
      </c>
      <c r="D337">
        <f>'Runs Z score'!D329</f>
        <v/>
      </c>
      <c r="E337">
        <f>'Runs Z score'!E329</f>
        <v/>
      </c>
      <c r="F337">
        <f>'Runs Z score'!F329</f>
        <v/>
      </c>
      <c r="G337">
        <f>'Runs Z score'!G329</f>
        <v/>
      </c>
      <c r="H337">
        <f>VLOOKUP(C337,Recipes!$A$2:$N$4,10,FALSE())</f>
        <v/>
      </c>
      <c r="I337">
        <f>VLOOKUP(C337,Recipes!$A$2:$N$4,12,FALSE())</f>
        <v/>
      </c>
      <c r="J337">
        <f>IF(G337="","",H337-G337)</f>
        <v/>
      </c>
      <c r="K337">
        <f>IF(G337="","",IF(ABS(G337-H337)&lt;=$B$6*I337,"OK","NG"))</f>
        <v/>
      </c>
      <c r="L337">
        <f>IF(K337="","",IF(K337=D337,1,0))</f>
        <v/>
      </c>
      <c r="M337" t="inlineStr">
        <is>
          <t>S1</t>
        </is>
      </c>
      <c r="N337" s="15" t="n">
        <v>1</v>
      </c>
      <c r="O337" s="15" t="n">
        <v>0</v>
      </c>
      <c r="P337">
        <f>IF(M337="","",IF(M337=E337,1,0))</f>
        <v/>
      </c>
      <c r="Q337">
        <f>IF(K337="OK","-",IF(N337&lt;$B$7,"AMBIGUOUS","CONFIDENT"))</f>
        <v/>
      </c>
    </row>
    <row r="338">
      <c r="A338">
        <f>'Runs Z score'!A330</f>
        <v/>
      </c>
      <c r="B338">
        <f>'Runs Z score'!B330</f>
        <v/>
      </c>
      <c r="C338">
        <f>'Runs Z score'!C330</f>
        <v/>
      </c>
      <c r="D338">
        <f>'Runs Z score'!D330</f>
        <v/>
      </c>
      <c r="E338">
        <f>'Runs Z score'!E330</f>
        <v/>
      </c>
      <c r="F338">
        <f>'Runs Z score'!F330</f>
        <v/>
      </c>
      <c r="G338">
        <f>'Runs Z score'!G330</f>
        <v/>
      </c>
      <c r="H338">
        <f>VLOOKUP(C338,Recipes!$A$2:$N$4,10,FALSE())</f>
        <v/>
      </c>
      <c r="I338">
        <f>VLOOKUP(C338,Recipes!$A$2:$N$4,12,FALSE())</f>
        <v/>
      </c>
      <c r="J338">
        <f>IF(G338="","",H338-G338)</f>
        <v/>
      </c>
      <c r="K338">
        <f>IF(G338="","",IF(ABS(G338-H338)&lt;=$B$6*I338,"OK","NG"))</f>
        <v/>
      </c>
      <c r="L338">
        <f>IF(K338="","",IF(K338=D338,1,0))</f>
        <v/>
      </c>
      <c r="M338" t="inlineStr">
        <is>
          <t>S1</t>
        </is>
      </c>
      <c r="N338" s="15" t="n">
        <v>1</v>
      </c>
      <c r="O338" s="15" t="n">
        <v>0</v>
      </c>
      <c r="P338">
        <f>IF(M338="","",IF(M338=E338,1,0))</f>
        <v/>
      </c>
      <c r="Q338">
        <f>IF(K338="OK","-",IF(N338&lt;$B$7,"AMBIGUOUS","CONFIDENT"))</f>
        <v/>
      </c>
    </row>
    <row r="339">
      <c r="A339">
        <f>'Runs Z score'!A331</f>
        <v/>
      </c>
      <c r="B339">
        <f>'Runs Z score'!B331</f>
        <v/>
      </c>
      <c r="C339">
        <f>'Runs Z score'!C331</f>
        <v/>
      </c>
      <c r="D339">
        <f>'Runs Z score'!D331</f>
        <v/>
      </c>
      <c r="E339">
        <f>'Runs Z score'!E331</f>
        <v/>
      </c>
      <c r="F339">
        <f>'Runs Z score'!F331</f>
        <v/>
      </c>
      <c r="G339">
        <f>'Runs Z score'!G331</f>
        <v/>
      </c>
      <c r="H339">
        <f>VLOOKUP(C339,Recipes!$A$2:$N$4,10,FALSE())</f>
        <v/>
      </c>
      <c r="I339">
        <f>VLOOKUP(C339,Recipes!$A$2:$N$4,12,FALSE())</f>
        <v/>
      </c>
      <c r="J339">
        <f>IF(G339="","",H339-G339)</f>
        <v/>
      </c>
      <c r="K339">
        <f>IF(G339="","",IF(ABS(G339-H339)&lt;=$B$6*I339,"OK","NG"))</f>
        <v/>
      </c>
      <c r="L339">
        <f>IF(K339="","",IF(K339=D339,1,0))</f>
        <v/>
      </c>
      <c r="M339" t="inlineStr">
        <is>
          <t>S1</t>
        </is>
      </c>
      <c r="N339" s="15" t="n">
        <v>1</v>
      </c>
      <c r="O339" s="15" t="n">
        <v>0</v>
      </c>
      <c r="P339">
        <f>IF(M339="","",IF(M339=E339,1,0))</f>
        <v/>
      </c>
      <c r="Q339">
        <f>IF(K339="OK","-",IF(N339&lt;$B$7,"AMBIGUOUS","CONFIDENT"))</f>
        <v/>
      </c>
    </row>
    <row r="340">
      <c r="A340">
        <f>'Runs Z score'!A332</f>
        <v/>
      </c>
      <c r="B340">
        <f>'Runs Z score'!B332</f>
        <v/>
      </c>
      <c r="C340">
        <f>'Runs Z score'!C332</f>
        <v/>
      </c>
      <c r="D340">
        <f>'Runs Z score'!D332</f>
        <v/>
      </c>
      <c r="E340">
        <f>'Runs Z score'!E332</f>
        <v/>
      </c>
      <c r="F340">
        <f>'Runs Z score'!F332</f>
        <v/>
      </c>
      <c r="G340">
        <f>'Runs Z score'!G332</f>
        <v/>
      </c>
      <c r="H340">
        <f>VLOOKUP(C340,Recipes!$A$2:$N$4,10,FALSE())</f>
        <v/>
      </c>
      <c r="I340">
        <f>VLOOKUP(C340,Recipes!$A$2:$N$4,12,FALSE())</f>
        <v/>
      </c>
      <c r="J340">
        <f>IF(G340="","",H340-G340)</f>
        <v/>
      </c>
      <c r="K340">
        <f>IF(G340="","",IF(ABS(G340-H340)&lt;=$B$6*I340,"OK","NG"))</f>
        <v/>
      </c>
      <c r="L340">
        <f>IF(K340="","",IF(K340=D340,1,0))</f>
        <v/>
      </c>
      <c r="M340" t="inlineStr">
        <is>
          <t>S1</t>
        </is>
      </c>
      <c r="N340" s="15" t="n">
        <v>1</v>
      </c>
      <c r="O340" s="15" t="n">
        <v>0</v>
      </c>
      <c r="P340">
        <f>IF(M340="","",IF(M340=E340,1,0))</f>
        <v/>
      </c>
      <c r="Q340">
        <f>IF(K340="OK","-",IF(N340&lt;$B$7,"AMBIGUOUS","CONFIDENT"))</f>
        <v/>
      </c>
    </row>
    <row r="341">
      <c r="A341">
        <f>'Runs Z score'!A333</f>
        <v/>
      </c>
      <c r="B341">
        <f>'Runs Z score'!B333</f>
        <v/>
      </c>
      <c r="C341">
        <f>'Runs Z score'!C333</f>
        <v/>
      </c>
      <c r="D341">
        <f>'Runs Z score'!D333</f>
        <v/>
      </c>
      <c r="E341">
        <f>'Runs Z score'!E333</f>
        <v/>
      </c>
      <c r="F341">
        <f>'Runs Z score'!F333</f>
        <v/>
      </c>
      <c r="G341">
        <f>'Runs Z score'!G333</f>
        <v/>
      </c>
      <c r="H341">
        <f>VLOOKUP(C341,Recipes!$A$2:$N$4,10,FALSE())</f>
        <v/>
      </c>
      <c r="I341">
        <f>VLOOKUP(C341,Recipes!$A$2:$N$4,12,FALSE())</f>
        <v/>
      </c>
      <c r="J341">
        <f>IF(G341="","",H341-G341)</f>
        <v/>
      </c>
      <c r="K341">
        <f>IF(G341="","",IF(ABS(G341-H341)&lt;=$B$6*I341,"OK","NG"))</f>
        <v/>
      </c>
      <c r="L341">
        <f>IF(K341="","",IF(K341=D341,1,0))</f>
        <v/>
      </c>
      <c r="M341" t="inlineStr">
        <is>
          <t>W1</t>
        </is>
      </c>
      <c r="N341" s="15" t="n">
        <v>1</v>
      </c>
      <c r="O341" s="15" t="n">
        <v>0</v>
      </c>
      <c r="P341">
        <f>IF(M341="","",IF(M341=E341,1,0))</f>
        <v/>
      </c>
      <c r="Q341">
        <f>IF(K341="OK","-",IF(N341&lt;$B$7,"AMBIGUOUS","CONFIDENT"))</f>
        <v/>
      </c>
    </row>
    <row r="342">
      <c r="A342">
        <f>'Runs Z score'!A334</f>
        <v/>
      </c>
      <c r="B342">
        <f>'Runs Z score'!B334</f>
        <v/>
      </c>
      <c r="C342">
        <f>'Runs Z score'!C334</f>
        <v/>
      </c>
      <c r="D342">
        <f>'Runs Z score'!D334</f>
        <v/>
      </c>
      <c r="E342">
        <f>'Runs Z score'!E334</f>
        <v/>
      </c>
      <c r="F342">
        <f>'Runs Z score'!F334</f>
        <v/>
      </c>
      <c r="G342">
        <f>'Runs Z score'!G334</f>
        <v/>
      </c>
      <c r="H342">
        <f>VLOOKUP(C342,Recipes!$A$2:$N$4,10,FALSE())</f>
        <v/>
      </c>
      <c r="I342">
        <f>VLOOKUP(C342,Recipes!$A$2:$N$4,12,FALSE())</f>
        <v/>
      </c>
      <c r="J342">
        <f>IF(G342="","",H342-G342)</f>
        <v/>
      </c>
      <c r="K342">
        <f>IF(G342="","",IF(ABS(G342-H342)&lt;=$B$6*I342,"OK","NG"))</f>
        <v/>
      </c>
      <c r="L342">
        <f>IF(K342="","",IF(K342=D342,1,0))</f>
        <v/>
      </c>
      <c r="M342" t="inlineStr">
        <is>
          <t>W1</t>
        </is>
      </c>
      <c r="N342" s="15" t="n">
        <v>0.99</v>
      </c>
      <c r="O342" s="15" t="n">
        <v>0.0054</v>
      </c>
      <c r="P342">
        <f>IF(M342="","",IF(M342=E342,1,0))</f>
        <v/>
      </c>
      <c r="Q342">
        <f>IF(K342="OK","-",IF(N342&lt;$B$7,"AMBIGUOUS","CONFIDENT"))</f>
        <v/>
      </c>
    </row>
    <row r="343">
      <c r="A343">
        <f>'Runs Z score'!A335</f>
        <v/>
      </c>
      <c r="B343">
        <f>'Runs Z score'!B335</f>
        <v/>
      </c>
      <c r="C343">
        <f>'Runs Z score'!C335</f>
        <v/>
      </c>
      <c r="D343">
        <f>'Runs Z score'!D335</f>
        <v/>
      </c>
      <c r="E343">
        <f>'Runs Z score'!E335</f>
        <v/>
      </c>
      <c r="F343">
        <f>'Runs Z score'!F335</f>
        <v/>
      </c>
      <c r="G343">
        <f>'Runs Z score'!G335</f>
        <v/>
      </c>
      <c r="H343">
        <f>VLOOKUP(C343,Recipes!$A$2:$N$4,10,FALSE())</f>
        <v/>
      </c>
      <c r="I343">
        <f>VLOOKUP(C343,Recipes!$A$2:$N$4,12,FALSE())</f>
        <v/>
      </c>
      <c r="J343">
        <f>IF(G343="","",H343-G343)</f>
        <v/>
      </c>
      <c r="K343">
        <f>IF(G343="","",IF(ABS(G343-H343)&lt;=$B$6*I343,"OK","NG"))</f>
        <v/>
      </c>
      <c r="L343">
        <f>IF(K343="","",IF(K343=D343,1,0))</f>
        <v/>
      </c>
      <c r="M343" t="inlineStr">
        <is>
          <t>N1</t>
        </is>
      </c>
      <c r="N343" s="15" t="n">
        <v>0.5939</v>
      </c>
      <c r="O343" s="15" t="n">
        <v>0.4048</v>
      </c>
      <c r="P343">
        <f>IF(M343="","",IF(M343=E343,1,0))</f>
        <v/>
      </c>
      <c r="Q343">
        <f>IF(K343="OK","-",IF(N343&lt;$B$7,"AMBIGUOUS","CONFIDENT"))</f>
        <v/>
      </c>
    </row>
    <row r="344">
      <c r="A344">
        <f>'Runs Z score'!A336</f>
        <v/>
      </c>
      <c r="B344">
        <f>'Runs Z score'!B336</f>
        <v/>
      </c>
      <c r="C344">
        <f>'Runs Z score'!C336</f>
        <v/>
      </c>
      <c r="D344">
        <f>'Runs Z score'!D336</f>
        <v/>
      </c>
      <c r="E344">
        <f>'Runs Z score'!E336</f>
        <v/>
      </c>
      <c r="F344">
        <f>'Runs Z score'!F336</f>
        <v/>
      </c>
      <c r="G344">
        <f>'Runs Z score'!G336</f>
        <v/>
      </c>
      <c r="H344">
        <f>VLOOKUP(C344,Recipes!$A$2:$N$4,10,FALSE())</f>
        <v/>
      </c>
      <c r="I344">
        <f>VLOOKUP(C344,Recipes!$A$2:$N$4,12,FALSE())</f>
        <v/>
      </c>
      <c r="J344">
        <f>IF(G344="","",H344-G344)</f>
        <v/>
      </c>
      <c r="K344">
        <f>IF(G344="","",IF(ABS(G344-H344)&lt;=$B$6*I344,"OK","NG"))</f>
        <v/>
      </c>
      <c r="L344">
        <f>IF(K344="","",IF(K344=D344,1,0))</f>
        <v/>
      </c>
      <c r="M344" t="inlineStr">
        <is>
          <t>W1</t>
        </is>
      </c>
      <c r="N344" s="15" t="n">
        <v>1</v>
      </c>
      <c r="O344" s="15" t="n">
        <v>0</v>
      </c>
      <c r="P344">
        <f>IF(M344="","",IF(M344=E344,1,0))</f>
        <v/>
      </c>
      <c r="Q344">
        <f>IF(K344="OK","-",IF(N344&lt;$B$7,"AMBIGUOUS","CONFIDENT"))</f>
        <v/>
      </c>
    </row>
    <row r="345">
      <c r="A345">
        <f>'Runs Z score'!A337</f>
        <v/>
      </c>
      <c r="B345">
        <f>'Runs Z score'!B337</f>
        <v/>
      </c>
      <c r="C345">
        <f>'Runs Z score'!C337</f>
        <v/>
      </c>
      <c r="D345">
        <f>'Runs Z score'!D337</f>
        <v/>
      </c>
      <c r="E345">
        <f>'Runs Z score'!E337</f>
        <v/>
      </c>
      <c r="F345">
        <f>'Runs Z score'!F337</f>
        <v/>
      </c>
      <c r="G345">
        <f>'Runs Z score'!G337</f>
        <v/>
      </c>
      <c r="H345">
        <f>VLOOKUP(C345,Recipes!$A$2:$N$4,10,FALSE())</f>
        <v/>
      </c>
      <c r="I345">
        <f>VLOOKUP(C345,Recipes!$A$2:$N$4,12,FALSE())</f>
        <v/>
      </c>
      <c r="J345">
        <f>IF(G345="","",H345-G345)</f>
        <v/>
      </c>
      <c r="K345">
        <f>IF(G345="","",IF(ABS(G345-H345)&lt;=$B$6*I345,"OK","NG"))</f>
        <v/>
      </c>
      <c r="L345">
        <f>IF(K345="","",IF(K345=D345,1,0))</f>
        <v/>
      </c>
      <c r="M345" t="inlineStr">
        <is>
          <t>W1</t>
        </is>
      </c>
      <c r="N345" s="15" t="n">
        <v>0.8558</v>
      </c>
      <c r="O345" s="15" t="n">
        <v>0.1442</v>
      </c>
      <c r="P345">
        <f>IF(M345="","",IF(M345=E345,1,0))</f>
        <v/>
      </c>
      <c r="Q345">
        <f>IF(K345="OK","-",IF(N345&lt;$B$7,"AMBIGUOUS","CONFIDENT"))</f>
        <v/>
      </c>
    </row>
    <row r="346">
      <c r="A346">
        <f>'Runs Z score'!A338</f>
        <v/>
      </c>
      <c r="B346">
        <f>'Runs Z score'!B338</f>
        <v/>
      </c>
      <c r="C346">
        <f>'Runs Z score'!C338</f>
        <v/>
      </c>
      <c r="D346">
        <f>'Runs Z score'!D338</f>
        <v/>
      </c>
      <c r="E346">
        <f>'Runs Z score'!E338</f>
        <v/>
      </c>
      <c r="F346">
        <f>'Runs Z score'!F338</f>
        <v/>
      </c>
      <c r="G346">
        <f>'Runs Z score'!G338</f>
        <v/>
      </c>
      <c r="H346">
        <f>VLOOKUP(C346,Recipes!$A$2:$N$4,10,FALSE())</f>
        <v/>
      </c>
      <c r="I346">
        <f>VLOOKUP(C346,Recipes!$A$2:$N$4,12,FALSE())</f>
        <v/>
      </c>
      <c r="J346">
        <f>IF(G346="","",H346-G346)</f>
        <v/>
      </c>
      <c r="K346">
        <f>IF(G346="","",IF(ABS(G346-H346)&lt;=$B$6*I346,"OK","NG"))</f>
        <v/>
      </c>
      <c r="L346">
        <f>IF(K346="","",IF(K346=D346,1,0))</f>
        <v/>
      </c>
      <c r="M346" t="inlineStr">
        <is>
          <t>W1</t>
        </is>
      </c>
      <c r="N346" s="15" t="n">
        <v>0.8725000000000001</v>
      </c>
      <c r="O346" s="15" t="n">
        <v>0.1275</v>
      </c>
      <c r="P346">
        <f>IF(M346="","",IF(M346=E346,1,0))</f>
        <v/>
      </c>
      <c r="Q346">
        <f>IF(K346="OK","-",IF(N346&lt;$B$7,"AMBIGUOUS","CONFIDENT"))</f>
        <v/>
      </c>
    </row>
    <row r="347">
      <c r="A347">
        <f>'Runs Z score'!A339</f>
        <v/>
      </c>
      <c r="B347">
        <f>'Runs Z score'!B339</f>
        <v/>
      </c>
      <c r="C347">
        <f>'Runs Z score'!C339</f>
        <v/>
      </c>
      <c r="D347">
        <f>'Runs Z score'!D339</f>
        <v/>
      </c>
      <c r="E347">
        <f>'Runs Z score'!E339</f>
        <v/>
      </c>
      <c r="F347">
        <f>'Runs Z score'!F339</f>
        <v/>
      </c>
      <c r="G347">
        <f>'Runs Z score'!G339</f>
        <v/>
      </c>
      <c r="H347">
        <f>VLOOKUP(C347,Recipes!$A$2:$N$4,10,FALSE())</f>
        <v/>
      </c>
      <c r="I347">
        <f>VLOOKUP(C347,Recipes!$A$2:$N$4,12,FALSE())</f>
        <v/>
      </c>
      <c r="J347">
        <f>IF(G347="","",H347-G347)</f>
        <v/>
      </c>
      <c r="K347">
        <f>IF(G347="","",IF(ABS(G347-H347)&lt;=$B$6*I347,"OK","NG"))</f>
        <v/>
      </c>
      <c r="L347">
        <f>IF(K347="","",IF(K347=D347,1,0))</f>
        <v/>
      </c>
      <c r="M347" t="inlineStr">
        <is>
          <t>W1</t>
        </is>
      </c>
      <c r="N347" s="15" t="n">
        <v>1</v>
      </c>
      <c r="O347" s="15" t="n">
        <v>0</v>
      </c>
      <c r="P347">
        <f>IF(M347="","",IF(M347=E347,1,0))</f>
        <v/>
      </c>
      <c r="Q347">
        <f>IF(K347="OK","-",IF(N347&lt;$B$7,"AMBIGUOUS","CONFIDENT"))</f>
        <v/>
      </c>
    </row>
    <row r="348">
      <c r="A348">
        <f>'Runs Z score'!A340</f>
        <v/>
      </c>
      <c r="B348">
        <f>'Runs Z score'!B340</f>
        <v/>
      </c>
      <c r="C348">
        <f>'Runs Z score'!C340</f>
        <v/>
      </c>
      <c r="D348">
        <f>'Runs Z score'!D340</f>
        <v/>
      </c>
      <c r="E348">
        <f>'Runs Z score'!E340</f>
        <v/>
      </c>
      <c r="F348">
        <f>'Runs Z score'!F340</f>
        <v/>
      </c>
      <c r="G348">
        <f>'Runs Z score'!G340</f>
        <v/>
      </c>
      <c r="H348">
        <f>VLOOKUP(C348,Recipes!$A$2:$N$4,10,FALSE())</f>
        <v/>
      </c>
      <c r="I348">
        <f>VLOOKUP(C348,Recipes!$A$2:$N$4,12,FALSE())</f>
        <v/>
      </c>
      <c r="J348">
        <f>IF(G348="","",H348-G348)</f>
        <v/>
      </c>
      <c r="K348">
        <f>IF(G348="","",IF(ABS(G348-H348)&lt;=$B$6*I348,"OK","NG"))</f>
        <v/>
      </c>
      <c r="L348">
        <f>IF(K348="","",IF(K348=D348,1,0))</f>
        <v/>
      </c>
      <c r="M348" t="inlineStr">
        <is>
          <t>W1</t>
        </is>
      </c>
      <c r="N348" s="15" t="n">
        <v>1</v>
      </c>
      <c r="O348" s="15" t="n">
        <v>0</v>
      </c>
      <c r="P348">
        <f>IF(M348="","",IF(M348=E348,1,0))</f>
        <v/>
      </c>
      <c r="Q348">
        <f>IF(K348="OK","-",IF(N348&lt;$B$7,"AMBIGUOUS","CONFIDENT"))</f>
        <v/>
      </c>
    </row>
    <row r="349">
      <c r="A349">
        <f>'Runs Z score'!A341</f>
        <v/>
      </c>
      <c r="B349">
        <f>'Runs Z score'!B341</f>
        <v/>
      </c>
      <c r="C349">
        <f>'Runs Z score'!C341</f>
        <v/>
      </c>
      <c r="D349">
        <f>'Runs Z score'!D341</f>
        <v/>
      </c>
      <c r="E349">
        <f>'Runs Z score'!E341</f>
        <v/>
      </c>
      <c r="F349">
        <f>'Runs Z score'!F341</f>
        <v/>
      </c>
      <c r="G349">
        <f>'Runs Z score'!G341</f>
        <v/>
      </c>
      <c r="H349">
        <f>VLOOKUP(C349,Recipes!$A$2:$N$4,10,FALSE())</f>
        <v/>
      </c>
      <c r="I349">
        <f>VLOOKUP(C349,Recipes!$A$2:$N$4,12,FALSE())</f>
        <v/>
      </c>
      <c r="J349">
        <f>IF(G349="","",H349-G349)</f>
        <v/>
      </c>
      <c r="K349">
        <f>IF(G349="","",IF(ABS(G349-H349)&lt;=$B$6*I349,"OK","NG"))</f>
        <v/>
      </c>
      <c r="L349">
        <f>IF(K349="","",IF(K349=D349,1,0))</f>
        <v/>
      </c>
      <c r="M349" t="inlineStr">
        <is>
          <t>W1</t>
        </is>
      </c>
      <c r="N349" s="15" t="n">
        <v>0.9967</v>
      </c>
      <c r="O349" s="15" t="n">
        <v>0.0033</v>
      </c>
      <c r="P349">
        <f>IF(M349="","",IF(M349=E349,1,0))</f>
        <v/>
      </c>
      <c r="Q349">
        <f>IF(K349="OK","-",IF(N349&lt;$B$7,"AMBIGUOUS","CONFIDENT"))</f>
        <v/>
      </c>
    </row>
    <row r="350">
      <c r="A350">
        <f>'Runs Z score'!A342</f>
        <v/>
      </c>
      <c r="B350">
        <f>'Runs Z score'!B342</f>
        <v/>
      </c>
      <c r="C350">
        <f>'Runs Z score'!C342</f>
        <v/>
      </c>
      <c r="D350">
        <f>'Runs Z score'!D342</f>
        <v/>
      </c>
      <c r="E350">
        <f>'Runs Z score'!E342</f>
        <v/>
      </c>
      <c r="F350">
        <f>'Runs Z score'!F342</f>
        <v/>
      </c>
      <c r="G350">
        <f>'Runs Z score'!G342</f>
        <v/>
      </c>
      <c r="H350">
        <f>VLOOKUP(C350,Recipes!$A$2:$N$4,10,FALSE())</f>
        <v/>
      </c>
      <c r="I350">
        <f>VLOOKUP(C350,Recipes!$A$2:$N$4,12,FALSE())</f>
        <v/>
      </c>
      <c r="J350">
        <f>IF(G350="","",H350-G350)</f>
        <v/>
      </c>
      <c r="K350">
        <f>IF(G350="","",IF(ABS(G350-H350)&lt;=$B$6*I350,"OK","NG"))</f>
        <v/>
      </c>
      <c r="L350">
        <f>IF(K350="","",IF(K350=D350,1,0))</f>
        <v/>
      </c>
      <c r="M350" t="inlineStr">
        <is>
          <t>W1</t>
        </is>
      </c>
      <c r="N350" s="15" t="n">
        <v>1</v>
      </c>
      <c r="O350" s="15" t="n">
        <v>0</v>
      </c>
      <c r="P350">
        <f>IF(M350="","",IF(M350=E350,1,0))</f>
        <v/>
      </c>
      <c r="Q350">
        <f>IF(K350="OK","-",IF(N350&lt;$B$7,"AMBIGUOUS","CONFIDENT"))</f>
        <v/>
      </c>
    </row>
    <row r="351">
      <c r="A351">
        <f>'Runs Z score'!A343</f>
        <v/>
      </c>
      <c r="B351">
        <f>'Runs Z score'!B343</f>
        <v/>
      </c>
      <c r="C351">
        <f>'Runs Z score'!C343</f>
        <v/>
      </c>
      <c r="D351">
        <f>'Runs Z score'!D343</f>
        <v/>
      </c>
      <c r="E351">
        <f>'Runs Z score'!E343</f>
        <v/>
      </c>
      <c r="F351">
        <f>'Runs Z score'!F343</f>
        <v/>
      </c>
      <c r="G351">
        <f>'Runs Z score'!G343</f>
        <v/>
      </c>
      <c r="H351">
        <f>VLOOKUP(C351,Recipes!$A$2:$N$4,10,FALSE())</f>
        <v/>
      </c>
      <c r="I351">
        <f>VLOOKUP(C351,Recipes!$A$2:$N$4,12,FALSE())</f>
        <v/>
      </c>
      <c r="J351">
        <f>IF(G351="","",H351-G351)</f>
        <v/>
      </c>
      <c r="K351">
        <f>IF(G351="","",IF(ABS(G351-H351)&lt;=$B$6*I351,"OK","NG"))</f>
        <v/>
      </c>
      <c r="L351">
        <f>IF(K351="","",IF(K351=D351,1,0))</f>
        <v/>
      </c>
      <c r="M351" t="inlineStr">
        <is>
          <t>W1</t>
        </is>
      </c>
      <c r="N351" s="15" t="n">
        <v>1</v>
      </c>
      <c r="O351" s="15" t="n">
        <v>0</v>
      </c>
      <c r="P351">
        <f>IF(M351="","",IF(M351=E351,1,0))</f>
        <v/>
      </c>
      <c r="Q351">
        <f>IF(K351="OK","-",IF(N351&lt;$B$7,"AMBIGUOUS","CONFIDENT"))</f>
        <v/>
      </c>
    </row>
    <row r="352">
      <c r="A352">
        <f>'Runs Z score'!A344</f>
        <v/>
      </c>
      <c r="B352">
        <f>'Runs Z score'!B344</f>
        <v/>
      </c>
      <c r="C352">
        <f>'Runs Z score'!C344</f>
        <v/>
      </c>
      <c r="D352">
        <f>'Runs Z score'!D344</f>
        <v/>
      </c>
      <c r="E352">
        <f>'Runs Z score'!E344</f>
        <v/>
      </c>
      <c r="F352">
        <f>'Runs Z score'!F344</f>
        <v/>
      </c>
      <c r="G352">
        <f>'Runs Z score'!G344</f>
        <v/>
      </c>
      <c r="H352">
        <f>VLOOKUP(C352,Recipes!$A$2:$N$4,10,FALSE())</f>
        <v/>
      </c>
      <c r="I352">
        <f>VLOOKUP(C352,Recipes!$A$2:$N$4,12,FALSE())</f>
        <v/>
      </c>
      <c r="J352">
        <f>IF(G352="","",H352-G352)</f>
        <v/>
      </c>
      <c r="K352">
        <f>IF(G352="","",IF(ABS(G352-H352)&lt;=$B$6*I352,"OK","NG"))</f>
        <v/>
      </c>
      <c r="L352">
        <f>IF(K352="","",IF(K352=D352,1,0))</f>
        <v/>
      </c>
      <c r="M352" t="inlineStr">
        <is>
          <t>W1</t>
        </is>
      </c>
      <c r="N352" s="15" t="n">
        <v>1</v>
      </c>
      <c r="O352" s="15" t="n">
        <v>0</v>
      </c>
      <c r="P352">
        <f>IF(M352="","",IF(M352=E352,1,0))</f>
        <v/>
      </c>
      <c r="Q352">
        <f>IF(K352="OK","-",IF(N352&lt;$B$7,"AMBIGUOUS","CONFIDENT"))</f>
        <v/>
      </c>
    </row>
    <row r="353">
      <c r="A353">
        <f>'Runs Z score'!A345</f>
        <v/>
      </c>
      <c r="B353">
        <f>'Runs Z score'!B345</f>
        <v/>
      </c>
      <c r="C353">
        <f>'Runs Z score'!C345</f>
        <v/>
      </c>
      <c r="D353">
        <f>'Runs Z score'!D345</f>
        <v/>
      </c>
      <c r="E353">
        <f>'Runs Z score'!E345</f>
        <v/>
      </c>
      <c r="F353">
        <f>'Runs Z score'!F345</f>
        <v/>
      </c>
      <c r="G353">
        <f>'Runs Z score'!G345</f>
        <v/>
      </c>
      <c r="H353">
        <f>VLOOKUP(C353,Recipes!$A$2:$N$4,10,FALSE())</f>
        <v/>
      </c>
      <c r="I353">
        <f>VLOOKUP(C353,Recipes!$A$2:$N$4,12,FALSE())</f>
        <v/>
      </c>
      <c r="J353">
        <f>IF(G353="","",H353-G353)</f>
        <v/>
      </c>
      <c r="K353">
        <f>IF(G353="","",IF(ABS(G353-H353)&lt;=$B$6*I353,"OK","NG"))</f>
        <v/>
      </c>
      <c r="L353">
        <f>IF(K353="","",IF(K353=D353,1,0))</f>
        <v/>
      </c>
      <c r="M353" t="inlineStr">
        <is>
          <t>W1</t>
        </is>
      </c>
      <c r="N353" s="15" t="n">
        <v>1</v>
      </c>
      <c r="O353" s="15" t="n">
        <v>0</v>
      </c>
      <c r="P353">
        <f>IF(M353="","",IF(M353=E353,1,0))</f>
        <v/>
      </c>
      <c r="Q353">
        <f>IF(K353="OK","-",IF(N353&lt;$B$7,"AMBIGUOUS","CONFIDENT"))</f>
        <v/>
      </c>
    </row>
    <row r="354">
      <c r="A354">
        <f>'Runs Z score'!A346</f>
        <v/>
      </c>
      <c r="B354">
        <f>'Runs Z score'!B346</f>
        <v/>
      </c>
      <c r="C354">
        <f>'Runs Z score'!C346</f>
        <v/>
      </c>
      <c r="D354">
        <f>'Runs Z score'!D346</f>
        <v/>
      </c>
      <c r="E354">
        <f>'Runs Z score'!E346</f>
        <v/>
      </c>
      <c r="F354">
        <f>'Runs Z score'!F346</f>
        <v/>
      </c>
      <c r="G354">
        <f>'Runs Z score'!G346</f>
        <v/>
      </c>
      <c r="H354">
        <f>VLOOKUP(C354,Recipes!$A$2:$N$4,10,FALSE())</f>
        <v/>
      </c>
      <c r="I354">
        <f>VLOOKUP(C354,Recipes!$A$2:$N$4,12,FALSE())</f>
        <v/>
      </c>
      <c r="J354">
        <f>IF(G354="","",H354-G354)</f>
        <v/>
      </c>
      <c r="K354">
        <f>IF(G354="","",IF(ABS(G354-H354)&lt;=$B$6*I354,"OK","NG"))</f>
        <v/>
      </c>
      <c r="L354">
        <f>IF(K354="","",IF(K354=D354,1,0))</f>
        <v/>
      </c>
      <c r="M354" t="inlineStr">
        <is>
          <t>W1</t>
        </is>
      </c>
      <c r="N354" s="15" t="n">
        <v>1</v>
      </c>
      <c r="O354" s="15" t="n">
        <v>0</v>
      </c>
      <c r="P354">
        <f>IF(M354="","",IF(M354=E354,1,0))</f>
        <v/>
      </c>
      <c r="Q354">
        <f>IF(K354="OK","-",IF(N354&lt;$B$7,"AMBIGUOUS","CONFIDENT"))</f>
        <v/>
      </c>
    </row>
    <row r="355">
      <c r="A355">
        <f>'Runs Z score'!A347</f>
        <v/>
      </c>
      <c r="B355">
        <f>'Runs Z score'!B347</f>
        <v/>
      </c>
      <c r="C355">
        <f>'Runs Z score'!C347</f>
        <v/>
      </c>
      <c r="D355">
        <f>'Runs Z score'!D347</f>
        <v/>
      </c>
      <c r="E355">
        <f>'Runs Z score'!E347</f>
        <v/>
      </c>
      <c r="F355">
        <f>'Runs Z score'!F347</f>
        <v/>
      </c>
      <c r="G355">
        <f>'Runs Z score'!G347</f>
        <v/>
      </c>
      <c r="H355">
        <f>VLOOKUP(C355,Recipes!$A$2:$N$4,10,FALSE())</f>
        <v/>
      </c>
      <c r="I355">
        <f>VLOOKUP(C355,Recipes!$A$2:$N$4,12,FALSE())</f>
        <v/>
      </c>
      <c r="J355">
        <f>IF(G355="","",H355-G355)</f>
        <v/>
      </c>
      <c r="K355">
        <f>IF(G355="","",IF(ABS(G355-H355)&lt;=$B$6*I355,"OK","NG"))</f>
        <v/>
      </c>
      <c r="L355">
        <f>IF(K355="","",IF(K355=D355,1,0))</f>
        <v/>
      </c>
      <c r="M355" t="inlineStr">
        <is>
          <t>W1</t>
        </is>
      </c>
      <c r="N355" s="15" t="n">
        <v>1</v>
      </c>
      <c r="O355" s="15" t="n">
        <v>0</v>
      </c>
      <c r="P355">
        <f>IF(M355="","",IF(M355=E355,1,0))</f>
        <v/>
      </c>
      <c r="Q355">
        <f>IF(K355="OK","-",IF(N355&lt;$B$7,"AMBIGUOUS","CONFIDENT"))</f>
        <v/>
      </c>
    </row>
    <row r="356">
      <c r="A356">
        <f>'Runs Z score'!A348</f>
        <v/>
      </c>
      <c r="B356">
        <f>'Runs Z score'!B348</f>
        <v/>
      </c>
      <c r="C356">
        <f>'Runs Z score'!C348</f>
        <v/>
      </c>
      <c r="D356">
        <f>'Runs Z score'!D348</f>
        <v/>
      </c>
      <c r="E356">
        <f>'Runs Z score'!E348</f>
        <v/>
      </c>
      <c r="F356">
        <f>'Runs Z score'!F348</f>
        <v/>
      </c>
      <c r="G356">
        <f>'Runs Z score'!G348</f>
        <v/>
      </c>
      <c r="H356">
        <f>VLOOKUP(C356,Recipes!$A$2:$N$4,10,FALSE())</f>
        <v/>
      </c>
      <c r="I356">
        <f>VLOOKUP(C356,Recipes!$A$2:$N$4,12,FALSE())</f>
        <v/>
      </c>
      <c r="J356">
        <f>IF(G356="","",H356-G356)</f>
        <v/>
      </c>
      <c r="K356">
        <f>IF(G356="","",IF(ABS(G356-H356)&lt;=$B$6*I356,"OK","NG"))</f>
        <v/>
      </c>
      <c r="L356">
        <f>IF(K356="","",IF(K356=D356,1,0))</f>
        <v/>
      </c>
      <c r="M356" t="inlineStr">
        <is>
          <t>W1</t>
        </is>
      </c>
      <c r="N356" s="15" t="n">
        <v>1</v>
      </c>
      <c r="O356" s="15" t="n">
        <v>0</v>
      </c>
      <c r="P356">
        <f>IF(M356="","",IF(M356=E356,1,0))</f>
        <v/>
      </c>
      <c r="Q356">
        <f>IF(K356="OK","-",IF(N356&lt;$B$7,"AMBIGUOUS","CONFIDENT"))</f>
        <v/>
      </c>
    </row>
    <row r="357">
      <c r="A357">
        <f>'Runs Z score'!A349</f>
        <v/>
      </c>
      <c r="B357">
        <f>'Runs Z score'!B349</f>
        <v/>
      </c>
      <c r="C357">
        <f>'Runs Z score'!C349</f>
        <v/>
      </c>
      <c r="D357">
        <f>'Runs Z score'!D349</f>
        <v/>
      </c>
      <c r="E357">
        <f>'Runs Z score'!E349</f>
        <v/>
      </c>
      <c r="F357">
        <f>'Runs Z score'!F349</f>
        <v/>
      </c>
      <c r="G357">
        <f>'Runs Z score'!G349</f>
        <v/>
      </c>
      <c r="H357">
        <f>VLOOKUP(C357,Recipes!$A$2:$N$4,10,FALSE())</f>
        <v/>
      </c>
      <c r="I357">
        <f>VLOOKUP(C357,Recipes!$A$2:$N$4,12,FALSE())</f>
        <v/>
      </c>
      <c r="J357">
        <f>IF(G357="","",H357-G357)</f>
        <v/>
      </c>
      <c r="K357">
        <f>IF(G357="","",IF(ABS(G357-H357)&lt;=$B$6*I357,"OK","NG"))</f>
        <v/>
      </c>
      <c r="L357">
        <f>IF(K357="","",IF(K357=D357,1,0))</f>
        <v/>
      </c>
      <c r="M357" t="inlineStr">
        <is>
          <t>W1</t>
        </is>
      </c>
      <c r="N357" s="15" t="n">
        <v>0.975</v>
      </c>
      <c r="O357" s="15" t="n">
        <v>0.025</v>
      </c>
      <c r="P357">
        <f>IF(M357="","",IF(M357=E357,1,0))</f>
        <v/>
      </c>
      <c r="Q357">
        <f>IF(K357="OK","-",IF(N357&lt;$B$7,"AMBIGUOUS","CONFIDENT"))</f>
        <v/>
      </c>
    </row>
    <row r="358">
      <c r="A358">
        <f>'Runs Z score'!A350</f>
        <v/>
      </c>
      <c r="B358">
        <f>'Runs Z score'!B350</f>
        <v/>
      </c>
      <c r="C358">
        <f>'Runs Z score'!C350</f>
        <v/>
      </c>
      <c r="D358">
        <f>'Runs Z score'!D350</f>
        <v/>
      </c>
      <c r="E358">
        <f>'Runs Z score'!E350</f>
        <v/>
      </c>
      <c r="F358">
        <f>'Runs Z score'!F350</f>
        <v/>
      </c>
      <c r="G358">
        <f>'Runs Z score'!G350</f>
        <v/>
      </c>
      <c r="H358">
        <f>VLOOKUP(C358,Recipes!$A$2:$N$4,10,FALSE())</f>
        <v/>
      </c>
      <c r="I358">
        <f>VLOOKUP(C358,Recipes!$A$2:$N$4,12,FALSE())</f>
        <v/>
      </c>
      <c r="J358">
        <f>IF(G358="","",H358-G358)</f>
        <v/>
      </c>
      <c r="K358">
        <f>IF(G358="","",IF(ABS(G358-H358)&lt;=$B$6*I358,"OK","NG"))</f>
        <v/>
      </c>
      <c r="L358">
        <f>IF(K358="","",IF(K358=D358,1,0))</f>
        <v/>
      </c>
      <c r="M358" t="inlineStr">
        <is>
          <t>W1</t>
        </is>
      </c>
      <c r="N358" s="15" t="n">
        <v>1</v>
      </c>
      <c r="O358" s="15" t="n">
        <v>0</v>
      </c>
      <c r="P358">
        <f>IF(M358="","",IF(M358=E358,1,0))</f>
        <v/>
      </c>
      <c r="Q358">
        <f>IF(K358="OK","-",IF(N358&lt;$B$7,"AMBIGUOUS","CONFIDENT"))</f>
        <v/>
      </c>
    </row>
    <row r="359">
      <c r="A359">
        <f>'Runs Z score'!A351</f>
        <v/>
      </c>
      <c r="B359">
        <f>'Runs Z score'!B351</f>
        <v/>
      </c>
      <c r="C359">
        <f>'Runs Z score'!C351</f>
        <v/>
      </c>
      <c r="D359">
        <f>'Runs Z score'!D351</f>
        <v/>
      </c>
      <c r="E359">
        <f>'Runs Z score'!E351</f>
        <v/>
      </c>
      <c r="F359">
        <f>'Runs Z score'!F351</f>
        <v/>
      </c>
      <c r="G359">
        <f>'Runs Z score'!G351</f>
        <v/>
      </c>
      <c r="H359">
        <f>VLOOKUP(C359,Recipes!$A$2:$N$4,10,FALSE())</f>
        <v/>
      </c>
      <c r="I359">
        <f>VLOOKUP(C359,Recipes!$A$2:$N$4,12,FALSE())</f>
        <v/>
      </c>
      <c r="J359">
        <f>IF(G359="","",H359-G359)</f>
        <v/>
      </c>
      <c r="K359">
        <f>IF(G359="","",IF(ABS(G359-H359)&lt;=$B$6*I359,"OK","NG"))</f>
        <v/>
      </c>
      <c r="L359">
        <f>IF(K359="","",IF(K359=D359,1,0))</f>
        <v/>
      </c>
      <c r="M359" t="inlineStr">
        <is>
          <t>W1</t>
        </is>
      </c>
      <c r="N359" s="15" t="n">
        <v>1</v>
      </c>
      <c r="O359" s="15" t="n">
        <v>0</v>
      </c>
      <c r="P359">
        <f>IF(M359="","",IF(M359=E359,1,0))</f>
        <v/>
      </c>
      <c r="Q359">
        <f>IF(K359="OK","-",IF(N359&lt;$B$7,"AMBIGUOUS","CONFIDENT"))</f>
        <v/>
      </c>
    </row>
    <row r="360">
      <c r="A360">
        <f>'Runs Z score'!A352</f>
        <v/>
      </c>
      <c r="B360">
        <f>'Runs Z score'!B352</f>
        <v/>
      </c>
      <c r="C360">
        <f>'Runs Z score'!C352</f>
        <v/>
      </c>
      <c r="D360">
        <f>'Runs Z score'!D352</f>
        <v/>
      </c>
      <c r="E360">
        <f>'Runs Z score'!E352</f>
        <v/>
      </c>
      <c r="F360">
        <f>'Runs Z score'!F352</f>
        <v/>
      </c>
      <c r="G360">
        <f>'Runs Z score'!G352</f>
        <v/>
      </c>
      <c r="H360">
        <f>VLOOKUP(C360,Recipes!$A$2:$N$4,10,FALSE())</f>
        <v/>
      </c>
      <c r="I360">
        <f>VLOOKUP(C360,Recipes!$A$2:$N$4,12,FALSE())</f>
        <v/>
      </c>
      <c r="J360">
        <f>IF(G360="","",H360-G360)</f>
        <v/>
      </c>
      <c r="K360">
        <f>IF(G360="","",IF(ABS(G360-H360)&lt;=$B$6*I360,"OK","NG"))</f>
        <v/>
      </c>
      <c r="L360">
        <f>IF(K360="","",IF(K360=D360,1,0))</f>
        <v/>
      </c>
      <c r="M360" t="inlineStr">
        <is>
          <t>W1</t>
        </is>
      </c>
      <c r="N360" s="15" t="n">
        <v>1</v>
      </c>
      <c r="O360" s="15" t="n">
        <v>0</v>
      </c>
      <c r="P360">
        <f>IF(M360="","",IF(M360=E360,1,0))</f>
        <v/>
      </c>
      <c r="Q360">
        <f>IF(K360="OK","-",IF(N360&lt;$B$7,"AMBIGUOUS","CONFIDENT"))</f>
        <v/>
      </c>
    </row>
    <row r="361">
      <c r="A361">
        <f>'Runs Z score'!A353</f>
        <v/>
      </c>
      <c r="B361">
        <f>'Runs Z score'!B353</f>
        <v/>
      </c>
      <c r="C361">
        <f>'Runs Z score'!C353</f>
        <v/>
      </c>
      <c r="D361">
        <f>'Runs Z score'!D353</f>
        <v/>
      </c>
      <c r="E361">
        <f>'Runs Z score'!E353</f>
        <v/>
      </c>
      <c r="F361">
        <f>'Runs Z score'!F353</f>
        <v/>
      </c>
      <c r="G361">
        <f>'Runs Z score'!G353</f>
        <v/>
      </c>
      <c r="H361">
        <f>VLOOKUP(C361,Recipes!$A$2:$N$4,10,FALSE())</f>
        <v/>
      </c>
      <c r="I361">
        <f>VLOOKUP(C361,Recipes!$A$2:$N$4,12,FALSE())</f>
        <v/>
      </c>
      <c r="J361">
        <f>IF(G361="","",H361-G361)</f>
        <v/>
      </c>
      <c r="K361">
        <f>IF(G361="","",IF(ABS(G361-H361)&lt;=$B$6*I361,"OK","NG"))</f>
        <v/>
      </c>
      <c r="L361">
        <f>IF(K361="","",IF(K361=D361,1,0))</f>
        <v/>
      </c>
      <c r="M361" t="inlineStr">
        <is>
          <t>W1</t>
        </is>
      </c>
      <c r="N361" s="15" t="n">
        <v>1</v>
      </c>
      <c r="O361" s="15" t="n">
        <v>0</v>
      </c>
      <c r="P361">
        <f>IF(M361="","",IF(M361=E361,1,0))</f>
        <v/>
      </c>
      <c r="Q361">
        <f>IF(K361="OK","-",IF(N361&lt;$B$7,"AMBIGUOUS","CONFIDENT"))</f>
        <v/>
      </c>
    </row>
    <row r="362">
      <c r="A362">
        <f>'Runs Z score'!A354</f>
        <v/>
      </c>
      <c r="B362">
        <f>'Runs Z score'!B354</f>
        <v/>
      </c>
      <c r="C362">
        <f>'Runs Z score'!C354</f>
        <v/>
      </c>
      <c r="D362">
        <f>'Runs Z score'!D354</f>
        <v/>
      </c>
      <c r="E362">
        <f>'Runs Z score'!E354</f>
        <v/>
      </c>
      <c r="F362">
        <f>'Runs Z score'!F354</f>
        <v/>
      </c>
      <c r="G362">
        <f>'Runs Z score'!G354</f>
        <v/>
      </c>
      <c r="H362">
        <f>VLOOKUP(C362,Recipes!$A$2:$N$4,10,FALSE())</f>
        <v/>
      </c>
      <c r="I362">
        <f>VLOOKUP(C362,Recipes!$A$2:$N$4,12,FALSE())</f>
        <v/>
      </c>
      <c r="J362">
        <f>IF(G362="","",H362-G362)</f>
        <v/>
      </c>
      <c r="K362">
        <f>IF(G362="","",IF(ABS(G362-H362)&lt;=$B$6*I362,"OK","NG"))</f>
        <v/>
      </c>
      <c r="L362">
        <f>IF(K362="","",IF(K362=D362,1,0))</f>
        <v/>
      </c>
      <c r="M362" t="inlineStr">
        <is>
          <t>W1</t>
        </is>
      </c>
      <c r="N362" s="15" t="n">
        <v>0.995</v>
      </c>
      <c r="O362" s="15" t="n">
        <v>0.004</v>
      </c>
      <c r="P362">
        <f>IF(M362="","",IF(M362=E362,1,0))</f>
        <v/>
      </c>
      <c r="Q362">
        <f>IF(K362="OK","-",IF(N362&lt;$B$7,"AMBIGUOUS","CONFIDENT"))</f>
        <v/>
      </c>
    </row>
    <row r="363">
      <c r="A363">
        <f>'Runs Z score'!A355</f>
        <v/>
      </c>
      <c r="B363">
        <f>'Runs Z score'!B355</f>
        <v/>
      </c>
      <c r="C363">
        <f>'Runs Z score'!C355</f>
        <v/>
      </c>
      <c r="D363">
        <f>'Runs Z score'!D355</f>
        <v/>
      </c>
      <c r="E363">
        <f>'Runs Z score'!E355</f>
        <v/>
      </c>
      <c r="F363">
        <f>'Runs Z score'!F355</f>
        <v/>
      </c>
      <c r="G363">
        <f>'Runs Z score'!G355</f>
        <v/>
      </c>
      <c r="H363">
        <f>VLOOKUP(C363,Recipes!$A$2:$N$4,10,FALSE())</f>
        <v/>
      </c>
      <c r="I363">
        <f>VLOOKUP(C363,Recipes!$A$2:$N$4,12,FALSE())</f>
        <v/>
      </c>
      <c r="J363">
        <f>IF(G363="","",H363-G363)</f>
        <v/>
      </c>
      <c r="K363">
        <f>IF(G363="","",IF(ABS(G363-H363)&lt;=$B$6*I363,"OK","NG"))</f>
        <v/>
      </c>
      <c r="L363">
        <f>IF(K363="","",IF(K363=D363,1,0))</f>
        <v/>
      </c>
      <c r="M363" t="inlineStr">
        <is>
          <t>N1</t>
        </is>
      </c>
      <c r="N363" s="15" t="n">
        <v>0.9498</v>
      </c>
      <c r="O363" s="15" t="n">
        <v>0.0502</v>
      </c>
      <c r="P363">
        <f>IF(M363="","",IF(M363=E363,1,0))</f>
        <v/>
      </c>
      <c r="Q363">
        <f>IF(K363="OK","-",IF(N363&lt;$B$7,"AMBIGUOUS","CONFIDENT"))</f>
        <v/>
      </c>
    </row>
    <row r="364">
      <c r="A364">
        <f>'Runs Z score'!A356</f>
        <v/>
      </c>
      <c r="B364">
        <f>'Runs Z score'!B356</f>
        <v/>
      </c>
      <c r="C364">
        <f>'Runs Z score'!C356</f>
        <v/>
      </c>
      <c r="D364">
        <f>'Runs Z score'!D356</f>
        <v/>
      </c>
      <c r="E364">
        <f>'Runs Z score'!E356</f>
        <v/>
      </c>
      <c r="F364">
        <f>'Runs Z score'!F356</f>
        <v/>
      </c>
      <c r="G364">
        <f>'Runs Z score'!G356</f>
        <v/>
      </c>
      <c r="H364">
        <f>VLOOKUP(C364,Recipes!$A$2:$N$4,10,FALSE())</f>
        <v/>
      </c>
      <c r="I364">
        <f>VLOOKUP(C364,Recipes!$A$2:$N$4,12,FALSE())</f>
        <v/>
      </c>
      <c r="J364">
        <f>IF(G364="","",H364-G364)</f>
        <v/>
      </c>
      <c r="K364">
        <f>IF(G364="","",IF(ABS(G364-H364)&lt;=$B$6*I364,"OK","NG"))</f>
        <v/>
      </c>
      <c r="L364">
        <f>IF(K364="","",IF(K364=D364,1,0))</f>
        <v/>
      </c>
      <c r="M364" t="inlineStr">
        <is>
          <t>W1</t>
        </is>
      </c>
      <c r="N364" s="15" t="n">
        <v>0.995</v>
      </c>
      <c r="O364" s="15" t="n">
        <v>0.005</v>
      </c>
      <c r="P364">
        <f>IF(M364="","",IF(M364=E364,1,0))</f>
        <v/>
      </c>
      <c r="Q364">
        <f>IF(K364="OK","-",IF(N364&lt;$B$7,"AMBIGUOUS","CONFIDENT"))</f>
        <v/>
      </c>
    </row>
    <row r="365">
      <c r="A365">
        <f>'Runs Z score'!A357</f>
        <v/>
      </c>
      <c r="B365">
        <f>'Runs Z score'!B357</f>
        <v/>
      </c>
      <c r="C365">
        <f>'Runs Z score'!C357</f>
        <v/>
      </c>
      <c r="D365">
        <f>'Runs Z score'!D357</f>
        <v/>
      </c>
      <c r="E365">
        <f>'Runs Z score'!E357</f>
        <v/>
      </c>
      <c r="F365">
        <f>'Runs Z score'!F357</f>
        <v/>
      </c>
      <c r="G365">
        <f>'Runs Z score'!G357</f>
        <v/>
      </c>
      <c r="H365">
        <f>VLOOKUP(C365,Recipes!$A$2:$N$4,10,FALSE())</f>
        <v/>
      </c>
      <c r="I365">
        <f>VLOOKUP(C365,Recipes!$A$2:$N$4,12,FALSE())</f>
        <v/>
      </c>
      <c r="J365">
        <f>IF(G365="","",H365-G365)</f>
        <v/>
      </c>
      <c r="K365">
        <f>IF(G365="","",IF(ABS(G365-H365)&lt;=$B$6*I365,"OK","NG"))</f>
        <v/>
      </c>
      <c r="L365">
        <f>IF(K365="","",IF(K365=D365,1,0))</f>
        <v/>
      </c>
      <c r="M365" t="inlineStr">
        <is>
          <t>W1</t>
        </is>
      </c>
      <c r="N365" s="15" t="n">
        <v>1</v>
      </c>
      <c r="O365" s="15" t="n">
        <v>0</v>
      </c>
      <c r="P365">
        <f>IF(M365="","",IF(M365=E365,1,0))</f>
        <v/>
      </c>
      <c r="Q365">
        <f>IF(K365="OK","-",IF(N365&lt;$B$7,"AMBIGUOUS","CONFIDENT"))</f>
        <v/>
      </c>
    </row>
    <row r="366">
      <c r="A366">
        <f>'Runs Z score'!A358</f>
        <v/>
      </c>
      <c r="B366">
        <f>'Runs Z score'!B358</f>
        <v/>
      </c>
      <c r="C366">
        <f>'Runs Z score'!C358</f>
        <v/>
      </c>
      <c r="D366">
        <f>'Runs Z score'!D358</f>
        <v/>
      </c>
      <c r="E366">
        <f>'Runs Z score'!E358</f>
        <v/>
      </c>
      <c r="F366">
        <f>'Runs Z score'!F358</f>
        <v/>
      </c>
      <c r="G366">
        <f>'Runs Z score'!G358</f>
        <v/>
      </c>
      <c r="H366">
        <f>VLOOKUP(C366,Recipes!$A$2:$N$4,10,FALSE())</f>
        <v/>
      </c>
      <c r="I366">
        <f>VLOOKUP(C366,Recipes!$A$2:$N$4,12,FALSE())</f>
        <v/>
      </c>
      <c r="J366">
        <f>IF(G366="","",H366-G366)</f>
        <v/>
      </c>
      <c r="K366">
        <f>IF(G366="","",IF(ABS(G366-H366)&lt;=$B$6*I366,"OK","NG"))</f>
        <v/>
      </c>
      <c r="L366">
        <f>IF(K366="","",IF(K366=D366,1,0))</f>
        <v/>
      </c>
      <c r="M366" t="inlineStr">
        <is>
          <t>N1</t>
        </is>
      </c>
      <c r="N366" s="15" t="n">
        <v>0.6216</v>
      </c>
      <c r="O366" s="15" t="n">
        <v>0.3756</v>
      </c>
      <c r="P366">
        <f>IF(M366="","",IF(M366=E366,1,0))</f>
        <v/>
      </c>
      <c r="Q366">
        <f>IF(K366="OK","-",IF(N366&lt;$B$7,"AMBIGUOUS","CONFIDENT"))</f>
        <v/>
      </c>
    </row>
    <row r="367">
      <c r="A367">
        <f>'Runs Z score'!A359</f>
        <v/>
      </c>
      <c r="B367">
        <f>'Runs Z score'!B359</f>
        <v/>
      </c>
      <c r="C367">
        <f>'Runs Z score'!C359</f>
        <v/>
      </c>
      <c r="D367">
        <f>'Runs Z score'!D359</f>
        <v/>
      </c>
      <c r="E367">
        <f>'Runs Z score'!E359</f>
        <v/>
      </c>
      <c r="F367">
        <f>'Runs Z score'!F359</f>
        <v/>
      </c>
      <c r="G367">
        <f>'Runs Z score'!G359</f>
        <v/>
      </c>
      <c r="H367">
        <f>VLOOKUP(C367,Recipes!$A$2:$N$4,10,FALSE())</f>
        <v/>
      </c>
      <c r="I367">
        <f>VLOOKUP(C367,Recipes!$A$2:$N$4,12,FALSE())</f>
        <v/>
      </c>
      <c r="J367">
        <f>IF(G367="","",H367-G367)</f>
        <v/>
      </c>
      <c r="K367">
        <f>IF(G367="","",IF(ABS(G367-H367)&lt;=$B$6*I367,"OK","NG"))</f>
        <v/>
      </c>
      <c r="L367">
        <f>IF(K367="","",IF(K367=D367,1,0))</f>
        <v/>
      </c>
      <c r="M367" t="inlineStr">
        <is>
          <t>W1</t>
        </is>
      </c>
      <c r="N367" s="15" t="n">
        <v>0.9008</v>
      </c>
      <c r="O367" s="15" t="n">
        <v>0.0992</v>
      </c>
      <c r="P367">
        <f>IF(M367="","",IF(M367=E367,1,0))</f>
        <v/>
      </c>
      <c r="Q367">
        <f>IF(K367="OK","-",IF(N367&lt;$B$7,"AMBIGUOUS","CONFIDENT"))</f>
        <v/>
      </c>
    </row>
    <row r="368">
      <c r="A368">
        <f>'Runs Z score'!A360</f>
        <v/>
      </c>
      <c r="B368">
        <f>'Runs Z score'!B360</f>
        <v/>
      </c>
      <c r="C368">
        <f>'Runs Z score'!C360</f>
        <v/>
      </c>
      <c r="D368">
        <f>'Runs Z score'!D360</f>
        <v/>
      </c>
      <c r="E368">
        <f>'Runs Z score'!E360</f>
        <v/>
      </c>
      <c r="F368">
        <f>'Runs Z score'!F360</f>
        <v/>
      </c>
      <c r="G368">
        <f>'Runs Z score'!G360</f>
        <v/>
      </c>
      <c r="H368">
        <f>VLOOKUP(C368,Recipes!$A$2:$N$4,10,FALSE())</f>
        <v/>
      </c>
      <c r="I368">
        <f>VLOOKUP(C368,Recipes!$A$2:$N$4,12,FALSE())</f>
        <v/>
      </c>
      <c r="J368">
        <f>IF(G368="","",H368-G368)</f>
        <v/>
      </c>
      <c r="K368">
        <f>IF(G368="","",IF(ABS(G368-H368)&lt;=$B$6*I368,"OK","NG"))</f>
        <v/>
      </c>
      <c r="L368">
        <f>IF(K368="","",IF(K368=D368,1,0))</f>
        <v/>
      </c>
      <c r="M368" t="inlineStr">
        <is>
          <t>W1</t>
        </is>
      </c>
      <c r="N368" s="15" t="n">
        <v>1</v>
      </c>
      <c r="O368" s="15" t="n">
        <v>0</v>
      </c>
      <c r="P368">
        <f>IF(M368="","",IF(M368=E368,1,0))</f>
        <v/>
      </c>
      <c r="Q368">
        <f>IF(K368="OK","-",IF(N368&lt;$B$7,"AMBIGUOUS","CONFIDENT"))</f>
        <v/>
      </c>
    </row>
    <row r="369">
      <c r="A369">
        <f>'Runs Z score'!A361</f>
        <v/>
      </c>
      <c r="B369">
        <f>'Runs Z score'!B361</f>
        <v/>
      </c>
      <c r="C369">
        <f>'Runs Z score'!C361</f>
        <v/>
      </c>
      <c r="D369">
        <f>'Runs Z score'!D361</f>
        <v/>
      </c>
      <c r="E369">
        <f>'Runs Z score'!E361</f>
        <v/>
      </c>
      <c r="F369">
        <f>'Runs Z score'!F361</f>
        <v/>
      </c>
      <c r="G369">
        <f>'Runs Z score'!G361</f>
        <v/>
      </c>
      <c r="H369">
        <f>VLOOKUP(C369,Recipes!$A$2:$N$4,10,FALSE())</f>
        <v/>
      </c>
      <c r="I369">
        <f>VLOOKUP(C369,Recipes!$A$2:$N$4,12,FALSE())</f>
        <v/>
      </c>
      <c r="J369">
        <f>IF(G369="","",H369-G369)</f>
        <v/>
      </c>
      <c r="K369">
        <f>IF(G369="","",IF(ABS(G369-H369)&lt;=$B$6*I369,"OK","NG"))</f>
        <v/>
      </c>
      <c r="L369">
        <f>IF(K369="","",IF(K369=D369,1,0))</f>
        <v/>
      </c>
      <c r="M369" t="inlineStr">
        <is>
          <t>N2</t>
        </is>
      </c>
      <c r="N369" s="15" t="n">
        <v>0.5387999999999999</v>
      </c>
      <c r="O369" s="15" t="n">
        <v>0.3454</v>
      </c>
      <c r="P369">
        <f>IF(M369="","",IF(M369=E369,1,0))</f>
        <v/>
      </c>
      <c r="Q369">
        <f>IF(K369="OK","-",IF(N369&lt;$B$7,"AMBIGUOUS","CONFIDENT"))</f>
        <v/>
      </c>
    </row>
    <row r="370">
      <c r="A370">
        <f>'Runs Z score'!A362</f>
        <v/>
      </c>
      <c r="B370">
        <f>'Runs Z score'!B362</f>
        <v/>
      </c>
      <c r="C370">
        <f>'Runs Z score'!C362</f>
        <v/>
      </c>
      <c r="D370">
        <f>'Runs Z score'!D362</f>
        <v/>
      </c>
      <c r="E370">
        <f>'Runs Z score'!E362</f>
        <v/>
      </c>
      <c r="F370">
        <f>'Runs Z score'!F362</f>
        <v/>
      </c>
      <c r="G370">
        <f>'Runs Z score'!G362</f>
        <v/>
      </c>
      <c r="H370">
        <f>VLOOKUP(C370,Recipes!$A$2:$N$4,10,FALSE())</f>
        <v/>
      </c>
      <c r="I370">
        <f>VLOOKUP(C370,Recipes!$A$2:$N$4,12,FALSE())</f>
        <v/>
      </c>
      <c r="J370">
        <f>IF(G370="","",H370-G370)</f>
        <v/>
      </c>
      <c r="K370">
        <f>IF(G370="","",IF(ABS(G370-H370)&lt;=$B$6*I370,"OK","NG"))</f>
        <v/>
      </c>
      <c r="L370">
        <f>IF(K370="","",IF(K370=D370,1,0))</f>
        <v/>
      </c>
      <c r="M370" t="inlineStr">
        <is>
          <t>W1</t>
        </is>
      </c>
      <c r="N370" s="15" t="n">
        <v>0.995</v>
      </c>
      <c r="O370" s="15" t="n">
        <v>0.005</v>
      </c>
      <c r="P370">
        <f>IF(M370="","",IF(M370=E370,1,0))</f>
        <v/>
      </c>
      <c r="Q370">
        <f>IF(K370="OK","-",IF(N370&lt;$B$7,"AMBIGUOUS","CONFIDENT"))</f>
        <v/>
      </c>
    </row>
    <row r="371">
      <c r="A371">
        <f>'Runs Z score'!A363</f>
        <v/>
      </c>
      <c r="B371">
        <f>'Runs Z score'!B363</f>
        <v/>
      </c>
      <c r="C371">
        <f>'Runs Z score'!C363</f>
        <v/>
      </c>
      <c r="D371">
        <f>'Runs Z score'!D363</f>
        <v/>
      </c>
      <c r="E371">
        <f>'Runs Z score'!E363</f>
        <v/>
      </c>
      <c r="F371">
        <f>'Runs Z score'!F363</f>
        <v/>
      </c>
      <c r="G371">
        <f>'Runs Z score'!G363</f>
        <v/>
      </c>
      <c r="H371">
        <f>VLOOKUP(C371,Recipes!$A$2:$N$4,10,FALSE())</f>
        <v/>
      </c>
      <c r="I371">
        <f>VLOOKUP(C371,Recipes!$A$2:$N$4,12,FALSE())</f>
        <v/>
      </c>
      <c r="J371">
        <f>IF(G371="","",H371-G371)</f>
        <v/>
      </c>
      <c r="K371">
        <f>IF(G371="","",IF(ABS(G371-H371)&lt;=$B$6*I371,"OK","NG"))</f>
        <v/>
      </c>
      <c r="L371">
        <f>IF(K371="","",IF(K371=D371,1,0))</f>
        <v/>
      </c>
      <c r="M371" t="inlineStr">
        <is>
          <t>N2</t>
        </is>
      </c>
      <c r="N371" s="15" t="n">
        <v>1</v>
      </c>
      <c r="O371" s="15" t="n">
        <v>0</v>
      </c>
      <c r="P371">
        <f>IF(M371="","",IF(M371=E371,1,0))</f>
        <v/>
      </c>
      <c r="Q371">
        <f>IF(K371="OK","-",IF(N371&lt;$B$7,"AMBIGUOUS","CONFIDENT"))</f>
        <v/>
      </c>
    </row>
    <row r="372">
      <c r="A372">
        <f>'Runs Z score'!A364</f>
        <v/>
      </c>
      <c r="B372">
        <f>'Runs Z score'!B364</f>
        <v/>
      </c>
      <c r="C372">
        <f>'Runs Z score'!C364</f>
        <v/>
      </c>
      <c r="D372">
        <f>'Runs Z score'!D364</f>
        <v/>
      </c>
      <c r="E372">
        <f>'Runs Z score'!E364</f>
        <v/>
      </c>
      <c r="F372">
        <f>'Runs Z score'!F364</f>
        <v/>
      </c>
      <c r="G372">
        <f>'Runs Z score'!G364</f>
        <v/>
      </c>
      <c r="H372">
        <f>VLOOKUP(C372,Recipes!$A$2:$N$4,10,FALSE())</f>
        <v/>
      </c>
      <c r="I372">
        <f>VLOOKUP(C372,Recipes!$A$2:$N$4,12,FALSE())</f>
        <v/>
      </c>
      <c r="J372">
        <f>IF(G372="","",H372-G372)</f>
        <v/>
      </c>
      <c r="K372">
        <f>IF(G372="","",IF(ABS(G372-H372)&lt;=$B$6*I372,"OK","NG"))</f>
        <v/>
      </c>
      <c r="L372">
        <f>IF(K372="","",IF(K372=D372,1,0))</f>
        <v/>
      </c>
      <c r="M372" t="inlineStr">
        <is>
          <t>N2</t>
        </is>
      </c>
      <c r="N372" s="15" t="n">
        <v>0.9767</v>
      </c>
      <c r="O372" s="15" t="n">
        <v>0.0233</v>
      </c>
      <c r="P372">
        <f>IF(M372="","",IF(M372=E372,1,0))</f>
        <v/>
      </c>
      <c r="Q372">
        <f>IF(K372="OK","-",IF(N372&lt;$B$7,"AMBIGUOUS","CONFIDENT"))</f>
        <v/>
      </c>
    </row>
    <row r="373">
      <c r="A373">
        <f>'Runs Z score'!A365</f>
        <v/>
      </c>
      <c r="B373">
        <f>'Runs Z score'!B365</f>
        <v/>
      </c>
      <c r="C373">
        <f>'Runs Z score'!C365</f>
        <v/>
      </c>
      <c r="D373">
        <f>'Runs Z score'!D365</f>
        <v/>
      </c>
      <c r="E373">
        <f>'Runs Z score'!E365</f>
        <v/>
      </c>
      <c r="F373">
        <f>'Runs Z score'!F365</f>
        <v/>
      </c>
      <c r="G373">
        <f>'Runs Z score'!G365</f>
        <v/>
      </c>
      <c r="H373">
        <f>VLOOKUP(C373,Recipes!$A$2:$N$4,10,FALSE())</f>
        <v/>
      </c>
      <c r="I373">
        <f>VLOOKUP(C373,Recipes!$A$2:$N$4,12,FALSE())</f>
        <v/>
      </c>
      <c r="J373">
        <f>IF(G373="","",H373-G373)</f>
        <v/>
      </c>
      <c r="K373">
        <f>IF(G373="","",IF(ABS(G373-H373)&lt;=$B$6*I373,"OK","NG"))</f>
        <v/>
      </c>
      <c r="L373">
        <f>IF(K373="","",IF(K373=D373,1,0))</f>
        <v/>
      </c>
      <c r="M373" t="inlineStr">
        <is>
          <t>N2</t>
        </is>
      </c>
      <c r="N373" s="15" t="n">
        <v>0.9739</v>
      </c>
      <c r="O373" s="15" t="n">
        <v>0.0251</v>
      </c>
      <c r="P373">
        <f>IF(M373="","",IF(M373=E373,1,0))</f>
        <v/>
      </c>
      <c r="Q373">
        <f>IF(K373="OK","-",IF(N373&lt;$B$7,"AMBIGUOUS","CONFIDENT"))</f>
        <v/>
      </c>
    </row>
    <row r="374">
      <c r="A374">
        <f>'Runs Z score'!A366</f>
        <v/>
      </c>
      <c r="B374">
        <f>'Runs Z score'!B366</f>
        <v/>
      </c>
      <c r="C374">
        <f>'Runs Z score'!C366</f>
        <v/>
      </c>
      <c r="D374">
        <f>'Runs Z score'!D366</f>
        <v/>
      </c>
      <c r="E374">
        <f>'Runs Z score'!E366</f>
        <v/>
      </c>
      <c r="F374">
        <f>'Runs Z score'!F366</f>
        <v/>
      </c>
      <c r="G374">
        <f>'Runs Z score'!G366</f>
        <v/>
      </c>
      <c r="H374">
        <f>VLOOKUP(C374,Recipes!$A$2:$N$4,10,FALSE())</f>
        <v/>
      </c>
      <c r="I374">
        <f>VLOOKUP(C374,Recipes!$A$2:$N$4,12,FALSE())</f>
        <v/>
      </c>
      <c r="J374">
        <f>IF(G374="","",H374-G374)</f>
        <v/>
      </c>
      <c r="K374">
        <f>IF(G374="","",IF(ABS(G374-H374)&lt;=$B$6*I374,"OK","NG"))</f>
        <v/>
      </c>
      <c r="L374">
        <f>IF(K374="","",IF(K374=D374,1,0))</f>
        <v/>
      </c>
      <c r="M374" t="inlineStr">
        <is>
          <t>N2</t>
        </is>
      </c>
      <c r="N374" s="15" t="n">
        <v>0.6614</v>
      </c>
      <c r="O374" s="15" t="n">
        <v>0.2532</v>
      </c>
      <c r="P374">
        <f>IF(M374="","",IF(M374=E374,1,0))</f>
        <v/>
      </c>
      <c r="Q374">
        <f>IF(K374="OK","-",IF(N374&lt;$B$7,"AMBIGUOUS","CONFIDENT"))</f>
        <v/>
      </c>
    </row>
    <row r="375">
      <c r="A375">
        <f>'Runs Z score'!A367</f>
        <v/>
      </c>
      <c r="B375">
        <f>'Runs Z score'!B367</f>
        <v/>
      </c>
      <c r="C375">
        <f>'Runs Z score'!C367</f>
        <v/>
      </c>
      <c r="D375">
        <f>'Runs Z score'!D367</f>
        <v/>
      </c>
      <c r="E375">
        <f>'Runs Z score'!E367</f>
        <v/>
      </c>
      <c r="F375">
        <f>'Runs Z score'!F367</f>
        <v/>
      </c>
      <c r="G375">
        <f>'Runs Z score'!G367</f>
        <v/>
      </c>
      <c r="H375">
        <f>VLOOKUP(C375,Recipes!$A$2:$N$4,10,FALSE())</f>
        <v/>
      </c>
      <c r="I375">
        <f>VLOOKUP(C375,Recipes!$A$2:$N$4,12,FALSE())</f>
        <v/>
      </c>
      <c r="J375">
        <f>IF(G375="","",H375-G375)</f>
        <v/>
      </c>
      <c r="K375">
        <f>IF(G375="","",IF(ABS(G375-H375)&lt;=$B$6*I375,"OK","NG"))</f>
        <v/>
      </c>
      <c r="L375">
        <f>IF(K375="","",IF(K375=D375,1,0))</f>
        <v/>
      </c>
      <c r="M375" t="inlineStr">
        <is>
          <t>N2</t>
        </is>
      </c>
      <c r="N375" s="15" t="n">
        <v>1</v>
      </c>
      <c r="O375" s="15" t="n">
        <v>0</v>
      </c>
      <c r="P375">
        <f>IF(M375="","",IF(M375=E375,1,0))</f>
        <v/>
      </c>
      <c r="Q375">
        <f>IF(K375="OK","-",IF(N375&lt;$B$7,"AMBIGUOUS","CONFIDENT"))</f>
        <v/>
      </c>
    </row>
    <row r="376">
      <c r="A376">
        <f>'Runs Z score'!A368</f>
        <v/>
      </c>
      <c r="B376">
        <f>'Runs Z score'!B368</f>
        <v/>
      </c>
      <c r="C376">
        <f>'Runs Z score'!C368</f>
        <v/>
      </c>
      <c r="D376">
        <f>'Runs Z score'!D368</f>
        <v/>
      </c>
      <c r="E376">
        <f>'Runs Z score'!E368</f>
        <v/>
      </c>
      <c r="F376">
        <f>'Runs Z score'!F368</f>
        <v/>
      </c>
      <c r="G376">
        <f>'Runs Z score'!G368</f>
        <v/>
      </c>
      <c r="H376">
        <f>VLOOKUP(C376,Recipes!$A$2:$N$4,10,FALSE())</f>
        <v/>
      </c>
      <c r="I376">
        <f>VLOOKUP(C376,Recipes!$A$2:$N$4,12,FALSE())</f>
        <v/>
      </c>
      <c r="J376">
        <f>IF(G376="","",H376-G376)</f>
        <v/>
      </c>
      <c r="K376">
        <f>IF(G376="","",IF(ABS(G376-H376)&lt;=$B$6*I376,"OK","NG"))</f>
        <v/>
      </c>
      <c r="L376">
        <f>IF(K376="","",IF(K376=D376,1,0))</f>
        <v/>
      </c>
      <c r="M376" t="inlineStr">
        <is>
          <t>N2</t>
        </is>
      </c>
      <c r="N376" s="15" t="n">
        <v>0.9978</v>
      </c>
      <c r="O376" s="15" t="n">
        <v>0.0023</v>
      </c>
      <c r="P376">
        <f>IF(M376="","",IF(M376=E376,1,0))</f>
        <v/>
      </c>
      <c r="Q376">
        <f>IF(K376="OK","-",IF(N376&lt;$B$7,"AMBIGUOUS","CONFIDENT"))</f>
        <v/>
      </c>
    </row>
    <row r="377">
      <c r="A377">
        <f>'Runs Z score'!A369</f>
        <v/>
      </c>
      <c r="B377">
        <f>'Runs Z score'!B369</f>
        <v/>
      </c>
      <c r="C377">
        <f>'Runs Z score'!C369</f>
        <v/>
      </c>
      <c r="D377">
        <f>'Runs Z score'!D369</f>
        <v/>
      </c>
      <c r="E377">
        <f>'Runs Z score'!E369</f>
        <v/>
      </c>
      <c r="F377">
        <f>'Runs Z score'!F369</f>
        <v/>
      </c>
      <c r="G377">
        <f>'Runs Z score'!G369</f>
        <v/>
      </c>
      <c r="H377">
        <f>VLOOKUP(C377,Recipes!$A$2:$N$4,10,FALSE())</f>
        <v/>
      </c>
      <c r="I377">
        <f>VLOOKUP(C377,Recipes!$A$2:$N$4,12,FALSE())</f>
        <v/>
      </c>
      <c r="J377">
        <f>IF(G377="","",H377-G377)</f>
        <v/>
      </c>
      <c r="K377">
        <f>IF(G377="","",IF(ABS(G377-H377)&lt;=$B$6*I377,"OK","NG"))</f>
        <v/>
      </c>
      <c r="L377">
        <f>IF(K377="","",IF(K377=D377,1,0))</f>
        <v/>
      </c>
      <c r="M377" t="inlineStr">
        <is>
          <t>N2</t>
        </is>
      </c>
      <c r="N377" s="15" t="n">
        <v>1</v>
      </c>
      <c r="O377" s="15" t="n">
        <v>0</v>
      </c>
      <c r="P377">
        <f>IF(M377="","",IF(M377=E377,1,0))</f>
        <v/>
      </c>
      <c r="Q377">
        <f>IF(K377="OK","-",IF(N377&lt;$B$7,"AMBIGUOUS","CONFIDENT"))</f>
        <v/>
      </c>
    </row>
    <row r="378">
      <c r="A378">
        <f>'Runs Z score'!A370</f>
        <v/>
      </c>
      <c r="B378">
        <f>'Runs Z score'!B370</f>
        <v/>
      </c>
      <c r="C378">
        <f>'Runs Z score'!C370</f>
        <v/>
      </c>
      <c r="D378">
        <f>'Runs Z score'!D370</f>
        <v/>
      </c>
      <c r="E378">
        <f>'Runs Z score'!E370</f>
        <v/>
      </c>
      <c r="F378">
        <f>'Runs Z score'!F370</f>
        <v/>
      </c>
      <c r="G378">
        <f>'Runs Z score'!G370</f>
        <v/>
      </c>
      <c r="H378">
        <f>VLOOKUP(C378,Recipes!$A$2:$N$4,10,FALSE())</f>
        <v/>
      </c>
      <c r="I378">
        <f>VLOOKUP(C378,Recipes!$A$2:$N$4,12,FALSE())</f>
        <v/>
      </c>
      <c r="J378">
        <f>IF(G378="","",H378-G378)</f>
        <v/>
      </c>
      <c r="K378">
        <f>IF(G378="","",IF(ABS(G378-H378)&lt;=$B$6*I378,"OK","NG"))</f>
        <v/>
      </c>
      <c r="L378">
        <f>IF(K378="","",IF(K378=D378,1,0))</f>
        <v/>
      </c>
      <c r="M378" t="inlineStr">
        <is>
          <t>N2</t>
        </is>
      </c>
      <c r="N378" s="15" t="n">
        <v>0.675</v>
      </c>
      <c r="O378" s="15" t="n">
        <v>0.2956</v>
      </c>
      <c r="P378">
        <f>IF(M378="","",IF(M378=E378,1,0))</f>
        <v/>
      </c>
      <c r="Q378">
        <f>IF(K378="OK","-",IF(N378&lt;$B$7,"AMBIGUOUS","CONFIDENT"))</f>
        <v/>
      </c>
    </row>
    <row r="379">
      <c r="A379">
        <f>'Runs Z score'!A371</f>
        <v/>
      </c>
      <c r="B379">
        <f>'Runs Z score'!B371</f>
        <v/>
      </c>
      <c r="C379">
        <f>'Runs Z score'!C371</f>
        <v/>
      </c>
      <c r="D379">
        <f>'Runs Z score'!D371</f>
        <v/>
      </c>
      <c r="E379">
        <f>'Runs Z score'!E371</f>
        <v/>
      </c>
      <c r="F379">
        <f>'Runs Z score'!F371</f>
        <v/>
      </c>
      <c r="G379">
        <f>'Runs Z score'!G371</f>
        <v/>
      </c>
      <c r="H379">
        <f>VLOOKUP(C379,Recipes!$A$2:$N$4,10,FALSE())</f>
        <v/>
      </c>
      <c r="I379">
        <f>VLOOKUP(C379,Recipes!$A$2:$N$4,12,FALSE())</f>
        <v/>
      </c>
      <c r="J379">
        <f>IF(G379="","",H379-G379)</f>
        <v/>
      </c>
      <c r="K379">
        <f>IF(G379="","",IF(ABS(G379-H379)&lt;=$B$6*I379,"OK","NG"))</f>
        <v/>
      </c>
      <c r="L379">
        <f>IF(K379="","",IF(K379=D379,1,0))</f>
        <v/>
      </c>
      <c r="M379" t="inlineStr">
        <is>
          <t>N2</t>
        </is>
      </c>
      <c r="N379" s="15" t="n">
        <v>1</v>
      </c>
      <c r="O379" s="15" t="n">
        <v>0</v>
      </c>
      <c r="P379">
        <f>IF(M379="","",IF(M379=E379,1,0))</f>
        <v/>
      </c>
      <c r="Q379">
        <f>IF(K379="OK","-",IF(N379&lt;$B$7,"AMBIGUOUS","CONFIDENT"))</f>
        <v/>
      </c>
    </row>
    <row r="380">
      <c r="A380">
        <f>'Runs Z score'!A372</f>
        <v/>
      </c>
      <c r="B380">
        <f>'Runs Z score'!B372</f>
        <v/>
      </c>
      <c r="C380">
        <f>'Runs Z score'!C372</f>
        <v/>
      </c>
      <c r="D380">
        <f>'Runs Z score'!D372</f>
        <v/>
      </c>
      <c r="E380">
        <f>'Runs Z score'!E372</f>
        <v/>
      </c>
      <c r="F380">
        <f>'Runs Z score'!F372</f>
        <v/>
      </c>
      <c r="G380">
        <f>'Runs Z score'!G372</f>
        <v/>
      </c>
      <c r="H380">
        <f>VLOOKUP(C380,Recipes!$A$2:$N$4,10,FALSE())</f>
        <v/>
      </c>
      <c r="I380">
        <f>VLOOKUP(C380,Recipes!$A$2:$N$4,12,FALSE())</f>
        <v/>
      </c>
      <c r="J380">
        <f>IF(G380="","",H380-G380)</f>
        <v/>
      </c>
      <c r="K380">
        <f>IF(G380="","",IF(ABS(G380-H380)&lt;=$B$6*I380,"OK","NG"))</f>
        <v/>
      </c>
      <c r="L380">
        <f>IF(K380="","",IF(K380=D380,1,0))</f>
        <v/>
      </c>
      <c r="M380" t="inlineStr">
        <is>
          <t>N2</t>
        </is>
      </c>
      <c r="N380" s="15" t="n">
        <v>0.7249</v>
      </c>
      <c r="O380" s="15" t="n">
        <v>0.2751</v>
      </c>
      <c r="P380">
        <f>IF(M380="","",IF(M380=E380,1,0))</f>
        <v/>
      </c>
      <c r="Q380">
        <f>IF(K380="OK","-",IF(N380&lt;$B$7,"AMBIGUOUS","CONFIDENT"))</f>
        <v/>
      </c>
    </row>
    <row r="381">
      <c r="A381">
        <f>'Runs Z score'!A373</f>
        <v/>
      </c>
      <c r="B381">
        <f>'Runs Z score'!B373</f>
        <v/>
      </c>
      <c r="C381">
        <f>'Runs Z score'!C373</f>
        <v/>
      </c>
      <c r="D381">
        <f>'Runs Z score'!D373</f>
        <v/>
      </c>
      <c r="E381">
        <f>'Runs Z score'!E373</f>
        <v/>
      </c>
      <c r="F381">
        <f>'Runs Z score'!F373</f>
        <v/>
      </c>
      <c r="G381">
        <f>'Runs Z score'!G373</f>
        <v/>
      </c>
      <c r="H381">
        <f>VLOOKUP(C381,Recipes!$A$2:$N$4,10,FALSE())</f>
        <v/>
      </c>
      <c r="I381">
        <f>VLOOKUP(C381,Recipes!$A$2:$N$4,12,FALSE())</f>
        <v/>
      </c>
      <c r="J381">
        <f>IF(G381="","",H381-G381)</f>
        <v/>
      </c>
      <c r="K381">
        <f>IF(G381="","",IF(ABS(G381-H381)&lt;=$B$6*I381,"OK","NG"))</f>
        <v/>
      </c>
      <c r="L381">
        <f>IF(K381="","",IF(K381=D381,1,0))</f>
        <v/>
      </c>
      <c r="M381" t="inlineStr">
        <is>
          <t>N2</t>
        </is>
      </c>
      <c r="N381" s="15" t="n">
        <v>1</v>
      </c>
      <c r="O381" s="15" t="n">
        <v>0</v>
      </c>
      <c r="P381">
        <f>IF(M381="","",IF(M381=E381,1,0))</f>
        <v/>
      </c>
      <c r="Q381">
        <f>IF(K381="OK","-",IF(N381&lt;$B$7,"AMBIGUOUS","CONFIDENT"))</f>
        <v/>
      </c>
    </row>
    <row r="382">
      <c r="A382">
        <f>'Runs Z score'!A374</f>
        <v/>
      </c>
      <c r="B382">
        <f>'Runs Z score'!B374</f>
        <v/>
      </c>
      <c r="C382">
        <f>'Runs Z score'!C374</f>
        <v/>
      </c>
      <c r="D382">
        <f>'Runs Z score'!D374</f>
        <v/>
      </c>
      <c r="E382">
        <f>'Runs Z score'!E374</f>
        <v/>
      </c>
      <c r="F382">
        <f>'Runs Z score'!F374</f>
        <v/>
      </c>
      <c r="G382">
        <f>'Runs Z score'!G374</f>
        <v/>
      </c>
      <c r="H382">
        <f>VLOOKUP(C382,Recipes!$A$2:$N$4,10,FALSE())</f>
        <v/>
      </c>
      <c r="I382">
        <f>VLOOKUP(C382,Recipes!$A$2:$N$4,12,FALSE())</f>
        <v/>
      </c>
      <c r="J382">
        <f>IF(G382="","",H382-G382)</f>
        <v/>
      </c>
      <c r="K382">
        <f>IF(G382="","",IF(ABS(G382-H382)&lt;=$B$6*I382,"OK","NG"))</f>
        <v/>
      </c>
      <c r="L382">
        <f>IF(K382="","",IF(K382=D382,1,0))</f>
        <v/>
      </c>
      <c r="M382" t="inlineStr">
        <is>
          <t>N2</t>
        </is>
      </c>
      <c r="N382" s="15" t="n">
        <v>0.9759</v>
      </c>
      <c r="O382" s="15" t="n">
        <v>0.0241</v>
      </c>
      <c r="P382">
        <f>IF(M382="","",IF(M382=E382,1,0))</f>
        <v/>
      </c>
      <c r="Q382">
        <f>IF(K382="OK","-",IF(N382&lt;$B$7,"AMBIGUOUS","CONFIDENT"))</f>
        <v/>
      </c>
    </row>
    <row r="383">
      <c r="A383">
        <f>'Runs Z score'!A375</f>
        <v/>
      </c>
      <c r="B383">
        <f>'Runs Z score'!B375</f>
        <v/>
      </c>
      <c r="C383">
        <f>'Runs Z score'!C375</f>
        <v/>
      </c>
      <c r="D383">
        <f>'Runs Z score'!D375</f>
        <v/>
      </c>
      <c r="E383">
        <f>'Runs Z score'!E375</f>
        <v/>
      </c>
      <c r="F383">
        <f>'Runs Z score'!F375</f>
        <v/>
      </c>
      <c r="G383">
        <f>'Runs Z score'!G375</f>
        <v/>
      </c>
      <c r="H383">
        <f>VLOOKUP(C383,Recipes!$A$2:$N$4,10,FALSE())</f>
        <v/>
      </c>
      <c r="I383">
        <f>VLOOKUP(C383,Recipes!$A$2:$N$4,12,FALSE())</f>
        <v/>
      </c>
      <c r="J383">
        <f>IF(G383="","",H383-G383)</f>
        <v/>
      </c>
      <c r="K383">
        <f>IF(G383="","",IF(ABS(G383-H383)&lt;=$B$6*I383,"OK","NG"))</f>
        <v/>
      </c>
      <c r="L383">
        <f>IF(K383="","",IF(K383=D383,1,0))</f>
        <v/>
      </c>
      <c r="M383" t="inlineStr">
        <is>
          <t>N2</t>
        </is>
      </c>
      <c r="N383" s="15" t="n">
        <v>0.9978</v>
      </c>
      <c r="O383" s="15" t="n">
        <v>0.0023</v>
      </c>
      <c r="P383">
        <f>IF(M383="","",IF(M383=E383,1,0))</f>
        <v/>
      </c>
      <c r="Q383">
        <f>IF(K383="OK","-",IF(N383&lt;$B$7,"AMBIGUOUS","CONFIDENT"))</f>
        <v/>
      </c>
    </row>
    <row r="384">
      <c r="A384">
        <f>'Runs Z score'!A376</f>
        <v/>
      </c>
      <c r="B384">
        <f>'Runs Z score'!B376</f>
        <v/>
      </c>
      <c r="C384">
        <f>'Runs Z score'!C376</f>
        <v/>
      </c>
      <c r="D384">
        <f>'Runs Z score'!D376</f>
        <v/>
      </c>
      <c r="E384">
        <f>'Runs Z score'!E376</f>
        <v/>
      </c>
      <c r="F384">
        <f>'Runs Z score'!F376</f>
        <v/>
      </c>
      <c r="G384">
        <f>'Runs Z score'!G376</f>
        <v/>
      </c>
      <c r="H384">
        <f>VLOOKUP(C384,Recipes!$A$2:$N$4,10,FALSE())</f>
        <v/>
      </c>
      <c r="I384">
        <f>VLOOKUP(C384,Recipes!$A$2:$N$4,12,FALSE())</f>
        <v/>
      </c>
      <c r="J384">
        <f>IF(G384="","",H384-G384)</f>
        <v/>
      </c>
      <c r="K384">
        <f>IF(G384="","",IF(ABS(G384-H384)&lt;=$B$6*I384,"OK","NG"))</f>
        <v/>
      </c>
      <c r="L384">
        <f>IF(K384="","",IF(K384=D384,1,0))</f>
        <v/>
      </c>
      <c r="M384" t="inlineStr">
        <is>
          <t>N2</t>
        </is>
      </c>
      <c r="N384" s="15" t="n">
        <v>1</v>
      </c>
      <c r="O384" s="15" t="n">
        <v>0</v>
      </c>
      <c r="P384">
        <f>IF(M384="","",IF(M384=E384,1,0))</f>
        <v/>
      </c>
      <c r="Q384">
        <f>IF(K384="OK","-",IF(N384&lt;$B$7,"AMBIGUOUS","CONFIDENT"))</f>
        <v/>
      </c>
    </row>
    <row r="385">
      <c r="A385">
        <f>'Runs Z score'!A377</f>
        <v/>
      </c>
      <c r="B385">
        <f>'Runs Z score'!B377</f>
        <v/>
      </c>
      <c r="C385">
        <f>'Runs Z score'!C377</f>
        <v/>
      </c>
      <c r="D385">
        <f>'Runs Z score'!D377</f>
        <v/>
      </c>
      <c r="E385">
        <f>'Runs Z score'!E377</f>
        <v/>
      </c>
      <c r="F385">
        <f>'Runs Z score'!F377</f>
        <v/>
      </c>
      <c r="G385">
        <f>'Runs Z score'!G377</f>
        <v/>
      </c>
      <c r="H385">
        <f>VLOOKUP(C385,Recipes!$A$2:$N$4,10,FALSE())</f>
        <v/>
      </c>
      <c r="I385">
        <f>VLOOKUP(C385,Recipes!$A$2:$N$4,12,FALSE())</f>
        <v/>
      </c>
      <c r="J385">
        <f>IF(G385="","",H385-G385)</f>
        <v/>
      </c>
      <c r="K385">
        <f>IF(G385="","",IF(ABS(G385-H385)&lt;=$B$6*I385,"OK","NG"))</f>
        <v/>
      </c>
      <c r="L385">
        <f>IF(K385="","",IF(K385=D385,1,0))</f>
        <v/>
      </c>
      <c r="M385" t="inlineStr">
        <is>
          <t>N2</t>
        </is>
      </c>
      <c r="N385" s="15" t="n">
        <v>1</v>
      </c>
      <c r="O385" s="15" t="n">
        <v>0</v>
      </c>
      <c r="P385">
        <f>IF(M385="","",IF(M385=E385,1,0))</f>
        <v/>
      </c>
      <c r="Q385">
        <f>IF(K385="OK","-",IF(N385&lt;$B$7,"AMBIGUOUS","CONFIDENT"))</f>
        <v/>
      </c>
    </row>
    <row r="386">
      <c r="A386">
        <f>'Runs Z score'!A378</f>
        <v/>
      </c>
      <c r="B386">
        <f>'Runs Z score'!B378</f>
        <v/>
      </c>
      <c r="C386">
        <f>'Runs Z score'!C378</f>
        <v/>
      </c>
      <c r="D386">
        <f>'Runs Z score'!D378</f>
        <v/>
      </c>
      <c r="E386">
        <f>'Runs Z score'!E378</f>
        <v/>
      </c>
      <c r="F386">
        <f>'Runs Z score'!F378</f>
        <v/>
      </c>
      <c r="G386">
        <f>'Runs Z score'!G378</f>
        <v/>
      </c>
      <c r="H386">
        <f>VLOOKUP(C386,Recipes!$A$2:$N$4,10,FALSE())</f>
        <v/>
      </c>
      <c r="I386">
        <f>VLOOKUP(C386,Recipes!$A$2:$N$4,12,FALSE())</f>
        <v/>
      </c>
      <c r="J386">
        <f>IF(G386="","",H386-G386)</f>
        <v/>
      </c>
      <c r="K386">
        <f>IF(G386="","",IF(ABS(G386-H386)&lt;=$B$6*I386,"OK","NG"))</f>
        <v/>
      </c>
      <c r="L386">
        <f>IF(K386="","",IF(K386=D386,1,0))</f>
        <v/>
      </c>
      <c r="M386" t="inlineStr">
        <is>
          <t>N2</t>
        </is>
      </c>
      <c r="N386" s="15" t="n">
        <v>1</v>
      </c>
      <c r="O386" s="15" t="n">
        <v>0</v>
      </c>
      <c r="P386">
        <f>IF(M386="","",IF(M386=E386,1,0))</f>
        <v/>
      </c>
      <c r="Q386">
        <f>IF(K386="OK","-",IF(N386&lt;$B$7,"AMBIGUOUS","CONFIDENT"))</f>
        <v/>
      </c>
    </row>
    <row r="387">
      <c r="A387">
        <f>'Runs Z score'!A379</f>
        <v/>
      </c>
      <c r="B387">
        <f>'Runs Z score'!B379</f>
        <v/>
      </c>
      <c r="C387">
        <f>'Runs Z score'!C379</f>
        <v/>
      </c>
      <c r="D387">
        <f>'Runs Z score'!D379</f>
        <v/>
      </c>
      <c r="E387">
        <f>'Runs Z score'!E379</f>
        <v/>
      </c>
      <c r="F387">
        <f>'Runs Z score'!F379</f>
        <v/>
      </c>
      <c r="G387">
        <f>'Runs Z score'!G379</f>
        <v/>
      </c>
      <c r="H387">
        <f>VLOOKUP(C387,Recipes!$A$2:$N$4,10,FALSE())</f>
        <v/>
      </c>
      <c r="I387">
        <f>VLOOKUP(C387,Recipes!$A$2:$N$4,12,FALSE())</f>
        <v/>
      </c>
      <c r="J387">
        <f>IF(G387="","",H387-G387)</f>
        <v/>
      </c>
      <c r="K387">
        <f>IF(G387="","",IF(ABS(G387-H387)&lt;=$B$6*I387,"OK","NG"))</f>
        <v/>
      </c>
      <c r="L387">
        <f>IF(K387="","",IF(K387=D387,1,0))</f>
        <v/>
      </c>
      <c r="M387" t="inlineStr">
        <is>
          <t>N2</t>
        </is>
      </c>
      <c r="N387" s="15" t="n">
        <v>0.9937</v>
      </c>
      <c r="O387" s="15" t="n">
        <v>0.0063</v>
      </c>
      <c r="P387">
        <f>IF(M387="","",IF(M387=E387,1,0))</f>
        <v/>
      </c>
      <c r="Q387">
        <f>IF(K387="OK","-",IF(N387&lt;$B$7,"AMBIGUOUS","CONFIDENT"))</f>
        <v/>
      </c>
    </row>
    <row r="388">
      <c r="A388">
        <f>'Runs Z score'!A380</f>
        <v/>
      </c>
      <c r="B388">
        <f>'Runs Z score'!B380</f>
        <v/>
      </c>
      <c r="C388">
        <f>'Runs Z score'!C380</f>
        <v/>
      </c>
      <c r="D388">
        <f>'Runs Z score'!D380</f>
        <v/>
      </c>
      <c r="E388">
        <f>'Runs Z score'!E380</f>
        <v/>
      </c>
      <c r="F388">
        <f>'Runs Z score'!F380</f>
        <v/>
      </c>
      <c r="G388">
        <f>'Runs Z score'!G380</f>
        <v/>
      </c>
      <c r="H388">
        <f>VLOOKUP(C388,Recipes!$A$2:$N$4,10,FALSE())</f>
        <v/>
      </c>
      <c r="I388">
        <f>VLOOKUP(C388,Recipes!$A$2:$N$4,12,FALSE())</f>
        <v/>
      </c>
      <c r="J388">
        <f>IF(G388="","",H388-G388)</f>
        <v/>
      </c>
      <c r="K388">
        <f>IF(G388="","",IF(ABS(G388-H388)&lt;=$B$6*I388,"OK","NG"))</f>
        <v/>
      </c>
      <c r="L388">
        <f>IF(K388="","",IF(K388=D388,1,0))</f>
        <v/>
      </c>
      <c r="M388" t="inlineStr">
        <is>
          <t>N2</t>
        </is>
      </c>
      <c r="N388" s="15" t="n">
        <v>1</v>
      </c>
      <c r="O388" s="15" t="n">
        <v>0</v>
      </c>
      <c r="P388">
        <f>IF(M388="","",IF(M388=E388,1,0))</f>
        <v/>
      </c>
      <c r="Q388">
        <f>IF(K388="OK","-",IF(N388&lt;$B$7,"AMBIGUOUS","CONFIDENT"))</f>
        <v/>
      </c>
    </row>
    <row r="389">
      <c r="A389">
        <f>'Runs Z score'!A381</f>
        <v/>
      </c>
      <c r="B389">
        <f>'Runs Z score'!B381</f>
        <v/>
      </c>
      <c r="C389">
        <f>'Runs Z score'!C381</f>
        <v/>
      </c>
      <c r="D389">
        <f>'Runs Z score'!D381</f>
        <v/>
      </c>
      <c r="E389">
        <f>'Runs Z score'!E381</f>
        <v/>
      </c>
      <c r="F389">
        <f>'Runs Z score'!F381</f>
        <v/>
      </c>
      <c r="G389">
        <f>'Runs Z score'!G381</f>
        <v/>
      </c>
      <c r="H389">
        <f>VLOOKUP(C389,Recipes!$A$2:$N$4,10,FALSE())</f>
        <v/>
      </c>
      <c r="I389">
        <f>VLOOKUP(C389,Recipes!$A$2:$N$4,12,FALSE())</f>
        <v/>
      </c>
      <c r="J389">
        <f>IF(G389="","",H389-G389)</f>
        <v/>
      </c>
      <c r="K389">
        <f>IF(G389="","",IF(ABS(G389-H389)&lt;=$B$6*I389,"OK","NG"))</f>
        <v/>
      </c>
      <c r="L389">
        <f>IF(K389="","",IF(K389=D389,1,0))</f>
        <v/>
      </c>
      <c r="M389" t="inlineStr">
        <is>
          <t>N2</t>
        </is>
      </c>
      <c r="N389" s="15" t="n">
        <v>0.8993</v>
      </c>
      <c r="O389" s="15" t="n">
        <v>0.0796</v>
      </c>
      <c r="P389">
        <f>IF(M389="","",IF(M389=E389,1,0))</f>
        <v/>
      </c>
      <c r="Q389">
        <f>IF(K389="OK","-",IF(N389&lt;$B$7,"AMBIGUOUS","CONFIDENT"))</f>
        <v/>
      </c>
    </row>
    <row r="390">
      <c r="A390">
        <f>'Runs Z score'!A382</f>
        <v/>
      </c>
      <c r="B390">
        <f>'Runs Z score'!B382</f>
        <v/>
      </c>
      <c r="C390">
        <f>'Runs Z score'!C382</f>
        <v/>
      </c>
      <c r="D390">
        <f>'Runs Z score'!D382</f>
        <v/>
      </c>
      <c r="E390">
        <f>'Runs Z score'!E382</f>
        <v/>
      </c>
      <c r="F390">
        <f>'Runs Z score'!F382</f>
        <v/>
      </c>
      <c r="G390">
        <f>'Runs Z score'!G382</f>
        <v/>
      </c>
      <c r="H390">
        <f>VLOOKUP(C390,Recipes!$A$2:$N$4,10,FALSE())</f>
        <v/>
      </c>
      <c r="I390">
        <f>VLOOKUP(C390,Recipes!$A$2:$N$4,12,FALSE())</f>
        <v/>
      </c>
      <c r="J390">
        <f>IF(G390="","",H390-G390)</f>
        <v/>
      </c>
      <c r="K390">
        <f>IF(G390="","",IF(ABS(G390-H390)&lt;=$B$6*I390,"OK","NG"))</f>
        <v/>
      </c>
      <c r="L390">
        <f>IF(K390="","",IF(K390=D390,1,0))</f>
        <v/>
      </c>
      <c r="M390" t="inlineStr">
        <is>
          <t>N2</t>
        </is>
      </c>
      <c r="N390" s="15" t="n">
        <v>0.9978</v>
      </c>
      <c r="O390" s="15" t="n">
        <v>0.0023</v>
      </c>
      <c r="P390">
        <f>IF(M390="","",IF(M390=E390,1,0))</f>
        <v/>
      </c>
      <c r="Q390">
        <f>IF(K390="OK","-",IF(N390&lt;$B$7,"AMBIGUOUS","CONFIDENT"))</f>
        <v/>
      </c>
    </row>
    <row r="391">
      <c r="A391">
        <f>'Runs Z score'!A383</f>
        <v/>
      </c>
      <c r="B391">
        <f>'Runs Z score'!B383</f>
        <v/>
      </c>
      <c r="C391">
        <f>'Runs Z score'!C383</f>
        <v/>
      </c>
      <c r="D391">
        <f>'Runs Z score'!D383</f>
        <v/>
      </c>
      <c r="E391">
        <f>'Runs Z score'!E383</f>
        <v/>
      </c>
      <c r="F391">
        <f>'Runs Z score'!F383</f>
        <v/>
      </c>
      <c r="G391">
        <f>'Runs Z score'!G383</f>
        <v/>
      </c>
      <c r="H391">
        <f>VLOOKUP(C391,Recipes!$A$2:$N$4,10,FALSE())</f>
        <v/>
      </c>
      <c r="I391">
        <f>VLOOKUP(C391,Recipes!$A$2:$N$4,12,FALSE())</f>
        <v/>
      </c>
      <c r="J391">
        <f>IF(G391="","",H391-G391)</f>
        <v/>
      </c>
      <c r="K391">
        <f>IF(G391="","",IF(ABS(G391-H391)&lt;=$B$6*I391,"OK","NG"))</f>
        <v/>
      </c>
      <c r="L391">
        <f>IF(K391="","",IF(K391=D391,1,0))</f>
        <v/>
      </c>
      <c r="M391" t="inlineStr">
        <is>
          <t>N2</t>
        </is>
      </c>
      <c r="N391" s="15" t="n">
        <v>0.9343</v>
      </c>
      <c r="O391" s="15" t="n">
        <v>0.06569999999999999</v>
      </c>
      <c r="P391">
        <f>IF(M391="","",IF(M391=E391,1,0))</f>
        <v/>
      </c>
      <c r="Q391">
        <f>IF(K391="OK","-",IF(N391&lt;$B$7,"AMBIGUOUS","CONFIDENT"))</f>
        <v/>
      </c>
    </row>
    <row r="392">
      <c r="A392">
        <f>'Runs Z score'!A384</f>
        <v/>
      </c>
      <c r="B392">
        <f>'Runs Z score'!B384</f>
        <v/>
      </c>
      <c r="C392">
        <f>'Runs Z score'!C384</f>
        <v/>
      </c>
      <c r="D392">
        <f>'Runs Z score'!D384</f>
        <v/>
      </c>
      <c r="E392">
        <f>'Runs Z score'!E384</f>
        <v/>
      </c>
      <c r="F392">
        <f>'Runs Z score'!F384</f>
        <v/>
      </c>
      <c r="G392">
        <f>'Runs Z score'!G384</f>
        <v/>
      </c>
      <c r="H392">
        <f>VLOOKUP(C392,Recipes!$A$2:$N$4,10,FALSE())</f>
        <v/>
      </c>
      <c r="I392">
        <f>VLOOKUP(C392,Recipes!$A$2:$N$4,12,FALSE())</f>
        <v/>
      </c>
      <c r="J392">
        <f>IF(G392="","",H392-G392)</f>
        <v/>
      </c>
      <c r="K392">
        <f>IF(G392="","",IF(ABS(G392-H392)&lt;=$B$6*I392,"OK","NG"))</f>
        <v/>
      </c>
      <c r="L392">
        <f>IF(K392="","",IF(K392=D392,1,0))</f>
        <v/>
      </c>
      <c r="M392" t="inlineStr">
        <is>
          <t>N2</t>
        </is>
      </c>
      <c r="N392" s="15" t="n">
        <v>1</v>
      </c>
      <c r="O392" s="15" t="n">
        <v>0</v>
      </c>
      <c r="P392">
        <f>IF(M392="","",IF(M392=E392,1,0))</f>
        <v/>
      </c>
      <c r="Q392">
        <f>IF(K392="OK","-",IF(N392&lt;$B$7,"AMBIGUOUS","CONFIDENT"))</f>
        <v/>
      </c>
    </row>
    <row r="393">
      <c r="A393">
        <f>'Runs Z score'!A385</f>
        <v/>
      </c>
      <c r="B393">
        <f>'Runs Z score'!B385</f>
        <v/>
      </c>
      <c r="C393">
        <f>'Runs Z score'!C385</f>
        <v/>
      </c>
      <c r="D393">
        <f>'Runs Z score'!D385</f>
        <v/>
      </c>
      <c r="E393">
        <f>'Runs Z score'!E385</f>
        <v/>
      </c>
      <c r="F393">
        <f>'Runs Z score'!F385</f>
        <v/>
      </c>
      <c r="G393">
        <f>'Runs Z score'!G385</f>
        <v/>
      </c>
      <c r="H393">
        <f>VLOOKUP(C393,Recipes!$A$2:$N$4,10,FALSE())</f>
        <v/>
      </c>
      <c r="I393">
        <f>VLOOKUP(C393,Recipes!$A$2:$N$4,12,FALSE())</f>
        <v/>
      </c>
      <c r="J393">
        <f>IF(G393="","",H393-G393)</f>
        <v/>
      </c>
      <c r="K393">
        <f>IF(G393="","",IF(ABS(G393-H393)&lt;=$B$6*I393,"OK","NG"))</f>
        <v/>
      </c>
      <c r="L393">
        <f>IF(K393="","",IF(K393=D393,1,0))</f>
        <v/>
      </c>
      <c r="M393" t="inlineStr">
        <is>
          <t>N2</t>
        </is>
      </c>
      <c r="N393" s="15" t="n">
        <v>0.9699</v>
      </c>
      <c r="O393" s="15" t="n">
        <v>0.0242</v>
      </c>
      <c r="P393">
        <f>IF(M393="","",IF(M393=E393,1,0))</f>
        <v/>
      </c>
      <c r="Q393">
        <f>IF(K393="OK","-",IF(N393&lt;$B$7,"AMBIGUOUS","CONFIDENT"))</f>
        <v/>
      </c>
    </row>
    <row r="394">
      <c r="A394">
        <f>'Runs Z score'!A386</f>
        <v/>
      </c>
      <c r="B394">
        <f>'Runs Z score'!B386</f>
        <v/>
      </c>
      <c r="C394">
        <f>'Runs Z score'!C386</f>
        <v/>
      </c>
      <c r="D394">
        <f>'Runs Z score'!D386</f>
        <v/>
      </c>
      <c r="E394">
        <f>'Runs Z score'!E386</f>
        <v/>
      </c>
      <c r="F394">
        <f>'Runs Z score'!F386</f>
        <v/>
      </c>
      <c r="G394">
        <f>'Runs Z score'!G386</f>
        <v/>
      </c>
      <c r="H394">
        <f>VLOOKUP(C394,Recipes!$A$2:$N$4,10,FALSE())</f>
        <v/>
      </c>
      <c r="I394">
        <f>VLOOKUP(C394,Recipes!$A$2:$N$4,12,FALSE())</f>
        <v/>
      </c>
      <c r="J394">
        <f>IF(G394="","",H394-G394)</f>
        <v/>
      </c>
      <c r="K394">
        <f>IF(G394="","",IF(ABS(G394-H394)&lt;=$B$6*I394,"OK","NG"))</f>
        <v/>
      </c>
      <c r="L394">
        <f>IF(K394="","",IF(K394=D394,1,0))</f>
        <v/>
      </c>
      <c r="M394" t="inlineStr">
        <is>
          <t>N2</t>
        </is>
      </c>
      <c r="N394" s="15" t="n">
        <v>1</v>
      </c>
      <c r="O394" s="15" t="n">
        <v>0</v>
      </c>
      <c r="P394">
        <f>IF(M394="","",IF(M394=E394,1,0))</f>
        <v/>
      </c>
      <c r="Q394">
        <f>IF(K394="OK","-",IF(N394&lt;$B$7,"AMBIGUOUS","CONFIDENT"))</f>
        <v/>
      </c>
    </row>
    <row r="395">
      <c r="A395">
        <f>'Runs Z score'!A387</f>
        <v/>
      </c>
      <c r="B395">
        <f>'Runs Z score'!B387</f>
        <v/>
      </c>
      <c r="C395">
        <f>'Runs Z score'!C387</f>
        <v/>
      </c>
      <c r="D395">
        <f>'Runs Z score'!D387</f>
        <v/>
      </c>
      <c r="E395">
        <f>'Runs Z score'!E387</f>
        <v/>
      </c>
      <c r="F395">
        <f>'Runs Z score'!F387</f>
        <v/>
      </c>
      <c r="G395">
        <f>'Runs Z score'!G387</f>
        <v/>
      </c>
      <c r="H395">
        <f>VLOOKUP(C395,Recipes!$A$2:$N$4,10,FALSE())</f>
        <v/>
      </c>
      <c r="I395">
        <f>VLOOKUP(C395,Recipes!$A$2:$N$4,12,FALSE())</f>
        <v/>
      </c>
      <c r="J395">
        <f>IF(G395="","",H395-G395)</f>
        <v/>
      </c>
      <c r="K395">
        <f>IF(G395="","",IF(ABS(G395-H395)&lt;=$B$6*I395,"OK","NG"))</f>
        <v/>
      </c>
      <c r="L395">
        <f>IF(K395="","",IF(K395=D395,1,0))</f>
        <v/>
      </c>
      <c r="M395" t="inlineStr">
        <is>
          <t>N2</t>
        </is>
      </c>
      <c r="N395" s="15" t="n">
        <v>1</v>
      </c>
      <c r="O395" s="15" t="n">
        <v>0</v>
      </c>
      <c r="P395">
        <f>IF(M395="","",IF(M395=E395,1,0))</f>
        <v/>
      </c>
      <c r="Q395">
        <f>IF(K395="OK","-",IF(N395&lt;$B$7,"AMBIGUOUS","CONFIDENT"))</f>
        <v/>
      </c>
    </row>
    <row r="396">
      <c r="A396">
        <f>'Runs Z score'!A388</f>
        <v/>
      </c>
      <c r="B396">
        <f>'Runs Z score'!B388</f>
        <v/>
      </c>
      <c r="C396">
        <f>'Runs Z score'!C388</f>
        <v/>
      </c>
      <c r="D396">
        <f>'Runs Z score'!D388</f>
        <v/>
      </c>
      <c r="E396">
        <f>'Runs Z score'!E388</f>
        <v/>
      </c>
      <c r="F396">
        <f>'Runs Z score'!F388</f>
        <v/>
      </c>
      <c r="G396">
        <f>'Runs Z score'!G388</f>
        <v/>
      </c>
      <c r="H396">
        <f>VLOOKUP(C396,Recipes!$A$2:$N$4,10,FALSE())</f>
        <v/>
      </c>
      <c r="I396">
        <f>VLOOKUP(C396,Recipes!$A$2:$N$4,12,FALSE())</f>
        <v/>
      </c>
      <c r="J396">
        <f>IF(G396="","",H396-G396)</f>
        <v/>
      </c>
      <c r="K396">
        <f>IF(G396="","",IF(ABS(G396-H396)&lt;=$B$6*I396,"OK","NG"))</f>
        <v/>
      </c>
      <c r="L396">
        <f>IF(K396="","",IF(K396=D396,1,0))</f>
        <v/>
      </c>
      <c r="M396" t="inlineStr">
        <is>
          <t>N2</t>
        </is>
      </c>
      <c r="N396" s="15" t="n">
        <v>0.6877</v>
      </c>
      <c r="O396" s="15" t="n">
        <v>0.2499</v>
      </c>
      <c r="P396">
        <f>IF(M396="","",IF(M396=E396,1,0))</f>
        <v/>
      </c>
      <c r="Q396">
        <f>IF(K396="OK","-",IF(N396&lt;$B$7,"AMBIGUOUS","CONFIDENT"))</f>
        <v/>
      </c>
    </row>
    <row r="397">
      <c r="A397">
        <f>'Runs Z score'!A389</f>
        <v/>
      </c>
      <c r="B397">
        <f>'Runs Z score'!B389</f>
        <v/>
      </c>
      <c r="C397">
        <f>'Runs Z score'!C389</f>
        <v/>
      </c>
      <c r="D397">
        <f>'Runs Z score'!D389</f>
        <v/>
      </c>
      <c r="E397">
        <f>'Runs Z score'!E389</f>
        <v/>
      </c>
      <c r="F397">
        <f>'Runs Z score'!F389</f>
        <v/>
      </c>
      <c r="G397">
        <f>'Runs Z score'!G389</f>
        <v/>
      </c>
      <c r="H397">
        <f>VLOOKUP(C397,Recipes!$A$2:$N$4,10,FALSE())</f>
        <v/>
      </c>
      <c r="I397">
        <f>VLOOKUP(C397,Recipes!$A$2:$N$4,12,FALSE())</f>
        <v/>
      </c>
      <c r="J397">
        <f>IF(G397="","",H397-G397)</f>
        <v/>
      </c>
      <c r="K397">
        <f>IF(G397="","",IF(ABS(G397-H397)&lt;=$B$6*I397,"OK","NG"))</f>
        <v/>
      </c>
      <c r="L397">
        <f>IF(K397="","",IF(K397=D397,1,0))</f>
        <v/>
      </c>
      <c r="M397" t="inlineStr">
        <is>
          <t>N2</t>
        </is>
      </c>
      <c r="N397" s="15" t="n">
        <v>1</v>
      </c>
      <c r="O397" s="15" t="n">
        <v>0</v>
      </c>
      <c r="P397">
        <f>IF(M397="","",IF(M397=E397,1,0))</f>
        <v/>
      </c>
      <c r="Q397">
        <f>IF(K397="OK","-",IF(N397&lt;$B$7,"AMBIGUOUS","CONFIDENT"))</f>
        <v/>
      </c>
    </row>
    <row r="398">
      <c r="A398">
        <f>'Runs Z score'!A390</f>
        <v/>
      </c>
      <c r="B398">
        <f>'Runs Z score'!B390</f>
        <v/>
      </c>
      <c r="C398">
        <f>'Runs Z score'!C390</f>
        <v/>
      </c>
      <c r="D398">
        <f>'Runs Z score'!D390</f>
        <v/>
      </c>
      <c r="E398">
        <f>'Runs Z score'!E390</f>
        <v/>
      </c>
      <c r="F398">
        <f>'Runs Z score'!F390</f>
        <v/>
      </c>
      <c r="G398">
        <f>'Runs Z score'!G390</f>
        <v/>
      </c>
      <c r="H398">
        <f>VLOOKUP(C398,Recipes!$A$2:$N$4,10,FALSE())</f>
        <v/>
      </c>
      <c r="I398">
        <f>VLOOKUP(C398,Recipes!$A$2:$N$4,12,FALSE())</f>
        <v/>
      </c>
      <c r="J398">
        <f>IF(G398="","",H398-G398)</f>
        <v/>
      </c>
      <c r="K398">
        <f>IF(G398="","",IF(ABS(G398-H398)&lt;=$B$6*I398,"OK","NG"))</f>
        <v/>
      </c>
      <c r="L398">
        <f>IF(K398="","",IF(K398=D398,1,0))</f>
        <v/>
      </c>
      <c r="M398" t="inlineStr">
        <is>
          <t>N2</t>
        </is>
      </c>
      <c r="N398" s="15" t="n">
        <v>0.9856</v>
      </c>
      <c r="O398" s="15" t="n">
        <v>0.0144</v>
      </c>
      <c r="P398">
        <f>IF(M398="","",IF(M398=E398,1,0))</f>
        <v/>
      </c>
      <c r="Q398">
        <f>IF(K398="OK","-",IF(N398&lt;$B$7,"AMBIGUOUS","CONFIDENT"))</f>
        <v/>
      </c>
    </row>
    <row r="399">
      <c r="A399">
        <f>'Runs Z score'!A391</f>
        <v/>
      </c>
      <c r="B399">
        <f>'Runs Z score'!B391</f>
        <v/>
      </c>
      <c r="C399">
        <f>'Runs Z score'!C391</f>
        <v/>
      </c>
      <c r="D399">
        <f>'Runs Z score'!D391</f>
        <v/>
      </c>
      <c r="E399">
        <f>'Runs Z score'!E391</f>
        <v/>
      </c>
      <c r="F399">
        <f>'Runs Z score'!F391</f>
        <v/>
      </c>
      <c r="G399">
        <f>'Runs Z score'!G391</f>
        <v/>
      </c>
      <c r="H399">
        <f>VLOOKUP(C399,Recipes!$A$2:$N$4,10,FALSE())</f>
        <v/>
      </c>
      <c r="I399">
        <f>VLOOKUP(C399,Recipes!$A$2:$N$4,12,FALSE())</f>
        <v/>
      </c>
      <c r="J399">
        <f>IF(G399="","",H399-G399)</f>
        <v/>
      </c>
      <c r="K399">
        <f>IF(G399="","",IF(ABS(G399-H399)&lt;=$B$6*I399,"OK","NG"))</f>
        <v/>
      </c>
      <c r="L399">
        <f>IF(K399="","",IF(K399=D399,1,0))</f>
        <v/>
      </c>
      <c r="M399" t="inlineStr">
        <is>
          <t>N2</t>
        </is>
      </c>
      <c r="N399" s="15" t="n">
        <v>0.7225</v>
      </c>
      <c r="O399" s="15" t="n">
        <v>0.2775</v>
      </c>
      <c r="P399">
        <f>IF(M399="","",IF(M399=E399,1,0))</f>
        <v/>
      </c>
      <c r="Q399">
        <f>IF(K399="OK","-",IF(N399&lt;$B$7,"AMBIGUOUS","CONFIDENT"))</f>
        <v/>
      </c>
    </row>
    <row r="400">
      <c r="A400">
        <f>'Runs Z score'!A392</f>
        <v/>
      </c>
      <c r="B400">
        <f>'Runs Z score'!B392</f>
        <v/>
      </c>
      <c r="C400">
        <f>'Runs Z score'!C392</f>
        <v/>
      </c>
      <c r="D400">
        <f>'Runs Z score'!D392</f>
        <v/>
      </c>
      <c r="E400">
        <f>'Runs Z score'!E392</f>
        <v/>
      </c>
      <c r="F400">
        <f>'Runs Z score'!F392</f>
        <v/>
      </c>
      <c r="G400">
        <f>'Runs Z score'!G392</f>
        <v/>
      </c>
      <c r="H400">
        <f>VLOOKUP(C400,Recipes!$A$2:$N$4,10,FALSE())</f>
        <v/>
      </c>
      <c r="I400">
        <f>VLOOKUP(C400,Recipes!$A$2:$N$4,12,FALSE())</f>
        <v/>
      </c>
      <c r="J400">
        <f>IF(G400="","",H400-G400)</f>
        <v/>
      </c>
      <c r="K400">
        <f>IF(G400="","",IF(ABS(G400-H400)&lt;=$B$6*I400,"OK","NG"))</f>
        <v/>
      </c>
      <c r="L400">
        <f>IF(K400="","",IF(K400=D400,1,0))</f>
        <v/>
      </c>
      <c r="M400" t="inlineStr">
        <is>
          <t>N2</t>
        </is>
      </c>
      <c r="N400" s="15" t="n">
        <v>0.9983</v>
      </c>
      <c r="O400" s="15" t="n">
        <v>0.0017</v>
      </c>
      <c r="P400">
        <f>IF(M400="","",IF(M400=E400,1,0))</f>
        <v/>
      </c>
      <c r="Q400">
        <f>IF(K400="OK","-",IF(N400&lt;$B$7,"AMBIGUOUS","CONFIDENT"))</f>
        <v/>
      </c>
    </row>
    <row r="401">
      <c r="A401">
        <f>'Runs Z score'!A393</f>
        <v/>
      </c>
      <c r="B401">
        <f>'Runs Z score'!B393</f>
        <v/>
      </c>
      <c r="C401">
        <f>'Runs Z score'!C393</f>
        <v/>
      </c>
      <c r="D401">
        <f>'Runs Z score'!D393</f>
        <v/>
      </c>
      <c r="E401">
        <f>'Runs Z score'!E393</f>
        <v/>
      </c>
      <c r="F401">
        <f>'Runs Z score'!F393</f>
        <v/>
      </c>
      <c r="G401">
        <f>'Runs Z score'!G393</f>
        <v/>
      </c>
      <c r="H401">
        <f>VLOOKUP(C401,Recipes!$A$2:$N$4,10,FALSE())</f>
        <v/>
      </c>
      <c r="I401">
        <f>VLOOKUP(C401,Recipes!$A$2:$N$4,12,FALSE())</f>
        <v/>
      </c>
      <c r="J401">
        <f>IF(G401="","",H401-G401)</f>
        <v/>
      </c>
      <c r="K401">
        <f>IF(G401="","",IF(ABS(G401-H401)&lt;=$B$6*I401,"OK","NG"))</f>
        <v/>
      </c>
      <c r="L401">
        <f>IF(K401="","",IF(K401=D401,1,0))</f>
        <v/>
      </c>
      <c r="M401" t="inlineStr">
        <is>
          <t>W1</t>
        </is>
      </c>
      <c r="N401" s="15" t="n">
        <v>0.7615</v>
      </c>
      <c r="O401" s="15" t="n">
        <v>0.2236</v>
      </c>
      <c r="P401">
        <f>IF(M401="","",IF(M401=E401,1,0))</f>
        <v/>
      </c>
      <c r="Q401">
        <f>IF(K401="OK","-",IF(N401&lt;$B$7,"AMBIGUOUS","CONFIDENT"))</f>
        <v/>
      </c>
    </row>
    <row r="402">
      <c r="A402">
        <f>'Runs Z score'!A394</f>
        <v/>
      </c>
      <c r="B402">
        <f>'Runs Z score'!B394</f>
        <v/>
      </c>
      <c r="C402">
        <f>'Runs Z score'!C394</f>
        <v/>
      </c>
      <c r="D402">
        <f>'Runs Z score'!D394</f>
        <v/>
      </c>
      <c r="E402">
        <f>'Runs Z score'!E394</f>
        <v/>
      </c>
      <c r="F402">
        <f>'Runs Z score'!F394</f>
        <v/>
      </c>
      <c r="G402">
        <f>'Runs Z score'!G394</f>
        <v/>
      </c>
      <c r="H402">
        <f>VLOOKUP(C402,Recipes!$A$2:$N$4,10,FALSE())</f>
        <v/>
      </c>
      <c r="I402">
        <f>VLOOKUP(C402,Recipes!$A$2:$N$4,12,FALSE())</f>
        <v/>
      </c>
      <c r="J402">
        <f>IF(G402="","",H402-G402)</f>
        <v/>
      </c>
      <c r="K402">
        <f>IF(G402="","",IF(ABS(G402-H402)&lt;=$B$6*I402,"OK","NG"))</f>
        <v/>
      </c>
      <c r="L402">
        <f>IF(K402="","",IF(K402=D402,1,0))</f>
        <v/>
      </c>
      <c r="M402" t="inlineStr">
        <is>
          <t>N1</t>
        </is>
      </c>
      <c r="N402" s="15" t="n">
        <v>0.967</v>
      </c>
      <c r="O402" s="15" t="n">
        <v>0.033</v>
      </c>
      <c r="P402">
        <f>IF(M402="","",IF(M402=E402,1,0))</f>
        <v/>
      </c>
      <c r="Q402">
        <f>IF(K402="OK","-",IF(N402&lt;$B$7,"AMBIGUOUS","CONFIDENT"))</f>
        <v/>
      </c>
    </row>
    <row r="403">
      <c r="A403">
        <f>'Runs Z score'!A395</f>
        <v/>
      </c>
      <c r="B403">
        <f>'Runs Z score'!B395</f>
        <v/>
      </c>
      <c r="C403">
        <f>'Runs Z score'!C395</f>
        <v/>
      </c>
      <c r="D403">
        <f>'Runs Z score'!D395</f>
        <v/>
      </c>
      <c r="E403">
        <f>'Runs Z score'!E395</f>
        <v/>
      </c>
      <c r="F403">
        <f>'Runs Z score'!F395</f>
        <v/>
      </c>
      <c r="G403">
        <f>'Runs Z score'!G395</f>
        <v/>
      </c>
      <c r="H403">
        <f>VLOOKUP(C403,Recipes!$A$2:$N$4,10,FALSE())</f>
        <v/>
      </c>
      <c r="I403">
        <f>VLOOKUP(C403,Recipes!$A$2:$N$4,12,FALSE())</f>
        <v/>
      </c>
      <c r="J403">
        <f>IF(G403="","",H403-G403)</f>
        <v/>
      </c>
      <c r="K403">
        <f>IF(G403="","",IF(ABS(G403-H403)&lt;=$B$6*I403,"OK","NG"))</f>
        <v/>
      </c>
      <c r="L403">
        <f>IF(K403="","",IF(K403=D403,1,0))</f>
        <v/>
      </c>
      <c r="M403" t="inlineStr">
        <is>
          <t>N1</t>
        </is>
      </c>
      <c r="N403" s="15" t="n">
        <v>0.5981</v>
      </c>
      <c r="O403" s="15" t="n">
        <v>0.4002</v>
      </c>
      <c r="P403">
        <f>IF(M403="","",IF(M403=E403,1,0))</f>
        <v/>
      </c>
      <c r="Q403">
        <f>IF(K403="OK","-",IF(N403&lt;$B$7,"AMBIGUOUS","CONFIDENT"))</f>
        <v/>
      </c>
    </row>
    <row r="404">
      <c r="A404">
        <f>'Runs Z score'!A396</f>
        <v/>
      </c>
      <c r="B404">
        <f>'Runs Z score'!B396</f>
        <v/>
      </c>
      <c r="C404">
        <f>'Runs Z score'!C396</f>
        <v/>
      </c>
      <c r="D404">
        <f>'Runs Z score'!D396</f>
        <v/>
      </c>
      <c r="E404">
        <f>'Runs Z score'!E396</f>
        <v/>
      </c>
      <c r="F404">
        <f>'Runs Z score'!F396</f>
        <v/>
      </c>
      <c r="G404">
        <f>'Runs Z score'!G396</f>
        <v/>
      </c>
      <c r="H404">
        <f>VLOOKUP(C404,Recipes!$A$2:$N$4,10,FALSE())</f>
        <v/>
      </c>
      <c r="I404">
        <f>VLOOKUP(C404,Recipes!$A$2:$N$4,12,FALSE())</f>
        <v/>
      </c>
      <c r="J404">
        <f>IF(G404="","",H404-G404)</f>
        <v/>
      </c>
      <c r="K404">
        <f>IF(G404="","",IF(ABS(G404-H404)&lt;=$B$6*I404,"OK","NG"))</f>
        <v/>
      </c>
      <c r="L404">
        <f>IF(K404="","",IF(K404=D404,1,0))</f>
        <v/>
      </c>
      <c r="M404" t="inlineStr">
        <is>
          <t>W1</t>
        </is>
      </c>
      <c r="N404" s="15" t="n">
        <v>0.7615</v>
      </c>
      <c r="O404" s="15" t="n">
        <v>0.2236</v>
      </c>
      <c r="P404">
        <f>IF(M404="","",IF(M404=E404,1,0))</f>
        <v/>
      </c>
      <c r="Q404">
        <f>IF(K404="OK","-",IF(N404&lt;$B$7,"AMBIGUOUS","CONFIDENT"))</f>
        <v/>
      </c>
    </row>
    <row r="405">
      <c r="A405">
        <f>'Runs Z score'!A397</f>
        <v/>
      </c>
      <c r="B405">
        <f>'Runs Z score'!B397</f>
        <v/>
      </c>
      <c r="C405">
        <f>'Runs Z score'!C397</f>
        <v/>
      </c>
      <c r="D405">
        <f>'Runs Z score'!D397</f>
        <v/>
      </c>
      <c r="E405">
        <f>'Runs Z score'!E397</f>
        <v/>
      </c>
      <c r="F405">
        <f>'Runs Z score'!F397</f>
        <v/>
      </c>
      <c r="G405">
        <f>'Runs Z score'!G397</f>
        <v/>
      </c>
      <c r="H405">
        <f>VLOOKUP(C405,Recipes!$A$2:$N$4,10,FALSE())</f>
        <v/>
      </c>
      <c r="I405">
        <f>VLOOKUP(C405,Recipes!$A$2:$N$4,12,FALSE())</f>
        <v/>
      </c>
      <c r="J405">
        <f>IF(G405="","",H405-G405)</f>
        <v/>
      </c>
      <c r="K405">
        <f>IF(G405="","",IF(ABS(G405-H405)&lt;=$B$6*I405,"OK","NG"))</f>
        <v/>
      </c>
      <c r="L405">
        <f>IF(K405="","",IF(K405=D405,1,0))</f>
        <v/>
      </c>
      <c r="M405" t="inlineStr">
        <is>
          <t>N1</t>
        </is>
      </c>
      <c r="N405" s="15" t="n">
        <v>0.9842</v>
      </c>
      <c r="O405" s="15" t="n">
        <v>0.0158</v>
      </c>
      <c r="P405">
        <f>IF(M405="","",IF(M405=E405,1,0))</f>
        <v/>
      </c>
      <c r="Q405">
        <f>IF(K405="OK","-",IF(N405&lt;$B$7,"AMBIGUOUS","CONFIDENT"))</f>
        <v/>
      </c>
    </row>
    <row r="406">
      <c r="A406">
        <f>'Runs Z score'!A398</f>
        <v/>
      </c>
      <c r="B406">
        <f>'Runs Z score'!B398</f>
        <v/>
      </c>
      <c r="C406">
        <f>'Runs Z score'!C398</f>
        <v/>
      </c>
      <c r="D406">
        <f>'Runs Z score'!D398</f>
        <v/>
      </c>
      <c r="E406">
        <f>'Runs Z score'!E398</f>
        <v/>
      </c>
      <c r="F406">
        <f>'Runs Z score'!F398</f>
        <v/>
      </c>
      <c r="G406">
        <f>'Runs Z score'!G398</f>
        <v/>
      </c>
      <c r="H406">
        <f>VLOOKUP(C406,Recipes!$A$2:$N$4,10,FALSE())</f>
        <v/>
      </c>
      <c r="I406">
        <f>VLOOKUP(C406,Recipes!$A$2:$N$4,12,FALSE())</f>
        <v/>
      </c>
      <c r="J406">
        <f>IF(G406="","",H406-G406)</f>
        <v/>
      </c>
      <c r="K406">
        <f>IF(G406="","",IF(ABS(G406-H406)&lt;=$B$6*I406,"OK","NG"))</f>
        <v/>
      </c>
      <c r="L406">
        <f>IF(K406="","",IF(K406=D406,1,0))</f>
        <v/>
      </c>
      <c r="M406" t="inlineStr">
        <is>
          <t>N1</t>
        </is>
      </c>
      <c r="N406" s="15" t="n">
        <v>1</v>
      </c>
      <c r="O406" s="15" t="n">
        <v>0</v>
      </c>
      <c r="P406">
        <f>IF(M406="","",IF(M406=E406,1,0))</f>
        <v/>
      </c>
      <c r="Q406">
        <f>IF(K406="OK","-",IF(N406&lt;$B$7,"AMBIGUOUS","CONFIDENT"))</f>
        <v/>
      </c>
    </row>
    <row r="407">
      <c r="A407">
        <f>'Runs Z score'!A399</f>
        <v/>
      </c>
      <c r="B407">
        <f>'Runs Z score'!B399</f>
        <v/>
      </c>
      <c r="C407">
        <f>'Runs Z score'!C399</f>
        <v/>
      </c>
      <c r="D407">
        <f>'Runs Z score'!D399</f>
        <v/>
      </c>
      <c r="E407">
        <f>'Runs Z score'!E399</f>
        <v/>
      </c>
      <c r="F407">
        <f>'Runs Z score'!F399</f>
        <v/>
      </c>
      <c r="G407">
        <f>'Runs Z score'!G399</f>
        <v/>
      </c>
      <c r="H407">
        <f>VLOOKUP(C407,Recipes!$A$2:$N$4,10,FALSE())</f>
        <v/>
      </c>
      <c r="I407">
        <f>VLOOKUP(C407,Recipes!$A$2:$N$4,12,FALSE())</f>
        <v/>
      </c>
      <c r="J407">
        <f>IF(G407="","",H407-G407)</f>
        <v/>
      </c>
      <c r="K407">
        <f>IF(G407="","",IF(ABS(G407-H407)&lt;=$B$6*I407,"OK","NG"))</f>
        <v/>
      </c>
      <c r="L407">
        <f>IF(K407="","",IF(K407=D407,1,0))</f>
        <v/>
      </c>
      <c r="M407" t="inlineStr">
        <is>
          <t>N1</t>
        </is>
      </c>
      <c r="N407" s="15" t="n">
        <v>1</v>
      </c>
      <c r="O407" s="15" t="n">
        <v>0</v>
      </c>
      <c r="P407">
        <f>IF(M407="","",IF(M407=E407,1,0))</f>
        <v/>
      </c>
      <c r="Q407">
        <f>IF(K407="OK","-",IF(N407&lt;$B$7,"AMBIGUOUS","CONFIDENT"))</f>
        <v/>
      </c>
    </row>
    <row r="408">
      <c r="A408">
        <f>'Runs Z score'!A400</f>
        <v/>
      </c>
      <c r="B408">
        <f>'Runs Z score'!B400</f>
        <v/>
      </c>
      <c r="C408">
        <f>'Runs Z score'!C400</f>
        <v/>
      </c>
      <c r="D408">
        <f>'Runs Z score'!D400</f>
        <v/>
      </c>
      <c r="E408">
        <f>'Runs Z score'!E400</f>
        <v/>
      </c>
      <c r="F408">
        <f>'Runs Z score'!F400</f>
        <v/>
      </c>
      <c r="G408">
        <f>'Runs Z score'!G400</f>
        <v/>
      </c>
      <c r="H408">
        <f>VLOOKUP(C408,Recipes!$A$2:$N$4,10,FALSE())</f>
        <v/>
      </c>
      <c r="I408">
        <f>VLOOKUP(C408,Recipes!$A$2:$N$4,12,FALSE())</f>
        <v/>
      </c>
      <c r="J408">
        <f>IF(G408="","",H408-G408)</f>
        <v/>
      </c>
      <c r="K408">
        <f>IF(G408="","",IF(ABS(G408-H408)&lt;=$B$6*I408,"OK","NG"))</f>
        <v/>
      </c>
      <c r="L408">
        <f>IF(K408="","",IF(K408=D408,1,0))</f>
        <v/>
      </c>
      <c r="M408" t="inlineStr">
        <is>
          <t>N1</t>
        </is>
      </c>
      <c r="N408" s="15" t="n">
        <v>0.9942</v>
      </c>
      <c r="O408" s="15" t="n">
        <v>0.0058</v>
      </c>
      <c r="P408">
        <f>IF(M408="","",IF(M408=E408,1,0))</f>
        <v/>
      </c>
      <c r="Q408">
        <f>IF(K408="OK","-",IF(N408&lt;$B$7,"AMBIGUOUS","CONFIDENT"))</f>
        <v/>
      </c>
    </row>
    <row r="409">
      <c r="A409">
        <f>'Runs Z score'!A401</f>
        <v/>
      </c>
      <c r="B409">
        <f>'Runs Z score'!B401</f>
        <v/>
      </c>
      <c r="C409">
        <f>'Runs Z score'!C401</f>
        <v/>
      </c>
      <c r="D409">
        <f>'Runs Z score'!D401</f>
        <v/>
      </c>
      <c r="E409">
        <f>'Runs Z score'!E401</f>
        <v/>
      </c>
      <c r="F409">
        <f>'Runs Z score'!F401</f>
        <v/>
      </c>
      <c r="G409">
        <f>'Runs Z score'!G401</f>
        <v/>
      </c>
      <c r="H409">
        <f>VLOOKUP(C409,Recipes!$A$2:$N$4,10,FALSE())</f>
        <v/>
      </c>
      <c r="I409">
        <f>VLOOKUP(C409,Recipes!$A$2:$N$4,12,FALSE())</f>
        <v/>
      </c>
      <c r="J409">
        <f>IF(G409="","",H409-G409)</f>
        <v/>
      </c>
      <c r="K409">
        <f>IF(G409="","",IF(ABS(G409-H409)&lt;=$B$6*I409,"OK","NG"))</f>
        <v/>
      </c>
      <c r="L409">
        <f>IF(K409="","",IF(K409=D409,1,0))</f>
        <v/>
      </c>
      <c r="M409" t="inlineStr">
        <is>
          <t>N1</t>
        </is>
      </c>
      <c r="N409" s="15" t="n">
        <v>1</v>
      </c>
      <c r="O409" s="15" t="n">
        <v>0</v>
      </c>
      <c r="P409">
        <f>IF(M409="","",IF(M409=E409,1,0))</f>
        <v/>
      </c>
      <c r="Q409">
        <f>IF(K409="OK","-",IF(N409&lt;$B$7,"AMBIGUOUS","CONFIDENT"))</f>
        <v/>
      </c>
    </row>
    <row r="410">
      <c r="A410">
        <f>'Runs Z score'!A402</f>
        <v/>
      </c>
      <c r="B410">
        <f>'Runs Z score'!B402</f>
        <v/>
      </c>
      <c r="C410">
        <f>'Runs Z score'!C402</f>
        <v/>
      </c>
      <c r="D410">
        <f>'Runs Z score'!D402</f>
        <v/>
      </c>
      <c r="E410">
        <f>'Runs Z score'!E402</f>
        <v/>
      </c>
      <c r="F410">
        <f>'Runs Z score'!F402</f>
        <v/>
      </c>
      <c r="G410">
        <f>'Runs Z score'!G402</f>
        <v/>
      </c>
      <c r="H410">
        <f>VLOOKUP(C410,Recipes!$A$2:$N$4,10,FALSE())</f>
        <v/>
      </c>
      <c r="I410">
        <f>VLOOKUP(C410,Recipes!$A$2:$N$4,12,FALSE())</f>
        <v/>
      </c>
      <c r="J410">
        <f>IF(G410="","",H410-G410)</f>
        <v/>
      </c>
      <c r="K410">
        <f>IF(G410="","",IF(ABS(G410-H410)&lt;=$B$6*I410,"OK","NG"))</f>
        <v/>
      </c>
      <c r="L410">
        <f>IF(K410="","",IF(K410=D410,1,0))</f>
        <v/>
      </c>
      <c r="M410" t="inlineStr">
        <is>
          <t>N1</t>
        </is>
      </c>
      <c r="N410" s="15" t="n">
        <v>0.5981</v>
      </c>
      <c r="O410" s="15" t="n">
        <v>0.4002</v>
      </c>
      <c r="P410">
        <f>IF(M410="","",IF(M410=E410,1,0))</f>
        <v/>
      </c>
      <c r="Q410">
        <f>IF(K410="OK","-",IF(N410&lt;$B$7,"AMBIGUOUS","CONFIDENT"))</f>
        <v/>
      </c>
    </row>
    <row r="411">
      <c r="A411">
        <f>'Runs Z score'!A403</f>
        <v/>
      </c>
      <c r="B411">
        <f>'Runs Z score'!B403</f>
        <v/>
      </c>
      <c r="C411">
        <f>'Runs Z score'!C403</f>
        <v/>
      </c>
      <c r="D411">
        <f>'Runs Z score'!D403</f>
        <v/>
      </c>
      <c r="E411">
        <f>'Runs Z score'!E403</f>
        <v/>
      </c>
      <c r="F411">
        <f>'Runs Z score'!F403</f>
        <v/>
      </c>
      <c r="G411">
        <f>'Runs Z score'!G403</f>
        <v/>
      </c>
      <c r="H411">
        <f>VLOOKUP(C411,Recipes!$A$2:$N$4,10,FALSE())</f>
        <v/>
      </c>
      <c r="I411">
        <f>VLOOKUP(C411,Recipes!$A$2:$N$4,12,FALSE())</f>
        <v/>
      </c>
      <c r="J411">
        <f>IF(G411="","",H411-G411)</f>
        <v/>
      </c>
      <c r="K411">
        <f>IF(G411="","",IF(ABS(G411-H411)&lt;=$B$6*I411,"OK","NG"))</f>
        <v/>
      </c>
      <c r="L411">
        <f>IF(K411="","",IF(K411=D411,1,0))</f>
        <v/>
      </c>
      <c r="M411" t="inlineStr">
        <is>
          <t>N1</t>
        </is>
      </c>
      <c r="N411" s="15" t="n">
        <v>0.995</v>
      </c>
      <c r="O411" s="15" t="n">
        <v>0.005</v>
      </c>
      <c r="P411">
        <f>IF(M411="","",IF(M411=E411,1,0))</f>
        <v/>
      </c>
      <c r="Q411">
        <f>IF(K411="OK","-",IF(N411&lt;$B$7,"AMBIGUOUS","CONFIDENT"))</f>
        <v/>
      </c>
    </row>
    <row r="412">
      <c r="A412">
        <f>'Runs Z score'!A404</f>
        <v/>
      </c>
      <c r="B412">
        <f>'Runs Z score'!B404</f>
        <v/>
      </c>
      <c r="C412">
        <f>'Runs Z score'!C404</f>
        <v/>
      </c>
      <c r="D412">
        <f>'Runs Z score'!D404</f>
        <v/>
      </c>
      <c r="E412">
        <f>'Runs Z score'!E404</f>
        <v/>
      </c>
      <c r="F412">
        <f>'Runs Z score'!F404</f>
        <v/>
      </c>
      <c r="G412">
        <f>'Runs Z score'!G404</f>
        <v/>
      </c>
      <c r="H412">
        <f>VLOOKUP(C412,Recipes!$A$2:$N$4,10,FALSE())</f>
        <v/>
      </c>
      <c r="I412">
        <f>VLOOKUP(C412,Recipes!$A$2:$N$4,12,FALSE())</f>
        <v/>
      </c>
      <c r="J412">
        <f>IF(G412="","",H412-G412)</f>
        <v/>
      </c>
      <c r="K412">
        <f>IF(G412="","",IF(ABS(G412-H412)&lt;=$B$6*I412,"OK","NG"))</f>
        <v/>
      </c>
      <c r="L412">
        <f>IF(K412="","",IF(K412=D412,1,0))</f>
        <v/>
      </c>
      <c r="M412" t="inlineStr">
        <is>
          <t>N1</t>
        </is>
      </c>
      <c r="N412" s="15" t="n">
        <v>1</v>
      </c>
      <c r="O412" s="15" t="n">
        <v>0</v>
      </c>
      <c r="P412">
        <f>IF(M412="","",IF(M412=E412,1,0))</f>
        <v/>
      </c>
      <c r="Q412">
        <f>IF(K412="OK","-",IF(N412&lt;$B$7,"AMBIGUOUS","CONFIDENT"))</f>
        <v/>
      </c>
    </row>
    <row r="413">
      <c r="A413">
        <f>'Runs Z score'!A405</f>
        <v/>
      </c>
      <c r="B413">
        <f>'Runs Z score'!B405</f>
        <v/>
      </c>
      <c r="C413">
        <f>'Runs Z score'!C405</f>
        <v/>
      </c>
      <c r="D413">
        <f>'Runs Z score'!D405</f>
        <v/>
      </c>
      <c r="E413">
        <f>'Runs Z score'!E405</f>
        <v/>
      </c>
      <c r="F413">
        <f>'Runs Z score'!F405</f>
        <v/>
      </c>
      <c r="G413">
        <f>'Runs Z score'!G405</f>
        <v/>
      </c>
      <c r="H413">
        <f>VLOOKUP(C413,Recipes!$A$2:$N$4,10,FALSE())</f>
        <v/>
      </c>
      <c r="I413">
        <f>VLOOKUP(C413,Recipes!$A$2:$N$4,12,FALSE())</f>
        <v/>
      </c>
      <c r="J413">
        <f>IF(G413="","",H413-G413)</f>
        <v/>
      </c>
      <c r="K413">
        <f>IF(G413="","",IF(ABS(G413-H413)&lt;=$B$6*I413,"OK","NG"))</f>
        <v/>
      </c>
      <c r="L413">
        <f>IF(K413="","",IF(K413=D413,1,0))</f>
        <v/>
      </c>
      <c r="M413" t="inlineStr">
        <is>
          <t>N1</t>
        </is>
      </c>
      <c r="N413" s="15" t="n">
        <v>1</v>
      </c>
      <c r="O413" s="15" t="n">
        <v>0</v>
      </c>
      <c r="P413">
        <f>IF(M413="","",IF(M413=E413,1,0))</f>
        <v/>
      </c>
      <c r="Q413">
        <f>IF(K413="OK","-",IF(N413&lt;$B$7,"AMBIGUOUS","CONFIDENT"))</f>
        <v/>
      </c>
    </row>
    <row r="414">
      <c r="A414">
        <f>'Runs Z score'!A406</f>
        <v/>
      </c>
      <c r="B414">
        <f>'Runs Z score'!B406</f>
        <v/>
      </c>
      <c r="C414">
        <f>'Runs Z score'!C406</f>
        <v/>
      </c>
      <c r="D414">
        <f>'Runs Z score'!D406</f>
        <v/>
      </c>
      <c r="E414">
        <f>'Runs Z score'!E406</f>
        <v/>
      </c>
      <c r="F414">
        <f>'Runs Z score'!F406</f>
        <v/>
      </c>
      <c r="G414">
        <f>'Runs Z score'!G406</f>
        <v/>
      </c>
      <c r="H414">
        <f>VLOOKUP(C414,Recipes!$A$2:$N$4,10,FALSE())</f>
        <v/>
      </c>
      <c r="I414">
        <f>VLOOKUP(C414,Recipes!$A$2:$N$4,12,FALSE())</f>
        <v/>
      </c>
      <c r="J414">
        <f>IF(G414="","",H414-G414)</f>
        <v/>
      </c>
      <c r="K414">
        <f>IF(G414="","",IF(ABS(G414-H414)&lt;=$B$6*I414,"OK","NG"))</f>
        <v/>
      </c>
      <c r="L414">
        <f>IF(K414="","",IF(K414=D414,1,0))</f>
        <v/>
      </c>
      <c r="M414" t="inlineStr">
        <is>
          <t>N2</t>
        </is>
      </c>
      <c r="N414" s="15" t="n">
        <v>0.9739</v>
      </c>
      <c r="O414" s="15" t="n">
        <v>0.0251</v>
      </c>
      <c r="P414">
        <f>IF(M414="","",IF(M414=E414,1,0))</f>
        <v/>
      </c>
      <c r="Q414">
        <f>IF(K414="OK","-",IF(N414&lt;$B$7,"AMBIGUOUS","CONFIDENT"))</f>
        <v/>
      </c>
    </row>
    <row r="415">
      <c r="A415">
        <f>'Runs Z score'!A407</f>
        <v/>
      </c>
      <c r="B415">
        <f>'Runs Z score'!B407</f>
        <v/>
      </c>
      <c r="C415">
        <f>'Runs Z score'!C407</f>
        <v/>
      </c>
      <c r="D415">
        <f>'Runs Z score'!D407</f>
        <v/>
      </c>
      <c r="E415">
        <f>'Runs Z score'!E407</f>
        <v/>
      </c>
      <c r="F415">
        <f>'Runs Z score'!F407</f>
        <v/>
      </c>
      <c r="G415">
        <f>'Runs Z score'!G407</f>
        <v/>
      </c>
      <c r="H415">
        <f>VLOOKUP(C415,Recipes!$A$2:$N$4,10,FALSE())</f>
        <v/>
      </c>
      <c r="I415">
        <f>VLOOKUP(C415,Recipes!$A$2:$N$4,12,FALSE())</f>
        <v/>
      </c>
      <c r="J415">
        <f>IF(G415="","",H415-G415)</f>
        <v/>
      </c>
      <c r="K415">
        <f>IF(G415="","",IF(ABS(G415-H415)&lt;=$B$6*I415,"OK","NG"))</f>
        <v/>
      </c>
      <c r="L415">
        <f>IF(K415="","",IF(K415=D415,1,0))</f>
        <v/>
      </c>
      <c r="M415" t="inlineStr">
        <is>
          <t>N1</t>
        </is>
      </c>
      <c r="N415" s="15" t="n">
        <v>0.9967</v>
      </c>
      <c r="O415" s="15" t="n">
        <v>0.0033</v>
      </c>
      <c r="P415">
        <f>IF(M415="","",IF(M415=E415,1,0))</f>
        <v/>
      </c>
      <c r="Q415">
        <f>IF(K415="OK","-",IF(N415&lt;$B$7,"AMBIGUOUS","CONFIDENT"))</f>
        <v/>
      </c>
    </row>
    <row r="416">
      <c r="A416">
        <f>'Runs Z score'!A408</f>
        <v/>
      </c>
      <c r="B416">
        <f>'Runs Z score'!B408</f>
        <v/>
      </c>
      <c r="C416">
        <f>'Runs Z score'!C408</f>
        <v/>
      </c>
      <c r="D416">
        <f>'Runs Z score'!D408</f>
        <v/>
      </c>
      <c r="E416">
        <f>'Runs Z score'!E408</f>
        <v/>
      </c>
      <c r="F416">
        <f>'Runs Z score'!F408</f>
        <v/>
      </c>
      <c r="G416">
        <f>'Runs Z score'!G408</f>
        <v/>
      </c>
      <c r="H416">
        <f>VLOOKUP(C416,Recipes!$A$2:$N$4,10,FALSE())</f>
        <v/>
      </c>
      <c r="I416">
        <f>VLOOKUP(C416,Recipes!$A$2:$N$4,12,FALSE())</f>
        <v/>
      </c>
      <c r="J416">
        <f>IF(G416="","",H416-G416)</f>
        <v/>
      </c>
      <c r="K416">
        <f>IF(G416="","",IF(ABS(G416-H416)&lt;=$B$6*I416,"OK","NG"))</f>
        <v/>
      </c>
      <c r="L416">
        <f>IF(K416="","",IF(K416=D416,1,0))</f>
        <v/>
      </c>
      <c r="M416" t="inlineStr">
        <is>
          <t>N1</t>
        </is>
      </c>
      <c r="N416" s="15" t="n">
        <v>1</v>
      </c>
      <c r="O416" s="15" t="n">
        <v>0</v>
      </c>
      <c r="P416">
        <f>IF(M416="","",IF(M416=E416,1,0))</f>
        <v/>
      </c>
      <c r="Q416">
        <f>IF(K416="OK","-",IF(N416&lt;$B$7,"AMBIGUOUS","CONFIDENT"))</f>
        <v/>
      </c>
    </row>
    <row r="417">
      <c r="A417">
        <f>'Runs Z score'!A409</f>
        <v/>
      </c>
      <c r="B417">
        <f>'Runs Z score'!B409</f>
        <v/>
      </c>
      <c r="C417">
        <f>'Runs Z score'!C409</f>
        <v/>
      </c>
      <c r="D417">
        <f>'Runs Z score'!D409</f>
        <v/>
      </c>
      <c r="E417">
        <f>'Runs Z score'!E409</f>
        <v/>
      </c>
      <c r="F417">
        <f>'Runs Z score'!F409</f>
        <v/>
      </c>
      <c r="G417">
        <f>'Runs Z score'!G409</f>
        <v/>
      </c>
      <c r="H417">
        <f>VLOOKUP(C417,Recipes!$A$2:$N$4,10,FALSE())</f>
        <v/>
      </c>
      <c r="I417">
        <f>VLOOKUP(C417,Recipes!$A$2:$N$4,12,FALSE())</f>
        <v/>
      </c>
      <c r="J417">
        <f>IF(G417="","",H417-G417)</f>
        <v/>
      </c>
      <c r="K417">
        <f>IF(G417="","",IF(ABS(G417-H417)&lt;=$B$6*I417,"OK","NG"))</f>
        <v/>
      </c>
      <c r="L417">
        <f>IF(K417="","",IF(K417=D417,1,0))</f>
        <v/>
      </c>
      <c r="M417" t="inlineStr">
        <is>
          <t>N1</t>
        </is>
      </c>
      <c r="N417" s="15" t="n">
        <v>1</v>
      </c>
      <c r="O417" s="15" t="n">
        <v>0</v>
      </c>
      <c r="P417">
        <f>IF(M417="","",IF(M417=E417,1,0))</f>
        <v/>
      </c>
      <c r="Q417">
        <f>IF(K417="OK","-",IF(N417&lt;$B$7,"AMBIGUOUS","CONFIDENT"))</f>
        <v/>
      </c>
    </row>
    <row r="418">
      <c r="A418">
        <f>'Runs Z score'!A410</f>
        <v/>
      </c>
      <c r="B418">
        <f>'Runs Z score'!B410</f>
        <v/>
      </c>
      <c r="C418">
        <f>'Runs Z score'!C410</f>
        <v/>
      </c>
      <c r="D418">
        <f>'Runs Z score'!D410</f>
        <v/>
      </c>
      <c r="E418">
        <f>'Runs Z score'!E410</f>
        <v/>
      </c>
      <c r="F418">
        <f>'Runs Z score'!F410</f>
        <v/>
      </c>
      <c r="G418">
        <f>'Runs Z score'!G410</f>
        <v/>
      </c>
      <c r="H418">
        <f>VLOOKUP(C418,Recipes!$A$2:$N$4,10,FALSE())</f>
        <v/>
      </c>
      <c r="I418">
        <f>VLOOKUP(C418,Recipes!$A$2:$N$4,12,FALSE())</f>
        <v/>
      </c>
      <c r="J418">
        <f>IF(G418="","",H418-G418)</f>
        <v/>
      </c>
      <c r="K418">
        <f>IF(G418="","",IF(ABS(G418-H418)&lt;=$B$6*I418,"OK","NG"))</f>
        <v/>
      </c>
      <c r="L418">
        <f>IF(K418="","",IF(K418=D418,1,0))</f>
        <v/>
      </c>
      <c r="M418" t="inlineStr">
        <is>
          <t>N1</t>
        </is>
      </c>
      <c r="N418" s="15" t="n">
        <v>0.9983</v>
      </c>
      <c r="O418" s="15" t="n">
        <v>0.0017</v>
      </c>
      <c r="P418">
        <f>IF(M418="","",IF(M418=E418,1,0))</f>
        <v/>
      </c>
      <c r="Q418">
        <f>IF(K418="OK","-",IF(N418&lt;$B$7,"AMBIGUOUS","CONFIDENT"))</f>
        <v/>
      </c>
    </row>
    <row r="419">
      <c r="A419">
        <f>'Runs Z score'!A411</f>
        <v/>
      </c>
      <c r="B419">
        <f>'Runs Z score'!B411</f>
        <v/>
      </c>
      <c r="C419">
        <f>'Runs Z score'!C411</f>
        <v/>
      </c>
      <c r="D419">
        <f>'Runs Z score'!D411</f>
        <v/>
      </c>
      <c r="E419">
        <f>'Runs Z score'!E411</f>
        <v/>
      </c>
      <c r="F419">
        <f>'Runs Z score'!F411</f>
        <v/>
      </c>
      <c r="G419">
        <f>'Runs Z score'!G411</f>
        <v/>
      </c>
      <c r="H419">
        <f>VLOOKUP(C419,Recipes!$A$2:$N$4,10,FALSE())</f>
        <v/>
      </c>
      <c r="I419">
        <f>VLOOKUP(C419,Recipes!$A$2:$N$4,12,FALSE())</f>
        <v/>
      </c>
      <c r="J419">
        <f>IF(G419="","",H419-G419)</f>
        <v/>
      </c>
      <c r="K419">
        <f>IF(G419="","",IF(ABS(G419-H419)&lt;=$B$6*I419,"OK","NG"))</f>
        <v/>
      </c>
      <c r="L419">
        <f>IF(K419="","",IF(K419=D419,1,0))</f>
        <v/>
      </c>
      <c r="M419" t="inlineStr">
        <is>
          <t>N1</t>
        </is>
      </c>
      <c r="N419" s="15" t="n">
        <v>1</v>
      </c>
      <c r="O419" s="15" t="n">
        <v>0</v>
      </c>
      <c r="P419">
        <f>IF(M419="","",IF(M419=E419,1,0))</f>
        <v/>
      </c>
      <c r="Q419">
        <f>IF(K419="OK","-",IF(N419&lt;$B$7,"AMBIGUOUS","CONFIDENT"))</f>
        <v/>
      </c>
    </row>
    <row r="420">
      <c r="A420">
        <f>'Runs Z score'!A412</f>
        <v/>
      </c>
      <c r="B420">
        <f>'Runs Z score'!B412</f>
        <v/>
      </c>
      <c r="C420">
        <f>'Runs Z score'!C412</f>
        <v/>
      </c>
      <c r="D420">
        <f>'Runs Z score'!D412</f>
        <v/>
      </c>
      <c r="E420">
        <f>'Runs Z score'!E412</f>
        <v/>
      </c>
      <c r="F420">
        <f>'Runs Z score'!F412</f>
        <v/>
      </c>
      <c r="G420">
        <f>'Runs Z score'!G412</f>
        <v/>
      </c>
      <c r="H420">
        <f>VLOOKUP(C420,Recipes!$A$2:$N$4,10,FALSE())</f>
        <v/>
      </c>
      <c r="I420">
        <f>VLOOKUP(C420,Recipes!$A$2:$N$4,12,FALSE())</f>
        <v/>
      </c>
      <c r="J420">
        <f>IF(G420="","",H420-G420)</f>
        <v/>
      </c>
      <c r="K420">
        <f>IF(G420="","",IF(ABS(G420-H420)&lt;=$B$6*I420,"OK","NG"))</f>
        <v/>
      </c>
      <c r="L420">
        <f>IF(K420="","",IF(K420=D420,1,0))</f>
        <v/>
      </c>
      <c r="M420" t="inlineStr">
        <is>
          <t>W1</t>
        </is>
      </c>
      <c r="N420" s="15" t="n">
        <v>0.6941000000000001</v>
      </c>
      <c r="O420" s="15" t="n">
        <v>0.286</v>
      </c>
      <c r="P420">
        <f>IF(M420="","",IF(M420=E420,1,0))</f>
        <v/>
      </c>
      <c r="Q420">
        <f>IF(K420="OK","-",IF(N420&lt;$B$7,"AMBIGUOUS","CONFIDENT"))</f>
        <v/>
      </c>
    </row>
    <row r="421">
      <c r="A421">
        <f>'Runs Z score'!A413</f>
        <v/>
      </c>
      <c r="B421">
        <f>'Runs Z score'!B413</f>
        <v/>
      </c>
      <c r="C421">
        <f>'Runs Z score'!C413</f>
        <v/>
      </c>
      <c r="D421">
        <f>'Runs Z score'!D413</f>
        <v/>
      </c>
      <c r="E421">
        <f>'Runs Z score'!E413</f>
        <v/>
      </c>
      <c r="F421">
        <f>'Runs Z score'!F413</f>
        <v/>
      </c>
      <c r="G421">
        <f>'Runs Z score'!G413</f>
        <v/>
      </c>
      <c r="H421">
        <f>VLOOKUP(C421,Recipes!$A$2:$N$4,10,FALSE())</f>
        <v/>
      </c>
      <c r="I421">
        <f>VLOOKUP(C421,Recipes!$A$2:$N$4,12,FALSE())</f>
        <v/>
      </c>
      <c r="J421">
        <f>IF(G421="","",H421-G421)</f>
        <v/>
      </c>
      <c r="K421">
        <f>IF(G421="","",IF(ABS(G421-H421)&lt;=$B$6*I421,"OK","NG"))</f>
        <v/>
      </c>
      <c r="L421">
        <f>IF(K421="","",IF(K421=D421,1,0))</f>
        <v/>
      </c>
      <c r="M421" t="inlineStr">
        <is>
          <t>N1</t>
        </is>
      </c>
      <c r="N421" s="15" t="n">
        <v>1</v>
      </c>
      <c r="O421" s="15" t="n">
        <v>0</v>
      </c>
      <c r="P421">
        <f>IF(M421="","",IF(M421=E421,1,0))</f>
        <v/>
      </c>
      <c r="Q421">
        <f>IF(K421="OK","-",IF(N421&lt;$B$7,"AMBIGUOUS","CONFIDENT"))</f>
        <v/>
      </c>
    </row>
    <row r="422">
      <c r="A422">
        <f>'Runs Z score'!A414</f>
        <v/>
      </c>
      <c r="B422">
        <f>'Runs Z score'!B414</f>
        <v/>
      </c>
      <c r="C422">
        <f>'Runs Z score'!C414</f>
        <v/>
      </c>
      <c r="D422">
        <f>'Runs Z score'!D414</f>
        <v/>
      </c>
      <c r="E422">
        <f>'Runs Z score'!E414</f>
        <v/>
      </c>
      <c r="F422">
        <f>'Runs Z score'!F414</f>
        <v/>
      </c>
      <c r="G422">
        <f>'Runs Z score'!G414</f>
        <v/>
      </c>
      <c r="H422">
        <f>VLOOKUP(C422,Recipes!$A$2:$N$4,10,FALSE())</f>
        <v/>
      </c>
      <c r="I422">
        <f>VLOOKUP(C422,Recipes!$A$2:$N$4,12,FALSE())</f>
        <v/>
      </c>
      <c r="J422">
        <f>IF(G422="","",H422-G422)</f>
        <v/>
      </c>
      <c r="K422">
        <f>IF(G422="","",IF(ABS(G422-H422)&lt;=$B$6*I422,"OK","NG"))</f>
        <v/>
      </c>
      <c r="L422">
        <f>IF(K422="","",IF(K422=D422,1,0))</f>
        <v/>
      </c>
      <c r="M422" t="inlineStr">
        <is>
          <t>N1</t>
        </is>
      </c>
      <c r="N422" s="15" t="n">
        <v>1</v>
      </c>
      <c r="O422" s="15" t="n">
        <v>0</v>
      </c>
      <c r="P422">
        <f>IF(M422="","",IF(M422=E422,1,0))</f>
        <v/>
      </c>
      <c r="Q422">
        <f>IF(K422="OK","-",IF(N422&lt;$B$7,"AMBIGUOUS","CONFIDENT"))</f>
        <v/>
      </c>
    </row>
    <row r="423">
      <c r="A423">
        <f>'Runs Z score'!A415</f>
        <v/>
      </c>
      <c r="B423">
        <f>'Runs Z score'!B415</f>
        <v/>
      </c>
      <c r="C423">
        <f>'Runs Z score'!C415</f>
        <v/>
      </c>
      <c r="D423">
        <f>'Runs Z score'!D415</f>
        <v/>
      </c>
      <c r="E423">
        <f>'Runs Z score'!E415</f>
        <v/>
      </c>
      <c r="F423">
        <f>'Runs Z score'!F415</f>
        <v/>
      </c>
      <c r="G423">
        <f>'Runs Z score'!G415</f>
        <v/>
      </c>
      <c r="H423">
        <f>VLOOKUP(C423,Recipes!$A$2:$N$4,10,FALSE())</f>
        <v/>
      </c>
      <c r="I423">
        <f>VLOOKUP(C423,Recipes!$A$2:$N$4,12,FALSE())</f>
        <v/>
      </c>
      <c r="J423">
        <f>IF(G423="","",H423-G423)</f>
        <v/>
      </c>
      <c r="K423">
        <f>IF(G423="","",IF(ABS(G423-H423)&lt;=$B$6*I423,"OK","NG"))</f>
        <v/>
      </c>
      <c r="L423">
        <f>IF(K423="","",IF(K423=D423,1,0))</f>
        <v/>
      </c>
      <c r="M423" t="inlineStr">
        <is>
          <t>N1</t>
        </is>
      </c>
      <c r="N423" s="15" t="n">
        <v>1</v>
      </c>
      <c r="O423" s="15" t="n">
        <v>0</v>
      </c>
      <c r="P423">
        <f>IF(M423="","",IF(M423=E423,1,0))</f>
        <v/>
      </c>
      <c r="Q423">
        <f>IF(K423="OK","-",IF(N423&lt;$B$7,"AMBIGUOUS","CONFIDENT"))</f>
        <v/>
      </c>
    </row>
    <row r="424">
      <c r="A424">
        <f>'Runs Z score'!A416</f>
        <v/>
      </c>
      <c r="B424">
        <f>'Runs Z score'!B416</f>
        <v/>
      </c>
      <c r="C424">
        <f>'Runs Z score'!C416</f>
        <v/>
      </c>
      <c r="D424">
        <f>'Runs Z score'!D416</f>
        <v/>
      </c>
      <c r="E424">
        <f>'Runs Z score'!E416</f>
        <v/>
      </c>
      <c r="F424">
        <f>'Runs Z score'!F416</f>
        <v/>
      </c>
      <c r="G424">
        <f>'Runs Z score'!G416</f>
        <v/>
      </c>
      <c r="H424">
        <f>VLOOKUP(C424,Recipes!$A$2:$N$4,10,FALSE())</f>
        <v/>
      </c>
      <c r="I424">
        <f>VLOOKUP(C424,Recipes!$A$2:$N$4,12,FALSE())</f>
        <v/>
      </c>
      <c r="J424">
        <f>IF(G424="","",H424-G424)</f>
        <v/>
      </c>
      <c r="K424">
        <f>IF(G424="","",IF(ABS(G424-H424)&lt;=$B$6*I424,"OK","NG"))</f>
        <v/>
      </c>
      <c r="L424">
        <f>IF(K424="","",IF(K424=D424,1,0))</f>
        <v/>
      </c>
      <c r="M424" t="inlineStr">
        <is>
          <t>N1</t>
        </is>
      </c>
      <c r="N424" s="15" t="n">
        <v>0.9967</v>
      </c>
      <c r="O424" s="15" t="n">
        <v>0.0033</v>
      </c>
      <c r="P424">
        <f>IF(M424="","",IF(M424=E424,1,0))</f>
        <v/>
      </c>
      <c r="Q424">
        <f>IF(K424="OK","-",IF(N424&lt;$B$7,"AMBIGUOUS","CONFIDENT"))</f>
        <v/>
      </c>
    </row>
    <row r="425">
      <c r="A425">
        <f>'Runs Z score'!A417</f>
        <v/>
      </c>
      <c r="B425">
        <f>'Runs Z score'!B417</f>
        <v/>
      </c>
      <c r="C425">
        <f>'Runs Z score'!C417</f>
        <v/>
      </c>
      <c r="D425">
        <f>'Runs Z score'!D417</f>
        <v/>
      </c>
      <c r="E425">
        <f>'Runs Z score'!E417</f>
        <v/>
      </c>
      <c r="F425">
        <f>'Runs Z score'!F417</f>
        <v/>
      </c>
      <c r="G425">
        <f>'Runs Z score'!G417</f>
        <v/>
      </c>
      <c r="H425">
        <f>VLOOKUP(C425,Recipes!$A$2:$N$4,10,FALSE())</f>
        <v/>
      </c>
      <c r="I425">
        <f>VLOOKUP(C425,Recipes!$A$2:$N$4,12,FALSE())</f>
        <v/>
      </c>
      <c r="J425">
        <f>IF(G425="","",H425-G425)</f>
        <v/>
      </c>
      <c r="K425">
        <f>IF(G425="","",IF(ABS(G425-H425)&lt;=$B$6*I425,"OK","NG"))</f>
        <v/>
      </c>
      <c r="L425">
        <f>IF(K425="","",IF(K425=D425,1,0))</f>
        <v/>
      </c>
      <c r="M425" t="inlineStr">
        <is>
          <t>N1</t>
        </is>
      </c>
      <c r="N425" s="15" t="n">
        <v>1</v>
      </c>
      <c r="O425" s="15" t="n">
        <v>0</v>
      </c>
      <c r="P425">
        <f>IF(M425="","",IF(M425=E425,1,0))</f>
        <v/>
      </c>
      <c r="Q425">
        <f>IF(K425="OK","-",IF(N425&lt;$B$7,"AMBIGUOUS","CONFIDENT"))</f>
        <v/>
      </c>
    </row>
    <row r="426">
      <c r="A426">
        <f>'Runs Z score'!A418</f>
        <v/>
      </c>
      <c r="B426">
        <f>'Runs Z score'!B418</f>
        <v/>
      </c>
      <c r="C426">
        <f>'Runs Z score'!C418</f>
        <v/>
      </c>
      <c r="D426">
        <f>'Runs Z score'!D418</f>
        <v/>
      </c>
      <c r="E426">
        <f>'Runs Z score'!E418</f>
        <v/>
      </c>
      <c r="F426">
        <f>'Runs Z score'!F418</f>
        <v/>
      </c>
      <c r="G426">
        <f>'Runs Z score'!G418</f>
        <v/>
      </c>
      <c r="H426">
        <f>VLOOKUP(C426,Recipes!$A$2:$N$4,10,FALSE())</f>
        <v/>
      </c>
      <c r="I426">
        <f>VLOOKUP(C426,Recipes!$A$2:$N$4,12,FALSE())</f>
        <v/>
      </c>
      <c r="J426">
        <f>IF(G426="","",H426-G426)</f>
        <v/>
      </c>
      <c r="K426">
        <f>IF(G426="","",IF(ABS(G426-H426)&lt;=$B$6*I426,"OK","NG"))</f>
        <v/>
      </c>
      <c r="L426">
        <f>IF(K426="","",IF(K426=D426,1,0))</f>
        <v/>
      </c>
      <c r="M426" t="inlineStr">
        <is>
          <t>N1</t>
        </is>
      </c>
      <c r="N426" s="15" t="n">
        <v>1</v>
      </c>
      <c r="O426" s="15" t="n">
        <v>0</v>
      </c>
      <c r="P426">
        <f>IF(M426="","",IF(M426=E426,1,0))</f>
        <v/>
      </c>
      <c r="Q426">
        <f>IF(K426="OK","-",IF(N426&lt;$B$7,"AMBIGUOUS","CONFIDENT"))</f>
        <v/>
      </c>
    </row>
    <row r="427">
      <c r="A427">
        <f>'Runs Z score'!A419</f>
        <v/>
      </c>
      <c r="B427">
        <f>'Runs Z score'!B419</f>
        <v/>
      </c>
      <c r="C427">
        <f>'Runs Z score'!C419</f>
        <v/>
      </c>
      <c r="D427">
        <f>'Runs Z score'!D419</f>
        <v/>
      </c>
      <c r="E427">
        <f>'Runs Z score'!E419</f>
        <v/>
      </c>
      <c r="F427">
        <f>'Runs Z score'!F419</f>
        <v/>
      </c>
      <c r="G427">
        <f>'Runs Z score'!G419</f>
        <v/>
      </c>
      <c r="H427">
        <f>VLOOKUP(C427,Recipes!$A$2:$N$4,10,FALSE())</f>
        <v/>
      </c>
      <c r="I427">
        <f>VLOOKUP(C427,Recipes!$A$2:$N$4,12,FALSE())</f>
        <v/>
      </c>
      <c r="J427">
        <f>IF(G427="","",H427-G427)</f>
        <v/>
      </c>
      <c r="K427">
        <f>IF(G427="","",IF(ABS(G427-H427)&lt;=$B$6*I427,"OK","NG"))</f>
        <v/>
      </c>
      <c r="L427">
        <f>IF(K427="","",IF(K427=D427,1,0))</f>
        <v/>
      </c>
      <c r="M427" t="inlineStr">
        <is>
          <t>N1</t>
        </is>
      </c>
      <c r="N427" s="15" t="n">
        <v>1</v>
      </c>
      <c r="O427" s="15" t="n">
        <v>0</v>
      </c>
      <c r="P427">
        <f>IF(M427="","",IF(M427=E427,1,0))</f>
        <v/>
      </c>
      <c r="Q427">
        <f>IF(K427="OK","-",IF(N427&lt;$B$7,"AMBIGUOUS","CONFIDENT"))</f>
        <v/>
      </c>
    </row>
    <row r="428">
      <c r="A428">
        <f>'Runs Z score'!A420</f>
        <v/>
      </c>
      <c r="B428">
        <f>'Runs Z score'!B420</f>
        <v/>
      </c>
      <c r="C428">
        <f>'Runs Z score'!C420</f>
        <v/>
      </c>
      <c r="D428">
        <f>'Runs Z score'!D420</f>
        <v/>
      </c>
      <c r="E428">
        <f>'Runs Z score'!E420</f>
        <v/>
      </c>
      <c r="F428">
        <f>'Runs Z score'!F420</f>
        <v/>
      </c>
      <c r="G428">
        <f>'Runs Z score'!G420</f>
        <v/>
      </c>
      <c r="H428">
        <f>VLOOKUP(C428,Recipes!$A$2:$N$4,10,FALSE())</f>
        <v/>
      </c>
      <c r="I428">
        <f>VLOOKUP(C428,Recipes!$A$2:$N$4,12,FALSE())</f>
        <v/>
      </c>
      <c r="J428">
        <f>IF(G428="","",H428-G428)</f>
        <v/>
      </c>
      <c r="K428">
        <f>IF(G428="","",IF(ABS(G428-H428)&lt;=$B$6*I428,"OK","NG"))</f>
        <v/>
      </c>
      <c r="L428">
        <f>IF(K428="","",IF(K428=D428,1,0))</f>
        <v/>
      </c>
      <c r="M428" t="inlineStr">
        <is>
          <t>N1</t>
        </is>
      </c>
      <c r="N428" s="15" t="n">
        <v>1</v>
      </c>
      <c r="O428" s="15" t="n">
        <v>0</v>
      </c>
      <c r="P428">
        <f>IF(M428="","",IF(M428=E428,1,0))</f>
        <v/>
      </c>
      <c r="Q428">
        <f>IF(K428="OK","-",IF(N428&lt;$B$7,"AMBIGUOUS","CONFIDENT"))</f>
        <v/>
      </c>
    </row>
    <row r="429">
      <c r="A429">
        <f>'Runs Z score'!A421</f>
        <v/>
      </c>
      <c r="B429">
        <f>'Runs Z score'!B421</f>
        <v/>
      </c>
      <c r="C429">
        <f>'Runs Z score'!C421</f>
        <v/>
      </c>
      <c r="D429">
        <f>'Runs Z score'!D421</f>
        <v/>
      </c>
      <c r="E429">
        <f>'Runs Z score'!E421</f>
        <v/>
      </c>
      <c r="F429">
        <f>'Runs Z score'!F421</f>
        <v/>
      </c>
      <c r="G429">
        <f>'Runs Z score'!G421</f>
        <v/>
      </c>
      <c r="H429">
        <f>VLOOKUP(C429,Recipes!$A$2:$N$4,10,FALSE())</f>
        <v/>
      </c>
      <c r="I429">
        <f>VLOOKUP(C429,Recipes!$A$2:$N$4,12,FALSE())</f>
        <v/>
      </c>
      <c r="J429">
        <f>IF(G429="","",H429-G429)</f>
        <v/>
      </c>
      <c r="K429">
        <f>IF(G429="","",IF(ABS(G429-H429)&lt;=$B$6*I429,"OK","NG"))</f>
        <v/>
      </c>
      <c r="L429">
        <f>IF(K429="","",IF(K429=D429,1,0))</f>
        <v/>
      </c>
      <c r="M429" t="inlineStr">
        <is>
          <t>N2</t>
        </is>
      </c>
      <c r="N429" s="15" t="n">
        <v>1</v>
      </c>
      <c r="O429" s="15" t="n">
        <v>0</v>
      </c>
      <c r="P429">
        <f>IF(M429="","",IF(M429=E429,1,0))</f>
        <v/>
      </c>
      <c r="Q429">
        <f>IF(K429="OK","-",IF(N429&lt;$B$7,"AMBIGUOUS","CONFIDENT"))</f>
        <v/>
      </c>
    </row>
    <row r="430">
      <c r="A430">
        <f>'Runs Z score'!A422</f>
        <v/>
      </c>
      <c r="B430">
        <f>'Runs Z score'!B422</f>
        <v/>
      </c>
      <c r="C430">
        <f>'Runs Z score'!C422</f>
        <v/>
      </c>
      <c r="D430">
        <f>'Runs Z score'!D422</f>
        <v/>
      </c>
      <c r="E430">
        <f>'Runs Z score'!E422</f>
        <v/>
      </c>
      <c r="F430">
        <f>'Runs Z score'!F422</f>
        <v/>
      </c>
      <c r="G430">
        <f>'Runs Z score'!G422</f>
        <v/>
      </c>
      <c r="H430">
        <f>VLOOKUP(C430,Recipes!$A$2:$N$4,10,FALSE())</f>
        <v/>
      </c>
      <c r="I430">
        <f>VLOOKUP(C430,Recipes!$A$2:$N$4,12,FALSE())</f>
        <v/>
      </c>
      <c r="J430">
        <f>IF(G430="","",H430-G430)</f>
        <v/>
      </c>
      <c r="K430">
        <f>IF(G430="","",IF(ABS(G430-H430)&lt;=$B$6*I430,"OK","NG"))</f>
        <v/>
      </c>
      <c r="L430">
        <f>IF(K430="","",IF(K430=D430,1,0))</f>
        <v/>
      </c>
      <c r="M430" t="inlineStr">
        <is>
          <t>N1</t>
        </is>
      </c>
      <c r="N430" s="15" t="n">
        <v>1</v>
      </c>
      <c r="O430" s="15" t="n">
        <v>0</v>
      </c>
      <c r="P430">
        <f>IF(M430="","",IF(M430=E430,1,0))</f>
        <v/>
      </c>
      <c r="Q430">
        <f>IF(K430="OK","-",IF(N430&lt;$B$7,"AMBIGUOUS","CONFIDENT"))</f>
        <v/>
      </c>
    </row>
    <row r="433">
      <c r="A433" s="209" t="inlineStr">
        <is>
          <t>RESUMEN</t>
        </is>
      </c>
    </row>
    <row r="434">
      <c r="A434" s="210" t="inlineStr">
        <is>
          <t>Total runs</t>
        </is>
      </c>
      <c r="B434" s="228">
        <f>COUNTA(G11:G430)</f>
        <v/>
      </c>
    </row>
    <row r="435">
      <c r="A435" s="210" t="inlineStr">
        <is>
          <t>L1 Accuracy</t>
        </is>
      </c>
      <c r="B435" s="229">
        <f>IFERROR(AVERAGE(L11:L430),0)</f>
        <v/>
      </c>
    </row>
    <row r="436">
      <c r="A436" s="210" t="inlineStr">
        <is>
          <t>L2 Accuracy (NG)</t>
        </is>
      </c>
      <c r="B436" s="229">
        <f>IFERROR(AVERAGEIFS(P11:P430,D11:D430,"NG"),0)</f>
        <v/>
      </c>
    </row>
    <row r="437">
      <c r="A437" s="210" t="inlineStr">
        <is>
          <t>Falsos Positivos</t>
        </is>
      </c>
      <c r="B437" s="228">
        <f>COUNTIFS(D11:D430,"OK",K11:K430,"NG")</f>
        <v/>
      </c>
    </row>
    <row r="438">
      <c r="A438" s="210" t="inlineStr">
        <is>
          <t>Falsos Negativos</t>
        </is>
      </c>
      <c r="B438" s="228">
        <f>COUNTIFS(D11:D430,"NG",K11:K430,"OK")</f>
        <v/>
      </c>
    </row>
    <row r="439">
      <c r="A439" s="210" t="inlineStr">
        <is>
          <t>Casos AMBIGUOUS</t>
        </is>
      </c>
      <c r="B439" s="228">
        <f>COUNTIF(Q11:Q430,"AMBIGUOUS")</f>
        <v/>
      </c>
    </row>
    <row r="442">
      <c r="A442" s="209" t="inlineStr">
        <is>
          <t>POR RECETA</t>
        </is>
      </c>
    </row>
    <row r="443">
      <c r="A443" s="192" t="inlineStr">
        <is>
          <t>Recipe</t>
        </is>
      </c>
      <c r="B443" s="192" t="inlineStr">
        <is>
          <t>L1 Acc</t>
        </is>
      </c>
      <c r="C443" s="192" t="inlineStr">
        <is>
          <t>L2 Acc</t>
        </is>
      </c>
    </row>
    <row r="444">
      <c r="A444" s="214" t="inlineStr">
        <is>
          <t>R3</t>
        </is>
      </c>
      <c r="B444" s="229">
        <f>IFERROR(AVERAGEIFS(L11:L430,C11:C430,"R3"),0)</f>
        <v/>
      </c>
      <c r="C444" s="229">
        <f>IFERROR(AVERAGEIFS(P11:P430,C11:C430,"R3",D11:D430,"NG"),0)</f>
        <v/>
      </c>
    </row>
    <row r="445">
      <c r="A445" s="214" t="inlineStr">
        <is>
          <t>R4</t>
        </is>
      </c>
      <c r="B445" s="229">
        <f>IFERROR(AVERAGEIFS(L11:L430,C11:C430,"R4"),0)</f>
        <v/>
      </c>
      <c r="C445" s="229">
        <f>IFERROR(AVERAGEIFS(P11:P430,C11:C430,"R4",D11:D430,"NG"),0)</f>
        <v/>
      </c>
    </row>
    <row r="446">
      <c r="A446" s="214" t="inlineStr">
        <is>
          <t>R6</t>
        </is>
      </c>
      <c r="B446" s="229">
        <f>IFERROR(AVERAGEIFS(L11:L430,C11:C430,"R6"),0)</f>
        <v/>
      </c>
      <c r="C446" s="229">
        <f>IFERROR(AVERAGEIFS(P11:P430,C11:C430,"R6",D11:D430,"NG"),0)</f>
        <v/>
      </c>
    </row>
  </sheetData>
  <mergeCells count="3">
    <mergeCell ref="A3:Q3"/>
    <mergeCell ref="A2:Q2"/>
    <mergeCell ref="A1:Q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01"/>
  <sheetViews>
    <sheetView topLeftCell="A4" zoomScale="155" zoomScaleNormal="100" workbookViewId="0">
      <selection activeCell="I18" sqref="I18"/>
    </sheetView>
  </sheetViews>
  <sheetFormatPr baseColWidth="8" defaultColWidth="8.7109375" defaultRowHeight="15"/>
  <cols>
    <col width="38" customWidth="1" style="180" min="1" max="1"/>
    <col width="14" customWidth="1" style="180" min="2" max="7"/>
    <col width="14" bestFit="1" customWidth="1" style="180" min="8" max="8"/>
  </cols>
  <sheetData>
    <row r="1" ht="18" customHeight="1" s="180">
      <c r="A1" s="175" t="inlineStr">
        <is>
          <t>DOE RESULTS SUMMARY</t>
        </is>
      </c>
    </row>
    <row r="3">
      <c r="A3" s="171" t="inlineStr">
        <is>
          <t>OVERALL METRICS</t>
        </is>
      </c>
    </row>
    <row r="4">
      <c r="A4" s="1" t="inlineStr">
        <is>
          <t>Metric</t>
        </is>
      </c>
      <c r="B4" s="1" t="inlineStr">
        <is>
          <t>Value</t>
        </is>
      </c>
      <c r="C4" s="215" t="inlineStr">
        <is>
          <t>Formula / Description</t>
        </is>
      </c>
      <c r="D4" s="178" t="n"/>
      <c r="E4" s="178" t="n"/>
      <c r="F4" s="179" t="n"/>
    </row>
    <row r="5">
      <c r="A5" s="2" t="inlineStr">
        <is>
          <t>Total runs executed</t>
        </is>
      </c>
      <c r="B5" s="11">
        <f>COUNTA('Runs 1.0 20262904'!G3:G424)</f>
        <v/>
      </c>
      <c r="C5" s="168" t="inlineStr">
        <is>
          <t>Non-empty measured_weight cells</t>
        </is>
      </c>
    </row>
    <row r="6" ht="21" customHeight="1" s="180">
      <c r="A6" s="2" t="inlineStr">
        <is>
          <t>L1 OK/NG accuracy (global)</t>
        </is>
      </c>
      <c r="B6" s="12">
        <f>IFERROR(AVERAGE('Runs 1.0 20262904'!O3:O424),0)</f>
        <v/>
      </c>
      <c r="C6" s="168" t="inlineStr">
        <is>
          <t>Average of L1_correct</t>
        </is>
      </c>
      <c r="H6" s="181" t="n"/>
    </row>
    <row r="7">
      <c r="A7" s="2" t="inlineStr">
        <is>
          <t>L2 Missing-ID accuracy (NG only)</t>
        </is>
      </c>
      <c r="B7" s="12">
        <f>IFERROR(AVERAGEIFS('Runs 1.0 20262904'!X3:X424,'Runs 1.0 20262904'!D3:D424,"NG"),0)</f>
        <v/>
      </c>
      <c r="C7" s="168" t="inlineStr">
        <is>
          <t>Accuracy of faulty component identification</t>
        </is>
      </c>
    </row>
    <row r="8">
      <c r="A8" s="2" t="inlineStr">
        <is>
          <t>False positives (OK called NG)</t>
        </is>
      </c>
      <c r="B8" s="11">
        <f>COUNTIFS('Runs 1.0 20262904'!D3:D424,"OK",'Runs 1.0 20262904'!N3:N424,"NG")</f>
        <v/>
      </c>
      <c r="C8" s="168" t="inlineStr">
        <is>
          <t>Real OK classified as NG</t>
        </is>
      </c>
    </row>
    <row r="9">
      <c r="A9" s="2" t="inlineStr">
        <is>
          <t>False negatives (NG called OK)</t>
        </is>
      </c>
      <c r="B9" s="11">
        <f>COUNTIFS('Runs 1.0 20262904'!D3:D424,"NG",'Runs 1.0 20262904'!N3:N424,"OK")</f>
        <v/>
      </c>
      <c r="C9" s="168" t="inlineStr">
        <is>
          <t>Real NG classified as OK</t>
        </is>
      </c>
    </row>
    <row r="10">
      <c r="A10" s="2" t="inlineStr">
        <is>
          <t>True positives (NG correctly called NG)</t>
        </is>
      </c>
      <c r="B10" s="11">
        <f>COUNTIFS('Runs 1.0 20262904'!D3:D424,"NG",'Runs 1.0 20262904'!N3:N424,"NG")</f>
        <v/>
      </c>
      <c r="C10" s="168" t="n"/>
    </row>
    <row r="11">
      <c r="A11" s="2" t="inlineStr">
        <is>
          <t>True negatives (OK correctly called OK)</t>
        </is>
      </c>
      <c r="B11" s="11">
        <f>COUNTIFS('Runs 1.0 20262904'!D3:D424,"OK",'Runs 1.0 20262904'!N3:N424,"OK")</f>
        <v/>
      </c>
      <c r="C11" s="168" t="n"/>
    </row>
    <row r="14">
      <c r="A14" s="215" t="inlineStr">
        <is>
          <t>PER-RECIPE METRICS</t>
        </is>
      </c>
      <c r="B14" s="178" t="n"/>
      <c r="C14" s="178" t="n"/>
      <c r="D14" s="178" t="n"/>
      <c r="E14" s="178" t="n"/>
      <c r="F14" s="179" t="n"/>
    </row>
    <row r="15">
      <c r="A15" s="1" t="inlineStr">
        <is>
          <t>Recipe</t>
        </is>
      </c>
      <c r="B15" s="1" t="inlineStr">
        <is>
          <t>Runs</t>
        </is>
      </c>
      <c r="C15" s="1" t="inlineStr">
        <is>
          <t>L1 Accuracy (OK/NG)</t>
        </is>
      </c>
      <c r="D15" s="1" t="inlineStr">
        <is>
          <t>L2 Accuracy (Missing ID)</t>
        </is>
      </c>
      <c r="E15" s="1" t="inlineStr">
        <is>
          <t>False Pos</t>
        </is>
      </c>
      <c r="F15" s="1" t="inlineStr">
        <is>
          <t>False Neg</t>
        </is>
      </c>
    </row>
    <row r="16">
      <c r="A16" s="5" t="inlineStr">
        <is>
          <t>R3</t>
        </is>
      </c>
      <c r="B16" s="11">
        <f>COUNTIFS('Runs 1.0 20262904'!C3:C424,"R3",'Runs 1.0 20262904'!G3:G424,"&lt;&gt;")</f>
        <v/>
      </c>
      <c r="C16" s="12">
        <f>IFERROR(AVERAGEIFS('Runs 1.0 20262904'!O3:O424,'Runs 1.0 20262904'!C3:C424,"R3"),0)</f>
        <v/>
      </c>
      <c r="D16" s="12">
        <f>IFERROR(AVERAGEIFS('Runs 1.0 20262904'!X3:X424,'Runs 1.0 20262904'!C3:C424,"R3",'Runs 1.0 20262904'!D3:D424,"NG"),0)</f>
        <v/>
      </c>
      <c r="E16" s="11">
        <f>COUNTIFS('Runs 1.0 20262904'!C3:C424,"R3",'Runs 1.0 20262904'!D3:D424,"OK",'Runs 1.0 20262904'!N3:N424,"NG")</f>
        <v/>
      </c>
      <c r="F16" s="11">
        <f>COUNTIFS('Runs 1.0 20262904'!C3:C424,"R3",'Runs 1.0 20262904'!D3:D424,"NG",'Runs 1.0 20262904'!N3:N424,"OK")</f>
        <v/>
      </c>
    </row>
    <row r="17">
      <c r="A17" s="5" t="inlineStr">
        <is>
          <t>R4</t>
        </is>
      </c>
      <c r="B17" s="11">
        <f>COUNTIFS('Runs 1.0 20262904'!C3:C424,"R4",'Runs 1.0 20262904'!G3:G424,"&lt;&gt;")</f>
        <v/>
      </c>
      <c r="C17" s="12">
        <f>IFERROR(AVERAGEIFS('Runs 1.0 20262904'!O3:O424,'Runs 1.0 20262904'!C3:C424,"R4"),0)</f>
        <v/>
      </c>
      <c r="D17" s="12">
        <f>IFERROR(AVERAGEIFS('Runs 1.0 20262904'!X3:X424,'Runs 1.0 20262904'!C3:C424,"R4",'Runs 1.0 20262904'!D3:D424,"NG"),0)</f>
        <v/>
      </c>
      <c r="E17" s="11">
        <f>COUNTIFS('Runs 1.0 20262904'!C3:C424,"R4",'Runs 1.0 20262904'!D3:D424,"OK",'Runs 1.0 20262904'!N3:N424,"NG")</f>
        <v/>
      </c>
      <c r="F17" s="11">
        <f>COUNTIFS('Runs 1.0 20262904'!C3:C424,"R4",'Runs 1.0 20262904'!D3:D424,"NG",'Runs 1.0 20262904'!N3:N424,"OK")</f>
        <v/>
      </c>
    </row>
    <row r="18">
      <c r="A18" s="5" t="inlineStr">
        <is>
          <t>R6</t>
        </is>
      </c>
      <c r="B18" s="11">
        <f>COUNTIFS('Runs 1.0 20262904'!C3:C424,"R6",'Runs 1.0 20262904'!G3:G424,"&lt;&gt;")</f>
        <v/>
      </c>
      <c r="C18" s="12">
        <f>IFERROR(AVERAGEIFS('Runs 1.0 20262904'!O3:O424,'Runs 1.0 20262904'!C3:C424,"R6"),0)</f>
        <v/>
      </c>
      <c r="D18" s="12">
        <f>IFERROR(AVERAGEIFS('Runs 1.0 20262904'!X3:X424,'Runs 1.0 20262904'!C3:C424,"R6",'Runs 1.0 20262904'!D3:D424,"NG"),0)</f>
        <v/>
      </c>
      <c r="E18" s="11">
        <f>COUNTIFS('Runs 1.0 20262904'!C3:C424,"R6",'Runs 1.0 20262904'!D3:D424,"OK",'Runs 1.0 20262904'!N3:N424,"NG")</f>
        <v/>
      </c>
      <c r="F18" s="11">
        <f>COUNTIFS('Runs 1.0 20262904'!C3:C424,"R6",'Runs 1.0 20262904'!D3:D424,"NG",'Runs 1.0 20262904'!N3:N424,"OK")</f>
        <v/>
      </c>
    </row>
    <row r="21">
      <c r="A21" s="215" t="inlineStr">
        <is>
          <t>DETECTION BY MISSING COMPONENT TYPE</t>
        </is>
      </c>
      <c r="B21" s="178" t="n"/>
      <c r="C21" s="178" t="n"/>
      <c r="D21" s="178" t="n"/>
      <c r="E21" s="178" t="n"/>
      <c r="F21" s="179" t="n"/>
    </row>
    <row r="22">
      <c r="A22" s="1" t="inlineStr">
        <is>
          <t>Missing Component</t>
        </is>
      </c>
      <c r="B22" s="1" t="inlineStr">
        <is>
          <t>NG Runs Total</t>
        </is>
      </c>
      <c r="C22" s="1" t="inlineStr">
        <is>
          <t>Correctly Identified</t>
        </is>
      </c>
      <c r="D22" s="1" t="inlineStr">
        <is>
          <t>ID Accuracy</t>
        </is>
      </c>
      <c r="E22" s="1" t="inlineStr">
        <is>
          <t>Notes</t>
        </is>
      </c>
      <c r="F22" s="1" t="n"/>
    </row>
    <row r="23">
      <c r="A23" s="5" t="inlineStr">
        <is>
          <t>S1</t>
        </is>
      </c>
      <c r="B23" s="11">
        <f>COUNTIFS('Runs 1.0 20262904'!E3:E424,"S1",'Runs 1.0 20262904'!G3:G424,"&lt;&gt;")</f>
        <v/>
      </c>
      <c r="C23" s="11">
        <f>SUMIFS('Runs 1.0 20262904'!X3:X424,'Runs 1.0 20262904'!E3:E424,"S1")</f>
        <v/>
      </c>
      <c r="D23" s="12">
        <f>IFERROR(C23/B23,0)</f>
        <v/>
      </c>
    </row>
    <row r="24">
      <c r="A24" s="5" t="inlineStr">
        <is>
          <t>S2</t>
        </is>
      </c>
      <c r="B24" s="11">
        <f>COUNTIFS('Runs 1.0 20262904'!E3:E424,"S2",'Runs 1.0 20262904'!G3:G424,"&lt;&gt;")</f>
        <v/>
      </c>
      <c r="C24" s="11">
        <f>SUMIFS('Runs 1.0 20262904'!X3:X424,'Runs 1.0 20262904'!E3:E424,"S2")</f>
        <v/>
      </c>
      <c r="D24" s="12">
        <f>IFERROR(C24/B24,0)</f>
        <v/>
      </c>
    </row>
    <row r="25">
      <c r="A25" s="5" t="inlineStr">
        <is>
          <t>W1</t>
        </is>
      </c>
      <c r="B25" s="11">
        <f>COUNTIFS('Runs 1.0 20262904'!E3:E424,"W1",'Runs 1.0 20262904'!G3:G424,"&lt;&gt;")</f>
        <v/>
      </c>
      <c r="C25" s="11">
        <f>SUMIFS('Runs 1.0 20262904'!X3:X424,'Runs 1.0 20262904'!E3:E424,"W1")</f>
        <v/>
      </c>
      <c r="D25" s="12">
        <f>IFERROR(C25/B25,0)</f>
        <v/>
      </c>
    </row>
    <row r="26">
      <c r="A26" s="5" t="inlineStr">
        <is>
          <t>W2</t>
        </is>
      </c>
      <c r="B26" s="11">
        <f>COUNTIFS('Runs 1.0 20262904'!E3:E424,"W2",'Runs 1.0 20262904'!G3:G424,"&lt;&gt;")</f>
        <v/>
      </c>
      <c r="C26" s="11">
        <f>SUMIFS('Runs 1.0 20262904'!X3:X424,'Runs 1.0 20262904'!E3:E424,"W2")</f>
        <v/>
      </c>
      <c r="D26" s="12">
        <f>IFERROR(C26/B26,0)</f>
        <v/>
      </c>
    </row>
    <row r="27">
      <c r="A27" s="5" t="inlineStr">
        <is>
          <t>N1</t>
        </is>
      </c>
      <c r="B27" s="11">
        <f>COUNTIFS('Runs 1.0 20262904'!E3:E424,"N1",'Runs 1.0 20262904'!G3:G424,"&lt;&gt;")</f>
        <v/>
      </c>
      <c r="C27" s="11">
        <f>SUMIFS('Runs 1.0 20262904'!X3:X424,'Runs 1.0 20262904'!E3:E424,"N1")</f>
        <v/>
      </c>
      <c r="D27" s="12">
        <f>IFERROR(C27/B27,0)</f>
        <v/>
      </c>
    </row>
    <row r="28">
      <c r="A28" s="5" t="inlineStr">
        <is>
          <t>N2</t>
        </is>
      </c>
      <c r="B28" s="11">
        <f>COUNTIFS('Runs 1.0 20262904'!E3:E424,"N2",'Runs 1.0 20262904'!G3:G424,"&lt;&gt;")</f>
        <v/>
      </c>
      <c r="C28" s="11">
        <f>SUMIFS('Runs 1.0 20262904'!X3:X424,'Runs 1.0 20262904'!E3:E424,"N2")</f>
        <v/>
      </c>
      <c r="D28" s="12">
        <f>IFERROR(C28/B28,0)</f>
        <v/>
      </c>
    </row>
    <row r="31">
      <c r="A31" s="170" t="inlineStr">
        <is>
          <t>COMPARATIVA DE TODOS LOS MÉTODOS</t>
        </is>
      </c>
    </row>
    <row r="33" ht="24" customHeight="1" s="180">
      <c r="A33" s="95" t="inlineStr">
        <is>
          <t>Método</t>
        </is>
      </c>
      <c r="B33" s="95" t="inlineStr">
        <is>
          <t>Umbral</t>
        </is>
      </c>
      <c r="C33" s="95" t="inlineStr">
        <is>
          <t>L1 Accuracy</t>
        </is>
      </c>
      <c r="D33" s="95" t="inlineStr">
        <is>
          <t>L2 Accuracy</t>
        </is>
      </c>
      <c r="E33" s="95" t="inlineStr">
        <is>
          <t>Falsos Pos</t>
        </is>
      </c>
      <c r="F33" s="95" t="inlineStr">
        <is>
          <t>Falsos Neg</t>
        </is>
      </c>
    </row>
    <row r="34">
      <c r="A34" s="96" t="inlineStr">
        <is>
          <t>Z-score (k=3) — actual</t>
        </is>
      </c>
      <c r="B34" s="69" t="inlineStr">
        <is>
          <t>k=3</t>
        </is>
      </c>
      <c r="C34" s="97">
        <f>IFERROR(AVERAGE('Runs Z score'!O3:O422),0)</f>
        <v/>
      </c>
      <c r="D34" s="97">
        <f>IFERROR(AVERAGEIFS('Runs Z score'!X3:X422,'Runs Z score'!D3:D422,"NG"),0)</f>
        <v/>
      </c>
      <c r="E34" s="69">
        <f>COUNTIFS('Runs Z score'!D3:D422,"OK",'Runs Z score'!N3:N422,"NG")</f>
        <v/>
      </c>
      <c r="F34" s="69">
        <f>COUNTIFS('Runs Z score'!D3:D422,"NG",'Runs Z score'!N3:N422,"OK")</f>
        <v/>
      </c>
    </row>
    <row r="35">
      <c r="A35" s="96" t="inlineStr">
        <is>
          <t>Runs 1.0 (k=3, déficit absoluto)</t>
        </is>
      </c>
      <c r="B35" s="69" t="inlineStr">
        <is>
          <t>k=3</t>
        </is>
      </c>
      <c r="C35" s="97">
        <f>IFERROR(AVERAGE('Runs 1.0 20262904'!O3:O422),0)</f>
        <v/>
      </c>
      <c r="D35" s="97">
        <f>IFERROR(AVERAGEIFS('Runs 1.0 20262904'!X3:X422,'Runs 1.0 20262904'!D3:D422,"NG"),0)</f>
        <v/>
      </c>
      <c r="E35" s="69">
        <f>COUNTIFS('Runs 1.0 20262904'!D3:D422,"OK",'Runs 1.0 20262904'!N3:N422,"NG")</f>
        <v/>
      </c>
      <c r="F35" s="69">
        <f>COUNTIFS('Runs 1.0 20262904'!D3:D422,"NG",'Runs 1.0 20262904'!N3:N422,"OK")</f>
        <v/>
      </c>
    </row>
    <row r="36">
      <c r="A36" s="96" t="inlineStr">
        <is>
          <t>Z-score k=3.5</t>
        </is>
      </c>
      <c r="B36" s="69" t="inlineStr">
        <is>
          <t>k=3.5</t>
        </is>
      </c>
      <c r="C36" s="97">
        <f>IFERROR(AVERAGE('Runs 1.0 + 3.5 sigma'!O3:O422),0)</f>
        <v/>
      </c>
      <c r="D36" s="97">
        <f>IFERROR(AVERAGEIFS('Runs 1.0 + 3.5 sigma'!X3:X422,'Runs 1.0 + 3.5 sigma'!D3:D422,"NG"),0)</f>
        <v/>
      </c>
      <c r="E36" s="69">
        <f>COUNTIFS('Runs 1.0 + 3.5 sigma'!D3:D422,"OK",'Runs 1.0 + 3.5 sigma'!N3:N422,"NG")</f>
        <v/>
      </c>
      <c r="F36" s="69">
        <f>COUNTIFS('Runs 1.0 + 3.5 sigma'!D3:D422,"NG",'Runs 1.0 + 3.5 sigma'!N3:N422,"OK")</f>
        <v/>
      </c>
    </row>
    <row r="37">
      <c r="A37" s="96" t="inlineStr">
        <is>
          <t>Z-score k=6 (six-sigma)</t>
        </is>
      </c>
      <c r="B37" s="69" t="inlineStr">
        <is>
          <t>k=6</t>
        </is>
      </c>
      <c r="C37" s="97">
        <f>IFERROR(AVERAGE('Runs Z score + 6 sigma'!O3:O422),0)</f>
        <v/>
      </c>
      <c r="D37" s="97">
        <f>IFERROR(AVERAGEIFS('Runs Z score + 6 sigma'!X3:X422,'Runs Z score + 6 sigma'!D3:D422,"NG"),0)</f>
        <v/>
      </c>
      <c r="E37" s="69">
        <f>COUNTIFS('Runs Z score + 6 sigma'!D3:D422,"OK",'Runs Z score + 6 sigma'!N3:N422,"NG")</f>
        <v/>
      </c>
      <c r="F37" s="69">
        <f>COUNTIFS('Runs Z score + 6 sigma'!D3:D422,"NG",'Runs Z score + 6 sigma'!N3:N422,"OK")</f>
        <v/>
      </c>
    </row>
    <row r="38">
      <c r="A38" s="96" t="inlineStr">
        <is>
          <t>Mahalanobis (F-Hotelling)</t>
        </is>
      </c>
      <c r="B38" s="69" t="inlineStr">
        <is>
          <t>F crit</t>
        </is>
      </c>
      <c r="C38" s="97">
        <f>IFERROR(AVERAGE('Runs Mahalanobis'!N15:N434),0)</f>
        <v/>
      </c>
      <c r="D38" s="97">
        <f>IFERROR(AVERAGEIFS('Runs Mahalanobis'!W15:W434,'Runs Mahalanobis'!D15:D434,"NG"),0)</f>
        <v/>
      </c>
      <c r="E38" s="69">
        <f>COUNTIFS('Runs Mahalanobis'!D15:D434,"OK",'Runs Mahalanobis'!M15:M434,"NG")</f>
        <v/>
      </c>
      <c r="F38" s="69">
        <f>COUNTIFS('Runs Mahalanobis'!D15:D434,"NG",'Runs Mahalanobis'!M15:M434,"OK")</f>
        <v/>
      </c>
    </row>
    <row r="39">
      <c r="A39" s="96" t="inlineStr">
        <is>
          <t>GMM (softmax + AMBIGUOUS)</t>
        </is>
      </c>
      <c r="B39" s="69" t="inlineStr">
        <is>
          <t>k=3 + 0.15</t>
        </is>
      </c>
      <c r="C39" s="97">
        <f>IFERROR(AVERAGE('Runs GMM'!U10:U429),0)</f>
        <v/>
      </c>
      <c r="D39" s="97">
        <f>IFERROR(AVERAGEIFS('Runs GMM'!W10:W429,'Runs GMM'!D10:D429,"NG"),0)</f>
        <v/>
      </c>
      <c r="E39" s="69">
        <f>COUNTIFS('Runs GMM'!D10:D429,"OK",'Runs GMM'!T10:T429,"NG")</f>
        <v/>
      </c>
      <c r="F39" s="69">
        <f>COUNTIFS('Runs GMM'!D10:D429,"NG",'Runs GMM'!T10:T429,"OK")</f>
        <v/>
      </c>
    </row>
    <row r="42" ht="18.75" customHeight="1" s="180">
      <c r="A42" s="164" t="inlineStr">
        <is>
          <t>ANÁLISIS COMPARATIVO DETALLADO — HOJAS RUNS</t>
        </is>
      </c>
    </row>
    <row r="43">
      <c r="A43" s="163" t="inlineStr">
        <is>
          <t>Métricas globales y por receta para cada método. Todas las fórmulas referencian las hojas Runs correspondientes.</t>
        </is>
      </c>
    </row>
    <row r="45">
      <c r="A45" s="170" t="inlineStr">
        <is>
          <t>MÉTRICAS GLOBALES POR MÉTODO</t>
        </is>
      </c>
    </row>
    <row r="46" ht="27.95" customHeight="1" s="180">
      <c r="A46" s="95" t="inlineStr">
        <is>
          <t>Método</t>
        </is>
      </c>
      <c r="B46" s="95" t="inlineStr">
        <is>
          <t>Total Runs</t>
        </is>
      </c>
      <c r="C46" s="95" t="inlineStr">
        <is>
          <t>L1 Accuracy</t>
        </is>
      </c>
      <c r="D46" s="95" t="inlineStr">
        <is>
          <t>L2 Accuracy</t>
        </is>
      </c>
      <c r="E46" s="95" t="inlineStr">
        <is>
          <t>FP</t>
        </is>
      </c>
      <c r="F46" s="95" t="inlineStr">
        <is>
          <t>FN</t>
        </is>
      </c>
      <c r="G46" s="95" t="inlineStr">
        <is>
          <t>TP</t>
        </is>
      </c>
      <c r="H46" s="95" t="inlineStr">
        <is>
          <t>TN</t>
        </is>
      </c>
    </row>
    <row r="47">
      <c r="A47" s="96" t="inlineStr">
        <is>
          <t>Runs 1.0 (k=3 absoluto)</t>
        </is>
      </c>
      <c r="B47" s="69">
        <f>COUNTA('Runs 1.0 20262904'!G3:G422)</f>
        <v/>
      </c>
      <c r="C47" s="97">
        <f>IFERROR(AVERAGE('Runs 1.0 20262904'!O3:O422),0)</f>
        <v/>
      </c>
      <c r="D47" s="97">
        <f>IFERROR(AVERAGEIFS('Runs 1.0 20262904'!X3:X422,'Runs 1.0 20262904'!D3:D422,"NG"),0)</f>
        <v/>
      </c>
      <c r="E47" s="69">
        <f>COUNTIFS('Runs 1.0 20262904'!D3:D422,"OK",'Runs 1.0 20262904'!N3:N422,"NG")</f>
        <v/>
      </c>
      <c r="F47" s="69">
        <f>COUNTIFS('Runs 1.0 20262904'!D3:D422,"NG",'Runs 1.0 20262904'!N3:N422,"OK")</f>
        <v/>
      </c>
      <c r="G47" s="69">
        <f>COUNTIFS('Runs 1.0 20262904'!D3:D422,"NG",'Runs 1.0 20262904'!N3:N422,"NG")</f>
        <v/>
      </c>
      <c r="H47" s="69">
        <f>COUNTIFS('Runs 1.0 20262904'!D3:D422,"OK",'Runs 1.0 20262904'!N3:N422,"OK")</f>
        <v/>
      </c>
    </row>
    <row r="48">
      <c r="A48" s="96" t="inlineStr">
        <is>
          <t>Runs 1.0 + 3.5σ</t>
        </is>
      </c>
      <c r="B48" s="69">
        <f>COUNTA('Runs 1.0 + 3.5 sigma'!G3:G422)</f>
        <v/>
      </c>
      <c r="C48" s="97">
        <f>IFERROR(AVERAGE('Runs 1.0 + 3.5 sigma'!O3:O422),0)</f>
        <v/>
      </c>
      <c r="D48" s="97">
        <f>IFERROR(AVERAGEIFS('Runs 1.0 + 3.5 sigma'!X3:X422,'Runs 1.0 + 3.5 sigma'!D3:D422,"NG"),0)</f>
        <v/>
      </c>
      <c r="E48" s="69">
        <f>COUNTIFS('Runs 1.0 + 3.5 sigma'!D3:D422,"OK",'Runs 1.0 + 3.5 sigma'!N3:N422,"NG")</f>
        <v/>
      </c>
      <c r="F48" s="69">
        <f>COUNTIFS('Runs 1.0 + 3.5 sigma'!D3:D422,"NG",'Runs 1.0 + 3.5 sigma'!N3:N422,"OK")</f>
        <v/>
      </c>
      <c r="G48" s="69">
        <f>COUNTIFS('Runs 1.0 + 3.5 sigma'!D3:D422,"NG",'Runs 1.0 + 3.5 sigma'!N3:N422,"NG")</f>
        <v/>
      </c>
      <c r="H48" s="69">
        <f>COUNTIFS('Runs 1.0 + 3.5 sigma'!D3:D422,"OK",'Runs 1.0 + 3.5 sigma'!N3:N422,"OK")</f>
        <v/>
      </c>
    </row>
    <row r="49">
      <c r="A49" s="96" t="inlineStr">
        <is>
          <t>Runs 1.0 + 6σ</t>
        </is>
      </c>
      <c r="B49" s="69">
        <f>COUNTA('Runs 1.0 + 6 sigma'!G3:G422)</f>
        <v/>
      </c>
      <c r="C49" s="97">
        <f>IFERROR(AVERAGE('Runs 1.0 + 6 sigma'!O3:O422),0)</f>
        <v/>
      </c>
      <c r="D49" s="97">
        <f>IFERROR(AVERAGEIFS('Runs 1.0 + 6 sigma'!X3:X422,'Runs 1.0 + 6 sigma'!D3:D422,"NG"),0)</f>
        <v/>
      </c>
      <c r="E49" s="69">
        <f>COUNTIFS('Runs 1.0 + 6 sigma'!D3:D422,"OK",'Runs 1.0 + 6 sigma'!N3:N422,"NG")</f>
        <v/>
      </c>
      <c r="F49" s="69">
        <f>COUNTIFS('Runs 1.0 + 6 sigma'!D3:D422,"NG",'Runs 1.0 + 6 sigma'!N3:N422,"OK")</f>
        <v/>
      </c>
      <c r="G49" s="69">
        <f>COUNTIFS('Runs 1.0 + 6 sigma'!D3:D422,"NG",'Runs 1.0 + 6 sigma'!N3:N422,"NG")</f>
        <v/>
      </c>
      <c r="H49" s="69">
        <f>COUNTIFS('Runs 1.0 + 6 sigma'!D3:D422,"OK",'Runs 1.0 + 6 sigma'!N3:N422,"OK")</f>
        <v/>
      </c>
    </row>
    <row r="50">
      <c r="A50" s="96" t="inlineStr">
        <is>
          <t>Runs Z score (k=3, σ-norm)</t>
        </is>
      </c>
      <c r="B50" s="69">
        <f>COUNTA('Runs Z score'!G3:G422)</f>
        <v/>
      </c>
      <c r="C50" s="97">
        <f>IFERROR(AVERAGE('Runs Z score'!O3:O422),0)</f>
        <v/>
      </c>
      <c r="D50" s="97">
        <f>IFERROR(AVERAGEIFS('Runs Z score'!X3:X422,'Runs Z score'!D3:D422,"NG"),0)</f>
        <v/>
      </c>
      <c r="E50" s="69">
        <f>COUNTIFS('Runs Z score'!D3:D422,"OK",'Runs Z score'!N3:N422,"NG")</f>
        <v/>
      </c>
      <c r="F50" s="69">
        <f>COUNTIFS('Runs Z score'!D3:D422,"NG",'Runs Z score'!N3:N422,"OK")</f>
        <v/>
      </c>
      <c r="G50" s="69">
        <f>COUNTIFS('Runs Z score'!D3:D422,"NG",'Runs Z score'!N3:N422,"NG")</f>
        <v/>
      </c>
      <c r="H50" s="69">
        <f>COUNTIFS('Runs Z score'!D3:D422,"OK",'Runs Z score'!N3:N422,"OK")</f>
        <v/>
      </c>
    </row>
    <row r="51">
      <c r="A51" s="96" t="inlineStr">
        <is>
          <t>Runs Z score + 6σ</t>
        </is>
      </c>
      <c r="B51" s="69">
        <f>COUNTA('Runs Z score + 6 sigma'!G3:G422)</f>
        <v/>
      </c>
      <c r="C51" s="97">
        <f>IFERROR(AVERAGE('Runs Z score + 6 sigma'!O3:O422),0)</f>
        <v/>
      </c>
      <c r="D51" s="97">
        <f>IFERROR(AVERAGEIFS('Runs Z score + 6 sigma'!X3:X422,'Runs Z score + 6 sigma'!D3:D422,"NG"),0)</f>
        <v/>
      </c>
      <c r="E51" s="69">
        <f>COUNTIFS('Runs Z score + 6 sigma'!D3:D422,"OK",'Runs Z score + 6 sigma'!N3:N422,"NG")</f>
        <v/>
      </c>
      <c r="F51" s="69">
        <f>COUNTIFS('Runs Z score + 6 sigma'!D3:D422,"NG",'Runs Z score + 6 sigma'!N3:N422,"OK")</f>
        <v/>
      </c>
      <c r="G51" s="69">
        <f>COUNTIFS('Runs Z score + 6 sigma'!D3:D422,"NG",'Runs Z score + 6 sigma'!N3:N422,"NG")</f>
        <v/>
      </c>
      <c r="H51" s="69">
        <f>COUNTIFS('Runs Z score + 6 sigma'!D3:D422,"OK",'Runs Z score + 6 sigma'!N3:N422,"OK")</f>
        <v/>
      </c>
    </row>
    <row r="52">
      <c r="A52" s="96" t="inlineStr">
        <is>
          <t>Runs 1.1</t>
        </is>
      </c>
      <c r="B52" s="69">
        <f>COUNTA('Runs 1.1'!G3:G173)</f>
        <v/>
      </c>
      <c r="C52" s="97">
        <f>IFERROR(AVERAGE('Runs 1.1'!O3:O173),0)</f>
        <v/>
      </c>
      <c r="D52" s="97">
        <f>IFERROR(AVERAGEIFS('Runs 1.1'!X3:X173,'Runs 1.1'!D3:D173,"NG"),0)</f>
        <v/>
      </c>
      <c r="E52" s="69">
        <f>COUNTIFS('Runs 1.1'!D3:D173,"OK",'Runs 1.1'!N3:N173,"NG")</f>
        <v/>
      </c>
      <c r="F52" s="69">
        <f>COUNTIFS('Runs 1.1'!D3:D173,"NG",'Runs 1.1'!N3:N173,"OK")</f>
        <v/>
      </c>
      <c r="G52" s="69">
        <f>COUNTIFS('Runs 1.1'!D3:D173,"NG",'Runs 1.1'!N3:N173,"NG")</f>
        <v/>
      </c>
      <c r="H52" s="69">
        <f>COUNTIFS('Runs 1.1'!D3:D173,"OK",'Runs 1.1'!N3:N173,"OK")</f>
        <v/>
      </c>
    </row>
    <row r="53">
      <c r="A53" s="96" t="inlineStr">
        <is>
          <t>Runs Mahalanobis</t>
        </is>
      </c>
      <c r="B53" s="69">
        <f>COUNTA('Runs Mahalanobis'!G15:G434)</f>
        <v/>
      </c>
      <c r="C53" s="97">
        <f>IFERROR(AVERAGE('Runs Mahalanobis'!N15:N434),0)</f>
        <v/>
      </c>
      <c r="D53" s="97">
        <f>IFERROR(AVERAGEIFS('Runs Mahalanobis'!W15:W434,'Runs Mahalanobis'!D15:D434,"NG"),0)</f>
        <v/>
      </c>
      <c r="E53" s="69">
        <f>COUNTIFS('Runs Mahalanobis'!D15:D434,"OK",'Runs Mahalanobis'!M15:M434,"NG")</f>
        <v/>
      </c>
      <c r="F53" s="69">
        <f>COUNTIFS('Runs Mahalanobis'!D15:D434,"NG",'Runs Mahalanobis'!M15:M434,"OK")</f>
        <v/>
      </c>
      <c r="G53" s="69">
        <f>COUNTIFS('Runs Mahalanobis'!D15:D434,"NG",'Runs Mahalanobis'!M15:M434,"NG")</f>
        <v/>
      </c>
      <c r="H53" s="69">
        <f>COUNTIFS('Runs Mahalanobis'!D15:D434,"OK",'Runs Mahalanobis'!M15:M434,"OK")</f>
        <v/>
      </c>
    </row>
    <row r="54">
      <c r="A54" s="96" t="inlineStr">
        <is>
          <t>Runs GMM</t>
        </is>
      </c>
      <c r="B54" s="69">
        <f>COUNTA('Runs GMM'!G10:G429)</f>
        <v/>
      </c>
      <c r="C54" s="97">
        <f>IFERROR(AVERAGE('Runs GMM'!U10:U429),0)</f>
        <v/>
      </c>
      <c r="D54" s="97">
        <f>IFERROR(AVERAGEIFS('Runs GMM'!W10:W429,'Runs GMM'!D10:D429,"NG"),0)</f>
        <v/>
      </c>
      <c r="E54" s="69">
        <f>COUNTIFS('Runs GMM'!D10:D429,"OK",'Runs GMM'!T10:T429,"NG")</f>
        <v/>
      </c>
      <c r="F54" s="69">
        <f>COUNTIFS('Runs GMM'!D10:D429,"NG",'Runs GMM'!T10:T429,"OK")</f>
        <v/>
      </c>
      <c r="G54" s="69">
        <f>COUNTIFS('Runs GMM'!D10:D429,"NG",'Runs GMM'!T10:T429,"NG")</f>
        <v/>
      </c>
      <c r="H54" s="69">
        <f>COUNTIFS('Runs GMM'!D10:D429,"OK",'Runs GMM'!T10:T429,"OK")</f>
        <v/>
      </c>
    </row>
    <row r="57">
      <c r="A57" s="170" t="inlineStr">
        <is>
          <t>L1 ACCURACY POR RECETA</t>
        </is>
      </c>
    </row>
    <row r="58" ht="24" customHeight="1" s="180">
      <c r="A58" s="95" t="inlineStr">
        <is>
          <t>Método</t>
        </is>
      </c>
      <c r="B58" s="95" t="inlineStr">
        <is>
          <t>R3</t>
        </is>
      </c>
      <c r="C58" s="95" t="inlineStr">
        <is>
          <t>R4</t>
        </is>
      </c>
      <c r="D58" s="95" t="inlineStr">
        <is>
          <t>R6</t>
        </is>
      </c>
      <c r="E58" s="95" t="inlineStr">
        <is>
          <t>Global</t>
        </is>
      </c>
    </row>
    <row r="59">
      <c r="A59" s="96" t="inlineStr">
        <is>
          <t>Runs 1.0 (k=3 absoluto)</t>
        </is>
      </c>
      <c r="B59" s="97">
        <f>IFERROR(AVERAGEIFS('Runs 1.0 20262904'!O3:O422,'Runs 1.0 20262904'!C3:C422,"R3"),0)</f>
        <v/>
      </c>
      <c r="C59" s="97">
        <f>IFERROR(AVERAGEIFS('Runs 1.0 20262904'!O3:O422,'Runs 1.0 20262904'!C3:C422,"R4"),0)</f>
        <v/>
      </c>
      <c r="D59" s="97">
        <f>IFERROR(AVERAGEIFS('Runs 1.0 20262904'!O3:O422,'Runs 1.0 20262904'!C3:C422,"R6"),0)</f>
        <v/>
      </c>
      <c r="E59" s="97">
        <f>IFERROR(AVERAGE('Runs 1.0 20262904'!O3:O422),0)</f>
        <v/>
      </c>
    </row>
    <row r="60">
      <c r="A60" s="96" t="inlineStr">
        <is>
          <t>Runs 1.0 + 3.5σ</t>
        </is>
      </c>
      <c r="B60" s="97">
        <f>IFERROR(AVERAGEIFS('Runs 1.0 + 3.5 sigma'!O3:O422,'Runs 1.0 + 3.5 sigma'!C3:C422,"R3"),0)</f>
        <v/>
      </c>
      <c r="C60" s="97">
        <f>IFERROR(AVERAGEIFS('Runs 1.0 + 3.5 sigma'!O3:O422,'Runs 1.0 + 3.5 sigma'!C3:C422,"R4"),0)</f>
        <v/>
      </c>
      <c r="D60" s="97">
        <f>IFERROR(AVERAGEIFS('Runs 1.0 + 3.5 sigma'!O3:O422,'Runs 1.0 + 3.5 sigma'!C3:C422,"R6"),0)</f>
        <v/>
      </c>
      <c r="E60" s="97">
        <f>IFERROR(AVERAGE('Runs 1.0 + 3.5 sigma'!O3:O422),0)</f>
        <v/>
      </c>
    </row>
    <row r="61">
      <c r="A61" s="96" t="inlineStr">
        <is>
          <t>Runs 1.0 + 6σ</t>
        </is>
      </c>
      <c r="B61" s="97">
        <f>IFERROR(AVERAGEIFS('Runs 1.0 + 6 sigma'!O3:O422,'Runs 1.0 + 6 sigma'!C3:C422,"R3"),0)</f>
        <v/>
      </c>
      <c r="C61" s="97">
        <f>IFERROR(AVERAGEIFS('Runs 1.0 + 6 sigma'!O3:O422,'Runs 1.0 + 6 sigma'!C3:C422,"R4"),0)</f>
        <v/>
      </c>
      <c r="D61" s="97">
        <f>IFERROR(AVERAGEIFS('Runs 1.0 + 6 sigma'!O3:O422,'Runs 1.0 + 6 sigma'!C3:C422,"R6"),0)</f>
        <v/>
      </c>
      <c r="E61" s="97">
        <f>IFERROR(AVERAGE('Runs 1.0 + 6 sigma'!O3:O422),0)</f>
        <v/>
      </c>
    </row>
    <row r="62">
      <c r="A62" s="96" t="inlineStr">
        <is>
          <t>Runs Z score (k=3, σ-norm)</t>
        </is>
      </c>
      <c r="B62" s="97">
        <f>IFERROR(AVERAGEIFS('Runs Z score'!O3:O422,'Runs Z score'!C3:C422,"R3"),0)</f>
        <v/>
      </c>
      <c r="C62" s="97">
        <f>IFERROR(AVERAGEIFS('Runs Z score'!O3:O422,'Runs Z score'!C3:C422,"R4"),0)</f>
        <v/>
      </c>
      <c r="D62" s="97">
        <f>IFERROR(AVERAGEIFS('Runs Z score'!O3:O422,'Runs Z score'!C3:C422,"R6"),0)</f>
        <v/>
      </c>
      <c r="E62" s="97">
        <f>IFERROR(AVERAGE('Runs Z score'!O3:O422),0)</f>
        <v/>
      </c>
    </row>
    <row r="63">
      <c r="A63" s="96" t="inlineStr">
        <is>
          <t>Runs Z score + 6σ</t>
        </is>
      </c>
      <c r="B63" s="97">
        <f>IFERROR(AVERAGEIFS('Runs Z score + 6 sigma'!O3:O422,'Runs Z score + 6 sigma'!C3:C422,"R3"),0)</f>
        <v/>
      </c>
      <c r="C63" s="97">
        <f>IFERROR(AVERAGEIFS('Runs Z score + 6 sigma'!O3:O422,'Runs Z score + 6 sigma'!C3:C422,"R4"),0)</f>
        <v/>
      </c>
      <c r="D63" s="97">
        <f>IFERROR(AVERAGEIFS('Runs Z score + 6 sigma'!O3:O422,'Runs Z score + 6 sigma'!C3:C422,"R6"),0)</f>
        <v/>
      </c>
      <c r="E63" s="97">
        <f>IFERROR(AVERAGE('Runs Z score + 6 sigma'!O3:O422),0)</f>
        <v/>
      </c>
    </row>
    <row r="64">
      <c r="A64" s="96" t="inlineStr">
        <is>
          <t>Runs 1.1</t>
        </is>
      </c>
      <c r="B64" s="97">
        <f>IFERROR(AVERAGEIFS('Runs 1.1'!O3:O173,'Runs 1.1'!C3:C173,"R3"),0)</f>
        <v/>
      </c>
      <c r="C64" s="97">
        <f>IFERROR(AVERAGEIFS('Runs 1.1'!O3:O173,'Runs 1.1'!C3:C173,"R4"),0)</f>
        <v/>
      </c>
      <c r="D64" s="97">
        <f>IFERROR(AVERAGEIFS('Runs 1.1'!O3:O173,'Runs 1.1'!C3:C173,"R6"),0)</f>
        <v/>
      </c>
      <c r="E64" s="97">
        <f>IFERROR(AVERAGE('Runs 1.1'!O3:O173),0)</f>
        <v/>
      </c>
    </row>
    <row r="65">
      <c r="A65" s="96" t="inlineStr">
        <is>
          <t>Runs Mahalanobis</t>
        </is>
      </c>
      <c r="B65" s="97">
        <f>IFERROR(AVERAGEIFS('Runs Mahalanobis'!N15:N434,'Runs Mahalanobis'!C15:C434,"R3"),0)</f>
        <v/>
      </c>
      <c r="C65" s="97">
        <f>IFERROR(AVERAGEIFS('Runs Mahalanobis'!N15:N434,'Runs Mahalanobis'!C15:C434,"R4"),0)</f>
        <v/>
      </c>
      <c r="D65" s="97">
        <f>IFERROR(AVERAGEIFS('Runs Mahalanobis'!N15:N434,'Runs Mahalanobis'!C15:C434,"R6"),0)</f>
        <v/>
      </c>
      <c r="E65" s="97">
        <f>IFERROR(AVERAGE('Runs Mahalanobis'!N15:N434),0)</f>
        <v/>
      </c>
    </row>
    <row r="66">
      <c r="A66" s="96" t="inlineStr">
        <is>
          <t>Runs GMM</t>
        </is>
      </c>
      <c r="B66" s="97">
        <f>IFERROR(AVERAGEIFS('Runs GMM'!U10:U429,'Runs GMM'!C10:C429,"R3"),0)</f>
        <v/>
      </c>
      <c r="C66" s="97">
        <f>IFERROR(AVERAGEIFS('Runs GMM'!U10:U429,'Runs GMM'!C10:C429,"R4"),0)</f>
        <v/>
      </c>
      <c r="D66" s="97">
        <f>IFERROR(AVERAGEIFS('Runs GMM'!U10:U429,'Runs GMM'!C10:C429,"R6"),0)</f>
        <v/>
      </c>
      <c r="E66" s="97">
        <f>IFERROR(AVERAGE('Runs GMM'!U10:U429),0)</f>
        <v/>
      </c>
    </row>
    <row r="69">
      <c r="A69" s="170" t="inlineStr">
        <is>
          <t>L2 ACCURACY POR RECETA (solo casos NG)</t>
        </is>
      </c>
    </row>
    <row r="70" ht="24" customHeight="1" s="180">
      <c r="A70" s="95" t="inlineStr">
        <is>
          <t>Método</t>
        </is>
      </c>
      <c r="B70" s="95" t="inlineStr">
        <is>
          <t>R3</t>
        </is>
      </c>
      <c r="C70" s="95" t="inlineStr">
        <is>
          <t>R4</t>
        </is>
      </c>
      <c r="D70" s="95" t="inlineStr">
        <is>
          <t>R6</t>
        </is>
      </c>
      <c r="E70" s="95" t="inlineStr">
        <is>
          <t>Global</t>
        </is>
      </c>
    </row>
    <row r="71">
      <c r="A71" s="96" t="inlineStr">
        <is>
          <t>Runs 1.0 (k=3 absoluto)</t>
        </is>
      </c>
      <c r="B71" s="97">
        <f>IFERROR(AVERAGEIFS('Runs 1.0 20262904'!X3:X422,'Runs 1.0 20262904'!C3:C422,"R3",'Runs 1.0 20262904'!D3:D422,"NG"),0)</f>
        <v/>
      </c>
      <c r="C71" s="97">
        <f>IFERROR(AVERAGEIFS('Runs 1.0 20262904'!X3:X422,'Runs 1.0 20262904'!C3:C422,"R4",'Runs 1.0 20262904'!D3:D422,"NG"),0)</f>
        <v/>
      </c>
      <c r="D71" s="97">
        <f>IFERROR(AVERAGEIFS('Runs 1.0 20262904'!X3:X422,'Runs 1.0 20262904'!C3:C422,"R6",'Runs 1.0 20262904'!D3:D422,"NG"),0)</f>
        <v/>
      </c>
      <c r="E71" s="97">
        <f>IFERROR(AVERAGEIFS('Runs 1.0 20262904'!X3:X422,'Runs 1.0 20262904'!D3:D422,"NG"),0)</f>
        <v/>
      </c>
    </row>
    <row r="72">
      <c r="A72" s="96" t="inlineStr">
        <is>
          <t>Runs 1.0 + 3.5σ</t>
        </is>
      </c>
      <c r="B72" s="97">
        <f>IFERROR(AVERAGEIFS('Runs 1.0 + 3.5 sigma'!X3:X422,'Runs 1.0 + 3.5 sigma'!C3:C422,"R3",'Runs 1.0 + 3.5 sigma'!D3:D422,"NG"),0)</f>
        <v/>
      </c>
      <c r="C72" s="97">
        <f>IFERROR(AVERAGEIFS('Runs 1.0 + 3.5 sigma'!X3:X422,'Runs 1.0 + 3.5 sigma'!C3:C422,"R4",'Runs 1.0 + 3.5 sigma'!D3:D422,"NG"),0)</f>
        <v/>
      </c>
      <c r="D72" s="97">
        <f>IFERROR(AVERAGEIFS('Runs 1.0 + 3.5 sigma'!X3:X422,'Runs 1.0 + 3.5 sigma'!C3:C422,"R6",'Runs 1.0 + 3.5 sigma'!D3:D422,"NG"),0)</f>
        <v/>
      </c>
      <c r="E72" s="97">
        <f>IFERROR(AVERAGEIFS('Runs 1.0 + 3.5 sigma'!X3:X422,'Runs 1.0 + 3.5 sigma'!D3:D422,"NG"),0)</f>
        <v/>
      </c>
    </row>
    <row r="73">
      <c r="A73" s="96" t="inlineStr">
        <is>
          <t>Runs 1.0 + 6σ</t>
        </is>
      </c>
      <c r="B73" s="97">
        <f>IFERROR(AVERAGEIFS('Runs 1.0 + 6 sigma'!X3:X422,'Runs 1.0 + 6 sigma'!C3:C422,"R3",'Runs 1.0 + 6 sigma'!D3:D422,"NG"),0)</f>
        <v/>
      </c>
      <c r="C73" s="97">
        <f>IFERROR(AVERAGEIFS('Runs 1.0 + 6 sigma'!X3:X422,'Runs 1.0 + 6 sigma'!C3:C422,"R4",'Runs 1.0 + 6 sigma'!D3:D422,"NG"),0)</f>
        <v/>
      </c>
      <c r="D73" s="97">
        <f>IFERROR(AVERAGEIFS('Runs 1.0 + 6 sigma'!X3:X422,'Runs 1.0 + 6 sigma'!C3:C422,"R6",'Runs 1.0 + 6 sigma'!D3:D422,"NG"),0)</f>
        <v/>
      </c>
      <c r="E73" s="97">
        <f>IFERROR(AVERAGEIFS('Runs 1.0 + 6 sigma'!X3:X422,'Runs 1.0 + 6 sigma'!D3:D422,"NG"),0)</f>
        <v/>
      </c>
    </row>
    <row r="74">
      <c r="A74" s="96" t="inlineStr">
        <is>
          <t>Runs Z score (k=3, σ-norm)</t>
        </is>
      </c>
      <c r="B74" s="97">
        <f>IFERROR(AVERAGEIFS('Runs Z score'!X3:X422,'Runs Z score'!C3:C422,"R3",'Runs Z score'!D3:D422,"NG"),0)</f>
        <v/>
      </c>
      <c r="C74" s="97">
        <f>IFERROR(AVERAGEIFS('Runs Z score'!X3:X422,'Runs Z score'!C3:C422,"R4",'Runs Z score'!D3:D422,"NG"),0)</f>
        <v/>
      </c>
      <c r="D74" s="97">
        <f>IFERROR(AVERAGEIFS('Runs Z score'!X3:X422,'Runs Z score'!C3:C422,"R6",'Runs Z score'!D3:D422,"NG"),0)</f>
        <v/>
      </c>
      <c r="E74" s="97">
        <f>IFERROR(AVERAGEIFS('Runs Z score'!X3:X422,'Runs Z score'!D3:D422,"NG"),0)</f>
        <v/>
      </c>
    </row>
    <row r="75">
      <c r="A75" s="96" t="inlineStr">
        <is>
          <t>Runs Z score + 6σ</t>
        </is>
      </c>
      <c r="B75" s="97">
        <f>IFERROR(AVERAGEIFS('Runs Z score + 6 sigma'!X3:X422,'Runs Z score + 6 sigma'!C3:C422,"R3",'Runs Z score + 6 sigma'!D3:D422,"NG"),0)</f>
        <v/>
      </c>
      <c r="C75" s="97">
        <f>IFERROR(AVERAGEIFS('Runs Z score + 6 sigma'!X3:X422,'Runs Z score + 6 sigma'!C3:C422,"R4",'Runs Z score + 6 sigma'!D3:D422,"NG"),0)</f>
        <v/>
      </c>
      <c r="D75" s="97">
        <f>IFERROR(AVERAGEIFS('Runs Z score + 6 sigma'!X3:X422,'Runs Z score + 6 sigma'!C3:C422,"R6",'Runs Z score + 6 sigma'!D3:D422,"NG"),0)</f>
        <v/>
      </c>
      <c r="E75" s="97">
        <f>IFERROR(AVERAGEIFS('Runs Z score + 6 sigma'!X3:X422,'Runs Z score + 6 sigma'!D3:D422,"NG"),0)</f>
        <v/>
      </c>
    </row>
    <row r="76">
      <c r="A76" s="96" t="inlineStr">
        <is>
          <t>Runs 1.1</t>
        </is>
      </c>
      <c r="B76" s="97">
        <f>IFERROR(AVERAGEIFS('Runs 1.1'!X3:X173,'Runs 1.1'!C3:C173,"R3",'Runs 1.1'!D3:D173,"NG"),0)</f>
        <v/>
      </c>
      <c r="C76" s="97">
        <f>IFERROR(AVERAGEIFS('Runs 1.1'!X3:X173,'Runs 1.1'!C3:C173,"R4",'Runs 1.1'!D3:D173,"NG"),0)</f>
        <v/>
      </c>
      <c r="D76" s="97">
        <f>IFERROR(AVERAGEIFS('Runs 1.1'!X3:X173,'Runs 1.1'!C3:C173,"R6",'Runs 1.1'!D3:D173,"NG"),0)</f>
        <v/>
      </c>
      <c r="E76" s="97">
        <f>IFERROR(AVERAGEIFS('Runs 1.1'!X3:X173,'Runs 1.1'!D3:D173,"NG"),0)</f>
        <v/>
      </c>
    </row>
    <row r="77">
      <c r="A77" s="96" t="inlineStr">
        <is>
          <t>Runs Mahalanobis</t>
        </is>
      </c>
      <c r="B77" s="97">
        <f>IFERROR(AVERAGEIFS('Runs Mahalanobis'!W15:W434,'Runs Mahalanobis'!C15:C434,"R3",'Runs Mahalanobis'!D15:D434,"NG"),0)</f>
        <v/>
      </c>
      <c r="C77" s="97">
        <f>IFERROR(AVERAGEIFS('Runs Mahalanobis'!W15:W434,'Runs Mahalanobis'!C15:C434,"R4",'Runs Mahalanobis'!D15:D434,"NG"),0)</f>
        <v/>
      </c>
      <c r="D77" s="97">
        <f>IFERROR(AVERAGEIFS('Runs Mahalanobis'!W15:W434,'Runs Mahalanobis'!C15:C434,"R6",'Runs Mahalanobis'!D15:D434,"NG"),0)</f>
        <v/>
      </c>
      <c r="E77" s="97">
        <f>IFERROR(AVERAGEIFS('Runs Mahalanobis'!W15:W434,'Runs Mahalanobis'!D15:D434,"NG"),0)</f>
        <v/>
      </c>
    </row>
    <row r="78">
      <c r="A78" s="96" t="inlineStr">
        <is>
          <t>Runs GMM</t>
        </is>
      </c>
      <c r="B78" s="97">
        <f>IFERROR(AVERAGEIFS('Runs GMM'!W10:W429,'Runs GMM'!C10:C429,"R3",'Runs GMM'!D10:D429,"NG"),0)</f>
        <v/>
      </c>
      <c r="C78" s="97">
        <f>IFERROR(AVERAGEIFS('Runs GMM'!W10:W429,'Runs GMM'!C10:C429,"R4",'Runs GMM'!D10:D429,"NG"),0)</f>
        <v/>
      </c>
      <c r="D78" s="97">
        <f>IFERROR(AVERAGEIFS('Runs GMM'!W10:W429,'Runs GMM'!C10:C429,"R6",'Runs GMM'!D10:D429,"NG"),0)</f>
        <v/>
      </c>
      <c r="E78" s="97">
        <f>IFERROR(AVERAGEIFS('Runs GMM'!W10:W429,'Runs GMM'!D10:D429,"NG"),0)</f>
        <v/>
      </c>
    </row>
    <row r="81">
      <c r="A81" s="170" t="inlineStr">
        <is>
          <t>IDENTIFICACIÓN POR COMPONENTE FALTANTE (% de aciertos por método)</t>
        </is>
      </c>
    </row>
    <row r="82" ht="24" customHeight="1" s="180">
      <c r="A82" s="95" t="inlineStr">
        <is>
          <t>Método</t>
        </is>
      </c>
      <c r="B82" s="95" t="inlineStr">
        <is>
          <t>S1</t>
        </is>
      </c>
      <c r="C82" s="95" t="inlineStr">
        <is>
          <t>S2</t>
        </is>
      </c>
      <c r="D82" s="95" t="inlineStr">
        <is>
          <t>W1</t>
        </is>
      </c>
      <c r="E82" s="95" t="inlineStr">
        <is>
          <t>W2</t>
        </is>
      </c>
      <c r="F82" s="95" t="inlineStr">
        <is>
          <t>N1</t>
        </is>
      </c>
      <c r="G82" s="95" t="inlineStr">
        <is>
          <t>N2</t>
        </is>
      </c>
    </row>
    <row r="83">
      <c r="A83" s="96" t="inlineStr">
        <is>
          <t>Runs 1.0 (k=3 absoluto)</t>
        </is>
      </c>
      <c r="B83" s="97">
        <f>IFERROR(AVERAGEIFS('Runs 1.0 20262904'!X3:X422,'Runs 1.0 20262904'!E3:E422,"S1"),0)</f>
        <v/>
      </c>
      <c r="C83" s="97">
        <f>IFERROR(AVERAGEIFS('Runs 1.0 20262904'!X3:X422,'Runs 1.0 20262904'!E3:E422,"S2"),0)</f>
        <v/>
      </c>
      <c r="D83" s="97">
        <f>IFERROR(AVERAGEIFS('Runs 1.0 20262904'!X3:X422,'Runs 1.0 20262904'!E3:E422,"W1"),0)</f>
        <v/>
      </c>
      <c r="E83" s="97">
        <f>IFERROR(AVERAGEIFS('Runs 1.0 20262904'!X3:X422,'Runs 1.0 20262904'!E3:E422,"W2"),0)</f>
        <v/>
      </c>
      <c r="F83" s="97">
        <f>IFERROR(AVERAGEIFS('Runs 1.0 20262904'!X3:X422,'Runs 1.0 20262904'!E3:E422,"N1"),0)</f>
        <v/>
      </c>
      <c r="G83" s="97">
        <f>IFERROR(AVERAGEIFS('Runs 1.0 20262904'!X3:X422,'Runs 1.0 20262904'!E3:E422,"N2"),0)</f>
        <v/>
      </c>
    </row>
    <row r="84">
      <c r="A84" s="96" t="inlineStr">
        <is>
          <t>Runs 1.0 + 3.5σ</t>
        </is>
      </c>
      <c r="B84" s="97">
        <f>IFERROR(AVERAGEIFS('Runs 1.0 + 3.5 sigma'!X3:X422,'Runs 1.0 + 3.5 sigma'!E3:E422,"S1"),0)</f>
        <v/>
      </c>
      <c r="C84" s="97">
        <f>IFERROR(AVERAGEIFS('Runs 1.0 + 3.5 sigma'!X3:X422,'Runs 1.0 + 3.5 sigma'!E3:E422,"S2"),0)</f>
        <v/>
      </c>
      <c r="D84" s="97">
        <f>IFERROR(AVERAGEIFS('Runs 1.0 + 3.5 sigma'!X3:X422,'Runs 1.0 + 3.5 sigma'!E3:E422,"W1"),0)</f>
        <v/>
      </c>
      <c r="E84" s="97">
        <f>IFERROR(AVERAGEIFS('Runs 1.0 + 3.5 sigma'!X3:X422,'Runs 1.0 + 3.5 sigma'!E3:E422,"W2"),0)</f>
        <v/>
      </c>
      <c r="F84" s="97">
        <f>IFERROR(AVERAGEIFS('Runs 1.0 + 3.5 sigma'!X3:X422,'Runs 1.0 + 3.5 sigma'!E3:E422,"N1"),0)</f>
        <v/>
      </c>
      <c r="G84" s="97">
        <f>IFERROR(AVERAGEIFS('Runs 1.0 + 3.5 sigma'!X3:X422,'Runs 1.0 + 3.5 sigma'!E3:E422,"N2"),0)</f>
        <v/>
      </c>
    </row>
    <row r="85">
      <c r="A85" s="96" t="inlineStr">
        <is>
          <t>Runs 1.0 + 6σ</t>
        </is>
      </c>
      <c r="B85" s="97">
        <f>IFERROR(AVERAGEIFS('Runs 1.0 + 6 sigma'!X3:X422,'Runs 1.0 + 6 sigma'!E3:E422,"S1"),0)</f>
        <v/>
      </c>
      <c r="C85" s="97">
        <f>IFERROR(AVERAGEIFS('Runs 1.0 + 6 sigma'!X3:X422,'Runs 1.0 + 6 sigma'!E3:E422,"S2"),0)</f>
        <v/>
      </c>
      <c r="D85" s="97">
        <f>IFERROR(AVERAGEIFS('Runs 1.0 + 6 sigma'!X3:X422,'Runs 1.0 + 6 sigma'!E3:E422,"W1"),0)</f>
        <v/>
      </c>
      <c r="E85" s="97">
        <f>IFERROR(AVERAGEIFS('Runs 1.0 + 6 sigma'!X3:X422,'Runs 1.0 + 6 sigma'!E3:E422,"W2"),0)</f>
        <v/>
      </c>
      <c r="F85" s="97">
        <f>IFERROR(AVERAGEIFS('Runs 1.0 + 6 sigma'!X3:X422,'Runs 1.0 + 6 sigma'!E3:E422,"N1"),0)</f>
        <v/>
      </c>
      <c r="G85" s="97">
        <f>IFERROR(AVERAGEIFS('Runs 1.0 + 6 sigma'!X3:X422,'Runs 1.0 + 6 sigma'!E3:E422,"N2"),0)</f>
        <v/>
      </c>
    </row>
    <row r="86">
      <c r="A86" s="96" t="inlineStr">
        <is>
          <t>Runs Z score (k=3, σ-norm)</t>
        </is>
      </c>
      <c r="B86" s="97">
        <f>IFERROR(AVERAGEIFS('Runs Z score'!X3:X422,'Runs Z score'!E3:E422,"S1"),0)</f>
        <v/>
      </c>
      <c r="C86" s="97">
        <f>IFERROR(AVERAGEIFS('Runs Z score'!X3:X422,'Runs Z score'!E3:E422,"S2"),0)</f>
        <v/>
      </c>
      <c r="D86" s="97">
        <f>IFERROR(AVERAGEIFS('Runs Z score'!X3:X422,'Runs Z score'!E3:E422,"W1"),0)</f>
        <v/>
      </c>
      <c r="E86" s="97">
        <f>IFERROR(AVERAGEIFS('Runs Z score'!X3:X422,'Runs Z score'!E3:E422,"W2"),0)</f>
        <v/>
      </c>
      <c r="F86" s="97">
        <f>IFERROR(AVERAGEIFS('Runs Z score'!X3:X422,'Runs Z score'!E3:E422,"N1"),0)</f>
        <v/>
      </c>
      <c r="G86" s="97">
        <f>IFERROR(AVERAGEIFS('Runs Z score'!X3:X422,'Runs Z score'!E3:E422,"N2"),0)</f>
        <v/>
      </c>
    </row>
    <row r="87">
      <c r="A87" s="96" t="inlineStr">
        <is>
          <t>Runs Z score + 6σ</t>
        </is>
      </c>
      <c r="B87" s="97">
        <f>IFERROR(AVERAGEIFS('Runs Z score + 6 sigma'!X3:X422,'Runs Z score + 6 sigma'!E3:E422,"S1"),0)</f>
        <v/>
      </c>
      <c r="C87" s="97">
        <f>IFERROR(AVERAGEIFS('Runs Z score + 6 sigma'!X3:X422,'Runs Z score + 6 sigma'!E3:E422,"S2"),0)</f>
        <v/>
      </c>
      <c r="D87" s="97">
        <f>IFERROR(AVERAGEIFS('Runs Z score + 6 sigma'!X3:X422,'Runs Z score + 6 sigma'!E3:E422,"W1"),0)</f>
        <v/>
      </c>
      <c r="E87" s="97">
        <f>IFERROR(AVERAGEIFS('Runs Z score + 6 sigma'!X3:X422,'Runs Z score + 6 sigma'!E3:E422,"W2"),0)</f>
        <v/>
      </c>
      <c r="F87" s="97">
        <f>IFERROR(AVERAGEIFS('Runs Z score + 6 sigma'!X3:X422,'Runs Z score + 6 sigma'!E3:E422,"N1"),0)</f>
        <v/>
      </c>
      <c r="G87" s="97">
        <f>IFERROR(AVERAGEIFS('Runs Z score + 6 sigma'!X3:X422,'Runs Z score + 6 sigma'!E3:E422,"N2"),0)</f>
        <v/>
      </c>
    </row>
    <row r="88">
      <c r="A88" s="96" t="inlineStr">
        <is>
          <t>Runs 1.1</t>
        </is>
      </c>
      <c r="B88" s="97">
        <f>IFERROR(AVERAGEIFS('Runs 1.1'!X3:X173,'Runs 1.1'!E3:E173,"S1"),0)</f>
        <v/>
      </c>
      <c r="C88" s="97">
        <f>IFERROR(AVERAGEIFS('Runs 1.1'!X3:X173,'Runs 1.1'!E3:E173,"S2"),0)</f>
        <v/>
      </c>
      <c r="D88" s="97">
        <f>IFERROR(AVERAGEIFS('Runs 1.1'!X3:X173,'Runs 1.1'!E3:E173,"W1"),0)</f>
        <v/>
      </c>
      <c r="E88" s="97">
        <f>IFERROR(AVERAGEIFS('Runs 1.1'!X3:X173,'Runs 1.1'!E3:E173,"W2"),0)</f>
        <v/>
      </c>
      <c r="F88" s="97">
        <f>IFERROR(AVERAGEIFS('Runs 1.1'!X3:X173,'Runs 1.1'!E3:E173,"N1"),0)</f>
        <v/>
      </c>
      <c r="G88" s="97">
        <f>IFERROR(AVERAGEIFS('Runs 1.1'!X3:X173,'Runs 1.1'!E3:E173,"N2"),0)</f>
        <v/>
      </c>
    </row>
    <row r="89">
      <c r="A89" s="96" t="inlineStr">
        <is>
          <t>Runs Mahalanobis</t>
        </is>
      </c>
      <c r="B89" s="97">
        <f>IFERROR(AVERAGEIFS('Runs Mahalanobis'!W15:W434,'Runs Mahalanobis'!E15:E434,"S1"),0)</f>
        <v/>
      </c>
      <c r="C89" s="97">
        <f>IFERROR(AVERAGEIFS('Runs Mahalanobis'!W15:W434,'Runs Mahalanobis'!E15:E434,"S2"),0)</f>
        <v/>
      </c>
      <c r="D89" s="97">
        <f>IFERROR(AVERAGEIFS('Runs Mahalanobis'!W15:W434,'Runs Mahalanobis'!E15:E434,"W1"),0)</f>
        <v/>
      </c>
      <c r="E89" s="97">
        <f>IFERROR(AVERAGEIFS('Runs Mahalanobis'!W15:W434,'Runs Mahalanobis'!E15:E434,"W2"),0)</f>
        <v/>
      </c>
      <c r="F89" s="97">
        <f>IFERROR(AVERAGEIFS('Runs Mahalanobis'!W15:W434,'Runs Mahalanobis'!E15:E434,"N1"),0)</f>
        <v/>
      </c>
      <c r="G89" s="97">
        <f>IFERROR(AVERAGEIFS('Runs Mahalanobis'!W15:W434,'Runs Mahalanobis'!E15:E434,"N2"),0)</f>
        <v/>
      </c>
    </row>
    <row r="90">
      <c r="A90" s="96" t="inlineStr">
        <is>
          <t>Runs GMM</t>
        </is>
      </c>
      <c r="B90" s="97">
        <f>IFERROR(AVERAGEIFS('Runs GMM'!W10:W429,'Runs GMM'!E10:E429,"S1"),0)</f>
        <v/>
      </c>
      <c r="C90" s="97">
        <f>IFERROR(AVERAGEIFS('Runs GMM'!W10:W429,'Runs GMM'!E10:E429,"S2"),0)</f>
        <v/>
      </c>
      <c r="D90" s="97">
        <f>IFERROR(AVERAGEIFS('Runs GMM'!W10:W429,'Runs GMM'!E10:E429,"W1"),0)</f>
        <v/>
      </c>
      <c r="E90" s="97">
        <f>IFERROR(AVERAGEIFS('Runs GMM'!W10:W429,'Runs GMM'!E10:E429,"W2"),0)</f>
        <v/>
      </c>
      <c r="F90" s="97">
        <f>IFERROR(AVERAGEIFS('Runs GMM'!W10:W429,'Runs GMM'!E10:E429,"N1"),0)</f>
        <v/>
      </c>
      <c r="G90" s="97">
        <f>IFERROR(AVERAGEIFS('Runs GMM'!W10:W429,'Runs GMM'!E10:E429,"N2"),0)</f>
        <v/>
      </c>
    </row>
    <row r="93">
      <c r="A93" s="170" t="inlineStr">
        <is>
          <t>LECTURA EJECUTIVA</t>
        </is>
      </c>
    </row>
    <row r="94" ht="18" customHeight="1" s="180">
      <c r="A94" s="169" t="inlineStr">
        <is>
          <t>• L1 Accuracy mide qué tan bien cada método separa kits OK de kits NG. Con tus 420 kits, todos los métodos superan 99%.</t>
        </is>
      </c>
    </row>
    <row r="95" ht="18" customHeight="1" s="180">
      <c r="A95" s="169" t="inlineStr">
        <is>
          <t>• L2 Accuracy mide qué tan bien identifica la pieza faltante cuando el kit es NG. Aquí aparecen las diferencias entre métodos.</t>
        </is>
      </c>
    </row>
    <row r="96" ht="18" customHeight="1" s="180">
      <c r="A96" s="169" t="inlineStr">
        <is>
          <t>• Falsos Negativos (FN) = kits NG clasificados como OK. CERO en todos los métodos: ningún defecto se escapa al cliente.</t>
        </is>
      </c>
    </row>
    <row r="97" ht="18" customHeight="1" s="180">
      <c r="A97" s="169" t="inlineStr">
        <is>
          <t>• Falsos Positivos (FP) = kits OK clasificados como NG. Costo de reproceso, no de campo. k=6 minimiza FP; k=3 los maximiza.</t>
        </is>
      </c>
    </row>
    <row r="98" ht="18" customHeight="1" s="180">
      <c r="A98" s="169" t="inlineStr">
        <is>
          <t>• La columna W1/N1 en R6 es donde se concentran los errores documentados (gap 0.16g, D_eff 3.04).</t>
        </is>
      </c>
    </row>
    <row r="99" ht="18" customHeight="1" s="180">
      <c r="A99" s="169" t="inlineStr">
        <is>
          <t>• Mahalanobis (P=1) usa umbral F-Hotelling y corrección de sesgo. Con n=30 el efecto es marginal, escalará con más variables.</t>
        </is>
      </c>
    </row>
    <row r="100" ht="18" customHeight="1" s="180">
      <c r="A100" s="169" t="inlineStr">
        <is>
          <t>• GMM produce probabilidades y flag AMBIGUOUS automático para zonas dudosas. Útil para HMI: pide inspección manual sin reglas ad-hoc.</t>
        </is>
      </c>
    </row>
    <row r="101" ht="18" customHeight="1" s="180">
      <c r="A101" s="169" t="inlineStr">
        <is>
          <t>• Cero FN se mantiene en todos los métodos: confirma que el sistema es seguro hacia el cliente; lo que varía es eficiencia interna.</t>
        </is>
      </c>
    </row>
  </sheetData>
  <mergeCells count="28">
    <mergeCell ref="C8:F8"/>
    <mergeCell ref="C7:F7"/>
    <mergeCell ref="A98:H98"/>
    <mergeCell ref="A94:H94"/>
    <mergeCell ref="A81:G81"/>
    <mergeCell ref="A45:H45"/>
    <mergeCell ref="A3:F3"/>
    <mergeCell ref="A21:F21"/>
    <mergeCell ref="A69:E69"/>
    <mergeCell ref="A42:F42"/>
    <mergeCell ref="A14:F14"/>
    <mergeCell ref="A99:H99"/>
    <mergeCell ref="C6:F6"/>
    <mergeCell ref="C5:F5"/>
    <mergeCell ref="A43:F43"/>
    <mergeCell ref="A101:H101"/>
    <mergeCell ref="A57:E57"/>
    <mergeCell ref="A93:F93"/>
    <mergeCell ref="A95:H95"/>
    <mergeCell ref="C4:F4"/>
    <mergeCell ref="A31:F31"/>
    <mergeCell ref="C10:F10"/>
    <mergeCell ref="A97:H97"/>
    <mergeCell ref="C9:F9"/>
    <mergeCell ref="A100:H100"/>
    <mergeCell ref="A96:H96"/>
    <mergeCell ref="A1:F1"/>
    <mergeCell ref="C11:F11"/>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H71"/>
  <sheetViews>
    <sheetView workbookViewId="0">
      <pane ySplit="3" topLeftCell="A4" activePane="bottomLeft" state="frozen"/>
      <selection pane="bottomLeft" activeCell="A1" sqref="A1"/>
    </sheetView>
  </sheetViews>
  <sheetFormatPr baseColWidth="8" defaultRowHeight="15"/>
  <cols>
    <col width="28" customWidth="1" style="180" min="1" max="1"/>
    <col width="14" customWidth="1" style="180" min="2" max="2"/>
    <col width="14" customWidth="1" style="180" min="3" max="3"/>
    <col width="14" customWidth="1" style="180" min="4" max="4"/>
    <col width="14" customWidth="1" style="180" min="5" max="5"/>
    <col width="14" customWidth="1" style="180" min="6" max="6"/>
    <col width="14" customWidth="1" style="180" min="7" max="7"/>
    <col width="14" customWidth="1" style="180" min="8" max="8"/>
  </cols>
  <sheetData>
    <row r="1">
      <c r="A1" s="216" t="inlineStr">
        <is>
          <t>COMPARATIVA FINAL — 12 MÉTODOS</t>
        </is>
      </c>
    </row>
    <row r="2">
      <c r="A2" s="217" t="inlineStr">
        <is>
          <t>Estadísticos (azul): fórmulas analíticas. ML (morado): 5-fold Stratified CV, features derivadas, datos reales Excel.</t>
        </is>
      </c>
    </row>
    <row r="4">
      <c r="A4" s="206" t="inlineStr">
        <is>
          <t>1. MÉTRICAS GLOBALES</t>
        </is>
      </c>
    </row>
    <row r="5" ht="26" customHeight="1" s="180">
      <c r="A5" s="192" t="inlineStr">
        <is>
          <t>Método</t>
        </is>
      </c>
      <c r="B5" s="192" t="inlineStr">
        <is>
          <t>N</t>
        </is>
      </c>
      <c r="C5" s="192" t="inlineStr">
        <is>
          <t>L1 Accuracy</t>
        </is>
      </c>
      <c r="D5" s="192" t="inlineStr">
        <is>
          <t>L2 Accuracy</t>
        </is>
      </c>
      <c r="E5" s="192" t="inlineStr">
        <is>
          <t>FP</t>
        </is>
      </c>
      <c r="F5" s="192" t="inlineStr">
        <is>
          <t>FN</t>
        </is>
      </c>
      <c r="G5" s="192" t="inlineStr">
        <is>
          <t>TP</t>
        </is>
      </c>
      <c r="H5" s="192" t="inlineStr">
        <is>
          <t>TN</t>
        </is>
      </c>
    </row>
    <row r="6">
      <c r="A6" s="230" t="inlineStr">
        <is>
          <t>Runs 1.0 (k=3)</t>
        </is>
      </c>
      <c r="B6" s="231">
        <f>COUNTA('Runs 1.0 20262904'!G3:G422)</f>
        <v/>
      </c>
      <c r="C6" s="229">
        <f>IFERROR(AVERAGE('Runs 1.0 20262904'!O3:O422),0)</f>
        <v/>
      </c>
      <c r="D6" s="229">
        <f>IFERROR(AVERAGEIFS('Runs 1.0 20262904'!X3:X422,'Runs 1.0 20262904'!D3:D422,"NG"),0)</f>
        <v/>
      </c>
      <c r="E6" s="231">
        <f>COUNTIFS('Runs 1.0 20262904'!D3:D422,"OK",'Runs 1.0 20262904'!N3:N422,"NG")</f>
        <v/>
      </c>
      <c r="F6" s="231">
        <f>COUNTIFS('Runs 1.0 20262904'!D3:D422,"NG",'Runs 1.0 20262904'!N3:N422,"OK")</f>
        <v/>
      </c>
      <c r="G6" s="231">
        <f>COUNTIFS('Runs 1.0 20262904'!D3:D422,"NG",'Runs 1.0 20262904'!N3:N422,"NG")</f>
        <v/>
      </c>
      <c r="H6" s="231">
        <f>COUNTIFS('Runs 1.0 20262904'!D3:D422,"OK",'Runs 1.0 20262904'!N3:N422,"OK")</f>
        <v/>
      </c>
    </row>
    <row r="7">
      <c r="A7" s="230" t="inlineStr">
        <is>
          <t>Runs 1.0 + 3.5σ</t>
        </is>
      </c>
      <c r="B7" s="231">
        <f>COUNTA('Runs 1.0 + 3.5 sigma'!G3:G422)</f>
        <v/>
      </c>
      <c r="C7" s="229">
        <f>IFERROR(AVERAGE('Runs 1.0 + 3.5 sigma'!O3:O422),0)</f>
        <v/>
      </c>
      <c r="D7" s="229">
        <f>IFERROR(AVERAGEIFS('Runs 1.0 + 3.5 sigma'!X3:X422,'Runs 1.0 + 3.5 sigma'!D3:D422,"NG"),0)</f>
        <v/>
      </c>
      <c r="E7" s="231">
        <f>COUNTIFS('Runs 1.0 + 3.5 sigma'!D3:D422,"OK",'Runs 1.0 + 3.5 sigma'!N3:N422,"NG")</f>
        <v/>
      </c>
      <c r="F7" s="231">
        <f>COUNTIFS('Runs 1.0 + 3.5 sigma'!D3:D422,"NG",'Runs 1.0 + 3.5 sigma'!N3:N422,"OK")</f>
        <v/>
      </c>
      <c r="G7" s="231">
        <f>COUNTIFS('Runs 1.0 + 3.5 sigma'!D3:D422,"NG",'Runs 1.0 + 3.5 sigma'!N3:N422,"NG")</f>
        <v/>
      </c>
      <c r="H7" s="231">
        <f>COUNTIFS('Runs 1.0 + 3.5 sigma'!D3:D422,"OK",'Runs 1.0 + 3.5 sigma'!N3:N422,"OK")</f>
        <v/>
      </c>
    </row>
    <row r="8">
      <c r="A8" s="230" t="inlineStr">
        <is>
          <t>Runs 1.0 + 6σ</t>
        </is>
      </c>
      <c r="B8" s="231">
        <f>COUNTA('Runs 1.0 + 6 sigma'!G3:G422)</f>
        <v/>
      </c>
      <c r="C8" s="229">
        <f>IFERROR(AVERAGE('Runs 1.0 + 6 sigma'!O3:O422),0)</f>
        <v/>
      </c>
      <c r="D8" s="229">
        <f>IFERROR(AVERAGEIFS('Runs 1.0 + 6 sigma'!X3:X422,'Runs 1.0 + 6 sigma'!D3:D422,"NG"),0)</f>
        <v/>
      </c>
      <c r="E8" s="231">
        <f>COUNTIFS('Runs 1.0 + 6 sigma'!D3:D422,"OK",'Runs 1.0 + 6 sigma'!N3:N422,"NG")</f>
        <v/>
      </c>
      <c r="F8" s="231">
        <f>COUNTIFS('Runs 1.0 + 6 sigma'!D3:D422,"NG",'Runs 1.0 + 6 sigma'!N3:N422,"OK")</f>
        <v/>
      </c>
      <c r="G8" s="231">
        <f>COUNTIFS('Runs 1.0 + 6 sigma'!D3:D422,"NG",'Runs 1.0 + 6 sigma'!N3:N422,"NG")</f>
        <v/>
      </c>
      <c r="H8" s="231">
        <f>COUNTIFS('Runs 1.0 + 6 sigma'!D3:D422,"OK",'Runs 1.0 + 6 sigma'!N3:N422,"OK")</f>
        <v/>
      </c>
    </row>
    <row r="9">
      <c r="A9" s="230" t="inlineStr">
        <is>
          <t>Runs Z-score (k=3)</t>
        </is>
      </c>
      <c r="B9" s="231">
        <f>COUNTA('Runs Z score'!G3:G422)</f>
        <v/>
      </c>
      <c r="C9" s="229">
        <f>IFERROR(AVERAGE('Runs Z score'!O3:O422),0)</f>
        <v/>
      </c>
      <c r="D9" s="229">
        <f>IFERROR(AVERAGEIFS('Runs Z score'!X3:X422,'Runs Z score'!D3:D422,"NG"),0)</f>
        <v/>
      </c>
      <c r="E9" s="231">
        <f>COUNTIFS('Runs Z score'!D3:D422,"OK",'Runs Z score'!N3:N422,"NG")</f>
        <v/>
      </c>
      <c r="F9" s="231">
        <f>COUNTIFS('Runs Z score'!D3:D422,"NG",'Runs Z score'!N3:N422,"OK")</f>
        <v/>
      </c>
      <c r="G9" s="231">
        <f>COUNTIFS('Runs Z score'!D3:D422,"NG",'Runs Z score'!N3:N422,"NG")</f>
        <v/>
      </c>
      <c r="H9" s="231">
        <f>COUNTIFS('Runs Z score'!D3:D422,"OK",'Runs Z score'!N3:N422,"OK")</f>
        <v/>
      </c>
    </row>
    <row r="10">
      <c r="A10" s="230" t="inlineStr">
        <is>
          <t>Runs Z-score + 6σ</t>
        </is>
      </c>
      <c r="B10" s="231">
        <f>COUNTA('Runs Z score + 6 sigma'!G3:G422)</f>
        <v/>
      </c>
      <c r="C10" s="229">
        <f>IFERROR(AVERAGE('Runs Z score + 6 sigma'!O3:O422),0)</f>
        <v/>
      </c>
      <c r="D10" s="229">
        <f>IFERROR(AVERAGEIFS('Runs Z score + 6 sigma'!X3:X422,'Runs Z score + 6 sigma'!D3:D422,"NG"),0)</f>
        <v/>
      </c>
      <c r="E10" s="231">
        <f>COUNTIFS('Runs Z score + 6 sigma'!D3:D422,"OK",'Runs Z score + 6 sigma'!N3:N422,"NG")</f>
        <v/>
      </c>
      <c r="F10" s="231">
        <f>COUNTIFS('Runs Z score + 6 sigma'!D3:D422,"NG",'Runs Z score + 6 sigma'!N3:N422,"OK")</f>
        <v/>
      </c>
      <c r="G10" s="231">
        <f>COUNTIFS('Runs Z score + 6 sigma'!D3:D422,"NG",'Runs Z score + 6 sigma'!N3:N422,"NG")</f>
        <v/>
      </c>
      <c r="H10" s="231">
        <f>COUNTIFS('Runs Z score + 6 sigma'!D3:D422,"OK",'Runs Z score + 6 sigma'!N3:N422,"OK")</f>
        <v/>
      </c>
    </row>
    <row r="11">
      <c r="A11" s="230" t="inlineStr">
        <is>
          <t>Runs Mahalanobis</t>
        </is>
      </c>
      <c r="B11" s="231">
        <f>COUNTA('Runs Mahalanobis'!G15:G434)</f>
        <v/>
      </c>
      <c r="C11" s="229">
        <f>IFERROR(AVERAGE('Runs Mahalanobis'!N15:N434),0)</f>
        <v/>
      </c>
      <c r="D11" s="229">
        <f>IFERROR(AVERAGEIFS('Runs Mahalanobis'!W15:W434,'Runs Mahalanobis'!D15:D434,"NG"),0)</f>
        <v/>
      </c>
      <c r="E11" s="231">
        <f>COUNTIFS('Runs Mahalanobis'!D15:D434,"OK",'Runs Mahalanobis'!M15:M434,"NG")</f>
        <v/>
      </c>
      <c r="F11" s="231">
        <f>COUNTIFS('Runs Mahalanobis'!D15:D434,"NG",'Runs Mahalanobis'!M15:M434,"OK")</f>
        <v/>
      </c>
      <c r="G11" s="231">
        <f>COUNTIFS('Runs Mahalanobis'!D15:D434,"NG",'Runs Mahalanobis'!M15:M434,"NG")</f>
        <v/>
      </c>
      <c r="H11" s="231">
        <f>COUNTIFS('Runs Mahalanobis'!D15:D434,"OK",'Runs Mahalanobis'!M15:M434,"OK")</f>
        <v/>
      </c>
    </row>
    <row r="12">
      <c r="A12" s="230" t="inlineStr">
        <is>
          <t>Runs GMM</t>
        </is>
      </c>
      <c r="B12" s="231">
        <f>COUNTA('Runs GMM'!G10:G429)</f>
        <v/>
      </c>
      <c r="C12" s="229">
        <f>IFERROR(AVERAGE('Runs GMM'!U10:U429),0)</f>
        <v/>
      </c>
      <c r="D12" s="229">
        <f>IFERROR(AVERAGEIFS('Runs GMM'!W10:W429,'Runs GMM'!D10:D429,"NG"),0)</f>
        <v/>
      </c>
      <c r="E12" s="231">
        <f>COUNTIFS('Runs GMM'!D10:D429,"OK",'Runs GMM'!T10:T429,"NG")</f>
        <v/>
      </c>
      <c r="F12" s="231">
        <f>COUNTIFS('Runs GMM'!D10:D429,"NG",'Runs GMM'!T10:T429,"OK")</f>
        <v/>
      </c>
      <c r="G12" s="231">
        <f>COUNTIFS('Runs GMM'!D10:D429,"NG",'Runs GMM'!T10:T429,"NG")</f>
        <v/>
      </c>
      <c r="H12" s="231">
        <f>COUNTIFS('Runs GMM'!D10:D429,"OK",'Runs GMM'!T10:T429,"OK")</f>
        <v/>
      </c>
    </row>
    <row r="13">
      <c r="A13" s="230" t="inlineStr">
        <is>
          <t>Runs 1.0 + Bayes</t>
        </is>
      </c>
      <c r="B13" s="231">
        <f>COUNTA('Runs 1.0 + Bayes'!G10:G429)</f>
        <v/>
      </c>
      <c r="C13" s="229">
        <f>IFERROR(AVERAGE('Runs 1.0 + Bayes'!U10:U429),0)</f>
        <v/>
      </c>
      <c r="D13" s="229">
        <f>IFERROR(AVERAGEIFS('Runs 1.0 + Bayes'!W10:W429,'Runs 1.0 + Bayes'!D10:D429,"NG"),0)</f>
        <v/>
      </c>
      <c r="E13" s="231">
        <f>COUNTIFS('Runs 1.0 + Bayes'!D10:D429,"OK",'Runs 1.0 + Bayes'!T10:T429,"NG")</f>
        <v/>
      </c>
      <c r="F13" s="231">
        <f>COUNTIFS('Runs 1.0 + Bayes'!D10:D429,"NG",'Runs 1.0 + Bayes'!T10:T429,"OK")</f>
        <v/>
      </c>
      <c r="G13" s="231">
        <f>COUNTIFS('Runs 1.0 + Bayes'!D10:D429,"NG",'Runs 1.0 + Bayes'!T10:T429,"NG")</f>
        <v/>
      </c>
      <c r="H13" s="231">
        <f>COUNTIFS('Runs 1.0 + Bayes'!D10:D429,"OK",'Runs 1.0 + Bayes'!T10:T429,"OK")</f>
        <v/>
      </c>
    </row>
    <row r="14">
      <c r="A14" s="232" t="inlineStr">
        <is>
          <t>★ LDA</t>
        </is>
      </c>
      <c r="B14" s="227">
        <f>COUNTA('Runs LDA'!G11:G430)</f>
        <v/>
      </c>
      <c r="C14" s="233">
        <f>IFERROR(AVERAGE('Runs LDA'!L11:L430),0)</f>
        <v/>
      </c>
      <c r="D14" s="233">
        <f>IFERROR(AVERAGEIFS('Runs LDA'!P11:P430,'Runs LDA'!D11:D430,"NG"),0)</f>
        <v/>
      </c>
      <c r="E14" s="227">
        <f>COUNTIFS('Runs LDA'!D11:D430,"OK",'Runs LDA'!K11:K430,"NG")</f>
        <v/>
      </c>
      <c r="F14" s="227">
        <f>COUNTIFS('Runs LDA'!D11:D430,"NG",'Runs LDA'!K11:K430,"OK")</f>
        <v/>
      </c>
      <c r="G14" s="227">
        <f>COUNTIFS('Runs LDA'!D11:D430,"NG",'Runs LDA'!K11:K430,"NG")</f>
        <v/>
      </c>
      <c r="H14" s="227">
        <f>COUNTIFS('Runs LDA'!D11:D430,"OK",'Runs LDA'!K11:K430,"OK")</f>
        <v/>
      </c>
    </row>
    <row r="15">
      <c r="A15" s="232" t="inlineStr">
        <is>
          <t>★ QDA</t>
        </is>
      </c>
      <c r="B15" s="227">
        <f>COUNTA('Runs QDA'!G11:G430)</f>
        <v/>
      </c>
      <c r="C15" s="233">
        <f>IFERROR(AVERAGE('Runs QDA'!L11:L430),0)</f>
        <v/>
      </c>
      <c r="D15" s="233">
        <f>IFERROR(AVERAGEIFS('Runs QDA'!P11:P430,'Runs QDA'!D11:D430,"NG"),0)</f>
        <v/>
      </c>
      <c r="E15" s="227">
        <f>COUNTIFS('Runs QDA'!D11:D430,"OK",'Runs QDA'!K11:K430,"NG")</f>
        <v/>
      </c>
      <c r="F15" s="227">
        <f>COUNTIFS('Runs QDA'!D11:D430,"NG",'Runs QDA'!K11:K430,"OK")</f>
        <v/>
      </c>
      <c r="G15" s="227">
        <f>COUNTIFS('Runs QDA'!D11:D430,"NG",'Runs QDA'!K11:K430,"NG")</f>
        <v/>
      </c>
      <c r="H15" s="227">
        <f>COUNTIFS('Runs QDA'!D11:D430,"OK",'Runs QDA'!K11:K430,"OK")</f>
        <v/>
      </c>
    </row>
    <row r="16">
      <c r="A16" s="232" t="inlineStr">
        <is>
          <t>★ SVM (RBF)</t>
        </is>
      </c>
      <c r="B16" s="227">
        <f>COUNTA('Runs SVM'!G11:G430)</f>
        <v/>
      </c>
      <c r="C16" s="233">
        <f>IFERROR(AVERAGE('Runs SVM'!L11:L430),0)</f>
        <v/>
      </c>
      <c r="D16" s="233">
        <f>IFERROR(AVERAGEIFS('Runs SVM'!P11:P430,'Runs SVM'!D11:D430,"NG"),0)</f>
        <v/>
      </c>
      <c r="E16" s="227">
        <f>COUNTIFS('Runs SVM'!D11:D430,"OK",'Runs SVM'!K11:K430,"NG")</f>
        <v/>
      </c>
      <c r="F16" s="227">
        <f>COUNTIFS('Runs SVM'!D11:D430,"NG",'Runs SVM'!K11:K430,"OK")</f>
        <v/>
      </c>
      <c r="G16" s="227">
        <f>COUNTIFS('Runs SVM'!D11:D430,"NG",'Runs SVM'!K11:K430,"NG")</f>
        <v/>
      </c>
      <c r="H16" s="227">
        <f>COUNTIFS('Runs SVM'!D11:D430,"OK",'Runs SVM'!K11:K430,"OK")</f>
        <v/>
      </c>
    </row>
    <row r="17">
      <c r="A17" s="232" t="inlineStr">
        <is>
          <t>★ Random Forest</t>
        </is>
      </c>
      <c r="B17" s="227">
        <f>COUNTA('Runs Random Forest'!G11:G430)</f>
        <v/>
      </c>
      <c r="C17" s="233">
        <f>IFERROR(AVERAGE('Runs Random Forest'!L11:L430),0)</f>
        <v/>
      </c>
      <c r="D17" s="233">
        <f>IFERROR(AVERAGEIFS('Runs Random Forest'!P11:P430,'Runs Random Forest'!D11:D430,"NG"),0)</f>
        <v/>
      </c>
      <c r="E17" s="227">
        <f>COUNTIFS('Runs Random Forest'!D11:D430,"OK",'Runs Random Forest'!K11:K430,"NG")</f>
        <v/>
      </c>
      <c r="F17" s="227">
        <f>COUNTIFS('Runs Random Forest'!D11:D430,"NG",'Runs Random Forest'!K11:K430,"OK")</f>
        <v/>
      </c>
      <c r="G17" s="227">
        <f>COUNTIFS('Runs Random Forest'!D11:D430,"NG",'Runs Random Forest'!K11:K430,"NG")</f>
        <v/>
      </c>
      <c r="H17" s="227">
        <f>COUNTIFS('Runs Random Forest'!D11:D430,"OK",'Runs Random Forest'!K11:K430,"OK")</f>
        <v/>
      </c>
    </row>
    <row r="19">
      <c r="A19" s="206" t="inlineStr">
        <is>
          <t>2. L2 ACCURACY POR RECETA (solo NG) — MÉTRICA CLAVE</t>
        </is>
      </c>
    </row>
    <row r="20" ht="26" customHeight="1" s="180">
      <c r="A20" s="192" t="inlineStr">
        <is>
          <t>Método</t>
        </is>
      </c>
      <c r="B20" s="192" t="inlineStr">
        <is>
          <t>R3</t>
        </is>
      </c>
      <c r="C20" s="192" t="inlineStr">
        <is>
          <t>R4</t>
        </is>
      </c>
      <c r="D20" s="192" t="inlineStr">
        <is>
          <t>R6</t>
        </is>
      </c>
      <c r="E20" s="192" t="inlineStr">
        <is>
          <t>Global</t>
        </is>
      </c>
    </row>
    <row r="21">
      <c r="A21" s="230" t="inlineStr">
        <is>
          <t>Runs 1.0 (k=3)</t>
        </is>
      </c>
      <c r="B21" s="231">
        <f>IFERROR(AVERAGEIFS('Runs 1.0 20262904'!X3:X422,'Runs 1.0 20262904'!C3:C422,"R3",'Runs 1.0 20262904'!D3:D422,"NG"),0)</f>
        <v/>
      </c>
      <c r="C21" s="229">
        <f>IFERROR(AVERAGEIFS('Runs 1.0 20262904'!X3:X422,'Runs 1.0 20262904'!C3:C422,"R4",'Runs 1.0 20262904'!D3:D422,"NG"),0)</f>
        <v/>
      </c>
      <c r="D21" s="229">
        <f>IFERROR(AVERAGEIFS('Runs 1.0 20262904'!X3:X422,'Runs 1.0 20262904'!C3:C422,"R6",'Runs 1.0 20262904'!D3:D422,"NG"),0)</f>
        <v/>
      </c>
      <c r="E21" s="231">
        <f>IFERROR(AVERAGEIFS('Runs 1.0 20262904'!X3:X422,'Runs 1.0 20262904'!D3:D422,"NG"),0)</f>
        <v/>
      </c>
    </row>
    <row r="22">
      <c r="A22" s="230" t="inlineStr">
        <is>
          <t>Runs 1.0 + 3.5σ</t>
        </is>
      </c>
      <c r="B22" s="231">
        <f>IFERROR(AVERAGEIFS('Runs 1.0 + 3.5 sigma'!X3:X422,'Runs 1.0 + 3.5 sigma'!C3:C422,"R3",'Runs 1.0 + 3.5 sigma'!D3:D422,"NG"),0)</f>
        <v/>
      </c>
      <c r="C22" s="229">
        <f>IFERROR(AVERAGEIFS('Runs 1.0 + 3.5 sigma'!X3:X422,'Runs 1.0 + 3.5 sigma'!C3:C422,"R4",'Runs 1.0 + 3.5 sigma'!D3:D422,"NG"),0)</f>
        <v/>
      </c>
      <c r="D22" s="229">
        <f>IFERROR(AVERAGEIFS('Runs 1.0 + 3.5 sigma'!X3:X422,'Runs 1.0 + 3.5 sigma'!C3:C422,"R6",'Runs 1.0 + 3.5 sigma'!D3:D422,"NG"),0)</f>
        <v/>
      </c>
      <c r="E22" s="231">
        <f>IFERROR(AVERAGEIFS('Runs 1.0 + 3.5 sigma'!X3:X422,'Runs 1.0 + 3.5 sigma'!D3:D422,"NG"),0)</f>
        <v/>
      </c>
    </row>
    <row r="23">
      <c r="A23" s="230" t="inlineStr">
        <is>
          <t>Runs 1.0 + 6σ</t>
        </is>
      </c>
      <c r="B23" s="231">
        <f>IFERROR(AVERAGEIFS('Runs 1.0 + 6 sigma'!X3:X422,'Runs 1.0 + 6 sigma'!C3:C422,"R3",'Runs 1.0 + 6 sigma'!D3:D422,"NG"),0)</f>
        <v/>
      </c>
      <c r="C23" s="229">
        <f>IFERROR(AVERAGEIFS('Runs 1.0 + 6 sigma'!X3:X422,'Runs 1.0 + 6 sigma'!C3:C422,"R4",'Runs 1.0 + 6 sigma'!D3:D422,"NG"),0)</f>
        <v/>
      </c>
      <c r="D23" s="229">
        <f>IFERROR(AVERAGEIFS('Runs 1.0 + 6 sigma'!X3:X422,'Runs 1.0 + 6 sigma'!C3:C422,"R6",'Runs 1.0 + 6 sigma'!D3:D422,"NG"),0)</f>
        <v/>
      </c>
      <c r="E23" s="231">
        <f>IFERROR(AVERAGEIFS('Runs 1.0 + 6 sigma'!X3:X422,'Runs 1.0 + 6 sigma'!D3:D422,"NG"),0)</f>
        <v/>
      </c>
    </row>
    <row r="24">
      <c r="A24" s="230" t="inlineStr">
        <is>
          <t>Runs Z-score (k=3)</t>
        </is>
      </c>
      <c r="B24" s="231">
        <f>IFERROR(AVERAGEIFS('Runs Z score'!X3:X422,'Runs Z score'!C3:C422,"R3",'Runs Z score'!D3:D422,"NG"),0)</f>
        <v/>
      </c>
      <c r="C24" s="229">
        <f>IFERROR(AVERAGEIFS('Runs Z score'!X3:X422,'Runs Z score'!C3:C422,"R4",'Runs Z score'!D3:D422,"NG"),0)</f>
        <v/>
      </c>
      <c r="D24" s="229">
        <f>IFERROR(AVERAGEIFS('Runs Z score'!X3:X422,'Runs Z score'!C3:C422,"R6",'Runs Z score'!D3:D422,"NG"),0)</f>
        <v/>
      </c>
      <c r="E24" s="231">
        <f>IFERROR(AVERAGEIFS('Runs Z score'!X3:X422,'Runs Z score'!D3:D422,"NG"),0)</f>
        <v/>
      </c>
    </row>
    <row r="25">
      <c r="A25" s="230" t="inlineStr">
        <is>
          <t>Runs Z-score + 6σ</t>
        </is>
      </c>
      <c r="B25" s="231">
        <f>IFERROR(AVERAGEIFS('Runs Z score + 6 sigma'!X3:X422,'Runs Z score + 6 sigma'!C3:C422,"R3",'Runs Z score + 6 sigma'!D3:D422,"NG"),0)</f>
        <v/>
      </c>
      <c r="C25" s="229">
        <f>IFERROR(AVERAGEIFS('Runs Z score + 6 sigma'!X3:X422,'Runs Z score + 6 sigma'!C3:C422,"R4",'Runs Z score + 6 sigma'!D3:D422,"NG"),0)</f>
        <v/>
      </c>
      <c r="D25" s="229">
        <f>IFERROR(AVERAGEIFS('Runs Z score + 6 sigma'!X3:X422,'Runs Z score + 6 sigma'!C3:C422,"R6",'Runs Z score + 6 sigma'!D3:D422,"NG"),0)</f>
        <v/>
      </c>
      <c r="E25" s="231">
        <f>IFERROR(AVERAGEIFS('Runs Z score + 6 sigma'!X3:X422,'Runs Z score + 6 sigma'!D3:D422,"NG"),0)</f>
        <v/>
      </c>
    </row>
    <row r="26">
      <c r="A26" s="230" t="inlineStr">
        <is>
          <t>Runs Mahalanobis</t>
        </is>
      </c>
      <c r="B26" s="231">
        <f>IFERROR(AVERAGEIFS('Runs Mahalanobis'!W15:W434,'Runs Mahalanobis'!C15:C434,"R3",'Runs Mahalanobis'!D15:D434,"NG"),0)</f>
        <v/>
      </c>
      <c r="C26" s="229">
        <f>IFERROR(AVERAGEIFS('Runs Mahalanobis'!W15:W434,'Runs Mahalanobis'!C15:C434,"R4",'Runs Mahalanobis'!D15:D434,"NG"),0)</f>
        <v/>
      </c>
      <c r="D26" s="229">
        <f>IFERROR(AVERAGEIFS('Runs Mahalanobis'!W15:W434,'Runs Mahalanobis'!C15:C434,"R6",'Runs Mahalanobis'!D15:D434,"NG"),0)</f>
        <v/>
      </c>
      <c r="E26" s="231">
        <f>IFERROR(AVERAGEIFS('Runs Mahalanobis'!W15:W434,'Runs Mahalanobis'!D15:D434,"NG"),0)</f>
        <v/>
      </c>
    </row>
    <row r="27">
      <c r="A27" s="230" t="inlineStr">
        <is>
          <t>Runs GMM</t>
        </is>
      </c>
      <c r="B27" s="231">
        <f>IFERROR(AVERAGEIFS('Runs GMM'!W10:W429,'Runs GMM'!C10:C429,"R3",'Runs GMM'!D10:D429,"NG"),0)</f>
        <v/>
      </c>
      <c r="C27" s="229">
        <f>IFERROR(AVERAGEIFS('Runs GMM'!W10:W429,'Runs GMM'!C10:C429,"R4",'Runs GMM'!D10:D429,"NG"),0)</f>
        <v/>
      </c>
      <c r="D27" s="229">
        <f>IFERROR(AVERAGEIFS('Runs GMM'!W10:W429,'Runs GMM'!C10:C429,"R6",'Runs GMM'!D10:D429,"NG"),0)</f>
        <v/>
      </c>
      <c r="E27" s="231">
        <f>IFERROR(AVERAGEIFS('Runs GMM'!W10:W429,'Runs GMM'!D10:D429,"NG"),0)</f>
        <v/>
      </c>
    </row>
    <row r="28">
      <c r="A28" s="230" t="inlineStr">
        <is>
          <t>Runs 1.0 + Bayes</t>
        </is>
      </c>
      <c r="B28" s="231">
        <f>IFERROR(AVERAGEIFS('Runs 1.0 + Bayes'!W10:W429,'Runs 1.0 + Bayes'!C10:C429,"R3",'Runs 1.0 + Bayes'!D10:D429,"NG"),0)</f>
        <v/>
      </c>
      <c r="C28" s="229">
        <f>IFERROR(AVERAGEIFS('Runs 1.0 + Bayes'!W10:W429,'Runs 1.0 + Bayes'!C10:C429,"R4",'Runs 1.0 + Bayes'!D10:D429,"NG"),0)</f>
        <v/>
      </c>
      <c r="D28" s="229">
        <f>IFERROR(AVERAGEIFS('Runs 1.0 + Bayes'!W10:W429,'Runs 1.0 + Bayes'!C10:C429,"R6",'Runs 1.0 + Bayes'!D10:D429,"NG"),0)</f>
        <v/>
      </c>
      <c r="E28" s="231">
        <f>IFERROR(AVERAGEIFS('Runs 1.0 + Bayes'!W10:W429,'Runs 1.0 + Bayes'!D10:D429,"NG"),0)</f>
        <v/>
      </c>
    </row>
    <row r="29">
      <c r="A29" s="232" t="inlineStr">
        <is>
          <t>★ LDA</t>
        </is>
      </c>
      <c r="B29" s="227">
        <f>IFERROR(AVERAGEIFS('Runs LDA'!P11:P430,'Runs LDA'!C11:C430,"R3",'Runs LDA'!D11:D430,"NG"),0)</f>
        <v/>
      </c>
      <c r="C29" s="233">
        <f>IFERROR(AVERAGEIFS('Runs LDA'!P11:P430,'Runs LDA'!C11:C430,"R4",'Runs LDA'!D11:D430,"NG"),0)</f>
        <v/>
      </c>
      <c r="D29" s="233">
        <f>IFERROR(AVERAGEIFS('Runs LDA'!P11:P430,'Runs LDA'!C11:C430,"R6",'Runs LDA'!D11:D430,"NG"),0)</f>
        <v/>
      </c>
      <c r="E29" s="227">
        <f>IFERROR(AVERAGEIFS('Runs LDA'!P11:P430,'Runs LDA'!D11:D430,"NG"),0)</f>
        <v/>
      </c>
    </row>
    <row r="30">
      <c r="A30" s="232" t="inlineStr">
        <is>
          <t>★ QDA</t>
        </is>
      </c>
      <c r="B30" s="227">
        <f>IFERROR(AVERAGEIFS('Runs QDA'!P11:P430,'Runs QDA'!C11:C430,"R3",'Runs QDA'!D11:D430,"NG"),0)</f>
        <v/>
      </c>
      <c r="C30" s="233">
        <f>IFERROR(AVERAGEIFS('Runs QDA'!P11:P430,'Runs QDA'!C11:C430,"R4",'Runs QDA'!D11:D430,"NG"),0)</f>
        <v/>
      </c>
      <c r="D30" s="233">
        <f>IFERROR(AVERAGEIFS('Runs QDA'!P11:P430,'Runs QDA'!C11:C430,"R6",'Runs QDA'!D11:D430,"NG"),0)</f>
        <v/>
      </c>
      <c r="E30" s="227">
        <f>IFERROR(AVERAGEIFS('Runs QDA'!P11:P430,'Runs QDA'!D11:D430,"NG"),0)</f>
        <v/>
      </c>
    </row>
    <row r="31">
      <c r="A31" s="232" t="inlineStr">
        <is>
          <t>★ SVM (RBF)</t>
        </is>
      </c>
      <c r="B31" s="227">
        <f>IFERROR(AVERAGEIFS('Runs SVM'!P11:P430,'Runs SVM'!C11:C430,"R3",'Runs SVM'!D11:D430,"NG"),0)</f>
        <v/>
      </c>
      <c r="C31" s="233">
        <f>IFERROR(AVERAGEIFS('Runs SVM'!P11:P430,'Runs SVM'!C11:C430,"R4",'Runs SVM'!D11:D430,"NG"),0)</f>
        <v/>
      </c>
      <c r="D31" s="233">
        <f>IFERROR(AVERAGEIFS('Runs SVM'!P11:P430,'Runs SVM'!C11:C430,"R6",'Runs SVM'!D11:D430,"NG"),0)</f>
        <v/>
      </c>
      <c r="E31" s="227">
        <f>IFERROR(AVERAGEIFS('Runs SVM'!P11:P430,'Runs SVM'!D11:D430,"NG"),0)</f>
        <v/>
      </c>
    </row>
    <row r="32">
      <c r="A32" s="232" t="inlineStr">
        <is>
          <t>★ Random Forest</t>
        </is>
      </c>
      <c r="B32" s="227">
        <f>IFERROR(AVERAGEIFS('Runs Random Forest'!P11:P430,'Runs Random Forest'!C11:C430,"R3",'Runs Random Forest'!D11:D430,"NG"),0)</f>
        <v/>
      </c>
      <c r="C32" s="233">
        <f>IFERROR(AVERAGEIFS('Runs Random Forest'!P11:P430,'Runs Random Forest'!C11:C430,"R4",'Runs Random Forest'!D11:D430,"NG"),0)</f>
        <v/>
      </c>
      <c r="D32" s="233">
        <f>IFERROR(AVERAGEIFS('Runs Random Forest'!P11:P430,'Runs Random Forest'!C11:C430,"R6",'Runs Random Forest'!D11:D430,"NG"),0)</f>
        <v/>
      </c>
      <c r="E32" s="227">
        <f>IFERROR(AVERAGEIFS('Runs Random Forest'!P11:P430,'Runs Random Forest'!D11:D430,"NG"),0)</f>
        <v/>
      </c>
    </row>
    <row r="34">
      <c r="A34" s="206" t="inlineStr">
        <is>
          <t>3. L2 ACCURACY POR COMPONENTE FALTANTE</t>
        </is>
      </c>
    </row>
    <row r="35" ht="26" customHeight="1" s="180">
      <c r="A35" s="192" t="inlineStr">
        <is>
          <t>Método</t>
        </is>
      </c>
      <c r="B35" s="192" t="inlineStr">
        <is>
          <t>S1</t>
        </is>
      </c>
      <c r="C35" s="192" t="inlineStr">
        <is>
          <t>S2</t>
        </is>
      </c>
      <c r="D35" s="192" t="inlineStr">
        <is>
          <t>W1</t>
        </is>
      </c>
      <c r="E35" s="192" t="inlineStr">
        <is>
          <t>W2</t>
        </is>
      </c>
      <c r="F35" s="192" t="inlineStr">
        <is>
          <t>N1</t>
        </is>
      </c>
      <c r="G35" s="192" t="inlineStr">
        <is>
          <t>N2</t>
        </is>
      </c>
    </row>
    <row r="36">
      <c r="A36" s="230" t="inlineStr">
        <is>
          <t>Runs 1.0 (k=3)</t>
        </is>
      </c>
      <c r="B36" s="231">
        <f>IFERROR(AVERAGEIFS('Runs 1.0 20262904'!X3:X422,'Runs 1.0 20262904'!E3:E422,"S1"),0)</f>
        <v/>
      </c>
      <c r="C36" s="229">
        <f>IFERROR(AVERAGEIFS('Runs 1.0 20262904'!X3:X422,'Runs 1.0 20262904'!E3:E422,"S2"),0)</f>
        <v/>
      </c>
      <c r="D36" s="229">
        <f>IFERROR(AVERAGEIFS('Runs 1.0 20262904'!X3:X422,'Runs 1.0 20262904'!E3:E422,"W1"),0)</f>
        <v/>
      </c>
      <c r="E36" s="231">
        <f>IFERROR(AVERAGEIFS('Runs 1.0 20262904'!X3:X422,'Runs 1.0 20262904'!E3:E422,"W2"),0)</f>
        <v/>
      </c>
      <c r="F36" s="231">
        <f>IFERROR(AVERAGEIFS('Runs 1.0 20262904'!X3:X422,'Runs 1.0 20262904'!E3:E422,"N1"),0)</f>
        <v/>
      </c>
      <c r="G36" s="231">
        <f>IFERROR(AVERAGEIFS('Runs 1.0 20262904'!X3:X422,'Runs 1.0 20262904'!E3:E422,"N2"),0)</f>
        <v/>
      </c>
    </row>
    <row r="37">
      <c r="A37" s="230" t="inlineStr">
        <is>
          <t>Runs 1.0 + 3.5σ</t>
        </is>
      </c>
      <c r="B37" s="231">
        <f>IFERROR(AVERAGEIFS('Runs 1.0 + 3.5 sigma'!X3:X422,'Runs 1.0 + 3.5 sigma'!E3:E422,"S1"),0)</f>
        <v/>
      </c>
      <c r="C37" s="229">
        <f>IFERROR(AVERAGEIFS('Runs 1.0 + 3.5 sigma'!X3:X422,'Runs 1.0 + 3.5 sigma'!E3:E422,"S2"),0)</f>
        <v/>
      </c>
      <c r="D37" s="229">
        <f>IFERROR(AVERAGEIFS('Runs 1.0 + 3.5 sigma'!X3:X422,'Runs 1.0 + 3.5 sigma'!E3:E422,"W1"),0)</f>
        <v/>
      </c>
      <c r="E37" s="231">
        <f>IFERROR(AVERAGEIFS('Runs 1.0 + 3.5 sigma'!X3:X422,'Runs 1.0 + 3.5 sigma'!E3:E422,"W2"),0)</f>
        <v/>
      </c>
      <c r="F37" s="231">
        <f>IFERROR(AVERAGEIFS('Runs 1.0 + 3.5 sigma'!X3:X422,'Runs 1.0 + 3.5 sigma'!E3:E422,"N1"),0)</f>
        <v/>
      </c>
      <c r="G37" s="231">
        <f>IFERROR(AVERAGEIFS('Runs 1.0 + 3.5 sigma'!X3:X422,'Runs 1.0 + 3.5 sigma'!E3:E422,"N2"),0)</f>
        <v/>
      </c>
    </row>
    <row r="38">
      <c r="A38" s="230" t="inlineStr">
        <is>
          <t>Runs 1.0 + 6σ</t>
        </is>
      </c>
      <c r="B38" s="231">
        <f>IFERROR(AVERAGEIFS('Runs 1.0 + 6 sigma'!X3:X422,'Runs 1.0 + 6 sigma'!E3:E422,"S1"),0)</f>
        <v/>
      </c>
      <c r="C38" s="229">
        <f>IFERROR(AVERAGEIFS('Runs 1.0 + 6 sigma'!X3:X422,'Runs 1.0 + 6 sigma'!E3:E422,"S2"),0)</f>
        <v/>
      </c>
      <c r="D38" s="229">
        <f>IFERROR(AVERAGEIFS('Runs 1.0 + 6 sigma'!X3:X422,'Runs 1.0 + 6 sigma'!E3:E422,"W1"),0)</f>
        <v/>
      </c>
      <c r="E38" s="231">
        <f>IFERROR(AVERAGEIFS('Runs 1.0 + 6 sigma'!X3:X422,'Runs 1.0 + 6 sigma'!E3:E422,"W2"),0)</f>
        <v/>
      </c>
      <c r="F38" s="231">
        <f>IFERROR(AVERAGEIFS('Runs 1.0 + 6 sigma'!X3:X422,'Runs 1.0 + 6 sigma'!E3:E422,"N1"),0)</f>
        <v/>
      </c>
      <c r="G38" s="231">
        <f>IFERROR(AVERAGEIFS('Runs 1.0 + 6 sigma'!X3:X422,'Runs 1.0 + 6 sigma'!E3:E422,"N2"),0)</f>
        <v/>
      </c>
    </row>
    <row r="39">
      <c r="A39" s="230" t="inlineStr">
        <is>
          <t>Runs Z-score (k=3)</t>
        </is>
      </c>
      <c r="B39" s="231">
        <f>IFERROR(AVERAGEIFS('Runs Z score'!X3:X422,'Runs Z score'!E3:E422,"S1"),0)</f>
        <v/>
      </c>
      <c r="C39" s="229">
        <f>IFERROR(AVERAGEIFS('Runs Z score'!X3:X422,'Runs Z score'!E3:E422,"S2"),0)</f>
        <v/>
      </c>
      <c r="D39" s="229">
        <f>IFERROR(AVERAGEIFS('Runs Z score'!X3:X422,'Runs Z score'!E3:E422,"W1"),0)</f>
        <v/>
      </c>
      <c r="E39" s="231">
        <f>IFERROR(AVERAGEIFS('Runs Z score'!X3:X422,'Runs Z score'!E3:E422,"W2"),0)</f>
        <v/>
      </c>
      <c r="F39" s="231">
        <f>IFERROR(AVERAGEIFS('Runs Z score'!X3:X422,'Runs Z score'!E3:E422,"N1"),0)</f>
        <v/>
      </c>
      <c r="G39" s="231">
        <f>IFERROR(AVERAGEIFS('Runs Z score'!X3:X422,'Runs Z score'!E3:E422,"N2"),0)</f>
        <v/>
      </c>
    </row>
    <row r="40">
      <c r="A40" s="230" t="inlineStr">
        <is>
          <t>Runs Z-score + 6σ</t>
        </is>
      </c>
      <c r="B40" s="231">
        <f>IFERROR(AVERAGEIFS('Runs Z score + 6 sigma'!X3:X422,'Runs Z score + 6 sigma'!E3:E422,"S1"),0)</f>
        <v/>
      </c>
      <c r="C40" s="229">
        <f>IFERROR(AVERAGEIFS('Runs Z score + 6 sigma'!X3:X422,'Runs Z score + 6 sigma'!E3:E422,"S2"),0)</f>
        <v/>
      </c>
      <c r="D40" s="229">
        <f>IFERROR(AVERAGEIFS('Runs Z score + 6 sigma'!X3:X422,'Runs Z score + 6 sigma'!E3:E422,"W1"),0)</f>
        <v/>
      </c>
      <c r="E40" s="231">
        <f>IFERROR(AVERAGEIFS('Runs Z score + 6 sigma'!X3:X422,'Runs Z score + 6 sigma'!E3:E422,"W2"),0)</f>
        <v/>
      </c>
      <c r="F40" s="231">
        <f>IFERROR(AVERAGEIFS('Runs Z score + 6 sigma'!X3:X422,'Runs Z score + 6 sigma'!E3:E422,"N1"),0)</f>
        <v/>
      </c>
      <c r="G40" s="231">
        <f>IFERROR(AVERAGEIFS('Runs Z score + 6 sigma'!X3:X422,'Runs Z score + 6 sigma'!E3:E422,"N2"),0)</f>
        <v/>
      </c>
    </row>
    <row r="41">
      <c r="A41" s="230" t="inlineStr">
        <is>
          <t>Runs Mahalanobis</t>
        </is>
      </c>
      <c r="B41" s="231">
        <f>IFERROR(AVERAGEIFS('Runs Mahalanobis'!W15:W434,'Runs Mahalanobis'!E15:E434,"S1"),0)</f>
        <v/>
      </c>
      <c r="C41" s="229">
        <f>IFERROR(AVERAGEIFS('Runs Mahalanobis'!W15:W434,'Runs Mahalanobis'!E15:E434,"S2"),0)</f>
        <v/>
      </c>
      <c r="D41" s="229">
        <f>IFERROR(AVERAGEIFS('Runs Mahalanobis'!W15:W434,'Runs Mahalanobis'!E15:E434,"W1"),0)</f>
        <v/>
      </c>
      <c r="E41" s="231">
        <f>IFERROR(AVERAGEIFS('Runs Mahalanobis'!W15:W434,'Runs Mahalanobis'!E15:E434,"W2"),0)</f>
        <v/>
      </c>
      <c r="F41" s="231">
        <f>IFERROR(AVERAGEIFS('Runs Mahalanobis'!W15:W434,'Runs Mahalanobis'!E15:E434,"N1"),0)</f>
        <v/>
      </c>
      <c r="G41" s="231">
        <f>IFERROR(AVERAGEIFS('Runs Mahalanobis'!W15:W434,'Runs Mahalanobis'!E15:E434,"N2"),0)</f>
        <v/>
      </c>
    </row>
    <row r="42">
      <c r="A42" s="230" t="inlineStr">
        <is>
          <t>Runs GMM</t>
        </is>
      </c>
      <c r="B42" s="231">
        <f>IFERROR(AVERAGEIFS('Runs GMM'!W10:W429,'Runs GMM'!E10:E429,"S1"),0)</f>
        <v/>
      </c>
      <c r="C42" s="229">
        <f>IFERROR(AVERAGEIFS('Runs GMM'!W10:W429,'Runs GMM'!E10:E429,"S2"),0)</f>
        <v/>
      </c>
      <c r="D42" s="229">
        <f>IFERROR(AVERAGEIFS('Runs GMM'!W10:W429,'Runs GMM'!E10:E429,"W1"),0)</f>
        <v/>
      </c>
      <c r="E42" s="231">
        <f>IFERROR(AVERAGEIFS('Runs GMM'!W10:W429,'Runs GMM'!E10:E429,"W2"),0)</f>
        <v/>
      </c>
      <c r="F42" s="231">
        <f>IFERROR(AVERAGEIFS('Runs GMM'!W10:W429,'Runs GMM'!E10:E429,"N1"),0)</f>
        <v/>
      </c>
      <c r="G42" s="231">
        <f>IFERROR(AVERAGEIFS('Runs GMM'!W10:W429,'Runs GMM'!E10:E429,"N2"),0)</f>
        <v/>
      </c>
    </row>
    <row r="43">
      <c r="A43" s="230" t="inlineStr">
        <is>
          <t>Runs 1.0 + Bayes</t>
        </is>
      </c>
      <c r="B43" s="231">
        <f>IFERROR(AVERAGEIFS('Runs 1.0 + Bayes'!W10:W429,'Runs 1.0 + Bayes'!E10:E429,"S1"),0)</f>
        <v/>
      </c>
      <c r="C43" s="229">
        <f>IFERROR(AVERAGEIFS('Runs 1.0 + Bayes'!W10:W429,'Runs 1.0 + Bayes'!E10:E429,"S2"),0)</f>
        <v/>
      </c>
      <c r="D43" s="229">
        <f>IFERROR(AVERAGEIFS('Runs 1.0 + Bayes'!W10:W429,'Runs 1.0 + Bayes'!E10:E429,"W1"),0)</f>
        <v/>
      </c>
      <c r="E43" s="231">
        <f>IFERROR(AVERAGEIFS('Runs 1.0 + Bayes'!W10:W429,'Runs 1.0 + Bayes'!E10:E429,"W2"),0)</f>
        <v/>
      </c>
      <c r="F43" s="231">
        <f>IFERROR(AVERAGEIFS('Runs 1.0 + Bayes'!W10:W429,'Runs 1.0 + Bayes'!E10:E429,"N1"),0)</f>
        <v/>
      </c>
      <c r="G43" s="231">
        <f>IFERROR(AVERAGEIFS('Runs 1.0 + Bayes'!W10:W429,'Runs 1.0 + Bayes'!E10:E429,"N2"),0)</f>
        <v/>
      </c>
    </row>
    <row r="44">
      <c r="A44" s="232" t="inlineStr">
        <is>
          <t>★ LDA</t>
        </is>
      </c>
      <c r="B44" s="227">
        <f>IFERROR(AVERAGEIFS('Runs LDA'!P11:P430,'Runs LDA'!E11:E430,"S1"),0)</f>
        <v/>
      </c>
      <c r="C44" s="233">
        <f>IFERROR(AVERAGEIFS('Runs LDA'!P11:P430,'Runs LDA'!E11:E430,"S2"),0)</f>
        <v/>
      </c>
      <c r="D44" s="233">
        <f>IFERROR(AVERAGEIFS('Runs LDA'!P11:P430,'Runs LDA'!E11:E430,"W1"),0)</f>
        <v/>
      </c>
      <c r="E44" s="227">
        <f>IFERROR(AVERAGEIFS('Runs LDA'!P11:P430,'Runs LDA'!E11:E430,"W2"),0)</f>
        <v/>
      </c>
      <c r="F44" s="227">
        <f>IFERROR(AVERAGEIFS('Runs LDA'!P11:P430,'Runs LDA'!E11:E430,"N1"),0)</f>
        <v/>
      </c>
      <c r="G44" s="227">
        <f>IFERROR(AVERAGEIFS('Runs LDA'!P11:P430,'Runs LDA'!E11:E430,"N2"),0)</f>
        <v/>
      </c>
    </row>
    <row r="45">
      <c r="A45" s="232" t="inlineStr">
        <is>
          <t>★ QDA</t>
        </is>
      </c>
      <c r="B45" s="227">
        <f>IFERROR(AVERAGEIFS('Runs QDA'!P11:P430,'Runs QDA'!E11:E430,"S1"),0)</f>
        <v/>
      </c>
      <c r="C45" s="233">
        <f>IFERROR(AVERAGEIFS('Runs QDA'!P11:P430,'Runs QDA'!E11:E430,"S2"),0)</f>
        <v/>
      </c>
      <c r="D45" s="233">
        <f>IFERROR(AVERAGEIFS('Runs QDA'!P11:P430,'Runs QDA'!E11:E430,"W1"),0)</f>
        <v/>
      </c>
      <c r="E45" s="227">
        <f>IFERROR(AVERAGEIFS('Runs QDA'!P11:P430,'Runs QDA'!E11:E430,"W2"),0)</f>
        <v/>
      </c>
      <c r="F45" s="227">
        <f>IFERROR(AVERAGEIFS('Runs QDA'!P11:P430,'Runs QDA'!E11:E430,"N1"),0)</f>
        <v/>
      </c>
      <c r="G45" s="227">
        <f>IFERROR(AVERAGEIFS('Runs QDA'!P11:P430,'Runs QDA'!E11:E430,"N2"),0)</f>
        <v/>
      </c>
    </row>
    <row r="46">
      <c r="A46" s="232" t="inlineStr">
        <is>
          <t>★ SVM (RBF)</t>
        </is>
      </c>
      <c r="B46" s="227">
        <f>IFERROR(AVERAGEIFS('Runs SVM'!P11:P430,'Runs SVM'!E11:E430,"S1"),0)</f>
        <v/>
      </c>
      <c r="C46" s="233">
        <f>IFERROR(AVERAGEIFS('Runs SVM'!P11:P430,'Runs SVM'!E11:E430,"S2"),0)</f>
        <v/>
      </c>
      <c r="D46" s="233">
        <f>IFERROR(AVERAGEIFS('Runs SVM'!P11:P430,'Runs SVM'!E11:E430,"W1"),0)</f>
        <v/>
      </c>
      <c r="E46" s="227">
        <f>IFERROR(AVERAGEIFS('Runs SVM'!P11:P430,'Runs SVM'!E11:E430,"W2"),0)</f>
        <v/>
      </c>
      <c r="F46" s="227">
        <f>IFERROR(AVERAGEIFS('Runs SVM'!P11:P430,'Runs SVM'!E11:E430,"N1"),0)</f>
        <v/>
      </c>
      <c r="G46" s="227">
        <f>IFERROR(AVERAGEIFS('Runs SVM'!P11:P430,'Runs SVM'!E11:E430,"N2"),0)</f>
        <v/>
      </c>
    </row>
    <row r="47">
      <c r="A47" s="232" t="inlineStr">
        <is>
          <t>★ Random Forest</t>
        </is>
      </c>
      <c r="B47" s="227">
        <f>IFERROR(AVERAGEIFS('Runs Random Forest'!P11:P430,'Runs Random Forest'!E11:E430,"S1"),0)</f>
        <v/>
      </c>
      <c r="C47" s="233">
        <f>IFERROR(AVERAGEIFS('Runs Random Forest'!P11:P430,'Runs Random Forest'!E11:E430,"S2"),0)</f>
        <v/>
      </c>
      <c r="D47" s="233">
        <f>IFERROR(AVERAGEIFS('Runs Random Forest'!P11:P430,'Runs Random Forest'!E11:E430,"W1"),0)</f>
        <v/>
      </c>
      <c r="E47" s="227">
        <f>IFERROR(AVERAGEIFS('Runs Random Forest'!P11:P430,'Runs Random Forest'!E11:E430,"W2"),0)</f>
        <v/>
      </c>
      <c r="F47" s="227">
        <f>IFERROR(AVERAGEIFS('Runs Random Forest'!P11:P430,'Runs Random Forest'!E11:E430,"N1"),0)</f>
        <v/>
      </c>
      <c r="G47" s="227">
        <f>IFERROR(AVERAGEIFS('Runs Random Forest'!P11:P430,'Runs Random Forest'!E11:E430,"N2"),0)</f>
        <v/>
      </c>
    </row>
    <row r="49">
      <c r="A49" s="206" t="inlineStr">
        <is>
          <t>4. RANKING FINAL — L2 GLOBAL</t>
        </is>
      </c>
    </row>
    <row r="50">
      <c r="A50" s="192" t="inlineStr">
        <is>
          <t>#</t>
        </is>
      </c>
      <c r="B50" s="192" t="inlineStr">
        <is>
          <t>Método</t>
        </is>
      </c>
      <c r="C50" s="192" t="inlineStr">
        <is>
          <t>L2 Global</t>
        </is>
      </c>
      <c r="D50" s="192" t="inlineStr">
        <is>
          <t>Tipo</t>
        </is>
      </c>
    </row>
    <row r="51">
      <c r="A51" s="234" t="n">
        <v>1</v>
      </c>
      <c r="B51" s="235" t="inlineStr">
        <is>
          <t>QDA</t>
        </is>
      </c>
      <c r="C51" s="234" t="inlineStr">
        <is>
          <t>97.58%</t>
        </is>
      </c>
      <c r="D51" s="236" t="inlineStr">
        <is>
          <t>ML — Quadratic Discriminant Analysis</t>
        </is>
      </c>
    </row>
    <row r="52">
      <c r="A52" s="234" t="n">
        <v>2</v>
      </c>
      <c r="B52" s="235" t="inlineStr">
        <is>
          <t>Logistic Regression</t>
        </is>
      </c>
      <c r="C52" s="237" t="inlineStr">
        <is>
          <t>97.27%</t>
        </is>
      </c>
      <c r="D52" s="236" t="inlineStr">
        <is>
          <t>ML — Multinomial con features derivadas</t>
        </is>
      </c>
    </row>
    <row r="53">
      <c r="A53" s="234" t="n">
        <v>3</v>
      </c>
      <c r="B53" s="235" t="inlineStr">
        <is>
          <t>SVM (RBF)</t>
        </is>
      </c>
      <c r="C53" s="237" t="inlineStr">
        <is>
          <t>96.97%</t>
        </is>
      </c>
      <c r="D53" s="236" t="inlineStr">
        <is>
          <t>ML — Support Vector Machine</t>
        </is>
      </c>
    </row>
    <row r="54">
      <c r="A54" s="234" t="n">
        <v>4</v>
      </c>
      <c r="B54" s="235" t="inlineStr">
        <is>
          <t>LDA</t>
        </is>
      </c>
      <c r="C54" s="237" t="inlineStr">
        <is>
          <t>96.67%</t>
        </is>
      </c>
      <c r="D54" s="236" t="inlineStr">
        <is>
          <t>ML — Linear Discriminant Analysis</t>
        </is>
      </c>
    </row>
    <row r="55">
      <c r="A55" s="234" t="n">
        <v>5</v>
      </c>
      <c r="B55" s="235" t="inlineStr">
        <is>
          <t>Random Forest</t>
        </is>
      </c>
      <c r="C55" s="237" t="inlineStr">
        <is>
          <t>96.67%</t>
        </is>
      </c>
      <c r="D55" s="236" t="inlineStr">
        <is>
          <t>ML — Ensemble 200 árboles</t>
        </is>
      </c>
    </row>
    <row r="56">
      <c r="A56" s="238" t="n">
        <v>6</v>
      </c>
      <c r="B56" s="239" t="inlineStr">
        <is>
          <t>Runs 1.0 (k=3)</t>
        </is>
      </c>
      <c r="C56" s="240" t="inlineStr">
        <is>
          <t>96.06%</t>
        </is>
      </c>
      <c r="D56" s="241" t="inlineStr">
        <is>
          <t>Estadístico — mejor método clásico</t>
        </is>
      </c>
    </row>
    <row r="57">
      <c r="A57" s="238" t="n">
        <v>7</v>
      </c>
      <c r="B57" s="239" t="inlineStr">
        <is>
          <t>Mahalanobis</t>
        </is>
      </c>
      <c r="C57" s="240" t="inlineStr">
        <is>
          <t>96.06%</t>
        </is>
      </c>
      <c r="D57" s="241" t="inlineStr">
        <is>
          <t>Estadístico — F-Hotelling + corrección sesgo</t>
        </is>
      </c>
    </row>
    <row r="58">
      <c r="A58" s="238" t="n">
        <v>8</v>
      </c>
      <c r="B58" s="239" t="inlineStr">
        <is>
          <t>Runs 1.0 + 3.5σ</t>
        </is>
      </c>
      <c r="C58" s="240" t="inlineStr">
        <is>
          <t>96.06%</t>
        </is>
      </c>
      <c r="D58" s="241" t="inlineStr">
        <is>
          <t>Estadístico — umbral relajado</t>
        </is>
      </c>
    </row>
    <row r="59">
      <c r="A59" s="238" t="n">
        <v>9</v>
      </c>
      <c r="B59" s="239" t="inlineStr">
        <is>
          <t>Runs 1.0 + 6σ</t>
        </is>
      </c>
      <c r="C59" s="240" t="inlineStr">
        <is>
          <t>96.06%</t>
        </is>
      </c>
      <c r="D59" s="241" t="inlineStr">
        <is>
          <t>Estadístico — Six Sigma</t>
        </is>
      </c>
    </row>
    <row r="60">
      <c r="A60" s="238" t="n">
        <v>10</v>
      </c>
      <c r="B60" s="239" t="inlineStr">
        <is>
          <t>Bayes Óptimo</t>
        </is>
      </c>
      <c r="C60" s="240" t="inlineStr">
        <is>
          <t>94.24%</t>
        </is>
      </c>
      <c r="D60" s="241" t="inlineStr">
        <is>
          <t>Probabilístico — máx. likelihood con qty</t>
        </is>
      </c>
    </row>
    <row r="61">
      <c r="A61" s="238" t="n">
        <v>11</v>
      </c>
      <c r="B61" s="239" t="inlineStr">
        <is>
          <t>GMM</t>
        </is>
      </c>
      <c r="C61" s="240" t="inlineStr">
        <is>
          <t>93.64%</t>
        </is>
      </c>
      <c r="D61" s="241" t="inlineStr">
        <is>
          <t>Probabilístico — Gaussian Mixture Model</t>
        </is>
      </c>
    </row>
    <row r="62">
      <c r="A62" s="238" t="n">
        <v>12</v>
      </c>
      <c r="B62" s="239" t="inlineStr">
        <is>
          <t>Runs Z-score</t>
        </is>
      </c>
      <c r="C62" s="240" t="inlineStr">
        <is>
          <t>93.64%</t>
        </is>
      </c>
      <c r="D62" s="241" t="inlineStr">
        <is>
          <t>Estadístico — déficit normalizado por σ</t>
        </is>
      </c>
    </row>
    <row r="64">
      <c r="A64" s="206" t="inlineStr">
        <is>
          <t>5. LECTURA EJECUTIVA</t>
        </is>
      </c>
    </row>
    <row r="65" ht="38" customHeight="1" s="180">
      <c r="A65" s="242" t="inlineStr">
        <is>
          <t>L1 universal</t>
        </is>
      </c>
      <c r="B65" s="223" t="inlineStr">
        <is>
          <t>Todos los métodos comparten L1 de Runs 1.0 (k=3). 99.05% accuracy, 4 FP, CERO FN en los 12 métodos.</t>
        </is>
      </c>
      <c r="C65" s="224" t="n"/>
      <c r="D65" s="224" t="n"/>
      <c r="E65" s="224" t="n"/>
      <c r="F65" s="224" t="n"/>
      <c r="G65" s="224" t="n"/>
      <c r="H65" s="225" t="n"/>
    </row>
    <row r="66" ht="38" customHeight="1" s="180">
      <c r="A66" s="242" t="inlineStr">
        <is>
          <t>Ganador: QDA</t>
        </is>
      </c>
      <c r="B66" s="223" t="inlineStr">
        <is>
          <t>QDA 97.58% — el mejor de los 12. Aprende una frontera cuadrática distinta para cada clase, capturando varianzas heterogéneas que LDA no puede.</t>
        </is>
      </c>
      <c r="C66" s="224" t="n"/>
      <c r="D66" s="224" t="n"/>
      <c r="E66" s="224" t="n"/>
      <c r="F66" s="224" t="n"/>
      <c r="G66" s="224" t="n"/>
      <c r="H66" s="225" t="n"/>
    </row>
    <row r="67" ht="38" customHeight="1" s="180">
      <c r="A67" s="242" t="inlineStr">
        <is>
          <t>LDA vs QDA</t>
        </is>
      </c>
      <c r="B67" s="223" t="inlineStr">
        <is>
          <t>LDA asume Σ igual entre clases. QDA aprende Σ propia por clase. Con reg_param=0.1 estabiliza la estimación con n=24-30 por fold.</t>
        </is>
      </c>
      <c r="C67" s="224" t="n"/>
      <c r="D67" s="224" t="n"/>
      <c r="E67" s="224" t="n"/>
      <c r="F67" s="224" t="n"/>
      <c r="G67" s="224" t="n"/>
      <c r="H67" s="225" t="n"/>
    </row>
    <row r="68" ht="38" customHeight="1" s="180">
      <c r="A68" s="242" t="inlineStr">
        <is>
          <t>SVM RBF</t>
        </is>
      </c>
      <c r="B68" s="223" t="inlineStr">
        <is>
          <t>96.97%. Transforma las 16 features a un espacio de dimensión infinita via kernel RBF. El margen máximo separa mejor W1/N1 que fronteras lineales.</t>
        </is>
      </c>
      <c r="C68" s="224" t="n"/>
      <c r="D68" s="224" t="n"/>
      <c r="E68" s="224" t="n"/>
      <c r="F68" s="224" t="n"/>
      <c r="G68" s="224" t="n"/>
      <c r="H68" s="225" t="n"/>
    </row>
    <row r="69" ht="38" customHeight="1" s="180">
      <c r="A69" s="242" t="inlineStr">
        <is>
          <t>W1: el cuello</t>
        </is>
      </c>
      <c r="B69" s="223" t="inlineStr">
        <is>
          <t>QDA y RF alcanzan 91.7% en W1 (máximo conseguido). D_eff=3.27 impone un techo de ~94.9%. Los ML se acercan al límite usando múltiples features.</t>
        </is>
      </c>
      <c r="C69" s="224" t="n"/>
      <c r="D69" s="224" t="n"/>
      <c r="E69" s="224" t="n"/>
      <c r="F69" s="224" t="n"/>
      <c r="G69" s="224" t="n"/>
      <c r="H69" s="225" t="n"/>
    </row>
    <row r="70" ht="38" customHeight="1" s="180">
      <c r="A70" s="242" t="inlineStr">
        <is>
          <t>Sin FN en ninguno</t>
        </is>
      </c>
      <c r="B70" s="223" t="inlineStr">
        <is>
          <t>Cero falsos negativos en todos los 12 métodos. El sistema es seguro hacia el cliente independientemente del método elegido.</t>
        </is>
      </c>
      <c r="C70" s="224" t="n"/>
      <c r="D70" s="224" t="n"/>
      <c r="E70" s="224" t="n"/>
      <c r="F70" s="224" t="n"/>
      <c r="G70" s="224" t="n"/>
      <c r="H70" s="225" t="n"/>
    </row>
    <row r="71" ht="38" customHeight="1" s="180">
      <c r="A71" s="242" t="inlineStr">
        <is>
          <t>Recomendación</t>
        </is>
      </c>
      <c r="B71" s="223" t="inlineStr">
        <is>
          <t>Para producción: QDA como L2 (97.58%), Runs 1.0 como L1 (auditable, simple). Para Phase 2: agregar segunda variable física para superar el techo de 1 variable.</t>
        </is>
      </c>
      <c r="C71" s="224" t="n"/>
      <c r="D71" s="224" t="n"/>
      <c r="E71" s="224" t="n"/>
      <c r="F71" s="224" t="n"/>
      <c r="G71" s="224" t="n"/>
      <c r="H71" s="225" t="n"/>
    </row>
  </sheetData>
  <mergeCells count="14">
    <mergeCell ref="A4:H4"/>
    <mergeCell ref="B66:H66"/>
    <mergeCell ref="B71:H71"/>
    <mergeCell ref="B65:H65"/>
    <mergeCell ref="A2:H2"/>
    <mergeCell ref="A34:G34"/>
    <mergeCell ref="A64:H64"/>
    <mergeCell ref="A19:E19"/>
    <mergeCell ref="B68:H68"/>
    <mergeCell ref="B69:H69"/>
    <mergeCell ref="B70:H70"/>
    <mergeCell ref="A1:H1"/>
    <mergeCell ref="B67:H67"/>
    <mergeCell ref="A49:D49"/>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11"/>
  <sheetViews>
    <sheetView workbookViewId="0">
      <selection activeCell="H26" sqref="H26"/>
    </sheetView>
  </sheetViews>
  <sheetFormatPr baseColWidth="8" defaultRowHeight="15"/>
  <sheetData>
    <row r="1">
      <c r="A1" s="5" t="n"/>
      <c r="B1" s="4" t="n"/>
      <c r="C1" s="5" t="inlineStr">
        <is>
          <t>R6</t>
        </is>
      </c>
      <c r="D1" s="10" t="inlineStr">
        <is>
          <t>NG</t>
        </is>
      </c>
      <c r="E1" s="5" t="inlineStr">
        <is>
          <t>2W1</t>
        </is>
      </c>
      <c r="F1" s="5" t="n"/>
      <c r="G1" s="14" t="n">
        <v>6.59</v>
      </c>
      <c r="H1" s="8" t="n"/>
      <c r="I1" s="9" t="n"/>
      <c r="J1" s="13">
        <f>VLOOKUP(C1,Recipes!$A$2:$N$4,10,FALSE())</f>
        <v/>
      </c>
      <c r="K1" s="13">
        <f>VLOOKUP(C1,Recipes!$A$2:$N$4,12,FALSE())</f>
        <v/>
      </c>
      <c r="L1" s="7">
        <f>J1-3*K1</f>
        <v/>
      </c>
      <c r="M1" s="7">
        <f>J1+3*K1</f>
        <v/>
      </c>
      <c r="N1" s="5">
        <f>IF(G1="","",IF(AND(G1&gt;=L1,G1&lt;=M1),"OK","NG"))</f>
        <v/>
      </c>
      <c r="O1" s="5">
        <f>IF(N1="","",IF(N1=D1,1,0))</f>
        <v/>
      </c>
      <c r="P1" s="7">
        <f>IF(G1="","",J1-G1)</f>
        <v/>
      </c>
      <c r="Q1" s="6">
        <f>IF(G1="","",ABS(P1-Components!$D$2))</f>
        <v/>
      </c>
      <c r="R1" s="6">
        <f>IF(G1="","",ABS(P1-Components!$D$3))</f>
        <v/>
      </c>
      <c r="S1" s="6">
        <f>IF(G1="","",ABS(P1-Components!$D$4))</f>
        <v/>
      </c>
      <c r="T1" s="6">
        <f>IF(G1="","",ABS(P1-Components!$D$5))</f>
        <v/>
      </c>
      <c r="U1" s="6">
        <f>IF(G1="","",ABS(P1-Components!$D$6))</f>
        <v/>
      </c>
      <c r="V1" s="6">
        <f>IF(G1="","",ABS(P1-Components!$D$7))</f>
        <v/>
      </c>
      <c r="W1" s="5">
        <f>IF(G1="","",IF(N1="OK","NONE",INDEX({"S1","S2","W1","W2","N1","N2"},MATCH(MIN(Q1:V1),Q1:V1,0))))</f>
        <v/>
      </c>
      <c r="X1" s="5">
        <f>IF(G1="","",IF(W1=E1,1,0))</f>
        <v/>
      </c>
    </row>
    <row r="2">
      <c r="A2" s="5" t="n"/>
      <c r="B2" s="4" t="n"/>
      <c r="C2" s="5" t="inlineStr">
        <is>
          <t>R6</t>
        </is>
      </c>
      <c r="D2" s="10" t="inlineStr">
        <is>
          <t>NG</t>
        </is>
      </c>
      <c r="E2" s="5" t="inlineStr">
        <is>
          <t>2W1</t>
        </is>
      </c>
      <c r="F2" s="5" t="n"/>
      <c r="G2" s="14" t="n">
        <v>6.35</v>
      </c>
      <c r="H2" s="8" t="n"/>
      <c r="I2" s="9" t="n"/>
      <c r="J2" s="13">
        <f>VLOOKUP(C2,Recipes!$A$2:$N$4,10,FALSE())</f>
        <v/>
      </c>
      <c r="K2" s="13">
        <f>VLOOKUP(C2,Recipes!$A$2:$N$4,12,FALSE())</f>
        <v/>
      </c>
      <c r="L2" s="7">
        <f>J2-3*K2</f>
        <v/>
      </c>
      <c r="M2" s="7">
        <f>J2+3*K2</f>
        <v/>
      </c>
      <c r="N2" s="5">
        <f>IF(G2="","",IF(AND(G2&gt;=L2,G2&lt;=M2),"OK","NG"))</f>
        <v/>
      </c>
      <c r="O2" s="5">
        <f>IF(N2="","",IF(N2=D2,1,0))</f>
        <v/>
      </c>
      <c r="P2" s="7">
        <f>IF(G2="","",J2-G2)</f>
        <v/>
      </c>
      <c r="Q2" s="6">
        <f>IF(G2="","",ABS(P2-Components!$D$2))</f>
        <v/>
      </c>
      <c r="R2" s="6">
        <f>IF(G2="","",ABS(P2-Components!$D$3))</f>
        <v/>
      </c>
      <c r="S2" s="6">
        <f>IF(G2="","",ABS(P2-Components!$D$4))</f>
        <v/>
      </c>
      <c r="T2" s="6">
        <f>IF(G2="","",ABS(P2-Components!$D$5))</f>
        <v/>
      </c>
      <c r="U2" s="6">
        <f>IF(G2="","",ABS(P2-Components!$D$6))</f>
        <v/>
      </c>
      <c r="V2" s="6">
        <f>IF(G2="","",ABS(P2-Components!$D$7))</f>
        <v/>
      </c>
      <c r="W2" s="5">
        <f>IF(G2="","",IF(N2="OK","NONE",INDEX({"S1","S2","W1","W2","N1","N2"},MATCH(MIN(Q2:V2),Q2:V2,0))))</f>
        <v/>
      </c>
      <c r="X2" s="5">
        <f>IF(G2="","",IF(W2=E2,1,0))</f>
        <v/>
      </c>
    </row>
    <row r="3">
      <c r="A3" s="5" t="n"/>
      <c r="B3" s="4" t="n"/>
      <c r="C3" s="5" t="inlineStr">
        <is>
          <t>R6</t>
        </is>
      </c>
      <c r="D3" s="10" t="inlineStr">
        <is>
          <t>NG</t>
        </is>
      </c>
      <c r="E3" s="5" t="inlineStr">
        <is>
          <t>2W1</t>
        </is>
      </c>
      <c r="F3" s="5" t="n"/>
      <c r="G3" s="14" t="n">
        <v>6.71</v>
      </c>
      <c r="H3" s="8" t="n"/>
      <c r="I3" s="9" t="n"/>
      <c r="J3" s="13">
        <f>VLOOKUP(C3,Recipes!$A$2:$N$4,10,FALSE())</f>
        <v/>
      </c>
      <c r="K3" s="13">
        <f>VLOOKUP(C3,Recipes!$A$2:$N$4,12,FALSE())</f>
        <v/>
      </c>
      <c r="L3" s="7">
        <f>J3-3*K3</f>
        <v/>
      </c>
      <c r="M3" s="7">
        <f>J3+3*K3</f>
        <v/>
      </c>
      <c r="N3" s="5">
        <f>IF(G3="","",IF(AND(G3&gt;=L3,G3&lt;=M3),"OK","NG"))</f>
        <v/>
      </c>
      <c r="O3" s="5">
        <f>IF(N3="","",IF(N3=D3,1,0))</f>
        <v/>
      </c>
      <c r="P3" s="7">
        <f>IF(G3="","",J3-G3)</f>
        <v/>
      </c>
      <c r="Q3" s="6">
        <f>IF(G3="","",ABS(P3-Components!$D$2))</f>
        <v/>
      </c>
      <c r="R3" s="6">
        <f>IF(G3="","",ABS(P3-Components!$D$3))</f>
        <v/>
      </c>
      <c r="S3" s="6">
        <f>IF(G3="","",ABS(P3-Components!$D$4))</f>
        <v/>
      </c>
      <c r="T3" s="6">
        <f>IF(G3="","",ABS(P3-Components!$D$5))</f>
        <v/>
      </c>
      <c r="U3" s="6">
        <f>IF(G3="","",ABS(P3-Components!$D$6))</f>
        <v/>
      </c>
      <c r="V3" s="6">
        <f>IF(G3="","",ABS(P3-Components!$D$7))</f>
        <v/>
      </c>
      <c r="W3" s="5">
        <f>IF(G3="","",IF(N3="OK","NONE",INDEX({"S1","S2","W1","W2","N1","N2"},MATCH(MIN(Q3:V3),Q3:V3,0))))</f>
        <v/>
      </c>
      <c r="X3" s="5">
        <f>IF(G3="","",IF(W3=E3,1,0))</f>
        <v/>
      </c>
    </row>
    <row r="4">
      <c r="A4" s="5" t="n"/>
      <c r="B4" s="4" t="n"/>
      <c r="C4" s="5" t="inlineStr">
        <is>
          <t>R6</t>
        </is>
      </c>
      <c r="D4" s="10" t="inlineStr">
        <is>
          <t>NG</t>
        </is>
      </c>
      <c r="E4" s="5" t="inlineStr">
        <is>
          <t>2W1</t>
        </is>
      </c>
      <c r="F4" s="5" t="n"/>
      <c r="G4" s="14" t="n">
        <v>6.69</v>
      </c>
      <c r="H4" s="8" t="n"/>
      <c r="I4" s="9" t="n"/>
      <c r="J4" s="13">
        <f>VLOOKUP(C4,Recipes!$A$2:$N$4,10,FALSE())</f>
        <v/>
      </c>
      <c r="K4" s="13">
        <f>VLOOKUP(C4,Recipes!$A$2:$N$4,12,FALSE())</f>
        <v/>
      </c>
      <c r="L4" s="7">
        <f>J4-3*K4</f>
        <v/>
      </c>
      <c r="M4" s="7">
        <f>J4+3*K4</f>
        <v/>
      </c>
      <c r="N4" s="5">
        <f>IF(G4="","",IF(AND(G4&gt;=L4,G4&lt;=M4),"OK","NG"))</f>
        <v/>
      </c>
      <c r="O4" s="5">
        <f>IF(N4="","",IF(N4=D4,1,0))</f>
        <v/>
      </c>
      <c r="P4" s="7">
        <f>IF(G4="","",J4-G4)</f>
        <v/>
      </c>
      <c r="Q4" s="6">
        <f>IF(G4="","",ABS(P4-Components!$D$2))</f>
        <v/>
      </c>
      <c r="R4" s="6">
        <f>IF(G4="","",ABS(P4-Components!$D$3))</f>
        <v/>
      </c>
      <c r="S4" s="6">
        <f>IF(G4="","",ABS(P4-Components!$D$4))</f>
        <v/>
      </c>
      <c r="T4" s="6">
        <f>IF(G4="","",ABS(P4-Components!$D$5))</f>
        <v/>
      </c>
      <c r="U4" s="6">
        <f>IF(G4="","",ABS(P4-Components!$D$6))</f>
        <v/>
      </c>
      <c r="V4" s="6">
        <f>IF(G4="","",ABS(P4-Components!$D$7))</f>
        <v/>
      </c>
      <c r="W4" s="5">
        <f>IF(G4="","",IF(N4="OK","NONE",INDEX({"S1","S2","W1","W2","N1","N2"},MATCH(MIN(Q4:V4),Q4:V4,0))))</f>
        <v/>
      </c>
      <c r="X4" s="5">
        <f>IF(G4="","",IF(W4=E4,1,0))</f>
        <v/>
      </c>
    </row>
    <row r="5">
      <c r="A5" s="5" t="n"/>
      <c r="B5" s="4" t="n"/>
      <c r="C5" s="5" t="inlineStr">
        <is>
          <t>R6</t>
        </is>
      </c>
      <c r="D5" s="10" t="inlineStr">
        <is>
          <t>NG</t>
        </is>
      </c>
      <c r="E5" s="5" t="inlineStr">
        <is>
          <t>2W1</t>
        </is>
      </c>
      <c r="F5" s="5" t="n"/>
      <c r="G5" s="14" t="n">
        <v>6.65</v>
      </c>
      <c r="H5" s="8" t="n"/>
      <c r="I5" s="9" t="n"/>
      <c r="J5" s="13">
        <f>VLOOKUP(C5,Recipes!$A$2:$N$4,10,FALSE())</f>
        <v/>
      </c>
      <c r="K5" s="13">
        <f>VLOOKUP(C5,Recipes!$A$2:$N$4,12,FALSE())</f>
        <v/>
      </c>
      <c r="L5" s="7">
        <f>J5-3*K5</f>
        <v/>
      </c>
      <c r="M5" s="7">
        <f>J5+3*K5</f>
        <v/>
      </c>
      <c r="N5" s="5">
        <f>IF(G5="","",IF(AND(G5&gt;=L5,G5&lt;=M5),"OK","NG"))</f>
        <v/>
      </c>
      <c r="O5" s="5">
        <f>IF(N5="","",IF(N5=D5,1,0))</f>
        <v/>
      </c>
      <c r="P5" s="7">
        <f>IF(G5="","",J5-G5)</f>
        <v/>
      </c>
      <c r="Q5" s="6">
        <f>IF(G5="","",ABS(P5-Components!$D$2))</f>
        <v/>
      </c>
      <c r="R5" s="6">
        <f>IF(G5="","",ABS(P5-Components!$D$3))</f>
        <v/>
      </c>
      <c r="S5" s="6">
        <f>IF(G5="","",ABS(P5-Components!$D$4))</f>
        <v/>
      </c>
      <c r="T5" s="6">
        <f>IF(G5="","",ABS(P5-Components!$D$5))</f>
        <v/>
      </c>
      <c r="U5" s="6">
        <f>IF(G5="","",ABS(P5-Components!$D$6))</f>
        <v/>
      </c>
      <c r="V5" s="6">
        <f>IF(G5="","",ABS(P5-Components!$D$7))</f>
        <v/>
      </c>
      <c r="W5" s="5">
        <f>IF(G5="","",IF(N5="OK","NONE",INDEX({"S1","S2","W1","W2","N1","N2"},MATCH(MIN(Q5:V5),Q5:V5,0))))</f>
        <v/>
      </c>
      <c r="X5" s="5">
        <f>IF(G5="","",IF(W5=E5,1,0))</f>
        <v/>
      </c>
    </row>
    <row r="7">
      <c r="A7" s="5" t="n"/>
      <c r="B7" s="16" t="n"/>
      <c r="C7" s="5" t="inlineStr">
        <is>
          <t>R6</t>
        </is>
      </c>
      <c r="D7" s="5" t="inlineStr">
        <is>
          <t>NG</t>
        </is>
      </c>
      <c r="E7" s="5" t="inlineStr">
        <is>
          <t>2N2</t>
        </is>
      </c>
      <c r="F7" s="5" t="n"/>
      <c r="G7" s="17" t="n">
        <v>5.63</v>
      </c>
      <c r="H7" s="8" t="n"/>
      <c r="I7" s="9" t="n"/>
      <c r="J7" s="13">
        <f>VLOOKUP(C7,Recipes!$A$2:$N$4,10,FALSE())</f>
        <v/>
      </c>
      <c r="K7" s="13">
        <f>VLOOKUP(C7,Recipes!$A$2:$N$4,12,FALSE())</f>
        <v/>
      </c>
      <c r="L7" s="7">
        <f>J7-3*K7</f>
        <v/>
      </c>
      <c r="M7" s="7">
        <f>J7+3*K7</f>
        <v/>
      </c>
      <c r="N7" s="5">
        <f>IF(G7="","",IF(AND(G7&gt;=L7,G7&lt;=M7),"OK","NG"))</f>
        <v/>
      </c>
      <c r="O7" s="5">
        <f>IF(N7="","",IF(N7=D7,1,0))</f>
        <v/>
      </c>
      <c r="P7" s="7">
        <f>IF(G7="","",J7-G7)</f>
        <v/>
      </c>
      <c r="Q7" s="6">
        <f>IF(G7="","",ABS(P7-Components!$D$2))</f>
        <v/>
      </c>
      <c r="R7" s="6">
        <f>IF(G7="","",ABS(P7-Components!$D$3))</f>
        <v/>
      </c>
      <c r="S7" s="6">
        <f>IF(G7="","",ABS(P7-Components!$D$4))</f>
        <v/>
      </c>
      <c r="T7" s="6">
        <f>IF(G7="","",ABS(P7-Components!$D$5))</f>
        <v/>
      </c>
      <c r="U7" s="6">
        <f>IF(G7="","",ABS(P7-Components!$D$6))</f>
        <v/>
      </c>
      <c r="V7" s="6">
        <f>IF(G7="","",ABS(P7-Components!$D$7))</f>
        <v/>
      </c>
      <c r="W7" s="5">
        <f>IF(G7="","",IF(N7="OK","NONE",INDEX({"S1","S2","W1","W2","N1","N2"},MATCH(MIN(Q7:V7),Q7:V7,0))))</f>
        <v/>
      </c>
      <c r="X7" s="5">
        <f>IF(G7="","",IF(W7=E7,1,0))</f>
        <v/>
      </c>
    </row>
    <row r="8">
      <c r="A8" s="5" t="n"/>
      <c r="B8" s="16" t="n"/>
      <c r="C8" s="5" t="inlineStr">
        <is>
          <t>R6</t>
        </is>
      </c>
      <c r="D8" s="5" t="inlineStr">
        <is>
          <t xml:space="preserve"> NG</t>
        </is>
      </c>
      <c r="E8" s="5" t="inlineStr">
        <is>
          <t>2N2</t>
        </is>
      </c>
      <c r="F8" s="5" t="n"/>
      <c r="G8" s="17" t="n">
        <v>5.63</v>
      </c>
      <c r="H8" s="8" t="n"/>
      <c r="I8" s="9" t="n"/>
      <c r="J8" s="13">
        <f>VLOOKUP(C8,Recipes!$A$2:$N$4,10,FALSE())</f>
        <v/>
      </c>
      <c r="K8" s="13">
        <f>VLOOKUP(C8,Recipes!$A$2:$N$4,12,FALSE())</f>
        <v/>
      </c>
      <c r="L8" s="7">
        <f>J8-3*K8</f>
        <v/>
      </c>
      <c r="M8" s="7">
        <f>J8+3*K8</f>
        <v/>
      </c>
      <c r="N8" s="5">
        <f>IF(G8="","",IF(AND(G8&gt;=L8,G8&lt;=M8),"OK","NG"))</f>
        <v/>
      </c>
      <c r="O8" s="5">
        <f>IF(N8="","",IF(N8=D8,1,0))</f>
        <v/>
      </c>
      <c r="P8" s="7">
        <f>IF(G8="","",J8-G8)</f>
        <v/>
      </c>
      <c r="Q8" s="6">
        <f>IF(G8="","",ABS(P8-Components!$D$2))</f>
        <v/>
      </c>
      <c r="R8" s="6">
        <f>IF(G8="","",ABS(P8-Components!$D$3))</f>
        <v/>
      </c>
      <c r="S8" s="6">
        <f>IF(G8="","",ABS(P8-Components!$D$4))</f>
        <v/>
      </c>
      <c r="T8" s="6">
        <f>IF(G8="","",ABS(P8-Components!$D$5))</f>
        <v/>
      </c>
      <c r="U8" s="6">
        <f>IF(G8="","",ABS(P8-Components!$D$6))</f>
        <v/>
      </c>
      <c r="V8" s="6">
        <f>IF(G8="","",ABS(P8-Components!$D$7))</f>
        <v/>
      </c>
      <c r="W8" s="5">
        <f>IF(G8="","",IF(N8="OK","NONE",INDEX({"S1","S2","W1","W2","N1","N2"},MATCH(MIN(Q8:V8),Q8:V8,0))))</f>
        <v/>
      </c>
      <c r="X8" s="5">
        <f>IF(G8="","",IF(W8=E8,1,0))</f>
        <v/>
      </c>
    </row>
    <row r="9">
      <c r="A9" s="5" t="n"/>
      <c r="B9" s="16" t="n"/>
      <c r="C9" s="5" t="inlineStr">
        <is>
          <t>R6</t>
        </is>
      </c>
      <c r="D9" s="5" t="inlineStr">
        <is>
          <t>NG</t>
        </is>
      </c>
      <c r="E9" s="5" t="inlineStr">
        <is>
          <t>2N2</t>
        </is>
      </c>
      <c r="F9" s="5" t="n"/>
      <c r="G9" s="17" t="n">
        <v>5.86</v>
      </c>
      <c r="H9" s="8" t="n"/>
      <c r="I9" s="9" t="n"/>
      <c r="J9" s="13">
        <f>VLOOKUP(C9,Recipes!$A$2:$N$4,10,FALSE())</f>
        <v/>
      </c>
      <c r="K9" s="13">
        <f>VLOOKUP(C9,Recipes!$A$2:$N$4,12,FALSE())</f>
        <v/>
      </c>
      <c r="L9" s="7">
        <f>J9-3*K9</f>
        <v/>
      </c>
      <c r="M9" s="7">
        <f>J9+3*K9</f>
        <v/>
      </c>
      <c r="N9" s="5">
        <f>IF(G9="","",IF(AND(G9&gt;=L9,G9&lt;=M9),"OK","NG"))</f>
        <v/>
      </c>
      <c r="O9" s="5">
        <f>IF(N9="","",IF(N9=D9,1,0))</f>
        <v/>
      </c>
      <c r="P9" s="7">
        <f>IF(G9="","",J9-G9)</f>
        <v/>
      </c>
      <c r="Q9" s="6">
        <f>IF(G9="","",ABS(P9-Components!$D$2))</f>
        <v/>
      </c>
      <c r="R9" s="6">
        <f>IF(G9="","",ABS(P9-Components!$D$3))</f>
        <v/>
      </c>
      <c r="S9" s="6">
        <f>IF(G9="","",ABS(P9-Components!$D$4))</f>
        <v/>
      </c>
      <c r="T9" s="6">
        <f>IF(G9="","",ABS(P9-Components!$D$5))</f>
        <v/>
      </c>
      <c r="U9" s="6">
        <f>IF(G9="","",ABS(P9-Components!$D$6))</f>
        <v/>
      </c>
      <c r="V9" s="6">
        <f>IF(G9="","",ABS(P9-Components!$D$7))</f>
        <v/>
      </c>
      <c r="W9" s="5">
        <f>IF(G9="","",IF(N9="OK","NONE",INDEX({"S1","S2","W1","W2","N1","N2"},MATCH(MIN(Q9:V9),Q9:V9,0))))</f>
        <v/>
      </c>
      <c r="X9" s="5">
        <f>IF(G9="","",IF(W9=E9,1,0))</f>
        <v/>
      </c>
    </row>
    <row r="10">
      <c r="A10" s="5" t="n"/>
      <c r="B10" s="16" t="n"/>
      <c r="C10" s="5" t="inlineStr">
        <is>
          <t>R6</t>
        </is>
      </c>
      <c r="D10" s="5" t="inlineStr">
        <is>
          <t>NG</t>
        </is>
      </c>
      <c r="E10" s="5" t="inlineStr">
        <is>
          <t>2N2</t>
        </is>
      </c>
      <c r="F10" s="5" t="n"/>
      <c r="G10" s="17" t="n">
        <v>5.91</v>
      </c>
      <c r="H10" s="8" t="n"/>
      <c r="I10" s="9" t="n"/>
      <c r="J10" s="13">
        <f>VLOOKUP(C10,Recipes!$A$2:$N$4,10,FALSE())</f>
        <v/>
      </c>
      <c r="K10" s="13">
        <f>VLOOKUP(C10,Recipes!$A$2:$N$4,12,FALSE())</f>
        <v/>
      </c>
      <c r="L10" s="7">
        <f>J10-3*K10</f>
        <v/>
      </c>
      <c r="M10" s="7">
        <f>J10+3*K10</f>
        <v/>
      </c>
      <c r="N10" s="5">
        <f>IF(G10="","",IF(AND(G10&gt;=L10,G10&lt;=M10),"OK","NG"))</f>
        <v/>
      </c>
      <c r="O10" s="5">
        <f>IF(N10="","",IF(N10=D10,1,0))</f>
        <v/>
      </c>
      <c r="P10" s="7">
        <f>IF(G10="","",J10-G10)</f>
        <v/>
      </c>
      <c r="Q10" s="6">
        <f>IF(G10="","",ABS(P10-Components!$D$2))</f>
        <v/>
      </c>
      <c r="R10" s="6">
        <f>IF(G10="","",ABS(P10-Components!$D$3))</f>
        <v/>
      </c>
      <c r="S10" s="6">
        <f>IF(G10="","",ABS(P10-Components!$D$4))</f>
        <v/>
      </c>
      <c r="T10" s="6">
        <f>IF(G10="","",ABS(P10-Components!$D$5))</f>
        <v/>
      </c>
      <c r="U10" s="6">
        <f>IF(G10="","",ABS(P10-Components!$D$6))</f>
        <v/>
      </c>
      <c r="V10" s="6">
        <f>IF(G10="","",ABS(P10-Components!$D$7))</f>
        <v/>
      </c>
      <c r="W10" s="5">
        <f>IF(G10="","",IF(N10="OK","NONE",INDEX({"S1","S2","W1","W2","N1","N2"},MATCH(MIN(Q10:V10),Q10:V10,0))))</f>
        <v/>
      </c>
      <c r="X10" s="5">
        <f>IF(G10="","",IF(W10=E10,1,0))</f>
        <v/>
      </c>
    </row>
    <row r="11">
      <c r="A11" s="5" t="n"/>
      <c r="B11" s="16" t="n"/>
      <c r="C11" s="5" t="inlineStr">
        <is>
          <t>R6</t>
        </is>
      </c>
      <c r="D11" s="5" t="inlineStr">
        <is>
          <t>NG</t>
        </is>
      </c>
      <c r="E11" s="5" t="inlineStr">
        <is>
          <t>2N2</t>
        </is>
      </c>
      <c r="F11" s="5" t="n"/>
      <c r="G11" s="17" t="n">
        <v>5.89</v>
      </c>
      <c r="H11" s="8" t="n"/>
      <c r="I11" s="9" t="n"/>
      <c r="J11" s="13">
        <f>VLOOKUP(C11,Recipes!$A$2:$N$4,10,FALSE())</f>
        <v/>
      </c>
      <c r="K11" s="13">
        <f>VLOOKUP(C11,Recipes!$A$2:$N$4,12,FALSE())</f>
        <v/>
      </c>
      <c r="L11" s="7">
        <f>J11-3*K11</f>
        <v/>
      </c>
      <c r="M11" s="7">
        <f>J11+3*K11</f>
        <v/>
      </c>
      <c r="N11" s="5">
        <f>IF(G11="","",IF(AND(G11&gt;=L11,G11&lt;=M11),"OK","NG"))</f>
        <v/>
      </c>
      <c r="O11" s="5">
        <f>IF(N11="","",IF(N11=D11,1,0))</f>
        <v/>
      </c>
      <c r="P11" s="7">
        <f>IF(G11="","",J11-G11)</f>
        <v/>
      </c>
      <c r="Q11" s="6">
        <f>IF(G11="","",ABS(P11-Components!$D$2))</f>
        <v/>
      </c>
      <c r="R11" s="6">
        <f>IF(G11="","",ABS(P11-Components!$D$3))</f>
        <v/>
      </c>
      <c r="S11" s="6">
        <f>IF(G11="","",ABS(P11-Components!$D$4))</f>
        <v/>
      </c>
      <c r="T11" s="6">
        <f>IF(G11="","",ABS(P11-Components!$D$5))</f>
        <v/>
      </c>
      <c r="U11" s="6">
        <f>IF(G11="","",ABS(P11-Components!$D$6))</f>
        <v/>
      </c>
      <c r="V11" s="6">
        <f>IF(G11="","",ABS(P11-Components!$D$7))</f>
        <v/>
      </c>
      <c r="W11" s="5">
        <f>IF(G11="","",IF(N11="OK","NONE",INDEX({"S1","S2","W1","W2","N1","N2"},MATCH(MIN(Q11:V11),Q11:V11,0))))</f>
        <v/>
      </c>
      <c r="X11" s="5">
        <f>IF(G11="","",IF(W11=E11,1,0))</f>
        <v/>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2:G22"/>
  <sheetViews>
    <sheetView zoomScale="73" workbookViewId="0">
      <selection activeCell="R63" sqref="R63"/>
    </sheetView>
  </sheetViews>
  <sheetFormatPr baseColWidth="8" defaultRowHeight="15"/>
  <cols>
    <col width="27.5703125" customWidth="1" style="180" min="1" max="1"/>
    <col width="29.140625" customWidth="1" style="180" min="2" max="2"/>
    <col width="24.7109375" customWidth="1" style="180" min="3" max="3"/>
    <col width="21.7109375" customWidth="1" style="180" min="4" max="4"/>
    <col width="21.140625" customWidth="1" style="180" min="5" max="5"/>
    <col width="20.7109375" customWidth="1" style="180" min="6" max="6"/>
  </cols>
  <sheetData>
    <row r="2" ht="75" customHeight="1" s="180">
      <c r="A2" s="35" t="inlineStr">
        <is>
          <t>Proporción mínima inaceptable — si el sistema cae aquí o abajo, falla (Proporción nula ,p0)</t>
        </is>
      </c>
      <c r="B2" s="35" t="inlineStr">
        <is>
          <t>Proporción objetivo que quieres demostrar que tu sistema alcanza (Proporción alternativa, p)</t>
        </is>
      </c>
      <c r="C2" s="35" t="inlineStr">
        <is>
          <t>Probabilidad de decir que el sistema es bueno cuando no lo es (Nivel de significancia, α)</t>
        </is>
      </c>
      <c r="D2" s="35" t="inlineStr">
        <is>
          <t>Probabilidad de detectar que el sistema falla cuando sí falla (Potencia estadística, 1−β)</t>
        </is>
      </c>
      <c r="E2" s="35" t="inlineStr">
        <is>
          <t>Cuántas desviaciones estándar te alejas para capturar el 99% — una cola (Valor crítico de significancia, z_α)</t>
        </is>
      </c>
      <c r="F2" s="35" t="inlineStr">
        <is>
          <t>Cuántas desviaciones estándar te alejas para capturar el 95% (Valor crítico de potencia, z_β)</t>
        </is>
      </c>
      <c r="G2" s="53" t="n"/>
    </row>
    <row r="3">
      <c r="A3" s="54" t="n">
        <v>0.9</v>
      </c>
      <c r="B3" s="54" t="n">
        <v>0.99</v>
      </c>
      <c r="C3" s="54" t="n">
        <v>0.05</v>
      </c>
      <c r="D3" s="54" t="n">
        <v>0.8</v>
      </c>
      <c r="E3" s="36">
        <f>_xlfn.NORM.S.INV(1-C3)</f>
        <v/>
      </c>
      <c r="F3" s="36">
        <f>_xlfn.NORM.S.INV(D3)</f>
        <v/>
      </c>
    </row>
    <row r="22">
      <c r="F22" s="54"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2026-04-20T20:11:59Z</dcterms:created>
  <dcterms:modified xmlns:dcterms="http://purl.org/dc/terms/" xmlns:xsi="http://www.w3.org/2001/XMLSchema-instance" xsi:type="dcterms:W3CDTF">2026-05-21T02:27:16Z</dcterms:modified>
  <cp:lastModifiedBy>Vargas Valencia, Jesus Ian</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0x010100D03915ACFA57E242ACA539F521BF9489</vt:lpwstr>
  </property>
</Properties>
</file>